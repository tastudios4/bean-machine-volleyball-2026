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All" sheetId="1" r:id="rId5"/>
    <sheet state="visible" name="TotalW1" sheetId="2" r:id="rId6"/>
    <sheet state="visible" name="TotalW2" sheetId="3" r:id="rId7"/>
    <sheet state="visible" name="TotalW3" sheetId="4" r:id="rId8"/>
    <sheet state="visible" name="TotalW4" sheetId="5" r:id="rId9"/>
    <sheet state="visible" name="TotalW5" sheetId="6" r:id="rId10"/>
    <sheet state="visible" name="TotalW6" sheetId="7" r:id="rId11"/>
    <sheet state="visible" name="TotalW7" sheetId="8" r:id="rId12"/>
    <sheet state="visible" name="TotalW8" sheetId="9" r:id="rId13"/>
    <sheet state="visible" name="TotalW9" sheetId="10" r:id="rId14"/>
    <sheet state="visible" name="26-0107G1" sheetId="11" r:id="rId15"/>
    <sheet state="visible" name="26-0107G2" sheetId="12" r:id="rId16"/>
    <sheet state="visible" name="26-0107G3" sheetId="13" r:id="rId17"/>
    <sheet state="visible" name="26-0114G1" sheetId="14" r:id="rId18"/>
    <sheet state="visible" name="26-0114G2" sheetId="15" r:id="rId19"/>
    <sheet state="visible" name="26-0114G3" sheetId="16" r:id="rId20"/>
    <sheet state="visible" name="26-0121G1" sheetId="17" r:id="rId21"/>
    <sheet state="visible" name="26-0121G2" sheetId="18" r:id="rId22"/>
    <sheet state="visible" name="26-0121G3" sheetId="19" r:id="rId23"/>
    <sheet state="visible" name="26-0128G1" sheetId="20" r:id="rId24"/>
    <sheet state="visible" name="26-0128G2" sheetId="21" r:id="rId25"/>
    <sheet state="visible" name="26-0128G3" sheetId="22" r:id="rId26"/>
    <sheet state="visible" name="26-0211G1" sheetId="23" r:id="rId27"/>
    <sheet state="visible" name="26-0211G2" sheetId="24" r:id="rId28"/>
    <sheet state="visible" name="26-0211G3" sheetId="25" r:id="rId29"/>
    <sheet state="visible" name="26-0218G1" sheetId="26" r:id="rId30"/>
    <sheet state="visible" name="26-0218G2" sheetId="27" r:id="rId31"/>
    <sheet state="visible" name="26-0225G1" sheetId="28" r:id="rId32"/>
    <sheet state="visible" name="26-0225G2" sheetId="29" r:id="rId33"/>
    <sheet state="visible" name="26-0225G3" sheetId="30" r:id="rId34"/>
    <sheet state="visible" name="26-0304G1" sheetId="31" r:id="rId35"/>
    <sheet state="visible" name="26-0304G2" sheetId="32" r:id="rId36"/>
    <sheet state="visible" name="26-0304G3" sheetId="33" r:id="rId37"/>
    <sheet state="visible" name="26-0311G1" sheetId="34" r:id="rId38"/>
    <sheet state="visible" name="26-0311G2" sheetId="35" r:id="rId39"/>
    <sheet state="visible" name="26-0311G3" sheetId="36" r:id="rId40"/>
    <sheet state="visible" name="Template" sheetId="37" r:id="rId41"/>
  </sheets>
  <definedNames/>
  <calcPr/>
</workbook>
</file>

<file path=xl/sharedStrings.xml><?xml version="1.0" encoding="utf-8"?>
<sst xmlns="http://schemas.openxmlformats.org/spreadsheetml/2006/main" count="1336" uniqueCount="102">
  <si>
    <t>Name</t>
  </si>
  <si>
    <t>Position</t>
  </si>
  <si>
    <t>Attack</t>
  </si>
  <si>
    <t>Blocking</t>
  </si>
  <si>
    <t>Digs</t>
  </si>
  <si>
    <t xml:space="preserve">Service </t>
  </si>
  <si>
    <t>Serve Receive</t>
  </si>
  <si>
    <t>TotalW1</t>
  </si>
  <si>
    <t>Attempts</t>
  </si>
  <si>
    <t>Kills</t>
  </si>
  <si>
    <t>Errors</t>
  </si>
  <si>
    <t>Assists</t>
  </si>
  <si>
    <t>%</t>
  </si>
  <si>
    <t>Solo</t>
  </si>
  <si>
    <t>Assist</t>
  </si>
  <si>
    <t>Aces</t>
  </si>
  <si>
    <t>Total Serves</t>
  </si>
  <si>
    <t>SRV%</t>
  </si>
  <si>
    <t>ACE%</t>
  </si>
  <si>
    <t>Average</t>
  </si>
  <si>
    <t>TotalW2</t>
  </si>
  <si>
    <t>Cole</t>
  </si>
  <si>
    <t>-</t>
  </si>
  <si>
    <t>TotalW3</t>
  </si>
  <si>
    <t>Cade</t>
  </si>
  <si>
    <t>TotalW4</t>
  </si>
  <si>
    <t>Zane</t>
  </si>
  <si>
    <t>TotalW5</t>
  </si>
  <si>
    <t>Andy</t>
  </si>
  <si>
    <t>TotalW6</t>
  </si>
  <si>
    <t>Jeremy</t>
  </si>
  <si>
    <t>TotalW7</t>
  </si>
  <si>
    <t>Allen</t>
  </si>
  <si>
    <t>TotalW8</t>
  </si>
  <si>
    <t>Tae</t>
  </si>
  <si>
    <t>TotalW9</t>
  </si>
  <si>
    <t xml:space="preserve"> </t>
  </si>
  <si>
    <t>26-0107G1</t>
  </si>
  <si>
    <t>26-0107G2</t>
  </si>
  <si>
    <t>L</t>
  </si>
  <si>
    <t>26-0107G3</t>
  </si>
  <si>
    <t>M2</t>
  </si>
  <si>
    <t>S</t>
  </si>
  <si>
    <t>OH2</t>
  </si>
  <si>
    <t>M1,OH1</t>
  </si>
  <si>
    <t>OP</t>
  </si>
  <si>
    <t>OH1,M1</t>
  </si>
  <si>
    <t>26-0114G1</t>
  </si>
  <si>
    <t>26-0114G2</t>
  </si>
  <si>
    <t>OH3,OH1</t>
  </si>
  <si>
    <t>26-0114G3</t>
  </si>
  <si>
    <t xml:space="preserve">M1 </t>
  </si>
  <si>
    <t xml:space="preserve">M3 </t>
  </si>
  <si>
    <t>26-0121G1</t>
  </si>
  <si>
    <t>26-0121G2</t>
  </si>
  <si>
    <t>OH2, M3, OH2</t>
  </si>
  <si>
    <t>26-0121G3</t>
  </si>
  <si>
    <t>M3, M2 , M3</t>
  </si>
  <si>
    <t>OH1, OH2, M1</t>
  </si>
  <si>
    <t>M2, OH1, OH1</t>
  </si>
  <si>
    <t>OP, OP, M2</t>
  </si>
  <si>
    <t>M1, M1, OP</t>
  </si>
  <si>
    <t>26-0128G1</t>
  </si>
  <si>
    <t>26-0128G2</t>
  </si>
  <si>
    <t>26-0128G3</t>
  </si>
  <si>
    <t>OP, S, OP</t>
  </si>
  <si>
    <t>S, M2, S</t>
  </si>
  <si>
    <t>OH1, OH2, OH2</t>
  </si>
  <si>
    <t>OH2, OH1, OH1</t>
  </si>
  <si>
    <t>M2, OP, M2</t>
  </si>
  <si>
    <t>M1, M2, M1</t>
  </si>
  <si>
    <t>26-0211G1</t>
  </si>
  <si>
    <t>26-0211G2</t>
  </si>
  <si>
    <t>M3,M3,OH2</t>
  </si>
  <si>
    <t>26-0211G3</t>
  </si>
  <si>
    <t>S,OP, M1</t>
  </si>
  <si>
    <t>M1, S, S</t>
  </si>
  <si>
    <t>M2, OH2, OP</t>
  </si>
  <si>
    <t>OH1, OH1, OH1</t>
  </si>
  <si>
    <t>OP, M2, M2</t>
  </si>
  <si>
    <t>OH2, M1, M2</t>
  </si>
  <si>
    <t>26-0218G1</t>
  </si>
  <si>
    <t>26-0218G2</t>
  </si>
  <si>
    <t>OH3</t>
  </si>
  <si>
    <t>M1</t>
  </si>
  <si>
    <t>OH1</t>
  </si>
  <si>
    <t>26-0225G1</t>
  </si>
  <si>
    <t>26-0225G2</t>
  </si>
  <si>
    <t>26-0225G3</t>
  </si>
  <si>
    <t>OH1, M1, OH1</t>
  </si>
  <si>
    <t>M2, OH1, M2</t>
  </si>
  <si>
    <t>26-0304G1</t>
  </si>
  <si>
    <t>26-0304G2</t>
  </si>
  <si>
    <t>M1, M1, OH1</t>
  </si>
  <si>
    <t>26-0304G3</t>
  </si>
  <si>
    <t>OH2, OH2, M1</t>
  </si>
  <si>
    <t>OH1, OH1, OH2</t>
  </si>
  <si>
    <t xml:space="preserve">OP </t>
  </si>
  <si>
    <t>26-0311G1</t>
  </si>
  <si>
    <t>26-0311G2</t>
  </si>
  <si>
    <t>26-0311G3</t>
  </si>
  <si>
    <t>M3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</si>
</sst>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  <font>
      <color rgb="FF0C0D0E"/>
      <name val="Ui-monospace"/>
    </font>
    <font>
      <b/>
      <sz val="11.0"/>
      <color rgb="FF222222"/>
      <name val="&quot;Google Sans&quot;"/>
    </font>
  </fonts>
  <fills count="31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FE7A3"/>
        <bgColor rgb="FFFFE7A3"/>
      </patternFill>
    </fill>
    <fill>
      <patternFill patternType="solid">
        <fgColor rgb="FF98D6B7"/>
        <bgColor rgb="FF98D6B7"/>
      </patternFill>
    </fill>
    <fill>
      <patternFill patternType="solid">
        <fgColor rgb="FFF8D7D4"/>
        <bgColor rgb="FFF8D7D4"/>
      </patternFill>
    </fill>
    <fill>
      <patternFill patternType="solid">
        <fgColor rgb="FFF6FCF9"/>
        <bgColor rgb="FFF6FCF9"/>
      </patternFill>
    </fill>
    <fill>
      <patternFill patternType="solid">
        <fgColor rgb="FFFFE9AC"/>
        <bgColor rgb="FFFFE9AC"/>
      </patternFill>
    </fill>
    <fill>
      <patternFill patternType="solid">
        <fgColor rgb="FFBFE5D2"/>
        <bgColor rgb="FFBFE5D2"/>
      </patternFill>
    </fill>
    <fill>
      <patternFill patternType="solid">
        <fgColor rgb="FFFCEBEA"/>
        <bgColor rgb="FFFCEBEA"/>
      </patternFill>
    </fill>
    <fill>
      <patternFill patternType="solid">
        <fgColor rgb="FFFFFFFF"/>
        <bgColor rgb="FFFFFFFF"/>
      </patternFill>
    </fill>
    <fill>
      <patternFill patternType="solid">
        <fgColor rgb="FFFFF9E8"/>
        <bgColor rgb="FFFFF9E8"/>
      </patternFill>
    </fill>
    <fill>
      <patternFill patternType="solid">
        <fgColor rgb="FFE6F5ED"/>
        <bgColor rgb="FFE6F5ED"/>
      </patternFill>
    </fill>
    <fill>
      <patternFill patternType="solid">
        <fgColor rgb="FF57BB8A"/>
        <bgColor rgb="FF57BB8A"/>
      </patternFill>
    </fill>
    <fill>
      <patternFill patternType="solid">
        <fgColor rgb="FFFFD666"/>
        <bgColor rgb="FFFFD666"/>
      </patternFill>
    </fill>
    <fill>
      <patternFill patternType="solid">
        <fgColor rgb="FFF6CDCA"/>
        <bgColor rgb="FFF6CDCA"/>
      </patternFill>
    </fill>
    <fill>
      <patternFill patternType="solid">
        <fgColor rgb="FFFBFEFC"/>
        <bgColor rgb="FFFBFEFC"/>
      </patternFill>
    </fill>
    <fill>
      <patternFill patternType="solid">
        <fgColor rgb="FFFFDF87"/>
        <bgColor rgb="FFFFDF87"/>
      </patternFill>
    </fill>
    <fill>
      <patternFill patternType="solid">
        <fgColor rgb="FFA5DBC0"/>
        <bgColor rgb="FFA5DBC0"/>
      </patternFill>
    </fill>
    <fill>
      <patternFill patternType="solid">
        <fgColor rgb="FFFFD86B"/>
        <bgColor rgb="FFFFD86B"/>
      </patternFill>
    </fill>
    <fill>
      <patternFill patternType="solid">
        <fgColor rgb="FFE67C73"/>
        <bgColor rgb="FFE67C73"/>
      </patternFill>
    </fill>
    <fill>
      <patternFill patternType="solid">
        <fgColor rgb="FFFFEDBA"/>
        <bgColor rgb="FFFFEDBA"/>
      </patternFill>
    </fill>
    <fill>
      <patternFill patternType="solid">
        <fgColor rgb="FFD9F0E4"/>
        <bgColor rgb="FFD9F0E4"/>
      </patternFill>
    </fill>
    <fill>
      <patternFill patternType="solid">
        <fgColor rgb="FFE1E9F7"/>
        <bgColor rgb="FFE1E9F7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2" fillId="0" fontId="1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vertical="bottom"/>
    </xf>
    <xf borderId="0" fillId="2" fontId="1" numFmtId="0" xfId="0" applyAlignment="1" applyFill="1" applyFont="1">
      <alignment readingOrder="0"/>
    </xf>
    <xf borderId="5" fillId="0" fontId="2" numFmtId="0" xfId="0" applyBorder="1" applyFont="1"/>
    <xf borderId="6" fillId="0" fontId="1" numFmtId="0" xfId="0" applyAlignment="1" applyBorder="1" applyFont="1">
      <alignment horizontal="center" readingOrder="0"/>
    </xf>
    <xf borderId="6" fillId="0" fontId="1" numFmtId="164" xfId="0" applyAlignment="1" applyBorder="1" applyFont="1" applyNumberFormat="1">
      <alignment horizontal="center" readingOrder="0"/>
    </xf>
    <xf borderId="6" fillId="0" fontId="1" numFmtId="0" xfId="0" applyAlignment="1" applyBorder="1" applyFont="1">
      <alignment horizontal="center" readingOrder="0" vertical="center"/>
    </xf>
    <xf borderId="6" fillId="0" fontId="1" numFmtId="10" xfId="0" applyAlignment="1" applyBorder="1" applyFont="1" applyNumberFormat="1">
      <alignment horizontal="center" readingOrder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6" fillId="0" fontId="3" numFmtId="164" xfId="0" applyAlignment="1" applyBorder="1" applyFont="1" applyNumberFormat="1">
      <alignment horizontal="center" vertical="bottom"/>
    </xf>
    <xf borderId="0" fillId="0" fontId="1" numFmtId="0" xfId="0" applyAlignment="1" applyFont="1">
      <alignment readingOrder="0"/>
    </xf>
    <xf borderId="6" fillId="3" fontId="1" numFmtId="0" xfId="0" applyAlignment="1" applyBorder="1" applyFill="1" applyFont="1">
      <alignment readingOrder="0"/>
    </xf>
    <xf borderId="6" fillId="0" fontId="1" numFmtId="164" xfId="0" applyAlignment="1" applyBorder="1" applyFont="1" applyNumberFormat="1">
      <alignment horizontal="center"/>
    </xf>
    <xf borderId="6" fillId="0" fontId="1" numFmtId="10" xfId="0" applyAlignment="1" applyBorder="1" applyFont="1" applyNumberFormat="1">
      <alignment horizontal="center"/>
    </xf>
    <xf borderId="6" fillId="4" fontId="1" numFmtId="0" xfId="0" applyAlignment="1" applyBorder="1" applyFill="1" applyFont="1">
      <alignment readingOrder="0"/>
    </xf>
    <xf borderId="6" fillId="5" fontId="1" numFmtId="0" xfId="0" applyAlignment="1" applyBorder="1" applyFill="1" applyFont="1">
      <alignment readingOrder="0"/>
    </xf>
    <xf borderId="6" fillId="6" fontId="1" numFmtId="0" xfId="0" applyAlignment="1" applyBorder="1" applyFill="1" applyFont="1">
      <alignment readingOrder="0"/>
    </xf>
    <xf borderId="6" fillId="7" fontId="1" numFmtId="0" xfId="0" applyAlignment="1" applyBorder="1" applyFill="1" applyFont="1">
      <alignment readingOrder="0"/>
    </xf>
    <xf borderId="6" fillId="8" fontId="1" numFmtId="0" xfId="0" applyAlignment="1" applyBorder="1" applyFill="1" applyFont="1">
      <alignment readingOrder="0"/>
    </xf>
    <xf borderId="6" fillId="9" fontId="1" numFmtId="0" xfId="0" applyAlignment="1" applyBorder="1" applyFill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164" xfId="0" applyFont="1" applyNumberFormat="1"/>
    <xf borderId="0" fillId="0" fontId="4" numFmtId="0" xfId="0" applyAlignment="1" applyFont="1">
      <alignment horizontal="left"/>
    </xf>
    <xf borderId="2" fillId="0" fontId="3" numFmtId="0" xfId="0" applyAlignment="1" applyBorder="1" applyFont="1">
      <alignment horizontal="center" vertical="bottom"/>
    </xf>
    <xf borderId="6" fillId="10" fontId="3" numFmtId="0" xfId="0" applyAlignment="1" applyBorder="1" applyFill="1" applyFont="1">
      <alignment horizontal="center" vertical="bottom"/>
    </xf>
    <xf borderId="6" fillId="11" fontId="3" numFmtId="0" xfId="0" applyAlignment="1" applyBorder="1" applyFill="1" applyFont="1">
      <alignment horizontal="center" vertical="bottom"/>
    </xf>
    <xf borderId="6" fillId="12" fontId="3" numFmtId="0" xfId="0" applyAlignment="1" applyBorder="1" applyFill="1" applyFont="1">
      <alignment horizontal="center" vertical="bottom"/>
    </xf>
    <xf borderId="6" fillId="13" fontId="3" numFmtId="0" xfId="0" applyAlignment="1" applyBorder="1" applyFill="1" applyFont="1">
      <alignment horizontal="center" vertical="bottom"/>
    </xf>
    <xf borderId="6" fillId="0" fontId="1" numFmtId="0" xfId="0" applyAlignment="1" applyBorder="1" applyFont="1">
      <alignment horizontal="center"/>
    </xf>
    <xf borderId="6" fillId="14" fontId="3" numFmtId="0" xfId="0" applyAlignment="1" applyBorder="1" applyFill="1" applyFont="1">
      <alignment horizontal="center" vertical="bottom"/>
    </xf>
    <xf borderId="6" fillId="15" fontId="3" numFmtId="0" xfId="0" applyAlignment="1" applyBorder="1" applyFill="1" applyFont="1">
      <alignment horizontal="center" vertical="bottom"/>
    </xf>
    <xf borderId="6" fillId="16" fontId="3" numFmtId="0" xfId="0" applyAlignment="1" applyBorder="1" applyFill="1" applyFont="1">
      <alignment horizontal="center" vertical="bottom"/>
    </xf>
    <xf borderId="6" fillId="17" fontId="3" numFmtId="0" xfId="0" applyAlignment="1" applyBorder="1" applyFill="1" applyFont="1">
      <alignment horizontal="center" vertical="bottom"/>
    </xf>
    <xf borderId="6" fillId="18" fontId="3" numFmtId="0" xfId="0" applyAlignment="1" applyBorder="1" applyFill="1" applyFont="1">
      <alignment horizontal="center" vertical="bottom"/>
    </xf>
    <xf borderId="6" fillId="19" fontId="3" numFmtId="0" xfId="0" applyAlignment="1" applyBorder="1" applyFill="1" applyFont="1">
      <alignment horizontal="center" vertical="bottom"/>
    </xf>
    <xf borderId="6" fillId="20" fontId="3" numFmtId="0" xfId="0" applyAlignment="1" applyBorder="1" applyFill="1" applyFont="1">
      <alignment horizontal="center" vertical="bottom"/>
    </xf>
    <xf borderId="6" fillId="21" fontId="3" numFmtId="0" xfId="0" applyAlignment="1" applyBorder="1" applyFill="1" applyFont="1">
      <alignment horizontal="center" vertical="bottom"/>
    </xf>
    <xf borderId="6" fillId="22" fontId="3" numFmtId="0" xfId="0" applyAlignment="1" applyBorder="1" applyFill="1" applyFont="1">
      <alignment horizontal="center" vertical="bottom"/>
    </xf>
    <xf borderId="6" fillId="23" fontId="3" numFmtId="0" xfId="0" applyAlignment="1" applyBorder="1" applyFill="1" applyFont="1">
      <alignment horizontal="center" vertical="bottom"/>
    </xf>
    <xf borderId="6" fillId="24" fontId="3" numFmtId="0" xfId="0" applyAlignment="1" applyBorder="1" applyFill="1" applyFont="1">
      <alignment horizontal="center" vertical="bottom"/>
    </xf>
    <xf borderId="6" fillId="25" fontId="3" numFmtId="0" xfId="0" applyAlignment="1" applyBorder="1" applyFill="1" applyFont="1">
      <alignment horizontal="center" vertical="bottom"/>
    </xf>
    <xf borderId="6" fillId="26" fontId="3" numFmtId="0" xfId="0" applyAlignment="1" applyBorder="1" applyFill="1" applyFont="1">
      <alignment horizontal="center" vertical="bottom"/>
    </xf>
    <xf borderId="6" fillId="27" fontId="3" numFmtId="0" xfId="0" applyAlignment="1" applyBorder="1" applyFill="1" applyFont="1">
      <alignment horizontal="center" vertical="bottom"/>
    </xf>
    <xf borderId="6" fillId="28" fontId="3" numFmtId="0" xfId="0" applyAlignment="1" applyBorder="1" applyFill="1" applyFont="1">
      <alignment horizontal="center" vertical="bottom"/>
    </xf>
    <xf borderId="6" fillId="29" fontId="3" numFmtId="0" xfId="0" applyAlignment="1" applyBorder="1" applyFill="1" applyFont="1">
      <alignment horizontal="center" vertical="bottom"/>
    </xf>
    <xf borderId="0" fillId="0" fontId="1" numFmtId="0" xfId="0" applyAlignment="1" applyFont="1">
      <alignment horizontal="center"/>
    </xf>
    <xf borderId="6" fillId="12" fontId="3" numFmtId="0" xfId="0" applyAlignment="1" applyBorder="1" applyFont="1">
      <alignment horizontal="center" readingOrder="0" vertical="bottom"/>
    </xf>
    <xf borderId="0" fillId="30" fontId="5" numFmtId="0" xfId="0" applyAlignment="1" applyFill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6" max="16" width="12.88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1" t="s">
        <v>4</v>
      </c>
      <c r="K1" s="6" t="s">
        <v>5</v>
      </c>
      <c r="L1" s="4"/>
      <c r="M1" s="4"/>
      <c r="N1" s="4"/>
      <c r="O1" s="5"/>
      <c r="P1" s="7" t="s">
        <v>6</v>
      </c>
      <c r="Q1" s="4"/>
      <c r="R1" s="4"/>
      <c r="S1" s="4"/>
      <c r="T1" s="4"/>
      <c r="U1" s="5"/>
      <c r="Z1" s="8" t="s">
        <v>7</v>
      </c>
    </row>
    <row r="2">
      <c r="A2" s="9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1" t="s">
        <v>12</v>
      </c>
      <c r="H2" s="12" t="s">
        <v>13</v>
      </c>
      <c r="I2" s="12" t="s">
        <v>14</v>
      </c>
      <c r="J2" s="9"/>
      <c r="K2" s="10" t="s">
        <v>15</v>
      </c>
      <c r="L2" s="12" t="s">
        <v>10</v>
      </c>
      <c r="M2" s="10" t="s">
        <v>16</v>
      </c>
      <c r="N2" s="13" t="s">
        <v>17</v>
      </c>
      <c r="O2" s="13" t="s">
        <v>18</v>
      </c>
      <c r="P2" s="14" t="s">
        <v>8</v>
      </c>
      <c r="Q2" s="14">
        <v>0.0</v>
      </c>
      <c r="R2" s="14">
        <v>1.0</v>
      </c>
      <c r="S2" s="15">
        <v>2.0</v>
      </c>
      <c r="T2" s="15">
        <v>3.0</v>
      </c>
      <c r="U2" s="16" t="s">
        <v>19</v>
      </c>
      <c r="Z2" s="17" t="s">
        <v>20</v>
      </c>
    </row>
    <row r="3">
      <c r="A3" s="18" t="s">
        <v>21</v>
      </c>
      <c r="B3" s="18" t="s">
        <v>22</v>
      </c>
      <c r="C3" s="10">
        <f>IFERROR(__xludf.DUMMYFUNCTION("SUM(MAP(FILTER(Z1:Z100, Z1:Z100 &lt;&gt; """"), LAMBDA(sheet, IFERROR(VALUE(INDIRECT(""'"" &amp; sheet &amp; ""'!C3"")), 0))))"),92.0)</f>
        <v>92</v>
      </c>
      <c r="D3" s="10">
        <f>IFERROR(__xludf.DUMMYFUNCTION("SUM(MAP(FILTER(Z1:Z100, Z1:Z100 &lt;&gt; """"), LAMBDA(sheet, IFERROR(VALUE(INDIRECT(""'"" &amp; sheet &amp; ""'!d3"")), 0))))"),32.0)</f>
        <v>32</v>
      </c>
      <c r="E3" s="10">
        <f>IFERROR(__xludf.DUMMYFUNCTION("SUM(MAP(FILTER(Z1:Z100, Z1:Z100 &lt;&gt; """"), LAMBDA(sheet, IFERROR(VALUE(INDIRECT(""'"" &amp; sheet &amp; ""'!e3"")), 0))))"),15.0)</f>
        <v>15</v>
      </c>
      <c r="F3" s="10">
        <f>IFERROR(__xludf.DUMMYFUNCTION("SUM(MAP(FILTER(Z1:Z100, Z1:Z100 &lt;&gt; """"), LAMBDA(sheet, IFERROR(VALUE(INDIRECT(""'"" &amp; sheet &amp; ""'!f3"")), 0))))"),6.0)</f>
        <v>6</v>
      </c>
      <c r="G3" s="19">
        <f t="shared" ref="G3:G9" si="1">IFS(C3=0, "N/A", C3&lt;&gt;0,(D3-E3)/C3 )</f>
        <v>0.1847826087</v>
      </c>
      <c r="H3" s="10">
        <f>IFERROR(__xludf.DUMMYFUNCTION("SUM(MAP(FILTER(Z1:Z100, Z1:Z100 &lt;&gt; """"), LAMBDA(sheet, IFERROR(VALUE(INDIRECT(""'"" &amp; sheet &amp; ""'!h3"")), 0))))"),0.0)</f>
        <v>0</v>
      </c>
      <c r="I3" s="10">
        <f>IFERROR(__xludf.DUMMYFUNCTION("SUM(MAP(FILTER(Z1:Z100, Z1:Z100 &lt;&gt; """"), LAMBDA(sheet, IFERROR(VALUE(INDIRECT(""'"" &amp; sheet &amp; ""'!i73"")), 0))))"),0.0)</f>
        <v>0</v>
      </c>
      <c r="J3" s="10">
        <f>IFERROR(__xludf.DUMMYFUNCTION("SUM(MAP(FILTER(Z1:Z100, Z1:Z100 &lt;&gt; """"), LAMBDA(sheet, IFERROR(VALUE(INDIRECT(""'"" &amp; sheet &amp; ""'!j3"")), 0))))"),61.0)</f>
        <v>61</v>
      </c>
      <c r="K3" s="10">
        <f>IFERROR(__xludf.DUMMYFUNCTION("SUM(MAP(FILTER(Z1:Z100, Z1:Z100 &lt;&gt; """"), LAMBDA(sheet, IFERROR(VALUE(INDIRECT(""'"" &amp; sheet &amp; ""'!k3"")), 0))))"),5.0)</f>
        <v>5</v>
      </c>
      <c r="L3" s="10">
        <f>IFERROR(__xludf.DUMMYFUNCTION("SUM(MAP(FILTER(Z1:Z100, Z1:Z100 &lt;&gt; """"), LAMBDA(sheet, IFERROR(VALUE(INDIRECT(""'"" &amp; sheet &amp; ""'!l3"")), 0))))"),5.0)</f>
        <v>5</v>
      </c>
      <c r="M3" s="10">
        <f>IFERROR(__xludf.DUMMYFUNCTION("SUM(MAP(FILTER(Z1:Z100, Z1:Z100 &lt;&gt; """"), LAMBDA(sheet, IFERROR(VALUE(INDIRECT(""'"" &amp; sheet &amp; ""'!m3"")), 0))))"),66.0)</f>
        <v>66</v>
      </c>
      <c r="N3" s="20">
        <f t="shared" ref="N3:N9" si="2">ifs(M3=0,"N/A",M3&lt;&gt;0,(M3-L3) /M3)</f>
        <v>0.9242424242</v>
      </c>
      <c r="O3" s="20">
        <f t="shared" ref="O3:O9" si="3">IFS(M3=0, "N/A", M3&lt;&gt;0, K3/M3)</f>
        <v>0.07575757576</v>
      </c>
      <c r="P3" s="10">
        <f>IFERROR(__xludf.DUMMYFUNCTION("SUM(MAP(FILTER(Z1:Z100, Z1:Z100 &lt;&gt; """"), LAMBDA(sheet, IFERROR(VALUE(INDIRECT(""'"" &amp; sheet &amp; ""'!p3"")), 0))))"),90.0)</f>
        <v>90</v>
      </c>
      <c r="Q3" s="10">
        <f>IFERROR(__xludf.DUMMYFUNCTION("SUM(MAP(FILTER(Z1:Z100, Z1:Z100 &lt;&gt; """"), LAMBDA(sheet, IFERROR(VALUE(INDIRECT(""'"" &amp; sheet &amp; ""'!q3"")), 0))))"),15.0)</f>
        <v>15</v>
      </c>
      <c r="R3" s="10">
        <f>IFERROR(__xludf.DUMMYFUNCTION("SUM(MAP(FILTER(Z1:Z100, Z1:Z100 &lt;&gt; """"), LAMBDA(sheet, IFERROR(VALUE(INDIRECT(""'"" &amp; sheet &amp; ""'!r3"")), 0))))"),10.0)</f>
        <v>10</v>
      </c>
      <c r="S3" s="10">
        <f>IFERROR(__xludf.DUMMYFUNCTION("SUM(MAP(FILTER(Z1:Z100, Z1:Z100 &lt;&gt; """"), LAMBDA(sheet, IFERROR(VALUE(INDIRECT(""'"" &amp; sheet &amp; ""'!s3"")), 0))))"),24.0)</f>
        <v>24</v>
      </c>
      <c r="T3" s="10">
        <f>IFERROR(__xludf.DUMMYFUNCTION("SUM(MAP(FILTER(Z1:Z100, Z1:Z100 &lt;&gt; """"), LAMBDA(sheet, IFERROR(VALUE(INDIRECT(""'"" &amp; sheet &amp; ""'!t3"")), 0))))"),41.0)</f>
        <v>41</v>
      </c>
      <c r="U3" s="11">
        <f t="shared" ref="U3:U9" si="4">ifs(P3=0, "N/A",P3&lt;&gt;0,(R3 + S3*2 +T3*3)/P3)</f>
        <v>2.011111111</v>
      </c>
      <c r="Z3" s="17" t="s">
        <v>23</v>
      </c>
    </row>
    <row r="4">
      <c r="A4" s="21" t="s">
        <v>24</v>
      </c>
      <c r="B4" s="21" t="s">
        <v>22</v>
      </c>
      <c r="C4" s="10">
        <f>IFERROR(__xludf.DUMMYFUNCTION("SUM(MAP(FILTER(Z1:Z100, Z1:Z100 &lt;&gt; """"), LAMBDA(sheet, IFERROR(VALUE(INDIRECT(""'"" &amp; sheet &amp; ""'!C4"")), 0))))"),73.0)</f>
        <v>73</v>
      </c>
      <c r="D4" s="10">
        <f>IFERROR(__xludf.DUMMYFUNCTION("SUM(MAP(FILTER(Z1:Z100, Z1:Z100 &lt;&gt; """"), LAMBDA(sheet, IFERROR(VALUE(INDIRECT(""'"" &amp; sheet &amp; ""'!d4"")), 0))))"),25.0)</f>
        <v>25</v>
      </c>
      <c r="E4" s="10">
        <f>IFERROR(__xludf.DUMMYFUNCTION("SUM(MAP(FILTER(Z1:Z100, Z1:Z100 &lt;&gt; """"), LAMBDA(sheet, IFERROR(VALUE(INDIRECT(""'"" &amp; sheet &amp; ""'!e4"")), 0))))"),12.0)</f>
        <v>12</v>
      </c>
      <c r="F4" s="10">
        <f>IFERROR(__xludf.DUMMYFUNCTION("SUM(MAP(FILTER(Z1:Z100, Z1:Z100 &lt;&gt; """"), LAMBDA(sheet, IFERROR(VALUE(INDIRECT(""'"" &amp; sheet &amp; ""'!f4"")), 0))))"),34.0)</f>
        <v>34</v>
      </c>
      <c r="G4" s="19">
        <f t="shared" si="1"/>
        <v>0.1780821918</v>
      </c>
      <c r="H4" s="10">
        <f>IFERROR(__xludf.DUMMYFUNCTION("SUM(MAP(FILTER(Z1:Z100, Z1:Z100 &lt;&gt; """"), LAMBDA(sheet, IFERROR(VALUE(INDIRECT(""'"" &amp; sheet &amp; ""'!h4"")), 0))))"),2.0)</f>
        <v>2</v>
      </c>
      <c r="I4" s="10">
        <f>IFERROR(__xludf.DUMMYFUNCTION("SUM(MAP(FILTER(Z1:Z100, Z1:Z100 &lt;&gt; """"), LAMBDA(sheet, IFERROR(VALUE(INDIRECT(""'"" &amp; sheet &amp; ""'!i4"")), 0))))"),19.0)</f>
        <v>19</v>
      </c>
      <c r="J4" s="10">
        <f>IFERROR(__xludf.DUMMYFUNCTION("SUM(MAP(FILTER(Z1:Z100, Z1:Z100 &lt;&gt; """"), LAMBDA(sheet, IFERROR(VALUE(INDIRECT(""'"" &amp; sheet &amp; ""'!j4"")), 0))))"),59.0)</f>
        <v>59</v>
      </c>
      <c r="K4" s="10">
        <f>IFERROR(__xludf.DUMMYFUNCTION("SUM(MAP(FILTER(Z1:Z100, Z1:Z100 &lt;&gt; """"), LAMBDA(sheet, IFERROR(VALUE(INDIRECT(""'"" &amp; sheet &amp; ""'!k4"")), 0))))"),5.0)</f>
        <v>5</v>
      </c>
      <c r="L4" s="10">
        <f>IFERROR(__xludf.DUMMYFUNCTION("SUM(MAP(FILTER(Z1:Z100, Z1:Z100 &lt;&gt; """"), LAMBDA(sheet, IFERROR(VALUE(INDIRECT(""'"" &amp; sheet &amp; ""'!l4"")), 0))))"),4.0)</f>
        <v>4</v>
      </c>
      <c r="M4" s="10">
        <f>IFERROR(__xludf.DUMMYFUNCTION("SUM(MAP(FILTER(Z1:Z100, Z1:Z100 &lt;&gt; """"), LAMBDA(sheet, IFERROR(VALUE(INDIRECT(""'"" &amp; sheet &amp; ""'!m4"")), 0))))"),63.0)</f>
        <v>63</v>
      </c>
      <c r="N4" s="20">
        <f t="shared" si="2"/>
        <v>0.9365079365</v>
      </c>
      <c r="O4" s="20">
        <f t="shared" si="3"/>
        <v>0.07936507937</v>
      </c>
      <c r="P4" s="10">
        <f>IFERROR(__xludf.DUMMYFUNCTION("SUM(MAP(FILTER(Z1:Z100, Z1:Z100 &lt;&gt; """"), LAMBDA(sheet, IFERROR(VALUE(INDIRECT(""'"" &amp; sheet &amp; ""'!p4"")), 0))))"),54.0)</f>
        <v>54</v>
      </c>
      <c r="Q4" s="10">
        <f>IFERROR(__xludf.DUMMYFUNCTION("SUM(MAP(FILTER(Z1:Z100, Z1:Z100 &lt;&gt; """"), LAMBDA(sheet, IFERROR(VALUE(INDIRECT(""'"" &amp; sheet &amp; ""'!q4"")), 0))))"),8.0)</f>
        <v>8</v>
      </c>
      <c r="R4" s="10">
        <f>IFERROR(__xludf.DUMMYFUNCTION("SUM(MAP(FILTER(Z1:Z100, Z1:Z100 &lt;&gt; """"), LAMBDA(sheet, IFERROR(VALUE(INDIRECT(""'"" &amp; sheet &amp; ""'!r4"")), 0))))"),8.0)</f>
        <v>8</v>
      </c>
      <c r="S4" s="10">
        <f>IFERROR(__xludf.DUMMYFUNCTION("SUM(MAP(FILTER(Z1:Z100, Z1:Z100 &lt;&gt; """"), LAMBDA(sheet, IFERROR(VALUE(INDIRECT(""'"" &amp; sheet &amp; ""'!s4"")), 0))))"),10.0)</f>
        <v>10</v>
      </c>
      <c r="T4" s="10">
        <f>IFERROR(__xludf.DUMMYFUNCTION("SUM(MAP(FILTER(Z1:Z100, Z1:Z100 &lt;&gt; """"), LAMBDA(sheet, IFERROR(VALUE(INDIRECT(""'"" &amp; sheet &amp; ""'!t4"")), 0))))"),28.0)</f>
        <v>28</v>
      </c>
      <c r="U4" s="11">
        <f t="shared" si="4"/>
        <v>2.074074074</v>
      </c>
      <c r="Z4" s="17" t="s">
        <v>25</v>
      </c>
    </row>
    <row r="5">
      <c r="A5" s="22" t="s">
        <v>26</v>
      </c>
      <c r="B5" s="22" t="s">
        <v>22</v>
      </c>
      <c r="C5" s="10">
        <f>IFERROR(__xludf.DUMMYFUNCTION("SUM(MAP(FILTER(Z1:Z100, Z1:Z100 &lt;&gt; """"), LAMBDA(sheet, IFERROR(VALUE(INDIRECT(""'"" &amp; sheet &amp; ""'!C5"")), 0))))"),25.0)</f>
        <v>25</v>
      </c>
      <c r="D5" s="10">
        <f>IFERROR(__xludf.DUMMYFUNCTION("SUM(MAP(FILTER(Z1:Z101, Z1:Z101 &lt;&gt; """"), LAMBDA(sheet, IFERROR(VALUE(INDIRECT(""'"" &amp; sheet &amp; ""'!d5"")), 0))))"),6.0)</f>
        <v>6</v>
      </c>
      <c r="E5" s="10">
        <f>IFERROR(__xludf.DUMMYFUNCTION("SUM(MAP(FILTER(Z1:Z100, Z1:Z100 &lt;&gt; """"), LAMBDA(sheet, IFERROR(VALUE(INDIRECT(""'"" &amp; sheet &amp; ""'!e5"")), 0))))"),1.0)</f>
        <v>1</v>
      </c>
      <c r="F5" s="10">
        <f>IFERROR(__xludf.DUMMYFUNCTION("SUM(MAP(FILTER(Z1:Z100, Z1:Z100 &lt;&gt; """"), LAMBDA(sheet, IFERROR(VALUE(INDIRECT(""'"" &amp; sheet &amp; ""'!f5"")), 0))))"),138.0)</f>
        <v>138</v>
      </c>
      <c r="G5" s="19">
        <f t="shared" si="1"/>
        <v>0.2</v>
      </c>
      <c r="H5" s="10">
        <f>IFERROR(__xludf.DUMMYFUNCTION("SUM(MAP(FILTER(Z1:Z100, Z1:Z100 &lt;&gt; """"), LAMBDA(sheet, IFERROR(VALUE(INDIRECT(""'"" &amp; sheet &amp; ""'!h5"")), 0))))"),2.0)</f>
        <v>2</v>
      </c>
      <c r="I5" s="10">
        <f>IFERROR(__xludf.DUMMYFUNCTION("SUM(MAP(FILTER(Z1:Z100, Z1:Z100 &lt;&gt; """"), LAMBDA(sheet, IFERROR(VALUE(INDIRECT(""'"" &amp; sheet &amp; ""'!i5"")), 0))))"),15.0)</f>
        <v>15</v>
      </c>
      <c r="J5" s="10">
        <f>IFERROR(__xludf.DUMMYFUNCTION("SUM(MAP(FILTER(Z1:Z100, Z1:Z100 &lt;&gt; """"), LAMBDA(sheet, IFERROR(VALUE(INDIRECT(""'"" &amp; sheet &amp; ""'!j5"")), 0))))"),43.0)</f>
        <v>43</v>
      </c>
      <c r="K5" s="10">
        <f>IFERROR(__xludf.DUMMYFUNCTION("SUM(MAP(FILTER(Z1:Z100, Z1:Z100 &lt;&gt; """"), LAMBDA(sheet, IFERROR(VALUE(INDIRECT(""'"" &amp; sheet &amp; ""'!k5"")), 0))))"),12.0)</f>
        <v>12</v>
      </c>
      <c r="L5" s="10">
        <f>IFERROR(__xludf.DUMMYFUNCTION("SUM(MAP(FILTER(Z1:Z100, Z1:Z100 &lt;&gt; """"), LAMBDA(sheet, IFERROR(VALUE(INDIRECT(""'"" &amp; sheet &amp; ""'!l5"")), 0))))"),4.0)</f>
        <v>4</v>
      </c>
      <c r="M5" s="10">
        <f>IFERROR(__xludf.DUMMYFUNCTION("SUM(MAP(FILTER(Z1:Z100, Z1:Z100 &lt;&gt; """"), LAMBDA(sheet, IFERROR(VALUE(INDIRECT(""'"" &amp; sheet &amp; ""'!m5"")), 0))))"),102.0)</f>
        <v>102</v>
      </c>
      <c r="N5" s="20">
        <f t="shared" si="2"/>
        <v>0.9607843137</v>
      </c>
      <c r="O5" s="20">
        <f t="shared" si="3"/>
        <v>0.1176470588</v>
      </c>
      <c r="P5" s="10">
        <f>IFERROR(__xludf.DUMMYFUNCTION("SUM(MAP(FILTER(Z1:Z100, Z1:Z100 &lt;&gt; """"), LAMBDA(sheet, IFERROR(VALUE(INDIRECT(""'"" &amp; sheet &amp; ""'!p5"")), 0))))"),13.0)</f>
        <v>13</v>
      </c>
      <c r="Q5" s="10">
        <f>IFERROR(__xludf.DUMMYFUNCTION("SUM(MAP(FILTER(Z1:Z100, Z1:Z100 &lt;&gt; """"), LAMBDA(sheet, IFERROR(VALUE(INDIRECT(""'"" &amp; sheet &amp; ""'!q5"")), 0))))"),3.0)</f>
        <v>3</v>
      </c>
      <c r="R5" s="10">
        <f>IFERROR(__xludf.DUMMYFUNCTION("SUM(MAP(FILTER(Z1:Z100, Z1:Z100 &lt;&gt; """"), LAMBDA(sheet, IFERROR(VALUE(INDIRECT(""'"" &amp; sheet &amp; ""'!r5"")), 0))))"),5.0)</f>
        <v>5</v>
      </c>
      <c r="S5" s="10">
        <f>IFERROR(__xludf.DUMMYFUNCTION("SUM(MAP(FILTER(Z1:Z100, Z1:Z100 &lt;&gt; """"), LAMBDA(sheet, IFERROR(VALUE(INDIRECT(""'"" &amp; sheet &amp; ""'!s5"")), 0))))"),4.0)</f>
        <v>4</v>
      </c>
      <c r="T5" s="10">
        <f>IFERROR(__xludf.DUMMYFUNCTION("SUM(MAP(FILTER(Z1:Z100, Z1:Z100 &lt;&gt; """"), LAMBDA(sheet, IFERROR(VALUE(INDIRECT(""'"" &amp; sheet &amp; ""'!t5"")), 0))))"),1.0)</f>
        <v>1</v>
      </c>
      <c r="U5" s="11">
        <f t="shared" si="4"/>
        <v>1.230769231</v>
      </c>
      <c r="Z5" s="17" t="s">
        <v>27</v>
      </c>
    </row>
    <row r="6">
      <c r="A6" s="23" t="s">
        <v>28</v>
      </c>
      <c r="B6" s="23" t="s">
        <v>22</v>
      </c>
      <c r="C6" s="10">
        <f>IFERROR(__xludf.DUMMYFUNCTION("SUM(MAP(FILTER(Z1:Z100, Z1:Z100 &lt;&gt; """"), LAMBDA(sheet, IFERROR(VALUE(INDIRECT(""'"" &amp; sheet &amp; ""'!C6"")), 0))))"),153.0)</f>
        <v>153</v>
      </c>
      <c r="D6" s="10">
        <f>IFERROR(__xludf.DUMMYFUNCTION("SUM(MAP(FILTER(Z1:Z102, Z1:Z102 &lt;&gt; """"), LAMBDA(sheet, IFERROR(VALUE(INDIRECT(""'"" &amp; sheet &amp; ""'!d6"")), 0))))"),57.0)</f>
        <v>57</v>
      </c>
      <c r="E6" s="10">
        <f>IFERROR(__xludf.DUMMYFUNCTION("SUM(MAP(FILTER(Z1:Z100, Z1:Z100 &lt;&gt; """"), LAMBDA(sheet, IFERROR(VALUE(INDIRECT(""'"" &amp; sheet &amp; ""'!e6"")), 0))))"),26.0)</f>
        <v>26</v>
      </c>
      <c r="F6" s="10">
        <f>IFERROR(__xludf.DUMMYFUNCTION("SUM(MAP(FILTER(Z1:Z100, Z1:Z100 &lt;&gt; """"), LAMBDA(sheet, IFERROR(VALUE(INDIRECT(""'"" &amp; sheet &amp; ""'!f6"")), 0))))"),3.0)</f>
        <v>3</v>
      </c>
      <c r="G6" s="19">
        <f t="shared" si="1"/>
        <v>0.2026143791</v>
      </c>
      <c r="H6" s="10">
        <f>IFERROR(__xludf.DUMMYFUNCTION("SUM(MAP(FILTER(Z1:Z100, Z1:Z100 &lt;&gt; """"), LAMBDA(sheet, IFERROR(VALUE(INDIRECT(""'"" &amp; sheet &amp; ""'!h6"")), 0))))"),1.0)</f>
        <v>1</v>
      </c>
      <c r="I6" s="10">
        <f>IFERROR(__xludf.DUMMYFUNCTION("SUM(MAP(FILTER(Z1:Z100, Z1:Z100 &lt;&gt; """"), LAMBDA(sheet, IFERROR(VALUE(INDIRECT(""'"" &amp; sheet &amp; ""'!i6"")), 0))))"),5.0)</f>
        <v>5</v>
      </c>
      <c r="J6" s="10">
        <f>IFERROR(__xludf.DUMMYFUNCTION("SUM(MAP(FILTER(Z1:Z100, Z1:Z100 &lt;&gt; """"), LAMBDA(sheet, IFERROR(VALUE(INDIRECT(""'"" &amp; sheet &amp; ""'!j6"")), 0))))"),47.0)</f>
        <v>47</v>
      </c>
      <c r="K6" s="10">
        <f>IFERROR(__xludf.DUMMYFUNCTION("SUM(MAP(FILTER(Z1:Z100, Z1:Z100 &lt;&gt; """"), LAMBDA(sheet, IFERROR(VALUE(INDIRECT(""'"" &amp; sheet &amp; ""'!k6"")), 0))))"),6.0)</f>
        <v>6</v>
      </c>
      <c r="L6" s="10">
        <f>IFERROR(__xludf.DUMMYFUNCTION("SUM(MAP(FILTER(Z1:Z100, Z1:Z100 &lt;&gt; """"), LAMBDA(sheet, IFERROR(VALUE(INDIRECT(""'"" &amp; sheet &amp; ""'!l6"")), 0))))"),8.0)</f>
        <v>8</v>
      </c>
      <c r="M6" s="10">
        <f>IFERROR(__xludf.DUMMYFUNCTION("SUM(MAP(FILTER(Z1:Z100, Z1:Z100 &lt;&gt; """"), LAMBDA(sheet, IFERROR(VALUE(INDIRECT(""'"" &amp; sheet &amp; ""'!m6"")), 0))))"),59.0)</f>
        <v>59</v>
      </c>
      <c r="N6" s="20">
        <f t="shared" si="2"/>
        <v>0.8644067797</v>
      </c>
      <c r="O6" s="20">
        <f t="shared" si="3"/>
        <v>0.1016949153</v>
      </c>
      <c r="P6" s="10">
        <f>IFERROR(__xludf.DUMMYFUNCTION("SUM(MAP(FILTER(Z1:Z100, Z1:Z100 &lt;&gt; """"), LAMBDA(sheet, IFERROR(VALUE(INDIRECT(""'"" &amp; sheet &amp; ""'!p6"")), 0))))"),106.0)</f>
        <v>106</v>
      </c>
      <c r="Q6" s="10">
        <f>IFERROR(__xludf.DUMMYFUNCTION("SUM(MAP(FILTER(Z1:Z100, Z1:Z100 &lt;&gt; """"), LAMBDA(sheet, IFERROR(VALUE(INDIRECT(""'"" &amp; sheet &amp; ""'!q6"")), 0))))"),23.0)</f>
        <v>23</v>
      </c>
      <c r="R6" s="10">
        <f>IFERROR(__xludf.DUMMYFUNCTION("SUM(MAP(FILTER(Z1:Z100, Z1:Z100 &lt;&gt; """"), LAMBDA(sheet, IFERROR(VALUE(INDIRECT(""'"" &amp; sheet &amp; ""'!r6"")), 0))))"),26.0)</f>
        <v>26</v>
      </c>
      <c r="S6" s="10">
        <f>IFERROR(__xludf.DUMMYFUNCTION("SUM(MAP(FILTER(Z1:Z100, Z1:Z100 &lt;&gt; """"), LAMBDA(sheet, IFERROR(VALUE(INDIRECT(""'"" &amp; sheet &amp; ""'!s6"")), 0))))"),21.0)</f>
        <v>21</v>
      </c>
      <c r="T6" s="10">
        <f>IFERROR(__xludf.DUMMYFUNCTION("SUM(MAP(FILTER(Z1:Z100, Z1:Z100 &lt;&gt; """"), LAMBDA(sheet, IFERROR(VALUE(INDIRECT(""'"" &amp; sheet &amp; ""'!t6"")), 0))))"),36.0)</f>
        <v>36</v>
      </c>
      <c r="U6" s="11">
        <f t="shared" si="4"/>
        <v>1.660377358</v>
      </c>
      <c r="Z6" s="17" t="s">
        <v>29</v>
      </c>
    </row>
    <row r="7">
      <c r="A7" s="24" t="s">
        <v>30</v>
      </c>
      <c r="B7" s="24" t="s">
        <v>22</v>
      </c>
      <c r="C7" s="10">
        <f>IFERROR(__xludf.DUMMYFUNCTION("SUM(MAP(FILTER(Z1:Z100, Z1:Z100 &lt;&gt; """"), LAMBDA(sheet, IFERROR(VALUE(INDIRECT(""'"" &amp; sheet &amp; ""'!C7"")), 0))))"),153.0)</f>
        <v>153</v>
      </c>
      <c r="D7" s="10">
        <f>IFERROR(__xludf.DUMMYFUNCTION("SUM(MAP(FILTER(Z1:Z104, Z1:Z104 &lt;&gt; """"), LAMBDA(sheet, IFERROR(VALUE(INDIRECT(""'"" &amp; sheet &amp; ""'!d7"")), 0))))"),58.0)</f>
        <v>58</v>
      </c>
      <c r="E7" s="10">
        <f>IFERROR(__xludf.DUMMYFUNCTION("SUM(MAP(FILTER(Z1:Z100, Z1:Z100 &lt;&gt; """"), LAMBDA(sheet, IFERROR(VALUE(INDIRECT(""'"" &amp; sheet &amp; ""'!e7"")), 0))))"),24.0)</f>
        <v>24</v>
      </c>
      <c r="F7" s="10">
        <f>IFERROR(__xludf.DUMMYFUNCTION("SUM(MAP(FILTER(Z1:Z100, Z1:Z100 &lt;&gt; """"), LAMBDA(sheet, IFERROR(VALUE(INDIRECT(""'"" &amp; sheet &amp; ""'!f7""), 0)))))"),0.0)</f>
        <v>0</v>
      </c>
      <c r="G7" s="19">
        <f t="shared" si="1"/>
        <v>0.2222222222</v>
      </c>
      <c r="H7" s="10">
        <f>IFERROR(__xludf.DUMMYFUNCTION("SUM(MAP(FILTER(Z1:Z100, Z1:Z100 &lt;&gt; """"), LAMBDA(sheet, IFERROR(VALUE(INDIRECT(""'"" &amp; sheet &amp; ""'!h7"")), 0))))"),0.0)</f>
        <v>0</v>
      </c>
      <c r="I7" s="10">
        <f>IFERROR(__xludf.DUMMYFUNCTION("SUM(MAP(FILTER(Z1:Z100, Z1:Z100 &lt;&gt; """"), LAMBDA(sheet, IFERROR(VALUE(INDIRECT(""'"" &amp; sheet &amp; ""'!i7"")), 0))))"),1.0)</f>
        <v>1</v>
      </c>
      <c r="J7" s="10">
        <f>IFERROR(__xludf.DUMMYFUNCTION("SUM(MAP(FILTER(Z1:Z100, Z1:Z100 &lt;&gt; """"), LAMBDA(sheet, IFERROR(VALUE(INDIRECT(""'"" &amp; sheet &amp; ""'!j7"")), 0))))"),52.0)</f>
        <v>52</v>
      </c>
      <c r="K7" s="10">
        <f>IFERROR(__xludf.DUMMYFUNCTION("SUM(MAP(FILTER(Z1:Z100, Z1:Z100 &lt;&gt; """"), LAMBDA(sheet, IFERROR(VALUE(INDIRECT(""'"" &amp; sheet &amp; ""'!k7"")), 0))))"),4.0)</f>
        <v>4</v>
      </c>
      <c r="L7" s="10">
        <f>IFERROR(__xludf.DUMMYFUNCTION("SUM(MAP(FILTER(Z1:Z100, Z1:Z100 &lt;&gt; """"), LAMBDA(sheet, IFERROR(VALUE(INDIRECT(""'"" &amp; sheet &amp; ""'!l7"")), 0))))"),14.0)</f>
        <v>14</v>
      </c>
      <c r="M7" s="10">
        <f>IFERROR(__xludf.DUMMYFUNCTION("SUM(MAP(FILTER(Z1:Z100, Z1:Z100 &lt;&gt; """"), LAMBDA(sheet, IFERROR(VALUE(INDIRECT(""'"" &amp; sheet &amp; ""'!m7"")), 0))))"),72.0)</f>
        <v>72</v>
      </c>
      <c r="N7" s="20">
        <f t="shared" si="2"/>
        <v>0.8055555556</v>
      </c>
      <c r="O7" s="20">
        <f t="shared" si="3"/>
        <v>0.05555555556</v>
      </c>
      <c r="P7" s="10">
        <f>IFERROR(__xludf.DUMMYFUNCTION("SUM(MAP(FILTER(Z1:Z100, Z1:Z100 &lt;&gt; """"), LAMBDA(sheet, IFERROR(VALUE(INDIRECT(""'"" &amp; sheet &amp; ""'!p7"")), 0))))"),64.0)</f>
        <v>64</v>
      </c>
      <c r="Q7" s="10">
        <f>IFERROR(__xludf.DUMMYFUNCTION("SUM(MAP(FILTER(Z1:Z100, Z1:Z100 &lt;&gt; """"), LAMBDA(sheet, IFERROR(VALUE(INDIRECT(""'"" &amp; sheet &amp; ""'!q7"")), 0))))"),15.0)</f>
        <v>15</v>
      </c>
      <c r="R7" s="10">
        <f>IFERROR(__xludf.DUMMYFUNCTION("SUM(MAP(FILTER(Z1:Z100, Z1:Z100 &lt;&gt; """"), LAMBDA(sheet, IFERROR(VALUE(INDIRECT(""'"" &amp; sheet &amp; ""'!r7"")), 0))))"),19.0)</f>
        <v>19</v>
      </c>
      <c r="S7" s="10">
        <f>IFERROR(__xludf.DUMMYFUNCTION("SUM(MAP(FILTER(Z1:Z100, Z1:Z100 &lt;&gt; """"), LAMBDA(sheet, IFERROR(VALUE(INDIRECT(""'"" &amp; sheet &amp; ""'!s7"")), 0))))"),14.0)</f>
        <v>14</v>
      </c>
      <c r="T7" s="10">
        <f>IFERROR(__xludf.DUMMYFUNCTION("SUM(MAP(FILTER(Z1:Z100, Z1:Z100 &lt;&gt; """"), LAMBDA(sheet, IFERROR(VALUE(INDIRECT(""'"" &amp; sheet &amp; ""'!t7"")), 0))))"),16.0)</f>
        <v>16</v>
      </c>
      <c r="U7" s="11">
        <f t="shared" si="4"/>
        <v>1.484375</v>
      </c>
      <c r="Z7" s="17" t="s">
        <v>31</v>
      </c>
    </row>
    <row r="8">
      <c r="A8" s="25" t="s">
        <v>32</v>
      </c>
      <c r="B8" s="25" t="s">
        <v>22</v>
      </c>
      <c r="C8" s="10">
        <f>IFERROR(__xludf.DUMMYFUNCTION("SUM(MAP(FILTER(Z1:Z100, Z1:Z100 &lt;&gt; """"), LAMBDA(sheet, IFERROR(VALUE(INDIRECT(""'"" &amp; sheet &amp; ""'!C8"")), 0))))"),113.0)</f>
        <v>113</v>
      </c>
      <c r="D8" s="10">
        <f>IFERROR(__xludf.DUMMYFUNCTION("SUM(MAP(FILTER(Z1:Z104, Z1:Z104 &lt;&gt; """"), LAMBDA(sheet, IFERROR(VALUE(INDIRECT(""'"" &amp; sheet &amp; ""'!d8"")), 0))))"),25.0)</f>
        <v>25</v>
      </c>
      <c r="E8" s="10">
        <f>IFERROR(__xludf.DUMMYFUNCTION("SUM(MAP(FILTER(Z1:Z100, Z1:Z100 &lt;&gt; """"), LAMBDA(sheet, IFERROR(VALUE(INDIRECT(""'"" &amp; sheet &amp; ""'!e8"")), 0))))"),32.0)</f>
        <v>32</v>
      </c>
      <c r="F8" s="10">
        <f>IFERROR(__xludf.DUMMYFUNCTION("SUM(MAP(FILTER(Z1:Z100, Z1:Z100 &lt;&gt; """"), LAMBDA(sheet, IFERROR(VALUE(INDIRECT(""'"" &amp; sheet &amp; ""'!f8"")), 0))))"),1.0)</f>
        <v>1</v>
      </c>
      <c r="G8" s="19">
        <f t="shared" si="1"/>
        <v>-0.06194690265</v>
      </c>
      <c r="H8" s="10">
        <f>IFERROR(__xludf.DUMMYFUNCTION("SUM(MAP(FILTER(Z1:Z100, Z1:Z100 &lt;&gt; """"), LAMBDA(sheet, IFERROR(VALUE(INDIRECT(""'"" &amp; sheet &amp; ""'!h8"")), 0))))"),0.0)</f>
        <v>0</v>
      </c>
      <c r="I8" s="10">
        <f>IFERROR(__xludf.DUMMYFUNCTION("SUM(MAP(FILTER(Z1:Z100, Z1:Z100 &lt;&gt; """"), LAMBDA(sheet, IFERROR(VALUE(INDIRECT(""'"" &amp; sheet &amp; ""'!i8"")), 0))))"),7.0)</f>
        <v>7</v>
      </c>
      <c r="J8" s="10">
        <f>IFERROR(__xludf.DUMMYFUNCTION("SUM(MAP(FILTER(Z1:Z100, Z1:Z100 &lt;&gt; """"), LAMBDA(sheet, IFERROR(VALUE(INDIRECT(""'"" &amp; sheet &amp; ""'!j8"")), 0))))"),41.0)</f>
        <v>41</v>
      </c>
      <c r="K8" s="10">
        <f>IFERROR(__xludf.DUMMYFUNCTION("SUM(MAP(FILTER(Z1:Z100, Z1:Z100 &lt;&gt; """"), LAMBDA(sheet, IFERROR(VALUE(INDIRECT(""'"" &amp; sheet &amp; ""'!k8"")), 0))))"),6.0)</f>
        <v>6</v>
      </c>
      <c r="L8" s="10">
        <f>IFERROR(__xludf.DUMMYFUNCTION("SUM(MAP(FILTER(Z1:Z100, Z1:Z100 &lt;&gt; """"), LAMBDA(sheet, IFERROR(VALUE(INDIRECT(""'"" &amp; sheet &amp; ""'!l8"")), 0))))"),13.0)</f>
        <v>13</v>
      </c>
      <c r="M8" s="10">
        <f>IFERROR(__xludf.DUMMYFUNCTION("SUM(MAP(FILTER(Z1:Z100, Z1:Z100 &lt;&gt; """"), LAMBDA(sheet, IFERROR(VALUE(INDIRECT(""'"" &amp; sheet &amp; ""'!m8"")), 0))))"),90.0)</f>
        <v>90</v>
      </c>
      <c r="N8" s="20">
        <f t="shared" si="2"/>
        <v>0.8555555556</v>
      </c>
      <c r="O8" s="20">
        <f t="shared" si="3"/>
        <v>0.06666666667</v>
      </c>
      <c r="P8" s="10">
        <f>IFERROR(__xludf.DUMMYFUNCTION("SUM(MAP(FILTER(Z1:Z100, Z1:Z100 &lt;&gt; """"), LAMBDA(sheet, IFERROR(VALUE(INDIRECT(""'"" &amp; sheet &amp; ""'!p8"")), 0))))"),63.0)</f>
        <v>63</v>
      </c>
      <c r="Q8" s="10">
        <f>IFERROR(__xludf.DUMMYFUNCTION("SUM(MAP(FILTER(Z1:Z100, Z1:Z100 &lt;&gt; """"), LAMBDA(sheet, IFERROR(VALUE(INDIRECT(""'"" &amp; sheet &amp; ""'!q8"")), 0))))"),20.0)</f>
        <v>20</v>
      </c>
      <c r="R8" s="10">
        <f>IFERROR(__xludf.DUMMYFUNCTION("SUM(MAP(FILTER(Z1:Z100, Z1:Z100 &lt;&gt; """"), LAMBDA(sheet, IFERROR(VALUE(INDIRECT(""'"" &amp; sheet &amp; ""'!r8"")), 0))))"),16.0)</f>
        <v>16</v>
      </c>
      <c r="S8" s="10">
        <f>IFERROR(__xludf.DUMMYFUNCTION("SUM(MAP(FILTER(Z1:Z100, Z1:Z100 &lt;&gt; """"), LAMBDA(sheet, IFERROR(VALUE(INDIRECT(""'"" &amp; sheet &amp; ""'!s8"")), 0))))"),9.0)</f>
        <v>9</v>
      </c>
      <c r="T8" s="10">
        <f>IFERROR(__xludf.DUMMYFUNCTION("SUM(MAP(FILTER(Z1:Z100, Z1:Z100 &lt;&gt; """"), LAMBDA(sheet, IFERROR(VALUE(INDIRECT(""'"" &amp; sheet &amp; ""'!t8"")), 0))))"),18.0)</f>
        <v>18</v>
      </c>
      <c r="U8" s="11">
        <f t="shared" si="4"/>
        <v>1.396825397</v>
      </c>
      <c r="Z8" s="17" t="s">
        <v>33</v>
      </c>
    </row>
    <row r="9">
      <c r="A9" s="26" t="s">
        <v>34</v>
      </c>
      <c r="B9" s="26" t="s">
        <v>22</v>
      </c>
      <c r="C9" s="10">
        <f>IFERROR(__xludf.DUMMYFUNCTION("SUM(MAP(FILTER(Z1:Z100, Z1:Z100 &lt;&gt; """"), LAMBDA(sheet, IFERROR(VALUE(INDIRECT(""'"" &amp; sheet &amp; ""'!C9"")), 0))))"),67.0)</f>
        <v>67</v>
      </c>
      <c r="D9" s="10">
        <f>IFERROR(__xludf.DUMMYFUNCTION("SUM(MAP(FILTER(Z1:Z104, Z1:Z104 &lt;&gt; """"), LAMBDA(sheet, IFERROR(VALUE(INDIRECT(""'"" &amp; sheet &amp; ""'!d9"")), 0))))"),13.0)</f>
        <v>13</v>
      </c>
      <c r="E9" s="10">
        <f>IFERROR(__xludf.DUMMYFUNCTION("SUM(MAP(FILTER(Z1:Z100, Z1:Z100 &lt;&gt; """"), LAMBDA(sheet, IFERROR(VALUE(INDIRECT(""'"" &amp; sheet &amp; ""'!e9"")), 0))))"),10.0)</f>
        <v>10</v>
      </c>
      <c r="F9" s="10">
        <f>IFERROR(__xludf.DUMMYFUNCTION("SUM(MAP(FILTER(Z1:Z100, Z1:Z100 &lt;&gt; """"), LAMBDA(sheet, IFERROR(VALUE(INDIRECT(""'"" &amp; sheet &amp; ""'!f9"")), 0))))"),3.0)</f>
        <v>3</v>
      </c>
      <c r="G9" s="19">
        <f t="shared" si="1"/>
        <v>0.0447761194</v>
      </c>
      <c r="H9" s="10">
        <f>IFERROR(__xludf.DUMMYFUNCTION("SUM(MAP(FILTER(Z1:Z100, Z1:Z100 &lt;&gt; """"), LAMBDA(sheet, IFERROR(VALUE(INDIRECT(""'"" &amp; sheet &amp; ""'!h9"")), 0))))"),0.0)</f>
        <v>0</v>
      </c>
      <c r="I9" s="10">
        <f>IFERROR(__xludf.DUMMYFUNCTION("SUM(MAP(FILTER(Z1:Z100, Z1:Z100 &lt;&gt; """"), LAMBDA(sheet, IFERROR(VALUE(INDIRECT(""'"" &amp; sheet &amp; ""'!i9"")), 0))))"),1.0)</f>
        <v>1</v>
      </c>
      <c r="J9" s="10">
        <f>IFERROR(__xludf.DUMMYFUNCTION("SUM(MAP(FILTER(Z1:Z100, Z1:Z100 &lt;&gt; """"), LAMBDA(sheet, IFERROR(VALUE(INDIRECT(""'"" &amp; sheet &amp; ""'!j9"")), 0))))"),25.0)</f>
        <v>25</v>
      </c>
      <c r="K9" s="10">
        <f>IFERROR(__xludf.DUMMYFUNCTION("SUM(MAP(FILTER(Z1:Z100, Z1:Z100 &lt;&gt; """"), LAMBDA(sheet, IFERROR(VALUE(INDIRECT(""'"" &amp; sheet &amp; ""'!k9"")), 0))))"),2.0)</f>
        <v>2</v>
      </c>
      <c r="L9" s="10">
        <f>IFERROR(__xludf.DUMMYFUNCTION("SUM(MAP(FILTER(Z1:Z100, Z1:Z100 &lt;&gt; """"), LAMBDA(sheet, IFERROR(VALUE(INDIRECT(""'"" &amp; sheet &amp; ""'!l9"")), 0))))"),9.0)</f>
        <v>9</v>
      </c>
      <c r="M9" s="10">
        <f>IFERROR(__xludf.DUMMYFUNCTION("SUM(MAP(FILTER(Z1:Z100, Z1:Z100 &lt;&gt; """"), LAMBDA(sheet, IFERROR(VALUE(INDIRECT(""'"" &amp; sheet &amp; ""'!m9"")), 0))))"),38.0)</f>
        <v>38</v>
      </c>
      <c r="N9" s="20">
        <f t="shared" si="2"/>
        <v>0.7631578947</v>
      </c>
      <c r="O9" s="20">
        <f t="shared" si="3"/>
        <v>0.05263157895</v>
      </c>
      <c r="P9" s="10">
        <f>IFERROR(__xludf.DUMMYFUNCTION("SUM(MAP(FILTER(Z1:Z100, Z1:Z100 &lt;&gt; """"), LAMBDA(sheet, IFERROR(VALUE(INDIRECT(""'"" &amp; sheet &amp; ""'!p9"")), 0))))"),30.0)</f>
        <v>30</v>
      </c>
      <c r="Q9" s="10">
        <f>IFERROR(__xludf.DUMMYFUNCTION("SUM(MAP(FILTER(Z1:Z100, Z1:Z100 &lt;&gt; """"), LAMBDA(sheet, IFERROR(VALUE(INDIRECT(""'"" &amp; sheet &amp; ""'!q9"")), 0))))"),12.0)</f>
        <v>12</v>
      </c>
      <c r="R9" s="10">
        <f>IFERROR(__xludf.DUMMYFUNCTION("SUM(MAP(FILTER(Z1:Z100, Z1:Z100 &lt;&gt; """"), LAMBDA(sheet, IFERROR(VALUE(INDIRECT(""'"" &amp; sheet &amp; ""'!r9"")), 0))))"),7.0)</f>
        <v>7</v>
      </c>
      <c r="S9" s="10">
        <f>IFERROR(__xludf.DUMMYFUNCTION("SUM(MAP(FILTER(Z1:Z100, Z1:Z100 &lt;&gt; """"), LAMBDA(sheet, IFERROR(VALUE(INDIRECT(""'"" &amp; sheet &amp; ""'!s9"")), 0))))"),7.0)</f>
        <v>7</v>
      </c>
      <c r="T9" s="10">
        <f>IFERROR(__xludf.DUMMYFUNCTION("SUM(MAP(FILTER(Z1:Z100, Z1:Z100 &lt;&gt; """"), LAMBDA(sheet, IFERROR(VALUE(INDIRECT(""'"" &amp; sheet &amp; ""'!t9"")), 0))))"),4.0)</f>
        <v>4</v>
      </c>
      <c r="U9" s="11">
        <f t="shared" si="4"/>
        <v>1.1</v>
      </c>
      <c r="Z9" s="17" t="s">
        <v>35</v>
      </c>
    </row>
    <row r="10">
      <c r="C10" s="27"/>
      <c r="D10" s="27"/>
      <c r="E10" s="27"/>
      <c r="F10" s="10"/>
      <c r="N10" s="28"/>
      <c r="O10" s="28"/>
      <c r="U10" s="28"/>
    </row>
    <row r="11">
      <c r="N11" s="28"/>
      <c r="O11" s="28"/>
      <c r="U11" s="28"/>
    </row>
    <row r="12">
      <c r="N12" s="28"/>
      <c r="O12" s="28"/>
      <c r="U12" s="28"/>
    </row>
    <row r="13">
      <c r="N13" s="28"/>
      <c r="O13" s="28"/>
      <c r="U13" s="28"/>
    </row>
    <row r="14">
      <c r="N14" s="28"/>
      <c r="O14" s="28"/>
      <c r="T14" s="17" t="s">
        <v>36</v>
      </c>
      <c r="U14" s="28"/>
    </row>
    <row r="15">
      <c r="E15" s="27"/>
      <c r="N15" s="28"/>
      <c r="O15" s="28"/>
      <c r="U15" s="28"/>
    </row>
    <row r="16">
      <c r="C16" s="27"/>
      <c r="E16" s="27"/>
      <c r="N16" s="28"/>
      <c r="O16" s="28"/>
      <c r="U16" s="28"/>
    </row>
    <row r="17">
      <c r="E17" s="27"/>
      <c r="F17" s="29"/>
      <c r="N17" s="28"/>
      <c r="O17" s="28"/>
      <c r="U17" s="28"/>
    </row>
    <row r="18">
      <c r="E18" s="27"/>
      <c r="N18" s="28"/>
      <c r="O18" s="28"/>
      <c r="U18" s="28"/>
    </row>
    <row r="19">
      <c r="E19" s="27"/>
      <c r="N19" s="28"/>
      <c r="O19" s="28"/>
      <c r="U19" s="28"/>
    </row>
    <row r="20">
      <c r="E20" s="27"/>
      <c r="N20" s="28"/>
      <c r="O20" s="28"/>
      <c r="U20" s="28"/>
    </row>
    <row r="21">
      <c r="E21" s="27"/>
      <c r="N21" s="28"/>
      <c r="O21" s="28"/>
      <c r="U21" s="28"/>
    </row>
    <row r="22">
      <c r="N22" s="28"/>
      <c r="O22" s="28"/>
      <c r="U22" s="28"/>
    </row>
    <row r="23">
      <c r="N23" s="28"/>
      <c r="O23" s="28"/>
      <c r="U23" s="28"/>
    </row>
    <row r="24">
      <c r="N24" s="28"/>
      <c r="O24" s="28"/>
      <c r="U24" s="28"/>
    </row>
    <row r="25">
      <c r="N25" s="28"/>
      <c r="O25" s="28"/>
      <c r="U25" s="28"/>
    </row>
    <row r="26">
      <c r="N26" s="28"/>
      <c r="O26" s="28"/>
      <c r="U26" s="28"/>
    </row>
    <row r="27">
      <c r="N27" s="28"/>
      <c r="O27" s="28"/>
      <c r="U27" s="28"/>
    </row>
    <row r="28">
      <c r="N28" s="28"/>
      <c r="O28" s="28"/>
      <c r="U28" s="28"/>
    </row>
    <row r="29">
      <c r="N29" s="28"/>
      <c r="O29" s="28"/>
      <c r="U29" s="28"/>
    </row>
    <row r="30">
      <c r="N30" s="28"/>
      <c r="O30" s="28"/>
      <c r="U30" s="28"/>
    </row>
    <row r="31">
      <c r="N31" s="28"/>
      <c r="O31" s="28"/>
      <c r="U31" s="28"/>
    </row>
    <row r="32">
      <c r="N32" s="28"/>
      <c r="O32" s="28"/>
      <c r="U32" s="28"/>
    </row>
    <row r="33">
      <c r="N33" s="28"/>
      <c r="O33" s="28"/>
      <c r="U33" s="28"/>
    </row>
    <row r="34">
      <c r="N34" s="28"/>
      <c r="O34" s="28"/>
      <c r="U34" s="28"/>
    </row>
    <row r="35">
      <c r="N35" s="28"/>
      <c r="O35" s="28"/>
      <c r="U35" s="28"/>
    </row>
    <row r="36">
      <c r="N36" s="28"/>
      <c r="O36" s="28"/>
      <c r="U36" s="28"/>
    </row>
    <row r="37">
      <c r="N37" s="28"/>
      <c r="O37" s="28"/>
      <c r="U37" s="28"/>
    </row>
    <row r="38">
      <c r="N38" s="28"/>
      <c r="O38" s="28"/>
      <c r="U38" s="28"/>
    </row>
    <row r="39">
      <c r="N39" s="28"/>
      <c r="O39" s="28"/>
      <c r="U39" s="28"/>
    </row>
    <row r="40">
      <c r="N40" s="28"/>
      <c r="O40" s="28"/>
      <c r="U40" s="28"/>
    </row>
    <row r="41">
      <c r="N41" s="28"/>
      <c r="O41" s="28"/>
      <c r="U41" s="28"/>
    </row>
    <row r="42">
      <c r="N42" s="28"/>
      <c r="O42" s="28"/>
      <c r="U42" s="28"/>
    </row>
    <row r="43">
      <c r="N43" s="28"/>
      <c r="O43" s="28"/>
      <c r="U43" s="28"/>
    </row>
    <row r="44">
      <c r="N44" s="28"/>
      <c r="O44" s="28"/>
      <c r="U44" s="28"/>
    </row>
    <row r="45">
      <c r="N45" s="28"/>
      <c r="O45" s="28"/>
      <c r="U45" s="28"/>
    </row>
    <row r="46">
      <c r="N46" s="28"/>
      <c r="O46" s="28"/>
      <c r="U46" s="28"/>
    </row>
    <row r="47">
      <c r="N47" s="28"/>
      <c r="O47" s="28"/>
      <c r="U47" s="28"/>
    </row>
    <row r="48">
      <c r="N48" s="28"/>
      <c r="O48" s="28"/>
      <c r="U48" s="28"/>
    </row>
    <row r="49">
      <c r="N49" s="28"/>
      <c r="O49" s="28"/>
      <c r="U49" s="28"/>
    </row>
    <row r="50">
      <c r="N50" s="28"/>
      <c r="O50" s="28"/>
      <c r="U50" s="28"/>
    </row>
    <row r="51">
      <c r="N51" s="28"/>
      <c r="O51" s="28"/>
      <c r="U51" s="28"/>
    </row>
    <row r="52">
      <c r="N52" s="28"/>
      <c r="O52" s="28"/>
      <c r="U52" s="28"/>
    </row>
    <row r="53">
      <c r="N53" s="28"/>
      <c r="O53" s="28"/>
      <c r="U53" s="28"/>
    </row>
    <row r="54">
      <c r="N54" s="28"/>
      <c r="O54" s="28"/>
      <c r="U54" s="28"/>
    </row>
    <row r="55">
      <c r="N55" s="28"/>
      <c r="O55" s="28"/>
      <c r="U55" s="28"/>
    </row>
    <row r="56">
      <c r="N56" s="28"/>
      <c r="O56" s="28"/>
      <c r="U56" s="28"/>
    </row>
    <row r="57">
      <c r="N57" s="28"/>
      <c r="O57" s="28"/>
      <c r="U57" s="28"/>
    </row>
    <row r="58">
      <c r="N58" s="28"/>
      <c r="O58" s="28"/>
      <c r="U58" s="28"/>
    </row>
    <row r="59">
      <c r="N59" s="28"/>
      <c r="O59" s="28"/>
      <c r="U59" s="28"/>
    </row>
    <row r="60">
      <c r="N60" s="28"/>
      <c r="O60" s="28"/>
      <c r="U60" s="28"/>
    </row>
    <row r="61">
      <c r="N61" s="28"/>
      <c r="O61" s="28"/>
      <c r="U61" s="28"/>
    </row>
    <row r="62">
      <c r="N62" s="28"/>
      <c r="O62" s="28"/>
      <c r="U62" s="28"/>
    </row>
    <row r="63">
      <c r="N63" s="28"/>
      <c r="O63" s="28"/>
      <c r="U63" s="28"/>
    </row>
    <row r="64">
      <c r="N64" s="28"/>
      <c r="O64" s="28"/>
      <c r="U64" s="28"/>
    </row>
    <row r="65">
      <c r="N65" s="28"/>
      <c r="O65" s="28"/>
      <c r="U65" s="28"/>
    </row>
    <row r="66">
      <c r="N66" s="28"/>
      <c r="O66" s="28"/>
      <c r="U66" s="28"/>
    </row>
    <row r="67">
      <c r="N67" s="28"/>
      <c r="O67" s="28"/>
      <c r="U67" s="28"/>
    </row>
    <row r="68">
      <c r="N68" s="28"/>
      <c r="O68" s="28"/>
      <c r="U68" s="28"/>
    </row>
    <row r="69">
      <c r="N69" s="28"/>
      <c r="O69" s="28"/>
      <c r="U69" s="28"/>
    </row>
    <row r="70">
      <c r="N70" s="28"/>
      <c r="O70" s="28"/>
      <c r="U70" s="28"/>
    </row>
    <row r="71">
      <c r="N71" s="28"/>
      <c r="O71" s="28"/>
      <c r="U71" s="28"/>
    </row>
    <row r="72">
      <c r="N72" s="28"/>
      <c r="O72" s="28"/>
      <c r="U72" s="28"/>
    </row>
    <row r="73">
      <c r="N73" s="28"/>
      <c r="O73" s="28"/>
      <c r="U73" s="28"/>
    </row>
    <row r="74">
      <c r="N74" s="28"/>
      <c r="O74" s="28"/>
      <c r="U74" s="28"/>
    </row>
    <row r="75">
      <c r="N75" s="28"/>
      <c r="O75" s="28"/>
      <c r="U75" s="28"/>
    </row>
    <row r="76">
      <c r="N76" s="28"/>
      <c r="O76" s="28"/>
      <c r="U76" s="28"/>
    </row>
    <row r="77">
      <c r="N77" s="28"/>
      <c r="O77" s="28"/>
      <c r="U77" s="28"/>
    </row>
    <row r="78">
      <c r="N78" s="28"/>
      <c r="O78" s="28"/>
      <c r="U78" s="28"/>
    </row>
    <row r="79">
      <c r="N79" s="28"/>
      <c r="O79" s="28"/>
      <c r="U79" s="28"/>
    </row>
    <row r="80">
      <c r="N80" s="28"/>
      <c r="O80" s="28"/>
      <c r="U80" s="28"/>
    </row>
    <row r="81">
      <c r="N81" s="28"/>
      <c r="O81" s="28"/>
      <c r="U81" s="28"/>
    </row>
    <row r="82">
      <c r="N82" s="28"/>
      <c r="O82" s="28"/>
      <c r="U82" s="28"/>
    </row>
    <row r="83">
      <c r="N83" s="28"/>
      <c r="O83" s="28"/>
      <c r="U83" s="28"/>
    </row>
    <row r="84">
      <c r="N84" s="28"/>
      <c r="O84" s="28"/>
      <c r="U84" s="28"/>
    </row>
    <row r="85">
      <c r="N85" s="28"/>
      <c r="O85" s="28"/>
      <c r="U85" s="28"/>
    </row>
    <row r="86">
      <c r="N86" s="28"/>
      <c r="O86" s="28"/>
      <c r="U86" s="28"/>
    </row>
    <row r="87">
      <c r="N87" s="28"/>
      <c r="O87" s="28"/>
      <c r="U87" s="28"/>
    </row>
    <row r="88">
      <c r="N88" s="28"/>
      <c r="O88" s="28"/>
      <c r="U88" s="28"/>
    </row>
    <row r="89">
      <c r="N89" s="28"/>
      <c r="O89" s="28"/>
      <c r="U89" s="28"/>
    </row>
    <row r="90">
      <c r="N90" s="28"/>
      <c r="O90" s="28"/>
      <c r="U90" s="28"/>
    </row>
    <row r="91">
      <c r="N91" s="28"/>
      <c r="O91" s="28"/>
      <c r="U91" s="28"/>
    </row>
    <row r="92">
      <c r="N92" s="28"/>
      <c r="O92" s="28"/>
      <c r="U92" s="28"/>
    </row>
    <row r="93">
      <c r="N93" s="28"/>
      <c r="O93" s="28"/>
      <c r="U93" s="28"/>
    </row>
    <row r="94">
      <c r="N94" s="28"/>
      <c r="O94" s="28"/>
      <c r="U94" s="28"/>
    </row>
    <row r="95">
      <c r="N95" s="28"/>
      <c r="O95" s="28"/>
      <c r="U95" s="28"/>
    </row>
    <row r="96">
      <c r="N96" s="28"/>
      <c r="O96" s="28"/>
      <c r="U96" s="28"/>
    </row>
    <row r="97">
      <c r="N97" s="28"/>
      <c r="O97" s="28"/>
      <c r="U97" s="28"/>
    </row>
    <row r="98">
      <c r="N98" s="28"/>
      <c r="O98" s="28"/>
      <c r="U98" s="28"/>
    </row>
    <row r="99">
      <c r="N99" s="28"/>
      <c r="O99" s="28"/>
      <c r="U99" s="28"/>
    </row>
    <row r="100">
      <c r="N100" s="28"/>
      <c r="O100" s="28"/>
      <c r="U100" s="28"/>
    </row>
    <row r="101">
      <c r="N101" s="28"/>
      <c r="O101" s="28"/>
      <c r="U101" s="28"/>
    </row>
    <row r="102">
      <c r="N102" s="28"/>
      <c r="O102" s="28"/>
      <c r="U102" s="28"/>
    </row>
    <row r="103">
      <c r="N103" s="28"/>
      <c r="O103" s="28"/>
      <c r="U103" s="28"/>
    </row>
    <row r="104">
      <c r="N104" s="28"/>
      <c r="O104" s="28"/>
      <c r="U104" s="28"/>
    </row>
    <row r="105">
      <c r="N105" s="28"/>
      <c r="O105" s="28"/>
      <c r="U105" s="28"/>
    </row>
    <row r="106">
      <c r="N106" s="28"/>
      <c r="O106" s="28"/>
      <c r="U106" s="28"/>
    </row>
    <row r="107">
      <c r="N107" s="28"/>
      <c r="O107" s="28"/>
      <c r="U107" s="28"/>
    </row>
    <row r="108">
      <c r="N108" s="28"/>
      <c r="O108" s="28"/>
      <c r="U108" s="28"/>
    </row>
    <row r="109">
      <c r="N109" s="28"/>
      <c r="O109" s="28"/>
      <c r="U109" s="28"/>
    </row>
    <row r="110">
      <c r="N110" s="28"/>
      <c r="O110" s="28"/>
      <c r="U110" s="28"/>
    </row>
    <row r="111">
      <c r="N111" s="28"/>
      <c r="O111" s="28"/>
      <c r="U111" s="28"/>
    </row>
    <row r="112">
      <c r="N112" s="28"/>
      <c r="O112" s="28"/>
      <c r="U112" s="28"/>
    </row>
    <row r="113">
      <c r="N113" s="28"/>
      <c r="O113" s="28"/>
      <c r="U113" s="28"/>
    </row>
    <row r="114">
      <c r="N114" s="28"/>
      <c r="O114" s="28"/>
      <c r="U114" s="28"/>
    </row>
    <row r="115">
      <c r="N115" s="28"/>
      <c r="O115" s="28"/>
      <c r="U115" s="28"/>
    </row>
    <row r="116">
      <c r="N116" s="28"/>
      <c r="O116" s="28"/>
      <c r="U116" s="28"/>
    </row>
    <row r="117">
      <c r="N117" s="28"/>
      <c r="O117" s="28"/>
      <c r="U117" s="28"/>
    </row>
    <row r="118">
      <c r="N118" s="28"/>
      <c r="O118" s="28"/>
      <c r="U118" s="28"/>
    </row>
    <row r="119">
      <c r="N119" s="28"/>
      <c r="O119" s="28"/>
      <c r="U119" s="28"/>
    </row>
    <row r="120">
      <c r="N120" s="28"/>
      <c r="O120" s="28"/>
      <c r="U120" s="28"/>
    </row>
    <row r="121">
      <c r="N121" s="28"/>
      <c r="O121" s="28"/>
      <c r="U121" s="28"/>
    </row>
    <row r="122">
      <c r="N122" s="28"/>
      <c r="O122" s="28"/>
      <c r="U122" s="28"/>
    </row>
    <row r="123">
      <c r="N123" s="28"/>
      <c r="O123" s="28"/>
      <c r="U123" s="28"/>
    </row>
    <row r="124">
      <c r="N124" s="28"/>
      <c r="O124" s="28"/>
      <c r="U124" s="28"/>
    </row>
    <row r="125">
      <c r="N125" s="28"/>
      <c r="O125" s="28"/>
      <c r="U125" s="28"/>
    </row>
    <row r="126">
      <c r="N126" s="28"/>
      <c r="O126" s="28"/>
      <c r="U126" s="28"/>
    </row>
    <row r="127">
      <c r="N127" s="28"/>
      <c r="O127" s="28"/>
      <c r="U127" s="28"/>
    </row>
    <row r="128">
      <c r="N128" s="28"/>
      <c r="O128" s="28"/>
      <c r="U128" s="28"/>
    </row>
    <row r="129">
      <c r="N129" s="28"/>
      <c r="O129" s="28"/>
      <c r="U129" s="28"/>
    </row>
    <row r="130">
      <c r="N130" s="28"/>
      <c r="O130" s="28"/>
      <c r="U130" s="28"/>
    </row>
    <row r="131">
      <c r="N131" s="28"/>
      <c r="O131" s="28"/>
      <c r="U131" s="28"/>
    </row>
    <row r="132">
      <c r="N132" s="28"/>
      <c r="O132" s="28"/>
      <c r="U132" s="28"/>
    </row>
    <row r="133">
      <c r="N133" s="28"/>
      <c r="O133" s="28"/>
      <c r="U133" s="28"/>
    </row>
    <row r="134">
      <c r="N134" s="28"/>
      <c r="O134" s="28"/>
      <c r="U134" s="28"/>
    </row>
    <row r="135">
      <c r="N135" s="28"/>
      <c r="O135" s="28"/>
      <c r="U135" s="28"/>
    </row>
    <row r="136">
      <c r="N136" s="28"/>
      <c r="O136" s="28"/>
      <c r="U136" s="28"/>
    </row>
    <row r="137">
      <c r="N137" s="28"/>
      <c r="O137" s="28"/>
      <c r="U137" s="28"/>
    </row>
    <row r="138">
      <c r="N138" s="28"/>
      <c r="O138" s="28"/>
      <c r="U138" s="28"/>
    </row>
    <row r="139">
      <c r="N139" s="28"/>
      <c r="O139" s="28"/>
      <c r="U139" s="28"/>
    </row>
    <row r="140">
      <c r="N140" s="28"/>
      <c r="O140" s="28"/>
      <c r="U140" s="28"/>
    </row>
    <row r="141">
      <c r="N141" s="28"/>
      <c r="O141" s="28"/>
      <c r="U141" s="28"/>
    </row>
    <row r="142">
      <c r="N142" s="28"/>
      <c r="O142" s="28"/>
      <c r="U142" s="28"/>
    </row>
    <row r="143">
      <c r="N143" s="28"/>
      <c r="O143" s="28"/>
      <c r="U143" s="28"/>
    </row>
    <row r="144">
      <c r="N144" s="28"/>
      <c r="O144" s="28"/>
      <c r="U144" s="28"/>
    </row>
    <row r="145">
      <c r="N145" s="28"/>
      <c r="O145" s="28"/>
      <c r="U145" s="28"/>
    </row>
    <row r="146">
      <c r="N146" s="28"/>
      <c r="O146" s="28"/>
      <c r="U146" s="28"/>
    </row>
    <row r="147">
      <c r="N147" s="28"/>
      <c r="O147" s="28"/>
      <c r="U147" s="28"/>
    </row>
    <row r="148">
      <c r="N148" s="28"/>
      <c r="O148" s="28"/>
      <c r="U148" s="28"/>
    </row>
    <row r="149">
      <c r="N149" s="28"/>
      <c r="O149" s="28"/>
      <c r="U149" s="28"/>
    </row>
    <row r="150">
      <c r="N150" s="28"/>
      <c r="O150" s="28"/>
      <c r="U150" s="28"/>
    </row>
    <row r="151">
      <c r="N151" s="28"/>
      <c r="O151" s="28"/>
      <c r="U151" s="28"/>
    </row>
    <row r="152">
      <c r="N152" s="28"/>
      <c r="O152" s="28"/>
      <c r="U152" s="28"/>
    </row>
    <row r="153">
      <c r="N153" s="28"/>
      <c r="O153" s="28"/>
      <c r="U153" s="28"/>
    </row>
    <row r="154">
      <c r="N154" s="28"/>
      <c r="O154" s="28"/>
      <c r="U154" s="28"/>
    </row>
    <row r="155">
      <c r="N155" s="28"/>
      <c r="O155" s="28"/>
      <c r="U155" s="28"/>
    </row>
    <row r="156">
      <c r="N156" s="28"/>
      <c r="O156" s="28"/>
      <c r="U156" s="28"/>
    </row>
    <row r="157">
      <c r="N157" s="28"/>
      <c r="O157" s="28"/>
      <c r="U157" s="28"/>
    </row>
    <row r="158">
      <c r="N158" s="28"/>
      <c r="O158" s="28"/>
      <c r="U158" s="28"/>
    </row>
    <row r="159">
      <c r="N159" s="28"/>
      <c r="O159" s="28"/>
      <c r="U159" s="28"/>
    </row>
    <row r="160">
      <c r="N160" s="28"/>
      <c r="O160" s="28"/>
      <c r="U160" s="28"/>
    </row>
    <row r="161">
      <c r="N161" s="28"/>
      <c r="O161" s="28"/>
      <c r="U161" s="28"/>
    </row>
    <row r="162">
      <c r="N162" s="28"/>
      <c r="O162" s="28"/>
      <c r="U162" s="28"/>
    </row>
    <row r="163">
      <c r="N163" s="28"/>
      <c r="O163" s="28"/>
      <c r="U163" s="28"/>
    </row>
    <row r="164">
      <c r="N164" s="28"/>
      <c r="O164" s="28"/>
      <c r="U164" s="28"/>
    </row>
    <row r="165">
      <c r="N165" s="28"/>
      <c r="O165" s="28"/>
      <c r="U165" s="28"/>
    </row>
    <row r="166">
      <c r="N166" s="28"/>
      <c r="O166" s="28"/>
      <c r="U166" s="28"/>
    </row>
    <row r="167">
      <c r="N167" s="28"/>
      <c r="O167" s="28"/>
      <c r="U167" s="28"/>
    </row>
    <row r="168">
      <c r="N168" s="28"/>
      <c r="O168" s="28"/>
      <c r="U168" s="28"/>
    </row>
    <row r="169">
      <c r="N169" s="28"/>
      <c r="O169" s="28"/>
      <c r="U169" s="28"/>
    </row>
    <row r="170">
      <c r="N170" s="28"/>
      <c r="O170" s="28"/>
      <c r="U170" s="28"/>
    </row>
    <row r="171">
      <c r="N171" s="28"/>
      <c r="O171" s="28"/>
      <c r="U171" s="28"/>
    </row>
    <row r="172">
      <c r="N172" s="28"/>
      <c r="O172" s="28"/>
      <c r="U172" s="28"/>
    </row>
    <row r="173">
      <c r="N173" s="28"/>
      <c r="O173" s="28"/>
      <c r="U173" s="28"/>
    </row>
    <row r="174">
      <c r="N174" s="28"/>
      <c r="O174" s="28"/>
      <c r="U174" s="28"/>
    </row>
    <row r="175">
      <c r="N175" s="28"/>
      <c r="O175" s="28"/>
      <c r="U175" s="28"/>
    </row>
    <row r="176">
      <c r="N176" s="28"/>
      <c r="O176" s="28"/>
      <c r="U176" s="28"/>
    </row>
    <row r="177">
      <c r="N177" s="28"/>
      <c r="O177" s="28"/>
      <c r="U177" s="28"/>
    </row>
    <row r="178">
      <c r="N178" s="28"/>
      <c r="O178" s="28"/>
      <c r="U178" s="28"/>
    </row>
    <row r="179">
      <c r="N179" s="28"/>
      <c r="O179" s="28"/>
      <c r="U179" s="28"/>
    </row>
    <row r="180">
      <c r="N180" s="28"/>
      <c r="O180" s="28"/>
      <c r="U180" s="28"/>
    </row>
    <row r="181">
      <c r="N181" s="28"/>
      <c r="O181" s="28"/>
      <c r="U181" s="28"/>
    </row>
    <row r="182">
      <c r="N182" s="28"/>
      <c r="O182" s="28"/>
      <c r="U182" s="28"/>
    </row>
    <row r="183">
      <c r="N183" s="28"/>
      <c r="O183" s="28"/>
      <c r="U183" s="28"/>
    </row>
    <row r="184">
      <c r="N184" s="28"/>
      <c r="O184" s="28"/>
      <c r="U184" s="28"/>
    </row>
    <row r="185">
      <c r="N185" s="28"/>
      <c r="O185" s="28"/>
      <c r="U185" s="28"/>
    </row>
    <row r="186">
      <c r="N186" s="28"/>
      <c r="O186" s="28"/>
      <c r="U186" s="28"/>
    </row>
    <row r="187">
      <c r="N187" s="28"/>
      <c r="O187" s="28"/>
      <c r="U187" s="28"/>
    </row>
    <row r="188">
      <c r="N188" s="28"/>
      <c r="O188" s="28"/>
      <c r="U188" s="28"/>
    </row>
    <row r="189">
      <c r="N189" s="28"/>
      <c r="O189" s="28"/>
      <c r="U189" s="28"/>
    </row>
    <row r="190">
      <c r="N190" s="28"/>
      <c r="O190" s="28"/>
      <c r="U190" s="28"/>
    </row>
    <row r="191">
      <c r="N191" s="28"/>
      <c r="O191" s="28"/>
      <c r="U191" s="28"/>
    </row>
    <row r="192">
      <c r="N192" s="28"/>
      <c r="O192" s="28"/>
      <c r="U192" s="28"/>
    </row>
    <row r="193">
      <c r="N193" s="28"/>
      <c r="O193" s="28"/>
      <c r="U193" s="28"/>
    </row>
    <row r="194">
      <c r="N194" s="28"/>
      <c r="O194" s="28"/>
      <c r="U194" s="28"/>
    </row>
    <row r="195">
      <c r="N195" s="28"/>
      <c r="O195" s="28"/>
      <c r="U195" s="28"/>
    </row>
    <row r="196">
      <c r="N196" s="28"/>
      <c r="O196" s="28"/>
      <c r="U196" s="28"/>
    </row>
    <row r="197">
      <c r="N197" s="28"/>
      <c r="O197" s="28"/>
      <c r="U197" s="28"/>
    </row>
    <row r="198">
      <c r="N198" s="28"/>
      <c r="O198" s="28"/>
      <c r="U198" s="28"/>
    </row>
    <row r="199">
      <c r="N199" s="28"/>
      <c r="O199" s="28"/>
      <c r="U199" s="28"/>
    </row>
    <row r="200">
      <c r="N200" s="28"/>
      <c r="O200" s="28"/>
      <c r="U200" s="28"/>
    </row>
    <row r="201">
      <c r="N201" s="28"/>
      <c r="O201" s="28"/>
      <c r="U201" s="28"/>
    </row>
    <row r="202">
      <c r="N202" s="28"/>
      <c r="O202" s="28"/>
      <c r="U202" s="28"/>
    </row>
    <row r="203">
      <c r="N203" s="28"/>
      <c r="O203" s="28"/>
      <c r="U203" s="28"/>
    </row>
    <row r="204">
      <c r="N204" s="28"/>
      <c r="O204" s="28"/>
      <c r="U204" s="28"/>
    </row>
    <row r="205">
      <c r="N205" s="28"/>
      <c r="O205" s="28"/>
      <c r="U205" s="28"/>
    </row>
    <row r="206">
      <c r="N206" s="28"/>
      <c r="O206" s="28"/>
      <c r="U206" s="28"/>
    </row>
    <row r="207">
      <c r="N207" s="28"/>
      <c r="O207" s="28"/>
      <c r="U207" s="28"/>
    </row>
    <row r="208">
      <c r="N208" s="28"/>
      <c r="O208" s="28"/>
      <c r="U208" s="28"/>
    </row>
    <row r="209">
      <c r="N209" s="28"/>
      <c r="O209" s="28"/>
      <c r="U209" s="28"/>
    </row>
    <row r="210">
      <c r="N210" s="28"/>
      <c r="O210" s="28"/>
      <c r="U210" s="28"/>
    </row>
    <row r="211">
      <c r="N211" s="28"/>
      <c r="O211" s="28"/>
      <c r="U211" s="28"/>
    </row>
    <row r="212">
      <c r="N212" s="28"/>
      <c r="O212" s="28"/>
      <c r="U212" s="28"/>
    </row>
    <row r="213">
      <c r="N213" s="28"/>
      <c r="O213" s="28"/>
      <c r="U213" s="28"/>
    </row>
    <row r="214">
      <c r="N214" s="28"/>
      <c r="O214" s="28"/>
      <c r="U214" s="28"/>
    </row>
    <row r="215">
      <c r="N215" s="28"/>
      <c r="O215" s="28"/>
      <c r="U215" s="28"/>
    </row>
    <row r="216">
      <c r="N216" s="28"/>
      <c r="O216" s="28"/>
      <c r="U216" s="28"/>
    </row>
    <row r="217">
      <c r="N217" s="28"/>
      <c r="O217" s="28"/>
      <c r="U217" s="28"/>
    </row>
    <row r="218">
      <c r="N218" s="28"/>
      <c r="O218" s="28"/>
      <c r="U218" s="28"/>
    </row>
    <row r="219">
      <c r="N219" s="28"/>
      <c r="O219" s="28"/>
      <c r="U219" s="28"/>
    </row>
    <row r="220">
      <c r="N220" s="28"/>
      <c r="O220" s="28"/>
      <c r="U220" s="28"/>
    </row>
    <row r="221">
      <c r="N221" s="28"/>
      <c r="O221" s="28"/>
      <c r="U221" s="28"/>
    </row>
    <row r="222">
      <c r="N222" s="28"/>
      <c r="O222" s="28"/>
      <c r="U222" s="28"/>
    </row>
    <row r="223">
      <c r="N223" s="28"/>
      <c r="O223" s="28"/>
      <c r="U223" s="28"/>
    </row>
    <row r="224">
      <c r="N224" s="28"/>
      <c r="O224" s="28"/>
      <c r="U224" s="28"/>
    </row>
    <row r="225">
      <c r="N225" s="28"/>
      <c r="O225" s="28"/>
      <c r="U225" s="28"/>
    </row>
    <row r="226">
      <c r="N226" s="28"/>
      <c r="O226" s="28"/>
      <c r="U226" s="28"/>
    </row>
    <row r="227">
      <c r="N227" s="28"/>
      <c r="O227" s="28"/>
      <c r="U227" s="28"/>
    </row>
    <row r="228">
      <c r="N228" s="28"/>
      <c r="O228" s="28"/>
      <c r="U228" s="28"/>
    </row>
    <row r="229">
      <c r="N229" s="28"/>
      <c r="O229" s="28"/>
      <c r="U229" s="28"/>
    </row>
    <row r="230">
      <c r="N230" s="28"/>
      <c r="O230" s="28"/>
      <c r="U230" s="28"/>
    </row>
    <row r="231">
      <c r="N231" s="28"/>
      <c r="O231" s="28"/>
      <c r="U231" s="28"/>
    </row>
    <row r="232">
      <c r="N232" s="28"/>
      <c r="O232" s="28"/>
      <c r="U232" s="28"/>
    </row>
    <row r="233">
      <c r="N233" s="28"/>
      <c r="O233" s="28"/>
      <c r="U233" s="28"/>
    </row>
    <row r="234">
      <c r="N234" s="28"/>
      <c r="O234" s="28"/>
      <c r="U234" s="28"/>
    </row>
    <row r="235">
      <c r="N235" s="28"/>
      <c r="O235" s="28"/>
      <c r="U235" s="28"/>
    </row>
    <row r="236">
      <c r="N236" s="28"/>
      <c r="O236" s="28"/>
      <c r="U236" s="28"/>
    </row>
    <row r="237">
      <c r="N237" s="28"/>
      <c r="O237" s="28"/>
      <c r="U237" s="28"/>
    </row>
    <row r="238">
      <c r="N238" s="28"/>
      <c r="O238" s="28"/>
      <c r="U238" s="28"/>
    </row>
    <row r="239">
      <c r="N239" s="28"/>
      <c r="O239" s="28"/>
      <c r="U239" s="28"/>
    </row>
    <row r="240">
      <c r="N240" s="28"/>
      <c r="O240" s="28"/>
      <c r="U240" s="28"/>
    </row>
    <row r="241">
      <c r="N241" s="28"/>
      <c r="O241" s="28"/>
      <c r="U241" s="28"/>
    </row>
    <row r="242">
      <c r="N242" s="28"/>
      <c r="O242" s="28"/>
      <c r="U242" s="28"/>
    </row>
    <row r="243">
      <c r="N243" s="28"/>
      <c r="O243" s="28"/>
      <c r="U243" s="28"/>
    </row>
    <row r="244">
      <c r="N244" s="28"/>
      <c r="O244" s="28"/>
      <c r="U244" s="28"/>
    </row>
    <row r="245">
      <c r="N245" s="28"/>
      <c r="O245" s="28"/>
      <c r="U245" s="28"/>
    </row>
    <row r="246">
      <c r="N246" s="28"/>
      <c r="O246" s="28"/>
      <c r="U246" s="28"/>
    </row>
    <row r="247">
      <c r="N247" s="28"/>
      <c r="O247" s="28"/>
      <c r="U247" s="28"/>
    </row>
    <row r="248">
      <c r="N248" s="28"/>
      <c r="O248" s="28"/>
      <c r="U248" s="28"/>
    </row>
    <row r="249">
      <c r="N249" s="28"/>
      <c r="O249" s="28"/>
      <c r="U249" s="28"/>
    </row>
    <row r="250">
      <c r="N250" s="28"/>
      <c r="O250" s="28"/>
      <c r="U250" s="28"/>
    </row>
    <row r="251">
      <c r="N251" s="28"/>
      <c r="O251" s="28"/>
      <c r="U251" s="28"/>
    </row>
    <row r="252">
      <c r="N252" s="28"/>
      <c r="O252" s="28"/>
      <c r="U252" s="28"/>
    </row>
    <row r="253">
      <c r="N253" s="28"/>
      <c r="O253" s="28"/>
      <c r="U253" s="28"/>
    </row>
    <row r="254">
      <c r="N254" s="28"/>
      <c r="O254" s="28"/>
      <c r="U254" s="28"/>
    </row>
    <row r="255">
      <c r="N255" s="28"/>
      <c r="O255" s="28"/>
      <c r="U255" s="28"/>
    </row>
    <row r="256">
      <c r="N256" s="28"/>
      <c r="O256" s="28"/>
      <c r="U256" s="28"/>
    </row>
    <row r="257">
      <c r="N257" s="28"/>
      <c r="O257" s="28"/>
      <c r="U257" s="28"/>
    </row>
    <row r="258">
      <c r="N258" s="28"/>
      <c r="O258" s="28"/>
      <c r="U258" s="28"/>
    </row>
    <row r="259">
      <c r="N259" s="28"/>
      <c r="O259" s="28"/>
      <c r="U259" s="28"/>
    </row>
    <row r="260">
      <c r="N260" s="28"/>
      <c r="O260" s="28"/>
      <c r="U260" s="28"/>
    </row>
    <row r="261">
      <c r="N261" s="28"/>
      <c r="O261" s="28"/>
      <c r="U261" s="28"/>
    </row>
    <row r="262">
      <c r="N262" s="28"/>
      <c r="O262" s="28"/>
      <c r="U262" s="28"/>
    </row>
    <row r="263">
      <c r="N263" s="28"/>
      <c r="O263" s="28"/>
      <c r="U263" s="28"/>
    </row>
    <row r="264">
      <c r="N264" s="28"/>
      <c r="O264" s="28"/>
      <c r="U264" s="28"/>
    </row>
    <row r="265">
      <c r="N265" s="28"/>
      <c r="O265" s="28"/>
      <c r="U265" s="28"/>
    </row>
    <row r="266">
      <c r="N266" s="28"/>
      <c r="O266" s="28"/>
      <c r="U266" s="28"/>
    </row>
    <row r="267">
      <c r="N267" s="28"/>
      <c r="O267" s="28"/>
      <c r="U267" s="28"/>
    </row>
    <row r="268">
      <c r="N268" s="28"/>
      <c r="O268" s="28"/>
      <c r="U268" s="28"/>
    </row>
    <row r="269">
      <c r="N269" s="28"/>
      <c r="O269" s="28"/>
      <c r="U269" s="28"/>
    </row>
    <row r="270">
      <c r="N270" s="28"/>
      <c r="O270" s="28"/>
      <c r="U270" s="28"/>
    </row>
    <row r="271">
      <c r="N271" s="28"/>
      <c r="O271" s="28"/>
      <c r="U271" s="28"/>
    </row>
    <row r="272">
      <c r="N272" s="28"/>
      <c r="O272" s="28"/>
      <c r="U272" s="28"/>
    </row>
    <row r="273">
      <c r="N273" s="28"/>
      <c r="O273" s="28"/>
      <c r="U273" s="28"/>
    </row>
    <row r="274">
      <c r="N274" s="28"/>
      <c r="O274" s="28"/>
      <c r="U274" s="28"/>
    </row>
    <row r="275">
      <c r="N275" s="28"/>
      <c r="O275" s="28"/>
      <c r="U275" s="28"/>
    </row>
    <row r="276">
      <c r="N276" s="28"/>
      <c r="O276" s="28"/>
      <c r="U276" s="28"/>
    </row>
    <row r="277">
      <c r="N277" s="28"/>
      <c r="O277" s="28"/>
      <c r="U277" s="28"/>
    </row>
    <row r="278">
      <c r="N278" s="28"/>
      <c r="O278" s="28"/>
      <c r="U278" s="28"/>
    </row>
    <row r="279">
      <c r="N279" s="28"/>
      <c r="O279" s="28"/>
      <c r="U279" s="28"/>
    </row>
    <row r="280">
      <c r="N280" s="28"/>
      <c r="O280" s="28"/>
      <c r="U280" s="28"/>
    </row>
    <row r="281">
      <c r="N281" s="28"/>
      <c r="O281" s="28"/>
      <c r="U281" s="28"/>
    </row>
    <row r="282">
      <c r="N282" s="28"/>
      <c r="O282" s="28"/>
      <c r="U282" s="28"/>
    </row>
    <row r="283">
      <c r="N283" s="28"/>
      <c r="O283" s="28"/>
      <c r="U283" s="28"/>
    </row>
    <row r="284">
      <c r="N284" s="28"/>
      <c r="O284" s="28"/>
      <c r="U284" s="28"/>
    </row>
    <row r="285">
      <c r="N285" s="28"/>
      <c r="O285" s="28"/>
      <c r="U285" s="28"/>
    </row>
    <row r="286">
      <c r="N286" s="28"/>
      <c r="O286" s="28"/>
      <c r="U286" s="28"/>
    </row>
    <row r="287">
      <c r="N287" s="28"/>
      <c r="O287" s="28"/>
      <c r="U287" s="28"/>
    </row>
    <row r="288">
      <c r="N288" s="28"/>
      <c r="O288" s="28"/>
      <c r="U288" s="28"/>
    </row>
    <row r="289">
      <c r="N289" s="28"/>
      <c r="O289" s="28"/>
      <c r="U289" s="28"/>
    </row>
    <row r="290">
      <c r="N290" s="28"/>
      <c r="O290" s="28"/>
      <c r="U290" s="28"/>
    </row>
    <row r="291">
      <c r="N291" s="28"/>
      <c r="O291" s="28"/>
      <c r="U291" s="28"/>
    </row>
    <row r="292">
      <c r="N292" s="28"/>
      <c r="O292" s="28"/>
      <c r="U292" s="28"/>
    </row>
    <row r="293">
      <c r="N293" s="28"/>
      <c r="O293" s="28"/>
      <c r="U293" s="28"/>
    </row>
    <row r="294">
      <c r="N294" s="28"/>
      <c r="O294" s="28"/>
      <c r="U294" s="28"/>
    </row>
    <row r="295">
      <c r="N295" s="28"/>
      <c r="O295" s="28"/>
      <c r="U295" s="28"/>
    </row>
    <row r="296">
      <c r="N296" s="28"/>
      <c r="O296" s="28"/>
      <c r="U296" s="28"/>
    </row>
    <row r="297">
      <c r="N297" s="28"/>
      <c r="O297" s="28"/>
      <c r="U297" s="28"/>
    </row>
    <row r="298">
      <c r="N298" s="28"/>
      <c r="O298" s="28"/>
      <c r="U298" s="28"/>
    </row>
    <row r="299">
      <c r="N299" s="28"/>
      <c r="O299" s="28"/>
      <c r="U299" s="28"/>
    </row>
    <row r="300">
      <c r="N300" s="28"/>
      <c r="O300" s="28"/>
      <c r="U300" s="28"/>
    </row>
    <row r="301">
      <c r="N301" s="28"/>
      <c r="O301" s="28"/>
      <c r="U301" s="28"/>
    </row>
    <row r="302">
      <c r="N302" s="28"/>
      <c r="O302" s="28"/>
      <c r="U302" s="28"/>
    </row>
    <row r="303">
      <c r="N303" s="28"/>
      <c r="O303" s="28"/>
      <c r="U303" s="28"/>
    </row>
    <row r="304">
      <c r="N304" s="28"/>
      <c r="O304" s="28"/>
      <c r="U304" s="28"/>
    </row>
    <row r="305">
      <c r="N305" s="28"/>
      <c r="O305" s="28"/>
      <c r="U305" s="28"/>
    </row>
    <row r="306">
      <c r="N306" s="28"/>
      <c r="O306" s="28"/>
      <c r="U306" s="28"/>
    </row>
    <row r="307">
      <c r="N307" s="28"/>
      <c r="O307" s="28"/>
      <c r="U307" s="28"/>
    </row>
    <row r="308">
      <c r="N308" s="28"/>
      <c r="O308" s="28"/>
      <c r="U308" s="28"/>
    </row>
    <row r="309">
      <c r="N309" s="28"/>
      <c r="O309" s="28"/>
      <c r="U309" s="28"/>
    </row>
    <row r="310">
      <c r="N310" s="28"/>
      <c r="O310" s="28"/>
      <c r="U310" s="28"/>
    </row>
    <row r="311">
      <c r="N311" s="28"/>
      <c r="O311" s="28"/>
      <c r="U311" s="28"/>
    </row>
    <row r="312">
      <c r="N312" s="28"/>
      <c r="O312" s="28"/>
      <c r="U312" s="28"/>
    </row>
    <row r="313">
      <c r="N313" s="28"/>
      <c r="O313" s="28"/>
      <c r="U313" s="28"/>
    </row>
    <row r="314">
      <c r="N314" s="28"/>
      <c r="O314" s="28"/>
      <c r="U314" s="28"/>
    </row>
    <row r="315">
      <c r="N315" s="28"/>
      <c r="O315" s="28"/>
      <c r="U315" s="28"/>
    </row>
    <row r="316">
      <c r="N316" s="28"/>
      <c r="O316" s="28"/>
      <c r="U316" s="28"/>
    </row>
    <row r="317">
      <c r="N317" s="28"/>
      <c r="O317" s="28"/>
      <c r="U317" s="28"/>
    </row>
    <row r="318">
      <c r="N318" s="28"/>
      <c r="O318" s="28"/>
      <c r="U318" s="28"/>
    </row>
    <row r="319">
      <c r="N319" s="28"/>
      <c r="O319" s="28"/>
      <c r="U319" s="28"/>
    </row>
    <row r="320">
      <c r="N320" s="28"/>
      <c r="O320" s="28"/>
      <c r="U320" s="28"/>
    </row>
    <row r="321">
      <c r="N321" s="28"/>
      <c r="O321" s="28"/>
      <c r="U321" s="28"/>
    </row>
    <row r="322">
      <c r="N322" s="28"/>
      <c r="O322" s="28"/>
      <c r="U322" s="28"/>
    </row>
    <row r="323">
      <c r="N323" s="28"/>
      <c r="O323" s="28"/>
      <c r="U323" s="28"/>
    </row>
    <row r="324">
      <c r="N324" s="28"/>
      <c r="O324" s="28"/>
      <c r="U324" s="28"/>
    </row>
    <row r="325">
      <c r="N325" s="28"/>
      <c r="O325" s="28"/>
      <c r="U325" s="28"/>
    </row>
    <row r="326">
      <c r="N326" s="28"/>
      <c r="O326" s="28"/>
      <c r="U326" s="28"/>
    </row>
    <row r="327">
      <c r="N327" s="28"/>
      <c r="O327" s="28"/>
      <c r="U327" s="28"/>
    </row>
    <row r="328">
      <c r="N328" s="28"/>
      <c r="O328" s="28"/>
      <c r="U328" s="28"/>
    </row>
    <row r="329">
      <c r="N329" s="28"/>
      <c r="O329" s="28"/>
      <c r="U329" s="28"/>
    </row>
    <row r="330">
      <c r="N330" s="28"/>
      <c r="O330" s="28"/>
      <c r="U330" s="28"/>
    </row>
    <row r="331">
      <c r="N331" s="28"/>
      <c r="O331" s="28"/>
      <c r="U331" s="28"/>
    </row>
    <row r="332">
      <c r="N332" s="28"/>
      <c r="O332" s="28"/>
      <c r="U332" s="28"/>
    </row>
    <row r="333">
      <c r="N333" s="28"/>
      <c r="O333" s="28"/>
      <c r="U333" s="28"/>
    </row>
    <row r="334">
      <c r="N334" s="28"/>
      <c r="O334" s="28"/>
      <c r="U334" s="28"/>
    </row>
    <row r="335">
      <c r="N335" s="28"/>
      <c r="O335" s="28"/>
      <c r="U335" s="28"/>
    </row>
    <row r="336">
      <c r="N336" s="28"/>
      <c r="O336" s="28"/>
      <c r="U336" s="28"/>
    </row>
    <row r="337">
      <c r="N337" s="28"/>
      <c r="O337" s="28"/>
      <c r="U337" s="28"/>
    </row>
    <row r="338">
      <c r="N338" s="28"/>
      <c r="O338" s="28"/>
      <c r="U338" s="28"/>
    </row>
    <row r="339">
      <c r="N339" s="28"/>
      <c r="O339" s="28"/>
      <c r="U339" s="28"/>
    </row>
    <row r="340">
      <c r="N340" s="28"/>
      <c r="O340" s="28"/>
      <c r="U340" s="28"/>
    </row>
    <row r="341">
      <c r="N341" s="28"/>
      <c r="O341" s="28"/>
      <c r="U341" s="28"/>
    </row>
    <row r="342">
      <c r="N342" s="28"/>
      <c r="O342" s="28"/>
      <c r="U342" s="28"/>
    </row>
    <row r="343">
      <c r="N343" s="28"/>
      <c r="O343" s="28"/>
      <c r="U343" s="28"/>
    </row>
    <row r="344">
      <c r="N344" s="28"/>
      <c r="O344" s="28"/>
      <c r="U344" s="28"/>
    </row>
    <row r="345">
      <c r="N345" s="28"/>
      <c r="O345" s="28"/>
      <c r="U345" s="28"/>
    </row>
    <row r="346">
      <c r="N346" s="28"/>
      <c r="O346" s="28"/>
      <c r="U346" s="28"/>
    </row>
    <row r="347">
      <c r="N347" s="28"/>
      <c r="O347" s="28"/>
      <c r="U347" s="28"/>
    </row>
    <row r="348">
      <c r="N348" s="28"/>
      <c r="O348" s="28"/>
      <c r="U348" s="28"/>
    </row>
    <row r="349">
      <c r="N349" s="28"/>
      <c r="O349" s="28"/>
      <c r="U349" s="28"/>
    </row>
    <row r="350">
      <c r="N350" s="28"/>
      <c r="O350" s="28"/>
      <c r="U350" s="28"/>
    </row>
    <row r="351">
      <c r="N351" s="28"/>
      <c r="O351" s="28"/>
      <c r="U351" s="28"/>
    </row>
    <row r="352">
      <c r="N352" s="28"/>
      <c r="O352" s="28"/>
      <c r="U352" s="28"/>
    </row>
    <row r="353">
      <c r="N353" s="28"/>
      <c r="O353" s="28"/>
      <c r="U353" s="28"/>
    </row>
    <row r="354">
      <c r="N354" s="28"/>
      <c r="O354" s="28"/>
      <c r="U354" s="28"/>
    </row>
    <row r="355">
      <c r="N355" s="28"/>
      <c r="O355" s="28"/>
      <c r="U355" s="28"/>
    </row>
    <row r="356">
      <c r="N356" s="28"/>
      <c r="O356" s="28"/>
      <c r="U356" s="28"/>
    </row>
    <row r="357">
      <c r="N357" s="28"/>
      <c r="O357" s="28"/>
      <c r="U357" s="28"/>
    </row>
    <row r="358">
      <c r="N358" s="28"/>
      <c r="O358" s="28"/>
      <c r="U358" s="28"/>
    </row>
    <row r="359">
      <c r="N359" s="28"/>
      <c r="O359" s="28"/>
      <c r="U359" s="28"/>
    </row>
    <row r="360">
      <c r="N360" s="28"/>
      <c r="O360" s="28"/>
      <c r="U360" s="28"/>
    </row>
    <row r="361">
      <c r="N361" s="28"/>
      <c r="O361" s="28"/>
      <c r="U361" s="28"/>
    </row>
    <row r="362">
      <c r="N362" s="28"/>
      <c r="O362" s="28"/>
      <c r="U362" s="28"/>
    </row>
    <row r="363">
      <c r="N363" s="28"/>
      <c r="O363" s="28"/>
      <c r="U363" s="28"/>
    </row>
    <row r="364">
      <c r="N364" s="28"/>
      <c r="O364" s="28"/>
      <c r="U364" s="28"/>
    </row>
    <row r="365">
      <c r="N365" s="28"/>
      <c r="O365" s="28"/>
      <c r="U365" s="28"/>
    </row>
    <row r="366">
      <c r="N366" s="28"/>
      <c r="O366" s="28"/>
      <c r="U366" s="28"/>
    </row>
    <row r="367">
      <c r="N367" s="28"/>
      <c r="O367" s="28"/>
      <c r="U367" s="28"/>
    </row>
    <row r="368">
      <c r="N368" s="28"/>
      <c r="O368" s="28"/>
      <c r="U368" s="28"/>
    </row>
    <row r="369">
      <c r="N369" s="28"/>
      <c r="O369" s="28"/>
      <c r="U369" s="28"/>
    </row>
    <row r="370">
      <c r="N370" s="28"/>
      <c r="O370" s="28"/>
      <c r="U370" s="28"/>
    </row>
    <row r="371">
      <c r="N371" s="28"/>
      <c r="O371" s="28"/>
      <c r="U371" s="28"/>
    </row>
    <row r="372">
      <c r="N372" s="28"/>
      <c r="O372" s="28"/>
      <c r="U372" s="28"/>
    </row>
    <row r="373">
      <c r="N373" s="28"/>
      <c r="O373" s="28"/>
      <c r="U373" s="28"/>
    </row>
    <row r="374">
      <c r="N374" s="28"/>
      <c r="O374" s="28"/>
      <c r="U374" s="28"/>
    </row>
    <row r="375">
      <c r="N375" s="28"/>
      <c r="O375" s="28"/>
      <c r="U375" s="28"/>
    </row>
    <row r="376">
      <c r="N376" s="28"/>
      <c r="O376" s="28"/>
      <c r="U376" s="28"/>
    </row>
    <row r="377">
      <c r="N377" s="28"/>
      <c r="O377" s="28"/>
      <c r="U377" s="28"/>
    </row>
    <row r="378">
      <c r="N378" s="28"/>
      <c r="O378" s="28"/>
      <c r="U378" s="28"/>
    </row>
    <row r="379">
      <c r="N379" s="28"/>
      <c r="O379" s="28"/>
      <c r="U379" s="28"/>
    </row>
    <row r="380">
      <c r="N380" s="28"/>
      <c r="O380" s="28"/>
      <c r="U380" s="28"/>
    </row>
    <row r="381">
      <c r="N381" s="28"/>
      <c r="O381" s="28"/>
      <c r="U381" s="28"/>
    </row>
    <row r="382">
      <c r="N382" s="28"/>
      <c r="O382" s="28"/>
      <c r="U382" s="28"/>
    </row>
    <row r="383">
      <c r="N383" s="28"/>
      <c r="O383" s="28"/>
      <c r="U383" s="28"/>
    </row>
    <row r="384">
      <c r="N384" s="28"/>
      <c r="O384" s="28"/>
      <c r="U384" s="28"/>
    </row>
    <row r="385">
      <c r="N385" s="28"/>
      <c r="O385" s="28"/>
      <c r="U385" s="28"/>
    </row>
    <row r="386">
      <c r="N386" s="28"/>
      <c r="O386" s="28"/>
      <c r="U386" s="28"/>
    </row>
    <row r="387">
      <c r="N387" s="28"/>
      <c r="O387" s="28"/>
      <c r="U387" s="28"/>
    </row>
    <row r="388">
      <c r="N388" s="28"/>
      <c r="O388" s="28"/>
      <c r="U388" s="28"/>
    </row>
    <row r="389">
      <c r="N389" s="28"/>
      <c r="O389" s="28"/>
      <c r="U389" s="28"/>
    </row>
    <row r="390">
      <c r="N390" s="28"/>
      <c r="O390" s="28"/>
      <c r="U390" s="28"/>
    </row>
    <row r="391">
      <c r="N391" s="28"/>
      <c r="O391" s="28"/>
      <c r="U391" s="28"/>
    </row>
    <row r="392">
      <c r="N392" s="28"/>
      <c r="O392" s="28"/>
      <c r="U392" s="28"/>
    </row>
    <row r="393">
      <c r="N393" s="28"/>
      <c r="O393" s="28"/>
      <c r="U393" s="28"/>
    </row>
    <row r="394">
      <c r="N394" s="28"/>
      <c r="O394" s="28"/>
      <c r="U394" s="28"/>
    </row>
    <row r="395">
      <c r="N395" s="28"/>
      <c r="O395" s="28"/>
      <c r="U395" s="28"/>
    </row>
    <row r="396">
      <c r="N396" s="28"/>
      <c r="O396" s="28"/>
      <c r="U396" s="28"/>
    </row>
    <row r="397">
      <c r="N397" s="28"/>
      <c r="O397" s="28"/>
      <c r="U397" s="28"/>
    </row>
    <row r="398">
      <c r="N398" s="28"/>
      <c r="O398" s="28"/>
      <c r="U398" s="28"/>
    </row>
    <row r="399">
      <c r="N399" s="28"/>
      <c r="O399" s="28"/>
      <c r="U399" s="28"/>
    </row>
    <row r="400">
      <c r="N400" s="28"/>
      <c r="O400" s="28"/>
      <c r="U400" s="28"/>
    </row>
    <row r="401">
      <c r="N401" s="28"/>
      <c r="O401" s="28"/>
      <c r="U401" s="28"/>
    </row>
    <row r="402">
      <c r="N402" s="28"/>
      <c r="O402" s="28"/>
      <c r="U402" s="28"/>
    </row>
    <row r="403">
      <c r="N403" s="28"/>
      <c r="O403" s="28"/>
      <c r="U403" s="28"/>
    </row>
    <row r="404">
      <c r="N404" s="28"/>
      <c r="O404" s="28"/>
      <c r="U404" s="28"/>
    </row>
    <row r="405">
      <c r="N405" s="28"/>
      <c r="O405" s="28"/>
      <c r="U405" s="28"/>
    </row>
    <row r="406">
      <c r="N406" s="28"/>
      <c r="O406" s="28"/>
      <c r="U406" s="28"/>
    </row>
    <row r="407">
      <c r="N407" s="28"/>
      <c r="O407" s="28"/>
      <c r="U407" s="28"/>
    </row>
    <row r="408">
      <c r="N408" s="28"/>
      <c r="O408" s="28"/>
      <c r="U408" s="28"/>
    </row>
    <row r="409">
      <c r="N409" s="28"/>
      <c r="O409" s="28"/>
      <c r="U409" s="28"/>
    </row>
    <row r="410">
      <c r="N410" s="28"/>
      <c r="O410" s="28"/>
      <c r="U410" s="28"/>
    </row>
    <row r="411">
      <c r="N411" s="28"/>
      <c r="O411" s="28"/>
      <c r="U411" s="28"/>
    </row>
    <row r="412">
      <c r="N412" s="28"/>
      <c r="O412" s="28"/>
      <c r="U412" s="28"/>
    </row>
    <row r="413">
      <c r="N413" s="28"/>
      <c r="O413" s="28"/>
      <c r="U413" s="28"/>
    </row>
    <row r="414">
      <c r="N414" s="28"/>
      <c r="O414" s="28"/>
      <c r="U414" s="28"/>
    </row>
    <row r="415">
      <c r="N415" s="28"/>
      <c r="O415" s="28"/>
      <c r="U415" s="28"/>
    </row>
    <row r="416">
      <c r="N416" s="28"/>
      <c r="O416" s="28"/>
      <c r="U416" s="28"/>
    </row>
    <row r="417">
      <c r="N417" s="28"/>
      <c r="O417" s="28"/>
      <c r="U417" s="28"/>
    </row>
    <row r="418">
      <c r="N418" s="28"/>
      <c r="O418" s="28"/>
      <c r="U418" s="28"/>
    </row>
    <row r="419">
      <c r="N419" s="28"/>
      <c r="O419" s="28"/>
      <c r="U419" s="28"/>
    </row>
    <row r="420">
      <c r="N420" s="28"/>
      <c r="O420" s="28"/>
      <c r="U420" s="28"/>
    </row>
    <row r="421">
      <c r="N421" s="28"/>
      <c r="O421" s="28"/>
      <c r="U421" s="28"/>
    </row>
    <row r="422">
      <c r="N422" s="28"/>
      <c r="O422" s="28"/>
      <c r="U422" s="28"/>
    </row>
    <row r="423">
      <c r="N423" s="28"/>
      <c r="O423" s="28"/>
      <c r="U423" s="28"/>
    </row>
    <row r="424">
      <c r="N424" s="28"/>
      <c r="O424" s="28"/>
      <c r="U424" s="28"/>
    </row>
    <row r="425">
      <c r="N425" s="28"/>
      <c r="O425" s="28"/>
      <c r="U425" s="28"/>
    </row>
    <row r="426">
      <c r="N426" s="28"/>
      <c r="O426" s="28"/>
      <c r="U426" s="28"/>
    </row>
    <row r="427">
      <c r="N427" s="28"/>
      <c r="O427" s="28"/>
      <c r="U427" s="28"/>
    </row>
    <row r="428">
      <c r="N428" s="28"/>
      <c r="O428" s="28"/>
      <c r="U428" s="28"/>
    </row>
    <row r="429">
      <c r="N429" s="28"/>
      <c r="O429" s="28"/>
      <c r="U429" s="28"/>
    </row>
    <row r="430">
      <c r="N430" s="28"/>
      <c r="O430" s="28"/>
      <c r="U430" s="28"/>
    </row>
    <row r="431">
      <c r="N431" s="28"/>
      <c r="O431" s="28"/>
      <c r="U431" s="28"/>
    </row>
    <row r="432">
      <c r="N432" s="28"/>
      <c r="O432" s="28"/>
      <c r="U432" s="28"/>
    </row>
    <row r="433">
      <c r="N433" s="28"/>
      <c r="O433" s="28"/>
      <c r="U433" s="28"/>
    </row>
    <row r="434">
      <c r="N434" s="28"/>
      <c r="O434" s="28"/>
      <c r="U434" s="28"/>
    </row>
    <row r="435">
      <c r="N435" s="28"/>
      <c r="O435" s="28"/>
      <c r="U435" s="28"/>
    </row>
    <row r="436">
      <c r="N436" s="28"/>
      <c r="O436" s="28"/>
      <c r="U436" s="28"/>
    </row>
    <row r="437">
      <c r="N437" s="28"/>
      <c r="O437" s="28"/>
      <c r="U437" s="28"/>
    </row>
    <row r="438">
      <c r="N438" s="28"/>
      <c r="O438" s="28"/>
      <c r="U438" s="28"/>
    </row>
    <row r="439">
      <c r="N439" s="28"/>
      <c r="O439" s="28"/>
      <c r="U439" s="28"/>
    </row>
    <row r="440">
      <c r="N440" s="28"/>
      <c r="O440" s="28"/>
      <c r="U440" s="28"/>
    </row>
    <row r="441">
      <c r="N441" s="28"/>
      <c r="O441" s="28"/>
      <c r="U441" s="28"/>
    </row>
    <row r="442">
      <c r="N442" s="28"/>
      <c r="O442" s="28"/>
      <c r="U442" s="28"/>
    </row>
    <row r="443">
      <c r="N443" s="28"/>
      <c r="O443" s="28"/>
      <c r="U443" s="28"/>
    </row>
    <row r="444">
      <c r="N444" s="28"/>
      <c r="O444" s="28"/>
      <c r="U444" s="28"/>
    </row>
    <row r="445">
      <c r="N445" s="28"/>
      <c r="O445" s="28"/>
      <c r="U445" s="28"/>
    </row>
    <row r="446">
      <c r="N446" s="28"/>
      <c r="O446" s="28"/>
      <c r="U446" s="28"/>
    </row>
    <row r="447">
      <c r="N447" s="28"/>
      <c r="O447" s="28"/>
      <c r="U447" s="28"/>
    </row>
    <row r="448">
      <c r="N448" s="28"/>
      <c r="O448" s="28"/>
      <c r="U448" s="28"/>
    </row>
    <row r="449">
      <c r="N449" s="28"/>
      <c r="O449" s="28"/>
      <c r="U449" s="28"/>
    </row>
    <row r="450">
      <c r="N450" s="28"/>
      <c r="O450" s="28"/>
      <c r="U450" s="28"/>
    </row>
    <row r="451">
      <c r="N451" s="28"/>
      <c r="O451" s="28"/>
      <c r="U451" s="28"/>
    </row>
    <row r="452">
      <c r="N452" s="28"/>
      <c r="O452" s="28"/>
      <c r="U452" s="28"/>
    </row>
    <row r="453">
      <c r="N453" s="28"/>
      <c r="O453" s="28"/>
      <c r="U453" s="28"/>
    </row>
    <row r="454">
      <c r="N454" s="28"/>
      <c r="O454" s="28"/>
      <c r="U454" s="28"/>
    </row>
    <row r="455">
      <c r="N455" s="28"/>
      <c r="O455" s="28"/>
      <c r="U455" s="28"/>
    </row>
    <row r="456">
      <c r="N456" s="28"/>
      <c r="O456" s="28"/>
      <c r="U456" s="28"/>
    </row>
    <row r="457">
      <c r="N457" s="28"/>
      <c r="O457" s="28"/>
      <c r="U457" s="28"/>
    </row>
    <row r="458">
      <c r="N458" s="28"/>
      <c r="O458" s="28"/>
      <c r="U458" s="28"/>
    </row>
    <row r="459">
      <c r="N459" s="28"/>
      <c r="O459" s="28"/>
      <c r="U459" s="28"/>
    </row>
    <row r="460">
      <c r="N460" s="28"/>
      <c r="O460" s="28"/>
      <c r="U460" s="28"/>
    </row>
    <row r="461">
      <c r="N461" s="28"/>
      <c r="O461" s="28"/>
      <c r="U461" s="28"/>
    </row>
    <row r="462">
      <c r="N462" s="28"/>
      <c r="O462" s="28"/>
      <c r="U462" s="28"/>
    </row>
    <row r="463">
      <c r="N463" s="28"/>
      <c r="O463" s="28"/>
      <c r="U463" s="28"/>
    </row>
    <row r="464">
      <c r="N464" s="28"/>
      <c r="O464" s="28"/>
      <c r="U464" s="28"/>
    </row>
    <row r="465">
      <c r="N465" s="28"/>
      <c r="O465" s="28"/>
      <c r="U465" s="28"/>
    </row>
    <row r="466">
      <c r="N466" s="28"/>
      <c r="O466" s="28"/>
      <c r="U466" s="28"/>
    </row>
    <row r="467">
      <c r="N467" s="28"/>
      <c r="O467" s="28"/>
      <c r="U467" s="28"/>
    </row>
    <row r="468">
      <c r="N468" s="28"/>
      <c r="O468" s="28"/>
      <c r="U468" s="28"/>
    </row>
    <row r="469">
      <c r="N469" s="28"/>
      <c r="O469" s="28"/>
      <c r="U469" s="28"/>
    </row>
    <row r="470">
      <c r="N470" s="28"/>
      <c r="O470" s="28"/>
      <c r="U470" s="28"/>
    </row>
    <row r="471">
      <c r="N471" s="28"/>
      <c r="O471" s="28"/>
      <c r="U471" s="28"/>
    </row>
    <row r="472">
      <c r="N472" s="28"/>
      <c r="O472" s="28"/>
      <c r="U472" s="28"/>
    </row>
    <row r="473">
      <c r="N473" s="28"/>
      <c r="O473" s="28"/>
      <c r="U473" s="28"/>
    </row>
    <row r="474">
      <c r="N474" s="28"/>
      <c r="O474" s="28"/>
      <c r="U474" s="28"/>
    </row>
    <row r="475">
      <c r="N475" s="28"/>
      <c r="O475" s="28"/>
      <c r="U475" s="28"/>
    </row>
    <row r="476">
      <c r="N476" s="28"/>
      <c r="O476" s="28"/>
      <c r="U476" s="28"/>
    </row>
    <row r="477">
      <c r="N477" s="28"/>
      <c r="O477" s="28"/>
      <c r="U477" s="28"/>
    </row>
    <row r="478">
      <c r="N478" s="28"/>
      <c r="O478" s="28"/>
      <c r="U478" s="28"/>
    </row>
    <row r="479">
      <c r="N479" s="28"/>
      <c r="O479" s="28"/>
      <c r="U479" s="28"/>
    </row>
    <row r="480">
      <c r="N480" s="28"/>
      <c r="O480" s="28"/>
      <c r="U480" s="28"/>
    </row>
    <row r="481">
      <c r="N481" s="28"/>
      <c r="O481" s="28"/>
      <c r="U481" s="28"/>
    </row>
    <row r="482">
      <c r="N482" s="28"/>
      <c r="O482" s="28"/>
      <c r="U482" s="28"/>
    </row>
    <row r="483">
      <c r="N483" s="28"/>
      <c r="O483" s="28"/>
      <c r="U483" s="28"/>
    </row>
    <row r="484">
      <c r="N484" s="28"/>
      <c r="O484" s="28"/>
      <c r="U484" s="28"/>
    </row>
    <row r="485">
      <c r="N485" s="28"/>
      <c r="O485" s="28"/>
      <c r="U485" s="28"/>
    </row>
    <row r="486">
      <c r="N486" s="28"/>
      <c r="O486" s="28"/>
      <c r="U486" s="28"/>
    </row>
    <row r="487">
      <c r="N487" s="28"/>
      <c r="O487" s="28"/>
      <c r="U487" s="28"/>
    </row>
    <row r="488">
      <c r="N488" s="28"/>
      <c r="O488" s="28"/>
      <c r="U488" s="28"/>
    </row>
    <row r="489">
      <c r="N489" s="28"/>
      <c r="O489" s="28"/>
      <c r="U489" s="28"/>
    </row>
    <row r="490">
      <c r="N490" s="28"/>
      <c r="O490" s="28"/>
      <c r="U490" s="28"/>
    </row>
    <row r="491">
      <c r="N491" s="28"/>
      <c r="O491" s="28"/>
      <c r="U491" s="28"/>
    </row>
    <row r="492">
      <c r="N492" s="28"/>
      <c r="O492" s="28"/>
      <c r="U492" s="28"/>
    </row>
    <row r="493">
      <c r="N493" s="28"/>
      <c r="O493" s="28"/>
      <c r="U493" s="28"/>
    </row>
    <row r="494">
      <c r="N494" s="28"/>
      <c r="O494" s="28"/>
      <c r="U494" s="28"/>
    </row>
    <row r="495">
      <c r="N495" s="28"/>
      <c r="O495" s="28"/>
      <c r="U495" s="28"/>
    </row>
    <row r="496">
      <c r="N496" s="28"/>
      <c r="O496" s="28"/>
      <c r="U496" s="28"/>
    </row>
    <row r="497">
      <c r="N497" s="28"/>
      <c r="O497" s="28"/>
      <c r="U497" s="28"/>
    </row>
    <row r="498">
      <c r="N498" s="28"/>
      <c r="O498" s="28"/>
      <c r="U498" s="28"/>
    </row>
    <row r="499">
      <c r="N499" s="28"/>
      <c r="O499" s="28"/>
      <c r="U499" s="28"/>
    </row>
    <row r="500">
      <c r="N500" s="28"/>
      <c r="O500" s="28"/>
      <c r="U500" s="28"/>
    </row>
    <row r="501">
      <c r="N501" s="28"/>
      <c r="O501" s="28"/>
      <c r="U501" s="28"/>
    </row>
    <row r="502">
      <c r="N502" s="28"/>
      <c r="O502" s="28"/>
      <c r="U502" s="28"/>
    </row>
    <row r="503">
      <c r="N503" s="28"/>
      <c r="O503" s="28"/>
      <c r="U503" s="28"/>
    </row>
    <row r="504">
      <c r="N504" s="28"/>
      <c r="O504" s="28"/>
      <c r="U504" s="28"/>
    </row>
    <row r="505">
      <c r="N505" s="28"/>
      <c r="O505" s="28"/>
      <c r="U505" s="28"/>
    </row>
    <row r="506">
      <c r="N506" s="28"/>
      <c r="O506" s="28"/>
      <c r="U506" s="28"/>
    </row>
    <row r="507">
      <c r="N507" s="28"/>
      <c r="O507" s="28"/>
      <c r="U507" s="28"/>
    </row>
    <row r="508">
      <c r="N508" s="28"/>
      <c r="O508" s="28"/>
      <c r="U508" s="28"/>
    </row>
    <row r="509">
      <c r="N509" s="28"/>
      <c r="O509" s="28"/>
      <c r="U509" s="28"/>
    </row>
    <row r="510">
      <c r="N510" s="28"/>
      <c r="O510" s="28"/>
      <c r="U510" s="28"/>
    </row>
    <row r="511">
      <c r="N511" s="28"/>
      <c r="O511" s="28"/>
      <c r="U511" s="28"/>
    </row>
    <row r="512">
      <c r="N512" s="28"/>
      <c r="O512" s="28"/>
      <c r="U512" s="28"/>
    </row>
    <row r="513">
      <c r="N513" s="28"/>
      <c r="O513" s="28"/>
      <c r="U513" s="28"/>
    </row>
    <row r="514">
      <c r="N514" s="28"/>
      <c r="O514" s="28"/>
      <c r="U514" s="28"/>
    </row>
    <row r="515">
      <c r="N515" s="28"/>
      <c r="O515" s="28"/>
      <c r="U515" s="28"/>
    </row>
    <row r="516">
      <c r="N516" s="28"/>
      <c r="O516" s="28"/>
      <c r="U516" s="28"/>
    </row>
    <row r="517">
      <c r="N517" s="28"/>
      <c r="O517" s="28"/>
      <c r="U517" s="28"/>
    </row>
    <row r="518">
      <c r="N518" s="28"/>
      <c r="O518" s="28"/>
      <c r="U518" s="28"/>
    </row>
    <row r="519">
      <c r="N519" s="28"/>
      <c r="O519" s="28"/>
      <c r="U519" s="28"/>
    </row>
    <row r="520">
      <c r="N520" s="28"/>
      <c r="O520" s="28"/>
      <c r="U520" s="28"/>
    </row>
    <row r="521">
      <c r="N521" s="28"/>
      <c r="O521" s="28"/>
      <c r="U521" s="28"/>
    </row>
    <row r="522">
      <c r="N522" s="28"/>
      <c r="O522" s="28"/>
      <c r="U522" s="28"/>
    </row>
    <row r="523">
      <c r="N523" s="28"/>
      <c r="O523" s="28"/>
      <c r="U523" s="28"/>
    </row>
    <row r="524">
      <c r="N524" s="28"/>
      <c r="O524" s="28"/>
      <c r="U524" s="28"/>
    </row>
    <row r="525">
      <c r="N525" s="28"/>
      <c r="O525" s="28"/>
      <c r="U525" s="28"/>
    </row>
    <row r="526">
      <c r="N526" s="28"/>
      <c r="O526" s="28"/>
      <c r="U526" s="28"/>
    </row>
    <row r="527">
      <c r="N527" s="28"/>
      <c r="O527" s="28"/>
      <c r="U527" s="28"/>
    </row>
    <row r="528">
      <c r="N528" s="28"/>
      <c r="O528" s="28"/>
      <c r="U528" s="28"/>
    </row>
    <row r="529">
      <c r="N529" s="28"/>
      <c r="O529" s="28"/>
      <c r="U529" s="28"/>
    </row>
    <row r="530">
      <c r="N530" s="28"/>
      <c r="O530" s="28"/>
      <c r="U530" s="28"/>
    </row>
    <row r="531">
      <c r="N531" s="28"/>
      <c r="O531" s="28"/>
      <c r="U531" s="28"/>
    </row>
    <row r="532">
      <c r="N532" s="28"/>
      <c r="O532" s="28"/>
      <c r="U532" s="28"/>
    </row>
    <row r="533">
      <c r="N533" s="28"/>
      <c r="O533" s="28"/>
      <c r="U533" s="28"/>
    </row>
    <row r="534">
      <c r="N534" s="28"/>
      <c r="O534" s="28"/>
      <c r="U534" s="28"/>
    </row>
    <row r="535">
      <c r="N535" s="28"/>
      <c r="O535" s="28"/>
      <c r="U535" s="28"/>
    </row>
    <row r="536">
      <c r="N536" s="28"/>
      <c r="O536" s="28"/>
      <c r="U536" s="28"/>
    </row>
    <row r="537">
      <c r="N537" s="28"/>
      <c r="O537" s="28"/>
      <c r="U537" s="28"/>
    </row>
    <row r="538">
      <c r="N538" s="28"/>
      <c r="O538" s="28"/>
      <c r="U538" s="28"/>
    </row>
    <row r="539">
      <c r="N539" s="28"/>
      <c r="O539" s="28"/>
      <c r="U539" s="28"/>
    </row>
    <row r="540">
      <c r="N540" s="28"/>
      <c r="O540" s="28"/>
      <c r="U540" s="28"/>
    </row>
    <row r="541">
      <c r="N541" s="28"/>
      <c r="O541" s="28"/>
      <c r="U541" s="28"/>
    </row>
    <row r="542">
      <c r="N542" s="28"/>
      <c r="O542" s="28"/>
      <c r="U542" s="28"/>
    </row>
    <row r="543">
      <c r="N543" s="28"/>
      <c r="O543" s="28"/>
      <c r="U543" s="28"/>
    </row>
    <row r="544">
      <c r="N544" s="28"/>
      <c r="O544" s="28"/>
      <c r="U544" s="28"/>
    </row>
    <row r="545">
      <c r="N545" s="28"/>
      <c r="O545" s="28"/>
      <c r="U545" s="28"/>
    </row>
    <row r="546">
      <c r="N546" s="28"/>
      <c r="O546" s="28"/>
      <c r="U546" s="28"/>
    </row>
    <row r="547">
      <c r="N547" s="28"/>
      <c r="O547" s="28"/>
      <c r="U547" s="28"/>
    </row>
    <row r="548">
      <c r="N548" s="28"/>
      <c r="O548" s="28"/>
      <c r="U548" s="28"/>
    </row>
    <row r="549">
      <c r="N549" s="28"/>
      <c r="O549" s="28"/>
      <c r="U549" s="28"/>
    </row>
    <row r="550">
      <c r="N550" s="28"/>
      <c r="O550" s="28"/>
      <c r="U550" s="28"/>
    </row>
    <row r="551">
      <c r="N551" s="28"/>
      <c r="O551" s="28"/>
      <c r="U551" s="28"/>
    </row>
    <row r="552">
      <c r="N552" s="28"/>
      <c r="O552" s="28"/>
      <c r="U552" s="28"/>
    </row>
    <row r="553">
      <c r="N553" s="28"/>
      <c r="O553" s="28"/>
      <c r="U553" s="28"/>
    </row>
    <row r="554">
      <c r="N554" s="28"/>
      <c r="O554" s="28"/>
      <c r="U554" s="28"/>
    </row>
    <row r="555">
      <c r="N555" s="28"/>
      <c r="O555" s="28"/>
      <c r="U555" s="28"/>
    </row>
    <row r="556">
      <c r="N556" s="28"/>
      <c r="O556" s="28"/>
      <c r="U556" s="28"/>
    </row>
    <row r="557">
      <c r="N557" s="28"/>
      <c r="O557" s="28"/>
      <c r="U557" s="28"/>
    </row>
    <row r="558">
      <c r="N558" s="28"/>
      <c r="O558" s="28"/>
      <c r="U558" s="28"/>
    </row>
    <row r="559">
      <c r="N559" s="28"/>
      <c r="O559" s="28"/>
      <c r="U559" s="28"/>
    </row>
    <row r="560">
      <c r="N560" s="28"/>
      <c r="O560" s="28"/>
      <c r="U560" s="28"/>
    </row>
    <row r="561">
      <c r="N561" s="28"/>
      <c r="O561" s="28"/>
      <c r="U561" s="28"/>
    </row>
    <row r="562">
      <c r="N562" s="28"/>
      <c r="O562" s="28"/>
      <c r="U562" s="28"/>
    </row>
    <row r="563">
      <c r="N563" s="28"/>
      <c r="O563" s="28"/>
      <c r="U563" s="28"/>
    </row>
    <row r="564">
      <c r="N564" s="28"/>
      <c r="O564" s="28"/>
      <c r="U564" s="28"/>
    </row>
    <row r="565">
      <c r="N565" s="28"/>
      <c r="O565" s="28"/>
      <c r="U565" s="28"/>
    </row>
    <row r="566">
      <c r="N566" s="28"/>
      <c r="O566" s="28"/>
      <c r="U566" s="28"/>
    </row>
    <row r="567">
      <c r="N567" s="28"/>
      <c r="O567" s="28"/>
      <c r="U567" s="28"/>
    </row>
    <row r="568">
      <c r="N568" s="28"/>
      <c r="O568" s="28"/>
      <c r="U568" s="28"/>
    </row>
    <row r="569">
      <c r="N569" s="28"/>
      <c r="O569" s="28"/>
      <c r="U569" s="28"/>
    </row>
    <row r="570">
      <c r="N570" s="28"/>
      <c r="O570" s="28"/>
      <c r="U570" s="28"/>
    </row>
    <row r="571">
      <c r="N571" s="28"/>
      <c r="O571" s="28"/>
      <c r="U571" s="28"/>
    </row>
    <row r="572">
      <c r="N572" s="28"/>
      <c r="O572" s="28"/>
      <c r="U572" s="28"/>
    </row>
    <row r="573">
      <c r="N573" s="28"/>
      <c r="O573" s="28"/>
      <c r="U573" s="28"/>
    </row>
    <row r="574">
      <c r="N574" s="28"/>
      <c r="O574" s="28"/>
      <c r="U574" s="28"/>
    </row>
    <row r="575">
      <c r="N575" s="28"/>
      <c r="O575" s="28"/>
      <c r="U575" s="28"/>
    </row>
    <row r="576">
      <c r="N576" s="28"/>
      <c r="O576" s="28"/>
      <c r="U576" s="28"/>
    </row>
    <row r="577">
      <c r="N577" s="28"/>
      <c r="O577" s="28"/>
      <c r="U577" s="28"/>
    </row>
    <row r="578">
      <c r="N578" s="28"/>
      <c r="O578" s="28"/>
      <c r="U578" s="28"/>
    </row>
    <row r="579">
      <c r="N579" s="28"/>
      <c r="O579" s="28"/>
      <c r="U579" s="28"/>
    </row>
    <row r="580">
      <c r="N580" s="28"/>
      <c r="O580" s="28"/>
      <c r="U580" s="28"/>
    </row>
    <row r="581">
      <c r="N581" s="28"/>
      <c r="O581" s="28"/>
      <c r="U581" s="28"/>
    </row>
    <row r="582">
      <c r="N582" s="28"/>
      <c r="O582" s="28"/>
      <c r="U582" s="28"/>
    </row>
    <row r="583">
      <c r="N583" s="28"/>
      <c r="O583" s="28"/>
      <c r="U583" s="28"/>
    </row>
    <row r="584">
      <c r="N584" s="28"/>
      <c r="O584" s="28"/>
      <c r="U584" s="28"/>
    </row>
    <row r="585">
      <c r="N585" s="28"/>
      <c r="O585" s="28"/>
      <c r="U585" s="28"/>
    </row>
    <row r="586">
      <c r="N586" s="28"/>
      <c r="O586" s="28"/>
      <c r="U586" s="28"/>
    </row>
    <row r="587">
      <c r="N587" s="28"/>
      <c r="O587" s="28"/>
      <c r="U587" s="28"/>
    </row>
    <row r="588">
      <c r="N588" s="28"/>
      <c r="O588" s="28"/>
      <c r="U588" s="28"/>
    </row>
    <row r="589">
      <c r="N589" s="28"/>
      <c r="O589" s="28"/>
      <c r="U589" s="28"/>
    </row>
    <row r="590">
      <c r="N590" s="28"/>
      <c r="O590" s="28"/>
      <c r="U590" s="28"/>
    </row>
    <row r="591">
      <c r="N591" s="28"/>
      <c r="O591" s="28"/>
      <c r="U591" s="28"/>
    </row>
    <row r="592">
      <c r="N592" s="28"/>
      <c r="O592" s="28"/>
      <c r="U592" s="28"/>
    </row>
    <row r="593">
      <c r="N593" s="28"/>
      <c r="O593" s="28"/>
      <c r="U593" s="28"/>
    </row>
    <row r="594">
      <c r="N594" s="28"/>
      <c r="O594" s="28"/>
      <c r="U594" s="28"/>
    </row>
    <row r="595">
      <c r="N595" s="28"/>
      <c r="O595" s="28"/>
      <c r="U595" s="28"/>
    </row>
    <row r="596">
      <c r="N596" s="28"/>
      <c r="O596" s="28"/>
      <c r="U596" s="28"/>
    </row>
    <row r="597">
      <c r="N597" s="28"/>
      <c r="O597" s="28"/>
      <c r="U597" s="28"/>
    </row>
    <row r="598">
      <c r="N598" s="28"/>
      <c r="O598" s="28"/>
      <c r="U598" s="28"/>
    </row>
    <row r="599">
      <c r="N599" s="28"/>
      <c r="O599" s="28"/>
      <c r="U599" s="28"/>
    </row>
    <row r="600">
      <c r="N600" s="28"/>
      <c r="O600" s="28"/>
      <c r="U600" s="28"/>
    </row>
    <row r="601">
      <c r="N601" s="28"/>
      <c r="O601" s="28"/>
      <c r="U601" s="28"/>
    </row>
    <row r="602">
      <c r="N602" s="28"/>
      <c r="O602" s="28"/>
      <c r="U602" s="28"/>
    </row>
    <row r="603">
      <c r="N603" s="28"/>
      <c r="O603" s="28"/>
      <c r="U603" s="28"/>
    </row>
    <row r="604">
      <c r="N604" s="28"/>
      <c r="O604" s="28"/>
      <c r="U604" s="28"/>
    </row>
    <row r="605">
      <c r="N605" s="28"/>
      <c r="O605" s="28"/>
      <c r="U605" s="28"/>
    </row>
    <row r="606">
      <c r="N606" s="28"/>
      <c r="O606" s="28"/>
      <c r="U606" s="28"/>
    </row>
    <row r="607">
      <c r="N607" s="28"/>
      <c r="O607" s="28"/>
      <c r="U607" s="28"/>
    </row>
    <row r="608">
      <c r="N608" s="28"/>
      <c r="O608" s="28"/>
      <c r="U608" s="28"/>
    </row>
    <row r="609">
      <c r="N609" s="28"/>
      <c r="O609" s="28"/>
      <c r="U609" s="28"/>
    </row>
    <row r="610">
      <c r="N610" s="28"/>
      <c r="O610" s="28"/>
      <c r="U610" s="28"/>
    </row>
    <row r="611">
      <c r="N611" s="28"/>
      <c r="O611" s="28"/>
      <c r="U611" s="28"/>
    </row>
    <row r="612">
      <c r="N612" s="28"/>
      <c r="O612" s="28"/>
      <c r="U612" s="28"/>
    </row>
    <row r="613">
      <c r="N613" s="28"/>
      <c r="O613" s="28"/>
      <c r="U613" s="28"/>
    </row>
    <row r="614">
      <c r="N614" s="28"/>
      <c r="O614" s="28"/>
      <c r="U614" s="28"/>
    </row>
    <row r="615">
      <c r="N615" s="28"/>
      <c r="O615" s="28"/>
      <c r="U615" s="28"/>
    </row>
    <row r="616">
      <c r="N616" s="28"/>
      <c r="O616" s="28"/>
      <c r="U616" s="28"/>
    </row>
    <row r="617">
      <c r="N617" s="28"/>
      <c r="O617" s="28"/>
      <c r="U617" s="28"/>
    </row>
    <row r="618">
      <c r="N618" s="28"/>
      <c r="O618" s="28"/>
      <c r="U618" s="28"/>
    </row>
    <row r="619">
      <c r="N619" s="28"/>
      <c r="O619" s="28"/>
      <c r="U619" s="28"/>
    </row>
    <row r="620">
      <c r="N620" s="28"/>
      <c r="O620" s="28"/>
      <c r="U620" s="28"/>
    </row>
    <row r="621">
      <c r="N621" s="28"/>
      <c r="O621" s="28"/>
      <c r="U621" s="28"/>
    </row>
    <row r="622">
      <c r="N622" s="28"/>
      <c r="O622" s="28"/>
      <c r="U622" s="28"/>
    </row>
    <row r="623">
      <c r="N623" s="28"/>
      <c r="O623" s="28"/>
      <c r="U623" s="28"/>
    </row>
    <row r="624">
      <c r="N624" s="28"/>
      <c r="O624" s="28"/>
      <c r="U624" s="28"/>
    </row>
    <row r="625">
      <c r="N625" s="28"/>
      <c r="O625" s="28"/>
      <c r="U625" s="28"/>
    </row>
    <row r="626">
      <c r="N626" s="28"/>
      <c r="O626" s="28"/>
      <c r="U626" s="28"/>
    </row>
    <row r="627">
      <c r="N627" s="28"/>
      <c r="O627" s="28"/>
      <c r="U627" s="28"/>
    </row>
    <row r="628">
      <c r="N628" s="28"/>
      <c r="O628" s="28"/>
      <c r="U628" s="28"/>
    </row>
    <row r="629">
      <c r="N629" s="28"/>
      <c r="O629" s="28"/>
      <c r="U629" s="28"/>
    </row>
    <row r="630">
      <c r="N630" s="28"/>
      <c r="O630" s="28"/>
      <c r="U630" s="28"/>
    </row>
    <row r="631">
      <c r="N631" s="28"/>
      <c r="O631" s="28"/>
      <c r="U631" s="28"/>
    </row>
    <row r="632">
      <c r="N632" s="28"/>
      <c r="O632" s="28"/>
      <c r="U632" s="28"/>
    </row>
    <row r="633">
      <c r="N633" s="28"/>
      <c r="O633" s="28"/>
      <c r="U633" s="28"/>
    </row>
    <row r="634">
      <c r="N634" s="28"/>
      <c r="O634" s="28"/>
      <c r="U634" s="28"/>
    </row>
    <row r="635">
      <c r="N635" s="28"/>
      <c r="O635" s="28"/>
      <c r="U635" s="28"/>
    </row>
    <row r="636">
      <c r="N636" s="28"/>
      <c r="O636" s="28"/>
      <c r="U636" s="28"/>
    </row>
    <row r="637">
      <c r="N637" s="28"/>
      <c r="O637" s="28"/>
      <c r="U637" s="28"/>
    </row>
    <row r="638">
      <c r="N638" s="28"/>
      <c r="O638" s="28"/>
      <c r="U638" s="28"/>
    </row>
    <row r="639">
      <c r="N639" s="28"/>
      <c r="O639" s="28"/>
      <c r="U639" s="28"/>
    </row>
    <row r="640">
      <c r="N640" s="28"/>
      <c r="O640" s="28"/>
      <c r="U640" s="28"/>
    </row>
    <row r="641">
      <c r="N641" s="28"/>
      <c r="O641" s="28"/>
      <c r="U641" s="28"/>
    </row>
    <row r="642">
      <c r="N642" s="28"/>
      <c r="O642" s="28"/>
      <c r="U642" s="28"/>
    </row>
    <row r="643">
      <c r="N643" s="28"/>
      <c r="O643" s="28"/>
      <c r="U643" s="28"/>
    </row>
    <row r="644">
      <c r="N644" s="28"/>
      <c r="O644" s="28"/>
      <c r="U644" s="28"/>
    </row>
    <row r="645">
      <c r="N645" s="28"/>
      <c r="O645" s="28"/>
      <c r="U645" s="28"/>
    </row>
    <row r="646">
      <c r="N646" s="28"/>
      <c r="O646" s="28"/>
      <c r="U646" s="28"/>
    </row>
    <row r="647">
      <c r="N647" s="28"/>
      <c r="O647" s="28"/>
      <c r="U647" s="28"/>
    </row>
    <row r="648">
      <c r="N648" s="28"/>
      <c r="O648" s="28"/>
      <c r="U648" s="28"/>
    </row>
    <row r="649">
      <c r="N649" s="28"/>
      <c r="O649" s="28"/>
      <c r="U649" s="28"/>
    </row>
    <row r="650">
      <c r="N650" s="28"/>
      <c r="O650" s="28"/>
      <c r="U650" s="28"/>
    </row>
    <row r="651">
      <c r="N651" s="28"/>
      <c r="O651" s="28"/>
      <c r="U651" s="28"/>
    </row>
    <row r="652">
      <c r="N652" s="28"/>
      <c r="O652" s="28"/>
      <c r="U652" s="28"/>
    </row>
    <row r="653">
      <c r="N653" s="28"/>
      <c r="O653" s="28"/>
      <c r="U653" s="28"/>
    </row>
    <row r="654">
      <c r="N654" s="28"/>
      <c r="O654" s="28"/>
      <c r="U654" s="28"/>
    </row>
    <row r="655">
      <c r="N655" s="28"/>
      <c r="O655" s="28"/>
      <c r="U655" s="28"/>
    </row>
    <row r="656">
      <c r="N656" s="28"/>
      <c r="O656" s="28"/>
      <c r="U656" s="28"/>
    </row>
    <row r="657">
      <c r="N657" s="28"/>
      <c r="O657" s="28"/>
      <c r="U657" s="28"/>
    </row>
    <row r="658">
      <c r="N658" s="28"/>
      <c r="O658" s="28"/>
      <c r="U658" s="28"/>
    </row>
    <row r="659">
      <c r="N659" s="28"/>
      <c r="O659" s="28"/>
      <c r="U659" s="28"/>
    </row>
    <row r="660">
      <c r="N660" s="28"/>
      <c r="O660" s="28"/>
      <c r="U660" s="28"/>
    </row>
    <row r="661">
      <c r="N661" s="28"/>
      <c r="O661" s="28"/>
      <c r="U661" s="28"/>
    </row>
    <row r="662">
      <c r="N662" s="28"/>
      <c r="O662" s="28"/>
      <c r="U662" s="28"/>
    </row>
    <row r="663">
      <c r="N663" s="28"/>
      <c r="O663" s="28"/>
      <c r="U663" s="28"/>
    </row>
    <row r="664">
      <c r="N664" s="28"/>
      <c r="O664" s="28"/>
      <c r="U664" s="28"/>
    </row>
    <row r="665">
      <c r="N665" s="28"/>
      <c r="O665" s="28"/>
      <c r="U665" s="28"/>
    </row>
    <row r="666">
      <c r="N666" s="28"/>
      <c r="O666" s="28"/>
      <c r="U666" s="28"/>
    </row>
    <row r="667">
      <c r="N667" s="28"/>
      <c r="O667" s="28"/>
      <c r="U667" s="28"/>
    </row>
    <row r="668">
      <c r="N668" s="28"/>
      <c r="O668" s="28"/>
      <c r="U668" s="28"/>
    </row>
    <row r="669">
      <c r="N669" s="28"/>
      <c r="O669" s="28"/>
      <c r="U669" s="28"/>
    </row>
    <row r="670">
      <c r="N670" s="28"/>
      <c r="O670" s="28"/>
      <c r="U670" s="28"/>
    </row>
    <row r="671">
      <c r="N671" s="28"/>
      <c r="O671" s="28"/>
      <c r="U671" s="28"/>
    </row>
    <row r="672">
      <c r="N672" s="28"/>
      <c r="O672" s="28"/>
      <c r="U672" s="28"/>
    </row>
    <row r="673">
      <c r="N673" s="28"/>
      <c r="O673" s="28"/>
      <c r="U673" s="28"/>
    </row>
    <row r="674">
      <c r="N674" s="28"/>
      <c r="O674" s="28"/>
      <c r="U674" s="28"/>
    </row>
    <row r="675">
      <c r="N675" s="28"/>
      <c r="O675" s="28"/>
      <c r="U675" s="28"/>
    </row>
    <row r="676">
      <c r="N676" s="28"/>
      <c r="O676" s="28"/>
      <c r="U676" s="28"/>
    </row>
    <row r="677">
      <c r="N677" s="28"/>
      <c r="O677" s="28"/>
      <c r="U677" s="28"/>
    </row>
    <row r="678">
      <c r="N678" s="28"/>
      <c r="O678" s="28"/>
      <c r="U678" s="28"/>
    </row>
    <row r="679">
      <c r="N679" s="28"/>
      <c r="O679" s="28"/>
      <c r="U679" s="28"/>
    </row>
    <row r="680">
      <c r="N680" s="28"/>
      <c r="O680" s="28"/>
      <c r="U680" s="28"/>
    </row>
    <row r="681">
      <c r="N681" s="28"/>
      <c r="O681" s="28"/>
      <c r="U681" s="28"/>
    </row>
    <row r="682">
      <c r="N682" s="28"/>
      <c r="O682" s="28"/>
      <c r="U682" s="28"/>
    </row>
    <row r="683">
      <c r="N683" s="28"/>
      <c r="O683" s="28"/>
      <c r="U683" s="28"/>
    </row>
    <row r="684">
      <c r="N684" s="28"/>
      <c r="O684" s="28"/>
      <c r="U684" s="28"/>
    </row>
    <row r="685">
      <c r="N685" s="28"/>
      <c r="O685" s="28"/>
      <c r="U685" s="28"/>
    </row>
    <row r="686">
      <c r="N686" s="28"/>
      <c r="O686" s="28"/>
      <c r="U686" s="28"/>
    </row>
    <row r="687">
      <c r="N687" s="28"/>
      <c r="O687" s="28"/>
      <c r="U687" s="28"/>
    </row>
    <row r="688">
      <c r="N688" s="28"/>
      <c r="O688" s="28"/>
      <c r="U688" s="28"/>
    </row>
    <row r="689">
      <c r="N689" s="28"/>
      <c r="O689" s="28"/>
      <c r="U689" s="28"/>
    </row>
    <row r="690">
      <c r="N690" s="28"/>
      <c r="O690" s="28"/>
      <c r="U690" s="28"/>
    </row>
    <row r="691">
      <c r="N691" s="28"/>
      <c r="O691" s="28"/>
      <c r="U691" s="28"/>
    </row>
    <row r="692">
      <c r="N692" s="28"/>
      <c r="O692" s="28"/>
      <c r="U692" s="28"/>
    </row>
    <row r="693">
      <c r="N693" s="28"/>
      <c r="O693" s="28"/>
      <c r="U693" s="28"/>
    </row>
    <row r="694">
      <c r="N694" s="28"/>
      <c r="O694" s="28"/>
      <c r="U694" s="28"/>
    </row>
    <row r="695">
      <c r="N695" s="28"/>
      <c r="O695" s="28"/>
      <c r="U695" s="28"/>
    </row>
    <row r="696">
      <c r="N696" s="28"/>
      <c r="O696" s="28"/>
      <c r="U696" s="28"/>
    </row>
    <row r="697">
      <c r="N697" s="28"/>
      <c r="O697" s="28"/>
      <c r="U697" s="28"/>
    </row>
    <row r="698">
      <c r="N698" s="28"/>
      <c r="O698" s="28"/>
      <c r="U698" s="28"/>
    </row>
    <row r="699">
      <c r="N699" s="28"/>
      <c r="O699" s="28"/>
      <c r="U699" s="28"/>
    </row>
    <row r="700">
      <c r="N700" s="28"/>
      <c r="O700" s="28"/>
      <c r="U700" s="28"/>
    </row>
    <row r="701">
      <c r="N701" s="28"/>
      <c r="O701" s="28"/>
      <c r="U701" s="28"/>
    </row>
    <row r="702">
      <c r="N702" s="28"/>
      <c r="O702" s="28"/>
      <c r="U702" s="28"/>
    </row>
    <row r="703">
      <c r="N703" s="28"/>
      <c r="O703" s="28"/>
      <c r="U703" s="28"/>
    </row>
    <row r="704">
      <c r="N704" s="28"/>
      <c r="O704" s="28"/>
      <c r="U704" s="28"/>
    </row>
    <row r="705">
      <c r="N705" s="28"/>
      <c r="O705" s="28"/>
      <c r="U705" s="28"/>
    </row>
    <row r="706">
      <c r="N706" s="28"/>
      <c r="O706" s="28"/>
      <c r="U706" s="28"/>
    </row>
    <row r="707">
      <c r="N707" s="28"/>
      <c r="O707" s="28"/>
      <c r="U707" s="28"/>
    </row>
    <row r="708">
      <c r="N708" s="28"/>
      <c r="O708" s="28"/>
      <c r="U708" s="28"/>
    </row>
    <row r="709">
      <c r="N709" s="28"/>
      <c r="O709" s="28"/>
      <c r="U709" s="28"/>
    </row>
    <row r="710">
      <c r="N710" s="28"/>
      <c r="O710" s="28"/>
      <c r="U710" s="28"/>
    </row>
    <row r="711">
      <c r="N711" s="28"/>
      <c r="O711" s="28"/>
      <c r="U711" s="28"/>
    </row>
    <row r="712">
      <c r="N712" s="28"/>
      <c r="O712" s="28"/>
      <c r="U712" s="28"/>
    </row>
    <row r="713">
      <c r="N713" s="28"/>
      <c r="O713" s="28"/>
      <c r="U713" s="28"/>
    </row>
    <row r="714">
      <c r="N714" s="28"/>
      <c r="O714" s="28"/>
      <c r="U714" s="28"/>
    </row>
    <row r="715">
      <c r="N715" s="28"/>
      <c r="O715" s="28"/>
      <c r="U715" s="28"/>
    </row>
    <row r="716">
      <c r="N716" s="28"/>
      <c r="O716" s="28"/>
      <c r="U716" s="28"/>
    </row>
    <row r="717">
      <c r="N717" s="28"/>
      <c r="O717" s="28"/>
      <c r="U717" s="28"/>
    </row>
    <row r="718">
      <c r="N718" s="28"/>
      <c r="O718" s="28"/>
      <c r="U718" s="28"/>
    </row>
    <row r="719">
      <c r="N719" s="28"/>
      <c r="O719" s="28"/>
      <c r="U719" s="28"/>
    </row>
    <row r="720">
      <c r="N720" s="28"/>
      <c r="O720" s="28"/>
      <c r="U720" s="28"/>
    </row>
    <row r="721">
      <c r="N721" s="28"/>
      <c r="O721" s="28"/>
      <c r="U721" s="28"/>
    </row>
    <row r="722">
      <c r="N722" s="28"/>
      <c r="O722" s="28"/>
      <c r="U722" s="28"/>
    </row>
    <row r="723">
      <c r="N723" s="28"/>
      <c r="O723" s="28"/>
      <c r="U723" s="28"/>
    </row>
    <row r="724">
      <c r="N724" s="28"/>
      <c r="O724" s="28"/>
      <c r="U724" s="28"/>
    </row>
    <row r="725">
      <c r="N725" s="28"/>
      <c r="O725" s="28"/>
      <c r="U725" s="28"/>
    </row>
    <row r="726">
      <c r="N726" s="28"/>
      <c r="O726" s="28"/>
      <c r="U726" s="28"/>
    </row>
    <row r="727">
      <c r="N727" s="28"/>
      <c r="O727" s="28"/>
      <c r="U727" s="28"/>
    </row>
    <row r="728">
      <c r="N728" s="28"/>
      <c r="O728" s="28"/>
      <c r="U728" s="28"/>
    </row>
    <row r="729">
      <c r="N729" s="28"/>
      <c r="O729" s="28"/>
      <c r="U729" s="28"/>
    </row>
    <row r="730">
      <c r="N730" s="28"/>
      <c r="O730" s="28"/>
      <c r="U730" s="28"/>
    </row>
    <row r="731">
      <c r="N731" s="28"/>
      <c r="O731" s="28"/>
      <c r="U731" s="28"/>
    </row>
    <row r="732">
      <c r="N732" s="28"/>
      <c r="O732" s="28"/>
      <c r="U732" s="28"/>
    </row>
    <row r="733">
      <c r="N733" s="28"/>
      <c r="O733" s="28"/>
      <c r="U733" s="28"/>
    </row>
    <row r="734">
      <c r="N734" s="28"/>
      <c r="O734" s="28"/>
      <c r="U734" s="28"/>
    </row>
    <row r="735">
      <c r="N735" s="28"/>
      <c r="O735" s="28"/>
      <c r="U735" s="28"/>
    </row>
    <row r="736">
      <c r="N736" s="28"/>
      <c r="O736" s="28"/>
      <c r="U736" s="28"/>
    </row>
    <row r="737">
      <c r="N737" s="28"/>
      <c r="O737" s="28"/>
      <c r="U737" s="28"/>
    </row>
    <row r="738">
      <c r="N738" s="28"/>
      <c r="O738" s="28"/>
      <c r="U738" s="28"/>
    </row>
    <row r="739">
      <c r="N739" s="28"/>
      <c r="O739" s="28"/>
      <c r="U739" s="28"/>
    </row>
    <row r="740">
      <c r="N740" s="28"/>
      <c r="O740" s="28"/>
      <c r="U740" s="28"/>
    </row>
    <row r="741">
      <c r="N741" s="28"/>
      <c r="O741" s="28"/>
      <c r="U741" s="28"/>
    </row>
    <row r="742">
      <c r="N742" s="28"/>
      <c r="O742" s="28"/>
      <c r="U742" s="28"/>
    </row>
    <row r="743">
      <c r="N743" s="28"/>
      <c r="O743" s="28"/>
      <c r="U743" s="28"/>
    </row>
    <row r="744">
      <c r="N744" s="28"/>
      <c r="O744" s="28"/>
      <c r="U744" s="28"/>
    </row>
    <row r="745">
      <c r="N745" s="28"/>
      <c r="O745" s="28"/>
      <c r="U745" s="28"/>
    </row>
    <row r="746">
      <c r="N746" s="28"/>
      <c r="O746" s="28"/>
      <c r="U746" s="28"/>
    </row>
    <row r="747">
      <c r="N747" s="28"/>
      <c r="O747" s="28"/>
      <c r="U747" s="28"/>
    </row>
    <row r="748">
      <c r="N748" s="28"/>
      <c r="O748" s="28"/>
      <c r="U748" s="28"/>
    </row>
    <row r="749">
      <c r="N749" s="28"/>
      <c r="O749" s="28"/>
      <c r="U749" s="28"/>
    </row>
    <row r="750">
      <c r="N750" s="28"/>
      <c r="O750" s="28"/>
      <c r="U750" s="28"/>
    </row>
    <row r="751">
      <c r="N751" s="28"/>
      <c r="O751" s="28"/>
      <c r="U751" s="28"/>
    </row>
    <row r="752">
      <c r="N752" s="28"/>
      <c r="O752" s="28"/>
      <c r="U752" s="28"/>
    </row>
    <row r="753">
      <c r="N753" s="28"/>
      <c r="O753" s="28"/>
      <c r="U753" s="28"/>
    </row>
    <row r="754">
      <c r="N754" s="28"/>
      <c r="O754" s="28"/>
      <c r="U754" s="28"/>
    </row>
    <row r="755">
      <c r="N755" s="28"/>
      <c r="O755" s="28"/>
      <c r="U755" s="28"/>
    </row>
    <row r="756">
      <c r="N756" s="28"/>
      <c r="O756" s="28"/>
      <c r="U756" s="28"/>
    </row>
    <row r="757">
      <c r="N757" s="28"/>
      <c r="O757" s="28"/>
      <c r="U757" s="28"/>
    </row>
    <row r="758">
      <c r="N758" s="28"/>
      <c r="O758" s="28"/>
      <c r="U758" s="28"/>
    </row>
    <row r="759">
      <c r="N759" s="28"/>
      <c r="O759" s="28"/>
      <c r="U759" s="28"/>
    </row>
    <row r="760">
      <c r="N760" s="28"/>
      <c r="O760" s="28"/>
      <c r="U760" s="28"/>
    </row>
    <row r="761">
      <c r="N761" s="28"/>
      <c r="O761" s="28"/>
      <c r="U761" s="28"/>
    </row>
    <row r="762">
      <c r="N762" s="28"/>
      <c r="O762" s="28"/>
      <c r="U762" s="28"/>
    </row>
    <row r="763">
      <c r="N763" s="28"/>
      <c r="O763" s="28"/>
      <c r="U763" s="28"/>
    </row>
    <row r="764">
      <c r="N764" s="28"/>
      <c r="O764" s="28"/>
      <c r="U764" s="28"/>
    </row>
    <row r="765">
      <c r="N765" s="28"/>
      <c r="O765" s="28"/>
      <c r="U765" s="28"/>
    </row>
    <row r="766">
      <c r="N766" s="28"/>
      <c r="O766" s="28"/>
      <c r="U766" s="28"/>
    </row>
    <row r="767">
      <c r="N767" s="28"/>
      <c r="O767" s="28"/>
      <c r="U767" s="28"/>
    </row>
    <row r="768">
      <c r="N768" s="28"/>
      <c r="O768" s="28"/>
      <c r="U768" s="28"/>
    </row>
    <row r="769">
      <c r="N769" s="28"/>
      <c r="O769" s="28"/>
      <c r="U769" s="28"/>
    </row>
    <row r="770">
      <c r="N770" s="28"/>
      <c r="O770" s="28"/>
      <c r="U770" s="28"/>
    </row>
    <row r="771">
      <c r="N771" s="28"/>
      <c r="O771" s="28"/>
      <c r="U771" s="28"/>
    </row>
    <row r="772">
      <c r="N772" s="28"/>
      <c r="O772" s="28"/>
      <c r="U772" s="28"/>
    </row>
    <row r="773">
      <c r="N773" s="28"/>
      <c r="O773" s="28"/>
      <c r="U773" s="28"/>
    </row>
    <row r="774">
      <c r="N774" s="28"/>
      <c r="O774" s="28"/>
      <c r="U774" s="28"/>
    </row>
    <row r="775">
      <c r="N775" s="28"/>
      <c r="O775" s="28"/>
      <c r="U775" s="28"/>
    </row>
    <row r="776">
      <c r="N776" s="28"/>
      <c r="O776" s="28"/>
      <c r="U776" s="28"/>
    </row>
    <row r="777">
      <c r="N777" s="28"/>
      <c r="O777" s="28"/>
      <c r="U777" s="28"/>
    </row>
    <row r="778">
      <c r="N778" s="28"/>
      <c r="O778" s="28"/>
      <c r="U778" s="28"/>
    </row>
    <row r="779">
      <c r="N779" s="28"/>
      <c r="O779" s="28"/>
      <c r="U779" s="28"/>
    </row>
    <row r="780">
      <c r="N780" s="28"/>
      <c r="O780" s="28"/>
      <c r="U780" s="28"/>
    </row>
    <row r="781">
      <c r="N781" s="28"/>
      <c r="O781" s="28"/>
      <c r="U781" s="28"/>
    </row>
    <row r="782">
      <c r="N782" s="28"/>
      <c r="O782" s="28"/>
      <c r="U782" s="28"/>
    </row>
    <row r="783">
      <c r="N783" s="28"/>
      <c r="O783" s="28"/>
      <c r="U783" s="28"/>
    </row>
    <row r="784">
      <c r="N784" s="28"/>
      <c r="O784" s="28"/>
      <c r="U784" s="28"/>
    </row>
    <row r="785">
      <c r="N785" s="28"/>
      <c r="O785" s="28"/>
      <c r="U785" s="28"/>
    </row>
    <row r="786">
      <c r="N786" s="28"/>
      <c r="O786" s="28"/>
      <c r="U786" s="28"/>
    </row>
    <row r="787">
      <c r="N787" s="28"/>
      <c r="O787" s="28"/>
      <c r="U787" s="28"/>
    </row>
    <row r="788">
      <c r="N788" s="28"/>
      <c r="O788" s="28"/>
      <c r="U788" s="28"/>
    </row>
    <row r="789">
      <c r="N789" s="28"/>
      <c r="O789" s="28"/>
      <c r="U789" s="28"/>
    </row>
    <row r="790">
      <c r="N790" s="28"/>
      <c r="O790" s="28"/>
      <c r="U790" s="28"/>
    </row>
    <row r="791">
      <c r="N791" s="28"/>
      <c r="O791" s="28"/>
      <c r="U791" s="28"/>
    </row>
    <row r="792">
      <c r="N792" s="28"/>
      <c r="O792" s="28"/>
      <c r="U792" s="28"/>
    </row>
    <row r="793">
      <c r="N793" s="28"/>
      <c r="O793" s="28"/>
      <c r="U793" s="28"/>
    </row>
    <row r="794">
      <c r="N794" s="28"/>
      <c r="O794" s="28"/>
      <c r="U794" s="28"/>
    </row>
    <row r="795">
      <c r="N795" s="28"/>
      <c r="O795" s="28"/>
      <c r="U795" s="28"/>
    </row>
    <row r="796">
      <c r="N796" s="28"/>
      <c r="O796" s="28"/>
      <c r="U796" s="28"/>
    </row>
    <row r="797">
      <c r="N797" s="28"/>
      <c r="O797" s="28"/>
      <c r="U797" s="28"/>
    </row>
    <row r="798">
      <c r="N798" s="28"/>
      <c r="O798" s="28"/>
      <c r="U798" s="28"/>
    </row>
    <row r="799">
      <c r="N799" s="28"/>
      <c r="O799" s="28"/>
      <c r="U799" s="28"/>
    </row>
    <row r="800">
      <c r="N800" s="28"/>
      <c r="O800" s="28"/>
      <c r="U800" s="28"/>
    </row>
    <row r="801">
      <c r="N801" s="28"/>
      <c r="O801" s="28"/>
      <c r="U801" s="28"/>
    </row>
    <row r="802">
      <c r="N802" s="28"/>
      <c r="O802" s="28"/>
      <c r="U802" s="28"/>
    </row>
    <row r="803">
      <c r="N803" s="28"/>
      <c r="O803" s="28"/>
      <c r="U803" s="28"/>
    </row>
    <row r="804">
      <c r="N804" s="28"/>
      <c r="O804" s="28"/>
      <c r="U804" s="28"/>
    </row>
    <row r="805">
      <c r="N805" s="28"/>
      <c r="O805" s="28"/>
      <c r="U805" s="28"/>
    </row>
    <row r="806">
      <c r="N806" s="28"/>
      <c r="O806" s="28"/>
      <c r="U806" s="28"/>
    </row>
    <row r="807">
      <c r="N807" s="28"/>
      <c r="O807" s="28"/>
      <c r="U807" s="28"/>
    </row>
    <row r="808">
      <c r="N808" s="28"/>
      <c r="O808" s="28"/>
      <c r="U808" s="28"/>
    </row>
    <row r="809">
      <c r="N809" s="28"/>
      <c r="O809" s="28"/>
      <c r="U809" s="28"/>
    </row>
    <row r="810">
      <c r="N810" s="28"/>
      <c r="O810" s="28"/>
      <c r="U810" s="28"/>
    </row>
    <row r="811">
      <c r="N811" s="28"/>
      <c r="O811" s="28"/>
      <c r="U811" s="28"/>
    </row>
    <row r="812">
      <c r="N812" s="28"/>
      <c r="O812" s="28"/>
      <c r="U812" s="28"/>
    </row>
    <row r="813">
      <c r="N813" s="28"/>
      <c r="O813" s="28"/>
      <c r="U813" s="28"/>
    </row>
    <row r="814">
      <c r="N814" s="28"/>
      <c r="O814" s="28"/>
      <c r="U814" s="28"/>
    </row>
    <row r="815">
      <c r="N815" s="28"/>
      <c r="O815" s="28"/>
      <c r="U815" s="28"/>
    </row>
    <row r="816">
      <c r="N816" s="28"/>
      <c r="O816" s="28"/>
      <c r="U816" s="28"/>
    </row>
    <row r="817">
      <c r="N817" s="28"/>
      <c r="O817" s="28"/>
      <c r="U817" s="28"/>
    </row>
    <row r="818">
      <c r="N818" s="28"/>
      <c r="O818" s="28"/>
      <c r="U818" s="28"/>
    </row>
    <row r="819">
      <c r="N819" s="28"/>
      <c r="O819" s="28"/>
      <c r="U819" s="28"/>
    </row>
    <row r="820">
      <c r="N820" s="28"/>
      <c r="O820" s="28"/>
      <c r="U820" s="28"/>
    </row>
    <row r="821">
      <c r="N821" s="28"/>
      <c r="O821" s="28"/>
      <c r="U821" s="28"/>
    </row>
    <row r="822">
      <c r="N822" s="28"/>
      <c r="O822" s="28"/>
      <c r="U822" s="28"/>
    </row>
    <row r="823">
      <c r="N823" s="28"/>
      <c r="O823" s="28"/>
      <c r="U823" s="28"/>
    </row>
    <row r="824">
      <c r="N824" s="28"/>
      <c r="O824" s="28"/>
      <c r="U824" s="28"/>
    </row>
    <row r="825">
      <c r="N825" s="28"/>
      <c r="O825" s="28"/>
      <c r="U825" s="28"/>
    </row>
    <row r="826">
      <c r="N826" s="28"/>
      <c r="O826" s="28"/>
      <c r="U826" s="28"/>
    </row>
    <row r="827">
      <c r="N827" s="28"/>
      <c r="O827" s="28"/>
      <c r="U827" s="28"/>
    </row>
    <row r="828">
      <c r="N828" s="28"/>
      <c r="O828" s="28"/>
      <c r="U828" s="28"/>
    </row>
    <row r="829">
      <c r="N829" s="28"/>
      <c r="O829" s="28"/>
      <c r="U829" s="28"/>
    </row>
    <row r="830">
      <c r="N830" s="28"/>
      <c r="O830" s="28"/>
      <c r="U830" s="28"/>
    </row>
    <row r="831">
      <c r="N831" s="28"/>
      <c r="O831" s="28"/>
      <c r="U831" s="28"/>
    </row>
    <row r="832">
      <c r="N832" s="28"/>
      <c r="O832" s="28"/>
      <c r="U832" s="28"/>
    </row>
    <row r="833">
      <c r="N833" s="28"/>
      <c r="O833" s="28"/>
      <c r="U833" s="28"/>
    </row>
    <row r="834">
      <c r="N834" s="28"/>
      <c r="O834" s="28"/>
      <c r="U834" s="28"/>
    </row>
    <row r="835">
      <c r="N835" s="28"/>
      <c r="O835" s="28"/>
      <c r="U835" s="28"/>
    </row>
    <row r="836">
      <c r="N836" s="28"/>
      <c r="O836" s="28"/>
      <c r="U836" s="28"/>
    </row>
    <row r="837">
      <c r="N837" s="28"/>
      <c r="O837" s="28"/>
      <c r="U837" s="28"/>
    </row>
    <row r="838">
      <c r="N838" s="28"/>
      <c r="O838" s="28"/>
      <c r="U838" s="28"/>
    </row>
    <row r="839">
      <c r="N839" s="28"/>
      <c r="O839" s="28"/>
      <c r="U839" s="28"/>
    </row>
    <row r="840">
      <c r="N840" s="28"/>
      <c r="O840" s="28"/>
      <c r="U840" s="28"/>
    </row>
    <row r="841">
      <c r="N841" s="28"/>
      <c r="O841" s="28"/>
      <c r="U841" s="28"/>
    </row>
    <row r="842">
      <c r="N842" s="28"/>
      <c r="O842" s="28"/>
      <c r="U842" s="28"/>
    </row>
    <row r="843">
      <c r="N843" s="28"/>
      <c r="O843" s="28"/>
      <c r="U843" s="28"/>
    </row>
    <row r="844">
      <c r="N844" s="28"/>
      <c r="O844" s="28"/>
      <c r="U844" s="28"/>
    </row>
    <row r="845">
      <c r="N845" s="28"/>
      <c r="O845" s="28"/>
      <c r="U845" s="28"/>
    </row>
    <row r="846">
      <c r="N846" s="28"/>
      <c r="O846" s="28"/>
      <c r="U846" s="28"/>
    </row>
    <row r="847">
      <c r="N847" s="28"/>
      <c r="O847" s="28"/>
      <c r="U847" s="28"/>
    </row>
    <row r="848">
      <c r="N848" s="28"/>
      <c r="O848" s="28"/>
      <c r="U848" s="28"/>
    </row>
    <row r="849">
      <c r="N849" s="28"/>
      <c r="O849" s="28"/>
      <c r="U849" s="28"/>
    </row>
    <row r="850">
      <c r="N850" s="28"/>
      <c r="O850" s="28"/>
      <c r="U850" s="28"/>
    </row>
    <row r="851">
      <c r="N851" s="28"/>
      <c r="O851" s="28"/>
      <c r="U851" s="28"/>
    </row>
    <row r="852">
      <c r="N852" s="28"/>
      <c r="O852" s="28"/>
      <c r="U852" s="28"/>
    </row>
    <row r="853">
      <c r="N853" s="28"/>
      <c r="O853" s="28"/>
      <c r="U853" s="28"/>
    </row>
    <row r="854">
      <c r="N854" s="28"/>
      <c r="O854" s="28"/>
      <c r="U854" s="28"/>
    </row>
    <row r="855">
      <c r="N855" s="28"/>
      <c r="O855" s="28"/>
      <c r="U855" s="28"/>
    </row>
    <row r="856">
      <c r="N856" s="28"/>
      <c r="O856" s="28"/>
      <c r="U856" s="28"/>
    </row>
    <row r="857">
      <c r="N857" s="28"/>
      <c r="O857" s="28"/>
      <c r="U857" s="28"/>
    </row>
    <row r="858">
      <c r="N858" s="28"/>
      <c r="O858" s="28"/>
      <c r="U858" s="28"/>
    </row>
    <row r="859">
      <c r="N859" s="28"/>
      <c r="O859" s="28"/>
      <c r="U859" s="28"/>
    </row>
    <row r="860">
      <c r="N860" s="28"/>
      <c r="O860" s="28"/>
      <c r="U860" s="28"/>
    </row>
    <row r="861">
      <c r="N861" s="28"/>
      <c r="O861" s="28"/>
      <c r="U861" s="28"/>
    </row>
    <row r="862">
      <c r="N862" s="28"/>
      <c r="O862" s="28"/>
      <c r="U862" s="28"/>
    </row>
    <row r="863">
      <c r="N863" s="28"/>
      <c r="O863" s="28"/>
      <c r="U863" s="28"/>
    </row>
    <row r="864">
      <c r="N864" s="28"/>
      <c r="O864" s="28"/>
      <c r="U864" s="28"/>
    </row>
    <row r="865">
      <c r="N865" s="28"/>
      <c r="O865" s="28"/>
      <c r="U865" s="28"/>
    </row>
    <row r="866">
      <c r="N866" s="28"/>
      <c r="O866" s="28"/>
      <c r="U866" s="28"/>
    </row>
    <row r="867">
      <c r="N867" s="28"/>
      <c r="O867" s="28"/>
      <c r="U867" s="28"/>
    </row>
    <row r="868">
      <c r="N868" s="28"/>
      <c r="O868" s="28"/>
      <c r="U868" s="28"/>
    </row>
    <row r="869">
      <c r="N869" s="28"/>
      <c r="O869" s="28"/>
      <c r="U869" s="28"/>
    </row>
    <row r="870">
      <c r="N870" s="28"/>
      <c r="O870" s="28"/>
      <c r="U870" s="28"/>
    </row>
    <row r="871">
      <c r="N871" s="28"/>
      <c r="O871" s="28"/>
      <c r="U871" s="28"/>
    </row>
    <row r="872">
      <c r="N872" s="28"/>
      <c r="O872" s="28"/>
      <c r="U872" s="28"/>
    </row>
    <row r="873">
      <c r="N873" s="28"/>
      <c r="O873" s="28"/>
      <c r="U873" s="28"/>
    </row>
    <row r="874">
      <c r="N874" s="28"/>
      <c r="O874" s="28"/>
      <c r="U874" s="28"/>
    </row>
    <row r="875">
      <c r="N875" s="28"/>
      <c r="O875" s="28"/>
      <c r="U875" s="28"/>
    </row>
    <row r="876">
      <c r="N876" s="28"/>
      <c r="O876" s="28"/>
      <c r="U876" s="28"/>
    </row>
    <row r="877">
      <c r="N877" s="28"/>
      <c r="O877" s="28"/>
      <c r="U877" s="28"/>
    </row>
    <row r="878">
      <c r="N878" s="28"/>
      <c r="O878" s="28"/>
      <c r="U878" s="28"/>
    </row>
    <row r="879">
      <c r="N879" s="28"/>
      <c r="O879" s="28"/>
      <c r="U879" s="28"/>
    </row>
    <row r="880">
      <c r="N880" s="28"/>
      <c r="O880" s="28"/>
      <c r="U880" s="28"/>
    </row>
    <row r="881">
      <c r="N881" s="28"/>
      <c r="O881" s="28"/>
      <c r="U881" s="28"/>
    </row>
    <row r="882">
      <c r="N882" s="28"/>
      <c r="O882" s="28"/>
      <c r="U882" s="28"/>
    </row>
    <row r="883">
      <c r="N883" s="28"/>
      <c r="O883" s="28"/>
      <c r="U883" s="28"/>
    </row>
    <row r="884">
      <c r="N884" s="28"/>
      <c r="O884" s="28"/>
      <c r="U884" s="28"/>
    </row>
    <row r="885">
      <c r="N885" s="28"/>
      <c r="O885" s="28"/>
      <c r="U885" s="28"/>
    </row>
    <row r="886">
      <c r="N886" s="28"/>
      <c r="O886" s="28"/>
      <c r="U886" s="28"/>
    </row>
    <row r="887">
      <c r="N887" s="28"/>
      <c r="O887" s="28"/>
      <c r="U887" s="28"/>
    </row>
    <row r="888">
      <c r="N888" s="28"/>
      <c r="O888" s="28"/>
      <c r="U888" s="28"/>
    </row>
    <row r="889">
      <c r="N889" s="28"/>
      <c r="O889" s="28"/>
      <c r="U889" s="28"/>
    </row>
    <row r="890">
      <c r="N890" s="28"/>
      <c r="O890" s="28"/>
      <c r="U890" s="28"/>
    </row>
    <row r="891">
      <c r="N891" s="28"/>
      <c r="O891" s="28"/>
      <c r="U891" s="28"/>
    </row>
    <row r="892">
      <c r="N892" s="28"/>
      <c r="O892" s="28"/>
      <c r="U892" s="28"/>
    </row>
    <row r="893">
      <c r="N893" s="28"/>
      <c r="O893" s="28"/>
      <c r="U893" s="28"/>
    </row>
    <row r="894">
      <c r="N894" s="28"/>
      <c r="O894" s="28"/>
      <c r="U894" s="28"/>
    </row>
    <row r="895">
      <c r="N895" s="28"/>
      <c r="O895" s="28"/>
      <c r="U895" s="28"/>
    </row>
    <row r="896">
      <c r="N896" s="28"/>
      <c r="O896" s="28"/>
      <c r="U896" s="28"/>
    </row>
    <row r="897">
      <c r="N897" s="28"/>
      <c r="O897" s="28"/>
      <c r="U897" s="28"/>
    </row>
    <row r="898">
      <c r="N898" s="28"/>
      <c r="O898" s="28"/>
      <c r="U898" s="28"/>
    </row>
    <row r="899">
      <c r="N899" s="28"/>
      <c r="O899" s="28"/>
      <c r="U899" s="28"/>
    </row>
    <row r="900">
      <c r="N900" s="28"/>
      <c r="O900" s="28"/>
      <c r="U900" s="28"/>
    </row>
    <row r="901">
      <c r="N901" s="28"/>
      <c r="O901" s="28"/>
      <c r="U901" s="28"/>
    </row>
    <row r="902">
      <c r="N902" s="28"/>
      <c r="O902" s="28"/>
      <c r="U902" s="28"/>
    </row>
    <row r="903">
      <c r="N903" s="28"/>
      <c r="O903" s="28"/>
      <c r="U903" s="28"/>
    </row>
    <row r="904">
      <c r="N904" s="28"/>
      <c r="O904" s="28"/>
      <c r="U904" s="28"/>
    </row>
    <row r="905">
      <c r="N905" s="28"/>
      <c r="O905" s="28"/>
      <c r="U905" s="28"/>
    </row>
    <row r="906">
      <c r="N906" s="28"/>
      <c r="O906" s="28"/>
      <c r="U906" s="28"/>
    </row>
    <row r="907">
      <c r="N907" s="28"/>
      <c r="O907" s="28"/>
      <c r="U907" s="28"/>
    </row>
    <row r="908">
      <c r="N908" s="28"/>
      <c r="O908" s="28"/>
      <c r="U908" s="28"/>
    </row>
    <row r="909">
      <c r="N909" s="28"/>
      <c r="O909" s="28"/>
      <c r="U909" s="28"/>
    </row>
    <row r="910">
      <c r="N910" s="28"/>
      <c r="O910" s="28"/>
      <c r="U910" s="28"/>
    </row>
    <row r="911">
      <c r="N911" s="28"/>
      <c r="O911" s="28"/>
      <c r="U911" s="28"/>
    </row>
    <row r="912">
      <c r="N912" s="28"/>
      <c r="O912" s="28"/>
      <c r="U912" s="28"/>
    </row>
    <row r="913">
      <c r="N913" s="28"/>
      <c r="O913" s="28"/>
      <c r="U913" s="28"/>
    </row>
    <row r="914">
      <c r="N914" s="28"/>
      <c r="O914" s="28"/>
      <c r="U914" s="28"/>
    </row>
    <row r="915">
      <c r="N915" s="28"/>
      <c r="O915" s="28"/>
      <c r="U915" s="28"/>
    </row>
    <row r="916">
      <c r="N916" s="28"/>
      <c r="O916" s="28"/>
      <c r="U916" s="28"/>
    </row>
    <row r="917">
      <c r="N917" s="28"/>
      <c r="O917" s="28"/>
      <c r="U917" s="28"/>
    </row>
    <row r="918">
      <c r="N918" s="28"/>
      <c r="O918" s="28"/>
      <c r="U918" s="28"/>
    </row>
    <row r="919">
      <c r="N919" s="28"/>
      <c r="O919" s="28"/>
      <c r="U919" s="28"/>
    </row>
    <row r="920">
      <c r="N920" s="28"/>
      <c r="O920" s="28"/>
      <c r="U920" s="28"/>
    </row>
    <row r="921">
      <c r="N921" s="28"/>
      <c r="O921" s="28"/>
      <c r="U921" s="28"/>
    </row>
    <row r="922">
      <c r="N922" s="28"/>
      <c r="O922" s="28"/>
      <c r="U922" s="28"/>
    </row>
    <row r="923">
      <c r="N923" s="28"/>
      <c r="O923" s="28"/>
      <c r="U923" s="28"/>
    </row>
    <row r="924">
      <c r="N924" s="28"/>
      <c r="O924" s="28"/>
      <c r="U924" s="28"/>
    </row>
    <row r="925">
      <c r="N925" s="28"/>
      <c r="O925" s="28"/>
      <c r="U925" s="28"/>
    </row>
    <row r="926">
      <c r="N926" s="28"/>
      <c r="O926" s="28"/>
      <c r="U926" s="28"/>
    </row>
    <row r="927">
      <c r="N927" s="28"/>
      <c r="O927" s="28"/>
      <c r="U927" s="28"/>
    </row>
    <row r="928">
      <c r="N928" s="28"/>
      <c r="O928" s="28"/>
      <c r="U928" s="28"/>
    </row>
    <row r="929">
      <c r="N929" s="28"/>
      <c r="O929" s="28"/>
      <c r="U929" s="28"/>
    </row>
    <row r="930">
      <c r="N930" s="28"/>
      <c r="O930" s="28"/>
      <c r="U930" s="28"/>
    </row>
    <row r="931">
      <c r="N931" s="28"/>
      <c r="O931" s="28"/>
      <c r="U931" s="28"/>
    </row>
    <row r="932">
      <c r="N932" s="28"/>
      <c r="O932" s="28"/>
      <c r="U932" s="28"/>
    </row>
    <row r="933">
      <c r="N933" s="28"/>
      <c r="O933" s="28"/>
      <c r="U933" s="28"/>
    </row>
    <row r="934">
      <c r="N934" s="28"/>
      <c r="O934" s="28"/>
      <c r="U934" s="28"/>
    </row>
    <row r="935">
      <c r="N935" s="28"/>
      <c r="O935" s="28"/>
      <c r="U935" s="28"/>
    </row>
    <row r="936">
      <c r="N936" s="28"/>
      <c r="O936" s="28"/>
      <c r="U936" s="28"/>
    </row>
    <row r="937">
      <c r="N937" s="28"/>
      <c r="O937" s="28"/>
      <c r="U937" s="28"/>
    </row>
    <row r="938">
      <c r="N938" s="28"/>
      <c r="O938" s="28"/>
      <c r="U938" s="28"/>
    </row>
    <row r="939">
      <c r="N939" s="28"/>
      <c r="O939" s="28"/>
      <c r="U939" s="28"/>
    </row>
    <row r="940">
      <c r="N940" s="28"/>
      <c r="O940" s="28"/>
      <c r="U940" s="28"/>
    </row>
    <row r="941">
      <c r="N941" s="28"/>
      <c r="O941" s="28"/>
      <c r="U941" s="28"/>
    </row>
    <row r="942">
      <c r="N942" s="28"/>
      <c r="O942" s="28"/>
      <c r="U942" s="28"/>
    </row>
    <row r="943">
      <c r="N943" s="28"/>
      <c r="O943" s="28"/>
      <c r="U943" s="28"/>
    </row>
    <row r="944">
      <c r="N944" s="28"/>
      <c r="O944" s="28"/>
      <c r="U944" s="28"/>
    </row>
    <row r="945">
      <c r="N945" s="28"/>
      <c r="O945" s="28"/>
      <c r="U945" s="28"/>
    </row>
    <row r="946">
      <c r="N946" s="28"/>
      <c r="O946" s="28"/>
      <c r="U946" s="28"/>
    </row>
    <row r="947">
      <c r="N947" s="28"/>
      <c r="O947" s="28"/>
      <c r="U947" s="28"/>
    </row>
    <row r="948">
      <c r="N948" s="28"/>
      <c r="O948" s="28"/>
      <c r="U948" s="28"/>
    </row>
    <row r="949">
      <c r="N949" s="28"/>
      <c r="O949" s="28"/>
      <c r="U949" s="28"/>
    </row>
    <row r="950">
      <c r="N950" s="28"/>
      <c r="O950" s="28"/>
      <c r="U950" s="28"/>
    </row>
    <row r="951">
      <c r="N951" s="28"/>
      <c r="O951" s="28"/>
      <c r="U951" s="28"/>
    </row>
    <row r="952">
      <c r="N952" s="28"/>
      <c r="O952" s="28"/>
      <c r="U952" s="28"/>
    </row>
    <row r="953">
      <c r="N953" s="28"/>
      <c r="O953" s="28"/>
      <c r="U953" s="28"/>
    </row>
    <row r="954">
      <c r="N954" s="28"/>
      <c r="O954" s="28"/>
      <c r="U954" s="28"/>
    </row>
    <row r="955">
      <c r="N955" s="28"/>
      <c r="O955" s="28"/>
      <c r="U955" s="28"/>
    </row>
    <row r="956">
      <c r="N956" s="28"/>
      <c r="O956" s="28"/>
      <c r="U956" s="28"/>
    </row>
    <row r="957">
      <c r="N957" s="28"/>
      <c r="O957" s="28"/>
      <c r="U957" s="28"/>
    </row>
    <row r="958">
      <c r="N958" s="28"/>
      <c r="O958" s="28"/>
      <c r="U958" s="28"/>
    </row>
    <row r="959">
      <c r="N959" s="28"/>
      <c r="O959" s="28"/>
      <c r="U959" s="28"/>
    </row>
    <row r="960">
      <c r="N960" s="28"/>
      <c r="O960" s="28"/>
      <c r="U960" s="28"/>
    </row>
    <row r="961">
      <c r="N961" s="28"/>
      <c r="O961" s="28"/>
      <c r="U961" s="28"/>
    </row>
    <row r="962">
      <c r="N962" s="28"/>
      <c r="O962" s="28"/>
      <c r="U962" s="28"/>
    </row>
    <row r="963">
      <c r="N963" s="28"/>
      <c r="O963" s="28"/>
      <c r="U963" s="28"/>
    </row>
    <row r="964">
      <c r="N964" s="28"/>
      <c r="O964" s="28"/>
      <c r="U964" s="28"/>
    </row>
    <row r="965">
      <c r="N965" s="28"/>
      <c r="O965" s="28"/>
      <c r="U965" s="28"/>
    </row>
    <row r="966">
      <c r="N966" s="28"/>
      <c r="O966" s="28"/>
      <c r="U966" s="28"/>
    </row>
    <row r="967">
      <c r="N967" s="28"/>
      <c r="O967" s="28"/>
      <c r="U967" s="28"/>
    </row>
    <row r="968">
      <c r="N968" s="28"/>
      <c r="O968" s="28"/>
      <c r="U968" s="28"/>
    </row>
    <row r="969">
      <c r="N969" s="28"/>
      <c r="O969" s="28"/>
      <c r="U969" s="28"/>
    </row>
    <row r="970">
      <c r="N970" s="28"/>
      <c r="O970" s="28"/>
      <c r="U970" s="28"/>
    </row>
    <row r="971">
      <c r="N971" s="28"/>
      <c r="O971" s="28"/>
      <c r="U971" s="28"/>
    </row>
    <row r="972">
      <c r="N972" s="28"/>
      <c r="O972" s="28"/>
      <c r="U972" s="28"/>
    </row>
    <row r="973">
      <c r="N973" s="28"/>
      <c r="O973" s="28"/>
      <c r="U973" s="28"/>
    </row>
    <row r="974">
      <c r="N974" s="28"/>
      <c r="O974" s="28"/>
      <c r="U974" s="28"/>
    </row>
    <row r="975">
      <c r="N975" s="28"/>
      <c r="O975" s="28"/>
      <c r="U975" s="28"/>
    </row>
    <row r="976">
      <c r="N976" s="28"/>
      <c r="O976" s="28"/>
      <c r="U976" s="28"/>
    </row>
    <row r="977">
      <c r="N977" s="28"/>
      <c r="O977" s="28"/>
      <c r="U977" s="28"/>
    </row>
    <row r="978">
      <c r="N978" s="28"/>
      <c r="O978" s="28"/>
      <c r="U978" s="28"/>
    </row>
    <row r="979">
      <c r="N979" s="28"/>
      <c r="O979" s="28"/>
      <c r="U979" s="28"/>
    </row>
    <row r="980">
      <c r="N980" s="28"/>
      <c r="O980" s="28"/>
      <c r="U980" s="28"/>
    </row>
    <row r="981">
      <c r="N981" s="28"/>
      <c r="O981" s="28"/>
      <c r="U981" s="28"/>
    </row>
    <row r="982">
      <c r="N982" s="28"/>
      <c r="O982" s="28"/>
      <c r="U982" s="28"/>
    </row>
    <row r="983">
      <c r="N983" s="28"/>
      <c r="O983" s="28"/>
      <c r="U983" s="28"/>
    </row>
    <row r="984">
      <c r="N984" s="28"/>
      <c r="O984" s="28"/>
      <c r="U984" s="28"/>
    </row>
    <row r="985">
      <c r="N985" s="28"/>
      <c r="O985" s="28"/>
      <c r="U985" s="28"/>
    </row>
    <row r="986">
      <c r="N986" s="28"/>
      <c r="O986" s="28"/>
      <c r="U986" s="28"/>
    </row>
    <row r="987">
      <c r="N987" s="28"/>
      <c r="O987" s="28"/>
      <c r="U987" s="28"/>
    </row>
    <row r="988">
      <c r="N988" s="28"/>
      <c r="O988" s="28"/>
      <c r="U988" s="28"/>
    </row>
    <row r="989">
      <c r="N989" s="28"/>
      <c r="O989" s="28"/>
      <c r="U989" s="28"/>
    </row>
    <row r="990">
      <c r="N990" s="28"/>
      <c r="O990" s="28"/>
      <c r="U990" s="28"/>
    </row>
    <row r="991">
      <c r="N991" s="28"/>
      <c r="O991" s="28"/>
      <c r="U991" s="28"/>
    </row>
    <row r="992">
      <c r="N992" s="28"/>
      <c r="O992" s="28"/>
      <c r="U992" s="28"/>
    </row>
    <row r="993">
      <c r="N993" s="28"/>
      <c r="O993" s="28"/>
      <c r="U993" s="28"/>
    </row>
    <row r="994">
      <c r="N994" s="28"/>
      <c r="O994" s="28"/>
      <c r="U994" s="28"/>
    </row>
    <row r="995">
      <c r="N995" s="28"/>
      <c r="O995" s="28"/>
      <c r="U995" s="28"/>
    </row>
    <row r="996">
      <c r="N996" s="28"/>
      <c r="O996" s="28"/>
      <c r="U996" s="28"/>
    </row>
    <row r="997">
      <c r="N997" s="28"/>
      <c r="O997" s="28"/>
      <c r="U997" s="28"/>
    </row>
    <row r="998">
      <c r="N998" s="28"/>
      <c r="O998" s="28"/>
      <c r="U998" s="28"/>
    </row>
    <row r="999">
      <c r="N999" s="28"/>
      <c r="O999" s="28"/>
      <c r="U999" s="28"/>
    </row>
    <row r="1000">
      <c r="N1000" s="28"/>
      <c r="O1000" s="28"/>
      <c r="U1000" s="28"/>
    </row>
    <row r="1001">
      <c r="N1001" s="28"/>
      <c r="O1001" s="28"/>
      <c r="U1001" s="28"/>
    </row>
    <row r="1002">
      <c r="N1002" s="28"/>
      <c r="O1002" s="28"/>
      <c r="U1002" s="28"/>
    </row>
    <row r="1003">
      <c r="N1003" s="28"/>
      <c r="O1003" s="28"/>
      <c r="U1003" s="28"/>
    </row>
    <row r="1004">
      <c r="N1004" s="28"/>
      <c r="O1004" s="28"/>
      <c r="U1004" s="28"/>
    </row>
    <row r="1005">
      <c r="N1005" s="28"/>
      <c r="O1005" s="28"/>
      <c r="U1005" s="28"/>
    </row>
    <row r="1006">
      <c r="N1006" s="28"/>
      <c r="O1006" s="28"/>
      <c r="U1006" s="28"/>
    </row>
    <row r="1007">
      <c r="N1007" s="28"/>
      <c r="O1007" s="28"/>
      <c r="U1007" s="28"/>
    </row>
    <row r="1008">
      <c r="N1008" s="28"/>
      <c r="O1008" s="28"/>
      <c r="U1008" s="28"/>
    </row>
    <row r="1009">
      <c r="N1009" s="28"/>
      <c r="O1009" s="28"/>
      <c r="U1009" s="28"/>
    </row>
    <row r="1010">
      <c r="N1010" s="28"/>
      <c r="O1010" s="28"/>
      <c r="U1010" s="28"/>
    </row>
    <row r="1011">
      <c r="N1011" s="28"/>
      <c r="O1011" s="28"/>
      <c r="U1011" s="28"/>
    </row>
    <row r="1012">
      <c r="N1012" s="28"/>
      <c r="O1012" s="28"/>
      <c r="U1012" s="28"/>
    </row>
    <row r="1013">
      <c r="N1013" s="28"/>
      <c r="O1013" s="28"/>
      <c r="U1013" s="28"/>
    </row>
    <row r="1014">
      <c r="N1014" s="28"/>
      <c r="O1014" s="28"/>
      <c r="U1014" s="28"/>
    </row>
    <row r="1015">
      <c r="N1015" s="28"/>
      <c r="O1015" s="28"/>
      <c r="U1015" s="28"/>
    </row>
    <row r="1016">
      <c r="N1016" s="28"/>
      <c r="O1016" s="28"/>
      <c r="U1016" s="28"/>
    </row>
    <row r="1017">
      <c r="N1017" s="28"/>
      <c r="O1017" s="28"/>
      <c r="U1017" s="28"/>
    </row>
    <row r="1018">
      <c r="N1018" s="28"/>
      <c r="O1018" s="28"/>
      <c r="U1018" s="28"/>
    </row>
    <row r="1019">
      <c r="N1019" s="28"/>
      <c r="O1019" s="28"/>
      <c r="U1019" s="28"/>
    </row>
    <row r="1020">
      <c r="N1020" s="28"/>
      <c r="O1020" s="28"/>
      <c r="U1020" s="28"/>
    </row>
    <row r="1021">
      <c r="N1021" s="28"/>
      <c r="O1021" s="28"/>
      <c r="U1021" s="28"/>
    </row>
    <row r="1022">
      <c r="N1022" s="28"/>
      <c r="O1022" s="28"/>
      <c r="U1022" s="28"/>
    </row>
    <row r="1023">
      <c r="N1023" s="28"/>
      <c r="O1023" s="28"/>
      <c r="U1023" s="28"/>
    </row>
    <row r="1024">
      <c r="N1024" s="28"/>
      <c r="O1024" s="28"/>
      <c r="U1024" s="28"/>
    </row>
    <row r="1025">
      <c r="N1025" s="28"/>
      <c r="O1025" s="28"/>
      <c r="U1025" s="28"/>
    </row>
    <row r="1026">
      <c r="N1026" s="28"/>
      <c r="O1026" s="28"/>
      <c r="U1026" s="28"/>
    </row>
    <row r="1027">
      <c r="N1027" s="28"/>
      <c r="O1027" s="28"/>
      <c r="U1027" s="28"/>
    </row>
    <row r="1028">
      <c r="N1028" s="28"/>
      <c r="O1028" s="28"/>
      <c r="U1028" s="28"/>
    </row>
    <row r="1029">
      <c r="N1029" s="28"/>
      <c r="O1029" s="28"/>
      <c r="U1029" s="28"/>
    </row>
    <row r="1030">
      <c r="N1030" s="28"/>
      <c r="O1030" s="28"/>
      <c r="U1030" s="28"/>
    </row>
    <row r="1031">
      <c r="N1031" s="28"/>
      <c r="O1031" s="28"/>
      <c r="U1031" s="28"/>
    </row>
    <row r="1032">
      <c r="N1032" s="28"/>
      <c r="O1032" s="28"/>
      <c r="U1032" s="28"/>
    </row>
    <row r="1033">
      <c r="N1033" s="28"/>
      <c r="O1033" s="28"/>
      <c r="U1033" s="28"/>
    </row>
    <row r="1034">
      <c r="N1034" s="28"/>
      <c r="O1034" s="28"/>
      <c r="U1034" s="28"/>
    </row>
    <row r="1035">
      <c r="N1035" s="28"/>
      <c r="O1035" s="28"/>
      <c r="U1035" s="28"/>
    </row>
    <row r="1036">
      <c r="N1036" s="28"/>
      <c r="O1036" s="28"/>
      <c r="U1036" s="28"/>
    </row>
    <row r="1037">
      <c r="N1037" s="28"/>
      <c r="O1037" s="28"/>
      <c r="U1037" s="28"/>
    </row>
    <row r="1038">
      <c r="N1038" s="28"/>
      <c r="O1038" s="28"/>
      <c r="U1038" s="28"/>
    </row>
    <row r="1039">
      <c r="N1039" s="28"/>
      <c r="O1039" s="28"/>
      <c r="U1039" s="28"/>
    </row>
    <row r="1040">
      <c r="N1040" s="28"/>
      <c r="O1040" s="28"/>
      <c r="U1040" s="28"/>
    </row>
    <row r="1041">
      <c r="N1041" s="28"/>
      <c r="O1041" s="28"/>
      <c r="U1041" s="28"/>
    </row>
    <row r="1042">
      <c r="N1042" s="28"/>
      <c r="O1042" s="28"/>
      <c r="U1042" s="28"/>
    </row>
    <row r="1043">
      <c r="N1043" s="28"/>
      <c r="O1043" s="28"/>
      <c r="U1043" s="28"/>
    </row>
    <row r="1044">
      <c r="N1044" s="28"/>
      <c r="O1044" s="28"/>
      <c r="U1044" s="28"/>
    </row>
    <row r="1045">
      <c r="N1045" s="28"/>
      <c r="O1045" s="28"/>
      <c r="U1045" s="28"/>
    </row>
    <row r="1046">
      <c r="N1046" s="28"/>
      <c r="O1046" s="28"/>
      <c r="U1046" s="28"/>
    </row>
    <row r="1047">
      <c r="N1047" s="28"/>
      <c r="O1047" s="28"/>
      <c r="U1047" s="28"/>
    </row>
    <row r="1048">
      <c r="N1048" s="28"/>
      <c r="O1048" s="28"/>
      <c r="U1048" s="28"/>
    </row>
    <row r="1049">
      <c r="N1049" s="28"/>
      <c r="O1049" s="28"/>
      <c r="U1049" s="28"/>
    </row>
    <row r="1050">
      <c r="N1050" s="28"/>
      <c r="O1050" s="28"/>
      <c r="U1050" s="28"/>
    </row>
    <row r="1051">
      <c r="N1051" s="28"/>
      <c r="O1051" s="28"/>
      <c r="U1051" s="28"/>
    </row>
    <row r="1052">
      <c r="N1052" s="28"/>
      <c r="O1052" s="28"/>
      <c r="U1052" s="28"/>
    </row>
    <row r="1053">
      <c r="N1053" s="28"/>
      <c r="O1053" s="28"/>
      <c r="U1053" s="28"/>
    </row>
    <row r="1054">
      <c r="N1054" s="28"/>
      <c r="O1054" s="28"/>
      <c r="U1054" s="28"/>
    </row>
    <row r="1055">
      <c r="N1055" s="28"/>
      <c r="O1055" s="28"/>
      <c r="U1055" s="28"/>
    </row>
    <row r="1056">
      <c r="N1056" s="28"/>
      <c r="O1056" s="28"/>
      <c r="U1056" s="28"/>
    </row>
    <row r="1057">
      <c r="N1057" s="28"/>
      <c r="O1057" s="28"/>
      <c r="U1057" s="28"/>
    </row>
    <row r="1058">
      <c r="N1058" s="28"/>
      <c r="O1058" s="28"/>
      <c r="U1058" s="28"/>
    </row>
    <row r="1059">
      <c r="N1059" s="28"/>
      <c r="O1059" s="28"/>
      <c r="U1059" s="28"/>
    </row>
    <row r="1060">
      <c r="N1060" s="28"/>
      <c r="O1060" s="28"/>
      <c r="U1060" s="28"/>
    </row>
    <row r="1061">
      <c r="N1061" s="28"/>
      <c r="O1061" s="28"/>
      <c r="U1061" s="28"/>
    </row>
    <row r="1062">
      <c r="N1062" s="28"/>
      <c r="O1062" s="28"/>
      <c r="U1062" s="28"/>
    </row>
    <row r="1063">
      <c r="N1063" s="28"/>
      <c r="O1063" s="28"/>
      <c r="U1063" s="28"/>
    </row>
    <row r="1064">
      <c r="N1064" s="28"/>
      <c r="O1064" s="28"/>
      <c r="U1064" s="28"/>
    </row>
    <row r="1065">
      <c r="N1065" s="28"/>
      <c r="O1065" s="28"/>
      <c r="U1065" s="28"/>
    </row>
    <row r="1066">
      <c r="N1066" s="28"/>
      <c r="O1066" s="28"/>
      <c r="U1066" s="28"/>
    </row>
    <row r="1067">
      <c r="N1067" s="28"/>
      <c r="O1067" s="28"/>
      <c r="U1067" s="28"/>
    </row>
    <row r="1068">
      <c r="N1068" s="28"/>
      <c r="O1068" s="28"/>
      <c r="U1068" s="28"/>
    </row>
    <row r="1069">
      <c r="N1069" s="28"/>
      <c r="O1069" s="28"/>
      <c r="U1069" s="28"/>
    </row>
    <row r="1070">
      <c r="N1070" s="28"/>
      <c r="O1070" s="28"/>
      <c r="U1070" s="28"/>
    </row>
    <row r="1071">
      <c r="N1071" s="28"/>
      <c r="O1071" s="28"/>
      <c r="U1071" s="28"/>
    </row>
    <row r="1072">
      <c r="N1072" s="28"/>
      <c r="O1072" s="28"/>
      <c r="U1072" s="28"/>
    </row>
    <row r="1073">
      <c r="N1073" s="28"/>
      <c r="O1073" s="28"/>
      <c r="U1073" s="28"/>
    </row>
    <row r="1074">
      <c r="N1074" s="28"/>
      <c r="O1074" s="28"/>
      <c r="U1074" s="28"/>
    </row>
    <row r="1075">
      <c r="N1075" s="28"/>
      <c r="O1075" s="28"/>
      <c r="U1075" s="28"/>
    </row>
    <row r="1076">
      <c r="N1076" s="28"/>
      <c r="O1076" s="28"/>
      <c r="U1076" s="28"/>
    </row>
    <row r="1077">
      <c r="N1077" s="28"/>
      <c r="O1077" s="28"/>
      <c r="U1077" s="28"/>
    </row>
    <row r="1078">
      <c r="N1078" s="28"/>
      <c r="O1078" s="28"/>
      <c r="U1078" s="28"/>
    </row>
    <row r="1079">
      <c r="N1079" s="28"/>
      <c r="O1079" s="28"/>
      <c r="U1079" s="28"/>
    </row>
    <row r="1080">
      <c r="N1080" s="28"/>
      <c r="O1080" s="28"/>
      <c r="U1080" s="28"/>
    </row>
    <row r="1081">
      <c r="N1081" s="28"/>
      <c r="O1081" s="28"/>
      <c r="U1081" s="28"/>
    </row>
    <row r="1082">
      <c r="N1082" s="28"/>
      <c r="O1082" s="28"/>
      <c r="U1082" s="28"/>
    </row>
    <row r="1083">
      <c r="N1083" s="28"/>
      <c r="O1083" s="28"/>
      <c r="U1083" s="28"/>
    </row>
    <row r="1084">
      <c r="N1084" s="28"/>
      <c r="O1084" s="28"/>
      <c r="U1084" s="28"/>
    </row>
    <row r="1085">
      <c r="N1085" s="28"/>
      <c r="O1085" s="28"/>
      <c r="U1085" s="28"/>
    </row>
    <row r="1086">
      <c r="N1086" s="28"/>
      <c r="O1086" s="28"/>
      <c r="U1086" s="28"/>
    </row>
    <row r="1087">
      <c r="N1087" s="28"/>
      <c r="O1087" s="28"/>
      <c r="U1087" s="28"/>
    </row>
    <row r="1088">
      <c r="N1088" s="28"/>
      <c r="O1088" s="28"/>
      <c r="U1088" s="28"/>
    </row>
    <row r="1089">
      <c r="N1089" s="28"/>
      <c r="O1089" s="28"/>
      <c r="U1089" s="28"/>
    </row>
    <row r="1090">
      <c r="N1090" s="28"/>
      <c r="O1090" s="28"/>
      <c r="U1090" s="28"/>
    </row>
    <row r="1091">
      <c r="N1091" s="28"/>
      <c r="O1091" s="28"/>
      <c r="U1091" s="28"/>
    </row>
    <row r="1092">
      <c r="N1092" s="28"/>
      <c r="O1092" s="28"/>
      <c r="U1092" s="28"/>
    </row>
    <row r="1093">
      <c r="N1093" s="28"/>
      <c r="O1093" s="28"/>
      <c r="U1093" s="28"/>
    </row>
    <row r="1094">
      <c r="N1094" s="28"/>
      <c r="O1094" s="28"/>
      <c r="U1094" s="28"/>
    </row>
    <row r="1095">
      <c r="N1095" s="28"/>
      <c r="O1095" s="28"/>
      <c r="U1095" s="28"/>
    </row>
    <row r="1096">
      <c r="N1096" s="28"/>
      <c r="O1096" s="28"/>
      <c r="U1096" s="28"/>
    </row>
    <row r="1097">
      <c r="N1097" s="28"/>
      <c r="O1097" s="28"/>
      <c r="U1097" s="28"/>
    </row>
    <row r="1098">
      <c r="N1098" s="28"/>
      <c r="O1098" s="28"/>
      <c r="U1098" s="28"/>
    </row>
    <row r="1099">
      <c r="N1099" s="28"/>
      <c r="O1099" s="28"/>
      <c r="U1099" s="28"/>
    </row>
    <row r="1100">
      <c r="N1100" s="28"/>
      <c r="O1100" s="28"/>
      <c r="U1100" s="28"/>
    </row>
    <row r="1101">
      <c r="N1101" s="28"/>
      <c r="O1101" s="28"/>
      <c r="U1101" s="28"/>
    </row>
    <row r="1102">
      <c r="N1102" s="28"/>
      <c r="O1102" s="28"/>
      <c r="U1102" s="28"/>
    </row>
    <row r="1103">
      <c r="N1103" s="28"/>
      <c r="O1103" s="28"/>
      <c r="U1103" s="28"/>
    </row>
    <row r="1104">
      <c r="N1104" s="28"/>
      <c r="O1104" s="28"/>
      <c r="U1104" s="28"/>
    </row>
    <row r="1105">
      <c r="N1105" s="28"/>
      <c r="O1105" s="28"/>
      <c r="U1105" s="28"/>
    </row>
    <row r="1106">
      <c r="N1106" s="28"/>
      <c r="O1106" s="28"/>
      <c r="U1106" s="28"/>
    </row>
    <row r="1107">
      <c r="N1107" s="28"/>
      <c r="O1107" s="28"/>
      <c r="U1107" s="28"/>
    </row>
    <row r="1108">
      <c r="N1108" s="28"/>
      <c r="O1108" s="28"/>
      <c r="U1108" s="28"/>
    </row>
    <row r="1109">
      <c r="N1109" s="28"/>
      <c r="O1109" s="28"/>
      <c r="U1109" s="28"/>
    </row>
    <row r="1110">
      <c r="N1110" s="28"/>
      <c r="O1110" s="28"/>
      <c r="U1110" s="28"/>
    </row>
    <row r="1111">
      <c r="N1111" s="28"/>
      <c r="O1111" s="28"/>
      <c r="U1111" s="28"/>
    </row>
    <row r="1112">
      <c r="N1112" s="28"/>
      <c r="O1112" s="28"/>
      <c r="U1112" s="28"/>
    </row>
    <row r="1113">
      <c r="N1113" s="28"/>
      <c r="O1113" s="28"/>
      <c r="U1113" s="28"/>
    </row>
    <row r="1114">
      <c r="N1114" s="28"/>
      <c r="O1114" s="28"/>
      <c r="U1114" s="28"/>
    </row>
    <row r="1115">
      <c r="N1115" s="28"/>
      <c r="O1115" s="28"/>
      <c r="U1115" s="28"/>
    </row>
    <row r="1116">
      <c r="N1116" s="28"/>
      <c r="O1116" s="28"/>
      <c r="U1116" s="28"/>
    </row>
    <row r="1117">
      <c r="N1117" s="28"/>
      <c r="O1117" s="28"/>
      <c r="U1117" s="28"/>
    </row>
    <row r="1118">
      <c r="N1118" s="28"/>
      <c r="O1118" s="28"/>
      <c r="U1118" s="28"/>
    </row>
    <row r="1119">
      <c r="N1119" s="28"/>
      <c r="O1119" s="28"/>
      <c r="U1119" s="28"/>
    </row>
    <row r="1120">
      <c r="N1120" s="28"/>
      <c r="O1120" s="28"/>
      <c r="U1120" s="28"/>
    </row>
    <row r="1121">
      <c r="N1121" s="28"/>
      <c r="O1121" s="28"/>
      <c r="U1121" s="28"/>
    </row>
    <row r="1122">
      <c r="N1122" s="28"/>
      <c r="O1122" s="28"/>
      <c r="U1122" s="28"/>
    </row>
    <row r="1123">
      <c r="N1123" s="28"/>
      <c r="O1123" s="28"/>
      <c r="U1123" s="28"/>
    </row>
    <row r="1124">
      <c r="N1124" s="28"/>
      <c r="O1124" s="28"/>
      <c r="U1124" s="28"/>
    </row>
    <row r="1125">
      <c r="N1125" s="28"/>
      <c r="O1125" s="28"/>
      <c r="U1125" s="28"/>
    </row>
    <row r="1126">
      <c r="N1126" s="28"/>
      <c r="O1126" s="28"/>
      <c r="U1126" s="28"/>
    </row>
    <row r="1127">
      <c r="N1127" s="28"/>
      <c r="O1127" s="28"/>
      <c r="U1127" s="28"/>
    </row>
    <row r="1128">
      <c r="N1128" s="28"/>
      <c r="O1128" s="28"/>
      <c r="U1128" s="28"/>
    </row>
    <row r="1129">
      <c r="N1129" s="28"/>
      <c r="O1129" s="28"/>
      <c r="U1129" s="28"/>
    </row>
    <row r="1130">
      <c r="N1130" s="28"/>
      <c r="O1130" s="28"/>
      <c r="U1130" s="28"/>
    </row>
    <row r="1131">
      <c r="N1131" s="28"/>
      <c r="O1131" s="28"/>
      <c r="U1131" s="28"/>
    </row>
    <row r="1132">
      <c r="N1132" s="28"/>
      <c r="O1132" s="28"/>
      <c r="U1132" s="28"/>
    </row>
    <row r="1133">
      <c r="N1133" s="28"/>
      <c r="O1133" s="28"/>
      <c r="U1133" s="28"/>
    </row>
    <row r="1134">
      <c r="N1134" s="28"/>
      <c r="O1134" s="28"/>
      <c r="U1134" s="28"/>
    </row>
    <row r="1135">
      <c r="N1135" s="28"/>
      <c r="O1135" s="28"/>
      <c r="U1135" s="28"/>
    </row>
    <row r="1136">
      <c r="N1136" s="28"/>
      <c r="O1136" s="28"/>
      <c r="U1136" s="28"/>
    </row>
    <row r="1137">
      <c r="N1137" s="28"/>
      <c r="O1137" s="28"/>
      <c r="U1137" s="28"/>
    </row>
    <row r="1138">
      <c r="N1138" s="28"/>
      <c r="O1138" s="28"/>
      <c r="U1138" s="28"/>
    </row>
    <row r="1139">
      <c r="N1139" s="28"/>
      <c r="O1139" s="28"/>
      <c r="U1139" s="28"/>
    </row>
    <row r="1140">
      <c r="N1140" s="28"/>
      <c r="O1140" s="28"/>
      <c r="U1140" s="28"/>
    </row>
    <row r="1141">
      <c r="N1141" s="28"/>
      <c r="O1141" s="28"/>
      <c r="U1141" s="28"/>
    </row>
    <row r="1142">
      <c r="N1142" s="28"/>
      <c r="O1142" s="28"/>
      <c r="U1142" s="28"/>
    </row>
    <row r="1143">
      <c r="N1143" s="28"/>
      <c r="O1143" s="28"/>
      <c r="U1143" s="28"/>
    </row>
    <row r="1144">
      <c r="N1144" s="28"/>
      <c r="O1144" s="28"/>
      <c r="U1144" s="28"/>
    </row>
    <row r="1145">
      <c r="N1145" s="28"/>
      <c r="O1145" s="28"/>
      <c r="U1145" s="28"/>
    </row>
    <row r="1146">
      <c r="N1146" s="28"/>
      <c r="O1146" s="28"/>
      <c r="U1146" s="28"/>
    </row>
    <row r="1147">
      <c r="N1147" s="28"/>
      <c r="O1147" s="28"/>
      <c r="U1147" s="28"/>
    </row>
    <row r="1148">
      <c r="N1148" s="28"/>
      <c r="O1148" s="28"/>
      <c r="U1148" s="28"/>
    </row>
    <row r="1149">
      <c r="N1149" s="28"/>
      <c r="O1149" s="28"/>
      <c r="U1149" s="28"/>
    </row>
    <row r="1150">
      <c r="N1150" s="28"/>
      <c r="O1150" s="28"/>
      <c r="U1150" s="28"/>
    </row>
    <row r="1151">
      <c r="N1151" s="28"/>
      <c r="O1151" s="28"/>
      <c r="U1151" s="28"/>
    </row>
    <row r="1152">
      <c r="N1152" s="28"/>
      <c r="O1152" s="28"/>
      <c r="U1152" s="28"/>
    </row>
    <row r="1153">
      <c r="N1153" s="28"/>
      <c r="O1153" s="28"/>
      <c r="U1153" s="28"/>
    </row>
    <row r="1154">
      <c r="N1154" s="28"/>
      <c r="O1154" s="28"/>
      <c r="U1154" s="28"/>
    </row>
    <row r="1155">
      <c r="N1155" s="28"/>
      <c r="O1155" s="28"/>
      <c r="U1155" s="28"/>
    </row>
    <row r="1156">
      <c r="N1156" s="28"/>
      <c r="O1156" s="28"/>
      <c r="U1156" s="28"/>
    </row>
    <row r="1157">
      <c r="N1157" s="28"/>
      <c r="O1157" s="28"/>
      <c r="U1157" s="28"/>
    </row>
    <row r="1158">
      <c r="N1158" s="28"/>
      <c r="O1158" s="28"/>
      <c r="U1158" s="28"/>
    </row>
    <row r="1159">
      <c r="N1159" s="28"/>
      <c r="O1159" s="28"/>
      <c r="U1159" s="28"/>
    </row>
    <row r="1160">
      <c r="N1160" s="28"/>
      <c r="O1160" s="28"/>
      <c r="U1160" s="28"/>
    </row>
    <row r="1161">
      <c r="N1161" s="28"/>
      <c r="O1161" s="28"/>
      <c r="U1161" s="28"/>
    </row>
    <row r="1162">
      <c r="N1162" s="28"/>
      <c r="O1162" s="28"/>
      <c r="U1162" s="28"/>
    </row>
    <row r="1163">
      <c r="N1163" s="28"/>
      <c r="O1163" s="28"/>
      <c r="U1163" s="28"/>
    </row>
    <row r="1164">
      <c r="N1164" s="28"/>
      <c r="O1164" s="28"/>
      <c r="U1164" s="28"/>
    </row>
    <row r="1165">
      <c r="N1165" s="28"/>
      <c r="O1165" s="28"/>
      <c r="U1165" s="28"/>
    </row>
    <row r="1166">
      <c r="N1166" s="28"/>
      <c r="O1166" s="28"/>
      <c r="U1166" s="28"/>
    </row>
    <row r="1167">
      <c r="N1167" s="28"/>
      <c r="O1167" s="28"/>
      <c r="U1167" s="28"/>
    </row>
    <row r="1168">
      <c r="N1168" s="28"/>
      <c r="O1168" s="28"/>
      <c r="U1168" s="28"/>
    </row>
    <row r="1169">
      <c r="N1169" s="28"/>
      <c r="O1169" s="28"/>
      <c r="U1169" s="28"/>
    </row>
    <row r="1170">
      <c r="N1170" s="28"/>
      <c r="O1170" s="28"/>
      <c r="U1170" s="28"/>
    </row>
    <row r="1171">
      <c r="N1171" s="28"/>
      <c r="O1171" s="28"/>
      <c r="U1171" s="28"/>
    </row>
    <row r="1172">
      <c r="N1172" s="28"/>
      <c r="O1172" s="28"/>
      <c r="U1172" s="28"/>
    </row>
    <row r="1173">
      <c r="N1173" s="28"/>
      <c r="O1173" s="28"/>
      <c r="U1173" s="28"/>
    </row>
    <row r="1174">
      <c r="N1174" s="28"/>
      <c r="O1174" s="28"/>
      <c r="U1174" s="28"/>
    </row>
    <row r="1175">
      <c r="N1175" s="28"/>
      <c r="O1175" s="28"/>
      <c r="U1175" s="28"/>
    </row>
    <row r="1176">
      <c r="N1176" s="28"/>
      <c r="O1176" s="28"/>
      <c r="U1176" s="28"/>
    </row>
    <row r="1177">
      <c r="N1177" s="28"/>
      <c r="O1177" s="28"/>
      <c r="U1177" s="28"/>
    </row>
    <row r="1178">
      <c r="N1178" s="28"/>
      <c r="O1178" s="28"/>
      <c r="U1178" s="28"/>
    </row>
    <row r="1179">
      <c r="N1179" s="28"/>
      <c r="O1179" s="28"/>
      <c r="U1179" s="28"/>
    </row>
    <row r="1180">
      <c r="N1180" s="28"/>
      <c r="O1180" s="28"/>
      <c r="U1180" s="28"/>
    </row>
    <row r="1181">
      <c r="N1181" s="28"/>
      <c r="O1181" s="28"/>
      <c r="U1181" s="28"/>
    </row>
    <row r="1182">
      <c r="N1182" s="28"/>
      <c r="O1182" s="28"/>
      <c r="U1182" s="28"/>
    </row>
    <row r="1183">
      <c r="N1183" s="28"/>
      <c r="O1183" s="28"/>
      <c r="U1183" s="28"/>
    </row>
    <row r="1184">
      <c r="N1184" s="28"/>
      <c r="O1184" s="28"/>
      <c r="U1184" s="28"/>
    </row>
    <row r="1185">
      <c r="N1185" s="28"/>
      <c r="O1185" s="28"/>
      <c r="U1185" s="28"/>
    </row>
    <row r="1186">
      <c r="N1186" s="28"/>
      <c r="O1186" s="28"/>
      <c r="U1186" s="28"/>
    </row>
    <row r="1187">
      <c r="N1187" s="28"/>
      <c r="O1187" s="28"/>
      <c r="U1187" s="28"/>
    </row>
    <row r="1188">
      <c r="N1188" s="28"/>
      <c r="O1188" s="28"/>
      <c r="U1188" s="28"/>
    </row>
    <row r="1189">
      <c r="N1189" s="28"/>
      <c r="O1189" s="28"/>
      <c r="U1189" s="28"/>
    </row>
    <row r="1190">
      <c r="N1190" s="28"/>
      <c r="O1190" s="28"/>
      <c r="U1190" s="28"/>
    </row>
    <row r="1191">
      <c r="N1191" s="28"/>
      <c r="O1191" s="28"/>
      <c r="U1191" s="28"/>
    </row>
    <row r="1192">
      <c r="N1192" s="28"/>
      <c r="O1192" s="28"/>
      <c r="U1192" s="28"/>
    </row>
    <row r="1193">
      <c r="N1193" s="28"/>
      <c r="O1193" s="28"/>
      <c r="U1193" s="28"/>
    </row>
    <row r="1194">
      <c r="N1194" s="28"/>
      <c r="O1194" s="28"/>
      <c r="U1194" s="28"/>
    </row>
    <row r="1195">
      <c r="N1195" s="28"/>
      <c r="O1195" s="28"/>
      <c r="U1195" s="28"/>
    </row>
    <row r="1196">
      <c r="N1196" s="28"/>
      <c r="O1196" s="28"/>
      <c r="U1196" s="28"/>
    </row>
    <row r="1197">
      <c r="N1197" s="28"/>
      <c r="O1197" s="28"/>
      <c r="U1197" s="28"/>
    </row>
    <row r="1198">
      <c r="N1198" s="28"/>
      <c r="O1198" s="28"/>
      <c r="U1198" s="28"/>
    </row>
    <row r="1199">
      <c r="N1199" s="28"/>
      <c r="O1199" s="28"/>
      <c r="U1199" s="28"/>
    </row>
    <row r="1200">
      <c r="N1200" s="28"/>
      <c r="O1200" s="28"/>
      <c r="U1200" s="28"/>
    </row>
    <row r="1201">
      <c r="N1201" s="28"/>
      <c r="O1201" s="28"/>
      <c r="U1201" s="28"/>
    </row>
    <row r="1202">
      <c r="N1202" s="28"/>
      <c r="O1202" s="28"/>
      <c r="U1202" s="28"/>
    </row>
    <row r="1203">
      <c r="N1203" s="28"/>
      <c r="O1203" s="28"/>
      <c r="U1203" s="28"/>
    </row>
    <row r="1204">
      <c r="N1204" s="28"/>
      <c r="O1204" s="28"/>
      <c r="U1204" s="28"/>
    </row>
    <row r="1205">
      <c r="N1205" s="28"/>
      <c r="O1205" s="28"/>
      <c r="U1205" s="28"/>
    </row>
    <row r="1206">
      <c r="N1206" s="28"/>
      <c r="O1206" s="28"/>
      <c r="U1206" s="28"/>
    </row>
    <row r="1207">
      <c r="N1207" s="28"/>
      <c r="O1207" s="28"/>
      <c r="U1207" s="28"/>
    </row>
    <row r="1208">
      <c r="N1208" s="28"/>
      <c r="O1208" s="28"/>
      <c r="U1208" s="28"/>
    </row>
    <row r="1209">
      <c r="N1209" s="28"/>
      <c r="O1209" s="28"/>
      <c r="U1209" s="28"/>
    </row>
    <row r="1210">
      <c r="N1210" s="28"/>
      <c r="O1210" s="28"/>
      <c r="U1210" s="28"/>
    </row>
    <row r="1211">
      <c r="N1211" s="28"/>
      <c r="O1211" s="28"/>
      <c r="U1211" s="28"/>
    </row>
    <row r="1212">
      <c r="N1212" s="28"/>
      <c r="O1212" s="28"/>
      <c r="U1212" s="28"/>
    </row>
    <row r="1213">
      <c r="N1213" s="28"/>
      <c r="O1213" s="28"/>
      <c r="U1213" s="28"/>
    </row>
    <row r="1214">
      <c r="N1214" s="28"/>
      <c r="O1214" s="28"/>
      <c r="U1214" s="28"/>
    </row>
    <row r="1215">
      <c r="N1215" s="28"/>
      <c r="O1215" s="28"/>
      <c r="U1215" s="28"/>
    </row>
    <row r="1216">
      <c r="N1216" s="28"/>
      <c r="O1216" s="28"/>
      <c r="U1216" s="28"/>
    </row>
    <row r="1217">
      <c r="N1217" s="28"/>
      <c r="O1217" s="28"/>
      <c r="U1217" s="28"/>
    </row>
    <row r="1218">
      <c r="N1218" s="28"/>
      <c r="O1218" s="28"/>
      <c r="U1218" s="28"/>
    </row>
    <row r="1219">
      <c r="N1219" s="28"/>
      <c r="O1219" s="28"/>
      <c r="U1219" s="28"/>
    </row>
    <row r="1220">
      <c r="N1220" s="28"/>
      <c r="O1220" s="28"/>
      <c r="U1220" s="28"/>
    </row>
    <row r="1221">
      <c r="N1221" s="28"/>
      <c r="O1221" s="28"/>
      <c r="U1221" s="28"/>
    </row>
    <row r="1222">
      <c r="N1222" s="28"/>
      <c r="O1222" s="28"/>
      <c r="U1222" s="28"/>
    </row>
    <row r="1223">
      <c r="N1223" s="28"/>
      <c r="O1223" s="28"/>
      <c r="U1223" s="28"/>
    </row>
    <row r="1224">
      <c r="N1224" s="28"/>
      <c r="O1224" s="28"/>
      <c r="U1224" s="28"/>
    </row>
    <row r="1225">
      <c r="N1225" s="28"/>
      <c r="O1225" s="28"/>
      <c r="U1225" s="28"/>
    </row>
    <row r="1226">
      <c r="N1226" s="28"/>
      <c r="O1226" s="28"/>
      <c r="U1226" s="28"/>
    </row>
    <row r="1227">
      <c r="N1227" s="28"/>
      <c r="O1227" s="28"/>
      <c r="U1227" s="28"/>
    </row>
    <row r="1228">
      <c r="N1228" s="28"/>
      <c r="O1228" s="28"/>
      <c r="U1228" s="28"/>
    </row>
    <row r="1229">
      <c r="N1229" s="28"/>
      <c r="O1229" s="28"/>
      <c r="U1229" s="28"/>
    </row>
    <row r="1230">
      <c r="N1230" s="28"/>
      <c r="O1230" s="28"/>
      <c r="U1230" s="28"/>
    </row>
    <row r="1231">
      <c r="N1231" s="28"/>
      <c r="O1231" s="28"/>
      <c r="U1231" s="28"/>
    </row>
    <row r="1232">
      <c r="N1232" s="28"/>
      <c r="O1232" s="28"/>
      <c r="U1232" s="28"/>
    </row>
    <row r="1233">
      <c r="N1233" s="28"/>
      <c r="O1233" s="28"/>
      <c r="U1233" s="28"/>
    </row>
    <row r="1234">
      <c r="N1234" s="28"/>
      <c r="O1234" s="28"/>
      <c r="U1234" s="28"/>
    </row>
    <row r="1235">
      <c r="N1235" s="28"/>
      <c r="O1235" s="28"/>
      <c r="U1235" s="28"/>
    </row>
    <row r="1236">
      <c r="N1236" s="28"/>
      <c r="O1236" s="28"/>
      <c r="U1236" s="28"/>
    </row>
    <row r="1237">
      <c r="N1237" s="28"/>
      <c r="O1237" s="28"/>
      <c r="U1237" s="28"/>
    </row>
    <row r="1238">
      <c r="N1238" s="28"/>
      <c r="O1238" s="28"/>
      <c r="U1238" s="28"/>
    </row>
    <row r="1239">
      <c r="N1239" s="28"/>
      <c r="O1239" s="28"/>
      <c r="U1239" s="28"/>
    </row>
    <row r="1240">
      <c r="N1240" s="28"/>
      <c r="O1240" s="28"/>
      <c r="U1240" s="28"/>
    </row>
    <row r="1241">
      <c r="N1241" s="28"/>
      <c r="O1241" s="28"/>
      <c r="U1241" s="28"/>
    </row>
    <row r="1242">
      <c r="N1242" s="28"/>
      <c r="O1242" s="28"/>
      <c r="U1242" s="28"/>
    </row>
    <row r="1243">
      <c r="N1243" s="28"/>
      <c r="O1243" s="28"/>
      <c r="U1243" s="28"/>
    </row>
    <row r="1244">
      <c r="N1244" s="28"/>
      <c r="O1244" s="28"/>
      <c r="U1244" s="28"/>
    </row>
    <row r="1245">
      <c r="N1245" s="28"/>
      <c r="O1245" s="28"/>
      <c r="U1245" s="28"/>
    </row>
    <row r="1246">
      <c r="N1246" s="28"/>
      <c r="O1246" s="28"/>
      <c r="U1246" s="28"/>
    </row>
    <row r="1247">
      <c r="N1247" s="28"/>
      <c r="O1247" s="28"/>
      <c r="U1247" s="28"/>
    </row>
    <row r="1248">
      <c r="N1248" s="28"/>
      <c r="O1248" s="28"/>
      <c r="U1248" s="28"/>
    </row>
    <row r="1249">
      <c r="N1249" s="28"/>
      <c r="O1249" s="28"/>
      <c r="U1249" s="28"/>
    </row>
    <row r="1250">
      <c r="N1250" s="28"/>
      <c r="O1250" s="28"/>
      <c r="U1250" s="28"/>
    </row>
    <row r="1251">
      <c r="N1251" s="28"/>
      <c r="O1251" s="28"/>
      <c r="U1251" s="28"/>
    </row>
    <row r="1252">
      <c r="N1252" s="28"/>
      <c r="O1252" s="28"/>
      <c r="U1252" s="28"/>
    </row>
    <row r="1253">
      <c r="N1253" s="28"/>
      <c r="O1253" s="28"/>
      <c r="U1253" s="28"/>
    </row>
    <row r="1254">
      <c r="N1254" s="28"/>
      <c r="O1254" s="28"/>
      <c r="U1254" s="28"/>
    </row>
    <row r="1255">
      <c r="N1255" s="28"/>
      <c r="O1255" s="28"/>
      <c r="U1255" s="28"/>
    </row>
    <row r="1256">
      <c r="N1256" s="28"/>
      <c r="O1256" s="28"/>
      <c r="U1256" s="28"/>
    </row>
    <row r="1257">
      <c r="N1257" s="28"/>
      <c r="O1257" s="28"/>
      <c r="U1257" s="28"/>
    </row>
    <row r="1258">
      <c r="N1258" s="28"/>
      <c r="O1258" s="28"/>
      <c r="U1258" s="28"/>
    </row>
    <row r="1259">
      <c r="N1259" s="28"/>
      <c r="O1259" s="28"/>
      <c r="U1259" s="28"/>
    </row>
    <row r="1260">
      <c r="N1260" s="28"/>
      <c r="O1260" s="28"/>
      <c r="U1260" s="28"/>
    </row>
    <row r="1261">
      <c r="N1261" s="28"/>
      <c r="O1261" s="28"/>
      <c r="U1261" s="28"/>
    </row>
    <row r="1262">
      <c r="N1262" s="28"/>
      <c r="O1262" s="28"/>
      <c r="U1262" s="28"/>
    </row>
    <row r="1263">
      <c r="N1263" s="28"/>
      <c r="O1263" s="28"/>
      <c r="U1263" s="28"/>
    </row>
    <row r="1264">
      <c r="N1264" s="28"/>
      <c r="O1264" s="28"/>
      <c r="U1264" s="28"/>
    </row>
    <row r="1265">
      <c r="N1265" s="28"/>
      <c r="O1265" s="28"/>
      <c r="U1265" s="28"/>
    </row>
    <row r="1266">
      <c r="N1266" s="28"/>
      <c r="O1266" s="28"/>
      <c r="U1266" s="28"/>
    </row>
    <row r="1267">
      <c r="N1267" s="28"/>
      <c r="O1267" s="28"/>
      <c r="U1267" s="28"/>
    </row>
    <row r="1268">
      <c r="N1268" s="28"/>
      <c r="O1268" s="28"/>
      <c r="U1268" s="28"/>
    </row>
    <row r="1269">
      <c r="N1269" s="28"/>
      <c r="O1269" s="28"/>
      <c r="U1269" s="28"/>
    </row>
    <row r="1270">
      <c r="N1270" s="28"/>
      <c r="O1270" s="28"/>
      <c r="U1270" s="28"/>
    </row>
    <row r="1271">
      <c r="N1271" s="28"/>
      <c r="O1271" s="28"/>
      <c r="U1271" s="28"/>
    </row>
    <row r="1272">
      <c r="N1272" s="28"/>
      <c r="O1272" s="28"/>
      <c r="U1272" s="28"/>
    </row>
    <row r="1273">
      <c r="N1273" s="28"/>
      <c r="O1273" s="28"/>
      <c r="U1273" s="28"/>
    </row>
    <row r="1274">
      <c r="N1274" s="28"/>
      <c r="O1274" s="28"/>
      <c r="U1274" s="28"/>
    </row>
    <row r="1275">
      <c r="N1275" s="28"/>
      <c r="O1275" s="28"/>
      <c r="U1275" s="28"/>
    </row>
    <row r="1276">
      <c r="N1276" s="28"/>
      <c r="O1276" s="28"/>
      <c r="U1276" s="28"/>
    </row>
    <row r="1277">
      <c r="N1277" s="28"/>
      <c r="O1277" s="28"/>
      <c r="U1277" s="28"/>
    </row>
    <row r="1278">
      <c r="N1278" s="28"/>
      <c r="O1278" s="28"/>
      <c r="U1278" s="28"/>
    </row>
    <row r="1279">
      <c r="N1279" s="28"/>
      <c r="O1279" s="28"/>
      <c r="U1279" s="28"/>
    </row>
    <row r="1280">
      <c r="N1280" s="28"/>
      <c r="O1280" s="28"/>
      <c r="U1280" s="28"/>
    </row>
    <row r="1281">
      <c r="N1281" s="28"/>
      <c r="O1281" s="28"/>
      <c r="U1281" s="28"/>
    </row>
    <row r="1282">
      <c r="N1282" s="28"/>
      <c r="O1282" s="28"/>
      <c r="U1282" s="28"/>
    </row>
    <row r="1283">
      <c r="N1283" s="28"/>
      <c r="O1283" s="28"/>
      <c r="U1283" s="28"/>
    </row>
    <row r="1284">
      <c r="N1284" s="28"/>
      <c r="O1284" s="28"/>
      <c r="U1284" s="28"/>
    </row>
    <row r="1285">
      <c r="N1285" s="28"/>
      <c r="O1285" s="28"/>
      <c r="U1285" s="28"/>
    </row>
    <row r="1286">
      <c r="N1286" s="28"/>
      <c r="O1286" s="28"/>
      <c r="U1286" s="28"/>
    </row>
    <row r="1287">
      <c r="N1287" s="28"/>
      <c r="O1287" s="28"/>
      <c r="U1287" s="28"/>
    </row>
    <row r="1288">
      <c r="N1288" s="28"/>
      <c r="O1288" s="28"/>
      <c r="U1288" s="28"/>
    </row>
    <row r="1289">
      <c r="N1289" s="28"/>
      <c r="O1289" s="28"/>
      <c r="U1289" s="28"/>
    </row>
    <row r="1290">
      <c r="N1290" s="28"/>
      <c r="O1290" s="28"/>
      <c r="U1290" s="28"/>
    </row>
    <row r="1291">
      <c r="N1291" s="28"/>
      <c r="O1291" s="28"/>
      <c r="U1291" s="28"/>
    </row>
    <row r="1292">
      <c r="N1292" s="28"/>
      <c r="O1292" s="28"/>
      <c r="U1292" s="28"/>
    </row>
    <row r="1293">
      <c r="N1293" s="28"/>
      <c r="O1293" s="28"/>
      <c r="U1293" s="28"/>
    </row>
    <row r="1294">
      <c r="N1294" s="28"/>
      <c r="O1294" s="28"/>
      <c r="U1294" s="28"/>
    </row>
    <row r="1295">
      <c r="N1295" s="28"/>
      <c r="O1295" s="28"/>
      <c r="U1295" s="28"/>
    </row>
    <row r="1296">
      <c r="N1296" s="28"/>
      <c r="O1296" s="28"/>
      <c r="U1296" s="28"/>
    </row>
    <row r="1297">
      <c r="N1297" s="28"/>
      <c r="O1297" s="28"/>
      <c r="U1297" s="28"/>
    </row>
    <row r="1298">
      <c r="N1298" s="28"/>
      <c r="O1298" s="28"/>
      <c r="U1298" s="28"/>
    </row>
    <row r="1299">
      <c r="N1299" s="28"/>
      <c r="O1299" s="28"/>
      <c r="U1299" s="28"/>
    </row>
    <row r="1300">
      <c r="N1300" s="28"/>
      <c r="O1300" s="28"/>
      <c r="U1300" s="28"/>
    </row>
    <row r="1301">
      <c r="N1301" s="28"/>
      <c r="O1301" s="28"/>
      <c r="U1301" s="28"/>
    </row>
    <row r="1302">
      <c r="N1302" s="28"/>
      <c r="O1302" s="28"/>
      <c r="U1302" s="28"/>
    </row>
    <row r="1303">
      <c r="N1303" s="28"/>
      <c r="O1303" s="28"/>
      <c r="U1303" s="28"/>
    </row>
    <row r="1304">
      <c r="N1304" s="28"/>
      <c r="O1304" s="28"/>
      <c r="U1304" s="28"/>
    </row>
    <row r="1305">
      <c r="N1305" s="28"/>
      <c r="O1305" s="28"/>
      <c r="U1305" s="28"/>
    </row>
    <row r="1306">
      <c r="N1306" s="28"/>
      <c r="O1306" s="28"/>
      <c r="U1306" s="28"/>
    </row>
    <row r="1307">
      <c r="N1307" s="28"/>
      <c r="O1307" s="28"/>
      <c r="U1307" s="28"/>
    </row>
    <row r="1308">
      <c r="N1308" s="28"/>
      <c r="O1308" s="28"/>
      <c r="U1308" s="28"/>
    </row>
    <row r="1309">
      <c r="N1309" s="28"/>
      <c r="O1309" s="28"/>
      <c r="U1309" s="28"/>
    </row>
    <row r="1310">
      <c r="N1310" s="28"/>
      <c r="O1310" s="28"/>
      <c r="U1310" s="28"/>
    </row>
    <row r="1311">
      <c r="N1311" s="28"/>
      <c r="O1311" s="28"/>
      <c r="U1311" s="28"/>
    </row>
    <row r="1312">
      <c r="N1312" s="28"/>
      <c r="O1312" s="28"/>
      <c r="U1312" s="28"/>
    </row>
    <row r="1313">
      <c r="N1313" s="28"/>
      <c r="O1313" s="28"/>
      <c r="U1313" s="28"/>
    </row>
    <row r="1314">
      <c r="N1314" s="28"/>
      <c r="O1314" s="28"/>
      <c r="U1314" s="28"/>
    </row>
    <row r="1315">
      <c r="N1315" s="28"/>
      <c r="O1315" s="28"/>
      <c r="U1315" s="28"/>
    </row>
    <row r="1316">
      <c r="N1316" s="28"/>
      <c r="O1316" s="28"/>
      <c r="U1316" s="28"/>
    </row>
    <row r="1317">
      <c r="N1317" s="28"/>
      <c r="O1317" s="28"/>
      <c r="U1317" s="28"/>
    </row>
    <row r="1318">
      <c r="N1318" s="28"/>
      <c r="O1318" s="28"/>
      <c r="U1318" s="28"/>
    </row>
    <row r="1319">
      <c r="N1319" s="28"/>
      <c r="O1319" s="28"/>
      <c r="U1319" s="28"/>
    </row>
    <row r="1320">
      <c r="N1320" s="28"/>
      <c r="O1320" s="28"/>
      <c r="U1320" s="28"/>
    </row>
    <row r="1321">
      <c r="N1321" s="28"/>
      <c r="O1321" s="28"/>
      <c r="U1321" s="28"/>
    </row>
    <row r="1322">
      <c r="N1322" s="28"/>
      <c r="O1322" s="28"/>
      <c r="U1322" s="28"/>
    </row>
    <row r="1323">
      <c r="N1323" s="28"/>
      <c r="O1323" s="28"/>
      <c r="U1323" s="28"/>
    </row>
    <row r="1324">
      <c r="N1324" s="28"/>
      <c r="O1324" s="28"/>
      <c r="U1324" s="28"/>
    </row>
    <row r="1325">
      <c r="N1325" s="28"/>
      <c r="O1325" s="28"/>
      <c r="U1325" s="28"/>
    </row>
    <row r="1326">
      <c r="N1326" s="28"/>
      <c r="O1326" s="28"/>
      <c r="U1326" s="28"/>
    </row>
    <row r="1327">
      <c r="N1327" s="28"/>
      <c r="O1327" s="28"/>
      <c r="U1327" s="28"/>
    </row>
    <row r="1328">
      <c r="N1328" s="28"/>
      <c r="O1328" s="28"/>
      <c r="U1328" s="28"/>
    </row>
    <row r="1329">
      <c r="N1329" s="28"/>
      <c r="O1329" s="28"/>
      <c r="U1329" s="28"/>
    </row>
    <row r="1330">
      <c r="N1330" s="28"/>
      <c r="O1330" s="28"/>
      <c r="U1330" s="28"/>
    </row>
    <row r="1331">
      <c r="N1331" s="28"/>
      <c r="O1331" s="28"/>
      <c r="U1331" s="28"/>
    </row>
    <row r="1332">
      <c r="N1332" s="28"/>
      <c r="O1332" s="28"/>
      <c r="U1332" s="28"/>
    </row>
    <row r="1333">
      <c r="N1333" s="28"/>
      <c r="O1333" s="28"/>
      <c r="U1333" s="28"/>
    </row>
    <row r="1334">
      <c r="N1334" s="28"/>
      <c r="O1334" s="28"/>
      <c r="U1334" s="28"/>
    </row>
    <row r="1335">
      <c r="N1335" s="28"/>
      <c r="O1335" s="28"/>
      <c r="U1335" s="28"/>
    </row>
    <row r="1336">
      <c r="N1336" s="28"/>
      <c r="O1336" s="28"/>
      <c r="U1336" s="28"/>
    </row>
    <row r="1337">
      <c r="N1337" s="28"/>
      <c r="O1337" s="28"/>
      <c r="U1337" s="28"/>
    </row>
    <row r="1338">
      <c r="N1338" s="28"/>
      <c r="O1338" s="28"/>
      <c r="U1338" s="28"/>
    </row>
    <row r="1339">
      <c r="N1339" s="28"/>
      <c r="O1339" s="28"/>
      <c r="U1339" s="28"/>
    </row>
    <row r="1340">
      <c r="N1340" s="28"/>
      <c r="O1340" s="28"/>
      <c r="U1340" s="28"/>
    </row>
    <row r="1341">
      <c r="N1341" s="28"/>
      <c r="O1341" s="28"/>
      <c r="U1341" s="28"/>
    </row>
    <row r="1342">
      <c r="N1342" s="28"/>
      <c r="O1342" s="28"/>
      <c r="U1342" s="28"/>
    </row>
    <row r="1343">
      <c r="N1343" s="28"/>
      <c r="O1343" s="28"/>
      <c r="U1343" s="28"/>
    </row>
    <row r="1344">
      <c r="N1344" s="28"/>
      <c r="O1344" s="28"/>
      <c r="U1344" s="28"/>
    </row>
    <row r="1345">
      <c r="N1345" s="28"/>
      <c r="O1345" s="28"/>
      <c r="U1345" s="28"/>
    </row>
    <row r="1346">
      <c r="N1346" s="28"/>
      <c r="O1346" s="28"/>
      <c r="U1346" s="28"/>
    </row>
    <row r="1347">
      <c r="N1347" s="28"/>
      <c r="O1347" s="28"/>
      <c r="U1347" s="28"/>
    </row>
    <row r="1348">
      <c r="N1348" s="28"/>
      <c r="O1348" s="28"/>
      <c r="U1348" s="28"/>
    </row>
    <row r="1349">
      <c r="N1349" s="28"/>
      <c r="O1349" s="28"/>
      <c r="U1349" s="28"/>
    </row>
    <row r="1350">
      <c r="N1350" s="28"/>
      <c r="O1350" s="28"/>
      <c r="U1350" s="28"/>
    </row>
    <row r="1351">
      <c r="N1351" s="28"/>
      <c r="O1351" s="28"/>
      <c r="U1351" s="28"/>
    </row>
    <row r="1352">
      <c r="N1352" s="28"/>
      <c r="O1352" s="28"/>
      <c r="U1352" s="28"/>
    </row>
    <row r="1353">
      <c r="N1353" s="28"/>
      <c r="O1353" s="28"/>
      <c r="U1353" s="28"/>
    </row>
    <row r="1354">
      <c r="N1354" s="28"/>
      <c r="O1354" s="28"/>
      <c r="U1354" s="28"/>
    </row>
    <row r="1355">
      <c r="N1355" s="28"/>
      <c r="O1355" s="28"/>
      <c r="U1355" s="28"/>
    </row>
    <row r="1356">
      <c r="N1356" s="28"/>
      <c r="O1356" s="28"/>
      <c r="U1356" s="28"/>
    </row>
    <row r="1357">
      <c r="N1357" s="28"/>
      <c r="O1357" s="28"/>
      <c r="U1357" s="28"/>
    </row>
    <row r="1358">
      <c r="N1358" s="28"/>
      <c r="O1358" s="28"/>
      <c r="U1358" s="28"/>
    </row>
    <row r="1359">
      <c r="N1359" s="28"/>
      <c r="O1359" s="28"/>
      <c r="U1359" s="28"/>
    </row>
    <row r="1360">
      <c r="N1360" s="28"/>
      <c r="O1360" s="28"/>
      <c r="U1360" s="28"/>
    </row>
    <row r="1361">
      <c r="N1361" s="28"/>
      <c r="O1361" s="28"/>
      <c r="U1361" s="28"/>
    </row>
    <row r="1362">
      <c r="N1362" s="28"/>
      <c r="O1362" s="28"/>
      <c r="U1362" s="28"/>
    </row>
    <row r="1363">
      <c r="N1363" s="28"/>
      <c r="O1363" s="28"/>
      <c r="U1363" s="28"/>
    </row>
    <row r="1364">
      <c r="N1364" s="28"/>
      <c r="O1364" s="28"/>
      <c r="U1364" s="28"/>
    </row>
    <row r="1365">
      <c r="N1365" s="28"/>
      <c r="O1365" s="28"/>
      <c r="U1365" s="28"/>
    </row>
    <row r="1366">
      <c r="N1366" s="28"/>
      <c r="O1366" s="28"/>
      <c r="U1366" s="28"/>
    </row>
    <row r="1367">
      <c r="N1367" s="28"/>
      <c r="O1367" s="28"/>
      <c r="U1367" s="28"/>
    </row>
    <row r="1368">
      <c r="N1368" s="28"/>
      <c r="O1368" s="28"/>
      <c r="U1368" s="28"/>
    </row>
    <row r="1369">
      <c r="N1369" s="28"/>
      <c r="O1369" s="28"/>
      <c r="U1369" s="28"/>
    </row>
    <row r="1370">
      <c r="N1370" s="28"/>
      <c r="O1370" s="28"/>
      <c r="U1370" s="28"/>
    </row>
    <row r="1371">
      <c r="N1371" s="28"/>
      <c r="O1371" s="28"/>
      <c r="U1371" s="28"/>
    </row>
    <row r="1372">
      <c r="N1372" s="28"/>
      <c r="O1372" s="28"/>
      <c r="U1372" s="28"/>
    </row>
    <row r="1373">
      <c r="N1373" s="28"/>
      <c r="O1373" s="28"/>
      <c r="U1373" s="28"/>
    </row>
    <row r="1374">
      <c r="N1374" s="28"/>
      <c r="O1374" s="28"/>
      <c r="U1374" s="28"/>
    </row>
    <row r="1375">
      <c r="N1375" s="28"/>
      <c r="O1375" s="28"/>
      <c r="U1375" s="28"/>
    </row>
    <row r="1376">
      <c r="N1376" s="28"/>
      <c r="O1376" s="28"/>
      <c r="U1376" s="28"/>
    </row>
    <row r="1377">
      <c r="N1377" s="28"/>
      <c r="O1377" s="28"/>
      <c r="U1377" s="28"/>
    </row>
    <row r="1378">
      <c r="N1378" s="28"/>
      <c r="O1378" s="28"/>
      <c r="U1378" s="28"/>
    </row>
    <row r="1379">
      <c r="N1379" s="28"/>
      <c r="O1379" s="28"/>
      <c r="U1379" s="28"/>
    </row>
    <row r="1380">
      <c r="N1380" s="28"/>
      <c r="O1380" s="28"/>
      <c r="U1380" s="28"/>
    </row>
    <row r="1381">
      <c r="N1381" s="28"/>
      <c r="O1381" s="28"/>
      <c r="U1381" s="28"/>
    </row>
    <row r="1382">
      <c r="N1382" s="28"/>
      <c r="O1382" s="28"/>
      <c r="U1382" s="28"/>
    </row>
    <row r="1383">
      <c r="N1383" s="28"/>
      <c r="O1383" s="28"/>
      <c r="U1383" s="28"/>
    </row>
    <row r="1384">
      <c r="N1384" s="28"/>
      <c r="O1384" s="28"/>
      <c r="U1384" s="28"/>
    </row>
    <row r="1385">
      <c r="N1385" s="28"/>
      <c r="O1385" s="28"/>
      <c r="U1385" s="28"/>
    </row>
    <row r="1386">
      <c r="N1386" s="28"/>
      <c r="O1386" s="28"/>
      <c r="U1386" s="28"/>
    </row>
    <row r="1387">
      <c r="N1387" s="28"/>
      <c r="O1387" s="28"/>
      <c r="U1387" s="28"/>
    </row>
    <row r="1388">
      <c r="N1388" s="28"/>
      <c r="O1388" s="28"/>
      <c r="U1388" s="28"/>
    </row>
    <row r="1389">
      <c r="N1389" s="28"/>
      <c r="O1389" s="28"/>
      <c r="U1389" s="28"/>
    </row>
    <row r="1390">
      <c r="N1390" s="28"/>
      <c r="O1390" s="28"/>
      <c r="U1390" s="28"/>
    </row>
    <row r="1391">
      <c r="N1391" s="28"/>
      <c r="O1391" s="28"/>
      <c r="U1391" s="28"/>
    </row>
    <row r="1392">
      <c r="N1392" s="28"/>
      <c r="O1392" s="28"/>
      <c r="U1392" s="28"/>
    </row>
    <row r="1393">
      <c r="N1393" s="28"/>
      <c r="O1393" s="28"/>
      <c r="U1393" s="28"/>
    </row>
    <row r="1394">
      <c r="N1394" s="28"/>
      <c r="O1394" s="28"/>
      <c r="U1394" s="28"/>
    </row>
    <row r="1395">
      <c r="N1395" s="28"/>
      <c r="O1395" s="28"/>
      <c r="U1395" s="28"/>
    </row>
    <row r="1396">
      <c r="N1396" s="28"/>
      <c r="O1396" s="28"/>
      <c r="U1396" s="28"/>
    </row>
    <row r="1397">
      <c r="N1397" s="28"/>
      <c r="O1397" s="28"/>
      <c r="U1397" s="28"/>
    </row>
    <row r="1398">
      <c r="N1398" s="28"/>
      <c r="O1398" s="28"/>
      <c r="U1398" s="28"/>
    </row>
    <row r="1399">
      <c r="N1399" s="28"/>
      <c r="O1399" s="28"/>
      <c r="U1399" s="28"/>
    </row>
    <row r="1400">
      <c r="N1400" s="28"/>
      <c r="O1400" s="28"/>
      <c r="U1400" s="28"/>
    </row>
    <row r="1401">
      <c r="N1401" s="28"/>
      <c r="O1401" s="28"/>
      <c r="U1401" s="28"/>
    </row>
    <row r="1402">
      <c r="N1402" s="28"/>
      <c r="O1402" s="28"/>
      <c r="U1402" s="28"/>
    </row>
    <row r="1403">
      <c r="N1403" s="28"/>
      <c r="O1403" s="28"/>
      <c r="U1403" s="28"/>
    </row>
    <row r="1404">
      <c r="N1404" s="28"/>
      <c r="O1404" s="28"/>
      <c r="U1404" s="28"/>
    </row>
    <row r="1405">
      <c r="N1405" s="28"/>
      <c r="O1405" s="28"/>
      <c r="U1405" s="28"/>
    </row>
    <row r="1406">
      <c r="N1406" s="28"/>
      <c r="O1406" s="28"/>
      <c r="U1406" s="28"/>
    </row>
    <row r="1407">
      <c r="N1407" s="28"/>
      <c r="O1407" s="28"/>
      <c r="U1407" s="28"/>
    </row>
    <row r="1408">
      <c r="N1408" s="28"/>
      <c r="O1408" s="28"/>
      <c r="U1408" s="28"/>
    </row>
    <row r="1409">
      <c r="N1409" s="28"/>
      <c r="O1409" s="28"/>
      <c r="U1409" s="28"/>
    </row>
    <row r="1410">
      <c r="N1410" s="28"/>
      <c r="O1410" s="28"/>
      <c r="U1410" s="28"/>
    </row>
    <row r="1411">
      <c r="N1411" s="28"/>
      <c r="O1411" s="28"/>
      <c r="U1411" s="28"/>
    </row>
    <row r="1412">
      <c r="N1412" s="28"/>
      <c r="O1412" s="28"/>
      <c r="U1412" s="28"/>
    </row>
    <row r="1413">
      <c r="N1413" s="28"/>
      <c r="O1413" s="28"/>
      <c r="U1413" s="28"/>
    </row>
    <row r="1414">
      <c r="N1414" s="28"/>
      <c r="O1414" s="28"/>
      <c r="U1414" s="28"/>
    </row>
    <row r="1415">
      <c r="N1415" s="28"/>
      <c r="O1415" s="28"/>
      <c r="U1415" s="28"/>
    </row>
    <row r="1416">
      <c r="N1416" s="28"/>
      <c r="O1416" s="28"/>
      <c r="U1416" s="28"/>
    </row>
    <row r="1417">
      <c r="N1417" s="28"/>
      <c r="O1417" s="28"/>
      <c r="U1417" s="28"/>
    </row>
    <row r="1418">
      <c r="N1418" s="28"/>
      <c r="O1418" s="28"/>
      <c r="U1418" s="28"/>
    </row>
    <row r="1419">
      <c r="N1419" s="28"/>
      <c r="O1419" s="28"/>
      <c r="U1419" s="28"/>
    </row>
    <row r="1420">
      <c r="N1420" s="28"/>
      <c r="O1420" s="28"/>
      <c r="U1420" s="28"/>
    </row>
    <row r="1421">
      <c r="N1421" s="28"/>
      <c r="O1421" s="28"/>
      <c r="U1421" s="28"/>
    </row>
    <row r="1422">
      <c r="N1422" s="28"/>
      <c r="O1422" s="28"/>
      <c r="U1422" s="28"/>
    </row>
    <row r="1423">
      <c r="N1423" s="28"/>
      <c r="O1423" s="28"/>
      <c r="U1423" s="28"/>
    </row>
    <row r="1424">
      <c r="N1424" s="28"/>
      <c r="O1424" s="28"/>
      <c r="U1424" s="28"/>
    </row>
    <row r="1425">
      <c r="N1425" s="28"/>
      <c r="O1425" s="28"/>
      <c r="U1425" s="28"/>
    </row>
    <row r="1426">
      <c r="N1426" s="28"/>
      <c r="O1426" s="28"/>
      <c r="U1426" s="28"/>
    </row>
    <row r="1427">
      <c r="N1427" s="28"/>
      <c r="O1427" s="28"/>
      <c r="U1427" s="28"/>
    </row>
    <row r="1428">
      <c r="N1428" s="28"/>
      <c r="O1428" s="28"/>
      <c r="U1428" s="28"/>
    </row>
    <row r="1429">
      <c r="N1429" s="28"/>
      <c r="O1429" s="28"/>
      <c r="U1429" s="28"/>
    </row>
    <row r="1430">
      <c r="N1430" s="28"/>
      <c r="O1430" s="28"/>
      <c r="U1430" s="28"/>
    </row>
    <row r="1431">
      <c r="N1431" s="28"/>
      <c r="O1431" s="28"/>
      <c r="U1431" s="28"/>
    </row>
    <row r="1432">
      <c r="N1432" s="28"/>
      <c r="O1432" s="28"/>
      <c r="U1432" s="28"/>
    </row>
    <row r="1433">
      <c r="N1433" s="28"/>
      <c r="O1433" s="28"/>
      <c r="U1433" s="28"/>
    </row>
    <row r="1434">
      <c r="N1434" s="28"/>
      <c r="O1434" s="28"/>
      <c r="U1434" s="28"/>
    </row>
    <row r="1435">
      <c r="N1435" s="28"/>
      <c r="O1435" s="28"/>
      <c r="U1435" s="28"/>
    </row>
    <row r="1436">
      <c r="N1436" s="28"/>
      <c r="O1436" s="28"/>
      <c r="U1436" s="28"/>
    </row>
    <row r="1437">
      <c r="N1437" s="28"/>
      <c r="O1437" s="28"/>
      <c r="U1437" s="28"/>
    </row>
    <row r="1438">
      <c r="N1438" s="28"/>
      <c r="O1438" s="28"/>
      <c r="U1438" s="28"/>
    </row>
    <row r="1439">
      <c r="N1439" s="28"/>
      <c r="O1439" s="28"/>
      <c r="U1439" s="28"/>
    </row>
    <row r="1440">
      <c r="N1440" s="28"/>
      <c r="O1440" s="28"/>
      <c r="U1440" s="28"/>
    </row>
    <row r="1441">
      <c r="N1441" s="28"/>
      <c r="O1441" s="28"/>
      <c r="U1441" s="28"/>
    </row>
    <row r="1442">
      <c r="N1442" s="28"/>
      <c r="O1442" s="28"/>
      <c r="U1442" s="28"/>
    </row>
    <row r="1443">
      <c r="N1443" s="28"/>
      <c r="O1443" s="28"/>
      <c r="U1443" s="28"/>
    </row>
    <row r="1444">
      <c r="N1444" s="28"/>
      <c r="O1444" s="28"/>
      <c r="U1444" s="28"/>
    </row>
    <row r="1445">
      <c r="N1445" s="28"/>
      <c r="O1445" s="28"/>
      <c r="U1445" s="28"/>
    </row>
    <row r="1446">
      <c r="N1446" s="28"/>
      <c r="O1446" s="28"/>
      <c r="U1446" s="28"/>
    </row>
    <row r="1447">
      <c r="N1447" s="28"/>
      <c r="O1447" s="28"/>
      <c r="U1447" s="28"/>
    </row>
    <row r="1448">
      <c r="N1448" s="28"/>
      <c r="O1448" s="28"/>
      <c r="U1448" s="28"/>
    </row>
    <row r="1449">
      <c r="N1449" s="28"/>
      <c r="O1449" s="28"/>
      <c r="U1449" s="28"/>
    </row>
    <row r="1450">
      <c r="N1450" s="28"/>
      <c r="O1450" s="28"/>
      <c r="U1450" s="28"/>
    </row>
    <row r="1451">
      <c r="N1451" s="28"/>
      <c r="O1451" s="28"/>
      <c r="U1451" s="28"/>
    </row>
    <row r="1452">
      <c r="N1452" s="28"/>
      <c r="O1452" s="28"/>
      <c r="U1452" s="28"/>
    </row>
    <row r="1453">
      <c r="N1453" s="28"/>
      <c r="O1453" s="28"/>
      <c r="U1453" s="28"/>
    </row>
    <row r="1454">
      <c r="N1454" s="28"/>
      <c r="O1454" s="28"/>
      <c r="U1454" s="28"/>
    </row>
    <row r="1455">
      <c r="N1455" s="28"/>
      <c r="O1455" s="28"/>
      <c r="U1455" s="28"/>
    </row>
    <row r="1456">
      <c r="N1456" s="28"/>
      <c r="O1456" s="28"/>
      <c r="U1456" s="28"/>
    </row>
    <row r="1457">
      <c r="N1457" s="28"/>
      <c r="O1457" s="28"/>
      <c r="U1457" s="28"/>
    </row>
    <row r="1458">
      <c r="N1458" s="28"/>
      <c r="O1458" s="28"/>
      <c r="U1458" s="28"/>
    </row>
    <row r="1459">
      <c r="N1459" s="28"/>
      <c r="O1459" s="28"/>
      <c r="U1459" s="28"/>
    </row>
    <row r="1460">
      <c r="N1460" s="28"/>
      <c r="O1460" s="28"/>
      <c r="U1460" s="28"/>
    </row>
    <row r="1461">
      <c r="N1461" s="28"/>
      <c r="O1461" s="28"/>
      <c r="U1461" s="28"/>
    </row>
    <row r="1462">
      <c r="N1462" s="28"/>
      <c r="O1462" s="28"/>
      <c r="U1462" s="28"/>
    </row>
    <row r="1463">
      <c r="N1463" s="28"/>
      <c r="O1463" s="28"/>
      <c r="U1463" s="28"/>
    </row>
    <row r="1464">
      <c r="N1464" s="28"/>
      <c r="O1464" s="28"/>
      <c r="U1464" s="28"/>
    </row>
    <row r="1465">
      <c r="N1465" s="28"/>
      <c r="O1465" s="28"/>
      <c r="U1465" s="28"/>
    </row>
    <row r="1466">
      <c r="N1466" s="28"/>
      <c r="O1466" s="28"/>
      <c r="U1466" s="28"/>
    </row>
    <row r="1467">
      <c r="N1467" s="28"/>
      <c r="O1467" s="28"/>
      <c r="U1467" s="28"/>
    </row>
    <row r="1468">
      <c r="N1468" s="28"/>
      <c r="O1468" s="28"/>
      <c r="U1468" s="28"/>
    </row>
    <row r="1469">
      <c r="N1469" s="28"/>
      <c r="O1469" s="28"/>
      <c r="U1469" s="28"/>
    </row>
    <row r="1470">
      <c r="N1470" s="28"/>
      <c r="O1470" s="28"/>
      <c r="U1470" s="28"/>
    </row>
    <row r="1471">
      <c r="N1471" s="28"/>
      <c r="O1471" s="28"/>
      <c r="U1471" s="28"/>
    </row>
    <row r="1472">
      <c r="N1472" s="28"/>
      <c r="O1472" s="28"/>
      <c r="U1472" s="28"/>
    </row>
    <row r="1473">
      <c r="N1473" s="28"/>
      <c r="O1473" s="28"/>
      <c r="U1473" s="28"/>
    </row>
    <row r="1474">
      <c r="N1474" s="28"/>
      <c r="O1474" s="28"/>
      <c r="U1474" s="28"/>
    </row>
    <row r="1475">
      <c r="N1475" s="28"/>
      <c r="O1475" s="28"/>
      <c r="U1475" s="28"/>
    </row>
    <row r="1476">
      <c r="N1476" s="28"/>
      <c r="O1476" s="28"/>
      <c r="U1476" s="28"/>
    </row>
    <row r="1477">
      <c r="N1477" s="28"/>
      <c r="O1477" s="28"/>
      <c r="U1477" s="28"/>
    </row>
    <row r="1478">
      <c r="N1478" s="28"/>
      <c r="O1478" s="28"/>
      <c r="U1478" s="28"/>
    </row>
    <row r="1479">
      <c r="N1479" s="28"/>
      <c r="O1479" s="28"/>
      <c r="U1479" s="28"/>
    </row>
    <row r="1480">
      <c r="N1480" s="28"/>
      <c r="O1480" s="28"/>
      <c r="U1480" s="28"/>
    </row>
    <row r="1481">
      <c r="N1481" s="28"/>
      <c r="O1481" s="28"/>
      <c r="U1481" s="28"/>
    </row>
    <row r="1482">
      <c r="N1482" s="28"/>
      <c r="O1482" s="28"/>
      <c r="U1482" s="28"/>
    </row>
    <row r="1483">
      <c r="N1483" s="28"/>
      <c r="O1483" s="28"/>
      <c r="U1483" s="28"/>
    </row>
    <row r="1484">
      <c r="N1484" s="28"/>
      <c r="O1484" s="28"/>
      <c r="U1484" s="28"/>
    </row>
    <row r="1485">
      <c r="N1485" s="28"/>
      <c r="O1485" s="28"/>
      <c r="U1485" s="28"/>
    </row>
    <row r="1486">
      <c r="N1486" s="28"/>
      <c r="O1486" s="28"/>
      <c r="U1486" s="28"/>
    </row>
    <row r="1487">
      <c r="N1487" s="28"/>
      <c r="O1487" s="28"/>
      <c r="U1487" s="28"/>
    </row>
    <row r="1488">
      <c r="N1488" s="28"/>
      <c r="O1488" s="28"/>
      <c r="U1488" s="28"/>
    </row>
    <row r="1489">
      <c r="N1489" s="28"/>
      <c r="O1489" s="28"/>
      <c r="U1489" s="28"/>
    </row>
    <row r="1490">
      <c r="N1490" s="28"/>
      <c r="O1490" s="28"/>
      <c r="U1490" s="28"/>
    </row>
    <row r="1491">
      <c r="N1491" s="28"/>
      <c r="O1491" s="28"/>
      <c r="U1491" s="28"/>
    </row>
    <row r="1492">
      <c r="N1492" s="28"/>
      <c r="O1492" s="28"/>
      <c r="U1492" s="28"/>
    </row>
    <row r="1493">
      <c r="N1493" s="28"/>
      <c r="O1493" s="28"/>
      <c r="U1493" s="28"/>
    </row>
    <row r="1494">
      <c r="N1494" s="28"/>
      <c r="O1494" s="28"/>
      <c r="U1494" s="28"/>
    </row>
    <row r="1495">
      <c r="N1495" s="28"/>
      <c r="O1495" s="28"/>
      <c r="U1495" s="28"/>
    </row>
    <row r="1496">
      <c r="N1496" s="28"/>
      <c r="O1496" s="28"/>
      <c r="U1496" s="28"/>
    </row>
    <row r="1497">
      <c r="N1497" s="28"/>
      <c r="O1497" s="28"/>
      <c r="U1497" s="28"/>
    </row>
    <row r="1498">
      <c r="N1498" s="28"/>
      <c r="O1498" s="28"/>
      <c r="U1498" s="28"/>
    </row>
    <row r="1499">
      <c r="N1499" s="28"/>
      <c r="O1499" s="28"/>
      <c r="U1499" s="28"/>
    </row>
    <row r="1500">
      <c r="N1500" s="28"/>
      <c r="O1500" s="28"/>
      <c r="U1500" s="28"/>
    </row>
    <row r="1501">
      <c r="N1501" s="28"/>
      <c r="O1501" s="28"/>
      <c r="U1501" s="28"/>
    </row>
    <row r="1502">
      <c r="N1502" s="28"/>
      <c r="O1502" s="28"/>
      <c r="U1502" s="28"/>
    </row>
    <row r="1503">
      <c r="N1503" s="28"/>
      <c r="O1503" s="28"/>
      <c r="U1503" s="28"/>
    </row>
    <row r="1504">
      <c r="N1504" s="28"/>
      <c r="O1504" s="28"/>
      <c r="U1504" s="28"/>
    </row>
    <row r="1505">
      <c r="N1505" s="28"/>
      <c r="O1505" s="28"/>
      <c r="U1505" s="28"/>
    </row>
    <row r="1506">
      <c r="N1506" s="28"/>
      <c r="O1506" s="28"/>
      <c r="U1506" s="28"/>
    </row>
    <row r="1507">
      <c r="N1507" s="28"/>
      <c r="O1507" s="28"/>
      <c r="U1507" s="28"/>
    </row>
    <row r="1508">
      <c r="N1508" s="28"/>
      <c r="O1508" s="28"/>
      <c r="U1508" s="28"/>
    </row>
    <row r="1509">
      <c r="N1509" s="28"/>
      <c r="O1509" s="28"/>
      <c r="U1509" s="28"/>
    </row>
    <row r="1510">
      <c r="N1510" s="28"/>
      <c r="O1510" s="28"/>
      <c r="U1510" s="28"/>
    </row>
    <row r="1511">
      <c r="N1511" s="28"/>
      <c r="O1511" s="28"/>
      <c r="U1511" s="28"/>
    </row>
    <row r="1512">
      <c r="N1512" s="28"/>
      <c r="O1512" s="28"/>
      <c r="U1512" s="28"/>
    </row>
    <row r="1513">
      <c r="N1513" s="28"/>
      <c r="O1513" s="28"/>
      <c r="U1513" s="28"/>
    </row>
    <row r="1514">
      <c r="N1514" s="28"/>
      <c r="O1514" s="28"/>
      <c r="U1514" s="28"/>
    </row>
    <row r="1515">
      <c r="N1515" s="28"/>
      <c r="O1515" s="28"/>
      <c r="U1515" s="28"/>
    </row>
    <row r="1516">
      <c r="N1516" s="28"/>
      <c r="O1516" s="28"/>
      <c r="U1516" s="28"/>
    </row>
    <row r="1517">
      <c r="N1517" s="28"/>
      <c r="O1517" s="28"/>
      <c r="U1517" s="28"/>
    </row>
    <row r="1518">
      <c r="N1518" s="28"/>
      <c r="O1518" s="28"/>
      <c r="U1518" s="28"/>
    </row>
    <row r="1519">
      <c r="N1519" s="28"/>
      <c r="O1519" s="28"/>
      <c r="U1519" s="28"/>
    </row>
    <row r="1520">
      <c r="N1520" s="28"/>
      <c r="O1520" s="28"/>
      <c r="U1520" s="28"/>
    </row>
    <row r="1521">
      <c r="N1521" s="28"/>
      <c r="O1521" s="28"/>
      <c r="U1521" s="28"/>
    </row>
    <row r="1522">
      <c r="N1522" s="28"/>
      <c r="O1522" s="28"/>
      <c r="U1522" s="28"/>
    </row>
    <row r="1523">
      <c r="N1523" s="28"/>
      <c r="O1523" s="28"/>
      <c r="U1523" s="28"/>
    </row>
    <row r="1524">
      <c r="N1524" s="28"/>
      <c r="O1524" s="28"/>
      <c r="U1524" s="28"/>
    </row>
    <row r="1525">
      <c r="N1525" s="28"/>
      <c r="O1525" s="28"/>
      <c r="U1525" s="28"/>
    </row>
    <row r="1526">
      <c r="N1526" s="28"/>
      <c r="O1526" s="28"/>
      <c r="U1526" s="28"/>
    </row>
    <row r="1527">
      <c r="N1527" s="28"/>
      <c r="O1527" s="28"/>
      <c r="U1527" s="28"/>
    </row>
    <row r="1528">
      <c r="N1528" s="28"/>
      <c r="O1528" s="28"/>
      <c r="U1528" s="28"/>
    </row>
    <row r="1529">
      <c r="N1529" s="28"/>
      <c r="O1529" s="28"/>
      <c r="U1529" s="28"/>
    </row>
    <row r="1530">
      <c r="N1530" s="28"/>
      <c r="O1530" s="28"/>
      <c r="U1530" s="28"/>
    </row>
    <row r="1531">
      <c r="N1531" s="28"/>
      <c r="O1531" s="28"/>
      <c r="U1531" s="28"/>
    </row>
    <row r="1532">
      <c r="N1532" s="28"/>
      <c r="O1532" s="28"/>
      <c r="U1532" s="28"/>
    </row>
    <row r="1533">
      <c r="N1533" s="28"/>
      <c r="O1533" s="28"/>
      <c r="U1533" s="28"/>
    </row>
    <row r="1534">
      <c r="N1534" s="28"/>
      <c r="O1534" s="28"/>
      <c r="U1534" s="28"/>
    </row>
    <row r="1535">
      <c r="N1535" s="28"/>
      <c r="O1535" s="28"/>
      <c r="U1535" s="28"/>
    </row>
    <row r="1536">
      <c r="N1536" s="28"/>
      <c r="O1536" s="28"/>
      <c r="U1536" s="28"/>
    </row>
    <row r="1537">
      <c r="N1537" s="28"/>
      <c r="O1537" s="28"/>
      <c r="U1537" s="28"/>
    </row>
    <row r="1538">
      <c r="N1538" s="28"/>
      <c r="O1538" s="28"/>
      <c r="U1538" s="28"/>
    </row>
    <row r="1539">
      <c r="N1539" s="28"/>
      <c r="O1539" s="28"/>
      <c r="U1539" s="28"/>
    </row>
    <row r="1540">
      <c r="N1540" s="28"/>
      <c r="O1540" s="28"/>
      <c r="U1540" s="28"/>
    </row>
    <row r="1541">
      <c r="N1541" s="28"/>
      <c r="O1541" s="28"/>
      <c r="U1541" s="28"/>
    </row>
    <row r="1542">
      <c r="N1542" s="28"/>
      <c r="O1542" s="28"/>
      <c r="U1542" s="28"/>
    </row>
    <row r="1543">
      <c r="N1543" s="28"/>
      <c r="O1543" s="28"/>
      <c r="U1543" s="28"/>
    </row>
    <row r="1544">
      <c r="N1544" s="28"/>
      <c r="O1544" s="28"/>
      <c r="U1544" s="28"/>
    </row>
    <row r="1545">
      <c r="N1545" s="28"/>
      <c r="O1545" s="28"/>
      <c r="U1545" s="28"/>
    </row>
    <row r="1546">
      <c r="N1546" s="28"/>
      <c r="O1546" s="28"/>
      <c r="U1546" s="28"/>
    </row>
    <row r="1547">
      <c r="N1547" s="28"/>
      <c r="O1547" s="28"/>
      <c r="U1547" s="28"/>
    </row>
    <row r="1548">
      <c r="N1548" s="28"/>
      <c r="O1548" s="28"/>
      <c r="U1548" s="28"/>
    </row>
    <row r="1549">
      <c r="N1549" s="28"/>
      <c r="O1549" s="28"/>
      <c r="U1549" s="28"/>
    </row>
    <row r="1550">
      <c r="N1550" s="28"/>
      <c r="O1550" s="28"/>
      <c r="U1550" s="28"/>
    </row>
    <row r="1551">
      <c r="N1551" s="28"/>
      <c r="O1551" s="28"/>
      <c r="U1551" s="28"/>
    </row>
    <row r="1552">
      <c r="N1552" s="28"/>
      <c r="O1552" s="28"/>
      <c r="U1552" s="28"/>
    </row>
    <row r="1553">
      <c r="N1553" s="28"/>
      <c r="O1553" s="28"/>
      <c r="U1553" s="28"/>
    </row>
    <row r="1554">
      <c r="N1554" s="28"/>
      <c r="O1554" s="28"/>
      <c r="U1554" s="28"/>
    </row>
    <row r="1555">
      <c r="N1555" s="28"/>
      <c r="O1555" s="28"/>
      <c r="U1555" s="28"/>
    </row>
    <row r="1556">
      <c r="N1556" s="28"/>
      <c r="O1556" s="28"/>
      <c r="U1556" s="28"/>
    </row>
    <row r="1557">
      <c r="N1557" s="28"/>
      <c r="O1557" s="28"/>
      <c r="U1557" s="28"/>
    </row>
    <row r="1558">
      <c r="N1558" s="28"/>
      <c r="O1558" s="28"/>
      <c r="U1558" s="28"/>
    </row>
    <row r="1559">
      <c r="N1559" s="28"/>
      <c r="O1559" s="28"/>
      <c r="U1559" s="28"/>
    </row>
    <row r="1560">
      <c r="N1560" s="28"/>
      <c r="O1560" s="28"/>
      <c r="U1560" s="28"/>
    </row>
    <row r="1561">
      <c r="N1561" s="28"/>
      <c r="O1561" s="28"/>
      <c r="U1561" s="28"/>
    </row>
    <row r="1562">
      <c r="N1562" s="28"/>
      <c r="O1562" s="28"/>
      <c r="U1562" s="28"/>
    </row>
    <row r="1563">
      <c r="N1563" s="28"/>
      <c r="O1563" s="28"/>
      <c r="U1563" s="28"/>
    </row>
    <row r="1564">
      <c r="N1564" s="28"/>
      <c r="O1564" s="28"/>
      <c r="U1564" s="28"/>
    </row>
    <row r="1565">
      <c r="N1565" s="28"/>
      <c r="O1565" s="28"/>
      <c r="U1565" s="28"/>
    </row>
    <row r="1566">
      <c r="N1566" s="28"/>
      <c r="O1566" s="28"/>
      <c r="U1566" s="28"/>
    </row>
    <row r="1567">
      <c r="N1567" s="28"/>
      <c r="O1567" s="28"/>
      <c r="U1567" s="28"/>
    </row>
    <row r="1568">
      <c r="N1568" s="28"/>
      <c r="O1568" s="28"/>
      <c r="U1568" s="28"/>
    </row>
    <row r="1569">
      <c r="N1569" s="28"/>
      <c r="O1569" s="28"/>
      <c r="U1569" s="28"/>
    </row>
    <row r="1570">
      <c r="N1570" s="28"/>
      <c r="O1570" s="28"/>
      <c r="U1570" s="28"/>
    </row>
    <row r="1571">
      <c r="N1571" s="28"/>
      <c r="O1571" s="28"/>
      <c r="U1571" s="28"/>
    </row>
    <row r="1572">
      <c r="N1572" s="28"/>
      <c r="O1572" s="28"/>
      <c r="U1572" s="28"/>
    </row>
    <row r="1573">
      <c r="N1573" s="28"/>
      <c r="O1573" s="28"/>
      <c r="U1573" s="28"/>
    </row>
    <row r="1574">
      <c r="N1574" s="28"/>
      <c r="O1574" s="28"/>
      <c r="U1574" s="28"/>
    </row>
    <row r="1575">
      <c r="N1575" s="28"/>
      <c r="O1575" s="28"/>
      <c r="U1575" s="28"/>
    </row>
    <row r="1576">
      <c r="N1576" s="28"/>
      <c r="O1576" s="28"/>
      <c r="U1576" s="28"/>
    </row>
    <row r="1577">
      <c r="N1577" s="28"/>
      <c r="O1577" s="28"/>
      <c r="U1577" s="28"/>
    </row>
    <row r="1578">
      <c r="N1578" s="28"/>
      <c r="O1578" s="28"/>
      <c r="U1578" s="28"/>
    </row>
    <row r="1579">
      <c r="N1579" s="28"/>
      <c r="O1579" s="28"/>
      <c r="U1579" s="28"/>
    </row>
    <row r="1580">
      <c r="N1580" s="28"/>
      <c r="O1580" s="28"/>
      <c r="U1580" s="28"/>
    </row>
    <row r="1581">
      <c r="N1581" s="28"/>
      <c r="O1581" s="28"/>
      <c r="U1581" s="28"/>
    </row>
    <row r="1582">
      <c r="N1582" s="28"/>
      <c r="O1582" s="28"/>
      <c r="U1582" s="28"/>
    </row>
    <row r="1583">
      <c r="N1583" s="28"/>
      <c r="O1583" s="28"/>
      <c r="U1583" s="28"/>
    </row>
    <row r="1584">
      <c r="N1584" s="28"/>
      <c r="O1584" s="28"/>
      <c r="U1584" s="28"/>
    </row>
    <row r="1585">
      <c r="N1585" s="28"/>
      <c r="O1585" s="28"/>
      <c r="U1585" s="28"/>
    </row>
    <row r="1586">
      <c r="N1586" s="28"/>
      <c r="O1586" s="28"/>
      <c r="U1586" s="28"/>
    </row>
    <row r="1587">
      <c r="N1587" s="28"/>
      <c r="O1587" s="28"/>
      <c r="U1587" s="28"/>
    </row>
    <row r="1588">
      <c r="N1588" s="28"/>
      <c r="O1588" s="28"/>
      <c r="U1588" s="28"/>
    </row>
    <row r="1589">
      <c r="N1589" s="28"/>
      <c r="O1589" s="28"/>
      <c r="U1589" s="28"/>
    </row>
    <row r="1590">
      <c r="N1590" s="28"/>
      <c r="O1590" s="28"/>
      <c r="U1590" s="28"/>
    </row>
    <row r="1591">
      <c r="N1591" s="28"/>
      <c r="O1591" s="28"/>
      <c r="U1591" s="28"/>
    </row>
    <row r="1592">
      <c r="N1592" s="28"/>
      <c r="O1592" s="28"/>
      <c r="U1592" s="28"/>
    </row>
    <row r="1593">
      <c r="N1593" s="28"/>
      <c r="O1593" s="28"/>
      <c r="U1593" s="28"/>
    </row>
    <row r="1594">
      <c r="N1594" s="28"/>
      <c r="O1594" s="28"/>
      <c r="U1594" s="28"/>
    </row>
    <row r="1595">
      <c r="N1595" s="28"/>
      <c r="O1595" s="28"/>
      <c r="U1595" s="28"/>
    </row>
    <row r="1596">
      <c r="N1596" s="28"/>
      <c r="O1596" s="28"/>
      <c r="U1596" s="28"/>
    </row>
    <row r="1597">
      <c r="N1597" s="28"/>
      <c r="O1597" s="28"/>
      <c r="U1597" s="28"/>
    </row>
    <row r="1598">
      <c r="N1598" s="28"/>
      <c r="O1598" s="28"/>
      <c r="U1598" s="28"/>
    </row>
    <row r="1599">
      <c r="N1599" s="28"/>
      <c r="O1599" s="28"/>
      <c r="U1599" s="28"/>
    </row>
    <row r="1600">
      <c r="N1600" s="28"/>
      <c r="O1600" s="28"/>
      <c r="U1600" s="28"/>
    </row>
    <row r="1601">
      <c r="N1601" s="28"/>
      <c r="O1601" s="28"/>
      <c r="U1601" s="28"/>
    </row>
    <row r="1602">
      <c r="N1602" s="28"/>
      <c r="O1602" s="28"/>
      <c r="U1602" s="28"/>
    </row>
    <row r="1603">
      <c r="N1603" s="28"/>
      <c r="O1603" s="28"/>
      <c r="U1603" s="28"/>
    </row>
    <row r="1604">
      <c r="N1604" s="28"/>
      <c r="O1604" s="28"/>
      <c r="U1604" s="28"/>
    </row>
    <row r="1605">
      <c r="N1605" s="28"/>
      <c r="O1605" s="28"/>
      <c r="U1605" s="28"/>
    </row>
    <row r="1606">
      <c r="N1606" s="28"/>
      <c r="O1606" s="28"/>
      <c r="U1606" s="28"/>
    </row>
    <row r="1607">
      <c r="N1607" s="28"/>
      <c r="O1607" s="28"/>
      <c r="U1607" s="28"/>
    </row>
    <row r="1608">
      <c r="N1608" s="28"/>
      <c r="O1608" s="28"/>
      <c r="U1608" s="28"/>
    </row>
    <row r="1609">
      <c r="N1609" s="28"/>
      <c r="O1609" s="28"/>
      <c r="U1609" s="28"/>
    </row>
    <row r="1610">
      <c r="N1610" s="28"/>
      <c r="O1610" s="28"/>
      <c r="U1610" s="28"/>
    </row>
    <row r="1611">
      <c r="N1611" s="28"/>
      <c r="O1611" s="28"/>
      <c r="U1611" s="28"/>
    </row>
    <row r="1612">
      <c r="N1612" s="28"/>
      <c r="O1612" s="28"/>
      <c r="U1612" s="28"/>
    </row>
    <row r="1613">
      <c r="N1613" s="28"/>
      <c r="O1613" s="28"/>
      <c r="U1613" s="28"/>
    </row>
    <row r="1614">
      <c r="N1614" s="28"/>
      <c r="O1614" s="28"/>
      <c r="U1614" s="28"/>
    </row>
    <row r="1615">
      <c r="N1615" s="28"/>
      <c r="O1615" s="28"/>
      <c r="U1615" s="28"/>
    </row>
    <row r="1616">
      <c r="N1616" s="28"/>
      <c r="O1616" s="28"/>
      <c r="U1616" s="28"/>
    </row>
    <row r="1617">
      <c r="N1617" s="28"/>
      <c r="O1617" s="28"/>
      <c r="U1617" s="28"/>
    </row>
    <row r="1618">
      <c r="N1618" s="28"/>
      <c r="O1618" s="28"/>
      <c r="U1618" s="28"/>
    </row>
    <row r="1619">
      <c r="N1619" s="28"/>
      <c r="O1619" s="28"/>
      <c r="U1619" s="28"/>
    </row>
    <row r="1620">
      <c r="N1620" s="28"/>
      <c r="O1620" s="28"/>
      <c r="U1620" s="28"/>
    </row>
    <row r="1621">
      <c r="N1621" s="28"/>
      <c r="O1621" s="28"/>
      <c r="U1621" s="28"/>
    </row>
    <row r="1622">
      <c r="N1622" s="28"/>
      <c r="O1622" s="28"/>
      <c r="U1622" s="28"/>
    </row>
    <row r="1623">
      <c r="N1623" s="28"/>
      <c r="O1623" s="28"/>
      <c r="U1623" s="28"/>
    </row>
    <row r="1624">
      <c r="N1624" s="28"/>
      <c r="O1624" s="28"/>
      <c r="U1624" s="28"/>
    </row>
    <row r="1625">
      <c r="N1625" s="28"/>
      <c r="O1625" s="28"/>
      <c r="U1625" s="28"/>
    </row>
    <row r="1626">
      <c r="N1626" s="28"/>
      <c r="O1626" s="28"/>
      <c r="U1626" s="28"/>
    </row>
    <row r="1627">
      <c r="N1627" s="28"/>
      <c r="O1627" s="28"/>
      <c r="U1627" s="28"/>
    </row>
    <row r="1628">
      <c r="N1628" s="28"/>
      <c r="O1628" s="28"/>
      <c r="U1628" s="28"/>
    </row>
    <row r="1629">
      <c r="N1629" s="28"/>
      <c r="O1629" s="28"/>
      <c r="U1629" s="28"/>
    </row>
    <row r="1630">
      <c r="N1630" s="28"/>
      <c r="O1630" s="28"/>
      <c r="U1630" s="28"/>
    </row>
    <row r="1631">
      <c r="N1631" s="28"/>
      <c r="O1631" s="28"/>
      <c r="U1631" s="28"/>
    </row>
    <row r="1632">
      <c r="N1632" s="28"/>
      <c r="O1632" s="28"/>
      <c r="U1632" s="28"/>
    </row>
    <row r="1633">
      <c r="N1633" s="28"/>
      <c r="O1633" s="28"/>
      <c r="U1633" s="28"/>
    </row>
    <row r="1634">
      <c r="N1634" s="28"/>
      <c r="O1634" s="28"/>
      <c r="U1634" s="28"/>
    </row>
    <row r="1635">
      <c r="N1635" s="28"/>
      <c r="O1635" s="28"/>
      <c r="U1635" s="28"/>
    </row>
    <row r="1636">
      <c r="N1636" s="28"/>
      <c r="O1636" s="28"/>
      <c r="U1636" s="28"/>
    </row>
    <row r="1637">
      <c r="N1637" s="28"/>
      <c r="O1637" s="28"/>
      <c r="U1637" s="28"/>
    </row>
    <row r="1638">
      <c r="N1638" s="28"/>
      <c r="O1638" s="28"/>
      <c r="U1638" s="28"/>
    </row>
    <row r="1639">
      <c r="N1639" s="28"/>
      <c r="O1639" s="28"/>
      <c r="U1639" s="28"/>
    </row>
    <row r="1640">
      <c r="N1640" s="28"/>
      <c r="O1640" s="28"/>
      <c r="U1640" s="28"/>
    </row>
    <row r="1641">
      <c r="N1641" s="28"/>
      <c r="O1641" s="28"/>
      <c r="U1641" s="28"/>
    </row>
    <row r="1642">
      <c r="N1642" s="28"/>
      <c r="O1642" s="28"/>
      <c r="U1642" s="28"/>
    </row>
    <row r="1643">
      <c r="N1643" s="28"/>
      <c r="O1643" s="28"/>
      <c r="U1643" s="28"/>
    </row>
    <row r="1644">
      <c r="N1644" s="28"/>
      <c r="O1644" s="28"/>
      <c r="U1644" s="28"/>
    </row>
    <row r="1645">
      <c r="N1645" s="28"/>
      <c r="O1645" s="28"/>
      <c r="U1645" s="28"/>
    </row>
    <row r="1646">
      <c r="N1646" s="28"/>
      <c r="O1646" s="28"/>
      <c r="U1646" s="28"/>
    </row>
    <row r="1647">
      <c r="N1647" s="28"/>
      <c r="O1647" s="28"/>
      <c r="U1647" s="28"/>
    </row>
    <row r="1648">
      <c r="N1648" s="28"/>
      <c r="O1648" s="28"/>
      <c r="U1648" s="28"/>
    </row>
    <row r="1649">
      <c r="N1649" s="28"/>
      <c r="O1649" s="28"/>
      <c r="U1649" s="28"/>
    </row>
    <row r="1650">
      <c r="N1650" s="28"/>
      <c r="O1650" s="28"/>
      <c r="U1650" s="28"/>
    </row>
    <row r="1651">
      <c r="N1651" s="28"/>
      <c r="O1651" s="28"/>
      <c r="U1651" s="28"/>
    </row>
    <row r="1652">
      <c r="N1652" s="28"/>
      <c r="O1652" s="28"/>
      <c r="U1652" s="28"/>
    </row>
    <row r="1653">
      <c r="N1653" s="28"/>
      <c r="O1653" s="28"/>
      <c r="U1653" s="28"/>
    </row>
    <row r="1654">
      <c r="N1654" s="28"/>
      <c r="O1654" s="28"/>
      <c r="U1654" s="28"/>
    </row>
    <row r="1655">
      <c r="N1655" s="28"/>
      <c r="O1655" s="28"/>
      <c r="U1655" s="28"/>
    </row>
    <row r="1656">
      <c r="N1656" s="28"/>
      <c r="O1656" s="28"/>
      <c r="U1656" s="28"/>
    </row>
    <row r="1657">
      <c r="N1657" s="28"/>
      <c r="O1657" s="28"/>
      <c r="U1657" s="28"/>
    </row>
    <row r="1658">
      <c r="N1658" s="28"/>
      <c r="O1658" s="28"/>
      <c r="U1658" s="28"/>
    </row>
    <row r="1659">
      <c r="N1659" s="28"/>
      <c r="O1659" s="28"/>
      <c r="U1659" s="28"/>
    </row>
    <row r="1660">
      <c r="N1660" s="28"/>
      <c r="O1660" s="28"/>
      <c r="U1660" s="28"/>
    </row>
    <row r="1661">
      <c r="N1661" s="28"/>
      <c r="O1661" s="28"/>
      <c r="U1661" s="28"/>
    </row>
    <row r="1662">
      <c r="N1662" s="28"/>
      <c r="O1662" s="28"/>
      <c r="U1662" s="28"/>
    </row>
    <row r="1663">
      <c r="N1663" s="28"/>
      <c r="O1663" s="28"/>
      <c r="U1663" s="28"/>
    </row>
    <row r="1664">
      <c r="N1664" s="28"/>
      <c r="O1664" s="28"/>
      <c r="U1664" s="28"/>
    </row>
    <row r="1665">
      <c r="N1665" s="28"/>
      <c r="O1665" s="28"/>
      <c r="U1665" s="28"/>
    </row>
    <row r="1666">
      <c r="N1666" s="28"/>
      <c r="O1666" s="28"/>
      <c r="U1666" s="28"/>
    </row>
    <row r="1667">
      <c r="N1667" s="28"/>
      <c r="O1667" s="28"/>
      <c r="U1667" s="28"/>
    </row>
    <row r="1668">
      <c r="N1668" s="28"/>
      <c r="O1668" s="28"/>
      <c r="U1668" s="28"/>
    </row>
    <row r="1669">
      <c r="N1669" s="28"/>
      <c r="O1669" s="28"/>
      <c r="U1669" s="28"/>
    </row>
    <row r="1670">
      <c r="N1670" s="28"/>
      <c r="O1670" s="28"/>
      <c r="U1670" s="28"/>
    </row>
    <row r="1671">
      <c r="N1671" s="28"/>
      <c r="O1671" s="28"/>
      <c r="U1671" s="28"/>
    </row>
    <row r="1672">
      <c r="N1672" s="28"/>
      <c r="O1672" s="28"/>
      <c r="U1672" s="28"/>
    </row>
    <row r="1673">
      <c r="N1673" s="28"/>
      <c r="O1673" s="28"/>
      <c r="U1673" s="28"/>
    </row>
    <row r="1674">
      <c r="N1674" s="28"/>
      <c r="O1674" s="28"/>
      <c r="U1674" s="28"/>
    </row>
    <row r="1675">
      <c r="N1675" s="28"/>
      <c r="O1675" s="28"/>
      <c r="U1675" s="28"/>
    </row>
    <row r="1676">
      <c r="N1676" s="28"/>
      <c r="O1676" s="28"/>
      <c r="U1676" s="28"/>
    </row>
    <row r="1677">
      <c r="N1677" s="28"/>
      <c r="O1677" s="28"/>
      <c r="U1677" s="28"/>
    </row>
    <row r="1678">
      <c r="N1678" s="28"/>
      <c r="O1678" s="28"/>
      <c r="U1678" s="28"/>
    </row>
    <row r="1679">
      <c r="N1679" s="28"/>
      <c r="O1679" s="28"/>
      <c r="U1679" s="28"/>
    </row>
    <row r="1680">
      <c r="N1680" s="28"/>
      <c r="O1680" s="28"/>
      <c r="U1680" s="28"/>
    </row>
    <row r="1681">
      <c r="N1681" s="28"/>
      <c r="O1681" s="28"/>
      <c r="U1681" s="28"/>
    </row>
    <row r="1682">
      <c r="N1682" s="28"/>
      <c r="O1682" s="28"/>
      <c r="U1682" s="28"/>
    </row>
    <row r="1683">
      <c r="N1683" s="28"/>
      <c r="O1683" s="28"/>
      <c r="U1683" s="28"/>
    </row>
    <row r="1684">
      <c r="N1684" s="28"/>
      <c r="O1684" s="28"/>
      <c r="U1684" s="28"/>
    </row>
    <row r="1685">
      <c r="N1685" s="28"/>
      <c r="O1685" s="28"/>
      <c r="U1685" s="28"/>
    </row>
    <row r="1686">
      <c r="N1686" s="28"/>
      <c r="O1686" s="28"/>
      <c r="U1686" s="28"/>
    </row>
    <row r="1687">
      <c r="N1687" s="28"/>
      <c r="O1687" s="28"/>
      <c r="U1687" s="28"/>
    </row>
    <row r="1688">
      <c r="N1688" s="28"/>
      <c r="O1688" s="28"/>
      <c r="U1688" s="28"/>
    </row>
    <row r="1689">
      <c r="N1689" s="28"/>
      <c r="O1689" s="28"/>
      <c r="U1689" s="28"/>
    </row>
    <row r="1690">
      <c r="N1690" s="28"/>
      <c r="O1690" s="28"/>
      <c r="U1690" s="28"/>
    </row>
    <row r="1691">
      <c r="N1691" s="28"/>
      <c r="O1691" s="28"/>
      <c r="U1691" s="28"/>
    </row>
    <row r="1692">
      <c r="N1692" s="28"/>
      <c r="O1692" s="28"/>
      <c r="U1692" s="28"/>
    </row>
    <row r="1693">
      <c r="N1693" s="28"/>
      <c r="O1693" s="28"/>
      <c r="U1693" s="28"/>
    </row>
    <row r="1694">
      <c r="N1694" s="28"/>
      <c r="O1694" s="28"/>
      <c r="U1694" s="28"/>
    </row>
    <row r="1695">
      <c r="N1695" s="28"/>
      <c r="O1695" s="28"/>
      <c r="U1695" s="28"/>
    </row>
    <row r="1696">
      <c r="N1696" s="28"/>
      <c r="O1696" s="28"/>
      <c r="U1696" s="28"/>
    </row>
    <row r="1697">
      <c r="N1697" s="28"/>
      <c r="O1697" s="28"/>
      <c r="U1697" s="28"/>
    </row>
    <row r="1698">
      <c r="N1698" s="28"/>
      <c r="O1698" s="28"/>
      <c r="U1698" s="28"/>
    </row>
    <row r="1699">
      <c r="N1699" s="28"/>
      <c r="O1699" s="28"/>
      <c r="U1699" s="28"/>
    </row>
    <row r="1700">
      <c r="N1700" s="28"/>
      <c r="O1700" s="28"/>
      <c r="U1700" s="28"/>
    </row>
    <row r="1701">
      <c r="N1701" s="28"/>
      <c r="O1701" s="28"/>
      <c r="U1701" s="28"/>
    </row>
    <row r="1702">
      <c r="N1702" s="28"/>
      <c r="O1702" s="28"/>
      <c r="U1702" s="28"/>
    </row>
    <row r="1703">
      <c r="N1703" s="28"/>
      <c r="O1703" s="28"/>
      <c r="U1703" s="28"/>
    </row>
    <row r="1704">
      <c r="N1704" s="28"/>
      <c r="O1704" s="28"/>
      <c r="U1704" s="28"/>
    </row>
    <row r="1705">
      <c r="N1705" s="28"/>
      <c r="O1705" s="28"/>
      <c r="U1705" s="28"/>
    </row>
    <row r="1706">
      <c r="N1706" s="28"/>
      <c r="O1706" s="28"/>
      <c r="U1706" s="28"/>
    </row>
    <row r="1707">
      <c r="N1707" s="28"/>
      <c r="O1707" s="28"/>
      <c r="U1707" s="28"/>
    </row>
    <row r="1708">
      <c r="N1708" s="28"/>
      <c r="O1708" s="28"/>
      <c r="U1708" s="28"/>
    </row>
    <row r="1709">
      <c r="N1709" s="28"/>
      <c r="O1709" s="28"/>
      <c r="U1709" s="28"/>
    </row>
    <row r="1710">
      <c r="N1710" s="28"/>
      <c r="O1710" s="28"/>
      <c r="U1710" s="28"/>
    </row>
    <row r="1711">
      <c r="N1711" s="28"/>
      <c r="O1711" s="28"/>
      <c r="U1711" s="28"/>
    </row>
    <row r="1712">
      <c r="N1712" s="28"/>
      <c r="O1712" s="28"/>
      <c r="U1712" s="28"/>
    </row>
    <row r="1713">
      <c r="N1713" s="28"/>
      <c r="O1713" s="28"/>
      <c r="U1713" s="28"/>
    </row>
    <row r="1714">
      <c r="N1714" s="28"/>
      <c r="O1714" s="28"/>
      <c r="U1714" s="28"/>
    </row>
    <row r="1715">
      <c r="N1715" s="28"/>
      <c r="O1715" s="28"/>
      <c r="U1715" s="28"/>
    </row>
    <row r="1716">
      <c r="N1716" s="28"/>
      <c r="O1716" s="28"/>
      <c r="U1716" s="28"/>
    </row>
    <row r="1717">
      <c r="N1717" s="28"/>
      <c r="O1717" s="28"/>
      <c r="U1717" s="28"/>
    </row>
    <row r="1718">
      <c r="N1718" s="28"/>
      <c r="O1718" s="28"/>
      <c r="U1718" s="28"/>
    </row>
    <row r="1719">
      <c r="N1719" s="28"/>
      <c r="O1719" s="28"/>
      <c r="U1719" s="28"/>
    </row>
    <row r="1720">
      <c r="N1720" s="28"/>
      <c r="O1720" s="28"/>
      <c r="U1720" s="28"/>
    </row>
    <row r="1721">
      <c r="N1721" s="28"/>
      <c r="O1721" s="28"/>
      <c r="U1721" s="28"/>
    </row>
    <row r="1722">
      <c r="N1722" s="28"/>
      <c r="O1722" s="28"/>
      <c r="U1722" s="28"/>
    </row>
    <row r="1723">
      <c r="N1723" s="28"/>
      <c r="O1723" s="28"/>
      <c r="U1723" s="28"/>
    </row>
    <row r="1724">
      <c r="N1724" s="28"/>
      <c r="O1724" s="28"/>
      <c r="U1724" s="28"/>
    </row>
    <row r="1725">
      <c r="N1725" s="28"/>
      <c r="O1725" s="28"/>
      <c r="U1725" s="28"/>
    </row>
    <row r="1726">
      <c r="N1726" s="28"/>
      <c r="O1726" s="28"/>
      <c r="U1726" s="28"/>
    </row>
    <row r="1727">
      <c r="N1727" s="28"/>
      <c r="O1727" s="28"/>
      <c r="U1727" s="28"/>
    </row>
    <row r="1728">
      <c r="N1728" s="28"/>
      <c r="O1728" s="28"/>
      <c r="U1728" s="28"/>
    </row>
    <row r="1729">
      <c r="N1729" s="28"/>
      <c r="O1729" s="28"/>
      <c r="U1729" s="28"/>
    </row>
    <row r="1730">
      <c r="N1730" s="28"/>
      <c r="O1730" s="28"/>
      <c r="U1730" s="28"/>
    </row>
    <row r="1731">
      <c r="N1731" s="28"/>
      <c r="O1731" s="28"/>
      <c r="U1731" s="28"/>
    </row>
    <row r="1732">
      <c r="N1732" s="28"/>
      <c r="O1732" s="28"/>
      <c r="U1732" s="28"/>
    </row>
    <row r="1733">
      <c r="N1733" s="28"/>
      <c r="O1733" s="28"/>
      <c r="U1733" s="28"/>
    </row>
    <row r="1734">
      <c r="N1734" s="28"/>
      <c r="O1734" s="28"/>
      <c r="U1734" s="28"/>
    </row>
    <row r="1735">
      <c r="N1735" s="28"/>
      <c r="O1735" s="28"/>
      <c r="U1735" s="28"/>
    </row>
    <row r="1736">
      <c r="N1736" s="28"/>
      <c r="O1736" s="28"/>
      <c r="U1736" s="28"/>
    </row>
    <row r="1737">
      <c r="N1737" s="28"/>
      <c r="O1737" s="28"/>
      <c r="U1737" s="28"/>
    </row>
    <row r="1738">
      <c r="N1738" s="28"/>
      <c r="O1738" s="28"/>
      <c r="U1738" s="28"/>
    </row>
    <row r="1739">
      <c r="N1739" s="28"/>
      <c r="O1739" s="28"/>
      <c r="U1739" s="28"/>
    </row>
    <row r="1740">
      <c r="N1740" s="28"/>
      <c r="O1740" s="28"/>
      <c r="U1740" s="28"/>
    </row>
    <row r="1741">
      <c r="N1741" s="28"/>
      <c r="O1741" s="28"/>
      <c r="U1741" s="28"/>
    </row>
    <row r="1742">
      <c r="N1742" s="28"/>
      <c r="O1742" s="28"/>
      <c r="U1742" s="28"/>
    </row>
    <row r="1743">
      <c r="N1743" s="28"/>
      <c r="O1743" s="28"/>
      <c r="U1743" s="28"/>
    </row>
    <row r="1744">
      <c r="N1744" s="28"/>
      <c r="O1744" s="28"/>
      <c r="U1744" s="28"/>
    </row>
    <row r="1745">
      <c r="N1745" s="28"/>
      <c r="O1745" s="28"/>
      <c r="U1745" s="28"/>
    </row>
    <row r="1746">
      <c r="N1746" s="28"/>
      <c r="O1746" s="28"/>
      <c r="U1746" s="28"/>
    </row>
    <row r="1747">
      <c r="N1747" s="28"/>
      <c r="O1747" s="28"/>
      <c r="U1747" s="28"/>
    </row>
    <row r="1748">
      <c r="N1748" s="28"/>
      <c r="O1748" s="28"/>
      <c r="U1748" s="28"/>
    </row>
    <row r="1749">
      <c r="N1749" s="28"/>
      <c r="O1749" s="28"/>
      <c r="U1749" s="28"/>
    </row>
    <row r="1750">
      <c r="N1750" s="28"/>
      <c r="O1750" s="28"/>
      <c r="U1750" s="28"/>
    </row>
    <row r="1751">
      <c r="N1751" s="28"/>
      <c r="O1751" s="28"/>
      <c r="U1751" s="28"/>
    </row>
    <row r="1752">
      <c r="N1752" s="28"/>
      <c r="O1752" s="28"/>
      <c r="U1752" s="28"/>
    </row>
    <row r="1753">
      <c r="N1753" s="28"/>
      <c r="O1753" s="28"/>
      <c r="U1753" s="28"/>
    </row>
    <row r="1754">
      <c r="N1754" s="28"/>
      <c r="O1754" s="28"/>
      <c r="U1754" s="28"/>
    </row>
    <row r="1755">
      <c r="N1755" s="28"/>
      <c r="O1755" s="28"/>
      <c r="U1755" s="28"/>
    </row>
    <row r="1756">
      <c r="N1756" s="28"/>
      <c r="O1756" s="28"/>
      <c r="U1756" s="28"/>
    </row>
    <row r="1757">
      <c r="N1757" s="28"/>
      <c r="O1757" s="28"/>
      <c r="U1757" s="28"/>
    </row>
    <row r="1758">
      <c r="N1758" s="28"/>
      <c r="O1758" s="28"/>
      <c r="U1758" s="28"/>
    </row>
    <row r="1759">
      <c r="N1759" s="28"/>
      <c r="O1759" s="28"/>
      <c r="U1759" s="28"/>
    </row>
    <row r="1760">
      <c r="N1760" s="28"/>
      <c r="O1760" s="28"/>
      <c r="U1760" s="28"/>
    </row>
    <row r="1761">
      <c r="N1761" s="28"/>
      <c r="O1761" s="28"/>
      <c r="U1761" s="28"/>
    </row>
    <row r="1762">
      <c r="N1762" s="28"/>
      <c r="O1762" s="28"/>
      <c r="U1762" s="28"/>
    </row>
    <row r="1763">
      <c r="N1763" s="28"/>
      <c r="O1763" s="28"/>
      <c r="U1763" s="28"/>
    </row>
    <row r="1764">
      <c r="N1764" s="28"/>
      <c r="O1764" s="28"/>
      <c r="U1764" s="28"/>
    </row>
    <row r="1765">
      <c r="N1765" s="28"/>
      <c r="O1765" s="28"/>
      <c r="U1765" s="28"/>
    </row>
    <row r="1766">
      <c r="N1766" s="28"/>
      <c r="O1766" s="28"/>
      <c r="U1766" s="28"/>
    </row>
    <row r="1767">
      <c r="N1767" s="28"/>
      <c r="O1767" s="28"/>
      <c r="U1767" s="28"/>
    </row>
    <row r="1768">
      <c r="N1768" s="28"/>
      <c r="O1768" s="28"/>
      <c r="U1768" s="28"/>
    </row>
    <row r="1769">
      <c r="N1769" s="28"/>
      <c r="O1769" s="28"/>
      <c r="U1769" s="28"/>
    </row>
    <row r="1770">
      <c r="N1770" s="28"/>
      <c r="O1770" s="28"/>
      <c r="U1770" s="28"/>
    </row>
    <row r="1771">
      <c r="N1771" s="28"/>
      <c r="O1771" s="28"/>
      <c r="U1771" s="28"/>
    </row>
    <row r="1772">
      <c r="N1772" s="28"/>
      <c r="O1772" s="28"/>
      <c r="U1772" s="28"/>
    </row>
    <row r="1773">
      <c r="N1773" s="28"/>
      <c r="O1773" s="28"/>
      <c r="U1773" s="28"/>
    </row>
    <row r="1774">
      <c r="N1774" s="28"/>
      <c r="O1774" s="28"/>
      <c r="U1774" s="28"/>
    </row>
    <row r="1775">
      <c r="N1775" s="28"/>
      <c r="O1775" s="28"/>
      <c r="U1775" s="28"/>
    </row>
    <row r="1776">
      <c r="N1776" s="28"/>
      <c r="O1776" s="28"/>
      <c r="U1776" s="28"/>
    </row>
    <row r="1777">
      <c r="N1777" s="28"/>
      <c r="O1777" s="28"/>
      <c r="U1777" s="28"/>
    </row>
    <row r="1778">
      <c r="N1778" s="28"/>
      <c r="O1778" s="28"/>
      <c r="U1778" s="28"/>
    </row>
    <row r="1779">
      <c r="N1779" s="28"/>
      <c r="O1779" s="28"/>
      <c r="U1779" s="28"/>
    </row>
    <row r="1780">
      <c r="N1780" s="28"/>
      <c r="O1780" s="28"/>
      <c r="U1780" s="28"/>
    </row>
    <row r="1781">
      <c r="N1781" s="28"/>
      <c r="O1781" s="28"/>
      <c r="U1781" s="28"/>
    </row>
    <row r="1782">
      <c r="N1782" s="28"/>
      <c r="O1782" s="28"/>
      <c r="U1782" s="28"/>
    </row>
    <row r="1783">
      <c r="N1783" s="28"/>
      <c r="O1783" s="28"/>
      <c r="U1783" s="28"/>
    </row>
    <row r="1784">
      <c r="N1784" s="28"/>
      <c r="O1784" s="28"/>
      <c r="U1784" s="28"/>
    </row>
    <row r="1785">
      <c r="N1785" s="28"/>
      <c r="O1785" s="28"/>
      <c r="U1785" s="28"/>
    </row>
    <row r="1786">
      <c r="N1786" s="28"/>
      <c r="O1786" s="28"/>
      <c r="U1786" s="28"/>
    </row>
    <row r="1787">
      <c r="N1787" s="28"/>
      <c r="O1787" s="28"/>
      <c r="U1787" s="28"/>
    </row>
    <row r="1788">
      <c r="N1788" s="28"/>
      <c r="O1788" s="28"/>
      <c r="U1788" s="28"/>
    </row>
    <row r="1789">
      <c r="N1789" s="28"/>
      <c r="O1789" s="28"/>
      <c r="U1789" s="28"/>
    </row>
    <row r="1790">
      <c r="N1790" s="28"/>
      <c r="O1790" s="28"/>
      <c r="U1790" s="28"/>
    </row>
    <row r="1791">
      <c r="N1791" s="28"/>
      <c r="O1791" s="28"/>
      <c r="U1791" s="28"/>
    </row>
    <row r="1792">
      <c r="N1792" s="28"/>
      <c r="O1792" s="28"/>
      <c r="U1792" s="28"/>
    </row>
    <row r="1793">
      <c r="N1793" s="28"/>
      <c r="O1793" s="28"/>
      <c r="U1793" s="28"/>
    </row>
    <row r="1794">
      <c r="N1794" s="28"/>
      <c r="O1794" s="28"/>
      <c r="U1794" s="28"/>
    </row>
    <row r="1795">
      <c r="N1795" s="28"/>
      <c r="O1795" s="28"/>
      <c r="U1795" s="28"/>
    </row>
    <row r="1796">
      <c r="N1796" s="28"/>
      <c r="O1796" s="28"/>
      <c r="U1796" s="28"/>
    </row>
    <row r="1797">
      <c r="N1797" s="28"/>
      <c r="O1797" s="28"/>
      <c r="U1797" s="28"/>
    </row>
    <row r="1798">
      <c r="N1798" s="28"/>
      <c r="O1798" s="28"/>
      <c r="U1798" s="28"/>
    </row>
    <row r="1799">
      <c r="N1799" s="28"/>
      <c r="O1799" s="28"/>
      <c r="U1799" s="28"/>
    </row>
    <row r="1800">
      <c r="N1800" s="28"/>
      <c r="O1800" s="28"/>
      <c r="U1800" s="28"/>
    </row>
    <row r="1801">
      <c r="N1801" s="28"/>
      <c r="O1801" s="28"/>
      <c r="U1801" s="28"/>
    </row>
    <row r="1802">
      <c r="N1802" s="28"/>
      <c r="O1802" s="28"/>
      <c r="U1802" s="28"/>
    </row>
    <row r="1803">
      <c r="N1803" s="28"/>
      <c r="O1803" s="28"/>
      <c r="U1803" s="28"/>
    </row>
    <row r="1804">
      <c r="N1804" s="28"/>
      <c r="O1804" s="28"/>
      <c r="U1804" s="28"/>
    </row>
    <row r="1805">
      <c r="N1805" s="28"/>
      <c r="O1805" s="28"/>
      <c r="U1805" s="28"/>
    </row>
    <row r="1806">
      <c r="N1806" s="28"/>
      <c r="O1806" s="28"/>
      <c r="U1806" s="28"/>
    </row>
    <row r="1807">
      <c r="N1807" s="28"/>
      <c r="O1807" s="28"/>
      <c r="U1807" s="28"/>
    </row>
    <row r="1808">
      <c r="N1808" s="28"/>
      <c r="O1808" s="28"/>
      <c r="U1808" s="28"/>
    </row>
    <row r="1809">
      <c r="N1809" s="28"/>
      <c r="O1809" s="28"/>
      <c r="U1809" s="28"/>
    </row>
    <row r="1810">
      <c r="N1810" s="28"/>
      <c r="O1810" s="28"/>
      <c r="U1810" s="28"/>
    </row>
    <row r="1811">
      <c r="N1811" s="28"/>
      <c r="O1811" s="28"/>
      <c r="U1811" s="28"/>
    </row>
    <row r="1812">
      <c r="N1812" s="28"/>
      <c r="O1812" s="28"/>
      <c r="U1812" s="28"/>
    </row>
    <row r="1813">
      <c r="N1813" s="28"/>
      <c r="O1813" s="28"/>
      <c r="U1813" s="28"/>
    </row>
    <row r="1814">
      <c r="N1814" s="28"/>
      <c r="O1814" s="28"/>
      <c r="U1814" s="28"/>
    </row>
    <row r="1815">
      <c r="N1815" s="28"/>
      <c r="O1815" s="28"/>
      <c r="U1815" s="28"/>
    </row>
    <row r="1816">
      <c r="N1816" s="28"/>
      <c r="O1816" s="28"/>
      <c r="U1816" s="28"/>
    </row>
    <row r="1817">
      <c r="N1817" s="28"/>
      <c r="O1817" s="28"/>
      <c r="U1817" s="28"/>
    </row>
    <row r="1818">
      <c r="N1818" s="28"/>
      <c r="O1818" s="28"/>
      <c r="U1818" s="28"/>
    </row>
    <row r="1819">
      <c r="N1819" s="28"/>
      <c r="O1819" s="28"/>
      <c r="U1819" s="28"/>
    </row>
    <row r="1820">
      <c r="N1820" s="28"/>
      <c r="O1820" s="28"/>
      <c r="U1820" s="28"/>
    </row>
    <row r="1821">
      <c r="N1821" s="28"/>
      <c r="O1821" s="28"/>
      <c r="U1821" s="28"/>
    </row>
    <row r="1822">
      <c r="N1822" s="28"/>
      <c r="O1822" s="28"/>
      <c r="U1822" s="28"/>
    </row>
    <row r="1823">
      <c r="N1823" s="28"/>
      <c r="O1823" s="28"/>
      <c r="U1823" s="28"/>
    </row>
    <row r="1824">
      <c r="N1824" s="28"/>
      <c r="O1824" s="28"/>
      <c r="U1824" s="28"/>
    </row>
    <row r="1825">
      <c r="N1825" s="28"/>
      <c r="O1825" s="28"/>
      <c r="U1825" s="28"/>
    </row>
    <row r="1826">
      <c r="N1826" s="28"/>
      <c r="O1826" s="28"/>
      <c r="U1826" s="28"/>
    </row>
    <row r="1827">
      <c r="N1827" s="28"/>
      <c r="O1827" s="28"/>
      <c r="U1827" s="28"/>
    </row>
    <row r="1828">
      <c r="N1828" s="28"/>
      <c r="O1828" s="28"/>
      <c r="U1828" s="28"/>
    </row>
    <row r="1829">
      <c r="N1829" s="28"/>
      <c r="O1829" s="28"/>
      <c r="U1829" s="28"/>
    </row>
    <row r="1830">
      <c r="N1830" s="28"/>
      <c r="O1830" s="28"/>
      <c r="U1830" s="28"/>
    </row>
    <row r="1831">
      <c r="N1831" s="28"/>
      <c r="O1831" s="28"/>
      <c r="U1831" s="28"/>
    </row>
    <row r="1832">
      <c r="N1832" s="28"/>
      <c r="O1832" s="28"/>
      <c r="U1832" s="28"/>
    </row>
    <row r="1833">
      <c r="N1833" s="28"/>
      <c r="O1833" s="28"/>
      <c r="U1833" s="28"/>
    </row>
    <row r="1834">
      <c r="N1834" s="28"/>
      <c r="O1834" s="28"/>
      <c r="U1834" s="28"/>
    </row>
    <row r="1835">
      <c r="N1835" s="28"/>
      <c r="O1835" s="28"/>
      <c r="U1835" s="28"/>
    </row>
    <row r="1836">
      <c r="N1836" s="28"/>
      <c r="O1836" s="28"/>
      <c r="U1836" s="28"/>
    </row>
    <row r="1837">
      <c r="N1837" s="28"/>
      <c r="O1837" s="28"/>
      <c r="U1837" s="28"/>
    </row>
    <row r="1838">
      <c r="N1838" s="28"/>
      <c r="O1838" s="28"/>
      <c r="U1838" s="28"/>
    </row>
    <row r="1839">
      <c r="N1839" s="28"/>
      <c r="O1839" s="28"/>
      <c r="U1839" s="28"/>
    </row>
    <row r="1840">
      <c r="N1840" s="28"/>
      <c r="O1840" s="28"/>
      <c r="U1840" s="28"/>
    </row>
    <row r="1841">
      <c r="N1841" s="28"/>
      <c r="O1841" s="28"/>
      <c r="U1841" s="28"/>
    </row>
    <row r="1842">
      <c r="N1842" s="28"/>
      <c r="O1842" s="28"/>
      <c r="U1842" s="28"/>
    </row>
    <row r="1843">
      <c r="N1843" s="28"/>
      <c r="O1843" s="28"/>
      <c r="U1843" s="28"/>
    </row>
    <row r="1844">
      <c r="N1844" s="28"/>
      <c r="O1844" s="28"/>
      <c r="U1844" s="28"/>
    </row>
    <row r="1845">
      <c r="N1845" s="28"/>
      <c r="O1845" s="28"/>
      <c r="U1845" s="28"/>
    </row>
    <row r="1846">
      <c r="N1846" s="28"/>
      <c r="O1846" s="28"/>
      <c r="U1846" s="28"/>
    </row>
    <row r="1847">
      <c r="N1847" s="28"/>
      <c r="O1847" s="28"/>
      <c r="U1847" s="28"/>
    </row>
    <row r="1848">
      <c r="N1848" s="28"/>
      <c r="O1848" s="28"/>
      <c r="U1848" s="28"/>
    </row>
    <row r="1849">
      <c r="N1849" s="28"/>
      <c r="O1849" s="28"/>
      <c r="U1849" s="28"/>
    </row>
    <row r="1850">
      <c r="N1850" s="28"/>
      <c r="O1850" s="28"/>
      <c r="U1850" s="28"/>
    </row>
    <row r="1851">
      <c r="N1851" s="28"/>
      <c r="O1851" s="28"/>
      <c r="U1851" s="28"/>
    </row>
    <row r="1852">
      <c r="N1852" s="28"/>
      <c r="O1852" s="28"/>
      <c r="U1852" s="28"/>
    </row>
    <row r="1853">
      <c r="N1853" s="28"/>
      <c r="O1853" s="28"/>
      <c r="U1853" s="28"/>
    </row>
    <row r="1854">
      <c r="N1854" s="28"/>
      <c r="O1854" s="28"/>
      <c r="U1854" s="28"/>
    </row>
    <row r="1855">
      <c r="N1855" s="28"/>
      <c r="O1855" s="28"/>
      <c r="U1855" s="28"/>
    </row>
    <row r="1856">
      <c r="N1856" s="28"/>
      <c r="O1856" s="28"/>
      <c r="U1856" s="28"/>
    </row>
    <row r="1857">
      <c r="N1857" s="28"/>
      <c r="O1857" s="28"/>
      <c r="U1857" s="28"/>
    </row>
    <row r="1858">
      <c r="N1858" s="28"/>
      <c r="O1858" s="28"/>
      <c r="U1858" s="28"/>
    </row>
    <row r="1859">
      <c r="N1859" s="28"/>
      <c r="O1859" s="28"/>
      <c r="U1859" s="28"/>
    </row>
    <row r="1860">
      <c r="N1860" s="28"/>
      <c r="O1860" s="28"/>
      <c r="U1860" s="28"/>
    </row>
    <row r="1861">
      <c r="N1861" s="28"/>
      <c r="O1861" s="28"/>
      <c r="U1861" s="28"/>
    </row>
    <row r="1862">
      <c r="N1862" s="28"/>
      <c r="O1862" s="28"/>
      <c r="U1862" s="28"/>
    </row>
    <row r="1863">
      <c r="N1863" s="28"/>
      <c r="O1863" s="28"/>
      <c r="U1863" s="28"/>
    </row>
    <row r="1864">
      <c r="N1864" s="28"/>
      <c r="O1864" s="28"/>
      <c r="U1864" s="28"/>
    </row>
    <row r="1865">
      <c r="N1865" s="28"/>
      <c r="O1865" s="28"/>
      <c r="U1865" s="28"/>
    </row>
    <row r="1866">
      <c r="N1866" s="28"/>
      <c r="O1866" s="28"/>
      <c r="U1866" s="28"/>
    </row>
    <row r="1867">
      <c r="N1867" s="28"/>
      <c r="O1867" s="28"/>
      <c r="U1867" s="28"/>
    </row>
    <row r="1868">
      <c r="N1868" s="28"/>
      <c r="O1868" s="28"/>
      <c r="U1868" s="28"/>
    </row>
    <row r="1869">
      <c r="N1869" s="28"/>
      <c r="O1869" s="28"/>
      <c r="U1869" s="28"/>
    </row>
    <row r="1870">
      <c r="N1870" s="28"/>
      <c r="O1870" s="28"/>
      <c r="U1870" s="28"/>
    </row>
    <row r="1871">
      <c r="N1871" s="28"/>
      <c r="O1871" s="28"/>
      <c r="U1871" s="28"/>
    </row>
    <row r="1872">
      <c r="N1872" s="28"/>
      <c r="O1872" s="28"/>
      <c r="U1872" s="28"/>
    </row>
    <row r="1873">
      <c r="N1873" s="28"/>
      <c r="O1873" s="28"/>
      <c r="U1873" s="28"/>
    </row>
    <row r="1874">
      <c r="N1874" s="28"/>
      <c r="O1874" s="28"/>
      <c r="U1874" s="28"/>
    </row>
    <row r="1875">
      <c r="N1875" s="28"/>
      <c r="O1875" s="28"/>
      <c r="U1875" s="28"/>
    </row>
    <row r="1876">
      <c r="N1876" s="28"/>
      <c r="O1876" s="28"/>
      <c r="U1876" s="28"/>
    </row>
    <row r="1877">
      <c r="N1877" s="28"/>
      <c r="O1877" s="28"/>
      <c r="U1877" s="28"/>
    </row>
    <row r="1878">
      <c r="N1878" s="28"/>
      <c r="O1878" s="28"/>
      <c r="U1878" s="28"/>
    </row>
    <row r="1879">
      <c r="N1879" s="28"/>
      <c r="O1879" s="28"/>
      <c r="U1879" s="28"/>
    </row>
    <row r="1880">
      <c r="N1880" s="28"/>
      <c r="O1880" s="28"/>
      <c r="U1880" s="28"/>
    </row>
    <row r="1881">
      <c r="N1881" s="28"/>
      <c r="O1881" s="28"/>
      <c r="U1881" s="28"/>
    </row>
    <row r="1882">
      <c r="N1882" s="28"/>
      <c r="O1882" s="28"/>
      <c r="U1882" s="28"/>
    </row>
    <row r="1883">
      <c r="N1883" s="28"/>
      <c r="O1883" s="28"/>
      <c r="U1883" s="28"/>
    </row>
    <row r="1884">
      <c r="N1884" s="28"/>
      <c r="O1884" s="28"/>
      <c r="U1884" s="28"/>
    </row>
    <row r="1885">
      <c r="N1885" s="28"/>
      <c r="O1885" s="28"/>
      <c r="U1885" s="28"/>
    </row>
    <row r="1886">
      <c r="N1886" s="28"/>
      <c r="O1886" s="28"/>
      <c r="U1886" s="28"/>
    </row>
    <row r="1887">
      <c r="N1887" s="28"/>
      <c r="O1887" s="28"/>
      <c r="U1887" s="28"/>
    </row>
    <row r="1888">
      <c r="N1888" s="28"/>
      <c r="O1888" s="28"/>
      <c r="U1888" s="28"/>
    </row>
    <row r="1889">
      <c r="N1889" s="28"/>
      <c r="O1889" s="28"/>
      <c r="U1889" s="28"/>
    </row>
    <row r="1890">
      <c r="N1890" s="28"/>
      <c r="O1890" s="28"/>
      <c r="U1890" s="28"/>
    </row>
    <row r="1891">
      <c r="N1891" s="28"/>
      <c r="O1891" s="28"/>
      <c r="U1891" s="28"/>
    </row>
    <row r="1892">
      <c r="N1892" s="28"/>
      <c r="O1892" s="28"/>
      <c r="U1892" s="28"/>
    </row>
    <row r="1893">
      <c r="N1893" s="28"/>
      <c r="O1893" s="28"/>
      <c r="U1893" s="28"/>
    </row>
    <row r="1894">
      <c r="N1894" s="28"/>
      <c r="O1894" s="28"/>
      <c r="U1894" s="28"/>
    </row>
    <row r="1895">
      <c r="N1895" s="28"/>
      <c r="O1895" s="28"/>
      <c r="U1895" s="28"/>
    </row>
    <row r="1896">
      <c r="N1896" s="28"/>
      <c r="O1896" s="28"/>
      <c r="U1896" s="28"/>
    </row>
    <row r="1897">
      <c r="N1897" s="28"/>
      <c r="O1897" s="28"/>
      <c r="U1897" s="28"/>
    </row>
    <row r="1898">
      <c r="N1898" s="28"/>
      <c r="O1898" s="28"/>
      <c r="U1898" s="28"/>
    </row>
    <row r="1899">
      <c r="N1899" s="28"/>
      <c r="O1899" s="28"/>
      <c r="U1899" s="28"/>
    </row>
    <row r="1900">
      <c r="N1900" s="28"/>
      <c r="O1900" s="28"/>
      <c r="U1900" s="28"/>
    </row>
    <row r="1901">
      <c r="N1901" s="28"/>
      <c r="O1901" s="28"/>
      <c r="U1901" s="28"/>
    </row>
    <row r="1902">
      <c r="N1902" s="28"/>
      <c r="O1902" s="28"/>
      <c r="U1902" s="28"/>
    </row>
    <row r="1903">
      <c r="N1903" s="28"/>
      <c r="O1903" s="28"/>
      <c r="U1903" s="28"/>
    </row>
    <row r="1904">
      <c r="N1904" s="28"/>
      <c r="O1904" s="28"/>
      <c r="U1904" s="28"/>
    </row>
    <row r="1905">
      <c r="N1905" s="28"/>
      <c r="O1905" s="28"/>
      <c r="U1905" s="28"/>
    </row>
    <row r="1906">
      <c r="N1906" s="28"/>
      <c r="O1906" s="28"/>
      <c r="U1906" s="28"/>
    </row>
    <row r="1907">
      <c r="N1907" s="28"/>
      <c r="O1907" s="28"/>
      <c r="U1907" s="28"/>
    </row>
    <row r="1908">
      <c r="N1908" s="28"/>
      <c r="O1908" s="28"/>
      <c r="U1908" s="28"/>
    </row>
    <row r="1909">
      <c r="N1909" s="28"/>
      <c r="O1909" s="28"/>
      <c r="U1909" s="28"/>
    </row>
    <row r="1910">
      <c r="N1910" s="28"/>
      <c r="O1910" s="28"/>
      <c r="U1910" s="28"/>
    </row>
    <row r="1911">
      <c r="N1911" s="28"/>
      <c r="O1911" s="28"/>
      <c r="U1911" s="28"/>
    </row>
    <row r="1912">
      <c r="N1912" s="28"/>
      <c r="O1912" s="28"/>
      <c r="U1912" s="28"/>
    </row>
    <row r="1913">
      <c r="N1913" s="28"/>
      <c r="O1913" s="28"/>
      <c r="U1913" s="28"/>
    </row>
    <row r="1914">
      <c r="N1914" s="28"/>
      <c r="O1914" s="28"/>
      <c r="U1914" s="28"/>
    </row>
    <row r="1915">
      <c r="N1915" s="28"/>
      <c r="O1915" s="28"/>
      <c r="U1915" s="28"/>
    </row>
    <row r="1916">
      <c r="N1916" s="28"/>
      <c r="O1916" s="28"/>
      <c r="U1916" s="28"/>
    </row>
    <row r="1917">
      <c r="N1917" s="28"/>
      <c r="O1917" s="28"/>
      <c r="U1917" s="28"/>
    </row>
    <row r="1918">
      <c r="N1918" s="28"/>
      <c r="O1918" s="28"/>
      <c r="U1918" s="28"/>
    </row>
    <row r="1919">
      <c r="N1919" s="28"/>
      <c r="O1919" s="28"/>
      <c r="U1919" s="28"/>
    </row>
    <row r="1920">
      <c r="N1920" s="28"/>
      <c r="O1920" s="28"/>
      <c r="U1920" s="28"/>
    </row>
    <row r="1921">
      <c r="N1921" s="28"/>
      <c r="O1921" s="28"/>
      <c r="U1921" s="28"/>
    </row>
    <row r="1922">
      <c r="N1922" s="28"/>
      <c r="O1922" s="28"/>
      <c r="U1922" s="28"/>
    </row>
    <row r="1923">
      <c r="N1923" s="28"/>
      <c r="O1923" s="28"/>
      <c r="U1923" s="28"/>
    </row>
    <row r="1924">
      <c r="N1924" s="28"/>
      <c r="O1924" s="28"/>
      <c r="U1924" s="28"/>
    </row>
    <row r="1925">
      <c r="N1925" s="28"/>
      <c r="O1925" s="28"/>
      <c r="U1925" s="28"/>
    </row>
    <row r="1926">
      <c r="N1926" s="28"/>
      <c r="O1926" s="28"/>
      <c r="U1926" s="28"/>
    </row>
    <row r="1927">
      <c r="N1927" s="28"/>
      <c r="O1927" s="28"/>
      <c r="U1927" s="28"/>
    </row>
    <row r="1928">
      <c r="N1928" s="28"/>
      <c r="O1928" s="28"/>
      <c r="U1928" s="28"/>
    </row>
    <row r="1929">
      <c r="N1929" s="28"/>
      <c r="O1929" s="28"/>
      <c r="U1929" s="28"/>
    </row>
    <row r="1930">
      <c r="N1930" s="28"/>
      <c r="O1930" s="28"/>
      <c r="U1930" s="28"/>
    </row>
    <row r="1931">
      <c r="N1931" s="28"/>
      <c r="O1931" s="28"/>
      <c r="U1931" s="28"/>
    </row>
    <row r="1932">
      <c r="N1932" s="28"/>
      <c r="O1932" s="28"/>
      <c r="U1932" s="28"/>
    </row>
    <row r="1933">
      <c r="N1933" s="28"/>
      <c r="O1933" s="28"/>
      <c r="U1933" s="28"/>
    </row>
    <row r="1934">
      <c r="N1934" s="28"/>
      <c r="O1934" s="28"/>
      <c r="U1934" s="28"/>
    </row>
    <row r="1935">
      <c r="N1935" s="28"/>
      <c r="O1935" s="28"/>
      <c r="U1935" s="28"/>
    </row>
    <row r="1936">
      <c r="N1936" s="28"/>
      <c r="O1936" s="28"/>
      <c r="U1936" s="28"/>
    </row>
    <row r="1937">
      <c r="N1937" s="28"/>
      <c r="O1937" s="28"/>
      <c r="U1937" s="28"/>
    </row>
    <row r="1938">
      <c r="N1938" s="28"/>
      <c r="O1938" s="28"/>
      <c r="U1938" s="28"/>
    </row>
    <row r="1939">
      <c r="N1939" s="28"/>
      <c r="O1939" s="28"/>
      <c r="U1939" s="28"/>
    </row>
    <row r="1940">
      <c r="N1940" s="28"/>
      <c r="O1940" s="28"/>
      <c r="U1940" s="28"/>
    </row>
    <row r="1941">
      <c r="N1941" s="28"/>
      <c r="O1941" s="28"/>
      <c r="U1941" s="28"/>
    </row>
    <row r="1942">
      <c r="N1942" s="28"/>
      <c r="O1942" s="28"/>
      <c r="U1942" s="28"/>
    </row>
    <row r="1943">
      <c r="N1943" s="28"/>
      <c r="O1943" s="28"/>
      <c r="U1943" s="28"/>
    </row>
    <row r="1944">
      <c r="N1944" s="28"/>
      <c r="O1944" s="28"/>
      <c r="U1944" s="28"/>
    </row>
    <row r="1945">
      <c r="N1945" s="28"/>
      <c r="O1945" s="28"/>
      <c r="U1945" s="28"/>
    </row>
    <row r="1946">
      <c r="N1946" s="28"/>
      <c r="O1946" s="28"/>
      <c r="U1946" s="28"/>
    </row>
    <row r="1947">
      <c r="N1947" s="28"/>
      <c r="O1947" s="28"/>
      <c r="U1947" s="28"/>
    </row>
    <row r="1948">
      <c r="N1948" s="28"/>
      <c r="O1948" s="28"/>
      <c r="U1948" s="28"/>
    </row>
    <row r="1949">
      <c r="N1949" s="28"/>
      <c r="O1949" s="28"/>
      <c r="U1949" s="28"/>
    </row>
    <row r="1950">
      <c r="N1950" s="28"/>
      <c r="O1950" s="28"/>
      <c r="U1950" s="28"/>
    </row>
    <row r="1951">
      <c r="N1951" s="28"/>
      <c r="O1951" s="28"/>
      <c r="U1951" s="28"/>
    </row>
    <row r="1952">
      <c r="N1952" s="28"/>
      <c r="O1952" s="28"/>
      <c r="U1952" s="28"/>
    </row>
    <row r="1953">
      <c r="N1953" s="28"/>
      <c r="O1953" s="28"/>
      <c r="U1953" s="28"/>
    </row>
    <row r="1954">
      <c r="N1954" s="28"/>
      <c r="O1954" s="28"/>
      <c r="U1954" s="28"/>
    </row>
    <row r="1955">
      <c r="N1955" s="28"/>
      <c r="O1955" s="28"/>
      <c r="U1955" s="28"/>
    </row>
    <row r="1956">
      <c r="N1956" s="28"/>
      <c r="O1956" s="28"/>
      <c r="U1956" s="28"/>
    </row>
    <row r="1957">
      <c r="N1957" s="28"/>
      <c r="O1957" s="28"/>
      <c r="U1957" s="28"/>
    </row>
    <row r="1958">
      <c r="N1958" s="28"/>
      <c r="O1958" s="28"/>
      <c r="U1958" s="28"/>
    </row>
    <row r="1959">
      <c r="N1959" s="28"/>
      <c r="O1959" s="28"/>
      <c r="U1959" s="28"/>
    </row>
    <row r="1960">
      <c r="N1960" s="28"/>
      <c r="O1960" s="28"/>
      <c r="U1960" s="28"/>
    </row>
    <row r="1961">
      <c r="N1961" s="28"/>
      <c r="O1961" s="28"/>
      <c r="U1961" s="28"/>
    </row>
    <row r="1962">
      <c r="N1962" s="28"/>
      <c r="O1962" s="28"/>
      <c r="U1962" s="28"/>
    </row>
    <row r="1963">
      <c r="N1963" s="28"/>
      <c r="O1963" s="28"/>
      <c r="U1963" s="28"/>
    </row>
    <row r="1964">
      <c r="N1964" s="28"/>
      <c r="O1964" s="28"/>
      <c r="U1964" s="28"/>
    </row>
    <row r="1965">
      <c r="N1965" s="28"/>
      <c r="O1965" s="28"/>
      <c r="U1965" s="28"/>
    </row>
    <row r="1966">
      <c r="N1966" s="28"/>
      <c r="O1966" s="28"/>
      <c r="U1966" s="28"/>
    </row>
    <row r="1967">
      <c r="N1967" s="28"/>
      <c r="O1967" s="28"/>
      <c r="U1967" s="28"/>
    </row>
    <row r="1968">
      <c r="N1968" s="28"/>
      <c r="O1968" s="28"/>
      <c r="U1968" s="28"/>
    </row>
    <row r="1969">
      <c r="N1969" s="28"/>
      <c r="O1969" s="28"/>
      <c r="U1969" s="28"/>
    </row>
    <row r="1970">
      <c r="N1970" s="28"/>
      <c r="O1970" s="28"/>
      <c r="U1970" s="28"/>
    </row>
    <row r="1971">
      <c r="N1971" s="28"/>
      <c r="O1971" s="28"/>
      <c r="U1971" s="28"/>
    </row>
    <row r="1972">
      <c r="N1972" s="28"/>
      <c r="O1972" s="28"/>
      <c r="U1972" s="28"/>
    </row>
    <row r="1973">
      <c r="N1973" s="28"/>
      <c r="O1973" s="28"/>
      <c r="U1973" s="28"/>
    </row>
    <row r="1974">
      <c r="N1974" s="28"/>
      <c r="O1974" s="28"/>
      <c r="U1974" s="28"/>
    </row>
    <row r="1975">
      <c r="N1975" s="28"/>
      <c r="O1975" s="28"/>
      <c r="U1975" s="28"/>
    </row>
    <row r="1976">
      <c r="N1976" s="28"/>
      <c r="O1976" s="28"/>
      <c r="U1976" s="28"/>
    </row>
    <row r="1977">
      <c r="N1977" s="28"/>
      <c r="O1977" s="28"/>
      <c r="U1977" s="28"/>
    </row>
    <row r="1978">
      <c r="N1978" s="28"/>
      <c r="O1978" s="28"/>
      <c r="U1978" s="28"/>
    </row>
    <row r="1979">
      <c r="N1979" s="28"/>
      <c r="O1979" s="28"/>
      <c r="U1979" s="28"/>
    </row>
    <row r="1980">
      <c r="N1980" s="28"/>
      <c r="O1980" s="28"/>
      <c r="U1980" s="28"/>
    </row>
    <row r="1981">
      <c r="N1981" s="28"/>
      <c r="O1981" s="28"/>
      <c r="U1981" s="28"/>
    </row>
    <row r="1982">
      <c r="N1982" s="28"/>
      <c r="O1982" s="28"/>
      <c r="U1982" s="28"/>
    </row>
    <row r="1983">
      <c r="N1983" s="28"/>
      <c r="O1983" s="28"/>
      <c r="U1983" s="28"/>
    </row>
    <row r="1984">
      <c r="N1984" s="28"/>
      <c r="O1984" s="28"/>
      <c r="U1984" s="28"/>
    </row>
    <row r="1985">
      <c r="N1985" s="28"/>
      <c r="O1985" s="28"/>
      <c r="U1985" s="28"/>
    </row>
    <row r="1986">
      <c r="N1986" s="28"/>
      <c r="O1986" s="28"/>
      <c r="U1986" s="28"/>
    </row>
    <row r="1987">
      <c r="N1987" s="28"/>
      <c r="O1987" s="28"/>
      <c r="U1987" s="28"/>
    </row>
    <row r="1988">
      <c r="N1988" s="28"/>
      <c r="O1988" s="28"/>
      <c r="U1988" s="28"/>
    </row>
    <row r="1989">
      <c r="N1989" s="28"/>
      <c r="O1989" s="28"/>
      <c r="U1989" s="28"/>
    </row>
    <row r="1990">
      <c r="N1990" s="28"/>
      <c r="O1990" s="28"/>
      <c r="U1990" s="28"/>
    </row>
    <row r="1991">
      <c r="N1991" s="28"/>
      <c r="O1991" s="28"/>
      <c r="U1991" s="28"/>
    </row>
    <row r="1992">
      <c r="N1992" s="28"/>
      <c r="O1992" s="28"/>
      <c r="U1992" s="28"/>
    </row>
    <row r="1993">
      <c r="N1993" s="28"/>
      <c r="O1993" s="28"/>
      <c r="U1993" s="28"/>
    </row>
    <row r="1994">
      <c r="N1994" s="28"/>
      <c r="O1994" s="28"/>
      <c r="U1994" s="28"/>
    </row>
    <row r="1995">
      <c r="N1995" s="28"/>
      <c r="O1995" s="28"/>
      <c r="U1995" s="28"/>
    </row>
    <row r="1996">
      <c r="N1996" s="28"/>
      <c r="O1996" s="28"/>
      <c r="U1996" s="28"/>
    </row>
    <row r="1997">
      <c r="N1997" s="28"/>
      <c r="O1997" s="28"/>
      <c r="U1997" s="28"/>
    </row>
    <row r="1998">
      <c r="N1998" s="28"/>
      <c r="O1998" s="28"/>
      <c r="U1998" s="28"/>
    </row>
    <row r="1999">
      <c r="N1999" s="28"/>
      <c r="O1999" s="28"/>
      <c r="U1999" s="28"/>
    </row>
    <row r="2000">
      <c r="N2000" s="28"/>
      <c r="O2000" s="28"/>
      <c r="U2000" s="28"/>
    </row>
    <row r="2001">
      <c r="N2001" s="28"/>
      <c r="O2001" s="28"/>
      <c r="U2001" s="28"/>
    </row>
    <row r="2002">
      <c r="N2002" s="28"/>
      <c r="O2002" s="28"/>
      <c r="U2002" s="28"/>
    </row>
    <row r="2003">
      <c r="N2003" s="28"/>
      <c r="O2003" s="28"/>
      <c r="U2003" s="28"/>
    </row>
    <row r="2004">
      <c r="N2004" s="28"/>
      <c r="O2004" s="28"/>
      <c r="U2004" s="28"/>
    </row>
    <row r="2005">
      <c r="N2005" s="28"/>
      <c r="O2005" s="28"/>
      <c r="U2005" s="28"/>
    </row>
    <row r="2006">
      <c r="N2006" s="28"/>
      <c r="O2006" s="28"/>
      <c r="U2006" s="28"/>
    </row>
    <row r="2007">
      <c r="N2007" s="28"/>
      <c r="O2007" s="28"/>
      <c r="U2007" s="28"/>
    </row>
    <row r="2008">
      <c r="N2008" s="28"/>
      <c r="O2008" s="28"/>
      <c r="U2008" s="28"/>
    </row>
    <row r="2009">
      <c r="N2009" s="28"/>
      <c r="O2009" s="28"/>
      <c r="U2009" s="28"/>
    </row>
    <row r="2010">
      <c r="N2010" s="28"/>
      <c r="O2010" s="28"/>
      <c r="U2010" s="28"/>
    </row>
    <row r="2011">
      <c r="N2011" s="28"/>
      <c r="O2011" s="28"/>
      <c r="U2011" s="28"/>
    </row>
    <row r="2012">
      <c r="N2012" s="28"/>
      <c r="O2012" s="28"/>
      <c r="U2012" s="28"/>
    </row>
    <row r="2013">
      <c r="N2013" s="28"/>
      <c r="O2013" s="28"/>
      <c r="U2013" s="28"/>
    </row>
    <row r="2014">
      <c r="N2014" s="28"/>
      <c r="O2014" s="28"/>
      <c r="U2014" s="28"/>
    </row>
    <row r="2015">
      <c r="N2015" s="28"/>
      <c r="O2015" s="28"/>
      <c r="U2015" s="28"/>
    </row>
    <row r="2016">
      <c r="N2016" s="28"/>
      <c r="O2016" s="28"/>
      <c r="U2016" s="28"/>
    </row>
    <row r="2017">
      <c r="N2017" s="28"/>
      <c r="O2017" s="28"/>
      <c r="U2017" s="28"/>
    </row>
    <row r="2018">
      <c r="N2018" s="28"/>
      <c r="O2018" s="28"/>
      <c r="U2018" s="28"/>
    </row>
    <row r="2019">
      <c r="N2019" s="28"/>
      <c r="O2019" s="28"/>
      <c r="U2019" s="28"/>
    </row>
    <row r="2020">
      <c r="N2020" s="28"/>
      <c r="O2020" s="28"/>
      <c r="U2020" s="28"/>
    </row>
    <row r="2021">
      <c r="N2021" s="28"/>
      <c r="O2021" s="28"/>
      <c r="U2021" s="28"/>
    </row>
    <row r="2022">
      <c r="N2022" s="28"/>
      <c r="O2022" s="28"/>
      <c r="U2022" s="28"/>
    </row>
    <row r="2023">
      <c r="N2023" s="28"/>
      <c r="O2023" s="28"/>
      <c r="U2023" s="28"/>
    </row>
    <row r="2024">
      <c r="N2024" s="28"/>
      <c r="O2024" s="28"/>
      <c r="U2024" s="28"/>
    </row>
    <row r="2025">
      <c r="N2025" s="28"/>
      <c r="O2025" s="28"/>
      <c r="U2025" s="28"/>
    </row>
    <row r="2026">
      <c r="N2026" s="28"/>
      <c r="O2026" s="28"/>
      <c r="U2026" s="28"/>
    </row>
    <row r="2027">
      <c r="N2027" s="28"/>
      <c r="O2027" s="28"/>
      <c r="U2027" s="28"/>
    </row>
    <row r="2028">
      <c r="N2028" s="28"/>
      <c r="O2028" s="28"/>
      <c r="U2028" s="28"/>
    </row>
    <row r="2029">
      <c r="N2029" s="28"/>
      <c r="O2029" s="28"/>
      <c r="U2029" s="28"/>
    </row>
    <row r="2030">
      <c r="N2030" s="28"/>
      <c r="O2030" s="28"/>
      <c r="U2030" s="28"/>
    </row>
    <row r="2031">
      <c r="N2031" s="28"/>
      <c r="O2031" s="28"/>
      <c r="U2031" s="28"/>
    </row>
    <row r="2032">
      <c r="N2032" s="28"/>
      <c r="O2032" s="28"/>
      <c r="U2032" s="28"/>
    </row>
    <row r="2033">
      <c r="N2033" s="28"/>
      <c r="O2033" s="28"/>
      <c r="U2033" s="28"/>
    </row>
    <row r="2034">
      <c r="N2034" s="28"/>
      <c r="O2034" s="28"/>
      <c r="U2034" s="28"/>
    </row>
    <row r="2035">
      <c r="N2035" s="28"/>
      <c r="O2035" s="28"/>
      <c r="U2035" s="28"/>
    </row>
    <row r="2036">
      <c r="N2036" s="28"/>
      <c r="O2036" s="28"/>
      <c r="U2036" s="28"/>
    </row>
    <row r="2037">
      <c r="N2037" s="28"/>
      <c r="O2037" s="28"/>
      <c r="U2037" s="28"/>
    </row>
    <row r="2038">
      <c r="N2038" s="28"/>
      <c r="O2038" s="28"/>
      <c r="U2038" s="28"/>
    </row>
    <row r="2039">
      <c r="N2039" s="28"/>
      <c r="O2039" s="28"/>
      <c r="U2039" s="28"/>
    </row>
    <row r="2040">
      <c r="N2040" s="28"/>
      <c r="O2040" s="28"/>
      <c r="U2040" s="28"/>
    </row>
    <row r="2041">
      <c r="N2041" s="28"/>
      <c r="O2041" s="28"/>
      <c r="U2041" s="28"/>
    </row>
    <row r="2042">
      <c r="N2042" s="28"/>
      <c r="O2042" s="28"/>
      <c r="U2042" s="28"/>
    </row>
    <row r="2043">
      <c r="N2043" s="28"/>
      <c r="O2043" s="28"/>
      <c r="U2043" s="28"/>
    </row>
    <row r="2044">
      <c r="N2044" s="28"/>
      <c r="O2044" s="28"/>
      <c r="U2044" s="28"/>
    </row>
    <row r="2045">
      <c r="N2045" s="28"/>
      <c r="O2045" s="28"/>
      <c r="U2045" s="28"/>
    </row>
    <row r="2046">
      <c r="N2046" s="28"/>
      <c r="O2046" s="28"/>
      <c r="U2046" s="28"/>
    </row>
    <row r="2047">
      <c r="N2047" s="28"/>
      <c r="O2047" s="28"/>
      <c r="U2047" s="28"/>
    </row>
    <row r="2048">
      <c r="N2048" s="28"/>
      <c r="O2048" s="28"/>
      <c r="U2048" s="28"/>
    </row>
    <row r="2049">
      <c r="N2049" s="28"/>
      <c r="O2049" s="28"/>
      <c r="U2049" s="28"/>
    </row>
    <row r="2050">
      <c r="N2050" s="28"/>
      <c r="O2050" s="28"/>
      <c r="U2050" s="28"/>
    </row>
    <row r="2051">
      <c r="N2051" s="28"/>
      <c r="O2051" s="28"/>
      <c r="U2051" s="28"/>
    </row>
    <row r="2052">
      <c r="N2052" s="28"/>
      <c r="O2052" s="28"/>
      <c r="U2052" s="28"/>
    </row>
    <row r="2053">
      <c r="N2053" s="28"/>
      <c r="O2053" s="28"/>
      <c r="U2053" s="28"/>
    </row>
    <row r="2054">
      <c r="N2054" s="28"/>
      <c r="O2054" s="28"/>
      <c r="U2054" s="28"/>
    </row>
    <row r="2055">
      <c r="N2055" s="28"/>
      <c r="O2055" s="28"/>
      <c r="U2055" s="28"/>
    </row>
    <row r="2056">
      <c r="N2056" s="28"/>
      <c r="O2056" s="28"/>
      <c r="U2056" s="28"/>
    </row>
    <row r="2057">
      <c r="N2057" s="28"/>
      <c r="O2057" s="28"/>
      <c r="U2057" s="28"/>
    </row>
    <row r="2058">
      <c r="N2058" s="28"/>
      <c r="O2058" s="28"/>
      <c r="U2058" s="28"/>
    </row>
    <row r="2059">
      <c r="N2059" s="28"/>
      <c r="O2059" s="28"/>
      <c r="U2059" s="28"/>
    </row>
    <row r="2060">
      <c r="N2060" s="28"/>
      <c r="O2060" s="28"/>
      <c r="U2060" s="28"/>
    </row>
    <row r="2061">
      <c r="N2061" s="28"/>
      <c r="O2061" s="28"/>
      <c r="U2061" s="28"/>
    </row>
    <row r="2062">
      <c r="N2062" s="28"/>
      <c r="O2062" s="28"/>
      <c r="U2062" s="28"/>
    </row>
    <row r="2063">
      <c r="N2063" s="28"/>
      <c r="O2063" s="28"/>
      <c r="U2063" s="28"/>
    </row>
    <row r="2064">
      <c r="N2064" s="28"/>
      <c r="O2064" s="28"/>
      <c r="U2064" s="28"/>
    </row>
    <row r="2065">
      <c r="N2065" s="28"/>
      <c r="O2065" s="28"/>
      <c r="U2065" s="28"/>
    </row>
    <row r="2066">
      <c r="N2066" s="28"/>
      <c r="O2066" s="28"/>
      <c r="U2066" s="28"/>
    </row>
    <row r="2067">
      <c r="N2067" s="28"/>
      <c r="O2067" s="28"/>
      <c r="U2067" s="28"/>
    </row>
    <row r="2068">
      <c r="N2068" s="28"/>
      <c r="O2068" s="28"/>
      <c r="U2068" s="28"/>
    </row>
    <row r="2069">
      <c r="N2069" s="28"/>
      <c r="O2069" s="28"/>
      <c r="U2069" s="28"/>
    </row>
    <row r="2070">
      <c r="N2070" s="28"/>
      <c r="O2070" s="28"/>
      <c r="U2070" s="28"/>
    </row>
    <row r="2071">
      <c r="N2071" s="28"/>
      <c r="O2071" s="28"/>
      <c r="U2071" s="28"/>
    </row>
    <row r="2072">
      <c r="N2072" s="28"/>
      <c r="O2072" s="28"/>
      <c r="U2072" s="28"/>
    </row>
    <row r="2073">
      <c r="N2073" s="28"/>
      <c r="O2073" s="28"/>
      <c r="U2073" s="28"/>
    </row>
    <row r="2074">
      <c r="N2074" s="28"/>
      <c r="O2074" s="28"/>
      <c r="U2074" s="28"/>
    </row>
    <row r="2075">
      <c r="N2075" s="28"/>
      <c r="O2075" s="28"/>
      <c r="U2075" s="28"/>
    </row>
    <row r="2076">
      <c r="N2076" s="28"/>
      <c r="O2076" s="28"/>
      <c r="U2076" s="28"/>
    </row>
    <row r="2077">
      <c r="N2077" s="28"/>
      <c r="O2077" s="28"/>
      <c r="U2077" s="28"/>
    </row>
    <row r="2078">
      <c r="N2078" s="28"/>
      <c r="O2078" s="28"/>
      <c r="U2078" s="28"/>
    </row>
    <row r="2079">
      <c r="N2079" s="28"/>
      <c r="O2079" s="28"/>
      <c r="U2079" s="28"/>
    </row>
    <row r="2080">
      <c r="N2080" s="28"/>
      <c r="O2080" s="28"/>
      <c r="U2080" s="28"/>
    </row>
    <row r="2081">
      <c r="N2081" s="28"/>
      <c r="O2081" s="28"/>
      <c r="U2081" s="28"/>
    </row>
    <row r="2082">
      <c r="N2082" s="28"/>
      <c r="O2082" s="28"/>
      <c r="U2082" s="28"/>
    </row>
    <row r="2083">
      <c r="N2083" s="28"/>
      <c r="O2083" s="28"/>
      <c r="U2083" s="28"/>
    </row>
    <row r="2084">
      <c r="N2084" s="28"/>
      <c r="O2084" s="28"/>
      <c r="U2084" s="28"/>
    </row>
    <row r="2085">
      <c r="N2085" s="28"/>
      <c r="O2085" s="28"/>
      <c r="U2085" s="28"/>
    </row>
    <row r="2086">
      <c r="N2086" s="28"/>
      <c r="O2086" s="28"/>
      <c r="U2086" s="28"/>
    </row>
    <row r="2087">
      <c r="N2087" s="28"/>
      <c r="O2087" s="28"/>
      <c r="U2087" s="28"/>
    </row>
    <row r="2088">
      <c r="N2088" s="28"/>
      <c r="O2088" s="28"/>
      <c r="U2088" s="28"/>
    </row>
    <row r="2089">
      <c r="N2089" s="28"/>
      <c r="O2089" s="28"/>
      <c r="U2089" s="28"/>
    </row>
    <row r="2090">
      <c r="N2090" s="28"/>
      <c r="O2090" s="28"/>
      <c r="U2090" s="28"/>
    </row>
    <row r="2091">
      <c r="N2091" s="28"/>
      <c r="O2091" s="28"/>
      <c r="U2091" s="28"/>
    </row>
    <row r="2092">
      <c r="N2092" s="28"/>
      <c r="O2092" s="28"/>
      <c r="U2092" s="28"/>
    </row>
    <row r="2093">
      <c r="N2093" s="28"/>
      <c r="O2093" s="28"/>
      <c r="U2093" s="28"/>
    </row>
    <row r="2094">
      <c r="N2094" s="28"/>
      <c r="O2094" s="28"/>
      <c r="U2094" s="28"/>
    </row>
    <row r="2095">
      <c r="N2095" s="28"/>
      <c r="O2095" s="28"/>
      <c r="U2095" s="28"/>
    </row>
    <row r="2096">
      <c r="N2096" s="28"/>
      <c r="O2096" s="28"/>
      <c r="U2096" s="28"/>
    </row>
    <row r="2097">
      <c r="N2097" s="28"/>
      <c r="O2097" s="28"/>
      <c r="U2097" s="28"/>
    </row>
    <row r="2098">
      <c r="N2098" s="28"/>
      <c r="O2098" s="28"/>
      <c r="U2098" s="28"/>
    </row>
    <row r="2099">
      <c r="N2099" s="28"/>
      <c r="O2099" s="28"/>
      <c r="U2099" s="28"/>
    </row>
    <row r="2100">
      <c r="N2100" s="28"/>
      <c r="O2100" s="28"/>
      <c r="U2100" s="28"/>
    </row>
    <row r="2101">
      <c r="N2101" s="28"/>
      <c r="O2101" s="28"/>
      <c r="U2101" s="28"/>
    </row>
    <row r="2102">
      <c r="N2102" s="28"/>
      <c r="O2102" s="28"/>
      <c r="U2102" s="28"/>
    </row>
    <row r="2103">
      <c r="N2103" s="28"/>
      <c r="O2103" s="28"/>
      <c r="U2103" s="28"/>
    </row>
    <row r="2104">
      <c r="N2104" s="28"/>
      <c r="O2104" s="28"/>
      <c r="U2104" s="28"/>
    </row>
    <row r="2105">
      <c r="N2105" s="28"/>
      <c r="O2105" s="28"/>
      <c r="U2105" s="28"/>
    </row>
    <row r="2106">
      <c r="N2106" s="28"/>
      <c r="O2106" s="28"/>
      <c r="U2106" s="28"/>
    </row>
    <row r="2107">
      <c r="N2107" s="28"/>
      <c r="O2107" s="28"/>
      <c r="U2107" s="28"/>
    </row>
    <row r="2108">
      <c r="N2108" s="28"/>
      <c r="O2108" s="28"/>
      <c r="U2108" s="28"/>
    </row>
    <row r="2109">
      <c r="N2109" s="28"/>
      <c r="O2109" s="28"/>
      <c r="U2109" s="28"/>
    </row>
    <row r="2110">
      <c r="N2110" s="28"/>
      <c r="O2110" s="28"/>
      <c r="U2110" s="28"/>
    </row>
    <row r="2111">
      <c r="N2111" s="28"/>
      <c r="O2111" s="28"/>
      <c r="U2111" s="28"/>
    </row>
    <row r="2112">
      <c r="N2112" s="28"/>
      <c r="O2112" s="28"/>
      <c r="U2112" s="28"/>
    </row>
    <row r="2113">
      <c r="N2113" s="28"/>
      <c r="O2113" s="28"/>
      <c r="U2113" s="28"/>
    </row>
    <row r="2114">
      <c r="N2114" s="28"/>
      <c r="O2114" s="28"/>
      <c r="U2114" s="28"/>
    </row>
    <row r="2115">
      <c r="N2115" s="28"/>
      <c r="O2115" s="28"/>
      <c r="U2115" s="28"/>
    </row>
    <row r="2116">
      <c r="N2116" s="28"/>
      <c r="O2116" s="28"/>
      <c r="U2116" s="28"/>
    </row>
    <row r="2117">
      <c r="N2117" s="28"/>
      <c r="O2117" s="28"/>
      <c r="U2117" s="28"/>
    </row>
    <row r="2118">
      <c r="N2118" s="28"/>
      <c r="O2118" s="28"/>
      <c r="U2118" s="28"/>
    </row>
    <row r="2119">
      <c r="N2119" s="28"/>
      <c r="O2119" s="28"/>
      <c r="U2119" s="28"/>
    </row>
    <row r="2120">
      <c r="N2120" s="28"/>
      <c r="O2120" s="28"/>
      <c r="U2120" s="28"/>
    </row>
    <row r="2121">
      <c r="N2121" s="28"/>
      <c r="O2121" s="28"/>
      <c r="U2121" s="28"/>
    </row>
    <row r="2122">
      <c r="N2122" s="28"/>
      <c r="O2122" s="28"/>
      <c r="U2122" s="28"/>
    </row>
    <row r="2123">
      <c r="N2123" s="28"/>
      <c r="O2123" s="28"/>
      <c r="U2123" s="28"/>
    </row>
    <row r="2124">
      <c r="N2124" s="28"/>
      <c r="O2124" s="28"/>
      <c r="U2124" s="28"/>
    </row>
    <row r="2125">
      <c r="N2125" s="28"/>
      <c r="O2125" s="28"/>
      <c r="U2125" s="28"/>
    </row>
    <row r="2126">
      <c r="N2126" s="28"/>
      <c r="O2126" s="28"/>
      <c r="U2126" s="28"/>
    </row>
    <row r="2127">
      <c r="N2127" s="28"/>
      <c r="O2127" s="28"/>
      <c r="U2127" s="28"/>
    </row>
    <row r="2128">
      <c r="N2128" s="28"/>
      <c r="O2128" s="28"/>
      <c r="U2128" s="28"/>
    </row>
    <row r="2129">
      <c r="N2129" s="28"/>
      <c r="O2129" s="28"/>
      <c r="U2129" s="28"/>
    </row>
    <row r="2130">
      <c r="N2130" s="28"/>
      <c r="O2130" s="28"/>
      <c r="U2130" s="28"/>
    </row>
    <row r="2131">
      <c r="N2131" s="28"/>
      <c r="O2131" s="28"/>
      <c r="U2131" s="28"/>
    </row>
    <row r="2132">
      <c r="N2132" s="28"/>
      <c r="O2132" s="28"/>
      <c r="U2132" s="28"/>
    </row>
    <row r="2133">
      <c r="N2133" s="28"/>
      <c r="O2133" s="28"/>
      <c r="U2133" s="28"/>
    </row>
    <row r="2134">
      <c r="N2134" s="28"/>
      <c r="O2134" s="28"/>
      <c r="U2134" s="28"/>
    </row>
    <row r="2135">
      <c r="N2135" s="28"/>
      <c r="O2135" s="28"/>
      <c r="U2135" s="28"/>
    </row>
    <row r="2136">
      <c r="N2136" s="28"/>
      <c r="O2136" s="28"/>
      <c r="U2136" s="28"/>
    </row>
    <row r="2137">
      <c r="N2137" s="28"/>
      <c r="O2137" s="28"/>
      <c r="U2137" s="28"/>
    </row>
    <row r="2138">
      <c r="N2138" s="28"/>
      <c r="O2138" s="28"/>
      <c r="U2138" s="28"/>
    </row>
    <row r="2139">
      <c r="N2139" s="28"/>
      <c r="O2139" s="28"/>
      <c r="U2139" s="28"/>
    </row>
    <row r="2140">
      <c r="N2140" s="28"/>
      <c r="O2140" s="28"/>
      <c r="U2140" s="28"/>
    </row>
    <row r="2141">
      <c r="N2141" s="28"/>
      <c r="O2141" s="28"/>
      <c r="U2141" s="28"/>
    </row>
    <row r="2142">
      <c r="N2142" s="28"/>
      <c r="O2142" s="28"/>
      <c r="U2142" s="28"/>
    </row>
    <row r="2143">
      <c r="N2143" s="28"/>
      <c r="O2143" s="28"/>
      <c r="U2143" s="28"/>
    </row>
    <row r="2144">
      <c r="N2144" s="28"/>
      <c r="O2144" s="28"/>
      <c r="U2144" s="28"/>
    </row>
    <row r="2145">
      <c r="N2145" s="28"/>
      <c r="O2145" s="28"/>
      <c r="U2145" s="28"/>
    </row>
    <row r="2146">
      <c r="N2146" s="28"/>
      <c r="O2146" s="28"/>
      <c r="U2146" s="28"/>
    </row>
    <row r="2147">
      <c r="N2147" s="28"/>
      <c r="O2147" s="28"/>
      <c r="U2147" s="28"/>
    </row>
    <row r="2148">
      <c r="N2148" s="28"/>
      <c r="O2148" s="28"/>
      <c r="U2148" s="28"/>
    </row>
    <row r="2149">
      <c r="N2149" s="28"/>
      <c r="O2149" s="28"/>
      <c r="U2149" s="28"/>
    </row>
    <row r="2150">
      <c r="N2150" s="28"/>
      <c r="O2150" s="28"/>
      <c r="U2150" s="28"/>
    </row>
    <row r="2151">
      <c r="N2151" s="28"/>
      <c r="O2151" s="28"/>
      <c r="U2151" s="28"/>
    </row>
    <row r="2152">
      <c r="N2152" s="28"/>
      <c r="O2152" s="28"/>
      <c r="U2152" s="28"/>
    </row>
    <row r="2153">
      <c r="N2153" s="28"/>
      <c r="O2153" s="28"/>
      <c r="U2153" s="28"/>
    </row>
    <row r="2154">
      <c r="N2154" s="28"/>
      <c r="O2154" s="28"/>
      <c r="U2154" s="28"/>
    </row>
    <row r="2155">
      <c r="N2155" s="28"/>
      <c r="O2155" s="28"/>
      <c r="U2155" s="28"/>
    </row>
    <row r="2156">
      <c r="N2156" s="28"/>
      <c r="O2156" s="28"/>
      <c r="U2156" s="28"/>
    </row>
    <row r="2157">
      <c r="N2157" s="28"/>
      <c r="O2157" s="28"/>
      <c r="U2157" s="28"/>
    </row>
    <row r="2158">
      <c r="N2158" s="28"/>
      <c r="O2158" s="28"/>
      <c r="U2158" s="28"/>
    </row>
    <row r="2159">
      <c r="N2159" s="28"/>
      <c r="O2159" s="28"/>
      <c r="U2159" s="28"/>
    </row>
    <row r="2160">
      <c r="N2160" s="28"/>
      <c r="O2160" s="28"/>
      <c r="U2160" s="28"/>
    </row>
    <row r="2161">
      <c r="N2161" s="28"/>
      <c r="O2161" s="28"/>
      <c r="U2161" s="28"/>
    </row>
    <row r="2162">
      <c r="N2162" s="28"/>
      <c r="O2162" s="28"/>
      <c r="U2162" s="28"/>
    </row>
    <row r="2163">
      <c r="N2163" s="28"/>
      <c r="O2163" s="28"/>
      <c r="U2163" s="28"/>
    </row>
    <row r="2164">
      <c r="N2164" s="28"/>
      <c r="O2164" s="28"/>
      <c r="U2164" s="28"/>
    </row>
    <row r="2165">
      <c r="N2165" s="28"/>
      <c r="O2165" s="28"/>
      <c r="U2165" s="28"/>
    </row>
    <row r="2166">
      <c r="N2166" s="28"/>
      <c r="O2166" s="28"/>
      <c r="U2166" s="28"/>
    </row>
    <row r="2167">
      <c r="N2167" s="28"/>
      <c r="O2167" s="28"/>
      <c r="U2167" s="28"/>
    </row>
    <row r="2168">
      <c r="N2168" s="28"/>
      <c r="O2168" s="28"/>
      <c r="U2168" s="28"/>
    </row>
    <row r="2169">
      <c r="N2169" s="28"/>
      <c r="O2169" s="28"/>
      <c r="U2169" s="28"/>
    </row>
    <row r="2170">
      <c r="N2170" s="28"/>
      <c r="O2170" s="28"/>
      <c r="U2170" s="28"/>
    </row>
    <row r="2171">
      <c r="N2171" s="28"/>
      <c r="O2171" s="28"/>
      <c r="U2171" s="28"/>
    </row>
    <row r="2172">
      <c r="N2172" s="28"/>
      <c r="O2172" s="28"/>
      <c r="U2172" s="28"/>
    </row>
    <row r="2173">
      <c r="N2173" s="28"/>
      <c r="O2173" s="28"/>
      <c r="U2173" s="28"/>
    </row>
    <row r="2174">
      <c r="N2174" s="28"/>
      <c r="O2174" s="28"/>
      <c r="U2174" s="28"/>
    </row>
    <row r="2175">
      <c r="N2175" s="28"/>
      <c r="O2175" s="28"/>
      <c r="U2175" s="28"/>
    </row>
    <row r="2176">
      <c r="N2176" s="28"/>
      <c r="O2176" s="28"/>
      <c r="U2176" s="28"/>
    </row>
    <row r="2177">
      <c r="N2177" s="28"/>
      <c r="O2177" s="28"/>
      <c r="U2177" s="28"/>
    </row>
    <row r="2178">
      <c r="N2178" s="28"/>
      <c r="O2178" s="28"/>
      <c r="U2178" s="28"/>
    </row>
    <row r="2179">
      <c r="N2179" s="28"/>
      <c r="O2179" s="28"/>
      <c r="U2179" s="28"/>
    </row>
    <row r="2180">
      <c r="N2180" s="28"/>
      <c r="O2180" s="28"/>
      <c r="U2180" s="28"/>
    </row>
    <row r="2181">
      <c r="N2181" s="28"/>
      <c r="O2181" s="28"/>
      <c r="U2181" s="28"/>
    </row>
    <row r="2182">
      <c r="N2182" s="28"/>
      <c r="O2182" s="28"/>
      <c r="U2182" s="28"/>
    </row>
    <row r="2183">
      <c r="N2183" s="28"/>
      <c r="O2183" s="28"/>
      <c r="U2183" s="28"/>
    </row>
    <row r="2184">
      <c r="N2184" s="28"/>
      <c r="O2184" s="28"/>
      <c r="U2184" s="28"/>
    </row>
    <row r="2185">
      <c r="N2185" s="28"/>
      <c r="O2185" s="28"/>
      <c r="U2185" s="28"/>
    </row>
    <row r="2186">
      <c r="N2186" s="28"/>
      <c r="O2186" s="28"/>
      <c r="U2186" s="28"/>
    </row>
    <row r="2187">
      <c r="N2187" s="28"/>
      <c r="O2187" s="28"/>
      <c r="U2187" s="28"/>
    </row>
    <row r="2188">
      <c r="N2188" s="28"/>
      <c r="O2188" s="28"/>
      <c r="U2188" s="28"/>
    </row>
    <row r="2189">
      <c r="N2189" s="28"/>
      <c r="O2189" s="28"/>
      <c r="U2189" s="28"/>
    </row>
    <row r="2190">
      <c r="N2190" s="28"/>
      <c r="O2190" s="28"/>
      <c r="U2190" s="28"/>
    </row>
    <row r="2191">
      <c r="N2191" s="28"/>
      <c r="O2191" s="28"/>
      <c r="U2191" s="28"/>
    </row>
    <row r="2192">
      <c r="N2192" s="28"/>
      <c r="O2192" s="28"/>
      <c r="U2192" s="28"/>
    </row>
    <row r="2193">
      <c r="N2193" s="28"/>
      <c r="O2193" s="28"/>
      <c r="U2193" s="28"/>
    </row>
    <row r="2194">
      <c r="N2194" s="28"/>
      <c r="O2194" s="28"/>
      <c r="U2194" s="28"/>
    </row>
    <row r="2195">
      <c r="N2195" s="28"/>
      <c r="O2195" s="28"/>
      <c r="U2195" s="28"/>
    </row>
    <row r="2196">
      <c r="N2196" s="28"/>
      <c r="O2196" s="28"/>
      <c r="U2196" s="28"/>
    </row>
    <row r="2197">
      <c r="N2197" s="28"/>
      <c r="O2197" s="28"/>
      <c r="U2197" s="28"/>
    </row>
    <row r="2198">
      <c r="N2198" s="28"/>
      <c r="O2198" s="28"/>
      <c r="U2198" s="28"/>
    </row>
    <row r="2199">
      <c r="N2199" s="28"/>
      <c r="O2199" s="28"/>
      <c r="U2199" s="28"/>
    </row>
    <row r="2200">
      <c r="N2200" s="28"/>
      <c r="O2200" s="28"/>
      <c r="U2200" s="28"/>
    </row>
    <row r="2201">
      <c r="N2201" s="28"/>
      <c r="O2201" s="28"/>
      <c r="U2201" s="28"/>
    </row>
    <row r="2202">
      <c r="N2202" s="28"/>
      <c r="O2202" s="28"/>
      <c r="U2202" s="28"/>
    </row>
    <row r="2203">
      <c r="N2203" s="28"/>
      <c r="O2203" s="28"/>
      <c r="U2203" s="28"/>
    </row>
    <row r="2204">
      <c r="N2204" s="28"/>
      <c r="O2204" s="28"/>
      <c r="U2204" s="28"/>
    </row>
    <row r="2205">
      <c r="N2205" s="28"/>
      <c r="O2205" s="28"/>
      <c r="U2205" s="28"/>
    </row>
    <row r="2206">
      <c r="N2206" s="28"/>
      <c r="O2206" s="28"/>
      <c r="U2206" s="28"/>
    </row>
    <row r="2207">
      <c r="N2207" s="28"/>
      <c r="O2207" s="28"/>
      <c r="U2207" s="28"/>
    </row>
    <row r="2208">
      <c r="N2208" s="28"/>
      <c r="O2208" s="28"/>
      <c r="U2208" s="28"/>
    </row>
    <row r="2209">
      <c r="N2209" s="28"/>
      <c r="O2209" s="28"/>
      <c r="U2209" s="28"/>
    </row>
    <row r="2210">
      <c r="N2210" s="28"/>
      <c r="O2210" s="28"/>
      <c r="U2210" s="28"/>
    </row>
    <row r="2211">
      <c r="N2211" s="28"/>
      <c r="O2211" s="28"/>
      <c r="U2211" s="28"/>
    </row>
    <row r="2212">
      <c r="N2212" s="28"/>
      <c r="O2212" s="28"/>
      <c r="U2212" s="28"/>
    </row>
    <row r="2213">
      <c r="N2213" s="28"/>
      <c r="O2213" s="28"/>
      <c r="U2213" s="28"/>
    </row>
    <row r="2214">
      <c r="N2214" s="28"/>
      <c r="O2214" s="28"/>
      <c r="U2214" s="28"/>
    </row>
    <row r="2215">
      <c r="N2215" s="28"/>
      <c r="O2215" s="28"/>
      <c r="U2215" s="28"/>
    </row>
    <row r="2216">
      <c r="N2216" s="28"/>
      <c r="O2216" s="28"/>
      <c r="U2216" s="28"/>
    </row>
    <row r="2217">
      <c r="N2217" s="28"/>
      <c r="O2217" s="28"/>
      <c r="U2217" s="28"/>
    </row>
    <row r="2218">
      <c r="N2218" s="28"/>
      <c r="O2218" s="28"/>
      <c r="U2218" s="28"/>
    </row>
    <row r="2219">
      <c r="N2219" s="28"/>
      <c r="O2219" s="28"/>
      <c r="U2219" s="28"/>
    </row>
    <row r="2220">
      <c r="N2220" s="28"/>
      <c r="O2220" s="28"/>
      <c r="U2220" s="28"/>
    </row>
    <row r="2221">
      <c r="N2221" s="28"/>
      <c r="O2221" s="28"/>
      <c r="U2221" s="28"/>
    </row>
    <row r="2222">
      <c r="N2222" s="28"/>
      <c r="O2222" s="28"/>
      <c r="U2222" s="28"/>
    </row>
    <row r="2223">
      <c r="N2223" s="28"/>
      <c r="O2223" s="28"/>
      <c r="U2223" s="28"/>
    </row>
    <row r="2224">
      <c r="N2224" s="28"/>
      <c r="O2224" s="28"/>
      <c r="U2224" s="28"/>
    </row>
    <row r="2225">
      <c r="N2225" s="28"/>
      <c r="O2225" s="28"/>
      <c r="U2225" s="28"/>
    </row>
    <row r="2226">
      <c r="N2226" s="28"/>
      <c r="O2226" s="28"/>
      <c r="U2226" s="28"/>
    </row>
    <row r="2227">
      <c r="N2227" s="28"/>
      <c r="O2227" s="28"/>
      <c r="U2227" s="28"/>
    </row>
    <row r="2228">
      <c r="N2228" s="28"/>
      <c r="O2228" s="28"/>
      <c r="U2228" s="28"/>
    </row>
    <row r="2229">
      <c r="N2229" s="28"/>
      <c r="O2229" s="28"/>
      <c r="U2229" s="28"/>
    </row>
    <row r="2230">
      <c r="N2230" s="28"/>
      <c r="O2230" s="28"/>
      <c r="U2230" s="28"/>
    </row>
    <row r="2231">
      <c r="N2231" s="28"/>
      <c r="O2231" s="28"/>
      <c r="U2231" s="28"/>
    </row>
    <row r="2232">
      <c r="N2232" s="28"/>
      <c r="O2232" s="28"/>
      <c r="U2232" s="28"/>
    </row>
    <row r="2233">
      <c r="N2233" s="28"/>
      <c r="O2233" s="28"/>
      <c r="U2233" s="28"/>
    </row>
    <row r="2234">
      <c r="N2234" s="28"/>
      <c r="O2234" s="28"/>
      <c r="U2234" s="28"/>
    </row>
    <row r="2235">
      <c r="N2235" s="28"/>
      <c r="O2235" s="28"/>
      <c r="U2235" s="28"/>
    </row>
    <row r="2236">
      <c r="N2236" s="28"/>
      <c r="O2236" s="28"/>
      <c r="U2236" s="28"/>
    </row>
    <row r="2237">
      <c r="N2237" s="28"/>
      <c r="O2237" s="28"/>
      <c r="U2237" s="28"/>
    </row>
    <row r="2238">
      <c r="N2238" s="28"/>
      <c r="O2238" s="28"/>
      <c r="U2238" s="28"/>
    </row>
    <row r="2239">
      <c r="N2239" s="28"/>
      <c r="O2239" s="28"/>
      <c r="U2239" s="28"/>
    </row>
    <row r="2240">
      <c r="N2240" s="28"/>
      <c r="O2240" s="28"/>
      <c r="U2240" s="28"/>
    </row>
    <row r="2241">
      <c r="N2241" s="28"/>
      <c r="O2241" s="28"/>
      <c r="U2241" s="28"/>
    </row>
    <row r="2242">
      <c r="N2242" s="28"/>
      <c r="O2242" s="28"/>
      <c r="U2242" s="28"/>
    </row>
    <row r="2243">
      <c r="N2243" s="28"/>
      <c r="O2243" s="28"/>
      <c r="U2243" s="28"/>
    </row>
    <row r="2244">
      <c r="N2244" s="28"/>
      <c r="O2244" s="28"/>
      <c r="U2244" s="28"/>
    </row>
    <row r="2245">
      <c r="N2245" s="28"/>
      <c r="O2245" s="28"/>
      <c r="U2245" s="28"/>
    </row>
    <row r="2246">
      <c r="N2246" s="28"/>
      <c r="O2246" s="28"/>
      <c r="U2246" s="28"/>
    </row>
    <row r="2247">
      <c r="N2247" s="28"/>
      <c r="O2247" s="28"/>
      <c r="U2247" s="28"/>
    </row>
    <row r="2248">
      <c r="N2248" s="28"/>
      <c r="O2248" s="28"/>
      <c r="U2248" s="28"/>
    </row>
    <row r="2249">
      <c r="N2249" s="28"/>
      <c r="O2249" s="28"/>
      <c r="U2249" s="28"/>
    </row>
    <row r="2250">
      <c r="N2250" s="28"/>
      <c r="O2250" s="28"/>
      <c r="U2250" s="28"/>
    </row>
    <row r="2251">
      <c r="N2251" s="28"/>
      <c r="O2251" s="28"/>
      <c r="U2251" s="28"/>
    </row>
    <row r="2252">
      <c r="N2252" s="28"/>
      <c r="O2252" s="28"/>
      <c r="U2252" s="28"/>
    </row>
    <row r="2253">
      <c r="N2253" s="28"/>
      <c r="O2253" s="28"/>
      <c r="U2253" s="28"/>
    </row>
    <row r="2254">
      <c r="N2254" s="28"/>
      <c r="O2254" s="28"/>
      <c r="U2254" s="28"/>
    </row>
    <row r="2255">
      <c r="N2255" s="28"/>
      <c r="O2255" s="28"/>
      <c r="U2255" s="28"/>
    </row>
    <row r="2256">
      <c r="N2256" s="28"/>
      <c r="O2256" s="28"/>
      <c r="U2256" s="28"/>
    </row>
    <row r="2257">
      <c r="N2257" s="28"/>
      <c r="O2257" s="28"/>
      <c r="U2257" s="28"/>
    </row>
    <row r="2258">
      <c r="N2258" s="28"/>
      <c r="O2258" s="28"/>
      <c r="U2258" s="28"/>
    </row>
    <row r="2259">
      <c r="N2259" s="28"/>
      <c r="O2259" s="28"/>
      <c r="U2259" s="28"/>
    </row>
    <row r="2260">
      <c r="N2260" s="28"/>
      <c r="O2260" s="28"/>
      <c r="U2260" s="28"/>
    </row>
    <row r="2261">
      <c r="N2261" s="28"/>
      <c r="O2261" s="28"/>
      <c r="U2261" s="28"/>
    </row>
    <row r="2262">
      <c r="N2262" s="28"/>
      <c r="O2262" s="28"/>
      <c r="U2262" s="28"/>
    </row>
    <row r="2263">
      <c r="N2263" s="28"/>
      <c r="O2263" s="28"/>
      <c r="U2263" s="28"/>
    </row>
    <row r="2264">
      <c r="N2264" s="28"/>
      <c r="O2264" s="28"/>
      <c r="U2264" s="28"/>
    </row>
    <row r="2265">
      <c r="N2265" s="28"/>
      <c r="O2265" s="28"/>
      <c r="U2265" s="28"/>
    </row>
    <row r="2266">
      <c r="N2266" s="28"/>
      <c r="O2266" s="28"/>
      <c r="U2266" s="28"/>
    </row>
    <row r="2267">
      <c r="N2267" s="28"/>
      <c r="O2267" s="28"/>
      <c r="U2267" s="28"/>
    </row>
    <row r="2268">
      <c r="N2268" s="28"/>
      <c r="O2268" s="28"/>
      <c r="U2268" s="28"/>
    </row>
    <row r="2269">
      <c r="N2269" s="28"/>
      <c r="O2269" s="28"/>
      <c r="U2269" s="28"/>
    </row>
    <row r="2270">
      <c r="N2270" s="28"/>
      <c r="O2270" s="28"/>
      <c r="U2270" s="28"/>
    </row>
    <row r="2271">
      <c r="N2271" s="28"/>
      <c r="O2271" s="28"/>
      <c r="U2271" s="28"/>
    </row>
    <row r="2272">
      <c r="N2272" s="28"/>
      <c r="O2272" s="28"/>
      <c r="U2272" s="28"/>
    </row>
    <row r="2273">
      <c r="N2273" s="28"/>
      <c r="O2273" s="28"/>
      <c r="U2273" s="28"/>
    </row>
    <row r="2274">
      <c r="N2274" s="28"/>
      <c r="O2274" s="28"/>
      <c r="U2274" s="28"/>
    </row>
    <row r="2275">
      <c r="N2275" s="28"/>
      <c r="O2275" s="28"/>
      <c r="U2275" s="28"/>
    </row>
    <row r="2276">
      <c r="N2276" s="28"/>
      <c r="O2276" s="28"/>
      <c r="U2276" s="28"/>
    </row>
    <row r="2277">
      <c r="N2277" s="28"/>
      <c r="O2277" s="28"/>
      <c r="U2277" s="28"/>
    </row>
    <row r="2278">
      <c r="N2278" s="28"/>
      <c r="O2278" s="28"/>
      <c r="U2278" s="28"/>
    </row>
    <row r="2279">
      <c r="N2279" s="28"/>
      <c r="O2279" s="28"/>
      <c r="U2279" s="28"/>
    </row>
    <row r="2280">
      <c r="N2280" s="28"/>
      <c r="O2280" s="28"/>
      <c r="U2280" s="28"/>
    </row>
    <row r="2281">
      <c r="N2281" s="28"/>
      <c r="O2281" s="28"/>
      <c r="U2281" s="28"/>
    </row>
    <row r="2282">
      <c r="N2282" s="28"/>
      <c r="O2282" s="28"/>
      <c r="U2282" s="28"/>
    </row>
    <row r="2283">
      <c r="N2283" s="28"/>
      <c r="O2283" s="28"/>
      <c r="U2283" s="28"/>
    </row>
    <row r="2284">
      <c r="N2284" s="28"/>
      <c r="O2284" s="28"/>
      <c r="U2284" s="28"/>
    </row>
    <row r="2285">
      <c r="N2285" s="28"/>
      <c r="O2285" s="28"/>
      <c r="U2285" s="28"/>
    </row>
    <row r="2286">
      <c r="N2286" s="28"/>
      <c r="O2286" s="28"/>
      <c r="U2286" s="28"/>
    </row>
    <row r="2287">
      <c r="N2287" s="28"/>
      <c r="O2287" s="28"/>
      <c r="U2287" s="28"/>
    </row>
    <row r="2288">
      <c r="N2288" s="28"/>
      <c r="O2288" s="28"/>
      <c r="U2288" s="28"/>
    </row>
    <row r="2289">
      <c r="N2289" s="28"/>
      <c r="O2289" s="28"/>
      <c r="U2289" s="28"/>
    </row>
    <row r="2290">
      <c r="N2290" s="28"/>
      <c r="O2290" s="28"/>
      <c r="U2290" s="28"/>
    </row>
    <row r="2291">
      <c r="N2291" s="28"/>
      <c r="O2291" s="28"/>
      <c r="U2291" s="28"/>
    </row>
    <row r="2292">
      <c r="N2292" s="28"/>
      <c r="O2292" s="28"/>
      <c r="U2292" s="28"/>
    </row>
    <row r="2293">
      <c r="N2293" s="28"/>
      <c r="O2293" s="28"/>
      <c r="U2293" s="28"/>
    </row>
    <row r="2294">
      <c r="N2294" s="28"/>
      <c r="O2294" s="28"/>
      <c r="U2294" s="28"/>
    </row>
    <row r="2295">
      <c r="N2295" s="28"/>
      <c r="O2295" s="28"/>
      <c r="U2295" s="28"/>
    </row>
    <row r="2296">
      <c r="N2296" s="28"/>
      <c r="O2296" s="28"/>
      <c r="U2296" s="28"/>
    </row>
    <row r="2297">
      <c r="N2297" s="28"/>
      <c r="O2297" s="28"/>
      <c r="U2297" s="28"/>
    </row>
    <row r="2298">
      <c r="N2298" s="28"/>
      <c r="O2298" s="28"/>
      <c r="U2298" s="28"/>
    </row>
    <row r="2299">
      <c r="N2299" s="28"/>
      <c r="O2299" s="28"/>
      <c r="U2299" s="28"/>
    </row>
    <row r="2300">
      <c r="N2300" s="28"/>
      <c r="O2300" s="28"/>
      <c r="U2300" s="28"/>
    </row>
    <row r="2301">
      <c r="N2301" s="28"/>
      <c r="O2301" s="28"/>
      <c r="U2301" s="28"/>
    </row>
    <row r="2302">
      <c r="N2302" s="28"/>
      <c r="O2302" s="28"/>
      <c r="U2302" s="28"/>
    </row>
    <row r="2303">
      <c r="N2303" s="28"/>
      <c r="O2303" s="28"/>
      <c r="U2303" s="28"/>
    </row>
    <row r="2304">
      <c r="N2304" s="28"/>
      <c r="O2304" s="28"/>
      <c r="U2304" s="28"/>
    </row>
    <row r="2305">
      <c r="N2305" s="28"/>
      <c r="O2305" s="28"/>
      <c r="U2305" s="28"/>
    </row>
    <row r="2306">
      <c r="N2306" s="28"/>
      <c r="O2306" s="28"/>
      <c r="U2306" s="28"/>
    </row>
    <row r="2307">
      <c r="N2307" s="28"/>
      <c r="O2307" s="28"/>
      <c r="U2307" s="28"/>
    </row>
    <row r="2308">
      <c r="N2308" s="28"/>
      <c r="O2308" s="28"/>
      <c r="U2308" s="28"/>
    </row>
    <row r="2309">
      <c r="N2309" s="28"/>
      <c r="O2309" s="28"/>
      <c r="U2309" s="28"/>
    </row>
    <row r="2310">
      <c r="N2310" s="28"/>
      <c r="O2310" s="28"/>
      <c r="U2310" s="28"/>
    </row>
    <row r="2311">
      <c r="N2311" s="28"/>
      <c r="O2311" s="28"/>
      <c r="U2311" s="28"/>
    </row>
    <row r="2312">
      <c r="N2312" s="28"/>
      <c r="O2312" s="28"/>
      <c r="U2312" s="28"/>
    </row>
    <row r="2313">
      <c r="N2313" s="28"/>
      <c r="O2313" s="28"/>
      <c r="U2313" s="28"/>
    </row>
    <row r="2314">
      <c r="N2314" s="28"/>
      <c r="O2314" s="28"/>
      <c r="U2314" s="28"/>
    </row>
    <row r="2315">
      <c r="N2315" s="28"/>
      <c r="O2315" s="28"/>
      <c r="U2315" s="28"/>
    </row>
    <row r="2316">
      <c r="N2316" s="28"/>
      <c r="O2316" s="28"/>
      <c r="U2316" s="28"/>
    </row>
    <row r="2317">
      <c r="N2317" s="28"/>
      <c r="O2317" s="28"/>
      <c r="U2317" s="28"/>
    </row>
    <row r="2318">
      <c r="N2318" s="28"/>
      <c r="O2318" s="28"/>
      <c r="U2318" s="28"/>
    </row>
    <row r="2319">
      <c r="N2319" s="28"/>
      <c r="O2319" s="28"/>
      <c r="U2319" s="28"/>
    </row>
    <row r="2320">
      <c r="N2320" s="28"/>
      <c r="O2320" s="28"/>
      <c r="U2320" s="28"/>
    </row>
    <row r="2321">
      <c r="N2321" s="28"/>
      <c r="O2321" s="28"/>
      <c r="U2321" s="28"/>
    </row>
    <row r="2322">
      <c r="N2322" s="28"/>
      <c r="O2322" s="28"/>
      <c r="U2322" s="28"/>
    </row>
    <row r="2323">
      <c r="N2323" s="28"/>
      <c r="O2323" s="28"/>
      <c r="U2323" s="28"/>
    </row>
    <row r="2324">
      <c r="N2324" s="28"/>
      <c r="O2324" s="28"/>
      <c r="U2324" s="28"/>
    </row>
    <row r="2325">
      <c r="N2325" s="28"/>
      <c r="O2325" s="28"/>
      <c r="U2325" s="28"/>
    </row>
    <row r="2326">
      <c r="N2326" s="28"/>
      <c r="O2326" s="28"/>
      <c r="U2326" s="28"/>
    </row>
    <row r="2327">
      <c r="N2327" s="28"/>
      <c r="O2327" s="28"/>
      <c r="U2327" s="28"/>
    </row>
    <row r="2328">
      <c r="N2328" s="28"/>
      <c r="O2328" s="28"/>
      <c r="U2328" s="28"/>
    </row>
    <row r="2329">
      <c r="N2329" s="28"/>
      <c r="O2329" s="28"/>
      <c r="U2329" s="28"/>
    </row>
    <row r="2330">
      <c r="N2330" s="28"/>
      <c r="O2330" s="28"/>
      <c r="U2330" s="28"/>
    </row>
    <row r="2331">
      <c r="N2331" s="28"/>
      <c r="O2331" s="28"/>
      <c r="U2331" s="28"/>
    </row>
    <row r="2332">
      <c r="N2332" s="28"/>
      <c r="O2332" s="28"/>
      <c r="U2332" s="28"/>
    </row>
    <row r="2333">
      <c r="N2333" s="28"/>
      <c r="O2333" s="28"/>
      <c r="U2333" s="28"/>
    </row>
    <row r="2334">
      <c r="N2334" s="28"/>
      <c r="O2334" s="28"/>
      <c r="U2334" s="28"/>
    </row>
    <row r="2335">
      <c r="N2335" s="28"/>
      <c r="O2335" s="28"/>
      <c r="U2335" s="28"/>
    </row>
    <row r="2336">
      <c r="N2336" s="28"/>
      <c r="O2336" s="28"/>
      <c r="U2336" s="28"/>
    </row>
    <row r="2337">
      <c r="N2337" s="28"/>
      <c r="O2337" s="28"/>
      <c r="U2337" s="28"/>
    </row>
    <row r="2338">
      <c r="N2338" s="28"/>
      <c r="O2338" s="28"/>
      <c r="U2338" s="28"/>
    </row>
    <row r="2339">
      <c r="N2339" s="28"/>
      <c r="O2339" s="28"/>
      <c r="U2339" s="28"/>
    </row>
    <row r="2340">
      <c r="N2340" s="28"/>
      <c r="O2340" s="28"/>
      <c r="U2340" s="28"/>
    </row>
    <row r="2341">
      <c r="N2341" s="28"/>
      <c r="O2341" s="28"/>
      <c r="U2341" s="28"/>
    </row>
    <row r="2342">
      <c r="N2342" s="28"/>
      <c r="O2342" s="28"/>
      <c r="U2342" s="28"/>
    </row>
    <row r="2343">
      <c r="N2343" s="28"/>
      <c r="O2343" s="28"/>
      <c r="U2343" s="28"/>
    </row>
    <row r="2344">
      <c r="N2344" s="28"/>
      <c r="O2344" s="28"/>
      <c r="U2344" s="28"/>
    </row>
    <row r="2345">
      <c r="N2345" s="28"/>
      <c r="O2345" s="28"/>
      <c r="U2345" s="28"/>
    </row>
    <row r="2346">
      <c r="N2346" s="28"/>
      <c r="O2346" s="28"/>
      <c r="U2346" s="28"/>
    </row>
    <row r="2347">
      <c r="N2347" s="28"/>
      <c r="O2347" s="28"/>
      <c r="U2347" s="28"/>
    </row>
    <row r="2348">
      <c r="N2348" s="28"/>
      <c r="O2348" s="28"/>
      <c r="U2348" s="28"/>
    </row>
    <row r="2349">
      <c r="N2349" s="28"/>
      <c r="O2349" s="28"/>
      <c r="U2349" s="28"/>
    </row>
    <row r="2350">
      <c r="N2350" s="28"/>
      <c r="O2350" s="28"/>
      <c r="U2350" s="28"/>
    </row>
    <row r="2351">
      <c r="N2351" s="28"/>
      <c r="O2351" s="28"/>
      <c r="U2351" s="28"/>
    </row>
    <row r="2352">
      <c r="N2352" s="28"/>
      <c r="O2352" s="28"/>
      <c r="U2352" s="28"/>
    </row>
    <row r="2353">
      <c r="N2353" s="28"/>
      <c r="O2353" s="28"/>
      <c r="U2353" s="28"/>
    </row>
    <row r="2354">
      <c r="N2354" s="28"/>
      <c r="O2354" s="28"/>
      <c r="U2354" s="28"/>
    </row>
    <row r="2355">
      <c r="N2355" s="28"/>
      <c r="O2355" s="28"/>
      <c r="U2355" s="28"/>
    </row>
    <row r="2356">
      <c r="N2356" s="28"/>
      <c r="O2356" s="28"/>
      <c r="U2356" s="28"/>
    </row>
    <row r="2357">
      <c r="N2357" s="28"/>
      <c r="O2357" s="28"/>
      <c r="U2357" s="28"/>
    </row>
    <row r="2358">
      <c r="N2358" s="28"/>
      <c r="O2358" s="28"/>
      <c r="U2358" s="28"/>
    </row>
    <row r="2359">
      <c r="N2359" s="28"/>
      <c r="O2359" s="28"/>
      <c r="U2359" s="28"/>
    </row>
    <row r="2360">
      <c r="N2360" s="28"/>
      <c r="O2360" s="28"/>
      <c r="U2360" s="28"/>
    </row>
    <row r="2361">
      <c r="N2361" s="28"/>
      <c r="O2361" s="28"/>
      <c r="U2361" s="28"/>
    </row>
    <row r="2362">
      <c r="N2362" s="28"/>
      <c r="O2362" s="28"/>
      <c r="U2362" s="28"/>
    </row>
    <row r="2363">
      <c r="N2363" s="28"/>
      <c r="O2363" s="28"/>
      <c r="U2363" s="28"/>
    </row>
    <row r="2364">
      <c r="N2364" s="28"/>
      <c r="O2364" s="28"/>
      <c r="U2364" s="28"/>
    </row>
    <row r="2365">
      <c r="N2365" s="28"/>
      <c r="O2365" s="28"/>
      <c r="U2365" s="28"/>
    </row>
    <row r="2366">
      <c r="N2366" s="28"/>
      <c r="O2366" s="28"/>
      <c r="U2366" s="28"/>
    </row>
    <row r="2367">
      <c r="N2367" s="28"/>
      <c r="O2367" s="28"/>
      <c r="U2367" s="28"/>
    </row>
    <row r="2368">
      <c r="N2368" s="28"/>
      <c r="O2368" s="28"/>
      <c r="U2368" s="28"/>
    </row>
    <row r="2369">
      <c r="N2369" s="28"/>
      <c r="O2369" s="28"/>
      <c r="U2369" s="28"/>
    </row>
    <row r="2370">
      <c r="N2370" s="28"/>
      <c r="O2370" s="28"/>
      <c r="U2370" s="28"/>
    </row>
    <row r="2371">
      <c r="N2371" s="28"/>
      <c r="O2371" s="28"/>
      <c r="U2371" s="28"/>
    </row>
    <row r="2372">
      <c r="N2372" s="28"/>
      <c r="O2372" s="28"/>
      <c r="U2372" s="28"/>
    </row>
    <row r="2373">
      <c r="N2373" s="28"/>
      <c r="O2373" s="28"/>
      <c r="U2373" s="28"/>
    </row>
    <row r="2374">
      <c r="N2374" s="28"/>
      <c r="O2374" s="28"/>
      <c r="U2374" s="28"/>
    </row>
    <row r="2375">
      <c r="N2375" s="28"/>
      <c r="O2375" s="28"/>
      <c r="U2375" s="28"/>
    </row>
    <row r="2376">
      <c r="N2376" s="28"/>
      <c r="O2376" s="28"/>
      <c r="U2376" s="28"/>
    </row>
    <row r="2377">
      <c r="N2377" s="28"/>
      <c r="O2377" s="28"/>
      <c r="U2377" s="28"/>
    </row>
    <row r="2378">
      <c r="N2378" s="28"/>
      <c r="O2378" s="28"/>
      <c r="U2378" s="28"/>
    </row>
    <row r="2379">
      <c r="N2379" s="28"/>
      <c r="O2379" s="28"/>
      <c r="U2379" s="28"/>
    </row>
    <row r="2380">
      <c r="N2380" s="28"/>
      <c r="O2380" s="28"/>
      <c r="U2380" s="28"/>
    </row>
    <row r="2381">
      <c r="N2381" s="28"/>
      <c r="O2381" s="28"/>
      <c r="U2381" s="28"/>
    </row>
    <row r="2382">
      <c r="N2382" s="28"/>
      <c r="O2382" s="28"/>
      <c r="U2382" s="28"/>
    </row>
    <row r="2383">
      <c r="N2383" s="28"/>
      <c r="O2383" s="28"/>
      <c r="U2383" s="28"/>
    </row>
    <row r="2384">
      <c r="N2384" s="28"/>
      <c r="O2384" s="28"/>
      <c r="U2384" s="28"/>
    </row>
    <row r="2385">
      <c r="N2385" s="28"/>
      <c r="O2385" s="28"/>
      <c r="U2385" s="28"/>
    </row>
    <row r="2386">
      <c r="N2386" s="28"/>
      <c r="O2386" s="28"/>
      <c r="U2386" s="28"/>
    </row>
    <row r="2387">
      <c r="N2387" s="28"/>
      <c r="O2387" s="28"/>
      <c r="U2387" s="28"/>
    </row>
    <row r="2388">
      <c r="N2388" s="28"/>
      <c r="O2388" s="28"/>
      <c r="U2388" s="28"/>
    </row>
    <row r="2389">
      <c r="N2389" s="28"/>
      <c r="O2389" s="28"/>
      <c r="U2389" s="28"/>
    </row>
    <row r="2390">
      <c r="N2390" s="28"/>
      <c r="O2390" s="28"/>
      <c r="U2390" s="28"/>
    </row>
    <row r="2391">
      <c r="N2391" s="28"/>
      <c r="O2391" s="28"/>
      <c r="U2391" s="28"/>
    </row>
    <row r="2392">
      <c r="N2392" s="28"/>
      <c r="O2392" s="28"/>
      <c r="U2392" s="28"/>
    </row>
    <row r="2393">
      <c r="N2393" s="28"/>
      <c r="O2393" s="28"/>
      <c r="U2393" s="28"/>
    </row>
    <row r="2394">
      <c r="N2394" s="28"/>
      <c r="O2394" s="28"/>
      <c r="U2394" s="28"/>
    </row>
    <row r="2395">
      <c r="N2395" s="28"/>
      <c r="O2395" s="28"/>
      <c r="U2395" s="28"/>
    </row>
    <row r="2396">
      <c r="N2396" s="28"/>
      <c r="O2396" s="28"/>
      <c r="U2396" s="28"/>
    </row>
    <row r="2397">
      <c r="N2397" s="28"/>
      <c r="O2397" s="28"/>
      <c r="U2397" s="28"/>
    </row>
    <row r="2398">
      <c r="N2398" s="28"/>
      <c r="O2398" s="28"/>
      <c r="U2398" s="28"/>
    </row>
    <row r="2399">
      <c r="N2399" s="28"/>
      <c r="O2399" s="28"/>
      <c r="U2399" s="28"/>
    </row>
    <row r="2400">
      <c r="N2400" s="28"/>
      <c r="O2400" s="28"/>
      <c r="U2400" s="28"/>
    </row>
    <row r="2401">
      <c r="N2401" s="28"/>
      <c r="O2401" s="28"/>
      <c r="U2401" s="28"/>
    </row>
    <row r="2402">
      <c r="N2402" s="28"/>
      <c r="O2402" s="28"/>
      <c r="U2402" s="28"/>
    </row>
    <row r="2403">
      <c r="N2403" s="28"/>
      <c r="O2403" s="28"/>
      <c r="U2403" s="28"/>
    </row>
    <row r="2404">
      <c r="N2404" s="28"/>
      <c r="O2404" s="28"/>
      <c r="U2404" s="28"/>
    </row>
    <row r="2405">
      <c r="N2405" s="28"/>
      <c r="O2405" s="28"/>
      <c r="U2405" s="28"/>
    </row>
    <row r="2406">
      <c r="N2406" s="28"/>
      <c r="O2406" s="28"/>
      <c r="U2406" s="28"/>
    </row>
    <row r="2407">
      <c r="N2407" s="28"/>
      <c r="O2407" s="28"/>
      <c r="U2407" s="28"/>
    </row>
    <row r="2408">
      <c r="N2408" s="28"/>
      <c r="O2408" s="28"/>
      <c r="U2408" s="28"/>
    </row>
    <row r="2409">
      <c r="N2409" s="28"/>
      <c r="O2409" s="28"/>
      <c r="U2409" s="28"/>
    </row>
    <row r="2410">
      <c r="N2410" s="28"/>
      <c r="O2410" s="28"/>
      <c r="U2410" s="28"/>
    </row>
    <row r="2411">
      <c r="N2411" s="28"/>
      <c r="O2411" s="28"/>
      <c r="U2411" s="28"/>
    </row>
    <row r="2412">
      <c r="N2412" s="28"/>
      <c r="O2412" s="28"/>
      <c r="U2412" s="28"/>
    </row>
    <row r="2413">
      <c r="N2413" s="28"/>
      <c r="O2413" s="28"/>
      <c r="U2413" s="28"/>
    </row>
    <row r="2414">
      <c r="N2414" s="28"/>
      <c r="O2414" s="28"/>
      <c r="U2414" s="28"/>
    </row>
    <row r="2415">
      <c r="N2415" s="28"/>
      <c r="O2415" s="28"/>
      <c r="U2415" s="28"/>
    </row>
    <row r="2416">
      <c r="N2416" s="28"/>
      <c r="O2416" s="28"/>
      <c r="U2416" s="28"/>
    </row>
    <row r="2417">
      <c r="N2417" s="28"/>
      <c r="O2417" s="28"/>
      <c r="U2417" s="28"/>
    </row>
    <row r="2418">
      <c r="N2418" s="28"/>
      <c r="O2418" s="28"/>
      <c r="U2418" s="28"/>
    </row>
    <row r="2419">
      <c r="N2419" s="28"/>
      <c r="O2419" s="28"/>
      <c r="U2419" s="28"/>
    </row>
    <row r="2420">
      <c r="N2420" s="28"/>
      <c r="O2420" s="28"/>
      <c r="U2420" s="28"/>
    </row>
    <row r="2421">
      <c r="N2421" s="28"/>
      <c r="O2421" s="28"/>
      <c r="U2421" s="28"/>
    </row>
    <row r="2422">
      <c r="N2422" s="28"/>
      <c r="O2422" s="28"/>
      <c r="U2422" s="28"/>
    </row>
    <row r="2423">
      <c r="N2423" s="28"/>
      <c r="O2423" s="28"/>
      <c r="U2423" s="28"/>
    </row>
    <row r="2424">
      <c r="N2424" s="28"/>
      <c r="O2424" s="28"/>
      <c r="U2424" s="28"/>
    </row>
    <row r="2425">
      <c r="N2425" s="28"/>
      <c r="O2425" s="28"/>
      <c r="U2425" s="28"/>
    </row>
    <row r="2426">
      <c r="N2426" s="28"/>
      <c r="O2426" s="28"/>
      <c r="U2426" s="28"/>
    </row>
    <row r="2427">
      <c r="N2427" s="28"/>
      <c r="O2427" s="28"/>
      <c r="U2427" s="28"/>
    </row>
    <row r="2428">
      <c r="N2428" s="28"/>
      <c r="O2428" s="28"/>
      <c r="U2428" s="28"/>
    </row>
    <row r="2429">
      <c r="N2429" s="28"/>
      <c r="O2429" s="28"/>
      <c r="U2429" s="28"/>
    </row>
    <row r="2430">
      <c r="N2430" s="28"/>
      <c r="O2430" s="28"/>
      <c r="U2430" s="28"/>
    </row>
    <row r="2431">
      <c r="N2431" s="28"/>
      <c r="O2431" s="28"/>
      <c r="U2431" s="28"/>
    </row>
    <row r="2432">
      <c r="N2432" s="28"/>
      <c r="O2432" s="28"/>
      <c r="U2432" s="28"/>
    </row>
    <row r="2433">
      <c r="N2433" s="28"/>
      <c r="O2433" s="28"/>
      <c r="U2433" s="28"/>
    </row>
    <row r="2434">
      <c r="N2434" s="28"/>
      <c r="O2434" s="28"/>
      <c r="U2434" s="28"/>
    </row>
    <row r="2435">
      <c r="N2435" s="28"/>
      <c r="O2435" s="28"/>
      <c r="U2435" s="28"/>
    </row>
    <row r="2436">
      <c r="N2436" s="28"/>
      <c r="O2436" s="28"/>
      <c r="U2436" s="28"/>
    </row>
    <row r="2437">
      <c r="N2437" s="28"/>
      <c r="O2437" s="28"/>
      <c r="U2437" s="28"/>
    </row>
    <row r="2438">
      <c r="N2438" s="28"/>
      <c r="O2438" s="28"/>
      <c r="U2438" s="28"/>
    </row>
    <row r="2439">
      <c r="N2439" s="28"/>
      <c r="O2439" s="28"/>
      <c r="U2439" s="28"/>
    </row>
    <row r="2440">
      <c r="N2440" s="28"/>
      <c r="O2440" s="28"/>
      <c r="U2440" s="28"/>
    </row>
    <row r="2441">
      <c r="N2441" s="28"/>
      <c r="O2441" s="28"/>
      <c r="U2441" s="28"/>
    </row>
    <row r="2442">
      <c r="N2442" s="28"/>
      <c r="O2442" s="28"/>
      <c r="U2442" s="28"/>
    </row>
    <row r="2443">
      <c r="N2443" s="28"/>
      <c r="O2443" s="28"/>
      <c r="U2443" s="28"/>
    </row>
    <row r="2444">
      <c r="N2444" s="28"/>
      <c r="O2444" s="28"/>
      <c r="U2444" s="28"/>
    </row>
    <row r="2445">
      <c r="N2445" s="28"/>
      <c r="O2445" s="28"/>
      <c r="U2445" s="28"/>
    </row>
    <row r="2446">
      <c r="N2446" s="28"/>
      <c r="O2446" s="28"/>
      <c r="U2446" s="28"/>
    </row>
    <row r="2447">
      <c r="N2447" s="28"/>
      <c r="O2447" s="28"/>
      <c r="U2447" s="28"/>
    </row>
    <row r="2448">
      <c r="N2448" s="28"/>
      <c r="O2448" s="28"/>
      <c r="U2448" s="28"/>
    </row>
    <row r="2449">
      <c r="N2449" s="28"/>
      <c r="O2449" s="28"/>
      <c r="U2449" s="28"/>
    </row>
    <row r="2450">
      <c r="N2450" s="28"/>
      <c r="O2450" s="28"/>
      <c r="U2450" s="28"/>
    </row>
    <row r="2451">
      <c r="N2451" s="28"/>
      <c r="O2451" s="28"/>
      <c r="U2451" s="28"/>
    </row>
    <row r="2452">
      <c r="N2452" s="28"/>
      <c r="O2452" s="28"/>
      <c r="U2452" s="28"/>
    </row>
    <row r="2453">
      <c r="N2453" s="28"/>
      <c r="O2453" s="28"/>
      <c r="U2453" s="28"/>
    </row>
    <row r="2454">
      <c r="N2454" s="28"/>
      <c r="O2454" s="28"/>
      <c r="U2454" s="28"/>
    </row>
    <row r="2455">
      <c r="N2455" s="28"/>
      <c r="O2455" s="28"/>
      <c r="U2455" s="28"/>
    </row>
    <row r="2456">
      <c r="N2456" s="28"/>
      <c r="O2456" s="28"/>
      <c r="U2456" s="28"/>
    </row>
    <row r="2457">
      <c r="N2457" s="28"/>
      <c r="O2457" s="28"/>
      <c r="U2457" s="28"/>
    </row>
    <row r="2458">
      <c r="N2458" s="28"/>
      <c r="O2458" s="28"/>
      <c r="U2458" s="28"/>
    </row>
    <row r="2459">
      <c r="N2459" s="28"/>
      <c r="O2459" s="28"/>
      <c r="U2459" s="28"/>
    </row>
    <row r="2460">
      <c r="N2460" s="28"/>
      <c r="O2460" s="28"/>
      <c r="U2460" s="28"/>
    </row>
    <row r="2461">
      <c r="N2461" s="28"/>
      <c r="O2461" s="28"/>
      <c r="U2461" s="28"/>
    </row>
    <row r="2462">
      <c r="N2462" s="28"/>
      <c r="O2462" s="28"/>
      <c r="U2462" s="28"/>
    </row>
    <row r="2463">
      <c r="N2463" s="28"/>
      <c r="O2463" s="28"/>
      <c r="U2463" s="28"/>
    </row>
    <row r="2464">
      <c r="N2464" s="28"/>
      <c r="O2464" s="28"/>
      <c r="U2464" s="28"/>
    </row>
    <row r="2465">
      <c r="N2465" s="28"/>
      <c r="O2465" s="28"/>
      <c r="U2465" s="28"/>
    </row>
    <row r="2466">
      <c r="N2466" s="28"/>
      <c r="O2466" s="28"/>
      <c r="U2466" s="28"/>
    </row>
    <row r="2467">
      <c r="N2467" s="28"/>
      <c r="O2467" s="28"/>
      <c r="U2467" s="28"/>
    </row>
    <row r="2468">
      <c r="N2468" s="28"/>
      <c r="O2468" s="28"/>
      <c r="U2468" s="28"/>
    </row>
    <row r="2469">
      <c r="N2469" s="28"/>
      <c r="O2469" s="28"/>
      <c r="U2469" s="28"/>
    </row>
    <row r="2470">
      <c r="N2470" s="28"/>
      <c r="O2470" s="28"/>
      <c r="U2470" s="28"/>
    </row>
    <row r="2471">
      <c r="N2471" s="28"/>
      <c r="O2471" s="28"/>
      <c r="U2471" s="28"/>
    </row>
    <row r="2472">
      <c r="N2472" s="28"/>
      <c r="O2472" s="28"/>
      <c r="U2472" s="28"/>
    </row>
    <row r="2473">
      <c r="N2473" s="28"/>
      <c r="O2473" s="28"/>
      <c r="U2473" s="28"/>
    </row>
    <row r="2474">
      <c r="N2474" s="28"/>
      <c r="O2474" s="28"/>
      <c r="U2474" s="28"/>
    </row>
    <row r="2475">
      <c r="N2475" s="28"/>
      <c r="O2475" s="28"/>
      <c r="U2475" s="28"/>
    </row>
    <row r="2476">
      <c r="N2476" s="28"/>
      <c r="O2476" s="28"/>
      <c r="U2476" s="28"/>
    </row>
    <row r="2477">
      <c r="N2477" s="28"/>
      <c r="O2477" s="28"/>
      <c r="U2477" s="28"/>
    </row>
    <row r="2478">
      <c r="N2478" s="28"/>
      <c r="O2478" s="28"/>
      <c r="U2478" s="28"/>
    </row>
    <row r="2479">
      <c r="N2479" s="28"/>
      <c r="O2479" s="28"/>
      <c r="U2479" s="28"/>
    </row>
    <row r="2480">
      <c r="N2480" s="28"/>
      <c r="O2480" s="28"/>
      <c r="U2480" s="28"/>
    </row>
    <row r="2481">
      <c r="N2481" s="28"/>
      <c r="O2481" s="28"/>
      <c r="U2481" s="28"/>
    </row>
    <row r="2482">
      <c r="N2482" s="28"/>
      <c r="O2482" s="28"/>
      <c r="U2482" s="28"/>
    </row>
    <row r="2483">
      <c r="N2483" s="28"/>
      <c r="O2483" s="28"/>
      <c r="U2483" s="28"/>
    </row>
    <row r="2484">
      <c r="N2484" s="28"/>
      <c r="O2484" s="28"/>
      <c r="U2484" s="28"/>
    </row>
    <row r="2485">
      <c r="N2485" s="28"/>
      <c r="O2485" s="28"/>
      <c r="U2485" s="28"/>
    </row>
    <row r="2486">
      <c r="N2486" s="28"/>
      <c r="O2486" s="28"/>
      <c r="U2486" s="28"/>
    </row>
    <row r="2487">
      <c r="N2487" s="28"/>
      <c r="O2487" s="28"/>
      <c r="U2487" s="28"/>
    </row>
    <row r="2488">
      <c r="N2488" s="28"/>
      <c r="O2488" s="28"/>
      <c r="U2488" s="28"/>
    </row>
    <row r="2489">
      <c r="N2489" s="28"/>
      <c r="O2489" s="28"/>
      <c r="U2489" s="28"/>
    </row>
    <row r="2490">
      <c r="N2490" s="28"/>
      <c r="O2490" s="28"/>
      <c r="U2490" s="28"/>
    </row>
    <row r="2491">
      <c r="N2491" s="28"/>
      <c r="O2491" s="28"/>
      <c r="U2491" s="28"/>
    </row>
    <row r="2492">
      <c r="N2492" s="28"/>
      <c r="O2492" s="28"/>
      <c r="U2492" s="28"/>
    </row>
    <row r="2493">
      <c r="N2493" s="28"/>
      <c r="O2493" s="28"/>
      <c r="U2493" s="28"/>
    </row>
    <row r="2494">
      <c r="N2494" s="28"/>
      <c r="O2494" s="28"/>
      <c r="U2494" s="28"/>
    </row>
    <row r="2495">
      <c r="N2495" s="28"/>
      <c r="O2495" s="28"/>
      <c r="U2495" s="28"/>
    </row>
    <row r="2496">
      <c r="N2496" s="28"/>
      <c r="O2496" s="28"/>
      <c r="U2496" s="28"/>
    </row>
    <row r="2497">
      <c r="N2497" s="28"/>
      <c r="O2497" s="28"/>
      <c r="U2497" s="28"/>
    </row>
    <row r="2498">
      <c r="N2498" s="28"/>
      <c r="O2498" s="28"/>
      <c r="U2498" s="28"/>
    </row>
    <row r="2499">
      <c r="N2499" s="28"/>
      <c r="O2499" s="28"/>
      <c r="U2499" s="28"/>
    </row>
    <row r="2500">
      <c r="N2500" s="28"/>
      <c r="O2500" s="28"/>
      <c r="U2500" s="28"/>
    </row>
    <row r="2501">
      <c r="N2501" s="28"/>
      <c r="O2501" s="28"/>
      <c r="U2501" s="28"/>
    </row>
    <row r="2502">
      <c r="N2502" s="28"/>
      <c r="O2502" s="28"/>
      <c r="U2502" s="28"/>
    </row>
    <row r="2503">
      <c r="N2503" s="28"/>
      <c r="O2503" s="28"/>
      <c r="U2503" s="28"/>
    </row>
    <row r="2504">
      <c r="N2504" s="28"/>
      <c r="O2504" s="28"/>
      <c r="U2504" s="28"/>
    </row>
    <row r="2505">
      <c r="N2505" s="28"/>
      <c r="O2505" s="28"/>
      <c r="U2505" s="28"/>
    </row>
    <row r="2506">
      <c r="N2506" s="28"/>
      <c r="O2506" s="28"/>
      <c r="U2506" s="28"/>
    </row>
    <row r="2507">
      <c r="N2507" s="28"/>
      <c r="O2507" s="28"/>
      <c r="U2507" s="28"/>
    </row>
    <row r="2508">
      <c r="N2508" s="28"/>
      <c r="O2508" s="28"/>
      <c r="U2508" s="28"/>
    </row>
    <row r="2509">
      <c r="N2509" s="28"/>
      <c r="O2509" s="28"/>
      <c r="U2509" s="28"/>
    </row>
    <row r="2510">
      <c r="N2510" s="28"/>
      <c r="O2510" s="28"/>
      <c r="U2510" s="28"/>
    </row>
    <row r="2511">
      <c r="N2511" s="28"/>
      <c r="O2511" s="28"/>
      <c r="U2511" s="28"/>
    </row>
    <row r="2512">
      <c r="N2512" s="28"/>
      <c r="O2512" s="28"/>
      <c r="U2512" s="28"/>
    </row>
    <row r="2513">
      <c r="N2513" s="28"/>
      <c r="O2513" s="28"/>
      <c r="U2513" s="28"/>
    </row>
    <row r="2514">
      <c r="N2514" s="28"/>
      <c r="O2514" s="28"/>
      <c r="U2514" s="28"/>
    </row>
    <row r="2515">
      <c r="N2515" s="28"/>
      <c r="O2515" s="28"/>
      <c r="U2515" s="28"/>
    </row>
    <row r="2516">
      <c r="N2516" s="28"/>
      <c r="O2516" s="28"/>
      <c r="U2516" s="28"/>
    </row>
    <row r="2517">
      <c r="N2517" s="28"/>
      <c r="O2517" s="28"/>
      <c r="U2517" s="28"/>
    </row>
    <row r="2518">
      <c r="N2518" s="28"/>
      <c r="O2518" s="28"/>
      <c r="U2518" s="28"/>
    </row>
    <row r="2519">
      <c r="N2519" s="28"/>
      <c r="O2519" s="28"/>
      <c r="U2519" s="28"/>
    </row>
    <row r="2520">
      <c r="N2520" s="28"/>
      <c r="O2520" s="28"/>
      <c r="U2520" s="28"/>
    </row>
    <row r="2521">
      <c r="N2521" s="28"/>
      <c r="O2521" s="28"/>
      <c r="U2521" s="28"/>
    </row>
    <row r="2522">
      <c r="N2522" s="28"/>
      <c r="O2522" s="28"/>
      <c r="U2522" s="28"/>
    </row>
    <row r="2523">
      <c r="N2523" s="28"/>
      <c r="O2523" s="28"/>
      <c r="U2523" s="28"/>
    </row>
    <row r="2524">
      <c r="N2524" s="28"/>
      <c r="O2524" s="28"/>
      <c r="U2524" s="28"/>
    </row>
    <row r="2525">
      <c r="N2525" s="28"/>
      <c r="O2525" s="28"/>
      <c r="U2525" s="28"/>
    </row>
    <row r="2526">
      <c r="N2526" s="28"/>
      <c r="O2526" s="28"/>
      <c r="U2526" s="28"/>
    </row>
    <row r="2527">
      <c r="N2527" s="28"/>
      <c r="O2527" s="28"/>
      <c r="U2527" s="28"/>
    </row>
    <row r="2528">
      <c r="N2528" s="28"/>
      <c r="O2528" s="28"/>
      <c r="U2528" s="28"/>
    </row>
    <row r="2529">
      <c r="N2529" s="28"/>
      <c r="O2529" s="28"/>
      <c r="U2529" s="28"/>
    </row>
    <row r="2530">
      <c r="N2530" s="28"/>
      <c r="O2530" s="28"/>
      <c r="U2530" s="28"/>
    </row>
    <row r="2531">
      <c r="N2531" s="28"/>
      <c r="O2531" s="28"/>
      <c r="U2531" s="28"/>
    </row>
    <row r="2532">
      <c r="N2532" s="28"/>
      <c r="O2532" s="28"/>
      <c r="U2532" s="28"/>
    </row>
    <row r="2533">
      <c r="N2533" s="28"/>
      <c r="O2533" s="28"/>
      <c r="U2533" s="28"/>
    </row>
    <row r="2534">
      <c r="N2534" s="28"/>
      <c r="O2534" s="28"/>
      <c r="U2534" s="28"/>
    </row>
    <row r="2535">
      <c r="N2535" s="28"/>
      <c r="O2535" s="28"/>
      <c r="U2535" s="28"/>
    </row>
    <row r="2536">
      <c r="N2536" s="28"/>
      <c r="O2536" s="28"/>
      <c r="U2536" s="28"/>
    </row>
    <row r="2537">
      <c r="N2537" s="28"/>
      <c r="O2537" s="28"/>
      <c r="U2537" s="28"/>
    </row>
    <row r="2538">
      <c r="N2538" s="28"/>
      <c r="O2538" s="28"/>
      <c r="U2538" s="28"/>
    </row>
    <row r="2539">
      <c r="N2539" s="28"/>
      <c r="O2539" s="28"/>
      <c r="U2539" s="28"/>
    </row>
    <row r="2540">
      <c r="N2540" s="28"/>
      <c r="O2540" s="28"/>
      <c r="U2540" s="28"/>
    </row>
    <row r="2541">
      <c r="N2541" s="28"/>
      <c r="O2541" s="28"/>
      <c r="U2541" s="28"/>
    </row>
    <row r="2542">
      <c r="N2542" s="28"/>
      <c r="O2542" s="28"/>
      <c r="U2542" s="28"/>
    </row>
    <row r="2543">
      <c r="N2543" s="28"/>
      <c r="O2543" s="28"/>
      <c r="U2543" s="28"/>
    </row>
    <row r="2544">
      <c r="N2544" s="28"/>
      <c r="O2544" s="28"/>
      <c r="U2544" s="28"/>
    </row>
    <row r="2545">
      <c r="N2545" s="28"/>
      <c r="O2545" s="28"/>
      <c r="U2545" s="28"/>
    </row>
    <row r="2546">
      <c r="N2546" s="28"/>
      <c r="O2546" s="28"/>
      <c r="U2546" s="28"/>
    </row>
    <row r="2547">
      <c r="N2547" s="28"/>
      <c r="O2547" s="28"/>
      <c r="U2547" s="28"/>
    </row>
    <row r="2548">
      <c r="N2548" s="28"/>
      <c r="O2548" s="28"/>
      <c r="U2548" s="28"/>
    </row>
    <row r="2549">
      <c r="N2549" s="28"/>
      <c r="O2549" s="28"/>
      <c r="U2549" s="28"/>
    </row>
    <row r="2550">
      <c r="N2550" s="28"/>
      <c r="O2550" s="28"/>
      <c r="U2550" s="28"/>
    </row>
    <row r="2551">
      <c r="N2551" s="28"/>
      <c r="O2551" s="28"/>
      <c r="U2551" s="28"/>
    </row>
    <row r="2552">
      <c r="N2552" s="28"/>
      <c r="O2552" s="28"/>
      <c r="U2552" s="28"/>
    </row>
    <row r="2553">
      <c r="N2553" s="28"/>
      <c r="O2553" s="28"/>
      <c r="U2553" s="28"/>
    </row>
    <row r="2554">
      <c r="N2554" s="28"/>
      <c r="O2554" s="28"/>
      <c r="U2554" s="28"/>
    </row>
    <row r="2555">
      <c r="N2555" s="28"/>
      <c r="O2555" s="28"/>
      <c r="U2555" s="28"/>
    </row>
    <row r="2556">
      <c r="N2556" s="28"/>
      <c r="O2556" s="28"/>
      <c r="U2556" s="28"/>
    </row>
    <row r="2557">
      <c r="N2557" s="28"/>
      <c r="O2557" s="28"/>
      <c r="U2557" s="28"/>
    </row>
    <row r="2558">
      <c r="N2558" s="28"/>
      <c r="O2558" s="28"/>
      <c r="U2558" s="28"/>
    </row>
    <row r="2559">
      <c r="N2559" s="28"/>
      <c r="O2559" s="28"/>
      <c r="U2559" s="28"/>
    </row>
    <row r="2560">
      <c r="N2560" s="28"/>
      <c r="O2560" s="28"/>
      <c r="U2560" s="28"/>
    </row>
    <row r="2561">
      <c r="N2561" s="28"/>
      <c r="O2561" s="28"/>
      <c r="U2561" s="28"/>
    </row>
    <row r="2562">
      <c r="N2562" s="28"/>
      <c r="O2562" s="28"/>
      <c r="U2562" s="28"/>
    </row>
    <row r="2563">
      <c r="N2563" s="28"/>
      <c r="O2563" s="28"/>
      <c r="U2563" s="28"/>
    </row>
    <row r="2564">
      <c r="N2564" s="28"/>
      <c r="O2564" s="28"/>
      <c r="U2564" s="28"/>
    </row>
    <row r="2565">
      <c r="N2565" s="28"/>
      <c r="O2565" s="28"/>
      <c r="U2565" s="28"/>
    </row>
    <row r="2566">
      <c r="N2566" s="28"/>
      <c r="O2566" s="28"/>
      <c r="U2566" s="28"/>
    </row>
    <row r="2567">
      <c r="N2567" s="28"/>
      <c r="O2567" s="28"/>
      <c r="U2567" s="28"/>
    </row>
    <row r="2568">
      <c r="N2568" s="28"/>
      <c r="O2568" s="28"/>
      <c r="U2568" s="28"/>
    </row>
    <row r="2569">
      <c r="N2569" s="28"/>
      <c r="O2569" s="28"/>
      <c r="U2569" s="28"/>
    </row>
    <row r="2570">
      <c r="N2570" s="28"/>
      <c r="O2570" s="28"/>
      <c r="U2570" s="28"/>
    </row>
    <row r="2571">
      <c r="N2571" s="28"/>
      <c r="O2571" s="28"/>
      <c r="U2571" s="28"/>
    </row>
    <row r="2572">
      <c r="N2572" s="28"/>
      <c r="O2572" s="28"/>
      <c r="U2572" s="28"/>
    </row>
    <row r="2573">
      <c r="N2573" s="28"/>
      <c r="O2573" s="28"/>
      <c r="U2573" s="28"/>
    </row>
    <row r="2574">
      <c r="N2574" s="28"/>
      <c r="O2574" s="28"/>
      <c r="U2574" s="28"/>
    </row>
    <row r="2575">
      <c r="N2575" s="28"/>
      <c r="O2575" s="28"/>
      <c r="U2575" s="28"/>
    </row>
    <row r="2576">
      <c r="N2576" s="28"/>
      <c r="O2576" s="28"/>
      <c r="U2576" s="28"/>
    </row>
    <row r="2577">
      <c r="N2577" s="28"/>
      <c r="O2577" s="28"/>
      <c r="U2577" s="28"/>
    </row>
    <row r="2578">
      <c r="N2578" s="28"/>
      <c r="O2578" s="28"/>
      <c r="U2578" s="28"/>
    </row>
    <row r="2579">
      <c r="N2579" s="28"/>
      <c r="O2579" s="28"/>
      <c r="U2579" s="28"/>
    </row>
    <row r="2580">
      <c r="N2580" s="28"/>
      <c r="O2580" s="28"/>
      <c r="U2580" s="28"/>
    </row>
    <row r="2581">
      <c r="N2581" s="28"/>
      <c r="O2581" s="28"/>
      <c r="U2581" s="28"/>
    </row>
    <row r="2582">
      <c r="N2582" s="28"/>
      <c r="O2582" s="28"/>
      <c r="U2582" s="28"/>
    </row>
    <row r="2583">
      <c r="N2583" s="28"/>
      <c r="O2583" s="28"/>
      <c r="U2583" s="28"/>
    </row>
    <row r="2584">
      <c r="N2584" s="28"/>
      <c r="O2584" s="28"/>
      <c r="U2584" s="28"/>
    </row>
    <row r="2585">
      <c r="N2585" s="28"/>
      <c r="O2585" s="28"/>
      <c r="U2585" s="28"/>
    </row>
    <row r="2586">
      <c r="N2586" s="28"/>
      <c r="O2586" s="28"/>
      <c r="U2586" s="28"/>
    </row>
    <row r="2587">
      <c r="N2587" s="28"/>
      <c r="O2587" s="28"/>
      <c r="U2587" s="28"/>
    </row>
    <row r="2588">
      <c r="N2588" s="28"/>
      <c r="O2588" s="28"/>
      <c r="U2588" s="28"/>
    </row>
    <row r="2589">
      <c r="N2589" s="28"/>
      <c r="O2589" s="28"/>
      <c r="U2589" s="28"/>
    </row>
    <row r="2590">
      <c r="N2590" s="28"/>
      <c r="O2590" s="28"/>
      <c r="U2590" s="28"/>
    </row>
    <row r="2591">
      <c r="N2591" s="28"/>
      <c r="O2591" s="28"/>
      <c r="U2591" s="28"/>
    </row>
    <row r="2592">
      <c r="N2592" s="28"/>
      <c r="O2592" s="28"/>
      <c r="U2592" s="28"/>
    </row>
    <row r="2593">
      <c r="N2593" s="28"/>
      <c r="O2593" s="28"/>
      <c r="U2593" s="28"/>
    </row>
    <row r="2594">
      <c r="N2594" s="28"/>
      <c r="O2594" s="28"/>
      <c r="U2594" s="28"/>
    </row>
    <row r="2595">
      <c r="N2595" s="28"/>
      <c r="O2595" s="28"/>
      <c r="U2595" s="28"/>
    </row>
    <row r="2596">
      <c r="N2596" s="28"/>
      <c r="O2596" s="28"/>
      <c r="U2596" s="28"/>
    </row>
    <row r="2597">
      <c r="N2597" s="28"/>
      <c r="O2597" s="28"/>
      <c r="U2597" s="28"/>
    </row>
    <row r="2598">
      <c r="N2598" s="28"/>
      <c r="O2598" s="28"/>
      <c r="U2598" s="28"/>
    </row>
    <row r="2599">
      <c r="N2599" s="28"/>
      <c r="O2599" s="28"/>
      <c r="U2599" s="28"/>
    </row>
    <row r="2600">
      <c r="N2600" s="28"/>
      <c r="O2600" s="28"/>
      <c r="U2600" s="28"/>
    </row>
    <row r="2601">
      <c r="N2601" s="28"/>
      <c r="O2601" s="28"/>
      <c r="U2601" s="28"/>
    </row>
    <row r="2602">
      <c r="N2602" s="28"/>
      <c r="O2602" s="28"/>
      <c r="U2602" s="28"/>
    </row>
    <row r="2603">
      <c r="N2603" s="28"/>
      <c r="O2603" s="28"/>
      <c r="U2603" s="28"/>
    </row>
    <row r="2604">
      <c r="N2604" s="28"/>
      <c r="O2604" s="28"/>
      <c r="U2604" s="28"/>
    </row>
    <row r="2605">
      <c r="N2605" s="28"/>
      <c r="O2605" s="28"/>
      <c r="U2605" s="28"/>
    </row>
    <row r="2606">
      <c r="N2606" s="28"/>
      <c r="O2606" s="28"/>
      <c r="U2606" s="28"/>
    </row>
    <row r="2607">
      <c r="N2607" s="28"/>
      <c r="O2607" s="28"/>
      <c r="U2607" s="28"/>
    </row>
    <row r="2608">
      <c r="N2608" s="28"/>
      <c r="O2608" s="28"/>
      <c r="U2608" s="28"/>
    </row>
    <row r="2609">
      <c r="N2609" s="28"/>
      <c r="O2609" s="28"/>
      <c r="U2609" s="28"/>
    </row>
    <row r="2610">
      <c r="N2610" s="28"/>
      <c r="O2610" s="28"/>
      <c r="U2610" s="28"/>
    </row>
    <row r="2611">
      <c r="N2611" s="28"/>
      <c r="O2611" s="28"/>
      <c r="U2611" s="28"/>
    </row>
    <row r="2612">
      <c r="N2612" s="28"/>
      <c r="O2612" s="28"/>
      <c r="U2612" s="28"/>
    </row>
    <row r="2613">
      <c r="N2613" s="28"/>
      <c r="O2613" s="28"/>
      <c r="U2613" s="28"/>
    </row>
    <row r="2614">
      <c r="N2614" s="28"/>
      <c r="O2614" s="28"/>
      <c r="U2614" s="28"/>
    </row>
    <row r="2615">
      <c r="N2615" s="28"/>
      <c r="O2615" s="28"/>
      <c r="U2615" s="28"/>
    </row>
    <row r="2616">
      <c r="N2616" s="28"/>
      <c r="O2616" s="28"/>
      <c r="U2616" s="28"/>
    </row>
    <row r="2617">
      <c r="N2617" s="28"/>
      <c r="O2617" s="28"/>
      <c r="U2617" s="28"/>
    </row>
    <row r="2618">
      <c r="N2618" s="28"/>
      <c r="O2618" s="28"/>
      <c r="U2618" s="28"/>
    </row>
    <row r="2619">
      <c r="N2619" s="28"/>
      <c r="O2619" s="28"/>
      <c r="U2619" s="28"/>
    </row>
    <row r="2620">
      <c r="N2620" s="28"/>
      <c r="O2620" s="28"/>
      <c r="U2620" s="28"/>
    </row>
    <row r="2621">
      <c r="N2621" s="28"/>
      <c r="O2621" s="28"/>
      <c r="U2621" s="28"/>
    </row>
    <row r="2622">
      <c r="N2622" s="28"/>
      <c r="O2622" s="28"/>
      <c r="U2622" s="28"/>
    </row>
    <row r="2623">
      <c r="N2623" s="28"/>
      <c r="O2623" s="28"/>
      <c r="U2623" s="28"/>
    </row>
    <row r="2624">
      <c r="N2624" s="28"/>
      <c r="O2624" s="28"/>
      <c r="U2624" s="28"/>
    </row>
    <row r="2625">
      <c r="N2625" s="28"/>
      <c r="O2625" s="28"/>
      <c r="U2625" s="28"/>
    </row>
    <row r="2626">
      <c r="N2626" s="28"/>
      <c r="O2626" s="28"/>
      <c r="U2626" s="28"/>
    </row>
    <row r="2627">
      <c r="N2627" s="28"/>
      <c r="O2627" s="28"/>
      <c r="U2627" s="28"/>
    </row>
    <row r="2628">
      <c r="N2628" s="28"/>
      <c r="O2628" s="28"/>
      <c r="U2628" s="28"/>
    </row>
    <row r="2629">
      <c r="N2629" s="28"/>
      <c r="O2629" s="28"/>
      <c r="U2629" s="28"/>
    </row>
    <row r="2630">
      <c r="N2630" s="28"/>
      <c r="O2630" s="28"/>
      <c r="U2630" s="28"/>
    </row>
    <row r="2631">
      <c r="N2631" s="28"/>
      <c r="O2631" s="28"/>
      <c r="U2631" s="28"/>
    </row>
    <row r="2632">
      <c r="N2632" s="28"/>
      <c r="O2632" s="28"/>
      <c r="U2632" s="28"/>
    </row>
    <row r="2633">
      <c r="N2633" s="28"/>
      <c r="O2633" s="28"/>
      <c r="U2633" s="28"/>
    </row>
    <row r="2634">
      <c r="N2634" s="28"/>
      <c r="O2634" s="28"/>
      <c r="U2634" s="28"/>
    </row>
    <row r="2635">
      <c r="N2635" s="28"/>
      <c r="O2635" s="28"/>
      <c r="U2635" s="28"/>
    </row>
    <row r="2636">
      <c r="N2636" s="28"/>
      <c r="O2636" s="28"/>
      <c r="U2636" s="28"/>
    </row>
    <row r="2637">
      <c r="N2637" s="28"/>
      <c r="O2637" s="28"/>
      <c r="U2637" s="28"/>
    </row>
    <row r="2638">
      <c r="N2638" s="28"/>
      <c r="O2638" s="28"/>
      <c r="U2638" s="28"/>
    </row>
    <row r="2639">
      <c r="N2639" s="28"/>
      <c r="O2639" s="28"/>
      <c r="U2639" s="28"/>
    </row>
    <row r="2640">
      <c r="N2640" s="28"/>
      <c r="O2640" s="28"/>
      <c r="U2640" s="28"/>
    </row>
    <row r="2641">
      <c r="N2641" s="28"/>
      <c r="O2641" s="28"/>
      <c r="U2641" s="28"/>
    </row>
    <row r="2642">
      <c r="N2642" s="28"/>
      <c r="O2642" s="28"/>
      <c r="U2642" s="28"/>
    </row>
    <row r="2643">
      <c r="N2643" s="28"/>
      <c r="O2643" s="28"/>
      <c r="U2643" s="28"/>
    </row>
    <row r="2644">
      <c r="N2644" s="28"/>
      <c r="O2644" s="28"/>
      <c r="U2644" s="28"/>
    </row>
    <row r="2645">
      <c r="N2645" s="28"/>
      <c r="O2645" s="28"/>
      <c r="U2645" s="28"/>
    </row>
    <row r="2646">
      <c r="N2646" s="28"/>
      <c r="O2646" s="28"/>
      <c r="U2646" s="28"/>
    </row>
    <row r="2647">
      <c r="N2647" s="28"/>
      <c r="O2647" s="28"/>
      <c r="U2647" s="28"/>
    </row>
    <row r="2648">
      <c r="N2648" s="28"/>
      <c r="O2648" s="28"/>
      <c r="U2648" s="28"/>
    </row>
    <row r="2649">
      <c r="N2649" s="28"/>
      <c r="O2649" s="28"/>
      <c r="U2649" s="28"/>
    </row>
    <row r="2650">
      <c r="N2650" s="28"/>
      <c r="O2650" s="28"/>
      <c r="U2650" s="28"/>
    </row>
    <row r="2651">
      <c r="N2651" s="28"/>
      <c r="O2651" s="28"/>
      <c r="U2651" s="28"/>
    </row>
    <row r="2652">
      <c r="N2652" s="28"/>
      <c r="O2652" s="28"/>
      <c r="U2652" s="28"/>
    </row>
    <row r="2653">
      <c r="N2653" s="28"/>
      <c r="O2653" s="28"/>
      <c r="U2653" s="28"/>
    </row>
    <row r="2654">
      <c r="N2654" s="28"/>
      <c r="O2654" s="28"/>
      <c r="U2654" s="28"/>
    </row>
    <row r="2655">
      <c r="N2655" s="28"/>
      <c r="O2655" s="28"/>
      <c r="U2655" s="28"/>
    </row>
    <row r="2656">
      <c r="N2656" s="28"/>
      <c r="O2656" s="28"/>
      <c r="U2656" s="28"/>
    </row>
    <row r="2657">
      <c r="N2657" s="28"/>
      <c r="O2657" s="28"/>
      <c r="U2657" s="28"/>
    </row>
    <row r="2658">
      <c r="N2658" s="28"/>
      <c r="O2658" s="28"/>
      <c r="U2658" s="28"/>
    </row>
    <row r="2659">
      <c r="N2659" s="28"/>
      <c r="O2659" s="28"/>
      <c r="U2659" s="28"/>
    </row>
    <row r="2660">
      <c r="N2660" s="28"/>
      <c r="O2660" s="28"/>
      <c r="U2660" s="28"/>
    </row>
    <row r="2661">
      <c r="N2661" s="28"/>
      <c r="O2661" s="28"/>
      <c r="U2661" s="28"/>
    </row>
    <row r="2662">
      <c r="N2662" s="28"/>
      <c r="O2662" s="28"/>
      <c r="U2662" s="28"/>
    </row>
    <row r="2663">
      <c r="N2663" s="28"/>
      <c r="O2663" s="28"/>
      <c r="U2663" s="28"/>
    </row>
    <row r="2664">
      <c r="N2664" s="28"/>
      <c r="O2664" s="28"/>
      <c r="U2664" s="28"/>
    </row>
    <row r="2665">
      <c r="N2665" s="28"/>
      <c r="O2665" s="28"/>
      <c r="U2665" s="28"/>
    </row>
    <row r="2666">
      <c r="N2666" s="28"/>
      <c r="O2666" s="28"/>
      <c r="U2666" s="28"/>
    </row>
    <row r="2667">
      <c r="N2667" s="28"/>
      <c r="O2667" s="28"/>
      <c r="U2667" s="28"/>
    </row>
    <row r="2668">
      <c r="N2668" s="28"/>
      <c r="O2668" s="28"/>
      <c r="U2668" s="28"/>
    </row>
    <row r="2669">
      <c r="N2669" s="28"/>
      <c r="O2669" s="28"/>
      <c r="U2669" s="28"/>
    </row>
    <row r="2670">
      <c r="N2670" s="28"/>
      <c r="O2670" s="28"/>
      <c r="U2670" s="28"/>
    </row>
    <row r="2671">
      <c r="N2671" s="28"/>
      <c r="O2671" s="28"/>
      <c r="U2671" s="28"/>
    </row>
    <row r="2672">
      <c r="N2672" s="28"/>
      <c r="O2672" s="28"/>
      <c r="U2672" s="28"/>
    </row>
    <row r="2673">
      <c r="N2673" s="28"/>
      <c r="O2673" s="28"/>
      <c r="U2673" s="28"/>
    </row>
    <row r="2674">
      <c r="N2674" s="28"/>
      <c r="O2674" s="28"/>
      <c r="U2674" s="28"/>
    </row>
    <row r="2675">
      <c r="N2675" s="28"/>
      <c r="O2675" s="28"/>
      <c r="U2675" s="28"/>
    </row>
    <row r="2676">
      <c r="N2676" s="28"/>
      <c r="O2676" s="28"/>
      <c r="U2676" s="28"/>
    </row>
    <row r="2677">
      <c r="N2677" s="28"/>
      <c r="O2677" s="28"/>
      <c r="U2677" s="28"/>
    </row>
    <row r="2678">
      <c r="N2678" s="28"/>
      <c r="O2678" s="28"/>
      <c r="U2678" s="28"/>
    </row>
    <row r="2679">
      <c r="N2679" s="28"/>
      <c r="O2679" s="28"/>
      <c r="U2679" s="28"/>
    </row>
    <row r="2680">
      <c r="N2680" s="28"/>
      <c r="O2680" s="28"/>
      <c r="U2680" s="28"/>
    </row>
    <row r="2681">
      <c r="N2681" s="28"/>
      <c r="O2681" s="28"/>
      <c r="U2681" s="28"/>
    </row>
    <row r="2682">
      <c r="N2682" s="28"/>
      <c r="O2682" s="28"/>
      <c r="U2682" s="28"/>
    </row>
    <row r="2683">
      <c r="N2683" s="28"/>
      <c r="O2683" s="28"/>
      <c r="U2683" s="28"/>
    </row>
    <row r="2684">
      <c r="N2684" s="28"/>
      <c r="O2684" s="28"/>
      <c r="U2684" s="28"/>
    </row>
    <row r="2685">
      <c r="N2685" s="28"/>
      <c r="O2685" s="28"/>
      <c r="U2685" s="28"/>
    </row>
    <row r="2686">
      <c r="N2686" s="28"/>
      <c r="O2686" s="28"/>
      <c r="U2686" s="28"/>
    </row>
    <row r="2687">
      <c r="N2687" s="28"/>
      <c r="O2687" s="28"/>
      <c r="U2687" s="28"/>
    </row>
    <row r="2688">
      <c r="N2688" s="28"/>
      <c r="O2688" s="28"/>
      <c r="U2688" s="28"/>
    </row>
    <row r="2689">
      <c r="N2689" s="28"/>
      <c r="O2689" s="28"/>
      <c r="U2689" s="28"/>
    </row>
    <row r="2690">
      <c r="N2690" s="28"/>
      <c r="O2690" s="28"/>
      <c r="U2690" s="28"/>
    </row>
    <row r="2691">
      <c r="N2691" s="28"/>
      <c r="O2691" s="28"/>
      <c r="U2691" s="28"/>
    </row>
    <row r="2692">
      <c r="N2692" s="28"/>
      <c r="O2692" s="28"/>
      <c r="U2692" s="28"/>
    </row>
    <row r="2693">
      <c r="N2693" s="28"/>
      <c r="O2693" s="28"/>
      <c r="U2693" s="28"/>
    </row>
    <row r="2694">
      <c r="N2694" s="28"/>
      <c r="O2694" s="28"/>
      <c r="U2694" s="28"/>
    </row>
    <row r="2695">
      <c r="N2695" s="28"/>
      <c r="O2695" s="28"/>
      <c r="U2695" s="28"/>
    </row>
    <row r="2696">
      <c r="N2696" s="28"/>
      <c r="O2696" s="28"/>
      <c r="U2696" s="28"/>
    </row>
    <row r="2697">
      <c r="N2697" s="28"/>
      <c r="O2697" s="28"/>
      <c r="U2697" s="28"/>
    </row>
    <row r="2698">
      <c r="N2698" s="28"/>
      <c r="O2698" s="28"/>
      <c r="U2698" s="28"/>
    </row>
    <row r="2699">
      <c r="N2699" s="28"/>
      <c r="O2699" s="28"/>
      <c r="U2699" s="28"/>
    </row>
    <row r="2700">
      <c r="N2700" s="28"/>
      <c r="O2700" s="28"/>
      <c r="U2700" s="28"/>
    </row>
    <row r="2701">
      <c r="N2701" s="28"/>
      <c r="O2701" s="28"/>
      <c r="U2701" s="28"/>
    </row>
    <row r="2702">
      <c r="N2702" s="28"/>
      <c r="O2702" s="28"/>
      <c r="U2702" s="28"/>
    </row>
    <row r="2703">
      <c r="N2703" s="28"/>
      <c r="O2703" s="28"/>
      <c r="U2703" s="28"/>
    </row>
    <row r="2704">
      <c r="N2704" s="28"/>
      <c r="O2704" s="28"/>
      <c r="U2704" s="28"/>
    </row>
    <row r="2705">
      <c r="N2705" s="28"/>
      <c r="O2705" s="28"/>
      <c r="U2705" s="28"/>
    </row>
    <row r="2706">
      <c r="N2706" s="28"/>
      <c r="O2706" s="28"/>
      <c r="U2706" s="28"/>
    </row>
    <row r="2707">
      <c r="N2707" s="28"/>
      <c r="O2707" s="28"/>
      <c r="U2707" s="28"/>
    </row>
    <row r="2708">
      <c r="N2708" s="28"/>
      <c r="O2708" s="28"/>
      <c r="U2708" s="28"/>
    </row>
    <row r="2709">
      <c r="N2709" s="28"/>
      <c r="O2709" s="28"/>
      <c r="U2709" s="28"/>
    </row>
    <row r="2710">
      <c r="N2710" s="28"/>
      <c r="O2710" s="28"/>
      <c r="U2710" s="28"/>
    </row>
    <row r="2711">
      <c r="N2711" s="28"/>
      <c r="O2711" s="28"/>
      <c r="U2711" s="28"/>
    </row>
    <row r="2712">
      <c r="N2712" s="28"/>
      <c r="O2712" s="28"/>
      <c r="U2712" s="28"/>
    </row>
    <row r="2713">
      <c r="N2713" s="28"/>
      <c r="O2713" s="28"/>
      <c r="U2713" s="28"/>
    </row>
    <row r="2714">
      <c r="N2714" s="28"/>
      <c r="O2714" s="28"/>
      <c r="U2714" s="28"/>
    </row>
    <row r="2715">
      <c r="N2715" s="28"/>
      <c r="O2715" s="28"/>
      <c r="U2715" s="28"/>
    </row>
    <row r="2716">
      <c r="N2716" s="28"/>
      <c r="O2716" s="28"/>
      <c r="U2716" s="28"/>
    </row>
    <row r="2717">
      <c r="N2717" s="28"/>
      <c r="O2717" s="28"/>
      <c r="U2717" s="28"/>
    </row>
    <row r="2718">
      <c r="N2718" s="28"/>
      <c r="O2718" s="28"/>
      <c r="U2718" s="28"/>
    </row>
    <row r="2719">
      <c r="N2719" s="28"/>
      <c r="O2719" s="28"/>
      <c r="U2719" s="28"/>
    </row>
    <row r="2720">
      <c r="N2720" s="28"/>
      <c r="O2720" s="28"/>
      <c r="U2720" s="28"/>
    </row>
    <row r="2721">
      <c r="N2721" s="28"/>
      <c r="O2721" s="28"/>
      <c r="U2721" s="28"/>
    </row>
    <row r="2722">
      <c r="N2722" s="28"/>
      <c r="O2722" s="28"/>
      <c r="U2722" s="28"/>
    </row>
    <row r="2723">
      <c r="N2723" s="28"/>
      <c r="O2723" s="28"/>
      <c r="U2723" s="28"/>
    </row>
    <row r="2724">
      <c r="N2724" s="28"/>
      <c r="O2724" s="28"/>
      <c r="U2724" s="28"/>
    </row>
    <row r="2725">
      <c r="N2725" s="28"/>
      <c r="O2725" s="28"/>
      <c r="U2725" s="28"/>
    </row>
    <row r="2726">
      <c r="N2726" s="28"/>
      <c r="O2726" s="28"/>
      <c r="U2726" s="28"/>
    </row>
    <row r="2727">
      <c r="N2727" s="28"/>
      <c r="O2727" s="28"/>
      <c r="U2727" s="28"/>
    </row>
    <row r="2728">
      <c r="N2728" s="28"/>
      <c r="O2728" s="28"/>
      <c r="U2728" s="28"/>
    </row>
    <row r="2729">
      <c r="N2729" s="28"/>
      <c r="O2729" s="28"/>
      <c r="U2729" s="28"/>
    </row>
    <row r="2730">
      <c r="N2730" s="28"/>
      <c r="O2730" s="28"/>
      <c r="U2730" s="28"/>
    </row>
    <row r="2731">
      <c r="N2731" s="28"/>
      <c r="O2731" s="28"/>
      <c r="U2731" s="28"/>
    </row>
    <row r="2732">
      <c r="N2732" s="28"/>
      <c r="O2732" s="28"/>
      <c r="U2732" s="28"/>
    </row>
    <row r="2733">
      <c r="N2733" s="28"/>
      <c r="O2733" s="28"/>
      <c r="U2733" s="28"/>
    </row>
    <row r="2734">
      <c r="N2734" s="28"/>
      <c r="O2734" s="28"/>
      <c r="U2734" s="28"/>
    </row>
    <row r="2735">
      <c r="N2735" s="28"/>
      <c r="O2735" s="28"/>
      <c r="U2735" s="28"/>
    </row>
    <row r="2736">
      <c r="N2736" s="28"/>
      <c r="O2736" s="28"/>
      <c r="U2736" s="28"/>
    </row>
    <row r="2737">
      <c r="N2737" s="28"/>
      <c r="O2737" s="28"/>
      <c r="U2737" s="28"/>
    </row>
    <row r="2738">
      <c r="N2738" s="28"/>
      <c r="O2738" s="28"/>
      <c r="U2738" s="28"/>
    </row>
    <row r="2739">
      <c r="N2739" s="28"/>
      <c r="O2739" s="28"/>
      <c r="U2739" s="28"/>
    </row>
    <row r="2740">
      <c r="N2740" s="28"/>
      <c r="O2740" s="28"/>
      <c r="U2740" s="28"/>
    </row>
    <row r="2741">
      <c r="N2741" s="28"/>
      <c r="O2741" s="28"/>
      <c r="U2741" s="28"/>
    </row>
    <row r="2742">
      <c r="N2742" s="28"/>
      <c r="O2742" s="28"/>
      <c r="U2742" s="28"/>
    </row>
    <row r="2743">
      <c r="N2743" s="28"/>
      <c r="O2743" s="28"/>
      <c r="U2743" s="28"/>
    </row>
    <row r="2744">
      <c r="N2744" s="28"/>
      <c r="O2744" s="28"/>
      <c r="U2744" s="28"/>
    </row>
    <row r="2745">
      <c r="N2745" s="28"/>
      <c r="O2745" s="28"/>
      <c r="U2745" s="28"/>
    </row>
    <row r="2746">
      <c r="N2746" s="28"/>
      <c r="O2746" s="28"/>
      <c r="U2746" s="28"/>
    </row>
    <row r="2747">
      <c r="N2747" s="28"/>
      <c r="O2747" s="28"/>
      <c r="U2747" s="28"/>
    </row>
    <row r="2748">
      <c r="N2748" s="28"/>
      <c r="O2748" s="28"/>
      <c r="U2748" s="28"/>
    </row>
    <row r="2749">
      <c r="N2749" s="28"/>
      <c r="O2749" s="28"/>
      <c r="U2749" s="28"/>
    </row>
    <row r="2750">
      <c r="N2750" s="28"/>
      <c r="O2750" s="28"/>
      <c r="U2750" s="28"/>
    </row>
    <row r="2751">
      <c r="N2751" s="28"/>
      <c r="O2751" s="28"/>
      <c r="U2751" s="28"/>
    </row>
    <row r="2752">
      <c r="N2752" s="28"/>
      <c r="O2752" s="28"/>
      <c r="U2752" s="28"/>
    </row>
    <row r="2753">
      <c r="N2753" s="28"/>
      <c r="O2753" s="28"/>
      <c r="U2753" s="28"/>
    </row>
    <row r="2754">
      <c r="N2754" s="28"/>
      <c r="O2754" s="28"/>
      <c r="U2754" s="28"/>
    </row>
    <row r="2755">
      <c r="N2755" s="28"/>
      <c r="O2755" s="28"/>
      <c r="U2755" s="28"/>
    </row>
    <row r="2756">
      <c r="N2756" s="28"/>
      <c r="O2756" s="28"/>
      <c r="U2756" s="28"/>
    </row>
    <row r="2757">
      <c r="N2757" s="28"/>
      <c r="O2757" s="28"/>
      <c r="U2757" s="28"/>
    </row>
    <row r="2758">
      <c r="N2758" s="28"/>
      <c r="O2758" s="28"/>
      <c r="U2758" s="28"/>
    </row>
    <row r="2759">
      <c r="N2759" s="28"/>
      <c r="O2759" s="28"/>
      <c r="U2759" s="28"/>
    </row>
    <row r="2760">
      <c r="N2760" s="28"/>
      <c r="O2760" s="28"/>
      <c r="U2760" s="28"/>
    </row>
    <row r="2761">
      <c r="N2761" s="28"/>
      <c r="O2761" s="28"/>
      <c r="U2761" s="28"/>
    </row>
    <row r="2762">
      <c r="N2762" s="28"/>
      <c r="O2762" s="28"/>
      <c r="U2762" s="28"/>
    </row>
    <row r="2763">
      <c r="N2763" s="28"/>
      <c r="O2763" s="28"/>
      <c r="U2763" s="28"/>
    </row>
    <row r="2764">
      <c r="N2764" s="28"/>
      <c r="O2764" s="28"/>
      <c r="U2764" s="28"/>
    </row>
    <row r="2765">
      <c r="N2765" s="28"/>
      <c r="O2765" s="28"/>
      <c r="U2765" s="28"/>
    </row>
    <row r="2766">
      <c r="N2766" s="28"/>
      <c r="O2766" s="28"/>
      <c r="U2766" s="28"/>
    </row>
    <row r="2767">
      <c r="N2767" s="28"/>
      <c r="O2767" s="28"/>
      <c r="U2767" s="28"/>
    </row>
    <row r="2768">
      <c r="N2768" s="28"/>
      <c r="O2768" s="28"/>
      <c r="U2768" s="28"/>
    </row>
    <row r="2769">
      <c r="N2769" s="28"/>
      <c r="O2769" s="28"/>
      <c r="U2769" s="28"/>
    </row>
    <row r="2770">
      <c r="N2770" s="28"/>
      <c r="O2770" s="28"/>
      <c r="U2770" s="28"/>
    </row>
    <row r="2771">
      <c r="N2771" s="28"/>
      <c r="O2771" s="28"/>
      <c r="U2771" s="28"/>
    </row>
    <row r="2772">
      <c r="N2772" s="28"/>
      <c r="O2772" s="28"/>
      <c r="U2772" s="28"/>
    </row>
    <row r="2773">
      <c r="N2773" s="28"/>
      <c r="O2773" s="28"/>
      <c r="U2773" s="28"/>
    </row>
    <row r="2774">
      <c r="N2774" s="28"/>
      <c r="O2774" s="28"/>
      <c r="U2774" s="28"/>
    </row>
    <row r="2775">
      <c r="N2775" s="28"/>
      <c r="O2775" s="28"/>
      <c r="U2775" s="28"/>
    </row>
    <row r="2776">
      <c r="N2776" s="28"/>
      <c r="O2776" s="28"/>
      <c r="U2776" s="28"/>
    </row>
    <row r="2777">
      <c r="N2777" s="28"/>
      <c r="O2777" s="28"/>
      <c r="U2777" s="28"/>
    </row>
    <row r="2778">
      <c r="N2778" s="28"/>
      <c r="O2778" s="28"/>
      <c r="U2778" s="28"/>
    </row>
    <row r="2779">
      <c r="N2779" s="28"/>
      <c r="O2779" s="28"/>
      <c r="U2779" s="28"/>
    </row>
    <row r="2780">
      <c r="N2780" s="28"/>
      <c r="O2780" s="28"/>
      <c r="U2780" s="28"/>
    </row>
    <row r="2781">
      <c r="N2781" s="28"/>
      <c r="O2781" s="28"/>
      <c r="U2781" s="28"/>
    </row>
    <row r="2782">
      <c r="N2782" s="28"/>
      <c r="O2782" s="28"/>
      <c r="U2782" s="28"/>
    </row>
    <row r="2783">
      <c r="N2783" s="28"/>
      <c r="O2783" s="28"/>
      <c r="U2783" s="28"/>
    </row>
    <row r="2784">
      <c r="N2784" s="28"/>
      <c r="O2784" s="28"/>
      <c r="U2784" s="28"/>
    </row>
    <row r="2785">
      <c r="N2785" s="28"/>
      <c r="O2785" s="28"/>
      <c r="U2785" s="28"/>
    </row>
    <row r="2786">
      <c r="N2786" s="28"/>
      <c r="O2786" s="28"/>
      <c r="U2786" s="28"/>
    </row>
    <row r="2787">
      <c r="N2787" s="28"/>
      <c r="O2787" s="28"/>
      <c r="U2787" s="28"/>
    </row>
    <row r="2788">
      <c r="N2788" s="28"/>
      <c r="O2788" s="28"/>
      <c r="U2788" s="28"/>
    </row>
    <row r="2789">
      <c r="N2789" s="28"/>
      <c r="O2789" s="28"/>
      <c r="U2789" s="28"/>
    </row>
    <row r="2790">
      <c r="N2790" s="28"/>
      <c r="O2790" s="28"/>
      <c r="U2790" s="28"/>
    </row>
    <row r="2791">
      <c r="N2791" s="28"/>
      <c r="O2791" s="28"/>
      <c r="U2791" s="28"/>
    </row>
    <row r="2792">
      <c r="N2792" s="28"/>
      <c r="O2792" s="28"/>
      <c r="U2792" s="28"/>
    </row>
    <row r="2793">
      <c r="N2793" s="28"/>
      <c r="O2793" s="28"/>
      <c r="U2793" s="28"/>
    </row>
    <row r="2794">
      <c r="N2794" s="28"/>
      <c r="O2794" s="28"/>
      <c r="U2794" s="28"/>
    </row>
    <row r="2795">
      <c r="N2795" s="28"/>
      <c r="O2795" s="28"/>
      <c r="U2795" s="28"/>
    </row>
    <row r="2796">
      <c r="N2796" s="28"/>
      <c r="O2796" s="28"/>
      <c r="U2796" s="28"/>
    </row>
    <row r="2797">
      <c r="N2797" s="28"/>
      <c r="O2797" s="28"/>
      <c r="U2797" s="28"/>
    </row>
    <row r="2798">
      <c r="N2798" s="28"/>
      <c r="O2798" s="28"/>
      <c r="U2798" s="28"/>
    </row>
    <row r="2799">
      <c r="N2799" s="28"/>
      <c r="O2799" s="28"/>
      <c r="U2799" s="28"/>
    </row>
    <row r="2800">
      <c r="N2800" s="28"/>
      <c r="O2800" s="28"/>
      <c r="U2800" s="28"/>
    </row>
    <row r="2801">
      <c r="N2801" s="28"/>
      <c r="O2801" s="28"/>
      <c r="U2801" s="28"/>
    </row>
    <row r="2802">
      <c r="N2802" s="28"/>
      <c r="O2802" s="28"/>
      <c r="U2802" s="28"/>
    </row>
    <row r="2803">
      <c r="N2803" s="28"/>
      <c r="O2803" s="28"/>
      <c r="U2803" s="28"/>
    </row>
    <row r="2804">
      <c r="N2804" s="28"/>
      <c r="O2804" s="28"/>
      <c r="U2804" s="28"/>
    </row>
    <row r="2805">
      <c r="N2805" s="28"/>
      <c r="O2805" s="28"/>
      <c r="U2805" s="28"/>
    </row>
    <row r="2806">
      <c r="N2806" s="28"/>
      <c r="O2806" s="28"/>
      <c r="U2806" s="28"/>
    </row>
    <row r="2807">
      <c r="N2807" s="28"/>
      <c r="O2807" s="28"/>
      <c r="U2807" s="28"/>
    </row>
    <row r="2808">
      <c r="N2808" s="28"/>
      <c r="O2808" s="28"/>
      <c r="U2808" s="28"/>
    </row>
    <row r="2809">
      <c r="N2809" s="28"/>
      <c r="O2809" s="28"/>
      <c r="U2809" s="28"/>
    </row>
    <row r="2810">
      <c r="N2810" s="28"/>
      <c r="O2810" s="28"/>
      <c r="U2810" s="28"/>
    </row>
    <row r="2811">
      <c r="N2811" s="28"/>
      <c r="O2811" s="28"/>
      <c r="U2811" s="28"/>
    </row>
    <row r="2812">
      <c r="N2812" s="28"/>
      <c r="O2812" s="28"/>
      <c r="U2812" s="28"/>
    </row>
    <row r="2813">
      <c r="N2813" s="28"/>
      <c r="O2813" s="28"/>
      <c r="U2813" s="28"/>
    </row>
    <row r="2814">
      <c r="N2814" s="28"/>
      <c r="O2814" s="28"/>
      <c r="U2814" s="28"/>
    </row>
    <row r="2815">
      <c r="N2815" s="28"/>
      <c r="O2815" s="28"/>
      <c r="U2815" s="28"/>
    </row>
    <row r="2816">
      <c r="N2816" s="28"/>
      <c r="O2816" s="28"/>
      <c r="U2816" s="28"/>
    </row>
    <row r="2817">
      <c r="N2817" s="28"/>
      <c r="O2817" s="28"/>
      <c r="U2817" s="28"/>
    </row>
    <row r="2818">
      <c r="N2818" s="28"/>
      <c r="O2818" s="28"/>
      <c r="U2818" s="28"/>
    </row>
    <row r="2819">
      <c r="N2819" s="28"/>
      <c r="O2819" s="28"/>
      <c r="U2819" s="28"/>
    </row>
    <row r="2820">
      <c r="N2820" s="28"/>
      <c r="O2820" s="28"/>
      <c r="U2820" s="28"/>
    </row>
    <row r="2821">
      <c r="N2821" s="28"/>
      <c r="O2821" s="28"/>
      <c r="U2821" s="28"/>
    </row>
    <row r="2822">
      <c r="N2822" s="28"/>
      <c r="O2822" s="28"/>
      <c r="U2822" s="28"/>
    </row>
    <row r="2823">
      <c r="N2823" s="28"/>
      <c r="O2823" s="28"/>
      <c r="U2823" s="28"/>
    </row>
    <row r="2824">
      <c r="N2824" s="28"/>
      <c r="O2824" s="28"/>
      <c r="U2824" s="28"/>
    </row>
    <row r="2825">
      <c r="N2825" s="28"/>
      <c r="O2825" s="28"/>
      <c r="U2825" s="28"/>
    </row>
    <row r="2826">
      <c r="N2826" s="28"/>
      <c r="O2826" s="28"/>
      <c r="U2826" s="28"/>
    </row>
    <row r="2827">
      <c r="N2827" s="28"/>
      <c r="O2827" s="28"/>
      <c r="U2827" s="28"/>
    </row>
    <row r="2828">
      <c r="N2828" s="28"/>
      <c r="O2828" s="28"/>
      <c r="U2828" s="28"/>
    </row>
    <row r="2829">
      <c r="N2829" s="28"/>
      <c r="O2829" s="28"/>
      <c r="U2829" s="28"/>
    </row>
    <row r="2830">
      <c r="N2830" s="28"/>
      <c r="O2830" s="28"/>
      <c r="U2830" s="28"/>
    </row>
    <row r="2831">
      <c r="N2831" s="28"/>
      <c r="O2831" s="28"/>
      <c r="U2831" s="28"/>
    </row>
    <row r="2832">
      <c r="N2832" s="28"/>
      <c r="O2832" s="28"/>
      <c r="U2832" s="28"/>
    </row>
    <row r="2833">
      <c r="N2833" s="28"/>
      <c r="O2833" s="28"/>
      <c r="U2833" s="28"/>
    </row>
    <row r="2834">
      <c r="N2834" s="28"/>
      <c r="O2834" s="28"/>
      <c r="U2834" s="28"/>
    </row>
    <row r="2835">
      <c r="N2835" s="28"/>
      <c r="O2835" s="28"/>
      <c r="U2835" s="28"/>
    </row>
    <row r="2836">
      <c r="N2836" s="28"/>
      <c r="O2836" s="28"/>
      <c r="U2836" s="28"/>
    </row>
    <row r="2837">
      <c r="N2837" s="28"/>
      <c r="O2837" s="28"/>
      <c r="U2837" s="28"/>
    </row>
    <row r="2838">
      <c r="N2838" s="28"/>
      <c r="O2838" s="28"/>
      <c r="U2838" s="28"/>
    </row>
    <row r="2839">
      <c r="N2839" s="28"/>
      <c r="O2839" s="28"/>
      <c r="U2839" s="28"/>
    </row>
    <row r="2840">
      <c r="N2840" s="28"/>
      <c r="O2840" s="28"/>
      <c r="U2840" s="28"/>
    </row>
    <row r="2841">
      <c r="N2841" s="28"/>
      <c r="O2841" s="28"/>
      <c r="U2841" s="28"/>
    </row>
    <row r="2842">
      <c r="N2842" s="28"/>
      <c r="O2842" s="28"/>
      <c r="U2842" s="28"/>
    </row>
    <row r="2843">
      <c r="N2843" s="28"/>
      <c r="O2843" s="28"/>
      <c r="U2843" s="28"/>
    </row>
    <row r="2844">
      <c r="N2844" s="28"/>
      <c r="O2844" s="28"/>
      <c r="U2844" s="28"/>
    </row>
    <row r="2845">
      <c r="N2845" s="28"/>
      <c r="O2845" s="28"/>
      <c r="U2845" s="28"/>
    </row>
    <row r="2846">
      <c r="N2846" s="28"/>
      <c r="O2846" s="28"/>
      <c r="U2846" s="28"/>
    </row>
    <row r="2847">
      <c r="N2847" s="28"/>
      <c r="O2847" s="28"/>
      <c r="U2847" s="28"/>
    </row>
    <row r="2848">
      <c r="N2848" s="28"/>
      <c r="O2848" s="28"/>
      <c r="U2848" s="28"/>
    </row>
    <row r="2849">
      <c r="N2849" s="28"/>
      <c r="O2849" s="28"/>
      <c r="U2849" s="28"/>
    </row>
    <row r="2850">
      <c r="N2850" s="28"/>
      <c r="O2850" s="28"/>
      <c r="U2850" s="28"/>
    </row>
    <row r="2851">
      <c r="N2851" s="28"/>
      <c r="O2851" s="28"/>
      <c r="U2851" s="28"/>
    </row>
    <row r="2852">
      <c r="N2852" s="28"/>
      <c r="O2852" s="28"/>
      <c r="U2852" s="28"/>
    </row>
    <row r="2853">
      <c r="N2853" s="28"/>
      <c r="O2853" s="28"/>
      <c r="U2853" s="28"/>
    </row>
    <row r="2854">
      <c r="N2854" s="28"/>
      <c r="O2854" s="28"/>
      <c r="U2854" s="28"/>
    </row>
    <row r="2855">
      <c r="N2855" s="28"/>
      <c r="O2855" s="28"/>
      <c r="U2855" s="28"/>
    </row>
    <row r="2856">
      <c r="N2856" s="28"/>
      <c r="O2856" s="28"/>
      <c r="U2856" s="28"/>
    </row>
    <row r="2857">
      <c r="N2857" s="28"/>
      <c r="O2857" s="28"/>
      <c r="U2857" s="28"/>
    </row>
    <row r="2858">
      <c r="N2858" s="28"/>
      <c r="O2858" s="28"/>
      <c r="U2858" s="28"/>
    </row>
    <row r="2859">
      <c r="N2859" s="28"/>
      <c r="O2859" s="28"/>
      <c r="U2859" s="28"/>
    </row>
    <row r="2860">
      <c r="N2860" s="28"/>
      <c r="O2860" s="28"/>
      <c r="U2860" s="28"/>
    </row>
    <row r="2861">
      <c r="N2861" s="28"/>
      <c r="O2861" s="28"/>
      <c r="U2861" s="28"/>
    </row>
    <row r="2862">
      <c r="N2862" s="28"/>
      <c r="O2862" s="28"/>
      <c r="U2862" s="28"/>
    </row>
    <row r="2863">
      <c r="N2863" s="28"/>
      <c r="O2863" s="28"/>
      <c r="U2863" s="28"/>
    </row>
    <row r="2864">
      <c r="N2864" s="28"/>
      <c r="O2864" s="28"/>
      <c r="U2864" s="28"/>
    </row>
    <row r="2865">
      <c r="N2865" s="28"/>
      <c r="O2865" s="28"/>
      <c r="U2865" s="28"/>
    </row>
    <row r="2866">
      <c r="N2866" s="28"/>
      <c r="O2866" s="28"/>
      <c r="U2866" s="28"/>
    </row>
    <row r="2867">
      <c r="N2867" s="28"/>
      <c r="O2867" s="28"/>
      <c r="U2867" s="28"/>
    </row>
    <row r="2868">
      <c r="N2868" s="28"/>
      <c r="O2868" s="28"/>
      <c r="U2868" s="28"/>
    </row>
    <row r="2869">
      <c r="N2869" s="28"/>
      <c r="O2869" s="28"/>
      <c r="U2869" s="28"/>
    </row>
    <row r="2870">
      <c r="N2870" s="28"/>
      <c r="O2870" s="28"/>
      <c r="U2870" s="28"/>
    </row>
    <row r="2871">
      <c r="N2871" s="28"/>
      <c r="O2871" s="28"/>
      <c r="U2871" s="28"/>
    </row>
    <row r="2872">
      <c r="N2872" s="28"/>
      <c r="O2872" s="28"/>
      <c r="U2872" s="28"/>
    </row>
    <row r="2873">
      <c r="N2873" s="28"/>
      <c r="O2873" s="28"/>
      <c r="U2873" s="28"/>
    </row>
    <row r="2874">
      <c r="N2874" s="28"/>
      <c r="O2874" s="28"/>
      <c r="U2874" s="28"/>
    </row>
    <row r="2875">
      <c r="N2875" s="28"/>
      <c r="O2875" s="28"/>
      <c r="U2875" s="28"/>
    </row>
    <row r="2876">
      <c r="N2876" s="28"/>
      <c r="O2876" s="28"/>
      <c r="U2876" s="28"/>
    </row>
    <row r="2877">
      <c r="N2877" s="28"/>
      <c r="O2877" s="28"/>
      <c r="U2877" s="28"/>
    </row>
    <row r="2878">
      <c r="N2878" s="28"/>
      <c r="O2878" s="28"/>
      <c r="U2878" s="28"/>
    </row>
    <row r="2879">
      <c r="N2879" s="28"/>
      <c r="O2879" s="28"/>
      <c r="U2879" s="28"/>
    </row>
    <row r="2880">
      <c r="N2880" s="28"/>
      <c r="O2880" s="28"/>
      <c r="U2880" s="28"/>
    </row>
    <row r="2881">
      <c r="N2881" s="28"/>
      <c r="O2881" s="28"/>
      <c r="U2881" s="28"/>
    </row>
    <row r="2882">
      <c r="N2882" s="28"/>
      <c r="O2882" s="28"/>
      <c r="U2882" s="28"/>
    </row>
    <row r="2883">
      <c r="N2883" s="28"/>
      <c r="O2883" s="28"/>
      <c r="U2883" s="28"/>
    </row>
    <row r="2884">
      <c r="N2884" s="28"/>
      <c r="O2884" s="28"/>
      <c r="U2884" s="28"/>
    </row>
    <row r="2885">
      <c r="N2885" s="28"/>
      <c r="O2885" s="28"/>
      <c r="U2885" s="28"/>
    </row>
    <row r="2886">
      <c r="N2886" s="28"/>
      <c r="O2886" s="28"/>
      <c r="U2886" s="28"/>
    </row>
    <row r="2887">
      <c r="N2887" s="28"/>
      <c r="O2887" s="28"/>
      <c r="U2887" s="28"/>
    </row>
    <row r="2888">
      <c r="N2888" s="28"/>
      <c r="O2888" s="28"/>
      <c r="U2888" s="28"/>
    </row>
    <row r="2889">
      <c r="N2889" s="28"/>
      <c r="O2889" s="28"/>
      <c r="U2889" s="28"/>
    </row>
    <row r="2890">
      <c r="N2890" s="28"/>
      <c r="O2890" s="28"/>
      <c r="U2890" s="28"/>
    </row>
    <row r="2891">
      <c r="N2891" s="28"/>
      <c r="O2891" s="28"/>
      <c r="U2891" s="28"/>
    </row>
    <row r="2892">
      <c r="N2892" s="28"/>
      <c r="O2892" s="28"/>
      <c r="U2892" s="28"/>
    </row>
    <row r="2893">
      <c r="N2893" s="28"/>
      <c r="O2893" s="28"/>
      <c r="U2893" s="28"/>
    </row>
    <row r="2894">
      <c r="N2894" s="28"/>
      <c r="O2894" s="28"/>
      <c r="U2894" s="28"/>
    </row>
    <row r="2895">
      <c r="N2895" s="28"/>
      <c r="O2895" s="28"/>
      <c r="U2895" s="28"/>
    </row>
    <row r="2896">
      <c r="N2896" s="28"/>
      <c r="O2896" s="28"/>
      <c r="U2896" s="28"/>
    </row>
    <row r="2897">
      <c r="N2897" s="28"/>
      <c r="O2897" s="28"/>
      <c r="U2897" s="28"/>
    </row>
    <row r="2898">
      <c r="N2898" s="28"/>
      <c r="O2898" s="28"/>
      <c r="U2898" s="28"/>
    </row>
    <row r="2899">
      <c r="N2899" s="28"/>
      <c r="O2899" s="28"/>
      <c r="U2899" s="28"/>
    </row>
    <row r="2900">
      <c r="N2900" s="28"/>
      <c r="O2900" s="28"/>
      <c r="U2900" s="28"/>
    </row>
    <row r="2901">
      <c r="N2901" s="28"/>
      <c r="O2901" s="28"/>
      <c r="U2901" s="28"/>
    </row>
    <row r="2902">
      <c r="N2902" s="28"/>
      <c r="O2902" s="28"/>
      <c r="U2902" s="28"/>
    </row>
    <row r="2903">
      <c r="N2903" s="28"/>
      <c r="O2903" s="28"/>
      <c r="U2903" s="28"/>
    </row>
    <row r="2904">
      <c r="N2904" s="28"/>
      <c r="O2904" s="28"/>
      <c r="U2904" s="28"/>
    </row>
    <row r="2905">
      <c r="N2905" s="28"/>
      <c r="O2905" s="28"/>
      <c r="U2905" s="28"/>
    </row>
    <row r="2906">
      <c r="N2906" s="28"/>
      <c r="O2906" s="28"/>
      <c r="U2906" s="28"/>
    </row>
    <row r="2907">
      <c r="N2907" s="28"/>
      <c r="O2907" s="28"/>
      <c r="U2907" s="28"/>
    </row>
    <row r="2908">
      <c r="N2908" s="28"/>
      <c r="O2908" s="28"/>
      <c r="U2908" s="28"/>
    </row>
    <row r="2909">
      <c r="N2909" s="28"/>
      <c r="O2909" s="28"/>
      <c r="U2909" s="28"/>
    </row>
    <row r="2910">
      <c r="N2910" s="28"/>
      <c r="O2910" s="28"/>
      <c r="U2910" s="28"/>
    </row>
    <row r="2911">
      <c r="N2911" s="28"/>
      <c r="O2911" s="28"/>
      <c r="U2911" s="28"/>
    </row>
    <row r="2912">
      <c r="N2912" s="28"/>
      <c r="O2912" s="28"/>
      <c r="U2912" s="28"/>
    </row>
    <row r="2913">
      <c r="N2913" s="28"/>
      <c r="O2913" s="28"/>
      <c r="U2913" s="28"/>
    </row>
    <row r="2914">
      <c r="N2914" s="28"/>
      <c r="O2914" s="28"/>
      <c r="U2914" s="28"/>
    </row>
    <row r="2915">
      <c r="N2915" s="28"/>
      <c r="O2915" s="28"/>
      <c r="U2915" s="28"/>
    </row>
    <row r="2916">
      <c r="N2916" s="28"/>
      <c r="O2916" s="28"/>
      <c r="U2916" s="28"/>
    </row>
    <row r="2917">
      <c r="N2917" s="28"/>
      <c r="O2917" s="28"/>
      <c r="U2917" s="28"/>
    </row>
    <row r="2918">
      <c r="N2918" s="28"/>
      <c r="O2918" s="28"/>
      <c r="U2918" s="28"/>
    </row>
    <row r="2919">
      <c r="N2919" s="28"/>
      <c r="O2919" s="28"/>
      <c r="U2919" s="28"/>
    </row>
    <row r="2920">
      <c r="N2920" s="28"/>
      <c r="O2920" s="28"/>
      <c r="U2920" s="28"/>
    </row>
    <row r="2921">
      <c r="N2921" s="28"/>
      <c r="O2921" s="28"/>
      <c r="U2921" s="28"/>
    </row>
    <row r="2922">
      <c r="N2922" s="28"/>
      <c r="O2922" s="28"/>
      <c r="U2922" s="28"/>
    </row>
    <row r="2923">
      <c r="N2923" s="28"/>
      <c r="O2923" s="28"/>
      <c r="U2923" s="28"/>
    </row>
    <row r="2924">
      <c r="N2924" s="28"/>
      <c r="O2924" s="28"/>
      <c r="U2924" s="28"/>
    </row>
    <row r="2925">
      <c r="N2925" s="28"/>
      <c r="O2925" s="28"/>
      <c r="U2925" s="28"/>
    </row>
    <row r="2926">
      <c r="N2926" s="28"/>
      <c r="O2926" s="28"/>
      <c r="U2926" s="28"/>
    </row>
    <row r="2927">
      <c r="N2927" s="28"/>
      <c r="O2927" s="28"/>
      <c r="U2927" s="28"/>
    </row>
    <row r="2928">
      <c r="N2928" s="28"/>
      <c r="O2928" s="28"/>
      <c r="U2928" s="28"/>
    </row>
    <row r="2929">
      <c r="N2929" s="28"/>
      <c r="O2929" s="28"/>
      <c r="U2929" s="28"/>
    </row>
    <row r="2930">
      <c r="N2930" s="28"/>
      <c r="O2930" s="28"/>
      <c r="U2930" s="28"/>
    </row>
    <row r="2931">
      <c r="N2931" s="28"/>
      <c r="O2931" s="28"/>
      <c r="U2931" s="28"/>
    </row>
    <row r="2932">
      <c r="N2932" s="28"/>
      <c r="O2932" s="28"/>
      <c r="U2932" s="28"/>
    </row>
    <row r="2933">
      <c r="N2933" s="28"/>
      <c r="O2933" s="28"/>
      <c r="U2933" s="28"/>
    </row>
    <row r="2934">
      <c r="N2934" s="28"/>
      <c r="O2934" s="28"/>
      <c r="U2934" s="28"/>
    </row>
    <row r="2935">
      <c r="N2935" s="28"/>
      <c r="O2935" s="28"/>
      <c r="U2935" s="28"/>
    </row>
    <row r="2936">
      <c r="N2936" s="28"/>
      <c r="O2936" s="28"/>
      <c r="U2936" s="28"/>
    </row>
    <row r="2937">
      <c r="N2937" s="28"/>
      <c r="O2937" s="28"/>
      <c r="U2937" s="28"/>
    </row>
    <row r="2938">
      <c r="N2938" s="28"/>
      <c r="O2938" s="28"/>
      <c r="U2938" s="28"/>
    </row>
    <row r="2939">
      <c r="N2939" s="28"/>
      <c r="O2939" s="28"/>
      <c r="U2939" s="28"/>
    </row>
    <row r="2940">
      <c r="N2940" s="28"/>
      <c r="O2940" s="28"/>
      <c r="U2940" s="28"/>
    </row>
    <row r="2941">
      <c r="N2941" s="28"/>
      <c r="O2941" s="28"/>
      <c r="U2941" s="28"/>
    </row>
    <row r="2942">
      <c r="N2942" s="28"/>
      <c r="O2942" s="28"/>
      <c r="U2942" s="28"/>
    </row>
    <row r="2943">
      <c r="N2943" s="28"/>
      <c r="O2943" s="28"/>
      <c r="U2943" s="28"/>
    </row>
    <row r="2944">
      <c r="N2944" s="28"/>
      <c r="O2944" s="28"/>
      <c r="U2944" s="28"/>
    </row>
    <row r="2945">
      <c r="N2945" s="28"/>
      <c r="O2945" s="28"/>
      <c r="U2945" s="28"/>
    </row>
    <row r="2946">
      <c r="N2946" s="28"/>
      <c r="O2946" s="28"/>
      <c r="U2946" s="28"/>
    </row>
    <row r="2947">
      <c r="N2947" s="28"/>
      <c r="O2947" s="28"/>
      <c r="U2947" s="28"/>
    </row>
    <row r="2948">
      <c r="N2948" s="28"/>
      <c r="O2948" s="28"/>
      <c r="U2948" s="28"/>
    </row>
    <row r="2949">
      <c r="N2949" s="28"/>
      <c r="O2949" s="28"/>
      <c r="U2949" s="28"/>
    </row>
    <row r="2950">
      <c r="N2950" s="28"/>
      <c r="O2950" s="28"/>
      <c r="U2950" s="28"/>
    </row>
    <row r="2951">
      <c r="N2951" s="28"/>
      <c r="O2951" s="28"/>
      <c r="U2951" s="28"/>
    </row>
    <row r="2952">
      <c r="N2952" s="28"/>
      <c r="O2952" s="28"/>
      <c r="U2952" s="28"/>
    </row>
    <row r="2953">
      <c r="N2953" s="28"/>
      <c r="O2953" s="28"/>
      <c r="U2953" s="28"/>
    </row>
    <row r="2954">
      <c r="N2954" s="28"/>
      <c r="O2954" s="28"/>
      <c r="U2954" s="28"/>
    </row>
    <row r="2955">
      <c r="N2955" s="28"/>
      <c r="O2955" s="28"/>
      <c r="U2955" s="28"/>
    </row>
    <row r="2956">
      <c r="N2956" s="28"/>
      <c r="O2956" s="28"/>
      <c r="U2956" s="28"/>
    </row>
    <row r="2957">
      <c r="N2957" s="28"/>
      <c r="O2957" s="28"/>
      <c r="U2957" s="28"/>
    </row>
    <row r="2958">
      <c r="N2958" s="28"/>
      <c r="O2958" s="28"/>
      <c r="U2958" s="28"/>
    </row>
    <row r="2959">
      <c r="N2959" s="28"/>
      <c r="O2959" s="28"/>
      <c r="U2959" s="28"/>
    </row>
    <row r="2960">
      <c r="N2960" s="28"/>
      <c r="O2960" s="28"/>
      <c r="U2960" s="28"/>
    </row>
    <row r="2961">
      <c r="N2961" s="28"/>
      <c r="O2961" s="28"/>
      <c r="U2961" s="28"/>
    </row>
    <row r="2962">
      <c r="N2962" s="28"/>
      <c r="O2962" s="28"/>
      <c r="U2962" s="28"/>
    </row>
    <row r="2963">
      <c r="N2963" s="28"/>
      <c r="O2963" s="28"/>
      <c r="U2963" s="28"/>
    </row>
    <row r="2964">
      <c r="N2964" s="28"/>
      <c r="O2964" s="28"/>
      <c r="U2964" s="28"/>
    </row>
    <row r="2965">
      <c r="N2965" s="28"/>
      <c r="O2965" s="28"/>
      <c r="U2965" s="28"/>
    </row>
    <row r="2966">
      <c r="N2966" s="28"/>
      <c r="O2966" s="28"/>
      <c r="U2966" s="28"/>
    </row>
    <row r="2967">
      <c r="N2967" s="28"/>
      <c r="O2967" s="28"/>
      <c r="U2967" s="28"/>
    </row>
    <row r="2968">
      <c r="N2968" s="28"/>
      <c r="O2968" s="28"/>
      <c r="U2968" s="28"/>
    </row>
    <row r="2969">
      <c r="N2969" s="28"/>
      <c r="O2969" s="28"/>
      <c r="U2969" s="28"/>
    </row>
    <row r="2970">
      <c r="N2970" s="28"/>
      <c r="O2970" s="28"/>
      <c r="U2970" s="28"/>
    </row>
    <row r="2971">
      <c r="N2971" s="28"/>
      <c r="O2971" s="28"/>
      <c r="U2971" s="28"/>
    </row>
    <row r="2972">
      <c r="N2972" s="28"/>
      <c r="O2972" s="28"/>
      <c r="U2972" s="28"/>
    </row>
    <row r="2973">
      <c r="N2973" s="28"/>
      <c r="O2973" s="28"/>
      <c r="U2973" s="28"/>
    </row>
    <row r="2974">
      <c r="N2974" s="28"/>
      <c r="O2974" s="28"/>
      <c r="U2974" s="28"/>
    </row>
    <row r="2975">
      <c r="N2975" s="28"/>
      <c r="O2975" s="28"/>
      <c r="U2975" s="28"/>
    </row>
    <row r="2976">
      <c r="N2976" s="28"/>
      <c r="O2976" s="28"/>
      <c r="U2976" s="28"/>
    </row>
    <row r="2977">
      <c r="N2977" s="28"/>
      <c r="O2977" s="28"/>
      <c r="U2977" s="28"/>
    </row>
    <row r="2978">
      <c r="N2978" s="28"/>
      <c r="O2978" s="28"/>
      <c r="U2978" s="28"/>
    </row>
    <row r="2979">
      <c r="N2979" s="28"/>
      <c r="O2979" s="28"/>
      <c r="U2979" s="28"/>
    </row>
    <row r="2980">
      <c r="N2980" s="28"/>
      <c r="O2980" s="28"/>
      <c r="U2980" s="28"/>
    </row>
    <row r="2981">
      <c r="N2981" s="28"/>
      <c r="O2981" s="28"/>
      <c r="U2981" s="28"/>
    </row>
    <row r="2982">
      <c r="N2982" s="28"/>
      <c r="O2982" s="28"/>
      <c r="U2982" s="28"/>
    </row>
    <row r="2983">
      <c r="N2983" s="28"/>
      <c r="O2983" s="28"/>
      <c r="U2983" s="28"/>
    </row>
    <row r="2984">
      <c r="N2984" s="28"/>
      <c r="O2984" s="28"/>
      <c r="U2984" s="28"/>
    </row>
    <row r="2985">
      <c r="N2985" s="28"/>
      <c r="O2985" s="28"/>
      <c r="U2985" s="28"/>
    </row>
    <row r="2986">
      <c r="N2986" s="28"/>
      <c r="O2986" s="28"/>
      <c r="U2986" s="28"/>
    </row>
    <row r="2987">
      <c r="N2987" s="28"/>
      <c r="O2987" s="28"/>
      <c r="U2987" s="28"/>
    </row>
    <row r="2988">
      <c r="N2988" s="28"/>
      <c r="O2988" s="28"/>
      <c r="U2988" s="28"/>
    </row>
    <row r="2989">
      <c r="N2989" s="28"/>
      <c r="O2989" s="28"/>
      <c r="U2989" s="28"/>
    </row>
    <row r="2990">
      <c r="N2990" s="28"/>
      <c r="O2990" s="28"/>
      <c r="U2990" s="28"/>
    </row>
    <row r="2991">
      <c r="N2991" s="28"/>
      <c r="O2991" s="28"/>
      <c r="U2991" s="28"/>
    </row>
    <row r="2992">
      <c r="N2992" s="28"/>
      <c r="O2992" s="28"/>
      <c r="U2992" s="28"/>
    </row>
    <row r="2993">
      <c r="N2993" s="28"/>
      <c r="O2993" s="28"/>
      <c r="U2993" s="28"/>
    </row>
    <row r="2994">
      <c r="N2994" s="28"/>
      <c r="O2994" s="28"/>
      <c r="U2994" s="28"/>
    </row>
    <row r="2995">
      <c r="N2995" s="28"/>
      <c r="O2995" s="28"/>
      <c r="U2995" s="28"/>
    </row>
    <row r="2996">
      <c r="N2996" s="28"/>
      <c r="O2996" s="28"/>
      <c r="U2996" s="28"/>
    </row>
    <row r="2997">
      <c r="N2997" s="28"/>
      <c r="O2997" s="28"/>
      <c r="U2997" s="28"/>
    </row>
    <row r="2998">
      <c r="N2998" s="28"/>
      <c r="O2998" s="28"/>
      <c r="U2998" s="28"/>
    </row>
    <row r="2999">
      <c r="N2999" s="28"/>
      <c r="O2999" s="28"/>
      <c r="U2999" s="28"/>
    </row>
    <row r="3000">
      <c r="N3000" s="28"/>
      <c r="O3000" s="28"/>
      <c r="U3000" s="28"/>
    </row>
    <row r="3001">
      <c r="N3001" s="28"/>
      <c r="O3001" s="28"/>
      <c r="U3001" s="28"/>
    </row>
    <row r="3002">
      <c r="N3002" s="28"/>
      <c r="O3002" s="28"/>
      <c r="U3002" s="28"/>
    </row>
    <row r="3003">
      <c r="N3003" s="28"/>
      <c r="O3003" s="28"/>
      <c r="U3003" s="28"/>
    </row>
    <row r="3004">
      <c r="N3004" s="28"/>
      <c r="O3004" s="28"/>
      <c r="U3004" s="28"/>
    </row>
    <row r="3005">
      <c r="N3005" s="28"/>
      <c r="O3005" s="28"/>
      <c r="U3005" s="28"/>
    </row>
    <row r="3006">
      <c r="N3006" s="28"/>
      <c r="O3006" s="28"/>
      <c r="U3006" s="28"/>
    </row>
    <row r="3007">
      <c r="N3007" s="28"/>
      <c r="O3007" s="28"/>
      <c r="U3007" s="28"/>
    </row>
    <row r="3008">
      <c r="N3008" s="28"/>
      <c r="O3008" s="28"/>
      <c r="U3008" s="28"/>
    </row>
    <row r="3009">
      <c r="N3009" s="28"/>
      <c r="O3009" s="28"/>
      <c r="U3009" s="28"/>
    </row>
    <row r="3010">
      <c r="N3010" s="28"/>
      <c r="O3010" s="28"/>
      <c r="U3010" s="28"/>
    </row>
    <row r="3011">
      <c r="N3011" s="28"/>
      <c r="O3011" s="28"/>
      <c r="U3011" s="28"/>
    </row>
    <row r="3012">
      <c r="N3012" s="28"/>
      <c r="O3012" s="28"/>
      <c r="U3012" s="28"/>
    </row>
    <row r="3013">
      <c r="N3013" s="28"/>
      <c r="O3013" s="28"/>
      <c r="U3013" s="28"/>
    </row>
    <row r="3014">
      <c r="N3014" s="28"/>
      <c r="O3014" s="28"/>
      <c r="U3014" s="28"/>
    </row>
    <row r="3015">
      <c r="N3015" s="28"/>
      <c r="O3015" s="28"/>
      <c r="U3015" s="28"/>
    </row>
    <row r="3016">
      <c r="N3016" s="28"/>
      <c r="O3016" s="28"/>
      <c r="U3016" s="28"/>
    </row>
    <row r="3017">
      <c r="N3017" s="28"/>
      <c r="O3017" s="28"/>
      <c r="U3017" s="28"/>
    </row>
    <row r="3018">
      <c r="N3018" s="28"/>
      <c r="O3018" s="28"/>
      <c r="U3018" s="28"/>
    </row>
    <row r="3019">
      <c r="N3019" s="28"/>
      <c r="O3019" s="28"/>
      <c r="U3019" s="28"/>
    </row>
    <row r="3020">
      <c r="N3020" s="28"/>
      <c r="O3020" s="28"/>
      <c r="U3020" s="28"/>
    </row>
    <row r="3021">
      <c r="N3021" s="28"/>
      <c r="O3021" s="28"/>
      <c r="U3021" s="28"/>
    </row>
    <row r="3022">
      <c r="N3022" s="28"/>
      <c r="O3022" s="28"/>
      <c r="U3022" s="28"/>
    </row>
    <row r="3023">
      <c r="N3023" s="28"/>
      <c r="O3023" s="28"/>
      <c r="U3023" s="28"/>
    </row>
    <row r="3024">
      <c r="N3024" s="28"/>
      <c r="O3024" s="28"/>
      <c r="U3024" s="28"/>
    </row>
    <row r="3025">
      <c r="N3025" s="28"/>
      <c r="O3025" s="28"/>
      <c r="U3025" s="28"/>
    </row>
    <row r="3026">
      <c r="N3026" s="28"/>
      <c r="O3026" s="28"/>
      <c r="U3026" s="28"/>
    </row>
    <row r="3027">
      <c r="N3027" s="28"/>
      <c r="O3027" s="28"/>
      <c r="U3027" s="28"/>
    </row>
    <row r="3028">
      <c r="N3028" s="28"/>
      <c r="O3028" s="28"/>
      <c r="U3028" s="28"/>
    </row>
    <row r="3029">
      <c r="N3029" s="28"/>
      <c r="O3029" s="28"/>
      <c r="U3029" s="28"/>
    </row>
    <row r="3030">
      <c r="N3030" s="28"/>
      <c r="O3030" s="28"/>
      <c r="U3030" s="28"/>
    </row>
    <row r="3031">
      <c r="N3031" s="28"/>
      <c r="O3031" s="28"/>
      <c r="U3031" s="28"/>
    </row>
    <row r="3032">
      <c r="N3032" s="28"/>
      <c r="O3032" s="28"/>
      <c r="U3032" s="28"/>
    </row>
    <row r="3033">
      <c r="N3033" s="28"/>
      <c r="O3033" s="28"/>
      <c r="U3033" s="28"/>
    </row>
    <row r="3034">
      <c r="N3034" s="28"/>
      <c r="O3034" s="28"/>
      <c r="U3034" s="28"/>
    </row>
    <row r="3035">
      <c r="N3035" s="28"/>
      <c r="O3035" s="28"/>
      <c r="U3035" s="28"/>
    </row>
    <row r="3036">
      <c r="N3036" s="28"/>
      <c r="O3036" s="28"/>
      <c r="U3036" s="28"/>
    </row>
    <row r="3037">
      <c r="N3037" s="28"/>
      <c r="O3037" s="28"/>
      <c r="U3037" s="28"/>
    </row>
    <row r="3038">
      <c r="N3038" s="28"/>
      <c r="O3038" s="28"/>
      <c r="U3038" s="28"/>
    </row>
    <row r="3039">
      <c r="N3039" s="28"/>
      <c r="O3039" s="28"/>
      <c r="U3039" s="28"/>
    </row>
    <row r="3040">
      <c r="N3040" s="28"/>
      <c r="O3040" s="28"/>
      <c r="U3040" s="28"/>
    </row>
    <row r="3041">
      <c r="N3041" s="28"/>
      <c r="O3041" s="28"/>
      <c r="U3041" s="28"/>
    </row>
    <row r="3042">
      <c r="N3042" s="28"/>
      <c r="O3042" s="28"/>
      <c r="U3042" s="28"/>
    </row>
    <row r="3043">
      <c r="N3043" s="28"/>
      <c r="O3043" s="28"/>
      <c r="U3043" s="28"/>
    </row>
    <row r="3044">
      <c r="N3044" s="28"/>
      <c r="O3044" s="28"/>
      <c r="U3044" s="28"/>
    </row>
    <row r="3045">
      <c r="N3045" s="28"/>
      <c r="O3045" s="28"/>
      <c r="U3045" s="28"/>
    </row>
    <row r="3046">
      <c r="N3046" s="28"/>
      <c r="O3046" s="28"/>
      <c r="U3046" s="28"/>
    </row>
    <row r="3047">
      <c r="N3047" s="28"/>
      <c r="O3047" s="28"/>
      <c r="U3047" s="28"/>
    </row>
    <row r="3048">
      <c r="N3048" s="28"/>
      <c r="O3048" s="28"/>
      <c r="U3048" s="28"/>
    </row>
    <row r="3049">
      <c r="N3049" s="28"/>
      <c r="O3049" s="28"/>
      <c r="U3049" s="28"/>
    </row>
    <row r="3050">
      <c r="N3050" s="28"/>
      <c r="O3050" s="28"/>
      <c r="U3050" s="28"/>
    </row>
    <row r="3051">
      <c r="N3051" s="28"/>
      <c r="O3051" s="28"/>
      <c r="U3051" s="28"/>
    </row>
    <row r="3052">
      <c r="N3052" s="28"/>
      <c r="O3052" s="28"/>
      <c r="U3052" s="28"/>
    </row>
    <row r="3053">
      <c r="N3053" s="28"/>
      <c r="O3053" s="28"/>
      <c r="U3053" s="28"/>
    </row>
    <row r="3054">
      <c r="N3054" s="28"/>
      <c r="O3054" s="28"/>
      <c r="U3054" s="28"/>
    </row>
    <row r="3055">
      <c r="N3055" s="28"/>
      <c r="O3055" s="28"/>
      <c r="U3055" s="28"/>
    </row>
    <row r="3056">
      <c r="N3056" s="28"/>
      <c r="O3056" s="28"/>
      <c r="U3056" s="28"/>
    </row>
    <row r="3057">
      <c r="N3057" s="28"/>
      <c r="O3057" s="28"/>
      <c r="U3057" s="28"/>
    </row>
    <row r="3058">
      <c r="N3058" s="28"/>
      <c r="O3058" s="28"/>
      <c r="U3058" s="28"/>
    </row>
    <row r="3059">
      <c r="N3059" s="28"/>
      <c r="O3059" s="28"/>
      <c r="U3059" s="28"/>
    </row>
    <row r="3060">
      <c r="N3060" s="28"/>
      <c r="O3060" s="28"/>
      <c r="U3060" s="28"/>
    </row>
    <row r="3061">
      <c r="N3061" s="28"/>
      <c r="O3061" s="28"/>
      <c r="U3061" s="28"/>
    </row>
    <row r="3062">
      <c r="N3062" s="28"/>
      <c r="O3062" s="28"/>
      <c r="U3062" s="28"/>
    </row>
    <row r="3063">
      <c r="N3063" s="28"/>
      <c r="O3063" s="28"/>
      <c r="U3063" s="28"/>
    </row>
    <row r="3064">
      <c r="N3064" s="28"/>
      <c r="O3064" s="28"/>
      <c r="U3064" s="28"/>
    </row>
    <row r="3065">
      <c r="N3065" s="28"/>
      <c r="O3065" s="28"/>
      <c r="U3065" s="28"/>
    </row>
    <row r="3066">
      <c r="N3066" s="28"/>
      <c r="O3066" s="28"/>
      <c r="U3066" s="28"/>
    </row>
    <row r="3067">
      <c r="N3067" s="28"/>
      <c r="O3067" s="28"/>
      <c r="U3067" s="28"/>
    </row>
    <row r="3068">
      <c r="N3068" s="28"/>
      <c r="O3068" s="28"/>
      <c r="U3068" s="28"/>
    </row>
    <row r="3069">
      <c r="N3069" s="28"/>
      <c r="O3069" s="28"/>
      <c r="U3069" s="28"/>
    </row>
    <row r="3070">
      <c r="N3070" s="28"/>
      <c r="O3070" s="28"/>
      <c r="U3070" s="28"/>
    </row>
    <row r="3071">
      <c r="N3071" s="28"/>
      <c r="O3071" s="28"/>
      <c r="U3071" s="28"/>
    </row>
    <row r="3072">
      <c r="N3072" s="28"/>
      <c r="O3072" s="28"/>
      <c r="U3072" s="28"/>
    </row>
    <row r="3073">
      <c r="N3073" s="28"/>
      <c r="O3073" s="28"/>
      <c r="U3073" s="28"/>
    </row>
    <row r="3074">
      <c r="N3074" s="28"/>
      <c r="O3074" s="28"/>
      <c r="U3074" s="28"/>
    </row>
    <row r="3075">
      <c r="N3075" s="28"/>
      <c r="O3075" s="28"/>
      <c r="U3075" s="28"/>
    </row>
    <row r="3076">
      <c r="N3076" s="28"/>
      <c r="O3076" s="28"/>
      <c r="U3076" s="28"/>
    </row>
    <row r="3077">
      <c r="N3077" s="28"/>
      <c r="O3077" s="28"/>
      <c r="U3077" s="28"/>
    </row>
    <row r="3078">
      <c r="N3078" s="28"/>
      <c r="O3078" s="28"/>
      <c r="U3078" s="28"/>
    </row>
    <row r="3079">
      <c r="N3079" s="28"/>
      <c r="O3079" s="28"/>
      <c r="U3079" s="28"/>
    </row>
    <row r="3080">
      <c r="N3080" s="28"/>
      <c r="O3080" s="28"/>
      <c r="U3080" s="28"/>
    </row>
    <row r="3081">
      <c r="N3081" s="28"/>
      <c r="O3081" s="28"/>
      <c r="U3081" s="28"/>
    </row>
    <row r="3082">
      <c r="N3082" s="28"/>
      <c r="O3082" s="28"/>
      <c r="U3082" s="28"/>
    </row>
    <row r="3083">
      <c r="N3083" s="28"/>
      <c r="O3083" s="28"/>
      <c r="U3083" s="28"/>
    </row>
    <row r="3084">
      <c r="N3084" s="28"/>
      <c r="O3084" s="28"/>
      <c r="U3084" s="28"/>
    </row>
    <row r="3085">
      <c r="N3085" s="28"/>
      <c r="O3085" s="28"/>
      <c r="U3085" s="28"/>
    </row>
    <row r="3086">
      <c r="N3086" s="28"/>
      <c r="O3086" s="28"/>
      <c r="U3086" s="28"/>
    </row>
    <row r="3087">
      <c r="N3087" s="28"/>
      <c r="O3087" s="28"/>
      <c r="U3087" s="28"/>
    </row>
    <row r="3088">
      <c r="N3088" s="28"/>
      <c r="O3088" s="28"/>
      <c r="U3088" s="28"/>
    </row>
    <row r="3089">
      <c r="N3089" s="28"/>
      <c r="O3089" s="28"/>
      <c r="U3089" s="28"/>
    </row>
    <row r="3090">
      <c r="N3090" s="28"/>
      <c r="O3090" s="28"/>
      <c r="U3090" s="28"/>
    </row>
    <row r="3091">
      <c r="N3091" s="28"/>
      <c r="O3091" s="28"/>
      <c r="U3091" s="28"/>
    </row>
    <row r="3092">
      <c r="N3092" s="28"/>
      <c r="O3092" s="28"/>
      <c r="U3092" s="28"/>
    </row>
    <row r="3093">
      <c r="N3093" s="28"/>
      <c r="O3093" s="28"/>
      <c r="U3093" s="28"/>
    </row>
    <row r="3094">
      <c r="N3094" s="28"/>
      <c r="O3094" s="28"/>
      <c r="U3094" s="28"/>
    </row>
    <row r="3095">
      <c r="N3095" s="28"/>
      <c r="O3095" s="28"/>
      <c r="U3095" s="28"/>
    </row>
    <row r="3096">
      <c r="N3096" s="28"/>
      <c r="O3096" s="28"/>
      <c r="U3096" s="28"/>
    </row>
    <row r="3097">
      <c r="N3097" s="28"/>
      <c r="O3097" s="28"/>
      <c r="U3097" s="28"/>
    </row>
    <row r="3098">
      <c r="N3098" s="28"/>
      <c r="O3098" s="28"/>
      <c r="U3098" s="28"/>
    </row>
    <row r="3099">
      <c r="N3099" s="28"/>
      <c r="O3099" s="28"/>
      <c r="U3099" s="28"/>
    </row>
    <row r="3100">
      <c r="N3100" s="28"/>
      <c r="O3100" s="28"/>
      <c r="U3100" s="28"/>
    </row>
    <row r="3101">
      <c r="N3101" s="28"/>
      <c r="O3101" s="28"/>
      <c r="U3101" s="28"/>
    </row>
    <row r="3102">
      <c r="N3102" s="28"/>
      <c r="O3102" s="28"/>
      <c r="U3102" s="28"/>
    </row>
    <row r="3103">
      <c r="N3103" s="28"/>
      <c r="O3103" s="28"/>
      <c r="U3103" s="28"/>
    </row>
    <row r="3104">
      <c r="N3104" s="28"/>
      <c r="O3104" s="28"/>
      <c r="U3104" s="28"/>
    </row>
    <row r="3105">
      <c r="N3105" s="28"/>
      <c r="O3105" s="28"/>
      <c r="U3105" s="28"/>
    </row>
    <row r="3106">
      <c r="N3106" s="28"/>
      <c r="O3106" s="28"/>
      <c r="U3106" s="28"/>
    </row>
    <row r="3107">
      <c r="N3107" s="28"/>
      <c r="O3107" s="28"/>
      <c r="U3107" s="28"/>
    </row>
    <row r="3108">
      <c r="N3108" s="28"/>
      <c r="O3108" s="28"/>
      <c r="U3108" s="28"/>
    </row>
    <row r="3109">
      <c r="N3109" s="28"/>
      <c r="O3109" s="28"/>
      <c r="U3109" s="28"/>
    </row>
    <row r="3110">
      <c r="N3110" s="28"/>
      <c r="O3110" s="28"/>
      <c r="U3110" s="28"/>
    </row>
    <row r="3111">
      <c r="N3111" s="28"/>
      <c r="O3111" s="28"/>
      <c r="U3111" s="28"/>
    </row>
    <row r="3112">
      <c r="N3112" s="28"/>
      <c r="O3112" s="28"/>
      <c r="U3112" s="28"/>
    </row>
    <row r="3113">
      <c r="N3113" s="28"/>
      <c r="O3113" s="28"/>
      <c r="U3113" s="28"/>
    </row>
    <row r="3114">
      <c r="N3114" s="28"/>
      <c r="O3114" s="28"/>
      <c r="U3114" s="28"/>
    </row>
    <row r="3115">
      <c r="N3115" s="28"/>
      <c r="O3115" s="28"/>
      <c r="U3115" s="28"/>
    </row>
    <row r="3116">
      <c r="N3116" s="28"/>
      <c r="O3116" s="28"/>
      <c r="U3116" s="28"/>
    </row>
    <row r="3117">
      <c r="N3117" s="28"/>
      <c r="O3117" s="28"/>
      <c r="U3117" s="28"/>
    </row>
    <row r="3118">
      <c r="N3118" s="28"/>
      <c r="O3118" s="28"/>
      <c r="U3118" s="28"/>
    </row>
    <row r="3119">
      <c r="N3119" s="28"/>
      <c r="O3119" s="28"/>
      <c r="U3119" s="28"/>
    </row>
    <row r="3120">
      <c r="N3120" s="28"/>
      <c r="O3120" s="28"/>
      <c r="U3120" s="28"/>
    </row>
    <row r="3121">
      <c r="N3121" s="28"/>
      <c r="O3121" s="28"/>
      <c r="U3121" s="28"/>
    </row>
    <row r="3122">
      <c r="N3122" s="28"/>
      <c r="O3122" s="28"/>
      <c r="U3122" s="28"/>
    </row>
    <row r="3123">
      <c r="N3123" s="28"/>
      <c r="O3123" s="28"/>
      <c r="U3123" s="28"/>
    </row>
    <row r="3124">
      <c r="N3124" s="28"/>
      <c r="O3124" s="28"/>
      <c r="U3124" s="28"/>
    </row>
    <row r="3125">
      <c r="N3125" s="28"/>
      <c r="O3125" s="28"/>
      <c r="U3125" s="28"/>
    </row>
    <row r="3126">
      <c r="N3126" s="28"/>
      <c r="O3126" s="28"/>
      <c r="U3126" s="28"/>
    </row>
    <row r="3127">
      <c r="N3127" s="28"/>
      <c r="O3127" s="28"/>
      <c r="U3127" s="28"/>
    </row>
    <row r="3128">
      <c r="N3128" s="28"/>
      <c r="O3128" s="28"/>
      <c r="U3128" s="28"/>
    </row>
    <row r="3129">
      <c r="N3129" s="28"/>
      <c r="O3129" s="28"/>
      <c r="U3129" s="28"/>
    </row>
    <row r="3130">
      <c r="N3130" s="28"/>
      <c r="O3130" s="28"/>
      <c r="U3130" s="28"/>
    </row>
    <row r="3131">
      <c r="N3131" s="28"/>
      <c r="O3131" s="28"/>
      <c r="U3131" s="28"/>
    </row>
    <row r="3132">
      <c r="N3132" s="28"/>
      <c r="O3132" s="28"/>
      <c r="U3132" s="28"/>
    </row>
    <row r="3133">
      <c r="N3133" s="28"/>
      <c r="O3133" s="28"/>
      <c r="U3133" s="28"/>
    </row>
    <row r="3134">
      <c r="N3134" s="28"/>
      <c r="O3134" s="28"/>
      <c r="U3134" s="28"/>
    </row>
    <row r="3135">
      <c r="N3135" s="28"/>
      <c r="O3135" s="28"/>
      <c r="U3135" s="28"/>
    </row>
    <row r="3136">
      <c r="N3136" s="28"/>
      <c r="O3136" s="28"/>
      <c r="U3136" s="28"/>
    </row>
    <row r="3137">
      <c r="N3137" s="28"/>
      <c r="O3137" s="28"/>
      <c r="U3137" s="28"/>
    </row>
    <row r="3138">
      <c r="N3138" s="28"/>
      <c r="O3138" s="28"/>
      <c r="U3138" s="28"/>
    </row>
    <row r="3139">
      <c r="N3139" s="28"/>
      <c r="O3139" s="28"/>
      <c r="U3139" s="28"/>
    </row>
    <row r="3140">
      <c r="N3140" s="28"/>
      <c r="O3140" s="28"/>
      <c r="U3140" s="28"/>
    </row>
    <row r="3141">
      <c r="N3141" s="28"/>
      <c r="O3141" s="28"/>
      <c r="U3141" s="28"/>
    </row>
    <row r="3142">
      <c r="N3142" s="28"/>
      <c r="O3142" s="28"/>
      <c r="U3142" s="28"/>
    </row>
    <row r="3143">
      <c r="N3143" s="28"/>
      <c r="O3143" s="28"/>
      <c r="U3143" s="28"/>
    </row>
    <row r="3144">
      <c r="N3144" s="28"/>
      <c r="O3144" s="28"/>
      <c r="U3144" s="28"/>
    </row>
    <row r="3145">
      <c r="N3145" s="28"/>
      <c r="O3145" s="28"/>
      <c r="U3145" s="28"/>
    </row>
    <row r="3146">
      <c r="N3146" s="28"/>
      <c r="O3146" s="28"/>
      <c r="U3146" s="28"/>
    </row>
    <row r="3147">
      <c r="N3147" s="28"/>
      <c r="O3147" s="28"/>
      <c r="U3147" s="28"/>
    </row>
    <row r="3148">
      <c r="N3148" s="28"/>
      <c r="O3148" s="28"/>
      <c r="U3148" s="28"/>
    </row>
    <row r="3149">
      <c r="N3149" s="28"/>
      <c r="O3149" s="28"/>
      <c r="U3149" s="28"/>
    </row>
    <row r="3150">
      <c r="N3150" s="28"/>
      <c r="O3150" s="28"/>
      <c r="U3150" s="28"/>
    </row>
    <row r="3151">
      <c r="N3151" s="28"/>
      <c r="O3151" s="28"/>
      <c r="U3151" s="28"/>
    </row>
    <row r="3152">
      <c r="N3152" s="28"/>
      <c r="O3152" s="28"/>
      <c r="U3152" s="28"/>
    </row>
    <row r="3153">
      <c r="N3153" s="28"/>
      <c r="O3153" s="28"/>
      <c r="U3153" s="28"/>
    </row>
    <row r="3154">
      <c r="N3154" s="28"/>
      <c r="O3154" s="28"/>
      <c r="U3154" s="28"/>
    </row>
    <row r="3155">
      <c r="N3155" s="28"/>
      <c r="O3155" s="28"/>
      <c r="U3155" s="28"/>
    </row>
    <row r="3156">
      <c r="N3156" s="28"/>
      <c r="O3156" s="28"/>
      <c r="U3156" s="28"/>
    </row>
    <row r="3157">
      <c r="N3157" s="28"/>
      <c r="O3157" s="28"/>
      <c r="U3157" s="28"/>
    </row>
    <row r="3158">
      <c r="N3158" s="28"/>
      <c r="O3158" s="28"/>
      <c r="U3158" s="28"/>
    </row>
    <row r="3159">
      <c r="N3159" s="28"/>
      <c r="O3159" s="28"/>
      <c r="U3159" s="28"/>
    </row>
    <row r="3160">
      <c r="N3160" s="28"/>
      <c r="O3160" s="28"/>
      <c r="U3160" s="28"/>
    </row>
    <row r="3161">
      <c r="N3161" s="28"/>
      <c r="O3161" s="28"/>
      <c r="U3161" s="28"/>
    </row>
    <row r="3162">
      <c r="N3162" s="28"/>
      <c r="O3162" s="28"/>
      <c r="U3162" s="28"/>
    </row>
    <row r="3163">
      <c r="N3163" s="28"/>
      <c r="O3163" s="28"/>
      <c r="U3163" s="28"/>
    </row>
    <row r="3164">
      <c r="N3164" s="28"/>
      <c r="O3164" s="28"/>
      <c r="U3164" s="28"/>
    </row>
    <row r="3165">
      <c r="N3165" s="28"/>
      <c r="O3165" s="28"/>
      <c r="U3165" s="28"/>
    </row>
    <row r="3166">
      <c r="N3166" s="28"/>
      <c r="O3166" s="28"/>
      <c r="U3166" s="28"/>
    </row>
    <row r="3167">
      <c r="N3167" s="28"/>
      <c r="O3167" s="28"/>
      <c r="U3167" s="28"/>
    </row>
    <row r="3168">
      <c r="N3168" s="28"/>
      <c r="O3168" s="28"/>
      <c r="U3168" s="28"/>
    </row>
    <row r="3169">
      <c r="N3169" s="28"/>
      <c r="O3169" s="28"/>
      <c r="U3169" s="28"/>
    </row>
    <row r="3170">
      <c r="N3170" s="28"/>
      <c r="O3170" s="28"/>
      <c r="U3170" s="28"/>
    </row>
    <row r="3171">
      <c r="N3171" s="28"/>
      <c r="O3171" s="28"/>
      <c r="U3171" s="28"/>
    </row>
    <row r="3172">
      <c r="N3172" s="28"/>
      <c r="O3172" s="28"/>
      <c r="U3172" s="28"/>
    </row>
    <row r="3173">
      <c r="N3173" s="28"/>
      <c r="O3173" s="28"/>
      <c r="U3173" s="28"/>
    </row>
    <row r="3174">
      <c r="N3174" s="28"/>
      <c r="O3174" s="28"/>
      <c r="U3174" s="28"/>
    </row>
    <row r="3175">
      <c r="N3175" s="28"/>
      <c r="O3175" s="28"/>
      <c r="U3175" s="28"/>
    </row>
    <row r="3176">
      <c r="N3176" s="28"/>
      <c r="O3176" s="28"/>
      <c r="U3176" s="28"/>
    </row>
    <row r="3177">
      <c r="N3177" s="28"/>
      <c r="O3177" s="28"/>
      <c r="U3177" s="28"/>
    </row>
    <row r="3178">
      <c r="N3178" s="28"/>
      <c r="O3178" s="28"/>
      <c r="U3178" s="28"/>
    </row>
    <row r="3179">
      <c r="N3179" s="28"/>
      <c r="O3179" s="28"/>
      <c r="U3179" s="28"/>
    </row>
    <row r="3180">
      <c r="N3180" s="28"/>
      <c r="O3180" s="28"/>
      <c r="U3180" s="28"/>
    </row>
    <row r="3181">
      <c r="N3181" s="28"/>
      <c r="O3181" s="28"/>
      <c r="U3181" s="28"/>
    </row>
    <row r="3182">
      <c r="N3182" s="28"/>
      <c r="O3182" s="28"/>
      <c r="U3182" s="28"/>
    </row>
    <row r="3183">
      <c r="N3183" s="28"/>
      <c r="O3183" s="28"/>
      <c r="U3183" s="28"/>
    </row>
    <row r="3184">
      <c r="N3184" s="28"/>
      <c r="O3184" s="28"/>
      <c r="U3184" s="28"/>
    </row>
    <row r="3185">
      <c r="N3185" s="28"/>
      <c r="O3185" s="28"/>
      <c r="U3185" s="28"/>
    </row>
    <row r="3186">
      <c r="N3186" s="28"/>
      <c r="O3186" s="28"/>
      <c r="U3186" s="28"/>
    </row>
    <row r="3187">
      <c r="N3187" s="28"/>
      <c r="O3187" s="28"/>
      <c r="U3187" s="28"/>
    </row>
    <row r="3188">
      <c r="N3188" s="28"/>
      <c r="O3188" s="28"/>
      <c r="U3188" s="28"/>
    </row>
    <row r="3189">
      <c r="N3189" s="28"/>
      <c r="O3189" s="28"/>
      <c r="U3189" s="28"/>
    </row>
    <row r="3190">
      <c r="N3190" s="28"/>
      <c r="O3190" s="28"/>
      <c r="U3190" s="28"/>
    </row>
    <row r="3191">
      <c r="N3191" s="28"/>
      <c r="O3191" s="28"/>
      <c r="U3191" s="28"/>
    </row>
    <row r="3192">
      <c r="N3192" s="28"/>
      <c r="O3192" s="28"/>
      <c r="U3192" s="28"/>
    </row>
    <row r="3193">
      <c r="N3193" s="28"/>
      <c r="O3193" s="28"/>
      <c r="U3193" s="28"/>
    </row>
    <row r="3194">
      <c r="N3194" s="28"/>
      <c r="O3194" s="28"/>
      <c r="U3194" s="28"/>
    </row>
    <row r="3195">
      <c r="N3195" s="28"/>
      <c r="O3195" s="28"/>
      <c r="U3195" s="28"/>
    </row>
    <row r="3196">
      <c r="N3196" s="28"/>
      <c r="O3196" s="28"/>
      <c r="U3196" s="28"/>
    </row>
    <row r="3197">
      <c r="N3197" s="28"/>
      <c r="O3197" s="28"/>
      <c r="U3197" s="28"/>
    </row>
    <row r="3198">
      <c r="N3198" s="28"/>
      <c r="O3198" s="28"/>
      <c r="U3198" s="28"/>
    </row>
    <row r="3199">
      <c r="N3199" s="28"/>
      <c r="O3199" s="28"/>
      <c r="U3199" s="28"/>
    </row>
    <row r="3200">
      <c r="N3200" s="28"/>
      <c r="O3200" s="28"/>
      <c r="U3200" s="28"/>
    </row>
    <row r="3201">
      <c r="N3201" s="28"/>
      <c r="O3201" s="28"/>
      <c r="U3201" s="28"/>
    </row>
    <row r="3202">
      <c r="N3202" s="28"/>
      <c r="O3202" s="28"/>
      <c r="U3202" s="28"/>
    </row>
    <row r="3203">
      <c r="N3203" s="28"/>
      <c r="O3203" s="28"/>
      <c r="U3203" s="28"/>
    </row>
    <row r="3204">
      <c r="N3204" s="28"/>
      <c r="O3204" s="28"/>
      <c r="U3204" s="28"/>
    </row>
    <row r="3205">
      <c r="N3205" s="28"/>
      <c r="O3205" s="28"/>
      <c r="U3205" s="28"/>
    </row>
    <row r="3206">
      <c r="N3206" s="28"/>
      <c r="O3206" s="28"/>
      <c r="U3206" s="28"/>
    </row>
    <row r="3207">
      <c r="N3207" s="28"/>
      <c r="O3207" s="28"/>
      <c r="U3207" s="28"/>
    </row>
    <row r="3208">
      <c r="N3208" s="28"/>
      <c r="O3208" s="28"/>
      <c r="U3208" s="28"/>
    </row>
    <row r="3209">
      <c r="N3209" s="28"/>
      <c r="O3209" s="28"/>
      <c r="U3209" s="28"/>
    </row>
    <row r="3210">
      <c r="N3210" s="28"/>
      <c r="O3210" s="28"/>
      <c r="U3210" s="28"/>
    </row>
    <row r="3211">
      <c r="N3211" s="28"/>
      <c r="O3211" s="28"/>
      <c r="U3211" s="28"/>
    </row>
    <row r="3212">
      <c r="N3212" s="28"/>
      <c r="O3212" s="28"/>
      <c r="U3212" s="28"/>
    </row>
    <row r="3213">
      <c r="N3213" s="28"/>
      <c r="O3213" s="28"/>
      <c r="U3213" s="28"/>
    </row>
    <row r="3214">
      <c r="N3214" s="28"/>
      <c r="O3214" s="28"/>
      <c r="U3214" s="28"/>
    </row>
    <row r="3215">
      <c r="N3215" s="28"/>
      <c r="O3215" s="28"/>
      <c r="U3215" s="28"/>
    </row>
    <row r="3216">
      <c r="N3216" s="28"/>
      <c r="O3216" s="28"/>
      <c r="U3216" s="28"/>
    </row>
    <row r="3217">
      <c r="N3217" s="28"/>
      <c r="O3217" s="28"/>
      <c r="U3217" s="28"/>
    </row>
    <row r="3218">
      <c r="N3218" s="28"/>
      <c r="O3218" s="28"/>
      <c r="U3218" s="28"/>
    </row>
    <row r="3219">
      <c r="N3219" s="28"/>
      <c r="O3219" s="28"/>
      <c r="U3219" s="28"/>
    </row>
    <row r="3220">
      <c r="N3220" s="28"/>
      <c r="O3220" s="28"/>
      <c r="U3220" s="28"/>
    </row>
    <row r="3221">
      <c r="N3221" s="28"/>
      <c r="O3221" s="28"/>
      <c r="U3221" s="28"/>
    </row>
    <row r="3222">
      <c r="N3222" s="28"/>
      <c r="O3222" s="28"/>
      <c r="U3222" s="28"/>
    </row>
    <row r="3223">
      <c r="N3223" s="28"/>
      <c r="O3223" s="28"/>
      <c r="U3223" s="28"/>
    </row>
    <row r="3224">
      <c r="N3224" s="28"/>
      <c r="O3224" s="28"/>
      <c r="U3224" s="28"/>
    </row>
    <row r="3225">
      <c r="N3225" s="28"/>
      <c r="O3225" s="28"/>
      <c r="U3225" s="28"/>
    </row>
    <row r="3226">
      <c r="N3226" s="28"/>
      <c r="O3226" s="28"/>
      <c r="U3226" s="28"/>
    </row>
    <row r="3227">
      <c r="N3227" s="28"/>
      <c r="O3227" s="28"/>
      <c r="U3227" s="28"/>
    </row>
    <row r="3228">
      <c r="N3228" s="28"/>
      <c r="O3228" s="28"/>
      <c r="U3228" s="28"/>
    </row>
    <row r="3229">
      <c r="N3229" s="28"/>
      <c r="O3229" s="28"/>
      <c r="U3229" s="28"/>
    </row>
    <row r="3230">
      <c r="N3230" s="28"/>
      <c r="O3230" s="28"/>
      <c r="U3230" s="28"/>
    </row>
    <row r="3231">
      <c r="N3231" s="28"/>
      <c r="O3231" s="28"/>
      <c r="U3231" s="28"/>
    </row>
    <row r="3232">
      <c r="N3232" s="28"/>
      <c r="O3232" s="28"/>
      <c r="U3232" s="28"/>
    </row>
    <row r="3233">
      <c r="N3233" s="28"/>
      <c r="O3233" s="28"/>
      <c r="U3233" s="28"/>
    </row>
    <row r="3234">
      <c r="N3234" s="28"/>
      <c r="O3234" s="28"/>
      <c r="U3234" s="28"/>
    </row>
    <row r="3235">
      <c r="N3235" s="28"/>
      <c r="O3235" s="28"/>
      <c r="U3235" s="28"/>
    </row>
    <row r="3236">
      <c r="N3236" s="28"/>
      <c r="O3236" s="28"/>
      <c r="U3236" s="28"/>
    </row>
    <row r="3237">
      <c r="N3237" s="28"/>
      <c r="O3237" s="28"/>
      <c r="U3237" s="28"/>
    </row>
    <row r="3238">
      <c r="N3238" s="28"/>
      <c r="O3238" s="28"/>
      <c r="U3238" s="28"/>
    </row>
    <row r="3239">
      <c r="N3239" s="28"/>
      <c r="O3239" s="28"/>
      <c r="U3239" s="28"/>
    </row>
    <row r="3240">
      <c r="N3240" s="28"/>
      <c r="O3240" s="28"/>
      <c r="U3240" s="28"/>
    </row>
    <row r="3241">
      <c r="N3241" s="28"/>
      <c r="O3241" s="28"/>
      <c r="U3241" s="28"/>
    </row>
    <row r="3242">
      <c r="N3242" s="28"/>
      <c r="O3242" s="28"/>
      <c r="U3242" s="28"/>
    </row>
    <row r="3243">
      <c r="N3243" s="28"/>
      <c r="O3243" s="28"/>
      <c r="U3243" s="28"/>
    </row>
    <row r="3244">
      <c r="N3244" s="28"/>
      <c r="O3244" s="28"/>
      <c r="U3244" s="28"/>
    </row>
    <row r="3245">
      <c r="N3245" s="28"/>
      <c r="O3245" s="28"/>
      <c r="U3245" s="28"/>
    </row>
    <row r="3246">
      <c r="N3246" s="28"/>
      <c r="O3246" s="28"/>
      <c r="U3246" s="28"/>
    </row>
    <row r="3247">
      <c r="N3247" s="28"/>
      <c r="O3247" s="28"/>
      <c r="U3247" s="28"/>
    </row>
    <row r="3248">
      <c r="N3248" s="28"/>
      <c r="O3248" s="28"/>
      <c r="U3248" s="28"/>
    </row>
    <row r="3249">
      <c r="N3249" s="28"/>
      <c r="O3249" s="28"/>
      <c r="U3249" s="28"/>
    </row>
    <row r="3250">
      <c r="N3250" s="28"/>
      <c r="O3250" s="28"/>
      <c r="U3250" s="28"/>
    </row>
    <row r="3251">
      <c r="N3251" s="28"/>
      <c r="O3251" s="28"/>
      <c r="U3251" s="28"/>
    </row>
    <row r="3252">
      <c r="N3252" s="28"/>
      <c r="O3252" s="28"/>
      <c r="U3252" s="28"/>
    </row>
    <row r="3253">
      <c r="N3253" s="28"/>
      <c r="O3253" s="28"/>
      <c r="U3253" s="28"/>
    </row>
    <row r="3254">
      <c r="N3254" s="28"/>
      <c r="O3254" s="28"/>
      <c r="U3254" s="28"/>
    </row>
    <row r="3255">
      <c r="N3255" s="28"/>
      <c r="O3255" s="28"/>
      <c r="U3255" s="28"/>
    </row>
    <row r="3256">
      <c r="N3256" s="28"/>
      <c r="O3256" s="28"/>
      <c r="U3256" s="28"/>
    </row>
    <row r="3257">
      <c r="N3257" s="28"/>
      <c r="O3257" s="28"/>
      <c r="U3257" s="28"/>
    </row>
    <row r="3258">
      <c r="N3258" s="28"/>
      <c r="O3258" s="28"/>
      <c r="U3258" s="28"/>
    </row>
    <row r="3259">
      <c r="N3259" s="28"/>
      <c r="O3259" s="28"/>
      <c r="U3259" s="28"/>
    </row>
    <row r="3260">
      <c r="N3260" s="28"/>
      <c r="O3260" s="28"/>
      <c r="U3260" s="28"/>
    </row>
    <row r="3261">
      <c r="N3261" s="28"/>
      <c r="O3261" s="28"/>
      <c r="U3261" s="28"/>
    </row>
    <row r="3262">
      <c r="N3262" s="28"/>
      <c r="O3262" s="28"/>
      <c r="U3262" s="28"/>
    </row>
    <row r="3263">
      <c r="N3263" s="28"/>
      <c r="O3263" s="28"/>
      <c r="U3263" s="28"/>
    </row>
    <row r="3264">
      <c r="N3264" s="28"/>
      <c r="O3264" s="28"/>
      <c r="U3264" s="28"/>
    </row>
    <row r="3265">
      <c r="N3265" s="28"/>
      <c r="O3265" s="28"/>
      <c r="U3265" s="28"/>
    </row>
    <row r="3266">
      <c r="N3266" s="28"/>
      <c r="O3266" s="28"/>
      <c r="U3266" s="28"/>
    </row>
    <row r="3267">
      <c r="N3267" s="28"/>
      <c r="O3267" s="28"/>
      <c r="U3267" s="28"/>
    </row>
    <row r="3268">
      <c r="N3268" s="28"/>
      <c r="O3268" s="28"/>
      <c r="U3268" s="28"/>
    </row>
    <row r="3269">
      <c r="N3269" s="28"/>
      <c r="O3269" s="28"/>
      <c r="U3269" s="28"/>
    </row>
    <row r="3270">
      <c r="N3270" s="28"/>
      <c r="O3270" s="28"/>
      <c r="U3270" s="28"/>
    </row>
    <row r="3271">
      <c r="N3271" s="28"/>
      <c r="O3271" s="28"/>
      <c r="U3271" s="28"/>
    </row>
    <row r="3272">
      <c r="N3272" s="28"/>
      <c r="O3272" s="28"/>
      <c r="U3272" s="28"/>
    </row>
    <row r="3273">
      <c r="N3273" s="28"/>
      <c r="O3273" s="28"/>
      <c r="U3273" s="28"/>
    </row>
    <row r="3274">
      <c r="N3274" s="28"/>
      <c r="O3274" s="28"/>
      <c r="U3274" s="28"/>
    </row>
    <row r="3275">
      <c r="N3275" s="28"/>
      <c r="O3275" s="28"/>
      <c r="U3275" s="28"/>
    </row>
    <row r="3276">
      <c r="N3276" s="28"/>
      <c r="O3276" s="28"/>
      <c r="U3276" s="28"/>
    </row>
    <row r="3277">
      <c r="N3277" s="28"/>
      <c r="O3277" s="28"/>
      <c r="U3277" s="28"/>
    </row>
    <row r="3278">
      <c r="N3278" s="28"/>
      <c r="O3278" s="28"/>
      <c r="U3278" s="28"/>
    </row>
    <row r="3279">
      <c r="N3279" s="28"/>
      <c r="O3279" s="28"/>
      <c r="U3279" s="28"/>
    </row>
    <row r="3280">
      <c r="N3280" s="28"/>
      <c r="O3280" s="28"/>
      <c r="U3280" s="28"/>
    </row>
    <row r="3281">
      <c r="N3281" s="28"/>
      <c r="O3281" s="28"/>
      <c r="U3281" s="28"/>
    </row>
    <row r="3282">
      <c r="N3282" s="28"/>
      <c r="O3282" s="28"/>
      <c r="U3282" s="28"/>
    </row>
    <row r="3283">
      <c r="N3283" s="28"/>
      <c r="O3283" s="28"/>
      <c r="U3283" s="28"/>
    </row>
    <row r="3284">
      <c r="N3284" s="28"/>
      <c r="O3284" s="28"/>
      <c r="U3284" s="28"/>
    </row>
    <row r="3285">
      <c r="N3285" s="28"/>
      <c r="O3285" s="28"/>
      <c r="U3285" s="28"/>
    </row>
    <row r="3286">
      <c r="N3286" s="28"/>
      <c r="O3286" s="28"/>
      <c r="U3286" s="28"/>
    </row>
    <row r="3287">
      <c r="N3287" s="28"/>
      <c r="O3287" s="28"/>
      <c r="U3287" s="28"/>
    </row>
    <row r="3288">
      <c r="N3288" s="28"/>
      <c r="O3288" s="28"/>
      <c r="U3288" s="28"/>
    </row>
    <row r="3289">
      <c r="N3289" s="28"/>
      <c r="O3289" s="28"/>
      <c r="U3289" s="28"/>
    </row>
    <row r="3290">
      <c r="N3290" s="28"/>
      <c r="O3290" s="28"/>
      <c r="U3290" s="28"/>
    </row>
    <row r="3291">
      <c r="N3291" s="28"/>
      <c r="O3291" s="28"/>
      <c r="U3291" s="28"/>
    </row>
    <row r="3292">
      <c r="N3292" s="28"/>
      <c r="O3292" s="28"/>
      <c r="U3292" s="28"/>
    </row>
    <row r="3293">
      <c r="N3293" s="28"/>
      <c r="O3293" s="28"/>
      <c r="U3293" s="28"/>
    </row>
    <row r="3294">
      <c r="N3294" s="28"/>
      <c r="O3294" s="28"/>
      <c r="U3294" s="28"/>
    </row>
    <row r="3295">
      <c r="N3295" s="28"/>
      <c r="O3295" s="28"/>
      <c r="U3295" s="28"/>
    </row>
    <row r="3296">
      <c r="N3296" s="28"/>
      <c r="O3296" s="28"/>
      <c r="U3296" s="28"/>
    </row>
    <row r="3297">
      <c r="N3297" s="28"/>
      <c r="O3297" s="28"/>
      <c r="U3297" s="28"/>
    </row>
    <row r="3298">
      <c r="N3298" s="28"/>
      <c r="O3298" s="28"/>
      <c r="U3298" s="28"/>
    </row>
    <row r="3299">
      <c r="N3299" s="28"/>
      <c r="O3299" s="28"/>
      <c r="U3299" s="28"/>
    </row>
    <row r="3300">
      <c r="N3300" s="28"/>
      <c r="O3300" s="28"/>
      <c r="U3300" s="28"/>
    </row>
    <row r="3301">
      <c r="N3301" s="28"/>
      <c r="O3301" s="28"/>
      <c r="U3301" s="28"/>
    </row>
    <row r="3302">
      <c r="N3302" s="28"/>
      <c r="O3302" s="28"/>
      <c r="U3302" s="28"/>
    </row>
    <row r="3303">
      <c r="N3303" s="28"/>
      <c r="O3303" s="28"/>
      <c r="U3303" s="28"/>
    </row>
    <row r="3304">
      <c r="N3304" s="28"/>
      <c r="O3304" s="28"/>
      <c r="U3304" s="28"/>
    </row>
    <row r="3305">
      <c r="N3305" s="28"/>
      <c r="O3305" s="28"/>
      <c r="U3305" s="28"/>
    </row>
    <row r="3306">
      <c r="N3306" s="28"/>
      <c r="O3306" s="28"/>
      <c r="U3306" s="28"/>
    </row>
    <row r="3307">
      <c r="N3307" s="28"/>
      <c r="O3307" s="28"/>
      <c r="U3307" s="28"/>
    </row>
    <row r="3308">
      <c r="N3308" s="28"/>
      <c r="O3308" s="28"/>
      <c r="U3308" s="28"/>
    </row>
    <row r="3309">
      <c r="N3309" s="28"/>
      <c r="O3309" s="28"/>
      <c r="U3309" s="28"/>
    </row>
    <row r="3310">
      <c r="N3310" s="28"/>
      <c r="O3310" s="28"/>
      <c r="U3310" s="28"/>
    </row>
    <row r="3311">
      <c r="N3311" s="28"/>
      <c r="O3311" s="28"/>
      <c r="U3311" s="28"/>
    </row>
    <row r="3312">
      <c r="N3312" s="28"/>
      <c r="O3312" s="28"/>
      <c r="U3312" s="28"/>
    </row>
    <row r="3313">
      <c r="N3313" s="28"/>
      <c r="O3313" s="28"/>
      <c r="U3313" s="28"/>
    </row>
    <row r="3314">
      <c r="N3314" s="28"/>
      <c r="O3314" s="28"/>
      <c r="U3314" s="28"/>
    </row>
    <row r="3315">
      <c r="N3315" s="28"/>
      <c r="O3315" s="28"/>
      <c r="U3315" s="28"/>
    </row>
    <row r="3316">
      <c r="N3316" s="28"/>
      <c r="O3316" s="28"/>
      <c r="U3316" s="28"/>
    </row>
    <row r="3317">
      <c r="N3317" s="28"/>
      <c r="O3317" s="28"/>
      <c r="U3317" s="28"/>
    </row>
    <row r="3318">
      <c r="N3318" s="28"/>
      <c r="O3318" s="28"/>
      <c r="U3318" s="28"/>
    </row>
    <row r="3319">
      <c r="N3319" s="28"/>
      <c r="O3319" s="28"/>
      <c r="U3319" s="28"/>
    </row>
    <row r="3320">
      <c r="N3320" s="28"/>
      <c r="O3320" s="28"/>
      <c r="U3320" s="28"/>
    </row>
    <row r="3321">
      <c r="N3321" s="28"/>
      <c r="O3321" s="28"/>
      <c r="U3321" s="28"/>
    </row>
    <row r="3322">
      <c r="N3322" s="28"/>
      <c r="O3322" s="28"/>
      <c r="U3322" s="28"/>
    </row>
    <row r="3323">
      <c r="N3323" s="28"/>
      <c r="O3323" s="28"/>
      <c r="U3323" s="28"/>
    </row>
    <row r="3324">
      <c r="N3324" s="28"/>
      <c r="O3324" s="28"/>
      <c r="U3324" s="28"/>
    </row>
    <row r="3325">
      <c r="N3325" s="28"/>
      <c r="O3325" s="28"/>
      <c r="U3325" s="28"/>
    </row>
    <row r="3326">
      <c r="N3326" s="28"/>
      <c r="O3326" s="28"/>
      <c r="U3326" s="28"/>
    </row>
    <row r="3327">
      <c r="N3327" s="28"/>
      <c r="O3327" s="28"/>
      <c r="U3327" s="28"/>
    </row>
    <row r="3328">
      <c r="N3328" s="28"/>
      <c r="O3328" s="28"/>
      <c r="U3328" s="28"/>
    </row>
    <row r="3329">
      <c r="N3329" s="28"/>
      <c r="O3329" s="28"/>
      <c r="U3329" s="28"/>
    </row>
    <row r="3330">
      <c r="N3330" s="28"/>
      <c r="O3330" s="28"/>
      <c r="U3330" s="28"/>
    </row>
    <row r="3331">
      <c r="N3331" s="28"/>
      <c r="O3331" s="28"/>
      <c r="U3331" s="28"/>
    </row>
    <row r="3332">
      <c r="N3332" s="28"/>
      <c r="O3332" s="28"/>
      <c r="U3332" s="28"/>
    </row>
    <row r="3333">
      <c r="N3333" s="28"/>
      <c r="O3333" s="28"/>
      <c r="U3333" s="28"/>
    </row>
    <row r="3334">
      <c r="N3334" s="28"/>
      <c r="O3334" s="28"/>
      <c r="U3334" s="28"/>
    </row>
    <row r="3335">
      <c r="N3335" s="28"/>
      <c r="O3335" s="28"/>
      <c r="U3335" s="28"/>
    </row>
    <row r="3336">
      <c r="N3336" s="28"/>
      <c r="O3336" s="28"/>
      <c r="U3336" s="28"/>
    </row>
    <row r="3337">
      <c r="N3337" s="28"/>
      <c r="O3337" s="28"/>
      <c r="U3337" s="28"/>
    </row>
    <row r="3338">
      <c r="N3338" s="28"/>
      <c r="O3338" s="28"/>
      <c r="U3338" s="28"/>
    </row>
    <row r="3339">
      <c r="N3339" s="28"/>
      <c r="O3339" s="28"/>
      <c r="U3339" s="28"/>
    </row>
    <row r="3340">
      <c r="N3340" s="28"/>
      <c r="O3340" s="28"/>
      <c r="U3340" s="28"/>
    </row>
    <row r="3341">
      <c r="N3341" s="28"/>
      <c r="O3341" s="28"/>
      <c r="U3341" s="28"/>
    </row>
    <row r="3342">
      <c r="N3342" s="28"/>
      <c r="O3342" s="28"/>
      <c r="U3342" s="28"/>
    </row>
    <row r="3343">
      <c r="N3343" s="28"/>
      <c r="O3343" s="28"/>
      <c r="U3343" s="28"/>
    </row>
    <row r="3344">
      <c r="N3344" s="28"/>
      <c r="O3344" s="28"/>
      <c r="U3344" s="28"/>
    </row>
    <row r="3345">
      <c r="N3345" s="28"/>
      <c r="O3345" s="28"/>
      <c r="U3345" s="28"/>
    </row>
    <row r="3346">
      <c r="N3346" s="28"/>
      <c r="O3346" s="28"/>
      <c r="U3346" s="28"/>
    </row>
    <row r="3347">
      <c r="N3347" s="28"/>
      <c r="O3347" s="28"/>
      <c r="U3347" s="28"/>
    </row>
    <row r="3348">
      <c r="N3348" s="28"/>
      <c r="O3348" s="28"/>
      <c r="U3348" s="28"/>
    </row>
    <row r="3349">
      <c r="N3349" s="28"/>
      <c r="O3349" s="28"/>
      <c r="U3349" s="28"/>
    </row>
    <row r="3350">
      <c r="N3350" s="28"/>
      <c r="O3350" s="28"/>
      <c r="U3350" s="28"/>
    </row>
    <row r="3351">
      <c r="N3351" s="28"/>
      <c r="O3351" s="28"/>
      <c r="U3351" s="28"/>
    </row>
    <row r="3352">
      <c r="N3352" s="28"/>
      <c r="O3352" s="28"/>
      <c r="U3352" s="28"/>
    </row>
    <row r="3353">
      <c r="N3353" s="28"/>
      <c r="O3353" s="28"/>
      <c r="U3353" s="28"/>
    </row>
    <row r="3354">
      <c r="N3354" s="28"/>
      <c r="O3354" s="28"/>
      <c r="U3354" s="28"/>
    </row>
    <row r="3355">
      <c r="N3355" s="28"/>
      <c r="O3355" s="28"/>
      <c r="U3355" s="28"/>
    </row>
    <row r="3356">
      <c r="N3356" s="28"/>
      <c r="O3356" s="28"/>
      <c r="U3356" s="28"/>
    </row>
    <row r="3357">
      <c r="N3357" s="28"/>
      <c r="O3357" s="28"/>
      <c r="U3357" s="28"/>
    </row>
    <row r="3358">
      <c r="N3358" s="28"/>
      <c r="O3358" s="28"/>
      <c r="U3358" s="28"/>
    </row>
    <row r="3359">
      <c r="N3359" s="28"/>
      <c r="O3359" s="28"/>
      <c r="U3359" s="28"/>
    </row>
    <row r="3360">
      <c r="N3360" s="28"/>
      <c r="O3360" s="28"/>
      <c r="U3360" s="28"/>
    </row>
    <row r="3361">
      <c r="N3361" s="28"/>
      <c r="O3361" s="28"/>
      <c r="U3361" s="28"/>
    </row>
    <row r="3362">
      <c r="N3362" s="28"/>
      <c r="O3362" s="28"/>
      <c r="U3362" s="28"/>
    </row>
    <row r="3363">
      <c r="N3363" s="28"/>
      <c r="O3363" s="28"/>
      <c r="U3363" s="28"/>
    </row>
    <row r="3364">
      <c r="N3364" s="28"/>
      <c r="O3364" s="28"/>
      <c r="U3364" s="28"/>
    </row>
    <row r="3365">
      <c r="N3365" s="28"/>
      <c r="O3365" s="28"/>
      <c r="U3365" s="28"/>
    </row>
    <row r="3366">
      <c r="N3366" s="28"/>
      <c r="O3366" s="28"/>
      <c r="U3366" s="28"/>
    </row>
    <row r="3367">
      <c r="N3367" s="28"/>
      <c r="O3367" s="28"/>
      <c r="U3367" s="28"/>
    </row>
    <row r="3368">
      <c r="N3368" s="28"/>
      <c r="O3368" s="28"/>
      <c r="U3368" s="28"/>
    </row>
    <row r="3369">
      <c r="N3369" s="28"/>
      <c r="O3369" s="28"/>
      <c r="U3369" s="28"/>
    </row>
    <row r="3370">
      <c r="N3370" s="28"/>
      <c r="O3370" s="28"/>
      <c r="U3370" s="28"/>
    </row>
    <row r="3371">
      <c r="N3371" s="28"/>
      <c r="O3371" s="28"/>
      <c r="U3371" s="28"/>
    </row>
    <row r="3372">
      <c r="N3372" s="28"/>
      <c r="O3372" s="28"/>
      <c r="U3372" s="28"/>
    </row>
    <row r="3373">
      <c r="N3373" s="28"/>
      <c r="O3373" s="28"/>
      <c r="U3373" s="28"/>
    </row>
    <row r="3374">
      <c r="N3374" s="28"/>
      <c r="O3374" s="28"/>
      <c r="U3374" s="28"/>
    </row>
    <row r="3375">
      <c r="N3375" s="28"/>
      <c r="O3375" s="28"/>
      <c r="U3375" s="28"/>
    </row>
    <row r="3376">
      <c r="N3376" s="28"/>
      <c r="O3376" s="28"/>
      <c r="U3376" s="28"/>
    </row>
    <row r="3377">
      <c r="N3377" s="28"/>
      <c r="O3377" s="28"/>
      <c r="U3377" s="28"/>
    </row>
    <row r="3378">
      <c r="N3378" s="28"/>
      <c r="O3378" s="28"/>
      <c r="U3378" s="28"/>
    </row>
    <row r="3379">
      <c r="N3379" s="28"/>
      <c r="O3379" s="28"/>
      <c r="U3379" s="28"/>
    </row>
    <row r="3380">
      <c r="N3380" s="28"/>
      <c r="O3380" s="28"/>
      <c r="U3380" s="28"/>
    </row>
    <row r="3381">
      <c r="N3381" s="28"/>
      <c r="O3381" s="28"/>
      <c r="U3381" s="28"/>
    </row>
    <row r="3382">
      <c r="N3382" s="28"/>
      <c r="O3382" s="28"/>
      <c r="U3382" s="28"/>
    </row>
    <row r="3383">
      <c r="N3383" s="28"/>
      <c r="O3383" s="28"/>
      <c r="U3383" s="28"/>
    </row>
    <row r="3384">
      <c r="N3384" s="28"/>
      <c r="O3384" s="28"/>
      <c r="U3384" s="28"/>
    </row>
    <row r="3385">
      <c r="N3385" s="28"/>
      <c r="O3385" s="28"/>
      <c r="U3385" s="28"/>
    </row>
    <row r="3386">
      <c r="N3386" s="28"/>
      <c r="O3386" s="28"/>
      <c r="U3386" s="28"/>
    </row>
    <row r="3387">
      <c r="N3387" s="28"/>
      <c r="O3387" s="28"/>
      <c r="U3387" s="28"/>
    </row>
    <row r="3388">
      <c r="N3388" s="28"/>
      <c r="O3388" s="28"/>
      <c r="U3388" s="28"/>
    </row>
    <row r="3389">
      <c r="N3389" s="28"/>
      <c r="O3389" s="28"/>
      <c r="U3389" s="28"/>
    </row>
    <row r="3390">
      <c r="N3390" s="28"/>
      <c r="O3390" s="28"/>
      <c r="U3390" s="28"/>
    </row>
    <row r="3391">
      <c r="N3391" s="28"/>
      <c r="O3391" s="28"/>
      <c r="U3391" s="28"/>
    </row>
    <row r="3392">
      <c r="N3392" s="28"/>
      <c r="O3392" s="28"/>
      <c r="U3392" s="28"/>
    </row>
    <row r="3393">
      <c r="N3393" s="28"/>
      <c r="O3393" s="28"/>
      <c r="U3393" s="28"/>
    </row>
    <row r="3394">
      <c r="N3394" s="28"/>
      <c r="O3394" s="28"/>
      <c r="U3394" s="28"/>
    </row>
    <row r="3395">
      <c r="N3395" s="28"/>
      <c r="O3395" s="28"/>
      <c r="U3395" s="28"/>
    </row>
    <row r="3396">
      <c r="N3396" s="28"/>
      <c r="O3396" s="28"/>
      <c r="U3396" s="28"/>
    </row>
    <row r="3397">
      <c r="N3397" s="28"/>
      <c r="O3397" s="28"/>
      <c r="U3397" s="28"/>
    </row>
    <row r="3398">
      <c r="N3398" s="28"/>
      <c r="O3398" s="28"/>
      <c r="U3398" s="28"/>
    </row>
    <row r="3399">
      <c r="N3399" s="28"/>
      <c r="O3399" s="28"/>
      <c r="U3399" s="28"/>
    </row>
    <row r="3400">
      <c r="N3400" s="28"/>
      <c r="O3400" s="28"/>
      <c r="U3400" s="28"/>
    </row>
    <row r="3401">
      <c r="N3401" s="28"/>
      <c r="O3401" s="28"/>
      <c r="U3401" s="28"/>
    </row>
    <row r="3402">
      <c r="N3402" s="28"/>
      <c r="O3402" s="28"/>
      <c r="U3402" s="28"/>
    </row>
    <row r="3403">
      <c r="N3403" s="28"/>
      <c r="O3403" s="28"/>
      <c r="U3403" s="28"/>
    </row>
    <row r="3404">
      <c r="N3404" s="28"/>
      <c r="O3404" s="28"/>
      <c r="U3404" s="28"/>
    </row>
    <row r="3405">
      <c r="N3405" s="28"/>
      <c r="O3405" s="28"/>
      <c r="U3405" s="28"/>
    </row>
    <row r="3406">
      <c r="N3406" s="28"/>
      <c r="O3406" s="28"/>
      <c r="U3406" s="28"/>
    </row>
    <row r="3407">
      <c r="N3407" s="28"/>
      <c r="O3407" s="28"/>
      <c r="U3407" s="28"/>
    </row>
    <row r="3408">
      <c r="N3408" s="28"/>
      <c r="O3408" s="28"/>
      <c r="U3408" s="28"/>
    </row>
    <row r="3409">
      <c r="N3409" s="28"/>
      <c r="O3409" s="28"/>
      <c r="U3409" s="28"/>
    </row>
    <row r="3410">
      <c r="N3410" s="28"/>
      <c r="O3410" s="28"/>
      <c r="U3410" s="28"/>
    </row>
    <row r="3411">
      <c r="N3411" s="28"/>
      <c r="O3411" s="28"/>
      <c r="U3411" s="28"/>
    </row>
    <row r="3412">
      <c r="N3412" s="28"/>
      <c r="O3412" s="28"/>
      <c r="U3412" s="28"/>
    </row>
    <row r="3413">
      <c r="N3413" s="28"/>
      <c r="O3413" s="28"/>
      <c r="U3413" s="28"/>
    </row>
    <row r="3414">
      <c r="N3414" s="28"/>
      <c r="O3414" s="28"/>
      <c r="U3414" s="28"/>
    </row>
    <row r="3415">
      <c r="N3415" s="28"/>
      <c r="O3415" s="28"/>
      <c r="U3415" s="28"/>
    </row>
    <row r="3416">
      <c r="N3416" s="28"/>
      <c r="O3416" s="28"/>
      <c r="U3416" s="28"/>
    </row>
    <row r="3417">
      <c r="N3417" s="28"/>
      <c r="O3417" s="28"/>
      <c r="U3417" s="28"/>
    </row>
    <row r="3418">
      <c r="N3418" s="28"/>
      <c r="O3418" s="28"/>
      <c r="U3418" s="28"/>
    </row>
    <row r="3419">
      <c r="N3419" s="28"/>
      <c r="O3419" s="28"/>
      <c r="U3419" s="28"/>
    </row>
    <row r="3420">
      <c r="N3420" s="28"/>
      <c r="O3420" s="28"/>
      <c r="U3420" s="28"/>
    </row>
    <row r="3421">
      <c r="N3421" s="28"/>
      <c r="O3421" s="28"/>
      <c r="U3421" s="28"/>
    </row>
    <row r="3422">
      <c r="N3422" s="28"/>
      <c r="O3422" s="28"/>
      <c r="U3422" s="28"/>
    </row>
    <row r="3423">
      <c r="N3423" s="28"/>
      <c r="O3423" s="28"/>
      <c r="U3423" s="28"/>
    </row>
    <row r="3424">
      <c r="N3424" s="28"/>
      <c r="O3424" s="28"/>
      <c r="U3424" s="28"/>
    </row>
    <row r="3425">
      <c r="N3425" s="28"/>
      <c r="O3425" s="28"/>
      <c r="U3425" s="28"/>
    </row>
    <row r="3426">
      <c r="N3426" s="28"/>
      <c r="O3426" s="28"/>
      <c r="U3426" s="28"/>
    </row>
    <row r="3427">
      <c r="N3427" s="28"/>
      <c r="O3427" s="28"/>
      <c r="U3427" s="28"/>
    </row>
    <row r="3428">
      <c r="N3428" s="28"/>
      <c r="O3428" s="28"/>
      <c r="U3428" s="28"/>
    </row>
    <row r="3429">
      <c r="N3429" s="28"/>
      <c r="O3429" s="28"/>
      <c r="U3429" s="28"/>
    </row>
    <row r="3430">
      <c r="N3430" s="28"/>
      <c r="O3430" s="28"/>
      <c r="U3430" s="28"/>
    </row>
    <row r="3431">
      <c r="N3431" s="28"/>
      <c r="O3431" s="28"/>
      <c r="U3431" s="28"/>
    </row>
    <row r="3432">
      <c r="N3432" s="28"/>
      <c r="O3432" s="28"/>
      <c r="U3432" s="28"/>
    </row>
    <row r="3433">
      <c r="N3433" s="28"/>
      <c r="O3433" s="28"/>
      <c r="U3433" s="28"/>
    </row>
    <row r="3434">
      <c r="N3434" s="28"/>
      <c r="O3434" s="28"/>
      <c r="U3434" s="28"/>
    </row>
    <row r="3435">
      <c r="N3435" s="28"/>
      <c r="O3435" s="28"/>
      <c r="U3435" s="28"/>
    </row>
    <row r="3436">
      <c r="N3436" s="28"/>
      <c r="O3436" s="28"/>
      <c r="U3436" s="28"/>
    </row>
    <row r="3437">
      <c r="N3437" s="28"/>
      <c r="O3437" s="28"/>
      <c r="U3437" s="28"/>
    </row>
    <row r="3438">
      <c r="N3438" s="28"/>
      <c r="O3438" s="28"/>
      <c r="U3438" s="28"/>
    </row>
    <row r="3439">
      <c r="N3439" s="28"/>
      <c r="O3439" s="28"/>
      <c r="U3439" s="28"/>
    </row>
    <row r="3440">
      <c r="N3440" s="28"/>
      <c r="O3440" s="28"/>
      <c r="U3440" s="28"/>
    </row>
    <row r="3441">
      <c r="N3441" s="28"/>
      <c r="O3441" s="28"/>
      <c r="U3441" s="28"/>
    </row>
    <row r="3442">
      <c r="N3442" s="28"/>
      <c r="O3442" s="28"/>
      <c r="U3442" s="28"/>
    </row>
    <row r="3443">
      <c r="N3443" s="28"/>
      <c r="O3443" s="28"/>
      <c r="U3443" s="28"/>
    </row>
    <row r="3444">
      <c r="N3444" s="28"/>
      <c r="O3444" s="28"/>
      <c r="U3444" s="28"/>
    </row>
    <row r="3445">
      <c r="N3445" s="28"/>
      <c r="O3445" s="28"/>
      <c r="U3445" s="28"/>
    </row>
    <row r="3446">
      <c r="N3446" s="28"/>
      <c r="O3446" s="28"/>
      <c r="U3446" s="28"/>
    </row>
    <row r="3447">
      <c r="N3447" s="28"/>
      <c r="O3447" s="28"/>
      <c r="U3447" s="28"/>
    </row>
    <row r="3448">
      <c r="N3448" s="28"/>
      <c r="O3448" s="28"/>
      <c r="U3448" s="28"/>
    </row>
    <row r="3449">
      <c r="N3449" s="28"/>
      <c r="O3449" s="28"/>
      <c r="U3449" s="28"/>
    </row>
    <row r="3450">
      <c r="N3450" s="28"/>
      <c r="O3450" s="28"/>
      <c r="U3450" s="28"/>
    </row>
    <row r="3451">
      <c r="N3451" s="28"/>
      <c r="O3451" s="28"/>
      <c r="U3451" s="28"/>
    </row>
    <row r="3452">
      <c r="N3452" s="28"/>
      <c r="O3452" s="28"/>
      <c r="U3452" s="28"/>
    </row>
    <row r="3453">
      <c r="N3453" s="28"/>
      <c r="O3453" s="28"/>
      <c r="U3453" s="28"/>
    </row>
    <row r="3454">
      <c r="N3454" s="28"/>
      <c r="O3454" s="28"/>
      <c r="U3454" s="28"/>
    </row>
    <row r="3455">
      <c r="N3455" s="28"/>
      <c r="O3455" s="28"/>
      <c r="U3455" s="28"/>
    </row>
    <row r="3456">
      <c r="N3456" s="28"/>
      <c r="O3456" s="28"/>
      <c r="U3456" s="28"/>
    </row>
    <row r="3457">
      <c r="N3457" s="28"/>
      <c r="O3457" s="28"/>
      <c r="U3457" s="28"/>
    </row>
    <row r="3458">
      <c r="N3458" s="28"/>
      <c r="O3458" s="28"/>
      <c r="U3458" s="28"/>
    </row>
    <row r="3459">
      <c r="N3459" s="28"/>
      <c r="O3459" s="28"/>
      <c r="U3459" s="28"/>
    </row>
    <row r="3460">
      <c r="N3460" s="28"/>
      <c r="O3460" s="28"/>
      <c r="U3460" s="28"/>
    </row>
    <row r="3461">
      <c r="N3461" s="28"/>
      <c r="O3461" s="28"/>
      <c r="U3461" s="28"/>
    </row>
    <row r="3462">
      <c r="N3462" s="28"/>
      <c r="O3462" s="28"/>
      <c r="U3462" s="28"/>
    </row>
    <row r="3463">
      <c r="N3463" s="28"/>
      <c r="O3463" s="28"/>
      <c r="U3463" s="28"/>
    </row>
    <row r="3464">
      <c r="N3464" s="28"/>
      <c r="O3464" s="28"/>
      <c r="U3464" s="28"/>
    </row>
    <row r="3465">
      <c r="N3465" s="28"/>
      <c r="O3465" s="28"/>
      <c r="U3465" s="28"/>
    </row>
    <row r="3466">
      <c r="N3466" s="28"/>
      <c r="O3466" s="28"/>
      <c r="U3466" s="28"/>
    </row>
    <row r="3467">
      <c r="N3467" s="28"/>
      <c r="O3467" s="28"/>
      <c r="U3467" s="28"/>
    </row>
    <row r="3468">
      <c r="N3468" s="28"/>
      <c r="O3468" s="28"/>
      <c r="U3468" s="28"/>
    </row>
    <row r="3469">
      <c r="N3469" s="28"/>
      <c r="O3469" s="28"/>
      <c r="U3469" s="28"/>
    </row>
    <row r="3470">
      <c r="N3470" s="28"/>
      <c r="O3470" s="28"/>
      <c r="U3470" s="28"/>
    </row>
    <row r="3471">
      <c r="N3471" s="28"/>
      <c r="O3471" s="28"/>
      <c r="U3471" s="28"/>
    </row>
    <row r="3472">
      <c r="N3472" s="28"/>
      <c r="O3472" s="28"/>
      <c r="U3472" s="28"/>
    </row>
    <row r="3473">
      <c r="N3473" s="28"/>
      <c r="O3473" s="28"/>
      <c r="U3473" s="28"/>
    </row>
    <row r="3474">
      <c r="N3474" s="28"/>
      <c r="O3474" s="28"/>
      <c r="U3474" s="28"/>
    </row>
    <row r="3475">
      <c r="N3475" s="28"/>
      <c r="O3475" s="28"/>
      <c r="U3475" s="28"/>
    </row>
    <row r="3476">
      <c r="N3476" s="28"/>
      <c r="O3476" s="28"/>
      <c r="U3476" s="28"/>
    </row>
    <row r="3477">
      <c r="N3477" s="28"/>
      <c r="O3477" s="28"/>
      <c r="U3477" s="28"/>
    </row>
    <row r="3478">
      <c r="N3478" s="28"/>
      <c r="O3478" s="28"/>
      <c r="U3478" s="28"/>
    </row>
    <row r="3479">
      <c r="N3479" s="28"/>
      <c r="O3479" s="28"/>
      <c r="U3479" s="28"/>
    </row>
    <row r="3480">
      <c r="N3480" s="28"/>
      <c r="O3480" s="28"/>
      <c r="U3480" s="28"/>
    </row>
    <row r="3481">
      <c r="N3481" s="28"/>
      <c r="O3481" s="28"/>
      <c r="U3481" s="28"/>
    </row>
    <row r="3482">
      <c r="N3482" s="28"/>
      <c r="O3482" s="28"/>
      <c r="U3482" s="28"/>
    </row>
    <row r="3483">
      <c r="N3483" s="28"/>
      <c r="O3483" s="28"/>
      <c r="U3483" s="28"/>
    </row>
    <row r="3484">
      <c r="N3484" s="28"/>
      <c r="O3484" s="28"/>
      <c r="U3484" s="28"/>
    </row>
    <row r="3485">
      <c r="N3485" s="28"/>
      <c r="O3485" s="28"/>
      <c r="U3485" s="28"/>
    </row>
    <row r="3486">
      <c r="N3486" s="28"/>
      <c r="O3486" s="28"/>
      <c r="U3486" s="28"/>
    </row>
    <row r="3487">
      <c r="N3487" s="28"/>
      <c r="O3487" s="28"/>
      <c r="U3487" s="28"/>
    </row>
    <row r="3488">
      <c r="N3488" s="28"/>
      <c r="O3488" s="28"/>
      <c r="U3488" s="28"/>
    </row>
    <row r="3489">
      <c r="N3489" s="28"/>
      <c r="O3489" s="28"/>
      <c r="U3489" s="28"/>
    </row>
    <row r="3490">
      <c r="N3490" s="28"/>
      <c r="O3490" s="28"/>
      <c r="U3490" s="28"/>
    </row>
    <row r="3491">
      <c r="N3491" s="28"/>
      <c r="O3491" s="28"/>
      <c r="U3491" s="28"/>
    </row>
    <row r="3492">
      <c r="N3492" s="28"/>
      <c r="O3492" s="28"/>
      <c r="U3492" s="28"/>
    </row>
    <row r="3493">
      <c r="N3493" s="28"/>
      <c r="O3493" s="28"/>
      <c r="U3493" s="28"/>
    </row>
    <row r="3494">
      <c r="N3494" s="28"/>
      <c r="O3494" s="28"/>
      <c r="U3494" s="28"/>
    </row>
    <row r="3495">
      <c r="N3495" s="28"/>
      <c r="O3495" s="28"/>
      <c r="U3495" s="28"/>
    </row>
    <row r="3496">
      <c r="N3496" s="28"/>
      <c r="O3496" s="28"/>
      <c r="U3496" s="28"/>
    </row>
    <row r="3497">
      <c r="N3497" s="28"/>
      <c r="O3497" s="28"/>
      <c r="U3497" s="28"/>
    </row>
    <row r="3498">
      <c r="N3498" s="28"/>
      <c r="O3498" s="28"/>
      <c r="U3498" s="28"/>
    </row>
    <row r="3499">
      <c r="N3499" s="28"/>
      <c r="O3499" s="28"/>
      <c r="U3499" s="28"/>
    </row>
    <row r="3500">
      <c r="N3500" s="28"/>
      <c r="O3500" s="28"/>
      <c r="U3500" s="28"/>
    </row>
    <row r="3501">
      <c r="N3501" s="28"/>
      <c r="O3501" s="28"/>
      <c r="U3501" s="28"/>
    </row>
    <row r="3502">
      <c r="N3502" s="28"/>
      <c r="O3502" s="28"/>
      <c r="U3502" s="28"/>
    </row>
    <row r="3503">
      <c r="N3503" s="28"/>
      <c r="O3503" s="28"/>
      <c r="U3503" s="28"/>
    </row>
    <row r="3504">
      <c r="N3504" s="28"/>
      <c r="O3504" s="28"/>
      <c r="U3504" s="28"/>
    </row>
    <row r="3505">
      <c r="N3505" s="28"/>
      <c r="O3505" s="28"/>
      <c r="U3505" s="28"/>
    </row>
    <row r="3506">
      <c r="N3506" s="28"/>
      <c r="O3506" s="28"/>
      <c r="U3506" s="28"/>
    </row>
    <row r="3507">
      <c r="N3507" s="28"/>
      <c r="O3507" s="28"/>
      <c r="U3507" s="28"/>
    </row>
    <row r="3508">
      <c r="N3508" s="28"/>
      <c r="O3508" s="28"/>
      <c r="U3508" s="28"/>
    </row>
    <row r="3509">
      <c r="N3509" s="28"/>
      <c r="O3509" s="28"/>
      <c r="U3509" s="28"/>
    </row>
    <row r="3510">
      <c r="N3510" s="28"/>
      <c r="O3510" s="28"/>
      <c r="U3510" s="28"/>
    </row>
    <row r="3511">
      <c r="N3511" s="28"/>
      <c r="O3511" s="28"/>
      <c r="U3511" s="28"/>
    </row>
    <row r="3512">
      <c r="N3512" s="28"/>
      <c r="O3512" s="28"/>
      <c r="U3512" s="28"/>
    </row>
    <row r="3513">
      <c r="N3513" s="28"/>
      <c r="O3513" s="28"/>
      <c r="U3513" s="28"/>
    </row>
    <row r="3514">
      <c r="N3514" s="28"/>
      <c r="O3514" s="28"/>
      <c r="U3514" s="28"/>
    </row>
    <row r="3515">
      <c r="N3515" s="28"/>
      <c r="O3515" s="28"/>
      <c r="U3515" s="28"/>
    </row>
    <row r="3516">
      <c r="N3516" s="28"/>
      <c r="O3516" s="28"/>
      <c r="U3516" s="28"/>
    </row>
    <row r="3517">
      <c r="N3517" s="28"/>
      <c r="O3517" s="28"/>
      <c r="U3517" s="28"/>
    </row>
    <row r="3518">
      <c r="N3518" s="28"/>
      <c r="O3518" s="28"/>
      <c r="U3518" s="28"/>
    </row>
    <row r="3519">
      <c r="N3519" s="28"/>
      <c r="O3519" s="28"/>
      <c r="U3519" s="28"/>
    </row>
    <row r="3520">
      <c r="N3520" s="28"/>
      <c r="O3520" s="28"/>
      <c r="U3520" s="28"/>
    </row>
    <row r="3521">
      <c r="N3521" s="28"/>
      <c r="O3521" s="28"/>
      <c r="U3521" s="28"/>
    </row>
    <row r="3522">
      <c r="N3522" s="28"/>
      <c r="O3522" s="28"/>
      <c r="U3522" s="28"/>
    </row>
    <row r="3523">
      <c r="N3523" s="28"/>
      <c r="O3523" s="28"/>
      <c r="U3523" s="28"/>
    </row>
    <row r="3524">
      <c r="N3524" s="28"/>
      <c r="O3524" s="28"/>
      <c r="U3524" s="28"/>
    </row>
    <row r="3525">
      <c r="N3525" s="28"/>
      <c r="O3525" s="28"/>
      <c r="U3525" s="28"/>
    </row>
    <row r="3526">
      <c r="N3526" s="28"/>
      <c r="O3526" s="28"/>
      <c r="U3526" s="28"/>
    </row>
    <row r="3527">
      <c r="N3527" s="28"/>
      <c r="O3527" s="28"/>
      <c r="U3527" s="28"/>
    </row>
    <row r="3528">
      <c r="N3528" s="28"/>
      <c r="O3528" s="28"/>
      <c r="U3528" s="28"/>
    </row>
    <row r="3529">
      <c r="N3529" s="28"/>
      <c r="O3529" s="28"/>
      <c r="U3529" s="28"/>
    </row>
    <row r="3530">
      <c r="N3530" s="28"/>
      <c r="O3530" s="28"/>
      <c r="U3530" s="28"/>
    </row>
    <row r="3531">
      <c r="N3531" s="28"/>
      <c r="O3531" s="28"/>
      <c r="U3531" s="28"/>
    </row>
    <row r="3532">
      <c r="N3532" s="28"/>
      <c r="O3532" s="28"/>
      <c r="U3532" s="28"/>
    </row>
    <row r="3533">
      <c r="N3533" s="28"/>
      <c r="O3533" s="28"/>
      <c r="U3533" s="28"/>
    </row>
    <row r="3534">
      <c r="N3534" s="28"/>
      <c r="O3534" s="28"/>
      <c r="U3534" s="28"/>
    </row>
    <row r="3535">
      <c r="N3535" s="28"/>
      <c r="O3535" s="28"/>
      <c r="U3535" s="28"/>
    </row>
    <row r="3536">
      <c r="N3536" s="28"/>
      <c r="O3536" s="28"/>
      <c r="U3536" s="28"/>
    </row>
    <row r="3537">
      <c r="N3537" s="28"/>
      <c r="O3537" s="28"/>
      <c r="U3537" s="28"/>
    </row>
    <row r="3538">
      <c r="N3538" s="28"/>
      <c r="O3538" s="28"/>
      <c r="U3538" s="28"/>
    </row>
    <row r="3539">
      <c r="N3539" s="28"/>
      <c r="O3539" s="28"/>
      <c r="U3539" s="28"/>
    </row>
    <row r="3540">
      <c r="N3540" s="28"/>
      <c r="O3540" s="28"/>
      <c r="U3540" s="28"/>
    </row>
    <row r="3541">
      <c r="N3541" s="28"/>
      <c r="O3541" s="28"/>
      <c r="U3541" s="28"/>
    </row>
    <row r="3542">
      <c r="N3542" s="28"/>
      <c r="O3542" s="28"/>
      <c r="U3542" s="28"/>
    </row>
    <row r="3543">
      <c r="N3543" s="28"/>
      <c r="O3543" s="28"/>
      <c r="U3543" s="28"/>
    </row>
    <row r="3544">
      <c r="N3544" s="28"/>
      <c r="O3544" s="28"/>
      <c r="U3544" s="28"/>
    </row>
    <row r="3545">
      <c r="N3545" s="28"/>
      <c r="O3545" s="28"/>
      <c r="U3545" s="28"/>
    </row>
    <row r="3546">
      <c r="N3546" s="28"/>
      <c r="O3546" s="28"/>
      <c r="U3546" s="28"/>
    </row>
    <row r="3547">
      <c r="N3547" s="28"/>
      <c r="O3547" s="28"/>
      <c r="U3547" s="28"/>
    </row>
    <row r="3548">
      <c r="N3548" s="28"/>
      <c r="O3548" s="28"/>
      <c r="U3548" s="28"/>
    </row>
    <row r="3549">
      <c r="N3549" s="28"/>
      <c r="O3549" s="28"/>
      <c r="U3549" s="28"/>
    </row>
    <row r="3550">
      <c r="N3550" s="28"/>
      <c r="O3550" s="28"/>
      <c r="U3550" s="28"/>
    </row>
    <row r="3551">
      <c r="N3551" s="28"/>
      <c r="O3551" s="28"/>
      <c r="U3551" s="28"/>
    </row>
    <row r="3552">
      <c r="N3552" s="28"/>
      <c r="O3552" s="28"/>
      <c r="U3552" s="28"/>
    </row>
    <row r="3553">
      <c r="N3553" s="28"/>
      <c r="O3553" s="28"/>
      <c r="U3553" s="28"/>
    </row>
    <row r="3554">
      <c r="N3554" s="28"/>
      <c r="O3554" s="28"/>
      <c r="U3554" s="28"/>
    </row>
    <row r="3555">
      <c r="N3555" s="28"/>
      <c r="O3555" s="28"/>
      <c r="U3555" s="28"/>
    </row>
    <row r="3556">
      <c r="N3556" s="28"/>
      <c r="O3556" s="28"/>
      <c r="U3556" s="28"/>
    </row>
    <row r="3557">
      <c r="N3557" s="28"/>
      <c r="O3557" s="28"/>
      <c r="U3557" s="28"/>
    </row>
    <row r="3558">
      <c r="N3558" s="28"/>
      <c r="O3558" s="28"/>
      <c r="U3558" s="28"/>
    </row>
    <row r="3559">
      <c r="N3559" s="28"/>
      <c r="O3559" s="28"/>
      <c r="U3559" s="28"/>
    </row>
    <row r="3560">
      <c r="N3560" s="28"/>
      <c r="O3560" s="28"/>
      <c r="U3560" s="28"/>
    </row>
    <row r="3561">
      <c r="N3561" s="28"/>
      <c r="O3561" s="28"/>
      <c r="U3561" s="28"/>
    </row>
    <row r="3562">
      <c r="N3562" s="28"/>
      <c r="O3562" s="28"/>
      <c r="U3562" s="28"/>
    </row>
    <row r="3563">
      <c r="N3563" s="28"/>
      <c r="O3563" s="28"/>
      <c r="U3563" s="28"/>
    </row>
    <row r="3564">
      <c r="N3564" s="28"/>
      <c r="O3564" s="28"/>
      <c r="U3564" s="28"/>
    </row>
    <row r="3565">
      <c r="N3565" s="28"/>
      <c r="O3565" s="28"/>
      <c r="U3565" s="28"/>
    </row>
    <row r="3566">
      <c r="N3566" s="28"/>
      <c r="O3566" s="28"/>
      <c r="U3566" s="28"/>
    </row>
    <row r="3567">
      <c r="N3567" s="28"/>
      <c r="O3567" s="28"/>
      <c r="U3567" s="28"/>
    </row>
    <row r="3568">
      <c r="N3568" s="28"/>
      <c r="O3568" s="28"/>
      <c r="U3568" s="28"/>
    </row>
    <row r="3569">
      <c r="N3569" s="28"/>
      <c r="O3569" s="28"/>
      <c r="U3569" s="28"/>
    </row>
    <row r="3570">
      <c r="N3570" s="28"/>
      <c r="O3570" s="28"/>
      <c r="U3570" s="28"/>
    </row>
    <row r="3571">
      <c r="N3571" s="28"/>
      <c r="O3571" s="28"/>
      <c r="U3571" s="28"/>
    </row>
    <row r="3572">
      <c r="N3572" s="28"/>
      <c r="O3572" s="28"/>
      <c r="U3572" s="28"/>
    </row>
    <row r="3573">
      <c r="N3573" s="28"/>
      <c r="O3573" s="28"/>
      <c r="U3573" s="28"/>
    </row>
    <row r="3574">
      <c r="N3574" s="28"/>
      <c r="O3574" s="28"/>
      <c r="U3574" s="28"/>
    </row>
    <row r="3575">
      <c r="N3575" s="28"/>
      <c r="O3575" s="28"/>
      <c r="U3575" s="28"/>
    </row>
    <row r="3576">
      <c r="N3576" s="28"/>
      <c r="O3576" s="28"/>
      <c r="U3576" s="28"/>
    </row>
    <row r="3577">
      <c r="N3577" s="28"/>
      <c r="O3577" s="28"/>
      <c r="U3577" s="28"/>
    </row>
    <row r="3578">
      <c r="N3578" s="28"/>
      <c r="O3578" s="28"/>
      <c r="U3578" s="28"/>
    </row>
    <row r="3579">
      <c r="N3579" s="28"/>
      <c r="O3579" s="28"/>
      <c r="U3579" s="28"/>
    </row>
    <row r="3580">
      <c r="N3580" s="28"/>
      <c r="O3580" s="28"/>
      <c r="U3580" s="28"/>
    </row>
    <row r="3581">
      <c r="N3581" s="28"/>
      <c r="O3581" s="28"/>
      <c r="U3581" s="28"/>
    </row>
    <row r="3582">
      <c r="N3582" s="28"/>
      <c r="O3582" s="28"/>
      <c r="U3582" s="28"/>
    </row>
    <row r="3583">
      <c r="N3583" s="28"/>
      <c r="O3583" s="28"/>
      <c r="U3583" s="28"/>
    </row>
    <row r="3584">
      <c r="N3584" s="28"/>
      <c r="O3584" s="28"/>
      <c r="U3584" s="28"/>
    </row>
    <row r="3585">
      <c r="N3585" s="28"/>
      <c r="O3585" s="28"/>
      <c r="U3585" s="28"/>
    </row>
    <row r="3586">
      <c r="N3586" s="28"/>
      <c r="O3586" s="28"/>
      <c r="U3586" s="28"/>
    </row>
    <row r="3587">
      <c r="N3587" s="28"/>
      <c r="O3587" s="28"/>
      <c r="U3587" s="28"/>
    </row>
    <row r="3588">
      <c r="N3588" s="28"/>
      <c r="O3588" s="28"/>
      <c r="U3588" s="28"/>
    </row>
    <row r="3589">
      <c r="N3589" s="28"/>
      <c r="O3589" s="28"/>
      <c r="U3589" s="28"/>
    </row>
    <row r="3590">
      <c r="N3590" s="28"/>
      <c r="O3590" s="28"/>
      <c r="U3590" s="28"/>
    </row>
    <row r="3591">
      <c r="N3591" s="28"/>
      <c r="O3591" s="28"/>
      <c r="U3591" s="28"/>
    </row>
    <row r="3592">
      <c r="N3592" s="28"/>
      <c r="O3592" s="28"/>
      <c r="U3592" s="28"/>
    </row>
    <row r="3593">
      <c r="N3593" s="28"/>
      <c r="O3593" s="28"/>
      <c r="U3593" s="28"/>
    </row>
    <row r="3594">
      <c r="N3594" s="28"/>
      <c r="O3594" s="28"/>
      <c r="U3594" s="28"/>
    </row>
    <row r="3595">
      <c r="N3595" s="28"/>
      <c r="O3595" s="28"/>
      <c r="U3595" s="28"/>
    </row>
    <row r="3596">
      <c r="N3596" s="28"/>
      <c r="O3596" s="28"/>
      <c r="U3596" s="28"/>
    </row>
    <row r="3597">
      <c r="N3597" s="28"/>
      <c r="O3597" s="28"/>
      <c r="U3597" s="28"/>
    </row>
    <row r="3598">
      <c r="N3598" s="28"/>
      <c r="O3598" s="28"/>
      <c r="U3598" s="28"/>
    </row>
    <row r="3599">
      <c r="N3599" s="28"/>
      <c r="O3599" s="28"/>
      <c r="U3599" s="28"/>
    </row>
    <row r="3600">
      <c r="N3600" s="28"/>
      <c r="O3600" s="28"/>
      <c r="U3600" s="28"/>
    </row>
    <row r="3601">
      <c r="N3601" s="28"/>
      <c r="O3601" s="28"/>
      <c r="U3601" s="28"/>
    </row>
    <row r="3602">
      <c r="N3602" s="28"/>
      <c r="O3602" s="28"/>
      <c r="U3602" s="28"/>
    </row>
    <row r="3603">
      <c r="N3603" s="28"/>
      <c r="O3603" s="28"/>
      <c r="U3603" s="28"/>
    </row>
    <row r="3604">
      <c r="N3604" s="28"/>
      <c r="O3604" s="28"/>
      <c r="U3604" s="28"/>
    </row>
    <row r="3605">
      <c r="N3605" s="28"/>
      <c r="O3605" s="28"/>
      <c r="U3605" s="28"/>
    </row>
    <row r="3606">
      <c r="N3606" s="28"/>
      <c r="O3606" s="28"/>
      <c r="U3606" s="28"/>
    </row>
    <row r="3607">
      <c r="N3607" s="28"/>
      <c r="O3607" s="28"/>
      <c r="U3607" s="28"/>
    </row>
    <row r="3608">
      <c r="N3608" s="28"/>
      <c r="O3608" s="28"/>
      <c r="U3608" s="28"/>
    </row>
    <row r="3609">
      <c r="N3609" s="28"/>
      <c r="O3609" s="28"/>
      <c r="U3609" s="28"/>
    </row>
    <row r="3610">
      <c r="N3610" s="28"/>
      <c r="O3610" s="28"/>
      <c r="U3610" s="28"/>
    </row>
    <row r="3611">
      <c r="N3611" s="28"/>
      <c r="O3611" s="28"/>
      <c r="U3611" s="28"/>
    </row>
    <row r="3612">
      <c r="N3612" s="28"/>
      <c r="O3612" s="28"/>
      <c r="U3612" s="28"/>
    </row>
    <row r="3613">
      <c r="N3613" s="28"/>
      <c r="O3613" s="28"/>
      <c r="U3613" s="28"/>
    </row>
    <row r="3614">
      <c r="N3614" s="28"/>
      <c r="O3614" s="28"/>
      <c r="U3614" s="28"/>
    </row>
    <row r="3615">
      <c r="N3615" s="28"/>
      <c r="O3615" s="28"/>
      <c r="U3615" s="28"/>
    </row>
    <row r="3616">
      <c r="N3616" s="28"/>
      <c r="O3616" s="28"/>
      <c r="U3616" s="28"/>
    </row>
    <row r="3617">
      <c r="N3617" s="28"/>
      <c r="O3617" s="28"/>
      <c r="U3617" s="28"/>
    </row>
    <row r="3618">
      <c r="N3618" s="28"/>
      <c r="O3618" s="28"/>
      <c r="U3618" s="28"/>
    </row>
    <row r="3619">
      <c r="N3619" s="28"/>
      <c r="O3619" s="28"/>
      <c r="U3619" s="28"/>
    </row>
    <row r="3620">
      <c r="N3620" s="28"/>
      <c r="O3620" s="28"/>
      <c r="U3620" s="28"/>
    </row>
    <row r="3621">
      <c r="N3621" s="28"/>
      <c r="O3621" s="28"/>
      <c r="U3621" s="28"/>
    </row>
    <row r="3622">
      <c r="N3622" s="28"/>
      <c r="O3622" s="28"/>
      <c r="U3622" s="28"/>
    </row>
    <row r="3623">
      <c r="N3623" s="28"/>
      <c r="O3623" s="28"/>
      <c r="U3623" s="28"/>
    </row>
    <row r="3624">
      <c r="N3624" s="28"/>
      <c r="O3624" s="28"/>
      <c r="U3624" s="28"/>
    </row>
    <row r="3625">
      <c r="N3625" s="28"/>
      <c r="O3625" s="28"/>
      <c r="U3625" s="28"/>
    </row>
    <row r="3626">
      <c r="N3626" s="28"/>
      <c r="O3626" s="28"/>
      <c r="U3626" s="28"/>
    </row>
    <row r="3627">
      <c r="N3627" s="28"/>
      <c r="O3627" s="28"/>
      <c r="U3627" s="28"/>
    </row>
    <row r="3628">
      <c r="N3628" s="28"/>
      <c r="O3628" s="28"/>
      <c r="U3628" s="28"/>
    </row>
    <row r="3629">
      <c r="N3629" s="28"/>
      <c r="O3629" s="28"/>
      <c r="U3629" s="28"/>
    </row>
    <row r="3630">
      <c r="N3630" s="28"/>
      <c r="O3630" s="28"/>
      <c r="U3630" s="28"/>
    </row>
    <row r="3631">
      <c r="N3631" s="28"/>
      <c r="O3631" s="28"/>
      <c r="U3631" s="28"/>
    </row>
    <row r="3632">
      <c r="N3632" s="28"/>
      <c r="O3632" s="28"/>
      <c r="U3632" s="28"/>
    </row>
    <row r="3633">
      <c r="N3633" s="28"/>
      <c r="O3633" s="28"/>
      <c r="U3633" s="28"/>
    </row>
    <row r="3634">
      <c r="N3634" s="28"/>
      <c r="O3634" s="28"/>
      <c r="U3634" s="28"/>
    </row>
    <row r="3635">
      <c r="N3635" s="28"/>
      <c r="O3635" s="28"/>
      <c r="U3635" s="28"/>
    </row>
    <row r="3636">
      <c r="N3636" s="28"/>
      <c r="O3636" s="28"/>
      <c r="U3636" s="28"/>
    </row>
    <row r="3637">
      <c r="N3637" s="28"/>
      <c r="O3637" s="28"/>
      <c r="U3637" s="28"/>
    </row>
    <row r="3638">
      <c r="N3638" s="28"/>
      <c r="O3638" s="28"/>
      <c r="U3638" s="28"/>
    </row>
    <row r="3639">
      <c r="N3639" s="28"/>
      <c r="O3639" s="28"/>
      <c r="U3639" s="28"/>
    </row>
    <row r="3640">
      <c r="N3640" s="28"/>
      <c r="O3640" s="28"/>
      <c r="U3640" s="28"/>
    </row>
    <row r="3641">
      <c r="N3641" s="28"/>
      <c r="O3641" s="28"/>
      <c r="U3641" s="28"/>
    </row>
    <row r="3642">
      <c r="N3642" s="28"/>
      <c r="O3642" s="28"/>
      <c r="U3642" s="28"/>
    </row>
    <row r="3643">
      <c r="N3643" s="28"/>
      <c r="O3643" s="28"/>
      <c r="U3643" s="28"/>
    </row>
    <row r="3644">
      <c r="N3644" s="28"/>
      <c r="O3644" s="28"/>
      <c r="U3644" s="28"/>
    </row>
    <row r="3645">
      <c r="N3645" s="28"/>
      <c r="O3645" s="28"/>
      <c r="U3645" s="28"/>
    </row>
    <row r="3646">
      <c r="N3646" s="28"/>
      <c r="O3646" s="28"/>
      <c r="U3646" s="28"/>
    </row>
    <row r="3647">
      <c r="N3647" s="28"/>
      <c r="O3647" s="28"/>
      <c r="U3647" s="28"/>
    </row>
    <row r="3648">
      <c r="N3648" s="28"/>
      <c r="O3648" s="28"/>
      <c r="U3648" s="28"/>
    </row>
    <row r="3649">
      <c r="N3649" s="28"/>
      <c r="O3649" s="28"/>
      <c r="U3649" s="28"/>
    </row>
    <row r="3650">
      <c r="N3650" s="28"/>
      <c r="O3650" s="28"/>
      <c r="U3650" s="28"/>
    </row>
    <row r="3651">
      <c r="N3651" s="28"/>
      <c r="O3651" s="28"/>
      <c r="U3651" s="28"/>
    </row>
    <row r="3652">
      <c r="N3652" s="28"/>
      <c r="O3652" s="28"/>
      <c r="U3652" s="28"/>
    </row>
    <row r="3653">
      <c r="N3653" s="28"/>
      <c r="O3653" s="28"/>
      <c r="U3653" s="28"/>
    </row>
    <row r="3654">
      <c r="N3654" s="28"/>
      <c r="O3654" s="28"/>
      <c r="U3654" s="28"/>
    </row>
    <row r="3655">
      <c r="N3655" s="28"/>
      <c r="O3655" s="28"/>
      <c r="U3655" s="28"/>
    </row>
    <row r="3656">
      <c r="N3656" s="28"/>
      <c r="O3656" s="28"/>
      <c r="U3656" s="28"/>
    </row>
    <row r="3657">
      <c r="N3657" s="28"/>
      <c r="O3657" s="28"/>
      <c r="U3657" s="28"/>
    </row>
    <row r="3658">
      <c r="N3658" s="28"/>
      <c r="O3658" s="28"/>
      <c r="U3658" s="28"/>
    </row>
    <row r="3659">
      <c r="N3659" s="28"/>
      <c r="O3659" s="28"/>
      <c r="U3659" s="28"/>
    </row>
    <row r="3660">
      <c r="N3660" s="28"/>
      <c r="O3660" s="28"/>
      <c r="U3660" s="28"/>
    </row>
    <row r="3661">
      <c r="N3661" s="28"/>
      <c r="O3661" s="28"/>
      <c r="U3661" s="28"/>
    </row>
    <row r="3662">
      <c r="N3662" s="28"/>
      <c r="O3662" s="28"/>
      <c r="U3662" s="28"/>
    </row>
    <row r="3663">
      <c r="N3663" s="28"/>
      <c r="O3663" s="28"/>
      <c r="U3663" s="28"/>
    </row>
    <row r="3664">
      <c r="N3664" s="28"/>
      <c r="O3664" s="28"/>
      <c r="U3664" s="28"/>
    </row>
    <row r="3665">
      <c r="N3665" s="28"/>
      <c r="O3665" s="28"/>
      <c r="U3665" s="28"/>
    </row>
    <row r="3666">
      <c r="N3666" s="28"/>
      <c r="O3666" s="28"/>
      <c r="U3666" s="28"/>
    </row>
    <row r="3667">
      <c r="N3667" s="28"/>
      <c r="O3667" s="28"/>
      <c r="U3667" s="28"/>
    </row>
    <row r="3668">
      <c r="N3668" s="28"/>
      <c r="O3668" s="28"/>
      <c r="U3668" s="28"/>
    </row>
    <row r="3669">
      <c r="N3669" s="28"/>
      <c r="O3669" s="28"/>
      <c r="U3669" s="28"/>
    </row>
    <row r="3670">
      <c r="N3670" s="28"/>
      <c r="O3670" s="28"/>
      <c r="U3670" s="28"/>
    </row>
    <row r="3671">
      <c r="N3671" s="28"/>
      <c r="O3671" s="28"/>
      <c r="U3671" s="28"/>
    </row>
    <row r="3672">
      <c r="N3672" s="28"/>
      <c r="O3672" s="28"/>
      <c r="U3672" s="28"/>
    </row>
    <row r="3673">
      <c r="N3673" s="28"/>
      <c r="O3673" s="28"/>
      <c r="U3673" s="28"/>
    </row>
    <row r="3674">
      <c r="N3674" s="28"/>
      <c r="O3674" s="28"/>
      <c r="U3674" s="28"/>
    </row>
    <row r="3675">
      <c r="N3675" s="28"/>
      <c r="O3675" s="28"/>
      <c r="U3675" s="28"/>
    </row>
    <row r="3676">
      <c r="N3676" s="28"/>
      <c r="O3676" s="28"/>
      <c r="U3676" s="28"/>
    </row>
    <row r="3677">
      <c r="N3677" s="28"/>
      <c r="O3677" s="28"/>
      <c r="U3677" s="28"/>
    </row>
    <row r="3678">
      <c r="N3678" s="28"/>
      <c r="O3678" s="28"/>
      <c r="U3678" s="28"/>
    </row>
    <row r="3679">
      <c r="N3679" s="28"/>
      <c r="O3679" s="28"/>
      <c r="U3679" s="28"/>
    </row>
    <row r="3680">
      <c r="N3680" s="28"/>
      <c r="O3680" s="28"/>
      <c r="U3680" s="28"/>
    </row>
    <row r="3681">
      <c r="N3681" s="28"/>
      <c r="O3681" s="28"/>
      <c r="U3681" s="28"/>
    </row>
    <row r="3682">
      <c r="N3682" s="28"/>
      <c r="O3682" s="28"/>
      <c r="U3682" s="28"/>
    </row>
    <row r="3683">
      <c r="N3683" s="28"/>
      <c r="O3683" s="28"/>
      <c r="U3683" s="28"/>
    </row>
    <row r="3684">
      <c r="N3684" s="28"/>
      <c r="O3684" s="28"/>
      <c r="U3684" s="28"/>
    </row>
    <row r="3685">
      <c r="N3685" s="28"/>
      <c r="O3685" s="28"/>
      <c r="U3685" s="28"/>
    </row>
    <row r="3686">
      <c r="N3686" s="28"/>
      <c r="O3686" s="28"/>
      <c r="U3686" s="28"/>
    </row>
    <row r="3687">
      <c r="N3687" s="28"/>
      <c r="O3687" s="28"/>
      <c r="U3687" s="28"/>
    </row>
    <row r="3688">
      <c r="N3688" s="28"/>
      <c r="O3688" s="28"/>
      <c r="U3688" s="28"/>
    </row>
    <row r="3689">
      <c r="N3689" s="28"/>
      <c r="O3689" s="28"/>
      <c r="U3689" s="28"/>
    </row>
    <row r="3690">
      <c r="N3690" s="28"/>
      <c r="O3690" s="28"/>
      <c r="U3690" s="28"/>
    </row>
    <row r="3691">
      <c r="N3691" s="28"/>
      <c r="O3691" s="28"/>
      <c r="U3691" s="28"/>
    </row>
    <row r="3692">
      <c r="N3692" s="28"/>
      <c r="O3692" s="28"/>
      <c r="U3692" s="28"/>
    </row>
    <row r="3693">
      <c r="N3693" s="28"/>
      <c r="O3693" s="28"/>
      <c r="U3693" s="28"/>
    </row>
    <row r="3694">
      <c r="N3694" s="28"/>
      <c r="O3694" s="28"/>
      <c r="U3694" s="28"/>
    </row>
    <row r="3695">
      <c r="N3695" s="28"/>
      <c r="O3695" s="28"/>
      <c r="U3695" s="28"/>
    </row>
    <row r="3696">
      <c r="N3696" s="28"/>
      <c r="O3696" s="28"/>
      <c r="U3696" s="28"/>
    </row>
    <row r="3697">
      <c r="N3697" s="28"/>
      <c r="O3697" s="28"/>
      <c r="U3697" s="28"/>
    </row>
    <row r="3698">
      <c r="N3698" s="28"/>
      <c r="O3698" s="28"/>
      <c r="U3698" s="28"/>
    </row>
    <row r="3699">
      <c r="N3699" s="28"/>
      <c r="O3699" s="28"/>
      <c r="U3699" s="28"/>
    </row>
    <row r="3700">
      <c r="N3700" s="28"/>
      <c r="O3700" s="28"/>
      <c r="U3700" s="28"/>
    </row>
    <row r="3701">
      <c r="N3701" s="28"/>
      <c r="O3701" s="28"/>
      <c r="U3701" s="28"/>
    </row>
    <row r="3702">
      <c r="N3702" s="28"/>
      <c r="O3702" s="28"/>
      <c r="U3702" s="28"/>
    </row>
    <row r="3703">
      <c r="N3703" s="28"/>
      <c r="O3703" s="28"/>
      <c r="U3703" s="28"/>
    </row>
    <row r="3704">
      <c r="N3704" s="28"/>
      <c r="O3704" s="28"/>
      <c r="U3704" s="28"/>
    </row>
    <row r="3705">
      <c r="N3705" s="28"/>
      <c r="O3705" s="28"/>
      <c r="U3705" s="28"/>
    </row>
    <row r="3706">
      <c r="N3706" s="28"/>
      <c r="O3706" s="28"/>
      <c r="U3706" s="28"/>
    </row>
    <row r="3707">
      <c r="N3707" s="28"/>
      <c r="O3707" s="28"/>
      <c r="U3707" s="28"/>
    </row>
    <row r="3708">
      <c r="N3708" s="28"/>
      <c r="O3708" s="28"/>
      <c r="U3708" s="28"/>
    </row>
    <row r="3709">
      <c r="N3709" s="28"/>
      <c r="O3709" s="28"/>
      <c r="U3709" s="28"/>
    </row>
    <row r="3710">
      <c r="N3710" s="28"/>
      <c r="O3710" s="28"/>
      <c r="U3710" s="28"/>
    </row>
    <row r="3711">
      <c r="N3711" s="28"/>
      <c r="O3711" s="28"/>
      <c r="U3711" s="28"/>
    </row>
    <row r="3712">
      <c r="N3712" s="28"/>
      <c r="O3712" s="28"/>
      <c r="U3712" s="28"/>
    </row>
    <row r="3713">
      <c r="N3713" s="28"/>
      <c r="O3713" s="28"/>
      <c r="U3713" s="28"/>
    </row>
    <row r="3714">
      <c r="N3714" s="28"/>
      <c r="O3714" s="28"/>
      <c r="U3714" s="28"/>
    </row>
    <row r="3715">
      <c r="N3715" s="28"/>
      <c r="O3715" s="28"/>
      <c r="U3715" s="28"/>
    </row>
    <row r="3716">
      <c r="N3716" s="28"/>
      <c r="O3716" s="28"/>
      <c r="U3716" s="28"/>
    </row>
    <row r="3717">
      <c r="N3717" s="28"/>
      <c r="O3717" s="28"/>
      <c r="U3717" s="28"/>
    </row>
    <row r="3718">
      <c r="N3718" s="28"/>
      <c r="O3718" s="28"/>
      <c r="U3718" s="28"/>
    </row>
    <row r="3719">
      <c r="N3719" s="28"/>
      <c r="O3719" s="28"/>
      <c r="U3719" s="28"/>
    </row>
    <row r="3720">
      <c r="N3720" s="28"/>
      <c r="O3720" s="28"/>
      <c r="U3720" s="28"/>
    </row>
    <row r="3721">
      <c r="N3721" s="28"/>
      <c r="O3721" s="28"/>
      <c r="U3721" s="28"/>
    </row>
    <row r="3722">
      <c r="N3722" s="28"/>
      <c r="O3722" s="28"/>
      <c r="U3722" s="28"/>
    </row>
    <row r="3723">
      <c r="N3723" s="28"/>
      <c r="O3723" s="28"/>
      <c r="U3723" s="28"/>
    </row>
    <row r="3724">
      <c r="N3724" s="28"/>
      <c r="O3724" s="28"/>
      <c r="U3724" s="28"/>
    </row>
    <row r="3725">
      <c r="N3725" s="28"/>
      <c r="O3725" s="28"/>
      <c r="U3725" s="28"/>
    </row>
    <row r="3726">
      <c r="N3726" s="28"/>
      <c r="O3726" s="28"/>
      <c r="U3726" s="28"/>
    </row>
    <row r="3727">
      <c r="N3727" s="28"/>
      <c r="O3727" s="28"/>
      <c r="U3727" s="28"/>
    </row>
    <row r="3728">
      <c r="N3728" s="28"/>
      <c r="O3728" s="28"/>
      <c r="U3728" s="28"/>
    </row>
    <row r="3729">
      <c r="N3729" s="28"/>
      <c r="O3729" s="28"/>
      <c r="U3729" s="28"/>
    </row>
    <row r="3730">
      <c r="N3730" s="28"/>
      <c r="O3730" s="28"/>
      <c r="U3730" s="28"/>
    </row>
    <row r="3731">
      <c r="N3731" s="28"/>
      <c r="O3731" s="28"/>
      <c r="U3731" s="28"/>
    </row>
    <row r="3732">
      <c r="N3732" s="28"/>
      <c r="O3732" s="28"/>
      <c r="U3732" s="28"/>
    </row>
    <row r="3733">
      <c r="N3733" s="28"/>
      <c r="O3733" s="28"/>
      <c r="U3733" s="28"/>
    </row>
    <row r="3734">
      <c r="N3734" s="28"/>
      <c r="O3734" s="28"/>
      <c r="U3734" s="28"/>
    </row>
    <row r="3735">
      <c r="N3735" s="28"/>
      <c r="O3735" s="28"/>
      <c r="U3735" s="28"/>
    </row>
    <row r="3736">
      <c r="N3736" s="28"/>
      <c r="O3736" s="28"/>
      <c r="U3736" s="28"/>
    </row>
    <row r="3737">
      <c r="N3737" s="28"/>
      <c r="O3737" s="28"/>
      <c r="U3737" s="28"/>
    </row>
    <row r="3738">
      <c r="N3738" s="28"/>
      <c r="O3738" s="28"/>
      <c r="U3738" s="28"/>
    </row>
    <row r="3739">
      <c r="N3739" s="28"/>
      <c r="O3739" s="28"/>
      <c r="U3739" s="28"/>
    </row>
    <row r="3740">
      <c r="N3740" s="28"/>
      <c r="O3740" s="28"/>
      <c r="U3740" s="28"/>
    </row>
    <row r="3741">
      <c r="N3741" s="28"/>
      <c r="O3741" s="28"/>
      <c r="U3741" s="28"/>
    </row>
    <row r="3742">
      <c r="N3742" s="28"/>
      <c r="O3742" s="28"/>
      <c r="U3742" s="28"/>
    </row>
    <row r="3743">
      <c r="N3743" s="28"/>
      <c r="O3743" s="28"/>
      <c r="U3743" s="28"/>
    </row>
    <row r="3744">
      <c r="N3744" s="28"/>
      <c r="O3744" s="28"/>
      <c r="U3744" s="28"/>
    </row>
    <row r="3745">
      <c r="N3745" s="28"/>
      <c r="O3745" s="28"/>
      <c r="U3745" s="28"/>
    </row>
    <row r="3746">
      <c r="N3746" s="28"/>
      <c r="O3746" s="28"/>
      <c r="U3746" s="28"/>
    </row>
    <row r="3747">
      <c r="N3747" s="28"/>
      <c r="O3747" s="28"/>
      <c r="U3747" s="28"/>
    </row>
    <row r="3748">
      <c r="N3748" s="28"/>
      <c r="O3748" s="28"/>
      <c r="U3748" s="28"/>
    </row>
    <row r="3749">
      <c r="N3749" s="28"/>
      <c r="O3749" s="28"/>
      <c r="U3749" s="28"/>
    </row>
    <row r="3750">
      <c r="N3750" s="28"/>
      <c r="O3750" s="28"/>
      <c r="U3750" s="28"/>
    </row>
    <row r="3751">
      <c r="N3751" s="28"/>
      <c r="O3751" s="28"/>
      <c r="U3751" s="28"/>
    </row>
    <row r="3752">
      <c r="N3752" s="28"/>
      <c r="O3752" s="28"/>
      <c r="U3752" s="28"/>
    </row>
    <row r="3753">
      <c r="N3753" s="28"/>
      <c r="O3753" s="28"/>
      <c r="U3753" s="28"/>
    </row>
    <row r="3754">
      <c r="N3754" s="28"/>
      <c r="O3754" s="28"/>
      <c r="U3754" s="28"/>
    </row>
    <row r="3755">
      <c r="N3755" s="28"/>
      <c r="O3755" s="28"/>
      <c r="U3755" s="28"/>
    </row>
    <row r="3756">
      <c r="N3756" s="28"/>
      <c r="O3756" s="28"/>
      <c r="U3756" s="28"/>
    </row>
    <row r="3757">
      <c r="N3757" s="28"/>
      <c r="O3757" s="28"/>
      <c r="U3757" s="28"/>
    </row>
    <row r="3758">
      <c r="N3758" s="28"/>
      <c r="O3758" s="28"/>
      <c r="U3758" s="28"/>
    </row>
    <row r="3759">
      <c r="N3759" s="28"/>
      <c r="O3759" s="28"/>
      <c r="U3759" s="28"/>
    </row>
    <row r="3760">
      <c r="N3760" s="28"/>
      <c r="O3760" s="28"/>
      <c r="U3760" s="28"/>
    </row>
    <row r="3761">
      <c r="N3761" s="28"/>
      <c r="O3761" s="28"/>
      <c r="U3761" s="28"/>
    </row>
    <row r="3762">
      <c r="N3762" s="28"/>
      <c r="O3762" s="28"/>
      <c r="U3762" s="28"/>
    </row>
    <row r="3763">
      <c r="N3763" s="28"/>
      <c r="O3763" s="28"/>
      <c r="U3763" s="28"/>
    </row>
    <row r="3764">
      <c r="N3764" s="28"/>
      <c r="O3764" s="28"/>
      <c r="U3764" s="28"/>
    </row>
    <row r="3765">
      <c r="N3765" s="28"/>
      <c r="O3765" s="28"/>
      <c r="U3765" s="28"/>
    </row>
    <row r="3766">
      <c r="N3766" s="28"/>
      <c r="O3766" s="28"/>
      <c r="U3766" s="28"/>
    </row>
    <row r="3767">
      <c r="N3767" s="28"/>
      <c r="O3767" s="28"/>
      <c r="U3767" s="28"/>
    </row>
    <row r="3768">
      <c r="N3768" s="28"/>
      <c r="O3768" s="28"/>
      <c r="U3768" s="28"/>
    </row>
    <row r="3769">
      <c r="N3769" s="28"/>
      <c r="O3769" s="28"/>
      <c r="U3769" s="28"/>
    </row>
    <row r="3770">
      <c r="N3770" s="28"/>
      <c r="O3770" s="28"/>
      <c r="U3770" s="28"/>
    </row>
    <row r="3771">
      <c r="N3771" s="28"/>
      <c r="O3771" s="28"/>
      <c r="U3771" s="28"/>
    </row>
    <row r="3772">
      <c r="N3772" s="28"/>
      <c r="O3772" s="28"/>
      <c r="U3772" s="28"/>
    </row>
    <row r="3773">
      <c r="N3773" s="28"/>
      <c r="O3773" s="28"/>
      <c r="U3773" s="28"/>
    </row>
    <row r="3774">
      <c r="N3774" s="28"/>
      <c r="O3774" s="28"/>
      <c r="U3774" s="28"/>
    </row>
    <row r="3775">
      <c r="N3775" s="28"/>
      <c r="O3775" s="28"/>
      <c r="U3775" s="28"/>
    </row>
    <row r="3776">
      <c r="N3776" s="28"/>
      <c r="O3776" s="28"/>
      <c r="U3776" s="28"/>
    </row>
    <row r="3777">
      <c r="N3777" s="28"/>
      <c r="O3777" s="28"/>
      <c r="U3777" s="28"/>
    </row>
    <row r="3778">
      <c r="N3778" s="28"/>
      <c r="O3778" s="28"/>
      <c r="U3778" s="28"/>
    </row>
    <row r="3779">
      <c r="N3779" s="28"/>
      <c r="O3779" s="28"/>
      <c r="U3779" s="28"/>
    </row>
    <row r="3780">
      <c r="N3780" s="28"/>
      <c r="O3780" s="28"/>
      <c r="U3780" s="28"/>
    </row>
    <row r="3781">
      <c r="N3781" s="28"/>
      <c r="O3781" s="28"/>
      <c r="U3781" s="28"/>
    </row>
    <row r="3782">
      <c r="N3782" s="28"/>
      <c r="O3782" s="28"/>
      <c r="U3782" s="28"/>
    </row>
    <row r="3783">
      <c r="N3783" s="28"/>
      <c r="O3783" s="28"/>
      <c r="U3783" s="28"/>
    </row>
    <row r="3784">
      <c r="N3784" s="28"/>
      <c r="O3784" s="28"/>
      <c r="U3784" s="28"/>
    </row>
    <row r="3785">
      <c r="N3785" s="28"/>
      <c r="O3785" s="28"/>
      <c r="U3785" s="28"/>
    </row>
    <row r="3786">
      <c r="N3786" s="28"/>
      <c r="O3786" s="28"/>
      <c r="U3786" s="28"/>
    </row>
    <row r="3787">
      <c r="N3787" s="28"/>
      <c r="O3787" s="28"/>
      <c r="U3787" s="28"/>
    </row>
    <row r="3788">
      <c r="N3788" s="28"/>
      <c r="O3788" s="28"/>
      <c r="U3788" s="28"/>
    </row>
    <row r="3789">
      <c r="N3789" s="28"/>
      <c r="O3789" s="28"/>
      <c r="U3789" s="28"/>
    </row>
    <row r="3790">
      <c r="N3790" s="28"/>
      <c r="O3790" s="28"/>
      <c r="U3790" s="28"/>
    </row>
    <row r="3791">
      <c r="N3791" s="28"/>
      <c r="O3791" s="28"/>
      <c r="U3791" s="28"/>
    </row>
    <row r="3792">
      <c r="N3792" s="28"/>
      <c r="O3792" s="28"/>
      <c r="U3792" s="28"/>
    </row>
    <row r="3793">
      <c r="N3793" s="28"/>
      <c r="O3793" s="28"/>
      <c r="U3793" s="28"/>
    </row>
    <row r="3794">
      <c r="N3794" s="28"/>
      <c r="O3794" s="28"/>
      <c r="U3794" s="28"/>
    </row>
    <row r="3795">
      <c r="N3795" s="28"/>
      <c r="O3795" s="28"/>
      <c r="U3795" s="28"/>
    </row>
    <row r="3796">
      <c r="N3796" s="28"/>
      <c r="O3796" s="28"/>
      <c r="U3796" s="28"/>
    </row>
    <row r="3797">
      <c r="N3797" s="28"/>
      <c r="O3797" s="28"/>
      <c r="U3797" s="28"/>
    </row>
    <row r="3798">
      <c r="N3798" s="28"/>
      <c r="O3798" s="28"/>
      <c r="U3798" s="28"/>
    </row>
    <row r="3799">
      <c r="N3799" s="28"/>
      <c r="O3799" s="28"/>
      <c r="U3799" s="28"/>
    </row>
    <row r="3800">
      <c r="N3800" s="28"/>
      <c r="O3800" s="28"/>
      <c r="U3800" s="28"/>
    </row>
    <row r="3801">
      <c r="N3801" s="28"/>
      <c r="O3801" s="28"/>
      <c r="U3801" s="28"/>
    </row>
    <row r="3802">
      <c r="N3802" s="28"/>
      <c r="O3802" s="28"/>
      <c r="U3802" s="28"/>
    </row>
    <row r="3803">
      <c r="N3803" s="28"/>
      <c r="O3803" s="28"/>
      <c r="U3803" s="28"/>
    </row>
    <row r="3804">
      <c r="N3804" s="28"/>
      <c r="O3804" s="28"/>
      <c r="U3804" s="28"/>
    </row>
    <row r="3805">
      <c r="N3805" s="28"/>
      <c r="O3805" s="28"/>
      <c r="U3805" s="28"/>
    </row>
    <row r="3806">
      <c r="N3806" s="28"/>
      <c r="O3806" s="28"/>
      <c r="U3806" s="28"/>
    </row>
    <row r="3807">
      <c r="N3807" s="28"/>
      <c r="O3807" s="28"/>
      <c r="U3807" s="28"/>
    </row>
    <row r="3808">
      <c r="N3808" s="28"/>
      <c r="O3808" s="28"/>
      <c r="U3808" s="28"/>
    </row>
    <row r="3809">
      <c r="N3809" s="28"/>
      <c r="O3809" s="28"/>
      <c r="U3809" s="28"/>
    </row>
    <row r="3810">
      <c r="N3810" s="28"/>
      <c r="O3810" s="28"/>
      <c r="U3810" s="28"/>
    </row>
    <row r="3811">
      <c r="N3811" s="28"/>
      <c r="O3811" s="28"/>
      <c r="U3811" s="28"/>
    </row>
    <row r="3812">
      <c r="N3812" s="28"/>
      <c r="O3812" s="28"/>
      <c r="U3812" s="28"/>
    </row>
    <row r="3813">
      <c r="N3813" s="28"/>
      <c r="O3813" s="28"/>
      <c r="U3813" s="28"/>
    </row>
    <row r="3814">
      <c r="N3814" s="28"/>
      <c r="O3814" s="28"/>
      <c r="U3814" s="28"/>
    </row>
    <row r="3815">
      <c r="N3815" s="28"/>
      <c r="O3815" s="28"/>
      <c r="U3815" s="28"/>
    </row>
    <row r="3816">
      <c r="N3816" s="28"/>
      <c r="O3816" s="28"/>
      <c r="U3816" s="28"/>
    </row>
    <row r="3817">
      <c r="N3817" s="28"/>
      <c r="O3817" s="28"/>
      <c r="U3817" s="28"/>
    </row>
    <row r="3818">
      <c r="N3818" s="28"/>
      <c r="O3818" s="28"/>
      <c r="U3818" s="28"/>
    </row>
    <row r="3819">
      <c r="N3819" s="28"/>
      <c r="O3819" s="28"/>
      <c r="U3819" s="28"/>
    </row>
    <row r="3820">
      <c r="N3820" s="28"/>
      <c r="O3820" s="28"/>
      <c r="U3820" s="28"/>
    </row>
    <row r="3821">
      <c r="N3821" s="28"/>
      <c r="O3821" s="28"/>
      <c r="U3821" s="28"/>
    </row>
    <row r="3822">
      <c r="N3822" s="28"/>
      <c r="O3822" s="28"/>
      <c r="U3822" s="28"/>
    </row>
    <row r="3823">
      <c r="N3823" s="28"/>
      <c r="O3823" s="28"/>
      <c r="U3823" s="28"/>
    </row>
    <row r="3824">
      <c r="N3824" s="28"/>
      <c r="O3824" s="28"/>
      <c r="U3824" s="28"/>
    </row>
    <row r="3825">
      <c r="N3825" s="28"/>
      <c r="O3825" s="28"/>
      <c r="U3825" s="28"/>
    </row>
    <row r="3826">
      <c r="N3826" s="28"/>
      <c r="O3826" s="28"/>
      <c r="U3826" s="28"/>
    </row>
    <row r="3827">
      <c r="N3827" s="28"/>
      <c r="O3827" s="28"/>
      <c r="U3827" s="28"/>
    </row>
    <row r="3828">
      <c r="N3828" s="28"/>
      <c r="O3828" s="28"/>
      <c r="U3828" s="28"/>
    </row>
    <row r="3829">
      <c r="N3829" s="28"/>
      <c r="O3829" s="28"/>
      <c r="U3829" s="28"/>
    </row>
    <row r="3830">
      <c r="N3830" s="28"/>
      <c r="O3830" s="28"/>
      <c r="U3830" s="28"/>
    </row>
    <row r="3831">
      <c r="N3831" s="28"/>
      <c r="O3831" s="28"/>
      <c r="U3831" s="28"/>
    </row>
    <row r="3832">
      <c r="N3832" s="28"/>
      <c r="O3832" s="28"/>
      <c r="U3832" s="28"/>
    </row>
    <row r="3833">
      <c r="N3833" s="28"/>
      <c r="O3833" s="28"/>
      <c r="U3833" s="28"/>
    </row>
    <row r="3834">
      <c r="N3834" s="28"/>
      <c r="O3834" s="28"/>
      <c r="U3834" s="28"/>
    </row>
    <row r="3835">
      <c r="N3835" s="28"/>
      <c r="O3835" s="28"/>
      <c r="U3835" s="28"/>
    </row>
    <row r="3836">
      <c r="N3836" s="28"/>
      <c r="O3836" s="28"/>
      <c r="U3836" s="28"/>
    </row>
    <row r="3837">
      <c r="N3837" s="28"/>
      <c r="O3837" s="28"/>
      <c r="U3837" s="28"/>
    </row>
    <row r="3838">
      <c r="N3838" s="28"/>
      <c r="O3838" s="28"/>
      <c r="U3838" s="28"/>
    </row>
    <row r="3839">
      <c r="N3839" s="28"/>
      <c r="O3839" s="28"/>
      <c r="U3839" s="28"/>
    </row>
    <row r="3840">
      <c r="N3840" s="28"/>
      <c r="O3840" s="28"/>
      <c r="U3840" s="28"/>
    </row>
    <row r="3841">
      <c r="N3841" s="28"/>
      <c r="O3841" s="28"/>
      <c r="U3841" s="28"/>
    </row>
    <row r="3842">
      <c r="N3842" s="28"/>
      <c r="O3842" s="28"/>
      <c r="U3842" s="28"/>
    </row>
    <row r="3843">
      <c r="N3843" s="28"/>
      <c r="O3843" s="28"/>
      <c r="U3843" s="28"/>
    </row>
    <row r="3844">
      <c r="N3844" s="28"/>
      <c r="O3844" s="28"/>
      <c r="U3844" s="28"/>
    </row>
    <row r="3845">
      <c r="N3845" s="28"/>
      <c r="O3845" s="28"/>
      <c r="U3845" s="28"/>
    </row>
    <row r="3846">
      <c r="N3846" s="28"/>
      <c r="O3846" s="28"/>
      <c r="U3846" s="28"/>
    </row>
    <row r="3847">
      <c r="N3847" s="28"/>
      <c r="O3847" s="28"/>
      <c r="U3847" s="28"/>
    </row>
    <row r="3848">
      <c r="N3848" s="28"/>
      <c r="O3848" s="28"/>
      <c r="U3848" s="28"/>
    </row>
    <row r="3849">
      <c r="N3849" s="28"/>
      <c r="O3849" s="28"/>
      <c r="U3849" s="28"/>
    </row>
    <row r="3850">
      <c r="N3850" s="28"/>
      <c r="O3850" s="28"/>
      <c r="U3850" s="28"/>
    </row>
    <row r="3851">
      <c r="N3851" s="28"/>
      <c r="O3851" s="28"/>
      <c r="U3851" s="28"/>
    </row>
    <row r="3852">
      <c r="N3852" s="28"/>
      <c r="O3852" s="28"/>
      <c r="U3852" s="28"/>
    </row>
    <row r="3853">
      <c r="N3853" s="28"/>
      <c r="O3853" s="28"/>
      <c r="U3853" s="28"/>
    </row>
    <row r="3854">
      <c r="N3854" s="28"/>
      <c r="O3854" s="28"/>
      <c r="U3854" s="28"/>
    </row>
    <row r="3855">
      <c r="N3855" s="28"/>
      <c r="O3855" s="28"/>
      <c r="U3855" s="28"/>
    </row>
    <row r="3856">
      <c r="N3856" s="28"/>
      <c r="O3856" s="28"/>
      <c r="U3856" s="28"/>
    </row>
    <row r="3857">
      <c r="N3857" s="28"/>
      <c r="O3857" s="28"/>
      <c r="U3857" s="28"/>
    </row>
    <row r="3858">
      <c r="N3858" s="28"/>
      <c r="O3858" s="28"/>
      <c r="U3858" s="28"/>
    </row>
    <row r="3859">
      <c r="N3859" s="28"/>
      <c r="O3859" s="28"/>
      <c r="U3859" s="28"/>
    </row>
    <row r="3860">
      <c r="N3860" s="28"/>
      <c r="O3860" s="28"/>
      <c r="U3860" s="28"/>
    </row>
    <row r="3861">
      <c r="N3861" s="28"/>
      <c r="O3861" s="28"/>
      <c r="U3861" s="28"/>
    </row>
    <row r="3862">
      <c r="N3862" s="28"/>
      <c r="O3862" s="28"/>
      <c r="U3862" s="28"/>
    </row>
    <row r="3863">
      <c r="N3863" s="28"/>
      <c r="O3863" s="28"/>
      <c r="U3863" s="28"/>
    </row>
    <row r="3864">
      <c r="N3864" s="28"/>
      <c r="O3864" s="28"/>
      <c r="U3864" s="28"/>
    </row>
    <row r="3865">
      <c r="N3865" s="28"/>
      <c r="O3865" s="28"/>
      <c r="U3865" s="28"/>
    </row>
    <row r="3866">
      <c r="N3866" s="28"/>
      <c r="O3866" s="28"/>
      <c r="U3866" s="28"/>
    </row>
    <row r="3867">
      <c r="N3867" s="28"/>
      <c r="O3867" s="28"/>
      <c r="U3867" s="28"/>
    </row>
    <row r="3868">
      <c r="N3868" s="28"/>
      <c r="O3868" s="28"/>
      <c r="U3868" s="28"/>
    </row>
    <row r="3869">
      <c r="N3869" s="28"/>
      <c r="O3869" s="28"/>
      <c r="U3869" s="28"/>
    </row>
    <row r="3870">
      <c r="N3870" s="28"/>
      <c r="O3870" s="28"/>
      <c r="U3870" s="28"/>
    </row>
    <row r="3871">
      <c r="N3871" s="28"/>
      <c r="O3871" s="28"/>
      <c r="U3871" s="28"/>
    </row>
    <row r="3872">
      <c r="N3872" s="28"/>
      <c r="O3872" s="28"/>
      <c r="U3872" s="28"/>
    </row>
    <row r="3873">
      <c r="N3873" s="28"/>
      <c r="O3873" s="28"/>
      <c r="U3873" s="28"/>
    </row>
    <row r="3874">
      <c r="N3874" s="28"/>
      <c r="O3874" s="28"/>
      <c r="U3874" s="28"/>
    </row>
    <row r="3875">
      <c r="N3875" s="28"/>
      <c r="O3875" s="28"/>
      <c r="U3875" s="28"/>
    </row>
    <row r="3876">
      <c r="N3876" s="28"/>
      <c r="O3876" s="28"/>
      <c r="U3876" s="28"/>
    </row>
    <row r="3877">
      <c r="N3877" s="28"/>
      <c r="O3877" s="28"/>
      <c r="U3877" s="28"/>
    </row>
    <row r="3878">
      <c r="N3878" s="28"/>
      <c r="O3878" s="28"/>
      <c r="U3878" s="28"/>
    </row>
    <row r="3879">
      <c r="N3879" s="28"/>
      <c r="O3879" s="28"/>
      <c r="U3879" s="28"/>
    </row>
    <row r="3880">
      <c r="N3880" s="28"/>
      <c r="O3880" s="28"/>
      <c r="U3880" s="28"/>
    </row>
    <row r="3881">
      <c r="N3881" s="28"/>
      <c r="O3881" s="28"/>
      <c r="U3881" s="28"/>
    </row>
    <row r="3882">
      <c r="N3882" s="28"/>
      <c r="O3882" s="28"/>
      <c r="U3882" s="28"/>
    </row>
    <row r="3883">
      <c r="N3883" s="28"/>
      <c r="O3883" s="28"/>
      <c r="U3883" s="28"/>
    </row>
    <row r="3884">
      <c r="N3884" s="28"/>
      <c r="O3884" s="28"/>
      <c r="U3884" s="28"/>
    </row>
    <row r="3885">
      <c r="N3885" s="28"/>
      <c r="O3885" s="28"/>
      <c r="U3885" s="28"/>
    </row>
    <row r="3886">
      <c r="N3886" s="28"/>
      <c r="O3886" s="28"/>
      <c r="U3886" s="28"/>
    </row>
    <row r="3887">
      <c r="N3887" s="28"/>
      <c r="O3887" s="28"/>
      <c r="U3887" s="28"/>
    </row>
    <row r="3888">
      <c r="N3888" s="28"/>
      <c r="O3888" s="28"/>
      <c r="U3888" s="28"/>
    </row>
    <row r="3889">
      <c r="N3889" s="28"/>
      <c r="O3889" s="28"/>
      <c r="U3889" s="28"/>
    </row>
    <row r="3890">
      <c r="N3890" s="28"/>
      <c r="O3890" s="28"/>
      <c r="U3890" s="28"/>
    </row>
    <row r="3891">
      <c r="N3891" s="28"/>
      <c r="O3891" s="28"/>
      <c r="U3891" s="28"/>
    </row>
    <row r="3892">
      <c r="N3892" s="28"/>
      <c r="O3892" s="28"/>
      <c r="U3892" s="28"/>
    </row>
    <row r="3893">
      <c r="N3893" s="28"/>
      <c r="O3893" s="28"/>
      <c r="U3893" s="28"/>
    </row>
    <row r="3894">
      <c r="N3894" s="28"/>
      <c r="O3894" s="28"/>
      <c r="U3894" s="28"/>
    </row>
    <row r="3895">
      <c r="N3895" s="28"/>
      <c r="O3895" s="28"/>
      <c r="U3895" s="28"/>
    </row>
    <row r="3896">
      <c r="N3896" s="28"/>
      <c r="O3896" s="28"/>
      <c r="U3896" s="28"/>
    </row>
    <row r="3897">
      <c r="N3897" s="28"/>
      <c r="O3897" s="28"/>
      <c r="U3897" s="28"/>
    </row>
    <row r="3898">
      <c r="N3898" s="28"/>
      <c r="O3898" s="28"/>
      <c r="U3898" s="28"/>
    </row>
    <row r="3899">
      <c r="N3899" s="28"/>
      <c r="O3899" s="28"/>
      <c r="U3899" s="28"/>
    </row>
    <row r="3900">
      <c r="N3900" s="28"/>
      <c r="O3900" s="28"/>
      <c r="U3900" s="28"/>
    </row>
    <row r="3901">
      <c r="N3901" s="28"/>
      <c r="O3901" s="28"/>
      <c r="U3901" s="28"/>
    </row>
    <row r="3902">
      <c r="N3902" s="28"/>
      <c r="O3902" s="28"/>
      <c r="U3902" s="28"/>
    </row>
    <row r="3903">
      <c r="N3903" s="28"/>
      <c r="O3903" s="28"/>
      <c r="U3903" s="28"/>
    </row>
    <row r="3904">
      <c r="N3904" s="28"/>
      <c r="O3904" s="28"/>
      <c r="U3904" s="28"/>
    </row>
    <row r="3905">
      <c r="N3905" s="28"/>
      <c r="O3905" s="28"/>
      <c r="U3905" s="28"/>
    </row>
    <row r="3906">
      <c r="N3906" s="28"/>
      <c r="O3906" s="28"/>
      <c r="U3906" s="28"/>
    </row>
    <row r="3907">
      <c r="N3907" s="28"/>
      <c r="O3907" s="28"/>
      <c r="U3907" s="28"/>
    </row>
    <row r="3908">
      <c r="N3908" s="28"/>
      <c r="O3908" s="28"/>
      <c r="U3908" s="28"/>
    </row>
    <row r="3909">
      <c r="N3909" s="28"/>
      <c r="O3909" s="28"/>
      <c r="U3909" s="28"/>
    </row>
    <row r="3910">
      <c r="N3910" s="28"/>
      <c r="O3910" s="28"/>
      <c r="U3910" s="28"/>
    </row>
    <row r="3911">
      <c r="N3911" s="28"/>
      <c r="O3911" s="28"/>
      <c r="U3911" s="28"/>
    </row>
    <row r="3912">
      <c r="N3912" s="28"/>
      <c r="O3912" s="28"/>
      <c r="U3912" s="28"/>
    </row>
    <row r="3913">
      <c r="N3913" s="28"/>
      <c r="O3913" s="28"/>
      <c r="U3913" s="28"/>
    </row>
    <row r="3914">
      <c r="N3914" s="28"/>
      <c r="O3914" s="28"/>
      <c r="U3914" s="28"/>
    </row>
    <row r="3915">
      <c r="N3915" s="28"/>
      <c r="O3915" s="28"/>
      <c r="U3915" s="28"/>
    </row>
    <row r="3916">
      <c r="N3916" s="28"/>
      <c r="O3916" s="28"/>
      <c r="U3916" s="28"/>
    </row>
    <row r="3917">
      <c r="N3917" s="28"/>
      <c r="O3917" s="28"/>
      <c r="U3917" s="28"/>
    </row>
    <row r="3918">
      <c r="N3918" s="28"/>
      <c r="O3918" s="28"/>
      <c r="U3918" s="28"/>
    </row>
    <row r="3919">
      <c r="N3919" s="28"/>
      <c r="O3919" s="28"/>
      <c r="U3919" s="28"/>
    </row>
    <row r="3920">
      <c r="N3920" s="28"/>
      <c r="O3920" s="28"/>
      <c r="U3920" s="28"/>
    </row>
    <row r="3921">
      <c r="N3921" s="28"/>
      <c r="O3921" s="28"/>
      <c r="U3921" s="28"/>
    </row>
    <row r="3922">
      <c r="N3922" s="28"/>
      <c r="O3922" s="28"/>
      <c r="U3922" s="28"/>
    </row>
    <row r="3923">
      <c r="N3923" s="28"/>
      <c r="O3923" s="28"/>
      <c r="U3923" s="28"/>
    </row>
    <row r="3924">
      <c r="N3924" s="28"/>
      <c r="O3924" s="28"/>
      <c r="U3924" s="28"/>
    </row>
    <row r="3925">
      <c r="N3925" s="28"/>
      <c r="O3925" s="28"/>
      <c r="U3925" s="28"/>
    </row>
    <row r="3926">
      <c r="N3926" s="28"/>
      <c r="O3926" s="28"/>
      <c r="U3926" s="28"/>
    </row>
    <row r="3927">
      <c r="N3927" s="28"/>
      <c r="O3927" s="28"/>
      <c r="U3927" s="28"/>
    </row>
    <row r="3928">
      <c r="N3928" s="28"/>
      <c r="O3928" s="28"/>
      <c r="U3928" s="28"/>
    </row>
    <row r="3929">
      <c r="N3929" s="28"/>
      <c r="O3929" s="28"/>
      <c r="U3929" s="28"/>
    </row>
    <row r="3930">
      <c r="N3930" s="28"/>
      <c r="O3930" s="28"/>
      <c r="U3930" s="28"/>
    </row>
    <row r="3931">
      <c r="N3931" s="28"/>
      <c r="O3931" s="28"/>
      <c r="U3931" s="28"/>
    </row>
    <row r="3932">
      <c r="N3932" s="28"/>
      <c r="O3932" s="28"/>
      <c r="U3932" s="28"/>
    </row>
    <row r="3933">
      <c r="N3933" s="28"/>
      <c r="O3933" s="28"/>
      <c r="U3933" s="28"/>
    </row>
    <row r="3934">
      <c r="N3934" s="28"/>
      <c r="O3934" s="28"/>
      <c r="U3934" s="28"/>
    </row>
    <row r="3935">
      <c r="N3935" s="28"/>
      <c r="O3935" s="28"/>
      <c r="U3935" s="28"/>
    </row>
    <row r="3936">
      <c r="N3936" s="28"/>
      <c r="O3936" s="28"/>
      <c r="U3936" s="28"/>
    </row>
    <row r="3937">
      <c r="N3937" s="28"/>
      <c r="O3937" s="28"/>
      <c r="U3937" s="28"/>
    </row>
    <row r="3938">
      <c r="N3938" s="28"/>
      <c r="O3938" s="28"/>
      <c r="U3938" s="28"/>
    </row>
    <row r="3939">
      <c r="N3939" s="28"/>
      <c r="O3939" s="28"/>
      <c r="U3939" s="28"/>
    </row>
    <row r="3940">
      <c r="N3940" s="28"/>
      <c r="O3940" s="28"/>
      <c r="U3940" s="28"/>
    </row>
    <row r="3941">
      <c r="N3941" s="28"/>
      <c r="O3941" s="28"/>
      <c r="U3941" s="28"/>
    </row>
    <row r="3942">
      <c r="N3942" s="28"/>
      <c r="O3942" s="28"/>
      <c r="U3942" s="28"/>
    </row>
    <row r="3943">
      <c r="N3943" s="28"/>
      <c r="O3943" s="28"/>
      <c r="U3943" s="28"/>
    </row>
    <row r="3944">
      <c r="N3944" s="28"/>
      <c r="O3944" s="28"/>
      <c r="U3944" s="28"/>
    </row>
    <row r="3945">
      <c r="N3945" s="28"/>
      <c r="O3945" s="28"/>
      <c r="U3945" s="28"/>
    </row>
    <row r="3946">
      <c r="N3946" s="28"/>
      <c r="O3946" s="28"/>
      <c r="U3946" s="28"/>
    </row>
    <row r="3947">
      <c r="N3947" s="28"/>
      <c r="O3947" s="28"/>
      <c r="U3947" s="28"/>
    </row>
    <row r="3948">
      <c r="N3948" s="28"/>
      <c r="O3948" s="28"/>
      <c r="U3948" s="28"/>
    </row>
    <row r="3949">
      <c r="N3949" s="28"/>
      <c r="O3949" s="28"/>
      <c r="U3949" s="28"/>
    </row>
    <row r="3950">
      <c r="N3950" s="28"/>
      <c r="O3950" s="28"/>
      <c r="U3950" s="28"/>
    </row>
    <row r="3951">
      <c r="N3951" s="28"/>
      <c r="O3951" s="28"/>
      <c r="U3951" s="28"/>
    </row>
    <row r="3952">
      <c r="N3952" s="28"/>
      <c r="O3952" s="28"/>
      <c r="U3952" s="28"/>
    </row>
    <row r="3953">
      <c r="N3953" s="28"/>
      <c r="O3953" s="28"/>
      <c r="U3953" s="28"/>
    </row>
    <row r="3954">
      <c r="N3954" s="28"/>
      <c r="O3954" s="28"/>
      <c r="U3954" s="28"/>
    </row>
    <row r="3955">
      <c r="N3955" s="28"/>
      <c r="O3955" s="28"/>
      <c r="U3955" s="28"/>
    </row>
    <row r="3956">
      <c r="N3956" s="28"/>
      <c r="O3956" s="28"/>
      <c r="U3956" s="28"/>
    </row>
    <row r="3957">
      <c r="N3957" s="28"/>
      <c r="O3957" s="28"/>
      <c r="U3957" s="28"/>
    </row>
    <row r="3958">
      <c r="N3958" s="28"/>
      <c r="O3958" s="28"/>
      <c r="U3958" s="28"/>
    </row>
    <row r="3959">
      <c r="N3959" s="28"/>
      <c r="O3959" s="28"/>
      <c r="U3959" s="28"/>
    </row>
    <row r="3960">
      <c r="N3960" s="28"/>
      <c r="O3960" s="28"/>
      <c r="U3960" s="28"/>
    </row>
    <row r="3961">
      <c r="N3961" s="28"/>
      <c r="O3961" s="28"/>
      <c r="U3961" s="28"/>
    </row>
    <row r="3962">
      <c r="N3962" s="28"/>
      <c r="O3962" s="28"/>
      <c r="U3962" s="28"/>
    </row>
    <row r="3963">
      <c r="N3963" s="28"/>
      <c r="O3963" s="28"/>
      <c r="U3963" s="28"/>
    </row>
    <row r="3964">
      <c r="N3964" s="28"/>
      <c r="O3964" s="28"/>
      <c r="U3964" s="28"/>
    </row>
    <row r="3965">
      <c r="N3965" s="28"/>
      <c r="O3965" s="28"/>
      <c r="U3965" s="28"/>
    </row>
    <row r="3966">
      <c r="N3966" s="28"/>
      <c r="O3966" s="28"/>
      <c r="U3966" s="28"/>
    </row>
    <row r="3967">
      <c r="N3967" s="28"/>
      <c r="O3967" s="28"/>
      <c r="U3967" s="28"/>
    </row>
    <row r="3968">
      <c r="N3968" s="28"/>
      <c r="O3968" s="28"/>
      <c r="U3968" s="28"/>
    </row>
    <row r="3969">
      <c r="N3969" s="28"/>
      <c r="O3969" s="28"/>
      <c r="U3969" s="28"/>
    </row>
    <row r="3970">
      <c r="N3970" s="28"/>
      <c r="O3970" s="28"/>
      <c r="U3970" s="28"/>
    </row>
    <row r="3971">
      <c r="N3971" s="28"/>
      <c r="O3971" s="28"/>
      <c r="U3971" s="28"/>
    </row>
    <row r="3972">
      <c r="N3972" s="28"/>
      <c r="O3972" s="28"/>
      <c r="U3972" s="28"/>
    </row>
    <row r="3973">
      <c r="N3973" s="28"/>
      <c r="O3973" s="28"/>
      <c r="U3973" s="28"/>
    </row>
    <row r="3974">
      <c r="N3974" s="28"/>
      <c r="O3974" s="28"/>
      <c r="U3974" s="28"/>
    </row>
    <row r="3975">
      <c r="N3975" s="28"/>
      <c r="O3975" s="28"/>
      <c r="U3975" s="28"/>
    </row>
    <row r="3976">
      <c r="N3976" s="28"/>
      <c r="O3976" s="28"/>
      <c r="U3976" s="28"/>
    </row>
    <row r="3977">
      <c r="N3977" s="28"/>
      <c r="O3977" s="28"/>
      <c r="U3977" s="28"/>
    </row>
    <row r="3978">
      <c r="N3978" s="28"/>
      <c r="O3978" s="28"/>
      <c r="U3978" s="28"/>
    </row>
    <row r="3979">
      <c r="N3979" s="28"/>
      <c r="O3979" s="28"/>
      <c r="U3979" s="28"/>
    </row>
    <row r="3980">
      <c r="N3980" s="28"/>
      <c r="O3980" s="28"/>
      <c r="U3980" s="28"/>
    </row>
    <row r="3981">
      <c r="N3981" s="28"/>
      <c r="O3981" s="28"/>
      <c r="U3981" s="28"/>
    </row>
    <row r="3982">
      <c r="N3982" s="28"/>
      <c r="O3982" s="28"/>
      <c r="U3982" s="28"/>
    </row>
    <row r="3983">
      <c r="N3983" s="28"/>
      <c r="O3983" s="28"/>
      <c r="U3983" s="28"/>
    </row>
    <row r="3984">
      <c r="N3984" s="28"/>
      <c r="O3984" s="28"/>
      <c r="U3984" s="28"/>
    </row>
    <row r="3985">
      <c r="N3985" s="28"/>
      <c r="O3985" s="28"/>
      <c r="U3985" s="28"/>
    </row>
    <row r="3986">
      <c r="N3986" s="28"/>
      <c r="O3986" s="28"/>
      <c r="U3986" s="28"/>
    </row>
    <row r="3987">
      <c r="N3987" s="28"/>
      <c r="O3987" s="28"/>
      <c r="U3987" s="28"/>
    </row>
    <row r="3988">
      <c r="N3988" s="28"/>
      <c r="O3988" s="28"/>
      <c r="U3988" s="28"/>
    </row>
    <row r="3989">
      <c r="N3989" s="28"/>
      <c r="O3989" s="28"/>
      <c r="U3989" s="28"/>
    </row>
    <row r="3990">
      <c r="N3990" s="28"/>
      <c r="O3990" s="28"/>
      <c r="U3990" s="28"/>
    </row>
    <row r="3991">
      <c r="N3991" s="28"/>
      <c r="O3991" s="28"/>
      <c r="U3991" s="28"/>
    </row>
    <row r="3992">
      <c r="N3992" s="28"/>
      <c r="O3992" s="28"/>
      <c r="U3992" s="28"/>
    </row>
    <row r="3993">
      <c r="N3993" s="28"/>
      <c r="O3993" s="28"/>
      <c r="U3993" s="28"/>
    </row>
    <row r="3994">
      <c r="N3994" s="28"/>
      <c r="O3994" s="28"/>
      <c r="U3994" s="28"/>
    </row>
    <row r="3995">
      <c r="N3995" s="28"/>
      <c r="O3995" s="28"/>
      <c r="U3995" s="28"/>
    </row>
    <row r="3996">
      <c r="N3996" s="28"/>
      <c r="O3996" s="28"/>
      <c r="U3996" s="28"/>
    </row>
    <row r="3997">
      <c r="N3997" s="28"/>
      <c r="O3997" s="28"/>
      <c r="U3997" s="28"/>
    </row>
    <row r="3998">
      <c r="N3998" s="28"/>
      <c r="O3998" s="28"/>
      <c r="U3998" s="28"/>
    </row>
    <row r="3999">
      <c r="N3999" s="28"/>
      <c r="O3999" s="28"/>
      <c r="U3999" s="28"/>
    </row>
    <row r="4000">
      <c r="N4000" s="28"/>
      <c r="O4000" s="28"/>
      <c r="U4000" s="28"/>
    </row>
    <row r="4001">
      <c r="N4001" s="28"/>
      <c r="O4001" s="28"/>
      <c r="U4001" s="28"/>
    </row>
    <row r="4002">
      <c r="N4002" s="28"/>
      <c r="O4002" s="28"/>
      <c r="U4002" s="28"/>
    </row>
    <row r="4003">
      <c r="N4003" s="28"/>
      <c r="O4003" s="28"/>
      <c r="U4003" s="28"/>
    </row>
    <row r="4004">
      <c r="N4004" s="28"/>
      <c r="O4004" s="28"/>
      <c r="U4004" s="28"/>
    </row>
    <row r="4005">
      <c r="N4005" s="28"/>
      <c r="O4005" s="28"/>
      <c r="U4005" s="28"/>
    </row>
    <row r="4006">
      <c r="N4006" s="28"/>
      <c r="O4006" s="28"/>
      <c r="U4006" s="28"/>
    </row>
    <row r="4007">
      <c r="N4007" s="28"/>
      <c r="O4007" s="28"/>
      <c r="U4007" s="28"/>
    </row>
    <row r="4008">
      <c r="N4008" s="28"/>
      <c r="O4008" s="28"/>
      <c r="U4008" s="28"/>
    </row>
    <row r="4009">
      <c r="N4009" s="28"/>
      <c r="O4009" s="28"/>
      <c r="U4009" s="28"/>
    </row>
    <row r="4010">
      <c r="N4010" s="28"/>
      <c r="O4010" s="28"/>
      <c r="U4010" s="28"/>
    </row>
    <row r="4011">
      <c r="N4011" s="28"/>
      <c r="O4011" s="28"/>
      <c r="U4011" s="28"/>
    </row>
    <row r="4012">
      <c r="N4012" s="28"/>
      <c r="O4012" s="28"/>
      <c r="U4012" s="28"/>
    </row>
    <row r="4013">
      <c r="N4013" s="28"/>
      <c r="O4013" s="28"/>
      <c r="U4013" s="28"/>
    </row>
    <row r="4014">
      <c r="N4014" s="28"/>
      <c r="O4014" s="28"/>
      <c r="U4014" s="28"/>
    </row>
    <row r="4015">
      <c r="N4015" s="28"/>
      <c r="O4015" s="28"/>
      <c r="U4015" s="28"/>
    </row>
    <row r="4016">
      <c r="N4016" s="28"/>
      <c r="O4016" s="28"/>
      <c r="U4016" s="28"/>
    </row>
    <row r="4017">
      <c r="N4017" s="28"/>
      <c r="O4017" s="28"/>
      <c r="U4017" s="28"/>
    </row>
    <row r="4018">
      <c r="N4018" s="28"/>
      <c r="O4018" s="28"/>
      <c r="U4018" s="28"/>
    </row>
    <row r="4019">
      <c r="N4019" s="28"/>
      <c r="O4019" s="28"/>
      <c r="U4019" s="28"/>
    </row>
    <row r="4020">
      <c r="N4020" s="28"/>
      <c r="O4020" s="28"/>
      <c r="U4020" s="28"/>
    </row>
    <row r="4021">
      <c r="N4021" s="28"/>
      <c r="O4021" s="28"/>
      <c r="U4021" s="28"/>
    </row>
    <row r="4022">
      <c r="N4022" s="28"/>
      <c r="O4022" s="28"/>
      <c r="U4022" s="28"/>
    </row>
    <row r="4023">
      <c r="N4023" s="28"/>
      <c r="O4023" s="28"/>
      <c r="U4023" s="28"/>
    </row>
    <row r="4024">
      <c r="N4024" s="28"/>
      <c r="O4024" s="28"/>
      <c r="U4024" s="28"/>
    </row>
    <row r="4025">
      <c r="N4025" s="28"/>
      <c r="O4025" s="28"/>
      <c r="U4025" s="28"/>
    </row>
    <row r="4026">
      <c r="N4026" s="28"/>
      <c r="O4026" s="28"/>
      <c r="U4026" s="28"/>
    </row>
    <row r="4027">
      <c r="N4027" s="28"/>
      <c r="O4027" s="28"/>
      <c r="U4027" s="28"/>
    </row>
    <row r="4028">
      <c r="N4028" s="28"/>
      <c r="O4028" s="28"/>
      <c r="U4028" s="28"/>
    </row>
    <row r="4029">
      <c r="N4029" s="28"/>
      <c r="O4029" s="28"/>
      <c r="U4029" s="28"/>
    </row>
    <row r="4030">
      <c r="N4030" s="28"/>
      <c r="O4030" s="28"/>
      <c r="U4030" s="28"/>
    </row>
    <row r="4031">
      <c r="N4031" s="28"/>
      <c r="O4031" s="28"/>
      <c r="U4031" s="28"/>
    </row>
    <row r="4032">
      <c r="N4032" s="28"/>
      <c r="O4032" s="28"/>
      <c r="U4032" s="28"/>
    </row>
    <row r="4033">
      <c r="N4033" s="28"/>
      <c r="O4033" s="28"/>
      <c r="U4033" s="28"/>
    </row>
    <row r="4034">
      <c r="N4034" s="28"/>
      <c r="O4034" s="28"/>
      <c r="U4034" s="28"/>
    </row>
    <row r="4035">
      <c r="N4035" s="28"/>
      <c r="O4035" s="28"/>
      <c r="U4035" s="28"/>
    </row>
    <row r="4036">
      <c r="N4036" s="28"/>
      <c r="O4036" s="28"/>
      <c r="U4036" s="28"/>
    </row>
    <row r="4037">
      <c r="N4037" s="28"/>
      <c r="O4037" s="28"/>
      <c r="U4037" s="28"/>
    </row>
    <row r="4038">
      <c r="N4038" s="28"/>
      <c r="O4038" s="28"/>
      <c r="U4038" s="28"/>
    </row>
    <row r="4039">
      <c r="N4039" s="28"/>
      <c r="O4039" s="28"/>
      <c r="U4039" s="28"/>
    </row>
    <row r="4040">
      <c r="N4040" s="28"/>
      <c r="O4040" s="28"/>
      <c r="U4040" s="28"/>
    </row>
    <row r="4041">
      <c r="N4041" s="28"/>
      <c r="O4041" s="28"/>
      <c r="U4041" s="28"/>
    </row>
    <row r="4042">
      <c r="N4042" s="28"/>
      <c r="O4042" s="28"/>
      <c r="U4042" s="28"/>
    </row>
    <row r="4043">
      <c r="N4043" s="28"/>
      <c r="O4043" s="28"/>
      <c r="U4043" s="28"/>
    </row>
    <row r="4044">
      <c r="N4044" s="28"/>
      <c r="O4044" s="28"/>
      <c r="U4044" s="28"/>
    </row>
    <row r="4045">
      <c r="N4045" s="28"/>
      <c r="O4045" s="28"/>
      <c r="U4045" s="28"/>
    </row>
    <row r="4046">
      <c r="N4046" s="28"/>
      <c r="O4046" s="28"/>
      <c r="U4046" s="28"/>
    </row>
    <row r="4047">
      <c r="N4047" s="28"/>
      <c r="O4047" s="28"/>
      <c r="U4047" s="28"/>
    </row>
    <row r="4048">
      <c r="N4048" s="28"/>
      <c r="O4048" s="28"/>
      <c r="U4048" s="28"/>
    </row>
    <row r="4049">
      <c r="N4049" s="28"/>
      <c r="O4049" s="28"/>
      <c r="U4049" s="28"/>
    </row>
    <row r="4050">
      <c r="N4050" s="28"/>
      <c r="O4050" s="28"/>
      <c r="U4050" s="28"/>
    </row>
    <row r="4051">
      <c r="N4051" s="28"/>
      <c r="O4051" s="28"/>
      <c r="U4051" s="28"/>
    </row>
    <row r="4052">
      <c r="N4052" s="28"/>
      <c r="O4052" s="28"/>
      <c r="U4052" s="28"/>
    </row>
    <row r="4053">
      <c r="N4053" s="28"/>
      <c r="O4053" s="28"/>
      <c r="U4053" s="28"/>
    </row>
    <row r="4054">
      <c r="N4054" s="28"/>
      <c r="O4054" s="28"/>
      <c r="U4054" s="28"/>
    </row>
    <row r="4055">
      <c r="N4055" s="28"/>
      <c r="O4055" s="28"/>
      <c r="U4055" s="28"/>
    </row>
    <row r="4056">
      <c r="N4056" s="28"/>
      <c r="O4056" s="28"/>
      <c r="U4056" s="28"/>
    </row>
    <row r="4057">
      <c r="N4057" s="28"/>
      <c r="O4057" s="28"/>
      <c r="U4057" s="28"/>
    </row>
    <row r="4058">
      <c r="N4058" s="28"/>
      <c r="O4058" s="28"/>
      <c r="U4058" s="28"/>
    </row>
    <row r="4059">
      <c r="N4059" s="28"/>
      <c r="O4059" s="28"/>
      <c r="U4059" s="28"/>
    </row>
    <row r="4060">
      <c r="N4060" s="28"/>
      <c r="O4060" s="28"/>
      <c r="U4060" s="28"/>
    </row>
    <row r="4061">
      <c r="N4061" s="28"/>
      <c r="O4061" s="28"/>
      <c r="U4061" s="28"/>
    </row>
    <row r="4062">
      <c r="N4062" s="28"/>
      <c r="O4062" s="28"/>
      <c r="U4062" s="28"/>
    </row>
    <row r="4063">
      <c r="N4063" s="28"/>
      <c r="O4063" s="28"/>
      <c r="U4063" s="28"/>
    </row>
    <row r="4064">
      <c r="N4064" s="28"/>
      <c r="O4064" s="28"/>
      <c r="U4064" s="28"/>
    </row>
    <row r="4065">
      <c r="N4065" s="28"/>
      <c r="O4065" s="28"/>
      <c r="U4065" s="28"/>
    </row>
    <row r="4066">
      <c r="N4066" s="28"/>
      <c r="O4066" s="28"/>
      <c r="U4066" s="28"/>
    </row>
    <row r="4067">
      <c r="N4067" s="28"/>
      <c r="O4067" s="28"/>
      <c r="U4067" s="28"/>
    </row>
    <row r="4068">
      <c r="N4068" s="28"/>
      <c r="O4068" s="28"/>
      <c r="U4068" s="28"/>
    </row>
    <row r="4069">
      <c r="N4069" s="28"/>
      <c r="O4069" s="28"/>
      <c r="U4069" s="28"/>
    </row>
    <row r="4070">
      <c r="N4070" s="28"/>
      <c r="O4070" s="28"/>
      <c r="U4070" s="28"/>
    </row>
    <row r="4071">
      <c r="N4071" s="28"/>
      <c r="O4071" s="28"/>
      <c r="U4071" s="28"/>
    </row>
    <row r="4072">
      <c r="N4072" s="28"/>
      <c r="O4072" s="28"/>
      <c r="U4072" s="28"/>
    </row>
    <row r="4073">
      <c r="N4073" s="28"/>
      <c r="O4073" s="28"/>
      <c r="U4073" s="28"/>
    </row>
    <row r="4074">
      <c r="N4074" s="28"/>
      <c r="O4074" s="28"/>
      <c r="U4074" s="28"/>
    </row>
    <row r="4075">
      <c r="N4075" s="28"/>
      <c r="O4075" s="28"/>
      <c r="U4075" s="28"/>
    </row>
    <row r="4076">
      <c r="N4076" s="28"/>
      <c r="O4076" s="28"/>
      <c r="U4076" s="28"/>
    </row>
    <row r="4077">
      <c r="N4077" s="28"/>
      <c r="O4077" s="28"/>
      <c r="U4077" s="28"/>
    </row>
    <row r="4078">
      <c r="N4078" s="28"/>
      <c r="O4078" s="28"/>
      <c r="U4078" s="28"/>
    </row>
    <row r="4079">
      <c r="N4079" s="28"/>
      <c r="O4079" s="28"/>
      <c r="U4079" s="28"/>
    </row>
    <row r="4080">
      <c r="N4080" s="28"/>
      <c r="O4080" s="28"/>
      <c r="U4080" s="28"/>
    </row>
    <row r="4081">
      <c r="N4081" s="28"/>
      <c r="O4081" s="28"/>
      <c r="U4081" s="28"/>
    </row>
    <row r="4082">
      <c r="N4082" s="28"/>
      <c r="O4082" s="28"/>
      <c r="U4082" s="28"/>
    </row>
    <row r="4083">
      <c r="N4083" s="28"/>
      <c r="O4083" s="28"/>
      <c r="U4083" s="28"/>
    </row>
    <row r="4084">
      <c r="N4084" s="28"/>
      <c r="O4084" s="28"/>
      <c r="U4084" s="28"/>
    </row>
    <row r="4085">
      <c r="N4085" s="28"/>
      <c r="O4085" s="28"/>
      <c r="U4085" s="28"/>
    </row>
    <row r="4086">
      <c r="N4086" s="28"/>
      <c r="O4086" s="28"/>
      <c r="U4086" s="28"/>
    </row>
    <row r="4087">
      <c r="N4087" s="28"/>
      <c r="O4087" s="28"/>
      <c r="U4087" s="28"/>
    </row>
    <row r="4088">
      <c r="N4088" s="28"/>
      <c r="O4088" s="28"/>
      <c r="U4088" s="28"/>
    </row>
    <row r="4089">
      <c r="N4089" s="28"/>
      <c r="O4089" s="28"/>
      <c r="U4089" s="28"/>
    </row>
    <row r="4090">
      <c r="N4090" s="28"/>
      <c r="O4090" s="28"/>
      <c r="U4090" s="28"/>
    </row>
    <row r="4091">
      <c r="N4091" s="28"/>
      <c r="O4091" s="28"/>
      <c r="U4091" s="28"/>
    </row>
    <row r="4092">
      <c r="N4092" s="28"/>
      <c r="O4092" s="28"/>
      <c r="U4092" s="28"/>
    </row>
    <row r="4093">
      <c r="N4093" s="28"/>
      <c r="O4093" s="28"/>
      <c r="U4093" s="28"/>
    </row>
    <row r="4094">
      <c r="N4094" s="28"/>
      <c r="O4094" s="28"/>
      <c r="U4094" s="28"/>
    </row>
    <row r="4095">
      <c r="N4095" s="28"/>
      <c r="O4095" s="28"/>
      <c r="U4095" s="28"/>
    </row>
    <row r="4096">
      <c r="N4096" s="28"/>
      <c r="O4096" s="28"/>
      <c r="U4096" s="28"/>
    </row>
    <row r="4097">
      <c r="N4097" s="28"/>
      <c r="O4097" s="28"/>
      <c r="U4097" s="28"/>
    </row>
    <row r="4098">
      <c r="N4098" s="28"/>
      <c r="O4098" s="28"/>
      <c r="U4098" s="28"/>
    </row>
    <row r="4099">
      <c r="N4099" s="28"/>
      <c r="O4099" s="28"/>
      <c r="U4099" s="28"/>
    </row>
    <row r="4100">
      <c r="N4100" s="28"/>
      <c r="O4100" s="28"/>
      <c r="U4100" s="28"/>
    </row>
    <row r="4101">
      <c r="N4101" s="28"/>
      <c r="O4101" s="28"/>
      <c r="U4101" s="28"/>
    </row>
    <row r="4102">
      <c r="N4102" s="28"/>
      <c r="O4102" s="28"/>
      <c r="U4102" s="28"/>
    </row>
    <row r="4103">
      <c r="N4103" s="28"/>
      <c r="O4103" s="28"/>
      <c r="U4103" s="28"/>
    </row>
    <row r="4104">
      <c r="N4104" s="28"/>
      <c r="O4104" s="28"/>
      <c r="U4104" s="28"/>
    </row>
    <row r="4105">
      <c r="N4105" s="28"/>
      <c r="O4105" s="28"/>
      <c r="U4105" s="28"/>
    </row>
    <row r="4106">
      <c r="N4106" s="28"/>
      <c r="O4106" s="28"/>
      <c r="U4106" s="28"/>
    </row>
    <row r="4107">
      <c r="N4107" s="28"/>
      <c r="O4107" s="28"/>
      <c r="U4107" s="28"/>
    </row>
    <row r="4108">
      <c r="N4108" s="28"/>
      <c r="O4108" s="28"/>
      <c r="U4108" s="28"/>
    </row>
    <row r="4109">
      <c r="N4109" s="28"/>
      <c r="O4109" s="28"/>
      <c r="U4109" s="28"/>
    </row>
    <row r="4110">
      <c r="N4110" s="28"/>
      <c r="O4110" s="28"/>
      <c r="U4110" s="28"/>
    </row>
    <row r="4111">
      <c r="N4111" s="28"/>
      <c r="O4111" s="28"/>
      <c r="U4111" s="28"/>
    </row>
    <row r="4112">
      <c r="N4112" s="28"/>
      <c r="O4112" s="28"/>
      <c r="U4112" s="28"/>
    </row>
    <row r="4113">
      <c r="N4113" s="28"/>
      <c r="O4113" s="28"/>
      <c r="U4113" s="28"/>
    </row>
    <row r="4114">
      <c r="N4114" s="28"/>
      <c r="O4114" s="28"/>
      <c r="U4114" s="28"/>
    </row>
    <row r="4115">
      <c r="N4115" s="28"/>
      <c r="O4115" s="28"/>
      <c r="U4115" s="28"/>
    </row>
    <row r="4116">
      <c r="N4116" s="28"/>
      <c r="O4116" s="28"/>
      <c r="U4116" s="28"/>
    </row>
    <row r="4117">
      <c r="N4117" s="28"/>
      <c r="O4117" s="28"/>
      <c r="U4117" s="28"/>
    </row>
    <row r="4118">
      <c r="N4118" s="28"/>
      <c r="O4118" s="28"/>
      <c r="U4118" s="28"/>
    </row>
    <row r="4119">
      <c r="N4119" s="28"/>
      <c r="O4119" s="28"/>
      <c r="U4119" s="28"/>
    </row>
    <row r="4120">
      <c r="N4120" s="28"/>
      <c r="O4120" s="28"/>
      <c r="U4120" s="28"/>
    </row>
    <row r="4121">
      <c r="N4121" s="28"/>
      <c r="O4121" s="28"/>
      <c r="U4121" s="28"/>
    </row>
    <row r="4122">
      <c r="N4122" s="28"/>
      <c r="O4122" s="28"/>
      <c r="U4122" s="28"/>
    </row>
    <row r="4123">
      <c r="N4123" s="28"/>
      <c r="O4123" s="28"/>
      <c r="U4123" s="28"/>
    </row>
    <row r="4124">
      <c r="N4124" s="28"/>
      <c r="O4124" s="28"/>
      <c r="U4124" s="28"/>
    </row>
    <row r="4125">
      <c r="N4125" s="28"/>
      <c r="O4125" s="28"/>
      <c r="U4125" s="28"/>
    </row>
    <row r="4126">
      <c r="N4126" s="28"/>
      <c r="O4126" s="28"/>
      <c r="U4126" s="28"/>
    </row>
    <row r="4127">
      <c r="N4127" s="28"/>
      <c r="O4127" s="28"/>
      <c r="U4127" s="28"/>
    </row>
    <row r="4128">
      <c r="N4128" s="28"/>
      <c r="O4128" s="28"/>
      <c r="U4128" s="28"/>
    </row>
    <row r="4129">
      <c r="N4129" s="28"/>
      <c r="O4129" s="28"/>
      <c r="U4129" s="28"/>
    </row>
    <row r="4130">
      <c r="N4130" s="28"/>
      <c r="O4130" s="28"/>
      <c r="U4130" s="28"/>
    </row>
    <row r="4131">
      <c r="N4131" s="28"/>
      <c r="O4131" s="28"/>
      <c r="U4131" s="28"/>
    </row>
    <row r="4132">
      <c r="N4132" s="28"/>
      <c r="O4132" s="28"/>
      <c r="U4132" s="28"/>
    </row>
    <row r="4133">
      <c r="N4133" s="28"/>
      <c r="O4133" s="28"/>
      <c r="U4133" s="28"/>
    </row>
    <row r="4134">
      <c r="N4134" s="28"/>
      <c r="O4134" s="28"/>
      <c r="U4134" s="28"/>
    </row>
    <row r="4135">
      <c r="N4135" s="28"/>
      <c r="O4135" s="28"/>
      <c r="U4135" s="28"/>
    </row>
    <row r="4136">
      <c r="N4136" s="28"/>
      <c r="O4136" s="28"/>
      <c r="U4136" s="28"/>
    </row>
    <row r="4137">
      <c r="N4137" s="28"/>
      <c r="O4137" s="28"/>
      <c r="U4137" s="28"/>
    </row>
    <row r="4138">
      <c r="N4138" s="28"/>
      <c r="O4138" s="28"/>
      <c r="U4138" s="28"/>
    </row>
    <row r="4139">
      <c r="N4139" s="28"/>
      <c r="O4139" s="28"/>
      <c r="U4139" s="28"/>
    </row>
    <row r="4140">
      <c r="N4140" s="28"/>
      <c r="O4140" s="28"/>
      <c r="U4140" s="28"/>
    </row>
    <row r="4141">
      <c r="N4141" s="28"/>
      <c r="O4141" s="28"/>
      <c r="U4141" s="28"/>
    </row>
    <row r="4142">
      <c r="N4142" s="28"/>
      <c r="O4142" s="28"/>
      <c r="U4142" s="28"/>
    </row>
    <row r="4143">
      <c r="N4143" s="28"/>
      <c r="O4143" s="28"/>
      <c r="U4143" s="28"/>
    </row>
    <row r="4144">
      <c r="N4144" s="28"/>
      <c r="O4144" s="28"/>
      <c r="U4144" s="28"/>
    </row>
    <row r="4145">
      <c r="N4145" s="28"/>
      <c r="O4145" s="28"/>
      <c r="U4145" s="28"/>
    </row>
    <row r="4146">
      <c r="N4146" s="28"/>
      <c r="O4146" s="28"/>
      <c r="U4146" s="28"/>
    </row>
    <row r="4147">
      <c r="N4147" s="28"/>
      <c r="O4147" s="28"/>
      <c r="U4147" s="28"/>
    </row>
    <row r="4148">
      <c r="N4148" s="28"/>
      <c r="O4148" s="28"/>
      <c r="U4148" s="28"/>
    </row>
    <row r="4149">
      <c r="N4149" s="28"/>
      <c r="O4149" s="28"/>
      <c r="U4149" s="28"/>
    </row>
    <row r="4150">
      <c r="N4150" s="28"/>
      <c r="O4150" s="28"/>
      <c r="U4150" s="28"/>
    </row>
    <row r="4151">
      <c r="N4151" s="28"/>
      <c r="O4151" s="28"/>
      <c r="U4151" s="28"/>
    </row>
    <row r="4152">
      <c r="N4152" s="28"/>
      <c r="O4152" s="28"/>
      <c r="U4152" s="28"/>
    </row>
    <row r="4153">
      <c r="N4153" s="28"/>
      <c r="O4153" s="28"/>
      <c r="U4153" s="28"/>
    </row>
    <row r="4154">
      <c r="N4154" s="28"/>
      <c r="O4154" s="28"/>
      <c r="U4154" s="28"/>
    </row>
    <row r="4155">
      <c r="N4155" s="28"/>
      <c r="O4155" s="28"/>
      <c r="U4155" s="28"/>
    </row>
    <row r="4156">
      <c r="N4156" s="28"/>
      <c r="O4156" s="28"/>
      <c r="U4156" s="28"/>
    </row>
    <row r="4157">
      <c r="N4157" s="28"/>
      <c r="O4157" s="28"/>
      <c r="U4157" s="28"/>
    </row>
    <row r="4158">
      <c r="N4158" s="28"/>
      <c r="O4158" s="28"/>
      <c r="U4158" s="28"/>
    </row>
    <row r="4159">
      <c r="N4159" s="28"/>
      <c r="O4159" s="28"/>
      <c r="U4159" s="28"/>
    </row>
    <row r="4160">
      <c r="N4160" s="28"/>
      <c r="O4160" s="28"/>
      <c r="U4160" s="28"/>
    </row>
    <row r="4161">
      <c r="N4161" s="28"/>
      <c r="O4161" s="28"/>
      <c r="U4161" s="28"/>
    </row>
    <row r="4162">
      <c r="N4162" s="28"/>
      <c r="O4162" s="28"/>
      <c r="U4162" s="28"/>
    </row>
    <row r="4163">
      <c r="N4163" s="28"/>
      <c r="O4163" s="28"/>
      <c r="U4163" s="28"/>
    </row>
    <row r="4164">
      <c r="N4164" s="28"/>
      <c r="O4164" s="28"/>
      <c r="U4164" s="28"/>
    </row>
    <row r="4165">
      <c r="N4165" s="28"/>
      <c r="O4165" s="28"/>
      <c r="U4165" s="28"/>
    </row>
    <row r="4166">
      <c r="N4166" s="28"/>
      <c r="O4166" s="28"/>
      <c r="U4166" s="28"/>
    </row>
    <row r="4167">
      <c r="N4167" s="28"/>
      <c r="O4167" s="28"/>
      <c r="U4167" s="28"/>
    </row>
    <row r="4168">
      <c r="N4168" s="28"/>
      <c r="O4168" s="28"/>
      <c r="U4168" s="28"/>
    </row>
    <row r="4169">
      <c r="N4169" s="28"/>
      <c r="O4169" s="28"/>
      <c r="U4169" s="28"/>
    </row>
    <row r="4170">
      <c r="N4170" s="28"/>
      <c r="O4170" s="28"/>
      <c r="U4170" s="28"/>
    </row>
    <row r="4171">
      <c r="N4171" s="28"/>
      <c r="O4171" s="28"/>
      <c r="U4171" s="28"/>
    </row>
    <row r="4172">
      <c r="N4172" s="28"/>
      <c r="O4172" s="28"/>
      <c r="U4172" s="28"/>
    </row>
    <row r="4173">
      <c r="N4173" s="28"/>
      <c r="O4173" s="28"/>
      <c r="U4173" s="28"/>
    </row>
    <row r="4174">
      <c r="N4174" s="28"/>
      <c r="O4174" s="28"/>
      <c r="U4174" s="28"/>
    </row>
    <row r="4175">
      <c r="N4175" s="28"/>
      <c r="O4175" s="28"/>
      <c r="U4175" s="28"/>
    </row>
    <row r="4176">
      <c r="N4176" s="28"/>
      <c r="O4176" s="28"/>
      <c r="U4176" s="28"/>
    </row>
    <row r="4177">
      <c r="N4177" s="28"/>
      <c r="O4177" s="28"/>
      <c r="U4177" s="28"/>
    </row>
    <row r="4178">
      <c r="N4178" s="28"/>
      <c r="O4178" s="28"/>
      <c r="U4178" s="28"/>
    </row>
    <row r="4179">
      <c r="N4179" s="28"/>
      <c r="O4179" s="28"/>
      <c r="U4179" s="28"/>
    </row>
    <row r="4180">
      <c r="N4180" s="28"/>
      <c r="O4180" s="28"/>
      <c r="U4180" s="28"/>
    </row>
    <row r="4181">
      <c r="N4181" s="28"/>
      <c r="O4181" s="28"/>
      <c r="U4181" s="28"/>
    </row>
    <row r="4182">
      <c r="N4182" s="28"/>
      <c r="O4182" s="28"/>
      <c r="U4182" s="28"/>
    </row>
    <row r="4183">
      <c r="N4183" s="28"/>
      <c r="O4183" s="28"/>
      <c r="U4183" s="28"/>
    </row>
    <row r="4184">
      <c r="N4184" s="28"/>
      <c r="O4184" s="28"/>
      <c r="U4184" s="28"/>
    </row>
    <row r="4185">
      <c r="N4185" s="28"/>
      <c r="O4185" s="28"/>
      <c r="U4185" s="28"/>
    </row>
    <row r="4186">
      <c r="N4186" s="28"/>
      <c r="O4186" s="28"/>
      <c r="U4186" s="28"/>
    </row>
    <row r="4187">
      <c r="N4187" s="28"/>
      <c r="O4187" s="28"/>
      <c r="U4187" s="28"/>
    </row>
    <row r="4188">
      <c r="N4188" s="28"/>
      <c r="O4188" s="28"/>
      <c r="U4188" s="28"/>
    </row>
    <row r="4189">
      <c r="N4189" s="28"/>
      <c r="O4189" s="28"/>
      <c r="U4189" s="28"/>
    </row>
    <row r="4190">
      <c r="N4190" s="28"/>
      <c r="O4190" s="28"/>
      <c r="U4190" s="28"/>
    </row>
    <row r="4191">
      <c r="N4191" s="28"/>
      <c r="O4191" s="28"/>
      <c r="U4191" s="28"/>
    </row>
    <row r="4192">
      <c r="N4192" s="28"/>
      <c r="O4192" s="28"/>
      <c r="U4192" s="28"/>
    </row>
    <row r="4193">
      <c r="N4193" s="28"/>
      <c r="O4193" s="28"/>
      <c r="U4193" s="28"/>
    </row>
    <row r="4194">
      <c r="N4194" s="28"/>
      <c r="O4194" s="28"/>
      <c r="U4194" s="28"/>
    </row>
    <row r="4195">
      <c r="N4195" s="28"/>
      <c r="O4195" s="28"/>
      <c r="U4195" s="28"/>
    </row>
    <row r="4196">
      <c r="N4196" s="28"/>
      <c r="O4196" s="28"/>
      <c r="U4196" s="28"/>
    </row>
    <row r="4197">
      <c r="N4197" s="28"/>
      <c r="O4197" s="28"/>
      <c r="U4197" s="28"/>
    </row>
    <row r="4198">
      <c r="N4198" s="28"/>
      <c r="O4198" s="28"/>
      <c r="U4198" s="28"/>
    </row>
    <row r="4199">
      <c r="N4199" s="28"/>
      <c r="O4199" s="28"/>
      <c r="U4199" s="28"/>
    </row>
    <row r="4200">
      <c r="N4200" s="28"/>
      <c r="O4200" s="28"/>
      <c r="U4200" s="28"/>
    </row>
    <row r="4201">
      <c r="N4201" s="28"/>
      <c r="O4201" s="28"/>
      <c r="U4201" s="28"/>
    </row>
    <row r="4202">
      <c r="N4202" s="28"/>
      <c r="O4202" s="28"/>
      <c r="U4202" s="28"/>
    </row>
    <row r="4203">
      <c r="N4203" s="28"/>
      <c r="O4203" s="28"/>
      <c r="U4203" s="28"/>
    </row>
    <row r="4204">
      <c r="N4204" s="28"/>
      <c r="O4204" s="28"/>
      <c r="U4204" s="28"/>
    </row>
    <row r="4205">
      <c r="N4205" s="28"/>
      <c r="O4205" s="28"/>
      <c r="U4205" s="28"/>
    </row>
    <row r="4206">
      <c r="N4206" s="28"/>
      <c r="O4206" s="28"/>
      <c r="U4206" s="28"/>
    </row>
    <row r="4207">
      <c r="N4207" s="28"/>
      <c r="O4207" s="28"/>
      <c r="U4207" s="28"/>
    </row>
    <row r="4208">
      <c r="N4208" s="28"/>
      <c r="O4208" s="28"/>
      <c r="U4208" s="28"/>
    </row>
    <row r="4209">
      <c r="N4209" s="28"/>
      <c r="O4209" s="28"/>
      <c r="U4209" s="28"/>
    </row>
    <row r="4210">
      <c r="N4210" s="28"/>
      <c r="O4210" s="28"/>
      <c r="U4210" s="28"/>
    </row>
    <row r="4211">
      <c r="N4211" s="28"/>
      <c r="O4211" s="28"/>
      <c r="U4211" s="28"/>
    </row>
    <row r="4212">
      <c r="N4212" s="28"/>
      <c r="O4212" s="28"/>
      <c r="U4212" s="28"/>
    </row>
    <row r="4213">
      <c r="N4213" s="28"/>
      <c r="O4213" s="28"/>
      <c r="U4213" s="28"/>
    </row>
    <row r="4214">
      <c r="N4214" s="28"/>
      <c r="O4214" s="28"/>
      <c r="U4214" s="28"/>
    </row>
    <row r="4215">
      <c r="N4215" s="28"/>
      <c r="O4215" s="28"/>
      <c r="U4215" s="28"/>
    </row>
    <row r="4216">
      <c r="N4216" s="28"/>
      <c r="O4216" s="28"/>
      <c r="U4216" s="28"/>
    </row>
    <row r="4217">
      <c r="N4217" s="28"/>
      <c r="O4217" s="28"/>
      <c r="U4217" s="28"/>
    </row>
    <row r="4218">
      <c r="N4218" s="28"/>
      <c r="O4218" s="28"/>
      <c r="U4218" s="28"/>
    </row>
    <row r="4219">
      <c r="N4219" s="28"/>
      <c r="O4219" s="28"/>
      <c r="U4219" s="28"/>
    </row>
    <row r="4220">
      <c r="N4220" s="28"/>
      <c r="O4220" s="28"/>
      <c r="U4220" s="28"/>
    </row>
    <row r="4221">
      <c r="N4221" s="28"/>
      <c r="O4221" s="28"/>
      <c r="U4221" s="28"/>
    </row>
    <row r="4222">
      <c r="N4222" s="28"/>
      <c r="O4222" s="28"/>
      <c r="U4222" s="28"/>
    </row>
    <row r="4223">
      <c r="N4223" s="28"/>
      <c r="O4223" s="28"/>
      <c r="U4223" s="28"/>
    </row>
    <row r="4224">
      <c r="N4224" s="28"/>
      <c r="O4224" s="28"/>
      <c r="U4224" s="28"/>
    </row>
    <row r="4225">
      <c r="N4225" s="28"/>
      <c r="O4225" s="28"/>
      <c r="U4225" s="28"/>
    </row>
    <row r="4226">
      <c r="N4226" s="28"/>
      <c r="O4226" s="28"/>
      <c r="U4226" s="28"/>
    </row>
    <row r="4227">
      <c r="N4227" s="28"/>
      <c r="O4227" s="28"/>
      <c r="U4227" s="28"/>
    </row>
    <row r="4228">
      <c r="N4228" s="28"/>
      <c r="O4228" s="28"/>
      <c r="U4228" s="28"/>
    </row>
    <row r="4229">
      <c r="N4229" s="28"/>
      <c r="O4229" s="28"/>
      <c r="U4229" s="28"/>
    </row>
    <row r="4230">
      <c r="N4230" s="28"/>
      <c r="O4230" s="28"/>
      <c r="U4230" s="28"/>
    </row>
    <row r="4231">
      <c r="N4231" s="28"/>
      <c r="O4231" s="28"/>
      <c r="U4231" s="28"/>
    </row>
    <row r="4232">
      <c r="N4232" s="28"/>
      <c r="O4232" s="28"/>
      <c r="U4232" s="28"/>
    </row>
    <row r="4233">
      <c r="N4233" s="28"/>
      <c r="O4233" s="28"/>
      <c r="U4233" s="28"/>
    </row>
    <row r="4234">
      <c r="N4234" s="28"/>
      <c r="O4234" s="28"/>
      <c r="U4234" s="28"/>
    </row>
    <row r="4235">
      <c r="N4235" s="28"/>
      <c r="O4235" s="28"/>
      <c r="U4235" s="28"/>
    </row>
    <row r="4236">
      <c r="N4236" s="28"/>
      <c r="O4236" s="28"/>
      <c r="U4236" s="28"/>
    </row>
    <row r="4237">
      <c r="N4237" s="28"/>
      <c r="O4237" s="28"/>
      <c r="U4237" s="28"/>
    </row>
    <row r="4238">
      <c r="N4238" s="28"/>
      <c r="O4238" s="28"/>
      <c r="U4238" s="28"/>
    </row>
    <row r="4239">
      <c r="N4239" s="28"/>
      <c r="O4239" s="28"/>
      <c r="U4239" s="28"/>
    </row>
    <row r="4240">
      <c r="N4240" s="28"/>
      <c r="O4240" s="28"/>
      <c r="U4240" s="28"/>
    </row>
    <row r="4241">
      <c r="N4241" s="28"/>
      <c r="O4241" s="28"/>
      <c r="U4241" s="28"/>
    </row>
    <row r="4242">
      <c r="N4242" s="28"/>
      <c r="O4242" s="28"/>
      <c r="U4242" s="28"/>
    </row>
    <row r="4243">
      <c r="N4243" s="28"/>
      <c r="O4243" s="28"/>
      <c r="U4243" s="28"/>
    </row>
    <row r="4244">
      <c r="N4244" s="28"/>
      <c r="O4244" s="28"/>
      <c r="U4244" s="28"/>
    </row>
    <row r="4245">
      <c r="N4245" s="28"/>
      <c r="O4245" s="28"/>
      <c r="U4245" s="28"/>
    </row>
    <row r="4246">
      <c r="N4246" s="28"/>
      <c r="O4246" s="28"/>
      <c r="U4246" s="28"/>
    </row>
    <row r="4247">
      <c r="N4247" s="28"/>
      <c r="O4247" s="28"/>
      <c r="U4247" s="28"/>
    </row>
    <row r="4248">
      <c r="N4248" s="28"/>
      <c r="O4248" s="28"/>
      <c r="U4248" s="28"/>
    </row>
    <row r="4249">
      <c r="N4249" s="28"/>
      <c r="O4249" s="28"/>
      <c r="U4249" s="28"/>
    </row>
    <row r="4250">
      <c r="N4250" s="28"/>
      <c r="O4250" s="28"/>
      <c r="U4250" s="28"/>
    </row>
    <row r="4251">
      <c r="N4251" s="28"/>
      <c r="O4251" s="28"/>
      <c r="U4251" s="28"/>
    </row>
    <row r="4252">
      <c r="N4252" s="28"/>
      <c r="O4252" s="28"/>
      <c r="U4252" s="28"/>
    </row>
    <row r="4253">
      <c r="N4253" s="28"/>
      <c r="O4253" s="28"/>
      <c r="U4253" s="28"/>
    </row>
    <row r="4254">
      <c r="N4254" s="28"/>
      <c r="O4254" s="28"/>
      <c r="U4254" s="28"/>
    </row>
    <row r="4255">
      <c r="N4255" s="28"/>
      <c r="O4255" s="28"/>
      <c r="U4255" s="28"/>
    </row>
    <row r="4256">
      <c r="N4256" s="28"/>
      <c r="O4256" s="28"/>
      <c r="U4256" s="28"/>
    </row>
    <row r="4257">
      <c r="N4257" s="28"/>
      <c r="O4257" s="28"/>
      <c r="U4257" s="28"/>
    </row>
    <row r="4258">
      <c r="N4258" s="28"/>
      <c r="O4258" s="28"/>
      <c r="U4258" s="28"/>
    </row>
    <row r="4259">
      <c r="N4259" s="28"/>
      <c r="O4259" s="28"/>
      <c r="U4259" s="28"/>
    </row>
    <row r="4260">
      <c r="N4260" s="28"/>
      <c r="O4260" s="28"/>
      <c r="U4260" s="28"/>
    </row>
    <row r="4261">
      <c r="N4261" s="28"/>
      <c r="O4261" s="28"/>
      <c r="U4261" s="28"/>
    </row>
    <row r="4262">
      <c r="N4262" s="28"/>
      <c r="O4262" s="28"/>
      <c r="U4262" s="28"/>
    </row>
    <row r="4263">
      <c r="N4263" s="28"/>
      <c r="O4263" s="28"/>
      <c r="U4263" s="28"/>
    </row>
    <row r="4264">
      <c r="N4264" s="28"/>
      <c r="O4264" s="28"/>
      <c r="U4264" s="28"/>
    </row>
    <row r="4265">
      <c r="N4265" s="28"/>
      <c r="O4265" s="28"/>
      <c r="U4265" s="28"/>
    </row>
    <row r="4266">
      <c r="N4266" s="28"/>
      <c r="O4266" s="28"/>
      <c r="U4266" s="28"/>
    </row>
    <row r="4267">
      <c r="N4267" s="28"/>
      <c r="O4267" s="28"/>
      <c r="U4267" s="28"/>
    </row>
    <row r="4268">
      <c r="N4268" s="28"/>
      <c r="O4268" s="28"/>
      <c r="U4268" s="28"/>
    </row>
    <row r="4269">
      <c r="N4269" s="28"/>
      <c r="O4269" s="28"/>
      <c r="U4269" s="28"/>
    </row>
    <row r="4270">
      <c r="N4270" s="28"/>
      <c r="O4270" s="28"/>
      <c r="U4270" s="28"/>
    </row>
    <row r="4271">
      <c r="N4271" s="28"/>
      <c r="O4271" s="28"/>
      <c r="U4271" s="28"/>
    </row>
    <row r="4272">
      <c r="N4272" s="28"/>
      <c r="O4272" s="28"/>
      <c r="U4272" s="28"/>
    </row>
    <row r="4273">
      <c r="N4273" s="28"/>
      <c r="O4273" s="28"/>
      <c r="U4273" s="28"/>
    </row>
    <row r="4274">
      <c r="N4274" s="28"/>
      <c r="O4274" s="28"/>
      <c r="U4274" s="28"/>
    </row>
    <row r="4275">
      <c r="N4275" s="28"/>
      <c r="O4275" s="28"/>
      <c r="U4275" s="28"/>
    </row>
    <row r="4276">
      <c r="N4276" s="28"/>
      <c r="O4276" s="28"/>
      <c r="U4276" s="28"/>
    </row>
    <row r="4277">
      <c r="N4277" s="28"/>
      <c r="O4277" s="28"/>
      <c r="U4277" s="28"/>
    </row>
    <row r="4278">
      <c r="N4278" s="28"/>
      <c r="O4278" s="28"/>
      <c r="U4278" s="28"/>
    </row>
    <row r="4279">
      <c r="N4279" s="28"/>
      <c r="O4279" s="28"/>
      <c r="U4279" s="28"/>
    </row>
    <row r="4280">
      <c r="N4280" s="28"/>
      <c r="O4280" s="28"/>
      <c r="U4280" s="28"/>
    </row>
    <row r="4281">
      <c r="N4281" s="28"/>
      <c r="O4281" s="28"/>
      <c r="U4281" s="28"/>
    </row>
    <row r="4282">
      <c r="N4282" s="28"/>
      <c r="O4282" s="28"/>
      <c r="U4282" s="28"/>
    </row>
    <row r="4283">
      <c r="N4283" s="28"/>
      <c r="O4283" s="28"/>
      <c r="U4283" s="28"/>
    </row>
    <row r="4284">
      <c r="N4284" s="28"/>
      <c r="O4284" s="28"/>
      <c r="U4284" s="28"/>
    </row>
    <row r="4285">
      <c r="N4285" s="28"/>
      <c r="O4285" s="28"/>
      <c r="U4285" s="28"/>
    </row>
    <row r="4286">
      <c r="N4286" s="28"/>
      <c r="O4286" s="28"/>
      <c r="U4286" s="28"/>
    </row>
    <row r="4287">
      <c r="N4287" s="28"/>
      <c r="O4287" s="28"/>
      <c r="U4287" s="28"/>
    </row>
    <row r="4288">
      <c r="N4288" s="28"/>
      <c r="O4288" s="28"/>
      <c r="U4288" s="28"/>
    </row>
    <row r="4289">
      <c r="N4289" s="28"/>
      <c r="O4289" s="28"/>
      <c r="U4289" s="28"/>
    </row>
    <row r="4290">
      <c r="N4290" s="28"/>
      <c r="O4290" s="28"/>
      <c r="U4290" s="28"/>
    </row>
    <row r="4291">
      <c r="N4291" s="28"/>
      <c r="O4291" s="28"/>
      <c r="U4291" s="28"/>
    </row>
    <row r="4292">
      <c r="N4292" s="28"/>
      <c r="O4292" s="28"/>
      <c r="U4292" s="28"/>
    </row>
    <row r="4293">
      <c r="N4293" s="28"/>
      <c r="O4293" s="28"/>
      <c r="U4293" s="28"/>
    </row>
    <row r="4294">
      <c r="N4294" s="28"/>
      <c r="O4294" s="28"/>
      <c r="U4294" s="28"/>
    </row>
    <row r="4295">
      <c r="N4295" s="28"/>
      <c r="O4295" s="28"/>
      <c r="U4295" s="28"/>
    </row>
    <row r="4296">
      <c r="N4296" s="28"/>
      <c r="O4296" s="28"/>
      <c r="U4296" s="28"/>
    </row>
    <row r="4297">
      <c r="N4297" s="28"/>
      <c r="O4297" s="28"/>
      <c r="U4297" s="28"/>
    </row>
    <row r="4298">
      <c r="N4298" s="28"/>
      <c r="O4298" s="28"/>
      <c r="U4298" s="28"/>
    </row>
    <row r="4299">
      <c r="N4299" s="28"/>
      <c r="O4299" s="28"/>
      <c r="U4299" s="28"/>
    </row>
    <row r="4300">
      <c r="N4300" s="28"/>
      <c r="O4300" s="28"/>
      <c r="U4300" s="28"/>
    </row>
    <row r="4301">
      <c r="N4301" s="28"/>
      <c r="O4301" s="28"/>
      <c r="U4301" s="28"/>
    </row>
    <row r="4302">
      <c r="N4302" s="28"/>
      <c r="O4302" s="28"/>
      <c r="U4302" s="28"/>
    </row>
    <row r="4303">
      <c r="N4303" s="28"/>
      <c r="O4303" s="28"/>
      <c r="U4303" s="28"/>
    </row>
    <row r="4304">
      <c r="N4304" s="28"/>
      <c r="O4304" s="28"/>
      <c r="U4304" s="28"/>
    </row>
    <row r="4305">
      <c r="N4305" s="28"/>
      <c r="O4305" s="28"/>
      <c r="U4305" s="28"/>
    </row>
    <row r="4306">
      <c r="N4306" s="28"/>
      <c r="O4306" s="28"/>
      <c r="U4306" s="28"/>
    </row>
    <row r="4307">
      <c r="N4307" s="28"/>
      <c r="O4307" s="28"/>
      <c r="U4307" s="28"/>
    </row>
    <row r="4308">
      <c r="N4308" s="28"/>
      <c r="O4308" s="28"/>
      <c r="U4308" s="28"/>
    </row>
    <row r="4309">
      <c r="N4309" s="28"/>
      <c r="O4309" s="28"/>
      <c r="U4309" s="28"/>
    </row>
    <row r="4310">
      <c r="N4310" s="28"/>
      <c r="O4310" s="28"/>
      <c r="U4310" s="28"/>
    </row>
    <row r="4311">
      <c r="N4311" s="28"/>
      <c r="O4311" s="28"/>
      <c r="U4311" s="28"/>
    </row>
    <row r="4312">
      <c r="N4312" s="28"/>
      <c r="O4312" s="28"/>
      <c r="U4312" s="28"/>
    </row>
    <row r="4313">
      <c r="N4313" s="28"/>
      <c r="O4313" s="28"/>
      <c r="U4313" s="28"/>
    </row>
    <row r="4314">
      <c r="N4314" s="28"/>
      <c r="O4314" s="28"/>
      <c r="U4314" s="28"/>
    </row>
    <row r="4315">
      <c r="N4315" s="28"/>
      <c r="O4315" s="28"/>
      <c r="U4315" s="28"/>
    </row>
    <row r="4316">
      <c r="N4316" s="28"/>
      <c r="O4316" s="28"/>
      <c r="U4316" s="28"/>
    </row>
    <row r="4317">
      <c r="N4317" s="28"/>
      <c r="O4317" s="28"/>
      <c r="U4317" s="28"/>
    </row>
    <row r="4318">
      <c r="N4318" s="28"/>
      <c r="O4318" s="28"/>
      <c r="U4318" s="28"/>
    </row>
    <row r="4319">
      <c r="N4319" s="28"/>
      <c r="O4319" s="28"/>
      <c r="U4319" s="28"/>
    </row>
    <row r="4320">
      <c r="N4320" s="28"/>
      <c r="O4320" s="28"/>
      <c r="U4320" s="28"/>
    </row>
    <row r="4321">
      <c r="N4321" s="28"/>
      <c r="O4321" s="28"/>
      <c r="U4321" s="28"/>
    </row>
    <row r="4322">
      <c r="N4322" s="28"/>
      <c r="O4322" s="28"/>
      <c r="U4322" s="28"/>
    </row>
    <row r="4323">
      <c r="N4323" s="28"/>
      <c r="O4323" s="28"/>
      <c r="U4323" s="28"/>
    </row>
    <row r="4324">
      <c r="N4324" s="28"/>
      <c r="O4324" s="28"/>
      <c r="U4324" s="28"/>
    </row>
    <row r="4325">
      <c r="N4325" s="28"/>
      <c r="O4325" s="28"/>
      <c r="U4325" s="28"/>
    </row>
    <row r="4326">
      <c r="N4326" s="28"/>
      <c r="O4326" s="28"/>
      <c r="U4326" s="28"/>
    </row>
    <row r="4327">
      <c r="N4327" s="28"/>
      <c r="O4327" s="28"/>
      <c r="U4327" s="28"/>
    </row>
    <row r="4328">
      <c r="N4328" s="28"/>
      <c r="O4328" s="28"/>
      <c r="U4328" s="28"/>
    </row>
    <row r="4329">
      <c r="N4329" s="28"/>
      <c r="O4329" s="28"/>
      <c r="U4329" s="28"/>
    </row>
    <row r="4330">
      <c r="N4330" s="28"/>
      <c r="O4330" s="28"/>
      <c r="U4330" s="28"/>
    </row>
    <row r="4331">
      <c r="N4331" s="28"/>
      <c r="O4331" s="28"/>
      <c r="U4331" s="28"/>
    </row>
    <row r="4332">
      <c r="N4332" s="28"/>
      <c r="O4332" s="28"/>
      <c r="U4332" s="28"/>
    </row>
    <row r="4333">
      <c r="N4333" s="28"/>
      <c r="O4333" s="28"/>
      <c r="U4333" s="28"/>
    </row>
    <row r="4334">
      <c r="N4334" s="28"/>
      <c r="O4334" s="28"/>
      <c r="U4334" s="28"/>
    </row>
    <row r="4335">
      <c r="N4335" s="28"/>
      <c r="O4335" s="28"/>
      <c r="U4335" s="28"/>
    </row>
    <row r="4336">
      <c r="N4336" s="28"/>
      <c r="O4336" s="28"/>
      <c r="U4336" s="28"/>
    </row>
    <row r="4337">
      <c r="N4337" s="28"/>
      <c r="O4337" s="28"/>
      <c r="U4337" s="28"/>
    </row>
    <row r="4338">
      <c r="N4338" s="28"/>
      <c r="O4338" s="28"/>
      <c r="U4338" s="28"/>
    </row>
    <row r="4339">
      <c r="N4339" s="28"/>
      <c r="O4339" s="28"/>
      <c r="U4339" s="28"/>
    </row>
    <row r="4340">
      <c r="N4340" s="28"/>
      <c r="O4340" s="28"/>
      <c r="U4340" s="28"/>
    </row>
    <row r="4341">
      <c r="N4341" s="28"/>
      <c r="O4341" s="28"/>
      <c r="U4341" s="28"/>
    </row>
    <row r="4342">
      <c r="N4342" s="28"/>
      <c r="O4342" s="28"/>
      <c r="U4342" s="28"/>
    </row>
    <row r="4343">
      <c r="N4343" s="28"/>
      <c r="O4343" s="28"/>
      <c r="U4343" s="28"/>
    </row>
    <row r="4344">
      <c r="N4344" s="28"/>
      <c r="O4344" s="28"/>
      <c r="U4344" s="28"/>
    </row>
    <row r="4345">
      <c r="N4345" s="28"/>
      <c r="O4345" s="28"/>
      <c r="U4345" s="28"/>
    </row>
    <row r="4346">
      <c r="N4346" s="28"/>
      <c r="O4346" s="28"/>
      <c r="U4346" s="28"/>
    </row>
    <row r="4347">
      <c r="N4347" s="28"/>
      <c r="O4347" s="28"/>
      <c r="U4347" s="28"/>
    </row>
    <row r="4348">
      <c r="N4348" s="28"/>
      <c r="O4348" s="28"/>
      <c r="U4348" s="28"/>
    </row>
    <row r="4349">
      <c r="N4349" s="28"/>
      <c r="O4349" s="28"/>
      <c r="U4349" s="28"/>
    </row>
    <row r="4350">
      <c r="N4350" s="28"/>
      <c r="O4350" s="28"/>
      <c r="U4350" s="28"/>
    </row>
    <row r="4351">
      <c r="N4351" s="28"/>
      <c r="O4351" s="28"/>
      <c r="U4351" s="28"/>
    </row>
    <row r="4352">
      <c r="N4352" s="28"/>
      <c r="O4352" s="28"/>
      <c r="U4352" s="28"/>
    </row>
    <row r="4353">
      <c r="N4353" s="28"/>
      <c r="O4353" s="28"/>
      <c r="U4353" s="28"/>
    </row>
    <row r="4354">
      <c r="N4354" s="28"/>
      <c r="O4354" s="28"/>
      <c r="U4354" s="28"/>
    </row>
    <row r="4355">
      <c r="N4355" s="28"/>
      <c r="O4355" s="28"/>
      <c r="U4355" s="28"/>
    </row>
    <row r="4356">
      <c r="N4356" s="28"/>
      <c r="O4356" s="28"/>
      <c r="U4356" s="28"/>
    </row>
    <row r="4357">
      <c r="N4357" s="28"/>
      <c r="O4357" s="28"/>
      <c r="U4357" s="28"/>
    </row>
    <row r="4358">
      <c r="N4358" s="28"/>
      <c r="O4358" s="28"/>
      <c r="U4358" s="28"/>
    </row>
    <row r="4359">
      <c r="N4359" s="28"/>
      <c r="O4359" s="28"/>
      <c r="U4359" s="28"/>
    </row>
    <row r="4360">
      <c r="N4360" s="28"/>
      <c r="O4360" s="28"/>
      <c r="U4360" s="28"/>
    </row>
    <row r="4361">
      <c r="N4361" s="28"/>
      <c r="O4361" s="28"/>
      <c r="U4361" s="28"/>
    </row>
    <row r="4362">
      <c r="N4362" s="28"/>
      <c r="O4362" s="28"/>
      <c r="U4362" s="28"/>
    </row>
    <row r="4363">
      <c r="N4363" s="28"/>
      <c r="O4363" s="28"/>
      <c r="U4363" s="28"/>
    </row>
    <row r="4364">
      <c r="N4364" s="28"/>
      <c r="O4364" s="28"/>
      <c r="U4364" s="28"/>
    </row>
    <row r="4365">
      <c r="N4365" s="28"/>
      <c r="O4365" s="28"/>
      <c r="U4365" s="28"/>
    </row>
    <row r="4366">
      <c r="N4366" s="28"/>
      <c r="O4366" s="28"/>
      <c r="U4366" s="28"/>
    </row>
    <row r="4367">
      <c r="N4367" s="28"/>
      <c r="O4367" s="28"/>
      <c r="U4367" s="28"/>
    </row>
    <row r="4368">
      <c r="N4368" s="28"/>
      <c r="O4368" s="28"/>
      <c r="U4368" s="28"/>
    </row>
    <row r="4369">
      <c r="N4369" s="28"/>
      <c r="O4369" s="28"/>
      <c r="U4369" s="28"/>
    </row>
    <row r="4370">
      <c r="N4370" s="28"/>
      <c r="O4370" s="28"/>
      <c r="U4370" s="28"/>
    </row>
    <row r="4371">
      <c r="N4371" s="28"/>
      <c r="O4371" s="28"/>
      <c r="U4371" s="28"/>
    </row>
    <row r="4372">
      <c r="N4372" s="28"/>
      <c r="O4372" s="28"/>
      <c r="U4372" s="28"/>
    </row>
    <row r="4373">
      <c r="N4373" s="28"/>
      <c r="O4373" s="28"/>
      <c r="U4373" s="28"/>
    </row>
    <row r="4374">
      <c r="N4374" s="28"/>
      <c r="O4374" s="28"/>
      <c r="U4374" s="28"/>
    </row>
    <row r="4375">
      <c r="N4375" s="28"/>
      <c r="O4375" s="28"/>
      <c r="U4375" s="28"/>
    </row>
    <row r="4376">
      <c r="N4376" s="28"/>
      <c r="O4376" s="28"/>
      <c r="U4376" s="28"/>
    </row>
    <row r="4377">
      <c r="N4377" s="28"/>
      <c r="O4377" s="28"/>
      <c r="U4377" s="28"/>
    </row>
    <row r="4378">
      <c r="N4378" s="28"/>
      <c r="O4378" s="28"/>
      <c r="U4378" s="28"/>
    </row>
    <row r="4379">
      <c r="N4379" s="28"/>
      <c r="O4379" s="28"/>
      <c r="U4379" s="28"/>
    </row>
    <row r="4380">
      <c r="N4380" s="28"/>
      <c r="O4380" s="28"/>
      <c r="U4380" s="28"/>
    </row>
    <row r="4381">
      <c r="N4381" s="28"/>
      <c r="O4381" s="28"/>
      <c r="U4381" s="28"/>
    </row>
    <row r="4382">
      <c r="N4382" s="28"/>
      <c r="O4382" s="28"/>
      <c r="U4382" s="28"/>
    </row>
    <row r="4383">
      <c r="N4383" s="28"/>
      <c r="O4383" s="28"/>
      <c r="U4383" s="28"/>
    </row>
    <row r="4384">
      <c r="N4384" s="28"/>
      <c r="O4384" s="28"/>
      <c r="U4384" s="28"/>
    </row>
    <row r="4385">
      <c r="N4385" s="28"/>
      <c r="O4385" s="28"/>
      <c r="U4385" s="28"/>
    </row>
    <row r="4386">
      <c r="N4386" s="28"/>
      <c r="O4386" s="28"/>
      <c r="U4386" s="28"/>
    </row>
    <row r="4387">
      <c r="N4387" s="28"/>
      <c r="O4387" s="28"/>
      <c r="U4387" s="28"/>
    </row>
    <row r="4388">
      <c r="N4388" s="28"/>
      <c r="O4388" s="28"/>
      <c r="U4388" s="28"/>
    </row>
    <row r="4389">
      <c r="N4389" s="28"/>
      <c r="O4389" s="28"/>
      <c r="U4389" s="28"/>
    </row>
    <row r="4390">
      <c r="N4390" s="28"/>
      <c r="O4390" s="28"/>
      <c r="U4390" s="28"/>
    </row>
    <row r="4391">
      <c r="N4391" s="28"/>
      <c r="O4391" s="28"/>
      <c r="U4391" s="28"/>
    </row>
    <row r="4392">
      <c r="N4392" s="28"/>
      <c r="O4392" s="28"/>
      <c r="U4392" s="28"/>
    </row>
    <row r="4393">
      <c r="N4393" s="28"/>
      <c r="O4393" s="28"/>
      <c r="U4393" s="28"/>
    </row>
    <row r="4394">
      <c r="N4394" s="28"/>
      <c r="O4394" s="28"/>
      <c r="U4394" s="28"/>
    </row>
    <row r="4395">
      <c r="N4395" s="28"/>
      <c r="O4395" s="28"/>
      <c r="U4395" s="28"/>
    </row>
    <row r="4396">
      <c r="N4396" s="28"/>
      <c r="O4396" s="28"/>
      <c r="U4396" s="28"/>
    </row>
    <row r="4397">
      <c r="N4397" s="28"/>
      <c r="O4397" s="28"/>
      <c r="U4397" s="28"/>
    </row>
    <row r="4398">
      <c r="N4398" s="28"/>
      <c r="O4398" s="28"/>
      <c r="U4398" s="28"/>
    </row>
    <row r="4399">
      <c r="N4399" s="28"/>
      <c r="O4399" s="28"/>
      <c r="U4399" s="28"/>
    </row>
    <row r="4400">
      <c r="N4400" s="28"/>
      <c r="O4400" s="28"/>
      <c r="U4400" s="28"/>
    </row>
    <row r="4401">
      <c r="N4401" s="28"/>
      <c r="O4401" s="28"/>
      <c r="U4401" s="28"/>
    </row>
    <row r="4402">
      <c r="N4402" s="28"/>
      <c r="O4402" s="28"/>
      <c r="U4402" s="28"/>
    </row>
    <row r="4403">
      <c r="N4403" s="28"/>
      <c r="O4403" s="28"/>
      <c r="U4403" s="28"/>
    </row>
    <row r="4404">
      <c r="N4404" s="28"/>
      <c r="O4404" s="28"/>
      <c r="U4404" s="28"/>
    </row>
    <row r="4405">
      <c r="N4405" s="28"/>
      <c r="O4405" s="28"/>
      <c r="U4405" s="28"/>
    </row>
    <row r="4406">
      <c r="N4406" s="28"/>
      <c r="O4406" s="28"/>
      <c r="U4406" s="28"/>
    </row>
    <row r="4407">
      <c r="N4407" s="28"/>
      <c r="O4407" s="28"/>
      <c r="U4407" s="28"/>
    </row>
    <row r="4408">
      <c r="N4408" s="28"/>
      <c r="O4408" s="28"/>
      <c r="U4408" s="28"/>
    </row>
    <row r="4409">
      <c r="N4409" s="28"/>
      <c r="O4409" s="28"/>
      <c r="U4409" s="28"/>
    </row>
    <row r="4410">
      <c r="N4410" s="28"/>
      <c r="O4410" s="28"/>
      <c r="U4410" s="28"/>
    </row>
    <row r="4411">
      <c r="N4411" s="28"/>
      <c r="O4411" s="28"/>
      <c r="U4411" s="28"/>
    </row>
    <row r="4412">
      <c r="N4412" s="28"/>
      <c r="O4412" s="28"/>
      <c r="U4412" s="28"/>
    </row>
    <row r="4413">
      <c r="N4413" s="28"/>
      <c r="O4413" s="28"/>
      <c r="U4413" s="28"/>
    </row>
    <row r="4414">
      <c r="N4414" s="28"/>
      <c r="O4414" s="28"/>
      <c r="U4414" s="28"/>
    </row>
    <row r="4415">
      <c r="N4415" s="28"/>
      <c r="O4415" s="28"/>
      <c r="U4415" s="28"/>
    </row>
    <row r="4416">
      <c r="N4416" s="28"/>
      <c r="O4416" s="28"/>
      <c r="U4416" s="28"/>
    </row>
    <row r="4417">
      <c r="N4417" s="28"/>
      <c r="O4417" s="28"/>
      <c r="U4417" s="28"/>
    </row>
    <row r="4418">
      <c r="N4418" s="28"/>
      <c r="O4418" s="28"/>
      <c r="U4418" s="28"/>
    </row>
    <row r="4419">
      <c r="N4419" s="28"/>
      <c r="O4419" s="28"/>
      <c r="U4419" s="28"/>
    </row>
    <row r="4420">
      <c r="N4420" s="28"/>
      <c r="O4420" s="28"/>
      <c r="U4420" s="28"/>
    </row>
    <row r="4421">
      <c r="N4421" s="28"/>
      <c r="O4421" s="28"/>
      <c r="U4421" s="28"/>
    </row>
    <row r="4422">
      <c r="N4422" s="28"/>
      <c r="O4422" s="28"/>
      <c r="U4422" s="28"/>
    </row>
    <row r="4423">
      <c r="N4423" s="28"/>
      <c r="O4423" s="28"/>
      <c r="U4423" s="28"/>
    </row>
    <row r="4424">
      <c r="N4424" s="28"/>
      <c r="O4424" s="28"/>
      <c r="U4424" s="28"/>
    </row>
    <row r="4425">
      <c r="N4425" s="28"/>
      <c r="O4425" s="28"/>
      <c r="U4425" s="28"/>
    </row>
    <row r="4426">
      <c r="N4426" s="28"/>
      <c r="O4426" s="28"/>
      <c r="U4426" s="28"/>
    </row>
    <row r="4427">
      <c r="N4427" s="28"/>
      <c r="O4427" s="28"/>
      <c r="U4427" s="28"/>
    </row>
    <row r="4428">
      <c r="N4428" s="28"/>
      <c r="O4428" s="28"/>
      <c r="U4428" s="28"/>
    </row>
    <row r="4429">
      <c r="N4429" s="28"/>
      <c r="O4429" s="28"/>
      <c r="U4429" s="28"/>
    </row>
    <row r="4430">
      <c r="N4430" s="28"/>
      <c r="O4430" s="28"/>
      <c r="U4430" s="28"/>
    </row>
    <row r="4431">
      <c r="N4431" s="28"/>
      <c r="O4431" s="28"/>
      <c r="U4431" s="28"/>
    </row>
    <row r="4432">
      <c r="N4432" s="28"/>
      <c r="O4432" s="28"/>
      <c r="U4432" s="28"/>
    </row>
    <row r="4433">
      <c r="N4433" s="28"/>
      <c r="O4433" s="28"/>
      <c r="U4433" s="28"/>
    </row>
    <row r="4434">
      <c r="N4434" s="28"/>
      <c r="O4434" s="28"/>
      <c r="U4434" s="28"/>
    </row>
    <row r="4435">
      <c r="N4435" s="28"/>
      <c r="O4435" s="28"/>
      <c r="U4435" s="28"/>
    </row>
    <row r="4436">
      <c r="N4436" s="28"/>
      <c r="O4436" s="28"/>
      <c r="U4436" s="28"/>
    </row>
    <row r="4437">
      <c r="N4437" s="28"/>
      <c r="O4437" s="28"/>
      <c r="U4437" s="28"/>
    </row>
    <row r="4438">
      <c r="N4438" s="28"/>
      <c r="O4438" s="28"/>
      <c r="U4438" s="28"/>
    </row>
    <row r="4439">
      <c r="N4439" s="28"/>
      <c r="O4439" s="28"/>
      <c r="U4439" s="28"/>
    </row>
    <row r="4440">
      <c r="N4440" s="28"/>
      <c r="O4440" s="28"/>
      <c r="U4440" s="28"/>
    </row>
    <row r="4441">
      <c r="N4441" s="28"/>
      <c r="O4441" s="28"/>
      <c r="U4441" s="28"/>
    </row>
    <row r="4442">
      <c r="N4442" s="28"/>
      <c r="O4442" s="28"/>
      <c r="U4442" s="28"/>
    </row>
    <row r="4443">
      <c r="N4443" s="28"/>
      <c r="O4443" s="28"/>
      <c r="U4443" s="28"/>
    </row>
    <row r="4444">
      <c r="N4444" s="28"/>
      <c r="O4444" s="28"/>
      <c r="U4444" s="28"/>
    </row>
    <row r="4445">
      <c r="N4445" s="28"/>
      <c r="O4445" s="28"/>
      <c r="U4445" s="28"/>
    </row>
    <row r="4446">
      <c r="N4446" s="28"/>
      <c r="O4446" s="28"/>
      <c r="U4446" s="28"/>
    </row>
    <row r="4447">
      <c r="N4447" s="28"/>
      <c r="O4447" s="28"/>
      <c r="U4447" s="28"/>
    </row>
    <row r="4448">
      <c r="N4448" s="28"/>
      <c r="O4448" s="28"/>
      <c r="U4448" s="28"/>
    </row>
    <row r="4449">
      <c r="N4449" s="28"/>
      <c r="O4449" s="28"/>
      <c r="U4449" s="28"/>
    </row>
    <row r="4450">
      <c r="N4450" s="28"/>
      <c r="O4450" s="28"/>
      <c r="U4450" s="28"/>
    </row>
    <row r="4451">
      <c r="N4451" s="28"/>
      <c r="O4451" s="28"/>
      <c r="U4451" s="28"/>
    </row>
    <row r="4452">
      <c r="N4452" s="28"/>
      <c r="O4452" s="28"/>
      <c r="U4452" s="28"/>
    </row>
    <row r="4453">
      <c r="N4453" s="28"/>
      <c r="O4453" s="28"/>
      <c r="U4453" s="28"/>
    </row>
    <row r="4454">
      <c r="N4454" s="28"/>
      <c r="O4454" s="28"/>
      <c r="U4454" s="28"/>
    </row>
    <row r="4455">
      <c r="N4455" s="28"/>
      <c r="O4455" s="28"/>
      <c r="U4455" s="28"/>
    </row>
    <row r="4456">
      <c r="N4456" s="28"/>
      <c r="O4456" s="28"/>
      <c r="U4456" s="28"/>
    </row>
    <row r="4457">
      <c r="N4457" s="28"/>
      <c r="O4457" s="28"/>
      <c r="U4457" s="28"/>
    </row>
    <row r="4458">
      <c r="N4458" s="28"/>
      <c r="O4458" s="28"/>
      <c r="U4458" s="28"/>
    </row>
    <row r="4459">
      <c r="N4459" s="28"/>
      <c r="O4459" s="28"/>
      <c r="U4459" s="28"/>
    </row>
    <row r="4460">
      <c r="N4460" s="28"/>
      <c r="O4460" s="28"/>
      <c r="U4460" s="28"/>
    </row>
    <row r="4461">
      <c r="N4461" s="28"/>
      <c r="O4461" s="28"/>
      <c r="U4461" s="28"/>
    </row>
    <row r="4462">
      <c r="N4462" s="28"/>
      <c r="O4462" s="28"/>
      <c r="U4462" s="28"/>
    </row>
    <row r="4463">
      <c r="N4463" s="28"/>
      <c r="O4463" s="28"/>
      <c r="U4463" s="28"/>
    </row>
    <row r="4464">
      <c r="N4464" s="28"/>
      <c r="O4464" s="28"/>
      <c r="U4464" s="28"/>
    </row>
    <row r="4465">
      <c r="N4465" s="28"/>
      <c r="O4465" s="28"/>
      <c r="U4465" s="28"/>
    </row>
    <row r="4466">
      <c r="N4466" s="28"/>
      <c r="O4466" s="28"/>
      <c r="U4466" s="28"/>
    </row>
    <row r="4467">
      <c r="N4467" s="28"/>
      <c r="O4467" s="28"/>
      <c r="U4467" s="28"/>
    </row>
    <row r="4468">
      <c r="N4468" s="28"/>
      <c r="O4468" s="28"/>
      <c r="U4468" s="28"/>
    </row>
    <row r="4469">
      <c r="N4469" s="28"/>
      <c r="O4469" s="28"/>
      <c r="U4469" s="28"/>
    </row>
    <row r="4470">
      <c r="N4470" s="28"/>
      <c r="O4470" s="28"/>
      <c r="U4470" s="28"/>
    </row>
    <row r="4471">
      <c r="N4471" s="28"/>
      <c r="O4471" s="28"/>
      <c r="U4471" s="28"/>
    </row>
    <row r="4472">
      <c r="N4472" s="28"/>
      <c r="O4472" s="28"/>
      <c r="U4472" s="28"/>
    </row>
    <row r="4473">
      <c r="N4473" s="28"/>
      <c r="O4473" s="28"/>
      <c r="U4473" s="28"/>
    </row>
    <row r="4474">
      <c r="N4474" s="28"/>
      <c r="O4474" s="28"/>
      <c r="U4474" s="28"/>
    </row>
    <row r="4475">
      <c r="N4475" s="28"/>
      <c r="O4475" s="28"/>
      <c r="U4475" s="28"/>
    </row>
    <row r="4476">
      <c r="N4476" s="28"/>
      <c r="O4476" s="28"/>
      <c r="U4476" s="28"/>
    </row>
    <row r="4477">
      <c r="N4477" s="28"/>
      <c r="O4477" s="28"/>
      <c r="U4477" s="28"/>
    </row>
    <row r="4478">
      <c r="N4478" s="28"/>
      <c r="O4478" s="28"/>
      <c r="U4478" s="28"/>
    </row>
    <row r="4479">
      <c r="N4479" s="28"/>
      <c r="O4479" s="28"/>
      <c r="U4479" s="28"/>
    </row>
    <row r="4480">
      <c r="N4480" s="28"/>
      <c r="O4480" s="28"/>
      <c r="U4480" s="28"/>
    </row>
    <row r="4481">
      <c r="N4481" s="28"/>
      <c r="O4481" s="28"/>
      <c r="U4481" s="28"/>
    </row>
    <row r="4482">
      <c r="N4482" s="28"/>
      <c r="O4482" s="28"/>
      <c r="U4482" s="28"/>
    </row>
    <row r="4483">
      <c r="N4483" s="28"/>
      <c r="O4483" s="28"/>
      <c r="U4483" s="28"/>
    </row>
    <row r="4484">
      <c r="N4484" s="28"/>
      <c r="O4484" s="28"/>
      <c r="U4484" s="28"/>
    </row>
    <row r="4485">
      <c r="N4485" s="28"/>
      <c r="O4485" s="28"/>
      <c r="U4485" s="28"/>
    </row>
    <row r="4486">
      <c r="N4486" s="28"/>
      <c r="O4486" s="28"/>
      <c r="U4486" s="28"/>
    </row>
    <row r="4487">
      <c r="N4487" s="28"/>
      <c r="O4487" s="28"/>
      <c r="U4487" s="28"/>
    </row>
    <row r="4488">
      <c r="N4488" s="28"/>
      <c r="O4488" s="28"/>
      <c r="U4488" s="28"/>
    </row>
    <row r="4489">
      <c r="N4489" s="28"/>
      <c r="O4489" s="28"/>
      <c r="U4489" s="28"/>
    </row>
    <row r="4490">
      <c r="N4490" s="28"/>
      <c r="O4490" s="28"/>
      <c r="U4490" s="28"/>
    </row>
    <row r="4491">
      <c r="N4491" s="28"/>
      <c r="O4491" s="28"/>
      <c r="U4491" s="28"/>
    </row>
    <row r="4492">
      <c r="N4492" s="28"/>
      <c r="O4492" s="28"/>
      <c r="U4492" s="28"/>
    </row>
    <row r="4493">
      <c r="N4493" s="28"/>
      <c r="O4493" s="28"/>
      <c r="U4493" s="28"/>
    </row>
    <row r="4494">
      <c r="N4494" s="28"/>
      <c r="O4494" s="28"/>
      <c r="U4494" s="28"/>
    </row>
    <row r="4495">
      <c r="N4495" s="28"/>
      <c r="O4495" s="28"/>
      <c r="U4495" s="28"/>
    </row>
    <row r="4496">
      <c r="N4496" s="28"/>
      <c r="O4496" s="28"/>
      <c r="U4496" s="28"/>
    </row>
    <row r="4497">
      <c r="N4497" s="28"/>
      <c r="O4497" s="28"/>
      <c r="U4497" s="28"/>
    </row>
    <row r="4498">
      <c r="N4498" s="28"/>
      <c r="O4498" s="28"/>
      <c r="U4498" s="28"/>
    </row>
    <row r="4499">
      <c r="N4499" s="28"/>
      <c r="O4499" s="28"/>
      <c r="U4499" s="28"/>
    </row>
    <row r="4500">
      <c r="N4500" s="28"/>
      <c r="O4500" s="28"/>
      <c r="U4500" s="28"/>
    </row>
    <row r="4501">
      <c r="N4501" s="28"/>
      <c r="O4501" s="28"/>
      <c r="U4501" s="28"/>
    </row>
    <row r="4502">
      <c r="N4502" s="28"/>
      <c r="O4502" s="28"/>
      <c r="U4502" s="28"/>
    </row>
    <row r="4503">
      <c r="N4503" s="28"/>
      <c r="O4503" s="28"/>
      <c r="U4503" s="28"/>
    </row>
    <row r="4504">
      <c r="N4504" s="28"/>
      <c r="O4504" s="28"/>
      <c r="U4504" s="28"/>
    </row>
    <row r="4505">
      <c r="N4505" s="28"/>
      <c r="O4505" s="28"/>
      <c r="U4505" s="28"/>
    </row>
    <row r="4506">
      <c r="N4506" s="28"/>
      <c r="O4506" s="28"/>
      <c r="U4506" s="28"/>
    </row>
    <row r="4507">
      <c r="N4507" s="28"/>
      <c r="O4507" s="28"/>
      <c r="U4507" s="28"/>
    </row>
    <row r="4508">
      <c r="N4508" s="28"/>
      <c r="O4508" s="28"/>
      <c r="U4508" s="28"/>
    </row>
    <row r="4509">
      <c r="N4509" s="28"/>
      <c r="O4509" s="28"/>
      <c r="U4509" s="28"/>
    </row>
    <row r="4510">
      <c r="N4510" s="28"/>
      <c r="O4510" s="28"/>
      <c r="U4510" s="28"/>
    </row>
    <row r="4511">
      <c r="N4511" s="28"/>
      <c r="O4511" s="28"/>
      <c r="U4511" s="28"/>
    </row>
    <row r="4512">
      <c r="N4512" s="28"/>
      <c r="O4512" s="28"/>
      <c r="U4512" s="28"/>
    </row>
    <row r="4513">
      <c r="N4513" s="28"/>
      <c r="O4513" s="28"/>
      <c r="U4513" s="28"/>
    </row>
    <row r="4514">
      <c r="N4514" s="28"/>
      <c r="O4514" s="28"/>
      <c r="U4514" s="28"/>
    </row>
    <row r="4515">
      <c r="N4515" s="28"/>
      <c r="O4515" s="28"/>
      <c r="U4515" s="28"/>
    </row>
    <row r="4516">
      <c r="N4516" s="28"/>
      <c r="O4516" s="28"/>
      <c r="U4516" s="28"/>
    </row>
    <row r="4517">
      <c r="N4517" s="28"/>
      <c r="O4517" s="28"/>
      <c r="U4517" s="28"/>
    </row>
    <row r="4518">
      <c r="N4518" s="28"/>
      <c r="O4518" s="28"/>
      <c r="U4518" s="28"/>
    </row>
    <row r="4519">
      <c r="N4519" s="28"/>
      <c r="O4519" s="28"/>
      <c r="U4519" s="28"/>
    </row>
    <row r="4520">
      <c r="N4520" s="28"/>
      <c r="O4520" s="28"/>
      <c r="U4520" s="28"/>
    </row>
    <row r="4521">
      <c r="N4521" s="28"/>
      <c r="O4521" s="28"/>
      <c r="U4521" s="28"/>
    </row>
    <row r="4522">
      <c r="N4522" s="28"/>
      <c r="O4522" s="28"/>
      <c r="U4522" s="28"/>
    </row>
    <row r="4523">
      <c r="N4523" s="28"/>
      <c r="O4523" s="28"/>
      <c r="U4523" s="28"/>
    </row>
    <row r="4524">
      <c r="N4524" s="28"/>
      <c r="O4524" s="28"/>
      <c r="U4524" s="28"/>
    </row>
    <row r="4525">
      <c r="N4525" s="28"/>
      <c r="O4525" s="28"/>
      <c r="U4525" s="28"/>
    </row>
    <row r="4526">
      <c r="N4526" s="28"/>
      <c r="O4526" s="28"/>
      <c r="U4526" s="28"/>
    </row>
    <row r="4527">
      <c r="N4527" s="28"/>
      <c r="O4527" s="28"/>
      <c r="U4527" s="28"/>
    </row>
    <row r="4528">
      <c r="N4528" s="28"/>
      <c r="O4528" s="28"/>
      <c r="U4528" s="28"/>
    </row>
    <row r="4529">
      <c r="N4529" s="28"/>
      <c r="O4529" s="28"/>
      <c r="U4529" s="28"/>
    </row>
    <row r="4530">
      <c r="N4530" s="28"/>
      <c r="O4530" s="28"/>
      <c r="U4530" s="28"/>
    </row>
    <row r="4531">
      <c r="N4531" s="28"/>
      <c r="O4531" s="28"/>
      <c r="U4531" s="28"/>
    </row>
    <row r="4532">
      <c r="N4532" s="28"/>
      <c r="O4532" s="28"/>
      <c r="U4532" s="28"/>
    </row>
    <row r="4533">
      <c r="N4533" s="28"/>
      <c r="O4533" s="28"/>
      <c r="U4533" s="28"/>
    </row>
    <row r="4534">
      <c r="N4534" s="28"/>
      <c r="O4534" s="28"/>
      <c r="U4534" s="28"/>
    </row>
    <row r="4535">
      <c r="N4535" s="28"/>
      <c r="O4535" s="28"/>
      <c r="U4535" s="28"/>
    </row>
    <row r="4536">
      <c r="N4536" s="28"/>
      <c r="O4536" s="28"/>
      <c r="U4536" s="28"/>
    </row>
    <row r="4537">
      <c r="N4537" s="28"/>
      <c r="O4537" s="28"/>
      <c r="U4537" s="28"/>
    </row>
    <row r="4538">
      <c r="N4538" s="28"/>
      <c r="O4538" s="28"/>
      <c r="U4538" s="28"/>
    </row>
    <row r="4539">
      <c r="N4539" s="28"/>
      <c r="O4539" s="28"/>
      <c r="U4539" s="28"/>
    </row>
    <row r="4540">
      <c r="N4540" s="28"/>
      <c r="O4540" s="28"/>
      <c r="U4540" s="28"/>
    </row>
    <row r="4541">
      <c r="N4541" s="28"/>
      <c r="O4541" s="28"/>
      <c r="U4541" s="28"/>
    </row>
    <row r="4542">
      <c r="N4542" s="28"/>
      <c r="O4542" s="28"/>
      <c r="U4542" s="28"/>
    </row>
    <row r="4543">
      <c r="N4543" s="28"/>
      <c r="O4543" s="28"/>
      <c r="U4543" s="28"/>
    </row>
    <row r="4544">
      <c r="N4544" s="28"/>
      <c r="O4544" s="28"/>
      <c r="U4544" s="28"/>
    </row>
    <row r="4545">
      <c r="N4545" s="28"/>
      <c r="O4545" s="28"/>
      <c r="U4545" s="28"/>
    </row>
    <row r="4546">
      <c r="N4546" s="28"/>
      <c r="O4546" s="28"/>
      <c r="U4546" s="28"/>
    </row>
    <row r="4547">
      <c r="N4547" s="28"/>
      <c r="O4547" s="28"/>
      <c r="U4547" s="28"/>
    </row>
    <row r="4548">
      <c r="N4548" s="28"/>
      <c r="O4548" s="28"/>
      <c r="U4548" s="28"/>
    </row>
    <row r="4549">
      <c r="N4549" s="28"/>
      <c r="O4549" s="28"/>
      <c r="U4549" s="28"/>
    </row>
    <row r="4550">
      <c r="N4550" s="28"/>
      <c r="O4550" s="28"/>
      <c r="U4550" s="28"/>
    </row>
    <row r="4551">
      <c r="N4551" s="28"/>
      <c r="O4551" s="28"/>
      <c r="U4551" s="28"/>
    </row>
    <row r="4552">
      <c r="N4552" s="28"/>
      <c r="O4552" s="28"/>
      <c r="U4552" s="28"/>
    </row>
    <row r="4553">
      <c r="N4553" s="28"/>
      <c r="O4553" s="28"/>
      <c r="U4553" s="28"/>
    </row>
    <row r="4554">
      <c r="N4554" s="28"/>
      <c r="O4554" s="28"/>
      <c r="U4554" s="28"/>
    </row>
    <row r="4555">
      <c r="N4555" s="28"/>
      <c r="O4555" s="28"/>
      <c r="U4555" s="28"/>
    </row>
    <row r="4556">
      <c r="N4556" s="28"/>
      <c r="O4556" s="28"/>
      <c r="U4556" s="28"/>
    </row>
    <row r="4557">
      <c r="N4557" s="28"/>
      <c r="O4557" s="28"/>
      <c r="U4557" s="28"/>
    </row>
    <row r="4558">
      <c r="N4558" s="28"/>
      <c r="O4558" s="28"/>
      <c r="U4558" s="28"/>
    </row>
    <row r="4559">
      <c r="N4559" s="28"/>
      <c r="O4559" s="28"/>
      <c r="U4559" s="28"/>
    </row>
    <row r="4560">
      <c r="N4560" s="28"/>
      <c r="O4560" s="28"/>
      <c r="U4560" s="28"/>
    </row>
    <row r="4561">
      <c r="N4561" s="28"/>
      <c r="O4561" s="28"/>
      <c r="U4561" s="28"/>
    </row>
    <row r="4562">
      <c r="N4562" s="28"/>
      <c r="O4562" s="28"/>
      <c r="U4562" s="28"/>
    </row>
    <row r="4563">
      <c r="N4563" s="28"/>
      <c r="O4563" s="28"/>
      <c r="U4563" s="28"/>
    </row>
    <row r="4564">
      <c r="N4564" s="28"/>
      <c r="O4564" s="28"/>
      <c r="U4564" s="28"/>
    </row>
    <row r="4565">
      <c r="N4565" s="28"/>
      <c r="O4565" s="28"/>
      <c r="U4565" s="28"/>
    </row>
    <row r="4566">
      <c r="N4566" s="28"/>
      <c r="O4566" s="28"/>
      <c r="U4566" s="28"/>
    </row>
    <row r="4567">
      <c r="N4567" s="28"/>
      <c r="O4567" s="28"/>
      <c r="U4567" s="28"/>
    </row>
    <row r="4568">
      <c r="N4568" s="28"/>
      <c r="O4568" s="28"/>
      <c r="U4568" s="28"/>
    </row>
    <row r="4569">
      <c r="N4569" s="28"/>
      <c r="O4569" s="28"/>
      <c r="U4569" s="28"/>
    </row>
    <row r="4570">
      <c r="N4570" s="28"/>
      <c r="O4570" s="28"/>
      <c r="U4570" s="28"/>
    </row>
    <row r="4571">
      <c r="N4571" s="28"/>
      <c r="O4571" s="28"/>
      <c r="U4571" s="28"/>
    </row>
    <row r="4572">
      <c r="N4572" s="28"/>
      <c r="O4572" s="28"/>
      <c r="U4572" s="28"/>
    </row>
    <row r="4573">
      <c r="N4573" s="28"/>
      <c r="O4573" s="28"/>
      <c r="U4573" s="28"/>
    </row>
    <row r="4574">
      <c r="N4574" s="28"/>
      <c r="O4574" s="28"/>
      <c r="U4574" s="28"/>
    </row>
    <row r="4575">
      <c r="N4575" s="28"/>
      <c r="O4575" s="28"/>
      <c r="U4575" s="28"/>
    </row>
    <row r="4576">
      <c r="N4576" s="28"/>
      <c r="O4576" s="28"/>
      <c r="U4576" s="28"/>
    </row>
    <row r="4577">
      <c r="N4577" s="28"/>
      <c r="O4577" s="28"/>
      <c r="U4577" s="28"/>
    </row>
    <row r="4578">
      <c r="N4578" s="28"/>
      <c r="O4578" s="28"/>
      <c r="U4578" s="28"/>
    </row>
    <row r="4579">
      <c r="N4579" s="28"/>
      <c r="O4579" s="28"/>
      <c r="U4579" s="28"/>
    </row>
    <row r="4580">
      <c r="N4580" s="28"/>
      <c r="O4580" s="28"/>
      <c r="U4580" s="28"/>
    </row>
    <row r="4581">
      <c r="N4581" s="28"/>
      <c r="O4581" s="28"/>
      <c r="U4581" s="28"/>
    </row>
    <row r="4582">
      <c r="N4582" s="28"/>
      <c r="O4582" s="28"/>
      <c r="U4582" s="28"/>
    </row>
    <row r="4583">
      <c r="N4583" s="28"/>
      <c r="O4583" s="28"/>
      <c r="U4583" s="28"/>
    </row>
    <row r="4584">
      <c r="N4584" s="28"/>
      <c r="O4584" s="28"/>
      <c r="U4584" s="28"/>
    </row>
    <row r="4585">
      <c r="N4585" s="28"/>
      <c r="O4585" s="28"/>
      <c r="U4585" s="28"/>
    </row>
    <row r="4586">
      <c r="N4586" s="28"/>
      <c r="O4586" s="28"/>
      <c r="U4586" s="28"/>
    </row>
    <row r="4587">
      <c r="N4587" s="28"/>
      <c r="O4587" s="28"/>
      <c r="U4587" s="28"/>
    </row>
    <row r="4588">
      <c r="N4588" s="28"/>
      <c r="O4588" s="28"/>
      <c r="U4588" s="28"/>
    </row>
    <row r="4589">
      <c r="N4589" s="28"/>
      <c r="O4589" s="28"/>
      <c r="U4589" s="28"/>
    </row>
    <row r="4590">
      <c r="N4590" s="28"/>
      <c r="O4590" s="28"/>
      <c r="U4590" s="28"/>
    </row>
    <row r="4591">
      <c r="N4591" s="28"/>
      <c r="O4591" s="28"/>
      <c r="U4591" s="28"/>
    </row>
    <row r="4592">
      <c r="N4592" s="28"/>
      <c r="O4592" s="28"/>
      <c r="U4592" s="28"/>
    </row>
    <row r="4593">
      <c r="N4593" s="28"/>
      <c r="O4593" s="28"/>
      <c r="U4593" s="28"/>
    </row>
    <row r="4594">
      <c r="N4594" s="28"/>
      <c r="O4594" s="28"/>
      <c r="U4594" s="28"/>
    </row>
    <row r="4595">
      <c r="N4595" s="28"/>
      <c r="O4595" s="28"/>
      <c r="U4595" s="28"/>
    </row>
    <row r="4596">
      <c r="N4596" s="28"/>
      <c r="O4596" s="28"/>
      <c r="U4596" s="28"/>
    </row>
    <row r="4597">
      <c r="N4597" s="28"/>
      <c r="O4597" s="28"/>
      <c r="U4597" s="28"/>
    </row>
    <row r="4598">
      <c r="N4598" s="28"/>
      <c r="O4598" s="28"/>
      <c r="U4598" s="28"/>
    </row>
    <row r="4599">
      <c r="N4599" s="28"/>
      <c r="O4599" s="28"/>
      <c r="U4599" s="28"/>
    </row>
    <row r="4600">
      <c r="N4600" s="28"/>
      <c r="O4600" s="28"/>
      <c r="U4600" s="28"/>
    </row>
    <row r="4601">
      <c r="N4601" s="28"/>
      <c r="O4601" s="28"/>
      <c r="U4601" s="28"/>
    </row>
    <row r="4602">
      <c r="N4602" s="28"/>
      <c r="O4602" s="28"/>
      <c r="U4602" s="28"/>
    </row>
    <row r="4603">
      <c r="N4603" s="28"/>
      <c r="O4603" s="28"/>
      <c r="U4603" s="28"/>
    </row>
    <row r="4604">
      <c r="N4604" s="28"/>
      <c r="O4604" s="28"/>
      <c r="U4604" s="28"/>
    </row>
    <row r="4605">
      <c r="N4605" s="28"/>
      <c r="O4605" s="28"/>
      <c r="U4605" s="28"/>
    </row>
    <row r="4606">
      <c r="N4606" s="28"/>
      <c r="O4606" s="28"/>
      <c r="U4606" s="28"/>
    </row>
    <row r="4607">
      <c r="N4607" s="28"/>
      <c r="O4607" s="28"/>
      <c r="U4607" s="28"/>
    </row>
    <row r="4608">
      <c r="N4608" s="28"/>
      <c r="O4608" s="28"/>
      <c r="U4608" s="28"/>
    </row>
    <row r="4609">
      <c r="N4609" s="28"/>
      <c r="O4609" s="28"/>
      <c r="U4609" s="28"/>
    </row>
    <row r="4610">
      <c r="N4610" s="28"/>
      <c r="O4610" s="28"/>
      <c r="U4610" s="28"/>
    </row>
    <row r="4611">
      <c r="N4611" s="28"/>
      <c r="O4611" s="28"/>
      <c r="U4611" s="28"/>
    </row>
    <row r="4612">
      <c r="N4612" s="28"/>
      <c r="O4612" s="28"/>
      <c r="U4612" s="28"/>
    </row>
    <row r="4613">
      <c r="N4613" s="28"/>
      <c r="O4613" s="28"/>
      <c r="U4613" s="28"/>
    </row>
    <row r="4614">
      <c r="N4614" s="28"/>
      <c r="O4614" s="28"/>
      <c r="U4614" s="28"/>
    </row>
    <row r="4615">
      <c r="N4615" s="28"/>
      <c r="O4615" s="28"/>
      <c r="U4615" s="28"/>
    </row>
    <row r="4616">
      <c r="N4616" s="28"/>
      <c r="O4616" s="28"/>
      <c r="U4616" s="28"/>
    </row>
    <row r="4617">
      <c r="N4617" s="28"/>
      <c r="O4617" s="28"/>
      <c r="U4617" s="28"/>
    </row>
    <row r="4618">
      <c r="N4618" s="28"/>
      <c r="O4618" s="28"/>
      <c r="U4618" s="28"/>
    </row>
    <row r="4619">
      <c r="N4619" s="28"/>
      <c r="O4619" s="28"/>
      <c r="U4619" s="28"/>
    </row>
    <row r="4620">
      <c r="N4620" s="28"/>
      <c r="O4620" s="28"/>
      <c r="U4620" s="28"/>
    </row>
    <row r="4621">
      <c r="N4621" s="28"/>
      <c r="O4621" s="28"/>
      <c r="U4621" s="28"/>
    </row>
    <row r="4622">
      <c r="N4622" s="28"/>
      <c r="O4622" s="28"/>
      <c r="U4622" s="28"/>
    </row>
    <row r="4623">
      <c r="N4623" s="28"/>
      <c r="O4623" s="28"/>
      <c r="U4623" s="28"/>
    </row>
    <row r="4624">
      <c r="N4624" s="28"/>
      <c r="O4624" s="28"/>
      <c r="U4624" s="28"/>
    </row>
    <row r="4625">
      <c r="N4625" s="28"/>
      <c r="O4625" s="28"/>
      <c r="U4625" s="28"/>
    </row>
    <row r="4626">
      <c r="N4626" s="28"/>
      <c r="O4626" s="28"/>
      <c r="U4626" s="28"/>
    </row>
    <row r="4627">
      <c r="N4627" s="28"/>
      <c r="O4627" s="28"/>
      <c r="U4627" s="28"/>
    </row>
    <row r="4628">
      <c r="N4628" s="28"/>
      <c r="O4628" s="28"/>
      <c r="U4628" s="28"/>
    </row>
    <row r="4629">
      <c r="N4629" s="28"/>
      <c r="O4629" s="28"/>
      <c r="U4629" s="28"/>
    </row>
    <row r="4630">
      <c r="N4630" s="28"/>
      <c r="O4630" s="28"/>
      <c r="U4630" s="28"/>
    </row>
    <row r="4631">
      <c r="N4631" s="28"/>
      <c r="O4631" s="28"/>
      <c r="U4631" s="28"/>
    </row>
    <row r="4632">
      <c r="N4632" s="28"/>
      <c r="O4632" s="28"/>
      <c r="U4632" s="28"/>
    </row>
    <row r="4633">
      <c r="N4633" s="28"/>
      <c r="O4633" s="28"/>
      <c r="U4633" s="28"/>
    </row>
    <row r="4634">
      <c r="N4634" s="28"/>
      <c r="O4634" s="28"/>
      <c r="U4634" s="28"/>
    </row>
    <row r="4635">
      <c r="N4635" s="28"/>
      <c r="O4635" s="28"/>
      <c r="U4635" s="28"/>
    </row>
    <row r="4636">
      <c r="N4636" s="28"/>
      <c r="O4636" s="28"/>
      <c r="U4636" s="28"/>
    </row>
    <row r="4637">
      <c r="N4637" s="28"/>
      <c r="O4637" s="28"/>
      <c r="U4637" s="28"/>
    </row>
    <row r="4638">
      <c r="N4638" s="28"/>
      <c r="O4638" s="28"/>
      <c r="U4638" s="28"/>
    </row>
    <row r="4639">
      <c r="N4639" s="28"/>
      <c r="O4639" s="28"/>
      <c r="U4639" s="28"/>
    </row>
    <row r="4640">
      <c r="N4640" s="28"/>
      <c r="O4640" s="28"/>
      <c r="U4640" s="28"/>
    </row>
    <row r="4641">
      <c r="N4641" s="28"/>
      <c r="O4641" s="28"/>
      <c r="U4641" s="28"/>
    </row>
    <row r="4642">
      <c r="N4642" s="28"/>
      <c r="O4642" s="28"/>
      <c r="U4642" s="28"/>
    </row>
    <row r="4643">
      <c r="N4643" s="28"/>
      <c r="O4643" s="28"/>
      <c r="U4643" s="28"/>
    </row>
    <row r="4644">
      <c r="N4644" s="28"/>
      <c r="O4644" s="28"/>
      <c r="U4644" s="28"/>
    </row>
    <row r="4645">
      <c r="N4645" s="28"/>
      <c r="O4645" s="28"/>
      <c r="U4645" s="28"/>
    </row>
    <row r="4646">
      <c r="N4646" s="28"/>
      <c r="O4646" s="28"/>
      <c r="U4646" s="28"/>
    </row>
    <row r="4647">
      <c r="N4647" s="28"/>
      <c r="O4647" s="28"/>
      <c r="U4647" s="28"/>
    </row>
    <row r="4648">
      <c r="N4648" s="28"/>
      <c r="O4648" s="28"/>
      <c r="U4648" s="28"/>
    </row>
    <row r="4649">
      <c r="N4649" s="28"/>
      <c r="O4649" s="28"/>
      <c r="U4649" s="28"/>
    </row>
    <row r="4650">
      <c r="N4650" s="28"/>
      <c r="O4650" s="28"/>
      <c r="U4650" s="28"/>
    </row>
    <row r="4651">
      <c r="N4651" s="28"/>
      <c r="O4651" s="28"/>
      <c r="U4651" s="28"/>
    </row>
    <row r="4652">
      <c r="N4652" s="28"/>
      <c r="O4652" s="28"/>
      <c r="U4652" s="28"/>
    </row>
    <row r="4653">
      <c r="N4653" s="28"/>
      <c r="O4653" s="28"/>
      <c r="U4653" s="28"/>
    </row>
    <row r="4654">
      <c r="N4654" s="28"/>
      <c r="O4654" s="28"/>
      <c r="U4654" s="28"/>
    </row>
    <row r="4655">
      <c r="N4655" s="28"/>
      <c r="O4655" s="28"/>
      <c r="U4655" s="28"/>
    </row>
    <row r="4656">
      <c r="N4656" s="28"/>
      <c r="O4656" s="28"/>
      <c r="U4656" s="28"/>
    </row>
    <row r="4657">
      <c r="N4657" s="28"/>
      <c r="O4657" s="28"/>
      <c r="U4657" s="28"/>
    </row>
    <row r="4658">
      <c r="N4658" s="28"/>
      <c r="O4658" s="28"/>
      <c r="U4658" s="28"/>
    </row>
    <row r="4659">
      <c r="N4659" s="28"/>
      <c r="O4659" s="28"/>
      <c r="U4659" s="28"/>
    </row>
    <row r="4660">
      <c r="N4660" s="28"/>
      <c r="O4660" s="28"/>
      <c r="U4660" s="28"/>
    </row>
    <row r="4661">
      <c r="N4661" s="28"/>
      <c r="O4661" s="28"/>
      <c r="U4661" s="28"/>
    </row>
    <row r="4662">
      <c r="N4662" s="28"/>
      <c r="O4662" s="28"/>
      <c r="U4662" s="28"/>
    </row>
    <row r="4663">
      <c r="N4663" s="28"/>
      <c r="O4663" s="28"/>
      <c r="U4663" s="28"/>
    </row>
    <row r="4664">
      <c r="N4664" s="28"/>
      <c r="O4664" s="28"/>
      <c r="U4664" s="28"/>
    </row>
    <row r="4665">
      <c r="N4665" s="28"/>
      <c r="O4665" s="28"/>
      <c r="U4665" s="28"/>
    </row>
    <row r="4666">
      <c r="N4666" s="28"/>
      <c r="O4666" s="28"/>
      <c r="U4666" s="28"/>
    </row>
    <row r="4667">
      <c r="N4667" s="28"/>
      <c r="O4667" s="28"/>
      <c r="U4667" s="28"/>
    </row>
    <row r="4668">
      <c r="N4668" s="28"/>
      <c r="O4668" s="28"/>
      <c r="U4668" s="28"/>
    </row>
    <row r="4669">
      <c r="N4669" s="28"/>
      <c r="O4669" s="28"/>
      <c r="U4669" s="28"/>
    </row>
    <row r="4670">
      <c r="N4670" s="28"/>
      <c r="O4670" s="28"/>
      <c r="U4670" s="28"/>
    </row>
    <row r="4671">
      <c r="N4671" s="28"/>
      <c r="O4671" s="28"/>
      <c r="U4671" s="28"/>
    </row>
    <row r="4672">
      <c r="N4672" s="28"/>
      <c r="O4672" s="28"/>
      <c r="U4672" s="28"/>
    </row>
    <row r="4673">
      <c r="N4673" s="28"/>
      <c r="O4673" s="28"/>
      <c r="U4673" s="28"/>
    </row>
    <row r="4674">
      <c r="N4674" s="28"/>
      <c r="O4674" s="28"/>
      <c r="U4674" s="28"/>
    </row>
    <row r="4675">
      <c r="N4675" s="28"/>
      <c r="O4675" s="28"/>
      <c r="U4675" s="28"/>
    </row>
    <row r="4676">
      <c r="N4676" s="28"/>
      <c r="O4676" s="28"/>
      <c r="U4676" s="28"/>
    </row>
    <row r="4677">
      <c r="N4677" s="28"/>
      <c r="O4677" s="28"/>
      <c r="U4677" s="28"/>
    </row>
    <row r="4678">
      <c r="N4678" s="28"/>
      <c r="O4678" s="28"/>
      <c r="U4678" s="28"/>
    </row>
    <row r="4679">
      <c r="N4679" s="28"/>
      <c r="O4679" s="28"/>
      <c r="U4679" s="28"/>
    </row>
    <row r="4680">
      <c r="N4680" s="28"/>
      <c r="O4680" s="28"/>
      <c r="U4680" s="28"/>
    </row>
    <row r="4681">
      <c r="N4681" s="28"/>
      <c r="O4681" s="28"/>
      <c r="U4681" s="28"/>
    </row>
    <row r="4682">
      <c r="N4682" s="28"/>
      <c r="O4682" s="28"/>
      <c r="U4682" s="28"/>
    </row>
    <row r="4683">
      <c r="N4683" s="28"/>
      <c r="O4683" s="28"/>
      <c r="U4683" s="28"/>
    </row>
    <row r="4684">
      <c r="N4684" s="28"/>
      <c r="O4684" s="28"/>
      <c r="U4684" s="28"/>
    </row>
    <row r="4685">
      <c r="N4685" s="28"/>
      <c r="O4685" s="28"/>
      <c r="U4685" s="28"/>
    </row>
    <row r="4686">
      <c r="N4686" s="28"/>
      <c r="O4686" s="28"/>
      <c r="U4686" s="28"/>
    </row>
    <row r="4687">
      <c r="N4687" s="28"/>
      <c r="O4687" s="28"/>
      <c r="U4687" s="28"/>
    </row>
    <row r="4688">
      <c r="N4688" s="28"/>
      <c r="O4688" s="28"/>
      <c r="U4688" s="28"/>
    </row>
    <row r="4689">
      <c r="N4689" s="28"/>
      <c r="O4689" s="28"/>
      <c r="U4689" s="28"/>
    </row>
    <row r="4690">
      <c r="N4690" s="28"/>
      <c r="O4690" s="28"/>
      <c r="U4690" s="28"/>
    </row>
    <row r="4691">
      <c r="N4691" s="28"/>
      <c r="O4691" s="28"/>
      <c r="U4691" s="28"/>
    </row>
    <row r="4692">
      <c r="N4692" s="28"/>
      <c r="O4692" s="28"/>
      <c r="U4692" s="28"/>
    </row>
    <row r="4693">
      <c r="N4693" s="28"/>
      <c r="O4693" s="28"/>
      <c r="U4693" s="28"/>
    </row>
    <row r="4694">
      <c r="N4694" s="28"/>
      <c r="O4694" s="28"/>
      <c r="U4694" s="28"/>
    </row>
    <row r="4695">
      <c r="N4695" s="28"/>
      <c r="O4695" s="28"/>
      <c r="U4695" s="28"/>
    </row>
    <row r="4696">
      <c r="N4696" s="28"/>
      <c r="O4696" s="28"/>
      <c r="U4696" s="28"/>
    </row>
    <row r="4697">
      <c r="N4697" s="28"/>
      <c r="O4697" s="28"/>
      <c r="U4697" s="28"/>
    </row>
    <row r="4698">
      <c r="N4698" s="28"/>
      <c r="O4698" s="28"/>
      <c r="U4698" s="28"/>
    </row>
    <row r="4699">
      <c r="N4699" s="28"/>
      <c r="O4699" s="28"/>
      <c r="U4699" s="28"/>
    </row>
    <row r="4700">
      <c r="N4700" s="28"/>
      <c r="O4700" s="28"/>
      <c r="U4700" s="28"/>
    </row>
    <row r="4701">
      <c r="N4701" s="28"/>
      <c r="O4701" s="28"/>
      <c r="U4701" s="28"/>
    </row>
    <row r="4702">
      <c r="N4702" s="28"/>
      <c r="O4702" s="28"/>
      <c r="U4702" s="28"/>
    </row>
    <row r="4703">
      <c r="N4703" s="28"/>
      <c r="O4703" s="28"/>
      <c r="U4703" s="28"/>
    </row>
    <row r="4704">
      <c r="N4704" s="28"/>
      <c r="O4704" s="28"/>
      <c r="U4704" s="28"/>
    </row>
    <row r="4705">
      <c r="N4705" s="28"/>
      <c r="O4705" s="28"/>
      <c r="U4705" s="28"/>
    </row>
    <row r="4706">
      <c r="N4706" s="28"/>
      <c r="O4706" s="28"/>
      <c r="U4706" s="28"/>
    </row>
    <row r="4707">
      <c r="N4707" s="28"/>
      <c r="O4707" s="28"/>
      <c r="U4707" s="28"/>
    </row>
    <row r="4708">
      <c r="N4708" s="28"/>
      <c r="O4708" s="28"/>
      <c r="U4708" s="28"/>
    </row>
    <row r="4709">
      <c r="N4709" s="28"/>
      <c r="O4709" s="28"/>
      <c r="U4709" s="28"/>
    </row>
    <row r="4710">
      <c r="N4710" s="28"/>
      <c r="O4710" s="28"/>
      <c r="U4710" s="28"/>
    </row>
    <row r="4711">
      <c r="N4711" s="28"/>
      <c r="O4711" s="28"/>
      <c r="U4711" s="28"/>
    </row>
    <row r="4712">
      <c r="N4712" s="28"/>
      <c r="O4712" s="28"/>
      <c r="U4712" s="28"/>
    </row>
    <row r="4713">
      <c r="N4713" s="28"/>
      <c r="O4713" s="28"/>
      <c r="U4713" s="28"/>
    </row>
    <row r="4714">
      <c r="N4714" s="28"/>
      <c r="O4714" s="28"/>
      <c r="U4714" s="28"/>
    </row>
    <row r="4715">
      <c r="N4715" s="28"/>
      <c r="O4715" s="28"/>
      <c r="U4715" s="28"/>
    </row>
    <row r="4716">
      <c r="N4716" s="28"/>
      <c r="O4716" s="28"/>
      <c r="U4716" s="28"/>
    </row>
    <row r="4717">
      <c r="N4717" s="28"/>
      <c r="O4717" s="28"/>
      <c r="U4717" s="28"/>
    </row>
    <row r="4718">
      <c r="N4718" s="28"/>
      <c r="O4718" s="28"/>
      <c r="U4718" s="28"/>
    </row>
    <row r="4719">
      <c r="N4719" s="28"/>
      <c r="O4719" s="28"/>
      <c r="U4719" s="28"/>
    </row>
    <row r="4720">
      <c r="N4720" s="28"/>
      <c r="O4720" s="28"/>
      <c r="U4720" s="28"/>
    </row>
    <row r="4721">
      <c r="N4721" s="28"/>
      <c r="O4721" s="28"/>
      <c r="U4721" s="28"/>
    </row>
    <row r="4722">
      <c r="N4722" s="28"/>
      <c r="O4722" s="28"/>
      <c r="U4722" s="28"/>
    </row>
    <row r="4723">
      <c r="N4723" s="28"/>
      <c r="O4723" s="28"/>
      <c r="U4723" s="28"/>
    </row>
    <row r="4724">
      <c r="N4724" s="28"/>
      <c r="O4724" s="28"/>
      <c r="U4724" s="28"/>
    </row>
    <row r="4725">
      <c r="N4725" s="28"/>
      <c r="O4725" s="28"/>
      <c r="U4725" s="28"/>
    </row>
    <row r="4726">
      <c r="N4726" s="28"/>
      <c r="O4726" s="28"/>
      <c r="U4726" s="28"/>
    </row>
    <row r="4727">
      <c r="N4727" s="28"/>
      <c r="O4727" s="28"/>
      <c r="U4727" s="28"/>
    </row>
    <row r="4728">
      <c r="N4728" s="28"/>
      <c r="O4728" s="28"/>
      <c r="U4728" s="28"/>
    </row>
    <row r="4729">
      <c r="N4729" s="28"/>
      <c r="O4729" s="28"/>
      <c r="U4729" s="28"/>
    </row>
    <row r="4730">
      <c r="N4730" s="28"/>
      <c r="O4730" s="28"/>
      <c r="U4730" s="28"/>
    </row>
    <row r="4731">
      <c r="N4731" s="28"/>
      <c r="O4731" s="28"/>
      <c r="U4731" s="28"/>
    </row>
    <row r="4732">
      <c r="N4732" s="28"/>
      <c r="O4732" s="28"/>
      <c r="U4732" s="28"/>
    </row>
    <row r="4733">
      <c r="N4733" s="28"/>
      <c r="O4733" s="28"/>
      <c r="U4733" s="28"/>
    </row>
    <row r="4734">
      <c r="N4734" s="28"/>
      <c r="O4734" s="28"/>
      <c r="U4734" s="28"/>
    </row>
    <row r="4735">
      <c r="N4735" s="28"/>
      <c r="O4735" s="28"/>
      <c r="U4735" s="28"/>
    </row>
    <row r="4736">
      <c r="N4736" s="28"/>
      <c r="O4736" s="28"/>
      <c r="U4736" s="28"/>
    </row>
    <row r="4737">
      <c r="N4737" s="28"/>
      <c r="O4737" s="28"/>
      <c r="U4737" s="28"/>
    </row>
    <row r="4738">
      <c r="N4738" s="28"/>
      <c r="O4738" s="28"/>
      <c r="U4738" s="28"/>
    </row>
    <row r="4739">
      <c r="N4739" s="28"/>
      <c r="O4739" s="28"/>
      <c r="U4739" s="28"/>
    </row>
    <row r="4740">
      <c r="N4740" s="28"/>
      <c r="O4740" s="28"/>
      <c r="U4740" s="28"/>
    </row>
    <row r="4741">
      <c r="N4741" s="28"/>
      <c r="O4741" s="28"/>
      <c r="U4741" s="28"/>
    </row>
    <row r="4742">
      <c r="N4742" s="28"/>
      <c r="O4742" s="28"/>
      <c r="U4742" s="28"/>
    </row>
    <row r="4743">
      <c r="N4743" s="28"/>
      <c r="O4743" s="28"/>
      <c r="U4743" s="28"/>
    </row>
    <row r="4744">
      <c r="N4744" s="28"/>
      <c r="O4744" s="28"/>
      <c r="U4744" s="28"/>
    </row>
    <row r="4745">
      <c r="N4745" s="28"/>
      <c r="O4745" s="28"/>
      <c r="U4745" s="28"/>
    </row>
    <row r="4746">
      <c r="N4746" s="28"/>
      <c r="O4746" s="28"/>
      <c r="U4746" s="28"/>
    </row>
    <row r="4747">
      <c r="N4747" s="28"/>
      <c r="O4747" s="28"/>
      <c r="U4747" s="28"/>
    </row>
    <row r="4748">
      <c r="N4748" s="28"/>
      <c r="O4748" s="28"/>
      <c r="U4748" s="28"/>
    </row>
    <row r="4749">
      <c r="N4749" s="28"/>
      <c r="O4749" s="28"/>
      <c r="U4749" s="28"/>
    </row>
    <row r="4750">
      <c r="N4750" s="28"/>
      <c r="O4750" s="28"/>
      <c r="U4750" s="28"/>
    </row>
    <row r="4751">
      <c r="N4751" s="28"/>
      <c r="O4751" s="28"/>
      <c r="U4751" s="28"/>
    </row>
    <row r="4752">
      <c r="N4752" s="28"/>
      <c r="O4752" s="28"/>
      <c r="U4752" s="28"/>
    </row>
    <row r="4753">
      <c r="N4753" s="28"/>
      <c r="O4753" s="28"/>
      <c r="U4753" s="28"/>
    </row>
    <row r="4754">
      <c r="N4754" s="28"/>
      <c r="O4754" s="28"/>
      <c r="U4754" s="28"/>
    </row>
    <row r="4755">
      <c r="N4755" s="28"/>
      <c r="O4755" s="28"/>
      <c r="U4755" s="28"/>
    </row>
    <row r="4756">
      <c r="N4756" s="28"/>
      <c r="O4756" s="28"/>
      <c r="U4756" s="28"/>
    </row>
    <row r="4757">
      <c r="N4757" s="28"/>
      <c r="O4757" s="28"/>
      <c r="U4757" s="28"/>
    </row>
    <row r="4758">
      <c r="N4758" s="28"/>
      <c r="O4758" s="28"/>
      <c r="U4758" s="28"/>
    </row>
    <row r="4759">
      <c r="N4759" s="28"/>
      <c r="O4759" s="28"/>
      <c r="U4759" s="28"/>
    </row>
    <row r="4760">
      <c r="N4760" s="28"/>
      <c r="O4760" s="28"/>
      <c r="U4760" s="28"/>
    </row>
    <row r="4761">
      <c r="N4761" s="28"/>
      <c r="O4761" s="28"/>
      <c r="U4761" s="28"/>
    </row>
    <row r="4762">
      <c r="N4762" s="28"/>
      <c r="O4762" s="28"/>
      <c r="U4762" s="28"/>
    </row>
    <row r="4763">
      <c r="N4763" s="28"/>
      <c r="O4763" s="28"/>
      <c r="U4763" s="28"/>
    </row>
    <row r="4764">
      <c r="N4764" s="28"/>
      <c r="O4764" s="28"/>
      <c r="U4764" s="28"/>
    </row>
    <row r="4765">
      <c r="N4765" s="28"/>
      <c r="O4765" s="28"/>
      <c r="U4765" s="28"/>
    </row>
    <row r="4766">
      <c r="N4766" s="28"/>
      <c r="O4766" s="28"/>
      <c r="U4766" s="28"/>
    </row>
    <row r="4767">
      <c r="N4767" s="28"/>
      <c r="O4767" s="28"/>
      <c r="U4767" s="28"/>
    </row>
    <row r="4768">
      <c r="N4768" s="28"/>
      <c r="O4768" s="28"/>
      <c r="U4768" s="28"/>
    </row>
    <row r="4769">
      <c r="N4769" s="28"/>
      <c r="O4769" s="28"/>
      <c r="U4769" s="28"/>
    </row>
    <row r="4770">
      <c r="N4770" s="28"/>
      <c r="O4770" s="28"/>
      <c r="U4770" s="28"/>
    </row>
    <row r="4771">
      <c r="N4771" s="28"/>
      <c r="O4771" s="28"/>
      <c r="U4771" s="28"/>
    </row>
    <row r="4772">
      <c r="N4772" s="28"/>
      <c r="O4772" s="28"/>
      <c r="U4772" s="28"/>
    </row>
    <row r="4773">
      <c r="N4773" s="28"/>
      <c r="O4773" s="28"/>
      <c r="U4773" s="28"/>
    </row>
    <row r="4774">
      <c r="N4774" s="28"/>
      <c r="O4774" s="28"/>
      <c r="U4774" s="28"/>
    </row>
    <row r="4775">
      <c r="N4775" s="28"/>
      <c r="O4775" s="28"/>
      <c r="U4775" s="28"/>
    </row>
    <row r="4776">
      <c r="N4776" s="28"/>
      <c r="O4776" s="28"/>
      <c r="U4776" s="28"/>
    </row>
    <row r="4777">
      <c r="N4777" s="28"/>
      <c r="O4777" s="28"/>
      <c r="U4777" s="28"/>
    </row>
    <row r="4778">
      <c r="N4778" s="28"/>
      <c r="O4778" s="28"/>
      <c r="U4778" s="28"/>
    </row>
    <row r="4779">
      <c r="N4779" s="28"/>
      <c r="O4779" s="28"/>
      <c r="U4779" s="28"/>
    </row>
    <row r="4780">
      <c r="N4780" s="28"/>
      <c r="O4780" s="28"/>
      <c r="U4780" s="28"/>
    </row>
    <row r="4781">
      <c r="N4781" s="28"/>
      <c r="O4781" s="28"/>
      <c r="U4781" s="28"/>
    </row>
    <row r="4782">
      <c r="N4782" s="28"/>
      <c r="O4782" s="28"/>
      <c r="U4782" s="28"/>
    </row>
    <row r="4783">
      <c r="N4783" s="28"/>
      <c r="O4783" s="28"/>
      <c r="U4783" s="28"/>
    </row>
    <row r="4784">
      <c r="N4784" s="28"/>
      <c r="O4784" s="28"/>
      <c r="U4784" s="28"/>
    </row>
    <row r="4785">
      <c r="N4785" s="28"/>
      <c r="O4785" s="28"/>
      <c r="U4785" s="28"/>
    </row>
    <row r="4786">
      <c r="N4786" s="28"/>
      <c r="O4786" s="28"/>
      <c r="U4786" s="28"/>
    </row>
    <row r="4787">
      <c r="N4787" s="28"/>
      <c r="O4787" s="28"/>
      <c r="U4787" s="28"/>
    </row>
    <row r="4788">
      <c r="N4788" s="28"/>
      <c r="O4788" s="28"/>
      <c r="U4788" s="28"/>
    </row>
    <row r="4789">
      <c r="N4789" s="28"/>
      <c r="O4789" s="28"/>
      <c r="U4789" s="28"/>
    </row>
    <row r="4790">
      <c r="N4790" s="28"/>
      <c r="O4790" s="28"/>
      <c r="U4790" s="28"/>
    </row>
    <row r="4791">
      <c r="N4791" s="28"/>
      <c r="O4791" s="28"/>
      <c r="U4791" s="28"/>
    </row>
    <row r="4792">
      <c r="N4792" s="28"/>
      <c r="O4792" s="28"/>
      <c r="U4792" s="28"/>
    </row>
    <row r="4793">
      <c r="N4793" s="28"/>
      <c r="O4793" s="28"/>
      <c r="U4793" s="28"/>
    </row>
    <row r="4794">
      <c r="N4794" s="28"/>
      <c r="O4794" s="28"/>
      <c r="U4794" s="28"/>
    </row>
    <row r="4795">
      <c r="N4795" s="28"/>
      <c r="O4795" s="28"/>
      <c r="U4795" s="28"/>
    </row>
    <row r="4796">
      <c r="N4796" s="28"/>
      <c r="O4796" s="28"/>
      <c r="U4796" s="28"/>
    </row>
    <row r="4797">
      <c r="N4797" s="28"/>
      <c r="O4797" s="28"/>
      <c r="U4797" s="28"/>
    </row>
    <row r="4798">
      <c r="N4798" s="28"/>
      <c r="O4798" s="28"/>
      <c r="U4798" s="28"/>
    </row>
    <row r="4799">
      <c r="N4799" s="28"/>
      <c r="O4799" s="28"/>
      <c r="U4799" s="28"/>
    </row>
    <row r="4800">
      <c r="N4800" s="28"/>
      <c r="O4800" s="28"/>
      <c r="U4800" s="28"/>
    </row>
    <row r="4801">
      <c r="N4801" s="28"/>
      <c r="O4801" s="28"/>
      <c r="U4801" s="28"/>
    </row>
    <row r="4802">
      <c r="N4802" s="28"/>
      <c r="O4802" s="28"/>
      <c r="U4802" s="28"/>
    </row>
    <row r="4803">
      <c r="N4803" s="28"/>
      <c r="O4803" s="28"/>
      <c r="U4803" s="28"/>
    </row>
    <row r="4804">
      <c r="N4804" s="28"/>
      <c r="O4804" s="28"/>
      <c r="U4804" s="28"/>
    </row>
    <row r="4805">
      <c r="N4805" s="28"/>
      <c r="O4805" s="28"/>
      <c r="U4805" s="28"/>
    </row>
    <row r="4806">
      <c r="N4806" s="28"/>
      <c r="O4806" s="28"/>
      <c r="U4806" s="28"/>
    </row>
    <row r="4807">
      <c r="N4807" s="28"/>
      <c r="O4807" s="28"/>
      <c r="U4807" s="28"/>
    </row>
    <row r="4808">
      <c r="N4808" s="28"/>
      <c r="O4808" s="28"/>
      <c r="U4808" s="28"/>
    </row>
    <row r="4809">
      <c r="N4809" s="28"/>
      <c r="O4809" s="28"/>
      <c r="U4809" s="28"/>
    </row>
    <row r="4810">
      <c r="N4810" s="28"/>
      <c r="O4810" s="28"/>
      <c r="U4810" s="28"/>
    </row>
    <row r="4811">
      <c r="N4811" s="28"/>
      <c r="O4811" s="28"/>
      <c r="U4811" s="28"/>
    </row>
    <row r="4812">
      <c r="N4812" s="28"/>
      <c r="O4812" s="28"/>
      <c r="U4812" s="28"/>
    </row>
    <row r="4813">
      <c r="N4813" s="28"/>
      <c r="O4813" s="28"/>
      <c r="U4813" s="28"/>
    </row>
    <row r="4814">
      <c r="N4814" s="28"/>
      <c r="O4814" s="28"/>
      <c r="U4814" s="28"/>
    </row>
    <row r="4815">
      <c r="N4815" s="28"/>
      <c r="O4815" s="28"/>
      <c r="U4815" s="28"/>
    </row>
    <row r="4816">
      <c r="N4816" s="28"/>
      <c r="O4816" s="28"/>
      <c r="U4816" s="28"/>
    </row>
    <row r="4817">
      <c r="N4817" s="28"/>
      <c r="O4817" s="28"/>
      <c r="U4817" s="28"/>
    </row>
    <row r="4818">
      <c r="N4818" s="28"/>
      <c r="O4818" s="28"/>
      <c r="U4818" s="28"/>
    </row>
    <row r="4819">
      <c r="N4819" s="28"/>
      <c r="O4819" s="28"/>
      <c r="U4819" s="28"/>
    </row>
    <row r="4820">
      <c r="N4820" s="28"/>
      <c r="O4820" s="28"/>
      <c r="U4820" s="28"/>
    </row>
    <row r="4821">
      <c r="N4821" s="28"/>
      <c r="O4821" s="28"/>
      <c r="U4821" s="28"/>
    </row>
    <row r="4822">
      <c r="N4822" s="28"/>
      <c r="O4822" s="28"/>
      <c r="U4822" s="28"/>
    </row>
    <row r="4823">
      <c r="N4823" s="28"/>
      <c r="O4823" s="28"/>
      <c r="U4823" s="28"/>
    </row>
    <row r="4824">
      <c r="N4824" s="28"/>
      <c r="O4824" s="28"/>
      <c r="U4824" s="28"/>
    </row>
    <row r="4825">
      <c r="N4825" s="28"/>
      <c r="O4825" s="28"/>
      <c r="U4825" s="28"/>
    </row>
    <row r="4826">
      <c r="N4826" s="28"/>
      <c r="O4826" s="28"/>
      <c r="U4826" s="28"/>
    </row>
    <row r="4827">
      <c r="N4827" s="28"/>
      <c r="O4827" s="28"/>
      <c r="U4827" s="28"/>
    </row>
    <row r="4828">
      <c r="N4828" s="28"/>
      <c r="O4828" s="28"/>
      <c r="U4828" s="28"/>
    </row>
    <row r="4829">
      <c r="N4829" s="28"/>
      <c r="O4829" s="28"/>
      <c r="U4829" s="28"/>
    </row>
    <row r="4830">
      <c r="N4830" s="28"/>
      <c r="O4830" s="28"/>
      <c r="U4830" s="28"/>
    </row>
    <row r="4831">
      <c r="N4831" s="28"/>
      <c r="O4831" s="28"/>
      <c r="U4831" s="28"/>
    </row>
    <row r="4832">
      <c r="N4832" s="28"/>
      <c r="O4832" s="28"/>
      <c r="U4832" s="28"/>
    </row>
    <row r="4833">
      <c r="N4833" s="28"/>
      <c r="O4833" s="28"/>
      <c r="U4833" s="28"/>
    </row>
    <row r="4834">
      <c r="N4834" s="28"/>
      <c r="O4834" s="28"/>
      <c r="U4834" s="28"/>
    </row>
    <row r="4835">
      <c r="N4835" s="28"/>
      <c r="O4835" s="28"/>
      <c r="U4835" s="28"/>
    </row>
    <row r="4836">
      <c r="N4836" s="28"/>
      <c r="O4836" s="28"/>
      <c r="U4836" s="28"/>
    </row>
    <row r="4837">
      <c r="N4837" s="28"/>
      <c r="O4837" s="28"/>
      <c r="U4837" s="28"/>
    </row>
    <row r="4838">
      <c r="N4838" s="28"/>
      <c r="O4838" s="28"/>
      <c r="U4838" s="28"/>
    </row>
    <row r="4839">
      <c r="N4839" s="28"/>
      <c r="O4839" s="28"/>
      <c r="U4839" s="28"/>
    </row>
    <row r="4840">
      <c r="N4840" s="28"/>
      <c r="O4840" s="28"/>
      <c r="U4840" s="28"/>
    </row>
    <row r="4841">
      <c r="N4841" s="28"/>
      <c r="O4841" s="28"/>
      <c r="U4841" s="28"/>
    </row>
    <row r="4842">
      <c r="N4842" s="28"/>
      <c r="O4842" s="28"/>
      <c r="U4842" s="28"/>
    </row>
    <row r="4843">
      <c r="N4843" s="28"/>
      <c r="O4843" s="28"/>
      <c r="U4843" s="28"/>
    </row>
    <row r="4844">
      <c r="N4844" s="28"/>
      <c r="O4844" s="28"/>
      <c r="U4844" s="28"/>
    </row>
    <row r="4845">
      <c r="N4845" s="28"/>
      <c r="O4845" s="28"/>
      <c r="U4845" s="28"/>
    </row>
    <row r="4846">
      <c r="N4846" s="28"/>
      <c r="O4846" s="28"/>
      <c r="U4846" s="28"/>
    </row>
    <row r="4847">
      <c r="N4847" s="28"/>
      <c r="O4847" s="28"/>
      <c r="U4847" s="28"/>
    </row>
    <row r="4848">
      <c r="N4848" s="28"/>
      <c r="O4848" s="28"/>
      <c r="U4848" s="28"/>
    </row>
    <row r="4849">
      <c r="N4849" s="28"/>
      <c r="O4849" s="28"/>
      <c r="U4849" s="28"/>
    </row>
    <row r="4850">
      <c r="N4850" s="28"/>
      <c r="O4850" s="28"/>
      <c r="U4850" s="28"/>
    </row>
    <row r="4851">
      <c r="N4851" s="28"/>
      <c r="O4851" s="28"/>
      <c r="U4851" s="28"/>
    </row>
    <row r="4852">
      <c r="N4852" s="28"/>
      <c r="O4852" s="28"/>
      <c r="U4852" s="28"/>
    </row>
    <row r="4853">
      <c r="N4853" s="28"/>
      <c r="O4853" s="28"/>
      <c r="U4853" s="28"/>
    </row>
    <row r="4854">
      <c r="N4854" s="28"/>
      <c r="O4854" s="28"/>
      <c r="U4854" s="28"/>
    </row>
    <row r="4855">
      <c r="N4855" s="28"/>
      <c r="O4855" s="28"/>
      <c r="U4855" s="28"/>
    </row>
    <row r="4856">
      <c r="N4856" s="28"/>
      <c r="O4856" s="28"/>
      <c r="U4856" s="28"/>
    </row>
    <row r="4857">
      <c r="N4857" s="28"/>
      <c r="O4857" s="28"/>
      <c r="U4857" s="28"/>
    </row>
    <row r="4858">
      <c r="N4858" s="28"/>
      <c r="O4858" s="28"/>
      <c r="U4858" s="28"/>
    </row>
    <row r="4859">
      <c r="N4859" s="28"/>
      <c r="O4859" s="28"/>
      <c r="U4859" s="28"/>
    </row>
    <row r="4860">
      <c r="N4860" s="28"/>
      <c r="O4860" s="28"/>
      <c r="U4860" s="28"/>
    </row>
    <row r="4861">
      <c r="N4861" s="28"/>
      <c r="O4861" s="28"/>
      <c r="U4861" s="28"/>
    </row>
    <row r="4862">
      <c r="N4862" s="28"/>
      <c r="O4862" s="28"/>
      <c r="U4862" s="28"/>
    </row>
    <row r="4863">
      <c r="N4863" s="28"/>
      <c r="O4863" s="28"/>
      <c r="U4863" s="28"/>
    </row>
    <row r="4864">
      <c r="N4864" s="28"/>
      <c r="O4864" s="28"/>
      <c r="U4864" s="28"/>
    </row>
    <row r="4865">
      <c r="N4865" s="28"/>
      <c r="O4865" s="28"/>
      <c r="U4865" s="28"/>
    </row>
    <row r="4866">
      <c r="N4866" s="28"/>
      <c r="O4866" s="28"/>
      <c r="U4866" s="28"/>
    </row>
    <row r="4867">
      <c r="N4867" s="28"/>
      <c r="O4867" s="28"/>
      <c r="U4867" s="28"/>
    </row>
    <row r="4868">
      <c r="N4868" s="28"/>
      <c r="O4868" s="28"/>
      <c r="U4868" s="28"/>
    </row>
    <row r="4869">
      <c r="N4869" s="28"/>
      <c r="O4869" s="28"/>
      <c r="U4869" s="28"/>
    </row>
    <row r="4870">
      <c r="N4870" s="28"/>
      <c r="O4870" s="28"/>
      <c r="U4870" s="28"/>
    </row>
    <row r="4871">
      <c r="N4871" s="28"/>
      <c r="O4871" s="28"/>
      <c r="U4871" s="28"/>
    </row>
    <row r="4872">
      <c r="N4872" s="28"/>
      <c r="O4872" s="28"/>
      <c r="U4872" s="28"/>
    </row>
    <row r="4873">
      <c r="N4873" s="28"/>
      <c r="O4873" s="28"/>
      <c r="U4873" s="28"/>
    </row>
    <row r="4874">
      <c r="N4874" s="28"/>
      <c r="O4874" s="28"/>
      <c r="U4874" s="28"/>
    </row>
    <row r="4875">
      <c r="N4875" s="28"/>
      <c r="O4875" s="28"/>
      <c r="U4875" s="28"/>
    </row>
    <row r="4876">
      <c r="N4876" s="28"/>
      <c r="O4876" s="28"/>
      <c r="U4876" s="28"/>
    </row>
    <row r="4877">
      <c r="N4877" s="28"/>
      <c r="O4877" s="28"/>
      <c r="U4877" s="28"/>
    </row>
    <row r="4878">
      <c r="N4878" s="28"/>
      <c r="O4878" s="28"/>
      <c r="U4878" s="28"/>
    </row>
    <row r="4879">
      <c r="N4879" s="28"/>
      <c r="O4879" s="28"/>
      <c r="U4879" s="28"/>
    </row>
    <row r="4880">
      <c r="N4880" s="28"/>
      <c r="O4880" s="28"/>
      <c r="U4880" s="28"/>
    </row>
    <row r="4881">
      <c r="N4881" s="28"/>
      <c r="O4881" s="28"/>
      <c r="U4881" s="28"/>
    </row>
    <row r="4882">
      <c r="N4882" s="28"/>
      <c r="O4882" s="28"/>
      <c r="U4882" s="28"/>
    </row>
    <row r="4883">
      <c r="N4883" s="28"/>
      <c r="O4883" s="28"/>
      <c r="U4883" s="28"/>
    </row>
    <row r="4884">
      <c r="N4884" s="28"/>
      <c r="O4884" s="28"/>
      <c r="U4884" s="28"/>
    </row>
    <row r="4885">
      <c r="N4885" s="28"/>
      <c r="O4885" s="28"/>
      <c r="U4885" s="28"/>
    </row>
    <row r="4886">
      <c r="N4886" s="28"/>
      <c r="O4886" s="28"/>
      <c r="U4886" s="28"/>
    </row>
    <row r="4887">
      <c r="N4887" s="28"/>
      <c r="O4887" s="28"/>
      <c r="U4887" s="28"/>
    </row>
    <row r="4888">
      <c r="N4888" s="28"/>
      <c r="O4888" s="28"/>
      <c r="U4888" s="28"/>
    </row>
    <row r="4889">
      <c r="N4889" s="28"/>
      <c r="O4889" s="28"/>
      <c r="U4889" s="28"/>
    </row>
    <row r="4890">
      <c r="N4890" s="28"/>
      <c r="O4890" s="28"/>
      <c r="U4890" s="28"/>
    </row>
    <row r="4891">
      <c r="N4891" s="28"/>
      <c r="O4891" s="28"/>
      <c r="U4891" s="28"/>
    </row>
    <row r="4892">
      <c r="N4892" s="28"/>
      <c r="O4892" s="28"/>
      <c r="U4892" s="28"/>
    </row>
    <row r="4893">
      <c r="N4893" s="28"/>
      <c r="O4893" s="28"/>
      <c r="U4893" s="28"/>
    </row>
    <row r="4894">
      <c r="N4894" s="28"/>
      <c r="O4894" s="28"/>
      <c r="U4894" s="28"/>
    </row>
    <row r="4895">
      <c r="N4895" s="28"/>
      <c r="O4895" s="28"/>
      <c r="U4895" s="28"/>
    </row>
    <row r="4896">
      <c r="N4896" s="28"/>
      <c r="O4896" s="28"/>
      <c r="U4896" s="28"/>
    </row>
    <row r="4897">
      <c r="N4897" s="28"/>
      <c r="O4897" s="28"/>
      <c r="U4897" s="28"/>
    </row>
    <row r="4898">
      <c r="N4898" s="28"/>
      <c r="O4898" s="28"/>
      <c r="U4898" s="28"/>
    </row>
    <row r="4899">
      <c r="N4899" s="28"/>
      <c r="O4899" s="28"/>
      <c r="U4899" s="28"/>
    </row>
    <row r="4900">
      <c r="N4900" s="28"/>
      <c r="O4900" s="28"/>
      <c r="U4900" s="28"/>
    </row>
    <row r="4901">
      <c r="N4901" s="28"/>
      <c r="O4901" s="28"/>
      <c r="U4901" s="28"/>
    </row>
    <row r="4902">
      <c r="N4902" s="28"/>
      <c r="O4902" s="28"/>
      <c r="U4902" s="28"/>
    </row>
    <row r="4903">
      <c r="N4903" s="28"/>
      <c r="O4903" s="28"/>
      <c r="U4903" s="28"/>
    </row>
    <row r="4904">
      <c r="N4904" s="28"/>
      <c r="O4904" s="28"/>
      <c r="U4904" s="28"/>
    </row>
    <row r="4905">
      <c r="N4905" s="28"/>
      <c r="O4905" s="28"/>
      <c r="U4905" s="28"/>
    </row>
    <row r="4906">
      <c r="N4906" s="28"/>
      <c r="O4906" s="28"/>
      <c r="U4906" s="28"/>
    </row>
    <row r="4907">
      <c r="N4907" s="28"/>
      <c r="O4907" s="28"/>
      <c r="U4907" s="28"/>
    </row>
    <row r="4908">
      <c r="N4908" s="28"/>
      <c r="O4908" s="28"/>
      <c r="U4908" s="28"/>
    </row>
    <row r="4909">
      <c r="N4909" s="28"/>
      <c r="O4909" s="28"/>
      <c r="U4909" s="28"/>
    </row>
    <row r="4910">
      <c r="N4910" s="28"/>
      <c r="O4910" s="28"/>
      <c r="U4910" s="28"/>
    </row>
    <row r="4911">
      <c r="N4911" s="28"/>
      <c r="O4911" s="28"/>
      <c r="U4911" s="28"/>
    </row>
    <row r="4912">
      <c r="N4912" s="28"/>
      <c r="O4912" s="28"/>
      <c r="U4912" s="28"/>
    </row>
    <row r="4913">
      <c r="N4913" s="28"/>
      <c r="O4913" s="28"/>
      <c r="U4913" s="28"/>
    </row>
    <row r="4914">
      <c r="N4914" s="28"/>
      <c r="O4914" s="28"/>
      <c r="U4914" s="28"/>
    </row>
    <row r="4915">
      <c r="N4915" s="28"/>
      <c r="O4915" s="28"/>
      <c r="U4915" s="28"/>
    </row>
    <row r="4916">
      <c r="N4916" s="28"/>
      <c r="O4916" s="28"/>
      <c r="U4916" s="28"/>
    </row>
    <row r="4917">
      <c r="N4917" s="28"/>
      <c r="O4917" s="28"/>
      <c r="U4917" s="28"/>
    </row>
    <row r="4918">
      <c r="N4918" s="28"/>
      <c r="O4918" s="28"/>
      <c r="U4918" s="28"/>
    </row>
    <row r="4919">
      <c r="N4919" s="28"/>
      <c r="O4919" s="28"/>
      <c r="U4919" s="28"/>
    </row>
    <row r="4920">
      <c r="N4920" s="28"/>
      <c r="O4920" s="28"/>
      <c r="U4920" s="28"/>
    </row>
    <row r="4921">
      <c r="N4921" s="28"/>
      <c r="O4921" s="28"/>
      <c r="U4921" s="28"/>
    </row>
    <row r="4922">
      <c r="N4922" s="28"/>
      <c r="O4922" s="28"/>
      <c r="U4922" s="28"/>
    </row>
    <row r="4923">
      <c r="N4923" s="28"/>
      <c r="O4923" s="28"/>
      <c r="U4923" s="28"/>
    </row>
    <row r="4924">
      <c r="N4924" s="28"/>
      <c r="O4924" s="28"/>
      <c r="U4924" s="28"/>
    </row>
    <row r="4925">
      <c r="N4925" s="28"/>
      <c r="O4925" s="28"/>
      <c r="U4925" s="28"/>
    </row>
    <row r="4926">
      <c r="N4926" s="28"/>
      <c r="O4926" s="28"/>
      <c r="U4926" s="28"/>
    </row>
    <row r="4927">
      <c r="N4927" s="28"/>
      <c r="O4927" s="28"/>
      <c r="U4927" s="28"/>
    </row>
    <row r="4928">
      <c r="N4928" s="28"/>
      <c r="O4928" s="28"/>
      <c r="U4928" s="28"/>
    </row>
    <row r="4929">
      <c r="N4929" s="28"/>
      <c r="O4929" s="28"/>
      <c r="U4929" s="28"/>
    </row>
    <row r="4930">
      <c r="N4930" s="28"/>
      <c r="O4930" s="28"/>
      <c r="U4930" s="28"/>
    </row>
    <row r="4931">
      <c r="N4931" s="28"/>
      <c r="O4931" s="28"/>
      <c r="U4931" s="28"/>
    </row>
    <row r="4932">
      <c r="N4932" s="28"/>
      <c r="O4932" s="28"/>
      <c r="U4932" s="28"/>
    </row>
    <row r="4933">
      <c r="N4933" s="28"/>
      <c r="O4933" s="28"/>
      <c r="U4933" s="28"/>
    </row>
    <row r="4934">
      <c r="N4934" s="28"/>
      <c r="O4934" s="28"/>
      <c r="U4934" s="28"/>
    </row>
    <row r="4935">
      <c r="N4935" s="28"/>
      <c r="O4935" s="28"/>
      <c r="U4935" s="28"/>
    </row>
    <row r="4936">
      <c r="N4936" s="28"/>
      <c r="O4936" s="28"/>
      <c r="U4936" s="28"/>
    </row>
    <row r="4937">
      <c r="N4937" s="28"/>
      <c r="O4937" s="28"/>
      <c r="U4937" s="28"/>
    </row>
    <row r="4938">
      <c r="N4938" s="28"/>
      <c r="O4938" s="28"/>
      <c r="U4938" s="28"/>
    </row>
    <row r="4939">
      <c r="N4939" s="28"/>
      <c r="O4939" s="28"/>
      <c r="U4939" s="28"/>
    </row>
    <row r="4940">
      <c r="N4940" s="28"/>
      <c r="O4940" s="28"/>
      <c r="U4940" s="28"/>
    </row>
    <row r="4941">
      <c r="N4941" s="28"/>
      <c r="O4941" s="28"/>
      <c r="U4941" s="28"/>
    </row>
    <row r="4942">
      <c r="N4942" s="28"/>
      <c r="O4942" s="28"/>
      <c r="U4942" s="28"/>
    </row>
    <row r="4943">
      <c r="N4943" s="28"/>
      <c r="O4943" s="28"/>
      <c r="U4943" s="28"/>
    </row>
    <row r="4944">
      <c r="N4944" s="28"/>
      <c r="O4944" s="28"/>
      <c r="U4944" s="28"/>
    </row>
    <row r="4945">
      <c r="N4945" s="28"/>
      <c r="O4945" s="28"/>
      <c r="U4945" s="28"/>
    </row>
    <row r="4946">
      <c r="N4946" s="28"/>
      <c r="O4946" s="28"/>
      <c r="U4946" s="28"/>
    </row>
    <row r="4947">
      <c r="N4947" s="28"/>
      <c r="O4947" s="28"/>
      <c r="U4947" s="28"/>
    </row>
    <row r="4948">
      <c r="N4948" s="28"/>
      <c r="O4948" s="28"/>
      <c r="U4948" s="28"/>
    </row>
    <row r="4949">
      <c r="N4949" s="28"/>
      <c r="O4949" s="28"/>
      <c r="U4949" s="28"/>
    </row>
    <row r="4950">
      <c r="N4950" s="28"/>
      <c r="O4950" s="28"/>
      <c r="U4950" s="28"/>
    </row>
    <row r="4951">
      <c r="N4951" s="28"/>
      <c r="O4951" s="28"/>
      <c r="U4951" s="28"/>
    </row>
    <row r="4952">
      <c r="N4952" s="28"/>
      <c r="O4952" s="28"/>
      <c r="U4952" s="28"/>
    </row>
    <row r="4953">
      <c r="N4953" s="28"/>
      <c r="O4953" s="28"/>
      <c r="U4953" s="28"/>
    </row>
    <row r="4954">
      <c r="N4954" s="28"/>
      <c r="O4954" s="28"/>
      <c r="U4954" s="28"/>
    </row>
    <row r="4955">
      <c r="N4955" s="28"/>
      <c r="O4955" s="28"/>
      <c r="U4955" s="28"/>
    </row>
    <row r="4956">
      <c r="N4956" s="28"/>
      <c r="O4956" s="28"/>
      <c r="U4956" s="28"/>
    </row>
    <row r="4957">
      <c r="N4957" s="28"/>
      <c r="O4957" s="28"/>
      <c r="U4957" s="28"/>
    </row>
    <row r="4958">
      <c r="N4958" s="28"/>
      <c r="O4958" s="28"/>
      <c r="U4958" s="28"/>
    </row>
    <row r="4959">
      <c r="N4959" s="28"/>
      <c r="O4959" s="28"/>
      <c r="U4959" s="28"/>
    </row>
    <row r="4960">
      <c r="N4960" s="28"/>
      <c r="O4960" s="28"/>
      <c r="U4960" s="28"/>
    </row>
    <row r="4961">
      <c r="N4961" s="28"/>
      <c r="O4961" s="28"/>
      <c r="U4961" s="28"/>
    </row>
    <row r="4962">
      <c r="N4962" s="28"/>
      <c r="O4962" s="28"/>
      <c r="U4962" s="28"/>
    </row>
    <row r="4963">
      <c r="N4963" s="28"/>
      <c r="O4963" s="28"/>
      <c r="U4963" s="28"/>
    </row>
    <row r="4964">
      <c r="N4964" s="28"/>
      <c r="O4964" s="28"/>
      <c r="U4964" s="28"/>
    </row>
    <row r="4965">
      <c r="N4965" s="28"/>
      <c r="O4965" s="28"/>
      <c r="U4965" s="28"/>
    </row>
    <row r="4966">
      <c r="N4966" s="28"/>
      <c r="O4966" s="28"/>
      <c r="U4966" s="28"/>
    </row>
    <row r="4967">
      <c r="N4967" s="28"/>
      <c r="O4967" s="28"/>
      <c r="U4967" s="28"/>
    </row>
    <row r="4968">
      <c r="N4968" s="28"/>
      <c r="O4968" s="28"/>
      <c r="U4968" s="28"/>
    </row>
    <row r="4969">
      <c r="N4969" s="28"/>
      <c r="O4969" s="28"/>
      <c r="U4969" s="28"/>
    </row>
    <row r="4970">
      <c r="N4970" s="28"/>
      <c r="O4970" s="28"/>
      <c r="U4970" s="28"/>
    </row>
    <row r="4971">
      <c r="N4971" s="28"/>
      <c r="O4971" s="28"/>
      <c r="U4971" s="28"/>
    </row>
    <row r="4972">
      <c r="N4972" s="28"/>
      <c r="O4972" s="28"/>
      <c r="U4972" s="28"/>
    </row>
    <row r="4973">
      <c r="N4973" s="28"/>
      <c r="O4973" s="28"/>
      <c r="U4973" s="28"/>
    </row>
    <row r="4974">
      <c r="N4974" s="28"/>
      <c r="O4974" s="28"/>
      <c r="U4974" s="28"/>
    </row>
    <row r="4975">
      <c r="N4975" s="28"/>
      <c r="O4975" s="28"/>
      <c r="U4975" s="28"/>
    </row>
    <row r="4976">
      <c r="N4976" s="28"/>
      <c r="O4976" s="28"/>
      <c r="U4976" s="28"/>
    </row>
    <row r="4977">
      <c r="N4977" s="28"/>
      <c r="O4977" s="28"/>
      <c r="U4977" s="28"/>
    </row>
    <row r="4978">
      <c r="N4978" s="28"/>
      <c r="O4978" s="28"/>
      <c r="U4978" s="28"/>
    </row>
    <row r="4979">
      <c r="N4979" s="28"/>
      <c r="O4979" s="28"/>
      <c r="U4979" s="28"/>
    </row>
    <row r="4980">
      <c r="N4980" s="28"/>
      <c r="O4980" s="28"/>
      <c r="U4980" s="28"/>
    </row>
    <row r="4981">
      <c r="N4981" s="28"/>
      <c r="O4981" s="28"/>
      <c r="U4981" s="28"/>
    </row>
    <row r="4982">
      <c r="N4982" s="28"/>
      <c r="O4982" s="28"/>
      <c r="U4982" s="28"/>
    </row>
    <row r="4983">
      <c r="N4983" s="28"/>
      <c r="O4983" s="28"/>
      <c r="U4983" s="28"/>
    </row>
    <row r="4984">
      <c r="N4984" s="28"/>
      <c r="O4984" s="28"/>
      <c r="U4984" s="28"/>
    </row>
    <row r="4985">
      <c r="N4985" s="28"/>
      <c r="O4985" s="28"/>
      <c r="U4985" s="28"/>
    </row>
    <row r="4986">
      <c r="N4986" s="28"/>
      <c r="O4986" s="28"/>
      <c r="U4986" s="28"/>
    </row>
    <row r="4987">
      <c r="N4987" s="28"/>
      <c r="O4987" s="28"/>
      <c r="U4987" s="28"/>
    </row>
    <row r="4988">
      <c r="N4988" s="28"/>
      <c r="O4988" s="28"/>
      <c r="U4988" s="28"/>
    </row>
    <row r="4989">
      <c r="N4989" s="28"/>
      <c r="O4989" s="28"/>
      <c r="U4989" s="28"/>
    </row>
    <row r="4990">
      <c r="N4990" s="28"/>
      <c r="O4990" s="28"/>
      <c r="U4990" s="28"/>
    </row>
    <row r="4991">
      <c r="N4991" s="28"/>
      <c r="O4991" s="28"/>
      <c r="U4991" s="28"/>
    </row>
    <row r="4992">
      <c r="N4992" s="28"/>
      <c r="O4992" s="28"/>
      <c r="U4992" s="28"/>
    </row>
    <row r="4993">
      <c r="N4993" s="28"/>
      <c r="O4993" s="28"/>
      <c r="U4993" s="28"/>
    </row>
    <row r="4994">
      <c r="N4994" s="28"/>
      <c r="O4994" s="28"/>
      <c r="U4994" s="28"/>
    </row>
    <row r="4995">
      <c r="N4995" s="28"/>
      <c r="O4995" s="28"/>
      <c r="U4995" s="28"/>
    </row>
    <row r="4996">
      <c r="N4996" s="28"/>
      <c r="O4996" s="28"/>
      <c r="U4996" s="28"/>
    </row>
    <row r="4997">
      <c r="N4997" s="28"/>
      <c r="O4997" s="28"/>
      <c r="U4997" s="28"/>
    </row>
    <row r="4998">
      <c r="N4998" s="28"/>
      <c r="O4998" s="28"/>
      <c r="U4998" s="28"/>
    </row>
    <row r="4999">
      <c r="N4999" s="28"/>
      <c r="O4999" s="28"/>
      <c r="U4999" s="28"/>
    </row>
    <row r="5000">
      <c r="N5000" s="28"/>
      <c r="O5000" s="28"/>
      <c r="U5000" s="28"/>
    </row>
    <row r="5001">
      <c r="N5001" s="28"/>
      <c r="O5001" s="28"/>
      <c r="U5001" s="28"/>
    </row>
    <row r="5002">
      <c r="N5002" s="28"/>
      <c r="O5002" s="28"/>
      <c r="U5002" s="28"/>
    </row>
    <row r="5003">
      <c r="N5003" s="28"/>
      <c r="O5003" s="28"/>
      <c r="U5003" s="28"/>
    </row>
    <row r="5004">
      <c r="N5004" s="28"/>
      <c r="O5004" s="28"/>
      <c r="U5004" s="28"/>
    </row>
    <row r="5005">
      <c r="N5005" s="28"/>
      <c r="O5005" s="28"/>
      <c r="U5005" s="28"/>
    </row>
    <row r="5006">
      <c r="N5006" s="28"/>
      <c r="O5006" s="28"/>
      <c r="U5006" s="28"/>
    </row>
    <row r="5007">
      <c r="N5007" s="28"/>
      <c r="O5007" s="28"/>
      <c r="U5007" s="28"/>
    </row>
    <row r="5008">
      <c r="N5008" s="28"/>
      <c r="O5008" s="28"/>
      <c r="U5008" s="28"/>
    </row>
    <row r="5009">
      <c r="N5009" s="28"/>
      <c r="O5009" s="28"/>
      <c r="U5009" s="28"/>
    </row>
    <row r="5010">
      <c r="N5010" s="28"/>
      <c r="O5010" s="28"/>
      <c r="U5010" s="28"/>
    </row>
    <row r="5011">
      <c r="N5011" s="28"/>
      <c r="O5011" s="28"/>
      <c r="U5011" s="28"/>
    </row>
    <row r="5012">
      <c r="N5012" s="28"/>
      <c r="O5012" s="28"/>
      <c r="U5012" s="28"/>
    </row>
    <row r="5013">
      <c r="N5013" s="28"/>
      <c r="O5013" s="28"/>
      <c r="U5013" s="28"/>
    </row>
    <row r="5014">
      <c r="N5014" s="28"/>
      <c r="O5014" s="28"/>
      <c r="U5014" s="28"/>
    </row>
    <row r="5015">
      <c r="N5015" s="28"/>
      <c r="O5015" s="28"/>
      <c r="U5015" s="28"/>
    </row>
    <row r="5016">
      <c r="N5016" s="28"/>
      <c r="O5016" s="28"/>
      <c r="U5016" s="28"/>
    </row>
    <row r="5017">
      <c r="N5017" s="28"/>
      <c r="O5017" s="28"/>
      <c r="U5017" s="28"/>
    </row>
    <row r="5018">
      <c r="N5018" s="28"/>
      <c r="O5018" s="28"/>
      <c r="U5018" s="28"/>
    </row>
    <row r="5019">
      <c r="N5019" s="28"/>
      <c r="O5019" s="28"/>
      <c r="U5019" s="28"/>
    </row>
    <row r="5020">
      <c r="N5020" s="28"/>
      <c r="O5020" s="28"/>
      <c r="U5020" s="28"/>
    </row>
    <row r="5021">
      <c r="N5021" s="28"/>
      <c r="O5021" s="28"/>
      <c r="U5021" s="28"/>
    </row>
    <row r="5022">
      <c r="N5022" s="28"/>
      <c r="O5022" s="28"/>
      <c r="U5022" s="28"/>
    </row>
    <row r="5023">
      <c r="N5023" s="28"/>
      <c r="O5023" s="28"/>
      <c r="U5023" s="28"/>
    </row>
    <row r="5024">
      <c r="N5024" s="28"/>
      <c r="O5024" s="28"/>
      <c r="U5024" s="28"/>
    </row>
    <row r="5025">
      <c r="N5025" s="28"/>
      <c r="O5025" s="28"/>
      <c r="U5025" s="28"/>
    </row>
    <row r="5026">
      <c r="N5026" s="28"/>
      <c r="O5026" s="28"/>
      <c r="U5026" s="28"/>
    </row>
    <row r="5027">
      <c r="N5027" s="28"/>
      <c r="O5027" s="28"/>
      <c r="U5027" s="28"/>
    </row>
    <row r="5028">
      <c r="N5028" s="28"/>
      <c r="O5028" s="28"/>
      <c r="U5028" s="28"/>
    </row>
    <row r="5029">
      <c r="N5029" s="28"/>
      <c r="O5029" s="28"/>
      <c r="U5029" s="28"/>
    </row>
    <row r="5030">
      <c r="N5030" s="28"/>
      <c r="O5030" s="28"/>
      <c r="U5030" s="28"/>
    </row>
    <row r="5031">
      <c r="N5031" s="28"/>
      <c r="O5031" s="28"/>
      <c r="U5031" s="28"/>
    </row>
    <row r="5032">
      <c r="N5032" s="28"/>
      <c r="O5032" s="28"/>
      <c r="U5032" s="28"/>
    </row>
    <row r="5033">
      <c r="N5033" s="28"/>
      <c r="O5033" s="28"/>
      <c r="U5033" s="28"/>
    </row>
    <row r="5034">
      <c r="N5034" s="28"/>
      <c r="O5034" s="28"/>
      <c r="U5034" s="28"/>
    </row>
    <row r="5035">
      <c r="N5035" s="28"/>
      <c r="O5035" s="28"/>
      <c r="U5035" s="28"/>
    </row>
    <row r="5036">
      <c r="N5036" s="28"/>
      <c r="O5036" s="28"/>
      <c r="U5036" s="28"/>
    </row>
    <row r="5037">
      <c r="N5037" s="28"/>
      <c r="O5037" s="28"/>
      <c r="U5037" s="28"/>
    </row>
    <row r="5038">
      <c r="N5038" s="28"/>
      <c r="O5038" s="28"/>
      <c r="U5038" s="28"/>
    </row>
    <row r="5039">
      <c r="N5039" s="28"/>
      <c r="O5039" s="28"/>
      <c r="U5039" s="28"/>
    </row>
    <row r="5040">
      <c r="N5040" s="28"/>
      <c r="O5040" s="28"/>
      <c r="U5040" s="28"/>
    </row>
    <row r="5041">
      <c r="N5041" s="28"/>
      <c r="O5041" s="28"/>
      <c r="U5041" s="28"/>
    </row>
    <row r="5042">
      <c r="N5042" s="28"/>
      <c r="O5042" s="28"/>
      <c r="U5042" s="28"/>
    </row>
    <row r="5043">
      <c r="N5043" s="28"/>
      <c r="O5043" s="28"/>
      <c r="U5043" s="28"/>
    </row>
    <row r="5044">
      <c r="N5044" s="28"/>
      <c r="O5044" s="28"/>
      <c r="U5044" s="28"/>
    </row>
    <row r="5045">
      <c r="N5045" s="28"/>
      <c r="O5045" s="28"/>
      <c r="U5045" s="28"/>
    </row>
    <row r="5046">
      <c r="N5046" s="28"/>
      <c r="O5046" s="28"/>
      <c r="U5046" s="28"/>
    </row>
    <row r="5047">
      <c r="N5047" s="28"/>
      <c r="O5047" s="28"/>
      <c r="U5047" s="28"/>
    </row>
    <row r="5048">
      <c r="N5048" s="28"/>
      <c r="O5048" s="28"/>
      <c r="U5048" s="28"/>
    </row>
    <row r="5049">
      <c r="N5049" s="28"/>
      <c r="O5049" s="28"/>
      <c r="U5049" s="28"/>
    </row>
    <row r="5050">
      <c r="N5050" s="28"/>
      <c r="O5050" s="28"/>
      <c r="U5050" s="28"/>
    </row>
    <row r="5051">
      <c r="N5051" s="28"/>
      <c r="O5051" s="28"/>
      <c r="U5051" s="28"/>
    </row>
    <row r="5052">
      <c r="N5052" s="28"/>
      <c r="O5052" s="28"/>
      <c r="U5052" s="28"/>
    </row>
    <row r="5053">
      <c r="N5053" s="28"/>
      <c r="O5053" s="28"/>
      <c r="U5053" s="28"/>
    </row>
    <row r="5054">
      <c r="N5054" s="28"/>
      <c r="O5054" s="28"/>
      <c r="U5054" s="28"/>
    </row>
    <row r="5055">
      <c r="N5055" s="28"/>
      <c r="O5055" s="28"/>
      <c r="U5055" s="28"/>
    </row>
    <row r="5056">
      <c r="N5056" s="28"/>
      <c r="O5056" s="28"/>
      <c r="U5056" s="28"/>
    </row>
    <row r="5057">
      <c r="N5057" s="28"/>
      <c r="O5057" s="28"/>
      <c r="U5057" s="28"/>
    </row>
    <row r="5058">
      <c r="N5058" s="28"/>
      <c r="O5058" s="28"/>
      <c r="U5058" s="28"/>
    </row>
    <row r="5059">
      <c r="N5059" s="28"/>
      <c r="O5059" s="28"/>
      <c r="U5059" s="28"/>
    </row>
    <row r="5060">
      <c r="N5060" s="28"/>
      <c r="O5060" s="28"/>
      <c r="U5060" s="28"/>
    </row>
    <row r="5061">
      <c r="N5061" s="28"/>
      <c r="O5061" s="28"/>
      <c r="U5061" s="28"/>
    </row>
    <row r="5062">
      <c r="N5062" s="28"/>
      <c r="O5062" s="28"/>
      <c r="U5062" s="28"/>
    </row>
    <row r="5063">
      <c r="N5063" s="28"/>
      <c r="O5063" s="28"/>
      <c r="U5063" s="28"/>
    </row>
    <row r="5064">
      <c r="N5064" s="28"/>
      <c r="O5064" s="28"/>
      <c r="U5064" s="28"/>
    </row>
    <row r="5065">
      <c r="N5065" s="28"/>
      <c r="O5065" s="28"/>
      <c r="U5065" s="28"/>
    </row>
    <row r="5066">
      <c r="N5066" s="28"/>
      <c r="O5066" s="28"/>
      <c r="U5066" s="28"/>
    </row>
    <row r="5067">
      <c r="N5067" s="28"/>
      <c r="O5067" s="28"/>
      <c r="U5067" s="28"/>
    </row>
    <row r="5068">
      <c r="N5068" s="28"/>
      <c r="O5068" s="28"/>
      <c r="U5068" s="28"/>
    </row>
    <row r="5069">
      <c r="N5069" s="28"/>
      <c r="O5069" s="28"/>
      <c r="U5069" s="28"/>
    </row>
    <row r="5070">
      <c r="N5070" s="28"/>
      <c r="O5070" s="28"/>
      <c r="U5070" s="28"/>
    </row>
    <row r="5071">
      <c r="N5071" s="28"/>
      <c r="O5071" s="28"/>
      <c r="U5071" s="28"/>
    </row>
    <row r="5072">
      <c r="N5072" s="28"/>
      <c r="O5072" s="28"/>
      <c r="U5072" s="28"/>
    </row>
    <row r="5073">
      <c r="N5073" s="28"/>
      <c r="O5073" s="28"/>
      <c r="U5073" s="28"/>
    </row>
    <row r="5074">
      <c r="N5074" s="28"/>
      <c r="O5074" s="28"/>
      <c r="U5074" s="28"/>
    </row>
    <row r="5075">
      <c r="N5075" s="28"/>
      <c r="O5075" s="28"/>
      <c r="U5075" s="28"/>
    </row>
    <row r="5076">
      <c r="N5076" s="28"/>
      <c r="O5076" s="28"/>
      <c r="U5076" s="28"/>
    </row>
    <row r="5077">
      <c r="N5077" s="28"/>
      <c r="O5077" s="28"/>
      <c r="U5077" s="28"/>
    </row>
    <row r="5078">
      <c r="N5078" s="28"/>
      <c r="O5078" s="28"/>
      <c r="U5078" s="28"/>
    </row>
    <row r="5079">
      <c r="N5079" s="28"/>
      <c r="O5079" s="28"/>
      <c r="U5079" s="28"/>
    </row>
    <row r="5080">
      <c r="N5080" s="28"/>
      <c r="O5080" s="28"/>
      <c r="U5080" s="28"/>
    </row>
    <row r="5081">
      <c r="N5081" s="28"/>
      <c r="O5081" s="28"/>
      <c r="U5081" s="28"/>
    </row>
    <row r="5082">
      <c r="N5082" s="28"/>
      <c r="O5082" s="28"/>
      <c r="U5082" s="28"/>
    </row>
    <row r="5083">
      <c r="N5083" s="28"/>
      <c r="O5083" s="28"/>
      <c r="U5083" s="28"/>
    </row>
    <row r="5084">
      <c r="N5084" s="28"/>
      <c r="O5084" s="28"/>
      <c r="U5084" s="28"/>
    </row>
    <row r="5085">
      <c r="N5085" s="28"/>
      <c r="O5085" s="28"/>
      <c r="U5085" s="28"/>
    </row>
    <row r="5086">
      <c r="N5086" s="28"/>
      <c r="O5086" s="28"/>
      <c r="U5086" s="28"/>
    </row>
    <row r="5087">
      <c r="N5087" s="28"/>
      <c r="O5087" s="28"/>
      <c r="U5087" s="28"/>
    </row>
    <row r="5088">
      <c r="N5088" s="28"/>
      <c r="O5088" s="28"/>
      <c r="U5088" s="28"/>
    </row>
    <row r="5089">
      <c r="N5089" s="28"/>
      <c r="O5089" s="28"/>
      <c r="U5089" s="28"/>
    </row>
    <row r="5090">
      <c r="N5090" s="28"/>
      <c r="O5090" s="28"/>
      <c r="U5090" s="28"/>
    </row>
    <row r="5091">
      <c r="N5091" s="28"/>
      <c r="O5091" s="28"/>
      <c r="U5091" s="28"/>
    </row>
    <row r="5092">
      <c r="N5092" s="28"/>
      <c r="O5092" s="28"/>
      <c r="U5092" s="28"/>
    </row>
    <row r="5093">
      <c r="N5093" s="28"/>
      <c r="O5093" s="28"/>
      <c r="U5093" s="28"/>
    </row>
    <row r="5094">
      <c r="N5094" s="28"/>
      <c r="O5094" s="28"/>
      <c r="U5094" s="28"/>
    </row>
    <row r="5095">
      <c r="N5095" s="28"/>
      <c r="O5095" s="28"/>
      <c r="U5095" s="28"/>
    </row>
    <row r="5096">
      <c r="N5096" s="28"/>
      <c r="O5096" s="28"/>
      <c r="U5096" s="28"/>
    </row>
    <row r="5097">
      <c r="N5097" s="28"/>
      <c r="O5097" s="28"/>
      <c r="U5097" s="28"/>
    </row>
    <row r="5098">
      <c r="N5098" s="28"/>
      <c r="O5098" s="28"/>
      <c r="U5098" s="28"/>
    </row>
    <row r="5099">
      <c r="N5099" s="28"/>
      <c r="O5099" s="28"/>
      <c r="U5099" s="28"/>
    </row>
    <row r="5100">
      <c r="N5100" s="28"/>
      <c r="O5100" s="28"/>
      <c r="U5100" s="28"/>
    </row>
    <row r="5101">
      <c r="N5101" s="28"/>
      <c r="O5101" s="28"/>
      <c r="U5101" s="28"/>
    </row>
    <row r="5102">
      <c r="N5102" s="28"/>
      <c r="O5102" s="28"/>
      <c r="U5102" s="28"/>
    </row>
    <row r="5103">
      <c r="N5103" s="28"/>
      <c r="O5103" s="28"/>
      <c r="U5103" s="28"/>
    </row>
    <row r="5104">
      <c r="N5104" s="28"/>
      <c r="O5104" s="28"/>
      <c r="U5104" s="28"/>
    </row>
    <row r="5105">
      <c r="N5105" s="28"/>
      <c r="O5105" s="28"/>
      <c r="U5105" s="28"/>
    </row>
    <row r="5106">
      <c r="N5106" s="28"/>
      <c r="O5106" s="28"/>
      <c r="U5106" s="28"/>
    </row>
    <row r="5107">
      <c r="N5107" s="28"/>
      <c r="O5107" s="28"/>
      <c r="U5107" s="28"/>
    </row>
    <row r="5108">
      <c r="N5108" s="28"/>
      <c r="O5108" s="28"/>
      <c r="U5108" s="28"/>
    </row>
    <row r="5109">
      <c r="N5109" s="28"/>
      <c r="O5109" s="28"/>
      <c r="U5109" s="28"/>
    </row>
    <row r="5110">
      <c r="N5110" s="28"/>
      <c r="O5110" s="28"/>
      <c r="U5110" s="28"/>
    </row>
    <row r="5111">
      <c r="N5111" s="28"/>
      <c r="O5111" s="28"/>
      <c r="U5111" s="28"/>
    </row>
    <row r="5112">
      <c r="N5112" s="28"/>
      <c r="O5112" s="28"/>
      <c r="U5112" s="28"/>
    </row>
    <row r="5113">
      <c r="N5113" s="28"/>
      <c r="O5113" s="28"/>
      <c r="U5113" s="28"/>
    </row>
    <row r="5114">
      <c r="N5114" s="28"/>
      <c r="O5114" s="28"/>
      <c r="U5114" s="28"/>
    </row>
    <row r="5115">
      <c r="N5115" s="28"/>
      <c r="O5115" s="28"/>
      <c r="U5115" s="28"/>
    </row>
    <row r="5116">
      <c r="N5116" s="28"/>
      <c r="O5116" s="28"/>
      <c r="U5116" s="28"/>
    </row>
    <row r="5117">
      <c r="N5117" s="28"/>
      <c r="O5117" s="28"/>
      <c r="U5117" s="28"/>
    </row>
    <row r="5118">
      <c r="N5118" s="28"/>
      <c r="O5118" s="28"/>
      <c r="U5118" s="28"/>
    </row>
    <row r="5119">
      <c r="N5119" s="28"/>
      <c r="O5119" s="28"/>
      <c r="U5119" s="28"/>
    </row>
    <row r="5120">
      <c r="N5120" s="28"/>
      <c r="O5120" s="28"/>
      <c r="U5120" s="28"/>
    </row>
    <row r="5121">
      <c r="N5121" s="28"/>
      <c r="O5121" s="28"/>
      <c r="U5121" s="28"/>
    </row>
    <row r="5122">
      <c r="N5122" s="28"/>
      <c r="O5122" s="28"/>
      <c r="U5122" s="28"/>
    </row>
    <row r="5123">
      <c r="N5123" s="28"/>
      <c r="O5123" s="28"/>
      <c r="U5123" s="28"/>
    </row>
    <row r="5124">
      <c r="N5124" s="28"/>
      <c r="O5124" s="28"/>
      <c r="U5124" s="28"/>
    </row>
    <row r="5125">
      <c r="N5125" s="28"/>
      <c r="O5125" s="28"/>
      <c r="U5125" s="28"/>
    </row>
    <row r="5126">
      <c r="N5126" s="28"/>
      <c r="O5126" s="28"/>
      <c r="U5126" s="28"/>
    </row>
    <row r="5127">
      <c r="N5127" s="28"/>
      <c r="O5127" s="28"/>
      <c r="U5127" s="28"/>
    </row>
    <row r="5128">
      <c r="N5128" s="28"/>
      <c r="O5128" s="28"/>
      <c r="U5128" s="28"/>
    </row>
    <row r="5129">
      <c r="N5129" s="28"/>
      <c r="O5129" s="28"/>
      <c r="U5129" s="28"/>
    </row>
    <row r="5130">
      <c r="N5130" s="28"/>
      <c r="O5130" s="28"/>
      <c r="U5130" s="28"/>
    </row>
    <row r="5131">
      <c r="N5131" s="28"/>
      <c r="O5131" s="28"/>
      <c r="U5131" s="28"/>
    </row>
    <row r="5132">
      <c r="N5132" s="28"/>
      <c r="O5132" s="28"/>
      <c r="U5132" s="28"/>
    </row>
    <row r="5133">
      <c r="N5133" s="28"/>
      <c r="O5133" s="28"/>
      <c r="U5133" s="28"/>
    </row>
    <row r="5134">
      <c r="N5134" s="28"/>
      <c r="O5134" s="28"/>
      <c r="U5134" s="28"/>
    </row>
    <row r="5135">
      <c r="N5135" s="28"/>
      <c r="O5135" s="28"/>
      <c r="U5135" s="28"/>
    </row>
    <row r="5136">
      <c r="N5136" s="28"/>
      <c r="O5136" s="28"/>
      <c r="U5136" s="28"/>
    </row>
    <row r="5137">
      <c r="N5137" s="28"/>
      <c r="O5137" s="28"/>
      <c r="U5137" s="28"/>
    </row>
    <row r="5138">
      <c r="N5138" s="28"/>
      <c r="O5138" s="28"/>
      <c r="U5138" s="28"/>
    </row>
    <row r="5139">
      <c r="N5139" s="28"/>
      <c r="O5139" s="28"/>
      <c r="U5139" s="28"/>
    </row>
    <row r="5140">
      <c r="N5140" s="28"/>
      <c r="O5140" s="28"/>
      <c r="U5140" s="28"/>
    </row>
    <row r="5141">
      <c r="N5141" s="28"/>
      <c r="O5141" s="28"/>
      <c r="U5141" s="28"/>
    </row>
    <row r="5142">
      <c r="N5142" s="28"/>
      <c r="O5142" s="28"/>
      <c r="U5142" s="28"/>
    </row>
    <row r="5143">
      <c r="N5143" s="28"/>
      <c r="O5143" s="28"/>
      <c r="U5143" s="28"/>
    </row>
    <row r="5144">
      <c r="N5144" s="28"/>
      <c r="O5144" s="28"/>
      <c r="U5144" s="28"/>
    </row>
    <row r="5145">
      <c r="N5145" s="28"/>
      <c r="O5145" s="28"/>
      <c r="U5145" s="28"/>
    </row>
    <row r="5146">
      <c r="N5146" s="28"/>
      <c r="O5146" s="28"/>
      <c r="U5146" s="28"/>
    </row>
    <row r="5147">
      <c r="N5147" s="28"/>
      <c r="O5147" s="28"/>
      <c r="U5147" s="28"/>
    </row>
    <row r="5148">
      <c r="N5148" s="28"/>
      <c r="O5148" s="28"/>
      <c r="U5148" s="28"/>
    </row>
    <row r="5149">
      <c r="N5149" s="28"/>
      <c r="O5149" s="28"/>
      <c r="U5149" s="28"/>
    </row>
    <row r="5150">
      <c r="N5150" s="28"/>
      <c r="O5150" s="28"/>
      <c r="U5150" s="28"/>
    </row>
    <row r="5151">
      <c r="N5151" s="28"/>
      <c r="O5151" s="28"/>
      <c r="U5151" s="28"/>
    </row>
    <row r="5152">
      <c r="N5152" s="28"/>
      <c r="O5152" s="28"/>
      <c r="U5152" s="28"/>
    </row>
    <row r="5153">
      <c r="N5153" s="28"/>
      <c r="O5153" s="28"/>
      <c r="U5153" s="28"/>
    </row>
    <row r="5154">
      <c r="N5154" s="28"/>
      <c r="O5154" s="28"/>
      <c r="U5154" s="28"/>
    </row>
    <row r="5155">
      <c r="N5155" s="28"/>
      <c r="O5155" s="28"/>
      <c r="U5155" s="28"/>
    </row>
    <row r="5156">
      <c r="N5156" s="28"/>
      <c r="O5156" s="28"/>
      <c r="U5156" s="28"/>
    </row>
    <row r="5157">
      <c r="N5157" s="28"/>
      <c r="O5157" s="28"/>
      <c r="U5157" s="28"/>
    </row>
    <row r="5158">
      <c r="N5158" s="28"/>
      <c r="O5158" s="28"/>
      <c r="U5158" s="28"/>
    </row>
    <row r="5159">
      <c r="N5159" s="28"/>
      <c r="O5159" s="28"/>
      <c r="U5159" s="28"/>
    </row>
    <row r="5160">
      <c r="N5160" s="28"/>
      <c r="O5160" s="28"/>
      <c r="U5160" s="28"/>
    </row>
    <row r="5161">
      <c r="N5161" s="28"/>
      <c r="O5161" s="28"/>
      <c r="U5161" s="28"/>
    </row>
    <row r="5162">
      <c r="N5162" s="28"/>
      <c r="O5162" s="28"/>
      <c r="U5162" s="28"/>
    </row>
    <row r="5163">
      <c r="N5163" s="28"/>
      <c r="O5163" s="28"/>
      <c r="U5163" s="28"/>
    </row>
    <row r="5164">
      <c r="N5164" s="28"/>
      <c r="O5164" s="28"/>
      <c r="U5164" s="28"/>
    </row>
    <row r="5165">
      <c r="N5165" s="28"/>
      <c r="O5165" s="28"/>
      <c r="U5165" s="28"/>
    </row>
    <row r="5166">
      <c r="N5166" s="28"/>
      <c r="O5166" s="28"/>
      <c r="U5166" s="28"/>
    </row>
    <row r="5167">
      <c r="N5167" s="28"/>
      <c r="O5167" s="28"/>
      <c r="U5167" s="28"/>
    </row>
    <row r="5168">
      <c r="N5168" s="28"/>
      <c r="O5168" s="28"/>
      <c r="U5168" s="28"/>
    </row>
    <row r="5169">
      <c r="N5169" s="28"/>
      <c r="O5169" s="28"/>
      <c r="U5169" s="28"/>
    </row>
    <row r="5170">
      <c r="N5170" s="28"/>
      <c r="O5170" s="28"/>
      <c r="U5170" s="28"/>
    </row>
    <row r="5171">
      <c r="N5171" s="28"/>
      <c r="O5171" s="28"/>
      <c r="U5171" s="28"/>
    </row>
    <row r="5172">
      <c r="N5172" s="28"/>
      <c r="O5172" s="28"/>
      <c r="U5172" s="28"/>
    </row>
    <row r="5173">
      <c r="N5173" s="28"/>
      <c r="O5173" s="28"/>
      <c r="U5173" s="28"/>
    </row>
    <row r="5174">
      <c r="N5174" s="28"/>
      <c r="O5174" s="28"/>
      <c r="U5174" s="28"/>
    </row>
    <row r="5175">
      <c r="N5175" s="28"/>
      <c r="O5175" s="28"/>
      <c r="U5175" s="28"/>
    </row>
    <row r="5176">
      <c r="N5176" s="28"/>
      <c r="O5176" s="28"/>
      <c r="U5176" s="28"/>
    </row>
    <row r="5177">
      <c r="N5177" s="28"/>
      <c r="O5177" s="28"/>
      <c r="U5177" s="28"/>
    </row>
    <row r="5178">
      <c r="N5178" s="28"/>
      <c r="O5178" s="28"/>
      <c r="U5178" s="28"/>
    </row>
    <row r="5179">
      <c r="N5179" s="28"/>
      <c r="O5179" s="28"/>
      <c r="U5179" s="28"/>
    </row>
    <row r="5180">
      <c r="N5180" s="28"/>
      <c r="O5180" s="28"/>
      <c r="U5180" s="28"/>
    </row>
    <row r="5181">
      <c r="N5181" s="28"/>
      <c r="O5181" s="28"/>
      <c r="U5181" s="28"/>
    </row>
    <row r="5182">
      <c r="N5182" s="28"/>
      <c r="O5182" s="28"/>
      <c r="U5182" s="28"/>
    </row>
    <row r="5183">
      <c r="N5183" s="28"/>
      <c r="O5183" s="28"/>
      <c r="U5183" s="28"/>
    </row>
    <row r="5184">
      <c r="N5184" s="28"/>
      <c r="O5184" s="28"/>
      <c r="U5184" s="28"/>
    </row>
    <row r="5185">
      <c r="N5185" s="28"/>
      <c r="O5185" s="28"/>
      <c r="U5185" s="28"/>
    </row>
    <row r="5186">
      <c r="N5186" s="28"/>
      <c r="O5186" s="28"/>
      <c r="U5186" s="28"/>
    </row>
    <row r="5187">
      <c r="N5187" s="28"/>
      <c r="O5187" s="28"/>
      <c r="U5187" s="28"/>
    </row>
    <row r="5188">
      <c r="N5188" s="28"/>
      <c r="O5188" s="28"/>
      <c r="U5188" s="28"/>
    </row>
    <row r="5189">
      <c r="N5189" s="28"/>
      <c r="O5189" s="28"/>
      <c r="U5189" s="28"/>
    </row>
    <row r="5190">
      <c r="N5190" s="28"/>
      <c r="O5190" s="28"/>
      <c r="U5190" s="28"/>
    </row>
    <row r="5191">
      <c r="N5191" s="28"/>
      <c r="O5191" s="28"/>
      <c r="U5191" s="28"/>
    </row>
    <row r="5192">
      <c r="N5192" s="28"/>
      <c r="O5192" s="28"/>
      <c r="U5192" s="28"/>
    </row>
    <row r="5193">
      <c r="N5193" s="28"/>
      <c r="O5193" s="28"/>
      <c r="U5193" s="28"/>
    </row>
    <row r="5194">
      <c r="N5194" s="28"/>
      <c r="O5194" s="28"/>
      <c r="U5194" s="28"/>
    </row>
    <row r="5195">
      <c r="N5195" s="28"/>
      <c r="O5195" s="28"/>
      <c r="U5195" s="28"/>
    </row>
    <row r="5196">
      <c r="N5196" s="28"/>
      <c r="O5196" s="28"/>
      <c r="U5196" s="28"/>
    </row>
    <row r="5197">
      <c r="N5197" s="28"/>
      <c r="O5197" s="28"/>
      <c r="U5197" s="28"/>
    </row>
    <row r="5198">
      <c r="N5198" s="28"/>
      <c r="O5198" s="28"/>
      <c r="U5198" s="28"/>
    </row>
    <row r="5199">
      <c r="N5199" s="28"/>
      <c r="O5199" s="28"/>
      <c r="U5199" s="28"/>
    </row>
    <row r="5200">
      <c r="N5200" s="28"/>
      <c r="O5200" s="28"/>
      <c r="U5200" s="28"/>
    </row>
    <row r="5201">
      <c r="N5201" s="28"/>
      <c r="O5201" s="28"/>
      <c r="U5201" s="28"/>
    </row>
    <row r="5202">
      <c r="N5202" s="28"/>
      <c r="O5202" s="28"/>
      <c r="U5202" s="28"/>
    </row>
    <row r="5203">
      <c r="N5203" s="28"/>
      <c r="O5203" s="28"/>
      <c r="U5203" s="28"/>
    </row>
    <row r="5204">
      <c r="N5204" s="28"/>
      <c r="O5204" s="28"/>
      <c r="U5204" s="28"/>
    </row>
    <row r="5205">
      <c r="N5205" s="28"/>
      <c r="O5205" s="28"/>
      <c r="U5205" s="28"/>
    </row>
    <row r="5206">
      <c r="N5206" s="28"/>
      <c r="O5206" s="28"/>
      <c r="U5206" s="28"/>
    </row>
    <row r="5207">
      <c r="N5207" s="28"/>
      <c r="O5207" s="28"/>
      <c r="U5207" s="28"/>
    </row>
    <row r="5208">
      <c r="N5208" s="28"/>
      <c r="O5208" s="28"/>
      <c r="U5208" s="28"/>
    </row>
    <row r="5209">
      <c r="N5209" s="28"/>
      <c r="O5209" s="28"/>
      <c r="U5209" s="28"/>
    </row>
    <row r="5210">
      <c r="N5210" s="28"/>
      <c r="O5210" s="28"/>
      <c r="U5210" s="28"/>
    </row>
    <row r="5211">
      <c r="N5211" s="28"/>
      <c r="O5211" s="28"/>
      <c r="U5211" s="28"/>
    </row>
    <row r="5212">
      <c r="N5212" s="28"/>
      <c r="O5212" s="28"/>
      <c r="U5212" s="28"/>
    </row>
    <row r="5213">
      <c r="N5213" s="28"/>
      <c r="O5213" s="28"/>
      <c r="U5213" s="28"/>
    </row>
    <row r="5214">
      <c r="N5214" s="28"/>
      <c r="O5214" s="28"/>
      <c r="U5214" s="28"/>
    </row>
    <row r="5215">
      <c r="N5215" s="28"/>
      <c r="O5215" s="28"/>
      <c r="U5215" s="28"/>
    </row>
    <row r="5216">
      <c r="N5216" s="28"/>
      <c r="O5216" s="28"/>
      <c r="U5216" s="28"/>
    </row>
    <row r="5217">
      <c r="N5217" s="28"/>
      <c r="O5217" s="28"/>
      <c r="U5217" s="28"/>
    </row>
    <row r="5218">
      <c r="N5218" s="28"/>
      <c r="O5218" s="28"/>
      <c r="U5218" s="28"/>
    </row>
    <row r="5219">
      <c r="N5219" s="28"/>
      <c r="O5219" s="28"/>
      <c r="U5219" s="28"/>
    </row>
    <row r="5220">
      <c r="N5220" s="28"/>
      <c r="O5220" s="28"/>
      <c r="U5220" s="28"/>
    </row>
    <row r="5221">
      <c r="N5221" s="28"/>
      <c r="O5221" s="28"/>
      <c r="U5221" s="28"/>
    </row>
    <row r="5222">
      <c r="N5222" s="28"/>
      <c r="O5222" s="28"/>
      <c r="U5222" s="28"/>
    </row>
    <row r="5223">
      <c r="N5223" s="28"/>
      <c r="O5223" s="28"/>
      <c r="U5223" s="28"/>
    </row>
    <row r="5224">
      <c r="N5224" s="28"/>
      <c r="O5224" s="28"/>
      <c r="U5224" s="28"/>
    </row>
    <row r="5225">
      <c r="N5225" s="28"/>
      <c r="O5225" s="28"/>
      <c r="U5225" s="28"/>
    </row>
    <row r="5226">
      <c r="N5226" s="28"/>
      <c r="O5226" s="28"/>
      <c r="U5226" s="28"/>
    </row>
    <row r="5227">
      <c r="N5227" s="28"/>
      <c r="O5227" s="28"/>
      <c r="U5227" s="28"/>
    </row>
    <row r="5228">
      <c r="N5228" s="28"/>
      <c r="O5228" s="28"/>
      <c r="U5228" s="28"/>
    </row>
    <row r="5229">
      <c r="N5229" s="28"/>
      <c r="O5229" s="28"/>
      <c r="U5229" s="28"/>
    </row>
    <row r="5230">
      <c r="N5230" s="28"/>
      <c r="O5230" s="28"/>
      <c r="U5230" s="28"/>
    </row>
    <row r="5231">
      <c r="N5231" s="28"/>
      <c r="O5231" s="28"/>
      <c r="U5231" s="28"/>
    </row>
    <row r="5232">
      <c r="N5232" s="28"/>
      <c r="O5232" s="28"/>
      <c r="U5232" s="28"/>
    </row>
    <row r="5233">
      <c r="N5233" s="28"/>
      <c r="O5233" s="28"/>
      <c r="U5233" s="28"/>
    </row>
    <row r="5234">
      <c r="N5234" s="28"/>
      <c r="O5234" s="28"/>
      <c r="U5234" s="28"/>
    </row>
    <row r="5235">
      <c r="N5235" s="28"/>
      <c r="O5235" s="28"/>
      <c r="U5235" s="28"/>
    </row>
    <row r="5236">
      <c r="N5236" s="28"/>
      <c r="O5236" s="28"/>
      <c r="U5236" s="28"/>
    </row>
    <row r="5237">
      <c r="N5237" s="28"/>
      <c r="O5237" s="28"/>
      <c r="U5237" s="28"/>
    </row>
    <row r="5238">
      <c r="N5238" s="28"/>
      <c r="O5238" s="28"/>
      <c r="U5238" s="28"/>
    </row>
    <row r="5239">
      <c r="N5239" s="28"/>
      <c r="O5239" s="28"/>
      <c r="U5239" s="28"/>
    </row>
    <row r="5240">
      <c r="N5240" s="28"/>
      <c r="O5240" s="28"/>
      <c r="U5240" s="28"/>
    </row>
    <row r="5241">
      <c r="N5241" s="28"/>
      <c r="O5241" s="28"/>
      <c r="U5241" s="28"/>
    </row>
    <row r="5242">
      <c r="N5242" s="28"/>
      <c r="O5242" s="28"/>
      <c r="U5242" s="28"/>
    </row>
    <row r="5243">
      <c r="N5243" s="28"/>
      <c r="O5243" s="28"/>
      <c r="U5243" s="28"/>
    </row>
    <row r="5244">
      <c r="N5244" s="28"/>
      <c r="O5244" s="28"/>
      <c r="U5244" s="28"/>
    </row>
    <row r="5245">
      <c r="N5245" s="28"/>
      <c r="O5245" s="28"/>
      <c r="U5245" s="28"/>
    </row>
    <row r="5246">
      <c r="N5246" s="28"/>
      <c r="O5246" s="28"/>
      <c r="U5246" s="28"/>
    </row>
    <row r="5247">
      <c r="N5247" s="28"/>
      <c r="O5247" s="28"/>
      <c r="U5247" s="28"/>
    </row>
    <row r="5248">
      <c r="N5248" s="28"/>
      <c r="O5248" s="28"/>
      <c r="U5248" s="28"/>
    </row>
    <row r="5249">
      <c r="N5249" s="28"/>
      <c r="O5249" s="28"/>
      <c r="U5249" s="28"/>
    </row>
    <row r="5250">
      <c r="N5250" s="28"/>
      <c r="O5250" s="28"/>
      <c r="U5250" s="28"/>
    </row>
    <row r="5251">
      <c r="N5251" s="28"/>
      <c r="O5251" s="28"/>
      <c r="U5251" s="28"/>
    </row>
    <row r="5252">
      <c r="N5252" s="28"/>
      <c r="O5252" s="28"/>
      <c r="U5252" s="28"/>
    </row>
    <row r="5253">
      <c r="N5253" s="28"/>
      <c r="O5253" s="28"/>
      <c r="U5253" s="28"/>
    </row>
    <row r="5254">
      <c r="N5254" s="28"/>
      <c r="O5254" s="28"/>
      <c r="U5254" s="28"/>
    </row>
    <row r="5255">
      <c r="N5255" s="28"/>
      <c r="O5255" s="28"/>
      <c r="U5255" s="28"/>
    </row>
    <row r="5256">
      <c r="N5256" s="28"/>
      <c r="O5256" s="28"/>
      <c r="U5256" s="28"/>
    </row>
    <row r="5257">
      <c r="N5257" s="28"/>
      <c r="O5257" s="28"/>
      <c r="U5257" s="28"/>
    </row>
    <row r="5258">
      <c r="N5258" s="28"/>
      <c r="O5258" s="28"/>
      <c r="U5258" s="28"/>
    </row>
    <row r="5259">
      <c r="N5259" s="28"/>
      <c r="O5259" s="28"/>
      <c r="U5259" s="28"/>
    </row>
    <row r="5260">
      <c r="N5260" s="28"/>
      <c r="O5260" s="28"/>
      <c r="U5260" s="28"/>
    </row>
    <row r="5261">
      <c r="N5261" s="28"/>
      <c r="O5261" s="28"/>
      <c r="U5261" s="28"/>
    </row>
    <row r="5262">
      <c r="N5262" s="28"/>
      <c r="O5262" s="28"/>
      <c r="U5262" s="28"/>
    </row>
    <row r="5263">
      <c r="N5263" s="28"/>
      <c r="O5263" s="28"/>
      <c r="U5263" s="28"/>
    </row>
    <row r="5264">
      <c r="N5264" s="28"/>
      <c r="O5264" s="28"/>
      <c r="U5264" s="28"/>
    </row>
    <row r="5265">
      <c r="N5265" s="28"/>
      <c r="O5265" s="28"/>
      <c r="U5265" s="28"/>
    </row>
    <row r="5266">
      <c r="N5266" s="28"/>
      <c r="O5266" s="28"/>
      <c r="U5266" s="28"/>
    </row>
    <row r="5267">
      <c r="N5267" s="28"/>
      <c r="O5267" s="28"/>
      <c r="U5267" s="28"/>
    </row>
    <row r="5268">
      <c r="N5268" s="28"/>
      <c r="O5268" s="28"/>
      <c r="U5268" s="28"/>
    </row>
    <row r="5269">
      <c r="N5269" s="28"/>
      <c r="O5269" s="28"/>
      <c r="U5269" s="28"/>
    </row>
    <row r="5270">
      <c r="N5270" s="28"/>
      <c r="O5270" s="28"/>
      <c r="U5270" s="28"/>
    </row>
    <row r="5271">
      <c r="N5271" s="28"/>
      <c r="O5271" s="28"/>
      <c r="U5271" s="28"/>
    </row>
    <row r="5272">
      <c r="N5272" s="28"/>
      <c r="O5272" s="28"/>
      <c r="U5272" s="28"/>
    </row>
    <row r="5273">
      <c r="N5273" s="28"/>
      <c r="O5273" s="28"/>
      <c r="U5273" s="28"/>
    </row>
    <row r="5274">
      <c r="N5274" s="28"/>
      <c r="O5274" s="28"/>
      <c r="U5274" s="28"/>
    </row>
    <row r="5275">
      <c r="N5275" s="28"/>
      <c r="O5275" s="28"/>
      <c r="U5275" s="28"/>
    </row>
    <row r="5276">
      <c r="N5276" s="28"/>
      <c r="O5276" s="28"/>
      <c r="U5276" s="28"/>
    </row>
    <row r="5277">
      <c r="N5277" s="28"/>
      <c r="O5277" s="28"/>
      <c r="U5277" s="28"/>
    </row>
    <row r="5278">
      <c r="N5278" s="28"/>
      <c r="O5278" s="28"/>
      <c r="U5278" s="28"/>
    </row>
    <row r="5279">
      <c r="N5279" s="28"/>
      <c r="O5279" s="28"/>
      <c r="U5279" s="28"/>
    </row>
    <row r="5280">
      <c r="N5280" s="28"/>
      <c r="O5280" s="28"/>
      <c r="U5280" s="28"/>
    </row>
    <row r="5281">
      <c r="N5281" s="28"/>
      <c r="O5281" s="28"/>
      <c r="U5281" s="28"/>
    </row>
    <row r="5282">
      <c r="N5282" s="28"/>
      <c r="O5282" s="28"/>
      <c r="U5282" s="28"/>
    </row>
    <row r="5283">
      <c r="N5283" s="28"/>
      <c r="O5283" s="28"/>
      <c r="U5283" s="28"/>
    </row>
    <row r="5284">
      <c r="N5284" s="28"/>
      <c r="O5284" s="28"/>
      <c r="U5284" s="28"/>
    </row>
    <row r="5285">
      <c r="N5285" s="28"/>
      <c r="O5285" s="28"/>
      <c r="U5285" s="28"/>
    </row>
    <row r="5286">
      <c r="N5286" s="28"/>
      <c r="O5286" s="28"/>
      <c r="U5286" s="28"/>
    </row>
    <row r="5287">
      <c r="N5287" s="28"/>
      <c r="O5287" s="28"/>
      <c r="U5287" s="28"/>
    </row>
    <row r="5288">
      <c r="N5288" s="28"/>
      <c r="O5288" s="28"/>
      <c r="U5288" s="28"/>
    </row>
    <row r="5289">
      <c r="N5289" s="28"/>
      <c r="O5289" s="28"/>
      <c r="U5289" s="28"/>
    </row>
    <row r="5290">
      <c r="N5290" s="28"/>
      <c r="O5290" s="28"/>
      <c r="U5290" s="28"/>
    </row>
    <row r="5291">
      <c r="N5291" s="28"/>
      <c r="O5291" s="28"/>
      <c r="U5291" s="28"/>
    </row>
    <row r="5292">
      <c r="N5292" s="28"/>
      <c r="O5292" s="28"/>
      <c r="U5292" s="28"/>
    </row>
    <row r="5293">
      <c r="N5293" s="28"/>
      <c r="O5293" s="28"/>
      <c r="U5293" s="28"/>
    </row>
    <row r="5294">
      <c r="N5294" s="28"/>
      <c r="O5294" s="28"/>
      <c r="U5294" s="28"/>
    </row>
    <row r="5295">
      <c r="N5295" s="28"/>
      <c r="O5295" s="28"/>
      <c r="U5295" s="28"/>
    </row>
    <row r="5296">
      <c r="N5296" s="28"/>
      <c r="O5296" s="28"/>
      <c r="U5296" s="28"/>
    </row>
    <row r="5297">
      <c r="N5297" s="28"/>
      <c r="O5297" s="28"/>
      <c r="U5297" s="28"/>
    </row>
    <row r="5298">
      <c r="N5298" s="28"/>
      <c r="O5298" s="28"/>
      <c r="U5298" s="28"/>
    </row>
    <row r="5299">
      <c r="N5299" s="28"/>
      <c r="O5299" s="28"/>
      <c r="U5299" s="28"/>
    </row>
    <row r="5300">
      <c r="N5300" s="28"/>
      <c r="O5300" s="28"/>
      <c r="U5300" s="28"/>
    </row>
    <row r="5301">
      <c r="N5301" s="28"/>
      <c r="O5301" s="28"/>
      <c r="U5301" s="28"/>
    </row>
    <row r="5302">
      <c r="N5302" s="28"/>
      <c r="O5302" s="28"/>
      <c r="U5302" s="28"/>
    </row>
    <row r="5303">
      <c r="N5303" s="28"/>
      <c r="O5303" s="28"/>
      <c r="U5303" s="28"/>
    </row>
    <row r="5304">
      <c r="N5304" s="28"/>
      <c r="O5304" s="28"/>
      <c r="U5304" s="28"/>
    </row>
    <row r="5305">
      <c r="N5305" s="28"/>
      <c r="O5305" s="28"/>
      <c r="U5305" s="28"/>
    </row>
    <row r="5306">
      <c r="N5306" s="28"/>
      <c r="O5306" s="28"/>
      <c r="U5306" s="28"/>
    </row>
    <row r="5307">
      <c r="N5307" s="28"/>
      <c r="O5307" s="28"/>
      <c r="U5307" s="28"/>
    </row>
    <row r="5308">
      <c r="N5308" s="28"/>
      <c r="O5308" s="28"/>
      <c r="U5308" s="28"/>
    </row>
    <row r="5309">
      <c r="N5309" s="28"/>
      <c r="O5309" s="28"/>
      <c r="U5309" s="28"/>
    </row>
    <row r="5310">
      <c r="N5310" s="28"/>
      <c r="O5310" s="28"/>
      <c r="U5310" s="28"/>
    </row>
    <row r="5311">
      <c r="N5311" s="28"/>
      <c r="O5311" s="28"/>
      <c r="U5311" s="28"/>
    </row>
    <row r="5312">
      <c r="N5312" s="28"/>
      <c r="O5312" s="28"/>
      <c r="U5312" s="28"/>
    </row>
    <row r="5313">
      <c r="N5313" s="28"/>
      <c r="O5313" s="28"/>
      <c r="U5313" s="28"/>
    </row>
    <row r="5314">
      <c r="N5314" s="28"/>
      <c r="O5314" s="28"/>
      <c r="U5314" s="28"/>
    </row>
    <row r="5315">
      <c r="N5315" s="28"/>
      <c r="O5315" s="28"/>
      <c r="U5315" s="28"/>
    </row>
    <row r="5316">
      <c r="N5316" s="28"/>
      <c r="O5316" s="28"/>
      <c r="U5316" s="28"/>
    </row>
    <row r="5317">
      <c r="N5317" s="28"/>
      <c r="O5317" s="28"/>
      <c r="U5317" s="28"/>
    </row>
    <row r="5318">
      <c r="N5318" s="28"/>
      <c r="O5318" s="28"/>
      <c r="U5318" s="28"/>
    </row>
    <row r="5319">
      <c r="N5319" s="28"/>
      <c r="O5319" s="28"/>
      <c r="U5319" s="28"/>
    </row>
    <row r="5320">
      <c r="N5320" s="28"/>
      <c r="O5320" s="28"/>
      <c r="U5320" s="28"/>
    </row>
    <row r="5321">
      <c r="N5321" s="28"/>
      <c r="O5321" s="28"/>
      <c r="U5321" s="28"/>
    </row>
    <row r="5322">
      <c r="N5322" s="28"/>
      <c r="O5322" s="28"/>
      <c r="U5322" s="28"/>
    </row>
    <row r="5323">
      <c r="N5323" s="28"/>
      <c r="O5323" s="28"/>
      <c r="U5323" s="28"/>
    </row>
    <row r="5324">
      <c r="N5324" s="28"/>
      <c r="O5324" s="28"/>
      <c r="U5324" s="28"/>
    </row>
    <row r="5325">
      <c r="N5325" s="28"/>
      <c r="O5325" s="28"/>
      <c r="U5325" s="28"/>
    </row>
    <row r="5326">
      <c r="N5326" s="28"/>
      <c r="O5326" s="28"/>
      <c r="U5326" s="28"/>
    </row>
    <row r="5327">
      <c r="N5327" s="28"/>
      <c r="O5327" s="28"/>
      <c r="U5327" s="28"/>
    </row>
    <row r="5328">
      <c r="N5328" s="28"/>
      <c r="O5328" s="28"/>
      <c r="U5328" s="28"/>
    </row>
    <row r="5329">
      <c r="N5329" s="28"/>
      <c r="O5329" s="28"/>
      <c r="U5329" s="28"/>
    </row>
    <row r="5330">
      <c r="N5330" s="28"/>
      <c r="O5330" s="28"/>
      <c r="U5330" s="28"/>
    </row>
    <row r="5331">
      <c r="N5331" s="28"/>
      <c r="O5331" s="28"/>
      <c r="U5331" s="28"/>
    </row>
    <row r="5332">
      <c r="N5332" s="28"/>
      <c r="O5332" s="28"/>
      <c r="U5332" s="28"/>
    </row>
    <row r="5333">
      <c r="N5333" s="28"/>
      <c r="O5333" s="28"/>
      <c r="U5333" s="28"/>
    </row>
    <row r="5334">
      <c r="N5334" s="28"/>
      <c r="O5334" s="28"/>
      <c r="U5334" s="28"/>
    </row>
    <row r="5335">
      <c r="N5335" s="28"/>
      <c r="O5335" s="28"/>
      <c r="U5335" s="28"/>
    </row>
    <row r="5336">
      <c r="N5336" s="28"/>
      <c r="O5336" s="28"/>
      <c r="U5336" s="28"/>
    </row>
    <row r="5337">
      <c r="N5337" s="28"/>
      <c r="O5337" s="28"/>
      <c r="U5337" s="28"/>
    </row>
    <row r="5338">
      <c r="N5338" s="28"/>
      <c r="O5338" s="28"/>
      <c r="U5338" s="28"/>
    </row>
    <row r="5339">
      <c r="N5339" s="28"/>
      <c r="O5339" s="28"/>
      <c r="U5339" s="28"/>
    </row>
    <row r="5340">
      <c r="N5340" s="28"/>
      <c r="O5340" s="28"/>
      <c r="U5340" s="28"/>
    </row>
    <row r="5341">
      <c r="N5341" s="28"/>
      <c r="O5341" s="28"/>
      <c r="U5341" s="28"/>
    </row>
    <row r="5342">
      <c r="N5342" s="28"/>
      <c r="O5342" s="28"/>
      <c r="U5342" s="28"/>
    </row>
    <row r="5343">
      <c r="N5343" s="28"/>
      <c r="O5343" s="28"/>
      <c r="U5343" s="28"/>
    </row>
    <row r="5344">
      <c r="N5344" s="28"/>
      <c r="O5344" s="28"/>
      <c r="U5344" s="28"/>
    </row>
    <row r="5345">
      <c r="N5345" s="28"/>
      <c r="O5345" s="28"/>
      <c r="U5345" s="28"/>
    </row>
    <row r="5346">
      <c r="N5346" s="28"/>
      <c r="O5346" s="28"/>
      <c r="U5346" s="28"/>
    </row>
    <row r="5347">
      <c r="N5347" s="28"/>
      <c r="O5347" s="28"/>
      <c r="U5347" s="28"/>
    </row>
    <row r="5348">
      <c r="N5348" s="28"/>
      <c r="O5348" s="28"/>
      <c r="U5348" s="28"/>
    </row>
    <row r="5349">
      <c r="N5349" s="28"/>
      <c r="O5349" s="28"/>
      <c r="U5349" s="28"/>
    </row>
    <row r="5350">
      <c r="N5350" s="28"/>
      <c r="O5350" s="28"/>
      <c r="U5350" s="28"/>
    </row>
    <row r="5351">
      <c r="N5351" s="28"/>
      <c r="O5351" s="28"/>
      <c r="U5351" s="28"/>
    </row>
    <row r="5352">
      <c r="N5352" s="28"/>
      <c r="O5352" s="28"/>
      <c r="U5352" s="28"/>
    </row>
    <row r="5353">
      <c r="N5353" s="28"/>
      <c r="O5353" s="28"/>
      <c r="U5353" s="28"/>
    </row>
    <row r="5354">
      <c r="N5354" s="28"/>
      <c r="O5354" s="28"/>
      <c r="U5354" s="28"/>
    </row>
    <row r="5355">
      <c r="N5355" s="28"/>
      <c r="O5355" s="28"/>
      <c r="U5355" s="28"/>
    </row>
    <row r="5356">
      <c r="N5356" s="28"/>
      <c r="O5356" s="28"/>
      <c r="U5356" s="28"/>
    </row>
    <row r="5357">
      <c r="N5357" s="28"/>
      <c r="O5357" s="28"/>
      <c r="U5357" s="28"/>
    </row>
    <row r="5358">
      <c r="N5358" s="28"/>
      <c r="O5358" s="28"/>
      <c r="U5358" s="28"/>
    </row>
    <row r="5359">
      <c r="N5359" s="28"/>
      <c r="O5359" s="28"/>
      <c r="U5359" s="28"/>
    </row>
    <row r="5360">
      <c r="N5360" s="28"/>
      <c r="O5360" s="28"/>
      <c r="U5360" s="28"/>
    </row>
    <row r="5361">
      <c r="N5361" s="28"/>
      <c r="O5361" s="28"/>
      <c r="U5361" s="28"/>
    </row>
    <row r="5362">
      <c r="N5362" s="28"/>
      <c r="O5362" s="28"/>
      <c r="U5362" s="28"/>
    </row>
    <row r="5363">
      <c r="N5363" s="28"/>
      <c r="O5363" s="28"/>
      <c r="U5363" s="28"/>
    </row>
    <row r="5364">
      <c r="N5364" s="28"/>
      <c r="O5364" s="28"/>
      <c r="U5364" s="28"/>
    </row>
    <row r="5365">
      <c r="N5365" s="28"/>
      <c r="O5365" s="28"/>
      <c r="U5365" s="28"/>
    </row>
    <row r="5366">
      <c r="N5366" s="28"/>
      <c r="O5366" s="28"/>
      <c r="U5366" s="28"/>
    </row>
    <row r="5367">
      <c r="N5367" s="28"/>
      <c r="O5367" s="28"/>
      <c r="U5367" s="28"/>
    </row>
    <row r="5368">
      <c r="N5368" s="28"/>
      <c r="O5368" s="28"/>
      <c r="U5368" s="28"/>
    </row>
    <row r="5369">
      <c r="N5369" s="28"/>
      <c r="O5369" s="28"/>
      <c r="U5369" s="28"/>
    </row>
    <row r="5370">
      <c r="N5370" s="28"/>
      <c r="O5370" s="28"/>
      <c r="U5370" s="28"/>
    </row>
    <row r="5371">
      <c r="N5371" s="28"/>
      <c r="O5371" s="28"/>
      <c r="U5371" s="28"/>
    </row>
    <row r="5372">
      <c r="N5372" s="28"/>
      <c r="O5372" s="28"/>
      <c r="U5372" s="28"/>
    </row>
    <row r="5373">
      <c r="N5373" s="28"/>
      <c r="O5373" s="28"/>
      <c r="U5373" s="28"/>
    </row>
    <row r="5374">
      <c r="N5374" s="28"/>
      <c r="O5374" s="28"/>
      <c r="U5374" s="28"/>
    </row>
    <row r="5375">
      <c r="N5375" s="28"/>
      <c r="O5375" s="28"/>
      <c r="U5375" s="28"/>
    </row>
    <row r="5376">
      <c r="N5376" s="28"/>
      <c r="O5376" s="28"/>
      <c r="U5376" s="28"/>
    </row>
    <row r="5377">
      <c r="N5377" s="28"/>
      <c r="O5377" s="28"/>
      <c r="U5377" s="28"/>
    </row>
    <row r="5378">
      <c r="N5378" s="28"/>
      <c r="O5378" s="28"/>
      <c r="U5378" s="28"/>
    </row>
    <row r="5379">
      <c r="N5379" s="28"/>
      <c r="O5379" s="28"/>
      <c r="U5379" s="28"/>
    </row>
    <row r="5380">
      <c r="N5380" s="28"/>
      <c r="O5380" s="28"/>
      <c r="U5380" s="28"/>
    </row>
    <row r="5381">
      <c r="N5381" s="28"/>
      <c r="O5381" s="28"/>
      <c r="U5381" s="28"/>
    </row>
    <row r="5382">
      <c r="N5382" s="28"/>
      <c r="O5382" s="28"/>
      <c r="U5382" s="28"/>
    </row>
    <row r="5383">
      <c r="N5383" s="28"/>
      <c r="O5383" s="28"/>
      <c r="U5383" s="28"/>
    </row>
    <row r="5384">
      <c r="N5384" s="28"/>
      <c r="O5384" s="28"/>
      <c r="U5384" s="28"/>
    </row>
    <row r="5385">
      <c r="N5385" s="28"/>
      <c r="O5385" s="28"/>
      <c r="U5385" s="28"/>
    </row>
    <row r="5386">
      <c r="N5386" s="28"/>
      <c r="O5386" s="28"/>
      <c r="U5386" s="28"/>
    </row>
    <row r="5387">
      <c r="N5387" s="28"/>
      <c r="O5387" s="28"/>
      <c r="U5387" s="28"/>
    </row>
    <row r="5388">
      <c r="N5388" s="28"/>
      <c r="O5388" s="28"/>
      <c r="U5388" s="28"/>
    </row>
    <row r="5389">
      <c r="N5389" s="28"/>
      <c r="O5389" s="28"/>
      <c r="U5389" s="28"/>
    </row>
    <row r="5390">
      <c r="N5390" s="28"/>
      <c r="O5390" s="28"/>
      <c r="U5390" s="28"/>
    </row>
    <row r="5391">
      <c r="N5391" s="28"/>
      <c r="O5391" s="28"/>
      <c r="U5391" s="28"/>
    </row>
    <row r="5392">
      <c r="N5392" s="28"/>
      <c r="O5392" s="28"/>
      <c r="U5392" s="28"/>
    </row>
    <row r="5393">
      <c r="N5393" s="28"/>
      <c r="O5393" s="28"/>
      <c r="U5393" s="28"/>
    </row>
    <row r="5394">
      <c r="N5394" s="28"/>
      <c r="O5394" s="28"/>
      <c r="U5394" s="28"/>
    </row>
    <row r="5395">
      <c r="N5395" s="28"/>
      <c r="O5395" s="28"/>
      <c r="U5395" s="28"/>
    </row>
    <row r="5396">
      <c r="N5396" s="28"/>
      <c r="O5396" s="28"/>
      <c r="U5396" s="28"/>
    </row>
    <row r="5397">
      <c r="N5397" s="28"/>
      <c r="O5397" s="28"/>
      <c r="U5397" s="28"/>
    </row>
    <row r="5398">
      <c r="N5398" s="28"/>
      <c r="O5398" s="28"/>
      <c r="U5398" s="28"/>
    </row>
    <row r="5399">
      <c r="N5399" s="28"/>
      <c r="O5399" s="28"/>
      <c r="U5399" s="28"/>
    </row>
    <row r="5400">
      <c r="N5400" s="28"/>
      <c r="O5400" s="28"/>
      <c r="U5400" s="28"/>
    </row>
    <row r="5401">
      <c r="N5401" s="28"/>
      <c r="O5401" s="28"/>
      <c r="U5401" s="28"/>
    </row>
    <row r="5402">
      <c r="N5402" s="28"/>
      <c r="O5402" s="28"/>
      <c r="U5402" s="28"/>
    </row>
    <row r="5403">
      <c r="N5403" s="28"/>
      <c r="O5403" s="28"/>
      <c r="U5403" s="28"/>
    </row>
    <row r="5404">
      <c r="N5404" s="28"/>
      <c r="O5404" s="28"/>
      <c r="U5404" s="28"/>
    </row>
    <row r="5405">
      <c r="N5405" s="28"/>
      <c r="O5405" s="28"/>
      <c r="U5405" s="28"/>
    </row>
    <row r="5406">
      <c r="N5406" s="28"/>
      <c r="O5406" s="28"/>
      <c r="U5406" s="28"/>
    </row>
    <row r="5407">
      <c r="N5407" s="28"/>
      <c r="O5407" s="28"/>
      <c r="U5407" s="28"/>
    </row>
    <row r="5408">
      <c r="N5408" s="28"/>
      <c r="O5408" s="28"/>
      <c r="U5408" s="28"/>
    </row>
    <row r="5409">
      <c r="N5409" s="28"/>
      <c r="O5409" s="28"/>
      <c r="U5409" s="28"/>
    </row>
    <row r="5410">
      <c r="N5410" s="28"/>
      <c r="O5410" s="28"/>
      <c r="U5410" s="28"/>
    </row>
    <row r="5411">
      <c r="N5411" s="28"/>
      <c r="O5411" s="28"/>
      <c r="U5411" s="28"/>
    </row>
    <row r="5412">
      <c r="N5412" s="28"/>
      <c r="O5412" s="28"/>
      <c r="U5412" s="28"/>
    </row>
    <row r="5413">
      <c r="N5413" s="28"/>
      <c r="O5413" s="28"/>
      <c r="U5413" s="28"/>
    </row>
    <row r="5414">
      <c r="N5414" s="28"/>
      <c r="O5414" s="28"/>
      <c r="U5414" s="28"/>
    </row>
    <row r="5415">
      <c r="N5415" s="28"/>
      <c r="O5415" s="28"/>
      <c r="U5415" s="28"/>
    </row>
    <row r="5416">
      <c r="N5416" s="28"/>
      <c r="O5416" s="28"/>
      <c r="U5416" s="28"/>
    </row>
    <row r="5417">
      <c r="N5417" s="28"/>
      <c r="O5417" s="28"/>
      <c r="U5417" s="28"/>
    </row>
    <row r="5418">
      <c r="N5418" s="28"/>
      <c r="O5418" s="28"/>
      <c r="U5418" s="28"/>
    </row>
    <row r="5419">
      <c r="N5419" s="28"/>
      <c r="O5419" s="28"/>
      <c r="U5419" s="28"/>
    </row>
    <row r="5420">
      <c r="N5420" s="28"/>
      <c r="O5420" s="28"/>
      <c r="U5420" s="28"/>
    </row>
    <row r="5421">
      <c r="N5421" s="28"/>
      <c r="O5421" s="28"/>
      <c r="U5421" s="28"/>
    </row>
    <row r="5422">
      <c r="N5422" s="28"/>
      <c r="O5422" s="28"/>
      <c r="U5422" s="28"/>
    </row>
    <row r="5423">
      <c r="N5423" s="28"/>
      <c r="O5423" s="28"/>
      <c r="U5423" s="28"/>
    </row>
    <row r="5424">
      <c r="N5424" s="28"/>
      <c r="O5424" s="28"/>
      <c r="U5424" s="28"/>
    </row>
    <row r="5425">
      <c r="N5425" s="28"/>
      <c r="O5425" s="28"/>
      <c r="U5425" s="28"/>
    </row>
    <row r="5426">
      <c r="N5426" s="28"/>
      <c r="O5426" s="28"/>
      <c r="U5426" s="28"/>
    </row>
    <row r="5427">
      <c r="N5427" s="28"/>
      <c r="O5427" s="28"/>
      <c r="U5427" s="28"/>
    </row>
    <row r="5428">
      <c r="N5428" s="28"/>
      <c r="O5428" s="28"/>
      <c r="U5428" s="28"/>
    </row>
    <row r="5429">
      <c r="N5429" s="28"/>
      <c r="O5429" s="28"/>
      <c r="U5429" s="28"/>
    </row>
    <row r="5430">
      <c r="N5430" s="28"/>
      <c r="O5430" s="28"/>
      <c r="U5430" s="28"/>
    </row>
    <row r="5431">
      <c r="N5431" s="28"/>
      <c r="O5431" s="28"/>
      <c r="U5431" s="28"/>
    </row>
    <row r="5432">
      <c r="N5432" s="28"/>
      <c r="O5432" s="28"/>
      <c r="U5432" s="28"/>
    </row>
    <row r="5433">
      <c r="N5433" s="28"/>
      <c r="O5433" s="28"/>
      <c r="U5433" s="28"/>
    </row>
    <row r="5434">
      <c r="N5434" s="28"/>
      <c r="O5434" s="28"/>
      <c r="U5434" s="28"/>
    </row>
    <row r="5435">
      <c r="N5435" s="28"/>
      <c r="O5435" s="28"/>
      <c r="U5435" s="28"/>
    </row>
    <row r="5436">
      <c r="N5436" s="28"/>
      <c r="O5436" s="28"/>
      <c r="U5436" s="28"/>
    </row>
    <row r="5437">
      <c r="N5437" s="28"/>
      <c r="O5437" s="28"/>
      <c r="U5437" s="28"/>
    </row>
    <row r="5438">
      <c r="N5438" s="28"/>
      <c r="O5438" s="28"/>
      <c r="U5438" s="28"/>
    </row>
    <row r="5439">
      <c r="N5439" s="28"/>
      <c r="O5439" s="28"/>
      <c r="U5439" s="28"/>
    </row>
    <row r="5440">
      <c r="N5440" s="28"/>
      <c r="O5440" s="28"/>
      <c r="U5440" s="28"/>
    </row>
    <row r="5441">
      <c r="N5441" s="28"/>
      <c r="O5441" s="28"/>
      <c r="U5441" s="28"/>
    </row>
    <row r="5442">
      <c r="N5442" s="28"/>
      <c r="O5442" s="28"/>
      <c r="U5442" s="28"/>
    </row>
    <row r="5443">
      <c r="N5443" s="28"/>
      <c r="O5443" s="28"/>
      <c r="U5443" s="28"/>
    </row>
    <row r="5444">
      <c r="N5444" s="28"/>
      <c r="O5444" s="28"/>
      <c r="U5444" s="28"/>
    </row>
    <row r="5445">
      <c r="N5445" s="28"/>
      <c r="O5445" s="28"/>
      <c r="U5445" s="28"/>
    </row>
    <row r="5446">
      <c r="N5446" s="28"/>
      <c r="O5446" s="28"/>
      <c r="U5446" s="28"/>
    </row>
    <row r="5447">
      <c r="N5447" s="28"/>
      <c r="O5447" s="28"/>
      <c r="U5447" s="28"/>
    </row>
    <row r="5448">
      <c r="N5448" s="28"/>
      <c r="O5448" s="28"/>
      <c r="U5448" s="28"/>
    </row>
    <row r="5449">
      <c r="N5449" s="28"/>
      <c r="O5449" s="28"/>
      <c r="U5449" s="28"/>
    </row>
    <row r="5450">
      <c r="N5450" s="28"/>
      <c r="O5450" s="28"/>
      <c r="U5450" s="28"/>
    </row>
    <row r="5451">
      <c r="N5451" s="28"/>
      <c r="O5451" s="28"/>
      <c r="U5451" s="28"/>
    </row>
    <row r="5452">
      <c r="N5452" s="28"/>
      <c r="O5452" s="28"/>
      <c r="U5452" s="28"/>
    </row>
    <row r="5453">
      <c r="N5453" s="28"/>
      <c r="O5453" s="28"/>
      <c r="U5453" s="28"/>
    </row>
    <row r="5454">
      <c r="N5454" s="28"/>
      <c r="O5454" s="28"/>
      <c r="U5454" s="28"/>
    </row>
    <row r="5455">
      <c r="N5455" s="28"/>
      <c r="O5455" s="28"/>
      <c r="U5455" s="28"/>
    </row>
    <row r="5456">
      <c r="N5456" s="28"/>
      <c r="O5456" s="28"/>
      <c r="U5456" s="28"/>
    </row>
    <row r="5457">
      <c r="N5457" s="28"/>
      <c r="O5457" s="28"/>
      <c r="U5457" s="28"/>
    </row>
    <row r="5458">
      <c r="N5458" s="28"/>
      <c r="O5458" s="28"/>
      <c r="U5458" s="28"/>
    </row>
    <row r="5459">
      <c r="N5459" s="28"/>
      <c r="O5459" s="28"/>
      <c r="U5459" s="28"/>
    </row>
    <row r="5460">
      <c r="N5460" s="28"/>
      <c r="O5460" s="28"/>
      <c r="U5460" s="28"/>
    </row>
    <row r="5461">
      <c r="N5461" s="28"/>
      <c r="O5461" s="28"/>
      <c r="U5461" s="28"/>
    </row>
    <row r="5462">
      <c r="N5462" s="28"/>
      <c r="O5462" s="28"/>
      <c r="U5462" s="28"/>
    </row>
    <row r="5463">
      <c r="N5463" s="28"/>
      <c r="O5463" s="28"/>
      <c r="U5463" s="28"/>
    </row>
    <row r="5464">
      <c r="N5464" s="28"/>
      <c r="O5464" s="28"/>
      <c r="U5464" s="28"/>
    </row>
    <row r="5465">
      <c r="N5465" s="28"/>
      <c r="O5465" s="28"/>
      <c r="U5465" s="28"/>
    </row>
    <row r="5466">
      <c r="N5466" s="28"/>
      <c r="O5466" s="28"/>
      <c r="U5466" s="28"/>
    </row>
    <row r="5467">
      <c r="N5467" s="28"/>
      <c r="O5467" s="28"/>
      <c r="U5467" s="28"/>
    </row>
    <row r="5468">
      <c r="N5468" s="28"/>
      <c r="O5468" s="28"/>
      <c r="U5468" s="28"/>
    </row>
    <row r="5469">
      <c r="N5469" s="28"/>
      <c r="O5469" s="28"/>
      <c r="U5469" s="28"/>
    </row>
    <row r="5470">
      <c r="N5470" s="28"/>
      <c r="O5470" s="28"/>
      <c r="U5470" s="28"/>
    </row>
    <row r="5471">
      <c r="N5471" s="28"/>
      <c r="O5471" s="28"/>
      <c r="U5471" s="28"/>
    </row>
    <row r="5472">
      <c r="N5472" s="28"/>
      <c r="O5472" s="28"/>
      <c r="U5472" s="28"/>
    </row>
    <row r="5473">
      <c r="N5473" s="28"/>
      <c r="O5473" s="28"/>
      <c r="U5473" s="28"/>
    </row>
    <row r="5474">
      <c r="N5474" s="28"/>
      <c r="O5474" s="28"/>
      <c r="U5474" s="28"/>
    </row>
    <row r="5475">
      <c r="N5475" s="28"/>
      <c r="O5475" s="28"/>
      <c r="U5475" s="28"/>
    </row>
    <row r="5476">
      <c r="N5476" s="28"/>
      <c r="O5476" s="28"/>
      <c r="U5476" s="28"/>
    </row>
    <row r="5477">
      <c r="N5477" s="28"/>
      <c r="O5477" s="28"/>
      <c r="U5477" s="28"/>
    </row>
    <row r="5478">
      <c r="N5478" s="28"/>
      <c r="O5478" s="28"/>
      <c r="U5478" s="28"/>
    </row>
    <row r="5479">
      <c r="N5479" s="28"/>
      <c r="O5479" s="28"/>
      <c r="U5479" s="28"/>
    </row>
    <row r="5480">
      <c r="N5480" s="28"/>
      <c r="O5480" s="28"/>
      <c r="U5480" s="28"/>
    </row>
    <row r="5481">
      <c r="N5481" s="28"/>
      <c r="O5481" s="28"/>
      <c r="U5481" s="28"/>
    </row>
    <row r="5482">
      <c r="N5482" s="28"/>
      <c r="O5482" s="28"/>
      <c r="U5482" s="28"/>
    </row>
    <row r="5483">
      <c r="N5483" s="28"/>
      <c r="O5483" s="28"/>
      <c r="U5483" s="28"/>
    </row>
    <row r="5484">
      <c r="N5484" s="28"/>
      <c r="O5484" s="28"/>
      <c r="U5484" s="28"/>
    </row>
    <row r="5485">
      <c r="N5485" s="28"/>
      <c r="O5485" s="28"/>
      <c r="U5485" s="28"/>
    </row>
    <row r="5486">
      <c r="N5486" s="28"/>
      <c r="O5486" s="28"/>
      <c r="U5486" s="28"/>
    </row>
    <row r="5487">
      <c r="N5487" s="28"/>
      <c r="O5487" s="28"/>
      <c r="U5487" s="28"/>
    </row>
    <row r="5488">
      <c r="N5488" s="28"/>
      <c r="O5488" s="28"/>
      <c r="U5488" s="28"/>
    </row>
    <row r="5489">
      <c r="N5489" s="28"/>
      <c r="O5489" s="28"/>
      <c r="U5489" s="28"/>
    </row>
    <row r="5490">
      <c r="N5490" s="28"/>
      <c r="O5490" s="28"/>
      <c r="U5490" s="28"/>
    </row>
    <row r="5491">
      <c r="N5491" s="28"/>
      <c r="O5491" s="28"/>
      <c r="U5491" s="28"/>
    </row>
    <row r="5492">
      <c r="N5492" s="28"/>
      <c r="O5492" s="28"/>
      <c r="U5492" s="28"/>
    </row>
    <row r="5493">
      <c r="N5493" s="28"/>
      <c r="O5493" s="28"/>
      <c r="U5493" s="28"/>
    </row>
    <row r="5494">
      <c r="N5494" s="28"/>
      <c r="O5494" s="28"/>
      <c r="U5494" s="28"/>
    </row>
    <row r="5495">
      <c r="N5495" s="28"/>
      <c r="O5495" s="28"/>
      <c r="U5495" s="28"/>
    </row>
    <row r="5496">
      <c r="N5496" s="28"/>
      <c r="O5496" s="28"/>
      <c r="U5496" s="28"/>
    </row>
    <row r="5497">
      <c r="N5497" s="28"/>
      <c r="O5497" s="28"/>
      <c r="U5497" s="28"/>
    </row>
    <row r="5498">
      <c r="N5498" s="28"/>
      <c r="O5498" s="28"/>
      <c r="U5498" s="28"/>
    </row>
    <row r="5499">
      <c r="N5499" s="28"/>
      <c r="O5499" s="28"/>
      <c r="U5499" s="28"/>
    </row>
    <row r="5500">
      <c r="N5500" s="28"/>
      <c r="O5500" s="28"/>
      <c r="U5500" s="28"/>
    </row>
    <row r="5501">
      <c r="N5501" s="28"/>
      <c r="O5501" s="28"/>
      <c r="U5501" s="28"/>
    </row>
    <row r="5502">
      <c r="N5502" s="28"/>
      <c r="O5502" s="28"/>
      <c r="U5502" s="28"/>
    </row>
    <row r="5503">
      <c r="N5503" s="28"/>
      <c r="O5503" s="28"/>
      <c r="U5503" s="28"/>
    </row>
    <row r="5504">
      <c r="N5504" s="28"/>
      <c r="O5504" s="28"/>
      <c r="U5504" s="28"/>
    </row>
    <row r="5505">
      <c r="N5505" s="28"/>
      <c r="O5505" s="28"/>
      <c r="U5505" s="28"/>
    </row>
    <row r="5506">
      <c r="N5506" s="28"/>
      <c r="O5506" s="28"/>
      <c r="U5506" s="28"/>
    </row>
    <row r="5507">
      <c r="N5507" s="28"/>
      <c r="O5507" s="28"/>
      <c r="U5507" s="28"/>
    </row>
    <row r="5508">
      <c r="N5508" s="28"/>
      <c r="O5508" s="28"/>
      <c r="U5508" s="28"/>
    </row>
    <row r="5509">
      <c r="N5509" s="28"/>
      <c r="O5509" s="28"/>
      <c r="U5509" s="28"/>
    </row>
    <row r="5510">
      <c r="N5510" s="28"/>
      <c r="O5510" s="28"/>
      <c r="U5510" s="28"/>
    </row>
    <row r="5511">
      <c r="N5511" s="28"/>
      <c r="O5511" s="28"/>
      <c r="U5511" s="28"/>
    </row>
    <row r="5512">
      <c r="N5512" s="28"/>
      <c r="O5512" s="28"/>
      <c r="U5512" s="28"/>
    </row>
    <row r="5513">
      <c r="N5513" s="28"/>
      <c r="O5513" s="28"/>
      <c r="U5513" s="28"/>
    </row>
    <row r="5514">
      <c r="N5514" s="28"/>
      <c r="O5514" s="28"/>
      <c r="U5514" s="28"/>
    </row>
    <row r="5515">
      <c r="N5515" s="28"/>
      <c r="O5515" s="28"/>
      <c r="U5515" s="28"/>
    </row>
    <row r="5516">
      <c r="N5516" s="28"/>
      <c r="O5516" s="28"/>
      <c r="U5516" s="28"/>
    </row>
    <row r="5517">
      <c r="N5517" s="28"/>
      <c r="O5517" s="28"/>
      <c r="U5517" s="28"/>
    </row>
    <row r="5518">
      <c r="N5518" s="28"/>
      <c r="O5518" s="28"/>
      <c r="U5518" s="28"/>
    </row>
    <row r="5519">
      <c r="N5519" s="28"/>
      <c r="O5519" s="28"/>
      <c r="U5519" s="28"/>
    </row>
    <row r="5520">
      <c r="N5520" s="28"/>
      <c r="O5520" s="28"/>
      <c r="U5520" s="28"/>
    </row>
    <row r="5521">
      <c r="N5521" s="28"/>
      <c r="O5521" s="28"/>
      <c r="U5521" s="28"/>
    </row>
    <row r="5522">
      <c r="N5522" s="28"/>
      <c r="O5522" s="28"/>
      <c r="U5522" s="28"/>
    </row>
    <row r="5523">
      <c r="N5523" s="28"/>
      <c r="O5523" s="28"/>
      <c r="U5523" s="28"/>
    </row>
    <row r="5524">
      <c r="N5524" s="28"/>
      <c r="O5524" s="28"/>
      <c r="U5524" s="28"/>
    </row>
    <row r="5525">
      <c r="N5525" s="28"/>
      <c r="O5525" s="28"/>
      <c r="U5525" s="28"/>
    </row>
    <row r="5526">
      <c r="N5526" s="28"/>
      <c r="O5526" s="28"/>
      <c r="U5526" s="28"/>
    </row>
    <row r="5527">
      <c r="N5527" s="28"/>
      <c r="O5527" s="28"/>
      <c r="U5527" s="28"/>
    </row>
    <row r="5528">
      <c r="N5528" s="28"/>
      <c r="O5528" s="28"/>
      <c r="U5528" s="28"/>
    </row>
    <row r="5529">
      <c r="N5529" s="28"/>
      <c r="O5529" s="28"/>
      <c r="U5529" s="28"/>
    </row>
    <row r="5530">
      <c r="N5530" s="28"/>
      <c r="O5530" s="28"/>
      <c r="U5530" s="28"/>
    </row>
    <row r="5531">
      <c r="N5531" s="28"/>
      <c r="O5531" s="28"/>
      <c r="U5531" s="28"/>
    </row>
    <row r="5532">
      <c r="N5532" s="28"/>
      <c r="O5532" s="28"/>
      <c r="U5532" s="28"/>
    </row>
    <row r="5533">
      <c r="N5533" s="28"/>
      <c r="O5533" s="28"/>
      <c r="U5533" s="28"/>
    </row>
    <row r="5534">
      <c r="N5534" s="28"/>
      <c r="O5534" s="28"/>
      <c r="U5534" s="28"/>
    </row>
    <row r="5535">
      <c r="N5535" s="28"/>
      <c r="O5535" s="28"/>
      <c r="U5535" s="28"/>
    </row>
    <row r="5536">
      <c r="N5536" s="28"/>
      <c r="O5536" s="28"/>
      <c r="U5536" s="28"/>
    </row>
    <row r="5537">
      <c r="N5537" s="28"/>
      <c r="O5537" s="28"/>
      <c r="U5537" s="28"/>
    </row>
    <row r="5538">
      <c r="N5538" s="28"/>
      <c r="O5538" s="28"/>
      <c r="U5538" s="28"/>
    </row>
    <row r="5539">
      <c r="N5539" s="28"/>
      <c r="O5539" s="28"/>
      <c r="U5539" s="28"/>
    </row>
    <row r="5540">
      <c r="N5540" s="28"/>
      <c r="O5540" s="28"/>
      <c r="U5540" s="28"/>
    </row>
    <row r="5541">
      <c r="N5541" s="28"/>
      <c r="O5541" s="28"/>
      <c r="U5541" s="28"/>
    </row>
    <row r="5542">
      <c r="N5542" s="28"/>
      <c r="O5542" s="28"/>
      <c r="U5542" s="28"/>
    </row>
    <row r="5543">
      <c r="N5543" s="28"/>
      <c r="O5543" s="28"/>
      <c r="U5543" s="28"/>
    </row>
    <row r="5544">
      <c r="N5544" s="28"/>
      <c r="O5544" s="28"/>
      <c r="U5544" s="28"/>
    </row>
    <row r="5545">
      <c r="N5545" s="28"/>
      <c r="O5545" s="28"/>
      <c r="U5545" s="28"/>
    </row>
    <row r="5546">
      <c r="N5546" s="28"/>
      <c r="O5546" s="28"/>
      <c r="U5546" s="28"/>
    </row>
    <row r="5547">
      <c r="N5547" s="28"/>
      <c r="O5547" s="28"/>
      <c r="U5547" s="28"/>
    </row>
    <row r="5548">
      <c r="N5548" s="28"/>
      <c r="O5548" s="28"/>
      <c r="U5548" s="28"/>
    </row>
    <row r="5549">
      <c r="N5549" s="28"/>
      <c r="O5549" s="28"/>
      <c r="U5549" s="28"/>
    </row>
    <row r="5550">
      <c r="N5550" s="28"/>
      <c r="O5550" s="28"/>
      <c r="U5550" s="28"/>
    </row>
    <row r="5551">
      <c r="N5551" s="28"/>
      <c r="O5551" s="28"/>
      <c r="U5551" s="28"/>
    </row>
    <row r="5552">
      <c r="N5552" s="28"/>
      <c r="O5552" s="28"/>
      <c r="U5552" s="28"/>
    </row>
    <row r="5553">
      <c r="N5553" s="28"/>
      <c r="O5553" s="28"/>
      <c r="U5553" s="28"/>
    </row>
    <row r="5554">
      <c r="N5554" s="28"/>
      <c r="O5554" s="28"/>
      <c r="U5554" s="28"/>
    </row>
    <row r="5555">
      <c r="N5555" s="28"/>
      <c r="O5555" s="28"/>
      <c r="U5555" s="28"/>
    </row>
    <row r="5556">
      <c r="N5556" s="28"/>
      <c r="O5556" s="28"/>
      <c r="U5556" s="28"/>
    </row>
    <row r="5557">
      <c r="N5557" s="28"/>
      <c r="O5557" s="28"/>
      <c r="U5557" s="28"/>
    </row>
    <row r="5558">
      <c r="N5558" s="28"/>
      <c r="O5558" s="28"/>
      <c r="U5558" s="28"/>
    </row>
    <row r="5559">
      <c r="N5559" s="28"/>
      <c r="O5559" s="28"/>
      <c r="U5559" s="28"/>
    </row>
    <row r="5560">
      <c r="N5560" s="28"/>
      <c r="O5560" s="28"/>
      <c r="U5560" s="28"/>
    </row>
    <row r="5561">
      <c r="N5561" s="28"/>
      <c r="O5561" s="28"/>
      <c r="U5561" s="28"/>
    </row>
    <row r="5562">
      <c r="N5562" s="28"/>
      <c r="O5562" s="28"/>
      <c r="U5562" s="28"/>
    </row>
    <row r="5563">
      <c r="N5563" s="28"/>
      <c r="O5563" s="28"/>
      <c r="U5563" s="28"/>
    </row>
    <row r="5564">
      <c r="N5564" s="28"/>
      <c r="O5564" s="28"/>
      <c r="U5564" s="28"/>
    </row>
    <row r="5565">
      <c r="N5565" s="28"/>
      <c r="O5565" s="28"/>
      <c r="U5565" s="28"/>
    </row>
    <row r="5566">
      <c r="N5566" s="28"/>
      <c r="O5566" s="28"/>
      <c r="U5566" s="28"/>
    </row>
    <row r="5567">
      <c r="N5567" s="28"/>
      <c r="O5567" s="28"/>
      <c r="U5567" s="28"/>
    </row>
    <row r="5568">
      <c r="N5568" s="28"/>
      <c r="O5568" s="28"/>
      <c r="U5568" s="28"/>
    </row>
    <row r="5569">
      <c r="N5569" s="28"/>
      <c r="O5569" s="28"/>
      <c r="U5569" s="28"/>
    </row>
    <row r="5570">
      <c r="N5570" s="28"/>
      <c r="O5570" s="28"/>
      <c r="U5570" s="28"/>
    </row>
    <row r="5571">
      <c r="N5571" s="28"/>
      <c r="O5571" s="28"/>
      <c r="U5571" s="28"/>
    </row>
    <row r="5572">
      <c r="N5572" s="28"/>
      <c r="O5572" s="28"/>
      <c r="U5572" s="28"/>
    </row>
    <row r="5573">
      <c r="N5573" s="28"/>
      <c r="O5573" s="28"/>
      <c r="U5573" s="28"/>
    </row>
    <row r="5574">
      <c r="N5574" s="28"/>
      <c r="O5574" s="28"/>
      <c r="U5574" s="28"/>
    </row>
    <row r="5575">
      <c r="N5575" s="28"/>
      <c r="O5575" s="28"/>
      <c r="U5575" s="28"/>
    </row>
    <row r="5576">
      <c r="N5576" s="28"/>
      <c r="O5576" s="28"/>
      <c r="U5576" s="28"/>
    </row>
    <row r="5577">
      <c r="N5577" s="28"/>
      <c r="O5577" s="28"/>
      <c r="U5577" s="28"/>
    </row>
    <row r="5578">
      <c r="N5578" s="28"/>
      <c r="O5578" s="28"/>
      <c r="U5578" s="28"/>
    </row>
    <row r="5579">
      <c r="N5579" s="28"/>
      <c r="O5579" s="28"/>
      <c r="U5579" s="28"/>
    </row>
    <row r="5580">
      <c r="N5580" s="28"/>
      <c r="O5580" s="28"/>
      <c r="U5580" s="28"/>
    </row>
    <row r="5581">
      <c r="N5581" s="28"/>
      <c r="O5581" s="28"/>
      <c r="U5581" s="28"/>
    </row>
    <row r="5582">
      <c r="N5582" s="28"/>
      <c r="O5582" s="28"/>
      <c r="U5582" s="28"/>
    </row>
    <row r="5583">
      <c r="N5583" s="28"/>
      <c r="O5583" s="28"/>
      <c r="U5583" s="28"/>
    </row>
    <row r="5584">
      <c r="N5584" s="28"/>
      <c r="O5584" s="28"/>
      <c r="U5584" s="28"/>
    </row>
    <row r="5585">
      <c r="N5585" s="28"/>
      <c r="O5585" s="28"/>
      <c r="U5585" s="28"/>
    </row>
    <row r="5586">
      <c r="N5586" s="28"/>
      <c r="O5586" s="28"/>
      <c r="U5586" s="28"/>
    </row>
    <row r="5587">
      <c r="N5587" s="28"/>
      <c r="O5587" s="28"/>
      <c r="U5587" s="28"/>
    </row>
    <row r="5588">
      <c r="N5588" s="28"/>
      <c r="O5588" s="28"/>
      <c r="U5588" s="28"/>
    </row>
    <row r="5589">
      <c r="N5589" s="28"/>
      <c r="O5589" s="28"/>
      <c r="U5589" s="28"/>
    </row>
    <row r="5590">
      <c r="N5590" s="28"/>
      <c r="O5590" s="28"/>
      <c r="U5590" s="28"/>
    </row>
    <row r="5591">
      <c r="N5591" s="28"/>
      <c r="O5591" s="28"/>
      <c r="U5591" s="28"/>
    </row>
    <row r="5592">
      <c r="N5592" s="28"/>
      <c r="O5592" s="28"/>
      <c r="U5592" s="28"/>
    </row>
    <row r="5593">
      <c r="N5593" s="28"/>
      <c r="O5593" s="28"/>
      <c r="U5593" s="28"/>
    </row>
    <row r="5594">
      <c r="N5594" s="28"/>
      <c r="O5594" s="28"/>
      <c r="U5594" s="28"/>
    </row>
    <row r="5595">
      <c r="N5595" s="28"/>
      <c r="O5595" s="28"/>
      <c r="U5595" s="28"/>
    </row>
    <row r="5596">
      <c r="N5596" s="28"/>
      <c r="O5596" s="28"/>
      <c r="U5596" s="28"/>
    </row>
    <row r="5597">
      <c r="N5597" s="28"/>
      <c r="O5597" s="28"/>
      <c r="U5597" s="28"/>
    </row>
    <row r="5598">
      <c r="N5598" s="28"/>
      <c r="O5598" s="28"/>
      <c r="U5598" s="28"/>
    </row>
    <row r="5599">
      <c r="N5599" s="28"/>
      <c r="O5599" s="28"/>
      <c r="U5599" s="28"/>
    </row>
    <row r="5600">
      <c r="N5600" s="28"/>
      <c r="O5600" s="28"/>
      <c r="U5600" s="28"/>
    </row>
    <row r="5601">
      <c r="N5601" s="28"/>
      <c r="O5601" s="28"/>
      <c r="U5601" s="28"/>
    </row>
    <row r="5602">
      <c r="N5602" s="28"/>
      <c r="O5602" s="28"/>
      <c r="U5602" s="28"/>
    </row>
    <row r="5603">
      <c r="N5603" s="28"/>
      <c r="O5603" s="28"/>
      <c r="U5603" s="28"/>
    </row>
    <row r="5604">
      <c r="N5604" s="28"/>
      <c r="O5604" s="28"/>
      <c r="U5604" s="28"/>
    </row>
    <row r="5605">
      <c r="N5605" s="28"/>
      <c r="O5605" s="28"/>
      <c r="U5605" s="28"/>
    </row>
    <row r="5606">
      <c r="N5606" s="28"/>
      <c r="O5606" s="28"/>
      <c r="U5606" s="28"/>
    </row>
    <row r="5607">
      <c r="N5607" s="28"/>
      <c r="O5607" s="28"/>
      <c r="U5607" s="28"/>
    </row>
    <row r="5608">
      <c r="N5608" s="28"/>
      <c r="O5608" s="28"/>
      <c r="U5608" s="28"/>
    </row>
    <row r="5609">
      <c r="N5609" s="28"/>
      <c r="O5609" s="28"/>
      <c r="U5609" s="28"/>
    </row>
    <row r="5610">
      <c r="N5610" s="28"/>
      <c r="O5610" s="28"/>
      <c r="U5610" s="28"/>
    </row>
    <row r="5611">
      <c r="N5611" s="28"/>
      <c r="O5611" s="28"/>
      <c r="U5611" s="28"/>
    </row>
    <row r="5612">
      <c r="N5612" s="28"/>
      <c r="O5612" s="28"/>
      <c r="U5612" s="28"/>
    </row>
    <row r="5613">
      <c r="N5613" s="28"/>
      <c r="O5613" s="28"/>
      <c r="U5613" s="28"/>
    </row>
    <row r="5614">
      <c r="N5614" s="28"/>
      <c r="O5614" s="28"/>
      <c r="U5614" s="28"/>
    </row>
    <row r="5615">
      <c r="N5615" s="28"/>
      <c r="O5615" s="28"/>
      <c r="U5615" s="28"/>
    </row>
    <row r="5616">
      <c r="N5616" s="28"/>
      <c r="O5616" s="28"/>
      <c r="U5616" s="28"/>
    </row>
    <row r="5617">
      <c r="N5617" s="28"/>
      <c r="O5617" s="28"/>
      <c r="U5617" s="28"/>
    </row>
    <row r="5618">
      <c r="N5618" s="28"/>
      <c r="O5618" s="28"/>
      <c r="U5618" s="28"/>
    </row>
    <row r="5619">
      <c r="N5619" s="28"/>
      <c r="O5619" s="28"/>
      <c r="U5619" s="28"/>
    </row>
    <row r="5620">
      <c r="N5620" s="28"/>
      <c r="O5620" s="28"/>
      <c r="U5620" s="28"/>
    </row>
    <row r="5621">
      <c r="N5621" s="28"/>
      <c r="O5621" s="28"/>
      <c r="U5621" s="28"/>
    </row>
    <row r="5622">
      <c r="N5622" s="28"/>
      <c r="O5622" s="28"/>
      <c r="U5622" s="28"/>
    </row>
    <row r="5623">
      <c r="N5623" s="28"/>
      <c r="O5623" s="28"/>
      <c r="U5623" s="28"/>
    </row>
    <row r="5624">
      <c r="N5624" s="28"/>
      <c r="O5624" s="28"/>
      <c r="U5624" s="28"/>
    </row>
    <row r="5625">
      <c r="N5625" s="28"/>
      <c r="O5625" s="28"/>
      <c r="U5625" s="28"/>
    </row>
    <row r="5626">
      <c r="N5626" s="28"/>
      <c r="O5626" s="28"/>
      <c r="U5626" s="28"/>
    </row>
    <row r="5627">
      <c r="N5627" s="28"/>
      <c r="O5627" s="28"/>
      <c r="U5627" s="28"/>
    </row>
    <row r="5628">
      <c r="N5628" s="28"/>
      <c r="O5628" s="28"/>
      <c r="U5628" s="28"/>
    </row>
    <row r="5629">
      <c r="N5629" s="28"/>
      <c r="O5629" s="28"/>
      <c r="U5629" s="28"/>
    </row>
    <row r="5630">
      <c r="N5630" s="28"/>
      <c r="O5630" s="28"/>
      <c r="U5630" s="28"/>
    </row>
    <row r="5631">
      <c r="N5631" s="28"/>
      <c r="O5631" s="28"/>
      <c r="U5631" s="28"/>
    </row>
    <row r="5632">
      <c r="N5632" s="28"/>
      <c r="O5632" s="28"/>
      <c r="U5632" s="28"/>
    </row>
    <row r="5633">
      <c r="N5633" s="28"/>
      <c r="O5633" s="28"/>
      <c r="U5633" s="28"/>
    </row>
    <row r="5634">
      <c r="N5634" s="28"/>
      <c r="O5634" s="28"/>
      <c r="U5634" s="28"/>
    </row>
    <row r="5635">
      <c r="N5635" s="28"/>
      <c r="O5635" s="28"/>
      <c r="U5635" s="28"/>
    </row>
    <row r="5636">
      <c r="N5636" s="28"/>
      <c r="O5636" s="28"/>
      <c r="U5636" s="28"/>
    </row>
    <row r="5637">
      <c r="N5637" s="28"/>
      <c r="O5637" s="28"/>
      <c r="U5637" s="28"/>
    </row>
    <row r="5638">
      <c r="N5638" s="28"/>
      <c r="O5638" s="28"/>
      <c r="U5638" s="28"/>
    </row>
    <row r="5639">
      <c r="N5639" s="28"/>
      <c r="O5639" s="28"/>
      <c r="U5639" s="28"/>
    </row>
    <row r="5640">
      <c r="N5640" s="28"/>
      <c r="O5640" s="28"/>
      <c r="U5640" s="28"/>
    </row>
    <row r="5641">
      <c r="N5641" s="28"/>
      <c r="O5641" s="28"/>
      <c r="U5641" s="28"/>
    </row>
    <row r="5642">
      <c r="N5642" s="28"/>
      <c r="O5642" s="28"/>
      <c r="U5642" s="28"/>
    </row>
    <row r="5643">
      <c r="N5643" s="28"/>
      <c r="O5643" s="28"/>
      <c r="U5643" s="28"/>
    </row>
    <row r="5644">
      <c r="N5644" s="28"/>
      <c r="O5644" s="28"/>
      <c r="U5644" s="28"/>
    </row>
    <row r="5645">
      <c r="N5645" s="28"/>
      <c r="O5645" s="28"/>
      <c r="U5645" s="28"/>
    </row>
    <row r="5646">
      <c r="N5646" s="28"/>
      <c r="O5646" s="28"/>
      <c r="U5646" s="28"/>
    </row>
    <row r="5647">
      <c r="N5647" s="28"/>
      <c r="O5647" s="28"/>
      <c r="U5647" s="28"/>
    </row>
    <row r="5648">
      <c r="N5648" s="28"/>
      <c r="O5648" s="28"/>
      <c r="U5648" s="28"/>
    </row>
    <row r="5649">
      <c r="N5649" s="28"/>
      <c r="O5649" s="28"/>
      <c r="U5649" s="28"/>
    </row>
    <row r="5650">
      <c r="N5650" s="28"/>
      <c r="O5650" s="28"/>
      <c r="U5650" s="28"/>
    </row>
    <row r="5651">
      <c r="N5651" s="28"/>
      <c r="O5651" s="28"/>
      <c r="U5651" s="28"/>
    </row>
    <row r="5652">
      <c r="N5652" s="28"/>
      <c r="O5652" s="28"/>
      <c r="U5652" s="28"/>
    </row>
    <row r="5653">
      <c r="N5653" s="28"/>
      <c r="O5653" s="28"/>
      <c r="U5653" s="28"/>
    </row>
    <row r="5654">
      <c r="N5654" s="28"/>
      <c r="O5654" s="28"/>
      <c r="U5654" s="28"/>
    </row>
    <row r="5655">
      <c r="N5655" s="28"/>
      <c r="O5655" s="28"/>
      <c r="U5655" s="28"/>
    </row>
    <row r="5656">
      <c r="N5656" s="28"/>
      <c r="O5656" s="28"/>
      <c r="U5656" s="28"/>
    </row>
    <row r="5657">
      <c r="N5657" s="28"/>
      <c r="O5657" s="28"/>
      <c r="U5657" s="28"/>
    </row>
    <row r="5658">
      <c r="N5658" s="28"/>
      <c r="O5658" s="28"/>
      <c r="U5658" s="28"/>
    </row>
    <row r="5659">
      <c r="N5659" s="28"/>
      <c r="O5659" s="28"/>
      <c r="U5659" s="28"/>
    </row>
    <row r="5660">
      <c r="N5660" s="28"/>
      <c r="O5660" s="28"/>
      <c r="U5660" s="28"/>
    </row>
    <row r="5661">
      <c r="N5661" s="28"/>
      <c r="O5661" s="28"/>
      <c r="U5661" s="28"/>
    </row>
    <row r="5662">
      <c r="N5662" s="28"/>
      <c r="O5662" s="28"/>
      <c r="U5662" s="28"/>
    </row>
    <row r="5663">
      <c r="N5663" s="28"/>
      <c r="O5663" s="28"/>
      <c r="U5663" s="28"/>
    </row>
    <row r="5664">
      <c r="N5664" s="28"/>
      <c r="O5664" s="28"/>
      <c r="U5664" s="28"/>
    </row>
    <row r="5665">
      <c r="N5665" s="28"/>
      <c r="O5665" s="28"/>
      <c r="U5665" s="28"/>
    </row>
    <row r="5666">
      <c r="N5666" s="28"/>
      <c r="O5666" s="28"/>
      <c r="U5666" s="28"/>
    </row>
    <row r="5667">
      <c r="N5667" s="28"/>
      <c r="O5667" s="28"/>
      <c r="U5667" s="28"/>
    </row>
    <row r="5668">
      <c r="N5668" s="28"/>
      <c r="O5668" s="28"/>
      <c r="U5668" s="28"/>
    </row>
    <row r="5669">
      <c r="N5669" s="28"/>
      <c r="O5669" s="28"/>
      <c r="U5669" s="28"/>
    </row>
    <row r="5670">
      <c r="N5670" s="28"/>
      <c r="O5670" s="28"/>
      <c r="U5670" s="28"/>
    </row>
    <row r="5671">
      <c r="N5671" s="28"/>
      <c r="O5671" s="28"/>
      <c r="U5671" s="28"/>
    </row>
    <row r="5672">
      <c r="N5672" s="28"/>
      <c r="O5672" s="28"/>
      <c r="U5672" s="28"/>
    </row>
    <row r="5673">
      <c r="N5673" s="28"/>
      <c r="O5673" s="28"/>
      <c r="U5673" s="28"/>
    </row>
    <row r="5674">
      <c r="N5674" s="28"/>
      <c r="O5674" s="28"/>
      <c r="U5674" s="28"/>
    </row>
    <row r="5675">
      <c r="N5675" s="28"/>
      <c r="O5675" s="28"/>
      <c r="U5675" s="28"/>
    </row>
    <row r="5676">
      <c r="N5676" s="28"/>
      <c r="O5676" s="28"/>
      <c r="U5676" s="28"/>
    </row>
    <row r="5677">
      <c r="N5677" s="28"/>
      <c r="O5677" s="28"/>
      <c r="U5677" s="28"/>
    </row>
    <row r="5678">
      <c r="N5678" s="28"/>
      <c r="O5678" s="28"/>
      <c r="U5678" s="28"/>
    </row>
    <row r="5679">
      <c r="N5679" s="28"/>
      <c r="O5679" s="28"/>
      <c r="U5679" s="28"/>
    </row>
    <row r="5680">
      <c r="N5680" s="28"/>
      <c r="O5680" s="28"/>
      <c r="U5680" s="28"/>
    </row>
    <row r="5681">
      <c r="N5681" s="28"/>
      <c r="O5681" s="28"/>
      <c r="U5681" s="28"/>
    </row>
    <row r="5682">
      <c r="N5682" s="28"/>
      <c r="O5682" s="28"/>
      <c r="U5682" s="28"/>
    </row>
    <row r="5683">
      <c r="N5683" s="28"/>
      <c r="O5683" s="28"/>
      <c r="U5683" s="28"/>
    </row>
    <row r="5684">
      <c r="N5684" s="28"/>
      <c r="O5684" s="28"/>
      <c r="U5684" s="28"/>
    </row>
    <row r="5685">
      <c r="N5685" s="28"/>
      <c r="O5685" s="28"/>
      <c r="U5685" s="28"/>
    </row>
    <row r="5686">
      <c r="N5686" s="28"/>
      <c r="O5686" s="28"/>
      <c r="U5686" s="28"/>
    </row>
    <row r="5687">
      <c r="N5687" s="28"/>
      <c r="O5687" s="28"/>
      <c r="U5687" s="28"/>
    </row>
    <row r="5688">
      <c r="N5688" s="28"/>
      <c r="O5688" s="28"/>
      <c r="U5688" s="28"/>
    </row>
    <row r="5689">
      <c r="N5689" s="28"/>
      <c r="O5689" s="28"/>
      <c r="U5689" s="28"/>
    </row>
    <row r="5690">
      <c r="N5690" s="28"/>
      <c r="O5690" s="28"/>
      <c r="U5690" s="28"/>
    </row>
    <row r="5691">
      <c r="N5691" s="28"/>
      <c r="O5691" s="28"/>
      <c r="U5691" s="28"/>
    </row>
    <row r="5692">
      <c r="N5692" s="28"/>
      <c r="O5692" s="28"/>
      <c r="U5692" s="28"/>
    </row>
    <row r="5693">
      <c r="N5693" s="28"/>
      <c r="O5693" s="28"/>
      <c r="U5693" s="28"/>
    </row>
    <row r="5694">
      <c r="N5694" s="28"/>
      <c r="O5694" s="28"/>
      <c r="U5694" s="28"/>
    </row>
    <row r="5695">
      <c r="N5695" s="28"/>
      <c r="O5695" s="28"/>
      <c r="U5695" s="28"/>
    </row>
    <row r="5696">
      <c r="N5696" s="28"/>
      <c r="O5696" s="28"/>
      <c r="U5696" s="28"/>
    </row>
    <row r="5697">
      <c r="N5697" s="28"/>
      <c r="O5697" s="28"/>
      <c r="U5697" s="28"/>
    </row>
    <row r="5698">
      <c r="N5698" s="28"/>
      <c r="O5698" s="28"/>
      <c r="U5698" s="28"/>
    </row>
    <row r="5699">
      <c r="N5699" s="28"/>
      <c r="O5699" s="28"/>
      <c r="U5699" s="28"/>
    </row>
    <row r="5700">
      <c r="N5700" s="28"/>
      <c r="O5700" s="28"/>
      <c r="U5700" s="28"/>
    </row>
    <row r="5701">
      <c r="N5701" s="28"/>
      <c r="O5701" s="28"/>
      <c r="U5701" s="28"/>
    </row>
    <row r="5702">
      <c r="N5702" s="28"/>
      <c r="O5702" s="28"/>
      <c r="U5702" s="28"/>
    </row>
    <row r="5703">
      <c r="N5703" s="28"/>
      <c r="O5703" s="28"/>
      <c r="U5703" s="28"/>
    </row>
    <row r="5704">
      <c r="N5704" s="28"/>
      <c r="O5704" s="28"/>
      <c r="U5704" s="28"/>
    </row>
    <row r="5705">
      <c r="N5705" s="28"/>
      <c r="O5705" s="28"/>
      <c r="U5705" s="28"/>
    </row>
    <row r="5706">
      <c r="N5706" s="28"/>
      <c r="O5706" s="28"/>
      <c r="U5706" s="28"/>
    </row>
    <row r="5707">
      <c r="N5707" s="28"/>
      <c r="O5707" s="28"/>
      <c r="U5707" s="28"/>
    </row>
    <row r="5708">
      <c r="N5708" s="28"/>
      <c r="O5708" s="28"/>
      <c r="U5708" s="28"/>
    </row>
    <row r="5709">
      <c r="N5709" s="28"/>
      <c r="O5709" s="28"/>
      <c r="U5709" s="28"/>
    </row>
    <row r="5710">
      <c r="N5710" s="28"/>
      <c r="O5710" s="28"/>
      <c r="U5710" s="28"/>
    </row>
    <row r="5711">
      <c r="N5711" s="28"/>
      <c r="O5711" s="28"/>
      <c r="U5711" s="28"/>
    </row>
    <row r="5712">
      <c r="N5712" s="28"/>
      <c r="O5712" s="28"/>
      <c r="U5712" s="28"/>
    </row>
    <row r="5713">
      <c r="N5713" s="28"/>
      <c r="O5713" s="28"/>
      <c r="U5713" s="28"/>
    </row>
    <row r="5714">
      <c r="N5714" s="28"/>
      <c r="O5714" s="28"/>
      <c r="U5714" s="28"/>
    </row>
    <row r="5715">
      <c r="N5715" s="28"/>
      <c r="O5715" s="28"/>
      <c r="U5715" s="28"/>
    </row>
    <row r="5716">
      <c r="N5716" s="28"/>
      <c r="O5716" s="28"/>
      <c r="U5716" s="28"/>
    </row>
    <row r="5717">
      <c r="N5717" s="28"/>
      <c r="O5717" s="28"/>
      <c r="U5717" s="28"/>
    </row>
    <row r="5718">
      <c r="N5718" s="28"/>
      <c r="O5718" s="28"/>
      <c r="U5718" s="28"/>
    </row>
    <row r="5719">
      <c r="N5719" s="28"/>
      <c r="O5719" s="28"/>
      <c r="U5719" s="28"/>
    </row>
    <row r="5720">
      <c r="N5720" s="28"/>
      <c r="O5720" s="28"/>
      <c r="U5720" s="28"/>
    </row>
    <row r="5721">
      <c r="N5721" s="28"/>
      <c r="O5721" s="28"/>
      <c r="U5721" s="28"/>
    </row>
    <row r="5722">
      <c r="N5722" s="28"/>
      <c r="O5722" s="28"/>
      <c r="U5722" s="28"/>
    </row>
    <row r="5723">
      <c r="N5723" s="28"/>
      <c r="O5723" s="28"/>
      <c r="U5723" s="28"/>
    </row>
    <row r="5724">
      <c r="N5724" s="28"/>
      <c r="O5724" s="28"/>
      <c r="U5724" s="28"/>
    </row>
    <row r="5725">
      <c r="N5725" s="28"/>
      <c r="O5725" s="28"/>
      <c r="U5725" s="28"/>
    </row>
    <row r="5726">
      <c r="N5726" s="28"/>
      <c r="O5726" s="28"/>
      <c r="U5726" s="28"/>
    </row>
    <row r="5727">
      <c r="N5727" s="28"/>
      <c r="O5727" s="28"/>
      <c r="U5727" s="28"/>
    </row>
    <row r="5728">
      <c r="N5728" s="28"/>
      <c r="O5728" s="28"/>
      <c r="U5728" s="28"/>
    </row>
    <row r="5729">
      <c r="N5729" s="28"/>
      <c r="O5729" s="28"/>
      <c r="U5729" s="28"/>
    </row>
    <row r="5730">
      <c r="N5730" s="28"/>
      <c r="O5730" s="28"/>
      <c r="U5730" s="28"/>
    </row>
    <row r="5731">
      <c r="N5731" s="28"/>
      <c r="O5731" s="28"/>
      <c r="U5731" s="28"/>
    </row>
    <row r="5732">
      <c r="N5732" s="28"/>
      <c r="O5732" s="28"/>
      <c r="U5732" s="28"/>
    </row>
    <row r="5733">
      <c r="N5733" s="28"/>
      <c r="O5733" s="28"/>
      <c r="U5733" s="28"/>
    </row>
    <row r="5734">
      <c r="N5734" s="28"/>
      <c r="O5734" s="28"/>
      <c r="U5734" s="28"/>
    </row>
    <row r="5735">
      <c r="N5735" s="28"/>
      <c r="O5735" s="28"/>
      <c r="U5735" s="28"/>
    </row>
    <row r="5736">
      <c r="N5736" s="28"/>
      <c r="O5736" s="28"/>
      <c r="U5736" s="28"/>
    </row>
    <row r="5737">
      <c r="N5737" s="28"/>
      <c r="O5737" s="28"/>
      <c r="U5737" s="28"/>
    </row>
    <row r="5738">
      <c r="N5738" s="28"/>
      <c r="O5738" s="28"/>
      <c r="U5738" s="28"/>
    </row>
    <row r="5739">
      <c r="N5739" s="28"/>
      <c r="O5739" s="28"/>
      <c r="U5739" s="28"/>
    </row>
    <row r="5740">
      <c r="N5740" s="28"/>
      <c r="O5740" s="28"/>
      <c r="U5740" s="28"/>
    </row>
    <row r="5741">
      <c r="N5741" s="28"/>
      <c r="O5741" s="28"/>
      <c r="U5741" s="28"/>
    </row>
    <row r="5742">
      <c r="N5742" s="28"/>
      <c r="O5742" s="28"/>
      <c r="U5742" s="28"/>
    </row>
    <row r="5743">
      <c r="N5743" s="28"/>
      <c r="O5743" s="28"/>
      <c r="U5743" s="28"/>
    </row>
    <row r="5744">
      <c r="N5744" s="28"/>
      <c r="O5744" s="28"/>
      <c r="U5744" s="28"/>
    </row>
    <row r="5745">
      <c r="N5745" s="28"/>
      <c r="O5745" s="28"/>
      <c r="U5745" s="28"/>
    </row>
    <row r="5746">
      <c r="N5746" s="28"/>
      <c r="O5746" s="28"/>
      <c r="U5746" s="28"/>
    </row>
    <row r="5747">
      <c r="N5747" s="28"/>
      <c r="O5747" s="28"/>
      <c r="U5747" s="28"/>
    </row>
    <row r="5748">
      <c r="N5748" s="28"/>
      <c r="O5748" s="28"/>
      <c r="U5748" s="28"/>
    </row>
    <row r="5749">
      <c r="N5749" s="28"/>
      <c r="O5749" s="28"/>
      <c r="U5749" s="28"/>
    </row>
    <row r="5750">
      <c r="N5750" s="28"/>
      <c r="O5750" s="28"/>
      <c r="U5750" s="28"/>
    </row>
    <row r="5751">
      <c r="N5751" s="28"/>
      <c r="O5751" s="28"/>
      <c r="U5751" s="28"/>
    </row>
    <row r="5752">
      <c r="N5752" s="28"/>
      <c r="O5752" s="28"/>
      <c r="U5752" s="28"/>
    </row>
    <row r="5753">
      <c r="N5753" s="28"/>
      <c r="O5753" s="28"/>
      <c r="U5753" s="28"/>
    </row>
    <row r="5754">
      <c r="N5754" s="28"/>
      <c r="O5754" s="28"/>
      <c r="U5754" s="28"/>
    </row>
    <row r="5755">
      <c r="N5755" s="28"/>
      <c r="O5755" s="28"/>
      <c r="U5755" s="28"/>
    </row>
    <row r="5756">
      <c r="N5756" s="28"/>
      <c r="O5756" s="28"/>
      <c r="U5756" s="28"/>
    </row>
    <row r="5757">
      <c r="N5757" s="28"/>
      <c r="O5757" s="28"/>
      <c r="U5757" s="28"/>
    </row>
    <row r="5758">
      <c r="N5758" s="28"/>
      <c r="O5758" s="28"/>
      <c r="U5758" s="28"/>
    </row>
    <row r="5759">
      <c r="N5759" s="28"/>
      <c r="O5759" s="28"/>
      <c r="U5759" s="28"/>
    </row>
    <row r="5760">
      <c r="N5760" s="28"/>
      <c r="O5760" s="28"/>
      <c r="U5760" s="28"/>
    </row>
    <row r="5761">
      <c r="N5761" s="28"/>
      <c r="O5761" s="28"/>
      <c r="U5761" s="28"/>
    </row>
    <row r="5762">
      <c r="N5762" s="28"/>
      <c r="O5762" s="28"/>
      <c r="U5762" s="28"/>
    </row>
    <row r="5763">
      <c r="N5763" s="28"/>
      <c r="O5763" s="28"/>
      <c r="U5763" s="28"/>
    </row>
    <row r="5764">
      <c r="N5764" s="28"/>
      <c r="O5764" s="28"/>
      <c r="U5764" s="28"/>
    </row>
    <row r="5765">
      <c r="N5765" s="28"/>
      <c r="O5765" s="28"/>
      <c r="U5765" s="28"/>
    </row>
    <row r="5766">
      <c r="N5766" s="28"/>
      <c r="O5766" s="28"/>
      <c r="U5766" s="28"/>
    </row>
    <row r="5767">
      <c r="N5767" s="28"/>
      <c r="O5767" s="28"/>
      <c r="U5767" s="28"/>
    </row>
    <row r="5768">
      <c r="N5768" s="28"/>
      <c r="O5768" s="28"/>
      <c r="U5768" s="28"/>
    </row>
    <row r="5769">
      <c r="N5769" s="28"/>
      <c r="O5769" s="28"/>
      <c r="U5769" s="28"/>
    </row>
    <row r="5770">
      <c r="N5770" s="28"/>
      <c r="O5770" s="28"/>
      <c r="U5770" s="28"/>
    </row>
    <row r="5771">
      <c r="N5771" s="28"/>
      <c r="O5771" s="28"/>
      <c r="U5771" s="28"/>
    </row>
    <row r="5772">
      <c r="N5772" s="28"/>
      <c r="O5772" s="28"/>
      <c r="U5772" s="28"/>
    </row>
    <row r="5773">
      <c r="N5773" s="28"/>
      <c r="O5773" s="28"/>
      <c r="U5773" s="28"/>
    </row>
    <row r="5774">
      <c r="N5774" s="28"/>
      <c r="O5774" s="28"/>
      <c r="U5774" s="28"/>
    </row>
    <row r="5775">
      <c r="N5775" s="28"/>
      <c r="O5775" s="28"/>
      <c r="U5775" s="28"/>
    </row>
    <row r="5776">
      <c r="N5776" s="28"/>
      <c r="O5776" s="28"/>
      <c r="U5776" s="28"/>
    </row>
    <row r="5777">
      <c r="N5777" s="28"/>
      <c r="O5777" s="28"/>
      <c r="U5777" s="28"/>
    </row>
    <row r="5778">
      <c r="N5778" s="28"/>
      <c r="O5778" s="28"/>
      <c r="U5778" s="28"/>
    </row>
    <row r="5779">
      <c r="N5779" s="28"/>
      <c r="O5779" s="28"/>
      <c r="U5779" s="28"/>
    </row>
    <row r="5780">
      <c r="N5780" s="28"/>
      <c r="O5780" s="28"/>
      <c r="U5780" s="28"/>
    </row>
    <row r="5781">
      <c r="N5781" s="28"/>
      <c r="O5781" s="28"/>
      <c r="U5781" s="28"/>
    </row>
    <row r="5782">
      <c r="N5782" s="28"/>
      <c r="O5782" s="28"/>
      <c r="U5782" s="28"/>
    </row>
    <row r="5783">
      <c r="N5783" s="28"/>
      <c r="O5783" s="28"/>
      <c r="U5783" s="28"/>
    </row>
    <row r="5784">
      <c r="N5784" s="28"/>
      <c r="O5784" s="28"/>
      <c r="U5784" s="28"/>
    </row>
    <row r="5785">
      <c r="N5785" s="28"/>
      <c r="O5785" s="28"/>
      <c r="U5785" s="28"/>
    </row>
    <row r="5786">
      <c r="N5786" s="28"/>
      <c r="O5786" s="28"/>
      <c r="U5786" s="28"/>
    </row>
    <row r="5787">
      <c r="N5787" s="28"/>
      <c r="O5787" s="28"/>
      <c r="U5787" s="28"/>
    </row>
    <row r="5788">
      <c r="N5788" s="28"/>
      <c r="O5788" s="28"/>
      <c r="U5788" s="28"/>
    </row>
    <row r="5789">
      <c r="N5789" s="28"/>
      <c r="O5789" s="28"/>
      <c r="U5789" s="28"/>
    </row>
    <row r="5790">
      <c r="N5790" s="28"/>
      <c r="O5790" s="28"/>
      <c r="U5790" s="28"/>
    </row>
    <row r="5791">
      <c r="N5791" s="28"/>
      <c r="O5791" s="28"/>
      <c r="U5791" s="28"/>
    </row>
    <row r="5792">
      <c r="N5792" s="28"/>
      <c r="O5792" s="28"/>
      <c r="U5792" s="28"/>
    </row>
    <row r="5793">
      <c r="N5793" s="28"/>
      <c r="O5793" s="28"/>
      <c r="U5793" s="28"/>
    </row>
    <row r="5794">
      <c r="N5794" s="28"/>
      <c r="O5794" s="28"/>
      <c r="U5794" s="28"/>
    </row>
    <row r="5795">
      <c r="N5795" s="28"/>
      <c r="O5795" s="28"/>
      <c r="U5795" s="28"/>
    </row>
    <row r="5796">
      <c r="N5796" s="28"/>
      <c r="O5796" s="28"/>
      <c r="U5796" s="28"/>
    </row>
    <row r="5797">
      <c r="N5797" s="28"/>
      <c r="O5797" s="28"/>
      <c r="U5797" s="28"/>
    </row>
    <row r="5798">
      <c r="N5798" s="28"/>
      <c r="O5798" s="28"/>
      <c r="U5798" s="28"/>
    </row>
    <row r="5799">
      <c r="N5799" s="28"/>
      <c r="O5799" s="28"/>
      <c r="U5799" s="28"/>
    </row>
    <row r="5800">
      <c r="N5800" s="28"/>
      <c r="O5800" s="28"/>
      <c r="U5800" s="28"/>
    </row>
    <row r="5801">
      <c r="N5801" s="28"/>
      <c r="O5801" s="28"/>
      <c r="U5801" s="28"/>
    </row>
    <row r="5802">
      <c r="N5802" s="28"/>
      <c r="O5802" s="28"/>
      <c r="U5802" s="28"/>
    </row>
    <row r="5803">
      <c r="N5803" s="28"/>
      <c r="O5803" s="28"/>
      <c r="U5803" s="28"/>
    </row>
    <row r="5804">
      <c r="N5804" s="28"/>
      <c r="O5804" s="28"/>
      <c r="U5804" s="28"/>
    </row>
    <row r="5805">
      <c r="N5805" s="28"/>
      <c r="O5805" s="28"/>
      <c r="U5805" s="28"/>
    </row>
    <row r="5806">
      <c r="N5806" s="28"/>
      <c r="O5806" s="28"/>
      <c r="U5806" s="28"/>
    </row>
    <row r="5807">
      <c r="N5807" s="28"/>
      <c r="O5807" s="28"/>
      <c r="U5807" s="28"/>
    </row>
    <row r="5808">
      <c r="N5808" s="28"/>
      <c r="O5808" s="28"/>
      <c r="U5808" s="28"/>
    </row>
    <row r="5809">
      <c r="N5809" s="28"/>
      <c r="O5809" s="28"/>
      <c r="U5809" s="28"/>
    </row>
    <row r="5810">
      <c r="N5810" s="28"/>
      <c r="O5810" s="28"/>
      <c r="U5810" s="28"/>
    </row>
    <row r="5811">
      <c r="N5811" s="28"/>
      <c r="O5811" s="28"/>
      <c r="U5811" s="28"/>
    </row>
    <row r="5812">
      <c r="N5812" s="28"/>
      <c r="O5812" s="28"/>
      <c r="U5812" s="28"/>
    </row>
    <row r="5813">
      <c r="N5813" s="28"/>
      <c r="O5813" s="28"/>
      <c r="U5813" s="28"/>
    </row>
    <row r="5814">
      <c r="N5814" s="28"/>
      <c r="O5814" s="28"/>
      <c r="U5814" s="28"/>
    </row>
    <row r="5815">
      <c r="N5815" s="28"/>
      <c r="O5815" s="28"/>
      <c r="U5815" s="28"/>
    </row>
    <row r="5816">
      <c r="N5816" s="28"/>
      <c r="O5816" s="28"/>
      <c r="U5816" s="28"/>
    </row>
    <row r="5817">
      <c r="N5817" s="28"/>
      <c r="O5817" s="28"/>
      <c r="U5817" s="28"/>
    </row>
    <row r="5818">
      <c r="N5818" s="28"/>
      <c r="O5818" s="28"/>
      <c r="U5818" s="28"/>
    </row>
    <row r="5819">
      <c r="N5819" s="28"/>
      <c r="O5819" s="28"/>
      <c r="U5819" s="28"/>
    </row>
    <row r="5820">
      <c r="N5820" s="28"/>
      <c r="O5820" s="28"/>
      <c r="U5820" s="28"/>
    </row>
    <row r="5821">
      <c r="N5821" s="28"/>
      <c r="O5821" s="28"/>
      <c r="U5821" s="28"/>
    </row>
    <row r="5822">
      <c r="N5822" s="28"/>
      <c r="O5822" s="28"/>
      <c r="U5822" s="28"/>
    </row>
    <row r="5823">
      <c r="N5823" s="28"/>
      <c r="O5823" s="28"/>
      <c r="U5823" s="28"/>
    </row>
    <row r="5824">
      <c r="N5824" s="28"/>
      <c r="O5824" s="28"/>
      <c r="U5824" s="28"/>
    </row>
    <row r="5825">
      <c r="N5825" s="28"/>
      <c r="O5825" s="28"/>
      <c r="U5825" s="28"/>
    </row>
    <row r="5826">
      <c r="N5826" s="28"/>
      <c r="O5826" s="28"/>
      <c r="U5826" s="28"/>
    </row>
    <row r="5827">
      <c r="N5827" s="28"/>
      <c r="O5827" s="28"/>
      <c r="U5827" s="28"/>
    </row>
    <row r="5828">
      <c r="N5828" s="28"/>
      <c r="O5828" s="28"/>
      <c r="U5828" s="28"/>
    </row>
    <row r="5829">
      <c r="N5829" s="28"/>
      <c r="O5829" s="28"/>
      <c r="U5829" s="28"/>
    </row>
    <row r="5830">
      <c r="N5830" s="28"/>
      <c r="O5830" s="28"/>
      <c r="U5830" s="28"/>
    </row>
    <row r="5831">
      <c r="N5831" s="28"/>
      <c r="O5831" s="28"/>
      <c r="U5831" s="28"/>
    </row>
    <row r="5832">
      <c r="N5832" s="28"/>
      <c r="O5832" s="28"/>
      <c r="U5832" s="28"/>
    </row>
    <row r="5833">
      <c r="N5833" s="28"/>
      <c r="O5833" s="28"/>
      <c r="U5833" s="28"/>
    </row>
    <row r="5834">
      <c r="N5834" s="28"/>
      <c r="O5834" s="28"/>
      <c r="U5834" s="28"/>
    </row>
    <row r="5835">
      <c r="N5835" s="28"/>
      <c r="O5835" s="28"/>
      <c r="U5835" s="28"/>
    </row>
    <row r="5836">
      <c r="N5836" s="28"/>
      <c r="O5836" s="28"/>
      <c r="U5836" s="28"/>
    </row>
    <row r="5837">
      <c r="N5837" s="28"/>
      <c r="O5837" s="28"/>
      <c r="U5837" s="28"/>
    </row>
    <row r="5838">
      <c r="N5838" s="28"/>
      <c r="O5838" s="28"/>
      <c r="U5838" s="28"/>
    </row>
    <row r="5839">
      <c r="N5839" s="28"/>
      <c r="O5839" s="28"/>
      <c r="U5839" s="28"/>
    </row>
    <row r="5840">
      <c r="N5840" s="28"/>
      <c r="O5840" s="28"/>
      <c r="U5840" s="28"/>
    </row>
    <row r="5841">
      <c r="N5841" s="28"/>
      <c r="O5841" s="28"/>
      <c r="U5841" s="28"/>
    </row>
    <row r="5842">
      <c r="N5842" s="28"/>
      <c r="O5842" s="28"/>
      <c r="U5842" s="28"/>
    </row>
    <row r="5843">
      <c r="N5843" s="28"/>
      <c r="O5843" s="28"/>
      <c r="U5843" s="28"/>
    </row>
    <row r="5844">
      <c r="N5844" s="28"/>
      <c r="O5844" s="28"/>
      <c r="U5844" s="28"/>
    </row>
    <row r="5845">
      <c r="N5845" s="28"/>
      <c r="O5845" s="28"/>
      <c r="U5845" s="28"/>
    </row>
    <row r="5846">
      <c r="N5846" s="28"/>
      <c r="O5846" s="28"/>
      <c r="U5846" s="28"/>
    </row>
    <row r="5847">
      <c r="N5847" s="28"/>
      <c r="O5847" s="28"/>
      <c r="U5847" s="28"/>
    </row>
    <row r="5848">
      <c r="N5848" s="28"/>
      <c r="O5848" s="28"/>
      <c r="U5848" s="28"/>
    </row>
    <row r="5849">
      <c r="N5849" s="28"/>
      <c r="O5849" s="28"/>
      <c r="U5849" s="28"/>
    </row>
    <row r="5850">
      <c r="N5850" s="28"/>
      <c r="O5850" s="28"/>
      <c r="U5850" s="28"/>
    </row>
    <row r="5851">
      <c r="N5851" s="28"/>
      <c r="O5851" s="28"/>
      <c r="U5851" s="28"/>
    </row>
    <row r="5852">
      <c r="N5852" s="28"/>
      <c r="O5852" s="28"/>
      <c r="U5852" s="28"/>
    </row>
    <row r="5853">
      <c r="N5853" s="28"/>
      <c r="O5853" s="28"/>
      <c r="U5853" s="28"/>
    </row>
    <row r="5854">
      <c r="N5854" s="28"/>
      <c r="O5854" s="28"/>
      <c r="U5854" s="28"/>
    </row>
    <row r="5855">
      <c r="N5855" s="28"/>
      <c r="O5855" s="28"/>
      <c r="U5855" s="28"/>
    </row>
    <row r="5856">
      <c r="N5856" s="28"/>
      <c r="O5856" s="28"/>
      <c r="U5856" s="28"/>
    </row>
    <row r="5857">
      <c r="N5857" s="28"/>
      <c r="O5857" s="28"/>
      <c r="U5857" s="28"/>
    </row>
    <row r="5858">
      <c r="N5858" s="28"/>
      <c r="O5858" s="28"/>
      <c r="U5858" s="28"/>
    </row>
    <row r="5859">
      <c r="N5859" s="28"/>
      <c r="O5859" s="28"/>
      <c r="U5859" s="28"/>
    </row>
    <row r="5860">
      <c r="N5860" s="28"/>
      <c r="O5860" s="28"/>
      <c r="U5860" s="28"/>
    </row>
    <row r="5861">
      <c r="N5861" s="28"/>
      <c r="O5861" s="28"/>
      <c r="U5861" s="28"/>
    </row>
    <row r="5862">
      <c r="N5862" s="28"/>
      <c r="O5862" s="28"/>
      <c r="U5862" s="28"/>
    </row>
    <row r="5863">
      <c r="N5863" s="28"/>
      <c r="O5863" s="28"/>
      <c r="U5863" s="28"/>
    </row>
    <row r="5864">
      <c r="N5864" s="28"/>
      <c r="O5864" s="28"/>
      <c r="U5864" s="28"/>
    </row>
    <row r="5865">
      <c r="N5865" s="28"/>
      <c r="O5865" s="28"/>
      <c r="U5865" s="28"/>
    </row>
    <row r="5866">
      <c r="N5866" s="28"/>
      <c r="O5866" s="28"/>
      <c r="U5866" s="28"/>
    </row>
    <row r="5867">
      <c r="N5867" s="28"/>
      <c r="O5867" s="28"/>
      <c r="U5867" s="28"/>
    </row>
    <row r="5868">
      <c r="N5868" s="28"/>
      <c r="O5868" s="28"/>
      <c r="U5868" s="28"/>
    </row>
    <row r="5869">
      <c r="N5869" s="28"/>
      <c r="O5869" s="28"/>
      <c r="U5869" s="28"/>
    </row>
    <row r="5870">
      <c r="N5870" s="28"/>
      <c r="O5870" s="28"/>
      <c r="U5870" s="28"/>
    </row>
    <row r="5871">
      <c r="N5871" s="28"/>
      <c r="O5871" s="28"/>
      <c r="U5871" s="28"/>
    </row>
    <row r="5872">
      <c r="N5872" s="28"/>
      <c r="O5872" s="28"/>
      <c r="U5872" s="28"/>
    </row>
    <row r="5873">
      <c r="N5873" s="28"/>
      <c r="O5873" s="28"/>
      <c r="U5873" s="28"/>
    </row>
    <row r="5874">
      <c r="N5874" s="28"/>
      <c r="O5874" s="28"/>
      <c r="U5874" s="28"/>
    </row>
    <row r="5875">
      <c r="N5875" s="28"/>
      <c r="O5875" s="28"/>
      <c r="U5875" s="28"/>
    </row>
    <row r="5876">
      <c r="N5876" s="28"/>
      <c r="O5876" s="28"/>
      <c r="U5876" s="28"/>
    </row>
    <row r="5877">
      <c r="N5877" s="28"/>
      <c r="O5877" s="28"/>
      <c r="U5877" s="28"/>
    </row>
    <row r="5878">
      <c r="N5878" s="28"/>
      <c r="O5878" s="28"/>
      <c r="U5878" s="28"/>
    </row>
    <row r="5879">
      <c r="N5879" s="28"/>
      <c r="O5879" s="28"/>
      <c r="U5879" s="28"/>
    </row>
    <row r="5880">
      <c r="N5880" s="28"/>
      <c r="O5880" s="28"/>
      <c r="U5880" s="28"/>
    </row>
    <row r="5881">
      <c r="N5881" s="28"/>
      <c r="O5881" s="28"/>
      <c r="U5881" s="28"/>
    </row>
    <row r="5882">
      <c r="N5882" s="28"/>
      <c r="O5882" s="28"/>
      <c r="U5882" s="28"/>
    </row>
    <row r="5883">
      <c r="N5883" s="28"/>
      <c r="O5883" s="28"/>
      <c r="U5883" s="28"/>
    </row>
    <row r="5884">
      <c r="N5884" s="28"/>
      <c r="O5884" s="28"/>
      <c r="U5884" s="28"/>
    </row>
    <row r="5885">
      <c r="N5885" s="28"/>
      <c r="O5885" s="28"/>
      <c r="U5885" s="28"/>
    </row>
    <row r="5886">
      <c r="N5886" s="28"/>
      <c r="O5886" s="28"/>
      <c r="U5886" s="28"/>
    </row>
    <row r="5887">
      <c r="N5887" s="28"/>
      <c r="O5887" s="28"/>
      <c r="U5887" s="28"/>
    </row>
    <row r="5888">
      <c r="N5888" s="28"/>
      <c r="O5888" s="28"/>
      <c r="U5888" s="28"/>
    </row>
    <row r="5889">
      <c r="N5889" s="28"/>
      <c r="O5889" s="28"/>
      <c r="U5889" s="28"/>
    </row>
    <row r="5890">
      <c r="N5890" s="28"/>
      <c r="O5890" s="28"/>
      <c r="U5890" s="28"/>
    </row>
    <row r="5891">
      <c r="N5891" s="28"/>
      <c r="O5891" s="28"/>
      <c r="U5891" s="28"/>
    </row>
    <row r="5892">
      <c r="N5892" s="28"/>
      <c r="O5892" s="28"/>
      <c r="U5892" s="28"/>
    </row>
    <row r="5893">
      <c r="N5893" s="28"/>
      <c r="O5893" s="28"/>
      <c r="U5893" s="28"/>
    </row>
    <row r="5894">
      <c r="N5894" s="28"/>
      <c r="O5894" s="28"/>
      <c r="U5894" s="28"/>
    </row>
    <row r="5895">
      <c r="N5895" s="28"/>
      <c r="O5895" s="28"/>
      <c r="U5895" s="28"/>
    </row>
    <row r="5896">
      <c r="N5896" s="28"/>
      <c r="O5896" s="28"/>
      <c r="U5896" s="28"/>
    </row>
    <row r="5897">
      <c r="N5897" s="28"/>
      <c r="O5897" s="28"/>
      <c r="U5897" s="28"/>
    </row>
    <row r="5898">
      <c r="N5898" s="28"/>
      <c r="O5898" s="28"/>
      <c r="U5898" s="28"/>
    </row>
    <row r="5899">
      <c r="N5899" s="28"/>
      <c r="O5899" s="28"/>
      <c r="U5899" s="28"/>
    </row>
    <row r="5900">
      <c r="N5900" s="28"/>
      <c r="O5900" s="28"/>
      <c r="U5900" s="28"/>
    </row>
    <row r="5901">
      <c r="N5901" s="28"/>
      <c r="O5901" s="28"/>
      <c r="U5901" s="28"/>
    </row>
    <row r="5902">
      <c r="N5902" s="28"/>
      <c r="O5902" s="28"/>
      <c r="U5902" s="28"/>
    </row>
    <row r="5903">
      <c r="N5903" s="28"/>
      <c r="O5903" s="28"/>
      <c r="U5903" s="28"/>
    </row>
    <row r="5904">
      <c r="N5904" s="28"/>
      <c r="O5904" s="28"/>
      <c r="U5904" s="28"/>
    </row>
    <row r="5905">
      <c r="N5905" s="28"/>
      <c r="O5905" s="28"/>
      <c r="U5905" s="28"/>
    </row>
    <row r="5906">
      <c r="N5906" s="28"/>
      <c r="O5906" s="28"/>
      <c r="U5906" s="28"/>
    </row>
    <row r="5907">
      <c r="N5907" s="28"/>
      <c r="O5907" s="28"/>
      <c r="U5907" s="28"/>
    </row>
    <row r="5908">
      <c r="N5908" s="28"/>
      <c r="O5908" s="28"/>
      <c r="U5908" s="28"/>
    </row>
    <row r="5909">
      <c r="N5909" s="28"/>
      <c r="O5909" s="28"/>
      <c r="U5909" s="28"/>
    </row>
    <row r="5910">
      <c r="N5910" s="28"/>
      <c r="O5910" s="28"/>
      <c r="U5910" s="28"/>
    </row>
    <row r="5911">
      <c r="N5911" s="28"/>
      <c r="O5911" s="28"/>
      <c r="U5911" s="28"/>
    </row>
    <row r="5912">
      <c r="N5912" s="28"/>
      <c r="O5912" s="28"/>
      <c r="U5912" s="28"/>
    </row>
    <row r="5913">
      <c r="N5913" s="28"/>
      <c r="O5913" s="28"/>
      <c r="U5913" s="28"/>
    </row>
    <row r="5914">
      <c r="N5914" s="28"/>
      <c r="O5914" s="28"/>
      <c r="U5914" s="28"/>
    </row>
    <row r="5915">
      <c r="N5915" s="28"/>
      <c r="O5915" s="28"/>
      <c r="U5915" s="28"/>
    </row>
    <row r="5916">
      <c r="N5916" s="28"/>
      <c r="O5916" s="28"/>
      <c r="U5916" s="28"/>
    </row>
    <row r="5917">
      <c r="N5917" s="28"/>
      <c r="O5917" s="28"/>
      <c r="U5917" s="28"/>
    </row>
    <row r="5918">
      <c r="N5918" s="28"/>
      <c r="O5918" s="28"/>
      <c r="U5918" s="28"/>
    </row>
    <row r="5919">
      <c r="N5919" s="28"/>
      <c r="O5919" s="28"/>
      <c r="U5919" s="28"/>
    </row>
    <row r="5920">
      <c r="N5920" s="28"/>
      <c r="O5920" s="28"/>
      <c r="U5920" s="28"/>
    </row>
    <row r="5921">
      <c r="N5921" s="28"/>
      <c r="O5921" s="28"/>
      <c r="U5921" s="28"/>
    </row>
    <row r="5922">
      <c r="N5922" s="28"/>
      <c r="O5922" s="28"/>
      <c r="U5922" s="28"/>
    </row>
    <row r="5923">
      <c r="N5923" s="28"/>
      <c r="O5923" s="28"/>
      <c r="U5923" s="28"/>
    </row>
    <row r="5924">
      <c r="N5924" s="28"/>
      <c r="O5924" s="28"/>
      <c r="U5924" s="28"/>
    </row>
    <row r="5925">
      <c r="N5925" s="28"/>
      <c r="O5925" s="28"/>
      <c r="U5925" s="28"/>
    </row>
    <row r="5926">
      <c r="N5926" s="28"/>
      <c r="O5926" s="28"/>
      <c r="U5926" s="28"/>
    </row>
    <row r="5927">
      <c r="N5927" s="28"/>
      <c r="O5927" s="28"/>
      <c r="U5927" s="28"/>
    </row>
    <row r="5928">
      <c r="N5928" s="28"/>
      <c r="O5928" s="28"/>
      <c r="U5928" s="28"/>
    </row>
    <row r="5929">
      <c r="N5929" s="28"/>
      <c r="O5929" s="28"/>
      <c r="U5929" s="28"/>
    </row>
    <row r="5930">
      <c r="N5930" s="28"/>
      <c r="O5930" s="28"/>
      <c r="U5930" s="28"/>
    </row>
    <row r="5931">
      <c r="N5931" s="28"/>
      <c r="O5931" s="28"/>
      <c r="U5931" s="28"/>
    </row>
    <row r="5932">
      <c r="N5932" s="28"/>
      <c r="O5932" s="28"/>
      <c r="U5932" s="28"/>
    </row>
    <row r="5933">
      <c r="N5933" s="28"/>
      <c r="O5933" s="28"/>
      <c r="U5933" s="28"/>
    </row>
    <row r="5934">
      <c r="N5934" s="28"/>
      <c r="O5934" s="28"/>
      <c r="U5934" s="28"/>
    </row>
    <row r="5935">
      <c r="N5935" s="28"/>
      <c r="O5935" s="28"/>
      <c r="U5935" s="28"/>
    </row>
    <row r="5936">
      <c r="N5936" s="28"/>
      <c r="O5936" s="28"/>
      <c r="U5936" s="28"/>
    </row>
    <row r="5937">
      <c r="N5937" s="28"/>
      <c r="O5937" s="28"/>
      <c r="U5937" s="28"/>
    </row>
    <row r="5938">
      <c r="N5938" s="28"/>
      <c r="O5938" s="28"/>
      <c r="U5938" s="28"/>
    </row>
    <row r="5939">
      <c r="N5939" s="28"/>
      <c r="O5939" s="28"/>
      <c r="U5939" s="28"/>
    </row>
    <row r="5940">
      <c r="N5940" s="28"/>
      <c r="O5940" s="28"/>
      <c r="U5940" s="28"/>
    </row>
    <row r="5941">
      <c r="N5941" s="28"/>
      <c r="O5941" s="28"/>
      <c r="U5941" s="28"/>
    </row>
    <row r="5942">
      <c r="N5942" s="28"/>
      <c r="O5942" s="28"/>
      <c r="U5942" s="28"/>
    </row>
    <row r="5943">
      <c r="N5943" s="28"/>
      <c r="O5943" s="28"/>
      <c r="U5943" s="28"/>
    </row>
    <row r="5944">
      <c r="N5944" s="28"/>
      <c r="O5944" s="28"/>
      <c r="U5944" s="28"/>
    </row>
    <row r="5945">
      <c r="N5945" s="28"/>
      <c r="O5945" s="28"/>
      <c r="U5945" s="28"/>
    </row>
    <row r="5946">
      <c r="N5946" s="28"/>
      <c r="O5946" s="28"/>
      <c r="U5946" s="28"/>
    </row>
    <row r="5947">
      <c r="N5947" s="28"/>
      <c r="O5947" s="28"/>
      <c r="U5947" s="28"/>
    </row>
    <row r="5948">
      <c r="N5948" s="28"/>
      <c r="O5948" s="28"/>
      <c r="U5948" s="28"/>
    </row>
    <row r="5949">
      <c r="N5949" s="28"/>
      <c r="O5949" s="28"/>
      <c r="U5949" s="28"/>
    </row>
    <row r="5950">
      <c r="N5950" s="28"/>
      <c r="O5950" s="28"/>
      <c r="U5950" s="28"/>
    </row>
    <row r="5951">
      <c r="N5951" s="28"/>
      <c r="O5951" s="28"/>
      <c r="U5951" s="28"/>
    </row>
    <row r="5952">
      <c r="N5952" s="28"/>
      <c r="O5952" s="28"/>
      <c r="U5952" s="28"/>
    </row>
    <row r="5953">
      <c r="N5953" s="28"/>
      <c r="O5953" s="28"/>
      <c r="U5953" s="28"/>
    </row>
    <row r="5954">
      <c r="N5954" s="28"/>
      <c r="O5954" s="28"/>
      <c r="U5954" s="28"/>
    </row>
    <row r="5955">
      <c r="N5955" s="28"/>
      <c r="O5955" s="28"/>
      <c r="U5955" s="28"/>
    </row>
    <row r="5956">
      <c r="N5956" s="28"/>
      <c r="O5956" s="28"/>
      <c r="U5956" s="28"/>
    </row>
    <row r="5957">
      <c r="N5957" s="28"/>
      <c r="O5957" s="28"/>
      <c r="U5957" s="28"/>
    </row>
    <row r="5958">
      <c r="N5958" s="28"/>
      <c r="O5958" s="28"/>
      <c r="U5958" s="28"/>
    </row>
    <row r="5959">
      <c r="N5959" s="28"/>
      <c r="O5959" s="28"/>
      <c r="U5959" s="28"/>
    </row>
    <row r="5960">
      <c r="N5960" s="28"/>
      <c r="O5960" s="28"/>
      <c r="U5960" s="28"/>
    </row>
    <row r="5961">
      <c r="N5961" s="28"/>
      <c r="O5961" s="28"/>
      <c r="U5961" s="28"/>
    </row>
    <row r="5962">
      <c r="N5962" s="28"/>
      <c r="O5962" s="28"/>
      <c r="U5962" s="28"/>
    </row>
    <row r="5963">
      <c r="N5963" s="28"/>
      <c r="O5963" s="28"/>
      <c r="U5963" s="28"/>
    </row>
    <row r="5964">
      <c r="N5964" s="28"/>
      <c r="O5964" s="28"/>
      <c r="U5964" s="28"/>
    </row>
    <row r="5965">
      <c r="N5965" s="28"/>
      <c r="O5965" s="28"/>
      <c r="U5965" s="28"/>
    </row>
    <row r="5966">
      <c r="N5966" s="28"/>
      <c r="O5966" s="28"/>
      <c r="U5966" s="28"/>
    </row>
    <row r="5967">
      <c r="N5967" s="28"/>
      <c r="O5967" s="28"/>
      <c r="U5967" s="28"/>
    </row>
    <row r="5968">
      <c r="N5968" s="28"/>
      <c r="O5968" s="28"/>
      <c r="U5968" s="28"/>
    </row>
    <row r="5969">
      <c r="N5969" s="28"/>
      <c r="O5969" s="28"/>
      <c r="U5969" s="28"/>
    </row>
    <row r="5970">
      <c r="N5970" s="28"/>
      <c r="O5970" s="28"/>
      <c r="U5970" s="28"/>
    </row>
    <row r="5971">
      <c r="N5971" s="28"/>
      <c r="O5971" s="28"/>
      <c r="U5971" s="28"/>
    </row>
    <row r="5972">
      <c r="N5972" s="28"/>
      <c r="O5972" s="28"/>
      <c r="U5972" s="28"/>
    </row>
    <row r="5973">
      <c r="N5973" s="28"/>
      <c r="O5973" s="28"/>
      <c r="U5973" s="28"/>
    </row>
    <row r="5974">
      <c r="N5974" s="28"/>
      <c r="O5974" s="28"/>
      <c r="U5974" s="28"/>
    </row>
    <row r="5975">
      <c r="N5975" s="28"/>
      <c r="O5975" s="28"/>
      <c r="U5975" s="28"/>
    </row>
    <row r="5976">
      <c r="N5976" s="28"/>
      <c r="O5976" s="28"/>
      <c r="U5976" s="28"/>
    </row>
    <row r="5977">
      <c r="N5977" s="28"/>
      <c r="O5977" s="28"/>
      <c r="U5977" s="28"/>
    </row>
    <row r="5978">
      <c r="N5978" s="28"/>
      <c r="O5978" s="28"/>
      <c r="U5978" s="28"/>
    </row>
    <row r="5979">
      <c r="N5979" s="28"/>
      <c r="O5979" s="28"/>
      <c r="U5979" s="28"/>
    </row>
    <row r="5980">
      <c r="N5980" s="28"/>
      <c r="O5980" s="28"/>
      <c r="U5980" s="28"/>
    </row>
    <row r="5981">
      <c r="N5981" s="28"/>
      <c r="O5981" s="28"/>
      <c r="U5981" s="28"/>
    </row>
    <row r="5982">
      <c r="N5982" s="28"/>
      <c r="O5982" s="28"/>
      <c r="U5982" s="28"/>
    </row>
    <row r="5983">
      <c r="N5983" s="28"/>
      <c r="O5983" s="28"/>
      <c r="U5983" s="28"/>
    </row>
    <row r="5984">
      <c r="N5984" s="28"/>
      <c r="O5984" s="28"/>
      <c r="U5984" s="28"/>
    </row>
    <row r="5985">
      <c r="N5985" s="28"/>
      <c r="O5985" s="28"/>
      <c r="U5985" s="28"/>
    </row>
    <row r="5986">
      <c r="N5986" s="28"/>
      <c r="O5986" s="28"/>
      <c r="U5986" s="28"/>
    </row>
    <row r="5987">
      <c r="N5987" s="28"/>
      <c r="O5987" s="28"/>
      <c r="U5987" s="28"/>
    </row>
    <row r="5988">
      <c r="N5988" s="28"/>
      <c r="O5988" s="28"/>
      <c r="U5988" s="28"/>
    </row>
    <row r="5989">
      <c r="N5989" s="28"/>
      <c r="O5989" s="28"/>
      <c r="U5989" s="28"/>
    </row>
    <row r="5990">
      <c r="N5990" s="28"/>
      <c r="O5990" s="28"/>
      <c r="U5990" s="28"/>
    </row>
    <row r="5991">
      <c r="N5991" s="28"/>
      <c r="O5991" s="28"/>
      <c r="U5991" s="28"/>
    </row>
    <row r="5992">
      <c r="N5992" s="28"/>
      <c r="O5992" s="28"/>
      <c r="U5992" s="28"/>
    </row>
    <row r="5993">
      <c r="N5993" s="28"/>
      <c r="O5993" s="28"/>
      <c r="U5993" s="28"/>
    </row>
    <row r="5994">
      <c r="N5994" s="28"/>
      <c r="O5994" s="28"/>
      <c r="U5994" s="28"/>
    </row>
    <row r="5995">
      <c r="N5995" s="28"/>
      <c r="O5995" s="28"/>
      <c r="U5995" s="28"/>
    </row>
    <row r="5996">
      <c r="N5996" s="28"/>
      <c r="O5996" s="28"/>
      <c r="U5996" s="28"/>
    </row>
    <row r="5997">
      <c r="N5997" s="28"/>
      <c r="O5997" s="28"/>
      <c r="U5997" s="28"/>
    </row>
    <row r="5998">
      <c r="N5998" s="28"/>
      <c r="O5998" s="28"/>
      <c r="U5998" s="28"/>
    </row>
    <row r="5999">
      <c r="N5999" s="28"/>
      <c r="O5999" s="28"/>
      <c r="U5999" s="28"/>
    </row>
    <row r="6000">
      <c r="N6000" s="28"/>
      <c r="O6000" s="28"/>
      <c r="U6000" s="28"/>
    </row>
    <row r="6001">
      <c r="N6001" s="28"/>
      <c r="O6001" s="28"/>
      <c r="U6001" s="28"/>
    </row>
    <row r="6002">
      <c r="N6002" s="28"/>
      <c r="O6002" s="28"/>
      <c r="U6002" s="28"/>
    </row>
    <row r="6003">
      <c r="N6003" s="28"/>
      <c r="O6003" s="28"/>
      <c r="U6003" s="28"/>
    </row>
    <row r="6004">
      <c r="N6004" s="28"/>
      <c r="O6004" s="28"/>
      <c r="U6004" s="28"/>
    </row>
    <row r="6005">
      <c r="N6005" s="28"/>
      <c r="O6005" s="28"/>
      <c r="U6005" s="28"/>
    </row>
    <row r="6006">
      <c r="N6006" s="28"/>
      <c r="O6006" s="28"/>
      <c r="U6006" s="28"/>
    </row>
    <row r="6007">
      <c r="N6007" s="28"/>
      <c r="O6007" s="28"/>
      <c r="U6007" s="28"/>
    </row>
    <row r="6008">
      <c r="N6008" s="28"/>
      <c r="O6008" s="28"/>
      <c r="U6008" s="28"/>
    </row>
    <row r="6009">
      <c r="N6009" s="28"/>
      <c r="O6009" s="28"/>
      <c r="U6009" s="28"/>
    </row>
    <row r="6010">
      <c r="N6010" s="28"/>
      <c r="O6010" s="28"/>
      <c r="U6010" s="28"/>
    </row>
    <row r="6011">
      <c r="N6011" s="28"/>
      <c r="O6011" s="28"/>
      <c r="U6011" s="28"/>
    </row>
    <row r="6012">
      <c r="N6012" s="28"/>
      <c r="O6012" s="28"/>
      <c r="U6012" s="28"/>
    </row>
    <row r="6013">
      <c r="N6013" s="28"/>
      <c r="O6013" s="28"/>
      <c r="U6013" s="28"/>
    </row>
    <row r="6014">
      <c r="N6014" s="28"/>
      <c r="O6014" s="28"/>
      <c r="U6014" s="28"/>
    </row>
    <row r="6015">
      <c r="N6015" s="28"/>
      <c r="O6015" s="28"/>
      <c r="U6015" s="28"/>
    </row>
    <row r="6016">
      <c r="N6016" s="28"/>
      <c r="O6016" s="28"/>
      <c r="U6016" s="28"/>
    </row>
    <row r="6017">
      <c r="N6017" s="28"/>
      <c r="O6017" s="28"/>
      <c r="U6017" s="28"/>
    </row>
    <row r="6018">
      <c r="N6018" s="28"/>
      <c r="O6018" s="28"/>
      <c r="U6018" s="28"/>
    </row>
    <row r="6019">
      <c r="N6019" s="28"/>
      <c r="O6019" s="28"/>
      <c r="U6019" s="28"/>
    </row>
    <row r="6020">
      <c r="N6020" s="28"/>
      <c r="O6020" s="28"/>
      <c r="U6020" s="28"/>
    </row>
    <row r="6021">
      <c r="N6021" s="28"/>
      <c r="O6021" s="28"/>
      <c r="U6021" s="28"/>
    </row>
    <row r="6022">
      <c r="N6022" s="28"/>
      <c r="O6022" s="28"/>
      <c r="U6022" s="28"/>
    </row>
    <row r="6023">
      <c r="N6023" s="28"/>
      <c r="O6023" s="28"/>
      <c r="U6023" s="28"/>
    </row>
    <row r="6024">
      <c r="N6024" s="28"/>
      <c r="O6024" s="28"/>
      <c r="U6024" s="28"/>
    </row>
    <row r="6025">
      <c r="N6025" s="28"/>
      <c r="O6025" s="28"/>
      <c r="U6025" s="28"/>
    </row>
    <row r="6026">
      <c r="N6026" s="28"/>
      <c r="O6026" s="28"/>
      <c r="U6026" s="28"/>
    </row>
    <row r="6027">
      <c r="N6027" s="28"/>
      <c r="O6027" s="28"/>
      <c r="U6027" s="28"/>
    </row>
    <row r="6028">
      <c r="N6028" s="28"/>
      <c r="O6028" s="28"/>
      <c r="U6028" s="28"/>
    </row>
    <row r="6029">
      <c r="N6029" s="28"/>
      <c r="O6029" s="28"/>
      <c r="U6029" s="28"/>
    </row>
    <row r="6030">
      <c r="N6030" s="28"/>
      <c r="O6030" s="28"/>
      <c r="U6030" s="28"/>
    </row>
    <row r="6031">
      <c r="N6031" s="28"/>
      <c r="O6031" s="28"/>
      <c r="U6031" s="28"/>
    </row>
    <row r="6032">
      <c r="N6032" s="28"/>
      <c r="O6032" s="28"/>
      <c r="U6032" s="28"/>
    </row>
    <row r="6033">
      <c r="N6033" s="28"/>
      <c r="O6033" s="28"/>
      <c r="U6033" s="28"/>
    </row>
    <row r="6034">
      <c r="N6034" s="28"/>
      <c r="O6034" s="28"/>
      <c r="U6034" s="28"/>
    </row>
    <row r="6035">
      <c r="N6035" s="28"/>
      <c r="O6035" s="28"/>
      <c r="U6035" s="28"/>
    </row>
    <row r="6036">
      <c r="N6036" s="28"/>
      <c r="O6036" s="28"/>
      <c r="U6036" s="28"/>
    </row>
    <row r="6037">
      <c r="N6037" s="28"/>
      <c r="O6037" s="28"/>
      <c r="U6037" s="28"/>
    </row>
    <row r="6038">
      <c r="N6038" s="28"/>
      <c r="O6038" s="28"/>
      <c r="U6038" s="28"/>
    </row>
    <row r="6039">
      <c r="N6039" s="28"/>
      <c r="O6039" s="28"/>
      <c r="U6039" s="28"/>
    </row>
    <row r="6040">
      <c r="N6040" s="28"/>
      <c r="O6040" s="28"/>
      <c r="U6040" s="28"/>
    </row>
    <row r="6041">
      <c r="N6041" s="28"/>
      <c r="O6041" s="28"/>
      <c r="U6041" s="28"/>
    </row>
    <row r="6042">
      <c r="N6042" s="28"/>
      <c r="O6042" s="28"/>
      <c r="U6042" s="28"/>
    </row>
    <row r="6043">
      <c r="N6043" s="28"/>
      <c r="O6043" s="28"/>
      <c r="U6043" s="28"/>
    </row>
    <row r="6044">
      <c r="N6044" s="28"/>
      <c r="O6044" s="28"/>
      <c r="U6044" s="28"/>
    </row>
    <row r="6045">
      <c r="N6045" s="28"/>
      <c r="O6045" s="28"/>
      <c r="U6045" s="28"/>
    </row>
    <row r="6046">
      <c r="N6046" s="28"/>
      <c r="O6046" s="28"/>
      <c r="U6046" s="28"/>
    </row>
    <row r="6047">
      <c r="N6047" s="28"/>
      <c r="O6047" s="28"/>
      <c r="U6047" s="28"/>
    </row>
    <row r="6048">
      <c r="N6048" s="28"/>
      <c r="O6048" s="28"/>
      <c r="U6048" s="28"/>
    </row>
    <row r="6049">
      <c r="N6049" s="28"/>
      <c r="O6049" s="28"/>
      <c r="U6049" s="28"/>
    </row>
    <row r="6050">
      <c r="N6050" s="28"/>
      <c r="O6050" s="28"/>
      <c r="U6050" s="28"/>
    </row>
    <row r="6051">
      <c r="N6051" s="28"/>
      <c r="O6051" s="28"/>
      <c r="U6051" s="28"/>
    </row>
    <row r="6052">
      <c r="N6052" s="28"/>
      <c r="O6052" s="28"/>
      <c r="U6052" s="28"/>
    </row>
    <row r="6053">
      <c r="N6053" s="28"/>
      <c r="O6053" s="28"/>
      <c r="U6053" s="28"/>
    </row>
    <row r="6054">
      <c r="N6054" s="28"/>
      <c r="O6054" s="28"/>
      <c r="U6054" s="28"/>
    </row>
    <row r="6055">
      <c r="N6055" s="28"/>
      <c r="O6055" s="28"/>
      <c r="U6055" s="28"/>
    </row>
    <row r="6056">
      <c r="N6056" s="28"/>
      <c r="O6056" s="28"/>
      <c r="U6056" s="28"/>
    </row>
    <row r="6057">
      <c r="N6057" s="28"/>
      <c r="O6057" s="28"/>
      <c r="U6057" s="28"/>
    </row>
    <row r="6058">
      <c r="N6058" s="28"/>
      <c r="O6058" s="28"/>
      <c r="U6058" s="28"/>
    </row>
    <row r="6059">
      <c r="N6059" s="28"/>
      <c r="O6059" s="28"/>
      <c r="U6059" s="28"/>
    </row>
    <row r="6060">
      <c r="N6060" s="28"/>
      <c r="O6060" s="28"/>
      <c r="U6060" s="28"/>
    </row>
    <row r="6061">
      <c r="N6061" s="28"/>
      <c r="O6061" s="28"/>
      <c r="U6061" s="28"/>
    </row>
    <row r="6062">
      <c r="N6062" s="28"/>
      <c r="O6062" s="28"/>
      <c r="U6062" s="28"/>
    </row>
    <row r="6063">
      <c r="N6063" s="28"/>
      <c r="O6063" s="28"/>
      <c r="U6063" s="28"/>
    </row>
    <row r="6064">
      <c r="N6064" s="28"/>
      <c r="O6064" s="28"/>
      <c r="U6064" s="28"/>
    </row>
    <row r="6065">
      <c r="N6065" s="28"/>
      <c r="O6065" s="28"/>
      <c r="U6065" s="28"/>
    </row>
    <row r="6066">
      <c r="N6066" s="28"/>
      <c r="O6066" s="28"/>
      <c r="U6066" s="28"/>
    </row>
    <row r="6067">
      <c r="N6067" s="28"/>
      <c r="O6067" s="28"/>
      <c r="U6067" s="28"/>
    </row>
    <row r="6068">
      <c r="N6068" s="28"/>
      <c r="O6068" s="28"/>
      <c r="U6068" s="28"/>
    </row>
    <row r="6069">
      <c r="N6069" s="28"/>
      <c r="O6069" s="28"/>
      <c r="U6069" s="28"/>
    </row>
    <row r="6070">
      <c r="N6070" s="28"/>
      <c r="O6070" s="28"/>
      <c r="U6070" s="28"/>
    </row>
    <row r="6071">
      <c r="N6071" s="28"/>
      <c r="O6071" s="28"/>
      <c r="U6071" s="28"/>
    </row>
    <row r="6072">
      <c r="N6072" s="28"/>
      <c r="O6072" s="28"/>
      <c r="U6072" s="28"/>
    </row>
    <row r="6073">
      <c r="N6073" s="28"/>
      <c r="O6073" s="28"/>
      <c r="U6073" s="28"/>
    </row>
    <row r="6074">
      <c r="N6074" s="28"/>
      <c r="O6074" s="28"/>
      <c r="U6074" s="28"/>
    </row>
    <row r="6075">
      <c r="N6075" s="28"/>
      <c r="O6075" s="28"/>
      <c r="U6075" s="28"/>
    </row>
    <row r="6076">
      <c r="N6076" s="28"/>
      <c r="O6076" s="28"/>
      <c r="U6076" s="28"/>
    </row>
    <row r="6077">
      <c r="N6077" s="28"/>
      <c r="O6077" s="28"/>
      <c r="U6077" s="28"/>
    </row>
    <row r="6078">
      <c r="N6078" s="28"/>
      <c r="O6078" s="28"/>
      <c r="U6078" s="28"/>
    </row>
    <row r="6079">
      <c r="N6079" s="28"/>
      <c r="O6079" s="28"/>
      <c r="U6079" s="28"/>
    </row>
    <row r="6080">
      <c r="N6080" s="28"/>
      <c r="O6080" s="28"/>
      <c r="U6080" s="28"/>
    </row>
    <row r="6081">
      <c r="N6081" s="28"/>
      <c r="O6081" s="28"/>
      <c r="U6081" s="28"/>
    </row>
    <row r="6082">
      <c r="N6082" s="28"/>
      <c r="O6082" s="28"/>
      <c r="U6082" s="28"/>
    </row>
    <row r="6083">
      <c r="N6083" s="28"/>
      <c r="O6083" s="28"/>
      <c r="U6083" s="28"/>
    </row>
    <row r="6084">
      <c r="N6084" s="28"/>
      <c r="O6084" s="28"/>
      <c r="U6084" s="28"/>
    </row>
    <row r="6085">
      <c r="N6085" s="28"/>
      <c r="O6085" s="28"/>
      <c r="U6085" s="28"/>
    </row>
    <row r="6086">
      <c r="N6086" s="28"/>
      <c r="O6086" s="28"/>
      <c r="U6086" s="28"/>
    </row>
    <row r="6087">
      <c r="N6087" s="28"/>
      <c r="O6087" s="28"/>
      <c r="U6087" s="28"/>
    </row>
    <row r="6088">
      <c r="N6088" s="28"/>
      <c r="O6088" s="28"/>
      <c r="U6088" s="28"/>
    </row>
    <row r="6089">
      <c r="N6089" s="28"/>
      <c r="O6089" s="28"/>
      <c r="U6089" s="28"/>
    </row>
    <row r="6090">
      <c r="N6090" s="28"/>
      <c r="O6090" s="28"/>
      <c r="U6090" s="28"/>
    </row>
    <row r="6091">
      <c r="N6091" s="28"/>
      <c r="O6091" s="28"/>
      <c r="U6091" s="28"/>
    </row>
    <row r="6092">
      <c r="N6092" s="28"/>
      <c r="O6092" s="28"/>
      <c r="U6092" s="28"/>
    </row>
    <row r="6093">
      <c r="N6093" s="28"/>
      <c r="O6093" s="28"/>
      <c r="U6093" s="28"/>
    </row>
    <row r="6094">
      <c r="N6094" s="28"/>
      <c r="O6094" s="28"/>
      <c r="U6094" s="28"/>
    </row>
    <row r="6095">
      <c r="N6095" s="28"/>
      <c r="O6095" s="28"/>
      <c r="U6095" s="28"/>
    </row>
    <row r="6096">
      <c r="N6096" s="28"/>
      <c r="O6096" s="28"/>
      <c r="U6096" s="28"/>
    </row>
    <row r="6097">
      <c r="N6097" s="28"/>
      <c r="O6097" s="28"/>
      <c r="U6097" s="28"/>
    </row>
    <row r="6098">
      <c r="N6098" s="28"/>
      <c r="O6098" s="28"/>
      <c r="U6098" s="28"/>
    </row>
    <row r="6099">
      <c r="N6099" s="28"/>
      <c r="O6099" s="28"/>
      <c r="U6099" s="28"/>
    </row>
    <row r="6100">
      <c r="N6100" s="28"/>
      <c r="O6100" s="28"/>
      <c r="U6100" s="28"/>
    </row>
    <row r="6101">
      <c r="N6101" s="28"/>
      <c r="O6101" s="28"/>
      <c r="U6101" s="28"/>
    </row>
    <row r="6102">
      <c r="N6102" s="28"/>
      <c r="O6102" s="28"/>
      <c r="U6102" s="28"/>
    </row>
    <row r="6103">
      <c r="N6103" s="28"/>
      <c r="O6103" s="28"/>
      <c r="U6103" s="28"/>
    </row>
    <row r="6104">
      <c r="N6104" s="28"/>
      <c r="O6104" s="28"/>
      <c r="U6104" s="28"/>
    </row>
    <row r="6105">
      <c r="N6105" s="28"/>
      <c r="O6105" s="28"/>
      <c r="U6105" s="28"/>
    </row>
    <row r="6106">
      <c r="N6106" s="28"/>
      <c r="O6106" s="28"/>
      <c r="U6106" s="28"/>
    </row>
    <row r="6107">
      <c r="N6107" s="28"/>
      <c r="O6107" s="28"/>
      <c r="U6107" s="28"/>
    </row>
    <row r="6108">
      <c r="N6108" s="28"/>
      <c r="O6108" s="28"/>
      <c r="U6108" s="28"/>
    </row>
    <row r="6109">
      <c r="N6109" s="28"/>
      <c r="O6109" s="28"/>
      <c r="U6109" s="28"/>
    </row>
    <row r="6110">
      <c r="N6110" s="28"/>
      <c r="O6110" s="28"/>
      <c r="U6110" s="28"/>
    </row>
    <row r="6111">
      <c r="N6111" s="28"/>
      <c r="O6111" s="28"/>
      <c r="U6111" s="28"/>
    </row>
    <row r="6112">
      <c r="N6112" s="28"/>
      <c r="O6112" s="28"/>
      <c r="U6112" s="28"/>
    </row>
    <row r="6113">
      <c r="N6113" s="28"/>
      <c r="O6113" s="28"/>
      <c r="U6113" s="28"/>
    </row>
    <row r="6114">
      <c r="N6114" s="28"/>
      <c r="O6114" s="28"/>
      <c r="U6114" s="28"/>
    </row>
    <row r="6115">
      <c r="N6115" s="28"/>
      <c r="O6115" s="28"/>
      <c r="U6115" s="28"/>
    </row>
    <row r="6116">
      <c r="N6116" s="28"/>
      <c r="O6116" s="28"/>
      <c r="U6116" s="28"/>
    </row>
    <row r="6117">
      <c r="N6117" s="28"/>
      <c r="O6117" s="28"/>
      <c r="U6117" s="28"/>
    </row>
    <row r="6118">
      <c r="N6118" s="28"/>
      <c r="O6118" s="28"/>
      <c r="U6118" s="28"/>
    </row>
    <row r="6119">
      <c r="N6119" s="28"/>
      <c r="O6119" s="28"/>
      <c r="U6119" s="28"/>
    </row>
    <row r="6120">
      <c r="N6120" s="28"/>
      <c r="O6120" s="28"/>
      <c r="U6120" s="28"/>
    </row>
    <row r="6121">
      <c r="N6121" s="28"/>
      <c r="O6121" s="28"/>
      <c r="U6121" s="28"/>
    </row>
    <row r="6122">
      <c r="N6122" s="28"/>
      <c r="O6122" s="28"/>
      <c r="U6122" s="28"/>
    </row>
    <row r="6123">
      <c r="N6123" s="28"/>
      <c r="O6123" s="28"/>
      <c r="U6123" s="28"/>
    </row>
    <row r="6124">
      <c r="N6124" s="28"/>
      <c r="O6124" s="28"/>
      <c r="U6124" s="28"/>
    </row>
    <row r="6125">
      <c r="N6125" s="28"/>
      <c r="O6125" s="28"/>
      <c r="U6125" s="28"/>
    </row>
    <row r="6126">
      <c r="N6126" s="28"/>
      <c r="O6126" s="28"/>
      <c r="U6126" s="28"/>
    </row>
    <row r="6127">
      <c r="N6127" s="28"/>
      <c r="O6127" s="28"/>
      <c r="U6127" s="28"/>
    </row>
    <row r="6128">
      <c r="N6128" s="28"/>
      <c r="O6128" s="28"/>
      <c r="U6128" s="28"/>
    </row>
    <row r="6129">
      <c r="N6129" s="28"/>
      <c r="O6129" s="28"/>
      <c r="U6129" s="28"/>
    </row>
    <row r="6130">
      <c r="N6130" s="28"/>
      <c r="O6130" s="28"/>
      <c r="U6130" s="28"/>
    </row>
    <row r="6131">
      <c r="N6131" s="28"/>
      <c r="O6131" s="28"/>
      <c r="U6131" s="28"/>
    </row>
    <row r="6132">
      <c r="N6132" s="28"/>
      <c r="O6132" s="28"/>
      <c r="U6132" s="28"/>
    </row>
    <row r="6133">
      <c r="N6133" s="28"/>
      <c r="O6133" s="28"/>
      <c r="U6133" s="28"/>
    </row>
    <row r="6134">
      <c r="N6134" s="28"/>
      <c r="O6134" s="28"/>
      <c r="U6134" s="28"/>
    </row>
    <row r="6135">
      <c r="N6135" s="28"/>
      <c r="O6135" s="28"/>
      <c r="U6135" s="28"/>
    </row>
    <row r="6136">
      <c r="N6136" s="28"/>
      <c r="O6136" s="28"/>
      <c r="U6136" s="28"/>
    </row>
    <row r="6137">
      <c r="N6137" s="28"/>
      <c r="O6137" s="28"/>
      <c r="U6137" s="28"/>
    </row>
    <row r="6138">
      <c r="N6138" s="28"/>
      <c r="O6138" s="28"/>
      <c r="U6138" s="28"/>
    </row>
    <row r="6139">
      <c r="N6139" s="28"/>
      <c r="O6139" s="28"/>
      <c r="U6139" s="28"/>
    </row>
    <row r="6140">
      <c r="N6140" s="28"/>
      <c r="O6140" s="28"/>
      <c r="U6140" s="28"/>
    </row>
    <row r="6141">
      <c r="N6141" s="28"/>
      <c r="O6141" s="28"/>
      <c r="U6141" s="28"/>
    </row>
    <row r="6142">
      <c r="N6142" s="28"/>
      <c r="O6142" s="28"/>
      <c r="U6142" s="28"/>
    </row>
    <row r="6143">
      <c r="N6143" s="28"/>
      <c r="O6143" s="28"/>
      <c r="U6143" s="28"/>
    </row>
    <row r="6144">
      <c r="N6144" s="28"/>
      <c r="O6144" s="28"/>
      <c r="U6144" s="28"/>
    </row>
    <row r="6145">
      <c r="N6145" s="28"/>
      <c r="O6145" s="28"/>
      <c r="U6145" s="28"/>
    </row>
    <row r="6146">
      <c r="N6146" s="28"/>
      <c r="O6146" s="28"/>
      <c r="U6146" s="28"/>
    </row>
    <row r="6147">
      <c r="N6147" s="28"/>
      <c r="O6147" s="28"/>
      <c r="U6147" s="28"/>
    </row>
    <row r="6148">
      <c r="N6148" s="28"/>
      <c r="O6148" s="28"/>
      <c r="U6148" s="28"/>
    </row>
    <row r="6149">
      <c r="N6149" s="28"/>
      <c r="O6149" s="28"/>
      <c r="U6149" s="28"/>
    </row>
    <row r="6150">
      <c r="N6150" s="28"/>
      <c r="O6150" s="28"/>
      <c r="U6150" s="28"/>
    </row>
    <row r="6151">
      <c r="N6151" s="28"/>
      <c r="O6151" s="28"/>
      <c r="U6151" s="28"/>
    </row>
    <row r="6152">
      <c r="N6152" s="28"/>
      <c r="O6152" s="28"/>
      <c r="U6152" s="28"/>
    </row>
    <row r="6153">
      <c r="N6153" s="28"/>
      <c r="O6153" s="28"/>
      <c r="U6153" s="28"/>
    </row>
    <row r="6154">
      <c r="N6154" s="28"/>
      <c r="O6154" s="28"/>
      <c r="U6154" s="28"/>
    </row>
    <row r="6155">
      <c r="N6155" s="28"/>
      <c r="O6155" s="28"/>
      <c r="U6155" s="28"/>
    </row>
    <row r="6156">
      <c r="N6156" s="28"/>
      <c r="O6156" s="28"/>
      <c r="U6156" s="28"/>
    </row>
    <row r="6157">
      <c r="N6157" s="28"/>
      <c r="O6157" s="28"/>
      <c r="U6157" s="28"/>
    </row>
    <row r="6158">
      <c r="N6158" s="28"/>
      <c r="O6158" s="28"/>
      <c r="U6158" s="28"/>
    </row>
    <row r="6159">
      <c r="N6159" s="28"/>
      <c r="O6159" s="28"/>
      <c r="U6159" s="28"/>
    </row>
    <row r="6160">
      <c r="N6160" s="28"/>
      <c r="O6160" s="28"/>
      <c r="U6160" s="28"/>
    </row>
    <row r="6161">
      <c r="N6161" s="28"/>
      <c r="O6161" s="28"/>
      <c r="U6161" s="28"/>
    </row>
    <row r="6162">
      <c r="N6162" s="28"/>
      <c r="O6162" s="28"/>
      <c r="U6162" s="28"/>
    </row>
    <row r="6163">
      <c r="N6163" s="28"/>
      <c r="O6163" s="28"/>
      <c r="U6163" s="28"/>
    </row>
    <row r="6164">
      <c r="N6164" s="28"/>
      <c r="O6164" s="28"/>
      <c r="U6164" s="28"/>
    </row>
    <row r="6165">
      <c r="N6165" s="28"/>
      <c r="O6165" s="28"/>
      <c r="U6165" s="28"/>
    </row>
    <row r="6166">
      <c r="N6166" s="28"/>
      <c r="O6166" s="28"/>
      <c r="U6166" s="28"/>
    </row>
    <row r="6167">
      <c r="N6167" s="28"/>
      <c r="O6167" s="28"/>
      <c r="U6167" s="28"/>
    </row>
    <row r="6168">
      <c r="N6168" s="28"/>
      <c r="O6168" s="28"/>
      <c r="U6168" s="28"/>
    </row>
    <row r="6169">
      <c r="N6169" s="28"/>
      <c r="O6169" s="28"/>
      <c r="U6169" s="28"/>
    </row>
    <row r="6170">
      <c r="N6170" s="28"/>
      <c r="O6170" s="28"/>
      <c r="U6170" s="28"/>
    </row>
    <row r="6171">
      <c r="N6171" s="28"/>
      <c r="O6171" s="28"/>
      <c r="U6171" s="28"/>
    </row>
    <row r="6172">
      <c r="N6172" s="28"/>
      <c r="O6172" s="28"/>
      <c r="U6172" s="28"/>
    </row>
    <row r="6173">
      <c r="N6173" s="28"/>
      <c r="O6173" s="28"/>
      <c r="U6173" s="28"/>
    </row>
    <row r="6174">
      <c r="N6174" s="28"/>
      <c r="O6174" s="28"/>
      <c r="U6174" s="28"/>
    </row>
    <row r="6175">
      <c r="N6175" s="28"/>
      <c r="O6175" s="28"/>
      <c r="U6175" s="28"/>
    </row>
    <row r="6176">
      <c r="N6176" s="28"/>
      <c r="O6176" s="28"/>
      <c r="U6176" s="28"/>
    </row>
    <row r="6177">
      <c r="N6177" s="28"/>
      <c r="O6177" s="28"/>
      <c r="U6177" s="28"/>
    </row>
    <row r="6178">
      <c r="N6178" s="28"/>
      <c r="O6178" s="28"/>
      <c r="U6178" s="28"/>
    </row>
    <row r="6179">
      <c r="N6179" s="28"/>
      <c r="O6179" s="28"/>
      <c r="U6179" s="28"/>
    </row>
    <row r="6180">
      <c r="N6180" s="28"/>
      <c r="O6180" s="28"/>
      <c r="U6180" s="28"/>
    </row>
    <row r="6181">
      <c r="N6181" s="28"/>
      <c r="O6181" s="28"/>
      <c r="U6181" s="28"/>
    </row>
    <row r="6182">
      <c r="N6182" s="28"/>
      <c r="O6182" s="28"/>
      <c r="U6182" s="28"/>
    </row>
    <row r="6183">
      <c r="N6183" s="28"/>
      <c r="O6183" s="28"/>
      <c r="U6183" s="28"/>
    </row>
    <row r="6184">
      <c r="N6184" s="28"/>
      <c r="O6184" s="28"/>
      <c r="U6184" s="28"/>
    </row>
    <row r="6185">
      <c r="N6185" s="28"/>
      <c r="O6185" s="28"/>
      <c r="U6185" s="28"/>
    </row>
    <row r="6186">
      <c r="N6186" s="28"/>
      <c r="O6186" s="28"/>
      <c r="U6186" s="28"/>
    </row>
    <row r="6187">
      <c r="N6187" s="28"/>
      <c r="O6187" s="28"/>
      <c r="U6187" s="28"/>
    </row>
    <row r="6188">
      <c r="N6188" s="28"/>
      <c r="O6188" s="28"/>
      <c r="U6188" s="28"/>
    </row>
    <row r="6189">
      <c r="N6189" s="28"/>
      <c r="O6189" s="28"/>
      <c r="U6189" s="28"/>
    </row>
    <row r="6190">
      <c r="N6190" s="28"/>
      <c r="O6190" s="28"/>
      <c r="U6190" s="28"/>
    </row>
    <row r="6191">
      <c r="N6191" s="28"/>
      <c r="O6191" s="28"/>
      <c r="U6191" s="28"/>
    </row>
    <row r="6192">
      <c r="N6192" s="28"/>
      <c r="O6192" s="28"/>
      <c r="U6192" s="28"/>
    </row>
    <row r="6193">
      <c r="N6193" s="28"/>
      <c r="O6193" s="28"/>
      <c r="U6193" s="28"/>
    </row>
    <row r="6194">
      <c r="N6194" s="28"/>
      <c r="O6194" s="28"/>
      <c r="U6194" s="28"/>
    </row>
    <row r="6195">
      <c r="N6195" s="28"/>
      <c r="O6195" s="28"/>
      <c r="U6195" s="28"/>
    </row>
    <row r="6196">
      <c r="N6196" s="28"/>
      <c r="O6196" s="28"/>
      <c r="U6196" s="28"/>
    </row>
    <row r="6197">
      <c r="N6197" s="28"/>
      <c r="O6197" s="28"/>
      <c r="U6197" s="28"/>
    </row>
    <row r="6198">
      <c r="N6198" s="28"/>
      <c r="O6198" s="28"/>
      <c r="U6198" s="28"/>
    </row>
    <row r="6199">
      <c r="N6199" s="28"/>
      <c r="O6199" s="28"/>
      <c r="U6199" s="28"/>
    </row>
    <row r="6200">
      <c r="N6200" s="28"/>
      <c r="O6200" s="28"/>
      <c r="U6200" s="28"/>
    </row>
    <row r="6201">
      <c r="N6201" s="28"/>
      <c r="O6201" s="28"/>
      <c r="U6201" s="28"/>
    </row>
    <row r="6202">
      <c r="N6202" s="28"/>
      <c r="O6202" s="28"/>
      <c r="U6202" s="28"/>
    </row>
    <row r="6203">
      <c r="N6203" s="28"/>
      <c r="O6203" s="28"/>
      <c r="U6203" s="28"/>
    </row>
    <row r="6204">
      <c r="N6204" s="28"/>
      <c r="O6204" s="28"/>
      <c r="U6204" s="28"/>
    </row>
    <row r="6205">
      <c r="N6205" s="28"/>
      <c r="O6205" s="28"/>
      <c r="U6205" s="28"/>
    </row>
    <row r="6206">
      <c r="N6206" s="28"/>
      <c r="O6206" s="28"/>
      <c r="U6206" s="28"/>
    </row>
    <row r="6207">
      <c r="N6207" s="28"/>
      <c r="O6207" s="28"/>
      <c r="U6207" s="28"/>
    </row>
    <row r="6208">
      <c r="N6208" s="28"/>
      <c r="O6208" s="28"/>
      <c r="U6208" s="28"/>
    </row>
    <row r="6209">
      <c r="N6209" s="28"/>
      <c r="O6209" s="28"/>
      <c r="U6209" s="28"/>
    </row>
    <row r="6210">
      <c r="N6210" s="28"/>
      <c r="O6210" s="28"/>
      <c r="U6210" s="28"/>
    </row>
    <row r="6211">
      <c r="N6211" s="28"/>
      <c r="O6211" s="28"/>
      <c r="U6211" s="28"/>
    </row>
    <row r="6212">
      <c r="N6212" s="28"/>
      <c r="O6212" s="28"/>
      <c r="U6212" s="28"/>
    </row>
    <row r="6213">
      <c r="N6213" s="28"/>
      <c r="O6213" s="28"/>
      <c r="U6213" s="28"/>
    </row>
    <row r="6214">
      <c r="N6214" s="28"/>
      <c r="O6214" s="28"/>
      <c r="U6214" s="28"/>
    </row>
    <row r="6215">
      <c r="N6215" s="28"/>
      <c r="O6215" s="28"/>
      <c r="U6215" s="28"/>
    </row>
    <row r="6216">
      <c r="N6216" s="28"/>
      <c r="O6216" s="28"/>
      <c r="U6216" s="28"/>
    </row>
    <row r="6217">
      <c r="N6217" s="28"/>
      <c r="O6217" s="28"/>
      <c r="U6217" s="28"/>
    </row>
    <row r="6218">
      <c r="N6218" s="28"/>
      <c r="O6218" s="28"/>
      <c r="U6218" s="28"/>
    </row>
    <row r="6219">
      <c r="N6219" s="28"/>
      <c r="O6219" s="28"/>
      <c r="U6219" s="28"/>
    </row>
    <row r="6220">
      <c r="N6220" s="28"/>
      <c r="O6220" s="28"/>
      <c r="U6220" s="28"/>
    </row>
    <row r="6221">
      <c r="N6221" s="28"/>
      <c r="O6221" s="28"/>
      <c r="U6221" s="28"/>
    </row>
    <row r="6222">
      <c r="N6222" s="28"/>
      <c r="O6222" s="28"/>
      <c r="U6222" s="28"/>
    </row>
    <row r="6223">
      <c r="N6223" s="28"/>
      <c r="O6223" s="28"/>
      <c r="U6223" s="28"/>
    </row>
    <row r="6224">
      <c r="N6224" s="28"/>
      <c r="O6224" s="28"/>
      <c r="U6224" s="28"/>
    </row>
    <row r="6225">
      <c r="N6225" s="28"/>
      <c r="O6225" s="28"/>
      <c r="U6225" s="28"/>
    </row>
    <row r="6226">
      <c r="N6226" s="28"/>
      <c r="O6226" s="28"/>
      <c r="U6226" s="28"/>
    </row>
    <row r="6227">
      <c r="N6227" s="28"/>
      <c r="O6227" s="28"/>
      <c r="U6227" s="28"/>
    </row>
    <row r="6228">
      <c r="N6228" s="28"/>
      <c r="O6228" s="28"/>
      <c r="U6228" s="28"/>
    </row>
    <row r="6229">
      <c r="N6229" s="28"/>
      <c r="O6229" s="28"/>
      <c r="U6229" s="28"/>
    </row>
    <row r="6230">
      <c r="N6230" s="28"/>
      <c r="O6230" s="28"/>
      <c r="U6230" s="28"/>
    </row>
    <row r="6231">
      <c r="N6231" s="28"/>
      <c r="O6231" s="28"/>
      <c r="U6231" s="28"/>
    </row>
    <row r="6232">
      <c r="N6232" s="28"/>
      <c r="O6232" s="28"/>
      <c r="U6232" s="28"/>
    </row>
    <row r="6233">
      <c r="N6233" s="28"/>
      <c r="O6233" s="28"/>
      <c r="U6233" s="28"/>
    </row>
    <row r="6234">
      <c r="N6234" s="28"/>
      <c r="O6234" s="28"/>
      <c r="U6234" s="28"/>
    </row>
    <row r="6235">
      <c r="N6235" s="28"/>
      <c r="O6235" s="28"/>
      <c r="U6235" s="28"/>
    </row>
    <row r="6236">
      <c r="N6236" s="28"/>
      <c r="O6236" s="28"/>
      <c r="U6236" s="28"/>
    </row>
    <row r="6237">
      <c r="N6237" s="28"/>
      <c r="O6237" s="28"/>
      <c r="U6237" s="28"/>
    </row>
    <row r="6238">
      <c r="N6238" s="28"/>
      <c r="O6238" s="28"/>
      <c r="U6238" s="28"/>
    </row>
    <row r="6239">
      <c r="N6239" s="28"/>
      <c r="O6239" s="28"/>
      <c r="U6239" s="28"/>
    </row>
    <row r="6240">
      <c r="N6240" s="28"/>
      <c r="O6240" s="28"/>
      <c r="U6240" s="28"/>
    </row>
    <row r="6241">
      <c r="N6241" s="28"/>
      <c r="O6241" s="28"/>
      <c r="U6241" s="28"/>
    </row>
    <row r="6242">
      <c r="N6242" s="28"/>
      <c r="O6242" s="28"/>
      <c r="U6242" s="28"/>
    </row>
    <row r="6243">
      <c r="N6243" s="28"/>
      <c r="O6243" s="28"/>
      <c r="U6243" s="28"/>
    </row>
    <row r="6244">
      <c r="N6244" s="28"/>
      <c r="O6244" s="28"/>
      <c r="U6244" s="28"/>
    </row>
    <row r="6245">
      <c r="N6245" s="28"/>
      <c r="O6245" s="28"/>
      <c r="U6245" s="28"/>
    </row>
    <row r="6246">
      <c r="N6246" s="28"/>
      <c r="O6246" s="28"/>
      <c r="U6246" s="28"/>
    </row>
    <row r="6247">
      <c r="N6247" s="28"/>
      <c r="O6247" s="28"/>
      <c r="U6247" s="28"/>
    </row>
    <row r="6248">
      <c r="N6248" s="28"/>
      <c r="O6248" s="28"/>
      <c r="U6248" s="28"/>
    </row>
    <row r="6249">
      <c r="N6249" s="28"/>
      <c r="O6249" s="28"/>
      <c r="U6249" s="28"/>
    </row>
    <row r="6250">
      <c r="N6250" s="28"/>
      <c r="O6250" s="28"/>
      <c r="U6250" s="28"/>
    </row>
    <row r="6251">
      <c r="N6251" s="28"/>
      <c r="O6251" s="28"/>
      <c r="U6251" s="28"/>
    </row>
    <row r="6252">
      <c r="N6252" s="28"/>
      <c r="O6252" s="28"/>
      <c r="U6252" s="28"/>
    </row>
    <row r="6253">
      <c r="N6253" s="28"/>
      <c r="O6253" s="28"/>
      <c r="U6253" s="28"/>
    </row>
    <row r="6254">
      <c r="N6254" s="28"/>
      <c r="O6254" s="28"/>
      <c r="U6254" s="28"/>
    </row>
    <row r="6255">
      <c r="N6255" s="28"/>
      <c r="O6255" s="28"/>
      <c r="U6255" s="28"/>
    </row>
    <row r="6256">
      <c r="N6256" s="28"/>
      <c r="O6256" s="28"/>
      <c r="U6256" s="28"/>
    </row>
    <row r="6257">
      <c r="N6257" s="28"/>
      <c r="O6257" s="28"/>
      <c r="U6257" s="28"/>
    </row>
    <row r="6258">
      <c r="N6258" s="28"/>
      <c r="O6258" s="28"/>
      <c r="U6258" s="28"/>
    </row>
    <row r="6259">
      <c r="N6259" s="28"/>
      <c r="O6259" s="28"/>
      <c r="U6259" s="28"/>
    </row>
    <row r="6260">
      <c r="N6260" s="28"/>
      <c r="O6260" s="28"/>
      <c r="U6260" s="28"/>
    </row>
    <row r="6261">
      <c r="N6261" s="28"/>
      <c r="O6261" s="28"/>
      <c r="U6261" s="28"/>
    </row>
    <row r="6262">
      <c r="N6262" s="28"/>
      <c r="O6262" s="28"/>
      <c r="U6262" s="28"/>
    </row>
    <row r="6263">
      <c r="N6263" s="28"/>
      <c r="O6263" s="28"/>
      <c r="U6263" s="28"/>
    </row>
    <row r="6264">
      <c r="N6264" s="28"/>
      <c r="O6264" s="28"/>
      <c r="U6264" s="28"/>
    </row>
    <row r="6265">
      <c r="N6265" s="28"/>
      <c r="O6265" s="28"/>
      <c r="U6265" s="28"/>
    </row>
    <row r="6266">
      <c r="N6266" s="28"/>
      <c r="O6266" s="28"/>
      <c r="U6266" s="28"/>
    </row>
    <row r="6267">
      <c r="N6267" s="28"/>
      <c r="O6267" s="28"/>
      <c r="U6267" s="28"/>
    </row>
    <row r="6268">
      <c r="N6268" s="28"/>
      <c r="O6268" s="28"/>
      <c r="U6268" s="28"/>
    </row>
    <row r="6269">
      <c r="N6269" s="28"/>
      <c r="O6269" s="28"/>
      <c r="U6269" s="28"/>
    </row>
    <row r="6270">
      <c r="N6270" s="28"/>
      <c r="O6270" s="28"/>
      <c r="U6270" s="28"/>
    </row>
    <row r="6271">
      <c r="N6271" s="28"/>
      <c r="O6271" s="28"/>
      <c r="U6271" s="28"/>
    </row>
    <row r="6272">
      <c r="N6272" s="28"/>
      <c r="O6272" s="28"/>
      <c r="U6272" s="28"/>
    </row>
    <row r="6273">
      <c r="N6273" s="28"/>
      <c r="O6273" s="28"/>
      <c r="U6273" s="28"/>
    </row>
    <row r="6274">
      <c r="N6274" s="28"/>
      <c r="O6274" s="28"/>
      <c r="U6274" s="28"/>
    </row>
    <row r="6275">
      <c r="N6275" s="28"/>
      <c r="O6275" s="28"/>
      <c r="U6275" s="28"/>
    </row>
    <row r="6276">
      <c r="N6276" s="28"/>
      <c r="O6276" s="28"/>
      <c r="U6276" s="28"/>
    </row>
    <row r="6277">
      <c r="N6277" s="28"/>
      <c r="O6277" s="28"/>
      <c r="U6277" s="28"/>
    </row>
    <row r="6278">
      <c r="N6278" s="28"/>
      <c r="O6278" s="28"/>
      <c r="U6278" s="28"/>
    </row>
    <row r="6279">
      <c r="N6279" s="28"/>
      <c r="O6279" s="28"/>
      <c r="U6279" s="28"/>
    </row>
    <row r="6280">
      <c r="N6280" s="28"/>
      <c r="O6280" s="28"/>
      <c r="U6280" s="28"/>
    </row>
    <row r="6281">
      <c r="N6281" s="28"/>
      <c r="O6281" s="28"/>
      <c r="U6281" s="28"/>
    </row>
    <row r="6282">
      <c r="N6282" s="28"/>
      <c r="O6282" s="28"/>
      <c r="U6282" s="28"/>
    </row>
    <row r="6283">
      <c r="N6283" s="28"/>
      <c r="O6283" s="28"/>
      <c r="U6283" s="28"/>
    </row>
    <row r="6284">
      <c r="N6284" s="28"/>
      <c r="O6284" s="28"/>
      <c r="U6284" s="28"/>
    </row>
    <row r="6285">
      <c r="N6285" s="28"/>
      <c r="O6285" s="28"/>
      <c r="U6285" s="28"/>
    </row>
    <row r="6286">
      <c r="N6286" s="28"/>
      <c r="O6286" s="28"/>
      <c r="U6286" s="28"/>
    </row>
    <row r="6287">
      <c r="N6287" s="28"/>
      <c r="O6287" s="28"/>
      <c r="U6287" s="28"/>
    </row>
    <row r="6288">
      <c r="N6288" s="28"/>
      <c r="O6288" s="28"/>
      <c r="U6288" s="28"/>
    </row>
    <row r="6289">
      <c r="N6289" s="28"/>
      <c r="O6289" s="28"/>
      <c r="U6289" s="28"/>
    </row>
    <row r="6290">
      <c r="N6290" s="28"/>
      <c r="O6290" s="28"/>
      <c r="U6290" s="28"/>
    </row>
    <row r="6291">
      <c r="N6291" s="28"/>
      <c r="O6291" s="28"/>
      <c r="U6291" s="28"/>
    </row>
    <row r="6292">
      <c r="N6292" s="28"/>
      <c r="O6292" s="28"/>
      <c r="U6292" s="28"/>
    </row>
    <row r="6293">
      <c r="N6293" s="28"/>
      <c r="O6293" s="28"/>
      <c r="U6293" s="28"/>
    </row>
    <row r="6294">
      <c r="N6294" s="28"/>
      <c r="O6294" s="28"/>
      <c r="U6294" s="28"/>
    </row>
    <row r="6295">
      <c r="N6295" s="28"/>
      <c r="O6295" s="28"/>
      <c r="U6295" s="28"/>
    </row>
    <row r="6296">
      <c r="N6296" s="28"/>
      <c r="O6296" s="28"/>
      <c r="U6296" s="28"/>
    </row>
    <row r="6297">
      <c r="N6297" s="28"/>
      <c r="O6297" s="28"/>
      <c r="U6297" s="28"/>
    </row>
    <row r="6298">
      <c r="N6298" s="28"/>
      <c r="O6298" s="28"/>
      <c r="U6298" s="28"/>
    </row>
    <row r="6299">
      <c r="N6299" s="28"/>
      <c r="O6299" s="28"/>
      <c r="U6299" s="28"/>
    </row>
    <row r="6300">
      <c r="N6300" s="28"/>
      <c r="O6300" s="28"/>
      <c r="U6300" s="28"/>
    </row>
    <row r="6301">
      <c r="N6301" s="28"/>
      <c r="O6301" s="28"/>
      <c r="U6301" s="28"/>
    </row>
    <row r="6302">
      <c r="N6302" s="28"/>
      <c r="O6302" s="28"/>
      <c r="U6302" s="28"/>
    </row>
    <row r="6303">
      <c r="N6303" s="28"/>
      <c r="O6303" s="28"/>
      <c r="U6303" s="28"/>
    </row>
    <row r="6304">
      <c r="N6304" s="28"/>
      <c r="O6304" s="28"/>
      <c r="U6304" s="28"/>
    </row>
    <row r="6305">
      <c r="N6305" s="28"/>
      <c r="O6305" s="28"/>
      <c r="U6305" s="28"/>
    </row>
    <row r="6306">
      <c r="N6306" s="28"/>
      <c r="O6306" s="28"/>
      <c r="U6306" s="28"/>
    </row>
    <row r="6307">
      <c r="N6307" s="28"/>
      <c r="O6307" s="28"/>
      <c r="U6307" s="28"/>
    </row>
    <row r="6308">
      <c r="N6308" s="28"/>
      <c r="O6308" s="28"/>
      <c r="U6308" s="28"/>
    </row>
    <row r="6309">
      <c r="N6309" s="28"/>
      <c r="O6309" s="28"/>
      <c r="U6309" s="28"/>
    </row>
    <row r="6310">
      <c r="N6310" s="28"/>
      <c r="O6310" s="28"/>
      <c r="U6310" s="28"/>
    </row>
    <row r="6311">
      <c r="N6311" s="28"/>
      <c r="O6311" s="28"/>
      <c r="U6311" s="28"/>
    </row>
    <row r="6312">
      <c r="N6312" s="28"/>
      <c r="O6312" s="28"/>
      <c r="U6312" s="28"/>
    </row>
    <row r="6313">
      <c r="N6313" s="28"/>
      <c r="O6313" s="28"/>
      <c r="U6313" s="28"/>
    </row>
    <row r="6314">
      <c r="N6314" s="28"/>
      <c r="O6314" s="28"/>
      <c r="U6314" s="28"/>
    </row>
    <row r="6315">
      <c r="N6315" s="28"/>
      <c r="O6315" s="28"/>
      <c r="U6315" s="28"/>
    </row>
    <row r="6316">
      <c r="N6316" s="28"/>
      <c r="O6316" s="28"/>
      <c r="U6316" s="28"/>
    </row>
    <row r="6317">
      <c r="N6317" s="28"/>
      <c r="O6317" s="28"/>
      <c r="U6317" s="28"/>
    </row>
    <row r="6318">
      <c r="N6318" s="28"/>
      <c r="O6318" s="28"/>
      <c r="U6318" s="28"/>
    </row>
    <row r="6319">
      <c r="N6319" s="28"/>
      <c r="O6319" s="28"/>
      <c r="U6319" s="28"/>
    </row>
    <row r="6320">
      <c r="N6320" s="28"/>
      <c r="O6320" s="28"/>
      <c r="U6320" s="28"/>
    </row>
    <row r="6321">
      <c r="N6321" s="28"/>
      <c r="O6321" s="28"/>
      <c r="U6321" s="28"/>
    </row>
    <row r="6322">
      <c r="N6322" s="28"/>
      <c r="O6322" s="28"/>
      <c r="U6322" s="28"/>
    </row>
    <row r="6323">
      <c r="N6323" s="28"/>
      <c r="O6323" s="28"/>
      <c r="U6323" s="28"/>
    </row>
    <row r="6324">
      <c r="N6324" s="28"/>
      <c r="O6324" s="28"/>
      <c r="U6324" s="28"/>
    </row>
    <row r="6325">
      <c r="N6325" s="28"/>
      <c r="O6325" s="28"/>
      <c r="U6325" s="28"/>
    </row>
    <row r="6326">
      <c r="N6326" s="28"/>
      <c r="O6326" s="28"/>
      <c r="U6326" s="28"/>
    </row>
    <row r="6327">
      <c r="N6327" s="28"/>
      <c r="O6327" s="28"/>
      <c r="U6327" s="28"/>
    </row>
    <row r="6328">
      <c r="N6328" s="28"/>
      <c r="O6328" s="28"/>
      <c r="U6328" s="28"/>
    </row>
    <row r="6329">
      <c r="N6329" s="28"/>
      <c r="O6329" s="28"/>
      <c r="U6329" s="28"/>
    </row>
    <row r="6330">
      <c r="N6330" s="28"/>
      <c r="O6330" s="28"/>
      <c r="U6330" s="28"/>
    </row>
    <row r="6331">
      <c r="N6331" s="28"/>
      <c r="O6331" s="28"/>
      <c r="U6331" s="28"/>
    </row>
    <row r="6332">
      <c r="N6332" s="28"/>
      <c r="O6332" s="28"/>
      <c r="U6332" s="28"/>
    </row>
    <row r="6333">
      <c r="N6333" s="28"/>
      <c r="O6333" s="28"/>
      <c r="U6333" s="28"/>
    </row>
    <row r="6334">
      <c r="N6334" s="28"/>
      <c r="O6334" s="28"/>
      <c r="U6334" s="28"/>
    </row>
    <row r="6335">
      <c r="N6335" s="28"/>
      <c r="O6335" s="28"/>
      <c r="U6335" s="28"/>
    </row>
    <row r="6336">
      <c r="N6336" s="28"/>
      <c r="O6336" s="28"/>
      <c r="U6336" s="28"/>
    </row>
    <row r="6337">
      <c r="N6337" s="28"/>
      <c r="O6337" s="28"/>
      <c r="U6337" s="28"/>
    </row>
    <row r="6338">
      <c r="N6338" s="28"/>
      <c r="O6338" s="28"/>
      <c r="U6338" s="28"/>
    </row>
    <row r="6339">
      <c r="N6339" s="28"/>
      <c r="O6339" s="28"/>
      <c r="U6339" s="28"/>
    </row>
    <row r="6340">
      <c r="N6340" s="28"/>
      <c r="O6340" s="28"/>
      <c r="U6340" s="28"/>
    </row>
    <row r="6341">
      <c r="N6341" s="28"/>
      <c r="O6341" s="28"/>
      <c r="U6341" s="28"/>
    </row>
    <row r="6342">
      <c r="N6342" s="28"/>
      <c r="O6342" s="28"/>
      <c r="U6342" s="28"/>
    </row>
    <row r="6343">
      <c r="N6343" s="28"/>
      <c r="O6343" s="28"/>
      <c r="U6343" s="28"/>
    </row>
    <row r="6344">
      <c r="N6344" s="28"/>
      <c r="O6344" s="28"/>
      <c r="U6344" s="28"/>
    </row>
    <row r="6345">
      <c r="N6345" s="28"/>
      <c r="O6345" s="28"/>
      <c r="U6345" s="28"/>
    </row>
    <row r="6346">
      <c r="N6346" s="28"/>
      <c r="O6346" s="28"/>
      <c r="U6346" s="28"/>
    </row>
    <row r="6347">
      <c r="N6347" s="28"/>
      <c r="O6347" s="28"/>
      <c r="U6347" s="28"/>
    </row>
    <row r="6348">
      <c r="N6348" s="28"/>
      <c r="O6348" s="28"/>
      <c r="U6348" s="28"/>
    </row>
    <row r="6349">
      <c r="N6349" s="28"/>
      <c r="O6349" s="28"/>
      <c r="U6349" s="28"/>
    </row>
    <row r="6350">
      <c r="N6350" s="28"/>
      <c r="O6350" s="28"/>
      <c r="U6350" s="28"/>
    </row>
    <row r="6351">
      <c r="N6351" s="28"/>
      <c r="O6351" s="28"/>
      <c r="U6351" s="28"/>
    </row>
    <row r="6352">
      <c r="N6352" s="28"/>
      <c r="O6352" s="28"/>
      <c r="U6352" s="28"/>
    </row>
    <row r="6353">
      <c r="N6353" s="28"/>
      <c r="O6353" s="28"/>
      <c r="U6353" s="28"/>
    </row>
    <row r="6354">
      <c r="N6354" s="28"/>
      <c r="O6354" s="28"/>
      <c r="U6354" s="28"/>
    </row>
    <row r="6355">
      <c r="N6355" s="28"/>
      <c r="O6355" s="28"/>
      <c r="U6355" s="28"/>
    </row>
    <row r="6356">
      <c r="N6356" s="28"/>
      <c r="O6356" s="28"/>
      <c r="U6356" s="28"/>
    </row>
    <row r="6357">
      <c r="N6357" s="28"/>
      <c r="O6357" s="28"/>
      <c r="U6357" s="28"/>
    </row>
    <row r="6358">
      <c r="N6358" s="28"/>
      <c r="O6358" s="28"/>
      <c r="U6358" s="28"/>
    </row>
    <row r="6359">
      <c r="N6359" s="28"/>
      <c r="O6359" s="28"/>
      <c r="U6359" s="28"/>
    </row>
    <row r="6360">
      <c r="N6360" s="28"/>
      <c r="O6360" s="28"/>
      <c r="U6360" s="28"/>
    </row>
    <row r="6361">
      <c r="N6361" s="28"/>
      <c r="O6361" s="28"/>
      <c r="U6361" s="28"/>
    </row>
    <row r="6362">
      <c r="N6362" s="28"/>
      <c r="O6362" s="28"/>
      <c r="U6362" s="28"/>
    </row>
    <row r="6363">
      <c r="N6363" s="28"/>
      <c r="O6363" s="28"/>
      <c r="U6363" s="28"/>
    </row>
    <row r="6364">
      <c r="N6364" s="28"/>
      <c r="O6364" s="28"/>
      <c r="U6364" s="28"/>
    </row>
    <row r="6365">
      <c r="N6365" s="28"/>
      <c r="O6365" s="28"/>
      <c r="U6365" s="28"/>
    </row>
    <row r="6366">
      <c r="N6366" s="28"/>
      <c r="O6366" s="28"/>
      <c r="U6366" s="28"/>
    </row>
    <row r="6367">
      <c r="N6367" s="28"/>
      <c r="O6367" s="28"/>
      <c r="U6367" s="28"/>
    </row>
    <row r="6368">
      <c r="N6368" s="28"/>
      <c r="O6368" s="28"/>
      <c r="U6368" s="28"/>
    </row>
    <row r="6369">
      <c r="N6369" s="28"/>
      <c r="O6369" s="28"/>
      <c r="U6369" s="28"/>
    </row>
    <row r="6370">
      <c r="N6370" s="28"/>
      <c r="O6370" s="28"/>
      <c r="U6370" s="28"/>
    </row>
    <row r="6371">
      <c r="N6371" s="28"/>
      <c r="O6371" s="28"/>
      <c r="U6371" s="28"/>
    </row>
    <row r="6372">
      <c r="N6372" s="28"/>
      <c r="O6372" s="28"/>
      <c r="U6372" s="28"/>
    </row>
    <row r="6373">
      <c r="N6373" s="28"/>
      <c r="O6373" s="28"/>
      <c r="U6373" s="28"/>
    </row>
    <row r="6374">
      <c r="N6374" s="28"/>
      <c r="O6374" s="28"/>
      <c r="U6374" s="28"/>
    </row>
    <row r="6375">
      <c r="N6375" s="28"/>
      <c r="O6375" s="28"/>
      <c r="U6375" s="28"/>
    </row>
    <row r="6376">
      <c r="N6376" s="28"/>
      <c r="O6376" s="28"/>
      <c r="U6376" s="28"/>
    </row>
    <row r="6377">
      <c r="N6377" s="28"/>
      <c r="O6377" s="28"/>
      <c r="U6377" s="28"/>
    </row>
    <row r="6378">
      <c r="N6378" s="28"/>
      <c r="O6378" s="28"/>
      <c r="U6378" s="28"/>
    </row>
    <row r="6379">
      <c r="N6379" s="28"/>
      <c r="O6379" s="28"/>
      <c r="U6379" s="28"/>
    </row>
    <row r="6380">
      <c r="N6380" s="28"/>
      <c r="O6380" s="28"/>
      <c r="U6380" s="28"/>
    </row>
    <row r="6381">
      <c r="N6381" s="28"/>
      <c r="O6381" s="28"/>
      <c r="U6381" s="28"/>
    </row>
    <row r="6382">
      <c r="N6382" s="28"/>
      <c r="O6382" s="28"/>
      <c r="U6382" s="28"/>
    </row>
    <row r="6383">
      <c r="N6383" s="28"/>
      <c r="O6383" s="28"/>
      <c r="U6383" s="28"/>
    </row>
    <row r="6384">
      <c r="N6384" s="28"/>
      <c r="O6384" s="28"/>
      <c r="U6384" s="28"/>
    </row>
    <row r="6385">
      <c r="N6385" s="28"/>
      <c r="O6385" s="28"/>
      <c r="U6385" s="28"/>
    </row>
    <row r="6386">
      <c r="N6386" s="28"/>
      <c r="O6386" s="28"/>
      <c r="U6386" s="28"/>
    </row>
    <row r="6387">
      <c r="N6387" s="28"/>
      <c r="O6387" s="28"/>
      <c r="U6387" s="28"/>
    </row>
    <row r="6388">
      <c r="N6388" s="28"/>
      <c r="O6388" s="28"/>
      <c r="U6388" s="28"/>
    </row>
    <row r="6389">
      <c r="N6389" s="28"/>
      <c r="O6389" s="28"/>
      <c r="U6389" s="28"/>
    </row>
    <row r="6390">
      <c r="N6390" s="28"/>
      <c r="O6390" s="28"/>
      <c r="U6390" s="28"/>
    </row>
    <row r="6391">
      <c r="N6391" s="28"/>
      <c r="O6391" s="28"/>
      <c r="U6391" s="28"/>
    </row>
    <row r="6392">
      <c r="N6392" s="28"/>
      <c r="O6392" s="28"/>
      <c r="U6392" s="28"/>
    </row>
    <row r="6393">
      <c r="N6393" s="28"/>
      <c r="O6393" s="28"/>
      <c r="U6393" s="28"/>
    </row>
    <row r="6394">
      <c r="N6394" s="28"/>
      <c r="O6394" s="28"/>
      <c r="U6394" s="28"/>
    </row>
    <row r="6395">
      <c r="N6395" s="28"/>
      <c r="O6395" s="28"/>
      <c r="U6395" s="28"/>
    </row>
    <row r="6396">
      <c r="N6396" s="28"/>
      <c r="O6396" s="28"/>
      <c r="U6396" s="28"/>
    </row>
    <row r="6397">
      <c r="N6397" s="28"/>
      <c r="O6397" s="28"/>
      <c r="U6397" s="28"/>
    </row>
    <row r="6398">
      <c r="N6398" s="28"/>
      <c r="O6398" s="28"/>
      <c r="U6398" s="28"/>
    </row>
    <row r="6399">
      <c r="N6399" s="28"/>
      <c r="O6399" s="28"/>
      <c r="U6399" s="28"/>
    </row>
    <row r="6400">
      <c r="N6400" s="28"/>
      <c r="O6400" s="28"/>
      <c r="U6400" s="28"/>
    </row>
    <row r="6401">
      <c r="N6401" s="28"/>
      <c r="O6401" s="28"/>
      <c r="U6401" s="28"/>
    </row>
    <row r="6402">
      <c r="N6402" s="28"/>
      <c r="O6402" s="28"/>
      <c r="U6402" s="28"/>
    </row>
    <row r="6403">
      <c r="N6403" s="28"/>
      <c r="O6403" s="28"/>
      <c r="U6403" s="28"/>
    </row>
    <row r="6404">
      <c r="N6404" s="28"/>
      <c r="O6404" s="28"/>
      <c r="U6404" s="28"/>
    </row>
    <row r="6405">
      <c r="N6405" s="28"/>
      <c r="O6405" s="28"/>
      <c r="U6405" s="28"/>
    </row>
    <row r="6406">
      <c r="N6406" s="28"/>
      <c r="O6406" s="28"/>
      <c r="U6406" s="28"/>
    </row>
    <row r="6407">
      <c r="N6407" s="28"/>
      <c r="O6407" s="28"/>
      <c r="U6407" s="28"/>
    </row>
    <row r="6408">
      <c r="N6408" s="28"/>
      <c r="O6408" s="28"/>
      <c r="U6408" s="28"/>
    </row>
    <row r="6409">
      <c r="N6409" s="28"/>
      <c r="O6409" s="28"/>
      <c r="U6409" s="28"/>
    </row>
    <row r="6410">
      <c r="N6410" s="28"/>
      <c r="O6410" s="28"/>
      <c r="U6410" s="28"/>
    </row>
    <row r="6411">
      <c r="N6411" s="28"/>
      <c r="O6411" s="28"/>
      <c r="U6411" s="28"/>
    </row>
    <row r="6412">
      <c r="N6412" s="28"/>
      <c r="O6412" s="28"/>
      <c r="U6412" s="28"/>
    </row>
    <row r="6413">
      <c r="N6413" s="28"/>
      <c r="O6413" s="28"/>
      <c r="U6413" s="28"/>
    </row>
    <row r="6414">
      <c r="N6414" s="28"/>
      <c r="O6414" s="28"/>
      <c r="U6414" s="28"/>
    </row>
    <row r="6415">
      <c r="N6415" s="28"/>
      <c r="O6415" s="28"/>
      <c r="U6415" s="28"/>
    </row>
    <row r="6416">
      <c r="N6416" s="28"/>
      <c r="O6416" s="28"/>
      <c r="U6416" s="28"/>
    </row>
    <row r="6417">
      <c r="N6417" s="28"/>
      <c r="O6417" s="28"/>
      <c r="U6417" s="28"/>
    </row>
    <row r="6418">
      <c r="N6418" s="28"/>
      <c r="O6418" s="28"/>
      <c r="U6418" s="28"/>
    </row>
    <row r="6419">
      <c r="N6419" s="28"/>
      <c r="O6419" s="28"/>
      <c r="U6419" s="28"/>
    </row>
    <row r="6420">
      <c r="N6420" s="28"/>
      <c r="O6420" s="28"/>
      <c r="U6420" s="28"/>
    </row>
    <row r="6421">
      <c r="N6421" s="28"/>
      <c r="O6421" s="28"/>
      <c r="U6421" s="28"/>
    </row>
    <row r="6422">
      <c r="N6422" s="28"/>
      <c r="O6422" s="28"/>
      <c r="U6422" s="28"/>
    </row>
    <row r="6423">
      <c r="N6423" s="28"/>
      <c r="O6423" s="28"/>
      <c r="U6423" s="28"/>
    </row>
    <row r="6424">
      <c r="N6424" s="28"/>
      <c r="O6424" s="28"/>
      <c r="U6424" s="28"/>
    </row>
    <row r="6425">
      <c r="N6425" s="28"/>
      <c r="O6425" s="28"/>
      <c r="U6425" s="28"/>
    </row>
    <row r="6426">
      <c r="N6426" s="28"/>
      <c r="O6426" s="28"/>
      <c r="U6426" s="28"/>
    </row>
    <row r="6427">
      <c r="N6427" s="28"/>
      <c r="O6427" s="28"/>
      <c r="U6427" s="28"/>
    </row>
    <row r="6428">
      <c r="N6428" s="28"/>
      <c r="O6428" s="28"/>
      <c r="U6428" s="28"/>
    </row>
    <row r="6429">
      <c r="N6429" s="28"/>
      <c r="O6429" s="28"/>
      <c r="U6429" s="28"/>
    </row>
    <row r="6430">
      <c r="N6430" s="28"/>
      <c r="O6430" s="28"/>
      <c r="U6430" s="28"/>
    </row>
    <row r="6431">
      <c r="N6431" s="28"/>
      <c r="O6431" s="28"/>
      <c r="U6431" s="28"/>
    </row>
    <row r="6432">
      <c r="N6432" s="28"/>
      <c r="O6432" s="28"/>
      <c r="U6432" s="28"/>
    </row>
    <row r="6433">
      <c r="N6433" s="28"/>
      <c r="O6433" s="28"/>
      <c r="U6433" s="28"/>
    </row>
    <row r="6434">
      <c r="N6434" s="28"/>
      <c r="O6434" s="28"/>
      <c r="U6434" s="28"/>
    </row>
    <row r="6435">
      <c r="N6435" s="28"/>
      <c r="O6435" s="28"/>
      <c r="U6435" s="28"/>
    </row>
    <row r="6436">
      <c r="N6436" s="28"/>
      <c r="O6436" s="28"/>
      <c r="U6436" s="28"/>
    </row>
    <row r="6437">
      <c r="N6437" s="28"/>
      <c r="O6437" s="28"/>
      <c r="U6437" s="28"/>
    </row>
    <row r="6438">
      <c r="N6438" s="28"/>
      <c r="O6438" s="28"/>
      <c r="U6438" s="28"/>
    </row>
    <row r="6439">
      <c r="N6439" s="28"/>
      <c r="O6439" s="28"/>
      <c r="U6439" s="28"/>
    </row>
    <row r="6440">
      <c r="N6440" s="28"/>
      <c r="O6440" s="28"/>
      <c r="U6440" s="28"/>
    </row>
    <row r="6441">
      <c r="N6441" s="28"/>
      <c r="O6441" s="28"/>
      <c r="U6441" s="28"/>
    </row>
    <row r="6442">
      <c r="N6442" s="28"/>
      <c r="O6442" s="28"/>
      <c r="U6442" s="28"/>
    </row>
    <row r="6443">
      <c r="N6443" s="28"/>
      <c r="O6443" s="28"/>
      <c r="U6443" s="28"/>
    </row>
    <row r="6444">
      <c r="N6444" s="28"/>
      <c r="O6444" s="28"/>
      <c r="U6444" s="28"/>
    </row>
    <row r="6445">
      <c r="N6445" s="28"/>
      <c r="O6445" s="28"/>
      <c r="U6445" s="28"/>
    </row>
    <row r="6446">
      <c r="N6446" s="28"/>
      <c r="O6446" s="28"/>
      <c r="U6446" s="28"/>
    </row>
    <row r="6447">
      <c r="N6447" s="28"/>
      <c r="O6447" s="28"/>
      <c r="U6447" s="28"/>
    </row>
    <row r="6448">
      <c r="N6448" s="28"/>
      <c r="O6448" s="28"/>
      <c r="U6448" s="28"/>
    </row>
    <row r="6449">
      <c r="N6449" s="28"/>
      <c r="O6449" s="28"/>
      <c r="U6449" s="28"/>
    </row>
    <row r="6450">
      <c r="N6450" s="28"/>
      <c r="O6450" s="28"/>
      <c r="U6450" s="28"/>
    </row>
    <row r="6451">
      <c r="N6451" s="28"/>
      <c r="O6451" s="28"/>
      <c r="U6451" s="28"/>
    </row>
    <row r="6452">
      <c r="N6452" s="28"/>
      <c r="O6452" s="28"/>
      <c r="U6452" s="28"/>
    </row>
    <row r="6453">
      <c r="N6453" s="28"/>
      <c r="O6453" s="28"/>
      <c r="U6453" s="28"/>
    </row>
    <row r="6454">
      <c r="N6454" s="28"/>
      <c r="O6454" s="28"/>
      <c r="U6454" s="28"/>
    </row>
    <row r="6455">
      <c r="N6455" s="28"/>
      <c r="O6455" s="28"/>
      <c r="U6455" s="28"/>
    </row>
    <row r="6456">
      <c r="N6456" s="28"/>
      <c r="O6456" s="28"/>
      <c r="U6456" s="28"/>
    </row>
    <row r="6457">
      <c r="N6457" s="28"/>
      <c r="O6457" s="28"/>
      <c r="U6457" s="28"/>
    </row>
    <row r="6458">
      <c r="N6458" s="28"/>
      <c r="O6458" s="28"/>
      <c r="U6458" s="28"/>
    </row>
    <row r="6459">
      <c r="N6459" s="28"/>
      <c r="O6459" s="28"/>
      <c r="U6459" s="28"/>
    </row>
    <row r="6460">
      <c r="N6460" s="28"/>
      <c r="O6460" s="28"/>
      <c r="U6460" s="28"/>
    </row>
    <row r="6461">
      <c r="N6461" s="28"/>
      <c r="O6461" s="28"/>
      <c r="U6461" s="28"/>
    </row>
    <row r="6462">
      <c r="N6462" s="28"/>
      <c r="O6462" s="28"/>
      <c r="U6462" s="28"/>
    </row>
    <row r="6463">
      <c r="N6463" s="28"/>
      <c r="O6463" s="28"/>
      <c r="U6463" s="28"/>
    </row>
    <row r="6464">
      <c r="N6464" s="28"/>
      <c r="O6464" s="28"/>
      <c r="U6464" s="28"/>
    </row>
    <row r="6465">
      <c r="N6465" s="28"/>
      <c r="O6465" s="28"/>
      <c r="U6465" s="28"/>
    </row>
    <row r="6466">
      <c r="N6466" s="28"/>
      <c r="O6466" s="28"/>
      <c r="U6466" s="28"/>
    </row>
    <row r="6467">
      <c r="N6467" s="28"/>
      <c r="O6467" s="28"/>
      <c r="U6467" s="28"/>
    </row>
    <row r="6468">
      <c r="N6468" s="28"/>
      <c r="O6468" s="28"/>
      <c r="U6468" s="28"/>
    </row>
    <row r="6469">
      <c r="N6469" s="28"/>
      <c r="O6469" s="28"/>
      <c r="U6469" s="28"/>
    </row>
    <row r="6470">
      <c r="N6470" s="28"/>
      <c r="O6470" s="28"/>
      <c r="U6470" s="28"/>
    </row>
    <row r="6471">
      <c r="N6471" s="28"/>
      <c r="O6471" s="28"/>
      <c r="U6471" s="28"/>
    </row>
    <row r="6472">
      <c r="N6472" s="28"/>
      <c r="O6472" s="28"/>
      <c r="U6472" s="28"/>
    </row>
    <row r="6473">
      <c r="N6473" s="28"/>
      <c r="O6473" s="28"/>
      <c r="U6473" s="28"/>
    </row>
    <row r="6474">
      <c r="N6474" s="28"/>
      <c r="O6474" s="28"/>
      <c r="U6474" s="28"/>
    </row>
    <row r="6475">
      <c r="N6475" s="28"/>
      <c r="O6475" s="28"/>
      <c r="U6475" s="28"/>
    </row>
    <row r="6476">
      <c r="N6476" s="28"/>
      <c r="O6476" s="28"/>
      <c r="U6476" s="28"/>
    </row>
    <row r="6477">
      <c r="N6477" s="28"/>
      <c r="O6477" s="28"/>
      <c r="U6477" s="28"/>
    </row>
    <row r="6478">
      <c r="N6478" s="28"/>
      <c r="O6478" s="28"/>
      <c r="U6478" s="28"/>
    </row>
    <row r="6479">
      <c r="N6479" s="28"/>
      <c r="O6479" s="28"/>
      <c r="U6479" s="28"/>
    </row>
    <row r="6480">
      <c r="N6480" s="28"/>
      <c r="O6480" s="28"/>
      <c r="U6480" s="28"/>
    </row>
    <row r="6481">
      <c r="N6481" s="28"/>
      <c r="O6481" s="28"/>
      <c r="U6481" s="28"/>
    </row>
    <row r="6482">
      <c r="N6482" s="28"/>
      <c r="O6482" s="28"/>
      <c r="U6482" s="28"/>
    </row>
    <row r="6483">
      <c r="N6483" s="28"/>
      <c r="O6483" s="28"/>
      <c r="U6483" s="28"/>
    </row>
    <row r="6484">
      <c r="N6484" s="28"/>
      <c r="O6484" s="28"/>
      <c r="U6484" s="28"/>
    </row>
    <row r="6485">
      <c r="N6485" s="28"/>
      <c r="O6485" s="28"/>
      <c r="U6485" s="28"/>
    </row>
    <row r="6486">
      <c r="N6486" s="28"/>
      <c r="O6486" s="28"/>
      <c r="U6486" s="28"/>
    </row>
    <row r="6487">
      <c r="N6487" s="28"/>
      <c r="O6487" s="28"/>
      <c r="U6487" s="28"/>
    </row>
    <row r="6488">
      <c r="N6488" s="28"/>
      <c r="O6488" s="28"/>
      <c r="U6488" s="28"/>
    </row>
    <row r="6489">
      <c r="N6489" s="28"/>
      <c r="O6489" s="28"/>
      <c r="U6489" s="28"/>
    </row>
    <row r="6490">
      <c r="N6490" s="28"/>
      <c r="O6490" s="28"/>
      <c r="U6490" s="28"/>
    </row>
    <row r="6491">
      <c r="N6491" s="28"/>
      <c r="O6491" s="28"/>
      <c r="U6491" s="28"/>
    </row>
    <row r="6492">
      <c r="N6492" s="28"/>
      <c r="O6492" s="28"/>
      <c r="U6492" s="28"/>
    </row>
    <row r="6493">
      <c r="N6493" s="28"/>
      <c r="O6493" s="28"/>
      <c r="U6493" s="28"/>
    </row>
    <row r="6494">
      <c r="N6494" s="28"/>
      <c r="O6494" s="28"/>
      <c r="U6494" s="28"/>
    </row>
    <row r="6495">
      <c r="N6495" s="28"/>
      <c r="O6495" s="28"/>
      <c r="U6495" s="28"/>
    </row>
    <row r="6496">
      <c r="N6496" s="28"/>
      <c r="O6496" s="28"/>
      <c r="U6496" s="28"/>
    </row>
    <row r="6497">
      <c r="N6497" s="28"/>
      <c r="O6497" s="28"/>
      <c r="U6497" s="28"/>
    </row>
    <row r="6498">
      <c r="N6498" s="28"/>
      <c r="O6498" s="28"/>
      <c r="U6498" s="28"/>
    </row>
    <row r="6499">
      <c r="N6499" s="28"/>
      <c r="O6499" s="28"/>
      <c r="U6499" s="28"/>
    </row>
    <row r="6500">
      <c r="N6500" s="28"/>
      <c r="O6500" s="28"/>
      <c r="U6500" s="28"/>
    </row>
    <row r="6501">
      <c r="N6501" s="28"/>
      <c r="O6501" s="28"/>
      <c r="U6501" s="28"/>
    </row>
    <row r="6502">
      <c r="N6502" s="28"/>
      <c r="O6502" s="28"/>
      <c r="U6502" s="28"/>
    </row>
    <row r="6503">
      <c r="N6503" s="28"/>
      <c r="O6503" s="28"/>
      <c r="U6503" s="28"/>
    </row>
    <row r="6504">
      <c r="N6504" s="28"/>
      <c r="O6504" s="28"/>
      <c r="U6504" s="28"/>
    </row>
    <row r="6505">
      <c r="N6505" s="28"/>
      <c r="O6505" s="28"/>
      <c r="U6505" s="28"/>
    </row>
    <row r="6506">
      <c r="N6506" s="28"/>
      <c r="O6506" s="28"/>
      <c r="U6506" s="28"/>
    </row>
    <row r="6507">
      <c r="N6507" s="28"/>
      <c r="O6507" s="28"/>
      <c r="U6507" s="28"/>
    </row>
    <row r="6508">
      <c r="N6508" s="28"/>
      <c r="O6508" s="28"/>
      <c r="U6508" s="28"/>
    </row>
    <row r="6509">
      <c r="N6509" s="28"/>
      <c r="O6509" s="28"/>
      <c r="U6509" s="28"/>
    </row>
    <row r="6510">
      <c r="N6510" s="28"/>
      <c r="O6510" s="28"/>
      <c r="U6510" s="28"/>
    </row>
    <row r="6511">
      <c r="N6511" s="28"/>
      <c r="O6511" s="28"/>
      <c r="U6511" s="28"/>
    </row>
    <row r="6512">
      <c r="N6512" s="28"/>
      <c r="O6512" s="28"/>
      <c r="U6512" s="28"/>
    </row>
    <row r="6513">
      <c r="N6513" s="28"/>
      <c r="O6513" s="28"/>
      <c r="U6513" s="28"/>
    </row>
    <row r="6514">
      <c r="N6514" s="28"/>
      <c r="O6514" s="28"/>
      <c r="U6514" s="28"/>
    </row>
    <row r="6515">
      <c r="N6515" s="28"/>
      <c r="O6515" s="28"/>
      <c r="U6515" s="28"/>
    </row>
    <row r="6516">
      <c r="N6516" s="28"/>
      <c r="O6516" s="28"/>
      <c r="U6516" s="28"/>
    </row>
    <row r="6517">
      <c r="N6517" s="28"/>
      <c r="O6517" s="28"/>
      <c r="U6517" s="28"/>
    </row>
    <row r="6518">
      <c r="N6518" s="28"/>
      <c r="O6518" s="28"/>
      <c r="U6518" s="28"/>
    </row>
    <row r="6519">
      <c r="N6519" s="28"/>
      <c r="O6519" s="28"/>
      <c r="U6519" s="28"/>
    </row>
    <row r="6520">
      <c r="N6520" s="28"/>
      <c r="O6520" s="28"/>
      <c r="U6520" s="28"/>
    </row>
    <row r="6521">
      <c r="N6521" s="28"/>
      <c r="O6521" s="28"/>
      <c r="U6521" s="28"/>
    </row>
    <row r="6522">
      <c r="N6522" s="28"/>
      <c r="O6522" s="28"/>
      <c r="U6522" s="28"/>
    </row>
    <row r="6523">
      <c r="N6523" s="28"/>
      <c r="O6523" s="28"/>
      <c r="U6523" s="28"/>
    </row>
    <row r="6524">
      <c r="N6524" s="28"/>
      <c r="O6524" s="28"/>
      <c r="U6524" s="28"/>
    </row>
    <row r="6525">
      <c r="N6525" s="28"/>
      <c r="O6525" s="28"/>
      <c r="U6525" s="28"/>
    </row>
    <row r="6526">
      <c r="N6526" s="28"/>
      <c r="O6526" s="28"/>
      <c r="U6526" s="28"/>
    </row>
    <row r="6527">
      <c r="N6527" s="28"/>
      <c r="O6527" s="28"/>
      <c r="U6527" s="28"/>
    </row>
    <row r="6528">
      <c r="N6528" s="28"/>
      <c r="O6528" s="28"/>
      <c r="U6528" s="28"/>
    </row>
    <row r="6529">
      <c r="N6529" s="28"/>
      <c r="O6529" s="28"/>
      <c r="U6529" s="28"/>
    </row>
    <row r="6530">
      <c r="N6530" s="28"/>
      <c r="O6530" s="28"/>
      <c r="U6530" s="28"/>
    </row>
    <row r="6531">
      <c r="N6531" s="28"/>
      <c r="O6531" s="28"/>
      <c r="U6531" s="28"/>
    </row>
    <row r="6532">
      <c r="N6532" s="28"/>
      <c r="O6532" s="28"/>
      <c r="U6532" s="28"/>
    </row>
    <row r="6533">
      <c r="N6533" s="28"/>
      <c r="O6533" s="28"/>
      <c r="U6533" s="28"/>
    </row>
    <row r="6534">
      <c r="N6534" s="28"/>
      <c r="O6534" s="28"/>
      <c r="U6534" s="28"/>
    </row>
    <row r="6535">
      <c r="N6535" s="28"/>
      <c r="O6535" s="28"/>
      <c r="U6535" s="28"/>
    </row>
    <row r="6536">
      <c r="N6536" s="28"/>
      <c r="O6536" s="28"/>
      <c r="U6536" s="28"/>
    </row>
    <row r="6537">
      <c r="N6537" s="28"/>
      <c r="O6537" s="28"/>
      <c r="U6537" s="28"/>
    </row>
    <row r="6538">
      <c r="N6538" s="28"/>
      <c r="O6538" s="28"/>
      <c r="U6538" s="28"/>
    </row>
    <row r="6539">
      <c r="N6539" s="28"/>
      <c r="O6539" s="28"/>
      <c r="U6539" s="28"/>
    </row>
    <row r="6540">
      <c r="N6540" s="28"/>
      <c r="O6540" s="28"/>
      <c r="U6540" s="28"/>
    </row>
    <row r="6541">
      <c r="N6541" s="28"/>
      <c r="O6541" s="28"/>
      <c r="U6541" s="28"/>
    </row>
    <row r="6542">
      <c r="N6542" s="28"/>
      <c r="O6542" s="28"/>
      <c r="U6542" s="28"/>
    </row>
    <row r="6543">
      <c r="N6543" s="28"/>
      <c r="O6543" s="28"/>
      <c r="U6543" s="28"/>
    </row>
    <row r="6544">
      <c r="N6544" s="28"/>
      <c r="O6544" s="28"/>
      <c r="U6544" s="28"/>
    </row>
    <row r="6545">
      <c r="N6545" s="28"/>
      <c r="O6545" s="28"/>
      <c r="U6545" s="28"/>
    </row>
    <row r="6546">
      <c r="N6546" s="28"/>
      <c r="O6546" s="28"/>
      <c r="U6546" s="28"/>
    </row>
    <row r="6547">
      <c r="N6547" s="28"/>
      <c r="O6547" s="28"/>
      <c r="U6547" s="28"/>
    </row>
    <row r="6548">
      <c r="N6548" s="28"/>
      <c r="O6548" s="28"/>
      <c r="U6548" s="28"/>
    </row>
    <row r="6549">
      <c r="N6549" s="28"/>
      <c r="O6549" s="28"/>
      <c r="U6549" s="28"/>
    </row>
    <row r="6550">
      <c r="N6550" s="28"/>
      <c r="O6550" s="28"/>
      <c r="U6550" s="28"/>
    </row>
    <row r="6551">
      <c r="N6551" s="28"/>
      <c r="O6551" s="28"/>
      <c r="U6551" s="28"/>
    </row>
    <row r="6552">
      <c r="N6552" s="28"/>
      <c r="O6552" s="28"/>
      <c r="U6552" s="28"/>
    </row>
    <row r="6553">
      <c r="N6553" s="28"/>
      <c r="O6553" s="28"/>
      <c r="U6553" s="28"/>
    </row>
    <row r="6554">
      <c r="N6554" s="28"/>
      <c r="O6554" s="28"/>
      <c r="U6554" s="28"/>
    </row>
    <row r="6555">
      <c r="N6555" s="28"/>
      <c r="O6555" s="28"/>
      <c r="U6555" s="28"/>
    </row>
    <row r="6556">
      <c r="N6556" s="28"/>
      <c r="O6556" s="28"/>
      <c r="U6556" s="28"/>
    </row>
    <row r="6557">
      <c r="N6557" s="28"/>
      <c r="O6557" s="28"/>
      <c r="U6557" s="28"/>
    </row>
    <row r="6558">
      <c r="N6558" s="28"/>
      <c r="O6558" s="28"/>
      <c r="U6558" s="28"/>
    </row>
    <row r="6559">
      <c r="N6559" s="28"/>
      <c r="O6559" s="28"/>
      <c r="U6559" s="28"/>
    </row>
    <row r="6560">
      <c r="N6560" s="28"/>
      <c r="O6560" s="28"/>
      <c r="U6560" s="28"/>
    </row>
    <row r="6561">
      <c r="N6561" s="28"/>
      <c r="O6561" s="28"/>
      <c r="U6561" s="28"/>
    </row>
    <row r="6562">
      <c r="N6562" s="28"/>
      <c r="O6562" s="28"/>
      <c r="U6562" s="28"/>
    </row>
    <row r="6563">
      <c r="N6563" s="28"/>
      <c r="O6563" s="28"/>
      <c r="U6563" s="28"/>
    </row>
    <row r="6564">
      <c r="N6564" s="28"/>
      <c r="O6564" s="28"/>
      <c r="U6564" s="28"/>
    </row>
    <row r="6565">
      <c r="N6565" s="28"/>
      <c r="O6565" s="28"/>
      <c r="U6565" s="28"/>
    </row>
    <row r="6566">
      <c r="N6566" s="28"/>
      <c r="O6566" s="28"/>
      <c r="U6566" s="28"/>
    </row>
    <row r="6567">
      <c r="N6567" s="28"/>
      <c r="O6567" s="28"/>
      <c r="U6567" s="28"/>
    </row>
    <row r="6568">
      <c r="N6568" s="28"/>
      <c r="O6568" s="28"/>
      <c r="U6568" s="28"/>
    </row>
    <row r="6569">
      <c r="N6569" s="28"/>
      <c r="O6569" s="28"/>
      <c r="U6569" s="28"/>
    </row>
    <row r="6570">
      <c r="N6570" s="28"/>
      <c r="O6570" s="28"/>
      <c r="U6570" s="28"/>
    </row>
    <row r="6571">
      <c r="N6571" s="28"/>
      <c r="O6571" s="28"/>
      <c r="U6571" s="28"/>
    </row>
    <row r="6572">
      <c r="N6572" s="28"/>
      <c r="O6572" s="28"/>
      <c r="U6572" s="28"/>
    </row>
    <row r="6573">
      <c r="N6573" s="28"/>
      <c r="O6573" s="28"/>
      <c r="U6573" s="28"/>
    </row>
    <row r="6574">
      <c r="N6574" s="28"/>
      <c r="O6574" s="28"/>
      <c r="U6574" s="28"/>
    </row>
    <row r="6575">
      <c r="N6575" s="28"/>
      <c r="O6575" s="28"/>
      <c r="U6575" s="28"/>
    </row>
    <row r="6576">
      <c r="N6576" s="28"/>
      <c r="O6576" s="28"/>
      <c r="U6576" s="28"/>
    </row>
    <row r="6577">
      <c r="N6577" s="28"/>
      <c r="O6577" s="28"/>
      <c r="U6577" s="28"/>
    </row>
    <row r="6578">
      <c r="N6578" s="28"/>
      <c r="O6578" s="28"/>
      <c r="U6578" s="28"/>
    </row>
    <row r="6579">
      <c r="N6579" s="28"/>
      <c r="O6579" s="28"/>
      <c r="U6579" s="28"/>
    </row>
    <row r="6580">
      <c r="N6580" s="28"/>
      <c r="O6580" s="28"/>
      <c r="U6580" s="28"/>
    </row>
    <row r="6581">
      <c r="N6581" s="28"/>
      <c r="O6581" s="28"/>
      <c r="U6581" s="28"/>
    </row>
    <row r="6582">
      <c r="N6582" s="28"/>
      <c r="O6582" s="28"/>
      <c r="U6582" s="28"/>
    </row>
    <row r="6583">
      <c r="N6583" s="28"/>
      <c r="O6583" s="28"/>
      <c r="U6583" s="28"/>
    </row>
    <row r="6584">
      <c r="N6584" s="28"/>
      <c r="O6584" s="28"/>
      <c r="U6584" s="28"/>
    </row>
    <row r="6585">
      <c r="N6585" s="28"/>
      <c r="O6585" s="28"/>
      <c r="U6585" s="28"/>
    </row>
    <row r="6586">
      <c r="N6586" s="28"/>
      <c r="O6586" s="28"/>
      <c r="U6586" s="28"/>
    </row>
    <row r="6587">
      <c r="N6587" s="28"/>
      <c r="O6587" s="28"/>
      <c r="U6587" s="28"/>
    </row>
    <row r="6588">
      <c r="N6588" s="28"/>
      <c r="O6588" s="28"/>
      <c r="U6588" s="28"/>
    </row>
    <row r="6589">
      <c r="N6589" s="28"/>
      <c r="O6589" s="28"/>
      <c r="U6589" s="28"/>
    </row>
    <row r="6590">
      <c r="N6590" s="28"/>
      <c r="O6590" s="28"/>
      <c r="U6590" s="28"/>
    </row>
    <row r="6591">
      <c r="N6591" s="28"/>
      <c r="O6591" s="28"/>
      <c r="U6591" s="28"/>
    </row>
    <row r="6592">
      <c r="N6592" s="28"/>
      <c r="O6592" s="28"/>
      <c r="U6592" s="28"/>
    </row>
    <row r="6593">
      <c r="N6593" s="28"/>
      <c r="O6593" s="28"/>
      <c r="U6593" s="28"/>
    </row>
    <row r="6594">
      <c r="N6594" s="28"/>
      <c r="O6594" s="28"/>
      <c r="U6594" s="28"/>
    </row>
    <row r="6595">
      <c r="N6595" s="28"/>
      <c r="O6595" s="28"/>
      <c r="U6595" s="28"/>
    </row>
    <row r="6596">
      <c r="N6596" s="28"/>
      <c r="O6596" s="28"/>
      <c r="U6596" s="28"/>
    </row>
    <row r="6597">
      <c r="N6597" s="28"/>
      <c r="O6597" s="28"/>
      <c r="U6597" s="28"/>
    </row>
    <row r="6598">
      <c r="N6598" s="28"/>
      <c r="O6598" s="28"/>
      <c r="U6598" s="28"/>
    </row>
    <row r="6599">
      <c r="N6599" s="28"/>
      <c r="O6599" s="28"/>
      <c r="U6599" s="28"/>
    </row>
    <row r="6600">
      <c r="N6600" s="28"/>
      <c r="O6600" s="28"/>
      <c r="U6600" s="28"/>
    </row>
    <row r="6601">
      <c r="N6601" s="28"/>
      <c r="O6601" s="28"/>
      <c r="U6601" s="28"/>
    </row>
    <row r="6602">
      <c r="N6602" s="28"/>
      <c r="O6602" s="28"/>
      <c r="U6602" s="28"/>
    </row>
    <row r="6603">
      <c r="N6603" s="28"/>
      <c r="O6603" s="28"/>
      <c r="U6603" s="28"/>
    </row>
    <row r="6604">
      <c r="N6604" s="28"/>
      <c r="O6604" s="28"/>
      <c r="U6604" s="28"/>
    </row>
    <row r="6605">
      <c r="N6605" s="28"/>
      <c r="O6605" s="28"/>
      <c r="U6605" s="28"/>
    </row>
    <row r="6606">
      <c r="N6606" s="28"/>
      <c r="O6606" s="28"/>
      <c r="U6606" s="28"/>
    </row>
    <row r="6607">
      <c r="N6607" s="28"/>
      <c r="O6607" s="28"/>
      <c r="U6607" s="28"/>
    </row>
    <row r="6608">
      <c r="N6608" s="28"/>
      <c r="O6608" s="28"/>
      <c r="U6608" s="28"/>
    </row>
    <row r="6609">
      <c r="N6609" s="28"/>
      <c r="O6609" s="28"/>
      <c r="U6609" s="28"/>
    </row>
    <row r="6610">
      <c r="N6610" s="28"/>
      <c r="O6610" s="28"/>
      <c r="U6610" s="28"/>
    </row>
    <row r="6611">
      <c r="N6611" s="28"/>
      <c r="O6611" s="28"/>
      <c r="U6611" s="28"/>
    </row>
    <row r="6612">
      <c r="N6612" s="28"/>
      <c r="O6612" s="28"/>
      <c r="U6612" s="28"/>
    </row>
    <row r="6613">
      <c r="N6613" s="28"/>
      <c r="O6613" s="28"/>
      <c r="U6613" s="28"/>
    </row>
    <row r="6614">
      <c r="N6614" s="28"/>
      <c r="O6614" s="28"/>
      <c r="U6614" s="28"/>
    </row>
    <row r="6615">
      <c r="N6615" s="28"/>
      <c r="O6615" s="28"/>
      <c r="U6615" s="28"/>
    </row>
    <row r="6616">
      <c r="N6616" s="28"/>
      <c r="O6616" s="28"/>
      <c r="U6616" s="28"/>
    </row>
    <row r="6617">
      <c r="N6617" s="28"/>
      <c r="O6617" s="28"/>
      <c r="U6617" s="28"/>
    </row>
    <row r="6618">
      <c r="N6618" s="28"/>
      <c r="O6618" s="28"/>
      <c r="U6618" s="28"/>
    </row>
    <row r="6619">
      <c r="N6619" s="28"/>
      <c r="O6619" s="28"/>
      <c r="U6619" s="28"/>
    </row>
    <row r="6620">
      <c r="N6620" s="28"/>
      <c r="O6620" s="28"/>
      <c r="U6620" s="28"/>
    </row>
    <row r="6621">
      <c r="N6621" s="28"/>
      <c r="O6621" s="28"/>
      <c r="U6621" s="28"/>
    </row>
    <row r="6622">
      <c r="N6622" s="28"/>
      <c r="O6622" s="28"/>
      <c r="U6622" s="28"/>
    </row>
    <row r="6623">
      <c r="N6623" s="28"/>
      <c r="O6623" s="28"/>
      <c r="U6623" s="28"/>
    </row>
    <row r="6624">
      <c r="N6624" s="28"/>
      <c r="O6624" s="28"/>
      <c r="U6624" s="28"/>
    </row>
    <row r="6625">
      <c r="N6625" s="28"/>
      <c r="O6625" s="28"/>
      <c r="U6625" s="28"/>
    </row>
    <row r="6626">
      <c r="N6626" s="28"/>
      <c r="O6626" s="28"/>
      <c r="U6626" s="28"/>
    </row>
    <row r="6627">
      <c r="N6627" s="28"/>
      <c r="O6627" s="28"/>
      <c r="U6627" s="28"/>
    </row>
    <row r="6628">
      <c r="N6628" s="28"/>
      <c r="O6628" s="28"/>
      <c r="U6628" s="28"/>
    </row>
    <row r="6629">
      <c r="N6629" s="28"/>
      <c r="O6629" s="28"/>
      <c r="U6629" s="28"/>
    </row>
    <row r="6630">
      <c r="N6630" s="28"/>
      <c r="O6630" s="28"/>
      <c r="U6630" s="28"/>
    </row>
    <row r="6631">
      <c r="N6631" s="28"/>
      <c r="O6631" s="28"/>
      <c r="U6631" s="28"/>
    </row>
    <row r="6632">
      <c r="N6632" s="28"/>
      <c r="O6632" s="28"/>
      <c r="U6632" s="28"/>
    </row>
    <row r="6633">
      <c r="N6633" s="28"/>
      <c r="O6633" s="28"/>
      <c r="U6633" s="28"/>
    </row>
    <row r="6634">
      <c r="N6634" s="28"/>
      <c r="O6634" s="28"/>
      <c r="U6634" s="28"/>
    </row>
    <row r="6635">
      <c r="N6635" s="28"/>
      <c r="O6635" s="28"/>
      <c r="U6635" s="28"/>
    </row>
    <row r="6636">
      <c r="N6636" s="28"/>
      <c r="O6636" s="28"/>
      <c r="U6636" s="28"/>
    </row>
    <row r="6637">
      <c r="N6637" s="28"/>
      <c r="O6637" s="28"/>
      <c r="U6637" s="28"/>
    </row>
    <row r="6638">
      <c r="N6638" s="28"/>
      <c r="O6638" s="28"/>
      <c r="U6638" s="28"/>
    </row>
    <row r="6639">
      <c r="N6639" s="28"/>
      <c r="O6639" s="28"/>
      <c r="U6639" s="28"/>
    </row>
    <row r="6640">
      <c r="N6640" s="28"/>
      <c r="O6640" s="28"/>
      <c r="U6640" s="28"/>
    </row>
    <row r="6641">
      <c r="N6641" s="28"/>
      <c r="O6641" s="28"/>
      <c r="U6641" s="28"/>
    </row>
    <row r="6642">
      <c r="N6642" s="28"/>
      <c r="O6642" s="28"/>
      <c r="U6642" s="28"/>
    </row>
    <row r="6643">
      <c r="N6643" s="28"/>
      <c r="O6643" s="28"/>
      <c r="U6643" s="28"/>
    </row>
    <row r="6644">
      <c r="N6644" s="28"/>
      <c r="O6644" s="28"/>
      <c r="U6644" s="28"/>
    </row>
    <row r="6645">
      <c r="N6645" s="28"/>
      <c r="O6645" s="28"/>
      <c r="U6645" s="28"/>
    </row>
    <row r="6646">
      <c r="N6646" s="28"/>
      <c r="O6646" s="28"/>
      <c r="U6646" s="28"/>
    </row>
    <row r="6647">
      <c r="N6647" s="28"/>
      <c r="O6647" s="28"/>
      <c r="U6647" s="28"/>
    </row>
    <row r="6648">
      <c r="N6648" s="28"/>
      <c r="O6648" s="28"/>
      <c r="U6648" s="28"/>
    </row>
    <row r="6649">
      <c r="N6649" s="28"/>
      <c r="O6649" s="28"/>
      <c r="U6649" s="28"/>
    </row>
    <row r="6650">
      <c r="N6650" s="28"/>
      <c r="O6650" s="28"/>
      <c r="U6650" s="28"/>
    </row>
    <row r="6651">
      <c r="N6651" s="28"/>
      <c r="O6651" s="28"/>
      <c r="U6651" s="28"/>
    </row>
    <row r="6652">
      <c r="N6652" s="28"/>
      <c r="O6652" s="28"/>
      <c r="U6652" s="28"/>
    </row>
    <row r="6653">
      <c r="N6653" s="28"/>
      <c r="O6653" s="28"/>
      <c r="U6653" s="28"/>
    </row>
    <row r="6654">
      <c r="N6654" s="28"/>
      <c r="O6654" s="28"/>
      <c r="U6654" s="28"/>
    </row>
    <row r="6655">
      <c r="N6655" s="28"/>
      <c r="O6655" s="28"/>
      <c r="U6655" s="28"/>
    </row>
    <row r="6656">
      <c r="N6656" s="28"/>
      <c r="O6656" s="28"/>
      <c r="U6656" s="28"/>
    </row>
    <row r="6657">
      <c r="N6657" s="28"/>
      <c r="O6657" s="28"/>
      <c r="U6657" s="28"/>
    </row>
    <row r="6658">
      <c r="N6658" s="28"/>
      <c r="O6658" s="28"/>
      <c r="U6658" s="28"/>
    </row>
    <row r="6659">
      <c r="N6659" s="28"/>
      <c r="O6659" s="28"/>
      <c r="U6659" s="28"/>
    </row>
    <row r="6660">
      <c r="N6660" s="28"/>
      <c r="O6660" s="28"/>
      <c r="U6660" s="28"/>
    </row>
    <row r="6661">
      <c r="N6661" s="28"/>
      <c r="O6661" s="28"/>
      <c r="U6661" s="28"/>
    </row>
    <row r="6662">
      <c r="N6662" s="28"/>
      <c r="O6662" s="28"/>
      <c r="U6662" s="28"/>
    </row>
    <row r="6663">
      <c r="N6663" s="28"/>
      <c r="O6663" s="28"/>
      <c r="U6663" s="28"/>
    </row>
    <row r="6664">
      <c r="N6664" s="28"/>
      <c r="O6664" s="28"/>
      <c r="U6664" s="28"/>
    </row>
    <row r="6665">
      <c r="N6665" s="28"/>
      <c r="O6665" s="28"/>
      <c r="U6665" s="28"/>
    </row>
    <row r="6666">
      <c r="N6666" s="28"/>
      <c r="O6666" s="28"/>
      <c r="U6666" s="28"/>
    </row>
    <row r="6667">
      <c r="N6667" s="28"/>
      <c r="O6667" s="28"/>
      <c r="U6667" s="28"/>
    </row>
    <row r="6668">
      <c r="N6668" s="28"/>
      <c r="O6668" s="28"/>
      <c r="U6668" s="28"/>
    </row>
    <row r="6669">
      <c r="N6669" s="28"/>
      <c r="O6669" s="28"/>
      <c r="U6669" s="28"/>
    </row>
    <row r="6670">
      <c r="N6670" s="28"/>
      <c r="O6670" s="28"/>
      <c r="U6670" s="28"/>
    </row>
    <row r="6671">
      <c r="N6671" s="28"/>
      <c r="O6671" s="28"/>
      <c r="U6671" s="28"/>
    </row>
    <row r="6672">
      <c r="N6672" s="28"/>
      <c r="O6672" s="28"/>
      <c r="U6672" s="28"/>
    </row>
    <row r="6673">
      <c r="N6673" s="28"/>
      <c r="O6673" s="28"/>
      <c r="U6673" s="28"/>
    </row>
    <row r="6674">
      <c r="N6674" s="28"/>
      <c r="O6674" s="28"/>
      <c r="U6674" s="28"/>
    </row>
    <row r="6675">
      <c r="N6675" s="28"/>
      <c r="O6675" s="28"/>
      <c r="U6675" s="28"/>
    </row>
    <row r="6676">
      <c r="N6676" s="28"/>
      <c r="O6676" s="28"/>
      <c r="U6676" s="28"/>
    </row>
    <row r="6677">
      <c r="N6677" s="28"/>
      <c r="O6677" s="28"/>
      <c r="U6677" s="28"/>
    </row>
    <row r="6678">
      <c r="N6678" s="28"/>
      <c r="O6678" s="28"/>
      <c r="U6678" s="28"/>
    </row>
    <row r="6679">
      <c r="N6679" s="28"/>
      <c r="O6679" s="28"/>
      <c r="U6679" s="28"/>
    </row>
    <row r="6680">
      <c r="N6680" s="28"/>
      <c r="O6680" s="28"/>
      <c r="U6680" s="28"/>
    </row>
    <row r="6681">
      <c r="N6681" s="28"/>
      <c r="O6681" s="28"/>
      <c r="U6681" s="28"/>
    </row>
    <row r="6682">
      <c r="N6682" s="28"/>
      <c r="O6682" s="28"/>
      <c r="U6682" s="28"/>
    </row>
    <row r="6683">
      <c r="N6683" s="28"/>
      <c r="O6683" s="28"/>
      <c r="U6683" s="28"/>
    </row>
    <row r="6684">
      <c r="N6684" s="28"/>
      <c r="O6684" s="28"/>
      <c r="U6684" s="28"/>
    </row>
    <row r="6685">
      <c r="N6685" s="28"/>
      <c r="O6685" s="28"/>
      <c r="U6685" s="28"/>
    </row>
    <row r="6686">
      <c r="N6686" s="28"/>
      <c r="O6686" s="28"/>
      <c r="U6686" s="28"/>
    </row>
    <row r="6687">
      <c r="N6687" s="28"/>
      <c r="O6687" s="28"/>
      <c r="U6687" s="28"/>
    </row>
    <row r="6688">
      <c r="N6688" s="28"/>
      <c r="O6688" s="28"/>
      <c r="U6688" s="28"/>
    </row>
    <row r="6689">
      <c r="N6689" s="28"/>
      <c r="O6689" s="28"/>
      <c r="U6689" s="28"/>
    </row>
    <row r="6690">
      <c r="N6690" s="28"/>
      <c r="O6690" s="28"/>
      <c r="U6690" s="28"/>
    </row>
    <row r="6691">
      <c r="N6691" s="28"/>
      <c r="O6691" s="28"/>
      <c r="U6691" s="28"/>
    </row>
    <row r="6692">
      <c r="N6692" s="28"/>
      <c r="O6692" s="28"/>
      <c r="U6692" s="28"/>
    </row>
    <row r="6693">
      <c r="N6693" s="28"/>
      <c r="O6693" s="28"/>
      <c r="U6693" s="28"/>
    </row>
    <row r="6694">
      <c r="N6694" s="28"/>
      <c r="O6694" s="28"/>
      <c r="U6694" s="28"/>
    </row>
    <row r="6695">
      <c r="N6695" s="28"/>
      <c r="O6695" s="28"/>
      <c r="U6695" s="28"/>
    </row>
    <row r="6696">
      <c r="N6696" s="28"/>
      <c r="O6696" s="28"/>
      <c r="U6696" s="28"/>
    </row>
    <row r="6697">
      <c r="N6697" s="28"/>
      <c r="O6697" s="28"/>
      <c r="U6697" s="28"/>
    </row>
    <row r="6698">
      <c r="N6698" s="28"/>
      <c r="O6698" s="28"/>
      <c r="U6698" s="28"/>
    </row>
    <row r="6699">
      <c r="N6699" s="28"/>
      <c r="O6699" s="28"/>
      <c r="U6699" s="28"/>
    </row>
    <row r="6700">
      <c r="N6700" s="28"/>
      <c r="O6700" s="28"/>
      <c r="U6700" s="28"/>
    </row>
    <row r="6701">
      <c r="N6701" s="28"/>
      <c r="O6701" s="28"/>
      <c r="U6701" s="28"/>
    </row>
    <row r="6702">
      <c r="N6702" s="28"/>
      <c r="O6702" s="28"/>
      <c r="U6702" s="28"/>
    </row>
    <row r="6703">
      <c r="N6703" s="28"/>
      <c r="O6703" s="28"/>
      <c r="U6703" s="28"/>
    </row>
    <row r="6704">
      <c r="N6704" s="28"/>
      <c r="O6704" s="28"/>
      <c r="U6704" s="28"/>
    </row>
    <row r="6705">
      <c r="N6705" s="28"/>
      <c r="O6705" s="28"/>
      <c r="U6705" s="28"/>
    </row>
    <row r="6706">
      <c r="N6706" s="28"/>
      <c r="O6706" s="28"/>
      <c r="U6706" s="28"/>
    </row>
    <row r="6707">
      <c r="N6707" s="28"/>
      <c r="O6707" s="28"/>
      <c r="U6707" s="28"/>
    </row>
    <row r="6708">
      <c r="N6708" s="28"/>
      <c r="O6708" s="28"/>
      <c r="U6708" s="28"/>
    </row>
    <row r="6709">
      <c r="N6709" s="28"/>
      <c r="O6709" s="28"/>
      <c r="U6709" s="28"/>
    </row>
    <row r="6710">
      <c r="N6710" s="28"/>
      <c r="O6710" s="28"/>
      <c r="U6710" s="28"/>
    </row>
    <row r="6711">
      <c r="N6711" s="28"/>
      <c r="O6711" s="28"/>
      <c r="U6711" s="28"/>
    </row>
    <row r="6712">
      <c r="N6712" s="28"/>
      <c r="O6712" s="28"/>
      <c r="U6712" s="28"/>
    </row>
    <row r="6713">
      <c r="N6713" s="28"/>
      <c r="O6713" s="28"/>
      <c r="U6713" s="28"/>
    </row>
    <row r="6714">
      <c r="N6714" s="28"/>
      <c r="O6714" s="28"/>
      <c r="U6714" s="28"/>
    </row>
    <row r="6715">
      <c r="N6715" s="28"/>
      <c r="O6715" s="28"/>
      <c r="U6715" s="28"/>
    </row>
    <row r="6716">
      <c r="N6716" s="28"/>
      <c r="O6716" s="28"/>
      <c r="U6716" s="28"/>
    </row>
    <row r="6717">
      <c r="N6717" s="28"/>
      <c r="O6717" s="28"/>
      <c r="U6717" s="28"/>
    </row>
    <row r="6718">
      <c r="N6718" s="28"/>
      <c r="O6718" s="28"/>
      <c r="U6718" s="28"/>
    </row>
    <row r="6719">
      <c r="N6719" s="28"/>
      <c r="O6719" s="28"/>
      <c r="U6719" s="28"/>
    </row>
    <row r="6720">
      <c r="N6720" s="28"/>
      <c r="O6720" s="28"/>
      <c r="U6720" s="28"/>
    </row>
    <row r="6721">
      <c r="N6721" s="28"/>
      <c r="O6721" s="28"/>
      <c r="U6721" s="28"/>
    </row>
    <row r="6722">
      <c r="N6722" s="28"/>
      <c r="O6722" s="28"/>
      <c r="U6722" s="28"/>
    </row>
    <row r="6723">
      <c r="N6723" s="28"/>
      <c r="O6723" s="28"/>
      <c r="U6723" s="28"/>
    </row>
    <row r="6724">
      <c r="N6724" s="28"/>
      <c r="O6724" s="28"/>
      <c r="U6724" s="28"/>
    </row>
    <row r="6725">
      <c r="N6725" s="28"/>
      <c r="O6725" s="28"/>
      <c r="U6725" s="28"/>
    </row>
    <row r="6726">
      <c r="N6726" s="28"/>
      <c r="O6726" s="28"/>
      <c r="U6726" s="28"/>
    </row>
    <row r="6727">
      <c r="N6727" s="28"/>
      <c r="O6727" s="28"/>
      <c r="U6727" s="28"/>
    </row>
    <row r="6728">
      <c r="N6728" s="28"/>
      <c r="O6728" s="28"/>
      <c r="U6728" s="28"/>
    </row>
    <row r="6729">
      <c r="N6729" s="28"/>
      <c r="O6729" s="28"/>
      <c r="U6729" s="28"/>
    </row>
    <row r="6730">
      <c r="N6730" s="28"/>
      <c r="O6730" s="28"/>
      <c r="U6730" s="28"/>
    </row>
    <row r="6731">
      <c r="N6731" s="28"/>
      <c r="O6731" s="28"/>
      <c r="U6731" s="28"/>
    </row>
    <row r="6732">
      <c r="N6732" s="28"/>
      <c r="O6732" s="28"/>
      <c r="U6732" s="28"/>
    </row>
    <row r="6733">
      <c r="N6733" s="28"/>
      <c r="O6733" s="28"/>
      <c r="U6733" s="28"/>
    </row>
    <row r="6734">
      <c r="N6734" s="28"/>
      <c r="O6734" s="28"/>
      <c r="U6734" s="28"/>
    </row>
    <row r="6735">
      <c r="N6735" s="28"/>
      <c r="O6735" s="28"/>
      <c r="U6735" s="28"/>
    </row>
    <row r="6736">
      <c r="N6736" s="28"/>
      <c r="O6736" s="28"/>
      <c r="U6736" s="28"/>
    </row>
    <row r="6737">
      <c r="N6737" s="28"/>
      <c r="O6737" s="28"/>
      <c r="U6737" s="28"/>
    </row>
    <row r="6738">
      <c r="N6738" s="28"/>
      <c r="O6738" s="28"/>
      <c r="U6738" s="28"/>
    </row>
    <row r="6739">
      <c r="N6739" s="28"/>
      <c r="O6739" s="28"/>
      <c r="U6739" s="28"/>
    </row>
    <row r="6740">
      <c r="N6740" s="28"/>
      <c r="O6740" s="28"/>
      <c r="U6740" s="28"/>
    </row>
    <row r="6741">
      <c r="N6741" s="28"/>
      <c r="O6741" s="28"/>
      <c r="U6741" s="28"/>
    </row>
    <row r="6742">
      <c r="N6742" s="28"/>
      <c r="O6742" s="28"/>
      <c r="U6742" s="28"/>
    </row>
    <row r="6743">
      <c r="N6743" s="28"/>
      <c r="O6743" s="28"/>
      <c r="U6743" s="28"/>
    </row>
    <row r="6744">
      <c r="N6744" s="28"/>
      <c r="O6744" s="28"/>
      <c r="U6744" s="28"/>
    </row>
    <row r="6745">
      <c r="N6745" s="28"/>
      <c r="O6745" s="28"/>
      <c r="U6745" s="28"/>
    </row>
    <row r="6746">
      <c r="N6746" s="28"/>
      <c r="O6746" s="28"/>
      <c r="U6746" s="28"/>
    </row>
    <row r="6747">
      <c r="N6747" s="28"/>
      <c r="O6747" s="28"/>
      <c r="U6747" s="28"/>
    </row>
    <row r="6748">
      <c r="N6748" s="28"/>
      <c r="O6748" s="28"/>
      <c r="U6748" s="28"/>
    </row>
    <row r="6749">
      <c r="N6749" s="28"/>
      <c r="O6749" s="28"/>
      <c r="U6749" s="28"/>
    </row>
    <row r="6750">
      <c r="N6750" s="28"/>
      <c r="O6750" s="28"/>
      <c r="U6750" s="28"/>
    </row>
    <row r="6751">
      <c r="N6751" s="28"/>
      <c r="O6751" s="28"/>
      <c r="U6751" s="28"/>
    </row>
    <row r="6752">
      <c r="N6752" s="28"/>
      <c r="O6752" s="28"/>
      <c r="U6752" s="28"/>
    </row>
    <row r="6753">
      <c r="N6753" s="28"/>
      <c r="O6753" s="28"/>
      <c r="U6753" s="28"/>
    </row>
    <row r="6754">
      <c r="N6754" s="28"/>
      <c r="O6754" s="28"/>
      <c r="U6754" s="28"/>
    </row>
    <row r="6755">
      <c r="N6755" s="28"/>
      <c r="O6755" s="28"/>
      <c r="U6755" s="28"/>
    </row>
    <row r="6756">
      <c r="N6756" s="28"/>
      <c r="O6756" s="28"/>
      <c r="U6756" s="28"/>
    </row>
    <row r="6757">
      <c r="N6757" s="28"/>
      <c r="O6757" s="28"/>
      <c r="U6757" s="28"/>
    </row>
    <row r="6758">
      <c r="N6758" s="28"/>
      <c r="O6758" s="28"/>
      <c r="U6758" s="28"/>
    </row>
    <row r="6759">
      <c r="N6759" s="28"/>
      <c r="O6759" s="28"/>
      <c r="U6759" s="28"/>
    </row>
    <row r="6760">
      <c r="N6760" s="28"/>
      <c r="O6760" s="28"/>
      <c r="U6760" s="28"/>
    </row>
    <row r="6761">
      <c r="N6761" s="28"/>
      <c r="O6761" s="28"/>
      <c r="U6761" s="28"/>
    </row>
    <row r="6762">
      <c r="N6762" s="28"/>
      <c r="O6762" s="28"/>
      <c r="U6762" s="28"/>
    </row>
    <row r="6763">
      <c r="N6763" s="28"/>
      <c r="O6763" s="28"/>
      <c r="U6763" s="28"/>
    </row>
    <row r="6764">
      <c r="N6764" s="28"/>
      <c r="O6764" s="28"/>
      <c r="U6764" s="28"/>
    </row>
    <row r="6765">
      <c r="N6765" s="28"/>
      <c r="O6765" s="28"/>
      <c r="U6765" s="28"/>
    </row>
    <row r="6766">
      <c r="N6766" s="28"/>
      <c r="O6766" s="28"/>
      <c r="U6766" s="28"/>
    </row>
    <row r="6767">
      <c r="N6767" s="28"/>
      <c r="O6767" s="28"/>
      <c r="U6767" s="28"/>
    </row>
    <row r="6768">
      <c r="N6768" s="28"/>
      <c r="O6768" s="28"/>
      <c r="U6768" s="28"/>
    </row>
    <row r="6769">
      <c r="N6769" s="28"/>
      <c r="O6769" s="28"/>
      <c r="U6769" s="28"/>
    </row>
    <row r="6770">
      <c r="N6770" s="28"/>
      <c r="O6770" s="28"/>
      <c r="U6770" s="28"/>
    </row>
    <row r="6771">
      <c r="N6771" s="28"/>
      <c r="O6771" s="28"/>
      <c r="U6771" s="28"/>
    </row>
    <row r="6772">
      <c r="N6772" s="28"/>
      <c r="O6772" s="28"/>
      <c r="U6772" s="28"/>
    </row>
    <row r="6773">
      <c r="N6773" s="28"/>
      <c r="O6773" s="28"/>
      <c r="U6773" s="28"/>
    </row>
    <row r="6774">
      <c r="N6774" s="28"/>
      <c r="O6774" s="28"/>
      <c r="U6774" s="28"/>
    </row>
    <row r="6775">
      <c r="N6775" s="28"/>
      <c r="O6775" s="28"/>
      <c r="U6775" s="28"/>
    </row>
    <row r="6776">
      <c r="N6776" s="28"/>
      <c r="O6776" s="28"/>
      <c r="U6776" s="28"/>
    </row>
    <row r="6777">
      <c r="N6777" s="28"/>
      <c r="O6777" s="28"/>
      <c r="U6777" s="28"/>
    </row>
    <row r="6778">
      <c r="N6778" s="28"/>
      <c r="O6778" s="28"/>
      <c r="U6778" s="28"/>
    </row>
    <row r="6779">
      <c r="N6779" s="28"/>
      <c r="O6779" s="28"/>
      <c r="U6779" s="28"/>
    </row>
    <row r="6780">
      <c r="N6780" s="28"/>
      <c r="O6780" s="28"/>
      <c r="U6780" s="28"/>
    </row>
    <row r="6781">
      <c r="N6781" s="28"/>
      <c r="O6781" s="28"/>
      <c r="U6781" s="28"/>
    </row>
    <row r="6782">
      <c r="N6782" s="28"/>
      <c r="O6782" s="28"/>
      <c r="U6782" s="28"/>
    </row>
    <row r="6783">
      <c r="N6783" s="28"/>
      <c r="O6783" s="28"/>
      <c r="U6783" s="28"/>
    </row>
    <row r="6784">
      <c r="N6784" s="28"/>
      <c r="O6784" s="28"/>
      <c r="U6784" s="28"/>
    </row>
    <row r="6785">
      <c r="N6785" s="28"/>
      <c r="O6785" s="28"/>
      <c r="U6785" s="28"/>
    </row>
    <row r="6786">
      <c r="N6786" s="28"/>
      <c r="O6786" s="28"/>
      <c r="U6786" s="28"/>
    </row>
    <row r="6787">
      <c r="N6787" s="28"/>
      <c r="O6787" s="28"/>
      <c r="U6787" s="28"/>
    </row>
    <row r="6788">
      <c r="N6788" s="28"/>
      <c r="O6788" s="28"/>
      <c r="U6788" s="28"/>
    </row>
    <row r="6789">
      <c r="N6789" s="28"/>
      <c r="O6789" s="28"/>
      <c r="U6789" s="28"/>
    </row>
    <row r="6790">
      <c r="N6790" s="28"/>
      <c r="O6790" s="28"/>
      <c r="U6790" s="28"/>
    </row>
    <row r="6791">
      <c r="N6791" s="28"/>
      <c r="O6791" s="28"/>
      <c r="U6791" s="28"/>
    </row>
    <row r="6792">
      <c r="N6792" s="28"/>
      <c r="O6792" s="28"/>
      <c r="U6792" s="28"/>
    </row>
    <row r="6793">
      <c r="N6793" s="28"/>
      <c r="O6793" s="28"/>
      <c r="U6793" s="28"/>
    </row>
    <row r="6794">
      <c r="N6794" s="28"/>
      <c r="O6794" s="28"/>
      <c r="U6794" s="28"/>
    </row>
    <row r="6795">
      <c r="N6795" s="28"/>
      <c r="O6795" s="28"/>
      <c r="U6795" s="28"/>
    </row>
    <row r="6796">
      <c r="N6796" s="28"/>
      <c r="O6796" s="28"/>
      <c r="U6796" s="28"/>
    </row>
    <row r="6797">
      <c r="N6797" s="28"/>
      <c r="O6797" s="28"/>
      <c r="U6797" s="28"/>
    </row>
    <row r="6798">
      <c r="N6798" s="28"/>
      <c r="O6798" s="28"/>
      <c r="U6798" s="28"/>
    </row>
    <row r="6799">
      <c r="N6799" s="28"/>
      <c r="O6799" s="28"/>
      <c r="U6799" s="28"/>
    </row>
    <row r="6800">
      <c r="N6800" s="28"/>
      <c r="O6800" s="28"/>
      <c r="U6800" s="28"/>
    </row>
    <row r="6801">
      <c r="N6801" s="28"/>
      <c r="O6801" s="28"/>
      <c r="U6801" s="28"/>
    </row>
    <row r="6802">
      <c r="N6802" s="28"/>
      <c r="O6802" s="28"/>
      <c r="U6802" s="28"/>
    </row>
    <row r="6803">
      <c r="N6803" s="28"/>
      <c r="O6803" s="28"/>
      <c r="U6803" s="28"/>
    </row>
    <row r="6804">
      <c r="N6804" s="28"/>
      <c r="O6804" s="28"/>
      <c r="U6804" s="28"/>
    </row>
    <row r="6805">
      <c r="N6805" s="28"/>
      <c r="O6805" s="28"/>
      <c r="U6805" s="28"/>
    </row>
    <row r="6806">
      <c r="N6806" s="28"/>
      <c r="O6806" s="28"/>
      <c r="U6806" s="28"/>
    </row>
    <row r="6807">
      <c r="N6807" s="28"/>
      <c r="O6807" s="28"/>
      <c r="U6807" s="28"/>
    </row>
    <row r="6808">
      <c r="N6808" s="28"/>
      <c r="O6808" s="28"/>
      <c r="U6808" s="28"/>
    </row>
    <row r="6809">
      <c r="N6809" s="28"/>
      <c r="O6809" s="28"/>
      <c r="U6809" s="28"/>
    </row>
    <row r="6810">
      <c r="N6810" s="28"/>
      <c r="O6810" s="28"/>
      <c r="U6810" s="28"/>
    </row>
    <row r="6811">
      <c r="N6811" s="28"/>
      <c r="O6811" s="28"/>
      <c r="U6811" s="28"/>
    </row>
    <row r="6812">
      <c r="N6812" s="28"/>
      <c r="O6812" s="28"/>
      <c r="U6812" s="28"/>
    </row>
    <row r="6813">
      <c r="N6813" s="28"/>
      <c r="O6813" s="28"/>
      <c r="U6813" s="28"/>
    </row>
    <row r="6814">
      <c r="N6814" s="28"/>
      <c r="O6814" s="28"/>
      <c r="U6814" s="28"/>
    </row>
    <row r="6815">
      <c r="N6815" s="28"/>
      <c r="O6815" s="28"/>
      <c r="U6815" s="28"/>
    </row>
    <row r="6816">
      <c r="N6816" s="28"/>
      <c r="O6816" s="28"/>
      <c r="U6816" s="28"/>
    </row>
    <row r="6817">
      <c r="N6817" s="28"/>
      <c r="O6817" s="28"/>
      <c r="U6817" s="28"/>
    </row>
    <row r="6818">
      <c r="N6818" s="28"/>
      <c r="O6818" s="28"/>
      <c r="U6818" s="28"/>
    </row>
    <row r="6819">
      <c r="N6819" s="28"/>
      <c r="O6819" s="28"/>
      <c r="U6819" s="28"/>
    </row>
    <row r="6820">
      <c r="N6820" s="28"/>
      <c r="O6820" s="28"/>
      <c r="U6820" s="28"/>
    </row>
    <row r="6821">
      <c r="N6821" s="28"/>
      <c r="O6821" s="28"/>
      <c r="U6821" s="28"/>
    </row>
    <row r="6822">
      <c r="N6822" s="28"/>
      <c r="O6822" s="28"/>
      <c r="U6822" s="28"/>
    </row>
    <row r="6823">
      <c r="N6823" s="28"/>
      <c r="O6823" s="28"/>
      <c r="U6823" s="28"/>
    </row>
    <row r="6824">
      <c r="N6824" s="28"/>
      <c r="O6824" s="28"/>
      <c r="U6824" s="28"/>
    </row>
    <row r="6825">
      <c r="N6825" s="28"/>
      <c r="O6825" s="28"/>
      <c r="U6825" s="28"/>
    </row>
    <row r="6826">
      <c r="N6826" s="28"/>
      <c r="O6826" s="28"/>
      <c r="U6826" s="28"/>
    </row>
    <row r="6827">
      <c r="N6827" s="28"/>
      <c r="O6827" s="28"/>
      <c r="U6827" s="28"/>
    </row>
    <row r="6828">
      <c r="N6828" s="28"/>
      <c r="O6828" s="28"/>
      <c r="U6828" s="28"/>
    </row>
    <row r="6829">
      <c r="N6829" s="28"/>
      <c r="O6829" s="28"/>
      <c r="U6829" s="28"/>
    </row>
    <row r="6830">
      <c r="N6830" s="28"/>
      <c r="O6830" s="28"/>
      <c r="U6830" s="28"/>
    </row>
    <row r="6831">
      <c r="N6831" s="28"/>
      <c r="O6831" s="28"/>
      <c r="U6831" s="28"/>
    </row>
    <row r="6832">
      <c r="N6832" s="28"/>
      <c r="O6832" s="28"/>
      <c r="U6832" s="28"/>
    </row>
    <row r="6833">
      <c r="N6833" s="28"/>
      <c r="O6833" s="28"/>
      <c r="U6833" s="28"/>
    </row>
    <row r="6834">
      <c r="N6834" s="28"/>
      <c r="O6834" s="28"/>
      <c r="U6834" s="28"/>
    </row>
    <row r="6835">
      <c r="N6835" s="28"/>
      <c r="O6835" s="28"/>
      <c r="U6835" s="28"/>
    </row>
    <row r="6836">
      <c r="N6836" s="28"/>
      <c r="O6836" s="28"/>
      <c r="U6836" s="28"/>
    </row>
    <row r="6837">
      <c r="N6837" s="28"/>
      <c r="O6837" s="28"/>
      <c r="U6837" s="28"/>
    </row>
    <row r="6838">
      <c r="N6838" s="28"/>
      <c r="O6838" s="28"/>
      <c r="U6838" s="28"/>
    </row>
    <row r="6839">
      <c r="N6839" s="28"/>
      <c r="O6839" s="28"/>
      <c r="U6839" s="28"/>
    </row>
    <row r="6840">
      <c r="N6840" s="28"/>
      <c r="O6840" s="28"/>
      <c r="U6840" s="28"/>
    </row>
    <row r="6841">
      <c r="N6841" s="28"/>
      <c r="O6841" s="28"/>
      <c r="U6841" s="28"/>
    </row>
    <row r="6842">
      <c r="N6842" s="28"/>
      <c r="O6842" s="28"/>
      <c r="U6842" s="28"/>
    </row>
    <row r="6843">
      <c r="N6843" s="28"/>
      <c r="O6843" s="28"/>
      <c r="U6843" s="28"/>
    </row>
    <row r="6844">
      <c r="N6844" s="28"/>
      <c r="O6844" s="28"/>
      <c r="U6844" s="28"/>
    </row>
    <row r="6845">
      <c r="N6845" s="28"/>
      <c r="O6845" s="28"/>
      <c r="U6845" s="28"/>
    </row>
    <row r="6846">
      <c r="N6846" s="28"/>
      <c r="O6846" s="28"/>
      <c r="U6846" s="28"/>
    </row>
    <row r="6847">
      <c r="N6847" s="28"/>
      <c r="O6847" s="28"/>
      <c r="U6847" s="28"/>
    </row>
    <row r="6848">
      <c r="N6848" s="28"/>
      <c r="O6848" s="28"/>
      <c r="U6848" s="28"/>
    </row>
    <row r="6849">
      <c r="N6849" s="28"/>
      <c r="O6849" s="28"/>
      <c r="U6849" s="28"/>
    </row>
    <row r="6850">
      <c r="N6850" s="28"/>
      <c r="O6850" s="28"/>
      <c r="U6850" s="28"/>
    </row>
    <row r="6851">
      <c r="N6851" s="28"/>
      <c r="O6851" s="28"/>
      <c r="U6851" s="28"/>
    </row>
    <row r="6852">
      <c r="N6852" s="28"/>
      <c r="O6852" s="28"/>
      <c r="U6852" s="28"/>
    </row>
    <row r="6853">
      <c r="N6853" s="28"/>
      <c r="O6853" s="28"/>
      <c r="U6853" s="28"/>
    </row>
    <row r="6854">
      <c r="N6854" s="28"/>
      <c r="O6854" s="28"/>
      <c r="U6854" s="28"/>
    </row>
    <row r="6855">
      <c r="N6855" s="28"/>
      <c r="O6855" s="28"/>
      <c r="U6855" s="28"/>
    </row>
    <row r="6856">
      <c r="N6856" s="28"/>
      <c r="O6856" s="28"/>
      <c r="U6856" s="28"/>
    </row>
    <row r="6857">
      <c r="N6857" s="28"/>
      <c r="O6857" s="28"/>
      <c r="U6857" s="28"/>
    </row>
    <row r="6858">
      <c r="N6858" s="28"/>
      <c r="O6858" s="28"/>
      <c r="U6858" s="28"/>
    </row>
    <row r="6859">
      <c r="N6859" s="28"/>
      <c r="O6859" s="28"/>
      <c r="U6859" s="28"/>
    </row>
    <row r="6860">
      <c r="N6860" s="28"/>
      <c r="O6860" s="28"/>
      <c r="U6860" s="28"/>
    </row>
    <row r="6861">
      <c r="N6861" s="28"/>
      <c r="O6861" s="28"/>
      <c r="U6861" s="28"/>
    </row>
    <row r="6862">
      <c r="N6862" s="28"/>
      <c r="O6862" s="28"/>
      <c r="U6862" s="28"/>
    </row>
    <row r="6863">
      <c r="N6863" s="28"/>
      <c r="O6863" s="28"/>
      <c r="U6863" s="28"/>
    </row>
    <row r="6864">
      <c r="N6864" s="28"/>
      <c r="O6864" s="28"/>
      <c r="U6864" s="28"/>
    </row>
    <row r="6865">
      <c r="N6865" s="28"/>
      <c r="O6865" s="28"/>
      <c r="U6865" s="28"/>
    </row>
    <row r="6866">
      <c r="N6866" s="28"/>
      <c r="O6866" s="28"/>
      <c r="U6866" s="28"/>
    </row>
    <row r="6867">
      <c r="N6867" s="28"/>
      <c r="O6867" s="28"/>
      <c r="U6867" s="28"/>
    </row>
    <row r="6868">
      <c r="N6868" s="28"/>
      <c r="O6868" s="28"/>
      <c r="U6868" s="28"/>
    </row>
    <row r="6869">
      <c r="N6869" s="28"/>
      <c r="O6869" s="28"/>
      <c r="U6869" s="28"/>
    </row>
    <row r="6870">
      <c r="N6870" s="28"/>
      <c r="O6870" s="28"/>
      <c r="U6870" s="28"/>
    </row>
    <row r="6871">
      <c r="N6871" s="28"/>
      <c r="O6871" s="28"/>
      <c r="U6871" s="28"/>
    </row>
    <row r="6872">
      <c r="N6872" s="28"/>
      <c r="O6872" s="28"/>
      <c r="U6872" s="28"/>
    </row>
    <row r="6873">
      <c r="N6873" s="28"/>
      <c r="O6873" s="28"/>
      <c r="U6873" s="28"/>
    </row>
    <row r="6874">
      <c r="N6874" s="28"/>
      <c r="O6874" s="28"/>
      <c r="U6874" s="28"/>
    </row>
    <row r="6875">
      <c r="N6875" s="28"/>
      <c r="O6875" s="28"/>
      <c r="U6875" s="28"/>
    </row>
    <row r="6876">
      <c r="N6876" s="28"/>
      <c r="O6876" s="28"/>
      <c r="U6876" s="28"/>
    </row>
    <row r="6877">
      <c r="N6877" s="28"/>
      <c r="O6877" s="28"/>
      <c r="U6877" s="28"/>
    </row>
    <row r="6878">
      <c r="N6878" s="28"/>
      <c r="O6878" s="28"/>
      <c r="U6878" s="28"/>
    </row>
    <row r="6879">
      <c r="N6879" s="28"/>
      <c r="O6879" s="28"/>
      <c r="U6879" s="28"/>
    </row>
    <row r="6880">
      <c r="N6880" s="28"/>
      <c r="O6880" s="28"/>
      <c r="U6880" s="28"/>
    </row>
    <row r="6881">
      <c r="N6881" s="28"/>
      <c r="O6881" s="28"/>
      <c r="U6881" s="28"/>
    </row>
    <row r="6882">
      <c r="N6882" s="28"/>
      <c r="O6882" s="28"/>
      <c r="U6882" s="28"/>
    </row>
    <row r="6883">
      <c r="N6883" s="28"/>
      <c r="O6883" s="28"/>
      <c r="U6883" s="28"/>
    </row>
    <row r="6884">
      <c r="N6884" s="28"/>
      <c r="O6884" s="28"/>
      <c r="U6884" s="28"/>
    </row>
    <row r="6885">
      <c r="N6885" s="28"/>
      <c r="O6885" s="28"/>
      <c r="U6885" s="28"/>
    </row>
    <row r="6886">
      <c r="N6886" s="28"/>
      <c r="O6886" s="28"/>
      <c r="U6886" s="28"/>
    </row>
    <row r="6887">
      <c r="N6887" s="28"/>
      <c r="O6887" s="28"/>
      <c r="U6887" s="28"/>
    </row>
    <row r="6888">
      <c r="N6888" s="28"/>
      <c r="O6888" s="28"/>
      <c r="U6888" s="28"/>
    </row>
    <row r="6889">
      <c r="N6889" s="28"/>
      <c r="O6889" s="28"/>
      <c r="U6889" s="28"/>
    </row>
    <row r="6890">
      <c r="N6890" s="28"/>
      <c r="O6890" s="28"/>
      <c r="U6890" s="28"/>
    </row>
    <row r="6891">
      <c r="N6891" s="28"/>
      <c r="O6891" s="28"/>
      <c r="U6891" s="28"/>
    </row>
    <row r="6892">
      <c r="N6892" s="28"/>
      <c r="O6892" s="28"/>
      <c r="U6892" s="28"/>
    </row>
    <row r="6893">
      <c r="N6893" s="28"/>
      <c r="O6893" s="28"/>
      <c r="U6893" s="28"/>
    </row>
    <row r="6894">
      <c r="N6894" s="28"/>
      <c r="O6894" s="28"/>
      <c r="U6894" s="28"/>
    </row>
    <row r="6895">
      <c r="N6895" s="28"/>
      <c r="O6895" s="28"/>
      <c r="U6895" s="28"/>
    </row>
    <row r="6896">
      <c r="N6896" s="28"/>
      <c r="O6896" s="28"/>
      <c r="U6896" s="28"/>
    </row>
    <row r="6897">
      <c r="N6897" s="28"/>
      <c r="O6897" s="28"/>
      <c r="U6897" s="28"/>
    </row>
    <row r="6898">
      <c r="N6898" s="28"/>
      <c r="O6898" s="28"/>
      <c r="U6898" s="28"/>
    </row>
    <row r="6899">
      <c r="N6899" s="28"/>
      <c r="O6899" s="28"/>
      <c r="U6899" s="28"/>
    </row>
    <row r="6900">
      <c r="N6900" s="28"/>
      <c r="O6900" s="28"/>
      <c r="U6900" s="28"/>
    </row>
    <row r="6901">
      <c r="N6901" s="28"/>
      <c r="O6901" s="28"/>
      <c r="U6901" s="28"/>
    </row>
    <row r="6902">
      <c r="N6902" s="28"/>
      <c r="O6902" s="28"/>
      <c r="U6902" s="28"/>
    </row>
    <row r="6903">
      <c r="N6903" s="28"/>
      <c r="O6903" s="28"/>
      <c r="U6903" s="28"/>
    </row>
    <row r="6904">
      <c r="N6904" s="28"/>
      <c r="O6904" s="28"/>
      <c r="U6904" s="28"/>
    </row>
    <row r="6905">
      <c r="N6905" s="28"/>
      <c r="O6905" s="28"/>
      <c r="U6905" s="28"/>
    </row>
    <row r="6906">
      <c r="N6906" s="28"/>
      <c r="O6906" s="28"/>
      <c r="U6906" s="28"/>
    </row>
    <row r="6907">
      <c r="N6907" s="28"/>
      <c r="O6907" s="28"/>
      <c r="U6907" s="28"/>
    </row>
    <row r="6908">
      <c r="N6908" s="28"/>
      <c r="O6908" s="28"/>
      <c r="U6908" s="28"/>
    </row>
    <row r="6909">
      <c r="N6909" s="28"/>
      <c r="O6909" s="28"/>
      <c r="U6909" s="28"/>
    </row>
    <row r="6910">
      <c r="N6910" s="28"/>
      <c r="O6910" s="28"/>
      <c r="U6910" s="28"/>
    </row>
    <row r="6911">
      <c r="N6911" s="28"/>
      <c r="O6911" s="28"/>
      <c r="U6911" s="28"/>
    </row>
    <row r="6912">
      <c r="N6912" s="28"/>
      <c r="O6912" s="28"/>
      <c r="U6912" s="28"/>
    </row>
    <row r="6913">
      <c r="N6913" s="28"/>
      <c r="O6913" s="28"/>
      <c r="U6913" s="28"/>
    </row>
    <row r="6914">
      <c r="N6914" s="28"/>
      <c r="O6914" s="28"/>
      <c r="U6914" s="28"/>
    </row>
    <row r="6915">
      <c r="N6915" s="28"/>
      <c r="O6915" s="28"/>
      <c r="U6915" s="28"/>
    </row>
    <row r="6916">
      <c r="N6916" s="28"/>
      <c r="O6916" s="28"/>
      <c r="U6916" s="28"/>
    </row>
    <row r="6917">
      <c r="N6917" s="28"/>
      <c r="O6917" s="28"/>
      <c r="U6917" s="28"/>
    </row>
    <row r="6918">
      <c r="N6918" s="28"/>
      <c r="O6918" s="28"/>
      <c r="U6918" s="28"/>
    </row>
    <row r="6919">
      <c r="N6919" s="28"/>
      <c r="O6919" s="28"/>
      <c r="U6919" s="28"/>
    </row>
    <row r="6920">
      <c r="N6920" s="28"/>
      <c r="O6920" s="28"/>
      <c r="U6920" s="28"/>
    </row>
    <row r="6921">
      <c r="N6921" s="28"/>
      <c r="O6921" s="28"/>
      <c r="U6921" s="28"/>
    </row>
    <row r="6922">
      <c r="N6922" s="28"/>
      <c r="O6922" s="28"/>
      <c r="U6922" s="28"/>
    </row>
    <row r="6923">
      <c r="N6923" s="28"/>
      <c r="O6923" s="28"/>
      <c r="U6923" s="28"/>
    </row>
    <row r="6924">
      <c r="N6924" s="28"/>
      <c r="O6924" s="28"/>
      <c r="U6924" s="28"/>
    </row>
    <row r="6925">
      <c r="N6925" s="28"/>
      <c r="O6925" s="28"/>
      <c r="U6925" s="28"/>
    </row>
    <row r="6926">
      <c r="N6926" s="28"/>
      <c r="O6926" s="28"/>
      <c r="U6926" s="28"/>
    </row>
    <row r="6927">
      <c r="N6927" s="28"/>
      <c r="O6927" s="28"/>
      <c r="U6927" s="28"/>
    </row>
    <row r="6928">
      <c r="N6928" s="28"/>
      <c r="O6928" s="28"/>
      <c r="U6928" s="28"/>
    </row>
    <row r="6929">
      <c r="N6929" s="28"/>
      <c r="O6929" s="28"/>
      <c r="U6929" s="28"/>
    </row>
    <row r="6930">
      <c r="N6930" s="28"/>
      <c r="O6930" s="28"/>
      <c r="U6930" s="28"/>
    </row>
    <row r="6931">
      <c r="N6931" s="28"/>
      <c r="O6931" s="28"/>
      <c r="U6931" s="28"/>
    </row>
    <row r="6932">
      <c r="N6932" s="28"/>
      <c r="O6932" s="28"/>
      <c r="U6932" s="28"/>
    </row>
    <row r="6933">
      <c r="N6933" s="28"/>
      <c r="O6933" s="28"/>
      <c r="U6933" s="28"/>
    </row>
    <row r="6934">
      <c r="N6934" s="28"/>
      <c r="O6934" s="28"/>
      <c r="U6934" s="28"/>
    </row>
    <row r="6935">
      <c r="N6935" s="28"/>
      <c r="O6935" s="28"/>
      <c r="U6935" s="28"/>
    </row>
    <row r="6936">
      <c r="N6936" s="28"/>
      <c r="O6936" s="28"/>
      <c r="U6936" s="28"/>
    </row>
    <row r="6937">
      <c r="N6937" s="28"/>
      <c r="O6937" s="28"/>
      <c r="U6937" s="28"/>
    </row>
    <row r="6938">
      <c r="N6938" s="28"/>
      <c r="O6938" s="28"/>
      <c r="U6938" s="28"/>
    </row>
    <row r="6939">
      <c r="N6939" s="28"/>
      <c r="O6939" s="28"/>
      <c r="U6939" s="28"/>
    </row>
    <row r="6940">
      <c r="N6940" s="28"/>
      <c r="O6940" s="28"/>
      <c r="U6940" s="28"/>
    </row>
    <row r="6941">
      <c r="N6941" s="28"/>
      <c r="O6941" s="28"/>
      <c r="U6941" s="28"/>
    </row>
    <row r="6942">
      <c r="N6942" s="28"/>
      <c r="O6942" s="28"/>
      <c r="U6942" s="28"/>
    </row>
    <row r="6943">
      <c r="N6943" s="28"/>
      <c r="O6943" s="28"/>
      <c r="U6943" s="28"/>
    </row>
    <row r="6944">
      <c r="N6944" s="28"/>
      <c r="O6944" s="28"/>
      <c r="U6944" s="28"/>
    </row>
    <row r="6945">
      <c r="N6945" s="28"/>
      <c r="O6945" s="28"/>
      <c r="U6945" s="28"/>
    </row>
    <row r="6946">
      <c r="N6946" s="28"/>
      <c r="O6946" s="28"/>
      <c r="U6946" s="28"/>
    </row>
    <row r="6947">
      <c r="N6947" s="28"/>
      <c r="O6947" s="28"/>
      <c r="U6947" s="28"/>
    </row>
    <row r="6948">
      <c r="N6948" s="28"/>
      <c r="O6948" s="28"/>
      <c r="U6948" s="28"/>
    </row>
    <row r="6949">
      <c r="N6949" s="28"/>
      <c r="O6949" s="28"/>
      <c r="U6949" s="28"/>
    </row>
    <row r="6950">
      <c r="N6950" s="28"/>
      <c r="O6950" s="28"/>
      <c r="U6950" s="28"/>
    </row>
    <row r="6951">
      <c r="N6951" s="28"/>
      <c r="O6951" s="28"/>
      <c r="U6951" s="28"/>
    </row>
    <row r="6952">
      <c r="N6952" s="28"/>
      <c r="O6952" s="28"/>
      <c r="U6952" s="28"/>
    </row>
    <row r="6953">
      <c r="N6953" s="28"/>
      <c r="O6953" s="28"/>
      <c r="U6953" s="28"/>
    </row>
    <row r="6954">
      <c r="N6954" s="28"/>
      <c r="O6954" s="28"/>
      <c r="U6954" s="28"/>
    </row>
    <row r="6955">
      <c r="N6955" s="28"/>
      <c r="O6955" s="28"/>
      <c r="U6955" s="28"/>
    </row>
    <row r="6956">
      <c r="N6956" s="28"/>
      <c r="O6956" s="28"/>
      <c r="U6956" s="28"/>
    </row>
    <row r="6957">
      <c r="N6957" s="28"/>
      <c r="O6957" s="28"/>
      <c r="U6957" s="28"/>
    </row>
    <row r="6958">
      <c r="N6958" s="28"/>
      <c r="O6958" s="28"/>
      <c r="U6958" s="28"/>
    </row>
    <row r="6959">
      <c r="N6959" s="28"/>
      <c r="O6959" s="28"/>
      <c r="U6959" s="28"/>
    </row>
    <row r="6960">
      <c r="N6960" s="28"/>
      <c r="O6960" s="28"/>
      <c r="U6960" s="28"/>
    </row>
    <row r="6961">
      <c r="N6961" s="28"/>
      <c r="O6961" s="28"/>
      <c r="U6961" s="28"/>
    </row>
    <row r="6962">
      <c r="N6962" s="28"/>
      <c r="O6962" s="28"/>
      <c r="U6962" s="28"/>
    </row>
    <row r="6963">
      <c r="N6963" s="28"/>
      <c r="O6963" s="28"/>
      <c r="U6963" s="28"/>
    </row>
    <row r="6964">
      <c r="N6964" s="28"/>
      <c r="O6964" s="28"/>
      <c r="U6964" s="28"/>
    </row>
    <row r="6965">
      <c r="N6965" s="28"/>
      <c r="O6965" s="28"/>
      <c r="U6965" s="28"/>
    </row>
    <row r="6966">
      <c r="N6966" s="28"/>
      <c r="O6966" s="28"/>
      <c r="U6966" s="28"/>
    </row>
    <row r="6967">
      <c r="N6967" s="28"/>
      <c r="O6967" s="28"/>
      <c r="U6967" s="28"/>
    </row>
    <row r="6968">
      <c r="N6968" s="28"/>
      <c r="O6968" s="28"/>
      <c r="U6968" s="28"/>
    </row>
    <row r="6969">
      <c r="N6969" s="28"/>
      <c r="O6969" s="28"/>
      <c r="U6969" s="28"/>
    </row>
    <row r="6970">
      <c r="N6970" s="28"/>
      <c r="O6970" s="28"/>
      <c r="U6970" s="28"/>
    </row>
    <row r="6971">
      <c r="N6971" s="28"/>
      <c r="O6971" s="28"/>
      <c r="U6971" s="28"/>
    </row>
    <row r="6972">
      <c r="N6972" s="28"/>
      <c r="O6972" s="28"/>
      <c r="U6972" s="28"/>
    </row>
    <row r="6973">
      <c r="N6973" s="28"/>
      <c r="O6973" s="28"/>
      <c r="U6973" s="28"/>
    </row>
    <row r="6974">
      <c r="N6974" s="28"/>
      <c r="O6974" s="28"/>
      <c r="U6974" s="28"/>
    </row>
    <row r="6975">
      <c r="N6975" s="28"/>
      <c r="O6975" s="28"/>
      <c r="U6975" s="28"/>
    </row>
    <row r="6976">
      <c r="N6976" s="28"/>
      <c r="O6976" s="28"/>
      <c r="U6976" s="28"/>
    </row>
    <row r="6977">
      <c r="N6977" s="28"/>
      <c r="O6977" s="28"/>
      <c r="U6977" s="28"/>
    </row>
    <row r="6978">
      <c r="N6978" s="28"/>
      <c r="O6978" s="28"/>
      <c r="U6978" s="28"/>
    </row>
    <row r="6979">
      <c r="N6979" s="28"/>
      <c r="O6979" s="28"/>
      <c r="U6979" s="28"/>
    </row>
    <row r="6980">
      <c r="N6980" s="28"/>
      <c r="O6980" s="28"/>
      <c r="U6980" s="28"/>
    </row>
    <row r="6981">
      <c r="N6981" s="28"/>
      <c r="O6981" s="28"/>
      <c r="U6981" s="28"/>
    </row>
    <row r="6982">
      <c r="N6982" s="28"/>
      <c r="O6982" s="28"/>
      <c r="U6982" s="28"/>
    </row>
    <row r="6983">
      <c r="N6983" s="28"/>
      <c r="O6983" s="28"/>
      <c r="U6983" s="28"/>
    </row>
    <row r="6984">
      <c r="N6984" s="28"/>
      <c r="O6984" s="28"/>
      <c r="U6984" s="28"/>
    </row>
    <row r="6985">
      <c r="N6985" s="28"/>
      <c r="O6985" s="28"/>
      <c r="U6985" s="28"/>
    </row>
    <row r="6986">
      <c r="N6986" s="28"/>
      <c r="O6986" s="28"/>
      <c r="U6986" s="28"/>
    </row>
    <row r="6987">
      <c r="N6987" s="28"/>
      <c r="O6987" s="28"/>
      <c r="U6987" s="28"/>
    </row>
    <row r="6988">
      <c r="N6988" s="28"/>
      <c r="O6988" s="28"/>
      <c r="U6988" s="28"/>
    </row>
    <row r="6989">
      <c r="N6989" s="28"/>
      <c r="O6989" s="28"/>
      <c r="U6989" s="28"/>
    </row>
    <row r="6990">
      <c r="N6990" s="28"/>
      <c r="O6990" s="28"/>
      <c r="U6990" s="28"/>
    </row>
    <row r="6991">
      <c r="N6991" s="28"/>
      <c r="O6991" s="28"/>
      <c r="U6991" s="28"/>
    </row>
    <row r="6992">
      <c r="N6992" s="28"/>
      <c r="O6992" s="28"/>
      <c r="U6992" s="28"/>
    </row>
    <row r="6993">
      <c r="N6993" s="28"/>
      <c r="O6993" s="28"/>
      <c r="U6993" s="28"/>
    </row>
    <row r="6994">
      <c r="N6994" s="28"/>
      <c r="O6994" s="28"/>
      <c r="U6994" s="28"/>
    </row>
    <row r="6995">
      <c r="N6995" s="28"/>
      <c r="O6995" s="28"/>
      <c r="U6995" s="28"/>
    </row>
    <row r="6996">
      <c r="N6996" s="28"/>
      <c r="O6996" s="28"/>
      <c r="U6996" s="28"/>
    </row>
    <row r="6997">
      <c r="N6997" s="28"/>
      <c r="O6997" s="28"/>
      <c r="U6997" s="28"/>
    </row>
    <row r="6998">
      <c r="N6998" s="28"/>
      <c r="O6998" s="28"/>
      <c r="U6998" s="28"/>
    </row>
    <row r="6999">
      <c r="N6999" s="28"/>
      <c r="O6999" s="28"/>
      <c r="U6999" s="28"/>
    </row>
    <row r="7000">
      <c r="N7000" s="28"/>
      <c r="O7000" s="28"/>
      <c r="U7000" s="28"/>
    </row>
    <row r="7001">
      <c r="N7001" s="28"/>
      <c r="O7001" s="28"/>
      <c r="U7001" s="28"/>
    </row>
    <row r="7002">
      <c r="N7002" s="28"/>
      <c r="O7002" s="28"/>
      <c r="U7002" s="28"/>
    </row>
    <row r="7003">
      <c r="N7003" s="28"/>
      <c r="O7003" s="28"/>
      <c r="U7003" s="28"/>
    </row>
    <row r="7004">
      <c r="N7004" s="28"/>
      <c r="O7004" s="28"/>
      <c r="U7004" s="28"/>
    </row>
    <row r="7005">
      <c r="N7005" s="28"/>
      <c r="O7005" s="28"/>
      <c r="U7005" s="28"/>
    </row>
    <row r="7006">
      <c r="N7006" s="28"/>
      <c r="O7006" s="28"/>
      <c r="U7006" s="28"/>
    </row>
    <row r="7007">
      <c r="N7007" s="28"/>
      <c r="O7007" s="28"/>
      <c r="U7007" s="28"/>
    </row>
    <row r="7008">
      <c r="N7008" s="28"/>
      <c r="O7008" s="28"/>
      <c r="U7008" s="28"/>
    </row>
    <row r="7009">
      <c r="N7009" s="28"/>
      <c r="O7009" s="28"/>
      <c r="U7009" s="28"/>
    </row>
    <row r="7010">
      <c r="N7010" s="28"/>
      <c r="O7010" s="28"/>
      <c r="U7010" s="28"/>
    </row>
    <row r="7011">
      <c r="N7011" s="28"/>
      <c r="O7011" s="28"/>
      <c r="U7011" s="28"/>
    </row>
    <row r="7012">
      <c r="N7012" s="28"/>
      <c r="O7012" s="28"/>
      <c r="U7012" s="28"/>
    </row>
    <row r="7013">
      <c r="N7013" s="28"/>
      <c r="O7013" s="28"/>
      <c r="U7013" s="28"/>
    </row>
    <row r="7014">
      <c r="N7014" s="28"/>
      <c r="O7014" s="28"/>
      <c r="U7014" s="28"/>
    </row>
    <row r="7015">
      <c r="N7015" s="28"/>
      <c r="O7015" s="28"/>
      <c r="U7015" s="28"/>
    </row>
    <row r="7016">
      <c r="N7016" s="28"/>
      <c r="O7016" s="28"/>
      <c r="U7016" s="28"/>
    </row>
    <row r="7017">
      <c r="N7017" s="28"/>
      <c r="O7017" s="28"/>
      <c r="U7017" s="28"/>
    </row>
    <row r="7018">
      <c r="N7018" s="28"/>
      <c r="O7018" s="28"/>
      <c r="U7018" s="28"/>
    </row>
    <row r="7019">
      <c r="N7019" s="28"/>
      <c r="O7019" s="28"/>
      <c r="U7019" s="28"/>
    </row>
    <row r="7020">
      <c r="N7020" s="28"/>
      <c r="O7020" s="28"/>
      <c r="U7020" s="28"/>
    </row>
    <row r="7021">
      <c r="N7021" s="28"/>
      <c r="O7021" s="28"/>
      <c r="U7021" s="28"/>
    </row>
    <row r="7022">
      <c r="N7022" s="28"/>
      <c r="O7022" s="28"/>
      <c r="U7022" s="28"/>
    </row>
    <row r="7023">
      <c r="N7023" s="28"/>
      <c r="O7023" s="28"/>
      <c r="U7023" s="28"/>
    </row>
    <row r="7024">
      <c r="N7024" s="28"/>
      <c r="O7024" s="28"/>
      <c r="U7024" s="28"/>
    </row>
    <row r="7025">
      <c r="N7025" s="28"/>
      <c r="O7025" s="28"/>
      <c r="U7025" s="28"/>
    </row>
    <row r="7026">
      <c r="N7026" s="28"/>
      <c r="O7026" s="28"/>
      <c r="U7026" s="28"/>
    </row>
    <row r="7027">
      <c r="N7027" s="28"/>
      <c r="O7027" s="28"/>
      <c r="U7027" s="28"/>
    </row>
    <row r="7028">
      <c r="N7028" s="28"/>
      <c r="O7028" s="28"/>
      <c r="U7028" s="28"/>
    </row>
    <row r="7029">
      <c r="N7029" s="28"/>
      <c r="O7029" s="28"/>
      <c r="U7029" s="28"/>
    </row>
    <row r="7030">
      <c r="N7030" s="28"/>
      <c r="O7030" s="28"/>
      <c r="U7030" s="28"/>
    </row>
    <row r="7031">
      <c r="N7031" s="28"/>
      <c r="O7031" s="28"/>
      <c r="U7031" s="28"/>
    </row>
    <row r="7032">
      <c r="N7032" s="28"/>
      <c r="O7032" s="28"/>
      <c r="U7032" s="28"/>
    </row>
    <row r="7033">
      <c r="N7033" s="28"/>
      <c r="O7033" s="28"/>
      <c r="U7033" s="28"/>
    </row>
    <row r="7034">
      <c r="N7034" s="28"/>
      <c r="O7034" s="28"/>
      <c r="U7034" s="28"/>
    </row>
    <row r="7035">
      <c r="N7035" s="28"/>
      <c r="O7035" s="28"/>
      <c r="U7035" s="28"/>
    </row>
    <row r="7036">
      <c r="N7036" s="28"/>
      <c r="O7036" s="28"/>
      <c r="U7036" s="28"/>
    </row>
    <row r="7037">
      <c r="N7037" s="28"/>
      <c r="O7037" s="28"/>
      <c r="U7037" s="28"/>
    </row>
    <row r="7038">
      <c r="N7038" s="28"/>
      <c r="O7038" s="28"/>
      <c r="U7038" s="28"/>
    </row>
    <row r="7039">
      <c r="N7039" s="28"/>
      <c r="O7039" s="28"/>
      <c r="U7039" s="28"/>
    </row>
    <row r="7040">
      <c r="N7040" s="28"/>
      <c r="O7040" s="28"/>
      <c r="U7040" s="28"/>
    </row>
    <row r="7041">
      <c r="N7041" s="28"/>
      <c r="O7041" s="28"/>
      <c r="U7041" s="28"/>
    </row>
    <row r="7042">
      <c r="N7042" s="28"/>
      <c r="O7042" s="28"/>
      <c r="U7042" s="28"/>
    </row>
    <row r="7043">
      <c r="N7043" s="28"/>
      <c r="O7043" s="28"/>
      <c r="U7043" s="28"/>
    </row>
    <row r="7044">
      <c r="N7044" s="28"/>
      <c r="O7044" s="28"/>
      <c r="U7044" s="28"/>
    </row>
    <row r="7045">
      <c r="N7045" s="28"/>
      <c r="O7045" s="28"/>
      <c r="U7045" s="28"/>
    </row>
    <row r="7046">
      <c r="N7046" s="28"/>
      <c r="O7046" s="28"/>
      <c r="U7046" s="28"/>
    </row>
    <row r="7047">
      <c r="N7047" s="28"/>
      <c r="O7047" s="28"/>
      <c r="U7047" s="28"/>
    </row>
    <row r="7048">
      <c r="N7048" s="28"/>
      <c r="O7048" s="28"/>
      <c r="U7048" s="28"/>
    </row>
    <row r="7049">
      <c r="N7049" s="28"/>
      <c r="O7049" s="28"/>
      <c r="U7049" s="28"/>
    </row>
    <row r="7050">
      <c r="N7050" s="28"/>
      <c r="O7050" s="28"/>
      <c r="U7050" s="28"/>
    </row>
    <row r="7051">
      <c r="N7051" s="28"/>
      <c r="O7051" s="28"/>
      <c r="U7051" s="28"/>
    </row>
    <row r="7052">
      <c r="N7052" s="28"/>
      <c r="O7052" s="28"/>
      <c r="U7052" s="28"/>
    </row>
    <row r="7053">
      <c r="N7053" s="28"/>
      <c r="O7053" s="28"/>
      <c r="U7053" s="28"/>
    </row>
    <row r="7054">
      <c r="N7054" s="28"/>
      <c r="O7054" s="28"/>
      <c r="U7054" s="28"/>
    </row>
    <row r="7055">
      <c r="N7055" s="28"/>
      <c r="O7055" s="28"/>
      <c r="U7055" s="28"/>
    </row>
    <row r="7056">
      <c r="N7056" s="28"/>
      <c r="O7056" s="28"/>
      <c r="U7056" s="28"/>
    </row>
    <row r="7057">
      <c r="N7057" s="28"/>
      <c r="O7057" s="28"/>
      <c r="U7057" s="28"/>
    </row>
    <row r="7058">
      <c r="N7058" s="28"/>
      <c r="O7058" s="28"/>
      <c r="U7058" s="28"/>
    </row>
    <row r="7059">
      <c r="N7059" s="28"/>
      <c r="O7059" s="28"/>
      <c r="U7059" s="28"/>
    </row>
    <row r="7060">
      <c r="N7060" s="28"/>
      <c r="O7060" s="28"/>
      <c r="U7060" s="28"/>
    </row>
    <row r="7061">
      <c r="N7061" s="28"/>
      <c r="O7061" s="28"/>
      <c r="U7061" s="28"/>
    </row>
    <row r="7062">
      <c r="N7062" s="28"/>
      <c r="O7062" s="28"/>
      <c r="U7062" s="28"/>
    </row>
    <row r="7063">
      <c r="N7063" s="28"/>
      <c r="O7063" s="28"/>
      <c r="U7063" s="28"/>
    </row>
    <row r="7064">
      <c r="N7064" s="28"/>
      <c r="O7064" s="28"/>
      <c r="U7064" s="28"/>
    </row>
    <row r="7065">
      <c r="N7065" s="28"/>
      <c r="O7065" s="28"/>
      <c r="U7065" s="28"/>
    </row>
    <row r="7066">
      <c r="N7066" s="28"/>
      <c r="O7066" s="28"/>
      <c r="U7066" s="28"/>
    </row>
    <row r="7067">
      <c r="N7067" s="28"/>
      <c r="O7067" s="28"/>
      <c r="U7067" s="28"/>
    </row>
    <row r="7068">
      <c r="N7068" s="28"/>
      <c r="O7068" s="28"/>
      <c r="U7068" s="28"/>
    </row>
    <row r="7069">
      <c r="N7069" s="28"/>
      <c r="O7069" s="28"/>
      <c r="U7069" s="28"/>
    </row>
    <row r="7070">
      <c r="N7070" s="28"/>
      <c r="O7070" s="28"/>
      <c r="U7070" s="28"/>
    </row>
    <row r="7071">
      <c r="N7071" s="28"/>
      <c r="O7071" s="28"/>
      <c r="U7071" s="28"/>
    </row>
    <row r="7072">
      <c r="N7072" s="28"/>
      <c r="O7072" s="28"/>
      <c r="U7072" s="28"/>
    </row>
    <row r="7073">
      <c r="N7073" s="28"/>
      <c r="O7073" s="28"/>
      <c r="U7073" s="28"/>
    </row>
    <row r="7074">
      <c r="N7074" s="28"/>
      <c r="O7074" s="28"/>
      <c r="U7074" s="28"/>
    </row>
    <row r="7075">
      <c r="N7075" s="28"/>
      <c r="O7075" s="28"/>
      <c r="U7075" s="28"/>
    </row>
    <row r="7076">
      <c r="N7076" s="28"/>
      <c r="O7076" s="28"/>
      <c r="U7076" s="28"/>
    </row>
    <row r="7077">
      <c r="N7077" s="28"/>
      <c r="O7077" s="28"/>
      <c r="U7077" s="28"/>
    </row>
    <row r="7078">
      <c r="N7078" s="28"/>
      <c r="O7078" s="28"/>
      <c r="U7078" s="28"/>
    </row>
    <row r="7079">
      <c r="N7079" s="28"/>
      <c r="O7079" s="28"/>
      <c r="U7079" s="28"/>
    </row>
    <row r="7080">
      <c r="N7080" s="28"/>
      <c r="O7080" s="28"/>
      <c r="U7080" s="28"/>
    </row>
    <row r="7081">
      <c r="N7081" s="28"/>
      <c r="O7081" s="28"/>
      <c r="U7081" s="28"/>
    </row>
    <row r="7082">
      <c r="N7082" s="28"/>
      <c r="O7082" s="28"/>
      <c r="U7082" s="28"/>
    </row>
    <row r="7083">
      <c r="N7083" s="28"/>
      <c r="O7083" s="28"/>
      <c r="U7083" s="28"/>
    </row>
    <row r="7084">
      <c r="N7084" s="28"/>
      <c r="O7084" s="28"/>
      <c r="U7084" s="28"/>
    </row>
    <row r="7085">
      <c r="N7085" s="28"/>
      <c r="O7085" s="28"/>
      <c r="U7085" s="28"/>
    </row>
    <row r="7086">
      <c r="N7086" s="28"/>
      <c r="O7086" s="28"/>
      <c r="U7086" s="28"/>
    </row>
    <row r="7087">
      <c r="N7087" s="28"/>
      <c r="O7087" s="28"/>
      <c r="U7087" s="28"/>
    </row>
    <row r="7088">
      <c r="N7088" s="28"/>
      <c r="O7088" s="28"/>
      <c r="U7088" s="28"/>
    </row>
    <row r="7089">
      <c r="N7089" s="28"/>
      <c r="O7089" s="28"/>
      <c r="U7089" s="28"/>
    </row>
    <row r="7090">
      <c r="N7090" s="28"/>
      <c r="O7090" s="28"/>
      <c r="U7090" s="28"/>
    </row>
    <row r="7091">
      <c r="N7091" s="28"/>
      <c r="O7091" s="28"/>
      <c r="U7091" s="28"/>
    </row>
    <row r="7092">
      <c r="N7092" s="28"/>
      <c r="O7092" s="28"/>
      <c r="U7092" s="28"/>
    </row>
    <row r="7093">
      <c r="N7093" s="28"/>
      <c r="O7093" s="28"/>
      <c r="U7093" s="28"/>
    </row>
    <row r="7094">
      <c r="N7094" s="28"/>
      <c r="O7094" s="28"/>
      <c r="U7094" s="28"/>
    </row>
    <row r="7095">
      <c r="N7095" s="28"/>
      <c r="O7095" s="28"/>
      <c r="U7095" s="28"/>
    </row>
    <row r="7096">
      <c r="N7096" s="28"/>
      <c r="O7096" s="28"/>
      <c r="U7096" s="28"/>
    </row>
    <row r="7097">
      <c r="N7097" s="28"/>
      <c r="O7097" s="28"/>
      <c r="U7097" s="28"/>
    </row>
    <row r="7098">
      <c r="N7098" s="28"/>
      <c r="O7098" s="28"/>
      <c r="U7098" s="28"/>
    </row>
    <row r="7099">
      <c r="N7099" s="28"/>
      <c r="O7099" s="28"/>
      <c r="U7099" s="28"/>
    </row>
    <row r="7100">
      <c r="N7100" s="28"/>
      <c r="O7100" s="28"/>
      <c r="U7100" s="28"/>
    </row>
    <row r="7101">
      <c r="N7101" s="28"/>
      <c r="O7101" s="28"/>
      <c r="U7101" s="28"/>
    </row>
    <row r="7102">
      <c r="N7102" s="28"/>
      <c r="O7102" s="28"/>
      <c r="U7102" s="28"/>
    </row>
    <row r="7103">
      <c r="N7103" s="28"/>
      <c r="O7103" s="28"/>
      <c r="U7103" s="28"/>
    </row>
    <row r="7104">
      <c r="N7104" s="28"/>
      <c r="O7104" s="28"/>
      <c r="U7104" s="28"/>
    </row>
    <row r="7105">
      <c r="N7105" s="28"/>
      <c r="O7105" s="28"/>
      <c r="U7105" s="28"/>
    </row>
    <row r="7106">
      <c r="N7106" s="28"/>
      <c r="O7106" s="28"/>
      <c r="U7106" s="28"/>
    </row>
    <row r="7107">
      <c r="N7107" s="28"/>
      <c r="O7107" s="28"/>
      <c r="U7107" s="28"/>
    </row>
    <row r="7108">
      <c r="N7108" s="28"/>
      <c r="O7108" s="28"/>
      <c r="U7108" s="28"/>
    </row>
    <row r="7109">
      <c r="N7109" s="28"/>
      <c r="O7109" s="28"/>
      <c r="U7109" s="28"/>
    </row>
    <row r="7110">
      <c r="N7110" s="28"/>
      <c r="O7110" s="28"/>
      <c r="U7110" s="28"/>
    </row>
    <row r="7111">
      <c r="N7111" s="28"/>
      <c r="O7111" s="28"/>
      <c r="U7111" s="28"/>
    </row>
    <row r="7112">
      <c r="N7112" s="28"/>
      <c r="O7112" s="28"/>
      <c r="U7112" s="28"/>
    </row>
    <row r="7113">
      <c r="N7113" s="28"/>
      <c r="O7113" s="28"/>
      <c r="U7113" s="28"/>
    </row>
    <row r="7114">
      <c r="N7114" s="28"/>
      <c r="O7114" s="28"/>
      <c r="U7114" s="28"/>
    </row>
    <row r="7115">
      <c r="N7115" s="28"/>
      <c r="O7115" s="28"/>
      <c r="U7115" s="28"/>
    </row>
    <row r="7116">
      <c r="N7116" s="28"/>
      <c r="O7116" s="28"/>
      <c r="U7116" s="28"/>
    </row>
    <row r="7117">
      <c r="N7117" s="28"/>
      <c r="O7117" s="28"/>
      <c r="U7117" s="28"/>
    </row>
    <row r="7118">
      <c r="N7118" s="28"/>
      <c r="O7118" s="28"/>
      <c r="U7118" s="28"/>
    </row>
    <row r="7119">
      <c r="N7119" s="28"/>
      <c r="O7119" s="28"/>
      <c r="U7119" s="28"/>
    </row>
    <row r="7120">
      <c r="N7120" s="28"/>
      <c r="O7120" s="28"/>
      <c r="U7120" s="28"/>
    </row>
    <row r="7121">
      <c r="N7121" s="28"/>
      <c r="O7121" s="28"/>
      <c r="U7121" s="28"/>
    </row>
    <row r="7122">
      <c r="N7122" s="28"/>
      <c r="O7122" s="28"/>
      <c r="U7122" s="28"/>
    </row>
    <row r="7123">
      <c r="N7123" s="28"/>
      <c r="O7123" s="28"/>
      <c r="U7123" s="28"/>
    </row>
    <row r="7124">
      <c r="N7124" s="28"/>
      <c r="O7124" s="28"/>
      <c r="U7124" s="28"/>
    </row>
    <row r="7125">
      <c r="N7125" s="28"/>
      <c r="O7125" s="28"/>
      <c r="U7125" s="28"/>
    </row>
    <row r="7126">
      <c r="N7126" s="28"/>
      <c r="O7126" s="28"/>
      <c r="U7126" s="28"/>
    </row>
    <row r="7127">
      <c r="N7127" s="28"/>
      <c r="O7127" s="28"/>
      <c r="U7127" s="28"/>
    </row>
    <row r="7128">
      <c r="N7128" s="28"/>
      <c r="O7128" s="28"/>
      <c r="U7128" s="28"/>
    </row>
    <row r="7129">
      <c r="N7129" s="28"/>
      <c r="O7129" s="28"/>
      <c r="U7129" s="28"/>
    </row>
    <row r="7130">
      <c r="N7130" s="28"/>
      <c r="O7130" s="28"/>
      <c r="U7130" s="28"/>
    </row>
    <row r="7131">
      <c r="N7131" s="28"/>
      <c r="O7131" s="28"/>
      <c r="U7131" s="28"/>
    </row>
    <row r="7132">
      <c r="N7132" s="28"/>
      <c r="O7132" s="28"/>
      <c r="U7132" s="28"/>
    </row>
    <row r="7133">
      <c r="N7133" s="28"/>
      <c r="O7133" s="28"/>
      <c r="U7133" s="28"/>
    </row>
    <row r="7134">
      <c r="N7134" s="28"/>
      <c r="O7134" s="28"/>
      <c r="U7134" s="28"/>
    </row>
    <row r="7135">
      <c r="N7135" s="28"/>
      <c r="O7135" s="28"/>
      <c r="U7135" s="28"/>
    </row>
    <row r="7136">
      <c r="N7136" s="28"/>
      <c r="O7136" s="28"/>
      <c r="U7136" s="28"/>
    </row>
    <row r="7137">
      <c r="N7137" s="28"/>
      <c r="O7137" s="28"/>
      <c r="U7137" s="28"/>
    </row>
    <row r="7138">
      <c r="N7138" s="28"/>
      <c r="O7138" s="28"/>
      <c r="U7138" s="28"/>
    </row>
    <row r="7139">
      <c r="N7139" s="28"/>
      <c r="O7139" s="28"/>
      <c r="U7139" s="28"/>
    </row>
    <row r="7140">
      <c r="N7140" s="28"/>
      <c r="O7140" s="28"/>
      <c r="U7140" s="28"/>
    </row>
    <row r="7141">
      <c r="N7141" s="28"/>
      <c r="O7141" s="28"/>
      <c r="U7141" s="28"/>
    </row>
    <row r="7142">
      <c r="N7142" s="28"/>
      <c r="O7142" s="28"/>
      <c r="U7142" s="28"/>
    </row>
    <row r="7143">
      <c r="N7143" s="28"/>
      <c r="O7143" s="28"/>
      <c r="U7143" s="28"/>
    </row>
    <row r="7144">
      <c r="N7144" s="28"/>
      <c r="O7144" s="28"/>
      <c r="U7144" s="28"/>
    </row>
    <row r="7145">
      <c r="N7145" s="28"/>
      <c r="O7145" s="28"/>
      <c r="U7145" s="28"/>
    </row>
    <row r="7146">
      <c r="N7146" s="28"/>
      <c r="O7146" s="28"/>
      <c r="U7146" s="28"/>
    </row>
    <row r="7147">
      <c r="N7147" s="28"/>
      <c r="O7147" s="28"/>
      <c r="U7147" s="28"/>
    </row>
    <row r="7148">
      <c r="N7148" s="28"/>
      <c r="O7148" s="28"/>
      <c r="U7148" s="28"/>
    </row>
    <row r="7149">
      <c r="N7149" s="28"/>
      <c r="O7149" s="28"/>
      <c r="U7149" s="28"/>
    </row>
    <row r="7150">
      <c r="N7150" s="28"/>
      <c r="O7150" s="28"/>
      <c r="U7150" s="28"/>
    </row>
    <row r="7151">
      <c r="N7151" s="28"/>
      <c r="O7151" s="28"/>
      <c r="U7151" s="28"/>
    </row>
    <row r="7152">
      <c r="N7152" s="28"/>
      <c r="O7152" s="28"/>
      <c r="U7152" s="28"/>
    </row>
    <row r="7153">
      <c r="N7153" s="28"/>
      <c r="O7153" s="28"/>
      <c r="U7153" s="28"/>
    </row>
    <row r="7154">
      <c r="N7154" s="28"/>
      <c r="O7154" s="28"/>
      <c r="U7154" s="28"/>
    </row>
    <row r="7155">
      <c r="N7155" s="28"/>
      <c r="O7155" s="28"/>
      <c r="U7155" s="28"/>
    </row>
    <row r="7156">
      <c r="N7156" s="28"/>
      <c r="O7156" s="28"/>
      <c r="U7156" s="28"/>
    </row>
    <row r="7157">
      <c r="N7157" s="28"/>
      <c r="O7157" s="28"/>
      <c r="U7157" s="28"/>
    </row>
    <row r="7158">
      <c r="N7158" s="28"/>
      <c r="O7158" s="28"/>
      <c r="U7158" s="28"/>
    </row>
    <row r="7159">
      <c r="N7159" s="28"/>
      <c r="O7159" s="28"/>
      <c r="U7159" s="28"/>
    </row>
    <row r="7160">
      <c r="N7160" s="28"/>
      <c r="O7160" s="28"/>
      <c r="U7160" s="28"/>
    </row>
    <row r="7161">
      <c r="N7161" s="28"/>
      <c r="O7161" s="28"/>
      <c r="U7161" s="28"/>
    </row>
    <row r="7162">
      <c r="N7162" s="28"/>
      <c r="O7162" s="28"/>
      <c r="U7162" s="28"/>
    </row>
    <row r="7163">
      <c r="N7163" s="28"/>
      <c r="O7163" s="28"/>
      <c r="U7163" s="28"/>
    </row>
    <row r="7164">
      <c r="N7164" s="28"/>
      <c r="O7164" s="28"/>
      <c r="U7164" s="28"/>
    </row>
    <row r="7165">
      <c r="N7165" s="28"/>
      <c r="O7165" s="28"/>
      <c r="U7165" s="28"/>
    </row>
    <row r="7166">
      <c r="N7166" s="28"/>
      <c r="O7166" s="28"/>
      <c r="U7166" s="28"/>
    </row>
    <row r="7167">
      <c r="N7167" s="28"/>
      <c r="O7167" s="28"/>
      <c r="U7167" s="28"/>
    </row>
    <row r="7168">
      <c r="N7168" s="28"/>
      <c r="O7168" s="28"/>
      <c r="U7168" s="28"/>
    </row>
    <row r="7169">
      <c r="N7169" s="28"/>
      <c r="O7169" s="28"/>
      <c r="U7169" s="28"/>
    </row>
    <row r="7170">
      <c r="N7170" s="28"/>
      <c r="O7170" s="28"/>
      <c r="U7170" s="28"/>
    </row>
    <row r="7171">
      <c r="N7171" s="28"/>
      <c r="O7171" s="28"/>
      <c r="U7171" s="28"/>
    </row>
    <row r="7172">
      <c r="N7172" s="28"/>
      <c r="O7172" s="28"/>
      <c r="U7172" s="28"/>
    </row>
    <row r="7173">
      <c r="N7173" s="28"/>
      <c r="O7173" s="28"/>
      <c r="U7173" s="28"/>
    </row>
    <row r="7174">
      <c r="N7174" s="28"/>
      <c r="O7174" s="28"/>
      <c r="U7174" s="28"/>
    </row>
    <row r="7175">
      <c r="N7175" s="28"/>
      <c r="O7175" s="28"/>
      <c r="U7175" s="28"/>
    </row>
    <row r="7176">
      <c r="N7176" s="28"/>
      <c r="O7176" s="28"/>
      <c r="U7176" s="28"/>
    </row>
    <row r="7177">
      <c r="N7177" s="28"/>
      <c r="O7177" s="28"/>
      <c r="U7177" s="28"/>
    </row>
    <row r="7178">
      <c r="N7178" s="28"/>
      <c r="O7178" s="28"/>
      <c r="U7178" s="28"/>
    </row>
    <row r="7179">
      <c r="N7179" s="28"/>
      <c r="O7179" s="28"/>
      <c r="U7179" s="28"/>
    </row>
    <row r="7180">
      <c r="N7180" s="28"/>
      <c r="O7180" s="28"/>
      <c r="U7180" s="28"/>
    </row>
    <row r="7181">
      <c r="N7181" s="28"/>
      <c r="O7181" s="28"/>
      <c r="U7181" s="28"/>
    </row>
    <row r="7182">
      <c r="N7182" s="28"/>
      <c r="O7182" s="28"/>
      <c r="U7182" s="28"/>
    </row>
    <row r="7183">
      <c r="N7183" s="28"/>
      <c r="O7183" s="28"/>
      <c r="U7183" s="28"/>
    </row>
    <row r="7184">
      <c r="N7184" s="28"/>
      <c r="O7184" s="28"/>
      <c r="U7184" s="28"/>
    </row>
    <row r="7185">
      <c r="N7185" s="28"/>
      <c r="O7185" s="28"/>
      <c r="U7185" s="28"/>
    </row>
    <row r="7186">
      <c r="N7186" s="28"/>
      <c r="O7186" s="28"/>
      <c r="U7186" s="28"/>
    </row>
    <row r="7187">
      <c r="N7187" s="28"/>
      <c r="O7187" s="28"/>
      <c r="U7187" s="28"/>
    </row>
    <row r="7188">
      <c r="N7188" s="28"/>
      <c r="O7188" s="28"/>
      <c r="U7188" s="28"/>
    </row>
    <row r="7189">
      <c r="N7189" s="28"/>
      <c r="O7189" s="28"/>
      <c r="U7189" s="28"/>
    </row>
    <row r="7190">
      <c r="N7190" s="28"/>
      <c r="O7190" s="28"/>
      <c r="U7190" s="28"/>
    </row>
    <row r="7191">
      <c r="N7191" s="28"/>
      <c r="O7191" s="28"/>
      <c r="U7191" s="28"/>
    </row>
    <row r="7192">
      <c r="N7192" s="28"/>
      <c r="O7192" s="28"/>
      <c r="U7192" s="28"/>
    </row>
    <row r="7193">
      <c r="N7193" s="28"/>
      <c r="O7193" s="28"/>
      <c r="U7193" s="28"/>
    </row>
    <row r="7194">
      <c r="N7194" s="28"/>
      <c r="O7194" s="28"/>
      <c r="U7194" s="28"/>
    </row>
    <row r="7195">
      <c r="N7195" s="28"/>
      <c r="O7195" s="28"/>
      <c r="U7195" s="28"/>
    </row>
    <row r="7196">
      <c r="N7196" s="28"/>
      <c r="O7196" s="28"/>
      <c r="U7196" s="28"/>
    </row>
    <row r="7197">
      <c r="N7197" s="28"/>
      <c r="O7197" s="28"/>
      <c r="U7197" s="28"/>
    </row>
    <row r="7198">
      <c r="N7198" s="28"/>
      <c r="O7198" s="28"/>
      <c r="U7198" s="28"/>
    </row>
    <row r="7199">
      <c r="N7199" s="28"/>
      <c r="O7199" s="28"/>
      <c r="U7199" s="28"/>
    </row>
    <row r="7200">
      <c r="N7200" s="28"/>
      <c r="O7200" s="28"/>
      <c r="U7200" s="28"/>
    </row>
    <row r="7201">
      <c r="N7201" s="28"/>
      <c r="O7201" s="28"/>
      <c r="U7201" s="28"/>
    </row>
    <row r="7202">
      <c r="N7202" s="28"/>
      <c r="O7202" s="28"/>
      <c r="U7202" s="28"/>
    </row>
    <row r="7203">
      <c r="N7203" s="28"/>
      <c r="O7203" s="28"/>
      <c r="U7203" s="28"/>
    </row>
    <row r="7204">
      <c r="N7204" s="28"/>
      <c r="O7204" s="28"/>
      <c r="U7204" s="28"/>
    </row>
    <row r="7205">
      <c r="N7205" s="28"/>
      <c r="O7205" s="28"/>
      <c r="U7205" s="28"/>
    </row>
    <row r="7206">
      <c r="N7206" s="28"/>
      <c r="O7206" s="28"/>
      <c r="U7206" s="28"/>
    </row>
    <row r="7207">
      <c r="N7207" s="28"/>
      <c r="O7207" s="28"/>
      <c r="U7207" s="28"/>
    </row>
    <row r="7208">
      <c r="N7208" s="28"/>
      <c r="O7208" s="28"/>
      <c r="U7208" s="28"/>
    </row>
    <row r="7209">
      <c r="N7209" s="28"/>
      <c r="O7209" s="28"/>
      <c r="U7209" s="28"/>
    </row>
    <row r="7210">
      <c r="N7210" s="28"/>
      <c r="O7210" s="28"/>
      <c r="U7210" s="28"/>
    </row>
    <row r="7211">
      <c r="N7211" s="28"/>
      <c r="O7211" s="28"/>
      <c r="U7211" s="28"/>
    </row>
    <row r="7212">
      <c r="N7212" s="28"/>
      <c r="O7212" s="28"/>
      <c r="U7212" s="28"/>
    </row>
    <row r="7213">
      <c r="N7213" s="28"/>
      <c r="O7213" s="28"/>
      <c r="U7213" s="28"/>
    </row>
    <row r="7214">
      <c r="N7214" s="28"/>
      <c r="O7214" s="28"/>
      <c r="U7214" s="28"/>
    </row>
    <row r="7215">
      <c r="N7215" s="28"/>
      <c r="O7215" s="28"/>
      <c r="U7215" s="28"/>
    </row>
    <row r="7216">
      <c r="N7216" s="28"/>
      <c r="O7216" s="28"/>
      <c r="U7216" s="28"/>
    </row>
    <row r="7217">
      <c r="N7217" s="28"/>
      <c r="O7217" s="28"/>
      <c r="U7217" s="28"/>
    </row>
    <row r="7218">
      <c r="N7218" s="28"/>
      <c r="O7218" s="28"/>
      <c r="U7218" s="28"/>
    </row>
    <row r="7219">
      <c r="N7219" s="28"/>
      <c r="O7219" s="28"/>
      <c r="U7219" s="28"/>
    </row>
    <row r="7220">
      <c r="N7220" s="28"/>
      <c r="O7220" s="28"/>
      <c r="U7220" s="28"/>
    </row>
    <row r="7221">
      <c r="N7221" s="28"/>
      <c r="O7221" s="28"/>
      <c r="U7221" s="28"/>
    </row>
    <row r="7222">
      <c r="N7222" s="28"/>
      <c r="O7222" s="28"/>
      <c r="U7222" s="28"/>
    </row>
    <row r="7223">
      <c r="N7223" s="28"/>
      <c r="O7223" s="28"/>
      <c r="U7223" s="28"/>
    </row>
    <row r="7224">
      <c r="N7224" s="28"/>
      <c r="O7224" s="28"/>
      <c r="U7224" s="28"/>
    </row>
    <row r="7225">
      <c r="N7225" s="28"/>
      <c r="O7225" s="28"/>
      <c r="U7225" s="28"/>
    </row>
    <row r="7226">
      <c r="N7226" s="28"/>
      <c r="O7226" s="28"/>
      <c r="U7226" s="28"/>
    </row>
    <row r="7227">
      <c r="N7227" s="28"/>
      <c r="O7227" s="28"/>
      <c r="U7227" s="28"/>
    </row>
    <row r="7228">
      <c r="N7228" s="28"/>
      <c r="O7228" s="28"/>
      <c r="U7228" s="28"/>
    </row>
    <row r="7229">
      <c r="N7229" s="28"/>
      <c r="O7229" s="28"/>
      <c r="U7229" s="28"/>
    </row>
    <row r="7230">
      <c r="N7230" s="28"/>
      <c r="O7230" s="28"/>
      <c r="U7230" s="28"/>
    </row>
    <row r="7231">
      <c r="N7231" s="28"/>
      <c r="O7231" s="28"/>
      <c r="U7231" s="28"/>
    </row>
    <row r="7232">
      <c r="N7232" s="28"/>
      <c r="O7232" s="28"/>
      <c r="U7232" s="28"/>
    </row>
    <row r="7233">
      <c r="N7233" s="28"/>
      <c r="O7233" s="28"/>
      <c r="U7233" s="28"/>
    </row>
    <row r="7234">
      <c r="N7234" s="28"/>
      <c r="O7234" s="28"/>
      <c r="U7234" s="28"/>
    </row>
    <row r="7235">
      <c r="N7235" s="28"/>
      <c r="O7235" s="28"/>
      <c r="U7235" s="28"/>
    </row>
    <row r="7236">
      <c r="N7236" s="28"/>
      <c r="O7236" s="28"/>
      <c r="U7236" s="28"/>
    </row>
    <row r="7237">
      <c r="N7237" s="28"/>
      <c r="O7237" s="28"/>
      <c r="U7237" s="28"/>
    </row>
    <row r="7238">
      <c r="N7238" s="28"/>
      <c r="O7238" s="28"/>
      <c r="U7238" s="28"/>
    </row>
    <row r="7239">
      <c r="N7239" s="28"/>
      <c r="O7239" s="28"/>
      <c r="U7239" s="28"/>
    </row>
    <row r="7240">
      <c r="N7240" s="28"/>
      <c r="O7240" s="28"/>
      <c r="U7240" s="28"/>
    </row>
    <row r="7241">
      <c r="N7241" s="28"/>
      <c r="O7241" s="28"/>
      <c r="U7241" s="28"/>
    </row>
    <row r="7242">
      <c r="N7242" s="28"/>
      <c r="O7242" s="28"/>
      <c r="U7242" s="28"/>
    </row>
    <row r="7243">
      <c r="N7243" s="28"/>
      <c r="O7243" s="28"/>
      <c r="U7243" s="28"/>
    </row>
    <row r="7244">
      <c r="N7244" s="28"/>
      <c r="O7244" s="28"/>
      <c r="U7244" s="28"/>
    </row>
    <row r="7245">
      <c r="N7245" s="28"/>
      <c r="O7245" s="28"/>
      <c r="U7245" s="28"/>
    </row>
    <row r="7246">
      <c r="N7246" s="28"/>
      <c r="O7246" s="28"/>
      <c r="U7246" s="28"/>
    </row>
    <row r="7247">
      <c r="N7247" s="28"/>
      <c r="O7247" s="28"/>
      <c r="U7247" s="28"/>
    </row>
    <row r="7248">
      <c r="N7248" s="28"/>
      <c r="O7248" s="28"/>
      <c r="U7248" s="28"/>
    </row>
    <row r="7249">
      <c r="N7249" s="28"/>
      <c r="O7249" s="28"/>
      <c r="U7249" s="28"/>
    </row>
    <row r="7250">
      <c r="N7250" s="28"/>
      <c r="O7250" s="28"/>
      <c r="U7250" s="28"/>
    </row>
    <row r="7251">
      <c r="N7251" s="28"/>
      <c r="O7251" s="28"/>
      <c r="U7251" s="28"/>
    </row>
    <row r="7252">
      <c r="N7252" s="28"/>
      <c r="O7252" s="28"/>
      <c r="U7252" s="28"/>
    </row>
    <row r="7253">
      <c r="N7253" s="28"/>
      <c r="O7253" s="28"/>
      <c r="U7253" s="28"/>
    </row>
    <row r="7254">
      <c r="N7254" s="28"/>
      <c r="O7254" s="28"/>
      <c r="U7254" s="28"/>
    </row>
    <row r="7255">
      <c r="N7255" s="28"/>
      <c r="O7255" s="28"/>
      <c r="U7255" s="28"/>
    </row>
    <row r="7256">
      <c r="N7256" s="28"/>
      <c r="O7256" s="28"/>
      <c r="U7256" s="28"/>
    </row>
    <row r="7257">
      <c r="N7257" s="28"/>
      <c r="O7257" s="28"/>
      <c r="U7257" s="28"/>
    </row>
    <row r="7258">
      <c r="N7258" s="28"/>
      <c r="O7258" s="28"/>
      <c r="U7258" s="28"/>
    </row>
    <row r="7259">
      <c r="N7259" s="28"/>
      <c r="O7259" s="28"/>
      <c r="U7259" s="28"/>
    </row>
    <row r="7260">
      <c r="N7260" s="28"/>
      <c r="O7260" s="28"/>
      <c r="U7260" s="28"/>
    </row>
    <row r="7261">
      <c r="N7261" s="28"/>
      <c r="O7261" s="28"/>
      <c r="U7261" s="28"/>
    </row>
    <row r="7262">
      <c r="N7262" s="28"/>
      <c r="O7262" s="28"/>
      <c r="U7262" s="28"/>
    </row>
    <row r="7263">
      <c r="N7263" s="28"/>
      <c r="O7263" s="28"/>
      <c r="U7263" s="28"/>
    </row>
    <row r="7264">
      <c r="N7264" s="28"/>
      <c r="O7264" s="28"/>
      <c r="U7264" s="28"/>
    </row>
    <row r="7265">
      <c r="N7265" s="28"/>
      <c r="O7265" s="28"/>
      <c r="U7265" s="28"/>
    </row>
    <row r="7266">
      <c r="N7266" s="28"/>
      <c r="O7266" s="28"/>
      <c r="U7266" s="28"/>
    </row>
    <row r="7267">
      <c r="N7267" s="28"/>
      <c r="O7267" s="28"/>
      <c r="U7267" s="28"/>
    </row>
    <row r="7268">
      <c r="N7268" s="28"/>
      <c r="O7268" s="28"/>
      <c r="U7268" s="28"/>
    </row>
    <row r="7269">
      <c r="N7269" s="28"/>
      <c r="O7269" s="28"/>
      <c r="U7269" s="28"/>
    </row>
    <row r="7270">
      <c r="N7270" s="28"/>
      <c r="O7270" s="28"/>
      <c r="U7270" s="28"/>
    </row>
    <row r="7271">
      <c r="N7271" s="28"/>
      <c r="O7271" s="28"/>
      <c r="U7271" s="28"/>
    </row>
    <row r="7272">
      <c r="N7272" s="28"/>
      <c r="O7272" s="28"/>
      <c r="U7272" s="28"/>
    </row>
    <row r="7273">
      <c r="N7273" s="28"/>
      <c r="O7273" s="28"/>
      <c r="U7273" s="28"/>
    </row>
    <row r="7274">
      <c r="N7274" s="28"/>
      <c r="O7274" s="28"/>
      <c r="U7274" s="28"/>
    </row>
    <row r="7275">
      <c r="N7275" s="28"/>
      <c r="O7275" s="28"/>
      <c r="U7275" s="28"/>
    </row>
    <row r="7276">
      <c r="N7276" s="28"/>
      <c r="O7276" s="28"/>
      <c r="U7276" s="28"/>
    </row>
    <row r="7277">
      <c r="N7277" s="28"/>
      <c r="O7277" s="28"/>
      <c r="U7277" s="28"/>
    </row>
    <row r="7278">
      <c r="N7278" s="28"/>
      <c r="O7278" s="28"/>
      <c r="U7278" s="28"/>
    </row>
    <row r="7279">
      <c r="N7279" s="28"/>
      <c r="O7279" s="28"/>
      <c r="U7279" s="28"/>
    </row>
    <row r="7280">
      <c r="N7280" s="28"/>
      <c r="O7280" s="28"/>
      <c r="U7280" s="28"/>
    </row>
    <row r="7281">
      <c r="N7281" s="28"/>
      <c r="O7281" s="28"/>
      <c r="U7281" s="28"/>
    </row>
    <row r="7282">
      <c r="N7282" s="28"/>
      <c r="O7282" s="28"/>
      <c r="U7282" s="28"/>
    </row>
    <row r="7283">
      <c r="N7283" s="28"/>
      <c r="O7283" s="28"/>
      <c r="U7283" s="28"/>
    </row>
    <row r="7284">
      <c r="N7284" s="28"/>
      <c r="O7284" s="28"/>
      <c r="U7284" s="28"/>
    </row>
    <row r="7285">
      <c r="N7285" s="28"/>
      <c r="O7285" s="28"/>
      <c r="U7285" s="28"/>
    </row>
    <row r="7286">
      <c r="N7286" s="28"/>
      <c r="O7286" s="28"/>
      <c r="U7286" s="28"/>
    </row>
    <row r="7287">
      <c r="N7287" s="28"/>
      <c r="O7287" s="28"/>
      <c r="U7287" s="28"/>
    </row>
    <row r="7288">
      <c r="N7288" s="28"/>
      <c r="O7288" s="28"/>
      <c r="U7288" s="28"/>
    </row>
    <row r="7289">
      <c r="N7289" s="28"/>
      <c r="O7289" s="28"/>
      <c r="U7289" s="28"/>
    </row>
    <row r="7290">
      <c r="N7290" s="28"/>
      <c r="O7290" s="28"/>
      <c r="U7290" s="28"/>
    </row>
    <row r="7291">
      <c r="N7291" s="28"/>
      <c r="O7291" s="28"/>
      <c r="U7291" s="28"/>
    </row>
    <row r="7292">
      <c r="N7292" s="28"/>
      <c r="O7292" s="28"/>
      <c r="U7292" s="28"/>
    </row>
    <row r="7293">
      <c r="N7293" s="28"/>
      <c r="O7293" s="28"/>
      <c r="U7293" s="28"/>
    </row>
    <row r="7294">
      <c r="N7294" s="28"/>
      <c r="O7294" s="28"/>
      <c r="U7294" s="28"/>
    </row>
    <row r="7295">
      <c r="N7295" s="28"/>
      <c r="O7295" s="28"/>
      <c r="U7295" s="28"/>
    </row>
    <row r="7296">
      <c r="N7296" s="28"/>
      <c r="O7296" s="28"/>
      <c r="U7296" s="28"/>
    </row>
    <row r="7297">
      <c r="N7297" s="28"/>
      <c r="O7297" s="28"/>
      <c r="U7297" s="28"/>
    </row>
    <row r="7298">
      <c r="N7298" s="28"/>
      <c r="O7298" s="28"/>
      <c r="U7298" s="28"/>
    </row>
    <row r="7299">
      <c r="N7299" s="28"/>
      <c r="O7299" s="28"/>
      <c r="U7299" s="28"/>
    </row>
    <row r="7300">
      <c r="N7300" s="28"/>
      <c r="O7300" s="28"/>
      <c r="U7300" s="28"/>
    </row>
    <row r="7301">
      <c r="N7301" s="28"/>
      <c r="O7301" s="28"/>
      <c r="U7301" s="28"/>
    </row>
    <row r="7302">
      <c r="N7302" s="28"/>
      <c r="O7302" s="28"/>
      <c r="U7302" s="28"/>
    </row>
    <row r="7303">
      <c r="N7303" s="28"/>
      <c r="O7303" s="28"/>
      <c r="U7303" s="28"/>
    </row>
    <row r="7304">
      <c r="N7304" s="28"/>
      <c r="O7304" s="28"/>
      <c r="U7304" s="28"/>
    </row>
    <row r="7305">
      <c r="N7305" s="28"/>
      <c r="O7305" s="28"/>
      <c r="U7305" s="28"/>
    </row>
    <row r="7306">
      <c r="N7306" s="28"/>
      <c r="O7306" s="28"/>
      <c r="U7306" s="28"/>
    </row>
    <row r="7307">
      <c r="N7307" s="28"/>
      <c r="O7307" s="28"/>
      <c r="U7307" s="28"/>
    </row>
    <row r="7308">
      <c r="N7308" s="28"/>
      <c r="O7308" s="28"/>
      <c r="U7308" s="28"/>
    </row>
    <row r="7309">
      <c r="N7309" s="28"/>
      <c r="O7309" s="28"/>
      <c r="U7309" s="28"/>
    </row>
    <row r="7310">
      <c r="N7310" s="28"/>
      <c r="O7310" s="28"/>
      <c r="U7310" s="28"/>
    </row>
    <row r="7311">
      <c r="N7311" s="28"/>
      <c r="O7311" s="28"/>
      <c r="U7311" s="28"/>
    </row>
    <row r="7312">
      <c r="N7312" s="28"/>
      <c r="O7312" s="28"/>
      <c r="U7312" s="28"/>
    </row>
    <row r="7313">
      <c r="N7313" s="28"/>
      <c r="O7313" s="28"/>
      <c r="U7313" s="28"/>
    </row>
    <row r="7314">
      <c r="N7314" s="28"/>
      <c r="O7314" s="28"/>
      <c r="U7314" s="28"/>
    </row>
    <row r="7315">
      <c r="N7315" s="28"/>
      <c r="O7315" s="28"/>
      <c r="U7315" s="28"/>
    </row>
    <row r="7316">
      <c r="N7316" s="28"/>
      <c r="O7316" s="28"/>
      <c r="U7316" s="28"/>
    </row>
    <row r="7317">
      <c r="N7317" s="28"/>
      <c r="O7317" s="28"/>
      <c r="U7317" s="28"/>
    </row>
    <row r="7318">
      <c r="N7318" s="28"/>
      <c r="O7318" s="28"/>
      <c r="U7318" s="28"/>
    </row>
    <row r="7319">
      <c r="N7319" s="28"/>
      <c r="O7319" s="28"/>
      <c r="U7319" s="28"/>
    </row>
    <row r="7320">
      <c r="N7320" s="28"/>
      <c r="O7320" s="28"/>
      <c r="U7320" s="28"/>
    </row>
    <row r="7321">
      <c r="N7321" s="28"/>
      <c r="O7321" s="28"/>
      <c r="U7321" s="28"/>
    </row>
    <row r="7322">
      <c r="N7322" s="28"/>
      <c r="O7322" s="28"/>
      <c r="U7322" s="28"/>
    </row>
    <row r="7323">
      <c r="N7323" s="28"/>
      <c r="O7323" s="28"/>
      <c r="U7323" s="28"/>
    </row>
    <row r="7324">
      <c r="N7324" s="28"/>
      <c r="O7324" s="28"/>
      <c r="U7324" s="28"/>
    </row>
    <row r="7325">
      <c r="N7325" s="28"/>
      <c r="O7325" s="28"/>
      <c r="U7325" s="28"/>
    </row>
    <row r="7326">
      <c r="N7326" s="28"/>
      <c r="O7326" s="28"/>
      <c r="U7326" s="28"/>
    </row>
    <row r="7327">
      <c r="N7327" s="28"/>
      <c r="O7327" s="28"/>
      <c r="U7327" s="28"/>
    </row>
    <row r="7328">
      <c r="N7328" s="28"/>
      <c r="O7328" s="28"/>
      <c r="U7328" s="28"/>
    </row>
    <row r="7329">
      <c r="N7329" s="28"/>
      <c r="O7329" s="28"/>
      <c r="U7329" s="28"/>
    </row>
    <row r="7330">
      <c r="N7330" s="28"/>
      <c r="O7330" s="28"/>
      <c r="U7330" s="28"/>
    </row>
    <row r="7331">
      <c r="N7331" s="28"/>
      <c r="O7331" s="28"/>
      <c r="U7331" s="28"/>
    </row>
    <row r="7332">
      <c r="N7332" s="28"/>
      <c r="O7332" s="28"/>
      <c r="U7332" s="28"/>
    </row>
    <row r="7333">
      <c r="N7333" s="28"/>
      <c r="O7333" s="28"/>
      <c r="U7333" s="28"/>
    </row>
    <row r="7334">
      <c r="N7334" s="28"/>
      <c r="O7334" s="28"/>
      <c r="U7334" s="28"/>
    </row>
    <row r="7335">
      <c r="N7335" s="28"/>
      <c r="O7335" s="28"/>
      <c r="U7335" s="28"/>
    </row>
    <row r="7336">
      <c r="N7336" s="28"/>
      <c r="O7336" s="28"/>
      <c r="U7336" s="28"/>
    </row>
    <row r="7337">
      <c r="N7337" s="28"/>
      <c r="O7337" s="28"/>
      <c r="U7337" s="28"/>
    </row>
    <row r="7338">
      <c r="N7338" s="28"/>
      <c r="O7338" s="28"/>
      <c r="U7338" s="28"/>
    </row>
    <row r="7339">
      <c r="N7339" s="28"/>
      <c r="O7339" s="28"/>
      <c r="U7339" s="28"/>
    </row>
    <row r="7340">
      <c r="N7340" s="28"/>
      <c r="O7340" s="28"/>
      <c r="U7340" s="28"/>
    </row>
    <row r="7341">
      <c r="N7341" s="28"/>
      <c r="O7341" s="28"/>
      <c r="U7341" s="28"/>
    </row>
    <row r="7342">
      <c r="N7342" s="28"/>
      <c r="O7342" s="28"/>
      <c r="U7342" s="28"/>
    </row>
    <row r="7343">
      <c r="N7343" s="28"/>
      <c r="O7343" s="28"/>
      <c r="U7343" s="28"/>
    </row>
    <row r="7344">
      <c r="N7344" s="28"/>
      <c r="O7344" s="28"/>
      <c r="U7344" s="28"/>
    </row>
    <row r="7345">
      <c r="N7345" s="28"/>
      <c r="O7345" s="28"/>
      <c r="U7345" s="28"/>
    </row>
    <row r="7346">
      <c r="N7346" s="28"/>
      <c r="O7346" s="28"/>
      <c r="U7346" s="28"/>
    </row>
    <row r="7347">
      <c r="N7347" s="28"/>
      <c r="O7347" s="28"/>
      <c r="U7347" s="28"/>
    </row>
    <row r="7348">
      <c r="N7348" s="28"/>
      <c r="O7348" s="28"/>
      <c r="U7348" s="28"/>
    </row>
    <row r="7349">
      <c r="N7349" s="28"/>
      <c r="O7349" s="28"/>
      <c r="U7349" s="28"/>
    </row>
    <row r="7350">
      <c r="N7350" s="28"/>
      <c r="O7350" s="28"/>
      <c r="U7350" s="28"/>
    </row>
    <row r="7351">
      <c r="N7351" s="28"/>
      <c r="O7351" s="28"/>
      <c r="U7351" s="28"/>
    </row>
    <row r="7352">
      <c r="N7352" s="28"/>
      <c r="O7352" s="28"/>
      <c r="U7352" s="28"/>
    </row>
    <row r="7353">
      <c r="N7353" s="28"/>
      <c r="O7353" s="28"/>
      <c r="U7353" s="28"/>
    </row>
    <row r="7354">
      <c r="N7354" s="28"/>
      <c r="O7354" s="28"/>
      <c r="U7354" s="28"/>
    </row>
    <row r="7355">
      <c r="N7355" s="28"/>
      <c r="O7355" s="28"/>
      <c r="U7355" s="28"/>
    </row>
    <row r="7356">
      <c r="N7356" s="28"/>
      <c r="O7356" s="28"/>
      <c r="U7356" s="28"/>
    </row>
    <row r="7357">
      <c r="N7357" s="28"/>
      <c r="O7357" s="28"/>
      <c r="U7357" s="28"/>
    </row>
    <row r="7358">
      <c r="N7358" s="28"/>
      <c r="O7358" s="28"/>
      <c r="U7358" s="28"/>
    </row>
    <row r="7359">
      <c r="N7359" s="28"/>
      <c r="O7359" s="28"/>
      <c r="U7359" s="28"/>
    </row>
    <row r="7360">
      <c r="N7360" s="28"/>
      <c r="O7360" s="28"/>
      <c r="U7360" s="28"/>
    </row>
    <row r="7361">
      <c r="N7361" s="28"/>
      <c r="O7361" s="28"/>
      <c r="U7361" s="28"/>
    </row>
    <row r="7362">
      <c r="N7362" s="28"/>
      <c r="O7362" s="28"/>
      <c r="U7362" s="28"/>
    </row>
    <row r="7363">
      <c r="N7363" s="28"/>
      <c r="O7363" s="28"/>
      <c r="U7363" s="28"/>
    </row>
    <row r="7364">
      <c r="N7364" s="28"/>
      <c r="O7364" s="28"/>
      <c r="U7364" s="28"/>
    </row>
    <row r="7365">
      <c r="N7365" s="28"/>
      <c r="O7365" s="28"/>
      <c r="U7365" s="28"/>
    </row>
    <row r="7366">
      <c r="N7366" s="28"/>
      <c r="O7366" s="28"/>
      <c r="U7366" s="28"/>
    </row>
    <row r="7367">
      <c r="N7367" s="28"/>
      <c r="O7367" s="28"/>
      <c r="U7367" s="28"/>
    </row>
    <row r="7368">
      <c r="N7368" s="28"/>
      <c r="O7368" s="28"/>
      <c r="U7368" s="28"/>
    </row>
    <row r="7369">
      <c r="N7369" s="28"/>
      <c r="O7369" s="28"/>
      <c r="U7369" s="28"/>
    </row>
    <row r="7370">
      <c r="N7370" s="28"/>
      <c r="O7370" s="28"/>
      <c r="U7370" s="28"/>
    </row>
    <row r="7371">
      <c r="N7371" s="28"/>
      <c r="O7371" s="28"/>
      <c r="U7371" s="28"/>
    </row>
    <row r="7372">
      <c r="N7372" s="28"/>
      <c r="O7372" s="28"/>
      <c r="U7372" s="28"/>
    </row>
    <row r="7373">
      <c r="N7373" s="28"/>
      <c r="O7373" s="28"/>
      <c r="U7373" s="28"/>
    </row>
    <row r="7374">
      <c r="N7374" s="28"/>
      <c r="O7374" s="28"/>
      <c r="U7374" s="28"/>
    </row>
    <row r="7375">
      <c r="N7375" s="28"/>
      <c r="O7375" s="28"/>
      <c r="U7375" s="28"/>
    </row>
    <row r="7376">
      <c r="N7376" s="28"/>
      <c r="O7376" s="28"/>
      <c r="U7376" s="28"/>
    </row>
    <row r="7377">
      <c r="N7377" s="28"/>
      <c r="O7377" s="28"/>
      <c r="U7377" s="28"/>
    </row>
    <row r="7378">
      <c r="N7378" s="28"/>
      <c r="O7378" s="28"/>
      <c r="U7378" s="28"/>
    </row>
    <row r="7379">
      <c r="N7379" s="28"/>
      <c r="O7379" s="28"/>
      <c r="U7379" s="28"/>
    </row>
    <row r="7380">
      <c r="N7380" s="28"/>
      <c r="O7380" s="28"/>
      <c r="U7380" s="28"/>
    </row>
    <row r="7381">
      <c r="N7381" s="28"/>
      <c r="O7381" s="28"/>
      <c r="U7381" s="28"/>
    </row>
    <row r="7382">
      <c r="N7382" s="28"/>
      <c r="O7382" s="28"/>
      <c r="U7382" s="28"/>
    </row>
    <row r="7383">
      <c r="N7383" s="28"/>
      <c r="O7383" s="28"/>
      <c r="U7383" s="28"/>
    </row>
    <row r="7384">
      <c r="N7384" s="28"/>
      <c r="O7384" s="28"/>
      <c r="U7384" s="28"/>
    </row>
    <row r="7385">
      <c r="N7385" s="28"/>
      <c r="O7385" s="28"/>
      <c r="U7385" s="28"/>
    </row>
    <row r="7386">
      <c r="N7386" s="28"/>
      <c r="O7386" s="28"/>
      <c r="U7386" s="28"/>
    </row>
    <row r="7387">
      <c r="N7387" s="28"/>
      <c r="O7387" s="28"/>
      <c r="U7387" s="28"/>
    </row>
    <row r="7388">
      <c r="N7388" s="28"/>
      <c r="O7388" s="28"/>
      <c r="U7388" s="28"/>
    </row>
    <row r="7389">
      <c r="N7389" s="28"/>
      <c r="O7389" s="28"/>
      <c r="U7389" s="28"/>
    </row>
    <row r="7390">
      <c r="N7390" s="28"/>
      <c r="O7390" s="28"/>
      <c r="U7390" s="28"/>
    </row>
    <row r="7391">
      <c r="N7391" s="28"/>
      <c r="O7391" s="28"/>
      <c r="U7391" s="28"/>
    </row>
    <row r="7392">
      <c r="N7392" s="28"/>
      <c r="O7392" s="28"/>
      <c r="U7392" s="28"/>
    </row>
    <row r="7393">
      <c r="N7393" s="28"/>
      <c r="O7393" s="28"/>
      <c r="U7393" s="28"/>
    </row>
    <row r="7394">
      <c r="N7394" s="28"/>
      <c r="O7394" s="28"/>
      <c r="U7394" s="28"/>
    </row>
    <row r="7395">
      <c r="N7395" s="28"/>
      <c r="O7395" s="28"/>
      <c r="U7395" s="28"/>
    </row>
    <row r="7396">
      <c r="N7396" s="28"/>
      <c r="O7396" s="28"/>
      <c r="U7396" s="28"/>
    </row>
    <row r="7397">
      <c r="N7397" s="28"/>
      <c r="O7397" s="28"/>
      <c r="U7397" s="28"/>
    </row>
    <row r="7398">
      <c r="N7398" s="28"/>
      <c r="O7398" s="28"/>
      <c r="U7398" s="28"/>
    </row>
    <row r="7399">
      <c r="N7399" s="28"/>
      <c r="O7399" s="28"/>
      <c r="U7399" s="28"/>
    </row>
    <row r="7400">
      <c r="N7400" s="28"/>
      <c r="O7400" s="28"/>
      <c r="U7400" s="28"/>
    </row>
    <row r="7401">
      <c r="N7401" s="28"/>
      <c r="O7401" s="28"/>
      <c r="U7401" s="28"/>
    </row>
    <row r="7402">
      <c r="N7402" s="28"/>
      <c r="O7402" s="28"/>
      <c r="U7402" s="28"/>
    </row>
    <row r="7403">
      <c r="N7403" s="28"/>
      <c r="O7403" s="28"/>
      <c r="U7403" s="28"/>
    </row>
    <row r="7404">
      <c r="N7404" s="28"/>
      <c r="O7404" s="28"/>
      <c r="U7404" s="28"/>
    </row>
    <row r="7405">
      <c r="N7405" s="28"/>
      <c r="O7405" s="28"/>
      <c r="U7405" s="28"/>
    </row>
    <row r="7406">
      <c r="N7406" s="28"/>
      <c r="O7406" s="28"/>
      <c r="U7406" s="28"/>
    </row>
    <row r="7407">
      <c r="N7407" s="28"/>
      <c r="O7407" s="28"/>
      <c r="U7407" s="28"/>
    </row>
    <row r="7408">
      <c r="N7408" s="28"/>
      <c r="O7408" s="28"/>
      <c r="U7408" s="28"/>
    </row>
    <row r="7409">
      <c r="N7409" s="28"/>
      <c r="O7409" s="28"/>
      <c r="U7409" s="28"/>
    </row>
    <row r="7410">
      <c r="N7410" s="28"/>
      <c r="O7410" s="28"/>
      <c r="U7410" s="28"/>
    </row>
    <row r="7411">
      <c r="N7411" s="28"/>
      <c r="O7411" s="28"/>
      <c r="U7411" s="28"/>
    </row>
    <row r="7412">
      <c r="N7412" s="28"/>
      <c r="O7412" s="28"/>
      <c r="U7412" s="28"/>
    </row>
    <row r="7413">
      <c r="N7413" s="28"/>
      <c r="O7413" s="28"/>
      <c r="U7413" s="28"/>
    </row>
    <row r="7414">
      <c r="N7414" s="28"/>
      <c r="O7414" s="28"/>
      <c r="U7414" s="28"/>
    </row>
    <row r="7415">
      <c r="N7415" s="28"/>
      <c r="O7415" s="28"/>
      <c r="U7415" s="28"/>
    </row>
    <row r="7416">
      <c r="N7416" s="28"/>
      <c r="O7416" s="28"/>
      <c r="U7416" s="28"/>
    </row>
    <row r="7417">
      <c r="N7417" s="28"/>
      <c r="O7417" s="28"/>
      <c r="U7417" s="28"/>
    </row>
    <row r="7418">
      <c r="N7418" s="28"/>
      <c r="O7418" s="28"/>
      <c r="U7418" s="28"/>
    </row>
    <row r="7419">
      <c r="N7419" s="28"/>
      <c r="O7419" s="28"/>
      <c r="U7419" s="28"/>
    </row>
    <row r="7420">
      <c r="N7420" s="28"/>
      <c r="O7420" s="28"/>
      <c r="U7420" s="28"/>
    </row>
    <row r="7421">
      <c r="N7421" s="28"/>
      <c r="O7421" s="28"/>
      <c r="U7421" s="28"/>
    </row>
    <row r="7422">
      <c r="N7422" s="28"/>
      <c r="O7422" s="28"/>
      <c r="U7422" s="28"/>
    </row>
    <row r="7423">
      <c r="N7423" s="28"/>
      <c r="O7423" s="28"/>
      <c r="U7423" s="28"/>
    </row>
    <row r="7424">
      <c r="N7424" s="28"/>
      <c r="O7424" s="28"/>
      <c r="U7424" s="28"/>
    </row>
    <row r="7425">
      <c r="N7425" s="28"/>
      <c r="O7425" s="28"/>
      <c r="U7425" s="28"/>
    </row>
    <row r="7426">
      <c r="N7426" s="28"/>
      <c r="O7426" s="28"/>
      <c r="U7426" s="28"/>
    </row>
    <row r="7427">
      <c r="N7427" s="28"/>
      <c r="O7427" s="28"/>
      <c r="U7427" s="28"/>
    </row>
    <row r="7428">
      <c r="N7428" s="28"/>
      <c r="O7428" s="28"/>
      <c r="U7428" s="28"/>
    </row>
    <row r="7429">
      <c r="N7429" s="28"/>
      <c r="O7429" s="28"/>
      <c r="U7429" s="28"/>
    </row>
    <row r="7430">
      <c r="N7430" s="28"/>
      <c r="O7430" s="28"/>
      <c r="U7430" s="28"/>
    </row>
    <row r="7431">
      <c r="N7431" s="28"/>
      <c r="O7431" s="28"/>
      <c r="U7431" s="28"/>
    </row>
    <row r="7432">
      <c r="N7432" s="28"/>
      <c r="O7432" s="28"/>
      <c r="U7432" s="28"/>
    </row>
    <row r="7433">
      <c r="N7433" s="28"/>
      <c r="O7433" s="28"/>
      <c r="U7433" s="28"/>
    </row>
    <row r="7434">
      <c r="N7434" s="28"/>
      <c r="O7434" s="28"/>
      <c r="U7434" s="28"/>
    </row>
    <row r="7435">
      <c r="N7435" s="28"/>
      <c r="O7435" s="28"/>
      <c r="U7435" s="28"/>
    </row>
    <row r="7436">
      <c r="N7436" s="28"/>
      <c r="O7436" s="28"/>
      <c r="U7436" s="28"/>
    </row>
    <row r="7437">
      <c r="N7437" s="28"/>
      <c r="O7437" s="28"/>
      <c r="U7437" s="28"/>
    </row>
    <row r="7438">
      <c r="N7438" s="28"/>
      <c r="O7438" s="28"/>
      <c r="U7438" s="28"/>
    </row>
    <row r="7439">
      <c r="N7439" s="28"/>
      <c r="O7439" s="28"/>
      <c r="U7439" s="28"/>
    </row>
    <row r="7440">
      <c r="N7440" s="28"/>
      <c r="O7440" s="28"/>
      <c r="U7440" s="28"/>
    </row>
    <row r="7441">
      <c r="N7441" s="28"/>
      <c r="O7441" s="28"/>
      <c r="U7441" s="28"/>
    </row>
    <row r="7442">
      <c r="N7442" s="28"/>
      <c r="O7442" s="28"/>
      <c r="U7442" s="28"/>
    </row>
    <row r="7443">
      <c r="N7443" s="28"/>
      <c r="O7443" s="28"/>
      <c r="U7443" s="28"/>
    </row>
    <row r="7444">
      <c r="N7444" s="28"/>
      <c r="O7444" s="28"/>
      <c r="U7444" s="28"/>
    </row>
    <row r="7445">
      <c r="N7445" s="28"/>
      <c r="O7445" s="28"/>
      <c r="U7445" s="28"/>
    </row>
    <row r="7446">
      <c r="N7446" s="28"/>
      <c r="O7446" s="28"/>
      <c r="U7446" s="28"/>
    </row>
    <row r="7447">
      <c r="N7447" s="28"/>
      <c r="O7447" s="28"/>
      <c r="U7447" s="28"/>
    </row>
    <row r="7448">
      <c r="N7448" s="28"/>
      <c r="O7448" s="28"/>
      <c r="U7448" s="28"/>
    </row>
    <row r="7449">
      <c r="N7449" s="28"/>
      <c r="O7449" s="28"/>
      <c r="U7449" s="28"/>
    </row>
    <row r="7450">
      <c r="N7450" s="28"/>
      <c r="O7450" s="28"/>
      <c r="U7450" s="28"/>
    </row>
    <row r="7451">
      <c r="N7451" s="28"/>
      <c r="O7451" s="28"/>
      <c r="U7451" s="28"/>
    </row>
    <row r="7452">
      <c r="N7452" s="28"/>
      <c r="O7452" s="28"/>
      <c r="U7452" s="28"/>
    </row>
    <row r="7453">
      <c r="N7453" s="28"/>
      <c r="O7453" s="28"/>
      <c r="U7453" s="28"/>
    </row>
    <row r="7454">
      <c r="N7454" s="28"/>
      <c r="O7454" s="28"/>
      <c r="U7454" s="28"/>
    </row>
    <row r="7455">
      <c r="N7455" s="28"/>
      <c r="O7455" s="28"/>
      <c r="U7455" s="28"/>
    </row>
    <row r="7456">
      <c r="N7456" s="28"/>
      <c r="O7456" s="28"/>
      <c r="U7456" s="28"/>
    </row>
    <row r="7457">
      <c r="N7457" s="28"/>
      <c r="O7457" s="28"/>
      <c r="U7457" s="28"/>
    </row>
    <row r="7458">
      <c r="N7458" s="28"/>
      <c r="O7458" s="28"/>
      <c r="U7458" s="28"/>
    </row>
    <row r="7459">
      <c r="N7459" s="28"/>
      <c r="O7459" s="28"/>
      <c r="U7459" s="28"/>
    </row>
    <row r="7460">
      <c r="N7460" s="28"/>
      <c r="O7460" s="28"/>
      <c r="U7460" s="28"/>
    </row>
    <row r="7461">
      <c r="N7461" s="28"/>
      <c r="O7461" s="28"/>
      <c r="U7461" s="28"/>
    </row>
    <row r="7462">
      <c r="N7462" s="28"/>
      <c r="O7462" s="28"/>
      <c r="U7462" s="28"/>
    </row>
    <row r="7463">
      <c r="N7463" s="28"/>
      <c r="O7463" s="28"/>
      <c r="U7463" s="28"/>
    </row>
    <row r="7464">
      <c r="N7464" s="28"/>
      <c r="O7464" s="28"/>
      <c r="U7464" s="28"/>
    </row>
    <row r="7465">
      <c r="N7465" s="28"/>
      <c r="O7465" s="28"/>
      <c r="U7465" s="28"/>
    </row>
    <row r="7466">
      <c r="N7466" s="28"/>
      <c r="O7466" s="28"/>
      <c r="U7466" s="28"/>
    </row>
    <row r="7467">
      <c r="N7467" s="28"/>
      <c r="O7467" s="28"/>
      <c r="U7467" s="28"/>
    </row>
    <row r="7468">
      <c r="N7468" s="28"/>
      <c r="O7468" s="28"/>
      <c r="U7468" s="28"/>
    </row>
    <row r="7469">
      <c r="N7469" s="28"/>
      <c r="O7469" s="28"/>
      <c r="U7469" s="28"/>
    </row>
    <row r="7470">
      <c r="N7470" s="28"/>
      <c r="O7470" s="28"/>
      <c r="U7470" s="28"/>
    </row>
    <row r="7471">
      <c r="N7471" s="28"/>
      <c r="O7471" s="28"/>
      <c r="U7471" s="28"/>
    </row>
    <row r="7472">
      <c r="N7472" s="28"/>
      <c r="O7472" s="28"/>
      <c r="U7472" s="28"/>
    </row>
    <row r="7473">
      <c r="N7473" s="28"/>
      <c r="O7473" s="28"/>
      <c r="U7473" s="28"/>
    </row>
    <row r="7474">
      <c r="N7474" s="28"/>
      <c r="O7474" s="28"/>
      <c r="U7474" s="28"/>
    </row>
    <row r="7475">
      <c r="N7475" s="28"/>
      <c r="O7475" s="28"/>
      <c r="U7475" s="28"/>
    </row>
    <row r="7476">
      <c r="N7476" s="28"/>
      <c r="O7476" s="28"/>
      <c r="U7476" s="28"/>
    </row>
    <row r="7477">
      <c r="N7477" s="28"/>
      <c r="O7477" s="28"/>
      <c r="U7477" s="28"/>
    </row>
    <row r="7478">
      <c r="N7478" s="28"/>
      <c r="O7478" s="28"/>
      <c r="U7478" s="28"/>
    </row>
    <row r="7479">
      <c r="N7479" s="28"/>
      <c r="O7479" s="28"/>
      <c r="U7479" s="28"/>
    </row>
    <row r="7480">
      <c r="N7480" s="28"/>
      <c r="O7480" s="28"/>
      <c r="U7480" s="28"/>
    </row>
    <row r="7481">
      <c r="N7481" s="28"/>
      <c r="O7481" s="28"/>
      <c r="U7481" s="28"/>
    </row>
    <row r="7482">
      <c r="N7482" s="28"/>
      <c r="O7482" s="28"/>
      <c r="U7482" s="28"/>
    </row>
    <row r="7483">
      <c r="N7483" s="28"/>
      <c r="O7483" s="28"/>
      <c r="U7483" s="28"/>
    </row>
    <row r="7484">
      <c r="N7484" s="28"/>
      <c r="O7484" s="28"/>
      <c r="U7484" s="28"/>
    </row>
    <row r="7485">
      <c r="N7485" s="28"/>
      <c r="O7485" s="28"/>
      <c r="U7485" s="28"/>
    </row>
    <row r="7486">
      <c r="N7486" s="28"/>
      <c r="O7486" s="28"/>
      <c r="U7486" s="28"/>
    </row>
    <row r="7487">
      <c r="N7487" s="28"/>
      <c r="O7487" s="28"/>
      <c r="U7487" s="28"/>
    </row>
    <row r="7488">
      <c r="N7488" s="28"/>
      <c r="O7488" s="28"/>
      <c r="U7488" s="28"/>
    </row>
    <row r="7489">
      <c r="N7489" s="28"/>
      <c r="O7489" s="28"/>
      <c r="U7489" s="28"/>
    </row>
    <row r="7490">
      <c r="N7490" s="28"/>
      <c r="O7490" s="28"/>
      <c r="U7490" s="28"/>
    </row>
    <row r="7491">
      <c r="N7491" s="28"/>
      <c r="O7491" s="28"/>
      <c r="U7491" s="28"/>
    </row>
    <row r="7492">
      <c r="N7492" s="28"/>
      <c r="O7492" s="28"/>
      <c r="U7492" s="28"/>
    </row>
    <row r="7493">
      <c r="N7493" s="28"/>
      <c r="O7493" s="28"/>
      <c r="U7493" s="28"/>
    </row>
    <row r="7494">
      <c r="N7494" s="28"/>
      <c r="O7494" s="28"/>
      <c r="U7494" s="28"/>
    </row>
    <row r="7495">
      <c r="N7495" s="28"/>
      <c r="O7495" s="28"/>
      <c r="U7495" s="28"/>
    </row>
    <row r="7496">
      <c r="N7496" s="28"/>
      <c r="O7496" s="28"/>
      <c r="U7496" s="28"/>
    </row>
    <row r="7497">
      <c r="N7497" s="28"/>
      <c r="O7497" s="28"/>
      <c r="U7497" s="28"/>
    </row>
    <row r="7498">
      <c r="N7498" s="28"/>
      <c r="O7498" s="28"/>
      <c r="U7498" s="28"/>
    </row>
    <row r="7499">
      <c r="N7499" s="28"/>
      <c r="O7499" s="28"/>
      <c r="U7499" s="28"/>
    </row>
    <row r="7500">
      <c r="N7500" s="28"/>
      <c r="O7500" s="28"/>
      <c r="U7500" s="28"/>
    </row>
    <row r="7501">
      <c r="N7501" s="28"/>
      <c r="O7501" s="28"/>
      <c r="U7501" s="28"/>
    </row>
    <row r="7502">
      <c r="N7502" s="28"/>
      <c r="O7502" s="28"/>
      <c r="U7502" s="28"/>
    </row>
    <row r="7503">
      <c r="N7503" s="28"/>
      <c r="O7503" s="28"/>
      <c r="U7503" s="28"/>
    </row>
    <row r="7504">
      <c r="N7504" s="28"/>
      <c r="O7504" s="28"/>
      <c r="U7504" s="28"/>
    </row>
    <row r="7505">
      <c r="N7505" s="28"/>
      <c r="O7505" s="28"/>
      <c r="U7505" s="28"/>
    </row>
    <row r="7506">
      <c r="N7506" s="28"/>
      <c r="O7506" s="28"/>
      <c r="U7506" s="28"/>
    </row>
    <row r="7507">
      <c r="N7507" s="28"/>
      <c r="O7507" s="28"/>
      <c r="U7507" s="28"/>
    </row>
    <row r="7508">
      <c r="N7508" s="28"/>
      <c r="O7508" s="28"/>
      <c r="U7508" s="28"/>
    </row>
    <row r="7509">
      <c r="N7509" s="28"/>
      <c r="O7509" s="28"/>
      <c r="U7509" s="28"/>
    </row>
    <row r="7510">
      <c r="N7510" s="28"/>
      <c r="O7510" s="28"/>
      <c r="U7510" s="28"/>
    </row>
    <row r="7511">
      <c r="N7511" s="28"/>
      <c r="O7511" s="28"/>
      <c r="U7511" s="28"/>
    </row>
    <row r="7512">
      <c r="N7512" s="28"/>
      <c r="O7512" s="28"/>
      <c r="U7512" s="28"/>
    </row>
    <row r="7513">
      <c r="N7513" s="28"/>
      <c r="O7513" s="28"/>
      <c r="U7513" s="28"/>
    </row>
    <row r="7514">
      <c r="N7514" s="28"/>
      <c r="O7514" s="28"/>
      <c r="U7514" s="28"/>
    </row>
    <row r="7515">
      <c r="N7515" s="28"/>
      <c r="O7515" s="28"/>
      <c r="U7515" s="28"/>
    </row>
    <row r="7516">
      <c r="N7516" s="28"/>
      <c r="O7516" s="28"/>
      <c r="U7516" s="28"/>
    </row>
    <row r="7517">
      <c r="N7517" s="28"/>
      <c r="O7517" s="28"/>
      <c r="U7517" s="28"/>
    </row>
    <row r="7518">
      <c r="N7518" s="28"/>
      <c r="O7518" s="28"/>
      <c r="U7518" s="28"/>
    </row>
    <row r="7519">
      <c r="N7519" s="28"/>
      <c r="O7519" s="28"/>
      <c r="U7519" s="28"/>
    </row>
    <row r="7520">
      <c r="N7520" s="28"/>
      <c r="O7520" s="28"/>
      <c r="U7520" s="28"/>
    </row>
    <row r="7521">
      <c r="N7521" s="28"/>
      <c r="O7521" s="28"/>
      <c r="U7521" s="28"/>
    </row>
    <row r="7522">
      <c r="N7522" s="28"/>
      <c r="O7522" s="28"/>
      <c r="U7522" s="28"/>
    </row>
    <row r="7523">
      <c r="N7523" s="28"/>
      <c r="O7523" s="28"/>
      <c r="U7523" s="28"/>
    </row>
    <row r="7524">
      <c r="N7524" s="28"/>
      <c r="O7524" s="28"/>
      <c r="U7524" s="28"/>
    </row>
    <row r="7525">
      <c r="N7525" s="28"/>
      <c r="O7525" s="28"/>
      <c r="U7525" s="28"/>
    </row>
    <row r="7526">
      <c r="N7526" s="28"/>
      <c r="O7526" s="28"/>
      <c r="U7526" s="28"/>
    </row>
    <row r="7527">
      <c r="N7527" s="28"/>
      <c r="O7527" s="28"/>
      <c r="U7527" s="28"/>
    </row>
    <row r="7528">
      <c r="N7528" s="28"/>
      <c r="O7528" s="28"/>
      <c r="U7528" s="28"/>
    </row>
    <row r="7529">
      <c r="N7529" s="28"/>
      <c r="O7529" s="28"/>
      <c r="U7529" s="28"/>
    </row>
    <row r="7530">
      <c r="N7530" s="28"/>
      <c r="O7530" s="28"/>
      <c r="U7530" s="28"/>
    </row>
    <row r="7531">
      <c r="N7531" s="28"/>
      <c r="O7531" s="28"/>
      <c r="U7531" s="28"/>
    </row>
    <row r="7532">
      <c r="N7532" s="28"/>
      <c r="O7532" s="28"/>
      <c r="U7532" s="28"/>
    </row>
    <row r="7533">
      <c r="N7533" s="28"/>
      <c r="O7533" s="28"/>
      <c r="U7533" s="28"/>
    </row>
    <row r="7534">
      <c r="N7534" s="28"/>
      <c r="O7534" s="28"/>
      <c r="U7534" s="28"/>
    </row>
    <row r="7535">
      <c r="N7535" s="28"/>
      <c r="O7535" s="28"/>
      <c r="U7535" s="28"/>
    </row>
    <row r="7536">
      <c r="N7536" s="28"/>
      <c r="O7536" s="28"/>
      <c r="U7536" s="28"/>
    </row>
    <row r="7537">
      <c r="N7537" s="28"/>
      <c r="O7537" s="28"/>
      <c r="U7537" s="28"/>
    </row>
    <row r="7538">
      <c r="N7538" s="28"/>
      <c r="O7538" s="28"/>
      <c r="U7538" s="28"/>
    </row>
    <row r="7539">
      <c r="N7539" s="28"/>
      <c r="O7539" s="28"/>
      <c r="U7539" s="28"/>
    </row>
    <row r="7540">
      <c r="N7540" s="28"/>
      <c r="O7540" s="28"/>
      <c r="U7540" s="28"/>
    </row>
    <row r="7541">
      <c r="N7541" s="28"/>
      <c r="O7541" s="28"/>
      <c r="U7541" s="28"/>
    </row>
    <row r="7542">
      <c r="N7542" s="28"/>
      <c r="O7542" s="28"/>
      <c r="U7542" s="28"/>
    </row>
    <row r="7543">
      <c r="N7543" s="28"/>
      <c r="O7543" s="28"/>
      <c r="U7543" s="28"/>
    </row>
    <row r="7544">
      <c r="N7544" s="28"/>
      <c r="O7544" s="28"/>
      <c r="U7544" s="28"/>
    </row>
    <row r="7545">
      <c r="N7545" s="28"/>
      <c r="O7545" s="28"/>
      <c r="U7545" s="28"/>
    </row>
    <row r="7546">
      <c r="N7546" s="28"/>
      <c r="O7546" s="28"/>
      <c r="U7546" s="28"/>
    </row>
    <row r="7547">
      <c r="N7547" s="28"/>
      <c r="O7547" s="28"/>
      <c r="U7547" s="28"/>
    </row>
    <row r="7548">
      <c r="N7548" s="28"/>
      <c r="O7548" s="28"/>
      <c r="U7548" s="28"/>
    </row>
    <row r="7549">
      <c r="N7549" s="28"/>
      <c r="O7549" s="28"/>
      <c r="U7549" s="28"/>
    </row>
    <row r="7550">
      <c r="N7550" s="28"/>
      <c r="O7550" s="28"/>
      <c r="U7550" s="28"/>
    </row>
    <row r="7551">
      <c r="N7551" s="28"/>
      <c r="O7551" s="28"/>
      <c r="U7551" s="28"/>
    </row>
    <row r="7552">
      <c r="N7552" s="28"/>
      <c r="O7552" s="28"/>
      <c r="U7552" s="28"/>
    </row>
    <row r="7553">
      <c r="N7553" s="28"/>
      <c r="O7553" s="28"/>
      <c r="U7553" s="28"/>
    </row>
    <row r="7554">
      <c r="N7554" s="28"/>
      <c r="O7554" s="28"/>
      <c r="U7554" s="28"/>
    </row>
    <row r="7555">
      <c r="N7555" s="28"/>
      <c r="O7555" s="28"/>
      <c r="U7555" s="28"/>
    </row>
    <row r="7556">
      <c r="N7556" s="28"/>
      <c r="O7556" s="28"/>
      <c r="U7556" s="28"/>
    </row>
    <row r="7557">
      <c r="N7557" s="28"/>
      <c r="O7557" s="28"/>
      <c r="U7557" s="28"/>
    </row>
    <row r="7558">
      <c r="N7558" s="28"/>
      <c r="O7558" s="28"/>
      <c r="U7558" s="28"/>
    </row>
    <row r="7559">
      <c r="N7559" s="28"/>
      <c r="O7559" s="28"/>
      <c r="U7559" s="28"/>
    </row>
    <row r="7560">
      <c r="N7560" s="28"/>
      <c r="O7560" s="28"/>
      <c r="U7560" s="28"/>
    </row>
    <row r="7561">
      <c r="N7561" s="28"/>
      <c r="O7561" s="28"/>
      <c r="U7561" s="28"/>
    </row>
    <row r="7562">
      <c r="N7562" s="28"/>
      <c r="O7562" s="28"/>
      <c r="U7562" s="28"/>
    </row>
    <row r="7563">
      <c r="N7563" s="28"/>
      <c r="O7563" s="28"/>
      <c r="U7563" s="28"/>
    </row>
    <row r="7564">
      <c r="N7564" s="28"/>
      <c r="O7564" s="28"/>
      <c r="U7564" s="28"/>
    </row>
    <row r="7565">
      <c r="N7565" s="28"/>
      <c r="O7565" s="28"/>
      <c r="U7565" s="28"/>
    </row>
    <row r="7566">
      <c r="N7566" s="28"/>
      <c r="O7566" s="28"/>
      <c r="U7566" s="28"/>
    </row>
    <row r="7567">
      <c r="N7567" s="28"/>
      <c r="O7567" s="28"/>
      <c r="U7567" s="28"/>
    </row>
    <row r="7568">
      <c r="N7568" s="28"/>
      <c r="O7568" s="28"/>
      <c r="U7568" s="28"/>
    </row>
    <row r="7569">
      <c r="N7569" s="28"/>
      <c r="O7569" s="28"/>
      <c r="U7569" s="28"/>
    </row>
    <row r="7570">
      <c r="N7570" s="28"/>
      <c r="O7570" s="28"/>
      <c r="U7570" s="28"/>
    </row>
    <row r="7571">
      <c r="N7571" s="28"/>
      <c r="O7571" s="28"/>
      <c r="U7571" s="28"/>
    </row>
    <row r="7572">
      <c r="N7572" s="28"/>
      <c r="O7572" s="28"/>
      <c r="U7572" s="28"/>
    </row>
    <row r="7573">
      <c r="N7573" s="28"/>
      <c r="O7573" s="28"/>
      <c r="U7573" s="28"/>
    </row>
    <row r="7574">
      <c r="N7574" s="28"/>
      <c r="O7574" s="28"/>
      <c r="U7574" s="28"/>
    </row>
    <row r="7575">
      <c r="N7575" s="28"/>
      <c r="O7575" s="28"/>
      <c r="U7575" s="28"/>
    </row>
    <row r="7576">
      <c r="N7576" s="28"/>
      <c r="O7576" s="28"/>
      <c r="U7576" s="28"/>
    </row>
    <row r="7577">
      <c r="N7577" s="28"/>
      <c r="O7577" s="28"/>
      <c r="U7577" s="28"/>
    </row>
    <row r="7578">
      <c r="N7578" s="28"/>
      <c r="O7578" s="28"/>
      <c r="U7578" s="28"/>
    </row>
    <row r="7579">
      <c r="N7579" s="28"/>
      <c r="O7579" s="28"/>
      <c r="U7579" s="28"/>
    </row>
    <row r="7580">
      <c r="N7580" s="28"/>
      <c r="O7580" s="28"/>
      <c r="U7580" s="28"/>
    </row>
    <row r="7581">
      <c r="N7581" s="28"/>
      <c r="O7581" s="28"/>
      <c r="U7581" s="28"/>
    </row>
    <row r="7582">
      <c r="N7582" s="28"/>
      <c r="O7582" s="28"/>
      <c r="U7582" s="28"/>
    </row>
    <row r="7583">
      <c r="N7583" s="28"/>
      <c r="O7583" s="28"/>
      <c r="U7583" s="28"/>
    </row>
    <row r="7584">
      <c r="N7584" s="28"/>
      <c r="O7584" s="28"/>
      <c r="U7584" s="28"/>
    </row>
    <row r="7585">
      <c r="N7585" s="28"/>
      <c r="O7585" s="28"/>
      <c r="U7585" s="28"/>
    </row>
    <row r="7586">
      <c r="N7586" s="28"/>
      <c r="O7586" s="28"/>
      <c r="U7586" s="28"/>
    </row>
    <row r="7587">
      <c r="N7587" s="28"/>
      <c r="O7587" s="28"/>
      <c r="U7587" s="28"/>
    </row>
    <row r="7588">
      <c r="N7588" s="28"/>
      <c r="O7588" s="28"/>
      <c r="U7588" s="28"/>
    </row>
    <row r="7589">
      <c r="N7589" s="28"/>
      <c r="O7589" s="28"/>
      <c r="U7589" s="28"/>
    </row>
    <row r="7590">
      <c r="N7590" s="28"/>
      <c r="O7590" s="28"/>
      <c r="U7590" s="28"/>
    </row>
    <row r="7591">
      <c r="N7591" s="28"/>
      <c r="O7591" s="28"/>
      <c r="U7591" s="28"/>
    </row>
    <row r="7592">
      <c r="N7592" s="28"/>
      <c r="O7592" s="28"/>
      <c r="U7592" s="28"/>
    </row>
    <row r="7593">
      <c r="N7593" s="28"/>
      <c r="O7593" s="28"/>
      <c r="U7593" s="28"/>
    </row>
    <row r="7594">
      <c r="N7594" s="28"/>
      <c r="O7594" s="28"/>
      <c r="U7594" s="28"/>
    </row>
    <row r="7595">
      <c r="N7595" s="28"/>
      <c r="O7595" s="28"/>
      <c r="U7595" s="28"/>
    </row>
    <row r="7596">
      <c r="N7596" s="28"/>
      <c r="O7596" s="28"/>
      <c r="U7596" s="28"/>
    </row>
    <row r="7597">
      <c r="N7597" s="28"/>
      <c r="O7597" s="28"/>
      <c r="U7597" s="28"/>
    </row>
    <row r="7598">
      <c r="N7598" s="28"/>
      <c r="O7598" s="28"/>
      <c r="U7598" s="28"/>
    </row>
    <row r="7599">
      <c r="N7599" s="28"/>
      <c r="O7599" s="28"/>
      <c r="U7599" s="28"/>
    </row>
    <row r="7600">
      <c r="N7600" s="28"/>
      <c r="O7600" s="28"/>
      <c r="U7600" s="28"/>
    </row>
    <row r="7601">
      <c r="N7601" s="28"/>
      <c r="O7601" s="28"/>
      <c r="U7601" s="28"/>
    </row>
    <row r="7602">
      <c r="N7602" s="28"/>
      <c r="O7602" s="28"/>
      <c r="U7602" s="28"/>
    </row>
    <row r="7603">
      <c r="N7603" s="28"/>
      <c r="O7603" s="28"/>
      <c r="U7603" s="28"/>
    </row>
    <row r="7604">
      <c r="N7604" s="28"/>
      <c r="O7604" s="28"/>
      <c r="U7604" s="28"/>
    </row>
    <row r="7605">
      <c r="N7605" s="28"/>
      <c r="O7605" s="28"/>
      <c r="U7605" s="28"/>
    </row>
    <row r="7606">
      <c r="N7606" s="28"/>
      <c r="O7606" s="28"/>
      <c r="U7606" s="28"/>
    </row>
    <row r="7607">
      <c r="N7607" s="28"/>
      <c r="O7607" s="28"/>
      <c r="U7607" s="28"/>
    </row>
    <row r="7608">
      <c r="N7608" s="28"/>
      <c r="O7608" s="28"/>
      <c r="U7608" s="28"/>
    </row>
    <row r="7609">
      <c r="N7609" s="28"/>
      <c r="O7609" s="28"/>
      <c r="U7609" s="28"/>
    </row>
    <row r="7610">
      <c r="N7610" s="28"/>
      <c r="O7610" s="28"/>
      <c r="U7610" s="28"/>
    </row>
    <row r="7611">
      <c r="N7611" s="28"/>
      <c r="O7611" s="28"/>
      <c r="U7611" s="28"/>
    </row>
    <row r="7612">
      <c r="N7612" s="28"/>
      <c r="O7612" s="28"/>
      <c r="U7612" s="28"/>
    </row>
    <row r="7613">
      <c r="N7613" s="28"/>
      <c r="O7613" s="28"/>
      <c r="U7613" s="28"/>
    </row>
    <row r="7614">
      <c r="N7614" s="28"/>
      <c r="O7614" s="28"/>
      <c r="U7614" s="28"/>
    </row>
    <row r="7615">
      <c r="N7615" s="28"/>
      <c r="O7615" s="28"/>
      <c r="U7615" s="28"/>
    </row>
    <row r="7616">
      <c r="N7616" s="28"/>
      <c r="O7616" s="28"/>
      <c r="U7616" s="28"/>
    </row>
    <row r="7617">
      <c r="N7617" s="28"/>
      <c r="O7617" s="28"/>
      <c r="U7617" s="28"/>
    </row>
    <row r="7618">
      <c r="N7618" s="28"/>
      <c r="O7618" s="28"/>
      <c r="U7618" s="28"/>
    </row>
    <row r="7619">
      <c r="N7619" s="28"/>
      <c r="O7619" s="28"/>
      <c r="U7619" s="28"/>
    </row>
    <row r="7620">
      <c r="N7620" s="28"/>
      <c r="O7620" s="28"/>
      <c r="U7620" s="28"/>
    </row>
    <row r="7621">
      <c r="N7621" s="28"/>
      <c r="O7621" s="28"/>
      <c r="U7621" s="28"/>
    </row>
    <row r="7622">
      <c r="N7622" s="28"/>
      <c r="O7622" s="28"/>
      <c r="U7622" s="28"/>
    </row>
    <row r="7623">
      <c r="N7623" s="28"/>
      <c r="O7623" s="28"/>
      <c r="U7623" s="28"/>
    </row>
    <row r="7624">
      <c r="N7624" s="28"/>
      <c r="O7624" s="28"/>
      <c r="U7624" s="28"/>
    </row>
    <row r="7625">
      <c r="N7625" s="28"/>
      <c r="O7625" s="28"/>
      <c r="U7625" s="28"/>
    </row>
    <row r="7626">
      <c r="N7626" s="28"/>
      <c r="O7626" s="28"/>
      <c r="U7626" s="28"/>
    </row>
    <row r="7627">
      <c r="N7627" s="28"/>
      <c r="O7627" s="28"/>
      <c r="U7627" s="28"/>
    </row>
    <row r="7628">
      <c r="N7628" s="28"/>
      <c r="O7628" s="28"/>
      <c r="U7628" s="28"/>
    </row>
    <row r="7629">
      <c r="N7629" s="28"/>
      <c r="O7629" s="28"/>
      <c r="U7629" s="28"/>
    </row>
    <row r="7630">
      <c r="N7630" s="28"/>
      <c r="O7630" s="28"/>
      <c r="U7630" s="28"/>
    </row>
    <row r="7631">
      <c r="N7631" s="28"/>
      <c r="O7631" s="28"/>
      <c r="U7631" s="28"/>
    </row>
    <row r="7632">
      <c r="N7632" s="28"/>
      <c r="O7632" s="28"/>
      <c r="U7632" s="28"/>
    </row>
    <row r="7633">
      <c r="N7633" s="28"/>
      <c r="O7633" s="28"/>
      <c r="U7633" s="28"/>
    </row>
    <row r="7634">
      <c r="N7634" s="28"/>
      <c r="O7634" s="28"/>
      <c r="U7634" s="28"/>
    </row>
    <row r="7635">
      <c r="N7635" s="28"/>
      <c r="O7635" s="28"/>
      <c r="U7635" s="28"/>
    </row>
    <row r="7636">
      <c r="N7636" s="28"/>
      <c r="O7636" s="28"/>
      <c r="U7636" s="28"/>
    </row>
    <row r="7637">
      <c r="N7637" s="28"/>
      <c r="O7637" s="28"/>
      <c r="U7637" s="28"/>
    </row>
    <row r="7638">
      <c r="N7638" s="28"/>
      <c r="O7638" s="28"/>
      <c r="U7638" s="28"/>
    </row>
    <row r="7639">
      <c r="N7639" s="28"/>
      <c r="O7639" s="28"/>
      <c r="U7639" s="28"/>
    </row>
    <row r="7640">
      <c r="N7640" s="28"/>
      <c r="O7640" s="28"/>
      <c r="U7640" s="28"/>
    </row>
    <row r="7641">
      <c r="N7641" s="28"/>
      <c r="O7641" s="28"/>
      <c r="U7641" s="28"/>
    </row>
    <row r="7642">
      <c r="N7642" s="28"/>
      <c r="O7642" s="28"/>
      <c r="U7642" s="28"/>
    </row>
    <row r="7643">
      <c r="N7643" s="28"/>
      <c r="O7643" s="28"/>
      <c r="U7643" s="28"/>
    </row>
    <row r="7644">
      <c r="N7644" s="28"/>
      <c r="O7644" s="28"/>
      <c r="U7644" s="28"/>
    </row>
    <row r="7645">
      <c r="N7645" s="28"/>
      <c r="O7645" s="28"/>
      <c r="U7645" s="28"/>
    </row>
    <row r="7646">
      <c r="N7646" s="28"/>
      <c r="O7646" s="28"/>
      <c r="U7646" s="28"/>
    </row>
    <row r="7647">
      <c r="N7647" s="28"/>
      <c r="O7647" s="28"/>
      <c r="U7647" s="28"/>
    </row>
    <row r="7648">
      <c r="N7648" s="28"/>
      <c r="O7648" s="28"/>
      <c r="U7648" s="28"/>
    </row>
    <row r="7649">
      <c r="N7649" s="28"/>
      <c r="O7649" s="28"/>
      <c r="U7649" s="28"/>
    </row>
    <row r="7650">
      <c r="N7650" s="28"/>
      <c r="O7650" s="28"/>
      <c r="U7650" s="28"/>
    </row>
    <row r="7651">
      <c r="N7651" s="28"/>
      <c r="O7651" s="28"/>
      <c r="U7651" s="28"/>
    </row>
    <row r="7652">
      <c r="N7652" s="28"/>
      <c r="O7652" s="28"/>
      <c r="U7652" s="28"/>
    </row>
    <row r="7653">
      <c r="N7653" s="28"/>
      <c r="O7653" s="28"/>
      <c r="U7653" s="28"/>
    </row>
    <row r="7654">
      <c r="N7654" s="28"/>
      <c r="O7654" s="28"/>
      <c r="U7654" s="28"/>
    </row>
    <row r="7655">
      <c r="N7655" s="28"/>
      <c r="O7655" s="28"/>
      <c r="U7655" s="28"/>
    </row>
    <row r="7656">
      <c r="N7656" s="28"/>
      <c r="O7656" s="28"/>
      <c r="U7656" s="28"/>
    </row>
    <row r="7657">
      <c r="N7657" s="28"/>
      <c r="O7657" s="28"/>
      <c r="U7657" s="28"/>
    </row>
    <row r="7658">
      <c r="N7658" s="28"/>
      <c r="O7658" s="28"/>
      <c r="U7658" s="28"/>
    </row>
    <row r="7659">
      <c r="N7659" s="28"/>
      <c r="O7659" s="28"/>
      <c r="U7659" s="28"/>
    </row>
    <row r="7660">
      <c r="N7660" s="28"/>
      <c r="O7660" s="28"/>
      <c r="U7660" s="28"/>
    </row>
    <row r="7661">
      <c r="N7661" s="28"/>
      <c r="O7661" s="28"/>
      <c r="U7661" s="28"/>
    </row>
    <row r="7662">
      <c r="N7662" s="28"/>
      <c r="O7662" s="28"/>
      <c r="U7662" s="28"/>
    </row>
    <row r="7663">
      <c r="N7663" s="28"/>
      <c r="O7663" s="28"/>
      <c r="U7663" s="28"/>
    </row>
    <row r="7664">
      <c r="N7664" s="28"/>
      <c r="O7664" s="28"/>
      <c r="U7664" s="28"/>
    </row>
    <row r="7665">
      <c r="N7665" s="28"/>
      <c r="O7665" s="28"/>
      <c r="U7665" s="28"/>
    </row>
    <row r="7666">
      <c r="N7666" s="28"/>
      <c r="O7666" s="28"/>
      <c r="U7666" s="28"/>
    </row>
    <row r="7667">
      <c r="N7667" s="28"/>
      <c r="O7667" s="28"/>
      <c r="U7667" s="28"/>
    </row>
    <row r="7668">
      <c r="N7668" s="28"/>
      <c r="O7668" s="28"/>
      <c r="U7668" s="28"/>
    </row>
    <row r="7669">
      <c r="N7669" s="28"/>
      <c r="O7669" s="28"/>
      <c r="U7669" s="28"/>
    </row>
    <row r="7670">
      <c r="N7670" s="28"/>
      <c r="O7670" s="28"/>
      <c r="U7670" s="28"/>
    </row>
    <row r="7671">
      <c r="N7671" s="28"/>
      <c r="O7671" s="28"/>
      <c r="U7671" s="28"/>
    </row>
    <row r="7672">
      <c r="N7672" s="28"/>
      <c r="O7672" s="28"/>
      <c r="U7672" s="28"/>
    </row>
    <row r="7673">
      <c r="N7673" s="28"/>
      <c r="O7673" s="28"/>
      <c r="U7673" s="28"/>
    </row>
    <row r="7674">
      <c r="N7674" s="28"/>
      <c r="O7674" s="28"/>
      <c r="U7674" s="28"/>
    </row>
    <row r="7675">
      <c r="N7675" s="28"/>
      <c r="O7675" s="28"/>
      <c r="U7675" s="28"/>
    </row>
    <row r="7676">
      <c r="N7676" s="28"/>
      <c r="O7676" s="28"/>
      <c r="U7676" s="28"/>
    </row>
    <row r="7677">
      <c r="N7677" s="28"/>
      <c r="O7677" s="28"/>
      <c r="U7677" s="28"/>
    </row>
    <row r="7678">
      <c r="N7678" s="28"/>
      <c r="O7678" s="28"/>
      <c r="U7678" s="28"/>
    </row>
    <row r="7679">
      <c r="N7679" s="28"/>
      <c r="O7679" s="28"/>
      <c r="U7679" s="28"/>
    </row>
    <row r="7680">
      <c r="N7680" s="28"/>
      <c r="O7680" s="28"/>
      <c r="U7680" s="28"/>
    </row>
    <row r="7681">
      <c r="N7681" s="28"/>
      <c r="O7681" s="28"/>
      <c r="U7681" s="28"/>
    </row>
    <row r="7682">
      <c r="N7682" s="28"/>
      <c r="O7682" s="28"/>
      <c r="U7682" s="28"/>
    </row>
    <row r="7683">
      <c r="N7683" s="28"/>
      <c r="O7683" s="28"/>
      <c r="U7683" s="28"/>
    </row>
    <row r="7684">
      <c r="N7684" s="28"/>
      <c r="O7684" s="28"/>
      <c r="U7684" s="28"/>
    </row>
    <row r="7685">
      <c r="N7685" s="28"/>
      <c r="O7685" s="28"/>
      <c r="U7685" s="28"/>
    </row>
    <row r="7686">
      <c r="N7686" s="28"/>
      <c r="O7686" s="28"/>
      <c r="U7686" s="28"/>
    </row>
    <row r="7687">
      <c r="N7687" s="28"/>
      <c r="O7687" s="28"/>
      <c r="U7687" s="28"/>
    </row>
    <row r="7688">
      <c r="N7688" s="28"/>
      <c r="O7688" s="28"/>
      <c r="U7688" s="28"/>
    </row>
    <row r="7689">
      <c r="N7689" s="28"/>
      <c r="O7689" s="28"/>
      <c r="U7689" s="28"/>
    </row>
    <row r="7690">
      <c r="N7690" s="28"/>
      <c r="O7690" s="28"/>
      <c r="U7690" s="28"/>
    </row>
    <row r="7691">
      <c r="N7691" s="28"/>
      <c r="O7691" s="28"/>
      <c r="U7691" s="28"/>
    </row>
    <row r="7692">
      <c r="N7692" s="28"/>
      <c r="O7692" s="28"/>
      <c r="U7692" s="28"/>
    </row>
    <row r="7693">
      <c r="N7693" s="28"/>
      <c r="O7693" s="28"/>
      <c r="U7693" s="28"/>
    </row>
    <row r="7694">
      <c r="N7694" s="28"/>
      <c r="O7694" s="28"/>
      <c r="U7694" s="28"/>
    </row>
    <row r="7695">
      <c r="N7695" s="28"/>
      <c r="O7695" s="28"/>
      <c r="U7695" s="28"/>
    </row>
    <row r="7696">
      <c r="N7696" s="28"/>
      <c r="O7696" s="28"/>
      <c r="U7696" s="28"/>
    </row>
    <row r="7697">
      <c r="N7697" s="28"/>
      <c r="O7697" s="28"/>
      <c r="U7697" s="28"/>
    </row>
    <row r="7698">
      <c r="N7698" s="28"/>
      <c r="O7698" s="28"/>
      <c r="U7698" s="28"/>
    </row>
    <row r="7699">
      <c r="N7699" s="28"/>
      <c r="O7699" s="28"/>
      <c r="U7699" s="28"/>
    </row>
    <row r="7700">
      <c r="N7700" s="28"/>
      <c r="O7700" s="28"/>
      <c r="U7700" s="28"/>
    </row>
    <row r="7701">
      <c r="N7701" s="28"/>
      <c r="O7701" s="28"/>
      <c r="U7701" s="28"/>
    </row>
    <row r="7702">
      <c r="N7702" s="28"/>
      <c r="O7702" s="28"/>
      <c r="U7702" s="28"/>
    </row>
    <row r="7703">
      <c r="N7703" s="28"/>
      <c r="O7703" s="28"/>
      <c r="U7703" s="28"/>
    </row>
    <row r="7704">
      <c r="N7704" s="28"/>
      <c r="O7704" s="28"/>
      <c r="U7704" s="28"/>
    </row>
    <row r="7705">
      <c r="N7705" s="28"/>
      <c r="O7705" s="28"/>
      <c r="U7705" s="28"/>
    </row>
    <row r="7706">
      <c r="N7706" s="28"/>
      <c r="O7706" s="28"/>
      <c r="U7706" s="28"/>
    </row>
    <row r="7707">
      <c r="N7707" s="28"/>
      <c r="O7707" s="28"/>
      <c r="U7707" s="28"/>
    </row>
    <row r="7708">
      <c r="N7708" s="28"/>
      <c r="O7708" s="28"/>
      <c r="U7708" s="28"/>
    </row>
    <row r="7709">
      <c r="N7709" s="28"/>
      <c r="O7709" s="28"/>
      <c r="U7709" s="28"/>
    </row>
    <row r="7710">
      <c r="N7710" s="28"/>
      <c r="O7710" s="28"/>
      <c r="U7710" s="28"/>
    </row>
    <row r="7711">
      <c r="N7711" s="28"/>
      <c r="O7711" s="28"/>
      <c r="U7711" s="28"/>
    </row>
    <row r="7712">
      <c r="N7712" s="28"/>
      <c r="O7712" s="28"/>
      <c r="U7712" s="28"/>
    </row>
    <row r="7713">
      <c r="N7713" s="28"/>
      <c r="O7713" s="28"/>
      <c r="U7713" s="28"/>
    </row>
    <row r="7714">
      <c r="N7714" s="28"/>
      <c r="O7714" s="28"/>
      <c r="U7714" s="28"/>
    </row>
    <row r="7715">
      <c r="N7715" s="28"/>
      <c r="O7715" s="28"/>
      <c r="U7715" s="28"/>
    </row>
    <row r="7716">
      <c r="N7716" s="28"/>
      <c r="O7716" s="28"/>
      <c r="U7716" s="28"/>
    </row>
    <row r="7717">
      <c r="N7717" s="28"/>
      <c r="O7717" s="28"/>
      <c r="U7717" s="28"/>
    </row>
    <row r="7718">
      <c r="N7718" s="28"/>
      <c r="O7718" s="28"/>
      <c r="U7718" s="28"/>
    </row>
    <row r="7719">
      <c r="N7719" s="28"/>
      <c r="O7719" s="28"/>
      <c r="U7719" s="28"/>
    </row>
    <row r="7720">
      <c r="N7720" s="28"/>
      <c r="O7720" s="28"/>
      <c r="U7720" s="28"/>
    </row>
    <row r="7721">
      <c r="N7721" s="28"/>
      <c r="O7721" s="28"/>
      <c r="U7721" s="28"/>
    </row>
    <row r="7722">
      <c r="N7722" s="28"/>
      <c r="O7722" s="28"/>
      <c r="U7722" s="28"/>
    </row>
    <row r="7723">
      <c r="N7723" s="28"/>
      <c r="O7723" s="28"/>
      <c r="U7723" s="28"/>
    </row>
    <row r="7724">
      <c r="N7724" s="28"/>
      <c r="O7724" s="28"/>
      <c r="U7724" s="28"/>
    </row>
    <row r="7725">
      <c r="N7725" s="28"/>
      <c r="O7725" s="28"/>
      <c r="U7725" s="28"/>
    </row>
    <row r="7726">
      <c r="N7726" s="28"/>
      <c r="O7726" s="28"/>
      <c r="U7726" s="28"/>
    </row>
    <row r="7727">
      <c r="N7727" s="28"/>
      <c r="O7727" s="28"/>
      <c r="U7727" s="28"/>
    </row>
    <row r="7728">
      <c r="N7728" s="28"/>
      <c r="O7728" s="28"/>
      <c r="U7728" s="28"/>
    </row>
    <row r="7729">
      <c r="N7729" s="28"/>
      <c r="O7729" s="28"/>
      <c r="U7729" s="28"/>
    </row>
    <row r="7730">
      <c r="N7730" s="28"/>
      <c r="O7730" s="28"/>
      <c r="U7730" s="28"/>
    </row>
    <row r="7731">
      <c r="N7731" s="28"/>
      <c r="O7731" s="28"/>
      <c r="U7731" s="28"/>
    </row>
    <row r="7732">
      <c r="N7732" s="28"/>
      <c r="O7732" s="28"/>
      <c r="U7732" s="28"/>
    </row>
    <row r="7733">
      <c r="N7733" s="28"/>
      <c r="O7733" s="28"/>
      <c r="U7733" s="28"/>
    </row>
    <row r="7734">
      <c r="N7734" s="28"/>
      <c r="O7734" s="28"/>
      <c r="U7734" s="28"/>
    </row>
    <row r="7735">
      <c r="N7735" s="28"/>
      <c r="O7735" s="28"/>
      <c r="U7735" s="28"/>
    </row>
    <row r="7736">
      <c r="N7736" s="28"/>
      <c r="O7736" s="28"/>
      <c r="U7736" s="28"/>
    </row>
    <row r="7737">
      <c r="N7737" s="28"/>
      <c r="O7737" s="28"/>
      <c r="U7737" s="28"/>
    </row>
    <row r="7738">
      <c r="N7738" s="28"/>
      <c r="O7738" s="28"/>
      <c r="U7738" s="28"/>
    </row>
    <row r="7739">
      <c r="N7739" s="28"/>
      <c r="O7739" s="28"/>
      <c r="U7739" s="28"/>
    </row>
    <row r="7740">
      <c r="N7740" s="28"/>
      <c r="O7740" s="28"/>
      <c r="U7740" s="28"/>
    </row>
    <row r="7741">
      <c r="N7741" s="28"/>
      <c r="O7741" s="28"/>
      <c r="U7741" s="28"/>
    </row>
    <row r="7742">
      <c r="N7742" s="28"/>
      <c r="O7742" s="28"/>
      <c r="U7742" s="28"/>
    </row>
    <row r="7743">
      <c r="N7743" s="28"/>
      <c r="O7743" s="28"/>
      <c r="U7743" s="28"/>
    </row>
    <row r="7744">
      <c r="N7744" s="28"/>
      <c r="O7744" s="28"/>
      <c r="U7744" s="28"/>
    </row>
    <row r="7745">
      <c r="N7745" s="28"/>
      <c r="O7745" s="28"/>
      <c r="U7745" s="28"/>
    </row>
    <row r="7746">
      <c r="N7746" s="28"/>
      <c r="O7746" s="28"/>
      <c r="U7746" s="28"/>
    </row>
    <row r="7747">
      <c r="N7747" s="28"/>
      <c r="O7747" s="28"/>
      <c r="U7747" s="28"/>
    </row>
    <row r="7748">
      <c r="N7748" s="28"/>
      <c r="O7748" s="28"/>
      <c r="U7748" s="28"/>
    </row>
    <row r="7749">
      <c r="N7749" s="28"/>
      <c r="O7749" s="28"/>
      <c r="U7749" s="28"/>
    </row>
    <row r="7750">
      <c r="N7750" s="28"/>
      <c r="O7750" s="28"/>
      <c r="U7750" s="28"/>
    </row>
    <row r="7751">
      <c r="N7751" s="28"/>
      <c r="O7751" s="28"/>
      <c r="U7751" s="28"/>
    </row>
    <row r="7752">
      <c r="N7752" s="28"/>
      <c r="O7752" s="28"/>
      <c r="U7752" s="28"/>
    </row>
    <row r="7753">
      <c r="N7753" s="28"/>
      <c r="O7753" s="28"/>
      <c r="U7753" s="28"/>
    </row>
    <row r="7754">
      <c r="N7754" s="28"/>
      <c r="O7754" s="28"/>
      <c r="U7754" s="28"/>
    </row>
    <row r="7755">
      <c r="N7755" s="28"/>
      <c r="O7755" s="28"/>
      <c r="U7755" s="28"/>
    </row>
    <row r="7756">
      <c r="N7756" s="28"/>
      <c r="O7756" s="28"/>
      <c r="U7756" s="28"/>
    </row>
    <row r="7757">
      <c r="N7757" s="28"/>
      <c r="O7757" s="28"/>
      <c r="U7757" s="28"/>
    </row>
    <row r="7758">
      <c r="N7758" s="28"/>
      <c r="O7758" s="28"/>
      <c r="U7758" s="28"/>
    </row>
    <row r="7759">
      <c r="N7759" s="28"/>
      <c r="O7759" s="28"/>
      <c r="U7759" s="28"/>
    </row>
    <row r="7760">
      <c r="N7760" s="28"/>
      <c r="O7760" s="28"/>
      <c r="U7760" s="28"/>
    </row>
    <row r="7761">
      <c r="N7761" s="28"/>
      <c r="O7761" s="28"/>
      <c r="U7761" s="28"/>
    </row>
    <row r="7762">
      <c r="N7762" s="28"/>
      <c r="O7762" s="28"/>
      <c r="U7762" s="28"/>
    </row>
    <row r="7763">
      <c r="N7763" s="28"/>
      <c r="O7763" s="28"/>
      <c r="U7763" s="28"/>
    </row>
    <row r="7764">
      <c r="N7764" s="28"/>
      <c r="O7764" s="28"/>
      <c r="U7764" s="28"/>
    </row>
    <row r="7765">
      <c r="N7765" s="28"/>
      <c r="O7765" s="28"/>
      <c r="U7765" s="28"/>
    </row>
    <row r="7766">
      <c r="N7766" s="28"/>
      <c r="O7766" s="28"/>
      <c r="U7766" s="28"/>
    </row>
    <row r="7767">
      <c r="N7767" s="28"/>
      <c r="O7767" s="28"/>
      <c r="U7767" s="28"/>
    </row>
    <row r="7768">
      <c r="N7768" s="28"/>
      <c r="O7768" s="28"/>
      <c r="U7768" s="28"/>
    </row>
    <row r="7769">
      <c r="N7769" s="28"/>
      <c r="O7769" s="28"/>
      <c r="U7769" s="28"/>
    </row>
    <row r="7770">
      <c r="N7770" s="28"/>
      <c r="O7770" s="28"/>
      <c r="U7770" s="28"/>
    </row>
    <row r="7771">
      <c r="N7771" s="28"/>
      <c r="O7771" s="28"/>
      <c r="U7771" s="28"/>
    </row>
    <row r="7772">
      <c r="N7772" s="28"/>
      <c r="O7772" s="28"/>
      <c r="U7772" s="28"/>
    </row>
    <row r="7773">
      <c r="N7773" s="28"/>
      <c r="O7773" s="28"/>
      <c r="U7773" s="28"/>
    </row>
    <row r="7774">
      <c r="N7774" s="28"/>
      <c r="O7774" s="28"/>
      <c r="U7774" s="28"/>
    </row>
    <row r="7775">
      <c r="N7775" s="28"/>
      <c r="O7775" s="28"/>
      <c r="U7775" s="28"/>
    </row>
    <row r="7776">
      <c r="N7776" s="28"/>
      <c r="O7776" s="28"/>
      <c r="U7776" s="28"/>
    </row>
    <row r="7777">
      <c r="N7777" s="28"/>
      <c r="O7777" s="28"/>
      <c r="U7777" s="28"/>
    </row>
    <row r="7778">
      <c r="N7778" s="28"/>
      <c r="O7778" s="28"/>
      <c r="U7778" s="28"/>
    </row>
    <row r="7779">
      <c r="N7779" s="28"/>
      <c r="O7779" s="28"/>
      <c r="U7779" s="28"/>
    </row>
    <row r="7780">
      <c r="N7780" s="28"/>
      <c r="O7780" s="28"/>
      <c r="U7780" s="28"/>
    </row>
    <row r="7781">
      <c r="N7781" s="28"/>
      <c r="O7781" s="28"/>
      <c r="U7781" s="28"/>
    </row>
    <row r="7782">
      <c r="N7782" s="28"/>
      <c r="O7782" s="28"/>
      <c r="U7782" s="28"/>
    </row>
    <row r="7783">
      <c r="N7783" s="28"/>
      <c r="O7783" s="28"/>
      <c r="U7783" s="28"/>
    </row>
    <row r="7784">
      <c r="N7784" s="28"/>
      <c r="O7784" s="28"/>
      <c r="U7784" s="28"/>
    </row>
    <row r="7785">
      <c r="N7785" s="28"/>
      <c r="O7785" s="28"/>
      <c r="U7785" s="28"/>
    </row>
    <row r="7786">
      <c r="N7786" s="28"/>
      <c r="O7786" s="28"/>
      <c r="U7786" s="28"/>
    </row>
    <row r="7787">
      <c r="N7787" s="28"/>
      <c r="O7787" s="28"/>
      <c r="U7787" s="28"/>
    </row>
    <row r="7788">
      <c r="N7788" s="28"/>
      <c r="O7788" s="28"/>
      <c r="U7788" s="28"/>
    </row>
    <row r="7789">
      <c r="N7789" s="28"/>
      <c r="O7789" s="28"/>
      <c r="U7789" s="28"/>
    </row>
    <row r="7790">
      <c r="N7790" s="28"/>
      <c r="O7790" s="28"/>
      <c r="U7790" s="28"/>
    </row>
    <row r="7791">
      <c r="N7791" s="28"/>
      <c r="O7791" s="28"/>
      <c r="U7791" s="28"/>
    </row>
    <row r="7792">
      <c r="N7792" s="28"/>
      <c r="O7792" s="28"/>
      <c r="U7792" s="28"/>
    </row>
    <row r="7793">
      <c r="N7793" s="28"/>
      <c r="O7793" s="28"/>
      <c r="U7793" s="28"/>
    </row>
    <row r="7794">
      <c r="N7794" s="28"/>
      <c r="O7794" s="28"/>
      <c r="U7794" s="28"/>
    </row>
    <row r="7795">
      <c r="N7795" s="28"/>
      <c r="O7795" s="28"/>
      <c r="U7795" s="28"/>
    </row>
    <row r="7796">
      <c r="N7796" s="28"/>
      <c r="O7796" s="28"/>
      <c r="U7796" s="28"/>
    </row>
    <row r="7797">
      <c r="N7797" s="28"/>
      <c r="O7797" s="28"/>
      <c r="U7797" s="28"/>
    </row>
    <row r="7798">
      <c r="N7798" s="28"/>
      <c r="O7798" s="28"/>
      <c r="U7798" s="28"/>
    </row>
    <row r="7799">
      <c r="N7799" s="28"/>
      <c r="O7799" s="28"/>
      <c r="U7799" s="28"/>
    </row>
    <row r="7800">
      <c r="N7800" s="28"/>
      <c r="O7800" s="28"/>
      <c r="U7800" s="28"/>
    </row>
    <row r="7801">
      <c r="N7801" s="28"/>
      <c r="O7801" s="28"/>
      <c r="U7801" s="28"/>
    </row>
    <row r="7802">
      <c r="N7802" s="28"/>
      <c r="O7802" s="28"/>
      <c r="U7802" s="28"/>
    </row>
    <row r="7803">
      <c r="N7803" s="28"/>
      <c r="O7803" s="28"/>
      <c r="U7803" s="28"/>
    </row>
    <row r="7804">
      <c r="N7804" s="28"/>
      <c r="O7804" s="28"/>
      <c r="U7804" s="28"/>
    </row>
    <row r="7805">
      <c r="N7805" s="28"/>
      <c r="O7805" s="28"/>
      <c r="U7805" s="28"/>
    </row>
    <row r="7806">
      <c r="N7806" s="28"/>
      <c r="O7806" s="28"/>
      <c r="U7806" s="28"/>
    </row>
    <row r="7807">
      <c r="N7807" s="28"/>
      <c r="O7807" s="28"/>
      <c r="U7807" s="28"/>
    </row>
    <row r="7808">
      <c r="N7808" s="28"/>
      <c r="O7808" s="28"/>
      <c r="U7808" s="28"/>
    </row>
    <row r="7809">
      <c r="N7809" s="28"/>
      <c r="O7809" s="28"/>
      <c r="U7809" s="28"/>
    </row>
    <row r="7810">
      <c r="N7810" s="28"/>
      <c r="O7810" s="28"/>
      <c r="U7810" s="28"/>
    </row>
    <row r="7811">
      <c r="N7811" s="28"/>
      <c r="O7811" s="28"/>
      <c r="U7811" s="28"/>
    </row>
    <row r="7812">
      <c r="N7812" s="28"/>
      <c r="O7812" s="28"/>
      <c r="U7812" s="28"/>
    </row>
    <row r="7813">
      <c r="N7813" s="28"/>
      <c r="O7813" s="28"/>
      <c r="U7813" s="28"/>
    </row>
    <row r="7814">
      <c r="N7814" s="28"/>
      <c r="O7814" s="28"/>
      <c r="U7814" s="28"/>
    </row>
    <row r="7815">
      <c r="N7815" s="28"/>
      <c r="O7815" s="28"/>
      <c r="U7815" s="28"/>
    </row>
    <row r="7816">
      <c r="N7816" s="28"/>
      <c r="O7816" s="28"/>
      <c r="U7816" s="28"/>
    </row>
    <row r="7817">
      <c r="N7817" s="28"/>
      <c r="O7817" s="28"/>
      <c r="U7817" s="28"/>
    </row>
    <row r="7818">
      <c r="N7818" s="28"/>
      <c r="O7818" s="28"/>
      <c r="U7818" s="28"/>
    </row>
    <row r="7819">
      <c r="N7819" s="28"/>
      <c r="O7819" s="28"/>
      <c r="U7819" s="28"/>
    </row>
    <row r="7820">
      <c r="N7820" s="28"/>
      <c r="O7820" s="28"/>
      <c r="U7820" s="28"/>
    </row>
    <row r="7821">
      <c r="N7821" s="28"/>
      <c r="O7821" s="28"/>
      <c r="U7821" s="28"/>
    </row>
    <row r="7822">
      <c r="N7822" s="28"/>
      <c r="O7822" s="28"/>
      <c r="U7822" s="28"/>
    </row>
    <row r="7823">
      <c r="N7823" s="28"/>
      <c r="O7823" s="28"/>
      <c r="U7823" s="28"/>
    </row>
    <row r="7824">
      <c r="N7824" s="28"/>
      <c r="O7824" s="28"/>
      <c r="U7824" s="28"/>
    </row>
    <row r="7825">
      <c r="N7825" s="28"/>
      <c r="O7825" s="28"/>
      <c r="U7825" s="28"/>
    </row>
    <row r="7826">
      <c r="N7826" s="28"/>
      <c r="O7826" s="28"/>
      <c r="U7826" s="28"/>
    </row>
    <row r="7827">
      <c r="N7827" s="28"/>
      <c r="O7827" s="28"/>
      <c r="U7827" s="28"/>
    </row>
    <row r="7828">
      <c r="N7828" s="28"/>
      <c r="O7828" s="28"/>
      <c r="U7828" s="28"/>
    </row>
    <row r="7829">
      <c r="N7829" s="28"/>
      <c r="O7829" s="28"/>
      <c r="U7829" s="28"/>
    </row>
    <row r="7830">
      <c r="N7830" s="28"/>
      <c r="O7830" s="28"/>
      <c r="U7830" s="28"/>
    </row>
    <row r="7831">
      <c r="N7831" s="28"/>
      <c r="O7831" s="28"/>
      <c r="U7831" s="28"/>
    </row>
    <row r="7832">
      <c r="N7832" s="28"/>
      <c r="O7832" s="28"/>
      <c r="U7832" s="28"/>
    </row>
    <row r="7833">
      <c r="N7833" s="28"/>
      <c r="O7833" s="28"/>
      <c r="U7833" s="28"/>
    </row>
    <row r="7834">
      <c r="N7834" s="28"/>
      <c r="O7834" s="28"/>
      <c r="U7834" s="28"/>
    </row>
    <row r="7835">
      <c r="N7835" s="28"/>
      <c r="O7835" s="28"/>
      <c r="U7835" s="28"/>
    </row>
    <row r="7836">
      <c r="N7836" s="28"/>
      <c r="O7836" s="28"/>
      <c r="U7836" s="28"/>
    </row>
    <row r="7837">
      <c r="N7837" s="28"/>
      <c r="O7837" s="28"/>
      <c r="U7837" s="28"/>
    </row>
    <row r="7838">
      <c r="N7838" s="28"/>
      <c r="O7838" s="28"/>
      <c r="U7838" s="28"/>
    </row>
    <row r="7839">
      <c r="N7839" s="28"/>
      <c r="O7839" s="28"/>
      <c r="U7839" s="28"/>
    </row>
    <row r="7840">
      <c r="N7840" s="28"/>
      <c r="O7840" s="28"/>
      <c r="U7840" s="28"/>
    </row>
    <row r="7841">
      <c r="N7841" s="28"/>
      <c r="O7841" s="28"/>
      <c r="U7841" s="28"/>
    </row>
    <row r="7842">
      <c r="N7842" s="28"/>
      <c r="O7842" s="28"/>
      <c r="U7842" s="28"/>
    </row>
    <row r="7843">
      <c r="N7843" s="28"/>
      <c r="O7843" s="28"/>
      <c r="U7843" s="28"/>
    </row>
    <row r="7844">
      <c r="N7844" s="28"/>
      <c r="O7844" s="28"/>
      <c r="U7844" s="28"/>
    </row>
    <row r="7845">
      <c r="N7845" s="28"/>
      <c r="O7845" s="28"/>
      <c r="U7845" s="28"/>
    </row>
    <row r="7846">
      <c r="N7846" s="28"/>
      <c r="O7846" s="28"/>
      <c r="U7846" s="28"/>
    </row>
    <row r="7847">
      <c r="N7847" s="28"/>
      <c r="O7847" s="28"/>
      <c r="U7847" s="28"/>
    </row>
    <row r="7848">
      <c r="N7848" s="28"/>
      <c r="O7848" s="28"/>
      <c r="U7848" s="28"/>
    </row>
    <row r="7849">
      <c r="N7849" s="28"/>
      <c r="O7849" s="28"/>
      <c r="U7849" s="28"/>
    </row>
    <row r="7850">
      <c r="N7850" s="28"/>
      <c r="O7850" s="28"/>
      <c r="U7850" s="28"/>
    </row>
    <row r="7851">
      <c r="N7851" s="28"/>
      <c r="O7851" s="28"/>
      <c r="U7851" s="28"/>
    </row>
    <row r="7852">
      <c r="N7852" s="28"/>
      <c r="O7852" s="28"/>
      <c r="U7852" s="28"/>
    </row>
    <row r="7853">
      <c r="N7853" s="28"/>
      <c r="O7853" s="28"/>
      <c r="U7853" s="28"/>
    </row>
    <row r="7854">
      <c r="N7854" s="28"/>
      <c r="O7854" s="28"/>
      <c r="U7854" s="28"/>
    </row>
    <row r="7855">
      <c r="N7855" s="28"/>
      <c r="O7855" s="28"/>
      <c r="U7855" s="28"/>
    </row>
    <row r="7856">
      <c r="N7856" s="28"/>
      <c r="O7856" s="28"/>
      <c r="U7856" s="28"/>
    </row>
    <row r="7857">
      <c r="N7857" s="28"/>
      <c r="O7857" s="28"/>
      <c r="U7857" s="28"/>
    </row>
    <row r="7858">
      <c r="N7858" s="28"/>
      <c r="O7858" s="28"/>
      <c r="U7858" s="28"/>
    </row>
    <row r="7859">
      <c r="N7859" s="28"/>
      <c r="O7859" s="28"/>
      <c r="U7859" s="28"/>
    </row>
    <row r="7860">
      <c r="N7860" s="28"/>
      <c r="O7860" s="28"/>
      <c r="U7860" s="28"/>
    </row>
    <row r="7861">
      <c r="N7861" s="28"/>
      <c r="O7861" s="28"/>
      <c r="U7861" s="28"/>
    </row>
    <row r="7862">
      <c r="N7862" s="28"/>
      <c r="O7862" s="28"/>
      <c r="U7862" s="28"/>
    </row>
    <row r="7863">
      <c r="N7863" s="28"/>
      <c r="O7863" s="28"/>
      <c r="U7863" s="28"/>
    </row>
    <row r="7864">
      <c r="N7864" s="28"/>
      <c r="O7864" s="28"/>
      <c r="U7864" s="28"/>
    </row>
    <row r="7865">
      <c r="N7865" s="28"/>
      <c r="O7865" s="28"/>
      <c r="U7865" s="28"/>
    </row>
    <row r="7866">
      <c r="N7866" s="28"/>
      <c r="O7866" s="28"/>
      <c r="U7866" s="28"/>
    </row>
    <row r="7867">
      <c r="N7867" s="28"/>
      <c r="O7867" s="28"/>
      <c r="U7867" s="28"/>
    </row>
    <row r="7868">
      <c r="N7868" s="28"/>
      <c r="O7868" s="28"/>
      <c r="U7868" s="28"/>
    </row>
    <row r="7869">
      <c r="N7869" s="28"/>
      <c r="O7869" s="28"/>
      <c r="U7869" s="28"/>
    </row>
    <row r="7870">
      <c r="N7870" s="28"/>
      <c r="O7870" s="28"/>
      <c r="U7870" s="28"/>
    </row>
    <row r="7871">
      <c r="N7871" s="28"/>
      <c r="O7871" s="28"/>
      <c r="U7871" s="28"/>
    </row>
    <row r="7872">
      <c r="N7872" s="28"/>
      <c r="O7872" s="28"/>
      <c r="U7872" s="28"/>
    </row>
    <row r="7873">
      <c r="N7873" s="28"/>
      <c r="O7873" s="28"/>
      <c r="U7873" s="28"/>
    </row>
    <row r="7874">
      <c r="N7874" s="28"/>
      <c r="O7874" s="28"/>
      <c r="U7874" s="28"/>
    </row>
    <row r="7875">
      <c r="N7875" s="28"/>
      <c r="O7875" s="28"/>
      <c r="U7875" s="28"/>
    </row>
    <row r="7876">
      <c r="N7876" s="28"/>
      <c r="O7876" s="28"/>
      <c r="U7876" s="28"/>
    </row>
    <row r="7877">
      <c r="N7877" s="28"/>
      <c r="O7877" s="28"/>
      <c r="U7877" s="28"/>
    </row>
    <row r="7878">
      <c r="N7878" s="28"/>
      <c r="O7878" s="28"/>
      <c r="U7878" s="28"/>
    </row>
    <row r="7879">
      <c r="N7879" s="28"/>
      <c r="O7879" s="28"/>
      <c r="U7879" s="28"/>
    </row>
    <row r="7880">
      <c r="N7880" s="28"/>
      <c r="O7880" s="28"/>
      <c r="U7880" s="28"/>
    </row>
    <row r="7881">
      <c r="N7881" s="28"/>
      <c r="O7881" s="28"/>
      <c r="U7881" s="28"/>
    </row>
    <row r="7882">
      <c r="N7882" s="28"/>
      <c r="O7882" s="28"/>
      <c r="U7882" s="28"/>
    </row>
    <row r="7883">
      <c r="N7883" s="28"/>
      <c r="O7883" s="28"/>
      <c r="U7883" s="28"/>
    </row>
    <row r="7884">
      <c r="N7884" s="28"/>
      <c r="O7884" s="28"/>
      <c r="U7884" s="28"/>
    </row>
    <row r="7885">
      <c r="N7885" s="28"/>
      <c r="O7885" s="28"/>
      <c r="U7885" s="28"/>
    </row>
    <row r="7886">
      <c r="N7886" s="28"/>
      <c r="O7886" s="28"/>
      <c r="U7886" s="28"/>
    </row>
    <row r="7887">
      <c r="N7887" s="28"/>
      <c r="O7887" s="28"/>
      <c r="U7887" s="28"/>
    </row>
    <row r="7888">
      <c r="N7888" s="28"/>
      <c r="O7888" s="28"/>
      <c r="U7888" s="28"/>
    </row>
    <row r="7889">
      <c r="N7889" s="28"/>
      <c r="O7889" s="28"/>
      <c r="U7889" s="28"/>
    </row>
    <row r="7890">
      <c r="N7890" s="28"/>
      <c r="O7890" s="28"/>
      <c r="U7890" s="28"/>
    </row>
    <row r="7891">
      <c r="N7891" s="28"/>
      <c r="O7891" s="28"/>
      <c r="U7891" s="28"/>
    </row>
    <row r="7892">
      <c r="N7892" s="28"/>
      <c r="O7892" s="28"/>
      <c r="U7892" s="28"/>
    </row>
    <row r="7893">
      <c r="N7893" s="28"/>
      <c r="O7893" s="28"/>
      <c r="U7893" s="28"/>
    </row>
    <row r="7894">
      <c r="N7894" s="28"/>
      <c r="O7894" s="28"/>
      <c r="U7894" s="28"/>
    </row>
    <row r="7895">
      <c r="N7895" s="28"/>
      <c r="O7895" s="28"/>
      <c r="U7895" s="28"/>
    </row>
    <row r="7896">
      <c r="N7896" s="28"/>
      <c r="O7896" s="28"/>
      <c r="U7896" s="28"/>
    </row>
    <row r="7897">
      <c r="N7897" s="28"/>
      <c r="O7897" s="28"/>
      <c r="U7897" s="28"/>
    </row>
    <row r="7898">
      <c r="N7898" s="28"/>
      <c r="O7898" s="28"/>
      <c r="U7898" s="28"/>
    </row>
    <row r="7899">
      <c r="N7899" s="28"/>
      <c r="O7899" s="28"/>
      <c r="U7899" s="28"/>
    </row>
    <row r="7900">
      <c r="N7900" s="28"/>
      <c r="O7900" s="28"/>
      <c r="U7900" s="28"/>
    </row>
    <row r="7901">
      <c r="N7901" s="28"/>
      <c r="O7901" s="28"/>
      <c r="U7901" s="28"/>
    </row>
    <row r="7902">
      <c r="N7902" s="28"/>
      <c r="O7902" s="28"/>
      <c r="U7902" s="28"/>
    </row>
    <row r="7903">
      <c r="N7903" s="28"/>
      <c r="O7903" s="28"/>
      <c r="U7903" s="28"/>
    </row>
    <row r="7904">
      <c r="N7904" s="28"/>
      <c r="O7904" s="28"/>
      <c r="U7904" s="28"/>
    </row>
    <row r="7905">
      <c r="N7905" s="28"/>
      <c r="O7905" s="28"/>
      <c r="U7905" s="28"/>
    </row>
    <row r="7906">
      <c r="N7906" s="28"/>
      <c r="O7906" s="28"/>
      <c r="U7906" s="28"/>
    </row>
    <row r="7907">
      <c r="N7907" s="28"/>
      <c r="O7907" s="28"/>
      <c r="U7907" s="28"/>
    </row>
    <row r="7908">
      <c r="N7908" s="28"/>
      <c r="O7908" s="28"/>
      <c r="U7908" s="28"/>
    </row>
    <row r="7909">
      <c r="N7909" s="28"/>
      <c r="O7909" s="28"/>
      <c r="U7909" s="28"/>
    </row>
    <row r="7910">
      <c r="N7910" s="28"/>
      <c r="O7910" s="28"/>
      <c r="U7910" s="28"/>
    </row>
    <row r="7911">
      <c r="N7911" s="28"/>
      <c r="O7911" s="28"/>
      <c r="U7911" s="28"/>
    </row>
    <row r="7912">
      <c r="N7912" s="28"/>
      <c r="O7912" s="28"/>
      <c r="U7912" s="28"/>
    </row>
    <row r="7913">
      <c r="N7913" s="28"/>
      <c r="O7913" s="28"/>
      <c r="U7913" s="28"/>
    </row>
    <row r="7914">
      <c r="N7914" s="28"/>
      <c r="O7914" s="28"/>
      <c r="U7914" s="28"/>
    </row>
    <row r="7915">
      <c r="N7915" s="28"/>
      <c r="O7915" s="28"/>
      <c r="U7915" s="28"/>
    </row>
    <row r="7916">
      <c r="N7916" s="28"/>
      <c r="O7916" s="28"/>
      <c r="U7916" s="28"/>
    </row>
    <row r="7917">
      <c r="N7917" s="28"/>
      <c r="O7917" s="28"/>
      <c r="U7917" s="28"/>
    </row>
    <row r="7918">
      <c r="N7918" s="28"/>
      <c r="O7918" s="28"/>
      <c r="U7918" s="28"/>
    </row>
    <row r="7919">
      <c r="N7919" s="28"/>
      <c r="O7919" s="28"/>
      <c r="U7919" s="28"/>
    </row>
    <row r="7920">
      <c r="N7920" s="28"/>
      <c r="O7920" s="28"/>
      <c r="U7920" s="28"/>
    </row>
    <row r="7921">
      <c r="N7921" s="28"/>
      <c r="O7921" s="28"/>
      <c r="U7921" s="28"/>
    </row>
    <row r="7922">
      <c r="N7922" s="28"/>
      <c r="O7922" s="28"/>
      <c r="U7922" s="28"/>
    </row>
    <row r="7923">
      <c r="N7923" s="28"/>
      <c r="O7923" s="28"/>
      <c r="U7923" s="28"/>
    </row>
    <row r="7924">
      <c r="N7924" s="28"/>
      <c r="O7924" s="28"/>
      <c r="U7924" s="28"/>
    </row>
    <row r="7925">
      <c r="N7925" s="28"/>
      <c r="O7925" s="28"/>
      <c r="U7925" s="28"/>
    </row>
    <row r="7926">
      <c r="N7926" s="28"/>
      <c r="O7926" s="28"/>
      <c r="U7926" s="28"/>
    </row>
    <row r="7927">
      <c r="N7927" s="28"/>
      <c r="O7927" s="28"/>
      <c r="U7927" s="28"/>
    </row>
    <row r="7928">
      <c r="N7928" s="28"/>
      <c r="O7928" s="28"/>
      <c r="U7928" s="28"/>
    </row>
    <row r="7929">
      <c r="N7929" s="28"/>
      <c r="O7929" s="28"/>
      <c r="U7929" s="28"/>
    </row>
    <row r="7930">
      <c r="N7930" s="28"/>
      <c r="O7930" s="28"/>
      <c r="U7930" s="28"/>
    </row>
    <row r="7931">
      <c r="N7931" s="28"/>
      <c r="O7931" s="28"/>
      <c r="U7931" s="28"/>
    </row>
    <row r="7932">
      <c r="N7932" s="28"/>
      <c r="O7932" s="28"/>
      <c r="U7932" s="28"/>
    </row>
    <row r="7933">
      <c r="N7933" s="28"/>
      <c r="O7933" s="28"/>
      <c r="U7933" s="28"/>
    </row>
    <row r="7934">
      <c r="N7934" s="28"/>
      <c r="O7934" s="28"/>
      <c r="U7934" s="28"/>
    </row>
    <row r="7935">
      <c r="N7935" s="28"/>
      <c r="O7935" s="28"/>
      <c r="U7935" s="28"/>
    </row>
    <row r="7936">
      <c r="N7936" s="28"/>
      <c r="O7936" s="28"/>
      <c r="U7936" s="28"/>
    </row>
    <row r="7937">
      <c r="N7937" s="28"/>
      <c r="O7937" s="28"/>
      <c r="U7937" s="28"/>
    </row>
    <row r="7938">
      <c r="N7938" s="28"/>
      <c r="O7938" s="28"/>
      <c r="U7938" s="28"/>
    </row>
    <row r="7939">
      <c r="N7939" s="28"/>
      <c r="O7939" s="28"/>
      <c r="U7939" s="28"/>
    </row>
    <row r="7940">
      <c r="N7940" s="28"/>
      <c r="O7940" s="28"/>
      <c r="U7940" s="28"/>
    </row>
    <row r="7941">
      <c r="N7941" s="28"/>
      <c r="O7941" s="28"/>
      <c r="U7941" s="28"/>
    </row>
    <row r="7942">
      <c r="N7942" s="28"/>
      <c r="O7942" s="28"/>
      <c r="U7942" s="28"/>
    </row>
    <row r="7943">
      <c r="N7943" s="28"/>
      <c r="O7943" s="28"/>
      <c r="U7943" s="28"/>
    </row>
    <row r="7944">
      <c r="N7944" s="28"/>
      <c r="O7944" s="28"/>
      <c r="U7944" s="28"/>
    </row>
    <row r="7945">
      <c r="N7945" s="28"/>
      <c r="O7945" s="28"/>
      <c r="U7945" s="28"/>
    </row>
    <row r="7946">
      <c r="N7946" s="28"/>
      <c r="O7946" s="28"/>
      <c r="U7946" s="28"/>
    </row>
    <row r="7947">
      <c r="N7947" s="28"/>
      <c r="O7947" s="28"/>
      <c r="U7947" s="28"/>
    </row>
    <row r="7948">
      <c r="N7948" s="28"/>
      <c r="O7948" s="28"/>
      <c r="U7948" s="28"/>
    </row>
    <row r="7949">
      <c r="N7949" s="28"/>
      <c r="O7949" s="28"/>
      <c r="U7949" s="28"/>
    </row>
    <row r="7950">
      <c r="N7950" s="28"/>
      <c r="O7950" s="28"/>
      <c r="U7950" s="28"/>
    </row>
    <row r="7951">
      <c r="N7951" s="28"/>
      <c r="O7951" s="28"/>
      <c r="U7951" s="28"/>
    </row>
    <row r="7952">
      <c r="N7952" s="28"/>
      <c r="O7952" s="28"/>
      <c r="U7952" s="28"/>
    </row>
    <row r="7953">
      <c r="N7953" s="28"/>
      <c r="O7953" s="28"/>
      <c r="U7953" s="28"/>
    </row>
    <row r="7954">
      <c r="N7954" s="28"/>
      <c r="O7954" s="28"/>
      <c r="U7954" s="28"/>
    </row>
    <row r="7955">
      <c r="N7955" s="28"/>
      <c r="O7955" s="28"/>
      <c r="U7955" s="28"/>
    </row>
    <row r="7956">
      <c r="N7956" s="28"/>
      <c r="O7956" s="28"/>
      <c r="U7956" s="28"/>
    </row>
    <row r="7957">
      <c r="N7957" s="28"/>
      <c r="O7957" s="28"/>
      <c r="U7957" s="28"/>
    </row>
    <row r="7958">
      <c r="N7958" s="28"/>
      <c r="O7958" s="28"/>
      <c r="U7958" s="28"/>
    </row>
    <row r="7959">
      <c r="N7959" s="28"/>
      <c r="O7959" s="28"/>
      <c r="U7959" s="28"/>
    </row>
    <row r="7960">
      <c r="N7960" s="28"/>
      <c r="O7960" s="28"/>
      <c r="U7960" s="28"/>
    </row>
    <row r="7961">
      <c r="N7961" s="28"/>
      <c r="O7961" s="28"/>
      <c r="U7961" s="28"/>
    </row>
    <row r="7962">
      <c r="N7962" s="28"/>
      <c r="O7962" s="28"/>
      <c r="U7962" s="28"/>
    </row>
    <row r="7963">
      <c r="N7963" s="28"/>
      <c r="O7963" s="28"/>
      <c r="U7963" s="28"/>
    </row>
    <row r="7964">
      <c r="N7964" s="28"/>
      <c r="O7964" s="28"/>
      <c r="U7964" s="28"/>
    </row>
    <row r="7965">
      <c r="N7965" s="28"/>
      <c r="O7965" s="28"/>
      <c r="U7965" s="28"/>
    </row>
    <row r="7966">
      <c r="N7966" s="28"/>
      <c r="O7966" s="28"/>
      <c r="U7966" s="28"/>
    </row>
    <row r="7967">
      <c r="N7967" s="28"/>
      <c r="O7967" s="28"/>
      <c r="U7967" s="28"/>
    </row>
    <row r="7968">
      <c r="N7968" s="28"/>
      <c r="O7968" s="28"/>
      <c r="U7968" s="28"/>
    </row>
    <row r="7969">
      <c r="N7969" s="28"/>
      <c r="O7969" s="28"/>
      <c r="U7969" s="28"/>
    </row>
    <row r="7970">
      <c r="N7970" s="28"/>
      <c r="O7970" s="28"/>
      <c r="U7970" s="28"/>
    </row>
    <row r="7971">
      <c r="N7971" s="28"/>
      <c r="O7971" s="28"/>
      <c r="U7971" s="28"/>
    </row>
    <row r="7972">
      <c r="N7972" s="28"/>
      <c r="O7972" s="28"/>
      <c r="U7972" s="28"/>
    </row>
    <row r="7973">
      <c r="N7973" s="28"/>
      <c r="O7973" s="28"/>
      <c r="U7973" s="28"/>
    </row>
    <row r="7974">
      <c r="N7974" s="28"/>
      <c r="O7974" s="28"/>
      <c r="U7974" s="28"/>
    </row>
    <row r="7975">
      <c r="N7975" s="28"/>
      <c r="O7975" s="28"/>
      <c r="U7975" s="28"/>
    </row>
    <row r="7976">
      <c r="N7976" s="28"/>
      <c r="O7976" s="28"/>
      <c r="U7976" s="28"/>
    </row>
    <row r="7977">
      <c r="N7977" s="28"/>
      <c r="O7977" s="28"/>
      <c r="U7977" s="28"/>
    </row>
    <row r="7978">
      <c r="N7978" s="28"/>
      <c r="O7978" s="28"/>
      <c r="U7978" s="28"/>
    </row>
    <row r="7979">
      <c r="N7979" s="28"/>
      <c r="O7979" s="28"/>
      <c r="U7979" s="28"/>
    </row>
    <row r="7980">
      <c r="N7980" s="28"/>
      <c r="O7980" s="28"/>
      <c r="U7980" s="28"/>
    </row>
    <row r="7981">
      <c r="N7981" s="28"/>
      <c r="O7981" s="28"/>
      <c r="U7981" s="28"/>
    </row>
    <row r="7982">
      <c r="N7982" s="28"/>
      <c r="O7982" s="28"/>
      <c r="U7982" s="28"/>
    </row>
    <row r="7983">
      <c r="N7983" s="28"/>
      <c r="O7983" s="28"/>
      <c r="U7983" s="28"/>
    </row>
    <row r="7984">
      <c r="N7984" s="28"/>
      <c r="O7984" s="28"/>
      <c r="U7984" s="28"/>
    </row>
    <row r="7985">
      <c r="N7985" s="28"/>
      <c r="O7985" s="28"/>
      <c r="U7985" s="28"/>
    </row>
    <row r="7986">
      <c r="N7986" s="28"/>
      <c r="O7986" s="28"/>
      <c r="U7986" s="28"/>
    </row>
    <row r="7987">
      <c r="N7987" s="28"/>
      <c r="O7987" s="28"/>
      <c r="U7987" s="28"/>
    </row>
    <row r="7988">
      <c r="N7988" s="28"/>
      <c r="O7988" s="28"/>
      <c r="U7988" s="28"/>
    </row>
    <row r="7989">
      <c r="N7989" s="28"/>
      <c r="O7989" s="28"/>
      <c r="U7989" s="28"/>
    </row>
    <row r="7990">
      <c r="N7990" s="28"/>
      <c r="O7990" s="28"/>
      <c r="U7990" s="28"/>
    </row>
    <row r="7991">
      <c r="N7991" s="28"/>
      <c r="O7991" s="28"/>
      <c r="U7991" s="28"/>
    </row>
    <row r="7992">
      <c r="N7992" s="28"/>
      <c r="O7992" s="28"/>
      <c r="U7992" s="28"/>
    </row>
    <row r="7993">
      <c r="N7993" s="28"/>
      <c r="O7993" s="28"/>
      <c r="U7993" s="28"/>
    </row>
    <row r="7994">
      <c r="N7994" s="28"/>
      <c r="O7994" s="28"/>
      <c r="U7994" s="28"/>
    </row>
    <row r="7995">
      <c r="N7995" s="28"/>
      <c r="O7995" s="28"/>
      <c r="U7995" s="28"/>
    </row>
    <row r="7996">
      <c r="N7996" s="28"/>
      <c r="O7996" s="28"/>
      <c r="U7996" s="28"/>
    </row>
    <row r="7997">
      <c r="N7997" s="28"/>
      <c r="O7997" s="28"/>
      <c r="U7997" s="28"/>
    </row>
    <row r="7998">
      <c r="N7998" s="28"/>
      <c r="O7998" s="28"/>
      <c r="U7998" s="28"/>
    </row>
    <row r="7999">
      <c r="N7999" s="28"/>
      <c r="O7999" s="28"/>
      <c r="U7999" s="28"/>
    </row>
    <row r="8000">
      <c r="N8000" s="28"/>
      <c r="O8000" s="28"/>
      <c r="U8000" s="28"/>
    </row>
    <row r="8001">
      <c r="N8001" s="28"/>
      <c r="O8001" s="28"/>
      <c r="U8001" s="28"/>
    </row>
    <row r="8002">
      <c r="N8002" s="28"/>
      <c r="O8002" s="28"/>
      <c r="U8002" s="28"/>
    </row>
    <row r="8003">
      <c r="N8003" s="28"/>
      <c r="O8003" s="28"/>
      <c r="U8003" s="28"/>
    </row>
    <row r="8004">
      <c r="N8004" s="28"/>
      <c r="O8004" s="28"/>
      <c r="U8004" s="28"/>
    </row>
    <row r="8005">
      <c r="N8005" s="28"/>
      <c r="O8005" s="28"/>
      <c r="U8005" s="28"/>
    </row>
    <row r="8006">
      <c r="N8006" s="28"/>
      <c r="O8006" s="28"/>
      <c r="U8006" s="28"/>
    </row>
    <row r="8007">
      <c r="N8007" s="28"/>
      <c r="O8007" s="28"/>
      <c r="U8007" s="28"/>
    </row>
    <row r="8008">
      <c r="N8008" s="28"/>
      <c r="O8008" s="28"/>
      <c r="U8008" s="28"/>
    </row>
    <row r="8009">
      <c r="N8009" s="28"/>
      <c r="O8009" s="28"/>
      <c r="U8009" s="28"/>
    </row>
    <row r="8010">
      <c r="N8010" s="28"/>
      <c r="O8010" s="28"/>
      <c r="U8010" s="28"/>
    </row>
    <row r="8011">
      <c r="N8011" s="28"/>
      <c r="O8011" s="28"/>
      <c r="U8011" s="28"/>
    </row>
    <row r="8012">
      <c r="N8012" s="28"/>
      <c r="O8012" s="28"/>
      <c r="U8012" s="28"/>
    </row>
    <row r="8013">
      <c r="N8013" s="28"/>
      <c r="O8013" s="28"/>
      <c r="U8013" s="28"/>
    </row>
    <row r="8014">
      <c r="N8014" s="28"/>
      <c r="O8014" s="28"/>
      <c r="U8014" s="28"/>
    </row>
    <row r="8015">
      <c r="N8015" s="28"/>
      <c r="O8015" s="28"/>
      <c r="U8015" s="28"/>
    </row>
    <row r="8016">
      <c r="N8016" s="28"/>
      <c r="O8016" s="28"/>
      <c r="U8016" s="28"/>
    </row>
    <row r="8017">
      <c r="N8017" s="28"/>
      <c r="O8017" s="28"/>
      <c r="U8017" s="28"/>
    </row>
    <row r="8018">
      <c r="N8018" s="28"/>
      <c r="O8018" s="28"/>
      <c r="U8018" s="28"/>
    </row>
    <row r="8019">
      <c r="N8019" s="28"/>
      <c r="O8019" s="28"/>
      <c r="U8019" s="28"/>
    </row>
    <row r="8020">
      <c r="N8020" s="28"/>
      <c r="O8020" s="28"/>
      <c r="U8020" s="28"/>
    </row>
    <row r="8021">
      <c r="N8021" s="28"/>
      <c r="O8021" s="28"/>
      <c r="U8021" s="28"/>
    </row>
    <row r="8022">
      <c r="N8022" s="28"/>
      <c r="O8022" s="28"/>
      <c r="U8022" s="28"/>
    </row>
    <row r="8023">
      <c r="N8023" s="28"/>
      <c r="O8023" s="28"/>
      <c r="U8023" s="28"/>
    </row>
    <row r="8024">
      <c r="N8024" s="28"/>
      <c r="O8024" s="28"/>
      <c r="U8024" s="28"/>
    </row>
    <row r="8025">
      <c r="N8025" s="28"/>
      <c r="O8025" s="28"/>
      <c r="U8025" s="28"/>
    </row>
    <row r="8026">
      <c r="N8026" s="28"/>
      <c r="O8026" s="28"/>
      <c r="U8026" s="28"/>
    </row>
    <row r="8027">
      <c r="N8027" s="28"/>
      <c r="O8027" s="28"/>
      <c r="U8027" s="28"/>
    </row>
    <row r="8028">
      <c r="N8028" s="28"/>
      <c r="O8028" s="28"/>
      <c r="U8028" s="28"/>
    </row>
    <row r="8029">
      <c r="N8029" s="28"/>
      <c r="O8029" s="28"/>
      <c r="U8029" s="28"/>
    </row>
    <row r="8030">
      <c r="N8030" s="28"/>
      <c r="O8030" s="28"/>
      <c r="U8030" s="28"/>
    </row>
    <row r="8031">
      <c r="N8031" s="28"/>
      <c r="O8031" s="28"/>
      <c r="U8031" s="28"/>
    </row>
    <row r="8032">
      <c r="N8032" s="28"/>
      <c r="O8032" s="28"/>
      <c r="U8032" s="28"/>
    </row>
    <row r="8033">
      <c r="N8033" s="28"/>
      <c r="O8033" s="28"/>
      <c r="U8033" s="28"/>
    </row>
    <row r="8034">
      <c r="N8034" s="28"/>
      <c r="O8034" s="28"/>
      <c r="U8034" s="28"/>
    </row>
    <row r="8035">
      <c r="N8035" s="28"/>
      <c r="O8035" s="28"/>
      <c r="U8035" s="28"/>
    </row>
    <row r="8036">
      <c r="N8036" s="28"/>
      <c r="O8036" s="28"/>
      <c r="U8036" s="28"/>
    </row>
    <row r="8037">
      <c r="N8037" s="28"/>
      <c r="O8037" s="28"/>
      <c r="U8037" s="28"/>
    </row>
    <row r="8038">
      <c r="N8038" s="28"/>
      <c r="O8038" s="28"/>
      <c r="U8038" s="28"/>
    </row>
    <row r="8039">
      <c r="N8039" s="28"/>
      <c r="O8039" s="28"/>
      <c r="U8039" s="28"/>
    </row>
    <row r="8040">
      <c r="N8040" s="28"/>
      <c r="O8040" s="28"/>
      <c r="U8040" s="28"/>
    </row>
    <row r="8041">
      <c r="N8041" s="28"/>
      <c r="O8041" s="28"/>
      <c r="U8041" s="28"/>
    </row>
    <row r="8042">
      <c r="N8042" s="28"/>
      <c r="O8042" s="28"/>
      <c r="U8042" s="28"/>
    </row>
    <row r="8043">
      <c r="N8043" s="28"/>
      <c r="O8043" s="28"/>
      <c r="U8043" s="28"/>
    </row>
    <row r="8044">
      <c r="N8044" s="28"/>
      <c r="O8044" s="28"/>
      <c r="U8044" s="28"/>
    </row>
    <row r="8045">
      <c r="N8045" s="28"/>
      <c r="O8045" s="28"/>
      <c r="U8045" s="28"/>
    </row>
    <row r="8046">
      <c r="N8046" s="28"/>
      <c r="O8046" s="28"/>
      <c r="U8046" s="28"/>
    </row>
    <row r="8047">
      <c r="N8047" s="28"/>
      <c r="O8047" s="28"/>
      <c r="U8047" s="28"/>
    </row>
    <row r="8048">
      <c r="N8048" s="28"/>
      <c r="O8048" s="28"/>
      <c r="U8048" s="28"/>
    </row>
    <row r="8049">
      <c r="N8049" s="28"/>
      <c r="O8049" s="28"/>
      <c r="U8049" s="28"/>
    </row>
    <row r="8050">
      <c r="N8050" s="28"/>
      <c r="O8050" s="28"/>
      <c r="U8050" s="28"/>
    </row>
    <row r="8051">
      <c r="N8051" s="28"/>
      <c r="O8051" s="28"/>
      <c r="U8051" s="28"/>
    </row>
    <row r="8052">
      <c r="N8052" s="28"/>
      <c r="O8052" s="28"/>
      <c r="U8052" s="28"/>
    </row>
    <row r="8053">
      <c r="N8053" s="28"/>
      <c r="O8053" s="28"/>
      <c r="U8053" s="28"/>
    </row>
    <row r="8054">
      <c r="N8054" s="28"/>
      <c r="O8054" s="28"/>
      <c r="U8054" s="28"/>
    </row>
    <row r="8055">
      <c r="N8055" s="28"/>
      <c r="O8055" s="28"/>
      <c r="U8055" s="28"/>
    </row>
    <row r="8056">
      <c r="N8056" s="28"/>
      <c r="O8056" s="28"/>
      <c r="U8056" s="28"/>
    </row>
    <row r="8057">
      <c r="N8057" s="28"/>
      <c r="O8057" s="28"/>
      <c r="U8057" s="28"/>
    </row>
    <row r="8058">
      <c r="N8058" s="28"/>
      <c r="O8058" s="28"/>
      <c r="U8058" s="28"/>
    </row>
    <row r="8059">
      <c r="N8059" s="28"/>
      <c r="O8059" s="28"/>
      <c r="U8059" s="28"/>
    </row>
    <row r="8060">
      <c r="N8060" s="28"/>
      <c r="O8060" s="28"/>
      <c r="U8060" s="28"/>
    </row>
    <row r="8061">
      <c r="N8061" s="28"/>
      <c r="O8061" s="28"/>
      <c r="U8061" s="28"/>
    </row>
    <row r="8062">
      <c r="N8062" s="28"/>
      <c r="O8062" s="28"/>
      <c r="U8062" s="28"/>
    </row>
    <row r="8063">
      <c r="N8063" s="28"/>
      <c r="O8063" s="28"/>
      <c r="U8063" s="28"/>
    </row>
    <row r="8064">
      <c r="N8064" s="28"/>
      <c r="O8064" s="28"/>
      <c r="U8064" s="28"/>
    </row>
    <row r="8065">
      <c r="N8065" s="28"/>
      <c r="O8065" s="28"/>
      <c r="U8065" s="28"/>
    </row>
    <row r="8066">
      <c r="N8066" s="28"/>
      <c r="O8066" s="28"/>
      <c r="U8066" s="28"/>
    </row>
    <row r="8067">
      <c r="N8067" s="28"/>
      <c r="O8067" s="28"/>
      <c r="U8067" s="28"/>
    </row>
    <row r="8068">
      <c r="N8068" s="28"/>
      <c r="O8068" s="28"/>
      <c r="U8068" s="28"/>
    </row>
    <row r="8069">
      <c r="N8069" s="28"/>
      <c r="O8069" s="28"/>
      <c r="U8069" s="28"/>
    </row>
    <row r="8070">
      <c r="N8070" s="28"/>
      <c r="O8070" s="28"/>
      <c r="U8070" s="28"/>
    </row>
    <row r="8071">
      <c r="N8071" s="28"/>
      <c r="O8071" s="28"/>
      <c r="U8071" s="28"/>
    </row>
    <row r="8072">
      <c r="N8072" s="28"/>
      <c r="O8072" s="28"/>
      <c r="U8072" s="28"/>
    </row>
    <row r="8073">
      <c r="N8073" s="28"/>
      <c r="O8073" s="28"/>
      <c r="U8073" s="28"/>
    </row>
    <row r="8074">
      <c r="N8074" s="28"/>
      <c r="O8074" s="28"/>
      <c r="U8074" s="28"/>
    </row>
    <row r="8075">
      <c r="N8075" s="28"/>
      <c r="O8075" s="28"/>
      <c r="U8075" s="28"/>
    </row>
    <row r="8076">
      <c r="N8076" s="28"/>
      <c r="O8076" s="28"/>
      <c r="U8076" s="28"/>
    </row>
    <row r="8077">
      <c r="N8077" s="28"/>
      <c r="O8077" s="28"/>
      <c r="U8077" s="28"/>
    </row>
    <row r="8078">
      <c r="N8078" s="28"/>
      <c r="O8078" s="28"/>
      <c r="U8078" s="28"/>
    </row>
    <row r="8079">
      <c r="N8079" s="28"/>
      <c r="O8079" s="28"/>
      <c r="U8079" s="28"/>
    </row>
    <row r="8080">
      <c r="N8080" s="28"/>
      <c r="O8080" s="28"/>
      <c r="U8080" s="28"/>
    </row>
    <row r="8081">
      <c r="N8081" s="28"/>
      <c r="O8081" s="28"/>
      <c r="U8081" s="28"/>
    </row>
    <row r="8082">
      <c r="N8082" s="28"/>
      <c r="O8082" s="28"/>
      <c r="U8082" s="28"/>
    </row>
    <row r="8083">
      <c r="N8083" s="28"/>
      <c r="O8083" s="28"/>
      <c r="U8083" s="28"/>
    </row>
    <row r="8084">
      <c r="N8084" s="28"/>
      <c r="O8084" s="28"/>
      <c r="U8084" s="28"/>
    </row>
    <row r="8085">
      <c r="N8085" s="28"/>
      <c r="O8085" s="28"/>
      <c r="U8085" s="28"/>
    </row>
    <row r="8086">
      <c r="N8086" s="28"/>
      <c r="O8086" s="28"/>
      <c r="U8086" s="28"/>
    </row>
    <row r="8087">
      <c r="N8087" s="28"/>
      <c r="O8087" s="28"/>
      <c r="U8087" s="28"/>
    </row>
    <row r="8088">
      <c r="N8088" s="28"/>
      <c r="O8088" s="28"/>
      <c r="U8088" s="28"/>
    </row>
    <row r="8089">
      <c r="N8089" s="28"/>
      <c r="O8089" s="28"/>
      <c r="U8089" s="28"/>
    </row>
    <row r="8090">
      <c r="N8090" s="28"/>
      <c r="O8090" s="28"/>
      <c r="U8090" s="28"/>
    </row>
    <row r="8091">
      <c r="N8091" s="28"/>
      <c r="O8091" s="28"/>
      <c r="U8091" s="28"/>
    </row>
    <row r="8092">
      <c r="N8092" s="28"/>
      <c r="O8092" s="28"/>
      <c r="U8092" s="28"/>
    </row>
    <row r="8093">
      <c r="N8093" s="28"/>
      <c r="O8093" s="28"/>
      <c r="U8093" s="28"/>
    </row>
    <row r="8094">
      <c r="N8094" s="28"/>
      <c r="O8094" s="28"/>
      <c r="U8094" s="28"/>
    </row>
    <row r="8095">
      <c r="N8095" s="28"/>
      <c r="O8095" s="28"/>
      <c r="U8095" s="28"/>
    </row>
    <row r="8096">
      <c r="N8096" s="28"/>
      <c r="O8096" s="28"/>
      <c r="U8096" s="28"/>
    </row>
    <row r="8097">
      <c r="N8097" s="28"/>
      <c r="O8097" s="28"/>
      <c r="U8097" s="28"/>
    </row>
    <row r="8098">
      <c r="N8098" s="28"/>
      <c r="O8098" s="28"/>
      <c r="U8098" s="28"/>
    </row>
    <row r="8099">
      <c r="N8099" s="28"/>
      <c r="O8099" s="28"/>
      <c r="U8099" s="28"/>
    </row>
    <row r="8100">
      <c r="N8100" s="28"/>
      <c r="O8100" s="28"/>
      <c r="U8100" s="28"/>
    </row>
    <row r="8101">
      <c r="N8101" s="28"/>
      <c r="O8101" s="28"/>
      <c r="U8101" s="28"/>
    </row>
    <row r="8102">
      <c r="N8102" s="28"/>
      <c r="O8102" s="28"/>
      <c r="U8102" s="28"/>
    </row>
    <row r="8103">
      <c r="N8103" s="28"/>
      <c r="O8103" s="28"/>
      <c r="U8103" s="28"/>
    </row>
    <row r="8104">
      <c r="N8104" s="28"/>
      <c r="O8104" s="28"/>
      <c r="U8104" s="28"/>
    </row>
    <row r="8105">
      <c r="N8105" s="28"/>
      <c r="O8105" s="28"/>
      <c r="U8105" s="28"/>
    </row>
    <row r="8106">
      <c r="N8106" s="28"/>
      <c r="O8106" s="28"/>
      <c r="U8106" s="28"/>
    </row>
    <row r="8107">
      <c r="N8107" s="28"/>
      <c r="O8107" s="28"/>
      <c r="U8107" s="28"/>
    </row>
    <row r="8108">
      <c r="N8108" s="28"/>
      <c r="O8108" s="28"/>
      <c r="U8108" s="28"/>
    </row>
    <row r="8109">
      <c r="N8109" s="28"/>
      <c r="O8109" s="28"/>
      <c r="U8109" s="28"/>
    </row>
    <row r="8110">
      <c r="N8110" s="28"/>
      <c r="O8110" s="28"/>
      <c r="U8110" s="28"/>
    </row>
    <row r="8111">
      <c r="N8111" s="28"/>
      <c r="O8111" s="28"/>
      <c r="U8111" s="28"/>
    </row>
    <row r="8112">
      <c r="N8112" s="28"/>
      <c r="O8112" s="28"/>
      <c r="U8112" s="28"/>
    </row>
    <row r="8113">
      <c r="N8113" s="28"/>
      <c r="O8113" s="28"/>
      <c r="U8113" s="28"/>
    </row>
    <row r="8114">
      <c r="N8114" s="28"/>
      <c r="O8114" s="28"/>
      <c r="U8114" s="28"/>
    </row>
    <row r="8115">
      <c r="N8115" s="28"/>
      <c r="O8115" s="28"/>
      <c r="U8115" s="28"/>
    </row>
    <row r="8116">
      <c r="N8116" s="28"/>
      <c r="O8116" s="28"/>
      <c r="U8116" s="28"/>
    </row>
    <row r="8117">
      <c r="N8117" s="28"/>
      <c r="O8117" s="28"/>
      <c r="U8117" s="28"/>
    </row>
    <row r="8118">
      <c r="N8118" s="28"/>
      <c r="O8118" s="28"/>
      <c r="U8118" s="28"/>
    </row>
    <row r="8119">
      <c r="N8119" s="28"/>
      <c r="O8119" s="28"/>
      <c r="U8119" s="28"/>
    </row>
    <row r="8120">
      <c r="N8120" s="28"/>
      <c r="O8120" s="28"/>
      <c r="U8120" s="28"/>
    </row>
    <row r="8121">
      <c r="N8121" s="28"/>
      <c r="O8121" s="28"/>
      <c r="U8121" s="28"/>
    </row>
    <row r="8122">
      <c r="N8122" s="28"/>
      <c r="O8122" s="28"/>
      <c r="U8122" s="28"/>
    </row>
    <row r="8123">
      <c r="N8123" s="28"/>
      <c r="O8123" s="28"/>
      <c r="U8123" s="28"/>
    </row>
    <row r="8124">
      <c r="N8124" s="28"/>
      <c r="O8124" s="28"/>
      <c r="U8124" s="28"/>
    </row>
    <row r="8125">
      <c r="N8125" s="28"/>
      <c r="O8125" s="28"/>
      <c r="U8125" s="28"/>
    </row>
    <row r="8126">
      <c r="N8126" s="28"/>
      <c r="O8126" s="28"/>
      <c r="U8126" s="28"/>
    </row>
    <row r="8127">
      <c r="N8127" s="28"/>
      <c r="O8127" s="28"/>
      <c r="U8127" s="28"/>
    </row>
    <row r="8128">
      <c r="N8128" s="28"/>
      <c r="O8128" s="28"/>
      <c r="U8128" s="28"/>
    </row>
    <row r="8129">
      <c r="N8129" s="28"/>
      <c r="O8129" s="28"/>
      <c r="U8129" s="28"/>
    </row>
    <row r="8130">
      <c r="N8130" s="28"/>
      <c r="O8130" s="28"/>
      <c r="U8130" s="28"/>
    </row>
    <row r="8131">
      <c r="N8131" s="28"/>
      <c r="O8131" s="28"/>
      <c r="U8131" s="28"/>
    </row>
    <row r="8132">
      <c r="N8132" s="28"/>
      <c r="O8132" s="28"/>
      <c r="U8132" s="28"/>
    </row>
    <row r="8133">
      <c r="N8133" s="28"/>
      <c r="O8133" s="28"/>
      <c r="U8133" s="28"/>
    </row>
    <row r="8134">
      <c r="N8134" s="28"/>
      <c r="O8134" s="28"/>
      <c r="U8134" s="28"/>
    </row>
    <row r="8135">
      <c r="N8135" s="28"/>
      <c r="O8135" s="28"/>
      <c r="U8135" s="28"/>
    </row>
    <row r="8136">
      <c r="N8136" s="28"/>
      <c r="O8136" s="28"/>
      <c r="U8136" s="28"/>
    </row>
    <row r="8137">
      <c r="N8137" s="28"/>
      <c r="O8137" s="28"/>
      <c r="U8137" s="28"/>
    </row>
    <row r="8138">
      <c r="N8138" s="28"/>
      <c r="O8138" s="28"/>
      <c r="U8138" s="28"/>
    </row>
    <row r="8139">
      <c r="N8139" s="28"/>
      <c r="O8139" s="28"/>
      <c r="U8139" s="28"/>
    </row>
    <row r="8140">
      <c r="N8140" s="28"/>
      <c r="O8140" s="28"/>
      <c r="U8140" s="28"/>
    </row>
    <row r="8141">
      <c r="N8141" s="28"/>
      <c r="O8141" s="28"/>
      <c r="U8141" s="28"/>
    </row>
    <row r="8142">
      <c r="N8142" s="28"/>
      <c r="O8142" s="28"/>
      <c r="U8142" s="28"/>
    </row>
    <row r="8143">
      <c r="N8143" s="28"/>
      <c r="O8143" s="28"/>
      <c r="U8143" s="28"/>
    </row>
    <row r="8144">
      <c r="N8144" s="28"/>
      <c r="O8144" s="28"/>
      <c r="U8144" s="28"/>
    </row>
    <row r="8145">
      <c r="N8145" s="28"/>
      <c r="O8145" s="28"/>
      <c r="U8145" s="28"/>
    </row>
    <row r="8146">
      <c r="N8146" s="28"/>
      <c r="O8146" s="28"/>
      <c r="U8146" s="28"/>
    </row>
    <row r="8147">
      <c r="N8147" s="28"/>
      <c r="O8147" s="28"/>
      <c r="U8147" s="28"/>
    </row>
    <row r="8148">
      <c r="N8148" s="28"/>
      <c r="O8148" s="28"/>
      <c r="U8148" s="28"/>
    </row>
    <row r="8149">
      <c r="N8149" s="28"/>
      <c r="O8149" s="28"/>
      <c r="U8149" s="28"/>
    </row>
    <row r="8150">
      <c r="N8150" s="28"/>
      <c r="O8150" s="28"/>
      <c r="U8150" s="28"/>
    </row>
    <row r="8151">
      <c r="N8151" s="28"/>
      <c r="O8151" s="28"/>
      <c r="U8151" s="28"/>
    </row>
    <row r="8152">
      <c r="N8152" s="28"/>
      <c r="O8152" s="28"/>
      <c r="U8152" s="28"/>
    </row>
    <row r="8153">
      <c r="N8153" s="28"/>
      <c r="O8153" s="28"/>
      <c r="U8153" s="28"/>
    </row>
    <row r="8154">
      <c r="N8154" s="28"/>
      <c r="O8154" s="28"/>
      <c r="U8154" s="28"/>
    </row>
    <row r="8155">
      <c r="N8155" s="28"/>
      <c r="O8155" s="28"/>
      <c r="U8155" s="28"/>
    </row>
    <row r="8156">
      <c r="N8156" s="28"/>
      <c r="O8156" s="28"/>
      <c r="U8156" s="28"/>
    </row>
    <row r="8157">
      <c r="N8157" s="28"/>
      <c r="O8157" s="28"/>
      <c r="U8157" s="28"/>
    </row>
    <row r="8158">
      <c r="N8158" s="28"/>
      <c r="O8158" s="28"/>
      <c r="U8158" s="28"/>
    </row>
    <row r="8159">
      <c r="N8159" s="28"/>
      <c r="O8159" s="28"/>
      <c r="U8159" s="28"/>
    </row>
    <row r="8160">
      <c r="N8160" s="28"/>
      <c r="O8160" s="28"/>
      <c r="U8160" s="28"/>
    </row>
    <row r="8161">
      <c r="N8161" s="28"/>
      <c r="O8161" s="28"/>
      <c r="U8161" s="28"/>
    </row>
    <row r="8162">
      <c r="N8162" s="28"/>
      <c r="O8162" s="28"/>
      <c r="U8162" s="28"/>
    </row>
    <row r="8163">
      <c r="N8163" s="28"/>
      <c r="O8163" s="28"/>
      <c r="U8163" s="28"/>
    </row>
    <row r="8164">
      <c r="N8164" s="28"/>
      <c r="O8164" s="28"/>
      <c r="U8164" s="28"/>
    </row>
    <row r="8165">
      <c r="N8165" s="28"/>
      <c r="O8165" s="28"/>
      <c r="U8165" s="28"/>
    </row>
    <row r="8166">
      <c r="N8166" s="28"/>
      <c r="O8166" s="28"/>
      <c r="U8166" s="28"/>
    </row>
    <row r="8167">
      <c r="N8167" s="28"/>
      <c r="O8167" s="28"/>
      <c r="U8167" s="28"/>
    </row>
    <row r="8168">
      <c r="N8168" s="28"/>
      <c r="O8168" s="28"/>
      <c r="U8168" s="28"/>
    </row>
    <row r="8169">
      <c r="N8169" s="28"/>
      <c r="O8169" s="28"/>
      <c r="U8169" s="28"/>
    </row>
    <row r="8170">
      <c r="N8170" s="28"/>
      <c r="O8170" s="28"/>
      <c r="U8170" s="28"/>
    </row>
    <row r="8171">
      <c r="N8171" s="28"/>
      <c r="O8171" s="28"/>
      <c r="U8171" s="28"/>
    </row>
    <row r="8172">
      <c r="N8172" s="28"/>
      <c r="O8172" s="28"/>
      <c r="U8172" s="28"/>
    </row>
    <row r="8173">
      <c r="N8173" s="28"/>
      <c r="O8173" s="28"/>
      <c r="U8173" s="28"/>
    </row>
    <row r="8174">
      <c r="N8174" s="28"/>
      <c r="O8174" s="28"/>
      <c r="U8174" s="28"/>
    </row>
    <row r="8175">
      <c r="N8175" s="28"/>
      <c r="O8175" s="28"/>
      <c r="U8175" s="28"/>
    </row>
    <row r="8176">
      <c r="N8176" s="28"/>
      <c r="O8176" s="28"/>
      <c r="U8176" s="28"/>
    </row>
    <row r="8177">
      <c r="N8177" s="28"/>
      <c r="O8177" s="28"/>
      <c r="U8177" s="28"/>
    </row>
    <row r="8178">
      <c r="N8178" s="28"/>
      <c r="O8178" s="28"/>
      <c r="U8178" s="28"/>
    </row>
    <row r="8179">
      <c r="N8179" s="28"/>
      <c r="O8179" s="28"/>
      <c r="U8179" s="28"/>
    </row>
    <row r="8180">
      <c r="N8180" s="28"/>
      <c r="O8180" s="28"/>
      <c r="U8180" s="28"/>
    </row>
    <row r="8181">
      <c r="N8181" s="28"/>
      <c r="O8181" s="28"/>
      <c r="U8181" s="28"/>
    </row>
    <row r="8182">
      <c r="N8182" s="28"/>
      <c r="O8182" s="28"/>
      <c r="U8182" s="28"/>
    </row>
    <row r="8183">
      <c r="N8183" s="28"/>
      <c r="O8183" s="28"/>
      <c r="U8183" s="28"/>
    </row>
    <row r="8184">
      <c r="N8184" s="28"/>
      <c r="O8184" s="28"/>
      <c r="U8184" s="28"/>
    </row>
    <row r="8185">
      <c r="N8185" s="28"/>
      <c r="O8185" s="28"/>
      <c r="U8185" s="28"/>
    </row>
    <row r="8186">
      <c r="N8186" s="28"/>
      <c r="O8186" s="28"/>
      <c r="U8186" s="28"/>
    </row>
    <row r="8187">
      <c r="N8187" s="28"/>
      <c r="O8187" s="28"/>
      <c r="U8187" s="28"/>
    </row>
    <row r="8188">
      <c r="N8188" s="28"/>
      <c r="O8188" s="28"/>
      <c r="U8188" s="28"/>
    </row>
    <row r="8189">
      <c r="N8189" s="28"/>
      <c r="O8189" s="28"/>
      <c r="U8189" s="28"/>
    </row>
    <row r="8190">
      <c r="N8190" s="28"/>
      <c r="O8190" s="28"/>
      <c r="U8190" s="28"/>
    </row>
    <row r="8191">
      <c r="N8191" s="28"/>
      <c r="O8191" s="28"/>
      <c r="U8191" s="28"/>
    </row>
    <row r="8192">
      <c r="N8192" s="28"/>
      <c r="O8192" s="28"/>
      <c r="U8192" s="28"/>
    </row>
    <row r="8193">
      <c r="N8193" s="28"/>
      <c r="O8193" s="28"/>
      <c r="U8193" s="28"/>
    </row>
    <row r="8194">
      <c r="N8194" s="28"/>
      <c r="O8194" s="28"/>
      <c r="U8194" s="28"/>
    </row>
    <row r="8195">
      <c r="N8195" s="28"/>
      <c r="O8195" s="28"/>
      <c r="U8195" s="28"/>
    </row>
    <row r="8196">
      <c r="N8196" s="28"/>
      <c r="O8196" s="28"/>
      <c r="U8196" s="28"/>
    </row>
    <row r="8197">
      <c r="N8197" s="28"/>
      <c r="O8197" s="28"/>
      <c r="U8197" s="28"/>
    </row>
    <row r="8198">
      <c r="N8198" s="28"/>
      <c r="O8198" s="28"/>
      <c r="U8198" s="28"/>
    </row>
    <row r="8199">
      <c r="N8199" s="28"/>
      <c r="O8199" s="28"/>
      <c r="U8199" s="28"/>
    </row>
    <row r="8200">
      <c r="N8200" s="28"/>
      <c r="O8200" s="28"/>
      <c r="U8200" s="28"/>
    </row>
    <row r="8201">
      <c r="N8201" s="28"/>
      <c r="O8201" s="28"/>
      <c r="U8201" s="28"/>
    </row>
    <row r="8202">
      <c r="N8202" s="28"/>
      <c r="O8202" s="28"/>
      <c r="U8202" s="28"/>
    </row>
    <row r="8203">
      <c r="N8203" s="28"/>
      <c r="O8203" s="28"/>
      <c r="U8203" s="28"/>
    </row>
    <row r="8204">
      <c r="N8204" s="28"/>
      <c r="O8204" s="28"/>
      <c r="U8204" s="28"/>
    </row>
    <row r="8205">
      <c r="N8205" s="28"/>
      <c r="O8205" s="28"/>
      <c r="U8205" s="28"/>
    </row>
    <row r="8206">
      <c r="N8206" s="28"/>
      <c r="O8206" s="28"/>
      <c r="U8206" s="28"/>
    </row>
    <row r="8207">
      <c r="N8207" s="28"/>
      <c r="O8207" s="28"/>
      <c r="U8207" s="28"/>
    </row>
    <row r="8208">
      <c r="N8208" s="28"/>
      <c r="O8208" s="28"/>
      <c r="U8208" s="28"/>
    </row>
    <row r="8209">
      <c r="N8209" s="28"/>
      <c r="O8209" s="28"/>
      <c r="U8209" s="28"/>
    </row>
    <row r="8210">
      <c r="N8210" s="28"/>
      <c r="O8210" s="28"/>
      <c r="U8210" s="28"/>
    </row>
    <row r="8211">
      <c r="N8211" s="28"/>
      <c r="O8211" s="28"/>
      <c r="U8211" s="28"/>
    </row>
    <row r="8212">
      <c r="N8212" s="28"/>
      <c r="O8212" s="28"/>
      <c r="U8212" s="28"/>
    </row>
    <row r="8213">
      <c r="N8213" s="28"/>
      <c r="O8213" s="28"/>
      <c r="U8213" s="28"/>
    </row>
    <row r="8214">
      <c r="N8214" s="28"/>
      <c r="O8214" s="28"/>
      <c r="U8214" s="28"/>
    </row>
    <row r="8215">
      <c r="N8215" s="28"/>
      <c r="O8215" s="28"/>
      <c r="U8215" s="28"/>
    </row>
    <row r="8216">
      <c r="N8216" s="28"/>
      <c r="O8216" s="28"/>
      <c r="U8216" s="28"/>
    </row>
    <row r="8217">
      <c r="N8217" s="28"/>
      <c r="O8217" s="28"/>
      <c r="U8217" s="28"/>
    </row>
    <row r="8218">
      <c r="N8218" s="28"/>
      <c r="O8218" s="28"/>
      <c r="U8218" s="28"/>
    </row>
    <row r="8219">
      <c r="N8219" s="28"/>
      <c r="O8219" s="28"/>
      <c r="U8219" s="28"/>
    </row>
    <row r="8220">
      <c r="N8220" s="28"/>
      <c r="O8220" s="28"/>
      <c r="U8220" s="28"/>
    </row>
    <row r="8221">
      <c r="N8221" s="28"/>
      <c r="O8221" s="28"/>
      <c r="U8221" s="28"/>
    </row>
    <row r="8222">
      <c r="N8222" s="28"/>
      <c r="O8222" s="28"/>
      <c r="U8222" s="28"/>
    </row>
    <row r="8223">
      <c r="N8223" s="28"/>
      <c r="O8223" s="28"/>
      <c r="U8223" s="28"/>
    </row>
    <row r="8224">
      <c r="N8224" s="28"/>
      <c r="O8224" s="28"/>
      <c r="U8224" s="28"/>
    </row>
    <row r="8225">
      <c r="N8225" s="28"/>
      <c r="O8225" s="28"/>
      <c r="U8225" s="28"/>
    </row>
    <row r="8226">
      <c r="N8226" s="28"/>
      <c r="O8226" s="28"/>
      <c r="U8226" s="28"/>
    </row>
    <row r="8227">
      <c r="N8227" s="28"/>
      <c r="O8227" s="28"/>
      <c r="U8227" s="28"/>
    </row>
    <row r="8228">
      <c r="N8228" s="28"/>
      <c r="O8228" s="28"/>
      <c r="U8228" s="28"/>
    </row>
    <row r="8229">
      <c r="N8229" s="28"/>
      <c r="O8229" s="28"/>
      <c r="U8229" s="28"/>
    </row>
    <row r="8230">
      <c r="N8230" s="28"/>
      <c r="O8230" s="28"/>
      <c r="U8230" s="28"/>
    </row>
    <row r="8231">
      <c r="N8231" s="28"/>
      <c r="O8231" s="28"/>
      <c r="U8231" s="28"/>
    </row>
    <row r="8232">
      <c r="N8232" s="28"/>
      <c r="O8232" s="28"/>
      <c r="U8232" s="28"/>
    </row>
    <row r="8233">
      <c r="N8233" s="28"/>
      <c r="O8233" s="28"/>
      <c r="U8233" s="28"/>
    </row>
    <row r="8234">
      <c r="N8234" s="28"/>
      <c r="O8234" s="28"/>
      <c r="U8234" s="28"/>
    </row>
    <row r="8235">
      <c r="N8235" s="28"/>
      <c r="O8235" s="28"/>
      <c r="U8235" s="28"/>
    </row>
    <row r="8236">
      <c r="N8236" s="28"/>
      <c r="O8236" s="28"/>
      <c r="U8236" s="28"/>
    </row>
    <row r="8237">
      <c r="N8237" s="28"/>
      <c r="O8237" s="28"/>
      <c r="U8237" s="28"/>
    </row>
    <row r="8238">
      <c r="N8238" s="28"/>
      <c r="O8238" s="28"/>
      <c r="U8238" s="28"/>
    </row>
    <row r="8239">
      <c r="N8239" s="28"/>
      <c r="O8239" s="28"/>
      <c r="U8239" s="28"/>
    </row>
    <row r="8240">
      <c r="N8240" s="28"/>
      <c r="O8240" s="28"/>
      <c r="U8240" s="28"/>
    </row>
    <row r="8241">
      <c r="N8241" s="28"/>
      <c r="O8241" s="28"/>
      <c r="U8241" s="28"/>
    </row>
    <row r="8242">
      <c r="N8242" s="28"/>
      <c r="O8242" s="28"/>
      <c r="U8242" s="28"/>
    </row>
    <row r="8243">
      <c r="N8243" s="28"/>
      <c r="O8243" s="28"/>
      <c r="U8243" s="28"/>
    </row>
    <row r="8244">
      <c r="N8244" s="28"/>
      <c r="O8244" s="28"/>
      <c r="U8244" s="28"/>
    </row>
    <row r="8245">
      <c r="N8245" s="28"/>
      <c r="O8245" s="28"/>
      <c r="U8245" s="28"/>
    </row>
    <row r="8246">
      <c r="N8246" s="28"/>
      <c r="O8246" s="28"/>
      <c r="U8246" s="28"/>
    </row>
    <row r="8247">
      <c r="N8247" s="28"/>
      <c r="O8247" s="28"/>
      <c r="U8247" s="28"/>
    </row>
    <row r="8248">
      <c r="N8248" s="28"/>
      <c r="O8248" s="28"/>
      <c r="U8248" s="28"/>
    </row>
    <row r="8249">
      <c r="N8249" s="28"/>
      <c r="O8249" s="28"/>
      <c r="U8249" s="28"/>
    </row>
    <row r="8250">
      <c r="N8250" s="28"/>
      <c r="O8250" s="28"/>
      <c r="U8250" s="28"/>
    </row>
    <row r="8251">
      <c r="N8251" s="28"/>
      <c r="O8251" s="28"/>
      <c r="U8251" s="28"/>
    </row>
    <row r="8252">
      <c r="N8252" s="28"/>
      <c r="O8252" s="28"/>
      <c r="U8252" s="28"/>
    </row>
    <row r="8253">
      <c r="N8253" s="28"/>
      <c r="O8253" s="28"/>
      <c r="U8253" s="28"/>
    </row>
    <row r="8254">
      <c r="N8254" s="28"/>
      <c r="O8254" s="28"/>
      <c r="U8254" s="28"/>
    </row>
    <row r="8255">
      <c r="N8255" s="28"/>
      <c r="O8255" s="28"/>
      <c r="U8255" s="28"/>
    </row>
    <row r="8256">
      <c r="N8256" s="28"/>
      <c r="O8256" s="28"/>
      <c r="U8256" s="28"/>
    </row>
    <row r="8257">
      <c r="N8257" s="28"/>
      <c r="O8257" s="28"/>
      <c r="U8257" s="28"/>
    </row>
    <row r="8258">
      <c r="N8258" s="28"/>
      <c r="O8258" s="28"/>
      <c r="U8258" s="28"/>
    </row>
    <row r="8259">
      <c r="N8259" s="28"/>
      <c r="O8259" s="28"/>
      <c r="U8259" s="28"/>
    </row>
    <row r="8260">
      <c r="N8260" s="28"/>
      <c r="O8260" s="28"/>
      <c r="U8260" s="28"/>
    </row>
    <row r="8261">
      <c r="N8261" s="28"/>
      <c r="O8261" s="28"/>
      <c r="U8261" s="28"/>
    </row>
    <row r="8262">
      <c r="N8262" s="28"/>
      <c r="O8262" s="28"/>
      <c r="U8262" s="28"/>
    </row>
    <row r="8263">
      <c r="N8263" s="28"/>
      <c r="O8263" s="28"/>
      <c r="U8263" s="28"/>
    </row>
    <row r="8264">
      <c r="N8264" s="28"/>
      <c r="O8264" s="28"/>
      <c r="U8264" s="28"/>
    </row>
    <row r="8265">
      <c r="N8265" s="28"/>
      <c r="O8265" s="28"/>
      <c r="U8265" s="28"/>
    </row>
    <row r="8266">
      <c r="N8266" s="28"/>
      <c r="O8266" s="28"/>
      <c r="U8266" s="28"/>
    </row>
    <row r="8267">
      <c r="N8267" s="28"/>
      <c r="O8267" s="28"/>
      <c r="U8267" s="28"/>
    </row>
    <row r="8268">
      <c r="N8268" s="28"/>
      <c r="O8268" s="28"/>
      <c r="U8268" s="28"/>
    </row>
    <row r="8269">
      <c r="N8269" s="28"/>
      <c r="O8269" s="28"/>
      <c r="U8269" s="28"/>
    </row>
    <row r="8270">
      <c r="N8270" s="28"/>
      <c r="O8270" s="28"/>
      <c r="U8270" s="28"/>
    </row>
    <row r="8271">
      <c r="N8271" s="28"/>
      <c r="O8271" s="28"/>
      <c r="U8271" s="28"/>
    </row>
    <row r="8272">
      <c r="N8272" s="28"/>
      <c r="O8272" s="28"/>
      <c r="U8272" s="28"/>
    </row>
    <row r="8273">
      <c r="N8273" s="28"/>
      <c r="O8273" s="28"/>
      <c r="U8273" s="28"/>
    </row>
    <row r="8274">
      <c r="N8274" s="28"/>
      <c r="O8274" s="28"/>
      <c r="U8274" s="28"/>
    </row>
    <row r="8275">
      <c r="N8275" s="28"/>
      <c r="O8275" s="28"/>
      <c r="U8275" s="28"/>
    </row>
    <row r="8276">
      <c r="N8276" s="28"/>
      <c r="O8276" s="28"/>
      <c r="U8276" s="28"/>
    </row>
    <row r="8277">
      <c r="N8277" s="28"/>
      <c r="O8277" s="28"/>
      <c r="U8277" s="28"/>
    </row>
    <row r="8278">
      <c r="N8278" s="28"/>
      <c r="O8278" s="28"/>
      <c r="U8278" s="28"/>
    </row>
    <row r="8279">
      <c r="N8279" s="28"/>
      <c r="O8279" s="28"/>
      <c r="U8279" s="28"/>
    </row>
    <row r="8280">
      <c r="N8280" s="28"/>
      <c r="O8280" s="28"/>
      <c r="U8280" s="28"/>
    </row>
    <row r="8281">
      <c r="N8281" s="28"/>
      <c r="O8281" s="28"/>
      <c r="U8281" s="28"/>
    </row>
    <row r="8282">
      <c r="N8282" s="28"/>
      <c r="O8282" s="28"/>
      <c r="U8282" s="28"/>
    </row>
    <row r="8283">
      <c r="N8283" s="28"/>
      <c r="O8283" s="28"/>
      <c r="U8283" s="28"/>
    </row>
    <row r="8284">
      <c r="N8284" s="28"/>
      <c r="O8284" s="28"/>
      <c r="U8284" s="28"/>
    </row>
    <row r="8285">
      <c r="N8285" s="28"/>
      <c r="O8285" s="28"/>
      <c r="U8285" s="28"/>
    </row>
    <row r="8286">
      <c r="N8286" s="28"/>
      <c r="O8286" s="28"/>
      <c r="U8286" s="28"/>
    </row>
    <row r="8287">
      <c r="N8287" s="28"/>
      <c r="O8287" s="28"/>
      <c r="U8287" s="28"/>
    </row>
    <row r="8288">
      <c r="N8288" s="28"/>
      <c r="O8288" s="28"/>
      <c r="U8288" s="28"/>
    </row>
    <row r="8289">
      <c r="N8289" s="28"/>
      <c r="O8289" s="28"/>
      <c r="U8289" s="28"/>
    </row>
    <row r="8290">
      <c r="N8290" s="28"/>
      <c r="O8290" s="28"/>
      <c r="U8290" s="28"/>
    </row>
    <row r="8291">
      <c r="N8291" s="28"/>
      <c r="O8291" s="28"/>
      <c r="U8291" s="28"/>
    </row>
    <row r="8292">
      <c r="N8292" s="28"/>
      <c r="O8292" s="28"/>
      <c r="U8292" s="28"/>
    </row>
    <row r="8293">
      <c r="N8293" s="28"/>
      <c r="O8293" s="28"/>
      <c r="U8293" s="28"/>
    </row>
    <row r="8294">
      <c r="N8294" s="28"/>
      <c r="O8294" s="28"/>
      <c r="U8294" s="28"/>
    </row>
    <row r="8295">
      <c r="N8295" s="28"/>
      <c r="O8295" s="28"/>
      <c r="U8295" s="28"/>
    </row>
    <row r="8296">
      <c r="N8296" s="28"/>
      <c r="O8296" s="28"/>
      <c r="U8296" s="28"/>
    </row>
    <row r="8297">
      <c r="N8297" s="28"/>
      <c r="O8297" s="28"/>
      <c r="U8297" s="28"/>
    </row>
    <row r="8298">
      <c r="N8298" s="28"/>
      <c r="O8298" s="28"/>
      <c r="U8298" s="28"/>
    </row>
    <row r="8299">
      <c r="N8299" s="28"/>
      <c r="O8299" s="28"/>
      <c r="U8299" s="28"/>
    </row>
    <row r="8300">
      <c r="N8300" s="28"/>
      <c r="O8300" s="28"/>
      <c r="U8300" s="28"/>
    </row>
    <row r="8301">
      <c r="N8301" s="28"/>
      <c r="O8301" s="28"/>
      <c r="U8301" s="28"/>
    </row>
    <row r="8302">
      <c r="N8302" s="28"/>
      <c r="O8302" s="28"/>
      <c r="U8302" s="28"/>
    </row>
    <row r="8303">
      <c r="N8303" s="28"/>
      <c r="O8303" s="28"/>
      <c r="U8303" s="28"/>
    </row>
    <row r="8304">
      <c r="N8304" s="28"/>
      <c r="O8304" s="28"/>
      <c r="U8304" s="28"/>
    </row>
    <row r="8305">
      <c r="N8305" s="28"/>
      <c r="O8305" s="28"/>
      <c r="U8305" s="28"/>
    </row>
    <row r="8306">
      <c r="N8306" s="28"/>
      <c r="O8306" s="28"/>
      <c r="U8306" s="28"/>
    </row>
    <row r="8307">
      <c r="N8307" s="28"/>
      <c r="O8307" s="28"/>
      <c r="U8307" s="28"/>
    </row>
    <row r="8308">
      <c r="N8308" s="28"/>
      <c r="O8308" s="28"/>
      <c r="U8308" s="28"/>
    </row>
    <row r="8309">
      <c r="N8309" s="28"/>
      <c r="O8309" s="28"/>
      <c r="U8309" s="28"/>
    </row>
    <row r="8310">
      <c r="N8310" s="28"/>
      <c r="O8310" s="28"/>
      <c r="U8310" s="28"/>
    </row>
    <row r="8311">
      <c r="N8311" s="28"/>
      <c r="O8311" s="28"/>
      <c r="U8311" s="28"/>
    </row>
    <row r="8312">
      <c r="N8312" s="28"/>
      <c r="O8312" s="28"/>
      <c r="U8312" s="28"/>
    </row>
    <row r="8313">
      <c r="N8313" s="28"/>
      <c r="O8313" s="28"/>
      <c r="U8313" s="28"/>
    </row>
    <row r="8314">
      <c r="N8314" s="28"/>
      <c r="O8314" s="28"/>
      <c r="U8314" s="28"/>
    </row>
    <row r="8315">
      <c r="N8315" s="28"/>
      <c r="O8315" s="28"/>
      <c r="U8315" s="28"/>
    </row>
    <row r="8316">
      <c r="N8316" s="28"/>
      <c r="O8316" s="28"/>
      <c r="U8316" s="28"/>
    </row>
    <row r="8317">
      <c r="N8317" s="28"/>
      <c r="O8317" s="28"/>
      <c r="U8317" s="28"/>
    </row>
    <row r="8318">
      <c r="N8318" s="28"/>
      <c r="O8318" s="28"/>
      <c r="U8318" s="28"/>
    </row>
    <row r="8319">
      <c r="N8319" s="28"/>
      <c r="O8319" s="28"/>
      <c r="U8319" s="28"/>
    </row>
    <row r="8320">
      <c r="N8320" s="28"/>
      <c r="O8320" s="28"/>
      <c r="U8320" s="28"/>
    </row>
    <row r="8321">
      <c r="N8321" s="28"/>
      <c r="O8321" s="28"/>
      <c r="U8321" s="28"/>
    </row>
    <row r="8322">
      <c r="N8322" s="28"/>
      <c r="O8322" s="28"/>
      <c r="U8322" s="28"/>
    </row>
    <row r="8323">
      <c r="N8323" s="28"/>
      <c r="O8323" s="28"/>
      <c r="U8323" s="28"/>
    </row>
    <row r="8324">
      <c r="N8324" s="28"/>
      <c r="O8324" s="28"/>
      <c r="U8324" s="28"/>
    </row>
    <row r="8325">
      <c r="N8325" s="28"/>
      <c r="O8325" s="28"/>
      <c r="U8325" s="28"/>
    </row>
    <row r="8326">
      <c r="N8326" s="28"/>
      <c r="O8326" s="28"/>
      <c r="U8326" s="28"/>
    </row>
    <row r="8327">
      <c r="N8327" s="28"/>
      <c r="O8327" s="28"/>
      <c r="U8327" s="28"/>
    </row>
    <row r="8328">
      <c r="N8328" s="28"/>
      <c r="O8328" s="28"/>
      <c r="U8328" s="28"/>
    </row>
    <row r="8329">
      <c r="N8329" s="28"/>
      <c r="O8329" s="28"/>
      <c r="U8329" s="28"/>
    </row>
    <row r="8330">
      <c r="N8330" s="28"/>
      <c r="O8330" s="28"/>
      <c r="U8330" s="28"/>
    </row>
    <row r="8331">
      <c r="N8331" s="28"/>
      <c r="O8331" s="28"/>
      <c r="U8331" s="28"/>
    </row>
    <row r="8332">
      <c r="N8332" s="28"/>
      <c r="O8332" s="28"/>
      <c r="U8332" s="28"/>
    </row>
    <row r="8333">
      <c r="N8333" s="28"/>
      <c r="O8333" s="28"/>
      <c r="U8333" s="28"/>
    </row>
    <row r="8334">
      <c r="N8334" s="28"/>
      <c r="O8334" s="28"/>
      <c r="U8334" s="28"/>
    </row>
    <row r="8335">
      <c r="N8335" s="28"/>
      <c r="O8335" s="28"/>
      <c r="U8335" s="28"/>
    </row>
    <row r="8336">
      <c r="N8336" s="28"/>
      <c r="O8336" s="28"/>
      <c r="U8336" s="28"/>
    </row>
    <row r="8337">
      <c r="N8337" s="28"/>
      <c r="O8337" s="28"/>
      <c r="U8337" s="28"/>
    </row>
    <row r="8338">
      <c r="N8338" s="28"/>
      <c r="O8338" s="28"/>
      <c r="U8338" s="28"/>
    </row>
    <row r="8339">
      <c r="N8339" s="28"/>
      <c r="O8339" s="28"/>
      <c r="U8339" s="28"/>
    </row>
    <row r="8340">
      <c r="N8340" s="28"/>
      <c r="O8340" s="28"/>
      <c r="U8340" s="28"/>
    </row>
    <row r="8341">
      <c r="N8341" s="28"/>
      <c r="O8341" s="28"/>
      <c r="U8341" s="28"/>
    </row>
    <row r="8342">
      <c r="N8342" s="28"/>
      <c r="O8342" s="28"/>
      <c r="U8342" s="28"/>
    </row>
    <row r="8343">
      <c r="N8343" s="28"/>
      <c r="O8343" s="28"/>
      <c r="U8343" s="28"/>
    </row>
    <row r="8344">
      <c r="N8344" s="28"/>
      <c r="O8344" s="28"/>
      <c r="U8344" s="28"/>
    </row>
    <row r="8345">
      <c r="N8345" s="28"/>
      <c r="O8345" s="28"/>
      <c r="U8345" s="28"/>
    </row>
    <row r="8346">
      <c r="N8346" s="28"/>
      <c r="O8346" s="28"/>
      <c r="U8346" s="28"/>
    </row>
    <row r="8347">
      <c r="N8347" s="28"/>
      <c r="O8347" s="28"/>
      <c r="U8347" s="28"/>
    </row>
    <row r="8348">
      <c r="N8348" s="28"/>
      <c r="O8348" s="28"/>
      <c r="U8348" s="28"/>
    </row>
    <row r="8349">
      <c r="N8349" s="28"/>
      <c r="O8349" s="28"/>
      <c r="U8349" s="28"/>
    </row>
    <row r="8350">
      <c r="N8350" s="28"/>
      <c r="O8350" s="28"/>
      <c r="U8350" s="28"/>
    </row>
    <row r="8351">
      <c r="N8351" s="28"/>
      <c r="O8351" s="28"/>
      <c r="U8351" s="28"/>
    </row>
    <row r="8352">
      <c r="N8352" s="28"/>
      <c r="O8352" s="28"/>
      <c r="U8352" s="28"/>
    </row>
    <row r="8353">
      <c r="N8353" s="28"/>
      <c r="O8353" s="28"/>
      <c r="U8353" s="28"/>
    </row>
    <row r="8354">
      <c r="N8354" s="28"/>
      <c r="O8354" s="28"/>
      <c r="U8354" s="28"/>
    </row>
    <row r="8355">
      <c r="N8355" s="28"/>
      <c r="O8355" s="28"/>
      <c r="U8355" s="28"/>
    </row>
    <row r="8356">
      <c r="N8356" s="28"/>
      <c r="O8356" s="28"/>
      <c r="U8356" s="28"/>
    </row>
    <row r="8357">
      <c r="N8357" s="28"/>
      <c r="O8357" s="28"/>
      <c r="U8357" s="28"/>
    </row>
    <row r="8358">
      <c r="N8358" s="28"/>
      <c r="O8358" s="28"/>
      <c r="U8358" s="28"/>
    </row>
    <row r="8359">
      <c r="N8359" s="28"/>
      <c r="O8359" s="28"/>
      <c r="U8359" s="28"/>
    </row>
    <row r="8360">
      <c r="N8360" s="28"/>
      <c r="O8360" s="28"/>
      <c r="U8360" s="28"/>
    </row>
    <row r="8361">
      <c r="N8361" s="28"/>
      <c r="O8361" s="28"/>
      <c r="U8361" s="28"/>
    </row>
    <row r="8362">
      <c r="N8362" s="28"/>
      <c r="O8362" s="28"/>
      <c r="U8362" s="28"/>
    </row>
    <row r="8363">
      <c r="N8363" s="28"/>
      <c r="O8363" s="28"/>
      <c r="U8363" s="28"/>
    </row>
    <row r="8364">
      <c r="N8364" s="28"/>
      <c r="O8364" s="28"/>
      <c r="U8364" s="28"/>
    </row>
    <row r="8365">
      <c r="N8365" s="28"/>
      <c r="O8365" s="28"/>
      <c r="U8365" s="28"/>
    </row>
    <row r="8366">
      <c r="N8366" s="28"/>
      <c r="O8366" s="28"/>
      <c r="U8366" s="28"/>
    </row>
    <row r="8367">
      <c r="N8367" s="28"/>
      <c r="O8367" s="28"/>
      <c r="U8367" s="28"/>
    </row>
    <row r="8368">
      <c r="N8368" s="28"/>
      <c r="O8368" s="28"/>
      <c r="U8368" s="28"/>
    </row>
    <row r="8369">
      <c r="N8369" s="28"/>
      <c r="O8369" s="28"/>
      <c r="U8369" s="28"/>
    </row>
    <row r="8370">
      <c r="N8370" s="28"/>
      <c r="O8370" s="28"/>
      <c r="U8370" s="28"/>
    </row>
    <row r="8371">
      <c r="N8371" s="28"/>
      <c r="O8371" s="28"/>
      <c r="U8371" s="28"/>
    </row>
    <row r="8372">
      <c r="N8372" s="28"/>
      <c r="O8372" s="28"/>
      <c r="U8372" s="28"/>
    </row>
    <row r="8373">
      <c r="N8373" s="28"/>
      <c r="O8373" s="28"/>
      <c r="U8373" s="28"/>
    </row>
    <row r="8374">
      <c r="N8374" s="28"/>
      <c r="O8374" s="28"/>
      <c r="U8374" s="28"/>
    </row>
    <row r="8375">
      <c r="N8375" s="28"/>
      <c r="O8375" s="28"/>
      <c r="U8375" s="28"/>
    </row>
    <row r="8376">
      <c r="N8376" s="28"/>
      <c r="O8376" s="28"/>
      <c r="U8376" s="28"/>
    </row>
    <row r="8377">
      <c r="N8377" s="28"/>
      <c r="O8377" s="28"/>
      <c r="U8377" s="28"/>
    </row>
    <row r="8378">
      <c r="N8378" s="28"/>
      <c r="O8378" s="28"/>
      <c r="U8378" s="28"/>
    </row>
    <row r="8379">
      <c r="N8379" s="28"/>
      <c r="O8379" s="28"/>
      <c r="U8379" s="28"/>
    </row>
    <row r="8380">
      <c r="N8380" s="28"/>
      <c r="O8380" s="28"/>
      <c r="U8380" s="28"/>
    </row>
    <row r="8381">
      <c r="N8381" s="28"/>
      <c r="O8381" s="28"/>
      <c r="U8381" s="28"/>
    </row>
    <row r="8382">
      <c r="N8382" s="28"/>
      <c r="O8382" s="28"/>
      <c r="U8382" s="28"/>
    </row>
    <row r="8383">
      <c r="N8383" s="28"/>
      <c r="O8383" s="28"/>
      <c r="U8383" s="28"/>
    </row>
    <row r="8384">
      <c r="N8384" s="28"/>
      <c r="O8384" s="28"/>
      <c r="U8384" s="28"/>
    </row>
    <row r="8385">
      <c r="N8385" s="28"/>
      <c r="O8385" s="28"/>
      <c r="U8385" s="28"/>
    </row>
    <row r="8386">
      <c r="N8386" s="28"/>
      <c r="O8386" s="28"/>
      <c r="U8386" s="28"/>
    </row>
    <row r="8387">
      <c r="N8387" s="28"/>
      <c r="O8387" s="28"/>
      <c r="U8387" s="28"/>
    </row>
    <row r="8388">
      <c r="N8388" s="28"/>
      <c r="O8388" s="28"/>
      <c r="U8388" s="28"/>
    </row>
    <row r="8389">
      <c r="N8389" s="28"/>
      <c r="O8389" s="28"/>
      <c r="U8389" s="28"/>
    </row>
    <row r="8390">
      <c r="N8390" s="28"/>
      <c r="O8390" s="28"/>
      <c r="U8390" s="28"/>
    </row>
    <row r="8391">
      <c r="N8391" s="28"/>
      <c r="O8391" s="28"/>
      <c r="U8391" s="28"/>
    </row>
    <row r="8392">
      <c r="N8392" s="28"/>
      <c r="O8392" s="28"/>
      <c r="U8392" s="28"/>
    </row>
    <row r="8393">
      <c r="N8393" s="28"/>
      <c r="O8393" s="28"/>
      <c r="U8393" s="28"/>
    </row>
    <row r="8394">
      <c r="N8394" s="28"/>
      <c r="O8394" s="28"/>
      <c r="U8394" s="28"/>
    </row>
    <row r="8395">
      <c r="N8395" s="28"/>
      <c r="O8395" s="28"/>
      <c r="U8395" s="28"/>
    </row>
    <row r="8396">
      <c r="N8396" s="28"/>
      <c r="O8396" s="28"/>
      <c r="U8396" s="28"/>
    </row>
    <row r="8397">
      <c r="N8397" s="28"/>
      <c r="O8397" s="28"/>
      <c r="U8397" s="28"/>
    </row>
    <row r="8398">
      <c r="N8398" s="28"/>
      <c r="O8398" s="28"/>
      <c r="U8398" s="28"/>
    </row>
    <row r="8399">
      <c r="N8399" s="28"/>
      <c r="O8399" s="28"/>
      <c r="U8399" s="28"/>
    </row>
    <row r="8400">
      <c r="N8400" s="28"/>
      <c r="O8400" s="28"/>
      <c r="U8400" s="28"/>
    </row>
    <row r="8401">
      <c r="N8401" s="28"/>
      <c r="O8401" s="28"/>
      <c r="U8401" s="28"/>
    </row>
    <row r="8402">
      <c r="N8402" s="28"/>
      <c r="O8402" s="28"/>
      <c r="U8402" s="28"/>
    </row>
    <row r="8403">
      <c r="N8403" s="28"/>
      <c r="O8403" s="28"/>
      <c r="U8403" s="28"/>
    </row>
    <row r="8404">
      <c r="N8404" s="28"/>
      <c r="O8404" s="28"/>
      <c r="U8404" s="28"/>
    </row>
    <row r="8405">
      <c r="N8405" s="28"/>
      <c r="O8405" s="28"/>
      <c r="U8405" s="28"/>
    </row>
    <row r="8406">
      <c r="N8406" s="28"/>
      <c r="O8406" s="28"/>
      <c r="U8406" s="28"/>
    </row>
    <row r="8407">
      <c r="N8407" s="28"/>
      <c r="O8407" s="28"/>
      <c r="U8407" s="28"/>
    </row>
    <row r="8408">
      <c r="N8408" s="28"/>
      <c r="O8408" s="28"/>
      <c r="U8408" s="28"/>
    </row>
    <row r="8409">
      <c r="N8409" s="28"/>
      <c r="O8409" s="28"/>
      <c r="U8409" s="28"/>
    </row>
    <row r="8410">
      <c r="N8410" s="28"/>
      <c r="O8410" s="28"/>
      <c r="U8410" s="28"/>
    </row>
    <row r="8411">
      <c r="N8411" s="28"/>
      <c r="O8411" s="28"/>
      <c r="U8411" s="28"/>
    </row>
    <row r="8412">
      <c r="N8412" s="28"/>
      <c r="O8412" s="28"/>
      <c r="U8412" s="28"/>
    </row>
    <row r="8413">
      <c r="N8413" s="28"/>
      <c r="O8413" s="28"/>
      <c r="U8413" s="28"/>
    </row>
    <row r="8414">
      <c r="N8414" s="28"/>
      <c r="O8414" s="28"/>
      <c r="U8414" s="28"/>
    </row>
    <row r="8415">
      <c r="N8415" s="28"/>
      <c r="O8415" s="28"/>
      <c r="U8415" s="28"/>
    </row>
    <row r="8416">
      <c r="N8416" s="28"/>
      <c r="O8416" s="28"/>
      <c r="U8416" s="28"/>
    </row>
    <row r="8417">
      <c r="N8417" s="28"/>
      <c r="O8417" s="28"/>
      <c r="U8417" s="28"/>
    </row>
    <row r="8418">
      <c r="N8418" s="28"/>
      <c r="O8418" s="28"/>
      <c r="U8418" s="28"/>
    </row>
    <row r="8419">
      <c r="N8419" s="28"/>
      <c r="O8419" s="28"/>
      <c r="U8419" s="28"/>
    </row>
    <row r="8420">
      <c r="N8420" s="28"/>
      <c r="O8420" s="28"/>
      <c r="U8420" s="28"/>
    </row>
    <row r="8421">
      <c r="N8421" s="28"/>
      <c r="O8421" s="28"/>
      <c r="U8421" s="28"/>
    </row>
    <row r="8422">
      <c r="N8422" s="28"/>
      <c r="O8422" s="28"/>
      <c r="U8422" s="28"/>
    </row>
    <row r="8423">
      <c r="N8423" s="28"/>
      <c r="O8423" s="28"/>
      <c r="U8423" s="28"/>
    </row>
    <row r="8424">
      <c r="N8424" s="28"/>
      <c r="O8424" s="28"/>
      <c r="U8424" s="28"/>
    </row>
    <row r="8425">
      <c r="N8425" s="28"/>
      <c r="O8425" s="28"/>
      <c r="U8425" s="28"/>
    </row>
    <row r="8426">
      <c r="N8426" s="28"/>
      <c r="O8426" s="28"/>
      <c r="U8426" s="28"/>
    </row>
    <row r="8427">
      <c r="N8427" s="28"/>
      <c r="O8427" s="28"/>
      <c r="U8427" s="28"/>
    </row>
    <row r="8428">
      <c r="N8428" s="28"/>
      <c r="O8428" s="28"/>
      <c r="U8428" s="28"/>
    </row>
    <row r="8429">
      <c r="N8429" s="28"/>
      <c r="O8429" s="28"/>
      <c r="U8429" s="28"/>
    </row>
    <row r="8430">
      <c r="N8430" s="28"/>
      <c r="O8430" s="28"/>
      <c r="U8430" s="28"/>
    </row>
    <row r="8431">
      <c r="N8431" s="28"/>
      <c r="O8431" s="28"/>
      <c r="U8431" s="28"/>
    </row>
    <row r="8432">
      <c r="N8432" s="28"/>
      <c r="O8432" s="28"/>
      <c r="U8432" s="28"/>
    </row>
    <row r="8433">
      <c r="N8433" s="28"/>
      <c r="O8433" s="28"/>
      <c r="U8433" s="28"/>
    </row>
    <row r="8434">
      <c r="N8434" s="28"/>
      <c r="O8434" s="28"/>
      <c r="U8434" s="28"/>
    </row>
    <row r="8435">
      <c r="N8435" s="28"/>
      <c r="O8435" s="28"/>
      <c r="U8435" s="28"/>
    </row>
    <row r="8436">
      <c r="N8436" s="28"/>
      <c r="O8436" s="28"/>
      <c r="U8436" s="28"/>
    </row>
    <row r="8437">
      <c r="N8437" s="28"/>
      <c r="O8437" s="28"/>
      <c r="U8437" s="28"/>
    </row>
    <row r="8438">
      <c r="N8438" s="28"/>
      <c r="O8438" s="28"/>
      <c r="U8438" s="28"/>
    </row>
    <row r="8439">
      <c r="N8439" s="28"/>
      <c r="O8439" s="28"/>
      <c r="U8439" s="28"/>
    </row>
    <row r="8440">
      <c r="N8440" s="28"/>
      <c r="O8440" s="28"/>
      <c r="U8440" s="28"/>
    </row>
    <row r="8441">
      <c r="N8441" s="28"/>
      <c r="O8441" s="28"/>
      <c r="U8441" s="28"/>
    </row>
    <row r="8442">
      <c r="N8442" s="28"/>
      <c r="O8442" s="28"/>
      <c r="U8442" s="28"/>
    </row>
    <row r="8443">
      <c r="N8443" s="28"/>
      <c r="O8443" s="28"/>
      <c r="U8443" s="28"/>
    </row>
    <row r="8444">
      <c r="N8444" s="28"/>
      <c r="O8444" s="28"/>
      <c r="U8444" s="28"/>
    </row>
    <row r="8445">
      <c r="N8445" s="28"/>
      <c r="O8445" s="28"/>
      <c r="U8445" s="28"/>
    </row>
    <row r="8446">
      <c r="N8446" s="28"/>
      <c r="O8446" s="28"/>
      <c r="U8446" s="28"/>
    </row>
    <row r="8447">
      <c r="N8447" s="28"/>
      <c r="O8447" s="28"/>
      <c r="U8447" s="28"/>
    </row>
    <row r="8448">
      <c r="N8448" s="28"/>
      <c r="O8448" s="28"/>
      <c r="U8448" s="28"/>
    </row>
    <row r="8449">
      <c r="N8449" s="28"/>
      <c r="O8449" s="28"/>
      <c r="U8449" s="28"/>
    </row>
    <row r="8450">
      <c r="N8450" s="28"/>
      <c r="O8450" s="28"/>
      <c r="U8450" s="28"/>
    </row>
    <row r="8451">
      <c r="N8451" s="28"/>
      <c r="O8451" s="28"/>
      <c r="U8451" s="28"/>
    </row>
    <row r="8452">
      <c r="N8452" s="28"/>
      <c r="O8452" s="28"/>
      <c r="U8452" s="28"/>
    </row>
    <row r="8453">
      <c r="N8453" s="28"/>
      <c r="O8453" s="28"/>
      <c r="U8453" s="28"/>
    </row>
    <row r="8454">
      <c r="N8454" s="28"/>
      <c r="O8454" s="28"/>
      <c r="U8454" s="28"/>
    </row>
    <row r="8455">
      <c r="N8455" s="28"/>
      <c r="O8455" s="28"/>
      <c r="U8455" s="28"/>
    </row>
    <row r="8456">
      <c r="N8456" s="28"/>
      <c r="O8456" s="28"/>
      <c r="U8456" s="28"/>
    </row>
    <row r="8457">
      <c r="N8457" s="28"/>
      <c r="O8457" s="28"/>
      <c r="U8457" s="28"/>
    </row>
    <row r="8458">
      <c r="N8458" s="28"/>
      <c r="O8458" s="28"/>
      <c r="U8458" s="28"/>
    </row>
    <row r="8459">
      <c r="N8459" s="28"/>
      <c r="O8459" s="28"/>
      <c r="U8459" s="28"/>
    </row>
    <row r="8460">
      <c r="N8460" s="28"/>
      <c r="O8460" s="28"/>
      <c r="U8460" s="28"/>
    </row>
    <row r="8461">
      <c r="N8461" s="28"/>
      <c r="O8461" s="28"/>
      <c r="U8461" s="28"/>
    </row>
    <row r="8462">
      <c r="N8462" s="28"/>
      <c r="O8462" s="28"/>
      <c r="U8462" s="28"/>
    </row>
    <row r="8463">
      <c r="N8463" s="28"/>
      <c r="O8463" s="28"/>
      <c r="U8463" s="28"/>
    </row>
    <row r="8464">
      <c r="N8464" s="28"/>
      <c r="O8464" s="28"/>
      <c r="U8464" s="28"/>
    </row>
    <row r="8465">
      <c r="N8465" s="28"/>
      <c r="O8465" s="28"/>
      <c r="U8465" s="28"/>
    </row>
    <row r="8466">
      <c r="N8466" s="28"/>
      <c r="O8466" s="28"/>
      <c r="U8466" s="28"/>
    </row>
    <row r="8467">
      <c r="N8467" s="28"/>
      <c r="O8467" s="28"/>
      <c r="U8467" s="28"/>
    </row>
    <row r="8468">
      <c r="N8468" s="28"/>
      <c r="O8468" s="28"/>
      <c r="U8468" s="28"/>
    </row>
    <row r="8469">
      <c r="N8469" s="28"/>
      <c r="O8469" s="28"/>
      <c r="U8469" s="28"/>
    </row>
    <row r="8470">
      <c r="N8470" s="28"/>
      <c r="O8470" s="28"/>
      <c r="U8470" s="28"/>
    </row>
    <row r="8471">
      <c r="N8471" s="28"/>
      <c r="O8471" s="28"/>
      <c r="U8471" s="28"/>
    </row>
    <row r="8472">
      <c r="N8472" s="28"/>
      <c r="O8472" s="28"/>
      <c r="U8472" s="28"/>
    </row>
    <row r="8473">
      <c r="N8473" s="28"/>
      <c r="O8473" s="28"/>
      <c r="U8473" s="28"/>
    </row>
    <row r="8474">
      <c r="N8474" s="28"/>
      <c r="O8474" s="28"/>
      <c r="U8474" s="28"/>
    </row>
    <row r="8475">
      <c r="N8475" s="28"/>
      <c r="O8475" s="28"/>
      <c r="U8475" s="28"/>
    </row>
    <row r="8476">
      <c r="N8476" s="28"/>
      <c r="O8476" s="28"/>
      <c r="U8476" s="28"/>
    </row>
    <row r="8477">
      <c r="N8477" s="28"/>
      <c r="O8477" s="28"/>
      <c r="U8477" s="28"/>
    </row>
    <row r="8478">
      <c r="N8478" s="28"/>
      <c r="O8478" s="28"/>
      <c r="U8478" s="28"/>
    </row>
    <row r="8479">
      <c r="N8479" s="28"/>
      <c r="O8479" s="28"/>
      <c r="U8479" s="28"/>
    </row>
    <row r="8480">
      <c r="N8480" s="28"/>
      <c r="O8480" s="28"/>
      <c r="U8480" s="28"/>
    </row>
    <row r="8481">
      <c r="N8481" s="28"/>
      <c r="O8481" s="28"/>
      <c r="U8481" s="28"/>
    </row>
    <row r="8482">
      <c r="N8482" s="28"/>
      <c r="O8482" s="28"/>
      <c r="U8482" s="28"/>
    </row>
    <row r="8483">
      <c r="N8483" s="28"/>
      <c r="O8483" s="28"/>
      <c r="U8483" s="28"/>
    </row>
    <row r="8484">
      <c r="N8484" s="28"/>
      <c r="O8484" s="28"/>
      <c r="U8484" s="28"/>
    </row>
    <row r="8485">
      <c r="N8485" s="28"/>
      <c r="O8485" s="28"/>
      <c r="U8485" s="28"/>
    </row>
    <row r="8486">
      <c r="N8486" s="28"/>
      <c r="O8486" s="28"/>
      <c r="U8486" s="28"/>
    </row>
    <row r="8487">
      <c r="N8487" s="28"/>
      <c r="O8487" s="28"/>
      <c r="U8487" s="28"/>
    </row>
    <row r="8488">
      <c r="N8488" s="28"/>
      <c r="O8488" s="28"/>
      <c r="U8488" s="28"/>
    </row>
    <row r="8489">
      <c r="N8489" s="28"/>
      <c r="O8489" s="28"/>
      <c r="U8489" s="28"/>
    </row>
    <row r="8490">
      <c r="N8490" s="28"/>
      <c r="O8490" s="28"/>
      <c r="U8490" s="28"/>
    </row>
    <row r="8491">
      <c r="N8491" s="28"/>
      <c r="O8491" s="28"/>
      <c r="U8491" s="28"/>
    </row>
    <row r="8492">
      <c r="N8492" s="28"/>
      <c r="O8492" s="28"/>
      <c r="U8492" s="28"/>
    </row>
    <row r="8493">
      <c r="N8493" s="28"/>
      <c r="O8493" s="28"/>
      <c r="U8493" s="28"/>
    </row>
    <row r="8494">
      <c r="N8494" s="28"/>
      <c r="O8494" s="28"/>
      <c r="U8494" s="28"/>
    </row>
    <row r="8495">
      <c r="N8495" s="28"/>
      <c r="O8495" s="28"/>
      <c r="U8495" s="28"/>
    </row>
    <row r="8496">
      <c r="N8496" s="28"/>
      <c r="O8496" s="28"/>
      <c r="U8496" s="28"/>
    </row>
    <row r="8497">
      <c r="N8497" s="28"/>
      <c r="O8497" s="28"/>
      <c r="U8497" s="28"/>
    </row>
    <row r="8498">
      <c r="N8498" s="28"/>
      <c r="O8498" s="28"/>
      <c r="U8498" s="28"/>
    </row>
    <row r="8499">
      <c r="N8499" s="28"/>
      <c r="O8499" s="28"/>
      <c r="U8499" s="28"/>
    </row>
    <row r="8500">
      <c r="N8500" s="28"/>
      <c r="O8500" s="28"/>
      <c r="U8500" s="28"/>
    </row>
    <row r="8501">
      <c r="N8501" s="28"/>
      <c r="O8501" s="28"/>
      <c r="U8501" s="28"/>
    </row>
    <row r="8502">
      <c r="N8502" s="28"/>
      <c r="O8502" s="28"/>
      <c r="U8502" s="28"/>
    </row>
    <row r="8503">
      <c r="N8503" s="28"/>
      <c r="O8503" s="28"/>
      <c r="U8503" s="28"/>
    </row>
    <row r="8504">
      <c r="N8504" s="28"/>
      <c r="O8504" s="28"/>
      <c r="U8504" s="28"/>
    </row>
    <row r="8505">
      <c r="N8505" s="28"/>
      <c r="O8505" s="28"/>
      <c r="U8505" s="28"/>
    </row>
    <row r="8506">
      <c r="N8506" s="28"/>
      <c r="O8506" s="28"/>
      <c r="U8506" s="28"/>
    </row>
    <row r="8507">
      <c r="N8507" s="28"/>
      <c r="O8507" s="28"/>
      <c r="U8507" s="28"/>
    </row>
    <row r="8508">
      <c r="N8508" s="28"/>
      <c r="O8508" s="28"/>
      <c r="U8508" s="28"/>
    </row>
    <row r="8509">
      <c r="N8509" s="28"/>
      <c r="O8509" s="28"/>
      <c r="U8509" s="28"/>
    </row>
    <row r="8510">
      <c r="N8510" s="28"/>
      <c r="O8510" s="28"/>
      <c r="U8510" s="28"/>
    </row>
    <row r="8511">
      <c r="N8511" s="28"/>
      <c r="O8511" s="28"/>
      <c r="U8511" s="28"/>
    </row>
    <row r="8512">
      <c r="N8512" s="28"/>
      <c r="O8512" s="28"/>
      <c r="U8512" s="28"/>
    </row>
    <row r="8513">
      <c r="N8513" s="28"/>
      <c r="O8513" s="28"/>
      <c r="U8513" s="28"/>
    </row>
    <row r="8514">
      <c r="N8514" s="28"/>
      <c r="O8514" s="28"/>
      <c r="U8514" s="28"/>
    </row>
    <row r="8515">
      <c r="N8515" s="28"/>
      <c r="O8515" s="28"/>
      <c r="U8515" s="28"/>
    </row>
    <row r="8516">
      <c r="N8516" s="28"/>
      <c r="O8516" s="28"/>
      <c r="U8516" s="28"/>
    </row>
    <row r="8517">
      <c r="N8517" s="28"/>
      <c r="O8517" s="28"/>
      <c r="U8517" s="28"/>
    </row>
    <row r="8518">
      <c r="N8518" s="28"/>
      <c r="O8518" s="28"/>
      <c r="U8518" s="28"/>
    </row>
    <row r="8519">
      <c r="N8519" s="28"/>
      <c r="O8519" s="28"/>
      <c r="U8519" s="28"/>
    </row>
    <row r="8520">
      <c r="N8520" s="28"/>
      <c r="O8520" s="28"/>
      <c r="U8520" s="28"/>
    </row>
    <row r="8521">
      <c r="N8521" s="28"/>
      <c r="O8521" s="28"/>
      <c r="U8521" s="28"/>
    </row>
    <row r="8522">
      <c r="N8522" s="28"/>
      <c r="O8522" s="28"/>
      <c r="U8522" s="28"/>
    </row>
    <row r="8523">
      <c r="N8523" s="28"/>
      <c r="O8523" s="28"/>
      <c r="U8523" s="28"/>
    </row>
    <row r="8524">
      <c r="N8524" s="28"/>
      <c r="O8524" s="28"/>
      <c r="U8524" s="28"/>
    </row>
    <row r="8525">
      <c r="N8525" s="28"/>
      <c r="O8525" s="28"/>
      <c r="U8525" s="28"/>
    </row>
    <row r="8526">
      <c r="N8526" s="28"/>
      <c r="O8526" s="28"/>
      <c r="U8526" s="28"/>
    </row>
    <row r="8527">
      <c r="N8527" s="28"/>
      <c r="O8527" s="28"/>
      <c r="U8527" s="28"/>
    </row>
    <row r="8528">
      <c r="N8528" s="28"/>
      <c r="O8528" s="28"/>
      <c r="U8528" s="28"/>
    </row>
    <row r="8529">
      <c r="N8529" s="28"/>
      <c r="O8529" s="28"/>
      <c r="U8529" s="28"/>
    </row>
    <row r="8530">
      <c r="N8530" s="28"/>
      <c r="O8530" s="28"/>
      <c r="U8530" s="28"/>
    </row>
    <row r="8531">
      <c r="N8531" s="28"/>
      <c r="O8531" s="28"/>
      <c r="U8531" s="28"/>
    </row>
    <row r="8532">
      <c r="N8532" s="28"/>
      <c r="O8532" s="28"/>
      <c r="U8532" s="28"/>
    </row>
    <row r="8533">
      <c r="N8533" s="28"/>
      <c r="O8533" s="28"/>
      <c r="U8533" s="28"/>
    </row>
    <row r="8534">
      <c r="N8534" s="28"/>
      <c r="O8534" s="28"/>
      <c r="U8534" s="28"/>
    </row>
    <row r="8535">
      <c r="N8535" s="28"/>
      <c r="O8535" s="28"/>
      <c r="U8535" s="28"/>
    </row>
    <row r="8536">
      <c r="N8536" s="28"/>
      <c r="O8536" s="28"/>
      <c r="U8536" s="28"/>
    </row>
    <row r="8537">
      <c r="N8537" s="28"/>
      <c r="O8537" s="28"/>
      <c r="U8537" s="28"/>
    </row>
    <row r="8538">
      <c r="N8538" s="28"/>
      <c r="O8538" s="28"/>
      <c r="U8538" s="28"/>
    </row>
    <row r="8539">
      <c r="N8539" s="28"/>
      <c r="O8539" s="28"/>
      <c r="U8539" s="28"/>
    </row>
    <row r="8540">
      <c r="N8540" s="28"/>
      <c r="O8540" s="28"/>
      <c r="U8540" s="28"/>
    </row>
    <row r="8541">
      <c r="N8541" s="28"/>
      <c r="O8541" s="28"/>
      <c r="U8541" s="28"/>
    </row>
    <row r="8542">
      <c r="N8542" s="28"/>
      <c r="O8542" s="28"/>
      <c r="U8542" s="28"/>
    </row>
    <row r="8543">
      <c r="N8543" s="28"/>
      <c r="O8543" s="28"/>
      <c r="U8543" s="28"/>
    </row>
    <row r="8544">
      <c r="N8544" s="28"/>
      <c r="O8544" s="28"/>
      <c r="U8544" s="28"/>
    </row>
    <row r="8545">
      <c r="N8545" s="28"/>
      <c r="O8545" s="28"/>
      <c r="U8545" s="28"/>
    </row>
    <row r="8546">
      <c r="N8546" s="28"/>
      <c r="O8546" s="28"/>
      <c r="U8546" s="28"/>
    </row>
    <row r="8547">
      <c r="N8547" s="28"/>
      <c r="O8547" s="28"/>
      <c r="U8547" s="28"/>
    </row>
    <row r="8548">
      <c r="N8548" s="28"/>
      <c r="O8548" s="28"/>
      <c r="U8548" s="28"/>
    </row>
    <row r="8549">
      <c r="N8549" s="28"/>
      <c r="O8549" s="28"/>
      <c r="U8549" s="28"/>
    </row>
    <row r="8550">
      <c r="N8550" s="28"/>
      <c r="O8550" s="28"/>
      <c r="U8550" s="28"/>
    </row>
    <row r="8551">
      <c r="N8551" s="28"/>
      <c r="O8551" s="28"/>
      <c r="U8551" s="28"/>
    </row>
    <row r="8552">
      <c r="N8552" s="28"/>
      <c r="O8552" s="28"/>
      <c r="U8552" s="28"/>
    </row>
    <row r="8553">
      <c r="N8553" s="28"/>
      <c r="O8553" s="28"/>
      <c r="U8553" s="28"/>
    </row>
    <row r="8554">
      <c r="N8554" s="28"/>
      <c r="O8554" s="28"/>
      <c r="U8554" s="28"/>
    </row>
    <row r="8555">
      <c r="N8555" s="28"/>
      <c r="O8555" s="28"/>
      <c r="U8555" s="28"/>
    </row>
    <row r="8556">
      <c r="N8556" s="28"/>
      <c r="O8556" s="28"/>
      <c r="U8556" s="28"/>
    </row>
    <row r="8557">
      <c r="N8557" s="28"/>
      <c r="O8557" s="28"/>
      <c r="U8557" s="28"/>
    </row>
    <row r="8558">
      <c r="N8558" s="28"/>
      <c r="O8558" s="28"/>
      <c r="U8558" s="28"/>
    </row>
    <row r="8559">
      <c r="N8559" s="28"/>
      <c r="O8559" s="28"/>
      <c r="U8559" s="28"/>
    </row>
    <row r="8560">
      <c r="N8560" s="28"/>
      <c r="O8560" s="28"/>
      <c r="U8560" s="28"/>
    </row>
    <row r="8561">
      <c r="N8561" s="28"/>
      <c r="O8561" s="28"/>
      <c r="U8561" s="28"/>
    </row>
    <row r="8562">
      <c r="N8562" s="28"/>
      <c r="O8562" s="28"/>
      <c r="U8562" s="28"/>
    </row>
    <row r="8563">
      <c r="N8563" s="28"/>
      <c r="O8563" s="28"/>
      <c r="U8563" s="28"/>
    </row>
    <row r="8564">
      <c r="N8564" s="28"/>
      <c r="O8564" s="28"/>
      <c r="U8564" s="28"/>
    </row>
    <row r="8565">
      <c r="N8565" s="28"/>
      <c r="O8565" s="28"/>
      <c r="U8565" s="28"/>
    </row>
    <row r="8566">
      <c r="N8566" s="28"/>
      <c r="O8566" s="28"/>
      <c r="U8566" s="28"/>
    </row>
    <row r="8567">
      <c r="N8567" s="28"/>
      <c r="O8567" s="28"/>
      <c r="U8567" s="28"/>
    </row>
    <row r="8568">
      <c r="N8568" s="28"/>
      <c r="O8568" s="28"/>
      <c r="U8568" s="28"/>
    </row>
    <row r="8569">
      <c r="N8569" s="28"/>
      <c r="O8569" s="28"/>
      <c r="U8569" s="28"/>
    </row>
    <row r="8570">
      <c r="N8570" s="28"/>
      <c r="O8570" s="28"/>
      <c r="U8570" s="28"/>
    </row>
    <row r="8571">
      <c r="N8571" s="28"/>
      <c r="O8571" s="28"/>
      <c r="U8571" s="28"/>
    </row>
    <row r="8572">
      <c r="N8572" s="28"/>
      <c r="O8572" s="28"/>
      <c r="U8572" s="28"/>
    </row>
    <row r="8573">
      <c r="N8573" s="28"/>
      <c r="O8573" s="28"/>
      <c r="U8573" s="28"/>
    </row>
    <row r="8574">
      <c r="N8574" s="28"/>
      <c r="O8574" s="28"/>
      <c r="U8574" s="28"/>
    </row>
    <row r="8575">
      <c r="N8575" s="28"/>
      <c r="O8575" s="28"/>
      <c r="U8575" s="28"/>
    </row>
    <row r="8576">
      <c r="N8576" s="28"/>
      <c r="O8576" s="28"/>
      <c r="U8576" s="28"/>
    </row>
    <row r="8577">
      <c r="N8577" s="28"/>
      <c r="O8577" s="28"/>
      <c r="U8577" s="28"/>
    </row>
    <row r="8578">
      <c r="N8578" s="28"/>
      <c r="O8578" s="28"/>
      <c r="U8578" s="28"/>
    </row>
    <row r="8579">
      <c r="N8579" s="28"/>
      <c r="O8579" s="28"/>
      <c r="U8579" s="28"/>
    </row>
    <row r="8580">
      <c r="N8580" s="28"/>
      <c r="O8580" s="28"/>
      <c r="U8580" s="28"/>
    </row>
    <row r="8581">
      <c r="N8581" s="28"/>
      <c r="O8581" s="28"/>
      <c r="U8581" s="28"/>
    </row>
    <row r="8582">
      <c r="N8582" s="28"/>
      <c r="O8582" s="28"/>
      <c r="U8582" s="28"/>
    </row>
    <row r="8583">
      <c r="N8583" s="28"/>
      <c r="O8583" s="28"/>
      <c r="U8583" s="28"/>
    </row>
    <row r="8584">
      <c r="N8584" s="28"/>
      <c r="O8584" s="28"/>
      <c r="U8584" s="28"/>
    </row>
    <row r="8585">
      <c r="N8585" s="28"/>
      <c r="O8585" s="28"/>
      <c r="U8585" s="28"/>
    </row>
    <row r="8586">
      <c r="N8586" s="28"/>
      <c r="O8586" s="28"/>
      <c r="U8586" s="28"/>
    </row>
    <row r="8587">
      <c r="N8587" s="28"/>
      <c r="O8587" s="28"/>
      <c r="U8587" s="28"/>
    </row>
    <row r="8588">
      <c r="N8588" s="28"/>
      <c r="O8588" s="28"/>
      <c r="U8588" s="28"/>
    </row>
    <row r="8589">
      <c r="N8589" s="28"/>
      <c r="O8589" s="28"/>
      <c r="U8589" s="28"/>
    </row>
    <row r="8590">
      <c r="N8590" s="28"/>
      <c r="O8590" s="28"/>
      <c r="U8590" s="28"/>
    </row>
    <row r="8591">
      <c r="N8591" s="28"/>
      <c r="O8591" s="28"/>
      <c r="U8591" s="28"/>
    </row>
    <row r="8592">
      <c r="N8592" s="28"/>
      <c r="O8592" s="28"/>
      <c r="U8592" s="28"/>
    </row>
    <row r="8593">
      <c r="N8593" s="28"/>
      <c r="O8593" s="28"/>
      <c r="U8593" s="28"/>
    </row>
    <row r="8594">
      <c r="N8594" s="28"/>
      <c r="O8594" s="28"/>
      <c r="U8594" s="28"/>
    </row>
    <row r="8595">
      <c r="N8595" s="28"/>
      <c r="O8595" s="28"/>
      <c r="U8595" s="28"/>
    </row>
    <row r="8596">
      <c r="N8596" s="28"/>
      <c r="O8596" s="28"/>
      <c r="U8596" s="28"/>
    </row>
    <row r="8597">
      <c r="N8597" s="28"/>
      <c r="O8597" s="28"/>
      <c r="U8597" s="28"/>
    </row>
    <row r="8598">
      <c r="N8598" s="28"/>
      <c r="O8598" s="28"/>
      <c r="U8598" s="28"/>
    </row>
    <row r="8599">
      <c r="N8599" s="28"/>
      <c r="O8599" s="28"/>
      <c r="U8599" s="28"/>
    </row>
    <row r="8600">
      <c r="N8600" s="28"/>
      <c r="O8600" s="28"/>
      <c r="U8600" s="28"/>
    </row>
    <row r="8601">
      <c r="N8601" s="28"/>
      <c r="O8601" s="28"/>
      <c r="U8601" s="28"/>
    </row>
    <row r="8602">
      <c r="N8602" s="28"/>
      <c r="O8602" s="28"/>
      <c r="U8602" s="28"/>
    </row>
    <row r="8603">
      <c r="N8603" s="28"/>
      <c r="O8603" s="28"/>
      <c r="U8603" s="28"/>
    </row>
    <row r="8604">
      <c r="N8604" s="28"/>
      <c r="O8604" s="28"/>
      <c r="U8604" s="28"/>
    </row>
    <row r="8605">
      <c r="N8605" s="28"/>
      <c r="O8605" s="28"/>
      <c r="U8605" s="28"/>
    </row>
    <row r="8606">
      <c r="N8606" s="28"/>
      <c r="O8606" s="28"/>
      <c r="U8606" s="28"/>
    </row>
    <row r="8607">
      <c r="N8607" s="28"/>
      <c r="O8607" s="28"/>
      <c r="U8607" s="28"/>
    </row>
    <row r="8608">
      <c r="N8608" s="28"/>
      <c r="O8608" s="28"/>
      <c r="U8608" s="28"/>
    </row>
    <row r="8609">
      <c r="N8609" s="28"/>
      <c r="O8609" s="28"/>
      <c r="U8609" s="28"/>
    </row>
    <row r="8610">
      <c r="N8610" s="28"/>
      <c r="O8610" s="28"/>
      <c r="U8610" s="28"/>
    </row>
    <row r="8611">
      <c r="N8611" s="28"/>
      <c r="O8611" s="28"/>
      <c r="U8611" s="28"/>
    </row>
    <row r="8612">
      <c r="N8612" s="28"/>
      <c r="O8612" s="28"/>
      <c r="U8612" s="28"/>
    </row>
    <row r="8613">
      <c r="N8613" s="28"/>
      <c r="O8613" s="28"/>
      <c r="U8613" s="28"/>
    </row>
    <row r="8614">
      <c r="N8614" s="28"/>
      <c r="O8614" s="28"/>
      <c r="U8614" s="28"/>
    </row>
    <row r="8615">
      <c r="N8615" s="28"/>
      <c r="O8615" s="28"/>
      <c r="U8615" s="28"/>
    </row>
    <row r="8616">
      <c r="N8616" s="28"/>
      <c r="O8616" s="28"/>
      <c r="U8616" s="28"/>
    </row>
    <row r="8617">
      <c r="N8617" s="28"/>
      <c r="O8617" s="28"/>
      <c r="U8617" s="28"/>
    </row>
    <row r="8618">
      <c r="N8618" s="28"/>
      <c r="O8618" s="28"/>
      <c r="U8618" s="28"/>
    </row>
    <row r="8619">
      <c r="N8619" s="28"/>
      <c r="O8619" s="28"/>
      <c r="U8619" s="28"/>
    </row>
    <row r="8620">
      <c r="N8620" s="28"/>
      <c r="O8620" s="28"/>
      <c r="U8620" s="28"/>
    </row>
    <row r="8621">
      <c r="N8621" s="28"/>
      <c r="O8621" s="28"/>
      <c r="U8621" s="28"/>
    </row>
    <row r="8622">
      <c r="N8622" s="28"/>
      <c r="O8622" s="28"/>
      <c r="U8622" s="28"/>
    </row>
    <row r="8623">
      <c r="N8623" s="28"/>
      <c r="O8623" s="28"/>
      <c r="U8623" s="28"/>
    </row>
    <row r="8624">
      <c r="N8624" s="28"/>
      <c r="O8624" s="28"/>
      <c r="U8624" s="28"/>
    </row>
    <row r="8625">
      <c r="N8625" s="28"/>
      <c r="O8625" s="28"/>
      <c r="U8625" s="28"/>
    </row>
    <row r="8626">
      <c r="N8626" s="28"/>
      <c r="O8626" s="28"/>
      <c r="U8626" s="28"/>
    </row>
    <row r="8627">
      <c r="N8627" s="28"/>
      <c r="O8627" s="28"/>
      <c r="U8627" s="28"/>
    </row>
    <row r="8628">
      <c r="N8628" s="28"/>
      <c r="O8628" s="28"/>
      <c r="U8628" s="28"/>
    </row>
    <row r="8629">
      <c r="N8629" s="28"/>
      <c r="O8629" s="28"/>
      <c r="U8629" s="28"/>
    </row>
    <row r="8630">
      <c r="N8630" s="28"/>
      <c r="O8630" s="28"/>
      <c r="U8630" s="28"/>
    </row>
    <row r="8631">
      <c r="N8631" s="28"/>
      <c r="O8631" s="28"/>
      <c r="U8631" s="28"/>
    </row>
    <row r="8632">
      <c r="N8632" s="28"/>
      <c r="O8632" s="28"/>
      <c r="U8632" s="28"/>
    </row>
    <row r="8633">
      <c r="N8633" s="28"/>
      <c r="O8633" s="28"/>
      <c r="U8633" s="28"/>
    </row>
    <row r="8634">
      <c r="N8634" s="28"/>
      <c r="O8634" s="28"/>
      <c r="U8634" s="28"/>
    </row>
    <row r="8635">
      <c r="N8635" s="28"/>
      <c r="O8635" s="28"/>
      <c r="U8635" s="28"/>
    </row>
    <row r="8636">
      <c r="N8636" s="28"/>
      <c r="O8636" s="28"/>
      <c r="U8636" s="28"/>
    </row>
    <row r="8637">
      <c r="N8637" s="28"/>
      <c r="O8637" s="28"/>
      <c r="U8637" s="28"/>
    </row>
    <row r="8638">
      <c r="N8638" s="28"/>
      <c r="O8638" s="28"/>
      <c r="U8638" s="28"/>
    </row>
    <row r="8639">
      <c r="N8639" s="28"/>
      <c r="O8639" s="28"/>
      <c r="U8639" s="28"/>
    </row>
    <row r="8640">
      <c r="N8640" s="28"/>
      <c r="O8640" s="28"/>
      <c r="U8640" s="28"/>
    </row>
    <row r="8641">
      <c r="N8641" s="28"/>
      <c r="O8641" s="28"/>
      <c r="U8641" s="28"/>
    </row>
    <row r="8642">
      <c r="N8642" s="28"/>
      <c r="O8642" s="28"/>
      <c r="U8642" s="28"/>
    </row>
    <row r="8643">
      <c r="N8643" s="28"/>
      <c r="O8643" s="28"/>
      <c r="U8643" s="28"/>
    </row>
    <row r="8644">
      <c r="N8644" s="28"/>
      <c r="O8644" s="28"/>
      <c r="U8644" s="28"/>
    </row>
    <row r="8645">
      <c r="N8645" s="28"/>
      <c r="O8645" s="28"/>
      <c r="U8645" s="28"/>
    </row>
    <row r="8646">
      <c r="N8646" s="28"/>
      <c r="O8646" s="28"/>
      <c r="U8646" s="28"/>
    </row>
    <row r="8647">
      <c r="N8647" s="28"/>
      <c r="O8647" s="28"/>
      <c r="U8647" s="28"/>
    </row>
    <row r="8648">
      <c r="N8648" s="28"/>
      <c r="O8648" s="28"/>
      <c r="U8648" s="28"/>
    </row>
    <row r="8649">
      <c r="N8649" s="28"/>
      <c r="O8649" s="28"/>
      <c r="U8649" s="28"/>
    </row>
    <row r="8650">
      <c r="N8650" s="28"/>
      <c r="O8650" s="28"/>
      <c r="U8650" s="28"/>
    </row>
    <row r="8651">
      <c r="N8651" s="28"/>
      <c r="O8651" s="28"/>
      <c r="U8651" s="28"/>
    </row>
    <row r="8652">
      <c r="N8652" s="28"/>
      <c r="O8652" s="28"/>
      <c r="U8652" s="28"/>
    </row>
    <row r="8653">
      <c r="N8653" s="28"/>
      <c r="O8653" s="28"/>
      <c r="U8653" s="28"/>
    </row>
    <row r="8654">
      <c r="N8654" s="28"/>
      <c r="O8654" s="28"/>
      <c r="U8654" s="28"/>
    </row>
    <row r="8655">
      <c r="N8655" s="28"/>
      <c r="O8655" s="28"/>
      <c r="U8655" s="28"/>
    </row>
    <row r="8656">
      <c r="N8656" s="28"/>
      <c r="O8656" s="28"/>
      <c r="U8656" s="28"/>
    </row>
    <row r="8657">
      <c r="N8657" s="28"/>
      <c r="O8657" s="28"/>
      <c r="U8657" s="28"/>
    </row>
    <row r="8658">
      <c r="N8658" s="28"/>
      <c r="O8658" s="28"/>
      <c r="U8658" s="28"/>
    </row>
    <row r="8659">
      <c r="N8659" s="28"/>
      <c r="O8659" s="28"/>
      <c r="U8659" s="28"/>
    </row>
    <row r="8660">
      <c r="N8660" s="28"/>
      <c r="O8660" s="28"/>
      <c r="U8660" s="28"/>
    </row>
    <row r="8661">
      <c r="N8661" s="28"/>
      <c r="O8661" s="28"/>
      <c r="U8661" s="28"/>
    </row>
    <row r="8662">
      <c r="N8662" s="28"/>
      <c r="O8662" s="28"/>
      <c r="U8662" s="28"/>
    </row>
    <row r="8663">
      <c r="N8663" s="28"/>
      <c r="O8663" s="28"/>
      <c r="U8663" s="28"/>
    </row>
    <row r="8664">
      <c r="N8664" s="28"/>
      <c r="O8664" s="28"/>
      <c r="U8664" s="28"/>
    </row>
    <row r="8665">
      <c r="N8665" s="28"/>
      <c r="O8665" s="28"/>
      <c r="U8665" s="28"/>
    </row>
    <row r="8666">
      <c r="N8666" s="28"/>
      <c r="O8666" s="28"/>
      <c r="U8666" s="28"/>
    </row>
    <row r="8667">
      <c r="N8667" s="28"/>
      <c r="O8667" s="28"/>
      <c r="U8667" s="28"/>
    </row>
    <row r="8668">
      <c r="N8668" s="28"/>
      <c r="O8668" s="28"/>
      <c r="U8668" s="28"/>
    </row>
    <row r="8669">
      <c r="N8669" s="28"/>
      <c r="O8669" s="28"/>
      <c r="U8669" s="28"/>
    </row>
    <row r="8670">
      <c r="N8670" s="28"/>
      <c r="O8670" s="28"/>
      <c r="U8670" s="28"/>
    </row>
    <row r="8671">
      <c r="N8671" s="28"/>
      <c r="O8671" s="28"/>
      <c r="U8671" s="28"/>
    </row>
    <row r="8672">
      <c r="N8672" s="28"/>
      <c r="O8672" s="28"/>
      <c r="U8672" s="28"/>
    </row>
    <row r="8673">
      <c r="N8673" s="28"/>
      <c r="O8673" s="28"/>
      <c r="U8673" s="28"/>
    </row>
    <row r="8674">
      <c r="N8674" s="28"/>
      <c r="O8674" s="28"/>
      <c r="U8674" s="28"/>
    </row>
    <row r="8675">
      <c r="N8675" s="28"/>
      <c r="O8675" s="28"/>
      <c r="U8675" s="28"/>
    </row>
    <row r="8676">
      <c r="N8676" s="28"/>
      <c r="O8676" s="28"/>
      <c r="U8676" s="28"/>
    </row>
    <row r="8677">
      <c r="N8677" s="28"/>
      <c r="O8677" s="28"/>
      <c r="U8677" s="28"/>
    </row>
    <row r="8678">
      <c r="N8678" s="28"/>
      <c r="O8678" s="28"/>
      <c r="U8678" s="28"/>
    </row>
    <row r="8679">
      <c r="N8679" s="28"/>
      <c r="O8679" s="28"/>
      <c r="U8679" s="28"/>
    </row>
    <row r="8680">
      <c r="N8680" s="28"/>
      <c r="O8680" s="28"/>
      <c r="U8680" s="28"/>
    </row>
    <row r="8681">
      <c r="N8681" s="28"/>
      <c r="O8681" s="28"/>
      <c r="U8681" s="28"/>
    </row>
    <row r="8682">
      <c r="N8682" s="28"/>
      <c r="O8682" s="28"/>
      <c r="U8682" s="28"/>
    </row>
    <row r="8683">
      <c r="N8683" s="28"/>
      <c r="O8683" s="28"/>
      <c r="U8683" s="28"/>
    </row>
    <row r="8684">
      <c r="N8684" s="28"/>
      <c r="O8684" s="28"/>
      <c r="U8684" s="28"/>
    </row>
    <row r="8685">
      <c r="N8685" s="28"/>
      <c r="O8685" s="28"/>
      <c r="U8685" s="28"/>
    </row>
    <row r="8686">
      <c r="N8686" s="28"/>
      <c r="O8686" s="28"/>
      <c r="U8686" s="28"/>
    </row>
    <row r="8687">
      <c r="N8687" s="28"/>
      <c r="O8687" s="28"/>
      <c r="U8687" s="28"/>
    </row>
    <row r="8688">
      <c r="N8688" s="28"/>
      <c r="O8688" s="28"/>
      <c r="U8688" s="28"/>
    </row>
    <row r="8689">
      <c r="N8689" s="28"/>
      <c r="O8689" s="28"/>
      <c r="U8689" s="28"/>
    </row>
    <row r="8690">
      <c r="N8690" s="28"/>
      <c r="O8690" s="28"/>
      <c r="U8690" s="28"/>
    </row>
    <row r="8691">
      <c r="N8691" s="28"/>
      <c r="O8691" s="28"/>
      <c r="U8691" s="28"/>
    </row>
    <row r="8692">
      <c r="N8692" s="28"/>
      <c r="O8692" s="28"/>
      <c r="U8692" s="28"/>
    </row>
    <row r="8693">
      <c r="N8693" s="28"/>
      <c r="O8693" s="28"/>
      <c r="U8693" s="28"/>
    </row>
    <row r="8694">
      <c r="N8694" s="28"/>
      <c r="O8694" s="28"/>
      <c r="U8694" s="28"/>
    </row>
    <row r="8695">
      <c r="N8695" s="28"/>
      <c r="O8695" s="28"/>
      <c r="U8695" s="28"/>
    </row>
    <row r="8696">
      <c r="N8696" s="28"/>
      <c r="O8696" s="28"/>
      <c r="U8696" s="28"/>
    </row>
    <row r="8697">
      <c r="N8697" s="28"/>
      <c r="O8697" s="28"/>
      <c r="U8697" s="28"/>
    </row>
    <row r="8698">
      <c r="N8698" s="28"/>
      <c r="O8698" s="28"/>
      <c r="U8698" s="28"/>
    </row>
    <row r="8699">
      <c r="N8699" s="28"/>
      <c r="O8699" s="28"/>
      <c r="U8699" s="28"/>
    </row>
    <row r="8700">
      <c r="N8700" s="28"/>
      <c r="O8700" s="28"/>
      <c r="U8700" s="28"/>
    </row>
    <row r="8701">
      <c r="N8701" s="28"/>
      <c r="O8701" s="28"/>
      <c r="U8701" s="28"/>
    </row>
    <row r="8702">
      <c r="N8702" s="28"/>
      <c r="O8702" s="28"/>
      <c r="U8702" s="28"/>
    </row>
    <row r="8703">
      <c r="N8703" s="28"/>
      <c r="O8703" s="28"/>
      <c r="U8703" s="28"/>
    </row>
    <row r="8704">
      <c r="N8704" s="28"/>
      <c r="O8704" s="28"/>
      <c r="U8704" s="28"/>
    </row>
    <row r="8705">
      <c r="N8705" s="28"/>
      <c r="O8705" s="28"/>
      <c r="U8705" s="28"/>
    </row>
    <row r="8706">
      <c r="N8706" s="28"/>
      <c r="O8706" s="28"/>
      <c r="U8706" s="28"/>
    </row>
    <row r="8707">
      <c r="N8707" s="28"/>
      <c r="O8707" s="28"/>
      <c r="U8707" s="28"/>
    </row>
    <row r="8708">
      <c r="N8708" s="28"/>
      <c r="O8708" s="28"/>
      <c r="U8708" s="28"/>
    </row>
    <row r="8709">
      <c r="N8709" s="28"/>
      <c r="O8709" s="28"/>
      <c r="U8709" s="28"/>
    </row>
    <row r="8710">
      <c r="N8710" s="28"/>
      <c r="O8710" s="28"/>
      <c r="U8710" s="28"/>
    </row>
    <row r="8711">
      <c r="N8711" s="28"/>
      <c r="O8711" s="28"/>
      <c r="U8711" s="28"/>
    </row>
    <row r="8712">
      <c r="N8712" s="28"/>
      <c r="O8712" s="28"/>
      <c r="U8712" s="28"/>
    </row>
    <row r="8713">
      <c r="N8713" s="28"/>
      <c r="O8713" s="28"/>
      <c r="U8713" s="28"/>
    </row>
    <row r="8714">
      <c r="N8714" s="28"/>
      <c r="O8714" s="28"/>
      <c r="U8714" s="28"/>
    </row>
    <row r="8715">
      <c r="N8715" s="28"/>
      <c r="O8715" s="28"/>
      <c r="U8715" s="28"/>
    </row>
    <row r="8716">
      <c r="N8716" s="28"/>
      <c r="O8716" s="28"/>
      <c r="U8716" s="28"/>
    </row>
    <row r="8717">
      <c r="N8717" s="28"/>
      <c r="O8717" s="28"/>
      <c r="U8717" s="28"/>
    </row>
    <row r="8718">
      <c r="N8718" s="28"/>
      <c r="O8718" s="28"/>
      <c r="U8718" s="28"/>
    </row>
    <row r="8719">
      <c r="N8719" s="28"/>
      <c r="O8719" s="28"/>
      <c r="U8719" s="28"/>
    </row>
    <row r="8720">
      <c r="N8720" s="28"/>
      <c r="O8720" s="28"/>
      <c r="U8720" s="28"/>
    </row>
    <row r="8721">
      <c r="N8721" s="28"/>
      <c r="O8721" s="28"/>
      <c r="U8721" s="28"/>
    </row>
    <row r="8722">
      <c r="N8722" s="28"/>
      <c r="O8722" s="28"/>
      <c r="U8722" s="28"/>
    </row>
    <row r="8723">
      <c r="N8723" s="28"/>
      <c r="O8723" s="28"/>
      <c r="U8723" s="28"/>
    </row>
    <row r="8724">
      <c r="N8724" s="28"/>
      <c r="O8724" s="28"/>
      <c r="U8724" s="28"/>
    </row>
    <row r="8725">
      <c r="N8725" s="28"/>
      <c r="O8725" s="28"/>
      <c r="U8725" s="28"/>
    </row>
    <row r="8726">
      <c r="N8726" s="28"/>
      <c r="O8726" s="28"/>
      <c r="U8726" s="28"/>
    </row>
    <row r="8727">
      <c r="N8727" s="28"/>
      <c r="O8727" s="28"/>
      <c r="U8727" s="28"/>
    </row>
    <row r="8728">
      <c r="N8728" s="28"/>
      <c r="O8728" s="28"/>
      <c r="U8728" s="28"/>
    </row>
    <row r="8729">
      <c r="N8729" s="28"/>
      <c r="O8729" s="28"/>
      <c r="U8729" s="28"/>
    </row>
    <row r="8730">
      <c r="N8730" s="28"/>
      <c r="O8730" s="28"/>
      <c r="U8730" s="28"/>
    </row>
    <row r="8731">
      <c r="N8731" s="28"/>
      <c r="O8731" s="28"/>
      <c r="U8731" s="28"/>
    </row>
    <row r="8732">
      <c r="N8732" s="28"/>
      <c r="O8732" s="28"/>
      <c r="U8732" s="28"/>
    </row>
    <row r="8733">
      <c r="N8733" s="28"/>
      <c r="O8733" s="28"/>
      <c r="U8733" s="28"/>
    </row>
    <row r="8734">
      <c r="N8734" s="28"/>
      <c r="O8734" s="28"/>
      <c r="U8734" s="28"/>
    </row>
    <row r="8735">
      <c r="N8735" s="28"/>
      <c r="O8735" s="28"/>
      <c r="U8735" s="28"/>
    </row>
    <row r="8736">
      <c r="N8736" s="28"/>
      <c r="O8736" s="28"/>
      <c r="U8736" s="28"/>
    </row>
    <row r="8737">
      <c r="N8737" s="28"/>
      <c r="O8737" s="28"/>
      <c r="U8737" s="28"/>
    </row>
    <row r="8738">
      <c r="N8738" s="28"/>
      <c r="O8738" s="28"/>
      <c r="U8738" s="28"/>
    </row>
    <row r="8739">
      <c r="N8739" s="28"/>
      <c r="O8739" s="28"/>
      <c r="U8739" s="28"/>
    </row>
    <row r="8740">
      <c r="N8740" s="28"/>
      <c r="O8740" s="28"/>
      <c r="U8740" s="28"/>
    </row>
    <row r="8741">
      <c r="N8741" s="28"/>
      <c r="O8741" s="28"/>
      <c r="U8741" s="28"/>
    </row>
    <row r="8742">
      <c r="N8742" s="28"/>
      <c r="O8742" s="28"/>
      <c r="U8742" s="28"/>
    </row>
    <row r="8743">
      <c r="N8743" s="28"/>
      <c r="O8743" s="28"/>
      <c r="U8743" s="28"/>
    </row>
    <row r="8744">
      <c r="N8744" s="28"/>
      <c r="O8744" s="28"/>
      <c r="U8744" s="28"/>
    </row>
    <row r="8745">
      <c r="N8745" s="28"/>
      <c r="O8745" s="28"/>
      <c r="U8745" s="28"/>
    </row>
    <row r="8746">
      <c r="N8746" s="28"/>
      <c r="O8746" s="28"/>
      <c r="U8746" s="28"/>
    </row>
    <row r="8747">
      <c r="N8747" s="28"/>
      <c r="O8747" s="28"/>
      <c r="U8747" s="28"/>
    </row>
    <row r="8748">
      <c r="N8748" s="28"/>
      <c r="O8748" s="28"/>
      <c r="U8748" s="28"/>
    </row>
    <row r="8749">
      <c r="N8749" s="28"/>
      <c r="O8749" s="28"/>
      <c r="U8749" s="28"/>
    </row>
    <row r="8750">
      <c r="N8750" s="28"/>
      <c r="O8750" s="28"/>
      <c r="U8750" s="28"/>
    </row>
    <row r="8751">
      <c r="N8751" s="28"/>
      <c r="O8751" s="28"/>
      <c r="U8751" s="28"/>
    </row>
    <row r="8752">
      <c r="N8752" s="28"/>
      <c r="O8752" s="28"/>
      <c r="U8752" s="28"/>
    </row>
    <row r="8753">
      <c r="N8753" s="28"/>
      <c r="O8753" s="28"/>
      <c r="U8753" s="28"/>
    </row>
    <row r="8754">
      <c r="N8754" s="28"/>
      <c r="O8754" s="28"/>
      <c r="U8754" s="28"/>
    </row>
    <row r="8755">
      <c r="N8755" s="28"/>
      <c r="O8755" s="28"/>
      <c r="U8755" s="28"/>
    </row>
    <row r="8756">
      <c r="N8756" s="28"/>
      <c r="O8756" s="28"/>
      <c r="U8756" s="28"/>
    </row>
    <row r="8757">
      <c r="N8757" s="28"/>
      <c r="O8757" s="28"/>
      <c r="U8757" s="28"/>
    </row>
    <row r="8758">
      <c r="N8758" s="28"/>
      <c r="O8758" s="28"/>
      <c r="U8758" s="28"/>
    </row>
    <row r="8759">
      <c r="N8759" s="28"/>
      <c r="O8759" s="28"/>
      <c r="U8759" s="28"/>
    </row>
    <row r="8760">
      <c r="N8760" s="28"/>
      <c r="O8760" s="28"/>
      <c r="U8760" s="28"/>
    </row>
    <row r="8761">
      <c r="N8761" s="28"/>
      <c r="O8761" s="28"/>
      <c r="U8761" s="28"/>
    </row>
    <row r="8762">
      <c r="N8762" s="28"/>
      <c r="O8762" s="28"/>
      <c r="U8762" s="28"/>
    </row>
    <row r="8763">
      <c r="N8763" s="28"/>
      <c r="O8763" s="28"/>
      <c r="U8763" s="28"/>
    </row>
    <row r="8764">
      <c r="N8764" s="28"/>
      <c r="O8764" s="28"/>
      <c r="U8764" s="28"/>
    </row>
    <row r="8765">
      <c r="N8765" s="28"/>
      <c r="O8765" s="28"/>
      <c r="U8765" s="28"/>
    </row>
    <row r="8766">
      <c r="N8766" s="28"/>
      <c r="O8766" s="28"/>
      <c r="U8766" s="28"/>
    </row>
    <row r="8767">
      <c r="N8767" s="28"/>
      <c r="O8767" s="28"/>
      <c r="U8767" s="28"/>
    </row>
    <row r="8768">
      <c r="N8768" s="28"/>
      <c r="O8768" s="28"/>
      <c r="U8768" s="28"/>
    </row>
    <row r="8769">
      <c r="N8769" s="28"/>
      <c r="O8769" s="28"/>
      <c r="U8769" s="28"/>
    </row>
    <row r="8770">
      <c r="N8770" s="28"/>
      <c r="O8770" s="28"/>
      <c r="U8770" s="28"/>
    </row>
    <row r="8771">
      <c r="N8771" s="28"/>
      <c r="O8771" s="28"/>
      <c r="U8771" s="28"/>
    </row>
    <row r="8772">
      <c r="N8772" s="28"/>
      <c r="O8772" s="28"/>
      <c r="U8772" s="28"/>
    </row>
    <row r="8773">
      <c r="N8773" s="28"/>
      <c r="O8773" s="28"/>
      <c r="U8773" s="28"/>
    </row>
    <row r="8774">
      <c r="N8774" s="28"/>
      <c r="O8774" s="28"/>
      <c r="U8774" s="28"/>
    </row>
    <row r="8775">
      <c r="N8775" s="28"/>
      <c r="O8775" s="28"/>
      <c r="U8775" s="28"/>
    </row>
    <row r="8776">
      <c r="N8776" s="28"/>
      <c r="O8776" s="28"/>
      <c r="U8776" s="28"/>
    </row>
    <row r="8777">
      <c r="N8777" s="28"/>
      <c r="O8777" s="28"/>
      <c r="U8777" s="28"/>
    </row>
    <row r="8778">
      <c r="N8778" s="28"/>
      <c r="O8778" s="28"/>
      <c r="U8778" s="28"/>
    </row>
    <row r="8779">
      <c r="N8779" s="28"/>
      <c r="O8779" s="28"/>
      <c r="U8779" s="28"/>
    </row>
    <row r="8780">
      <c r="N8780" s="28"/>
      <c r="O8780" s="28"/>
      <c r="U8780" s="28"/>
    </row>
    <row r="8781">
      <c r="N8781" s="28"/>
      <c r="O8781" s="28"/>
      <c r="U8781" s="28"/>
    </row>
    <row r="8782">
      <c r="N8782" s="28"/>
      <c r="O8782" s="28"/>
      <c r="U8782" s="28"/>
    </row>
    <row r="8783">
      <c r="N8783" s="28"/>
      <c r="O8783" s="28"/>
      <c r="U8783" s="28"/>
    </row>
    <row r="8784">
      <c r="N8784" s="28"/>
      <c r="O8784" s="28"/>
      <c r="U8784" s="28"/>
    </row>
    <row r="8785">
      <c r="N8785" s="28"/>
      <c r="O8785" s="28"/>
      <c r="U8785" s="28"/>
    </row>
    <row r="8786">
      <c r="N8786" s="28"/>
      <c r="O8786" s="28"/>
      <c r="U8786" s="28"/>
    </row>
    <row r="8787">
      <c r="N8787" s="28"/>
      <c r="O8787" s="28"/>
      <c r="U8787" s="28"/>
    </row>
    <row r="8788">
      <c r="N8788" s="28"/>
      <c r="O8788" s="28"/>
      <c r="U8788" s="28"/>
    </row>
    <row r="8789">
      <c r="N8789" s="28"/>
      <c r="O8789" s="28"/>
      <c r="U8789" s="28"/>
    </row>
    <row r="8790">
      <c r="N8790" s="28"/>
      <c r="O8790" s="28"/>
      <c r="U8790" s="28"/>
    </row>
    <row r="8791">
      <c r="N8791" s="28"/>
      <c r="O8791" s="28"/>
      <c r="U8791" s="28"/>
    </row>
    <row r="8792">
      <c r="N8792" s="28"/>
      <c r="O8792" s="28"/>
      <c r="U8792" s="28"/>
    </row>
    <row r="8793">
      <c r="N8793" s="28"/>
      <c r="O8793" s="28"/>
      <c r="U8793" s="28"/>
    </row>
    <row r="8794">
      <c r="N8794" s="28"/>
      <c r="O8794" s="28"/>
      <c r="U8794" s="28"/>
    </row>
    <row r="8795">
      <c r="N8795" s="28"/>
      <c r="O8795" s="28"/>
      <c r="U8795" s="28"/>
    </row>
    <row r="8796">
      <c r="N8796" s="28"/>
      <c r="O8796" s="28"/>
      <c r="U8796" s="28"/>
    </row>
    <row r="8797">
      <c r="N8797" s="28"/>
      <c r="O8797" s="28"/>
      <c r="U8797" s="28"/>
    </row>
    <row r="8798">
      <c r="N8798" s="28"/>
      <c r="O8798" s="28"/>
      <c r="U8798" s="28"/>
    </row>
    <row r="8799">
      <c r="N8799" s="28"/>
      <c r="O8799" s="28"/>
      <c r="U8799" s="28"/>
    </row>
    <row r="8800">
      <c r="N8800" s="28"/>
      <c r="O8800" s="28"/>
      <c r="U8800" s="28"/>
    </row>
    <row r="8801">
      <c r="N8801" s="28"/>
      <c r="O8801" s="28"/>
      <c r="U8801" s="28"/>
    </row>
    <row r="8802">
      <c r="N8802" s="28"/>
      <c r="O8802" s="28"/>
      <c r="U8802" s="28"/>
    </row>
    <row r="8803">
      <c r="N8803" s="28"/>
      <c r="O8803" s="28"/>
      <c r="U8803" s="28"/>
    </row>
    <row r="8804">
      <c r="N8804" s="28"/>
      <c r="O8804" s="28"/>
      <c r="U8804" s="28"/>
    </row>
    <row r="8805">
      <c r="N8805" s="28"/>
      <c r="O8805" s="28"/>
      <c r="U8805" s="28"/>
    </row>
    <row r="8806">
      <c r="N8806" s="28"/>
      <c r="O8806" s="28"/>
      <c r="U8806" s="28"/>
    </row>
    <row r="8807">
      <c r="N8807" s="28"/>
      <c r="O8807" s="28"/>
      <c r="U8807" s="28"/>
    </row>
    <row r="8808">
      <c r="N8808" s="28"/>
      <c r="O8808" s="28"/>
      <c r="U8808" s="28"/>
    </row>
    <row r="8809">
      <c r="N8809" s="28"/>
      <c r="O8809" s="28"/>
      <c r="U8809" s="28"/>
    </row>
    <row r="8810">
      <c r="N8810" s="28"/>
      <c r="O8810" s="28"/>
      <c r="U8810" s="28"/>
    </row>
    <row r="8811">
      <c r="N8811" s="28"/>
      <c r="O8811" s="28"/>
      <c r="U8811" s="28"/>
    </row>
    <row r="8812">
      <c r="N8812" s="28"/>
      <c r="O8812" s="28"/>
      <c r="U8812" s="28"/>
    </row>
    <row r="8813">
      <c r="N8813" s="28"/>
      <c r="O8813" s="28"/>
      <c r="U8813" s="28"/>
    </row>
    <row r="8814">
      <c r="N8814" s="28"/>
      <c r="O8814" s="28"/>
      <c r="U8814" s="28"/>
    </row>
    <row r="8815">
      <c r="N8815" s="28"/>
      <c r="O8815" s="28"/>
      <c r="U8815" s="28"/>
    </row>
    <row r="8816">
      <c r="N8816" s="28"/>
      <c r="O8816" s="28"/>
      <c r="U8816" s="28"/>
    </row>
    <row r="8817">
      <c r="N8817" s="28"/>
      <c r="O8817" s="28"/>
      <c r="U8817" s="28"/>
    </row>
    <row r="8818">
      <c r="N8818" s="28"/>
      <c r="O8818" s="28"/>
      <c r="U8818" s="28"/>
    </row>
    <row r="8819">
      <c r="N8819" s="28"/>
      <c r="O8819" s="28"/>
      <c r="U8819" s="28"/>
    </row>
    <row r="8820">
      <c r="N8820" s="28"/>
      <c r="O8820" s="28"/>
      <c r="U8820" s="28"/>
    </row>
    <row r="8821">
      <c r="N8821" s="28"/>
      <c r="O8821" s="28"/>
      <c r="U8821" s="28"/>
    </row>
    <row r="8822">
      <c r="N8822" s="28"/>
      <c r="O8822" s="28"/>
      <c r="U8822" s="28"/>
    </row>
    <row r="8823">
      <c r="N8823" s="28"/>
      <c r="O8823" s="28"/>
      <c r="U8823" s="28"/>
    </row>
    <row r="8824">
      <c r="N8824" s="28"/>
      <c r="O8824" s="28"/>
      <c r="U8824" s="28"/>
    </row>
    <row r="8825">
      <c r="N8825" s="28"/>
      <c r="O8825" s="28"/>
      <c r="U8825" s="28"/>
    </row>
    <row r="8826">
      <c r="N8826" s="28"/>
      <c r="O8826" s="28"/>
      <c r="U8826" s="28"/>
    </row>
    <row r="8827">
      <c r="N8827" s="28"/>
      <c r="O8827" s="28"/>
      <c r="U8827" s="28"/>
    </row>
    <row r="8828">
      <c r="N8828" s="28"/>
      <c r="O8828" s="28"/>
      <c r="U8828" s="28"/>
    </row>
    <row r="8829">
      <c r="N8829" s="28"/>
      <c r="O8829" s="28"/>
      <c r="U8829" s="28"/>
    </row>
    <row r="8830">
      <c r="N8830" s="28"/>
      <c r="O8830" s="28"/>
      <c r="U8830" s="28"/>
    </row>
    <row r="8831">
      <c r="N8831" s="28"/>
      <c r="O8831" s="28"/>
      <c r="U8831" s="28"/>
    </row>
    <row r="8832">
      <c r="N8832" s="28"/>
      <c r="O8832" s="28"/>
      <c r="U8832" s="28"/>
    </row>
    <row r="8833">
      <c r="N8833" s="28"/>
      <c r="O8833" s="28"/>
      <c r="U8833" s="28"/>
    </row>
    <row r="8834">
      <c r="N8834" s="28"/>
      <c r="O8834" s="28"/>
      <c r="U8834" s="28"/>
    </row>
    <row r="8835">
      <c r="N8835" s="28"/>
      <c r="O8835" s="28"/>
      <c r="U8835" s="28"/>
    </row>
    <row r="8836">
      <c r="N8836" s="28"/>
      <c r="O8836" s="28"/>
      <c r="U8836" s="28"/>
    </row>
    <row r="8837">
      <c r="N8837" s="28"/>
      <c r="O8837" s="28"/>
      <c r="U8837" s="28"/>
    </row>
    <row r="8838">
      <c r="N8838" s="28"/>
      <c r="O8838" s="28"/>
      <c r="U8838" s="28"/>
    </row>
    <row r="8839">
      <c r="N8839" s="28"/>
      <c r="O8839" s="28"/>
      <c r="U8839" s="28"/>
    </row>
    <row r="8840">
      <c r="N8840" s="28"/>
      <c r="O8840" s="28"/>
      <c r="U8840" s="28"/>
    </row>
    <row r="8841">
      <c r="N8841" s="28"/>
      <c r="O8841" s="28"/>
      <c r="U8841" s="28"/>
    </row>
    <row r="8842">
      <c r="N8842" s="28"/>
      <c r="O8842" s="28"/>
      <c r="U8842" s="28"/>
    </row>
    <row r="8843">
      <c r="N8843" s="28"/>
      <c r="O8843" s="28"/>
      <c r="U8843" s="28"/>
    </row>
    <row r="8844">
      <c r="N8844" s="28"/>
      <c r="O8844" s="28"/>
      <c r="U8844" s="28"/>
    </row>
    <row r="8845">
      <c r="N8845" s="28"/>
      <c r="O8845" s="28"/>
      <c r="U8845" s="28"/>
    </row>
    <row r="8846">
      <c r="N8846" s="28"/>
      <c r="O8846" s="28"/>
      <c r="U8846" s="28"/>
    </row>
    <row r="8847">
      <c r="N8847" s="28"/>
      <c r="O8847" s="28"/>
      <c r="U8847" s="28"/>
    </row>
    <row r="8848">
      <c r="N8848" s="28"/>
      <c r="O8848" s="28"/>
      <c r="U8848" s="28"/>
    </row>
    <row r="8849">
      <c r="N8849" s="28"/>
      <c r="O8849" s="28"/>
      <c r="U8849" s="28"/>
    </row>
    <row r="8850">
      <c r="N8850" s="28"/>
      <c r="O8850" s="28"/>
      <c r="U8850" s="28"/>
    </row>
    <row r="8851">
      <c r="N8851" s="28"/>
      <c r="O8851" s="28"/>
      <c r="U8851" s="28"/>
    </row>
    <row r="8852">
      <c r="N8852" s="28"/>
      <c r="O8852" s="28"/>
      <c r="U8852" s="28"/>
    </row>
    <row r="8853">
      <c r="N8853" s="28"/>
      <c r="O8853" s="28"/>
      <c r="U8853" s="28"/>
    </row>
    <row r="8854">
      <c r="N8854" s="28"/>
      <c r="O8854" s="28"/>
      <c r="U8854" s="28"/>
    </row>
    <row r="8855">
      <c r="N8855" s="28"/>
      <c r="O8855" s="28"/>
      <c r="U8855" s="28"/>
    </row>
    <row r="8856">
      <c r="N8856" s="28"/>
      <c r="O8856" s="28"/>
      <c r="U8856" s="28"/>
    </row>
    <row r="8857">
      <c r="N8857" s="28"/>
      <c r="O8857" s="28"/>
      <c r="U8857" s="28"/>
    </row>
    <row r="8858">
      <c r="N8858" s="28"/>
      <c r="O8858" s="28"/>
      <c r="U8858" s="28"/>
    </row>
    <row r="8859">
      <c r="N8859" s="28"/>
      <c r="O8859" s="28"/>
      <c r="U8859" s="28"/>
    </row>
    <row r="8860">
      <c r="N8860" s="28"/>
      <c r="O8860" s="28"/>
      <c r="U8860" s="28"/>
    </row>
    <row r="8861">
      <c r="N8861" s="28"/>
      <c r="O8861" s="28"/>
      <c r="U8861" s="28"/>
    </row>
    <row r="8862">
      <c r="N8862" s="28"/>
      <c r="O8862" s="28"/>
      <c r="U8862" s="28"/>
    </row>
    <row r="8863">
      <c r="N8863" s="28"/>
      <c r="O8863" s="28"/>
      <c r="U8863" s="28"/>
    </row>
    <row r="8864">
      <c r="N8864" s="28"/>
      <c r="O8864" s="28"/>
      <c r="U8864" s="28"/>
    </row>
    <row r="8865">
      <c r="N8865" s="28"/>
      <c r="O8865" s="28"/>
      <c r="U8865" s="28"/>
    </row>
    <row r="8866">
      <c r="N8866" s="28"/>
      <c r="O8866" s="28"/>
      <c r="U8866" s="28"/>
    </row>
    <row r="8867">
      <c r="N8867" s="28"/>
      <c r="O8867" s="28"/>
      <c r="U8867" s="28"/>
    </row>
    <row r="8868">
      <c r="N8868" s="28"/>
      <c r="O8868" s="28"/>
      <c r="U8868" s="28"/>
    </row>
    <row r="8869">
      <c r="N8869" s="28"/>
      <c r="O8869" s="28"/>
      <c r="U8869" s="28"/>
    </row>
    <row r="8870">
      <c r="N8870" s="28"/>
      <c r="O8870" s="28"/>
      <c r="U8870" s="28"/>
    </row>
    <row r="8871">
      <c r="N8871" s="28"/>
      <c r="O8871" s="28"/>
      <c r="U8871" s="28"/>
    </row>
    <row r="8872">
      <c r="N8872" s="28"/>
      <c r="O8872" s="28"/>
      <c r="U8872" s="28"/>
    </row>
    <row r="8873">
      <c r="N8873" s="28"/>
      <c r="O8873" s="28"/>
      <c r="U8873" s="28"/>
    </row>
    <row r="8874">
      <c r="N8874" s="28"/>
      <c r="O8874" s="28"/>
      <c r="U8874" s="28"/>
    </row>
    <row r="8875">
      <c r="N8875" s="28"/>
      <c r="O8875" s="28"/>
      <c r="U8875" s="28"/>
    </row>
    <row r="8876">
      <c r="N8876" s="28"/>
      <c r="O8876" s="28"/>
      <c r="U8876" s="28"/>
    </row>
    <row r="8877">
      <c r="N8877" s="28"/>
      <c r="O8877" s="28"/>
      <c r="U8877" s="28"/>
    </row>
    <row r="8878">
      <c r="N8878" s="28"/>
      <c r="O8878" s="28"/>
      <c r="U8878" s="28"/>
    </row>
    <row r="8879">
      <c r="N8879" s="28"/>
      <c r="O8879" s="28"/>
      <c r="U8879" s="28"/>
    </row>
    <row r="8880">
      <c r="N8880" s="28"/>
      <c r="O8880" s="28"/>
      <c r="U8880" s="28"/>
    </row>
    <row r="8881">
      <c r="N8881" s="28"/>
      <c r="O8881" s="28"/>
      <c r="U8881" s="28"/>
    </row>
    <row r="8882">
      <c r="N8882" s="28"/>
      <c r="O8882" s="28"/>
      <c r="U8882" s="28"/>
    </row>
    <row r="8883">
      <c r="N8883" s="28"/>
      <c r="O8883" s="28"/>
      <c r="U8883" s="28"/>
    </row>
    <row r="8884">
      <c r="N8884" s="28"/>
      <c r="O8884" s="28"/>
      <c r="U8884" s="28"/>
    </row>
    <row r="8885">
      <c r="N8885" s="28"/>
      <c r="O8885" s="28"/>
      <c r="U8885" s="28"/>
    </row>
    <row r="8886">
      <c r="N8886" s="28"/>
      <c r="O8886" s="28"/>
      <c r="U8886" s="28"/>
    </row>
    <row r="8887">
      <c r="N8887" s="28"/>
      <c r="O8887" s="28"/>
      <c r="U8887" s="28"/>
    </row>
    <row r="8888">
      <c r="N8888" s="28"/>
      <c r="O8888" s="28"/>
      <c r="U8888" s="28"/>
    </row>
    <row r="8889">
      <c r="N8889" s="28"/>
      <c r="O8889" s="28"/>
      <c r="U8889" s="28"/>
    </row>
    <row r="8890">
      <c r="N8890" s="28"/>
      <c r="O8890" s="28"/>
      <c r="U8890" s="28"/>
    </row>
    <row r="8891">
      <c r="N8891" s="28"/>
      <c r="O8891" s="28"/>
      <c r="U8891" s="28"/>
    </row>
    <row r="8892">
      <c r="N8892" s="28"/>
      <c r="O8892" s="28"/>
      <c r="U8892" s="28"/>
    </row>
    <row r="8893">
      <c r="N8893" s="28"/>
      <c r="O8893" s="28"/>
      <c r="U8893" s="28"/>
    </row>
    <row r="8894">
      <c r="N8894" s="28"/>
      <c r="O8894" s="28"/>
      <c r="U8894" s="28"/>
    </row>
    <row r="8895">
      <c r="N8895" s="28"/>
      <c r="O8895" s="28"/>
      <c r="U8895" s="28"/>
    </row>
    <row r="8896">
      <c r="N8896" s="28"/>
      <c r="O8896" s="28"/>
      <c r="U8896" s="28"/>
    </row>
    <row r="8897">
      <c r="N8897" s="28"/>
      <c r="O8897" s="28"/>
      <c r="U8897" s="28"/>
    </row>
    <row r="8898">
      <c r="N8898" s="28"/>
      <c r="O8898" s="28"/>
      <c r="U8898" s="28"/>
    </row>
    <row r="8899">
      <c r="N8899" s="28"/>
      <c r="O8899" s="28"/>
      <c r="U8899" s="28"/>
    </row>
    <row r="8900">
      <c r="N8900" s="28"/>
      <c r="O8900" s="28"/>
      <c r="U8900" s="28"/>
    </row>
    <row r="8901">
      <c r="N8901" s="28"/>
      <c r="O8901" s="28"/>
      <c r="U8901" s="28"/>
    </row>
    <row r="8902">
      <c r="N8902" s="28"/>
      <c r="O8902" s="28"/>
      <c r="U8902" s="28"/>
    </row>
    <row r="8903">
      <c r="N8903" s="28"/>
      <c r="O8903" s="28"/>
      <c r="U8903" s="28"/>
    </row>
    <row r="8904">
      <c r="N8904" s="28"/>
      <c r="O8904" s="28"/>
      <c r="U8904" s="28"/>
    </row>
    <row r="8905">
      <c r="N8905" s="28"/>
      <c r="O8905" s="28"/>
      <c r="U8905" s="28"/>
    </row>
    <row r="8906">
      <c r="N8906" s="28"/>
      <c r="O8906" s="28"/>
      <c r="U8906" s="28"/>
    </row>
    <row r="8907">
      <c r="N8907" s="28"/>
      <c r="O8907" s="28"/>
      <c r="U8907" s="28"/>
    </row>
    <row r="8908">
      <c r="N8908" s="28"/>
      <c r="O8908" s="28"/>
      <c r="U8908" s="28"/>
    </row>
    <row r="8909">
      <c r="N8909" s="28"/>
      <c r="O8909" s="28"/>
      <c r="U8909" s="28"/>
    </row>
    <row r="8910">
      <c r="N8910" s="28"/>
      <c r="O8910" s="28"/>
      <c r="U8910" s="28"/>
    </row>
    <row r="8911">
      <c r="N8911" s="28"/>
      <c r="O8911" s="28"/>
      <c r="U8911" s="28"/>
    </row>
    <row r="8912">
      <c r="N8912" s="28"/>
      <c r="O8912" s="28"/>
      <c r="U8912" s="28"/>
    </row>
    <row r="8913">
      <c r="N8913" s="28"/>
      <c r="O8913" s="28"/>
      <c r="U8913" s="28"/>
    </row>
    <row r="8914">
      <c r="N8914" s="28"/>
      <c r="O8914" s="28"/>
      <c r="U8914" s="28"/>
    </row>
    <row r="8915">
      <c r="N8915" s="28"/>
      <c r="O8915" s="28"/>
      <c r="U8915" s="28"/>
    </row>
    <row r="8916">
      <c r="N8916" s="28"/>
      <c r="O8916" s="28"/>
      <c r="U8916" s="28"/>
    </row>
    <row r="8917">
      <c r="N8917" s="28"/>
      <c r="O8917" s="28"/>
      <c r="U8917" s="28"/>
    </row>
    <row r="8918">
      <c r="N8918" s="28"/>
      <c r="O8918" s="28"/>
      <c r="U8918" s="28"/>
    </row>
    <row r="8919">
      <c r="N8919" s="28"/>
      <c r="O8919" s="28"/>
      <c r="U8919" s="28"/>
    </row>
    <row r="8920">
      <c r="N8920" s="28"/>
      <c r="O8920" s="28"/>
      <c r="U8920" s="28"/>
    </row>
    <row r="8921">
      <c r="N8921" s="28"/>
      <c r="O8921" s="28"/>
      <c r="U8921" s="28"/>
    </row>
    <row r="8922">
      <c r="N8922" s="28"/>
      <c r="O8922" s="28"/>
      <c r="U8922" s="28"/>
    </row>
    <row r="8923">
      <c r="N8923" s="28"/>
      <c r="O8923" s="28"/>
      <c r="U8923" s="28"/>
    </row>
    <row r="8924">
      <c r="N8924" s="28"/>
      <c r="O8924" s="28"/>
      <c r="U8924" s="28"/>
    </row>
    <row r="8925">
      <c r="N8925" s="28"/>
      <c r="O8925" s="28"/>
      <c r="U8925" s="28"/>
    </row>
    <row r="8926">
      <c r="N8926" s="28"/>
      <c r="O8926" s="28"/>
      <c r="U8926" s="28"/>
    </row>
    <row r="8927">
      <c r="N8927" s="28"/>
      <c r="O8927" s="28"/>
      <c r="U8927" s="28"/>
    </row>
    <row r="8928">
      <c r="N8928" s="28"/>
      <c r="O8928" s="28"/>
      <c r="U8928" s="28"/>
    </row>
    <row r="8929">
      <c r="N8929" s="28"/>
      <c r="O8929" s="28"/>
      <c r="U8929" s="28"/>
    </row>
    <row r="8930">
      <c r="N8930" s="28"/>
      <c r="O8930" s="28"/>
      <c r="U8930" s="28"/>
    </row>
    <row r="8931">
      <c r="N8931" s="28"/>
      <c r="O8931" s="28"/>
      <c r="U8931" s="28"/>
    </row>
    <row r="8932">
      <c r="N8932" s="28"/>
      <c r="O8932" s="28"/>
      <c r="U8932" s="28"/>
    </row>
    <row r="8933">
      <c r="N8933" s="28"/>
      <c r="O8933" s="28"/>
      <c r="U8933" s="28"/>
    </row>
    <row r="8934">
      <c r="N8934" s="28"/>
      <c r="O8934" s="28"/>
      <c r="U8934" s="28"/>
    </row>
    <row r="8935">
      <c r="N8935" s="28"/>
      <c r="O8935" s="28"/>
      <c r="U8935" s="28"/>
    </row>
    <row r="8936">
      <c r="N8936" s="28"/>
      <c r="O8936" s="28"/>
      <c r="U8936" s="28"/>
    </row>
    <row r="8937">
      <c r="N8937" s="28"/>
      <c r="O8937" s="28"/>
      <c r="U8937" s="28"/>
    </row>
    <row r="8938">
      <c r="N8938" s="28"/>
      <c r="O8938" s="28"/>
      <c r="U8938" s="28"/>
    </row>
    <row r="8939">
      <c r="N8939" s="28"/>
      <c r="O8939" s="28"/>
      <c r="U8939" s="28"/>
    </row>
    <row r="8940">
      <c r="N8940" s="28"/>
      <c r="O8940" s="28"/>
      <c r="U8940" s="28"/>
    </row>
    <row r="8941">
      <c r="N8941" s="28"/>
      <c r="O8941" s="28"/>
      <c r="U8941" s="28"/>
    </row>
    <row r="8942">
      <c r="N8942" s="28"/>
      <c r="O8942" s="28"/>
      <c r="U8942" s="28"/>
    </row>
    <row r="8943">
      <c r="N8943" s="28"/>
      <c r="O8943" s="28"/>
      <c r="U8943" s="28"/>
    </row>
    <row r="8944">
      <c r="N8944" s="28"/>
      <c r="O8944" s="28"/>
      <c r="U8944" s="28"/>
    </row>
    <row r="8945">
      <c r="N8945" s="28"/>
      <c r="O8945" s="28"/>
      <c r="U8945" s="28"/>
    </row>
    <row r="8946">
      <c r="N8946" s="28"/>
      <c r="O8946" s="28"/>
      <c r="U8946" s="28"/>
    </row>
    <row r="8947">
      <c r="N8947" s="28"/>
      <c r="O8947" s="28"/>
      <c r="U8947" s="28"/>
    </row>
    <row r="8948">
      <c r="N8948" s="28"/>
      <c r="O8948" s="28"/>
      <c r="U8948" s="28"/>
    </row>
    <row r="8949">
      <c r="N8949" s="28"/>
      <c r="O8949" s="28"/>
      <c r="U8949" s="28"/>
    </row>
    <row r="8950">
      <c r="N8950" s="28"/>
      <c r="O8950" s="28"/>
      <c r="U8950" s="28"/>
    </row>
    <row r="8951">
      <c r="N8951" s="28"/>
      <c r="O8951" s="28"/>
      <c r="U8951" s="28"/>
    </row>
    <row r="8952">
      <c r="N8952" s="28"/>
      <c r="O8952" s="28"/>
      <c r="U8952" s="28"/>
    </row>
    <row r="8953">
      <c r="N8953" s="28"/>
      <c r="O8953" s="28"/>
      <c r="U8953" s="28"/>
    </row>
    <row r="8954">
      <c r="N8954" s="28"/>
      <c r="O8954" s="28"/>
      <c r="U8954" s="28"/>
    </row>
    <row r="8955">
      <c r="N8955" s="28"/>
      <c r="O8955" s="28"/>
      <c r="U8955" s="28"/>
    </row>
    <row r="8956">
      <c r="N8956" s="28"/>
      <c r="O8956" s="28"/>
      <c r="U8956" s="28"/>
    </row>
    <row r="8957">
      <c r="N8957" s="28"/>
      <c r="O8957" s="28"/>
      <c r="U8957" s="28"/>
    </row>
    <row r="8958">
      <c r="N8958" s="28"/>
      <c r="O8958" s="28"/>
      <c r="U8958" s="28"/>
    </row>
    <row r="8959">
      <c r="N8959" s="28"/>
      <c r="O8959" s="28"/>
      <c r="U8959" s="28"/>
    </row>
    <row r="8960">
      <c r="N8960" s="28"/>
      <c r="O8960" s="28"/>
      <c r="U8960" s="28"/>
    </row>
    <row r="8961">
      <c r="N8961" s="28"/>
      <c r="O8961" s="28"/>
      <c r="U8961" s="28"/>
    </row>
    <row r="8962">
      <c r="N8962" s="28"/>
      <c r="O8962" s="28"/>
      <c r="U8962" s="28"/>
    </row>
    <row r="8963">
      <c r="N8963" s="28"/>
      <c r="O8963" s="28"/>
      <c r="U8963" s="28"/>
    </row>
    <row r="8964">
      <c r="N8964" s="28"/>
      <c r="O8964" s="28"/>
      <c r="U8964" s="28"/>
    </row>
    <row r="8965">
      <c r="N8965" s="28"/>
      <c r="O8965" s="28"/>
      <c r="U8965" s="28"/>
    </row>
    <row r="8966">
      <c r="N8966" s="28"/>
      <c r="O8966" s="28"/>
      <c r="U8966" s="28"/>
    </row>
    <row r="8967">
      <c r="N8967" s="28"/>
      <c r="O8967" s="28"/>
      <c r="U8967" s="28"/>
    </row>
    <row r="8968">
      <c r="N8968" s="28"/>
      <c r="O8968" s="28"/>
      <c r="U8968" s="28"/>
    </row>
    <row r="8969">
      <c r="N8969" s="28"/>
      <c r="O8969" s="28"/>
      <c r="U8969" s="28"/>
    </row>
    <row r="8970">
      <c r="N8970" s="28"/>
      <c r="O8970" s="28"/>
      <c r="U8970" s="28"/>
    </row>
    <row r="8971">
      <c r="N8971" s="28"/>
      <c r="O8971" s="28"/>
      <c r="U8971" s="28"/>
    </row>
    <row r="8972">
      <c r="N8972" s="28"/>
      <c r="O8972" s="28"/>
      <c r="U8972" s="28"/>
    </row>
    <row r="8973">
      <c r="N8973" s="28"/>
      <c r="O8973" s="28"/>
      <c r="U8973" s="28"/>
    </row>
    <row r="8974">
      <c r="N8974" s="28"/>
      <c r="O8974" s="28"/>
      <c r="U8974" s="28"/>
    </row>
    <row r="8975">
      <c r="N8975" s="28"/>
      <c r="O8975" s="28"/>
      <c r="U8975" s="28"/>
    </row>
    <row r="8976">
      <c r="N8976" s="28"/>
      <c r="O8976" s="28"/>
      <c r="U8976" s="28"/>
    </row>
    <row r="8977">
      <c r="N8977" s="28"/>
      <c r="O8977" s="28"/>
      <c r="U8977" s="28"/>
    </row>
    <row r="8978">
      <c r="N8978" s="28"/>
      <c r="O8978" s="28"/>
      <c r="U8978" s="28"/>
    </row>
    <row r="8979">
      <c r="N8979" s="28"/>
      <c r="O8979" s="28"/>
      <c r="U8979" s="28"/>
    </row>
    <row r="8980">
      <c r="N8980" s="28"/>
      <c r="O8980" s="28"/>
      <c r="U8980" s="28"/>
    </row>
    <row r="8981">
      <c r="N8981" s="28"/>
      <c r="O8981" s="28"/>
      <c r="U8981" s="28"/>
    </row>
    <row r="8982">
      <c r="N8982" s="28"/>
      <c r="O8982" s="28"/>
      <c r="U8982" s="28"/>
    </row>
    <row r="8983">
      <c r="N8983" s="28"/>
      <c r="O8983" s="28"/>
      <c r="U8983" s="28"/>
    </row>
    <row r="8984">
      <c r="N8984" s="28"/>
      <c r="O8984" s="28"/>
      <c r="U8984" s="28"/>
    </row>
    <row r="8985">
      <c r="N8985" s="28"/>
      <c r="O8985" s="28"/>
      <c r="U8985" s="28"/>
    </row>
    <row r="8986">
      <c r="N8986" s="28"/>
      <c r="O8986" s="28"/>
      <c r="U8986" s="28"/>
    </row>
    <row r="8987">
      <c r="N8987" s="28"/>
      <c r="O8987" s="28"/>
      <c r="U8987" s="28"/>
    </row>
    <row r="8988">
      <c r="N8988" s="28"/>
      <c r="O8988" s="28"/>
      <c r="U8988" s="28"/>
    </row>
    <row r="8989">
      <c r="N8989" s="28"/>
      <c r="O8989" s="28"/>
      <c r="U8989" s="28"/>
    </row>
    <row r="8990">
      <c r="N8990" s="28"/>
      <c r="O8990" s="28"/>
      <c r="U8990" s="28"/>
    </row>
    <row r="8991">
      <c r="N8991" s="28"/>
      <c r="O8991" s="28"/>
      <c r="U8991" s="28"/>
    </row>
    <row r="8992">
      <c r="N8992" s="28"/>
      <c r="O8992" s="28"/>
      <c r="U8992" s="28"/>
    </row>
    <row r="8993">
      <c r="N8993" s="28"/>
      <c r="O8993" s="28"/>
      <c r="U8993" s="28"/>
    </row>
    <row r="8994">
      <c r="N8994" s="28"/>
      <c r="O8994" s="28"/>
      <c r="U8994" s="28"/>
    </row>
    <row r="8995">
      <c r="N8995" s="28"/>
      <c r="O8995" s="28"/>
      <c r="U8995" s="28"/>
    </row>
    <row r="8996">
      <c r="N8996" s="28"/>
      <c r="O8996" s="28"/>
      <c r="U8996" s="28"/>
    </row>
    <row r="8997">
      <c r="N8997" s="28"/>
      <c r="O8997" s="28"/>
      <c r="U8997" s="28"/>
    </row>
    <row r="8998">
      <c r="N8998" s="28"/>
      <c r="O8998" s="28"/>
      <c r="U8998" s="28"/>
    </row>
    <row r="8999">
      <c r="N8999" s="28"/>
      <c r="O8999" s="28"/>
      <c r="U8999" s="28"/>
    </row>
    <row r="9000">
      <c r="N9000" s="28"/>
      <c r="O9000" s="28"/>
      <c r="U9000" s="28"/>
    </row>
    <row r="9001">
      <c r="N9001" s="28"/>
      <c r="O9001" s="28"/>
      <c r="U9001" s="28"/>
    </row>
    <row r="9002">
      <c r="N9002" s="28"/>
      <c r="O9002" s="28"/>
      <c r="U9002" s="28"/>
    </row>
    <row r="9003">
      <c r="N9003" s="28"/>
      <c r="O9003" s="28"/>
      <c r="U9003" s="28"/>
    </row>
    <row r="9004">
      <c r="N9004" s="28"/>
      <c r="O9004" s="28"/>
      <c r="U9004" s="28"/>
    </row>
    <row r="9005">
      <c r="N9005" s="28"/>
      <c r="O9005" s="28"/>
      <c r="U9005" s="28"/>
    </row>
    <row r="9006">
      <c r="N9006" s="28"/>
      <c r="O9006" s="28"/>
      <c r="U9006" s="28"/>
    </row>
    <row r="9007">
      <c r="N9007" s="28"/>
      <c r="O9007" s="28"/>
      <c r="U9007" s="28"/>
    </row>
    <row r="9008">
      <c r="N9008" s="28"/>
      <c r="O9008" s="28"/>
      <c r="U9008" s="28"/>
    </row>
    <row r="9009">
      <c r="N9009" s="28"/>
      <c r="O9009" s="28"/>
      <c r="U9009" s="28"/>
    </row>
    <row r="9010">
      <c r="N9010" s="28"/>
      <c r="O9010" s="28"/>
      <c r="U9010" s="28"/>
    </row>
    <row r="9011">
      <c r="N9011" s="28"/>
      <c r="O9011" s="28"/>
      <c r="U9011" s="28"/>
    </row>
    <row r="9012">
      <c r="N9012" s="28"/>
      <c r="O9012" s="28"/>
      <c r="U9012" s="28"/>
    </row>
    <row r="9013">
      <c r="N9013" s="28"/>
      <c r="O9013" s="28"/>
      <c r="U9013" s="28"/>
    </row>
    <row r="9014">
      <c r="N9014" s="28"/>
      <c r="O9014" s="28"/>
      <c r="U9014" s="28"/>
    </row>
    <row r="9015">
      <c r="N9015" s="28"/>
      <c r="O9015" s="28"/>
      <c r="U9015" s="28"/>
    </row>
    <row r="9016">
      <c r="N9016" s="28"/>
      <c r="O9016" s="28"/>
      <c r="U9016" s="28"/>
    </row>
    <row r="9017">
      <c r="N9017" s="28"/>
      <c r="O9017" s="28"/>
      <c r="U9017" s="28"/>
    </row>
    <row r="9018">
      <c r="N9018" s="28"/>
      <c r="O9018" s="28"/>
      <c r="U9018" s="28"/>
    </row>
    <row r="9019">
      <c r="N9019" s="28"/>
      <c r="O9019" s="28"/>
      <c r="U9019" s="28"/>
    </row>
    <row r="9020">
      <c r="N9020" s="28"/>
      <c r="O9020" s="28"/>
      <c r="U9020" s="28"/>
    </row>
    <row r="9021">
      <c r="N9021" s="28"/>
      <c r="O9021" s="28"/>
      <c r="U9021" s="28"/>
    </row>
    <row r="9022">
      <c r="N9022" s="28"/>
      <c r="O9022" s="28"/>
      <c r="U9022" s="28"/>
    </row>
    <row r="9023">
      <c r="N9023" s="28"/>
      <c r="O9023" s="28"/>
      <c r="U9023" s="28"/>
    </row>
    <row r="9024">
      <c r="N9024" s="28"/>
      <c r="O9024" s="28"/>
      <c r="U9024" s="28"/>
    </row>
    <row r="9025">
      <c r="N9025" s="28"/>
      <c r="O9025" s="28"/>
      <c r="U9025" s="28"/>
    </row>
    <row r="9026">
      <c r="N9026" s="28"/>
      <c r="O9026" s="28"/>
      <c r="U9026" s="28"/>
    </row>
    <row r="9027">
      <c r="N9027" s="28"/>
      <c r="O9027" s="28"/>
      <c r="U9027" s="28"/>
    </row>
    <row r="9028">
      <c r="N9028" s="28"/>
      <c r="O9028" s="28"/>
      <c r="U9028" s="28"/>
    </row>
    <row r="9029">
      <c r="N9029" s="28"/>
      <c r="O9029" s="28"/>
      <c r="U9029" s="28"/>
    </row>
    <row r="9030">
      <c r="N9030" s="28"/>
      <c r="O9030" s="28"/>
      <c r="U9030" s="28"/>
    </row>
    <row r="9031">
      <c r="N9031" s="28"/>
      <c r="O9031" s="28"/>
      <c r="U9031" s="28"/>
    </row>
    <row r="9032">
      <c r="N9032" s="28"/>
      <c r="O9032" s="28"/>
      <c r="U9032" s="28"/>
    </row>
    <row r="9033">
      <c r="N9033" s="28"/>
      <c r="O9033" s="28"/>
      <c r="U9033" s="28"/>
    </row>
    <row r="9034">
      <c r="N9034" s="28"/>
      <c r="O9034" s="28"/>
      <c r="U9034" s="28"/>
    </row>
    <row r="9035">
      <c r="N9035" s="28"/>
      <c r="O9035" s="28"/>
      <c r="U9035" s="28"/>
    </row>
    <row r="9036">
      <c r="N9036" s="28"/>
      <c r="O9036" s="28"/>
      <c r="U9036" s="28"/>
    </row>
    <row r="9037">
      <c r="N9037" s="28"/>
      <c r="O9037" s="28"/>
      <c r="U9037" s="28"/>
    </row>
    <row r="9038">
      <c r="N9038" s="28"/>
      <c r="O9038" s="28"/>
      <c r="U9038" s="28"/>
    </row>
    <row r="9039">
      <c r="N9039" s="28"/>
      <c r="O9039" s="28"/>
      <c r="U9039" s="28"/>
    </row>
    <row r="9040">
      <c r="N9040" s="28"/>
      <c r="O9040" s="28"/>
      <c r="U9040" s="28"/>
    </row>
    <row r="9041">
      <c r="N9041" s="28"/>
      <c r="O9041" s="28"/>
      <c r="U9041" s="28"/>
    </row>
    <row r="9042">
      <c r="N9042" s="28"/>
      <c r="O9042" s="28"/>
      <c r="U9042" s="28"/>
    </row>
    <row r="9043">
      <c r="N9043" s="28"/>
      <c r="O9043" s="28"/>
      <c r="U9043" s="28"/>
    </row>
    <row r="9044">
      <c r="N9044" s="28"/>
      <c r="O9044" s="28"/>
      <c r="U9044" s="28"/>
    </row>
    <row r="9045">
      <c r="N9045" s="28"/>
      <c r="O9045" s="28"/>
      <c r="U9045" s="28"/>
    </row>
    <row r="9046">
      <c r="N9046" s="28"/>
      <c r="O9046" s="28"/>
      <c r="U9046" s="28"/>
    </row>
    <row r="9047">
      <c r="N9047" s="28"/>
      <c r="O9047" s="28"/>
      <c r="U9047" s="28"/>
    </row>
    <row r="9048">
      <c r="N9048" s="28"/>
      <c r="O9048" s="28"/>
      <c r="U9048" s="28"/>
    </row>
    <row r="9049">
      <c r="N9049" s="28"/>
      <c r="O9049" s="28"/>
      <c r="U9049" s="28"/>
    </row>
    <row r="9050">
      <c r="N9050" s="28"/>
      <c r="O9050" s="28"/>
      <c r="U9050" s="28"/>
    </row>
    <row r="9051">
      <c r="N9051" s="28"/>
      <c r="O9051" s="28"/>
      <c r="U9051" s="28"/>
    </row>
    <row r="9052">
      <c r="N9052" s="28"/>
      <c r="O9052" s="28"/>
      <c r="U9052" s="28"/>
    </row>
    <row r="9053">
      <c r="N9053" s="28"/>
      <c r="O9053" s="28"/>
      <c r="U9053" s="28"/>
    </row>
    <row r="9054">
      <c r="N9054" s="28"/>
      <c r="O9054" s="28"/>
      <c r="U9054" s="28"/>
    </row>
    <row r="9055">
      <c r="N9055" s="28"/>
      <c r="O9055" s="28"/>
      <c r="U9055" s="28"/>
    </row>
    <row r="9056">
      <c r="N9056" s="28"/>
      <c r="O9056" s="28"/>
      <c r="U9056" s="28"/>
    </row>
    <row r="9057">
      <c r="N9057" s="28"/>
      <c r="O9057" s="28"/>
      <c r="U9057" s="28"/>
    </row>
    <row r="9058">
      <c r="N9058" s="28"/>
      <c r="O9058" s="28"/>
      <c r="U9058" s="28"/>
    </row>
    <row r="9059">
      <c r="N9059" s="28"/>
      <c r="O9059" s="28"/>
      <c r="U9059" s="28"/>
    </row>
    <row r="9060">
      <c r="N9060" s="28"/>
      <c r="O9060" s="28"/>
      <c r="U9060" s="28"/>
    </row>
    <row r="9061">
      <c r="N9061" s="28"/>
      <c r="O9061" s="28"/>
      <c r="U9061" s="28"/>
    </row>
    <row r="9062">
      <c r="N9062" s="28"/>
      <c r="O9062" s="28"/>
      <c r="U9062" s="28"/>
    </row>
    <row r="9063">
      <c r="N9063" s="28"/>
      <c r="O9063" s="28"/>
      <c r="U9063" s="28"/>
    </row>
    <row r="9064">
      <c r="N9064" s="28"/>
      <c r="O9064" s="28"/>
      <c r="U9064" s="28"/>
    </row>
    <row r="9065">
      <c r="N9065" s="28"/>
      <c r="O9065" s="28"/>
      <c r="U9065" s="28"/>
    </row>
    <row r="9066">
      <c r="N9066" s="28"/>
      <c r="O9066" s="28"/>
      <c r="U9066" s="28"/>
    </row>
    <row r="9067">
      <c r="N9067" s="28"/>
      <c r="O9067" s="28"/>
      <c r="U9067" s="28"/>
    </row>
    <row r="9068">
      <c r="N9068" s="28"/>
      <c r="O9068" s="28"/>
      <c r="U9068" s="28"/>
    </row>
    <row r="9069">
      <c r="N9069" s="28"/>
      <c r="O9069" s="28"/>
      <c r="U9069" s="28"/>
    </row>
    <row r="9070">
      <c r="N9070" s="28"/>
      <c r="O9070" s="28"/>
      <c r="U9070" s="28"/>
    </row>
    <row r="9071">
      <c r="N9071" s="28"/>
      <c r="O9071" s="28"/>
      <c r="U9071" s="28"/>
    </row>
    <row r="9072">
      <c r="N9072" s="28"/>
      <c r="O9072" s="28"/>
      <c r="U9072" s="28"/>
    </row>
    <row r="9073">
      <c r="N9073" s="28"/>
      <c r="O9073" s="28"/>
      <c r="U9073" s="28"/>
    </row>
    <row r="9074">
      <c r="N9074" s="28"/>
      <c r="O9074" s="28"/>
      <c r="U9074" s="28"/>
    </row>
    <row r="9075">
      <c r="N9075" s="28"/>
      <c r="O9075" s="28"/>
      <c r="U9075" s="28"/>
    </row>
    <row r="9076">
      <c r="N9076" s="28"/>
      <c r="O9076" s="28"/>
      <c r="U9076" s="28"/>
    </row>
    <row r="9077">
      <c r="N9077" s="28"/>
      <c r="O9077" s="28"/>
      <c r="U9077" s="28"/>
    </row>
    <row r="9078">
      <c r="N9078" s="28"/>
      <c r="O9078" s="28"/>
      <c r="U9078" s="28"/>
    </row>
    <row r="9079">
      <c r="N9079" s="28"/>
      <c r="O9079" s="28"/>
      <c r="U9079" s="28"/>
    </row>
    <row r="9080">
      <c r="N9080" s="28"/>
      <c r="O9080" s="28"/>
      <c r="U9080" s="28"/>
    </row>
    <row r="9081">
      <c r="N9081" s="28"/>
      <c r="O9081" s="28"/>
      <c r="U9081" s="28"/>
    </row>
    <row r="9082">
      <c r="N9082" s="28"/>
      <c r="O9082" s="28"/>
      <c r="U9082" s="28"/>
    </row>
    <row r="9083">
      <c r="N9083" s="28"/>
      <c r="O9083" s="28"/>
      <c r="U9083" s="28"/>
    </row>
    <row r="9084">
      <c r="N9084" s="28"/>
      <c r="O9084" s="28"/>
      <c r="U9084" s="28"/>
    </row>
    <row r="9085">
      <c r="N9085" s="28"/>
      <c r="O9085" s="28"/>
      <c r="U9085" s="28"/>
    </row>
    <row r="9086">
      <c r="N9086" s="28"/>
      <c r="O9086" s="28"/>
      <c r="U9086" s="28"/>
    </row>
    <row r="9087">
      <c r="N9087" s="28"/>
      <c r="O9087" s="28"/>
      <c r="U9087" s="28"/>
    </row>
    <row r="9088">
      <c r="N9088" s="28"/>
      <c r="O9088" s="28"/>
      <c r="U9088" s="28"/>
    </row>
    <row r="9089">
      <c r="N9089" s="28"/>
      <c r="O9089" s="28"/>
      <c r="U9089" s="28"/>
    </row>
    <row r="9090">
      <c r="N9090" s="28"/>
      <c r="O9090" s="28"/>
      <c r="U9090" s="28"/>
    </row>
    <row r="9091">
      <c r="N9091" s="28"/>
      <c r="O9091" s="28"/>
      <c r="U9091" s="28"/>
    </row>
    <row r="9092">
      <c r="N9092" s="28"/>
      <c r="O9092" s="28"/>
      <c r="U9092" s="28"/>
    </row>
    <row r="9093">
      <c r="N9093" s="28"/>
      <c r="O9093" s="28"/>
      <c r="U9093" s="28"/>
    </row>
    <row r="9094">
      <c r="N9094" s="28"/>
      <c r="O9094" s="28"/>
      <c r="U9094" s="28"/>
    </row>
    <row r="9095">
      <c r="N9095" s="28"/>
      <c r="O9095" s="28"/>
      <c r="U9095" s="28"/>
    </row>
    <row r="9096">
      <c r="N9096" s="28"/>
      <c r="O9096" s="28"/>
      <c r="U9096" s="28"/>
    </row>
    <row r="9097">
      <c r="N9097" s="28"/>
      <c r="O9097" s="28"/>
      <c r="U9097" s="28"/>
    </row>
    <row r="9098">
      <c r="N9098" s="28"/>
      <c r="O9098" s="28"/>
      <c r="U9098" s="28"/>
    </row>
    <row r="9099">
      <c r="N9099" s="28"/>
      <c r="O9099" s="28"/>
      <c r="U9099" s="28"/>
    </row>
    <row r="9100">
      <c r="N9100" s="28"/>
      <c r="O9100" s="28"/>
      <c r="U9100" s="28"/>
    </row>
    <row r="9101">
      <c r="N9101" s="28"/>
      <c r="O9101" s="28"/>
      <c r="U9101" s="28"/>
    </row>
    <row r="9102">
      <c r="N9102" s="28"/>
      <c r="O9102" s="28"/>
      <c r="U9102" s="28"/>
    </row>
    <row r="9103">
      <c r="N9103" s="28"/>
      <c r="O9103" s="28"/>
      <c r="U9103" s="28"/>
    </row>
    <row r="9104">
      <c r="N9104" s="28"/>
      <c r="O9104" s="28"/>
      <c r="U9104" s="28"/>
    </row>
    <row r="9105">
      <c r="N9105" s="28"/>
      <c r="O9105" s="28"/>
      <c r="U9105" s="28"/>
    </row>
    <row r="9106">
      <c r="N9106" s="28"/>
      <c r="O9106" s="28"/>
      <c r="U9106" s="28"/>
    </row>
    <row r="9107">
      <c r="N9107" s="28"/>
      <c r="O9107" s="28"/>
      <c r="U9107" s="28"/>
    </row>
    <row r="9108">
      <c r="N9108" s="28"/>
      <c r="O9108" s="28"/>
      <c r="U9108" s="28"/>
    </row>
    <row r="9109">
      <c r="N9109" s="28"/>
      <c r="O9109" s="28"/>
      <c r="U9109" s="28"/>
    </row>
    <row r="9110">
      <c r="N9110" s="28"/>
      <c r="O9110" s="28"/>
      <c r="U9110" s="28"/>
    </row>
    <row r="9111">
      <c r="N9111" s="28"/>
      <c r="O9111" s="28"/>
      <c r="U9111" s="28"/>
    </row>
    <row r="9112">
      <c r="N9112" s="28"/>
      <c r="O9112" s="28"/>
      <c r="U9112" s="28"/>
    </row>
    <row r="9113">
      <c r="N9113" s="28"/>
      <c r="O9113" s="28"/>
      <c r="U9113" s="28"/>
    </row>
    <row r="9114">
      <c r="N9114" s="28"/>
      <c r="O9114" s="28"/>
      <c r="U9114" s="28"/>
    </row>
    <row r="9115">
      <c r="N9115" s="28"/>
      <c r="O9115" s="28"/>
      <c r="U9115" s="28"/>
    </row>
    <row r="9116">
      <c r="N9116" s="28"/>
      <c r="O9116" s="28"/>
      <c r="U9116" s="28"/>
    </row>
    <row r="9117">
      <c r="N9117" s="28"/>
      <c r="O9117" s="28"/>
      <c r="U9117" s="28"/>
    </row>
    <row r="9118">
      <c r="N9118" s="28"/>
      <c r="O9118" s="28"/>
      <c r="U9118" s="28"/>
    </row>
    <row r="9119">
      <c r="N9119" s="28"/>
      <c r="O9119" s="28"/>
      <c r="U9119" s="28"/>
    </row>
    <row r="9120">
      <c r="N9120" s="28"/>
      <c r="O9120" s="28"/>
      <c r="U9120" s="28"/>
    </row>
    <row r="9121">
      <c r="N9121" s="28"/>
      <c r="O9121" s="28"/>
      <c r="U9121" s="28"/>
    </row>
    <row r="9122">
      <c r="N9122" s="28"/>
      <c r="O9122" s="28"/>
      <c r="U9122" s="28"/>
    </row>
    <row r="9123">
      <c r="N9123" s="28"/>
      <c r="O9123" s="28"/>
      <c r="U9123" s="28"/>
    </row>
    <row r="9124">
      <c r="N9124" s="28"/>
      <c r="O9124" s="28"/>
      <c r="U9124" s="28"/>
    </row>
    <row r="9125">
      <c r="N9125" s="28"/>
      <c r="O9125" s="28"/>
      <c r="U9125" s="28"/>
    </row>
    <row r="9126">
      <c r="N9126" s="28"/>
      <c r="O9126" s="28"/>
      <c r="U9126" s="28"/>
    </row>
    <row r="9127">
      <c r="N9127" s="28"/>
      <c r="O9127" s="28"/>
      <c r="U9127" s="28"/>
    </row>
    <row r="9128">
      <c r="N9128" s="28"/>
      <c r="O9128" s="28"/>
      <c r="U9128" s="28"/>
    </row>
    <row r="9129">
      <c r="N9129" s="28"/>
      <c r="O9129" s="28"/>
      <c r="U9129" s="28"/>
    </row>
    <row r="9130">
      <c r="N9130" s="28"/>
      <c r="O9130" s="28"/>
      <c r="U9130" s="28"/>
    </row>
    <row r="9131">
      <c r="N9131" s="28"/>
      <c r="O9131" s="28"/>
      <c r="U9131" s="28"/>
    </row>
    <row r="9132">
      <c r="N9132" s="28"/>
      <c r="O9132" s="28"/>
      <c r="U9132" s="28"/>
    </row>
    <row r="9133">
      <c r="N9133" s="28"/>
      <c r="O9133" s="28"/>
      <c r="U9133" s="28"/>
    </row>
    <row r="9134">
      <c r="N9134" s="28"/>
      <c r="O9134" s="28"/>
      <c r="U9134" s="28"/>
    </row>
    <row r="9135">
      <c r="N9135" s="28"/>
      <c r="O9135" s="28"/>
      <c r="U9135" s="28"/>
    </row>
    <row r="9136">
      <c r="N9136" s="28"/>
      <c r="O9136" s="28"/>
      <c r="U9136" s="28"/>
    </row>
    <row r="9137">
      <c r="N9137" s="28"/>
      <c r="O9137" s="28"/>
      <c r="U9137" s="28"/>
    </row>
    <row r="9138">
      <c r="N9138" s="28"/>
      <c r="O9138" s="28"/>
      <c r="U9138" s="28"/>
    </row>
    <row r="9139">
      <c r="N9139" s="28"/>
      <c r="O9139" s="28"/>
      <c r="U9139" s="28"/>
    </row>
    <row r="9140">
      <c r="N9140" s="28"/>
      <c r="O9140" s="28"/>
      <c r="U9140" s="28"/>
    </row>
    <row r="9141">
      <c r="N9141" s="28"/>
      <c r="O9141" s="28"/>
      <c r="U9141" s="28"/>
    </row>
    <row r="9142">
      <c r="N9142" s="28"/>
      <c r="O9142" s="28"/>
      <c r="U9142" s="28"/>
    </row>
    <row r="9143">
      <c r="N9143" s="28"/>
      <c r="O9143" s="28"/>
      <c r="U9143" s="28"/>
    </row>
    <row r="9144">
      <c r="N9144" s="28"/>
      <c r="O9144" s="28"/>
      <c r="U9144" s="28"/>
    </row>
    <row r="9145">
      <c r="N9145" s="28"/>
      <c r="O9145" s="28"/>
      <c r="U9145" s="28"/>
    </row>
    <row r="9146">
      <c r="N9146" s="28"/>
      <c r="O9146" s="28"/>
      <c r="U9146" s="28"/>
    </row>
    <row r="9147">
      <c r="N9147" s="28"/>
      <c r="O9147" s="28"/>
      <c r="U9147" s="28"/>
    </row>
    <row r="9148">
      <c r="N9148" s="28"/>
      <c r="O9148" s="28"/>
      <c r="U9148" s="28"/>
    </row>
    <row r="9149">
      <c r="N9149" s="28"/>
      <c r="O9149" s="28"/>
      <c r="U9149" s="28"/>
    </row>
    <row r="9150">
      <c r="N9150" s="28"/>
      <c r="O9150" s="28"/>
      <c r="U9150" s="28"/>
    </row>
    <row r="9151">
      <c r="N9151" s="28"/>
      <c r="O9151" s="28"/>
      <c r="U9151" s="28"/>
    </row>
    <row r="9152">
      <c r="N9152" s="28"/>
      <c r="O9152" s="28"/>
      <c r="U9152" s="28"/>
    </row>
    <row r="9153">
      <c r="N9153" s="28"/>
      <c r="O9153" s="28"/>
      <c r="U9153" s="28"/>
    </row>
    <row r="9154">
      <c r="N9154" s="28"/>
      <c r="O9154" s="28"/>
      <c r="U9154" s="28"/>
    </row>
    <row r="9155">
      <c r="N9155" s="28"/>
      <c r="O9155" s="28"/>
      <c r="U9155" s="28"/>
    </row>
    <row r="9156">
      <c r="N9156" s="28"/>
      <c r="O9156" s="28"/>
      <c r="U9156" s="28"/>
    </row>
    <row r="9157">
      <c r="N9157" s="28"/>
      <c r="O9157" s="28"/>
      <c r="U9157" s="28"/>
    </row>
    <row r="9158">
      <c r="N9158" s="28"/>
      <c r="O9158" s="28"/>
      <c r="U9158" s="28"/>
    </row>
    <row r="9159">
      <c r="N9159" s="28"/>
      <c r="O9159" s="28"/>
      <c r="U9159" s="28"/>
    </row>
    <row r="9160">
      <c r="N9160" s="28"/>
      <c r="O9160" s="28"/>
      <c r="U9160" s="28"/>
    </row>
    <row r="9161">
      <c r="N9161" s="28"/>
      <c r="O9161" s="28"/>
      <c r="U9161" s="28"/>
    </row>
    <row r="9162">
      <c r="N9162" s="28"/>
      <c r="O9162" s="28"/>
      <c r="U9162" s="28"/>
    </row>
    <row r="9163">
      <c r="N9163" s="28"/>
      <c r="O9163" s="28"/>
      <c r="U9163" s="28"/>
    </row>
    <row r="9164">
      <c r="N9164" s="28"/>
      <c r="O9164" s="28"/>
      <c r="U9164" s="28"/>
    </row>
    <row r="9165">
      <c r="N9165" s="28"/>
      <c r="O9165" s="28"/>
      <c r="U9165" s="28"/>
    </row>
    <row r="9166">
      <c r="N9166" s="28"/>
      <c r="O9166" s="28"/>
      <c r="U9166" s="28"/>
    </row>
    <row r="9167">
      <c r="N9167" s="28"/>
      <c r="O9167" s="28"/>
      <c r="U9167" s="28"/>
    </row>
    <row r="9168">
      <c r="N9168" s="28"/>
      <c r="O9168" s="28"/>
      <c r="U9168" s="28"/>
    </row>
    <row r="9169">
      <c r="N9169" s="28"/>
      <c r="O9169" s="28"/>
      <c r="U9169" s="28"/>
    </row>
    <row r="9170">
      <c r="N9170" s="28"/>
      <c r="O9170" s="28"/>
      <c r="U9170" s="28"/>
    </row>
    <row r="9171">
      <c r="N9171" s="28"/>
      <c r="O9171" s="28"/>
      <c r="U9171" s="28"/>
    </row>
    <row r="9172">
      <c r="N9172" s="28"/>
      <c r="O9172" s="28"/>
      <c r="U9172" s="28"/>
    </row>
    <row r="9173">
      <c r="N9173" s="28"/>
      <c r="O9173" s="28"/>
      <c r="U9173" s="28"/>
    </row>
    <row r="9174">
      <c r="N9174" s="28"/>
      <c r="O9174" s="28"/>
      <c r="U9174" s="28"/>
    </row>
    <row r="9175">
      <c r="N9175" s="28"/>
      <c r="O9175" s="28"/>
      <c r="U9175" s="28"/>
    </row>
    <row r="9176">
      <c r="N9176" s="28"/>
      <c r="O9176" s="28"/>
      <c r="U9176" s="28"/>
    </row>
    <row r="9177">
      <c r="N9177" s="28"/>
      <c r="O9177" s="28"/>
      <c r="U9177" s="28"/>
    </row>
    <row r="9178">
      <c r="N9178" s="28"/>
      <c r="O9178" s="28"/>
      <c r="U9178" s="28"/>
    </row>
    <row r="9179">
      <c r="N9179" s="28"/>
      <c r="O9179" s="28"/>
      <c r="U9179" s="28"/>
    </row>
    <row r="9180">
      <c r="N9180" s="28"/>
      <c r="O9180" s="28"/>
      <c r="U9180" s="28"/>
    </row>
    <row r="9181">
      <c r="N9181" s="28"/>
      <c r="O9181" s="28"/>
      <c r="U9181" s="28"/>
    </row>
    <row r="9182">
      <c r="N9182" s="28"/>
      <c r="O9182" s="28"/>
      <c r="U9182" s="28"/>
    </row>
    <row r="9183">
      <c r="N9183" s="28"/>
      <c r="O9183" s="28"/>
      <c r="U9183" s="28"/>
    </row>
    <row r="9184">
      <c r="N9184" s="28"/>
      <c r="O9184" s="28"/>
      <c r="U9184" s="28"/>
    </row>
    <row r="9185">
      <c r="N9185" s="28"/>
      <c r="O9185" s="28"/>
      <c r="U9185" s="28"/>
    </row>
    <row r="9186">
      <c r="N9186" s="28"/>
      <c r="O9186" s="28"/>
      <c r="U9186" s="28"/>
    </row>
    <row r="9187">
      <c r="N9187" s="28"/>
      <c r="O9187" s="28"/>
      <c r="U9187" s="28"/>
    </row>
    <row r="9188">
      <c r="N9188" s="28"/>
      <c r="O9188" s="28"/>
      <c r="U9188" s="28"/>
    </row>
    <row r="9189">
      <c r="N9189" s="28"/>
      <c r="O9189" s="28"/>
      <c r="U9189" s="28"/>
    </row>
    <row r="9190">
      <c r="N9190" s="28"/>
      <c r="O9190" s="28"/>
      <c r="U9190" s="28"/>
    </row>
    <row r="9191">
      <c r="N9191" s="28"/>
      <c r="O9191" s="28"/>
      <c r="U9191" s="28"/>
    </row>
    <row r="9192">
      <c r="N9192" s="28"/>
      <c r="O9192" s="28"/>
      <c r="U9192" s="28"/>
    </row>
    <row r="9193">
      <c r="N9193" s="28"/>
      <c r="O9193" s="28"/>
      <c r="U9193" s="28"/>
    </row>
    <row r="9194">
      <c r="N9194" s="28"/>
      <c r="O9194" s="28"/>
      <c r="U9194" s="28"/>
    </row>
    <row r="9195">
      <c r="N9195" s="28"/>
      <c r="O9195" s="28"/>
      <c r="U9195" s="28"/>
    </row>
    <row r="9196">
      <c r="N9196" s="28"/>
      <c r="O9196" s="28"/>
      <c r="U9196" s="28"/>
    </row>
    <row r="9197">
      <c r="N9197" s="28"/>
      <c r="O9197" s="28"/>
      <c r="U9197" s="28"/>
    </row>
    <row r="9198">
      <c r="N9198" s="28"/>
      <c r="O9198" s="28"/>
      <c r="U9198" s="28"/>
    </row>
    <row r="9199">
      <c r="N9199" s="28"/>
      <c r="O9199" s="28"/>
      <c r="U9199" s="28"/>
    </row>
    <row r="9200">
      <c r="N9200" s="28"/>
      <c r="O9200" s="28"/>
      <c r="U9200" s="28"/>
    </row>
    <row r="9201">
      <c r="N9201" s="28"/>
      <c r="O9201" s="28"/>
      <c r="U9201" s="28"/>
    </row>
    <row r="9202">
      <c r="N9202" s="28"/>
      <c r="O9202" s="28"/>
      <c r="U9202" s="28"/>
    </row>
    <row r="9203">
      <c r="N9203" s="28"/>
      <c r="O9203" s="28"/>
      <c r="U9203" s="28"/>
    </row>
    <row r="9204">
      <c r="N9204" s="28"/>
      <c r="O9204" s="28"/>
      <c r="U9204" s="28"/>
    </row>
    <row r="9205">
      <c r="N9205" s="28"/>
      <c r="O9205" s="28"/>
      <c r="U9205" s="28"/>
    </row>
    <row r="9206">
      <c r="N9206" s="28"/>
      <c r="O9206" s="28"/>
      <c r="U9206" s="28"/>
    </row>
    <row r="9207">
      <c r="N9207" s="28"/>
      <c r="O9207" s="28"/>
      <c r="U9207" s="28"/>
    </row>
    <row r="9208">
      <c r="N9208" s="28"/>
      <c r="O9208" s="28"/>
      <c r="U9208" s="28"/>
    </row>
    <row r="9209">
      <c r="N9209" s="28"/>
      <c r="O9209" s="28"/>
      <c r="U9209" s="28"/>
    </row>
    <row r="9210">
      <c r="N9210" s="28"/>
      <c r="O9210" s="28"/>
      <c r="U9210" s="28"/>
    </row>
    <row r="9211">
      <c r="N9211" s="28"/>
      <c r="O9211" s="28"/>
      <c r="U9211" s="28"/>
    </row>
    <row r="9212">
      <c r="N9212" s="28"/>
      <c r="O9212" s="28"/>
      <c r="U9212" s="28"/>
    </row>
    <row r="9213">
      <c r="N9213" s="28"/>
      <c r="O9213" s="28"/>
      <c r="U9213" s="28"/>
    </row>
    <row r="9214">
      <c r="N9214" s="28"/>
      <c r="O9214" s="28"/>
      <c r="U9214" s="28"/>
    </row>
    <row r="9215">
      <c r="N9215" s="28"/>
      <c r="O9215" s="28"/>
      <c r="U9215" s="28"/>
    </row>
    <row r="9216">
      <c r="N9216" s="28"/>
      <c r="O9216" s="28"/>
      <c r="U9216" s="28"/>
    </row>
    <row r="9217">
      <c r="N9217" s="28"/>
      <c r="O9217" s="28"/>
      <c r="U9217" s="28"/>
    </row>
    <row r="9218">
      <c r="N9218" s="28"/>
      <c r="O9218" s="28"/>
      <c r="U9218" s="28"/>
    </row>
    <row r="9219">
      <c r="N9219" s="28"/>
      <c r="O9219" s="28"/>
      <c r="U9219" s="28"/>
    </row>
    <row r="9220">
      <c r="N9220" s="28"/>
      <c r="O9220" s="28"/>
      <c r="U9220" s="28"/>
    </row>
    <row r="9221">
      <c r="N9221" s="28"/>
      <c r="O9221" s="28"/>
      <c r="U9221" s="28"/>
    </row>
    <row r="9222">
      <c r="N9222" s="28"/>
      <c r="O9222" s="28"/>
      <c r="U9222" s="28"/>
    </row>
    <row r="9223">
      <c r="N9223" s="28"/>
      <c r="O9223" s="28"/>
      <c r="U9223" s="28"/>
    </row>
    <row r="9224">
      <c r="N9224" s="28"/>
      <c r="O9224" s="28"/>
      <c r="U9224" s="28"/>
    </row>
    <row r="9225">
      <c r="N9225" s="28"/>
      <c r="O9225" s="28"/>
      <c r="U9225" s="28"/>
    </row>
    <row r="9226">
      <c r="N9226" s="28"/>
      <c r="O9226" s="28"/>
      <c r="U9226" s="28"/>
    </row>
    <row r="9227">
      <c r="N9227" s="28"/>
      <c r="O9227" s="28"/>
      <c r="U9227" s="28"/>
    </row>
    <row r="9228">
      <c r="N9228" s="28"/>
      <c r="O9228" s="28"/>
      <c r="U9228" s="28"/>
    </row>
    <row r="9229">
      <c r="N9229" s="28"/>
      <c r="O9229" s="28"/>
      <c r="U9229" s="28"/>
    </row>
    <row r="9230">
      <c r="N9230" s="28"/>
      <c r="O9230" s="28"/>
      <c r="U9230" s="28"/>
    </row>
    <row r="9231">
      <c r="N9231" s="28"/>
      <c r="O9231" s="28"/>
      <c r="U9231" s="28"/>
    </row>
    <row r="9232">
      <c r="N9232" s="28"/>
      <c r="O9232" s="28"/>
      <c r="U9232" s="28"/>
    </row>
    <row r="9233">
      <c r="N9233" s="28"/>
      <c r="O9233" s="28"/>
      <c r="U9233" s="28"/>
    </row>
    <row r="9234">
      <c r="N9234" s="28"/>
      <c r="O9234" s="28"/>
      <c r="U9234" s="28"/>
    </row>
    <row r="9235">
      <c r="N9235" s="28"/>
      <c r="O9235" s="28"/>
      <c r="U9235" s="28"/>
    </row>
    <row r="9236">
      <c r="N9236" s="28"/>
      <c r="O9236" s="28"/>
      <c r="U9236" s="28"/>
    </row>
    <row r="9237">
      <c r="N9237" s="28"/>
      <c r="O9237" s="28"/>
      <c r="U9237" s="28"/>
    </row>
    <row r="9238">
      <c r="N9238" s="28"/>
      <c r="O9238" s="28"/>
      <c r="U9238" s="28"/>
    </row>
    <row r="9239">
      <c r="N9239" s="28"/>
      <c r="O9239" s="28"/>
      <c r="U9239" s="28"/>
    </row>
    <row r="9240">
      <c r="N9240" s="28"/>
      <c r="O9240" s="28"/>
      <c r="U9240" s="28"/>
    </row>
    <row r="9241">
      <c r="N9241" s="28"/>
      <c r="O9241" s="28"/>
      <c r="U9241" s="28"/>
    </row>
    <row r="9242">
      <c r="N9242" s="28"/>
      <c r="O9242" s="28"/>
      <c r="U9242" s="28"/>
    </row>
    <row r="9243">
      <c r="N9243" s="28"/>
      <c r="O9243" s="28"/>
      <c r="U9243" s="28"/>
    </row>
    <row r="9244">
      <c r="N9244" s="28"/>
      <c r="O9244" s="28"/>
      <c r="U9244" s="28"/>
    </row>
    <row r="9245">
      <c r="N9245" s="28"/>
      <c r="O9245" s="28"/>
      <c r="U9245" s="28"/>
    </row>
    <row r="9246">
      <c r="N9246" s="28"/>
      <c r="O9246" s="28"/>
      <c r="U9246" s="28"/>
    </row>
    <row r="9247">
      <c r="N9247" s="28"/>
      <c r="O9247" s="28"/>
      <c r="U9247" s="28"/>
    </row>
    <row r="9248">
      <c r="N9248" s="28"/>
      <c r="O9248" s="28"/>
      <c r="U9248" s="28"/>
    </row>
    <row r="9249">
      <c r="N9249" s="28"/>
      <c r="O9249" s="28"/>
      <c r="U9249" s="28"/>
    </row>
    <row r="9250">
      <c r="N9250" s="28"/>
      <c r="O9250" s="28"/>
      <c r="U9250" s="28"/>
    </row>
    <row r="9251">
      <c r="N9251" s="28"/>
      <c r="O9251" s="28"/>
      <c r="U9251" s="28"/>
    </row>
    <row r="9252">
      <c r="N9252" s="28"/>
      <c r="O9252" s="28"/>
      <c r="U9252" s="28"/>
    </row>
    <row r="9253">
      <c r="N9253" s="28"/>
      <c r="O9253" s="28"/>
      <c r="U9253" s="28"/>
    </row>
    <row r="9254">
      <c r="N9254" s="28"/>
      <c r="O9254" s="28"/>
      <c r="U9254" s="28"/>
    </row>
    <row r="9255">
      <c r="N9255" s="28"/>
      <c r="O9255" s="28"/>
      <c r="U9255" s="28"/>
    </row>
    <row r="9256">
      <c r="N9256" s="28"/>
      <c r="O9256" s="28"/>
      <c r="U9256" s="28"/>
    </row>
    <row r="9257">
      <c r="N9257" s="28"/>
      <c r="O9257" s="28"/>
      <c r="U9257" s="28"/>
    </row>
    <row r="9258">
      <c r="N9258" s="28"/>
      <c r="O9258" s="28"/>
      <c r="U9258" s="28"/>
    </row>
    <row r="9259">
      <c r="N9259" s="28"/>
      <c r="O9259" s="28"/>
      <c r="U9259" s="28"/>
    </row>
    <row r="9260">
      <c r="N9260" s="28"/>
      <c r="O9260" s="28"/>
      <c r="U9260" s="28"/>
    </row>
    <row r="9261">
      <c r="N9261" s="28"/>
      <c r="O9261" s="28"/>
      <c r="U9261" s="28"/>
    </row>
    <row r="9262">
      <c r="N9262" s="28"/>
      <c r="O9262" s="28"/>
      <c r="U9262" s="28"/>
    </row>
    <row r="9263">
      <c r="N9263" s="28"/>
      <c r="O9263" s="28"/>
      <c r="U9263" s="28"/>
    </row>
    <row r="9264">
      <c r="N9264" s="28"/>
      <c r="O9264" s="28"/>
      <c r="U9264" s="28"/>
    </row>
    <row r="9265">
      <c r="N9265" s="28"/>
      <c r="O9265" s="28"/>
      <c r="U9265" s="28"/>
    </row>
    <row r="9266">
      <c r="N9266" s="28"/>
      <c r="O9266" s="28"/>
      <c r="U9266" s="28"/>
    </row>
    <row r="9267">
      <c r="N9267" s="28"/>
      <c r="O9267" s="28"/>
      <c r="U9267" s="28"/>
    </row>
    <row r="9268">
      <c r="N9268" s="28"/>
      <c r="O9268" s="28"/>
      <c r="U9268" s="28"/>
    </row>
    <row r="9269">
      <c r="N9269" s="28"/>
      <c r="O9269" s="28"/>
      <c r="U9269" s="28"/>
    </row>
    <row r="9270">
      <c r="N9270" s="28"/>
      <c r="O9270" s="28"/>
      <c r="U9270" s="28"/>
    </row>
    <row r="9271">
      <c r="N9271" s="28"/>
      <c r="O9271" s="28"/>
      <c r="U9271" s="28"/>
    </row>
    <row r="9272">
      <c r="N9272" s="28"/>
      <c r="O9272" s="28"/>
      <c r="U9272" s="28"/>
    </row>
    <row r="9273">
      <c r="N9273" s="28"/>
      <c r="O9273" s="28"/>
      <c r="U9273" s="28"/>
    </row>
    <row r="9274">
      <c r="N9274" s="28"/>
      <c r="O9274" s="28"/>
      <c r="U9274" s="28"/>
    </row>
    <row r="9275">
      <c r="N9275" s="28"/>
      <c r="O9275" s="28"/>
      <c r="U9275" s="28"/>
    </row>
    <row r="9276">
      <c r="N9276" s="28"/>
      <c r="O9276" s="28"/>
      <c r="U9276" s="28"/>
    </row>
    <row r="9277">
      <c r="N9277" s="28"/>
      <c r="O9277" s="28"/>
      <c r="U9277" s="28"/>
    </row>
    <row r="9278">
      <c r="N9278" s="28"/>
      <c r="O9278" s="28"/>
      <c r="U9278" s="28"/>
    </row>
    <row r="9279">
      <c r="N9279" s="28"/>
      <c r="O9279" s="28"/>
      <c r="U9279" s="28"/>
    </row>
    <row r="9280">
      <c r="N9280" s="28"/>
      <c r="O9280" s="28"/>
      <c r="U9280" s="28"/>
    </row>
    <row r="9281">
      <c r="N9281" s="28"/>
      <c r="O9281" s="28"/>
      <c r="U9281" s="28"/>
    </row>
    <row r="9282">
      <c r="N9282" s="28"/>
      <c r="O9282" s="28"/>
      <c r="U9282" s="28"/>
    </row>
    <row r="9283">
      <c r="N9283" s="28"/>
      <c r="O9283" s="28"/>
      <c r="U9283" s="28"/>
    </row>
    <row r="9284">
      <c r="N9284" s="28"/>
      <c r="O9284" s="28"/>
      <c r="U9284" s="28"/>
    </row>
    <row r="9285">
      <c r="N9285" s="28"/>
      <c r="O9285" s="28"/>
      <c r="U9285" s="28"/>
    </row>
    <row r="9286">
      <c r="N9286" s="28"/>
      <c r="O9286" s="28"/>
      <c r="U9286" s="28"/>
    </row>
    <row r="9287">
      <c r="N9287" s="28"/>
      <c r="O9287" s="28"/>
      <c r="U9287" s="28"/>
    </row>
    <row r="9288">
      <c r="N9288" s="28"/>
      <c r="O9288" s="28"/>
      <c r="U9288" s="28"/>
    </row>
    <row r="9289">
      <c r="N9289" s="28"/>
      <c r="O9289" s="28"/>
      <c r="U9289" s="28"/>
    </row>
    <row r="9290">
      <c r="N9290" s="28"/>
      <c r="O9290" s="28"/>
      <c r="U9290" s="28"/>
    </row>
    <row r="9291">
      <c r="N9291" s="28"/>
      <c r="O9291" s="28"/>
      <c r="U9291" s="28"/>
    </row>
    <row r="9292">
      <c r="N9292" s="28"/>
      <c r="O9292" s="28"/>
      <c r="U9292" s="28"/>
    </row>
    <row r="9293">
      <c r="N9293" s="28"/>
      <c r="O9293" s="28"/>
      <c r="U9293" s="28"/>
    </row>
    <row r="9294">
      <c r="N9294" s="28"/>
      <c r="O9294" s="28"/>
      <c r="U9294" s="28"/>
    </row>
    <row r="9295">
      <c r="N9295" s="28"/>
      <c r="O9295" s="28"/>
      <c r="U9295" s="28"/>
    </row>
    <row r="9296">
      <c r="N9296" s="28"/>
      <c r="O9296" s="28"/>
      <c r="U9296" s="28"/>
    </row>
    <row r="9297">
      <c r="N9297" s="28"/>
      <c r="O9297" s="28"/>
      <c r="U9297" s="28"/>
    </row>
    <row r="9298">
      <c r="N9298" s="28"/>
      <c r="O9298" s="28"/>
      <c r="U9298" s="28"/>
    </row>
    <row r="9299">
      <c r="N9299" s="28"/>
      <c r="O9299" s="28"/>
      <c r="U9299" s="28"/>
    </row>
    <row r="9300">
      <c r="N9300" s="28"/>
      <c r="O9300" s="28"/>
      <c r="U9300" s="28"/>
    </row>
    <row r="9301">
      <c r="N9301" s="28"/>
      <c r="O9301" s="28"/>
      <c r="U9301" s="28"/>
    </row>
    <row r="9302">
      <c r="N9302" s="28"/>
      <c r="O9302" s="28"/>
      <c r="U9302" s="28"/>
    </row>
    <row r="9303">
      <c r="N9303" s="28"/>
      <c r="O9303" s="28"/>
      <c r="U9303" s="28"/>
    </row>
    <row r="9304">
      <c r="N9304" s="28"/>
      <c r="O9304" s="28"/>
      <c r="U9304" s="28"/>
    </row>
    <row r="9305">
      <c r="N9305" s="28"/>
      <c r="O9305" s="28"/>
      <c r="U9305" s="28"/>
    </row>
    <row r="9306">
      <c r="N9306" s="28"/>
      <c r="O9306" s="28"/>
      <c r="U9306" s="28"/>
    </row>
    <row r="9307">
      <c r="N9307" s="28"/>
      <c r="O9307" s="28"/>
      <c r="U9307" s="28"/>
    </row>
    <row r="9308">
      <c r="N9308" s="28"/>
      <c r="O9308" s="28"/>
      <c r="U9308" s="28"/>
    </row>
    <row r="9309">
      <c r="N9309" s="28"/>
      <c r="O9309" s="28"/>
      <c r="U9309" s="28"/>
    </row>
    <row r="9310">
      <c r="N9310" s="28"/>
      <c r="O9310" s="28"/>
      <c r="U9310" s="28"/>
    </row>
    <row r="9311">
      <c r="N9311" s="28"/>
      <c r="O9311" s="28"/>
      <c r="U9311" s="28"/>
    </row>
    <row r="9312">
      <c r="N9312" s="28"/>
      <c r="O9312" s="28"/>
      <c r="U9312" s="28"/>
    </row>
    <row r="9313">
      <c r="N9313" s="28"/>
      <c r="O9313" s="28"/>
      <c r="U9313" s="28"/>
    </row>
    <row r="9314">
      <c r="N9314" s="28"/>
      <c r="O9314" s="28"/>
      <c r="U9314" s="28"/>
    </row>
    <row r="9315">
      <c r="N9315" s="28"/>
      <c r="O9315" s="28"/>
      <c r="U9315" s="28"/>
    </row>
    <row r="9316">
      <c r="N9316" s="28"/>
      <c r="O9316" s="28"/>
      <c r="U9316" s="28"/>
    </row>
    <row r="9317">
      <c r="N9317" s="28"/>
      <c r="O9317" s="28"/>
      <c r="U9317" s="28"/>
    </row>
    <row r="9318">
      <c r="N9318" s="28"/>
      <c r="O9318" s="28"/>
      <c r="U9318" s="28"/>
    </row>
    <row r="9319">
      <c r="N9319" s="28"/>
      <c r="O9319" s="28"/>
      <c r="U9319" s="28"/>
    </row>
    <row r="9320">
      <c r="N9320" s="28"/>
      <c r="O9320" s="28"/>
      <c r="U9320" s="28"/>
    </row>
    <row r="9321">
      <c r="N9321" s="28"/>
      <c r="O9321" s="28"/>
      <c r="U9321" s="28"/>
    </row>
    <row r="9322">
      <c r="N9322" s="28"/>
      <c r="O9322" s="28"/>
      <c r="U9322" s="28"/>
    </row>
    <row r="9323">
      <c r="N9323" s="28"/>
      <c r="O9323" s="28"/>
      <c r="U9323" s="28"/>
    </row>
    <row r="9324">
      <c r="N9324" s="28"/>
      <c r="O9324" s="28"/>
      <c r="U9324" s="28"/>
    </row>
    <row r="9325">
      <c r="N9325" s="28"/>
      <c r="O9325" s="28"/>
      <c r="U9325" s="28"/>
    </row>
    <row r="9326">
      <c r="N9326" s="28"/>
      <c r="O9326" s="28"/>
      <c r="U9326" s="28"/>
    </row>
    <row r="9327">
      <c r="N9327" s="28"/>
      <c r="O9327" s="28"/>
      <c r="U9327" s="28"/>
    </row>
    <row r="9328">
      <c r="N9328" s="28"/>
      <c r="O9328" s="28"/>
      <c r="U9328" s="28"/>
    </row>
    <row r="9329">
      <c r="N9329" s="28"/>
      <c r="O9329" s="28"/>
      <c r="U9329" s="28"/>
    </row>
    <row r="9330">
      <c r="N9330" s="28"/>
      <c r="O9330" s="28"/>
      <c r="U9330" s="28"/>
    </row>
    <row r="9331">
      <c r="N9331" s="28"/>
      <c r="O9331" s="28"/>
      <c r="U9331" s="28"/>
    </row>
    <row r="9332">
      <c r="N9332" s="28"/>
      <c r="O9332" s="28"/>
      <c r="U9332" s="28"/>
    </row>
    <row r="9333">
      <c r="N9333" s="28"/>
      <c r="O9333" s="28"/>
      <c r="U9333" s="28"/>
    </row>
    <row r="9334">
      <c r="N9334" s="28"/>
      <c r="O9334" s="28"/>
      <c r="U9334" s="28"/>
    </row>
    <row r="9335">
      <c r="N9335" s="28"/>
      <c r="O9335" s="28"/>
      <c r="U9335" s="28"/>
    </row>
    <row r="9336">
      <c r="N9336" s="28"/>
      <c r="O9336" s="28"/>
      <c r="U9336" s="28"/>
    </row>
    <row r="9337">
      <c r="N9337" s="28"/>
      <c r="O9337" s="28"/>
      <c r="U9337" s="28"/>
    </row>
    <row r="9338">
      <c r="N9338" s="28"/>
      <c r="O9338" s="28"/>
      <c r="U9338" s="28"/>
    </row>
    <row r="9339">
      <c r="N9339" s="28"/>
      <c r="O9339" s="28"/>
      <c r="U9339" s="28"/>
    </row>
    <row r="9340">
      <c r="N9340" s="28"/>
      <c r="O9340" s="28"/>
      <c r="U9340" s="28"/>
    </row>
    <row r="9341">
      <c r="N9341" s="28"/>
      <c r="O9341" s="28"/>
      <c r="U9341" s="28"/>
    </row>
    <row r="9342">
      <c r="N9342" s="28"/>
      <c r="O9342" s="28"/>
      <c r="U9342" s="28"/>
    </row>
    <row r="9343">
      <c r="N9343" s="28"/>
      <c r="O9343" s="28"/>
      <c r="U9343" s="28"/>
    </row>
    <row r="9344">
      <c r="N9344" s="28"/>
      <c r="O9344" s="28"/>
      <c r="U9344" s="28"/>
    </row>
    <row r="9345">
      <c r="N9345" s="28"/>
      <c r="O9345" s="28"/>
      <c r="U9345" s="28"/>
    </row>
    <row r="9346">
      <c r="N9346" s="28"/>
      <c r="O9346" s="28"/>
      <c r="U9346" s="28"/>
    </row>
    <row r="9347">
      <c r="N9347" s="28"/>
      <c r="O9347" s="28"/>
      <c r="U9347" s="28"/>
    </row>
    <row r="9348">
      <c r="N9348" s="28"/>
      <c r="O9348" s="28"/>
      <c r="U9348" s="28"/>
    </row>
    <row r="9349">
      <c r="N9349" s="28"/>
      <c r="O9349" s="28"/>
      <c r="U9349" s="28"/>
    </row>
    <row r="9350">
      <c r="N9350" s="28"/>
      <c r="O9350" s="28"/>
      <c r="U9350" s="28"/>
    </row>
    <row r="9351">
      <c r="N9351" s="28"/>
      <c r="O9351" s="28"/>
      <c r="U9351" s="28"/>
    </row>
    <row r="9352">
      <c r="N9352" s="28"/>
      <c r="O9352" s="28"/>
      <c r="U9352" s="28"/>
    </row>
    <row r="9353">
      <c r="N9353" s="28"/>
      <c r="O9353" s="28"/>
      <c r="U9353" s="28"/>
    </row>
    <row r="9354">
      <c r="N9354" s="28"/>
      <c r="O9354" s="28"/>
      <c r="U9354" s="28"/>
    </row>
    <row r="9355">
      <c r="N9355" s="28"/>
      <c r="O9355" s="28"/>
      <c r="U9355" s="28"/>
    </row>
    <row r="9356">
      <c r="N9356" s="28"/>
      <c r="O9356" s="28"/>
      <c r="U9356" s="28"/>
    </row>
    <row r="9357">
      <c r="N9357" s="28"/>
      <c r="O9357" s="28"/>
      <c r="U9357" s="28"/>
    </row>
    <row r="9358">
      <c r="N9358" s="28"/>
      <c r="O9358" s="28"/>
      <c r="U9358" s="28"/>
    </row>
    <row r="9359">
      <c r="N9359" s="28"/>
      <c r="O9359" s="28"/>
      <c r="U9359" s="28"/>
    </row>
    <row r="9360">
      <c r="N9360" s="28"/>
      <c r="O9360" s="28"/>
      <c r="U9360" s="28"/>
    </row>
    <row r="9361">
      <c r="N9361" s="28"/>
      <c r="O9361" s="28"/>
      <c r="U9361" s="28"/>
    </row>
    <row r="9362">
      <c r="N9362" s="28"/>
      <c r="O9362" s="28"/>
      <c r="U9362" s="28"/>
    </row>
    <row r="9363">
      <c r="N9363" s="28"/>
      <c r="O9363" s="28"/>
      <c r="U9363" s="28"/>
    </row>
    <row r="9364">
      <c r="N9364" s="28"/>
      <c r="O9364" s="28"/>
      <c r="U9364" s="28"/>
    </row>
    <row r="9365">
      <c r="N9365" s="28"/>
      <c r="O9365" s="28"/>
      <c r="U9365" s="28"/>
    </row>
    <row r="9366">
      <c r="N9366" s="28"/>
      <c r="O9366" s="28"/>
      <c r="U9366" s="28"/>
    </row>
    <row r="9367">
      <c r="N9367" s="28"/>
      <c r="O9367" s="28"/>
      <c r="U9367" s="28"/>
    </row>
    <row r="9368">
      <c r="N9368" s="28"/>
      <c r="O9368" s="28"/>
      <c r="U9368" s="28"/>
    </row>
    <row r="9369">
      <c r="N9369" s="28"/>
      <c r="O9369" s="28"/>
      <c r="U9369" s="28"/>
    </row>
    <row r="9370">
      <c r="N9370" s="28"/>
      <c r="O9370" s="28"/>
      <c r="U9370" s="28"/>
    </row>
    <row r="9371">
      <c r="N9371" s="28"/>
      <c r="O9371" s="28"/>
      <c r="U9371" s="28"/>
    </row>
    <row r="9372">
      <c r="N9372" s="28"/>
      <c r="O9372" s="28"/>
      <c r="U9372" s="28"/>
    </row>
    <row r="9373">
      <c r="N9373" s="28"/>
      <c r="O9373" s="28"/>
      <c r="U9373" s="28"/>
    </row>
    <row r="9374">
      <c r="N9374" s="28"/>
      <c r="O9374" s="28"/>
      <c r="U9374" s="28"/>
    </row>
    <row r="9375">
      <c r="N9375" s="28"/>
      <c r="O9375" s="28"/>
      <c r="U9375" s="28"/>
    </row>
    <row r="9376">
      <c r="N9376" s="28"/>
      <c r="O9376" s="28"/>
      <c r="U9376" s="28"/>
    </row>
    <row r="9377">
      <c r="N9377" s="28"/>
      <c r="O9377" s="28"/>
      <c r="U9377" s="28"/>
    </row>
    <row r="9378">
      <c r="N9378" s="28"/>
      <c r="O9378" s="28"/>
      <c r="U9378" s="28"/>
    </row>
    <row r="9379">
      <c r="N9379" s="28"/>
      <c r="O9379" s="28"/>
      <c r="U9379" s="28"/>
    </row>
    <row r="9380">
      <c r="N9380" s="28"/>
      <c r="O9380" s="28"/>
      <c r="U9380" s="28"/>
    </row>
    <row r="9381">
      <c r="N9381" s="28"/>
      <c r="O9381" s="28"/>
      <c r="U9381" s="28"/>
    </row>
    <row r="9382">
      <c r="N9382" s="28"/>
      <c r="O9382" s="28"/>
      <c r="U9382" s="28"/>
    </row>
    <row r="9383">
      <c r="N9383" s="28"/>
      <c r="O9383" s="28"/>
      <c r="U9383" s="28"/>
    </row>
    <row r="9384">
      <c r="N9384" s="28"/>
      <c r="O9384" s="28"/>
      <c r="U9384" s="28"/>
    </row>
    <row r="9385">
      <c r="N9385" s="28"/>
      <c r="O9385" s="28"/>
      <c r="U9385" s="28"/>
    </row>
    <row r="9386">
      <c r="N9386" s="28"/>
      <c r="O9386" s="28"/>
      <c r="U9386" s="28"/>
    </row>
    <row r="9387">
      <c r="N9387" s="28"/>
      <c r="O9387" s="28"/>
      <c r="U9387" s="28"/>
    </row>
    <row r="9388">
      <c r="N9388" s="28"/>
      <c r="O9388" s="28"/>
      <c r="U9388" s="28"/>
    </row>
    <row r="9389">
      <c r="N9389" s="28"/>
      <c r="O9389" s="28"/>
      <c r="U9389" s="28"/>
    </row>
    <row r="9390">
      <c r="N9390" s="28"/>
      <c r="O9390" s="28"/>
      <c r="U9390" s="28"/>
    </row>
    <row r="9391">
      <c r="N9391" s="28"/>
      <c r="O9391" s="28"/>
      <c r="U9391" s="28"/>
    </row>
    <row r="9392">
      <c r="N9392" s="28"/>
      <c r="O9392" s="28"/>
      <c r="U9392" s="28"/>
    </row>
    <row r="9393">
      <c r="N9393" s="28"/>
      <c r="O9393" s="28"/>
      <c r="U9393" s="28"/>
    </row>
    <row r="9394">
      <c r="N9394" s="28"/>
      <c r="O9394" s="28"/>
      <c r="U9394" s="28"/>
    </row>
    <row r="9395">
      <c r="N9395" s="28"/>
      <c r="O9395" s="28"/>
      <c r="U9395" s="28"/>
    </row>
    <row r="9396">
      <c r="N9396" s="28"/>
      <c r="O9396" s="28"/>
      <c r="U9396" s="28"/>
    </row>
    <row r="9397">
      <c r="N9397" s="28"/>
      <c r="O9397" s="28"/>
      <c r="U9397" s="28"/>
    </row>
    <row r="9398">
      <c r="N9398" s="28"/>
      <c r="O9398" s="28"/>
      <c r="U9398" s="28"/>
    </row>
    <row r="9399">
      <c r="N9399" s="28"/>
      <c r="O9399" s="28"/>
      <c r="U9399" s="28"/>
    </row>
    <row r="9400">
      <c r="N9400" s="28"/>
      <c r="O9400" s="28"/>
      <c r="U9400" s="28"/>
    </row>
    <row r="9401">
      <c r="N9401" s="28"/>
      <c r="O9401" s="28"/>
      <c r="U9401" s="28"/>
    </row>
    <row r="9402">
      <c r="N9402" s="28"/>
      <c r="O9402" s="28"/>
      <c r="U9402" s="28"/>
    </row>
    <row r="9403">
      <c r="N9403" s="28"/>
      <c r="O9403" s="28"/>
      <c r="U9403" s="28"/>
    </row>
    <row r="9404">
      <c r="N9404" s="28"/>
      <c r="O9404" s="28"/>
      <c r="U9404" s="28"/>
    </row>
    <row r="9405">
      <c r="N9405" s="28"/>
      <c r="O9405" s="28"/>
      <c r="U9405" s="28"/>
    </row>
    <row r="9406">
      <c r="N9406" s="28"/>
      <c r="O9406" s="28"/>
      <c r="U9406" s="28"/>
    </row>
    <row r="9407">
      <c r="N9407" s="28"/>
      <c r="O9407" s="28"/>
      <c r="U9407" s="28"/>
    </row>
    <row r="9408">
      <c r="N9408" s="28"/>
      <c r="O9408" s="28"/>
      <c r="U9408" s="28"/>
    </row>
    <row r="9409">
      <c r="N9409" s="28"/>
      <c r="O9409" s="28"/>
      <c r="U9409" s="28"/>
    </row>
    <row r="9410">
      <c r="N9410" s="28"/>
      <c r="O9410" s="28"/>
      <c r="U9410" s="28"/>
    </row>
    <row r="9411">
      <c r="N9411" s="28"/>
      <c r="O9411" s="28"/>
      <c r="U9411" s="28"/>
    </row>
    <row r="9412">
      <c r="N9412" s="28"/>
      <c r="O9412" s="28"/>
      <c r="U9412" s="28"/>
    </row>
    <row r="9413">
      <c r="N9413" s="28"/>
      <c r="O9413" s="28"/>
      <c r="U9413" s="28"/>
    </row>
    <row r="9414">
      <c r="N9414" s="28"/>
      <c r="O9414" s="28"/>
      <c r="U9414" s="28"/>
    </row>
    <row r="9415">
      <c r="N9415" s="28"/>
      <c r="O9415" s="28"/>
      <c r="U9415" s="28"/>
    </row>
    <row r="9416">
      <c r="N9416" s="28"/>
      <c r="O9416" s="28"/>
      <c r="U9416" s="28"/>
    </row>
    <row r="9417">
      <c r="N9417" s="28"/>
      <c r="O9417" s="28"/>
      <c r="U9417" s="28"/>
    </row>
    <row r="9418">
      <c r="N9418" s="28"/>
      <c r="O9418" s="28"/>
      <c r="U9418" s="28"/>
    </row>
    <row r="9419">
      <c r="N9419" s="28"/>
      <c r="O9419" s="28"/>
      <c r="U9419" s="28"/>
    </row>
    <row r="9420">
      <c r="N9420" s="28"/>
      <c r="O9420" s="28"/>
      <c r="U9420" s="28"/>
    </row>
    <row r="9421">
      <c r="N9421" s="28"/>
      <c r="O9421" s="28"/>
      <c r="U9421" s="28"/>
    </row>
    <row r="9422">
      <c r="N9422" s="28"/>
      <c r="O9422" s="28"/>
      <c r="U9422" s="28"/>
    </row>
    <row r="9423">
      <c r="N9423" s="28"/>
      <c r="O9423" s="28"/>
      <c r="U9423" s="28"/>
    </row>
    <row r="9424">
      <c r="N9424" s="28"/>
      <c r="O9424" s="28"/>
      <c r="U9424" s="28"/>
    </row>
    <row r="9425">
      <c r="N9425" s="28"/>
      <c r="O9425" s="28"/>
      <c r="U9425" s="28"/>
    </row>
    <row r="9426">
      <c r="N9426" s="28"/>
      <c r="O9426" s="28"/>
      <c r="U9426" s="28"/>
    </row>
    <row r="9427">
      <c r="N9427" s="28"/>
      <c r="O9427" s="28"/>
      <c r="U9427" s="28"/>
    </row>
    <row r="9428">
      <c r="N9428" s="28"/>
      <c r="O9428" s="28"/>
      <c r="U9428" s="28"/>
    </row>
    <row r="9429">
      <c r="N9429" s="28"/>
      <c r="O9429" s="28"/>
      <c r="U9429" s="28"/>
    </row>
    <row r="9430">
      <c r="N9430" s="28"/>
      <c r="O9430" s="28"/>
      <c r="U9430" s="28"/>
    </row>
    <row r="9431">
      <c r="N9431" s="28"/>
      <c r="O9431" s="28"/>
      <c r="U9431" s="28"/>
    </row>
    <row r="9432">
      <c r="N9432" s="28"/>
      <c r="O9432" s="28"/>
      <c r="U9432" s="28"/>
    </row>
    <row r="9433">
      <c r="N9433" s="28"/>
      <c r="O9433" s="28"/>
      <c r="U9433" s="28"/>
    </row>
    <row r="9434">
      <c r="N9434" s="28"/>
      <c r="O9434" s="28"/>
      <c r="U9434" s="28"/>
    </row>
    <row r="9435">
      <c r="N9435" s="28"/>
      <c r="O9435" s="28"/>
      <c r="U9435" s="28"/>
    </row>
    <row r="9436">
      <c r="N9436" s="28"/>
      <c r="O9436" s="28"/>
      <c r="U9436" s="28"/>
    </row>
    <row r="9437">
      <c r="N9437" s="28"/>
      <c r="O9437" s="28"/>
      <c r="U9437" s="28"/>
    </row>
    <row r="9438">
      <c r="N9438" s="28"/>
      <c r="O9438" s="28"/>
      <c r="U9438" s="28"/>
    </row>
    <row r="9439">
      <c r="N9439" s="28"/>
      <c r="O9439" s="28"/>
      <c r="U9439" s="28"/>
    </row>
    <row r="9440">
      <c r="N9440" s="28"/>
      <c r="O9440" s="28"/>
      <c r="U9440" s="28"/>
    </row>
    <row r="9441">
      <c r="N9441" s="28"/>
      <c r="O9441" s="28"/>
      <c r="U9441" s="28"/>
    </row>
    <row r="9442">
      <c r="N9442" s="28"/>
      <c r="O9442" s="28"/>
      <c r="U9442" s="28"/>
    </row>
    <row r="9443">
      <c r="N9443" s="28"/>
      <c r="O9443" s="28"/>
      <c r="U9443" s="28"/>
    </row>
    <row r="9444">
      <c r="N9444" s="28"/>
      <c r="O9444" s="28"/>
      <c r="U9444" s="28"/>
    </row>
    <row r="9445">
      <c r="N9445" s="28"/>
      <c r="O9445" s="28"/>
      <c r="U9445" s="28"/>
    </row>
    <row r="9446">
      <c r="N9446" s="28"/>
      <c r="O9446" s="28"/>
      <c r="U9446" s="28"/>
    </row>
    <row r="9447">
      <c r="N9447" s="28"/>
      <c r="O9447" s="28"/>
      <c r="U9447" s="28"/>
    </row>
    <row r="9448">
      <c r="N9448" s="28"/>
      <c r="O9448" s="28"/>
      <c r="U9448" s="28"/>
    </row>
    <row r="9449">
      <c r="N9449" s="28"/>
      <c r="O9449" s="28"/>
      <c r="U9449" s="28"/>
    </row>
    <row r="9450">
      <c r="N9450" s="28"/>
      <c r="O9450" s="28"/>
      <c r="U9450" s="28"/>
    </row>
    <row r="9451">
      <c r="N9451" s="28"/>
      <c r="O9451" s="28"/>
      <c r="U9451" s="28"/>
    </row>
    <row r="9452">
      <c r="N9452" s="28"/>
      <c r="O9452" s="28"/>
      <c r="U9452" s="28"/>
    </row>
    <row r="9453">
      <c r="N9453" s="28"/>
      <c r="O9453" s="28"/>
      <c r="U9453" s="28"/>
    </row>
    <row r="9454">
      <c r="N9454" s="28"/>
      <c r="O9454" s="28"/>
      <c r="U9454" s="28"/>
    </row>
    <row r="9455">
      <c r="N9455" s="28"/>
      <c r="O9455" s="28"/>
      <c r="U9455" s="28"/>
    </row>
    <row r="9456">
      <c r="N9456" s="28"/>
      <c r="O9456" s="28"/>
      <c r="U9456" s="28"/>
    </row>
    <row r="9457">
      <c r="N9457" s="28"/>
      <c r="O9457" s="28"/>
      <c r="U9457" s="28"/>
    </row>
    <row r="9458">
      <c r="N9458" s="28"/>
      <c r="O9458" s="28"/>
      <c r="U9458" s="28"/>
    </row>
    <row r="9459">
      <c r="N9459" s="28"/>
      <c r="O9459" s="28"/>
      <c r="U9459" s="28"/>
    </row>
    <row r="9460">
      <c r="N9460" s="28"/>
      <c r="O9460" s="28"/>
      <c r="U9460" s="28"/>
    </row>
    <row r="9461">
      <c r="N9461" s="28"/>
      <c r="O9461" s="28"/>
      <c r="U9461" s="28"/>
    </row>
    <row r="9462">
      <c r="N9462" s="28"/>
      <c r="O9462" s="28"/>
      <c r="U9462" s="28"/>
    </row>
    <row r="9463">
      <c r="N9463" s="28"/>
      <c r="O9463" s="28"/>
      <c r="U9463" s="28"/>
    </row>
    <row r="9464">
      <c r="N9464" s="28"/>
      <c r="O9464" s="28"/>
      <c r="U9464" s="28"/>
    </row>
    <row r="9465">
      <c r="N9465" s="28"/>
      <c r="O9465" s="28"/>
      <c r="U9465" s="28"/>
    </row>
    <row r="9466">
      <c r="N9466" s="28"/>
      <c r="O9466" s="28"/>
      <c r="U9466" s="28"/>
    </row>
    <row r="9467">
      <c r="N9467" s="28"/>
      <c r="O9467" s="28"/>
      <c r="U9467" s="28"/>
    </row>
    <row r="9468">
      <c r="N9468" s="28"/>
      <c r="O9468" s="28"/>
      <c r="U9468" s="28"/>
    </row>
    <row r="9469">
      <c r="N9469" s="28"/>
      <c r="O9469" s="28"/>
      <c r="U9469" s="28"/>
    </row>
    <row r="9470">
      <c r="N9470" s="28"/>
      <c r="O9470" s="28"/>
      <c r="U9470" s="28"/>
    </row>
    <row r="9471">
      <c r="N9471" s="28"/>
      <c r="O9471" s="28"/>
      <c r="U9471" s="28"/>
    </row>
    <row r="9472">
      <c r="N9472" s="28"/>
      <c r="O9472" s="28"/>
      <c r="U9472" s="28"/>
    </row>
    <row r="9473">
      <c r="N9473" s="28"/>
      <c r="O9473" s="28"/>
      <c r="U9473" s="28"/>
    </row>
    <row r="9474">
      <c r="N9474" s="28"/>
      <c r="O9474" s="28"/>
      <c r="U9474" s="28"/>
    </row>
    <row r="9475">
      <c r="N9475" s="28"/>
      <c r="O9475" s="28"/>
      <c r="U9475" s="28"/>
    </row>
    <row r="9476">
      <c r="N9476" s="28"/>
      <c r="O9476" s="28"/>
      <c r="U9476" s="28"/>
    </row>
    <row r="9477">
      <c r="N9477" s="28"/>
      <c r="O9477" s="28"/>
      <c r="U9477" s="28"/>
    </row>
    <row r="9478">
      <c r="N9478" s="28"/>
      <c r="O9478" s="28"/>
      <c r="U9478" s="28"/>
    </row>
    <row r="9479">
      <c r="N9479" s="28"/>
      <c r="O9479" s="28"/>
      <c r="U9479" s="28"/>
    </row>
    <row r="9480">
      <c r="N9480" s="28"/>
      <c r="O9480" s="28"/>
      <c r="U9480" s="28"/>
    </row>
    <row r="9481">
      <c r="N9481" s="28"/>
      <c r="O9481" s="28"/>
      <c r="U9481" s="28"/>
    </row>
    <row r="9482">
      <c r="N9482" s="28"/>
      <c r="O9482" s="28"/>
      <c r="U9482" s="28"/>
    </row>
    <row r="9483">
      <c r="N9483" s="28"/>
      <c r="O9483" s="28"/>
      <c r="U9483" s="28"/>
    </row>
    <row r="9484">
      <c r="N9484" s="28"/>
      <c r="O9484" s="28"/>
      <c r="U9484" s="28"/>
    </row>
    <row r="9485">
      <c r="N9485" s="28"/>
      <c r="O9485" s="28"/>
      <c r="U9485" s="28"/>
    </row>
    <row r="9486">
      <c r="N9486" s="28"/>
      <c r="O9486" s="28"/>
      <c r="U9486" s="28"/>
    </row>
    <row r="9487">
      <c r="N9487" s="28"/>
      <c r="O9487" s="28"/>
      <c r="U9487" s="28"/>
    </row>
    <row r="9488">
      <c r="N9488" s="28"/>
      <c r="O9488" s="28"/>
      <c r="U9488" s="28"/>
    </row>
    <row r="9489">
      <c r="N9489" s="28"/>
      <c r="O9489" s="28"/>
      <c r="U9489" s="28"/>
    </row>
    <row r="9490">
      <c r="N9490" s="28"/>
      <c r="O9490" s="28"/>
      <c r="U9490" s="28"/>
    </row>
    <row r="9491">
      <c r="N9491" s="28"/>
      <c r="O9491" s="28"/>
      <c r="U9491" s="28"/>
    </row>
    <row r="9492">
      <c r="N9492" s="28"/>
      <c r="O9492" s="28"/>
      <c r="U9492" s="28"/>
    </row>
    <row r="9493">
      <c r="N9493" s="28"/>
      <c r="O9493" s="28"/>
      <c r="U9493" s="28"/>
    </row>
    <row r="9494">
      <c r="N9494" s="28"/>
      <c r="O9494" s="28"/>
      <c r="U9494" s="28"/>
    </row>
    <row r="9495">
      <c r="N9495" s="28"/>
      <c r="O9495" s="28"/>
      <c r="U9495" s="28"/>
    </row>
    <row r="9496">
      <c r="N9496" s="28"/>
      <c r="O9496" s="28"/>
      <c r="U9496" s="28"/>
    </row>
    <row r="9497">
      <c r="N9497" s="28"/>
      <c r="O9497" s="28"/>
      <c r="U9497" s="28"/>
    </row>
    <row r="9498">
      <c r="N9498" s="28"/>
      <c r="O9498" s="28"/>
      <c r="U9498" s="28"/>
    </row>
    <row r="9499">
      <c r="N9499" s="28"/>
      <c r="O9499" s="28"/>
      <c r="U9499" s="28"/>
    </row>
    <row r="9500">
      <c r="N9500" s="28"/>
      <c r="O9500" s="28"/>
      <c r="U9500" s="28"/>
    </row>
    <row r="9501">
      <c r="N9501" s="28"/>
      <c r="O9501" s="28"/>
      <c r="U9501" s="28"/>
    </row>
    <row r="9502">
      <c r="N9502" s="28"/>
      <c r="O9502" s="28"/>
      <c r="U9502" s="28"/>
    </row>
    <row r="9503">
      <c r="N9503" s="28"/>
      <c r="O9503" s="28"/>
      <c r="U9503" s="28"/>
    </row>
    <row r="9504">
      <c r="N9504" s="28"/>
      <c r="O9504" s="28"/>
      <c r="U9504" s="28"/>
    </row>
    <row r="9505">
      <c r="N9505" s="28"/>
      <c r="O9505" s="28"/>
      <c r="U9505" s="28"/>
    </row>
    <row r="9506">
      <c r="N9506" s="28"/>
      <c r="O9506" s="28"/>
      <c r="U9506" s="28"/>
    </row>
    <row r="9507">
      <c r="N9507" s="28"/>
      <c r="O9507" s="28"/>
      <c r="U9507" s="28"/>
    </row>
    <row r="9508">
      <c r="N9508" s="28"/>
      <c r="O9508" s="28"/>
      <c r="U9508" s="28"/>
    </row>
    <row r="9509">
      <c r="N9509" s="28"/>
      <c r="O9509" s="28"/>
      <c r="U9509" s="28"/>
    </row>
    <row r="9510">
      <c r="N9510" s="28"/>
      <c r="O9510" s="28"/>
      <c r="U9510" s="28"/>
    </row>
    <row r="9511">
      <c r="N9511" s="28"/>
      <c r="O9511" s="28"/>
      <c r="U9511" s="28"/>
    </row>
    <row r="9512">
      <c r="N9512" s="28"/>
      <c r="O9512" s="28"/>
      <c r="U9512" s="28"/>
    </row>
    <row r="9513">
      <c r="N9513" s="28"/>
      <c r="O9513" s="28"/>
      <c r="U9513" s="28"/>
    </row>
    <row r="9514">
      <c r="N9514" s="28"/>
      <c r="O9514" s="28"/>
      <c r="U9514" s="28"/>
    </row>
    <row r="9515">
      <c r="N9515" s="28"/>
      <c r="O9515" s="28"/>
      <c r="U9515" s="28"/>
    </row>
    <row r="9516">
      <c r="N9516" s="28"/>
      <c r="O9516" s="28"/>
      <c r="U9516" s="28"/>
    </row>
    <row r="9517">
      <c r="N9517" s="28"/>
      <c r="O9517" s="28"/>
      <c r="U9517" s="28"/>
    </row>
    <row r="9518">
      <c r="N9518" s="28"/>
      <c r="O9518" s="28"/>
      <c r="U9518" s="28"/>
    </row>
    <row r="9519">
      <c r="N9519" s="28"/>
      <c r="O9519" s="28"/>
      <c r="U9519" s="28"/>
    </row>
    <row r="9520">
      <c r="N9520" s="28"/>
      <c r="O9520" s="28"/>
      <c r="U9520" s="28"/>
    </row>
    <row r="9521">
      <c r="N9521" s="28"/>
      <c r="O9521" s="28"/>
      <c r="U9521" s="28"/>
    </row>
    <row r="9522">
      <c r="N9522" s="28"/>
      <c r="O9522" s="28"/>
      <c r="U9522" s="28"/>
    </row>
    <row r="9523">
      <c r="N9523" s="28"/>
      <c r="O9523" s="28"/>
      <c r="U9523" s="28"/>
    </row>
    <row r="9524">
      <c r="N9524" s="28"/>
      <c r="O9524" s="28"/>
      <c r="U9524" s="28"/>
    </row>
    <row r="9525">
      <c r="N9525" s="28"/>
      <c r="O9525" s="28"/>
      <c r="U9525" s="28"/>
    </row>
    <row r="9526">
      <c r="N9526" s="28"/>
      <c r="O9526" s="28"/>
      <c r="U9526" s="28"/>
    </row>
    <row r="9527">
      <c r="N9527" s="28"/>
      <c r="O9527" s="28"/>
      <c r="U9527" s="28"/>
    </row>
    <row r="9528">
      <c r="N9528" s="28"/>
      <c r="O9528" s="28"/>
      <c r="U9528" s="28"/>
    </row>
    <row r="9529">
      <c r="N9529" s="28"/>
      <c r="O9529" s="28"/>
      <c r="U9529" s="28"/>
    </row>
    <row r="9530">
      <c r="N9530" s="28"/>
      <c r="O9530" s="28"/>
      <c r="U9530" s="28"/>
    </row>
    <row r="9531">
      <c r="N9531" s="28"/>
      <c r="O9531" s="28"/>
      <c r="U9531" s="28"/>
    </row>
    <row r="9532">
      <c r="N9532" s="28"/>
      <c r="O9532" s="28"/>
      <c r="U9532" s="28"/>
    </row>
    <row r="9533">
      <c r="N9533" s="28"/>
      <c r="O9533" s="28"/>
      <c r="U9533" s="28"/>
    </row>
    <row r="9534">
      <c r="N9534" s="28"/>
      <c r="O9534" s="28"/>
      <c r="U9534" s="28"/>
    </row>
    <row r="9535">
      <c r="N9535" s="28"/>
      <c r="O9535" s="28"/>
      <c r="U9535" s="28"/>
    </row>
    <row r="9536">
      <c r="N9536" s="28"/>
      <c r="O9536" s="28"/>
      <c r="U9536" s="28"/>
    </row>
    <row r="9537">
      <c r="N9537" s="28"/>
      <c r="O9537" s="28"/>
      <c r="U9537" s="28"/>
    </row>
    <row r="9538">
      <c r="N9538" s="28"/>
      <c r="O9538" s="28"/>
      <c r="U9538" s="28"/>
    </row>
    <row r="9539">
      <c r="N9539" s="28"/>
      <c r="O9539" s="28"/>
      <c r="U9539" s="28"/>
    </row>
    <row r="9540">
      <c r="N9540" s="28"/>
      <c r="O9540" s="28"/>
      <c r="U9540" s="28"/>
    </row>
    <row r="9541">
      <c r="N9541" s="28"/>
      <c r="O9541" s="28"/>
      <c r="U9541" s="28"/>
    </row>
    <row r="9542">
      <c r="N9542" s="28"/>
      <c r="O9542" s="28"/>
      <c r="U9542" s="28"/>
    </row>
    <row r="9543">
      <c r="N9543" s="28"/>
      <c r="O9543" s="28"/>
      <c r="U9543" s="28"/>
    </row>
    <row r="9544">
      <c r="N9544" s="28"/>
      <c r="O9544" s="28"/>
      <c r="U9544" s="28"/>
    </row>
    <row r="9545">
      <c r="N9545" s="28"/>
      <c r="O9545" s="28"/>
      <c r="U9545" s="28"/>
    </row>
    <row r="9546">
      <c r="N9546" s="28"/>
      <c r="O9546" s="28"/>
      <c r="U9546" s="28"/>
    </row>
    <row r="9547">
      <c r="N9547" s="28"/>
      <c r="O9547" s="28"/>
      <c r="U9547" s="28"/>
    </row>
    <row r="9548">
      <c r="N9548" s="28"/>
      <c r="O9548" s="28"/>
      <c r="U9548" s="28"/>
    </row>
    <row r="9549">
      <c r="N9549" s="28"/>
      <c r="O9549" s="28"/>
      <c r="U9549" s="28"/>
    </row>
    <row r="9550">
      <c r="N9550" s="28"/>
      <c r="O9550" s="28"/>
      <c r="U9550" s="28"/>
    </row>
    <row r="9551">
      <c r="N9551" s="28"/>
      <c r="O9551" s="28"/>
      <c r="U9551" s="28"/>
    </row>
    <row r="9552">
      <c r="N9552" s="28"/>
      <c r="O9552" s="28"/>
      <c r="U9552" s="28"/>
    </row>
    <row r="9553">
      <c r="N9553" s="28"/>
      <c r="O9553" s="28"/>
      <c r="U9553" s="28"/>
    </row>
    <row r="9554">
      <c r="N9554" s="28"/>
      <c r="O9554" s="28"/>
      <c r="U9554" s="28"/>
    </row>
    <row r="9555">
      <c r="N9555" s="28"/>
      <c r="O9555" s="28"/>
      <c r="U9555" s="28"/>
    </row>
    <row r="9556">
      <c r="N9556" s="28"/>
      <c r="O9556" s="28"/>
      <c r="U9556" s="28"/>
    </row>
    <row r="9557">
      <c r="N9557" s="28"/>
      <c r="O9557" s="28"/>
      <c r="U9557" s="28"/>
    </row>
    <row r="9558">
      <c r="N9558" s="28"/>
      <c r="O9558" s="28"/>
      <c r="U9558" s="28"/>
    </row>
    <row r="9559">
      <c r="N9559" s="28"/>
      <c r="O9559" s="28"/>
      <c r="U9559" s="28"/>
    </row>
    <row r="9560">
      <c r="N9560" s="28"/>
      <c r="O9560" s="28"/>
      <c r="U9560" s="28"/>
    </row>
    <row r="9561">
      <c r="N9561" s="28"/>
      <c r="O9561" s="28"/>
      <c r="U9561" s="28"/>
    </row>
    <row r="9562">
      <c r="N9562" s="28"/>
      <c r="O9562" s="28"/>
      <c r="U9562" s="28"/>
    </row>
    <row r="9563">
      <c r="N9563" s="28"/>
      <c r="O9563" s="28"/>
      <c r="U9563" s="28"/>
    </row>
    <row r="9564">
      <c r="N9564" s="28"/>
      <c r="O9564" s="28"/>
      <c r="U9564" s="28"/>
    </row>
    <row r="9565">
      <c r="N9565" s="28"/>
      <c r="O9565" s="28"/>
      <c r="U9565" s="28"/>
    </row>
    <row r="9566">
      <c r="N9566" s="28"/>
      <c r="O9566" s="28"/>
      <c r="U9566" s="28"/>
    </row>
    <row r="9567">
      <c r="N9567" s="28"/>
      <c r="O9567" s="28"/>
      <c r="U9567" s="28"/>
    </row>
    <row r="9568">
      <c r="N9568" s="28"/>
      <c r="O9568" s="28"/>
      <c r="U9568" s="28"/>
    </row>
    <row r="9569">
      <c r="N9569" s="28"/>
      <c r="O9569" s="28"/>
      <c r="U9569" s="28"/>
    </row>
    <row r="9570">
      <c r="N9570" s="28"/>
      <c r="O9570" s="28"/>
      <c r="U9570" s="28"/>
    </row>
    <row r="9571">
      <c r="N9571" s="28"/>
      <c r="O9571" s="28"/>
      <c r="U9571" s="28"/>
    </row>
    <row r="9572">
      <c r="N9572" s="28"/>
      <c r="O9572" s="28"/>
      <c r="U9572" s="28"/>
    </row>
    <row r="9573">
      <c r="N9573" s="28"/>
      <c r="O9573" s="28"/>
      <c r="U9573" s="28"/>
    </row>
    <row r="9574">
      <c r="N9574" s="28"/>
      <c r="O9574" s="28"/>
      <c r="U9574" s="28"/>
    </row>
    <row r="9575">
      <c r="N9575" s="28"/>
      <c r="O9575" s="28"/>
      <c r="U9575" s="28"/>
    </row>
    <row r="9576">
      <c r="N9576" s="28"/>
      <c r="O9576" s="28"/>
      <c r="U9576" s="28"/>
    </row>
    <row r="9577">
      <c r="N9577" s="28"/>
      <c r="O9577" s="28"/>
      <c r="U9577" s="28"/>
    </row>
    <row r="9578">
      <c r="N9578" s="28"/>
      <c r="O9578" s="28"/>
      <c r="U9578" s="28"/>
    </row>
    <row r="9579">
      <c r="N9579" s="28"/>
      <c r="O9579" s="28"/>
      <c r="U9579" s="28"/>
    </row>
    <row r="9580">
      <c r="N9580" s="28"/>
      <c r="O9580" s="28"/>
      <c r="U9580" s="28"/>
    </row>
    <row r="9581">
      <c r="N9581" s="28"/>
      <c r="O9581" s="28"/>
      <c r="U9581" s="28"/>
    </row>
    <row r="9582">
      <c r="N9582" s="28"/>
      <c r="O9582" s="28"/>
      <c r="U9582" s="28"/>
    </row>
    <row r="9583">
      <c r="N9583" s="28"/>
      <c r="O9583" s="28"/>
      <c r="U9583" s="28"/>
    </row>
    <row r="9584">
      <c r="N9584" s="28"/>
      <c r="O9584" s="28"/>
      <c r="U9584" s="28"/>
    </row>
    <row r="9585">
      <c r="N9585" s="28"/>
      <c r="O9585" s="28"/>
      <c r="U9585" s="28"/>
    </row>
    <row r="9586">
      <c r="N9586" s="28"/>
      <c r="O9586" s="28"/>
      <c r="U9586" s="28"/>
    </row>
    <row r="9587">
      <c r="N9587" s="28"/>
      <c r="O9587" s="28"/>
      <c r="U9587" s="28"/>
    </row>
    <row r="9588">
      <c r="N9588" s="28"/>
      <c r="O9588" s="28"/>
      <c r="U9588" s="28"/>
    </row>
    <row r="9589">
      <c r="N9589" s="28"/>
      <c r="O9589" s="28"/>
      <c r="U9589" s="28"/>
    </row>
    <row r="9590">
      <c r="N9590" s="28"/>
      <c r="O9590" s="28"/>
      <c r="U9590" s="28"/>
    </row>
    <row r="9591">
      <c r="N9591" s="28"/>
      <c r="O9591" s="28"/>
      <c r="U9591" s="28"/>
    </row>
    <row r="9592">
      <c r="N9592" s="28"/>
      <c r="O9592" s="28"/>
      <c r="U9592" s="28"/>
    </row>
    <row r="9593">
      <c r="N9593" s="28"/>
      <c r="O9593" s="28"/>
      <c r="U9593" s="28"/>
    </row>
    <row r="9594">
      <c r="N9594" s="28"/>
      <c r="O9594" s="28"/>
      <c r="U9594" s="28"/>
    </row>
    <row r="9595">
      <c r="N9595" s="28"/>
      <c r="O9595" s="28"/>
      <c r="U9595" s="28"/>
    </row>
    <row r="9596">
      <c r="N9596" s="28"/>
      <c r="O9596" s="28"/>
      <c r="U9596" s="28"/>
    </row>
    <row r="9597">
      <c r="N9597" s="28"/>
      <c r="O9597" s="28"/>
      <c r="U9597" s="28"/>
    </row>
    <row r="9598">
      <c r="N9598" s="28"/>
      <c r="O9598" s="28"/>
      <c r="U9598" s="28"/>
    </row>
    <row r="9599">
      <c r="N9599" s="28"/>
      <c r="O9599" s="28"/>
      <c r="U9599" s="28"/>
    </row>
    <row r="9600">
      <c r="N9600" s="28"/>
      <c r="O9600" s="28"/>
      <c r="U9600" s="28"/>
    </row>
    <row r="9601">
      <c r="N9601" s="28"/>
      <c r="O9601" s="28"/>
      <c r="U9601" s="28"/>
    </row>
    <row r="9602">
      <c r="N9602" s="28"/>
      <c r="O9602" s="28"/>
      <c r="U9602" s="28"/>
    </row>
    <row r="9603">
      <c r="N9603" s="28"/>
      <c r="O9603" s="28"/>
      <c r="U9603" s="28"/>
    </row>
    <row r="9604">
      <c r="N9604" s="28"/>
      <c r="O9604" s="28"/>
      <c r="U9604" s="28"/>
    </row>
    <row r="9605">
      <c r="N9605" s="28"/>
      <c r="O9605" s="28"/>
      <c r="U9605" s="28"/>
    </row>
    <row r="9606">
      <c r="N9606" s="28"/>
      <c r="O9606" s="28"/>
      <c r="U9606" s="28"/>
    </row>
    <row r="9607">
      <c r="N9607" s="28"/>
      <c r="O9607" s="28"/>
      <c r="U9607" s="28"/>
    </row>
    <row r="9608">
      <c r="N9608" s="28"/>
      <c r="O9608" s="28"/>
      <c r="U9608" s="28"/>
    </row>
    <row r="9609">
      <c r="N9609" s="28"/>
      <c r="O9609" s="28"/>
      <c r="U9609" s="28"/>
    </row>
    <row r="9610">
      <c r="N9610" s="28"/>
      <c r="O9610" s="28"/>
      <c r="U9610" s="28"/>
    </row>
    <row r="9611">
      <c r="N9611" s="28"/>
      <c r="O9611" s="28"/>
      <c r="U9611" s="28"/>
    </row>
    <row r="9612">
      <c r="N9612" s="28"/>
      <c r="O9612" s="28"/>
      <c r="U9612" s="28"/>
    </row>
    <row r="9613">
      <c r="N9613" s="28"/>
      <c r="O9613" s="28"/>
      <c r="U9613" s="28"/>
    </row>
    <row r="9614">
      <c r="N9614" s="28"/>
      <c r="O9614" s="28"/>
      <c r="U9614" s="28"/>
    </row>
    <row r="9615">
      <c r="N9615" s="28"/>
      <c r="O9615" s="28"/>
      <c r="U9615" s="28"/>
    </row>
    <row r="9616">
      <c r="N9616" s="28"/>
      <c r="O9616" s="28"/>
      <c r="U9616" s="28"/>
    </row>
    <row r="9617">
      <c r="N9617" s="28"/>
      <c r="O9617" s="28"/>
      <c r="U9617" s="28"/>
    </row>
    <row r="9618">
      <c r="N9618" s="28"/>
      <c r="O9618" s="28"/>
      <c r="U9618" s="28"/>
    </row>
    <row r="9619">
      <c r="N9619" s="28"/>
      <c r="O9619" s="28"/>
      <c r="U9619" s="28"/>
    </row>
    <row r="9620">
      <c r="N9620" s="28"/>
      <c r="O9620" s="28"/>
      <c r="U9620" s="28"/>
    </row>
    <row r="9621">
      <c r="N9621" s="28"/>
      <c r="O9621" s="28"/>
      <c r="U9621" s="28"/>
    </row>
    <row r="9622">
      <c r="N9622" s="28"/>
      <c r="O9622" s="28"/>
      <c r="U9622" s="28"/>
    </row>
    <row r="9623">
      <c r="N9623" s="28"/>
      <c r="O9623" s="28"/>
      <c r="U9623" s="28"/>
    </row>
    <row r="9624">
      <c r="N9624" s="28"/>
      <c r="O9624" s="28"/>
      <c r="U9624" s="28"/>
    </row>
    <row r="9625">
      <c r="N9625" s="28"/>
      <c r="O9625" s="28"/>
      <c r="U9625" s="28"/>
    </row>
    <row r="9626">
      <c r="N9626" s="28"/>
      <c r="O9626" s="28"/>
      <c r="U9626" s="28"/>
    </row>
    <row r="9627">
      <c r="N9627" s="28"/>
      <c r="O9627" s="28"/>
      <c r="U9627" s="28"/>
    </row>
    <row r="9628">
      <c r="N9628" s="28"/>
      <c r="O9628" s="28"/>
      <c r="U9628" s="28"/>
    </row>
    <row r="9629">
      <c r="N9629" s="28"/>
      <c r="O9629" s="28"/>
      <c r="U9629" s="28"/>
    </row>
    <row r="9630">
      <c r="N9630" s="28"/>
      <c r="O9630" s="28"/>
      <c r="U9630" s="28"/>
    </row>
    <row r="9631">
      <c r="N9631" s="28"/>
      <c r="O9631" s="28"/>
      <c r="U9631" s="28"/>
    </row>
    <row r="9632">
      <c r="N9632" s="28"/>
      <c r="O9632" s="28"/>
      <c r="U9632" s="28"/>
    </row>
    <row r="9633">
      <c r="N9633" s="28"/>
      <c r="O9633" s="28"/>
      <c r="U9633" s="28"/>
    </row>
    <row r="9634">
      <c r="N9634" s="28"/>
      <c r="O9634" s="28"/>
      <c r="U9634" s="28"/>
    </row>
    <row r="9635">
      <c r="N9635" s="28"/>
      <c r="O9635" s="28"/>
      <c r="U9635" s="28"/>
    </row>
    <row r="9636">
      <c r="N9636" s="28"/>
      <c r="O9636" s="28"/>
      <c r="U9636" s="28"/>
    </row>
    <row r="9637">
      <c r="N9637" s="28"/>
      <c r="O9637" s="28"/>
      <c r="U9637" s="28"/>
    </row>
    <row r="9638">
      <c r="N9638" s="28"/>
      <c r="O9638" s="28"/>
      <c r="U9638" s="28"/>
    </row>
    <row r="9639">
      <c r="N9639" s="28"/>
      <c r="O9639" s="28"/>
      <c r="U9639" s="28"/>
    </row>
    <row r="9640">
      <c r="N9640" s="28"/>
      <c r="O9640" s="28"/>
      <c r="U9640" s="28"/>
    </row>
    <row r="9641">
      <c r="N9641" s="28"/>
      <c r="O9641" s="28"/>
      <c r="U9641" s="28"/>
    </row>
    <row r="9642">
      <c r="N9642" s="28"/>
      <c r="O9642" s="28"/>
      <c r="U9642" s="28"/>
    </row>
    <row r="9643">
      <c r="N9643" s="28"/>
      <c r="O9643" s="28"/>
      <c r="U9643" s="28"/>
    </row>
    <row r="9644">
      <c r="N9644" s="28"/>
      <c r="O9644" s="28"/>
      <c r="U9644" s="28"/>
    </row>
    <row r="9645">
      <c r="N9645" s="28"/>
      <c r="O9645" s="28"/>
      <c r="U9645" s="28"/>
    </row>
    <row r="9646">
      <c r="N9646" s="28"/>
      <c r="O9646" s="28"/>
      <c r="U9646" s="28"/>
    </row>
    <row r="9647">
      <c r="N9647" s="28"/>
      <c r="O9647" s="28"/>
      <c r="U9647" s="28"/>
    </row>
    <row r="9648">
      <c r="N9648" s="28"/>
      <c r="O9648" s="28"/>
      <c r="U9648" s="28"/>
    </row>
    <row r="9649">
      <c r="N9649" s="28"/>
      <c r="O9649" s="28"/>
      <c r="U9649" s="28"/>
    </row>
    <row r="9650">
      <c r="N9650" s="28"/>
      <c r="O9650" s="28"/>
      <c r="U9650" s="28"/>
    </row>
    <row r="9651">
      <c r="N9651" s="28"/>
      <c r="O9651" s="28"/>
      <c r="U9651" s="28"/>
    </row>
    <row r="9652">
      <c r="N9652" s="28"/>
      <c r="O9652" s="28"/>
      <c r="U9652" s="28"/>
    </row>
    <row r="9653">
      <c r="N9653" s="28"/>
      <c r="O9653" s="28"/>
      <c r="U9653" s="28"/>
    </row>
    <row r="9654">
      <c r="N9654" s="28"/>
      <c r="O9654" s="28"/>
      <c r="U9654" s="28"/>
    </row>
    <row r="9655">
      <c r="N9655" s="28"/>
      <c r="O9655" s="28"/>
      <c r="U9655" s="28"/>
    </row>
    <row r="9656">
      <c r="N9656" s="28"/>
      <c r="O9656" s="28"/>
      <c r="U9656" s="28"/>
    </row>
    <row r="9657">
      <c r="N9657" s="28"/>
      <c r="O9657" s="28"/>
      <c r="U9657" s="28"/>
    </row>
    <row r="9658">
      <c r="N9658" s="28"/>
      <c r="O9658" s="28"/>
      <c r="U9658" s="28"/>
    </row>
    <row r="9659">
      <c r="N9659" s="28"/>
      <c r="O9659" s="28"/>
      <c r="U9659" s="28"/>
    </row>
    <row r="9660">
      <c r="N9660" s="28"/>
      <c r="O9660" s="28"/>
      <c r="U9660" s="28"/>
    </row>
    <row r="9661">
      <c r="N9661" s="28"/>
      <c r="O9661" s="28"/>
      <c r="U9661" s="28"/>
    </row>
    <row r="9662">
      <c r="N9662" s="28"/>
      <c r="O9662" s="28"/>
      <c r="U9662" s="28"/>
    </row>
    <row r="9663">
      <c r="N9663" s="28"/>
      <c r="O9663" s="28"/>
      <c r="U9663" s="28"/>
    </row>
    <row r="9664">
      <c r="N9664" s="28"/>
      <c r="O9664" s="28"/>
      <c r="U9664" s="28"/>
    </row>
    <row r="9665">
      <c r="N9665" s="28"/>
      <c r="O9665" s="28"/>
      <c r="U9665" s="28"/>
    </row>
    <row r="9666">
      <c r="N9666" s="28"/>
      <c r="O9666" s="28"/>
      <c r="U9666" s="28"/>
    </row>
    <row r="9667">
      <c r="N9667" s="28"/>
      <c r="O9667" s="28"/>
      <c r="U9667" s="28"/>
    </row>
    <row r="9668">
      <c r="N9668" s="28"/>
      <c r="O9668" s="28"/>
      <c r="U9668" s="28"/>
    </row>
    <row r="9669">
      <c r="N9669" s="28"/>
      <c r="O9669" s="28"/>
      <c r="U9669" s="28"/>
    </row>
    <row r="9670">
      <c r="N9670" s="28"/>
      <c r="O9670" s="28"/>
      <c r="U9670" s="28"/>
    </row>
    <row r="9671">
      <c r="N9671" s="28"/>
      <c r="O9671" s="28"/>
      <c r="U9671" s="28"/>
    </row>
    <row r="9672">
      <c r="N9672" s="28"/>
      <c r="O9672" s="28"/>
      <c r="U9672" s="28"/>
    </row>
    <row r="9673">
      <c r="N9673" s="28"/>
      <c r="O9673" s="28"/>
      <c r="U9673" s="28"/>
    </row>
    <row r="9674">
      <c r="N9674" s="28"/>
      <c r="O9674" s="28"/>
      <c r="U9674" s="28"/>
    </row>
    <row r="9675">
      <c r="N9675" s="28"/>
      <c r="O9675" s="28"/>
      <c r="U9675" s="28"/>
    </row>
    <row r="9676">
      <c r="N9676" s="28"/>
      <c r="O9676" s="28"/>
      <c r="U9676" s="28"/>
    </row>
    <row r="9677">
      <c r="N9677" s="28"/>
      <c r="O9677" s="28"/>
      <c r="U9677" s="28"/>
    </row>
    <row r="9678">
      <c r="N9678" s="28"/>
      <c r="O9678" s="28"/>
      <c r="U9678" s="28"/>
    </row>
    <row r="9679">
      <c r="N9679" s="28"/>
      <c r="O9679" s="28"/>
      <c r="U9679" s="28"/>
    </row>
    <row r="9680">
      <c r="N9680" s="28"/>
      <c r="O9680" s="28"/>
      <c r="U9680" s="28"/>
    </row>
    <row r="9681">
      <c r="N9681" s="28"/>
      <c r="O9681" s="28"/>
      <c r="U9681" s="28"/>
    </row>
    <row r="9682">
      <c r="N9682" s="28"/>
      <c r="O9682" s="28"/>
      <c r="U9682" s="28"/>
    </row>
    <row r="9683">
      <c r="N9683" s="28"/>
      <c r="O9683" s="28"/>
      <c r="U9683" s="28"/>
    </row>
    <row r="9684">
      <c r="N9684" s="28"/>
      <c r="O9684" s="28"/>
      <c r="U9684" s="28"/>
    </row>
    <row r="9685">
      <c r="N9685" s="28"/>
      <c r="O9685" s="28"/>
      <c r="U9685" s="28"/>
    </row>
    <row r="9686">
      <c r="N9686" s="28"/>
      <c r="O9686" s="28"/>
      <c r="U9686" s="28"/>
    </row>
    <row r="9687">
      <c r="N9687" s="28"/>
      <c r="O9687" s="28"/>
      <c r="U9687" s="28"/>
    </row>
    <row r="9688">
      <c r="N9688" s="28"/>
      <c r="O9688" s="28"/>
      <c r="U9688" s="28"/>
    </row>
    <row r="9689">
      <c r="N9689" s="28"/>
      <c r="O9689" s="28"/>
      <c r="U9689" s="28"/>
    </row>
    <row r="9690">
      <c r="N9690" s="28"/>
      <c r="O9690" s="28"/>
      <c r="U9690" s="28"/>
    </row>
    <row r="9691">
      <c r="N9691" s="28"/>
      <c r="O9691" s="28"/>
      <c r="U9691" s="28"/>
    </row>
    <row r="9692">
      <c r="N9692" s="28"/>
      <c r="O9692" s="28"/>
      <c r="U9692" s="28"/>
    </row>
    <row r="9693">
      <c r="N9693" s="28"/>
      <c r="O9693" s="28"/>
      <c r="U9693" s="28"/>
    </row>
    <row r="9694">
      <c r="N9694" s="28"/>
      <c r="O9694" s="28"/>
      <c r="U9694" s="28"/>
    </row>
    <row r="9695">
      <c r="N9695" s="28"/>
      <c r="O9695" s="28"/>
      <c r="U9695" s="28"/>
    </row>
    <row r="9696">
      <c r="N9696" s="28"/>
      <c r="O9696" s="28"/>
      <c r="U9696" s="28"/>
    </row>
    <row r="9697">
      <c r="N9697" s="28"/>
      <c r="O9697" s="28"/>
      <c r="U9697" s="28"/>
    </row>
    <row r="9698">
      <c r="N9698" s="28"/>
      <c r="O9698" s="28"/>
      <c r="U9698" s="28"/>
    </row>
    <row r="9699">
      <c r="N9699" s="28"/>
      <c r="O9699" s="28"/>
      <c r="U9699" s="28"/>
    </row>
    <row r="9700">
      <c r="N9700" s="28"/>
      <c r="O9700" s="28"/>
      <c r="U9700" s="28"/>
    </row>
    <row r="9701">
      <c r="N9701" s="28"/>
      <c r="O9701" s="28"/>
      <c r="U9701" s="28"/>
    </row>
    <row r="9702">
      <c r="N9702" s="28"/>
      <c r="O9702" s="28"/>
      <c r="U9702" s="28"/>
    </row>
    <row r="9703">
      <c r="N9703" s="28"/>
      <c r="O9703" s="28"/>
      <c r="U9703" s="28"/>
    </row>
    <row r="9704">
      <c r="N9704" s="28"/>
      <c r="O9704" s="28"/>
      <c r="U9704" s="28"/>
    </row>
    <row r="9705">
      <c r="N9705" s="28"/>
      <c r="O9705" s="28"/>
      <c r="U9705" s="28"/>
    </row>
    <row r="9706">
      <c r="N9706" s="28"/>
      <c r="O9706" s="28"/>
      <c r="U9706" s="28"/>
    </row>
    <row r="9707">
      <c r="N9707" s="28"/>
      <c r="O9707" s="28"/>
      <c r="U9707" s="28"/>
    </row>
    <row r="9708">
      <c r="N9708" s="28"/>
      <c r="O9708" s="28"/>
      <c r="U9708" s="28"/>
    </row>
    <row r="9709">
      <c r="N9709" s="28"/>
      <c r="O9709" s="28"/>
      <c r="U9709" s="28"/>
    </row>
    <row r="9710">
      <c r="N9710" s="28"/>
      <c r="O9710" s="28"/>
      <c r="U9710" s="28"/>
    </row>
    <row r="9711">
      <c r="N9711" s="28"/>
      <c r="O9711" s="28"/>
      <c r="U9711" s="28"/>
    </row>
    <row r="9712">
      <c r="N9712" s="28"/>
      <c r="O9712" s="28"/>
      <c r="U9712" s="28"/>
    </row>
    <row r="9713">
      <c r="N9713" s="28"/>
      <c r="O9713" s="28"/>
      <c r="U9713" s="28"/>
    </row>
    <row r="9714">
      <c r="N9714" s="28"/>
      <c r="O9714" s="28"/>
      <c r="U9714" s="28"/>
    </row>
    <row r="9715">
      <c r="N9715" s="28"/>
      <c r="O9715" s="28"/>
      <c r="U9715" s="28"/>
    </row>
    <row r="9716">
      <c r="N9716" s="28"/>
      <c r="O9716" s="28"/>
      <c r="U9716" s="28"/>
    </row>
    <row r="9717">
      <c r="N9717" s="28"/>
      <c r="O9717" s="28"/>
      <c r="U9717" s="28"/>
    </row>
    <row r="9718">
      <c r="N9718" s="28"/>
      <c r="O9718" s="28"/>
      <c r="U9718" s="28"/>
    </row>
    <row r="9719">
      <c r="N9719" s="28"/>
      <c r="O9719" s="28"/>
      <c r="U9719" s="28"/>
    </row>
    <row r="9720">
      <c r="N9720" s="28"/>
      <c r="O9720" s="28"/>
      <c r="U9720" s="28"/>
    </row>
    <row r="9721">
      <c r="N9721" s="28"/>
      <c r="O9721" s="28"/>
      <c r="U9721" s="28"/>
    </row>
    <row r="9722">
      <c r="N9722" s="28"/>
      <c r="O9722" s="28"/>
      <c r="U9722" s="28"/>
    </row>
    <row r="9723">
      <c r="N9723" s="28"/>
      <c r="O9723" s="28"/>
      <c r="U9723" s="28"/>
    </row>
    <row r="9724">
      <c r="N9724" s="28"/>
      <c r="O9724" s="28"/>
      <c r="U9724" s="28"/>
    </row>
    <row r="9725">
      <c r="N9725" s="28"/>
      <c r="O9725" s="28"/>
      <c r="U9725" s="28"/>
    </row>
    <row r="9726">
      <c r="N9726" s="28"/>
      <c r="O9726" s="28"/>
      <c r="U9726" s="28"/>
    </row>
    <row r="9727">
      <c r="N9727" s="28"/>
      <c r="O9727" s="28"/>
      <c r="U9727" s="28"/>
    </row>
    <row r="9728">
      <c r="N9728" s="28"/>
      <c r="O9728" s="28"/>
      <c r="U9728" s="28"/>
    </row>
    <row r="9729">
      <c r="N9729" s="28"/>
      <c r="O9729" s="28"/>
      <c r="U9729" s="28"/>
    </row>
    <row r="9730">
      <c r="N9730" s="28"/>
      <c r="O9730" s="28"/>
      <c r="U9730" s="28"/>
    </row>
    <row r="9731">
      <c r="N9731" s="28"/>
      <c r="O9731" s="28"/>
      <c r="U9731" s="28"/>
    </row>
    <row r="9732">
      <c r="N9732" s="28"/>
      <c r="O9732" s="28"/>
      <c r="U9732" s="28"/>
    </row>
    <row r="9733">
      <c r="N9733" s="28"/>
      <c r="O9733" s="28"/>
      <c r="U9733" s="28"/>
    </row>
    <row r="9734">
      <c r="N9734" s="28"/>
      <c r="O9734" s="28"/>
      <c r="U9734" s="28"/>
    </row>
    <row r="9735">
      <c r="N9735" s="28"/>
      <c r="O9735" s="28"/>
      <c r="U9735" s="28"/>
    </row>
    <row r="9736">
      <c r="N9736" s="28"/>
      <c r="O9736" s="28"/>
      <c r="U9736" s="28"/>
    </row>
    <row r="9737">
      <c r="N9737" s="28"/>
      <c r="O9737" s="28"/>
      <c r="U9737" s="28"/>
    </row>
    <row r="9738">
      <c r="N9738" s="28"/>
      <c r="O9738" s="28"/>
      <c r="U9738" s="28"/>
    </row>
    <row r="9739">
      <c r="N9739" s="28"/>
      <c r="O9739" s="28"/>
      <c r="U9739" s="28"/>
    </row>
    <row r="9740">
      <c r="N9740" s="28"/>
      <c r="O9740" s="28"/>
      <c r="U9740" s="28"/>
    </row>
    <row r="9741">
      <c r="N9741" s="28"/>
      <c r="O9741" s="28"/>
      <c r="U9741" s="28"/>
    </row>
    <row r="9742">
      <c r="N9742" s="28"/>
      <c r="O9742" s="28"/>
      <c r="U9742" s="28"/>
    </row>
    <row r="9743">
      <c r="N9743" s="28"/>
      <c r="O9743" s="28"/>
      <c r="U9743" s="28"/>
    </row>
    <row r="9744">
      <c r="N9744" s="28"/>
      <c r="O9744" s="28"/>
      <c r="U9744" s="28"/>
    </row>
    <row r="9745">
      <c r="N9745" s="28"/>
      <c r="O9745" s="28"/>
      <c r="U9745" s="28"/>
    </row>
    <row r="9746">
      <c r="N9746" s="28"/>
      <c r="O9746" s="28"/>
      <c r="U9746" s="28"/>
    </row>
    <row r="9747">
      <c r="N9747" s="28"/>
      <c r="O9747" s="28"/>
      <c r="U9747" s="28"/>
    </row>
    <row r="9748">
      <c r="N9748" s="28"/>
      <c r="O9748" s="28"/>
      <c r="U9748" s="28"/>
    </row>
    <row r="9749">
      <c r="N9749" s="28"/>
      <c r="O9749" s="28"/>
      <c r="U9749" s="28"/>
    </row>
    <row r="9750">
      <c r="N9750" s="28"/>
      <c r="O9750" s="28"/>
      <c r="U9750" s="28"/>
    </row>
    <row r="9751">
      <c r="N9751" s="28"/>
      <c r="O9751" s="28"/>
      <c r="U9751" s="28"/>
    </row>
    <row r="9752">
      <c r="N9752" s="28"/>
      <c r="O9752" s="28"/>
      <c r="U9752" s="28"/>
    </row>
    <row r="9753">
      <c r="N9753" s="28"/>
      <c r="O9753" s="28"/>
      <c r="U9753" s="28"/>
    </row>
    <row r="9754">
      <c r="N9754" s="28"/>
      <c r="O9754" s="28"/>
      <c r="U9754" s="28"/>
    </row>
    <row r="9755">
      <c r="N9755" s="28"/>
      <c r="O9755" s="28"/>
      <c r="U9755" s="28"/>
    </row>
    <row r="9756">
      <c r="N9756" s="28"/>
      <c r="O9756" s="28"/>
      <c r="U9756" s="28"/>
    </row>
    <row r="9757">
      <c r="N9757" s="28"/>
      <c r="O9757" s="28"/>
      <c r="U9757" s="28"/>
    </row>
    <row r="9758">
      <c r="N9758" s="28"/>
      <c r="O9758" s="28"/>
      <c r="U9758" s="28"/>
    </row>
    <row r="9759">
      <c r="N9759" s="28"/>
      <c r="O9759" s="28"/>
      <c r="U9759" s="28"/>
    </row>
    <row r="9760">
      <c r="N9760" s="28"/>
      <c r="O9760" s="28"/>
      <c r="U9760" s="28"/>
    </row>
    <row r="9761">
      <c r="N9761" s="28"/>
      <c r="O9761" s="28"/>
      <c r="U9761" s="28"/>
    </row>
    <row r="9762">
      <c r="N9762" s="28"/>
      <c r="O9762" s="28"/>
      <c r="U9762" s="28"/>
    </row>
    <row r="9763">
      <c r="N9763" s="28"/>
      <c r="O9763" s="28"/>
      <c r="U9763" s="28"/>
    </row>
    <row r="9764">
      <c r="N9764" s="28"/>
      <c r="O9764" s="28"/>
      <c r="U9764" s="28"/>
    </row>
    <row r="9765">
      <c r="N9765" s="28"/>
      <c r="O9765" s="28"/>
      <c r="U9765" s="28"/>
    </row>
    <row r="9766">
      <c r="N9766" s="28"/>
      <c r="O9766" s="28"/>
      <c r="U9766" s="28"/>
    </row>
    <row r="9767">
      <c r="N9767" s="28"/>
      <c r="O9767" s="28"/>
      <c r="U9767" s="28"/>
    </row>
    <row r="9768">
      <c r="N9768" s="28"/>
      <c r="O9768" s="28"/>
      <c r="U9768" s="28"/>
    </row>
    <row r="9769">
      <c r="N9769" s="28"/>
      <c r="O9769" s="28"/>
      <c r="U9769" s="28"/>
    </row>
    <row r="9770">
      <c r="N9770" s="28"/>
      <c r="O9770" s="28"/>
      <c r="U9770" s="28"/>
    </row>
    <row r="9771">
      <c r="N9771" s="28"/>
      <c r="O9771" s="28"/>
      <c r="U9771" s="28"/>
    </row>
    <row r="9772">
      <c r="N9772" s="28"/>
      <c r="O9772" s="28"/>
      <c r="U9772" s="28"/>
    </row>
    <row r="9773">
      <c r="N9773" s="28"/>
      <c r="O9773" s="28"/>
      <c r="U9773" s="28"/>
    </row>
    <row r="9774">
      <c r="N9774" s="28"/>
      <c r="O9774" s="28"/>
      <c r="U9774" s="28"/>
    </row>
    <row r="9775">
      <c r="N9775" s="28"/>
      <c r="O9775" s="28"/>
      <c r="U9775" s="28"/>
    </row>
    <row r="9776">
      <c r="N9776" s="28"/>
      <c r="O9776" s="28"/>
      <c r="U9776" s="28"/>
    </row>
    <row r="9777">
      <c r="N9777" s="28"/>
      <c r="O9777" s="28"/>
      <c r="U9777" s="28"/>
    </row>
    <row r="9778">
      <c r="N9778" s="28"/>
      <c r="O9778" s="28"/>
      <c r="U9778" s="28"/>
    </row>
    <row r="9779">
      <c r="N9779" s="28"/>
      <c r="O9779" s="28"/>
      <c r="U9779" s="28"/>
    </row>
    <row r="9780">
      <c r="N9780" s="28"/>
      <c r="O9780" s="28"/>
      <c r="U9780" s="28"/>
    </row>
    <row r="9781">
      <c r="N9781" s="28"/>
      <c r="O9781" s="28"/>
      <c r="U9781" s="28"/>
    </row>
    <row r="9782">
      <c r="N9782" s="28"/>
      <c r="O9782" s="28"/>
      <c r="U9782" s="28"/>
    </row>
    <row r="9783">
      <c r="N9783" s="28"/>
      <c r="O9783" s="28"/>
      <c r="U9783" s="28"/>
    </row>
    <row r="9784">
      <c r="N9784" s="28"/>
      <c r="O9784" s="28"/>
      <c r="U9784" s="28"/>
    </row>
    <row r="9785">
      <c r="N9785" s="28"/>
      <c r="O9785" s="28"/>
      <c r="U9785" s="28"/>
    </row>
    <row r="9786">
      <c r="N9786" s="28"/>
      <c r="O9786" s="28"/>
      <c r="U9786" s="28"/>
    </row>
    <row r="9787">
      <c r="N9787" s="28"/>
      <c r="O9787" s="28"/>
      <c r="U9787" s="28"/>
    </row>
    <row r="9788">
      <c r="N9788" s="28"/>
      <c r="O9788" s="28"/>
      <c r="U9788" s="28"/>
    </row>
    <row r="9789">
      <c r="N9789" s="28"/>
      <c r="O9789" s="28"/>
      <c r="U9789" s="28"/>
    </row>
    <row r="9790">
      <c r="N9790" s="28"/>
      <c r="O9790" s="28"/>
      <c r="U9790" s="28"/>
    </row>
    <row r="9791">
      <c r="N9791" s="28"/>
      <c r="O9791" s="28"/>
      <c r="U9791" s="28"/>
    </row>
    <row r="9792">
      <c r="N9792" s="28"/>
      <c r="O9792" s="28"/>
      <c r="U9792" s="28"/>
    </row>
    <row r="9793">
      <c r="N9793" s="28"/>
      <c r="O9793" s="28"/>
      <c r="U9793" s="28"/>
    </row>
    <row r="9794">
      <c r="N9794" s="28"/>
      <c r="O9794" s="28"/>
      <c r="U9794" s="28"/>
    </row>
    <row r="9795">
      <c r="N9795" s="28"/>
      <c r="O9795" s="28"/>
      <c r="U9795" s="28"/>
    </row>
    <row r="9796">
      <c r="N9796" s="28"/>
      <c r="O9796" s="28"/>
      <c r="U9796" s="28"/>
    </row>
    <row r="9797">
      <c r="N9797" s="28"/>
      <c r="O9797" s="28"/>
      <c r="U9797" s="28"/>
    </row>
    <row r="9798">
      <c r="N9798" s="28"/>
      <c r="O9798" s="28"/>
      <c r="U9798" s="28"/>
    </row>
    <row r="9799">
      <c r="N9799" s="28"/>
      <c r="O9799" s="28"/>
      <c r="U9799" s="28"/>
    </row>
    <row r="9800">
      <c r="N9800" s="28"/>
      <c r="O9800" s="28"/>
      <c r="U9800" s="28"/>
    </row>
    <row r="9801">
      <c r="N9801" s="28"/>
      <c r="O9801" s="28"/>
      <c r="U9801" s="28"/>
    </row>
    <row r="9802">
      <c r="N9802" s="28"/>
      <c r="O9802" s="28"/>
      <c r="U9802" s="28"/>
    </row>
    <row r="9803">
      <c r="N9803" s="28"/>
      <c r="O9803" s="28"/>
      <c r="U9803" s="28"/>
    </row>
    <row r="9804">
      <c r="N9804" s="28"/>
      <c r="O9804" s="28"/>
      <c r="U9804" s="28"/>
    </row>
    <row r="9805">
      <c r="N9805" s="28"/>
      <c r="O9805" s="28"/>
      <c r="U9805" s="28"/>
    </row>
    <row r="9806">
      <c r="N9806" s="28"/>
      <c r="O9806" s="28"/>
      <c r="U9806" s="28"/>
    </row>
    <row r="9807">
      <c r="N9807" s="28"/>
      <c r="O9807" s="28"/>
      <c r="U9807" s="28"/>
    </row>
    <row r="9808">
      <c r="N9808" s="28"/>
      <c r="O9808" s="28"/>
      <c r="U9808" s="28"/>
    </row>
    <row r="9809">
      <c r="N9809" s="28"/>
      <c r="O9809" s="28"/>
      <c r="U9809" s="28"/>
    </row>
    <row r="9810">
      <c r="N9810" s="28"/>
      <c r="O9810" s="28"/>
      <c r="U9810" s="28"/>
    </row>
    <row r="9811">
      <c r="N9811" s="28"/>
      <c r="O9811" s="28"/>
      <c r="U9811" s="28"/>
    </row>
    <row r="9812">
      <c r="N9812" s="28"/>
      <c r="O9812" s="28"/>
      <c r="U9812" s="28"/>
    </row>
    <row r="9813">
      <c r="N9813" s="28"/>
      <c r="O9813" s="28"/>
      <c r="U9813" s="28"/>
    </row>
    <row r="9814">
      <c r="N9814" s="28"/>
      <c r="O9814" s="28"/>
      <c r="U9814" s="28"/>
    </row>
    <row r="9815">
      <c r="N9815" s="28"/>
      <c r="O9815" s="28"/>
      <c r="U9815" s="28"/>
    </row>
    <row r="9816">
      <c r="N9816" s="28"/>
      <c r="O9816" s="28"/>
      <c r="U9816" s="28"/>
    </row>
    <row r="9817">
      <c r="N9817" s="28"/>
      <c r="O9817" s="28"/>
      <c r="U9817" s="28"/>
    </row>
    <row r="9818">
      <c r="N9818" s="28"/>
      <c r="O9818" s="28"/>
      <c r="U9818" s="28"/>
    </row>
    <row r="9819">
      <c r="N9819" s="28"/>
      <c r="O9819" s="28"/>
      <c r="U9819" s="28"/>
    </row>
    <row r="9820">
      <c r="N9820" s="28"/>
      <c r="O9820" s="28"/>
      <c r="U9820" s="28"/>
    </row>
    <row r="9821">
      <c r="N9821" s="28"/>
      <c r="O9821" s="28"/>
      <c r="U9821" s="28"/>
    </row>
    <row r="9822">
      <c r="N9822" s="28"/>
      <c r="O9822" s="28"/>
      <c r="U9822" s="28"/>
    </row>
    <row r="9823">
      <c r="N9823" s="28"/>
      <c r="O9823" s="28"/>
      <c r="U9823" s="28"/>
    </row>
    <row r="9824">
      <c r="N9824" s="28"/>
      <c r="O9824" s="28"/>
      <c r="U9824" s="28"/>
    </row>
    <row r="9825">
      <c r="N9825" s="28"/>
      <c r="O9825" s="28"/>
      <c r="U9825" s="28"/>
    </row>
    <row r="9826">
      <c r="N9826" s="28"/>
      <c r="O9826" s="28"/>
      <c r="U9826" s="28"/>
    </row>
    <row r="9827">
      <c r="N9827" s="28"/>
      <c r="O9827" s="28"/>
      <c r="U9827" s="28"/>
    </row>
    <row r="9828">
      <c r="N9828" s="28"/>
      <c r="O9828" s="28"/>
      <c r="U9828" s="28"/>
    </row>
    <row r="9829">
      <c r="N9829" s="28"/>
      <c r="O9829" s="28"/>
      <c r="U9829" s="28"/>
    </row>
    <row r="9830">
      <c r="N9830" s="28"/>
      <c r="O9830" s="28"/>
      <c r="U9830" s="28"/>
    </row>
    <row r="9831">
      <c r="N9831" s="28"/>
      <c r="O9831" s="28"/>
      <c r="U9831" s="28"/>
    </row>
    <row r="9832">
      <c r="N9832" s="28"/>
      <c r="O9832" s="28"/>
      <c r="U9832" s="28"/>
    </row>
    <row r="9833">
      <c r="N9833" s="28"/>
      <c r="O9833" s="28"/>
      <c r="U9833" s="28"/>
    </row>
    <row r="9834">
      <c r="N9834" s="28"/>
      <c r="O9834" s="28"/>
      <c r="U9834" s="28"/>
    </row>
    <row r="9835">
      <c r="N9835" s="28"/>
      <c r="O9835" s="28"/>
      <c r="U9835" s="28"/>
    </row>
    <row r="9836">
      <c r="N9836" s="28"/>
      <c r="O9836" s="28"/>
      <c r="U9836" s="28"/>
    </row>
    <row r="9837">
      <c r="N9837" s="28"/>
      <c r="O9837" s="28"/>
      <c r="U9837" s="28"/>
    </row>
    <row r="9838">
      <c r="N9838" s="28"/>
      <c r="O9838" s="28"/>
      <c r="U9838" s="28"/>
    </row>
    <row r="9839">
      <c r="N9839" s="28"/>
      <c r="O9839" s="28"/>
      <c r="U9839" s="28"/>
    </row>
    <row r="9840">
      <c r="N9840" s="28"/>
      <c r="O9840" s="28"/>
      <c r="U9840" s="28"/>
    </row>
    <row r="9841">
      <c r="N9841" s="28"/>
      <c r="O9841" s="28"/>
      <c r="U9841" s="28"/>
    </row>
    <row r="9842">
      <c r="N9842" s="28"/>
      <c r="O9842" s="28"/>
      <c r="U9842" s="28"/>
    </row>
    <row r="9843">
      <c r="N9843" s="28"/>
      <c r="O9843" s="28"/>
      <c r="U9843" s="28"/>
    </row>
    <row r="9844">
      <c r="N9844" s="28"/>
      <c r="O9844" s="28"/>
      <c r="U9844" s="28"/>
    </row>
    <row r="9845">
      <c r="N9845" s="28"/>
      <c r="O9845" s="28"/>
      <c r="U9845" s="28"/>
    </row>
    <row r="9846">
      <c r="N9846" s="28"/>
      <c r="O9846" s="28"/>
      <c r="U9846" s="28"/>
    </row>
    <row r="9847">
      <c r="N9847" s="28"/>
      <c r="O9847" s="28"/>
      <c r="U9847" s="28"/>
    </row>
    <row r="9848">
      <c r="N9848" s="28"/>
      <c r="O9848" s="28"/>
      <c r="U9848" s="28"/>
    </row>
    <row r="9849">
      <c r="N9849" s="28"/>
      <c r="O9849" s="28"/>
      <c r="U9849" s="28"/>
    </row>
    <row r="9850">
      <c r="N9850" s="28"/>
      <c r="O9850" s="28"/>
      <c r="U9850" s="28"/>
    </row>
    <row r="9851">
      <c r="N9851" s="28"/>
      <c r="O9851" s="28"/>
      <c r="U9851" s="28"/>
    </row>
    <row r="9852">
      <c r="N9852" s="28"/>
      <c r="O9852" s="28"/>
      <c r="U9852" s="28"/>
    </row>
    <row r="9853">
      <c r="N9853" s="28"/>
      <c r="O9853" s="28"/>
      <c r="U9853" s="28"/>
    </row>
    <row r="9854">
      <c r="N9854" s="28"/>
      <c r="O9854" s="28"/>
      <c r="U9854" s="28"/>
    </row>
    <row r="9855">
      <c r="N9855" s="28"/>
      <c r="O9855" s="28"/>
      <c r="U9855" s="28"/>
    </row>
    <row r="9856">
      <c r="N9856" s="28"/>
      <c r="O9856" s="28"/>
      <c r="U9856" s="28"/>
    </row>
    <row r="9857">
      <c r="N9857" s="28"/>
      <c r="O9857" s="28"/>
      <c r="U9857" s="28"/>
    </row>
    <row r="9858">
      <c r="N9858" s="28"/>
      <c r="O9858" s="28"/>
      <c r="U9858" s="28"/>
    </row>
    <row r="9859">
      <c r="N9859" s="28"/>
      <c r="O9859" s="28"/>
      <c r="U9859" s="28"/>
    </row>
    <row r="9860">
      <c r="N9860" s="28"/>
      <c r="O9860" s="28"/>
      <c r="U9860" s="28"/>
    </row>
    <row r="9861">
      <c r="N9861" s="28"/>
      <c r="O9861" s="28"/>
      <c r="U9861" s="28"/>
    </row>
    <row r="9862">
      <c r="N9862" s="28"/>
      <c r="O9862" s="28"/>
      <c r="U9862" s="28"/>
    </row>
    <row r="9863">
      <c r="N9863" s="28"/>
      <c r="O9863" s="28"/>
      <c r="U9863" s="28"/>
    </row>
    <row r="9864">
      <c r="N9864" s="28"/>
      <c r="O9864" s="28"/>
      <c r="U9864" s="28"/>
    </row>
    <row r="9865">
      <c r="N9865" s="28"/>
      <c r="O9865" s="28"/>
      <c r="U9865" s="28"/>
    </row>
    <row r="9866">
      <c r="N9866" s="28"/>
      <c r="O9866" s="28"/>
      <c r="U9866" s="28"/>
    </row>
    <row r="9867">
      <c r="N9867" s="28"/>
      <c r="O9867" s="28"/>
      <c r="U9867" s="28"/>
    </row>
    <row r="9868">
      <c r="N9868" s="28"/>
      <c r="O9868" s="28"/>
      <c r="U9868" s="28"/>
    </row>
    <row r="9869">
      <c r="N9869" s="28"/>
      <c r="O9869" s="28"/>
      <c r="U9869" s="28"/>
    </row>
    <row r="9870">
      <c r="N9870" s="28"/>
      <c r="O9870" s="28"/>
      <c r="U9870" s="28"/>
    </row>
    <row r="9871">
      <c r="N9871" s="28"/>
      <c r="O9871" s="28"/>
      <c r="U9871" s="28"/>
    </row>
    <row r="9872">
      <c r="N9872" s="28"/>
      <c r="O9872" s="28"/>
      <c r="U9872" s="28"/>
    </row>
    <row r="9873">
      <c r="N9873" s="28"/>
      <c r="O9873" s="28"/>
      <c r="U9873" s="28"/>
    </row>
    <row r="9874">
      <c r="N9874" s="28"/>
      <c r="O9874" s="28"/>
      <c r="U9874" s="28"/>
    </row>
    <row r="9875">
      <c r="N9875" s="28"/>
      <c r="O9875" s="28"/>
      <c r="U9875" s="28"/>
    </row>
    <row r="9876">
      <c r="N9876" s="28"/>
      <c r="O9876" s="28"/>
      <c r="U9876" s="28"/>
    </row>
    <row r="9877">
      <c r="N9877" s="28"/>
      <c r="O9877" s="28"/>
      <c r="U9877" s="28"/>
    </row>
    <row r="9878">
      <c r="N9878" s="28"/>
      <c r="O9878" s="28"/>
      <c r="U9878" s="28"/>
    </row>
    <row r="9879">
      <c r="N9879" s="28"/>
      <c r="O9879" s="28"/>
      <c r="U9879" s="28"/>
    </row>
    <row r="9880">
      <c r="N9880" s="28"/>
      <c r="O9880" s="28"/>
      <c r="U9880" s="28"/>
    </row>
    <row r="9881">
      <c r="N9881" s="28"/>
      <c r="O9881" s="28"/>
      <c r="U9881" s="28"/>
    </row>
    <row r="9882">
      <c r="N9882" s="28"/>
      <c r="O9882" s="28"/>
      <c r="U9882" s="28"/>
    </row>
    <row r="9883">
      <c r="N9883" s="28"/>
      <c r="O9883" s="28"/>
      <c r="U9883" s="28"/>
    </row>
    <row r="9884">
      <c r="N9884" s="28"/>
      <c r="O9884" s="28"/>
      <c r="U9884" s="28"/>
    </row>
    <row r="9885">
      <c r="N9885" s="28"/>
      <c r="O9885" s="28"/>
      <c r="U9885" s="28"/>
    </row>
    <row r="9886">
      <c r="N9886" s="28"/>
      <c r="O9886" s="28"/>
      <c r="U9886" s="28"/>
    </row>
    <row r="9887">
      <c r="N9887" s="28"/>
      <c r="O9887" s="28"/>
      <c r="U9887" s="28"/>
    </row>
    <row r="9888">
      <c r="N9888" s="28"/>
      <c r="O9888" s="28"/>
      <c r="U9888" s="28"/>
    </row>
    <row r="9889">
      <c r="N9889" s="28"/>
      <c r="O9889" s="28"/>
      <c r="U9889" s="28"/>
    </row>
    <row r="9890">
      <c r="N9890" s="28"/>
      <c r="O9890" s="28"/>
      <c r="U9890" s="28"/>
    </row>
    <row r="9891">
      <c r="N9891" s="28"/>
      <c r="O9891" s="28"/>
      <c r="U9891" s="28"/>
    </row>
    <row r="9892">
      <c r="N9892" s="28"/>
      <c r="O9892" s="28"/>
      <c r="U9892" s="28"/>
    </row>
    <row r="9893">
      <c r="N9893" s="28"/>
      <c r="O9893" s="28"/>
      <c r="U9893" s="28"/>
    </row>
    <row r="9894">
      <c r="N9894" s="28"/>
      <c r="O9894" s="28"/>
      <c r="U9894" s="28"/>
    </row>
    <row r="9895">
      <c r="N9895" s="28"/>
      <c r="O9895" s="28"/>
      <c r="U9895" s="28"/>
    </row>
    <row r="9896">
      <c r="N9896" s="28"/>
      <c r="O9896" s="28"/>
      <c r="U9896" s="28"/>
    </row>
    <row r="9897">
      <c r="N9897" s="28"/>
      <c r="O9897" s="28"/>
      <c r="U9897" s="28"/>
    </row>
    <row r="9898">
      <c r="N9898" s="28"/>
      <c r="O9898" s="28"/>
      <c r="U9898" s="28"/>
    </row>
    <row r="9899">
      <c r="N9899" s="28"/>
      <c r="O9899" s="28"/>
      <c r="U9899" s="28"/>
    </row>
    <row r="9900">
      <c r="N9900" s="28"/>
      <c r="O9900" s="28"/>
      <c r="U9900" s="28"/>
    </row>
    <row r="9901">
      <c r="N9901" s="28"/>
      <c r="O9901" s="28"/>
      <c r="U9901" s="28"/>
    </row>
    <row r="9902">
      <c r="N9902" s="28"/>
      <c r="O9902" s="28"/>
      <c r="U9902" s="28"/>
    </row>
    <row r="9903">
      <c r="N9903" s="28"/>
      <c r="O9903" s="28"/>
      <c r="U9903" s="28"/>
    </row>
    <row r="9904">
      <c r="N9904" s="28"/>
      <c r="O9904" s="28"/>
      <c r="U9904" s="28"/>
    </row>
    <row r="9905">
      <c r="N9905" s="28"/>
      <c r="O9905" s="28"/>
      <c r="U9905" s="28"/>
    </row>
    <row r="9906">
      <c r="N9906" s="28"/>
      <c r="O9906" s="28"/>
      <c r="U9906" s="28"/>
    </row>
    <row r="9907">
      <c r="N9907" s="28"/>
      <c r="O9907" s="28"/>
      <c r="U9907" s="28"/>
    </row>
    <row r="9908">
      <c r="N9908" s="28"/>
      <c r="O9908" s="28"/>
      <c r="U9908" s="28"/>
    </row>
    <row r="9909">
      <c r="N9909" s="28"/>
      <c r="O9909" s="28"/>
      <c r="U9909" s="28"/>
    </row>
    <row r="9910">
      <c r="N9910" s="28"/>
      <c r="O9910" s="28"/>
      <c r="U9910" s="28"/>
    </row>
    <row r="9911">
      <c r="N9911" s="28"/>
      <c r="O9911" s="28"/>
      <c r="U9911" s="28"/>
    </row>
    <row r="9912">
      <c r="N9912" s="28"/>
      <c r="O9912" s="28"/>
      <c r="U9912" s="28"/>
    </row>
    <row r="9913">
      <c r="N9913" s="28"/>
      <c r="O9913" s="28"/>
      <c r="U9913" s="28"/>
    </row>
    <row r="9914">
      <c r="N9914" s="28"/>
      <c r="O9914" s="28"/>
      <c r="U9914" s="28"/>
    </row>
    <row r="9915">
      <c r="N9915" s="28"/>
      <c r="O9915" s="28"/>
      <c r="U9915" s="28"/>
    </row>
    <row r="9916">
      <c r="N9916" s="28"/>
      <c r="O9916" s="28"/>
      <c r="U9916" s="28"/>
    </row>
    <row r="9917">
      <c r="N9917" s="28"/>
      <c r="O9917" s="28"/>
      <c r="U9917" s="28"/>
    </row>
    <row r="9918">
      <c r="N9918" s="28"/>
      <c r="O9918" s="28"/>
      <c r="U9918" s="28"/>
    </row>
    <row r="9919">
      <c r="N9919" s="28"/>
      <c r="O9919" s="28"/>
      <c r="U9919" s="28"/>
    </row>
    <row r="9920">
      <c r="N9920" s="28"/>
      <c r="O9920" s="28"/>
      <c r="U9920" s="28"/>
    </row>
    <row r="9921">
      <c r="N9921" s="28"/>
      <c r="O9921" s="28"/>
      <c r="U9921" s="28"/>
    </row>
    <row r="9922">
      <c r="N9922" s="28"/>
      <c r="O9922" s="28"/>
      <c r="U9922" s="28"/>
    </row>
    <row r="9923">
      <c r="N9923" s="28"/>
      <c r="O9923" s="28"/>
      <c r="U9923" s="28"/>
    </row>
    <row r="9924">
      <c r="N9924" s="28"/>
      <c r="O9924" s="28"/>
      <c r="U9924" s="28"/>
    </row>
    <row r="9925">
      <c r="N9925" s="28"/>
      <c r="O9925" s="28"/>
      <c r="U9925" s="28"/>
    </row>
    <row r="9926">
      <c r="N9926" s="28"/>
      <c r="O9926" s="28"/>
      <c r="U9926" s="28"/>
    </row>
    <row r="9927">
      <c r="N9927" s="28"/>
      <c r="O9927" s="28"/>
      <c r="U9927" s="28"/>
    </row>
    <row r="9928">
      <c r="N9928" s="28"/>
      <c r="O9928" s="28"/>
      <c r="U9928" s="28"/>
    </row>
    <row r="9929">
      <c r="N9929" s="28"/>
      <c r="O9929" s="28"/>
      <c r="U9929" s="28"/>
    </row>
    <row r="9930">
      <c r="N9930" s="28"/>
      <c r="O9930" s="28"/>
      <c r="U9930" s="28"/>
    </row>
    <row r="9931">
      <c r="N9931" s="28"/>
      <c r="O9931" s="28"/>
      <c r="U9931" s="28"/>
    </row>
    <row r="9932">
      <c r="N9932" s="28"/>
      <c r="O9932" s="28"/>
      <c r="U9932" s="28"/>
    </row>
    <row r="9933">
      <c r="N9933" s="28"/>
      <c r="O9933" s="28"/>
      <c r="U9933" s="28"/>
    </row>
    <row r="9934">
      <c r="N9934" s="28"/>
      <c r="O9934" s="28"/>
      <c r="U9934" s="28"/>
    </row>
    <row r="9935">
      <c r="N9935" s="28"/>
      <c r="O9935" s="28"/>
      <c r="U9935" s="28"/>
    </row>
    <row r="9936">
      <c r="N9936" s="28"/>
      <c r="O9936" s="28"/>
      <c r="U9936" s="28"/>
    </row>
    <row r="9937">
      <c r="N9937" s="28"/>
      <c r="O9937" s="28"/>
      <c r="U9937" s="28"/>
    </row>
    <row r="9938">
      <c r="N9938" s="28"/>
      <c r="O9938" s="28"/>
      <c r="U9938" s="28"/>
    </row>
    <row r="9939">
      <c r="N9939" s="28"/>
      <c r="O9939" s="28"/>
      <c r="U9939" s="28"/>
    </row>
    <row r="9940">
      <c r="N9940" s="28"/>
      <c r="O9940" s="28"/>
      <c r="U9940" s="28"/>
    </row>
    <row r="9941">
      <c r="N9941" s="28"/>
      <c r="O9941" s="28"/>
      <c r="U9941" s="28"/>
    </row>
    <row r="9942">
      <c r="N9942" s="28"/>
      <c r="O9942" s="28"/>
      <c r="U9942" s="28"/>
    </row>
    <row r="9943">
      <c r="N9943" s="28"/>
      <c r="O9943" s="28"/>
      <c r="U9943" s="28"/>
    </row>
    <row r="9944">
      <c r="N9944" s="28"/>
      <c r="O9944" s="28"/>
      <c r="U9944" s="28"/>
    </row>
    <row r="9945">
      <c r="N9945" s="28"/>
      <c r="O9945" s="28"/>
      <c r="U9945" s="28"/>
    </row>
    <row r="9946">
      <c r="N9946" s="28"/>
      <c r="O9946" s="28"/>
      <c r="U9946" s="28"/>
    </row>
    <row r="9947">
      <c r="N9947" s="28"/>
      <c r="O9947" s="28"/>
      <c r="U9947" s="28"/>
    </row>
    <row r="9948">
      <c r="N9948" s="28"/>
      <c r="O9948" s="28"/>
      <c r="U9948" s="28"/>
    </row>
    <row r="9949">
      <c r="N9949" s="28"/>
      <c r="O9949" s="28"/>
      <c r="U9949" s="28"/>
    </row>
    <row r="9950">
      <c r="N9950" s="28"/>
      <c r="O9950" s="28"/>
      <c r="U9950" s="28"/>
    </row>
    <row r="9951">
      <c r="N9951" s="28"/>
      <c r="O9951" s="28"/>
      <c r="U9951" s="28"/>
    </row>
    <row r="9952">
      <c r="N9952" s="28"/>
      <c r="O9952" s="28"/>
      <c r="U9952" s="28"/>
    </row>
    <row r="9953">
      <c r="N9953" s="28"/>
      <c r="O9953" s="28"/>
      <c r="U9953" s="28"/>
    </row>
    <row r="9954">
      <c r="N9954" s="28"/>
      <c r="O9954" s="28"/>
      <c r="U9954" s="28"/>
    </row>
    <row r="9955">
      <c r="N9955" s="28"/>
      <c r="O9955" s="28"/>
      <c r="U9955" s="28"/>
    </row>
    <row r="9956">
      <c r="N9956" s="28"/>
      <c r="O9956" s="28"/>
      <c r="U9956" s="28"/>
    </row>
    <row r="9957">
      <c r="N9957" s="28"/>
      <c r="O9957" s="28"/>
      <c r="U9957" s="28"/>
    </row>
    <row r="9958">
      <c r="N9958" s="28"/>
      <c r="O9958" s="28"/>
      <c r="U9958" s="28"/>
    </row>
    <row r="9959">
      <c r="N9959" s="28"/>
      <c r="O9959" s="28"/>
      <c r="U9959" s="28"/>
    </row>
    <row r="9960">
      <c r="N9960" s="28"/>
      <c r="O9960" s="28"/>
      <c r="U9960" s="28"/>
    </row>
    <row r="9961">
      <c r="N9961" s="28"/>
      <c r="O9961" s="28"/>
      <c r="U9961" s="28"/>
    </row>
    <row r="9962">
      <c r="N9962" s="28"/>
      <c r="O9962" s="28"/>
      <c r="U9962" s="28"/>
    </row>
    <row r="9963">
      <c r="N9963" s="28"/>
      <c r="O9963" s="28"/>
      <c r="U9963" s="28"/>
    </row>
    <row r="9964">
      <c r="N9964" s="28"/>
      <c r="O9964" s="28"/>
      <c r="U9964" s="28"/>
    </row>
    <row r="9965">
      <c r="N9965" s="28"/>
      <c r="O9965" s="28"/>
      <c r="U9965" s="28"/>
    </row>
    <row r="9966">
      <c r="N9966" s="28"/>
      <c r="O9966" s="28"/>
      <c r="U9966" s="28"/>
    </row>
    <row r="9967">
      <c r="N9967" s="28"/>
      <c r="O9967" s="28"/>
      <c r="U9967" s="28"/>
    </row>
    <row r="9968">
      <c r="N9968" s="28"/>
      <c r="O9968" s="28"/>
      <c r="U9968" s="28"/>
    </row>
    <row r="9969">
      <c r="N9969" s="28"/>
      <c r="O9969" s="28"/>
      <c r="U9969" s="28"/>
    </row>
    <row r="9970">
      <c r="N9970" s="28"/>
      <c r="O9970" s="28"/>
      <c r="U9970" s="28"/>
    </row>
    <row r="9971">
      <c r="N9971" s="28"/>
      <c r="O9971" s="28"/>
      <c r="U9971" s="28"/>
    </row>
    <row r="9972">
      <c r="N9972" s="28"/>
      <c r="O9972" s="28"/>
      <c r="U9972" s="28"/>
    </row>
    <row r="9973">
      <c r="N9973" s="28"/>
      <c r="O9973" s="28"/>
      <c r="U9973" s="28"/>
    </row>
    <row r="9974">
      <c r="N9974" s="28"/>
      <c r="O9974" s="28"/>
      <c r="U9974" s="28"/>
    </row>
    <row r="9975">
      <c r="N9975" s="28"/>
      <c r="O9975" s="28"/>
      <c r="U9975" s="28"/>
    </row>
    <row r="9976">
      <c r="N9976" s="28"/>
      <c r="O9976" s="28"/>
      <c r="U9976" s="28"/>
    </row>
    <row r="9977">
      <c r="N9977" s="28"/>
      <c r="O9977" s="28"/>
      <c r="U9977" s="28"/>
    </row>
    <row r="9978">
      <c r="N9978" s="28"/>
      <c r="O9978" s="28"/>
      <c r="U9978" s="28"/>
    </row>
    <row r="9979">
      <c r="N9979" s="28"/>
      <c r="O9979" s="28"/>
      <c r="U9979" s="28"/>
    </row>
    <row r="9980">
      <c r="N9980" s="28"/>
      <c r="O9980" s="28"/>
      <c r="U9980" s="28"/>
    </row>
    <row r="9981">
      <c r="N9981" s="28"/>
      <c r="O9981" s="28"/>
      <c r="U9981" s="28"/>
    </row>
    <row r="9982">
      <c r="N9982" s="28"/>
      <c r="O9982" s="28"/>
      <c r="U9982" s="28"/>
    </row>
    <row r="9983">
      <c r="N9983" s="28"/>
      <c r="O9983" s="28"/>
      <c r="U9983" s="28"/>
    </row>
    <row r="9984">
      <c r="N9984" s="28"/>
      <c r="O9984" s="28"/>
      <c r="U9984" s="28"/>
    </row>
    <row r="9985">
      <c r="N9985" s="28"/>
      <c r="O9985" s="28"/>
      <c r="U9985" s="28"/>
    </row>
    <row r="9986">
      <c r="N9986" s="28"/>
      <c r="O9986" s="28"/>
      <c r="U9986" s="28"/>
    </row>
    <row r="9987">
      <c r="N9987" s="28"/>
      <c r="O9987" s="28"/>
      <c r="U9987" s="28"/>
    </row>
    <row r="9988">
      <c r="N9988" s="28"/>
      <c r="O9988" s="28"/>
      <c r="U9988" s="28"/>
    </row>
    <row r="9989">
      <c r="N9989" s="28"/>
      <c r="O9989" s="28"/>
      <c r="U9989" s="28"/>
    </row>
    <row r="9990">
      <c r="N9990" s="28"/>
      <c r="O9990" s="28"/>
      <c r="U9990" s="28"/>
    </row>
    <row r="9991">
      <c r="N9991" s="28"/>
      <c r="O9991" s="28"/>
      <c r="U9991" s="28"/>
    </row>
    <row r="9992">
      <c r="N9992" s="28"/>
      <c r="O9992" s="28"/>
      <c r="U9992" s="28"/>
    </row>
    <row r="9993">
      <c r="N9993" s="28"/>
      <c r="O9993" s="28"/>
      <c r="U9993" s="28"/>
    </row>
    <row r="9994">
      <c r="N9994" s="28"/>
      <c r="O9994" s="28"/>
      <c r="U9994" s="28"/>
    </row>
    <row r="9995">
      <c r="N9995" s="28"/>
      <c r="O9995" s="28"/>
      <c r="U9995" s="28"/>
    </row>
    <row r="9996">
      <c r="N9996" s="28"/>
      <c r="O9996" s="28"/>
      <c r="U9996" s="28"/>
    </row>
    <row r="9997">
      <c r="N9997" s="28"/>
      <c r="O9997" s="28"/>
      <c r="U9997" s="28"/>
    </row>
    <row r="9998">
      <c r="N9998" s="28"/>
      <c r="O9998" s="28"/>
      <c r="U9998" s="28"/>
    </row>
    <row r="9999">
      <c r="N9999" s="28"/>
      <c r="O9999" s="28"/>
      <c r="U9999" s="28"/>
    </row>
    <row r="10000">
      <c r="N10000" s="28"/>
      <c r="O10000" s="28"/>
      <c r="U10000" s="28"/>
    </row>
    <row r="10001">
      <c r="N10001" s="28"/>
      <c r="O10001" s="28"/>
      <c r="U10001" s="28"/>
    </row>
    <row r="10002">
      <c r="N10002" s="28"/>
      <c r="O10002" s="28"/>
      <c r="U10002" s="28"/>
    </row>
    <row r="10003">
      <c r="N10003" s="28"/>
      <c r="O10003" s="28"/>
      <c r="U10003" s="28"/>
    </row>
    <row r="10004">
      <c r="N10004" s="28"/>
      <c r="O10004" s="28"/>
      <c r="U10004" s="28"/>
    </row>
    <row r="10005">
      <c r="N10005" s="28"/>
      <c r="O10005" s="28"/>
      <c r="U10005" s="28"/>
    </row>
    <row r="10006">
      <c r="N10006" s="28"/>
      <c r="O10006" s="28"/>
      <c r="U10006" s="28"/>
    </row>
    <row r="10007">
      <c r="N10007" s="28"/>
      <c r="O10007" s="28"/>
      <c r="U10007" s="28"/>
    </row>
    <row r="10008">
      <c r="N10008" s="28"/>
      <c r="O10008" s="28"/>
      <c r="U10008" s="28"/>
    </row>
    <row r="10009">
      <c r="N10009" s="28"/>
      <c r="O10009" s="28"/>
      <c r="U10009" s="28"/>
    </row>
    <row r="10010">
      <c r="N10010" s="28"/>
      <c r="O10010" s="28"/>
      <c r="U10010" s="28"/>
    </row>
    <row r="10011">
      <c r="N10011" s="28"/>
      <c r="O10011" s="28"/>
      <c r="U10011" s="28"/>
    </row>
    <row r="10012">
      <c r="N10012" s="28"/>
      <c r="O10012" s="28"/>
      <c r="U10012" s="28"/>
    </row>
    <row r="10013">
      <c r="N10013" s="28"/>
      <c r="O10013" s="28"/>
      <c r="U10013" s="28"/>
    </row>
    <row r="10014">
      <c r="N10014" s="28"/>
      <c r="O10014" s="28"/>
      <c r="U10014" s="28"/>
    </row>
    <row r="10015">
      <c r="N10015" s="28"/>
      <c r="O10015" s="28"/>
      <c r="U10015" s="28"/>
    </row>
    <row r="10016">
      <c r="N10016" s="28"/>
      <c r="O10016" s="28"/>
      <c r="U10016" s="28"/>
    </row>
    <row r="10017">
      <c r="N10017" s="28"/>
      <c r="O10017" s="28"/>
      <c r="U10017" s="28"/>
    </row>
    <row r="10018">
      <c r="N10018" s="28"/>
      <c r="O10018" s="28"/>
      <c r="U10018" s="28"/>
    </row>
    <row r="10019">
      <c r="N10019" s="28"/>
      <c r="O10019" s="28"/>
      <c r="U10019" s="28"/>
    </row>
    <row r="10020">
      <c r="N10020" s="28"/>
      <c r="O10020" s="28"/>
      <c r="U10020" s="28"/>
    </row>
    <row r="10021">
      <c r="N10021" s="28"/>
      <c r="O10021" s="28"/>
      <c r="U10021" s="28"/>
    </row>
    <row r="10022">
      <c r="N10022" s="28"/>
      <c r="O10022" s="28"/>
      <c r="U10022" s="28"/>
    </row>
    <row r="10023">
      <c r="N10023" s="28"/>
      <c r="O10023" s="28"/>
      <c r="U10023" s="28"/>
    </row>
    <row r="10024">
      <c r="N10024" s="28"/>
      <c r="O10024" s="28"/>
      <c r="U10024" s="28"/>
    </row>
    <row r="10025">
      <c r="N10025" s="28"/>
      <c r="O10025" s="28"/>
      <c r="U10025" s="28"/>
    </row>
    <row r="10026">
      <c r="N10026" s="28"/>
      <c r="O10026" s="28"/>
      <c r="U10026" s="28"/>
    </row>
    <row r="10027">
      <c r="N10027" s="28"/>
      <c r="O10027" s="28"/>
      <c r="U10027" s="28"/>
    </row>
    <row r="10028">
      <c r="N10028" s="28"/>
      <c r="O10028" s="28"/>
      <c r="U10028" s="28"/>
    </row>
    <row r="10029">
      <c r="N10029" s="28"/>
      <c r="O10029" s="28"/>
      <c r="U10029" s="28"/>
    </row>
    <row r="10030">
      <c r="N10030" s="28"/>
      <c r="O10030" s="28"/>
      <c r="U10030" s="28"/>
    </row>
    <row r="10031">
      <c r="N10031" s="28"/>
      <c r="O10031" s="28"/>
      <c r="U10031" s="28"/>
    </row>
    <row r="10032">
      <c r="N10032" s="28"/>
      <c r="O10032" s="28"/>
      <c r="U10032" s="28"/>
    </row>
    <row r="10033">
      <c r="N10033" s="28"/>
      <c r="O10033" s="28"/>
      <c r="U10033" s="28"/>
    </row>
    <row r="10034">
      <c r="N10034" s="28"/>
      <c r="O10034" s="28"/>
      <c r="U10034" s="28"/>
    </row>
    <row r="10035">
      <c r="N10035" s="28"/>
      <c r="O10035" s="28"/>
      <c r="U10035" s="28"/>
    </row>
    <row r="10036">
      <c r="N10036" s="28"/>
      <c r="O10036" s="28"/>
      <c r="U10036" s="28"/>
    </row>
    <row r="10037">
      <c r="N10037" s="28"/>
      <c r="O10037" s="28"/>
      <c r="U10037" s="28"/>
    </row>
    <row r="10038">
      <c r="N10038" s="28"/>
      <c r="O10038" s="28"/>
      <c r="U10038" s="28"/>
    </row>
    <row r="10039">
      <c r="N10039" s="28"/>
      <c r="O10039" s="28"/>
      <c r="U10039" s="28"/>
    </row>
    <row r="10040">
      <c r="N10040" s="28"/>
      <c r="O10040" s="28"/>
      <c r="U10040" s="28"/>
    </row>
    <row r="10041">
      <c r="N10041" s="28"/>
      <c r="O10041" s="28"/>
      <c r="U10041" s="28"/>
    </row>
    <row r="10042">
      <c r="N10042" s="28"/>
      <c r="O10042" s="28"/>
      <c r="U10042" s="28"/>
    </row>
    <row r="10043">
      <c r="N10043" s="28"/>
      <c r="O10043" s="28"/>
      <c r="U10043" s="28"/>
    </row>
    <row r="10044">
      <c r="N10044" s="28"/>
      <c r="O10044" s="28"/>
      <c r="U10044" s="28"/>
    </row>
    <row r="10045">
      <c r="N10045" s="28"/>
      <c r="O10045" s="28"/>
      <c r="U10045" s="28"/>
    </row>
    <row r="10046">
      <c r="N10046" s="28"/>
      <c r="O10046" s="28"/>
      <c r="U10046" s="28"/>
    </row>
    <row r="10047">
      <c r="N10047" s="28"/>
      <c r="O10047" s="28"/>
      <c r="U10047" s="28"/>
    </row>
    <row r="10048">
      <c r="N10048" s="28"/>
      <c r="O10048" s="28"/>
      <c r="U10048" s="28"/>
    </row>
    <row r="10049">
      <c r="N10049" s="28"/>
      <c r="O10049" s="28"/>
      <c r="U10049" s="28"/>
    </row>
    <row r="10050">
      <c r="N10050" s="28"/>
      <c r="O10050" s="28"/>
      <c r="U10050" s="28"/>
    </row>
    <row r="10051">
      <c r="N10051" s="28"/>
      <c r="O10051" s="28"/>
      <c r="U10051" s="28"/>
    </row>
    <row r="10052">
      <c r="N10052" s="28"/>
      <c r="O10052" s="28"/>
      <c r="U10052" s="28"/>
    </row>
    <row r="10053">
      <c r="N10053" s="28"/>
      <c r="O10053" s="28"/>
      <c r="U10053" s="28"/>
    </row>
    <row r="10054">
      <c r="N10054" s="28"/>
      <c r="O10054" s="28"/>
      <c r="U10054" s="28"/>
    </row>
    <row r="10055">
      <c r="N10055" s="28"/>
      <c r="O10055" s="28"/>
      <c r="U10055" s="28"/>
    </row>
    <row r="10056">
      <c r="N10056" s="28"/>
      <c r="O10056" s="28"/>
      <c r="U10056" s="28"/>
    </row>
    <row r="10057">
      <c r="N10057" s="28"/>
      <c r="O10057" s="28"/>
      <c r="U10057" s="28"/>
    </row>
    <row r="10058">
      <c r="N10058" s="28"/>
      <c r="O10058" s="28"/>
      <c r="U10058" s="28"/>
    </row>
    <row r="10059">
      <c r="N10059" s="28"/>
      <c r="O10059" s="28"/>
      <c r="U10059" s="28"/>
    </row>
    <row r="10060">
      <c r="N10060" s="28"/>
      <c r="O10060" s="28"/>
      <c r="U10060" s="28"/>
    </row>
    <row r="10061">
      <c r="N10061" s="28"/>
      <c r="O10061" s="28"/>
      <c r="U10061" s="28"/>
    </row>
    <row r="10062">
      <c r="N10062" s="28"/>
      <c r="O10062" s="28"/>
      <c r="U10062" s="28"/>
    </row>
    <row r="10063">
      <c r="N10063" s="28"/>
      <c r="O10063" s="28"/>
      <c r="U10063" s="28"/>
    </row>
    <row r="10064">
      <c r="N10064" s="28"/>
      <c r="O10064" s="28"/>
      <c r="U10064" s="28"/>
    </row>
    <row r="10065">
      <c r="N10065" s="28"/>
      <c r="O10065" s="28"/>
      <c r="U10065" s="28"/>
    </row>
    <row r="10066">
      <c r="N10066" s="28"/>
      <c r="O10066" s="28"/>
      <c r="U10066" s="28"/>
    </row>
    <row r="10067">
      <c r="N10067" s="28"/>
      <c r="O10067" s="28"/>
      <c r="U10067" s="28"/>
    </row>
    <row r="10068">
      <c r="N10068" s="28"/>
      <c r="O10068" s="28"/>
      <c r="U10068" s="28"/>
    </row>
    <row r="10069">
      <c r="N10069" s="28"/>
      <c r="O10069" s="28"/>
      <c r="U10069" s="28"/>
    </row>
    <row r="10070">
      <c r="N10070" s="28"/>
      <c r="O10070" s="28"/>
      <c r="U10070" s="28"/>
    </row>
    <row r="10071">
      <c r="N10071" s="28"/>
      <c r="O10071" s="28"/>
      <c r="U10071" s="28"/>
    </row>
    <row r="10072">
      <c r="N10072" s="28"/>
      <c r="O10072" s="28"/>
      <c r="U10072" s="28"/>
    </row>
    <row r="10073">
      <c r="N10073" s="28"/>
      <c r="O10073" s="28"/>
      <c r="U10073" s="28"/>
    </row>
    <row r="10074">
      <c r="N10074" s="28"/>
      <c r="O10074" s="28"/>
      <c r="U10074" s="28"/>
    </row>
    <row r="10075">
      <c r="N10075" s="28"/>
      <c r="O10075" s="28"/>
      <c r="U10075" s="28"/>
    </row>
    <row r="10076">
      <c r="N10076" s="28"/>
      <c r="O10076" s="28"/>
      <c r="U10076" s="28"/>
    </row>
    <row r="10077">
      <c r="N10077" s="28"/>
      <c r="O10077" s="28"/>
      <c r="U10077" s="28"/>
    </row>
    <row r="10078">
      <c r="N10078" s="28"/>
      <c r="O10078" s="28"/>
      <c r="U10078" s="28"/>
    </row>
    <row r="10079">
      <c r="N10079" s="28"/>
      <c r="O10079" s="28"/>
      <c r="U10079" s="28"/>
    </row>
    <row r="10080">
      <c r="N10080" s="28"/>
      <c r="O10080" s="28"/>
      <c r="U10080" s="28"/>
    </row>
    <row r="10081">
      <c r="N10081" s="28"/>
      <c r="O10081" s="28"/>
      <c r="U10081" s="28"/>
    </row>
    <row r="10082">
      <c r="N10082" s="28"/>
      <c r="O10082" s="28"/>
      <c r="U10082" s="28"/>
    </row>
    <row r="10083">
      <c r="N10083" s="28"/>
      <c r="O10083" s="28"/>
      <c r="U10083" s="28"/>
    </row>
    <row r="10084">
      <c r="N10084" s="28"/>
      <c r="O10084" s="28"/>
      <c r="U10084" s="28"/>
    </row>
    <row r="10085">
      <c r="N10085" s="28"/>
      <c r="O10085" s="28"/>
      <c r="U10085" s="28"/>
    </row>
    <row r="10086">
      <c r="N10086" s="28"/>
      <c r="O10086" s="28"/>
      <c r="U10086" s="28"/>
    </row>
    <row r="10087">
      <c r="N10087" s="28"/>
      <c r="O10087" s="28"/>
      <c r="U10087" s="28"/>
    </row>
    <row r="10088">
      <c r="N10088" s="28"/>
      <c r="O10088" s="28"/>
      <c r="U10088" s="28"/>
    </row>
    <row r="10089">
      <c r="N10089" s="28"/>
      <c r="O10089" s="28"/>
      <c r="U10089" s="28"/>
    </row>
    <row r="10090">
      <c r="N10090" s="28"/>
      <c r="O10090" s="28"/>
      <c r="U10090" s="28"/>
    </row>
    <row r="10091">
      <c r="N10091" s="28"/>
      <c r="O10091" s="28"/>
      <c r="U10091" s="28"/>
    </row>
    <row r="10092">
      <c r="N10092" s="28"/>
      <c r="O10092" s="28"/>
      <c r="U10092" s="28"/>
    </row>
    <row r="10093">
      <c r="N10093" s="28"/>
      <c r="O10093" s="28"/>
      <c r="U10093" s="28"/>
    </row>
    <row r="10094">
      <c r="N10094" s="28"/>
      <c r="O10094" s="28"/>
      <c r="U10094" s="28"/>
    </row>
    <row r="10095">
      <c r="N10095" s="28"/>
      <c r="O10095" s="28"/>
      <c r="U10095" s="28"/>
    </row>
    <row r="10096">
      <c r="N10096" s="28"/>
      <c r="O10096" s="28"/>
      <c r="U10096" s="28"/>
    </row>
    <row r="10097">
      <c r="N10097" s="28"/>
      <c r="O10097" s="28"/>
      <c r="U10097" s="28"/>
    </row>
    <row r="10098">
      <c r="N10098" s="28"/>
      <c r="O10098" s="28"/>
      <c r="U10098" s="28"/>
    </row>
    <row r="10099">
      <c r="N10099" s="28"/>
      <c r="O10099" s="28"/>
      <c r="U10099" s="28"/>
    </row>
    <row r="10100">
      <c r="N10100" s="28"/>
      <c r="O10100" s="28"/>
      <c r="U10100" s="28"/>
    </row>
    <row r="10101">
      <c r="N10101" s="28"/>
      <c r="O10101" s="28"/>
      <c r="U10101" s="28"/>
    </row>
    <row r="10102">
      <c r="N10102" s="28"/>
      <c r="O10102" s="28"/>
      <c r="U10102" s="28"/>
    </row>
    <row r="10103">
      <c r="N10103" s="28"/>
      <c r="O10103" s="28"/>
      <c r="U10103" s="28"/>
    </row>
    <row r="10104">
      <c r="N10104" s="28"/>
      <c r="O10104" s="28"/>
      <c r="U10104" s="28"/>
    </row>
    <row r="10105">
      <c r="N10105" s="28"/>
      <c r="O10105" s="28"/>
      <c r="U10105" s="28"/>
    </row>
    <row r="10106">
      <c r="N10106" s="28"/>
      <c r="O10106" s="28"/>
      <c r="U10106" s="28"/>
    </row>
    <row r="10107">
      <c r="N10107" s="28"/>
      <c r="O10107" s="28"/>
      <c r="U10107" s="28"/>
    </row>
    <row r="10108">
      <c r="N10108" s="28"/>
      <c r="O10108" s="28"/>
      <c r="U10108" s="28"/>
    </row>
    <row r="10109">
      <c r="N10109" s="28"/>
      <c r="O10109" s="28"/>
      <c r="U10109" s="28"/>
    </row>
    <row r="10110">
      <c r="N10110" s="28"/>
      <c r="O10110" s="28"/>
      <c r="U10110" s="28"/>
    </row>
    <row r="10111">
      <c r="N10111" s="28"/>
      <c r="O10111" s="28"/>
      <c r="U10111" s="28"/>
    </row>
    <row r="10112">
      <c r="N10112" s="28"/>
      <c r="O10112" s="28"/>
      <c r="U10112" s="28"/>
    </row>
    <row r="10113">
      <c r="N10113" s="28"/>
      <c r="O10113" s="28"/>
      <c r="U10113" s="28"/>
    </row>
    <row r="10114">
      <c r="N10114" s="28"/>
      <c r="O10114" s="28"/>
      <c r="U10114" s="28"/>
    </row>
    <row r="10115">
      <c r="N10115" s="28"/>
      <c r="O10115" s="28"/>
      <c r="U10115" s="28"/>
    </row>
    <row r="10116">
      <c r="N10116" s="28"/>
      <c r="O10116" s="28"/>
      <c r="U10116" s="28"/>
    </row>
    <row r="10117">
      <c r="N10117" s="28"/>
      <c r="O10117" s="28"/>
      <c r="U10117" s="28"/>
    </row>
    <row r="10118">
      <c r="N10118" s="28"/>
      <c r="O10118" s="28"/>
      <c r="U10118" s="28"/>
    </row>
    <row r="10119">
      <c r="N10119" s="28"/>
      <c r="O10119" s="28"/>
      <c r="U10119" s="28"/>
    </row>
    <row r="10120">
      <c r="N10120" s="28"/>
      <c r="O10120" s="28"/>
      <c r="U10120" s="28"/>
    </row>
    <row r="10121">
      <c r="N10121" s="28"/>
      <c r="O10121" s="28"/>
      <c r="U10121" s="28"/>
    </row>
    <row r="10122">
      <c r="N10122" s="28"/>
      <c r="O10122" s="28"/>
      <c r="U10122" s="28"/>
    </row>
    <row r="10123">
      <c r="N10123" s="28"/>
      <c r="O10123" s="28"/>
      <c r="U10123" s="28"/>
    </row>
    <row r="10124">
      <c r="N10124" s="28"/>
      <c r="O10124" s="28"/>
      <c r="U10124" s="28"/>
    </row>
    <row r="10125">
      <c r="N10125" s="28"/>
      <c r="O10125" s="28"/>
      <c r="U10125" s="28"/>
    </row>
    <row r="10126">
      <c r="N10126" s="28"/>
      <c r="O10126" s="28"/>
      <c r="U10126" s="28"/>
    </row>
    <row r="10127">
      <c r="N10127" s="28"/>
      <c r="O10127" s="28"/>
      <c r="U10127" s="28"/>
    </row>
    <row r="10128">
      <c r="N10128" s="28"/>
      <c r="O10128" s="28"/>
      <c r="U10128" s="28"/>
    </row>
    <row r="10129">
      <c r="N10129" s="28"/>
      <c r="O10129" s="28"/>
      <c r="U10129" s="28"/>
    </row>
    <row r="10130">
      <c r="N10130" s="28"/>
      <c r="O10130" s="28"/>
      <c r="U10130" s="28"/>
    </row>
    <row r="10131">
      <c r="N10131" s="28"/>
      <c r="O10131" s="28"/>
      <c r="U10131" s="28"/>
    </row>
    <row r="10132">
      <c r="N10132" s="28"/>
      <c r="O10132" s="28"/>
      <c r="U10132" s="28"/>
    </row>
    <row r="10133">
      <c r="N10133" s="28"/>
      <c r="O10133" s="28"/>
      <c r="U10133" s="28"/>
    </row>
    <row r="10134">
      <c r="N10134" s="28"/>
      <c r="O10134" s="28"/>
      <c r="U10134" s="28"/>
    </row>
    <row r="10135">
      <c r="N10135" s="28"/>
      <c r="O10135" s="28"/>
      <c r="U10135" s="28"/>
    </row>
    <row r="10136">
      <c r="N10136" s="28"/>
      <c r="O10136" s="28"/>
      <c r="U10136" s="28"/>
    </row>
    <row r="10137">
      <c r="N10137" s="28"/>
      <c r="O10137" s="28"/>
      <c r="U10137" s="28"/>
    </row>
    <row r="10138">
      <c r="N10138" s="28"/>
      <c r="O10138" s="28"/>
      <c r="U10138" s="28"/>
    </row>
    <row r="10139">
      <c r="N10139" s="28"/>
      <c r="O10139" s="28"/>
      <c r="U10139" s="28"/>
    </row>
    <row r="10140">
      <c r="N10140" s="28"/>
      <c r="O10140" s="28"/>
      <c r="U10140" s="28"/>
    </row>
    <row r="10141">
      <c r="N10141" s="28"/>
      <c r="O10141" s="28"/>
      <c r="U10141" s="28"/>
    </row>
    <row r="10142">
      <c r="N10142" s="28"/>
      <c r="O10142" s="28"/>
      <c r="U10142" s="28"/>
    </row>
    <row r="10143">
      <c r="N10143" s="28"/>
      <c r="O10143" s="28"/>
      <c r="U10143" s="28"/>
    </row>
    <row r="10144">
      <c r="N10144" s="28"/>
      <c r="O10144" s="28"/>
      <c r="U10144" s="28"/>
    </row>
    <row r="10145">
      <c r="N10145" s="28"/>
      <c r="O10145" s="28"/>
      <c r="U10145" s="28"/>
    </row>
    <row r="10146">
      <c r="N10146" s="28"/>
      <c r="O10146" s="28"/>
      <c r="U10146" s="28"/>
    </row>
    <row r="10147">
      <c r="N10147" s="28"/>
      <c r="O10147" s="28"/>
      <c r="U10147" s="28"/>
    </row>
    <row r="10148">
      <c r="N10148" s="28"/>
      <c r="O10148" s="28"/>
      <c r="U10148" s="28"/>
    </row>
    <row r="10149">
      <c r="N10149" s="28"/>
      <c r="O10149" s="28"/>
      <c r="U10149" s="28"/>
    </row>
    <row r="10150">
      <c r="N10150" s="28"/>
      <c r="O10150" s="28"/>
      <c r="U10150" s="28"/>
    </row>
    <row r="10151">
      <c r="N10151" s="28"/>
      <c r="O10151" s="28"/>
      <c r="U10151" s="28"/>
    </row>
    <row r="10152">
      <c r="N10152" s="28"/>
      <c r="O10152" s="28"/>
      <c r="U10152" s="28"/>
    </row>
    <row r="10153">
      <c r="N10153" s="28"/>
      <c r="O10153" s="28"/>
      <c r="U10153" s="28"/>
    </row>
    <row r="10154">
      <c r="N10154" s="28"/>
      <c r="O10154" s="28"/>
      <c r="U10154" s="28"/>
    </row>
    <row r="10155">
      <c r="N10155" s="28"/>
      <c r="O10155" s="28"/>
      <c r="U10155" s="28"/>
    </row>
    <row r="10156">
      <c r="N10156" s="28"/>
      <c r="O10156" s="28"/>
      <c r="U10156" s="28"/>
    </row>
    <row r="10157">
      <c r="N10157" s="28"/>
      <c r="O10157" s="28"/>
      <c r="U10157" s="28"/>
    </row>
    <row r="10158">
      <c r="N10158" s="28"/>
      <c r="O10158" s="28"/>
      <c r="U10158" s="28"/>
    </row>
    <row r="10159">
      <c r="N10159" s="28"/>
      <c r="O10159" s="28"/>
      <c r="U10159" s="28"/>
    </row>
    <row r="10160">
      <c r="N10160" s="28"/>
      <c r="O10160" s="28"/>
      <c r="U10160" s="28"/>
    </row>
    <row r="10161">
      <c r="N10161" s="28"/>
      <c r="O10161" s="28"/>
      <c r="U10161" s="28"/>
    </row>
    <row r="10162">
      <c r="N10162" s="28"/>
      <c r="O10162" s="28"/>
      <c r="U10162" s="28"/>
    </row>
    <row r="10163">
      <c r="N10163" s="28"/>
      <c r="O10163" s="28"/>
      <c r="U10163" s="28"/>
    </row>
    <row r="10164">
      <c r="N10164" s="28"/>
      <c r="O10164" s="28"/>
      <c r="U10164" s="28"/>
    </row>
    <row r="10165">
      <c r="N10165" s="28"/>
      <c r="O10165" s="28"/>
      <c r="U10165" s="28"/>
    </row>
    <row r="10166">
      <c r="N10166" s="28"/>
      <c r="O10166" s="28"/>
      <c r="U10166" s="28"/>
    </row>
    <row r="10167">
      <c r="N10167" s="28"/>
      <c r="O10167" s="28"/>
      <c r="U10167" s="28"/>
    </row>
    <row r="10168">
      <c r="N10168" s="28"/>
      <c r="O10168" s="28"/>
      <c r="U10168" s="28"/>
    </row>
    <row r="10169">
      <c r="N10169" s="28"/>
      <c r="O10169" s="28"/>
      <c r="U10169" s="28"/>
    </row>
    <row r="10170">
      <c r="N10170" s="28"/>
      <c r="O10170" s="28"/>
      <c r="U10170" s="28"/>
    </row>
    <row r="10171">
      <c r="N10171" s="28"/>
      <c r="O10171" s="28"/>
      <c r="U10171" s="28"/>
    </row>
    <row r="10172">
      <c r="N10172" s="28"/>
      <c r="O10172" s="28"/>
      <c r="U10172" s="28"/>
    </row>
    <row r="10173">
      <c r="N10173" s="28"/>
      <c r="O10173" s="28"/>
      <c r="U10173" s="28"/>
    </row>
    <row r="10174">
      <c r="N10174" s="28"/>
      <c r="O10174" s="28"/>
      <c r="U10174" s="28"/>
    </row>
    <row r="10175">
      <c r="N10175" s="28"/>
      <c r="O10175" s="28"/>
      <c r="U10175" s="28"/>
    </row>
    <row r="10176">
      <c r="N10176" s="28"/>
      <c r="O10176" s="28"/>
      <c r="U10176" s="28"/>
    </row>
    <row r="10177">
      <c r="N10177" s="28"/>
      <c r="O10177" s="28"/>
      <c r="U10177" s="28"/>
    </row>
    <row r="10178">
      <c r="N10178" s="28"/>
      <c r="O10178" s="28"/>
      <c r="U10178" s="28"/>
    </row>
    <row r="10179">
      <c r="N10179" s="28"/>
      <c r="O10179" s="28"/>
      <c r="U10179" s="28"/>
    </row>
    <row r="10180">
      <c r="N10180" s="28"/>
      <c r="O10180" s="28"/>
      <c r="U10180" s="28"/>
    </row>
    <row r="10181">
      <c r="N10181" s="28"/>
      <c r="O10181" s="28"/>
      <c r="U10181" s="28"/>
    </row>
    <row r="10182">
      <c r="N10182" s="28"/>
      <c r="O10182" s="28"/>
      <c r="U10182" s="28"/>
    </row>
    <row r="10183">
      <c r="N10183" s="28"/>
      <c r="O10183" s="28"/>
      <c r="U10183" s="28"/>
    </row>
    <row r="10184">
      <c r="N10184" s="28"/>
      <c r="O10184" s="28"/>
      <c r="U10184" s="28"/>
    </row>
    <row r="10185">
      <c r="N10185" s="28"/>
      <c r="O10185" s="28"/>
      <c r="U10185" s="28"/>
    </row>
    <row r="10186">
      <c r="N10186" s="28"/>
      <c r="O10186" s="28"/>
      <c r="U10186" s="28"/>
    </row>
    <row r="10187">
      <c r="N10187" s="28"/>
      <c r="O10187" s="28"/>
      <c r="U10187" s="28"/>
    </row>
    <row r="10188">
      <c r="N10188" s="28"/>
      <c r="O10188" s="28"/>
      <c r="U10188" s="28"/>
    </row>
    <row r="10189">
      <c r="N10189" s="28"/>
      <c r="O10189" s="28"/>
      <c r="U10189" s="28"/>
    </row>
    <row r="10190">
      <c r="N10190" s="28"/>
      <c r="O10190" s="28"/>
      <c r="U10190" s="28"/>
    </row>
    <row r="10191">
      <c r="N10191" s="28"/>
      <c r="O10191" s="28"/>
      <c r="U10191" s="28"/>
    </row>
    <row r="10192">
      <c r="N10192" s="28"/>
      <c r="O10192" s="28"/>
      <c r="U10192" s="28"/>
    </row>
    <row r="10193">
      <c r="N10193" s="28"/>
      <c r="O10193" s="28"/>
      <c r="U10193" s="28"/>
    </row>
    <row r="10194">
      <c r="N10194" s="28"/>
      <c r="O10194" s="28"/>
      <c r="U10194" s="28"/>
    </row>
    <row r="10195">
      <c r="N10195" s="28"/>
      <c r="O10195" s="28"/>
      <c r="U10195" s="28"/>
    </row>
    <row r="10196">
      <c r="N10196" s="28"/>
      <c r="O10196" s="28"/>
      <c r="U10196" s="28"/>
    </row>
    <row r="10197">
      <c r="N10197" s="28"/>
      <c r="O10197" s="28"/>
      <c r="U10197" s="28"/>
    </row>
    <row r="10198">
      <c r="N10198" s="28"/>
      <c r="O10198" s="28"/>
      <c r="U10198" s="28"/>
    </row>
    <row r="10199">
      <c r="N10199" s="28"/>
      <c r="O10199" s="28"/>
      <c r="U10199" s="28"/>
    </row>
    <row r="10200">
      <c r="N10200" s="28"/>
      <c r="O10200" s="28"/>
      <c r="U10200" s="28"/>
    </row>
    <row r="10201">
      <c r="N10201" s="28"/>
      <c r="O10201" s="28"/>
      <c r="U10201" s="28"/>
    </row>
    <row r="10202">
      <c r="N10202" s="28"/>
      <c r="O10202" s="28"/>
      <c r="U10202" s="28"/>
    </row>
    <row r="10203">
      <c r="N10203" s="28"/>
      <c r="O10203" s="28"/>
      <c r="U10203" s="28"/>
    </row>
    <row r="10204">
      <c r="N10204" s="28"/>
      <c r="O10204" s="28"/>
      <c r="U10204" s="28"/>
    </row>
    <row r="10205">
      <c r="N10205" s="28"/>
      <c r="O10205" s="28"/>
      <c r="U10205" s="28"/>
    </row>
    <row r="10206">
      <c r="N10206" s="28"/>
      <c r="O10206" s="28"/>
      <c r="U10206" s="28"/>
    </row>
    <row r="10207">
      <c r="N10207" s="28"/>
      <c r="O10207" s="28"/>
      <c r="U10207" s="28"/>
    </row>
    <row r="10208">
      <c r="N10208" s="28"/>
      <c r="O10208" s="28"/>
      <c r="U10208" s="28"/>
    </row>
    <row r="10209">
      <c r="N10209" s="28"/>
      <c r="O10209" s="28"/>
      <c r="U10209" s="28"/>
    </row>
    <row r="10210">
      <c r="N10210" s="28"/>
      <c r="O10210" s="28"/>
      <c r="U10210" s="28"/>
    </row>
    <row r="10211">
      <c r="N10211" s="28"/>
      <c r="O10211" s="28"/>
      <c r="U10211" s="28"/>
    </row>
    <row r="10212">
      <c r="N10212" s="28"/>
      <c r="O10212" s="28"/>
      <c r="U10212" s="28"/>
    </row>
    <row r="10213">
      <c r="N10213" s="28"/>
      <c r="O10213" s="28"/>
      <c r="U10213" s="28"/>
    </row>
    <row r="10214">
      <c r="N10214" s="28"/>
      <c r="O10214" s="28"/>
      <c r="U10214" s="28"/>
    </row>
    <row r="10215">
      <c r="N10215" s="28"/>
      <c r="O10215" s="28"/>
      <c r="U10215" s="28"/>
    </row>
    <row r="10216">
      <c r="N10216" s="28"/>
      <c r="O10216" s="28"/>
      <c r="U10216" s="28"/>
    </row>
    <row r="10217">
      <c r="N10217" s="28"/>
      <c r="O10217" s="28"/>
      <c r="U10217" s="28"/>
    </row>
    <row r="10218">
      <c r="N10218" s="28"/>
      <c r="O10218" s="28"/>
      <c r="U10218" s="28"/>
    </row>
    <row r="10219">
      <c r="N10219" s="28"/>
      <c r="O10219" s="28"/>
      <c r="U10219" s="28"/>
    </row>
    <row r="10220">
      <c r="N10220" s="28"/>
      <c r="O10220" s="28"/>
      <c r="U10220" s="28"/>
    </row>
    <row r="10221">
      <c r="N10221" s="28"/>
      <c r="O10221" s="28"/>
      <c r="U10221" s="28"/>
    </row>
    <row r="10222">
      <c r="N10222" s="28"/>
      <c r="O10222" s="28"/>
      <c r="U10222" s="28"/>
    </row>
    <row r="10223">
      <c r="N10223" s="28"/>
      <c r="O10223" s="28"/>
      <c r="U10223" s="28"/>
    </row>
    <row r="10224">
      <c r="N10224" s="28"/>
      <c r="O10224" s="28"/>
      <c r="U10224" s="28"/>
    </row>
    <row r="10225">
      <c r="N10225" s="28"/>
      <c r="O10225" s="28"/>
      <c r="U10225" s="28"/>
    </row>
    <row r="10226">
      <c r="N10226" s="28"/>
      <c r="O10226" s="28"/>
      <c r="U10226" s="28"/>
    </row>
    <row r="10227">
      <c r="N10227" s="28"/>
      <c r="O10227" s="28"/>
      <c r="U10227" s="28"/>
    </row>
    <row r="10228">
      <c r="N10228" s="28"/>
      <c r="O10228" s="28"/>
      <c r="U10228" s="28"/>
    </row>
    <row r="10229">
      <c r="N10229" s="28"/>
      <c r="O10229" s="28"/>
      <c r="U10229" s="28"/>
    </row>
    <row r="10230">
      <c r="N10230" s="28"/>
      <c r="O10230" s="28"/>
      <c r="U10230" s="28"/>
    </row>
    <row r="10231">
      <c r="N10231" s="28"/>
      <c r="O10231" s="28"/>
      <c r="U10231" s="28"/>
    </row>
    <row r="10232">
      <c r="N10232" s="28"/>
      <c r="O10232" s="28"/>
      <c r="U10232" s="28"/>
    </row>
    <row r="10233">
      <c r="N10233" s="28"/>
      <c r="O10233" s="28"/>
      <c r="U10233" s="28"/>
    </row>
    <row r="10234">
      <c r="N10234" s="28"/>
      <c r="O10234" s="28"/>
      <c r="U10234" s="28"/>
    </row>
    <row r="10235">
      <c r="N10235" s="28"/>
      <c r="O10235" s="28"/>
      <c r="U10235" s="28"/>
    </row>
    <row r="10236">
      <c r="N10236" s="28"/>
      <c r="O10236" s="28"/>
      <c r="U10236" s="28"/>
    </row>
    <row r="10237">
      <c r="N10237" s="28"/>
      <c r="O10237" s="28"/>
      <c r="U10237" s="28"/>
    </row>
    <row r="10238">
      <c r="N10238" s="28"/>
      <c r="O10238" s="28"/>
      <c r="U10238" s="28"/>
    </row>
    <row r="10239">
      <c r="N10239" s="28"/>
      <c r="O10239" s="28"/>
      <c r="U10239" s="28"/>
    </row>
    <row r="10240">
      <c r="N10240" s="28"/>
      <c r="O10240" s="28"/>
      <c r="U10240" s="28"/>
    </row>
    <row r="10241">
      <c r="N10241" s="28"/>
      <c r="O10241" s="28"/>
      <c r="U10241" s="28"/>
    </row>
    <row r="10242">
      <c r="N10242" s="28"/>
      <c r="O10242" s="28"/>
      <c r="U10242" s="28"/>
    </row>
    <row r="10243">
      <c r="N10243" s="28"/>
      <c r="O10243" s="28"/>
      <c r="U10243" s="28"/>
    </row>
    <row r="10244">
      <c r="N10244" s="28"/>
      <c r="O10244" s="28"/>
      <c r="U10244" s="28"/>
    </row>
    <row r="10245">
      <c r="N10245" s="28"/>
      <c r="O10245" s="28"/>
      <c r="U10245" s="28"/>
    </row>
    <row r="10246">
      <c r="N10246" s="28"/>
      <c r="O10246" s="28"/>
      <c r="U10246" s="28"/>
    </row>
    <row r="10247">
      <c r="N10247" s="28"/>
      <c r="O10247" s="28"/>
      <c r="U10247" s="28"/>
    </row>
    <row r="10248">
      <c r="N10248" s="28"/>
      <c r="O10248" s="28"/>
      <c r="U10248" s="28"/>
    </row>
    <row r="10249">
      <c r="N10249" s="28"/>
      <c r="O10249" s="28"/>
      <c r="U10249" s="28"/>
    </row>
    <row r="10250">
      <c r="N10250" s="28"/>
      <c r="O10250" s="28"/>
      <c r="U10250" s="28"/>
    </row>
    <row r="10251">
      <c r="N10251" s="28"/>
      <c r="O10251" s="28"/>
      <c r="U10251" s="28"/>
    </row>
    <row r="10252">
      <c r="N10252" s="28"/>
      <c r="O10252" s="28"/>
      <c r="U10252" s="28"/>
    </row>
    <row r="10253">
      <c r="N10253" s="28"/>
      <c r="O10253" s="28"/>
      <c r="U10253" s="28"/>
    </row>
    <row r="10254">
      <c r="N10254" s="28"/>
      <c r="O10254" s="28"/>
      <c r="U10254" s="28"/>
    </row>
    <row r="10255">
      <c r="N10255" s="28"/>
      <c r="O10255" s="28"/>
      <c r="U10255" s="28"/>
    </row>
    <row r="10256">
      <c r="N10256" s="28"/>
      <c r="O10256" s="28"/>
      <c r="U10256" s="28"/>
    </row>
    <row r="10257">
      <c r="N10257" s="28"/>
      <c r="O10257" s="28"/>
      <c r="U10257" s="28"/>
    </row>
    <row r="10258">
      <c r="N10258" s="28"/>
      <c r="O10258" s="28"/>
      <c r="U10258" s="28"/>
    </row>
    <row r="10259">
      <c r="N10259" s="28"/>
      <c r="O10259" s="28"/>
      <c r="U10259" s="28"/>
    </row>
    <row r="10260">
      <c r="N10260" s="28"/>
      <c r="O10260" s="28"/>
      <c r="U10260" s="28"/>
    </row>
    <row r="10261">
      <c r="N10261" s="28"/>
      <c r="O10261" s="28"/>
      <c r="U10261" s="28"/>
    </row>
    <row r="10262">
      <c r="N10262" s="28"/>
      <c r="O10262" s="28"/>
      <c r="U10262" s="28"/>
    </row>
    <row r="10263">
      <c r="N10263" s="28"/>
      <c r="O10263" s="28"/>
      <c r="U10263" s="28"/>
    </row>
    <row r="10264">
      <c r="N10264" s="28"/>
      <c r="O10264" s="28"/>
      <c r="U10264" s="28"/>
    </row>
    <row r="10265">
      <c r="N10265" s="28"/>
      <c r="O10265" s="28"/>
      <c r="U10265" s="28"/>
    </row>
    <row r="10266">
      <c r="N10266" s="28"/>
      <c r="O10266" s="28"/>
      <c r="U10266" s="28"/>
    </row>
    <row r="10267">
      <c r="N10267" s="28"/>
      <c r="O10267" s="28"/>
      <c r="U10267" s="28"/>
    </row>
    <row r="10268">
      <c r="N10268" s="28"/>
      <c r="O10268" s="28"/>
      <c r="U10268" s="28"/>
    </row>
    <row r="10269">
      <c r="N10269" s="28"/>
      <c r="O10269" s="28"/>
      <c r="U10269" s="28"/>
    </row>
    <row r="10270">
      <c r="N10270" s="28"/>
      <c r="O10270" s="28"/>
      <c r="U10270" s="28"/>
    </row>
    <row r="10271">
      <c r="N10271" s="28"/>
      <c r="O10271" s="28"/>
      <c r="U10271" s="28"/>
    </row>
    <row r="10272">
      <c r="N10272" s="28"/>
      <c r="O10272" s="28"/>
      <c r="U10272" s="28"/>
    </row>
    <row r="10273">
      <c r="N10273" s="28"/>
      <c r="O10273" s="28"/>
      <c r="U10273" s="28"/>
    </row>
    <row r="10274">
      <c r="N10274" s="28"/>
      <c r="O10274" s="28"/>
      <c r="U10274" s="28"/>
    </row>
    <row r="10275">
      <c r="N10275" s="28"/>
      <c r="O10275" s="28"/>
      <c r="U10275" s="28"/>
    </row>
    <row r="10276">
      <c r="N10276" s="28"/>
      <c r="O10276" s="28"/>
      <c r="U10276" s="28"/>
    </row>
    <row r="10277">
      <c r="N10277" s="28"/>
      <c r="O10277" s="28"/>
      <c r="U10277" s="28"/>
    </row>
    <row r="10278">
      <c r="N10278" s="28"/>
      <c r="O10278" s="28"/>
      <c r="U10278" s="28"/>
    </row>
    <row r="10279">
      <c r="N10279" s="28"/>
      <c r="O10279" s="28"/>
      <c r="U10279" s="28"/>
    </row>
    <row r="10280">
      <c r="N10280" s="28"/>
      <c r="O10280" s="28"/>
      <c r="U10280" s="28"/>
    </row>
    <row r="10281">
      <c r="N10281" s="28"/>
      <c r="O10281" s="28"/>
      <c r="U10281" s="28"/>
    </row>
    <row r="10282">
      <c r="N10282" s="28"/>
      <c r="O10282" s="28"/>
      <c r="U10282" s="28"/>
    </row>
    <row r="10283">
      <c r="N10283" s="28"/>
      <c r="O10283" s="28"/>
      <c r="U10283" s="28"/>
    </row>
    <row r="10284">
      <c r="N10284" s="28"/>
      <c r="O10284" s="28"/>
      <c r="U10284" s="28"/>
    </row>
    <row r="10285">
      <c r="N10285" s="28"/>
      <c r="O10285" s="28"/>
      <c r="U10285" s="28"/>
    </row>
    <row r="10286">
      <c r="N10286" s="28"/>
      <c r="O10286" s="28"/>
      <c r="U10286" s="28"/>
    </row>
    <row r="10287">
      <c r="N10287" s="28"/>
      <c r="O10287" s="28"/>
      <c r="U10287" s="28"/>
    </row>
    <row r="10288">
      <c r="N10288" s="28"/>
      <c r="O10288" s="28"/>
      <c r="U10288" s="28"/>
    </row>
    <row r="10289">
      <c r="N10289" s="28"/>
      <c r="O10289" s="28"/>
      <c r="U10289" s="28"/>
    </row>
    <row r="10290">
      <c r="N10290" s="28"/>
      <c r="O10290" s="28"/>
      <c r="U10290" s="28"/>
    </row>
    <row r="10291">
      <c r="N10291" s="28"/>
      <c r="O10291" s="28"/>
      <c r="U10291" s="28"/>
    </row>
    <row r="10292">
      <c r="N10292" s="28"/>
      <c r="O10292" s="28"/>
      <c r="U10292" s="28"/>
    </row>
    <row r="10293">
      <c r="N10293" s="28"/>
      <c r="O10293" s="28"/>
      <c r="U10293" s="28"/>
    </row>
    <row r="10294">
      <c r="N10294" s="28"/>
      <c r="O10294" s="28"/>
      <c r="U10294" s="28"/>
    </row>
    <row r="10295">
      <c r="N10295" s="28"/>
      <c r="O10295" s="28"/>
      <c r="U10295" s="28"/>
    </row>
    <row r="10296">
      <c r="N10296" s="28"/>
      <c r="O10296" s="28"/>
      <c r="U10296" s="28"/>
    </row>
    <row r="10297">
      <c r="N10297" s="28"/>
      <c r="O10297" s="28"/>
      <c r="U10297" s="28"/>
    </row>
    <row r="10298">
      <c r="N10298" s="28"/>
      <c r="O10298" s="28"/>
      <c r="U10298" s="28"/>
    </row>
    <row r="10299">
      <c r="N10299" s="28"/>
      <c r="O10299" s="28"/>
      <c r="U10299" s="28"/>
    </row>
    <row r="10300">
      <c r="N10300" s="28"/>
      <c r="O10300" s="28"/>
      <c r="U10300" s="28"/>
    </row>
    <row r="10301">
      <c r="N10301" s="28"/>
      <c r="O10301" s="28"/>
      <c r="U10301" s="28"/>
    </row>
    <row r="10302">
      <c r="N10302" s="28"/>
      <c r="O10302" s="28"/>
      <c r="U10302" s="28"/>
    </row>
    <row r="10303">
      <c r="N10303" s="28"/>
      <c r="O10303" s="28"/>
      <c r="U10303" s="28"/>
    </row>
    <row r="10304">
      <c r="N10304" s="28"/>
      <c r="O10304" s="28"/>
      <c r="U10304" s="28"/>
    </row>
    <row r="10305">
      <c r="N10305" s="28"/>
      <c r="O10305" s="28"/>
      <c r="U10305" s="28"/>
    </row>
    <row r="10306">
      <c r="N10306" s="28"/>
      <c r="O10306" s="28"/>
      <c r="U10306" s="28"/>
    </row>
    <row r="10307">
      <c r="N10307" s="28"/>
      <c r="O10307" s="28"/>
      <c r="U10307" s="28"/>
    </row>
    <row r="10308">
      <c r="N10308" s="28"/>
      <c r="O10308" s="28"/>
      <c r="U10308" s="28"/>
    </row>
    <row r="10309">
      <c r="N10309" s="28"/>
      <c r="O10309" s="28"/>
      <c r="U10309" s="28"/>
    </row>
    <row r="10310">
      <c r="N10310" s="28"/>
      <c r="O10310" s="28"/>
      <c r="U10310" s="28"/>
    </row>
    <row r="10311">
      <c r="N10311" s="28"/>
      <c r="O10311" s="28"/>
      <c r="U10311" s="28"/>
    </row>
    <row r="10312">
      <c r="N10312" s="28"/>
      <c r="O10312" s="28"/>
      <c r="U10312" s="28"/>
    </row>
    <row r="10313">
      <c r="N10313" s="28"/>
      <c r="O10313" s="28"/>
      <c r="U10313" s="28"/>
    </row>
    <row r="10314">
      <c r="N10314" s="28"/>
      <c r="O10314" s="28"/>
      <c r="U10314" s="28"/>
    </row>
    <row r="10315">
      <c r="N10315" s="28"/>
      <c r="O10315" s="28"/>
      <c r="U10315" s="28"/>
    </row>
    <row r="10316">
      <c r="N10316" s="28"/>
      <c r="O10316" s="28"/>
      <c r="U10316" s="28"/>
    </row>
    <row r="10317">
      <c r="N10317" s="28"/>
      <c r="O10317" s="28"/>
      <c r="U10317" s="28"/>
    </row>
    <row r="10318">
      <c r="N10318" s="28"/>
      <c r="O10318" s="28"/>
      <c r="U10318" s="28"/>
    </row>
    <row r="10319">
      <c r="N10319" s="28"/>
      <c r="O10319" s="28"/>
      <c r="U10319" s="28"/>
    </row>
    <row r="10320">
      <c r="N10320" s="28"/>
      <c r="O10320" s="28"/>
      <c r="U10320" s="28"/>
    </row>
    <row r="10321">
      <c r="N10321" s="28"/>
      <c r="O10321" s="28"/>
      <c r="U10321" s="28"/>
    </row>
    <row r="10322">
      <c r="N10322" s="28"/>
      <c r="O10322" s="28"/>
      <c r="U10322" s="28"/>
    </row>
    <row r="10323">
      <c r="N10323" s="28"/>
      <c r="O10323" s="28"/>
      <c r="U10323" s="28"/>
    </row>
    <row r="10324">
      <c r="N10324" s="28"/>
      <c r="O10324" s="28"/>
      <c r="U10324" s="28"/>
    </row>
    <row r="10325">
      <c r="N10325" s="28"/>
      <c r="O10325" s="28"/>
      <c r="U10325" s="28"/>
    </row>
    <row r="10326">
      <c r="N10326" s="28"/>
      <c r="O10326" s="28"/>
      <c r="U10326" s="28"/>
    </row>
    <row r="10327">
      <c r="N10327" s="28"/>
      <c r="O10327" s="28"/>
      <c r="U10327" s="28"/>
    </row>
    <row r="10328">
      <c r="N10328" s="28"/>
      <c r="O10328" s="28"/>
      <c r="U10328" s="28"/>
    </row>
    <row r="10329">
      <c r="N10329" s="28"/>
      <c r="O10329" s="28"/>
      <c r="U10329" s="28"/>
    </row>
    <row r="10330">
      <c r="N10330" s="28"/>
      <c r="O10330" s="28"/>
      <c r="U10330" s="28"/>
    </row>
    <row r="10331">
      <c r="N10331" s="28"/>
      <c r="O10331" s="28"/>
      <c r="U10331" s="28"/>
    </row>
    <row r="10332">
      <c r="N10332" s="28"/>
      <c r="O10332" s="28"/>
      <c r="U10332" s="28"/>
    </row>
    <row r="10333">
      <c r="N10333" s="28"/>
      <c r="O10333" s="28"/>
      <c r="U10333" s="28"/>
    </row>
    <row r="10334">
      <c r="N10334" s="28"/>
      <c r="O10334" s="28"/>
      <c r="U10334" s="28"/>
    </row>
    <row r="10335">
      <c r="N10335" s="28"/>
      <c r="O10335" s="28"/>
      <c r="U10335" s="28"/>
    </row>
    <row r="10336">
      <c r="N10336" s="28"/>
      <c r="O10336" s="28"/>
      <c r="U10336" s="28"/>
    </row>
    <row r="10337">
      <c r="N10337" s="28"/>
      <c r="O10337" s="28"/>
      <c r="U10337" s="28"/>
    </row>
    <row r="10338">
      <c r="N10338" s="28"/>
      <c r="O10338" s="28"/>
      <c r="U10338" s="28"/>
    </row>
    <row r="10339">
      <c r="N10339" s="28"/>
      <c r="O10339" s="28"/>
      <c r="U10339" s="28"/>
    </row>
    <row r="10340">
      <c r="N10340" s="28"/>
      <c r="O10340" s="28"/>
      <c r="U10340" s="28"/>
    </row>
    <row r="10341">
      <c r="N10341" s="28"/>
      <c r="O10341" s="28"/>
      <c r="U10341" s="28"/>
    </row>
    <row r="10342">
      <c r="N10342" s="28"/>
      <c r="O10342" s="28"/>
      <c r="U10342" s="28"/>
    </row>
    <row r="10343">
      <c r="N10343" s="28"/>
      <c r="O10343" s="28"/>
      <c r="U10343" s="28"/>
    </row>
    <row r="10344">
      <c r="N10344" s="28"/>
      <c r="O10344" s="28"/>
      <c r="U10344" s="28"/>
    </row>
    <row r="10345">
      <c r="N10345" s="28"/>
      <c r="O10345" s="28"/>
      <c r="U10345" s="28"/>
    </row>
    <row r="10346">
      <c r="N10346" s="28"/>
      <c r="O10346" s="28"/>
      <c r="U10346" s="28"/>
    </row>
    <row r="10347">
      <c r="N10347" s="28"/>
      <c r="O10347" s="28"/>
      <c r="U10347" s="28"/>
    </row>
    <row r="10348">
      <c r="N10348" s="28"/>
      <c r="O10348" s="28"/>
      <c r="U10348" s="28"/>
    </row>
    <row r="10349">
      <c r="N10349" s="28"/>
      <c r="O10349" s="28"/>
      <c r="U10349" s="28"/>
    </row>
    <row r="10350">
      <c r="N10350" s="28"/>
      <c r="O10350" s="28"/>
      <c r="U10350" s="28"/>
    </row>
    <row r="10351">
      <c r="N10351" s="28"/>
      <c r="O10351" s="28"/>
      <c r="U10351" s="28"/>
    </row>
    <row r="10352">
      <c r="N10352" s="28"/>
      <c r="O10352" s="28"/>
      <c r="U10352" s="28"/>
    </row>
    <row r="10353">
      <c r="N10353" s="28"/>
      <c r="O10353" s="28"/>
      <c r="U10353" s="28"/>
    </row>
    <row r="10354">
      <c r="N10354" s="28"/>
      <c r="O10354" s="28"/>
      <c r="U10354" s="28"/>
    </row>
    <row r="10355">
      <c r="N10355" s="28"/>
      <c r="O10355" s="28"/>
      <c r="U10355" s="28"/>
    </row>
    <row r="10356">
      <c r="N10356" s="28"/>
      <c r="O10356" s="28"/>
      <c r="U10356" s="28"/>
    </row>
    <row r="10357">
      <c r="N10357" s="28"/>
      <c r="O10357" s="28"/>
      <c r="U10357" s="28"/>
    </row>
    <row r="10358">
      <c r="N10358" s="28"/>
      <c r="O10358" s="28"/>
      <c r="U10358" s="28"/>
    </row>
    <row r="10359">
      <c r="N10359" s="28"/>
      <c r="O10359" s="28"/>
      <c r="U10359" s="28"/>
    </row>
    <row r="10360">
      <c r="N10360" s="28"/>
      <c r="O10360" s="28"/>
      <c r="U10360" s="28"/>
    </row>
    <row r="10361">
      <c r="N10361" s="28"/>
      <c r="O10361" s="28"/>
      <c r="U10361" s="28"/>
    </row>
    <row r="10362">
      <c r="N10362" s="28"/>
      <c r="O10362" s="28"/>
      <c r="U10362" s="28"/>
    </row>
    <row r="10363">
      <c r="N10363" s="28"/>
      <c r="O10363" s="28"/>
      <c r="U10363" s="28"/>
    </row>
    <row r="10364">
      <c r="N10364" s="28"/>
      <c r="O10364" s="28"/>
      <c r="U10364" s="28"/>
    </row>
    <row r="10365">
      <c r="N10365" s="28"/>
      <c r="O10365" s="28"/>
      <c r="U10365" s="28"/>
    </row>
    <row r="10366">
      <c r="N10366" s="28"/>
      <c r="O10366" s="28"/>
      <c r="U10366" s="28"/>
    </row>
    <row r="10367">
      <c r="N10367" s="28"/>
      <c r="O10367" s="28"/>
      <c r="U10367" s="28"/>
    </row>
    <row r="10368">
      <c r="N10368" s="28"/>
      <c r="O10368" s="28"/>
      <c r="U10368" s="28"/>
    </row>
    <row r="10369">
      <c r="N10369" s="28"/>
      <c r="O10369" s="28"/>
      <c r="U10369" s="28"/>
    </row>
    <row r="10370">
      <c r="N10370" s="28"/>
      <c r="O10370" s="28"/>
      <c r="U10370" s="28"/>
    </row>
    <row r="10371">
      <c r="N10371" s="28"/>
      <c r="O10371" s="28"/>
      <c r="U10371" s="28"/>
    </row>
    <row r="10372">
      <c r="N10372" s="28"/>
      <c r="O10372" s="28"/>
      <c r="U10372" s="28"/>
    </row>
    <row r="10373">
      <c r="N10373" s="28"/>
      <c r="O10373" s="28"/>
      <c r="U10373" s="28"/>
    </row>
    <row r="10374">
      <c r="N10374" s="28"/>
      <c r="O10374" s="28"/>
      <c r="U10374" s="28"/>
    </row>
    <row r="10375">
      <c r="N10375" s="28"/>
      <c r="O10375" s="28"/>
      <c r="U10375" s="28"/>
    </row>
    <row r="10376">
      <c r="N10376" s="28"/>
      <c r="O10376" s="28"/>
      <c r="U10376" s="28"/>
    </row>
    <row r="10377">
      <c r="N10377" s="28"/>
      <c r="O10377" s="28"/>
      <c r="U10377" s="28"/>
    </row>
    <row r="10378">
      <c r="N10378" s="28"/>
      <c r="O10378" s="28"/>
      <c r="U10378" s="28"/>
    </row>
    <row r="10379">
      <c r="N10379" s="28"/>
      <c r="O10379" s="28"/>
      <c r="U10379" s="28"/>
    </row>
    <row r="10380">
      <c r="N10380" s="28"/>
      <c r="O10380" s="28"/>
      <c r="U10380" s="28"/>
    </row>
    <row r="10381">
      <c r="N10381" s="28"/>
      <c r="O10381" s="28"/>
      <c r="U10381" s="28"/>
    </row>
    <row r="10382">
      <c r="N10382" s="28"/>
      <c r="O10382" s="28"/>
      <c r="U10382" s="28"/>
    </row>
    <row r="10383">
      <c r="N10383" s="28"/>
      <c r="O10383" s="28"/>
      <c r="U10383" s="28"/>
    </row>
    <row r="10384">
      <c r="N10384" s="28"/>
      <c r="O10384" s="28"/>
      <c r="U10384" s="28"/>
    </row>
    <row r="10385">
      <c r="N10385" s="28"/>
      <c r="O10385" s="28"/>
      <c r="U10385" s="28"/>
    </row>
    <row r="10386">
      <c r="N10386" s="28"/>
      <c r="O10386" s="28"/>
      <c r="U10386" s="28"/>
    </row>
    <row r="10387">
      <c r="N10387" s="28"/>
      <c r="O10387" s="28"/>
      <c r="U10387" s="28"/>
    </row>
    <row r="10388">
      <c r="N10388" s="28"/>
      <c r="O10388" s="28"/>
      <c r="U10388" s="28"/>
    </row>
    <row r="10389">
      <c r="N10389" s="28"/>
      <c r="O10389" s="28"/>
      <c r="U10389" s="28"/>
    </row>
    <row r="10390">
      <c r="N10390" s="28"/>
      <c r="O10390" s="28"/>
      <c r="U10390" s="28"/>
    </row>
    <row r="10391">
      <c r="N10391" s="28"/>
      <c r="O10391" s="28"/>
      <c r="U10391" s="28"/>
    </row>
    <row r="10392">
      <c r="N10392" s="28"/>
      <c r="O10392" s="28"/>
      <c r="U10392" s="28"/>
    </row>
    <row r="10393">
      <c r="N10393" s="28"/>
      <c r="O10393" s="28"/>
      <c r="U10393" s="28"/>
    </row>
    <row r="10394">
      <c r="N10394" s="28"/>
      <c r="O10394" s="28"/>
      <c r="U10394" s="28"/>
    </row>
    <row r="10395">
      <c r="N10395" s="28"/>
      <c r="O10395" s="28"/>
      <c r="U10395" s="28"/>
    </row>
    <row r="10396">
      <c r="N10396" s="28"/>
      <c r="O10396" s="28"/>
      <c r="U10396" s="28"/>
    </row>
    <row r="10397">
      <c r="N10397" s="28"/>
      <c r="O10397" s="28"/>
      <c r="U10397" s="28"/>
    </row>
    <row r="10398">
      <c r="N10398" s="28"/>
      <c r="O10398" s="28"/>
      <c r="U10398" s="28"/>
    </row>
    <row r="10399">
      <c r="N10399" s="28"/>
      <c r="O10399" s="28"/>
      <c r="U10399" s="28"/>
    </row>
    <row r="10400">
      <c r="N10400" s="28"/>
      <c r="O10400" s="28"/>
      <c r="U10400" s="28"/>
    </row>
    <row r="10401">
      <c r="N10401" s="28"/>
      <c r="O10401" s="28"/>
      <c r="U10401" s="28"/>
    </row>
    <row r="10402">
      <c r="N10402" s="28"/>
      <c r="O10402" s="28"/>
      <c r="U10402" s="28"/>
    </row>
    <row r="10403">
      <c r="N10403" s="28"/>
      <c r="O10403" s="28"/>
      <c r="U10403" s="28"/>
    </row>
    <row r="10404">
      <c r="N10404" s="28"/>
      <c r="O10404" s="28"/>
      <c r="U10404" s="28"/>
    </row>
    <row r="10405">
      <c r="N10405" s="28"/>
      <c r="O10405" s="28"/>
      <c r="U10405" s="28"/>
    </row>
    <row r="10406">
      <c r="N10406" s="28"/>
      <c r="O10406" s="28"/>
      <c r="U10406" s="28"/>
    </row>
    <row r="10407">
      <c r="N10407" s="28"/>
      <c r="O10407" s="28"/>
      <c r="U10407" s="28"/>
    </row>
    <row r="10408">
      <c r="N10408" s="28"/>
      <c r="O10408" s="28"/>
      <c r="U10408" s="28"/>
    </row>
    <row r="10409">
      <c r="N10409" s="28"/>
      <c r="O10409" s="28"/>
      <c r="U10409" s="28"/>
    </row>
    <row r="10410">
      <c r="N10410" s="28"/>
      <c r="O10410" s="28"/>
      <c r="U10410" s="28"/>
    </row>
    <row r="10411">
      <c r="N10411" s="28"/>
      <c r="O10411" s="28"/>
      <c r="U10411" s="28"/>
    </row>
    <row r="10412">
      <c r="N10412" s="28"/>
      <c r="O10412" s="28"/>
      <c r="U10412" s="28"/>
    </row>
    <row r="10413">
      <c r="N10413" s="28"/>
      <c r="O10413" s="28"/>
      <c r="U10413" s="28"/>
    </row>
    <row r="10414">
      <c r="N10414" s="28"/>
      <c r="O10414" s="28"/>
      <c r="U10414" s="28"/>
    </row>
    <row r="10415">
      <c r="N10415" s="28"/>
      <c r="O10415" s="28"/>
      <c r="U10415" s="28"/>
    </row>
    <row r="10416">
      <c r="N10416" s="28"/>
      <c r="O10416" s="28"/>
      <c r="U10416" s="28"/>
    </row>
    <row r="10417">
      <c r="N10417" s="28"/>
      <c r="O10417" s="28"/>
      <c r="U10417" s="28"/>
    </row>
    <row r="10418">
      <c r="N10418" s="28"/>
      <c r="O10418" s="28"/>
      <c r="U10418" s="28"/>
    </row>
    <row r="10419">
      <c r="N10419" s="28"/>
      <c r="O10419" s="28"/>
      <c r="U10419" s="28"/>
    </row>
    <row r="10420">
      <c r="N10420" s="28"/>
      <c r="O10420" s="28"/>
      <c r="U10420" s="28"/>
    </row>
    <row r="10421">
      <c r="N10421" s="28"/>
      <c r="O10421" s="28"/>
      <c r="U10421" s="28"/>
    </row>
    <row r="10422">
      <c r="N10422" s="28"/>
      <c r="O10422" s="28"/>
      <c r="U10422" s="28"/>
    </row>
    <row r="10423">
      <c r="N10423" s="28"/>
      <c r="O10423" s="28"/>
      <c r="U10423" s="28"/>
    </row>
    <row r="10424">
      <c r="N10424" s="28"/>
      <c r="O10424" s="28"/>
      <c r="U10424" s="28"/>
    </row>
    <row r="10425">
      <c r="N10425" s="28"/>
      <c r="O10425" s="28"/>
      <c r="U10425" s="28"/>
    </row>
    <row r="10426">
      <c r="N10426" s="28"/>
      <c r="O10426" s="28"/>
      <c r="U10426" s="28"/>
    </row>
    <row r="10427">
      <c r="N10427" s="28"/>
      <c r="O10427" s="28"/>
      <c r="U10427" s="28"/>
    </row>
    <row r="10428">
      <c r="N10428" s="28"/>
      <c r="O10428" s="28"/>
      <c r="U10428" s="28"/>
    </row>
    <row r="10429">
      <c r="N10429" s="28"/>
      <c r="O10429" s="28"/>
      <c r="U10429" s="28"/>
    </row>
    <row r="10430">
      <c r="N10430" s="28"/>
      <c r="O10430" s="28"/>
      <c r="U10430" s="28"/>
    </row>
    <row r="10431">
      <c r="N10431" s="28"/>
      <c r="O10431" s="28"/>
      <c r="U10431" s="28"/>
    </row>
    <row r="10432">
      <c r="N10432" s="28"/>
      <c r="O10432" s="28"/>
      <c r="U10432" s="28"/>
    </row>
    <row r="10433">
      <c r="N10433" s="28"/>
      <c r="O10433" s="28"/>
      <c r="U10433" s="28"/>
    </row>
    <row r="10434">
      <c r="N10434" s="28"/>
      <c r="O10434" s="28"/>
      <c r="U10434" s="28"/>
    </row>
    <row r="10435">
      <c r="N10435" s="28"/>
      <c r="O10435" s="28"/>
      <c r="U10435" s="28"/>
    </row>
    <row r="10436">
      <c r="N10436" s="28"/>
      <c r="O10436" s="28"/>
      <c r="U10436" s="28"/>
    </row>
    <row r="10437">
      <c r="N10437" s="28"/>
      <c r="O10437" s="28"/>
      <c r="U10437" s="28"/>
    </row>
    <row r="10438">
      <c r="N10438" s="28"/>
      <c r="O10438" s="28"/>
      <c r="U10438" s="28"/>
    </row>
    <row r="10439">
      <c r="N10439" s="28"/>
      <c r="O10439" s="28"/>
      <c r="U10439" s="28"/>
    </row>
    <row r="10440">
      <c r="N10440" s="28"/>
      <c r="O10440" s="28"/>
      <c r="U10440" s="28"/>
    </row>
    <row r="10441">
      <c r="N10441" s="28"/>
      <c r="O10441" s="28"/>
      <c r="U10441" s="28"/>
    </row>
    <row r="10442">
      <c r="N10442" s="28"/>
      <c r="O10442" s="28"/>
      <c r="U10442" s="28"/>
    </row>
    <row r="10443">
      <c r="N10443" s="28"/>
      <c r="O10443" s="28"/>
      <c r="U10443" s="28"/>
    </row>
    <row r="10444">
      <c r="N10444" s="28"/>
      <c r="O10444" s="28"/>
      <c r="U10444" s="28"/>
    </row>
    <row r="10445">
      <c r="N10445" s="28"/>
      <c r="O10445" s="28"/>
      <c r="U10445" s="28"/>
    </row>
    <row r="10446">
      <c r="N10446" s="28"/>
      <c r="O10446" s="28"/>
      <c r="U10446" s="28"/>
    </row>
    <row r="10447">
      <c r="N10447" s="28"/>
      <c r="O10447" s="28"/>
      <c r="U10447" s="28"/>
    </row>
    <row r="10448">
      <c r="N10448" s="28"/>
      <c r="O10448" s="28"/>
      <c r="U10448" s="28"/>
    </row>
    <row r="10449">
      <c r="N10449" s="28"/>
      <c r="O10449" s="28"/>
      <c r="U10449" s="28"/>
    </row>
    <row r="10450">
      <c r="N10450" s="28"/>
      <c r="O10450" s="28"/>
      <c r="U10450" s="28"/>
    </row>
    <row r="10451">
      <c r="N10451" s="28"/>
      <c r="O10451" s="28"/>
      <c r="U10451" s="28"/>
    </row>
    <row r="10452">
      <c r="N10452" s="28"/>
      <c r="O10452" s="28"/>
      <c r="U10452" s="28"/>
    </row>
    <row r="10453">
      <c r="N10453" s="28"/>
      <c r="O10453" s="28"/>
      <c r="U10453" s="28"/>
    </row>
    <row r="10454">
      <c r="N10454" s="28"/>
      <c r="O10454" s="28"/>
      <c r="U10454" s="28"/>
    </row>
    <row r="10455">
      <c r="N10455" s="28"/>
      <c r="O10455" s="28"/>
      <c r="U10455" s="28"/>
    </row>
    <row r="10456">
      <c r="N10456" s="28"/>
      <c r="O10456" s="28"/>
      <c r="U10456" s="28"/>
    </row>
    <row r="10457">
      <c r="N10457" s="28"/>
      <c r="O10457" s="28"/>
      <c r="U10457" s="28"/>
    </row>
    <row r="10458">
      <c r="N10458" s="28"/>
      <c r="O10458" s="28"/>
      <c r="U10458" s="28"/>
    </row>
    <row r="10459">
      <c r="N10459" s="28"/>
      <c r="O10459" s="28"/>
      <c r="U10459" s="28"/>
    </row>
    <row r="10460">
      <c r="N10460" s="28"/>
      <c r="O10460" s="28"/>
      <c r="U10460" s="28"/>
    </row>
    <row r="10461">
      <c r="N10461" s="28"/>
      <c r="O10461" s="28"/>
      <c r="U10461" s="28"/>
    </row>
    <row r="10462">
      <c r="N10462" s="28"/>
      <c r="O10462" s="28"/>
      <c r="U10462" s="28"/>
    </row>
    <row r="10463">
      <c r="N10463" s="28"/>
      <c r="O10463" s="28"/>
      <c r="U10463" s="28"/>
    </row>
    <row r="10464">
      <c r="N10464" s="28"/>
      <c r="O10464" s="28"/>
      <c r="U10464" s="28"/>
    </row>
    <row r="10465">
      <c r="N10465" s="28"/>
      <c r="O10465" s="28"/>
      <c r="U10465" s="28"/>
    </row>
    <row r="10466">
      <c r="N10466" s="28"/>
      <c r="O10466" s="28"/>
      <c r="U10466" s="28"/>
    </row>
    <row r="10467">
      <c r="N10467" s="28"/>
      <c r="O10467" s="28"/>
      <c r="U10467" s="28"/>
    </row>
    <row r="10468">
      <c r="N10468" s="28"/>
      <c r="O10468" s="28"/>
      <c r="U10468" s="28"/>
    </row>
    <row r="10469">
      <c r="N10469" s="28"/>
      <c r="O10469" s="28"/>
      <c r="U10469" s="28"/>
    </row>
    <row r="10470">
      <c r="N10470" s="28"/>
      <c r="O10470" s="28"/>
      <c r="U10470" s="28"/>
    </row>
    <row r="10471">
      <c r="N10471" s="28"/>
      <c r="O10471" s="28"/>
      <c r="U10471" s="28"/>
    </row>
    <row r="10472">
      <c r="N10472" s="28"/>
      <c r="O10472" s="28"/>
      <c r="U10472" s="28"/>
    </row>
    <row r="10473">
      <c r="N10473" s="28"/>
      <c r="O10473" s="28"/>
      <c r="U10473" s="28"/>
    </row>
    <row r="10474">
      <c r="N10474" s="28"/>
      <c r="O10474" s="28"/>
      <c r="U10474" s="28"/>
    </row>
    <row r="10475">
      <c r="N10475" s="28"/>
      <c r="O10475" s="28"/>
      <c r="U10475" s="28"/>
    </row>
    <row r="10476">
      <c r="N10476" s="28"/>
      <c r="O10476" s="28"/>
      <c r="U10476" s="28"/>
    </row>
    <row r="10477">
      <c r="N10477" s="28"/>
      <c r="O10477" s="28"/>
      <c r="U10477" s="28"/>
    </row>
    <row r="10478">
      <c r="N10478" s="28"/>
      <c r="O10478" s="28"/>
      <c r="U10478" s="28"/>
    </row>
    <row r="10479">
      <c r="N10479" s="28"/>
      <c r="O10479" s="28"/>
      <c r="U10479" s="28"/>
    </row>
    <row r="10480">
      <c r="N10480" s="28"/>
      <c r="O10480" s="28"/>
      <c r="U10480" s="28"/>
    </row>
    <row r="10481">
      <c r="N10481" s="28"/>
      <c r="O10481" s="28"/>
      <c r="U10481" s="28"/>
    </row>
    <row r="10482">
      <c r="N10482" s="28"/>
      <c r="O10482" s="28"/>
      <c r="U10482" s="28"/>
    </row>
    <row r="10483">
      <c r="N10483" s="28"/>
      <c r="O10483" s="28"/>
      <c r="U10483" s="28"/>
    </row>
    <row r="10484">
      <c r="N10484" s="28"/>
      <c r="O10484" s="28"/>
      <c r="U10484" s="28"/>
    </row>
    <row r="10485">
      <c r="N10485" s="28"/>
      <c r="O10485" s="28"/>
      <c r="U10485" s="28"/>
    </row>
    <row r="10486">
      <c r="N10486" s="28"/>
      <c r="O10486" s="28"/>
      <c r="U10486" s="28"/>
    </row>
    <row r="10487">
      <c r="N10487" s="28"/>
      <c r="O10487" s="28"/>
      <c r="U10487" s="28"/>
    </row>
    <row r="10488">
      <c r="N10488" s="28"/>
      <c r="O10488" s="28"/>
      <c r="U10488" s="28"/>
    </row>
    <row r="10489">
      <c r="N10489" s="28"/>
      <c r="O10489" s="28"/>
      <c r="U10489" s="28"/>
    </row>
    <row r="10490">
      <c r="N10490" s="28"/>
      <c r="O10490" s="28"/>
      <c r="U10490" s="28"/>
    </row>
    <row r="10491">
      <c r="N10491" s="28"/>
      <c r="O10491" s="28"/>
      <c r="U10491" s="28"/>
    </row>
    <row r="10492">
      <c r="N10492" s="28"/>
      <c r="O10492" s="28"/>
      <c r="U10492" s="28"/>
    </row>
    <row r="10493">
      <c r="N10493" s="28"/>
      <c r="O10493" s="28"/>
      <c r="U10493" s="28"/>
    </row>
    <row r="10494">
      <c r="N10494" s="28"/>
      <c r="O10494" s="28"/>
      <c r="U10494" s="28"/>
    </row>
    <row r="10495">
      <c r="N10495" s="28"/>
      <c r="O10495" s="28"/>
      <c r="U10495" s="28"/>
    </row>
    <row r="10496">
      <c r="N10496" s="28"/>
      <c r="O10496" s="28"/>
      <c r="U10496" s="28"/>
    </row>
    <row r="10497">
      <c r="N10497" s="28"/>
      <c r="O10497" s="28"/>
      <c r="U10497" s="28"/>
    </row>
    <row r="10498">
      <c r="N10498" s="28"/>
      <c r="O10498" s="28"/>
      <c r="U10498" s="28"/>
    </row>
    <row r="10499">
      <c r="N10499" s="28"/>
      <c r="O10499" s="28"/>
      <c r="U10499" s="28"/>
    </row>
    <row r="10500">
      <c r="N10500" s="28"/>
      <c r="O10500" s="28"/>
      <c r="U10500" s="28"/>
    </row>
    <row r="10501">
      <c r="N10501" s="28"/>
      <c r="O10501" s="28"/>
      <c r="U10501" s="28"/>
    </row>
    <row r="10502">
      <c r="N10502" s="28"/>
      <c r="O10502" s="28"/>
      <c r="U10502" s="28"/>
    </row>
    <row r="10503">
      <c r="N10503" s="28"/>
      <c r="O10503" s="28"/>
      <c r="U10503" s="28"/>
    </row>
    <row r="10504">
      <c r="N10504" s="28"/>
      <c r="O10504" s="28"/>
      <c r="U10504" s="28"/>
    </row>
    <row r="10505">
      <c r="N10505" s="28"/>
      <c r="O10505" s="28"/>
      <c r="U10505" s="28"/>
    </row>
    <row r="10506">
      <c r="N10506" s="28"/>
      <c r="O10506" s="28"/>
      <c r="U10506" s="28"/>
    </row>
    <row r="10507">
      <c r="N10507" s="28"/>
      <c r="O10507" s="28"/>
      <c r="U10507" s="28"/>
    </row>
    <row r="10508">
      <c r="N10508" s="28"/>
      <c r="O10508" s="28"/>
      <c r="U10508" s="28"/>
    </row>
    <row r="10509">
      <c r="N10509" s="28"/>
      <c r="O10509" s="28"/>
      <c r="U10509" s="28"/>
    </row>
    <row r="10510">
      <c r="N10510" s="28"/>
      <c r="O10510" s="28"/>
      <c r="U10510" s="28"/>
    </row>
    <row r="10511">
      <c r="N10511" s="28"/>
      <c r="O10511" s="28"/>
      <c r="U10511" s="28"/>
    </row>
    <row r="10512">
      <c r="N10512" s="28"/>
      <c r="O10512" s="28"/>
      <c r="U10512" s="28"/>
    </row>
    <row r="10513">
      <c r="N10513" s="28"/>
      <c r="O10513" s="28"/>
      <c r="U10513" s="28"/>
    </row>
    <row r="10514">
      <c r="N10514" s="28"/>
      <c r="O10514" s="28"/>
      <c r="U10514" s="28"/>
    </row>
    <row r="10515">
      <c r="N10515" s="28"/>
      <c r="O10515" s="28"/>
      <c r="U10515" s="28"/>
    </row>
    <row r="10516">
      <c r="N10516" s="28"/>
      <c r="O10516" s="28"/>
      <c r="U10516" s="28"/>
    </row>
    <row r="10517">
      <c r="N10517" s="28"/>
      <c r="O10517" s="28"/>
      <c r="U10517" s="28"/>
    </row>
    <row r="10518">
      <c r="N10518" s="28"/>
      <c r="O10518" s="28"/>
      <c r="U10518" s="28"/>
    </row>
    <row r="10519">
      <c r="N10519" s="28"/>
      <c r="O10519" s="28"/>
      <c r="U10519" s="28"/>
    </row>
    <row r="10520">
      <c r="N10520" s="28"/>
      <c r="O10520" s="28"/>
      <c r="U10520" s="28"/>
    </row>
    <row r="10521">
      <c r="N10521" s="28"/>
      <c r="O10521" s="28"/>
      <c r="U10521" s="28"/>
    </row>
    <row r="10522">
      <c r="N10522" s="28"/>
      <c r="O10522" s="28"/>
      <c r="U10522" s="28"/>
    </row>
    <row r="10523">
      <c r="N10523" s="28"/>
      <c r="O10523" s="28"/>
      <c r="U10523" s="28"/>
    </row>
    <row r="10524">
      <c r="N10524" s="28"/>
      <c r="O10524" s="28"/>
      <c r="U10524" s="28"/>
    </row>
    <row r="10525">
      <c r="N10525" s="28"/>
      <c r="O10525" s="28"/>
      <c r="U10525" s="28"/>
    </row>
    <row r="10526">
      <c r="N10526" s="28"/>
      <c r="O10526" s="28"/>
      <c r="U10526" s="28"/>
    </row>
    <row r="10527">
      <c r="N10527" s="28"/>
      <c r="O10527" s="28"/>
      <c r="U10527" s="28"/>
    </row>
    <row r="10528">
      <c r="N10528" s="28"/>
      <c r="O10528" s="28"/>
      <c r="U10528" s="28"/>
    </row>
    <row r="10529">
      <c r="N10529" s="28"/>
      <c r="O10529" s="28"/>
      <c r="U10529" s="28"/>
    </row>
    <row r="10530">
      <c r="N10530" s="28"/>
      <c r="O10530" s="28"/>
      <c r="U10530" s="28"/>
    </row>
    <row r="10531">
      <c r="N10531" s="28"/>
      <c r="O10531" s="28"/>
      <c r="U10531" s="28"/>
    </row>
    <row r="10532">
      <c r="N10532" s="28"/>
      <c r="O10532" s="28"/>
      <c r="U10532" s="28"/>
    </row>
    <row r="10533">
      <c r="N10533" s="28"/>
      <c r="O10533" s="28"/>
      <c r="U10533" s="28"/>
    </row>
    <row r="10534">
      <c r="N10534" s="28"/>
      <c r="O10534" s="28"/>
      <c r="U10534" s="28"/>
    </row>
    <row r="10535">
      <c r="N10535" s="28"/>
      <c r="O10535" s="28"/>
      <c r="U10535" s="28"/>
    </row>
    <row r="10536">
      <c r="N10536" s="28"/>
      <c r="O10536" s="28"/>
      <c r="U10536" s="28"/>
    </row>
    <row r="10537">
      <c r="N10537" s="28"/>
      <c r="O10537" s="28"/>
      <c r="U10537" s="28"/>
    </row>
    <row r="10538">
      <c r="N10538" s="28"/>
      <c r="O10538" s="28"/>
      <c r="U10538" s="28"/>
    </row>
    <row r="10539">
      <c r="N10539" s="28"/>
      <c r="O10539" s="28"/>
      <c r="U10539" s="28"/>
    </row>
    <row r="10540">
      <c r="N10540" s="28"/>
      <c r="O10540" s="28"/>
      <c r="U10540" s="28"/>
    </row>
    <row r="10541">
      <c r="N10541" s="28"/>
      <c r="O10541" s="28"/>
      <c r="U10541" s="28"/>
    </row>
    <row r="10542">
      <c r="N10542" s="28"/>
      <c r="O10542" s="28"/>
      <c r="U10542" s="28"/>
    </row>
    <row r="10543">
      <c r="N10543" s="28"/>
      <c r="O10543" s="28"/>
      <c r="U10543" s="28"/>
    </row>
    <row r="10544">
      <c r="N10544" s="28"/>
      <c r="O10544" s="28"/>
      <c r="U10544" s="28"/>
    </row>
    <row r="10545">
      <c r="N10545" s="28"/>
      <c r="O10545" s="28"/>
      <c r="U10545" s="28"/>
    </row>
    <row r="10546">
      <c r="N10546" s="28"/>
      <c r="O10546" s="28"/>
      <c r="U10546" s="28"/>
    </row>
    <row r="10547">
      <c r="N10547" s="28"/>
      <c r="O10547" s="28"/>
      <c r="U10547" s="28"/>
    </row>
    <row r="10548">
      <c r="N10548" s="28"/>
      <c r="O10548" s="28"/>
      <c r="U10548" s="28"/>
    </row>
    <row r="10549">
      <c r="N10549" s="28"/>
      <c r="O10549" s="28"/>
      <c r="U10549" s="28"/>
    </row>
    <row r="10550">
      <c r="N10550" s="28"/>
      <c r="O10550" s="28"/>
      <c r="U10550" s="28"/>
    </row>
    <row r="10551">
      <c r="N10551" s="28"/>
      <c r="O10551" s="28"/>
      <c r="U10551" s="28"/>
    </row>
    <row r="10552">
      <c r="N10552" s="28"/>
      <c r="O10552" s="28"/>
      <c r="U10552" s="28"/>
    </row>
    <row r="10553">
      <c r="N10553" s="28"/>
      <c r="O10553" s="28"/>
      <c r="U10553" s="28"/>
    </row>
    <row r="10554">
      <c r="N10554" s="28"/>
      <c r="O10554" s="28"/>
      <c r="U10554" s="28"/>
    </row>
    <row r="10555">
      <c r="N10555" s="28"/>
      <c r="O10555" s="28"/>
      <c r="U10555" s="28"/>
    </row>
    <row r="10556">
      <c r="N10556" s="28"/>
      <c r="O10556" s="28"/>
      <c r="U10556" s="28"/>
    </row>
    <row r="10557">
      <c r="N10557" s="28"/>
      <c r="O10557" s="28"/>
      <c r="U10557" s="28"/>
    </row>
    <row r="10558">
      <c r="N10558" s="28"/>
      <c r="O10558" s="28"/>
      <c r="U10558" s="28"/>
    </row>
    <row r="10559">
      <c r="N10559" s="28"/>
      <c r="O10559" s="28"/>
      <c r="U10559" s="28"/>
    </row>
    <row r="10560">
      <c r="N10560" s="28"/>
      <c r="O10560" s="28"/>
      <c r="U10560" s="28"/>
    </row>
    <row r="10561">
      <c r="N10561" s="28"/>
      <c r="O10561" s="28"/>
      <c r="U10561" s="28"/>
    </row>
    <row r="10562">
      <c r="N10562" s="28"/>
      <c r="O10562" s="28"/>
      <c r="U10562" s="28"/>
    </row>
    <row r="10563">
      <c r="N10563" s="28"/>
      <c r="O10563" s="28"/>
      <c r="U10563" s="28"/>
    </row>
    <row r="10564">
      <c r="N10564" s="28"/>
      <c r="O10564" s="28"/>
      <c r="U10564" s="28"/>
    </row>
    <row r="10565">
      <c r="N10565" s="28"/>
      <c r="O10565" s="28"/>
      <c r="U10565" s="28"/>
    </row>
    <row r="10566">
      <c r="N10566" s="28"/>
      <c r="O10566" s="28"/>
      <c r="U10566" s="28"/>
    </row>
    <row r="10567">
      <c r="N10567" s="28"/>
      <c r="O10567" s="28"/>
      <c r="U10567" s="28"/>
    </row>
    <row r="10568">
      <c r="N10568" s="28"/>
      <c r="O10568" s="28"/>
      <c r="U10568" s="28"/>
    </row>
    <row r="10569">
      <c r="N10569" s="28"/>
      <c r="O10569" s="28"/>
      <c r="U10569" s="28"/>
    </row>
    <row r="10570">
      <c r="N10570" s="28"/>
      <c r="O10570" s="28"/>
      <c r="U10570" s="28"/>
    </row>
    <row r="10571">
      <c r="N10571" s="28"/>
      <c r="O10571" s="28"/>
      <c r="U10571" s="28"/>
    </row>
    <row r="10572">
      <c r="N10572" s="28"/>
      <c r="O10572" s="28"/>
      <c r="U10572" s="28"/>
    </row>
    <row r="10573">
      <c r="N10573" s="28"/>
      <c r="O10573" s="28"/>
      <c r="U10573" s="28"/>
    </row>
    <row r="10574">
      <c r="N10574" s="28"/>
      <c r="O10574" s="28"/>
      <c r="U10574" s="28"/>
    </row>
    <row r="10575">
      <c r="N10575" s="28"/>
      <c r="O10575" s="28"/>
      <c r="U10575" s="28"/>
    </row>
    <row r="10576">
      <c r="N10576" s="28"/>
      <c r="O10576" s="28"/>
      <c r="U10576" s="28"/>
    </row>
    <row r="10577">
      <c r="N10577" s="28"/>
      <c r="O10577" s="28"/>
      <c r="U10577" s="28"/>
    </row>
    <row r="10578">
      <c r="N10578" s="28"/>
      <c r="O10578" s="28"/>
      <c r="U10578" s="28"/>
    </row>
    <row r="10579">
      <c r="N10579" s="28"/>
      <c r="O10579" s="28"/>
      <c r="U10579" s="28"/>
    </row>
    <row r="10580">
      <c r="N10580" s="28"/>
      <c r="O10580" s="28"/>
      <c r="U10580" s="28"/>
    </row>
    <row r="10581">
      <c r="N10581" s="28"/>
      <c r="O10581" s="28"/>
      <c r="U10581" s="28"/>
    </row>
    <row r="10582">
      <c r="N10582" s="28"/>
      <c r="O10582" s="28"/>
      <c r="U10582" s="28"/>
    </row>
    <row r="10583">
      <c r="N10583" s="28"/>
      <c r="O10583" s="28"/>
      <c r="U10583" s="28"/>
    </row>
    <row r="10584">
      <c r="N10584" s="28"/>
      <c r="O10584" s="28"/>
      <c r="U10584" s="28"/>
    </row>
    <row r="10585">
      <c r="N10585" s="28"/>
      <c r="O10585" s="28"/>
      <c r="U10585" s="28"/>
    </row>
    <row r="10586">
      <c r="N10586" s="28"/>
      <c r="O10586" s="28"/>
      <c r="U10586" s="28"/>
    </row>
    <row r="10587">
      <c r="N10587" s="28"/>
      <c r="O10587" s="28"/>
      <c r="U10587" s="28"/>
    </row>
    <row r="10588">
      <c r="N10588" s="28"/>
      <c r="O10588" s="28"/>
      <c r="U10588" s="28"/>
    </row>
    <row r="10589">
      <c r="N10589" s="28"/>
      <c r="O10589" s="28"/>
      <c r="U10589" s="28"/>
    </row>
    <row r="10590">
      <c r="N10590" s="28"/>
      <c r="O10590" s="28"/>
      <c r="U10590" s="28"/>
    </row>
    <row r="10591">
      <c r="N10591" s="28"/>
      <c r="O10591" s="28"/>
      <c r="U10591" s="28"/>
    </row>
    <row r="10592">
      <c r="N10592" s="28"/>
      <c r="O10592" s="28"/>
      <c r="U10592" s="28"/>
    </row>
    <row r="10593">
      <c r="N10593" s="28"/>
      <c r="O10593" s="28"/>
      <c r="U10593" s="28"/>
    </row>
    <row r="10594">
      <c r="N10594" s="28"/>
      <c r="O10594" s="28"/>
      <c r="U10594" s="28"/>
    </row>
    <row r="10595">
      <c r="N10595" s="28"/>
      <c r="O10595" s="28"/>
      <c r="U10595" s="28"/>
    </row>
    <row r="10596">
      <c r="N10596" s="28"/>
      <c r="O10596" s="28"/>
      <c r="U10596" s="28"/>
    </row>
    <row r="10597">
      <c r="N10597" s="28"/>
      <c r="O10597" s="28"/>
      <c r="U10597" s="28"/>
    </row>
    <row r="10598">
      <c r="N10598" s="28"/>
      <c r="O10598" s="28"/>
      <c r="U10598" s="28"/>
    </row>
    <row r="10599">
      <c r="N10599" s="28"/>
      <c r="O10599" s="28"/>
      <c r="U10599" s="28"/>
    </row>
    <row r="10600">
      <c r="N10600" s="28"/>
      <c r="O10600" s="28"/>
      <c r="U10600" s="28"/>
    </row>
    <row r="10601">
      <c r="N10601" s="28"/>
      <c r="O10601" s="28"/>
      <c r="U10601" s="28"/>
    </row>
    <row r="10602">
      <c r="N10602" s="28"/>
      <c r="O10602" s="28"/>
      <c r="U10602" s="28"/>
    </row>
    <row r="10603">
      <c r="N10603" s="28"/>
      <c r="O10603" s="28"/>
      <c r="U10603" s="28"/>
    </row>
    <row r="10604">
      <c r="N10604" s="28"/>
      <c r="O10604" s="28"/>
      <c r="U10604" s="28"/>
    </row>
    <row r="10605">
      <c r="N10605" s="28"/>
      <c r="O10605" s="28"/>
      <c r="U10605" s="28"/>
    </row>
    <row r="10606">
      <c r="N10606" s="28"/>
      <c r="O10606" s="28"/>
      <c r="U10606" s="28"/>
    </row>
    <row r="10607">
      <c r="N10607" s="28"/>
      <c r="O10607" s="28"/>
      <c r="U10607" s="28"/>
    </row>
    <row r="10608">
      <c r="N10608" s="28"/>
      <c r="O10608" s="28"/>
      <c r="U10608" s="28"/>
    </row>
    <row r="10609">
      <c r="N10609" s="28"/>
      <c r="O10609" s="28"/>
      <c r="U10609" s="28"/>
    </row>
    <row r="10610">
      <c r="N10610" s="28"/>
      <c r="O10610" s="28"/>
      <c r="U10610" s="28"/>
    </row>
    <row r="10611">
      <c r="N10611" s="28"/>
      <c r="O10611" s="28"/>
      <c r="U10611" s="28"/>
    </row>
    <row r="10612">
      <c r="N10612" s="28"/>
      <c r="O10612" s="28"/>
      <c r="U10612" s="28"/>
    </row>
    <row r="10613">
      <c r="N10613" s="28"/>
      <c r="O10613" s="28"/>
      <c r="U10613" s="28"/>
    </row>
    <row r="10614">
      <c r="N10614" s="28"/>
      <c r="O10614" s="28"/>
      <c r="U10614" s="28"/>
    </row>
    <row r="10615">
      <c r="N10615" s="28"/>
      <c r="O10615" s="28"/>
      <c r="U10615" s="28"/>
    </row>
    <row r="10616">
      <c r="N10616" s="28"/>
      <c r="O10616" s="28"/>
      <c r="U10616" s="28"/>
    </row>
    <row r="10617">
      <c r="N10617" s="28"/>
      <c r="O10617" s="28"/>
      <c r="U10617" s="28"/>
    </row>
    <row r="10618">
      <c r="N10618" s="28"/>
      <c r="O10618" s="28"/>
      <c r="U10618" s="28"/>
    </row>
    <row r="10619">
      <c r="N10619" s="28"/>
      <c r="O10619" s="28"/>
      <c r="U10619" s="28"/>
    </row>
    <row r="10620">
      <c r="N10620" s="28"/>
      <c r="O10620" s="28"/>
      <c r="U10620" s="28"/>
    </row>
    <row r="10621">
      <c r="N10621" s="28"/>
      <c r="O10621" s="28"/>
      <c r="U10621" s="28"/>
    </row>
    <row r="10622">
      <c r="N10622" s="28"/>
      <c r="O10622" s="28"/>
      <c r="U10622" s="28"/>
    </row>
    <row r="10623">
      <c r="N10623" s="28"/>
      <c r="O10623" s="28"/>
      <c r="U10623" s="28"/>
    </row>
    <row r="10624">
      <c r="N10624" s="28"/>
      <c r="O10624" s="28"/>
      <c r="U10624" s="28"/>
    </row>
    <row r="10625">
      <c r="N10625" s="28"/>
      <c r="O10625" s="28"/>
      <c r="U10625" s="28"/>
    </row>
    <row r="10626">
      <c r="N10626" s="28"/>
      <c r="O10626" s="28"/>
      <c r="U10626" s="28"/>
    </row>
    <row r="10627">
      <c r="N10627" s="28"/>
      <c r="O10627" s="28"/>
      <c r="U10627" s="28"/>
    </row>
    <row r="10628">
      <c r="N10628" s="28"/>
      <c r="O10628" s="28"/>
      <c r="U10628" s="28"/>
    </row>
    <row r="10629">
      <c r="N10629" s="28"/>
      <c r="O10629" s="28"/>
      <c r="U10629" s="28"/>
    </row>
    <row r="10630">
      <c r="N10630" s="28"/>
      <c r="O10630" s="28"/>
      <c r="U10630" s="28"/>
    </row>
    <row r="10631">
      <c r="N10631" s="28"/>
      <c r="O10631" s="28"/>
      <c r="U10631" s="28"/>
    </row>
    <row r="10632">
      <c r="N10632" s="28"/>
      <c r="O10632" s="28"/>
      <c r="U10632" s="28"/>
    </row>
    <row r="10633">
      <c r="N10633" s="28"/>
      <c r="O10633" s="28"/>
      <c r="U10633" s="28"/>
    </row>
    <row r="10634">
      <c r="N10634" s="28"/>
      <c r="O10634" s="28"/>
      <c r="U10634" s="28"/>
    </row>
    <row r="10635">
      <c r="N10635" s="28"/>
      <c r="O10635" s="28"/>
      <c r="U10635" s="28"/>
    </row>
    <row r="10636">
      <c r="N10636" s="28"/>
      <c r="O10636" s="28"/>
      <c r="U10636" s="28"/>
    </row>
    <row r="10637">
      <c r="N10637" s="28"/>
      <c r="O10637" s="28"/>
      <c r="U10637" s="28"/>
    </row>
    <row r="10638">
      <c r="N10638" s="28"/>
      <c r="O10638" s="28"/>
      <c r="U10638" s="28"/>
    </row>
    <row r="10639">
      <c r="N10639" s="28"/>
      <c r="O10639" s="28"/>
      <c r="U10639" s="28"/>
    </row>
    <row r="10640">
      <c r="N10640" s="28"/>
      <c r="O10640" s="28"/>
      <c r="U10640" s="28"/>
    </row>
    <row r="10641">
      <c r="N10641" s="28"/>
      <c r="O10641" s="28"/>
      <c r="U10641" s="28"/>
    </row>
    <row r="10642">
      <c r="N10642" s="28"/>
      <c r="O10642" s="28"/>
      <c r="U10642" s="28"/>
    </row>
    <row r="10643">
      <c r="N10643" s="28"/>
      <c r="O10643" s="28"/>
      <c r="U10643" s="28"/>
    </row>
    <row r="10644">
      <c r="N10644" s="28"/>
      <c r="O10644" s="28"/>
      <c r="U10644" s="28"/>
    </row>
    <row r="10645">
      <c r="N10645" s="28"/>
      <c r="O10645" s="28"/>
      <c r="U10645" s="28"/>
    </row>
    <row r="10646">
      <c r="N10646" s="28"/>
      <c r="O10646" s="28"/>
      <c r="U10646" s="28"/>
    </row>
    <row r="10647">
      <c r="N10647" s="28"/>
      <c r="O10647" s="28"/>
      <c r="U10647" s="28"/>
    </row>
    <row r="10648">
      <c r="N10648" s="28"/>
      <c r="O10648" s="28"/>
      <c r="U10648" s="28"/>
    </row>
    <row r="10649">
      <c r="N10649" s="28"/>
      <c r="O10649" s="28"/>
      <c r="U10649" s="28"/>
    </row>
    <row r="10650">
      <c r="N10650" s="28"/>
      <c r="O10650" s="28"/>
      <c r="U10650" s="28"/>
    </row>
    <row r="10651">
      <c r="N10651" s="28"/>
      <c r="O10651" s="28"/>
      <c r="U10651" s="28"/>
    </row>
    <row r="10652">
      <c r="N10652" s="28"/>
      <c r="O10652" s="28"/>
      <c r="U10652" s="28"/>
    </row>
    <row r="10653">
      <c r="N10653" s="28"/>
      <c r="O10653" s="28"/>
      <c r="U10653" s="28"/>
    </row>
    <row r="10654">
      <c r="N10654" s="28"/>
      <c r="O10654" s="28"/>
      <c r="U10654" s="28"/>
    </row>
    <row r="10655">
      <c r="N10655" s="28"/>
      <c r="O10655" s="28"/>
      <c r="U10655" s="28"/>
    </row>
    <row r="10656">
      <c r="N10656" s="28"/>
      <c r="O10656" s="28"/>
      <c r="U10656" s="28"/>
    </row>
    <row r="10657">
      <c r="N10657" s="28"/>
      <c r="O10657" s="28"/>
      <c r="U10657" s="28"/>
    </row>
    <row r="10658">
      <c r="N10658" s="28"/>
      <c r="O10658" s="28"/>
      <c r="U10658" s="28"/>
    </row>
    <row r="10659">
      <c r="N10659" s="28"/>
      <c r="O10659" s="28"/>
      <c r="U10659" s="28"/>
    </row>
    <row r="10660">
      <c r="N10660" s="28"/>
      <c r="O10660" s="28"/>
      <c r="U10660" s="28"/>
    </row>
    <row r="10661">
      <c r="N10661" s="28"/>
      <c r="O10661" s="28"/>
      <c r="U10661" s="28"/>
    </row>
    <row r="10662">
      <c r="N10662" s="28"/>
      <c r="O10662" s="28"/>
      <c r="U10662" s="28"/>
    </row>
    <row r="10663">
      <c r="N10663" s="28"/>
      <c r="O10663" s="28"/>
      <c r="U10663" s="28"/>
    </row>
    <row r="10664">
      <c r="N10664" s="28"/>
      <c r="O10664" s="28"/>
      <c r="U10664" s="28"/>
    </row>
    <row r="10665">
      <c r="N10665" s="28"/>
      <c r="O10665" s="28"/>
      <c r="U10665" s="28"/>
    </row>
    <row r="10666">
      <c r="N10666" s="28"/>
      <c r="O10666" s="28"/>
      <c r="U10666" s="28"/>
    </row>
    <row r="10667">
      <c r="N10667" s="28"/>
      <c r="O10667" s="28"/>
      <c r="U10667" s="28"/>
    </row>
    <row r="10668">
      <c r="N10668" s="28"/>
      <c r="O10668" s="28"/>
      <c r="U10668" s="28"/>
    </row>
    <row r="10669">
      <c r="N10669" s="28"/>
      <c r="O10669" s="28"/>
      <c r="U10669" s="28"/>
    </row>
    <row r="10670">
      <c r="N10670" s="28"/>
      <c r="O10670" s="28"/>
      <c r="U10670" s="28"/>
    </row>
    <row r="10671">
      <c r="N10671" s="28"/>
      <c r="O10671" s="28"/>
      <c r="U10671" s="28"/>
    </row>
    <row r="10672">
      <c r="N10672" s="28"/>
      <c r="O10672" s="28"/>
      <c r="U10672" s="28"/>
    </row>
    <row r="10673">
      <c r="N10673" s="28"/>
      <c r="O10673" s="28"/>
      <c r="U10673" s="28"/>
    </row>
    <row r="10674">
      <c r="N10674" s="28"/>
      <c r="O10674" s="28"/>
      <c r="U10674" s="28"/>
    </row>
    <row r="10675">
      <c r="N10675" s="28"/>
      <c r="O10675" s="28"/>
      <c r="U10675" s="28"/>
    </row>
    <row r="10676">
      <c r="N10676" s="28"/>
      <c r="O10676" s="28"/>
      <c r="U10676" s="28"/>
    </row>
    <row r="10677">
      <c r="N10677" s="28"/>
      <c r="O10677" s="28"/>
      <c r="U10677" s="28"/>
    </row>
    <row r="10678">
      <c r="N10678" s="28"/>
      <c r="O10678" s="28"/>
      <c r="U10678" s="28"/>
    </row>
    <row r="10679">
      <c r="N10679" s="28"/>
      <c r="O10679" s="28"/>
      <c r="U10679" s="28"/>
    </row>
    <row r="10680">
      <c r="N10680" s="28"/>
      <c r="O10680" s="28"/>
      <c r="U10680" s="28"/>
    </row>
    <row r="10681">
      <c r="N10681" s="28"/>
      <c r="O10681" s="28"/>
      <c r="U10681" s="28"/>
    </row>
    <row r="10682">
      <c r="N10682" s="28"/>
      <c r="O10682" s="28"/>
      <c r="U10682" s="28"/>
    </row>
    <row r="10683">
      <c r="N10683" s="28"/>
      <c r="O10683" s="28"/>
      <c r="U10683" s="28"/>
    </row>
    <row r="10684">
      <c r="N10684" s="28"/>
      <c r="O10684" s="28"/>
      <c r="U10684" s="28"/>
    </row>
    <row r="10685">
      <c r="N10685" s="28"/>
      <c r="O10685" s="28"/>
      <c r="U10685" s="28"/>
    </row>
    <row r="10686">
      <c r="N10686" s="28"/>
      <c r="O10686" s="28"/>
      <c r="U10686" s="28"/>
    </row>
    <row r="10687">
      <c r="N10687" s="28"/>
      <c r="O10687" s="28"/>
      <c r="U10687" s="28"/>
    </row>
    <row r="10688">
      <c r="N10688" s="28"/>
      <c r="O10688" s="28"/>
      <c r="U10688" s="28"/>
    </row>
    <row r="10689">
      <c r="N10689" s="28"/>
      <c r="O10689" s="28"/>
      <c r="U10689" s="28"/>
    </row>
    <row r="10690">
      <c r="N10690" s="28"/>
      <c r="O10690" s="28"/>
      <c r="U10690" s="28"/>
    </row>
    <row r="10691">
      <c r="N10691" s="28"/>
      <c r="O10691" s="28"/>
      <c r="U10691" s="28"/>
    </row>
    <row r="10692">
      <c r="N10692" s="28"/>
      <c r="O10692" s="28"/>
      <c r="U10692" s="28"/>
    </row>
    <row r="10693">
      <c r="N10693" s="28"/>
      <c r="O10693" s="28"/>
      <c r="U10693" s="28"/>
    </row>
    <row r="10694">
      <c r="N10694" s="28"/>
      <c r="O10694" s="28"/>
      <c r="U10694" s="28"/>
    </row>
    <row r="10695">
      <c r="N10695" s="28"/>
      <c r="O10695" s="28"/>
      <c r="U10695" s="28"/>
    </row>
    <row r="10696">
      <c r="N10696" s="28"/>
      <c r="O10696" s="28"/>
      <c r="U10696" s="28"/>
    </row>
    <row r="10697">
      <c r="N10697" s="28"/>
      <c r="O10697" s="28"/>
      <c r="U10697" s="28"/>
    </row>
    <row r="10698">
      <c r="N10698" s="28"/>
      <c r="O10698" s="28"/>
      <c r="U10698" s="28"/>
    </row>
    <row r="10699">
      <c r="N10699" s="28"/>
      <c r="O10699" s="28"/>
      <c r="U10699" s="28"/>
    </row>
    <row r="10700">
      <c r="N10700" s="28"/>
      <c r="O10700" s="28"/>
      <c r="U10700" s="28"/>
    </row>
    <row r="10701">
      <c r="N10701" s="28"/>
      <c r="O10701" s="28"/>
      <c r="U10701" s="28"/>
    </row>
    <row r="10702">
      <c r="N10702" s="28"/>
      <c r="O10702" s="28"/>
      <c r="U10702" s="28"/>
    </row>
    <row r="10703">
      <c r="N10703" s="28"/>
      <c r="O10703" s="28"/>
      <c r="U10703" s="28"/>
    </row>
    <row r="10704">
      <c r="N10704" s="28"/>
      <c r="O10704" s="28"/>
      <c r="U10704" s="28"/>
    </row>
    <row r="10705">
      <c r="N10705" s="28"/>
      <c r="O10705" s="28"/>
      <c r="U10705" s="28"/>
    </row>
    <row r="10706">
      <c r="N10706" s="28"/>
      <c r="O10706" s="28"/>
      <c r="U10706" s="28"/>
    </row>
    <row r="10707">
      <c r="N10707" s="28"/>
      <c r="O10707" s="28"/>
      <c r="U10707" s="28"/>
    </row>
    <row r="10708">
      <c r="N10708" s="28"/>
      <c r="O10708" s="28"/>
      <c r="U10708" s="28"/>
    </row>
    <row r="10709">
      <c r="N10709" s="28"/>
      <c r="O10709" s="28"/>
      <c r="U10709" s="28"/>
    </row>
    <row r="10710">
      <c r="N10710" s="28"/>
      <c r="O10710" s="28"/>
      <c r="U10710" s="28"/>
    </row>
    <row r="10711">
      <c r="N10711" s="28"/>
      <c r="O10711" s="28"/>
      <c r="U10711" s="28"/>
    </row>
    <row r="10712">
      <c r="N10712" s="28"/>
      <c r="O10712" s="28"/>
      <c r="U10712" s="28"/>
    </row>
    <row r="10713">
      <c r="N10713" s="28"/>
      <c r="O10713" s="28"/>
      <c r="U10713" s="28"/>
    </row>
    <row r="10714">
      <c r="N10714" s="28"/>
      <c r="O10714" s="28"/>
      <c r="U10714" s="28"/>
    </row>
    <row r="10715">
      <c r="N10715" s="28"/>
      <c r="O10715" s="28"/>
      <c r="U10715" s="28"/>
    </row>
    <row r="10716">
      <c r="N10716" s="28"/>
      <c r="O10716" s="28"/>
      <c r="U10716" s="28"/>
    </row>
    <row r="10717">
      <c r="N10717" s="28"/>
      <c r="O10717" s="28"/>
      <c r="U10717" s="28"/>
    </row>
    <row r="10718">
      <c r="N10718" s="28"/>
      <c r="O10718" s="28"/>
      <c r="U10718" s="28"/>
    </row>
    <row r="10719">
      <c r="N10719" s="28"/>
      <c r="O10719" s="28"/>
      <c r="U10719" s="28"/>
    </row>
    <row r="10720">
      <c r="N10720" s="28"/>
      <c r="O10720" s="28"/>
      <c r="U10720" s="28"/>
    </row>
    <row r="10721">
      <c r="N10721" s="28"/>
      <c r="O10721" s="28"/>
      <c r="U10721" s="28"/>
    </row>
    <row r="10722">
      <c r="N10722" s="28"/>
      <c r="O10722" s="28"/>
      <c r="U10722" s="28"/>
    </row>
    <row r="10723">
      <c r="N10723" s="28"/>
      <c r="O10723" s="28"/>
      <c r="U10723" s="28"/>
    </row>
    <row r="10724">
      <c r="N10724" s="28"/>
      <c r="O10724" s="28"/>
      <c r="U10724" s="28"/>
    </row>
    <row r="10725">
      <c r="N10725" s="28"/>
      <c r="O10725" s="28"/>
      <c r="U10725" s="28"/>
    </row>
    <row r="10726">
      <c r="N10726" s="28"/>
      <c r="O10726" s="28"/>
      <c r="U10726" s="28"/>
    </row>
    <row r="10727">
      <c r="N10727" s="28"/>
      <c r="O10727" s="28"/>
      <c r="U10727" s="28"/>
    </row>
    <row r="10728">
      <c r="N10728" s="28"/>
      <c r="O10728" s="28"/>
      <c r="U10728" s="28"/>
    </row>
    <row r="10729">
      <c r="N10729" s="28"/>
      <c r="O10729" s="28"/>
      <c r="U10729" s="28"/>
    </row>
    <row r="10730">
      <c r="N10730" s="28"/>
      <c r="O10730" s="28"/>
      <c r="U10730" s="28"/>
    </row>
    <row r="10731">
      <c r="N10731" s="28"/>
      <c r="O10731" s="28"/>
      <c r="U10731" s="28"/>
    </row>
    <row r="10732">
      <c r="N10732" s="28"/>
      <c r="O10732" s="28"/>
      <c r="U10732" s="28"/>
    </row>
    <row r="10733">
      <c r="N10733" s="28"/>
      <c r="O10733" s="28"/>
      <c r="U10733" s="28"/>
    </row>
    <row r="10734">
      <c r="N10734" s="28"/>
      <c r="O10734" s="28"/>
      <c r="U10734" s="28"/>
    </row>
    <row r="10735">
      <c r="N10735" s="28"/>
      <c r="O10735" s="28"/>
      <c r="U10735" s="28"/>
    </row>
    <row r="10736">
      <c r="N10736" s="28"/>
      <c r="O10736" s="28"/>
      <c r="U10736" s="28"/>
    </row>
    <row r="10737">
      <c r="N10737" s="28"/>
      <c r="O10737" s="28"/>
      <c r="U10737" s="28"/>
    </row>
    <row r="10738">
      <c r="N10738" s="28"/>
      <c r="O10738" s="28"/>
      <c r="U10738" s="28"/>
    </row>
    <row r="10739">
      <c r="N10739" s="28"/>
      <c r="O10739" s="28"/>
      <c r="U10739" s="28"/>
    </row>
    <row r="10740">
      <c r="N10740" s="28"/>
      <c r="O10740" s="28"/>
      <c r="U10740" s="28"/>
    </row>
    <row r="10741">
      <c r="N10741" s="28"/>
      <c r="O10741" s="28"/>
      <c r="U10741" s="28"/>
    </row>
    <row r="10742">
      <c r="N10742" s="28"/>
      <c r="O10742" s="28"/>
      <c r="U10742" s="28"/>
    </row>
    <row r="10743">
      <c r="N10743" s="28"/>
      <c r="O10743" s="28"/>
      <c r="U10743" s="28"/>
    </row>
    <row r="10744">
      <c r="N10744" s="28"/>
      <c r="O10744" s="28"/>
      <c r="U10744" s="28"/>
    </row>
    <row r="10745">
      <c r="N10745" s="28"/>
      <c r="O10745" s="28"/>
      <c r="U10745" s="28"/>
    </row>
    <row r="10746">
      <c r="N10746" s="28"/>
      <c r="O10746" s="28"/>
      <c r="U10746" s="28"/>
    </row>
    <row r="10747">
      <c r="N10747" s="28"/>
      <c r="O10747" s="28"/>
      <c r="U10747" s="28"/>
    </row>
    <row r="10748">
      <c r="N10748" s="28"/>
      <c r="O10748" s="28"/>
      <c r="U10748" s="28"/>
    </row>
    <row r="10749">
      <c r="N10749" s="28"/>
      <c r="O10749" s="28"/>
      <c r="U10749" s="28"/>
    </row>
    <row r="10750">
      <c r="N10750" s="28"/>
      <c r="O10750" s="28"/>
      <c r="U10750" s="28"/>
    </row>
    <row r="10751">
      <c r="N10751" s="28"/>
      <c r="O10751" s="28"/>
      <c r="U10751" s="28"/>
    </row>
    <row r="10752">
      <c r="N10752" s="28"/>
      <c r="O10752" s="28"/>
      <c r="U10752" s="28"/>
    </row>
    <row r="10753">
      <c r="N10753" s="28"/>
      <c r="O10753" s="28"/>
      <c r="U10753" s="28"/>
    </row>
    <row r="10754">
      <c r="N10754" s="28"/>
      <c r="O10754" s="28"/>
      <c r="U10754" s="28"/>
    </row>
    <row r="10755">
      <c r="N10755" s="28"/>
      <c r="O10755" s="28"/>
      <c r="U10755" s="28"/>
    </row>
    <row r="10756">
      <c r="N10756" s="28"/>
      <c r="O10756" s="28"/>
      <c r="U10756" s="28"/>
    </row>
    <row r="10757">
      <c r="N10757" s="28"/>
      <c r="O10757" s="28"/>
      <c r="U10757" s="28"/>
    </row>
    <row r="10758">
      <c r="N10758" s="28"/>
      <c r="O10758" s="28"/>
      <c r="U10758" s="28"/>
    </row>
    <row r="10759">
      <c r="N10759" s="28"/>
      <c r="O10759" s="28"/>
      <c r="U10759" s="28"/>
    </row>
    <row r="10760">
      <c r="N10760" s="28"/>
      <c r="O10760" s="28"/>
      <c r="U10760" s="28"/>
    </row>
    <row r="10761">
      <c r="N10761" s="28"/>
      <c r="O10761" s="28"/>
      <c r="U10761" s="28"/>
    </row>
    <row r="10762">
      <c r="N10762" s="28"/>
      <c r="O10762" s="28"/>
      <c r="U10762" s="28"/>
    </row>
    <row r="10763">
      <c r="N10763" s="28"/>
      <c r="O10763" s="28"/>
      <c r="U10763" s="28"/>
    </row>
    <row r="10764">
      <c r="N10764" s="28"/>
      <c r="O10764" s="28"/>
      <c r="U10764" s="28"/>
    </row>
    <row r="10765">
      <c r="N10765" s="28"/>
      <c r="O10765" s="28"/>
      <c r="U10765" s="28"/>
    </row>
    <row r="10766">
      <c r="N10766" s="28"/>
      <c r="O10766" s="28"/>
      <c r="U10766" s="28"/>
    </row>
    <row r="10767">
      <c r="N10767" s="28"/>
      <c r="O10767" s="28"/>
      <c r="U10767" s="28"/>
    </row>
    <row r="10768">
      <c r="N10768" s="28"/>
      <c r="O10768" s="28"/>
      <c r="U10768" s="28"/>
    </row>
    <row r="10769">
      <c r="N10769" s="28"/>
      <c r="O10769" s="28"/>
      <c r="U10769" s="28"/>
    </row>
    <row r="10770">
      <c r="N10770" s="28"/>
      <c r="O10770" s="28"/>
      <c r="U10770" s="28"/>
    </row>
    <row r="10771">
      <c r="N10771" s="28"/>
      <c r="O10771" s="28"/>
      <c r="U10771" s="28"/>
    </row>
    <row r="10772">
      <c r="N10772" s="28"/>
      <c r="O10772" s="28"/>
      <c r="U10772" s="28"/>
    </row>
    <row r="10773">
      <c r="N10773" s="28"/>
      <c r="O10773" s="28"/>
      <c r="U10773" s="28"/>
    </row>
    <row r="10774">
      <c r="N10774" s="28"/>
      <c r="O10774" s="28"/>
      <c r="U10774" s="28"/>
    </row>
    <row r="10775">
      <c r="N10775" s="28"/>
      <c r="O10775" s="28"/>
      <c r="U10775" s="28"/>
    </row>
    <row r="10776">
      <c r="N10776" s="28"/>
      <c r="O10776" s="28"/>
      <c r="U10776" s="28"/>
    </row>
    <row r="10777">
      <c r="N10777" s="28"/>
      <c r="O10777" s="28"/>
      <c r="U10777" s="28"/>
    </row>
    <row r="10778">
      <c r="N10778" s="28"/>
      <c r="O10778" s="28"/>
      <c r="U10778" s="28"/>
    </row>
    <row r="10779">
      <c r="N10779" s="28"/>
      <c r="O10779" s="28"/>
      <c r="U10779" s="28"/>
    </row>
    <row r="10780">
      <c r="N10780" s="28"/>
      <c r="O10780" s="28"/>
      <c r="U10780" s="28"/>
    </row>
    <row r="10781">
      <c r="N10781" s="28"/>
      <c r="O10781" s="28"/>
      <c r="U10781" s="28"/>
    </row>
    <row r="10782">
      <c r="N10782" s="28"/>
      <c r="O10782" s="28"/>
      <c r="U10782" s="28"/>
    </row>
    <row r="10783">
      <c r="N10783" s="28"/>
      <c r="O10783" s="28"/>
      <c r="U10783" s="28"/>
    </row>
    <row r="10784">
      <c r="N10784" s="28"/>
      <c r="O10784" s="28"/>
      <c r="U10784" s="28"/>
    </row>
    <row r="10785">
      <c r="N10785" s="28"/>
      <c r="O10785" s="28"/>
      <c r="U10785" s="28"/>
    </row>
    <row r="10786">
      <c r="N10786" s="28"/>
      <c r="O10786" s="28"/>
      <c r="U10786" s="28"/>
    </row>
    <row r="10787">
      <c r="N10787" s="28"/>
      <c r="O10787" s="28"/>
      <c r="U10787" s="28"/>
    </row>
    <row r="10788">
      <c r="N10788" s="28"/>
      <c r="O10788" s="28"/>
      <c r="U10788" s="28"/>
    </row>
    <row r="10789">
      <c r="N10789" s="28"/>
      <c r="O10789" s="28"/>
      <c r="U10789" s="28"/>
    </row>
    <row r="10790">
      <c r="N10790" s="28"/>
      <c r="O10790" s="28"/>
      <c r="U10790" s="28"/>
    </row>
    <row r="10791">
      <c r="N10791" s="28"/>
      <c r="O10791" s="28"/>
      <c r="U10791" s="28"/>
    </row>
    <row r="10792">
      <c r="N10792" s="28"/>
      <c r="O10792" s="28"/>
      <c r="U10792" s="28"/>
    </row>
    <row r="10793">
      <c r="N10793" s="28"/>
      <c r="O10793" s="28"/>
      <c r="U10793" s="28"/>
    </row>
    <row r="10794">
      <c r="N10794" s="28"/>
      <c r="O10794" s="28"/>
      <c r="U10794" s="28"/>
    </row>
    <row r="10795">
      <c r="N10795" s="28"/>
      <c r="O10795" s="28"/>
      <c r="U10795" s="28"/>
    </row>
    <row r="10796">
      <c r="N10796" s="28"/>
      <c r="O10796" s="28"/>
      <c r="U10796" s="28"/>
    </row>
    <row r="10797">
      <c r="N10797" s="28"/>
      <c r="O10797" s="28"/>
      <c r="U10797" s="28"/>
    </row>
    <row r="10798">
      <c r="N10798" s="28"/>
      <c r="O10798" s="28"/>
      <c r="U10798" s="28"/>
    </row>
    <row r="10799">
      <c r="N10799" s="28"/>
      <c r="O10799" s="28"/>
      <c r="U10799" s="28"/>
    </row>
    <row r="10800">
      <c r="N10800" s="28"/>
      <c r="O10800" s="28"/>
      <c r="U10800" s="28"/>
    </row>
    <row r="10801">
      <c r="N10801" s="28"/>
      <c r="O10801" s="28"/>
      <c r="U10801" s="28"/>
    </row>
    <row r="10802">
      <c r="N10802" s="28"/>
      <c r="O10802" s="28"/>
      <c r="U10802" s="28"/>
    </row>
    <row r="10803">
      <c r="N10803" s="28"/>
      <c r="O10803" s="28"/>
      <c r="U10803" s="28"/>
    </row>
    <row r="10804">
      <c r="N10804" s="28"/>
      <c r="O10804" s="28"/>
      <c r="U10804" s="28"/>
    </row>
    <row r="10805">
      <c r="N10805" s="28"/>
      <c r="O10805" s="28"/>
      <c r="U10805" s="28"/>
    </row>
    <row r="10806">
      <c r="N10806" s="28"/>
      <c r="O10806" s="28"/>
      <c r="U10806" s="28"/>
    </row>
    <row r="10807">
      <c r="N10807" s="28"/>
      <c r="O10807" s="28"/>
      <c r="U10807" s="28"/>
    </row>
    <row r="10808">
      <c r="N10808" s="28"/>
      <c r="O10808" s="28"/>
      <c r="U10808" s="28"/>
    </row>
    <row r="10809">
      <c r="N10809" s="28"/>
      <c r="O10809" s="28"/>
      <c r="U10809" s="28"/>
    </row>
    <row r="10810">
      <c r="N10810" s="28"/>
      <c r="O10810" s="28"/>
      <c r="U10810" s="28"/>
    </row>
    <row r="10811">
      <c r="N10811" s="28"/>
      <c r="O10811" s="28"/>
      <c r="U10811" s="28"/>
    </row>
    <row r="10812">
      <c r="N10812" s="28"/>
      <c r="O10812" s="28"/>
      <c r="U10812" s="28"/>
    </row>
    <row r="10813">
      <c r="N10813" s="28"/>
      <c r="O10813" s="28"/>
      <c r="U10813" s="28"/>
    </row>
    <row r="10814">
      <c r="N10814" s="28"/>
      <c r="O10814" s="28"/>
      <c r="U10814" s="28"/>
    </row>
    <row r="10815">
      <c r="N10815" s="28"/>
      <c r="O10815" s="28"/>
      <c r="U10815" s="28"/>
    </row>
    <row r="10816">
      <c r="N10816" s="28"/>
      <c r="O10816" s="28"/>
      <c r="U10816" s="28"/>
    </row>
    <row r="10817">
      <c r="N10817" s="28"/>
      <c r="O10817" s="28"/>
      <c r="U10817" s="28"/>
    </row>
    <row r="10818">
      <c r="N10818" s="28"/>
      <c r="O10818" s="28"/>
      <c r="U10818" s="28"/>
    </row>
    <row r="10819">
      <c r="N10819" s="28"/>
      <c r="O10819" s="28"/>
      <c r="U10819" s="28"/>
    </row>
    <row r="10820">
      <c r="N10820" s="28"/>
      <c r="O10820" s="28"/>
      <c r="U10820" s="28"/>
    </row>
    <row r="10821">
      <c r="N10821" s="28"/>
      <c r="O10821" s="28"/>
      <c r="U10821" s="28"/>
    </row>
    <row r="10822">
      <c r="N10822" s="28"/>
      <c r="O10822" s="28"/>
      <c r="U10822" s="28"/>
    </row>
    <row r="10823">
      <c r="N10823" s="28"/>
      <c r="O10823" s="28"/>
      <c r="U10823" s="28"/>
    </row>
    <row r="10824">
      <c r="N10824" s="28"/>
      <c r="O10824" s="28"/>
      <c r="U10824" s="28"/>
    </row>
    <row r="10825">
      <c r="N10825" s="28"/>
      <c r="O10825" s="28"/>
      <c r="U10825" s="28"/>
    </row>
    <row r="10826">
      <c r="N10826" s="28"/>
      <c r="O10826" s="28"/>
      <c r="U10826" s="28"/>
    </row>
    <row r="10827">
      <c r="N10827" s="28"/>
      <c r="O10827" s="28"/>
      <c r="U10827" s="28"/>
    </row>
    <row r="10828">
      <c r="N10828" s="28"/>
      <c r="O10828" s="28"/>
      <c r="U10828" s="28"/>
    </row>
    <row r="10829">
      <c r="N10829" s="28"/>
      <c r="O10829" s="28"/>
      <c r="U10829" s="28"/>
    </row>
    <row r="10830">
      <c r="N10830" s="28"/>
      <c r="O10830" s="28"/>
      <c r="U10830" s="28"/>
    </row>
    <row r="10831">
      <c r="N10831" s="28"/>
      <c r="O10831" s="28"/>
      <c r="U10831" s="28"/>
    </row>
    <row r="10832">
      <c r="N10832" s="28"/>
      <c r="O10832" s="28"/>
      <c r="U10832" s="28"/>
    </row>
    <row r="10833">
      <c r="N10833" s="28"/>
      <c r="O10833" s="28"/>
      <c r="U10833" s="28"/>
    </row>
    <row r="10834">
      <c r="N10834" s="28"/>
      <c r="O10834" s="28"/>
      <c r="U10834" s="28"/>
    </row>
    <row r="10835">
      <c r="N10835" s="28"/>
      <c r="O10835" s="28"/>
      <c r="U10835" s="28"/>
    </row>
    <row r="10836">
      <c r="N10836" s="28"/>
      <c r="O10836" s="28"/>
      <c r="U10836" s="28"/>
    </row>
    <row r="10837">
      <c r="N10837" s="28"/>
      <c r="O10837" s="28"/>
      <c r="U10837" s="28"/>
    </row>
    <row r="10838">
      <c r="N10838" s="28"/>
      <c r="O10838" s="28"/>
      <c r="U10838" s="28"/>
    </row>
    <row r="10839">
      <c r="N10839" s="28"/>
      <c r="O10839" s="28"/>
      <c r="U10839" s="28"/>
    </row>
    <row r="10840">
      <c r="N10840" s="28"/>
      <c r="O10840" s="28"/>
      <c r="U10840" s="28"/>
    </row>
    <row r="10841">
      <c r="N10841" s="28"/>
      <c r="O10841" s="28"/>
      <c r="U10841" s="28"/>
    </row>
    <row r="10842">
      <c r="N10842" s="28"/>
      <c r="O10842" s="28"/>
      <c r="U10842" s="28"/>
    </row>
    <row r="10843">
      <c r="N10843" s="28"/>
      <c r="O10843" s="28"/>
      <c r="U10843" s="28"/>
    </row>
    <row r="10844">
      <c r="N10844" s="28"/>
      <c r="O10844" s="28"/>
      <c r="U10844" s="28"/>
    </row>
    <row r="10845">
      <c r="N10845" s="28"/>
      <c r="O10845" s="28"/>
      <c r="U10845" s="28"/>
    </row>
    <row r="10846">
      <c r="N10846" s="28"/>
      <c r="O10846" s="28"/>
      <c r="U10846" s="28"/>
    </row>
    <row r="10847">
      <c r="N10847" s="28"/>
      <c r="O10847" s="28"/>
      <c r="U10847" s="28"/>
    </row>
    <row r="10848">
      <c r="N10848" s="28"/>
      <c r="O10848" s="28"/>
      <c r="U10848" s="28"/>
    </row>
    <row r="10849">
      <c r="N10849" s="28"/>
      <c r="O10849" s="28"/>
      <c r="U10849" s="28"/>
    </row>
    <row r="10850">
      <c r="N10850" s="28"/>
      <c r="O10850" s="28"/>
      <c r="U10850" s="28"/>
    </row>
    <row r="10851">
      <c r="N10851" s="28"/>
      <c r="O10851" s="28"/>
      <c r="U10851" s="28"/>
    </row>
    <row r="10852">
      <c r="N10852" s="28"/>
      <c r="O10852" s="28"/>
      <c r="U10852" s="28"/>
    </row>
    <row r="10853">
      <c r="N10853" s="28"/>
      <c r="O10853" s="28"/>
      <c r="U10853" s="28"/>
    </row>
    <row r="10854">
      <c r="N10854" s="28"/>
      <c r="O10854" s="28"/>
      <c r="U10854" s="28"/>
    </row>
    <row r="10855">
      <c r="N10855" s="28"/>
      <c r="O10855" s="28"/>
      <c r="U10855" s="28"/>
    </row>
    <row r="10856">
      <c r="N10856" s="28"/>
      <c r="O10856" s="28"/>
      <c r="U10856" s="28"/>
    </row>
    <row r="10857">
      <c r="N10857" s="28"/>
      <c r="O10857" s="28"/>
      <c r="U10857" s="28"/>
    </row>
    <row r="10858">
      <c r="N10858" s="28"/>
      <c r="O10858" s="28"/>
      <c r="U10858" s="28"/>
    </row>
    <row r="10859">
      <c r="N10859" s="28"/>
      <c r="O10859" s="28"/>
      <c r="U10859" s="28"/>
    </row>
    <row r="10860">
      <c r="N10860" s="28"/>
      <c r="O10860" s="28"/>
      <c r="U10860" s="28"/>
    </row>
    <row r="10861">
      <c r="N10861" s="28"/>
      <c r="O10861" s="28"/>
      <c r="U10861" s="28"/>
    </row>
    <row r="10862">
      <c r="N10862" s="28"/>
      <c r="O10862" s="28"/>
      <c r="U10862" s="28"/>
    </row>
    <row r="10863">
      <c r="N10863" s="28"/>
      <c r="O10863" s="28"/>
      <c r="U10863" s="28"/>
    </row>
    <row r="10864">
      <c r="N10864" s="28"/>
      <c r="O10864" s="28"/>
      <c r="U10864" s="28"/>
    </row>
    <row r="10865">
      <c r="N10865" s="28"/>
      <c r="O10865" s="28"/>
      <c r="U10865" s="28"/>
    </row>
    <row r="10866">
      <c r="N10866" s="28"/>
      <c r="O10866" s="28"/>
      <c r="U10866" s="28"/>
    </row>
    <row r="10867">
      <c r="N10867" s="28"/>
      <c r="O10867" s="28"/>
      <c r="U10867" s="28"/>
    </row>
    <row r="10868">
      <c r="N10868" s="28"/>
      <c r="O10868" s="28"/>
      <c r="U10868" s="28"/>
    </row>
    <row r="10869">
      <c r="N10869" s="28"/>
      <c r="O10869" s="28"/>
      <c r="U10869" s="28"/>
    </row>
    <row r="10870">
      <c r="N10870" s="28"/>
      <c r="O10870" s="28"/>
      <c r="U10870" s="28"/>
    </row>
    <row r="10871">
      <c r="N10871" s="28"/>
      <c r="O10871" s="28"/>
      <c r="U10871" s="28"/>
    </row>
    <row r="10872">
      <c r="N10872" s="28"/>
      <c r="O10872" s="28"/>
      <c r="U10872" s="28"/>
    </row>
    <row r="10873">
      <c r="N10873" s="28"/>
      <c r="O10873" s="28"/>
      <c r="U10873" s="28"/>
    </row>
    <row r="10874">
      <c r="N10874" s="28"/>
      <c r="O10874" s="28"/>
      <c r="U10874" s="28"/>
    </row>
    <row r="10875">
      <c r="N10875" s="28"/>
      <c r="O10875" s="28"/>
      <c r="U10875" s="28"/>
    </row>
    <row r="10876">
      <c r="N10876" s="28"/>
      <c r="O10876" s="28"/>
      <c r="U10876" s="28"/>
    </row>
    <row r="10877">
      <c r="N10877" s="28"/>
      <c r="O10877" s="28"/>
      <c r="U10877" s="28"/>
    </row>
    <row r="10878">
      <c r="N10878" s="28"/>
      <c r="O10878" s="28"/>
      <c r="U10878" s="28"/>
    </row>
    <row r="10879">
      <c r="N10879" s="28"/>
      <c r="O10879" s="28"/>
      <c r="U10879" s="28"/>
    </row>
    <row r="10880">
      <c r="N10880" s="28"/>
      <c r="O10880" s="28"/>
      <c r="U10880" s="28"/>
    </row>
    <row r="10881">
      <c r="N10881" s="28"/>
      <c r="O10881" s="28"/>
      <c r="U10881" s="28"/>
    </row>
    <row r="10882">
      <c r="N10882" s="28"/>
      <c r="O10882" s="28"/>
      <c r="U10882" s="28"/>
    </row>
    <row r="10883">
      <c r="N10883" s="28"/>
      <c r="O10883" s="28"/>
      <c r="U10883" s="28"/>
    </row>
    <row r="10884">
      <c r="N10884" s="28"/>
      <c r="O10884" s="28"/>
      <c r="U10884" s="28"/>
    </row>
    <row r="10885">
      <c r="N10885" s="28"/>
      <c r="O10885" s="28"/>
      <c r="U10885" s="28"/>
    </row>
    <row r="10886">
      <c r="N10886" s="28"/>
      <c r="O10886" s="28"/>
      <c r="U10886" s="28"/>
    </row>
    <row r="10887">
      <c r="N10887" s="28"/>
      <c r="O10887" s="28"/>
      <c r="U10887" s="28"/>
    </row>
    <row r="10888">
      <c r="N10888" s="28"/>
      <c r="O10888" s="28"/>
      <c r="U10888" s="28"/>
    </row>
    <row r="10889">
      <c r="N10889" s="28"/>
      <c r="O10889" s="28"/>
      <c r="U10889" s="28"/>
    </row>
    <row r="10890">
      <c r="N10890" s="28"/>
      <c r="O10890" s="28"/>
      <c r="U10890" s="28"/>
    </row>
    <row r="10891">
      <c r="N10891" s="28"/>
      <c r="O10891" s="28"/>
      <c r="U10891" s="28"/>
    </row>
    <row r="10892">
      <c r="N10892" s="28"/>
      <c r="O10892" s="28"/>
      <c r="U10892" s="28"/>
    </row>
    <row r="10893">
      <c r="N10893" s="28"/>
      <c r="O10893" s="28"/>
      <c r="U10893" s="28"/>
    </row>
    <row r="10894">
      <c r="N10894" s="28"/>
      <c r="O10894" s="28"/>
      <c r="U10894" s="28"/>
    </row>
    <row r="10895">
      <c r="N10895" s="28"/>
      <c r="O10895" s="28"/>
      <c r="U10895" s="28"/>
    </row>
    <row r="10896">
      <c r="N10896" s="28"/>
      <c r="O10896" s="28"/>
      <c r="U10896" s="28"/>
    </row>
    <row r="10897">
      <c r="N10897" s="28"/>
      <c r="O10897" s="28"/>
      <c r="U10897" s="28"/>
    </row>
    <row r="10898">
      <c r="N10898" s="28"/>
      <c r="O10898" s="28"/>
      <c r="U10898" s="28"/>
    </row>
    <row r="10899">
      <c r="N10899" s="28"/>
      <c r="O10899" s="28"/>
      <c r="U10899" s="28"/>
    </row>
    <row r="10900">
      <c r="N10900" s="28"/>
      <c r="O10900" s="28"/>
      <c r="U10900" s="28"/>
    </row>
    <row r="10901">
      <c r="N10901" s="28"/>
      <c r="O10901" s="28"/>
      <c r="U10901" s="28"/>
    </row>
    <row r="10902">
      <c r="N10902" s="28"/>
      <c r="O10902" s="28"/>
      <c r="U10902" s="28"/>
    </row>
    <row r="10903">
      <c r="N10903" s="28"/>
      <c r="O10903" s="28"/>
      <c r="U10903" s="28"/>
    </row>
    <row r="10904">
      <c r="N10904" s="28"/>
      <c r="O10904" s="28"/>
      <c r="U10904" s="28"/>
    </row>
    <row r="10905">
      <c r="N10905" s="28"/>
      <c r="O10905" s="28"/>
      <c r="U10905" s="28"/>
    </row>
    <row r="10906">
      <c r="N10906" s="28"/>
      <c r="O10906" s="28"/>
      <c r="U10906" s="28"/>
    </row>
    <row r="10907">
      <c r="N10907" s="28"/>
      <c r="O10907" s="28"/>
      <c r="U10907" s="28"/>
    </row>
    <row r="10908">
      <c r="N10908" s="28"/>
      <c r="O10908" s="28"/>
      <c r="U10908" s="28"/>
    </row>
    <row r="10909">
      <c r="N10909" s="28"/>
      <c r="O10909" s="28"/>
      <c r="U10909" s="28"/>
    </row>
    <row r="10910">
      <c r="N10910" s="28"/>
      <c r="O10910" s="28"/>
      <c r="U10910" s="28"/>
    </row>
    <row r="10911">
      <c r="N10911" s="28"/>
      <c r="O10911" s="28"/>
      <c r="U10911" s="28"/>
    </row>
    <row r="10912">
      <c r="N10912" s="28"/>
      <c r="O10912" s="28"/>
      <c r="U10912" s="28"/>
    </row>
    <row r="10913">
      <c r="N10913" s="28"/>
      <c r="O10913" s="28"/>
      <c r="U10913" s="28"/>
    </row>
    <row r="10914">
      <c r="N10914" s="28"/>
      <c r="O10914" s="28"/>
      <c r="U10914" s="28"/>
    </row>
    <row r="10915">
      <c r="N10915" s="28"/>
      <c r="O10915" s="28"/>
      <c r="U10915" s="28"/>
    </row>
    <row r="10916">
      <c r="N10916" s="28"/>
      <c r="O10916" s="28"/>
      <c r="U10916" s="28"/>
    </row>
    <row r="10917">
      <c r="N10917" s="28"/>
      <c r="O10917" s="28"/>
      <c r="U10917" s="28"/>
    </row>
    <row r="10918">
      <c r="N10918" s="28"/>
      <c r="O10918" s="28"/>
      <c r="U10918" s="28"/>
    </row>
    <row r="10919">
      <c r="N10919" s="28"/>
      <c r="O10919" s="28"/>
      <c r="U10919" s="28"/>
    </row>
    <row r="10920">
      <c r="N10920" s="28"/>
      <c r="O10920" s="28"/>
      <c r="U10920" s="28"/>
    </row>
    <row r="10921">
      <c r="N10921" s="28"/>
      <c r="O10921" s="28"/>
      <c r="U10921" s="28"/>
    </row>
    <row r="10922">
      <c r="N10922" s="28"/>
      <c r="O10922" s="28"/>
      <c r="U10922" s="28"/>
    </row>
    <row r="10923">
      <c r="N10923" s="28"/>
      <c r="O10923" s="28"/>
      <c r="U10923" s="28"/>
    </row>
    <row r="10924">
      <c r="N10924" s="28"/>
      <c r="O10924" s="28"/>
      <c r="U10924" s="28"/>
    </row>
    <row r="10925">
      <c r="N10925" s="28"/>
      <c r="O10925" s="28"/>
      <c r="U10925" s="28"/>
    </row>
    <row r="10926">
      <c r="N10926" s="28"/>
      <c r="O10926" s="28"/>
      <c r="U10926" s="28"/>
    </row>
    <row r="10927">
      <c r="N10927" s="28"/>
      <c r="O10927" s="28"/>
      <c r="U10927" s="28"/>
    </row>
    <row r="10928">
      <c r="N10928" s="28"/>
      <c r="O10928" s="28"/>
      <c r="U10928" s="28"/>
    </row>
    <row r="10929">
      <c r="N10929" s="28"/>
      <c r="O10929" s="28"/>
      <c r="U10929" s="28"/>
    </row>
    <row r="10930">
      <c r="N10930" s="28"/>
      <c r="O10930" s="28"/>
      <c r="U10930" s="28"/>
    </row>
    <row r="10931">
      <c r="N10931" s="28"/>
      <c r="O10931" s="28"/>
      <c r="U10931" s="28"/>
    </row>
    <row r="10932">
      <c r="N10932" s="28"/>
      <c r="O10932" s="28"/>
      <c r="U10932" s="28"/>
    </row>
    <row r="10933">
      <c r="N10933" s="28"/>
      <c r="O10933" s="28"/>
      <c r="U10933" s="28"/>
    </row>
    <row r="10934">
      <c r="N10934" s="28"/>
      <c r="O10934" s="28"/>
      <c r="U10934" s="28"/>
    </row>
    <row r="10935">
      <c r="N10935" s="28"/>
      <c r="O10935" s="28"/>
      <c r="U10935" s="28"/>
    </row>
    <row r="10936">
      <c r="N10936" s="28"/>
      <c r="O10936" s="28"/>
      <c r="U10936" s="28"/>
    </row>
    <row r="10937">
      <c r="N10937" s="28"/>
      <c r="O10937" s="28"/>
      <c r="U10937" s="28"/>
    </row>
    <row r="10938">
      <c r="N10938" s="28"/>
      <c r="O10938" s="28"/>
      <c r="U10938" s="28"/>
    </row>
    <row r="10939">
      <c r="N10939" s="28"/>
      <c r="O10939" s="28"/>
      <c r="U10939" s="28"/>
    </row>
    <row r="10940">
      <c r="N10940" s="28"/>
      <c r="O10940" s="28"/>
      <c r="U10940" s="28"/>
    </row>
    <row r="10941">
      <c r="N10941" s="28"/>
      <c r="O10941" s="28"/>
      <c r="U10941" s="28"/>
    </row>
    <row r="10942">
      <c r="N10942" s="28"/>
      <c r="O10942" s="28"/>
      <c r="U10942" s="28"/>
    </row>
    <row r="10943">
      <c r="N10943" s="28"/>
      <c r="O10943" s="28"/>
      <c r="U10943" s="28"/>
    </row>
    <row r="10944">
      <c r="N10944" s="28"/>
      <c r="O10944" s="28"/>
      <c r="U10944" s="28"/>
    </row>
    <row r="10945">
      <c r="N10945" s="28"/>
      <c r="O10945" s="28"/>
      <c r="U10945" s="28"/>
    </row>
    <row r="10946">
      <c r="N10946" s="28"/>
      <c r="O10946" s="28"/>
      <c r="U10946" s="28"/>
    </row>
    <row r="10947">
      <c r="N10947" s="28"/>
      <c r="O10947" s="28"/>
      <c r="U10947" s="28"/>
    </row>
    <row r="10948">
      <c r="N10948" s="28"/>
      <c r="O10948" s="28"/>
      <c r="U10948" s="28"/>
    </row>
    <row r="10949">
      <c r="N10949" s="28"/>
      <c r="O10949" s="28"/>
      <c r="U10949" s="28"/>
    </row>
    <row r="10950">
      <c r="N10950" s="28"/>
      <c r="O10950" s="28"/>
      <c r="U10950" s="28"/>
    </row>
    <row r="10951">
      <c r="N10951" s="28"/>
      <c r="O10951" s="28"/>
      <c r="U10951" s="28"/>
    </row>
    <row r="10952">
      <c r="N10952" s="28"/>
      <c r="O10952" s="28"/>
      <c r="U10952" s="28"/>
    </row>
    <row r="10953">
      <c r="N10953" s="28"/>
      <c r="O10953" s="28"/>
      <c r="U10953" s="28"/>
    </row>
    <row r="10954">
      <c r="N10954" s="28"/>
      <c r="O10954" s="28"/>
      <c r="U10954" s="28"/>
    </row>
    <row r="10955">
      <c r="N10955" s="28"/>
      <c r="O10955" s="28"/>
      <c r="U10955" s="28"/>
    </row>
    <row r="10956">
      <c r="N10956" s="28"/>
      <c r="O10956" s="28"/>
      <c r="U10956" s="28"/>
    </row>
    <row r="10957">
      <c r="N10957" s="28"/>
      <c r="O10957" s="28"/>
      <c r="U10957" s="28"/>
    </row>
    <row r="10958">
      <c r="N10958" s="28"/>
      <c r="O10958" s="28"/>
      <c r="U10958" s="28"/>
    </row>
    <row r="10959">
      <c r="N10959" s="28"/>
      <c r="O10959" s="28"/>
      <c r="U10959" s="28"/>
    </row>
    <row r="10960">
      <c r="N10960" s="28"/>
      <c r="O10960" s="28"/>
      <c r="U10960" s="28"/>
    </row>
    <row r="10961">
      <c r="N10961" s="28"/>
      <c r="O10961" s="28"/>
      <c r="U10961" s="28"/>
    </row>
    <row r="10962">
      <c r="N10962" s="28"/>
      <c r="O10962" s="28"/>
      <c r="U10962" s="28"/>
    </row>
    <row r="10963">
      <c r="N10963" s="28"/>
      <c r="O10963" s="28"/>
      <c r="U10963" s="28"/>
    </row>
    <row r="10964">
      <c r="N10964" s="28"/>
      <c r="O10964" s="28"/>
      <c r="U10964" s="28"/>
    </row>
    <row r="10965">
      <c r="N10965" s="28"/>
      <c r="O10965" s="28"/>
      <c r="U10965" s="28"/>
    </row>
    <row r="10966">
      <c r="N10966" s="28"/>
      <c r="O10966" s="28"/>
      <c r="U10966" s="28"/>
    </row>
    <row r="10967">
      <c r="N10967" s="28"/>
      <c r="O10967" s="28"/>
      <c r="U10967" s="28"/>
    </row>
    <row r="10968">
      <c r="N10968" s="28"/>
      <c r="O10968" s="28"/>
      <c r="U10968" s="28"/>
    </row>
    <row r="10969">
      <c r="N10969" s="28"/>
      <c r="O10969" s="28"/>
      <c r="U10969" s="28"/>
    </row>
    <row r="10970">
      <c r="N10970" s="28"/>
      <c r="O10970" s="28"/>
      <c r="U10970" s="28"/>
    </row>
    <row r="10971">
      <c r="N10971" s="28"/>
      <c r="O10971" s="28"/>
      <c r="U10971" s="28"/>
    </row>
    <row r="10972">
      <c r="N10972" s="28"/>
      <c r="O10972" s="28"/>
      <c r="U10972" s="28"/>
    </row>
    <row r="10973">
      <c r="N10973" s="28"/>
      <c r="O10973" s="28"/>
      <c r="U10973" s="28"/>
    </row>
    <row r="10974">
      <c r="N10974" s="28"/>
      <c r="O10974" s="28"/>
      <c r="U10974" s="28"/>
    </row>
    <row r="10975">
      <c r="N10975" s="28"/>
      <c r="O10975" s="28"/>
      <c r="U10975" s="28"/>
    </row>
    <row r="10976">
      <c r="N10976" s="28"/>
      <c r="O10976" s="28"/>
      <c r="U10976" s="28"/>
    </row>
    <row r="10977">
      <c r="N10977" s="28"/>
      <c r="O10977" s="28"/>
      <c r="U10977" s="28"/>
    </row>
    <row r="10978">
      <c r="N10978" s="28"/>
      <c r="O10978" s="28"/>
      <c r="U10978" s="28"/>
    </row>
    <row r="10979">
      <c r="N10979" s="28"/>
      <c r="O10979" s="28"/>
      <c r="U10979" s="28"/>
    </row>
    <row r="10980">
      <c r="N10980" s="28"/>
      <c r="O10980" s="28"/>
      <c r="U10980" s="28"/>
    </row>
    <row r="10981">
      <c r="N10981" s="28"/>
      <c r="O10981" s="28"/>
      <c r="U10981" s="28"/>
    </row>
    <row r="10982">
      <c r="N10982" s="28"/>
      <c r="O10982" s="28"/>
      <c r="U10982" s="28"/>
    </row>
    <row r="10983">
      <c r="N10983" s="28"/>
      <c r="O10983" s="28"/>
      <c r="U10983" s="28"/>
    </row>
    <row r="10984">
      <c r="N10984" s="28"/>
      <c r="O10984" s="28"/>
      <c r="U10984" s="28"/>
    </row>
    <row r="10985">
      <c r="N10985" s="28"/>
      <c r="O10985" s="28"/>
      <c r="U10985" s="28"/>
    </row>
    <row r="10986">
      <c r="N10986" s="28"/>
      <c r="O10986" s="28"/>
      <c r="U10986" s="28"/>
    </row>
    <row r="10987">
      <c r="N10987" s="28"/>
      <c r="O10987" s="28"/>
      <c r="U10987" s="28"/>
    </row>
    <row r="10988">
      <c r="N10988" s="28"/>
      <c r="O10988" s="28"/>
      <c r="U10988" s="28"/>
    </row>
    <row r="10989">
      <c r="N10989" s="28"/>
      <c r="O10989" s="28"/>
      <c r="U10989" s="28"/>
    </row>
    <row r="10990">
      <c r="N10990" s="28"/>
      <c r="O10990" s="28"/>
      <c r="U10990" s="28"/>
    </row>
    <row r="10991">
      <c r="N10991" s="28"/>
      <c r="O10991" s="28"/>
      <c r="U10991" s="28"/>
    </row>
    <row r="10992">
      <c r="N10992" s="28"/>
      <c r="O10992" s="28"/>
      <c r="U10992" s="28"/>
    </row>
    <row r="10993">
      <c r="N10993" s="28"/>
      <c r="O10993" s="28"/>
      <c r="U10993" s="28"/>
    </row>
    <row r="10994">
      <c r="N10994" s="28"/>
      <c r="O10994" s="28"/>
      <c r="U10994" s="28"/>
    </row>
    <row r="10995">
      <c r="N10995" s="28"/>
      <c r="O10995" s="28"/>
      <c r="U10995" s="28"/>
    </row>
    <row r="10996">
      <c r="N10996" s="28"/>
      <c r="O10996" s="28"/>
      <c r="U10996" s="28"/>
    </row>
    <row r="10997">
      <c r="N10997" s="28"/>
      <c r="O10997" s="28"/>
      <c r="U10997" s="28"/>
    </row>
    <row r="10998">
      <c r="N10998" s="28"/>
      <c r="O10998" s="28"/>
      <c r="U10998" s="28"/>
    </row>
    <row r="10999">
      <c r="N10999" s="28"/>
      <c r="O10999" s="28"/>
      <c r="U10999" s="28"/>
    </row>
    <row r="11000">
      <c r="N11000" s="28"/>
      <c r="O11000" s="28"/>
      <c r="U11000" s="28"/>
    </row>
    <row r="11001">
      <c r="N11001" s="28"/>
      <c r="O11001" s="28"/>
      <c r="U11001" s="28"/>
    </row>
    <row r="11002">
      <c r="N11002" s="28"/>
      <c r="O11002" s="28"/>
      <c r="U11002" s="28"/>
    </row>
    <row r="11003">
      <c r="N11003" s="28"/>
      <c r="O11003" s="28"/>
      <c r="U11003" s="28"/>
    </row>
    <row r="11004">
      <c r="N11004" s="28"/>
      <c r="O11004" s="28"/>
      <c r="U11004" s="28"/>
    </row>
    <row r="11005">
      <c r="N11005" s="28"/>
      <c r="O11005" s="28"/>
      <c r="U11005" s="28"/>
    </row>
    <row r="11006">
      <c r="N11006" s="28"/>
      <c r="O11006" s="28"/>
      <c r="U11006" s="28"/>
    </row>
    <row r="11007">
      <c r="N11007" s="28"/>
      <c r="O11007" s="28"/>
      <c r="U11007" s="28"/>
    </row>
    <row r="11008">
      <c r="N11008" s="28"/>
      <c r="O11008" s="28"/>
      <c r="U11008" s="28"/>
    </row>
    <row r="11009">
      <c r="N11009" s="28"/>
      <c r="O11009" s="28"/>
      <c r="U11009" s="28"/>
    </row>
    <row r="11010">
      <c r="N11010" s="28"/>
      <c r="O11010" s="28"/>
      <c r="U11010" s="28"/>
    </row>
    <row r="11011">
      <c r="N11011" s="28"/>
      <c r="O11011" s="28"/>
      <c r="U11011" s="28"/>
    </row>
    <row r="11012">
      <c r="N11012" s="28"/>
      <c r="O11012" s="28"/>
      <c r="U11012" s="28"/>
    </row>
    <row r="11013">
      <c r="N11013" s="28"/>
      <c r="O11013" s="28"/>
      <c r="U11013" s="28"/>
    </row>
    <row r="11014">
      <c r="N11014" s="28"/>
      <c r="O11014" s="28"/>
      <c r="U11014" s="28"/>
    </row>
    <row r="11015">
      <c r="N11015" s="28"/>
      <c r="O11015" s="28"/>
      <c r="U11015" s="28"/>
    </row>
    <row r="11016">
      <c r="N11016" s="28"/>
      <c r="O11016" s="28"/>
      <c r="U11016" s="28"/>
    </row>
    <row r="11017">
      <c r="N11017" s="28"/>
      <c r="O11017" s="28"/>
      <c r="U11017" s="28"/>
    </row>
    <row r="11018">
      <c r="N11018" s="28"/>
      <c r="O11018" s="28"/>
      <c r="U11018" s="28"/>
    </row>
    <row r="11019">
      <c r="N11019" s="28"/>
      <c r="O11019" s="28"/>
      <c r="U11019" s="28"/>
    </row>
    <row r="11020">
      <c r="N11020" s="28"/>
      <c r="O11020" s="28"/>
      <c r="U11020" s="28"/>
    </row>
    <row r="11021">
      <c r="N11021" s="28"/>
      <c r="O11021" s="28"/>
      <c r="U11021" s="28"/>
    </row>
    <row r="11022">
      <c r="N11022" s="28"/>
      <c r="O11022" s="28"/>
      <c r="U11022" s="28"/>
    </row>
    <row r="11023">
      <c r="N11023" s="28"/>
      <c r="O11023" s="28"/>
      <c r="U11023" s="28"/>
    </row>
    <row r="11024">
      <c r="N11024" s="28"/>
      <c r="O11024" s="28"/>
      <c r="U11024" s="28"/>
    </row>
    <row r="11025">
      <c r="N11025" s="28"/>
      <c r="O11025" s="28"/>
      <c r="U11025" s="28"/>
    </row>
    <row r="11026">
      <c r="N11026" s="28"/>
      <c r="O11026" s="28"/>
      <c r="U11026" s="28"/>
    </row>
    <row r="11027">
      <c r="N11027" s="28"/>
      <c r="O11027" s="28"/>
      <c r="U11027" s="28"/>
    </row>
    <row r="11028">
      <c r="N11028" s="28"/>
      <c r="O11028" s="28"/>
      <c r="U11028" s="28"/>
    </row>
    <row r="11029">
      <c r="N11029" s="28"/>
      <c r="O11029" s="28"/>
      <c r="U11029" s="28"/>
    </row>
    <row r="11030">
      <c r="N11030" s="28"/>
      <c r="O11030" s="28"/>
      <c r="U11030" s="28"/>
    </row>
    <row r="11031">
      <c r="N11031" s="28"/>
      <c r="O11031" s="28"/>
      <c r="U11031" s="28"/>
    </row>
    <row r="11032">
      <c r="N11032" s="28"/>
      <c r="O11032" s="28"/>
      <c r="U11032" s="28"/>
    </row>
    <row r="11033">
      <c r="N11033" s="28"/>
      <c r="O11033" s="28"/>
      <c r="U11033" s="28"/>
    </row>
    <row r="11034">
      <c r="N11034" s="28"/>
      <c r="O11034" s="28"/>
      <c r="U11034" s="28"/>
    </row>
    <row r="11035">
      <c r="N11035" s="28"/>
      <c r="O11035" s="28"/>
      <c r="U11035" s="28"/>
    </row>
    <row r="11036">
      <c r="N11036" s="28"/>
      <c r="O11036" s="28"/>
      <c r="U11036" s="28"/>
    </row>
    <row r="11037">
      <c r="N11037" s="28"/>
      <c r="O11037" s="28"/>
      <c r="U11037" s="28"/>
    </row>
    <row r="11038">
      <c r="N11038" s="28"/>
      <c r="O11038" s="28"/>
      <c r="U11038" s="28"/>
    </row>
    <row r="11039">
      <c r="N11039" s="28"/>
      <c r="O11039" s="28"/>
      <c r="U11039" s="28"/>
    </row>
    <row r="11040">
      <c r="N11040" s="28"/>
      <c r="O11040" s="28"/>
      <c r="U11040" s="28"/>
    </row>
    <row r="11041">
      <c r="N11041" s="28"/>
      <c r="O11041" s="28"/>
      <c r="U11041" s="28"/>
    </row>
    <row r="11042">
      <c r="N11042" s="28"/>
      <c r="O11042" s="28"/>
      <c r="U11042" s="28"/>
    </row>
    <row r="11043">
      <c r="N11043" s="28"/>
      <c r="O11043" s="28"/>
      <c r="U11043" s="28"/>
    </row>
    <row r="11044">
      <c r="N11044" s="28"/>
      <c r="O11044" s="28"/>
      <c r="U11044" s="28"/>
    </row>
    <row r="11045">
      <c r="N11045" s="28"/>
      <c r="O11045" s="28"/>
      <c r="U11045" s="28"/>
    </row>
    <row r="11046">
      <c r="N11046" s="28"/>
      <c r="O11046" s="28"/>
      <c r="U11046" s="28"/>
    </row>
    <row r="11047">
      <c r="N11047" s="28"/>
      <c r="O11047" s="28"/>
      <c r="U11047" s="28"/>
    </row>
    <row r="11048">
      <c r="N11048" s="28"/>
      <c r="O11048" s="28"/>
      <c r="U11048" s="28"/>
    </row>
    <row r="11049">
      <c r="N11049" s="28"/>
      <c r="O11049" s="28"/>
      <c r="U11049" s="28"/>
    </row>
    <row r="11050">
      <c r="N11050" s="28"/>
      <c r="O11050" s="28"/>
      <c r="U11050" s="28"/>
    </row>
    <row r="11051">
      <c r="N11051" s="28"/>
      <c r="O11051" s="28"/>
      <c r="U11051" s="28"/>
    </row>
    <row r="11052">
      <c r="N11052" s="28"/>
      <c r="O11052" s="28"/>
      <c r="U11052" s="28"/>
    </row>
    <row r="11053">
      <c r="N11053" s="28"/>
      <c r="O11053" s="28"/>
      <c r="U11053" s="28"/>
    </row>
    <row r="11054">
      <c r="N11054" s="28"/>
      <c r="O11054" s="28"/>
      <c r="U11054" s="28"/>
    </row>
    <row r="11055">
      <c r="N11055" s="28"/>
      <c r="O11055" s="28"/>
      <c r="U11055" s="28"/>
    </row>
    <row r="11056">
      <c r="N11056" s="28"/>
      <c r="O11056" s="28"/>
      <c r="U11056" s="28"/>
    </row>
    <row r="11057">
      <c r="N11057" s="28"/>
      <c r="O11057" s="28"/>
      <c r="U11057" s="28"/>
    </row>
    <row r="11058">
      <c r="N11058" s="28"/>
      <c r="O11058" s="28"/>
      <c r="U11058" s="28"/>
    </row>
    <row r="11059">
      <c r="N11059" s="28"/>
      <c r="O11059" s="28"/>
      <c r="U11059" s="28"/>
    </row>
    <row r="11060">
      <c r="N11060" s="28"/>
      <c r="O11060" s="28"/>
      <c r="U11060" s="28"/>
    </row>
    <row r="11061">
      <c r="N11061" s="28"/>
      <c r="O11061" s="28"/>
      <c r="U11061" s="28"/>
    </row>
    <row r="11062">
      <c r="N11062" s="28"/>
      <c r="O11062" s="28"/>
      <c r="U11062" s="28"/>
    </row>
    <row r="11063">
      <c r="N11063" s="28"/>
      <c r="O11063" s="28"/>
      <c r="U11063" s="28"/>
    </row>
    <row r="11064">
      <c r="N11064" s="28"/>
      <c r="O11064" s="28"/>
      <c r="U11064" s="28"/>
    </row>
    <row r="11065">
      <c r="N11065" s="28"/>
      <c r="O11065" s="28"/>
      <c r="U11065" s="28"/>
    </row>
    <row r="11066">
      <c r="N11066" s="28"/>
      <c r="O11066" s="28"/>
      <c r="U11066" s="28"/>
    </row>
    <row r="11067">
      <c r="N11067" s="28"/>
      <c r="O11067" s="28"/>
      <c r="U11067" s="28"/>
    </row>
    <row r="11068">
      <c r="N11068" s="28"/>
      <c r="O11068" s="28"/>
      <c r="U11068" s="28"/>
    </row>
    <row r="11069">
      <c r="N11069" s="28"/>
      <c r="O11069" s="28"/>
      <c r="U11069" s="28"/>
    </row>
    <row r="11070">
      <c r="N11070" s="28"/>
      <c r="O11070" s="28"/>
      <c r="U11070" s="28"/>
    </row>
    <row r="11071">
      <c r="N11071" s="28"/>
      <c r="O11071" s="28"/>
      <c r="U11071" s="28"/>
    </row>
    <row r="11072">
      <c r="N11072" s="28"/>
      <c r="O11072" s="28"/>
      <c r="U11072" s="28"/>
    </row>
    <row r="11073">
      <c r="N11073" s="28"/>
      <c r="O11073" s="28"/>
      <c r="U11073" s="28"/>
    </row>
    <row r="11074">
      <c r="N11074" s="28"/>
      <c r="O11074" s="28"/>
      <c r="U11074" s="28"/>
    </row>
    <row r="11075">
      <c r="N11075" s="28"/>
      <c r="O11075" s="28"/>
      <c r="U11075" s="28"/>
    </row>
    <row r="11076">
      <c r="N11076" s="28"/>
      <c r="O11076" s="28"/>
      <c r="U11076" s="28"/>
    </row>
    <row r="11077">
      <c r="N11077" s="28"/>
      <c r="O11077" s="28"/>
      <c r="U11077" s="28"/>
    </row>
    <row r="11078">
      <c r="N11078" s="28"/>
      <c r="O11078" s="28"/>
      <c r="U11078" s="28"/>
    </row>
    <row r="11079">
      <c r="N11079" s="28"/>
      <c r="O11079" s="28"/>
      <c r="U11079" s="28"/>
    </row>
    <row r="11080">
      <c r="N11080" s="28"/>
      <c r="O11080" s="28"/>
      <c r="U11080" s="28"/>
    </row>
    <row r="11081">
      <c r="N11081" s="28"/>
      <c r="O11081" s="28"/>
      <c r="U11081" s="28"/>
    </row>
    <row r="11082">
      <c r="N11082" s="28"/>
      <c r="O11082" s="28"/>
      <c r="U11082" s="28"/>
    </row>
    <row r="11083">
      <c r="N11083" s="28"/>
      <c r="O11083" s="28"/>
      <c r="U11083" s="28"/>
    </row>
    <row r="11084">
      <c r="N11084" s="28"/>
      <c r="O11084" s="28"/>
      <c r="U11084" s="28"/>
    </row>
    <row r="11085">
      <c r="N11085" s="28"/>
      <c r="O11085" s="28"/>
      <c r="U11085" s="28"/>
    </row>
    <row r="11086">
      <c r="N11086" s="28"/>
      <c r="O11086" s="28"/>
      <c r="U11086" s="28"/>
    </row>
    <row r="11087">
      <c r="N11087" s="28"/>
      <c r="O11087" s="28"/>
      <c r="U11087" s="28"/>
    </row>
    <row r="11088">
      <c r="N11088" s="28"/>
      <c r="O11088" s="28"/>
      <c r="U11088" s="28"/>
    </row>
    <row r="11089">
      <c r="N11089" s="28"/>
      <c r="O11089" s="28"/>
      <c r="U11089" s="28"/>
    </row>
    <row r="11090">
      <c r="N11090" s="28"/>
      <c r="O11090" s="28"/>
      <c r="U11090" s="28"/>
    </row>
    <row r="11091">
      <c r="N11091" s="28"/>
      <c r="O11091" s="28"/>
      <c r="U11091" s="28"/>
    </row>
    <row r="11092">
      <c r="N11092" s="28"/>
      <c r="O11092" s="28"/>
      <c r="U11092" s="28"/>
    </row>
    <row r="11093">
      <c r="N11093" s="28"/>
      <c r="O11093" s="28"/>
      <c r="U11093" s="28"/>
    </row>
    <row r="11094">
      <c r="N11094" s="28"/>
      <c r="O11094" s="28"/>
      <c r="U11094" s="28"/>
    </row>
    <row r="11095">
      <c r="N11095" s="28"/>
      <c r="O11095" s="28"/>
      <c r="U11095" s="28"/>
    </row>
    <row r="11096">
      <c r="N11096" s="28"/>
      <c r="O11096" s="28"/>
      <c r="U11096" s="28"/>
    </row>
    <row r="11097">
      <c r="N11097" s="28"/>
      <c r="O11097" s="28"/>
      <c r="U11097" s="28"/>
    </row>
    <row r="11098">
      <c r="N11098" s="28"/>
      <c r="O11098" s="28"/>
      <c r="U11098" s="28"/>
    </row>
    <row r="11099">
      <c r="N11099" s="28"/>
      <c r="O11099" s="28"/>
      <c r="U11099" s="28"/>
    </row>
    <row r="11100">
      <c r="N11100" s="28"/>
      <c r="O11100" s="28"/>
      <c r="U11100" s="28"/>
    </row>
    <row r="11101">
      <c r="N11101" s="28"/>
      <c r="O11101" s="28"/>
      <c r="U11101" s="28"/>
    </row>
    <row r="11102">
      <c r="N11102" s="28"/>
      <c r="O11102" s="28"/>
      <c r="U11102" s="28"/>
    </row>
    <row r="11103">
      <c r="N11103" s="28"/>
      <c r="O11103" s="28"/>
      <c r="U11103" s="28"/>
    </row>
    <row r="11104">
      <c r="N11104" s="28"/>
      <c r="O11104" s="28"/>
      <c r="U11104" s="28"/>
    </row>
    <row r="11105">
      <c r="N11105" s="28"/>
      <c r="O11105" s="28"/>
      <c r="U11105" s="28"/>
    </row>
    <row r="11106">
      <c r="N11106" s="28"/>
      <c r="O11106" s="28"/>
      <c r="U11106" s="28"/>
    </row>
    <row r="11107">
      <c r="N11107" s="28"/>
      <c r="O11107" s="28"/>
      <c r="U11107" s="28"/>
    </row>
    <row r="11108">
      <c r="N11108" s="28"/>
      <c r="O11108" s="28"/>
      <c r="U11108" s="28"/>
    </row>
    <row r="11109">
      <c r="N11109" s="28"/>
      <c r="O11109" s="28"/>
      <c r="U11109" s="28"/>
    </row>
    <row r="11110">
      <c r="N11110" s="28"/>
      <c r="O11110" s="28"/>
      <c r="U11110" s="28"/>
    </row>
    <row r="11111">
      <c r="N11111" s="28"/>
      <c r="O11111" s="28"/>
      <c r="U11111" s="28"/>
    </row>
    <row r="11112">
      <c r="N11112" s="28"/>
      <c r="O11112" s="28"/>
      <c r="U11112" s="28"/>
    </row>
    <row r="11113">
      <c r="N11113" s="28"/>
      <c r="O11113" s="28"/>
      <c r="U11113" s="28"/>
    </row>
    <row r="11114">
      <c r="N11114" s="28"/>
      <c r="O11114" s="28"/>
      <c r="U11114" s="28"/>
    </row>
    <row r="11115">
      <c r="N11115" s="28"/>
      <c r="O11115" s="28"/>
      <c r="U11115" s="28"/>
    </row>
    <row r="11116">
      <c r="N11116" s="28"/>
      <c r="O11116" s="28"/>
      <c r="U11116" s="28"/>
    </row>
    <row r="11117">
      <c r="N11117" s="28"/>
      <c r="O11117" s="28"/>
      <c r="U11117" s="28"/>
    </row>
    <row r="11118">
      <c r="N11118" s="28"/>
      <c r="O11118" s="28"/>
      <c r="U11118" s="28"/>
    </row>
    <row r="11119">
      <c r="N11119" s="28"/>
      <c r="O11119" s="28"/>
      <c r="U11119" s="28"/>
    </row>
    <row r="11120">
      <c r="N11120" s="28"/>
      <c r="O11120" s="28"/>
      <c r="U11120" s="28"/>
    </row>
    <row r="11121">
      <c r="N11121" s="28"/>
      <c r="O11121" s="28"/>
      <c r="U11121" s="28"/>
    </row>
    <row r="11122">
      <c r="N11122" s="28"/>
      <c r="O11122" s="28"/>
      <c r="U11122" s="28"/>
    </row>
    <row r="11123">
      <c r="N11123" s="28"/>
      <c r="O11123" s="28"/>
      <c r="U11123" s="28"/>
    </row>
    <row r="11124">
      <c r="N11124" s="28"/>
      <c r="O11124" s="28"/>
      <c r="U11124" s="28"/>
    </row>
    <row r="11125">
      <c r="N11125" s="28"/>
      <c r="O11125" s="28"/>
      <c r="U11125" s="28"/>
    </row>
    <row r="11126">
      <c r="N11126" s="28"/>
      <c r="O11126" s="28"/>
      <c r="U11126" s="28"/>
    </row>
    <row r="11127">
      <c r="N11127" s="28"/>
      <c r="O11127" s="28"/>
      <c r="U11127" s="28"/>
    </row>
    <row r="11128">
      <c r="N11128" s="28"/>
      <c r="O11128" s="28"/>
      <c r="U11128" s="28"/>
    </row>
    <row r="11129">
      <c r="N11129" s="28"/>
      <c r="O11129" s="28"/>
      <c r="U11129" s="28"/>
    </row>
    <row r="11130">
      <c r="N11130" s="28"/>
      <c r="O11130" s="28"/>
      <c r="U11130" s="28"/>
    </row>
    <row r="11131">
      <c r="N11131" s="28"/>
      <c r="O11131" s="28"/>
      <c r="U11131" s="28"/>
    </row>
    <row r="11132">
      <c r="N11132" s="28"/>
      <c r="O11132" s="28"/>
      <c r="U11132" s="28"/>
    </row>
    <row r="11133">
      <c r="N11133" s="28"/>
      <c r="O11133" s="28"/>
      <c r="U11133" s="28"/>
    </row>
    <row r="11134">
      <c r="N11134" s="28"/>
      <c r="O11134" s="28"/>
      <c r="U11134" s="28"/>
    </row>
    <row r="11135">
      <c r="N11135" s="28"/>
      <c r="O11135" s="28"/>
      <c r="U11135" s="28"/>
    </row>
    <row r="11136">
      <c r="N11136" s="28"/>
      <c r="O11136" s="28"/>
      <c r="U11136" s="28"/>
    </row>
    <row r="11137">
      <c r="N11137" s="28"/>
      <c r="O11137" s="28"/>
      <c r="U11137" s="28"/>
    </row>
    <row r="11138">
      <c r="N11138" s="28"/>
      <c r="O11138" s="28"/>
      <c r="U11138" s="28"/>
    </row>
    <row r="11139">
      <c r="N11139" s="28"/>
      <c r="O11139" s="28"/>
      <c r="U11139" s="28"/>
    </row>
    <row r="11140">
      <c r="N11140" s="28"/>
      <c r="O11140" s="28"/>
      <c r="U11140" s="28"/>
    </row>
    <row r="11141">
      <c r="N11141" s="28"/>
      <c r="O11141" s="28"/>
      <c r="U11141" s="28"/>
    </row>
    <row r="11142">
      <c r="N11142" s="28"/>
      <c r="O11142" s="28"/>
      <c r="U11142" s="28"/>
    </row>
    <row r="11143">
      <c r="N11143" s="28"/>
      <c r="O11143" s="28"/>
      <c r="U11143" s="28"/>
    </row>
    <row r="11144">
      <c r="N11144" s="28"/>
      <c r="O11144" s="28"/>
      <c r="U11144" s="28"/>
    </row>
    <row r="11145">
      <c r="N11145" s="28"/>
      <c r="O11145" s="28"/>
      <c r="U11145" s="28"/>
    </row>
    <row r="11146">
      <c r="N11146" s="28"/>
      <c r="O11146" s="28"/>
      <c r="U11146" s="28"/>
    </row>
    <row r="11147">
      <c r="N11147" s="28"/>
      <c r="O11147" s="28"/>
      <c r="U11147" s="28"/>
    </row>
    <row r="11148">
      <c r="N11148" s="28"/>
      <c r="O11148" s="28"/>
      <c r="U11148" s="28"/>
    </row>
    <row r="11149">
      <c r="N11149" s="28"/>
      <c r="O11149" s="28"/>
      <c r="U11149" s="28"/>
    </row>
    <row r="11150">
      <c r="N11150" s="28"/>
      <c r="O11150" s="28"/>
      <c r="U11150" s="28"/>
    </row>
    <row r="11151">
      <c r="N11151" s="28"/>
      <c r="O11151" s="28"/>
      <c r="U11151" s="28"/>
    </row>
    <row r="11152">
      <c r="N11152" s="28"/>
      <c r="O11152" s="28"/>
      <c r="U11152" s="28"/>
    </row>
    <row r="11153">
      <c r="N11153" s="28"/>
      <c r="O11153" s="28"/>
      <c r="U11153" s="28"/>
    </row>
    <row r="11154">
      <c r="N11154" s="28"/>
      <c r="O11154" s="28"/>
      <c r="U11154" s="28"/>
    </row>
    <row r="11155">
      <c r="N11155" s="28"/>
      <c r="O11155" s="28"/>
      <c r="U11155" s="28"/>
    </row>
    <row r="11156">
      <c r="N11156" s="28"/>
      <c r="O11156" s="28"/>
      <c r="U11156" s="28"/>
    </row>
    <row r="11157">
      <c r="N11157" s="28"/>
      <c r="O11157" s="28"/>
      <c r="U11157" s="28"/>
    </row>
    <row r="11158">
      <c r="N11158" s="28"/>
      <c r="O11158" s="28"/>
      <c r="U11158" s="28"/>
    </row>
    <row r="11159">
      <c r="N11159" s="28"/>
      <c r="O11159" s="28"/>
      <c r="U11159" s="28"/>
    </row>
    <row r="11160">
      <c r="N11160" s="28"/>
      <c r="O11160" s="28"/>
      <c r="U11160" s="28"/>
    </row>
    <row r="11161">
      <c r="N11161" s="28"/>
      <c r="O11161" s="28"/>
      <c r="U11161" s="28"/>
    </row>
    <row r="11162">
      <c r="N11162" s="28"/>
      <c r="O11162" s="28"/>
      <c r="U11162" s="28"/>
    </row>
    <row r="11163">
      <c r="N11163" s="28"/>
      <c r="O11163" s="28"/>
      <c r="U11163" s="28"/>
    </row>
    <row r="11164">
      <c r="N11164" s="28"/>
      <c r="O11164" s="28"/>
      <c r="U11164" s="28"/>
    </row>
    <row r="11165">
      <c r="N11165" s="28"/>
      <c r="O11165" s="28"/>
      <c r="U11165" s="28"/>
    </row>
    <row r="11166">
      <c r="N11166" s="28"/>
      <c r="O11166" s="28"/>
      <c r="U11166" s="28"/>
    </row>
    <row r="11167">
      <c r="N11167" s="28"/>
      <c r="O11167" s="28"/>
      <c r="U11167" s="28"/>
    </row>
    <row r="11168">
      <c r="N11168" s="28"/>
      <c r="O11168" s="28"/>
      <c r="U11168" s="28"/>
    </row>
    <row r="11169">
      <c r="N11169" s="28"/>
      <c r="O11169" s="28"/>
      <c r="U11169" s="28"/>
    </row>
    <row r="11170">
      <c r="N11170" s="28"/>
      <c r="O11170" s="28"/>
      <c r="U11170" s="28"/>
    </row>
    <row r="11171">
      <c r="N11171" s="28"/>
      <c r="O11171" s="28"/>
      <c r="U11171" s="28"/>
    </row>
    <row r="11172">
      <c r="N11172" s="28"/>
      <c r="O11172" s="28"/>
      <c r="U11172" s="28"/>
    </row>
    <row r="11173">
      <c r="N11173" s="28"/>
      <c r="O11173" s="28"/>
      <c r="U11173" s="28"/>
    </row>
    <row r="11174">
      <c r="N11174" s="28"/>
      <c r="O11174" s="28"/>
      <c r="U11174" s="28"/>
    </row>
    <row r="11175">
      <c r="N11175" s="28"/>
      <c r="O11175" s="28"/>
      <c r="U11175" s="28"/>
    </row>
    <row r="11176">
      <c r="N11176" s="28"/>
      <c r="O11176" s="28"/>
      <c r="U11176" s="28"/>
    </row>
    <row r="11177">
      <c r="N11177" s="28"/>
      <c r="O11177" s="28"/>
      <c r="U11177" s="28"/>
    </row>
    <row r="11178">
      <c r="N11178" s="28"/>
      <c r="O11178" s="28"/>
      <c r="U11178" s="28"/>
    </row>
    <row r="11179">
      <c r="N11179" s="28"/>
      <c r="O11179" s="28"/>
      <c r="U11179" s="28"/>
    </row>
    <row r="11180">
      <c r="N11180" s="28"/>
      <c r="O11180" s="28"/>
      <c r="U11180" s="28"/>
    </row>
    <row r="11181">
      <c r="N11181" s="28"/>
      <c r="O11181" s="28"/>
      <c r="U11181" s="28"/>
    </row>
    <row r="11182">
      <c r="N11182" s="28"/>
      <c r="O11182" s="28"/>
      <c r="U11182" s="28"/>
    </row>
    <row r="11183">
      <c r="N11183" s="28"/>
      <c r="O11183" s="28"/>
      <c r="U11183" s="28"/>
    </row>
    <row r="11184">
      <c r="N11184" s="28"/>
      <c r="O11184" s="28"/>
      <c r="U11184" s="28"/>
    </row>
    <row r="11185">
      <c r="N11185" s="28"/>
      <c r="O11185" s="28"/>
      <c r="U11185" s="28"/>
    </row>
    <row r="11186">
      <c r="N11186" s="28"/>
      <c r="O11186" s="28"/>
      <c r="U11186" s="28"/>
    </row>
    <row r="11187">
      <c r="N11187" s="28"/>
      <c r="O11187" s="28"/>
      <c r="U11187" s="28"/>
    </row>
    <row r="11188">
      <c r="N11188" s="28"/>
      <c r="O11188" s="28"/>
      <c r="U11188" s="28"/>
    </row>
    <row r="11189">
      <c r="N11189" s="28"/>
      <c r="O11189" s="28"/>
      <c r="U11189" s="28"/>
    </row>
    <row r="11190">
      <c r="N11190" s="28"/>
      <c r="O11190" s="28"/>
      <c r="U11190" s="28"/>
    </row>
    <row r="11191">
      <c r="N11191" s="28"/>
      <c r="O11191" s="28"/>
      <c r="U11191" s="28"/>
    </row>
    <row r="11192">
      <c r="N11192" s="28"/>
      <c r="O11192" s="28"/>
      <c r="U11192" s="28"/>
    </row>
    <row r="11193">
      <c r="N11193" s="28"/>
      <c r="O11193" s="28"/>
      <c r="U11193" s="28"/>
    </row>
    <row r="11194">
      <c r="N11194" s="28"/>
      <c r="O11194" s="28"/>
      <c r="U11194" s="28"/>
    </row>
    <row r="11195">
      <c r="N11195" s="28"/>
      <c r="O11195" s="28"/>
      <c r="U11195" s="28"/>
    </row>
    <row r="11196">
      <c r="N11196" s="28"/>
      <c r="O11196" s="28"/>
      <c r="U11196" s="28"/>
    </row>
    <row r="11197">
      <c r="N11197" s="28"/>
      <c r="O11197" s="28"/>
      <c r="U11197" s="28"/>
    </row>
    <row r="11198">
      <c r="N11198" s="28"/>
      <c r="O11198" s="28"/>
      <c r="U11198" s="28"/>
    </row>
    <row r="11199">
      <c r="N11199" s="28"/>
      <c r="O11199" s="28"/>
      <c r="U11199" s="28"/>
    </row>
    <row r="11200">
      <c r="N11200" s="28"/>
      <c r="O11200" s="28"/>
      <c r="U11200" s="28"/>
    </row>
    <row r="11201">
      <c r="N11201" s="28"/>
      <c r="O11201" s="28"/>
      <c r="U11201" s="28"/>
    </row>
    <row r="11202">
      <c r="N11202" s="28"/>
      <c r="O11202" s="28"/>
      <c r="U11202" s="28"/>
    </row>
    <row r="11203">
      <c r="N11203" s="28"/>
      <c r="O11203" s="28"/>
      <c r="U11203" s="28"/>
    </row>
    <row r="11204">
      <c r="N11204" s="28"/>
      <c r="O11204" s="28"/>
      <c r="U11204" s="28"/>
    </row>
    <row r="11205">
      <c r="N11205" s="28"/>
      <c r="O11205" s="28"/>
      <c r="U11205" s="28"/>
    </row>
    <row r="11206">
      <c r="N11206" s="28"/>
      <c r="O11206" s="28"/>
      <c r="U11206" s="28"/>
    </row>
    <row r="11207">
      <c r="N11207" s="28"/>
      <c r="O11207" s="28"/>
      <c r="U11207" s="28"/>
    </row>
    <row r="11208">
      <c r="N11208" s="28"/>
      <c r="O11208" s="28"/>
      <c r="U11208" s="28"/>
    </row>
    <row r="11209">
      <c r="N11209" s="28"/>
      <c r="O11209" s="28"/>
      <c r="U11209" s="28"/>
    </row>
    <row r="11210">
      <c r="N11210" s="28"/>
      <c r="O11210" s="28"/>
      <c r="U11210" s="28"/>
    </row>
    <row r="11211">
      <c r="N11211" s="28"/>
      <c r="O11211" s="28"/>
      <c r="U11211" s="28"/>
    </row>
    <row r="11212">
      <c r="N11212" s="28"/>
      <c r="O11212" s="28"/>
      <c r="U11212" s="28"/>
    </row>
    <row r="11213">
      <c r="N11213" s="28"/>
      <c r="O11213" s="28"/>
      <c r="U11213" s="28"/>
    </row>
    <row r="11214">
      <c r="N11214" s="28"/>
      <c r="O11214" s="28"/>
      <c r="U11214" s="28"/>
    </row>
    <row r="11215">
      <c r="N11215" s="28"/>
      <c r="O11215" s="28"/>
      <c r="U11215" s="28"/>
    </row>
    <row r="11216">
      <c r="N11216" s="28"/>
      <c r="O11216" s="28"/>
      <c r="U11216" s="28"/>
    </row>
    <row r="11217">
      <c r="N11217" s="28"/>
      <c r="O11217" s="28"/>
      <c r="U11217" s="28"/>
    </row>
    <row r="11218">
      <c r="N11218" s="28"/>
      <c r="O11218" s="28"/>
      <c r="U11218" s="28"/>
    </row>
    <row r="11219">
      <c r="N11219" s="28"/>
      <c r="O11219" s="28"/>
      <c r="U11219" s="28"/>
    </row>
    <row r="11220">
      <c r="N11220" s="28"/>
      <c r="O11220" s="28"/>
      <c r="U11220" s="28"/>
    </row>
    <row r="11221">
      <c r="N11221" s="28"/>
      <c r="O11221" s="28"/>
      <c r="U11221" s="28"/>
    </row>
    <row r="11222">
      <c r="N11222" s="28"/>
      <c r="O11222" s="28"/>
      <c r="U11222" s="28"/>
    </row>
    <row r="11223">
      <c r="N11223" s="28"/>
      <c r="O11223" s="28"/>
      <c r="U11223" s="28"/>
    </row>
    <row r="11224">
      <c r="N11224" s="28"/>
      <c r="O11224" s="28"/>
      <c r="U11224" s="28"/>
    </row>
    <row r="11225">
      <c r="N11225" s="28"/>
      <c r="O11225" s="28"/>
      <c r="U11225" s="28"/>
    </row>
    <row r="11226">
      <c r="N11226" s="28"/>
      <c r="O11226" s="28"/>
      <c r="U11226" s="28"/>
    </row>
    <row r="11227">
      <c r="N11227" s="28"/>
      <c r="O11227" s="28"/>
      <c r="U11227" s="28"/>
    </row>
    <row r="11228">
      <c r="N11228" s="28"/>
      <c r="O11228" s="28"/>
      <c r="U11228" s="28"/>
    </row>
    <row r="11229">
      <c r="N11229" s="28"/>
      <c r="O11229" s="28"/>
      <c r="U11229" s="28"/>
    </row>
    <row r="11230">
      <c r="N11230" s="28"/>
      <c r="O11230" s="28"/>
      <c r="U11230" s="28"/>
    </row>
    <row r="11231">
      <c r="N11231" s="28"/>
      <c r="O11231" s="28"/>
      <c r="U11231" s="28"/>
    </row>
    <row r="11232">
      <c r="N11232" s="28"/>
      <c r="O11232" s="28"/>
      <c r="U11232" s="28"/>
    </row>
    <row r="11233">
      <c r="N11233" s="28"/>
      <c r="O11233" s="28"/>
      <c r="U11233" s="28"/>
    </row>
    <row r="11234">
      <c r="N11234" s="28"/>
      <c r="O11234" s="28"/>
      <c r="U11234" s="28"/>
    </row>
    <row r="11235">
      <c r="N11235" s="28"/>
      <c r="O11235" s="28"/>
      <c r="U11235" s="28"/>
    </row>
    <row r="11236">
      <c r="N11236" s="28"/>
      <c r="O11236" s="28"/>
      <c r="U11236" s="28"/>
    </row>
    <row r="11237">
      <c r="N11237" s="28"/>
      <c r="O11237" s="28"/>
      <c r="U11237" s="28"/>
    </row>
    <row r="11238">
      <c r="N11238" s="28"/>
      <c r="O11238" s="28"/>
      <c r="U11238" s="28"/>
    </row>
    <row r="11239">
      <c r="N11239" s="28"/>
      <c r="O11239" s="28"/>
      <c r="U11239" s="28"/>
    </row>
    <row r="11240">
      <c r="N11240" s="28"/>
      <c r="O11240" s="28"/>
      <c r="U11240" s="28"/>
    </row>
    <row r="11241">
      <c r="N11241" s="28"/>
      <c r="O11241" s="28"/>
      <c r="U11241" s="28"/>
    </row>
    <row r="11242">
      <c r="N11242" s="28"/>
      <c r="O11242" s="28"/>
      <c r="U11242" s="28"/>
    </row>
    <row r="11243">
      <c r="N11243" s="28"/>
      <c r="O11243" s="28"/>
      <c r="U11243" s="28"/>
    </row>
    <row r="11244">
      <c r="N11244" s="28"/>
      <c r="O11244" s="28"/>
      <c r="U11244" s="28"/>
    </row>
    <row r="11245">
      <c r="N11245" s="28"/>
      <c r="O11245" s="28"/>
      <c r="U11245" s="28"/>
    </row>
    <row r="11246">
      <c r="N11246" s="28"/>
      <c r="O11246" s="28"/>
      <c r="U11246" s="28"/>
    </row>
    <row r="11247">
      <c r="N11247" s="28"/>
      <c r="O11247" s="28"/>
      <c r="U11247" s="28"/>
    </row>
    <row r="11248">
      <c r="N11248" s="28"/>
      <c r="O11248" s="28"/>
      <c r="U11248" s="28"/>
    </row>
    <row r="11249">
      <c r="N11249" s="28"/>
      <c r="O11249" s="28"/>
      <c r="U11249" s="28"/>
    </row>
    <row r="11250">
      <c r="N11250" s="28"/>
      <c r="O11250" s="28"/>
      <c r="U11250" s="28"/>
    </row>
    <row r="11251">
      <c r="N11251" s="28"/>
      <c r="O11251" s="28"/>
      <c r="U11251" s="28"/>
    </row>
    <row r="11252">
      <c r="N11252" s="28"/>
      <c r="O11252" s="28"/>
      <c r="U11252" s="28"/>
    </row>
    <row r="11253">
      <c r="N11253" s="28"/>
      <c r="O11253" s="28"/>
      <c r="U11253" s="28"/>
    </row>
    <row r="11254">
      <c r="N11254" s="28"/>
      <c r="O11254" s="28"/>
      <c r="U11254" s="28"/>
    </row>
    <row r="11255">
      <c r="N11255" s="28"/>
      <c r="O11255" s="28"/>
      <c r="U11255" s="28"/>
    </row>
    <row r="11256">
      <c r="N11256" s="28"/>
      <c r="O11256" s="28"/>
      <c r="U11256" s="28"/>
    </row>
    <row r="11257">
      <c r="N11257" s="28"/>
      <c r="O11257" s="28"/>
      <c r="U11257" s="28"/>
    </row>
    <row r="11258">
      <c r="N11258" s="28"/>
      <c r="O11258" s="28"/>
      <c r="U11258" s="28"/>
    </row>
    <row r="11259">
      <c r="N11259" s="28"/>
      <c r="O11259" s="28"/>
      <c r="U11259" s="28"/>
    </row>
    <row r="11260">
      <c r="N11260" s="28"/>
      <c r="O11260" s="28"/>
      <c r="U11260" s="28"/>
    </row>
    <row r="11261">
      <c r="N11261" s="28"/>
      <c r="O11261" s="28"/>
      <c r="U11261" s="28"/>
    </row>
    <row r="11262">
      <c r="N11262" s="28"/>
      <c r="O11262" s="28"/>
      <c r="U11262" s="28"/>
    </row>
    <row r="11263">
      <c r="N11263" s="28"/>
      <c r="O11263" s="28"/>
      <c r="U11263" s="28"/>
    </row>
    <row r="11264">
      <c r="N11264" s="28"/>
      <c r="O11264" s="28"/>
      <c r="U11264" s="28"/>
    </row>
    <row r="11265">
      <c r="N11265" s="28"/>
      <c r="O11265" s="28"/>
      <c r="U11265" s="28"/>
    </row>
    <row r="11266">
      <c r="N11266" s="28"/>
      <c r="O11266" s="28"/>
      <c r="U11266" s="28"/>
    </row>
    <row r="11267">
      <c r="N11267" s="28"/>
      <c r="O11267" s="28"/>
      <c r="U11267" s="28"/>
    </row>
    <row r="11268">
      <c r="N11268" s="28"/>
      <c r="O11268" s="28"/>
      <c r="U11268" s="28"/>
    </row>
    <row r="11269">
      <c r="N11269" s="28"/>
      <c r="O11269" s="28"/>
      <c r="U11269" s="28"/>
    </row>
    <row r="11270">
      <c r="N11270" s="28"/>
      <c r="O11270" s="28"/>
      <c r="U11270" s="28"/>
    </row>
    <row r="11271">
      <c r="N11271" s="28"/>
      <c r="O11271" s="28"/>
      <c r="U11271" s="28"/>
    </row>
    <row r="11272">
      <c r="N11272" s="28"/>
      <c r="O11272" s="28"/>
      <c r="U11272" s="28"/>
    </row>
    <row r="11273">
      <c r="N11273" s="28"/>
      <c r="O11273" s="28"/>
      <c r="U11273" s="28"/>
    </row>
    <row r="11274">
      <c r="N11274" s="28"/>
      <c r="O11274" s="28"/>
      <c r="U11274" s="28"/>
    </row>
    <row r="11275">
      <c r="N11275" s="28"/>
      <c r="O11275" s="28"/>
      <c r="U11275" s="28"/>
    </row>
    <row r="11276">
      <c r="N11276" s="28"/>
      <c r="O11276" s="28"/>
      <c r="U11276" s="28"/>
    </row>
    <row r="11277">
      <c r="N11277" s="28"/>
      <c r="O11277" s="28"/>
      <c r="U11277" s="28"/>
    </row>
    <row r="11278">
      <c r="N11278" s="28"/>
      <c r="O11278" s="28"/>
      <c r="U11278" s="28"/>
    </row>
    <row r="11279">
      <c r="N11279" s="28"/>
      <c r="O11279" s="28"/>
      <c r="U11279" s="28"/>
    </row>
    <row r="11280">
      <c r="N11280" s="28"/>
      <c r="O11280" s="28"/>
      <c r="U11280" s="28"/>
    </row>
    <row r="11281">
      <c r="N11281" s="28"/>
      <c r="O11281" s="28"/>
      <c r="U11281" s="28"/>
    </row>
    <row r="11282">
      <c r="N11282" s="28"/>
      <c r="O11282" s="28"/>
      <c r="U11282" s="28"/>
    </row>
    <row r="11283">
      <c r="N11283" s="28"/>
      <c r="O11283" s="28"/>
      <c r="U11283" s="28"/>
    </row>
    <row r="11284">
      <c r="N11284" s="28"/>
      <c r="O11284" s="28"/>
      <c r="U11284" s="28"/>
    </row>
    <row r="11285">
      <c r="N11285" s="28"/>
      <c r="O11285" s="28"/>
      <c r="U11285" s="28"/>
    </row>
    <row r="11286">
      <c r="N11286" s="28"/>
      <c r="O11286" s="28"/>
      <c r="U11286" s="28"/>
    </row>
    <row r="11287">
      <c r="N11287" s="28"/>
      <c r="O11287" s="28"/>
      <c r="U11287" s="28"/>
    </row>
    <row r="11288">
      <c r="N11288" s="28"/>
      <c r="O11288" s="28"/>
      <c r="U11288" s="28"/>
    </row>
    <row r="11289">
      <c r="N11289" s="28"/>
      <c r="O11289" s="28"/>
      <c r="U11289" s="28"/>
    </row>
    <row r="11290">
      <c r="N11290" s="28"/>
      <c r="O11290" s="28"/>
      <c r="U11290" s="28"/>
    </row>
    <row r="11291">
      <c r="N11291" s="28"/>
      <c r="O11291" s="28"/>
      <c r="U11291" s="28"/>
    </row>
    <row r="11292">
      <c r="N11292" s="28"/>
      <c r="O11292" s="28"/>
      <c r="U11292" s="28"/>
    </row>
    <row r="11293">
      <c r="N11293" s="28"/>
      <c r="O11293" s="28"/>
      <c r="U11293" s="28"/>
    </row>
    <row r="11294">
      <c r="N11294" s="28"/>
      <c r="O11294" s="28"/>
      <c r="U11294" s="28"/>
    </row>
    <row r="11295">
      <c r="N11295" s="28"/>
      <c r="O11295" s="28"/>
      <c r="U11295" s="28"/>
    </row>
    <row r="11296">
      <c r="N11296" s="28"/>
      <c r="O11296" s="28"/>
      <c r="U11296" s="28"/>
    </row>
    <row r="11297">
      <c r="N11297" s="28"/>
      <c r="O11297" s="28"/>
      <c r="U11297" s="28"/>
    </row>
    <row r="11298">
      <c r="N11298" s="28"/>
      <c r="O11298" s="28"/>
      <c r="U11298" s="28"/>
    </row>
    <row r="11299">
      <c r="N11299" s="28"/>
      <c r="O11299" s="28"/>
      <c r="U11299" s="28"/>
    </row>
    <row r="11300">
      <c r="N11300" s="28"/>
      <c r="O11300" s="28"/>
      <c r="U11300" s="28"/>
    </row>
    <row r="11301">
      <c r="N11301" s="28"/>
      <c r="O11301" s="28"/>
      <c r="U11301" s="28"/>
    </row>
    <row r="11302">
      <c r="N11302" s="28"/>
      <c r="O11302" s="28"/>
      <c r="U11302" s="28"/>
    </row>
    <row r="11303">
      <c r="N11303" s="28"/>
      <c r="O11303" s="28"/>
      <c r="U11303" s="28"/>
    </row>
    <row r="11304">
      <c r="N11304" s="28"/>
      <c r="O11304" s="28"/>
      <c r="U11304" s="28"/>
    </row>
    <row r="11305">
      <c r="N11305" s="28"/>
      <c r="O11305" s="28"/>
      <c r="U11305" s="28"/>
    </row>
    <row r="11306">
      <c r="N11306" s="28"/>
      <c r="O11306" s="28"/>
      <c r="U11306" s="28"/>
    </row>
    <row r="11307">
      <c r="N11307" s="28"/>
      <c r="O11307" s="28"/>
      <c r="U11307" s="28"/>
    </row>
    <row r="11308">
      <c r="N11308" s="28"/>
      <c r="O11308" s="28"/>
      <c r="U11308" s="28"/>
    </row>
    <row r="11309">
      <c r="N11309" s="28"/>
      <c r="O11309" s="28"/>
      <c r="U11309" s="28"/>
    </row>
    <row r="11310">
      <c r="N11310" s="28"/>
      <c r="O11310" s="28"/>
      <c r="U11310" s="28"/>
    </row>
    <row r="11311">
      <c r="N11311" s="28"/>
      <c r="O11311" s="28"/>
      <c r="U11311" s="28"/>
    </row>
    <row r="11312">
      <c r="N11312" s="28"/>
      <c r="O11312" s="28"/>
      <c r="U11312" s="28"/>
    </row>
    <row r="11313">
      <c r="N11313" s="28"/>
      <c r="O11313" s="28"/>
      <c r="U11313" s="28"/>
    </row>
    <row r="11314">
      <c r="N11314" s="28"/>
      <c r="O11314" s="28"/>
      <c r="U11314" s="28"/>
    </row>
    <row r="11315">
      <c r="N11315" s="28"/>
      <c r="O11315" s="28"/>
      <c r="U11315" s="28"/>
    </row>
    <row r="11316">
      <c r="N11316" s="28"/>
      <c r="O11316" s="28"/>
      <c r="U11316" s="28"/>
    </row>
    <row r="11317">
      <c r="N11317" s="28"/>
      <c r="O11317" s="28"/>
      <c r="U11317" s="28"/>
    </row>
    <row r="11318">
      <c r="N11318" s="28"/>
      <c r="O11318" s="28"/>
      <c r="U11318" s="28"/>
    </row>
    <row r="11319">
      <c r="N11319" s="28"/>
      <c r="O11319" s="28"/>
      <c r="U11319" s="28"/>
    </row>
    <row r="11320">
      <c r="N11320" s="28"/>
      <c r="O11320" s="28"/>
      <c r="U11320" s="28"/>
    </row>
    <row r="11321">
      <c r="N11321" s="28"/>
      <c r="O11321" s="28"/>
      <c r="U11321" s="28"/>
    </row>
    <row r="11322">
      <c r="N11322" s="28"/>
      <c r="O11322" s="28"/>
      <c r="U11322" s="28"/>
    </row>
    <row r="11323">
      <c r="N11323" s="28"/>
      <c r="O11323" s="28"/>
      <c r="U11323" s="28"/>
    </row>
    <row r="11324">
      <c r="N11324" s="28"/>
      <c r="O11324" s="28"/>
      <c r="U11324" s="28"/>
    </row>
    <row r="11325">
      <c r="N11325" s="28"/>
      <c r="O11325" s="28"/>
      <c r="U11325" s="28"/>
    </row>
    <row r="11326">
      <c r="N11326" s="28"/>
      <c r="O11326" s="28"/>
      <c r="U11326" s="28"/>
    </row>
    <row r="11327">
      <c r="N11327" s="28"/>
      <c r="O11327" s="28"/>
      <c r="U11327" s="28"/>
    </row>
    <row r="11328">
      <c r="N11328" s="28"/>
      <c r="O11328" s="28"/>
      <c r="U11328" s="28"/>
    </row>
    <row r="11329">
      <c r="N11329" s="28"/>
      <c r="O11329" s="28"/>
      <c r="U11329" s="28"/>
    </row>
    <row r="11330">
      <c r="N11330" s="28"/>
      <c r="O11330" s="28"/>
      <c r="U11330" s="28"/>
    </row>
    <row r="11331">
      <c r="N11331" s="28"/>
      <c r="O11331" s="28"/>
      <c r="U11331" s="28"/>
    </row>
    <row r="11332">
      <c r="N11332" s="28"/>
      <c r="O11332" s="28"/>
      <c r="U11332" s="28"/>
    </row>
    <row r="11333">
      <c r="N11333" s="28"/>
      <c r="O11333" s="28"/>
      <c r="U11333" s="28"/>
    </row>
    <row r="11334">
      <c r="N11334" s="28"/>
      <c r="O11334" s="28"/>
      <c r="U11334" s="28"/>
    </row>
    <row r="11335">
      <c r="N11335" s="28"/>
      <c r="O11335" s="28"/>
      <c r="U11335" s="28"/>
    </row>
    <row r="11336">
      <c r="N11336" s="28"/>
      <c r="O11336" s="28"/>
      <c r="U11336" s="28"/>
    </row>
    <row r="11337">
      <c r="N11337" s="28"/>
      <c r="O11337" s="28"/>
      <c r="U11337" s="28"/>
    </row>
    <row r="11338">
      <c r="N11338" s="28"/>
      <c r="O11338" s="28"/>
      <c r="U11338" s="28"/>
    </row>
    <row r="11339">
      <c r="N11339" s="28"/>
      <c r="O11339" s="28"/>
      <c r="U11339" s="28"/>
    </row>
    <row r="11340">
      <c r="N11340" s="28"/>
      <c r="O11340" s="28"/>
      <c r="U11340" s="28"/>
    </row>
    <row r="11341">
      <c r="N11341" s="28"/>
      <c r="O11341" s="28"/>
      <c r="U11341" s="28"/>
    </row>
    <row r="11342">
      <c r="N11342" s="28"/>
      <c r="O11342" s="28"/>
      <c r="U11342" s="28"/>
    </row>
    <row r="11343">
      <c r="N11343" s="28"/>
      <c r="O11343" s="28"/>
      <c r="U11343" s="28"/>
    </row>
    <row r="11344">
      <c r="N11344" s="28"/>
      <c r="O11344" s="28"/>
      <c r="U11344" s="28"/>
    </row>
    <row r="11345">
      <c r="N11345" s="28"/>
      <c r="O11345" s="28"/>
      <c r="U11345" s="28"/>
    </row>
    <row r="11346">
      <c r="N11346" s="28"/>
      <c r="O11346" s="28"/>
      <c r="U11346" s="28"/>
    </row>
    <row r="11347">
      <c r="N11347" s="28"/>
      <c r="O11347" s="28"/>
      <c r="U11347" s="28"/>
    </row>
    <row r="11348">
      <c r="N11348" s="28"/>
      <c r="O11348" s="28"/>
      <c r="U11348" s="28"/>
    </row>
    <row r="11349">
      <c r="N11349" s="28"/>
      <c r="O11349" s="28"/>
      <c r="U11349" s="28"/>
    </row>
    <row r="11350">
      <c r="N11350" s="28"/>
      <c r="O11350" s="28"/>
      <c r="U11350" s="28"/>
    </row>
    <row r="11351">
      <c r="N11351" s="28"/>
      <c r="O11351" s="28"/>
      <c r="U11351" s="28"/>
    </row>
    <row r="11352">
      <c r="N11352" s="28"/>
      <c r="O11352" s="28"/>
      <c r="U11352" s="28"/>
    </row>
    <row r="11353">
      <c r="N11353" s="28"/>
      <c r="O11353" s="28"/>
      <c r="U11353" s="28"/>
    </row>
    <row r="11354">
      <c r="N11354" s="28"/>
      <c r="O11354" s="28"/>
      <c r="U11354" s="28"/>
    </row>
    <row r="11355">
      <c r="N11355" s="28"/>
      <c r="O11355" s="28"/>
      <c r="U11355" s="28"/>
    </row>
    <row r="11356">
      <c r="N11356" s="28"/>
      <c r="O11356" s="28"/>
      <c r="U11356" s="28"/>
    </row>
    <row r="11357">
      <c r="N11357" s="28"/>
      <c r="O11357" s="28"/>
      <c r="U11357" s="28"/>
    </row>
    <row r="11358">
      <c r="N11358" s="28"/>
      <c r="O11358" s="28"/>
      <c r="U11358" s="28"/>
    </row>
    <row r="11359">
      <c r="N11359" s="28"/>
      <c r="O11359" s="28"/>
      <c r="U11359" s="28"/>
    </row>
    <row r="11360">
      <c r="N11360" s="28"/>
      <c r="O11360" s="28"/>
      <c r="U11360" s="28"/>
    </row>
    <row r="11361">
      <c r="N11361" s="28"/>
      <c r="O11361" s="28"/>
      <c r="U11361" s="28"/>
    </row>
    <row r="11362">
      <c r="N11362" s="28"/>
      <c r="O11362" s="28"/>
      <c r="U11362" s="28"/>
    </row>
    <row r="11363">
      <c r="N11363" s="28"/>
      <c r="O11363" s="28"/>
      <c r="U11363" s="28"/>
    </row>
    <row r="11364">
      <c r="N11364" s="28"/>
      <c r="O11364" s="28"/>
      <c r="U11364" s="28"/>
    </row>
    <row r="11365">
      <c r="N11365" s="28"/>
      <c r="O11365" s="28"/>
      <c r="U11365" s="28"/>
    </row>
    <row r="11366">
      <c r="N11366" s="28"/>
      <c r="O11366" s="28"/>
      <c r="U11366" s="28"/>
    </row>
    <row r="11367">
      <c r="N11367" s="28"/>
      <c r="O11367" s="28"/>
      <c r="U11367" s="28"/>
    </row>
    <row r="11368">
      <c r="N11368" s="28"/>
      <c r="O11368" s="28"/>
      <c r="U11368" s="28"/>
    </row>
    <row r="11369">
      <c r="N11369" s="28"/>
      <c r="O11369" s="28"/>
      <c r="U11369" s="28"/>
    </row>
    <row r="11370">
      <c r="N11370" s="28"/>
      <c r="O11370" s="28"/>
      <c r="U11370" s="28"/>
    </row>
    <row r="11371">
      <c r="N11371" s="28"/>
      <c r="O11371" s="28"/>
      <c r="U11371" s="28"/>
    </row>
    <row r="11372">
      <c r="N11372" s="28"/>
      <c r="O11372" s="28"/>
      <c r="U11372" s="28"/>
    </row>
    <row r="11373">
      <c r="N11373" s="28"/>
      <c r="O11373" s="28"/>
      <c r="U11373" s="28"/>
    </row>
    <row r="11374">
      <c r="N11374" s="28"/>
      <c r="O11374" s="28"/>
      <c r="U11374" s="28"/>
    </row>
    <row r="11375">
      <c r="N11375" s="28"/>
      <c r="O11375" s="28"/>
      <c r="U11375" s="28"/>
    </row>
    <row r="11376">
      <c r="N11376" s="28"/>
      <c r="O11376" s="28"/>
      <c r="U11376" s="28"/>
    </row>
    <row r="11377">
      <c r="N11377" s="28"/>
      <c r="O11377" s="28"/>
      <c r="U11377" s="28"/>
    </row>
    <row r="11378">
      <c r="N11378" s="28"/>
      <c r="O11378" s="28"/>
      <c r="U11378" s="28"/>
    </row>
    <row r="11379">
      <c r="N11379" s="28"/>
      <c r="O11379" s="28"/>
      <c r="U11379" s="28"/>
    </row>
    <row r="11380">
      <c r="N11380" s="28"/>
      <c r="O11380" s="28"/>
      <c r="U11380" s="28"/>
    </row>
    <row r="11381">
      <c r="N11381" s="28"/>
      <c r="O11381" s="28"/>
      <c r="U11381" s="28"/>
    </row>
    <row r="11382">
      <c r="N11382" s="28"/>
      <c r="O11382" s="28"/>
      <c r="U11382" s="28"/>
    </row>
    <row r="11383">
      <c r="N11383" s="28"/>
      <c r="O11383" s="28"/>
      <c r="U11383" s="28"/>
    </row>
    <row r="11384">
      <c r="N11384" s="28"/>
      <c r="O11384" s="28"/>
      <c r="U11384" s="28"/>
    </row>
    <row r="11385">
      <c r="N11385" s="28"/>
      <c r="O11385" s="28"/>
      <c r="U11385" s="28"/>
    </row>
    <row r="11386">
      <c r="N11386" s="28"/>
      <c r="O11386" s="28"/>
      <c r="U11386" s="28"/>
    </row>
    <row r="11387">
      <c r="N11387" s="28"/>
      <c r="O11387" s="28"/>
      <c r="U11387" s="28"/>
    </row>
    <row r="11388">
      <c r="N11388" s="28"/>
      <c r="O11388" s="28"/>
      <c r="U11388" s="28"/>
    </row>
    <row r="11389">
      <c r="N11389" s="28"/>
      <c r="O11389" s="28"/>
      <c r="U11389" s="28"/>
    </row>
    <row r="11390">
      <c r="N11390" s="28"/>
      <c r="O11390" s="28"/>
      <c r="U11390" s="28"/>
    </row>
    <row r="11391">
      <c r="N11391" s="28"/>
      <c r="O11391" s="28"/>
      <c r="U11391" s="28"/>
    </row>
    <row r="11392">
      <c r="N11392" s="28"/>
      <c r="O11392" s="28"/>
      <c r="U11392" s="28"/>
    </row>
    <row r="11393">
      <c r="N11393" s="28"/>
      <c r="O11393" s="28"/>
      <c r="U11393" s="28"/>
    </row>
    <row r="11394">
      <c r="N11394" s="28"/>
      <c r="O11394" s="28"/>
      <c r="U11394" s="28"/>
    </row>
    <row r="11395">
      <c r="N11395" s="28"/>
      <c r="O11395" s="28"/>
      <c r="U11395" s="28"/>
    </row>
    <row r="11396">
      <c r="N11396" s="28"/>
      <c r="O11396" s="28"/>
      <c r="U11396" s="28"/>
    </row>
    <row r="11397">
      <c r="N11397" s="28"/>
      <c r="O11397" s="28"/>
      <c r="U11397" s="28"/>
    </row>
    <row r="11398">
      <c r="N11398" s="28"/>
      <c r="O11398" s="28"/>
      <c r="U11398" s="28"/>
    </row>
    <row r="11399">
      <c r="N11399" s="28"/>
      <c r="O11399" s="28"/>
      <c r="U11399" s="28"/>
    </row>
    <row r="11400">
      <c r="N11400" s="28"/>
      <c r="O11400" s="28"/>
      <c r="U11400" s="28"/>
    </row>
    <row r="11401">
      <c r="N11401" s="28"/>
      <c r="O11401" s="28"/>
      <c r="U11401" s="28"/>
    </row>
    <row r="11402">
      <c r="N11402" s="28"/>
      <c r="O11402" s="28"/>
      <c r="U11402" s="28"/>
    </row>
    <row r="11403">
      <c r="N11403" s="28"/>
      <c r="O11403" s="28"/>
      <c r="U11403" s="28"/>
    </row>
    <row r="11404">
      <c r="N11404" s="28"/>
      <c r="O11404" s="28"/>
      <c r="U11404" s="28"/>
    </row>
    <row r="11405">
      <c r="N11405" s="28"/>
      <c r="O11405" s="28"/>
      <c r="U11405" s="28"/>
    </row>
    <row r="11406">
      <c r="N11406" s="28"/>
      <c r="O11406" s="28"/>
      <c r="U11406" s="28"/>
    </row>
    <row r="11407">
      <c r="N11407" s="28"/>
      <c r="O11407" s="28"/>
      <c r="U11407" s="28"/>
    </row>
    <row r="11408">
      <c r="N11408" s="28"/>
      <c r="O11408" s="28"/>
      <c r="U11408" s="28"/>
    </row>
    <row r="11409">
      <c r="N11409" s="28"/>
      <c r="O11409" s="28"/>
      <c r="U11409" s="28"/>
    </row>
    <row r="11410">
      <c r="N11410" s="28"/>
      <c r="O11410" s="28"/>
      <c r="U11410" s="28"/>
    </row>
    <row r="11411">
      <c r="N11411" s="28"/>
      <c r="O11411" s="28"/>
      <c r="U11411" s="28"/>
    </row>
    <row r="11412">
      <c r="N11412" s="28"/>
      <c r="O11412" s="28"/>
      <c r="U11412" s="28"/>
    </row>
    <row r="11413">
      <c r="N11413" s="28"/>
      <c r="O11413" s="28"/>
      <c r="U11413" s="28"/>
    </row>
    <row r="11414">
      <c r="N11414" s="28"/>
      <c r="O11414" s="28"/>
      <c r="U11414" s="28"/>
    </row>
    <row r="11415">
      <c r="N11415" s="28"/>
      <c r="O11415" s="28"/>
      <c r="U11415" s="28"/>
    </row>
    <row r="11416">
      <c r="N11416" s="28"/>
      <c r="O11416" s="28"/>
      <c r="U11416" s="28"/>
    </row>
    <row r="11417">
      <c r="N11417" s="28"/>
      <c r="O11417" s="28"/>
      <c r="U11417" s="28"/>
    </row>
    <row r="11418">
      <c r="N11418" s="28"/>
      <c r="O11418" s="28"/>
      <c r="U11418" s="28"/>
    </row>
    <row r="11419">
      <c r="N11419" s="28"/>
      <c r="O11419" s="28"/>
      <c r="U11419" s="28"/>
    </row>
    <row r="11420">
      <c r="N11420" s="28"/>
      <c r="O11420" s="28"/>
      <c r="U11420" s="28"/>
    </row>
    <row r="11421">
      <c r="N11421" s="28"/>
      <c r="O11421" s="28"/>
      <c r="U11421" s="28"/>
    </row>
    <row r="11422">
      <c r="N11422" s="28"/>
      <c r="O11422" s="28"/>
      <c r="U11422" s="28"/>
    </row>
    <row r="11423">
      <c r="N11423" s="28"/>
      <c r="O11423" s="28"/>
      <c r="U11423" s="28"/>
    </row>
    <row r="11424">
      <c r="N11424" s="28"/>
      <c r="O11424" s="28"/>
      <c r="U11424" s="28"/>
    </row>
    <row r="11425">
      <c r="N11425" s="28"/>
      <c r="O11425" s="28"/>
      <c r="U11425" s="28"/>
    </row>
    <row r="11426">
      <c r="N11426" s="28"/>
      <c r="O11426" s="28"/>
      <c r="U11426" s="28"/>
    </row>
    <row r="11427">
      <c r="N11427" s="28"/>
      <c r="O11427" s="28"/>
      <c r="U11427" s="28"/>
    </row>
    <row r="11428">
      <c r="N11428" s="28"/>
      <c r="O11428" s="28"/>
      <c r="U11428" s="28"/>
    </row>
    <row r="11429">
      <c r="N11429" s="28"/>
      <c r="O11429" s="28"/>
      <c r="U11429" s="28"/>
    </row>
    <row r="11430">
      <c r="N11430" s="28"/>
      <c r="O11430" s="28"/>
      <c r="U11430" s="28"/>
    </row>
    <row r="11431">
      <c r="N11431" s="28"/>
      <c r="O11431" s="28"/>
      <c r="U11431" s="28"/>
    </row>
    <row r="11432">
      <c r="N11432" s="28"/>
      <c r="O11432" s="28"/>
      <c r="U11432" s="28"/>
    </row>
    <row r="11433">
      <c r="N11433" s="28"/>
      <c r="O11433" s="28"/>
      <c r="U11433" s="28"/>
    </row>
    <row r="11434">
      <c r="N11434" s="28"/>
      <c r="O11434" s="28"/>
      <c r="U11434" s="28"/>
    </row>
    <row r="11435">
      <c r="N11435" s="28"/>
      <c r="O11435" s="28"/>
      <c r="U11435" s="28"/>
    </row>
    <row r="11436">
      <c r="N11436" s="28"/>
      <c r="O11436" s="28"/>
      <c r="U11436" s="28"/>
    </row>
    <row r="11437">
      <c r="N11437" s="28"/>
      <c r="O11437" s="28"/>
      <c r="U11437" s="28"/>
    </row>
    <row r="11438">
      <c r="N11438" s="28"/>
      <c r="O11438" s="28"/>
      <c r="U11438" s="28"/>
    </row>
    <row r="11439">
      <c r="N11439" s="28"/>
      <c r="O11439" s="28"/>
      <c r="U11439" s="28"/>
    </row>
    <row r="11440">
      <c r="N11440" s="28"/>
      <c r="O11440" s="28"/>
      <c r="U11440" s="28"/>
    </row>
    <row r="11441">
      <c r="N11441" s="28"/>
      <c r="O11441" s="28"/>
      <c r="U11441" s="28"/>
    </row>
    <row r="11442">
      <c r="N11442" s="28"/>
      <c r="O11442" s="28"/>
      <c r="U11442" s="28"/>
    </row>
    <row r="11443">
      <c r="N11443" s="28"/>
      <c r="O11443" s="28"/>
      <c r="U11443" s="28"/>
    </row>
    <row r="11444">
      <c r="N11444" s="28"/>
      <c r="O11444" s="28"/>
      <c r="U11444" s="28"/>
    </row>
    <row r="11445">
      <c r="N11445" s="28"/>
      <c r="O11445" s="28"/>
      <c r="U11445" s="28"/>
    </row>
    <row r="11446">
      <c r="N11446" s="28"/>
      <c r="O11446" s="28"/>
      <c r="U11446" s="28"/>
    </row>
    <row r="11447">
      <c r="N11447" s="28"/>
      <c r="O11447" s="28"/>
      <c r="U11447" s="28"/>
    </row>
    <row r="11448">
      <c r="N11448" s="28"/>
      <c r="O11448" s="28"/>
      <c r="U11448" s="28"/>
    </row>
    <row r="11449">
      <c r="N11449" s="28"/>
      <c r="O11449" s="28"/>
      <c r="U11449" s="28"/>
    </row>
    <row r="11450">
      <c r="N11450" s="28"/>
      <c r="O11450" s="28"/>
      <c r="U11450" s="28"/>
    </row>
    <row r="11451">
      <c r="N11451" s="28"/>
      <c r="O11451" s="28"/>
      <c r="U11451" s="28"/>
    </row>
    <row r="11452">
      <c r="N11452" s="28"/>
      <c r="O11452" s="28"/>
      <c r="U11452" s="28"/>
    </row>
    <row r="11453">
      <c r="N11453" s="28"/>
      <c r="O11453" s="28"/>
      <c r="U11453" s="28"/>
    </row>
    <row r="11454">
      <c r="N11454" s="28"/>
      <c r="O11454" s="28"/>
      <c r="U11454" s="28"/>
    </row>
    <row r="11455">
      <c r="N11455" s="28"/>
      <c r="O11455" s="28"/>
      <c r="U11455" s="28"/>
    </row>
    <row r="11456">
      <c r="N11456" s="28"/>
      <c r="O11456" s="28"/>
      <c r="U11456" s="28"/>
    </row>
    <row r="11457">
      <c r="N11457" s="28"/>
      <c r="O11457" s="28"/>
      <c r="U11457" s="28"/>
    </row>
    <row r="11458">
      <c r="N11458" s="28"/>
      <c r="O11458" s="28"/>
      <c r="U11458" s="28"/>
    </row>
    <row r="11459">
      <c r="N11459" s="28"/>
      <c r="O11459" s="28"/>
      <c r="U11459" s="28"/>
    </row>
    <row r="11460">
      <c r="N11460" s="28"/>
      <c r="O11460" s="28"/>
      <c r="U11460" s="28"/>
    </row>
    <row r="11461">
      <c r="N11461" s="28"/>
      <c r="O11461" s="28"/>
      <c r="U11461" s="28"/>
    </row>
    <row r="11462">
      <c r="N11462" s="28"/>
      <c r="O11462" s="28"/>
      <c r="U11462" s="28"/>
    </row>
    <row r="11463">
      <c r="N11463" s="28"/>
      <c r="O11463" s="28"/>
      <c r="U11463" s="28"/>
    </row>
    <row r="11464">
      <c r="N11464" s="28"/>
      <c r="O11464" s="28"/>
      <c r="U11464" s="28"/>
    </row>
    <row r="11465">
      <c r="N11465" s="28"/>
      <c r="O11465" s="28"/>
      <c r="U11465" s="28"/>
    </row>
    <row r="11466">
      <c r="N11466" s="28"/>
      <c r="O11466" s="28"/>
      <c r="U11466" s="28"/>
    </row>
    <row r="11467">
      <c r="N11467" s="28"/>
      <c r="O11467" s="28"/>
      <c r="U11467" s="28"/>
    </row>
    <row r="11468">
      <c r="N11468" s="28"/>
      <c r="O11468" s="28"/>
      <c r="U11468" s="28"/>
    </row>
    <row r="11469">
      <c r="N11469" s="28"/>
      <c r="O11469" s="28"/>
      <c r="U11469" s="28"/>
    </row>
    <row r="11470">
      <c r="N11470" s="28"/>
      <c r="O11470" s="28"/>
      <c r="U11470" s="28"/>
    </row>
    <row r="11471">
      <c r="N11471" s="28"/>
      <c r="O11471" s="28"/>
      <c r="U11471" s="28"/>
    </row>
    <row r="11472">
      <c r="N11472" s="28"/>
      <c r="O11472" s="28"/>
      <c r="U11472" s="28"/>
    </row>
    <row r="11473">
      <c r="N11473" s="28"/>
      <c r="O11473" s="28"/>
      <c r="U11473" s="28"/>
    </row>
    <row r="11474">
      <c r="N11474" s="28"/>
      <c r="O11474" s="28"/>
      <c r="U11474" s="28"/>
    </row>
    <row r="11475">
      <c r="N11475" s="28"/>
      <c r="O11475" s="28"/>
      <c r="U11475" s="28"/>
    </row>
    <row r="11476">
      <c r="N11476" s="28"/>
      <c r="O11476" s="28"/>
      <c r="U11476" s="28"/>
    </row>
    <row r="11477">
      <c r="N11477" s="28"/>
      <c r="O11477" s="28"/>
      <c r="U11477" s="28"/>
    </row>
    <row r="11478">
      <c r="N11478" s="28"/>
      <c r="O11478" s="28"/>
      <c r="U11478" s="28"/>
    </row>
    <row r="11479">
      <c r="N11479" s="28"/>
      <c r="O11479" s="28"/>
      <c r="U11479" s="28"/>
    </row>
    <row r="11480">
      <c r="N11480" s="28"/>
      <c r="O11480" s="28"/>
      <c r="U11480" s="28"/>
    </row>
    <row r="11481">
      <c r="N11481" s="28"/>
      <c r="O11481" s="28"/>
      <c r="U11481" s="28"/>
    </row>
    <row r="11482">
      <c r="N11482" s="28"/>
      <c r="O11482" s="28"/>
      <c r="U11482" s="28"/>
    </row>
    <row r="11483">
      <c r="N11483" s="28"/>
      <c r="O11483" s="28"/>
      <c r="U11483" s="28"/>
    </row>
    <row r="11484">
      <c r="N11484" s="28"/>
      <c r="O11484" s="28"/>
      <c r="U11484" s="28"/>
    </row>
    <row r="11485">
      <c r="N11485" s="28"/>
      <c r="O11485" s="28"/>
      <c r="U11485" s="28"/>
    </row>
    <row r="11486">
      <c r="N11486" s="28"/>
      <c r="O11486" s="28"/>
      <c r="U11486" s="28"/>
    </row>
    <row r="11487">
      <c r="N11487" s="28"/>
      <c r="O11487" s="28"/>
      <c r="U11487" s="28"/>
    </row>
    <row r="11488">
      <c r="N11488" s="28"/>
      <c r="O11488" s="28"/>
      <c r="U11488" s="28"/>
    </row>
    <row r="11489">
      <c r="N11489" s="28"/>
      <c r="O11489" s="28"/>
      <c r="U11489" s="28"/>
    </row>
    <row r="11490">
      <c r="N11490" s="28"/>
      <c r="O11490" s="28"/>
      <c r="U11490" s="28"/>
    </row>
    <row r="11491">
      <c r="N11491" s="28"/>
      <c r="O11491" s="28"/>
      <c r="U11491" s="28"/>
    </row>
    <row r="11492">
      <c r="N11492" s="28"/>
      <c r="O11492" s="28"/>
      <c r="U11492" s="28"/>
    </row>
    <row r="11493">
      <c r="N11493" s="28"/>
      <c r="O11493" s="28"/>
      <c r="U11493" s="28"/>
    </row>
    <row r="11494">
      <c r="N11494" s="28"/>
      <c r="O11494" s="28"/>
      <c r="U11494" s="28"/>
    </row>
    <row r="11495">
      <c r="N11495" s="28"/>
      <c r="O11495" s="28"/>
      <c r="U11495" s="28"/>
    </row>
    <row r="11496">
      <c r="N11496" s="28"/>
      <c r="O11496" s="28"/>
      <c r="U11496" s="28"/>
    </row>
    <row r="11497">
      <c r="N11497" s="28"/>
      <c r="O11497" s="28"/>
      <c r="U11497" s="28"/>
    </row>
    <row r="11498">
      <c r="N11498" s="28"/>
      <c r="O11498" s="28"/>
      <c r="U11498" s="28"/>
    </row>
    <row r="11499">
      <c r="N11499" s="28"/>
      <c r="O11499" s="28"/>
      <c r="U11499" s="28"/>
    </row>
    <row r="11500">
      <c r="N11500" s="28"/>
      <c r="O11500" s="28"/>
      <c r="U11500" s="28"/>
    </row>
    <row r="11501">
      <c r="N11501" s="28"/>
      <c r="O11501" s="28"/>
      <c r="U11501" s="28"/>
    </row>
    <row r="11502">
      <c r="N11502" s="28"/>
      <c r="O11502" s="28"/>
      <c r="U11502" s="28"/>
    </row>
    <row r="11503">
      <c r="N11503" s="28"/>
      <c r="O11503" s="28"/>
      <c r="U11503" s="28"/>
    </row>
    <row r="11504">
      <c r="N11504" s="28"/>
      <c r="O11504" s="28"/>
      <c r="U11504" s="28"/>
    </row>
    <row r="11505">
      <c r="N11505" s="28"/>
      <c r="O11505" s="28"/>
      <c r="U11505" s="28"/>
    </row>
    <row r="11506">
      <c r="N11506" s="28"/>
      <c r="O11506" s="28"/>
      <c r="U11506" s="28"/>
    </row>
    <row r="11507">
      <c r="N11507" s="28"/>
      <c r="O11507" s="28"/>
      <c r="U11507" s="28"/>
    </row>
    <row r="11508">
      <c r="N11508" s="28"/>
      <c r="O11508" s="28"/>
      <c r="U11508" s="28"/>
    </row>
    <row r="11509">
      <c r="N11509" s="28"/>
      <c r="O11509" s="28"/>
      <c r="U11509" s="28"/>
    </row>
    <row r="11510">
      <c r="N11510" s="28"/>
      <c r="O11510" s="28"/>
      <c r="U11510" s="28"/>
    </row>
    <row r="11511">
      <c r="N11511" s="28"/>
      <c r="O11511" s="28"/>
      <c r="U11511" s="28"/>
    </row>
    <row r="11512">
      <c r="N11512" s="28"/>
      <c r="O11512" s="28"/>
      <c r="U11512" s="28"/>
    </row>
    <row r="11513">
      <c r="N11513" s="28"/>
      <c r="O11513" s="28"/>
      <c r="U11513" s="28"/>
    </row>
    <row r="11514">
      <c r="N11514" s="28"/>
      <c r="O11514" s="28"/>
      <c r="U11514" s="28"/>
    </row>
    <row r="11515">
      <c r="N11515" s="28"/>
      <c r="O11515" s="28"/>
      <c r="U11515" s="28"/>
    </row>
    <row r="11516">
      <c r="N11516" s="28"/>
      <c r="O11516" s="28"/>
      <c r="U11516" s="28"/>
    </row>
    <row r="11517">
      <c r="N11517" s="28"/>
      <c r="O11517" s="28"/>
      <c r="U11517" s="28"/>
    </row>
    <row r="11518">
      <c r="N11518" s="28"/>
      <c r="O11518" s="28"/>
      <c r="U11518" s="28"/>
    </row>
    <row r="11519">
      <c r="N11519" s="28"/>
      <c r="O11519" s="28"/>
      <c r="U11519" s="28"/>
    </row>
    <row r="11520">
      <c r="N11520" s="28"/>
      <c r="O11520" s="28"/>
      <c r="U11520" s="28"/>
    </row>
    <row r="11521">
      <c r="N11521" s="28"/>
      <c r="O11521" s="28"/>
      <c r="U11521" s="28"/>
    </row>
    <row r="11522">
      <c r="N11522" s="28"/>
      <c r="O11522" s="28"/>
      <c r="U11522" s="28"/>
    </row>
    <row r="11523">
      <c r="N11523" s="28"/>
      <c r="O11523" s="28"/>
      <c r="U11523" s="28"/>
    </row>
    <row r="11524">
      <c r="N11524" s="28"/>
      <c r="O11524" s="28"/>
      <c r="U11524" s="28"/>
    </row>
    <row r="11525">
      <c r="N11525" s="28"/>
      <c r="O11525" s="28"/>
      <c r="U11525" s="28"/>
    </row>
    <row r="11526">
      <c r="N11526" s="28"/>
      <c r="O11526" s="28"/>
      <c r="U11526" s="28"/>
    </row>
    <row r="11527">
      <c r="N11527" s="28"/>
      <c r="O11527" s="28"/>
      <c r="U11527" s="28"/>
    </row>
    <row r="11528">
      <c r="N11528" s="28"/>
      <c r="O11528" s="28"/>
      <c r="U11528" s="28"/>
    </row>
    <row r="11529">
      <c r="N11529" s="28"/>
      <c r="O11529" s="28"/>
      <c r="U11529" s="28"/>
    </row>
    <row r="11530">
      <c r="N11530" s="28"/>
      <c r="O11530" s="28"/>
      <c r="U11530" s="28"/>
    </row>
    <row r="11531">
      <c r="N11531" s="28"/>
      <c r="O11531" s="28"/>
      <c r="U11531" s="28"/>
    </row>
    <row r="11532">
      <c r="N11532" s="28"/>
      <c r="O11532" s="28"/>
      <c r="U11532" s="28"/>
    </row>
    <row r="11533">
      <c r="N11533" s="28"/>
      <c r="O11533" s="28"/>
      <c r="U11533" s="28"/>
    </row>
    <row r="11534">
      <c r="N11534" s="28"/>
      <c r="O11534" s="28"/>
      <c r="U11534" s="28"/>
    </row>
    <row r="11535">
      <c r="N11535" s="28"/>
      <c r="O11535" s="28"/>
      <c r="U11535" s="28"/>
    </row>
    <row r="11536">
      <c r="N11536" s="28"/>
      <c r="O11536" s="28"/>
      <c r="U11536" s="28"/>
    </row>
    <row r="11537">
      <c r="N11537" s="28"/>
      <c r="O11537" s="28"/>
      <c r="U11537" s="28"/>
    </row>
    <row r="11538">
      <c r="N11538" s="28"/>
      <c r="O11538" s="28"/>
      <c r="U11538" s="28"/>
    </row>
    <row r="11539">
      <c r="N11539" s="28"/>
      <c r="O11539" s="28"/>
      <c r="U11539" s="28"/>
    </row>
    <row r="11540">
      <c r="N11540" s="28"/>
      <c r="O11540" s="28"/>
      <c r="U11540" s="28"/>
    </row>
    <row r="11541">
      <c r="N11541" s="28"/>
      <c r="O11541" s="28"/>
      <c r="U11541" s="28"/>
    </row>
    <row r="11542">
      <c r="N11542" s="28"/>
      <c r="O11542" s="28"/>
      <c r="U11542" s="28"/>
    </row>
    <row r="11543">
      <c r="N11543" s="28"/>
      <c r="O11543" s="28"/>
      <c r="U11543" s="28"/>
    </row>
    <row r="11544">
      <c r="N11544" s="28"/>
      <c r="O11544" s="28"/>
      <c r="U11544" s="28"/>
    </row>
    <row r="11545">
      <c r="N11545" s="28"/>
      <c r="O11545" s="28"/>
      <c r="U11545" s="28"/>
    </row>
    <row r="11546">
      <c r="N11546" s="28"/>
      <c r="O11546" s="28"/>
      <c r="U11546" s="28"/>
    </row>
    <row r="11547">
      <c r="N11547" s="28"/>
      <c r="O11547" s="28"/>
      <c r="U11547" s="28"/>
    </row>
    <row r="11548">
      <c r="N11548" s="28"/>
      <c r="O11548" s="28"/>
      <c r="U11548" s="28"/>
    </row>
    <row r="11549">
      <c r="N11549" s="28"/>
      <c r="O11549" s="28"/>
      <c r="U11549" s="28"/>
    </row>
    <row r="11550">
      <c r="N11550" s="28"/>
      <c r="O11550" s="28"/>
      <c r="U11550" s="28"/>
    </row>
    <row r="11551">
      <c r="N11551" s="28"/>
      <c r="O11551" s="28"/>
      <c r="U11551" s="28"/>
    </row>
    <row r="11552">
      <c r="N11552" s="28"/>
      <c r="O11552" s="28"/>
      <c r="U11552" s="28"/>
    </row>
    <row r="11553">
      <c r="N11553" s="28"/>
      <c r="O11553" s="28"/>
      <c r="U11553" s="28"/>
    </row>
    <row r="11554">
      <c r="N11554" s="28"/>
      <c r="O11554" s="28"/>
      <c r="U11554" s="28"/>
    </row>
    <row r="11555">
      <c r="N11555" s="28"/>
      <c r="O11555" s="28"/>
      <c r="U11555" s="28"/>
    </row>
    <row r="11556">
      <c r="N11556" s="28"/>
      <c r="O11556" s="28"/>
      <c r="U11556" s="28"/>
    </row>
    <row r="11557">
      <c r="N11557" s="28"/>
      <c r="O11557" s="28"/>
      <c r="U11557" s="28"/>
    </row>
    <row r="11558">
      <c r="N11558" s="28"/>
      <c r="O11558" s="28"/>
      <c r="U11558" s="28"/>
    </row>
    <row r="11559">
      <c r="N11559" s="28"/>
      <c r="O11559" s="28"/>
      <c r="U11559" s="28"/>
    </row>
    <row r="11560">
      <c r="N11560" s="28"/>
      <c r="O11560" s="28"/>
      <c r="U11560" s="28"/>
    </row>
    <row r="11561">
      <c r="N11561" s="28"/>
      <c r="O11561" s="28"/>
      <c r="U11561" s="28"/>
    </row>
    <row r="11562">
      <c r="N11562" s="28"/>
      <c r="O11562" s="28"/>
      <c r="U11562" s="28"/>
    </row>
    <row r="11563">
      <c r="N11563" s="28"/>
      <c r="O11563" s="28"/>
      <c r="U11563" s="28"/>
    </row>
    <row r="11564">
      <c r="N11564" s="28"/>
      <c r="O11564" s="28"/>
      <c r="U11564" s="28"/>
    </row>
    <row r="11565">
      <c r="N11565" s="28"/>
      <c r="O11565" s="28"/>
      <c r="U11565" s="28"/>
    </row>
    <row r="11566">
      <c r="N11566" s="28"/>
      <c r="O11566" s="28"/>
      <c r="U11566" s="28"/>
    </row>
    <row r="11567">
      <c r="N11567" s="28"/>
      <c r="O11567" s="28"/>
      <c r="U11567" s="28"/>
    </row>
    <row r="11568">
      <c r="N11568" s="28"/>
      <c r="O11568" s="28"/>
      <c r="U11568" s="28"/>
    </row>
    <row r="11569">
      <c r="N11569" s="28"/>
      <c r="O11569" s="28"/>
      <c r="U11569" s="28"/>
    </row>
    <row r="11570">
      <c r="N11570" s="28"/>
      <c r="O11570" s="28"/>
      <c r="U11570" s="28"/>
    </row>
    <row r="11571">
      <c r="N11571" s="28"/>
      <c r="O11571" s="28"/>
      <c r="U11571" s="28"/>
    </row>
    <row r="11572">
      <c r="N11572" s="28"/>
      <c r="O11572" s="28"/>
      <c r="U11572" s="28"/>
    </row>
    <row r="11573">
      <c r="N11573" s="28"/>
      <c r="O11573" s="28"/>
      <c r="U11573" s="28"/>
    </row>
    <row r="11574">
      <c r="N11574" s="28"/>
      <c r="O11574" s="28"/>
      <c r="U11574" s="28"/>
    </row>
    <row r="11575">
      <c r="N11575" s="28"/>
      <c r="O11575" s="28"/>
      <c r="U11575" s="28"/>
    </row>
    <row r="11576">
      <c r="N11576" s="28"/>
      <c r="O11576" s="28"/>
      <c r="U11576" s="28"/>
    </row>
    <row r="11577">
      <c r="N11577" s="28"/>
      <c r="O11577" s="28"/>
      <c r="U11577" s="28"/>
    </row>
    <row r="11578">
      <c r="N11578" s="28"/>
      <c r="O11578" s="28"/>
      <c r="U11578" s="28"/>
    </row>
    <row r="11579">
      <c r="N11579" s="28"/>
      <c r="O11579" s="28"/>
      <c r="U11579" s="28"/>
    </row>
    <row r="11580">
      <c r="N11580" s="28"/>
      <c r="O11580" s="28"/>
      <c r="U11580" s="28"/>
    </row>
    <row r="11581">
      <c r="N11581" s="28"/>
      <c r="O11581" s="28"/>
      <c r="U11581" s="28"/>
    </row>
    <row r="11582">
      <c r="N11582" s="28"/>
      <c r="O11582" s="28"/>
      <c r="U11582" s="28"/>
    </row>
    <row r="11583">
      <c r="N11583" s="28"/>
      <c r="O11583" s="28"/>
      <c r="U11583" s="28"/>
    </row>
    <row r="11584">
      <c r="N11584" s="28"/>
      <c r="O11584" s="28"/>
      <c r="U11584" s="28"/>
    </row>
    <row r="11585">
      <c r="N11585" s="28"/>
      <c r="O11585" s="28"/>
      <c r="U11585" s="28"/>
    </row>
    <row r="11586">
      <c r="N11586" s="28"/>
      <c r="O11586" s="28"/>
      <c r="U11586" s="28"/>
    </row>
    <row r="11587">
      <c r="N11587" s="28"/>
      <c r="O11587" s="28"/>
      <c r="U11587" s="28"/>
    </row>
    <row r="11588">
      <c r="N11588" s="28"/>
      <c r="O11588" s="28"/>
      <c r="U11588" s="28"/>
    </row>
    <row r="11589">
      <c r="N11589" s="28"/>
      <c r="O11589" s="28"/>
      <c r="U11589" s="28"/>
    </row>
    <row r="11590">
      <c r="N11590" s="28"/>
      <c r="O11590" s="28"/>
      <c r="U11590" s="28"/>
    </row>
    <row r="11591">
      <c r="N11591" s="28"/>
      <c r="O11591" s="28"/>
      <c r="U11591" s="28"/>
    </row>
    <row r="11592">
      <c r="N11592" s="28"/>
      <c r="O11592" s="28"/>
      <c r="U11592" s="28"/>
    </row>
    <row r="11593">
      <c r="N11593" s="28"/>
      <c r="O11593" s="28"/>
      <c r="U11593" s="28"/>
    </row>
    <row r="11594">
      <c r="N11594" s="28"/>
      <c r="O11594" s="28"/>
      <c r="U11594" s="28"/>
    </row>
    <row r="11595">
      <c r="N11595" s="28"/>
      <c r="O11595" s="28"/>
      <c r="U11595" s="28"/>
    </row>
    <row r="11596">
      <c r="N11596" s="28"/>
      <c r="O11596" s="28"/>
      <c r="U11596" s="28"/>
    </row>
    <row r="11597">
      <c r="N11597" s="28"/>
      <c r="O11597" s="28"/>
      <c r="U11597" s="28"/>
    </row>
    <row r="11598">
      <c r="N11598" s="28"/>
      <c r="O11598" s="28"/>
      <c r="U11598" s="28"/>
    </row>
    <row r="11599">
      <c r="N11599" s="28"/>
      <c r="O11599" s="28"/>
      <c r="U11599" s="28"/>
    </row>
    <row r="11600">
      <c r="N11600" s="28"/>
      <c r="O11600" s="28"/>
      <c r="U11600" s="28"/>
    </row>
    <row r="11601">
      <c r="N11601" s="28"/>
      <c r="O11601" s="28"/>
      <c r="U11601" s="28"/>
    </row>
    <row r="11602">
      <c r="N11602" s="28"/>
      <c r="O11602" s="28"/>
      <c r="U11602" s="28"/>
    </row>
    <row r="11603">
      <c r="N11603" s="28"/>
      <c r="O11603" s="28"/>
      <c r="U11603" s="28"/>
    </row>
    <row r="11604">
      <c r="N11604" s="28"/>
      <c r="O11604" s="28"/>
      <c r="U11604" s="28"/>
    </row>
    <row r="11605">
      <c r="N11605" s="28"/>
      <c r="O11605" s="28"/>
      <c r="U11605" s="28"/>
    </row>
    <row r="11606">
      <c r="N11606" s="28"/>
      <c r="O11606" s="28"/>
      <c r="U11606" s="28"/>
    </row>
    <row r="11607">
      <c r="N11607" s="28"/>
      <c r="O11607" s="28"/>
      <c r="U11607" s="28"/>
    </row>
    <row r="11608">
      <c r="N11608" s="28"/>
      <c r="O11608" s="28"/>
      <c r="U11608" s="28"/>
    </row>
    <row r="11609">
      <c r="N11609" s="28"/>
      <c r="O11609" s="28"/>
      <c r="U11609" s="28"/>
    </row>
    <row r="11610">
      <c r="N11610" s="28"/>
      <c r="O11610" s="28"/>
      <c r="U11610" s="28"/>
    </row>
    <row r="11611">
      <c r="N11611" s="28"/>
      <c r="O11611" s="28"/>
      <c r="U11611" s="28"/>
    </row>
    <row r="11612">
      <c r="N11612" s="28"/>
      <c r="O11612" s="28"/>
      <c r="U11612" s="28"/>
    </row>
    <row r="11613">
      <c r="N11613" s="28"/>
      <c r="O11613" s="28"/>
      <c r="U11613" s="28"/>
    </row>
    <row r="11614">
      <c r="N11614" s="28"/>
      <c r="O11614" s="28"/>
      <c r="U11614" s="28"/>
    </row>
    <row r="11615">
      <c r="N11615" s="28"/>
      <c r="O11615" s="28"/>
      <c r="U11615" s="28"/>
    </row>
    <row r="11616">
      <c r="N11616" s="28"/>
      <c r="O11616" s="28"/>
      <c r="U11616" s="28"/>
    </row>
    <row r="11617">
      <c r="N11617" s="28"/>
      <c r="O11617" s="28"/>
      <c r="U11617" s="28"/>
    </row>
    <row r="11618">
      <c r="N11618" s="28"/>
      <c r="O11618" s="28"/>
      <c r="U11618" s="28"/>
    </row>
    <row r="11619">
      <c r="N11619" s="28"/>
      <c r="O11619" s="28"/>
      <c r="U11619" s="28"/>
    </row>
    <row r="11620">
      <c r="N11620" s="28"/>
      <c r="O11620" s="28"/>
      <c r="U11620" s="28"/>
    </row>
    <row r="11621">
      <c r="N11621" s="28"/>
      <c r="O11621" s="28"/>
      <c r="U11621" s="28"/>
    </row>
    <row r="11622">
      <c r="N11622" s="28"/>
      <c r="O11622" s="28"/>
      <c r="U11622" s="28"/>
    </row>
    <row r="11623">
      <c r="N11623" s="28"/>
      <c r="O11623" s="28"/>
      <c r="U11623" s="28"/>
    </row>
    <row r="11624">
      <c r="N11624" s="28"/>
      <c r="O11624" s="28"/>
      <c r="U11624" s="28"/>
    </row>
    <row r="11625">
      <c r="N11625" s="28"/>
      <c r="O11625" s="28"/>
      <c r="U11625" s="28"/>
    </row>
    <row r="11626">
      <c r="N11626" s="28"/>
      <c r="O11626" s="28"/>
      <c r="U11626" s="28"/>
    </row>
    <row r="11627">
      <c r="N11627" s="28"/>
      <c r="O11627" s="28"/>
      <c r="U11627" s="28"/>
    </row>
    <row r="11628">
      <c r="N11628" s="28"/>
      <c r="O11628" s="28"/>
      <c r="U11628" s="28"/>
    </row>
    <row r="11629">
      <c r="N11629" s="28"/>
      <c r="O11629" s="28"/>
      <c r="U11629" s="28"/>
    </row>
    <row r="11630">
      <c r="N11630" s="28"/>
      <c r="O11630" s="28"/>
      <c r="U11630" s="28"/>
    </row>
    <row r="11631">
      <c r="N11631" s="28"/>
      <c r="O11631" s="28"/>
      <c r="U11631" s="28"/>
    </row>
    <row r="11632">
      <c r="N11632" s="28"/>
      <c r="O11632" s="28"/>
      <c r="U11632" s="28"/>
    </row>
    <row r="11633">
      <c r="N11633" s="28"/>
      <c r="O11633" s="28"/>
      <c r="U11633" s="28"/>
    </row>
    <row r="11634">
      <c r="N11634" s="28"/>
      <c r="O11634" s="28"/>
      <c r="U11634" s="28"/>
    </row>
    <row r="11635">
      <c r="N11635" s="28"/>
      <c r="O11635" s="28"/>
      <c r="U11635" s="28"/>
    </row>
    <row r="11636">
      <c r="N11636" s="28"/>
      <c r="O11636" s="28"/>
      <c r="U11636" s="28"/>
    </row>
    <row r="11637">
      <c r="N11637" s="28"/>
      <c r="O11637" s="28"/>
      <c r="U11637" s="28"/>
    </row>
    <row r="11638">
      <c r="N11638" s="28"/>
      <c r="O11638" s="28"/>
      <c r="U11638" s="28"/>
    </row>
    <row r="11639">
      <c r="N11639" s="28"/>
      <c r="O11639" s="28"/>
      <c r="U11639" s="28"/>
    </row>
    <row r="11640">
      <c r="N11640" s="28"/>
      <c r="O11640" s="28"/>
      <c r="U11640" s="28"/>
    </row>
    <row r="11641">
      <c r="N11641" s="28"/>
      <c r="O11641" s="28"/>
      <c r="U11641" s="28"/>
    </row>
    <row r="11642">
      <c r="N11642" s="28"/>
      <c r="O11642" s="28"/>
      <c r="U11642" s="28"/>
    </row>
    <row r="11643">
      <c r="N11643" s="28"/>
      <c r="O11643" s="28"/>
      <c r="U11643" s="28"/>
    </row>
    <row r="11644">
      <c r="N11644" s="28"/>
      <c r="O11644" s="28"/>
      <c r="U11644" s="28"/>
    </row>
    <row r="11645">
      <c r="N11645" s="28"/>
      <c r="O11645" s="28"/>
      <c r="U11645" s="28"/>
    </row>
    <row r="11646">
      <c r="N11646" s="28"/>
      <c r="O11646" s="28"/>
      <c r="U11646" s="28"/>
    </row>
    <row r="11647">
      <c r="N11647" s="28"/>
      <c r="O11647" s="28"/>
      <c r="U11647" s="28"/>
    </row>
    <row r="11648">
      <c r="N11648" s="28"/>
      <c r="O11648" s="28"/>
      <c r="U11648" s="28"/>
    </row>
    <row r="11649">
      <c r="N11649" s="28"/>
      <c r="O11649" s="28"/>
      <c r="U11649" s="28"/>
    </row>
    <row r="11650">
      <c r="N11650" s="28"/>
      <c r="O11650" s="28"/>
      <c r="U11650" s="28"/>
    </row>
    <row r="11651">
      <c r="N11651" s="28"/>
      <c r="O11651" s="28"/>
      <c r="U11651" s="28"/>
    </row>
    <row r="11652">
      <c r="N11652" s="28"/>
      <c r="O11652" s="28"/>
      <c r="U11652" s="28"/>
    </row>
    <row r="11653">
      <c r="N11653" s="28"/>
      <c r="O11653" s="28"/>
      <c r="U11653" s="28"/>
    </row>
    <row r="11654">
      <c r="N11654" s="28"/>
      <c r="O11654" s="28"/>
      <c r="U11654" s="28"/>
    </row>
    <row r="11655">
      <c r="N11655" s="28"/>
      <c r="O11655" s="28"/>
      <c r="U11655" s="28"/>
    </row>
    <row r="11656">
      <c r="N11656" s="28"/>
      <c r="O11656" s="28"/>
      <c r="U11656" s="28"/>
    </row>
    <row r="11657">
      <c r="N11657" s="28"/>
      <c r="O11657" s="28"/>
      <c r="U11657" s="28"/>
    </row>
    <row r="11658">
      <c r="N11658" s="28"/>
      <c r="O11658" s="28"/>
      <c r="U11658" s="28"/>
    </row>
    <row r="11659">
      <c r="N11659" s="28"/>
      <c r="O11659" s="28"/>
      <c r="U11659" s="28"/>
    </row>
    <row r="11660">
      <c r="N11660" s="28"/>
      <c r="O11660" s="28"/>
      <c r="U11660" s="28"/>
    </row>
    <row r="11661">
      <c r="N11661" s="28"/>
      <c r="O11661" s="28"/>
      <c r="U11661" s="28"/>
    </row>
    <row r="11662">
      <c r="N11662" s="28"/>
      <c r="O11662" s="28"/>
      <c r="U11662" s="28"/>
    </row>
    <row r="11663">
      <c r="N11663" s="28"/>
      <c r="O11663" s="28"/>
      <c r="U11663" s="28"/>
    </row>
    <row r="11664">
      <c r="N11664" s="28"/>
      <c r="O11664" s="28"/>
      <c r="U11664" s="28"/>
    </row>
    <row r="11665">
      <c r="N11665" s="28"/>
      <c r="O11665" s="28"/>
      <c r="U11665" s="28"/>
    </row>
    <row r="11666">
      <c r="N11666" s="28"/>
      <c r="O11666" s="28"/>
      <c r="U11666" s="28"/>
    </row>
    <row r="11667">
      <c r="N11667" s="28"/>
      <c r="O11667" s="28"/>
      <c r="U11667" s="28"/>
    </row>
    <row r="11668">
      <c r="N11668" s="28"/>
      <c r="O11668" s="28"/>
      <c r="U11668" s="28"/>
    </row>
    <row r="11669">
      <c r="N11669" s="28"/>
      <c r="O11669" s="28"/>
      <c r="U11669" s="28"/>
    </row>
    <row r="11670">
      <c r="N11670" s="28"/>
      <c r="O11670" s="28"/>
      <c r="U11670" s="28"/>
    </row>
    <row r="11671">
      <c r="N11671" s="28"/>
      <c r="O11671" s="28"/>
      <c r="U11671" s="28"/>
    </row>
    <row r="11672">
      <c r="N11672" s="28"/>
      <c r="O11672" s="28"/>
      <c r="U11672" s="28"/>
    </row>
    <row r="11673">
      <c r="N11673" s="28"/>
      <c r="O11673" s="28"/>
      <c r="U11673" s="28"/>
    </row>
    <row r="11674">
      <c r="N11674" s="28"/>
      <c r="O11674" s="28"/>
      <c r="U11674" s="28"/>
    </row>
    <row r="11675">
      <c r="N11675" s="28"/>
      <c r="O11675" s="28"/>
      <c r="U11675" s="28"/>
    </row>
    <row r="11676">
      <c r="N11676" s="28"/>
      <c r="O11676" s="28"/>
      <c r="U11676" s="28"/>
    </row>
    <row r="11677">
      <c r="N11677" s="28"/>
      <c r="O11677" s="28"/>
      <c r="U11677" s="28"/>
    </row>
    <row r="11678">
      <c r="N11678" s="28"/>
      <c r="O11678" s="28"/>
      <c r="U11678" s="28"/>
    </row>
    <row r="11679">
      <c r="N11679" s="28"/>
      <c r="O11679" s="28"/>
      <c r="U11679" s="28"/>
    </row>
    <row r="11680">
      <c r="N11680" s="28"/>
      <c r="O11680" s="28"/>
      <c r="U11680" s="28"/>
    </row>
    <row r="11681">
      <c r="N11681" s="28"/>
      <c r="O11681" s="28"/>
      <c r="U11681" s="28"/>
    </row>
    <row r="11682">
      <c r="N11682" s="28"/>
      <c r="O11682" s="28"/>
      <c r="U11682" s="28"/>
    </row>
    <row r="11683">
      <c r="N11683" s="28"/>
      <c r="O11683" s="28"/>
      <c r="U11683" s="28"/>
    </row>
    <row r="11684">
      <c r="N11684" s="28"/>
      <c r="O11684" s="28"/>
      <c r="U11684" s="28"/>
    </row>
    <row r="11685">
      <c r="N11685" s="28"/>
      <c r="O11685" s="28"/>
      <c r="U11685" s="28"/>
    </row>
    <row r="11686">
      <c r="N11686" s="28"/>
      <c r="O11686" s="28"/>
      <c r="U11686" s="28"/>
    </row>
    <row r="11687">
      <c r="N11687" s="28"/>
      <c r="O11687" s="28"/>
      <c r="U11687" s="28"/>
    </row>
    <row r="11688">
      <c r="N11688" s="28"/>
      <c r="O11688" s="28"/>
      <c r="U11688" s="28"/>
    </row>
    <row r="11689">
      <c r="N11689" s="28"/>
      <c r="O11689" s="28"/>
      <c r="U11689" s="28"/>
    </row>
    <row r="11690">
      <c r="N11690" s="28"/>
      <c r="O11690" s="28"/>
      <c r="U11690" s="28"/>
    </row>
    <row r="11691">
      <c r="N11691" s="28"/>
      <c r="O11691" s="28"/>
      <c r="U11691" s="28"/>
    </row>
    <row r="11692">
      <c r="N11692" s="28"/>
      <c r="O11692" s="28"/>
      <c r="U11692" s="28"/>
    </row>
    <row r="11693">
      <c r="N11693" s="28"/>
      <c r="O11693" s="28"/>
      <c r="U11693" s="28"/>
    </row>
    <row r="11694">
      <c r="N11694" s="28"/>
      <c r="O11694" s="28"/>
      <c r="U11694" s="28"/>
    </row>
    <row r="11695">
      <c r="N11695" s="28"/>
      <c r="O11695" s="28"/>
      <c r="U11695" s="28"/>
    </row>
    <row r="11696">
      <c r="N11696" s="28"/>
      <c r="O11696" s="28"/>
      <c r="U11696" s="28"/>
    </row>
    <row r="11697">
      <c r="N11697" s="28"/>
      <c r="O11697" s="28"/>
      <c r="U11697" s="28"/>
    </row>
    <row r="11698">
      <c r="N11698" s="28"/>
      <c r="O11698" s="28"/>
      <c r="U11698" s="28"/>
    </row>
    <row r="11699">
      <c r="N11699" s="28"/>
      <c r="O11699" s="28"/>
      <c r="U11699" s="28"/>
    </row>
    <row r="11700">
      <c r="N11700" s="28"/>
      <c r="O11700" s="28"/>
      <c r="U11700" s="28"/>
    </row>
    <row r="11701">
      <c r="N11701" s="28"/>
      <c r="O11701" s="28"/>
      <c r="U11701" s="28"/>
    </row>
    <row r="11702">
      <c r="N11702" s="28"/>
      <c r="O11702" s="28"/>
      <c r="U11702" s="28"/>
    </row>
    <row r="11703">
      <c r="N11703" s="28"/>
      <c r="O11703" s="28"/>
      <c r="U11703" s="28"/>
    </row>
    <row r="11704">
      <c r="N11704" s="28"/>
      <c r="O11704" s="28"/>
      <c r="U11704" s="28"/>
    </row>
    <row r="11705">
      <c r="N11705" s="28"/>
      <c r="O11705" s="28"/>
      <c r="U11705" s="28"/>
    </row>
    <row r="11706">
      <c r="N11706" s="28"/>
      <c r="O11706" s="28"/>
      <c r="U11706" s="28"/>
    </row>
    <row r="11707">
      <c r="N11707" s="28"/>
      <c r="O11707" s="28"/>
      <c r="U11707" s="28"/>
    </row>
    <row r="11708">
      <c r="N11708" s="28"/>
      <c r="O11708" s="28"/>
      <c r="U11708" s="28"/>
    </row>
    <row r="11709">
      <c r="N11709" s="28"/>
      <c r="O11709" s="28"/>
      <c r="U11709" s="28"/>
    </row>
    <row r="11710">
      <c r="N11710" s="28"/>
      <c r="O11710" s="28"/>
      <c r="U11710" s="28"/>
    </row>
    <row r="11711">
      <c r="N11711" s="28"/>
      <c r="O11711" s="28"/>
      <c r="U11711" s="28"/>
    </row>
    <row r="11712">
      <c r="N11712" s="28"/>
      <c r="O11712" s="28"/>
      <c r="U11712" s="28"/>
    </row>
    <row r="11713">
      <c r="N11713" s="28"/>
      <c r="O11713" s="28"/>
      <c r="U11713" s="28"/>
    </row>
    <row r="11714">
      <c r="N11714" s="28"/>
      <c r="O11714" s="28"/>
      <c r="U11714" s="28"/>
    </row>
    <row r="11715">
      <c r="N11715" s="28"/>
      <c r="O11715" s="28"/>
      <c r="U11715" s="28"/>
    </row>
    <row r="11716">
      <c r="N11716" s="28"/>
      <c r="O11716" s="28"/>
      <c r="U11716" s="28"/>
    </row>
    <row r="11717">
      <c r="N11717" s="28"/>
      <c r="O11717" s="28"/>
      <c r="U11717" s="28"/>
    </row>
    <row r="11718">
      <c r="N11718" s="28"/>
      <c r="O11718" s="28"/>
      <c r="U11718" s="28"/>
    </row>
    <row r="11719">
      <c r="N11719" s="28"/>
      <c r="O11719" s="28"/>
      <c r="U11719" s="28"/>
    </row>
    <row r="11720">
      <c r="N11720" s="28"/>
      <c r="O11720" s="28"/>
      <c r="U11720" s="28"/>
    </row>
    <row r="11721">
      <c r="N11721" s="28"/>
      <c r="O11721" s="28"/>
      <c r="U11721" s="28"/>
    </row>
    <row r="11722">
      <c r="N11722" s="28"/>
      <c r="O11722" s="28"/>
      <c r="U11722" s="28"/>
    </row>
    <row r="11723">
      <c r="N11723" s="28"/>
      <c r="O11723" s="28"/>
      <c r="U11723" s="28"/>
    </row>
    <row r="11724">
      <c r="N11724" s="28"/>
      <c r="O11724" s="28"/>
      <c r="U11724" s="28"/>
    </row>
    <row r="11725">
      <c r="N11725" s="28"/>
      <c r="O11725" s="28"/>
      <c r="U11725" s="28"/>
    </row>
    <row r="11726">
      <c r="N11726" s="28"/>
      <c r="O11726" s="28"/>
      <c r="U11726" s="28"/>
    </row>
    <row r="11727">
      <c r="N11727" s="28"/>
      <c r="O11727" s="28"/>
      <c r="U11727" s="28"/>
    </row>
    <row r="11728">
      <c r="N11728" s="28"/>
      <c r="O11728" s="28"/>
      <c r="U11728" s="28"/>
    </row>
    <row r="11729">
      <c r="N11729" s="28"/>
      <c r="O11729" s="28"/>
      <c r="U11729" s="28"/>
    </row>
    <row r="11730">
      <c r="N11730" s="28"/>
      <c r="O11730" s="28"/>
      <c r="U11730" s="28"/>
    </row>
    <row r="11731">
      <c r="N11731" s="28"/>
      <c r="O11731" s="28"/>
      <c r="U11731" s="28"/>
    </row>
    <row r="11732">
      <c r="N11732" s="28"/>
      <c r="O11732" s="28"/>
      <c r="U11732" s="28"/>
    </row>
    <row r="11733">
      <c r="N11733" s="28"/>
      <c r="O11733" s="28"/>
      <c r="U11733" s="28"/>
    </row>
    <row r="11734">
      <c r="N11734" s="28"/>
      <c r="O11734" s="28"/>
      <c r="U11734" s="28"/>
    </row>
    <row r="11735">
      <c r="N11735" s="28"/>
      <c r="O11735" s="28"/>
      <c r="U11735" s="28"/>
    </row>
    <row r="11736">
      <c r="N11736" s="28"/>
      <c r="O11736" s="28"/>
      <c r="U11736" s="28"/>
    </row>
    <row r="11737">
      <c r="N11737" s="28"/>
      <c r="O11737" s="28"/>
      <c r="U11737" s="28"/>
    </row>
    <row r="11738">
      <c r="N11738" s="28"/>
      <c r="O11738" s="28"/>
      <c r="U11738" s="28"/>
    </row>
    <row r="11739">
      <c r="N11739" s="28"/>
      <c r="O11739" s="28"/>
      <c r="U11739" s="28"/>
    </row>
    <row r="11740">
      <c r="N11740" s="28"/>
      <c r="O11740" s="28"/>
      <c r="U11740" s="28"/>
    </row>
    <row r="11741">
      <c r="N11741" s="28"/>
      <c r="O11741" s="28"/>
      <c r="U11741" s="28"/>
    </row>
    <row r="11742">
      <c r="N11742" s="28"/>
      <c r="O11742" s="28"/>
      <c r="U11742" s="28"/>
    </row>
    <row r="11743">
      <c r="N11743" s="28"/>
      <c r="O11743" s="28"/>
      <c r="U11743" s="28"/>
    </row>
    <row r="11744">
      <c r="N11744" s="28"/>
      <c r="O11744" s="28"/>
      <c r="U11744" s="28"/>
    </row>
    <row r="11745">
      <c r="N11745" s="28"/>
      <c r="O11745" s="28"/>
      <c r="U11745" s="28"/>
    </row>
    <row r="11746">
      <c r="N11746" s="28"/>
      <c r="O11746" s="28"/>
      <c r="U11746" s="28"/>
    </row>
    <row r="11747">
      <c r="N11747" s="28"/>
      <c r="O11747" s="28"/>
      <c r="U11747" s="28"/>
    </row>
    <row r="11748">
      <c r="N11748" s="28"/>
      <c r="O11748" s="28"/>
      <c r="U11748" s="28"/>
    </row>
    <row r="11749">
      <c r="N11749" s="28"/>
      <c r="O11749" s="28"/>
      <c r="U11749" s="28"/>
    </row>
    <row r="11750">
      <c r="N11750" s="28"/>
      <c r="O11750" s="28"/>
      <c r="U11750" s="28"/>
    </row>
    <row r="11751">
      <c r="N11751" s="28"/>
      <c r="O11751" s="28"/>
      <c r="U11751" s="28"/>
    </row>
    <row r="11752">
      <c r="N11752" s="28"/>
      <c r="O11752" s="28"/>
      <c r="U11752" s="28"/>
    </row>
    <row r="11753">
      <c r="N11753" s="28"/>
      <c r="O11753" s="28"/>
      <c r="U11753" s="28"/>
    </row>
    <row r="11754">
      <c r="N11754" s="28"/>
      <c r="O11754" s="28"/>
      <c r="U11754" s="28"/>
    </row>
    <row r="11755">
      <c r="N11755" s="28"/>
      <c r="O11755" s="28"/>
      <c r="U11755" s="28"/>
    </row>
    <row r="11756">
      <c r="N11756" s="28"/>
      <c r="O11756" s="28"/>
      <c r="U11756" s="28"/>
    </row>
    <row r="11757">
      <c r="N11757" s="28"/>
      <c r="O11757" s="28"/>
      <c r="U11757" s="28"/>
    </row>
    <row r="11758">
      <c r="N11758" s="28"/>
      <c r="O11758" s="28"/>
      <c r="U11758" s="28"/>
    </row>
    <row r="11759">
      <c r="N11759" s="28"/>
      <c r="O11759" s="28"/>
      <c r="U11759" s="28"/>
    </row>
    <row r="11760">
      <c r="N11760" s="28"/>
      <c r="O11760" s="28"/>
      <c r="U11760" s="28"/>
    </row>
    <row r="11761">
      <c r="N11761" s="28"/>
      <c r="O11761" s="28"/>
      <c r="U11761" s="28"/>
    </row>
    <row r="11762">
      <c r="N11762" s="28"/>
      <c r="O11762" s="28"/>
      <c r="U11762" s="28"/>
    </row>
    <row r="11763">
      <c r="N11763" s="28"/>
      <c r="O11763" s="28"/>
      <c r="U11763" s="28"/>
    </row>
    <row r="11764">
      <c r="N11764" s="28"/>
      <c r="O11764" s="28"/>
      <c r="U11764" s="28"/>
    </row>
    <row r="11765">
      <c r="N11765" s="28"/>
      <c r="O11765" s="28"/>
      <c r="U11765" s="28"/>
    </row>
    <row r="11766">
      <c r="N11766" s="28"/>
      <c r="O11766" s="28"/>
      <c r="U11766" s="28"/>
    </row>
    <row r="11767">
      <c r="N11767" s="28"/>
      <c r="O11767" s="28"/>
      <c r="U11767" s="28"/>
    </row>
    <row r="11768">
      <c r="N11768" s="28"/>
      <c r="O11768" s="28"/>
      <c r="U11768" s="28"/>
    </row>
    <row r="11769">
      <c r="N11769" s="28"/>
      <c r="O11769" s="28"/>
      <c r="U11769" s="28"/>
    </row>
    <row r="11770">
      <c r="N11770" s="28"/>
      <c r="O11770" s="28"/>
      <c r="U11770" s="28"/>
    </row>
    <row r="11771">
      <c r="N11771" s="28"/>
      <c r="O11771" s="28"/>
      <c r="U11771" s="28"/>
    </row>
    <row r="11772">
      <c r="N11772" s="28"/>
      <c r="O11772" s="28"/>
      <c r="U11772" s="28"/>
    </row>
    <row r="11773">
      <c r="N11773" s="28"/>
      <c r="O11773" s="28"/>
      <c r="U11773" s="28"/>
    </row>
    <row r="11774">
      <c r="N11774" s="28"/>
      <c r="O11774" s="28"/>
      <c r="U11774" s="28"/>
    </row>
    <row r="11775">
      <c r="N11775" s="28"/>
      <c r="O11775" s="28"/>
      <c r="U11775" s="28"/>
    </row>
    <row r="11776">
      <c r="N11776" s="28"/>
      <c r="O11776" s="28"/>
      <c r="U11776" s="28"/>
    </row>
    <row r="11777">
      <c r="N11777" s="28"/>
      <c r="O11777" s="28"/>
      <c r="U11777" s="28"/>
    </row>
    <row r="11778">
      <c r="N11778" s="28"/>
      <c r="O11778" s="28"/>
      <c r="U11778" s="28"/>
    </row>
    <row r="11779">
      <c r="N11779" s="28"/>
      <c r="O11779" s="28"/>
      <c r="U11779" s="28"/>
    </row>
    <row r="11780">
      <c r="N11780" s="28"/>
      <c r="O11780" s="28"/>
      <c r="U11780" s="28"/>
    </row>
    <row r="11781">
      <c r="N11781" s="28"/>
      <c r="O11781" s="28"/>
      <c r="U11781" s="28"/>
    </row>
    <row r="11782">
      <c r="N11782" s="28"/>
      <c r="O11782" s="28"/>
      <c r="U11782" s="28"/>
    </row>
    <row r="11783">
      <c r="N11783" s="28"/>
      <c r="O11783" s="28"/>
      <c r="U11783" s="28"/>
    </row>
    <row r="11784">
      <c r="N11784" s="28"/>
      <c r="O11784" s="28"/>
      <c r="U11784" s="28"/>
    </row>
    <row r="11785">
      <c r="N11785" s="28"/>
      <c r="O11785" s="28"/>
      <c r="U11785" s="28"/>
    </row>
    <row r="11786">
      <c r="N11786" s="28"/>
      <c r="O11786" s="28"/>
      <c r="U11786" s="28"/>
    </row>
    <row r="11787">
      <c r="N11787" s="28"/>
      <c r="O11787" s="28"/>
      <c r="U11787" s="28"/>
    </row>
    <row r="11788">
      <c r="N11788" s="28"/>
      <c r="O11788" s="28"/>
      <c r="U11788" s="28"/>
    </row>
    <row r="11789">
      <c r="N11789" s="28"/>
      <c r="O11789" s="28"/>
      <c r="U11789" s="28"/>
    </row>
    <row r="11790">
      <c r="N11790" s="28"/>
      <c r="O11790" s="28"/>
      <c r="U11790" s="28"/>
    </row>
    <row r="11791">
      <c r="N11791" s="28"/>
      <c r="O11791" s="28"/>
      <c r="U11791" s="28"/>
    </row>
    <row r="11792">
      <c r="N11792" s="28"/>
      <c r="O11792" s="28"/>
      <c r="U11792" s="28"/>
    </row>
    <row r="11793">
      <c r="N11793" s="28"/>
      <c r="O11793" s="28"/>
      <c r="U11793" s="28"/>
    </row>
    <row r="11794">
      <c r="N11794" s="28"/>
      <c r="O11794" s="28"/>
      <c r="U11794" s="28"/>
    </row>
    <row r="11795">
      <c r="N11795" s="28"/>
      <c r="O11795" s="28"/>
      <c r="U11795" s="28"/>
    </row>
    <row r="11796">
      <c r="N11796" s="28"/>
      <c r="O11796" s="28"/>
      <c r="U11796" s="28"/>
    </row>
    <row r="11797">
      <c r="N11797" s="28"/>
      <c r="O11797" s="28"/>
      <c r="U11797" s="28"/>
    </row>
    <row r="11798">
      <c r="N11798" s="28"/>
      <c r="O11798" s="28"/>
      <c r="U11798" s="28"/>
    </row>
    <row r="11799">
      <c r="N11799" s="28"/>
      <c r="O11799" s="28"/>
      <c r="U11799" s="28"/>
    </row>
    <row r="11800">
      <c r="N11800" s="28"/>
      <c r="O11800" s="28"/>
      <c r="U11800" s="28"/>
    </row>
    <row r="11801">
      <c r="N11801" s="28"/>
      <c r="O11801" s="28"/>
      <c r="U11801" s="28"/>
    </row>
    <row r="11802">
      <c r="N11802" s="28"/>
      <c r="O11802" s="28"/>
      <c r="U11802" s="28"/>
    </row>
    <row r="11803">
      <c r="N11803" s="28"/>
      <c r="O11803" s="28"/>
      <c r="U11803" s="28"/>
    </row>
    <row r="11804">
      <c r="N11804" s="28"/>
      <c r="O11804" s="28"/>
      <c r="U11804" s="28"/>
    </row>
    <row r="11805">
      <c r="N11805" s="28"/>
      <c r="O11805" s="28"/>
      <c r="U11805" s="28"/>
    </row>
    <row r="11806">
      <c r="N11806" s="28"/>
      <c r="O11806" s="28"/>
      <c r="U11806" s="28"/>
    </row>
    <row r="11807">
      <c r="N11807" s="28"/>
      <c r="O11807" s="28"/>
      <c r="U11807" s="28"/>
    </row>
    <row r="11808">
      <c r="N11808" s="28"/>
      <c r="O11808" s="28"/>
      <c r="U11808" s="28"/>
    </row>
    <row r="11809">
      <c r="N11809" s="28"/>
      <c r="O11809" s="28"/>
      <c r="U11809" s="28"/>
    </row>
    <row r="11810">
      <c r="N11810" s="28"/>
      <c r="O11810" s="28"/>
      <c r="U11810" s="28"/>
    </row>
    <row r="11811">
      <c r="N11811" s="28"/>
      <c r="O11811" s="28"/>
      <c r="U11811" s="28"/>
    </row>
    <row r="11812">
      <c r="N11812" s="28"/>
      <c r="O11812" s="28"/>
      <c r="U11812" s="28"/>
    </row>
    <row r="11813">
      <c r="N11813" s="28"/>
      <c r="O11813" s="28"/>
      <c r="U11813" s="28"/>
    </row>
    <row r="11814">
      <c r="N11814" s="28"/>
      <c r="O11814" s="28"/>
      <c r="U11814" s="28"/>
    </row>
    <row r="11815">
      <c r="N11815" s="28"/>
      <c r="O11815" s="28"/>
      <c r="U11815" s="28"/>
    </row>
    <row r="11816">
      <c r="N11816" s="28"/>
      <c r="O11816" s="28"/>
      <c r="U11816" s="28"/>
    </row>
    <row r="11817">
      <c r="N11817" s="28"/>
      <c r="O11817" s="28"/>
      <c r="U11817" s="28"/>
    </row>
    <row r="11818">
      <c r="N11818" s="28"/>
      <c r="O11818" s="28"/>
      <c r="U11818" s="28"/>
    </row>
    <row r="11819">
      <c r="N11819" s="28"/>
      <c r="O11819" s="28"/>
      <c r="U11819" s="28"/>
    </row>
    <row r="11820">
      <c r="N11820" s="28"/>
      <c r="O11820" s="28"/>
      <c r="U11820" s="28"/>
    </row>
    <row r="11821">
      <c r="N11821" s="28"/>
      <c r="O11821" s="28"/>
      <c r="U11821" s="28"/>
    </row>
    <row r="11822">
      <c r="N11822" s="28"/>
      <c r="O11822" s="28"/>
      <c r="U11822" s="28"/>
    </row>
    <row r="11823">
      <c r="N11823" s="28"/>
      <c r="O11823" s="28"/>
      <c r="U11823" s="28"/>
    </row>
    <row r="11824">
      <c r="N11824" s="28"/>
      <c r="O11824" s="28"/>
      <c r="U11824" s="28"/>
    </row>
    <row r="11825">
      <c r="N11825" s="28"/>
      <c r="O11825" s="28"/>
      <c r="U11825" s="28"/>
    </row>
    <row r="11826">
      <c r="N11826" s="28"/>
      <c r="O11826" s="28"/>
      <c r="U11826" s="28"/>
    </row>
    <row r="11827">
      <c r="N11827" s="28"/>
      <c r="O11827" s="28"/>
      <c r="U11827" s="28"/>
    </row>
    <row r="11828">
      <c r="N11828" s="28"/>
      <c r="O11828" s="28"/>
      <c r="U11828" s="28"/>
    </row>
    <row r="11829">
      <c r="N11829" s="28"/>
      <c r="O11829" s="28"/>
      <c r="U11829" s="28"/>
    </row>
    <row r="11830">
      <c r="N11830" s="28"/>
      <c r="O11830" s="28"/>
      <c r="U11830" s="28"/>
    </row>
    <row r="11831">
      <c r="N11831" s="28"/>
      <c r="O11831" s="28"/>
      <c r="U11831" s="28"/>
    </row>
    <row r="11832">
      <c r="N11832" s="28"/>
      <c r="O11832" s="28"/>
      <c r="U11832" s="28"/>
    </row>
    <row r="11833">
      <c r="N11833" s="28"/>
      <c r="O11833" s="28"/>
      <c r="U11833" s="28"/>
    </row>
    <row r="11834">
      <c r="N11834" s="28"/>
      <c r="O11834" s="28"/>
      <c r="U11834" s="28"/>
    </row>
    <row r="11835">
      <c r="N11835" s="28"/>
      <c r="O11835" s="28"/>
      <c r="U11835" s="28"/>
    </row>
    <row r="11836">
      <c r="N11836" s="28"/>
      <c r="O11836" s="28"/>
      <c r="U11836" s="28"/>
    </row>
    <row r="11837">
      <c r="N11837" s="28"/>
      <c r="O11837" s="28"/>
      <c r="U11837" s="28"/>
    </row>
    <row r="11838">
      <c r="N11838" s="28"/>
      <c r="O11838" s="28"/>
      <c r="U11838" s="28"/>
    </row>
    <row r="11839">
      <c r="N11839" s="28"/>
      <c r="O11839" s="28"/>
      <c r="U11839" s="28"/>
    </row>
    <row r="11840">
      <c r="N11840" s="28"/>
      <c r="O11840" s="28"/>
      <c r="U11840" s="28"/>
    </row>
    <row r="11841">
      <c r="N11841" s="28"/>
      <c r="O11841" s="28"/>
      <c r="U11841" s="28"/>
    </row>
    <row r="11842">
      <c r="N11842" s="28"/>
      <c r="O11842" s="28"/>
      <c r="U11842" s="28"/>
    </row>
    <row r="11843">
      <c r="N11843" s="28"/>
      <c r="O11843" s="28"/>
      <c r="U11843" s="28"/>
    </row>
    <row r="11844">
      <c r="N11844" s="28"/>
      <c r="O11844" s="28"/>
      <c r="U11844" s="28"/>
    </row>
    <row r="11845">
      <c r="N11845" s="28"/>
      <c r="O11845" s="28"/>
      <c r="U11845" s="28"/>
    </row>
    <row r="11846">
      <c r="N11846" s="28"/>
      <c r="O11846" s="28"/>
      <c r="U11846" s="28"/>
    </row>
    <row r="11847">
      <c r="N11847" s="28"/>
      <c r="O11847" s="28"/>
      <c r="U11847" s="28"/>
    </row>
    <row r="11848">
      <c r="N11848" s="28"/>
      <c r="O11848" s="28"/>
      <c r="U11848" s="28"/>
    </row>
    <row r="11849">
      <c r="N11849" s="28"/>
      <c r="O11849" s="28"/>
      <c r="U11849" s="28"/>
    </row>
    <row r="11850">
      <c r="N11850" s="28"/>
      <c r="O11850" s="28"/>
      <c r="U11850" s="28"/>
    </row>
    <row r="11851">
      <c r="N11851" s="28"/>
      <c r="O11851" s="28"/>
      <c r="U11851" s="28"/>
    </row>
    <row r="11852">
      <c r="N11852" s="28"/>
      <c r="O11852" s="28"/>
      <c r="U11852" s="28"/>
    </row>
    <row r="11853">
      <c r="N11853" s="28"/>
      <c r="O11853" s="28"/>
      <c r="U11853" s="28"/>
    </row>
    <row r="11854">
      <c r="N11854" s="28"/>
      <c r="O11854" s="28"/>
      <c r="U11854" s="28"/>
    </row>
    <row r="11855">
      <c r="N11855" s="28"/>
      <c r="O11855" s="28"/>
      <c r="U11855" s="28"/>
    </row>
    <row r="11856">
      <c r="N11856" s="28"/>
      <c r="O11856" s="28"/>
      <c r="U11856" s="28"/>
    </row>
    <row r="11857">
      <c r="N11857" s="28"/>
      <c r="O11857" s="28"/>
      <c r="U11857" s="28"/>
    </row>
    <row r="11858">
      <c r="N11858" s="28"/>
      <c r="O11858" s="28"/>
      <c r="U11858" s="28"/>
    </row>
    <row r="11859">
      <c r="N11859" s="28"/>
      <c r="O11859" s="28"/>
      <c r="U11859" s="28"/>
    </row>
    <row r="11860">
      <c r="N11860" s="28"/>
      <c r="O11860" s="28"/>
      <c r="U11860" s="28"/>
    </row>
    <row r="11861">
      <c r="N11861" s="28"/>
      <c r="O11861" s="28"/>
      <c r="U11861" s="28"/>
    </row>
    <row r="11862">
      <c r="N11862" s="28"/>
      <c r="O11862" s="28"/>
      <c r="U11862" s="28"/>
    </row>
    <row r="11863">
      <c r="N11863" s="28"/>
      <c r="O11863" s="28"/>
      <c r="U11863" s="28"/>
    </row>
    <row r="11864">
      <c r="N11864" s="28"/>
      <c r="O11864" s="28"/>
      <c r="U11864" s="28"/>
    </row>
    <row r="11865">
      <c r="N11865" s="28"/>
      <c r="O11865" s="28"/>
      <c r="U11865" s="28"/>
    </row>
    <row r="11866">
      <c r="N11866" s="28"/>
      <c r="O11866" s="28"/>
      <c r="U11866" s="28"/>
    </row>
    <row r="11867">
      <c r="N11867" s="28"/>
      <c r="O11867" s="28"/>
      <c r="U11867" s="28"/>
    </row>
    <row r="11868">
      <c r="N11868" s="28"/>
      <c r="O11868" s="28"/>
      <c r="U11868" s="28"/>
    </row>
    <row r="11869">
      <c r="N11869" s="28"/>
      <c r="O11869" s="28"/>
      <c r="U11869" s="28"/>
    </row>
    <row r="11870">
      <c r="N11870" s="28"/>
      <c r="O11870" s="28"/>
      <c r="U11870" s="28"/>
    </row>
    <row r="11871">
      <c r="N11871" s="28"/>
      <c r="O11871" s="28"/>
      <c r="U11871" s="28"/>
    </row>
    <row r="11872">
      <c r="N11872" s="28"/>
      <c r="O11872" s="28"/>
      <c r="U11872" s="28"/>
    </row>
    <row r="11873">
      <c r="N11873" s="28"/>
      <c r="O11873" s="28"/>
      <c r="U11873" s="28"/>
    </row>
    <row r="11874">
      <c r="N11874" s="28"/>
      <c r="O11874" s="28"/>
      <c r="U11874" s="28"/>
    </row>
    <row r="11875">
      <c r="N11875" s="28"/>
      <c r="O11875" s="28"/>
      <c r="U11875" s="28"/>
    </row>
    <row r="11876">
      <c r="N11876" s="28"/>
      <c r="O11876" s="28"/>
      <c r="U11876" s="28"/>
    </row>
    <row r="11877">
      <c r="N11877" s="28"/>
      <c r="O11877" s="28"/>
      <c r="U11877" s="28"/>
    </row>
    <row r="11878">
      <c r="N11878" s="28"/>
      <c r="O11878" s="28"/>
      <c r="U11878" s="28"/>
    </row>
    <row r="11879">
      <c r="N11879" s="28"/>
      <c r="O11879" s="28"/>
      <c r="U11879" s="28"/>
    </row>
    <row r="11880">
      <c r="N11880" s="28"/>
      <c r="O11880" s="28"/>
      <c r="U11880" s="28"/>
    </row>
    <row r="11881">
      <c r="N11881" s="28"/>
      <c r="O11881" s="28"/>
      <c r="U11881" s="28"/>
    </row>
    <row r="11882">
      <c r="N11882" s="28"/>
      <c r="O11882" s="28"/>
      <c r="U11882" s="28"/>
    </row>
    <row r="11883">
      <c r="N11883" s="28"/>
      <c r="O11883" s="28"/>
      <c r="U11883" s="28"/>
    </row>
    <row r="11884">
      <c r="N11884" s="28"/>
      <c r="O11884" s="28"/>
      <c r="U11884" s="28"/>
    </row>
    <row r="11885">
      <c r="N11885" s="28"/>
      <c r="O11885" s="28"/>
      <c r="U11885" s="28"/>
    </row>
    <row r="11886">
      <c r="N11886" s="28"/>
      <c r="O11886" s="28"/>
      <c r="U11886" s="28"/>
    </row>
    <row r="11887">
      <c r="N11887" s="28"/>
      <c r="O11887" s="28"/>
      <c r="U11887" s="28"/>
    </row>
    <row r="11888">
      <c r="N11888" s="28"/>
      <c r="O11888" s="28"/>
      <c r="U11888" s="28"/>
    </row>
    <row r="11889">
      <c r="N11889" s="28"/>
      <c r="O11889" s="28"/>
      <c r="U11889" s="28"/>
    </row>
    <row r="11890">
      <c r="N11890" s="28"/>
      <c r="O11890" s="28"/>
      <c r="U11890" s="28"/>
    </row>
    <row r="11891">
      <c r="N11891" s="28"/>
      <c r="O11891" s="28"/>
      <c r="U11891" s="28"/>
    </row>
    <row r="11892">
      <c r="N11892" s="28"/>
      <c r="O11892" s="28"/>
      <c r="U11892" s="28"/>
    </row>
    <row r="11893">
      <c r="N11893" s="28"/>
      <c r="O11893" s="28"/>
      <c r="U11893" s="28"/>
    </row>
    <row r="11894">
      <c r="N11894" s="28"/>
      <c r="O11894" s="28"/>
      <c r="U11894" s="28"/>
    </row>
    <row r="11895">
      <c r="N11895" s="28"/>
      <c r="O11895" s="28"/>
      <c r="U11895" s="28"/>
    </row>
    <row r="11896">
      <c r="N11896" s="28"/>
      <c r="O11896" s="28"/>
      <c r="U11896" s="28"/>
    </row>
    <row r="11897">
      <c r="N11897" s="28"/>
      <c r="O11897" s="28"/>
      <c r="U11897" s="28"/>
    </row>
    <row r="11898">
      <c r="N11898" s="28"/>
      <c r="O11898" s="28"/>
      <c r="U11898" s="28"/>
    </row>
    <row r="11899">
      <c r="N11899" s="28"/>
      <c r="O11899" s="28"/>
      <c r="U11899" s="28"/>
    </row>
    <row r="11900">
      <c r="N11900" s="28"/>
      <c r="O11900" s="28"/>
      <c r="U11900" s="28"/>
    </row>
    <row r="11901">
      <c r="N11901" s="28"/>
      <c r="O11901" s="28"/>
      <c r="U11901" s="28"/>
    </row>
    <row r="11902">
      <c r="N11902" s="28"/>
      <c r="O11902" s="28"/>
      <c r="U11902" s="28"/>
    </row>
    <row r="11903">
      <c r="N11903" s="28"/>
      <c r="O11903" s="28"/>
      <c r="U11903" s="28"/>
    </row>
    <row r="11904">
      <c r="N11904" s="28"/>
      <c r="O11904" s="28"/>
      <c r="U11904" s="28"/>
    </row>
    <row r="11905">
      <c r="N11905" s="28"/>
      <c r="O11905" s="28"/>
      <c r="U11905" s="28"/>
    </row>
    <row r="11906">
      <c r="N11906" s="28"/>
      <c r="O11906" s="28"/>
      <c r="U11906" s="28"/>
    </row>
    <row r="11907">
      <c r="N11907" s="28"/>
      <c r="O11907" s="28"/>
      <c r="U11907" s="28"/>
    </row>
    <row r="11908">
      <c r="N11908" s="28"/>
      <c r="O11908" s="28"/>
      <c r="U11908" s="28"/>
    </row>
    <row r="11909">
      <c r="N11909" s="28"/>
      <c r="O11909" s="28"/>
      <c r="U11909" s="28"/>
    </row>
    <row r="11910">
      <c r="N11910" s="28"/>
      <c r="O11910" s="28"/>
      <c r="U11910" s="28"/>
    </row>
    <row r="11911">
      <c r="N11911" s="28"/>
      <c r="O11911" s="28"/>
      <c r="U11911" s="28"/>
    </row>
    <row r="11912">
      <c r="N11912" s="28"/>
      <c r="O11912" s="28"/>
      <c r="U11912" s="28"/>
    </row>
    <row r="11913">
      <c r="N11913" s="28"/>
      <c r="O11913" s="28"/>
      <c r="U11913" s="28"/>
    </row>
    <row r="11914">
      <c r="N11914" s="28"/>
      <c r="O11914" s="28"/>
      <c r="U11914" s="28"/>
    </row>
    <row r="11915">
      <c r="N11915" s="28"/>
      <c r="O11915" s="28"/>
      <c r="U11915" s="28"/>
    </row>
    <row r="11916">
      <c r="N11916" s="28"/>
      <c r="O11916" s="28"/>
      <c r="U11916" s="28"/>
    </row>
    <row r="11917">
      <c r="N11917" s="28"/>
      <c r="O11917" s="28"/>
      <c r="U11917" s="28"/>
    </row>
    <row r="11918">
      <c r="N11918" s="28"/>
      <c r="O11918" s="28"/>
      <c r="U11918" s="28"/>
    </row>
    <row r="11919">
      <c r="N11919" s="28"/>
      <c r="O11919" s="28"/>
      <c r="U11919" s="28"/>
    </row>
    <row r="11920">
      <c r="N11920" s="28"/>
      <c r="O11920" s="28"/>
      <c r="U11920" s="28"/>
    </row>
    <row r="11921">
      <c r="N11921" s="28"/>
      <c r="O11921" s="28"/>
      <c r="U11921" s="28"/>
    </row>
    <row r="11922">
      <c r="N11922" s="28"/>
      <c r="O11922" s="28"/>
      <c r="U11922" s="28"/>
    </row>
    <row r="11923">
      <c r="N11923" s="28"/>
      <c r="O11923" s="28"/>
      <c r="U11923" s="28"/>
    </row>
    <row r="11924">
      <c r="N11924" s="28"/>
      <c r="O11924" s="28"/>
      <c r="U11924" s="28"/>
    </row>
    <row r="11925">
      <c r="N11925" s="28"/>
      <c r="O11925" s="28"/>
      <c r="U11925" s="28"/>
    </row>
    <row r="11926">
      <c r="N11926" s="28"/>
      <c r="O11926" s="28"/>
      <c r="U11926" s="28"/>
    </row>
    <row r="11927">
      <c r="N11927" s="28"/>
      <c r="O11927" s="28"/>
      <c r="U11927" s="28"/>
    </row>
    <row r="11928">
      <c r="N11928" s="28"/>
      <c r="O11928" s="28"/>
      <c r="U11928" s="28"/>
    </row>
    <row r="11929">
      <c r="N11929" s="28"/>
      <c r="O11929" s="28"/>
      <c r="U11929" s="28"/>
    </row>
    <row r="11930">
      <c r="N11930" s="28"/>
      <c r="O11930" s="28"/>
      <c r="U11930" s="28"/>
    </row>
    <row r="11931">
      <c r="N11931" s="28"/>
      <c r="O11931" s="28"/>
      <c r="U11931" s="28"/>
    </row>
    <row r="11932">
      <c r="N11932" s="28"/>
      <c r="O11932" s="28"/>
      <c r="U11932" s="28"/>
    </row>
    <row r="11933">
      <c r="N11933" s="28"/>
      <c r="O11933" s="28"/>
      <c r="U11933" s="28"/>
    </row>
    <row r="11934">
      <c r="N11934" s="28"/>
      <c r="O11934" s="28"/>
      <c r="U11934" s="28"/>
    </row>
    <row r="11935">
      <c r="N11935" s="28"/>
      <c r="O11935" s="28"/>
      <c r="U11935" s="28"/>
    </row>
    <row r="11936">
      <c r="N11936" s="28"/>
      <c r="O11936" s="28"/>
      <c r="U11936" s="28"/>
    </row>
    <row r="11937">
      <c r="N11937" s="28"/>
      <c r="O11937" s="28"/>
      <c r="U11937" s="28"/>
    </row>
    <row r="11938">
      <c r="N11938" s="28"/>
      <c r="O11938" s="28"/>
      <c r="U11938" s="28"/>
    </row>
    <row r="11939">
      <c r="N11939" s="28"/>
      <c r="O11939" s="28"/>
      <c r="U11939" s="28"/>
    </row>
    <row r="11940">
      <c r="N11940" s="28"/>
      <c r="O11940" s="28"/>
      <c r="U11940" s="28"/>
    </row>
    <row r="11941">
      <c r="N11941" s="28"/>
      <c r="O11941" s="28"/>
      <c r="U11941" s="28"/>
    </row>
    <row r="11942">
      <c r="N11942" s="28"/>
      <c r="O11942" s="28"/>
      <c r="U11942" s="28"/>
    </row>
    <row r="11943">
      <c r="N11943" s="28"/>
      <c r="O11943" s="28"/>
      <c r="U11943" s="28"/>
    </row>
    <row r="11944">
      <c r="N11944" s="28"/>
      <c r="O11944" s="28"/>
      <c r="U11944" s="28"/>
    </row>
    <row r="11945">
      <c r="N11945" s="28"/>
      <c r="O11945" s="28"/>
      <c r="U11945" s="28"/>
    </row>
    <row r="11946">
      <c r="N11946" s="28"/>
      <c r="O11946" s="28"/>
      <c r="U11946" s="28"/>
    </row>
    <row r="11947">
      <c r="N11947" s="28"/>
      <c r="O11947" s="28"/>
      <c r="U11947" s="28"/>
    </row>
    <row r="11948">
      <c r="N11948" s="28"/>
      <c r="O11948" s="28"/>
      <c r="U11948" s="28"/>
    </row>
    <row r="11949">
      <c r="N11949" s="28"/>
      <c r="O11949" s="28"/>
      <c r="U11949" s="28"/>
    </row>
    <row r="11950">
      <c r="N11950" s="28"/>
      <c r="O11950" s="28"/>
      <c r="U11950" s="28"/>
    </row>
    <row r="11951">
      <c r="N11951" s="28"/>
      <c r="O11951" s="28"/>
      <c r="U11951" s="28"/>
    </row>
    <row r="11952">
      <c r="N11952" s="28"/>
      <c r="O11952" s="28"/>
      <c r="U11952" s="28"/>
    </row>
    <row r="11953">
      <c r="N11953" s="28"/>
      <c r="O11953" s="28"/>
      <c r="U11953" s="28"/>
    </row>
    <row r="11954">
      <c r="N11954" s="28"/>
      <c r="O11954" s="28"/>
      <c r="U11954" s="28"/>
    </row>
    <row r="11955">
      <c r="N11955" s="28"/>
      <c r="O11955" s="28"/>
      <c r="U11955" s="28"/>
    </row>
    <row r="11956">
      <c r="N11956" s="28"/>
      <c r="O11956" s="28"/>
      <c r="U11956" s="28"/>
    </row>
    <row r="11957">
      <c r="N11957" s="28"/>
      <c r="O11957" s="28"/>
      <c r="U11957" s="28"/>
    </row>
    <row r="11958">
      <c r="N11958" s="28"/>
      <c r="O11958" s="28"/>
      <c r="U11958" s="28"/>
    </row>
    <row r="11959">
      <c r="N11959" s="28"/>
      <c r="O11959" s="28"/>
      <c r="U11959" s="28"/>
    </row>
    <row r="11960">
      <c r="N11960" s="28"/>
      <c r="O11960" s="28"/>
      <c r="U11960" s="28"/>
    </row>
    <row r="11961">
      <c r="N11961" s="28"/>
      <c r="O11961" s="28"/>
      <c r="U11961" s="28"/>
    </row>
    <row r="11962">
      <c r="N11962" s="28"/>
      <c r="O11962" s="28"/>
      <c r="U11962" s="28"/>
    </row>
    <row r="11963">
      <c r="N11963" s="28"/>
      <c r="O11963" s="28"/>
      <c r="U11963" s="28"/>
    </row>
    <row r="11964">
      <c r="N11964" s="28"/>
      <c r="O11964" s="28"/>
      <c r="U11964" s="28"/>
    </row>
    <row r="11965">
      <c r="N11965" s="28"/>
      <c r="O11965" s="28"/>
      <c r="U11965" s="28"/>
    </row>
    <row r="11966">
      <c r="N11966" s="28"/>
      <c r="O11966" s="28"/>
      <c r="U11966" s="28"/>
    </row>
    <row r="11967">
      <c r="N11967" s="28"/>
      <c r="O11967" s="28"/>
      <c r="U11967" s="28"/>
    </row>
    <row r="11968">
      <c r="N11968" s="28"/>
      <c r="O11968" s="28"/>
      <c r="U11968" s="28"/>
    </row>
    <row r="11969">
      <c r="N11969" s="28"/>
      <c r="O11969" s="28"/>
      <c r="U11969" s="28"/>
    </row>
    <row r="11970">
      <c r="N11970" s="28"/>
      <c r="O11970" s="28"/>
      <c r="U11970" s="28"/>
    </row>
    <row r="11971">
      <c r="N11971" s="28"/>
      <c r="O11971" s="28"/>
      <c r="U11971" s="28"/>
    </row>
    <row r="11972">
      <c r="N11972" s="28"/>
      <c r="O11972" s="28"/>
      <c r="U11972" s="28"/>
    </row>
    <row r="11973">
      <c r="N11973" s="28"/>
      <c r="O11973" s="28"/>
      <c r="U11973" s="28"/>
    </row>
    <row r="11974">
      <c r="N11974" s="28"/>
      <c r="O11974" s="28"/>
      <c r="U11974" s="28"/>
    </row>
    <row r="11975">
      <c r="N11975" s="28"/>
      <c r="O11975" s="28"/>
      <c r="U11975" s="28"/>
    </row>
    <row r="11976">
      <c r="N11976" s="28"/>
      <c r="O11976" s="28"/>
      <c r="U11976" s="28"/>
    </row>
    <row r="11977">
      <c r="N11977" s="28"/>
      <c r="O11977" s="28"/>
      <c r="U11977" s="28"/>
    </row>
    <row r="11978">
      <c r="N11978" s="28"/>
      <c r="O11978" s="28"/>
      <c r="U11978" s="28"/>
    </row>
    <row r="11979">
      <c r="N11979" s="28"/>
      <c r="O11979" s="28"/>
      <c r="U11979" s="28"/>
    </row>
    <row r="11980">
      <c r="N11980" s="28"/>
      <c r="O11980" s="28"/>
      <c r="U11980" s="28"/>
    </row>
    <row r="11981">
      <c r="N11981" s="28"/>
      <c r="O11981" s="28"/>
      <c r="U11981" s="28"/>
    </row>
    <row r="11982">
      <c r="N11982" s="28"/>
      <c r="O11982" s="28"/>
      <c r="U11982" s="28"/>
    </row>
    <row r="11983">
      <c r="N11983" s="28"/>
      <c r="O11983" s="28"/>
      <c r="U11983" s="28"/>
    </row>
    <row r="11984">
      <c r="N11984" s="28"/>
      <c r="O11984" s="28"/>
      <c r="U11984" s="28"/>
    </row>
    <row r="11985">
      <c r="N11985" s="28"/>
      <c r="O11985" s="28"/>
      <c r="U11985" s="28"/>
    </row>
    <row r="11986">
      <c r="N11986" s="28"/>
      <c r="O11986" s="28"/>
      <c r="U11986" s="28"/>
    </row>
    <row r="11987">
      <c r="N11987" s="28"/>
      <c r="O11987" s="28"/>
      <c r="U11987" s="28"/>
    </row>
    <row r="11988">
      <c r="N11988" s="28"/>
      <c r="O11988" s="28"/>
      <c r="U11988" s="28"/>
    </row>
    <row r="11989">
      <c r="N11989" s="28"/>
      <c r="O11989" s="28"/>
      <c r="U11989" s="28"/>
    </row>
    <row r="11990">
      <c r="N11990" s="28"/>
      <c r="O11990" s="28"/>
      <c r="U11990" s="28"/>
    </row>
    <row r="11991">
      <c r="N11991" s="28"/>
      <c r="O11991" s="28"/>
      <c r="U11991" s="28"/>
    </row>
    <row r="11992">
      <c r="N11992" s="28"/>
      <c r="O11992" s="28"/>
      <c r="U11992" s="28"/>
    </row>
    <row r="11993">
      <c r="N11993" s="28"/>
      <c r="O11993" s="28"/>
      <c r="U11993" s="28"/>
    </row>
    <row r="11994">
      <c r="N11994" s="28"/>
      <c r="O11994" s="28"/>
      <c r="U11994" s="28"/>
    </row>
    <row r="11995">
      <c r="N11995" s="28"/>
      <c r="O11995" s="28"/>
      <c r="U11995" s="28"/>
    </row>
    <row r="11996">
      <c r="N11996" s="28"/>
      <c r="O11996" s="28"/>
      <c r="U11996" s="28"/>
    </row>
    <row r="11997">
      <c r="N11997" s="28"/>
      <c r="O11997" s="28"/>
      <c r="U11997" s="28"/>
    </row>
    <row r="11998">
      <c r="N11998" s="28"/>
      <c r="O11998" s="28"/>
      <c r="U11998" s="28"/>
    </row>
    <row r="11999">
      <c r="N11999" s="28"/>
      <c r="O11999" s="28"/>
      <c r="U11999" s="28"/>
    </row>
    <row r="12000">
      <c r="N12000" s="28"/>
      <c r="O12000" s="28"/>
      <c r="U12000" s="28"/>
    </row>
    <row r="12001">
      <c r="N12001" s="28"/>
      <c r="O12001" s="28"/>
      <c r="U12001" s="28"/>
    </row>
    <row r="12002">
      <c r="N12002" s="28"/>
      <c r="O12002" s="28"/>
      <c r="U12002" s="28"/>
    </row>
    <row r="12003">
      <c r="N12003" s="28"/>
      <c r="O12003" s="28"/>
      <c r="U12003" s="28"/>
    </row>
    <row r="12004">
      <c r="N12004" s="28"/>
      <c r="O12004" s="28"/>
      <c r="U12004" s="28"/>
    </row>
    <row r="12005">
      <c r="N12005" s="28"/>
      <c r="O12005" s="28"/>
      <c r="U12005" s="28"/>
    </row>
    <row r="12006">
      <c r="N12006" s="28"/>
      <c r="O12006" s="28"/>
      <c r="U12006" s="28"/>
    </row>
    <row r="12007">
      <c r="N12007" s="28"/>
      <c r="O12007" s="28"/>
      <c r="U12007" s="28"/>
    </row>
    <row r="12008">
      <c r="N12008" s="28"/>
      <c r="O12008" s="28"/>
      <c r="U12008" s="28"/>
    </row>
    <row r="12009">
      <c r="N12009" s="28"/>
      <c r="O12009" s="28"/>
      <c r="U12009" s="28"/>
    </row>
    <row r="12010">
      <c r="N12010" s="28"/>
      <c r="O12010" s="28"/>
      <c r="U12010" s="28"/>
    </row>
    <row r="12011">
      <c r="N12011" s="28"/>
      <c r="O12011" s="28"/>
      <c r="U12011" s="28"/>
    </row>
    <row r="12012">
      <c r="N12012" s="28"/>
      <c r="O12012" s="28"/>
      <c r="U12012" s="28"/>
    </row>
    <row r="12013">
      <c r="N12013" s="28"/>
      <c r="O12013" s="28"/>
      <c r="U12013" s="28"/>
    </row>
    <row r="12014">
      <c r="N12014" s="28"/>
      <c r="O12014" s="28"/>
      <c r="U12014" s="28"/>
    </row>
    <row r="12015">
      <c r="N12015" s="28"/>
      <c r="O12015" s="28"/>
      <c r="U12015" s="28"/>
    </row>
    <row r="12016">
      <c r="N12016" s="28"/>
      <c r="O12016" s="28"/>
      <c r="U12016" s="28"/>
    </row>
    <row r="12017">
      <c r="N12017" s="28"/>
      <c r="O12017" s="28"/>
      <c r="U12017" s="28"/>
    </row>
    <row r="12018">
      <c r="N12018" s="28"/>
      <c r="O12018" s="28"/>
      <c r="U12018" s="28"/>
    </row>
    <row r="12019">
      <c r="N12019" s="28"/>
      <c r="O12019" s="28"/>
      <c r="U12019" s="28"/>
    </row>
    <row r="12020">
      <c r="N12020" s="28"/>
      <c r="O12020" s="28"/>
      <c r="U12020" s="28"/>
    </row>
    <row r="12021">
      <c r="N12021" s="28"/>
      <c r="O12021" s="28"/>
      <c r="U12021" s="28"/>
    </row>
    <row r="12022">
      <c r="N12022" s="28"/>
      <c r="O12022" s="28"/>
      <c r="U12022" s="28"/>
    </row>
    <row r="12023">
      <c r="N12023" s="28"/>
      <c r="O12023" s="28"/>
      <c r="U12023" s="28"/>
    </row>
    <row r="12024">
      <c r="N12024" s="28"/>
      <c r="O12024" s="28"/>
      <c r="U12024" s="28"/>
    </row>
    <row r="12025">
      <c r="N12025" s="28"/>
      <c r="O12025" s="28"/>
      <c r="U12025" s="28"/>
    </row>
    <row r="12026">
      <c r="N12026" s="28"/>
      <c r="O12026" s="28"/>
      <c r="U12026" s="28"/>
    </row>
    <row r="12027">
      <c r="N12027" s="28"/>
      <c r="O12027" s="28"/>
      <c r="U12027" s="28"/>
    </row>
    <row r="12028">
      <c r="N12028" s="28"/>
      <c r="O12028" s="28"/>
      <c r="U12028" s="28"/>
    </row>
    <row r="12029">
      <c r="N12029" s="28"/>
      <c r="O12029" s="28"/>
      <c r="U12029" s="28"/>
    </row>
    <row r="12030">
      <c r="N12030" s="28"/>
      <c r="O12030" s="28"/>
      <c r="U12030" s="28"/>
    </row>
    <row r="12031">
      <c r="N12031" s="28"/>
      <c r="O12031" s="28"/>
      <c r="U12031" s="28"/>
    </row>
    <row r="12032">
      <c r="N12032" s="28"/>
      <c r="O12032" s="28"/>
      <c r="U12032" s="28"/>
    </row>
    <row r="12033">
      <c r="N12033" s="28"/>
      <c r="O12033" s="28"/>
      <c r="U12033" s="28"/>
    </row>
    <row r="12034">
      <c r="N12034" s="28"/>
      <c r="O12034" s="28"/>
      <c r="U12034" s="28"/>
    </row>
    <row r="12035">
      <c r="N12035" s="28"/>
      <c r="O12035" s="28"/>
      <c r="U12035" s="28"/>
    </row>
    <row r="12036">
      <c r="N12036" s="28"/>
      <c r="O12036" s="28"/>
      <c r="U12036" s="28"/>
    </row>
    <row r="12037">
      <c r="N12037" s="28"/>
      <c r="O12037" s="28"/>
      <c r="U12037" s="28"/>
    </row>
    <row r="12038">
      <c r="N12038" s="28"/>
      <c r="O12038" s="28"/>
      <c r="U12038" s="28"/>
    </row>
    <row r="12039">
      <c r="N12039" s="28"/>
      <c r="O12039" s="28"/>
      <c r="U12039" s="28"/>
    </row>
    <row r="12040">
      <c r="N12040" s="28"/>
      <c r="O12040" s="28"/>
      <c r="U12040" s="28"/>
    </row>
    <row r="12041">
      <c r="N12041" s="28"/>
      <c r="O12041" s="28"/>
      <c r="U12041" s="28"/>
    </row>
    <row r="12042">
      <c r="N12042" s="28"/>
      <c r="O12042" s="28"/>
      <c r="U12042" s="28"/>
    </row>
    <row r="12043">
      <c r="N12043" s="28"/>
      <c r="O12043" s="28"/>
      <c r="U12043" s="28"/>
    </row>
    <row r="12044">
      <c r="N12044" s="28"/>
      <c r="O12044" s="28"/>
      <c r="U12044" s="28"/>
    </row>
    <row r="12045">
      <c r="N12045" s="28"/>
      <c r="O12045" s="28"/>
      <c r="U12045" s="28"/>
    </row>
    <row r="12046">
      <c r="N12046" s="28"/>
      <c r="O12046" s="28"/>
      <c r="U12046" s="28"/>
    </row>
    <row r="12047">
      <c r="N12047" s="28"/>
      <c r="O12047" s="28"/>
      <c r="U12047" s="28"/>
    </row>
    <row r="12048">
      <c r="N12048" s="28"/>
      <c r="O12048" s="28"/>
      <c r="U12048" s="28"/>
    </row>
    <row r="12049">
      <c r="N12049" s="28"/>
      <c r="O12049" s="28"/>
      <c r="U12049" s="28"/>
    </row>
    <row r="12050">
      <c r="N12050" s="28"/>
      <c r="O12050" s="28"/>
      <c r="U12050" s="28"/>
    </row>
    <row r="12051">
      <c r="N12051" s="28"/>
      <c r="O12051" s="28"/>
      <c r="U12051" s="28"/>
    </row>
    <row r="12052">
      <c r="N12052" s="28"/>
      <c r="O12052" s="28"/>
      <c r="U12052" s="28"/>
    </row>
    <row r="12053">
      <c r="N12053" s="28"/>
      <c r="O12053" s="28"/>
      <c r="U12053" s="28"/>
    </row>
    <row r="12054">
      <c r="N12054" s="28"/>
      <c r="O12054" s="28"/>
      <c r="U12054" s="28"/>
    </row>
    <row r="12055">
      <c r="N12055" s="28"/>
      <c r="O12055" s="28"/>
      <c r="U12055" s="28"/>
    </row>
    <row r="12056">
      <c r="N12056" s="28"/>
      <c r="O12056" s="28"/>
      <c r="U12056" s="28"/>
    </row>
    <row r="12057">
      <c r="N12057" s="28"/>
      <c r="O12057" s="28"/>
      <c r="U12057" s="28"/>
    </row>
    <row r="12058">
      <c r="N12058" s="28"/>
      <c r="O12058" s="28"/>
      <c r="U12058" s="28"/>
    </row>
    <row r="12059">
      <c r="N12059" s="28"/>
      <c r="O12059" s="28"/>
      <c r="U12059" s="28"/>
    </row>
    <row r="12060">
      <c r="N12060" s="28"/>
      <c r="O12060" s="28"/>
      <c r="U12060" s="28"/>
    </row>
    <row r="12061">
      <c r="N12061" s="28"/>
      <c r="O12061" s="28"/>
      <c r="U12061" s="28"/>
    </row>
    <row r="12062">
      <c r="N12062" s="28"/>
      <c r="O12062" s="28"/>
      <c r="U12062" s="28"/>
    </row>
    <row r="12063">
      <c r="N12063" s="28"/>
      <c r="O12063" s="28"/>
      <c r="U12063" s="28"/>
    </row>
    <row r="12064">
      <c r="N12064" s="28"/>
      <c r="O12064" s="28"/>
      <c r="U12064" s="28"/>
    </row>
    <row r="12065">
      <c r="N12065" s="28"/>
      <c r="O12065" s="28"/>
      <c r="U12065" s="28"/>
    </row>
    <row r="12066">
      <c r="N12066" s="28"/>
      <c r="O12066" s="28"/>
      <c r="U12066" s="28"/>
    </row>
    <row r="12067">
      <c r="N12067" s="28"/>
      <c r="O12067" s="28"/>
      <c r="U12067" s="28"/>
    </row>
    <row r="12068">
      <c r="N12068" s="28"/>
      <c r="O12068" s="28"/>
      <c r="U12068" s="28"/>
    </row>
    <row r="12069">
      <c r="N12069" s="28"/>
      <c r="O12069" s="28"/>
      <c r="U12069" s="28"/>
    </row>
    <row r="12070">
      <c r="N12070" s="28"/>
      <c r="O12070" s="28"/>
      <c r="U12070" s="28"/>
    </row>
    <row r="12071">
      <c r="N12071" s="28"/>
      <c r="O12071" s="28"/>
      <c r="U12071" s="28"/>
    </row>
    <row r="12072">
      <c r="N12072" s="28"/>
      <c r="O12072" s="28"/>
      <c r="U12072" s="28"/>
    </row>
    <row r="12073">
      <c r="N12073" s="28"/>
      <c r="O12073" s="28"/>
      <c r="U12073" s="28"/>
    </row>
    <row r="12074">
      <c r="N12074" s="28"/>
      <c r="O12074" s="28"/>
      <c r="U12074" s="28"/>
    </row>
    <row r="12075">
      <c r="N12075" s="28"/>
      <c r="O12075" s="28"/>
      <c r="U12075" s="28"/>
    </row>
    <row r="12076">
      <c r="N12076" s="28"/>
      <c r="O12076" s="28"/>
      <c r="U12076" s="28"/>
    </row>
    <row r="12077">
      <c r="N12077" s="28"/>
      <c r="O12077" s="28"/>
      <c r="U12077" s="28"/>
    </row>
    <row r="12078">
      <c r="N12078" s="28"/>
      <c r="O12078" s="28"/>
      <c r="U12078" s="28"/>
    </row>
    <row r="12079">
      <c r="N12079" s="28"/>
      <c r="O12079" s="28"/>
      <c r="U12079" s="28"/>
    </row>
    <row r="12080">
      <c r="N12080" s="28"/>
      <c r="O12080" s="28"/>
      <c r="U12080" s="28"/>
    </row>
    <row r="12081">
      <c r="N12081" s="28"/>
      <c r="O12081" s="28"/>
      <c r="U12081" s="28"/>
    </row>
    <row r="12082">
      <c r="N12082" s="28"/>
      <c r="O12082" s="28"/>
      <c r="U12082" s="28"/>
    </row>
    <row r="12083">
      <c r="N12083" s="28"/>
      <c r="O12083" s="28"/>
      <c r="U12083" s="28"/>
    </row>
    <row r="12084">
      <c r="N12084" s="28"/>
      <c r="O12084" s="28"/>
      <c r="U12084" s="28"/>
    </row>
    <row r="12085">
      <c r="N12085" s="28"/>
      <c r="O12085" s="28"/>
      <c r="U12085" s="28"/>
    </row>
    <row r="12086">
      <c r="N12086" s="28"/>
      <c r="O12086" s="28"/>
      <c r="U12086" s="28"/>
    </row>
    <row r="12087">
      <c r="N12087" s="28"/>
      <c r="O12087" s="28"/>
      <c r="U12087" s="28"/>
    </row>
    <row r="12088">
      <c r="N12088" s="28"/>
      <c r="O12088" s="28"/>
      <c r="U12088" s="28"/>
    </row>
    <row r="12089">
      <c r="N12089" s="28"/>
      <c r="O12089" s="28"/>
      <c r="U12089" s="28"/>
    </row>
    <row r="12090">
      <c r="N12090" s="28"/>
      <c r="O12090" s="28"/>
      <c r="U12090" s="28"/>
    </row>
    <row r="12091">
      <c r="N12091" s="28"/>
      <c r="O12091" s="28"/>
      <c r="U12091" s="28"/>
    </row>
    <row r="12092">
      <c r="N12092" s="28"/>
      <c r="O12092" s="28"/>
      <c r="U12092" s="28"/>
    </row>
    <row r="12093">
      <c r="N12093" s="28"/>
      <c r="O12093" s="28"/>
      <c r="U12093" s="28"/>
    </row>
    <row r="12094">
      <c r="N12094" s="28"/>
      <c r="O12094" s="28"/>
      <c r="U12094" s="28"/>
    </row>
    <row r="12095">
      <c r="N12095" s="28"/>
      <c r="O12095" s="28"/>
      <c r="U12095" s="28"/>
    </row>
    <row r="12096">
      <c r="N12096" s="28"/>
      <c r="O12096" s="28"/>
      <c r="U12096" s="28"/>
    </row>
    <row r="12097">
      <c r="N12097" s="28"/>
      <c r="O12097" s="28"/>
      <c r="U12097" s="28"/>
    </row>
    <row r="12098">
      <c r="N12098" s="28"/>
      <c r="O12098" s="28"/>
      <c r="U12098" s="28"/>
    </row>
    <row r="12099">
      <c r="N12099" s="28"/>
      <c r="O12099" s="28"/>
      <c r="U12099" s="28"/>
    </row>
    <row r="12100">
      <c r="N12100" s="28"/>
      <c r="O12100" s="28"/>
      <c r="U12100" s="28"/>
    </row>
    <row r="12101">
      <c r="N12101" s="28"/>
      <c r="O12101" s="28"/>
      <c r="U12101" s="28"/>
    </row>
    <row r="12102">
      <c r="N12102" s="28"/>
      <c r="O12102" s="28"/>
      <c r="U12102" s="28"/>
    </row>
    <row r="12103">
      <c r="N12103" s="28"/>
      <c r="O12103" s="28"/>
      <c r="U12103" s="28"/>
    </row>
    <row r="12104">
      <c r="N12104" s="28"/>
      <c r="O12104" s="28"/>
      <c r="U12104" s="28"/>
    </row>
    <row r="12105">
      <c r="N12105" s="28"/>
      <c r="O12105" s="28"/>
      <c r="U12105" s="28"/>
    </row>
    <row r="12106">
      <c r="N12106" s="28"/>
      <c r="O12106" s="28"/>
      <c r="U12106" s="28"/>
    </row>
    <row r="12107">
      <c r="N12107" s="28"/>
      <c r="O12107" s="28"/>
      <c r="U12107" s="28"/>
    </row>
    <row r="12108">
      <c r="N12108" s="28"/>
      <c r="O12108" s="28"/>
      <c r="U12108" s="28"/>
    </row>
    <row r="12109">
      <c r="N12109" s="28"/>
      <c r="O12109" s="28"/>
      <c r="U12109" s="28"/>
    </row>
    <row r="12110">
      <c r="N12110" s="28"/>
      <c r="O12110" s="28"/>
      <c r="U12110" s="28"/>
    </row>
    <row r="12111">
      <c r="N12111" s="28"/>
      <c r="O12111" s="28"/>
      <c r="U12111" s="28"/>
    </row>
    <row r="12112">
      <c r="N12112" s="28"/>
      <c r="O12112" s="28"/>
      <c r="U12112" s="28"/>
    </row>
    <row r="12113">
      <c r="N12113" s="28"/>
      <c r="O12113" s="28"/>
      <c r="U12113" s="28"/>
    </row>
    <row r="12114">
      <c r="N12114" s="28"/>
      <c r="O12114" s="28"/>
      <c r="U12114" s="28"/>
    </row>
    <row r="12115">
      <c r="N12115" s="28"/>
      <c r="O12115" s="28"/>
      <c r="U12115" s="28"/>
    </row>
    <row r="12116">
      <c r="N12116" s="28"/>
      <c r="O12116" s="28"/>
      <c r="U12116" s="28"/>
    </row>
    <row r="12117">
      <c r="N12117" s="28"/>
      <c r="O12117" s="28"/>
      <c r="U12117" s="28"/>
    </row>
    <row r="12118">
      <c r="N12118" s="28"/>
      <c r="O12118" s="28"/>
      <c r="U12118" s="28"/>
    </row>
    <row r="12119">
      <c r="N12119" s="28"/>
      <c r="O12119" s="28"/>
      <c r="U12119" s="28"/>
    </row>
    <row r="12120">
      <c r="N12120" s="28"/>
      <c r="O12120" s="28"/>
      <c r="U12120" s="28"/>
    </row>
    <row r="12121">
      <c r="N12121" s="28"/>
      <c r="O12121" s="28"/>
      <c r="U12121" s="28"/>
    </row>
    <row r="12122">
      <c r="N12122" s="28"/>
      <c r="O12122" s="28"/>
      <c r="U12122" s="28"/>
    </row>
    <row r="12123">
      <c r="N12123" s="28"/>
      <c r="O12123" s="28"/>
      <c r="U12123" s="28"/>
    </row>
    <row r="12124">
      <c r="N12124" s="28"/>
      <c r="O12124" s="28"/>
      <c r="U12124" s="28"/>
    </row>
    <row r="12125">
      <c r="N12125" s="28"/>
      <c r="O12125" s="28"/>
      <c r="U12125" s="28"/>
    </row>
    <row r="12126">
      <c r="N12126" s="28"/>
      <c r="O12126" s="28"/>
      <c r="U12126" s="28"/>
    </row>
    <row r="12127">
      <c r="N12127" s="28"/>
      <c r="O12127" s="28"/>
      <c r="U12127" s="28"/>
    </row>
    <row r="12128">
      <c r="N12128" s="28"/>
      <c r="O12128" s="28"/>
      <c r="U12128" s="28"/>
    </row>
    <row r="12129">
      <c r="N12129" s="28"/>
      <c r="O12129" s="28"/>
      <c r="U12129" s="28"/>
    </row>
    <row r="12130">
      <c r="N12130" s="28"/>
      <c r="O12130" s="28"/>
      <c r="U12130" s="28"/>
    </row>
    <row r="12131">
      <c r="N12131" s="28"/>
      <c r="O12131" s="28"/>
      <c r="U12131" s="28"/>
    </row>
    <row r="12132">
      <c r="N12132" s="28"/>
      <c r="O12132" s="28"/>
      <c r="U12132" s="28"/>
    </row>
    <row r="12133">
      <c r="N12133" s="28"/>
      <c r="O12133" s="28"/>
      <c r="U12133" s="28"/>
    </row>
    <row r="12134">
      <c r="N12134" s="28"/>
      <c r="O12134" s="28"/>
      <c r="U12134" s="28"/>
    </row>
    <row r="12135">
      <c r="N12135" s="28"/>
      <c r="O12135" s="28"/>
      <c r="U12135" s="28"/>
    </row>
    <row r="12136">
      <c r="N12136" s="28"/>
      <c r="O12136" s="28"/>
      <c r="U12136" s="28"/>
    </row>
    <row r="12137">
      <c r="N12137" s="28"/>
      <c r="O12137" s="28"/>
      <c r="U12137" s="28"/>
    </row>
    <row r="12138">
      <c r="N12138" s="28"/>
      <c r="O12138" s="28"/>
      <c r="U12138" s="28"/>
    </row>
    <row r="12139">
      <c r="N12139" s="28"/>
      <c r="O12139" s="28"/>
      <c r="U12139" s="28"/>
    </row>
    <row r="12140">
      <c r="N12140" s="28"/>
      <c r="O12140" s="28"/>
      <c r="U12140" s="28"/>
    </row>
    <row r="12141">
      <c r="N12141" s="28"/>
      <c r="O12141" s="28"/>
      <c r="U12141" s="28"/>
    </row>
    <row r="12142">
      <c r="N12142" s="28"/>
      <c r="O12142" s="28"/>
      <c r="U12142" s="28"/>
    </row>
    <row r="12143">
      <c r="N12143" s="28"/>
      <c r="O12143" s="28"/>
      <c r="U12143" s="28"/>
    </row>
    <row r="12144">
      <c r="N12144" s="28"/>
      <c r="O12144" s="28"/>
      <c r="U12144" s="28"/>
    </row>
    <row r="12145">
      <c r="N12145" s="28"/>
      <c r="O12145" s="28"/>
      <c r="U12145" s="28"/>
    </row>
    <row r="12146">
      <c r="N12146" s="28"/>
      <c r="O12146" s="28"/>
      <c r="U12146" s="28"/>
    </row>
    <row r="12147">
      <c r="N12147" s="28"/>
      <c r="O12147" s="28"/>
      <c r="U12147" s="28"/>
    </row>
    <row r="12148">
      <c r="N12148" s="28"/>
      <c r="O12148" s="28"/>
      <c r="U12148" s="28"/>
    </row>
    <row r="12149">
      <c r="N12149" s="28"/>
      <c r="O12149" s="28"/>
      <c r="U12149" s="28"/>
    </row>
    <row r="12150">
      <c r="N12150" s="28"/>
      <c r="O12150" s="28"/>
      <c r="U12150" s="28"/>
    </row>
    <row r="12151">
      <c r="N12151" s="28"/>
      <c r="O12151" s="28"/>
      <c r="U12151" s="28"/>
    </row>
    <row r="12152">
      <c r="N12152" s="28"/>
      <c r="O12152" s="28"/>
      <c r="U12152" s="28"/>
    </row>
    <row r="12153">
      <c r="N12153" s="28"/>
      <c r="O12153" s="28"/>
      <c r="U12153" s="28"/>
    </row>
    <row r="12154">
      <c r="N12154" s="28"/>
      <c r="O12154" s="28"/>
      <c r="U12154" s="28"/>
    </row>
    <row r="12155">
      <c r="N12155" s="28"/>
      <c r="O12155" s="28"/>
      <c r="U12155" s="28"/>
    </row>
    <row r="12156">
      <c r="N12156" s="28"/>
      <c r="O12156" s="28"/>
      <c r="U12156" s="28"/>
    </row>
    <row r="12157">
      <c r="N12157" s="28"/>
      <c r="O12157" s="28"/>
      <c r="U12157" s="28"/>
    </row>
    <row r="12158">
      <c r="N12158" s="28"/>
      <c r="O12158" s="28"/>
      <c r="U12158" s="28"/>
    </row>
    <row r="12159">
      <c r="N12159" s="28"/>
      <c r="O12159" s="28"/>
      <c r="U12159" s="28"/>
    </row>
    <row r="12160">
      <c r="N12160" s="28"/>
      <c r="O12160" s="28"/>
      <c r="U12160" s="28"/>
    </row>
    <row r="12161">
      <c r="N12161" s="28"/>
      <c r="O12161" s="28"/>
      <c r="U12161" s="28"/>
    </row>
    <row r="12162">
      <c r="N12162" s="28"/>
      <c r="O12162" s="28"/>
      <c r="U12162" s="28"/>
    </row>
    <row r="12163">
      <c r="N12163" s="28"/>
      <c r="O12163" s="28"/>
      <c r="U12163" s="28"/>
    </row>
    <row r="12164">
      <c r="N12164" s="28"/>
      <c r="O12164" s="28"/>
      <c r="U12164" s="28"/>
    </row>
    <row r="12165">
      <c r="N12165" s="28"/>
      <c r="O12165" s="28"/>
      <c r="U12165" s="28"/>
    </row>
    <row r="12166">
      <c r="N12166" s="28"/>
      <c r="O12166" s="28"/>
      <c r="U12166" s="28"/>
    </row>
    <row r="12167">
      <c r="N12167" s="28"/>
      <c r="O12167" s="28"/>
      <c r="U12167" s="28"/>
    </row>
    <row r="12168">
      <c r="N12168" s="28"/>
      <c r="O12168" s="28"/>
      <c r="U12168" s="28"/>
    </row>
    <row r="12169">
      <c r="N12169" s="28"/>
      <c r="O12169" s="28"/>
      <c r="U12169" s="28"/>
    </row>
    <row r="12170">
      <c r="N12170" s="28"/>
      <c r="O12170" s="28"/>
      <c r="U12170" s="28"/>
    </row>
    <row r="12171">
      <c r="N12171" s="28"/>
      <c r="O12171" s="28"/>
      <c r="U12171" s="28"/>
    </row>
    <row r="12172">
      <c r="N12172" s="28"/>
      <c r="O12172" s="28"/>
      <c r="U12172" s="28"/>
    </row>
    <row r="12173">
      <c r="N12173" s="28"/>
      <c r="O12173" s="28"/>
      <c r="U12173" s="28"/>
    </row>
    <row r="12174">
      <c r="N12174" s="28"/>
      <c r="O12174" s="28"/>
      <c r="U12174" s="28"/>
    </row>
    <row r="12175">
      <c r="N12175" s="28"/>
      <c r="O12175" s="28"/>
      <c r="U12175" s="28"/>
    </row>
    <row r="12176">
      <c r="N12176" s="28"/>
      <c r="O12176" s="28"/>
      <c r="U12176" s="28"/>
    </row>
    <row r="12177">
      <c r="N12177" s="28"/>
      <c r="O12177" s="28"/>
      <c r="U12177" s="28"/>
    </row>
    <row r="12178">
      <c r="N12178" s="28"/>
      <c r="O12178" s="28"/>
      <c r="U12178" s="28"/>
    </row>
    <row r="12179">
      <c r="N12179" s="28"/>
      <c r="O12179" s="28"/>
      <c r="U12179" s="28"/>
    </row>
    <row r="12180">
      <c r="N12180" s="28"/>
      <c r="O12180" s="28"/>
      <c r="U12180" s="28"/>
    </row>
    <row r="12181">
      <c r="N12181" s="28"/>
      <c r="O12181" s="28"/>
      <c r="U12181" s="28"/>
    </row>
    <row r="12182">
      <c r="N12182" s="28"/>
      <c r="O12182" s="28"/>
      <c r="U12182" s="28"/>
    </row>
    <row r="12183">
      <c r="N12183" s="28"/>
      <c r="O12183" s="28"/>
      <c r="U12183" s="28"/>
    </row>
    <row r="12184">
      <c r="N12184" s="28"/>
      <c r="O12184" s="28"/>
      <c r="U12184" s="28"/>
    </row>
    <row r="12185">
      <c r="N12185" s="28"/>
      <c r="O12185" s="28"/>
      <c r="U12185" s="28"/>
    </row>
    <row r="12186">
      <c r="N12186" s="28"/>
      <c r="O12186" s="28"/>
      <c r="U12186" s="28"/>
    </row>
    <row r="12187">
      <c r="N12187" s="28"/>
      <c r="O12187" s="28"/>
      <c r="U12187" s="28"/>
    </row>
    <row r="12188">
      <c r="N12188" s="28"/>
      <c r="O12188" s="28"/>
      <c r="U12188" s="28"/>
    </row>
    <row r="12189">
      <c r="N12189" s="28"/>
      <c r="O12189" s="28"/>
      <c r="U12189" s="28"/>
    </row>
    <row r="12190">
      <c r="N12190" s="28"/>
      <c r="O12190" s="28"/>
      <c r="U12190" s="28"/>
    </row>
    <row r="12191">
      <c r="N12191" s="28"/>
      <c r="O12191" s="28"/>
      <c r="U12191" s="28"/>
    </row>
    <row r="12192">
      <c r="N12192" s="28"/>
      <c r="O12192" s="28"/>
      <c r="U12192" s="28"/>
    </row>
    <row r="12193">
      <c r="N12193" s="28"/>
      <c r="O12193" s="28"/>
      <c r="U12193" s="28"/>
    </row>
    <row r="12194">
      <c r="N12194" s="28"/>
      <c r="O12194" s="28"/>
      <c r="U12194" s="28"/>
    </row>
    <row r="12195">
      <c r="N12195" s="28"/>
      <c r="O12195" s="28"/>
      <c r="U12195" s="28"/>
    </row>
    <row r="12196">
      <c r="N12196" s="28"/>
      <c r="O12196" s="28"/>
      <c r="U12196" s="28"/>
    </row>
    <row r="12197">
      <c r="N12197" s="28"/>
      <c r="O12197" s="28"/>
      <c r="U12197" s="28"/>
    </row>
    <row r="12198">
      <c r="N12198" s="28"/>
      <c r="O12198" s="28"/>
      <c r="U12198" s="28"/>
    </row>
    <row r="12199">
      <c r="N12199" s="28"/>
      <c r="O12199" s="28"/>
      <c r="U12199" s="28"/>
    </row>
    <row r="12200">
      <c r="N12200" s="28"/>
      <c r="O12200" s="28"/>
      <c r="U12200" s="28"/>
    </row>
    <row r="12201">
      <c r="N12201" s="28"/>
      <c r="O12201" s="28"/>
      <c r="U12201" s="28"/>
    </row>
    <row r="12202">
      <c r="N12202" s="28"/>
      <c r="O12202" s="28"/>
      <c r="U12202" s="28"/>
    </row>
    <row r="12203">
      <c r="N12203" s="28"/>
      <c r="O12203" s="28"/>
      <c r="U12203" s="28"/>
    </row>
    <row r="12204">
      <c r="N12204" s="28"/>
      <c r="O12204" s="28"/>
      <c r="U12204" s="28"/>
    </row>
    <row r="12205">
      <c r="N12205" s="28"/>
      <c r="O12205" s="28"/>
      <c r="U12205" s="28"/>
    </row>
    <row r="12206">
      <c r="N12206" s="28"/>
      <c r="O12206" s="28"/>
      <c r="U12206" s="28"/>
    </row>
    <row r="12207">
      <c r="N12207" s="28"/>
      <c r="O12207" s="28"/>
      <c r="U12207" s="28"/>
    </row>
    <row r="12208">
      <c r="N12208" s="28"/>
      <c r="O12208" s="28"/>
      <c r="U12208" s="28"/>
    </row>
    <row r="12209">
      <c r="N12209" s="28"/>
      <c r="O12209" s="28"/>
      <c r="U12209" s="28"/>
    </row>
    <row r="12210">
      <c r="N12210" s="28"/>
      <c r="O12210" s="28"/>
      <c r="U12210" s="28"/>
    </row>
    <row r="12211">
      <c r="N12211" s="28"/>
      <c r="O12211" s="28"/>
      <c r="U12211" s="28"/>
    </row>
    <row r="12212">
      <c r="N12212" s="28"/>
      <c r="O12212" s="28"/>
      <c r="U12212" s="28"/>
    </row>
    <row r="12213">
      <c r="N12213" s="28"/>
      <c r="O12213" s="28"/>
      <c r="U12213" s="28"/>
    </row>
    <row r="12214">
      <c r="N12214" s="28"/>
      <c r="O12214" s="28"/>
      <c r="U12214" s="28"/>
    </row>
    <row r="12215">
      <c r="N12215" s="28"/>
      <c r="O12215" s="28"/>
      <c r="U12215" s="28"/>
    </row>
    <row r="12216">
      <c r="N12216" s="28"/>
      <c r="O12216" s="28"/>
      <c r="U12216" s="28"/>
    </row>
    <row r="12217">
      <c r="N12217" s="28"/>
      <c r="O12217" s="28"/>
      <c r="U12217" s="28"/>
    </row>
    <row r="12218">
      <c r="N12218" s="28"/>
      <c r="O12218" s="28"/>
      <c r="U12218" s="28"/>
    </row>
    <row r="12219">
      <c r="N12219" s="28"/>
      <c r="O12219" s="28"/>
      <c r="U12219" s="28"/>
    </row>
    <row r="12220">
      <c r="N12220" s="28"/>
      <c r="O12220" s="28"/>
      <c r="U12220" s="28"/>
    </row>
    <row r="12221">
      <c r="N12221" s="28"/>
      <c r="O12221" s="28"/>
      <c r="U12221" s="28"/>
    </row>
    <row r="12222">
      <c r="N12222" s="28"/>
      <c r="O12222" s="28"/>
      <c r="U12222" s="28"/>
    </row>
    <row r="12223">
      <c r="N12223" s="28"/>
      <c r="O12223" s="28"/>
      <c r="U12223" s="28"/>
    </row>
    <row r="12224">
      <c r="N12224" s="28"/>
      <c r="O12224" s="28"/>
      <c r="U12224" s="28"/>
    </row>
    <row r="12225">
      <c r="N12225" s="28"/>
      <c r="O12225" s="28"/>
      <c r="U12225" s="28"/>
    </row>
    <row r="12226">
      <c r="N12226" s="28"/>
      <c r="O12226" s="28"/>
      <c r="U12226" s="28"/>
    </row>
    <row r="12227">
      <c r="N12227" s="28"/>
      <c r="O12227" s="28"/>
      <c r="U12227" s="28"/>
    </row>
    <row r="12228">
      <c r="N12228" s="28"/>
      <c r="O12228" s="28"/>
      <c r="U12228" s="28"/>
    </row>
    <row r="12229">
      <c r="N12229" s="28"/>
      <c r="O12229" s="28"/>
      <c r="U12229" s="28"/>
    </row>
    <row r="12230">
      <c r="N12230" s="28"/>
      <c r="O12230" s="28"/>
      <c r="U12230" s="28"/>
    </row>
    <row r="12231">
      <c r="N12231" s="28"/>
      <c r="O12231" s="28"/>
      <c r="U12231" s="28"/>
    </row>
    <row r="12232">
      <c r="N12232" s="28"/>
      <c r="O12232" s="28"/>
      <c r="U12232" s="28"/>
    </row>
    <row r="12233">
      <c r="N12233" s="28"/>
      <c r="O12233" s="28"/>
      <c r="U12233" s="28"/>
    </row>
    <row r="12234">
      <c r="N12234" s="28"/>
      <c r="O12234" s="28"/>
      <c r="U12234" s="28"/>
    </row>
    <row r="12235">
      <c r="N12235" s="28"/>
      <c r="O12235" s="28"/>
      <c r="U12235" s="28"/>
    </row>
    <row r="12236">
      <c r="N12236" s="28"/>
      <c r="O12236" s="28"/>
      <c r="U12236" s="28"/>
    </row>
    <row r="12237">
      <c r="N12237" s="28"/>
      <c r="O12237" s="28"/>
      <c r="U12237" s="28"/>
    </row>
    <row r="12238">
      <c r="N12238" s="28"/>
      <c r="O12238" s="28"/>
      <c r="U12238" s="28"/>
    </row>
    <row r="12239">
      <c r="N12239" s="28"/>
      <c r="O12239" s="28"/>
      <c r="U12239" s="28"/>
    </row>
    <row r="12240">
      <c r="N12240" s="28"/>
      <c r="O12240" s="28"/>
      <c r="U12240" s="28"/>
    </row>
    <row r="12241">
      <c r="N12241" s="28"/>
      <c r="O12241" s="28"/>
      <c r="U12241" s="28"/>
    </row>
    <row r="12242">
      <c r="N12242" s="28"/>
      <c r="O12242" s="28"/>
      <c r="U12242" s="28"/>
    </row>
    <row r="12243">
      <c r="N12243" s="28"/>
      <c r="O12243" s="28"/>
      <c r="U12243" s="28"/>
    </row>
    <row r="12244">
      <c r="N12244" s="28"/>
      <c r="O12244" s="28"/>
      <c r="U12244" s="28"/>
    </row>
    <row r="12245">
      <c r="N12245" s="28"/>
      <c r="O12245" s="28"/>
      <c r="U12245" s="28"/>
    </row>
    <row r="12246">
      <c r="N12246" s="28"/>
      <c r="O12246" s="28"/>
      <c r="U12246" s="28"/>
    </row>
    <row r="12247">
      <c r="N12247" s="28"/>
      <c r="O12247" s="28"/>
      <c r="U12247" s="28"/>
    </row>
    <row r="12248">
      <c r="N12248" s="28"/>
      <c r="O12248" s="28"/>
      <c r="U12248" s="28"/>
    </row>
    <row r="12249">
      <c r="N12249" s="28"/>
      <c r="O12249" s="28"/>
      <c r="U12249" s="28"/>
    </row>
    <row r="12250">
      <c r="N12250" s="28"/>
      <c r="O12250" s="28"/>
      <c r="U12250" s="28"/>
    </row>
    <row r="12251">
      <c r="N12251" s="28"/>
      <c r="O12251" s="28"/>
      <c r="U12251" s="28"/>
    </row>
    <row r="12252">
      <c r="N12252" s="28"/>
      <c r="O12252" s="28"/>
      <c r="U12252" s="28"/>
    </row>
    <row r="12253">
      <c r="N12253" s="28"/>
      <c r="O12253" s="28"/>
      <c r="U12253" s="28"/>
    </row>
    <row r="12254">
      <c r="N12254" s="28"/>
      <c r="O12254" s="28"/>
      <c r="U12254" s="28"/>
    </row>
    <row r="12255">
      <c r="N12255" s="28"/>
      <c r="O12255" s="28"/>
      <c r="U12255" s="28"/>
    </row>
    <row r="12256">
      <c r="N12256" s="28"/>
      <c r="O12256" s="28"/>
      <c r="U12256" s="28"/>
    </row>
    <row r="12257">
      <c r="N12257" s="28"/>
      <c r="O12257" s="28"/>
      <c r="U12257" s="28"/>
    </row>
    <row r="12258">
      <c r="N12258" s="28"/>
      <c r="O12258" s="28"/>
      <c r="U12258" s="28"/>
    </row>
    <row r="12259">
      <c r="N12259" s="28"/>
      <c r="O12259" s="28"/>
      <c r="U12259" s="28"/>
    </row>
    <row r="12260">
      <c r="N12260" s="28"/>
      <c r="O12260" s="28"/>
      <c r="U12260" s="28"/>
    </row>
    <row r="12261">
      <c r="N12261" s="28"/>
      <c r="O12261" s="28"/>
      <c r="U12261" s="28"/>
    </row>
    <row r="12262">
      <c r="N12262" s="28"/>
      <c r="O12262" s="28"/>
      <c r="U12262" s="28"/>
    </row>
    <row r="12263">
      <c r="N12263" s="28"/>
      <c r="O12263" s="28"/>
      <c r="U12263" s="28"/>
    </row>
    <row r="12264">
      <c r="N12264" s="28"/>
      <c r="O12264" s="28"/>
      <c r="U12264" s="28"/>
    </row>
    <row r="12265">
      <c r="N12265" s="28"/>
      <c r="O12265" s="28"/>
      <c r="U12265" s="28"/>
    </row>
    <row r="12266">
      <c r="N12266" s="28"/>
      <c r="O12266" s="28"/>
      <c r="U12266" s="28"/>
    </row>
    <row r="12267">
      <c r="N12267" s="28"/>
      <c r="O12267" s="28"/>
      <c r="U12267" s="28"/>
    </row>
    <row r="12268">
      <c r="N12268" s="28"/>
      <c r="O12268" s="28"/>
      <c r="U12268" s="28"/>
    </row>
    <row r="12269">
      <c r="N12269" s="28"/>
      <c r="O12269" s="28"/>
      <c r="U12269" s="28"/>
    </row>
    <row r="12270">
      <c r="N12270" s="28"/>
      <c r="O12270" s="28"/>
      <c r="U12270" s="28"/>
    </row>
    <row r="12271">
      <c r="N12271" s="28"/>
      <c r="O12271" s="28"/>
      <c r="U12271" s="28"/>
    </row>
    <row r="12272">
      <c r="N12272" s="28"/>
      <c r="O12272" s="28"/>
      <c r="U12272" s="28"/>
    </row>
    <row r="12273">
      <c r="N12273" s="28"/>
      <c r="O12273" s="28"/>
      <c r="U12273" s="28"/>
    </row>
    <row r="12274">
      <c r="N12274" s="28"/>
      <c r="O12274" s="28"/>
      <c r="U12274" s="28"/>
    </row>
    <row r="12275">
      <c r="N12275" s="28"/>
      <c r="O12275" s="28"/>
      <c r="U12275" s="28"/>
    </row>
    <row r="12276">
      <c r="N12276" s="28"/>
      <c r="O12276" s="28"/>
      <c r="U12276" s="28"/>
    </row>
    <row r="12277">
      <c r="N12277" s="28"/>
      <c r="O12277" s="28"/>
      <c r="U12277" s="28"/>
    </row>
    <row r="12278">
      <c r="N12278" s="28"/>
      <c r="O12278" s="28"/>
      <c r="U12278" s="28"/>
    </row>
    <row r="12279">
      <c r="N12279" s="28"/>
      <c r="O12279" s="28"/>
      <c r="U12279" s="28"/>
    </row>
    <row r="12280">
      <c r="N12280" s="28"/>
      <c r="O12280" s="28"/>
      <c r="U12280" s="28"/>
    </row>
    <row r="12281">
      <c r="N12281" s="28"/>
      <c r="O12281" s="28"/>
      <c r="U12281" s="28"/>
    </row>
    <row r="12282">
      <c r="N12282" s="28"/>
      <c r="O12282" s="28"/>
      <c r="U12282" s="28"/>
    </row>
    <row r="12283">
      <c r="N12283" s="28"/>
      <c r="O12283" s="28"/>
      <c r="U12283" s="28"/>
    </row>
    <row r="12284">
      <c r="N12284" s="28"/>
      <c r="O12284" s="28"/>
      <c r="U12284" s="28"/>
    </row>
    <row r="12285">
      <c r="N12285" s="28"/>
      <c r="O12285" s="28"/>
      <c r="U12285" s="28"/>
    </row>
    <row r="12286">
      <c r="N12286" s="28"/>
      <c r="O12286" s="28"/>
      <c r="U12286" s="28"/>
    </row>
    <row r="12287">
      <c r="N12287" s="28"/>
      <c r="O12287" s="28"/>
      <c r="U12287" s="28"/>
    </row>
    <row r="12288">
      <c r="N12288" s="28"/>
      <c r="O12288" s="28"/>
      <c r="U12288" s="28"/>
    </row>
    <row r="12289">
      <c r="N12289" s="28"/>
      <c r="O12289" s="28"/>
      <c r="U12289" s="28"/>
    </row>
    <row r="12290">
      <c r="N12290" s="28"/>
      <c r="O12290" s="28"/>
      <c r="U12290" s="28"/>
    </row>
    <row r="12291">
      <c r="N12291" s="28"/>
      <c r="O12291" s="28"/>
      <c r="U12291" s="28"/>
    </row>
    <row r="12292">
      <c r="N12292" s="28"/>
      <c r="O12292" s="28"/>
      <c r="U12292" s="28"/>
    </row>
    <row r="12293">
      <c r="N12293" s="28"/>
      <c r="O12293" s="28"/>
      <c r="U12293" s="28"/>
    </row>
    <row r="12294">
      <c r="N12294" s="28"/>
      <c r="O12294" s="28"/>
      <c r="U12294" s="28"/>
    </row>
    <row r="12295">
      <c r="N12295" s="28"/>
      <c r="O12295" s="28"/>
      <c r="U12295" s="28"/>
    </row>
    <row r="12296">
      <c r="N12296" s="28"/>
      <c r="O12296" s="28"/>
      <c r="U12296" s="28"/>
    </row>
    <row r="12297">
      <c r="N12297" s="28"/>
      <c r="O12297" s="28"/>
      <c r="U12297" s="28"/>
    </row>
    <row r="12298">
      <c r="N12298" s="28"/>
      <c r="O12298" s="28"/>
      <c r="U12298" s="28"/>
    </row>
    <row r="12299">
      <c r="N12299" s="28"/>
      <c r="O12299" s="28"/>
      <c r="U12299" s="28"/>
    </row>
    <row r="12300">
      <c r="N12300" s="28"/>
      <c r="O12300" s="28"/>
      <c r="U12300" s="28"/>
    </row>
    <row r="12301">
      <c r="N12301" s="28"/>
      <c r="O12301" s="28"/>
      <c r="U12301" s="28"/>
    </row>
    <row r="12302">
      <c r="N12302" s="28"/>
      <c r="O12302" s="28"/>
      <c r="U12302" s="28"/>
    </row>
    <row r="12303">
      <c r="N12303" s="28"/>
      <c r="O12303" s="28"/>
      <c r="U12303" s="28"/>
    </row>
    <row r="12304">
      <c r="N12304" s="28"/>
      <c r="O12304" s="28"/>
      <c r="U12304" s="28"/>
    </row>
    <row r="12305">
      <c r="N12305" s="28"/>
      <c r="O12305" s="28"/>
      <c r="U12305" s="28"/>
    </row>
    <row r="12306">
      <c r="N12306" s="28"/>
      <c r="O12306" s="28"/>
      <c r="U12306" s="28"/>
    </row>
    <row r="12307">
      <c r="N12307" s="28"/>
      <c r="O12307" s="28"/>
      <c r="U12307" s="28"/>
    </row>
    <row r="12308">
      <c r="N12308" s="28"/>
      <c r="O12308" s="28"/>
      <c r="U12308" s="28"/>
    </row>
    <row r="12309">
      <c r="N12309" s="28"/>
      <c r="O12309" s="28"/>
      <c r="U12309" s="28"/>
    </row>
    <row r="12310">
      <c r="N12310" s="28"/>
      <c r="O12310" s="28"/>
      <c r="U12310" s="28"/>
    </row>
    <row r="12311">
      <c r="N12311" s="28"/>
      <c r="O12311" s="28"/>
      <c r="U12311" s="28"/>
    </row>
    <row r="12312">
      <c r="N12312" s="28"/>
      <c r="O12312" s="28"/>
      <c r="U12312" s="28"/>
    </row>
    <row r="12313">
      <c r="N12313" s="28"/>
      <c r="O12313" s="28"/>
      <c r="U12313" s="28"/>
    </row>
    <row r="12314">
      <c r="N12314" s="28"/>
      <c r="O12314" s="28"/>
      <c r="U12314" s="28"/>
    </row>
    <row r="12315">
      <c r="N12315" s="28"/>
      <c r="O12315" s="28"/>
      <c r="U12315" s="28"/>
    </row>
    <row r="12316">
      <c r="N12316" s="28"/>
      <c r="O12316" s="28"/>
      <c r="U12316" s="28"/>
    </row>
    <row r="12317">
      <c r="N12317" s="28"/>
      <c r="O12317" s="28"/>
      <c r="U12317" s="28"/>
    </row>
    <row r="12318">
      <c r="N12318" s="28"/>
      <c r="O12318" s="28"/>
      <c r="U12318" s="28"/>
    </row>
    <row r="12319">
      <c r="N12319" s="28"/>
      <c r="O12319" s="28"/>
      <c r="U12319" s="28"/>
    </row>
    <row r="12320">
      <c r="N12320" s="28"/>
      <c r="O12320" s="28"/>
      <c r="U12320" s="28"/>
    </row>
    <row r="12321">
      <c r="N12321" s="28"/>
      <c r="O12321" s="28"/>
      <c r="U12321" s="28"/>
    </row>
    <row r="12322">
      <c r="N12322" s="28"/>
      <c r="O12322" s="28"/>
      <c r="U12322" s="28"/>
    </row>
    <row r="12323">
      <c r="N12323" s="28"/>
      <c r="O12323" s="28"/>
      <c r="U12323" s="28"/>
    </row>
    <row r="12324">
      <c r="N12324" s="28"/>
      <c r="O12324" s="28"/>
      <c r="U12324" s="28"/>
    </row>
    <row r="12325">
      <c r="N12325" s="28"/>
      <c r="O12325" s="28"/>
      <c r="U12325" s="28"/>
    </row>
    <row r="12326">
      <c r="N12326" s="28"/>
      <c r="O12326" s="28"/>
      <c r="U12326" s="28"/>
    </row>
    <row r="12327">
      <c r="N12327" s="28"/>
      <c r="O12327" s="28"/>
      <c r="U12327" s="28"/>
    </row>
    <row r="12328">
      <c r="N12328" s="28"/>
      <c r="O12328" s="28"/>
      <c r="U12328" s="28"/>
    </row>
    <row r="12329">
      <c r="N12329" s="28"/>
      <c r="O12329" s="28"/>
      <c r="U12329" s="28"/>
    </row>
    <row r="12330">
      <c r="N12330" s="28"/>
      <c r="O12330" s="28"/>
      <c r="U12330" s="28"/>
    </row>
    <row r="12331">
      <c r="N12331" s="28"/>
      <c r="O12331" s="28"/>
      <c r="U12331" s="28"/>
    </row>
    <row r="12332">
      <c r="N12332" s="28"/>
      <c r="O12332" s="28"/>
      <c r="U12332" s="28"/>
    </row>
    <row r="12333">
      <c r="N12333" s="28"/>
      <c r="O12333" s="28"/>
      <c r="U12333" s="28"/>
    </row>
    <row r="12334">
      <c r="N12334" s="28"/>
      <c r="O12334" s="28"/>
      <c r="U12334" s="28"/>
    </row>
    <row r="12335">
      <c r="N12335" s="28"/>
      <c r="O12335" s="28"/>
      <c r="U12335" s="28"/>
    </row>
    <row r="12336">
      <c r="N12336" s="28"/>
      <c r="O12336" s="28"/>
      <c r="U12336" s="28"/>
    </row>
    <row r="12337">
      <c r="N12337" s="28"/>
      <c r="O12337" s="28"/>
      <c r="U12337" s="28"/>
    </row>
    <row r="12338">
      <c r="N12338" s="28"/>
      <c r="O12338" s="28"/>
      <c r="U12338" s="28"/>
    </row>
    <row r="12339">
      <c r="N12339" s="28"/>
      <c r="O12339" s="28"/>
      <c r="U12339" s="28"/>
    </row>
    <row r="12340">
      <c r="N12340" s="28"/>
      <c r="O12340" s="28"/>
      <c r="U12340" s="28"/>
    </row>
    <row r="12341">
      <c r="N12341" s="28"/>
      <c r="O12341" s="28"/>
      <c r="U12341" s="28"/>
    </row>
    <row r="12342">
      <c r="N12342" s="28"/>
      <c r="O12342" s="28"/>
      <c r="U12342" s="28"/>
    </row>
    <row r="12343">
      <c r="N12343" s="28"/>
      <c r="O12343" s="28"/>
      <c r="U12343" s="28"/>
    </row>
    <row r="12344">
      <c r="N12344" s="28"/>
      <c r="O12344" s="28"/>
      <c r="U12344" s="28"/>
    </row>
    <row r="12345">
      <c r="N12345" s="28"/>
      <c r="O12345" s="28"/>
      <c r="U12345" s="28"/>
    </row>
    <row r="12346">
      <c r="N12346" s="28"/>
      <c r="O12346" s="28"/>
      <c r="U12346" s="28"/>
    </row>
    <row r="12347">
      <c r="N12347" s="28"/>
      <c r="O12347" s="28"/>
      <c r="U12347" s="28"/>
    </row>
    <row r="12348">
      <c r="N12348" s="28"/>
      <c r="O12348" s="28"/>
      <c r="U12348" s="28"/>
    </row>
    <row r="12349">
      <c r="N12349" s="28"/>
      <c r="O12349" s="28"/>
      <c r="U12349" s="28"/>
    </row>
    <row r="12350">
      <c r="N12350" s="28"/>
      <c r="O12350" s="28"/>
      <c r="U12350" s="28"/>
    </row>
    <row r="12351">
      <c r="N12351" s="28"/>
      <c r="O12351" s="28"/>
      <c r="U12351" s="28"/>
    </row>
    <row r="12352">
      <c r="N12352" s="28"/>
      <c r="O12352" s="28"/>
      <c r="U12352" s="28"/>
    </row>
    <row r="12353">
      <c r="N12353" s="28"/>
      <c r="O12353" s="28"/>
      <c r="U12353" s="28"/>
    </row>
    <row r="12354">
      <c r="N12354" s="28"/>
      <c r="O12354" s="28"/>
      <c r="U12354" s="28"/>
    </row>
    <row r="12355">
      <c r="N12355" s="28"/>
      <c r="O12355" s="28"/>
      <c r="U12355" s="28"/>
    </row>
    <row r="12356">
      <c r="N12356" s="28"/>
      <c r="O12356" s="28"/>
      <c r="U12356" s="28"/>
    </row>
    <row r="12357">
      <c r="N12357" s="28"/>
      <c r="O12357" s="28"/>
      <c r="U12357" s="28"/>
    </row>
    <row r="12358">
      <c r="N12358" s="28"/>
      <c r="O12358" s="28"/>
      <c r="U12358" s="28"/>
    </row>
    <row r="12359">
      <c r="N12359" s="28"/>
      <c r="O12359" s="28"/>
      <c r="U12359" s="28"/>
    </row>
    <row r="12360">
      <c r="N12360" s="28"/>
      <c r="O12360" s="28"/>
      <c r="U12360" s="28"/>
    </row>
    <row r="12361">
      <c r="N12361" s="28"/>
      <c r="O12361" s="28"/>
      <c r="U12361" s="28"/>
    </row>
    <row r="12362">
      <c r="N12362" s="28"/>
      <c r="O12362" s="28"/>
      <c r="U12362" s="28"/>
    </row>
    <row r="12363">
      <c r="N12363" s="28"/>
      <c r="O12363" s="28"/>
      <c r="U12363" s="28"/>
    </row>
    <row r="12364">
      <c r="N12364" s="28"/>
      <c r="O12364" s="28"/>
      <c r="U12364" s="28"/>
    </row>
    <row r="12365">
      <c r="N12365" s="28"/>
      <c r="O12365" s="28"/>
      <c r="U12365" s="28"/>
    </row>
    <row r="12366">
      <c r="N12366" s="28"/>
      <c r="O12366" s="28"/>
      <c r="U12366" s="28"/>
    </row>
    <row r="12367">
      <c r="N12367" s="28"/>
      <c r="O12367" s="28"/>
      <c r="U12367" s="28"/>
    </row>
    <row r="12368">
      <c r="N12368" s="28"/>
      <c r="O12368" s="28"/>
      <c r="U12368" s="28"/>
    </row>
    <row r="12369">
      <c r="N12369" s="28"/>
      <c r="O12369" s="28"/>
      <c r="U12369" s="28"/>
    </row>
    <row r="12370">
      <c r="N12370" s="28"/>
      <c r="O12370" s="28"/>
      <c r="U12370" s="28"/>
    </row>
    <row r="12371">
      <c r="N12371" s="28"/>
      <c r="O12371" s="28"/>
      <c r="U12371" s="28"/>
    </row>
    <row r="12372">
      <c r="N12372" s="28"/>
      <c r="O12372" s="28"/>
      <c r="U12372" s="28"/>
    </row>
    <row r="12373">
      <c r="N12373" s="28"/>
      <c r="O12373" s="28"/>
      <c r="U12373" s="28"/>
    </row>
    <row r="12374">
      <c r="N12374" s="28"/>
      <c r="O12374" s="28"/>
      <c r="U12374" s="28"/>
    </row>
    <row r="12375">
      <c r="N12375" s="28"/>
      <c r="O12375" s="28"/>
      <c r="U12375" s="28"/>
    </row>
    <row r="12376">
      <c r="N12376" s="28"/>
      <c r="O12376" s="28"/>
      <c r="U12376" s="28"/>
    </row>
    <row r="12377">
      <c r="N12377" s="28"/>
      <c r="O12377" s="28"/>
      <c r="U12377" s="28"/>
    </row>
    <row r="12378">
      <c r="N12378" s="28"/>
      <c r="O12378" s="28"/>
      <c r="U12378" s="28"/>
    </row>
    <row r="12379">
      <c r="N12379" s="28"/>
      <c r="O12379" s="28"/>
      <c r="U12379" s="28"/>
    </row>
    <row r="12380">
      <c r="N12380" s="28"/>
      <c r="O12380" s="28"/>
      <c r="U12380" s="28"/>
    </row>
    <row r="12381">
      <c r="N12381" s="28"/>
      <c r="O12381" s="28"/>
      <c r="U12381" s="28"/>
    </row>
    <row r="12382">
      <c r="N12382" s="28"/>
      <c r="O12382" s="28"/>
      <c r="U12382" s="28"/>
    </row>
    <row r="12383">
      <c r="N12383" s="28"/>
      <c r="O12383" s="28"/>
      <c r="U12383" s="28"/>
    </row>
    <row r="12384">
      <c r="N12384" s="28"/>
      <c r="O12384" s="28"/>
      <c r="U12384" s="28"/>
    </row>
    <row r="12385">
      <c r="N12385" s="28"/>
      <c r="O12385" s="28"/>
      <c r="U12385" s="28"/>
    </row>
    <row r="12386">
      <c r="N12386" s="28"/>
      <c r="O12386" s="28"/>
      <c r="U12386" s="28"/>
    </row>
    <row r="12387">
      <c r="N12387" s="28"/>
      <c r="O12387" s="28"/>
      <c r="U12387" s="28"/>
    </row>
    <row r="12388">
      <c r="N12388" s="28"/>
      <c r="O12388" s="28"/>
      <c r="U12388" s="28"/>
    </row>
    <row r="12389">
      <c r="N12389" s="28"/>
      <c r="O12389" s="28"/>
      <c r="U12389" s="28"/>
    </row>
    <row r="12390">
      <c r="N12390" s="28"/>
      <c r="O12390" s="28"/>
      <c r="U12390" s="28"/>
    </row>
    <row r="12391">
      <c r="N12391" s="28"/>
      <c r="O12391" s="28"/>
      <c r="U12391" s="28"/>
    </row>
    <row r="12392">
      <c r="N12392" s="28"/>
      <c r="O12392" s="28"/>
      <c r="U12392" s="28"/>
    </row>
    <row r="12393">
      <c r="N12393" s="28"/>
      <c r="O12393" s="28"/>
      <c r="U12393" s="28"/>
    </row>
    <row r="12394">
      <c r="N12394" s="28"/>
      <c r="O12394" s="28"/>
      <c r="U12394" s="28"/>
    </row>
    <row r="12395">
      <c r="N12395" s="28"/>
      <c r="O12395" s="28"/>
      <c r="U12395" s="28"/>
    </row>
    <row r="12396">
      <c r="N12396" s="28"/>
      <c r="O12396" s="28"/>
      <c r="U12396" s="28"/>
    </row>
    <row r="12397">
      <c r="N12397" s="28"/>
      <c r="O12397" s="28"/>
      <c r="U12397" s="28"/>
    </row>
    <row r="12398">
      <c r="N12398" s="28"/>
      <c r="O12398" s="28"/>
      <c r="U12398" s="28"/>
    </row>
    <row r="12399">
      <c r="N12399" s="28"/>
      <c r="O12399" s="28"/>
      <c r="U12399" s="28"/>
    </row>
    <row r="12400">
      <c r="N12400" s="28"/>
      <c r="O12400" s="28"/>
      <c r="U12400" s="28"/>
    </row>
    <row r="12401">
      <c r="N12401" s="28"/>
      <c r="O12401" s="28"/>
      <c r="U12401" s="28"/>
    </row>
    <row r="12402">
      <c r="N12402" s="28"/>
      <c r="O12402" s="28"/>
      <c r="U12402" s="28"/>
    </row>
    <row r="12403">
      <c r="N12403" s="28"/>
      <c r="O12403" s="28"/>
      <c r="U12403" s="28"/>
    </row>
    <row r="12404">
      <c r="N12404" s="28"/>
      <c r="O12404" s="28"/>
      <c r="U12404" s="28"/>
    </row>
    <row r="12405">
      <c r="N12405" s="28"/>
      <c r="O12405" s="28"/>
      <c r="U12405" s="28"/>
    </row>
    <row r="12406">
      <c r="N12406" s="28"/>
      <c r="O12406" s="28"/>
      <c r="U12406" s="28"/>
    </row>
    <row r="12407">
      <c r="N12407" s="28"/>
      <c r="O12407" s="28"/>
      <c r="U12407" s="28"/>
    </row>
    <row r="12408">
      <c r="N12408" s="28"/>
      <c r="O12408" s="28"/>
      <c r="U12408" s="28"/>
    </row>
    <row r="12409">
      <c r="N12409" s="28"/>
      <c r="O12409" s="28"/>
      <c r="U12409" s="28"/>
    </row>
    <row r="12410">
      <c r="N12410" s="28"/>
      <c r="O12410" s="28"/>
      <c r="U12410" s="28"/>
    </row>
    <row r="12411">
      <c r="N12411" s="28"/>
      <c r="O12411" s="28"/>
      <c r="U12411" s="28"/>
    </row>
    <row r="12412">
      <c r="N12412" s="28"/>
      <c r="O12412" s="28"/>
      <c r="U12412" s="28"/>
    </row>
    <row r="12413">
      <c r="N12413" s="28"/>
      <c r="O12413" s="28"/>
      <c r="U12413" s="28"/>
    </row>
    <row r="12414">
      <c r="N12414" s="28"/>
      <c r="O12414" s="28"/>
      <c r="U12414" s="28"/>
    </row>
    <row r="12415">
      <c r="N12415" s="28"/>
      <c r="O12415" s="28"/>
      <c r="U12415" s="28"/>
    </row>
    <row r="12416">
      <c r="N12416" s="28"/>
      <c r="O12416" s="28"/>
      <c r="U12416" s="28"/>
    </row>
    <row r="12417">
      <c r="N12417" s="28"/>
      <c r="O12417" s="28"/>
      <c r="U12417" s="28"/>
    </row>
    <row r="12418">
      <c r="N12418" s="28"/>
      <c r="O12418" s="28"/>
      <c r="U12418" s="28"/>
    </row>
    <row r="12419">
      <c r="N12419" s="28"/>
      <c r="O12419" s="28"/>
      <c r="U12419" s="28"/>
    </row>
    <row r="12420">
      <c r="N12420" s="28"/>
      <c r="O12420" s="28"/>
      <c r="U12420" s="28"/>
    </row>
    <row r="12421">
      <c r="N12421" s="28"/>
      <c r="O12421" s="28"/>
      <c r="U12421" s="28"/>
    </row>
    <row r="12422">
      <c r="N12422" s="28"/>
      <c r="O12422" s="28"/>
      <c r="U12422" s="28"/>
    </row>
    <row r="12423">
      <c r="N12423" s="28"/>
      <c r="O12423" s="28"/>
      <c r="U12423" s="28"/>
    </row>
    <row r="12424">
      <c r="N12424" s="28"/>
      <c r="O12424" s="28"/>
      <c r="U12424" s="28"/>
    </row>
    <row r="12425">
      <c r="N12425" s="28"/>
      <c r="O12425" s="28"/>
      <c r="U12425" s="28"/>
    </row>
    <row r="12426">
      <c r="N12426" s="28"/>
      <c r="O12426" s="28"/>
      <c r="U12426" s="28"/>
    </row>
    <row r="12427">
      <c r="N12427" s="28"/>
      <c r="O12427" s="28"/>
      <c r="U12427" s="28"/>
    </row>
    <row r="12428">
      <c r="N12428" s="28"/>
      <c r="O12428" s="28"/>
      <c r="U12428" s="28"/>
    </row>
    <row r="12429">
      <c r="N12429" s="28"/>
      <c r="O12429" s="28"/>
      <c r="U12429" s="28"/>
    </row>
    <row r="12430">
      <c r="N12430" s="28"/>
      <c r="O12430" s="28"/>
      <c r="U12430" s="28"/>
    </row>
    <row r="12431">
      <c r="N12431" s="28"/>
      <c r="O12431" s="28"/>
      <c r="U12431" s="28"/>
    </row>
    <row r="12432">
      <c r="N12432" s="28"/>
      <c r="O12432" s="28"/>
      <c r="U12432" s="28"/>
    </row>
    <row r="12433">
      <c r="N12433" s="28"/>
      <c r="O12433" s="28"/>
      <c r="U12433" s="28"/>
    </row>
    <row r="12434">
      <c r="N12434" s="28"/>
      <c r="O12434" s="28"/>
      <c r="U12434" s="28"/>
    </row>
    <row r="12435">
      <c r="N12435" s="28"/>
      <c r="O12435" s="28"/>
      <c r="U12435" s="28"/>
    </row>
    <row r="12436">
      <c r="N12436" s="28"/>
      <c r="O12436" s="28"/>
      <c r="U12436" s="28"/>
    </row>
    <row r="12437">
      <c r="N12437" s="28"/>
      <c r="O12437" s="28"/>
      <c r="U12437" s="28"/>
    </row>
    <row r="12438">
      <c r="N12438" s="28"/>
      <c r="O12438" s="28"/>
      <c r="U12438" s="28"/>
    </row>
    <row r="12439">
      <c r="N12439" s="28"/>
      <c r="O12439" s="28"/>
      <c r="U12439" s="28"/>
    </row>
    <row r="12440">
      <c r="N12440" s="28"/>
      <c r="O12440" s="28"/>
      <c r="U12440" s="28"/>
    </row>
    <row r="12441">
      <c r="N12441" s="28"/>
      <c r="O12441" s="28"/>
      <c r="U12441" s="28"/>
    </row>
    <row r="12442">
      <c r="N12442" s="28"/>
      <c r="O12442" s="28"/>
      <c r="U12442" s="28"/>
    </row>
    <row r="12443">
      <c r="N12443" s="28"/>
      <c r="O12443" s="28"/>
      <c r="U12443" s="28"/>
    </row>
    <row r="12444">
      <c r="N12444" s="28"/>
      <c r="O12444" s="28"/>
      <c r="U12444" s="28"/>
    </row>
    <row r="12445">
      <c r="N12445" s="28"/>
      <c r="O12445" s="28"/>
      <c r="U12445" s="28"/>
    </row>
    <row r="12446">
      <c r="N12446" s="28"/>
      <c r="O12446" s="28"/>
      <c r="U12446" s="28"/>
    </row>
    <row r="12447">
      <c r="N12447" s="28"/>
      <c r="O12447" s="28"/>
      <c r="U12447" s="28"/>
    </row>
    <row r="12448">
      <c r="N12448" s="28"/>
      <c r="O12448" s="28"/>
      <c r="U12448" s="28"/>
    </row>
    <row r="12449">
      <c r="N12449" s="28"/>
      <c r="O12449" s="28"/>
      <c r="U12449" s="28"/>
    </row>
    <row r="12450">
      <c r="N12450" s="28"/>
      <c r="O12450" s="28"/>
      <c r="U12450" s="28"/>
    </row>
    <row r="12451">
      <c r="N12451" s="28"/>
      <c r="O12451" s="28"/>
      <c r="U12451" s="28"/>
    </row>
    <row r="12452">
      <c r="N12452" s="28"/>
      <c r="O12452" s="28"/>
      <c r="U12452" s="28"/>
    </row>
    <row r="12453">
      <c r="N12453" s="28"/>
      <c r="O12453" s="28"/>
      <c r="U12453" s="28"/>
    </row>
    <row r="12454">
      <c r="N12454" s="28"/>
      <c r="O12454" s="28"/>
      <c r="U12454" s="28"/>
    </row>
    <row r="12455">
      <c r="N12455" s="28"/>
      <c r="O12455" s="28"/>
      <c r="U12455" s="28"/>
    </row>
    <row r="12456">
      <c r="N12456" s="28"/>
      <c r="O12456" s="28"/>
      <c r="U12456" s="28"/>
    </row>
    <row r="12457">
      <c r="N12457" s="28"/>
      <c r="O12457" s="28"/>
      <c r="U12457" s="28"/>
    </row>
    <row r="12458">
      <c r="N12458" s="28"/>
      <c r="O12458" s="28"/>
      <c r="U12458" s="28"/>
    </row>
    <row r="12459">
      <c r="N12459" s="28"/>
      <c r="O12459" s="28"/>
      <c r="U12459" s="28"/>
    </row>
    <row r="12460">
      <c r="N12460" s="28"/>
      <c r="O12460" s="28"/>
      <c r="U12460" s="28"/>
    </row>
    <row r="12461">
      <c r="N12461" s="28"/>
      <c r="O12461" s="28"/>
      <c r="U12461" s="28"/>
    </row>
    <row r="12462">
      <c r="N12462" s="28"/>
      <c r="O12462" s="28"/>
      <c r="U12462" s="28"/>
    </row>
    <row r="12463">
      <c r="N12463" s="28"/>
      <c r="O12463" s="28"/>
      <c r="U12463" s="28"/>
    </row>
    <row r="12464">
      <c r="N12464" s="28"/>
      <c r="O12464" s="28"/>
      <c r="U12464" s="28"/>
    </row>
    <row r="12465">
      <c r="N12465" s="28"/>
      <c r="O12465" s="28"/>
      <c r="U12465" s="28"/>
    </row>
    <row r="12466">
      <c r="N12466" s="28"/>
      <c r="O12466" s="28"/>
      <c r="U12466" s="28"/>
    </row>
    <row r="12467">
      <c r="N12467" s="28"/>
      <c r="O12467" s="28"/>
      <c r="U12467" s="28"/>
    </row>
    <row r="12468">
      <c r="N12468" s="28"/>
      <c r="O12468" s="28"/>
      <c r="U12468" s="28"/>
    </row>
    <row r="12469">
      <c r="N12469" s="28"/>
      <c r="O12469" s="28"/>
      <c r="U12469" s="28"/>
    </row>
    <row r="12470">
      <c r="N12470" s="28"/>
      <c r="O12470" s="28"/>
      <c r="U12470" s="28"/>
    </row>
    <row r="12471">
      <c r="N12471" s="28"/>
      <c r="O12471" s="28"/>
      <c r="U12471" s="28"/>
    </row>
    <row r="12472">
      <c r="N12472" s="28"/>
      <c r="O12472" s="28"/>
      <c r="U12472" s="28"/>
    </row>
    <row r="12473">
      <c r="N12473" s="28"/>
      <c r="O12473" s="28"/>
      <c r="U12473" s="28"/>
    </row>
    <row r="12474">
      <c r="N12474" s="28"/>
      <c r="O12474" s="28"/>
      <c r="U12474" s="28"/>
    </row>
    <row r="12475">
      <c r="N12475" s="28"/>
      <c r="O12475" s="28"/>
      <c r="U12475" s="28"/>
    </row>
    <row r="12476">
      <c r="N12476" s="28"/>
      <c r="O12476" s="28"/>
      <c r="U12476" s="28"/>
    </row>
    <row r="12477">
      <c r="N12477" s="28"/>
      <c r="O12477" s="28"/>
      <c r="U12477" s="28"/>
    </row>
    <row r="12478">
      <c r="N12478" s="28"/>
      <c r="O12478" s="28"/>
      <c r="U12478" s="28"/>
    </row>
    <row r="12479">
      <c r="N12479" s="28"/>
      <c r="O12479" s="28"/>
      <c r="U12479" s="28"/>
    </row>
    <row r="12480">
      <c r="N12480" s="28"/>
      <c r="O12480" s="28"/>
      <c r="U12480" s="28"/>
    </row>
    <row r="12481">
      <c r="N12481" s="28"/>
      <c r="O12481" s="28"/>
      <c r="U12481" s="28"/>
    </row>
    <row r="12482">
      <c r="N12482" s="28"/>
      <c r="O12482" s="28"/>
      <c r="U12482" s="28"/>
    </row>
    <row r="12483">
      <c r="N12483" s="28"/>
      <c r="O12483" s="28"/>
      <c r="U12483" s="28"/>
    </row>
    <row r="12484">
      <c r="N12484" s="28"/>
      <c r="O12484" s="28"/>
      <c r="U12484" s="28"/>
    </row>
    <row r="12485">
      <c r="N12485" s="28"/>
      <c r="O12485" s="28"/>
      <c r="U12485" s="28"/>
    </row>
    <row r="12486">
      <c r="N12486" s="28"/>
      <c r="O12486" s="28"/>
      <c r="U12486" s="28"/>
    </row>
    <row r="12487">
      <c r="N12487" s="28"/>
      <c r="O12487" s="28"/>
      <c r="U12487" s="28"/>
    </row>
    <row r="12488">
      <c r="N12488" s="28"/>
      <c r="O12488" s="28"/>
      <c r="U12488" s="28"/>
    </row>
    <row r="12489">
      <c r="N12489" s="28"/>
      <c r="O12489" s="28"/>
      <c r="U12489" s="28"/>
    </row>
    <row r="12490">
      <c r="N12490" s="28"/>
      <c r="O12490" s="28"/>
      <c r="U12490" s="28"/>
    </row>
    <row r="12491">
      <c r="N12491" s="28"/>
      <c r="O12491" s="28"/>
      <c r="U12491" s="28"/>
    </row>
    <row r="12492">
      <c r="N12492" s="28"/>
      <c r="O12492" s="28"/>
      <c r="U12492" s="28"/>
    </row>
    <row r="12493">
      <c r="N12493" s="28"/>
      <c r="O12493" s="28"/>
      <c r="U12493" s="28"/>
    </row>
    <row r="12494">
      <c r="N12494" s="28"/>
      <c r="O12494" s="28"/>
      <c r="U12494" s="28"/>
    </row>
    <row r="12495">
      <c r="N12495" s="28"/>
      <c r="O12495" s="28"/>
      <c r="U12495" s="28"/>
    </row>
    <row r="12496">
      <c r="N12496" s="28"/>
      <c r="O12496" s="28"/>
      <c r="U12496" s="28"/>
    </row>
    <row r="12497">
      <c r="N12497" s="28"/>
      <c r="O12497" s="28"/>
      <c r="U12497" s="28"/>
    </row>
    <row r="12498">
      <c r="N12498" s="28"/>
      <c r="O12498" s="28"/>
      <c r="U12498" s="28"/>
    </row>
    <row r="12499">
      <c r="N12499" s="28"/>
      <c r="O12499" s="28"/>
      <c r="U12499" s="28"/>
    </row>
    <row r="12500">
      <c r="N12500" s="28"/>
      <c r="O12500" s="28"/>
      <c r="U12500" s="28"/>
    </row>
    <row r="12501">
      <c r="N12501" s="28"/>
      <c r="O12501" s="28"/>
      <c r="U12501" s="28"/>
    </row>
    <row r="12502">
      <c r="N12502" s="28"/>
      <c r="O12502" s="28"/>
      <c r="U12502" s="28"/>
    </row>
    <row r="12503">
      <c r="N12503" s="28"/>
      <c r="O12503" s="28"/>
      <c r="U12503" s="28"/>
    </row>
    <row r="12504">
      <c r="N12504" s="28"/>
      <c r="O12504" s="28"/>
      <c r="U12504" s="28"/>
    </row>
    <row r="12505">
      <c r="N12505" s="28"/>
      <c r="O12505" s="28"/>
      <c r="U12505" s="28"/>
    </row>
    <row r="12506">
      <c r="N12506" s="28"/>
      <c r="O12506" s="28"/>
      <c r="U12506" s="28"/>
    </row>
    <row r="12507">
      <c r="N12507" s="28"/>
      <c r="O12507" s="28"/>
      <c r="U12507" s="28"/>
    </row>
    <row r="12508">
      <c r="N12508" s="28"/>
      <c r="O12508" s="28"/>
      <c r="U12508" s="28"/>
    </row>
    <row r="12509">
      <c r="N12509" s="28"/>
      <c r="O12509" s="28"/>
      <c r="U12509" s="28"/>
    </row>
    <row r="12510">
      <c r="N12510" s="28"/>
      <c r="O12510" s="28"/>
      <c r="U12510" s="28"/>
    </row>
    <row r="12511">
      <c r="N12511" s="28"/>
      <c r="O12511" s="28"/>
      <c r="U12511" s="28"/>
    </row>
    <row r="12512">
      <c r="N12512" s="28"/>
      <c r="O12512" s="28"/>
      <c r="U12512" s="28"/>
    </row>
    <row r="12513">
      <c r="N12513" s="28"/>
      <c r="O12513" s="28"/>
      <c r="U12513" s="28"/>
    </row>
    <row r="12514">
      <c r="N12514" s="28"/>
      <c r="O12514" s="28"/>
      <c r="U12514" s="28"/>
    </row>
    <row r="12515">
      <c r="N12515" s="28"/>
      <c r="O12515" s="28"/>
      <c r="U12515" s="28"/>
    </row>
    <row r="12516">
      <c r="N12516" s="28"/>
      <c r="O12516" s="28"/>
      <c r="U12516" s="28"/>
    </row>
    <row r="12517">
      <c r="N12517" s="28"/>
      <c r="O12517" s="28"/>
      <c r="U12517" s="28"/>
    </row>
    <row r="12518">
      <c r="N12518" s="28"/>
      <c r="O12518" s="28"/>
      <c r="U12518" s="28"/>
    </row>
    <row r="12519">
      <c r="N12519" s="28"/>
      <c r="O12519" s="28"/>
      <c r="U12519" s="28"/>
    </row>
    <row r="12520">
      <c r="N12520" s="28"/>
      <c r="O12520" s="28"/>
      <c r="U12520" s="28"/>
    </row>
    <row r="12521">
      <c r="N12521" s="28"/>
      <c r="O12521" s="28"/>
      <c r="U12521" s="28"/>
    </row>
    <row r="12522">
      <c r="N12522" s="28"/>
      <c r="O12522" s="28"/>
      <c r="U12522" s="28"/>
    </row>
    <row r="12523">
      <c r="N12523" s="28"/>
      <c r="O12523" s="28"/>
      <c r="U12523" s="28"/>
    </row>
    <row r="12524">
      <c r="N12524" s="28"/>
      <c r="O12524" s="28"/>
      <c r="U12524" s="28"/>
    </row>
    <row r="12525">
      <c r="N12525" s="28"/>
      <c r="O12525" s="28"/>
      <c r="U12525" s="28"/>
    </row>
    <row r="12526">
      <c r="N12526" s="28"/>
      <c r="O12526" s="28"/>
      <c r="U12526" s="28"/>
    </row>
    <row r="12527">
      <c r="N12527" s="28"/>
      <c r="O12527" s="28"/>
      <c r="U12527" s="28"/>
    </row>
    <row r="12528">
      <c r="N12528" s="28"/>
      <c r="O12528" s="28"/>
      <c r="U12528" s="28"/>
    </row>
    <row r="12529">
      <c r="N12529" s="28"/>
      <c r="O12529" s="28"/>
      <c r="U12529" s="28"/>
    </row>
    <row r="12530">
      <c r="N12530" s="28"/>
      <c r="O12530" s="28"/>
      <c r="U12530" s="28"/>
    </row>
    <row r="12531">
      <c r="N12531" s="28"/>
      <c r="O12531" s="28"/>
      <c r="U12531" s="28"/>
    </row>
    <row r="12532">
      <c r="N12532" s="28"/>
      <c r="O12532" s="28"/>
      <c r="U12532" s="28"/>
    </row>
    <row r="12533">
      <c r="N12533" s="28"/>
      <c r="O12533" s="28"/>
      <c r="U12533" s="28"/>
    </row>
    <row r="12534">
      <c r="N12534" s="28"/>
      <c r="O12534" s="28"/>
      <c r="U12534" s="28"/>
    </row>
    <row r="12535">
      <c r="N12535" s="28"/>
      <c r="O12535" s="28"/>
      <c r="U12535" s="28"/>
    </row>
    <row r="12536">
      <c r="N12536" s="28"/>
      <c r="O12536" s="28"/>
      <c r="U12536" s="28"/>
    </row>
    <row r="12537">
      <c r="N12537" s="28"/>
      <c r="O12537" s="28"/>
      <c r="U12537" s="28"/>
    </row>
    <row r="12538">
      <c r="N12538" s="28"/>
      <c r="O12538" s="28"/>
      <c r="U12538" s="28"/>
    </row>
    <row r="12539">
      <c r="N12539" s="28"/>
      <c r="O12539" s="28"/>
      <c r="U12539" s="28"/>
    </row>
    <row r="12540">
      <c r="N12540" s="28"/>
      <c r="O12540" s="28"/>
      <c r="U12540" s="28"/>
    </row>
    <row r="12541">
      <c r="N12541" s="28"/>
      <c r="O12541" s="28"/>
      <c r="U12541" s="28"/>
    </row>
    <row r="12542">
      <c r="N12542" s="28"/>
      <c r="O12542" s="28"/>
      <c r="U12542" s="28"/>
    </row>
    <row r="12543">
      <c r="N12543" s="28"/>
      <c r="O12543" s="28"/>
      <c r="U12543" s="28"/>
    </row>
    <row r="12544">
      <c r="N12544" s="28"/>
      <c r="O12544" s="28"/>
      <c r="U12544" s="28"/>
    </row>
    <row r="12545">
      <c r="N12545" s="28"/>
      <c r="O12545" s="28"/>
      <c r="U12545" s="28"/>
    </row>
    <row r="12546">
      <c r="N12546" s="28"/>
      <c r="O12546" s="28"/>
      <c r="U12546" s="28"/>
    </row>
    <row r="12547">
      <c r="N12547" s="28"/>
      <c r="O12547" s="28"/>
      <c r="U12547" s="28"/>
    </row>
    <row r="12548">
      <c r="N12548" s="28"/>
      <c r="O12548" s="28"/>
      <c r="U12548" s="28"/>
    </row>
    <row r="12549">
      <c r="N12549" s="28"/>
      <c r="O12549" s="28"/>
      <c r="U12549" s="28"/>
    </row>
    <row r="12550">
      <c r="N12550" s="28"/>
      <c r="O12550" s="28"/>
      <c r="U12550" s="28"/>
    </row>
    <row r="12551">
      <c r="N12551" s="28"/>
      <c r="O12551" s="28"/>
      <c r="U12551" s="28"/>
    </row>
    <row r="12552">
      <c r="N12552" s="28"/>
      <c r="O12552" s="28"/>
      <c r="U12552" s="28"/>
    </row>
    <row r="12553">
      <c r="N12553" s="28"/>
      <c r="O12553" s="28"/>
      <c r="U12553" s="28"/>
    </row>
    <row r="12554">
      <c r="N12554" s="28"/>
      <c r="O12554" s="28"/>
      <c r="U12554" s="28"/>
    </row>
    <row r="12555">
      <c r="N12555" s="28"/>
      <c r="O12555" s="28"/>
      <c r="U12555" s="28"/>
    </row>
    <row r="12556">
      <c r="N12556" s="28"/>
      <c r="O12556" s="28"/>
      <c r="U12556" s="28"/>
    </row>
    <row r="12557">
      <c r="N12557" s="28"/>
      <c r="O12557" s="28"/>
      <c r="U12557" s="28"/>
    </row>
    <row r="12558">
      <c r="N12558" s="28"/>
      <c r="O12558" s="28"/>
      <c r="U12558" s="28"/>
    </row>
    <row r="12559">
      <c r="N12559" s="28"/>
      <c r="O12559" s="28"/>
      <c r="U12559" s="28"/>
    </row>
    <row r="12560">
      <c r="N12560" s="28"/>
      <c r="O12560" s="28"/>
      <c r="U12560" s="28"/>
    </row>
    <row r="12561">
      <c r="N12561" s="28"/>
      <c r="O12561" s="28"/>
      <c r="U12561" s="28"/>
    </row>
    <row r="12562">
      <c r="N12562" s="28"/>
      <c r="O12562" s="28"/>
      <c r="U12562" s="28"/>
    </row>
    <row r="12563">
      <c r="N12563" s="28"/>
      <c r="O12563" s="28"/>
      <c r="U12563" s="28"/>
    </row>
    <row r="12564">
      <c r="N12564" s="28"/>
      <c r="O12564" s="28"/>
      <c r="U12564" s="28"/>
    </row>
    <row r="12565">
      <c r="N12565" s="28"/>
      <c r="O12565" s="28"/>
      <c r="U12565" s="28"/>
    </row>
    <row r="12566">
      <c r="N12566" s="28"/>
      <c r="O12566" s="28"/>
      <c r="U12566" s="28"/>
    </row>
    <row r="12567">
      <c r="N12567" s="28"/>
      <c r="O12567" s="28"/>
      <c r="U12567" s="28"/>
    </row>
    <row r="12568">
      <c r="N12568" s="28"/>
      <c r="O12568" s="28"/>
      <c r="U12568" s="28"/>
    </row>
    <row r="12569">
      <c r="N12569" s="28"/>
      <c r="O12569" s="28"/>
      <c r="U12569" s="28"/>
    </row>
    <row r="12570">
      <c r="N12570" s="28"/>
      <c r="O12570" s="28"/>
      <c r="U12570" s="28"/>
    </row>
    <row r="12571">
      <c r="N12571" s="28"/>
      <c r="O12571" s="28"/>
      <c r="U12571" s="28"/>
    </row>
    <row r="12572">
      <c r="N12572" s="28"/>
      <c r="O12572" s="28"/>
      <c r="U12572" s="28"/>
    </row>
    <row r="12573">
      <c r="N12573" s="28"/>
      <c r="O12573" s="28"/>
      <c r="U12573" s="28"/>
    </row>
    <row r="12574">
      <c r="N12574" s="28"/>
      <c r="O12574" s="28"/>
      <c r="U12574" s="28"/>
    </row>
    <row r="12575">
      <c r="N12575" s="28"/>
      <c r="O12575" s="28"/>
      <c r="U12575" s="28"/>
    </row>
    <row r="12576">
      <c r="N12576" s="28"/>
      <c r="O12576" s="28"/>
      <c r="U12576" s="28"/>
    </row>
    <row r="12577">
      <c r="N12577" s="28"/>
      <c r="O12577" s="28"/>
      <c r="U12577" s="28"/>
    </row>
    <row r="12578">
      <c r="N12578" s="28"/>
      <c r="O12578" s="28"/>
      <c r="U12578" s="28"/>
    </row>
    <row r="12579">
      <c r="N12579" s="28"/>
      <c r="O12579" s="28"/>
      <c r="U12579" s="28"/>
    </row>
    <row r="12580">
      <c r="N12580" s="28"/>
      <c r="O12580" s="28"/>
      <c r="U12580" s="28"/>
    </row>
    <row r="12581">
      <c r="N12581" s="28"/>
      <c r="O12581" s="28"/>
      <c r="U12581" s="28"/>
    </row>
    <row r="12582">
      <c r="N12582" s="28"/>
      <c r="O12582" s="28"/>
      <c r="U12582" s="28"/>
    </row>
    <row r="12583">
      <c r="N12583" s="28"/>
      <c r="O12583" s="28"/>
      <c r="U12583" s="28"/>
    </row>
    <row r="12584">
      <c r="N12584" s="28"/>
      <c r="O12584" s="28"/>
      <c r="U12584" s="28"/>
    </row>
    <row r="12585">
      <c r="N12585" s="28"/>
      <c r="O12585" s="28"/>
      <c r="U12585" s="28"/>
    </row>
    <row r="12586">
      <c r="N12586" s="28"/>
      <c r="O12586" s="28"/>
      <c r="U12586" s="28"/>
    </row>
    <row r="12587">
      <c r="N12587" s="28"/>
      <c r="O12587" s="28"/>
      <c r="U12587" s="28"/>
    </row>
    <row r="12588">
      <c r="N12588" s="28"/>
      <c r="O12588" s="28"/>
      <c r="U12588" s="28"/>
    </row>
    <row r="12589">
      <c r="N12589" s="28"/>
      <c r="O12589" s="28"/>
      <c r="U12589" s="28"/>
    </row>
    <row r="12590">
      <c r="N12590" s="28"/>
      <c r="O12590" s="28"/>
      <c r="U12590" s="28"/>
    </row>
    <row r="12591">
      <c r="N12591" s="28"/>
      <c r="O12591" s="28"/>
      <c r="U12591" s="28"/>
    </row>
    <row r="12592">
      <c r="N12592" s="28"/>
      <c r="O12592" s="28"/>
      <c r="U12592" s="28"/>
    </row>
    <row r="12593">
      <c r="N12593" s="28"/>
      <c r="O12593" s="28"/>
      <c r="U12593" s="28"/>
    </row>
    <row r="12594">
      <c r="N12594" s="28"/>
      <c r="O12594" s="28"/>
      <c r="U12594" s="28"/>
    </row>
    <row r="12595">
      <c r="N12595" s="28"/>
      <c r="O12595" s="28"/>
      <c r="U12595" s="28"/>
    </row>
    <row r="12596">
      <c r="N12596" s="28"/>
      <c r="O12596" s="28"/>
      <c r="U12596" s="28"/>
    </row>
    <row r="12597">
      <c r="N12597" s="28"/>
      <c r="O12597" s="28"/>
      <c r="U12597" s="28"/>
    </row>
    <row r="12598">
      <c r="N12598" s="28"/>
      <c r="O12598" s="28"/>
      <c r="U12598" s="28"/>
    </row>
    <row r="12599">
      <c r="N12599" s="28"/>
      <c r="O12599" s="28"/>
      <c r="U12599" s="28"/>
    </row>
    <row r="12600">
      <c r="N12600" s="28"/>
      <c r="O12600" s="28"/>
      <c r="U12600" s="28"/>
    </row>
    <row r="12601">
      <c r="N12601" s="28"/>
      <c r="O12601" s="28"/>
      <c r="U12601" s="28"/>
    </row>
    <row r="12602">
      <c r="N12602" s="28"/>
      <c r="O12602" s="28"/>
      <c r="U12602" s="28"/>
    </row>
    <row r="12603">
      <c r="N12603" s="28"/>
      <c r="O12603" s="28"/>
      <c r="U12603" s="28"/>
    </row>
    <row r="12604">
      <c r="N12604" s="28"/>
      <c r="O12604" s="28"/>
      <c r="U12604" s="28"/>
    </row>
    <row r="12605">
      <c r="N12605" s="28"/>
      <c r="O12605" s="28"/>
      <c r="U12605" s="28"/>
    </row>
    <row r="12606">
      <c r="N12606" s="28"/>
      <c r="O12606" s="28"/>
      <c r="U12606" s="28"/>
    </row>
    <row r="12607">
      <c r="N12607" s="28"/>
      <c r="O12607" s="28"/>
      <c r="U12607" s="28"/>
    </row>
    <row r="12608">
      <c r="N12608" s="28"/>
      <c r="O12608" s="28"/>
      <c r="U12608" s="28"/>
    </row>
    <row r="12609">
      <c r="N12609" s="28"/>
      <c r="O12609" s="28"/>
      <c r="U12609" s="28"/>
    </row>
    <row r="12610">
      <c r="N12610" s="28"/>
      <c r="O12610" s="28"/>
      <c r="U12610" s="28"/>
    </row>
    <row r="12611">
      <c r="N12611" s="28"/>
      <c r="O12611" s="28"/>
      <c r="U12611" s="28"/>
    </row>
    <row r="12612">
      <c r="N12612" s="28"/>
      <c r="O12612" s="28"/>
      <c r="U12612" s="28"/>
    </row>
    <row r="12613">
      <c r="N12613" s="28"/>
      <c r="O12613" s="28"/>
      <c r="U12613" s="28"/>
    </row>
    <row r="12614">
      <c r="N12614" s="28"/>
      <c r="O12614" s="28"/>
      <c r="U12614" s="28"/>
    </row>
    <row r="12615">
      <c r="N12615" s="28"/>
      <c r="O12615" s="28"/>
      <c r="U12615" s="28"/>
    </row>
    <row r="12616">
      <c r="N12616" s="28"/>
      <c r="O12616" s="28"/>
      <c r="U12616" s="28"/>
    </row>
    <row r="12617">
      <c r="N12617" s="28"/>
      <c r="O12617" s="28"/>
      <c r="U12617" s="28"/>
    </row>
    <row r="12618">
      <c r="N12618" s="28"/>
      <c r="O12618" s="28"/>
      <c r="U12618" s="28"/>
    </row>
    <row r="12619">
      <c r="N12619" s="28"/>
      <c r="O12619" s="28"/>
      <c r="U12619" s="28"/>
    </row>
    <row r="12620">
      <c r="N12620" s="28"/>
      <c r="O12620" s="28"/>
      <c r="U12620" s="28"/>
    </row>
    <row r="12621">
      <c r="N12621" s="28"/>
      <c r="O12621" s="28"/>
      <c r="U12621" s="28"/>
    </row>
    <row r="12622">
      <c r="N12622" s="28"/>
      <c r="O12622" s="28"/>
      <c r="U12622" s="28"/>
    </row>
    <row r="12623">
      <c r="N12623" s="28"/>
      <c r="O12623" s="28"/>
      <c r="U12623" s="28"/>
    </row>
    <row r="12624">
      <c r="N12624" s="28"/>
      <c r="O12624" s="28"/>
      <c r="U12624" s="28"/>
    </row>
    <row r="12625">
      <c r="N12625" s="28"/>
      <c r="O12625" s="28"/>
      <c r="U12625" s="28"/>
    </row>
    <row r="12626">
      <c r="N12626" s="28"/>
      <c r="O12626" s="28"/>
      <c r="U12626" s="28"/>
    </row>
    <row r="12627">
      <c r="N12627" s="28"/>
      <c r="O12627" s="28"/>
      <c r="U12627" s="28"/>
    </row>
    <row r="12628">
      <c r="N12628" s="28"/>
      <c r="O12628" s="28"/>
      <c r="U12628" s="28"/>
    </row>
    <row r="12629">
      <c r="N12629" s="28"/>
      <c r="O12629" s="28"/>
      <c r="U12629" s="28"/>
    </row>
    <row r="12630">
      <c r="N12630" s="28"/>
      <c r="O12630" s="28"/>
      <c r="U12630" s="28"/>
    </row>
    <row r="12631">
      <c r="N12631" s="28"/>
      <c r="O12631" s="28"/>
      <c r="U12631" s="28"/>
    </row>
    <row r="12632">
      <c r="N12632" s="28"/>
      <c r="O12632" s="28"/>
      <c r="U12632" s="28"/>
    </row>
    <row r="12633">
      <c r="N12633" s="28"/>
      <c r="O12633" s="28"/>
      <c r="U12633" s="28"/>
    </row>
    <row r="12634">
      <c r="N12634" s="28"/>
      <c r="O12634" s="28"/>
      <c r="U12634" s="28"/>
    </row>
    <row r="12635">
      <c r="N12635" s="28"/>
      <c r="O12635" s="28"/>
      <c r="U12635" s="28"/>
    </row>
    <row r="12636">
      <c r="N12636" s="28"/>
      <c r="O12636" s="28"/>
      <c r="U12636" s="28"/>
    </row>
    <row r="12637">
      <c r="N12637" s="28"/>
      <c r="O12637" s="28"/>
      <c r="U12637" s="28"/>
    </row>
    <row r="12638">
      <c r="N12638" s="28"/>
      <c r="O12638" s="28"/>
      <c r="U12638" s="28"/>
    </row>
    <row r="12639">
      <c r="N12639" s="28"/>
      <c r="O12639" s="28"/>
      <c r="U12639" s="28"/>
    </row>
    <row r="12640">
      <c r="N12640" s="28"/>
      <c r="O12640" s="28"/>
      <c r="U12640" s="28"/>
    </row>
    <row r="12641">
      <c r="N12641" s="28"/>
      <c r="O12641" s="28"/>
      <c r="U12641" s="28"/>
    </row>
    <row r="12642">
      <c r="N12642" s="28"/>
      <c r="O12642" s="28"/>
      <c r="U12642" s="28"/>
    </row>
    <row r="12643">
      <c r="N12643" s="28"/>
      <c r="O12643" s="28"/>
      <c r="U12643" s="28"/>
    </row>
    <row r="12644">
      <c r="N12644" s="28"/>
      <c r="O12644" s="28"/>
      <c r="U12644" s="28"/>
    </row>
    <row r="12645">
      <c r="N12645" s="28"/>
      <c r="O12645" s="28"/>
      <c r="U12645" s="28"/>
    </row>
    <row r="12646">
      <c r="N12646" s="28"/>
      <c r="O12646" s="28"/>
      <c r="U12646" s="28"/>
    </row>
    <row r="12647">
      <c r="N12647" s="28"/>
      <c r="O12647" s="28"/>
      <c r="U12647" s="28"/>
    </row>
    <row r="12648">
      <c r="N12648" s="28"/>
      <c r="O12648" s="28"/>
      <c r="U12648" s="28"/>
    </row>
    <row r="12649">
      <c r="N12649" s="28"/>
      <c r="O12649" s="28"/>
      <c r="U12649" s="28"/>
    </row>
    <row r="12650">
      <c r="N12650" s="28"/>
      <c r="O12650" s="28"/>
      <c r="U12650" s="28"/>
    </row>
    <row r="12651">
      <c r="N12651" s="28"/>
      <c r="O12651" s="28"/>
      <c r="U12651" s="28"/>
    </row>
    <row r="12652">
      <c r="N12652" s="28"/>
      <c r="O12652" s="28"/>
      <c r="U12652" s="28"/>
    </row>
    <row r="12653">
      <c r="N12653" s="28"/>
      <c r="O12653" s="28"/>
      <c r="U12653" s="28"/>
    </row>
    <row r="12654">
      <c r="N12654" s="28"/>
      <c r="O12654" s="28"/>
      <c r="U12654" s="28"/>
    </row>
    <row r="12655">
      <c r="N12655" s="28"/>
      <c r="O12655" s="28"/>
      <c r="U12655" s="28"/>
    </row>
    <row r="12656">
      <c r="N12656" s="28"/>
      <c r="O12656" s="28"/>
      <c r="U12656" s="28"/>
    </row>
    <row r="12657">
      <c r="N12657" s="28"/>
      <c r="O12657" s="28"/>
      <c r="U12657" s="28"/>
    </row>
    <row r="12658">
      <c r="N12658" s="28"/>
      <c r="O12658" s="28"/>
      <c r="U12658" s="28"/>
    </row>
    <row r="12659">
      <c r="N12659" s="28"/>
      <c r="O12659" s="28"/>
      <c r="U12659" s="28"/>
    </row>
    <row r="12660">
      <c r="N12660" s="28"/>
      <c r="O12660" s="28"/>
      <c r="U12660" s="28"/>
    </row>
    <row r="12661">
      <c r="N12661" s="28"/>
      <c r="O12661" s="28"/>
      <c r="U12661" s="28"/>
    </row>
    <row r="12662">
      <c r="N12662" s="28"/>
      <c r="O12662" s="28"/>
      <c r="U12662" s="28"/>
    </row>
    <row r="12663">
      <c r="N12663" s="28"/>
      <c r="O12663" s="28"/>
      <c r="U12663" s="28"/>
    </row>
    <row r="12664">
      <c r="N12664" s="28"/>
      <c r="O12664" s="28"/>
      <c r="U12664" s="28"/>
    </row>
    <row r="12665">
      <c r="N12665" s="28"/>
      <c r="O12665" s="28"/>
      <c r="U12665" s="28"/>
    </row>
    <row r="12666">
      <c r="N12666" s="28"/>
      <c r="O12666" s="28"/>
      <c r="U12666" s="28"/>
    </row>
    <row r="12667">
      <c r="N12667" s="28"/>
      <c r="O12667" s="28"/>
      <c r="U12667" s="28"/>
    </row>
    <row r="12668">
      <c r="N12668" s="28"/>
      <c r="O12668" s="28"/>
      <c r="U12668" s="28"/>
    </row>
    <row r="12669">
      <c r="N12669" s="28"/>
      <c r="O12669" s="28"/>
      <c r="U12669" s="28"/>
    </row>
    <row r="12670">
      <c r="N12670" s="28"/>
      <c r="O12670" s="28"/>
      <c r="U12670" s="28"/>
    </row>
    <row r="12671">
      <c r="N12671" s="28"/>
      <c r="O12671" s="28"/>
      <c r="U12671" s="28"/>
    </row>
    <row r="12672">
      <c r="N12672" s="28"/>
      <c r="O12672" s="28"/>
      <c r="U12672" s="28"/>
    </row>
    <row r="12673">
      <c r="N12673" s="28"/>
      <c r="O12673" s="28"/>
      <c r="U12673" s="28"/>
    </row>
    <row r="12674">
      <c r="N12674" s="28"/>
      <c r="O12674" s="28"/>
      <c r="U12674" s="28"/>
    </row>
    <row r="12675">
      <c r="N12675" s="28"/>
      <c r="O12675" s="28"/>
      <c r="U12675" s="28"/>
    </row>
    <row r="12676">
      <c r="N12676" s="28"/>
      <c r="O12676" s="28"/>
      <c r="U12676" s="28"/>
    </row>
    <row r="12677">
      <c r="N12677" s="28"/>
      <c r="O12677" s="28"/>
      <c r="U12677" s="28"/>
    </row>
    <row r="12678">
      <c r="N12678" s="28"/>
      <c r="O12678" s="28"/>
      <c r="U12678" s="28"/>
    </row>
    <row r="12679">
      <c r="N12679" s="28"/>
      <c r="O12679" s="28"/>
      <c r="U12679" s="28"/>
    </row>
    <row r="12680">
      <c r="N12680" s="28"/>
      <c r="O12680" s="28"/>
      <c r="U12680" s="28"/>
    </row>
    <row r="12681">
      <c r="N12681" s="28"/>
      <c r="O12681" s="28"/>
      <c r="U12681" s="28"/>
    </row>
    <row r="12682">
      <c r="N12682" s="28"/>
      <c r="O12682" s="28"/>
      <c r="U12682" s="28"/>
    </row>
    <row r="12683">
      <c r="N12683" s="28"/>
      <c r="O12683" s="28"/>
      <c r="U12683" s="28"/>
    </row>
    <row r="12684">
      <c r="N12684" s="28"/>
      <c r="O12684" s="28"/>
      <c r="U12684" s="28"/>
    </row>
    <row r="12685">
      <c r="N12685" s="28"/>
      <c r="O12685" s="28"/>
      <c r="U12685" s="28"/>
    </row>
    <row r="12686">
      <c r="N12686" s="28"/>
      <c r="O12686" s="28"/>
      <c r="U12686" s="28"/>
    </row>
    <row r="12687">
      <c r="N12687" s="28"/>
      <c r="O12687" s="28"/>
      <c r="U12687" s="28"/>
    </row>
    <row r="12688">
      <c r="N12688" s="28"/>
      <c r="O12688" s="28"/>
      <c r="U12688" s="28"/>
    </row>
    <row r="12689">
      <c r="N12689" s="28"/>
      <c r="O12689" s="28"/>
      <c r="U12689" s="28"/>
    </row>
    <row r="12690">
      <c r="N12690" s="28"/>
      <c r="O12690" s="28"/>
      <c r="U12690" s="28"/>
    </row>
    <row r="12691">
      <c r="N12691" s="28"/>
      <c r="O12691" s="28"/>
      <c r="U12691" s="28"/>
    </row>
    <row r="12692">
      <c r="N12692" s="28"/>
      <c r="O12692" s="28"/>
      <c r="U12692" s="28"/>
    </row>
    <row r="12693">
      <c r="N12693" s="28"/>
      <c r="O12693" s="28"/>
      <c r="U12693" s="28"/>
    </row>
    <row r="12694">
      <c r="N12694" s="28"/>
      <c r="O12694" s="28"/>
      <c r="U12694" s="28"/>
    </row>
    <row r="12695">
      <c r="N12695" s="28"/>
      <c r="O12695" s="28"/>
      <c r="U12695" s="28"/>
    </row>
    <row r="12696">
      <c r="N12696" s="28"/>
      <c r="O12696" s="28"/>
      <c r="U12696" s="28"/>
    </row>
    <row r="12697">
      <c r="N12697" s="28"/>
      <c r="O12697" s="28"/>
      <c r="U12697" s="28"/>
    </row>
    <row r="12698">
      <c r="N12698" s="28"/>
      <c r="O12698" s="28"/>
      <c r="U12698" s="28"/>
    </row>
    <row r="12699">
      <c r="N12699" s="28"/>
      <c r="O12699" s="28"/>
      <c r="U12699" s="28"/>
    </row>
    <row r="12700">
      <c r="N12700" s="28"/>
      <c r="O12700" s="28"/>
      <c r="U12700" s="28"/>
    </row>
    <row r="12701">
      <c r="N12701" s="28"/>
      <c r="O12701" s="28"/>
      <c r="U12701" s="28"/>
    </row>
    <row r="12702">
      <c r="N12702" s="28"/>
      <c r="O12702" s="28"/>
      <c r="U12702" s="28"/>
    </row>
    <row r="12703">
      <c r="N12703" s="28"/>
      <c r="O12703" s="28"/>
      <c r="U12703" s="28"/>
    </row>
    <row r="12704">
      <c r="N12704" s="28"/>
      <c r="O12704" s="28"/>
      <c r="U12704" s="28"/>
    </row>
    <row r="12705">
      <c r="N12705" s="28"/>
      <c r="O12705" s="28"/>
      <c r="U12705" s="28"/>
    </row>
    <row r="12706">
      <c r="N12706" s="28"/>
      <c r="O12706" s="28"/>
      <c r="U12706" s="28"/>
    </row>
    <row r="12707">
      <c r="N12707" s="28"/>
      <c r="O12707" s="28"/>
      <c r="U12707" s="28"/>
    </row>
    <row r="12708">
      <c r="N12708" s="28"/>
      <c r="O12708" s="28"/>
      <c r="U12708" s="28"/>
    </row>
    <row r="12709">
      <c r="N12709" s="28"/>
      <c r="O12709" s="28"/>
      <c r="U12709" s="28"/>
    </row>
    <row r="12710">
      <c r="N12710" s="28"/>
      <c r="O12710" s="28"/>
      <c r="U12710" s="28"/>
    </row>
    <row r="12711">
      <c r="N12711" s="28"/>
      <c r="O12711" s="28"/>
      <c r="U12711" s="28"/>
    </row>
    <row r="12712">
      <c r="N12712" s="28"/>
      <c r="O12712" s="28"/>
      <c r="U12712" s="28"/>
    </row>
    <row r="12713">
      <c r="N12713" s="28"/>
      <c r="O12713" s="28"/>
      <c r="U12713" s="28"/>
    </row>
    <row r="12714">
      <c r="N12714" s="28"/>
      <c r="O12714" s="28"/>
      <c r="U12714" s="28"/>
    </row>
    <row r="12715">
      <c r="N12715" s="28"/>
      <c r="O12715" s="28"/>
      <c r="U12715" s="28"/>
    </row>
    <row r="12716">
      <c r="N12716" s="28"/>
      <c r="O12716" s="28"/>
      <c r="U12716" s="28"/>
    </row>
    <row r="12717">
      <c r="N12717" s="28"/>
      <c r="O12717" s="28"/>
      <c r="U12717" s="28"/>
    </row>
    <row r="12718">
      <c r="N12718" s="28"/>
      <c r="O12718" s="28"/>
      <c r="U12718" s="28"/>
    </row>
    <row r="12719">
      <c r="N12719" s="28"/>
      <c r="O12719" s="28"/>
      <c r="U12719" s="28"/>
    </row>
    <row r="12720">
      <c r="N12720" s="28"/>
      <c r="O12720" s="28"/>
      <c r="U12720" s="28"/>
    </row>
    <row r="12721">
      <c r="N12721" s="28"/>
      <c r="O12721" s="28"/>
      <c r="U12721" s="28"/>
    </row>
    <row r="12722">
      <c r="N12722" s="28"/>
      <c r="O12722" s="28"/>
      <c r="U12722" s="28"/>
    </row>
    <row r="12723">
      <c r="N12723" s="28"/>
      <c r="O12723" s="28"/>
      <c r="U12723" s="28"/>
    </row>
    <row r="12724">
      <c r="N12724" s="28"/>
      <c r="O12724" s="28"/>
      <c r="U12724" s="28"/>
    </row>
    <row r="12725">
      <c r="N12725" s="28"/>
      <c r="O12725" s="28"/>
      <c r="U12725" s="28"/>
    </row>
    <row r="12726">
      <c r="N12726" s="28"/>
      <c r="O12726" s="28"/>
      <c r="U12726" s="28"/>
    </row>
    <row r="12727">
      <c r="N12727" s="28"/>
      <c r="O12727" s="28"/>
      <c r="U12727" s="28"/>
    </row>
    <row r="12728">
      <c r="N12728" s="28"/>
      <c r="O12728" s="28"/>
      <c r="U12728" s="28"/>
    </row>
    <row r="12729">
      <c r="N12729" s="28"/>
      <c r="O12729" s="28"/>
      <c r="U12729" s="28"/>
    </row>
    <row r="12730">
      <c r="N12730" s="28"/>
      <c r="O12730" s="28"/>
      <c r="U12730" s="28"/>
    </row>
    <row r="12731">
      <c r="N12731" s="28"/>
      <c r="O12731" s="28"/>
      <c r="U12731" s="28"/>
    </row>
    <row r="12732">
      <c r="N12732" s="28"/>
      <c r="O12732" s="28"/>
      <c r="U12732" s="28"/>
    </row>
    <row r="12733">
      <c r="N12733" s="28"/>
      <c r="O12733" s="28"/>
      <c r="U12733" s="28"/>
    </row>
    <row r="12734">
      <c r="N12734" s="28"/>
      <c r="O12734" s="28"/>
      <c r="U12734" s="28"/>
    </row>
    <row r="12735">
      <c r="N12735" s="28"/>
      <c r="O12735" s="28"/>
      <c r="U12735" s="28"/>
    </row>
    <row r="12736">
      <c r="N12736" s="28"/>
      <c r="O12736" s="28"/>
      <c r="U12736" s="28"/>
    </row>
    <row r="12737">
      <c r="N12737" s="28"/>
      <c r="O12737" s="28"/>
      <c r="U12737" s="28"/>
    </row>
    <row r="12738">
      <c r="N12738" s="28"/>
      <c r="O12738" s="28"/>
      <c r="U12738" s="28"/>
    </row>
    <row r="12739">
      <c r="N12739" s="28"/>
      <c r="O12739" s="28"/>
      <c r="U12739" s="28"/>
    </row>
    <row r="12740">
      <c r="N12740" s="28"/>
      <c r="O12740" s="28"/>
      <c r="U12740" s="28"/>
    </row>
    <row r="12741">
      <c r="N12741" s="28"/>
      <c r="O12741" s="28"/>
      <c r="U12741" s="28"/>
    </row>
    <row r="12742">
      <c r="N12742" s="28"/>
      <c r="O12742" s="28"/>
      <c r="U12742" s="28"/>
    </row>
    <row r="12743">
      <c r="N12743" s="28"/>
      <c r="O12743" s="28"/>
      <c r="U12743" s="28"/>
    </row>
    <row r="12744">
      <c r="N12744" s="28"/>
      <c r="O12744" s="28"/>
      <c r="U12744" s="28"/>
    </row>
    <row r="12745">
      <c r="N12745" s="28"/>
      <c r="O12745" s="28"/>
      <c r="U12745" s="28"/>
    </row>
    <row r="12746">
      <c r="N12746" s="28"/>
      <c r="O12746" s="28"/>
      <c r="U12746" s="28"/>
    </row>
    <row r="12747">
      <c r="N12747" s="28"/>
      <c r="O12747" s="28"/>
      <c r="U12747" s="28"/>
    </row>
    <row r="12748">
      <c r="N12748" s="28"/>
      <c r="O12748" s="28"/>
      <c r="U12748" s="28"/>
    </row>
    <row r="12749">
      <c r="N12749" s="28"/>
      <c r="O12749" s="28"/>
      <c r="U12749" s="28"/>
    </row>
    <row r="12750">
      <c r="N12750" s="28"/>
      <c r="O12750" s="28"/>
      <c r="U12750" s="28"/>
    </row>
    <row r="12751">
      <c r="N12751" s="28"/>
      <c r="O12751" s="28"/>
      <c r="U12751" s="28"/>
    </row>
    <row r="12752">
      <c r="N12752" s="28"/>
      <c r="O12752" s="28"/>
      <c r="U12752" s="28"/>
    </row>
    <row r="12753">
      <c r="N12753" s="28"/>
      <c r="O12753" s="28"/>
      <c r="U12753" s="28"/>
    </row>
    <row r="12754">
      <c r="N12754" s="28"/>
      <c r="O12754" s="28"/>
      <c r="U12754" s="28"/>
    </row>
    <row r="12755">
      <c r="N12755" s="28"/>
      <c r="O12755" s="28"/>
      <c r="U12755" s="28"/>
    </row>
    <row r="12756">
      <c r="N12756" s="28"/>
      <c r="O12756" s="28"/>
      <c r="U12756" s="28"/>
    </row>
    <row r="12757">
      <c r="N12757" s="28"/>
      <c r="O12757" s="28"/>
      <c r="U12757" s="28"/>
    </row>
    <row r="12758">
      <c r="N12758" s="28"/>
      <c r="O12758" s="28"/>
      <c r="U12758" s="28"/>
    </row>
    <row r="12759">
      <c r="N12759" s="28"/>
      <c r="O12759" s="28"/>
      <c r="U12759" s="28"/>
    </row>
    <row r="12760">
      <c r="N12760" s="28"/>
      <c r="O12760" s="28"/>
      <c r="U12760" s="28"/>
    </row>
    <row r="12761">
      <c r="N12761" s="28"/>
      <c r="O12761" s="28"/>
      <c r="U12761" s="28"/>
    </row>
    <row r="12762">
      <c r="N12762" s="28"/>
      <c r="O12762" s="28"/>
      <c r="U12762" s="28"/>
    </row>
    <row r="12763">
      <c r="N12763" s="28"/>
      <c r="O12763" s="28"/>
      <c r="U12763" s="28"/>
    </row>
    <row r="12764">
      <c r="N12764" s="28"/>
      <c r="O12764" s="28"/>
      <c r="U12764" s="28"/>
    </row>
    <row r="12765">
      <c r="N12765" s="28"/>
      <c r="O12765" s="28"/>
      <c r="U12765" s="28"/>
    </row>
    <row r="12766">
      <c r="N12766" s="28"/>
      <c r="O12766" s="28"/>
      <c r="U12766" s="28"/>
    </row>
    <row r="12767">
      <c r="N12767" s="28"/>
      <c r="O12767" s="28"/>
      <c r="U12767" s="28"/>
    </row>
    <row r="12768">
      <c r="N12768" s="28"/>
      <c r="O12768" s="28"/>
      <c r="U12768" s="28"/>
    </row>
    <row r="12769">
      <c r="N12769" s="28"/>
      <c r="O12769" s="28"/>
      <c r="U12769" s="28"/>
    </row>
    <row r="12770">
      <c r="N12770" s="28"/>
      <c r="O12770" s="28"/>
      <c r="U12770" s="28"/>
    </row>
    <row r="12771">
      <c r="N12771" s="28"/>
      <c r="O12771" s="28"/>
      <c r="U12771" s="28"/>
    </row>
    <row r="12772">
      <c r="N12772" s="28"/>
      <c r="O12772" s="28"/>
      <c r="U12772" s="28"/>
    </row>
    <row r="12773">
      <c r="N12773" s="28"/>
      <c r="O12773" s="28"/>
      <c r="U12773" s="28"/>
    </row>
    <row r="12774">
      <c r="N12774" s="28"/>
      <c r="O12774" s="28"/>
      <c r="U12774" s="28"/>
    </row>
    <row r="12775">
      <c r="N12775" s="28"/>
      <c r="O12775" s="28"/>
      <c r="U12775" s="28"/>
    </row>
    <row r="12776">
      <c r="N12776" s="28"/>
      <c r="O12776" s="28"/>
      <c r="U12776" s="28"/>
    </row>
    <row r="12777">
      <c r="N12777" s="28"/>
      <c r="O12777" s="28"/>
      <c r="U12777" s="28"/>
    </row>
    <row r="12778">
      <c r="N12778" s="28"/>
      <c r="O12778" s="28"/>
      <c r="U12778" s="28"/>
    </row>
    <row r="12779">
      <c r="N12779" s="28"/>
      <c r="O12779" s="28"/>
      <c r="U12779" s="28"/>
    </row>
    <row r="12780">
      <c r="N12780" s="28"/>
      <c r="O12780" s="28"/>
      <c r="U12780" s="28"/>
    </row>
    <row r="12781">
      <c r="N12781" s="28"/>
      <c r="O12781" s="28"/>
      <c r="U12781" s="28"/>
    </row>
    <row r="12782">
      <c r="N12782" s="28"/>
      <c r="O12782" s="28"/>
      <c r="U12782" s="28"/>
    </row>
    <row r="12783">
      <c r="N12783" s="28"/>
      <c r="O12783" s="28"/>
      <c r="U12783" s="28"/>
    </row>
    <row r="12784">
      <c r="N12784" s="28"/>
      <c r="O12784" s="28"/>
      <c r="U12784" s="28"/>
    </row>
    <row r="12785">
      <c r="N12785" s="28"/>
      <c r="O12785" s="28"/>
      <c r="U12785" s="28"/>
    </row>
    <row r="12786">
      <c r="N12786" s="28"/>
      <c r="O12786" s="28"/>
      <c r="U12786" s="28"/>
    </row>
    <row r="12787">
      <c r="N12787" s="28"/>
      <c r="O12787" s="28"/>
      <c r="U12787" s="28"/>
    </row>
    <row r="12788">
      <c r="N12788" s="28"/>
      <c r="O12788" s="28"/>
      <c r="U12788" s="28"/>
    </row>
    <row r="12789">
      <c r="N12789" s="28"/>
      <c r="O12789" s="28"/>
      <c r="U12789" s="28"/>
    </row>
    <row r="12790">
      <c r="N12790" s="28"/>
      <c r="O12790" s="28"/>
      <c r="U12790" s="28"/>
    </row>
    <row r="12791">
      <c r="N12791" s="28"/>
      <c r="O12791" s="28"/>
      <c r="U12791" s="28"/>
    </row>
    <row r="12792">
      <c r="N12792" s="28"/>
      <c r="O12792" s="28"/>
      <c r="U12792" s="28"/>
    </row>
    <row r="12793">
      <c r="N12793" s="28"/>
      <c r="O12793" s="28"/>
      <c r="U12793" s="28"/>
    </row>
    <row r="12794">
      <c r="N12794" s="28"/>
      <c r="O12794" s="28"/>
      <c r="U12794" s="28"/>
    </row>
    <row r="12795">
      <c r="N12795" s="28"/>
      <c r="O12795" s="28"/>
      <c r="U12795" s="28"/>
    </row>
    <row r="12796">
      <c r="N12796" s="28"/>
      <c r="O12796" s="28"/>
      <c r="U12796" s="28"/>
    </row>
    <row r="12797">
      <c r="N12797" s="28"/>
      <c r="O12797" s="28"/>
      <c r="U12797" s="28"/>
    </row>
    <row r="12798">
      <c r="N12798" s="28"/>
      <c r="O12798" s="28"/>
      <c r="U12798" s="28"/>
    </row>
    <row r="12799">
      <c r="N12799" s="28"/>
      <c r="O12799" s="28"/>
      <c r="U12799" s="28"/>
    </row>
    <row r="12800">
      <c r="N12800" s="28"/>
      <c r="O12800" s="28"/>
      <c r="U12800" s="28"/>
    </row>
    <row r="12801">
      <c r="N12801" s="28"/>
      <c r="O12801" s="28"/>
      <c r="U12801" s="28"/>
    </row>
    <row r="12802">
      <c r="N12802" s="28"/>
      <c r="O12802" s="28"/>
      <c r="U12802" s="28"/>
    </row>
    <row r="12803">
      <c r="N12803" s="28"/>
      <c r="O12803" s="28"/>
      <c r="U12803" s="28"/>
    </row>
    <row r="12804">
      <c r="N12804" s="28"/>
      <c r="O12804" s="28"/>
      <c r="U12804" s="28"/>
    </row>
    <row r="12805">
      <c r="N12805" s="28"/>
      <c r="O12805" s="28"/>
      <c r="U12805" s="28"/>
    </row>
    <row r="12806">
      <c r="N12806" s="28"/>
      <c r="O12806" s="28"/>
      <c r="U12806" s="28"/>
    </row>
    <row r="12807">
      <c r="N12807" s="28"/>
      <c r="O12807" s="28"/>
      <c r="U12807" s="28"/>
    </row>
    <row r="12808">
      <c r="N12808" s="28"/>
      <c r="O12808" s="28"/>
      <c r="U12808" s="28"/>
    </row>
    <row r="12809">
      <c r="N12809" s="28"/>
      <c r="O12809" s="28"/>
      <c r="U12809" s="28"/>
    </row>
    <row r="12810">
      <c r="N12810" s="28"/>
      <c r="O12810" s="28"/>
      <c r="U12810" s="28"/>
    </row>
    <row r="12811">
      <c r="N12811" s="28"/>
      <c r="O12811" s="28"/>
      <c r="U12811" s="28"/>
    </row>
    <row r="12812">
      <c r="N12812" s="28"/>
      <c r="O12812" s="28"/>
      <c r="U12812" s="28"/>
    </row>
    <row r="12813">
      <c r="N12813" s="28"/>
      <c r="O12813" s="28"/>
      <c r="U12813" s="28"/>
    </row>
    <row r="12814">
      <c r="N12814" s="28"/>
      <c r="O12814" s="28"/>
      <c r="U12814" s="28"/>
    </row>
    <row r="12815">
      <c r="N12815" s="28"/>
      <c r="O12815" s="28"/>
      <c r="U12815" s="28"/>
    </row>
    <row r="12816">
      <c r="N12816" s="28"/>
      <c r="O12816" s="28"/>
      <c r="U12816" s="28"/>
    </row>
    <row r="12817">
      <c r="N12817" s="28"/>
      <c r="O12817" s="28"/>
      <c r="U12817" s="28"/>
    </row>
    <row r="12818">
      <c r="N12818" s="28"/>
      <c r="O12818" s="28"/>
      <c r="U12818" s="28"/>
    </row>
    <row r="12819">
      <c r="N12819" s="28"/>
      <c r="O12819" s="28"/>
      <c r="U12819" s="28"/>
    </row>
    <row r="12820">
      <c r="N12820" s="28"/>
      <c r="O12820" s="28"/>
      <c r="U12820" s="28"/>
    </row>
    <row r="12821">
      <c r="N12821" s="28"/>
      <c r="O12821" s="28"/>
      <c r="U12821" s="28"/>
    </row>
    <row r="12822">
      <c r="N12822" s="28"/>
      <c r="O12822" s="28"/>
      <c r="U12822" s="28"/>
    </row>
    <row r="12823">
      <c r="N12823" s="28"/>
      <c r="O12823" s="28"/>
      <c r="U12823" s="28"/>
    </row>
    <row r="12824">
      <c r="N12824" s="28"/>
      <c r="O12824" s="28"/>
      <c r="U12824" s="28"/>
    </row>
    <row r="12825">
      <c r="N12825" s="28"/>
      <c r="O12825" s="28"/>
      <c r="U12825" s="28"/>
    </row>
    <row r="12826">
      <c r="N12826" s="28"/>
      <c r="O12826" s="28"/>
      <c r="U12826" s="28"/>
    </row>
    <row r="12827">
      <c r="N12827" s="28"/>
      <c r="O12827" s="28"/>
      <c r="U12827" s="28"/>
    </row>
    <row r="12828">
      <c r="N12828" s="28"/>
      <c r="O12828" s="28"/>
      <c r="U12828" s="28"/>
    </row>
    <row r="12829">
      <c r="N12829" s="28"/>
      <c r="O12829" s="28"/>
      <c r="U12829" s="28"/>
    </row>
    <row r="12830">
      <c r="N12830" s="28"/>
      <c r="O12830" s="28"/>
      <c r="U12830" s="28"/>
    </row>
    <row r="12831">
      <c r="N12831" s="28"/>
      <c r="O12831" s="28"/>
      <c r="U12831" s="28"/>
    </row>
    <row r="12832">
      <c r="N12832" s="28"/>
      <c r="O12832" s="28"/>
      <c r="U12832" s="28"/>
    </row>
    <row r="12833">
      <c r="N12833" s="28"/>
      <c r="O12833" s="28"/>
      <c r="U12833" s="28"/>
    </row>
    <row r="12834">
      <c r="N12834" s="28"/>
      <c r="O12834" s="28"/>
      <c r="U12834" s="28"/>
    </row>
    <row r="12835">
      <c r="N12835" s="28"/>
      <c r="O12835" s="28"/>
      <c r="U12835" s="28"/>
    </row>
    <row r="12836">
      <c r="N12836" s="28"/>
      <c r="O12836" s="28"/>
      <c r="U12836" s="28"/>
    </row>
    <row r="12837">
      <c r="N12837" s="28"/>
      <c r="O12837" s="28"/>
      <c r="U12837" s="28"/>
    </row>
    <row r="12838">
      <c r="N12838" s="28"/>
      <c r="O12838" s="28"/>
      <c r="U12838" s="28"/>
    </row>
    <row r="12839">
      <c r="N12839" s="28"/>
      <c r="O12839" s="28"/>
      <c r="U12839" s="28"/>
    </row>
    <row r="12840">
      <c r="N12840" s="28"/>
      <c r="O12840" s="28"/>
      <c r="U12840" s="28"/>
    </row>
    <row r="12841">
      <c r="N12841" s="28"/>
      <c r="O12841" s="28"/>
      <c r="U12841" s="28"/>
    </row>
    <row r="12842">
      <c r="N12842" s="28"/>
      <c r="O12842" s="28"/>
      <c r="U12842" s="28"/>
    </row>
    <row r="12843">
      <c r="N12843" s="28"/>
      <c r="O12843" s="28"/>
      <c r="U12843" s="28"/>
    </row>
    <row r="12844">
      <c r="N12844" s="28"/>
      <c r="O12844" s="28"/>
      <c r="U12844" s="28"/>
    </row>
    <row r="12845">
      <c r="N12845" s="28"/>
      <c r="O12845" s="28"/>
      <c r="U12845" s="28"/>
    </row>
    <row r="12846">
      <c r="N12846" s="28"/>
      <c r="O12846" s="28"/>
      <c r="U12846" s="28"/>
    </row>
    <row r="12847">
      <c r="N12847" s="28"/>
      <c r="O12847" s="28"/>
      <c r="U12847" s="28"/>
    </row>
    <row r="12848">
      <c r="N12848" s="28"/>
      <c r="O12848" s="28"/>
      <c r="U12848" s="28"/>
    </row>
    <row r="12849">
      <c r="N12849" s="28"/>
      <c r="O12849" s="28"/>
      <c r="U12849" s="28"/>
    </row>
    <row r="12850">
      <c r="N12850" s="28"/>
      <c r="O12850" s="28"/>
      <c r="U12850" s="28"/>
    </row>
    <row r="12851">
      <c r="N12851" s="28"/>
      <c r="O12851" s="28"/>
      <c r="U12851" s="28"/>
    </row>
    <row r="12852">
      <c r="N12852" s="28"/>
      <c r="O12852" s="28"/>
      <c r="U12852" s="28"/>
    </row>
    <row r="12853">
      <c r="N12853" s="28"/>
      <c r="O12853" s="28"/>
      <c r="U12853" s="28"/>
    </row>
    <row r="12854">
      <c r="N12854" s="28"/>
      <c r="O12854" s="28"/>
      <c r="U12854" s="28"/>
    </row>
    <row r="12855">
      <c r="N12855" s="28"/>
      <c r="O12855" s="28"/>
      <c r="U12855" s="28"/>
    </row>
    <row r="12856">
      <c r="N12856" s="28"/>
      <c r="O12856" s="28"/>
      <c r="U12856" s="28"/>
    </row>
    <row r="12857">
      <c r="N12857" s="28"/>
      <c r="O12857" s="28"/>
      <c r="U12857" s="28"/>
    </row>
    <row r="12858">
      <c r="N12858" s="28"/>
      <c r="O12858" s="28"/>
      <c r="U12858" s="28"/>
    </row>
    <row r="12859">
      <c r="N12859" s="28"/>
      <c r="O12859" s="28"/>
      <c r="U12859" s="28"/>
    </row>
    <row r="12860">
      <c r="N12860" s="28"/>
      <c r="O12860" s="28"/>
      <c r="U12860" s="28"/>
    </row>
    <row r="12861">
      <c r="N12861" s="28"/>
      <c r="O12861" s="28"/>
      <c r="U12861" s="28"/>
    </row>
    <row r="12862">
      <c r="N12862" s="28"/>
      <c r="O12862" s="28"/>
      <c r="U12862" s="28"/>
    </row>
    <row r="12863">
      <c r="N12863" s="28"/>
      <c r="O12863" s="28"/>
      <c r="U12863" s="28"/>
    </row>
    <row r="12864">
      <c r="N12864" s="28"/>
      <c r="O12864" s="28"/>
      <c r="U12864" s="28"/>
    </row>
    <row r="12865">
      <c r="N12865" s="28"/>
      <c r="O12865" s="28"/>
      <c r="U12865" s="28"/>
    </row>
    <row r="12866">
      <c r="N12866" s="28"/>
      <c r="O12866" s="28"/>
      <c r="U12866" s="28"/>
    </row>
    <row r="12867">
      <c r="N12867" s="28"/>
      <c r="O12867" s="28"/>
      <c r="U12867" s="28"/>
    </row>
    <row r="12868">
      <c r="N12868" s="28"/>
      <c r="O12868" s="28"/>
      <c r="U12868" s="28"/>
    </row>
    <row r="12869">
      <c r="N12869" s="28"/>
      <c r="O12869" s="28"/>
      <c r="U12869" s="28"/>
    </row>
    <row r="12870">
      <c r="N12870" s="28"/>
      <c r="O12870" s="28"/>
      <c r="U12870" s="28"/>
    </row>
    <row r="12871">
      <c r="N12871" s="28"/>
      <c r="O12871" s="28"/>
      <c r="U12871" s="28"/>
    </row>
    <row r="12872">
      <c r="N12872" s="28"/>
      <c r="O12872" s="28"/>
      <c r="U12872" s="28"/>
    </row>
    <row r="12873">
      <c r="N12873" s="28"/>
      <c r="O12873" s="28"/>
      <c r="U12873" s="28"/>
    </row>
    <row r="12874">
      <c r="N12874" s="28"/>
      <c r="O12874" s="28"/>
      <c r="U12874" s="28"/>
    </row>
    <row r="12875">
      <c r="N12875" s="28"/>
      <c r="O12875" s="28"/>
      <c r="U12875" s="28"/>
    </row>
    <row r="12876">
      <c r="N12876" s="28"/>
      <c r="O12876" s="28"/>
      <c r="U12876" s="28"/>
    </row>
    <row r="12877">
      <c r="N12877" s="28"/>
      <c r="O12877" s="28"/>
      <c r="U12877" s="28"/>
    </row>
    <row r="12878">
      <c r="N12878" s="28"/>
      <c r="O12878" s="28"/>
      <c r="U12878" s="28"/>
    </row>
    <row r="12879">
      <c r="N12879" s="28"/>
      <c r="O12879" s="28"/>
      <c r="U12879" s="28"/>
    </row>
    <row r="12880">
      <c r="N12880" s="28"/>
      <c r="O12880" s="28"/>
      <c r="U12880" s="28"/>
    </row>
    <row r="12881">
      <c r="N12881" s="28"/>
      <c r="O12881" s="28"/>
      <c r="U12881" s="28"/>
    </row>
    <row r="12882">
      <c r="N12882" s="28"/>
      <c r="O12882" s="28"/>
      <c r="U12882" s="28"/>
    </row>
    <row r="12883">
      <c r="N12883" s="28"/>
      <c r="O12883" s="28"/>
      <c r="U12883" s="28"/>
    </row>
    <row r="12884">
      <c r="N12884" s="28"/>
      <c r="O12884" s="28"/>
      <c r="U12884" s="28"/>
    </row>
    <row r="12885">
      <c r="N12885" s="28"/>
      <c r="O12885" s="28"/>
      <c r="U12885" s="28"/>
    </row>
    <row r="12886">
      <c r="N12886" s="28"/>
      <c r="O12886" s="28"/>
      <c r="U12886" s="28"/>
    </row>
    <row r="12887">
      <c r="N12887" s="28"/>
      <c r="O12887" s="28"/>
      <c r="U12887" s="28"/>
    </row>
    <row r="12888">
      <c r="N12888" s="28"/>
      <c r="O12888" s="28"/>
      <c r="U12888" s="28"/>
    </row>
    <row r="12889">
      <c r="N12889" s="28"/>
      <c r="O12889" s="28"/>
      <c r="U12889" s="28"/>
    </row>
    <row r="12890">
      <c r="N12890" s="28"/>
      <c r="O12890" s="28"/>
      <c r="U12890" s="28"/>
    </row>
    <row r="12891">
      <c r="N12891" s="28"/>
      <c r="O12891" s="28"/>
      <c r="U12891" s="28"/>
    </row>
    <row r="12892">
      <c r="N12892" s="28"/>
      <c r="O12892" s="28"/>
      <c r="U12892" s="28"/>
    </row>
    <row r="12893">
      <c r="N12893" s="28"/>
      <c r="O12893" s="28"/>
      <c r="U12893" s="28"/>
    </row>
    <row r="12894">
      <c r="N12894" s="28"/>
      <c r="O12894" s="28"/>
      <c r="U12894" s="28"/>
    </row>
    <row r="12895">
      <c r="N12895" s="28"/>
      <c r="O12895" s="28"/>
      <c r="U12895" s="28"/>
    </row>
    <row r="12896">
      <c r="N12896" s="28"/>
      <c r="O12896" s="28"/>
      <c r="U12896" s="28"/>
    </row>
    <row r="12897">
      <c r="N12897" s="28"/>
      <c r="O12897" s="28"/>
      <c r="U12897" s="28"/>
    </row>
    <row r="12898">
      <c r="N12898" s="28"/>
      <c r="O12898" s="28"/>
      <c r="U12898" s="28"/>
    </row>
    <row r="12899">
      <c r="N12899" s="28"/>
      <c r="O12899" s="28"/>
      <c r="U12899" s="28"/>
    </row>
    <row r="12900">
      <c r="N12900" s="28"/>
      <c r="O12900" s="28"/>
      <c r="U12900" s="28"/>
    </row>
    <row r="12901">
      <c r="N12901" s="28"/>
      <c r="O12901" s="28"/>
      <c r="U12901" s="28"/>
    </row>
    <row r="12902">
      <c r="N12902" s="28"/>
      <c r="O12902" s="28"/>
      <c r="U12902" s="28"/>
    </row>
    <row r="12903">
      <c r="N12903" s="28"/>
      <c r="O12903" s="28"/>
      <c r="U12903" s="28"/>
    </row>
    <row r="12904">
      <c r="N12904" s="28"/>
      <c r="O12904" s="28"/>
      <c r="U12904" s="28"/>
    </row>
    <row r="12905">
      <c r="N12905" s="28"/>
      <c r="O12905" s="28"/>
      <c r="U12905" s="28"/>
    </row>
    <row r="12906">
      <c r="N12906" s="28"/>
      <c r="O12906" s="28"/>
      <c r="U12906" s="28"/>
    </row>
    <row r="12907">
      <c r="N12907" s="28"/>
      <c r="O12907" s="28"/>
      <c r="U12907" s="28"/>
    </row>
    <row r="12908">
      <c r="N12908" s="28"/>
      <c r="O12908" s="28"/>
      <c r="U12908" s="28"/>
    </row>
    <row r="12909">
      <c r="N12909" s="28"/>
      <c r="O12909" s="28"/>
      <c r="U12909" s="28"/>
    </row>
    <row r="12910">
      <c r="N12910" s="28"/>
      <c r="O12910" s="28"/>
      <c r="U12910" s="28"/>
    </row>
    <row r="12911">
      <c r="N12911" s="28"/>
      <c r="O12911" s="28"/>
      <c r="U12911" s="28"/>
    </row>
    <row r="12912">
      <c r="N12912" s="28"/>
      <c r="O12912" s="28"/>
      <c r="U12912" s="28"/>
    </row>
    <row r="12913">
      <c r="N12913" s="28"/>
      <c r="O12913" s="28"/>
      <c r="U12913" s="28"/>
    </row>
    <row r="12914">
      <c r="N12914" s="28"/>
      <c r="O12914" s="28"/>
      <c r="U12914" s="28"/>
    </row>
    <row r="12915">
      <c r="N12915" s="28"/>
      <c r="O12915" s="28"/>
      <c r="U12915" s="28"/>
    </row>
    <row r="12916">
      <c r="N12916" s="28"/>
      <c r="O12916" s="28"/>
      <c r="U12916" s="28"/>
    </row>
    <row r="12917">
      <c r="N12917" s="28"/>
      <c r="O12917" s="28"/>
      <c r="U12917" s="28"/>
    </row>
    <row r="12918">
      <c r="N12918" s="28"/>
      <c r="O12918" s="28"/>
      <c r="U12918" s="28"/>
    </row>
    <row r="12919">
      <c r="N12919" s="28"/>
      <c r="O12919" s="28"/>
      <c r="U12919" s="28"/>
    </row>
    <row r="12920">
      <c r="N12920" s="28"/>
      <c r="O12920" s="28"/>
      <c r="U12920" s="28"/>
    </row>
    <row r="12921">
      <c r="N12921" s="28"/>
      <c r="O12921" s="28"/>
      <c r="U12921" s="28"/>
    </row>
    <row r="12922">
      <c r="N12922" s="28"/>
      <c r="O12922" s="28"/>
      <c r="U12922" s="28"/>
    </row>
    <row r="12923">
      <c r="N12923" s="28"/>
      <c r="O12923" s="28"/>
      <c r="U12923" s="28"/>
    </row>
    <row r="12924">
      <c r="N12924" s="28"/>
      <c r="O12924" s="28"/>
      <c r="U12924" s="28"/>
    </row>
    <row r="12925">
      <c r="N12925" s="28"/>
      <c r="O12925" s="28"/>
      <c r="U12925" s="28"/>
    </row>
    <row r="12926">
      <c r="N12926" s="28"/>
      <c r="O12926" s="28"/>
      <c r="U12926" s="28"/>
    </row>
    <row r="12927">
      <c r="N12927" s="28"/>
      <c r="O12927" s="28"/>
      <c r="U12927" s="28"/>
    </row>
    <row r="12928">
      <c r="N12928" s="28"/>
      <c r="O12928" s="28"/>
      <c r="U12928" s="28"/>
    </row>
    <row r="12929">
      <c r="N12929" s="28"/>
      <c r="O12929" s="28"/>
      <c r="U12929" s="28"/>
    </row>
    <row r="12930">
      <c r="N12930" s="28"/>
      <c r="O12930" s="28"/>
      <c r="U12930" s="28"/>
    </row>
    <row r="12931">
      <c r="N12931" s="28"/>
      <c r="O12931" s="28"/>
      <c r="U12931" s="28"/>
    </row>
    <row r="12932">
      <c r="N12932" s="28"/>
      <c r="O12932" s="28"/>
      <c r="U12932" s="28"/>
    </row>
    <row r="12933">
      <c r="N12933" s="28"/>
      <c r="O12933" s="28"/>
      <c r="U12933" s="28"/>
    </row>
    <row r="12934">
      <c r="N12934" s="28"/>
      <c r="O12934" s="28"/>
      <c r="U12934" s="28"/>
    </row>
    <row r="12935">
      <c r="N12935" s="28"/>
      <c r="O12935" s="28"/>
      <c r="U12935" s="28"/>
    </row>
    <row r="12936">
      <c r="N12936" s="28"/>
      <c r="O12936" s="28"/>
      <c r="U12936" s="28"/>
    </row>
    <row r="12937">
      <c r="N12937" s="28"/>
      <c r="O12937" s="28"/>
      <c r="U12937" s="28"/>
    </row>
    <row r="12938">
      <c r="N12938" s="28"/>
      <c r="O12938" s="28"/>
      <c r="U12938" s="28"/>
    </row>
    <row r="12939">
      <c r="N12939" s="28"/>
      <c r="O12939" s="28"/>
      <c r="U12939" s="28"/>
    </row>
    <row r="12940">
      <c r="N12940" s="28"/>
      <c r="O12940" s="28"/>
      <c r="U12940" s="28"/>
    </row>
    <row r="12941">
      <c r="N12941" s="28"/>
      <c r="O12941" s="28"/>
      <c r="U12941" s="28"/>
    </row>
    <row r="12942">
      <c r="N12942" s="28"/>
      <c r="O12942" s="28"/>
      <c r="U12942" s="28"/>
    </row>
    <row r="12943">
      <c r="N12943" s="28"/>
      <c r="O12943" s="28"/>
      <c r="U12943" s="28"/>
    </row>
    <row r="12944">
      <c r="N12944" s="28"/>
      <c r="O12944" s="28"/>
      <c r="U12944" s="28"/>
    </row>
    <row r="12945">
      <c r="N12945" s="28"/>
      <c r="O12945" s="28"/>
      <c r="U12945" s="28"/>
    </row>
    <row r="12946">
      <c r="N12946" s="28"/>
      <c r="O12946" s="28"/>
      <c r="U12946" s="28"/>
    </row>
    <row r="12947">
      <c r="N12947" s="28"/>
      <c r="O12947" s="28"/>
      <c r="U12947" s="28"/>
    </row>
    <row r="12948">
      <c r="N12948" s="28"/>
      <c r="O12948" s="28"/>
      <c r="U12948" s="28"/>
    </row>
    <row r="12949">
      <c r="N12949" s="28"/>
      <c r="O12949" s="28"/>
      <c r="U12949" s="28"/>
    </row>
    <row r="12950">
      <c r="N12950" s="28"/>
      <c r="O12950" s="28"/>
      <c r="U12950" s="28"/>
    </row>
    <row r="12951">
      <c r="N12951" s="28"/>
      <c r="O12951" s="28"/>
      <c r="U12951" s="28"/>
    </row>
    <row r="12952">
      <c r="N12952" s="28"/>
      <c r="O12952" s="28"/>
      <c r="U12952" s="28"/>
    </row>
    <row r="12953">
      <c r="N12953" s="28"/>
      <c r="O12953" s="28"/>
      <c r="U12953" s="28"/>
    </row>
    <row r="12954">
      <c r="N12954" s="28"/>
      <c r="O12954" s="28"/>
      <c r="U12954" s="28"/>
    </row>
    <row r="12955">
      <c r="N12955" s="28"/>
      <c r="O12955" s="28"/>
      <c r="U12955" s="28"/>
    </row>
    <row r="12956">
      <c r="N12956" s="28"/>
      <c r="O12956" s="28"/>
      <c r="U12956" s="28"/>
    </row>
    <row r="12957">
      <c r="N12957" s="28"/>
      <c r="O12957" s="28"/>
      <c r="U12957" s="28"/>
    </row>
    <row r="12958">
      <c r="N12958" s="28"/>
      <c r="O12958" s="28"/>
      <c r="U12958" s="28"/>
    </row>
    <row r="12959">
      <c r="N12959" s="28"/>
      <c r="O12959" s="28"/>
      <c r="U12959" s="28"/>
    </row>
    <row r="12960">
      <c r="N12960" s="28"/>
      <c r="O12960" s="28"/>
      <c r="U12960" s="28"/>
    </row>
    <row r="12961">
      <c r="N12961" s="28"/>
      <c r="O12961" s="28"/>
      <c r="U12961" s="28"/>
    </row>
    <row r="12962">
      <c r="N12962" s="28"/>
      <c r="O12962" s="28"/>
      <c r="U12962" s="28"/>
    </row>
    <row r="12963">
      <c r="N12963" s="28"/>
      <c r="O12963" s="28"/>
      <c r="U12963" s="28"/>
    </row>
    <row r="12964">
      <c r="N12964" s="28"/>
      <c r="O12964" s="28"/>
      <c r="U12964" s="28"/>
    </row>
    <row r="12965">
      <c r="N12965" s="28"/>
      <c r="O12965" s="28"/>
      <c r="U12965" s="28"/>
    </row>
    <row r="12966">
      <c r="N12966" s="28"/>
      <c r="O12966" s="28"/>
      <c r="U12966" s="28"/>
    </row>
    <row r="12967">
      <c r="N12967" s="28"/>
      <c r="O12967" s="28"/>
      <c r="U12967" s="28"/>
    </row>
    <row r="12968">
      <c r="N12968" s="28"/>
      <c r="O12968" s="28"/>
      <c r="U12968" s="28"/>
    </row>
    <row r="12969">
      <c r="N12969" s="28"/>
      <c r="O12969" s="28"/>
      <c r="U12969" s="28"/>
    </row>
    <row r="12970">
      <c r="N12970" s="28"/>
      <c r="O12970" s="28"/>
      <c r="U12970" s="28"/>
    </row>
    <row r="12971">
      <c r="N12971" s="28"/>
      <c r="O12971" s="28"/>
      <c r="U12971" s="28"/>
    </row>
    <row r="12972">
      <c r="N12972" s="28"/>
      <c r="O12972" s="28"/>
      <c r="U12972" s="28"/>
    </row>
    <row r="12973">
      <c r="N12973" s="28"/>
      <c r="O12973" s="28"/>
      <c r="U12973" s="28"/>
    </row>
    <row r="12974">
      <c r="N12974" s="28"/>
      <c r="O12974" s="28"/>
      <c r="U12974" s="28"/>
    </row>
    <row r="12975">
      <c r="N12975" s="28"/>
      <c r="O12975" s="28"/>
      <c r="U12975" s="28"/>
    </row>
    <row r="12976">
      <c r="N12976" s="28"/>
      <c r="O12976" s="28"/>
      <c r="U12976" s="28"/>
    </row>
    <row r="12977">
      <c r="N12977" s="28"/>
      <c r="O12977" s="28"/>
      <c r="U12977" s="28"/>
    </row>
    <row r="12978">
      <c r="N12978" s="28"/>
      <c r="O12978" s="28"/>
      <c r="U12978" s="28"/>
    </row>
    <row r="12979">
      <c r="N12979" s="28"/>
      <c r="O12979" s="28"/>
      <c r="U12979" s="28"/>
    </row>
    <row r="12980">
      <c r="N12980" s="28"/>
      <c r="O12980" s="28"/>
      <c r="U12980" s="28"/>
    </row>
    <row r="12981">
      <c r="N12981" s="28"/>
      <c r="O12981" s="28"/>
      <c r="U12981" s="28"/>
    </row>
    <row r="12982">
      <c r="N12982" s="28"/>
      <c r="O12982" s="28"/>
      <c r="U12982" s="28"/>
    </row>
    <row r="12983">
      <c r="N12983" s="28"/>
      <c r="O12983" s="28"/>
      <c r="U12983" s="28"/>
    </row>
    <row r="12984">
      <c r="N12984" s="28"/>
      <c r="O12984" s="28"/>
      <c r="U12984" s="28"/>
    </row>
    <row r="12985">
      <c r="N12985" s="28"/>
      <c r="O12985" s="28"/>
      <c r="U12985" s="28"/>
    </row>
    <row r="12986">
      <c r="N12986" s="28"/>
      <c r="O12986" s="28"/>
      <c r="U12986" s="28"/>
    </row>
    <row r="12987">
      <c r="N12987" s="28"/>
      <c r="O12987" s="28"/>
      <c r="U12987" s="28"/>
    </row>
    <row r="12988">
      <c r="N12988" s="28"/>
      <c r="O12988" s="28"/>
      <c r="U12988" s="28"/>
    </row>
    <row r="12989">
      <c r="N12989" s="28"/>
      <c r="O12989" s="28"/>
      <c r="U12989" s="28"/>
    </row>
    <row r="12990">
      <c r="N12990" s="28"/>
      <c r="O12990" s="28"/>
      <c r="U12990" s="28"/>
    </row>
    <row r="12991">
      <c r="N12991" s="28"/>
      <c r="O12991" s="28"/>
      <c r="U12991" s="28"/>
    </row>
    <row r="12992">
      <c r="N12992" s="28"/>
      <c r="O12992" s="28"/>
      <c r="U12992" s="28"/>
    </row>
    <row r="12993">
      <c r="N12993" s="28"/>
      <c r="O12993" s="28"/>
      <c r="U12993" s="28"/>
    </row>
    <row r="12994">
      <c r="N12994" s="28"/>
      <c r="O12994" s="28"/>
      <c r="U12994" s="28"/>
    </row>
    <row r="12995">
      <c r="N12995" s="28"/>
      <c r="O12995" s="28"/>
      <c r="U12995" s="28"/>
    </row>
    <row r="12996">
      <c r="N12996" s="28"/>
      <c r="O12996" s="28"/>
      <c r="U12996" s="28"/>
    </row>
    <row r="12997">
      <c r="N12997" s="28"/>
      <c r="O12997" s="28"/>
      <c r="U12997" s="28"/>
    </row>
    <row r="12998">
      <c r="N12998" s="28"/>
      <c r="O12998" s="28"/>
      <c r="U12998" s="28"/>
    </row>
    <row r="12999">
      <c r="N12999" s="28"/>
      <c r="O12999" s="28"/>
      <c r="U12999" s="28"/>
    </row>
    <row r="13000">
      <c r="N13000" s="28"/>
      <c r="O13000" s="28"/>
      <c r="U13000" s="28"/>
    </row>
    <row r="13001">
      <c r="N13001" s="28"/>
      <c r="O13001" s="28"/>
      <c r="U13001" s="28"/>
    </row>
    <row r="13002">
      <c r="N13002" s="28"/>
      <c r="O13002" s="28"/>
      <c r="U13002" s="28"/>
    </row>
    <row r="13003">
      <c r="N13003" s="28"/>
      <c r="O13003" s="28"/>
      <c r="U13003" s="28"/>
    </row>
    <row r="13004">
      <c r="N13004" s="28"/>
      <c r="O13004" s="28"/>
      <c r="U13004" s="28"/>
    </row>
    <row r="13005">
      <c r="N13005" s="28"/>
      <c r="O13005" s="28"/>
      <c r="U13005" s="28"/>
    </row>
    <row r="13006">
      <c r="N13006" s="28"/>
      <c r="O13006" s="28"/>
      <c r="U13006" s="28"/>
    </row>
    <row r="13007">
      <c r="N13007" s="28"/>
      <c r="O13007" s="28"/>
      <c r="U13007" s="28"/>
    </row>
    <row r="13008">
      <c r="N13008" s="28"/>
      <c r="O13008" s="28"/>
      <c r="U13008" s="28"/>
    </row>
    <row r="13009">
      <c r="N13009" s="28"/>
      <c r="O13009" s="28"/>
      <c r="U13009" s="28"/>
    </row>
    <row r="13010">
      <c r="N13010" s="28"/>
      <c r="O13010" s="28"/>
      <c r="U13010" s="28"/>
    </row>
    <row r="13011">
      <c r="N13011" s="28"/>
      <c r="O13011" s="28"/>
      <c r="U13011" s="28"/>
    </row>
    <row r="13012">
      <c r="N13012" s="28"/>
      <c r="O13012" s="28"/>
      <c r="U13012" s="28"/>
    </row>
    <row r="13013">
      <c r="N13013" s="28"/>
      <c r="O13013" s="28"/>
      <c r="U13013" s="28"/>
    </row>
    <row r="13014">
      <c r="N13014" s="28"/>
      <c r="O13014" s="28"/>
      <c r="U13014" s="28"/>
    </row>
    <row r="13015">
      <c r="N13015" s="28"/>
      <c r="O13015" s="28"/>
      <c r="U13015" s="28"/>
    </row>
    <row r="13016">
      <c r="N13016" s="28"/>
      <c r="O13016" s="28"/>
      <c r="U13016" s="28"/>
    </row>
    <row r="13017">
      <c r="N13017" s="28"/>
      <c r="O13017" s="28"/>
      <c r="U13017" s="28"/>
    </row>
    <row r="13018">
      <c r="N13018" s="28"/>
      <c r="O13018" s="28"/>
      <c r="U13018" s="28"/>
    </row>
    <row r="13019">
      <c r="N13019" s="28"/>
      <c r="O13019" s="28"/>
      <c r="U13019" s="28"/>
    </row>
    <row r="13020">
      <c r="N13020" s="28"/>
      <c r="O13020" s="28"/>
      <c r="U13020" s="28"/>
    </row>
    <row r="13021">
      <c r="N13021" s="28"/>
      <c r="O13021" s="28"/>
      <c r="U13021" s="28"/>
    </row>
    <row r="13022">
      <c r="N13022" s="28"/>
      <c r="O13022" s="28"/>
      <c r="U13022" s="28"/>
    </row>
    <row r="13023">
      <c r="N13023" s="28"/>
      <c r="O13023" s="28"/>
      <c r="U13023" s="28"/>
    </row>
    <row r="13024">
      <c r="N13024" s="28"/>
      <c r="O13024" s="28"/>
      <c r="U13024" s="28"/>
    </row>
    <row r="13025">
      <c r="N13025" s="28"/>
      <c r="O13025" s="28"/>
      <c r="U13025" s="28"/>
    </row>
    <row r="13026">
      <c r="N13026" s="28"/>
      <c r="O13026" s="28"/>
      <c r="U13026" s="28"/>
    </row>
    <row r="13027">
      <c r="N13027" s="28"/>
      <c r="O13027" s="28"/>
      <c r="U13027" s="28"/>
    </row>
    <row r="13028">
      <c r="N13028" s="28"/>
      <c r="O13028" s="28"/>
      <c r="U13028" s="28"/>
    </row>
    <row r="13029">
      <c r="N13029" s="28"/>
      <c r="O13029" s="28"/>
      <c r="U13029" s="28"/>
    </row>
    <row r="13030">
      <c r="N13030" s="28"/>
      <c r="O13030" s="28"/>
      <c r="U13030" s="28"/>
    </row>
    <row r="13031">
      <c r="N13031" s="28"/>
      <c r="O13031" s="28"/>
      <c r="U13031" s="28"/>
    </row>
    <row r="13032">
      <c r="N13032" s="28"/>
      <c r="O13032" s="28"/>
      <c r="U13032" s="28"/>
    </row>
    <row r="13033">
      <c r="N13033" s="28"/>
      <c r="O13033" s="28"/>
      <c r="U13033" s="28"/>
    </row>
    <row r="13034">
      <c r="N13034" s="28"/>
      <c r="O13034" s="28"/>
      <c r="U13034" s="28"/>
    </row>
    <row r="13035">
      <c r="N13035" s="28"/>
      <c r="O13035" s="28"/>
      <c r="U13035" s="28"/>
    </row>
    <row r="13036">
      <c r="N13036" s="28"/>
      <c r="O13036" s="28"/>
      <c r="U13036" s="28"/>
    </row>
    <row r="13037">
      <c r="N13037" s="28"/>
      <c r="O13037" s="28"/>
      <c r="U13037" s="28"/>
    </row>
    <row r="13038">
      <c r="N13038" s="28"/>
      <c r="O13038" s="28"/>
      <c r="U13038" s="28"/>
    </row>
    <row r="13039">
      <c r="N13039" s="28"/>
      <c r="O13039" s="28"/>
      <c r="U13039" s="28"/>
    </row>
    <row r="13040">
      <c r="N13040" s="28"/>
      <c r="O13040" s="28"/>
      <c r="U13040" s="28"/>
    </row>
    <row r="13041">
      <c r="N13041" s="28"/>
      <c r="O13041" s="28"/>
      <c r="U13041" s="28"/>
    </row>
    <row r="13042">
      <c r="N13042" s="28"/>
      <c r="O13042" s="28"/>
      <c r="U13042" s="28"/>
    </row>
    <row r="13043">
      <c r="N13043" s="28"/>
      <c r="O13043" s="28"/>
      <c r="U13043" s="28"/>
    </row>
    <row r="13044">
      <c r="N13044" s="28"/>
      <c r="O13044" s="28"/>
      <c r="U13044" s="28"/>
    </row>
    <row r="13045">
      <c r="N13045" s="28"/>
      <c r="O13045" s="28"/>
      <c r="U13045" s="28"/>
    </row>
    <row r="13046">
      <c r="N13046" s="28"/>
      <c r="O13046" s="28"/>
      <c r="U13046" s="28"/>
    </row>
    <row r="13047">
      <c r="N13047" s="28"/>
      <c r="O13047" s="28"/>
      <c r="U13047" s="28"/>
    </row>
    <row r="13048">
      <c r="N13048" s="28"/>
      <c r="O13048" s="28"/>
      <c r="U13048" s="28"/>
    </row>
    <row r="13049">
      <c r="N13049" s="28"/>
      <c r="O13049" s="28"/>
      <c r="U13049" s="28"/>
    </row>
    <row r="13050">
      <c r="N13050" s="28"/>
      <c r="O13050" s="28"/>
      <c r="U13050" s="28"/>
    </row>
    <row r="13051">
      <c r="N13051" s="28"/>
      <c r="O13051" s="28"/>
      <c r="U13051" s="28"/>
    </row>
    <row r="13052">
      <c r="N13052" s="28"/>
      <c r="O13052" s="28"/>
      <c r="U13052" s="28"/>
    </row>
    <row r="13053">
      <c r="N13053" s="28"/>
      <c r="O13053" s="28"/>
      <c r="U13053" s="28"/>
    </row>
    <row r="13054">
      <c r="N13054" s="28"/>
      <c r="O13054" s="28"/>
      <c r="U13054" s="28"/>
    </row>
    <row r="13055">
      <c r="N13055" s="28"/>
      <c r="O13055" s="28"/>
      <c r="U13055" s="28"/>
    </row>
    <row r="13056">
      <c r="N13056" s="28"/>
      <c r="O13056" s="28"/>
      <c r="U13056" s="28"/>
    </row>
    <row r="13057">
      <c r="N13057" s="28"/>
      <c r="O13057" s="28"/>
      <c r="U13057" s="28"/>
    </row>
    <row r="13058">
      <c r="N13058" s="28"/>
      <c r="O13058" s="28"/>
      <c r="U13058" s="28"/>
    </row>
    <row r="13059">
      <c r="N13059" s="28"/>
      <c r="O13059" s="28"/>
      <c r="U13059" s="28"/>
    </row>
    <row r="13060">
      <c r="N13060" s="28"/>
      <c r="O13060" s="28"/>
      <c r="U13060" s="28"/>
    </row>
    <row r="13061">
      <c r="N13061" s="28"/>
      <c r="O13061" s="28"/>
      <c r="U13061" s="28"/>
    </row>
    <row r="13062">
      <c r="N13062" s="28"/>
      <c r="O13062" s="28"/>
      <c r="U13062" s="28"/>
    </row>
    <row r="13063">
      <c r="N13063" s="28"/>
      <c r="O13063" s="28"/>
      <c r="U13063" s="28"/>
    </row>
    <row r="13064">
      <c r="N13064" s="28"/>
      <c r="O13064" s="28"/>
      <c r="U13064" s="28"/>
    </row>
    <row r="13065">
      <c r="N13065" s="28"/>
      <c r="O13065" s="28"/>
      <c r="U13065" s="28"/>
    </row>
    <row r="13066">
      <c r="N13066" s="28"/>
      <c r="O13066" s="28"/>
      <c r="U13066" s="28"/>
    </row>
    <row r="13067">
      <c r="N13067" s="28"/>
      <c r="O13067" s="28"/>
      <c r="U13067" s="28"/>
    </row>
    <row r="13068">
      <c r="N13068" s="28"/>
      <c r="O13068" s="28"/>
      <c r="U13068" s="28"/>
    </row>
    <row r="13069">
      <c r="N13069" s="28"/>
      <c r="O13069" s="28"/>
      <c r="U13069" s="28"/>
    </row>
    <row r="13070">
      <c r="N13070" s="28"/>
      <c r="O13070" s="28"/>
      <c r="U13070" s="28"/>
    </row>
    <row r="13071">
      <c r="N13071" s="28"/>
      <c r="O13071" s="28"/>
      <c r="U13071" s="28"/>
    </row>
    <row r="13072">
      <c r="N13072" s="28"/>
      <c r="O13072" s="28"/>
      <c r="U13072" s="28"/>
    </row>
    <row r="13073">
      <c r="N13073" s="28"/>
      <c r="O13073" s="28"/>
      <c r="U13073" s="28"/>
    </row>
    <row r="13074">
      <c r="N13074" s="28"/>
      <c r="O13074" s="28"/>
      <c r="U13074" s="28"/>
    </row>
    <row r="13075">
      <c r="N13075" s="28"/>
      <c r="O13075" s="28"/>
      <c r="U13075" s="28"/>
    </row>
    <row r="13076">
      <c r="N13076" s="28"/>
      <c r="O13076" s="28"/>
      <c r="U13076" s="28"/>
    </row>
    <row r="13077">
      <c r="N13077" s="28"/>
      <c r="O13077" s="28"/>
      <c r="U13077" s="28"/>
    </row>
    <row r="13078">
      <c r="N13078" s="28"/>
      <c r="O13078" s="28"/>
      <c r="U13078" s="28"/>
    </row>
    <row r="13079">
      <c r="N13079" s="28"/>
      <c r="O13079" s="28"/>
      <c r="U13079" s="28"/>
    </row>
    <row r="13080">
      <c r="N13080" s="28"/>
      <c r="O13080" s="28"/>
      <c r="U13080" s="28"/>
    </row>
    <row r="13081">
      <c r="N13081" s="28"/>
      <c r="O13081" s="28"/>
      <c r="U13081" s="28"/>
    </row>
    <row r="13082">
      <c r="N13082" s="28"/>
      <c r="O13082" s="28"/>
      <c r="U13082" s="28"/>
    </row>
    <row r="13083">
      <c r="N13083" s="28"/>
      <c r="O13083" s="28"/>
      <c r="U13083" s="28"/>
    </row>
    <row r="13084">
      <c r="N13084" s="28"/>
      <c r="O13084" s="28"/>
      <c r="U13084" s="28"/>
    </row>
    <row r="13085">
      <c r="N13085" s="28"/>
      <c r="O13085" s="28"/>
      <c r="U13085" s="28"/>
    </row>
    <row r="13086">
      <c r="N13086" s="28"/>
      <c r="O13086" s="28"/>
      <c r="U13086" s="28"/>
    </row>
    <row r="13087">
      <c r="N13087" s="28"/>
      <c r="O13087" s="28"/>
      <c r="U13087" s="28"/>
    </row>
    <row r="13088">
      <c r="N13088" s="28"/>
      <c r="O13088" s="28"/>
      <c r="U13088" s="28"/>
    </row>
    <row r="13089">
      <c r="N13089" s="28"/>
      <c r="O13089" s="28"/>
      <c r="U13089" s="28"/>
    </row>
    <row r="13090">
      <c r="N13090" s="28"/>
      <c r="O13090" s="28"/>
      <c r="U13090" s="28"/>
    </row>
    <row r="13091">
      <c r="N13091" s="28"/>
      <c r="O13091" s="28"/>
      <c r="U13091" s="28"/>
    </row>
    <row r="13092">
      <c r="N13092" s="28"/>
      <c r="O13092" s="28"/>
      <c r="U13092" s="28"/>
    </row>
    <row r="13093">
      <c r="N13093" s="28"/>
      <c r="O13093" s="28"/>
      <c r="U13093" s="28"/>
    </row>
    <row r="13094">
      <c r="N13094" s="28"/>
      <c r="O13094" s="28"/>
      <c r="U13094" s="28"/>
    </row>
    <row r="13095">
      <c r="N13095" s="28"/>
      <c r="O13095" s="28"/>
      <c r="U13095" s="28"/>
    </row>
    <row r="13096">
      <c r="N13096" s="28"/>
      <c r="O13096" s="28"/>
      <c r="U13096" s="28"/>
    </row>
    <row r="13097">
      <c r="N13097" s="28"/>
      <c r="O13097" s="28"/>
      <c r="U13097" s="28"/>
    </row>
    <row r="13098">
      <c r="N13098" s="28"/>
      <c r="O13098" s="28"/>
      <c r="U13098" s="28"/>
    </row>
    <row r="13099">
      <c r="N13099" s="28"/>
      <c r="O13099" s="28"/>
      <c r="U13099" s="28"/>
    </row>
    <row r="13100">
      <c r="N13100" s="28"/>
      <c r="O13100" s="28"/>
      <c r="U13100" s="28"/>
    </row>
    <row r="13101">
      <c r="N13101" s="28"/>
      <c r="O13101" s="28"/>
      <c r="U13101" s="28"/>
    </row>
    <row r="13102">
      <c r="N13102" s="28"/>
      <c r="O13102" s="28"/>
      <c r="U13102" s="28"/>
    </row>
    <row r="13103">
      <c r="N13103" s="28"/>
      <c r="O13103" s="28"/>
      <c r="U13103" s="28"/>
    </row>
    <row r="13104">
      <c r="N13104" s="28"/>
      <c r="O13104" s="28"/>
      <c r="U13104" s="28"/>
    </row>
    <row r="13105">
      <c r="N13105" s="28"/>
      <c r="O13105" s="28"/>
      <c r="U13105" s="28"/>
    </row>
    <row r="13106">
      <c r="N13106" s="28"/>
      <c r="O13106" s="28"/>
      <c r="U13106" s="28"/>
    </row>
    <row r="13107">
      <c r="N13107" s="28"/>
      <c r="O13107" s="28"/>
      <c r="U13107" s="28"/>
    </row>
    <row r="13108">
      <c r="N13108" s="28"/>
      <c r="O13108" s="28"/>
      <c r="U13108" s="28"/>
    </row>
    <row r="13109">
      <c r="N13109" s="28"/>
      <c r="O13109" s="28"/>
      <c r="U13109" s="28"/>
    </row>
    <row r="13110">
      <c r="N13110" s="28"/>
      <c r="O13110" s="28"/>
      <c r="U13110" s="28"/>
    </row>
    <row r="13111">
      <c r="N13111" s="28"/>
      <c r="O13111" s="28"/>
      <c r="U13111" s="28"/>
    </row>
    <row r="13112">
      <c r="N13112" s="28"/>
      <c r="O13112" s="28"/>
      <c r="U13112" s="28"/>
    </row>
    <row r="13113">
      <c r="N13113" s="28"/>
      <c r="O13113" s="28"/>
      <c r="U13113" s="28"/>
    </row>
    <row r="13114">
      <c r="N13114" s="28"/>
      <c r="O13114" s="28"/>
      <c r="U13114" s="28"/>
    </row>
    <row r="13115">
      <c r="N13115" s="28"/>
      <c r="O13115" s="28"/>
      <c r="U13115" s="28"/>
    </row>
    <row r="13116">
      <c r="N13116" s="28"/>
      <c r="O13116" s="28"/>
      <c r="U13116" s="28"/>
    </row>
    <row r="13117">
      <c r="N13117" s="28"/>
      <c r="O13117" s="28"/>
      <c r="U13117" s="28"/>
    </row>
    <row r="13118">
      <c r="N13118" s="28"/>
      <c r="O13118" s="28"/>
      <c r="U13118" s="28"/>
    </row>
    <row r="13119">
      <c r="N13119" s="28"/>
      <c r="O13119" s="28"/>
      <c r="U13119" s="28"/>
    </row>
    <row r="13120">
      <c r="N13120" s="28"/>
      <c r="O13120" s="28"/>
      <c r="U13120" s="28"/>
    </row>
    <row r="13121">
      <c r="N13121" s="28"/>
      <c r="O13121" s="28"/>
      <c r="U13121" s="28"/>
    </row>
    <row r="13122">
      <c r="N13122" s="28"/>
      <c r="O13122" s="28"/>
      <c r="U13122" s="28"/>
    </row>
    <row r="13123">
      <c r="N13123" s="28"/>
      <c r="O13123" s="28"/>
      <c r="U13123" s="28"/>
    </row>
    <row r="13124">
      <c r="N13124" s="28"/>
      <c r="O13124" s="28"/>
      <c r="U13124" s="28"/>
    </row>
    <row r="13125">
      <c r="N13125" s="28"/>
      <c r="O13125" s="28"/>
      <c r="U13125" s="28"/>
    </row>
    <row r="13126">
      <c r="N13126" s="28"/>
      <c r="O13126" s="28"/>
      <c r="U13126" s="28"/>
    </row>
    <row r="13127">
      <c r="N13127" s="28"/>
      <c r="O13127" s="28"/>
      <c r="U13127" s="28"/>
    </row>
    <row r="13128">
      <c r="N13128" s="28"/>
      <c r="O13128" s="28"/>
      <c r="U13128" s="28"/>
    </row>
    <row r="13129">
      <c r="N13129" s="28"/>
      <c r="O13129" s="28"/>
      <c r="U13129" s="28"/>
    </row>
    <row r="13130">
      <c r="N13130" s="28"/>
      <c r="O13130" s="28"/>
      <c r="U13130" s="28"/>
    </row>
    <row r="13131">
      <c r="N13131" s="28"/>
      <c r="O13131" s="28"/>
      <c r="U13131" s="28"/>
    </row>
    <row r="13132">
      <c r="N13132" s="28"/>
      <c r="O13132" s="28"/>
      <c r="U13132" s="28"/>
    </row>
    <row r="13133">
      <c r="N13133" s="28"/>
      <c r="O13133" s="28"/>
      <c r="U13133" s="28"/>
    </row>
    <row r="13134">
      <c r="N13134" s="28"/>
      <c r="O13134" s="28"/>
      <c r="U13134" s="28"/>
    </row>
    <row r="13135">
      <c r="N13135" s="28"/>
      <c r="O13135" s="28"/>
      <c r="U13135" s="28"/>
    </row>
    <row r="13136">
      <c r="N13136" s="28"/>
      <c r="O13136" s="28"/>
      <c r="U13136" s="28"/>
    </row>
    <row r="13137">
      <c r="N13137" s="28"/>
      <c r="O13137" s="28"/>
      <c r="U13137" s="28"/>
    </row>
    <row r="13138">
      <c r="N13138" s="28"/>
      <c r="O13138" s="28"/>
      <c r="U13138" s="28"/>
    </row>
    <row r="13139">
      <c r="N13139" s="28"/>
      <c r="O13139" s="28"/>
      <c r="U13139" s="28"/>
    </row>
    <row r="13140">
      <c r="N13140" s="28"/>
      <c r="O13140" s="28"/>
      <c r="U13140" s="28"/>
    </row>
    <row r="13141">
      <c r="N13141" s="28"/>
      <c r="O13141" s="28"/>
      <c r="U13141" s="28"/>
    </row>
    <row r="13142">
      <c r="N13142" s="28"/>
      <c r="O13142" s="28"/>
      <c r="U13142" s="28"/>
    </row>
    <row r="13143">
      <c r="N13143" s="28"/>
      <c r="O13143" s="28"/>
      <c r="U13143" s="28"/>
    </row>
    <row r="13144">
      <c r="N13144" s="28"/>
      <c r="O13144" s="28"/>
      <c r="U13144" s="28"/>
    </row>
    <row r="13145">
      <c r="N13145" s="28"/>
      <c r="O13145" s="28"/>
      <c r="U13145" s="28"/>
    </row>
    <row r="13146">
      <c r="N13146" s="28"/>
      <c r="O13146" s="28"/>
      <c r="U13146" s="28"/>
    </row>
    <row r="13147">
      <c r="N13147" s="28"/>
      <c r="O13147" s="28"/>
      <c r="U13147" s="28"/>
    </row>
    <row r="13148">
      <c r="N13148" s="28"/>
      <c r="O13148" s="28"/>
      <c r="U13148" s="28"/>
    </row>
    <row r="13149">
      <c r="N13149" s="28"/>
      <c r="O13149" s="28"/>
      <c r="U13149" s="28"/>
    </row>
    <row r="13150">
      <c r="N13150" s="28"/>
      <c r="O13150" s="28"/>
      <c r="U13150" s="28"/>
    </row>
    <row r="13151">
      <c r="N13151" s="28"/>
      <c r="O13151" s="28"/>
      <c r="U13151" s="28"/>
    </row>
    <row r="13152">
      <c r="N13152" s="28"/>
      <c r="O13152" s="28"/>
      <c r="U13152" s="28"/>
    </row>
    <row r="13153">
      <c r="N13153" s="28"/>
      <c r="O13153" s="28"/>
      <c r="U13153" s="28"/>
    </row>
    <row r="13154">
      <c r="N13154" s="28"/>
      <c r="O13154" s="28"/>
      <c r="U13154" s="28"/>
    </row>
    <row r="13155">
      <c r="N13155" s="28"/>
      <c r="O13155" s="28"/>
      <c r="U13155" s="28"/>
    </row>
    <row r="13156">
      <c r="N13156" s="28"/>
      <c r="O13156" s="28"/>
      <c r="U13156" s="28"/>
    </row>
    <row r="13157">
      <c r="N13157" s="28"/>
      <c r="O13157" s="28"/>
      <c r="U13157" s="28"/>
    </row>
    <row r="13158">
      <c r="N13158" s="28"/>
      <c r="O13158" s="28"/>
      <c r="U13158" s="28"/>
    </row>
    <row r="13159">
      <c r="N13159" s="28"/>
      <c r="O13159" s="28"/>
      <c r="U13159" s="28"/>
    </row>
    <row r="13160">
      <c r="N13160" s="28"/>
      <c r="O13160" s="28"/>
      <c r="U13160" s="28"/>
    </row>
    <row r="13161">
      <c r="N13161" s="28"/>
      <c r="O13161" s="28"/>
      <c r="U13161" s="28"/>
    </row>
    <row r="13162">
      <c r="N13162" s="28"/>
      <c r="O13162" s="28"/>
      <c r="U13162" s="28"/>
    </row>
    <row r="13163">
      <c r="N13163" s="28"/>
      <c r="O13163" s="28"/>
      <c r="U13163" s="28"/>
    </row>
    <row r="13164">
      <c r="N13164" s="28"/>
      <c r="O13164" s="28"/>
      <c r="U13164" s="28"/>
    </row>
    <row r="13165">
      <c r="N13165" s="28"/>
      <c r="O13165" s="28"/>
      <c r="U13165" s="28"/>
    </row>
    <row r="13166">
      <c r="N13166" s="28"/>
      <c r="O13166" s="28"/>
      <c r="U13166" s="28"/>
    </row>
    <row r="13167">
      <c r="N13167" s="28"/>
      <c r="O13167" s="28"/>
      <c r="U13167" s="28"/>
    </row>
    <row r="13168">
      <c r="N13168" s="28"/>
      <c r="O13168" s="28"/>
      <c r="U13168" s="28"/>
    </row>
    <row r="13169">
      <c r="N13169" s="28"/>
      <c r="O13169" s="28"/>
      <c r="U13169" s="28"/>
    </row>
    <row r="13170">
      <c r="N13170" s="28"/>
      <c r="O13170" s="28"/>
      <c r="U13170" s="28"/>
    </row>
    <row r="13171">
      <c r="N13171" s="28"/>
      <c r="O13171" s="28"/>
      <c r="U13171" s="28"/>
    </row>
    <row r="13172">
      <c r="N13172" s="28"/>
      <c r="O13172" s="28"/>
      <c r="U13172" s="28"/>
    </row>
    <row r="13173">
      <c r="N13173" s="28"/>
      <c r="O13173" s="28"/>
      <c r="U13173" s="28"/>
    </row>
    <row r="13174">
      <c r="N13174" s="28"/>
      <c r="O13174" s="28"/>
      <c r="U13174" s="28"/>
    </row>
    <row r="13175">
      <c r="N13175" s="28"/>
      <c r="O13175" s="28"/>
      <c r="U13175" s="28"/>
    </row>
    <row r="13176">
      <c r="N13176" s="28"/>
      <c r="O13176" s="28"/>
      <c r="U13176" s="28"/>
    </row>
    <row r="13177">
      <c r="N13177" s="28"/>
      <c r="O13177" s="28"/>
      <c r="U13177" s="28"/>
    </row>
    <row r="13178">
      <c r="N13178" s="28"/>
      <c r="O13178" s="28"/>
      <c r="U13178" s="28"/>
    </row>
    <row r="13179">
      <c r="N13179" s="28"/>
      <c r="O13179" s="28"/>
      <c r="U13179" s="28"/>
    </row>
    <row r="13180">
      <c r="N13180" s="28"/>
      <c r="O13180" s="28"/>
      <c r="U13180" s="28"/>
    </row>
    <row r="13181">
      <c r="N13181" s="28"/>
      <c r="O13181" s="28"/>
      <c r="U13181" s="28"/>
    </row>
    <row r="13182">
      <c r="N13182" s="28"/>
      <c r="O13182" s="28"/>
      <c r="U13182" s="28"/>
    </row>
    <row r="13183">
      <c r="N13183" s="28"/>
      <c r="O13183" s="28"/>
      <c r="U13183" s="28"/>
    </row>
    <row r="13184">
      <c r="N13184" s="28"/>
      <c r="O13184" s="28"/>
      <c r="U13184" s="28"/>
    </row>
    <row r="13185">
      <c r="N13185" s="28"/>
      <c r="O13185" s="28"/>
      <c r="U13185" s="28"/>
    </row>
    <row r="13186">
      <c r="N13186" s="28"/>
      <c r="O13186" s="28"/>
      <c r="U13186" s="28"/>
    </row>
    <row r="13187">
      <c r="N13187" s="28"/>
      <c r="O13187" s="28"/>
      <c r="U13187" s="28"/>
    </row>
    <row r="13188">
      <c r="N13188" s="28"/>
      <c r="O13188" s="28"/>
      <c r="U13188" s="28"/>
    </row>
    <row r="13189">
      <c r="N13189" s="28"/>
      <c r="O13189" s="28"/>
      <c r="U13189" s="28"/>
    </row>
    <row r="13190">
      <c r="N13190" s="28"/>
      <c r="O13190" s="28"/>
      <c r="U13190" s="28"/>
    </row>
    <row r="13191">
      <c r="N13191" s="28"/>
      <c r="O13191" s="28"/>
      <c r="U13191" s="28"/>
    </row>
    <row r="13192">
      <c r="N13192" s="28"/>
      <c r="O13192" s="28"/>
      <c r="U13192" s="28"/>
    </row>
    <row r="13193">
      <c r="N13193" s="28"/>
      <c r="O13193" s="28"/>
      <c r="U13193" s="28"/>
    </row>
    <row r="13194">
      <c r="N13194" s="28"/>
      <c r="O13194" s="28"/>
      <c r="U13194" s="28"/>
    </row>
    <row r="13195">
      <c r="N13195" s="28"/>
      <c r="O13195" s="28"/>
      <c r="U13195" s="28"/>
    </row>
    <row r="13196">
      <c r="N13196" s="28"/>
      <c r="O13196" s="28"/>
      <c r="U13196" s="28"/>
    </row>
    <row r="13197">
      <c r="N13197" s="28"/>
      <c r="O13197" s="28"/>
      <c r="U13197" s="28"/>
    </row>
    <row r="13198">
      <c r="N13198" s="28"/>
      <c r="O13198" s="28"/>
      <c r="U13198" s="28"/>
    </row>
    <row r="13199">
      <c r="N13199" s="28"/>
      <c r="O13199" s="28"/>
      <c r="U13199" s="28"/>
    </row>
    <row r="13200">
      <c r="N13200" s="28"/>
      <c r="O13200" s="28"/>
      <c r="U13200" s="28"/>
    </row>
    <row r="13201">
      <c r="N13201" s="28"/>
      <c r="O13201" s="28"/>
      <c r="U13201" s="28"/>
    </row>
    <row r="13202">
      <c r="N13202" s="28"/>
      <c r="O13202" s="28"/>
      <c r="U13202" s="28"/>
    </row>
    <row r="13203">
      <c r="N13203" s="28"/>
      <c r="O13203" s="28"/>
      <c r="U13203" s="28"/>
    </row>
    <row r="13204">
      <c r="N13204" s="28"/>
      <c r="O13204" s="28"/>
      <c r="U13204" s="28"/>
    </row>
    <row r="13205">
      <c r="N13205" s="28"/>
      <c r="O13205" s="28"/>
      <c r="U13205" s="28"/>
    </row>
    <row r="13206">
      <c r="N13206" s="28"/>
      <c r="O13206" s="28"/>
      <c r="U13206" s="28"/>
    </row>
    <row r="13207">
      <c r="N13207" s="28"/>
      <c r="O13207" s="28"/>
      <c r="U13207" s="28"/>
    </row>
    <row r="13208">
      <c r="N13208" s="28"/>
      <c r="O13208" s="28"/>
      <c r="U13208" s="28"/>
    </row>
    <row r="13209">
      <c r="N13209" s="28"/>
      <c r="O13209" s="28"/>
      <c r="U13209" s="28"/>
    </row>
    <row r="13210">
      <c r="N13210" s="28"/>
      <c r="O13210" s="28"/>
      <c r="U13210" s="28"/>
    </row>
    <row r="13211">
      <c r="N13211" s="28"/>
      <c r="O13211" s="28"/>
      <c r="U13211" s="28"/>
    </row>
    <row r="13212">
      <c r="N13212" s="28"/>
      <c r="O13212" s="28"/>
      <c r="U13212" s="28"/>
    </row>
    <row r="13213">
      <c r="N13213" s="28"/>
      <c r="O13213" s="28"/>
      <c r="U13213" s="28"/>
    </row>
    <row r="13214">
      <c r="N13214" s="28"/>
      <c r="O13214" s="28"/>
      <c r="U13214" s="28"/>
    </row>
    <row r="13215">
      <c r="N13215" s="28"/>
      <c r="O13215" s="28"/>
      <c r="U13215" s="28"/>
    </row>
    <row r="13216">
      <c r="N13216" s="28"/>
      <c r="O13216" s="28"/>
      <c r="U13216" s="28"/>
    </row>
    <row r="13217">
      <c r="N13217" s="28"/>
      <c r="O13217" s="28"/>
      <c r="U13217" s="28"/>
    </row>
    <row r="13218">
      <c r="N13218" s="28"/>
      <c r="O13218" s="28"/>
      <c r="U13218" s="28"/>
    </row>
    <row r="13219">
      <c r="N13219" s="28"/>
      <c r="O13219" s="28"/>
      <c r="U13219" s="28"/>
    </row>
    <row r="13220">
      <c r="N13220" s="28"/>
      <c r="O13220" s="28"/>
      <c r="U13220" s="28"/>
    </row>
    <row r="13221">
      <c r="N13221" s="28"/>
      <c r="O13221" s="28"/>
      <c r="U13221" s="28"/>
    </row>
    <row r="13222">
      <c r="N13222" s="28"/>
      <c r="O13222" s="28"/>
      <c r="U13222" s="28"/>
    </row>
    <row r="13223">
      <c r="N13223" s="28"/>
      <c r="O13223" s="28"/>
      <c r="U13223" s="28"/>
    </row>
    <row r="13224">
      <c r="N13224" s="28"/>
      <c r="O13224" s="28"/>
      <c r="U13224" s="28"/>
    </row>
    <row r="13225">
      <c r="N13225" s="28"/>
      <c r="O13225" s="28"/>
      <c r="U13225" s="28"/>
    </row>
    <row r="13226">
      <c r="N13226" s="28"/>
      <c r="O13226" s="28"/>
      <c r="U13226" s="28"/>
    </row>
    <row r="13227">
      <c r="N13227" s="28"/>
      <c r="O13227" s="28"/>
      <c r="U13227" s="28"/>
    </row>
    <row r="13228">
      <c r="N13228" s="28"/>
      <c r="O13228" s="28"/>
      <c r="U13228" s="28"/>
    </row>
    <row r="13229">
      <c r="N13229" s="28"/>
      <c r="O13229" s="28"/>
      <c r="U13229" s="28"/>
    </row>
    <row r="13230">
      <c r="N13230" s="28"/>
      <c r="O13230" s="28"/>
      <c r="U13230" s="28"/>
    </row>
    <row r="13231">
      <c r="N13231" s="28"/>
      <c r="O13231" s="28"/>
      <c r="U13231" s="28"/>
    </row>
    <row r="13232">
      <c r="N13232" s="28"/>
      <c r="O13232" s="28"/>
      <c r="U13232" s="28"/>
    </row>
    <row r="13233">
      <c r="N13233" s="28"/>
      <c r="O13233" s="28"/>
      <c r="U13233" s="28"/>
    </row>
    <row r="13234">
      <c r="N13234" s="28"/>
      <c r="O13234" s="28"/>
      <c r="U13234" s="28"/>
    </row>
    <row r="13235">
      <c r="N13235" s="28"/>
      <c r="O13235" s="28"/>
      <c r="U13235" s="28"/>
    </row>
    <row r="13236">
      <c r="N13236" s="28"/>
      <c r="O13236" s="28"/>
      <c r="U13236" s="28"/>
    </row>
    <row r="13237">
      <c r="N13237" s="28"/>
      <c r="O13237" s="28"/>
      <c r="U13237" s="28"/>
    </row>
    <row r="13238">
      <c r="N13238" s="28"/>
      <c r="O13238" s="28"/>
      <c r="U13238" s="28"/>
    </row>
    <row r="13239">
      <c r="N13239" s="28"/>
      <c r="O13239" s="28"/>
      <c r="U13239" s="28"/>
    </row>
    <row r="13240">
      <c r="N13240" s="28"/>
      <c r="O13240" s="28"/>
      <c r="U13240" s="28"/>
    </row>
    <row r="13241">
      <c r="N13241" s="28"/>
      <c r="O13241" s="28"/>
      <c r="U13241" s="28"/>
    </row>
    <row r="13242">
      <c r="N13242" s="28"/>
      <c r="O13242" s="28"/>
      <c r="U13242" s="28"/>
    </row>
    <row r="13243">
      <c r="N13243" s="28"/>
      <c r="O13243" s="28"/>
      <c r="U13243" s="28"/>
    </row>
    <row r="13244">
      <c r="N13244" s="28"/>
      <c r="O13244" s="28"/>
      <c r="U13244" s="28"/>
    </row>
    <row r="13245">
      <c r="N13245" s="28"/>
      <c r="O13245" s="28"/>
      <c r="U13245" s="28"/>
    </row>
    <row r="13246">
      <c r="N13246" s="28"/>
      <c r="O13246" s="28"/>
      <c r="U13246" s="28"/>
    </row>
    <row r="13247">
      <c r="N13247" s="28"/>
      <c r="O13247" s="28"/>
      <c r="U13247" s="28"/>
    </row>
    <row r="13248">
      <c r="N13248" s="28"/>
      <c r="O13248" s="28"/>
      <c r="U13248" s="28"/>
    </row>
    <row r="13249">
      <c r="N13249" s="28"/>
      <c r="O13249" s="28"/>
      <c r="U13249" s="28"/>
    </row>
    <row r="13250">
      <c r="N13250" s="28"/>
      <c r="O13250" s="28"/>
      <c r="U13250" s="28"/>
    </row>
    <row r="13251">
      <c r="N13251" s="28"/>
      <c r="O13251" s="28"/>
      <c r="U13251" s="28"/>
    </row>
    <row r="13252">
      <c r="N13252" s="28"/>
      <c r="O13252" s="28"/>
      <c r="U13252" s="28"/>
    </row>
    <row r="13253">
      <c r="N13253" s="28"/>
      <c r="O13253" s="28"/>
      <c r="U13253" s="28"/>
    </row>
    <row r="13254">
      <c r="N13254" s="28"/>
      <c r="O13254" s="28"/>
      <c r="U13254" s="28"/>
    </row>
    <row r="13255">
      <c r="N13255" s="28"/>
      <c r="O13255" s="28"/>
      <c r="U13255" s="28"/>
    </row>
    <row r="13256">
      <c r="N13256" s="28"/>
      <c r="O13256" s="28"/>
      <c r="U13256" s="28"/>
    </row>
    <row r="13257">
      <c r="N13257" s="28"/>
      <c r="O13257" s="28"/>
      <c r="U13257" s="28"/>
    </row>
    <row r="13258">
      <c r="N13258" s="28"/>
      <c r="O13258" s="28"/>
      <c r="U13258" s="28"/>
    </row>
    <row r="13259">
      <c r="N13259" s="28"/>
      <c r="O13259" s="28"/>
      <c r="U13259" s="28"/>
    </row>
    <row r="13260">
      <c r="N13260" s="28"/>
      <c r="O13260" s="28"/>
      <c r="U13260" s="28"/>
    </row>
    <row r="13261">
      <c r="N13261" s="28"/>
      <c r="O13261" s="28"/>
      <c r="U13261" s="28"/>
    </row>
    <row r="13262">
      <c r="N13262" s="28"/>
      <c r="O13262" s="28"/>
      <c r="U13262" s="28"/>
    </row>
    <row r="13263">
      <c r="N13263" s="28"/>
      <c r="O13263" s="28"/>
      <c r="U13263" s="28"/>
    </row>
    <row r="13264">
      <c r="N13264" s="28"/>
      <c r="O13264" s="28"/>
      <c r="U13264" s="28"/>
    </row>
    <row r="13265">
      <c r="N13265" s="28"/>
      <c r="O13265" s="28"/>
      <c r="U13265" s="28"/>
    </row>
    <row r="13266">
      <c r="N13266" s="28"/>
      <c r="O13266" s="28"/>
      <c r="U13266" s="28"/>
    </row>
    <row r="13267">
      <c r="N13267" s="28"/>
      <c r="O13267" s="28"/>
      <c r="U13267" s="28"/>
    </row>
    <row r="13268">
      <c r="N13268" s="28"/>
      <c r="O13268" s="28"/>
      <c r="U13268" s="28"/>
    </row>
    <row r="13269">
      <c r="N13269" s="28"/>
      <c r="O13269" s="28"/>
      <c r="U13269" s="28"/>
    </row>
    <row r="13270">
      <c r="N13270" s="28"/>
      <c r="O13270" s="28"/>
      <c r="U13270" s="28"/>
    </row>
    <row r="13271">
      <c r="N13271" s="28"/>
      <c r="O13271" s="28"/>
      <c r="U13271" s="28"/>
    </row>
    <row r="13272">
      <c r="N13272" s="28"/>
      <c r="O13272" s="28"/>
      <c r="U13272" s="28"/>
    </row>
    <row r="13273">
      <c r="N13273" s="28"/>
      <c r="O13273" s="28"/>
      <c r="U13273" s="28"/>
    </row>
    <row r="13274">
      <c r="N13274" s="28"/>
      <c r="O13274" s="28"/>
      <c r="U13274" s="28"/>
    </row>
    <row r="13275">
      <c r="N13275" s="28"/>
      <c r="O13275" s="28"/>
      <c r="U13275" s="28"/>
    </row>
    <row r="13276">
      <c r="N13276" s="28"/>
      <c r="O13276" s="28"/>
      <c r="U13276" s="28"/>
    </row>
    <row r="13277">
      <c r="N13277" s="28"/>
      <c r="O13277" s="28"/>
      <c r="U13277" s="28"/>
    </row>
    <row r="13278">
      <c r="N13278" s="28"/>
      <c r="O13278" s="28"/>
      <c r="U13278" s="28"/>
    </row>
    <row r="13279">
      <c r="N13279" s="28"/>
      <c r="O13279" s="28"/>
      <c r="U13279" s="28"/>
    </row>
    <row r="13280">
      <c r="N13280" s="28"/>
      <c r="O13280" s="28"/>
      <c r="U13280" s="28"/>
    </row>
    <row r="13281">
      <c r="N13281" s="28"/>
      <c r="O13281" s="28"/>
      <c r="U13281" s="28"/>
    </row>
    <row r="13282">
      <c r="N13282" s="28"/>
      <c r="O13282" s="28"/>
      <c r="U13282" s="28"/>
    </row>
    <row r="13283">
      <c r="N13283" s="28"/>
      <c r="O13283" s="28"/>
      <c r="U13283" s="28"/>
    </row>
    <row r="13284">
      <c r="N13284" s="28"/>
      <c r="O13284" s="28"/>
      <c r="U13284" s="28"/>
    </row>
    <row r="13285">
      <c r="N13285" s="28"/>
      <c r="O13285" s="28"/>
      <c r="U13285" s="28"/>
    </row>
    <row r="13286">
      <c r="N13286" s="28"/>
      <c r="O13286" s="28"/>
      <c r="U13286" s="28"/>
    </row>
    <row r="13287">
      <c r="N13287" s="28"/>
      <c r="O13287" s="28"/>
      <c r="U13287" s="28"/>
    </row>
    <row r="13288">
      <c r="N13288" s="28"/>
      <c r="O13288" s="28"/>
      <c r="U13288" s="28"/>
    </row>
    <row r="13289">
      <c r="N13289" s="28"/>
      <c r="O13289" s="28"/>
      <c r="U13289" s="28"/>
    </row>
    <row r="13290">
      <c r="N13290" s="28"/>
      <c r="O13290" s="28"/>
      <c r="U13290" s="28"/>
    </row>
    <row r="13291">
      <c r="N13291" s="28"/>
      <c r="O13291" s="28"/>
      <c r="U13291" s="28"/>
    </row>
    <row r="13292">
      <c r="N13292" s="28"/>
      <c r="O13292" s="28"/>
      <c r="U13292" s="28"/>
    </row>
    <row r="13293">
      <c r="N13293" s="28"/>
      <c r="O13293" s="28"/>
      <c r="U13293" s="28"/>
    </row>
    <row r="13294">
      <c r="N13294" s="28"/>
      <c r="O13294" s="28"/>
      <c r="U13294" s="28"/>
    </row>
    <row r="13295">
      <c r="N13295" s="28"/>
      <c r="O13295" s="28"/>
      <c r="U13295" s="28"/>
    </row>
    <row r="13296">
      <c r="N13296" s="28"/>
      <c r="O13296" s="28"/>
      <c r="U13296" s="28"/>
    </row>
    <row r="13297">
      <c r="N13297" s="28"/>
      <c r="O13297" s="28"/>
      <c r="U13297" s="28"/>
    </row>
    <row r="13298">
      <c r="N13298" s="28"/>
      <c r="O13298" s="28"/>
      <c r="U13298" s="28"/>
    </row>
    <row r="13299">
      <c r="N13299" s="28"/>
      <c r="O13299" s="28"/>
      <c r="U13299" s="28"/>
    </row>
    <row r="13300">
      <c r="N13300" s="28"/>
      <c r="O13300" s="28"/>
      <c r="U13300" s="28"/>
    </row>
    <row r="13301">
      <c r="N13301" s="28"/>
      <c r="O13301" s="28"/>
      <c r="U13301" s="28"/>
    </row>
    <row r="13302">
      <c r="N13302" s="28"/>
      <c r="O13302" s="28"/>
      <c r="U13302" s="28"/>
    </row>
    <row r="13303">
      <c r="N13303" s="28"/>
      <c r="O13303" s="28"/>
      <c r="U13303" s="28"/>
    </row>
    <row r="13304">
      <c r="N13304" s="28"/>
      <c r="O13304" s="28"/>
      <c r="U13304" s="28"/>
    </row>
    <row r="13305">
      <c r="N13305" s="28"/>
      <c r="O13305" s="28"/>
      <c r="U13305" s="28"/>
    </row>
    <row r="13306">
      <c r="N13306" s="28"/>
      <c r="O13306" s="28"/>
      <c r="U13306" s="28"/>
    </row>
    <row r="13307">
      <c r="N13307" s="28"/>
      <c r="O13307" s="28"/>
      <c r="U13307" s="28"/>
    </row>
    <row r="13308">
      <c r="N13308" s="28"/>
      <c r="O13308" s="28"/>
      <c r="U13308" s="28"/>
    </row>
    <row r="13309">
      <c r="N13309" s="28"/>
      <c r="O13309" s="28"/>
      <c r="U13309" s="28"/>
    </row>
    <row r="13310">
      <c r="N13310" s="28"/>
      <c r="O13310" s="28"/>
      <c r="U13310" s="28"/>
    </row>
    <row r="13311">
      <c r="N13311" s="28"/>
      <c r="O13311" s="28"/>
      <c r="U13311" s="28"/>
    </row>
    <row r="13312">
      <c r="N13312" s="28"/>
      <c r="O13312" s="28"/>
      <c r="U13312" s="28"/>
    </row>
    <row r="13313">
      <c r="N13313" s="28"/>
      <c r="O13313" s="28"/>
      <c r="U13313" s="28"/>
    </row>
    <row r="13314">
      <c r="N13314" s="28"/>
      <c r="O13314" s="28"/>
      <c r="U13314" s="28"/>
    </row>
    <row r="13315">
      <c r="N13315" s="28"/>
      <c r="O13315" s="28"/>
      <c r="U13315" s="28"/>
    </row>
    <row r="13316">
      <c r="N13316" s="28"/>
      <c r="O13316" s="28"/>
      <c r="U13316" s="28"/>
    </row>
    <row r="13317">
      <c r="N13317" s="28"/>
      <c r="O13317" s="28"/>
      <c r="U13317" s="28"/>
    </row>
    <row r="13318">
      <c r="N13318" s="28"/>
      <c r="O13318" s="28"/>
      <c r="U13318" s="28"/>
    </row>
    <row r="13319">
      <c r="N13319" s="28"/>
      <c r="O13319" s="28"/>
      <c r="U13319" s="28"/>
    </row>
    <row r="13320">
      <c r="N13320" s="28"/>
      <c r="O13320" s="28"/>
      <c r="U13320" s="28"/>
    </row>
    <row r="13321">
      <c r="N13321" s="28"/>
      <c r="O13321" s="28"/>
      <c r="U13321" s="28"/>
    </row>
    <row r="13322">
      <c r="N13322" s="28"/>
      <c r="O13322" s="28"/>
      <c r="U13322" s="28"/>
    </row>
    <row r="13323">
      <c r="N13323" s="28"/>
      <c r="O13323" s="28"/>
      <c r="U13323" s="28"/>
    </row>
    <row r="13324">
      <c r="N13324" s="28"/>
      <c r="O13324" s="28"/>
      <c r="U13324" s="28"/>
    </row>
    <row r="13325">
      <c r="N13325" s="28"/>
      <c r="O13325" s="28"/>
      <c r="U13325" s="28"/>
    </row>
    <row r="13326">
      <c r="N13326" s="28"/>
      <c r="O13326" s="28"/>
      <c r="U13326" s="28"/>
    </row>
    <row r="13327">
      <c r="N13327" s="28"/>
      <c r="O13327" s="28"/>
      <c r="U13327" s="28"/>
    </row>
    <row r="13328">
      <c r="N13328" s="28"/>
      <c r="O13328" s="28"/>
      <c r="U13328" s="28"/>
    </row>
    <row r="13329">
      <c r="N13329" s="28"/>
      <c r="O13329" s="28"/>
      <c r="U13329" s="28"/>
    </row>
    <row r="13330">
      <c r="N13330" s="28"/>
      <c r="O13330" s="28"/>
      <c r="U13330" s="28"/>
    </row>
    <row r="13331">
      <c r="N13331" s="28"/>
      <c r="O13331" s="28"/>
      <c r="U13331" s="28"/>
    </row>
    <row r="13332">
      <c r="N13332" s="28"/>
      <c r="O13332" s="28"/>
      <c r="U13332" s="28"/>
    </row>
    <row r="13333">
      <c r="N13333" s="28"/>
      <c r="O13333" s="28"/>
      <c r="U13333" s="28"/>
    </row>
    <row r="13334">
      <c r="N13334" s="28"/>
      <c r="O13334" s="28"/>
      <c r="U13334" s="28"/>
    </row>
    <row r="13335">
      <c r="N13335" s="28"/>
      <c r="O13335" s="28"/>
      <c r="U13335" s="28"/>
    </row>
    <row r="13336">
      <c r="N13336" s="28"/>
      <c r="O13336" s="28"/>
      <c r="U13336" s="28"/>
    </row>
    <row r="13337">
      <c r="N13337" s="28"/>
      <c r="O13337" s="28"/>
      <c r="U13337" s="28"/>
    </row>
    <row r="13338">
      <c r="N13338" s="28"/>
      <c r="O13338" s="28"/>
      <c r="U13338" s="28"/>
    </row>
    <row r="13339">
      <c r="N13339" s="28"/>
      <c r="O13339" s="28"/>
      <c r="U13339" s="28"/>
    </row>
    <row r="13340">
      <c r="N13340" s="28"/>
      <c r="O13340" s="28"/>
      <c r="U13340" s="28"/>
    </row>
    <row r="13341">
      <c r="N13341" s="28"/>
      <c r="O13341" s="28"/>
      <c r="U13341" s="28"/>
    </row>
    <row r="13342">
      <c r="N13342" s="28"/>
      <c r="O13342" s="28"/>
      <c r="U13342" s="28"/>
    </row>
    <row r="13343">
      <c r="N13343" s="28"/>
      <c r="O13343" s="28"/>
      <c r="U13343" s="28"/>
    </row>
    <row r="13344">
      <c r="N13344" s="28"/>
      <c r="O13344" s="28"/>
      <c r="U13344" s="28"/>
    </row>
    <row r="13345">
      <c r="N13345" s="28"/>
      <c r="O13345" s="28"/>
      <c r="U13345" s="28"/>
    </row>
    <row r="13346">
      <c r="N13346" s="28"/>
      <c r="O13346" s="28"/>
      <c r="U13346" s="28"/>
    </row>
    <row r="13347">
      <c r="N13347" s="28"/>
      <c r="O13347" s="28"/>
      <c r="U13347" s="28"/>
    </row>
    <row r="13348">
      <c r="N13348" s="28"/>
      <c r="O13348" s="28"/>
      <c r="U13348" s="28"/>
    </row>
    <row r="13349">
      <c r="N13349" s="28"/>
      <c r="O13349" s="28"/>
      <c r="U13349" s="28"/>
    </row>
    <row r="13350">
      <c r="N13350" s="28"/>
      <c r="O13350" s="28"/>
      <c r="U13350" s="28"/>
    </row>
    <row r="13351">
      <c r="N13351" s="28"/>
      <c r="O13351" s="28"/>
      <c r="U13351" s="28"/>
    </row>
    <row r="13352">
      <c r="N13352" s="28"/>
      <c r="O13352" s="28"/>
      <c r="U13352" s="28"/>
    </row>
    <row r="13353">
      <c r="N13353" s="28"/>
      <c r="O13353" s="28"/>
      <c r="U13353" s="28"/>
    </row>
    <row r="13354">
      <c r="N13354" s="28"/>
      <c r="O13354" s="28"/>
      <c r="U13354" s="28"/>
    </row>
    <row r="13355">
      <c r="N13355" s="28"/>
      <c r="O13355" s="28"/>
      <c r="U13355" s="28"/>
    </row>
    <row r="13356">
      <c r="N13356" s="28"/>
      <c r="O13356" s="28"/>
      <c r="U13356" s="28"/>
    </row>
    <row r="13357">
      <c r="N13357" s="28"/>
      <c r="O13357" s="28"/>
      <c r="U13357" s="28"/>
    </row>
    <row r="13358">
      <c r="N13358" s="28"/>
      <c r="O13358" s="28"/>
      <c r="U13358" s="28"/>
    </row>
    <row r="13359">
      <c r="N13359" s="28"/>
      <c r="O13359" s="28"/>
      <c r="U13359" s="28"/>
    </row>
    <row r="13360">
      <c r="N13360" s="28"/>
      <c r="O13360" s="28"/>
      <c r="U13360" s="28"/>
    </row>
    <row r="13361">
      <c r="N13361" s="28"/>
      <c r="O13361" s="28"/>
      <c r="U13361" s="28"/>
    </row>
    <row r="13362">
      <c r="N13362" s="28"/>
      <c r="O13362" s="28"/>
      <c r="U13362" s="28"/>
    </row>
    <row r="13363">
      <c r="N13363" s="28"/>
      <c r="O13363" s="28"/>
      <c r="U13363" s="28"/>
    </row>
    <row r="13364">
      <c r="N13364" s="28"/>
      <c r="O13364" s="28"/>
      <c r="U13364" s="28"/>
    </row>
    <row r="13365">
      <c r="N13365" s="28"/>
      <c r="O13365" s="28"/>
      <c r="U13365" s="28"/>
    </row>
    <row r="13366">
      <c r="N13366" s="28"/>
      <c r="O13366" s="28"/>
      <c r="U13366" s="28"/>
    </row>
    <row r="13367">
      <c r="N13367" s="28"/>
      <c r="O13367" s="28"/>
      <c r="U13367" s="28"/>
    </row>
    <row r="13368">
      <c r="N13368" s="28"/>
      <c r="O13368" s="28"/>
      <c r="U13368" s="28"/>
    </row>
    <row r="13369">
      <c r="N13369" s="28"/>
      <c r="O13369" s="28"/>
      <c r="U13369" s="28"/>
    </row>
    <row r="13370">
      <c r="N13370" s="28"/>
      <c r="O13370" s="28"/>
      <c r="U13370" s="28"/>
    </row>
    <row r="13371">
      <c r="N13371" s="28"/>
      <c r="O13371" s="28"/>
      <c r="U13371" s="28"/>
    </row>
    <row r="13372">
      <c r="N13372" s="28"/>
      <c r="O13372" s="28"/>
      <c r="U13372" s="28"/>
    </row>
    <row r="13373">
      <c r="N13373" s="28"/>
      <c r="O13373" s="28"/>
      <c r="U13373" s="28"/>
    </row>
    <row r="13374">
      <c r="N13374" s="28"/>
      <c r="O13374" s="28"/>
      <c r="U13374" s="28"/>
    </row>
    <row r="13375">
      <c r="N13375" s="28"/>
      <c r="O13375" s="28"/>
      <c r="U13375" s="28"/>
    </row>
    <row r="13376">
      <c r="N13376" s="28"/>
      <c r="O13376" s="28"/>
      <c r="U13376" s="28"/>
    </row>
    <row r="13377">
      <c r="N13377" s="28"/>
      <c r="O13377" s="28"/>
      <c r="U13377" s="28"/>
    </row>
    <row r="13378">
      <c r="N13378" s="28"/>
      <c r="O13378" s="28"/>
      <c r="U13378" s="28"/>
    </row>
    <row r="13379">
      <c r="N13379" s="28"/>
      <c r="O13379" s="28"/>
      <c r="U13379" s="28"/>
    </row>
    <row r="13380">
      <c r="N13380" s="28"/>
      <c r="O13380" s="28"/>
      <c r="U13380" s="28"/>
    </row>
    <row r="13381">
      <c r="N13381" s="28"/>
      <c r="O13381" s="28"/>
      <c r="U13381" s="28"/>
    </row>
    <row r="13382">
      <c r="N13382" s="28"/>
      <c r="O13382" s="28"/>
      <c r="U13382" s="28"/>
    </row>
    <row r="13383">
      <c r="N13383" s="28"/>
      <c r="O13383" s="28"/>
      <c r="U13383" s="28"/>
    </row>
    <row r="13384">
      <c r="N13384" s="28"/>
      <c r="O13384" s="28"/>
      <c r="U13384" s="28"/>
    </row>
    <row r="13385">
      <c r="N13385" s="28"/>
      <c r="O13385" s="28"/>
      <c r="U13385" s="28"/>
    </row>
    <row r="13386">
      <c r="N13386" s="28"/>
      <c r="O13386" s="28"/>
      <c r="U13386" s="28"/>
    </row>
    <row r="13387">
      <c r="N13387" s="28"/>
      <c r="O13387" s="28"/>
      <c r="U13387" s="28"/>
    </row>
    <row r="13388">
      <c r="N13388" s="28"/>
      <c r="O13388" s="28"/>
      <c r="U13388" s="28"/>
    </row>
    <row r="13389">
      <c r="N13389" s="28"/>
      <c r="O13389" s="28"/>
      <c r="U13389" s="28"/>
    </row>
    <row r="13390">
      <c r="N13390" s="28"/>
      <c r="O13390" s="28"/>
      <c r="U13390" s="28"/>
    </row>
    <row r="13391">
      <c r="N13391" s="28"/>
      <c r="O13391" s="28"/>
      <c r="U13391" s="28"/>
    </row>
    <row r="13392">
      <c r="N13392" s="28"/>
      <c r="O13392" s="28"/>
      <c r="U13392" s="28"/>
    </row>
    <row r="13393">
      <c r="N13393" s="28"/>
      <c r="O13393" s="28"/>
      <c r="U13393" s="28"/>
    </row>
    <row r="13394">
      <c r="N13394" s="28"/>
      <c r="O13394" s="28"/>
      <c r="U13394" s="28"/>
    </row>
    <row r="13395">
      <c r="N13395" s="28"/>
      <c r="O13395" s="28"/>
      <c r="U13395" s="28"/>
    </row>
    <row r="13396">
      <c r="N13396" s="28"/>
      <c r="O13396" s="28"/>
      <c r="U13396" s="28"/>
    </row>
    <row r="13397">
      <c r="N13397" s="28"/>
      <c r="O13397" s="28"/>
      <c r="U13397" s="28"/>
    </row>
    <row r="13398">
      <c r="N13398" s="28"/>
      <c r="O13398" s="28"/>
      <c r="U13398" s="28"/>
    </row>
    <row r="13399">
      <c r="N13399" s="28"/>
      <c r="O13399" s="28"/>
      <c r="U13399" s="28"/>
    </row>
    <row r="13400">
      <c r="N13400" s="28"/>
      <c r="O13400" s="28"/>
      <c r="U13400" s="28"/>
    </row>
    <row r="13401">
      <c r="N13401" s="28"/>
      <c r="O13401" s="28"/>
      <c r="U13401" s="28"/>
    </row>
    <row r="13402">
      <c r="N13402" s="28"/>
      <c r="O13402" s="28"/>
      <c r="U13402" s="28"/>
    </row>
    <row r="13403">
      <c r="N13403" s="28"/>
      <c r="O13403" s="28"/>
      <c r="U13403" s="28"/>
    </row>
    <row r="13404">
      <c r="N13404" s="28"/>
      <c r="O13404" s="28"/>
      <c r="U13404" s="28"/>
    </row>
    <row r="13405">
      <c r="N13405" s="28"/>
      <c r="O13405" s="28"/>
      <c r="U13405" s="28"/>
    </row>
    <row r="13406">
      <c r="N13406" s="28"/>
      <c r="O13406" s="28"/>
      <c r="U13406" s="28"/>
    </row>
    <row r="13407">
      <c r="N13407" s="28"/>
      <c r="O13407" s="28"/>
      <c r="U13407" s="28"/>
    </row>
    <row r="13408">
      <c r="N13408" s="28"/>
      <c r="O13408" s="28"/>
      <c r="U13408" s="28"/>
    </row>
    <row r="13409">
      <c r="N13409" s="28"/>
      <c r="O13409" s="28"/>
      <c r="U13409" s="28"/>
    </row>
    <row r="13410">
      <c r="N13410" s="28"/>
      <c r="O13410" s="28"/>
      <c r="U13410" s="28"/>
    </row>
    <row r="13411">
      <c r="N13411" s="28"/>
      <c r="O13411" s="28"/>
      <c r="U13411" s="28"/>
    </row>
    <row r="13412">
      <c r="N13412" s="28"/>
      <c r="O13412" s="28"/>
      <c r="U13412" s="28"/>
    </row>
    <row r="13413">
      <c r="N13413" s="28"/>
      <c r="O13413" s="28"/>
      <c r="U13413" s="28"/>
    </row>
    <row r="13414">
      <c r="N13414" s="28"/>
      <c r="O13414" s="28"/>
      <c r="U13414" s="28"/>
    </row>
    <row r="13415">
      <c r="N13415" s="28"/>
      <c r="O13415" s="28"/>
      <c r="U13415" s="28"/>
    </row>
    <row r="13416">
      <c r="N13416" s="28"/>
      <c r="O13416" s="28"/>
      <c r="U13416" s="28"/>
    </row>
    <row r="13417">
      <c r="N13417" s="28"/>
      <c r="O13417" s="28"/>
      <c r="U13417" s="28"/>
    </row>
    <row r="13418">
      <c r="N13418" s="28"/>
      <c r="O13418" s="28"/>
      <c r="U13418" s="28"/>
    </row>
    <row r="13419">
      <c r="N13419" s="28"/>
      <c r="O13419" s="28"/>
      <c r="U13419" s="28"/>
    </row>
    <row r="13420">
      <c r="N13420" s="28"/>
      <c r="O13420" s="28"/>
      <c r="U13420" s="28"/>
    </row>
    <row r="13421">
      <c r="N13421" s="28"/>
      <c r="O13421" s="28"/>
      <c r="U13421" s="28"/>
    </row>
    <row r="13422">
      <c r="N13422" s="28"/>
      <c r="O13422" s="28"/>
      <c r="U13422" s="28"/>
    </row>
    <row r="13423">
      <c r="N13423" s="28"/>
      <c r="O13423" s="28"/>
      <c r="U13423" s="28"/>
    </row>
    <row r="13424">
      <c r="N13424" s="28"/>
      <c r="O13424" s="28"/>
      <c r="U13424" s="28"/>
    </row>
    <row r="13425">
      <c r="N13425" s="28"/>
      <c r="O13425" s="28"/>
      <c r="U13425" s="28"/>
    </row>
    <row r="13426">
      <c r="N13426" s="28"/>
      <c r="O13426" s="28"/>
      <c r="U13426" s="28"/>
    </row>
    <row r="13427">
      <c r="N13427" s="28"/>
      <c r="O13427" s="28"/>
      <c r="U13427" s="28"/>
    </row>
    <row r="13428">
      <c r="N13428" s="28"/>
      <c r="O13428" s="28"/>
      <c r="U13428" s="28"/>
    </row>
    <row r="13429">
      <c r="N13429" s="28"/>
      <c r="O13429" s="28"/>
      <c r="U13429" s="28"/>
    </row>
    <row r="13430">
      <c r="N13430" s="28"/>
      <c r="O13430" s="28"/>
      <c r="U13430" s="28"/>
    </row>
    <row r="13431">
      <c r="N13431" s="28"/>
      <c r="O13431" s="28"/>
      <c r="U13431" s="28"/>
    </row>
    <row r="13432">
      <c r="N13432" s="28"/>
      <c r="O13432" s="28"/>
      <c r="U13432" s="28"/>
    </row>
    <row r="13433">
      <c r="N13433" s="28"/>
      <c r="O13433" s="28"/>
      <c r="U13433" s="28"/>
    </row>
    <row r="13434">
      <c r="N13434" s="28"/>
      <c r="O13434" s="28"/>
      <c r="U13434" s="28"/>
    </row>
    <row r="13435">
      <c r="N13435" s="28"/>
      <c r="O13435" s="28"/>
      <c r="U13435" s="28"/>
    </row>
    <row r="13436">
      <c r="N13436" s="28"/>
      <c r="O13436" s="28"/>
      <c r="U13436" s="28"/>
    </row>
    <row r="13437">
      <c r="N13437" s="28"/>
      <c r="O13437" s="28"/>
      <c r="U13437" s="28"/>
    </row>
    <row r="13438">
      <c r="N13438" s="28"/>
      <c r="O13438" s="28"/>
      <c r="U13438" s="28"/>
    </row>
    <row r="13439">
      <c r="N13439" s="28"/>
      <c r="O13439" s="28"/>
      <c r="U13439" s="28"/>
    </row>
    <row r="13440">
      <c r="N13440" s="28"/>
      <c r="O13440" s="28"/>
      <c r="U13440" s="28"/>
    </row>
    <row r="13441">
      <c r="N13441" s="28"/>
      <c r="O13441" s="28"/>
      <c r="U13441" s="28"/>
    </row>
    <row r="13442">
      <c r="N13442" s="28"/>
      <c r="O13442" s="28"/>
      <c r="U13442" s="28"/>
    </row>
    <row r="13443">
      <c r="N13443" s="28"/>
      <c r="O13443" s="28"/>
      <c r="U13443" s="28"/>
    </row>
    <row r="13444">
      <c r="N13444" s="28"/>
      <c r="O13444" s="28"/>
      <c r="U13444" s="28"/>
    </row>
    <row r="13445">
      <c r="N13445" s="28"/>
      <c r="O13445" s="28"/>
      <c r="U13445" s="28"/>
    </row>
    <row r="13446">
      <c r="N13446" s="28"/>
      <c r="O13446" s="28"/>
      <c r="U13446" s="28"/>
    </row>
    <row r="13447">
      <c r="N13447" s="28"/>
      <c r="O13447" s="28"/>
      <c r="U13447" s="28"/>
    </row>
    <row r="13448">
      <c r="N13448" s="28"/>
      <c r="O13448" s="28"/>
      <c r="U13448" s="28"/>
    </row>
    <row r="13449">
      <c r="N13449" s="28"/>
      <c r="O13449" s="28"/>
      <c r="U13449" s="28"/>
    </row>
    <row r="13450">
      <c r="N13450" s="28"/>
      <c r="O13450" s="28"/>
      <c r="U13450" s="28"/>
    </row>
    <row r="13451">
      <c r="N13451" s="28"/>
      <c r="O13451" s="28"/>
      <c r="U13451" s="28"/>
    </row>
    <row r="13452">
      <c r="N13452" s="28"/>
      <c r="O13452" s="28"/>
      <c r="U13452" s="28"/>
    </row>
    <row r="13453">
      <c r="N13453" s="28"/>
      <c r="O13453" s="28"/>
      <c r="U13453" s="28"/>
    </row>
    <row r="13454">
      <c r="N13454" s="28"/>
      <c r="O13454" s="28"/>
      <c r="U13454" s="28"/>
    </row>
    <row r="13455">
      <c r="N13455" s="28"/>
      <c r="O13455" s="28"/>
      <c r="U13455" s="28"/>
    </row>
    <row r="13456">
      <c r="N13456" s="28"/>
      <c r="O13456" s="28"/>
      <c r="U13456" s="28"/>
    </row>
    <row r="13457">
      <c r="N13457" s="28"/>
      <c r="O13457" s="28"/>
      <c r="U13457" s="28"/>
    </row>
    <row r="13458">
      <c r="N13458" s="28"/>
      <c r="O13458" s="28"/>
      <c r="U13458" s="28"/>
    </row>
    <row r="13459">
      <c r="N13459" s="28"/>
      <c r="O13459" s="28"/>
      <c r="U13459" s="28"/>
    </row>
    <row r="13460">
      <c r="N13460" s="28"/>
      <c r="O13460" s="28"/>
      <c r="U13460" s="28"/>
    </row>
    <row r="13461">
      <c r="N13461" s="28"/>
      <c r="O13461" s="28"/>
      <c r="U13461" s="28"/>
    </row>
    <row r="13462">
      <c r="N13462" s="28"/>
      <c r="O13462" s="28"/>
      <c r="U13462" s="28"/>
    </row>
    <row r="13463">
      <c r="N13463" s="28"/>
      <c r="O13463" s="28"/>
      <c r="U13463" s="28"/>
    </row>
    <row r="13464">
      <c r="N13464" s="28"/>
      <c r="O13464" s="28"/>
      <c r="U13464" s="28"/>
    </row>
    <row r="13465">
      <c r="N13465" s="28"/>
      <c r="O13465" s="28"/>
      <c r="U13465" s="28"/>
    </row>
    <row r="13466">
      <c r="N13466" s="28"/>
      <c r="O13466" s="28"/>
      <c r="U13466" s="28"/>
    </row>
    <row r="13467">
      <c r="N13467" s="28"/>
      <c r="O13467" s="28"/>
      <c r="U13467" s="28"/>
    </row>
    <row r="13468">
      <c r="N13468" s="28"/>
      <c r="O13468" s="28"/>
      <c r="U13468" s="28"/>
    </row>
    <row r="13469">
      <c r="N13469" s="28"/>
      <c r="O13469" s="28"/>
      <c r="U13469" s="28"/>
    </row>
    <row r="13470">
      <c r="N13470" s="28"/>
      <c r="O13470" s="28"/>
      <c r="U13470" s="28"/>
    </row>
    <row r="13471">
      <c r="N13471" s="28"/>
      <c r="O13471" s="28"/>
      <c r="U13471" s="28"/>
    </row>
    <row r="13472">
      <c r="N13472" s="28"/>
      <c r="O13472" s="28"/>
      <c r="U13472" s="28"/>
    </row>
    <row r="13473">
      <c r="N13473" s="28"/>
      <c r="O13473" s="28"/>
      <c r="U13473" s="28"/>
    </row>
    <row r="13474">
      <c r="N13474" s="28"/>
      <c r="O13474" s="28"/>
      <c r="U13474" s="28"/>
    </row>
    <row r="13475">
      <c r="N13475" s="28"/>
      <c r="O13475" s="28"/>
      <c r="U13475" s="28"/>
    </row>
    <row r="13476">
      <c r="N13476" s="28"/>
      <c r="O13476" s="28"/>
      <c r="U13476" s="28"/>
    </row>
    <row r="13477">
      <c r="N13477" s="28"/>
      <c r="O13477" s="28"/>
      <c r="U13477" s="28"/>
    </row>
    <row r="13478">
      <c r="N13478" s="28"/>
      <c r="O13478" s="28"/>
      <c r="U13478" s="28"/>
    </row>
    <row r="13479">
      <c r="N13479" s="28"/>
      <c r="O13479" s="28"/>
      <c r="U13479" s="28"/>
    </row>
    <row r="13480">
      <c r="N13480" s="28"/>
      <c r="O13480" s="28"/>
      <c r="U13480" s="28"/>
    </row>
    <row r="13481">
      <c r="N13481" s="28"/>
      <c r="O13481" s="28"/>
      <c r="U13481" s="28"/>
    </row>
    <row r="13482">
      <c r="N13482" s="28"/>
      <c r="O13482" s="28"/>
      <c r="U13482" s="28"/>
    </row>
    <row r="13483">
      <c r="N13483" s="28"/>
      <c r="O13483" s="28"/>
      <c r="U13483" s="28"/>
    </row>
    <row r="13484">
      <c r="N13484" s="28"/>
      <c r="O13484" s="28"/>
      <c r="U13484" s="28"/>
    </row>
    <row r="13485">
      <c r="N13485" s="28"/>
      <c r="O13485" s="28"/>
      <c r="U13485" s="28"/>
    </row>
    <row r="13486">
      <c r="N13486" s="28"/>
      <c r="O13486" s="28"/>
      <c r="U13486" s="28"/>
    </row>
    <row r="13487">
      <c r="N13487" s="28"/>
      <c r="O13487" s="28"/>
      <c r="U13487" s="28"/>
    </row>
    <row r="13488">
      <c r="N13488" s="28"/>
      <c r="O13488" s="28"/>
      <c r="U13488" s="28"/>
    </row>
    <row r="13489">
      <c r="N13489" s="28"/>
      <c r="O13489" s="28"/>
      <c r="U13489" s="28"/>
    </row>
    <row r="13490">
      <c r="N13490" s="28"/>
      <c r="O13490" s="28"/>
      <c r="U13490" s="28"/>
    </row>
    <row r="13491">
      <c r="N13491" s="28"/>
      <c r="O13491" s="28"/>
      <c r="U13491" s="28"/>
    </row>
    <row r="13492">
      <c r="N13492" s="28"/>
      <c r="O13492" s="28"/>
      <c r="U13492" s="28"/>
    </row>
    <row r="13493">
      <c r="N13493" s="28"/>
      <c r="O13493" s="28"/>
      <c r="U13493" s="28"/>
    </row>
    <row r="13494">
      <c r="N13494" s="28"/>
      <c r="O13494" s="28"/>
      <c r="U13494" s="28"/>
    </row>
    <row r="13495">
      <c r="N13495" s="28"/>
      <c r="O13495" s="28"/>
      <c r="U13495" s="28"/>
    </row>
    <row r="13496">
      <c r="N13496" s="28"/>
      <c r="O13496" s="28"/>
      <c r="U13496" s="28"/>
    </row>
    <row r="13497">
      <c r="N13497" s="28"/>
      <c r="O13497" s="28"/>
      <c r="U13497" s="28"/>
    </row>
    <row r="13498">
      <c r="N13498" s="28"/>
      <c r="O13498" s="28"/>
      <c r="U13498" s="28"/>
    </row>
    <row r="13499">
      <c r="N13499" s="28"/>
      <c r="O13499" s="28"/>
      <c r="U13499" s="28"/>
    </row>
    <row r="13500">
      <c r="N13500" s="28"/>
      <c r="O13500" s="28"/>
      <c r="U13500" s="28"/>
    </row>
    <row r="13501">
      <c r="N13501" s="28"/>
      <c r="O13501" s="28"/>
      <c r="U13501" s="28"/>
    </row>
    <row r="13502">
      <c r="N13502" s="28"/>
      <c r="O13502" s="28"/>
      <c r="U13502" s="28"/>
    </row>
    <row r="13503">
      <c r="N13503" s="28"/>
      <c r="O13503" s="28"/>
      <c r="U13503" s="28"/>
    </row>
    <row r="13504">
      <c r="N13504" s="28"/>
      <c r="O13504" s="28"/>
      <c r="U13504" s="28"/>
    </row>
    <row r="13505">
      <c r="N13505" s="28"/>
      <c r="O13505" s="28"/>
      <c r="U13505" s="28"/>
    </row>
    <row r="13506">
      <c r="N13506" s="28"/>
      <c r="O13506" s="28"/>
      <c r="U13506" s="28"/>
    </row>
    <row r="13507">
      <c r="N13507" s="28"/>
      <c r="O13507" s="28"/>
      <c r="U13507" s="28"/>
    </row>
    <row r="13508">
      <c r="N13508" s="28"/>
      <c r="O13508" s="28"/>
      <c r="U13508" s="28"/>
    </row>
    <row r="13509">
      <c r="N13509" s="28"/>
      <c r="O13509" s="28"/>
      <c r="U13509" s="28"/>
    </row>
    <row r="13510">
      <c r="N13510" s="28"/>
      <c r="O13510" s="28"/>
      <c r="U13510" s="28"/>
    </row>
    <row r="13511">
      <c r="N13511" s="28"/>
      <c r="O13511" s="28"/>
      <c r="U13511" s="28"/>
    </row>
    <row r="13512">
      <c r="N13512" s="28"/>
      <c r="O13512" s="28"/>
      <c r="U13512" s="28"/>
    </row>
    <row r="13513">
      <c r="N13513" s="28"/>
      <c r="O13513" s="28"/>
      <c r="U13513" s="28"/>
    </row>
    <row r="13514">
      <c r="N13514" s="28"/>
      <c r="O13514" s="28"/>
      <c r="U13514" s="28"/>
    </row>
    <row r="13515">
      <c r="N13515" s="28"/>
      <c r="O13515" s="28"/>
      <c r="U13515" s="28"/>
    </row>
    <row r="13516">
      <c r="N13516" s="28"/>
      <c r="O13516" s="28"/>
      <c r="U13516" s="28"/>
    </row>
    <row r="13517">
      <c r="N13517" s="28"/>
      <c r="O13517" s="28"/>
      <c r="U13517" s="28"/>
    </row>
    <row r="13518">
      <c r="N13518" s="28"/>
      <c r="O13518" s="28"/>
      <c r="U13518" s="28"/>
    </row>
    <row r="13519">
      <c r="N13519" s="28"/>
      <c r="O13519" s="28"/>
      <c r="U13519" s="28"/>
    </row>
    <row r="13520">
      <c r="N13520" s="28"/>
      <c r="O13520" s="28"/>
      <c r="U13520" s="28"/>
    </row>
    <row r="13521">
      <c r="N13521" s="28"/>
      <c r="O13521" s="28"/>
      <c r="U13521" s="28"/>
    </row>
    <row r="13522">
      <c r="N13522" s="28"/>
      <c r="O13522" s="28"/>
      <c r="U13522" s="28"/>
    </row>
    <row r="13523">
      <c r="N13523" s="28"/>
      <c r="O13523" s="28"/>
      <c r="U13523" s="28"/>
    </row>
    <row r="13524">
      <c r="N13524" s="28"/>
      <c r="O13524" s="28"/>
      <c r="U13524" s="28"/>
    </row>
    <row r="13525">
      <c r="N13525" s="28"/>
      <c r="O13525" s="28"/>
      <c r="U13525" s="28"/>
    </row>
    <row r="13526">
      <c r="N13526" s="28"/>
      <c r="O13526" s="28"/>
      <c r="U13526" s="28"/>
    </row>
    <row r="13527">
      <c r="N13527" s="28"/>
      <c r="O13527" s="28"/>
      <c r="U13527" s="28"/>
    </row>
    <row r="13528">
      <c r="N13528" s="28"/>
      <c r="O13528" s="28"/>
      <c r="U13528" s="28"/>
    </row>
    <row r="13529">
      <c r="N13529" s="28"/>
      <c r="O13529" s="28"/>
      <c r="U13529" s="28"/>
    </row>
    <row r="13530">
      <c r="N13530" s="28"/>
      <c r="O13530" s="28"/>
      <c r="U13530" s="28"/>
    </row>
    <row r="13531">
      <c r="N13531" s="28"/>
      <c r="O13531" s="28"/>
      <c r="U13531" s="28"/>
    </row>
    <row r="13532">
      <c r="N13532" s="28"/>
      <c r="O13532" s="28"/>
      <c r="U13532" s="28"/>
    </row>
    <row r="13533">
      <c r="N13533" s="28"/>
      <c r="O13533" s="28"/>
      <c r="U13533" s="28"/>
    </row>
    <row r="13534">
      <c r="N13534" s="28"/>
      <c r="O13534" s="28"/>
      <c r="U13534" s="28"/>
    </row>
    <row r="13535">
      <c r="N13535" s="28"/>
      <c r="O13535" s="28"/>
      <c r="U13535" s="28"/>
    </row>
    <row r="13536">
      <c r="N13536" s="28"/>
      <c r="O13536" s="28"/>
      <c r="U13536" s="28"/>
    </row>
    <row r="13537">
      <c r="N13537" s="28"/>
      <c r="O13537" s="28"/>
      <c r="U13537" s="28"/>
    </row>
    <row r="13538">
      <c r="N13538" s="28"/>
      <c r="O13538" s="28"/>
      <c r="U13538" s="28"/>
    </row>
    <row r="13539">
      <c r="N13539" s="28"/>
      <c r="O13539" s="28"/>
      <c r="U13539" s="28"/>
    </row>
    <row r="13540">
      <c r="N13540" s="28"/>
      <c r="O13540" s="28"/>
      <c r="U13540" s="28"/>
    </row>
    <row r="13541">
      <c r="N13541" s="28"/>
      <c r="O13541" s="28"/>
      <c r="U13541" s="28"/>
    </row>
    <row r="13542">
      <c r="N13542" s="28"/>
      <c r="O13542" s="28"/>
      <c r="U13542" s="28"/>
    </row>
    <row r="13543">
      <c r="N13543" s="28"/>
      <c r="O13543" s="28"/>
      <c r="U13543" s="28"/>
    </row>
    <row r="13544">
      <c r="N13544" s="28"/>
      <c r="O13544" s="28"/>
      <c r="U13544" s="28"/>
    </row>
    <row r="13545">
      <c r="N13545" s="28"/>
      <c r="O13545" s="28"/>
      <c r="U13545" s="28"/>
    </row>
    <row r="13546">
      <c r="N13546" s="28"/>
      <c r="O13546" s="28"/>
      <c r="U13546" s="28"/>
    </row>
    <row r="13547">
      <c r="N13547" s="28"/>
      <c r="O13547" s="28"/>
      <c r="U13547" s="28"/>
    </row>
    <row r="13548">
      <c r="N13548" s="28"/>
      <c r="O13548" s="28"/>
      <c r="U13548" s="28"/>
    </row>
    <row r="13549">
      <c r="N13549" s="28"/>
      <c r="O13549" s="28"/>
      <c r="U13549" s="28"/>
    </row>
    <row r="13550">
      <c r="N13550" s="28"/>
      <c r="O13550" s="28"/>
      <c r="U13550" s="28"/>
    </row>
    <row r="13551">
      <c r="N13551" s="28"/>
      <c r="O13551" s="28"/>
      <c r="U13551" s="28"/>
    </row>
    <row r="13552">
      <c r="N13552" s="28"/>
      <c r="O13552" s="28"/>
      <c r="U13552" s="28"/>
    </row>
    <row r="13553">
      <c r="N13553" s="28"/>
      <c r="O13553" s="28"/>
      <c r="U13553" s="28"/>
    </row>
    <row r="13554">
      <c r="N13554" s="28"/>
      <c r="O13554" s="28"/>
      <c r="U13554" s="28"/>
    </row>
    <row r="13555">
      <c r="N13555" s="28"/>
      <c r="O13555" s="28"/>
      <c r="U13555" s="28"/>
    </row>
    <row r="13556">
      <c r="N13556" s="28"/>
      <c r="O13556" s="28"/>
      <c r="U13556" s="28"/>
    </row>
    <row r="13557">
      <c r="N13557" s="28"/>
      <c r="O13557" s="28"/>
      <c r="U13557" s="28"/>
    </row>
    <row r="13558">
      <c r="N13558" s="28"/>
      <c r="O13558" s="28"/>
      <c r="U13558" s="28"/>
    </row>
    <row r="13559">
      <c r="N13559" s="28"/>
      <c r="O13559" s="28"/>
      <c r="U13559" s="28"/>
    </row>
    <row r="13560">
      <c r="N13560" s="28"/>
      <c r="O13560" s="28"/>
      <c r="U13560" s="28"/>
    </row>
    <row r="13561">
      <c r="N13561" s="28"/>
      <c r="O13561" s="28"/>
      <c r="U13561" s="28"/>
    </row>
    <row r="13562">
      <c r="N13562" s="28"/>
      <c r="O13562" s="28"/>
      <c r="U13562" s="28"/>
    </row>
    <row r="13563">
      <c r="N13563" s="28"/>
      <c r="O13563" s="28"/>
      <c r="U13563" s="28"/>
    </row>
    <row r="13564">
      <c r="N13564" s="28"/>
      <c r="O13564" s="28"/>
      <c r="U13564" s="28"/>
    </row>
    <row r="13565">
      <c r="N13565" s="28"/>
      <c r="O13565" s="28"/>
      <c r="U13565" s="28"/>
    </row>
    <row r="13566">
      <c r="N13566" s="28"/>
      <c r="O13566" s="28"/>
      <c r="U13566" s="28"/>
    </row>
    <row r="13567">
      <c r="N13567" s="28"/>
      <c r="O13567" s="28"/>
      <c r="U13567" s="28"/>
    </row>
    <row r="13568">
      <c r="N13568" s="28"/>
      <c r="O13568" s="28"/>
      <c r="U13568" s="28"/>
    </row>
    <row r="13569">
      <c r="N13569" s="28"/>
      <c r="O13569" s="28"/>
      <c r="U13569" s="28"/>
    </row>
    <row r="13570">
      <c r="N13570" s="28"/>
      <c r="O13570" s="28"/>
      <c r="U13570" s="28"/>
    </row>
    <row r="13571">
      <c r="N13571" s="28"/>
      <c r="O13571" s="28"/>
      <c r="U13571" s="28"/>
    </row>
    <row r="13572">
      <c r="N13572" s="28"/>
      <c r="O13572" s="28"/>
      <c r="U13572" s="28"/>
    </row>
    <row r="13573">
      <c r="N13573" s="28"/>
      <c r="O13573" s="28"/>
      <c r="U13573" s="28"/>
    </row>
    <row r="13574">
      <c r="N13574" s="28"/>
      <c r="O13574" s="28"/>
      <c r="U13574" s="28"/>
    </row>
    <row r="13575">
      <c r="N13575" s="28"/>
      <c r="O13575" s="28"/>
      <c r="U13575" s="28"/>
    </row>
    <row r="13576">
      <c r="N13576" s="28"/>
      <c r="O13576" s="28"/>
      <c r="U13576" s="28"/>
    </row>
    <row r="13577">
      <c r="N13577" s="28"/>
      <c r="O13577" s="28"/>
      <c r="U13577" s="28"/>
    </row>
    <row r="13578">
      <c r="N13578" s="28"/>
      <c r="O13578" s="28"/>
      <c r="U13578" s="28"/>
    </row>
    <row r="13579">
      <c r="N13579" s="28"/>
      <c r="O13579" s="28"/>
      <c r="U13579" s="28"/>
    </row>
    <row r="13580">
      <c r="N13580" s="28"/>
      <c r="O13580" s="28"/>
      <c r="U13580" s="28"/>
    </row>
    <row r="13581">
      <c r="N13581" s="28"/>
      <c r="O13581" s="28"/>
      <c r="U13581" s="28"/>
    </row>
    <row r="13582">
      <c r="N13582" s="28"/>
      <c r="O13582" s="28"/>
      <c r="U13582" s="28"/>
    </row>
    <row r="13583">
      <c r="N13583" s="28"/>
      <c r="O13583" s="28"/>
      <c r="U13583" s="28"/>
    </row>
    <row r="13584">
      <c r="N13584" s="28"/>
      <c r="O13584" s="28"/>
      <c r="U13584" s="28"/>
    </row>
    <row r="13585">
      <c r="N13585" s="28"/>
      <c r="O13585" s="28"/>
      <c r="U13585" s="28"/>
    </row>
    <row r="13586">
      <c r="N13586" s="28"/>
      <c r="O13586" s="28"/>
      <c r="U13586" s="28"/>
    </row>
    <row r="13587">
      <c r="N13587" s="28"/>
      <c r="O13587" s="28"/>
      <c r="U13587" s="28"/>
    </row>
    <row r="13588">
      <c r="N13588" s="28"/>
      <c r="O13588" s="28"/>
      <c r="U13588" s="28"/>
    </row>
    <row r="13589">
      <c r="N13589" s="28"/>
      <c r="O13589" s="28"/>
      <c r="U13589" s="28"/>
    </row>
    <row r="13590">
      <c r="N13590" s="28"/>
      <c r="O13590" s="28"/>
      <c r="U13590" s="28"/>
    </row>
    <row r="13591">
      <c r="N13591" s="28"/>
      <c r="O13591" s="28"/>
      <c r="U13591" s="28"/>
    </row>
    <row r="13592">
      <c r="N13592" s="28"/>
      <c r="O13592" s="28"/>
      <c r="U13592" s="28"/>
    </row>
    <row r="13593">
      <c r="N13593" s="28"/>
      <c r="O13593" s="28"/>
      <c r="U13593" s="28"/>
    </row>
    <row r="13594">
      <c r="N13594" s="28"/>
      <c r="O13594" s="28"/>
      <c r="U13594" s="28"/>
    </row>
    <row r="13595">
      <c r="N13595" s="28"/>
      <c r="O13595" s="28"/>
      <c r="U13595" s="28"/>
    </row>
    <row r="13596">
      <c r="N13596" s="28"/>
      <c r="O13596" s="28"/>
      <c r="U13596" s="28"/>
    </row>
    <row r="13597">
      <c r="N13597" s="28"/>
      <c r="O13597" s="28"/>
      <c r="U13597" s="28"/>
    </row>
    <row r="13598">
      <c r="N13598" s="28"/>
      <c r="O13598" s="28"/>
      <c r="U13598" s="28"/>
    </row>
    <row r="13599">
      <c r="N13599" s="28"/>
      <c r="O13599" s="28"/>
      <c r="U13599" s="28"/>
    </row>
    <row r="13600">
      <c r="N13600" s="28"/>
      <c r="O13600" s="28"/>
      <c r="U13600" s="28"/>
    </row>
    <row r="13601">
      <c r="N13601" s="28"/>
      <c r="O13601" s="28"/>
      <c r="U13601" s="28"/>
    </row>
    <row r="13602">
      <c r="N13602" s="28"/>
      <c r="O13602" s="28"/>
      <c r="U13602" s="28"/>
    </row>
    <row r="13603">
      <c r="N13603" s="28"/>
      <c r="O13603" s="28"/>
      <c r="U13603" s="28"/>
    </row>
    <row r="13604">
      <c r="N13604" s="28"/>
      <c r="O13604" s="28"/>
      <c r="U13604" s="28"/>
    </row>
    <row r="13605">
      <c r="N13605" s="28"/>
      <c r="O13605" s="28"/>
      <c r="U13605" s="28"/>
    </row>
    <row r="13606">
      <c r="N13606" s="28"/>
      <c r="O13606" s="28"/>
      <c r="U13606" s="28"/>
    </row>
    <row r="13607">
      <c r="N13607" s="28"/>
      <c r="O13607" s="28"/>
      <c r="U13607" s="28"/>
    </row>
    <row r="13608">
      <c r="N13608" s="28"/>
      <c r="O13608" s="28"/>
      <c r="U13608" s="28"/>
    </row>
    <row r="13609">
      <c r="N13609" s="28"/>
      <c r="O13609" s="28"/>
      <c r="U13609" s="28"/>
    </row>
    <row r="13610">
      <c r="N13610" s="28"/>
      <c r="O13610" s="28"/>
      <c r="U13610" s="28"/>
    </row>
    <row r="13611">
      <c r="N13611" s="28"/>
      <c r="O13611" s="28"/>
      <c r="U13611" s="28"/>
    </row>
    <row r="13612">
      <c r="N13612" s="28"/>
      <c r="O13612" s="28"/>
      <c r="U13612" s="28"/>
    </row>
    <row r="13613">
      <c r="N13613" s="28"/>
      <c r="O13613" s="28"/>
      <c r="U13613" s="28"/>
    </row>
    <row r="13614">
      <c r="N13614" s="28"/>
      <c r="O13614" s="28"/>
      <c r="U13614" s="28"/>
    </row>
    <row r="13615">
      <c r="N13615" s="28"/>
      <c r="O13615" s="28"/>
      <c r="U13615" s="28"/>
    </row>
    <row r="13616">
      <c r="N13616" s="28"/>
      <c r="O13616" s="28"/>
      <c r="U13616" s="28"/>
    </row>
    <row r="13617">
      <c r="N13617" s="28"/>
      <c r="O13617" s="28"/>
      <c r="U13617" s="28"/>
    </row>
    <row r="13618">
      <c r="N13618" s="28"/>
      <c r="O13618" s="28"/>
      <c r="U13618" s="28"/>
    </row>
    <row r="13619">
      <c r="N13619" s="28"/>
      <c r="O13619" s="28"/>
      <c r="U13619" s="28"/>
    </row>
    <row r="13620">
      <c r="N13620" s="28"/>
      <c r="O13620" s="28"/>
      <c r="U13620" s="28"/>
    </row>
    <row r="13621">
      <c r="N13621" s="28"/>
      <c r="O13621" s="28"/>
      <c r="U13621" s="28"/>
    </row>
    <row r="13622">
      <c r="N13622" s="28"/>
      <c r="O13622" s="28"/>
      <c r="U13622" s="28"/>
    </row>
    <row r="13623">
      <c r="N13623" s="28"/>
      <c r="O13623" s="28"/>
      <c r="U13623" s="28"/>
    </row>
    <row r="13624">
      <c r="N13624" s="28"/>
      <c r="O13624" s="28"/>
      <c r="U13624" s="28"/>
    </row>
    <row r="13625">
      <c r="N13625" s="28"/>
      <c r="O13625" s="28"/>
      <c r="U13625" s="28"/>
    </row>
    <row r="13626">
      <c r="N13626" s="28"/>
      <c r="O13626" s="28"/>
      <c r="U13626" s="28"/>
    </row>
    <row r="13627">
      <c r="N13627" s="28"/>
      <c r="O13627" s="28"/>
      <c r="U13627" s="28"/>
    </row>
    <row r="13628">
      <c r="N13628" s="28"/>
      <c r="O13628" s="28"/>
      <c r="U13628" s="28"/>
    </row>
    <row r="13629">
      <c r="N13629" s="28"/>
      <c r="O13629" s="28"/>
      <c r="U13629" s="28"/>
    </row>
    <row r="13630">
      <c r="N13630" s="28"/>
      <c r="O13630" s="28"/>
      <c r="U13630" s="28"/>
    </row>
    <row r="13631">
      <c r="N13631" s="28"/>
      <c r="O13631" s="28"/>
      <c r="U13631" s="28"/>
    </row>
    <row r="13632">
      <c r="N13632" s="28"/>
      <c r="O13632" s="28"/>
      <c r="U13632" s="28"/>
    </row>
    <row r="13633">
      <c r="N13633" s="28"/>
      <c r="O13633" s="28"/>
      <c r="U13633" s="28"/>
    </row>
    <row r="13634">
      <c r="N13634" s="28"/>
      <c r="O13634" s="28"/>
      <c r="U13634" s="28"/>
    </row>
    <row r="13635">
      <c r="N13635" s="28"/>
      <c r="O13635" s="28"/>
      <c r="U13635" s="28"/>
    </row>
    <row r="13636">
      <c r="N13636" s="28"/>
      <c r="O13636" s="28"/>
      <c r="U13636" s="28"/>
    </row>
    <row r="13637">
      <c r="N13637" s="28"/>
      <c r="O13637" s="28"/>
      <c r="U13637" s="28"/>
    </row>
    <row r="13638">
      <c r="N13638" s="28"/>
      <c r="O13638" s="28"/>
      <c r="U13638" s="28"/>
    </row>
    <row r="13639">
      <c r="N13639" s="28"/>
      <c r="O13639" s="28"/>
      <c r="U13639" s="28"/>
    </row>
    <row r="13640">
      <c r="N13640" s="28"/>
      <c r="O13640" s="28"/>
      <c r="U13640" s="28"/>
    </row>
    <row r="13641">
      <c r="N13641" s="28"/>
      <c r="O13641" s="28"/>
      <c r="U13641" s="28"/>
    </row>
    <row r="13642">
      <c r="N13642" s="28"/>
      <c r="O13642" s="28"/>
      <c r="U13642" s="28"/>
    </row>
    <row r="13643">
      <c r="N13643" s="28"/>
      <c r="O13643" s="28"/>
      <c r="U13643" s="28"/>
    </row>
    <row r="13644">
      <c r="N13644" s="28"/>
      <c r="O13644" s="28"/>
      <c r="U13644" s="28"/>
    </row>
    <row r="13645">
      <c r="N13645" s="28"/>
      <c r="O13645" s="28"/>
      <c r="U13645" s="28"/>
    </row>
    <row r="13646">
      <c r="N13646" s="28"/>
      <c r="O13646" s="28"/>
      <c r="U13646" s="28"/>
    </row>
    <row r="13647">
      <c r="N13647" s="28"/>
      <c r="O13647" s="28"/>
      <c r="U13647" s="28"/>
    </row>
    <row r="13648">
      <c r="N13648" s="28"/>
      <c r="O13648" s="28"/>
      <c r="U13648" s="28"/>
    </row>
    <row r="13649">
      <c r="N13649" s="28"/>
      <c r="O13649" s="28"/>
      <c r="U13649" s="28"/>
    </row>
    <row r="13650">
      <c r="N13650" s="28"/>
      <c r="O13650" s="28"/>
      <c r="U13650" s="28"/>
    </row>
    <row r="13651">
      <c r="N13651" s="28"/>
      <c r="O13651" s="28"/>
      <c r="U13651" s="28"/>
    </row>
    <row r="13652">
      <c r="N13652" s="28"/>
      <c r="O13652" s="28"/>
      <c r="U13652" s="28"/>
    </row>
    <row r="13653">
      <c r="N13653" s="28"/>
      <c r="O13653" s="28"/>
      <c r="U13653" s="28"/>
    </row>
    <row r="13654">
      <c r="N13654" s="28"/>
      <c r="O13654" s="28"/>
      <c r="U13654" s="28"/>
    </row>
    <row r="13655">
      <c r="N13655" s="28"/>
      <c r="O13655" s="28"/>
      <c r="U13655" s="28"/>
    </row>
    <row r="13656">
      <c r="N13656" s="28"/>
      <c r="O13656" s="28"/>
      <c r="U13656" s="28"/>
    </row>
    <row r="13657">
      <c r="N13657" s="28"/>
      <c r="O13657" s="28"/>
      <c r="U13657" s="28"/>
    </row>
    <row r="13658">
      <c r="N13658" s="28"/>
      <c r="O13658" s="28"/>
      <c r="U13658" s="28"/>
    </row>
    <row r="13659">
      <c r="N13659" s="28"/>
      <c r="O13659" s="28"/>
      <c r="U13659" s="28"/>
    </row>
    <row r="13660">
      <c r="N13660" s="28"/>
      <c r="O13660" s="28"/>
      <c r="U13660" s="28"/>
    </row>
    <row r="13661">
      <c r="N13661" s="28"/>
      <c r="O13661" s="28"/>
      <c r="U13661" s="28"/>
    </row>
    <row r="13662">
      <c r="N13662" s="28"/>
      <c r="O13662" s="28"/>
      <c r="U13662" s="28"/>
    </row>
    <row r="13663">
      <c r="N13663" s="28"/>
      <c r="O13663" s="28"/>
      <c r="U13663" s="28"/>
    </row>
    <row r="13664">
      <c r="N13664" s="28"/>
      <c r="O13664" s="28"/>
      <c r="U13664" s="28"/>
    </row>
    <row r="13665">
      <c r="N13665" s="28"/>
      <c r="O13665" s="28"/>
      <c r="U13665" s="28"/>
    </row>
    <row r="13666">
      <c r="N13666" s="28"/>
      <c r="O13666" s="28"/>
      <c r="U13666" s="28"/>
    </row>
    <row r="13667">
      <c r="N13667" s="28"/>
      <c r="O13667" s="28"/>
      <c r="U13667" s="28"/>
    </row>
    <row r="13668">
      <c r="N13668" s="28"/>
      <c r="O13668" s="28"/>
      <c r="U13668" s="28"/>
    </row>
    <row r="13669">
      <c r="N13669" s="28"/>
      <c r="O13669" s="28"/>
      <c r="U13669" s="28"/>
    </row>
    <row r="13670">
      <c r="N13670" s="28"/>
      <c r="O13670" s="28"/>
      <c r="U13670" s="28"/>
    </row>
    <row r="13671">
      <c r="N13671" s="28"/>
      <c r="O13671" s="28"/>
      <c r="U13671" s="28"/>
    </row>
    <row r="13672">
      <c r="N13672" s="28"/>
      <c r="O13672" s="28"/>
      <c r="U13672" s="28"/>
    </row>
    <row r="13673">
      <c r="N13673" s="28"/>
      <c r="O13673" s="28"/>
      <c r="U13673" s="28"/>
    </row>
    <row r="13674">
      <c r="N13674" s="28"/>
      <c r="O13674" s="28"/>
      <c r="U13674" s="28"/>
    </row>
    <row r="13675">
      <c r="N13675" s="28"/>
      <c r="O13675" s="28"/>
      <c r="U13675" s="28"/>
    </row>
    <row r="13676">
      <c r="N13676" s="28"/>
      <c r="O13676" s="28"/>
      <c r="U13676" s="28"/>
    </row>
    <row r="13677">
      <c r="N13677" s="28"/>
      <c r="O13677" s="28"/>
      <c r="U13677" s="28"/>
    </row>
    <row r="13678">
      <c r="N13678" s="28"/>
      <c r="O13678" s="28"/>
      <c r="U13678" s="28"/>
    </row>
    <row r="13679">
      <c r="N13679" s="28"/>
      <c r="O13679" s="28"/>
      <c r="U13679" s="28"/>
    </row>
    <row r="13680">
      <c r="N13680" s="28"/>
      <c r="O13680" s="28"/>
      <c r="U13680" s="28"/>
    </row>
    <row r="13681">
      <c r="N13681" s="28"/>
      <c r="O13681" s="28"/>
      <c r="U13681" s="28"/>
    </row>
    <row r="13682">
      <c r="N13682" s="28"/>
      <c r="O13682" s="28"/>
      <c r="U13682" s="28"/>
    </row>
    <row r="13683">
      <c r="N13683" s="28"/>
      <c r="O13683" s="28"/>
      <c r="U13683" s="28"/>
    </row>
    <row r="13684">
      <c r="N13684" s="28"/>
      <c r="O13684" s="28"/>
      <c r="U13684" s="28"/>
    </row>
    <row r="13685">
      <c r="N13685" s="28"/>
      <c r="O13685" s="28"/>
      <c r="U13685" s="28"/>
    </row>
    <row r="13686">
      <c r="N13686" s="28"/>
      <c r="O13686" s="28"/>
      <c r="U13686" s="28"/>
    </row>
    <row r="13687">
      <c r="N13687" s="28"/>
      <c r="O13687" s="28"/>
      <c r="U13687" s="28"/>
    </row>
    <row r="13688">
      <c r="N13688" s="28"/>
      <c r="O13688" s="28"/>
      <c r="U13688" s="28"/>
    </row>
    <row r="13689">
      <c r="N13689" s="28"/>
      <c r="O13689" s="28"/>
      <c r="U13689" s="28"/>
    </row>
    <row r="13690">
      <c r="N13690" s="28"/>
      <c r="O13690" s="28"/>
      <c r="U13690" s="28"/>
    </row>
    <row r="13691">
      <c r="N13691" s="28"/>
      <c r="O13691" s="28"/>
      <c r="U13691" s="28"/>
    </row>
    <row r="13692">
      <c r="N13692" s="28"/>
      <c r="O13692" s="28"/>
      <c r="U13692" s="28"/>
    </row>
    <row r="13693">
      <c r="N13693" s="28"/>
      <c r="O13693" s="28"/>
      <c r="U13693" s="28"/>
    </row>
    <row r="13694">
      <c r="N13694" s="28"/>
      <c r="O13694" s="28"/>
      <c r="U13694" s="28"/>
    </row>
    <row r="13695">
      <c r="N13695" s="28"/>
      <c r="O13695" s="28"/>
      <c r="U13695" s="28"/>
    </row>
    <row r="13696">
      <c r="N13696" s="28"/>
      <c r="O13696" s="28"/>
      <c r="U13696" s="28"/>
    </row>
    <row r="13697">
      <c r="N13697" s="28"/>
      <c r="O13697" s="28"/>
      <c r="U13697" s="28"/>
    </row>
    <row r="13698">
      <c r="N13698" s="28"/>
      <c r="O13698" s="28"/>
      <c r="U13698" s="28"/>
    </row>
    <row r="13699">
      <c r="N13699" s="28"/>
      <c r="O13699" s="28"/>
      <c r="U13699" s="28"/>
    </row>
    <row r="13700">
      <c r="N13700" s="28"/>
      <c r="O13700" s="28"/>
      <c r="U13700" s="28"/>
    </row>
    <row r="13701">
      <c r="N13701" s="28"/>
      <c r="O13701" s="28"/>
      <c r="U13701" s="28"/>
    </row>
    <row r="13702">
      <c r="N13702" s="28"/>
      <c r="O13702" s="28"/>
      <c r="U13702" s="28"/>
    </row>
    <row r="13703">
      <c r="N13703" s="28"/>
      <c r="O13703" s="28"/>
      <c r="U13703" s="28"/>
    </row>
    <row r="13704">
      <c r="N13704" s="28"/>
      <c r="O13704" s="28"/>
      <c r="U13704" s="28"/>
    </row>
    <row r="13705">
      <c r="N13705" s="28"/>
      <c r="O13705" s="28"/>
      <c r="U13705" s="28"/>
    </row>
    <row r="13706">
      <c r="N13706" s="28"/>
      <c r="O13706" s="28"/>
      <c r="U13706" s="28"/>
    </row>
    <row r="13707">
      <c r="N13707" s="28"/>
      <c r="O13707" s="28"/>
      <c r="U13707" s="28"/>
    </row>
    <row r="13708">
      <c r="N13708" s="28"/>
      <c r="O13708" s="28"/>
      <c r="U13708" s="28"/>
    </row>
    <row r="13709">
      <c r="N13709" s="28"/>
      <c r="O13709" s="28"/>
      <c r="U13709" s="28"/>
    </row>
    <row r="13710">
      <c r="N13710" s="28"/>
      <c r="O13710" s="28"/>
      <c r="U13710" s="28"/>
    </row>
    <row r="13711">
      <c r="N13711" s="28"/>
      <c r="O13711" s="28"/>
      <c r="U13711" s="28"/>
    </row>
    <row r="13712">
      <c r="N13712" s="28"/>
      <c r="O13712" s="28"/>
      <c r="U13712" s="28"/>
    </row>
    <row r="13713">
      <c r="N13713" s="28"/>
      <c r="O13713" s="28"/>
      <c r="U13713" s="28"/>
    </row>
    <row r="13714">
      <c r="N13714" s="28"/>
      <c r="O13714" s="28"/>
      <c r="U13714" s="28"/>
    </row>
    <row r="13715">
      <c r="N13715" s="28"/>
      <c r="O13715" s="28"/>
      <c r="U13715" s="28"/>
    </row>
    <row r="13716">
      <c r="N13716" s="28"/>
      <c r="O13716" s="28"/>
      <c r="U13716" s="28"/>
    </row>
    <row r="13717">
      <c r="N13717" s="28"/>
      <c r="O13717" s="28"/>
      <c r="U13717" s="28"/>
    </row>
    <row r="13718">
      <c r="N13718" s="28"/>
      <c r="O13718" s="28"/>
      <c r="U13718" s="28"/>
    </row>
    <row r="13719">
      <c r="N13719" s="28"/>
      <c r="O13719" s="28"/>
      <c r="U13719" s="28"/>
    </row>
    <row r="13720">
      <c r="N13720" s="28"/>
      <c r="O13720" s="28"/>
      <c r="U13720" s="28"/>
    </row>
    <row r="13721">
      <c r="N13721" s="28"/>
      <c r="O13721" s="28"/>
      <c r="U13721" s="28"/>
    </row>
    <row r="13722">
      <c r="N13722" s="28"/>
      <c r="O13722" s="28"/>
      <c r="U13722" s="28"/>
    </row>
    <row r="13723">
      <c r="N13723" s="28"/>
      <c r="O13723" s="28"/>
      <c r="U13723" s="28"/>
    </row>
    <row r="13724">
      <c r="N13724" s="28"/>
      <c r="O13724" s="28"/>
      <c r="U13724" s="28"/>
    </row>
    <row r="13725">
      <c r="N13725" s="28"/>
      <c r="O13725" s="28"/>
      <c r="U13725" s="28"/>
    </row>
    <row r="13726">
      <c r="N13726" s="28"/>
      <c r="O13726" s="28"/>
      <c r="U13726" s="28"/>
    </row>
    <row r="13727">
      <c r="N13727" s="28"/>
      <c r="O13727" s="28"/>
      <c r="U13727" s="28"/>
    </row>
    <row r="13728">
      <c r="N13728" s="28"/>
      <c r="O13728" s="28"/>
      <c r="U13728" s="28"/>
    </row>
    <row r="13729">
      <c r="N13729" s="28"/>
      <c r="O13729" s="28"/>
      <c r="U13729" s="28"/>
    </row>
    <row r="13730">
      <c r="N13730" s="28"/>
      <c r="O13730" s="28"/>
      <c r="U13730" s="28"/>
    </row>
    <row r="13731">
      <c r="N13731" s="28"/>
      <c r="O13731" s="28"/>
      <c r="U13731" s="28"/>
    </row>
    <row r="13732">
      <c r="N13732" s="28"/>
      <c r="O13732" s="28"/>
      <c r="U13732" s="28"/>
    </row>
    <row r="13733">
      <c r="N13733" s="28"/>
      <c r="O13733" s="28"/>
      <c r="U13733" s="28"/>
    </row>
    <row r="13734">
      <c r="N13734" s="28"/>
      <c r="O13734" s="28"/>
      <c r="U13734" s="28"/>
    </row>
    <row r="13735">
      <c r="N13735" s="28"/>
      <c r="O13735" s="28"/>
      <c r="U13735" s="28"/>
    </row>
    <row r="13736">
      <c r="N13736" s="28"/>
      <c r="O13736" s="28"/>
      <c r="U13736" s="28"/>
    </row>
    <row r="13737">
      <c r="N13737" s="28"/>
      <c r="O13737" s="28"/>
      <c r="U13737" s="28"/>
    </row>
    <row r="13738">
      <c r="N13738" s="28"/>
      <c r="O13738" s="28"/>
      <c r="U13738" s="28"/>
    </row>
    <row r="13739">
      <c r="N13739" s="28"/>
      <c r="O13739" s="28"/>
      <c r="U13739" s="28"/>
    </row>
    <row r="13740">
      <c r="N13740" s="28"/>
      <c r="O13740" s="28"/>
      <c r="U13740" s="28"/>
    </row>
    <row r="13741">
      <c r="N13741" s="28"/>
      <c r="O13741" s="28"/>
      <c r="U13741" s="28"/>
    </row>
    <row r="13742">
      <c r="N13742" s="28"/>
      <c r="O13742" s="28"/>
      <c r="U13742" s="28"/>
    </row>
    <row r="13743">
      <c r="N13743" s="28"/>
      <c r="O13743" s="28"/>
      <c r="U13743" s="28"/>
    </row>
    <row r="13744">
      <c r="N13744" s="28"/>
      <c r="O13744" s="28"/>
      <c r="U13744" s="28"/>
    </row>
    <row r="13745">
      <c r="N13745" s="28"/>
      <c r="O13745" s="28"/>
      <c r="U13745" s="28"/>
    </row>
    <row r="13746">
      <c r="N13746" s="28"/>
      <c r="O13746" s="28"/>
      <c r="U13746" s="28"/>
    </row>
    <row r="13747">
      <c r="N13747" s="28"/>
      <c r="O13747" s="28"/>
      <c r="U13747" s="28"/>
    </row>
    <row r="13748">
      <c r="N13748" s="28"/>
      <c r="O13748" s="28"/>
      <c r="U13748" s="28"/>
    </row>
    <row r="13749">
      <c r="N13749" s="28"/>
      <c r="O13749" s="28"/>
      <c r="U13749" s="28"/>
    </row>
    <row r="13750">
      <c r="N13750" s="28"/>
      <c r="O13750" s="28"/>
      <c r="U13750" s="28"/>
    </row>
    <row r="13751">
      <c r="N13751" s="28"/>
      <c r="O13751" s="28"/>
      <c r="U13751" s="28"/>
    </row>
    <row r="13752">
      <c r="N13752" s="28"/>
      <c r="O13752" s="28"/>
      <c r="U13752" s="28"/>
    </row>
    <row r="13753">
      <c r="N13753" s="28"/>
      <c r="O13753" s="28"/>
      <c r="U13753" s="28"/>
    </row>
    <row r="13754">
      <c r="N13754" s="28"/>
      <c r="O13754" s="28"/>
      <c r="U13754" s="28"/>
    </row>
    <row r="13755">
      <c r="N13755" s="28"/>
      <c r="O13755" s="28"/>
      <c r="U13755" s="28"/>
    </row>
    <row r="13756">
      <c r="N13756" s="28"/>
      <c r="O13756" s="28"/>
      <c r="U13756" s="28"/>
    </row>
    <row r="13757">
      <c r="N13757" s="28"/>
      <c r="O13757" s="28"/>
      <c r="U13757" s="28"/>
    </row>
    <row r="13758">
      <c r="N13758" s="28"/>
      <c r="O13758" s="28"/>
      <c r="U13758" s="28"/>
    </row>
    <row r="13759">
      <c r="N13759" s="28"/>
      <c r="O13759" s="28"/>
      <c r="U13759" s="28"/>
    </row>
    <row r="13760">
      <c r="N13760" s="28"/>
      <c r="O13760" s="28"/>
      <c r="U13760" s="28"/>
    </row>
    <row r="13761">
      <c r="N13761" s="28"/>
      <c r="O13761" s="28"/>
      <c r="U13761" s="28"/>
    </row>
    <row r="13762">
      <c r="N13762" s="28"/>
      <c r="O13762" s="28"/>
      <c r="U13762" s="28"/>
    </row>
    <row r="13763">
      <c r="N13763" s="28"/>
      <c r="O13763" s="28"/>
      <c r="U13763" s="28"/>
    </row>
    <row r="13764">
      <c r="N13764" s="28"/>
      <c r="O13764" s="28"/>
      <c r="U13764" s="28"/>
    </row>
    <row r="13765">
      <c r="N13765" s="28"/>
      <c r="O13765" s="28"/>
      <c r="U13765" s="28"/>
    </row>
    <row r="13766">
      <c r="N13766" s="28"/>
      <c r="O13766" s="28"/>
      <c r="U13766" s="28"/>
    </row>
    <row r="13767">
      <c r="N13767" s="28"/>
      <c r="O13767" s="28"/>
      <c r="U13767" s="28"/>
    </row>
    <row r="13768">
      <c r="N13768" s="28"/>
      <c r="O13768" s="28"/>
      <c r="U13768" s="28"/>
    </row>
    <row r="13769">
      <c r="N13769" s="28"/>
      <c r="O13769" s="28"/>
      <c r="U13769" s="28"/>
    </row>
    <row r="13770">
      <c r="N13770" s="28"/>
      <c r="O13770" s="28"/>
      <c r="U13770" s="28"/>
    </row>
    <row r="13771">
      <c r="N13771" s="28"/>
      <c r="O13771" s="28"/>
      <c r="U13771" s="28"/>
    </row>
    <row r="13772">
      <c r="N13772" s="28"/>
      <c r="O13772" s="28"/>
      <c r="U13772" s="28"/>
    </row>
    <row r="13773">
      <c r="N13773" s="28"/>
      <c r="O13773" s="28"/>
      <c r="U13773" s="28"/>
    </row>
    <row r="13774">
      <c r="N13774" s="28"/>
      <c r="O13774" s="28"/>
      <c r="U13774" s="28"/>
    </row>
    <row r="13775">
      <c r="N13775" s="28"/>
      <c r="O13775" s="28"/>
      <c r="U13775" s="28"/>
    </row>
    <row r="13776">
      <c r="N13776" s="28"/>
      <c r="O13776" s="28"/>
      <c r="U13776" s="28"/>
    </row>
    <row r="13777">
      <c r="N13777" s="28"/>
      <c r="O13777" s="28"/>
      <c r="U13777" s="28"/>
    </row>
    <row r="13778">
      <c r="N13778" s="28"/>
      <c r="O13778" s="28"/>
      <c r="U13778" s="28"/>
    </row>
    <row r="13779">
      <c r="N13779" s="28"/>
      <c r="O13779" s="28"/>
      <c r="U13779" s="28"/>
    </row>
    <row r="13780">
      <c r="N13780" s="28"/>
      <c r="O13780" s="28"/>
      <c r="U13780" s="28"/>
    </row>
    <row r="13781">
      <c r="N13781" s="28"/>
      <c r="O13781" s="28"/>
      <c r="U13781" s="28"/>
    </row>
    <row r="13782">
      <c r="N13782" s="28"/>
      <c r="O13782" s="28"/>
      <c r="U13782" s="28"/>
    </row>
    <row r="13783">
      <c r="N13783" s="28"/>
      <c r="O13783" s="28"/>
      <c r="U13783" s="28"/>
    </row>
    <row r="13784">
      <c r="N13784" s="28"/>
      <c r="O13784" s="28"/>
      <c r="U13784" s="28"/>
    </row>
    <row r="13785">
      <c r="N13785" s="28"/>
      <c r="O13785" s="28"/>
      <c r="U13785" s="28"/>
    </row>
    <row r="13786">
      <c r="N13786" s="28"/>
      <c r="O13786" s="28"/>
      <c r="U13786" s="28"/>
    </row>
    <row r="13787">
      <c r="N13787" s="28"/>
      <c r="O13787" s="28"/>
      <c r="U13787" s="28"/>
    </row>
    <row r="13788">
      <c r="N13788" s="28"/>
      <c r="O13788" s="28"/>
      <c r="U13788" s="28"/>
    </row>
    <row r="13789">
      <c r="N13789" s="28"/>
      <c r="O13789" s="28"/>
      <c r="U13789" s="28"/>
    </row>
    <row r="13790">
      <c r="N13790" s="28"/>
      <c r="O13790" s="28"/>
      <c r="U13790" s="28"/>
    </row>
    <row r="13791">
      <c r="N13791" s="28"/>
      <c r="O13791" s="28"/>
      <c r="U13791" s="28"/>
    </row>
    <row r="13792">
      <c r="N13792" s="28"/>
      <c r="O13792" s="28"/>
      <c r="U13792" s="28"/>
    </row>
    <row r="13793">
      <c r="N13793" s="28"/>
      <c r="O13793" s="28"/>
      <c r="U13793" s="28"/>
    </row>
    <row r="13794">
      <c r="N13794" s="28"/>
      <c r="O13794" s="28"/>
      <c r="U13794" s="28"/>
    </row>
    <row r="13795">
      <c r="N13795" s="28"/>
      <c r="O13795" s="28"/>
      <c r="U13795" s="28"/>
    </row>
    <row r="13796">
      <c r="N13796" s="28"/>
      <c r="O13796" s="28"/>
      <c r="U13796" s="28"/>
    </row>
    <row r="13797">
      <c r="N13797" s="28"/>
      <c r="O13797" s="28"/>
      <c r="U13797" s="28"/>
    </row>
    <row r="13798">
      <c r="N13798" s="28"/>
      <c r="O13798" s="28"/>
      <c r="U13798" s="28"/>
    </row>
    <row r="13799">
      <c r="N13799" s="28"/>
      <c r="O13799" s="28"/>
      <c r="U13799" s="28"/>
    </row>
    <row r="13800">
      <c r="N13800" s="28"/>
      <c r="O13800" s="28"/>
      <c r="U13800" s="28"/>
    </row>
    <row r="13801">
      <c r="N13801" s="28"/>
      <c r="O13801" s="28"/>
      <c r="U13801" s="28"/>
    </row>
    <row r="13802">
      <c r="N13802" s="28"/>
      <c r="O13802" s="28"/>
      <c r="U13802" s="28"/>
    </row>
    <row r="13803">
      <c r="N13803" s="28"/>
      <c r="O13803" s="28"/>
      <c r="U13803" s="28"/>
    </row>
    <row r="13804">
      <c r="N13804" s="28"/>
      <c r="O13804" s="28"/>
      <c r="U13804" s="28"/>
    </row>
    <row r="13805">
      <c r="N13805" s="28"/>
      <c r="O13805" s="28"/>
      <c r="U13805" s="28"/>
    </row>
    <row r="13806">
      <c r="N13806" s="28"/>
      <c r="O13806" s="28"/>
      <c r="U13806" s="28"/>
    </row>
    <row r="13807">
      <c r="N13807" s="28"/>
      <c r="O13807" s="28"/>
      <c r="U13807" s="28"/>
    </row>
    <row r="13808">
      <c r="N13808" s="28"/>
      <c r="O13808" s="28"/>
      <c r="U13808" s="28"/>
    </row>
    <row r="13809">
      <c r="N13809" s="28"/>
      <c r="O13809" s="28"/>
      <c r="U13809" s="28"/>
    </row>
    <row r="13810">
      <c r="N13810" s="28"/>
      <c r="O13810" s="28"/>
      <c r="U13810" s="28"/>
    </row>
    <row r="13811">
      <c r="N13811" s="28"/>
      <c r="O13811" s="28"/>
      <c r="U13811" s="28"/>
    </row>
    <row r="13812">
      <c r="N13812" s="28"/>
      <c r="O13812" s="28"/>
      <c r="U13812" s="28"/>
    </row>
    <row r="13813">
      <c r="N13813" s="28"/>
      <c r="O13813" s="28"/>
      <c r="U13813" s="28"/>
    </row>
    <row r="13814">
      <c r="N13814" s="28"/>
      <c r="O13814" s="28"/>
      <c r="U13814" s="28"/>
    </row>
    <row r="13815">
      <c r="N13815" s="28"/>
      <c r="O13815" s="28"/>
      <c r="U13815" s="28"/>
    </row>
    <row r="13816">
      <c r="N13816" s="28"/>
      <c r="O13816" s="28"/>
      <c r="U13816" s="28"/>
    </row>
    <row r="13817">
      <c r="N13817" s="28"/>
      <c r="O13817" s="28"/>
      <c r="U13817" s="28"/>
    </row>
    <row r="13818">
      <c r="N13818" s="28"/>
      <c r="O13818" s="28"/>
      <c r="U13818" s="28"/>
    </row>
    <row r="13819">
      <c r="N13819" s="28"/>
      <c r="O13819" s="28"/>
      <c r="U13819" s="28"/>
    </row>
    <row r="13820">
      <c r="N13820" s="28"/>
      <c r="O13820" s="28"/>
      <c r="U13820" s="28"/>
    </row>
    <row r="13821">
      <c r="N13821" s="28"/>
      <c r="O13821" s="28"/>
      <c r="U13821" s="28"/>
    </row>
    <row r="13822">
      <c r="N13822" s="28"/>
      <c r="O13822" s="28"/>
      <c r="U13822" s="28"/>
    </row>
    <row r="13823">
      <c r="N13823" s="28"/>
      <c r="O13823" s="28"/>
      <c r="U13823" s="28"/>
    </row>
    <row r="13824">
      <c r="N13824" s="28"/>
      <c r="O13824" s="28"/>
      <c r="U13824" s="28"/>
    </row>
    <row r="13825">
      <c r="N13825" s="28"/>
      <c r="O13825" s="28"/>
      <c r="U13825" s="28"/>
    </row>
    <row r="13826">
      <c r="N13826" s="28"/>
      <c r="O13826" s="28"/>
      <c r="U13826" s="28"/>
    </row>
    <row r="13827">
      <c r="N13827" s="28"/>
      <c r="O13827" s="28"/>
      <c r="U13827" s="28"/>
    </row>
    <row r="13828">
      <c r="N13828" s="28"/>
      <c r="O13828" s="28"/>
      <c r="U13828" s="28"/>
    </row>
    <row r="13829">
      <c r="N13829" s="28"/>
      <c r="O13829" s="28"/>
      <c r="U13829" s="28"/>
    </row>
    <row r="13830">
      <c r="N13830" s="28"/>
      <c r="O13830" s="28"/>
      <c r="U13830" s="28"/>
    </row>
    <row r="13831">
      <c r="N13831" s="28"/>
      <c r="O13831" s="28"/>
      <c r="U13831" s="28"/>
    </row>
    <row r="13832">
      <c r="N13832" s="28"/>
      <c r="O13832" s="28"/>
      <c r="U13832" s="28"/>
    </row>
    <row r="13833">
      <c r="N13833" s="28"/>
      <c r="O13833" s="28"/>
      <c r="U13833" s="28"/>
    </row>
    <row r="13834">
      <c r="N13834" s="28"/>
      <c r="O13834" s="28"/>
      <c r="U13834" s="28"/>
    </row>
    <row r="13835">
      <c r="N13835" s="28"/>
      <c r="O13835" s="28"/>
      <c r="U13835" s="28"/>
    </row>
    <row r="13836">
      <c r="N13836" s="28"/>
      <c r="O13836" s="28"/>
      <c r="U13836" s="28"/>
    </row>
    <row r="13837">
      <c r="N13837" s="28"/>
      <c r="O13837" s="28"/>
      <c r="U13837" s="28"/>
    </row>
    <row r="13838">
      <c r="N13838" s="28"/>
      <c r="O13838" s="28"/>
      <c r="U13838" s="28"/>
    </row>
    <row r="13839">
      <c r="N13839" s="28"/>
      <c r="O13839" s="28"/>
      <c r="U13839" s="28"/>
    </row>
    <row r="13840">
      <c r="N13840" s="28"/>
      <c r="O13840" s="28"/>
      <c r="U13840" s="28"/>
    </row>
    <row r="13841">
      <c r="N13841" s="28"/>
      <c r="O13841" s="28"/>
      <c r="U13841" s="28"/>
    </row>
    <row r="13842">
      <c r="N13842" s="28"/>
      <c r="O13842" s="28"/>
      <c r="U13842" s="28"/>
    </row>
    <row r="13843">
      <c r="N13843" s="28"/>
      <c r="O13843" s="28"/>
      <c r="U13843" s="28"/>
    </row>
    <row r="13844">
      <c r="N13844" s="28"/>
      <c r="O13844" s="28"/>
      <c r="U13844" s="28"/>
    </row>
    <row r="13845">
      <c r="N13845" s="28"/>
      <c r="O13845" s="28"/>
      <c r="U13845" s="28"/>
    </row>
    <row r="13846">
      <c r="N13846" s="28"/>
      <c r="O13846" s="28"/>
      <c r="U13846" s="28"/>
    </row>
    <row r="13847">
      <c r="N13847" s="28"/>
      <c r="O13847" s="28"/>
      <c r="U13847" s="28"/>
    </row>
    <row r="13848">
      <c r="N13848" s="28"/>
      <c r="O13848" s="28"/>
      <c r="U13848" s="28"/>
    </row>
    <row r="13849">
      <c r="N13849" s="28"/>
      <c r="O13849" s="28"/>
      <c r="U13849" s="28"/>
    </row>
    <row r="13850">
      <c r="N13850" s="28"/>
      <c r="O13850" s="28"/>
      <c r="U13850" s="28"/>
    </row>
    <row r="13851">
      <c r="N13851" s="28"/>
      <c r="O13851" s="28"/>
      <c r="U13851" s="28"/>
    </row>
    <row r="13852">
      <c r="N13852" s="28"/>
      <c r="O13852" s="28"/>
      <c r="U13852" s="28"/>
    </row>
    <row r="13853">
      <c r="N13853" s="28"/>
      <c r="O13853" s="28"/>
      <c r="U13853" s="28"/>
    </row>
    <row r="13854">
      <c r="N13854" s="28"/>
      <c r="O13854" s="28"/>
      <c r="U13854" s="28"/>
    </row>
    <row r="13855">
      <c r="N13855" s="28"/>
      <c r="O13855" s="28"/>
      <c r="U13855" s="28"/>
    </row>
    <row r="13856">
      <c r="N13856" s="28"/>
      <c r="O13856" s="28"/>
      <c r="U13856" s="28"/>
    </row>
    <row r="13857">
      <c r="N13857" s="28"/>
      <c r="O13857" s="28"/>
      <c r="U13857" s="28"/>
    </row>
    <row r="13858">
      <c r="N13858" s="28"/>
      <c r="O13858" s="28"/>
      <c r="U13858" s="28"/>
    </row>
    <row r="13859">
      <c r="N13859" s="28"/>
      <c r="O13859" s="28"/>
      <c r="U13859" s="28"/>
    </row>
    <row r="13860">
      <c r="N13860" s="28"/>
      <c r="O13860" s="28"/>
      <c r="U13860" s="28"/>
    </row>
    <row r="13861">
      <c r="N13861" s="28"/>
      <c r="O13861" s="28"/>
      <c r="U13861" s="28"/>
    </row>
    <row r="13862">
      <c r="N13862" s="28"/>
      <c r="O13862" s="28"/>
      <c r="U13862" s="28"/>
    </row>
    <row r="13863">
      <c r="N13863" s="28"/>
      <c r="O13863" s="28"/>
      <c r="U13863" s="28"/>
    </row>
    <row r="13864">
      <c r="N13864" s="28"/>
      <c r="O13864" s="28"/>
      <c r="U13864" s="28"/>
    </row>
    <row r="13865">
      <c r="N13865" s="28"/>
      <c r="O13865" s="28"/>
      <c r="U13865" s="28"/>
    </row>
    <row r="13866">
      <c r="N13866" s="28"/>
      <c r="O13866" s="28"/>
      <c r="U13866" s="28"/>
    </row>
    <row r="13867">
      <c r="N13867" s="28"/>
      <c r="O13867" s="28"/>
      <c r="U13867" s="28"/>
    </row>
    <row r="13868">
      <c r="N13868" s="28"/>
      <c r="O13868" s="28"/>
      <c r="U13868" s="28"/>
    </row>
    <row r="13869">
      <c r="N13869" s="28"/>
      <c r="O13869" s="28"/>
      <c r="U13869" s="28"/>
    </row>
    <row r="13870">
      <c r="N13870" s="28"/>
      <c r="O13870" s="28"/>
      <c r="U13870" s="28"/>
    </row>
    <row r="13871">
      <c r="N13871" s="28"/>
      <c r="O13871" s="28"/>
      <c r="U13871" s="28"/>
    </row>
    <row r="13872">
      <c r="N13872" s="28"/>
      <c r="O13872" s="28"/>
      <c r="U13872" s="28"/>
    </row>
    <row r="13873">
      <c r="N13873" s="28"/>
      <c r="O13873" s="28"/>
      <c r="U13873" s="28"/>
    </row>
    <row r="13874">
      <c r="N13874" s="28"/>
      <c r="O13874" s="28"/>
      <c r="U13874" s="28"/>
    </row>
    <row r="13875">
      <c r="N13875" s="28"/>
      <c r="O13875" s="28"/>
      <c r="U13875" s="28"/>
    </row>
    <row r="13876">
      <c r="N13876" s="28"/>
      <c r="O13876" s="28"/>
      <c r="U13876" s="28"/>
    </row>
    <row r="13877">
      <c r="N13877" s="28"/>
      <c r="O13877" s="28"/>
      <c r="U13877" s="28"/>
    </row>
    <row r="13878">
      <c r="N13878" s="28"/>
      <c r="O13878" s="28"/>
      <c r="U13878" s="28"/>
    </row>
    <row r="13879">
      <c r="N13879" s="28"/>
      <c r="O13879" s="28"/>
      <c r="U13879" s="28"/>
    </row>
    <row r="13880">
      <c r="N13880" s="28"/>
      <c r="O13880" s="28"/>
      <c r="U13880" s="28"/>
    </row>
    <row r="13881">
      <c r="N13881" s="28"/>
      <c r="O13881" s="28"/>
      <c r="U13881" s="28"/>
    </row>
    <row r="13882">
      <c r="N13882" s="28"/>
      <c r="O13882" s="28"/>
      <c r="U13882" s="28"/>
    </row>
    <row r="13883">
      <c r="N13883" s="28"/>
      <c r="O13883" s="28"/>
      <c r="U13883" s="28"/>
    </row>
    <row r="13884">
      <c r="N13884" s="28"/>
      <c r="O13884" s="28"/>
      <c r="U13884" s="28"/>
    </row>
    <row r="13885">
      <c r="N13885" s="28"/>
      <c r="O13885" s="28"/>
      <c r="U13885" s="28"/>
    </row>
    <row r="13886">
      <c r="N13886" s="28"/>
      <c r="O13886" s="28"/>
      <c r="U13886" s="28"/>
    </row>
    <row r="13887">
      <c r="N13887" s="28"/>
      <c r="O13887" s="28"/>
      <c r="U13887" s="28"/>
    </row>
    <row r="13888">
      <c r="N13888" s="28"/>
      <c r="O13888" s="28"/>
      <c r="U13888" s="28"/>
    </row>
    <row r="13889">
      <c r="N13889" s="28"/>
      <c r="O13889" s="28"/>
      <c r="U13889" s="28"/>
    </row>
    <row r="13890">
      <c r="N13890" s="28"/>
      <c r="O13890" s="28"/>
      <c r="U13890" s="28"/>
    </row>
    <row r="13891">
      <c r="N13891" s="28"/>
      <c r="O13891" s="28"/>
      <c r="U13891" s="28"/>
    </row>
    <row r="13892">
      <c r="N13892" s="28"/>
      <c r="O13892" s="28"/>
      <c r="U13892" s="28"/>
    </row>
    <row r="13893">
      <c r="N13893" s="28"/>
      <c r="O13893" s="28"/>
      <c r="U13893" s="28"/>
    </row>
    <row r="13894">
      <c r="N13894" s="28"/>
      <c r="O13894" s="28"/>
      <c r="U13894" s="28"/>
    </row>
    <row r="13895">
      <c r="N13895" s="28"/>
      <c r="O13895" s="28"/>
      <c r="U13895" s="28"/>
    </row>
    <row r="13896">
      <c r="N13896" s="28"/>
      <c r="O13896" s="28"/>
      <c r="U13896" s="28"/>
    </row>
    <row r="13897">
      <c r="N13897" s="28"/>
      <c r="O13897" s="28"/>
      <c r="U13897" s="28"/>
    </row>
    <row r="13898">
      <c r="N13898" s="28"/>
      <c r="O13898" s="28"/>
      <c r="U13898" s="28"/>
    </row>
    <row r="13899">
      <c r="N13899" s="28"/>
      <c r="O13899" s="28"/>
      <c r="U13899" s="28"/>
    </row>
    <row r="13900">
      <c r="N13900" s="28"/>
      <c r="O13900" s="28"/>
      <c r="U13900" s="28"/>
    </row>
    <row r="13901">
      <c r="N13901" s="28"/>
      <c r="O13901" s="28"/>
      <c r="U13901" s="28"/>
    </row>
    <row r="13902">
      <c r="N13902" s="28"/>
      <c r="O13902" s="28"/>
      <c r="U13902" s="28"/>
    </row>
    <row r="13903">
      <c r="N13903" s="28"/>
      <c r="O13903" s="28"/>
      <c r="U13903" s="28"/>
    </row>
    <row r="13904">
      <c r="N13904" s="28"/>
      <c r="O13904" s="28"/>
      <c r="U13904" s="28"/>
    </row>
    <row r="13905">
      <c r="N13905" s="28"/>
      <c r="O13905" s="28"/>
      <c r="U13905" s="28"/>
    </row>
    <row r="13906">
      <c r="N13906" s="28"/>
      <c r="O13906" s="28"/>
      <c r="U13906" s="28"/>
    </row>
    <row r="13907">
      <c r="N13907" s="28"/>
      <c r="O13907" s="28"/>
      <c r="U13907" s="28"/>
    </row>
    <row r="13908">
      <c r="N13908" s="28"/>
      <c r="O13908" s="28"/>
      <c r="U13908" s="28"/>
    </row>
    <row r="13909">
      <c r="N13909" s="28"/>
      <c r="O13909" s="28"/>
      <c r="U13909" s="28"/>
    </row>
    <row r="13910">
      <c r="N13910" s="28"/>
      <c r="O13910" s="28"/>
      <c r="U13910" s="28"/>
    </row>
    <row r="13911">
      <c r="N13911" s="28"/>
      <c r="O13911" s="28"/>
      <c r="U13911" s="28"/>
    </row>
    <row r="13912">
      <c r="N13912" s="28"/>
      <c r="O13912" s="28"/>
      <c r="U13912" s="28"/>
    </row>
    <row r="13913">
      <c r="N13913" s="28"/>
      <c r="O13913" s="28"/>
      <c r="U13913" s="28"/>
    </row>
    <row r="13914">
      <c r="N13914" s="28"/>
      <c r="O13914" s="28"/>
      <c r="U13914" s="28"/>
    </row>
    <row r="13915">
      <c r="N13915" s="28"/>
      <c r="O13915" s="28"/>
      <c r="U13915" s="28"/>
    </row>
    <row r="13916">
      <c r="N13916" s="28"/>
      <c r="O13916" s="28"/>
      <c r="U13916" s="28"/>
    </row>
    <row r="13917">
      <c r="N13917" s="28"/>
      <c r="O13917" s="28"/>
      <c r="U13917" s="28"/>
    </row>
    <row r="13918">
      <c r="N13918" s="28"/>
      <c r="O13918" s="28"/>
      <c r="U13918" s="28"/>
    </row>
    <row r="13919">
      <c r="N13919" s="28"/>
      <c r="O13919" s="28"/>
      <c r="U13919" s="28"/>
    </row>
    <row r="13920">
      <c r="N13920" s="28"/>
      <c r="O13920" s="28"/>
      <c r="U13920" s="28"/>
    </row>
    <row r="13921">
      <c r="N13921" s="28"/>
      <c r="O13921" s="28"/>
      <c r="U13921" s="28"/>
    </row>
    <row r="13922">
      <c r="N13922" s="28"/>
      <c r="O13922" s="28"/>
      <c r="U13922" s="28"/>
    </row>
    <row r="13923">
      <c r="N13923" s="28"/>
      <c r="O13923" s="28"/>
      <c r="U13923" s="28"/>
    </row>
    <row r="13924">
      <c r="N13924" s="28"/>
      <c r="O13924" s="28"/>
      <c r="U13924" s="28"/>
    </row>
    <row r="13925">
      <c r="N13925" s="28"/>
      <c r="O13925" s="28"/>
      <c r="U13925" s="28"/>
    </row>
    <row r="13926">
      <c r="N13926" s="28"/>
      <c r="O13926" s="28"/>
      <c r="U13926" s="28"/>
    </row>
    <row r="13927">
      <c r="N13927" s="28"/>
      <c r="O13927" s="28"/>
      <c r="U13927" s="28"/>
    </row>
    <row r="13928">
      <c r="N13928" s="28"/>
      <c r="O13928" s="28"/>
      <c r="U13928" s="28"/>
    </row>
    <row r="13929">
      <c r="N13929" s="28"/>
      <c r="O13929" s="28"/>
      <c r="U13929" s="28"/>
    </row>
    <row r="13930">
      <c r="N13930" s="28"/>
      <c r="O13930" s="28"/>
      <c r="U13930" s="28"/>
    </row>
    <row r="13931">
      <c r="N13931" s="28"/>
      <c r="O13931" s="28"/>
      <c r="U13931" s="28"/>
    </row>
    <row r="13932">
      <c r="N13932" s="28"/>
      <c r="O13932" s="28"/>
      <c r="U13932" s="28"/>
    </row>
    <row r="13933">
      <c r="N13933" s="28"/>
      <c r="O13933" s="28"/>
      <c r="U13933" s="28"/>
    </row>
    <row r="13934">
      <c r="N13934" s="28"/>
      <c r="O13934" s="28"/>
      <c r="U13934" s="28"/>
    </row>
    <row r="13935">
      <c r="N13935" s="28"/>
      <c r="O13935" s="28"/>
      <c r="U13935" s="28"/>
    </row>
    <row r="13936">
      <c r="N13936" s="28"/>
      <c r="O13936" s="28"/>
      <c r="U13936" s="28"/>
    </row>
    <row r="13937">
      <c r="N13937" s="28"/>
      <c r="O13937" s="28"/>
      <c r="U13937" s="28"/>
    </row>
    <row r="13938">
      <c r="N13938" s="28"/>
      <c r="O13938" s="28"/>
      <c r="U13938" s="28"/>
    </row>
    <row r="13939">
      <c r="N13939" s="28"/>
      <c r="O13939" s="28"/>
      <c r="U13939" s="28"/>
    </row>
    <row r="13940">
      <c r="N13940" s="28"/>
      <c r="O13940" s="28"/>
      <c r="U13940" s="28"/>
    </row>
    <row r="13941">
      <c r="N13941" s="28"/>
      <c r="O13941" s="28"/>
      <c r="U13941" s="28"/>
    </row>
    <row r="13942">
      <c r="N13942" s="28"/>
      <c r="O13942" s="28"/>
      <c r="U13942" s="28"/>
    </row>
    <row r="13943">
      <c r="N13943" s="28"/>
      <c r="O13943" s="28"/>
      <c r="U13943" s="28"/>
    </row>
    <row r="13944">
      <c r="N13944" s="28"/>
      <c r="O13944" s="28"/>
      <c r="U13944" s="28"/>
    </row>
    <row r="13945">
      <c r="N13945" s="28"/>
      <c r="O13945" s="28"/>
      <c r="U13945" s="28"/>
    </row>
    <row r="13946">
      <c r="N13946" s="28"/>
      <c r="O13946" s="28"/>
      <c r="U13946" s="28"/>
    </row>
    <row r="13947">
      <c r="N13947" s="28"/>
      <c r="O13947" s="28"/>
      <c r="U13947" s="28"/>
    </row>
    <row r="13948">
      <c r="N13948" s="28"/>
      <c r="O13948" s="28"/>
      <c r="U13948" s="28"/>
    </row>
    <row r="13949">
      <c r="N13949" s="28"/>
      <c r="O13949" s="28"/>
      <c r="U13949" s="28"/>
    </row>
    <row r="13950">
      <c r="N13950" s="28"/>
      <c r="O13950" s="28"/>
      <c r="U13950" s="28"/>
    </row>
    <row r="13951">
      <c r="N13951" s="28"/>
      <c r="O13951" s="28"/>
      <c r="U13951" s="28"/>
    </row>
    <row r="13952">
      <c r="N13952" s="28"/>
      <c r="O13952" s="28"/>
      <c r="U13952" s="28"/>
    </row>
    <row r="13953">
      <c r="N13953" s="28"/>
      <c r="O13953" s="28"/>
      <c r="U13953" s="28"/>
    </row>
    <row r="13954">
      <c r="N13954" s="28"/>
      <c r="O13954" s="28"/>
      <c r="U13954" s="28"/>
    </row>
    <row r="13955">
      <c r="N13955" s="28"/>
      <c r="O13955" s="28"/>
      <c r="U13955" s="28"/>
    </row>
    <row r="13956">
      <c r="N13956" s="28"/>
      <c r="O13956" s="28"/>
      <c r="U13956" s="28"/>
    </row>
    <row r="13957">
      <c r="N13957" s="28"/>
      <c r="O13957" s="28"/>
      <c r="U13957" s="28"/>
    </row>
    <row r="13958">
      <c r="N13958" s="28"/>
      <c r="O13958" s="28"/>
      <c r="U13958" s="28"/>
    </row>
    <row r="13959">
      <c r="N13959" s="28"/>
      <c r="O13959" s="28"/>
      <c r="U13959" s="28"/>
    </row>
    <row r="13960">
      <c r="N13960" s="28"/>
      <c r="O13960" s="28"/>
      <c r="U13960" s="28"/>
    </row>
    <row r="13961">
      <c r="N13961" s="28"/>
      <c r="O13961" s="28"/>
      <c r="U13961" s="28"/>
    </row>
    <row r="13962">
      <c r="N13962" s="28"/>
      <c r="O13962" s="28"/>
      <c r="U13962" s="28"/>
    </row>
    <row r="13963">
      <c r="N13963" s="28"/>
      <c r="O13963" s="28"/>
      <c r="U13963" s="28"/>
    </row>
    <row r="13964">
      <c r="N13964" s="28"/>
      <c r="O13964" s="28"/>
      <c r="U13964" s="28"/>
    </row>
    <row r="13965">
      <c r="N13965" s="28"/>
      <c r="O13965" s="28"/>
      <c r="U13965" s="28"/>
    </row>
    <row r="13966">
      <c r="N13966" s="28"/>
      <c r="O13966" s="28"/>
      <c r="U13966" s="28"/>
    </row>
    <row r="13967">
      <c r="N13967" s="28"/>
      <c r="O13967" s="28"/>
      <c r="U13967" s="28"/>
    </row>
    <row r="13968">
      <c r="N13968" s="28"/>
      <c r="O13968" s="28"/>
      <c r="U13968" s="28"/>
    </row>
    <row r="13969">
      <c r="N13969" s="28"/>
      <c r="O13969" s="28"/>
      <c r="U13969" s="28"/>
    </row>
    <row r="13970">
      <c r="N13970" s="28"/>
      <c r="O13970" s="28"/>
      <c r="U13970" s="28"/>
    </row>
    <row r="13971">
      <c r="N13971" s="28"/>
      <c r="O13971" s="28"/>
      <c r="U13971" s="28"/>
    </row>
    <row r="13972">
      <c r="N13972" s="28"/>
      <c r="O13972" s="28"/>
      <c r="U13972" s="28"/>
    </row>
    <row r="13973">
      <c r="N13973" s="28"/>
      <c r="O13973" s="28"/>
      <c r="U13973" s="28"/>
    </row>
    <row r="13974">
      <c r="N13974" s="28"/>
      <c r="O13974" s="28"/>
      <c r="U13974" s="28"/>
    </row>
    <row r="13975">
      <c r="N13975" s="28"/>
      <c r="O13975" s="28"/>
      <c r="U13975" s="28"/>
    </row>
    <row r="13976">
      <c r="N13976" s="28"/>
      <c r="O13976" s="28"/>
      <c r="U13976" s="28"/>
    </row>
    <row r="13977">
      <c r="N13977" s="28"/>
      <c r="O13977" s="28"/>
      <c r="U13977" s="28"/>
    </row>
    <row r="13978">
      <c r="N13978" s="28"/>
      <c r="O13978" s="28"/>
      <c r="U13978" s="28"/>
    </row>
    <row r="13979">
      <c r="N13979" s="28"/>
      <c r="O13979" s="28"/>
      <c r="U13979" s="28"/>
    </row>
    <row r="13980">
      <c r="N13980" s="28"/>
      <c r="O13980" s="28"/>
      <c r="U13980" s="28"/>
    </row>
    <row r="13981">
      <c r="N13981" s="28"/>
      <c r="O13981" s="28"/>
      <c r="U13981" s="28"/>
    </row>
    <row r="13982">
      <c r="N13982" s="28"/>
      <c r="O13982" s="28"/>
      <c r="U13982" s="28"/>
    </row>
    <row r="13983">
      <c r="N13983" s="28"/>
      <c r="O13983" s="28"/>
      <c r="U13983" s="28"/>
    </row>
    <row r="13984">
      <c r="N13984" s="28"/>
      <c r="O13984" s="28"/>
      <c r="U13984" s="28"/>
    </row>
    <row r="13985">
      <c r="N13985" s="28"/>
      <c r="O13985" s="28"/>
      <c r="U13985" s="28"/>
    </row>
    <row r="13986">
      <c r="N13986" s="28"/>
      <c r="O13986" s="28"/>
      <c r="U13986" s="28"/>
    </row>
    <row r="13987">
      <c r="N13987" s="28"/>
      <c r="O13987" s="28"/>
      <c r="U13987" s="28"/>
    </row>
    <row r="13988">
      <c r="N13988" s="28"/>
      <c r="O13988" s="28"/>
      <c r="U13988" s="28"/>
    </row>
    <row r="13989">
      <c r="N13989" s="28"/>
      <c r="O13989" s="28"/>
      <c r="U13989" s="28"/>
    </row>
    <row r="13990">
      <c r="N13990" s="28"/>
      <c r="O13990" s="28"/>
      <c r="U13990" s="28"/>
    </row>
    <row r="13991">
      <c r="N13991" s="28"/>
      <c r="O13991" s="28"/>
      <c r="U13991" s="28"/>
    </row>
    <row r="13992">
      <c r="N13992" s="28"/>
      <c r="O13992" s="28"/>
      <c r="U13992" s="28"/>
    </row>
    <row r="13993">
      <c r="N13993" s="28"/>
      <c r="O13993" s="28"/>
      <c r="U13993" s="28"/>
    </row>
    <row r="13994">
      <c r="N13994" s="28"/>
      <c r="O13994" s="28"/>
      <c r="U13994" s="28"/>
    </row>
    <row r="13995">
      <c r="N13995" s="28"/>
      <c r="O13995" s="28"/>
      <c r="U13995" s="28"/>
    </row>
    <row r="13996">
      <c r="N13996" s="28"/>
      <c r="O13996" s="28"/>
      <c r="U13996" s="28"/>
    </row>
    <row r="13997">
      <c r="N13997" s="28"/>
      <c r="O13997" s="28"/>
      <c r="U13997" s="28"/>
    </row>
    <row r="13998">
      <c r="N13998" s="28"/>
      <c r="O13998" s="28"/>
      <c r="U13998" s="28"/>
    </row>
    <row r="13999">
      <c r="N13999" s="28"/>
      <c r="O13999" s="28"/>
      <c r="U13999" s="28"/>
    </row>
    <row r="14000">
      <c r="N14000" s="28"/>
      <c r="O14000" s="28"/>
      <c r="U14000" s="28"/>
    </row>
    <row r="14001">
      <c r="N14001" s="28"/>
      <c r="O14001" s="28"/>
      <c r="U14001" s="28"/>
    </row>
    <row r="14002">
      <c r="N14002" s="28"/>
      <c r="O14002" s="28"/>
      <c r="U14002" s="28"/>
    </row>
    <row r="14003">
      <c r="N14003" s="28"/>
      <c r="O14003" s="28"/>
      <c r="U14003" s="28"/>
    </row>
    <row r="14004">
      <c r="N14004" s="28"/>
      <c r="O14004" s="28"/>
      <c r="U14004" s="28"/>
    </row>
    <row r="14005">
      <c r="N14005" s="28"/>
      <c r="O14005" s="28"/>
      <c r="U14005" s="28"/>
    </row>
    <row r="14006">
      <c r="N14006" s="28"/>
      <c r="O14006" s="28"/>
      <c r="U14006" s="28"/>
    </row>
    <row r="14007">
      <c r="N14007" s="28"/>
      <c r="O14007" s="28"/>
      <c r="U14007" s="28"/>
    </row>
    <row r="14008">
      <c r="N14008" s="28"/>
      <c r="O14008" s="28"/>
      <c r="U14008" s="28"/>
    </row>
    <row r="14009">
      <c r="N14009" s="28"/>
      <c r="O14009" s="28"/>
      <c r="U14009" s="28"/>
    </row>
    <row r="14010">
      <c r="N14010" s="28"/>
      <c r="O14010" s="28"/>
      <c r="U14010" s="28"/>
    </row>
    <row r="14011">
      <c r="N14011" s="28"/>
      <c r="O14011" s="28"/>
      <c r="U14011" s="28"/>
    </row>
    <row r="14012">
      <c r="N14012" s="28"/>
      <c r="O14012" s="28"/>
      <c r="U14012" s="28"/>
    </row>
    <row r="14013">
      <c r="N14013" s="28"/>
      <c r="O14013" s="28"/>
      <c r="U14013" s="28"/>
    </row>
    <row r="14014">
      <c r="N14014" s="28"/>
      <c r="O14014" s="28"/>
      <c r="U14014" s="28"/>
    </row>
    <row r="14015">
      <c r="N14015" s="28"/>
      <c r="O14015" s="28"/>
      <c r="U14015" s="28"/>
    </row>
    <row r="14016">
      <c r="N14016" s="28"/>
      <c r="O14016" s="28"/>
      <c r="U14016" s="28"/>
    </row>
    <row r="14017">
      <c r="N14017" s="28"/>
      <c r="O14017" s="28"/>
      <c r="U14017" s="28"/>
    </row>
    <row r="14018">
      <c r="N14018" s="28"/>
      <c r="O14018" s="28"/>
      <c r="U14018" s="28"/>
    </row>
    <row r="14019">
      <c r="N14019" s="28"/>
      <c r="O14019" s="28"/>
      <c r="U14019" s="28"/>
    </row>
    <row r="14020">
      <c r="N14020" s="28"/>
      <c r="O14020" s="28"/>
      <c r="U14020" s="28"/>
    </row>
    <row r="14021">
      <c r="N14021" s="28"/>
      <c r="O14021" s="28"/>
      <c r="U14021" s="28"/>
    </row>
    <row r="14022">
      <c r="N14022" s="28"/>
      <c r="O14022" s="28"/>
      <c r="U14022" s="28"/>
    </row>
    <row r="14023">
      <c r="N14023" s="28"/>
      <c r="O14023" s="28"/>
      <c r="U14023" s="28"/>
    </row>
    <row r="14024">
      <c r="N14024" s="28"/>
      <c r="O14024" s="28"/>
      <c r="U14024" s="28"/>
    </row>
    <row r="14025">
      <c r="N14025" s="28"/>
      <c r="O14025" s="28"/>
      <c r="U14025" s="28"/>
    </row>
    <row r="14026">
      <c r="N14026" s="28"/>
      <c r="O14026" s="28"/>
      <c r="U14026" s="28"/>
    </row>
    <row r="14027">
      <c r="N14027" s="28"/>
      <c r="O14027" s="28"/>
      <c r="U14027" s="28"/>
    </row>
    <row r="14028">
      <c r="N14028" s="28"/>
      <c r="O14028" s="28"/>
      <c r="U14028" s="28"/>
    </row>
    <row r="14029">
      <c r="N14029" s="28"/>
      <c r="O14029" s="28"/>
      <c r="U14029" s="28"/>
    </row>
    <row r="14030">
      <c r="N14030" s="28"/>
      <c r="O14030" s="28"/>
      <c r="U14030" s="28"/>
    </row>
    <row r="14031">
      <c r="N14031" s="28"/>
      <c r="O14031" s="28"/>
      <c r="U14031" s="28"/>
    </row>
    <row r="14032">
      <c r="N14032" s="28"/>
      <c r="O14032" s="28"/>
      <c r="U14032" s="28"/>
    </row>
    <row r="14033">
      <c r="N14033" s="28"/>
      <c r="O14033" s="28"/>
      <c r="U14033" s="28"/>
    </row>
    <row r="14034">
      <c r="N14034" s="28"/>
      <c r="O14034" s="28"/>
      <c r="U14034" s="28"/>
    </row>
    <row r="14035">
      <c r="N14035" s="28"/>
      <c r="O14035" s="28"/>
      <c r="U14035" s="28"/>
    </row>
    <row r="14036">
      <c r="N14036" s="28"/>
      <c r="O14036" s="28"/>
      <c r="U14036" s="28"/>
    </row>
    <row r="14037">
      <c r="N14037" s="28"/>
      <c r="O14037" s="28"/>
      <c r="U14037" s="28"/>
    </row>
    <row r="14038">
      <c r="N14038" s="28"/>
      <c r="O14038" s="28"/>
      <c r="U14038" s="28"/>
    </row>
    <row r="14039">
      <c r="N14039" s="28"/>
      <c r="O14039" s="28"/>
      <c r="U14039" s="28"/>
    </row>
    <row r="14040">
      <c r="N14040" s="28"/>
      <c r="O14040" s="28"/>
      <c r="U14040" s="28"/>
    </row>
    <row r="14041">
      <c r="N14041" s="28"/>
      <c r="O14041" s="28"/>
      <c r="U14041" s="28"/>
    </row>
    <row r="14042">
      <c r="N14042" s="28"/>
      <c r="O14042" s="28"/>
      <c r="U14042" s="28"/>
    </row>
    <row r="14043">
      <c r="N14043" s="28"/>
      <c r="O14043" s="28"/>
      <c r="U14043" s="28"/>
    </row>
    <row r="14044">
      <c r="N14044" s="28"/>
      <c r="O14044" s="28"/>
      <c r="U14044" s="28"/>
    </row>
    <row r="14045">
      <c r="N14045" s="28"/>
      <c r="O14045" s="28"/>
      <c r="U14045" s="28"/>
    </row>
    <row r="14046">
      <c r="N14046" s="28"/>
      <c r="O14046" s="28"/>
      <c r="U14046" s="28"/>
    </row>
    <row r="14047">
      <c r="N14047" s="28"/>
      <c r="O14047" s="28"/>
      <c r="U14047" s="28"/>
    </row>
    <row r="14048">
      <c r="N14048" s="28"/>
      <c r="O14048" s="28"/>
      <c r="U14048" s="28"/>
    </row>
    <row r="14049">
      <c r="N14049" s="28"/>
      <c r="O14049" s="28"/>
      <c r="U14049" s="28"/>
    </row>
    <row r="14050">
      <c r="N14050" s="28"/>
      <c r="O14050" s="28"/>
      <c r="U14050" s="28"/>
    </row>
    <row r="14051">
      <c r="N14051" s="28"/>
      <c r="O14051" s="28"/>
      <c r="U14051" s="28"/>
    </row>
    <row r="14052">
      <c r="N14052" s="28"/>
      <c r="O14052" s="28"/>
      <c r="U14052" s="28"/>
    </row>
    <row r="14053">
      <c r="N14053" s="28"/>
      <c r="O14053" s="28"/>
      <c r="U14053" s="28"/>
    </row>
    <row r="14054">
      <c r="N14054" s="28"/>
      <c r="O14054" s="28"/>
      <c r="U14054" s="28"/>
    </row>
    <row r="14055">
      <c r="N14055" s="28"/>
      <c r="O14055" s="28"/>
      <c r="U14055" s="28"/>
    </row>
    <row r="14056">
      <c r="N14056" s="28"/>
      <c r="O14056" s="28"/>
      <c r="U14056" s="28"/>
    </row>
    <row r="14057">
      <c r="N14057" s="28"/>
      <c r="O14057" s="28"/>
      <c r="U14057" s="28"/>
    </row>
    <row r="14058">
      <c r="N14058" s="28"/>
      <c r="O14058" s="28"/>
      <c r="U14058" s="28"/>
    </row>
    <row r="14059">
      <c r="N14059" s="28"/>
      <c r="O14059" s="28"/>
      <c r="U14059" s="28"/>
    </row>
    <row r="14060">
      <c r="N14060" s="28"/>
      <c r="O14060" s="28"/>
      <c r="U14060" s="28"/>
    </row>
    <row r="14061">
      <c r="N14061" s="28"/>
      <c r="O14061" s="28"/>
      <c r="U14061" s="28"/>
    </row>
    <row r="14062">
      <c r="N14062" s="28"/>
      <c r="O14062" s="28"/>
      <c r="U14062" s="28"/>
    </row>
    <row r="14063">
      <c r="N14063" s="28"/>
      <c r="O14063" s="28"/>
      <c r="U14063" s="28"/>
    </row>
    <row r="14064">
      <c r="N14064" s="28"/>
      <c r="O14064" s="28"/>
      <c r="U14064" s="28"/>
    </row>
    <row r="14065">
      <c r="N14065" s="28"/>
      <c r="O14065" s="28"/>
      <c r="U14065" s="28"/>
    </row>
    <row r="14066">
      <c r="N14066" s="28"/>
      <c r="O14066" s="28"/>
      <c r="U14066" s="28"/>
    </row>
    <row r="14067">
      <c r="N14067" s="28"/>
      <c r="O14067" s="28"/>
      <c r="U14067" s="28"/>
    </row>
    <row r="14068">
      <c r="N14068" s="28"/>
      <c r="O14068" s="28"/>
      <c r="U14068" s="28"/>
    </row>
    <row r="14069">
      <c r="N14069" s="28"/>
      <c r="O14069" s="28"/>
      <c r="U14069" s="28"/>
    </row>
    <row r="14070">
      <c r="N14070" s="28"/>
      <c r="O14070" s="28"/>
      <c r="U14070" s="28"/>
    </row>
    <row r="14071">
      <c r="N14071" s="28"/>
      <c r="O14071" s="28"/>
      <c r="U14071" s="28"/>
    </row>
    <row r="14072">
      <c r="N14072" s="28"/>
      <c r="O14072" s="28"/>
      <c r="U14072" s="28"/>
    </row>
    <row r="14073">
      <c r="N14073" s="28"/>
      <c r="O14073" s="28"/>
      <c r="U14073" s="28"/>
    </row>
    <row r="14074">
      <c r="N14074" s="28"/>
      <c r="O14074" s="28"/>
      <c r="U14074" s="28"/>
    </row>
    <row r="14075">
      <c r="N14075" s="28"/>
      <c r="O14075" s="28"/>
      <c r="U14075" s="28"/>
    </row>
    <row r="14076">
      <c r="N14076" s="28"/>
      <c r="O14076" s="28"/>
      <c r="U14076" s="28"/>
    </row>
    <row r="14077">
      <c r="N14077" s="28"/>
      <c r="O14077" s="28"/>
      <c r="U14077" s="28"/>
    </row>
    <row r="14078">
      <c r="N14078" s="28"/>
      <c r="O14078" s="28"/>
      <c r="U14078" s="28"/>
    </row>
    <row r="14079">
      <c r="N14079" s="28"/>
      <c r="O14079" s="28"/>
      <c r="U14079" s="28"/>
    </row>
    <row r="14080">
      <c r="N14080" s="28"/>
      <c r="O14080" s="28"/>
      <c r="U14080" s="28"/>
    </row>
    <row r="14081">
      <c r="N14081" s="28"/>
      <c r="O14081" s="28"/>
      <c r="U14081" s="28"/>
    </row>
    <row r="14082">
      <c r="N14082" s="28"/>
      <c r="O14082" s="28"/>
      <c r="U14082" s="28"/>
    </row>
    <row r="14083">
      <c r="N14083" s="28"/>
      <c r="O14083" s="28"/>
      <c r="U14083" s="28"/>
    </row>
    <row r="14084">
      <c r="N14084" s="28"/>
      <c r="O14084" s="28"/>
      <c r="U14084" s="28"/>
    </row>
    <row r="14085">
      <c r="N14085" s="28"/>
      <c r="O14085" s="28"/>
      <c r="U14085" s="28"/>
    </row>
    <row r="14086">
      <c r="N14086" s="28"/>
      <c r="O14086" s="28"/>
      <c r="U14086" s="28"/>
    </row>
    <row r="14087">
      <c r="N14087" s="28"/>
      <c r="O14087" s="28"/>
      <c r="U14087" s="28"/>
    </row>
    <row r="14088">
      <c r="N14088" s="28"/>
      <c r="O14088" s="28"/>
      <c r="U14088" s="28"/>
    </row>
    <row r="14089">
      <c r="N14089" s="28"/>
      <c r="O14089" s="28"/>
      <c r="U14089" s="28"/>
    </row>
    <row r="14090">
      <c r="N14090" s="28"/>
      <c r="O14090" s="28"/>
      <c r="U14090" s="28"/>
    </row>
    <row r="14091">
      <c r="N14091" s="28"/>
      <c r="O14091" s="28"/>
      <c r="U14091" s="28"/>
    </row>
    <row r="14092">
      <c r="N14092" s="28"/>
      <c r="O14092" s="28"/>
      <c r="U14092" s="28"/>
    </row>
    <row r="14093">
      <c r="N14093" s="28"/>
      <c r="O14093" s="28"/>
      <c r="U14093" s="28"/>
    </row>
    <row r="14094">
      <c r="N14094" s="28"/>
      <c r="O14094" s="28"/>
      <c r="U14094" s="28"/>
    </row>
    <row r="14095">
      <c r="N14095" s="28"/>
      <c r="O14095" s="28"/>
      <c r="U14095" s="28"/>
    </row>
    <row r="14096">
      <c r="N14096" s="28"/>
      <c r="O14096" s="28"/>
      <c r="U14096" s="28"/>
    </row>
    <row r="14097">
      <c r="N14097" s="28"/>
      <c r="O14097" s="28"/>
      <c r="U14097" s="28"/>
    </row>
    <row r="14098">
      <c r="N14098" s="28"/>
      <c r="O14098" s="28"/>
      <c r="U14098" s="28"/>
    </row>
    <row r="14099">
      <c r="N14099" s="28"/>
      <c r="O14099" s="28"/>
      <c r="U14099" s="28"/>
    </row>
    <row r="14100">
      <c r="N14100" s="28"/>
      <c r="O14100" s="28"/>
      <c r="U14100" s="28"/>
    </row>
    <row r="14101">
      <c r="N14101" s="28"/>
      <c r="O14101" s="28"/>
      <c r="U14101" s="28"/>
    </row>
    <row r="14102">
      <c r="N14102" s="28"/>
      <c r="O14102" s="28"/>
      <c r="U14102" s="28"/>
    </row>
    <row r="14103">
      <c r="N14103" s="28"/>
      <c r="O14103" s="28"/>
      <c r="U14103" s="28"/>
    </row>
    <row r="14104">
      <c r="N14104" s="28"/>
      <c r="O14104" s="28"/>
      <c r="U14104" s="28"/>
    </row>
    <row r="14105">
      <c r="N14105" s="28"/>
      <c r="O14105" s="28"/>
      <c r="U14105" s="28"/>
    </row>
    <row r="14106">
      <c r="N14106" s="28"/>
      <c r="O14106" s="28"/>
      <c r="U14106" s="28"/>
    </row>
    <row r="14107">
      <c r="N14107" s="28"/>
      <c r="O14107" s="28"/>
      <c r="U14107" s="28"/>
    </row>
    <row r="14108">
      <c r="N14108" s="28"/>
      <c r="O14108" s="28"/>
      <c r="U14108" s="28"/>
    </row>
    <row r="14109">
      <c r="N14109" s="28"/>
      <c r="O14109" s="28"/>
      <c r="U14109" s="28"/>
    </row>
    <row r="14110">
      <c r="N14110" s="28"/>
      <c r="O14110" s="28"/>
      <c r="U14110" s="28"/>
    </row>
    <row r="14111">
      <c r="N14111" s="28"/>
      <c r="O14111" s="28"/>
      <c r="U14111" s="28"/>
    </row>
    <row r="14112">
      <c r="N14112" s="28"/>
      <c r="O14112" s="28"/>
      <c r="U14112" s="28"/>
    </row>
    <row r="14113">
      <c r="N14113" s="28"/>
      <c r="O14113" s="28"/>
      <c r="U14113" s="28"/>
    </row>
    <row r="14114">
      <c r="N14114" s="28"/>
      <c r="O14114" s="28"/>
      <c r="U14114" s="28"/>
    </row>
    <row r="14115">
      <c r="N14115" s="28"/>
      <c r="O14115" s="28"/>
      <c r="U14115" s="28"/>
    </row>
    <row r="14116">
      <c r="N14116" s="28"/>
      <c r="O14116" s="28"/>
      <c r="U14116" s="28"/>
    </row>
    <row r="14117">
      <c r="N14117" s="28"/>
      <c r="O14117" s="28"/>
      <c r="U14117" s="28"/>
    </row>
    <row r="14118">
      <c r="N14118" s="28"/>
      <c r="O14118" s="28"/>
      <c r="U14118" s="28"/>
    </row>
    <row r="14119">
      <c r="N14119" s="28"/>
      <c r="O14119" s="28"/>
      <c r="U14119" s="28"/>
    </row>
    <row r="14120">
      <c r="N14120" s="28"/>
      <c r="O14120" s="28"/>
      <c r="U14120" s="28"/>
    </row>
    <row r="14121">
      <c r="N14121" s="28"/>
      <c r="O14121" s="28"/>
      <c r="U14121" s="28"/>
    </row>
    <row r="14122">
      <c r="N14122" s="28"/>
      <c r="O14122" s="28"/>
      <c r="U14122" s="28"/>
    </row>
    <row r="14123">
      <c r="N14123" s="28"/>
      <c r="O14123" s="28"/>
      <c r="U14123" s="28"/>
    </row>
    <row r="14124">
      <c r="N14124" s="28"/>
      <c r="O14124" s="28"/>
      <c r="U14124" s="28"/>
    </row>
    <row r="14125">
      <c r="N14125" s="28"/>
      <c r="O14125" s="28"/>
      <c r="U14125" s="28"/>
    </row>
    <row r="14126">
      <c r="N14126" s="28"/>
      <c r="O14126" s="28"/>
      <c r="U14126" s="28"/>
    </row>
    <row r="14127">
      <c r="N14127" s="28"/>
      <c r="O14127" s="28"/>
      <c r="U14127" s="28"/>
    </row>
    <row r="14128">
      <c r="N14128" s="28"/>
      <c r="O14128" s="28"/>
      <c r="U14128" s="28"/>
    </row>
    <row r="14129">
      <c r="N14129" s="28"/>
      <c r="O14129" s="28"/>
      <c r="U14129" s="28"/>
    </row>
    <row r="14130">
      <c r="N14130" s="28"/>
      <c r="O14130" s="28"/>
      <c r="U14130" s="28"/>
    </row>
    <row r="14131">
      <c r="N14131" s="28"/>
      <c r="O14131" s="28"/>
      <c r="U14131" s="28"/>
    </row>
    <row r="14132">
      <c r="N14132" s="28"/>
      <c r="O14132" s="28"/>
      <c r="U14132" s="28"/>
    </row>
    <row r="14133">
      <c r="N14133" s="28"/>
      <c r="O14133" s="28"/>
      <c r="U14133" s="28"/>
    </row>
    <row r="14134">
      <c r="N14134" s="28"/>
      <c r="O14134" s="28"/>
      <c r="U14134" s="28"/>
    </row>
    <row r="14135">
      <c r="N14135" s="28"/>
      <c r="O14135" s="28"/>
      <c r="U14135" s="28"/>
    </row>
    <row r="14136">
      <c r="N14136" s="28"/>
      <c r="O14136" s="28"/>
      <c r="U14136" s="28"/>
    </row>
    <row r="14137">
      <c r="N14137" s="28"/>
      <c r="O14137" s="28"/>
      <c r="U14137" s="28"/>
    </row>
    <row r="14138">
      <c r="N14138" s="28"/>
      <c r="O14138" s="28"/>
      <c r="U14138" s="28"/>
    </row>
    <row r="14139">
      <c r="N14139" s="28"/>
      <c r="O14139" s="28"/>
      <c r="U14139" s="28"/>
    </row>
    <row r="14140">
      <c r="N14140" s="28"/>
      <c r="O14140" s="28"/>
      <c r="U14140" s="28"/>
    </row>
    <row r="14141">
      <c r="N14141" s="28"/>
      <c r="O14141" s="28"/>
      <c r="U14141" s="28"/>
    </row>
    <row r="14142">
      <c r="N14142" s="28"/>
      <c r="O14142" s="28"/>
      <c r="U14142" s="28"/>
    </row>
    <row r="14143">
      <c r="N14143" s="28"/>
      <c r="O14143" s="28"/>
      <c r="U14143" s="28"/>
    </row>
    <row r="14144">
      <c r="N14144" s="28"/>
      <c r="O14144" s="28"/>
      <c r="U14144" s="28"/>
    </row>
    <row r="14145">
      <c r="N14145" s="28"/>
      <c r="O14145" s="28"/>
      <c r="U14145" s="28"/>
    </row>
    <row r="14146">
      <c r="N14146" s="28"/>
      <c r="O14146" s="28"/>
      <c r="U14146" s="28"/>
    </row>
    <row r="14147">
      <c r="N14147" s="28"/>
      <c r="O14147" s="28"/>
      <c r="U14147" s="28"/>
    </row>
    <row r="14148">
      <c r="N14148" s="28"/>
      <c r="O14148" s="28"/>
      <c r="U14148" s="28"/>
    </row>
    <row r="14149">
      <c r="N14149" s="28"/>
      <c r="O14149" s="28"/>
      <c r="U14149" s="28"/>
    </row>
    <row r="14150">
      <c r="N14150" s="28"/>
      <c r="O14150" s="28"/>
      <c r="U14150" s="28"/>
    </row>
    <row r="14151">
      <c r="N14151" s="28"/>
      <c r="O14151" s="28"/>
      <c r="U14151" s="28"/>
    </row>
    <row r="14152">
      <c r="N14152" s="28"/>
      <c r="O14152" s="28"/>
      <c r="U14152" s="28"/>
    </row>
    <row r="14153">
      <c r="N14153" s="28"/>
      <c r="O14153" s="28"/>
      <c r="U14153" s="28"/>
    </row>
    <row r="14154">
      <c r="N14154" s="28"/>
      <c r="O14154" s="28"/>
      <c r="U14154" s="28"/>
    </row>
    <row r="14155">
      <c r="N14155" s="28"/>
      <c r="O14155" s="28"/>
      <c r="U14155" s="28"/>
    </row>
    <row r="14156">
      <c r="N14156" s="28"/>
      <c r="O14156" s="28"/>
      <c r="U14156" s="28"/>
    </row>
    <row r="14157">
      <c r="N14157" s="28"/>
      <c r="O14157" s="28"/>
      <c r="U14157" s="28"/>
    </row>
    <row r="14158">
      <c r="N14158" s="28"/>
      <c r="O14158" s="28"/>
      <c r="U14158" s="28"/>
    </row>
    <row r="14159">
      <c r="N14159" s="28"/>
      <c r="O14159" s="28"/>
      <c r="U14159" s="28"/>
    </row>
    <row r="14160">
      <c r="N14160" s="28"/>
      <c r="O14160" s="28"/>
      <c r="U14160" s="28"/>
    </row>
    <row r="14161">
      <c r="N14161" s="28"/>
      <c r="O14161" s="28"/>
      <c r="U14161" s="28"/>
    </row>
    <row r="14162">
      <c r="N14162" s="28"/>
      <c r="O14162" s="28"/>
      <c r="U14162" s="28"/>
    </row>
    <row r="14163">
      <c r="N14163" s="28"/>
      <c r="O14163" s="28"/>
      <c r="U14163" s="28"/>
    </row>
    <row r="14164">
      <c r="N14164" s="28"/>
      <c r="O14164" s="28"/>
      <c r="U14164" s="28"/>
    </row>
    <row r="14165">
      <c r="N14165" s="28"/>
      <c r="O14165" s="28"/>
      <c r="U14165" s="28"/>
    </row>
    <row r="14166">
      <c r="N14166" s="28"/>
      <c r="O14166" s="28"/>
      <c r="U14166" s="28"/>
    </row>
    <row r="14167">
      <c r="N14167" s="28"/>
      <c r="O14167" s="28"/>
      <c r="U14167" s="28"/>
    </row>
    <row r="14168">
      <c r="N14168" s="28"/>
      <c r="O14168" s="28"/>
      <c r="U14168" s="28"/>
    </row>
    <row r="14169">
      <c r="N14169" s="28"/>
      <c r="O14169" s="28"/>
      <c r="U14169" s="28"/>
    </row>
    <row r="14170">
      <c r="N14170" s="28"/>
      <c r="O14170" s="28"/>
      <c r="U14170" s="28"/>
    </row>
    <row r="14171">
      <c r="N14171" s="28"/>
      <c r="O14171" s="28"/>
      <c r="U14171" s="28"/>
    </row>
    <row r="14172">
      <c r="N14172" s="28"/>
      <c r="O14172" s="28"/>
      <c r="U14172" s="28"/>
    </row>
    <row r="14173">
      <c r="N14173" s="28"/>
      <c r="O14173" s="28"/>
      <c r="U14173" s="28"/>
    </row>
    <row r="14174">
      <c r="N14174" s="28"/>
      <c r="O14174" s="28"/>
      <c r="U14174" s="28"/>
    </row>
    <row r="14175">
      <c r="N14175" s="28"/>
      <c r="O14175" s="28"/>
      <c r="U14175" s="28"/>
    </row>
    <row r="14176">
      <c r="N14176" s="28"/>
      <c r="O14176" s="28"/>
      <c r="U14176" s="28"/>
    </row>
    <row r="14177">
      <c r="N14177" s="28"/>
      <c r="O14177" s="28"/>
      <c r="U14177" s="28"/>
    </row>
    <row r="14178">
      <c r="N14178" s="28"/>
      <c r="O14178" s="28"/>
      <c r="U14178" s="28"/>
    </row>
    <row r="14179">
      <c r="N14179" s="28"/>
      <c r="O14179" s="28"/>
      <c r="U14179" s="28"/>
    </row>
    <row r="14180">
      <c r="N14180" s="28"/>
      <c r="O14180" s="28"/>
      <c r="U14180" s="28"/>
    </row>
    <row r="14181">
      <c r="N14181" s="28"/>
      <c r="O14181" s="28"/>
      <c r="U14181" s="28"/>
    </row>
    <row r="14182">
      <c r="N14182" s="28"/>
      <c r="O14182" s="28"/>
      <c r="U14182" s="28"/>
    </row>
    <row r="14183">
      <c r="N14183" s="28"/>
      <c r="O14183" s="28"/>
      <c r="U14183" s="28"/>
    </row>
    <row r="14184">
      <c r="N14184" s="28"/>
      <c r="O14184" s="28"/>
      <c r="U14184" s="28"/>
    </row>
    <row r="14185">
      <c r="N14185" s="28"/>
      <c r="O14185" s="28"/>
      <c r="U14185" s="28"/>
    </row>
    <row r="14186">
      <c r="N14186" s="28"/>
      <c r="O14186" s="28"/>
      <c r="U14186" s="28"/>
    </row>
    <row r="14187">
      <c r="N14187" s="28"/>
      <c r="O14187" s="28"/>
      <c r="U14187" s="28"/>
    </row>
    <row r="14188">
      <c r="N14188" s="28"/>
      <c r="O14188" s="28"/>
      <c r="U14188" s="28"/>
    </row>
    <row r="14189">
      <c r="N14189" s="28"/>
      <c r="O14189" s="28"/>
      <c r="U14189" s="28"/>
    </row>
    <row r="14190">
      <c r="N14190" s="28"/>
      <c r="O14190" s="28"/>
      <c r="U14190" s="28"/>
    </row>
    <row r="14191">
      <c r="N14191" s="28"/>
      <c r="O14191" s="28"/>
      <c r="U14191" s="28"/>
    </row>
    <row r="14192">
      <c r="N14192" s="28"/>
      <c r="O14192" s="28"/>
      <c r="U14192" s="28"/>
    </row>
    <row r="14193">
      <c r="N14193" s="28"/>
      <c r="O14193" s="28"/>
      <c r="U14193" s="28"/>
    </row>
    <row r="14194">
      <c r="N14194" s="28"/>
      <c r="O14194" s="28"/>
      <c r="U14194" s="28"/>
    </row>
    <row r="14195">
      <c r="N14195" s="28"/>
      <c r="O14195" s="28"/>
      <c r="U14195" s="28"/>
    </row>
    <row r="14196">
      <c r="N14196" s="28"/>
      <c r="O14196" s="28"/>
      <c r="U14196" s="28"/>
    </row>
    <row r="14197">
      <c r="N14197" s="28"/>
      <c r="O14197" s="28"/>
      <c r="U14197" s="28"/>
    </row>
    <row r="14198">
      <c r="N14198" s="28"/>
      <c r="O14198" s="28"/>
      <c r="U14198" s="28"/>
    </row>
    <row r="14199">
      <c r="N14199" s="28"/>
      <c r="O14199" s="28"/>
      <c r="U14199" s="28"/>
    </row>
    <row r="14200">
      <c r="N14200" s="28"/>
      <c r="O14200" s="28"/>
      <c r="U14200" s="28"/>
    </row>
    <row r="14201">
      <c r="N14201" s="28"/>
      <c r="O14201" s="28"/>
      <c r="U14201" s="28"/>
    </row>
    <row r="14202">
      <c r="N14202" s="28"/>
      <c r="O14202" s="28"/>
      <c r="U14202" s="28"/>
    </row>
    <row r="14203">
      <c r="N14203" s="28"/>
      <c r="O14203" s="28"/>
      <c r="U14203" s="28"/>
    </row>
    <row r="14204">
      <c r="N14204" s="28"/>
      <c r="O14204" s="28"/>
      <c r="U14204" s="28"/>
    </row>
    <row r="14205">
      <c r="N14205" s="28"/>
      <c r="O14205" s="28"/>
      <c r="U14205" s="28"/>
    </row>
    <row r="14206">
      <c r="N14206" s="28"/>
      <c r="O14206" s="28"/>
      <c r="U14206" s="28"/>
    </row>
    <row r="14207">
      <c r="N14207" s="28"/>
      <c r="O14207" s="28"/>
      <c r="U14207" s="28"/>
    </row>
    <row r="14208">
      <c r="N14208" s="28"/>
      <c r="O14208" s="28"/>
      <c r="U14208" s="28"/>
    </row>
    <row r="14209">
      <c r="N14209" s="28"/>
      <c r="O14209" s="28"/>
      <c r="U14209" s="28"/>
    </row>
    <row r="14210">
      <c r="N14210" s="28"/>
      <c r="O14210" s="28"/>
      <c r="U14210" s="28"/>
    </row>
    <row r="14211">
      <c r="N14211" s="28"/>
      <c r="O14211" s="28"/>
      <c r="U14211" s="28"/>
    </row>
    <row r="14212">
      <c r="N14212" s="28"/>
      <c r="O14212" s="28"/>
      <c r="U14212" s="28"/>
    </row>
    <row r="14213">
      <c r="N14213" s="28"/>
      <c r="O14213" s="28"/>
      <c r="U14213" s="28"/>
    </row>
    <row r="14214">
      <c r="N14214" s="28"/>
      <c r="O14214" s="28"/>
      <c r="U14214" s="28"/>
    </row>
    <row r="14215">
      <c r="N14215" s="28"/>
      <c r="O14215" s="28"/>
      <c r="U14215" s="28"/>
    </row>
    <row r="14216">
      <c r="N14216" s="28"/>
      <c r="O14216" s="28"/>
      <c r="U14216" s="28"/>
    </row>
    <row r="14217">
      <c r="N14217" s="28"/>
      <c r="O14217" s="28"/>
      <c r="U14217" s="28"/>
    </row>
    <row r="14218">
      <c r="N14218" s="28"/>
      <c r="O14218" s="28"/>
      <c r="U14218" s="28"/>
    </row>
    <row r="14219">
      <c r="N14219" s="28"/>
      <c r="O14219" s="28"/>
      <c r="U14219" s="28"/>
    </row>
    <row r="14220">
      <c r="N14220" s="28"/>
      <c r="O14220" s="28"/>
      <c r="U14220" s="28"/>
    </row>
    <row r="14221">
      <c r="N14221" s="28"/>
      <c r="O14221" s="28"/>
      <c r="U14221" s="28"/>
    </row>
    <row r="14222">
      <c r="N14222" s="28"/>
      <c r="O14222" s="28"/>
      <c r="U14222" s="28"/>
    </row>
    <row r="14223">
      <c r="N14223" s="28"/>
      <c r="O14223" s="28"/>
      <c r="U14223" s="28"/>
    </row>
    <row r="14224">
      <c r="N14224" s="28"/>
      <c r="O14224" s="28"/>
      <c r="U14224" s="28"/>
    </row>
    <row r="14225">
      <c r="N14225" s="28"/>
      <c r="O14225" s="28"/>
      <c r="U14225" s="28"/>
    </row>
    <row r="14226">
      <c r="N14226" s="28"/>
      <c r="O14226" s="28"/>
      <c r="U14226" s="28"/>
    </row>
    <row r="14227">
      <c r="N14227" s="28"/>
      <c r="O14227" s="28"/>
      <c r="U14227" s="28"/>
    </row>
    <row r="14228">
      <c r="N14228" s="28"/>
      <c r="O14228" s="28"/>
      <c r="U14228" s="28"/>
    </row>
    <row r="14229">
      <c r="N14229" s="28"/>
      <c r="O14229" s="28"/>
      <c r="U14229" s="28"/>
    </row>
    <row r="14230">
      <c r="N14230" s="28"/>
      <c r="O14230" s="28"/>
      <c r="U14230" s="28"/>
    </row>
    <row r="14231">
      <c r="N14231" s="28"/>
      <c r="O14231" s="28"/>
      <c r="U14231" s="28"/>
    </row>
    <row r="14232">
      <c r="N14232" s="28"/>
      <c r="O14232" s="28"/>
      <c r="U14232" s="28"/>
    </row>
    <row r="14233">
      <c r="N14233" s="28"/>
      <c r="O14233" s="28"/>
      <c r="U14233" s="28"/>
    </row>
    <row r="14234">
      <c r="N14234" s="28"/>
      <c r="O14234" s="28"/>
      <c r="U14234" s="28"/>
    </row>
    <row r="14235">
      <c r="N14235" s="28"/>
      <c r="O14235" s="28"/>
      <c r="U14235" s="28"/>
    </row>
    <row r="14236">
      <c r="N14236" s="28"/>
      <c r="O14236" s="28"/>
      <c r="U14236" s="28"/>
    </row>
    <row r="14237">
      <c r="N14237" s="28"/>
      <c r="O14237" s="28"/>
      <c r="U14237" s="28"/>
    </row>
    <row r="14238">
      <c r="N14238" s="28"/>
      <c r="O14238" s="28"/>
      <c r="U14238" s="28"/>
    </row>
    <row r="14239">
      <c r="N14239" s="28"/>
      <c r="O14239" s="28"/>
      <c r="U14239" s="28"/>
    </row>
    <row r="14240">
      <c r="N14240" s="28"/>
      <c r="O14240" s="28"/>
      <c r="U14240" s="28"/>
    </row>
    <row r="14241">
      <c r="N14241" s="28"/>
      <c r="O14241" s="28"/>
      <c r="U14241" s="28"/>
    </row>
    <row r="14242">
      <c r="N14242" s="28"/>
      <c r="O14242" s="28"/>
      <c r="U14242" s="28"/>
    </row>
    <row r="14243">
      <c r="N14243" s="28"/>
      <c r="O14243" s="28"/>
      <c r="U14243" s="28"/>
    </row>
    <row r="14244">
      <c r="N14244" s="28"/>
      <c r="O14244" s="28"/>
      <c r="U14244" s="28"/>
    </row>
    <row r="14245">
      <c r="N14245" s="28"/>
      <c r="O14245" s="28"/>
      <c r="U14245" s="28"/>
    </row>
    <row r="14246">
      <c r="N14246" s="28"/>
      <c r="O14246" s="28"/>
      <c r="U14246" s="28"/>
    </row>
    <row r="14247">
      <c r="N14247" s="28"/>
      <c r="O14247" s="28"/>
      <c r="U14247" s="28"/>
    </row>
    <row r="14248">
      <c r="N14248" s="28"/>
      <c r="O14248" s="28"/>
      <c r="U14248" s="28"/>
    </row>
    <row r="14249">
      <c r="N14249" s="28"/>
      <c r="O14249" s="28"/>
      <c r="U14249" s="28"/>
    </row>
    <row r="14250">
      <c r="N14250" s="28"/>
      <c r="O14250" s="28"/>
      <c r="U14250" s="28"/>
    </row>
    <row r="14251">
      <c r="N14251" s="28"/>
      <c r="O14251" s="28"/>
      <c r="U14251" s="28"/>
    </row>
    <row r="14252">
      <c r="N14252" s="28"/>
      <c r="O14252" s="28"/>
      <c r="U14252" s="28"/>
    </row>
    <row r="14253">
      <c r="N14253" s="28"/>
      <c r="O14253" s="28"/>
      <c r="U14253" s="28"/>
    </row>
    <row r="14254">
      <c r="N14254" s="28"/>
      <c r="O14254" s="28"/>
      <c r="U14254" s="28"/>
    </row>
    <row r="14255">
      <c r="N14255" s="28"/>
      <c r="O14255" s="28"/>
      <c r="U14255" s="28"/>
    </row>
    <row r="14256">
      <c r="N14256" s="28"/>
      <c r="O14256" s="28"/>
      <c r="U14256" s="28"/>
    </row>
    <row r="14257">
      <c r="N14257" s="28"/>
      <c r="O14257" s="28"/>
      <c r="U14257" s="28"/>
    </row>
    <row r="14258">
      <c r="N14258" s="28"/>
      <c r="O14258" s="28"/>
      <c r="U14258" s="28"/>
    </row>
    <row r="14259">
      <c r="N14259" s="28"/>
      <c r="O14259" s="28"/>
      <c r="U14259" s="28"/>
    </row>
    <row r="14260">
      <c r="N14260" s="28"/>
      <c r="O14260" s="28"/>
      <c r="U14260" s="28"/>
    </row>
    <row r="14261">
      <c r="N14261" s="28"/>
      <c r="O14261" s="28"/>
      <c r="U14261" s="28"/>
    </row>
    <row r="14262">
      <c r="N14262" s="28"/>
      <c r="O14262" s="28"/>
      <c r="U14262" s="28"/>
    </row>
    <row r="14263">
      <c r="N14263" s="28"/>
      <c r="O14263" s="28"/>
      <c r="U14263" s="28"/>
    </row>
    <row r="14264">
      <c r="N14264" s="28"/>
      <c r="O14264" s="28"/>
      <c r="U14264" s="28"/>
    </row>
    <row r="14265">
      <c r="N14265" s="28"/>
      <c r="O14265" s="28"/>
      <c r="U14265" s="28"/>
    </row>
    <row r="14266">
      <c r="N14266" s="28"/>
      <c r="O14266" s="28"/>
      <c r="U14266" s="28"/>
    </row>
    <row r="14267">
      <c r="N14267" s="28"/>
      <c r="O14267" s="28"/>
      <c r="U14267" s="28"/>
    </row>
    <row r="14268">
      <c r="N14268" s="28"/>
      <c r="O14268" s="28"/>
      <c r="U14268" s="28"/>
    </row>
    <row r="14269">
      <c r="N14269" s="28"/>
      <c r="O14269" s="28"/>
      <c r="U14269" s="28"/>
    </row>
    <row r="14270">
      <c r="N14270" s="28"/>
      <c r="O14270" s="28"/>
      <c r="U14270" s="28"/>
    </row>
    <row r="14271">
      <c r="N14271" s="28"/>
      <c r="O14271" s="28"/>
      <c r="U14271" s="28"/>
    </row>
    <row r="14272">
      <c r="N14272" s="28"/>
      <c r="O14272" s="28"/>
      <c r="U14272" s="28"/>
    </row>
    <row r="14273">
      <c r="N14273" s="28"/>
      <c r="O14273" s="28"/>
      <c r="U14273" s="28"/>
    </row>
    <row r="14274">
      <c r="N14274" s="28"/>
      <c r="O14274" s="28"/>
      <c r="U14274" s="28"/>
    </row>
    <row r="14275">
      <c r="N14275" s="28"/>
      <c r="O14275" s="28"/>
      <c r="U14275" s="28"/>
    </row>
    <row r="14276">
      <c r="N14276" s="28"/>
      <c r="O14276" s="28"/>
      <c r="U14276" s="28"/>
    </row>
    <row r="14277">
      <c r="N14277" s="28"/>
      <c r="O14277" s="28"/>
      <c r="U14277" s="28"/>
    </row>
    <row r="14278">
      <c r="N14278" s="28"/>
      <c r="O14278" s="28"/>
      <c r="U14278" s="28"/>
    </row>
    <row r="14279">
      <c r="N14279" s="28"/>
      <c r="O14279" s="28"/>
      <c r="U14279" s="28"/>
    </row>
    <row r="14280">
      <c r="N14280" s="28"/>
      <c r="O14280" s="28"/>
      <c r="U14280" s="28"/>
    </row>
    <row r="14281">
      <c r="N14281" s="28"/>
      <c r="O14281" s="28"/>
      <c r="U14281" s="28"/>
    </row>
    <row r="14282">
      <c r="N14282" s="28"/>
      <c r="O14282" s="28"/>
      <c r="U14282" s="28"/>
    </row>
    <row r="14283">
      <c r="N14283" s="28"/>
      <c r="O14283" s="28"/>
      <c r="U14283" s="28"/>
    </row>
    <row r="14284">
      <c r="N14284" s="28"/>
      <c r="O14284" s="28"/>
      <c r="U14284" s="28"/>
    </row>
    <row r="14285">
      <c r="N14285" s="28"/>
      <c r="O14285" s="28"/>
      <c r="U14285" s="28"/>
    </row>
    <row r="14286">
      <c r="N14286" s="28"/>
      <c r="O14286" s="28"/>
      <c r="U14286" s="28"/>
    </row>
    <row r="14287">
      <c r="N14287" s="28"/>
      <c r="O14287" s="28"/>
      <c r="U14287" s="28"/>
    </row>
    <row r="14288">
      <c r="N14288" s="28"/>
      <c r="O14288" s="28"/>
      <c r="U14288" s="28"/>
    </row>
    <row r="14289">
      <c r="N14289" s="28"/>
      <c r="O14289" s="28"/>
      <c r="U14289" s="28"/>
    </row>
    <row r="14290">
      <c r="N14290" s="28"/>
      <c r="O14290" s="28"/>
      <c r="U14290" s="28"/>
    </row>
    <row r="14291">
      <c r="N14291" s="28"/>
      <c r="O14291" s="28"/>
      <c r="U14291" s="28"/>
    </row>
    <row r="14292">
      <c r="N14292" s="28"/>
      <c r="O14292" s="28"/>
      <c r="U14292" s="28"/>
    </row>
    <row r="14293">
      <c r="N14293" s="28"/>
      <c r="O14293" s="28"/>
      <c r="U14293" s="28"/>
    </row>
    <row r="14294">
      <c r="N14294" s="28"/>
      <c r="O14294" s="28"/>
      <c r="U14294" s="28"/>
    </row>
    <row r="14295">
      <c r="N14295" s="28"/>
      <c r="O14295" s="28"/>
      <c r="U14295" s="28"/>
    </row>
    <row r="14296">
      <c r="N14296" s="28"/>
      <c r="O14296" s="28"/>
      <c r="U14296" s="28"/>
    </row>
    <row r="14297">
      <c r="N14297" s="28"/>
      <c r="O14297" s="28"/>
      <c r="U14297" s="28"/>
    </row>
    <row r="14298">
      <c r="N14298" s="28"/>
      <c r="O14298" s="28"/>
      <c r="U14298" s="28"/>
    </row>
    <row r="14299">
      <c r="N14299" s="28"/>
      <c r="O14299" s="28"/>
      <c r="U14299" s="28"/>
    </row>
    <row r="14300">
      <c r="N14300" s="28"/>
      <c r="O14300" s="28"/>
      <c r="U14300" s="28"/>
    </row>
    <row r="14301">
      <c r="N14301" s="28"/>
      <c r="O14301" s="28"/>
      <c r="U14301" s="28"/>
    </row>
    <row r="14302">
      <c r="N14302" s="28"/>
      <c r="O14302" s="28"/>
      <c r="U14302" s="28"/>
    </row>
    <row r="14303">
      <c r="N14303" s="28"/>
      <c r="O14303" s="28"/>
      <c r="U14303" s="28"/>
    </row>
    <row r="14304">
      <c r="N14304" s="28"/>
      <c r="O14304" s="28"/>
      <c r="U14304" s="28"/>
    </row>
    <row r="14305">
      <c r="N14305" s="28"/>
      <c r="O14305" s="28"/>
      <c r="U14305" s="28"/>
    </row>
    <row r="14306">
      <c r="N14306" s="28"/>
      <c r="O14306" s="28"/>
      <c r="U14306" s="28"/>
    </row>
    <row r="14307">
      <c r="N14307" s="28"/>
      <c r="O14307" s="28"/>
      <c r="U14307" s="28"/>
    </row>
    <row r="14308">
      <c r="N14308" s="28"/>
      <c r="O14308" s="28"/>
      <c r="U14308" s="28"/>
    </row>
    <row r="14309">
      <c r="N14309" s="28"/>
      <c r="O14309" s="28"/>
      <c r="U14309" s="28"/>
    </row>
    <row r="14310">
      <c r="N14310" s="28"/>
      <c r="O14310" s="28"/>
      <c r="U14310" s="28"/>
    </row>
    <row r="14311">
      <c r="N14311" s="28"/>
      <c r="O14311" s="28"/>
      <c r="U14311" s="28"/>
    </row>
    <row r="14312">
      <c r="N14312" s="28"/>
      <c r="O14312" s="28"/>
      <c r="U14312" s="28"/>
    </row>
    <row r="14313">
      <c r="N14313" s="28"/>
      <c r="O14313" s="28"/>
      <c r="U14313" s="28"/>
    </row>
    <row r="14314">
      <c r="N14314" s="28"/>
      <c r="O14314" s="28"/>
      <c r="U14314" s="28"/>
    </row>
    <row r="14315">
      <c r="N14315" s="28"/>
      <c r="O14315" s="28"/>
      <c r="U14315" s="28"/>
    </row>
    <row r="14316">
      <c r="N14316" s="28"/>
      <c r="O14316" s="28"/>
      <c r="U14316" s="28"/>
    </row>
    <row r="14317">
      <c r="N14317" s="28"/>
      <c r="O14317" s="28"/>
      <c r="U14317" s="28"/>
    </row>
    <row r="14318">
      <c r="N14318" s="28"/>
      <c r="O14318" s="28"/>
      <c r="U14318" s="28"/>
    </row>
    <row r="14319">
      <c r="N14319" s="28"/>
      <c r="O14319" s="28"/>
      <c r="U14319" s="28"/>
    </row>
    <row r="14320">
      <c r="N14320" s="28"/>
      <c r="O14320" s="28"/>
      <c r="U14320" s="28"/>
    </row>
    <row r="14321">
      <c r="N14321" s="28"/>
      <c r="O14321" s="28"/>
      <c r="U14321" s="28"/>
    </row>
    <row r="14322">
      <c r="N14322" s="28"/>
      <c r="O14322" s="28"/>
      <c r="U14322" s="28"/>
    </row>
    <row r="14323">
      <c r="N14323" s="28"/>
      <c r="O14323" s="28"/>
      <c r="U14323" s="28"/>
    </row>
    <row r="14324">
      <c r="N14324" s="28"/>
      <c r="O14324" s="28"/>
      <c r="U14324" s="28"/>
    </row>
    <row r="14325">
      <c r="N14325" s="28"/>
      <c r="O14325" s="28"/>
      <c r="U14325" s="28"/>
    </row>
    <row r="14326">
      <c r="N14326" s="28"/>
      <c r="O14326" s="28"/>
      <c r="U14326" s="28"/>
    </row>
    <row r="14327">
      <c r="N14327" s="28"/>
      <c r="O14327" s="28"/>
      <c r="U14327" s="28"/>
    </row>
    <row r="14328">
      <c r="N14328" s="28"/>
      <c r="O14328" s="28"/>
      <c r="U14328" s="28"/>
    </row>
    <row r="14329">
      <c r="N14329" s="28"/>
      <c r="O14329" s="28"/>
      <c r="U14329" s="28"/>
    </row>
    <row r="14330">
      <c r="N14330" s="28"/>
      <c r="O14330" s="28"/>
      <c r="U14330" s="28"/>
    </row>
    <row r="14331">
      <c r="N14331" s="28"/>
      <c r="O14331" s="28"/>
      <c r="U14331" s="28"/>
    </row>
    <row r="14332">
      <c r="N14332" s="28"/>
      <c r="O14332" s="28"/>
      <c r="U14332" s="28"/>
    </row>
    <row r="14333">
      <c r="N14333" s="28"/>
      <c r="O14333" s="28"/>
      <c r="U14333" s="28"/>
    </row>
    <row r="14334">
      <c r="N14334" s="28"/>
      <c r="O14334" s="28"/>
      <c r="U14334" s="28"/>
    </row>
    <row r="14335">
      <c r="N14335" s="28"/>
      <c r="O14335" s="28"/>
      <c r="U14335" s="28"/>
    </row>
    <row r="14336">
      <c r="N14336" s="28"/>
      <c r="O14336" s="28"/>
      <c r="U14336" s="28"/>
    </row>
    <row r="14337">
      <c r="N14337" s="28"/>
      <c r="O14337" s="28"/>
      <c r="U14337" s="28"/>
    </row>
    <row r="14338">
      <c r="N14338" s="28"/>
      <c r="O14338" s="28"/>
      <c r="U14338" s="28"/>
    </row>
    <row r="14339">
      <c r="N14339" s="28"/>
      <c r="O14339" s="28"/>
      <c r="U14339" s="28"/>
    </row>
    <row r="14340">
      <c r="N14340" s="28"/>
      <c r="O14340" s="28"/>
      <c r="U14340" s="28"/>
    </row>
    <row r="14341">
      <c r="N14341" s="28"/>
      <c r="O14341" s="28"/>
      <c r="U14341" s="28"/>
    </row>
    <row r="14342">
      <c r="N14342" s="28"/>
      <c r="O14342" s="28"/>
      <c r="U14342" s="28"/>
    </row>
    <row r="14343">
      <c r="N14343" s="28"/>
      <c r="O14343" s="28"/>
      <c r="U14343" s="28"/>
    </row>
    <row r="14344">
      <c r="N14344" s="28"/>
      <c r="O14344" s="28"/>
      <c r="U14344" s="28"/>
    </row>
    <row r="14345">
      <c r="N14345" s="28"/>
      <c r="O14345" s="28"/>
      <c r="U14345" s="28"/>
    </row>
    <row r="14346">
      <c r="N14346" s="28"/>
      <c r="O14346" s="28"/>
      <c r="U14346" s="28"/>
    </row>
    <row r="14347">
      <c r="N14347" s="28"/>
      <c r="O14347" s="28"/>
      <c r="U14347" s="28"/>
    </row>
    <row r="14348">
      <c r="N14348" s="28"/>
      <c r="O14348" s="28"/>
      <c r="U14348" s="28"/>
    </row>
    <row r="14349">
      <c r="N14349" s="28"/>
      <c r="O14349" s="28"/>
      <c r="U14349" s="28"/>
    </row>
    <row r="14350">
      <c r="N14350" s="28"/>
      <c r="O14350" s="28"/>
      <c r="U14350" s="28"/>
    </row>
    <row r="14351">
      <c r="N14351" s="28"/>
      <c r="O14351" s="28"/>
      <c r="U14351" s="28"/>
    </row>
    <row r="14352">
      <c r="N14352" s="28"/>
      <c r="O14352" s="28"/>
      <c r="U14352" s="28"/>
    </row>
    <row r="14353">
      <c r="N14353" s="28"/>
      <c r="O14353" s="28"/>
      <c r="U14353" s="28"/>
    </row>
    <row r="14354">
      <c r="N14354" s="28"/>
      <c r="O14354" s="28"/>
      <c r="U14354" s="28"/>
    </row>
    <row r="14355">
      <c r="N14355" s="28"/>
      <c r="O14355" s="28"/>
      <c r="U14355" s="28"/>
    </row>
    <row r="14356">
      <c r="N14356" s="28"/>
      <c r="O14356" s="28"/>
      <c r="U14356" s="28"/>
    </row>
    <row r="14357">
      <c r="N14357" s="28"/>
      <c r="O14357" s="28"/>
      <c r="U14357" s="28"/>
    </row>
    <row r="14358">
      <c r="N14358" s="28"/>
      <c r="O14358" s="28"/>
      <c r="U14358" s="28"/>
    </row>
    <row r="14359">
      <c r="N14359" s="28"/>
      <c r="O14359" s="28"/>
      <c r="U14359" s="28"/>
    </row>
    <row r="14360">
      <c r="N14360" s="28"/>
      <c r="O14360" s="28"/>
      <c r="U14360" s="28"/>
    </row>
    <row r="14361">
      <c r="N14361" s="28"/>
      <c r="O14361" s="28"/>
      <c r="U14361" s="28"/>
    </row>
    <row r="14362">
      <c r="N14362" s="28"/>
      <c r="O14362" s="28"/>
      <c r="U14362" s="28"/>
    </row>
    <row r="14363">
      <c r="N14363" s="28"/>
      <c r="O14363" s="28"/>
      <c r="U14363" s="28"/>
    </row>
    <row r="14364">
      <c r="N14364" s="28"/>
      <c r="O14364" s="28"/>
      <c r="U14364" s="28"/>
    </row>
    <row r="14365">
      <c r="N14365" s="28"/>
      <c r="O14365" s="28"/>
      <c r="U14365" s="28"/>
    </row>
    <row r="14366">
      <c r="N14366" s="28"/>
      <c r="O14366" s="28"/>
      <c r="U14366" s="28"/>
    </row>
    <row r="14367">
      <c r="N14367" s="28"/>
      <c r="O14367" s="28"/>
      <c r="U14367" s="28"/>
    </row>
    <row r="14368">
      <c r="N14368" s="28"/>
      <c r="O14368" s="28"/>
      <c r="U14368" s="28"/>
    </row>
    <row r="14369">
      <c r="N14369" s="28"/>
      <c r="O14369" s="28"/>
      <c r="U14369" s="28"/>
    </row>
    <row r="14370">
      <c r="N14370" s="28"/>
      <c r="O14370" s="28"/>
      <c r="U14370" s="28"/>
    </row>
    <row r="14371">
      <c r="N14371" s="28"/>
      <c r="O14371" s="28"/>
      <c r="U14371" s="28"/>
    </row>
    <row r="14372">
      <c r="N14372" s="28"/>
      <c r="O14372" s="28"/>
      <c r="U14372" s="28"/>
    </row>
    <row r="14373">
      <c r="N14373" s="28"/>
      <c r="O14373" s="28"/>
      <c r="U14373" s="28"/>
    </row>
    <row r="14374">
      <c r="N14374" s="28"/>
      <c r="O14374" s="28"/>
      <c r="U14374" s="28"/>
    </row>
    <row r="14375">
      <c r="N14375" s="28"/>
      <c r="O14375" s="28"/>
      <c r="U14375" s="28"/>
    </row>
    <row r="14376">
      <c r="N14376" s="28"/>
      <c r="O14376" s="28"/>
      <c r="U14376" s="28"/>
    </row>
    <row r="14377">
      <c r="N14377" s="28"/>
      <c r="O14377" s="28"/>
      <c r="U14377" s="28"/>
    </row>
    <row r="14378">
      <c r="N14378" s="28"/>
      <c r="O14378" s="28"/>
      <c r="U14378" s="28"/>
    </row>
    <row r="14379">
      <c r="N14379" s="28"/>
      <c r="O14379" s="28"/>
      <c r="U14379" s="28"/>
    </row>
    <row r="14380">
      <c r="N14380" s="28"/>
      <c r="O14380" s="28"/>
      <c r="U14380" s="28"/>
    </row>
    <row r="14381">
      <c r="N14381" s="28"/>
      <c r="O14381" s="28"/>
      <c r="U14381" s="28"/>
    </row>
    <row r="14382">
      <c r="N14382" s="28"/>
      <c r="O14382" s="28"/>
      <c r="U14382" s="28"/>
    </row>
    <row r="14383">
      <c r="N14383" s="28"/>
      <c r="O14383" s="28"/>
      <c r="U14383" s="28"/>
    </row>
    <row r="14384">
      <c r="N14384" s="28"/>
      <c r="O14384" s="28"/>
      <c r="U14384" s="28"/>
    </row>
    <row r="14385">
      <c r="N14385" s="28"/>
      <c r="O14385" s="28"/>
      <c r="U14385" s="28"/>
    </row>
    <row r="14386">
      <c r="N14386" s="28"/>
      <c r="O14386" s="28"/>
      <c r="U14386" s="28"/>
    </row>
    <row r="14387">
      <c r="N14387" s="28"/>
      <c r="O14387" s="28"/>
      <c r="U14387" s="28"/>
    </row>
    <row r="14388">
      <c r="N14388" s="28"/>
      <c r="O14388" s="28"/>
      <c r="U14388" s="28"/>
    </row>
    <row r="14389">
      <c r="N14389" s="28"/>
      <c r="O14389" s="28"/>
      <c r="U14389" s="28"/>
    </row>
    <row r="14390">
      <c r="N14390" s="28"/>
      <c r="O14390" s="28"/>
      <c r="U14390" s="28"/>
    </row>
    <row r="14391">
      <c r="N14391" s="28"/>
      <c r="O14391" s="28"/>
      <c r="U14391" s="28"/>
    </row>
    <row r="14392">
      <c r="N14392" s="28"/>
      <c r="O14392" s="28"/>
      <c r="U14392" s="28"/>
    </row>
    <row r="14393">
      <c r="N14393" s="28"/>
      <c r="O14393" s="28"/>
      <c r="U14393" s="28"/>
    </row>
    <row r="14394">
      <c r="N14394" s="28"/>
      <c r="O14394" s="28"/>
      <c r="U14394" s="28"/>
    </row>
    <row r="14395">
      <c r="N14395" s="28"/>
      <c r="O14395" s="28"/>
      <c r="U14395" s="28"/>
    </row>
    <row r="14396">
      <c r="N14396" s="28"/>
      <c r="O14396" s="28"/>
      <c r="U14396" s="28"/>
    </row>
    <row r="14397">
      <c r="N14397" s="28"/>
      <c r="O14397" s="28"/>
      <c r="U14397" s="28"/>
    </row>
    <row r="14398">
      <c r="N14398" s="28"/>
      <c r="O14398" s="28"/>
      <c r="U14398" s="28"/>
    </row>
    <row r="14399">
      <c r="N14399" s="28"/>
      <c r="O14399" s="28"/>
      <c r="U14399" s="28"/>
    </row>
    <row r="14400">
      <c r="N14400" s="28"/>
      <c r="O14400" s="28"/>
      <c r="U14400" s="28"/>
    </row>
    <row r="14401">
      <c r="N14401" s="28"/>
      <c r="O14401" s="28"/>
      <c r="U14401" s="28"/>
    </row>
    <row r="14402">
      <c r="N14402" s="28"/>
      <c r="O14402" s="28"/>
      <c r="U14402" s="28"/>
    </row>
    <row r="14403">
      <c r="N14403" s="28"/>
      <c r="O14403" s="28"/>
      <c r="U14403" s="28"/>
    </row>
    <row r="14404">
      <c r="N14404" s="28"/>
      <c r="O14404" s="28"/>
      <c r="U14404" s="28"/>
    </row>
    <row r="14405">
      <c r="N14405" s="28"/>
      <c r="O14405" s="28"/>
      <c r="U14405" s="28"/>
    </row>
    <row r="14406">
      <c r="N14406" s="28"/>
      <c r="O14406" s="28"/>
      <c r="U14406" s="28"/>
    </row>
    <row r="14407">
      <c r="N14407" s="28"/>
      <c r="O14407" s="28"/>
      <c r="U14407" s="28"/>
    </row>
    <row r="14408">
      <c r="N14408" s="28"/>
      <c r="O14408" s="28"/>
      <c r="U14408" s="28"/>
    </row>
    <row r="14409">
      <c r="N14409" s="28"/>
      <c r="O14409" s="28"/>
      <c r="U14409" s="28"/>
    </row>
    <row r="14410">
      <c r="N14410" s="28"/>
      <c r="O14410" s="28"/>
      <c r="U14410" s="28"/>
    </row>
    <row r="14411">
      <c r="N14411" s="28"/>
      <c r="O14411" s="28"/>
      <c r="U14411" s="28"/>
    </row>
    <row r="14412">
      <c r="N14412" s="28"/>
      <c r="O14412" s="28"/>
      <c r="U14412" s="28"/>
    </row>
    <row r="14413">
      <c r="N14413" s="28"/>
      <c r="O14413" s="28"/>
      <c r="U14413" s="28"/>
    </row>
    <row r="14414">
      <c r="N14414" s="28"/>
      <c r="O14414" s="28"/>
      <c r="U14414" s="28"/>
    </row>
    <row r="14415">
      <c r="N14415" s="28"/>
      <c r="O14415" s="28"/>
      <c r="U14415" s="28"/>
    </row>
    <row r="14416">
      <c r="N14416" s="28"/>
      <c r="O14416" s="28"/>
      <c r="U14416" s="28"/>
    </row>
    <row r="14417">
      <c r="N14417" s="28"/>
      <c r="O14417" s="28"/>
      <c r="U14417" s="28"/>
    </row>
    <row r="14418">
      <c r="N14418" s="28"/>
      <c r="O14418" s="28"/>
      <c r="U14418" s="28"/>
    </row>
    <row r="14419">
      <c r="N14419" s="28"/>
      <c r="O14419" s="28"/>
      <c r="U14419" s="28"/>
    </row>
    <row r="14420">
      <c r="N14420" s="28"/>
      <c r="O14420" s="28"/>
      <c r="U14420" s="28"/>
    </row>
    <row r="14421">
      <c r="N14421" s="28"/>
      <c r="O14421" s="28"/>
      <c r="U14421" s="28"/>
    </row>
    <row r="14422">
      <c r="N14422" s="28"/>
      <c r="O14422" s="28"/>
      <c r="U14422" s="28"/>
    </row>
    <row r="14423">
      <c r="N14423" s="28"/>
      <c r="O14423" s="28"/>
      <c r="U14423" s="28"/>
    </row>
    <row r="14424">
      <c r="N14424" s="28"/>
      <c r="O14424" s="28"/>
      <c r="U14424" s="28"/>
    </row>
    <row r="14425">
      <c r="N14425" s="28"/>
      <c r="O14425" s="28"/>
      <c r="U14425" s="28"/>
    </row>
    <row r="14426">
      <c r="N14426" s="28"/>
      <c r="O14426" s="28"/>
      <c r="U14426" s="28"/>
    </row>
    <row r="14427">
      <c r="N14427" s="28"/>
      <c r="O14427" s="28"/>
      <c r="U14427" s="28"/>
    </row>
    <row r="14428">
      <c r="N14428" s="28"/>
      <c r="O14428" s="28"/>
      <c r="U14428" s="28"/>
    </row>
    <row r="14429">
      <c r="N14429" s="28"/>
      <c r="O14429" s="28"/>
      <c r="U14429" s="28"/>
    </row>
    <row r="14430">
      <c r="N14430" s="28"/>
      <c r="O14430" s="28"/>
      <c r="U14430" s="28"/>
    </row>
    <row r="14431">
      <c r="N14431" s="28"/>
      <c r="O14431" s="28"/>
      <c r="U14431" s="28"/>
    </row>
    <row r="14432">
      <c r="N14432" s="28"/>
      <c r="O14432" s="28"/>
      <c r="U14432" s="28"/>
    </row>
    <row r="14433">
      <c r="N14433" s="28"/>
      <c r="O14433" s="28"/>
      <c r="U14433" s="28"/>
    </row>
    <row r="14434">
      <c r="N14434" s="28"/>
      <c r="O14434" s="28"/>
      <c r="U14434" s="28"/>
    </row>
    <row r="14435">
      <c r="N14435" s="28"/>
      <c r="O14435" s="28"/>
      <c r="U14435" s="28"/>
    </row>
    <row r="14436">
      <c r="N14436" s="28"/>
      <c r="O14436" s="28"/>
      <c r="U14436" s="28"/>
    </row>
    <row r="14437">
      <c r="N14437" s="28"/>
      <c r="O14437" s="28"/>
      <c r="U14437" s="28"/>
    </row>
    <row r="14438">
      <c r="N14438" s="28"/>
      <c r="O14438" s="28"/>
      <c r="U14438" s="28"/>
    </row>
    <row r="14439">
      <c r="N14439" s="28"/>
      <c r="O14439" s="28"/>
      <c r="U14439" s="28"/>
    </row>
    <row r="14440">
      <c r="N14440" s="28"/>
      <c r="O14440" s="28"/>
      <c r="U14440" s="28"/>
    </row>
    <row r="14441">
      <c r="N14441" s="28"/>
      <c r="O14441" s="28"/>
      <c r="U14441" s="28"/>
    </row>
    <row r="14442">
      <c r="N14442" s="28"/>
      <c r="O14442" s="28"/>
      <c r="U14442" s="28"/>
    </row>
    <row r="14443">
      <c r="N14443" s="28"/>
      <c r="O14443" s="28"/>
      <c r="U14443" s="28"/>
    </row>
    <row r="14444">
      <c r="N14444" s="28"/>
      <c r="O14444" s="28"/>
      <c r="U14444" s="28"/>
    </row>
    <row r="14445">
      <c r="N14445" s="28"/>
      <c r="O14445" s="28"/>
      <c r="U14445" s="28"/>
    </row>
    <row r="14446">
      <c r="N14446" s="28"/>
      <c r="O14446" s="28"/>
      <c r="U14446" s="28"/>
    </row>
    <row r="14447">
      <c r="N14447" s="28"/>
      <c r="O14447" s="28"/>
      <c r="U14447" s="28"/>
    </row>
    <row r="14448">
      <c r="N14448" s="28"/>
      <c r="O14448" s="28"/>
      <c r="U14448" s="28"/>
    </row>
    <row r="14449">
      <c r="N14449" s="28"/>
      <c r="O14449" s="28"/>
      <c r="U14449" s="28"/>
    </row>
    <row r="14450">
      <c r="N14450" s="28"/>
      <c r="O14450" s="28"/>
      <c r="U14450" s="28"/>
    </row>
    <row r="14451">
      <c r="N14451" s="28"/>
      <c r="O14451" s="28"/>
      <c r="U14451" s="28"/>
    </row>
    <row r="14452">
      <c r="N14452" s="28"/>
      <c r="O14452" s="28"/>
      <c r="U14452" s="28"/>
    </row>
    <row r="14453">
      <c r="N14453" s="28"/>
      <c r="O14453" s="28"/>
      <c r="U14453" s="28"/>
    </row>
    <row r="14454">
      <c r="N14454" s="28"/>
      <c r="O14454" s="28"/>
      <c r="U14454" s="28"/>
    </row>
    <row r="14455">
      <c r="N14455" s="28"/>
      <c r="O14455" s="28"/>
      <c r="U14455" s="28"/>
    </row>
    <row r="14456">
      <c r="N14456" s="28"/>
      <c r="O14456" s="28"/>
      <c r="U14456" s="28"/>
    </row>
    <row r="14457">
      <c r="N14457" s="28"/>
      <c r="O14457" s="28"/>
      <c r="U14457" s="28"/>
    </row>
    <row r="14458">
      <c r="N14458" s="28"/>
      <c r="O14458" s="28"/>
      <c r="U14458" s="28"/>
    </row>
    <row r="14459">
      <c r="N14459" s="28"/>
      <c r="O14459" s="28"/>
      <c r="U14459" s="28"/>
    </row>
    <row r="14460">
      <c r="N14460" s="28"/>
      <c r="O14460" s="28"/>
      <c r="U14460" s="28"/>
    </row>
    <row r="14461">
      <c r="N14461" s="28"/>
      <c r="O14461" s="28"/>
      <c r="U14461" s="28"/>
    </row>
    <row r="14462">
      <c r="N14462" s="28"/>
      <c r="O14462" s="28"/>
      <c r="U14462" s="28"/>
    </row>
    <row r="14463">
      <c r="N14463" s="28"/>
      <c r="O14463" s="28"/>
      <c r="U14463" s="28"/>
    </row>
    <row r="14464">
      <c r="N14464" s="28"/>
      <c r="O14464" s="28"/>
      <c r="U14464" s="28"/>
    </row>
    <row r="14465">
      <c r="N14465" s="28"/>
      <c r="O14465" s="28"/>
      <c r="U14465" s="28"/>
    </row>
    <row r="14466">
      <c r="N14466" s="28"/>
      <c r="O14466" s="28"/>
      <c r="U14466" s="28"/>
    </row>
    <row r="14467">
      <c r="N14467" s="28"/>
      <c r="O14467" s="28"/>
      <c r="U14467" s="28"/>
    </row>
    <row r="14468">
      <c r="N14468" s="28"/>
      <c r="O14468" s="28"/>
      <c r="U14468" s="28"/>
    </row>
    <row r="14469">
      <c r="N14469" s="28"/>
      <c r="O14469" s="28"/>
      <c r="U14469" s="28"/>
    </row>
    <row r="14470">
      <c r="N14470" s="28"/>
      <c r="O14470" s="28"/>
      <c r="U14470" s="28"/>
    </row>
    <row r="14471">
      <c r="N14471" s="28"/>
      <c r="O14471" s="28"/>
      <c r="U14471" s="28"/>
    </row>
    <row r="14472">
      <c r="N14472" s="28"/>
      <c r="O14472" s="28"/>
      <c r="U14472" s="28"/>
    </row>
    <row r="14473">
      <c r="N14473" s="28"/>
      <c r="O14473" s="28"/>
      <c r="U14473" s="28"/>
    </row>
    <row r="14474">
      <c r="N14474" s="28"/>
      <c r="O14474" s="28"/>
      <c r="U14474" s="28"/>
    </row>
    <row r="14475">
      <c r="N14475" s="28"/>
      <c r="O14475" s="28"/>
      <c r="U14475" s="28"/>
    </row>
    <row r="14476">
      <c r="N14476" s="28"/>
      <c r="O14476" s="28"/>
      <c r="U14476" s="28"/>
    </row>
    <row r="14477">
      <c r="N14477" s="28"/>
      <c r="O14477" s="28"/>
      <c r="U14477" s="28"/>
    </row>
    <row r="14478">
      <c r="N14478" s="28"/>
      <c r="O14478" s="28"/>
      <c r="U14478" s="28"/>
    </row>
    <row r="14479">
      <c r="N14479" s="28"/>
      <c r="O14479" s="28"/>
      <c r="U14479" s="28"/>
    </row>
    <row r="14480">
      <c r="N14480" s="28"/>
      <c r="O14480" s="28"/>
      <c r="U14480" s="28"/>
    </row>
    <row r="14481">
      <c r="N14481" s="28"/>
      <c r="O14481" s="28"/>
      <c r="U14481" s="28"/>
    </row>
    <row r="14482">
      <c r="N14482" s="28"/>
      <c r="O14482" s="28"/>
      <c r="U14482" s="28"/>
    </row>
    <row r="14483">
      <c r="N14483" s="28"/>
      <c r="O14483" s="28"/>
      <c r="U14483" s="28"/>
    </row>
    <row r="14484">
      <c r="N14484" s="28"/>
      <c r="O14484" s="28"/>
      <c r="U14484" s="28"/>
    </row>
    <row r="14485">
      <c r="N14485" s="28"/>
      <c r="O14485" s="28"/>
      <c r="U14485" s="28"/>
    </row>
    <row r="14486">
      <c r="N14486" s="28"/>
      <c r="O14486" s="28"/>
      <c r="U14486" s="28"/>
    </row>
    <row r="14487">
      <c r="N14487" s="28"/>
      <c r="O14487" s="28"/>
      <c r="U14487" s="28"/>
    </row>
    <row r="14488">
      <c r="N14488" s="28"/>
      <c r="O14488" s="28"/>
      <c r="U14488" s="28"/>
    </row>
    <row r="14489">
      <c r="N14489" s="28"/>
      <c r="O14489" s="28"/>
      <c r="U14489" s="28"/>
    </row>
    <row r="14490">
      <c r="N14490" s="28"/>
      <c r="O14490" s="28"/>
      <c r="U14490" s="28"/>
    </row>
    <row r="14491">
      <c r="N14491" s="28"/>
      <c r="O14491" s="28"/>
      <c r="U14491" s="28"/>
    </row>
    <row r="14492">
      <c r="N14492" s="28"/>
      <c r="O14492" s="28"/>
      <c r="U14492" s="28"/>
    </row>
    <row r="14493">
      <c r="N14493" s="28"/>
      <c r="O14493" s="28"/>
      <c r="U14493" s="28"/>
    </row>
    <row r="14494">
      <c r="N14494" s="28"/>
      <c r="O14494" s="28"/>
      <c r="U14494" s="28"/>
    </row>
    <row r="14495">
      <c r="N14495" s="28"/>
      <c r="O14495" s="28"/>
      <c r="U14495" s="28"/>
    </row>
    <row r="14496">
      <c r="N14496" s="28"/>
      <c r="O14496" s="28"/>
      <c r="U14496" s="28"/>
    </row>
    <row r="14497">
      <c r="N14497" s="28"/>
      <c r="O14497" s="28"/>
      <c r="U14497" s="28"/>
    </row>
    <row r="14498">
      <c r="N14498" s="28"/>
      <c r="O14498" s="28"/>
      <c r="U14498" s="28"/>
    </row>
    <row r="14499">
      <c r="N14499" s="28"/>
      <c r="O14499" s="28"/>
      <c r="U14499" s="28"/>
    </row>
    <row r="14500">
      <c r="N14500" s="28"/>
      <c r="O14500" s="28"/>
      <c r="U14500" s="28"/>
    </row>
    <row r="14501">
      <c r="N14501" s="28"/>
      <c r="O14501" s="28"/>
      <c r="U14501" s="28"/>
    </row>
    <row r="14502">
      <c r="N14502" s="28"/>
      <c r="O14502" s="28"/>
      <c r="U14502" s="28"/>
    </row>
    <row r="14503">
      <c r="N14503" s="28"/>
      <c r="O14503" s="28"/>
      <c r="U14503" s="28"/>
    </row>
    <row r="14504">
      <c r="N14504" s="28"/>
      <c r="O14504" s="28"/>
      <c r="U14504" s="28"/>
    </row>
    <row r="14505">
      <c r="N14505" s="28"/>
      <c r="O14505" s="28"/>
      <c r="U14505" s="28"/>
    </row>
    <row r="14506">
      <c r="N14506" s="28"/>
      <c r="O14506" s="28"/>
      <c r="U14506" s="28"/>
    </row>
    <row r="14507">
      <c r="N14507" s="28"/>
      <c r="O14507" s="28"/>
      <c r="U14507" s="28"/>
    </row>
    <row r="14508">
      <c r="N14508" s="28"/>
      <c r="O14508" s="28"/>
      <c r="U14508" s="28"/>
    </row>
    <row r="14509">
      <c r="N14509" s="28"/>
      <c r="O14509" s="28"/>
      <c r="U14509" s="28"/>
    </row>
    <row r="14510">
      <c r="N14510" s="28"/>
      <c r="O14510" s="28"/>
      <c r="U14510" s="28"/>
    </row>
    <row r="14511">
      <c r="N14511" s="28"/>
      <c r="O14511" s="28"/>
      <c r="U14511" s="28"/>
    </row>
    <row r="14512">
      <c r="N14512" s="28"/>
      <c r="O14512" s="28"/>
      <c r="U14512" s="28"/>
    </row>
    <row r="14513">
      <c r="N14513" s="28"/>
      <c r="O14513" s="28"/>
      <c r="U14513" s="28"/>
    </row>
    <row r="14514">
      <c r="N14514" s="28"/>
      <c r="O14514" s="28"/>
      <c r="U14514" s="28"/>
    </row>
    <row r="14515">
      <c r="N14515" s="28"/>
      <c r="O14515" s="28"/>
      <c r="U14515" s="28"/>
    </row>
    <row r="14516">
      <c r="N14516" s="28"/>
      <c r="O14516" s="28"/>
      <c r="U14516" s="28"/>
    </row>
    <row r="14517">
      <c r="N14517" s="28"/>
      <c r="O14517" s="28"/>
      <c r="U14517" s="28"/>
    </row>
    <row r="14518">
      <c r="N14518" s="28"/>
      <c r="O14518" s="28"/>
      <c r="U14518" s="28"/>
    </row>
    <row r="14519">
      <c r="N14519" s="28"/>
      <c r="O14519" s="28"/>
      <c r="U14519" s="28"/>
    </row>
    <row r="14520">
      <c r="N14520" s="28"/>
      <c r="O14520" s="28"/>
      <c r="U14520" s="28"/>
    </row>
    <row r="14521">
      <c r="N14521" s="28"/>
      <c r="O14521" s="28"/>
      <c r="U14521" s="28"/>
    </row>
    <row r="14522">
      <c r="N14522" s="28"/>
      <c r="O14522" s="28"/>
      <c r="U14522" s="28"/>
    </row>
    <row r="14523">
      <c r="N14523" s="28"/>
      <c r="O14523" s="28"/>
      <c r="U14523" s="28"/>
    </row>
    <row r="14524">
      <c r="N14524" s="28"/>
      <c r="O14524" s="28"/>
      <c r="U14524" s="28"/>
    </row>
    <row r="14525">
      <c r="N14525" s="28"/>
      <c r="O14525" s="28"/>
      <c r="U14525" s="28"/>
    </row>
    <row r="14526">
      <c r="N14526" s="28"/>
      <c r="O14526" s="28"/>
      <c r="U14526" s="28"/>
    </row>
    <row r="14527">
      <c r="N14527" s="28"/>
      <c r="O14527" s="28"/>
      <c r="U14527" s="28"/>
    </row>
    <row r="14528">
      <c r="N14528" s="28"/>
      <c r="O14528" s="28"/>
      <c r="U14528" s="28"/>
    </row>
    <row r="14529">
      <c r="N14529" s="28"/>
      <c r="O14529" s="28"/>
      <c r="U14529" s="28"/>
    </row>
    <row r="14530">
      <c r="N14530" s="28"/>
      <c r="O14530" s="28"/>
      <c r="U14530" s="28"/>
    </row>
    <row r="14531">
      <c r="N14531" s="28"/>
      <c r="O14531" s="28"/>
      <c r="U14531" s="28"/>
    </row>
    <row r="14532">
      <c r="N14532" s="28"/>
      <c r="O14532" s="28"/>
      <c r="U14532" s="28"/>
    </row>
    <row r="14533">
      <c r="N14533" s="28"/>
      <c r="O14533" s="28"/>
      <c r="U14533" s="28"/>
    </row>
    <row r="14534">
      <c r="N14534" s="28"/>
      <c r="O14534" s="28"/>
      <c r="U14534" s="28"/>
    </row>
    <row r="14535">
      <c r="N14535" s="28"/>
      <c r="O14535" s="28"/>
      <c r="U14535" s="28"/>
    </row>
    <row r="14536">
      <c r="N14536" s="28"/>
      <c r="O14536" s="28"/>
      <c r="U14536" s="28"/>
    </row>
    <row r="14537">
      <c r="N14537" s="28"/>
      <c r="O14537" s="28"/>
      <c r="U14537" s="28"/>
    </row>
    <row r="14538">
      <c r="N14538" s="28"/>
      <c r="O14538" s="28"/>
      <c r="U14538" s="28"/>
    </row>
    <row r="14539">
      <c r="N14539" s="28"/>
      <c r="O14539" s="28"/>
      <c r="U14539" s="28"/>
    </row>
    <row r="14540">
      <c r="N14540" s="28"/>
      <c r="O14540" s="28"/>
      <c r="U14540" s="28"/>
    </row>
    <row r="14541">
      <c r="N14541" s="28"/>
      <c r="O14541" s="28"/>
      <c r="U14541" s="28"/>
    </row>
    <row r="14542">
      <c r="N14542" s="28"/>
      <c r="O14542" s="28"/>
      <c r="U14542" s="28"/>
    </row>
    <row r="14543">
      <c r="N14543" s="28"/>
      <c r="O14543" s="28"/>
      <c r="U14543" s="28"/>
    </row>
    <row r="14544">
      <c r="N14544" s="28"/>
      <c r="O14544" s="28"/>
      <c r="U14544" s="28"/>
    </row>
    <row r="14545">
      <c r="N14545" s="28"/>
      <c r="O14545" s="28"/>
      <c r="U14545" s="28"/>
    </row>
    <row r="14546">
      <c r="N14546" s="28"/>
      <c r="O14546" s="28"/>
      <c r="U14546" s="28"/>
    </row>
    <row r="14547">
      <c r="N14547" s="28"/>
      <c r="O14547" s="28"/>
      <c r="U14547" s="28"/>
    </row>
    <row r="14548">
      <c r="N14548" s="28"/>
      <c r="O14548" s="28"/>
      <c r="U14548" s="28"/>
    </row>
    <row r="14549">
      <c r="N14549" s="28"/>
      <c r="O14549" s="28"/>
      <c r="U14549" s="28"/>
    </row>
    <row r="14550">
      <c r="N14550" s="28"/>
      <c r="O14550" s="28"/>
      <c r="U14550" s="28"/>
    </row>
    <row r="14551">
      <c r="N14551" s="28"/>
      <c r="O14551" s="28"/>
      <c r="U14551" s="28"/>
    </row>
    <row r="14552">
      <c r="N14552" s="28"/>
      <c r="O14552" s="28"/>
      <c r="U14552" s="28"/>
    </row>
    <row r="14553">
      <c r="N14553" s="28"/>
      <c r="O14553" s="28"/>
      <c r="U14553" s="28"/>
    </row>
    <row r="14554">
      <c r="N14554" s="28"/>
      <c r="O14554" s="28"/>
      <c r="U14554" s="28"/>
    </row>
    <row r="14555">
      <c r="N14555" s="28"/>
      <c r="O14555" s="28"/>
      <c r="U14555" s="28"/>
    </row>
    <row r="14556">
      <c r="N14556" s="28"/>
      <c r="O14556" s="28"/>
      <c r="U14556" s="28"/>
    </row>
    <row r="14557">
      <c r="N14557" s="28"/>
      <c r="O14557" s="28"/>
      <c r="U14557" s="28"/>
    </row>
    <row r="14558">
      <c r="N14558" s="28"/>
      <c r="O14558" s="28"/>
      <c r="U14558" s="28"/>
    </row>
    <row r="14559">
      <c r="N14559" s="28"/>
      <c r="O14559" s="28"/>
      <c r="U14559" s="28"/>
    </row>
    <row r="14560">
      <c r="N14560" s="28"/>
      <c r="O14560" s="28"/>
      <c r="U14560" s="28"/>
    </row>
    <row r="14561">
      <c r="N14561" s="28"/>
      <c r="O14561" s="28"/>
      <c r="U14561" s="28"/>
    </row>
    <row r="14562">
      <c r="N14562" s="28"/>
      <c r="O14562" s="28"/>
      <c r="U14562" s="28"/>
    </row>
    <row r="14563">
      <c r="N14563" s="28"/>
      <c r="O14563" s="28"/>
      <c r="U14563" s="28"/>
    </row>
    <row r="14564">
      <c r="N14564" s="28"/>
      <c r="O14564" s="28"/>
      <c r="U14564" s="28"/>
    </row>
    <row r="14565">
      <c r="N14565" s="28"/>
      <c r="O14565" s="28"/>
      <c r="U14565" s="28"/>
    </row>
    <row r="14566">
      <c r="N14566" s="28"/>
      <c r="O14566" s="28"/>
      <c r="U14566" s="28"/>
    </row>
    <row r="14567">
      <c r="N14567" s="28"/>
      <c r="O14567" s="28"/>
      <c r="U14567" s="28"/>
    </row>
    <row r="14568">
      <c r="N14568" s="28"/>
      <c r="O14568" s="28"/>
      <c r="U14568" s="28"/>
    </row>
    <row r="14569">
      <c r="N14569" s="28"/>
      <c r="O14569" s="28"/>
      <c r="U14569" s="28"/>
    </row>
    <row r="14570">
      <c r="N14570" s="28"/>
      <c r="O14570" s="28"/>
      <c r="U14570" s="28"/>
    </row>
    <row r="14571">
      <c r="N14571" s="28"/>
      <c r="O14571" s="28"/>
      <c r="U14571" s="28"/>
    </row>
    <row r="14572">
      <c r="N14572" s="28"/>
      <c r="O14572" s="28"/>
      <c r="U14572" s="28"/>
    </row>
    <row r="14573">
      <c r="N14573" s="28"/>
      <c r="O14573" s="28"/>
      <c r="U14573" s="28"/>
    </row>
    <row r="14574">
      <c r="N14574" s="28"/>
      <c r="O14574" s="28"/>
      <c r="U14574" s="28"/>
    </row>
    <row r="14575">
      <c r="N14575" s="28"/>
      <c r="O14575" s="28"/>
      <c r="U14575" s="28"/>
    </row>
    <row r="14576">
      <c r="N14576" s="28"/>
      <c r="O14576" s="28"/>
      <c r="U14576" s="28"/>
    </row>
    <row r="14577">
      <c r="N14577" s="28"/>
      <c r="O14577" s="28"/>
      <c r="U14577" s="28"/>
    </row>
    <row r="14578">
      <c r="N14578" s="28"/>
      <c r="O14578" s="28"/>
      <c r="U14578" s="28"/>
    </row>
    <row r="14579">
      <c r="N14579" s="28"/>
      <c r="O14579" s="28"/>
      <c r="U14579" s="28"/>
    </row>
    <row r="14580">
      <c r="N14580" s="28"/>
      <c r="O14580" s="28"/>
      <c r="U14580" s="28"/>
    </row>
    <row r="14581">
      <c r="N14581" s="28"/>
      <c r="O14581" s="28"/>
      <c r="U14581" s="28"/>
    </row>
    <row r="14582">
      <c r="N14582" s="28"/>
      <c r="O14582" s="28"/>
      <c r="U14582" s="28"/>
    </row>
    <row r="14583">
      <c r="N14583" s="28"/>
      <c r="O14583" s="28"/>
      <c r="U14583" s="28"/>
    </row>
    <row r="14584">
      <c r="N14584" s="28"/>
      <c r="O14584" s="28"/>
      <c r="U14584" s="28"/>
    </row>
    <row r="14585">
      <c r="N14585" s="28"/>
      <c r="O14585" s="28"/>
      <c r="U14585" s="28"/>
    </row>
    <row r="14586">
      <c r="N14586" s="28"/>
      <c r="O14586" s="28"/>
      <c r="U14586" s="28"/>
    </row>
    <row r="14587">
      <c r="N14587" s="28"/>
      <c r="O14587" s="28"/>
      <c r="U14587" s="28"/>
    </row>
    <row r="14588">
      <c r="N14588" s="28"/>
      <c r="O14588" s="28"/>
      <c r="U14588" s="28"/>
    </row>
    <row r="14589">
      <c r="N14589" s="28"/>
      <c r="O14589" s="28"/>
      <c r="U14589" s="28"/>
    </row>
    <row r="14590">
      <c r="N14590" s="28"/>
      <c r="O14590" s="28"/>
      <c r="U14590" s="28"/>
    </row>
    <row r="14591">
      <c r="N14591" s="28"/>
      <c r="O14591" s="28"/>
      <c r="U14591" s="28"/>
    </row>
    <row r="14592">
      <c r="N14592" s="28"/>
      <c r="O14592" s="28"/>
      <c r="U14592" s="28"/>
    </row>
    <row r="14593">
      <c r="N14593" s="28"/>
      <c r="O14593" s="28"/>
      <c r="U14593" s="28"/>
    </row>
    <row r="14594">
      <c r="N14594" s="28"/>
      <c r="O14594" s="28"/>
      <c r="U14594" s="28"/>
    </row>
    <row r="14595">
      <c r="N14595" s="28"/>
      <c r="O14595" s="28"/>
      <c r="U14595" s="28"/>
    </row>
    <row r="14596">
      <c r="N14596" s="28"/>
      <c r="O14596" s="28"/>
      <c r="U14596" s="28"/>
    </row>
    <row r="14597">
      <c r="N14597" s="28"/>
      <c r="O14597" s="28"/>
      <c r="U14597" s="28"/>
    </row>
    <row r="14598">
      <c r="N14598" s="28"/>
      <c r="O14598" s="28"/>
      <c r="U14598" s="28"/>
    </row>
    <row r="14599">
      <c r="N14599" s="28"/>
      <c r="O14599" s="28"/>
      <c r="U14599" s="28"/>
    </row>
    <row r="14600">
      <c r="N14600" s="28"/>
      <c r="O14600" s="28"/>
      <c r="U14600" s="28"/>
    </row>
    <row r="14601">
      <c r="N14601" s="28"/>
      <c r="O14601" s="28"/>
      <c r="U14601" s="28"/>
    </row>
    <row r="14602">
      <c r="N14602" s="28"/>
      <c r="O14602" s="28"/>
      <c r="U14602" s="28"/>
    </row>
    <row r="14603">
      <c r="N14603" s="28"/>
      <c r="O14603" s="28"/>
      <c r="U14603" s="28"/>
    </row>
    <row r="14604">
      <c r="N14604" s="28"/>
      <c r="O14604" s="28"/>
      <c r="U14604" s="28"/>
    </row>
    <row r="14605">
      <c r="N14605" s="28"/>
      <c r="O14605" s="28"/>
      <c r="U14605" s="28"/>
    </row>
    <row r="14606">
      <c r="N14606" s="28"/>
      <c r="O14606" s="28"/>
      <c r="U14606" s="28"/>
    </row>
    <row r="14607">
      <c r="N14607" s="28"/>
      <c r="O14607" s="28"/>
      <c r="U14607" s="28"/>
    </row>
    <row r="14608">
      <c r="N14608" s="28"/>
      <c r="O14608" s="28"/>
      <c r="U14608" s="28"/>
    </row>
    <row r="14609">
      <c r="N14609" s="28"/>
      <c r="O14609" s="28"/>
      <c r="U14609" s="28"/>
    </row>
    <row r="14610">
      <c r="N14610" s="28"/>
      <c r="O14610" s="28"/>
      <c r="U14610" s="28"/>
    </row>
    <row r="14611">
      <c r="N14611" s="28"/>
      <c r="O14611" s="28"/>
      <c r="U14611" s="28"/>
    </row>
    <row r="14612">
      <c r="N14612" s="28"/>
      <c r="O14612" s="28"/>
      <c r="U14612" s="28"/>
    </row>
    <row r="14613">
      <c r="N14613" s="28"/>
      <c r="O14613" s="28"/>
      <c r="U14613" s="28"/>
    </row>
    <row r="14614">
      <c r="N14614" s="28"/>
      <c r="O14614" s="28"/>
      <c r="U14614" s="28"/>
    </row>
    <row r="14615">
      <c r="N14615" s="28"/>
      <c r="O14615" s="28"/>
      <c r="U14615" s="28"/>
    </row>
    <row r="14616">
      <c r="N14616" s="28"/>
      <c r="O14616" s="28"/>
      <c r="U14616" s="28"/>
    </row>
    <row r="14617">
      <c r="N14617" s="28"/>
      <c r="O14617" s="28"/>
      <c r="U14617" s="28"/>
    </row>
    <row r="14618">
      <c r="N14618" s="28"/>
      <c r="O14618" s="28"/>
      <c r="U14618" s="28"/>
    </row>
    <row r="14619">
      <c r="N14619" s="28"/>
      <c r="O14619" s="28"/>
      <c r="U14619" s="28"/>
    </row>
    <row r="14620">
      <c r="N14620" s="28"/>
      <c r="O14620" s="28"/>
      <c r="U14620" s="28"/>
    </row>
    <row r="14621">
      <c r="N14621" s="28"/>
      <c r="O14621" s="28"/>
      <c r="U14621" s="28"/>
    </row>
    <row r="14622">
      <c r="N14622" s="28"/>
      <c r="O14622" s="28"/>
      <c r="U14622" s="28"/>
    </row>
    <row r="14623">
      <c r="N14623" s="28"/>
      <c r="O14623" s="28"/>
      <c r="U14623" s="28"/>
    </row>
    <row r="14624">
      <c r="N14624" s="28"/>
      <c r="O14624" s="28"/>
      <c r="U14624" s="28"/>
    </row>
    <row r="14625">
      <c r="N14625" s="28"/>
      <c r="O14625" s="28"/>
      <c r="U14625" s="28"/>
    </row>
    <row r="14626">
      <c r="N14626" s="28"/>
      <c r="O14626" s="28"/>
      <c r="U14626" s="28"/>
    </row>
    <row r="14627">
      <c r="N14627" s="28"/>
      <c r="O14627" s="28"/>
      <c r="U14627" s="28"/>
    </row>
    <row r="14628">
      <c r="N14628" s="28"/>
      <c r="O14628" s="28"/>
      <c r="U14628" s="28"/>
    </row>
    <row r="14629">
      <c r="N14629" s="28"/>
      <c r="O14629" s="28"/>
      <c r="U14629" s="28"/>
    </row>
    <row r="14630">
      <c r="N14630" s="28"/>
      <c r="O14630" s="28"/>
      <c r="U14630" s="28"/>
    </row>
    <row r="14631">
      <c r="N14631" s="28"/>
      <c r="O14631" s="28"/>
      <c r="U14631" s="28"/>
    </row>
    <row r="14632">
      <c r="N14632" s="28"/>
      <c r="O14632" s="28"/>
      <c r="U14632" s="28"/>
    </row>
    <row r="14633">
      <c r="N14633" s="28"/>
      <c r="O14633" s="28"/>
      <c r="U14633" s="28"/>
    </row>
    <row r="14634">
      <c r="N14634" s="28"/>
      <c r="O14634" s="28"/>
      <c r="U14634" s="28"/>
    </row>
    <row r="14635">
      <c r="N14635" s="28"/>
      <c r="O14635" s="28"/>
      <c r="U14635" s="28"/>
    </row>
    <row r="14636">
      <c r="N14636" s="28"/>
      <c r="O14636" s="28"/>
      <c r="U14636" s="28"/>
    </row>
    <row r="14637">
      <c r="N14637" s="28"/>
      <c r="O14637" s="28"/>
      <c r="U14637" s="28"/>
    </row>
    <row r="14638">
      <c r="N14638" s="28"/>
      <c r="O14638" s="28"/>
      <c r="U14638" s="28"/>
    </row>
    <row r="14639">
      <c r="N14639" s="28"/>
      <c r="O14639" s="28"/>
      <c r="U14639" s="28"/>
    </row>
    <row r="14640">
      <c r="N14640" s="28"/>
      <c r="O14640" s="28"/>
      <c r="U14640" s="28"/>
    </row>
    <row r="14641">
      <c r="N14641" s="28"/>
      <c r="O14641" s="28"/>
      <c r="U14641" s="28"/>
    </row>
    <row r="14642">
      <c r="N14642" s="28"/>
      <c r="O14642" s="28"/>
      <c r="U14642" s="28"/>
    </row>
    <row r="14643">
      <c r="N14643" s="28"/>
      <c r="O14643" s="28"/>
      <c r="U14643" s="28"/>
    </row>
    <row r="14644">
      <c r="N14644" s="28"/>
      <c r="O14644" s="28"/>
      <c r="U14644" s="28"/>
    </row>
    <row r="14645">
      <c r="N14645" s="28"/>
      <c r="O14645" s="28"/>
      <c r="U14645" s="28"/>
    </row>
    <row r="14646">
      <c r="N14646" s="28"/>
      <c r="O14646" s="28"/>
      <c r="U14646" s="28"/>
    </row>
    <row r="14647">
      <c r="N14647" s="28"/>
      <c r="O14647" s="28"/>
      <c r="U14647" s="28"/>
    </row>
    <row r="14648">
      <c r="N14648" s="28"/>
      <c r="O14648" s="28"/>
      <c r="U14648" s="28"/>
    </row>
    <row r="14649">
      <c r="N14649" s="28"/>
      <c r="O14649" s="28"/>
      <c r="U14649" s="28"/>
    </row>
    <row r="14650">
      <c r="N14650" s="28"/>
      <c r="O14650" s="28"/>
      <c r="U14650" s="28"/>
    </row>
    <row r="14651">
      <c r="N14651" s="28"/>
      <c r="O14651" s="28"/>
      <c r="U14651" s="28"/>
    </row>
    <row r="14652">
      <c r="N14652" s="28"/>
      <c r="O14652" s="28"/>
      <c r="U14652" s="28"/>
    </row>
    <row r="14653">
      <c r="N14653" s="28"/>
      <c r="O14653" s="28"/>
      <c r="U14653" s="28"/>
    </row>
    <row r="14654">
      <c r="N14654" s="28"/>
      <c r="O14654" s="28"/>
      <c r="U14654" s="28"/>
    </row>
    <row r="14655">
      <c r="N14655" s="28"/>
      <c r="O14655" s="28"/>
      <c r="U14655" s="28"/>
    </row>
    <row r="14656">
      <c r="N14656" s="28"/>
      <c r="O14656" s="28"/>
      <c r="U14656" s="28"/>
    </row>
    <row r="14657">
      <c r="N14657" s="28"/>
      <c r="O14657" s="28"/>
      <c r="U14657" s="28"/>
    </row>
    <row r="14658">
      <c r="N14658" s="28"/>
      <c r="O14658" s="28"/>
      <c r="U14658" s="28"/>
    </row>
    <row r="14659">
      <c r="N14659" s="28"/>
      <c r="O14659" s="28"/>
      <c r="U14659" s="28"/>
    </row>
    <row r="14660">
      <c r="N14660" s="28"/>
      <c r="O14660" s="28"/>
      <c r="U14660" s="28"/>
    </row>
    <row r="14661">
      <c r="N14661" s="28"/>
      <c r="O14661" s="28"/>
      <c r="U14661" s="28"/>
    </row>
    <row r="14662">
      <c r="N14662" s="28"/>
      <c r="O14662" s="28"/>
      <c r="U14662" s="28"/>
    </row>
    <row r="14663">
      <c r="N14663" s="28"/>
      <c r="O14663" s="28"/>
      <c r="U14663" s="28"/>
    </row>
    <row r="14664">
      <c r="N14664" s="28"/>
      <c r="O14664" s="28"/>
      <c r="U14664" s="28"/>
    </row>
    <row r="14665">
      <c r="N14665" s="28"/>
      <c r="O14665" s="28"/>
      <c r="U14665" s="28"/>
    </row>
    <row r="14666">
      <c r="N14666" s="28"/>
      <c r="O14666" s="28"/>
      <c r="U14666" s="28"/>
    </row>
    <row r="14667">
      <c r="N14667" s="28"/>
      <c r="O14667" s="28"/>
      <c r="U14667" s="28"/>
    </row>
    <row r="14668">
      <c r="N14668" s="28"/>
      <c r="O14668" s="28"/>
      <c r="U14668" s="28"/>
    </row>
    <row r="14669">
      <c r="N14669" s="28"/>
      <c r="O14669" s="28"/>
      <c r="U14669" s="28"/>
    </row>
    <row r="14670">
      <c r="N14670" s="28"/>
      <c r="O14670" s="28"/>
      <c r="U14670" s="28"/>
    </row>
    <row r="14671">
      <c r="N14671" s="28"/>
      <c r="O14671" s="28"/>
      <c r="U14671" s="28"/>
    </row>
    <row r="14672">
      <c r="N14672" s="28"/>
      <c r="O14672" s="28"/>
      <c r="U14672" s="28"/>
    </row>
    <row r="14673">
      <c r="N14673" s="28"/>
      <c r="O14673" s="28"/>
      <c r="U14673" s="28"/>
    </row>
    <row r="14674">
      <c r="N14674" s="28"/>
      <c r="O14674" s="28"/>
      <c r="U14674" s="28"/>
    </row>
    <row r="14675">
      <c r="N14675" s="28"/>
      <c r="O14675" s="28"/>
      <c r="U14675" s="28"/>
    </row>
    <row r="14676">
      <c r="N14676" s="28"/>
      <c r="O14676" s="28"/>
      <c r="U14676" s="28"/>
    </row>
    <row r="14677">
      <c r="N14677" s="28"/>
      <c r="O14677" s="28"/>
      <c r="U14677" s="28"/>
    </row>
    <row r="14678">
      <c r="N14678" s="28"/>
      <c r="O14678" s="28"/>
      <c r="U14678" s="28"/>
    </row>
    <row r="14679">
      <c r="N14679" s="28"/>
      <c r="O14679" s="28"/>
      <c r="U14679" s="28"/>
    </row>
    <row r="14680">
      <c r="N14680" s="28"/>
      <c r="O14680" s="28"/>
      <c r="U14680" s="28"/>
    </row>
    <row r="14681">
      <c r="N14681" s="28"/>
      <c r="O14681" s="28"/>
      <c r="U14681" s="28"/>
    </row>
    <row r="14682">
      <c r="N14682" s="28"/>
      <c r="O14682" s="28"/>
      <c r="U14682" s="28"/>
    </row>
    <row r="14683">
      <c r="N14683" s="28"/>
      <c r="O14683" s="28"/>
      <c r="U14683" s="28"/>
    </row>
    <row r="14684">
      <c r="N14684" s="28"/>
      <c r="O14684" s="28"/>
      <c r="U14684" s="28"/>
    </row>
    <row r="14685">
      <c r="N14685" s="28"/>
      <c r="O14685" s="28"/>
      <c r="U14685" s="28"/>
    </row>
    <row r="14686">
      <c r="N14686" s="28"/>
      <c r="O14686" s="28"/>
      <c r="U14686" s="28"/>
    </row>
    <row r="14687">
      <c r="N14687" s="28"/>
      <c r="O14687" s="28"/>
      <c r="U14687" s="28"/>
    </row>
    <row r="14688">
      <c r="N14688" s="28"/>
      <c r="O14688" s="28"/>
      <c r="U14688" s="28"/>
    </row>
    <row r="14689">
      <c r="N14689" s="28"/>
      <c r="O14689" s="28"/>
      <c r="U14689" s="28"/>
    </row>
    <row r="14690">
      <c r="N14690" s="28"/>
      <c r="O14690" s="28"/>
      <c r="U14690" s="28"/>
    </row>
    <row r="14691">
      <c r="N14691" s="28"/>
      <c r="O14691" s="28"/>
      <c r="U14691" s="28"/>
    </row>
    <row r="14692">
      <c r="N14692" s="28"/>
      <c r="O14692" s="28"/>
      <c r="U14692" s="28"/>
    </row>
    <row r="14693">
      <c r="N14693" s="28"/>
      <c r="O14693" s="28"/>
      <c r="U14693" s="28"/>
    </row>
    <row r="14694">
      <c r="N14694" s="28"/>
      <c r="O14694" s="28"/>
      <c r="U14694" s="28"/>
    </row>
    <row r="14695">
      <c r="N14695" s="28"/>
      <c r="O14695" s="28"/>
      <c r="U14695" s="28"/>
    </row>
    <row r="14696">
      <c r="N14696" s="28"/>
      <c r="O14696" s="28"/>
      <c r="U14696" s="28"/>
    </row>
    <row r="14697">
      <c r="N14697" s="28"/>
      <c r="O14697" s="28"/>
      <c r="U14697" s="28"/>
    </row>
    <row r="14698">
      <c r="N14698" s="28"/>
      <c r="O14698" s="28"/>
      <c r="U14698" s="28"/>
    </row>
    <row r="14699">
      <c r="N14699" s="28"/>
      <c r="O14699" s="28"/>
      <c r="U14699" s="28"/>
    </row>
    <row r="14700">
      <c r="N14700" s="28"/>
      <c r="O14700" s="28"/>
      <c r="U14700" s="28"/>
    </row>
    <row r="14701">
      <c r="N14701" s="28"/>
      <c r="O14701" s="28"/>
      <c r="U14701" s="28"/>
    </row>
    <row r="14702">
      <c r="N14702" s="28"/>
      <c r="O14702" s="28"/>
      <c r="U14702" s="28"/>
    </row>
    <row r="14703">
      <c r="N14703" s="28"/>
      <c r="O14703" s="28"/>
      <c r="U14703" s="28"/>
    </row>
    <row r="14704">
      <c r="N14704" s="28"/>
      <c r="O14704" s="28"/>
      <c r="U14704" s="28"/>
    </row>
    <row r="14705">
      <c r="N14705" s="28"/>
      <c r="O14705" s="28"/>
      <c r="U14705" s="28"/>
    </row>
    <row r="14706">
      <c r="N14706" s="28"/>
      <c r="O14706" s="28"/>
      <c r="U14706" s="28"/>
    </row>
    <row r="14707">
      <c r="N14707" s="28"/>
      <c r="O14707" s="28"/>
      <c r="U14707" s="28"/>
    </row>
    <row r="14708">
      <c r="N14708" s="28"/>
      <c r="O14708" s="28"/>
      <c r="U14708" s="28"/>
    </row>
    <row r="14709">
      <c r="N14709" s="28"/>
      <c r="O14709" s="28"/>
      <c r="U14709" s="28"/>
    </row>
    <row r="14710">
      <c r="N14710" s="28"/>
      <c r="O14710" s="28"/>
      <c r="U14710" s="28"/>
    </row>
    <row r="14711">
      <c r="N14711" s="28"/>
      <c r="O14711" s="28"/>
      <c r="U14711" s="28"/>
    </row>
    <row r="14712">
      <c r="N14712" s="28"/>
      <c r="O14712" s="28"/>
      <c r="U14712" s="28"/>
    </row>
    <row r="14713">
      <c r="N14713" s="28"/>
      <c r="O14713" s="28"/>
      <c r="U14713" s="28"/>
    </row>
    <row r="14714">
      <c r="N14714" s="28"/>
      <c r="O14714" s="28"/>
      <c r="U14714" s="28"/>
    </row>
    <row r="14715">
      <c r="N14715" s="28"/>
      <c r="O14715" s="28"/>
      <c r="U14715" s="28"/>
    </row>
    <row r="14716">
      <c r="N14716" s="28"/>
      <c r="O14716" s="28"/>
      <c r="U14716" s="28"/>
    </row>
    <row r="14717">
      <c r="N14717" s="28"/>
      <c r="O14717" s="28"/>
      <c r="U14717" s="28"/>
    </row>
    <row r="14718">
      <c r="N14718" s="28"/>
      <c r="O14718" s="28"/>
      <c r="U14718" s="28"/>
    </row>
    <row r="14719">
      <c r="N14719" s="28"/>
      <c r="O14719" s="28"/>
      <c r="U14719" s="28"/>
    </row>
    <row r="14720">
      <c r="N14720" s="28"/>
      <c r="O14720" s="28"/>
      <c r="U14720" s="28"/>
    </row>
    <row r="14721">
      <c r="N14721" s="28"/>
      <c r="O14721" s="28"/>
      <c r="U14721" s="28"/>
    </row>
    <row r="14722">
      <c r="N14722" s="28"/>
      <c r="O14722" s="28"/>
      <c r="U14722" s="28"/>
    </row>
    <row r="14723">
      <c r="N14723" s="28"/>
      <c r="O14723" s="28"/>
      <c r="U14723" s="28"/>
    </row>
    <row r="14724">
      <c r="N14724" s="28"/>
      <c r="O14724" s="28"/>
      <c r="U14724" s="28"/>
    </row>
    <row r="14725">
      <c r="N14725" s="28"/>
      <c r="O14725" s="28"/>
      <c r="U14725" s="28"/>
    </row>
    <row r="14726">
      <c r="N14726" s="28"/>
      <c r="O14726" s="28"/>
      <c r="U14726" s="28"/>
    </row>
    <row r="14727">
      <c r="N14727" s="28"/>
      <c r="O14727" s="28"/>
      <c r="U14727" s="28"/>
    </row>
    <row r="14728">
      <c r="N14728" s="28"/>
      <c r="O14728" s="28"/>
      <c r="U14728" s="28"/>
    </row>
    <row r="14729">
      <c r="N14729" s="28"/>
      <c r="O14729" s="28"/>
      <c r="U14729" s="28"/>
    </row>
    <row r="14730">
      <c r="N14730" s="28"/>
      <c r="O14730" s="28"/>
      <c r="U14730" s="28"/>
    </row>
    <row r="14731">
      <c r="N14731" s="28"/>
      <c r="O14731" s="28"/>
      <c r="U14731" s="28"/>
    </row>
    <row r="14732">
      <c r="N14732" s="28"/>
      <c r="O14732" s="28"/>
      <c r="U14732" s="28"/>
    </row>
    <row r="14733">
      <c r="N14733" s="28"/>
      <c r="O14733" s="28"/>
      <c r="U14733" s="28"/>
    </row>
    <row r="14734">
      <c r="N14734" s="28"/>
      <c r="O14734" s="28"/>
      <c r="U14734" s="28"/>
    </row>
    <row r="14735">
      <c r="N14735" s="28"/>
      <c r="O14735" s="28"/>
      <c r="U14735" s="28"/>
    </row>
    <row r="14736">
      <c r="N14736" s="28"/>
      <c r="O14736" s="28"/>
      <c r="U14736" s="28"/>
    </row>
    <row r="14737">
      <c r="N14737" s="28"/>
      <c r="O14737" s="28"/>
      <c r="U14737" s="28"/>
    </row>
    <row r="14738">
      <c r="N14738" s="28"/>
      <c r="O14738" s="28"/>
      <c r="U14738" s="28"/>
    </row>
    <row r="14739">
      <c r="N14739" s="28"/>
      <c r="O14739" s="28"/>
      <c r="U14739" s="28"/>
    </row>
    <row r="14740">
      <c r="N14740" s="28"/>
      <c r="O14740" s="28"/>
      <c r="U14740" s="28"/>
    </row>
    <row r="14741">
      <c r="N14741" s="28"/>
      <c r="O14741" s="28"/>
      <c r="U14741" s="28"/>
    </row>
    <row r="14742">
      <c r="N14742" s="28"/>
      <c r="O14742" s="28"/>
      <c r="U14742" s="28"/>
    </row>
    <row r="14743">
      <c r="N14743" s="28"/>
      <c r="O14743" s="28"/>
      <c r="U14743" s="28"/>
    </row>
    <row r="14744">
      <c r="N14744" s="28"/>
      <c r="O14744" s="28"/>
      <c r="U14744" s="28"/>
    </row>
    <row r="14745">
      <c r="N14745" s="28"/>
      <c r="O14745" s="28"/>
      <c r="U14745" s="28"/>
    </row>
    <row r="14746">
      <c r="N14746" s="28"/>
      <c r="O14746" s="28"/>
      <c r="U14746" s="28"/>
    </row>
    <row r="14747">
      <c r="N14747" s="28"/>
      <c r="O14747" s="28"/>
      <c r="U14747" s="28"/>
    </row>
    <row r="14748">
      <c r="N14748" s="28"/>
      <c r="O14748" s="28"/>
      <c r="U14748" s="28"/>
    </row>
    <row r="14749">
      <c r="N14749" s="28"/>
      <c r="O14749" s="28"/>
      <c r="U14749" s="28"/>
    </row>
    <row r="14750">
      <c r="N14750" s="28"/>
      <c r="O14750" s="28"/>
      <c r="U14750" s="28"/>
    </row>
    <row r="14751">
      <c r="N14751" s="28"/>
      <c r="O14751" s="28"/>
      <c r="U14751" s="28"/>
    </row>
    <row r="14752">
      <c r="N14752" s="28"/>
      <c r="O14752" s="28"/>
      <c r="U14752" s="28"/>
    </row>
    <row r="14753">
      <c r="N14753" s="28"/>
      <c r="O14753" s="28"/>
      <c r="U14753" s="28"/>
    </row>
    <row r="14754">
      <c r="N14754" s="28"/>
      <c r="O14754" s="28"/>
      <c r="U14754" s="28"/>
    </row>
    <row r="14755">
      <c r="N14755" s="28"/>
      <c r="O14755" s="28"/>
      <c r="U14755" s="28"/>
    </row>
    <row r="14756">
      <c r="N14756" s="28"/>
      <c r="O14756" s="28"/>
      <c r="U14756" s="28"/>
    </row>
    <row r="14757">
      <c r="N14757" s="28"/>
      <c r="O14757" s="28"/>
      <c r="U14757" s="28"/>
    </row>
    <row r="14758">
      <c r="N14758" s="28"/>
      <c r="O14758" s="28"/>
      <c r="U14758" s="28"/>
    </row>
    <row r="14759">
      <c r="N14759" s="28"/>
      <c r="O14759" s="28"/>
      <c r="U14759" s="28"/>
    </row>
    <row r="14760">
      <c r="N14760" s="28"/>
      <c r="O14760" s="28"/>
      <c r="U14760" s="28"/>
    </row>
    <row r="14761">
      <c r="N14761" s="28"/>
      <c r="O14761" s="28"/>
      <c r="U14761" s="28"/>
    </row>
    <row r="14762">
      <c r="N14762" s="28"/>
      <c r="O14762" s="28"/>
      <c r="U14762" s="28"/>
    </row>
    <row r="14763">
      <c r="N14763" s="28"/>
      <c r="O14763" s="28"/>
      <c r="U14763" s="28"/>
    </row>
    <row r="14764">
      <c r="N14764" s="28"/>
      <c r="O14764" s="28"/>
      <c r="U14764" s="28"/>
    </row>
    <row r="14765">
      <c r="N14765" s="28"/>
      <c r="O14765" s="28"/>
      <c r="U14765" s="28"/>
    </row>
    <row r="14766">
      <c r="N14766" s="28"/>
      <c r="O14766" s="28"/>
      <c r="U14766" s="28"/>
    </row>
    <row r="14767">
      <c r="N14767" s="28"/>
      <c r="O14767" s="28"/>
      <c r="U14767" s="28"/>
    </row>
    <row r="14768">
      <c r="N14768" s="28"/>
      <c r="O14768" s="28"/>
      <c r="U14768" s="28"/>
    </row>
    <row r="14769">
      <c r="N14769" s="28"/>
      <c r="O14769" s="28"/>
      <c r="U14769" s="28"/>
    </row>
    <row r="14770">
      <c r="N14770" s="28"/>
      <c r="O14770" s="28"/>
      <c r="U14770" s="28"/>
    </row>
    <row r="14771">
      <c r="N14771" s="28"/>
      <c r="O14771" s="28"/>
      <c r="U14771" s="28"/>
    </row>
    <row r="14772">
      <c r="N14772" s="28"/>
      <c r="O14772" s="28"/>
      <c r="U14772" s="28"/>
    </row>
    <row r="14773">
      <c r="N14773" s="28"/>
      <c r="O14773" s="28"/>
      <c r="U14773" s="28"/>
    </row>
    <row r="14774">
      <c r="N14774" s="28"/>
      <c r="O14774" s="28"/>
      <c r="U14774" s="28"/>
    </row>
    <row r="14775">
      <c r="N14775" s="28"/>
      <c r="O14775" s="28"/>
      <c r="U14775" s="28"/>
    </row>
    <row r="14776">
      <c r="N14776" s="28"/>
      <c r="O14776" s="28"/>
      <c r="U14776" s="28"/>
    </row>
    <row r="14777">
      <c r="N14777" s="28"/>
      <c r="O14777" s="28"/>
      <c r="U14777" s="28"/>
    </row>
    <row r="14778">
      <c r="N14778" s="28"/>
      <c r="O14778" s="28"/>
      <c r="U14778" s="28"/>
    </row>
    <row r="14779">
      <c r="N14779" s="28"/>
      <c r="O14779" s="28"/>
      <c r="U14779" s="28"/>
    </row>
    <row r="14780">
      <c r="N14780" s="28"/>
      <c r="O14780" s="28"/>
      <c r="U14780" s="28"/>
    </row>
    <row r="14781">
      <c r="N14781" s="28"/>
      <c r="O14781" s="28"/>
      <c r="U14781" s="28"/>
    </row>
    <row r="14782">
      <c r="N14782" s="28"/>
      <c r="O14782" s="28"/>
      <c r="U14782" s="28"/>
    </row>
    <row r="14783">
      <c r="N14783" s="28"/>
      <c r="O14783" s="28"/>
      <c r="U14783" s="28"/>
    </row>
    <row r="14784">
      <c r="N14784" s="28"/>
      <c r="O14784" s="28"/>
      <c r="U14784" s="28"/>
    </row>
    <row r="14785">
      <c r="N14785" s="28"/>
      <c r="O14785" s="28"/>
      <c r="U14785" s="28"/>
    </row>
    <row r="14786">
      <c r="N14786" s="28"/>
      <c r="O14786" s="28"/>
      <c r="U14786" s="28"/>
    </row>
    <row r="14787">
      <c r="N14787" s="28"/>
      <c r="O14787" s="28"/>
      <c r="U14787" s="28"/>
    </row>
    <row r="14788">
      <c r="N14788" s="28"/>
      <c r="O14788" s="28"/>
      <c r="U14788" s="28"/>
    </row>
    <row r="14789">
      <c r="N14789" s="28"/>
      <c r="O14789" s="28"/>
      <c r="U14789" s="28"/>
    </row>
    <row r="14790">
      <c r="N14790" s="28"/>
      <c r="O14790" s="28"/>
      <c r="U14790" s="28"/>
    </row>
    <row r="14791">
      <c r="N14791" s="28"/>
      <c r="O14791" s="28"/>
      <c r="U14791" s="28"/>
    </row>
    <row r="14792">
      <c r="N14792" s="28"/>
      <c r="O14792" s="28"/>
      <c r="U14792" s="28"/>
    </row>
    <row r="14793">
      <c r="N14793" s="28"/>
      <c r="O14793" s="28"/>
      <c r="U14793" s="28"/>
    </row>
    <row r="14794">
      <c r="N14794" s="28"/>
      <c r="O14794" s="28"/>
      <c r="U14794" s="28"/>
    </row>
    <row r="14795">
      <c r="N14795" s="28"/>
      <c r="O14795" s="28"/>
      <c r="U14795" s="28"/>
    </row>
    <row r="14796">
      <c r="N14796" s="28"/>
      <c r="O14796" s="28"/>
      <c r="U14796" s="28"/>
    </row>
    <row r="14797">
      <c r="N14797" s="28"/>
      <c r="O14797" s="28"/>
      <c r="U14797" s="28"/>
    </row>
    <row r="14798">
      <c r="N14798" s="28"/>
      <c r="O14798" s="28"/>
      <c r="U14798" s="28"/>
    </row>
    <row r="14799">
      <c r="N14799" s="28"/>
      <c r="O14799" s="28"/>
      <c r="U14799" s="28"/>
    </row>
    <row r="14800">
      <c r="N14800" s="28"/>
      <c r="O14800" s="28"/>
      <c r="U14800" s="28"/>
    </row>
    <row r="14801">
      <c r="N14801" s="28"/>
      <c r="O14801" s="28"/>
      <c r="U14801" s="28"/>
    </row>
    <row r="14802">
      <c r="N14802" s="28"/>
      <c r="O14802" s="28"/>
      <c r="U14802" s="28"/>
    </row>
    <row r="14803">
      <c r="N14803" s="28"/>
      <c r="O14803" s="28"/>
      <c r="U14803" s="28"/>
    </row>
    <row r="14804">
      <c r="N14804" s="28"/>
      <c r="O14804" s="28"/>
      <c r="U14804" s="28"/>
    </row>
    <row r="14805">
      <c r="N14805" s="28"/>
      <c r="O14805" s="28"/>
      <c r="U14805" s="28"/>
    </row>
    <row r="14806">
      <c r="N14806" s="28"/>
      <c r="O14806" s="28"/>
      <c r="U14806" s="28"/>
    </row>
    <row r="14807">
      <c r="N14807" s="28"/>
      <c r="O14807" s="28"/>
      <c r="U14807" s="28"/>
    </row>
    <row r="14808">
      <c r="N14808" s="28"/>
      <c r="O14808" s="28"/>
      <c r="U14808" s="28"/>
    </row>
    <row r="14809">
      <c r="N14809" s="28"/>
      <c r="O14809" s="28"/>
      <c r="U14809" s="28"/>
    </row>
    <row r="14810">
      <c r="N14810" s="28"/>
      <c r="O14810" s="28"/>
      <c r="U14810" s="28"/>
    </row>
    <row r="14811">
      <c r="N14811" s="28"/>
      <c r="O14811" s="28"/>
      <c r="U14811" s="28"/>
    </row>
    <row r="14812">
      <c r="N14812" s="28"/>
      <c r="O14812" s="28"/>
      <c r="U14812" s="28"/>
    </row>
    <row r="14813">
      <c r="N14813" s="28"/>
      <c r="O14813" s="28"/>
      <c r="U14813" s="28"/>
    </row>
    <row r="14814">
      <c r="N14814" s="28"/>
      <c r="O14814" s="28"/>
      <c r="U14814" s="28"/>
    </row>
    <row r="14815">
      <c r="N14815" s="28"/>
      <c r="O14815" s="28"/>
      <c r="U14815" s="28"/>
    </row>
    <row r="14816">
      <c r="N14816" s="28"/>
      <c r="O14816" s="28"/>
      <c r="U14816" s="28"/>
    </row>
    <row r="14817">
      <c r="N14817" s="28"/>
      <c r="O14817" s="28"/>
      <c r="U14817" s="28"/>
    </row>
    <row r="14818">
      <c r="N14818" s="28"/>
      <c r="O14818" s="28"/>
      <c r="U14818" s="28"/>
    </row>
    <row r="14819">
      <c r="N14819" s="28"/>
      <c r="O14819" s="28"/>
      <c r="U14819" s="28"/>
    </row>
    <row r="14820">
      <c r="N14820" s="28"/>
      <c r="O14820" s="28"/>
      <c r="U14820" s="28"/>
    </row>
    <row r="14821">
      <c r="N14821" s="28"/>
      <c r="O14821" s="28"/>
      <c r="U14821" s="28"/>
    </row>
    <row r="14822">
      <c r="N14822" s="28"/>
      <c r="O14822" s="28"/>
      <c r="U14822" s="28"/>
    </row>
    <row r="14823">
      <c r="N14823" s="28"/>
      <c r="O14823" s="28"/>
      <c r="U14823" s="28"/>
    </row>
    <row r="14824">
      <c r="N14824" s="28"/>
      <c r="O14824" s="28"/>
      <c r="U14824" s="28"/>
    </row>
    <row r="14825">
      <c r="N14825" s="28"/>
      <c r="O14825" s="28"/>
      <c r="U14825" s="28"/>
    </row>
    <row r="14826">
      <c r="N14826" s="28"/>
      <c r="O14826" s="28"/>
      <c r="U14826" s="28"/>
    </row>
    <row r="14827">
      <c r="N14827" s="28"/>
      <c r="O14827" s="28"/>
      <c r="U14827" s="28"/>
    </row>
    <row r="14828">
      <c r="N14828" s="28"/>
      <c r="O14828" s="28"/>
      <c r="U14828" s="28"/>
    </row>
    <row r="14829">
      <c r="N14829" s="28"/>
      <c r="O14829" s="28"/>
      <c r="U14829" s="28"/>
    </row>
    <row r="14830">
      <c r="N14830" s="28"/>
      <c r="O14830" s="28"/>
      <c r="U14830" s="28"/>
    </row>
    <row r="14831">
      <c r="N14831" s="28"/>
      <c r="O14831" s="28"/>
      <c r="U14831" s="28"/>
    </row>
    <row r="14832">
      <c r="N14832" s="28"/>
      <c r="O14832" s="28"/>
      <c r="U14832" s="28"/>
    </row>
    <row r="14833">
      <c r="N14833" s="28"/>
      <c r="O14833" s="28"/>
      <c r="U14833" s="28"/>
    </row>
    <row r="14834">
      <c r="N14834" s="28"/>
      <c r="O14834" s="28"/>
      <c r="U14834" s="28"/>
    </row>
    <row r="14835">
      <c r="N14835" s="28"/>
      <c r="O14835" s="28"/>
      <c r="U14835" s="28"/>
    </row>
    <row r="14836">
      <c r="N14836" s="28"/>
      <c r="O14836" s="28"/>
      <c r="U14836" s="28"/>
    </row>
    <row r="14837">
      <c r="N14837" s="28"/>
      <c r="O14837" s="28"/>
      <c r="U14837" s="28"/>
    </row>
    <row r="14838">
      <c r="N14838" s="28"/>
      <c r="O14838" s="28"/>
      <c r="U14838" s="28"/>
    </row>
    <row r="14839">
      <c r="N14839" s="28"/>
      <c r="O14839" s="28"/>
      <c r="U14839" s="28"/>
    </row>
    <row r="14840">
      <c r="N14840" s="28"/>
      <c r="O14840" s="28"/>
      <c r="U14840" s="28"/>
    </row>
    <row r="14841">
      <c r="N14841" s="28"/>
      <c r="O14841" s="28"/>
      <c r="U14841" s="28"/>
    </row>
    <row r="14842">
      <c r="N14842" s="28"/>
      <c r="O14842" s="28"/>
      <c r="U14842" s="28"/>
    </row>
    <row r="14843">
      <c r="N14843" s="28"/>
      <c r="O14843" s="28"/>
      <c r="U14843" s="28"/>
    </row>
    <row r="14844">
      <c r="N14844" s="28"/>
      <c r="O14844" s="28"/>
      <c r="U14844" s="28"/>
    </row>
    <row r="14845">
      <c r="N14845" s="28"/>
      <c r="O14845" s="28"/>
      <c r="U14845" s="28"/>
    </row>
    <row r="14846">
      <c r="N14846" s="28"/>
      <c r="O14846" s="28"/>
      <c r="U14846" s="28"/>
    </row>
    <row r="14847">
      <c r="N14847" s="28"/>
      <c r="O14847" s="28"/>
      <c r="U14847" s="28"/>
    </row>
    <row r="14848">
      <c r="N14848" s="28"/>
      <c r="O14848" s="28"/>
      <c r="U14848" s="28"/>
    </row>
    <row r="14849">
      <c r="N14849" s="28"/>
      <c r="O14849" s="28"/>
      <c r="U14849" s="28"/>
    </row>
    <row r="14850">
      <c r="N14850" s="28"/>
      <c r="O14850" s="28"/>
      <c r="U14850" s="28"/>
    </row>
    <row r="14851">
      <c r="N14851" s="28"/>
      <c r="O14851" s="28"/>
      <c r="U14851" s="28"/>
    </row>
    <row r="14852">
      <c r="N14852" s="28"/>
      <c r="O14852" s="28"/>
      <c r="U14852" s="28"/>
    </row>
    <row r="14853">
      <c r="N14853" s="28"/>
      <c r="O14853" s="28"/>
      <c r="U14853" s="28"/>
    </row>
    <row r="14854">
      <c r="N14854" s="28"/>
      <c r="O14854" s="28"/>
      <c r="U14854" s="28"/>
    </row>
    <row r="14855">
      <c r="N14855" s="28"/>
      <c r="O14855" s="28"/>
      <c r="U14855" s="28"/>
    </row>
    <row r="14856">
      <c r="N14856" s="28"/>
      <c r="O14856" s="28"/>
      <c r="U14856" s="28"/>
    </row>
    <row r="14857">
      <c r="N14857" s="28"/>
      <c r="O14857" s="28"/>
      <c r="U14857" s="28"/>
    </row>
    <row r="14858">
      <c r="N14858" s="28"/>
      <c r="O14858" s="28"/>
      <c r="U14858" s="28"/>
    </row>
    <row r="14859">
      <c r="N14859" s="28"/>
      <c r="O14859" s="28"/>
      <c r="U14859" s="28"/>
    </row>
    <row r="14860">
      <c r="N14860" s="28"/>
      <c r="O14860" s="28"/>
      <c r="U14860" s="28"/>
    </row>
    <row r="14861">
      <c r="N14861" s="28"/>
      <c r="O14861" s="28"/>
      <c r="U14861" s="28"/>
    </row>
    <row r="14862">
      <c r="N14862" s="28"/>
      <c r="O14862" s="28"/>
      <c r="U14862" s="28"/>
    </row>
    <row r="14863">
      <c r="N14863" s="28"/>
      <c r="O14863" s="28"/>
      <c r="U14863" s="28"/>
    </row>
    <row r="14864">
      <c r="N14864" s="28"/>
      <c r="O14864" s="28"/>
      <c r="U14864" s="28"/>
    </row>
    <row r="14865">
      <c r="N14865" s="28"/>
      <c r="O14865" s="28"/>
      <c r="U14865" s="28"/>
    </row>
    <row r="14866">
      <c r="N14866" s="28"/>
      <c r="O14866" s="28"/>
      <c r="U14866" s="28"/>
    </row>
    <row r="14867">
      <c r="N14867" s="28"/>
      <c r="O14867" s="28"/>
      <c r="U14867" s="28"/>
    </row>
    <row r="14868">
      <c r="N14868" s="28"/>
      <c r="O14868" s="28"/>
      <c r="U14868" s="28"/>
    </row>
    <row r="14869">
      <c r="N14869" s="28"/>
      <c r="O14869" s="28"/>
      <c r="U14869" s="28"/>
    </row>
    <row r="14870">
      <c r="N14870" s="28"/>
      <c r="O14870" s="28"/>
      <c r="U14870" s="28"/>
    </row>
    <row r="14871">
      <c r="N14871" s="28"/>
      <c r="O14871" s="28"/>
      <c r="U14871" s="28"/>
    </row>
    <row r="14872">
      <c r="N14872" s="28"/>
      <c r="O14872" s="28"/>
      <c r="U14872" s="28"/>
    </row>
    <row r="14873">
      <c r="N14873" s="28"/>
      <c r="O14873" s="28"/>
      <c r="U14873" s="28"/>
    </row>
    <row r="14874">
      <c r="N14874" s="28"/>
      <c r="O14874" s="28"/>
      <c r="U14874" s="28"/>
    </row>
    <row r="14875">
      <c r="N14875" s="28"/>
      <c r="O14875" s="28"/>
      <c r="U14875" s="28"/>
    </row>
    <row r="14876">
      <c r="N14876" s="28"/>
      <c r="O14876" s="28"/>
      <c r="U14876" s="28"/>
    </row>
    <row r="14877">
      <c r="N14877" s="28"/>
      <c r="O14877" s="28"/>
      <c r="U14877" s="28"/>
    </row>
    <row r="14878">
      <c r="N14878" s="28"/>
      <c r="O14878" s="28"/>
      <c r="U14878" s="28"/>
    </row>
    <row r="14879">
      <c r="N14879" s="28"/>
      <c r="O14879" s="28"/>
      <c r="U14879" s="28"/>
    </row>
    <row r="14880">
      <c r="N14880" s="28"/>
      <c r="O14880" s="28"/>
      <c r="U14880" s="28"/>
    </row>
    <row r="14881">
      <c r="N14881" s="28"/>
      <c r="O14881" s="28"/>
      <c r="U14881" s="28"/>
    </row>
    <row r="14882">
      <c r="N14882" s="28"/>
      <c r="O14882" s="28"/>
      <c r="U14882" s="28"/>
    </row>
    <row r="14883">
      <c r="N14883" s="28"/>
      <c r="O14883" s="28"/>
      <c r="U14883" s="28"/>
    </row>
    <row r="14884">
      <c r="N14884" s="28"/>
      <c r="O14884" s="28"/>
      <c r="U14884" s="28"/>
    </row>
    <row r="14885">
      <c r="N14885" s="28"/>
      <c r="O14885" s="28"/>
      <c r="U14885" s="28"/>
    </row>
    <row r="14886">
      <c r="N14886" s="28"/>
      <c r="O14886" s="28"/>
      <c r="U14886" s="28"/>
    </row>
    <row r="14887">
      <c r="N14887" s="28"/>
      <c r="O14887" s="28"/>
      <c r="U14887" s="28"/>
    </row>
    <row r="14888">
      <c r="N14888" s="28"/>
      <c r="O14888" s="28"/>
      <c r="U14888" s="28"/>
    </row>
    <row r="14889">
      <c r="N14889" s="28"/>
      <c r="O14889" s="28"/>
      <c r="U14889" s="28"/>
    </row>
    <row r="14890">
      <c r="N14890" s="28"/>
      <c r="O14890" s="28"/>
      <c r="U14890" s="28"/>
    </row>
    <row r="14891">
      <c r="N14891" s="28"/>
      <c r="O14891" s="28"/>
      <c r="U14891" s="28"/>
    </row>
    <row r="14892">
      <c r="N14892" s="28"/>
      <c r="O14892" s="28"/>
      <c r="U14892" s="28"/>
    </row>
    <row r="14893">
      <c r="N14893" s="28"/>
      <c r="O14893" s="28"/>
      <c r="U14893" s="28"/>
    </row>
    <row r="14894">
      <c r="N14894" s="28"/>
      <c r="O14894" s="28"/>
      <c r="U14894" s="28"/>
    </row>
    <row r="14895">
      <c r="N14895" s="28"/>
      <c r="O14895" s="28"/>
      <c r="U14895" s="28"/>
    </row>
    <row r="14896">
      <c r="N14896" s="28"/>
      <c r="O14896" s="28"/>
      <c r="U14896" s="28"/>
    </row>
    <row r="14897">
      <c r="N14897" s="28"/>
      <c r="O14897" s="28"/>
      <c r="U14897" s="28"/>
    </row>
    <row r="14898">
      <c r="N14898" s="28"/>
      <c r="O14898" s="28"/>
      <c r="U14898" s="28"/>
    </row>
    <row r="14899">
      <c r="N14899" s="28"/>
      <c r="O14899" s="28"/>
      <c r="U14899" s="28"/>
    </row>
    <row r="14900">
      <c r="N14900" s="28"/>
      <c r="O14900" s="28"/>
      <c r="U14900" s="28"/>
    </row>
    <row r="14901">
      <c r="N14901" s="28"/>
      <c r="O14901" s="28"/>
      <c r="U14901" s="28"/>
    </row>
    <row r="14902">
      <c r="N14902" s="28"/>
      <c r="O14902" s="28"/>
      <c r="U14902" s="28"/>
    </row>
    <row r="14903">
      <c r="N14903" s="28"/>
      <c r="O14903" s="28"/>
      <c r="U14903" s="28"/>
    </row>
    <row r="14904">
      <c r="N14904" s="28"/>
      <c r="O14904" s="28"/>
      <c r="U14904" s="28"/>
    </row>
    <row r="14905">
      <c r="N14905" s="28"/>
      <c r="O14905" s="28"/>
      <c r="U14905" s="28"/>
    </row>
    <row r="14906">
      <c r="N14906" s="28"/>
      <c r="O14906" s="28"/>
      <c r="U14906" s="28"/>
    </row>
    <row r="14907">
      <c r="N14907" s="28"/>
      <c r="O14907" s="28"/>
      <c r="U14907" s="28"/>
    </row>
    <row r="14908">
      <c r="N14908" s="28"/>
      <c r="O14908" s="28"/>
      <c r="U14908" s="28"/>
    </row>
    <row r="14909">
      <c r="N14909" s="28"/>
      <c r="O14909" s="28"/>
      <c r="U14909" s="28"/>
    </row>
    <row r="14910">
      <c r="N14910" s="28"/>
      <c r="O14910" s="28"/>
      <c r="U14910" s="28"/>
    </row>
    <row r="14911">
      <c r="N14911" s="28"/>
      <c r="O14911" s="28"/>
      <c r="U14911" s="28"/>
    </row>
    <row r="14912">
      <c r="N14912" s="28"/>
      <c r="O14912" s="28"/>
      <c r="U14912" s="28"/>
    </row>
    <row r="14913">
      <c r="N14913" s="28"/>
      <c r="O14913" s="28"/>
      <c r="U14913" s="28"/>
    </row>
    <row r="14914">
      <c r="N14914" s="28"/>
      <c r="O14914" s="28"/>
      <c r="U14914" s="28"/>
    </row>
    <row r="14915">
      <c r="N14915" s="28"/>
      <c r="O14915" s="28"/>
      <c r="U14915" s="28"/>
    </row>
    <row r="14916">
      <c r="N14916" s="28"/>
      <c r="O14916" s="28"/>
      <c r="U14916" s="28"/>
    </row>
    <row r="14917">
      <c r="N14917" s="28"/>
      <c r="O14917" s="28"/>
      <c r="U14917" s="28"/>
    </row>
    <row r="14918">
      <c r="N14918" s="28"/>
      <c r="O14918" s="28"/>
      <c r="U14918" s="28"/>
    </row>
    <row r="14919">
      <c r="N14919" s="28"/>
      <c r="O14919" s="28"/>
      <c r="U14919" s="28"/>
    </row>
    <row r="14920">
      <c r="N14920" s="28"/>
      <c r="O14920" s="28"/>
      <c r="U14920" s="28"/>
    </row>
    <row r="14921">
      <c r="N14921" s="28"/>
      <c r="O14921" s="28"/>
      <c r="U14921" s="28"/>
    </row>
    <row r="14922">
      <c r="N14922" s="28"/>
      <c r="O14922" s="28"/>
      <c r="U14922" s="28"/>
    </row>
    <row r="14923">
      <c r="N14923" s="28"/>
      <c r="O14923" s="28"/>
      <c r="U14923" s="28"/>
    </row>
    <row r="14924">
      <c r="N14924" s="28"/>
      <c r="O14924" s="28"/>
      <c r="U14924" s="28"/>
    </row>
    <row r="14925">
      <c r="N14925" s="28"/>
      <c r="O14925" s="28"/>
      <c r="U14925" s="28"/>
    </row>
    <row r="14926">
      <c r="N14926" s="28"/>
      <c r="O14926" s="28"/>
      <c r="U14926" s="28"/>
    </row>
    <row r="14927">
      <c r="N14927" s="28"/>
      <c r="O14927" s="28"/>
      <c r="U14927" s="28"/>
    </row>
    <row r="14928">
      <c r="N14928" s="28"/>
      <c r="O14928" s="28"/>
      <c r="U14928" s="28"/>
    </row>
    <row r="14929">
      <c r="N14929" s="28"/>
      <c r="O14929" s="28"/>
      <c r="U14929" s="28"/>
    </row>
    <row r="14930">
      <c r="N14930" s="28"/>
      <c r="O14930" s="28"/>
      <c r="U14930" s="28"/>
    </row>
    <row r="14931">
      <c r="N14931" s="28"/>
      <c r="O14931" s="28"/>
      <c r="U14931" s="28"/>
    </row>
    <row r="14932">
      <c r="N14932" s="28"/>
      <c r="O14932" s="28"/>
      <c r="U14932" s="28"/>
    </row>
    <row r="14933">
      <c r="N14933" s="28"/>
      <c r="O14933" s="28"/>
      <c r="U14933" s="28"/>
    </row>
    <row r="14934">
      <c r="N14934" s="28"/>
      <c r="O14934" s="28"/>
      <c r="U14934" s="28"/>
    </row>
    <row r="14935">
      <c r="N14935" s="28"/>
      <c r="O14935" s="28"/>
      <c r="U14935" s="28"/>
    </row>
    <row r="14936">
      <c r="N14936" s="28"/>
      <c r="O14936" s="28"/>
      <c r="U14936" s="28"/>
    </row>
    <row r="14937">
      <c r="N14937" s="28"/>
      <c r="O14937" s="28"/>
      <c r="U14937" s="28"/>
    </row>
    <row r="14938">
      <c r="N14938" s="28"/>
      <c r="O14938" s="28"/>
      <c r="U14938" s="28"/>
    </row>
    <row r="14939">
      <c r="N14939" s="28"/>
      <c r="O14939" s="28"/>
      <c r="U14939" s="28"/>
    </row>
    <row r="14940">
      <c r="N14940" s="28"/>
      <c r="O14940" s="28"/>
      <c r="U14940" s="28"/>
    </row>
    <row r="14941">
      <c r="N14941" s="28"/>
      <c r="O14941" s="28"/>
      <c r="U14941" s="28"/>
    </row>
    <row r="14942">
      <c r="N14942" s="28"/>
      <c r="O14942" s="28"/>
      <c r="U14942" s="28"/>
    </row>
    <row r="14943">
      <c r="N14943" s="28"/>
      <c r="O14943" s="28"/>
      <c r="U14943" s="28"/>
    </row>
    <row r="14944">
      <c r="N14944" s="28"/>
      <c r="O14944" s="28"/>
      <c r="U14944" s="28"/>
    </row>
    <row r="14945">
      <c r="N14945" s="28"/>
      <c r="O14945" s="28"/>
      <c r="U14945" s="28"/>
    </row>
    <row r="14946">
      <c r="N14946" s="28"/>
      <c r="O14946" s="28"/>
      <c r="U14946" s="28"/>
    </row>
    <row r="14947">
      <c r="N14947" s="28"/>
      <c r="O14947" s="28"/>
      <c r="U14947" s="28"/>
    </row>
    <row r="14948">
      <c r="N14948" s="28"/>
      <c r="O14948" s="28"/>
      <c r="U14948" s="28"/>
    </row>
    <row r="14949">
      <c r="N14949" s="28"/>
      <c r="O14949" s="28"/>
      <c r="U14949" s="28"/>
    </row>
    <row r="14950">
      <c r="N14950" s="28"/>
      <c r="O14950" s="28"/>
      <c r="U14950" s="28"/>
    </row>
    <row r="14951">
      <c r="N14951" s="28"/>
      <c r="O14951" s="28"/>
      <c r="U14951" s="28"/>
    </row>
    <row r="14952">
      <c r="N14952" s="28"/>
      <c r="O14952" s="28"/>
      <c r="U14952" s="28"/>
    </row>
    <row r="14953">
      <c r="N14953" s="28"/>
      <c r="O14953" s="28"/>
      <c r="U14953" s="28"/>
    </row>
    <row r="14954">
      <c r="N14954" s="28"/>
      <c r="O14954" s="28"/>
      <c r="U14954" s="28"/>
    </row>
    <row r="14955">
      <c r="N14955" s="28"/>
      <c r="O14955" s="28"/>
      <c r="U14955" s="28"/>
    </row>
    <row r="14956">
      <c r="N14956" s="28"/>
      <c r="O14956" s="28"/>
      <c r="U14956" s="28"/>
    </row>
    <row r="14957">
      <c r="N14957" s="28"/>
      <c r="O14957" s="28"/>
      <c r="U14957" s="28"/>
    </row>
    <row r="14958">
      <c r="N14958" s="28"/>
      <c r="O14958" s="28"/>
      <c r="U14958" s="28"/>
    </row>
    <row r="14959">
      <c r="N14959" s="28"/>
      <c r="O14959" s="28"/>
      <c r="U14959" s="28"/>
    </row>
    <row r="14960">
      <c r="N14960" s="28"/>
      <c r="O14960" s="28"/>
      <c r="U14960" s="28"/>
    </row>
    <row r="14961">
      <c r="N14961" s="28"/>
      <c r="O14961" s="28"/>
      <c r="U14961" s="28"/>
    </row>
    <row r="14962">
      <c r="N14962" s="28"/>
      <c r="O14962" s="28"/>
      <c r="U14962" s="28"/>
    </row>
    <row r="14963">
      <c r="N14963" s="28"/>
      <c r="O14963" s="28"/>
      <c r="U14963" s="28"/>
    </row>
    <row r="14964">
      <c r="N14964" s="28"/>
      <c r="O14964" s="28"/>
      <c r="U14964" s="28"/>
    </row>
    <row r="14965">
      <c r="N14965" s="28"/>
      <c r="O14965" s="28"/>
      <c r="U14965" s="28"/>
    </row>
    <row r="14966">
      <c r="N14966" s="28"/>
      <c r="O14966" s="28"/>
      <c r="U14966" s="28"/>
    </row>
    <row r="14967">
      <c r="N14967" s="28"/>
      <c r="O14967" s="28"/>
      <c r="U14967" s="28"/>
    </row>
    <row r="14968">
      <c r="N14968" s="28"/>
      <c r="O14968" s="28"/>
      <c r="U14968" s="28"/>
    </row>
    <row r="14969">
      <c r="N14969" s="28"/>
      <c r="O14969" s="28"/>
      <c r="U14969" s="28"/>
    </row>
    <row r="14970">
      <c r="N14970" s="28"/>
      <c r="O14970" s="28"/>
      <c r="U14970" s="28"/>
    </row>
    <row r="14971">
      <c r="N14971" s="28"/>
      <c r="O14971" s="28"/>
      <c r="U14971" s="28"/>
    </row>
    <row r="14972">
      <c r="N14972" s="28"/>
      <c r="O14972" s="28"/>
      <c r="U14972" s="28"/>
    </row>
    <row r="14973">
      <c r="N14973" s="28"/>
      <c r="O14973" s="28"/>
      <c r="U14973" s="28"/>
    </row>
    <row r="14974">
      <c r="N14974" s="28"/>
      <c r="O14974" s="28"/>
      <c r="U14974" s="28"/>
    </row>
    <row r="14975">
      <c r="N14975" s="28"/>
      <c r="O14975" s="28"/>
      <c r="U14975" s="28"/>
    </row>
    <row r="14976">
      <c r="N14976" s="28"/>
      <c r="O14976" s="28"/>
      <c r="U14976" s="28"/>
    </row>
    <row r="14977">
      <c r="N14977" s="28"/>
      <c r="O14977" s="28"/>
      <c r="U14977" s="28"/>
    </row>
    <row r="14978">
      <c r="N14978" s="28"/>
      <c r="O14978" s="28"/>
      <c r="U14978" s="28"/>
    </row>
    <row r="14979">
      <c r="N14979" s="28"/>
      <c r="O14979" s="28"/>
      <c r="U14979" s="28"/>
    </row>
    <row r="14980">
      <c r="N14980" s="28"/>
      <c r="O14980" s="28"/>
      <c r="U14980" s="28"/>
    </row>
    <row r="14981">
      <c r="N14981" s="28"/>
      <c r="O14981" s="28"/>
      <c r="U14981" s="28"/>
    </row>
    <row r="14982">
      <c r="N14982" s="28"/>
      <c r="O14982" s="28"/>
      <c r="U14982" s="28"/>
    </row>
    <row r="14983">
      <c r="N14983" s="28"/>
      <c r="O14983" s="28"/>
      <c r="U14983" s="28"/>
    </row>
    <row r="14984">
      <c r="N14984" s="28"/>
      <c r="O14984" s="28"/>
      <c r="U14984" s="28"/>
    </row>
    <row r="14985">
      <c r="N14985" s="28"/>
      <c r="O14985" s="28"/>
      <c r="U14985" s="28"/>
    </row>
    <row r="14986">
      <c r="N14986" s="28"/>
      <c r="O14986" s="28"/>
      <c r="U14986" s="28"/>
    </row>
    <row r="14987">
      <c r="N14987" s="28"/>
      <c r="O14987" s="28"/>
      <c r="U14987" s="28"/>
    </row>
    <row r="14988">
      <c r="N14988" s="28"/>
      <c r="O14988" s="28"/>
      <c r="U14988" s="28"/>
    </row>
    <row r="14989">
      <c r="N14989" s="28"/>
      <c r="O14989" s="28"/>
      <c r="U14989" s="28"/>
    </row>
    <row r="14990">
      <c r="N14990" s="28"/>
      <c r="O14990" s="28"/>
      <c r="U14990" s="28"/>
    </row>
    <row r="14991">
      <c r="N14991" s="28"/>
      <c r="O14991" s="28"/>
      <c r="U14991" s="28"/>
    </row>
    <row r="14992">
      <c r="N14992" s="28"/>
      <c r="O14992" s="28"/>
      <c r="U14992" s="28"/>
    </row>
    <row r="14993">
      <c r="N14993" s="28"/>
      <c r="O14993" s="28"/>
      <c r="U14993" s="28"/>
    </row>
    <row r="14994">
      <c r="N14994" s="28"/>
      <c r="O14994" s="28"/>
      <c r="U14994" s="28"/>
    </row>
    <row r="14995">
      <c r="N14995" s="28"/>
      <c r="O14995" s="28"/>
      <c r="U14995" s="28"/>
    </row>
    <row r="14996">
      <c r="N14996" s="28"/>
      <c r="O14996" s="28"/>
      <c r="U14996" s="28"/>
    </row>
    <row r="14997">
      <c r="N14997" s="28"/>
      <c r="O14997" s="28"/>
      <c r="U14997" s="28"/>
    </row>
    <row r="14998">
      <c r="N14998" s="28"/>
      <c r="O14998" s="28"/>
      <c r="U14998" s="28"/>
    </row>
    <row r="14999">
      <c r="N14999" s="28"/>
      <c r="O14999" s="28"/>
      <c r="U14999" s="28"/>
    </row>
    <row r="15000">
      <c r="N15000" s="28"/>
      <c r="O15000" s="28"/>
      <c r="U15000" s="28"/>
    </row>
    <row r="15001">
      <c r="N15001" s="28"/>
      <c r="O15001" s="28"/>
      <c r="U15001" s="28"/>
    </row>
    <row r="15002">
      <c r="N15002" s="28"/>
      <c r="O15002" s="28"/>
      <c r="U15002" s="28"/>
    </row>
    <row r="15003">
      <c r="N15003" s="28"/>
      <c r="O15003" s="28"/>
      <c r="U15003" s="28"/>
    </row>
    <row r="15004">
      <c r="N15004" s="28"/>
      <c r="O15004" s="28"/>
      <c r="U15004" s="28"/>
    </row>
    <row r="15005">
      <c r="N15005" s="28"/>
      <c r="O15005" s="28"/>
      <c r="U15005" s="28"/>
    </row>
    <row r="15006">
      <c r="N15006" s="28"/>
      <c r="O15006" s="28"/>
      <c r="U15006" s="28"/>
    </row>
    <row r="15007">
      <c r="N15007" s="28"/>
      <c r="O15007" s="28"/>
      <c r="U15007" s="28"/>
    </row>
    <row r="15008">
      <c r="N15008" s="28"/>
      <c r="O15008" s="28"/>
      <c r="U15008" s="28"/>
    </row>
    <row r="15009">
      <c r="N15009" s="28"/>
      <c r="O15009" s="28"/>
      <c r="U15009" s="28"/>
    </row>
    <row r="15010">
      <c r="N15010" s="28"/>
      <c r="O15010" s="28"/>
      <c r="U15010" s="28"/>
    </row>
    <row r="15011">
      <c r="N15011" s="28"/>
      <c r="O15011" s="28"/>
      <c r="U15011" s="28"/>
    </row>
    <row r="15012">
      <c r="N15012" s="28"/>
      <c r="O15012" s="28"/>
      <c r="U15012" s="28"/>
    </row>
    <row r="15013">
      <c r="N15013" s="28"/>
      <c r="O15013" s="28"/>
      <c r="U15013" s="28"/>
    </row>
    <row r="15014">
      <c r="N15014" s="28"/>
      <c r="O15014" s="28"/>
      <c r="U15014" s="28"/>
    </row>
    <row r="15015">
      <c r="N15015" s="28"/>
      <c r="O15015" s="28"/>
      <c r="U15015" s="28"/>
    </row>
    <row r="15016">
      <c r="N15016" s="28"/>
      <c r="O15016" s="28"/>
      <c r="U15016" s="28"/>
    </row>
    <row r="15017">
      <c r="N15017" s="28"/>
      <c r="O15017" s="28"/>
      <c r="U15017" s="28"/>
    </row>
    <row r="15018">
      <c r="N15018" s="28"/>
      <c r="O15018" s="28"/>
      <c r="U15018" s="28"/>
    </row>
    <row r="15019">
      <c r="N15019" s="28"/>
      <c r="O15019" s="28"/>
      <c r="U15019" s="28"/>
    </row>
    <row r="15020">
      <c r="N15020" s="28"/>
      <c r="O15020" s="28"/>
      <c r="U15020" s="28"/>
    </row>
    <row r="15021">
      <c r="N15021" s="28"/>
      <c r="O15021" s="28"/>
      <c r="U15021" s="28"/>
    </row>
    <row r="15022">
      <c r="N15022" s="28"/>
      <c r="O15022" s="28"/>
      <c r="U15022" s="28"/>
    </row>
    <row r="15023">
      <c r="N15023" s="28"/>
      <c r="O15023" s="28"/>
      <c r="U15023" s="28"/>
    </row>
    <row r="15024">
      <c r="N15024" s="28"/>
      <c r="O15024" s="28"/>
      <c r="U15024" s="28"/>
    </row>
    <row r="15025">
      <c r="N15025" s="28"/>
      <c r="O15025" s="28"/>
      <c r="U15025" s="28"/>
    </row>
    <row r="15026">
      <c r="N15026" s="28"/>
      <c r="O15026" s="28"/>
      <c r="U15026" s="28"/>
    </row>
    <row r="15027">
      <c r="N15027" s="28"/>
      <c r="O15027" s="28"/>
      <c r="U15027" s="28"/>
    </row>
    <row r="15028">
      <c r="N15028" s="28"/>
      <c r="O15028" s="28"/>
      <c r="U15028" s="28"/>
    </row>
    <row r="15029">
      <c r="N15029" s="28"/>
      <c r="O15029" s="28"/>
      <c r="U15029" s="28"/>
    </row>
    <row r="15030">
      <c r="N15030" s="28"/>
      <c r="O15030" s="28"/>
      <c r="U15030" s="28"/>
    </row>
    <row r="15031">
      <c r="N15031" s="28"/>
      <c r="O15031" s="28"/>
      <c r="U15031" s="28"/>
    </row>
    <row r="15032">
      <c r="N15032" s="28"/>
      <c r="O15032" s="28"/>
      <c r="U15032" s="28"/>
    </row>
    <row r="15033">
      <c r="N15033" s="28"/>
      <c r="O15033" s="28"/>
      <c r="U15033" s="28"/>
    </row>
    <row r="15034">
      <c r="N15034" s="28"/>
      <c r="O15034" s="28"/>
      <c r="U15034" s="28"/>
    </row>
    <row r="15035">
      <c r="N15035" s="28"/>
      <c r="O15035" s="28"/>
      <c r="U15035" s="28"/>
    </row>
    <row r="15036">
      <c r="N15036" s="28"/>
      <c r="O15036" s="28"/>
      <c r="U15036" s="28"/>
    </row>
    <row r="15037">
      <c r="N15037" s="28"/>
      <c r="O15037" s="28"/>
      <c r="U15037" s="28"/>
    </row>
    <row r="15038">
      <c r="N15038" s="28"/>
      <c r="O15038" s="28"/>
      <c r="U15038" s="28"/>
    </row>
    <row r="15039">
      <c r="N15039" s="28"/>
      <c r="O15039" s="28"/>
      <c r="U15039" s="28"/>
    </row>
    <row r="15040">
      <c r="N15040" s="28"/>
      <c r="O15040" s="28"/>
      <c r="U15040" s="28"/>
    </row>
    <row r="15041">
      <c r="N15041" s="28"/>
      <c r="O15041" s="28"/>
      <c r="U15041" s="28"/>
    </row>
    <row r="15042">
      <c r="N15042" s="28"/>
      <c r="O15042" s="28"/>
      <c r="U15042" s="28"/>
    </row>
    <row r="15043">
      <c r="N15043" s="28"/>
      <c r="O15043" s="28"/>
      <c r="U15043" s="28"/>
    </row>
    <row r="15044">
      <c r="N15044" s="28"/>
      <c r="O15044" s="28"/>
      <c r="U15044" s="28"/>
    </row>
    <row r="15045">
      <c r="N15045" s="28"/>
      <c r="O15045" s="28"/>
      <c r="U15045" s="28"/>
    </row>
    <row r="15046">
      <c r="N15046" s="28"/>
      <c r="O15046" s="28"/>
      <c r="U15046" s="28"/>
    </row>
    <row r="15047">
      <c r="N15047" s="28"/>
      <c r="O15047" s="28"/>
      <c r="U15047" s="28"/>
    </row>
    <row r="15048">
      <c r="N15048" s="28"/>
      <c r="O15048" s="28"/>
      <c r="U15048" s="28"/>
    </row>
    <row r="15049">
      <c r="N15049" s="28"/>
      <c r="O15049" s="28"/>
      <c r="U15049" s="28"/>
    </row>
    <row r="15050">
      <c r="N15050" s="28"/>
      <c r="O15050" s="28"/>
      <c r="U15050" s="28"/>
    </row>
    <row r="15051">
      <c r="N15051" s="28"/>
      <c r="O15051" s="28"/>
      <c r="U15051" s="28"/>
    </row>
    <row r="15052">
      <c r="N15052" s="28"/>
      <c r="O15052" s="28"/>
      <c r="U15052" s="28"/>
    </row>
    <row r="15053">
      <c r="N15053" s="28"/>
      <c r="O15053" s="28"/>
      <c r="U15053" s="28"/>
    </row>
    <row r="15054">
      <c r="N15054" s="28"/>
      <c r="O15054" s="28"/>
      <c r="U15054" s="28"/>
    </row>
    <row r="15055">
      <c r="N15055" s="28"/>
      <c r="O15055" s="28"/>
      <c r="U15055" s="28"/>
    </row>
    <row r="15056">
      <c r="N15056" s="28"/>
      <c r="O15056" s="28"/>
      <c r="U15056" s="28"/>
    </row>
    <row r="15057">
      <c r="N15057" s="28"/>
      <c r="O15057" s="28"/>
      <c r="U15057" s="28"/>
    </row>
    <row r="15058">
      <c r="N15058" s="28"/>
      <c r="O15058" s="28"/>
      <c r="U15058" s="28"/>
    </row>
    <row r="15059">
      <c r="N15059" s="28"/>
      <c r="O15059" s="28"/>
      <c r="U15059" s="28"/>
    </row>
    <row r="15060">
      <c r="N15060" s="28"/>
      <c r="O15060" s="28"/>
      <c r="U15060" s="28"/>
    </row>
    <row r="15061">
      <c r="N15061" s="28"/>
      <c r="O15061" s="28"/>
      <c r="U15061" s="28"/>
    </row>
    <row r="15062">
      <c r="N15062" s="28"/>
      <c r="O15062" s="28"/>
      <c r="U15062" s="28"/>
    </row>
    <row r="15063">
      <c r="N15063" s="28"/>
      <c r="O15063" s="28"/>
      <c r="U15063" s="28"/>
    </row>
    <row r="15064">
      <c r="N15064" s="28"/>
      <c r="O15064" s="28"/>
      <c r="U15064" s="28"/>
    </row>
    <row r="15065">
      <c r="N15065" s="28"/>
      <c r="O15065" s="28"/>
      <c r="U15065" s="28"/>
    </row>
    <row r="15066">
      <c r="N15066" s="28"/>
      <c r="O15066" s="28"/>
      <c r="U15066" s="28"/>
    </row>
    <row r="15067">
      <c r="N15067" s="28"/>
      <c r="O15067" s="28"/>
      <c r="U15067" s="28"/>
    </row>
    <row r="15068">
      <c r="N15068" s="28"/>
      <c r="O15068" s="28"/>
      <c r="U15068" s="28"/>
    </row>
    <row r="15069">
      <c r="N15069" s="28"/>
      <c r="O15069" s="28"/>
      <c r="U15069" s="28"/>
    </row>
    <row r="15070">
      <c r="N15070" s="28"/>
      <c r="O15070" s="28"/>
      <c r="U15070" s="28"/>
    </row>
    <row r="15071">
      <c r="N15071" s="28"/>
      <c r="O15071" s="28"/>
      <c r="U15071" s="28"/>
    </row>
    <row r="15072">
      <c r="N15072" s="28"/>
      <c r="O15072" s="28"/>
      <c r="U15072" s="28"/>
    </row>
    <row r="15073">
      <c r="N15073" s="28"/>
      <c r="O15073" s="28"/>
      <c r="U15073" s="28"/>
    </row>
    <row r="15074">
      <c r="N15074" s="28"/>
      <c r="O15074" s="28"/>
      <c r="U15074" s="28"/>
    </row>
    <row r="15075">
      <c r="N15075" s="28"/>
      <c r="O15075" s="28"/>
      <c r="U15075" s="28"/>
    </row>
    <row r="15076">
      <c r="N15076" s="28"/>
      <c r="O15076" s="28"/>
      <c r="U15076" s="28"/>
    </row>
    <row r="15077">
      <c r="N15077" s="28"/>
      <c r="O15077" s="28"/>
      <c r="U15077" s="28"/>
    </row>
    <row r="15078">
      <c r="N15078" s="28"/>
      <c r="O15078" s="28"/>
      <c r="U15078" s="28"/>
    </row>
    <row r="15079">
      <c r="N15079" s="28"/>
      <c r="O15079" s="28"/>
      <c r="U15079" s="28"/>
    </row>
    <row r="15080">
      <c r="N15080" s="28"/>
      <c r="O15080" s="28"/>
      <c r="U15080" s="28"/>
    </row>
    <row r="15081">
      <c r="N15081" s="28"/>
      <c r="O15081" s="28"/>
      <c r="U15081" s="28"/>
    </row>
    <row r="15082">
      <c r="N15082" s="28"/>
      <c r="O15082" s="28"/>
      <c r="U15082" s="28"/>
    </row>
    <row r="15083">
      <c r="N15083" s="28"/>
      <c r="O15083" s="28"/>
      <c r="U15083" s="28"/>
    </row>
    <row r="15084">
      <c r="N15084" s="28"/>
      <c r="O15084" s="28"/>
      <c r="U15084" s="28"/>
    </row>
    <row r="15085">
      <c r="N15085" s="28"/>
      <c r="O15085" s="28"/>
      <c r="U15085" s="28"/>
    </row>
    <row r="15086">
      <c r="N15086" s="28"/>
      <c r="O15086" s="28"/>
      <c r="U15086" s="28"/>
    </row>
    <row r="15087">
      <c r="N15087" s="28"/>
      <c r="O15087" s="28"/>
      <c r="U15087" s="28"/>
    </row>
    <row r="15088">
      <c r="N15088" s="28"/>
      <c r="O15088" s="28"/>
      <c r="U15088" s="28"/>
    </row>
    <row r="15089">
      <c r="N15089" s="28"/>
      <c r="O15089" s="28"/>
      <c r="U15089" s="28"/>
    </row>
    <row r="15090">
      <c r="N15090" s="28"/>
      <c r="O15090" s="28"/>
      <c r="U15090" s="28"/>
    </row>
    <row r="15091">
      <c r="N15091" s="28"/>
      <c r="O15091" s="28"/>
      <c r="U15091" s="28"/>
    </row>
    <row r="15092">
      <c r="N15092" s="28"/>
      <c r="O15092" s="28"/>
      <c r="U15092" s="28"/>
    </row>
    <row r="15093">
      <c r="N15093" s="28"/>
      <c r="O15093" s="28"/>
      <c r="U15093" s="28"/>
    </row>
    <row r="15094">
      <c r="N15094" s="28"/>
      <c r="O15094" s="28"/>
      <c r="U15094" s="28"/>
    </row>
    <row r="15095">
      <c r="N15095" s="28"/>
      <c r="O15095" s="28"/>
      <c r="U15095" s="28"/>
    </row>
    <row r="15096">
      <c r="N15096" s="28"/>
      <c r="O15096" s="28"/>
      <c r="U15096" s="28"/>
    </row>
    <row r="15097">
      <c r="N15097" s="28"/>
      <c r="O15097" s="28"/>
      <c r="U15097" s="28"/>
    </row>
    <row r="15098">
      <c r="N15098" s="28"/>
      <c r="O15098" s="28"/>
      <c r="U15098" s="28"/>
    </row>
    <row r="15099">
      <c r="N15099" s="28"/>
      <c r="O15099" s="28"/>
      <c r="U15099" s="28"/>
    </row>
    <row r="15100">
      <c r="N15100" s="28"/>
      <c r="O15100" s="28"/>
      <c r="U15100" s="28"/>
    </row>
    <row r="15101">
      <c r="N15101" s="28"/>
      <c r="O15101" s="28"/>
      <c r="U15101" s="28"/>
    </row>
    <row r="15102">
      <c r="N15102" s="28"/>
      <c r="O15102" s="28"/>
      <c r="U15102" s="28"/>
    </row>
    <row r="15103">
      <c r="N15103" s="28"/>
      <c r="O15103" s="28"/>
      <c r="U15103" s="28"/>
    </row>
    <row r="15104">
      <c r="N15104" s="28"/>
      <c r="O15104" s="28"/>
      <c r="U15104" s="28"/>
    </row>
    <row r="15105">
      <c r="N15105" s="28"/>
      <c r="O15105" s="28"/>
      <c r="U15105" s="28"/>
    </row>
    <row r="15106">
      <c r="N15106" s="28"/>
      <c r="O15106" s="28"/>
      <c r="U15106" s="28"/>
    </row>
    <row r="15107">
      <c r="N15107" s="28"/>
      <c r="O15107" s="28"/>
      <c r="U15107" s="28"/>
    </row>
    <row r="15108">
      <c r="N15108" s="28"/>
      <c r="O15108" s="28"/>
      <c r="U15108" s="28"/>
    </row>
    <row r="15109">
      <c r="N15109" s="28"/>
      <c r="O15109" s="28"/>
      <c r="U15109" s="28"/>
    </row>
    <row r="15110">
      <c r="N15110" s="28"/>
      <c r="O15110" s="28"/>
      <c r="U15110" s="28"/>
    </row>
    <row r="15111">
      <c r="N15111" s="28"/>
      <c r="O15111" s="28"/>
      <c r="U15111" s="28"/>
    </row>
    <row r="15112">
      <c r="N15112" s="28"/>
      <c r="O15112" s="28"/>
      <c r="U15112" s="28"/>
    </row>
    <row r="15113">
      <c r="N15113" s="28"/>
      <c r="O15113" s="28"/>
      <c r="U15113" s="28"/>
    </row>
    <row r="15114">
      <c r="N15114" s="28"/>
      <c r="O15114" s="28"/>
      <c r="U15114" s="28"/>
    </row>
    <row r="15115">
      <c r="N15115" s="28"/>
      <c r="O15115" s="28"/>
      <c r="U15115" s="28"/>
    </row>
    <row r="15116">
      <c r="N15116" s="28"/>
      <c r="O15116" s="28"/>
      <c r="U15116" s="28"/>
    </row>
    <row r="15117">
      <c r="N15117" s="28"/>
      <c r="O15117" s="28"/>
      <c r="U15117" s="28"/>
    </row>
    <row r="15118">
      <c r="N15118" s="28"/>
      <c r="O15118" s="28"/>
      <c r="U15118" s="28"/>
    </row>
    <row r="15119">
      <c r="N15119" s="28"/>
      <c r="O15119" s="28"/>
      <c r="U15119" s="28"/>
    </row>
    <row r="15120">
      <c r="N15120" s="28"/>
      <c r="O15120" s="28"/>
      <c r="U15120" s="28"/>
    </row>
    <row r="15121">
      <c r="N15121" s="28"/>
      <c r="O15121" s="28"/>
      <c r="U15121" s="28"/>
    </row>
    <row r="15122">
      <c r="N15122" s="28"/>
      <c r="O15122" s="28"/>
      <c r="U15122" s="28"/>
    </row>
    <row r="15123">
      <c r="N15123" s="28"/>
      <c r="O15123" s="28"/>
      <c r="U15123" s="28"/>
    </row>
    <row r="15124">
      <c r="N15124" s="28"/>
      <c r="O15124" s="28"/>
      <c r="U15124" s="28"/>
    </row>
    <row r="15125">
      <c r="N15125" s="28"/>
      <c r="O15125" s="28"/>
      <c r="U15125" s="28"/>
    </row>
    <row r="15126">
      <c r="N15126" s="28"/>
      <c r="O15126" s="28"/>
      <c r="U15126" s="28"/>
    </row>
    <row r="15127">
      <c r="N15127" s="28"/>
      <c r="O15127" s="28"/>
      <c r="U15127" s="28"/>
    </row>
    <row r="15128">
      <c r="N15128" s="28"/>
      <c r="O15128" s="28"/>
      <c r="U15128" s="28"/>
    </row>
    <row r="15129">
      <c r="N15129" s="28"/>
      <c r="O15129" s="28"/>
      <c r="U15129" s="28"/>
    </row>
    <row r="15130">
      <c r="N15130" s="28"/>
      <c r="O15130" s="28"/>
      <c r="U15130" s="28"/>
    </row>
    <row r="15131">
      <c r="N15131" s="28"/>
      <c r="O15131" s="28"/>
      <c r="U15131" s="28"/>
    </row>
    <row r="15132">
      <c r="N15132" s="28"/>
      <c r="O15132" s="28"/>
      <c r="U15132" s="28"/>
    </row>
    <row r="15133">
      <c r="N15133" s="28"/>
      <c r="O15133" s="28"/>
      <c r="U15133" s="28"/>
    </row>
    <row r="15134">
      <c r="N15134" s="28"/>
      <c r="O15134" s="28"/>
      <c r="U15134" s="28"/>
    </row>
    <row r="15135">
      <c r="N15135" s="28"/>
      <c r="O15135" s="28"/>
      <c r="U15135" s="28"/>
    </row>
    <row r="15136">
      <c r="N15136" s="28"/>
      <c r="O15136" s="28"/>
      <c r="U15136" s="28"/>
    </row>
    <row r="15137">
      <c r="N15137" s="28"/>
      <c r="O15137" s="28"/>
      <c r="U15137" s="28"/>
    </row>
    <row r="15138">
      <c r="N15138" s="28"/>
      <c r="O15138" s="28"/>
      <c r="U15138" s="28"/>
    </row>
    <row r="15139">
      <c r="N15139" s="28"/>
      <c r="O15139" s="28"/>
      <c r="U15139" s="28"/>
    </row>
    <row r="15140">
      <c r="N15140" s="28"/>
      <c r="O15140" s="28"/>
      <c r="U15140" s="28"/>
    </row>
    <row r="15141">
      <c r="N15141" s="28"/>
      <c r="O15141" s="28"/>
      <c r="U15141" s="28"/>
    </row>
    <row r="15142">
      <c r="N15142" s="28"/>
      <c r="O15142" s="28"/>
      <c r="U15142" s="28"/>
    </row>
    <row r="15143">
      <c r="N15143" s="28"/>
      <c r="O15143" s="28"/>
      <c r="U15143" s="28"/>
    </row>
    <row r="15144">
      <c r="N15144" s="28"/>
      <c r="O15144" s="28"/>
      <c r="U15144" s="28"/>
    </row>
    <row r="15145">
      <c r="N15145" s="28"/>
      <c r="O15145" s="28"/>
      <c r="U15145" s="28"/>
    </row>
    <row r="15146">
      <c r="N15146" s="28"/>
      <c r="O15146" s="28"/>
      <c r="U15146" s="28"/>
    </row>
    <row r="15147">
      <c r="N15147" s="28"/>
      <c r="O15147" s="28"/>
      <c r="U15147" s="28"/>
    </row>
    <row r="15148">
      <c r="N15148" s="28"/>
      <c r="O15148" s="28"/>
      <c r="U15148" s="28"/>
    </row>
    <row r="15149">
      <c r="N15149" s="28"/>
      <c r="O15149" s="28"/>
      <c r="U15149" s="28"/>
    </row>
    <row r="15150">
      <c r="N15150" s="28"/>
      <c r="O15150" s="28"/>
      <c r="U15150" s="28"/>
    </row>
    <row r="15151">
      <c r="N15151" s="28"/>
      <c r="O15151" s="28"/>
      <c r="U15151" s="28"/>
    </row>
    <row r="15152">
      <c r="N15152" s="28"/>
      <c r="O15152" s="28"/>
      <c r="U15152" s="28"/>
    </row>
    <row r="15153">
      <c r="N15153" s="28"/>
      <c r="O15153" s="28"/>
      <c r="U15153" s="28"/>
    </row>
    <row r="15154">
      <c r="N15154" s="28"/>
      <c r="O15154" s="28"/>
      <c r="U15154" s="28"/>
    </row>
    <row r="15155">
      <c r="N15155" s="28"/>
      <c r="O15155" s="28"/>
      <c r="U15155" s="28"/>
    </row>
    <row r="15156">
      <c r="N15156" s="28"/>
      <c r="O15156" s="28"/>
      <c r="U15156" s="28"/>
    </row>
    <row r="15157">
      <c r="N15157" s="28"/>
      <c r="O15157" s="28"/>
      <c r="U15157" s="28"/>
    </row>
    <row r="15158">
      <c r="N15158" s="28"/>
      <c r="O15158" s="28"/>
      <c r="U15158" s="28"/>
    </row>
    <row r="15159">
      <c r="N15159" s="28"/>
      <c r="O15159" s="28"/>
      <c r="U15159" s="28"/>
    </row>
    <row r="15160">
      <c r="N15160" s="28"/>
      <c r="O15160" s="28"/>
      <c r="U15160" s="28"/>
    </row>
    <row r="15161">
      <c r="N15161" s="28"/>
      <c r="O15161" s="28"/>
      <c r="U15161" s="28"/>
    </row>
    <row r="15162">
      <c r="N15162" s="28"/>
      <c r="O15162" s="28"/>
      <c r="U15162" s="28"/>
    </row>
    <row r="15163">
      <c r="N15163" s="28"/>
      <c r="O15163" s="28"/>
      <c r="U15163" s="28"/>
    </row>
    <row r="15164">
      <c r="N15164" s="28"/>
      <c r="O15164" s="28"/>
      <c r="U15164" s="28"/>
    </row>
    <row r="15165">
      <c r="N15165" s="28"/>
      <c r="O15165" s="28"/>
      <c r="U15165" s="28"/>
    </row>
    <row r="15166">
      <c r="N15166" s="28"/>
      <c r="O15166" s="28"/>
      <c r="U15166" s="28"/>
    </row>
    <row r="15167">
      <c r="N15167" s="28"/>
      <c r="O15167" s="28"/>
      <c r="U15167" s="28"/>
    </row>
    <row r="15168">
      <c r="N15168" s="28"/>
      <c r="O15168" s="28"/>
      <c r="U15168" s="28"/>
    </row>
    <row r="15169">
      <c r="N15169" s="28"/>
      <c r="O15169" s="28"/>
      <c r="U15169" s="28"/>
    </row>
    <row r="15170">
      <c r="N15170" s="28"/>
      <c r="O15170" s="28"/>
      <c r="U15170" s="28"/>
    </row>
    <row r="15171">
      <c r="N15171" s="28"/>
      <c r="O15171" s="28"/>
      <c r="U15171" s="28"/>
    </row>
    <row r="15172">
      <c r="N15172" s="28"/>
      <c r="O15172" s="28"/>
      <c r="U15172" s="28"/>
    </row>
    <row r="15173">
      <c r="N15173" s="28"/>
      <c r="O15173" s="28"/>
      <c r="U15173" s="28"/>
    </row>
    <row r="15174">
      <c r="N15174" s="28"/>
      <c r="O15174" s="28"/>
      <c r="U15174" s="28"/>
    </row>
    <row r="15175">
      <c r="N15175" s="28"/>
      <c r="O15175" s="28"/>
      <c r="U15175" s="28"/>
    </row>
    <row r="15176">
      <c r="N15176" s="28"/>
      <c r="O15176" s="28"/>
      <c r="U15176" s="28"/>
    </row>
    <row r="15177">
      <c r="N15177" s="28"/>
      <c r="O15177" s="28"/>
      <c r="U15177" s="28"/>
    </row>
    <row r="15178">
      <c r="N15178" s="28"/>
      <c r="O15178" s="28"/>
      <c r="U15178" s="28"/>
    </row>
    <row r="15179">
      <c r="N15179" s="28"/>
      <c r="O15179" s="28"/>
      <c r="U15179" s="28"/>
    </row>
    <row r="15180">
      <c r="N15180" s="28"/>
      <c r="O15180" s="28"/>
      <c r="U15180" s="28"/>
    </row>
    <row r="15181">
      <c r="N15181" s="28"/>
      <c r="O15181" s="28"/>
      <c r="U15181" s="28"/>
    </row>
    <row r="15182">
      <c r="N15182" s="28"/>
      <c r="O15182" s="28"/>
      <c r="U15182" s="28"/>
    </row>
    <row r="15183">
      <c r="N15183" s="28"/>
      <c r="O15183" s="28"/>
      <c r="U15183" s="28"/>
    </row>
    <row r="15184">
      <c r="N15184" s="28"/>
      <c r="O15184" s="28"/>
      <c r="U15184" s="28"/>
    </row>
    <row r="15185">
      <c r="N15185" s="28"/>
      <c r="O15185" s="28"/>
      <c r="U15185" s="28"/>
    </row>
    <row r="15186">
      <c r="N15186" s="28"/>
      <c r="O15186" s="28"/>
      <c r="U15186" s="28"/>
    </row>
    <row r="15187">
      <c r="N15187" s="28"/>
      <c r="O15187" s="28"/>
      <c r="U15187" s="28"/>
    </row>
    <row r="15188">
      <c r="N15188" s="28"/>
      <c r="O15188" s="28"/>
      <c r="U15188" s="28"/>
    </row>
    <row r="15189">
      <c r="N15189" s="28"/>
      <c r="O15189" s="28"/>
      <c r="U15189" s="28"/>
    </row>
    <row r="15190">
      <c r="N15190" s="28"/>
      <c r="O15190" s="28"/>
      <c r="U15190" s="28"/>
    </row>
    <row r="15191">
      <c r="N15191" s="28"/>
      <c r="O15191" s="28"/>
      <c r="U15191" s="28"/>
    </row>
    <row r="15192">
      <c r="N15192" s="28"/>
      <c r="O15192" s="28"/>
      <c r="U15192" s="28"/>
    </row>
    <row r="15193">
      <c r="N15193" s="28"/>
      <c r="O15193" s="28"/>
      <c r="U15193" s="28"/>
    </row>
    <row r="15194">
      <c r="N15194" s="28"/>
      <c r="O15194" s="28"/>
      <c r="U15194" s="28"/>
    </row>
    <row r="15195">
      <c r="N15195" s="28"/>
      <c r="O15195" s="28"/>
      <c r="U15195" s="28"/>
    </row>
    <row r="15196">
      <c r="N15196" s="28"/>
      <c r="O15196" s="28"/>
      <c r="U15196" s="28"/>
    </row>
    <row r="15197">
      <c r="N15197" s="28"/>
      <c r="O15197" s="28"/>
      <c r="U15197" s="28"/>
    </row>
    <row r="15198">
      <c r="N15198" s="28"/>
      <c r="O15198" s="28"/>
      <c r="U15198" s="28"/>
    </row>
    <row r="15199">
      <c r="N15199" s="28"/>
      <c r="O15199" s="28"/>
      <c r="U15199" s="28"/>
    </row>
    <row r="15200">
      <c r="N15200" s="28"/>
      <c r="O15200" s="28"/>
      <c r="U15200" s="28"/>
    </row>
    <row r="15201">
      <c r="N15201" s="28"/>
      <c r="O15201" s="28"/>
      <c r="U15201" s="28"/>
    </row>
    <row r="15202">
      <c r="N15202" s="28"/>
      <c r="O15202" s="28"/>
      <c r="U15202" s="28"/>
    </row>
    <row r="15203">
      <c r="N15203" s="28"/>
      <c r="O15203" s="28"/>
      <c r="U15203" s="28"/>
    </row>
    <row r="15204">
      <c r="N15204" s="28"/>
      <c r="O15204" s="28"/>
      <c r="U15204" s="28"/>
    </row>
    <row r="15205">
      <c r="N15205" s="28"/>
      <c r="O15205" s="28"/>
      <c r="U15205" s="28"/>
    </row>
    <row r="15206">
      <c r="N15206" s="28"/>
      <c r="O15206" s="28"/>
      <c r="U15206" s="28"/>
    </row>
    <row r="15207">
      <c r="N15207" s="28"/>
      <c r="O15207" s="28"/>
      <c r="U15207" s="28"/>
    </row>
    <row r="15208">
      <c r="N15208" s="28"/>
      <c r="O15208" s="28"/>
      <c r="U15208" s="28"/>
    </row>
    <row r="15209">
      <c r="N15209" s="28"/>
      <c r="O15209" s="28"/>
      <c r="U15209" s="28"/>
    </row>
    <row r="15210">
      <c r="N15210" s="28"/>
      <c r="O15210" s="28"/>
      <c r="U15210" s="28"/>
    </row>
    <row r="15211">
      <c r="N15211" s="28"/>
      <c r="O15211" s="28"/>
      <c r="U15211" s="28"/>
    </row>
    <row r="15212">
      <c r="N15212" s="28"/>
      <c r="O15212" s="28"/>
      <c r="U15212" s="28"/>
    </row>
    <row r="15213">
      <c r="N15213" s="28"/>
      <c r="O15213" s="28"/>
      <c r="U15213" s="28"/>
    </row>
    <row r="15214">
      <c r="N15214" s="28"/>
      <c r="O15214" s="28"/>
      <c r="U15214" s="28"/>
    </row>
    <row r="15215">
      <c r="N15215" s="28"/>
      <c r="O15215" s="28"/>
      <c r="U15215" s="28"/>
    </row>
    <row r="15216">
      <c r="N15216" s="28"/>
      <c r="O15216" s="28"/>
      <c r="U15216" s="28"/>
    </row>
    <row r="15217">
      <c r="N15217" s="28"/>
      <c r="O15217" s="28"/>
      <c r="U15217" s="28"/>
    </row>
    <row r="15218">
      <c r="N15218" s="28"/>
      <c r="O15218" s="28"/>
      <c r="U15218" s="28"/>
    </row>
    <row r="15219">
      <c r="N15219" s="28"/>
      <c r="O15219" s="28"/>
      <c r="U15219" s="28"/>
    </row>
    <row r="15220">
      <c r="N15220" s="28"/>
      <c r="O15220" s="28"/>
      <c r="U15220" s="28"/>
    </row>
    <row r="15221">
      <c r="N15221" s="28"/>
      <c r="O15221" s="28"/>
      <c r="U15221" s="28"/>
    </row>
    <row r="15222">
      <c r="N15222" s="28"/>
      <c r="O15222" s="28"/>
      <c r="U15222" s="28"/>
    </row>
    <row r="15223">
      <c r="N15223" s="28"/>
      <c r="O15223" s="28"/>
      <c r="U15223" s="28"/>
    </row>
    <row r="15224">
      <c r="N15224" s="28"/>
      <c r="O15224" s="28"/>
      <c r="U15224" s="28"/>
    </row>
    <row r="15225">
      <c r="N15225" s="28"/>
      <c r="O15225" s="28"/>
      <c r="U15225" s="28"/>
    </row>
    <row r="15226">
      <c r="N15226" s="28"/>
      <c r="O15226" s="28"/>
      <c r="U15226" s="28"/>
    </row>
    <row r="15227">
      <c r="N15227" s="28"/>
      <c r="O15227" s="28"/>
      <c r="U15227" s="28"/>
    </row>
    <row r="15228">
      <c r="N15228" s="28"/>
      <c r="O15228" s="28"/>
      <c r="U15228" s="28"/>
    </row>
    <row r="15229">
      <c r="N15229" s="28"/>
      <c r="O15229" s="28"/>
      <c r="U15229" s="28"/>
    </row>
    <row r="15230">
      <c r="N15230" s="28"/>
      <c r="O15230" s="28"/>
      <c r="U15230" s="28"/>
    </row>
    <row r="15231">
      <c r="N15231" s="28"/>
      <c r="O15231" s="28"/>
      <c r="U15231" s="28"/>
    </row>
    <row r="15232">
      <c r="N15232" s="28"/>
      <c r="O15232" s="28"/>
      <c r="U15232" s="28"/>
    </row>
    <row r="15233">
      <c r="N15233" s="28"/>
      <c r="O15233" s="28"/>
      <c r="U15233" s="28"/>
    </row>
    <row r="15234">
      <c r="N15234" s="28"/>
      <c r="O15234" s="28"/>
      <c r="U15234" s="28"/>
    </row>
    <row r="15235">
      <c r="N15235" s="28"/>
      <c r="O15235" s="28"/>
      <c r="U15235" s="28"/>
    </row>
    <row r="15236">
      <c r="N15236" s="28"/>
      <c r="O15236" s="28"/>
      <c r="U15236" s="28"/>
    </row>
    <row r="15237">
      <c r="N15237" s="28"/>
      <c r="O15237" s="28"/>
      <c r="U15237" s="28"/>
    </row>
    <row r="15238">
      <c r="N15238" s="28"/>
      <c r="O15238" s="28"/>
      <c r="U15238" s="28"/>
    </row>
    <row r="15239">
      <c r="N15239" s="28"/>
      <c r="O15239" s="28"/>
      <c r="U15239" s="28"/>
    </row>
    <row r="15240">
      <c r="N15240" s="28"/>
      <c r="O15240" s="28"/>
      <c r="U15240" s="28"/>
    </row>
    <row r="15241">
      <c r="N15241" s="28"/>
      <c r="O15241" s="28"/>
      <c r="U15241" s="28"/>
    </row>
    <row r="15242">
      <c r="N15242" s="28"/>
      <c r="O15242" s="28"/>
      <c r="U15242" s="28"/>
    </row>
    <row r="15243">
      <c r="N15243" s="28"/>
      <c r="O15243" s="28"/>
      <c r="U15243" s="28"/>
    </row>
    <row r="15244">
      <c r="N15244" s="28"/>
      <c r="O15244" s="28"/>
      <c r="U15244" s="28"/>
    </row>
    <row r="15245">
      <c r="N15245" s="28"/>
      <c r="O15245" s="28"/>
      <c r="U15245" s="28"/>
    </row>
    <row r="15246">
      <c r="N15246" s="28"/>
      <c r="O15246" s="28"/>
      <c r="U15246" s="28"/>
    </row>
    <row r="15247">
      <c r="N15247" s="28"/>
      <c r="O15247" s="28"/>
      <c r="U15247" s="28"/>
    </row>
    <row r="15248">
      <c r="N15248" s="28"/>
      <c r="O15248" s="28"/>
      <c r="U15248" s="28"/>
    </row>
    <row r="15249">
      <c r="N15249" s="28"/>
      <c r="O15249" s="28"/>
      <c r="U15249" s="28"/>
    </row>
    <row r="15250">
      <c r="N15250" s="28"/>
      <c r="O15250" s="28"/>
      <c r="U15250" s="28"/>
    </row>
    <row r="15251">
      <c r="N15251" s="28"/>
      <c r="O15251" s="28"/>
      <c r="U15251" s="28"/>
    </row>
    <row r="15252">
      <c r="N15252" s="28"/>
      <c r="O15252" s="28"/>
      <c r="U15252" s="28"/>
    </row>
    <row r="15253">
      <c r="N15253" s="28"/>
      <c r="O15253" s="28"/>
      <c r="U15253" s="28"/>
    </row>
    <row r="15254">
      <c r="N15254" s="28"/>
      <c r="O15254" s="28"/>
      <c r="U15254" s="28"/>
    </row>
    <row r="15255">
      <c r="N15255" s="28"/>
      <c r="O15255" s="28"/>
      <c r="U15255" s="28"/>
    </row>
    <row r="15256">
      <c r="N15256" s="28"/>
      <c r="O15256" s="28"/>
      <c r="U15256" s="28"/>
    </row>
    <row r="15257">
      <c r="N15257" s="28"/>
      <c r="O15257" s="28"/>
      <c r="U15257" s="28"/>
    </row>
    <row r="15258">
      <c r="N15258" s="28"/>
      <c r="O15258" s="28"/>
      <c r="U15258" s="28"/>
    </row>
    <row r="15259">
      <c r="N15259" s="28"/>
      <c r="O15259" s="28"/>
      <c r="U15259" s="28"/>
    </row>
    <row r="15260">
      <c r="N15260" s="28"/>
      <c r="O15260" s="28"/>
      <c r="U15260" s="28"/>
    </row>
    <row r="15261">
      <c r="N15261" s="28"/>
      <c r="O15261" s="28"/>
      <c r="U15261" s="28"/>
    </row>
    <row r="15262">
      <c r="N15262" s="28"/>
      <c r="O15262" s="28"/>
      <c r="U15262" s="28"/>
    </row>
    <row r="15263">
      <c r="N15263" s="28"/>
      <c r="O15263" s="28"/>
      <c r="U15263" s="28"/>
    </row>
    <row r="15264">
      <c r="N15264" s="28"/>
      <c r="O15264" s="28"/>
      <c r="U15264" s="28"/>
    </row>
    <row r="15265">
      <c r="N15265" s="28"/>
      <c r="O15265" s="28"/>
      <c r="U15265" s="28"/>
    </row>
    <row r="15266">
      <c r="N15266" s="28"/>
      <c r="O15266" s="28"/>
      <c r="U15266" s="28"/>
    </row>
    <row r="15267">
      <c r="N15267" s="28"/>
      <c r="O15267" s="28"/>
      <c r="U15267" s="28"/>
    </row>
    <row r="15268">
      <c r="N15268" s="28"/>
      <c r="O15268" s="28"/>
      <c r="U15268" s="28"/>
    </row>
    <row r="15269">
      <c r="N15269" s="28"/>
      <c r="O15269" s="28"/>
      <c r="U15269" s="28"/>
    </row>
    <row r="15270">
      <c r="N15270" s="28"/>
      <c r="O15270" s="28"/>
      <c r="U15270" s="28"/>
    </row>
    <row r="15271">
      <c r="N15271" s="28"/>
      <c r="O15271" s="28"/>
      <c r="U15271" s="28"/>
    </row>
    <row r="15272">
      <c r="N15272" s="28"/>
      <c r="O15272" s="28"/>
      <c r="U15272" s="28"/>
    </row>
    <row r="15273">
      <c r="N15273" s="28"/>
      <c r="O15273" s="28"/>
      <c r="U15273" s="28"/>
    </row>
    <row r="15274">
      <c r="N15274" s="28"/>
      <c r="O15274" s="28"/>
      <c r="U15274" s="28"/>
    </row>
    <row r="15275">
      <c r="N15275" s="28"/>
      <c r="O15275" s="28"/>
      <c r="U15275" s="28"/>
    </row>
    <row r="15276">
      <c r="N15276" s="28"/>
      <c r="O15276" s="28"/>
      <c r="U15276" s="28"/>
    </row>
    <row r="15277">
      <c r="N15277" s="28"/>
      <c r="O15277" s="28"/>
      <c r="U15277" s="28"/>
    </row>
    <row r="15278">
      <c r="N15278" s="28"/>
      <c r="O15278" s="28"/>
      <c r="U15278" s="28"/>
    </row>
    <row r="15279">
      <c r="N15279" s="28"/>
      <c r="O15279" s="28"/>
      <c r="U15279" s="28"/>
    </row>
    <row r="15280">
      <c r="N15280" s="28"/>
      <c r="O15280" s="28"/>
      <c r="U15280" s="28"/>
    </row>
    <row r="15281">
      <c r="N15281" s="28"/>
      <c r="O15281" s="28"/>
      <c r="U15281" s="28"/>
    </row>
    <row r="15282">
      <c r="N15282" s="28"/>
      <c r="O15282" s="28"/>
      <c r="U15282" s="28"/>
    </row>
    <row r="15283">
      <c r="N15283" s="28"/>
      <c r="O15283" s="28"/>
      <c r="U15283" s="28"/>
    </row>
    <row r="15284">
      <c r="N15284" s="28"/>
      <c r="O15284" s="28"/>
      <c r="U15284" s="28"/>
    </row>
    <row r="15285">
      <c r="N15285" s="28"/>
      <c r="O15285" s="28"/>
      <c r="U15285" s="28"/>
    </row>
    <row r="15286">
      <c r="N15286" s="28"/>
      <c r="O15286" s="28"/>
      <c r="U15286" s="28"/>
    </row>
    <row r="15287">
      <c r="N15287" s="28"/>
      <c r="O15287" s="28"/>
      <c r="U15287" s="28"/>
    </row>
    <row r="15288">
      <c r="N15288" s="28"/>
      <c r="O15288" s="28"/>
      <c r="U15288" s="28"/>
    </row>
    <row r="15289">
      <c r="N15289" s="28"/>
      <c r="O15289" s="28"/>
      <c r="U15289" s="28"/>
    </row>
    <row r="15290">
      <c r="N15290" s="28"/>
      <c r="O15290" s="28"/>
      <c r="U15290" s="28"/>
    </row>
    <row r="15291">
      <c r="N15291" s="28"/>
      <c r="O15291" s="28"/>
      <c r="U15291" s="28"/>
    </row>
    <row r="15292">
      <c r="N15292" s="28"/>
      <c r="O15292" s="28"/>
      <c r="U15292" s="28"/>
    </row>
    <row r="15293">
      <c r="N15293" s="28"/>
      <c r="O15293" s="28"/>
      <c r="U15293" s="28"/>
    </row>
    <row r="15294">
      <c r="N15294" s="28"/>
      <c r="O15294" s="28"/>
      <c r="U15294" s="28"/>
    </row>
    <row r="15295">
      <c r="N15295" s="28"/>
      <c r="O15295" s="28"/>
      <c r="U15295" s="28"/>
    </row>
    <row r="15296">
      <c r="N15296" s="28"/>
      <c r="O15296" s="28"/>
      <c r="U15296" s="28"/>
    </row>
    <row r="15297">
      <c r="N15297" s="28"/>
      <c r="O15297" s="28"/>
      <c r="U15297" s="28"/>
    </row>
    <row r="15298">
      <c r="N15298" s="28"/>
      <c r="O15298" s="28"/>
      <c r="U15298" s="28"/>
    </row>
    <row r="15299">
      <c r="N15299" s="28"/>
      <c r="O15299" s="28"/>
      <c r="U15299" s="28"/>
    </row>
    <row r="15300">
      <c r="N15300" s="28"/>
      <c r="O15300" s="28"/>
      <c r="U15300" s="28"/>
    </row>
    <row r="15301">
      <c r="N15301" s="28"/>
      <c r="O15301" s="28"/>
      <c r="U15301" s="28"/>
    </row>
    <row r="15302">
      <c r="N15302" s="28"/>
      <c r="O15302" s="28"/>
      <c r="U15302" s="28"/>
    </row>
    <row r="15303">
      <c r="N15303" s="28"/>
      <c r="O15303" s="28"/>
      <c r="U15303" s="28"/>
    </row>
    <row r="15304">
      <c r="N15304" s="28"/>
      <c r="O15304" s="28"/>
      <c r="U15304" s="28"/>
    </row>
    <row r="15305">
      <c r="N15305" s="28"/>
      <c r="O15305" s="28"/>
      <c r="U15305" s="28"/>
    </row>
    <row r="15306">
      <c r="N15306" s="28"/>
      <c r="O15306" s="28"/>
      <c r="U15306" s="28"/>
    </row>
    <row r="15307">
      <c r="N15307" s="28"/>
      <c r="O15307" s="28"/>
      <c r="U15307" s="28"/>
    </row>
    <row r="15308">
      <c r="N15308" s="28"/>
      <c r="O15308" s="28"/>
      <c r="U15308" s="28"/>
    </row>
    <row r="15309">
      <c r="N15309" s="28"/>
      <c r="O15309" s="28"/>
      <c r="U15309" s="28"/>
    </row>
    <row r="15310">
      <c r="N15310" s="28"/>
      <c r="O15310" s="28"/>
      <c r="U15310" s="28"/>
    </row>
    <row r="15311">
      <c r="N15311" s="28"/>
      <c r="O15311" s="28"/>
      <c r="U15311" s="28"/>
    </row>
    <row r="15312">
      <c r="N15312" s="28"/>
      <c r="O15312" s="28"/>
      <c r="U15312" s="28"/>
    </row>
    <row r="15313">
      <c r="N15313" s="28"/>
      <c r="O15313" s="28"/>
      <c r="U15313" s="28"/>
    </row>
    <row r="15314">
      <c r="N15314" s="28"/>
      <c r="O15314" s="28"/>
      <c r="U15314" s="28"/>
    </row>
    <row r="15315">
      <c r="N15315" s="28"/>
      <c r="O15315" s="28"/>
      <c r="U15315" s="28"/>
    </row>
    <row r="15316">
      <c r="N15316" s="28"/>
      <c r="O15316" s="28"/>
      <c r="U15316" s="28"/>
    </row>
    <row r="15317">
      <c r="N15317" s="28"/>
      <c r="O15317" s="28"/>
      <c r="U15317" s="28"/>
    </row>
    <row r="15318">
      <c r="N15318" s="28"/>
      <c r="O15318" s="28"/>
      <c r="U15318" s="28"/>
    </row>
    <row r="15319">
      <c r="N15319" s="28"/>
      <c r="O15319" s="28"/>
      <c r="U15319" s="28"/>
    </row>
    <row r="15320">
      <c r="N15320" s="28"/>
      <c r="O15320" s="28"/>
      <c r="U15320" s="28"/>
    </row>
    <row r="15321">
      <c r="N15321" s="28"/>
      <c r="O15321" s="28"/>
      <c r="U15321" s="28"/>
    </row>
    <row r="15322">
      <c r="N15322" s="28"/>
      <c r="O15322" s="28"/>
      <c r="U15322" s="28"/>
    </row>
    <row r="15323">
      <c r="N15323" s="28"/>
      <c r="O15323" s="28"/>
      <c r="U15323" s="28"/>
    </row>
    <row r="15324">
      <c r="N15324" s="28"/>
      <c r="O15324" s="28"/>
      <c r="U15324" s="28"/>
    </row>
    <row r="15325">
      <c r="N15325" s="28"/>
      <c r="O15325" s="28"/>
      <c r="U15325" s="28"/>
    </row>
    <row r="15326">
      <c r="N15326" s="28"/>
      <c r="O15326" s="28"/>
      <c r="U15326" s="28"/>
    </row>
    <row r="15327">
      <c r="N15327" s="28"/>
      <c r="O15327" s="28"/>
      <c r="U15327" s="28"/>
    </row>
    <row r="15328">
      <c r="N15328" s="28"/>
      <c r="O15328" s="28"/>
      <c r="U15328" s="28"/>
    </row>
    <row r="15329">
      <c r="N15329" s="28"/>
      <c r="O15329" s="28"/>
      <c r="U15329" s="28"/>
    </row>
    <row r="15330">
      <c r="N15330" s="28"/>
      <c r="O15330" s="28"/>
      <c r="U15330" s="28"/>
    </row>
    <row r="15331">
      <c r="N15331" s="28"/>
      <c r="O15331" s="28"/>
      <c r="U15331" s="28"/>
    </row>
    <row r="15332">
      <c r="N15332" s="28"/>
      <c r="O15332" s="28"/>
      <c r="U15332" s="28"/>
    </row>
    <row r="15333">
      <c r="N15333" s="28"/>
      <c r="O15333" s="28"/>
      <c r="U15333" s="28"/>
    </row>
    <row r="15334">
      <c r="N15334" s="28"/>
      <c r="O15334" s="28"/>
      <c r="U15334" s="28"/>
    </row>
    <row r="15335">
      <c r="N15335" s="28"/>
      <c r="O15335" s="28"/>
      <c r="U15335" s="28"/>
    </row>
    <row r="15336">
      <c r="N15336" s="28"/>
      <c r="O15336" s="28"/>
      <c r="U15336" s="28"/>
    </row>
    <row r="15337">
      <c r="N15337" s="28"/>
      <c r="O15337" s="28"/>
      <c r="U15337" s="28"/>
    </row>
    <row r="15338">
      <c r="N15338" s="28"/>
      <c r="O15338" s="28"/>
      <c r="U15338" s="28"/>
    </row>
    <row r="15339">
      <c r="N15339" s="28"/>
      <c r="O15339" s="28"/>
      <c r="U15339" s="28"/>
    </row>
    <row r="15340">
      <c r="N15340" s="28"/>
      <c r="O15340" s="28"/>
      <c r="U15340" s="28"/>
    </row>
    <row r="15341">
      <c r="N15341" s="28"/>
      <c r="O15341" s="28"/>
      <c r="U15341" s="28"/>
    </row>
    <row r="15342">
      <c r="N15342" s="28"/>
      <c r="O15342" s="28"/>
      <c r="U15342" s="28"/>
    </row>
    <row r="15343">
      <c r="N15343" s="28"/>
      <c r="O15343" s="28"/>
      <c r="U15343" s="28"/>
    </row>
    <row r="15344">
      <c r="N15344" s="28"/>
      <c r="O15344" s="28"/>
      <c r="U15344" s="28"/>
    </row>
    <row r="15345">
      <c r="N15345" s="28"/>
      <c r="O15345" s="28"/>
      <c r="U15345" s="28"/>
    </row>
    <row r="15346">
      <c r="N15346" s="28"/>
      <c r="O15346" s="28"/>
      <c r="U15346" s="28"/>
    </row>
    <row r="15347">
      <c r="N15347" s="28"/>
      <c r="O15347" s="28"/>
      <c r="U15347" s="28"/>
    </row>
    <row r="15348">
      <c r="N15348" s="28"/>
      <c r="O15348" s="28"/>
      <c r="U15348" s="28"/>
    </row>
    <row r="15349">
      <c r="N15349" s="28"/>
      <c r="O15349" s="28"/>
      <c r="U15349" s="28"/>
    </row>
    <row r="15350">
      <c r="N15350" s="28"/>
      <c r="O15350" s="28"/>
      <c r="U15350" s="28"/>
    </row>
    <row r="15351">
      <c r="N15351" s="28"/>
      <c r="O15351" s="28"/>
      <c r="U15351" s="28"/>
    </row>
    <row r="15352">
      <c r="N15352" s="28"/>
      <c r="O15352" s="28"/>
      <c r="U15352" s="28"/>
    </row>
    <row r="15353">
      <c r="N15353" s="28"/>
      <c r="O15353" s="28"/>
      <c r="U15353" s="28"/>
    </row>
    <row r="15354">
      <c r="N15354" s="28"/>
      <c r="O15354" s="28"/>
      <c r="U15354" s="28"/>
    </row>
    <row r="15355">
      <c r="N15355" s="28"/>
      <c r="O15355" s="28"/>
      <c r="U15355" s="28"/>
    </row>
    <row r="15356">
      <c r="N15356" s="28"/>
      <c r="O15356" s="28"/>
      <c r="U15356" s="28"/>
    </row>
    <row r="15357">
      <c r="N15357" s="28"/>
      <c r="O15357" s="28"/>
      <c r="U15357" s="28"/>
    </row>
    <row r="15358">
      <c r="N15358" s="28"/>
      <c r="O15358" s="28"/>
      <c r="U15358" s="28"/>
    </row>
    <row r="15359">
      <c r="N15359" s="28"/>
      <c r="O15359" s="28"/>
      <c r="U15359" s="28"/>
    </row>
    <row r="15360">
      <c r="N15360" s="28"/>
      <c r="O15360" s="28"/>
      <c r="U15360" s="28"/>
    </row>
    <row r="15361">
      <c r="N15361" s="28"/>
      <c r="O15361" s="28"/>
      <c r="U15361" s="28"/>
    </row>
    <row r="15362">
      <c r="N15362" s="28"/>
      <c r="O15362" s="28"/>
      <c r="U15362" s="28"/>
    </row>
    <row r="15363">
      <c r="N15363" s="28"/>
      <c r="O15363" s="28"/>
      <c r="U15363" s="28"/>
    </row>
    <row r="15364">
      <c r="N15364" s="28"/>
      <c r="O15364" s="28"/>
      <c r="U15364" s="28"/>
    </row>
    <row r="15365">
      <c r="N15365" s="28"/>
      <c r="O15365" s="28"/>
      <c r="U15365" s="28"/>
    </row>
    <row r="15366">
      <c r="N15366" s="28"/>
      <c r="O15366" s="28"/>
      <c r="U15366" s="28"/>
    </row>
    <row r="15367">
      <c r="N15367" s="28"/>
      <c r="O15367" s="28"/>
      <c r="U15367" s="28"/>
    </row>
    <row r="15368">
      <c r="N15368" s="28"/>
      <c r="O15368" s="28"/>
      <c r="U15368" s="28"/>
    </row>
    <row r="15369">
      <c r="N15369" s="28"/>
      <c r="O15369" s="28"/>
      <c r="U15369" s="28"/>
    </row>
    <row r="15370">
      <c r="N15370" s="28"/>
      <c r="O15370" s="28"/>
      <c r="U15370" s="28"/>
    </row>
    <row r="15371">
      <c r="N15371" s="28"/>
      <c r="O15371" s="28"/>
      <c r="U15371" s="28"/>
    </row>
    <row r="15372">
      <c r="N15372" s="28"/>
      <c r="O15372" s="28"/>
      <c r="U15372" s="28"/>
    </row>
    <row r="15373">
      <c r="N15373" s="28"/>
      <c r="O15373" s="28"/>
      <c r="U15373" s="28"/>
    </row>
    <row r="15374">
      <c r="N15374" s="28"/>
      <c r="O15374" s="28"/>
      <c r="U15374" s="28"/>
    </row>
    <row r="15375">
      <c r="N15375" s="28"/>
      <c r="O15375" s="28"/>
      <c r="U15375" s="28"/>
    </row>
    <row r="15376">
      <c r="N15376" s="28"/>
      <c r="O15376" s="28"/>
      <c r="U15376" s="28"/>
    </row>
    <row r="15377">
      <c r="N15377" s="28"/>
      <c r="O15377" s="28"/>
      <c r="U15377" s="28"/>
    </row>
    <row r="15378">
      <c r="N15378" s="28"/>
      <c r="O15378" s="28"/>
      <c r="U15378" s="28"/>
    </row>
    <row r="15379">
      <c r="N15379" s="28"/>
      <c r="O15379" s="28"/>
      <c r="U15379" s="28"/>
    </row>
    <row r="15380">
      <c r="N15380" s="28"/>
      <c r="O15380" s="28"/>
      <c r="U15380" s="28"/>
    </row>
    <row r="15381">
      <c r="N15381" s="28"/>
      <c r="O15381" s="28"/>
      <c r="U15381" s="28"/>
    </row>
    <row r="15382">
      <c r="N15382" s="28"/>
      <c r="O15382" s="28"/>
      <c r="U15382" s="28"/>
    </row>
    <row r="15383">
      <c r="N15383" s="28"/>
      <c r="O15383" s="28"/>
      <c r="U15383" s="28"/>
    </row>
    <row r="15384">
      <c r="N15384" s="28"/>
      <c r="O15384" s="28"/>
      <c r="U15384" s="28"/>
    </row>
    <row r="15385">
      <c r="N15385" s="28"/>
      <c r="O15385" s="28"/>
      <c r="U15385" s="28"/>
    </row>
    <row r="15386">
      <c r="N15386" s="28"/>
      <c r="O15386" s="28"/>
      <c r="U15386" s="28"/>
    </row>
    <row r="15387">
      <c r="N15387" s="28"/>
      <c r="O15387" s="28"/>
      <c r="U15387" s="28"/>
    </row>
    <row r="15388">
      <c r="N15388" s="28"/>
      <c r="O15388" s="28"/>
      <c r="U15388" s="28"/>
    </row>
    <row r="15389">
      <c r="N15389" s="28"/>
      <c r="O15389" s="28"/>
      <c r="U15389" s="28"/>
    </row>
    <row r="15390">
      <c r="N15390" s="28"/>
      <c r="O15390" s="28"/>
      <c r="U15390" s="28"/>
    </row>
    <row r="15391">
      <c r="N15391" s="28"/>
      <c r="O15391" s="28"/>
      <c r="U15391" s="28"/>
    </row>
    <row r="15392">
      <c r="N15392" s="28"/>
      <c r="O15392" s="28"/>
      <c r="U15392" s="28"/>
    </row>
    <row r="15393">
      <c r="N15393" s="28"/>
      <c r="O15393" s="28"/>
      <c r="U15393" s="28"/>
    </row>
    <row r="15394">
      <c r="N15394" s="28"/>
      <c r="O15394" s="28"/>
      <c r="U15394" s="28"/>
    </row>
    <row r="15395">
      <c r="N15395" s="28"/>
      <c r="O15395" s="28"/>
      <c r="U15395" s="28"/>
    </row>
    <row r="15396">
      <c r="N15396" s="28"/>
      <c r="O15396" s="28"/>
      <c r="U15396" s="28"/>
    </row>
    <row r="15397">
      <c r="N15397" s="28"/>
      <c r="O15397" s="28"/>
      <c r="U15397" s="28"/>
    </row>
    <row r="15398">
      <c r="N15398" s="28"/>
      <c r="O15398" s="28"/>
      <c r="U15398" s="28"/>
    </row>
    <row r="15399">
      <c r="N15399" s="28"/>
      <c r="O15399" s="28"/>
      <c r="U15399" s="28"/>
    </row>
    <row r="15400">
      <c r="N15400" s="28"/>
      <c r="O15400" s="28"/>
      <c r="U15400" s="28"/>
    </row>
    <row r="15401">
      <c r="N15401" s="28"/>
      <c r="O15401" s="28"/>
      <c r="U15401" s="28"/>
    </row>
    <row r="15402">
      <c r="N15402" s="28"/>
      <c r="O15402" s="28"/>
      <c r="U15402" s="28"/>
    </row>
    <row r="15403">
      <c r="N15403" s="28"/>
      <c r="O15403" s="28"/>
      <c r="U15403" s="28"/>
    </row>
    <row r="15404">
      <c r="N15404" s="28"/>
      <c r="O15404" s="28"/>
      <c r="U15404" s="28"/>
    </row>
    <row r="15405">
      <c r="N15405" s="28"/>
      <c r="O15405" s="28"/>
      <c r="U15405" s="28"/>
    </row>
    <row r="15406">
      <c r="N15406" s="28"/>
      <c r="O15406" s="28"/>
      <c r="U15406" s="28"/>
    </row>
    <row r="15407">
      <c r="N15407" s="28"/>
      <c r="O15407" s="28"/>
      <c r="U15407" s="28"/>
    </row>
    <row r="15408">
      <c r="N15408" s="28"/>
      <c r="O15408" s="28"/>
      <c r="U15408" s="28"/>
    </row>
    <row r="15409">
      <c r="N15409" s="28"/>
      <c r="O15409" s="28"/>
      <c r="U15409" s="28"/>
    </row>
    <row r="15410">
      <c r="N15410" s="28"/>
      <c r="O15410" s="28"/>
      <c r="U15410" s="28"/>
    </row>
    <row r="15411">
      <c r="N15411" s="28"/>
      <c r="O15411" s="28"/>
      <c r="U15411" s="28"/>
    </row>
    <row r="15412">
      <c r="N15412" s="28"/>
      <c r="O15412" s="28"/>
      <c r="U15412" s="28"/>
    </row>
    <row r="15413">
      <c r="N15413" s="28"/>
      <c r="O15413" s="28"/>
      <c r="U15413" s="28"/>
    </row>
    <row r="15414">
      <c r="N15414" s="28"/>
      <c r="O15414" s="28"/>
      <c r="U15414" s="28"/>
    </row>
    <row r="15415">
      <c r="N15415" s="28"/>
      <c r="O15415" s="28"/>
      <c r="U15415" s="28"/>
    </row>
    <row r="15416">
      <c r="N15416" s="28"/>
      <c r="O15416" s="28"/>
      <c r="U15416" s="28"/>
    </row>
    <row r="15417">
      <c r="N15417" s="28"/>
      <c r="O15417" s="28"/>
      <c r="U15417" s="28"/>
    </row>
    <row r="15418">
      <c r="N15418" s="28"/>
      <c r="O15418" s="28"/>
      <c r="U15418" s="28"/>
    </row>
    <row r="15419">
      <c r="N15419" s="28"/>
      <c r="O15419" s="28"/>
      <c r="U15419" s="28"/>
    </row>
    <row r="15420">
      <c r="N15420" s="28"/>
      <c r="O15420" s="28"/>
      <c r="U15420" s="28"/>
    </row>
    <row r="15421">
      <c r="N15421" s="28"/>
      <c r="O15421" s="28"/>
      <c r="U15421" s="28"/>
    </row>
    <row r="15422">
      <c r="N15422" s="28"/>
      <c r="O15422" s="28"/>
      <c r="U15422" s="28"/>
    </row>
    <row r="15423">
      <c r="N15423" s="28"/>
      <c r="O15423" s="28"/>
      <c r="U15423" s="28"/>
    </row>
    <row r="15424">
      <c r="N15424" s="28"/>
      <c r="O15424" s="28"/>
      <c r="U15424" s="28"/>
    </row>
    <row r="15425">
      <c r="N15425" s="28"/>
      <c r="O15425" s="28"/>
      <c r="U15425" s="28"/>
    </row>
    <row r="15426">
      <c r="N15426" s="28"/>
      <c r="O15426" s="28"/>
      <c r="U15426" s="28"/>
    </row>
    <row r="15427">
      <c r="N15427" s="28"/>
      <c r="O15427" s="28"/>
      <c r="U15427" s="28"/>
    </row>
    <row r="15428">
      <c r="N15428" s="28"/>
      <c r="O15428" s="28"/>
      <c r="U15428" s="28"/>
    </row>
    <row r="15429">
      <c r="N15429" s="28"/>
      <c r="O15429" s="28"/>
      <c r="U15429" s="28"/>
    </row>
    <row r="15430">
      <c r="N15430" s="28"/>
      <c r="O15430" s="28"/>
      <c r="U15430" s="28"/>
    </row>
    <row r="15431">
      <c r="N15431" s="28"/>
      <c r="O15431" s="28"/>
      <c r="U15431" s="28"/>
    </row>
    <row r="15432">
      <c r="N15432" s="28"/>
      <c r="O15432" s="28"/>
      <c r="U15432" s="28"/>
    </row>
    <row r="15433">
      <c r="N15433" s="28"/>
      <c r="O15433" s="28"/>
      <c r="U15433" s="28"/>
    </row>
    <row r="15434">
      <c r="N15434" s="28"/>
      <c r="O15434" s="28"/>
      <c r="U15434" s="28"/>
    </row>
    <row r="15435">
      <c r="N15435" s="28"/>
      <c r="O15435" s="28"/>
      <c r="U15435" s="28"/>
    </row>
    <row r="15436">
      <c r="N15436" s="28"/>
      <c r="O15436" s="28"/>
      <c r="U15436" s="28"/>
    </row>
    <row r="15437">
      <c r="N15437" s="28"/>
      <c r="O15437" s="28"/>
      <c r="U15437" s="28"/>
    </row>
    <row r="15438">
      <c r="N15438" s="28"/>
      <c r="O15438" s="28"/>
      <c r="U15438" s="28"/>
    </row>
    <row r="15439">
      <c r="N15439" s="28"/>
      <c r="O15439" s="28"/>
      <c r="U15439" s="28"/>
    </row>
    <row r="15440">
      <c r="N15440" s="28"/>
      <c r="O15440" s="28"/>
      <c r="U15440" s="28"/>
    </row>
    <row r="15441">
      <c r="N15441" s="28"/>
      <c r="O15441" s="28"/>
      <c r="U15441" s="28"/>
    </row>
    <row r="15442">
      <c r="N15442" s="28"/>
      <c r="O15442" s="28"/>
      <c r="U15442" s="28"/>
    </row>
    <row r="15443">
      <c r="N15443" s="28"/>
      <c r="O15443" s="28"/>
      <c r="U15443" s="28"/>
    </row>
    <row r="15444">
      <c r="N15444" s="28"/>
      <c r="O15444" s="28"/>
      <c r="U15444" s="28"/>
    </row>
    <row r="15445">
      <c r="N15445" s="28"/>
      <c r="O15445" s="28"/>
      <c r="U15445" s="28"/>
    </row>
    <row r="15446">
      <c r="N15446" s="28"/>
      <c r="O15446" s="28"/>
      <c r="U15446" s="28"/>
    </row>
    <row r="15447">
      <c r="N15447" s="28"/>
      <c r="O15447" s="28"/>
      <c r="U15447" s="28"/>
    </row>
    <row r="15448">
      <c r="N15448" s="28"/>
      <c r="O15448" s="28"/>
      <c r="U15448" s="28"/>
    </row>
    <row r="15449">
      <c r="N15449" s="28"/>
      <c r="O15449" s="28"/>
      <c r="U15449" s="28"/>
    </row>
    <row r="15450">
      <c r="N15450" s="28"/>
      <c r="O15450" s="28"/>
      <c r="U15450" s="28"/>
    </row>
    <row r="15451">
      <c r="N15451" s="28"/>
      <c r="O15451" s="28"/>
      <c r="U15451" s="28"/>
    </row>
    <row r="15452">
      <c r="N15452" s="28"/>
      <c r="O15452" s="28"/>
      <c r="U15452" s="28"/>
    </row>
    <row r="15453">
      <c r="N15453" s="28"/>
      <c r="O15453" s="28"/>
      <c r="U15453" s="28"/>
    </row>
    <row r="15454">
      <c r="N15454" s="28"/>
      <c r="O15454" s="28"/>
      <c r="U15454" s="28"/>
    </row>
    <row r="15455">
      <c r="N15455" s="28"/>
      <c r="O15455" s="28"/>
      <c r="U15455" s="28"/>
    </row>
    <row r="15456">
      <c r="N15456" s="28"/>
      <c r="O15456" s="28"/>
      <c r="U15456" s="28"/>
    </row>
    <row r="15457">
      <c r="N15457" s="28"/>
      <c r="O15457" s="28"/>
      <c r="U15457" s="28"/>
    </row>
    <row r="15458">
      <c r="N15458" s="28"/>
      <c r="O15458" s="28"/>
      <c r="U15458" s="28"/>
    </row>
    <row r="15459">
      <c r="N15459" s="28"/>
      <c r="O15459" s="28"/>
      <c r="U15459" s="28"/>
    </row>
    <row r="15460">
      <c r="N15460" s="28"/>
      <c r="O15460" s="28"/>
      <c r="U15460" s="28"/>
    </row>
    <row r="15461">
      <c r="N15461" s="28"/>
      <c r="O15461" s="28"/>
      <c r="U15461" s="28"/>
    </row>
    <row r="15462">
      <c r="N15462" s="28"/>
      <c r="O15462" s="28"/>
      <c r="U15462" s="28"/>
    </row>
    <row r="15463">
      <c r="N15463" s="28"/>
      <c r="O15463" s="28"/>
      <c r="U15463" s="28"/>
    </row>
    <row r="15464">
      <c r="N15464" s="28"/>
      <c r="O15464" s="28"/>
      <c r="U15464" s="28"/>
    </row>
    <row r="15465">
      <c r="N15465" s="28"/>
      <c r="O15465" s="28"/>
      <c r="U15465" s="28"/>
    </row>
    <row r="15466">
      <c r="N15466" s="28"/>
      <c r="O15466" s="28"/>
      <c r="U15466" s="28"/>
    </row>
    <row r="15467">
      <c r="N15467" s="28"/>
      <c r="O15467" s="28"/>
      <c r="U15467" s="28"/>
    </row>
    <row r="15468">
      <c r="N15468" s="28"/>
      <c r="O15468" s="28"/>
      <c r="U15468" s="28"/>
    </row>
    <row r="15469">
      <c r="N15469" s="28"/>
      <c r="O15469" s="28"/>
      <c r="U15469" s="28"/>
    </row>
    <row r="15470">
      <c r="N15470" s="28"/>
      <c r="O15470" s="28"/>
      <c r="U15470" s="28"/>
    </row>
    <row r="15471">
      <c r="N15471" s="28"/>
      <c r="O15471" s="28"/>
      <c r="U15471" s="28"/>
    </row>
    <row r="15472">
      <c r="N15472" s="28"/>
      <c r="O15472" s="28"/>
      <c r="U15472" s="28"/>
    </row>
    <row r="15473">
      <c r="N15473" s="28"/>
      <c r="O15473" s="28"/>
      <c r="U15473" s="28"/>
    </row>
    <row r="15474">
      <c r="N15474" s="28"/>
      <c r="O15474" s="28"/>
      <c r="U15474" s="28"/>
    </row>
    <row r="15475">
      <c r="N15475" s="28"/>
      <c r="O15475" s="28"/>
      <c r="U15475" s="28"/>
    </row>
    <row r="15476">
      <c r="N15476" s="28"/>
      <c r="O15476" s="28"/>
      <c r="U15476" s="28"/>
    </row>
    <row r="15477">
      <c r="N15477" s="28"/>
      <c r="O15477" s="28"/>
      <c r="U15477" s="28"/>
    </row>
    <row r="15478">
      <c r="N15478" s="28"/>
      <c r="O15478" s="28"/>
      <c r="U15478" s="28"/>
    </row>
    <row r="15479">
      <c r="N15479" s="28"/>
      <c r="O15479" s="28"/>
      <c r="U15479" s="28"/>
    </row>
    <row r="15480">
      <c r="N15480" s="28"/>
      <c r="O15480" s="28"/>
      <c r="U15480" s="28"/>
    </row>
    <row r="15481">
      <c r="N15481" s="28"/>
      <c r="O15481" s="28"/>
      <c r="U15481" s="28"/>
    </row>
    <row r="15482">
      <c r="N15482" s="28"/>
      <c r="O15482" s="28"/>
      <c r="U15482" s="28"/>
    </row>
    <row r="15483">
      <c r="N15483" s="28"/>
      <c r="O15483" s="28"/>
      <c r="U15483" s="28"/>
    </row>
    <row r="15484">
      <c r="N15484" s="28"/>
      <c r="O15484" s="28"/>
      <c r="U15484" s="28"/>
    </row>
    <row r="15485">
      <c r="N15485" s="28"/>
      <c r="O15485" s="28"/>
      <c r="U15485" s="28"/>
    </row>
    <row r="15486">
      <c r="N15486" s="28"/>
      <c r="O15486" s="28"/>
      <c r="U15486" s="28"/>
    </row>
    <row r="15487">
      <c r="N15487" s="28"/>
      <c r="O15487" s="28"/>
      <c r="U15487" s="28"/>
    </row>
    <row r="15488">
      <c r="N15488" s="28"/>
      <c r="O15488" s="28"/>
      <c r="U15488" s="28"/>
    </row>
    <row r="15489">
      <c r="N15489" s="28"/>
      <c r="O15489" s="28"/>
      <c r="U15489" s="28"/>
    </row>
    <row r="15490">
      <c r="N15490" s="28"/>
      <c r="O15490" s="28"/>
      <c r="U15490" s="28"/>
    </row>
    <row r="15491">
      <c r="N15491" s="28"/>
      <c r="O15491" s="28"/>
      <c r="U15491" s="28"/>
    </row>
    <row r="15492">
      <c r="N15492" s="28"/>
      <c r="O15492" s="28"/>
      <c r="U15492" s="28"/>
    </row>
    <row r="15493">
      <c r="N15493" s="28"/>
      <c r="O15493" s="28"/>
      <c r="U15493" s="28"/>
    </row>
    <row r="15494">
      <c r="N15494" s="28"/>
      <c r="O15494" s="28"/>
      <c r="U15494" s="28"/>
    </row>
    <row r="15495">
      <c r="N15495" s="28"/>
      <c r="O15495" s="28"/>
      <c r="U15495" s="28"/>
    </row>
    <row r="15496">
      <c r="N15496" s="28"/>
      <c r="O15496" s="28"/>
      <c r="U15496" s="28"/>
    </row>
    <row r="15497">
      <c r="N15497" s="28"/>
      <c r="O15497" s="28"/>
      <c r="U15497" s="28"/>
    </row>
    <row r="15498">
      <c r="N15498" s="28"/>
      <c r="O15498" s="28"/>
      <c r="U15498" s="28"/>
    </row>
    <row r="15499">
      <c r="N15499" s="28"/>
      <c r="O15499" s="28"/>
      <c r="U15499" s="28"/>
    </row>
    <row r="15500">
      <c r="N15500" s="28"/>
      <c r="O15500" s="28"/>
      <c r="U15500" s="28"/>
    </row>
    <row r="15501">
      <c r="N15501" s="28"/>
      <c r="O15501" s="28"/>
      <c r="U15501" s="28"/>
    </row>
    <row r="15502">
      <c r="N15502" s="28"/>
      <c r="O15502" s="28"/>
      <c r="U15502" s="28"/>
    </row>
    <row r="15503">
      <c r="N15503" s="28"/>
      <c r="O15503" s="28"/>
      <c r="U15503" s="28"/>
    </row>
    <row r="15504">
      <c r="N15504" s="28"/>
      <c r="O15504" s="28"/>
      <c r="U15504" s="28"/>
    </row>
    <row r="15505">
      <c r="N15505" s="28"/>
      <c r="O15505" s="28"/>
      <c r="U15505" s="28"/>
    </row>
    <row r="15506">
      <c r="N15506" s="28"/>
      <c r="O15506" s="28"/>
      <c r="U15506" s="28"/>
    </row>
    <row r="15507">
      <c r="N15507" s="28"/>
      <c r="O15507" s="28"/>
      <c r="U15507" s="28"/>
    </row>
    <row r="15508">
      <c r="N15508" s="28"/>
      <c r="O15508" s="28"/>
      <c r="U15508" s="28"/>
    </row>
    <row r="15509">
      <c r="N15509" s="28"/>
      <c r="O15509" s="28"/>
      <c r="U15509" s="28"/>
    </row>
    <row r="15510">
      <c r="N15510" s="28"/>
      <c r="O15510" s="28"/>
      <c r="U15510" s="28"/>
    </row>
    <row r="15511">
      <c r="N15511" s="28"/>
      <c r="O15511" s="28"/>
      <c r="U15511" s="28"/>
    </row>
    <row r="15512">
      <c r="N15512" s="28"/>
      <c r="O15512" s="28"/>
      <c r="U15512" s="28"/>
    </row>
    <row r="15513">
      <c r="N15513" s="28"/>
      <c r="O15513" s="28"/>
      <c r="U15513" s="28"/>
    </row>
    <row r="15514">
      <c r="N15514" s="28"/>
      <c r="O15514" s="28"/>
      <c r="U15514" s="28"/>
    </row>
    <row r="15515">
      <c r="N15515" s="28"/>
      <c r="O15515" s="28"/>
      <c r="U15515" s="28"/>
    </row>
    <row r="15516">
      <c r="N15516" s="28"/>
      <c r="O15516" s="28"/>
      <c r="U15516" s="28"/>
    </row>
    <row r="15517">
      <c r="N15517" s="28"/>
      <c r="O15517" s="28"/>
      <c r="U15517" s="28"/>
    </row>
    <row r="15518">
      <c r="N15518" s="28"/>
      <c r="O15518" s="28"/>
      <c r="U15518" s="28"/>
    </row>
    <row r="15519">
      <c r="N15519" s="28"/>
      <c r="O15519" s="28"/>
      <c r="U15519" s="28"/>
    </row>
    <row r="15520">
      <c r="N15520" s="28"/>
      <c r="O15520" s="28"/>
      <c r="U15520" s="28"/>
    </row>
    <row r="15521">
      <c r="N15521" s="28"/>
      <c r="O15521" s="28"/>
      <c r="U15521" s="28"/>
    </row>
    <row r="15522">
      <c r="N15522" s="28"/>
      <c r="O15522" s="28"/>
      <c r="U15522" s="28"/>
    </row>
    <row r="15523">
      <c r="N15523" s="28"/>
      <c r="O15523" s="28"/>
      <c r="U15523" s="28"/>
    </row>
    <row r="15524">
      <c r="N15524" s="28"/>
      <c r="O15524" s="28"/>
      <c r="U15524" s="28"/>
    </row>
    <row r="15525">
      <c r="N15525" s="28"/>
      <c r="O15525" s="28"/>
      <c r="U15525" s="28"/>
    </row>
    <row r="15526">
      <c r="N15526" s="28"/>
      <c r="O15526" s="28"/>
      <c r="U15526" s="28"/>
    </row>
    <row r="15527">
      <c r="N15527" s="28"/>
      <c r="O15527" s="28"/>
      <c r="U15527" s="28"/>
    </row>
    <row r="15528">
      <c r="N15528" s="28"/>
      <c r="O15528" s="28"/>
      <c r="U15528" s="28"/>
    </row>
    <row r="15529">
      <c r="N15529" s="28"/>
      <c r="O15529" s="28"/>
      <c r="U15529" s="28"/>
    </row>
    <row r="15530">
      <c r="N15530" s="28"/>
      <c r="O15530" s="28"/>
      <c r="U15530" s="28"/>
    </row>
    <row r="15531">
      <c r="N15531" s="28"/>
      <c r="O15531" s="28"/>
      <c r="U15531" s="28"/>
    </row>
    <row r="15532">
      <c r="N15532" s="28"/>
      <c r="O15532" s="28"/>
      <c r="U15532" s="28"/>
    </row>
    <row r="15533">
      <c r="N15533" s="28"/>
      <c r="O15533" s="28"/>
      <c r="U15533" s="28"/>
    </row>
    <row r="15534">
      <c r="N15534" s="28"/>
      <c r="O15534" s="28"/>
      <c r="U15534" s="28"/>
    </row>
    <row r="15535">
      <c r="N15535" s="28"/>
      <c r="O15535" s="28"/>
      <c r="U15535" s="28"/>
    </row>
    <row r="15536">
      <c r="N15536" s="28"/>
      <c r="O15536" s="28"/>
      <c r="U15536" s="28"/>
    </row>
    <row r="15537">
      <c r="N15537" s="28"/>
      <c r="O15537" s="28"/>
      <c r="U15537" s="28"/>
    </row>
    <row r="15538">
      <c r="N15538" s="28"/>
      <c r="O15538" s="28"/>
      <c r="U15538" s="28"/>
    </row>
    <row r="15539">
      <c r="N15539" s="28"/>
      <c r="O15539" s="28"/>
      <c r="U15539" s="28"/>
    </row>
    <row r="15540">
      <c r="N15540" s="28"/>
      <c r="O15540" s="28"/>
      <c r="U15540" s="28"/>
    </row>
    <row r="15541">
      <c r="N15541" s="28"/>
      <c r="O15541" s="28"/>
      <c r="U15541" s="28"/>
    </row>
    <row r="15542">
      <c r="N15542" s="28"/>
      <c r="O15542" s="28"/>
      <c r="U15542" s="28"/>
    </row>
    <row r="15543">
      <c r="N15543" s="28"/>
      <c r="O15543" s="28"/>
      <c r="U15543" s="28"/>
    </row>
    <row r="15544">
      <c r="N15544" s="28"/>
      <c r="O15544" s="28"/>
      <c r="U15544" s="28"/>
    </row>
    <row r="15545">
      <c r="N15545" s="28"/>
      <c r="O15545" s="28"/>
      <c r="U15545" s="28"/>
    </row>
    <row r="15546">
      <c r="N15546" s="28"/>
      <c r="O15546" s="28"/>
      <c r="U15546" s="28"/>
    </row>
    <row r="15547">
      <c r="N15547" s="28"/>
      <c r="O15547" s="28"/>
      <c r="U15547" s="28"/>
    </row>
    <row r="15548">
      <c r="N15548" s="28"/>
      <c r="O15548" s="28"/>
      <c r="U15548" s="28"/>
    </row>
    <row r="15549">
      <c r="N15549" s="28"/>
      <c r="O15549" s="28"/>
      <c r="U15549" s="28"/>
    </row>
    <row r="15550">
      <c r="N15550" s="28"/>
      <c r="O15550" s="28"/>
      <c r="U15550" s="28"/>
    </row>
    <row r="15551">
      <c r="N15551" s="28"/>
      <c r="O15551" s="28"/>
      <c r="U15551" s="28"/>
    </row>
    <row r="15552">
      <c r="N15552" s="28"/>
      <c r="O15552" s="28"/>
      <c r="U15552" s="28"/>
    </row>
    <row r="15553">
      <c r="N15553" s="28"/>
      <c r="O15553" s="28"/>
      <c r="U15553" s="28"/>
    </row>
    <row r="15554">
      <c r="N15554" s="28"/>
      <c r="O15554" s="28"/>
      <c r="U15554" s="28"/>
    </row>
    <row r="15555">
      <c r="N15555" s="28"/>
      <c r="O15555" s="28"/>
      <c r="U15555" s="28"/>
    </row>
    <row r="15556">
      <c r="N15556" s="28"/>
      <c r="O15556" s="28"/>
      <c r="U15556" s="28"/>
    </row>
    <row r="15557">
      <c r="N15557" s="28"/>
      <c r="O15557" s="28"/>
      <c r="U15557" s="28"/>
    </row>
    <row r="15558">
      <c r="N15558" s="28"/>
      <c r="O15558" s="28"/>
      <c r="U15558" s="28"/>
    </row>
    <row r="15559">
      <c r="N15559" s="28"/>
      <c r="O15559" s="28"/>
      <c r="U15559" s="28"/>
    </row>
    <row r="15560">
      <c r="N15560" s="28"/>
      <c r="O15560" s="28"/>
      <c r="U15560" s="28"/>
    </row>
    <row r="15561">
      <c r="N15561" s="28"/>
      <c r="O15561" s="28"/>
      <c r="U15561" s="28"/>
    </row>
    <row r="15562">
      <c r="N15562" s="28"/>
      <c r="O15562" s="28"/>
      <c r="U15562" s="28"/>
    </row>
    <row r="15563">
      <c r="N15563" s="28"/>
      <c r="O15563" s="28"/>
      <c r="U15563" s="28"/>
    </row>
    <row r="15564">
      <c r="N15564" s="28"/>
      <c r="O15564" s="28"/>
      <c r="U15564" s="28"/>
    </row>
    <row r="15565">
      <c r="N15565" s="28"/>
      <c r="O15565" s="28"/>
      <c r="U15565" s="28"/>
    </row>
    <row r="15566">
      <c r="N15566" s="28"/>
      <c r="O15566" s="28"/>
      <c r="U15566" s="28"/>
    </row>
    <row r="15567">
      <c r="N15567" s="28"/>
      <c r="O15567" s="28"/>
      <c r="U15567" s="28"/>
    </row>
    <row r="15568">
      <c r="N15568" s="28"/>
      <c r="O15568" s="28"/>
      <c r="U15568" s="28"/>
    </row>
    <row r="15569">
      <c r="N15569" s="28"/>
      <c r="O15569" s="28"/>
      <c r="U15569" s="28"/>
    </row>
    <row r="15570">
      <c r="N15570" s="28"/>
      <c r="O15570" s="28"/>
      <c r="U15570" s="28"/>
    </row>
    <row r="15571">
      <c r="N15571" s="28"/>
      <c r="O15571" s="28"/>
      <c r="U15571" s="28"/>
    </row>
    <row r="15572">
      <c r="N15572" s="28"/>
      <c r="O15572" s="28"/>
      <c r="U15572" s="28"/>
    </row>
    <row r="15573">
      <c r="N15573" s="28"/>
      <c r="O15573" s="28"/>
      <c r="U15573" s="28"/>
    </row>
    <row r="15574">
      <c r="N15574" s="28"/>
      <c r="O15574" s="28"/>
      <c r="U15574" s="28"/>
    </row>
    <row r="15575">
      <c r="N15575" s="28"/>
      <c r="O15575" s="28"/>
      <c r="U15575" s="28"/>
    </row>
    <row r="15576">
      <c r="N15576" s="28"/>
      <c r="O15576" s="28"/>
      <c r="U15576" s="28"/>
    </row>
    <row r="15577">
      <c r="N15577" s="28"/>
      <c r="O15577" s="28"/>
      <c r="U15577" s="28"/>
    </row>
    <row r="15578">
      <c r="N15578" s="28"/>
      <c r="O15578" s="28"/>
      <c r="U15578" s="28"/>
    </row>
    <row r="15579">
      <c r="N15579" s="28"/>
      <c r="O15579" s="28"/>
      <c r="U15579" s="28"/>
    </row>
    <row r="15580">
      <c r="N15580" s="28"/>
      <c r="O15580" s="28"/>
      <c r="U15580" s="28"/>
    </row>
    <row r="15581">
      <c r="N15581" s="28"/>
      <c r="O15581" s="28"/>
      <c r="U15581" s="28"/>
    </row>
    <row r="15582">
      <c r="N15582" s="28"/>
      <c r="O15582" s="28"/>
      <c r="U15582" s="28"/>
    </row>
    <row r="15583">
      <c r="N15583" s="28"/>
      <c r="O15583" s="28"/>
      <c r="U15583" s="28"/>
    </row>
    <row r="15584">
      <c r="N15584" s="28"/>
      <c r="O15584" s="28"/>
      <c r="U15584" s="28"/>
    </row>
    <row r="15585">
      <c r="N15585" s="28"/>
      <c r="O15585" s="28"/>
      <c r="U15585" s="28"/>
    </row>
    <row r="15586">
      <c r="N15586" s="28"/>
      <c r="O15586" s="28"/>
      <c r="U15586" s="28"/>
    </row>
    <row r="15587">
      <c r="N15587" s="28"/>
      <c r="O15587" s="28"/>
      <c r="U15587" s="28"/>
    </row>
    <row r="15588">
      <c r="N15588" s="28"/>
      <c r="O15588" s="28"/>
      <c r="U15588" s="28"/>
    </row>
    <row r="15589">
      <c r="N15589" s="28"/>
      <c r="O15589" s="28"/>
      <c r="U15589" s="28"/>
    </row>
    <row r="15590">
      <c r="N15590" s="28"/>
      <c r="O15590" s="28"/>
      <c r="U15590" s="28"/>
    </row>
    <row r="15591">
      <c r="N15591" s="28"/>
      <c r="O15591" s="28"/>
      <c r="U15591" s="28"/>
    </row>
    <row r="15592">
      <c r="N15592" s="28"/>
      <c r="O15592" s="28"/>
      <c r="U15592" s="28"/>
    </row>
    <row r="15593">
      <c r="N15593" s="28"/>
      <c r="O15593" s="28"/>
      <c r="U15593" s="28"/>
    </row>
    <row r="15594">
      <c r="N15594" s="28"/>
      <c r="O15594" s="28"/>
      <c r="U15594" s="28"/>
    </row>
    <row r="15595">
      <c r="N15595" s="28"/>
      <c r="O15595" s="28"/>
      <c r="U15595" s="28"/>
    </row>
    <row r="15596">
      <c r="N15596" s="28"/>
      <c r="O15596" s="28"/>
      <c r="U15596" s="28"/>
    </row>
    <row r="15597">
      <c r="N15597" s="28"/>
      <c r="O15597" s="28"/>
      <c r="U15597" s="28"/>
    </row>
    <row r="15598">
      <c r="N15598" s="28"/>
      <c r="O15598" s="28"/>
      <c r="U15598" s="28"/>
    </row>
    <row r="15599">
      <c r="N15599" s="28"/>
      <c r="O15599" s="28"/>
      <c r="U15599" s="28"/>
    </row>
    <row r="15600">
      <c r="N15600" s="28"/>
      <c r="O15600" s="28"/>
      <c r="U15600" s="28"/>
    </row>
    <row r="15601">
      <c r="N15601" s="28"/>
      <c r="O15601" s="28"/>
      <c r="U15601" s="28"/>
    </row>
    <row r="15602">
      <c r="N15602" s="28"/>
      <c r="O15602" s="28"/>
      <c r="U15602" s="28"/>
    </row>
    <row r="15603">
      <c r="N15603" s="28"/>
      <c r="O15603" s="28"/>
      <c r="U15603" s="28"/>
    </row>
    <row r="15604">
      <c r="N15604" s="28"/>
      <c r="O15604" s="28"/>
      <c r="U15604" s="28"/>
    </row>
    <row r="15605">
      <c r="N15605" s="28"/>
      <c r="O15605" s="28"/>
      <c r="U15605" s="28"/>
    </row>
    <row r="15606">
      <c r="N15606" s="28"/>
      <c r="O15606" s="28"/>
      <c r="U15606" s="28"/>
    </row>
    <row r="15607">
      <c r="N15607" s="28"/>
      <c r="O15607" s="28"/>
      <c r="U15607" s="28"/>
    </row>
    <row r="15608">
      <c r="N15608" s="28"/>
      <c r="O15608" s="28"/>
      <c r="U15608" s="28"/>
    </row>
    <row r="15609">
      <c r="N15609" s="28"/>
      <c r="O15609" s="28"/>
      <c r="U15609" s="28"/>
    </row>
    <row r="15610">
      <c r="N15610" s="28"/>
      <c r="O15610" s="28"/>
      <c r="U15610" s="28"/>
    </row>
    <row r="15611">
      <c r="N15611" s="28"/>
      <c r="O15611" s="28"/>
      <c r="U15611" s="28"/>
    </row>
    <row r="15612">
      <c r="N15612" s="28"/>
      <c r="O15612" s="28"/>
      <c r="U15612" s="28"/>
    </row>
    <row r="15613">
      <c r="N15613" s="28"/>
      <c r="O15613" s="28"/>
      <c r="U15613" s="28"/>
    </row>
    <row r="15614">
      <c r="N15614" s="28"/>
      <c r="O15614" s="28"/>
      <c r="U15614" s="28"/>
    </row>
    <row r="15615">
      <c r="N15615" s="28"/>
      <c r="O15615" s="28"/>
      <c r="U15615" s="28"/>
    </row>
    <row r="15616">
      <c r="N15616" s="28"/>
      <c r="O15616" s="28"/>
      <c r="U15616" s="28"/>
    </row>
    <row r="15617">
      <c r="N15617" s="28"/>
      <c r="O15617" s="28"/>
      <c r="U15617" s="28"/>
    </row>
    <row r="15618">
      <c r="N15618" s="28"/>
      <c r="O15618" s="28"/>
      <c r="U15618" s="28"/>
    </row>
    <row r="15619">
      <c r="N15619" s="28"/>
      <c r="O15619" s="28"/>
      <c r="U15619" s="28"/>
    </row>
    <row r="15620">
      <c r="N15620" s="28"/>
      <c r="O15620" s="28"/>
      <c r="U15620" s="28"/>
    </row>
    <row r="15621">
      <c r="N15621" s="28"/>
      <c r="O15621" s="28"/>
      <c r="U15621" s="28"/>
    </row>
    <row r="15622">
      <c r="N15622" s="28"/>
      <c r="O15622" s="28"/>
      <c r="U15622" s="28"/>
    </row>
    <row r="15623">
      <c r="N15623" s="28"/>
      <c r="O15623" s="28"/>
      <c r="U15623" s="28"/>
    </row>
    <row r="15624">
      <c r="N15624" s="28"/>
      <c r="O15624" s="28"/>
      <c r="U15624" s="28"/>
    </row>
    <row r="15625">
      <c r="N15625" s="28"/>
      <c r="O15625" s="28"/>
      <c r="U15625" s="28"/>
    </row>
    <row r="15626">
      <c r="N15626" s="28"/>
      <c r="O15626" s="28"/>
      <c r="U15626" s="28"/>
    </row>
    <row r="15627">
      <c r="N15627" s="28"/>
      <c r="O15627" s="28"/>
      <c r="U15627" s="28"/>
    </row>
    <row r="15628">
      <c r="N15628" s="28"/>
      <c r="O15628" s="28"/>
      <c r="U15628" s="28"/>
    </row>
    <row r="15629">
      <c r="N15629" s="28"/>
      <c r="O15629" s="28"/>
      <c r="U15629" s="28"/>
    </row>
    <row r="15630">
      <c r="N15630" s="28"/>
      <c r="O15630" s="28"/>
      <c r="U15630" s="28"/>
    </row>
    <row r="15631">
      <c r="N15631" s="28"/>
      <c r="O15631" s="28"/>
      <c r="U15631" s="28"/>
    </row>
    <row r="15632">
      <c r="N15632" s="28"/>
      <c r="O15632" s="28"/>
      <c r="U15632" s="28"/>
    </row>
    <row r="15633">
      <c r="N15633" s="28"/>
      <c r="O15633" s="28"/>
      <c r="U15633" s="28"/>
    </row>
    <row r="15634">
      <c r="N15634" s="28"/>
      <c r="O15634" s="28"/>
      <c r="U15634" s="28"/>
    </row>
    <row r="15635">
      <c r="N15635" s="28"/>
      <c r="O15635" s="28"/>
      <c r="U15635" s="28"/>
    </row>
    <row r="15636">
      <c r="N15636" s="28"/>
      <c r="O15636" s="28"/>
      <c r="U15636" s="28"/>
    </row>
    <row r="15637">
      <c r="N15637" s="28"/>
      <c r="O15637" s="28"/>
      <c r="U15637" s="28"/>
    </row>
    <row r="15638">
      <c r="N15638" s="28"/>
      <c r="O15638" s="28"/>
      <c r="U15638" s="28"/>
    </row>
    <row r="15639">
      <c r="N15639" s="28"/>
      <c r="O15639" s="28"/>
      <c r="U15639" s="28"/>
    </row>
    <row r="15640">
      <c r="N15640" s="28"/>
      <c r="O15640" s="28"/>
      <c r="U15640" s="28"/>
    </row>
    <row r="15641">
      <c r="N15641" s="28"/>
      <c r="O15641" s="28"/>
      <c r="U15641" s="28"/>
    </row>
    <row r="15642">
      <c r="N15642" s="28"/>
      <c r="O15642" s="28"/>
      <c r="U15642" s="28"/>
    </row>
    <row r="15643">
      <c r="N15643" s="28"/>
      <c r="O15643" s="28"/>
      <c r="U15643" s="28"/>
    </row>
    <row r="15644">
      <c r="N15644" s="28"/>
      <c r="O15644" s="28"/>
      <c r="U15644" s="28"/>
    </row>
    <row r="15645">
      <c r="N15645" s="28"/>
      <c r="O15645" s="28"/>
      <c r="U15645" s="28"/>
    </row>
    <row r="15646">
      <c r="N15646" s="28"/>
      <c r="O15646" s="28"/>
      <c r="U15646" s="28"/>
    </row>
    <row r="15647">
      <c r="N15647" s="28"/>
      <c r="O15647" s="28"/>
      <c r="U15647" s="28"/>
    </row>
    <row r="15648">
      <c r="N15648" s="28"/>
      <c r="O15648" s="28"/>
      <c r="U15648" s="28"/>
    </row>
    <row r="15649">
      <c r="N15649" s="28"/>
      <c r="O15649" s="28"/>
      <c r="U15649" s="28"/>
    </row>
    <row r="15650">
      <c r="N15650" s="28"/>
      <c r="O15650" s="28"/>
      <c r="U15650" s="28"/>
    </row>
    <row r="15651">
      <c r="N15651" s="28"/>
      <c r="O15651" s="28"/>
      <c r="U15651" s="28"/>
    </row>
    <row r="15652">
      <c r="N15652" s="28"/>
      <c r="O15652" s="28"/>
      <c r="U15652" s="28"/>
    </row>
    <row r="15653">
      <c r="N15653" s="28"/>
      <c r="O15653" s="28"/>
      <c r="U15653" s="28"/>
    </row>
    <row r="15654">
      <c r="N15654" s="28"/>
      <c r="O15654" s="28"/>
      <c r="U15654" s="28"/>
    </row>
    <row r="15655">
      <c r="N15655" s="28"/>
      <c r="O15655" s="28"/>
      <c r="U15655" s="28"/>
    </row>
    <row r="15656">
      <c r="N15656" s="28"/>
      <c r="O15656" s="28"/>
      <c r="U15656" s="28"/>
    </row>
    <row r="15657">
      <c r="N15657" s="28"/>
      <c r="O15657" s="28"/>
      <c r="U15657" s="28"/>
    </row>
    <row r="15658">
      <c r="N15658" s="28"/>
      <c r="O15658" s="28"/>
      <c r="U15658" s="28"/>
    </row>
    <row r="15659">
      <c r="N15659" s="28"/>
      <c r="O15659" s="28"/>
      <c r="U15659" s="28"/>
    </row>
    <row r="15660">
      <c r="N15660" s="28"/>
      <c r="O15660" s="28"/>
      <c r="U15660" s="28"/>
    </row>
    <row r="15661">
      <c r="N15661" s="28"/>
      <c r="O15661" s="28"/>
      <c r="U15661" s="28"/>
    </row>
    <row r="15662">
      <c r="N15662" s="28"/>
      <c r="O15662" s="28"/>
      <c r="U15662" s="28"/>
    </row>
    <row r="15663">
      <c r="N15663" s="28"/>
      <c r="O15663" s="28"/>
      <c r="U15663" s="28"/>
    </row>
    <row r="15664">
      <c r="N15664" s="28"/>
      <c r="O15664" s="28"/>
      <c r="U15664" s="28"/>
    </row>
    <row r="15665">
      <c r="N15665" s="28"/>
      <c r="O15665" s="28"/>
      <c r="U15665" s="28"/>
    </row>
    <row r="15666">
      <c r="N15666" s="28"/>
      <c r="O15666" s="28"/>
      <c r="U15666" s="28"/>
    </row>
    <row r="15667">
      <c r="N15667" s="28"/>
      <c r="O15667" s="28"/>
      <c r="U15667" s="28"/>
    </row>
    <row r="15668">
      <c r="N15668" s="28"/>
      <c r="O15668" s="28"/>
      <c r="U15668" s="28"/>
    </row>
    <row r="15669">
      <c r="N15669" s="28"/>
      <c r="O15669" s="28"/>
      <c r="U15669" s="28"/>
    </row>
    <row r="15670">
      <c r="N15670" s="28"/>
      <c r="O15670" s="28"/>
      <c r="U15670" s="28"/>
    </row>
    <row r="15671">
      <c r="N15671" s="28"/>
      <c r="O15671" s="28"/>
      <c r="U15671" s="28"/>
    </row>
    <row r="15672">
      <c r="N15672" s="28"/>
      <c r="O15672" s="28"/>
      <c r="U15672" s="28"/>
    </row>
    <row r="15673">
      <c r="N15673" s="28"/>
      <c r="O15673" s="28"/>
      <c r="U15673" s="28"/>
    </row>
    <row r="15674">
      <c r="N15674" s="28"/>
      <c r="O15674" s="28"/>
      <c r="U15674" s="28"/>
    </row>
    <row r="15675">
      <c r="N15675" s="28"/>
      <c r="O15675" s="28"/>
      <c r="U15675" s="28"/>
    </row>
    <row r="15676">
      <c r="N15676" s="28"/>
      <c r="O15676" s="28"/>
      <c r="U15676" s="28"/>
    </row>
    <row r="15677">
      <c r="N15677" s="28"/>
      <c r="O15677" s="28"/>
      <c r="U15677" s="28"/>
    </row>
    <row r="15678">
      <c r="N15678" s="28"/>
      <c r="O15678" s="28"/>
      <c r="U15678" s="28"/>
    </row>
    <row r="15679">
      <c r="N15679" s="28"/>
      <c r="O15679" s="28"/>
      <c r="U15679" s="28"/>
    </row>
    <row r="15680">
      <c r="N15680" s="28"/>
      <c r="O15680" s="28"/>
      <c r="U15680" s="28"/>
    </row>
    <row r="15681">
      <c r="N15681" s="28"/>
      <c r="O15681" s="28"/>
      <c r="U15681" s="28"/>
    </row>
    <row r="15682">
      <c r="N15682" s="28"/>
      <c r="O15682" s="28"/>
      <c r="U15682" s="28"/>
    </row>
    <row r="15683">
      <c r="N15683" s="28"/>
      <c r="O15683" s="28"/>
      <c r="U15683" s="28"/>
    </row>
    <row r="15684">
      <c r="N15684" s="28"/>
      <c r="O15684" s="28"/>
      <c r="U15684" s="28"/>
    </row>
    <row r="15685">
      <c r="N15685" s="28"/>
      <c r="O15685" s="28"/>
      <c r="U15685" s="28"/>
    </row>
    <row r="15686">
      <c r="N15686" s="28"/>
      <c r="O15686" s="28"/>
      <c r="U15686" s="28"/>
    </row>
    <row r="15687">
      <c r="N15687" s="28"/>
      <c r="O15687" s="28"/>
      <c r="U15687" s="28"/>
    </row>
    <row r="15688">
      <c r="N15688" s="28"/>
      <c r="O15688" s="28"/>
      <c r="U15688" s="28"/>
    </row>
    <row r="15689">
      <c r="N15689" s="28"/>
      <c r="O15689" s="28"/>
      <c r="U15689" s="28"/>
    </row>
    <row r="15690">
      <c r="N15690" s="28"/>
      <c r="O15690" s="28"/>
      <c r="U15690" s="28"/>
    </row>
    <row r="15691">
      <c r="N15691" s="28"/>
      <c r="O15691" s="28"/>
      <c r="U15691" s="28"/>
    </row>
    <row r="15692">
      <c r="N15692" s="28"/>
      <c r="O15692" s="28"/>
      <c r="U15692" s="28"/>
    </row>
    <row r="15693">
      <c r="N15693" s="28"/>
      <c r="O15693" s="28"/>
      <c r="U15693" s="28"/>
    </row>
    <row r="15694">
      <c r="N15694" s="28"/>
      <c r="O15694" s="28"/>
      <c r="U15694" s="28"/>
    </row>
    <row r="15695">
      <c r="N15695" s="28"/>
      <c r="O15695" s="28"/>
      <c r="U15695" s="28"/>
    </row>
    <row r="15696">
      <c r="N15696" s="28"/>
      <c r="O15696" s="28"/>
      <c r="U15696" s="28"/>
    </row>
    <row r="15697">
      <c r="N15697" s="28"/>
      <c r="O15697" s="28"/>
      <c r="U15697" s="28"/>
    </row>
    <row r="15698">
      <c r="N15698" s="28"/>
      <c r="O15698" s="28"/>
      <c r="U15698" s="28"/>
    </row>
    <row r="15699">
      <c r="N15699" s="28"/>
      <c r="O15699" s="28"/>
      <c r="U15699" s="28"/>
    </row>
    <row r="15700">
      <c r="N15700" s="28"/>
      <c r="O15700" s="28"/>
      <c r="U15700" s="28"/>
    </row>
    <row r="15701">
      <c r="N15701" s="28"/>
      <c r="O15701" s="28"/>
      <c r="U15701" s="28"/>
    </row>
    <row r="15702">
      <c r="N15702" s="28"/>
      <c r="O15702" s="28"/>
      <c r="U15702" s="28"/>
    </row>
    <row r="15703">
      <c r="N15703" s="28"/>
      <c r="O15703" s="28"/>
      <c r="U15703" s="28"/>
    </row>
    <row r="15704">
      <c r="N15704" s="28"/>
      <c r="O15704" s="28"/>
      <c r="U15704" s="28"/>
    </row>
    <row r="15705">
      <c r="N15705" s="28"/>
      <c r="O15705" s="28"/>
      <c r="U15705" s="28"/>
    </row>
    <row r="15706">
      <c r="N15706" s="28"/>
      <c r="O15706" s="28"/>
      <c r="U15706" s="28"/>
    </row>
    <row r="15707">
      <c r="N15707" s="28"/>
      <c r="O15707" s="28"/>
      <c r="U15707" s="28"/>
    </row>
    <row r="15708">
      <c r="N15708" s="28"/>
      <c r="O15708" s="28"/>
      <c r="U15708" s="28"/>
    </row>
    <row r="15709">
      <c r="N15709" s="28"/>
      <c r="O15709" s="28"/>
      <c r="U15709" s="28"/>
    </row>
    <row r="15710">
      <c r="N15710" s="28"/>
      <c r="O15710" s="28"/>
      <c r="U15710" s="28"/>
    </row>
    <row r="15711">
      <c r="N15711" s="28"/>
      <c r="O15711" s="28"/>
      <c r="U15711" s="28"/>
    </row>
    <row r="15712">
      <c r="N15712" s="28"/>
      <c r="O15712" s="28"/>
      <c r="U15712" s="28"/>
    </row>
    <row r="15713">
      <c r="N15713" s="28"/>
      <c r="O15713" s="28"/>
      <c r="U15713" s="28"/>
    </row>
    <row r="15714">
      <c r="N15714" s="28"/>
      <c r="O15714" s="28"/>
      <c r="U15714" s="28"/>
    </row>
    <row r="15715">
      <c r="N15715" s="28"/>
      <c r="O15715" s="28"/>
      <c r="U15715" s="28"/>
    </row>
    <row r="15716">
      <c r="N15716" s="28"/>
      <c r="O15716" s="28"/>
      <c r="U15716" s="28"/>
    </row>
    <row r="15717">
      <c r="N15717" s="28"/>
      <c r="O15717" s="28"/>
      <c r="U15717" s="28"/>
    </row>
    <row r="15718">
      <c r="N15718" s="28"/>
      <c r="O15718" s="28"/>
      <c r="U15718" s="28"/>
    </row>
    <row r="15719">
      <c r="N15719" s="28"/>
      <c r="O15719" s="28"/>
      <c r="U15719" s="28"/>
    </row>
    <row r="15720">
      <c r="N15720" s="28"/>
      <c r="O15720" s="28"/>
      <c r="U15720" s="28"/>
    </row>
    <row r="15721">
      <c r="N15721" s="28"/>
      <c r="O15721" s="28"/>
      <c r="U15721" s="28"/>
    </row>
    <row r="15722">
      <c r="N15722" s="28"/>
      <c r="O15722" s="28"/>
      <c r="U15722" s="28"/>
    </row>
    <row r="15723">
      <c r="N15723" s="28"/>
      <c r="O15723" s="28"/>
      <c r="U15723" s="28"/>
    </row>
    <row r="15724">
      <c r="N15724" s="28"/>
      <c r="O15724" s="28"/>
      <c r="U15724" s="28"/>
    </row>
    <row r="15725">
      <c r="N15725" s="28"/>
      <c r="O15725" s="28"/>
      <c r="U15725" s="28"/>
    </row>
    <row r="15726">
      <c r="N15726" s="28"/>
      <c r="O15726" s="28"/>
      <c r="U15726" s="28"/>
    </row>
    <row r="15727">
      <c r="N15727" s="28"/>
      <c r="O15727" s="28"/>
      <c r="U15727" s="28"/>
    </row>
    <row r="15728">
      <c r="N15728" s="28"/>
      <c r="O15728" s="28"/>
      <c r="U15728" s="28"/>
    </row>
    <row r="15729">
      <c r="N15729" s="28"/>
      <c r="O15729" s="28"/>
      <c r="U15729" s="28"/>
    </row>
    <row r="15730">
      <c r="N15730" s="28"/>
      <c r="O15730" s="28"/>
      <c r="U15730" s="28"/>
    </row>
    <row r="15731">
      <c r="N15731" s="28"/>
      <c r="O15731" s="28"/>
      <c r="U15731" s="28"/>
    </row>
    <row r="15732">
      <c r="N15732" s="28"/>
      <c r="O15732" s="28"/>
      <c r="U15732" s="28"/>
    </row>
    <row r="15733">
      <c r="N15733" s="28"/>
      <c r="O15733" s="28"/>
      <c r="U15733" s="28"/>
    </row>
    <row r="15734">
      <c r="N15734" s="28"/>
      <c r="O15734" s="28"/>
      <c r="U15734" s="28"/>
    </row>
    <row r="15735">
      <c r="N15735" s="28"/>
      <c r="O15735" s="28"/>
      <c r="U15735" s="28"/>
    </row>
    <row r="15736">
      <c r="N15736" s="28"/>
      <c r="O15736" s="28"/>
      <c r="U15736" s="28"/>
    </row>
    <row r="15737">
      <c r="N15737" s="28"/>
      <c r="O15737" s="28"/>
      <c r="U15737" s="28"/>
    </row>
    <row r="15738">
      <c r="N15738" s="28"/>
      <c r="O15738" s="28"/>
      <c r="U15738" s="28"/>
    </row>
    <row r="15739">
      <c r="N15739" s="28"/>
      <c r="O15739" s="28"/>
      <c r="U15739" s="28"/>
    </row>
    <row r="15740">
      <c r="N15740" s="28"/>
      <c r="O15740" s="28"/>
      <c r="U15740" s="28"/>
    </row>
    <row r="15741">
      <c r="N15741" s="28"/>
      <c r="O15741" s="28"/>
      <c r="U15741" s="28"/>
    </row>
    <row r="15742">
      <c r="N15742" s="28"/>
      <c r="O15742" s="28"/>
      <c r="U15742" s="28"/>
    </row>
    <row r="15743">
      <c r="N15743" s="28"/>
      <c r="O15743" s="28"/>
      <c r="U15743" s="28"/>
    </row>
    <row r="15744">
      <c r="N15744" s="28"/>
      <c r="O15744" s="28"/>
      <c r="U15744" s="28"/>
    </row>
    <row r="15745">
      <c r="N15745" s="28"/>
      <c r="O15745" s="28"/>
      <c r="U15745" s="28"/>
    </row>
    <row r="15746">
      <c r="N15746" s="28"/>
      <c r="O15746" s="28"/>
      <c r="U15746" s="28"/>
    </row>
    <row r="15747">
      <c r="N15747" s="28"/>
      <c r="O15747" s="28"/>
      <c r="U15747" s="28"/>
    </row>
    <row r="15748">
      <c r="N15748" s="28"/>
      <c r="O15748" s="28"/>
      <c r="U15748" s="28"/>
    </row>
    <row r="15749">
      <c r="N15749" s="28"/>
      <c r="O15749" s="28"/>
      <c r="U15749" s="28"/>
    </row>
    <row r="15750">
      <c r="N15750" s="28"/>
      <c r="O15750" s="28"/>
      <c r="U15750" s="28"/>
    </row>
    <row r="15751">
      <c r="N15751" s="28"/>
      <c r="O15751" s="28"/>
      <c r="U15751" s="28"/>
    </row>
    <row r="15752">
      <c r="N15752" s="28"/>
      <c r="O15752" s="28"/>
      <c r="U15752" s="28"/>
    </row>
    <row r="15753">
      <c r="N15753" s="28"/>
      <c r="O15753" s="28"/>
      <c r="U15753" s="28"/>
    </row>
    <row r="15754">
      <c r="N15754" s="28"/>
      <c r="O15754" s="28"/>
      <c r="U15754" s="28"/>
    </row>
    <row r="15755">
      <c r="N15755" s="28"/>
      <c r="O15755" s="28"/>
      <c r="U15755" s="28"/>
    </row>
    <row r="15756">
      <c r="N15756" s="28"/>
      <c r="O15756" s="28"/>
      <c r="U15756" s="28"/>
    </row>
    <row r="15757">
      <c r="N15757" s="28"/>
      <c r="O15757" s="28"/>
      <c r="U15757" s="28"/>
    </row>
    <row r="15758">
      <c r="N15758" s="28"/>
      <c r="O15758" s="28"/>
      <c r="U15758" s="28"/>
    </row>
    <row r="15759">
      <c r="N15759" s="28"/>
      <c r="O15759" s="28"/>
      <c r="U15759" s="28"/>
    </row>
    <row r="15760">
      <c r="N15760" s="28"/>
      <c r="O15760" s="28"/>
      <c r="U15760" s="28"/>
    </row>
    <row r="15761">
      <c r="N15761" s="28"/>
      <c r="O15761" s="28"/>
      <c r="U15761" s="28"/>
    </row>
    <row r="15762">
      <c r="N15762" s="28"/>
      <c r="O15762" s="28"/>
      <c r="U15762" s="28"/>
    </row>
    <row r="15763">
      <c r="N15763" s="28"/>
      <c r="O15763" s="28"/>
      <c r="U15763" s="28"/>
    </row>
    <row r="15764">
      <c r="N15764" s="28"/>
      <c r="O15764" s="28"/>
      <c r="U15764" s="28"/>
    </row>
    <row r="15765">
      <c r="N15765" s="28"/>
      <c r="O15765" s="28"/>
      <c r="U15765" s="28"/>
    </row>
    <row r="15766">
      <c r="N15766" s="28"/>
      <c r="O15766" s="28"/>
      <c r="U15766" s="28"/>
    </row>
    <row r="15767">
      <c r="N15767" s="28"/>
      <c r="O15767" s="28"/>
      <c r="U15767" s="28"/>
    </row>
    <row r="15768">
      <c r="N15768" s="28"/>
      <c r="O15768" s="28"/>
      <c r="U15768" s="28"/>
    </row>
    <row r="15769">
      <c r="N15769" s="28"/>
      <c r="O15769" s="28"/>
      <c r="U15769" s="28"/>
    </row>
    <row r="15770">
      <c r="N15770" s="28"/>
      <c r="O15770" s="28"/>
      <c r="U15770" s="28"/>
    </row>
    <row r="15771">
      <c r="N15771" s="28"/>
      <c r="O15771" s="28"/>
      <c r="U15771" s="28"/>
    </row>
    <row r="15772">
      <c r="N15772" s="28"/>
      <c r="O15772" s="28"/>
      <c r="U15772" s="28"/>
    </row>
    <row r="15773">
      <c r="N15773" s="28"/>
      <c r="O15773" s="28"/>
      <c r="U15773" s="28"/>
    </row>
    <row r="15774">
      <c r="N15774" s="28"/>
      <c r="O15774" s="28"/>
      <c r="U15774" s="28"/>
    </row>
    <row r="15775">
      <c r="N15775" s="28"/>
      <c r="O15775" s="28"/>
      <c r="U15775" s="28"/>
    </row>
    <row r="15776">
      <c r="N15776" s="28"/>
      <c r="O15776" s="28"/>
      <c r="U15776" s="28"/>
    </row>
    <row r="15777">
      <c r="N15777" s="28"/>
      <c r="O15777" s="28"/>
      <c r="U15777" s="28"/>
    </row>
    <row r="15778">
      <c r="N15778" s="28"/>
      <c r="O15778" s="28"/>
      <c r="U15778" s="28"/>
    </row>
    <row r="15779">
      <c r="N15779" s="28"/>
      <c r="O15779" s="28"/>
      <c r="U15779" s="28"/>
    </row>
    <row r="15780">
      <c r="N15780" s="28"/>
      <c r="O15780" s="28"/>
      <c r="U15780" s="28"/>
    </row>
    <row r="15781">
      <c r="N15781" s="28"/>
      <c r="O15781" s="28"/>
      <c r="U15781" s="28"/>
    </row>
    <row r="15782">
      <c r="N15782" s="28"/>
      <c r="O15782" s="28"/>
      <c r="U15782" s="28"/>
    </row>
    <row r="15783">
      <c r="N15783" s="28"/>
      <c r="O15783" s="28"/>
      <c r="U15783" s="28"/>
    </row>
    <row r="15784">
      <c r="N15784" s="28"/>
      <c r="O15784" s="28"/>
      <c r="U15784" s="28"/>
    </row>
    <row r="15785">
      <c r="N15785" s="28"/>
      <c r="O15785" s="28"/>
      <c r="U15785" s="28"/>
    </row>
    <row r="15786">
      <c r="N15786" s="28"/>
      <c r="O15786" s="28"/>
      <c r="U15786" s="28"/>
    </row>
    <row r="15787">
      <c r="N15787" s="28"/>
      <c r="O15787" s="28"/>
      <c r="U15787" s="28"/>
    </row>
    <row r="15788">
      <c r="N15788" s="28"/>
      <c r="O15788" s="28"/>
      <c r="U15788" s="28"/>
    </row>
    <row r="15789">
      <c r="N15789" s="28"/>
      <c r="O15789" s="28"/>
      <c r="U15789" s="28"/>
    </row>
    <row r="15790">
      <c r="N15790" s="28"/>
      <c r="O15790" s="28"/>
      <c r="U15790" s="28"/>
    </row>
    <row r="15791">
      <c r="N15791" s="28"/>
      <c r="O15791" s="28"/>
      <c r="U15791" s="28"/>
    </row>
    <row r="15792">
      <c r="N15792" s="28"/>
      <c r="O15792" s="28"/>
      <c r="U15792" s="28"/>
    </row>
    <row r="15793">
      <c r="N15793" s="28"/>
      <c r="O15793" s="28"/>
      <c r="U15793" s="28"/>
    </row>
    <row r="15794">
      <c r="N15794" s="28"/>
      <c r="O15794" s="28"/>
      <c r="U15794" s="28"/>
    </row>
    <row r="15795">
      <c r="N15795" s="28"/>
      <c r="O15795" s="28"/>
      <c r="U15795" s="28"/>
    </row>
    <row r="15796">
      <c r="N15796" s="28"/>
      <c r="O15796" s="28"/>
      <c r="U15796" s="28"/>
    </row>
    <row r="15797">
      <c r="N15797" s="28"/>
      <c r="O15797" s="28"/>
      <c r="U15797" s="28"/>
    </row>
    <row r="15798">
      <c r="N15798" s="28"/>
      <c r="O15798" s="28"/>
      <c r="U15798" s="28"/>
    </row>
    <row r="15799">
      <c r="N15799" s="28"/>
      <c r="O15799" s="28"/>
      <c r="U15799" s="28"/>
    </row>
    <row r="15800">
      <c r="N15800" s="28"/>
      <c r="O15800" s="28"/>
      <c r="U15800" s="28"/>
    </row>
    <row r="15801">
      <c r="N15801" s="28"/>
      <c r="O15801" s="28"/>
      <c r="U15801" s="28"/>
    </row>
    <row r="15802">
      <c r="N15802" s="28"/>
      <c r="O15802" s="28"/>
      <c r="U15802" s="28"/>
    </row>
    <row r="15803">
      <c r="N15803" s="28"/>
      <c r="O15803" s="28"/>
      <c r="U15803" s="28"/>
    </row>
    <row r="15804">
      <c r="N15804" s="28"/>
      <c r="O15804" s="28"/>
      <c r="U15804" s="28"/>
    </row>
    <row r="15805">
      <c r="N15805" s="28"/>
      <c r="O15805" s="28"/>
      <c r="U15805" s="28"/>
    </row>
    <row r="15806">
      <c r="N15806" s="28"/>
      <c r="O15806" s="28"/>
      <c r="U15806" s="28"/>
    </row>
    <row r="15807">
      <c r="N15807" s="28"/>
      <c r="O15807" s="28"/>
      <c r="U15807" s="28"/>
    </row>
    <row r="15808">
      <c r="N15808" s="28"/>
      <c r="O15808" s="28"/>
      <c r="U15808" s="28"/>
    </row>
    <row r="15809">
      <c r="N15809" s="28"/>
      <c r="O15809" s="28"/>
      <c r="U15809" s="28"/>
    </row>
    <row r="15810">
      <c r="N15810" s="28"/>
      <c r="O15810" s="28"/>
      <c r="U15810" s="28"/>
    </row>
    <row r="15811">
      <c r="N15811" s="28"/>
      <c r="O15811" s="28"/>
      <c r="U15811" s="28"/>
    </row>
    <row r="15812">
      <c r="N15812" s="28"/>
      <c r="O15812" s="28"/>
      <c r="U15812" s="28"/>
    </row>
    <row r="15813">
      <c r="N15813" s="28"/>
      <c r="O15813" s="28"/>
      <c r="U15813" s="28"/>
    </row>
    <row r="15814">
      <c r="N15814" s="28"/>
      <c r="O15814" s="28"/>
      <c r="U15814" s="28"/>
    </row>
    <row r="15815">
      <c r="N15815" s="28"/>
      <c r="O15815" s="28"/>
      <c r="U15815" s="28"/>
    </row>
    <row r="15816">
      <c r="N15816" s="28"/>
      <c r="O15816" s="28"/>
      <c r="U15816" s="28"/>
    </row>
    <row r="15817">
      <c r="N15817" s="28"/>
      <c r="O15817" s="28"/>
      <c r="U15817" s="28"/>
    </row>
    <row r="15818">
      <c r="N15818" s="28"/>
      <c r="O15818" s="28"/>
      <c r="U15818" s="28"/>
    </row>
    <row r="15819">
      <c r="N15819" s="28"/>
      <c r="O15819" s="28"/>
      <c r="U15819" s="28"/>
    </row>
    <row r="15820">
      <c r="N15820" s="28"/>
      <c r="O15820" s="28"/>
      <c r="U15820" s="28"/>
    </row>
    <row r="15821">
      <c r="N15821" s="28"/>
      <c r="O15821" s="28"/>
      <c r="U15821" s="28"/>
    </row>
    <row r="15822">
      <c r="N15822" s="28"/>
      <c r="O15822" s="28"/>
      <c r="U15822" s="28"/>
    </row>
    <row r="15823">
      <c r="N15823" s="28"/>
      <c r="O15823" s="28"/>
      <c r="U15823" s="28"/>
    </row>
    <row r="15824">
      <c r="N15824" s="28"/>
      <c r="O15824" s="28"/>
      <c r="U15824" s="28"/>
    </row>
    <row r="15825">
      <c r="N15825" s="28"/>
      <c r="O15825" s="28"/>
      <c r="U15825" s="28"/>
    </row>
    <row r="15826">
      <c r="N15826" s="28"/>
      <c r="O15826" s="28"/>
      <c r="U15826" s="28"/>
    </row>
    <row r="15827">
      <c r="N15827" s="28"/>
      <c r="O15827" s="28"/>
      <c r="U15827" s="28"/>
    </row>
    <row r="15828">
      <c r="N15828" s="28"/>
      <c r="O15828" s="28"/>
      <c r="U15828" s="28"/>
    </row>
    <row r="15829">
      <c r="N15829" s="28"/>
      <c r="O15829" s="28"/>
      <c r="U15829" s="28"/>
    </row>
    <row r="15830">
      <c r="N15830" s="28"/>
      <c r="O15830" s="28"/>
      <c r="U15830" s="28"/>
    </row>
    <row r="15831">
      <c r="N15831" s="28"/>
      <c r="O15831" s="28"/>
      <c r="U15831" s="28"/>
    </row>
    <row r="15832">
      <c r="N15832" s="28"/>
      <c r="O15832" s="28"/>
      <c r="U15832" s="28"/>
    </row>
    <row r="15833">
      <c r="N15833" s="28"/>
      <c r="O15833" s="28"/>
      <c r="U15833" s="28"/>
    </row>
    <row r="15834">
      <c r="N15834" s="28"/>
      <c r="O15834" s="28"/>
      <c r="U15834" s="28"/>
    </row>
    <row r="15835">
      <c r="N15835" s="28"/>
      <c r="O15835" s="28"/>
      <c r="U15835" s="28"/>
    </row>
    <row r="15836">
      <c r="N15836" s="28"/>
      <c r="O15836" s="28"/>
      <c r="U15836" s="28"/>
    </row>
    <row r="15837">
      <c r="N15837" s="28"/>
      <c r="O15837" s="28"/>
      <c r="U15837" s="28"/>
    </row>
    <row r="15838">
      <c r="N15838" s="28"/>
      <c r="O15838" s="28"/>
      <c r="U15838" s="28"/>
    </row>
    <row r="15839">
      <c r="N15839" s="28"/>
      <c r="O15839" s="28"/>
      <c r="U15839" s="28"/>
    </row>
    <row r="15840">
      <c r="N15840" s="28"/>
      <c r="O15840" s="28"/>
      <c r="U15840" s="28"/>
    </row>
    <row r="15841">
      <c r="N15841" s="28"/>
      <c r="O15841" s="28"/>
      <c r="U15841" s="28"/>
    </row>
    <row r="15842">
      <c r="N15842" s="28"/>
      <c r="O15842" s="28"/>
      <c r="U15842" s="28"/>
    </row>
    <row r="15843">
      <c r="N15843" s="28"/>
      <c r="O15843" s="28"/>
      <c r="U15843" s="28"/>
    </row>
    <row r="15844">
      <c r="N15844" s="28"/>
      <c r="O15844" s="28"/>
      <c r="U15844" s="28"/>
    </row>
    <row r="15845">
      <c r="N15845" s="28"/>
      <c r="O15845" s="28"/>
      <c r="U15845" s="28"/>
    </row>
    <row r="15846">
      <c r="N15846" s="28"/>
      <c r="O15846" s="28"/>
      <c r="U15846" s="28"/>
    </row>
    <row r="15847">
      <c r="N15847" s="28"/>
      <c r="O15847" s="28"/>
      <c r="U15847" s="28"/>
    </row>
    <row r="15848">
      <c r="N15848" s="28"/>
      <c r="O15848" s="28"/>
      <c r="U15848" s="28"/>
    </row>
    <row r="15849">
      <c r="N15849" s="28"/>
      <c r="O15849" s="28"/>
      <c r="U15849" s="28"/>
    </row>
    <row r="15850">
      <c r="N15850" s="28"/>
      <c r="O15850" s="28"/>
      <c r="U15850" s="28"/>
    </row>
    <row r="15851">
      <c r="N15851" s="28"/>
      <c r="O15851" s="28"/>
      <c r="U15851" s="28"/>
    </row>
    <row r="15852">
      <c r="N15852" s="28"/>
      <c r="O15852" s="28"/>
      <c r="U15852" s="28"/>
    </row>
    <row r="15853">
      <c r="N15853" s="28"/>
      <c r="O15853" s="28"/>
      <c r="U15853" s="28"/>
    </row>
    <row r="15854">
      <c r="N15854" s="28"/>
      <c r="O15854" s="28"/>
      <c r="U15854" s="28"/>
    </row>
    <row r="15855">
      <c r="N15855" s="28"/>
      <c r="O15855" s="28"/>
      <c r="U15855" s="28"/>
    </row>
    <row r="15856">
      <c r="N15856" s="28"/>
      <c r="O15856" s="28"/>
      <c r="U15856" s="28"/>
    </row>
    <row r="15857">
      <c r="N15857" s="28"/>
      <c r="O15857" s="28"/>
      <c r="U15857" s="28"/>
    </row>
    <row r="15858">
      <c r="N15858" s="28"/>
      <c r="O15858" s="28"/>
      <c r="U15858" s="28"/>
    </row>
    <row r="15859">
      <c r="N15859" s="28"/>
      <c r="O15859" s="28"/>
      <c r="U15859" s="28"/>
    </row>
    <row r="15860">
      <c r="N15860" s="28"/>
      <c r="O15860" s="28"/>
      <c r="U15860" s="28"/>
    </row>
    <row r="15861">
      <c r="N15861" s="28"/>
      <c r="O15861" s="28"/>
      <c r="U15861" s="28"/>
    </row>
    <row r="15862">
      <c r="N15862" s="28"/>
      <c r="O15862" s="28"/>
      <c r="U15862" s="28"/>
    </row>
    <row r="15863">
      <c r="N15863" s="28"/>
      <c r="O15863" s="28"/>
      <c r="U15863" s="28"/>
    </row>
    <row r="15864">
      <c r="N15864" s="28"/>
      <c r="O15864" s="28"/>
      <c r="U15864" s="28"/>
    </row>
    <row r="15865">
      <c r="N15865" s="28"/>
      <c r="O15865" s="28"/>
      <c r="U15865" s="28"/>
    </row>
    <row r="15866">
      <c r="N15866" s="28"/>
      <c r="O15866" s="28"/>
      <c r="U15866" s="28"/>
    </row>
    <row r="15867">
      <c r="N15867" s="28"/>
      <c r="O15867" s="28"/>
      <c r="U15867" s="28"/>
    </row>
    <row r="15868">
      <c r="N15868" s="28"/>
      <c r="O15868" s="28"/>
      <c r="U15868" s="28"/>
    </row>
    <row r="15869">
      <c r="N15869" s="28"/>
      <c r="O15869" s="28"/>
      <c r="U15869" s="28"/>
    </row>
    <row r="15870">
      <c r="N15870" s="28"/>
      <c r="O15870" s="28"/>
      <c r="U15870" s="28"/>
    </row>
    <row r="15871">
      <c r="N15871" s="28"/>
      <c r="O15871" s="28"/>
      <c r="U15871" s="28"/>
    </row>
    <row r="15872">
      <c r="N15872" s="28"/>
      <c r="O15872" s="28"/>
      <c r="U15872" s="28"/>
    </row>
    <row r="15873">
      <c r="N15873" s="28"/>
      <c r="O15873" s="28"/>
      <c r="U15873" s="28"/>
    </row>
    <row r="15874">
      <c r="N15874" s="28"/>
      <c r="O15874" s="28"/>
      <c r="U15874" s="28"/>
    </row>
    <row r="15875">
      <c r="N15875" s="28"/>
      <c r="O15875" s="28"/>
      <c r="U15875" s="28"/>
    </row>
    <row r="15876">
      <c r="N15876" s="28"/>
      <c r="O15876" s="28"/>
      <c r="U15876" s="28"/>
    </row>
    <row r="15877">
      <c r="N15877" s="28"/>
      <c r="O15877" s="28"/>
      <c r="U15877" s="28"/>
    </row>
    <row r="15878">
      <c r="N15878" s="28"/>
      <c r="O15878" s="28"/>
      <c r="U15878" s="28"/>
    </row>
    <row r="15879">
      <c r="N15879" s="28"/>
      <c r="O15879" s="28"/>
      <c r="U15879" s="28"/>
    </row>
    <row r="15880">
      <c r="N15880" s="28"/>
      <c r="O15880" s="28"/>
      <c r="U15880" s="28"/>
    </row>
    <row r="15881">
      <c r="N15881" s="28"/>
      <c r="O15881" s="28"/>
      <c r="U15881" s="28"/>
    </row>
    <row r="15882">
      <c r="N15882" s="28"/>
      <c r="O15882" s="28"/>
      <c r="U15882" s="28"/>
    </row>
    <row r="15883">
      <c r="N15883" s="28"/>
      <c r="O15883" s="28"/>
      <c r="U15883" s="28"/>
    </row>
    <row r="15884">
      <c r="N15884" s="28"/>
      <c r="O15884" s="28"/>
      <c r="U15884" s="28"/>
    </row>
    <row r="15885">
      <c r="N15885" s="28"/>
      <c r="O15885" s="28"/>
      <c r="U15885" s="28"/>
    </row>
    <row r="15886">
      <c r="N15886" s="28"/>
      <c r="O15886" s="28"/>
      <c r="U15886" s="28"/>
    </row>
    <row r="15887">
      <c r="N15887" s="28"/>
      <c r="O15887" s="28"/>
      <c r="U15887" s="28"/>
    </row>
    <row r="15888">
      <c r="N15888" s="28"/>
      <c r="O15888" s="28"/>
      <c r="U15888" s="28"/>
    </row>
    <row r="15889">
      <c r="N15889" s="28"/>
      <c r="O15889" s="28"/>
      <c r="U15889" s="28"/>
    </row>
    <row r="15890">
      <c r="N15890" s="28"/>
      <c r="O15890" s="28"/>
      <c r="U15890" s="28"/>
    </row>
    <row r="15891">
      <c r="N15891" s="28"/>
      <c r="O15891" s="28"/>
      <c r="U15891" s="28"/>
    </row>
    <row r="15892">
      <c r="N15892" s="28"/>
      <c r="O15892" s="28"/>
      <c r="U15892" s="28"/>
    </row>
    <row r="15893">
      <c r="N15893" s="28"/>
      <c r="O15893" s="28"/>
      <c r="U15893" s="28"/>
    </row>
    <row r="15894">
      <c r="N15894" s="28"/>
      <c r="O15894" s="28"/>
      <c r="U15894" s="28"/>
    </row>
    <row r="15895">
      <c r="N15895" s="28"/>
      <c r="O15895" s="28"/>
      <c r="U15895" s="28"/>
    </row>
    <row r="15896">
      <c r="N15896" s="28"/>
      <c r="O15896" s="28"/>
      <c r="U15896" s="28"/>
    </row>
    <row r="15897">
      <c r="N15897" s="28"/>
      <c r="O15897" s="28"/>
      <c r="U15897" s="28"/>
    </row>
    <row r="15898">
      <c r="N15898" s="28"/>
      <c r="O15898" s="28"/>
      <c r="U15898" s="28"/>
    </row>
    <row r="15899">
      <c r="N15899" s="28"/>
      <c r="O15899" s="28"/>
      <c r="U15899" s="28"/>
    </row>
    <row r="15900">
      <c r="N15900" s="28"/>
      <c r="O15900" s="28"/>
      <c r="U15900" s="28"/>
    </row>
    <row r="15901">
      <c r="N15901" s="28"/>
      <c r="O15901" s="28"/>
      <c r="U15901" s="28"/>
    </row>
    <row r="15902">
      <c r="N15902" s="28"/>
      <c r="O15902" s="28"/>
      <c r="U15902" s="28"/>
    </row>
    <row r="15903">
      <c r="N15903" s="28"/>
      <c r="O15903" s="28"/>
      <c r="U15903" s="28"/>
    </row>
    <row r="15904">
      <c r="N15904" s="28"/>
      <c r="O15904" s="28"/>
      <c r="U15904" s="28"/>
    </row>
    <row r="15905">
      <c r="N15905" s="28"/>
      <c r="O15905" s="28"/>
      <c r="U15905" s="28"/>
    </row>
    <row r="15906">
      <c r="N15906" s="28"/>
      <c r="O15906" s="28"/>
      <c r="U15906" s="28"/>
    </row>
    <row r="15907">
      <c r="N15907" s="28"/>
      <c r="O15907" s="28"/>
      <c r="U15907" s="28"/>
    </row>
    <row r="15908">
      <c r="N15908" s="28"/>
      <c r="O15908" s="28"/>
      <c r="U15908" s="28"/>
    </row>
    <row r="15909">
      <c r="N15909" s="28"/>
      <c r="O15909" s="28"/>
      <c r="U15909" s="28"/>
    </row>
    <row r="15910">
      <c r="N15910" s="28"/>
      <c r="O15910" s="28"/>
      <c r="U15910" s="28"/>
    </row>
    <row r="15911">
      <c r="N15911" s="28"/>
      <c r="O15911" s="28"/>
      <c r="U15911" s="28"/>
    </row>
    <row r="15912">
      <c r="N15912" s="28"/>
      <c r="O15912" s="28"/>
      <c r="U15912" s="28"/>
    </row>
    <row r="15913">
      <c r="N15913" s="28"/>
      <c r="O15913" s="28"/>
      <c r="U15913" s="28"/>
    </row>
    <row r="15914">
      <c r="N15914" s="28"/>
      <c r="O15914" s="28"/>
      <c r="U15914" s="28"/>
    </row>
    <row r="15915">
      <c r="N15915" s="28"/>
      <c r="O15915" s="28"/>
      <c r="U15915" s="28"/>
    </row>
    <row r="15916">
      <c r="N15916" s="28"/>
      <c r="O15916" s="28"/>
      <c r="U15916" s="28"/>
    </row>
    <row r="15917">
      <c r="N15917" s="28"/>
      <c r="O15917" s="28"/>
      <c r="U15917" s="28"/>
    </row>
    <row r="15918">
      <c r="N15918" s="28"/>
      <c r="O15918" s="28"/>
      <c r="U15918" s="28"/>
    </row>
    <row r="15919">
      <c r="N15919" s="28"/>
      <c r="O15919" s="28"/>
      <c r="U15919" s="28"/>
    </row>
    <row r="15920">
      <c r="N15920" s="28"/>
      <c r="O15920" s="28"/>
      <c r="U15920" s="28"/>
    </row>
    <row r="15921">
      <c r="N15921" s="28"/>
      <c r="O15921" s="28"/>
      <c r="U15921" s="28"/>
    </row>
    <row r="15922">
      <c r="N15922" s="28"/>
      <c r="O15922" s="28"/>
      <c r="U15922" s="28"/>
    </row>
    <row r="15923">
      <c r="N15923" s="28"/>
      <c r="O15923" s="28"/>
      <c r="U15923" s="28"/>
    </row>
    <row r="15924">
      <c r="N15924" s="28"/>
      <c r="O15924" s="28"/>
      <c r="U15924" s="28"/>
    </row>
    <row r="15925">
      <c r="N15925" s="28"/>
      <c r="O15925" s="28"/>
      <c r="U15925" s="28"/>
    </row>
    <row r="15926">
      <c r="N15926" s="28"/>
      <c r="O15926" s="28"/>
      <c r="U15926" s="28"/>
    </row>
    <row r="15927">
      <c r="N15927" s="28"/>
      <c r="O15927" s="28"/>
      <c r="U15927" s="28"/>
    </row>
    <row r="15928">
      <c r="N15928" s="28"/>
      <c r="O15928" s="28"/>
      <c r="U15928" s="28"/>
    </row>
    <row r="15929">
      <c r="N15929" s="28"/>
      <c r="O15929" s="28"/>
      <c r="U15929" s="28"/>
    </row>
    <row r="15930">
      <c r="N15930" s="28"/>
      <c r="O15930" s="28"/>
      <c r="U15930" s="28"/>
    </row>
    <row r="15931">
      <c r="N15931" s="28"/>
      <c r="O15931" s="28"/>
      <c r="U15931" s="28"/>
    </row>
    <row r="15932">
      <c r="N15932" s="28"/>
      <c r="O15932" s="28"/>
      <c r="U15932" s="28"/>
    </row>
    <row r="15933">
      <c r="N15933" s="28"/>
      <c r="O15933" s="28"/>
      <c r="U15933" s="28"/>
    </row>
    <row r="15934">
      <c r="N15934" s="28"/>
      <c r="O15934" s="28"/>
      <c r="U15934" s="28"/>
    </row>
    <row r="15935">
      <c r="N15935" s="28"/>
      <c r="O15935" s="28"/>
      <c r="U15935" s="28"/>
    </row>
    <row r="15936">
      <c r="N15936" s="28"/>
      <c r="O15936" s="28"/>
      <c r="U15936" s="28"/>
    </row>
    <row r="15937">
      <c r="N15937" s="28"/>
      <c r="O15937" s="28"/>
      <c r="U15937" s="28"/>
    </row>
    <row r="15938">
      <c r="N15938" s="28"/>
      <c r="O15938" s="28"/>
      <c r="U15938" s="28"/>
    </row>
    <row r="15939">
      <c r="N15939" s="28"/>
      <c r="O15939" s="28"/>
      <c r="U15939" s="28"/>
    </row>
    <row r="15940">
      <c r="N15940" s="28"/>
      <c r="O15940" s="28"/>
      <c r="U15940" s="28"/>
    </row>
    <row r="15941">
      <c r="N15941" s="28"/>
      <c r="O15941" s="28"/>
      <c r="U15941" s="28"/>
    </row>
    <row r="15942">
      <c r="N15942" s="28"/>
      <c r="O15942" s="28"/>
      <c r="U15942" s="28"/>
    </row>
    <row r="15943">
      <c r="N15943" s="28"/>
      <c r="O15943" s="28"/>
      <c r="U15943" s="28"/>
    </row>
    <row r="15944">
      <c r="N15944" s="28"/>
      <c r="O15944" s="28"/>
      <c r="U15944" s="28"/>
    </row>
    <row r="15945">
      <c r="N15945" s="28"/>
      <c r="O15945" s="28"/>
      <c r="U15945" s="28"/>
    </row>
    <row r="15946">
      <c r="N15946" s="28"/>
      <c r="O15946" s="28"/>
      <c r="U15946" s="28"/>
    </row>
    <row r="15947">
      <c r="N15947" s="28"/>
      <c r="O15947" s="28"/>
      <c r="U15947" s="28"/>
    </row>
    <row r="15948">
      <c r="N15948" s="28"/>
      <c r="O15948" s="28"/>
      <c r="U15948" s="28"/>
    </row>
    <row r="15949">
      <c r="N15949" s="28"/>
      <c r="O15949" s="28"/>
      <c r="U15949" s="28"/>
    </row>
    <row r="15950">
      <c r="N15950" s="28"/>
      <c r="O15950" s="28"/>
      <c r="U15950" s="28"/>
    </row>
    <row r="15951">
      <c r="N15951" s="28"/>
      <c r="O15951" s="28"/>
      <c r="U15951" s="28"/>
    </row>
    <row r="15952">
      <c r="N15952" s="28"/>
      <c r="O15952" s="28"/>
      <c r="U15952" s="28"/>
    </row>
    <row r="15953">
      <c r="N15953" s="28"/>
      <c r="O15953" s="28"/>
      <c r="U15953" s="28"/>
    </row>
    <row r="15954">
      <c r="N15954" s="28"/>
      <c r="O15954" s="28"/>
      <c r="U15954" s="28"/>
    </row>
    <row r="15955">
      <c r="N15955" s="28"/>
      <c r="O15955" s="28"/>
      <c r="U15955" s="28"/>
    </row>
    <row r="15956">
      <c r="N15956" s="28"/>
      <c r="O15956" s="28"/>
      <c r="U15956" s="28"/>
    </row>
    <row r="15957">
      <c r="N15957" s="28"/>
      <c r="O15957" s="28"/>
      <c r="U15957" s="28"/>
    </row>
    <row r="15958">
      <c r="N15958" s="28"/>
      <c r="O15958" s="28"/>
      <c r="U15958" s="28"/>
    </row>
    <row r="15959">
      <c r="N15959" s="28"/>
      <c r="O15959" s="28"/>
      <c r="U15959" s="28"/>
    </row>
    <row r="15960">
      <c r="N15960" s="28"/>
      <c r="O15960" s="28"/>
      <c r="U15960" s="28"/>
    </row>
    <row r="15961">
      <c r="N15961" s="28"/>
      <c r="O15961" s="28"/>
      <c r="U15961" s="28"/>
    </row>
    <row r="15962">
      <c r="N15962" s="28"/>
      <c r="O15962" s="28"/>
      <c r="U15962" s="28"/>
    </row>
    <row r="15963">
      <c r="N15963" s="28"/>
      <c r="O15963" s="28"/>
      <c r="U15963" s="28"/>
    </row>
    <row r="15964">
      <c r="N15964" s="28"/>
      <c r="O15964" s="28"/>
      <c r="U15964" s="28"/>
    </row>
    <row r="15965">
      <c r="N15965" s="28"/>
      <c r="O15965" s="28"/>
      <c r="U15965" s="28"/>
    </row>
    <row r="15966">
      <c r="N15966" s="28"/>
      <c r="O15966" s="28"/>
      <c r="U15966" s="28"/>
    </row>
    <row r="15967">
      <c r="N15967" s="28"/>
      <c r="O15967" s="28"/>
      <c r="U15967" s="28"/>
    </row>
    <row r="15968">
      <c r="N15968" s="28"/>
      <c r="O15968" s="28"/>
      <c r="U15968" s="28"/>
    </row>
    <row r="15969">
      <c r="N15969" s="28"/>
      <c r="O15969" s="28"/>
      <c r="U15969" s="28"/>
    </row>
    <row r="15970">
      <c r="N15970" s="28"/>
      <c r="O15970" s="28"/>
      <c r="U15970" s="28"/>
    </row>
    <row r="15971">
      <c r="N15971" s="28"/>
      <c r="O15971" s="28"/>
      <c r="U15971" s="28"/>
    </row>
    <row r="15972">
      <c r="N15972" s="28"/>
      <c r="O15972" s="28"/>
      <c r="U15972" s="28"/>
    </row>
    <row r="15973">
      <c r="N15973" s="28"/>
      <c r="O15973" s="28"/>
      <c r="U15973" s="28"/>
    </row>
    <row r="15974">
      <c r="N15974" s="28"/>
      <c r="O15974" s="28"/>
      <c r="U15974" s="28"/>
    </row>
    <row r="15975">
      <c r="N15975" s="28"/>
      <c r="O15975" s="28"/>
      <c r="U15975" s="28"/>
    </row>
    <row r="15976">
      <c r="N15976" s="28"/>
      <c r="O15976" s="28"/>
      <c r="U15976" s="28"/>
    </row>
    <row r="15977">
      <c r="N15977" s="28"/>
      <c r="O15977" s="28"/>
      <c r="U15977" s="28"/>
    </row>
    <row r="15978">
      <c r="N15978" s="28"/>
      <c r="O15978" s="28"/>
      <c r="U15978" s="28"/>
    </row>
    <row r="15979">
      <c r="N15979" s="28"/>
      <c r="O15979" s="28"/>
      <c r="U15979" s="28"/>
    </row>
    <row r="15980">
      <c r="N15980" s="28"/>
      <c r="O15980" s="28"/>
      <c r="U15980" s="28"/>
    </row>
    <row r="15981">
      <c r="N15981" s="28"/>
      <c r="O15981" s="28"/>
      <c r="U15981" s="28"/>
    </row>
    <row r="15982">
      <c r="N15982" s="28"/>
      <c r="O15982" s="28"/>
      <c r="U15982" s="28"/>
    </row>
    <row r="15983">
      <c r="N15983" s="28"/>
      <c r="O15983" s="28"/>
      <c r="U15983" s="28"/>
    </row>
    <row r="15984">
      <c r="N15984" s="28"/>
      <c r="O15984" s="28"/>
      <c r="U15984" s="28"/>
    </row>
    <row r="15985">
      <c r="N15985" s="28"/>
      <c r="O15985" s="28"/>
      <c r="U15985" s="28"/>
    </row>
    <row r="15986">
      <c r="N15986" s="28"/>
      <c r="O15986" s="28"/>
      <c r="U15986" s="28"/>
    </row>
    <row r="15987">
      <c r="N15987" s="28"/>
      <c r="O15987" s="28"/>
      <c r="U15987" s="28"/>
    </row>
    <row r="15988">
      <c r="N15988" s="28"/>
      <c r="O15988" s="28"/>
      <c r="U15988" s="28"/>
    </row>
    <row r="15989">
      <c r="N15989" s="28"/>
      <c r="O15989" s="28"/>
      <c r="U15989" s="28"/>
    </row>
    <row r="15990">
      <c r="N15990" s="28"/>
      <c r="O15990" s="28"/>
      <c r="U15990" s="28"/>
    </row>
    <row r="15991">
      <c r="N15991" s="28"/>
      <c r="O15991" s="28"/>
      <c r="U15991" s="28"/>
    </row>
    <row r="15992">
      <c r="N15992" s="28"/>
      <c r="O15992" s="28"/>
      <c r="U15992" s="28"/>
    </row>
    <row r="15993">
      <c r="N15993" s="28"/>
      <c r="O15993" s="28"/>
      <c r="U15993" s="28"/>
    </row>
    <row r="15994">
      <c r="N15994" s="28"/>
      <c r="O15994" s="28"/>
      <c r="U15994" s="28"/>
    </row>
    <row r="15995">
      <c r="N15995" s="28"/>
      <c r="O15995" s="28"/>
      <c r="U15995" s="28"/>
    </row>
    <row r="15996">
      <c r="N15996" s="28"/>
      <c r="O15996" s="28"/>
      <c r="U15996" s="28"/>
    </row>
    <row r="15997">
      <c r="N15997" s="28"/>
      <c r="O15997" s="28"/>
      <c r="U15997" s="28"/>
    </row>
    <row r="15998">
      <c r="N15998" s="28"/>
      <c r="O15998" s="28"/>
      <c r="U15998" s="28"/>
    </row>
    <row r="15999">
      <c r="N15999" s="28"/>
      <c r="O15999" s="28"/>
      <c r="U15999" s="28"/>
    </row>
    <row r="16000">
      <c r="N16000" s="28"/>
      <c r="O16000" s="28"/>
      <c r="U16000" s="28"/>
    </row>
    <row r="16001">
      <c r="N16001" s="28"/>
      <c r="O16001" s="28"/>
      <c r="U16001" s="28"/>
    </row>
    <row r="16002">
      <c r="N16002" s="28"/>
      <c r="O16002" s="28"/>
      <c r="U16002" s="28"/>
    </row>
    <row r="16003">
      <c r="N16003" s="28"/>
      <c r="O16003" s="28"/>
      <c r="U16003" s="28"/>
    </row>
    <row r="16004">
      <c r="N16004" s="28"/>
      <c r="O16004" s="28"/>
      <c r="U16004" s="28"/>
    </row>
    <row r="16005">
      <c r="N16005" s="28"/>
      <c r="O16005" s="28"/>
      <c r="U16005" s="28"/>
    </row>
    <row r="16006">
      <c r="N16006" s="28"/>
      <c r="O16006" s="28"/>
      <c r="U16006" s="28"/>
    </row>
    <row r="16007">
      <c r="N16007" s="28"/>
      <c r="O16007" s="28"/>
      <c r="U16007" s="28"/>
    </row>
    <row r="16008">
      <c r="N16008" s="28"/>
      <c r="O16008" s="28"/>
      <c r="U16008" s="28"/>
    </row>
    <row r="16009">
      <c r="N16009" s="28"/>
      <c r="O16009" s="28"/>
      <c r="U16009" s="28"/>
    </row>
    <row r="16010">
      <c r="N16010" s="28"/>
      <c r="O16010" s="28"/>
      <c r="U16010" s="28"/>
    </row>
    <row r="16011">
      <c r="N16011" s="28"/>
      <c r="O16011" s="28"/>
      <c r="U16011" s="28"/>
    </row>
    <row r="16012">
      <c r="N16012" s="28"/>
      <c r="O16012" s="28"/>
      <c r="U16012" s="28"/>
    </row>
    <row r="16013">
      <c r="N16013" s="28"/>
      <c r="O16013" s="28"/>
      <c r="U16013" s="28"/>
    </row>
    <row r="16014">
      <c r="N16014" s="28"/>
      <c r="O16014" s="28"/>
      <c r="U16014" s="28"/>
    </row>
    <row r="16015">
      <c r="N16015" s="28"/>
      <c r="O16015" s="28"/>
      <c r="U16015" s="28"/>
    </row>
    <row r="16016">
      <c r="N16016" s="28"/>
      <c r="O16016" s="28"/>
      <c r="U16016" s="28"/>
    </row>
    <row r="16017">
      <c r="N16017" s="28"/>
      <c r="O16017" s="28"/>
      <c r="U16017" s="28"/>
    </row>
    <row r="16018">
      <c r="N16018" s="28"/>
      <c r="O16018" s="28"/>
      <c r="U16018" s="28"/>
    </row>
    <row r="16019">
      <c r="N16019" s="28"/>
      <c r="O16019" s="28"/>
      <c r="U16019" s="28"/>
    </row>
    <row r="16020">
      <c r="N16020" s="28"/>
      <c r="O16020" s="28"/>
      <c r="U16020" s="28"/>
    </row>
    <row r="16021">
      <c r="N16021" s="28"/>
      <c r="O16021" s="28"/>
      <c r="U16021" s="28"/>
    </row>
    <row r="16022">
      <c r="N16022" s="28"/>
      <c r="O16022" s="28"/>
      <c r="U16022" s="28"/>
    </row>
    <row r="16023">
      <c r="N16023" s="28"/>
      <c r="O16023" s="28"/>
      <c r="U16023" s="28"/>
    </row>
    <row r="16024">
      <c r="N16024" s="28"/>
      <c r="O16024" s="28"/>
      <c r="U16024" s="28"/>
    </row>
    <row r="16025">
      <c r="N16025" s="28"/>
      <c r="O16025" s="28"/>
      <c r="U16025" s="28"/>
    </row>
    <row r="16026">
      <c r="N16026" s="28"/>
      <c r="O16026" s="28"/>
      <c r="U16026" s="28"/>
    </row>
    <row r="16027">
      <c r="N16027" s="28"/>
      <c r="O16027" s="28"/>
      <c r="U16027" s="28"/>
    </row>
    <row r="16028">
      <c r="N16028" s="28"/>
      <c r="O16028" s="28"/>
      <c r="U16028" s="28"/>
    </row>
    <row r="16029">
      <c r="N16029" s="28"/>
      <c r="O16029" s="28"/>
      <c r="U16029" s="28"/>
    </row>
    <row r="16030">
      <c r="N16030" s="28"/>
      <c r="O16030" s="28"/>
      <c r="U16030" s="28"/>
    </row>
    <row r="16031">
      <c r="N16031" s="28"/>
      <c r="O16031" s="28"/>
      <c r="U16031" s="28"/>
    </row>
    <row r="16032">
      <c r="N16032" s="28"/>
      <c r="O16032" s="28"/>
      <c r="U16032" s="28"/>
    </row>
    <row r="16033">
      <c r="N16033" s="28"/>
      <c r="O16033" s="28"/>
      <c r="U16033" s="28"/>
    </row>
    <row r="16034">
      <c r="N16034" s="28"/>
      <c r="O16034" s="28"/>
      <c r="U16034" s="28"/>
    </row>
    <row r="16035">
      <c r="N16035" s="28"/>
      <c r="O16035" s="28"/>
      <c r="U16035" s="28"/>
    </row>
    <row r="16036">
      <c r="N16036" s="28"/>
      <c r="O16036" s="28"/>
      <c r="U16036" s="28"/>
    </row>
    <row r="16037">
      <c r="N16037" s="28"/>
      <c r="O16037" s="28"/>
      <c r="U16037" s="28"/>
    </row>
    <row r="16038">
      <c r="N16038" s="28"/>
      <c r="O16038" s="28"/>
      <c r="U16038" s="28"/>
    </row>
    <row r="16039">
      <c r="N16039" s="28"/>
      <c r="O16039" s="28"/>
      <c r="U16039" s="28"/>
    </row>
    <row r="16040">
      <c r="N16040" s="28"/>
      <c r="O16040" s="28"/>
      <c r="U16040" s="28"/>
    </row>
    <row r="16041">
      <c r="N16041" s="28"/>
      <c r="O16041" s="28"/>
      <c r="U16041" s="28"/>
    </row>
    <row r="16042">
      <c r="N16042" s="28"/>
      <c r="O16042" s="28"/>
      <c r="U16042" s="28"/>
    </row>
    <row r="16043">
      <c r="N16043" s="28"/>
      <c r="O16043" s="28"/>
      <c r="U16043" s="28"/>
    </row>
    <row r="16044">
      <c r="N16044" s="28"/>
      <c r="O16044" s="28"/>
      <c r="U16044" s="28"/>
    </row>
    <row r="16045">
      <c r="N16045" s="28"/>
      <c r="O16045" s="28"/>
      <c r="U16045" s="28"/>
    </row>
    <row r="16046">
      <c r="N16046" s="28"/>
      <c r="O16046" s="28"/>
      <c r="U16046" s="28"/>
    </row>
    <row r="16047">
      <c r="N16047" s="28"/>
      <c r="O16047" s="28"/>
      <c r="U16047" s="28"/>
    </row>
    <row r="16048">
      <c r="N16048" s="28"/>
      <c r="O16048" s="28"/>
      <c r="U16048" s="28"/>
    </row>
    <row r="16049">
      <c r="N16049" s="28"/>
      <c r="O16049" s="28"/>
      <c r="U16049" s="28"/>
    </row>
    <row r="16050">
      <c r="N16050" s="28"/>
      <c r="O16050" s="28"/>
      <c r="U16050" s="28"/>
    </row>
    <row r="16051">
      <c r="N16051" s="28"/>
      <c r="O16051" s="28"/>
      <c r="U16051" s="28"/>
    </row>
    <row r="16052">
      <c r="N16052" s="28"/>
      <c r="O16052" s="28"/>
      <c r="U16052" s="28"/>
    </row>
    <row r="16053">
      <c r="N16053" s="28"/>
      <c r="O16053" s="28"/>
      <c r="U16053" s="28"/>
    </row>
    <row r="16054">
      <c r="N16054" s="28"/>
      <c r="O16054" s="28"/>
      <c r="U16054" s="28"/>
    </row>
    <row r="16055">
      <c r="N16055" s="28"/>
      <c r="O16055" s="28"/>
      <c r="U16055" s="28"/>
    </row>
    <row r="16056">
      <c r="N16056" s="28"/>
      <c r="O16056" s="28"/>
      <c r="U16056" s="28"/>
    </row>
    <row r="16057">
      <c r="N16057" s="28"/>
      <c r="O16057" s="28"/>
      <c r="U16057" s="28"/>
    </row>
    <row r="16058">
      <c r="N16058" s="28"/>
      <c r="O16058" s="28"/>
      <c r="U16058" s="28"/>
    </row>
    <row r="16059">
      <c r="N16059" s="28"/>
      <c r="O16059" s="28"/>
      <c r="U16059" s="28"/>
    </row>
    <row r="16060">
      <c r="N16060" s="28"/>
      <c r="O16060" s="28"/>
      <c r="U16060" s="28"/>
    </row>
    <row r="16061">
      <c r="N16061" s="28"/>
      <c r="O16061" s="28"/>
      <c r="U16061" s="28"/>
    </row>
    <row r="16062">
      <c r="N16062" s="28"/>
      <c r="O16062" s="28"/>
      <c r="U16062" s="28"/>
    </row>
    <row r="16063">
      <c r="N16063" s="28"/>
      <c r="O16063" s="28"/>
      <c r="U16063" s="28"/>
    </row>
    <row r="16064">
      <c r="N16064" s="28"/>
      <c r="O16064" s="28"/>
      <c r="U16064" s="28"/>
    </row>
    <row r="16065">
      <c r="N16065" s="28"/>
      <c r="O16065" s="28"/>
      <c r="U16065" s="28"/>
    </row>
    <row r="16066">
      <c r="N16066" s="28"/>
      <c r="O16066" s="28"/>
      <c r="U16066" s="28"/>
    </row>
    <row r="16067">
      <c r="N16067" s="28"/>
      <c r="O16067" s="28"/>
      <c r="U16067" s="28"/>
    </row>
    <row r="16068">
      <c r="N16068" s="28"/>
      <c r="O16068" s="28"/>
      <c r="U16068" s="28"/>
    </row>
    <row r="16069">
      <c r="N16069" s="28"/>
      <c r="O16069" s="28"/>
      <c r="U16069" s="28"/>
    </row>
    <row r="16070">
      <c r="N16070" s="28"/>
      <c r="O16070" s="28"/>
      <c r="U16070" s="28"/>
    </row>
    <row r="16071">
      <c r="N16071" s="28"/>
      <c r="O16071" s="28"/>
      <c r="U16071" s="28"/>
    </row>
    <row r="16072">
      <c r="N16072" s="28"/>
      <c r="O16072" s="28"/>
      <c r="U16072" s="28"/>
    </row>
    <row r="16073">
      <c r="N16073" s="28"/>
      <c r="O16073" s="28"/>
      <c r="U16073" s="28"/>
    </row>
    <row r="16074">
      <c r="N16074" s="28"/>
      <c r="O16074" s="28"/>
      <c r="U16074" s="28"/>
    </row>
    <row r="16075">
      <c r="N16075" s="28"/>
      <c r="O16075" s="28"/>
      <c r="U16075" s="28"/>
    </row>
    <row r="16076">
      <c r="N16076" s="28"/>
      <c r="O16076" s="28"/>
      <c r="U16076" s="28"/>
    </row>
    <row r="16077">
      <c r="N16077" s="28"/>
      <c r="O16077" s="28"/>
      <c r="U16077" s="28"/>
    </row>
    <row r="16078">
      <c r="N16078" s="28"/>
      <c r="O16078" s="28"/>
      <c r="U16078" s="28"/>
    </row>
    <row r="16079">
      <c r="N16079" s="28"/>
      <c r="O16079" s="28"/>
      <c r="U16079" s="28"/>
    </row>
    <row r="16080">
      <c r="N16080" s="28"/>
      <c r="O16080" s="28"/>
      <c r="U16080" s="28"/>
    </row>
    <row r="16081">
      <c r="N16081" s="28"/>
      <c r="O16081" s="28"/>
      <c r="U16081" s="28"/>
    </row>
    <row r="16082">
      <c r="N16082" s="28"/>
      <c r="O16082" s="28"/>
      <c r="U16082" s="28"/>
    </row>
    <row r="16083">
      <c r="N16083" s="28"/>
      <c r="O16083" s="28"/>
      <c r="U16083" s="28"/>
    </row>
    <row r="16084">
      <c r="N16084" s="28"/>
      <c r="O16084" s="28"/>
      <c r="U16084" s="28"/>
    </row>
    <row r="16085">
      <c r="N16085" s="28"/>
      <c r="O16085" s="28"/>
      <c r="U16085" s="28"/>
    </row>
    <row r="16086">
      <c r="N16086" s="28"/>
      <c r="O16086" s="28"/>
      <c r="U16086" s="28"/>
    </row>
    <row r="16087">
      <c r="N16087" s="28"/>
      <c r="O16087" s="28"/>
      <c r="U16087" s="28"/>
    </row>
    <row r="16088">
      <c r="N16088" s="28"/>
      <c r="O16088" s="28"/>
      <c r="U16088" s="28"/>
    </row>
    <row r="16089">
      <c r="N16089" s="28"/>
      <c r="O16089" s="28"/>
      <c r="U16089" s="28"/>
    </row>
    <row r="16090">
      <c r="N16090" s="28"/>
      <c r="O16090" s="28"/>
      <c r="U16090" s="28"/>
    </row>
    <row r="16091">
      <c r="N16091" s="28"/>
      <c r="O16091" s="28"/>
      <c r="U16091" s="28"/>
    </row>
    <row r="16092">
      <c r="N16092" s="28"/>
      <c r="O16092" s="28"/>
      <c r="U16092" s="28"/>
    </row>
    <row r="16093">
      <c r="N16093" s="28"/>
      <c r="O16093" s="28"/>
      <c r="U16093" s="28"/>
    </row>
    <row r="16094">
      <c r="N16094" s="28"/>
      <c r="O16094" s="28"/>
      <c r="U16094" s="28"/>
    </row>
    <row r="16095">
      <c r="N16095" s="28"/>
      <c r="O16095" s="28"/>
      <c r="U16095" s="28"/>
    </row>
    <row r="16096">
      <c r="N16096" s="28"/>
      <c r="O16096" s="28"/>
      <c r="U16096" s="28"/>
    </row>
    <row r="16097">
      <c r="N16097" s="28"/>
      <c r="O16097" s="28"/>
      <c r="U16097" s="28"/>
    </row>
    <row r="16098">
      <c r="N16098" s="28"/>
      <c r="O16098" s="28"/>
      <c r="U16098" s="28"/>
    </row>
    <row r="16099">
      <c r="N16099" s="28"/>
      <c r="O16099" s="28"/>
      <c r="U16099" s="28"/>
    </row>
    <row r="16100">
      <c r="N16100" s="28"/>
      <c r="O16100" s="28"/>
      <c r="U16100" s="28"/>
    </row>
    <row r="16101">
      <c r="N16101" s="28"/>
      <c r="O16101" s="28"/>
      <c r="U16101" s="28"/>
    </row>
    <row r="16102">
      <c r="N16102" s="28"/>
      <c r="O16102" s="28"/>
      <c r="U16102" s="28"/>
    </row>
    <row r="16103">
      <c r="N16103" s="28"/>
      <c r="O16103" s="28"/>
      <c r="U16103" s="28"/>
    </row>
    <row r="16104">
      <c r="N16104" s="28"/>
      <c r="O16104" s="28"/>
      <c r="U16104" s="28"/>
    </row>
    <row r="16105">
      <c r="N16105" s="28"/>
      <c r="O16105" s="28"/>
      <c r="U16105" s="28"/>
    </row>
    <row r="16106">
      <c r="N16106" s="28"/>
      <c r="O16106" s="28"/>
      <c r="U16106" s="28"/>
    </row>
    <row r="16107">
      <c r="N16107" s="28"/>
      <c r="O16107" s="28"/>
      <c r="U16107" s="28"/>
    </row>
    <row r="16108">
      <c r="N16108" s="28"/>
      <c r="O16108" s="28"/>
      <c r="U16108" s="28"/>
    </row>
    <row r="16109">
      <c r="N16109" s="28"/>
      <c r="O16109" s="28"/>
      <c r="U16109" s="28"/>
    </row>
    <row r="16110">
      <c r="N16110" s="28"/>
      <c r="O16110" s="28"/>
      <c r="U16110" s="28"/>
    </row>
    <row r="16111">
      <c r="N16111" s="28"/>
      <c r="O16111" s="28"/>
      <c r="U16111" s="28"/>
    </row>
    <row r="16112">
      <c r="N16112" s="28"/>
      <c r="O16112" s="28"/>
      <c r="U16112" s="28"/>
    </row>
    <row r="16113">
      <c r="N16113" s="28"/>
      <c r="O16113" s="28"/>
      <c r="U16113" s="28"/>
    </row>
    <row r="16114">
      <c r="N16114" s="28"/>
      <c r="O16114" s="28"/>
      <c r="U16114" s="28"/>
    </row>
    <row r="16115">
      <c r="N16115" s="28"/>
      <c r="O16115" s="28"/>
      <c r="U16115" s="28"/>
    </row>
    <row r="16116">
      <c r="N16116" s="28"/>
      <c r="O16116" s="28"/>
      <c r="U16116" s="28"/>
    </row>
    <row r="16117">
      <c r="N16117" s="28"/>
      <c r="O16117" s="28"/>
      <c r="U16117" s="28"/>
    </row>
    <row r="16118">
      <c r="N16118" s="28"/>
      <c r="O16118" s="28"/>
      <c r="U16118" s="28"/>
    </row>
    <row r="16119">
      <c r="N16119" s="28"/>
      <c r="O16119" s="28"/>
      <c r="U16119" s="28"/>
    </row>
    <row r="16120">
      <c r="N16120" s="28"/>
      <c r="O16120" s="28"/>
      <c r="U16120" s="28"/>
    </row>
    <row r="16121">
      <c r="N16121" s="28"/>
      <c r="O16121" s="28"/>
      <c r="U16121" s="28"/>
    </row>
    <row r="16122">
      <c r="N16122" s="28"/>
      <c r="O16122" s="28"/>
      <c r="U16122" s="28"/>
    </row>
    <row r="16123">
      <c r="N16123" s="28"/>
      <c r="O16123" s="28"/>
      <c r="U16123" s="28"/>
    </row>
    <row r="16124">
      <c r="N16124" s="28"/>
      <c r="O16124" s="28"/>
      <c r="U16124" s="28"/>
    </row>
    <row r="16125">
      <c r="N16125" s="28"/>
      <c r="O16125" s="28"/>
      <c r="U16125" s="28"/>
    </row>
    <row r="16126">
      <c r="N16126" s="28"/>
      <c r="O16126" s="28"/>
      <c r="U16126" s="28"/>
    </row>
    <row r="16127">
      <c r="N16127" s="28"/>
      <c r="O16127" s="28"/>
      <c r="U16127" s="28"/>
    </row>
    <row r="16128">
      <c r="N16128" s="28"/>
      <c r="O16128" s="28"/>
      <c r="U16128" s="28"/>
    </row>
    <row r="16129">
      <c r="N16129" s="28"/>
      <c r="O16129" s="28"/>
      <c r="U16129" s="28"/>
    </row>
    <row r="16130">
      <c r="N16130" s="28"/>
      <c r="O16130" s="28"/>
      <c r="U16130" s="28"/>
    </row>
    <row r="16131">
      <c r="N16131" s="28"/>
      <c r="O16131" s="28"/>
      <c r="U16131" s="28"/>
    </row>
    <row r="16132">
      <c r="N16132" s="28"/>
      <c r="O16132" s="28"/>
      <c r="U16132" s="28"/>
    </row>
    <row r="16133">
      <c r="N16133" s="28"/>
      <c r="O16133" s="28"/>
      <c r="U16133" s="28"/>
    </row>
    <row r="16134">
      <c r="N16134" s="28"/>
      <c r="O16134" s="28"/>
      <c r="U16134" s="28"/>
    </row>
    <row r="16135">
      <c r="N16135" s="28"/>
      <c r="O16135" s="28"/>
      <c r="U16135" s="28"/>
    </row>
    <row r="16136">
      <c r="N16136" s="28"/>
      <c r="O16136" s="28"/>
      <c r="U16136" s="28"/>
    </row>
    <row r="16137">
      <c r="N16137" s="28"/>
      <c r="O16137" s="28"/>
      <c r="U16137" s="28"/>
    </row>
    <row r="16138">
      <c r="N16138" s="28"/>
      <c r="O16138" s="28"/>
      <c r="U16138" s="28"/>
    </row>
    <row r="16139">
      <c r="N16139" s="28"/>
      <c r="O16139" s="28"/>
      <c r="U16139" s="28"/>
    </row>
    <row r="16140">
      <c r="N16140" s="28"/>
      <c r="O16140" s="28"/>
      <c r="U16140" s="28"/>
    </row>
    <row r="16141">
      <c r="N16141" s="28"/>
      <c r="O16141" s="28"/>
      <c r="U16141" s="28"/>
    </row>
    <row r="16142">
      <c r="N16142" s="28"/>
      <c r="O16142" s="28"/>
      <c r="U16142" s="28"/>
    </row>
    <row r="16143">
      <c r="N16143" s="28"/>
      <c r="O16143" s="28"/>
      <c r="U16143" s="28"/>
    </row>
    <row r="16144">
      <c r="N16144" s="28"/>
      <c r="O16144" s="28"/>
      <c r="U16144" s="28"/>
    </row>
    <row r="16145">
      <c r="N16145" s="28"/>
      <c r="O16145" s="28"/>
      <c r="U16145" s="28"/>
    </row>
    <row r="16146">
      <c r="N16146" s="28"/>
      <c r="O16146" s="28"/>
      <c r="U16146" s="28"/>
    </row>
    <row r="16147">
      <c r="N16147" s="28"/>
      <c r="O16147" s="28"/>
      <c r="U16147" s="28"/>
    </row>
    <row r="16148">
      <c r="N16148" s="28"/>
      <c r="O16148" s="28"/>
      <c r="U16148" s="28"/>
    </row>
    <row r="16149">
      <c r="N16149" s="28"/>
      <c r="O16149" s="28"/>
      <c r="U16149" s="28"/>
    </row>
    <row r="16150">
      <c r="N16150" s="28"/>
      <c r="O16150" s="28"/>
      <c r="U16150" s="28"/>
    </row>
    <row r="16151">
      <c r="N16151" s="28"/>
      <c r="O16151" s="28"/>
      <c r="U16151" s="28"/>
    </row>
    <row r="16152">
      <c r="N16152" s="28"/>
      <c r="O16152" s="28"/>
      <c r="U16152" s="28"/>
    </row>
    <row r="16153">
      <c r="N16153" s="28"/>
      <c r="O16153" s="28"/>
      <c r="U16153" s="28"/>
    </row>
    <row r="16154">
      <c r="N16154" s="28"/>
      <c r="O16154" s="28"/>
      <c r="U16154" s="28"/>
    </row>
    <row r="16155">
      <c r="N16155" s="28"/>
      <c r="O16155" s="28"/>
      <c r="U16155" s="28"/>
    </row>
    <row r="16156">
      <c r="N16156" s="28"/>
      <c r="O16156" s="28"/>
      <c r="U16156" s="28"/>
    </row>
    <row r="16157">
      <c r="N16157" s="28"/>
      <c r="O16157" s="28"/>
      <c r="U16157" s="28"/>
    </row>
    <row r="16158">
      <c r="N16158" s="28"/>
      <c r="O16158" s="28"/>
      <c r="U16158" s="28"/>
    </row>
    <row r="16159">
      <c r="N16159" s="28"/>
      <c r="O16159" s="28"/>
      <c r="U16159" s="28"/>
    </row>
    <row r="16160">
      <c r="N16160" s="28"/>
      <c r="O16160" s="28"/>
      <c r="U16160" s="28"/>
    </row>
    <row r="16161">
      <c r="N16161" s="28"/>
      <c r="O16161" s="28"/>
      <c r="U16161" s="28"/>
    </row>
    <row r="16162">
      <c r="N16162" s="28"/>
      <c r="O16162" s="28"/>
      <c r="U16162" s="28"/>
    </row>
    <row r="16163">
      <c r="N16163" s="28"/>
      <c r="O16163" s="28"/>
      <c r="U16163" s="28"/>
    </row>
    <row r="16164">
      <c r="N16164" s="28"/>
      <c r="O16164" s="28"/>
      <c r="U16164" s="28"/>
    </row>
    <row r="16165">
      <c r="N16165" s="28"/>
      <c r="O16165" s="28"/>
      <c r="U16165" s="28"/>
    </row>
    <row r="16166">
      <c r="N16166" s="28"/>
      <c r="O16166" s="28"/>
      <c r="U16166" s="28"/>
    </row>
    <row r="16167">
      <c r="N16167" s="28"/>
      <c r="O16167" s="28"/>
      <c r="U16167" s="28"/>
    </row>
    <row r="16168">
      <c r="N16168" s="28"/>
      <c r="O16168" s="28"/>
      <c r="U16168" s="28"/>
    </row>
    <row r="16169">
      <c r="N16169" s="28"/>
      <c r="O16169" s="28"/>
      <c r="U16169" s="28"/>
    </row>
    <row r="16170">
      <c r="N16170" s="28"/>
      <c r="O16170" s="28"/>
      <c r="U16170" s="28"/>
    </row>
    <row r="16171">
      <c r="N16171" s="28"/>
      <c r="O16171" s="28"/>
      <c r="U16171" s="28"/>
    </row>
    <row r="16172">
      <c r="N16172" s="28"/>
      <c r="O16172" s="28"/>
      <c r="U16172" s="28"/>
    </row>
    <row r="16173">
      <c r="N16173" s="28"/>
      <c r="O16173" s="28"/>
      <c r="U16173" s="28"/>
    </row>
    <row r="16174">
      <c r="N16174" s="28"/>
      <c r="O16174" s="28"/>
      <c r="U16174" s="28"/>
    </row>
    <row r="16175">
      <c r="N16175" s="28"/>
      <c r="O16175" s="28"/>
      <c r="U16175" s="28"/>
    </row>
    <row r="16176">
      <c r="N16176" s="28"/>
      <c r="O16176" s="28"/>
      <c r="U16176" s="28"/>
    </row>
    <row r="16177">
      <c r="N16177" s="28"/>
      <c r="O16177" s="28"/>
      <c r="U16177" s="28"/>
    </row>
    <row r="16178">
      <c r="N16178" s="28"/>
      <c r="O16178" s="28"/>
      <c r="U16178" s="28"/>
    </row>
    <row r="16179">
      <c r="N16179" s="28"/>
      <c r="O16179" s="28"/>
      <c r="U16179" s="28"/>
    </row>
    <row r="16180">
      <c r="N16180" s="28"/>
      <c r="O16180" s="28"/>
      <c r="U16180" s="28"/>
    </row>
    <row r="16181">
      <c r="N16181" s="28"/>
      <c r="O16181" s="28"/>
      <c r="U16181" s="28"/>
    </row>
    <row r="16182">
      <c r="N16182" s="28"/>
      <c r="O16182" s="28"/>
      <c r="U16182" s="28"/>
    </row>
    <row r="16183">
      <c r="N16183" s="28"/>
      <c r="O16183" s="28"/>
      <c r="U16183" s="28"/>
    </row>
    <row r="16184">
      <c r="N16184" s="28"/>
      <c r="O16184" s="28"/>
      <c r="U16184" s="28"/>
    </row>
    <row r="16185">
      <c r="N16185" s="28"/>
      <c r="O16185" s="28"/>
      <c r="U16185" s="28"/>
    </row>
    <row r="16186">
      <c r="N16186" s="28"/>
      <c r="O16186" s="28"/>
      <c r="U16186" s="28"/>
    </row>
    <row r="16187">
      <c r="N16187" s="28"/>
      <c r="O16187" s="28"/>
      <c r="U16187" s="28"/>
    </row>
    <row r="16188">
      <c r="N16188" s="28"/>
      <c r="O16188" s="28"/>
      <c r="U16188" s="28"/>
    </row>
    <row r="16189">
      <c r="N16189" s="28"/>
      <c r="O16189" s="28"/>
      <c r="U16189" s="28"/>
    </row>
    <row r="16190">
      <c r="N16190" s="28"/>
      <c r="O16190" s="28"/>
      <c r="U16190" s="28"/>
    </row>
    <row r="16191">
      <c r="N16191" s="28"/>
      <c r="O16191" s="28"/>
      <c r="U16191" s="28"/>
    </row>
    <row r="16192">
      <c r="N16192" s="28"/>
      <c r="O16192" s="28"/>
      <c r="U16192" s="28"/>
    </row>
    <row r="16193">
      <c r="N16193" s="28"/>
      <c r="O16193" s="28"/>
      <c r="U16193" s="28"/>
    </row>
    <row r="16194">
      <c r="N16194" s="28"/>
      <c r="O16194" s="28"/>
      <c r="U16194" s="28"/>
    </row>
    <row r="16195">
      <c r="N16195" s="28"/>
      <c r="O16195" s="28"/>
      <c r="U16195" s="28"/>
    </row>
    <row r="16196">
      <c r="N16196" s="28"/>
      <c r="O16196" s="28"/>
      <c r="U16196" s="28"/>
    </row>
    <row r="16197">
      <c r="N16197" s="28"/>
      <c r="O16197" s="28"/>
      <c r="U16197" s="28"/>
    </row>
    <row r="16198">
      <c r="N16198" s="28"/>
      <c r="O16198" s="28"/>
      <c r="U16198" s="28"/>
    </row>
    <row r="16199">
      <c r="N16199" s="28"/>
      <c r="O16199" s="28"/>
      <c r="U16199" s="28"/>
    </row>
    <row r="16200">
      <c r="N16200" s="28"/>
      <c r="O16200" s="28"/>
      <c r="U16200" s="28"/>
    </row>
    <row r="16201">
      <c r="N16201" s="28"/>
      <c r="O16201" s="28"/>
      <c r="U16201" s="28"/>
    </row>
    <row r="16202">
      <c r="N16202" s="28"/>
      <c r="O16202" s="28"/>
      <c r="U16202" s="28"/>
    </row>
    <row r="16203">
      <c r="N16203" s="28"/>
      <c r="O16203" s="28"/>
      <c r="U16203" s="28"/>
    </row>
    <row r="16204">
      <c r="N16204" s="28"/>
      <c r="O16204" s="28"/>
      <c r="U16204" s="28"/>
    </row>
    <row r="16205">
      <c r="N16205" s="28"/>
      <c r="O16205" s="28"/>
      <c r="U16205" s="28"/>
    </row>
    <row r="16206">
      <c r="N16206" s="28"/>
      <c r="O16206" s="28"/>
      <c r="U16206" s="28"/>
    </row>
    <row r="16207">
      <c r="N16207" s="28"/>
      <c r="O16207" s="28"/>
      <c r="U16207" s="28"/>
    </row>
    <row r="16208">
      <c r="N16208" s="28"/>
      <c r="O16208" s="28"/>
      <c r="U16208" s="28"/>
    </row>
    <row r="16209">
      <c r="N16209" s="28"/>
      <c r="O16209" s="28"/>
      <c r="U16209" s="28"/>
    </row>
    <row r="16210">
      <c r="N16210" s="28"/>
      <c r="O16210" s="28"/>
      <c r="U16210" s="28"/>
    </row>
    <row r="16211">
      <c r="N16211" s="28"/>
      <c r="O16211" s="28"/>
      <c r="U16211" s="28"/>
    </row>
    <row r="16212">
      <c r="N16212" s="28"/>
      <c r="O16212" s="28"/>
      <c r="U16212" s="28"/>
    </row>
    <row r="16213">
      <c r="N16213" s="28"/>
      <c r="O16213" s="28"/>
      <c r="U16213" s="28"/>
    </row>
    <row r="16214">
      <c r="N16214" s="28"/>
      <c r="O16214" s="28"/>
      <c r="U16214" s="28"/>
    </row>
    <row r="16215">
      <c r="N16215" s="28"/>
      <c r="O16215" s="28"/>
      <c r="U16215" s="28"/>
    </row>
    <row r="16216">
      <c r="N16216" s="28"/>
      <c r="O16216" s="28"/>
      <c r="U16216" s="28"/>
    </row>
    <row r="16217">
      <c r="N16217" s="28"/>
      <c r="O16217" s="28"/>
      <c r="U16217" s="28"/>
    </row>
    <row r="16218">
      <c r="N16218" s="28"/>
      <c r="O16218" s="28"/>
      <c r="U16218" s="28"/>
    </row>
    <row r="16219">
      <c r="N16219" s="28"/>
      <c r="O16219" s="28"/>
      <c r="U16219" s="28"/>
    </row>
    <row r="16220">
      <c r="N16220" s="28"/>
      <c r="O16220" s="28"/>
      <c r="U16220" s="28"/>
    </row>
    <row r="16221">
      <c r="N16221" s="28"/>
      <c r="O16221" s="28"/>
      <c r="U16221" s="28"/>
    </row>
    <row r="16222">
      <c r="N16222" s="28"/>
      <c r="O16222" s="28"/>
      <c r="U16222" s="28"/>
    </row>
    <row r="16223">
      <c r="N16223" s="28"/>
      <c r="O16223" s="28"/>
      <c r="U16223" s="28"/>
    </row>
    <row r="16224">
      <c r="N16224" s="28"/>
      <c r="O16224" s="28"/>
      <c r="U16224" s="28"/>
    </row>
    <row r="16225">
      <c r="N16225" s="28"/>
      <c r="O16225" s="28"/>
      <c r="U16225" s="28"/>
    </row>
    <row r="16226">
      <c r="N16226" s="28"/>
      <c r="O16226" s="28"/>
      <c r="U16226" s="28"/>
    </row>
    <row r="16227">
      <c r="N16227" s="28"/>
      <c r="O16227" s="28"/>
      <c r="U16227" s="28"/>
    </row>
    <row r="16228">
      <c r="N16228" s="28"/>
      <c r="O16228" s="28"/>
      <c r="U16228" s="28"/>
    </row>
    <row r="16229">
      <c r="N16229" s="28"/>
      <c r="O16229" s="28"/>
      <c r="U16229" s="28"/>
    </row>
    <row r="16230">
      <c r="N16230" s="28"/>
      <c r="O16230" s="28"/>
      <c r="U16230" s="28"/>
    </row>
    <row r="16231">
      <c r="N16231" s="28"/>
      <c r="O16231" s="28"/>
      <c r="U16231" s="28"/>
    </row>
    <row r="16232">
      <c r="N16232" s="28"/>
      <c r="O16232" s="28"/>
      <c r="U16232" s="28"/>
    </row>
    <row r="16233">
      <c r="N16233" s="28"/>
      <c r="O16233" s="28"/>
      <c r="U16233" s="28"/>
    </row>
    <row r="16234">
      <c r="N16234" s="28"/>
      <c r="O16234" s="28"/>
      <c r="U16234" s="28"/>
    </row>
    <row r="16235">
      <c r="N16235" s="28"/>
      <c r="O16235" s="28"/>
      <c r="U16235" s="28"/>
    </row>
    <row r="16236">
      <c r="N16236" s="28"/>
      <c r="O16236" s="28"/>
      <c r="U16236" s="28"/>
    </row>
    <row r="16237">
      <c r="N16237" s="28"/>
      <c r="O16237" s="28"/>
      <c r="U16237" s="28"/>
    </row>
    <row r="16238">
      <c r="N16238" s="28"/>
      <c r="O16238" s="28"/>
      <c r="U16238" s="28"/>
    </row>
    <row r="16239">
      <c r="N16239" s="28"/>
      <c r="O16239" s="28"/>
      <c r="U16239" s="28"/>
    </row>
    <row r="16240">
      <c r="N16240" s="28"/>
      <c r="O16240" s="28"/>
      <c r="U16240" s="28"/>
    </row>
    <row r="16241">
      <c r="N16241" s="28"/>
      <c r="O16241" s="28"/>
      <c r="U16241" s="28"/>
    </row>
    <row r="16242">
      <c r="N16242" s="28"/>
      <c r="O16242" s="28"/>
      <c r="U16242" s="28"/>
    </row>
    <row r="16243">
      <c r="N16243" s="28"/>
      <c r="O16243" s="28"/>
      <c r="U16243" s="28"/>
    </row>
    <row r="16244">
      <c r="N16244" s="28"/>
      <c r="O16244" s="28"/>
      <c r="U16244" s="28"/>
    </row>
    <row r="16245">
      <c r="N16245" s="28"/>
      <c r="O16245" s="28"/>
      <c r="U16245" s="28"/>
    </row>
    <row r="16246">
      <c r="N16246" s="28"/>
      <c r="O16246" s="28"/>
      <c r="U16246" s="28"/>
    </row>
    <row r="16247">
      <c r="N16247" s="28"/>
      <c r="O16247" s="28"/>
      <c r="U16247" s="28"/>
    </row>
    <row r="16248">
      <c r="N16248" s="28"/>
      <c r="O16248" s="28"/>
      <c r="U16248" s="28"/>
    </row>
    <row r="16249">
      <c r="N16249" s="28"/>
      <c r="O16249" s="28"/>
      <c r="U16249" s="28"/>
    </row>
    <row r="16250">
      <c r="N16250" s="28"/>
      <c r="O16250" s="28"/>
      <c r="U16250" s="28"/>
    </row>
    <row r="16251">
      <c r="N16251" s="28"/>
      <c r="O16251" s="28"/>
      <c r="U16251" s="28"/>
    </row>
    <row r="16252">
      <c r="N16252" s="28"/>
      <c r="O16252" s="28"/>
      <c r="U16252" s="28"/>
    </row>
    <row r="16253">
      <c r="N16253" s="28"/>
      <c r="O16253" s="28"/>
      <c r="U16253" s="28"/>
    </row>
    <row r="16254">
      <c r="N16254" s="28"/>
      <c r="O16254" s="28"/>
      <c r="U16254" s="28"/>
    </row>
    <row r="16255">
      <c r="N16255" s="28"/>
      <c r="O16255" s="28"/>
      <c r="U16255" s="28"/>
    </row>
    <row r="16256">
      <c r="N16256" s="28"/>
      <c r="O16256" s="28"/>
      <c r="U16256" s="28"/>
    </row>
    <row r="16257">
      <c r="N16257" s="28"/>
      <c r="O16257" s="28"/>
      <c r="U16257" s="28"/>
    </row>
    <row r="16258">
      <c r="N16258" s="28"/>
      <c r="O16258" s="28"/>
      <c r="U16258" s="28"/>
    </row>
    <row r="16259">
      <c r="N16259" s="28"/>
      <c r="O16259" s="28"/>
      <c r="U16259" s="28"/>
    </row>
    <row r="16260">
      <c r="N16260" s="28"/>
      <c r="O16260" s="28"/>
      <c r="U16260" s="28"/>
    </row>
    <row r="16261">
      <c r="N16261" s="28"/>
      <c r="O16261" s="28"/>
      <c r="U16261" s="28"/>
    </row>
    <row r="16262">
      <c r="N16262" s="28"/>
      <c r="O16262" s="28"/>
      <c r="U16262" s="28"/>
    </row>
    <row r="16263">
      <c r="N16263" s="28"/>
      <c r="O16263" s="28"/>
      <c r="U16263" s="28"/>
    </row>
    <row r="16264">
      <c r="N16264" s="28"/>
      <c r="O16264" s="28"/>
      <c r="U16264" s="28"/>
    </row>
    <row r="16265">
      <c r="N16265" s="28"/>
      <c r="O16265" s="28"/>
      <c r="U16265" s="28"/>
    </row>
    <row r="16266">
      <c r="N16266" s="28"/>
      <c r="O16266" s="28"/>
      <c r="U16266" s="28"/>
    </row>
    <row r="16267">
      <c r="N16267" s="28"/>
      <c r="O16267" s="28"/>
      <c r="U16267" s="28"/>
    </row>
    <row r="16268">
      <c r="N16268" s="28"/>
      <c r="O16268" s="28"/>
      <c r="U16268" s="28"/>
    </row>
    <row r="16269">
      <c r="N16269" s="28"/>
      <c r="O16269" s="28"/>
      <c r="U16269" s="28"/>
    </row>
    <row r="16270">
      <c r="N16270" s="28"/>
      <c r="O16270" s="28"/>
      <c r="U16270" s="28"/>
    </row>
    <row r="16271">
      <c r="N16271" s="28"/>
      <c r="O16271" s="28"/>
      <c r="U16271" s="28"/>
    </row>
    <row r="16272">
      <c r="N16272" s="28"/>
      <c r="O16272" s="28"/>
      <c r="U16272" s="28"/>
    </row>
    <row r="16273">
      <c r="N16273" s="28"/>
      <c r="O16273" s="28"/>
      <c r="U16273" s="28"/>
    </row>
    <row r="16274">
      <c r="N16274" s="28"/>
      <c r="O16274" s="28"/>
      <c r="U16274" s="28"/>
    </row>
    <row r="16275">
      <c r="N16275" s="28"/>
      <c r="O16275" s="28"/>
      <c r="U16275" s="28"/>
    </row>
    <row r="16276">
      <c r="N16276" s="28"/>
      <c r="O16276" s="28"/>
      <c r="U16276" s="28"/>
    </row>
    <row r="16277">
      <c r="N16277" s="28"/>
      <c r="O16277" s="28"/>
      <c r="U16277" s="28"/>
    </row>
    <row r="16278">
      <c r="N16278" s="28"/>
      <c r="O16278" s="28"/>
      <c r="U16278" s="28"/>
    </row>
    <row r="16279">
      <c r="N16279" s="28"/>
      <c r="O16279" s="28"/>
      <c r="U16279" s="28"/>
    </row>
    <row r="16280">
      <c r="N16280" s="28"/>
      <c r="O16280" s="28"/>
      <c r="U16280" s="28"/>
    </row>
    <row r="16281">
      <c r="N16281" s="28"/>
      <c r="O16281" s="28"/>
      <c r="U16281" s="28"/>
    </row>
    <row r="16282">
      <c r="N16282" s="28"/>
      <c r="O16282" s="28"/>
      <c r="U16282" s="28"/>
    </row>
    <row r="16283">
      <c r="N16283" s="28"/>
      <c r="O16283" s="28"/>
      <c r="U16283" s="28"/>
    </row>
    <row r="16284">
      <c r="N16284" s="28"/>
      <c r="O16284" s="28"/>
      <c r="U16284" s="28"/>
    </row>
    <row r="16285">
      <c r="N16285" s="28"/>
      <c r="O16285" s="28"/>
      <c r="U16285" s="28"/>
    </row>
    <row r="16286">
      <c r="N16286" s="28"/>
      <c r="O16286" s="28"/>
      <c r="U16286" s="28"/>
    </row>
    <row r="16287">
      <c r="N16287" s="28"/>
      <c r="O16287" s="28"/>
      <c r="U16287" s="28"/>
    </row>
    <row r="16288">
      <c r="N16288" s="28"/>
      <c r="O16288" s="28"/>
      <c r="U16288" s="28"/>
    </row>
    <row r="16289">
      <c r="N16289" s="28"/>
      <c r="O16289" s="28"/>
      <c r="U16289" s="28"/>
    </row>
    <row r="16290">
      <c r="N16290" s="28"/>
      <c r="O16290" s="28"/>
      <c r="U16290" s="28"/>
    </row>
    <row r="16291">
      <c r="N16291" s="28"/>
      <c r="O16291" s="28"/>
      <c r="U16291" s="28"/>
    </row>
    <row r="16292">
      <c r="N16292" s="28"/>
      <c r="O16292" s="28"/>
      <c r="U16292" s="28"/>
    </row>
    <row r="16293">
      <c r="N16293" s="28"/>
      <c r="O16293" s="28"/>
      <c r="U16293" s="28"/>
    </row>
    <row r="16294">
      <c r="N16294" s="28"/>
      <c r="O16294" s="28"/>
      <c r="U16294" s="28"/>
    </row>
    <row r="16295">
      <c r="N16295" s="28"/>
      <c r="O16295" s="28"/>
      <c r="U16295" s="28"/>
    </row>
    <row r="16296">
      <c r="N16296" s="28"/>
      <c r="O16296" s="28"/>
      <c r="U16296" s="28"/>
    </row>
    <row r="16297">
      <c r="N16297" s="28"/>
      <c r="O16297" s="28"/>
      <c r="U16297" s="28"/>
    </row>
    <row r="16298">
      <c r="N16298" s="28"/>
      <c r="O16298" s="28"/>
      <c r="U16298" s="28"/>
    </row>
    <row r="16299">
      <c r="N16299" s="28"/>
      <c r="O16299" s="28"/>
      <c r="U16299" s="28"/>
    </row>
    <row r="16300">
      <c r="N16300" s="28"/>
      <c r="O16300" s="28"/>
      <c r="U16300" s="28"/>
    </row>
    <row r="16301">
      <c r="N16301" s="28"/>
      <c r="O16301" s="28"/>
      <c r="U16301" s="28"/>
    </row>
    <row r="16302">
      <c r="N16302" s="28"/>
      <c r="O16302" s="28"/>
      <c r="U16302" s="28"/>
    </row>
    <row r="16303">
      <c r="N16303" s="28"/>
      <c r="O16303" s="28"/>
      <c r="U16303" s="28"/>
    </row>
    <row r="16304">
      <c r="N16304" s="28"/>
      <c r="O16304" s="28"/>
      <c r="U16304" s="28"/>
    </row>
    <row r="16305">
      <c r="N16305" s="28"/>
      <c r="O16305" s="28"/>
      <c r="U16305" s="28"/>
    </row>
    <row r="16306">
      <c r="N16306" s="28"/>
      <c r="O16306" s="28"/>
      <c r="U16306" s="28"/>
    </row>
    <row r="16307">
      <c r="N16307" s="28"/>
      <c r="O16307" s="28"/>
      <c r="U16307" s="28"/>
    </row>
    <row r="16308">
      <c r="N16308" s="28"/>
      <c r="O16308" s="28"/>
      <c r="U16308" s="28"/>
    </row>
    <row r="16309">
      <c r="N16309" s="28"/>
      <c r="O16309" s="28"/>
      <c r="U16309" s="28"/>
    </row>
    <row r="16310">
      <c r="N16310" s="28"/>
      <c r="O16310" s="28"/>
      <c r="U16310" s="28"/>
    </row>
    <row r="16311">
      <c r="N16311" s="28"/>
      <c r="O16311" s="28"/>
      <c r="U16311" s="28"/>
    </row>
    <row r="16312">
      <c r="N16312" s="28"/>
      <c r="O16312" s="28"/>
      <c r="U16312" s="28"/>
    </row>
    <row r="16313">
      <c r="N16313" s="28"/>
      <c r="O16313" s="28"/>
      <c r="U16313" s="28"/>
    </row>
    <row r="16314">
      <c r="N16314" s="28"/>
      <c r="O16314" s="28"/>
      <c r="U16314" s="28"/>
    </row>
    <row r="16315">
      <c r="N16315" s="28"/>
      <c r="O16315" s="28"/>
      <c r="U16315" s="28"/>
    </row>
    <row r="16316">
      <c r="N16316" s="28"/>
      <c r="O16316" s="28"/>
      <c r="U16316" s="28"/>
    </row>
    <row r="16317">
      <c r="N16317" s="28"/>
      <c r="O16317" s="28"/>
      <c r="U16317" s="28"/>
    </row>
    <row r="16318">
      <c r="N16318" s="28"/>
      <c r="O16318" s="28"/>
      <c r="U16318" s="28"/>
    </row>
    <row r="16319">
      <c r="N16319" s="28"/>
      <c r="O16319" s="28"/>
      <c r="U16319" s="28"/>
    </row>
    <row r="16320">
      <c r="N16320" s="28"/>
      <c r="O16320" s="28"/>
      <c r="U16320" s="28"/>
    </row>
    <row r="16321">
      <c r="N16321" s="28"/>
      <c r="O16321" s="28"/>
      <c r="U16321" s="28"/>
    </row>
    <row r="16322">
      <c r="N16322" s="28"/>
      <c r="O16322" s="28"/>
      <c r="U16322" s="28"/>
    </row>
    <row r="16323">
      <c r="N16323" s="28"/>
      <c r="O16323" s="28"/>
      <c r="U16323" s="28"/>
    </row>
    <row r="16324">
      <c r="N16324" s="28"/>
      <c r="O16324" s="28"/>
      <c r="U16324" s="28"/>
    </row>
    <row r="16325">
      <c r="N16325" s="28"/>
      <c r="O16325" s="28"/>
      <c r="U16325" s="28"/>
    </row>
    <row r="16326">
      <c r="N16326" s="28"/>
      <c r="O16326" s="28"/>
      <c r="U16326" s="28"/>
    </row>
    <row r="16327">
      <c r="N16327" s="28"/>
      <c r="O16327" s="28"/>
      <c r="U16327" s="28"/>
    </row>
    <row r="16328">
      <c r="N16328" s="28"/>
      <c r="O16328" s="28"/>
      <c r="U16328" s="28"/>
    </row>
    <row r="16329">
      <c r="N16329" s="28"/>
      <c r="O16329" s="28"/>
      <c r="U16329" s="28"/>
    </row>
    <row r="16330">
      <c r="N16330" s="28"/>
      <c r="O16330" s="28"/>
      <c r="U16330" s="28"/>
    </row>
    <row r="16331">
      <c r="N16331" s="28"/>
      <c r="O16331" s="28"/>
      <c r="U16331" s="28"/>
    </row>
    <row r="16332">
      <c r="N16332" s="28"/>
      <c r="O16332" s="28"/>
      <c r="U16332" s="28"/>
    </row>
    <row r="16333">
      <c r="N16333" s="28"/>
      <c r="O16333" s="28"/>
      <c r="U16333" s="28"/>
    </row>
    <row r="16334">
      <c r="N16334" s="28"/>
      <c r="O16334" s="28"/>
      <c r="U16334" s="28"/>
    </row>
    <row r="16335">
      <c r="N16335" s="28"/>
      <c r="O16335" s="28"/>
      <c r="U16335" s="28"/>
    </row>
    <row r="16336">
      <c r="N16336" s="28"/>
      <c r="O16336" s="28"/>
      <c r="U16336" s="28"/>
    </row>
    <row r="16337">
      <c r="N16337" s="28"/>
      <c r="O16337" s="28"/>
      <c r="U16337" s="28"/>
    </row>
    <row r="16338">
      <c r="N16338" s="28"/>
      <c r="O16338" s="28"/>
      <c r="U16338" s="28"/>
    </row>
    <row r="16339">
      <c r="N16339" s="28"/>
      <c r="O16339" s="28"/>
      <c r="U16339" s="28"/>
    </row>
    <row r="16340">
      <c r="N16340" s="28"/>
      <c r="O16340" s="28"/>
      <c r="U16340" s="28"/>
    </row>
    <row r="16341">
      <c r="N16341" s="28"/>
      <c r="O16341" s="28"/>
      <c r="U16341" s="28"/>
    </row>
    <row r="16342">
      <c r="N16342" s="28"/>
      <c r="O16342" s="28"/>
      <c r="U16342" s="28"/>
    </row>
    <row r="16343">
      <c r="N16343" s="28"/>
      <c r="O16343" s="28"/>
      <c r="U16343" s="28"/>
    </row>
    <row r="16344">
      <c r="N16344" s="28"/>
      <c r="O16344" s="28"/>
      <c r="U16344" s="28"/>
    </row>
    <row r="16345">
      <c r="N16345" s="28"/>
      <c r="O16345" s="28"/>
      <c r="U16345" s="28"/>
    </row>
    <row r="16346">
      <c r="N16346" s="28"/>
      <c r="O16346" s="28"/>
      <c r="U16346" s="28"/>
    </row>
    <row r="16347">
      <c r="N16347" s="28"/>
      <c r="O16347" s="28"/>
      <c r="U16347" s="28"/>
    </row>
    <row r="16348">
      <c r="N16348" s="28"/>
      <c r="O16348" s="28"/>
      <c r="U16348" s="28"/>
    </row>
    <row r="16349">
      <c r="N16349" s="28"/>
      <c r="O16349" s="28"/>
      <c r="U16349" s="28"/>
    </row>
    <row r="16350">
      <c r="N16350" s="28"/>
      <c r="O16350" s="28"/>
      <c r="U16350" s="28"/>
    </row>
    <row r="16351">
      <c r="N16351" s="28"/>
      <c r="O16351" s="28"/>
      <c r="U16351" s="28"/>
    </row>
    <row r="16352">
      <c r="N16352" s="28"/>
      <c r="O16352" s="28"/>
      <c r="U16352" s="28"/>
    </row>
    <row r="16353">
      <c r="N16353" s="28"/>
      <c r="O16353" s="28"/>
      <c r="U16353" s="28"/>
    </row>
    <row r="16354">
      <c r="N16354" s="28"/>
      <c r="O16354" s="28"/>
      <c r="U16354" s="28"/>
    </row>
    <row r="16355">
      <c r="N16355" s="28"/>
      <c r="O16355" s="28"/>
      <c r="U16355" s="28"/>
    </row>
    <row r="16356">
      <c r="N16356" s="28"/>
      <c r="O16356" s="28"/>
      <c r="U16356" s="28"/>
    </row>
    <row r="16357">
      <c r="N16357" s="28"/>
      <c r="O16357" s="28"/>
      <c r="U16357" s="28"/>
    </row>
    <row r="16358">
      <c r="N16358" s="28"/>
      <c r="O16358" s="28"/>
      <c r="U16358" s="28"/>
    </row>
    <row r="16359">
      <c r="N16359" s="28"/>
      <c r="O16359" s="28"/>
      <c r="U16359" s="28"/>
    </row>
    <row r="16360">
      <c r="N16360" s="28"/>
      <c r="O16360" s="28"/>
      <c r="U16360" s="28"/>
    </row>
    <row r="16361">
      <c r="N16361" s="28"/>
      <c r="O16361" s="28"/>
      <c r="U16361" s="28"/>
    </row>
    <row r="16362">
      <c r="N16362" s="28"/>
      <c r="O16362" s="28"/>
      <c r="U16362" s="28"/>
    </row>
    <row r="16363">
      <c r="N16363" s="28"/>
      <c r="O16363" s="28"/>
      <c r="U16363" s="28"/>
    </row>
    <row r="16364">
      <c r="N16364" s="28"/>
      <c r="O16364" s="28"/>
      <c r="U16364" s="28"/>
    </row>
    <row r="16365">
      <c r="N16365" s="28"/>
      <c r="O16365" s="28"/>
      <c r="U16365" s="28"/>
    </row>
    <row r="16366">
      <c r="N16366" s="28"/>
      <c r="O16366" s="28"/>
      <c r="U16366" s="28"/>
    </row>
    <row r="16367">
      <c r="N16367" s="28"/>
      <c r="O16367" s="28"/>
      <c r="U16367" s="28"/>
    </row>
    <row r="16368">
      <c r="N16368" s="28"/>
      <c r="O16368" s="28"/>
      <c r="U16368" s="28"/>
    </row>
    <row r="16369">
      <c r="N16369" s="28"/>
      <c r="O16369" s="28"/>
      <c r="U16369" s="28"/>
    </row>
    <row r="16370">
      <c r="N16370" s="28"/>
      <c r="O16370" s="28"/>
      <c r="U16370" s="28"/>
    </row>
    <row r="16371">
      <c r="N16371" s="28"/>
      <c r="O16371" s="28"/>
      <c r="U16371" s="28"/>
    </row>
    <row r="16372">
      <c r="N16372" s="28"/>
      <c r="O16372" s="28"/>
      <c r="U16372" s="28"/>
    </row>
    <row r="16373">
      <c r="N16373" s="28"/>
      <c r="O16373" s="28"/>
      <c r="U16373" s="28"/>
    </row>
    <row r="16374">
      <c r="N16374" s="28"/>
      <c r="O16374" s="28"/>
      <c r="U16374" s="28"/>
    </row>
    <row r="16375">
      <c r="N16375" s="28"/>
      <c r="O16375" s="28"/>
      <c r="U16375" s="28"/>
    </row>
    <row r="16376">
      <c r="N16376" s="28"/>
      <c r="O16376" s="28"/>
      <c r="U16376" s="28"/>
    </row>
    <row r="16377">
      <c r="N16377" s="28"/>
      <c r="O16377" s="28"/>
      <c r="U16377" s="28"/>
    </row>
    <row r="16378">
      <c r="N16378" s="28"/>
      <c r="O16378" s="28"/>
      <c r="U16378" s="28"/>
    </row>
    <row r="16379">
      <c r="N16379" s="28"/>
      <c r="O16379" s="28"/>
      <c r="U16379" s="28"/>
    </row>
    <row r="16380">
      <c r="N16380" s="28"/>
      <c r="O16380" s="28"/>
      <c r="U16380" s="28"/>
    </row>
    <row r="16381">
      <c r="N16381" s="28"/>
      <c r="O16381" s="28"/>
      <c r="U16381" s="28"/>
    </row>
    <row r="16382">
      <c r="N16382" s="28"/>
      <c r="O16382" s="28"/>
      <c r="U16382" s="28"/>
    </row>
    <row r="16383">
      <c r="N16383" s="28"/>
      <c r="O16383" s="28"/>
      <c r="U16383" s="28"/>
    </row>
    <row r="16384">
      <c r="N16384" s="28"/>
      <c r="O16384" s="28"/>
      <c r="U16384" s="28"/>
    </row>
    <row r="16385">
      <c r="N16385" s="28"/>
      <c r="O16385" s="28"/>
      <c r="U16385" s="28"/>
    </row>
    <row r="16386">
      <c r="N16386" s="28"/>
      <c r="O16386" s="28"/>
      <c r="U16386" s="28"/>
    </row>
    <row r="16387">
      <c r="N16387" s="28"/>
      <c r="O16387" s="28"/>
      <c r="U16387" s="28"/>
    </row>
    <row r="16388">
      <c r="N16388" s="28"/>
      <c r="O16388" s="28"/>
      <c r="U16388" s="28"/>
    </row>
    <row r="16389">
      <c r="N16389" s="28"/>
      <c r="O16389" s="28"/>
      <c r="U16389" s="28"/>
    </row>
    <row r="16390">
      <c r="N16390" s="28"/>
      <c r="O16390" s="28"/>
      <c r="U16390" s="28"/>
    </row>
    <row r="16391">
      <c r="N16391" s="28"/>
      <c r="O16391" s="28"/>
      <c r="U16391" s="28"/>
    </row>
    <row r="16392">
      <c r="N16392" s="28"/>
      <c r="O16392" s="28"/>
      <c r="U16392" s="28"/>
    </row>
    <row r="16393">
      <c r="N16393" s="28"/>
      <c r="O16393" s="28"/>
      <c r="U16393" s="28"/>
    </row>
    <row r="16394">
      <c r="N16394" s="28"/>
      <c r="O16394" s="28"/>
      <c r="U16394" s="28"/>
    </row>
    <row r="16395">
      <c r="N16395" s="28"/>
      <c r="O16395" s="28"/>
      <c r="U16395" s="28"/>
    </row>
    <row r="16396">
      <c r="N16396" s="28"/>
      <c r="O16396" s="28"/>
      <c r="U16396" s="28"/>
    </row>
    <row r="16397">
      <c r="N16397" s="28"/>
      <c r="O16397" s="28"/>
      <c r="U16397" s="28"/>
    </row>
    <row r="16398">
      <c r="N16398" s="28"/>
      <c r="O16398" s="28"/>
      <c r="U16398" s="28"/>
    </row>
    <row r="16399">
      <c r="N16399" s="28"/>
      <c r="O16399" s="28"/>
      <c r="U16399" s="28"/>
    </row>
    <row r="16400">
      <c r="N16400" s="28"/>
      <c r="O16400" s="28"/>
      <c r="U16400" s="28"/>
    </row>
    <row r="16401">
      <c r="N16401" s="28"/>
      <c r="O16401" s="28"/>
      <c r="U16401" s="28"/>
    </row>
    <row r="16402">
      <c r="N16402" s="28"/>
      <c r="O16402" s="28"/>
      <c r="U16402" s="28"/>
    </row>
    <row r="16403">
      <c r="N16403" s="28"/>
      <c r="O16403" s="28"/>
      <c r="U16403" s="28"/>
    </row>
    <row r="16404">
      <c r="N16404" s="28"/>
      <c r="O16404" s="28"/>
      <c r="U16404" s="28"/>
    </row>
    <row r="16405">
      <c r="N16405" s="28"/>
      <c r="O16405" s="28"/>
      <c r="U16405" s="28"/>
    </row>
    <row r="16406">
      <c r="N16406" s="28"/>
      <c r="O16406" s="28"/>
      <c r="U16406" s="28"/>
    </row>
    <row r="16407">
      <c r="N16407" s="28"/>
      <c r="O16407" s="28"/>
      <c r="U16407" s="28"/>
    </row>
    <row r="16408">
      <c r="N16408" s="28"/>
      <c r="O16408" s="28"/>
      <c r="U16408" s="28"/>
    </row>
    <row r="16409">
      <c r="N16409" s="28"/>
      <c r="O16409" s="28"/>
      <c r="U16409" s="28"/>
    </row>
    <row r="16410">
      <c r="N16410" s="28"/>
      <c r="O16410" s="28"/>
      <c r="U16410" s="28"/>
    </row>
    <row r="16411">
      <c r="N16411" s="28"/>
      <c r="O16411" s="28"/>
      <c r="U16411" s="28"/>
    </row>
    <row r="16412">
      <c r="N16412" s="28"/>
      <c r="O16412" s="28"/>
      <c r="U16412" s="28"/>
    </row>
    <row r="16413">
      <c r="N16413" s="28"/>
      <c r="O16413" s="28"/>
      <c r="U16413" s="28"/>
    </row>
    <row r="16414">
      <c r="N16414" s="28"/>
      <c r="O16414" s="28"/>
      <c r="U16414" s="28"/>
    </row>
    <row r="16415">
      <c r="N16415" s="28"/>
      <c r="O16415" s="28"/>
      <c r="U16415" s="28"/>
    </row>
    <row r="16416">
      <c r="N16416" s="28"/>
      <c r="O16416" s="28"/>
      <c r="U16416" s="28"/>
    </row>
    <row r="16417">
      <c r="N16417" s="28"/>
      <c r="O16417" s="28"/>
      <c r="U16417" s="28"/>
    </row>
    <row r="16418">
      <c r="N16418" s="28"/>
      <c r="O16418" s="28"/>
      <c r="U16418" s="28"/>
    </row>
    <row r="16419">
      <c r="N16419" s="28"/>
      <c r="O16419" s="28"/>
      <c r="U16419" s="28"/>
    </row>
    <row r="16420">
      <c r="N16420" s="28"/>
      <c r="O16420" s="28"/>
      <c r="U16420" s="28"/>
    </row>
    <row r="16421">
      <c r="N16421" s="28"/>
      <c r="O16421" s="28"/>
      <c r="U16421" s="28"/>
    </row>
    <row r="16422">
      <c r="N16422" s="28"/>
      <c r="O16422" s="28"/>
      <c r="U16422" s="28"/>
    </row>
    <row r="16423">
      <c r="N16423" s="28"/>
      <c r="O16423" s="28"/>
      <c r="U16423" s="28"/>
    </row>
    <row r="16424">
      <c r="N16424" s="28"/>
      <c r="O16424" s="28"/>
      <c r="U16424" s="28"/>
    </row>
    <row r="16425">
      <c r="N16425" s="28"/>
      <c r="O16425" s="28"/>
      <c r="U16425" s="28"/>
    </row>
    <row r="16426">
      <c r="N16426" s="28"/>
      <c r="O16426" s="28"/>
      <c r="U16426" s="28"/>
    </row>
    <row r="16427">
      <c r="N16427" s="28"/>
      <c r="O16427" s="28"/>
      <c r="U16427" s="28"/>
    </row>
    <row r="16428">
      <c r="N16428" s="28"/>
      <c r="O16428" s="28"/>
      <c r="U16428" s="28"/>
    </row>
    <row r="16429">
      <c r="N16429" s="28"/>
      <c r="O16429" s="28"/>
      <c r="U16429" s="28"/>
    </row>
    <row r="16430">
      <c r="N16430" s="28"/>
      <c r="O16430" s="28"/>
      <c r="U16430" s="28"/>
    </row>
    <row r="16431">
      <c r="N16431" s="28"/>
      <c r="O16431" s="28"/>
      <c r="U16431" s="28"/>
    </row>
    <row r="16432">
      <c r="N16432" s="28"/>
      <c r="O16432" s="28"/>
      <c r="U16432" s="28"/>
    </row>
    <row r="16433">
      <c r="N16433" s="28"/>
      <c r="O16433" s="28"/>
      <c r="U16433" s="28"/>
    </row>
    <row r="16434">
      <c r="N16434" s="28"/>
      <c r="O16434" s="28"/>
      <c r="U16434" s="28"/>
    </row>
    <row r="16435">
      <c r="N16435" s="28"/>
      <c r="O16435" s="28"/>
      <c r="U16435" s="28"/>
    </row>
    <row r="16436">
      <c r="N16436" s="28"/>
      <c r="O16436" s="28"/>
      <c r="U16436" s="28"/>
    </row>
    <row r="16437">
      <c r="N16437" s="28"/>
      <c r="O16437" s="28"/>
      <c r="U16437" s="28"/>
    </row>
    <row r="16438">
      <c r="N16438" s="28"/>
      <c r="O16438" s="28"/>
      <c r="U16438" s="28"/>
    </row>
    <row r="16439">
      <c r="N16439" s="28"/>
      <c r="O16439" s="28"/>
      <c r="U16439" s="28"/>
    </row>
    <row r="16440">
      <c r="N16440" s="28"/>
      <c r="O16440" s="28"/>
      <c r="U16440" s="28"/>
    </row>
    <row r="16441">
      <c r="N16441" s="28"/>
      <c r="O16441" s="28"/>
      <c r="U16441" s="28"/>
    </row>
    <row r="16442">
      <c r="N16442" s="28"/>
      <c r="O16442" s="28"/>
      <c r="U16442" s="28"/>
    </row>
    <row r="16443">
      <c r="N16443" s="28"/>
      <c r="O16443" s="28"/>
      <c r="U16443" s="28"/>
    </row>
    <row r="16444">
      <c r="N16444" s="28"/>
      <c r="O16444" s="28"/>
      <c r="U16444" s="28"/>
    </row>
    <row r="16445">
      <c r="N16445" s="28"/>
      <c r="O16445" s="28"/>
      <c r="U16445" s="28"/>
    </row>
    <row r="16446">
      <c r="N16446" s="28"/>
      <c r="O16446" s="28"/>
      <c r="U16446" s="28"/>
    </row>
    <row r="16447">
      <c r="N16447" s="28"/>
      <c r="O16447" s="28"/>
      <c r="U16447" s="28"/>
    </row>
    <row r="16448">
      <c r="N16448" s="28"/>
      <c r="O16448" s="28"/>
      <c r="U16448" s="28"/>
    </row>
    <row r="16449">
      <c r="N16449" s="28"/>
      <c r="O16449" s="28"/>
      <c r="U16449" s="28"/>
    </row>
    <row r="16450">
      <c r="N16450" s="28"/>
      <c r="O16450" s="28"/>
      <c r="U16450" s="28"/>
    </row>
    <row r="16451">
      <c r="N16451" s="28"/>
      <c r="O16451" s="28"/>
      <c r="U16451" s="28"/>
    </row>
    <row r="16452">
      <c r="N16452" s="28"/>
      <c r="O16452" s="28"/>
      <c r="U16452" s="28"/>
    </row>
    <row r="16453">
      <c r="N16453" s="28"/>
      <c r="O16453" s="28"/>
      <c r="U16453" s="28"/>
    </row>
    <row r="16454">
      <c r="N16454" s="28"/>
      <c r="O16454" s="28"/>
      <c r="U16454" s="28"/>
    </row>
    <row r="16455">
      <c r="N16455" s="28"/>
      <c r="O16455" s="28"/>
      <c r="U16455" s="28"/>
    </row>
    <row r="16456">
      <c r="N16456" s="28"/>
      <c r="O16456" s="28"/>
      <c r="U16456" s="28"/>
    </row>
    <row r="16457">
      <c r="N16457" s="28"/>
      <c r="O16457" s="28"/>
      <c r="U16457" s="28"/>
    </row>
    <row r="16458">
      <c r="N16458" s="28"/>
      <c r="O16458" s="28"/>
      <c r="U16458" s="28"/>
    </row>
    <row r="16459">
      <c r="N16459" s="28"/>
      <c r="O16459" s="28"/>
      <c r="U16459" s="28"/>
    </row>
    <row r="16460">
      <c r="N16460" s="28"/>
      <c r="O16460" s="28"/>
      <c r="U16460" s="28"/>
    </row>
    <row r="16461">
      <c r="N16461" s="28"/>
      <c r="O16461" s="28"/>
      <c r="U16461" s="28"/>
    </row>
    <row r="16462">
      <c r="N16462" s="28"/>
      <c r="O16462" s="28"/>
      <c r="U16462" s="28"/>
    </row>
    <row r="16463">
      <c r="N16463" s="28"/>
      <c r="O16463" s="28"/>
      <c r="U16463" s="28"/>
    </row>
    <row r="16464">
      <c r="N16464" s="28"/>
      <c r="O16464" s="28"/>
      <c r="U16464" s="28"/>
    </row>
    <row r="16465">
      <c r="N16465" s="28"/>
      <c r="O16465" s="28"/>
      <c r="U16465" s="28"/>
    </row>
    <row r="16466">
      <c r="N16466" s="28"/>
      <c r="O16466" s="28"/>
      <c r="U16466" s="28"/>
    </row>
    <row r="16467">
      <c r="N16467" s="28"/>
      <c r="O16467" s="28"/>
      <c r="U16467" s="28"/>
    </row>
    <row r="16468">
      <c r="N16468" s="28"/>
      <c r="O16468" s="28"/>
      <c r="U16468" s="28"/>
    </row>
    <row r="16469">
      <c r="N16469" s="28"/>
      <c r="O16469" s="28"/>
      <c r="U16469" s="28"/>
    </row>
    <row r="16470">
      <c r="N16470" s="28"/>
      <c r="O16470" s="28"/>
      <c r="U16470" s="28"/>
    </row>
    <row r="16471">
      <c r="N16471" s="28"/>
      <c r="O16471" s="28"/>
      <c r="U16471" s="28"/>
    </row>
    <row r="16472">
      <c r="N16472" s="28"/>
      <c r="O16472" s="28"/>
      <c r="U16472" s="28"/>
    </row>
    <row r="16473">
      <c r="N16473" s="28"/>
      <c r="O16473" s="28"/>
      <c r="U16473" s="28"/>
    </row>
    <row r="16474">
      <c r="N16474" s="28"/>
      <c r="O16474" s="28"/>
      <c r="U16474" s="28"/>
    </row>
    <row r="16475">
      <c r="N16475" s="28"/>
      <c r="O16475" s="28"/>
      <c r="U16475" s="28"/>
    </row>
    <row r="16476">
      <c r="N16476" s="28"/>
      <c r="O16476" s="28"/>
      <c r="U16476" s="28"/>
    </row>
    <row r="16477">
      <c r="N16477" s="28"/>
      <c r="O16477" s="28"/>
      <c r="U16477" s="28"/>
    </row>
    <row r="16478">
      <c r="N16478" s="28"/>
      <c r="O16478" s="28"/>
      <c r="U16478" s="28"/>
    </row>
    <row r="16479">
      <c r="N16479" s="28"/>
      <c r="O16479" s="28"/>
      <c r="U16479" s="28"/>
    </row>
    <row r="16480">
      <c r="N16480" s="28"/>
      <c r="O16480" s="28"/>
      <c r="U16480" s="28"/>
    </row>
    <row r="16481">
      <c r="N16481" s="28"/>
      <c r="O16481" s="28"/>
      <c r="U16481" s="28"/>
    </row>
    <row r="16482">
      <c r="N16482" s="28"/>
      <c r="O16482" s="28"/>
      <c r="U16482" s="28"/>
    </row>
    <row r="16483">
      <c r="N16483" s="28"/>
      <c r="O16483" s="28"/>
      <c r="U16483" s="28"/>
    </row>
    <row r="16484">
      <c r="N16484" s="28"/>
      <c r="O16484" s="28"/>
      <c r="U16484" s="28"/>
    </row>
    <row r="16485">
      <c r="N16485" s="28"/>
      <c r="O16485" s="28"/>
      <c r="U16485" s="28"/>
    </row>
    <row r="16486">
      <c r="N16486" s="28"/>
      <c r="O16486" s="28"/>
      <c r="U16486" s="28"/>
    </row>
    <row r="16487">
      <c r="N16487" s="28"/>
      <c r="O16487" s="28"/>
      <c r="U16487" s="28"/>
    </row>
    <row r="16488">
      <c r="N16488" s="28"/>
      <c r="O16488" s="28"/>
      <c r="U16488" s="28"/>
    </row>
    <row r="16489">
      <c r="N16489" s="28"/>
      <c r="O16489" s="28"/>
      <c r="U16489" s="28"/>
    </row>
    <row r="16490">
      <c r="N16490" s="28"/>
      <c r="O16490" s="28"/>
      <c r="U16490" s="28"/>
    </row>
    <row r="16491">
      <c r="N16491" s="28"/>
      <c r="O16491" s="28"/>
      <c r="U16491" s="28"/>
    </row>
    <row r="16492">
      <c r="N16492" s="28"/>
      <c r="O16492" s="28"/>
      <c r="U16492" s="28"/>
    </row>
    <row r="16493">
      <c r="N16493" s="28"/>
      <c r="O16493" s="28"/>
      <c r="U16493" s="28"/>
    </row>
    <row r="16494">
      <c r="N16494" s="28"/>
      <c r="O16494" s="28"/>
      <c r="U16494" s="28"/>
    </row>
    <row r="16495">
      <c r="N16495" s="28"/>
      <c r="O16495" s="28"/>
      <c r="U16495" s="28"/>
    </row>
    <row r="16496">
      <c r="N16496" s="28"/>
      <c r="O16496" s="28"/>
      <c r="U16496" s="28"/>
    </row>
    <row r="16497">
      <c r="N16497" s="28"/>
      <c r="O16497" s="28"/>
      <c r="U16497" s="28"/>
    </row>
    <row r="16498">
      <c r="N16498" s="28"/>
      <c r="O16498" s="28"/>
      <c r="U16498" s="28"/>
    </row>
    <row r="16499">
      <c r="N16499" s="28"/>
      <c r="O16499" s="28"/>
      <c r="U16499" s="28"/>
    </row>
    <row r="16500">
      <c r="N16500" s="28"/>
      <c r="O16500" s="28"/>
      <c r="U16500" s="28"/>
    </row>
    <row r="16501">
      <c r="N16501" s="28"/>
      <c r="O16501" s="28"/>
      <c r="U16501" s="28"/>
    </row>
    <row r="16502">
      <c r="N16502" s="28"/>
      <c r="O16502" s="28"/>
      <c r="U16502" s="28"/>
    </row>
    <row r="16503">
      <c r="N16503" s="28"/>
      <c r="O16503" s="28"/>
      <c r="U16503" s="28"/>
    </row>
    <row r="16504">
      <c r="N16504" s="28"/>
      <c r="O16504" s="28"/>
      <c r="U16504" s="28"/>
    </row>
    <row r="16505">
      <c r="N16505" s="28"/>
      <c r="O16505" s="28"/>
      <c r="U16505" s="28"/>
    </row>
    <row r="16506">
      <c r="N16506" s="28"/>
      <c r="O16506" s="28"/>
      <c r="U16506" s="28"/>
    </row>
    <row r="16507">
      <c r="N16507" s="28"/>
      <c r="O16507" s="28"/>
      <c r="U16507" s="28"/>
    </row>
    <row r="16508">
      <c r="N16508" s="28"/>
      <c r="O16508" s="28"/>
      <c r="U16508" s="28"/>
    </row>
    <row r="16509">
      <c r="N16509" s="28"/>
      <c r="O16509" s="28"/>
      <c r="U16509" s="28"/>
    </row>
    <row r="16510">
      <c r="N16510" s="28"/>
      <c r="O16510" s="28"/>
      <c r="U16510" s="28"/>
    </row>
    <row r="16511">
      <c r="N16511" s="28"/>
      <c r="O16511" s="28"/>
      <c r="U16511" s="28"/>
    </row>
    <row r="16512">
      <c r="N16512" s="28"/>
      <c r="O16512" s="28"/>
      <c r="U16512" s="28"/>
    </row>
    <row r="16513">
      <c r="N16513" s="28"/>
      <c r="O16513" s="28"/>
      <c r="U16513" s="28"/>
    </row>
    <row r="16514">
      <c r="N16514" s="28"/>
      <c r="O16514" s="28"/>
      <c r="U16514" s="28"/>
    </row>
    <row r="16515">
      <c r="N16515" s="28"/>
      <c r="O16515" s="28"/>
      <c r="U16515" s="28"/>
    </row>
    <row r="16516">
      <c r="N16516" s="28"/>
      <c r="O16516" s="28"/>
      <c r="U16516" s="28"/>
    </row>
    <row r="16517">
      <c r="N16517" s="28"/>
      <c r="O16517" s="28"/>
      <c r="U16517" s="28"/>
    </row>
    <row r="16518">
      <c r="N16518" s="28"/>
      <c r="O16518" s="28"/>
      <c r="U16518" s="28"/>
    </row>
    <row r="16519">
      <c r="N16519" s="28"/>
      <c r="O16519" s="28"/>
      <c r="U16519" s="28"/>
    </row>
    <row r="16520">
      <c r="N16520" s="28"/>
      <c r="O16520" s="28"/>
      <c r="U16520" s="28"/>
    </row>
    <row r="16521">
      <c r="N16521" s="28"/>
      <c r="O16521" s="28"/>
      <c r="U16521" s="28"/>
    </row>
    <row r="16522">
      <c r="N16522" s="28"/>
      <c r="O16522" s="28"/>
      <c r="U16522" s="28"/>
    </row>
    <row r="16523">
      <c r="N16523" s="28"/>
      <c r="O16523" s="28"/>
      <c r="U16523" s="28"/>
    </row>
    <row r="16524">
      <c r="N16524" s="28"/>
      <c r="O16524" s="28"/>
      <c r="U16524" s="28"/>
    </row>
    <row r="16525">
      <c r="N16525" s="28"/>
      <c r="O16525" s="28"/>
      <c r="U16525" s="28"/>
    </row>
    <row r="16526">
      <c r="N16526" s="28"/>
      <c r="O16526" s="28"/>
      <c r="U16526" s="28"/>
    </row>
    <row r="16527">
      <c r="N16527" s="28"/>
      <c r="O16527" s="28"/>
      <c r="U16527" s="28"/>
    </row>
    <row r="16528">
      <c r="N16528" s="28"/>
      <c r="O16528" s="28"/>
      <c r="U16528" s="28"/>
    </row>
    <row r="16529">
      <c r="N16529" s="28"/>
      <c r="O16529" s="28"/>
      <c r="U16529" s="28"/>
    </row>
    <row r="16530">
      <c r="N16530" s="28"/>
      <c r="O16530" s="28"/>
      <c r="U16530" s="28"/>
    </row>
    <row r="16531">
      <c r="N16531" s="28"/>
      <c r="O16531" s="28"/>
      <c r="U16531" s="28"/>
    </row>
    <row r="16532">
      <c r="N16532" s="28"/>
      <c r="O16532" s="28"/>
      <c r="U16532" s="28"/>
    </row>
    <row r="16533">
      <c r="N16533" s="28"/>
      <c r="O16533" s="28"/>
      <c r="U16533" s="28"/>
    </row>
    <row r="16534">
      <c r="N16534" s="28"/>
      <c r="O16534" s="28"/>
      <c r="U16534" s="28"/>
    </row>
    <row r="16535">
      <c r="N16535" s="28"/>
      <c r="O16535" s="28"/>
      <c r="U16535" s="28"/>
    </row>
    <row r="16536">
      <c r="N16536" s="28"/>
      <c r="O16536" s="28"/>
      <c r="U16536" s="28"/>
    </row>
    <row r="16537">
      <c r="N16537" s="28"/>
      <c r="O16537" s="28"/>
      <c r="U16537" s="28"/>
    </row>
    <row r="16538">
      <c r="N16538" s="28"/>
      <c r="O16538" s="28"/>
      <c r="U16538" s="28"/>
    </row>
    <row r="16539">
      <c r="N16539" s="28"/>
      <c r="O16539" s="28"/>
      <c r="U16539" s="28"/>
    </row>
    <row r="16540">
      <c r="N16540" s="28"/>
      <c r="O16540" s="28"/>
      <c r="U16540" s="28"/>
    </row>
    <row r="16541">
      <c r="N16541" s="28"/>
      <c r="O16541" s="28"/>
      <c r="U16541" s="28"/>
    </row>
    <row r="16542">
      <c r="N16542" s="28"/>
      <c r="O16542" s="28"/>
      <c r="U16542" s="28"/>
    </row>
    <row r="16543">
      <c r="N16543" s="28"/>
      <c r="O16543" s="28"/>
      <c r="U16543" s="28"/>
    </row>
    <row r="16544">
      <c r="N16544" s="28"/>
      <c r="O16544" s="28"/>
      <c r="U16544" s="28"/>
    </row>
    <row r="16545">
      <c r="N16545" s="28"/>
      <c r="O16545" s="28"/>
      <c r="U16545" s="28"/>
    </row>
    <row r="16546">
      <c r="N16546" s="28"/>
      <c r="O16546" s="28"/>
      <c r="U16546" s="28"/>
    </row>
    <row r="16547">
      <c r="N16547" s="28"/>
      <c r="O16547" s="28"/>
      <c r="U16547" s="28"/>
    </row>
    <row r="16548">
      <c r="N16548" s="28"/>
      <c r="O16548" s="28"/>
      <c r="U16548" s="28"/>
    </row>
    <row r="16549">
      <c r="N16549" s="28"/>
      <c r="O16549" s="28"/>
      <c r="U16549" s="28"/>
    </row>
    <row r="16550">
      <c r="N16550" s="28"/>
      <c r="O16550" s="28"/>
      <c r="U16550" s="28"/>
    </row>
    <row r="16551">
      <c r="N16551" s="28"/>
      <c r="O16551" s="28"/>
      <c r="U16551" s="28"/>
    </row>
    <row r="16552">
      <c r="N16552" s="28"/>
      <c r="O16552" s="28"/>
      <c r="U16552" s="28"/>
    </row>
    <row r="16553">
      <c r="N16553" s="28"/>
      <c r="O16553" s="28"/>
      <c r="U16553" s="28"/>
    </row>
    <row r="16554">
      <c r="N16554" s="28"/>
      <c r="O16554" s="28"/>
      <c r="U16554" s="28"/>
    </row>
    <row r="16555">
      <c r="N16555" s="28"/>
      <c r="O16555" s="28"/>
      <c r="U16555" s="28"/>
    </row>
    <row r="16556">
      <c r="N16556" s="28"/>
      <c r="O16556" s="28"/>
      <c r="U16556" s="28"/>
    </row>
    <row r="16557">
      <c r="N16557" s="28"/>
      <c r="O16557" s="28"/>
      <c r="U16557" s="28"/>
    </row>
    <row r="16558">
      <c r="N16558" s="28"/>
      <c r="O16558" s="28"/>
      <c r="U16558" s="28"/>
    </row>
    <row r="16559">
      <c r="N16559" s="28"/>
      <c r="O16559" s="28"/>
      <c r="U16559" s="28"/>
    </row>
    <row r="16560">
      <c r="N16560" s="28"/>
      <c r="O16560" s="28"/>
      <c r="U16560" s="28"/>
    </row>
    <row r="16561">
      <c r="N16561" s="28"/>
      <c r="O16561" s="28"/>
      <c r="U16561" s="28"/>
    </row>
    <row r="16562">
      <c r="N16562" s="28"/>
      <c r="O16562" s="28"/>
      <c r="U16562" s="28"/>
    </row>
    <row r="16563">
      <c r="N16563" s="28"/>
      <c r="O16563" s="28"/>
      <c r="U16563" s="28"/>
    </row>
    <row r="16564">
      <c r="N16564" s="28"/>
      <c r="O16564" s="28"/>
      <c r="U16564" s="28"/>
    </row>
    <row r="16565">
      <c r="N16565" s="28"/>
      <c r="O16565" s="28"/>
      <c r="U16565" s="28"/>
    </row>
    <row r="16566">
      <c r="N16566" s="28"/>
      <c r="O16566" s="28"/>
      <c r="U16566" s="28"/>
    </row>
    <row r="16567">
      <c r="N16567" s="28"/>
      <c r="O16567" s="28"/>
      <c r="U16567" s="28"/>
    </row>
    <row r="16568">
      <c r="N16568" s="28"/>
      <c r="O16568" s="28"/>
      <c r="U16568" s="28"/>
    </row>
    <row r="16569">
      <c r="N16569" s="28"/>
      <c r="O16569" s="28"/>
      <c r="U16569" s="28"/>
    </row>
    <row r="16570">
      <c r="N16570" s="28"/>
      <c r="O16570" s="28"/>
      <c r="U16570" s="28"/>
    </row>
    <row r="16571">
      <c r="N16571" s="28"/>
      <c r="O16571" s="28"/>
      <c r="U16571" s="28"/>
    </row>
    <row r="16572">
      <c r="N16572" s="28"/>
      <c r="O16572" s="28"/>
      <c r="U16572" s="28"/>
    </row>
    <row r="16573">
      <c r="N16573" s="28"/>
      <c r="O16573" s="28"/>
      <c r="U16573" s="28"/>
    </row>
    <row r="16574">
      <c r="N16574" s="28"/>
      <c r="O16574" s="28"/>
      <c r="U16574" s="28"/>
    </row>
    <row r="16575">
      <c r="N16575" s="28"/>
      <c r="O16575" s="28"/>
      <c r="U16575" s="28"/>
    </row>
    <row r="16576">
      <c r="N16576" s="28"/>
      <c r="O16576" s="28"/>
      <c r="U16576" s="28"/>
    </row>
    <row r="16577">
      <c r="N16577" s="28"/>
      <c r="O16577" s="28"/>
      <c r="U16577" s="28"/>
    </row>
    <row r="16578">
      <c r="N16578" s="28"/>
      <c r="O16578" s="28"/>
      <c r="U16578" s="28"/>
    </row>
    <row r="16579">
      <c r="N16579" s="28"/>
      <c r="O16579" s="28"/>
      <c r="U16579" s="28"/>
    </row>
    <row r="16580">
      <c r="N16580" s="28"/>
      <c r="O16580" s="28"/>
      <c r="U16580" s="28"/>
    </row>
    <row r="16581">
      <c r="N16581" s="28"/>
      <c r="O16581" s="28"/>
      <c r="U16581" s="28"/>
    </row>
    <row r="16582">
      <c r="N16582" s="28"/>
      <c r="O16582" s="28"/>
      <c r="U16582" s="28"/>
    </row>
    <row r="16583">
      <c r="N16583" s="28"/>
      <c r="O16583" s="28"/>
      <c r="U16583" s="28"/>
    </row>
    <row r="16584">
      <c r="N16584" s="28"/>
      <c r="O16584" s="28"/>
      <c r="U16584" s="28"/>
    </row>
    <row r="16585">
      <c r="N16585" s="28"/>
      <c r="O16585" s="28"/>
      <c r="U16585" s="28"/>
    </row>
    <row r="16586">
      <c r="N16586" s="28"/>
      <c r="O16586" s="28"/>
      <c r="U16586" s="28"/>
    </row>
    <row r="16587">
      <c r="N16587" s="28"/>
      <c r="O16587" s="28"/>
      <c r="U16587" s="28"/>
    </row>
    <row r="16588">
      <c r="N16588" s="28"/>
      <c r="O16588" s="28"/>
      <c r="U16588" s="28"/>
    </row>
    <row r="16589">
      <c r="N16589" s="28"/>
      <c r="O16589" s="28"/>
      <c r="U16589" s="28"/>
    </row>
    <row r="16590">
      <c r="N16590" s="28"/>
      <c r="O16590" s="28"/>
      <c r="U16590" s="28"/>
    </row>
    <row r="16591">
      <c r="N16591" s="28"/>
      <c r="O16591" s="28"/>
      <c r="U16591" s="28"/>
    </row>
    <row r="16592">
      <c r="N16592" s="28"/>
      <c r="O16592" s="28"/>
      <c r="U16592" s="28"/>
    </row>
    <row r="16593">
      <c r="N16593" s="28"/>
      <c r="O16593" s="28"/>
      <c r="U16593" s="28"/>
    </row>
    <row r="16594">
      <c r="N16594" s="28"/>
      <c r="O16594" s="28"/>
      <c r="U16594" s="28"/>
    </row>
    <row r="16595">
      <c r="N16595" s="28"/>
      <c r="O16595" s="28"/>
      <c r="U16595" s="28"/>
    </row>
    <row r="16596">
      <c r="N16596" s="28"/>
      <c r="O16596" s="28"/>
      <c r="U16596" s="28"/>
    </row>
    <row r="16597">
      <c r="N16597" s="28"/>
      <c r="O16597" s="28"/>
      <c r="U16597" s="28"/>
    </row>
    <row r="16598">
      <c r="N16598" s="28"/>
      <c r="O16598" s="28"/>
      <c r="U16598" s="28"/>
    </row>
    <row r="16599">
      <c r="N16599" s="28"/>
      <c r="O16599" s="28"/>
      <c r="U16599" s="28"/>
    </row>
    <row r="16600">
      <c r="N16600" s="28"/>
      <c r="O16600" s="28"/>
      <c r="U16600" s="28"/>
    </row>
    <row r="16601">
      <c r="N16601" s="28"/>
      <c r="O16601" s="28"/>
      <c r="U16601" s="28"/>
    </row>
    <row r="16602">
      <c r="N16602" s="28"/>
      <c r="O16602" s="28"/>
      <c r="U16602" s="28"/>
    </row>
    <row r="16603">
      <c r="N16603" s="28"/>
      <c r="O16603" s="28"/>
      <c r="U16603" s="28"/>
    </row>
    <row r="16604">
      <c r="N16604" s="28"/>
      <c r="O16604" s="28"/>
      <c r="U16604" s="28"/>
    </row>
    <row r="16605">
      <c r="N16605" s="28"/>
      <c r="O16605" s="28"/>
      <c r="U16605" s="28"/>
    </row>
    <row r="16606">
      <c r="N16606" s="28"/>
      <c r="O16606" s="28"/>
      <c r="U16606" s="28"/>
    </row>
    <row r="16607">
      <c r="N16607" s="28"/>
      <c r="O16607" s="28"/>
      <c r="U16607" s="28"/>
    </row>
    <row r="16608">
      <c r="N16608" s="28"/>
      <c r="O16608" s="28"/>
      <c r="U16608" s="28"/>
    </row>
    <row r="16609">
      <c r="N16609" s="28"/>
      <c r="O16609" s="28"/>
      <c r="U16609" s="28"/>
    </row>
    <row r="16610">
      <c r="N16610" s="28"/>
      <c r="O16610" s="28"/>
      <c r="U16610" s="28"/>
    </row>
    <row r="16611">
      <c r="N16611" s="28"/>
      <c r="O16611" s="28"/>
      <c r="U16611" s="28"/>
    </row>
    <row r="16612">
      <c r="N16612" s="28"/>
      <c r="O16612" s="28"/>
      <c r="U16612" s="28"/>
    </row>
    <row r="16613">
      <c r="N16613" s="28"/>
      <c r="O16613" s="28"/>
      <c r="U16613" s="28"/>
    </row>
    <row r="16614">
      <c r="N16614" s="28"/>
      <c r="O16614" s="28"/>
      <c r="U16614" s="28"/>
    </row>
    <row r="16615">
      <c r="N16615" s="28"/>
      <c r="O16615" s="28"/>
      <c r="U16615" s="28"/>
    </row>
    <row r="16616">
      <c r="N16616" s="28"/>
      <c r="O16616" s="28"/>
      <c r="U16616" s="28"/>
    </row>
    <row r="16617">
      <c r="N16617" s="28"/>
      <c r="O16617" s="28"/>
      <c r="U16617" s="28"/>
    </row>
    <row r="16618">
      <c r="N16618" s="28"/>
      <c r="O16618" s="28"/>
      <c r="U16618" s="28"/>
    </row>
    <row r="16619">
      <c r="N16619" s="28"/>
      <c r="O16619" s="28"/>
      <c r="U16619" s="28"/>
    </row>
    <row r="16620">
      <c r="N16620" s="28"/>
      <c r="O16620" s="28"/>
      <c r="U16620" s="28"/>
    </row>
    <row r="16621">
      <c r="N16621" s="28"/>
      <c r="O16621" s="28"/>
      <c r="U16621" s="28"/>
    </row>
    <row r="16622">
      <c r="N16622" s="28"/>
      <c r="O16622" s="28"/>
      <c r="U16622" s="28"/>
    </row>
    <row r="16623">
      <c r="N16623" s="28"/>
      <c r="O16623" s="28"/>
      <c r="U16623" s="28"/>
    </row>
    <row r="16624">
      <c r="N16624" s="28"/>
      <c r="O16624" s="28"/>
      <c r="U16624" s="28"/>
    </row>
    <row r="16625">
      <c r="N16625" s="28"/>
      <c r="O16625" s="28"/>
      <c r="U16625" s="28"/>
    </row>
    <row r="16626">
      <c r="N16626" s="28"/>
      <c r="O16626" s="28"/>
      <c r="U16626" s="28"/>
    </row>
    <row r="16627">
      <c r="N16627" s="28"/>
      <c r="O16627" s="28"/>
      <c r="U16627" s="28"/>
    </row>
    <row r="16628">
      <c r="N16628" s="28"/>
      <c r="O16628" s="28"/>
      <c r="U16628" s="28"/>
    </row>
    <row r="16629">
      <c r="N16629" s="28"/>
      <c r="O16629" s="28"/>
      <c r="U16629" s="28"/>
    </row>
    <row r="16630">
      <c r="N16630" s="28"/>
      <c r="O16630" s="28"/>
      <c r="U16630" s="28"/>
    </row>
    <row r="16631">
      <c r="N16631" s="28"/>
      <c r="O16631" s="28"/>
      <c r="U16631" s="28"/>
    </row>
    <row r="16632">
      <c r="N16632" s="28"/>
      <c r="O16632" s="28"/>
      <c r="U16632" s="28"/>
    </row>
    <row r="16633">
      <c r="N16633" s="28"/>
      <c r="O16633" s="28"/>
      <c r="U16633" s="28"/>
    </row>
    <row r="16634">
      <c r="N16634" s="28"/>
      <c r="O16634" s="28"/>
      <c r="U16634" s="28"/>
    </row>
    <row r="16635">
      <c r="N16635" s="28"/>
      <c r="O16635" s="28"/>
      <c r="U16635" s="28"/>
    </row>
    <row r="16636">
      <c r="N16636" s="28"/>
      <c r="O16636" s="28"/>
      <c r="U16636" s="28"/>
    </row>
    <row r="16637">
      <c r="N16637" s="28"/>
      <c r="O16637" s="28"/>
      <c r="U16637" s="28"/>
    </row>
    <row r="16638">
      <c r="N16638" s="28"/>
      <c r="O16638" s="28"/>
      <c r="U16638" s="28"/>
    </row>
    <row r="16639">
      <c r="N16639" s="28"/>
      <c r="O16639" s="28"/>
      <c r="U16639" s="28"/>
    </row>
    <row r="16640">
      <c r="N16640" s="28"/>
      <c r="O16640" s="28"/>
      <c r="U16640" s="28"/>
    </row>
    <row r="16641">
      <c r="N16641" s="28"/>
      <c r="O16641" s="28"/>
      <c r="U16641" s="28"/>
    </row>
    <row r="16642">
      <c r="N16642" s="28"/>
      <c r="O16642" s="28"/>
      <c r="U16642" s="28"/>
    </row>
    <row r="16643">
      <c r="N16643" s="28"/>
      <c r="O16643" s="28"/>
      <c r="U16643" s="28"/>
    </row>
    <row r="16644">
      <c r="N16644" s="28"/>
      <c r="O16644" s="28"/>
      <c r="U16644" s="28"/>
    </row>
    <row r="16645">
      <c r="N16645" s="28"/>
      <c r="O16645" s="28"/>
      <c r="U16645" s="28"/>
    </row>
    <row r="16646">
      <c r="N16646" s="28"/>
      <c r="O16646" s="28"/>
      <c r="U16646" s="28"/>
    </row>
    <row r="16647">
      <c r="N16647" s="28"/>
      <c r="O16647" s="28"/>
      <c r="U16647" s="28"/>
    </row>
    <row r="16648">
      <c r="N16648" s="28"/>
      <c r="O16648" s="28"/>
      <c r="U16648" s="28"/>
    </row>
    <row r="16649">
      <c r="N16649" s="28"/>
      <c r="O16649" s="28"/>
      <c r="U16649" s="28"/>
    </row>
    <row r="16650">
      <c r="N16650" s="28"/>
      <c r="O16650" s="28"/>
      <c r="U16650" s="28"/>
    </row>
    <row r="16651">
      <c r="N16651" s="28"/>
      <c r="O16651" s="28"/>
      <c r="U16651" s="28"/>
    </row>
    <row r="16652">
      <c r="N16652" s="28"/>
      <c r="O16652" s="28"/>
      <c r="U16652" s="28"/>
    </row>
    <row r="16653">
      <c r="N16653" s="28"/>
      <c r="O16653" s="28"/>
      <c r="U16653" s="28"/>
    </row>
    <row r="16654">
      <c r="N16654" s="28"/>
      <c r="O16654" s="28"/>
      <c r="U16654" s="28"/>
    </row>
    <row r="16655">
      <c r="N16655" s="28"/>
      <c r="O16655" s="28"/>
      <c r="U16655" s="28"/>
    </row>
    <row r="16656">
      <c r="N16656" s="28"/>
      <c r="O16656" s="28"/>
      <c r="U16656" s="28"/>
    </row>
    <row r="16657">
      <c r="N16657" s="28"/>
      <c r="O16657" s="28"/>
      <c r="U16657" s="28"/>
    </row>
    <row r="16658">
      <c r="N16658" s="28"/>
      <c r="O16658" s="28"/>
      <c r="U16658" s="28"/>
    </row>
    <row r="16659">
      <c r="N16659" s="28"/>
      <c r="O16659" s="28"/>
      <c r="U16659" s="28"/>
    </row>
    <row r="16660">
      <c r="N16660" s="28"/>
      <c r="O16660" s="28"/>
      <c r="U16660" s="28"/>
    </row>
    <row r="16661">
      <c r="N16661" s="28"/>
      <c r="O16661" s="28"/>
      <c r="U16661" s="28"/>
    </row>
    <row r="16662">
      <c r="N16662" s="28"/>
      <c r="O16662" s="28"/>
      <c r="U16662" s="28"/>
    </row>
    <row r="16663">
      <c r="N16663" s="28"/>
      <c r="O16663" s="28"/>
      <c r="U16663" s="28"/>
    </row>
    <row r="16664">
      <c r="N16664" s="28"/>
      <c r="O16664" s="28"/>
      <c r="U16664" s="28"/>
    </row>
    <row r="16665">
      <c r="N16665" s="28"/>
      <c r="O16665" s="28"/>
      <c r="U16665" s="28"/>
    </row>
    <row r="16666">
      <c r="N16666" s="28"/>
      <c r="O16666" s="28"/>
      <c r="U16666" s="28"/>
    </row>
    <row r="16667">
      <c r="N16667" s="28"/>
      <c r="O16667" s="28"/>
      <c r="U16667" s="28"/>
    </row>
    <row r="16668">
      <c r="N16668" s="28"/>
      <c r="O16668" s="28"/>
      <c r="U16668" s="28"/>
    </row>
    <row r="16669">
      <c r="N16669" s="28"/>
      <c r="O16669" s="28"/>
      <c r="U16669" s="28"/>
    </row>
    <row r="16670">
      <c r="N16670" s="28"/>
      <c r="O16670" s="28"/>
      <c r="U16670" s="28"/>
    </row>
    <row r="16671">
      <c r="N16671" s="28"/>
      <c r="O16671" s="28"/>
      <c r="U16671" s="28"/>
    </row>
    <row r="16672">
      <c r="N16672" s="28"/>
      <c r="O16672" s="28"/>
      <c r="U16672" s="28"/>
    </row>
    <row r="16673">
      <c r="N16673" s="28"/>
      <c r="O16673" s="28"/>
      <c r="U16673" s="28"/>
    </row>
    <row r="16674">
      <c r="N16674" s="28"/>
      <c r="O16674" s="28"/>
      <c r="U16674" s="28"/>
    </row>
    <row r="16675">
      <c r="N16675" s="28"/>
      <c r="O16675" s="28"/>
      <c r="U16675" s="28"/>
    </row>
    <row r="16676">
      <c r="N16676" s="28"/>
      <c r="O16676" s="28"/>
      <c r="U16676" s="28"/>
    </row>
    <row r="16677">
      <c r="N16677" s="28"/>
      <c r="O16677" s="28"/>
      <c r="U16677" s="28"/>
    </row>
    <row r="16678">
      <c r="N16678" s="28"/>
      <c r="O16678" s="28"/>
      <c r="U16678" s="28"/>
    </row>
    <row r="16679">
      <c r="N16679" s="28"/>
      <c r="O16679" s="28"/>
      <c r="U16679" s="28"/>
    </row>
    <row r="16680">
      <c r="N16680" s="28"/>
      <c r="O16680" s="28"/>
      <c r="U16680" s="28"/>
    </row>
    <row r="16681">
      <c r="N16681" s="28"/>
      <c r="O16681" s="28"/>
      <c r="U16681" s="28"/>
    </row>
    <row r="16682">
      <c r="N16682" s="28"/>
      <c r="O16682" s="28"/>
      <c r="U16682" s="28"/>
    </row>
    <row r="16683">
      <c r="N16683" s="28"/>
      <c r="O16683" s="28"/>
      <c r="U16683" s="28"/>
    </row>
    <row r="16684">
      <c r="N16684" s="28"/>
      <c r="O16684" s="28"/>
      <c r="U16684" s="28"/>
    </row>
    <row r="16685">
      <c r="N16685" s="28"/>
      <c r="O16685" s="28"/>
      <c r="U16685" s="28"/>
    </row>
    <row r="16686">
      <c r="N16686" s="28"/>
      <c r="O16686" s="28"/>
      <c r="U16686" s="28"/>
    </row>
    <row r="16687">
      <c r="N16687" s="28"/>
      <c r="O16687" s="28"/>
      <c r="U16687" s="28"/>
    </row>
    <row r="16688">
      <c r="N16688" s="28"/>
      <c r="O16688" s="28"/>
      <c r="U16688" s="28"/>
    </row>
    <row r="16689">
      <c r="N16689" s="28"/>
      <c r="O16689" s="28"/>
      <c r="U16689" s="28"/>
    </row>
    <row r="16690">
      <c r="N16690" s="28"/>
      <c r="O16690" s="28"/>
      <c r="U16690" s="28"/>
    </row>
    <row r="16691">
      <c r="N16691" s="28"/>
      <c r="O16691" s="28"/>
      <c r="U16691" s="28"/>
    </row>
    <row r="16692">
      <c r="N16692" s="28"/>
      <c r="O16692" s="28"/>
      <c r="U16692" s="28"/>
    </row>
    <row r="16693">
      <c r="N16693" s="28"/>
      <c r="O16693" s="28"/>
      <c r="U16693" s="28"/>
    </row>
    <row r="16694">
      <c r="N16694" s="28"/>
      <c r="O16694" s="28"/>
      <c r="U16694" s="28"/>
    </row>
    <row r="16695">
      <c r="N16695" s="28"/>
      <c r="O16695" s="28"/>
      <c r="U16695" s="28"/>
    </row>
    <row r="16696">
      <c r="N16696" s="28"/>
      <c r="O16696" s="28"/>
      <c r="U16696" s="28"/>
    </row>
    <row r="16697">
      <c r="N16697" s="28"/>
      <c r="O16697" s="28"/>
      <c r="U16697" s="28"/>
    </row>
    <row r="16698">
      <c r="N16698" s="28"/>
      <c r="O16698" s="28"/>
      <c r="U16698" s="28"/>
    </row>
    <row r="16699">
      <c r="N16699" s="28"/>
      <c r="O16699" s="28"/>
      <c r="U16699" s="28"/>
    </row>
    <row r="16700">
      <c r="N16700" s="28"/>
      <c r="O16700" s="28"/>
      <c r="U16700" s="28"/>
    </row>
    <row r="16701">
      <c r="N16701" s="28"/>
      <c r="O16701" s="28"/>
      <c r="U16701" s="28"/>
    </row>
    <row r="16702">
      <c r="N16702" s="28"/>
      <c r="O16702" s="28"/>
      <c r="U16702" s="28"/>
    </row>
    <row r="16703">
      <c r="N16703" s="28"/>
      <c r="O16703" s="28"/>
      <c r="U16703" s="28"/>
    </row>
    <row r="16704">
      <c r="N16704" s="28"/>
      <c r="O16704" s="28"/>
      <c r="U16704" s="28"/>
    </row>
    <row r="16705">
      <c r="N16705" s="28"/>
      <c r="O16705" s="28"/>
      <c r="U16705" s="28"/>
    </row>
    <row r="16706">
      <c r="N16706" s="28"/>
      <c r="O16706" s="28"/>
      <c r="U16706" s="28"/>
    </row>
    <row r="16707">
      <c r="N16707" s="28"/>
      <c r="O16707" s="28"/>
      <c r="U16707" s="28"/>
    </row>
    <row r="16708">
      <c r="N16708" s="28"/>
      <c r="O16708" s="28"/>
      <c r="U16708" s="28"/>
    </row>
    <row r="16709">
      <c r="N16709" s="28"/>
      <c r="O16709" s="28"/>
      <c r="U16709" s="28"/>
    </row>
    <row r="16710">
      <c r="N16710" s="28"/>
      <c r="O16710" s="28"/>
      <c r="U16710" s="28"/>
    </row>
    <row r="16711">
      <c r="N16711" s="28"/>
      <c r="O16711" s="28"/>
      <c r="U16711" s="28"/>
    </row>
    <row r="16712">
      <c r="N16712" s="28"/>
      <c r="O16712" s="28"/>
      <c r="U16712" s="28"/>
    </row>
    <row r="16713">
      <c r="N16713" s="28"/>
      <c r="O16713" s="28"/>
      <c r="U16713" s="28"/>
    </row>
    <row r="16714">
      <c r="N16714" s="28"/>
      <c r="O16714" s="28"/>
      <c r="U16714" s="28"/>
    </row>
    <row r="16715">
      <c r="N16715" s="28"/>
      <c r="O16715" s="28"/>
      <c r="U16715" s="28"/>
    </row>
    <row r="16716">
      <c r="N16716" s="28"/>
      <c r="O16716" s="28"/>
      <c r="U16716" s="28"/>
    </row>
    <row r="16717">
      <c r="N16717" s="28"/>
      <c r="O16717" s="28"/>
      <c r="U16717" s="28"/>
    </row>
    <row r="16718">
      <c r="N16718" s="28"/>
      <c r="O16718" s="28"/>
      <c r="U16718" s="28"/>
    </row>
    <row r="16719">
      <c r="N16719" s="28"/>
      <c r="O16719" s="28"/>
      <c r="U16719" s="28"/>
    </row>
    <row r="16720">
      <c r="N16720" s="28"/>
      <c r="O16720" s="28"/>
      <c r="U16720" s="28"/>
    </row>
    <row r="16721">
      <c r="N16721" s="28"/>
      <c r="O16721" s="28"/>
      <c r="U16721" s="28"/>
    </row>
    <row r="16722">
      <c r="N16722" s="28"/>
      <c r="O16722" s="28"/>
      <c r="U16722" s="28"/>
    </row>
    <row r="16723">
      <c r="N16723" s="28"/>
      <c r="O16723" s="28"/>
      <c r="U16723" s="28"/>
    </row>
    <row r="16724">
      <c r="N16724" s="28"/>
      <c r="O16724" s="28"/>
      <c r="U16724" s="28"/>
    </row>
    <row r="16725">
      <c r="N16725" s="28"/>
      <c r="O16725" s="28"/>
      <c r="U16725" s="28"/>
    </row>
    <row r="16726">
      <c r="N16726" s="28"/>
      <c r="O16726" s="28"/>
      <c r="U16726" s="28"/>
    </row>
    <row r="16727">
      <c r="N16727" s="28"/>
      <c r="O16727" s="28"/>
      <c r="U16727" s="28"/>
    </row>
    <row r="16728">
      <c r="N16728" s="28"/>
      <c r="O16728" s="28"/>
      <c r="U16728" s="28"/>
    </row>
    <row r="16729">
      <c r="N16729" s="28"/>
      <c r="O16729" s="28"/>
      <c r="U16729" s="28"/>
    </row>
    <row r="16730">
      <c r="N16730" s="28"/>
      <c r="O16730" s="28"/>
      <c r="U16730" s="28"/>
    </row>
    <row r="16731">
      <c r="N16731" s="28"/>
      <c r="O16731" s="28"/>
      <c r="U16731" s="28"/>
    </row>
    <row r="16732">
      <c r="N16732" s="28"/>
      <c r="O16732" s="28"/>
      <c r="U16732" s="28"/>
    </row>
    <row r="16733">
      <c r="N16733" s="28"/>
      <c r="O16733" s="28"/>
      <c r="U16733" s="28"/>
    </row>
    <row r="16734">
      <c r="N16734" s="28"/>
      <c r="O16734" s="28"/>
      <c r="U16734" s="28"/>
    </row>
    <row r="16735">
      <c r="N16735" s="28"/>
      <c r="O16735" s="28"/>
      <c r="U16735" s="28"/>
    </row>
    <row r="16736">
      <c r="N16736" s="28"/>
      <c r="O16736" s="28"/>
      <c r="U16736" s="28"/>
    </row>
    <row r="16737">
      <c r="N16737" s="28"/>
      <c r="O16737" s="28"/>
      <c r="U16737" s="28"/>
    </row>
    <row r="16738">
      <c r="N16738" s="28"/>
      <c r="O16738" s="28"/>
      <c r="U16738" s="28"/>
    </row>
    <row r="16739">
      <c r="N16739" s="28"/>
      <c r="O16739" s="28"/>
      <c r="U16739" s="28"/>
    </row>
    <row r="16740">
      <c r="N16740" s="28"/>
      <c r="O16740" s="28"/>
      <c r="U16740" s="28"/>
    </row>
    <row r="16741">
      <c r="N16741" s="28"/>
      <c r="O16741" s="28"/>
      <c r="U16741" s="28"/>
    </row>
    <row r="16742">
      <c r="N16742" s="28"/>
      <c r="O16742" s="28"/>
      <c r="U16742" s="28"/>
    </row>
    <row r="16743">
      <c r="N16743" s="28"/>
      <c r="O16743" s="28"/>
      <c r="U16743" s="28"/>
    </row>
    <row r="16744">
      <c r="N16744" s="28"/>
      <c r="O16744" s="28"/>
      <c r="U16744" s="28"/>
    </row>
    <row r="16745">
      <c r="N16745" s="28"/>
      <c r="O16745" s="28"/>
      <c r="U16745" s="28"/>
    </row>
    <row r="16746">
      <c r="N16746" s="28"/>
      <c r="O16746" s="28"/>
      <c r="U16746" s="28"/>
    </row>
    <row r="16747">
      <c r="N16747" s="28"/>
      <c r="O16747" s="28"/>
      <c r="U16747" s="28"/>
    </row>
    <row r="16748">
      <c r="N16748" s="28"/>
      <c r="O16748" s="28"/>
      <c r="U16748" s="28"/>
    </row>
    <row r="16749">
      <c r="N16749" s="28"/>
      <c r="O16749" s="28"/>
      <c r="U16749" s="28"/>
    </row>
    <row r="16750">
      <c r="N16750" s="28"/>
      <c r="O16750" s="28"/>
      <c r="U16750" s="28"/>
    </row>
    <row r="16751">
      <c r="N16751" s="28"/>
      <c r="O16751" s="28"/>
      <c r="U16751" s="28"/>
    </row>
    <row r="16752">
      <c r="N16752" s="28"/>
      <c r="O16752" s="28"/>
      <c r="U16752" s="28"/>
    </row>
    <row r="16753">
      <c r="N16753" s="28"/>
      <c r="O16753" s="28"/>
      <c r="U16753" s="28"/>
    </row>
    <row r="16754">
      <c r="N16754" s="28"/>
      <c r="O16754" s="28"/>
      <c r="U16754" s="28"/>
    </row>
    <row r="16755">
      <c r="N16755" s="28"/>
      <c r="O16755" s="28"/>
      <c r="U16755" s="28"/>
    </row>
    <row r="16756">
      <c r="N16756" s="28"/>
      <c r="O16756" s="28"/>
      <c r="U16756" s="28"/>
    </row>
    <row r="16757">
      <c r="N16757" s="28"/>
      <c r="O16757" s="28"/>
      <c r="U16757" s="28"/>
    </row>
    <row r="16758">
      <c r="N16758" s="28"/>
      <c r="O16758" s="28"/>
      <c r="U16758" s="28"/>
    </row>
    <row r="16759">
      <c r="N16759" s="28"/>
      <c r="O16759" s="28"/>
      <c r="U16759" s="28"/>
    </row>
    <row r="16760">
      <c r="N16760" s="28"/>
      <c r="O16760" s="28"/>
      <c r="U16760" s="28"/>
    </row>
    <row r="16761">
      <c r="N16761" s="28"/>
      <c r="O16761" s="28"/>
      <c r="U16761" s="28"/>
    </row>
    <row r="16762">
      <c r="N16762" s="28"/>
      <c r="O16762" s="28"/>
      <c r="U16762" s="28"/>
    </row>
    <row r="16763">
      <c r="N16763" s="28"/>
      <c r="O16763" s="28"/>
      <c r="U16763" s="28"/>
    </row>
    <row r="16764">
      <c r="N16764" s="28"/>
      <c r="O16764" s="28"/>
      <c r="U16764" s="28"/>
    </row>
    <row r="16765">
      <c r="N16765" s="28"/>
      <c r="O16765" s="28"/>
      <c r="U16765" s="28"/>
    </row>
    <row r="16766">
      <c r="N16766" s="28"/>
      <c r="O16766" s="28"/>
      <c r="U16766" s="28"/>
    </row>
    <row r="16767">
      <c r="N16767" s="28"/>
      <c r="O16767" s="28"/>
      <c r="U16767" s="28"/>
    </row>
    <row r="16768">
      <c r="N16768" s="28"/>
      <c r="O16768" s="28"/>
      <c r="U16768" s="28"/>
    </row>
    <row r="16769">
      <c r="N16769" s="28"/>
      <c r="O16769" s="28"/>
      <c r="U16769" s="28"/>
    </row>
    <row r="16770">
      <c r="N16770" s="28"/>
      <c r="O16770" s="28"/>
      <c r="U16770" s="28"/>
    </row>
    <row r="16771">
      <c r="N16771" s="28"/>
      <c r="O16771" s="28"/>
      <c r="U16771" s="28"/>
    </row>
    <row r="16772">
      <c r="N16772" s="28"/>
      <c r="O16772" s="28"/>
      <c r="U16772" s="28"/>
    </row>
    <row r="16773">
      <c r="N16773" s="28"/>
      <c r="O16773" s="28"/>
      <c r="U16773" s="28"/>
    </row>
    <row r="16774">
      <c r="N16774" s="28"/>
      <c r="O16774" s="28"/>
      <c r="U16774" s="28"/>
    </row>
    <row r="16775">
      <c r="N16775" s="28"/>
      <c r="O16775" s="28"/>
      <c r="U16775" s="28"/>
    </row>
    <row r="16776">
      <c r="N16776" s="28"/>
      <c r="O16776" s="28"/>
      <c r="U16776" s="28"/>
    </row>
    <row r="16777">
      <c r="N16777" s="28"/>
      <c r="O16777" s="28"/>
      <c r="U16777" s="28"/>
    </row>
    <row r="16778">
      <c r="N16778" s="28"/>
      <c r="O16778" s="28"/>
      <c r="U16778" s="28"/>
    </row>
    <row r="16779">
      <c r="N16779" s="28"/>
      <c r="O16779" s="28"/>
      <c r="U16779" s="28"/>
    </row>
    <row r="16780">
      <c r="N16780" s="28"/>
      <c r="O16780" s="28"/>
      <c r="U16780" s="28"/>
    </row>
    <row r="16781">
      <c r="N16781" s="28"/>
      <c r="O16781" s="28"/>
      <c r="U16781" s="28"/>
    </row>
    <row r="16782">
      <c r="N16782" s="28"/>
      <c r="O16782" s="28"/>
      <c r="U16782" s="28"/>
    </row>
    <row r="16783">
      <c r="N16783" s="28"/>
      <c r="O16783" s="28"/>
      <c r="U16783" s="28"/>
    </row>
    <row r="16784">
      <c r="N16784" s="28"/>
      <c r="O16784" s="28"/>
      <c r="U16784" s="28"/>
    </row>
    <row r="16785">
      <c r="N16785" s="28"/>
      <c r="O16785" s="28"/>
      <c r="U16785" s="28"/>
    </row>
    <row r="16786">
      <c r="N16786" s="28"/>
      <c r="O16786" s="28"/>
      <c r="U16786" s="28"/>
    </row>
    <row r="16787">
      <c r="N16787" s="28"/>
      <c r="O16787" s="28"/>
      <c r="U16787" s="28"/>
    </row>
    <row r="16788">
      <c r="N16788" s="28"/>
      <c r="O16788" s="28"/>
      <c r="U16788" s="28"/>
    </row>
    <row r="16789">
      <c r="N16789" s="28"/>
      <c r="O16789" s="28"/>
      <c r="U16789" s="28"/>
    </row>
    <row r="16790">
      <c r="N16790" s="28"/>
      <c r="O16790" s="28"/>
      <c r="U16790" s="28"/>
    </row>
    <row r="16791">
      <c r="N16791" s="28"/>
      <c r="O16791" s="28"/>
      <c r="U16791" s="28"/>
    </row>
    <row r="16792">
      <c r="N16792" s="28"/>
      <c r="O16792" s="28"/>
      <c r="U16792" s="28"/>
    </row>
    <row r="16793">
      <c r="N16793" s="28"/>
      <c r="O16793" s="28"/>
      <c r="U16793" s="28"/>
    </row>
    <row r="16794">
      <c r="N16794" s="28"/>
      <c r="O16794" s="28"/>
      <c r="U16794" s="28"/>
    </row>
    <row r="16795">
      <c r="N16795" s="28"/>
      <c r="O16795" s="28"/>
      <c r="U16795" s="28"/>
    </row>
    <row r="16796">
      <c r="N16796" s="28"/>
      <c r="O16796" s="28"/>
      <c r="U16796" s="28"/>
    </row>
    <row r="16797">
      <c r="N16797" s="28"/>
      <c r="O16797" s="28"/>
      <c r="U16797" s="28"/>
    </row>
    <row r="16798">
      <c r="N16798" s="28"/>
      <c r="O16798" s="28"/>
      <c r="U16798" s="28"/>
    </row>
    <row r="16799">
      <c r="N16799" s="28"/>
      <c r="O16799" s="28"/>
      <c r="U16799" s="28"/>
    </row>
    <row r="16800">
      <c r="N16800" s="28"/>
      <c r="O16800" s="28"/>
      <c r="U16800" s="28"/>
    </row>
    <row r="16801">
      <c r="N16801" s="28"/>
      <c r="O16801" s="28"/>
      <c r="U16801" s="28"/>
    </row>
    <row r="16802">
      <c r="N16802" s="28"/>
      <c r="O16802" s="28"/>
      <c r="U16802" s="28"/>
    </row>
    <row r="16803">
      <c r="N16803" s="28"/>
      <c r="O16803" s="28"/>
      <c r="U16803" s="28"/>
    </row>
    <row r="16804">
      <c r="N16804" s="28"/>
      <c r="O16804" s="28"/>
      <c r="U16804" s="28"/>
    </row>
    <row r="16805">
      <c r="N16805" s="28"/>
      <c r="O16805" s="28"/>
      <c r="U16805" s="28"/>
    </row>
    <row r="16806">
      <c r="N16806" s="28"/>
      <c r="O16806" s="28"/>
      <c r="U16806" s="28"/>
    </row>
    <row r="16807">
      <c r="N16807" s="28"/>
      <c r="O16807" s="28"/>
      <c r="U16807" s="28"/>
    </row>
    <row r="16808">
      <c r="N16808" s="28"/>
      <c r="O16808" s="28"/>
      <c r="U16808" s="28"/>
    </row>
    <row r="16809">
      <c r="N16809" s="28"/>
      <c r="O16809" s="28"/>
      <c r="U16809" s="28"/>
    </row>
    <row r="16810">
      <c r="N16810" s="28"/>
      <c r="O16810" s="28"/>
      <c r="U16810" s="28"/>
    </row>
    <row r="16811">
      <c r="N16811" s="28"/>
      <c r="O16811" s="28"/>
      <c r="U16811" s="28"/>
    </row>
    <row r="16812">
      <c r="N16812" s="28"/>
      <c r="O16812" s="28"/>
      <c r="U16812" s="28"/>
    </row>
    <row r="16813">
      <c r="N16813" s="28"/>
      <c r="O16813" s="28"/>
      <c r="U16813" s="28"/>
    </row>
    <row r="16814">
      <c r="N16814" s="28"/>
      <c r="O16814" s="28"/>
      <c r="U16814" s="28"/>
    </row>
    <row r="16815">
      <c r="N16815" s="28"/>
      <c r="O16815" s="28"/>
      <c r="U16815" s="28"/>
    </row>
    <row r="16816">
      <c r="N16816" s="28"/>
      <c r="O16816" s="28"/>
      <c r="U16816" s="28"/>
    </row>
    <row r="16817">
      <c r="N16817" s="28"/>
      <c r="O16817" s="28"/>
      <c r="U16817" s="28"/>
    </row>
    <row r="16818">
      <c r="N16818" s="28"/>
      <c r="O16818" s="28"/>
      <c r="U16818" s="28"/>
    </row>
    <row r="16819">
      <c r="N16819" s="28"/>
      <c r="O16819" s="28"/>
      <c r="U16819" s="28"/>
    </row>
    <row r="16820">
      <c r="N16820" s="28"/>
      <c r="O16820" s="28"/>
      <c r="U16820" s="28"/>
    </row>
    <row r="16821">
      <c r="N16821" s="28"/>
      <c r="O16821" s="28"/>
      <c r="U16821" s="28"/>
    </row>
    <row r="16822">
      <c r="N16822" s="28"/>
      <c r="O16822" s="28"/>
      <c r="U16822" s="28"/>
    </row>
    <row r="16823">
      <c r="N16823" s="28"/>
      <c r="O16823" s="28"/>
      <c r="U16823" s="28"/>
    </row>
    <row r="16824">
      <c r="N16824" s="28"/>
      <c r="O16824" s="28"/>
      <c r="U16824" s="28"/>
    </row>
    <row r="16825">
      <c r="N16825" s="28"/>
      <c r="O16825" s="28"/>
      <c r="U16825" s="28"/>
    </row>
    <row r="16826">
      <c r="N16826" s="28"/>
      <c r="O16826" s="28"/>
      <c r="U16826" s="28"/>
    </row>
    <row r="16827">
      <c r="N16827" s="28"/>
      <c r="O16827" s="28"/>
      <c r="U16827" s="28"/>
    </row>
    <row r="16828">
      <c r="N16828" s="28"/>
      <c r="O16828" s="28"/>
      <c r="U16828" s="28"/>
    </row>
    <row r="16829">
      <c r="N16829" s="28"/>
      <c r="O16829" s="28"/>
      <c r="U16829" s="28"/>
    </row>
    <row r="16830">
      <c r="N16830" s="28"/>
      <c r="O16830" s="28"/>
      <c r="U16830" s="28"/>
    </row>
    <row r="16831">
      <c r="N16831" s="28"/>
      <c r="O16831" s="28"/>
      <c r="U16831" s="28"/>
    </row>
    <row r="16832">
      <c r="N16832" s="28"/>
      <c r="O16832" s="28"/>
      <c r="U16832" s="28"/>
    </row>
    <row r="16833">
      <c r="N16833" s="28"/>
      <c r="O16833" s="28"/>
      <c r="U16833" s="28"/>
    </row>
    <row r="16834">
      <c r="N16834" s="28"/>
      <c r="O16834" s="28"/>
      <c r="U16834" s="28"/>
    </row>
    <row r="16835">
      <c r="N16835" s="28"/>
      <c r="O16835" s="28"/>
      <c r="U16835" s="28"/>
    </row>
    <row r="16836">
      <c r="N16836" s="28"/>
      <c r="O16836" s="28"/>
      <c r="U16836" s="28"/>
    </row>
    <row r="16837">
      <c r="N16837" s="28"/>
      <c r="O16837" s="28"/>
      <c r="U16837" s="28"/>
    </row>
    <row r="16838">
      <c r="N16838" s="28"/>
      <c r="O16838" s="28"/>
      <c r="U16838" s="28"/>
    </row>
    <row r="16839">
      <c r="N16839" s="28"/>
      <c r="O16839" s="28"/>
      <c r="U16839" s="28"/>
    </row>
    <row r="16840">
      <c r="N16840" s="28"/>
      <c r="O16840" s="28"/>
      <c r="U16840" s="28"/>
    </row>
    <row r="16841">
      <c r="N16841" s="28"/>
      <c r="O16841" s="28"/>
      <c r="U16841" s="28"/>
    </row>
    <row r="16842">
      <c r="N16842" s="28"/>
      <c r="O16842" s="28"/>
      <c r="U16842" s="28"/>
    </row>
    <row r="16843">
      <c r="N16843" s="28"/>
      <c r="O16843" s="28"/>
      <c r="U16843" s="28"/>
    </row>
    <row r="16844">
      <c r="N16844" s="28"/>
      <c r="O16844" s="28"/>
      <c r="U16844" s="28"/>
    </row>
    <row r="16845">
      <c r="N16845" s="28"/>
      <c r="O16845" s="28"/>
      <c r="U16845" s="28"/>
    </row>
    <row r="16846">
      <c r="N16846" s="28"/>
      <c r="O16846" s="28"/>
      <c r="U16846" s="28"/>
    </row>
    <row r="16847">
      <c r="N16847" s="28"/>
      <c r="O16847" s="28"/>
      <c r="U16847" s="28"/>
    </row>
    <row r="16848">
      <c r="N16848" s="28"/>
      <c r="O16848" s="28"/>
      <c r="U16848" s="28"/>
    </row>
    <row r="16849">
      <c r="N16849" s="28"/>
      <c r="O16849" s="28"/>
      <c r="U16849" s="28"/>
    </row>
    <row r="16850">
      <c r="N16850" s="28"/>
      <c r="O16850" s="28"/>
      <c r="U16850" s="28"/>
    </row>
    <row r="16851">
      <c r="N16851" s="28"/>
      <c r="O16851" s="28"/>
      <c r="U16851" s="28"/>
    </row>
    <row r="16852">
      <c r="N16852" s="28"/>
      <c r="O16852" s="28"/>
      <c r="U16852" s="28"/>
    </row>
    <row r="16853">
      <c r="N16853" s="28"/>
      <c r="O16853" s="28"/>
      <c r="U16853" s="28"/>
    </row>
    <row r="16854">
      <c r="N16854" s="28"/>
      <c r="O16854" s="28"/>
      <c r="U16854" s="28"/>
    </row>
    <row r="16855">
      <c r="N16855" s="28"/>
      <c r="O16855" s="28"/>
      <c r="U16855" s="28"/>
    </row>
    <row r="16856">
      <c r="N16856" s="28"/>
      <c r="O16856" s="28"/>
      <c r="U16856" s="28"/>
    </row>
    <row r="16857">
      <c r="N16857" s="28"/>
      <c r="O16857" s="28"/>
      <c r="U16857" s="28"/>
    </row>
    <row r="16858">
      <c r="N16858" s="28"/>
      <c r="O16858" s="28"/>
      <c r="U16858" s="28"/>
    </row>
    <row r="16859">
      <c r="N16859" s="28"/>
      <c r="O16859" s="28"/>
      <c r="U16859" s="28"/>
    </row>
    <row r="16860">
      <c r="N16860" s="28"/>
      <c r="O16860" s="28"/>
      <c r="U16860" s="28"/>
    </row>
    <row r="16861">
      <c r="N16861" s="28"/>
      <c r="O16861" s="28"/>
      <c r="U16861" s="28"/>
    </row>
    <row r="16862">
      <c r="N16862" s="28"/>
      <c r="O16862" s="28"/>
      <c r="U16862" s="28"/>
    </row>
    <row r="16863">
      <c r="N16863" s="28"/>
      <c r="O16863" s="28"/>
      <c r="U16863" s="28"/>
    </row>
    <row r="16864">
      <c r="N16864" s="28"/>
      <c r="O16864" s="28"/>
      <c r="U16864" s="28"/>
    </row>
    <row r="16865">
      <c r="N16865" s="28"/>
      <c r="O16865" s="28"/>
      <c r="U16865" s="28"/>
    </row>
    <row r="16866">
      <c r="N16866" s="28"/>
      <c r="O16866" s="28"/>
      <c r="U16866" s="28"/>
    </row>
    <row r="16867">
      <c r="N16867" s="28"/>
      <c r="O16867" s="28"/>
      <c r="U16867" s="28"/>
    </row>
    <row r="16868">
      <c r="N16868" s="28"/>
      <c r="O16868" s="28"/>
      <c r="U16868" s="28"/>
    </row>
    <row r="16869">
      <c r="N16869" s="28"/>
      <c r="O16869" s="28"/>
      <c r="U16869" s="28"/>
    </row>
    <row r="16870">
      <c r="N16870" s="28"/>
      <c r="O16870" s="28"/>
      <c r="U16870" s="28"/>
    </row>
    <row r="16871">
      <c r="N16871" s="28"/>
      <c r="O16871" s="28"/>
      <c r="U16871" s="28"/>
    </row>
    <row r="16872">
      <c r="N16872" s="28"/>
      <c r="O16872" s="28"/>
      <c r="U16872" s="28"/>
    </row>
    <row r="16873">
      <c r="N16873" s="28"/>
      <c r="O16873" s="28"/>
      <c r="U16873" s="28"/>
    </row>
    <row r="16874">
      <c r="N16874" s="28"/>
      <c r="O16874" s="28"/>
      <c r="U16874" s="28"/>
    </row>
    <row r="16875">
      <c r="N16875" s="28"/>
      <c r="O16875" s="28"/>
      <c r="U16875" s="28"/>
    </row>
    <row r="16876">
      <c r="N16876" s="28"/>
      <c r="O16876" s="28"/>
      <c r="U16876" s="28"/>
    </row>
    <row r="16877">
      <c r="N16877" s="28"/>
      <c r="O16877" s="28"/>
      <c r="U16877" s="28"/>
    </row>
    <row r="16878">
      <c r="N16878" s="28"/>
      <c r="O16878" s="28"/>
      <c r="U16878" s="28"/>
    </row>
    <row r="16879">
      <c r="N16879" s="28"/>
      <c r="O16879" s="28"/>
      <c r="U16879" s="28"/>
    </row>
    <row r="16880">
      <c r="N16880" s="28"/>
      <c r="O16880" s="28"/>
      <c r="U16880" s="28"/>
    </row>
    <row r="16881">
      <c r="N16881" s="28"/>
      <c r="O16881" s="28"/>
      <c r="U16881" s="28"/>
    </row>
    <row r="16882">
      <c r="N16882" s="28"/>
      <c r="O16882" s="28"/>
      <c r="U16882" s="28"/>
    </row>
    <row r="16883">
      <c r="N16883" s="28"/>
      <c r="O16883" s="28"/>
      <c r="U16883" s="28"/>
    </row>
    <row r="16884">
      <c r="N16884" s="28"/>
      <c r="O16884" s="28"/>
      <c r="U16884" s="28"/>
    </row>
    <row r="16885">
      <c r="N16885" s="28"/>
      <c r="O16885" s="28"/>
      <c r="U16885" s="28"/>
    </row>
    <row r="16886">
      <c r="N16886" s="28"/>
      <c r="O16886" s="28"/>
      <c r="U16886" s="28"/>
    </row>
    <row r="16887">
      <c r="N16887" s="28"/>
      <c r="O16887" s="28"/>
      <c r="U16887" s="28"/>
    </row>
    <row r="16888">
      <c r="N16888" s="28"/>
      <c r="O16888" s="28"/>
      <c r="U16888" s="28"/>
    </row>
    <row r="16889">
      <c r="N16889" s="28"/>
      <c r="O16889" s="28"/>
      <c r="U16889" s="28"/>
    </row>
    <row r="16890">
      <c r="N16890" s="28"/>
      <c r="O16890" s="28"/>
      <c r="U16890" s="28"/>
    </row>
    <row r="16891">
      <c r="N16891" s="28"/>
      <c r="O16891" s="28"/>
      <c r="U16891" s="28"/>
    </row>
    <row r="16892">
      <c r="N16892" s="28"/>
      <c r="O16892" s="28"/>
      <c r="U16892" s="28"/>
    </row>
    <row r="16893">
      <c r="N16893" s="28"/>
      <c r="O16893" s="28"/>
      <c r="U16893" s="28"/>
    </row>
    <row r="16894">
      <c r="N16894" s="28"/>
      <c r="O16894" s="28"/>
      <c r="U16894" s="28"/>
    </row>
    <row r="16895">
      <c r="N16895" s="28"/>
      <c r="O16895" s="28"/>
      <c r="U16895" s="28"/>
    </row>
    <row r="16896">
      <c r="N16896" s="28"/>
      <c r="O16896" s="28"/>
      <c r="U16896" s="28"/>
    </row>
    <row r="16897">
      <c r="N16897" s="28"/>
      <c r="O16897" s="28"/>
      <c r="U16897" s="28"/>
    </row>
    <row r="16898">
      <c r="N16898" s="28"/>
      <c r="O16898" s="28"/>
      <c r="U16898" s="28"/>
    </row>
    <row r="16899">
      <c r="N16899" s="28"/>
      <c r="O16899" s="28"/>
      <c r="U16899" s="28"/>
    </row>
    <row r="16900">
      <c r="N16900" s="28"/>
      <c r="O16900" s="28"/>
      <c r="U16900" s="28"/>
    </row>
    <row r="16901">
      <c r="N16901" s="28"/>
      <c r="O16901" s="28"/>
      <c r="U16901" s="28"/>
    </row>
    <row r="16902">
      <c r="N16902" s="28"/>
      <c r="O16902" s="28"/>
      <c r="U16902" s="28"/>
    </row>
    <row r="16903">
      <c r="N16903" s="28"/>
      <c r="O16903" s="28"/>
      <c r="U16903" s="28"/>
    </row>
    <row r="16904">
      <c r="N16904" s="28"/>
      <c r="O16904" s="28"/>
      <c r="U16904" s="28"/>
    </row>
    <row r="16905">
      <c r="N16905" s="28"/>
      <c r="O16905" s="28"/>
      <c r="U16905" s="28"/>
    </row>
    <row r="16906">
      <c r="N16906" s="28"/>
      <c r="O16906" s="28"/>
      <c r="U16906" s="28"/>
    </row>
    <row r="16907">
      <c r="N16907" s="28"/>
      <c r="O16907" s="28"/>
      <c r="U16907" s="28"/>
    </row>
    <row r="16908">
      <c r="N16908" s="28"/>
      <c r="O16908" s="28"/>
      <c r="U16908" s="28"/>
    </row>
    <row r="16909">
      <c r="N16909" s="28"/>
      <c r="O16909" s="28"/>
      <c r="U16909" s="28"/>
    </row>
    <row r="16910">
      <c r="N16910" s="28"/>
      <c r="O16910" s="28"/>
      <c r="U16910" s="28"/>
    </row>
    <row r="16911">
      <c r="N16911" s="28"/>
      <c r="O16911" s="28"/>
      <c r="U16911" s="28"/>
    </row>
    <row r="16912">
      <c r="N16912" s="28"/>
      <c r="O16912" s="28"/>
      <c r="U16912" s="28"/>
    </row>
    <row r="16913">
      <c r="N16913" s="28"/>
      <c r="O16913" s="28"/>
      <c r="U16913" s="28"/>
    </row>
    <row r="16914">
      <c r="N16914" s="28"/>
      <c r="O16914" s="28"/>
      <c r="U16914" s="28"/>
    </row>
    <row r="16915">
      <c r="N16915" s="28"/>
      <c r="O16915" s="28"/>
      <c r="U16915" s="28"/>
    </row>
    <row r="16916">
      <c r="N16916" s="28"/>
      <c r="O16916" s="28"/>
      <c r="U16916" s="28"/>
    </row>
    <row r="16917">
      <c r="N16917" s="28"/>
      <c r="O16917" s="28"/>
      <c r="U16917" s="28"/>
    </row>
    <row r="16918">
      <c r="N16918" s="28"/>
      <c r="O16918" s="28"/>
      <c r="U16918" s="28"/>
    </row>
    <row r="16919">
      <c r="N16919" s="28"/>
      <c r="O16919" s="28"/>
      <c r="U16919" s="28"/>
    </row>
    <row r="16920">
      <c r="N16920" s="28"/>
      <c r="O16920" s="28"/>
      <c r="U16920" s="28"/>
    </row>
    <row r="16921">
      <c r="N16921" s="28"/>
      <c r="O16921" s="28"/>
      <c r="U16921" s="28"/>
    </row>
    <row r="16922">
      <c r="N16922" s="28"/>
      <c r="O16922" s="28"/>
      <c r="U16922" s="28"/>
    </row>
    <row r="16923">
      <c r="N16923" s="28"/>
      <c r="O16923" s="28"/>
      <c r="U16923" s="28"/>
    </row>
    <row r="16924">
      <c r="N16924" s="28"/>
      <c r="O16924" s="28"/>
      <c r="U16924" s="28"/>
    </row>
    <row r="16925">
      <c r="N16925" s="28"/>
      <c r="O16925" s="28"/>
      <c r="U16925" s="28"/>
    </row>
    <row r="16926">
      <c r="N16926" s="28"/>
      <c r="O16926" s="28"/>
      <c r="U16926" s="28"/>
    </row>
    <row r="16927">
      <c r="N16927" s="28"/>
      <c r="O16927" s="28"/>
      <c r="U16927" s="28"/>
    </row>
    <row r="16928">
      <c r="N16928" s="28"/>
      <c r="O16928" s="28"/>
      <c r="U16928" s="28"/>
    </row>
    <row r="16929">
      <c r="N16929" s="28"/>
      <c r="O16929" s="28"/>
      <c r="U16929" s="28"/>
    </row>
    <row r="16930">
      <c r="N16930" s="28"/>
      <c r="O16930" s="28"/>
      <c r="U16930" s="28"/>
    </row>
    <row r="16931">
      <c r="N16931" s="28"/>
      <c r="O16931" s="28"/>
      <c r="U16931" s="28"/>
    </row>
    <row r="16932">
      <c r="N16932" s="28"/>
      <c r="O16932" s="28"/>
      <c r="U16932" s="28"/>
    </row>
    <row r="16933">
      <c r="N16933" s="28"/>
      <c r="O16933" s="28"/>
      <c r="U16933" s="28"/>
    </row>
    <row r="16934">
      <c r="N16934" s="28"/>
      <c r="O16934" s="28"/>
      <c r="U16934" s="28"/>
    </row>
    <row r="16935">
      <c r="N16935" s="28"/>
      <c r="O16935" s="28"/>
      <c r="U16935" s="28"/>
    </row>
    <row r="16936">
      <c r="N16936" s="28"/>
      <c r="O16936" s="28"/>
      <c r="U16936" s="28"/>
    </row>
    <row r="16937">
      <c r="N16937" s="28"/>
      <c r="O16937" s="28"/>
      <c r="U16937" s="28"/>
    </row>
    <row r="16938">
      <c r="N16938" s="28"/>
      <c r="O16938" s="28"/>
      <c r="U16938" s="28"/>
    </row>
    <row r="16939">
      <c r="N16939" s="28"/>
      <c r="O16939" s="28"/>
      <c r="U16939" s="28"/>
    </row>
    <row r="16940">
      <c r="N16940" s="28"/>
      <c r="O16940" s="28"/>
      <c r="U16940" s="28"/>
    </row>
    <row r="16941">
      <c r="N16941" s="28"/>
      <c r="O16941" s="28"/>
      <c r="U16941" s="28"/>
    </row>
    <row r="16942">
      <c r="N16942" s="28"/>
      <c r="O16942" s="28"/>
      <c r="U16942" s="28"/>
    </row>
    <row r="16943">
      <c r="N16943" s="28"/>
      <c r="O16943" s="28"/>
      <c r="U16943" s="28"/>
    </row>
    <row r="16944">
      <c r="N16944" s="28"/>
      <c r="O16944" s="28"/>
      <c r="U16944" s="28"/>
    </row>
    <row r="16945">
      <c r="N16945" s="28"/>
      <c r="O16945" s="28"/>
      <c r="U16945" s="28"/>
    </row>
    <row r="16946">
      <c r="N16946" s="28"/>
      <c r="O16946" s="28"/>
      <c r="U16946" s="28"/>
    </row>
    <row r="16947">
      <c r="N16947" s="28"/>
      <c r="O16947" s="28"/>
      <c r="U16947" s="28"/>
    </row>
    <row r="16948">
      <c r="N16948" s="28"/>
      <c r="O16948" s="28"/>
      <c r="U16948" s="28"/>
    </row>
    <row r="16949">
      <c r="N16949" s="28"/>
      <c r="O16949" s="28"/>
      <c r="U16949" s="28"/>
    </row>
    <row r="16950">
      <c r="N16950" s="28"/>
      <c r="O16950" s="28"/>
      <c r="U16950" s="28"/>
    </row>
    <row r="16951">
      <c r="N16951" s="28"/>
      <c r="O16951" s="28"/>
      <c r="U16951" s="28"/>
    </row>
    <row r="16952">
      <c r="N16952" s="28"/>
      <c r="O16952" s="28"/>
      <c r="U16952" s="28"/>
    </row>
    <row r="16953">
      <c r="N16953" s="28"/>
      <c r="O16953" s="28"/>
      <c r="U16953" s="28"/>
    </row>
    <row r="16954">
      <c r="N16954" s="28"/>
      <c r="O16954" s="28"/>
      <c r="U16954" s="28"/>
    </row>
    <row r="16955">
      <c r="N16955" s="28"/>
      <c r="O16955" s="28"/>
      <c r="U16955" s="28"/>
    </row>
    <row r="16956">
      <c r="N16956" s="28"/>
      <c r="O16956" s="28"/>
      <c r="U16956" s="28"/>
    </row>
    <row r="16957">
      <c r="N16957" s="28"/>
      <c r="O16957" s="28"/>
      <c r="U16957" s="28"/>
    </row>
    <row r="16958">
      <c r="N16958" s="28"/>
      <c r="O16958" s="28"/>
      <c r="U16958" s="28"/>
    </row>
    <row r="16959">
      <c r="N16959" s="28"/>
      <c r="O16959" s="28"/>
      <c r="U16959" s="28"/>
    </row>
    <row r="16960">
      <c r="N16960" s="28"/>
      <c r="O16960" s="28"/>
      <c r="U16960" s="28"/>
    </row>
    <row r="16961">
      <c r="N16961" s="28"/>
      <c r="O16961" s="28"/>
      <c r="U16961" s="28"/>
    </row>
    <row r="16962">
      <c r="N16962" s="28"/>
      <c r="O16962" s="28"/>
      <c r="U16962" s="28"/>
    </row>
    <row r="16963">
      <c r="N16963" s="28"/>
      <c r="O16963" s="28"/>
      <c r="U16963" s="28"/>
    </row>
    <row r="16964">
      <c r="N16964" s="28"/>
      <c r="O16964" s="28"/>
      <c r="U16964" s="28"/>
    </row>
    <row r="16965">
      <c r="N16965" s="28"/>
      <c r="O16965" s="28"/>
      <c r="U16965" s="28"/>
    </row>
    <row r="16966">
      <c r="N16966" s="28"/>
      <c r="O16966" s="28"/>
      <c r="U16966" s="28"/>
    </row>
    <row r="16967">
      <c r="N16967" s="28"/>
      <c r="O16967" s="28"/>
      <c r="U16967" s="28"/>
    </row>
    <row r="16968">
      <c r="N16968" s="28"/>
      <c r="O16968" s="28"/>
      <c r="U16968" s="28"/>
    </row>
    <row r="16969">
      <c r="N16969" s="28"/>
      <c r="O16969" s="28"/>
      <c r="U16969" s="28"/>
    </row>
    <row r="16970">
      <c r="N16970" s="28"/>
      <c r="O16970" s="28"/>
      <c r="U16970" s="28"/>
    </row>
    <row r="16971">
      <c r="N16971" s="28"/>
      <c r="O16971" s="28"/>
      <c r="U16971" s="28"/>
    </row>
    <row r="16972">
      <c r="N16972" s="28"/>
      <c r="O16972" s="28"/>
      <c r="U16972" s="28"/>
    </row>
    <row r="16973">
      <c r="N16973" s="28"/>
      <c r="O16973" s="28"/>
      <c r="U16973" s="28"/>
    </row>
    <row r="16974">
      <c r="N16974" s="28"/>
      <c r="O16974" s="28"/>
      <c r="U16974" s="28"/>
    </row>
    <row r="16975">
      <c r="N16975" s="28"/>
      <c r="O16975" s="28"/>
      <c r="U16975" s="28"/>
    </row>
    <row r="16976">
      <c r="N16976" s="28"/>
      <c r="O16976" s="28"/>
      <c r="U16976" s="28"/>
    </row>
    <row r="16977">
      <c r="N16977" s="28"/>
      <c r="O16977" s="28"/>
      <c r="U16977" s="28"/>
    </row>
    <row r="16978">
      <c r="N16978" s="28"/>
      <c r="O16978" s="28"/>
      <c r="U16978" s="28"/>
    </row>
    <row r="16979">
      <c r="N16979" s="28"/>
      <c r="O16979" s="28"/>
      <c r="U16979" s="28"/>
    </row>
    <row r="16980">
      <c r="N16980" s="28"/>
      <c r="O16980" s="28"/>
      <c r="U16980" s="28"/>
    </row>
    <row r="16981">
      <c r="N16981" s="28"/>
      <c r="O16981" s="28"/>
      <c r="U16981" s="28"/>
    </row>
    <row r="16982">
      <c r="N16982" s="28"/>
      <c r="O16982" s="28"/>
      <c r="U16982" s="28"/>
    </row>
    <row r="16983">
      <c r="N16983" s="28"/>
      <c r="O16983" s="28"/>
      <c r="U16983" s="28"/>
    </row>
    <row r="16984">
      <c r="N16984" s="28"/>
      <c r="O16984" s="28"/>
      <c r="U16984" s="28"/>
    </row>
    <row r="16985">
      <c r="N16985" s="28"/>
      <c r="O16985" s="28"/>
      <c r="U16985" s="28"/>
    </row>
    <row r="16986">
      <c r="N16986" s="28"/>
      <c r="O16986" s="28"/>
      <c r="U16986" s="28"/>
    </row>
    <row r="16987">
      <c r="N16987" s="28"/>
      <c r="O16987" s="28"/>
      <c r="U16987" s="28"/>
    </row>
    <row r="16988">
      <c r="N16988" s="28"/>
      <c r="O16988" s="28"/>
      <c r="U16988" s="28"/>
    </row>
    <row r="16989">
      <c r="N16989" s="28"/>
      <c r="O16989" s="28"/>
      <c r="U16989" s="28"/>
    </row>
    <row r="16990">
      <c r="N16990" s="28"/>
      <c r="O16990" s="28"/>
      <c r="U16990" s="28"/>
    </row>
    <row r="16991">
      <c r="N16991" s="28"/>
      <c r="O16991" s="28"/>
      <c r="U16991" s="28"/>
    </row>
    <row r="16992">
      <c r="N16992" s="28"/>
      <c r="O16992" s="28"/>
      <c r="U16992" s="28"/>
    </row>
    <row r="16993">
      <c r="N16993" s="28"/>
      <c r="O16993" s="28"/>
      <c r="U16993" s="28"/>
    </row>
    <row r="16994">
      <c r="N16994" s="28"/>
      <c r="O16994" s="28"/>
      <c r="U16994" s="28"/>
    </row>
    <row r="16995">
      <c r="N16995" s="28"/>
      <c r="O16995" s="28"/>
      <c r="U16995" s="28"/>
    </row>
    <row r="16996">
      <c r="N16996" s="28"/>
      <c r="O16996" s="28"/>
      <c r="U16996" s="28"/>
    </row>
    <row r="16997">
      <c r="N16997" s="28"/>
      <c r="O16997" s="28"/>
      <c r="U16997" s="28"/>
    </row>
    <row r="16998">
      <c r="N16998" s="28"/>
      <c r="O16998" s="28"/>
      <c r="U16998" s="28"/>
    </row>
    <row r="16999">
      <c r="N16999" s="28"/>
      <c r="O16999" s="28"/>
      <c r="U16999" s="28"/>
    </row>
    <row r="17000">
      <c r="N17000" s="28"/>
      <c r="O17000" s="28"/>
      <c r="U17000" s="28"/>
    </row>
    <row r="17001">
      <c r="N17001" s="28"/>
      <c r="O17001" s="28"/>
      <c r="U17001" s="28"/>
    </row>
    <row r="17002">
      <c r="N17002" s="28"/>
      <c r="O17002" s="28"/>
      <c r="U17002" s="28"/>
    </row>
    <row r="17003">
      <c r="N17003" s="28"/>
      <c r="O17003" s="28"/>
      <c r="U17003" s="28"/>
    </row>
    <row r="17004">
      <c r="N17004" s="28"/>
      <c r="O17004" s="28"/>
      <c r="U17004" s="28"/>
    </row>
    <row r="17005">
      <c r="N17005" s="28"/>
      <c r="O17005" s="28"/>
      <c r="U17005" s="28"/>
    </row>
    <row r="17006">
      <c r="N17006" s="28"/>
      <c r="O17006" s="28"/>
      <c r="U17006" s="28"/>
    </row>
    <row r="17007">
      <c r="N17007" s="28"/>
      <c r="O17007" s="28"/>
      <c r="U17007" s="28"/>
    </row>
    <row r="17008">
      <c r="N17008" s="28"/>
      <c r="O17008" s="28"/>
      <c r="U17008" s="28"/>
    </row>
    <row r="17009">
      <c r="N17009" s="28"/>
      <c r="O17009" s="28"/>
      <c r="U17009" s="28"/>
    </row>
    <row r="17010">
      <c r="N17010" s="28"/>
      <c r="O17010" s="28"/>
      <c r="U17010" s="28"/>
    </row>
    <row r="17011">
      <c r="N17011" s="28"/>
      <c r="O17011" s="28"/>
      <c r="U17011" s="28"/>
    </row>
    <row r="17012">
      <c r="N17012" s="28"/>
      <c r="O17012" s="28"/>
      <c r="U17012" s="28"/>
    </row>
    <row r="17013">
      <c r="N17013" s="28"/>
      <c r="O17013" s="28"/>
      <c r="U17013" s="28"/>
    </row>
    <row r="17014">
      <c r="N17014" s="28"/>
      <c r="O17014" s="28"/>
      <c r="U17014" s="28"/>
    </row>
    <row r="17015">
      <c r="N17015" s="28"/>
      <c r="O17015" s="28"/>
      <c r="U17015" s="28"/>
    </row>
    <row r="17016">
      <c r="N17016" s="28"/>
      <c r="O17016" s="28"/>
      <c r="U17016" s="28"/>
    </row>
    <row r="17017">
      <c r="N17017" s="28"/>
      <c r="O17017" s="28"/>
      <c r="U17017" s="28"/>
    </row>
    <row r="17018">
      <c r="N17018" s="28"/>
      <c r="O17018" s="28"/>
      <c r="U17018" s="28"/>
    </row>
    <row r="17019">
      <c r="N17019" s="28"/>
      <c r="O17019" s="28"/>
      <c r="U17019" s="28"/>
    </row>
    <row r="17020">
      <c r="N17020" s="28"/>
      <c r="O17020" s="28"/>
      <c r="U17020" s="28"/>
    </row>
    <row r="17021">
      <c r="N17021" s="28"/>
      <c r="O17021" s="28"/>
      <c r="U17021" s="28"/>
    </row>
    <row r="17022">
      <c r="N17022" s="28"/>
      <c r="O17022" s="28"/>
      <c r="U17022" s="28"/>
    </row>
    <row r="17023">
      <c r="N17023" s="28"/>
      <c r="O17023" s="28"/>
      <c r="U17023" s="28"/>
    </row>
    <row r="17024">
      <c r="N17024" s="28"/>
      <c r="O17024" s="28"/>
      <c r="U17024" s="28"/>
    </row>
    <row r="17025">
      <c r="N17025" s="28"/>
      <c r="O17025" s="28"/>
      <c r="U17025" s="28"/>
    </row>
    <row r="17026">
      <c r="N17026" s="28"/>
      <c r="O17026" s="28"/>
      <c r="U17026" s="28"/>
    </row>
    <row r="17027">
      <c r="N17027" s="28"/>
      <c r="O17027" s="28"/>
      <c r="U17027" s="28"/>
    </row>
    <row r="17028">
      <c r="N17028" s="28"/>
      <c r="O17028" s="28"/>
      <c r="U17028" s="28"/>
    </row>
    <row r="17029">
      <c r="N17029" s="28"/>
      <c r="O17029" s="28"/>
      <c r="U17029" s="28"/>
    </row>
    <row r="17030">
      <c r="N17030" s="28"/>
      <c r="O17030" s="28"/>
      <c r="U17030" s="28"/>
    </row>
    <row r="17031">
      <c r="N17031" s="28"/>
      <c r="O17031" s="28"/>
      <c r="U17031" s="28"/>
    </row>
    <row r="17032">
      <c r="N17032" s="28"/>
      <c r="O17032" s="28"/>
      <c r="U17032" s="28"/>
    </row>
    <row r="17033">
      <c r="N17033" s="28"/>
      <c r="O17033" s="28"/>
      <c r="U17033" s="28"/>
    </row>
    <row r="17034">
      <c r="N17034" s="28"/>
      <c r="O17034" s="28"/>
      <c r="U17034" s="28"/>
    </row>
    <row r="17035">
      <c r="N17035" s="28"/>
      <c r="O17035" s="28"/>
      <c r="U17035" s="28"/>
    </row>
    <row r="17036">
      <c r="N17036" s="28"/>
      <c r="O17036" s="28"/>
      <c r="U17036" s="28"/>
    </row>
    <row r="17037">
      <c r="N17037" s="28"/>
      <c r="O17037" s="28"/>
      <c r="U17037" s="28"/>
    </row>
    <row r="17038">
      <c r="N17038" s="28"/>
      <c r="O17038" s="28"/>
      <c r="U17038" s="28"/>
    </row>
    <row r="17039">
      <c r="N17039" s="28"/>
      <c r="O17039" s="28"/>
      <c r="U17039" s="28"/>
    </row>
    <row r="17040">
      <c r="N17040" s="28"/>
      <c r="O17040" s="28"/>
      <c r="U17040" s="28"/>
    </row>
    <row r="17041">
      <c r="N17041" s="28"/>
      <c r="O17041" s="28"/>
      <c r="U17041" s="28"/>
    </row>
    <row r="17042">
      <c r="N17042" s="28"/>
      <c r="O17042" s="28"/>
      <c r="U17042" s="28"/>
    </row>
    <row r="17043">
      <c r="N17043" s="28"/>
      <c r="O17043" s="28"/>
      <c r="U17043" s="28"/>
    </row>
    <row r="17044">
      <c r="N17044" s="28"/>
      <c r="O17044" s="28"/>
      <c r="U17044" s="28"/>
    </row>
    <row r="17045">
      <c r="N17045" s="28"/>
      <c r="O17045" s="28"/>
      <c r="U17045" s="28"/>
    </row>
    <row r="17046">
      <c r="N17046" s="28"/>
      <c r="O17046" s="28"/>
      <c r="U17046" s="28"/>
    </row>
    <row r="17047">
      <c r="N17047" s="28"/>
      <c r="O17047" s="28"/>
      <c r="U17047" s="28"/>
    </row>
    <row r="17048">
      <c r="N17048" s="28"/>
      <c r="O17048" s="28"/>
      <c r="U17048" s="28"/>
    </row>
    <row r="17049">
      <c r="N17049" s="28"/>
      <c r="O17049" s="28"/>
      <c r="U17049" s="28"/>
    </row>
    <row r="17050">
      <c r="N17050" s="28"/>
      <c r="O17050" s="28"/>
      <c r="U17050" s="28"/>
    </row>
    <row r="17051">
      <c r="N17051" s="28"/>
      <c r="O17051" s="28"/>
      <c r="U17051" s="28"/>
    </row>
    <row r="17052">
      <c r="N17052" s="28"/>
      <c r="O17052" s="28"/>
      <c r="U17052" s="28"/>
    </row>
    <row r="17053">
      <c r="N17053" s="28"/>
      <c r="O17053" s="28"/>
      <c r="U17053" s="28"/>
    </row>
    <row r="17054">
      <c r="N17054" s="28"/>
      <c r="O17054" s="28"/>
      <c r="U17054" s="28"/>
    </row>
    <row r="17055">
      <c r="N17055" s="28"/>
      <c r="O17055" s="28"/>
      <c r="U17055" s="28"/>
    </row>
    <row r="17056">
      <c r="N17056" s="28"/>
      <c r="O17056" s="28"/>
      <c r="U17056" s="28"/>
    </row>
    <row r="17057">
      <c r="N17057" s="28"/>
      <c r="O17057" s="28"/>
      <c r="U17057" s="28"/>
    </row>
    <row r="17058">
      <c r="N17058" s="28"/>
      <c r="O17058" s="28"/>
      <c r="U17058" s="28"/>
    </row>
    <row r="17059">
      <c r="N17059" s="28"/>
      <c r="O17059" s="28"/>
      <c r="U17059" s="28"/>
    </row>
    <row r="17060">
      <c r="N17060" s="28"/>
      <c r="O17060" s="28"/>
      <c r="U17060" s="28"/>
    </row>
    <row r="17061">
      <c r="N17061" s="28"/>
      <c r="O17061" s="28"/>
      <c r="U17061" s="28"/>
    </row>
    <row r="17062">
      <c r="N17062" s="28"/>
      <c r="O17062" s="28"/>
      <c r="U17062" s="28"/>
    </row>
    <row r="17063">
      <c r="N17063" s="28"/>
      <c r="O17063" s="28"/>
      <c r="U17063" s="28"/>
    </row>
    <row r="17064">
      <c r="N17064" s="28"/>
      <c r="O17064" s="28"/>
      <c r="U17064" s="28"/>
    </row>
    <row r="17065">
      <c r="N17065" s="28"/>
      <c r="O17065" s="28"/>
      <c r="U17065" s="28"/>
    </row>
    <row r="17066">
      <c r="N17066" s="28"/>
      <c r="O17066" s="28"/>
      <c r="U17066" s="28"/>
    </row>
    <row r="17067">
      <c r="N17067" s="28"/>
      <c r="O17067" s="28"/>
      <c r="U17067" s="28"/>
    </row>
    <row r="17068">
      <c r="N17068" s="28"/>
      <c r="O17068" s="28"/>
      <c r="U17068" s="28"/>
    </row>
    <row r="17069">
      <c r="N17069" s="28"/>
      <c r="O17069" s="28"/>
      <c r="U17069" s="28"/>
    </row>
    <row r="17070">
      <c r="N17070" s="28"/>
      <c r="O17070" s="28"/>
      <c r="U17070" s="28"/>
    </row>
    <row r="17071">
      <c r="N17071" s="28"/>
      <c r="O17071" s="28"/>
      <c r="U17071" s="28"/>
    </row>
    <row r="17072">
      <c r="N17072" s="28"/>
      <c r="O17072" s="28"/>
      <c r="U17072" s="28"/>
    </row>
    <row r="17073">
      <c r="N17073" s="28"/>
      <c r="O17073" s="28"/>
      <c r="U17073" s="28"/>
    </row>
    <row r="17074">
      <c r="N17074" s="28"/>
      <c r="O17074" s="28"/>
      <c r="U17074" s="28"/>
    </row>
    <row r="17075">
      <c r="N17075" s="28"/>
      <c r="O17075" s="28"/>
      <c r="U17075" s="28"/>
    </row>
    <row r="17076">
      <c r="N17076" s="28"/>
      <c r="O17076" s="28"/>
      <c r="U17076" s="28"/>
    </row>
    <row r="17077">
      <c r="N17077" s="28"/>
      <c r="O17077" s="28"/>
      <c r="U17077" s="28"/>
    </row>
    <row r="17078">
      <c r="N17078" s="28"/>
      <c r="O17078" s="28"/>
      <c r="U17078" s="28"/>
    </row>
    <row r="17079">
      <c r="N17079" s="28"/>
      <c r="O17079" s="28"/>
      <c r="U17079" s="28"/>
    </row>
    <row r="17080">
      <c r="N17080" s="28"/>
      <c r="O17080" s="28"/>
      <c r="U17080" s="28"/>
    </row>
    <row r="17081">
      <c r="N17081" s="28"/>
      <c r="O17081" s="28"/>
      <c r="U17081" s="28"/>
    </row>
    <row r="17082">
      <c r="N17082" s="28"/>
      <c r="O17082" s="28"/>
      <c r="U17082" s="28"/>
    </row>
    <row r="17083">
      <c r="N17083" s="28"/>
      <c r="O17083" s="28"/>
      <c r="U17083" s="28"/>
    </row>
    <row r="17084">
      <c r="N17084" s="28"/>
      <c r="O17084" s="28"/>
      <c r="U17084" s="28"/>
    </row>
    <row r="17085">
      <c r="N17085" s="28"/>
      <c r="O17085" s="28"/>
      <c r="U17085" s="28"/>
    </row>
    <row r="17086">
      <c r="N17086" s="28"/>
      <c r="O17086" s="28"/>
      <c r="U17086" s="28"/>
    </row>
    <row r="17087">
      <c r="N17087" s="28"/>
      <c r="O17087" s="28"/>
      <c r="U17087" s="28"/>
    </row>
    <row r="17088">
      <c r="N17088" s="28"/>
      <c r="O17088" s="28"/>
      <c r="U17088" s="28"/>
    </row>
    <row r="17089">
      <c r="N17089" s="28"/>
      <c r="O17089" s="28"/>
      <c r="U17089" s="28"/>
    </row>
    <row r="17090">
      <c r="N17090" s="28"/>
      <c r="O17090" s="28"/>
      <c r="U17090" s="28"/>
    </row>
    <row r="17091">
      <c r="N17091" s="28"/>
      <c r="O17091" s="28"/>
      <c r="U17091" s="28"/>
    </row>
    <row r="17092">
      <c r="N17092" s="28"/>
      <c r="O17092" s="28"/>
      <c r="U17092" s="28"/>
    </row>
    <row r="17093">
      <c r="N17093" s="28"/>
      <c r="O17093" s="28"/>
      <c r="U17093" s="28"/>
    </row>
    <row r="17094">
      <c r="N17094" s="28"/>
      <c r="O17094" s="28"/>
      <c r="U17094" s="28"/>
    </row>
    <row r="17095">
      <c r="N17095" s="28"/>
      <c r="O17095" s="28"/>
      <c r="U17095" s="28"/>
    </row>
    <row r="17096">
      <c r="N17096" s="28"/>
      <c r="O17096" s="28"/>
      <c r="U17096" s="28"/>
    </row>
    <row r="17097">
      <c r="N17097" s="28"/>
      <c r="O17097" s="28"/>
      <c r="U17097" s="28"/>
    </row>
    <row r="17098">
      <c r="N17098" s="28"/>
      <c r="O17098" s="28"/>
      <c r="U17098" s="28"/>
    </row>
    <row r="17099">
      <c r="N17099" s="28"/>
      <c r="O17099" s="28"/>
      <c r="U17099" s="28"/>
    </row>
    <row r="17100">
      <c r="N17100" s="28"/>
      <c r="O17100" s="28"/>
      <c r="U17100" s="28"/>
    </row>
    <row r="17101">
      <c r="N17101" s="28"/>
      <c r="O17101" s="28"/>
      <c r="U17101" s="28"/>
    </row>
    <row r="17102">
      <c r="N17102" s="28"/>
      <c r="O17102" s="28"/>
      <c r="U17102" s="28"/>
    </row>
    <row r="17103">
      <c r="N17103" s="28"/>
      <c r="O17103" s="28"/>
      <c r="U17103" s="28"/>
    </row>
    <row r="17104">
      <c r="N17104" s="28"/>
      <c r="O17104" s="28"/>
      <c r="U17104" s="28"/>
    </row>
    <row r="17105">
      <c r="N17105" s="28"/>
      <c r="O17105" s="28"/>
      <c r="U17105" s="28"/>
    </row>
    <row r="17106">
      <c r="N17106" s="28"/>
      <c r="O17106" s="28"/>
      <c r="U17106" s="28"/>
    </row>
    <row r="17107">
      <c r="N17107" s="28"/>
      <c r="O17107" s="28"/>
      <c r="U17107" s="28"/>
    </row>
    <row r="17108">
      <c r="N17108" s="28"/>
      <c r="O17108" s="28"/>
      <c r="U17108" s="28"/>
    </row>
    <row r="17109">
      <c r="N17109" s="28"/>
      <c r="O17109" s="28"/>
      <c r="U17109" s="28"/>
    </row>
    <row r="17110">
      <c r="N17110" s="28"/>
      <c r="O17110" s="28"/>
      <c r="U17110" s="28"/>
    </row>
    <row r="17111">
      <c r="N17111" s="28"/>
      <c r="O17111" s="28"/>
      <c r="U17111" s="28"/>
    </row>
    <row r="17112">
      <c r="N17112" s="28"/>
      <c r="O17112" s="28"/>
      <c r="U17112" s="28"/>
    </row>
    <row r="17113">
      <c r="N17113" s="28"/>
      <c r="O17113" s="28"/>
      <c r="U17113" s="28"/>
    </row>
    <row r="17114">
      <c r="N17114" s="28"/>
      <c r="O17114" s="28"/>
      <c r="U17114" s="28"/>
    </row>
    <row r="17115">
      <c r="N17115" s="28"/>
      <c r="O17115" s="28"/>
      <c r="U17115" s="28"/>
    </row>
    <row r="17116">
      <c r="N17116" s="28"/>
      <c r="O17116" s="28"/>
      <c r="U17116" s="28"/>
    </row>
    <row r="17117">
      <c r="N17117" s="28"/>
      <c r="O17117" s="28"/>
      <c r="U17117" s="28"/>
    </row>
    <row r="17118">
      <c r="N17118" s="28"/>
      <c r="O17118" s="28"/>
      <c r="U17118" s="28"/>
    </row>
    <row r="17119">
      <c r="N17119" s="28"/>
      <c r="O17119" s="28"/>
      <c r="U17119" s="28"/>
    </row>
    <row r="17120">
      <c r="N17120" s="28"/>
      <c r="O17120" s="28"/>
      <c r="U17120" s="28"/>
    </row>
    <row r="17121">
      <c r="N17121" s="28"/>
      <c r="O17121" s="28"/>
      <c r="U17121" s="28"/>
    </row>
    <row r="17122">
      <c r="N17122" s="28"/>
      <c r="O17122" s="28"/>
      <c r="U17122" s="28"/>
    </row>
    <row r="17123">
      <c r="N17123" s="28"/>
      <c r="O17123" s="28"/>
      <c r="U17123" s="28"/>
    </row>
    <row r="17124">
      <c r="N17124" s="28"/>
      <c r="O17124" s="28"/>
      <c r="U17124" s="28"/>
    </row>
    <row r="17125">
      <c r="N17125" s="28"/>
      <c r="O17125" s="28"/>
      <c r="U17125" s="28"/>
    </row>
    <row r="17126">
      <c r="N17126" s="28"/>
      <c r="O17126" s="28"/>
      <c r="U17126" s="28"/>
    </row>
    <row r="17127">
      <c r="N17127" s="28"/>
      <c r="O17127" s="28"/>
      <c r="U17127" s="28"/>
    </row>
    <row r="17128">
      <c r="N17128" s="28"/>
      <c r="O17128" s="28"/>
      <c r="U17128" s="28"/>
    </row>
    <row r="17129">
      <c r="N17129" s="28"/>
      <c r="O17129" s="28"/>
      <c r="U17129" s="28"/>
    </row>
    <row r="17130">
      <c r="N17130" s="28"/>
      <c r="O17130" s="28"/>
      <c r="U17130" s="28"/>
    </row>
    <row r="17131">
      <c r="N17131" s="28"/>
      <c r="O17131" s="28"/>
      <c r="U17131" s="28"/>
    </row>
    <row r="17132">
      <c r="N17132" s="28"/>
      <c r="O17132" s="28"/>
      <c r="U17132" s="28"/>
    </row>
    <row r="17133">
      <c r="N17133" s="28"/>
      <c r="O17133" s="28"/>
      <c r="U17133" s="28"/>
    </row>
    <row r="17134">
      <c r="N17134" s="28"/>
      <c r="O17134" s="28"/>
      <c r="U17134" s="28"/>
    </row>
    <row r="17135">
      <c r="N17135" s="28"/>
      <c r="O17135" s="28"/>
      <c r="U17135" s="28"/>
    </row>
    <row r="17136">
      <c r="N17136" s="28"/>
      <c r="O17136" s="28"/>
      <c r="U17136" s="28"/>
    </row>
    <row r="17137">
      <c r="N17137" s="28"/>
      <c r="O17137" s="28"/>
      <c r="U17137" s="28"/>
    </row>
    <row r="17138">
      <c r="N17138" s="28"/>
      <c r="O17138" s="28"/>
      <c r="U17138" s="28"/>
    </row>
    <row r="17139">
      <c r="N17139" s="28"/>
      <c r="O17139" s="28"/>
      <c r="U17139" s="28"/>
    </row>
    <row r="17140">
      <c r="N17140" s="28"/>
      <c r="O17140" s="28"/>
      <c r="U17140" s="28"/>
    </row>
    <row r="17141">
      <c r="N17141" s="28"/>
      <c r="O17141" s="28"/>
      <c r="U17141" s="28"/>
    </row>
    <row r="17142">
      <c r="N17142" s="28"/>
      <c r="O17142" s="28"/>
      <c r="U17142" s="28"/>
    </row>
    <row r="17143">
      <c r="N17143" s="28"/>
      <c r="O17143" s="28"/>
      <c r="U17143" s="28"/>
    </row>
    <row r="17144">
      <c r="N17144" s="28"/>
      <c r="O17144" s="28"/>
      <c r="U17144" s="28"/>
    </row>
    <row r="17145">
      <c r="N17145" s="28"/>
      <c r="O17145" s="28"/>
      <c r="U17145" s="28"/>
    </row>
    <row r="17146">
      <c r="N17146" s="28"/>
      <c r="O17146" s="28"/>
      <c r="U17146" s="28"/>
    </row>
    <row r="17147">
      <c r="N17147" s="28"/>
      <c r="O17147" s="28"/>
      <c r="U17147" s="28"/>
    </row>
    <row r="17148">
      <c r="N17148" s="28"/>
      <c r="O17148" s="28"/>
      <c r="U17148" s="28"/>
    </row>
    <row r="17149">
      <c r="N17149" s="28"/>
      <c r="O17149" s="28"/>
      <c r="U17149" s="28"/>
    </row>
    <row r="17150">
      <c r="N17150" s="28"/>
      <c r="O17150" s="28"/>
      <c r="U17150" s="28"/>
    </row>
    <row r="17151">
      <c r="N17151" s="28"/>
      <c r="O17151" s="28"/>
      <c r="U17151" s="28"/>
    </row>
    <row r="17152">
      <c r="N17152" s="28"/>
      <c r="O17152" s="28"/>
      <c r="U17152" s="28"/>
    </row>
    <row r="17153">
      <c r="N17153" s="28"/>
      <c r="O17153" s="28"/>
      <c r="U17153" s="28"/>
    </row>
    <row r="17154">
      <c r="N17154" s="28"/>
      <c r="O17154" s="28"/>
      <c r="U17154" s="28"/>
    </row>
    <row r="17155">
      <c r="N17155" s="28"/>
      <c r="O17155" s="28"/>
      <c r="U17155" s="28"/>
    </row>
    <row r="17156">
      <c r="N17156" s="28"/>
      <c r="O17156" s="28"/>
      <c r="U17156" s="28"/>
    </row>
    <row r="17157">
      <c r="N17157" s="28"/>
      <c r="O17157" s="28"/>
      <c r="U17157" s="28"/>
    </row>
    <row r="17158">
      <c r="N17158" s="28"/>
      <c r="O17158" s="28"/>
      <c r="U17158" s="28"/>
    </row>
    <row r="17159">
      <c r="N17159" s="28"/>
      <c r="O17159" s="28"/>
      <c r="U17159" s="28"/>
    </row>
    <row r="17160">
      <c r="N17160" s="28"/>
      <c r="O17160" s="28"/>
      <c r="U17160" s="28"/>
    </row>
    <row r="17161">
      <c r="N17161" s="28"/>
      <c r="O17161" s="28"/>
      <c r="U17161" s="28"/>
    </row>
    <row r="17162">
      <c r="N17162" s="28"/>
      <c r="O17162" s="28"/>
      <c r="U17162" s="28"/>
    </row>
    <row r="17163">
      <c r="N17163" s="28"/>
      <c r="O17163" s="28"/>
      <c r="U17163" s="28"/>
    </row>
    <row r="17164">
      <c r="N17164" s="28"/>
      <c r="O17164" s="28"/>
      <c r="U17164" s="28"/>
    </row>
    <row r="17165">
      <c r="N17165" s="28"/>
      <c r="O17165" s="28"/>
      <c r="U17165" s="28"/>
    </row>
    <row r="17166">
      <c r="N17166" s="28"/>
      <c r="O17166" s="28"/>
      <c r="U17166" s="28"/>
    </row>
    <row r="17167">
      <c r="N17167" s="28"/>
      <c r="O17167" s="28"/>
      <c r="U17167" s="28"/>
    </row>
    <row r="17168">
      <c r="N17168" s="28"/>
      <c r="O17168" s="28"/>
      <c r="U17168" s="28"/>
    </row>
    <row r="17169">
      <c r="N17169" s="28"/>
      <c r="O17169" s="28"/>
      <c r="U17169" s="28"/>
    </row>
    <row r="17170">
      <c r="N17170" s="28"/>
      <c r="O17170" s="28"/>
      <c r="U17170" s="28"/>
    </row>
    <row r="17171">
      <c r="N17171" s="28"/>
      <c r="O17171" s="28"/>
      <c r="U17171" s="28"/>
    </row>
    <row r="17172">
      <c r="N17172" s="28"/>
      <c r="O17172" s="28"/>
      <c r="U17172" s="28"/>
    </row>
    <row r="17173">
      <c r="N17173" s="28"/>
      <c r="O17173" s="28"/>
      <c r="U17173" s="28"/>
    </row>
    <row r="17174">
      <c r="N17174" s="28"/>
      <c r="O17174" s="28"/>
      <c r="U17174" s="28"/>
    </row>
    <row r="17175">
      <c r="N17175" s="28"/>
      <c r="O17175" s="28"/>
      <c r="U17175" s="28"/>
    </row>
    <row r="17176">
      <c r="N17176" s="28"/>
      <c r="O17176" s="28"/>
      <c r="U17176" s="28"/>
    </row>
    <row r="17177">
      <c r="N17177" s="28"/>
      <c r="O17177" s="28"/>
      <c r="U17177" s="28"/>
    </row>
    <row r="17178">
      <c r="N17178" s="28"/>
      <c r="O17178" s="28"/>
      <c r="U17178" s="28"/>
    </row>
    <row r="17179">
      <c r="N17179" s="28"/>
      <c r="O17179" s="28"/>
      <c r="U17179" s="28"/>
    </row>
    <row r="17180">
      <c r="N17180" s="28"/>
      <c r="O17180" s="28"/>
      <c r="U17180" s="28"/>
    </row>
    <row r="17181">
      <c r="N17181" s="28"/>
      <c r="O17181" s="28"/>
      <c r="U17181" s="28"/>
    </row>
    <row r="17182">
      <c r="N17182" s="28"/>
      <c r="O17182" s="28"/>
      <c r="U17182" s="28"/>
    </row>
    <row r="17183">
      <c r="N17183" s="28"/>
      <c r="O17183" s="28"/>
      <c r="U17183" s="28"/>
    </row>
    <row r="17184">
      <c r="N17184" s="28"/>
      <c r="O17184" s="28"/>
      <c r="U17184" s="28"/>
    </row>
    <row r="17185">
      <c r="N17185" s="28"/>
      <c r="O17185" s="28"/>
      <c r="U17185" s="28"/>
    </row>
    <row r="17186">
      <c r="N17186" s="28"/>
      <c r="O17186" s="28"/>
      <c r="U17186" s="28"/>
    </row>
    <row r="17187">
      <c r="N17187" s="28"/>
      <c r="O17187" s="28"/>
      <c r="U17187" s="28"/>
    </row>
    <row r="17188">
      <c r="N17188" s="28"/>
      <c r="O17188" s="28"/>
      <c r="U17188" s="28"/>
    </row>
    <row r="17189">
      <c r="N17189" s="28"/>
      <c r="O17189" s="28"/>
      <c r="U17189" s="28"/>
    </row>
    <row r="17190">
      <c r="N17190" s="28"/>
      <c r="O17190" s="28"/>
      <c r="U17190" s="28"/>
    </row>
    <row r="17191">
      <c r="N17191" s="28"/>
      <c r="O17191" s="28"/>
      <c r="U17191" s="28"/>
    </row>
    <row r="17192">
      <c r="N17192" s="28"/>
      <c r="O17192" s="28"/>
      <c r="U17192" s="28"/>
    </row>
    <row r="17193">
      <c r="N17193" s="28"/>
      <c r="O17193" s="28"/>
      <c r="U17193" s="28"/>
    </row>
    <row r="17194">
      <c r="N17194" s="28"/>
      <c r="O17194" s="28"/>
      <c r="U17194" s="28"/>
    </row>
    <row r="17195">
      <c r="N17195" s="28"/>
      <c r="O17195" s="28"/>
      <c r="U17195" s="28"/>
    </row>
    <row r="17196">
      <c r="N17196" s="28"/>
      <c r="O17196" s="28"/>
      <c r="U17196" s="28"/>
    </row>
    <row r="17197">
      <c r="N17197" s="28"/>
      <c r="O17197" s="28"/>
      <c r="U17197" s="28"/>
    </row>
    <row r="17198">
      <c r="N17198" s="28"/>
      <c r="O17198" s="28"/>
      <c r="U17198" s="28"/>
    </row>
    <row r="17199">
      <c r="N17199" s="28"/>
      <c r="O17199" s="28"/>
      <c r="U17199" s="28"/>
    </row>
    <row r="17200">
      <c r="N17200" s="28"/>
      <c r="O17200" s="28"/>
      <c r="U17200" s="28"/>
    </row>
    <row r="17201">
      <c r="N17201" s="28"/>
      <c r="O17201" s="28"/>
      <c r="U17201" s="28"/>
    </row>
    <row r="17202">
      <c r="N17202" s="28"/>
      <c r="O17202" s="28"/>
      <c r="U17202" s="28"/>
    </row>
    <row r="17203">
      <c r="N17203" s="28"/>
      <c r="O17203" s="28"/>
      <c r="U17203" s="28"/>
    </row>
    <row r="17204">
      <c r="N17204" s="28"/>
      <c r="O17204" s="28"/>
      <c r="U17204" s="28"/>
    </row>
    <row r="17205">
      <c r="N17205" s="28"/>
      <c r="O17205" s="28"/>
      <c r="U17205" s="28"/>
    </row>
    <row r="17206">
      <c r="N17206" s="28"/>
      <c r="O17206" s="28"/>
      <c r="U17206" s="28"/>
    </row>
    <row r="17207">
      <c r="N17207" s="28"/>
      <c r="O17207" s="28"/>
      <c r="U17207" s="28"/>
    </row>
    <row r="17208">
      <c r="N17208" s="28"/>
      <c r="O17208" s="28"/>
      <c r="U17208" s="28"/>
    </row>
    <row r="17209">
      <c r="N17209" s="28"/>
      <c r="O17209" s="28"/>
      <c r="U17209" s="28"/>
    </row>
    <row r="17210">
      <c r="N17210" s="28"/>
      <c r="O17210" s="28"/>
      <c r="U17210" s="28"/>
    </row>
    <row r="17211">
      <c r="N17211" s="28"/>
      <c r="O17211" s="28"/>
      <c r="U17211" s="28"/>
    </row>
    <row r="17212">
      <c r="N17212" s="28"/>
      <c r="O17212" s="28"/>
      <c r="U17212" s="28"/>
    </row>
    <row r="17213">
      <c r="N17213" s="28"/>
      <c r="O17213" s="28"/>
      <c r="U17213" s="28"/>
    </row>
    <row r="17214">
      <c r="N17214" s="28"/>
      <c r="O17214" s="28"/>
      <c r="U17214" s="28"/>
    </row>
    <row r="17215">
      <c r="N17215" s="28"/>
      <c r="O17215" s="28"/>
      <c r="U17215" s="28"/>
    </row>
    <row r="17216">
      <c r="N17216" s="28"/>
      <c r="O17216" s="28"/>
      <c r="U17216" s="28"/>
    </row>
    <row r="17217">
      <c r="N17217" s="28"/>
      <c r="O17217" s="28"/>
      <c r="U17217" s="28"/>
    </row>
    <row r="17218">
      <c r="N17218" s="28"/>
      <c r="O17218" s="28"/>
      <c r="U17218" s="28"/>
    </row>
    <row r="17219">
      <c r="N17219" s="28"/>
      <c r="O17219" s="28"/>
      <c r="U17219" s="28"/>
    </row>
    <row r="17220">
      <c r="N17220" s="28"/>
      <c r="O17220" s="28"/>
      <c r="U17220" s="28"/>
    </row>
    <row r="17221">
      <c r="N17221" s="28"/>
      <c r="O17221" s="28"/>
      <c r="U17221" s="28"/>
    </row>
    <row r="17222">
      <c r="N17222" s="28"/>
      <c r="O17222" s="28"/>
      <c r="U17222" s="28"/>
    </row>
    <row r="17223">
      <c r="N17223" s="28"/>
      <c r="O17223" s="28"/>
      <c r="U17223" s="28"/>
    </row>
    <row r="17224">
      <c r="N17224" s="28"/>
      <c r="O17224" s="28"/>
      <c r="U17224" s="28"/>
    </row>
    <row r="17225">
      <c r="N17225" s="28"/>
      <c r="O17225" s="28"/>
      <c r="U17225" s="28"/>
    </row>
    <row r="17226">
      <c r="N17226" s="28"/>
      <c r="O17226" s="28"/>
      <c r="U17226" s="28"/>
    </row>
    <row r="17227">
      <c r="N17227" s="28"/>
      <c r="O17227" s="28"/>
      <c r="U17227" s="28"/>
    </row>
    <row r="17228">
      <c r="N17228" s="28"/>
      <c r="O17228" s="28"/>
      <c r="U17228" s="28"/>
    </row>
    <row r="17229">
      <c r="N17229" s="28"/>
      <c r="O17229" s="28"/>
      <c r="U17229" s="28"/>
    </row>
    <row r="17230">
      <c r="N17230" s="28"/>
      <c r="O17230" s="28"/>
      <c r="U17230" s="28"/>
    </row>
    <row r="17231">
      <c r="N17231" s="28"/>
      <c r="O17231" s="28"/>
      <c r="U17231" s="28"/>
    </row>
    <row r="17232">
      <c r="N17232" s="28"/>
      <c r="O17232" s="28"/>
      <c r="U17232" s="28"/>
    </row>
    <row r="17233">
      <c r="N17233" s="28"/>
      <c r="O17233" s="28"/>
      <c r="U17233" s="28"/>
    </row>
    <row r="17234">
      <c r="N17234" s="28"/>
      <c r="O17234" s="28"/>
      <c r="U17234" s="28"/>
    </row>
    <row r="17235">
      <c r="N17235" s="28"/>
      <c r="O17235" s="28"/>
      <c r="U17235" s="28"/>
    </row>
    <row r="17236">
      <c r="N17236" s="28"/>
      <c r="O17236" s="28"/>
      <c r="U17236" s="28"/>
    </row>
    <row r="17237">
      <c r="N17237" s="28"/>
      <c r="O17237" s="28"/>
      <c r="U17237" s="28"/>
    </row>
    <row r="17238">
      <c r="N17238" s="28"/>
      <c r="O17238" s="28"/>
      <c r="U17238" s="28"/>
    </row>
    <row r="17239">
      <c r="N17239" s="28"/>
      <c r="O17239" s="28"/>
      <c r="U17239" s="28"/>
    </row>
    <row r="17240">
      <c r="N17240" s="28"/>
      <c r="O17240" s="28"/>
      <c r="U17240" s="28"/>
    </row>
    <row r="17241">
      <c r="N17241" s="28"/>
      <c r="O17241" s="28"/>
      <c r="U17241" s="28"/>
    </row>
    <row r="17242">
      <c r="N17242" s="28"/>
      <c r="O17242" s="28"/>
      <c r="U17242" s="28"/>
    </row>
    <row r="17243">
      <c r="N17243" s="28"/>
      <c r="O17243" s="28"/>
      <c r="U17243" s="28"/>
    </row>
    <row r="17244">
      <c r="N17244" s="28"/>
      <c r="O17244" s="28"/>
      <c r="U17244" s="28"/>
    </row>
    <row r="17245">
      <c r="N17245" s="28"/>
      <c r="O17245" s="28"/>
      <c r="U17245" s="28"/>
    </row>
    <row r="17246">
      <c r="N17246" s="28"/>
      <c r="O17246" s="28"/>
      <c r="U17246" s="28"/>
    </row>
    <row r="17247">
      <c r="N17247" s="28"/>
      <c r="O17247" s="28"/>
      <c r="U17247" s="28"/>
    </row>
    <row r="17248">
      <c r="N17248" s="28"/>
      <c r="O17248" s="28"/>
      <c r="U17248" s="28"/>
    </row>
    <row r="17249">
      <c r="N17249" s="28"/>
      <c r="O17249" s="28"/>
      <c r="U17249" s="28"/>
    </row>
    <row r="17250">
      <c r="N17250" s="28"/>
      <c r="O17250" s="28"/>
      <c r="U17250" s="28"/>
    </row>
    <row r="17251">
      <c r="N17251" s="28"/>
      <c r="O17251" s="28"/>
      <c r="U17251" s="28"/>
    </row>
    <row r="17252">
      <c r="N17252" s="28"/>
      <c r="O17252" s="28"/>
      <c r="U17252" s="28"/>
    </row>
    <row r="17253">
      <c r="N17253" s="28"/>
      <c r="O17253" s="28"/>
      <c r="U17253" s="28"/>
    </row>
    <row r="17254">
      <c r="N17254" s="28"/>
      <c r="O17254" s="28"/>
      <c r="U17254" s="28"/>
    </row>
    <row r="17255">
      <c r="N17255" s="28"/>
      <c r="O17255" s="28"/>
      <c r="U17255" s="28"/>
    </row>
    <row r="17256">
      <c r="N17256" s="28"/>
      <c r="O17256" s="28"/>
      <c r="U17256" s="28"/>
    </row>
    <row r="17257">
      <c r="N17257" s="28"/>
      <c r="O17257" s="28"/>
      <c r="U17257" s="28"/>
    </row>
    <row r="17258">
      <c r="N17258" s="28"/>
      <c r="O17258" s="28"/>
      <c r="U17258" s="28"/>
    </row>
    <row r="17259">
      <c r="N17259" s="28"/>
      <c r="O17259" s="28"/>
      <c r="U17259" s="28"/>
    </row>
    <row r="17260">
      <c r="N17260" s="28"/>
      <c r="O17260" s="28"/>
      <c r="U17260" s="28"/>
    </row>
    <row r="17261">
      <c r="N17261" s="28"/>
      <c r="O17261" s="28"/>
      <c r="U17261" s="28"/>
    </row>
    <row r="17262">
      <c r="N17262" s="28"/>
      <c r="O17262" s="28"/>
      <c r="U17262" s="28"/>
    </row>
    <row r="17263">
      <c r="N17263" s="28"/>
      <c r="O17263" s="28"/>
      <c r="U17263" s="28"/>
    </row>
    <row r="17264">
      <c r="N17264" s="28"/>
      <c r="O17264" s="28"/>
      <c r="U17264" s="28"/>
    </row>
    <row r="17265">
      <c r="N17265" s="28"/>
      <c r="O17265" s="28"/>
      <c r="U17265" s="28"/>
    </row>
    <row r="17266">
      <c r="N17266" s="28"/>
      <c r="O17266" s="28"/>
      <c r="U17266" s="28"/>
    </row>
    <row r="17267">
      <c r="N17267" s="28"/>
      <c r="O17267" s="28"/>
      <c r="U17267" s="28"/>
    </row>
    <row r="17268">
      <c r="N17268" s="28"/>
      <c r="O17268" s="28"/>
      <c r="U17268" s="28"/>
    </row>
    <row r="17269">
      <c r="N17269" s="28"/>
      <c r="O17269" s="28"/>
      <c r="U17269" s="28"/>
    </row>
    <row r="17270">
      <c r="N17270" s="28"/>
      <c r="O17270" s="28"/>
      <c r="U17270" s="28"/>
    </row>
    <row r="17271">
      <c r="N17271" s="28"/>
      <c r="O17271" s="28"/>
      <c r="U17271" s="28"/>
    </row>
    <row r="17272">
      <c r="N17272" s="28"/>
      <c r="O17272" s="28"/>
      <c r="U17272" s="28"/>
    </row>
    <row r="17273">
      <c r="N17273" s="28"/>
      <c r="O17273" s="28"/>
      <c r="U17273" s="28"/>
    </row>
    <row r="17274">
      <c r="N17274" s="28"/>
      <c r="O17274" s="28"/>
      <c r="U17274" s="28"/>
    </row>
    <row r="17275">
      <c r="N17275" s="28"/>
      <c r="O17275" s="28"/>
      <c r="U17275" s="28"/>
    </row>
    <row r="17276">
      <c r="N17276" s="28"/>
      <c r="O17276" s="28"/>
      <c r="U17276" s="28"/>
    </row>
    <row r="17277">
      <c r="N17277" s="28"/>
      <c r="O17277" s="28"/>
      <c r="U17277" s="28"/>
    </row>
    <row r="17278">
      <c r="N17278" s="28"/>
      <c r="O17278" s="28"/>
      <c r="U17278" s="28"/>
    </row>
    <row r="17279">
      <c r="N17279" s="28"/>
      <c r="O17279" s="28"/>
      <c r="U17279" s="28"/>
    </row>
    <row r="17280">
      <c r="N17280" s="28"/>
      <c r="O17280" s="28"/>
      <c r="U17280" s="28"/>
    </row>
    <row r="17281">
      <c r="N17281" s="28"/>
      <c r="O17281" s="28"/>
      <c r="U17281" s="28"/>
    </row>
    <row r="17282">
      <c r="N17282" s="28"/>
      <c r="O17282" s="28"/>
      <c r="U17282" s="28"/>
    </row>
    <row r="17283">
      <c r="N17283" s="28"/>
      <c r="O17283" s="28"/>
      <c r="U17283" s="28"/>
    </row>
    <row r="17284">
      <c r="N17284" s="28"/>
      <c r="O17284" s="28"/>
      <c r="U17284" s="28"/>
    </row>
    <row r="17285">
      <c r="N17285" s="28"/>
      <c r="O17285" s="28"/>
      <c r="U17285" s="28"/>
    </row>
    <row r="17286">
      <c r="N17286" s="28"/>
      <c r="O17286" s="28"/>
      <c r="U17286" s="28"/>
    </row>
    <row r="17287">
      <c r="N17287" s="28"/>
      <c r="O17287" s="28"/>
      <c r="U17287" s="28"/>
    </row>
    <row r="17288">
      <c r="N17288" s="28"/>
      <c r="O17288" s="28"/>
      <c r="U17288" s="28"/>
    </row>
    <row r="17289">
      <c r="N17289" s="28"/>
      <c r="O17289" s="28"/>
      <c r="U17289" s="28"/>
    </row>
    <row r="17290">
      <c r="N17290" s="28"/>
      <c r="O17290" s="28"/>
      <c r="U17290" s="28"/>
    </row>
    <row r="17291">
      <c r="N17291" s="28"/>
      <c r="O17291" s="28"/>
      <c r="U17291" s="28"/>
    </row>
    <row r="17292">
      <c r="N17292" s="28"/>
      <c r="O17292" s="28"/>
      <c r="U17292" s="28"/>
    </row>
    <row r="17293">
      <c r="N17293" s="28"/>
      <c r="O17293" s="28"/>
      <c r="U17293" s="28"/>
    </row>
    <row r="17294">
      <c r="N17294" s="28"/>
      <c r="O17294" s="28"/>
      <c r="U17294" s="28"/>
    </row>
    <row r="17295">
      <c r="N17295" s="28"/>
      <c r="O17295" s="28"/>
      <c r="U17295" s="28"/>
    </row>
    <row r="17296">
      <c r="N17296" s="28"/>
      <c r="O17296" s="28"/>
      <c r="U17296" s="28"/>
    </row>
    <row r="17297">
      <c r="N17297" s="28"/>
      <c r="O17297" s="28"/>
      <c r="U17297" s="28"/>
    </row>
    <row r="17298">
      <c r="N17298" s="28"/>
      <c r="O17298" s="28"/>
      <c r="U17298" s="28"/>
    </row>
    <row r="17299">
      <c r="N17299" s="28"/>
      <c r="O17299" s="28"/>
      <c r="U17299" s="28"/>
    </row>
    <row r="17300">
      <c r="N17300" s="28"/>
      <c r="O17300" s="28"/>
      <c r="U17300" s="28"/>
    </row>
    <row r="17301">
      <c r="N17301" s="28"/>
      <c r="O17301" s="28"/>
      <c r="U17301" s="28"/>
    </row>
    <row r="17302">
      <c r="N17302" s="28"/>
      <c r="O17302" s="28"/>
      <c r="U17302" s="28"/>
    </row>
    <row r="17303">
      <c r="N17303" s="28"/>
      <c r="O17303" s="28"/>
      <c r="U17303" s="28"/>
    </row>
    <row r="17304">
      <c r="N17304" s="28"/>
      <c r="O17304" s="28"/>
      <c r="U17304" s="28"/>
    </row>
    <row r="17305">
      <c r="N17305" s="28"/>
      <c r="O17305" s="28"/>
      <c r="U17305" s="28"/>
    </row>
    <row r="17306">
      <c r="N17306" s="28"/>
      <c r="O17306" s="28"/>
      <c r="U17306" s="28"/>
    </row>
    <row r="17307">
      <c r="N17307" s="28"/>
      <c r="O17307" s="28"/>
      <c r="U17307" s="28"/>
    </row>
    <row r="17308">
      <c r="N17308" s="28"/>
      <c r="O17308" s="28"/>
      <c r="U17308" s="28"/>
    </row>
    <row r="17309">
      <c r="N17309" s="28"/>
      <c r="O17309" s="28"/>
      <c r="U17309" s="28"/>
    </row>
    <row r="17310">
      <c r="N17310" s="28"/>
      <c r="O17310" s="28"/>
      <c r="U17310" s="28"/>
    </row>
    <row r="17311">
      <c r="N17311" s="28"/>
      <c r="O17311" s="28"/>
      <c r="U17311" s="28"/>
    </row>
    <row r="17312">
      <c r="N17312" s="28"/>
      <c r="O17312" s="28"/>
      <c r="U17312" s="28"/>
    </row>
    <row r="17313">
      <c r="N17313" s="28"/>
      <c r="O17313" s="28"/>
      <c r="U17313" s="28"/>
    </row>
    <row r="17314">
      <c r="N17314" s="28"/>
      <c r="O17314" s="28"/>
      <c r="U17314" s="28"/>
    </row>
    <row r="17315">
      <c r="N17315" s="28"/>
      <c r="O17315" s="28"/>
      <c r="U17315" s="28"/>
    </row>
    <row r="17316">
      <c r="N17316" s="28"/>
      <c r="O17316" s="28"/>
      <c r="U17316" s="28"/>
    </row>
    <row r="17317">
      <c r="N17317" s="28"/>
      <c r="O17317" s="28"/>
      <c r="U17317" s="28"/>
    </row>
    <row r="17318">
      <c r="N17318" s="28"/>
      <c r="O17318" s="28"/>
      <c r="U17318" s="28"/>
    </row>
    <row r="17319">
      <c r="N17319" s="28"/>
      <c r="O17319" s="28"/>
      <c r="U17319" s="28"/>
    </row>
    <row r="17320">
      <c r="N17320" s="28"/>
      <c r="O17320" s="28"/>
      <c r="U17320" s="28"/>
    </row>
    <row r="17321">
      <c r="N17321" s="28"/>
      <c r="O17321" s="28"/>
      <c r="U17321" s="28"/>
    </row>
    <row r="17322">
      <c r="N17322" s="28"/>
      <c r="O17322" s="28"/>
      <c r="U17322" s="28"/>
    </row>
    <row r="17323">
      <c r="N17323" s="28"/>
      <c r="O17323" s="28"/>
      <c r="U17323" s="28"/>
    </row>
    <row r="17324">
      <c r="N17324" s="28"/>
      <c r="O17324" s="28"/>
      <c r="U17324" s="28"/>
    </row>
    <row r="17325">
      <c r="N17325" s="28"/>
      <c r="O17325" s="28"/>
      <c r="U17325" s="28"/>
    </row>
    <row r="17326">
      <c r="N17326" s="28"/>
      <c r="O17326" s="28"/>
      <c r="U17326" s="28"/>
    </row>
    <row r="17327">
      <c r="N17327" s="28"/>
      <c r="O17327" s="28"/>
      <c r="U17327" s="28"/>
    </row>
    <row r="17328">
      <c r="N17328" s="28"/>
      <c r="O17328" s="28"/>
      <c r="U17328" s="28"/>
    </row>
    <row r="17329">
      <c r="N17329" s="28"/>
      <c r="O17329" s="28"/>
      <c r="U17329" s="28"/>
    </row>
    <row r="17330">
      <c r="N17330" s="28"/>
      <c r="O17330" s="28"/>
      <c r="U17330" s="28"/>
    </row>
    <row r="17331">
      <c r="N17331" s="28"/>
      <c r="O17331" s="28"/>
      <c r="U17331" s="28"/>
    </row>
    <row r="17332">
      <c r="N17332" s="28"/>
      <c r="O17332" s="28"/>
      <c r="U17332" s="28"/>
    </row>
    <row r="17333">
      <c r="N17333" s="28"/>
      <c r="O17333" s="28"/>
      <c r="U17333" s="28"/>
    </row>
    <row r="17334">
      <c r="N17334" s="28"/>
      <c r="O17334" s="28"/>
      <c r="U17334" s="28"/>
    </row>
    <row r="17335">
      <c r="N17335" s="28"/>
      <c r="O17335" s="28"/>
      <c r="U17335" s="28"/>
    </row>
    <row r="17336">
      <c r="N17336" s="28"/>
      <c r="O17336" s="28"/>
      <c r="U17336" s="28"/>
    </row>
    <row r="17337">
      <c r="N17337" s="28"/>
      <c r="O17337" s="28"/>
      <c r="U17337" s="28"/>
    </row>
    <row r="17338">
      <c r="N17338" s="28"/>
      <c r="O17338" s="28"/>
      <c r="U17338" s="28"/>
    </row>
    <row r="17339">
      <c r="N17339" s="28"/>
      <c r="O17339" s="28"/>
      <c r="U17339" s="28"/>
    </row>
    <row r="17340">
      <c r="N17340" s="28"/>
      <c r="O17340" s="28"/>
      <c r="U17340" s="28"/>
    </row>
    <row r="17341">
      <c r="N17341" s="28"/>
      <c r="O17341" s="28"/>
      <c r="U17341" s="28"/>
    </row>
    <row r="17342">
      <c r="N17342" s="28"/>
      <c r="O17342" s="28"/>
      <c r="U17342" s="28"/>
    </row>
    <row r="17343">
      <c r="N17343" s="28"/>
      <c r="O17343" s="28"/>
      <c r="U17343" s="28"/>
    </row>
    <row r="17344">
      <c r="N17344" s="28"/>
      <c r="O17344" s="28"/>
      <c r="U17344" s="28"/>
    </row>
    <row r="17345">
      <c r="N17345" s="28"/>
      <c r="O17345" s="28"/>
      <c r="U17345" s="28"/>
    </row>
    <row r="17346">
      <c r="N17346" s="28"/>
      <c r="O17346" s="28"/>
      <c r="U17346" s="28"/>
    </row>
    <row r="17347">
      <c r="N17347" s="28"/>
      <c r="O17347" s="28"/>
      <c r="U17347" s="28"/>
    </row>
    <row r="17348">
      <c r="N17348" s="28"/>
      <c r="O17348" s="28"/>
      <c r="U17348" s="28"/>
    </row>
    <row r="17349">
      <c r="N17349" s="28"/>
      <c r="O17349" s="28"/>
      <c r="U17349" s="28"/>
    </row>
    <row r="17350">
      <c r="N17350" s="28"/>
      <c r="O17350" s="28"/>
      <c r="U17350" s="28"/>
    </row>
    <row r="17351">
      <c r="N17351" s="28"/>
      <c r="O17351" s="28"/>
      <c r="U17351" s="28"/>
    </row>
    <row r="17352">
      <c r="N17352" s="28"/>
      <c r="O17352" s="28"/>
      <c r="U17352" s="28"/>
    </row>
    <row r="17353">
      <c r="N17353" s="28"/>
      <c r="O17353" s="28"/>
      <c r="U17353" s="28"/>
    </row>
    <row r="17354">
      <c r="N17354" s="28"/>
      <c r="O17354" s="28"/>
      <c r="U17354" s="28"/>
    </row>
    <row r="17355">
      <c r="N17355" s="28"/>
      <c r="O17355" s="28"/>
      <c r="U17355" s="28"/>
    </row>
    <row r="17356">
      <c r="N17356" s="28"/>
      <c r="O17356" s="28"/>
      <c r="U17356" s="28"/>
    </row>
    <row r="17357">
      <c r="N17357" s="28"/>
      <c r="O17357" s="28"/>
      <c r="U17357" s="28"/>
    </row>
    <row r="17358">
      <c r="N17358" s="28"/>
      <c r="O17358" s="28"/>
      <c r="U17358" s="28"/>
    </row>
    <row r="17359">
      <c r="N17359" s="28"/>
      <c r="O17359" s="28"/>
      <c r="U17359" s="28"/>
    </row>
    <row r="17360">
      <c r="N17360" s="28"/>
      <c r="O17360" s="28"/>
      <c r="U17360" s="28"/>
    </row>
    <row r="17361">
      <c r="N17361" s="28"/>
      <c r="O17361" s="28"/>
      <c r="U17361" s="28"/>
    </row>
    <row r="17362">
      <c r="N17362" s="28"/>
      <c r="O17362" s="28"/>
      <c r="U17362" s="28"/>
    </row>
    <row r="17363">
      <c r="N17363" s="28"/>
      <c r="O17363" s="28"/>
      <c r="U17363" s="28"/>
    </row>
    <row r="17364">
      <c r="N17364" s="28"/>
      <c r="O17364" s="28"/>
      <c r="U17364" s="28"/>
    </row>
    <row r="17365">
      <c r="N17365" s="28"/>
      <c r="O17365" s="28"/>
      <c r="U17365" s="28"/>
    </row>
    <row r="17366">
      <c r="N17366" s="28"/>
      <c r="O17366" s="28"/>
      <c r="U17366" s="28"/>
    </row>
    <row r="17367">
      <c r="N17367" s="28"/>
      <c r="O17367" s="28"/>
      <c r="U17367" s="28"/>
    </row>
    <row r="17368">
      <c r="N17368" s="28"/>
      <c r="O17368" s="28"/>
      <c r="U17368" s="28"/>
    </row>
    <row r="17369">
      <c r="N17369" s="28"/>
      <c r="O17369" s="28"/>
      <c r="U17369" s="28"/>
    </row>
    <row r="17370">
      <c r="N17370" s="28"/>
      <c r="O17370" s="28"/>
      <c r="U17370" s="28"/>
    </row>
    <row r="17371">
      <c r="N17371" s="28"/>
      <c r="O17371" s="28"/>
      <c r="U17371" s="28"/>
    </row>
    <row r="17372">
      <c r="N17372" s="28"/>
      <c r="O17372" s="28"/>
      <c r="U17372" s="28"/>
    </row>
    <row r="17373">
      <c r="N17373" s="28"/>
      <c r="O17373" s="28"/>
      <c r="U17373" s="28"/>
    </row>
    <row r="17374">
      <c r="N17374" s="28"/>
      <c r="O17374" s="28"/>
      <c r="U17374" s="28"/>
    </row>
    <row r="17375">
      <c r="N17375" s="28"/>
      <c r="O17375" s="28"/>
      <c r="U17375" s="28"/>
    </row>
    <row r="17376">
      <c r="N17376" s="28"/>
      <c r="O17376" s="28"/>
      <c r="U17376" s="28"/>
    </row>
    <row r="17377">
      <c r="N17377" s="28"/>
      <c r="O17377" s="28"/>
      <c r="U17377" s="28"/>
    </row>
    <row r="17378">
      <c r="N17378" s="28"/>
      <c r="O17378" s="28"/>
      <c r="U17378" s="28"/>
    </row>
    <row r="17379">
      <c r="N17379" s="28"/>
      <c r="O17379" s="28"/>
      <c r="U17379" s="28"/>
    </row>
    <row r="17380">
      <c r="N17380" s="28"/>
      <c r="O17380" s="28"/>
      <c r="U17380" s="28"/>
    </row>
    <row r="17381">
      <c r="N17381" s="28"/>
      <c r="O17381" s="28"/>
      <c r="U17381" s="28"/>
    </row>
    <row r="17382">
      <c r="N17382" s="28"/>
      <c r="O17382" s="28"/>
      <c r="U17382" s="28"/>
    </row>
    <row r="17383">
      <c r="N17383" s="28"/>
      <c r="O17383" s="28"/>
      <c r="U17383" s="28"/>
    </row>
    <row r="17384">
      <c r="N17384" s="28"/>
      <c r="O17384" s="28"/>
      <c r="U17384" s="28"/>
    </row>
    <row r="17385">
      <c r="N17385" s="28"/>
      <c r="O17385" s="28"/>
      <c r="U17385" s="28"/>
    </row>
    <row r="17386">
      <c r="N17386" s="28"/>
      <c r="O17386" s="28"/>
      <c r="U17386" s="28"/>
    </row>
    <row r="17387">
      <c r="N17387" s="28"/>
      <c r="O17387" s="28"/>
      <c r="U17387" s="28"/>
    </row>
    <row r="17388">
      <c r="N17388" s="28"/>
      <c r="O17388" s="28"/>
      <c r="U17388" s="28"/>
    </row>
    <row r="17389">
      <c r="N17389" s="28"/>
      <c r="O17389" s="28"/>
      <c r="U17389" s="28"/>
    </row>
    <row r="17390">
      <c r="N17390" s="28"/>
      <c r="O17390" s="28"/>
      <c r="U17390" s="28"/>
    </row>
    <row r="17391">
      <c r="N17391" s="28"/>
      <c r="O17391" s="28"/>
      <c r="U17391" s="28"/>
    </row>
    <row r="17392">
      <c r="N17392" s="28"/>
      <c r="O17392" s="28"/>
      <c r="U17392" s="28"/>
    </row>
    <row r="17393">
      <c r="N17393" s="28"/>
      <c r="O17393" s="28"/>
      <c r="U17393" s="28"/>
    </row>
    <row r="17394">
      <c r="N17394" s="28"/>
      <c r="O17394" s="28"/>
      <c r="U17394" s="28"/>
    </row>
    <row r="17395">
      <c r="N17395" s="28"/>
      <c r="O17395" s="28"/>
      <c r="U17395" s="28"/>
    </row>
    <row r="17396">
      <c r="N17396" s="28"/>
      <c r="O17396" s="28"/>
      <c r="U17396" s="28"/>
    </row>
    <row r="17397">
      <c r="N17397" s="28"/>
      <c r="O17397" s="28"/>
      <c r="U17397" s="28"/>
    </row>
    <row r="17398">
      <c r="N17398" s="28"/>
      <c r="O17398" s="28"/>
      <c r="U17398" s="28"/>
    </row>
    <row r="17399">
      <c r="N17399" s="28"/>
      <c r="O17399" s="28"/>
      <c r="U17399" s="28"/>
    </row>
    <row r="17400">
      <c r="N17400" s="28"/>
      <c r="O17400" s="28"/>
      <c r="U17400" s="28"/>
    </row>
    <row r="17401">
      <c r="N17401" s="28"/>
      <c r="O17401" s="28"/>
      <c r="U17401" s="28"/>
    </row>
    <row r="17402">
      <c r="N17402" s="28"/>
      <c r="O17402" s="28"/>
      <c r="U17402" s="28"/>
    </row>
    <row r="17403">
      <c r="N17403" s="28"/>
      <c r="O17403" s="28"/>
      <c r="U17403" s="28"/>
    </row>
    <row r="17404">
      <c r="N17404" s="28"/>
      <c r="O17404" s="28"/>
      <c r="U17404" s="28"/>
    </row>
    <row r="17405">
      <c r="N17405" s="28"/>
      <c r="O17405" s="28"/>
      <c r="U17405" s="28"/>
    </row>
    <row r="17406">
      <c r="N17406" s="28"/>
      <c r="O17406" s="28"/>
      <c r="U17406" s="28"/>
    </row>
    <row r="17407">
      <c r="N17407" s="28"/>
      <c r="O17407" s="28"/>
      <c r="U17407" s="28"/>
    </row>
    <row r="17408">
      <c r="N17408" s="28"/>
      <c r="O17408" s="28"/>
      <c r="U17408" s="28"/>
    </row>
    <row r="17409">
      <c r="N17409" s="28"/>
      <c r="O17409" s="28"/>
      <c r="U17409" s="28"/>
    </row>
    <row r="17410">
      <c r="N17410" s="28"/>
      <c r="O17410" s="28"/>
      <c r="U17410" s="28"/>
    </row>
    <row r="17411">
      <c r="N17411" s="28"/>
      <c r="O17411" s="28"/>
      <c r="U17411" s="28"/>
    </row>
    <row r="17412">
      <c r="N17412" s="28"/>
      <c r="O17412" s="28"/>
      <c r="U17412" s="28"/>
    </row>
    <row r="17413">
      <c r="N17413" s="28"/>
      <c r="O17413" s="28"/>
      <c r="U17413" s="28"/>
    </row>
    <row r="17414">
      <c r="N17414" s="28"/>
      <c r="O17414" s="28"/>
      <c r="U17414" s="28"/>
    </row>
    <row r="17415">
      <c r="N17415" s="28"/>
      <c r="O17415" s="28"/>
      <c r="U17415" s="28"/>
    </row>
    <row r="17416">
      <c r="N17416" s="28"/>
      <c r="O17416" s="28"/>
      <c r="U17416" s="28"/>
    </row>
    <row r="17417">
      <c r="N17417" s="28"/>
      <c r="O17417" s="28"/>
      <c r="U17417" s="28"/>
    </row>
    <row r="17418">
      <c r="N17418" s="28"/>
      <c r="O17418" s="28"/>
      <c r="U17418" s="28"/>
    </row>
    <row r="17419">
      <c r="N17419" s="28"/>
      <c r="O17419" s="28"/>
      <c r="U17419" s="28"/>
    </row>
    <row r="17420">
      <c r="N17420" s="28"/>
      <c r="O17420" s="28"/>
      <c r="U17420" s="28"/>
    </row>
    <row r="17421">
      <c r="N17421" s="28"/>
      <c r="O17421" s="28"/>
      <c r="U17421" s="28"/>
    </row>
    <row r="17422">
      <c r="N17422" s="28"/>
      <c r="O17422" s="28"/>
      <c r="U17422" s="28"/>
    </row>
    <row r="17423">
      <c r="N17423" s="28"/>
      <c r="O17423" s="28"/>
      <c r="U17423" s="28"/>
    </row>
    <row r="17424">
      <c r="N17424" s="28"/>
      <c r="O17424" s="28"/>
      <c r="U17424" s="28"/>
    </row>
    <row r="17425">
      <c r="N17425" s="28"/>
      <c r="O17425" s="28"/>
      <c r="U17425" s="28"/>
    </row>
    <row r="17426">
      <c r="N17426" s="28"/>
      <c r="O17426" s="28"/>
      <c r="U17426" s="28"/>
    </row>
    <row r="17427">
      <c r="N17427" s="28"/>
      <c r="O17427" s="28"/>
      <c r="U17427" s="28"/>
    </row>
    <row r="17428">
      <c r="N17428" s="28"/>
      <c r="O17428" s="28"/>
      <c r="U17428" s="28"/>
    </row>
    <row r="17429">
      <c r="N17429" s="28"/>
      <c r="O17429" s="28"/>
      <c r="U17429" s="28"/>
    </row>
    <row r="17430">
      <c r="N17430" s="28"/>
      <c r="O17430" s="28"/>
      <c r="U17430" s="28"/>
    </row>
    <row r="17431">
      <c r="N17431" s="28"/>
      <c r="O17431" s="28"/>
      <c r="U17431" s="28"/>
    </row>
    <row r="17432">
      <c r="N17432" s="28"/>
      <c r="O17432" s="28"/>
      <c r="U17432" s="28"/>
    </row>
    <row r="17433">
      <c r="N17433" s="28"/>
      <c r="O17433" s="28"/>
      <c r="U17433" s="28"/>
    </row>
    <row r="17434">
      <c r="N17434" s="28"/>
      <c r="O17434" s="28"/>
      <c r="U17434" s="28"/>
    </row>
    <row r="17435">
      <c r="N17435" s="28"/>
      <c r="O17435" s="28"/>
      <c r="U17435" s="28"/>
    </row>
    <row r="17436">
      <c r="N17436" s="28"/>
      <c r="O17436" s="28"/>
      <c r="U17436" s="28"/>
    </row>
    <row r="17437">
      <c r="N17437" s="28"/>
      <c r="O17437" s="28"/>
      <c r="U17437" s="28"/>
    </row>
    <row r="17438">
      <c r="N17438" s="28"/>
      <c r="O17438" s="28"/>
      <c r="U17438" s="28"/>
    </row>
    <row r="17439">
      <c r="N17439" s="28"/>
      <c r="O17439" s="28"/>
      <c r="U17439" s="28"/>
    </row>
    <row r="17440">
      <c r="N17440" s="28"/>
      <c r="O17440" s="28"/>
      <c r="U17440" s="28"/>
    </row>
    <row r="17441">
      <c r="N17441" s="28"/>
      <c r="O17441" s="28"/>
      <c r="U17441" s="28"/>
    </row>
    <row r="17442">
      <c r="N17442" s="28"/>
      <c r="O17442" s="28"/>
      <c r="U17442" s="28"/>
    </row>
    <row r="17443">
      <c r="N17443" s="28"/>
      <c r="O17443" s="28"/>
      <c r="U17443" s="28"/>
    </row>
    <row r="17444">
      <c r="N17444" s="28"/>
      <c r="O17444" s="28"/>
      <c r="U17444" s="28"/>
    </row>
    <row r="17445">
      <c r="N17445" s="28"/>
      <c r="O17445" s="28"/>
      <c r="U17445" s="28"/>
    </row>
    <row r="17446">
      <c r="N17446" s="28"/>
      <c r="O17446" s="28"/>
      <c r="U17446" s="28"/>
    </row>
    <row r="17447">
      <c r="N17447" s="28"/>
      <c r="O17447" s="28"/>
      <c r="U17447" s="28"/>
    </row>
    <row r="17448">
      <c r="N17448" s="28"/>
      <c r="O17448" s="28"/>
      <c r="U17448" s="28"/>
    </row>
    <row r="17449">
      <c r="N17449" s="28"/>
      <c r="O17449" s="28"/>
      <c r="U17449" s="28"/>
    </row>
    <row r="17450">
      <c r="N17450" s="28"/>
      <c r="O17450" s="28"/>
      <c r="U17450" s="28"/>
    </row>
    <row r="17451">
      <c r="N17451" s="28"/>
      <c r="O17451" s="28"/>
      <c r="U17451" s="28"/>
    </row>
    <row r="17452">
      <c r="N17452" s="28"/>
      <c r="O17452" s="28"/>
      <c r="U17452" s="28"/>
    </row>
    <row r="17453">
      <c r="N17453" s="28"/>
      <c r="O17453" s="28"/>
      <c r="U17453" s="28"/>
    </row>
    <row r="17454">
      <c r="N17454" s="28"/>
      <c r="O17454" s="28"/>
      <c r="U17454" s="28"/>
    </row>
    <row r="17455">
      <c r="N17455" s="28"/>
      <c r="O17455" s="28"/>
      <c r="U17455" s="28"/>
    </row>
    <row r="17456">
      <c r="N17456" s="28"/>
      <c r="O17456" s="28"/>
      <c r="U17456" s="28"/>
    </row>
    <row r="17457">
      <c r="N17457" s="28"/>
      <c r="O17457" s="28"/>
      <c r="U17457" s="28"/>
    </row>
    <row r="17458">
      <c r="N17458" s="28"/>
      <c r="O17458" s="28"/>
      <c r="U17458" s="28"/>
    </row>
    <row r="17459">
      <c r="N17459" s="28"/>
      <c r="O17459" s="28"/>
      <c r="U17459" s="28"/>
    </row>
    <row r="17460">
      <c r="N17460" s="28"/>
      <c r="O17460" s="28"/>
      <c r="U17460" s="28"/>
    </row>
    <row r="17461">
      <c r="N17461" s="28"/>
      <c r="O17461" s="28"/>
      <c r="U17461" s="28"/>
    </row>
    <row r="17462">
      <c r="N17462" s="28"/>
      <c r="O17462" s="28"/>
      <c r="U17462" s="28"/>
    </row>
    <row r="17463">
      <c r="N17463" s="28"/>
      <c r="O17463" s="28"/>
      <c r="U17463" s="28"/>
    </row>
    <row r="17464">
      <c r="N17464" s="28"/>
      <c r="O17464" s="28"/>
      <c r="U17464" s="28"/>
    </row>
    <row r="17465">
      <c r="N17465" s="28"/>
      <c r="O17465" s="28"/>
      <c r="U17465" s="28"/>
    </row>
    <row r="17466">
      <c r="N17466" s="28"/>
      <c r="O17466" s="28"/>
      <c r="U17466" s="28"/>
    </row>
    <row r="17467">
      <c r="N17467" s="28"/>
      <c r="O17467" s="28"/>
      <c r="U17467" s="28"/>
    </row>
    <row r="17468">
      <c r="N17468" s="28"/>
      <c r="O17468" s="28"/>
      <c r="U17468" s="28"/>
    </row>
    <row r="17469">
      <c r="N17469" s="28"/>
      <c r="O17469" s="28"/>
      <c r="U17469" s="28"/>
    </row>
    <row r="17470">
      <c r="N17470" s="28"/>
      <c r="O17470" s="28"/>
      <c r="U17470" s="28"/>
    </row>
    <row r="17471">
      <c r="N17471" s="28"/>
      <c r="O17471" s="28"/>
      <c r="U17471" s="28"/>
    </row>
    <row r="17472">
      <c r="N17472" s="28"/>
      <c r="O17472" s="28"/>
      <c r="U17472" s="28"/>
    </row>
    <row r="17473">
      <c r="N17473" s="28"/>
      <c r="O17473" s="28"/>
      <c r="U17473" s="28"/>
    </row>
    <row r="17474">
      <c r="N17474" s="28"/>
      <c r="O17474" s="28"/>
      <c r="U17474" s="28"/>
    </row>
    <row r="17475">
      <c r="N17475" s="28"/>
      <c r="O17475" s="28"/>
      <c r="U17475" s="28"/>
    </row>
    <row r="17476">
      <c r="N17476" s="28"/>
      <c r="O17476" s="28"/>
      <c r="U17476" s="28"/>
    </row>
    <row r="17477">
      <c r="N17477" s="28"/>
      <c r="O17477" s="28"/>
      <c r="U17477" s="28"/>
    </row>
    <row r="17478">
      <c r="N17478" s="28"/>
      <c r="O17478" s="28"/>
      <c r="U17478" s="28"/>
    </row>
    <row r="17479">
      <c r="N17479" s="28"/>
      <c r="O17479" s="28"/>
      <c r="U17479" s="28"/>
    </row>
    <row r="17480">
      <c r="N17480" s="28"/>
      <c r="O17480" s="28"/>
      <c r="U17480" s="28"/>
    </row>
    <row r="17481">
      <c r="N17481" s="28"/>
      <c r="O17481" s="28"/>
      <c r="U17481" s="28"/>
    </row>
    <row r="17482">
      <c r="N17482" s="28"/>
      <c r="O17482" s="28"/>
      <c r="U17482" s="28"/>
    </row>
    <row r="17483">
      <c r="N17483" s="28"/>
      <c r="O17483" s="28"/>
      <c r="U17483" s="28"/>
    </row>
    <row r="17484">
      <c r="N17484" s="28"/>
      <c r="O17484" s="28"/>
      <c r="U17484" s="28"/>
    </row>
    <row r="17485">
      <c r="N17485" s="28"/>
      <c r="O17485" s="28"/>
      <c r="U17485" s="28"/>
    </row>
    <row r="17486">
      <c r="N17486" s="28"/>
      <c r="O17486" s="28"/>
      <c r="U17486" s="28"/>
    </row>
    <row r="17487">
      <c r="N17487" s="28"/>
      <c r="O17487" s="28"/>
      <c r="U17487" s="28"/>
    </row>
    <row r="17488">
      <c r="N17488" s="28"/>
      <c r="O17488" s="28"/>
      <c r="U17488" s="28"/>
    </row>
    <row r="17489">
      <c r="N17489" s="28"/>
      <c r="O17489" s="28"/>
      <c r="U17489" s="28"/>
    </row>
    <row r="17490">
      <c r="N17490" s="28"/>
      <c r="O17490" s="28"/>
      <c r="U17490" s="28"/>
    </row>
    <row r="17491">
      <c r="N17491" s="28"/>
      <c r="O17491" s="28"/>
      <c r="U17491" s="28"/>
    </row>
    <row r="17492">
      <c r="N17492" s="28"/>
      <c r="O17492" s="28"/>
      <c r="U17492" s="28"/>
    </row>
    <row r="17493">
      <c r="N17493" s="28"/>
      <c r="O17493" s="28"/>
      <c r="U17493" s="28"/>
    </row>
    <row r="17494">
      <c r="N17494" s="28"/>
      <c r="O17494" s="28"/>
      <c r="U17494" s="28"/>
    </row>
    <row r="17495">
      <c r="N17495" s="28"/>
      <c r="O17495" s="28"/>
      <c r="U17495" s="28"/>
    </row>
    <row r="17496">
      <c r="N17496" s="28"/>
      <c r="O17496" s="28"/>
      <c r="U17496" s="28"/>
    </row>
    <row r="17497">
      <c r="N17497" s="28"/>
      <c r="O17497" s="28"/>
      <c r="U17497" s="28"/>
    </row>
    <row r="17498">
      <c r="N17498" s="28"/>
      <c r="O17498" s="28"/>
      <c r="U17498" s="28"/>
    </row>
    <row r="17499">
      <c r="N17499" s="28"/>
      <c r="O17499" s="28"/>
      <c r="U17499" s="28"/>
    </row>
    <row r="17500">
      <c r="N17500" s="28"/>
      <c r="O17500" s="28"/>
      <c r="U17500" s="28"/>
    </row>
    <row r="17501">
      <c r="N17501" s="28"/>
      <c r="O17501" s="28"/>
      <c r="U17501" s="28"/>
    </row>
    <row r="17502">
      <c r="N17502" s="28"/>
      <c r="O17502" s="28"/>
      <c r="U17502" s="28"/>
    </row>
    <row r="17503">
      <c r="N17503" s="28"/>
      <c r="O17503" s="28"/>
      <c r="U17503" s="28"/>
    </row>
    <row r="17504">
      <c r="N17504" s="28"/>
      <c r="O17504" s="28"/>
      <c r="U17504" s="28"/>
    </row>
    <row r="17505">
      <c r="N17505" s="28"/>
      <c r="O17505" s="28"/>
      <c r="U17505" s="28"/>
    </row>
    <row r="17506">
      <c r="N17506" s="28"/>
      <c r="O17506" s="28"/>
      <c r="U17506" s="28"/>
    </row>
    <row r="17507">
      <c r="N17507" s="28"/>
      <c r="O17507" s="28"/>
      <c r="U17507" s="28"/>
    </row>
    <row r="17508">
      <c r="N17508" s="28"/>
      <c r="O17508" s="28"/>
      <c r="U17508" s="28"/>
    </row>
    <row r="17509">
      <c r="N17509" s="28"/>
      <c r="O17509" s="28"/>
      <c r="U17509" s="28"/>
    </row>
    <row r="17510">
      <c r="N17510" s="28"/>
      <c r="O17510" s="28"/>
      <c r="U17510" s="28"/>
    </row>
    <row r="17511">
      <c r="N17511" s="28"/>
      <c r="O17511" s="28"/>
      <c r="U17511" s="28"/>
    </row>
    <row r="17512">
      <c r="N17512" s="28"/>
      <c r="O17512" s="28"/>
      <c r="U17512" s="28"/>
    </row>
    <row r="17513">
      <c r="N17513" s="28"/>
      <c r="O17513" s="28"/>
      <c r="U17513" s="28"/>
    </row>
    <row r="17514">
      <c r="N17514" s="28"/>
      <c r="O17514" s="28"/>
      <c r="U17514" s="28"/>
    </row>
    <row r="17515">
      <c r="N17515" s="28"/>
      <c r="O17515" s="28"/>
      <c r="U17515" s="28"/>
    </row>
    <row r="17516">
      <c r="N17516" s="28"/>
      <c r="O17516" s="28"/>
      <c r="U17516" s="28"/>
    </row>
    <row r="17517">
      <c r="N17517" s="28"/>
      <c r="O17517" s="28"/>
      <c r="U17517" s="28"/>
    </row>
    <row r="17518">
      <c r="N17518" s="28"/>
      <c r="O17518" s="28"/>
      <c r="U17518" s="28"/>
    </row>
    <row r="17519">
      <c r="N17519" s="28"/>
      <c r="O17519" s="28"/>
      <c r="U17519" s="28"/>
    </row>
    <row r="17520">
      <c r="N17520" s="28"/>
      <c r="O17520" s="28"/>
      <c r="U17520" s="28"/>
    </row>
    <row r="17521">
      <c r="N17521" s="28"/>
      <c r="O17521" s="28"/>
      <c r="U17521" s="28"/>
    </row>
    <row r="17522">
      <c r="N17522" s="28"/>
      <c r="O17522" s="28"/>
      <c r="U17522" s="28"/>
    </row>
    <row r="17523">
      <c r="N17523" s="28"/>
      <c r="O17523" s="28"/>
      <c r="U17523" s="28"/>
    </row>
    <row r="17524">
      <c r="N17524" s="28"/>
      <c r="O17524" s="28"/>
      <c r="U17524" s="28"/>
    </row>
    <row r="17525">
      <c r="N17525" s="28"/>
      <c r="O17525" s="28"/>
      <c r="U17525" s="28"/>
    </row>
    <row r="17526">
      <c r="N17526" s="28"/>
      <c r="O17526" s="28"/>
      <c r="U17526" s="28"/>
    </row>
    <row r="17527">
      <c r="N17527" s="28"/>
      <c r="O17527" s="28"/>
      <c r="U17527" s="28"/>
    </row>
    <row r="17528">
      <c r="N17528" s="28"/>
      <c r="O17528" s="28"/>
      <c r="U17528" s="28"/>
    </row>
    <row r="17529">
      <c r="N17529" s="28"/>
      <c r="O17529" s="28"/>
      <c r="U17529" s="28"/>
    </row>
    <row r="17530">
      <c r="N17530" s="28"/>
      <c r="O17530" s="28"/>
      <c r="U17530" s="28"/>
    </row>
    <row r="17531">
      <c r="N17531" s="28"/>
      <c r="O17531" s="28"/>
      <c r="U17531" s="28"/>
    </row>
    <row r="17532">
      <c r="N17532" s="28"/>
      <c r="O17532" s="28"/>
      <c r="U17532" s="28"/>
    </row>
    <row r="17533">
      <c r="N17533" s="28"/>
      <c r="O17533" s="28"/>
      <c r="U17533" s="28"/>
    </row>
    <row r="17534">
      <c r="N17534" s="28"/>
      <c r="O17534" s="28"/>
      <c r="U17534" s="28"/>
    </row>
    <row r="17535">
      <c r="N17535" s="28"/>
      <c r="O17535" s="28"/>
      <c r="U17535" s="28"/>
    </row>
    <row r="17536">
      <c r="N17536" s="28"/>
      <c r="O17536" s="28"/>
      <c r="U17536" s="28"/>
    </row>
    <row r="17537">
      <c r="N17537" s="28"/>
      <c r="O17537" s="28"/>
      <c r="U17537" s="28"/>
    </row>
    <row r="17538">
      <c r="N17538" s="28"/>
      <c r="O17538" s="28"/>
      <c r="U17538" s="28"/>
    </row>
    <row r="17539">
      <c r="N17539" s="28"/>
      <c r="O17539" s="28"/>
      <c r="U17539" s="28"/>
    </row>
    <row r="17540">
      <c r="N17540" s="28"/>
      <c r="O17540" s="28"/>
      <c r="U17540" s="28"/>
    </row>
    <row r="17541">
      <c r="N17541" s="28"/>
      <c r="O17541" s="28"/>
      <c r="U17541" s="28"/>
    </row>
    <row r="17542">
      <c r="N17542" s="28"/>
      <c r="O17542" s="28"/>
      <c r="U17542" s="28"/>
    </row>
    <row r="17543">
      <c r="N17543" s="28"/>
      <c r="O17543" s="28"/>
      <c r="U17543" s="28"/>
    </row>
    <row r="17544">
      <c r="N17544" s="28"/>
      <c r="O17544" s="28"/>
      <c r="U17544" s="28"/>
    </row>
    <row r="17545">
      <c r="N17545" s="28"/>
      <c r="O17545" s="28"/>
      <c r="U17545" s="28"/>
    </row>
    <row r="17546">
      <c r="N17546" s="28"/>
      <c r="O17546" s="28"/>
      <c r="U17546" s="28"/>
    </row>
    <row r="17547">
      <c r="N17547" s="28"/>
      <c r="O17547" s="28"/>
      <c r="U17547" s="28"/>
    </row>
    <row r="17548">
      <c r="N17548" s="28"/>
      <c r="O17548" s="28"/>
      <c r="U17548" s="28"/>
    </row>
    <row r="17549">
      <c r="N17549" s="28"/>
      <c r="O17549" s="28"/>
      <c r="U17549" s="28"/>
    </row>
    <row r="17550">
      <c r="N17550" s="28"/>
      <c r="O17550" s="28"/>
      <c r="U17550" s="28"/>
    </row>
    <row r="17551">
      <c r="N17551" s="28"/>
      <c r="O17551" s="28"/>
      <c r="U17551" s="28"/>
    </row>
    <row r="17552">
      <c r="N17552" s="28"/>
      <c r="O17552" s="28"/>
      <c r="U17552" s="28"/>
    </row>
    <row r="17553">
      <c r="N17553" s="28"/>
      <c r="O17553" s="28"/>
      <c r="U17553" s="28"/>
    </row>
    <row r="17554">
      <c r="N17554" s="28"/>
      <c r="O17554" s="28"/>
      <c r="U17554" s="28"/>
    </row>
    <row r="17555">
      <c r="N17555" s="28"/>
      <c r="O17555" s="28"/>
      <c r="U17555" s="28"/>
    </row>
    <row r="17556">
      <c r="N17556" s="28"/>
      <c r="O17556" s="28"/>
      <c r="U17556" s="28"/>
    </row>
    <row r="17557">
      <c r="N17557" s="28"/>
      <c r="O17557" s="28"/>
      <c r="U17557" s="28"/>
    </row>
    <row r="17558">
      <c r="N17558" s="28"/>
      <c r="O17558" s="28"/>
      <c r="U17558" s="28"/>
    </row>
    <row r="17559">
      <c r="N17559" s="28"/>
      <c r="O17559" s="28"/>
      <c r="U17559" s="28"/>
    </row>
    <row r="17560">
      <c r="N17560" s="28"/>
      <c r="O17560" s="28"/>
      <c r="U17560" s="28"/>
    </row>
    <row r="17561">
      <c r="N17561" s="28"/>
      <c r="O17561" s="28"/>
      <c r="U17561" s="28"/>
    </row>
    <row r="17562">
      <c r="N17562" s="28"/>
      <c r="O17562" s="28"/>
      <c r="U17562" s="28"/>
    </row>
    <row r="17563">
      <c r="N17563" s="28"/>
      <c r="O17563" s="28"/>
      <c r="U17563" s="28"/>
    </row>
    <row r="17564">
      <c r="N17564" s="28"/>
      <c r="O17564" s="28"/>
      <c r="U17564" s="28"/>
    </row>
    <row r="17565">
      <c r="N17565" s="28"/>
      <c r="O17565" s="28"/>
      <c r="U17565" s="28"/>
    </row>
    <row r="17566">
      <c r="N17566" s="28"/>
      <c r="O17566" s="28"/>
      <c r="U17566" s="28"/>
    </row>
    <row r="17567">
      <c r="N17567" s="28"/>
      <c r="O17567" s="28"/>
      <c r="U17567" s="28"/>
    </row>
    <row r="17568">
      <c r="N17568" s="28"/>
      <c r="O17568" s="28"/>
      <c r="U17568" s="28"/>
    </row>
    <row r="17569">
      <c r="N17569" s="28"/>
      <c r="O17569" s="28"/>
      <c r="U17569" s="28"/>
    </row>
    <row r="17570">
      <c r="N17570" s="28"/>
      <c r="O17570" s="28"/>
      <c r="U17570" s="28"/>
    </row>
    <row r="17571">
      <c r="N17571" s="28"/>
      <c r="O17571" s="28"/>
      <c r="U17571" s="28"/>
    </row>
    <row r="17572">
      <c r="N17572" s="28"/>
      <c r="O17572" s="28"/>
      <c r="U17572" s="28"/>
    </row>
    <row r="17573">
      <c r="N17573" s="28"/>
      <c r="O17573" s="28"/>
      <c r="U17573" s="28"/>
    </row>
    <row r="17574">
      <c r="N17574" s="28"/>
      <c r="O17574" s="28"/>
      <c r="U17574" s="28"/>
    </row>
    <row r="17575">
      <c r="N17575" s="28"/>
      <c r="O17575" s="28"/>
      <c r="U17575" s="28"/>
    </row>
    <row r="17576">
      <c r="N17576" s="28"/>
      <c r="O17576" s="28"/>
      <c r="U17576" s="28"/>
    </row>
    <row r="17577">
      <c r="N17577" s="28"/>
      <c r="O17577" s="28"/>
      <c r="U17577" s="28"/>
    </row>
    <row r="17578">
      <c r="N17578" s="28"/>
      <c r="O17578" s="28"/>
      <c r="U17578" s="28"/>
    </row>
    <row r="17579">
      <c r="N17579" s="28"/>
      <c r="O17579" s="28"/>
      <c r="U17579" s="28"/>
    </row>
    <row r="17580">
      <c r="N17580" s="28"/>
      <c r="O17580" s="28"/>
      <c r="U17580" s="28"/>
    </row>
    <row r="17581">
      <c r="N17581" s="28"/>
      <c r="O17581" s="28"/>
      <c r="U17581" s="28"/>
    </row>
    <row r="17582">
      <c r="N17582" s="28"/>
      <c r="O17582" s="28"/>
      <c r="U17582" s="28"/>
    </row>
    <row r="17583">
      <c r="N17583" s="28"/>
      <c r="O17583" s="28"/>
      <c r="U17583" s="28"/>
    </row>
    <row r="17584">
      <c r="N17584" s="28"/>
      <c r="O17584" s="28"/>
      <c r="U17584" s="28"/>
    </row>
    <row r="17585">
      <c r="N17585" s="28"/>
      <c r="O17585" s="28"/>
      <c r="U17585" s="28"/>
    </row>
    <row r="17586">
      <c r="N17586" s="28"/>
      <c r="O17586" s="28"/>
      <c r="U17586" s="28"/>
    </row>
    <row r="17587">
      <c r="N17587" s="28"/>
      <c r="O17587" s="28"/>
      <c r="U17587" s="28"/>
    </row>
    <row r="17588">
      <c r="N17588" s="28"/>
      <c r="O17588" s="28"/>
      <c r="U17588" s="28"/>
    </row>
    <row r="17589">
      <c r="N17589" s="28"/>
      <c r="O17589" s="28"/>
      <c r="U17589" s="28"/>
    </row>
    <row r="17590">
      <c r="N17590" s="28"/>
      <c r="O17590" s="28"/>
      <c r="U17590" s="28"/>
    </row>
    <row r="17591">
      <c r="N17591" s="28"/>
      <c r="O17591" s="28"/>
      <c r="U17591" s="28"/>
    </row>
    <row r="17592">
      <c r="N17592" s="28"/>
      <c r="O17592" s="28"/>
      <c r="U17592" s="28"/>
    </row>
    <row r="17593">
      <c r="N17593" s="28"/>
      <c r="O17593" s="28"/>
      <c r="U17593" s="28"/>
    </row>
    <row r="17594">
      <c r="N17594" s="28"/>
      <c r="O17594" s="28"/>
      <c r="U17594" s="28"/>
    </row>
    <row r="17595">
      <c r="N17595" s="28"/>
      <c r="O17595" s="28"/>
      <c r="U17595" s="28"/>
    </row>
    <row r="17596">
      <c r="N17596" s="28"/>
      <c r="O17596" s="28"/>
      <c r="U17596" s="28"/>
    </row>
    <row r="17597">
      <c r="N17597" s="28"/>
      <c r="O17597" s="28"/>
      <c r="U17597" s="28"/>
    </row>
    <row r="17598">
      <c r="N17598" s="28"/>
      <c r="O17598" s="28"/>
      <c r="U17598" s="28"/>
    </row>
    <row r="17599">
      <c r="N17599" s="28"/>
      <c r="O17599" s="28"/>
      <c r="U17599" s="28"/>
    </row>
    <row r="17600">
      <c r="N17600" s="28"/>
      <c r="O17600" s="28"/>
      <c r="U17600" s="28"/>
    </row>
    <row r="17601">
      <c r="N17601" s="28"/>
      <c r="O17601" s="28"/>
      <c r="U17601" s="28"/>
    </row>
    <row r="17602">
      <c r="N17602" s="28"/>
      <c r="O17602" s="28"/>
      <c r="U17602" s="28"/>
    </row>
    <row r="17603">
      <c r="N17603" s="28"/>
      <c r="O17603" s="28"/>
      <c r="U17603" s="28"/>
    </row>
    <row r="17604">
      <c r="N17604" s="28"/>
      <c r="O17604" s="28"/>
      <c r="U17604" s="28"/>
    </row>
    <row r="17605">
      <c r="N17605" s="28"/>
      <c r="O17605" s="28"/>
      <c r="U17605" s="28"/>
    </row>
    <row r="17606">
      <c r="N17606" s="28"/>
      <c r="O17606" s="28"/>
      <c r="U17606" s="28"/>
    </row>
    <row r="17607">
      <c r="N17607" s="28"/>
      <c r="O17607" s="28"/>
      <c r="U17607" s="28"/>
    </row>
    <row r="17608">
      <c r="N17608" s="28"/>
      <c r="O17608" s="28"/>
      <c r="U17608" s="28"/>
    </row>
    <row r="17609">
      <c r="N17609" s="28"/>
      <c r="O17609" s="28"/>
      <c r="U17609" s="28"/>
    </row>
    <row r="17610">
      <c r="N17610" s="28"/>
      <c r="O17610" s="28"/>
      <c r="U17610" s="28"/>
    </row>
    <row r="17611">
      <c r="N17611" s="28"/>
      <c r="O17611" s="28"/>
      <c r="U17611" s="28"/>
    </row>
    <row r="17612">
      <c r="N17612" s="28"/>
      <c r="O17612" s="28"/>
      <c r="U17612" s="28"/>
    </row>
    <row r="17613">
      <c r="N17613" s="28"/>
      <c r="O17613" s="28"/>
      <c r="U17613" s="28"/>
    </row>
    <row r="17614">
      <c r="N17614" s="28"/>
      <c r="O17614" s="28"/>
      <c r="U17614" s="28"/>
    </row>
    <row r="17615">
      <c r="N17615" s="28"/>
      <c r="O17615" s="28"/>
      <c r="U17615" s="28"/>
    </row>
    <row r="17616">
      <c r="N17616" s="28"/>
      <c r="O17616" s="28"/>
      <c r="U17616" s="28"/>
    </row>
    <row r="17617">
      <c r="N17617" s="28"/>
      <c r="O17617" s="28"/>
      <c r="U17617" s="28"/>
    </row>
    <row r="17618">
      <c r="N17618" s="28"/>
      <c r="O17618" s="28"/>
      <c r="U17618" s="28"/>
    </row>
    <row r="17619">
      <c r="N17619" s="28"/>
      <c r="O17619" s="28"/>
      <c r="U17619" s="28"/>
    </row>
    <row r="17620">
      <c r="N17620" s="28"/>
      <c r="O17620" s="28"/>
      <c r="U17620" s="28"/>
    </row>
    <row r="17621">
      <c r="N17621" s="28"/>
      <c r="O17621" s="28"/>
      <c r="U17621" s="28"/>
    </row>
    <row r="17622">
      <c r="N17622" s="28"/>
      <c r="O17622" s="28"/>
      <c r="U17622" s="28"/>
    </row>
    <row r="17623">
      <c r="N17623" s="28"/>
      <c r="O17623" s="28"/>
      <c r="U17623" s="28"/>
    </row>
    <row r="17624">
      <c r="N17624" s="28"/>
      <c r="O17624" s="28"/>
      <c r="U17624" s="28"/>
    </row>
    <row r="17625">
      <c r="N17625" s="28"/>
      <c r="O17625" s="28"/>
      <c r="U17625" s="28"/>
    </row>
    <row r="17626">
      <c r="N17626" s="28"/>
      <c r="O17626" s="28"/>
      <c r="U17626" s="28"/>
    </row>
    <row r="17627">
      <c r="N17627" s="28"/>
      <c r="O17627" s="28"/>
      <c r="U17627" s="28"/>
    </row>
    <row r="17628">
      <c r="N17628" s="28"/>
      <c r="O17628" s="28"/>
      <c r="U17628" s="28"/>
    </row>
    <row r="17629">
      <c r="N17629" s="28"/>
      <c r="O17629" s="28"/>
      <c r="U17629" s="28"/>
    </row>
    <row r="17630">
      <c r="N17630" s="28"/>
      <c r="O17630" s="28"/>
      <c r="U17630" s="28"/>
    </row>
    <row r="17631">
      <c r="N17631" s="28"/>
      <c r="O17631" s="28"/>
      <c r="U17631" s="28"/>
    </row>
    <row r="17632">
      <c r="N17632" s="28"/>
      <c r="O17632" s="28"/>
      <c r="U17632" s="28"/>
    </row>
    <row r="17633">
      <c r="N17633" s="28"/>
      <c r="O17633" s="28"/>
      <c r="U17633" s="28"/>
    </row>
    <row r="17634">
      <c r="N17634" s="28"/>
      <c r="O17634" s="28"/>
      <c r="U17634" s="28"/>
    </row>
    <row r="17635">
      <c r="N17635" s="28"/>
      <c r="O17635" s="28"/>
      <c r="U17635" s="28"/>
    </row>
    <row r="17636">
      <c r="N17636" s="28"/>
      <c r="O17636" s="28"/>
      <c r="U17636" s="28"/>
    </row>
    <row r="17637">
      <c r="N17637" s="28"/>
      <c r="O17637" s="28"/>
      <c r="U17637" s="28"/>
    </row>
    <row r="17638">
      <c r="N17638" s="28"/>
      <c r="O17638" s="28"/>
      <c r="U17638" s="28"/>
    </row>
    <row r="17639">
      <c r="N17639" s="28"/>
      <c r="O17639" s="28"/>
      <c r="U17639" s="28"/>
    </row>
    <row r="17640">
      <c r="N17640" s="28"/>
      <c r="O17640" s="28"/>
      <c r="U17640" s="28"/>
    </row>
    <row r="17641">
      <c r="N17641" s="28"/>
      <c r="O17641" s="28"/>
      <c r="U17641" s="28"/>
    </row>
    <row r="17642">
      <c r="N17642" s="28"/>
      <c r="O17642" s="28"/>
      <c r="U17642" s="28"/>
    </row>
    <row r="17643">
      <c r="N17643" s="28"/>
      <c r="O17643" s="28"/>
      <c r="U17643" s="28"/>
    </row>
    <row r="17644">
      <c r="N17644" s="28"/>
      <c r="O17644" s="28"/>
      <c r="U17644" s="28"/>
    </row>
    <row r="17645">
      <c r="N17645" s="28"/>
      <c r="O17645" s="28"/>
      <c r="U17645" s="28"/>
    </row>
    <row r="17646">
      <c r="N17646" s="28"/>
      <c r="O17646" s="28"/>
      <c r="U17646" s="28"/>
    </row>
    <row r="17647">
      <c r="N17647" s="28"/>
      <c r="O17647" s="28"/>
      <c r="U17647" s="28"/>
    </row>
    <row r="17648">
      <c r="N17648" s="28"/>
      <c r="O17648" s="28"/>
      <c r="U17648" s="28"/>
    </row>
    <row r="17649">
      <c r="N17649" s="28"/>
      <c r="O17649" s="28"/>
      <c r="U17649" s="28"/>
    </row>
    <row r="17650">
      <c r="N17650" s="28"/>
      <c r="O17650" s="28"/>
      <c r="U17650" s="28"/>
    </row>
    <row r="17651">
      <c r="N17651" s="28"/>
      <c r="O17651" s="28"/>
      <c r="U17651" s="28"/>
    </row>
    <row r="17652">
      <c r="N17652" s="28"/>
      <c r="O17652" s="28"/>
      <c r="U17652" s="28"/>
    </row>
    <row r="17653">
      <c r="N17653" s="28"/>
      <c r="O17653" s="28"/>
      <c r="U17653" s="28"/>
    </row>
    <row r="17654">
      <c r="N17654" s="28"/>
      <c r="O17654" s="28"/>
      <c r="U17654" s="28"/>
    </row>
    <row r="17655">
      <c r="N17655" s="28"/>
      <c r="O17655" s="28"/>
      <c r="U17655" s="28"/>
    </row>
    <row r="17656">
      <c r="N17656" s="28"/>
      <c r="O17656" s="28"/>
      <c r="U17656" s="28"/>
    </row>
    <row r="17657">
      <c r="N17657" s="28"/>
      <c r="O17657" s="28"/>
      <c r="U17657" s="28"/>
    </row>
    <row r="17658">
      <c r="N17658" s="28"/>
      <c r="O17658" s="28"/>
      <c r="U17658" s="28"/>
    </row>
    <row r="17659">
      <c r="N17659" s="28"/>
      <c r="O17659" s="28"/>
      <c r="U17659" s="28"/>
    </row>
    <row r="17660">
      <c r="N17660" s="28"/>
      <c r="O17660" s="28"/>
      <c r="U17660" s="28"/>
    </row>
    <row r="17661">
      <c r="N17661" s="28"/>
      <c r="O17661" s="28"/>
      <c r="U17661" s="28"/>
    </row>
    <row r="17662">
      <c r="N17662" s="28"/>
      <c r="O17662" s="28"/>
      <c r="U17662" s="28"/>
    </row>
    <row r="17663">
      <c r="N17663" s="28"/>
      <c r="O17663" s="28"/>
      <c r="U17663" s="28"/>
    </row>
    <row r="17664">
      <c r="N17664" s="28"/>
      <c r="O17664" s="28"/>
      <c r="U17664" s="28"/>
    </row>
    <row r="17665">
      <c r="N17665" s="28"/>
      <c r="O17665" s="28"/>
      <c r="U17665" s="28"/>
    </row>
    <row r="17666">
      <c r="N17666" s="28"/>
      <c r="O17666" s="28"/>
      <c r="U17666" s="28"/>
    </row>
    <row r="17667">
      <c r="N17667" s="28"/>
      <c r="O17667" s="28"/>
      <c r="U17667" s="28"/>
    </row>
    <row r="17668">
      <c r="N17668" s="28"/>
      <c r="O17668" s="28"/>
      <c r="U17668" s="28"/>
    </row>
    <row r="17669">
      <c r="N17669" s="28"/>
      <c r="O17669" s="28"/>
      <c r="U17669" s="28"/>
    </row>
    <row r="17670">
      <c r="N17670" s="28"/>
      <c r="O17670" s="28"/>
      <c r="U17670" s="28"/>
    </row>
    <row r="17671">
      <c r="N17671" s="28"/>
      <c r="O17671" s="28"/>
      <c r="U17671" s="28"/>
    </row>
    <row r="17672">
      <c r="N17672" s="28"/>
      <c r="O17672" s="28"/>
      <c r="U17672" s="28"/>
    </row>
    <row r="17673">
      <c r="N17673" s="28"/>
      <c r="O17673" s="28"/>
      <c r="U17673" s="28"/>
    </row>
    <row r="17674">
      <c r="N17674" s="28"/>
      <c r="O17674" s="28"/>
      <c r="U17674" s="28"/>
    </row>
    <row r="17675">
      <c r="N17675" s="28"/>
      <c r="O17675" s="28"/>
      <c r="U17675" s="28"/>
    </row>
    <row r="17676">
      <c r="N17676" s="28"/>
      <c r="O17676" s="28"/>
      <c r="U17676" s="28"/>
    </row>
    <row r="17677">
      <c r="N17677" s="28"/>
      <c r="O17677" s="28"/>
      <c r="U17677" s="28"/>
    </row>
    <row r="17678">
      <c r="N17678" s="28"/>
      <c r="O17678" s="28"/>
      <c r="U17678" s="28"/>
    </row>
    <row r="17679">
      <c r="N17679" s="28"/>
      <c r="O17679" s="28"/>
      <c r="U17679" s="28"/>
    </row>
    <row r="17680">
      <c r="N17680" s="28"/>
      <c r="O17680" s="28"/>
      <c r="U17680" s="28"/>
    </row>
    <row r="17681">
      <c r="N17681" s="28"/>
      <c r="O17681" s="28"/>
      <c r="U17681" s="28"/>
    </row>
    <row r="17682">
      <c r="N17682" s="28"/>
      <c r="O17682" s="28"/>
      <c r="U17682" s="28"/>
    </row>
    <row r="17683">
      <c r="N17683" s="28"/>
      <c r="O17683" s="28"/>
      <c r="U17683" s="28"/>
    </row>
    <row r="17684">
      <c r="N17684" s="28"/>
      <c r="O17684" s="28"/>
      <c r="U17684" s="28"/>
    </row>
    <row r="17685">
      <c r="N17685" s="28"/>
      <c r="O17685" s="28"/>
      <c r="U17685" s="28"/>
    </row>
    <row r="17686">
      <c r="N17686" s="28"/>
      <c r="O17686" s="28"/>
      <c r="U17686" s="28"/>
    </row>
    <row r="17687">
      <c r="N17687" s="28"/>
      <c r="O17687" s="28"/>
      <c r="U17687" s="28"/>
    </row>
    <row r="17688">
      <c r="N17688" s="28"/>
      <c r="O17688" s="28"/>
      <c r="U17688" s="28"/>
    </row>
    <row r="17689">
      <c r="N17689" s="28"/>
      <c r="O17689" s="28"/>
      <c r="U17689" s="28"/>
    </row>
    <row r="17690">
      <c r="N17690" s="28"/>
      <c r="O17690" s="28"/>
      <c r="U17690" s="28"/>
    </row>
    <row r="17691">
      <c r="N17691" s="28"/>
      <c r="O17691" s="28"/>
      <c r="U17691" s="28"/>
    </row>
    <row r="17692">
      <c r="N17692" s="28"/>
      <c r="O17692" s="28"/>
      <c r="U17692" s="28"/>
    </row>
    <row r="17693">
      <c r="N17693" s="28"/>
      <c r="O17693" s="28"/>
      <c r="U17693" s="28"/>
    </row>
    <row r="17694">
      <c r="N17694" s="28"/>
      <c r="O17694" s="28"/>
      <c r="U17694" s="28"/>
    </row>
    <row r="17695">
      <c r="N17695" s="28"/>
      <c r="O17695" s="28"/>
      <c r="U17695" s="28"/>
    </row>
    <row r="17696">
      <c r="N17696" s="28"/>
      <c r="O17696" s="28"/>
      <c r="U17696" s="28"/>
    </row>
    <row r="17697">
      <c r="N17697" s="28"/>
      <c r="O17697" s="28"/>
      <c r="U17697" s="28"/>
    </row>
    <row r="17698">
      <c r="N17698" s="28"/>
      <c r="O17698" s="28"/>
      <c r="U17698" s="28"/>
    </row>
    <row r="17699">
      <c r="N17699" s="28"/>
      <c r="O17699" s="28"/>
      <c r="U17699" s="28"/>
    </row>
    <row r="17700">
      <c r="N17700" s="28"/>
      <c r="O17700" s="28"/>
      <c r="U17700" s="28"/>
    </row>
    <row r="17701">
      <c r="N17701" s="28"/>
      <c r="O17701" s="28"/>
      <c r="U17701" s="28"/>
    </row>
    <row r="17702">
      <c r="N17702" s="28"/>
      <c r="O17702" s="28"/>
      <c r="U17702" s="28"/>
    </row>
    <row r="17703">
      <c r="N17703" s="28"/>
      <c r="O17703" s="28"/>
      <c r="U17703" s="28"/>
    </row>
    <row r="17704">
      <c r="N17704" s="28"/>
      <c r="O17704" s="28"/>
      <c r="U17704" s="28"/>
    </row>
    <row r="17705">
      <c r="N17705" s="28"/>
      <c r="O17705" s="28"/>
      <c r="U17705" s="28"/>
    </row>
    <row r="17706">
      <c r="N17706" s="28"/>
      <c r="O17706" s="28"/>
      <c r="U17706" s="28"/>
    </row>
    <row r="17707">
      <c r="N17707" s="28"/>
      <c r="O17707" s="28"/>
      <c r="U17707" s="28"/>
    </row>
    <row r="17708">
      <c r="N17708" s="28"/>
      <c r="O17708" s="28"/>
      <c r="U17708" s="28"/>
    </row>
    <row r="17709">
      <c r="N17709" s="28"/>
      <c r="O17709" s="28"/>
      <c r="U17709" s="28"/>
    </row>
    <row r="17710">
      <c r="N17710" s="28"/>
      <c r="O17710" s="28"/>
      <c r="U17710" s="28"/>
    </row>
    <row r="17711">
      <c r="N17711" s="28"/>
      <c r="O17711" s="28"/>
      <c r="U17711" s="28"/>
    </row>
    <row r="17712">
      <c r="N17712" s="28"/>
      <c r="O17712" s="28"/>
      <c r="U17712" s="28"/>
    </row>
    <row r="17713">
      <c r="N17713" s="28"/>
      <c r="O17713" s="28"/>
      <c r="U17713" s="28"/>
    </row>
    <row r="17714">
      <c r="N17714" s="28"/>
      <c r="O17714" s="28"/>
      <c r="U17714" s="28"/>
    </row>
    <row r="17715">
      <c r="N17715" s="28"/>
      <c r="O17715" s="28"/>
      <c r="U17715" s="28"/>
    </row>
    <row r="17716">
      <c r="N17716" s="28"/>
      <c r="O17716" s="28"/>
      <c r="U17716" s="28"/>
    </row>
    <row r="17717">
      <c r="N17717" s="28"/>
      <c r="O17717" s="28"/>
      <c r="U17717" s="28"/>
    </row>
    <row r="17718">
      <c r="N17718" s="28"/>
      <c r="O17718" s="28"/>
      <c r="U17718" s="28"/>
    </row>
    <row r="17719">
      <c r="N17719" s="28"/>
      <c r="O17719" s="28"/>
      <c r="U17719" s="28"/>
    </row>
    <row r="17720">
      <c r="N17720" s="28"/>
      <c r="O17720" s="28"/>
      <c r="U17720" s="28"/>
    </row>
    <row r="17721">
      <c r="N17721" s="28"/>
      <c r="O17721" s="28"/>
      <c r="U17721" s="28"/>
    </row>
    <row r="17722">
      <c r="N17722" s="28"/>
      <c r="O17722" s="28"/>
      <c r="U17722" s="28"/>
    </row>
    <row r="17723">
      <c r="N17723" s="28"/>
      <c r="O17723" s="28"/>
      <c r="U17723" s="28"/>
    </row>
    <row r="17724">
      <c r="N17724" s="28"/>
      <c r="O17724" s="28"/>
      <c r="U17724" s="28"/>
    </row>
    <row r="17725">
      <c r="N17725" s="28"/>
      <c r="O17725" s="28"/>
      <c r="U17725" s="28"/>
    </row>
    <row r="17726">
      <c r="N17726" s="28"/>
      <c r="O17726" s="28"/>
      <c r="U17726" s="28"/>
    </row>
    <row r="17727">
      <c r="N17727" s="28"/>
      <c r="O17727" s="28"/>
      <c r="U17727" s="28"/>
    </row>
    <row r="17728">
      <c r="N17728" s="28"/>
      <c r="O17728" s="28"/>
      <c r="U17728" s="28"/>
    </row>
    <row r="17729">
      <c r="N17729" s="28"/>
      <c r="O17729" s="28"/>
      <c r="U17729" s="28"/>
    </row>
    <row r="17730">
      <c r="N17730" s="28"/>
      <c r="O17730" s="28"/>
      <c r="U17730" s="28"/>
    </row>
    <row r="17731">
      <c r="N17731" s="28"/>
      <c r="O17731" s="28"/>
      <c r="U17731" s="28"/>
    </row>
    <row r="17732">
      <c r="N17732" s="28"/>
      <c r="O17732" s="28"/>
      <c r="U17732" s="28"/>
    </row>
    <row r="17733">
      <c r="N17733" s="28"/>
      <c r="O17733" s="28"/>
      <c r="U17733" s="28"/>
    </row>
    <row r="17734">
      <c r="N17734" s="28"/>
      <c r="O17734" s="28"/>
      <c r="U17734" s="28"/>
    </row>
    <row r="17735">
      <c r="N17735" s="28"/>
      <c r="O17735" s="28"/>
      <c r="U17735" s="28"/>
    </row>
    <row r="17736">
      <c r="N17736" s="28"/>
      <c r="O17736" s="28"/>
      <c r="U17736" s="28"/>
    </row>
    <row r="17737">
      <c r="N17737" s="28"/>
      <c r="O17737" s="28"/>
      <c r="U17737" s="28"/>
    </row>
    <row r="17738">
      <c r="N17738" s="28"/>
      <c r="O17738" s="28"/>
      <c r="U17738" s="28"/>
    </row>
    <row r="17739">
      <c r="N17739" s="28"/>
      <c r="O17739" s="28"/>
      <c r="U17739" s="28"/>
    </row>
    <row r="17740">
      <c r="N17740" s="28"/>
      <c r="O17740" s="28"/>
      <c r="U17740" s="28"/>
    </row>
    <row r="17741">
      <c r="N17741" s="28"/>
      <c r="O17741" s="28"/>
      <c r="U17741" s="28"/>
    </row>
    <row r="17742">
      <c r="N17742" s="28"/>
      <c r="O17742" s="28"/>
      <c r="U17742" s="28"/>
    </row>
    <row r="17743">
      <c r="N17743" s="28"/>
      <c r="O17743" s="28"/>
      <c r="U17743" s="28"/>
    </row>
    <row r="17744">
      <c r="N17744" s="28"/>
      <c r="O17744" s="28"/>
      <c r="U17744" s="28"/>
    </row>
    <row r="17745">
      <c r="N17745" s="28"/>
      <c r="O17745" s="28"/>
      <c r="U17745" s="28"/>
    </row>
    <row r="17746">
      <c r="N17746" s="28"/>
      <c r="O17746" s="28"/>
      <c r="U17746" s="28"/>
    </row>
    <row r="17747">
      <c r="N17747" s="28"/>
      <c r="O17747" s="28"/>
      <c r="U17747" s="28"/>
    </row>
    <row r="17748">
      <c r="N17748" s="28"/>
      <c r="O17748" s="28"/>
      <c r="U17748" s="28"/>
    </row>
    <row r="17749">
      <c r="N17749" s="28"/>
      <c r="O17749" s="28"/>
      <c r="U17749" s="28"/>
    </row>
    <row r="17750">
      <c r="N17750" s="28"/>
      <c r="O17750" s="28"/>
      <c r="U17750" s="28"/>
    </row>
    <row r="17751">
      <c r="N17751" s="28"/>
      <c r="O17751" s="28"/>
      <c r="U17751" s="28"/>
    </row>
    <row r="17752">
      <c r="N17752" s="28"/>
      <c r="O17752" s="28"/>
      <c r="U17752" s="28"/>
    </row>
    <row r="17753">
      <c r="N17753" s="28"/>
      <c r="O17753" s="28"/>
      <c r="U17753" s="28"/>
    </row>
    <row r="17754">
      <c r="N17754" s="28"/>
      <c r="O17754" s="28"/>
      <c r="U17754" s="28"/>
    </row>
    <row r="17755">
      <c r="N17755" s="28"/>
      <c r="O17755" s="28"/>
      <c r="U17755" s="28"/>
    </row>
    <row r="17756">
      <c r="N17756" s="28"/>
      <c r="O17756" s="28"/>
      <c r="U17756" s="28"/>
    </row>
    <row r="17757">
      <c r="N17757" s="28"/>
      <c r="O17757" s="28"/>
      <c r="U17757" s="28"/>
    </row>
    <row r="17758">
      <c r="N17758" s="28"/>
      <c r="O17758" s="28"/>
      <c r="U17758" s="28"/>
    </row>
    <row r="17759">
      <c r="N17759" s="28"/>
      <c r="O17759" s="28"/>
      <c r="U17759" s="28"/>
    </row>
    <row r="17760">
      <c r="N17760" s="28"/>
      <c r="O17760" s="28"/>
      <c r="U17760" s="28"/>
    </row>
    <row r="17761">
      <c r="N17761" s="28"/>
      <c r="O17761" s="28"/>
      <c r="U17761" s="28"/>
    </row>
    <row r="17762">
      <c r="N17762" s="28"/>
      <c r="O17762" s="28"/>
      <c r="U17762" s="28"/>
    </row>
    <row r="17763">
      <c r="N17763" s="28"/>
      <c r="O17763" s="28"/>
      <c r="U17763" s="28"/>
    </row>
    <row r="17764">
      <c r="N17764" s="28"/>
      <c r="O17764" s="28"/>
      <c r="U17764" s="28"/>
    </row>
    <row r="17765">
      <c r="N17765" s="28"/>
      <c r="O17765" s="28"/>
      <c r="U17765" s="28"/>
    </row>
    <row r="17766">
      <c r="N17766" s="28"/>
      <c r="O17766" s="28"/>
      <c r="U17766" s="28"/>
    </row>
    <row r="17767">
      <c r="N17767" s="28"/>
      <c r="O17767" s="28"/>
      <c r="U17767" s="28"/>
    </row>
    <row r="17768">
      <c r="N17768" s="28"/>
      <c r="O17768" s="28"/>
      <c r="U17768" s="28"/>
    </row>
    <row r="17769">
      <c r="N17769" s="28"/>
      <c r="O17769" s="28"/>
      <c r="U17769" s="28"/>
    </row>
    <row r="17770">
      <c r="N17770" s="28"/>
      <c r="O17770" s="28"/>
      <c r="U17770" s="28"/>
    </row>
    <row r="17771">
      <c r="N17771" s="28"/>
      <c r="O17771" s="28"/>
      <c r="U17771" s="28"/>
    </row>
    <row r="17772">
      <c r="N17772" s="28"/>
      <c r="O17772" s="28"/>
      <c r="U17772" s="28"/>
    </row>
    <row r="17773">
      <c r="N17773" s="28"/>
      <c r="O17773" s="28"/>
      <c r="U17773" s="28"/>
    </row>
    <row r="17774">
      <c r="N17774" s="28"/>
      <c r="O17774" s="28"/>
      <c r="U17774" s="28"/>
    </row>
    <row r="17775">
      <c r="N17775" s="28"/>
      <c r="O17775" s="28"/>
      <c r="U17775" s="28"/>
    </row>
    <row r="17776">
      <c r="N17776" s="28"/>
      <c r="O17776" s="28"/>
      <c r="U17776" s="28"/>
    </row>
    <row r="17777">
      <c r="N17777" s="28"/>
      <c r="O17777" s="28"/>
      <c r="U17777" s="28"/>
    </row>
    <row r="17778">
      <c r="N17778" s="28"/>
      <c r="O17778" s="28"/>
      <c r="U17778" s="28"/>
    </row>
    <row r="17779">
      <c r="N17779" s="28"/>
      <c r="O17779" s="28"/>
      <c r="U17779" s="28"/>
    </row>
    <row r="17780">
      <c r="N17780" s="28"/>
      <c r="O17780" s="28"/>
      <c r="U17780" s="28"/>
    </row>
    <row r="17781">
      <c r="N17781" s="28"/>
      <c r="O17781" s="28"/>
      <c r="U17781" s="28"/>
    </row>
    <row r="17782">
      <c r="N17782" s="28"/>
      <c r="O17782" s="28"/>
      <c r="U17782" s="28"/>
    </row>
    <row r="17783">
      <c r="N17783" s="28"/>
      <c r="O17783" s="28"/>
      <c r="U17783" s="28"/>
    </row>
    <row r="17784">
      <c r="N17784" s="28"/>
      <c r="O17784" s="28"/>
      <c r="U17784" s="28"/>
    </row>
    <row r="17785">
      <c r="N17785" s="28"/>
      <c r="O17785" s="28"/>
      <c r="U17785" s="28"/>
    </row>
    <row r="17786">
      <c r="N17786" s="28"/>
      <c r="O17786" s="28"/>
      <c r="U17786" s="28"/>
    </row>
    <row r="17787">
      <c r="N17787" s="28"/>
      <c r="O17787" s="28"/>
      <c r="U17787" s="28"/>
    </row>
    <row r="17788">
      <c r="N17788" s="28"/>
      <c r="O17788" s="28"/>
      <c r="U17788" s="28"/>
    </row>
    <row r="17789">
      <c r="N17789" s="28"/>
      <c r="O17789" s="28"/>
      <c r="U17789" s="28"/>
    </row>
    <row r="17790">
      <c r="N17790" s="28"/>
      <c r="O17790" s="28"/>
      <c r="U17790" s="28"/>
    </row>
    <row r="17791">
      <c r="N17791" s="28"/>
      <c r="O17791" s="28"/>
      <c r="U17791" s="28"/>
    </row>
    <row r="17792">
      <c r="N17792" s="28"/>
      <c r="O17792" s="28"/>
      <c r="U17792" s="28"/>
    </row>
    <row r="17793">
      <c r="N17793" s="28"/>
      <c r="O17793" s="28"/>
      <c r="U17793" s="28"/>
    </row>
    <row r="17794">
      <c r="N17794" s="28"/>
      <c r="O17794" s="28"/>
      <c r="U17794" s="28"/>
    </row>
    <row r="17795">
      <c r="N17795" s="28"/>
      <c r="O17795" s="28"/>
      <c r="U17795" s="28"/>
    </row>
    <row r="17796">
      <c r="N17796" s="28"/>
      <c r="O17796" s="28"/>
      <c r="U17796" s="28"/>
    </row>
    <row r="17797">
      <c r="N17797" s="28"/>
      <c r="O17797" s="28"/>
      <c r="U17797" s="28"/>
    </row>
    <row r="17798">
      <c r="N17798" s="28"/>
      <c r="O17798" s="28"/>
      <c r="U17798" s="28"/>
    </row>
    <row r="17799">
      <c r="N17799" s="28"/>
      <c r="O17799" s="28"/>
      <c r="U17799" s="28"/>
    </row>
    <row r="17800">
      <c r="N17800" s="28"/>
      <c r="O17800" s="28"/>
      <c r="U17800" s="28"/>
    </row>
    <row r="17801">
      <c r="N17801" s="28"/>
      <c r="O17801" s="28"/>
      <c r="U17801" s="28"/>
    </row>
    <row r="17802">
      <c r="N17802" s="28"/>
      <c r="O17802" s="28"/>
      <c r="U17802" s="28"/>
    </row>
    <row r="17803">
      <c r="N17803" s="28"/>
      <c r="O17803" s="28"/>
      <c r="U17803" s="28"/>
    </row>
    <row r="17804">
      <c r="N17804" s="28"/>
      <c r="O17804" s="28"/>
      <c r="U17804" s="28"/>
    </row>
    <row r="17805">
      <c r="N17805" s="28"/>
      <c r="O17805" s="28"/>
      <c r="U17805" s="28"/>
    </row>
    <row r="17806">
      <c r="N17806" s="28"/>
      <c r="O17806" s="28"/>
      <c r="U17806" s="28"/>
    </row>
    <row r="17807">
      <c r="N17807" s="28"/>
      <c r="O17807" s="28"/>
      <c r="U17807" s="28"/>
    </row>
    <row r="17808">
      <c r="N17808" s="28"/>
      <c r="O17808" s="28"/>
      <c r="U17808" s="28"/>
    </row>
    <row r="17809">
      <c r="N17809" s="28"/>
      <c r="O17809" s="28"/>
      <c r="U17809" s="28"/>
    </row>
    <row r="17810">
      <c r="N17810" s="28"/>
      <c r="O17810" s="28"/>
      <c r="U17810" s="28"/>
    </row>
    <row r="17811">
      <c r="N17811" s="28"/>
      <c r="O17811" s="28"/>
      <c r="U17811" s="28"/>
    </row>
    <row r="17812">
      <c r="N17812" s="28"/>
      <c r="O17812" s="28"/>
      <c r="U17812" s="28"/>
    </row>
    <row r="17813">
      <c r="N17813" s="28"/>
      <c r="O17813" s="28"/>
      <c r="U17813" s="28"/>
    </row>
    <row r="17814">
      <c r="N17814" s="28"/>
      <c r="O17814" s="28"/>
      <c r="U17814" s="28"/>
    </row>
    <row r="17815">
      <c r="N17815" s="28"/>
      <c r="O17815" s="28"/>
      <c r="U17815" s="28"/>
    </row>
    <row r="17816">
      <c r="N17816" s="28"/>
      <c r="O17816" s="28"/>
      <c r="U17816" s="28"/>
    </row>
    <row r="17817">
      <c r="N17817" s="28"/>
      <c r="O17817" s="28"/>
      <c r="U17817" s="28"/>
    </row>
    <row r="17818">
      <c r="N17818" s="28"/>
      <c r="O17818" s="28"/>
      <c r="U17818" s="28"/>
    </row>
    <row r="17819">
      <c r="N17819" s="28"/>
      <c r="O17819" s="28"/>
      <c r="U17819" s="28"/>
    </row>
    <row r="17820">
      <c r="N17820" s="28"/>
      <c r="O17820" s="28"/>
      <c r="U17820" s="28"/>
    </row>
    <row r="17821">
      <c r="N17821" s="28"/>
      <c r="O17821" s="28"/>
      <c r="U17821" s="28"/>
    </row>
    <row r="17822">
      <c r="N17822" s="28"/>
      <c r="O17822" s="28"/>
      <c r="U17822" s="28"/>
    </row>
    <row r="17823">
      <c r="N17823" s="28"/>
      <c r="O17823" s="28"/>
      <c r="U17823" s="28"/>
    </row>
    <row r="17824">
      <c r="N17824" s="28"/>
      <c r="O17824" s="28"/>
      <c r="U17824" s="28"/>
    </row>
    <row r="17825">
      <c r="N17825" s="28"/>
      <c r="O17825" s="28"/>
      <c r="U17825" s="28"/>
    </row>
    <row r="17826">
      <c r="N17826" s="28"/>
      <c r="O17826" s="28"/>
      <c r="U17826" s="28"/>
    </row>
    <row r="17827">
      <c r="N17827" s="28"/>
      <c r="O17827" s="28"/>
      <c r="U17827" s="28"/>
    </row>
    <row r="17828">
      <c r="N17828" s="28"/>
      <c r="O17828" s="28"/>
      <c r="U17828" s="28"/>
    </row>
    <row r="17829">
      <c r="N17829" s="28"/>
      <c r="O17829" s="28"/>
      <c r="U17829" s="28"/>
    </row>
    <row r="17830">
      <c r="N17830" s="28"/>
      <c r="O17830" s="28"/>
      <c r="U17830" s="28"/>
    </row>
    <row r="17831">
      <c r="N17831" s="28"/>
      <c r="O17831" s="28"/>
      <c r="U17831" s="28"/>
    </row>
    <row r="17832">
      <c r="N17832" s="28"/>
      <c r="O17832" s="28"/>
      <c r="U17832" s="28"/>
    </row>
    <row r="17833">
      <c r="N17833" s="28"/>
      <c r="O17833" s="28"/>
      <c r="U17833" s="28"/>
    </row>
    <row r="17834">
      <c r="N17834" s="28"/>
      <c r="O17834" s="28"/>
      <c r="U17834" s="28"/>
    </row>
    <row r="17835">
      <c r="N17835" s="28"/>
      <c r="O17835" s="28"/>
      <c r="U17835" s="28"/>
    </row>
    <row r="17836">
      <c r="N17836" s="28"/>
      <c r="O17836" s="28"/>
      <c r="U17836" s="28"/>
    </row>
    <row r="17837">
      <c r="N17837" s="28"/>
      <c r="O17837" s="28"/>
      <c r="U17837" s="28"/>
    </row>
    <row r="17838">
      <c r="N17838" s="28"/>
      <c r="O17838" s="28"/>
      <c r="U17838" s="28"/>
    </row>
    <row r="17839">
      <c r="N17839" s="28"/>
      <c r="O17839" s="28"/>
      <c r="U17839" s="28"/>
    </row>
    <row r="17840">
      <c r="N17840" s="28"/>
      <c r="O17840" s="28"/>
      <c r="U17840" s="28"/>
    </row>
    <row r="17841">
      <c r="N17841" s="28"/>
      <c r="O17841" s="28"/>
      <c r="U17841" s="28"/>
    </row>
    <row r="17842">
      <c r="N17842" s="28"/>
      <c r="O17842" s="28"/>
      <c r="U17842" s="28"/>
    </row>
    <row r="17843">
      <c r="N17843" s="28"/>
      <c r="O17843" s="28"/>
      <c r="U17843" s="28"/>
    </row>
    <row r="17844">
      <c r="N17844" s="28"/>
      <c r="O17844" s="28"/>
      <c r="U17844" s="28"/>
    </row>
    <row r="17845">
      <c r="N17845" s="28"/>
      <c r="O17845" s="28"/>
      <c r="U17845" s="28"/>
    </row>
    <row r="17846">
      <c r="N17846" s="28"/>
      <c r="O17846" s="28"/>
      <c r="U17846" s="28"/>
    </row>
    <row r="17847">
      <c r="N17847" s="28"/>
      <c r="O17847" s="28"/>
      <c r="U17847" s="28"/>
    </row>
    <row r="17848">
      <c r="N17848" s="28"/>
      <c r="O17848" s="28"/>
      <c r="U17848" s="28"/>
    </row>
    <row r="17849">
      <c r="N17849" s="28"/>
      <c r="O17849" s="28"/>
      <c r="U17849" s="28"/>
    </row>
    <row r="17850">
      <c r="N17850" s="28"/>
      <c r="O17850" s="28"/>
      <c r="U17850" s="28"/>
    </row>
    <row r="17851">
      <c r="N17851" s="28"/>
      <c r="O17851" s="28"/>
      <c r="U17851" s="28"/>
    </row>
    <row r="17852">
      <c r="N17852" s="28"/>
      <c r="O17852" s="28"/>
      <c r="U17852" s="28"/>
    </row>
    <row r="17853">
      <c r="N17853" s="28"/>
      <c r="O17853" s="28"/>
      <c r="U17853" s="28"/>
    </row>
    <row r="17854">
      <c r="N17854" s="28"/>
      <c r="O17854" s="28"/>
      <c r="U17854" s="28"/>
    </row>
    <row r="17855">
      <c r="N17855" s="28"/>
      <c r="O17855" s="28"/>
      <c r="U17855" s="28"/>
    </row>
    <row r="17856">
      <c r="N17856" s="28"/>
      <c r="O17856" s="28"/>
      <c r="U17856" s="28"/>
    </row>
    <row r="17857">
      <c r="N17857" s="28"/>
      <c r="O17857" s="28"/>
      <c r="U17857" s="28"/>
    </row>
    <row r="17858">
      <c r="N17858" s="28"/>
      <c r="O17858" s="28"/>
      <c r="U17858" s="28"/>
    </row>
    <row r="17859">
      <c r="N17859" s="28"/>
      <c r="O17859" s="28"/>
      <c r="U17859" s="28"/>
    </row>
    <row r="17860">
      <c r="N17860" s="28"/>
      <c r="O17860" s="28"/>
      <c r="U17860" s="28"/>
    </row>
    <row r="17861">
      <c r="N17861" s="28"/>
      <c r="O17861" s="28"/>
      <c r="U17861" s="28"/>
    </row>
    <row r="17862">
      <c r="N17862" s="28"/>
      <c r="O17862" s="28"/>
      <c r="U17862" s="28"/>
    </row>
    <row r="17863">
      <c r="N17863" s="28"/>
      <c r="O17863" s="28"/>
      <c r="U17863" s="28"/>
    </row>
    <row r="17864">
      <c r="N17864" s="28"/>
      <c r="O17864" s="28"/>
      <c r="U17864" s="28"/>
    </row>
    <row r="17865">
      <c r="N17865" s="28"/>
      <c r="O17865" s="28"/>
      <c r="U17865" s="28"/>
    </row>
    <row r="17866">
      <c r="N17866" s="28"/>
      <c r="O17866" s="28"/>
      <c r="U17866" s="28"/>
    </row>
    <row r="17867">
      <c r="N17867" s="28"/>
      <c r="O17867" s="28"/>
      <c r="U17867" s="28"/>
    </row>
    <row r="17868">
      <c r="N17868" s="28"/>
      <c r="O17868" s="28"/>
      <c r="U17868" s="28"/>
    </row>
    <row r="17869">
      <c r="N17869" s="28"/>
      <c r="O17869" s="28"/>
      <c r="U17869" s="28"/>
    </row>
    <row r="17870">
      <c r="N17870" s="28"/>
      <c r="O17870" s="28"/>
      <c r="U17870" s="28"/>
    </row>
    <row r="17871">
      <c r="N17871" s="28"/>
      <c r="O17871" s="28"/>
      <c r="U17871" s="28"/>
    </row>
    <row r="17872">
      <c r="N17872" s="28"/>
      <c r="O17872" s="28"/>
      <c r="U17872" s="28"/>
    </row>
    <row r="17873">
      <c r="N17873" s="28"/>
      <c r="O17873" s="28"/>
      <c r="U17873" s="28"/>
    </row>
    <row r="17874">
      <c r="N17874" s="28"/>
      <c r="O17874" s="28"/>
      <c r="U17874" s="28"/>
    </row>
    <row r="17875">
      <c r="N17875" s="28"/>
      <c r="O17875" s="28"/>
      <c r="U17875" s="28"/>
    </row>
    <row r="17876">
      <c r="N17876" s="28"/>
      <c r="O17876" s="28"/>
      <c r="U17876" s="28"/>
    </row>
    <row r="17877">
      <c r="N17877" s="28"/>
      <c r="O17877" s="28"/>
      <c r="U17877" s="28"/>
    </row>
    <row r="17878">
      <c r="N17878" s="28"/>
      <c r="O17878" s="28"/>
      <c r="U17878" s="28"/>
    </row>
    <row r="17879">
      <c r="N17879" s="28"/>
      <c r="O17879" s="28"/>
      <c r="U17879" s="28"/>
    </row>
    <row r="17880">
      <c r="N17880" s="28"/>
      <c r="O17880" s="28"/>
      <c r="U17880" s="28"/>
    </row>
    <row r="17881">
      <c r="N17881" s="28"/>
      <c r="O17881" s="28"/>
      <c r="U17881" s="28"/>
    </row>
    <row r="17882">
      <c r="N17882" s="28"/>
      <c r="O17882" s="28"/>
      <c r="U17882" s="28"/>
    </row>
    <row r="17883">
      <c r="N17883" s="28"/>
      <c r="O17883" s="28"/>
      <c r="U17883" s="28"/>
    </row>
    <row r="17884">
      <c r="N17884" s="28"/>
      <c r="O17884" s="28"/>
      <c r="U17884" s="28"/>
    </row>
    <row r="17885">
      <c r="N17885" s="28"/>
      <c r="O17885" s="28"/>
      <c r="U17885" s="28"/>
    </row>
    <row r="17886">
      <c r="N17886" s="28"/>
      <c r="O17886" s="28"/>
      <c r="U17886" s="28"/>
    </row>
    <row r="17887">
      <c r="N17887" s="28"/>
      <c r="O17887" s="28"/>
      <c r="U17887" s="28"/>
    </row>
    <row r="17888">
      <c r="N17888" s="28"/>
      <c r="O17888" s="28"/>
      <c r="U17888" s="28"/>
    </row>
    <row r="17889">
      <c r="N17889" s="28"/>
      <c r="O17889" s="28"/>
      <c r="U17889" s="28"/>
    </row>
    <row r="17890">
      <c r="N17890" s="28"/>
      <c r="O17890" s="28"/>
      <c r="U17890" s="28"/>
    </row>
    <row r="17891">
      <c r="N17891" s="28"/>
      <c r="O17891" s="28"/>
      <c r="U17891" s="28"/>
    </row>
    <row r="17892">
      <c r="N17892" s="28"/>
      <c r="O17892" s="28"/>
      <c r="U17892" s="28"/>
    </row>
    <row r="17893">
      <c r="N17893" s="28"/>
      <c r="O17893" s="28"/>
      <c r="U17893" s="28"/>
    </row>
    <row r="17894">
      <c r="N17894" s="28"/>
      <c r="O17894" s="28"/>
      <c r="U17894" s="28"/>
    </row>
    <row r="17895">
      <c r="N17895" s="28"/>
      <c r="O17895" s="28"/>
      <c r="U17895" s="28"/>
    </row>
    <row r="17896">
      <c r="N17896" s="28"/>
      <c r="O17896" s="28"/>
      <c r="U17896" s="28"/>
    </row>
    <row r="17897">
      <c r="N17897" s="28"/>
      <c r="O17897" s="28"/>
      <c r="U17897" s="28"/>
    </row>
    <row r="17898">
      <c r="N17898" s="28"/>
      <c r="O17898" s="28"/>
      <c r="U17898" s="28"/>
    </row>
    <row r="17899">
      <c r="N17899" s="28"/>
      <c r="O17899" s="28"/>
      <c r="U17899" s="28"/>
    </row>
    <row r="17900">
      <c r="N17900" s="28"/>
      <c r="O17900" s="28"/>
      <c r="U17900" s="28"/>
    </row>
    <row r="17901">
      <c r="N17901" s="28"/>
      <c r="O17901" s="28"/>
      <c r="U17901" s="28"/>
    </row>
    <row r="17902">
      <c r="N17902" s="28"/>
      <c r="O17902" s="28"/>
      <c r="U17902" s="28"/>
    </row>
    <row r="17903">
      <c r="N17903" s="28"/>
      <c r="O17903" s="28"/>
      <c r="U17903" s="28"/>
    </row>
    <row r="17904">
      <c r="N17904" s="28"/>
      <c r="O17904" s="28"/>
      <c r="U17904" s="28"/>
    </row>
    <row r="17905">
      <c r="N17905" s="28"/>
      <c r="O17905" s="28"/>
      <c r="U17905" s="28"/>
    </row>
    <row r="17906">
      <c r="N17906" s="28"/>
      <c r="O17906" s="28"/>
      <c r="U17906" s="28"/>
    </row>
    <row r="17907">
      <c r="N17907" s="28"/>
      <c r="O17907" s="28"/>
      <c r="U17907" s="28"/>
    </row>
    <row r="17908">
      <c r="N17908" s="28"/>
      <c r="O17908" s="28"/>
      <c r="U17908" s="28"/>
    </row>
    <row r="17909">
      <c r="N17909" s="28"/>
      <c r="O17909" s="28"/>
      <c r="U17909" s="28"/>
    </row>
    <row r="17910">
      <c r="N17910" s="28"/>
      <c r="O17910" s="28"/>
      <c r="U17910" s="28"/>
    </row>
    <row r="17911">
      <c r="N17911" s="28"/>
      <c r="O17911" s="28"/>
      <c r="U17911" s="28"/>
    </row>
    <row r="17912">
      <c r="N17912" s="28"/>
      <c r="O17912" s="28"/>
      <c r="U17912" s="28"/>
    </row>
    <row r="17913">
      <c r="N17913" s="28"/>
      <c r="O17913" s="28"/>
      <c r="U17913" s="28"/>
    </row>
    <row r="17914">
      <c r="N17914" s="28"/>
      <c r="O17914" s="28"/>
      <c r="U17914" s="28"/>
    </row>
    <row r="17915">
      <c r="N17915" s="28"/>
      <c r="O17915" s="28"/>
      <c r="U17915" s="28"/>
    </row>
    <row r="17916">
      <c r="N17916" s="28"/>
      <c r="O17916" s="28"/>
      <c r="U17916" s="28"/>
    </row>
    <row r="17917">
      <c r="N17917" s="28"/>
      <c r="O17917" s="28"/>
      <c r="U17917" s="28"/>
    </row>
    <row r="17918">
      <c r="N17918" s="28"/>
      <c r="O17918" s="28"/>
      <c r="U17918" s="28"/>
    </row>
    <row r="17919">
      <c r="N17919" s="28"/>
      <c r="O17919" s="28"/>
      <c r="U17919" s="28"/>
    </row>
    <row r="17920">
      <c r="N17920" s="28"/>
      <c r="O17920" s="28"/>
      <c r="U17920" s="28"/>
    </row>
    <row r="17921">
      <c r="N17921" s="28"/>
      <c r="O17921" s="28"/>
      <c r="U17921" s="28"/>
    </row>
    <row r="17922">
      <c r="N17922" s="28"/>
      <c r="O17922" s="28"/>
      <c r="U17922" s="28"/>
    </row>
    <row r="17923">
      <c r="N17923" s="28"/>
      <c r="O17923" s="28"/>
      <c r="U17923" s="28"/>
    </row>
    <row r="17924">
      <c r="N17924" s="28"/>
      <c r="O17924" s="28"/>
      <c r="U17924" s="28"/>
    </row>
    <row r="17925">
      <c r="N17925" s="28"/>
      <c r="O17925" s="28"/>
      <c r="U17925" s="28"/>
    </row>
    <row r="17926">
      <c r="N17926" s="28"/>
      <c r="O17926" s="28"/>
      <c r="U17926" s="28"/>
    </row>
    <row r="17927">
      <c r="N17927" s="28"/>
      <c r="O17927" s="28"/>
      <c r="U17927" s="28"/>
    </row>
    <row r="17928">
      <c r="N17928" s="28"/>
      <c r="O17928" s="28"/>
      <c r="U17928" s="28"/>
    </row>
    <row r="17929">
      <c r="N17929" s="28"/>
      <c r="O17929" s="28"/>
      <c r="U17929" s="28"/>
    </row>
    <row r="17930">
      <c r="N17930" s="28"/>
      <c r="O17930" s="28"/>
      <c r="U17930" s="28"/>
    </row>
    <row r="17931">
      <c r="N17931" s="28"/>
      <c r="O17931" s="28"/>
      <c r="U17931" s="28"/>
    </row>
    <row r="17932">
      <c r="N17932" s="28"/>
      <c r="O17932" s="28"/>
      <c r="U17932" s="28"/>
    </row>
    <row r="17933">
      <c r="N17933" s="28"/>
      <c r="O17933" s="28"/>
      <c r="U17933" s="28"/>
    </row>
    <row r="17934">
      <c r="N17934" s="28"/>
      <c r="O17934" s="28"/>
      <c r="U17934" s="28"/>
    </row>
    <row r="17935">
      <c r="N17935" s="28"/>
      <c r="O17935" s="28"/>
      <c r="U17935" s="28"/>
    </row>
    <row r="17936">
      <c r="N17936" s="28"/>
      <c r="O17936" s="28"/>
      <c r="U17936" s="28"/>
    </row>
    <row r="17937">
      <c r="N17937" s="28"/>
      <c r="O17937" s="28"/>
      <c r="U17937" s="28"/>
    </row>
    <row r="17938">
      <c r="N17938" s="28"/>
      <c r="O17938" s="28"/>
      <c r="U17938" s="28"/>
    </row>
    <row r="17939">
      <c r="N17939" s="28"/>
      <c r="O17939" s="28"/>
      <c r="U17939" s="28"/>
    </row>
    <row r="17940">
      <c r="N17940" s="28"/>
      <c r="O17940" s="28"/>
      <c r="U17940" s="28"/>
    </row>
    <row r="17941">
      <c r="N17941" s="28"/>
      <c r="O17941" s="28"/>
      <c r="U17941" s="28"/>
    </row>
    <row r="17942">
      <c r="N17942" s="28"/>
      <c r="O17942" s="28"/>
      <c r="U17942" s="28"/>
    </row>
    <row r="17943">
      <c r="N17943" s="28"/>
      <c r="O17943" s="28"/>
      <c r="U17943" s="28"/>
    </row>
    <row r="17944">
      <c r="N17944" s="28"/>
      <c r="O17944" s="28"/>
      <c r="U17944" s="28"/>
    </row>
    <row r="17945">
      <c r="N17945" s="28"/>
      <c r="O17945" s="28"/>
      <c r="U17945" s="28"/>
    </row>
    <row r="17946">
      <c r="N17946" s="28"/>
      <c r="O17946" s="28"/>
      <c r="U17946" s="28"/>
    </row>
    <row r="17947">
      <c r="N17947" s="28"/>
      <c r="O17947" s="28"/>
      <c r="U17947" s="28"/>
    </row>
    <row r="17948">
      <c r="N17948" s="28"/>
      <c r="O17948" s="28"/>
      <c r="U17948" s="28"/>
    </row>
    <row r="17949">
      <c r="N17949" s="28"/>
      <c r="O17949" s="28"/>
      <c r="U17949" s="28"/>
    </row>
    <row r="17950">
      <c r="N17950" s="28"/>
      <c r="O17950" s="28"/>
      <c r="U17950" s="28"/>
    </row>
    <row r="17951">
      <c r="N17951" s="28"/>
      <c r="O17951" s="28"/>
      <c r="U17951" s="28"/>
    </row>
    <row r="17952">
      <c r="N17952" s="28"/>
      <c r="O17952" s="28"/>
      <c r="U17952" s="28"/>
    </row>
    <row r="17953">
      <c r="N17953" s="28"/>
      <c r="O17953" s="28"/>
      <c r="U17953" s="28"/>
    </row>
    <row r="17954">
      <c r="N17954" s="28"/>
      <c r="O17954" s="28"/>
      <c r="U17954" s="28"/>
    </row>
    <row r="17955">
      <c r="N17955" s="28"/>
      <c r="O17955" s="28"/>
      <c r="U17955" s="28"/>
    </row>
    <row r="17956">
      <c r="N17956" s="28"/>
      <c r="O17956" s="28"/>
      <c r="U17956" s="28"/>
    </row>
    <row r="17957">
      <c r="N17957" s="28"/>
      <c r="O17957" s="28"/>
      <c r="U17957" s="28"/>
    </row>
    <row r="17958">
      <c r="N17958" s="28"/>
      <c r="O17958" s="28"/>
      <c r="U17958" s="28"/>
    </row>
    <row r="17959">
      <c r="N17959" s="28"/>
      <c r="O17959" s="28"/>
      <c r="U17959" s="28"/>
    </row>
    <row r="17960">
      <c r="N17960" s="28"/>
      <c r="O17960" s="28"/>
      <c r="U17960" s="28"/>
    </row>
    <row r="17961">
      <c r="N17961" s="28"/>
      <c r="O17961" s="28"/>
      <c r="U17961" s="28"/>
    </row>
    <row r="17962">
      <c r="N17962" s="28"/>
      <c r="O17962" s="28"/>
      <c r="U17962" s="28"/>
    </row>
    <row r="17963">
      <c r="N17963" s="28"/>
      <c r="O17963" s="28"/>
      <c r="U17963" s="28"/>
    </row>
    <row r="17964">
      <c r="N17964" s="28"/>
      <c r="O17964" s="28"/>
      <c r="U17964" s="28"/>
    </row>
    <row r="17965">
      <c r="N17965" s="28"/>
      <c r="O17965" s="28"/>
      <c r="U17965" s="28"/>
    </row>
    <row r="17966">
      <c r="N17966" s="28"/>
      <c r="O17966" s="28"/>
      <c r="U17966" s="28"/>
    </row>
    <row r="17967">
      <c r="N17967" s="28"/>
      <c r="O17967" s="28"/>
      <c r="U17967" s="28"/>
    </row>
    <row r="17968">
      <c r="N17968" s="28"/>
      <c r="O17968" s="28"/>
      <c r="U17968" s="28"/>
    </row>
    <row r="17969">
      <c r="N17969" s="28"/>
      <c r="O17969" s="28"/>
      <c r="U17969" s="28"/>
    </row>
    <row r="17970">
      <c r="N17970" s="28"/>
      <c r="O17970" s="28"/>
      <c r="U17970" s="28"/>
    </row>
    <row r="17971">
      <c r="N17971" s="28"/>
      <c r="O17971" s="28"/>
      <c r="U17971" s="28"/>
    </row>
    <row r="17972">
      <c r="N17972" s="28"/>
      <c r="O17972" s="28"/>
      <c r="U17972" s="28"/>
    </row>
    <row r="17973">
      <c r="N17973" s="28"/>
      <c r="O17973" s="28"/>
      <c r="U17973" s="28"/>
    </row>
    <row r="17974">
      <c r="N17974" s="28"/>
      <c r="O17974" s="28"/>
      <c r="U17974" s="28"/>
    </row>
    <row r="17975">
      <c r="N17975" s="28"/>
      <c r="O17975" s="28"/>
      <c r="U17975" s="28"/>
    </row>
    <row r="17976">
      <c r="N17976" s="28"/>
      <c r="O17976" s="28"/>
      <c r="U17976" s="28"/>
    </row>
    <row r="17977">
      <c r="N17977" s="28"/>
      <c r="O17977" s="28"/>
      <c r="U17977" s="28"/>
    </row>
    <row r="17978">
      <c r="N17978" s="28"/>
      <c r="O17978" s="28"/>
      <c r="U17978" s="28"/>
    </row>
    <row r="17979">
      <c r="N17979" s="28"/>
      <c r="O17979" s="28"/>
      <c r="U17979" s="28"/>
    </row>
    <row r="17980">
      <c r="N17980" s="28"/>
      <c r="O17980" s="28"/>
      <c r="U17980" s="28"/>
    </row>
    <row r="17981">
      <c r="N17981" s="28"/>
      <c r="O17981" s="28"/>
      <c r="U17981" s="28"/>
    </row>
    <row r="17982">
      <c r="N17982" s="28"/>
      <c r="O17982" s="28"/>
      <c r="U17982" s="28"/>
    </row>
    <row r="17983">
      <c r="N17983" s="28"/>
      <c r="O17983" s="28"/>
      <c r="U17983" s="28"/>
    </row>
    <row r="17984">
      <c r="N17984" s="28"/>
      <c r="O17984" s="28"/>
      <c r="U17984" s="28"/>
    </row>
    <row r="17985">
      <c r="N17985" s="28"/>
      <c r="O17985" s="28"/>
      <c r="U17985" s="28"/>
    </row>
    <row r="17986">
      <c r="N17986" s="28"/>
      <c r="O17986" s="28"/>
      <c r="U17986" s="28"/>
    </row>
    <row r="17987">
      <c r="N17987" s="28"/>
      <c r="O17987" s="28"/>
      <c r="U17987" s="28"/>
    </row>
    <row r="17988">
      <c r="N17988" s="28"/>
      <c r="O17988" s="28"/>
      <c r="U17988" s="28"/>
    </row>
    <row r="17989">
      <c r="N17989" s="28"/>
      <c r="O17989" s="28"/>
      <c r="U17989" s="28"/>
    </row>
    <row r="17990">
      <c r="N17990" s="28"/>
      <c r="O17990" s="28"/>
      <c r="U17990" s="28"/>
    </row>
    <row r="17991">
      <c r="N17991" s="28"/>
      <c r="O17991" s="28"/>
      <c r="U17991" s="28"/>
    </row>
    <row r="17992">
      <c r="N17992" s="28"/>
      <c r="O17992" s="28"/>
      <c r="U17992" s="28"/>
    </row>
    <row r="17993">
      <c r="N17993" s="28"/>
      <c r="O17993" s="28"/>
      <c r="U17993" s="28"/>
    </row>
    <row r="17994">
      <c r="N17994" s="28"/>
      <c r="O17994" s="28"/>
      <c r="U17994" s="28"/>
    </row>
    <row r="17995">
      <c r="N17995" s="28"/>
      <c r="O17995" s="28"/>
      <c r="U17995" s="28"/>
    </row>
    <row r="17996">
      <c r="N17996" s="28"/>
      <c r="O17996" s="28"/>
      <c r="U17996" s="28"/>
    </row>
    <row r="17997">
      <c r="N17997" s="28"/>
      <c r="O17997" s="28"/>
      <c r="U17997" s="28"/>
    </row>
    <row r="17998">
      <c r="N17998" s="28"/>
      <c r="O17998" s="28"/>
      <c r="U17998" s="28"/>
    </row>
    <row r="17999">
      <c r="N17999" s="28"/>
      <c r="O17999" s="28"/>
      <c r="U17999" s="28"/>
    </row>
    <row r="18000">
      <c r="N18000" s="28"/>
      <c r="O18000" s="28"/>
      <c r="U18000" s="28"/>
    </row>
    <row r="18001">
      <c r="N18001" s="28"/>
      <c r="O18001" s="28"/>
      <c r="U18001" s="28"/>
    </row>
    <row r="18002">
      <c r="N18002" s="28"/>
      <c r="O18002" s="28"/>
      <c r="U18002" s="28"/>
    </row>
    <row r="18003">
      <c r="N18003" s="28"/>
      <c r="O18003" s="28"/>
      <c r="U18003" s="28"/>
    </row>
    <row r="18004">
      <c r="N18004" s="28"/>
      <c r="O18004" s="28"/>
      <c r="U18004" s="28"/>
    </row>
    <row r="18005">
      <c r="N18005" s="28"/>
      <c r="O18005" s="28"/>
      <c r="U18005" s="28"/>
    </row>
    <row r="18006">
      <c r="N18006" s="28"/>
      <c r="O18006" s="28"/>
      <c r="U18006" s="28"/>
    </row>
    <row r="18007">
      <c r="N18007" s="28"/>
      <c r="O18007" s="28"/>
      <c r="U18007" s="28"/>
    </row>
    <row r="18008">
      <c r="N18008" s="28"/>
      <c r="O18008" s="28"/>
      <c r="U18008" s="28"/>
    </row>
    <row r="18009">
      <c r="N18009" s="28"/>
      <c r="O18009" s="28"/>
      <c r="U18009" s="28"/>
    </row>
    <row r="18010">
      <c r="N18010" s="28"/>
      <c r="O18010" s="28"/>
      <c r="U18010" s="28"/>
    </row>
    <row r="18011">
      <c r="N18011" s="28"/>
      <c r="O18011" s="28"/>
      <c r="U18011" s="28"/>
    </row>
    <row r="18012">
      <c r="N18012" s="28"/>
      <c r="O18012" s="28"/>
      <c r="U18012" s="28"/>
    </row>
    <row r="18013">
      <c r="N18013" s="28"/>
      <c r="O18013" s="28"/>
      <c r="U18013" s="28"/>
    </row>
    <row r="18014">
      <c r="N18014" s="28"/>
      <c r="O18014" s="28"/>
      <c r="U18014" s="28"/>
    </row>
    <row r="18015">
      <c r="N18015" s="28"/>
      <c r="O18015" s="28"/>
      <c r="U18015" s="28"/>
    </row>
    <row r="18016">
      <c r="N18016" s="28"/>
      <c r="O18016" s="28"/>
      <c r="U18016" s="28"/>
    </row>
    <row r="18017">
      <c r="N18017" s="28"/>
      <c r="O18017" s="28"/>
      <c r="U18017" s="28"/>
    </row>
    <row r="18018">
      <c r="N18018" s="28"/>
      <c r="O18018" s="28"/>
      <c r="U18018" s="28"/>
    </row>
    <row r="18019">
      <c r="N18019" s="28"/>
      <c r="O18019" s="28"/>
      <c r="U18019" s="28"/>
    </row>
    <row r="18020">
      <c r="N18020" s="28"/>
      <c r="O18020" s="28"/>
      <c r="U18020" s="28"/>
    </row>
    <row r="18021">
      <c r="N18021" s="28"/>
      <c r="O18021" s="28"/>
      <c r="U18021" s="28"/>
    </row>
    <row r="18022">
      <c r="N18022" s="28"/>
      <c r="O18022" s="28"/>
      <c r="U18022" s="28"/>
    </row>
    <row r="18023">
      <c r="N18023" s="28"/>
      <c r="O18023" s="28"/>
      <c r="U18023" s="28"/>
    </row>
    <row r="18024">
      <c r="N18024" s="28"/>
      <c r="O18024" s="28"/>
      <c r="U18024" s="28"/>
    </row>
    <row r="18025">
      <c r="N18025" s="28"/>
      <c r="O18025" s="28"/>
      <c r="U18025" s="28"/>
    </row>
    <row r="18026">
      <c r="N18026" s="28"/>
      <c r="O18026" s="28"/>
      <c r="U18026" s="28"/>
    </row>
    <row r="18027">
      <c r="N18027" s="28"/>
      <c r="O18027" s="28"/>
      <c r="U18027" s="28"/>
    </row>
    <row r="18028">
      <c r="N18028" s="28"/>
      <c r="O18028" s="28"/>
      <c r="U18028" s="28"/>
    </row>
    <row r="18029">
      <c r="N18029" s="28"/>
      <c r="O18029" s="28"/>
      <c r="U18029" s="28"/>
    </row>
    <row r="18030">
      <c r="N18030" s="28"/>
      <c r="O18030" s="28"/>
      <c r="U18030" s="28"/>
    </row>
    <row r="18031">
      <c r="N18031" s="28"/>
      <c r="O18031" s="28"/>
      <c r="U18031" s="28"/>
    </row>
    <row r="18032">
      <c r="N18032" s="28"/>
      <c r="O18032" s="28"/>
      <c r="U18032" s="28"/>
    </row>
    <row r="18033">
      <c r="N18033" s="28"/>
      <c r="O18033" s="28"/>
      <c r="U18033" s="28"/>
    </row>
    <row r="18034">
      <c r="N18034" s="28"/>
      <c r="O18034" s="28"/>
      <c r="U18034" s="28"/>
    </row>
    <row r="18035">
      <c r="N18035" s="28"/>
      <c r="O18035" s="28"/>
      <c r="U18035" s="28"/>
    </row>
    <row r="18036">
      <c r="N18036" s="28"/>
      <c r="O18036" s="28"/>
      <c r="U18036" s="28"/>
    </row>
    <row r="18037">
      <c r="N18037" s="28"/>
      <c r="O18037" s="28"/>
      <c r="U18037" s="28"/>
    </row>
    <row r="18038">
      <c r="N18038" s="28"/>
      <c r="O18038" s="28"/>
      <c r="U18038" s="28"/>
    </row>
    <row r="18039">
      <c r="N18039" s="28"/>
      <c r="O18039" s="28"/>
      <c r="U18039" s="28"/>
    </row>
    <row r="18040">
      <c r="N18040" s="28"/>
      <c r="O18040" s="28"/>
      <c r="U18040" s="28"/>
    </row>
    <row r="18041">
      <c r="N18041" s="28"/>
      <c r="O18041" s="28"/>
      <c r="U18041" s="28"/>
    </row>
    <row r="18042">
      <c r="N18042" s="28"/>
      <c r="O18042" s="28"/>
      <c r="U18042" s="28"/>
    </row>
    <row r="18043">
      <c r="N18043" s="28"/>
      <c r="O18043" s="28"/>
      <c r="U18043" s="28"/>
    </row>
    <row r="18044">
      <c r="N18044" s="28"/>
      <c r="O18044" s="28"/>
      <c r="U18044" s="28"/>
    </row>
    <row r="18045">
      <c r="N18045" s="28"/>
      <c r="O18045" s="28"/>
      <c r="U18045" s="28"/>
    </row>
    <row r="18046">
      <c r="N18046" s="28"/>
      <c r="O18046" s="28"/>
      <c r="U18046" s="28"/>
    </row>
    <row r="18047">
      <c r="N18047" s="28"/>
      <c r="O18047" s="28"/>
      <c r="U18047" s="28"/>
    </row>
    <row r="18048">
      <c r="N18048" s="28"/>
      <c r="O18048" s="28"/>
      <c r="U18048" s="28"/>
    </row>
    <row r="18049">
      <c r="N18049" s="28"/>
      <c r="O18049" s="28"/>
      <c r="U18049" s="28"/>
    </row>
    <row r="18050">
      <c r="N18050" s="28"/>
      <c r="O18050" s="28"/>
      <c r="U18050" s="28"/>
    </row>
    <row r="18051">
      <c r="N18051" s="28"/>
      <c r="O18051" s="28"/>
      <c r="U18051" s="28"/>
    </row>
    <row r="18052">
      <c r="N18052" s="28"/>
      <c r="O18052" s="28"/>
      <c r="U18052" s="28"/>
    </row>
    <row r="18053">
      <c r="N18053" s="28"/>
      <c r="O18053" s="28"/>
      <c r="U18053" s="28"/>
    </row>
    <row r="18054">
      <c r="N18054" s="28"/>
      <c r="O18054" s="28"/>
      <c r="U18054" s="28"/>
    </row>
    <row r="18055">
      <c r="N18055" s="28"/>
      <c r="O18055" s="28"/>
      <c r="U18055" s="28"/>
    </row>
    <row r="18056">
      <c r="N18056" s="28"/>
      <c r="O18056" s="28"/>
      <c r="U18056" s="28"/>
    </row>
    <row r="18057">
      <c r="N18057" s="28"/>
      <c r="O18057" s="28"/>
      <c r="U18057" s="28"/>
    </row>
    <row r="18058">
      <c r="N18058" s="28"/>
      <c r="O18058" s="28"/>
      <c r="U18058" s="28"/>
    </row>
    <row r="18059">
      <c r="N18059" s="28"/>
      <c r="O18059" s="28"/>
      <c r="U18059" s="28"/>
    </row>
    <row r="18060">
      <c r="N18060" s="28"/>
      <c r="O18060" s="28"/>
      <c r="U18060" s="28"/>
    </row>
    <row r="18061">
      <c r="N18061" s="28"/>
      <c r="O18061" s="28"/>
      <c r="U18061" s="28"/>
    </row>
    <row r="18062">
      <c r="N18062" s="28"/>
      <c r="O18062" s="28"/>
      <c r="U18062" s="28"/>
    </row>
    <row r="18063">
      <c r="N18063" s="28"/>
      <c r="O18063" s="28"/>
      <c r="U18063" s="28"/>
    </row>
    <row r="18064">
      <c r="N18064" s="28"/>
      <c r="O18064" s="28"/>
      <c r="U18064" s="28"/>
    </row>
    <row r="18065">
      <c r="N18065" s="28"/>
      <c r="O18065" s="28"/>
      <c r="U18065" s="28"/>
    </row>
    <row r="18066">
      <c r="N18066" s="28"/>
      <c r="O18066" s="28"/>
      <c r="U18066" s="28"/>
    </row>
    <row r="18067">
      <c r="N18067" s="28"/>
      <c r="O18067" s="28"/>
      <c r="U18067" s="28"/>
    </row>
    <row r="18068">
      <c r="N18068" s="28"/>
      <c r="O18068" s="28"/>
      <c r="U18068" s="28"/>
    </row>
    <row r="18069">
      <c r="N18069" s="28"/>
      <c r="O18069" s="28"/>
      <c r="U18069" s="28"/>
    </row>
    <row r="18070">
      <c r="N18070" s="28"/>
      <c r="O18070" s="28"/>
      <c r="U18070" s="28"/>
    </row>
    <row r="18071">
      <c r="N18071" s="28"/>
      <c r="O18071" s="28"/>
      <c r="U18071" s="28"/>
    </row>
    <row r="18072">
      <c r="N18072" s="28"/>
      <c r="O18072" s="28"/>
      <c r="U18072" s="28"/>
    </row>
    <row r="18073">
      <c r="N18073" s="28"/>
      <c r="O18073" s="28"/>
      <c r="U18073" s="28"/>
    </row>
    <row r="18074">
      <c r="N18074" s="28"/>
      <c r="O18074" s="28"/>
      <c r="U18074" s="28"/>
    </row>
    <row r="18075">
      <c r="N18075" s="28"/>
      <c r="O18075" s="28"/>
      <c r="U18075" s="28"/>
    </row>
    <row r="18076">
      <c r="N18076" s="28"/>
      <c r="O18076" s="28"/>
      <c r="U18076" s="28"/>
    </row>
    <row r="18077">
      <c r="N18077" s="28"/>
      <c r="O18077" s="28"/>
      <c r="U18077" s="28"/>
    </row>
    <row r="18078">
      <c r="N18078" s="28"/>
      <c r="O18078" s="28"/>
      <c r="U18078" s="28"/>
    </row>
    <row r="18079">
      <c r="N18079" s="28"/>
      <c r="O18079" s="28"/>
      <c r="U18079" s="28"/>
    </row>
    <row r="18080">
      <c r="N18080" s="28"/>
      <c r="O18080" s="28"/>
      <c r="U18080" s="28"/>
    </row>
    <row r="18081">
      <c r="N18081" s="28"/>
      <c r="O18081" s="28"/>
      <c r="U18081" s="28"/>
    </row>
    <row r="18082">
      <c r="N18082" s="28"/>
      <c r="O18082" s="28"/>
      <c r="U18082" s="28"/>
    </row>
    <row r="18083">
      <c r="N18083" s="28"/>
      <c r="O18083" s="28"/>
      <c r="U18083" s="28"/>
    </row>
    <row r="18084">
      <c r="N18084" s="28"/>
      <c r="O18084" s="28"/>
      <c r="U18084" s="28"/>
    </row>
    <row r="18085">
      <c r="N18085" s="28"/>
      <c r="O18085" s="28"/>
      <c r="U18085" s="28"/>
    </row>
    <row r="18086">
      <c r="N18086" s="28"/>
      <c r="O18086" s="28"/>
      <c r="U18086" s="28"/>
    </row>
    <row r="18087">
      <c r="N18087" s="28"/>
      <c r="O18087" s="28"/>
      <c r="U18087" s="28"/>
    </row>
    <row r="18088">
      <c r="N18088" s="28"/>
      <c r="O18088" s="28"/>
      <c r="U18088" s="28"/>
    </row>
    <row r="18089">
      <c r="N18089" s="28"/>
      <c r="O18089" s="28"/>
      <c r="U18089" s="28"/>
    </row>
    <row r="18090">
      <c r="N18090" s="28"/>
      <c r="O18090" s="28"/>
      <c r="U18090" s="28"/>
    </row>
    <row r="18091">
      <c r="N18091" s="28"/>
      <c r="O18091" s="28"/>
      <c r="U18091" s="28"/>
    </row>
    <row r="18092">
      <c r="N18092" s="28"/>
      <c r="O18092" s="28"/>
      <c r="U18092" s="28"/>
    </row>
    <row r="18093">
      <c r="N18093" s="28"/>
      <c r="O18093" s="28"/>
      <c r="U18093" s="28"/>
    </row>
    <row r="18094">
      <c r="N18094" s="28"/>
      <c r="O18094" s="28"/>
      <c r="U18094" s="28"/>
    </row>
    <row r="18095">
      <c r="N18095" s="28"/>
      <c r="O18095" s="28"/>
      <c r="U18095" s="28"/>
    </row>
    <row r="18096">
      <c r="N18096" s="28"/>
      <c r="O18096" s="28"/>
      <c r="U18096" s="28"/>
    </row>
    <row r="18097">
      <c r="N18097" s="28"/>
      <c r="O18097" s="28"/>
      <c r="U18097" s="28"/>
    </row>
    <row r="18098">
      <c r="N18098" s="28"/>
      <c r="O18098" s="28"/>
      <c r="U18098" s="28"/>
    </row>
    <row r="18099">
      <c r="N18099" s="28"/>
      <c r="O18099" s="28"/>
      <c r="U18099" s="28"/>
    </row>
    <row r="18100">
      <c r="N18100" s="28"/>
      <c r="O18100" s="28"/>
      <c r="U18100" s="28"/>
    </row>
    <row r="18101">
      <c r="N18101" s="28"/>
      <c r="O18101" s="28"/>
      <c r="U18101" s="28"/>
    </row>
    <row r="18102">
      <c r="N18102" s="28"/>
      <c r="O18102" s="28"/>
      <c r="U18102" s="28"/>
    </row>
    <row r="18103">
      <c r="N18103" s="28"/>
      <c r="O18103" s="28"/>
      <c r="U18103" s="28"/>
    </row>
    <row r="18104">
      <c r="N18104" s="28"/>
      <c r="O18104" s="28"/>
      <c r="U18104" s="28"/>
    </row>
    <row r="18105">
      <c r="N18105" s="28"/>
      <c r="O18105" s="28"/>
      <c r="U18105" s="28"/>
    </row>
    <row r="18106">
      <c r="N18106" s="28"/>
      <c r="O18106" s="28"/>
      <c r="U18106" s="28"/>
    </row>
    <row r="18107">
      <c r="N18107" s="28"/>
      <c r="O18107" s="28"/>
      <c r="U18107" s="28"/>
    </row>
    <row r="18108">
      <c r="N18108" s="28"/>
      <c r="O18108" s="28"/>
      <c r="U18108" s="28"/>
    </row>
    <row r="18109">
      <c r="N18109" s="28"/>
      <c r="O18109" s="28"/>
      <c r="U18109" s="28"/>
    </row>
    <row r="18110">
      <c r="N18110" s="28"/>
      <c r="O18110" s="28"/>
      <c r="U18110" s="28"/>
    </row>
    <row r="18111">
      <c r="N18111" s="28"/>
      <c r="O18111" s="28"/>
      <c r="U18111" s="28"/>
    </row>
    <row r="18112">
      <c r="N18112" s="28"/>
      <c r="O18112" s="28"/>
      <c r="U18112" s="28"/>
    </row>
    <row r="18113">
      <c r="N18113" s="28"/>
      <c r="O18113" s="28"/>
      <c r="U18113" s="28"/>
    </row>
    <row r="18114">
      <c r="N18114" s="28"/>
      <c r="O18114" s="28"/>
      <c r="U18114" s="28"/>
    </row>
    <row r="18115">
      <c r="N18115" s="28"/>
      <c r="O18115" s="28"/>
      <c r="U18115" s="28"/>
    </row>
    <row r="18116">
      <c r="N18116" s="28"/>
      <c r="O18116" s="28"/>
      <c r="U18116" s="28"/>
    </row>
    <row r="18117">
      <c r="N18117" s="28"/>
      <c r="O18117" s="28"/>
      <c r="U18117" s="28"/>
    </row>
    <row r="18118">
      <c r="N18118" s="28"/>
      <c r="O18118" s="28"/>
      <c r="U18118" s="28"/>
    </row>
    <row r="18119">
      <c r="N18119" s="28"/>
      <c r="O18119" s="28"/>
      <c r="U18119" s="28"/>
    </row>
    <row r="18120">
      <c r="N18120" s="28"/>
      <c r="O18120" s="28"/>
      <c r="U18120" s="28"/>
    </row>
    <row r="18121">
      <c r="N18121" s="28"/>
      <c r="O18121" s="28"/>
      <c r="U18121" s="28"/>
    </row>
    <row r="18122">
      <c r="N18122" s="28"/>
      <c r="O18122" s="28"/>
      <c r="U18122" s="28"/>
    </row>
    <row r="18123">
      <c r="N18123" s="28"/>
      <c r="O18123" s="28"/>
      <c r="U18123" s="28"/>
    </row>
    <row r="18124">
      <c r="N18124" s="28"/>
      <c r="O18124" s="28"/>
      <c r="U18124" s="28"/>
    </row>
    <row r="18125">
      <c r="N18125" s="28"/>
      <c r="O18125" s="28"/>
      <c r="U18125" s="28"/>
    </row>
    <row r="18126">
      <c r="N18126" s="28"/>
      <c r="O18126" s="28"/>
      <c r="U18126" s="28"/>
    </row>
    <row r="18127">
      <c r="N18127" s="28"/>
      <c r="O18127" s="28"/>
      <c r="U18127" s="28"/>
    </row>
    <row r="18128">
      <c r="N18128" s="28"/>
      <c r="O18128" s="28"/>
      <c r="U18128" s="28"/>
    </row>
    <row r="18129">
      <c r="N18129" s="28"/>
      <c r="O18129" s="28"/>
      <c r="U18129" s="28"/>
    </row>
    <row r="18130">
      <c r="N18130" s="28"/>
      <c r="O18130" s="28"/>
      <c r="U18130" s="28"/>
    </row>
    <row r="18131">
      <c r="N18131" s="28"/>
      <c r="O18131" s="28"/>
      <c r="U18131" s="28"/>
    </row>
    <row r="18132">
      <c r="N18132" s="28"/>
      <c r="O18132" s="28"/>
      <c r="U18132" s="28"/>
    </row>
    <row r="18133">
      <c r="N18133" s="28"/>
      <c r="O18133" s="28"/>
      <c r="U18133" s="28"/>
    </row>
    <row r="18134">
      <c r="N18134" s="28"/>
      <c r="O18134" s="28"/>
      <c r="U18134" s="28"/>
    </row>
    <row r="18135">
      <c r="N18135" s="28"/>
      <c r="O18135" s="28"/>
      <c r="U18135" s="28"/>
    </row>
    <row r="18136">
      <c r="N18136" s="28"/>
      <c r="O18136" s="28"/>
      <c r="U18136" s="28"/>
    </row>
    <row r="18137">
      <c r="N18137" s="28"/>
      <c r="O18137" s="28"/>
      <c r="U18137" s="28"/>
    </row>
    <row r="18138">
      <c r="N18138" s="28"/>
      <c r="O18138" s="28"/>
      <c r="U18138" s="28"/>
    </row>
    <row r="18139">
      <c r="N18139" s="28"/>
      <c r="O18139" s="28"/>
      <c r="U18139" s="28"/>
    </row>
    <row r="18140">
      <c r="N18140" s="28"/>
      <c r="O18140" s="28"/>
      <c r="U18140" s="28"/>
    </row>
    <row r="18141">
      <c r="N18141" s="28"/>
      <c r="O18141" s="28"/>
      <c r="U18141" s="28"/>
    </row>
    <row r="18142">
      <c r="N18142" s="28"/>
      <c r="O18142" s="28"/>
      <c r="U18142" s="28"/>
    </row>
    <row r="18143">
      <c r="N18143" s="28"/>
      <c r="O18143" s="28"/>
      <c r="U18143" s="28"/>
    </row>
    <row r="18144">
      <c r="N18144" s="28"/>
      <c r="O18144" s="28"/>
      <c r="U18144" s="28"/>
    </row>
    <row r="18145">
      <c r="N18145" s="28"/>
      <c r="O18145" s="28"/>
      <c r="U18145" s="28"/>
    </row>
    <row r="18146">
      <c r="N18146" s="28"/>
      <c r="O18146" s="28"/>
      <c r="U18146" s="28"/>
    </row>
    <row r="18147">
      <c r="N18147" s="28"/>
      <c r="O18147" s="28"/>
      <c r="U18147" s="28"/>
    </row>
    <row r="18148">
      <c r="N18148" s="28"/>
      <c r="O18148" s="28"/>
      <c r="U18148" s="28"/>
    </row>
    <row r="18149">
      <c r="N18149" s="28"/>
      <c r="O18149" s="28"/>
      <c r="U18149" s="28"/>
    </row>
    <row r="18150">
      <c r="N18150" s="28"/>
      <c r="O18150" s="28"/>
      <c r="U18150" s="28"/>
    </row>
    <row r="18151">
      <c r="N18151" s="28"/>
      <c r="O18151" s="28"/>
      <c r="U18151" s="28"/>
    </row>
    <row r="18152">
      <c r="N18152" s="28"/>
      <c r="O18152" s="28"/>
      <c r="U18152" s="28"/>
    </row>
    <row r="18153">
      <c r="N18153" s="28"/>
      <c r="O18153" s="28"/>
      <c r="U18153" s="28"/>
    </row>
    <row r="18154">
      <c r="N18154" s="28"/>
      <c r="O18154" s="28"/>
      <c r="U18154" s="28"/>
    </row>
    <row r="18155">
      <c r="N18155" s="28"/>
      <c r="O18155" s="28"/>
      <c r="U18155" s="28"/>
    </row>
    <row r="18156">
      <c r="N18156" s="28"/>
      <c r="O18156" s="28"/>
      <c r="U18156" s="28"/>
    </row>
    <row r="18157">
      <c r="N18157" s="28"/>
      <c r="O18157" s="28"/>
      <c r="U18157" s="28"/>
    </row>
    <row r="18158">
      <c r="N18158" s="28"/>
      <c r="O18158" s="28"/>
      <c r="U18158" s="28"/>
    </row>
    <row r="18159">
      <c r="N18159" s="28"/>
      <c r="O18159" s="28"/>
      <c r="U18159" s="28"/>
    </row>
    <row r="18160">
      <c r="N18160" s="28"/>
      <c r="O18160" s="28"/>
      <c r="U18160" s="28"/>
    </row>
    <row r="18161">
      <c r="N18161" s="28"/>
      <c r="O18161" s="28"/>
      <c r="U18161" s="28"/>
    </row>
    <row r="18162">
      <c r="N18162" s="28"/>
      <c r="O18162" s="28"/>
      <c r="U18162" s="28"/>
    </row>
    <row r="18163">
      <c r="N18163" s="28"/>
      <c r="O18163" s="28"/>
      <c r="U18163" s="28"/>
    </row>
    <row r="18164">
      <c r="N18164" s="28"/>
      <c r="O18164" s="28"/>
      <c r="U18164" s="28"/>
    </row>
    <row r="18165">
      <c r="N18165" s="28"/>
      <c r="O18165" s="28"/>
      <c r="U18165" s="28"/>
    </row>
    <row r="18166">
      <c r="N18166" s="28"/>
      <c r="O18166" s="28"/>
      <c r="U18166" s="28"/>
    </row>
    <row r="18167">
      <c r="N18167" s="28"/>
      <c r="O18167" s="28"/>
      <c r="U18167" s="28"/>
    </row>
    <row r="18168">
      <c r="N18168" s="28"/>
      <c r="O18168" s="28"/>
      <c r="U18168" s="28"/>
    </row>
    <row r="18169">
      <c r="N18169" s="28"/>
      <c r="O18169" s="28"/>
      <c r="U18169" s="28"/>
    </row>
    <row r="18170">
      <c r="N18170" s="28"/>
      <c r="O18170" s="28"/>
      <c r="U18170" s="28"/>
    </row>
    <row r="18171">
      <c r="N18171" s="28"/>
      <c r="O18171" s="28"/>
      <c r="U18171" s="28"/>
    </row>
    <row r="18172">
      <c r="N18172" s="28"/>
      <c r="O18172" s="28"/>
      <c r="U18172" s="28"/>
    </row>
    <row r="18173">
      <c r="N18173" s="28"/>
      <c r="O18173" s="28"/>
      <c r="U18173" s="28"/>
    </row>
    <row r="18174">
      <c r="N18174" s="28"/>
      <c r="O18174" s="28"/>
      <c r="U18174" s="28"/>
    </row>
    <row r="18175">
      <c r="N18175" s="28"/>
      <c r="O18175" s="28"/>
      <c r="U18175" s="28"/>
    </row>
    <row r="18176">
      <c r="N18176" s="28"/>
      <c r="O18176" s="28"/>
      <c r="U18176" s="28"/>
    </row>
    <row r="18177">
      <c r="N18177" s="28"/>
      <c r="O18177" s="28"/>
      <c r="U18177" s="28"/>
    </row>
    <row r="18178">
      <c r="N18178" s="28"/>
      <c r="O18178" s="28"/>
      <c r="U18178" s="28"/>
    </row>
    <row r="18179">
      <c r="N18179" s="28"/>
      <c r="O18179" s="28"/>
      <c r="U18179" s="28"/>
    </row>
    <row r="18180">
      <c r="N18180" s="28"/>
      <c r="O18180" s="28"/>
      <c r="U18180" s="28"/>
    </row>
    <row r="18181">
      <c r="N18181" s="28"/>
      <c r="O18181" s="28"/>
      <c r="U18181" s="28"/>
    </row>
    <row r="18182">
      <c r="N18182" s="28"/>
      <c r="O18182" s="28"/>
      <c r="U18182" s="28"/>
    </row>
    <row r="18183">
      <c r="N18183" s="28"/>
      <c r="O18183" s="28"/>
      <c r="U18183" s="28"/>
    </row>
    <row r="18184">
      <c r="N18184" s="28"/>
      <c r="O18184" s="28"/>
      <c r="U18184" s="28"/>
    </row>
    <row r="18185">
      <c r="N18185" s="28"/>
      <c r="O18185" s="28"/>
      <c r="U18185" s="28"/>
    </row>
    <row r="18186">
      <c r="N18186" s="28"/>
      <c r="O18186" s="28"/>
      <c r="U18186" s="28"/>
    </row>
    <row r="18187">
      <c r="N18187" s="28"/>
      <c r="O18187" s="28"/>
      <c r="U18187" s="28"/>
    </row>
    <row r="18188">
      <c r="N18188" s="28"/>
      <c r="O18188" s="28"/>
      <c r="U18188" s="28"/>
    </row>
    <row r="18189">
      <c r="N18189" s="28"/>
      <c r="O18189" s="28"/>
      <c r="U18189" s="28"/>
    </row>
    <row r="18190">
      <c r="N18190" s="28"/>
      <c r="O18190" s="28"/>
      <c r="U18190" s="28"/>
    </row>
    <row r="18191">
      <c r="N18191" s="28"/>
      <c r="O18191" s="28"/>
      <c r="U18191" s="28"/>
    </row>
    <row r="18192">
      <c r="N18192" s="28"/>
      <c r="O18192" s="28"/>
      <c r="U18192" s="28"/>
    </row>
    <row r="18193">
      <c r="N18193" s="28"/>
      <c r="O18193" s="28"/>
      <c r="U18193" s="28"/>
    </row>
    <row r="18194">
      <c r="N18194" s="28"/>
      <c r="O18194" s="28"/>
      <c r="U18194" s="28"/>
    </row>
    <row r="18195">
      <c r="N18195" s="28"/>
      <c r="O18195" s="28"/>
      <c r="U18195" s="28"/>
    </row>
    <row r="18196">
      <c r="N18196" s="28"/>
      <c r="O18196" s="28"/>
      <c r="U18196" s="28"/>
    </row>
    <row r="18197">
      <c r="N18197" s="28"/>
      <c r="O18197" s="28"/>
      <c r="U18197" s="28"/>
    </row>
    <row r="18198">
      <c r="N18198" s="28"/>
      <c r="O18198" s="28"/>
      <c r="U18198" s="28"/>
    </row>
    <row r="18199">
      <c r="N18199" s="28"/>
      <c r="O18199" s="28"/>
      <c r="U18199" s="28"/>
    </row>
    <row r="18200">
      <c r="N18200" s="28"/>
      <c r="O18200" s="28"/>
      <c r="U18200" s="28"/>
    </row>
    <row r="18201">
      <c r="N18201" s="28"/>
      <c r="O18201" s="28"/>
      <c r="U18201" s="28"/>
    </row>
    <row r="18202">
      <c r="N18202" s="28"/>
      <c r="O18202" s="28"/>
      <c r="U18202" s="28"/>
    </row>
    <row r="18203">
      <c r="N18203" s="28"/>
      <c r="O18203" s="28"/>
      <c r="U18203" s="28"/>
    </row>
    <row r="18204">
      <c r="N18204" s="28"/>
      <c r="O18204" s="28"/>
      <c r="U18204" s="28"/>
    </row>
    <row r="18205">
      <c r="N18205" s="28"/>
      <c r="O18205" s="28"/>
      <c r="U18205" s="28"/>
    </row>
    <row r="18206">
      <c r="N18206" s="28"/>
      <c r="O18206" s="28"/>
      <c r="U18206" s="28"/>
    </row>
    <row r="18207">
      <c r="N18207" s="28"/>
      <c r="O18207" s="28"/>
      <c r="U18207" s="28"/>
    </row>
    <row r="18208">
      <c r="N18208" s="28"/>
      <c r="O18208" s="28"/>
      <c r="U18208" s="28"/>
    </row>
    <row r="18209">
      <c r="N18209" s="28"/>
      <c r="O18209" s="28"/>
      <c r="U18209" s="28"/>
    </row>
    <row r="18210">
      <c r="N18210" s="28"/>
      <c r="O18210" s="28"/>
      <c r="U18210" s="28"/>
    </row>
    <row r="18211">
      <c r="N18211" s="28"/>
      <c r="O18211" s="28"/>
      <c r="U18211" s="28"/>
    </row>
    <row r="18212">
      <c r="N18212" s="28"/>
      <c r="O18212" s="28"/>
      <c r="U18212" s="28"/>
    </row>
    <row r="18213">
      <c r="N18213" s="28"/>
      <c r="O18213" s="28"/>
      <c r="U18213" s="28"/>
    </row>
    <row r="18214">
      <c r="N18214" s="28"/>
      <c r="O18214" s="28"/>
      <c r="U18214" s="28"/>
    </row>
    <row r="18215">
      <c r="N18215" s="28"/>
      <c r="O18215" s="28"/>
      <c r="U18215" s="28"/>
    </row>
    <row r="18216">
      <c r="N18216" s="28"/>
      <c r="O18216" s="28"/>
      <c r="U18216" s="28"/>
    </row>
    <row r="18217">
      <c r="N18217" s="28"/>
      <c r="O18217" s="28"/>
      <c r="U18217" s="28"/>
    </row>
    <row r="18218">
      <c r="N18218" s="28"/>
      <c r="O18218" s="28"/>
      <c r="U18218" s="28"/>
    </row>
    <row r="18219">
      <c r="N18219" s="28"/>
      <c r="O18219" s="28"/>
      <c r="U18219" s="28"/>
    </row>
    <row r="18220">
      <c r="N18220" s="28"/>
      <c r="O18220" s="28"/>
      <c r="U18220" s="28"/>
    </row>
    <row r="18221">
      <c r="N18221" s="28"/>
      <c r="O18221" s="28"/>
      <c r="U18221" s="28"/>
    </row>
    <row r="18222">
      <c r="N18222" s="28"/>
      <c r="O18222" s="28"/>
      <c r="U18222" s="28"/>
    </row>
    <row r="18223">
      <c r="N18223" s="28"/>
      <c r="O18223" s="28"/>
      <c r="U18223" s="28"/>
    </row>
    <row r="18224">
      <c r="N18224" s="28"/>
      <c r="O18224" s="28"/>
      <c r="U18224" s="28"/>
    </row>
    <row r="18225">
      <c r="N18225" s="28"/>
      <c r="O18225" s="28"/>
      <c r="U18225" s="28"/>
    </row>
    <row r="18226">
      <c r="N18226" s="28"/>
      <c r="O18226" s="28"/>
      <c r="U18226" s="28"/>
    </row>
    <row r="18227">
      <c r="N18227" s="28"/>
      <c r="O18227" s="28"/>
      <c r="U18227" s="28"/>
    </row>
    <row r="18228">
      <c r="N18228" s="28"/>
      <c r="O18228" s="28"/>
      <c r="U18228" s="28"/>
    </row>
    <row r="18229">
      <c r="N18229" s="28"/>
      <c r="O18229" s="28"/>
      <c r="U18229" s="28"/>
    </row>
    <row r="18230">
      <c r="N18230" s="28"/>
      <c r="O18230" s="28"/>
      <c r="U18230" s="28"/>
    </row>
    <row r="18231">
      <c r="N18231" s="28"/>
      <c r="O18231" s="28"/>
      <c r="U18231" s="28"/>
    </row>
    <row r="18232">
      <c r="N18232" s="28"/>
      <c r="O18232" s="28"/>
      <c r="U18232" s="28"/>
    </row>
    <row r="18233">
      <c r="N18233" s="28"/>
      <c r="O18233" s="28"/>
      <c r="U18233" s="28"/>
    </row>
    <row r="18234">
      <c r="N18234" s="28"/>
      <c r="O18234" s="28"/>
      <c r="U18234" s="28"/>
    </row>
    <row r="18235">
      <c r="N18235" s="28"/>
      <c r="O18235" s="28"/>
      <c r="U18235" s="28"/>
    </row>
    <row r="18236">
      <c r="N18236" s="28"/>
      <c r="O18236" s="28"/>
      <c r="U18236" s="28"/>
    </row>
    <row r="18237">
      <c r="N18237" s="28"/>
      <c r="O18237" s="28"/>
      <c r="U18237" s="28"/>
    </row>
    <row r="18238">
      <c r="N18238" s="28"/>
      <c r="O18238" s="28"/>
      <c r="U18238" s="28"/>
    </row>
    <row r="18239">
      <c r="N18239" s="28"/>
      <c r="O18239" s="28"/>
      <c r="U18239" s="28"/>
    </row>
    <row r="18240">
      <c r="N18240" s="28"/>
      <c r="O18240" s="28"/>
      <c r="U18240" s="28"/>
    </row>
    <row r="18241">
      <c r="N18241" s="28"/>
      <c r="O18241" s="28"/>
      <c r="U18241" s="28"/>
    </row>
    <row r="18242">
      <c r="N18242" s="28"/>
      <c r="O18242" s="28"/>
      <c r="U18242" s="28"/>
    </row>
    <row r="18243">
      <c r="N18243" s="28"/>
      <c r="O18243" s="28"/>
      <c r="U18243" s="28"/>
    </row>
    <row r="18244">
      <c r="N18244" s="28"/>
      <c r="O18244" s="28"/>
      <c r="U18244" s="28"/>
    </row>
    <row r="18245">
      <c r="N18245" s="28"/>
      <c r="O18245" s="28"/>
      <c r="U18245" s="28"/>
    </row>
    <row r="18246">
      <c r="N18246" s="28"/>
      <c r="O18246" s="28"/>
      <c r="U18246" s="28"/>
    </row>
    <row r="18247">
      <c r="N18247" s="28"/>
      <c r="O18247" s="28"/>
      <c r="U18247" s="28"/>
    </row>
    <row r="18248">
      <c r="N18248" s="28"/>
      <c r="O18248" s="28"/>
      <c r="U18248" s="28"/>
    </row>
    <row r="18249">
      <c r="N18249" s="28"/>
      <c r="O18249" s="28"/>
      <c r="U18249" s="28"/>
    </row>
    <row r="18250">
      <c r="N18250" s="28"/>
      <c r="O18250" s="28"/>
      <c r="U18250" s="28"/>
    </row>
    <row r="18251">
      <c r="N18251" s="28"/>
      <c r="O18251" s="28"/>
      <c r="U18251" s="28"/>
    </row>
    <row r="18252">
      <c r="N18252" s="28"/>
      <c r="O18252" s="28"/>
      <c r="U18252" s="28"/>
    </row>
    <row r="18253">
      <c r="N18253" s="28"/>
      <c r="O18253" s="28"/>
      <c r="U18253" s="28"/>
    </row>
    <row r="18254">
      <c r="N18254" s="28"/>
      <c r="O18254" s="28"/>
      <c r="U18254" s="28"/>
    </row>
    <row r="18255">
      <c r="N18255" s="28"/>
      <c r="O18255" s="28"/>
      <c r="U18255" s="28"/>
    </row>
    <row r="18256">
      <c r="N18256" s="28"/>
      <c r="O18256" s="28"/>
      <c r="U18256" s="28"/>
    </row>
    <row r="18257">
      <c r="N18257" s="28"/>
      <c r="O18257" s="28"/>
      <c r="U18257" s="28"/>
    </row>
    <row r="18258">
      <c r="N18258" s="28"/>
      <c r="O18258" s="28"/>
      <c r="U18258" s="28"/>
    </row>
    <row r="18259">
      <c r="N18259" s="28"/>
      <c r="O18259" s="28"/>
      <c r="U18259" s="28"/>
    </row>
    <row r="18260">
      <c r="N18260" s="28"/>
      <c r="O18260" s="28"/>
      <c r="U18260" s="28"/>
    </row>
    <row r="18261">
      <c r="N18261" s="28"/>
      <c r="O18261" s="28"/>
      <c r="U18261" s="28"/>
    </row>
    <row r="18262">
      <c r="N18262" s="28"/>
      <c r="O18262" s="28"/>
      <c r="U18262" s="28"/>
    </row>
    <row r="18263">
      <c r="N18263" s="28"/>
      <c r="O18263" s="28"/>
      <c r="U18263" s="28"/>
    </row>
    <row r="18264">
      <c r="N18264" s="28"/>
      <c r="O18264" s="28"/>
      <c r="U18264" s="28"/>
    </row>
    <row r="18265">
      <c r="N18265" s="28"/>
      <c r="O18265" s="28"/>
      <c r="U18265" s="28"/>
    </row>
    <row r="18266">
      <c r="N18266" s="28"/>
      <c r="O18266" s="28"/>
      <c r="U18266" s="28"/>
    </row>
    <row r="18267">
      <c r="N18267" s="28"/>
      <c r="O18267" s="28"/>
      <c r="U18267" s="28"/>
    </row>
    <row r="18268">
      <c r="N18268" s="28"/>
      <c r="O18268" s="28"/>
      <c r="U18268" s="28"/>
    </row>
    <row r="18269">
      <c r="N18269" s="28"/>
      <c r="O18269" s="28"/>
      <c r="U18269" s="28"/>
    </row>
    <row r="18270">
      <c r="N18270" s="28"/>
      <c r="O18270" s="28"/>
      <c r="U18270" s="28"/>
    </row>
    <row r="18271">
      <c r="N18271" s="28"/>
      <c r="O18271" s="28"/>
      <c r="U18271" s="28"/>
    </row>
    <row r="18272">
      <c r="N18272" s="28"/>
      <c r="O18272" s="28"/>
      <c r="U18272" s="28"/>
    </row>
    <row r="18273">
      <c r="N18273" s="28"/>
      <c r="O18273" s="28"/>
      <c r="U18273" s="28"/>
    </row>
    <row r="18274">
      <c r="N18274" s="28"/>
      <c r="O18274" s="28"/>
      <c r="U18274" s="28"/>
    </row>
    <row r="18275">
      <c r="N18275" s="28"/>
      <c r="O18275" s="28"/>
      <c r="U18275" s="28"/>
    </row>
    <row r="18276">
      <c r="N18276" s="28"/>
      <c r="O18276" s="28"/>
      <c r="U18276" s="28"/>
    </row>
    <row r="18277">
      <c r="N18277" s="28"/>
      <c r="O18277" s="28"/>
      <c r="U18277" s="28"/>
    </row>
    <row r="18278">
      <c r="N18278" s="28"/>
      <c r="O18278" s="28"/>
      <c r="U18278" s="28"/>
    </row>
    <row r="18279">
      <c r="N18279" s="28"/>
      <c r="O18279" s="28"/>
      <c r="U18279" s="28"/>
    </row>
    <row r="18280">
      <c r="N18280" s="28"/>
      <c r="O18280" s="28"/>
      <c r="U18280" s="28"/>
    </row>
    <row r="18281">
      <c r="N18281" s="28"/>
      <c r="O18281" s="28"/>
      <c r="U18281" s="28"/>
    </row>
    <row r="18282">
      <c r="N18282" s="28"/>
      <c r="O18282" s="28"/>
      <c r="U18282" s="28"/>
    </row>
    <row r="18283">
      <c r="N18283" s="28"/>
      <c r="O18283" s="28"/>
      <c r="U18283" s="28"/>
    </row>
    <row r="18284">
      <c r="N18284" s="28"/>
      <c r="O18284" s="28"/>
      <c r="U18284" s="28"/>
    </row>
    <row r="18285">
      <c r="N18285" s="28"/>
      <c r="O18285" s="28"/>
      <c r="U18285" s="28"/>
    </row>
    <row r="18286">
      <c r="N18286" s="28"/>
      <c r="O18286" s="28"/>
      <c r="U18286" s="28"/>
    </row>
    <row r="18287">
      <c r="N18287" s="28"/>
      <c r="O18287" s="28"/>
      <c r="U18287" s="28"/>
    </row>
    <row r="18288">
      <c r="N18288" s="28"/>
      <c r="O18288" s="28"/>
      <c r="U18288" s="28"/>
    </row>
    <row r="18289">
      <c r="N18289" s="28"/>
      <c r="O18289" s="28"/>
      <c r="U18289" s="28"/>
    </row>
    <row r="18290">
      <c r="N18290" s="28"/>
      <c r="O18290" s="28"/>
      <c r="U18290" s="28"/>
    </row>
    <row r="18291">
      <c r="N18291" s="28"/>
      <c r="O18291" s="28"/>
      <c r="U18291" s="28"/>
    </row>
    <row r="18292">
      <c r="N18292" s="28"/>
      <c r="O18292" s="28"/>
      <c r="U18292" s="28"/>
    </row>
    <row r="18293">
      <c r="N18293" s="28"/>
      <c r="O18293" s="28"/>
      <c r="U18293" s="28"/>
    </row>
    <row r="18294">
      <c r="N18294" s="28"/>
      <c r="O18294" s="28"/>
      <c r="U18294" s="28"/>
    </row>
    <row r="18295">
      <c r="N18295" s="28"/>
      <c r="O18295" s="28"/>
      <c r="U18295" s="28"/>
    </row>
    <row r="18296">
      <c r="N18296" s="28"/>
      <c r="O18296" s="28"/>
      <c r="U18296" s="28"/>
    </row>
    <row r="18297">
      <c r="N18297" s="28"/>
      <c r="O18297" s="28"/>
      <c r="U18297" s="28"/>
    </row>
    <row r="18298">
      <c r="N18298" s="28"/>
      <c r="O18298" s="28"/>
      <c r="U18298" s="28"/>
    </row>
    <row r="18299">
      <c r="N18299" s="28"/>
      <c r="O18299" s="28"/>
      <c r="U18299" s="28"/>
    </row>
    <row r="18300">
      <c r="N18300" s="28"/>
      <c r="O18300" s="28"/>
      <c r="U18300" s="28"/>
    </row>
    <row r="18301">
      <c r="N18301" s="28"/>
      <c r="O18301" s="28"/>
      <c r="U18301" s="28"/>
    </row>
    <row r="18302">
      <c r="N18302" s="28"/>
      <c r="O18302" s="28"/>
      <c r="U18302" s="28"/>
    </row>
    <row r="18303">
      <c r="N18303" s="28"/>
      <c r="O18303" s="28"/>
      <c r="U18303" s="28"/>
    </row>
    <row r="18304">
      <c r="N18304" s="28"/>
      <c r="O18304" s="28"/>
      <c r="U18304" s="28"/>
    </row>
    <row r="18305">
      <c r="N18305" s="28"/>
      <c r="O18305" s="28"/>
      <c r="U18305" s="28"/>
    </row>
    <row r="18306">
      <c r="N18306" s="28"/>
      <c r="O18306" s="28"/>
      <c r="U18306" s="28"/>
    </row>
    <row r="18307">
      <c r="N18307" s="28"/>
      <c r="O18307" s="28"/>
      <c r="U18307" s="28"/>
    </row>
    <row r="18308">
      <c r="N18308" s="28"/>
      <c r="O18308" s="28"/>
      <c r="U18308" s="28"/>
    </row>
    <row r="18309">
      <c r="N18309" s="28"/>
      <c r="O18309" s="28"/>
      <c r="U18309" s="28"/>
    </row>
    <row r="18310">
      <c r="N18310" s="28"/>
      <c r="O18310" s="28"/>
      <c r="U18310" s="28"/>
    </row>
    <row r="18311">
      <c r="N18311" s="28"/>
      <c r="O18311" s="28"/>
      <c r="U18311" s="28"/>
    </row>
    <row r="18312">
      <c r="N18312" s="28"/>
      <c r="O18312" s="28"/>
      <c r="U18312" s="28"/>
    </row>
    <row r="18313">
      <c r="N18313" s="28"/>
      <c r="O18313" s="28"/>
      <c r="U18313" s="28"/>
    </row>
    <row r="18314">
      <c r="N18314" s="28"/>
      <c r="O18314" s="28"/>
      <c r="U18314" s="28"/>
    </row>
    <row r="18315">
      <c r="N18315" s="28"/>
      <c r="O18315" s="28"/>
      <c r="U18315" s="28"/>
    </row>
    <row r="18316">
      <c r="N18316" s="28"/>
      <c r="O18316" s="28"/>
      <c r="U18316" s="28"/>
    </row>
    <row r="18317">
      <c r="N18317" s="28"/>
      <c r="O18317" s="28"/>
      <c r="U18317" s="28"/>
    </row>
    <row r="18318">
      <c r="N18318" s="28"/>
      <c r="O18318" s="28"/>
      <c r="U18318" s="28"/>
    </row>
    <row r="18319">
      <c r="N18319" s="28"/>
      <c r="O18319" s="28"/>
      <c r="U18319" s="28"/>
    </row>
    <row r="18320">
      <c r="N18320" s="28"/>
      <c r="O18320" s="28"/>
      <c r="U18320" s="28"/>
    </row>
    <row r="18321">
      <c r="N18321" s="28"/>
      <c r="O18321" s="28"/>
      <c r="U18321" s="28"/>
    </row>
    <row r="18322">
      <c r="N18322" s="28"/>
      <c r="O18322" s="28"/>
      <c r="U18322" s="28"/>
    </row>
    <row r="18323">
      <c r="N18323" s="28"/>
      <c r="O18323" s="28"/>
      <c r="U18323" s="28"/>
    </row>
    <row r="18324">
      <c r="N18324" s="28"/>
      <c r="O18324" s="28"/>
      <c r="U18324" s="28"/>
    </row>
    <row r="18325">
      <c r="N18325" s="28"/>
      <c r="O18325" s="28"/>
      <c r="U18325" s="28"/>
    </row>
    <row r="18326">
      <c r="N18326" s="28"/>
      <c r="O18326" s="28"/>
      <c r="U18326" s="28"/>
    </row>
    <row r="18327">
      <c r="N18327" s="28"/>
      <c r="O18327" s="28"/>
      <c r="U18327" s="28"/>
    </row>
    <row r="18328">
      <c r="N18328" s="28"/>
      <c r="O18328" s="28"/>
      <c r="U18328" s="28"/>
    </row>
    <row r="18329">
      <c r="N18329" s="28"/>
      <c r="O18329" s="28"/>
      <c r="U18329" s="28"/>
    </row>
    <row r="18330">
      <c r="N18330" s="28"/>
      <c r="O18330" s="28"/>
      <c r="U18330" s="28"/>
    </row>
    <row r="18331">
      <c r="N18331" s="28"/>
      <c r="O18331" s="28"/>
      <c r="U18331" s="28"/>
    </row>
    <row r="18332">
      <c r="N18332" s="28"/>
      <c r="O18332" s="28"/>
      <c r="U18332" s="28"/>
    </row>
    <row r="18333">
      <c r="N18333" s="28"/>
      <c r="O18333" s="28"/>
      <c r="U18333" s="28"/>
    </row>
    <row r="18334">
      <c r="N18334" s="28"/>
      <c r="O18334" s="28"/>
      <c r="U18334" s="28"/>
    </row>
    <row r="18335">
      <c r="N18335" s="28"/>
      <c r="O18335" s="28"/>
      <c r="U18335" s="28"/>
    </row>
    <row r="18336">
      <c r="N18336" s="28"/>
      <c r="O18336" s="28"/>
      <c r="U18336" s="28"/>
    </row>
    <row r="18337">
      <c r="N18337" s="28"/>
      <c r="O18337" s="28"/>
      <c r="U18337" s="28"/>
    </row>
    <row r="18338">
      <c r="N18338" s="28"/>
      <c r="O18338" s="28"/>
      <c r="U18338" s="28"/>
    </row>
    <row r="18339">
      <c r="N18339" s="28"/>
      <c r="O18339" s="28"/>
      <c r="U18339" s="28"/>
    </row>
    <row r="18340">
      <c r="N18340" s="28"/>
      <c r="O18340" s="28"/>
      <c r="U18340" s="28"/>
    </row>
    <row r="18341">
      <c r="N18341" s="28"/>
      <c r="O18341" s="28"/>
      <c r="U18341" s="28"/>
    </row>
    <row r="18342">
      <c r="N18342" s="28"/>
      <c r="O18342" s="28"/>
      <c r="U18342" s="28"/>
    </row>
    <row r="18343">
      <c r="N18343" s="28"/>
      <c r="O18343" s="28"/>
      <c r="U18343" s="28"/>
    </row>
    <row r="18344">
      <c r="N18344" s="28"/>
      <c r="O18344" s="28"/>
      <c r="U18344" s="28"/>
    </row>
    <row r="18345">
      <c r="N18345" s="28"/>
      <c r="O18345" s="28"/>
      <c r="U18345" s="28"/>
    </row>
    <row r="18346">
      <c r="N18346" s="28"/>
      <c r="O18346" s="28"/>
      <c r="U18346" s="28"/>
    </row>
    <row r="18347">
      <c r="N18347" s="28"/>
      <c r="O18347" s="28"/>
      <c r="U18347" s="28"/>
    </row>
    <row r="18348">
      <c r="N18348" s="28"/>
      <c r="O18348" s="28"/>
      <c r="U18348" s="28"/>
    </row>
    <row r="18349">
      <c r="N18349" s="28"/>
      <c r="O18349" s="28"/>
      <c r="U18349" s="28"/>
    </row>
    <row r="18350">
      <c r="N18350" s="28"/>
      <c r="O18350" s="28"/>
      <c r="U18350" s="28"/>
    </row>
    <row r="18351">
      <c r="N18351" s="28"/>
      <c r="O18351" s="28"/>
      <c r="U18351" s="28"/>
    </row>
    <row r="18352">
      <c r="N18352" s="28"/>
      <c r="O18352" s="28"/>
      <c r="U18352" s="28"/>
    </row>
    <row r="18353">
      <c r="N18353" s="28"/>
      <c r="O18353" s="28"/>
      <c r="U18353" s="28"/>
    </row>
    <row r="18354">
      <c r="N18354" s="28"/>
      <c r="O18354" s="28"/>
      <c r="U18354" s="28"/>
    </row>
    <row r="18355">
      <c r="N18355" s="28"/>
      <c r="O18355" s="28"/>
      <c r="U18355" s="28"/>
    </row>
    <row r="18356">
      <c r="N18356" s="28"/>
      <c r="O18356" s="28"/>
      <c r="U18356" s="28"/>
    </row>
    <row r="18357">
      <c r="N18357" s="28"/>
      <c r="O18357" s="28"/>
      <c r="U18357" s="28"/>
    </row>
    <row r="18358">
      <c r="N18358" s="28"/>
      <c r="O18358" s="28"/>
      <c r="U18358" s="28"/>
    </row>
    <row r="18359">
      <c r="N18359" s="28"/>
      <c r="O18359" s="28"/>
      <c r="U18359" s="28"/>
    </row>
    <row r="18360">
      <c r="N18360" s="28"/>
      <c r="O18360" s="28"/>
      <c r="U18360" s="28"/>
    </row>
    <row r="18361">
      <c r="N18361" s="28"/>
      <c r="O18361" s="28"/>
      <c r="U18361" s="28"/>
    </row>
    <row r="18362">
      <c r="N18362" s="28"/>
      <c r="O18362" s="28"/>
      <c r="U18362" s="28"/>
    </row>
    <row r="18363">
      <c r="N18363" s="28"/>
      <c r="O18363" s="28"/>
      <c r="U18363" s="28"/>
    </row>
    <row r="18364">
      <c r="N18364" s="28"/>
      <c r="O18364" s="28"/>
      <c r="U18364" s="28"/>
    </row>
    <row r="18365">
      <c r="N18365" s="28"/>
      <c r="O18365" s="28"/>
      <c r="U18365" s="28"/>
    </row>
    <row r="18366">
      <c r="N18366" s="28"/>
      <c r="O18366" s="28"/>
      <c r="U18366" s="28"/>
    </row>
    <row r="18367">
      <c r="N18367" s="28"/>
      <c r="O18367" s="28"/>
      <c r="U18367" s="28"/>
    </row>
    <row r="18368">
      <c r="N18368" s="28"/>
      <c r="O18368" s="28"/>
      <c r="U18368" s="28"/>
    </row>
    <row r="18369">
      <c r="N18369" s="28"/>
      <c r="O18369" s="28"/>
      <c r="U18369" s="28"/>
    </row>
    <row r="18370">
      <c r="N18370" s="28"/>
      <c r="O18370" s="28"/>
      <c r="U18370" s="28"/>
    </row>
    <row r="18371">
      <c r="N18371" s="28"/>
      <c r="O18371" s="28"/>
      <c r="U18371" s="28"/>
    </row>
    <row r="18372">
      <c r="N18372" s="28"/>
      <c r="O18372" s="28"/>
      <c r="U18372" s="28"/>
    </row>
    <row r="18373">
      <c r="N18373" s="28"/>
      <c r="O18373" s="28"/>
      <c r="U18373" s="28"/>
    </row>
    <row r="18374">
      <c r="N18374" s="28"/>
      <c r="O18374" s="28"/>
      <c r="U18374" s="28"/>
    </row>
    <row r="18375">
      <c r="N18375" s="28"/>
      <c r="O18375" s="28"/>
      <c r="U18375" s="28"/>
    </row>
    <row r="18376">
      <c r="N18376" s="28"/>
      <c r="O18376" s="28"/>
      <c r="U18376" s="28"/>
    </row>
    <row r="18377">
      <c r="N18377" s="28"/>
      <c r="O18377" s="28"/>
      <c r="U18377" s="28"/>
    </row>
    <row r="18378">
      <c r="N18378" s="28"/>
      <c r="O18378" s="28"/>
      <c r="U18378" s="28"/>
    </row>
    <row r="18379">
      <c r="N18379" s="28"/>
      <c r="O18379" s="28"/>
      <c r="U18379" s="28"/>
    </row>
    <row r="18380">
      <c r="N18380" s="28"/>
      <c r="O18380" s="28"/>
      <c r="U18380" s="28"/>
    </row>
    <row r="18381">
      <c r="N18381" s="28"/>
      <c r="O18381" s="28"/>
      <c r="U18381" s="28"/>
    </row>
    <row r="18382">
      <c r="N18382" s="28"/>
      <c r="O18382" s="28"/>
      <c r="U18382" s="28"/>
    </row>
    <row r="18383">
      <c r="N18383" s="28"/>
      <c r="O18383" s="28"/>
      <c r="U18383" s="28"/>
    </row>
    <row r="18384">
      <c r="N18384" s="28"/>
      <c r="O18384" s="28"/>
      <c r="U18384" s="28"/>
    </row>
    <row r="18385">
      <c r="N18385" s="28"/>
      <c r="O18385" s="28"/>
      <c r="U18385" s="28"/>
    </row>
    <row r="18386">
      <c r="N18386" s="28"/>
      <c r="O18386" s="28"/>
      <c r="U18386" s="28"/>
    </row>
    <row r="18387">
      <c r="N18387" s="28"/>
      <c r="O18387" s="28"/>
      <c r="U18387" s="28"/>
    </row>
    <row r="18388">
      <c r="N18388" s="28"/>
      <c r="O18388" s="28"/>
      <c r="U18388" s="28"/>
    </row>
    <row r="18389">
      <c r="N18389" s="28"/>
      <c r="O18389" s="28"/>
      <c r="U18389" s="28"/>
    </row>
    <row r="18390">
      <c r="N18390" s="28"/>
      <c r="O18390" s="28"/>
      <c r="U18390" s="28"/>
    </row>
    <row r="18391">
      <c r="N18391" s="28"/>
      <c r="O18391" s="28"/>
      <c r="U18391" s="28"/>
    </row>
    <row r="18392">
      <c r="N18392" s="28"/>
      <c r="O18392" s="28"/>
      <c r="U18392" s="28"/>
    </row>
    <row r="18393">
      <c r="N18393" s="28"/>
      <c r="O18393" s="28"/>
      <c r="U18393" s="28"/>
    </row>
    <row r="18394">
      <c r="N18394" s="28"/>
      <c r="O18394" s="28"/>
      <c r="U18394" s="28"/>
    </row>
    <row r="18395">
      <c r="N18395" s="28"/>
      <c r="O18395" s="28"/>
      <c r="U18395" s="28"/>
    </row>
    <row r="18396">
      <c r="N18396" s="28"/>
      <c r="O18396" s="28"/>
      <c r="U18396" s="28"/>
    </row>
    <row r="18397">
      <c r="N18397" s="28"/>
      <c r="O18397" s="28"/>
      <c r="U18397" s="28"/>
    </row>
    <row r="18398">
      <c r="N18398" s="28"/>
      <c r="O18398" s="28"/>
      <c r="U18398" s="28"/>
    </row>
    <row r="18399">
      <c r="N18399" s="28"/>
      <c r="O18399" s="28"/>
      <c r="U18399" s="28"/>
    </row>
    <row r="18400">
      <c r="N18400" s="28"/>
      <c r="O18400" s="28"/>
      <c r="U18400" s="28"/>
    </row>
    <row r="18401">
      <c r="N18401" s="28"/>
      <c r="O18401" s="28"/>
      <c r="U18401" s="28"/>
    </row>
    <row r="18402">
      <c r="N18402" s="28"/>
      <c r="O18402" s="28"/>
      <c r="U18402" s="28"/>
    </row>
    <row r="18403">
      <c r="N18403" s="28"/>
      <c r="O18403" s="28"/>
      <c r="U18403" s="28"/>
    </row>
    <row r="18404">
      <c r="N18404" s="28"/>
      <c r="O18404" s="28"/>
      <c r="U18404" s="28"/>
    </row>
    <row r="18405">
      <c r="N18405" s="28"/>
      <c r="O18405" s="28"/>
      <c r="U18405" s="28"/>
    </row>
    <row r="18406">
      <c r="N18406" s="28"/>
      <c r="O18406" s="28"/>
      <c r="U18406" s="28"/>
    </row>
    <row r="18407">
      <c r="N18407" s="28"/>
      <c r="O18407" s="28"/>
      <c r="U18407" s="28"/>
    </row>
    <row r="18408">
      <c r="N18408" s="28"/>
      <c r="O18408" s="28"/>
      <c r="U18408" s="28"/>
    </row>
    <row r="18409">
      <c r="N18409" s="28"/>
      <c r="O18409" s="28"/>
      <c r="U18409" s="28"/>
    </row>
    <row r="18410">
      <c r="N18410" s="28"/>
      <c r="O18410" s="28"/>
      <c r="U18410" s="28"/>
    </row>
    <row r="18411">
      <c r="N18411" s="28"/>
      <c r="O18411" s="28"/>
      <c r="U18411" s="28"/>
    </row>
    <row r="18412">
      <c r="N18412" s="28"/>
      <c r="O18412" s="28"/>
      <c r="U18412" s="28"/>
    </row>
    <row r="18413">
      <c r="N18413" s="28"/>
      <c r="O18413" s="28"/>
      <c r="U18413" s="28"/>
    </row>
    <row r="18414">
      <c r="N18414" s="28"/>
      <c r="O18414" s="28"/>
      <c r="U18414" s="28"/>
    </row>
    <row r="18415">
      <c r="N18415" s="28"/>
      <c r="O18415" s="28"/>
      <c r="U18415" s="28"/>
    </row>
    <row r="18416">
      <c r="N18416" s="28"/>
      <c r="O18416" s="28"/>
      <c r="U18416" s="28"/>
    </row>
    <row r="18417">
      <c r="N18417" s="28"/>
      <c r="O18417" s="28"/>
      <c r="U18417" s="28"/>
    </row>
    <row r="18418">
      <c r="N18418" s="28"/>
      <c r="O18418" s="28"/>
      <c r="U18418" s="28"/>
    </row>
    <row r="18419">
      <c r="N18419" s="28"/>
      <c r="O18419" s="28"/>
      <c r="U18419" s="28"/>
    </row>
    <row r="18420">
      <c r="N18420" s="28"/>
      <c r="O18420" s="28"/>
      <c r="U18420" s="28"/>
    </row>
    <row r="18421">
      <c r="N18421" s="28"/>
      <c r="O18421" s="28"/>
      <c r="U18421" s="28"/>
    </row>
    <row r="18422">
      <c r="N18422" s="28"/>
      <c r="O18422" s="28"/>
      <c r="U18422" s="28"/>
    </row>
    <row r="18423">
      <c r="N18423" s="28"/>
      <c r="O18423" s="28"/>
      <c r="U18423" s="28"/>
    </row>
    <row r="18424">
      <c r="N18424" s="28"/>
      <c r="O18424" s="28"/>
      <c r="U18424" s="28"/>
    </row>
    <row r="18425">
      <c r="N18425" s="28"/>
      <c r="O18425" s="28"/>
      <c r="U18425" s="28"/>
    </row>
    <row r="18426">
      <c r="N18426" s="28"/>
      <c r="O18426" s="28"/>
      <c r="U18426" s="28"/>
    </row>
    <row r="18427">
      <c r="N18427" s="28"/>
      <c r="O18427" s="28"/>
      <c r="U18427" s="28"/>
    </row>
    <row r="18428">
      <c r="N18428" s="28"/>
      <c r="O18428" s="28"/>
      <c r="U18428" s="28"/>
    </row>
    <row r="18429">
      <c r="N18429" s="28"/>
      <c r="O18429" s="28"/>
      <c r="U18429" s="28"/>
    </row>
    <row r="18430">
      <c r="N18430" s="28"/>
      <c r="O18430" s="28"/>
      <c r="U18430" s="28"/>
    </row>
    <row r="18431">
      <c r="N18431" s="28"/>
      <c r="O18431" s="28"/>
      <c r="U18431" s="28"/>
    </row>
    <row r="18432">
      <c r="N18432" s="28"/>
      <c r="O18432" s="28"/>
      <c r="U18432" s="28"/>
    </row>
    <row r="18433">
      <c r="N18433" s="28"/>
      <c r="O18433" s="28"/>
      <c r="U18433" s="28"/>
    </row>
    <row r="18434">
      <c r="N18434" s="28"/>
      <c r="O18434" s="28"/>
      <c r="U18434" s="28"/>
    </row>
    <row r="18435">
      <c r="N18435" s="28"/>
      <c r="O18435" s="28"/>
      <c r="U18435" s="28"/>
    </row>
    <row r="18436">
      <c r="N18436" s="28"/>
      <c r="O18436" s="28"/>
      <c r="U18436" s="28"/>
    </row>
    <row r="18437">
      <c r="N18437" s="28"/>
      <c r="O18437" s="28"/>
      <c r="U18437" s="28"/>
    </row>
    <row r="18438">
      <c r="N18438" s="28"/>
      <c r="O18438" s="28"/>
      <c r="U18438" s="28"/>
    </row>
    <row r="18439">
      <c r="N18439" s="28"/>
      <c r="O18439" s="28"/>
      <c r="U18439" s="28"/>
    </row>
    <row r="18440">
      <c r="N18440" s="28"/>
      <c r="O18440" s="28"/>
      <c r="U18440" s="28"/>
    </row>
    <row r="18441">
      <c r="N18441" s="28"/>
      <c r="O18441" s="28"/>
      <c r="U18441" s="28"/>
    </row>
    <row r="18442">
      <c r="N18442" s="28"/>
      <c r="O18442" s="28"/>
      <c r="U18442" s="28"/>
    </row>
    <row r="18443">
      <c r="N18443" s="28"/>
      <c r="O18443" s="28"/>
      <c r="U18443" s="28"/>
    </row>
    <row r="18444">
      <c r="N18444" s="28"/>
      <c r="O18444" s="28"/>
      <c r="U18444" s="28"/>
    </row>
    <row r="18445">
      <c r="N18445" s="28"/>
      <c r="O18445" s="28"/>
      <c r="U18445" s="28"/>
    </row>
    <row r="18446">
      <c r="N18446" s="28"/>
      <c r="O18446" s="28"/>
      <c r="U18446" s="28"/>
    </row>
    <row r="18447">
      <c r="N18447" s="28"/>
      <c r="O18447" s="28"/>
      <c r="U18447" s="28"/>
    </row>
    <row r="18448">
      <c r="N18448" s="28"/>
      <c r="O18448" s="28"/>
      <c r="U18448" s="28"/>
    </row>
    <row r="18449">
      <c r="N18449" s="28"/>
      <c r="O18449" s="28"/>
      <c r="U18449" s="28"/>
    </row>
    <row r="18450">
      <c r="N18450" s="28"/>
      <c r="O18450" s="28"/>
      <c r="U18450" s="28"/>
    </row>
    <row r="18451">
      <c r="N18451" s="28"/>
      <c r="O18451" s="28"/>
      <c r="U18451" s="28"/>
    </row>
    <row r="18452">
      <c r="N18452" s="28"/>
      <c r="O18452" s="28"/>
      <c r="U18452" s="28"/>
    </row>
    <row r="18453">
      <c r="N18453" s="28"/>
      <c r="O18453" s="28"/>
      <c r="U18453" s="28"/>
    </row>
    <row r="18454">
      <c r="N18454" s="28"/>
      <c r="O18454" s="28"/>
      <c r="U18454" s="28"/>
    </row>
    <row r="18455">
      <c r="N18455" s="28"/>
      <c r="O18455" s="28"/>
      <c r="U18455" s="28"/>
    </row>
    <row r="18456">
      <c r="N18456" s="28"/>
      <c r="O18456" s="28"/>
      <c r="U18456" s="28"/>
    </row>
    <row r="18457">
      <c r="N18457" s="28"/>
      <c r="O18457" s="28"/>
      <c r="U18457" s="28"/>
    </row>
    <row r="18458">
      <c r="N18458" s="28"/>
      <c r="O18458" s="28"/>
      <c r="U18458" s="28"/>
    </row>
    <row r="18459">
      <c r="N18459" s="28"/>
      <c r="O18459" s="28"/>
      <c r="U18459" s="28"/>
    </row>
    <row r="18460">
      <c r="N18460" s="28"/>
      <c r="O18460" s="28"/>
      <c r="U18460" s="28"/>
    </row>
    <row r="18461">
      <c r="N18461" s="28"/>
      <c r="O18461" s="28"/>
      <c r="U18461" s="28"/>
    </row>
    <row r="18462">
      <c r="N18462" s="28"/>
      <c r="O18462" s="28"/>
      <c r="U18462" s="28"/>
    </row>
    <row r="18463">
      <c r="N18463" s="28"/>
      <c r="O18463" s="28"/>
      <c r="U18463" s="28"/>
    </row>
    <row r="18464">
      <c r="N18464" s="28"/>
      <c r="O18464" s="28"/>
      <c r="U18464" s="28"/>
    </row>
    <row r="18465">
      <c r="N18465" s="28"/>
      <c r="O18465" s="28"/>
      <c r="U18465" s="28"/>
    </row>
    <row r="18466">
      <c r="N18466" s="28"/>
      <c r="O18466" s="28"/>
      <c r="U18466" s="28"/>
    </row>
    <row r="18467">
      <c r="N18467" s="28"/>
      <c r="O18467" s="28"/>
      <c r="U18467" s="28"/>
    </row>
    <row r="18468">
      <c r="N18468" s="28"/>
      <c r="O18468" s="28"/>
      <c r="U18468" s="28"/>
    </row>
    <row r="18469">
      <c r="N18469" s="28"/>
      <c r="O18469" s="28"/>
      <c r="U18469" s="28"/>
    </row>
    <row r="18470">
      <c r="N18470" s="28"/>
      <c r="O18470" s="28"/>
      <c r="U18470" s="28"/>
    </row>
    <row r="18471">
      <c r="N18471" s="28"/>
      <c r="O18471" s="28"/>
      <c r="U18471" s="28"/>
    </row>
    <row r="18472">
      <c r="N18472" s="28"/>
      <c r="O18472" s="28"/>
      <c r="U18472" s="28"/>
    </row>
    <row r="18473">
      <c r="N18473" s="28"/>
      <c r="O18473" s="28"/>
      <c r="U18473" s="28"/>
    </row>
    <row r="18474">
      <c r="N18474" s="28"/>
      <c r="O18474" s="28"/>
      <c r="U18474" s="28"/>
    </row>
    <row r="18475">
      <c r="N18475" s="28"/>
      <c r="O18475" s="28"/>
      <c r="U18475" s="28"/>
    </row>
    <row r="18476">
      <c r="N18476" s="28"/>
      <c r="O18476" s="28"/>
      <c r="U18476" s="28"/>
    </row>
    <row r="18477">
      <c r="N18477" s="28"/>
      <c r="O18477" s="28"/>
      <c r="U18477" s="28"/>
    </row>
    <row r="18478">
      <c r="N18478" s="28"/>
      <c r="O18478" s="28"/>
      <c r="U18478" s="28"/>
    </row>
    <row r="18479">
      <c r="N18479" s="28"/>
      <c r="O18479" s="28"/>
      <c r="U18479" s="28"/>
    </row>
    <row r="18480">
      <c r="N18480" s="28"/>
      <c r="O18480" s="28"/>
      <c r="U18480" s="28"/>
    </row>
    <row r="18481">
      <c r="N18481" s="28"/>
      <c r="O18481" s="28"/>
      <c r="U18481" s="28"/>
    </row>
    <row r="18482">
      <c r="N18482" s="28"/>
      <c r="O18482" s="28"/>
      <c r="U18482" s="28"/>
    </row>
    <row r="18483">
      <c r="N18483" s="28"/>
      <c r="O18483" s="28"/>
      <c r="U18483" s="28"/>
    </row>
    <row r="18484">
      <c r="N18484" s="28"/>
      <c r="O18484" s="28"/>
      <c r="U18484" s="28"/>
    </row>
    <row r="18485">
      <c r="N18485" s="28"/>
      <c r="O18485" s="28"/>
      <c r="U18485" s="28"/>
    </row>
    <row r="18486">
      <c r="N18486" s="28"/>
      <c r="O18486" s="28"/>
      <c r="U18486" s="28"/>
    </row>
    <row r="18487">
      <c r="N18487" s="28"/>
      <c r="O18487" s="28"/>
      <c r="U18487" s="28"/>
    </row>
    <row r="18488">
      <c r="N18488" s="28"/>
      <c r="O18488" s="28"/>
      <c r="U18488" s="28"/>
    </row>
    <row r="18489">
      <c r="N18489" s="28"/>
      <c r="O18489" s="28"/>
      <c r="U18489" s="28"/>
    </row>
    <row r="18490">
      <c r="N18490" s="28"/>
      <c r="O18490" s="28"/>
      <c r="U18490" s="28"/>
    </row>
    <row r="18491">
      <c r="N18491" s="28"/>
      <c r="O18491" s="28"/>
      <c r="U18491" s="28"/>
    </row>
    <row r="18492">
      <c r="N18492" s="28"/>
      <c r="O18492" s="28"/>
      <c r="U18492" s="28"/>
    </row>
    <row r="18493">
      <c r="N18493" s="28"/>
      <c r="O18493" s="28"/>
      <c r="U18493" s="28"/>
    </row>
    <row r="18494">
      <c r="N18494" s="28"/>
      <c r="O18494" s="28"/>
      <c r="U18494" s="28"/>
    </row>
    <row r="18495">
      <c r="N18495" s="28"/>
      <c r="O18495" s="28"/>
      <c r="U18495" s="28"/>
    </row>
    <row r="18496">
      <c r="N18496" s="28"/>
      <c r="O18496" s="28"/>
      <c r="U18496" s="28"/>
    </row>
    <row r="18497">
      <c r="N18497" s="28"/>
      <c r="O18497" s="28"/>
      <c r="U18497" s="28"/>
    </row>
    <row r="18498">
      <c r="N18498" s="28"/>
      <c r="O18498" s="28"/>
      <c r="U18498" s="28"/>
    </row>
    <row r="18499">
      <c r="N18499" s="28"/>
      <c r="O18499" s="28"/>
      <c r="U18499" s="28"/>
    </row>
    <row r="18500">
      <c r="N18500" s="28"/>
      <c r="O18500" s="28"/>
      <c r="U18500" s="28"/>
    </row>
    <row r="18501">
      <c r="N18501" s="28"/>
      <c r="O18501" s="28"/>
      <c r="U18501" s="28"/>
    </row>
    <row r="18502">
      <c r="N18502" s="28"/>
      <c r="O18502" s="28"/>
      <c r="U18502" s="28"/>
    </row>
    <row r="18503">
      <c r="N18503" s="28"/>
      <c r="O18503" s="28"/>
      <c r="U18503" s="28"/>
    </row>
    <row r="18504">
      <c r="N18504" s="28"/>
      <c r="O18504" s="28"/>
      <c r="U18504" s="28"/>
    </row>
    <row r="18505">
      <c r="N18505" s="28"/>
      <c r="O18505" s="28"/>
      <c r="U18505" s="28"/>
    </row>
    <row r="18506">
      <c r="N18506" s="28"/>
      <c r="O18506" s="28"/>
      <c r="U18506" s="28"/>
    </row>
    <row r="18507">
      <c r="N18507" s="28"/>
      <c r="O18507" s="28"/>
      <c r="U18507" s="28"/>
    </row>
    <row r="18508">
      <c r="N18508" s="28"/>
      <c r="O18508" s="28"/>
      <c r="U18508" s="28"/>
    </row>
    <row r="18509">
      <c r="N18509" s="28"/>
      <c r="O18509" s="28"/>
      <c r="U18509" s="28"/>
    </row>
    <row r="18510">
      <c r="N18510" s="28"/>
      <c r="O18510" s="28"/>
      <c r="U18510" s="28"/>
    </row>
    <row r="18511">
      <c r="N18511" s="28"/>
      <c r="O18511" s="28"/>
      <c r="U18511" s="28"/>
    </row>
    <row r="18512">
      <c r="N18512" s="28"/>
      <c r="O18512" s="28"/>
      <c r="U18512" s="28"/>
    </row>
    <row r="18513">
      <c r="N18513" s="28"/>
      <c r="O18513" s="28"/>
      <c r="U18513" s="28"/>
    </row>
    <row r="18514">
      <c r="N18514" s="28"/>
      <c r="O18514" s="28"/>
      <c r="U18514" s="28"/>
    </row>
    <row r="18515">
      <c r="N18515" s="28"/>
      <c r="O18515" s="28"/>
      <c r="U18515" s="28"/>
    </row>
    <row r="18516">
      <c r="N18516" s="28"/>
      <c r="O18516" s="28"/>
      <c r="U18516" s="28"/>
    </row>
    <row r="18517">
      <c r="N18517" s="28"/>
      <c r="O18517" s="28"/>
      <c r="U18517" s="28"/>
    </row>
    <row r="18518">
      <c r="N18518" s="28"/>
      <c r="O18518" s="28"/>
      <c r="U18518" s="28"/>
    </row>
    <row r="18519">
      <c r="N18519" s="28"/>
      <c r="O18519" s="28"/>
      <c r="U18519" s="28"/>
    </row>
    <row r="18520">
      <c r="N18520" s="28"/>
      <c r="O18520" s="28"/>
      <c r="U18520" s="28"/>
    </row>
    <row r="18521">
      <c r="N18521" s="28"/>
      <c r="O18521" s="28"/>
      <c r="U18521" s="28"/>
    </row>
    <row r="18522">
      <c r="N18522" s="28"/>
      <c r="O18522" s="28"/>
      <c r="U18522" s="28"/>
    </row>
    <row r="18523">
      <c r="N18523" s="28"/>
      <c r="O18523" s="28"/>
      <c r="U18523" s="28"/>
    </row>
    <row r="18524">
      <c r="N18524" s="28"/>
      <c r="O18524" s="28"/>
      <c r="U18524" s="28"/>
    </row>
    <row r="18525">
      <c r="N18525" s="28"/>
      <c r="O18525" s="28"/>
      <c r="U18525" s="28"/>
    </row>
    <row r="18526">
      <c r="N18526" s="28"/>
      <c r="O18526" s="28"/>
      <c r="U18526" s="28"/>
    </row>
    <row r="18527">
      <c r="N18527" s="28"/>
      <c r="O18527" s="28"/>
      <c r="U18527" s="28"/>
    </row>
    <row r="18528">
      <c r="N18528" s="28"/>
      <c r="O18528" s="28"/>
      <c r="U18528" s="28"/>
    </row>
    <row r="18529">
      <c r="N18529" s="28"/>
      <c r="O18529" s="28"/>
      <c r="U18529" s="28"/>
    </row>
    <row r="18530">
      <c r="N18530" s="28"/>
      <c r="O18530" s="28"/>
      <c r="U18530" s="28"/>
    </row>
    <row r="18531">
      <c r="N18531" s="28"/>
      <c r="O18531" s="28"/>
      <c r="U18531" s="28"/>
    </row>
    <row r="18532">
      <c r="N18532" s="28"/>
      <c r="O18532" s="28"/>
      <c r="U18532" s="28"/>
    </row>
    <row r="18533">
      <c r="N18533" s="28"/>
      <c r="O18533" s="28"/>
      <c r="U18533" s="28"/>
    </row>
    <row r="18534">
      <c r="N18534" s="28"/>
      <c r="O18534" s="28"/>
      <c r="U18534" s="28"/>
    </row>
    <row r="18535">
      <c r="N18535" s="28"/>
      <c r="O18535" s="28"/>
      <c r="U18535" s="28"/>
    </row>
    <row r="18536">
      <c r="N18536" s="28"/>
      <c r="O18536" s="28"/>
      <c r="U18536" s="28"/>
    </row>
    <row r="18537">
      <c r="N18537" s="28"/>
      <c r="O18537" s="28"/>
      <c r="U18537" s="28"/>
    </row>
    <row r="18538">
      <c r="N18538" s="28"/>
      <c r="O18538" s="28"/>
      <c r="U18538" s="28"/>
    </row>
    <row r="18539">
      <c r="N18539" s="28"/>
      <c r="O18539" s="28"/>
      <c r="U18539" s="28"/>
    </row>
    <row r="18540">
      <c r="N18540" s="28"/>
      <c r="O18540" s="28"/>
      <c r="U18540" s="28"/>
    </row>
    <row r="18541">
      <c r="N18541" s="28"/>
      <c r="O18541" s="28"/>
      <c r="U18541" s="28"/>
    </row>
    <row r="18542">
      <c r="N18542" s="28"/>
      <c r="O18542" s="28"/>
      <c r="U18542" s="28"/>
    </row>
    <row r="18543">
      <c r="N18543" s="28"/>
      <c r="O18543" s="28"/>
      <c r="U18543" s="28"/>
    </row>
    <row r="18544">
      <c r="N18544" s="28"/>
      <c r="O18544" s="28"/>
      <c r="U18544" s="28"/>
    </row>
    <row r="18545">
      <c r="N18545" s="28"/>
      <c r="O18545" s="28"/>
      <c r="U18545" s="28"/>
    </row>
    <row r="18546">
      <c r="N18546" s="28"/>
      <c r="O18546" s="28"/>
      <c r="U18546" s="28"/>
    </row>
    <row r="18547">
      <c r="N18547" s="28"/>
      <c r="O18547" s="28"/>
      <c r="U18547" s="28"/>
    </row>
    <row r="18548">
      <c r="N18548" s="28"/>
      <c r="O18548" s="28"/>
      <c r="U18548" s="28"/>
    </row>
    <row r="18549">
      <c r="N18549" s="28"/>
      <c r="O18549" s="28"/>
      <c r="U18549" s="28"/>
    </row>
    <row r="18550">
      <c r="N18550" s="28"/>
      <c r="O18550" s="28"/>
      <c r="U18550" s="28"/>
    </row>
    <row r="18551">
      <c r="N18551" s="28"/>
      <c r="O18551" s="28"/>
      <c r="U18551" s="28"/>
    </row>
    <row r="18552">
      <c r="N18552" s="28"/>
      <c r="O18552" s="28"/>
      <c r="U18552" s="28"/>
    </row>
    <row r="18553">
      <c r="N18553" s="28"/>
      <c r="O18553" s="28"/>
      <c r="U18553" s="28"/>
    </row>
    <row r="18554">
      <c r="N18554" s="28"/>
      <c r="O18554" s="28"/>
      <c r="U18554" s="28"/>
    </row>
    <row r="18555">
      <c r="N18555" s="28"/>
      <c r="O18555" s="28"/>
      <c r="U18555" s="28"/>
    </row>
    <row r="18556">
      <c r="N18556" s="28"/>
      <c r="O18556" s="28"/>
      <c r="U18556" s="28"/>
    </row>
    <row r="18557">
      <c r="N18557" s="28"/>
      <c r="O18557" s="28"/>
      <c r="U18557" s="28"/>
    </row>
    <row r="18558">
      <c r="N18558" s="28"/>
      <c r="O18558" s="28"/>
      <c r="U18558" s="28"/>
    </row>
    <row r="18559">
      <c r="N18559" s="28"/>
      <c r="O18559" s="28"/>
      <c r="U18559" s="28"/>
    </row>
    <row r="18560">
      <c r="N18560" s="28"/>
      <c r="O18560" s="28"/>
      <c r="U18560" s="28"/>
    </row>
    <row r="18561">
      <c r="N18561" s="28"/>
      <c r="O18561" s="28"/>
      <c r="U18561" s="28"/>
    </row>
    <row r="18562">
      <c r="N18562" s="28"/>
      <c r="O18562" s="28"/>
      <c r="U18562" s="28"/>
    </row>
    <row r="18563">
      <c r="N18563" s="28"/>
      <c r="O18563" s="28"/>
      <c r="U18563" s="28"/>
    </row>
    <row r="18564">
      <c r="N18564" s="28"/>
      <c r="O18564" s="28"/>
      <c r="U18564" s="28"/>
    </row>
    <row r="18565">
      <c r="N18565" s="28"/>
      <c r="O18565" s="28"/>
      <c r="U18565" s="28"/>
    </row>
    <row r="18566">
      <c r="N18566" s="28"/>
      <c r="O18566" s="28"/>
      <c r="U18566" s="28"/>
    </row>
    <row r="18567">
      <c r="N18567" s="28"/>
      <c r="O18567" s="28"/>
      <c r="U18567" s="28"/>
    </row>
    <row r="18568">
      <c r="N18568" s="28"/>
      <c r="O18568" s="28"/>
      <c r="U18568" s="28"/>
    </row>
    <row r="18569">
      <c r="N18569" s="28"/>
      <c r="O18569" s="28"/>
      <c r="U18569" s="28"/>
    </row>
    <row r="18570">
      <c r="N18570" s="28"/>
      <c r="O18570" s="28"/>
      <c r="U18570" s="28"/>
    </row>
    <row r="18571">
      <c r="N18571" s="28"/>
      <c r="O18571" s="28"/>
      <c r="U18571" s="28"/>
    </row>
    <row r="18572">
      <c r="N18572" s="28"/>
      <c r="O18572" s="28"/>
      <c r="U18572" s="28"/>
    </row>
    <row r="18573">
      <c r="N18573" s="28"/>
      <c r="O18573" s="28"/>
      <c r="U18573" s="28"/>
    </row>
    <row r="18574">
      <c r="N18574" s="28"/>
      <c r="O18574" s="28"/>
      <c r="U18574" s="28"/>
    </row>
    <row r="18575">
      <c r="N18575" s="28"/>
      <c r="O18575" s="28"/>
      <c r="U18575" s="28"/>
    </row>
    <row r="18576">
      <c r="N18576" s="28"/>
      <c r="O18576" s="28"/>
      <c r="U18576" s="28"/>
    </row>
    <row r="18577">
      <c r="N18577" s="28"/>
      <c r="O18577" s="28"/>
      <c r="U18577" s="28"/>
    </row>
    <row r="18578">
      <c r="N18578" s="28"/>
      <c r="O18578" s="28"/>
      <c r="U18578" s="28"/>
    </row>
    <row r="18579">
      <c r="N18579" s="28"/>
      <c r="O18579" s="28"/>
      <c r="U18579" s="28"/>
    </row>
    <row r="18580">
      <c r="N18580" s="28"/>
      <c r="O18580" s="28"/>
      <c r="U18580" s="28"/>
    </row>
    <row r="18581">
      <c r="N18581" s="28"/>
      <c r="O18581" s="28"/>
      <c r="U18581" s="28"/>
    </row>
    <row r="18582">
      <c r="N18582" s="28"/>
      <c r="O18582" s="28"/>
      <c r="U18582" s="28"/>
    </row>
    <row r="18583">
      <c r="N18583" s="28"/>
      <c r="O18583" s="28"/>
      <c r="U18583" s="28"/>
    </row>
    <row r="18584">
      <c r="N18584" s="28"/>
      <c r="O18584" s="28"/>
      <c r="U18584" s="28"/>
    </row>
    <row r="18585">
      <c r="N18585" s="28"/>
      <c r="O18585" s="28"/>
      <c r="U18585" s="28"/>
    </row>
    <row r="18586">
      <c r="N18586" s="28"/>
      <c r="O18586" s="28"/>
      <c r="U18586" s="28"/>
    </row>
    <row r="18587">
      <c r="N18587" s="28"/>
      <c r="O18587" s="28"/>
      <c r="U18587" s="28"/>
    </row>
    <row r="18588">
      <c r="N18588" s="28"/>
      <c r="O18588" s="28"/>
      <c r="U18588" s="28"/>
    </row>
    <row r="18589">
      <c r="N18589" s="28"/>
      <c r="O18589" s="28"/>
      <c r="U18589" s="28"/>
    </row>
    <row r="18590">
      <c r="N18590" s="28"/>
      <c r="O18590" s="28"/>
      <c r="U18590" s="28"/>
    </row>
    <row r="18591">
      <c r="N18591" s="28"/>
      <c r="O18591" s="28"/>
      <c r="U18591" s="28"/>
    </row>
    <row r="18592">
      <c r="N18592" s="28"/>
      <c r="O18592" s="28"/>
      <c r="U18592" s="28"/>
    </row>
    <row r="18593">
      <c r="N18593" s="28"/>
      <c r="O18593" s="28"/>
      <c r="U18593" s="28"/>
    </row>
    <row r="18594">
      <c r="N18594" s="28"/>
      <c r="O18594" s="28"/>
      <c r="U18594" s="28"/>
    </row>
    <row r="18595">
      <c r="N18595" s="28"/>
      <c r="O18595" s="28"/>
      <c r="U18595" s="28"/>
    </row>
    <row r="18596">
      <c r="N18596" s="28"/>
      <c r="O18596" s="28"/>
      <c r="U18596" s="28"/>
    </row>
    <row r="18597">
      <c r="N18597" s="28"/>
      <c r="O18597" s="28"/>
      <c r="U18597" s="28"/>
    </row>
    <row r="18598">
      <c r="N18598" s="28"/>
      <c r="O18598" s="28"/>
      <c r="U18598" s="28"/>
    </row>
    <row r="18599">
      <c r="N18599" s="28"/>
      <c r="O18599" s="28"/>
      <c r="U18599" s="28"/>
    </row>
    <row r="18600">
      <c r="N18600" s="28"/>
      <c r="O18600" s="28"/>
      <c r="U18600" s="28"/>
    </row>
    <row r="18601">
      <c r="N18601" s="28"/>
      <c r="O18601" s="28"/>
      <c r="U18601" s="28"/>
    </row>
    <row r="18602">
      <c r="N18602" s="28"/>
      <c r="O18602" s="28"/>
      <c r="U18602" s="28"/>
    </row>
    <row r="18603">
      <c r="N18603" s="28"/>
      <c r="O18603" s="28"/>
      <c r="U18603" s="28"/>
    </row>
    <row r="18604">
      <c r="N18604" s="28"/>
      <c r="O18604" s="28"/>
      <c r="U18604" s="28"/>
    </row>
    <row r="18605">
      <c r="N18605" s="28"/>
      <c r="O18605" s="28"/>
      <c r="U18605" s="28"/>
    </row>
    <row r="18606">
      <c r="N18606" s="28"/>
      <c r="O18606" s="28"/>
      <c r="U18606" s="28"/>
    </row>
    <row r="18607">
      <c r="N18607" s="28"/>
      <c r="O18607" s="28"/>
      <c r="U18607" s="28"/>
    </row>
    <row r="18608">
      <c r="N18608" s="28"/>
      <c r="O18608" s="28"/>
      <c r="U18608" s="28"/>
    </row>
    <row r="18609">
      <c r="N18609" s="28"/>
      <c r="O18609" s="28"/>
      <c r="U18609" s="28"/>
    </row>
    <row r="18610">
      <c r="N18610" s="28"/>
      <c r="O18610" s="28"/>
      <c r="U18610" s="28"/>
    </row>
    <row r="18611">
      <c r="N18611" s="28"/>
      <c r="O18611" s="28"/>
      <c r="U18611" s="28"/>
    </row>
    <row r="18612">
      <c r="N18612" s="28"/>
      <c r="O18612" s="28"/>
      <c r="U18612" s="28"/>
    </row>
    <row r="18613">
      <c r="N18613" s="28"/>
      <c r="O18613" s="28"/>
      <c r="U18613" s="28"/>
    </row>
    <row r="18614">
      <c r="N18614" s="28"/>
      <c r="O18614" s="28"/>
      <c r="U18614" s="28"/>
    </row>
    <row r="18615">
      <c r="N18615" s="28"/>
      <c r="O18615" s="28"/>
      <c r="U18615" s="28"/>
    </row>
    <row r="18616">
      <c r="N18616" s="28"/>
      <c r="O18616" s="28"/>
      <c r="U18616" s="28"/>
    </row>
    <row r="18617">
      <c r="N18617" s="28"/>
      <c r="O18617" s="28"/>
      <c r="U18617" s="28"/>
    </row>
    <row r="18618">
      <c r="N18618" s="28"/>
      <c r="O18618" s="28"/>
      <c r="U18618" s="28"/>
    </row>
    <row r="18619">
      <c r="N18619" s="28"/>
      <c r="O18619" s="28"/>
      <c r="U18619" s="28"/>
    </row>
    <row r="18620">
      <c r="N18620" s="28"/>
      <c r="O18620" s="28"/>
      <c r="U18620" s="28"/>
    </row>
    <row r="18621">
      <c r="N18621" s="28"/>
      <c r="O18621" s="28"/>
      <c r="U18621" s="28"/>
    </row>
    <row r="18622">
      <c r="N18622" s="28"/>
      <c r="O18622" s="28"/>
      <c r="U18622" s="28"/>
    </row>
    <row r="18623">
      <c r="N18623" s="28"/>
      <c r="O18623" s="28"/>
      <c r="U18623" s="28"/>
    </row>
    <row r="18624">
      <c r="N18624" s="28"/>
      <c r="O18624" s="28"/>
      <c r="U18624" s="28"/>
    </row>
    <row r="18625">
      <c r="N18625" s="28"/>
      <c r="O18625" s="28"/>
      <c r="U18625" s="28"/>
    </row>
    <row r="18626">
      <c r="N18626" s="28"/>
      <c r="O18626" s="28"/>
      <c r="U18626" s="28"/>
    </row>
    <row r="18627">
      <c r="N18627" s="28"/>
      <c r="O18627" s="28"/>
      <c r="U18627" s="28"/>
    </row>
    <row r="18628">
      <c r="N18628" s="28"/>
      <c r="O18628" s="28"/>
      <c r="U18628" s="28"/>
    </row>
    <row r="18629">
      <c r="N18629" s="28"/>
      <c r="O18629" s="28"/>
      <c r="U18629" s="28"/>
    </row>
    <row r="18630">
      <c r="N18630" s="28"/>
      <c r="O18630" s="28"/>
      <c r="U18630" s="28"/>
    </row>
    <row r="18631">
      <c r="N18631" s="28"/>
      <c r="O18631" s="28"/>
      <c r="U18631" s="28"/>
    </row>
    <row r="18632">
      <c r="N18632" s="28"/>
      <c r="O18632" s="28"/>
      <c r="U18632" s="28"/>
    </row>
    <row r="18633">
      <c r="N18633" s="28"/>
      <c r="O18633" s="28"/>
      <c r="U18633" s="28"/>
    </row>
    <row r="18634">
      <c r="N18634" s="28"/>
      <c r="O18634" s="28"/>
      <c r="U18634" s="28"/>
    </row>
    <row r="18635">
      <c r="N18635" s="28"/>
      <c r="O18635" s="28"/>
      <c r="U18635" s="28"/>
    </row>
    <row r="18636">
      <c r="N18636" s="28"/>
      <c r="O18636" s="28"/>
      <c r="U18636" s="28"/>
    </row>
    <row r="18637">
      <c r="N18637" s="28"/>
      <c r="O18637" s="28"/>
      <c r="U18637" s="28"/>
    </row>
    <row r="18638">
      <c r="N18638" s="28"/>
      <c r="O18638" s="28"/>
      <c r="U18638" s="28"/>
    </row>
    <row r="18639">
      <c r="N18639" s="28"/>
      <c r="O18639" s="28"/>
      <c r="U18639" s="28"/>
    </row>
    <row r="18640">
      <c r="N18640" s="28"/>
      <c r="O18640" s="28"/>
      <c r="U18640" s="28"/>
    </row>
    <row r="18641">
      <c r="N18641" s="28"/>
      <c r="O18641" s="28"/>
      <c r="U18641" s="28"/>
    </row>
    <row r="18642">
      <c r="N18642" s="28"/>
      <c r="O18642" s="28"/>
      <c r="U18642" s="28"/>
    </row>
    <row r="18643">
      <c r="N18643" s="28"/>
      <c r="O18643" s="28"/>
      <c r="U18643" s="28"/>
    </row>
    <row r="18644">
      <c r="N18644" s="28"/>
      <c r="O18644" s="28"/>
      <c r="U18644" s="28"/>
    </row>
    <row r="18645">
      <c r="N18645" s="28"/>
      <c r="O18645" s="28"/>
      <c r="U18645" s="28"/>
    </row>
    <row r="18646">
      <c r="N18646" s="28"/>
      <c r="O18646" s="28"/>
      <c r="U18646" s="28"/>
    </row>
    <row r="18647">
      <c r="N18647" s="28"/>
      <c r="O18647" s="28"/>
      <c r="U18647" s="28"/>
    </row>
    <row r="18648">
      <c r="N18648" s="28"/>
      <c r="O18648" s="28"/>
      <c r="U18648" s="28"/>
    </row>
    <row r="18649">
      <c r="N18649" s="28"/>
      <c r="O18649" s="28"/>
      <c r="U18649" s="28"/>
    </row>
    <row r="18650">
      <c r="N18650" s="28"/>
      <c r="O18650" s="28"/>
      <c r="U18650" s="28"/>
    </row>
    <row r="18651">
      <c r="N18651" s="28"/>
      <c r="O18651" s="28"/>
      <c r="U18651" s="28"/>
    </row>
    <row r="18652">
      <c r="N18652" s="28"/>
      <c r="O18652" s="28"/>
      <c r="U18652" s="28"/>
    </row>
    <row r="18653">
      <c r="N18653" s="28"/>
      <c r="O18653" s="28"/>
      <c r="U18653" s="28"/>
    </row>
    <row r="18654">
      <c r="N18654" s="28"/>
      <c r="O18654" s="28"/>
      <c r="U18654" s="28"/>
    </row>
    <row r="18655">
      <c r="N18655" s="28"/>
      <c r="O18655" s="28"/>
      <c r="U18655" s="28"/>
    </row>
    <row r="18656">
      <c r="N18656" s="28"/>
      <c r="O18656" s="28"/>
      <c r="U18656" s="28"/>
    </row>
    <row r="18657">
      <c r="N18657" s="28"/>
      <c r="O18657" s="28"/>
      <c r="U18657" s="28"/>
    </row>
    <row r="18658">
      <c r="N18658" s="28"/>
      <c r="O18658" s="28"/>
      <c r="U18658" s="28"/>
    </row>
    <row r="18659">
      <c r="N18659" s="28"/>
      <c r="O18659" s="28"/>
      <c r="U18659" s="28"/>
    </row>
    <row r="18660">
      <c r="N18660" s="28"/>
      <c r="O18660" s="28"/>
      <c r="U18660" s="28"/>
    </row>
    <row r="18661">
      <c r="N18661" s="28"/>
      <c r="O18661" s="28"/>
      <c r="U18661" s="28"/>
    </row>
    <row r="18662">
      <c r="N18662" s="28"/>
      <c r="O18662" s="28"/>
      <c r="U18662" s="28"/>
    </row>
    <row r="18663">
      <c r="N18663" s="28"/>
      <c r="O18663" s="28"/>
      <c r="U18663" s="28"/>
    </row>
    <row r="18664">
      <c r="N18664" s="28"/>
      <c r="O18664" s="28"/>
      <c r="U18664" s="28"/>
    </row>
    <row r="18665">
      <c r="N18665" s="28"/>
      <c r="O18665" s="28"/>
      <c r="U18665" s="28"/>
    </row>
    <row r="18666">
      <c r="N18666" s="28"/>
      <c r="O18666" s="28"/>
      <c r="U18666" s="28"/>
    </row>
    <row r="18667">
      <c r="N18667" s="28"/>
      <c r="O18667" s="28"/>
      <c r="U18667" s="28"/>
    </row>
    <row r="18668">
      <c r="N18668" s="28"/>
      <c r="O18668" s="28"/>
      <c r="U18668" s="28"/>
    </row>
    <row r="18669">
      <c r="N18669" s="28"/>
      <c r="O18669" s="28"/>
      <c r="U18669" s="28"/>
    </row>
    <row r="18670">
      <c r="N18670" s="28"/>
      <c r="O18670" s="28"/>
      <c r="U18670" s="28"/>
    </row>
    <row r="18671">
      <c r="N18671" s="28"/>
      <c r="O18671" s="28"/>
      <c r="U18671" s="28"/>
    </row>
    <row r="18672">
      <c r="N18672" s="28"/>
      <c r="O18672" s="28"/>
      <c r="U18672" s="28"/>
    </row>
    <row r="18673">
      <c r="N18673" s="28"/>
      <c r="O18673" s="28"/>
      <c r="U18673" s="28"/>
    </row>
    <row r="18674">
      <c r="N18674" s="28"/>
      <c r="O18674" s="28"/>
      <c r="U18674" s="28"/>
    </row>
    <row r="18675">
      <c r="N18675" s="28"/>
      <c r="O18675" s="28"/>
      <c r="U18675" s="28"/>
    </row>
    <row r="18676">
      <c r="N18676" s="28"/>
      <c r="O18676" s="28"/>
      <c r="U18676" s="28"/>
    </row>
    <row r="18677">
      <c r="N18677" s="28"/>
      <c r="O18677" s="28"/>
      <c r="U18677" s="28"/>
    </row>
    <row r="18678">
      <c r="N18678" s="28"/>
      <c r="O18678" s="28"/>
      <c r="U18678" s="28"/>
    </row>
    <row r="18679">
      <c r="N18679" s="28"/>
      <c r="O18679" s="28"/>
      <c r="U18679" s="28"/>
    </row>
    <row r="18680">
      <c r="N18680" s="28"/>
      <c r="O18680" s="28"/>
      <c r="U18680" s="28"/>
    </row>
    <row r="18681">
      <c r="N18681" s="28"/>
      <c r="O18681" s="28"/>
      <c r="U18681" s="28"/>
    </row>
    <row r="18682">
      <c r="N18682" s="28"/>
      <c r="O18682" s="28"/>
      <c r="U18682" s="28"/>
    </row>
    <row r="18683">
      <c r="N18683" s="28"/>
      <c r="O18683" s="28"/>
      <c r="U18683" s="28"/>
    </row>
    <row r="18684">
      <c r="N18684" s="28"/>
      <c r="O18684" s="28"/>
      <c r="U18684" s="28"/>
    </row>
    <row r="18685">
      <c r="N18685" s="28"/>
      <c r="O18685" s="28"/>
      <c r="U18685" s="28"/>
    </row>
    <row r="18686">
      <c r="N18686" s="28"/>
      <c r="O18686" s="28"/>
      <c r="U18686" s="28"/>
    </row>
    <row r="18687">
      <c r="N18687" s="28"/>
      <c r="O18687" s="28"/>
      <c r="U18687" s="28"/>
    </row>
    <row r="18688">
      <c r="N18688" s="28"/>
      <c r="O18688" s="28"/>
      <c r="U18688" s="28"/>
    </row>
    <row r="18689">
      <c r="N18689" s="28"/>
      <c r="O18689" s="28"/>
      <c r="U18689" s="28"/>
    </row>
    <row r="18690">
      <c r="N18690" s="28"/>
      <c r="O18690" s="28"/>
      <c r="U18690" s="28"/>
    </row>
    <row r="18691">
      <c r="N18691" s="28"/>
      <c r="O18691" s="28"/>
      <c r="U18691" s="28"/>
    </row>
    <row r="18692">
      <c r="N18692" s="28"/>
      <c r="O18692" s="28"/>
      <c r="U18692" s="28"/>
    </row>
    <row r="18693">
      <c r="N18693" s="28"/>
      <c r="O18693" s="28"/>
      <c r="U18693" s="28"/>
    </row>
    <row r="18694">
      <c r="N18694" s="28"/>
      <c r="O18694" s="28"/>
      <c r="U18694" s="28"/>
    </row>
    <row r="18695">
      <c r="N18695" s="28"/>
      <c r="O18695" s="28"/>
      <c r="U18695" s="28"/>
    </row>
    <row r="18696">
      <c r="N18696" s="28"/>
      <c r="O18696" s="28"/>
      <c r="U18696" s="28"/>
    </row>
    <row r="18697">
      <c r="N18697" s="28"/>
      <c r="O18697" s="28"/>
      <c r="U18697" s="28"/>
    </row>
    <row r="18698">
      <c r="N18698" s="28"/>
      <c r="O18698" s="28"/>
      <c r="U18698" s="28"/>
    </row>
    <row r="18699">
      <c r="N18699" s="28"/>
      <c r="O18699" s="28"/>
      <c r="U18699" s="28"/>
    </row>
    <row r="18700">
      <c r="N18700" s="28"/>
      <c r="O18700" s="28"/>
      <c r="U18700" s="28"/>
    </row>
    <row r="18701">
      <c r="N18701" s="28"/>
      <c r="O18701" s="28"/>
      <c r="U18701" s="28"/>
    </row>
    <row r="18702">
      <c r="N18702" s="28"/>
      <c r="O18702" s="28"/>
      <c r="U18702" s="28"/>
    </row>
    <row r="18703">
      <c r="N18703" s="28"/>
      <c r="O18703" s="28"/>
      <c r="U18703" s="28"/>
    </row>
    <row r="18704">
      <c r="N18704" s="28"/>
      <c r="O18704" s="28"/>
      <c r="U18704" s="28"/>
    </row>
    <row r="18705">
      <c r="N18705" s="28"/>
      <c r="O18705" s="28"/>
      <c r="U18705" s="28"/>
    </row>
    <row r="18706">
      <c r="N18706" s="28"/>
      <c r="O18706" s="28"/>
      <c r="U18706" s="28"/>
    </row>
    <row r="18707">
      <c r="N18707" s="28"/>
      <c r="O18707" s="28"/>
      <c r="U18707" s="28"/>
    </row>
    <row r="18708">
      <c r="N18708" s="28"/>
      <c r="O18708" s="28"/>
      <c r="U18708" s="28"/>
    </row>
    <row r="18709">
      <c r="N18709" s="28"/>
      <c r="O18709" s="28"/>
      <c r="U18709" s="28"/>
    </row>
    <row r="18710">
      <c r="N18710" s="28"/>
      <c r="O18710" s="28"/>
      <c r="U18710" s="28"/>
    </row>
    <row r="18711">
      <c r="N18711" s="28"/>
      <c r="O18711" s="28"/>
      <c r="U18711" s="28"/>
    </row>
    <row r="18712">
      <c r="N18712" s="28"/>
      <c r="O18712" s="28"/>
      <c r="U18712" s="28"/>
    </row>
    <row r="18713">
      <c r="N18713" s="28"/>
      <c r="O18713" s="28"/>
      <c r="U18713" s="28"/>
    </row>
    <row r="18714">
      <c r="N18714" s="28"/>
      <c r="O18714" s="28"/>
      <c r="U18714" s="28"/>
    </row>
    <row r="18715">
      <c r="N18715" s="28"/>
      <c r="O18715" s="28"/>
      <c r="U18715" s="28"/>
    </row>
    <row r="18716">
      <c r="N18716" s="28"/>
      <c r="O18716" s="28"/>
      <c r="U18716" s="28"/>
    </row>
    <row r="18717">
      <c r="N18717" s="28"/>
      <c r="O18717" s="28"/>
      <c r="U18717" s="28"/>
    </row>
    <row r="18718">
      <c r="N18718" s="28"/>
      <c r="O18718" s="28"/>
      <c r="U18718" s="28"/>
    </row>
    <row r="18719">
      <c r="N18719" s="28"/>
      <c r="O18719" s="28"/>
      <c r="U18719" s="28"/>
    </row>
    <row r="18720">
      <c r="N18720" s="28"/>
      <c r="O18720" s="28"/>
      <c r="U18720" s="28"/>
    </row>
    <row r="18721">
      <c r="N18721" s="28"/>
      <c r="O18721" s="28"/>
      <c r="U18721" s="28"/>
    </row>
    <row r="18722">
      <c r="N18722" s="28"/>
      <c r="O18722" s="28"/>
      <c r="U18722" s="28"/>
    </row>
    <row r="18723">
      <c r="N18723" s="28"/>
      <c r="O18723" s="28"/>
      <c r="U18723" s="28"/>
    </row>
    <row r="18724">
      <c r="N18724" s="28"/>
      <c r="O18724" s="28"/>
      <c r="U18724" s="28"/>
    </row>
    <row r="18725">
      <c r="N18725" s="28"/>
      <c r="O18725" s="28"/>
      <c r="U18725" s="28"/>
    </row>
    <row r="18726">
      <c r="N18726" s="28"/>
      <c r="O18726" s="28"/>
      <c r="U18726" s="28"/>
    </row>
    <row r="18727">
      <c r="N18727" s="28"/>
      <c r="O18727" s="28"/>
      <c r="U18727" s="28"/>
    </row>
    <row r="18728">
      <c r="N18728" s="28"/>
      <c r="O18728" s="28"/>
      <c r="U18728" s="28"/>
    </row>
    <row r="18729">
      <c r="N18729" s="28"/>
      <c r="O18729" s="28"/>
      <c r="U18729" s="28"/>
    </row>
    <row r="18730">
      <c r="N18730" s="28"/>
      <c r="O18730" s="28"/>
      <c r="U18730" s="28"/>
    </row>
    <row r="18731">
      <c r="N18731" s="28"/>
      <c r="O18731" s="28"/>
      <c r="U18731" s="28"/>
    </row>
    <row r="18732">
      <c r="N18732" s="28"/>
      <c r="O18732" s="28"/>
      <c r="U18732" s="28"/>
    </row>
    <row r="18733">
      <c r="N18733" s="28"/>
      <c r="O18733" s="28"/>
      <c r="U18733" s="28"/>
    </row>
    <row r="18734">
      <c r="N18734" s="28"/>
      <c r="O18734" s="28"/>
      <c r="U18734" s="28"/>
    </row>
    <row r="18735">
      <c r="N18735" s="28"/>
      <c r="O18735" s="28"/>
      <c r="U18735" s="28"/>
    </row>
    <row r="18736">
      <c r="N18736" s="28"/>
      <c r="O18736" s="28"/>
      <c r="U18736" s="28"/>
    </row>
    <row r="18737">
      <c r="N18737" s="28"/>
      <c r="O18737" s="28"/>
      <c r="U18737" s="28"/>
    </row>
    <row r="18738">
      <c r="N18738" s="28"/>
      <c r="O18738" s="28"/>
      <c r="U18738" s="28"/>
    </row>
    <row r="18739">
      <c r="N18739" s="28"/>
      <c r="O18739" s="28"/>
      <c r="U18739" s="28"/>
    </row>
    <row r="18740">
      <c r="N18740" s="28"/>
      <c r="O18740" s="28"/>
      <c r="U18740" s="28"/>
    </row>
    <row r="18741">
      <c r="N18741" s="28"/>
      <c r="O18741" s="28"/>
      <c r="U18741" s="28"/>
    </row>
    <row r="18742">
      <c r="N18742" s="28"/>
      <c r="O18742" s="28"/>
      <c r="U18742" s="28"/>
    </row>
    <row r="18743">
      <c r="N18743" s="28"/>
      <c r="O18743" s="28"/>
      <c r="U18743" s="28"/>
    </row>
    <row r="18744">
      <c r="N18744" s="28"/>
      <c r="O18744" s="28"/>
      <c r="U18744" s="28"/>
    </row>
    <row r="18745">
      <c r="N18745" s="28"/>
      <c r="O18745" s="28"/>
      <c r="U18745" s="28"/>
    </row>
    <row r="18746">
      <c r="N18746" s="28"/>
      <c r="O18746" s="28"/>
      <c r="U18746" s="28"/>
    </row>
    <row r="18747">
      <c r="N18747" s="28"/>
      <c r="O18747" s="28"/>
      <c r="U18747" s="28"/>
    </row>
    <row r="18748">
      <c r="N18748" s="28"/>
      <c r="O18748" s="28"/>
      <c r="U18748" s="28"/>
    </row>
    <row r="18749">
      <c r="N18749" s="28"/>
      <c r="O18749" s="28"/>
      <c r="U18749" s="28"/>
    </row>
    <row r="18750">
      <c r="N18750" s="28"/>
      <c r="O18750" s="28"/>
      <c r="U18750" s="28"/>
    </row>
    <row r="18751">
      <c r="N18751" s="28"/>
      <c r="O18751" s="28"/>
      <c r="U18751" s="28"/>
    </row>
    <row r="18752">
      <c r="N18752" s="28"/>
      <c r="O18752" s="28"/>
      <c r="U18752" s="28"/>
    </row>
    <row r="18753">
      <c r="N18753" s="28"/>
      <c r="O18753" s="28"/>
      <c r="U18753" s="28"/>
    </row>
    <row r="18754">
      <c r="N18754" s="28"/>
      <c r="O18754" s="28"/>
      <c r="U18754" s="28"/>
    </row>
    <row r="18755">
      <c r="N18755" s="28"/>
      <c r="O18755" s="28"/>
      <c r="U18755" s="28"/>
    </row>
    <row r="18756">
      <c r="N18756" s="28"/>
      <c r="O18756" s="28"/>
      <c r="U18756" s="28"/>
    </row>
    <row r="18757">
      <c r="N18757" s="28"/>
      <c r="O18757" s="28"/>
      <c r="U18757" s="28"/>
    </row>
    <row r="18758">
      <c r="N18758" s="28"/>
      <c r="O18758" s="28"/>
      <c r="U18758" s="28"/>
    </row>
    <row r="18759">
      <c r="N18759" s="28"/>
      <c r="O18759" s="28"/>
      <c r="U18759" s="28"/>
    </row>
    <row r="18760">
      <c r="N18760" s="28"/>
      <c r="O18760" s="28"/>
      <c r="U18760" s="28"/>
    </row>
    <row r="18761">
      <c r="N18761" s="28"/>
      <c r="O18761" s="28"/>
      <c r="U18761" s="28"/>
    </row>
    <row r="18762">
      <c r="N18762" s="28"/>
      <c r="O18762" s="28"/>
      <c r="U18762" s="28"/>
    </row>
    <row r="18763">
      <c r="N18763" s="28"/>
      <c r="O18763" s="28"/>
      <c r="U18763" s="28"/>
    </row>
    <row r="18764">
      <c r="N18764" s="28"/>
      <c r="O18764" s="28"/>
      <c r="U18764" s="28"/>
    </row>
    <row r="18765">
      <c r="N18765" s="28"/>
      <c r="O18765" s="28"/>
      <c r="U18765" s="28"/>
    </row>
    <row r="18766">
      <c r="N18766" s="28"/>
      <c r="O18766" s="28"/>
      <c r="U18766" s="28"/>
    </row>
    <row r="18767">
      <c r="N18767" s="28"/>
      <c r="O18767" s="28"/>
      <c r="U18767" s="28"/>
    </row>
    <row r="18768">
      <c r="N18768" s="28"/>
      <c r="O18768" s="28"/>
      <c r="U18768" s="28"/>
    </row>
    <row r="18769">
      <c r="N18769" s="28"/>
      <c r="O18769" s="28"/>
      <c r="U18769" s="28"/>
    </row>
    <row r="18770">
      <c r="N18770" s="28"/>
      <c r="O18770" s="28"/>
      <c r="U18770" s="28"/>
    </row>
    <row r="18771">
      <c r="N18771" s="28"/>
      <c r="O18771" s="28"/>
      <c r="U18771" s="28"/>
    </row>
    <row r="18772">
      <c r="N18772" s="28"/>
      <c r="O18772" s="28"/>
      <c r="U18772" s="28"/>
    </row>
    <row r="18773">
      <c r="N18773" s="28"/>
      <c r="O18773" s="28"/>
      <c r="U18773" s="28"/>
    </row>
    <row r="18774">
      <c r="N18774" s="28"/>
      <c r="O18774" s="28"/>
      <c r="U18774" s="28"/>
    </row>
    <row r="18775">
      <c r="N18775" s="28"/>
      <c r="O18775" s="28"/>
      <c r="U18775" s="28"/>
    </row>
    <row r="18776">
      <c r="N18776" s="28"/>
      <c r="O18776" s="28"/>
      <c r="U18776" s="28"/>
    </row>
    <row r="18777">
      <c r="N18777" s="28"/>
      <c r="O18777" s="28"/>
      <c r="U18777" s="28"/>
    </row>
    <row r="18778">
      <c r="N18778" s="28"/>
      <c r="O18778" s="28"/>
      <c r="U18778" s="28"/>
    </row>
    <row r="18779">
      <c r="N18779" s="28"/>
      <c r="O18779" s="28"/>
      <c r="U18779" s="28"/>
    </row>
    <row r="18780">
      <c r="N18780" s="28"/>
      <c r="O18780" s="28"/>
      <c r="U18780" s="28"/>
    </row>
    <row r="18781">
      <c r="N18781" s="28"/>
      <c r="O18781" s="28"/>
      <c r="U18781" s="28"/>
    </row>
    <row r="18782">
      <c r="N18782" s="28"/>
      <c r="O18782" s="28"/>
      <c r="U18782" s="28"/>
    </row>
    <row r="18783">
      <c r="N18783" s="28"/>
      <c r="O18783" s="28"/>
      <c r="U18783" s="28"/>
    </row>
    <row r="18784">
      <c r="N18784" s="28"/>
      <c r="O18784" s="28"/>
      <c r="U18784" s="28"/>
    </row>
    <row r="18785">
      <c r="N18785" s="28"/>
      <c r="O18785" s="28"/>
      <c r="U18785" s="28"/>
    </row>
    <row r="18786">
      <c r="N18786" s="28"/>
      <c r="O18786" s="28"/>
      <c r="U18786" s="28"/>
    </row>
    <row r="18787">
      <c r="N18787" s="28"/>
      <c r="O18787" s="28"/>
      <c r="U18787" s="28"/>
    </row>
    <row r="18788">
      <c r="N18788" s="28"/>
      <c r="O18788" s="28"/>
      <c r="U18788" s="28"/>
    </row>
    <row r="18789">
      <c r="N18789" s="28"/>
      <c r="O18789" s="28"/>
      <c r="U18789" s="28"/>
    </row>
    <row r="18790">
      <c r="N18790" s="28"/>
      <c r="O18790" s="28"/>
      <c r="U18790" s="28"/>
    </row>
    <row r="18791">
      <c r="N18791" s="28"/>
      <c r="O18791" s="28"/>
      <c r="U18791" s="28"/>
    </row>
    <row r="18792">
      <c r="N18792" s="28"/>
      <c r="O18792" s="28"/>
      <c r="U18792" s="28"/>
    </row>
    <row r="18793">
      <c r="N18793" s="28"/>
      <c r="O18793" s="28"/>
      <c r="U18793" s="28"/>
    </row>
    <row r="18794">
      <c r="N18794" s="28"/>
      <c r="O18794" s="28"/>
      <c r="U18794" s="28"/>
    </row>
    <row r="18795">
      <c r="N18795" s="28"/>
      <c r="O18795" s="28"/>
      <c r="U18795" s="28"/>
    </row>
    <row r="18796">
      <c r="N18796" s="28"/>
      <c r="O18796" s="28"/>
      <c r="U18796" s="28"/>
    </row>
    <row r="18797">
      <c r="N18797" s="28"/>
      <c r="O18797" s="28"/>
      <c r="U18797" s="28"/>
    </row>
    <row r="18798">
      <c r="N18798" s="28"/>
      <c r="O18798" s="28"/>
      <c r="U18798" s="28"/>
    </row>
    <row r="18799">
      <c r="N18799" s="28"/>
      <c r="O18799" s="28"/>
      <c r="U18799" s="28"/>
    </row>
    <row r="18800">
      <c r="N18800" s="28"/>
      <c r="O18800" s="28"/>
      <c r="U18800" s="28"/>
    </row>
    <row r="18801">
      <c r="N18801" s="28"/>
      <c r="O18801" s="28"/>
      <c r="U18801" s="28"/>
    </row>
    <row r="18802">
      <c r="N18802" s="28"/>
      <c r="O18802" s="28"/>
      <c r="U18802" s="28"/>
    </row>
    <row r="18803">
      <c r="N18803" s="28"/>
      <c r="O18803" s="28"/>
      <c r="U18803" s="28"/>
    </row>
    <row r="18804">
      <c r="N18804" s="28"/>
      <c r="O18804" s="28"/>
      <c r="U18804" s="28"/>
    </row>
    <row r="18805">
      <c r="N18805" s="28"/>
      <c r="O18805" s="28"/>
      <c r="U18805" s="28"/>
    </row>
    <row r="18806">
      <c r="N18806" s="28"/>
      <c r="O18806" s="28"/>
      <c r="U18806" s="28"/>
    </row>
    <row r="18807">
      <c r="N18807" s="28"/>
      <c r="O18807" s="28"/>
      <c r="U18807" s="28"/>
    </row>
    <row r="18808">
      <c r="N18808" s="28"/>
      <c r="O18808" s="28"/>
      <c r="U18808" s="28"/>
    </row>
    <row r="18809">
      <c r="N18809" s="28"/>
      <c r="O18809" s="28"/>
      <c r="U18809" s="28"/>
    </row>
    <row r="18810">
      <c r="N18810" s="28"/>
      <c r="O18810" s="28"/>
      <c r="U18810" s="28"/>
    </row>
    <row r="18811">
      <c r="N18811" s="28"/>
      <c r="O18811" s="28"/>
      <c r="U18811" s="28"/>
    </row>
    <row r="18812">
      <c r="N18812" s="28"/>
      <c r="O18812" s="28"/>
      <c r="U18812" s="28"/>
    </row>
    <row r="18813">
      <c r="N18813" s="28"/>
      <c r="O18813" s="28"/>
      <c r="U18813" s="28"/>
    </row>
    <row r="18814">
      <c r="N18814" s="28"/>
      <c r="O18814" s="28"/>
      <c r="U18814" s="28"/>
    </row>
    <row r="18815">
      <c r="N18815" s="28"/>
      <c r="O18815" s="28"/>
      <c r="U18815" s="28"/>
    </row>
    <row r="18816">
      <c r="N18816" s="28"/>
      <c r="O18816" s="28"/>
      <c r="U18816" s="28"/>
    </row>
    <row r="18817">
      <c r="N18817" s="28"/>
      <c r="O18817" s="28"/>
      <c r="U18817" s="28"/>
    </row>
    <row r="18818">
      <c r="N18818" s="28"/>
      <c r="O18818" s="28"/>
      <c r="U18818" s="28"/>
    </row>
    <row r="18819">
      <c r="N18819" s="28"/>
      <c r="O18819" s="28"/>
      <c r="U18819" s="28"/>
    </row>
    <row r="18820">
      <c r="N18820" s="28"/>
      <c r="O18820" s="28"/>
      <c r="U18820" s="28"/>
    </row>
    <row r="18821">
      <c r="N18821" s="28"/>
      <c r="O18821" s="28"/>
      <c r="U18821" s="28"/>
    </row>
    <row r="18822">
      <c r="N18822" s="28"/>
      <c r="O18822" s="28"/>
      <c r="U18822" s="28"/>
    </row>
    <row r="18823">
      <c r="N18823" s="28"/>
      <c r="O18823" s="28"/>
      <c r="U18823" s="28"/>
    </row>
    <row r="18824">
      <c r="N18824" s="28"/>
      <c r="O18824" s="28"/>
      <c r="U18824" s="28"/>
    </row>
    <row r="18825">
      <c r="N18825" s="28"/>
      <c r="O18825" s="28"/>
      <c r="U18825" s="28"/>
    </row>
    <row r="18826">
      <c r="N18826" s="28"/>
      <c r="O18826" s="28"/>
      <c r="U18826" s="28"/>
    </row>
    <row r="18827">
      <c r="N18827" s="28"/>
      <c r="O18827" s="28"/>
      <c r="U18827" s="28"/>
    </row>
    <row r="18828">
      <c r="N18828" s="28"/>
      <c r="O18828" s="28"/>
      <c r="U18828" s="28"/>
    </row>
    <row r="18829">
      <c r="N18829" s="28"/>
      <c r="O18829" s="28"/>
      <c r="U18829" s="28"/>
    </row>
    <row r="18830">
      <c r="N18830" s="28"/>
      <c r="O18830" s="28"/>
      <c r="U18830" s="28"/>
    </row>
    <row r="18831">
      <c r="N18831" s="28"/>
      <c r="O18831" s="28"/>
      <c r="U18831" s="28"/>
    </row>
    <row r="18832">
      <c r="N18832" s="28"/>
      <c r="O18832" s="28"/>
      <c r="U18832" s="28"/>
    </row>
    <row r="18833">
      <c r="N18833" s="28"/>
      <c r="O18833" s="28"/>
      <c r="U18833" s="28"/>
    </row>
    <row r="18834">
      <c r="N18834" s="28"/>
      <c r="O18834" s="28"/>
      <c r="U18834" s="28"/>
    </row>
    <row r="18835">
      <c r="N18835" s="28"/>
      <c r="O18835" s="28"/>
      <c r="U18835" s="28"/>
    </row>
    <row r="18836">
      <c r="N18836" s="28"/>
      <c r="O18836" s="28"/>
      <c r="U18836" s="28"/>
    </row>
    <row r="18837">
      <c r="N18837" s="28"/>
      <c r="O18837" s="28"/>
      <c r="U18837" s="28"/>
    </row>
    <row r="18838">
      <c r="N18838" s="28"/>
      <c r="O18838" s="28"/>
      <c r="U18838" s="28"/>
    </row>
    <row r="18839">
      <c r="N18839" s="28"/>
      <c r="O18839" s="28"/>
      <c r="U18839" s="28"/>
    </row>
    <row r="18840">
      <c r="N18840" s="28"/>
      <c r="O18840" s="28"/>
      <c r="U18840" s="28"/>
    </row>
    <row r="18841">
      <c r="N18841" s="28"/>
      <c r="O18841" s="28"/>
      <c r="U18841" s="28"/>
    </row>
    <row r="18842">
      <c r="N18842" s="28"/>
      <c r="O18842" s="28"/>
      <c r="U18842" s="28"/>
    </row>
    <row r="18843">
      <c r="N18843" s="28"/>
      <c r="O18843" s="28"/>
      <c r="U18843" s="28"/>
    </row>
    <row r="18844">
      <c r="N18844" s="28"/>
      <c r="O18844" s="28"/>
      <c r="U18844" s="28"/>
    </row>
    <row r="18845">
      <c r="N18845" s="28"/>
      <c r="O18845" s="28"/>
      <c r="U18845" s="28"/>
    </row>
    <row r="18846">
      <c r="N18846" s="28"/>
      <c r="O18846" s="28"/>
      <c r="U18846" s="28"/>
    </row>
    <row r="18847">
      <c r="N18847" s="28"/>
      <c r="O18847" s="28"/>
      <c r="U18847" s="28"/>
    </row>
    <row r="18848">
      <c r="N18848" s="28"/>
      <c r="O18848" s="28"/>
      <c r="U18848" s="28"/>
    </row>
    <row r="18849">
      <c r="N18849" s="28"/>
      <c r="O18849" s="28"/>
      <c r="U18849" s="28"/>
    </row>
    <row r="18850">
      <c r="N18850" s="28"/>
      <c r="O18850" s="28"/>
      <c r="U18850" s="28"/>
    </row>
    <row r="18851">
      <c r="N18851" s="28"/>
      <c r="O18851" s="28"/>
      <c r="U18851" s="28"/>
    </row>
    <row r="18852">
      <c r="N18852" s="28"/>
      <c r="O18852" s="28"/>
      <c r="U18852" s="28"/>
    </row>
    <row r="18853">
      <c r="N18853" s="28"/>
      <c r="O18853" s="28"/>
      <c r="U18853" s="28"/>
    </row>
    <row r="18854">
      <c r="N18854" s="28"/>
      <c r="O18854" s="28"/>
      <c r="U18854" s="28"/>
    </row>
    <row r="18855">
      <c r="N18855" s="28"/>
      <c r="O18855" s="28"/>
      <c r="U18855" s="28"/>
    </row>
    <row r="18856">
      <c r="N18856" s="28"/>
      <c r="O18856" s="28"/>
      <c r="U18856" s="28"/>
    </row>
    <row r="18857">
      <c r="N18857" s="28"/>
      <c r="O18857" s="28"/>
      <c r="U18857" s="28"/>
    </row>
    <row r="18858">
      <c r="N18858" s="28"/>
      <c r="O18858" s="28"/>
      <c r="U18858" s="28"/>
    </row>
    <row r="18859">
      <c r="N18859" s="28"/>
      <c r="O18859" s="28"/>
      <c r="U18859" s="28"/>
    </row>
    <row r="18860">
      <c r="N18860" s="28"/>
      <c r="O18860" s="28"/>
      <c r="U18860" s="28"/>
    </row>
    <row r="18861">
      <c r="N18861" s="28"/>
      <c r="O18861" s="28"/>
      <c r="U18861" s="28"/>
    </row>
    <row r="18862">
      <c r="N18862" s="28"/>
      <c r="O18862" s="28"/>
      <c r="U18862" s="28"/>
    </row>
    <row r="18863">
      <c r="N18863" s="28"/>
      <c r="O18863" s="28"/>
      <c r="U18863" s="28"/>
    </row>
    <row r="18864">
      <c r="N18864" s="28"/>
      <c r="O18864" s="28"/>
      <c r="U18864" s="28"/>
    </row>
    <row r="18865">
      <c r="N18865" s="28"/>
      <c r="O18865" s="28"/>
      <c r="U18865" s="28"/>
    </row>
    <row r="18866">
      <c r="N18866" s="28"/>
      <c r="O18866" s="28"/>
      <c r="U18866" s="28"/>
    </row>
    <row r="18867">
      <c r="N18867" s="28"/>
      <c r="O18867" s="28"/>
      <c r="U18867" s="28"/>
    </row>
    <row r="18868">
      <c r="N18868" s="28"/>
      <c r="O18868" s="28"/>
      <c r="U18868" s="28"/>
    </row>
    <row r="18869">
      <c r="N18869" s="28"/>
      <c r="O18869" s="28"/>
      <c r="U18869" s="28"/>
    </row>
    <row r="18870">
      <c r="N18870" s="28"/>
      <c r="O18870" s="28"/>
      <c r="U18870" s="28"/>
    </row>
    <row r="18871">
      <c r="N18871" s="28"/>
      <c r="O18871" s="28"/>
      <c r="U18871" s="28"/>
    </row>
    <row r="18872">
      <c r="N18872" s="28"/>
      <c r="O18872" s="28"/>
      <c r="U18872" s="28"/>
    </row>
    <row r="18873">
      <c r="N18873" s="28"/>
      <c r="O18873" s="28"/>
      <c r="U18873" s="28"/>
    </row>
    <row r="18874">
      <c r="N18874" s="28"/>
      <c r="O18874" s="28"/>
      <c r="U18874" s="28"/>
    </row>
    <row r="18875">
      <c r="N18875" s="28"/>
      <c r="O18875" s="28"/>
      <c r="U18875" s="28"/>
    </row>
    <row r="18876">
      <c r="N18876" s="28"/>
      <c r="O18876" s="28"/>
      <c r="U18876" s="28"/>
    </row>
    <row r="18877">
      <c r="N18877" s="28"/>
      <c r="O18877" s="28"/>
      <c r="U18877" s="28"/>
    </row>
    <row r="18878">
      <c r="N18878" s="28"/>
      <c r="O18878" s="28"/>
      <c r="U18878" s="28"/>
    </row>
    <row r="18879">
      <c r="N18879" s="28"/>
      <c r="O18879" s="28"/>
      <c r="U18879" s="28"/>
    </row>
    <row r="18880">
      <c r="N18880" s="28"/>
      <c r="O18880" s="28"/>
      <c r="U18880" s="28"/>
    </row>
    <row r="18881">
      <c r="N18881" s="28"/>
      <c r="O18881" s="28"/>
      <c r="U18881" s="28"/>
    </row>
    <row r="18882">
      <c r="N18882" s="28"/>
      <c r="O18882" s="28"/>
      <c r="U18882" s="28"/>
    </row>
    <row r="18883">
      <c r="N18883" s="28"/>
      <c r="O18883" s="28"/>
      <c r="U18883" s="28"/>
    </row>
    <row r="18884">
      <c r="N18884" s="28"/>
      <c r="O18884" s="28"/>
      <c r="U18884" s="28"/>
    </row>
    <row r="18885">
      <c r="N18885" s="28"/>
      <c r="O18885" s="28"/>
      <c r="U18885" s="28"/>
    </row>
    <row r="18886">
      <c r="N18886" s="28"/>
      <c r="O18886" s="28"/>
      <c r="U18886" s="28"/>
    </row>
    <row r="18887">
      <c r="N18887" s="28"/>
      <c r="O18887" s="28"/>
      <c r="U18887" s="28"/>
    </row>
    <row r="18888">
      <c r="N18888" s="28"/>
      <c r="O18888" s="28"/>
      <c r="U18888" s="28"/>
    </row>
    <row r="18889">
      <c r="N18889" s="28"/>
      <c r="O18889" s="28"/>
      <c r="U18889" s="28"/>
    </row>
    <row r="18890">
      <c r="N18890" s="28"/>
      <c r="O18890" s="28"/>
      <c r="U18890" s="28"/>
    </row>
    <row r="18891">
      <c r="N18891" s="28"/>
      <c r="O18891" s="28"/>
      <c r="U18891" s="28"/>
    </row>
    <row r="18892">
      <c r="N18892" s="28"/>
      <c r="O18892" s="28"/>
      <c r="U18892" s="28"/>
    </row>
    <row r="18893">
      <c r="N18893" s="28"/>
      <c r="O18893" s="28"/>
      <c r="U18893" s="28"/>
    </row>
    <row r="18894">
      <c r="N18894" s="28"/>
      <c r="O18894" s="28"/>
      <c r="U18894" s="28"/>
    </row>
    <row r="18895">
      <c r="N18895" s="28"/>
      <c r="O18895" s="28"/>
      <c r="U18895" s="28"/>
    </row>
    <row r="18896">
      <c r="N18896" s="28"/>
      <c r="O18896" s="28"/>
      <c r="U18896" s="28"/>
    </row>
    <row r="18897">
      <c r="N18897" s="28"/>
      <c r="O18897" s="28"/>
      <c r="U18897" s="28"/>
    </row>
    <row r="18898">
      <c r="N18898" s="28"/>
      <c r="O18898" s="28"/>
      <c r="U18898" s="28"/>
    </row>
    <row r="18899">
      <c r="N18899" s="28"/>
      <c r="O18899" s="28"/>
      <c r="U18899" s="28"/>
    </row>
    <row r="18900">
      <c r="N18900" s="28"/>
      <c r="O18900" s="28"/>
      <c r="U18900" s="28"/>
    </row>
    <row r="18901">
      <c r="N18901" s="28"/>
      <c r="O18901" s="28"/>
      <c r="U18901" s="28"/>
    </row>
    <row r="18902">
      <c r="N18902" s="28"/>
      <c r="O18902" s="28"/>
      <c r="U18902" s="28"/>
    </row>
    <row r="18903">
      <c r="N18903" s="28"/>
      <c r="O18903" s="28"/>
      <c r="U18903" s="28"/>
    </row>
    <row r="18904">
      <c r="N18904" s="28"/>
      <c r="O18904" s="28"/>
      <c r="U18904" s="28"/>
    </row>
    <row r="18905">
      <c r="N18905" s="28"/>
      <c r="O18905" s="28"/>
      <c r="U18905" s="28"/>
    </row>
    <row r="18906">
      <c r="N18906" s="28"/>
      <c r="O18906" s="28"/>
      <c r="U18906" s="28"/>
    </row>
    <row r="18907">
      <c r="N18907" s="28"/>
      <c r="O18907" s="28"/>
      <c r="U18907" s="28"/>
    </row>
    <row r="18908">
      <c r="N18908" s="28"/>
      <c r="O18908" s="28"/>
      <c r="U18908" s="28"/>
    </row>
    <row r="18909">
      <c r="N18909" s="28"/>
      <c r="O18909" s="28"/>
      <c r="U18909" s="28"/>
    </row>
    <row r="18910">
      <c r="N18910" s="28"/>
      <c r="O18910" s="28"/>
      <c r="U18910" s="28"/>
    </row>
    <row r="18911">
      <c r="N18911" s="28"/>
      <c r="O18911" s="28"/>
      <c r="U18911" s="28"/>
    </row>
    <row r="18912">
      <c r="N18912" s="28"/>
      <c r="O18912" s="28"/>
      <c r="U18912" s="28"/>
    </row>
    <row r="18913">
      <c r="N18913" s="28"/>
      <c r="O18913" s="28"/>
      <c r="U18913" s="28"/>
    </row>
    <row r="18914">
      <c r="N18914" s="28"/>
      <c r="O18914" s="28"/>
      <c r="U18914" s="28"/>
    </row>
    <row r="18915">
      <c r="N18915" s="28"/>
      <c r="O18915" s="28"/>
      <c r="U18915" s="28"/>
    </row>
    <row r="18916">
      <c r="N18916" s="28"/>
      <c r="O18916" s="28"/>
      <c r="U18916" s="28"/>
    </row>
    <row r="18917">
      <c r="N18917" s="28"/>
      <c r="O18917" s="28"/>
      <c r="U18917" s="28"/>
    </row>
    <row r="18918">
      <c r="N18918" s="28"/>
      <c r="O18918" s="28"/>
      <c r="U18918" s="28"/>
    </row>
    <row r="18919">
      <c r="N18919" s="28"/>
      <c r="O18919" s="28"/>
      <c r="U18919" s="28"/>
    </row>
    <row r="18920">
      <c r="N18920" s="28"/>
      <c r="O18920" s="28"/>
      <c r="U18920" s="28"/>
    </row>
    <row r="18921">
      <c r="N18921" s="28"/>
      <c r="O18921" s="28"/>
      <c r="U18921" s="28"/>
    </row>
    <row r="18922">
      <c r="N18922" s="28"/>
      <c r="O18922" s="28"/>
      <c r="U18922" s="28"/>
    </row>
    <row r="18923">
      <c r="N18923" s="28"/>
      <c r="O18923" s="28"/>
      <c r="U18923" s="28"/>
    </row>
    <row r="18924">
      <c r="N18924" s="28"/>
      <c r="O18924" s="28"/>
      <c r="U18924" s="28"/>
    </row>
    <row r="18925">
      <c r="N18925" s="28"/>
      <c r="O18925" s="28"/>
      <c r="U18925" s="28"/>
    </row>
    <row r="18926">
      <c r="N18926" s="28"/>
      <c r="O18926" s="28"/>
      <c r="U18926" s="28"/>
    </row>
    <row r="18927">
      <c r="N18927" s="28"/>
      <c r="O18927" s="28"/>
      <c r="U18927" s="28"/>
    </row>
    <row r="18928">
      <c r="N18928" s="28"/>
      <c r="O18928" s="28"/>
      <c r="U18928" s="28"/>
    </row>
    <row r="18929">
      <c r="N18929" s="28"/>
      <c r="O18929" s="28"/>
      <c r="U18929" s="28"/>
    </row>
    <row r="18930">
      <c r="N18930" s="28"/>
      <c r="O18930" s="28"/>
      <c r="U18930" s="28"/>
    </row>
    <row r="18931">
      <c r="N18931" s="28"/>
      <c r="O18931" s="28"/>
      <c r="U18931" s="28"/>
    </row>
    <row r="18932">
      <c r="N18932" s="28"/>
      <c r="O18932" s="28"/>
      <c r="U18932" s="28"/>
    </row>
    <row r="18933">
      <c r="N18933" s="28"/>
      <c r="O18933" s="28"/>
      <c r="U18933" s="28"/>
    </row>
    <row r="18934">
      <c r="N18934" s="28"/>
      <c r="O18934" s="28"/>
      <c r="U18934" s="28"/>
    </row>
    <row r="18935">
      <c r="N18935" s="28"/>
      <c r="O18935" s="28"/>
      <c r="U18935" s="28"/>
    </row>
    <row r="18936">
      <c r="N18936" s="28"/>
      <c r="O18936" s="28"/>
      <c r="U18936" s="28"/>
    </row>
    <row r="18937">
      <c r="N18937" s="28"/>
      <c r="O18937" s="28"/>
      <c r="U18937" s="28"/>
    </row>
    <row r="18938">
      <c r="N18938" s="28"/>
      <c r="O18938" s="28"/>
      <c r="U18938" s="28"/>
    </row>
    <row r="18939">
      <c r="N18939" s="28"/>
      <c r="O18939" s="28"/>
      <c r="U18939" s="28"/>
    </row>
    <row r="18940">
      <c r="N18940" s="28"/>
      <c r="O18940" s="28"/>
      <c r="U18940" s="28"/>
    </row>
    <row r="18941">
      <c r="N18941" s="28"/>
      <c r="O18941" s="28"/>
      <c r="U18941" s="28"/>
    </row>
    <row r="18942">
      <c r="N18942" s="28"/>
      <c r="O18942" s="28"/>
      <c r="U18942" s="28"/>
    </row>
    <row r="18943">
      <c r="N18943" s="28"/>
      <c r="O18943" s="28"/>
      <c r="U18943" s="28"/>
    </row>
    <row r="18944">
      <c r="N18944" s="28"/>
      <c r="O18944" s="28"/>
      <c r="U18944" s="28"/>
    </row>
    <row r="18945">
      <c r="N18945" s="28"/>
      <c r="O18945" s="28"/>
      <c r="U18945" s="28"/>
    </row>
    <row r="18946">
      <c r="N18946" s="28"/>
      <c r="O18946" s="28"/>
      <c r="U18946" s="28"/>
    </row>
    <row r="18947">
      <c r="N18947" s="28"/>
      <c r="O18947" s="28"/>
      <c r="U18947" s="28"/>
    </row>
    <row r="18948">
      <c r="N18948" s="28"/>
      <c r="O18948" s="28"/>
      <c r="U18948" s="28"/>
    </row>
    <row r="18949">
      <c r="N18949" s="28"/>
      <c r="O18949" s="28"/>
      <c r="U18949" s="28"/>
    </row>
    <row r="18950">
      <c r="N18950" s="28"/>
      <c r="O18950" s="28"/>
      <c r="U18950" s="28"/>
    </row>
    <row r="18951">
      <c r="N18951" s="28"/>
      <c r="O18951" s="28"/>
      <c r="U18951" s="28"/>
    </row>
    <row r="18952">
      <c r="N18952" s="28"/>
      <c r="O18952" s="28"/>
      <c r="U18952" s="28"/>
    </row>
    <row r="18953">
      <c r="N18953" s="28"/>
      <c r="O18953" s="28"/>
      <c r="U18953" s="28"/>
    </row>
    <row r="18954">
      <c r="N18954" s="28"/>
      <c r="O18954" s="28"/>
      <c r="U18954" s="28"/>
    </row>
    <row r="18955">
      <c r="N18955" s="28"/>
      <c r="O18955" s="28"/>
      <c r="U18955" s="28"/>
    </row>
    <row r="18956">
      <c r="N18956" s="28"/>
      <c r="O18956" s="28"/>
      <c r="U18956" s="28"/>
    </row>
    <row r="18957">
      <c r="N18957" s="28"/>
      <c r="O18957" s="28"/>
      <c r="U18957" s="28"/>
    </row>
    <row r="18958">
      <c r="N18958" s="28"/>
      <c r="O18958" s="28"/>
      <c r="U18958" s="28"/>
    </row>
    <row r="18959">
      <c r="N18959" s="28"/>
      <c r="O18959" s="28"/>
      <c r="U18959" s="28"/>
    </row>
    <row r="18960">
      <c r="N18960" s="28"/>
      <c r="O18960" s="28"/>
      <c r="U18960" s="28"/>
    </row>
    <row r="18961">
      <c r="N18961" s="28"/>
      <c r="O18961" s="28"/>
      <c r="U18961" s="28"/>
    </row>
    <row r="18962">
      <c r="N18962" s="28"/>
      <c r="O18962" s="28"/>
      <c r="U18962" s="28"/>
    </row>
    <row r="18963">
      <c r="N18963" s="28"/>
      <c r="O18963" s="28"/>
      <c r="U18963" s="28"/>
    </row>
    <row r="18964">
      <c r="N18964" s="28"/>
      <c r="O18964" s="28"/>
      <c r="U18964" s="28"/>
    </row>
    <row r="18965">
      <c r="N18965" s="28"/>
      <c r="O18965" s="28"/>
      <c r="U18965" s="28"/>
    </row>
    <row r="18966">
      <c r="N18966" s="28"/>
      <c r="O18966" s="28"/>
      <c r="U18966" s="28"/>
    </row>
    <row r="18967">
      <c r="N18967" s="28"/>
      <c r="O18967" s="28"/>
      <c r="U18967" s="28"/>
    </row>
    <row r="18968">
      <c r="N18968" s="28"/>
      <c r="O18968" s="28"/>
      <c r="U18968" s="28"/>
    </row>
    <row r="18969">
      <c r="N18969" s="28"/>
      <c r="O18969" s="28"/>
      <c r="U18969" s="28"/>
    </row>
    <row r="18970">
      <c r="N18970" s="28"/>
      <c r="O18970" s="28"/>
      <c r="U18970" s="28"/>
    </row>
    <row r="18971">
      <c r="N18971" s="28"/>
      <c r="O18971" s="28"/>
      <c r="U18971" s="28"/>
    </row>
    <row r="18972">
      <c r="N18972" s="28"/>
      <c r="O18972" s="28"/>
      <c r="U18972" s="28"/>
    </row>
    <row r="18973">
      <c r="N18973" s="28"/>
      <c r="O18973" s="28"/>
      <c r="U18973" s="28"/>
    </row>
    <row r="18974">
      <c r="N18974" s="28"/>
      <c r="O18974" s="28"/>
      <c r="U18974" s="28"/>
    </row>
    <row r="18975">
      <c r="N18975" s="28"/>
      <c r="O18975" s="28"/>
      <c r="U18975" s="28"/>
    </row>
    <row r="18976">
      <c r="N18976" s="28"/>
      <c r="O18976" s="28"/>
      <c r="U18976" s="28"/>
    </row>
    <row r="18977">
      <c r="N18977" s="28"/>
      <c r="O18977" s="28"/>
      <c r="U18977" s="28"/>
    </row>
    <row r="18978">
      <c r="N18978" s="28"/>
      <c r="O18978" s="28"/>
      <c r="U18978" s="28"/>
    </row>
    <row r="18979">
      <c r="N18979" s="28"/>
      <c r="O18979" s="28"/>
      <c r="U18979" s="28"/>
    </row>
    <row r="18980">
      <c r="N18980" s="28"/>
      <c r="O18980" s="28"/>
      <c r="U18980" s="28"/>
    </row>
    <row r="18981">
      <c r="N18981" s="28"/>
      <c r="O18981" s="28"/>
      <c r="U18981" s="28"/>
    </row>
    <row r="18982">
      <c r="N18982" s="28"/>
      <c r="O18982" s="28"/>
      <c r="U18982" s="28"/>
    </row>
    <row r="18983">
      <c r="N18983" s="28"/>
      <c r="O18983" s="28"/>
      <c r="U18983" s="28"/>
    </row>
    <row r="18984">
      <c r="N18984" s="28"/>
      <c r="O18984" s="28"/>
      <c r="U18984" s="28"/>
    </row>
    <row r="18985">
      <c r="N18985" s="28"/>
      <c r="O18985" s="28"/>
      <c r="U18985" s="28"/>
    </row>
    <row r="18986">
      <c r="N18986" s="28"/>
      <c r="O18986" s="28"/>
      <c r="U18986" s="28"/>
    </row>
    <row r="18987">
      <c r="N18987" s="28"/>
      <c r="O18987" s="28"/>
      <c r="U18987" s="28"/>
    </row>
    <row r="18988">
      <c r="N18988" s="28"/>
      <c r="O18988" s="28"/>
      <c r="U18988" s="28"/>
    </row>
    <row r="18989">
      <c r="N18989" s="28"/>
      <c r="O18989" s="28"/>
      <c r="U18989" s="28"/>
    </row>
    <row r="18990">
      <c r="N18990" s="28"/>
      <c r="O18990" s="28"/>
      <c r="U18990" s="28"/>
    </row>
    <row r="18991">
      <c r="N18991" s="28"/>
      <c r="O18991" s="28"/>
      <c r="U18991" s="28"/>
    </row>
    <row r="18992">
      <c r="N18992" s="28"/>
      <c r="O18992" s="28"/>
      <c r="U18992" s="28"/>
    </row>
    <row r="18993">
      <c r="N18993" s="28"/>
      <c r="O18993" s="28"/>
      <c r="U18993" s="28"/>
    </row>
    <row r="18994">
      <c r="N18994" s="28"/>
      <c r="O18994" s="28"/>
      <c r="U18994" s="28"/>
    </row>
    <row r="18995">
      <c r="N18995" s="28"/>
      <c r="O18995" s="28"/>
      <c r="U18995" s="28"/>
    </row>
    <row r="18996">
      <c r="N18996" s="28"/>
      <c r="O18996" s="28"/>
      <c r="U18996" s="28"/>
    </row>
    <row r="18997">
      <c r="N18997" s="28"/>
      <c r="O18997" s="28"/>
      <c r="U18997" s="28"/>
    </row>
    <row r="18998">
      <c r="N18998" s="28"/>
      <c r="O18998" s="28"/>
      <c r="U18998" s="28"/>
    </row>
    <row r="18999">
      <c r="N18999" s="28"/>
      <c r="O18999" s="28"/>
      <c r="U18999" s="28"/>
    </row>
    <row r="19000">
      <c r="N19000" s="28"/>
      <c r="O19000" s="28"/>
      <c r="U19000" s="28"/>
    </row>
    <row r="19001">
      <c r="N19001" s="28"/>
      <c r="O19001" s="28"/>
      <c r="U19001" s="28"/>
    </row>
    <row r="19002">
      <c r="N19002" s="28"/>
      <c r="O19002" s="28"/>
      <c r="U19002" s="28"/>
    </row>
    <row r="19003">
      <c r="N19003" s="28"/>
      <c r="O19003" s="28"/>
      <c r="U19003" s="28"/>
    </row>
    <row r="19004">
      <c r="N19004" s="28"/>
      <c r="O19004" s="28"/>
      <c r="U19004" s="28"/>
    </row>
    <row r="19005">
      <c r="N19005" s="28"/>
      <c r="O19005" s="28"/>
      <c r="U19005" s="28"/>
    </row>
    <row r="19006">
      <c r="N19006" s="28"/>
      <c r="O19006" s="28"/>
      <c r="U19006" s="28"/>
    </row>
    <row r="19007">
      <c r="N19007" s="28"/>
      <c r="O19007" s="28"/>
      <c r="U19007" s="28"/>
    </row>
    <row r="19008">
      <c r="N19008" s="28"/>
      <c r="O19008" s="28"/>
      <c r="U19008" s="28"/>
    </row>
    <row r="19009">
      <c r="N19009" s="28"/>
      <c r="O19009" s="28"/>
      <c r="U19009" s="28"/>
    </row>
    <row r="19010">
      <c r="N19010" s="28"/>
      <c r="O19010" s="28"/>
      <c r="U19010" s="28"/>
    </row>
    <row r="19011">
      <c r="N19011" s="28"/>
      <c r="O19011" s="28"/>
      <c r="U19011" s="28"/>
    </row>
    <row r="19012">
      <c r="N19012" s="28"/>
      <c r="O19012" s="28"/>
      <c r="U19012" s="28"/>
    </row>
    <row r="19013">
      <c r="N19013" s="28"/>
      <c r="O19013" s="28"/>
      <c r="U19013" s="28"/>
    </row>
    <row r="19014">
      <c r="N19014" s="28"/>
      <c r="O19014" s="28"/>
      <c r="U19014" s="28"/>
    </row>
    <row r="19015">
      <c r="N19015" s="28"/>
      <c r="O19015" s="28"/>
      <c r="U19015" s="28"/>
    </row>
    <row r="19016">
      <c r="N19016" s="28"/>
      <c r="O19016" s="28"/>
      <c r="U19016" s="28"/>
    </row>
    <row r="19017">
      <c r="N19017" s="28"/>
      <c r="O19017" s="28"/>
      <c r="U19017" s="28"/>
    </row>
    <row r="19018">
      <c r="N19018" s="28"/>
      <c r="O19018" s="28"/>
      <c r="U19018" s="28"/>
    </row>
    <row r="19019">
      <c r="N19019" s="28"/>
      <c r="O19019" s="28"/>
      <c r="U19019" s="28"/>
    </row>
    <row r="19020">
      <c r="N19020" s="28"/>
      <c r="O19020" s="28"/>
      <c r="U19020" s="28"/>
    </row>
    <row r="19021">
      <c r="N19021" s="28"/>
      <c r="O19021" s="28"/>
      <c r="U19021" s="28"/>
    </row>
    <row r="19022">
      <c r="N19022" s="28"/>
      <c r="O19022" s="28"/>
      <c r="U19022" s="28"/>
    </row>
    <row r="19023">
      <c r="N19023" s="28"/>
      <c r="O19023" s="28"/>
      <c r="U19023" s="28"/>
    </row>
    <row r="19024">
      <c r="N19024" s="28"/>
      <c r="O19024" s="28"/>
      <c r="U19024" s="28"/>
    </row>
    <row r="19025">
      <c r="N19025" s="28"/>
      <c r="O19025" s="28"/>
      <c r="U19025" s="28"/>
    </row>
    <row r="19026">
      <c r="N19026" s="28"/>
      <c r="O19026" s="28"/>
      <c r="U19026" s="28"/>
    </row>
    <row r="19027">
      <c r="N19027" s="28"/>
      <c r="O19027" s="28"/>
      <c r="U19027" s="28"/>
    </row>
    <row r="19028">
      <c r="N19028" s="28"/>
      <c r="O19028" s="28"/>
      <c r="U19028" s="28"/>
    </row>
    <row r="19029">
      <c r="N19029" s="28"/>
      <c r="O19029" s="28"/>
      <c r="U19029" s="28"/>
    </row>
    <row r="19030">
      <c r="N19030" s="28"/>
      <c r="O19030" s="28"/>
      <c r="U19030" s="28"/>
    </row>
    <row r="19031">
      <c r="N19031" s="28"/>
      <c r="O19031" s="28"/>
      <c r="U19031" s="28"/>
    </row>
    <row r="19032">
      <c r="N19032" s="28"/>
      <c r="O19032" s="28"/>
      <c r="U19032" s="28"/>
    </row>
    <row r="19033">
      <c r="N19033" s="28"/>
      <c r="O19033" s="28"/>
      <c r="U19033" s="28"/>
    </row>
    <row r="19034">
      <c r="N19034" s="28"/>
      <c r="O19034" s="28"/>
      <c r="U19034" s="28"/>
    </row>
    <row r="19035">
      <c r="N19035" s="28"/>
      <c r="O19035" s="28"/>
      <c r="U19035" s="28"/>
    </row>
    <row r="19036">
      <c r="N19036" s="28"/>
      <c r="O19036" s="28"/>
      <c r="U19036" s="28"/>
    </row>
    <row r="19037">
      <c r="N19037" s="28"/>
      <c r="O19037" s="28"/>
      <c r="U19037" s="28"/>
    </row>
    <row r="19038">
      <c r="N19038" s="28"/>
      <c r="O19038" s="28"/>
      <c r="U19038" s="28"/>
    </row>
    <row r="19039">
      <c r="N19039" s="28"/>
      <c r="O19039" s="28"/>
      <c r="U19039" s="28"/>
    </row>
    <row r="19040">
      <c r="N19040" s="28"/>
      <c r="O19040" s="28"/>
      <c r="U19040" s="28"/>
    </row>
    <row r="19041">
      <c r="N19041" s="28"/>
      <c r="O19041" s="28"/>
      <c r="U19041" s="28"/>
    </row>
    <row r="19042">
      <c r="N19042" s="28"/>
      <c r="O19042" s="28"/>
      <c r="U19042" s="28"/>
    </row>
    <row r="19043">
      <c r="N19043" s="28"/>
      <c r="O19043" s="28"/>
      <c r="U19043" s="28"/>
    </row>
    <row r="19044">
      <c r="N19044" s="28"/>
      <c r="O19044" s="28"/>
      <c r="U19044" s="28"/>
    </row>
    <row r="19045">
      <c r="N19045" s="28"/>
      <c r="O19045" s="28"/>
      <c r="U19045" s="28"/>
    </row>
    <row r="19046">
      <c r="N19046" s="28"/>
      <c r="O19046" s="28"/>
      <c r="U19046" s="28"/>
    </row>
    <row r="19047">
      <c r="N19047" s="28"/>
      <c r="O19047" s="28"/>
      <c r="U19047" s="28"/>
    </row>
    <row r="19048">
      <c r="N19048" s="28"/>
      <c r="O19048" s="28"/>
      <c r="U19048" s="28"/>
    </row>
    <row r="19049">
      <c r="N19049" s="28"/>
      <c r="O19049" s="28"/>
      <c r="U19049" s="28"/>
    </row>
    <row r="19050">
      <c r="N19050" s="28"/>
      <c r="O19050" s="28"/>
      <c r="U19050" s="28"/>
    </row>
    <row r="19051">
      <c r="N19051" s="28"/>
      <c r="O19051" s="28"/>
      <c r="U19051" s="28"/>
    </row>
    <row r="19052">
      <c r="N19052" s="28"/>
      <c r="O19052" s="28"/>
      <c r="U19052" s="28"/>
    </row>
    <row r="19053">
      <c r="N19053" s="28"/>
      <c r="O19053" s="28"/>
      <c r="U19053" s="28"/>
    </row>
    <row r="19054">
      <c r="N19054" s="28"/>
      <c r="O19054" s="28"/>
      <c r="U19054" s="28"/>
    </row>
    <row r="19055">
      <c r="N19055" s="28"/>
      <c r="O19055" s="28"/>
      <c r="U19055" s="28"/>
    </row>
    <row r="19056">
      <c r="N19056" s="28"/>
      <c r="O19056" s="28"/>
      <c r="U19056" s="28"/>
    </row>
    <row r="19057">
      <c r="N19057" s="28"/>
      <c r="O19057" s="28"/>
      <c r="U19057" s="28"/>
    </row>
    <row r="19058">
      <c r="N19058" s="28"/>
      <c r="O19058" s="28"/>
      <c r="U19058" s="28"/>
    </row>
    <row r="19059">
      <c r="N19059" s="28"/>
      <c r="O19059" s="28"/>
      <c r="U19059" s="28"/>
    </row>
    <row r="19060">
      <c r="N19060" s="28"/>
      <c r="O19060" s="28"/>
      <c r="U19060" s="28"/>
    </row>
    <row r="19061">
      <c r="N19061" s="28"/>
      <c r="O19061" s="28"/>
      <c r="U19061" s="28"/>
    </row>
    <row r="19062">
      <c r="N19062" s="28"/>
      <c r="O19062" s="28"/>
      <c r="U19062" s="28"/>
    </row>
    <row r="19063">
      <c r="N19063" s="28"/>
      <c r="O19063" s="28"/>
      <c r="U19063" s="28"/>
    </row>
    <row r="19064">
      <c r="N19064" s="28"/>
      <c r="O19064" s="28"/>
      <c r="U19064" s="28"/>
    </row>
    <row r="19065">
      <c r="N19065" s="28"/>
      <c r="O19065" s="28"/>
      <c r="U19065" s="28"/>
    </row>
    <row r="19066">
      <c r="N19066" s="28"/>
      <c r="O19066" s="28"/>
      <c r="U19066" s="28"/>
    </row>
    <row r="19067">
      <c r="N19067" s="28"/>
      <c r="O19067" s="28"/>
      <c r="U19067" s="28"/>
    </row>
    <row r="19068">
      <c r="N19068" s="28"/>
      <c r="O19068" s="28"/>
      <c r="U19068" s="28"/>
    </row>
    <row r="19069">
      <c r="N19069" s="28"/>
      <c r="O19069" s="28"/>
      <c r="U19069" s="28"/>
    </row>
    <row r="19070">
      <c r="N19070" s="28"/>
      <c r="O19070" s="28"/>
      <c r="U19070" s="28"/>
    </row>
    <row r="19071">
      <c r="N19071" s="28"/>
      <c r="O19071" s="28"/>
      <c r="U19071" s="28"/>
    </row>
    <row r="19072">
      <c r="N19072" s="28"/>
      <c r="O19072" s="28"/>
      <c r="U19072" s="28"/>
    </row>
    <row r="19073">
      <c r="N19073" s="28"/>
      <c r="O19073" s="28"/>
      <c r="U19073" s="28"/>
    </row>
    <row r="19074">
      <c r="N19074" s="28"/>
      <c r="O19074" s="28"/>
      <c r="U19074" s="28"/>
    </row>
    <row r="19075">
      <c r="N19075" s="28"/>
      <c r="O19075" s="28"/>
      <c r="U19075" s="28"/>
    </row>
    <row r="19076">
      <c r="N19076" s="28"/>
      <c r="O19076" s="28"/>
      <c r="U19076" s="28"/>
    </row>
    <row r="19077">
      <c r="N19077" s="28"/>
      <c r="O19077" s="28"/>
      <c r="U19077" s="28"/>
    </row>
    <row r="19078">
      <c r="N19078" s="28"/>
      <c r="O19078" s="28"/>
      <c r="U19078" s="28"/>
    </row>
    <row r="19079">
      <c r="N19079" s="28"/>
      <c r="O19079" s="28"/>
      <c r="U19079" s="28"/>
    </row>
    <row r="19080">
      <c r="N19080" s="28"/>
      <c r="O19080" s="28"/>
      <c r="U19080" s="28"/>
    </row>
    <row r="19081">
      <c r="N19081" s="28"/>
      <c r="O19081" s="28"/>
      <c r="U19081" s="28"/>
    </row>
    <row r="19082">
      <c r="N19082" s="28"/>
      <c r="O19082" s="28"/>
      <c r="U19082" s="28"/>
    </row>
    <row r="19083">
      <c r="N19083" s="28"/>
      <c r="O19083" s="28"/>
      <c r="U19083" s="28"/>
    </row>
    <row r="19084">
      <c r="N19084" s="28"/>
      <c r="O19084" s="28"/>
      <c r="U19084" s="28"/>
    </row>
    <row r="19085">
      <c r="N19085" s="28"/>
      <c r="O19085" s="28"/>
      <c r="U19085" s="28"/>
    </row>
    <row r="19086">
      <c r="N19086" s="28"/>
      <c r="O19086" s="28"/>
      <c r="U19086" s="28"/>
    </row>
    <row r="19087">
      <c r="N19087" s="28"/>
      <c r="O19087" s="28"/>
      <c r="U19087" s="28"/>
    </row>
    <row r="19088">
      <c r="N19088" s="28"/>
      <c r="O19088" s="28"/>
      <c r="U19088" s="28"/>
    </row>
    <row r="19089">
      <c r="N19089" s="28"/>
      <c r="O19089" s="28"/>
      <c r="U19089" s="28"/>
    </row>
    <row r="19090">
      <c r="N19090" s="28"/>
      <c r="O19090" s="28"/>
      <c r="U19090" s="28"/>
    </row>
    <row r="19091">
      <c r="N19091" s="28"/>
      <c r="O19091" s="28"/>
      <c r="U19091" s="28"/>
    </row>
    <row r="19092">
      <c r="N19092" s="28"/>
      <c r="O19092" s="28"/>
      <c r="U19092" s="28"/>
    </row>
    <row r="19093">
      <c r="N19093" s="28"/>
      <c r="O19093" s="28"/>
      <c r="U19093" s="28"/>
    </row>
    <row r="19094">
      <c r="N19094" s="28"/>
      <c r="O19094" s="28"/>
      <c r="U19094" s="28"/>
    </row>
    <row r="19095">
      <c r="N19095" s="28"/>
      <c r="O19095" s="28"/>
      <c r="U19095" s="28"/>
    </row>
    <row r="19096">
      <c r="N19096" s="28"/>
      <c r="O19096" s="28"/>
      <c r="U19096" s="28"/>
    </row>
    <row r="19097">
      <c r="N19097" s="28"/>
      <c r="O19097" s="28"/>
      <c r="U19097" s="28"/>
    </row>
    <row r="19098">
      <c r="N19098" s="28"/>
      <c r="O19098" s="28"/>
      <c r="U19098" s="28"/>
    </row>
    <row r="19099">
      <c r="N19099" s="28"/>
      <c r="O19099" s="28"/>
      <c r="U19099" s="28"/>
    </row>
    <row r="19100">
      <c r="N19100" s="28"/>
      <c r="O19100" s="28"/>
      <c r="U19100" s="28"/>
    </row>
    <row r="19101">
      <c r="N19101" s="28"/>
      <c r="O19101" s="28"/>
      <c r="U19101" s="28"/>
    </row>
    <row r="19102">
      <c r="N19102" s="28"/>
      <c r="O19102" s="28"/>
      <c r="U19102" s="28"/>
    </row>
    <row r="19103">
      <c r="N19103" s="28"/>
      <c r="O19103" s="28"/>
      <c r="U19103" s="28"/>
    </row>
    <row r="19104">
      <c r="N19104" s="28"/>
      <c r="O19104" s="28"/>
      <c r="U19104" s="28"/>
    </row>
    <row r="19105">
      <c r="N19105" s="28"/>
      <c r="O19105" s="28"/>
      <c r="U19105" s="28"/>
    </row>
    <row r="19106">
      <c r="N19106" s="28"/>
      <c r="O19106" s="28"/>
      <c r="U19106" s="28"/>
    </row>
    <row r="19107">
      <c r="N19107" s="28"/>
      <c r="O19107" s="28"/>
      <c r="U19107" s="28"/>
    </row>
    <row r="19108">
      <c r="N19108" s="28"/>
      <c r="O19108" s="28"/>
      <c r="U19108" s="28"/>
    </row>
    <row r="19109">
      <c r="N19109" s="28"/>
      <c r="O19109" s="28"/>
      <c r="U19109" s="28"/>
    </row>
    <row r="19110">
      <c r="N19110" s="28"/>
      <c r="O19110" s="28"/>
      <c r="U19110" s="28"/>
    </row>
    <row r="19111">
      <c r="N19111" s="28"/>
      <c r="O19111" s="28"/>
      <c r="U19111" s="28"/>
    </row>
    <row r="19112">
      <c r="N19112" s="28"/>
      <c r="O19112" s="28"/>
      <c r="U19112" s="28"/>
    </row>
    <row r="19113">
      <c r="N19113" s="28"/>
      <c r="O19113" s="28"/>
      <c r="U19113" s="28"/>
    </row>
    <row r="19114">
      <c r="N19114" s="28"/>
      <c r="O19114" s="28"/>
      <c r="U19114" s="28"/>
    </row>
    <row r="19115">
      <c r="N19115" s="28"/>
      <c r="O19115" s="28"/>
      <c r="U19115" s="28"/>
    </row>
    <row r="19116">
      <c r="N19116" s="28"/>
      <c r="O19116" s="28"/>
      <c r="U19116" s="28"/>
    </row>
    <row r="19117">
      <c r="N19117" s="28"/>
      <c r="O19117" s="28"/>
      <c r="U19117" s="28"/>
    </row>
    <row r="19118">
      <c r="N19118" s="28"/>
      <c r="O19118" s="28"/>
      <c r="U19118" s="28"/>
    </row>
    <row r="19119">
      <c r="N19119" s="28"/>
      <c r="O19119" s="28"/>
      <c r="U19119" s="28"/>
    </row>
    <row r="19120">
      <c r="N19120" s="28"/>
      <c r="O19120" s="28"/>
      <c r="U19120" s="28"/>
    </row>
    <row r="19121">
      <c r="N19121" s="28"/>
      <c r="O19121" s="28"/>
      <c r="U19121" s="28"/>
    </row>
    <row r="19122">
      <c r="N19122" s="28"/>
      <c r="O19122" s="28"/>
      <c r="U19122" s="28"/>
    </row>
    <row r="19123">
      <c r="N19123" s="28"/>
      <c r="O19123" s="28"/>
      <c r="U19123" s="28"/>
    </row>
    <row r="19124">
      <c r="N19124" s="28"/>
      <c r="O19124" s="28"/>
      <c r="U19124" s="28"/>
    </row>
    <row r="19125">
      <c r="N19125" s="28"/>
      <c r="O19125" s="28"/>
      <c r="U19125" s="28"/>
    </row>
    <row r="19126">
      <c r="N19126" s="28"/>
      <c r="O19126" s="28"/>
      <c r="U19126" s="28"/>
    </row>
    <row r="19127">
      <c r="N19127" s="28"/>
      <c r="O19127" s="28"/>
      <c r="U19127" s="28"/>
    </row>
    <row r="19128">
      <c r="N19128" s="28"/>
      <c r="O19128" s="28"/>
      <c r="U19128" s="28"/>
    </row>
    <row r="19129">
      <c r="N19129" s="28"/>
      <c r="O19129" s="28"/>
      <c r="U19129" s="28"/>
    </row>
    <row r="19130">
      <c r="N19130" s="28"/>
      <c r="O19130" s="28"/>
      <c r="U19130" s="28"/>
    </row>
    <row r="19131">
      <c r="N19131" s="28"/>
      <c r="O19131" s="28"/>
      <c r="U19131" s="28"/>
    </row>
    <row r="19132">
      <c r="N19132" s="28"/>
      <c r="O19132" s="28"/>
      <c r="U19132" s="28"/>
    </row>
    <row r="19133">
      <c r="N19133" s="28"/>
      <c r="O19133" s="28"/>
      <c r="U19133" s="28"/>
    </row>
    <row r="19134">
      <c r="N19134" s="28"/>
      <c r="O19134" s="28"/>
      <c r="U19134" s="28"/>
    </row>
    <row r="19135">
      <c r="N19135" s="28"/>
      <c r="O19135" s="28"/>
      <c r="U19135" s="28"/>
    </row>
    <row r="19136">
      <c r="N19136" s="28"/>
      <c r="O19136" s="28"/>
      <c r="U19136" s="28"/>
    </row>
    <row r="19137">
      <c r="N19137" s="28"/>
      <c r="O19137" s="28"/>
      <c r="U19137" s="28"/>
    </row>
    <row r="19138">
      <c r="N19138" s="28"/>
      <c r="O19138" s="28"/>
      <c r="U19138" s="28"/>
    </row>
    <row r="19139">
      <c r="N19139" s="28"/>
      <c r="O19139" s="28"/>
      <c r="U19139" s="28"/>
    </row>
    <row r="19140">
      <c r="N19140" s="28"/>
      <c r="O19140" s="28"/>
      <c r="U19140" s="28"/>
    </row>
    <row r="19141">
      <c r="N19141" s="28"/>
      <c r="O19141" s="28"/>
      <c r="U19141" s="28"/>
    </row>
    <row r="19142">
      <c r="N19142" s="28"/>
      <c r="O19142" s="28"/>
      <c r="U19142" s="28"/>
    </row>
    <row r="19143">
      <c r="N19143" s="28"/>
      <c r="O19143" s="28"/>
      <c r="U19143" s="28"/>
    </row>
    <row r="19144">
      <c r="N19144" s="28"/>
      <c r="O19144" s="28"/>
      <c r="U19144" s="28"/>
    </row>
    <row r="19145">
      <c r="N19145" s="28"/>
      <c r="O19145" s="28"/>
      <c r="U19145" s="28"/>
    </row>
    <row r="19146">
      <c r="N19146" s="28"/>
      <c r="O19146" s="28"/>
      <c r="U19146" s="28"/>
    </row>
    <row r="19147">
      <c r="N19147" s="28"/>
      <c r="O19147" s="28"/>
      <c r="U19147" s="28"/>
    </row>
    <row r="19148">
      <c r="N19148" s="28"/>
      <c r="O19148" s="28"/>
      <c r="U19148" s="28"/>
    </row>
    <row r="19149">
      <c r="N19149" s="28"/>
      <c r="O19149" s="28"/>
      <c r="U19149" s="28"/>
    </row>
    <row r="19150">
      <c r="N19150" s="28"/>
      <c r="O19150" s="28"/>
      <c r="U19150" s="28"/>
    </row>
    <row r="19151">
      <c r="N19151" s="28"/>
      <c r="O19151" s="28"/>
      <c r="U19151" s="28"/>
    </row>
    <row r="19152">
      <c r="N19152" s="28"/>
      <c r="O19152" s="28"/>
      <c r="U19152" s="28"/>
    </row>
    <row r="19153">
      <c r="N19153" s="28"/>
      <c r="O19153" s="28"/>
      <c r="U19153" s="28"/>
    </row>
    <row r="19154">
      <c r="N19154" s="28"/>
      <c r="O19154" s="28"/>
      <c r="U19154" s="28"/>
    </row>
    <row r="19155">
      <c r="N19155" s="28"/>
      <c r="O19155" s="28"/>
      <c r="U19155" s="28"/>
    </row>
    <row r="19156">
      <c r="N19156" s="28"/>
      <c r="O19156" s="28"/>
      <c r="U19156" s="28"/>
    </row>
    <row r="19157">
      <c r="N19157" s="28"/>
      <c r="O19157" s="28"/>
      <c r="U19157" s="28"/>
    </row>
    <row r="19158">
      <c r="N19158" s="28"/>
      <c r="O19158" s="28"/>
      <c r="U19158" s="28"/>
    </row>
    <row r="19159">
      <c r="N19159" s="28"/>
      <c r="O19159" s="28"/>
      <c r="U19159" s="28"/>
    </row>
    <row r="19160">
      <c r="N19160" s="28"/>
      <c r="O19160" s="28"/>
      <c r="U19160" s="28"/>
    </row>
    <row r="19161">
      <c r="N19161" s="28"/>
      <c r="O19161" s="28"/>
      <c r="U19161" s="28"/>
    </row>
    <row r="19162">
      <c r="N19162" s="28"/>
      <c r="O19162" s="28"/>
      <c r="U19162" s="28"/>
    </row>
    <row r="19163">
      <c r="N19163" s="28"/>
      <c r="O19163" s="28"/>
      <c r="U19163" s="28"/>
    </row>
    <row r="19164">
      <c r="N19164" s="28"/>
      <c r="O19164" s="28"/>
      <c r="U19164" s="28"/>
    </row>
    <row r="19165">
      <c r="N19165" s="28"/>
      <c r="O19165" s="28"/>
      <c r="U19165" s="28"/>
    </row>
    <row r="19166">
      <c r="N19166" s="28"/>
      <c r="O19166" s="28"/>
      <c r="U19166" s="28"/>
    </row>
    <row r="19167">
      <c r="N19167" s="28"/>
      <c r="O19167" s="28"/>
      <c r="U19167" s="28"/>
    </row>
    <row r="19168">
      <c r="N19168" s="28"/>
      <c r="O19168" s="28"/>
      <c r="U19168" s="28"/>
    </row>
    <row r="19169">
      <c r="N19169" s="28"/>
      <c r="O19169" s="28"/>
      <c r="U19169" s="28"/>
    </row>
    <row r="19170">
      <c r="N19170" s="28"/>
      <c r="O19170" s="28"/>
      <c r="U19170" s="28"/>
    </row>
    <row r="19171">
      <c r="N19171" s="28"/>
      <c r="O19171" s="28"/>
      <c r="U19171" s="28"/>
    </row>
    <row r="19172">
      <c r="N19172" s="28"/>
      <c r="O19172" s="28"/>
      <c r="U19172" s="28"/>
    </row>
    <row r="19173">
      <c r="N19173" s="28"/>
      <c r="O19173" s="28"/>
      <c r="U19173" s="28"/>
    </row>
    <row r="19174">
      <c r="N19174" s="28"/>
      <c r="O19174" s="28"/>
      <c r="U19174" s="28"/>
    </row>
    <row r="19175">
      <c r="N19175" s="28"/>
      <c r="O19175" s="28"/>
      <c r="U19175" s="28"/>
    </row>
    <row r="19176">
      <c r="N19176" s="28"/>
      <c r="O19176" s="28"/>
      <c r="U19176" s="28"/>
    </row>
    <row r="19177">
      <c r="N19177" s="28"/>
      <c r="O19177" s="28"/>
      <c r="U19177" s="28"/>
    </row>
    <row r="19178">
      <c r="N19178" s="28"/>
      <c r="O19178" s="28"/>
      <c r="U19178" s="28"/>
    </row>
    <row r="19179">
      <c r="N19179" s="28"/>
      <c r="O19179" s="28"/>
      <c r="U19179" s="28"/>
    </row>
    <row r="19180">
      <c r="N19180" s="28"/>
      <c r="O19180" s="28"/>
      <c r="U19180" s="28"/>
    </row>
    <row r="19181">
      <c r="N19181" s="28"/>
      <c r="O19181" s="28"/>
      <c r="U19181" s="28"/>
    </row>
    <row r="19182">
      <c r="N19182" s="28"/>
      <c r="O19182" s="28"/>
      <c r="U19182" s="28"/>
    </row>
    <row r="19183">
      <c r="N19183" s="28"/>
      <c r="O19183" s="28"/>
      <c r="U19183" s="28"/>
    </row>
    <row r="19184">
      <c r="N19184" s="28"/>
      <c r="O19184" s="28"/>
      <c r="U19184" s="28"/>
    </row>
    <row r="19185">
      <c r="N19185" s="28"/>
      <c r="O19185" s="28"/>
      <c r="U19185" s="28"/>
    </row>
    <row r="19186">
      <c r="N19186" s="28"/>
      <c r="O19186" s="28"/>
      <c r="U19186" s="28"/>
    </row>
    <row r="19187">
      <c r="N19187" s="28"/>
      <c r="O19187" s="28"/>
      <c r="U19187" s="28"/>
    </row>
    <row r="19188">
      <c r="N19188" s="28"/>
      <c r="O19188" s="28"/>
      <c r="U19188" s="28"/>
    </row>
    <row r="19189">
      <c r="N19189" s="28"/>
      <c r="O19189" s="28"/>
      <c r="U19189" s="28"/>
    </row>
    <row r="19190">
      <c r="N19190" s="28"/>
      <c r="O19190" s="28"/>
      <c r="U19190" s="28"/>
    </row>
    <row r="19191">
      <c r="N19191" s="28"/>
      <c r="O19191" s="28"/>
      <c r="U19191" s="28"/>
    </row>
    <row r="19192">
      <c r="N19192" s="28"/>
      <c r="O19192" s="28"/>
      <c r="U19192" s="28"/>
    </row>
    <row r="19193">
      <c r="N19193" s="28"/>
      <c r="O19193" s="28"/>
      <c r="U19193" s="28"/>
    </row>
    <row r="19194">
      <c r="N19194" s="28"/>
      <c r="O19194" s="28"/>
      <c r="U19194" s="28"/>
    </row>
    <row r="19195">
      <c r="N19195" s="28"/>
      <c r="O19195" s="28"/>
      <c r="U19195" s="28"/>
    </row>
    <row r="19196">
      <c r="N19196" s="28"/>
      <c r="O19196" s="28"/>
      <c r="U19196" s="28"/>
    </row>
    <row r="19197">
      <c r="N19197" s="28"/>
      <c r="O19197" s="28"/>
      <c r="U19197" s="28"/>
    </row>
    <row r="19198">
      <c r="N19198" s="28"/>
      <c r="O19198" s="28"/>
      <c r="U19198" s="28"/>
    </row>
    <row r="19199">
      <c r="N19199" s="28"/>
      <c r="O19199" s="28"/>
      <c r="U19199" s="28"/>
    </row>
    <row r="19200">
      <c r="N19200" s="28"/>
      <c r="O19200" s="28"/>
      <c r="U19200" s="28"/>
    </row>
    <row r="19201">
      <c r="N19201" s="28"/>
      <c r="O19201" s="28"/>
      <c r="U19201" s="28"/>
    </row>
    <row r="19202">
      <c r="N19202" s="28"/>
      <c r="O19202" s="28"/>
      <c r="U19202" s="28"/>
    </row>
    <row r="19203">
      <c r="N19203" s="28"/>
      <c r="O19203" s="28"/>
      <c r="U19203" s="28"/>
    </row>
    <row r="19204">
      <c r="N19204" s="28"/>
      <c r="O19204" s="28"/>
      <c r="U19204" s="28"/>
    </row>
    <row r="19205">
      <c r="N19205" s="28"/>
      <c r="O19205" s="28"/>
      <c r="U19205" s="28"/>
    </row>
    <row r="19206">
      <c r="N19206" s="28"/>
      <c r="O19206" s="28"/>
      <c r="U19206" s="28"/>
    </row>
    <row r="19207">
      <c r="N19207" s="28"/>
      <c r="O19207" s="28"/>
      <c r="U19207" s="28"/>
    </row>
    <row r="19208">
      <c r="N19208" s="28"/>
      <c r="O19208" s="28"/>
      <c r="U19208" s="28"/>
    </row>
    <row r="19209">
      <c r="N19209" s="28"/>
      <c r="O19209" s="28"/>
      <c r="U19209" s="28"/>
    </row>
    <row r="19210">
      <c r="N19210" s="28"/>
      <c r="O19210" s="28"/>
      <c r="U19210" s="28"/>
    </row>
    <row r="19211">
      <c r="N19211" s="28"/>
      <c r="O19211" s="28"/>
      <c r="U19211" s="28"/>
    </row>
    <row r="19212">
      <c r="N19212" s="28"/>
      <c r="O19212" s="28"/>
      <c r="U19212" s="28"/>
    </row>
    <row r="19213">
      <c r="N19213" s="28"/>
      <c r="O19213" s="28"/>
      <c r="U19213" s="28"/>
    </row>
    <row r="19214">
      <c r="N19214" s="28"/>
      <c r="O19214" s="28"/>
      <c r="U19214" s="28"/>
    </row>
    <row r="19215">
      <c r="N19215" s="28"/>
      <c r="O19215" s="28"/>
      <c r="U19215" s="28"/>
    </row>
    <row r="19216">
      <c r="N19216" s="28"/>
      <c r="O19216" s="28"/>
      <c r="U19216" s="28"/>
    </row>
    <row r="19217">
      <c r="N19217" s="28"/>
      <c r="O19217" s="28"/>
      <c r="U19217" s="28"/>
    </row>
    <row r="19218">
      <c r="N19218" s="28"/>
      <c r="O19218" s="28"/>
      <c r="U19218" s="28"/>
    </row>
    <row r="19219">
      <c r="N19219" s="28"/>
      <c r="O19219" s="28"/>
      <c r="U19219" s="28"/>
    </row>
    <row r="19220">
      <c r="N19220" s="28"/>
      <c r="O19220" s="28"/>
      <c r="U19220" s="28"/>
    </row>
    <row r="19221">
      <c r="N19221" s="28"/>
      <c r="O19221" s="28"/>
      <c r="U19221" s="28"/>
    </row>
    <row r="19222">
      <c r="N19222" s="28"/>
      <c r="O19222" s="28"/>
      <c r="U19222" s="28"/>
    </row>
    <row r="19223">
      <c r="N19223" s="28"/>
      <c r="O19223" s="28"/>
      <c r="U19223" s="28"/>
    </row>
    <row r="19224">
      <c r="N19224" s="28"/>
      <c r="O19224" s="28"/>
      <c r="U19224" s="28"/>
    </row>
    <row r="19225">
      <c r="N19225" s="28"/>
      <c r="O19225" s="28"/>
      <c r="U19225" s="28"/>
    </row>
    <row r="19226">
      <c r="N19226" s="28"/>
      <c r="O19226" s="28"/>
      <c r="U19226" s="28"/>
    </row>
    <row r="19227">
      <c r="N19227" s="28"/>
      <c r="O19227" s="28"/>
      <c r="U19227" s="28"/>
    </row>
    <row r="19228">
      <c r="N19228" s="28"/>
      <c r="O19228" s="28"/>
      <c r="U19228" s="28"/>
    </row>
    <row r="19229">
      <c r="N19229" s="28"/>
      <c r="O19229" s="28"/>
      <c r="U19229" s="28"/>
    </row>
    <row r="19230">
      <c r="N19230" s="28"/>
      <c r="O19230" s="28"/>
      <c r="U19230" s="28"/>
    </row>
    <row r="19231">
      <c r="N19231" s="28"/>
      <c r="O19231" s="28"/>
      <c r="U19231" s="28"/>
    </row>
    <row r="19232">
      <c r="N19232" s="28"/>
      <c r="O19232" s="28"/>
      <c r="U19232" s="28"/>
    </row>
    <row r="19233">
      <c r="N19233" s="28"/>
      <c r="O19233" s="28"/>
      <c r="U19233" s="28"/>
    </row>
    <row r="19234">
      <c r="N19234" s="28"/>
      <c r="O19234" s="28"/>
      <c r="U19234" s="28"/>
    </row>
    <row r="19235">
      <c r="N19235" s="28"/>
      <c r="O19235" s="28"/>
      <c r="U19235" s="28"/>
    </row>
    <row r="19236">
      <c r="N19236" s="28"/>
      <c r="O19236" s="28"/>
      <c r="U19236" s="28"/>
    </row>
    <row r="19237">
      <c r="N19237" s="28"/>
      <c r="O19237" s="28"/>
      <c r="U19237" s="28"/>
    </row>
    <row r="19238">
      <c r="N19238" s="28"/>
      <c r="O19238" s="28"/>
      <c r="U19238" s="28"/>
    </row>
    <row r="19239">
      <c r="N19239" s="28"/>
      <c r="O19239" s="28"/>
      <c r="U19239" s="28"/>
    </row>
    <row r="19240">
      <c r="N19240" s="28"/>
      <c r="O19240" s="28"/>
      <c r="U19240" s="28"/>
    </row>
    <row r="19241">
      <c r="N19241" s="28"/>
      <c r="O19241" s="28"/>
      <c r="U19241" s="28"/>
    </row>
    <row r="19242">
      <c r="N19242" s="28"/>
      <c r="O19242" s="28"/>
      <c r="U19242" s="28"/>
    </row>
    <row r="19243">
      <c r="N19243" s="28"/>
      <c r="O19243" s="28"/>
      <c r="U19243" s="28"/>
    </row>
    <row r="19244">
      <c r="N19244" s="28"/>
      <c r="O19244" s="28"/>
      <c r="U19244" s="28"/>
    </row>
    <row r="19245">
      <c r="N19245" s="28"/>
      <c r="O19245" s="28"/>
      <c r="U19245" s="28"/>
    </row>
    <row r="19246">
      <c r="N19246" s="28"/>
      <c r="O19246" s="28"/>
      <c r="U19246" s="28"/>
    </row>
    <row r="19247">
      <c r="N19247" s="28"/>
      <c r="O19247" s="28"/>
      <c r="U19247" s="28"/>
    </row>
    <row r="19248">
      <c r="N19248" s="28"/>
      <c r="O19248" s="28"/>
      <c r="U19248" s="28"/>
    </row>
    <row r="19249">
      <c r="N19249" s="28"/>
      <c r="O19249" s="28"/>
      <c r="U19249" s="28"/>
    </row>
    <row r="19250">
      <c r="N19250" s="28"/>
      <c r="O19250" s="28"/>
      <c r="U19250" s="28"/>
    </row>
    <row r="19251">
      <c r="N19251" s="28"/>
      <c r="O19251" s="28"/>
      <c r="U19251" s="28"/>
    </row>
    <row r="19252">
      <c r="N19252" s="28"/>
      <c r="O19252" s="28"/>
      <c r="U19252" s="28"/>
    </row>
    <row r="19253">
      <c r="N19253" s="28"/>
      <c r="O19253" s="28"/>
      <c r="U19253" s="28"/>
    </row>
    <row r="19254">
      <c r="N19254" s="28"/>
      <c r="O19254" s="28"/>
      <c r="U19254" s="28"/>
    </row>
    <row r="19255">
      <c r="N19255" s="28"/>
      <c r="O19255" s="28"/>
      <c r="U19255" s="28"/>
    </row>
    <row r="19256">
      <c r="N19256" s="28"/>
      <c r="O19256" s="28"/>
      <c r="U19256" s="28"/>
    </row>
    <row r="19257">
      <c r="N19257" s="28"/>
      <c r="O19257" s="28"/>
      <c r="U19257" s="28"/>
    </row>
    <row r="19258">
      <c r="N19258" s="28"/>
      <c r="O19258" s="28"/>
      <c r="U19258" s="28"/>
    </row>
    <row r="19259">
      <c r="N19259" s="28"/>
      <c r="O19259" s="28"/>
      <c r="U19259" s="28"/>
    </row>
    <row r="19260">
      <c r="N19260" s="28"/>
      <c r="O19260" s="28"/>
      <c r="U19260" s="28"/>
    </row>
    <row r="19261">
      <c r="N19261" s="28"/>
      <c r="O19261" s="28"/>
      <c r="U19261" s="28"/>
    </row>
    <row r="19262">
      <c r="N19262" s="28"/>
      <c r="O19262" s="28"/>
      <c r="U19262" s="28"/>
    </row>
    <row r="19263">
      <c r="N19263" s="28"/>
      <c r="O19263" s="28"/>
      <c r="U19263" s="28"/>
    </row>
    <row r="19264">
      <c r="N19264" s="28"/>
      <c r="O19264" s="28"/>
      <c r="U19264" s="28"/>
    </row>
    <row r="19265">
      <c r="N19265" s="28"/>
      <c r="O19265" s="28"/>
      <c r="U19265" s="28"/>
    </row>
    <row r="19266">
      <c r="N19266" s="28"/>
      <c r="O19266" s="28"/>
      <c r="U19266" s="28"/>
    </row>
    <row r="19267">
      <c r="N19267" s="28"/>
      <c r="O19267" s="28"/>
      <c r="U19267" s="28"/>
    </row>
    <row r="19268">
      <c r="N19268" s="28"/>
      <c r="O19268" s="28"/>
      <c r="U19268" s="28"/>
    </row>
    <row r="19269">
      <c r="N19269" s="28"/>
      <c r="O19269" s="28"/>
      <c r="U19269" s="28"/>
    </row>
    <row r="19270">
      <c r="N19270" s="28"/>
      <c r="O19270" s="28"/>
      <c r="U19270" s="28"/>
    </row>
    <row r="19271">
      <c r="N19271" s="28"/>
      <c r="O19271" s="28"/>
      <c r="U19271" s="28"/>
    </row>
    <row r="19272">
      <c r="N19272" s="28"/>
      <c r="O19272" s="28"/>
      <c r="U19272" s="28"/>
    </row>
    <row r="19273">
      <c r="N19273" s="28"/>
      <c r="O19273" s="28"/>
      <c r="U19273" s="28"/>
    </row>
    <row r="19274">
      <c r="N19274" s="28"/>
      <c r="O19274" s="28"/>
      <c r="U19274" s="28"/>
    </row>
    <row r="19275">
      <c r="N19275" s="28"/>
      <c r="O19275" s="28"/>
      <c r="U19275" s="28"/>
    </row>
    <row r="19276">
      <c r="N19276" s="28"/>
      <c r="O19276" s="28"/>
      <c r="U19276" s="28"/>
    </row>
    <row r="19277">
      <c r="N19277" s="28"/>
      <c r="O19277" s="28"/>
      <c r="U19277" s="28"/>
    </row>
    <row r="19278">
      <c r="N19278" s="28"/>
      <c r="O19278" s="28"/>
      <c r="U19278" s="28"/>
    </row>
    <row r="19279">
      <c r="N19279" s="28"/>
      <c r="O19279" s="28"/>
      <c r="U19279" s="28"/>
    </row>
    <row r="19280">
      <c r="N19280" s="28"/>
      <c r="O19280" s="28"/>
      <c r="U19280" s="28"/>
    </row>
    <row r="19281">
      <c r="N19281" s="28"/>
      <c r="O19281" s="28"/>
      <c r="U19281" s="28"/>
    </row>
    <row r="19282">
      <c r="N19282" s="28"/>
      <c r="O19282" s="28"/>
      <c r="U19282" s="28"/>
    </row>
    <row r="19283">
      <c r="N19283" s="28"/>
      <c r="O19283" s="28"/>
      <c r="U19283" s="28"/>
    </row>
    <row r="19284">
      <c r="N19284" s="28"/>
      <c r="O19284" s="28"/>
      <c r="U19284" s="28"/>
    </row>
    <row r="19285">
      <c r="N19285" s="28"/>
      <c r="O19285" s="28"/>
      <c r="U19285" s="28"/>
    </row>
    <row r="19286">
      <c r="N19286" s="28"/>
      <c r="O19286" s="28"/>
      <c r="U19286" s="28"/>
    </row>
    <row r="19287">
      <c r="N19287" s="28"/>
      <c r="O19287" s="28"/>
      <c r="U19287" s="28"/>
    </row>
    <row r="19288">
      <c r="N19288" s="28"/>
      <c r="O19288" s="28"/>
      <c r="U19288" s="28"/>
    </row>
    <row r="19289">
      <c r="N19289" s="28"/>
      <c r="O19289" s="28"/>
      <c r="U19289" s="28"/>
    </row>
    <row r="19290">
      <c r="N19290" s="28"/>
      <c r="O19290" s="28"/>
      <c r="U19290" s="28"/>
    </row>
    <row r="19291">
      <c r="N19291" s="28"/>
      <c r="O19291" s="28"/>
      <c r="U19291" s="28"/>
    </row>
    <row r="19292">
      <c r="N19292" s="28"/>
      <c r="O19292" s="28"/>
      <c r="U19292" s="28"/>
    </row>
    <row r="19293">
      <c r="N19293" s="28"/>
      <c r="O19293" s="28"/>
      <c r="U19293" s="28"/>
    </row>
    <row r="19294">
      <c r="N19294" s="28"/>
      <c r="O19294" s="28"/>
      <c r="U19294" s="28"/>
    </row>
    <row r="19295">
      <c r="N19295" s="28"/>
      <c r="O19295" s="28"/>
      <c r="U19295" s="28"/>
    </row>
    <row r="19296">
      <c r="N19296" s="28"/>
      <c r="O19296" s="28"/>
      <c r="U19296" s="28"/>
    </row>
    <row r="19297">
      <c r="N19297" s="28"/>
      <c r="O19297" s="28"/>
      <c r="U19297" s="28"/>
    </row>
    <row r="19298">
      <c r="N19298" s="28"/>
      <c r="O19298" s="28"/>
      <c r="U19298" s="28"/>
    </row>
    <row r="19299">
      <c r="N19299" s="28"/>
      <c r="O19299" s="28"/>
      <c r="U19299" s="28"/>
    </row>
    <row r="19300">
      <c r="N19300" s="28"/>
      <c r="O19300" s="28"/>
      <c r="U19300" s="28"/>
    </row>
    <row r="19301">
      <c r="N19301" s="28"/>
      <c r="O19301" s="28"/>
      <c r="U19301" s="28"/>
    </row>
    <row r="19302">
      <c r="N19302" s="28"/>
      <c r="O19302" s="28"/>
      <c r="U19302" s="28"/>
    </row>
    <row r="19303">
      <c r="N19303" s="28"/>
      <c r="O19303" s="28"/>
      <c r="U19303" s="28"/>
    </row>
    <row r="19304">
      <c r="N19304" s="28"/>
      <c r="O19304" s="28"/>
      <c r="U19304" s="28"/>
    </row>
    <row r="19305">
      <c r="N19305" s="28"/>
      <c r="O19305" s="28"/>
      <c r="U19305" s="28"/>
    </row>
    <row r="19306">
      <c r="N19306" s="28"/>
      <c r="O19306" s="28"/>
      <c r="U19306" s="28"/>
    </row>
    <row r="19307">
      <c r="N19307" s="28"/>
      <c r="O19307" s="28"/>
      <c r="U19307" s="28"/>
    </row>
    <row r="19308">
      <c r="N19308" s="28"/>
      <c r="O19308" s="28"/>
      <c r="U19308" s="28"/>
    </row>
    <row r="19309">
      <c r="N19309" s="28"/>
      <c r="O19309" s="28"/>
      <c r="U19309" s="28"/>
    </row>
    <row r="19310">
      <c r="N19310" s="28"/>
      <c r="O19310" s="28"/>
      <c r="U19310" s="28"/>
    </row>
    <row r="19311">
      <c r="N19311" s="28"/>
      <c r="O19311" s="28"/>
      <c r="U19311" s="28"/>
    </row>
    <row r="19312">
      <c r="N19312" s="28"/>
      <c r="O19312" s="28"/>
      <c r="U19312" s="28"/>
    </row>
    <row r="19313">
      <c r="N19313" s="28"/>
      <c r="O19313" s="28"/>
      <c r="U19313" s="28"/>
    </row>
    <row r="19314">
      <c r="N19314" s="28"/>
      <c r="O19314" s="28"/>
      <c r="U19314" s="28"/>
    </row>
    <row r="19315">
      <c r="N19315" s="28"/>
      <c r="O19315" s="28"/>
      <c r="U19315" s="28"/>
    </row>
    <row r="19316">
      <c r="N19316" s="28"/>
      <c r="O19316" s="28"/>
      <c r="U19316" s="28"/>
    </row>
    <row r="19317">
      <c r="N19317" s="28"/>
      <c r="O19317" s="28"/>
      <c r="U19317" s="28"/>
    </row>
    <row r="19318">
      <c r="N19318" s="28"/>
      <c r="O19318" s="28"/>
      <c r="U19318" s="28"/>
    </row>
    <row r="19319">
      <c r="N19319" s="28"/>
      <c r="O19319" s="28"/>
      <c r="U19319" s="28"/>
    </row>
    <row r="19320">
      <c r="N19320" s="28"/>
      <c r="O19320" s="28"/>
      <c r="U19320" s="28"/>
    </row>
    <row r="19321">
      <c r="N19321" s="28"/>
      <c r="O19321" s="28"/>
      <c r="U19321" s="28"/>
    </row>
    <row r="19322">
      <c r="N19322" s="28"/>
      <c r="O19322" s="28"/>
      <c r="U19322" s="28"/>
    </row>
    <row r="19323">
      <c r="N19323" s="28"/>
      <c r="O19323" s="28"/>
      <c r="U19323" s="28"/>
    </row>
    <row r="19324">
      <c r="N19324" s="28"/>
      <c r="O19324" s="28"/>
      <c r="U19324" s="28"/>
    </row>
    <row r="19325">
      <c r="N19325" s="28"/>
      <c r="O19325" s="28"/>
      <c r="U19325" s="28"/>
    </row>
    <row r="19326">
      <c r="N19326" s="28"/>
      <c r="O19326" s="28"/>
      <c r="U19326" s="28"/>
    </row>
    <row r="19327">
      <c r="N19327" s="28"/>
      <c r="O19327" s="28"/>
      <c r="U19327" s="28"/>
    </row>
    <row r="19328">
      <c r="N19328" s="28"/>
      <c r="O19328" s="28"/>
      <c r="U19328" s="28"/>
    </row>
    <row r="19329">
      <c r="N19329" s="28"/>
      <c r="O19329" s="28"/>
      <c r="U19329" s="28"/>
    </row>
    <row r="19330">
      <c r="N19330" s="28"/>
      <c r="O19330" s="28"/>
      <c r="U19330" s="28"/>
    </row>
    <row r="19331">
      <c r="N19331" s="28"/>
      <c r="O19331" s="28"/>
      <c r="U19331" s="28"/>
    </row>
    <row r="19332">
      <c r="N19332" s="28"/>
      <c r="O19332" s="28"/>
      <c r="U19332" s="28"/>
    </row>
    <row r="19333">
      <c r="N19333" s="28"/>
      <c r="O19333" s="28"/>
      <c r="U19333" s="28"/>
    </row>
    <row r="19334">
      <c r="N19334" s="28"/>
      <c r="O19334" s="28"/>
      <c r="U19334" s="28"/>
    </row>
    <row r="19335">
      <c r="N19335" s="28"/>
      <c r="O19335" s="28"/>
      <c r="U19335" s="28"/>
    </row>
    <row r="19336">
      <c r="N19336" s="28"/>
      <c r="O19336" s="28"/>
      <c r="U19336" s="28"/>
    </row>
    <row r="19337">
      <c r="N19337" s="28"/>
      <c r="O19337" s="28"/>
      <c r="U19337" s="28"/>
    </row>
    <row r="19338">
      <c r="N19338" s="28"/>
      <c r="O19338" s="28"/>
      <c r="U19338" s="28"/>
    </row>
    <row r="19339">
      <c r="N19339" s="28"/>
      <c r="O19339" s="28"/>
      <c r="U19339" s="28"/>
    </row>
    <row r="19340">
      <c r="N19340" s="28"/>
      <c r="O19340" s="28"/>
      <c r="U19340" s="28"/>
    </row>
    <row r="19341">
      <c r="N19341" s="28"/>
      <c r="O19341" s="28"/>
      <c r="U19341" s="28"/>
    </row>
    <row r="19342">
      <c r="N19342" s="28"/>
      <c r="O19342" s="28"/>
      <c r="U19342" s="28"/>
    </row>
    <row r="19343">
      <c r="N19343" s="28"/>
      <c r="O19343" s="28"/>
      <c r="U19343" s="28"/>
    </row>
    <row r="19344">
      <c r="N19344" s="28"/>
      <c r="O19344" s="28"/>
      <c r="U19344" s="28"/>
    </row>
    <row r="19345">
      <c r="N19345" s="28"/>
      <c r="O19345" s="28"/>
      <c r="U19345" s="28"/>
    </row>
    <row r="19346">
      <c r="N19346" s="28"/>
      <c r="O19346" s="28"/>
      <c r="U19346" s="28"/>
    </row>
    <row r="19347">
      <c r="N19347" s="28"/>
      <c r="O19347" s="28"/>
      <c r="U19347" s="28"/>
    </row>
    <row r="19348">
      <c r="N19348" s="28"/>
      <c r="O19348" s="28"/>
      <c r="U19348" s="28"/>
    </row>
    <row r="19349">
      <c r="N19349" s="28"/>
      <c r="O19349" s="28"/>
      <c r="U19349" s="28"/>
    </row>
    <row r="19350">
      <c r="N19350" s="28"/>
      <c r="O19350" s="28"/>
      <c r="U19350" s="28"/>
    </row>
    <row r="19351">
      <c r="N19351" s="28"/>
      <c r="O19351" s="28"/>
      <c r="U19351" s="28"/>
    </row>
    <row r="19352">
      <c r="N19352" s="28"/>
      <c r="O19352" s="28"/>
      <c r="U19352" s="28"/>
    </row>
    <row r="19353">
      <c r="N19353" s="28"/>
      <c r="O19353" s="28"/>
      <c r="U19353" s="28"/>
    </row>
    <row r="19354">
      <c r="N19354" s="28"/>
      <c r="O19354" s="28"/>
      <c r="U19354" s="28"/>
    </row>
    <row r="19355">
      <c r="N19355" s="28"/>
      <c r="O19355" s="28"/>
      <c r="U19355" s="28"/>
    </row>
    <row r="19356">
      <c r="N19356" s="28"/>
      <c r="O19356" s="28"/>
      <c r="U19356" s="28"/>
    </row>
    <row r="19357">
      <c r="N19357" s="28"/>
      <c r="O19357" s="28"/>
      <c r="U19357" s="28"/>
    </row>
    <row r="19358">
      <c r="N19358" s="28"/>
      <c r="O19358" s="28"/>
      <c r="U19358" s="28"/>
    </row>
    <row r="19359">
      <c r="N19359" s="28"/>
      <c r="O19359" s="28"/>
      <c r="U19359" s="28"/>
    </row>
    <row r="19360">
      <c r="N19360" s="28"/>
      <c r="O19360" s="28"/>
      <c r="U19360" s="28"/>
    </row>
    <row r="19361">
      <c r="N19361" s="28"/>
      <c r="O19361" s="28"/>
      <c r="U19361" s="28"/>
    </row>
    <row r="19362">
      <c r="N19362" s="28"/>
      <c r="O19362" s="28"/>
      <c r="U19362" s="28"/>
    </row>
    <row r="19363">
      <c r="N19363" s="28"/>
      <c r="O19363" s="28"/>
      <c r="U19363" s="28"/>
    </row>
    <row r="19364">
      <c r="N19364" s="28"/>
      <c r="O19364" s="28"/>
      <c r="U19364" s="28"/>
    </row>
    <row r="19365">
      <c r="N19365" s="28"/>
      <c r="O19365" s="28"/>
      <c r="U19365" s="28"/>
    </row>
    <row r="19366">
      <c r="N19366" s="28"/>
      <c r="O19366" s="28"/>
      <c r="U19366" s="28"/>
    </row>
    <row r="19367">
      <c r="N19367" s="28"/>
      <c r="O19367" s="28"/>
      <c r="U19367" s="28"/>
    </row>
    <row r="19368">
      <c r="N19368" s="28"/>
      <c r="O19368" s="28"/>
      <c r="U19368" s="28"/>
    </row>
    <row r="19369">
      <c r="N19369" s="28"/>
      <c r="O19369" s="28"/>
      <c r="U19369" s="28"/>
    </row>
    <row r="19370">
      <c r="N19370" s="28"/>
      <c r="O19370" s="28"/>
      <c r="U19370" s="28"/>
    </row>
    <row r="19371">
      <c r="N19371" s="28"/>
      <c r="O19371" s="28"/>
      <c r="U19371" s="28"/>
    </row>
    <row r="19372">
      <c r="N19372" s="28"/>
      <c r="O19372" s="28"/>
      <c r="U19372" s="28"/>
    </row>
    <row r="19373">
      <c r="N19373" s="28"/>
      <c r="O19373" s="28"/>
      <c r="U19373" s="28"/>
    </row>
    <row r="19374">
      <c r="N19374" s="28"/>
      <c r="O19374" s="28"/>
      <c r="U19374" s="28"/>
    </row>
    <row r="19375">
      <c r="N19375" s="28"/>
      <c r="O19375" s="28"/>
      <c r="U19375" s="28"/>
    </row>
    <row r="19376">
      <c r="N19376" s="28"/>
      <c r="O19376" s="28"/>
      <c r="U19376" s="28"/>
    </row>
    <row r="19377">
      <c r="N19377" s="28"/>
      <c r="O19377" s="28"/>
      <c r="U19377" s="28"/>
    </row>
    <row r="19378">
      <c r="N19378" s="28"/>
      <c r="O19378" s="28"/>
      <c r="U19378" s="28"/>
    </row>
    <row r="19379">
      <c r="N19379" s="28"/>
      <c r="O19379" s="28"/>
      <c r="U19379" s="28"/>
    </row>
    <row r="19380">
      <c r="N19380" s="28"/>
      <c r="O19380" s="28"/>
      <c r="U19380" s="28"/>
    </row>
    <row r="19381">
      <c r="N19381" s="28"/>
      <c r="O19381" s="28"/>
      <c r="U19381" s="28"/>
    </row>
    <row r="19382">
      <c r="N19382" s="28"/>
      <c r="O19382" s="28"/>
      <c r="U19382" s="28"/>
    </row>
    <row r="19383">
      <c r="N19383" s="28"/>
      <c r="O19383" s="28"/>
      <c r="U19383" s="28"/>
    </row>
    <row r="19384">
      <c r="N19384" s="28"/>
      <c r="O19384" s="28"/>
      <c r="U19384" s="28"/>
    </row>
    <row r="19385">
      <c r="N19385" s="28"/>
      <c r="O19385" s="28"/>
      <c r="U19385" s="28"/>
    </row>
    <row r="19386">
      <c r="N19386" s="28"/>
      <c r="O19386" s="28"/>
      <c r="U19386" s="28"/>
    </row>
    <row r="19387">
      <c r="N19387" s="28"/>
      <c r="O19387" s="28"/>
      <c r="U19387" s="28"/>
    </row>
    <row r="19388">
      <c r="N19388" s="28"/>
      <c r="O19388" s="28"/>
      <c r="U19388" s="28"/>
    </row>
    <row r="19389">
      <c r="N19389" s="28"/>
      <c r="O19389" s="28"/>
      <c r="U19389" s="28"/>
    </row>
    <row r="19390">
      <c r="N19390" s="28"/>
      <c r="O19390" s="28"/>
      <c r="U19390" s="28"/>
    </row>
    <row r="19391">
      <c r="N19391" s="28"/>
      <c r="O19391" s="28"/>
      <c r="U19391" s="28"/>
    </row>
    <row r="19392">
      <c r="N19392" s="28"/>
      <c r="O19392" s="28"/>
      <c r="U19392" s="28"/>
    </row>
    <row r="19393">
      <c r="N19393" s="28"/>
      <c r="O19393" s="28"/>
      <c r="U19393" s="28"/>
    </row>
    <row r="19394">
      <c r="N19394" s="28"/>
      <c r="O19394" s="28"/>
      <c r="U19394" s="28"/>
    </row>
    <row r="19395">
      <c r="N19395" s="28"/>
      <c r="O19395" s="28"/>
      <c r="U19395" s="28"/>
    </row>
    <row r="19396">
      <c r="N19396" s="28"/>
      <c r="O19396" s="28"/>
      <c r="U19396" s="28"/>
    </row>
    <row r="19397">
      <c r="N19397" s="28"/>
      <c r="O19397" s="28"/>
      <c r="U19397" s="28"/>
    </row>
    <row r="19398">
      <c r="N19398" s="28"/>
      <c r="O19398" s="28"/>
      <c r="U19398" s="28"/>
    </row>
    <row r="19399">
      <c r="N19399" s="28"/>
      <c r="O19399" s="28"/>
      <c r="U19399" s="28"/>
    </row>
    <row r="19400">
      <c r="N19400" s="28"/>
      <c r="O19400" s="28"/>
      <c r="U19400" s="28"/>
    </row>
    <row r="19401">
      <c r="N19401" s="28"/>
      <c r="O19401" s="28"/>
      <c r="U19401" s="28"/>
    </row>
    <row r="19402">
      <c r="N19402" s="28"/>
      <c r="O19402" s="28"/>
      <c r="U19402" s="28"/>
    </row>
    <row r="19403">
      <c r="N19403" s="28"/>
      <c r="O19403" s="28"/>
      <c r="U19403" s="28"/>
    </row>
    <row r="19404">
      <c r="N19404" s="28"/>
      <c r="O19404" s="28"/>
      <c r="U19404" s="28"/>
    </row>
    <row r="19405">
      <c r="N19405" s="28"/>
      <c r="O19405" s="28"/>
      <c r="U19405" s="28"/>
    </row>
    <row r="19406">
      <c r="N19406" s="28"/>
      <c r="O19406" s="28"/>
      <c r="U19406" s="28"/>
    </row>
    <row r="19407">
      <c r="N19407" s="28"/>
      <c r="O19407" s="28"/>
      <c r="U19407" s="28"/>
    </row>
    <row r="19408">
      <c r="N19408" s="28"/>
      <c r="O19408" s="28"/>
      <c r="U19408" s="28"/>
    </row>
    <row r="19409">
      <c r="N19409" s="28"/>
      <c r="O19409" s="28"/>
      <c r="U19409" s="28"/>
    </row>
    <row r="19410">
      <c r="N19410" s="28"/>
      <c r="O19410" s="28"/>
      <c r="U19410" s="28"/>
    </row>
    <row r="19411">
      <c r="N19411" s="28"/>
      <c r="O19411" s="28"/>
      <c r="U19411" s="28"/>
    </row>
    <row r="19412">
      <c r="N19412" s="28"/>
      <c r="O19412" s="28"/>
      <c r="U19412" s="28"/>
    </row>
    <row r="19413">
      <c r="N19413" s="28"/>
      <c r="O19413" s="28"/>
      <c r="U19413" s="28"/>
    </row>
    <row r="19414">
      <c r="N19414" s="28"/>
      <c r="O19414" s="28"/>
      <c r="U19414" s="28"/>
    </row>
    <row r="19415">
      <c r="N19415" s="28"/>
      <c r="O19415" s="28"/>
      <c r="U19415" s="28"/>
    </row>
    <row r="19416">
      <c r="N19416" s="28"/>
      <c r="O19416" s="28"/>
      <c r="U19416" s="28"/>
    </row>
    <row r="19417">
      <c r="N19417" s="28"/>
      <c r="O19417" s="28"/>
      <c r="U19417" s="28"/>
    </row>
    <row r="19418">
      <c r="N19418" s="28"/>
      <c r="O19418" s="28"/>
      <c r="U19418" s="28"/>
    </row>
    <row r="19419">
      <c r="N19419" s="28"/>
      <c r="O19419" s="28"/>
      <c r="U19419" s="28"/>
    </row>
    <row r="19420">
      <c r="N19420" s="28"/>
      <c r="O19420" s="28"/>
      <c r="U19420" s="28"/>
    </row>
    <row r="19421">
      <c r="N19421" s="28"/>
      <c r="O19421" s="28"/>
      <c r="U19421" s="28"/>
    </row>
    <row r="19422">
      <c r="N19422" s="28"/>
      <c r="O19422" s="28"/>
      <c r="U19422" s="28"/>
    </row>
    <row r="19423">
      <c r="N19423" s="28"/>
      <c r="O19423" s="28"/>
      <c r="U19423" s="28"/>
    </row>
    <row r="19424">
      <c r="N19424" s="28"/>
      <c r="O19424" s="28"/>
      <c r="U19424" s="28"/>
    </row>
    <row r="19425">
      <c r="N19425" s="28"/>
      <c r="O19425" s="28"/>
      <c r="U19425" s="28"/>
    </row>
    <row r="19426">
      <c r="N19426" s="28"/>
      <c r="O19426" s="28"/>
      <c r="U19426" s="28"/>
    </row>
    <row r="19427">
      <c r="N19427" s="28"/>
      <c r="O19427" s="28"/>
      <c r="U19427" s="28"/>
    </row>
    <row r="19428">
      <c r="N19428" s="28"/>
      <c r="O19428" s="28"/>
      <c r="U19428" s="28"/>
    </row>
    <row r="19429">
      <c r="N19429" s="28"/>
      <c r="O19429" s="28"/>
      <c r="U19429" s="28"/>
    </row>
    <row r="19430">
      <c r="N19430" s="28"/>
      <c r="O19430" s="28"/>
      <c r="U19430" s="28"/>
    </row>
    <row r="19431">
      <c r="N19431" s="28"/>
      <c r="O19431" s="28"/>
      <c r="U19431" s="28"/>
    </row>
    <row r="19432">
      <c r="N19432" s="28"/>
      <c r="O19432" s="28"/>
      <c r="U19432" s="28"/>
    </row>
    <row r="19433">
      <c r="N19433" s="28"/>
      <c r="O19433" s="28"/>
      <c r="U19433" s="28"/>
    </row>
    <row r="19434">
      <c r="N19434" s="28"/>
      <c r="O19434" s="28"/>
      <c r="U19434" s="28"/>
    </row>
    <row r="19435">
      <c r="N19435" s="28"/>
      <c r="O19435" s="28"/>
      <c r="U19435" s="28"/>
    </row>
    <row r="19436">
      <c r="N19436" s="28"/>
      <c r="O19436" s="28"/>
      <c r="U19436" s="28"/>
    </row>
    <row r="19437">
      <c r="N19437" s="28"/>
      <c r="O19437" s="28"/>
      <c r="U19437" s="28"/>
    </row>
    <row r="19438">
      <c r="N19438" s="28"/>
      <c r="O19438" s="28"/>
      <c r="U19438" s="28"/>
    </row>
    <row r="19439">
      <c r="N19439" s="28"/>
      <c r="O19439" s="28"/>
      <c r="U19439" s="28"/>
    </row>
    <row r="19440">
      <c r="N19440" s="28"/>
      <c r="O19440" s="28"/>
      <c r="U19440" s="28"/>
    </row>
    <row r="19441">
      <c r="N19441" s="28"/>
      <c r="O19441" s="28"/>
      <c r="U19441" s="28"/>
    </row>
    <row r="19442">
      <c r="N19442" s="28"/>
      <c r="O19442" s="28"/>
      <c r="U19442" s="28"/>
    </row>
    <row r="19443">
      <c r="N19443" s="28"/>
      <c r="O19443" s="28"/>
      <c r="U19443" s="28"/>
    </row>
    <row r="19444">
      <c r="N19444" s="28"/>
      <c r="O19444" s="28"/>
      <c r="U19444" s="28"/>
    </row>
    <row r="19445">
      <c r="N19445" s="28"/>
      <c r="O19445" s="28"/>
      <c r="U19445" s="28"/>
    </row>
    <row r="19446">
      <c r="N19446" s="28"/>
      <c r="O19446" s="28"/>
      <c r="U19446" s="28"/>
    </row>
    <row r="19447">
      <c r="N19447" s="28"/>
      <c r="O19447" s="28"/>
      <c r="U19447" s="28"/>
    </row>
    <row r="19448">
      <c r="N19448" s="28"/>
      <c r="O19448" s="28"/>
      <c r="U19448" s="28"/>
    </row>
    <row r="19449">
      <c r="N19449" s="28"/>
      <c r="O19449" s="28"/>
      <c r="U19449" s="28"/>
    </row>
    <row r="19450">
      <c r="N19450" s="28"/>
      <c r="O19450" s="28"/>
      <c r="U19450" s="28"/>
    </row>
    <row r="19451">
      <c r="N19451" s="28"/>
      <c r="O19451" s="28"/>
      <c r="U19451" s="28"/>
    </row>
    <row r="19452">
      <c r="N19452" s="28"/>
      <c r="O19452" s="28"/>
      <c r="U19452" s="28"/>
    </row>
    <row r="19453">
      <c r="N19453" s="28"/>
      <c r="O19453" s="28"/>
      <c r="U19453" s="28"/>
    </row>
    <row r="19454">
      <c r="N19454" s="28"/>
      <c r="O19454" s="28"/>
      <c r="U19454" s="28"/>
    </row>
    <row r="19455">
      <c r="N19455" s="28"/>
      <c r="O19455" s="28"/>
      <c r="U19455" s="28"/>
    </row>
    <row r="19456">
      <c r="N19456" s="28"/>
      <c r="O19456" s="28"/>
      <c r="U19456" s="28"/>
    </row>
    <row r="19457">
      <c r="N19457" s="28"/>
      <c r="O19457" s="28"/>
      <c r="U19457" s="28"/>
    </row>
    <row r="19458">
      <c r="N19458" s="28"/>
      <c r="O19458" s="28"/>
      <c r="U19458" s="28"/>
    </row>
    <row r="19459">
      <c r="N19459" s="28"/>
      <c r="O19459" s="28"/>
      <c r="U19459" s="28"/>
    </row>
    <row r="19460">
      <c r="N19460" s="28"/>
      <c r="O19460" s="28"/>
      <c r="U19460" s="28"/>
    </row>
    <row r="19461">
      <c r="N19461" s="28"/>
      <c r="O19461" s="28"/>
      <c r="U19461" s="28"/>
    </row>
    <row r="19462">
      <c r="N19462" s="28"/>
      <c r="O19462" s="28"/>
      <c r="U19462" s="28"/>
    </row>
    <row r="19463">
      <c r="N19463" s="28"/>
      <c r="O19463" s="28"/>
      <c r="U19463" s="28"/>
    </row>
    <row r="19464">
      <c r="N19464" s="28"/>
      <c r="O19464" s="28"/>
      <c r="U19464" s="28"/>
    </row>
    <row r="19465">
      <c r="N19465" s="28"/>
      <c r="O19465" s="28"/>
      <c r="U19465" s="28"/>
    </row>
    <row r="19466">
      <c r="N19466" s="28"/>
      <c r="O19466" s="28"/>
      <c r="U19466" s="28"/>
    </row>
    <row r="19467">
      <c r="N19467" s="28"/>
      <c r="O19467" s="28"/>
      <c r="U19467" s="28"/>
    </row>
    <row r="19468">
      <c r="N19468" s="28"/>
      <c r="O19468" s="28"/>
      <c r="U19468" s="28"/>
    </row>
    <row r="19469">
      <c r="N19469" s="28"/>
      <c r="O19469" s="28"/>
      <c r="U19469" s="28"/>
    </row>
    <row r="19470">
      <c r="N19470" s="28"/>
      <c r="O19470" s="28"/>
      <c r="U19470" s="28"/>
    </row>
    <row r="19471">
      <c r="N19471" s="28"/>
      <c r="O19471" s="28"/>
      <c r="U19471" s="28"/>
    </row>
    <row r="19472">
      <c r="N19472" s="28"/>
      <c r="O19472" s="28"/>
      <c r="U19472" s="28"/>
    </row>
    <row r="19473">
      <c r="N19473" s="28"/>
      <c r="O19473" s="28"/>
      <c r="U19473" s="28"/>
    </row>
    <row r="19474">
      <c r="N19474" s="28"/>
      <c r="O19474" s="28"/>
      <c r="U19474" s="28"/>
    </row>
    <row r="19475">
      <c r="N19475" s="28"/>
      <c r="O19475" s="28"/>
      <c r="U19475" s="28"/>
    </row>
    <row r="19476">
      <c r="N19476" s="28"/>
      <c r="O19476" s="28"/>
      <c r="U19476" s="28"/>
    </row>
    <row r="19477">
      <c r="N19477" s="28"/>
      <c r="O19477" s="28"/>
      <c r="U19477" s="28"/>
    </row>
    <row r="19478">
      <c r="N19478" s="28"/>
      <c r="O19478" s="28"/>
      <c r="U19478" s="28"/>
    </row>
    <row r="19479">
      <c r="N19479" s="28"/>
      <c r="O19479" s="28"/>
      <c r="U19479" s="28"/>
    </row>
    <row r="19480">
      <c r="N19480" s="28"/>
      <c r="O19480" s="28"/>
      <c r="U19480" s="28"/>
    </row>
    <row r="19481">
      <c r="N19481" s="28"/>
      <c r="O19481" s="28"/>
      <c r="U19481" s="28"/>
    </row>
    <row r="19482">
      <c r="N19482" s="28"/>
      <c r="O19482" s="28"/>
      <c r="U19482" s="28"/>
    </row>
    <row r="19483">
      <c r="N19483" s="28"/>
      <c r="O19483" s="28"/>
      <c r="U19483" s="28"/>
    </row>
    <row r="19484">
      <c r="N19484" s="28"/>
      <c r="O19484" s="28"/>
      <c r="U19484" s="28"/>
    </row>
    <row r="19485">
      <c r="N19485" s="28"/>
      <c r="O19485" s="28"/>
      <c r="U19485" s="28"/>
    </row>
    <row r="19486">
      <c r="N19486" s="28"/>
      <c r="O19486" s="28"/>
      <c r="U19486" s="28"/>
    </row>
    <row r="19487">
      <c r="N19487" s="28"/>
      <c r="O19487" s="28"/>
      <c r="U19487" s="28"/>
    </row>
    <row r="19488">
      <c r="N19488" s="28"/>
      <c r="O19488" s="28"/>
      <c r="U19488" s="28"/>
    </row>
    <row r="19489">
      <c r="N19489" s="28"/>
      <c r="O19489" s="28"/>
      <c r="U19489" s="28"/>
    </row>
    <row r="19490">
      <c r="N19490" s="28"/>
      <c r="O19490" s="28"/>
      <c r="U19490" s="28"/>
    </row>
    <row r="19491">
      <c r="N19491" s="28"/>
      <c r="O19491" s="28"/>
      <c r="U19491" s="28"/>
    </row>
    <row r="19492">
      <c r="N19492" s="28"/>
      <c r="O19492" s="28"/>
      <c r="U19492" s="28"/>
    </row>
    <row r="19493">
      <c r="N19493" s="28"/>
      <c r="O19493" s="28"/>
      <c r="U19493" s="28"/>
    </row>
    <row r="19494">
      <c r="N19494" s="28"/>
      <c r="O19494" s="28"/>
      <c r="U19494" s="28"/>
    </row>
    <row r="19495">
      <c r="N19495" s="28"/>
      <c r="O19495" s="28"/>
      <c r="U19495" s="28"/>
    </row>
    <row r="19496">
      <c r="N19496" s="28"/>
      <c r="O19496" s="28"/>
      <c r="U19496" s="28"/>
    </row>
    <row r="19497">
      <c r="N19497" s="28"/>
      <c r="O19497" s="28"/>
      <c r="U19497" s="28"/>
    </row>
    <row r="19498">
      <c r="N19498" s="28"/>
      <c r="O19498" s="28"/>
      <c r="U19498" s="28"/>
    </row>
    <row r="19499">
      <c r="N19499" s="28"/>
      <c r="O19499" s="28"/>
      <c r="U19499" s="28"/>
    </row>
    <row r="19500">
      <c r="N19500" s="28"/>
      <c r="O19500" s="28"/>
      <c r="U19500" s="28"/>
    </row>
    <row r="19501">
      <c r="N19501" s="28"/>
      <c r="O19501" s="28"/>
      <c r="U19501" s="28"/>
    </row>
    <row r="19502">
      <c r="N19502" s="28"/>
      <c r="O19502" s="28"/>
      <c r="U19502" s="28"/>
    </row>
    <row r="19503">
      <c r="N19503" s="28"/>
      <c r="O19503" s="28"/>
      <c r="U19503" s="28"/>
    </row>
    <row r="19504">
      <c r="N19504" s="28"/>
      <c r="O19504" s="28"/>
      <c r="U19504" s="28"/>
    </row>
    <row r="19505">
      <c r="N19505" s="28"/>
      <c r="O19505" s="28"/>
      <c r="U19505" s="28"/>
    </row>
    <row r="19506">
      <c r="N19506" s="28"/>
      <c r="O19506" s="28"/>
      <c r="U19506" s="28"/>
    </row>
    <row r="19507">
      <c r="N19507" s="28"/>
      <c r="O19507" s="28"/>
      <c r="U19507" s="28"/>
    </row>
    <row r="19508">
      <c r="N19508" s="28"/>
      <c r="O19508" s="28"/>
      <c r="U19508" s="28"/>
    </row>
    <row r="19509">
      <c r="N19509" s="28"/>
      <c r="O19509" s="28"/>
      <c r="U19509" s="28"/>
    </row>
    <row r="19510">
      <c r="N19510" s="28"/>
      <c r="O19510" s="28"/>
      <c r="U19510" s="28"/>
    </row>
    <row r="19511">
      <c r="N19511" s="28"/>
      <c r="O19511" s="28"/>
      <c r="U19511" s="28"/>
    </row>
    <row r="19512">
      <c r="N19512" s="28"/>
      <c r="O19512" s="28"/>
      <c r="U19512" s="28"/>
    </row>
    <row r="19513">
      <c r="N19513" s="28"/>
      <c r="O19513" s="28"/>
      <c r="U19513" s="28"/>
    </row>
    <row r="19514">
      <c r="N19514" s="28"/>
      <c r="O19514" s="28"/>
      <c r="U19514" s="28"/>
    </row>
    <row r="19515">
      <c r="N19515" s="28"/>
      <c r="O19515" s="28"/>
      <c r="U19515" s="28"/>
    </row>
    <row r="19516">
      <c r="N19516" s="28"/>
      <c r="O19516" s="28"/>
      <c r="U19516" s="28"/>
    </row>
    <row r="19517">
      <c r="N19517" s="28"/>
      <c r="O19517" s="28"/>
      <c r="U19517" s="28"/>
    </row>
    <row r="19518">
      <c r="N19518" s="28"/>
      <c r="O19518" s="28"/>
      <c r="U19518" s="28"/>
    </row>
    <row r="19519">
      <c r="N19519" s="28"/>
      <c r="O19519" s="28"/>
      <c r="U19519" s="28"/>
    </row>
    <row r="19520">
      <c r="N19520" s="28"/>
      <c r="O19520" s="28"/>
      <c r="U19520" s="28"/>
    </row>
    <row r="19521">
      <c r="N19521" s="28"/>
      <c r="O19521" s="28"/>
      <c r="U19521" s="28"/>
    </row>
    <row r="19522">
      <c r="N19522" s="28"/>
      <c r="O19522" s="28"/>
      <c r="U19522" s="28"/>
    </row>
    <row r="19523">
      <c r="N19523" s="28"/>
      <c r="O19523" s="28"/>
      <c r="U19523" s="28"/>
    </row>
    <row r="19524">
      <c r="N19524" s="28"/>
      <c r="O19524" s="28"/>
      <c r="U19524" s="28"/>
    </row>
    <row r="19525">
      <c r="N19525" s="28"/>
      <c r="O19525" s="28"/>
      <c r="U19525" s="28"/>
    </row>
    <row r="19526">
      <c r="N19526" s="28"/>
      <c r="O19526" s="28"/>
      <c r="U19526" s="28"/>
    </row>
    <row r="19527">
      <c r="N19527" s="28"/>
      <c r="O19527" s="28"/>
      <c r="U19527" s="28"/>
    </row>
    <row r="19528">
      <c r="N19528" s="28"/>
      <c r="O19528" s="28"/>
      <c r="U19528" s="28"/>
    </row>
    <row r="19529">
      <c r="N19529" s="28"/>
      <c r="O19529" s="28"/>
      <c r="U19529" s="28"/>
    </row>
    <row r="19530">
      <c r="N19530" s="28"/>
      <c r="O19530" s="28"/>
      <c r="U19530" s="28"/>
    </row>
    <row r="19531">
      <c r="N19531" s="28"/>
      <c r="O19531" s="28"/>
      <c r="U19531" s="28"/>
    </row>
    <row r="19532">
      <c r="N19532" s="28"/>
      <c r="O19532" s="28"/>
      <c r="U19532" s="28"/>
    </row>
    <row r="19533">
      <c r="N19533" s="28"/>
      <c r="O19533" s="28"/>
      <c r="U19533" s="28"/>
    </row>
    <row r="19534">
      <c r="N19534" s="28"/>
      <c r="O19534" s="28"/>
      <c r="U19534" s="28"/>
    </row>
    <row r="19535">
      <c r="N19535" s="28"/>
      <c r="O19535" s="28"/>
      <c r="U19535" s="28"/>
    </row>
    <row r="19536">
      <c r="N19536" s="28"/>
      <c r="O19536" s="28"/>
      <c r="U19536" s="28"/>
    </row>
    <row r="19537">
      <c r="N19537" s="28"/>
      <c r="O19537" s="28"/>
      <c r="U19537" s="28"/>
    </row>
    <row r="19538">
      <c r="N19538" s="28"/>
      <c r="O19538" s="28"/>
      <c r="U19538" s="28"/>
    </row>
    <row r="19539">
      <c r="N19539" s="28"/>
      <c r="O19539" s="28"/>
      <c r="U19539" s="28"/>
    </row>
    <row r="19540">
      <c r="N19540" s="28"/>
      <c r="O19540" s="28"/>
      <c r="U19540" s="28"/>
    </row>
    <row r="19541">
      <c r="N19541" s="28"/>
      <c r="O19541" s="28"/>
      <c r="U19541" s="28"/>
    </row>
    <row r="19542">
      <c r="N19542" s="28"/>
      <c r="O19542" s="28"/>
      <c r="U19542" s="28"/>
    </row>
    <row r="19543">
      <c r="N19543" s="28"/>
      <c r="O19543" s="28"/>
      <c r="U19543" s="28"/>
    </row>
    <row r="19544">
      <c r="N19544" s="28"/>
      <c r="O19544" s="28"/>
      <c r="U19544" s="28"/>
    </row>
    <row r="19545">
      <c r="N19545" s="28"/>
      <c r="O19545" s="28"/>
      <c r="U19545" s="28"/>
    </row>
    <row r="19546">
      <c r="N19546" s="28"/>
      <c r="O19546" s="28"/>
      <c r="U19546" s="28"/>
    </row>
    <row r="19547">
      <c r="N19547" s="28"/>
      <c r="O19547" s="28"/>
      <c r="U19547" s="28"/>
    </row>
    <row r="19548">
      <c r="N19548" s="28"/>
      <c r="O19548" s="28"/>
      <c r="U19548" s="28"/>
    </row>
    <row r="19549">
      <c r="N19549" s="28"/>
      <c r="O19549" s="28"/>
      <c r="U19549" s="28"/>
    </row>
    <row r="19550">
      <c r="N19550" s="28"/>
      <c r="O19550" s="28"/>
      <c r="U19550" s="28"/>
    </row>
    <row r="19551">
      <c r="N19551" s="28"/>
      <c r="O19551" s="28"/>
      <c r="U19551" s="28"/>
    </row>
    <row r="19552">
      <c r="N19552" s="28"/>
      <c r="O19552" s="28"/>
      <c r="U19552" s="28"/>
    </row>
    <row r="19553">
      <c r="N19553" s="28"/>
      <c r="O19553" s="28"/>
      <c r="U19553" s="28"/>
    </row>
    <row r="19554">
      <c r="N19554" s="28"/>
      <c r="O19554" s="28"/>
      <c r="U19554" s="28"/>
    </row>
    <row r="19555">
      <c r="N19555" s="28"/>
      <c r="O19555" s="28"/>
      <c r="U19555" s="28"/>
    </row>
    <row r="19556">
      <c r="N19556" s="28"/>
      <c r="O19556" s="28"/>
      <c r="U19556" s="28"/>
    </row>
    <row r="19557">
      <c r="N19557" s="28"/>
      <c r="O19557" s="28"/>
      <c r="U19557" s="28"/>
    </row>
    <row r="19558">
      <c r="N19558" s="28"/>
      <c r="O19558" s="28"/>
      <c r="U19558" s="28"/>
    </row>
    <row r="19559">
      <c r="N19559" s="28"/>
      <c r="O19559" s="28"/>
      <c r="U19559" s="28"/>
    </row>
    <row r="19560">
      <c r="N19560" s="28"/>
      <c r="O19560" s="28"/>
      <c r="U19560" s="28"/>
    </row>
    <row r="19561">
      <c r="N19561" s="28"/>
      <c r="O19561" s="28"/>
      <c r="U19561" s="28"/>
    </row>
    <row r="19562">
      <c r="N19562" s="28"/>
      <c r="O19562" s="28"/>
      <c r="U19562" s="28"/>
    </row>
    <row r="19563">
      <c r="N19563" s="28"/>
      <c r="O19563" s="28"/>
      <c r="U19563" s="28"/>
    </row>
    <row r="19564">
      <c r="N19564" s="28"/>
      <c r="O19564" s="28"/>
      <c r="U19564" s="28"/>
    </row>
    <row r="19565">
      <c r="N19565" s="28"/>
      <c r="O19565" s="28"/>
      <c r="U19565" s="28"/>
    </row>
    <row r="19566">
      <c r="N19566" s="28"/>
      <c r="O19566" s="28"/>
      <c r="U19566" s="28"/>
    </row>
    <row r="19567">
      <c r="N19567" s="28"/>
      <c r="O19567" s="28"/>
      <c r="U19567" s="28"/>
    </row>
    <row r="19568">
      <c r="N19568" s="28"/>
      <c r="O19568" s="28"/>
      <c r="U19568" s="28"/>
    </row>
    <row r="19569">
      <c r="N19569" s="28"/>
      <c r="O19569" s="28"/>
      <c r="U19569" s="28"/>
    </row>
    <row r="19570">
      <c r="N19570" s="28"/>
      <c r="O19570" s="28"/>
      <c r="U19570" s="28"/>
    </row>
    <row r="19571">
      <c r="N19571" s="28"/>
      <c r="O19571" s="28"/>
      <c r="U19571" s="28"/>
    </row>
    <row r="19572">
      <c r="N19572" s="28"/>
      <c r="O19572" s="28"/>
      <c r="U19572" s="28"/>
    </row>
    <row r="19573">
      <c r="N19573" s="28"/>
      <c r="O19573" s="28"/>
      <c r="U19573" s="28"/>
    </row>
    <row r="19574">
      <c r="N19574" s="28"/>
      <c r="O19574" s="28"/>
      <c r="U19574" s="28"/>
    </row>
    <row r="19575">
      <c r="N19575" s="28"/>
      <c r="O19575" s="28"/>
      <c r="U19575" s="28"/>
    </row>
    <row r="19576">
      <c r="N19576" s="28"/>
      <c r="O19576" s="28"/>
      <c r="U19576" s="28"/>
    </row>
    <row r="19577">
      <c r="N19577" s="28"/>
      <c r="O19577" s="28"/>
      <c r="U19577" s="28"/>
    </row>
    <row r="19578">
      <c r="N19578" s="28"/>
      <c r="O19578" s="28"/>
      <c r="U19578" s="28"/>
    </row>
    <row r="19579">
      <c r="N19579" s="28"/>
      <c r="O19579" s="28"/>
      <c r="U19579" s="28"/>
    </row>
    <row r="19580">
      <c r="N19580" s="28"/>
      <c r="O19580" s="28"/>
      <c r="U19580" s="28"/>
    </row>
    <row r="19581">
      <c r="N19581" s="28"/>
      <c r="O19581" s="28"/>
      <c r="U19581" s="28"/>
    </row>
    <row r="19582">
      <c r="N19582" s="28"/>
      <c r="O19582" s="28"/>
      <c r="U19582" s="28"/>
    </row>
    <row r="19583">
      <c r="N19583" s="28"/>
      <c r="O19583" s="28"/>
      <c r="U19583" s="28"/>
    </row>
    <row r="19584">
      <c r="N19584" s="28"/>
      <c r="O19584" s="28"/>
      <c r="U19584" s="28"/>
    </row>
    <row r="19585">
      <c r="N19585" s="28"/>
      <c r="O19585" s="28"/>
      <c r="U19585" s="28"/>
    </row>
    <row r="19586">
      <c r="N19586" s="28"/>
      <c r="O19586" s="28"/>
      <c r="U19586" s="28"/>
    </row>
    <row r="19587">
      <c r="N19587" s="28"/>
      <c r="O19587" s="28"/>
      <c r="U19587" s="28"/>
    </row>
    <row r="19588">
      <c r="N19588" s="28"/>
      <c r="O19588" s="28"/>
      <c r="U19588" s="28"/>
    </row>
    <row r="19589">
      <c r="N19589" s="28"/>
      <c r="O19589" s="28"/>
      <c r="U19589" s="28"/>
    </row>
    <row r="19590">
      <c r="N19590" s="28"/>
      <c r="O19590" s="28"/>
      <c r="U19590" s="28"/>
    </row>
    <row r="19591">
      <c r="N19591" s="28"/>
      <c r="O19591" s="28"/>
      <c r="U19591" s="28"/>
    </row>
    <row r="19592">
      <c r="N19592" s="28"/>
      <c r="O19592" s="28"/>
      <c r="U19592" s="28"/>
    </row>
    <row r="19593">
      <c r="N19593" s="28"/>
      <c r="O19593" s="28"/>
      <c r="U19593" s="28"/>
    </row>
    <row r="19594">
      <c r="N19594" s="28"/>
      <c r="O19594" s="28"/>
      <c r="U19594" s="28"/>
    </row>
    <row r="19595">
      <c r="N19595" s="28"/>
      <c r="O19595" s="28"/>
      <c r="U19595" s="28"/>
    </row>
    <row r="19596">
      <c r="N19596" s="28"/>
      <c r="O19596" s="28"/>
      <c r="U19596" s="28"/>
    </row>
    <row r="19597">
      <c r="N19597" s="28"/>
      <c r="O19597" s="28"/>
      <c r="U19597" s="28"/>
    </row>
    <row r="19598">
      <c r="N19598" s="28"/>
      <c r="O19598" s="28"/>
      <c r="U19598" s="28"/>
    </row>
    <row r="19599">
      <c r="N19599" s="28"/>
      <c r="O19599" s="28"/>
      <c r="U19599" s="28"/>
    </row>
    <row r="19600">
      <c r="N19600" s="28"/>
      <c r="O19600" s="28"/>
      <c r="U19600" s="28"/>
    </row>
    <row r="19601">
      <c r="N19601" s="28"/>
      <c r="O19601" s="28"/>
      <c r="U19601" s="28"/>
    </row>
    <row r="19602">
      <c r="N19602" s="28"/>
      <c r="O19602" s="28"/>
      <c r="U19602" s="28"/>
    </row>
    <row r="19603">
      <c r="N19603" s="28"/>
      <c r="O19603" s="28"/>
      <c r="U19603" s="28"/>
    </row>
    <row r="19604">
      <c r="N19604" s="28"/>
      <c r="O19604" s="28"/>
      <c r="U19604" s="28"/>
    </row>
    <row r="19605">
      <c r="N19605" s="28"/>
      <c r="O19605" s="28"/>
      <c r="U19605" s="28"/>
    </row>
    <row r="19606">
      <c r="N19606" s="28"/>
      <c r="O19606" s="28"/>
      <c r="U19606" s="28"/>
    </row>
    <row r="19607">
      <c r="N19607" s="28"/>
      <c r="O19607" s="28"/>
      <c r="U19607" s="28"/>
    </row>
    <row r="19608">
      <c r="N19608" s="28"/>
      <c r="O19608" s="28"/>
      <c r="U19608" s="28"/>
    </row>
    <row r="19609">
      <c r="N19609" s="28"/>
      <c r="O19609" s="28"/>
      <c r="U19609" s="28"/>
    </row>
    <row r="19610">
      <c r="N19610" s="28"/>
      <c r="O19610" s="28"/>
      <c r="U19610" s="28"/>
    </row>
    <row r="19611">
      <c r="N19611" s="28"/>
      <c r="O19611" s="28"/>
      <c r="U19611" s="28"/>
    </row>
    <row r="19612">
      <c r="N19612" s="28"/>
      <c r="O19612" s="28"/>
      <c r="U19612" s="28"/>
    </row>
    <row r="19613">
      <c r="N19613" s="28"/>
      <c r="O19613" s="28"/>
      <c r="U19613" s="28"/>
    </row>
    <row r="19614">
      <c r="N19614" s="28"/>
      <c r="O19614" s="28"/>
      <c r="U19614" s="28"/>
    </row>
    <row r="19615">
      <c r="N19615" s="28"/>
      <c r="O19615" s="28"/>
      <c r="U19615" s="28"/>
    </row>
    <row r="19616">
      <c r="N19616" s="28"/>
      <c r="O19616" s="28"/>
      <c r="U19616" s="28"/>
    </row>
    <row r="19617">
      <c r="N19617" s="28"/>
      <c r="O19617" s="28"/>
      <c r="U19617" s="28"/>
    </row>
    <row r="19618">
      <c r="N19618" s="28"/>
      <c r="O19618" s="28"/>
      <c r="U19618" s="28"/>
    </row>
    <row r="19619">
      <c r="N19619" s="28"/>
      <c r="O19619" s="28"/>
      <c r="U19619" s="28"/>
    </row>
    <row r="19620">
      <c r="N19620" s="28"/>
      <c r="O19620" s="28"/>
      <c r="U19620" s="28"/>
    </row>
    <row r="19621">
      <c r="N19621" s="28"/>
      <c r="O19621" s="28"/>
      <c r="U19621" s="28"/>
    </row>
    <row r="19622">
      <c r="N19622" s="28"/>
      <c r="O19622" s="28"/>
      <c r="U19622" s="28"/>
    </row>
    <row r="19623">
      <c r="N19623" s="28"/>
      <c r="O19623" s="28"/>
      <c r="U19623" s="28"/>
    </row>
    <row r="19624">
      <c r="N19624" s="28"/>
      <c r="O19624" s="28"/>
      <c r="U19624" s="28"/>
    </row>
    <row r="19625">
      <c r="N19625" s="28"/>
      <c r="O19625" s="28"/>
      <c r="U19625" s="28"/>
    </row>
    <row r="19626">
      <c r="N19626" s="28"/>
      <c r="O19626" s="28"/>
      <c r="U19626" s="28"/>
    </row>
    <row r="19627">
      <c r="N19627" s="28"/>
      <c r="O19627" s="28"/>
      <c r="U19627" s="28"/>
    </row>
    <row r="19628">
      <c r="N19628" s="28"/>
      <c r="O19628" s="28"/>
      <c r="U19628" s="28"/>
    </row>
    <row r="19629">
      <c r="N19629" s="28"/>
      <c r="O19629" s="28"/>
      <c r="U19629" s="28"/>
    </row>
    <row r="19630">
      <c r="N19630" s="28"/>
      <c r="O19630" s="28"/>
      <c r="U19630" s="28"/>
    </row>
    <row r="19631">
      <c r="N19631" s="28"/>
      <c r="O19631" s="28"/>
      <c r="U19631" s="28"/>
    </row>
    <row r="19632">
      <c r="N19632" s="28"/>
      <c r="O19632" s="28"/>
      <c r="U19632" s="28"/>
    </row>
    <row r="19633">
      <c r="N19633" s="28"/>
      <c r="O19633" s="28"/>
      <c r="U19633" s="28"/>
    </row>
    <row r="19634">
      <c r="N19634" s="28"/>
      <c r="O19634" s="28"/>
      <c r="U19634" s="28"/>
    </row>
    <row r="19635">
      <c r="N19635" s="28"/>
      <c r="O19635" s="28"/>
      <c r="U19635" s="28"/>
    </row>
    <row r="19636">
      <c r="N19636" s="28"/>
      <c r="O19636" s="28"/>
      <c r="U19636" s="28"/>
    </row>
    <row r="19637">
      <c r="N19637" s="28"/>
      <c r="O19637" s="28"/>
      <c r="U19637" s="28"/>
    </row>
    <row r="19638">
      <c r="N19638" s="28"/>
      <c r="O19638" s="28"/>
      <c r="U19638" s="28"/>
    </row>
    <row r="19639">
      <c r="N19639" s="28"/>
      <c r="O19639" s="28"/>
      <c r="U19639" s="28"/>
    </row>
    <row r="19640">
      <c r="N19640" s="28"/>
      <c r="O19640" s="28"/>
      <c r="U19640" s="28"/>
    </row>
    <row r="19641">
      <c r="N19641" s="28"/>
      <c r="O19641" s="28"/>
      <c r="U19641" s="28"/>
    </row>
    <row r="19642">
      <c r="N19642" s="28"/>
      <c r="O19642" s="28"/>
      <c r="U19642" s="28"/>
    </row>
    <row r="19643">
      <c r="N19643" s="28"/>
      <c r="O19643" s="28"/>
      <c r="U19643" s="28"/>
    </row>
    <row r="19644">
      <c r="N19644" s="28"/>
      <c r="O19644" s="28"/>
      <c r="U19644" s="28"/>
    </row>
    <row r="19645">
      <c r="N19645" s="28"/>
      <c r="O19645" s="28"/>
      <c r="U19645" s="28"/>
    </row>
    <row r="19646">
      <c r="N19646" s="28"/>
      <c r="O19646" s="28"/>
      <c r="U19646" s="28"/>
    </row>
    <row r="19647">
      <c r="N19647" s="28"/>
      <c r="O19647" s="28"/>
      <c r="U19647" s="28"/>
    </row>
    <row r="19648">
      <c r="N19648" s="28"/>
      <c r="O19648" s="28"/>
      <c r="U19648" s="28"/>
    </row>
    <row r="19649">
      <c r="N19649" s="28"/>
      <c r="O19649" s="28"/>
      <c r="U19649" s="28"/>
    </row>
    <row r="19650">
      <c r="N19650" s="28"/>
      <c r="O19650" s="28"/>
      <c r="U19650" s="28"/>
    </row>
    <row r="19651">
      <c r="N19651" s="28"/>
      <c r="O19651" s="28"/>
      <c r="U19651" s="28"/>
    </row>
    <row r="19652">
      <c r="N19652" s="28"/>
      <c r="O19652" s="28"/>
      <c r="U19652" s="28"/>
    </row>
    <row r="19653">
      <c r="N19653" s="28"/>
      <c r="O19653" s="28"/>
      <c r="U19653" s="28"/>
    </row>
    <row r="19654">
      <c r="N19654" s="28"/>
      <c r="O19654" s="28"/>
      <c r="U19654" s="28"/>
    </row>
    <row r="19655">
      <c r="N19655" s="28"/>
      <c r="O19655" s="28"/>
      <c r="U19655" s="28"/>
    </row>
    <row r="19656">
      <c r="N19656" s="28"/>
      <c r="O19656" s="28"/>
      <c r="U19656" s="28"/>
    </row>
    <row r="19657">
      <c r="N19657" s="28"/>
      <c r="O19657" s="28"/>
      <c r="U19657" s="28"/>
    </row>
    <row r="19658">
      <c r="N19658" s="28"/>
      <c r="O19658" s="28"/>
      <c r="U19658" s="28"/>
    </row>
    <row r="19659">
      <c r="N19659" s="28"/>
      <c r="O19659" s="28"/>
      <c r="U19659" s="28"/>
    </row>
    <row r="19660">
      <c r="N19660" s="28"/>
      <c r="O19660" s="28"/>
      <c r="U19660" s="28"/>
    </row>
    <row r="19661">
      <c r="N19661" s="28"/>
      <c r="O19661" s="28"/>
      <c r="U19661" s="28"/>
    </row>
    <row r="19662">
      <c r="N19662" s="28"/>
      <c r="O19662" s="28"/>
      <c r="U19662" s="28"/>
    </row>
    <row r="19663">
      <c r="N19663" s="28"/>
      <c r="O19663" s="28"/>
      <c r="U19663" s="28"/>
    </row>
    <row r="19664">
      <c r="N19664" s="28"/>
      <c r="O19664" s="28"/>
      <c r="U19664" s="28"/>
    </row>
    <row r="19665">
      <c r="N19665" s="28"/>
      <c r="O19665" s="28"/>
      <c r="U19665" s="28"/>
    </row>
    <row r="19666">
      <c r="N19666" s="28"/>
      <c r="O19666" s="28"/>
      <c r="U19666" s="28"/>
    </row>
    <row r="19667">
      <c r="N19667" s="28"/>
      <c r="O19667" s="28"/>
      <c r="U19667" s="28"/>
    </row>
    <row r="19668">
      <c r="N19668" s="28"/>
      <c r="O19668" s="28"/>
      <c r="U19668" s="28"/>
    </row>
    <row r="19669">
      <c r="N19669" s="28"/>
      <c r="O19669" s="28"/>
      <c r="U19669" s="28"/>
    </row>
    <row r="19670">
      <c r="N19670" s="28"/>
      <c r="O19670" s="28"/>
      <c r="U19670" s="28"/>
    </row>
    <row r="19671">
      <c r="N19671" s="28"/>
      <c r="O19671" s="28"/>
      <c r="U19671" s="28"/>
    </row>
    <row r="19672">
      <c r="N19672" s="28"/>
      <c r="O19672" s="28"/>
      <c r="U19672" s="28"/>
    </row>
    <row r="19673">
      <c r="N19673" s="28"/>
      <c r="O19673" s="28"/>
      <c r="U19673" s="28"/>
    </row>
    <row r="19674">
      <c r="N19674" s="28"/>
      <c r="O19674" s="28"/>
      <c r="U19674" s="28"/>
    </row>
    <row r="19675">
      <c r="N19675" s="28"/>
      <c r="O19675" s="28"/>
      <c r="U19675" s="28"/>
    </row>
    <row r="19676">
      <c r="N19676" s="28"/>
      <c r="O19676" s="28"/>
      <c r="U19676" s="28"/>
    </row>
    <row r="19677">
      <c r="N19677" s="28"/>
      <c r="O19677" s="28"/>
      <c r="U19677" s="28"/>
    </row>
    <row r="19678">
      <c r="N19678" s="28"/>
      <c r="O19678" s="28"/>
      <c r="U19678" s="28"/>
    </row>
    <row r="19679">
      <c r="N19679" s="28"/>
      <c r="O19679" s="28"/>
      <c r="U19679" s="28"/>
    </row>
    <row r="19680">
      <c r="N19680" s="28"/>
      <c r="O19680" s="28"/>
      <c r="U19680" s="28"/>
    </row>
    <row r="19681">
      <c r="N19681" s="28"/>
      <c r="O19681" s="28"/>
      <c r="U19681" s="28"/>
    </row>
    <row r="19682">
      <c r="N19682" s="28"/>
      <c r="O19682" s="28"/>
      <c r="U19682" s="28"/>
    </row>
    <row r="19683">
      <c r="N19683" s="28"/>
      <c r="O19683" s="28"/>
      <c r="U19683" s="28"/>
    </row>
    <row r="19684">
      <c r="N19684" s="28"/>
      <c r="O19684" s="28"/>
      <c r="U19684" s="28"/>
    </row>
    <row r="19685">
      <c r="N19685" s="28"/>
      <c r="O19685" s="28"/>
      <c r="U19685" s="28"/>
    </row>
    <row r="19686">
      <c r="N19686" s="28"/>
      <c r="O19686" s="28"/>
      <c r="U19686" s="28"/>
    </row>
    <row r="19687">
      <c r="N19687" s="28"/>
      <c r="O19687" s="28"/>
      <c r="U19687" s="28"/>
    </row>
    <row r="19688">
      <c r="N19688" s="28"/>
      <c r="O19688" s="28"/>
      <c r="U19688" s="28"/>
    </row>
    <row r="19689">
      <c r="N19689" s="28"/>
      <c r="O19689" s="28"/>
      <c r="U19689" s="28"/>
    </row>
    <row r="19690">
      <c r="N19690" s="28"/>
      <c r="O19690" s="28"/>
      <c r="U19690" s="28"/>
    </row>
    <row r="19691">
      <c r="N19691" s="28"/>
      <c r="O19691" s="28"/>
      <c r="U19691" s="28"/>
    </row>
    <row r="19692">
      <c r="N19692" s="28"/>
      <c r="O19692" s="28"/>
      <c r="U19692" s="28"/>
    </row>
    <row r="19693">
      <c r="N19693" s="28"/>
      <c r="O19693" s="28"/>
      <c r="U19693" s="28"/>
    </row>
    <row r="19694">
      <c r="N19694" s="28"/>
      <c r="O19694" s="28"/>
      <c r="U19694" s="28"/>
    </row>
    <row r="19695">
      <c r="N19695" s="28"/>
      <c r="O19695" s="28"/>
      <c r="U19695" s="28"/>
    </row>
    <row r="19696">
      <c r="N19696" s="28"/>
      <c r="O19696" s="28"/>
      <c r="U19696" s="28"/>
    </row>
    <row r="19697">
      <c r="N19697" s="28"/>
      <c r="O19697" s="28"/>
      <c r="U19697" s="28"/>
    </row>
    <row r="19698">
      <c r="N19698" s="28"/>
      <c r="O19698" s="28"/>
      <c r="U19698" s="28"/>
    </row>
    <row r="19699">
      <c r="N19699" s="28"/>
      <c r="O19699" s="28"/>
      <c r="U19699" s="28"/>
    </row>
    <row r="19700">
      <c r="N19700" s="28"/>
      <c r="O19700" s="28"/>
      <c r="U19700" s="28"/>
    </row>
    <row r="19701">
      <c r="N19701" s="28"/>
      <c r="O19701" s="28"/>
      <c r="U19701" s="28"/>
    </row>
    <row r="19702">
      <c r="N19702" s="28"/>
      <c r="O19702" s="28"/>
      <c r="U19702" s="28"/>
    </row>
    <row r="19703">
      <c r="N19703" s="28"/>
      <c r="O19703" s="28"/>
      <c r="U19703" s="28"/>
    </row>
    <row r="19704">
      <c r="N19704" s="28"/>
      <c r="O19704" s="28"/>
      <c r="U19704" s="28"/>
    </row>
    <row r="19705">
      <c r="N19705" s="28"/>
      <c r="O19705" s="28"/>
      <c r="U19705" s="28"/>
    </row>
    <row r="19706">
      <c r="N19706" s="28"/>
      <c r="O19706" s="28"/>
      <c r="U19706" s="28"/>
    </row>
    <row r="19707">
      <c r="N19707" s="28"/>
      <c r="O19707" s="28"/>
      <c r="U19707" s="28"/>
    </row>
    <row r="19708">
      <c r="N19708" s="28"/>
      <c r="O19708" s="28"/>
      <c r="U19708" s="28"/>
    </row>
    <row r="19709">
      <c r="N19709" s="28"/>
      <c r="O19709" s="28"/>
      <c r="U19709" s="28"/>
    </row>
    <row r="19710">
      <c r="N19710" s="28"/>
      <c r="O19710" s="28"/>
      <c r="U19710" s="28"/>
    </row>
    <row r="19711">
      <c r="N19711" s="28"/>
      <c r="O19711" s="28"/>
      <c r="U19711" s="28"/>
    </row>
    <row r="19712">
      <c r="N19712" s="28"/>
      <c r="O19712" s="28"/>
      <c r="U19712" s="28"/>
    </row>
    <row r="19713">
      <c r="N19713" s="28"/>
      <c r="O19713" s="28"/>
      <c r="U19713" s="28"/>
    </row>
    <row r="19714">
      <c r="N19714" s="28"/>
      <c r="O19714" s="28"/>
      <c r="U19714" s="28"/>
    </row>
    <row r="19715">
      <c r="N19715" s="28"/>
      <c r="O19715" s="28"/>
      <c r="U19715" s="28"/>
    </row>
    <row r="19716">
      <c r="N19716" s="28"/>
      <c r="O19716" s="28"/>
      <c r="U19716" s="28"/>
    </row>
    <row r="19717">
      <c r="N19717" s="28"/>
      <c r="O19717" s="28"/>
      <c r="U19717" s="28"/>
    </row>
    <row r="19718">
      <c r="N19718" s="28"/>
      <c r="O19718" s="28"/>
      <c r="U19718" s="28"/>
    </row>
    <row r="19719">
      <c r="N19719" s="28"/>
      <c r="O19719" s="28"/>
      <c r="U19719" s="28"/>
    </row>
    <row r="19720">
      <c r="N19720" s="28"/>
      <c r="O19720" s="28"/>
      <c r="U19720" s="28"/>
    </row>
    <row r="19721">
      <c r="N19721" s="28"/>
      <c r="O19721" s="28"/>
      <c r="U19721" s="28"/>
    </row>
    <row r="19722">
      <c r="N19722" s="28"/>
      <c r="O19722" s="28"/>
      <c r="U19722" s="28"/>
    </row>
    <row r="19723">
      <c r="N19723" s="28"/>
      <c r="O19723" s="28"/>
      <c r="U19723" s="28"/>
    </row>
    <row r="19724">
      <c r="N19724" s="28"/>
      <c r="O19724" s="28"/>
      <c r="U19724" s="28"/>
    </row>
    <row r="19725">
      <c r="N19725" s="28"/>
      <c r="O19725" s="28"/>
      <c r="U19725" s="28"/>
    </row>
    <row r="19726">
      <c r="N19726" s="28"/>
      <c r="O19726" s="28"/>
      <c r="U19726" s="28"/>
    </row>
    <row r="19727">
      <c r="N19727" s="28"/>
      <c r="O19727" s="28"/>
      <c r="U19727" s="28"/>
    </row>
    <row r="19728">
      <c r="N19728" s="28"/>
      <c r="O19728" s="28"/>
      <c r="U19728" s="28"/>
    </row>
    <row r="19729">
      <c r="N19729" s="28"/>
      <c r="O19729" s="28"/>
      <c r="U19729" s="28"/>
    </row>
    <row r="19730">
      <c r="N19730" s="28"/>
      <c r="O19730" s="28"/>
      <c r="U19730" s="28"/>
    </row>
    <row r="19731">
      <c r="N19731" s="28"/>
      <c r="O19731" s="28"/>
      <c r="U19731" s="28"/>
    </row>
    <row r="19732">
      <c r="N19732" s="28"/>
      <c r="O19732" s="28"/>
      <c r="U19732" s="28"/>
    </row>
    <row r="19733">
      <c r="N19733" s="28"/>
      <c r="O19733" s="28"/>
      <c r="U19733" s="28"/>
    </row>
    <row r="19734">
      <c r="N19734" s="28"/>
      <c r="O19734" s="28"/>
      <c r="U19734" s="28"/>
    </row>
    <row r="19735">
      <c r="N19735" s="28"/>
      <c r="O19735" s="28"/>
      <c r="U19735" s="28"/>
    </row>
    <row r="19736">
      <c r="N19736" s="28"/>
      <c r="O19736" s="28"/>
      <c r="U19736" s="28"/>
    </row>
    <row r="19737">
      <c r="N19737" s="28"/>
      <c r="O19737" s="28"/>
      <c r="U19737" s="28"/>
    </row>
    <row r="19738">
      <c r="N19738" s="28"/>
      <c r="O19738" s="28"/>
      <c r="U19738" s="28"/>
    </row>
    <row r="19739">
      <c r="N19739" s="28"/>
      <c r="O19739" s="28"/>
      <c r="U19739" s="28"/>
    </row>
    <row r="19740">
      <c r="N19740" s="28"/>
      <c r="O19740" s="28"/>
      <c r="U19740" s="28"/>
    </row>
    <row r="19741">
      <c r="N19741" s="28"/>
      <c r="O19741" s="28"/>
      <c r="U19741" s="28"/>
    </row>
    <row r="19742">
      <c r="N19742" s="28"/>
      <c r="O19742" s="28"/>
      <c r="U19742" s="28"/>
    </row>
    <row r="19743">
      <c r="N19743" s="28"/>
      <c r="O19743" s="28"/>
      <c r="U19743" s="28"/>
    </row>
    <row r="19744">
      <c r="N19744" s="28"/>
      <c r="O19744" s="28"/>
      <c r="U19744" s="28"/>
    </row>
    <row r="19745">
      <c r="N19745" s="28"/>
      <c r="O19745" s="28"/>
      <c r="U19745" s="28"/>
    </row>
    <row r="19746">
      <c r="N19746" s="28"/>
      <c r="O19746" s="28"/>
      <c r="U19746" s="28"/>
    </row>
    <row r="19747">
      <c r="N19747" s="28"/>
      <c r="O19747" s="28"/>
      <c r="U19747" s="28"/>
    </row>
    <row r="19748">
      <c r="N19748" s="28"/>
      <c r="O19748" s="28"/>
      <c r="U19748" s="28"/>
    </row>
    <row r="19749">
      <c r="N19749" s="28"/>
      <c r="O19749" s="28"/>
      <c r="U19749" s="28"/>
    </row>
    <row r="19750">
      <c r="N19750" s="28"/>
      <c r="O19750" s="28"/>
      <c r="U19750" s="28"/>
    </row>
    <row r="19751">
      <c r="N19751" s="28"/>
      <c r="O19751" s="28"/>
      <c r="U19751" s="28"/>
    </row>
    <row r="19752">
      <c r="N19752" s="28"/>
      <c r="O19752" s="28"/>
      <c r="U19752" s="28"/>
    </row>
    <row r="19753">
      <c r="N19753" s="28"/>
      <c r="O19753" s="28"/>
      <c r="U19753" s="28"/>
    </row>
    <row r="19754">
      <c r="N19754" s="28"/>
      <c r="O19754" s="28"/>
      <c r="U19754" s="28"/>
    </row>
    <row r="19755">
      <c r="N19755" s="28"/>
      <c r="O19755" s="28"/>
      <c r="U19755" s="28"/>
    </row>
    <row r="19756">
      <c r="N19756" s="28"/>
      <c r="O19756" s="28"/>
      <c r="U19756" s="28"/>
    </row>
    <row r="19757">
      <c r="N19757" s="28"/>
      <c r="O19757" s="28"/>
      <c r="U19757" s="28"/>
    </row>
    <row r="19758">
      <c r="N19758" s="28"/>
      <c r="O19758" s="28"/>
      <c r="U19758" s="28"/>
    </row>
    <row r="19759">
      <c r="N19759" s="28"/>
      <c r="O19759" s="28"/>
      <c r="U19759" s="28"/>
    </row>
    <row r="19760">
      <c r="N19760" s="28"/>
      <c r="O19760" s="28"/>
      <c r="U19760" s="28"/>
    </row>
    <row r="19761">
      <c r="N19761" s="28"/>
      <c r="O19761" s="28"/>
      <c r="U19761" s="28"/>
    </row>
    <row r="19762">
      <c r="N19762" s="28"/>
      <c r="O19762" s="28"/>
      <c r="U19762" s="28"/>
    </row>
    <row r="19763">
      <c r="N19763" s="28"/>
      <c r="O19763" s="28"/>
      <c r="U19763" s="28"/>
    </row>
    <row r="19764">
      <c r="N19764" s="28"/>
      <c r="O19764" s="28"/>
      <c r="U19764" s="28"/>
    </row>
    <row r="19765">
      <c r="N19765" s="28"/>
      <c r="O19765" s="28"/>
      <c r="U19765" s="28"/>
    </row>
    <row r="19766">
      <c r="N19766" s="28"/>
      <c r="O19766" s="28"/>
      <c r="U19766" s="28"/>
    </row>
    <row r="19767">
      <c r="N19767" s="28"/>
      <c r="O19767" s="28"/>
      <c r="U19767" s="28"/>
    </row>
    <row r="19768">
      <c r="N19768" s="28"/>
      <c r="O19768" s="28"/>
      <c r="U19768" s="28"/>
    </row>
    <row r="19769">
      <c r="N19769" s="28"/>
      <c r="O19769" s="28"/>
      <c r="U19769" s="28"/>
    </row>
    <row r="19770">
      <c r="N19770" s="28"/>
      <c r="O19770" s="28"/>
      <c r="U19770" s="28"/>
    </row>
    <row r="19771">
      <c r="N19771" s="28"/>
      <c r="O19771" s="28"/>
      <c r="U19771" s="28"/>
    </row>
    <row r="19772">
      <c r="N19772" s="28"/>
      <c r="O19772" s="28"/>
      <c r="U19772" s="28"/>
    </row>
    <row r="19773">
      <c r="N19773" s="28"/>
      <c r="O19773" s="28"/>
      <c r="U19773" s="28"/>
    </row>
    <row r="19774">
      <c r="N19774" s="28"/>
      <c r="O19774" s="28"/>
      <c r="U19774" s="28"/>
    </row>
    <row r="19775">
      <c r="N19775" s="28"/>
      <c r="O19775" s="28"/>
      <c r="U19775" s="28"/>
    </row>
    <row r="19776">
      <c r="N19776" s="28"/>
      <c r="O19776" s="28"/>
      <c r="U19776" s="28"/>
    </row>
    <row r="19777">
      <c r="N19777" s="28"/>
      <c r="O19777" s="28"/>
      <c r="U19777" s="28"/>
    </row>
    <row r="19778">
      <c r="N19778" s="28"/>
      <c r="O19778" s="28"/>
      <c r="U19778" s="28"/>
    </row>
    <row r="19779">
      <c r="N19779" s="28"/>
      <c r="O19779" s="28"/>
      <c r="U19779" s="28"/>
    </row>
    <row r="19780">
      <c r="N19780" s="28"/>
      <c r="O19780" s="28"/>
      <c r="U19780" s="28"/>
    </row>
    <row r="19781">
      <c r="N19781" s="28"/>
      <c r="O19781" s="28"/>
      <c r="U19781" s="28"/>
    </row>
    <row r="19782">
      <c r="N19782" s="28"/>
      <c r="O19782" s="28"/>
      <c r="U19782" s="28"/>
    </row>
    <row r="19783">
      <c r="N19783" s="28"/>
      <c r="O19783" s="28"/>
      <c r="U19783" s="28"/>
    </row>
    <row r="19784">
      <c r="N19784" s="28"/>
      <c r="O19784" s="28"/>
      <c r="U19784" s="28"/>
    </row>
    <row r="19785">
      <c r="N19785" s="28"/>
      <c r="O19785" s="28"/>
      <c r="U19785" s="28"/>
    </row>
    <row r="19786">
      <c r="N19786" s="28"/>
      <c r="O19786" s="28"/>
      <c r="U19786" s="28"/>
    </row>
    <row r="19787">
      <c r="N19787" s="28"/>
      <c r="O19787" s="28"/>
      <c r="U19787" s="28"/>
    </row>
    <row r="19788">
      <c r="N19788" s="28"/>
      <c r="O19788" s="28"/>
      <c r="U19788" s="28"/>
    </row>
    <row r="19789">
      <c r="N19789" s="28"/>
      <c r="O19789" s="28"/>
      <c r="U19789" s="28"/>
    </row>
    <row r="19790">
      <c r="N19790" s="28"/>
      <c r="O19790" s="28"/>
      <c r="U19790" s="28"/>
    </row>
    <row r="19791">
      <c r="N19791" s="28"/>
      <c r="O19791" s="28"/>
      <c r="U19791" s="28"/>
    </row>
    <row r="19792">
      <c r="N19792" s="28"/>
      <c r="O19792" s="28"/>
      <c r="U19792" s="28"/>
    </row>
    <row r="19793">
      <c r="N19793" s="28"/>
      <c r="O19793" s="28"/>
      <c r="U19793" s="28"/>
    </row>
    <row r="19794">
      <c r="N19794" s="28"/>
      <c r="O19794" s="28"/>
      <c r="U19794" s="28"/>
    </row>
    <row r="19795">
      <c r="N19795" s="28"/>
      <c r="O19795" s="28"/>
      <c r="U19795" s="28"/>
    </row>
    <row r="19796">
      <c r="N19796" s="28"/>
      <c r="O19796" s="28"/>
      <c r="U19796" s="28"/>
    </row>
    <row r="19797">
      <c r="N19797" s="28"/>
      <c r="O19797" s="28"/>
      <c r="U19797" s="28"/>
    </row>
    <row r="19798">
      <c r="N19798" s="28"/>
      <c r="O19798" s="28"/>
      <c r="U19798" s="28"/>
    </row>
    <row r="19799">
      <c r="N19799" s="28"/>
      <c r="O19799" s="28"/>
      <c r="U19799" s="28"/>
    </row>
    <row r="19800">
      <c r="N19800" s="28"/>
      <c r="O19800" s="28"/>
      <c r="U19800" s="28"/>
    </row>
    <row r="19801">
      <c r="N19801" s="28"/>
      <c r="O19801" s="28"/>
      <c r="U19801" s="28"/>
    </row>
    <row r="19802">
      <c r="N19802" s="28"/>
      <c r="O19802" s="28"/>
      <c r="U19802" s="28"/>
    </row>
    <row r="19803">
      <c r="N19803" s="28"/>
      <c r="O19803" s="28"/>
      <c r="U19803" s="28"/>
    </row>
    <row r="19804">
      <c r="N19804" s="28"/>
      <c r="O19804" s="28"/>
      <c r="U19804" s="28"/>
    </row>
    <row r="19805">
      <c r="N19805" s="28"/>
      <c r="O19805" s="28"/>
      <c r="U19805" s="28"/>
    </row>
    <row r="19806">
      <c r="N19806" s="28"/>
      <c r="O19806" s="28"/>
      <c r="U19806" s="28"/>
    </row>
    <row r="19807">
      <c r="N19807" s="28"/>
      <c r="O19807" s="28"/>
      <c r="U19807" s="28"/>
    </row>
    <row r="19808">
      <c r="N19808" s="28"/>
      <c r="O19808" s="28"/>
      <c r="U19808" s="28"/>
    </row>
    <row r="19809">
      <c r="N19809" s="28"/>
      <c r="O19809" s="28"/>
      <c r="U19809" s="28"/>
    </row>
    <row r="19810">
      <c r="N19810" s="28"/>
      <c r="O19810" s="28"/>
      <c r="U19810" s="28"/>
    </row>
    <row r="19811">
      <c r="N19811" s="28"/>
      <c r="O19811" s="28"/>
      <c r="U19811" s="28"/>
    </row>
    <row r="19812">
      <c r="N19812" s="28"/>
      <c r="O19812" s="28"/>
      <c r="U19812" s="28"/>
    </row>
    <row r="19813">
      <c r="N19813" s="28"/>
      <c r="O19813" s="28"/>
      <c r="U19813" s="28"/>
    </row>
    <row r="19814">
      <c r="N19814" s="28"/>
      <c r="O19814" s="28"/>
      <c r="U19814" s="28"/>
    </row>
    <row r="19815">
      <c r="N19815" s="28"/>
      <c r="O19815" s="28"/>
      <c r="U19815" s="28"/>
    </row>
    <row r="19816">
      <c r="N19816" s="28"/>
      <c r="O19816" s="28"/>
      <c r="U19816" s="28"/>
    </row>
    <row r="19817">
      <c r="N19817" s="28"/>
      <c r="O19817" s="28"/>
      <c r="U19817" s="28"/>
    </row>
    <row r="19818">
      <c r="N19818" s="28"/>
      <c r="O19818" s="28"/>
      <c r="U19818" s="28"/>
    </row>
    <row r="19819">
      <c r="N19819" s="28"/>
      <c r="O19819" s="28"/>
      <c r="U19819" s="28"/>
    </row>
    <row r="19820">
      <c r="N19820" s="28"/>
      <c r="O19820" s="28"/>
      <c r="U19820" s="28"/>
    </row>
    <row r="19821">
      <c r="N19821" s="28"/>
      <c r="O19821" s="28"/>
      <c r="U19821" s="28"/>
    </row>
    <row r="19822">
      <c r="N19822" s="28"/>
      <c r="O19822" s="28"/>
      <c r="U19822" s="28"/>
    </row>
    <row r="19823">
      <c r="N19823" s="28"/>
      <c r="O19823" s="28"/>
      <c r="U19823" s="28"/>
    </row>
    <row r="19824">
      <c r="N19824" s="28"/>
      <c r="O19824" s="28"/>
      <c r="U19824" s="28"/>
    </row>
    <row r="19825">
      <c r="N19825" s="28"/>
      <c r="O19825" s="28"/>
      <c r="U19825" s="28"/>
    </row>
    <row r="19826">
      <c r="N19826" s="28"/>
      <c r="O19826" s="28"/>
      <c r="U19826" s="28"/>
    </row>
    <row r="19827">
      <c r="N19827" s="28"/>
      <c r="O19827" s="28"/>
      <c r="U19827" s="28"/>
    </row>
    <row r="19828">
      <c r="N19828" s="28"/>
      <c r="O19828" s="28"/>
      <c r="U19828" s="28"/>
    </row>
    <row r="19829">
      <c r="N19829" s="28"/>
      <c r="O19829" s="28"/>
      <c r="U19829" s="28"/>
    </row>
    <row r="19830">
      <c r="N19830" s="28"/>
      <c r="O19830" s="28"/>
      <c r="U19830" s="28"/>
    </row>
    <row r="19831">
      <c r="N19831" s="28"/>
      <c r="O19831" s="28"/>
      <c r="U19831" s="28"/>
    </row>
    <row r="19832">
      <c r="N19832" s="28"/>
      <c r="O19832" s="28"/>
      <c r="U19832" s="28"/>
    </row>
    <row r="19833">
      <c r="N19833" s="28"/>
      <c r="O19833" s="28"/>
      <c r="U19833" s="28"/>
    </row>
    <row r="19834">
      <c r="N19834" s="28"/>
      <c r="O19834" s="28"/>
      <c r="U19834" s="28"/>
    </row>
    <row r="19835">
      <c r="N19835" s="28"/>
      <c r="O19835" s="28"/>
      <c r="U19835" s="28"/>
    </row>
    <row r="19836">
      <c r="N19836" s="28"/>
      <c r="O19836" s="28"/>
      <c r="U19836" s="28"/>
    </row>
    <row r="19837">
      <c r="N19837" s="28"/>
      <c r="O19837" s="28"/>
      <c r="U19837" s="28"/>
    </row>
    <row r="19838">
      <c r="N19838" s="28"/>
      <c r="O19838" s="28"/>
      <c r="U19838" s="28"/>
    </row>
    <row r="19839">
      <c r="N19839" s="28"/>
      <c r="O19839" s="28"/>
      <c r="U19839" s="28"/>
    </row>
    <row r="19840">
      <c r="N19840" s="28"/>
      <c r="O19840" s="28"/>
      <c r="U19840" s="28"/>
    </row>
    <row r="19841">
      <c r="N19841" s="28"/>
      <c r="O19841" s="28"/>
      <c r="U19841" s="28"/>
    </row>
    <row r="19842">
      <c r="N19842" s="28"/>
      <c r="O19842" s="28"/>
      <c r="U19842" s="28"/>
    </row>
    <row r="19843">
      <c r="N19843" s="28"/>
      <c r="O19843" s="28"/>
      <c r="U19843" s="28"/>
    </row>
    <row r="19844">
      <c r="N19844" s="28"/>
      <c r="O19844" s="28"/>
      <c r="U19844" s="28"/>
    </row>
    <row r="19845">
      <c r="N19845" s="28"/>
      <c r="O19845" s="28"/>
      <c r="U19845" s="28"/>
    </row>
    <row r="19846">
      <c r="N19846" s="28"/>
      <c r="O19846" s="28"/>
      <c r="U19846" s="28"/>
    </row>
    <row r="19847">
      <c r="N19847" s="28"/>
      <c r="O19847" s="28"/>
      <c r="U19847" s="28"/>
    </row>
    <row r="19848">
      <c r="N19848" s="28"/>
      <c r="O19848" s="28"/>
      <c r="U19848" s="28"/>
    </row>
    <row r="19849">
      <c r="N19849" s="28"/>
      <c r="O19849" s="28"/>
      <c r="U19849" s="28"/>
    </row>
    <row r="19850">
      <c r="N19850" s="28"/>
      <c r="O19850" s="28"/>
      <c r="U19850" s="28"/>
    </row>
    <row r="19851">
      <c r="N19851" s="28"/>
      <c r="O19851" s="28"/>
      <c r="U19851" s="28"/>
    </row>
    <row r="19852">
      <c r="N19852" s="28"/>
      <c r="O19852" s="28"/>
      <c r="U19852" s="28"/>
    </row>
    <row r="19853">
      <c r="N19853" s="28"/>
      <c r="O19853" s="28"/>
      <c r="U19853" s="28"/>
    </row>
    <row r="19854">
      <c r="N19854" s="28"/>
      <c r="O19854" s="28"/>
      <c r="U19854" s="28"/>
    </row>
    <row r="19855">
      <c r="N19855" s="28"/>
      <c r="O19855" s="28"/>
      <c r="U19855" s="28"/>
    </row>
    <row r="19856">
      <c r="N19856" s="28"/>
      <c r="O19856" s="28"/>
      <c r="U19856" s="28"/>
    </row>
    <row r="19857">
      <c r="N19857" s="28"/>
      <c r="O19857" s="28"/>
      <c r="U19857" s="28"/>
    </row>
    <row r="19858">
      <c r="N19858" s="28"/>
      <c r="O19858" s="28"/>
      <c r="U19858" s="28"/>
    </row>
    <row r="19859">
      <c r="N19859" s="28"/>
      <c r="O19859" s="28"/>
      <c r="U19859" s="28"/>
    </row>
    <row r="19860">
      <c r="N19860" s="28"/>
      <c r="O19860" s="28"/>
      <c r="U19860" s="28"/>
    </row>
    <row r="19861">
      <c r="N19861" s="28"/>
      <c r="O19861" s="28"/>
      <c r="U19861" s="28"/>
    </row>
    <row r="19862">
      <c r="N19862" s="28"/>
      <c r="O19862" s="28"/>
      <c r="U19862" s="28"/>
    </row>
    <row r="19863">
      <c r="N19863" s="28"/>
      <c r="O19863" s="28"/>
      <c r="U19863" s="28"/>
    </row>
    <row r="19864">
      <c r="N19864" s="28"/>
      <c r="O19864" s="28"/>
      <c r="U19864" s="28"/>
    </row>
    <row r="19865">
      <c r="N19865" s="28"/>
      <c r="O19865" s="28"/>
      <c r="U19865" s="28"/>
    </row>
    <row r="19866">
      <c r="N19866" s="28"/>
      <c r="O19866" s="28"/>
      <c r="U19866" s="28"/>
    </row>
    <row r="19867">
      <c r="N19867" s="28"/>
      <c r="O19867" s="28"/>
      <c r="U19867" s="28"/>
    </row>
    <row r="19868">
      <c r="N19868" s="28"/>
      <c r="O19868" s="28"/>
      <c r="U19868" s="28"/>
    </row>
    <row r="19869">
      <c r="N19869" s="28"/>
      <c r="O19869" s="28"/>
      <c r="U19869" s="28"/>
    </row>
    <row r="19870">
      <c r="N19870" s="28"/>
      <c r="O19870" s="28"/>
      <c r="U19870" s="28"/>
    </row>
    <row r="19871">
      <c r="N19871" s="28"/>
      <c r="O19871" s="28"/>
      <c r="U19871" s="28"/>
    </row>
    <row r="19872">
      <c r="N19872" s="28"/>
      <c r="O19872" s="28"/>
      <c r="U19872" s="28"/>
    </row>
    <row r="19873">
      <c r="N19873" s="28"/>
      <c r="O19873" s="28"/>
      <c r="U19873" s="28"/>
    </row>
    <row r="19874">
      <c r="N19874" s="28"/>
      <c r="O19874" s="28"/>
      <c r="U19874" s="28"/>
    </row>
    <row r="19875">
      <c r="N19875" s="28"/>
      <c r="O19875" s="28"/>
      <c r="U19875" s="28"/>
    </row>
    <row r="19876">
      <c r="N19876" s="28"/>
      <c r="O19876" s="28"/>
      <c r="U19876" s="28"/>
    </row>
    <row r="19877">
      <c r="N19877" s="28"/>
      <c r="O19877" s="28"/>
      <c r="U19877" s="28"/>
    </row>
    <row r="19878">
      <c r="N19878" s="28"/>
      <c r="O19878" s="28"/>
      <c r="U19878" s="28"/>
    </row>
    <row r="19879">
      <c r="N19879" s="28"/>
      <c r="O19879" s="28"/>
      <c r="U19879" s="28"/>
    </row>
    <row r="19880">
      <c r="N19880" s="28"/>
      <c r="O19880" s="28"/>
      <c r="U19880" s="28"/>
    </row>
    <row r="19881">
      <c r="N19881" s="28"/>
      <c r="O19881" s="28"/>
      <c r="U19881" s="28"/>
    </row>
    <row r="19882">
      <c r="N19882" s="28"/>
      <c r="O19882" s="28"/>
      <c r="U19882" s="28"/>
    </row>
    <row r="19883">
      <c r="N19883" s="28"/>
      <c r="O19883" s="28"/>
      <c r="U19883" s="28"/>
    </row>
    <row r="19884">
      <c r="N19884" s="28"/>
      <c r="O19884" s="28"/>
      <c r="U19884" s="28"/>
    </row>
    <row r="19885">
      <c r="N19885" s="28"/>
      <c r="O19885" s="28"/>
      <c r="U19885" s="28"/>
    </row>
    <row r="19886">
      <c r="N19886" s="28"/>
      <c r="O19886" s="28"/>
      <c r="U19886" s="28"/>
    </row>
    <row r="19887">
      <c r="N19887" s="28"/>
      <c r="O19887" s="28"/>
      <c r="U19887" s="28"/>
    </row>
    <row r="19888">
      <c r="N19888" s="28"/>
      <c r="O19888" s="28"/>
      <c r="U19888" s="28"/>
    </row>
    <row r="19889">
      <c r="N19889" s="28"/>
      <c r="O19889" s="28"/>
      <c r="U19889" s="28"/>
    </row>
    <row r="19890">
      <c r="N19890" s="28"/>
      <c r="O19890" s="28"/>
      <c r="U19890" s="28"/>
    </row>
    <row r="19891">
      <c r="N19891" s="28"/>
      <c r="O19891" s="28"/>
      <c r="U19891" s="28"/>
    </row>
    <row r="19892">
      <c r="N19892" s="28"/>
      <c r="O19892" s="28"/>
      <c r="U19892" s="28"/>
    </row>
    <row r="19893">
      <c r="N19893" s="28"/>
      <c r="O19893" s="28"/>
      <c r="U19893" s="28"/>
    </row>
    <row r="19894">
      <c r="N19894" s="28"/>
      <c r="O19894" s="28"/>
      <c r="U19894" s="28"/>
    </row>
    <row r="19895">
      <c r="N19895" s="28"/>
      <c r="O19895" s="28"/>
      <c r="U19895" s="28"/>
    </row>
    <row r="19896">
      <c r="N19896" s="28"/>
      <c r="O19896" s="28"/>
      <c r="U19896" s="28"/>
    </row>
    <row r="19897">
      <c r="N19897" s="28"/>
      <c r="O19897" s="28"/>
      <c r="U19897" s="28"/>
    </row>
    <row r="19898">
      <c r="N19898" s="28"/>
      <c r="O19898" s="28"/>
      <c r="U19898" s="28"/>
    </row>
    <row r="19899">
      <c r="N19899" s="28"/>
      <c r="O19899" s="28"/>
      <c r="U19899" s="28"/>
    </row>
    <row r="19900">
      <c r="N19900" s="28"/>
      <c r="O19900" s="28"/>
      <c r="U19900" s="28"/>
    </row>
    <row r="19901">
      <c r="N19901" s="28"/>
      <c r="O19901" s="28"/>
      <c r="U19901" s="28"/>
    </row>
    <row r="19902">
      <c r="N19902" s="28"/>
      <c r="O19902" s="28"/>
      <c r="U19902" s="28"/>
    </row>
    <row r="19903">
      <c r="N19903" s="28"/>
      <c r="O19903" s="28"/>
      <c r="U19903" s="28"/>
    </row>
    <row r="19904">
      <c r="N19904" s="28"/>
      <c r="O19904" s="28"/>
      <c r="U19904" s="28"/>
    </row>
    <row r="19905">
      <c r="N19905" s="28"/>
      <c r="O19905" s="28"/>
      <c r="U19905" s="28"/>
    </row>
    <row r="19906">
      <c r="N19906" s="28"/>
      <c r="O19906" s="28"/>
      <c r="U19906" s="28"/>
    </row>
    <row r="19907">
      <c r="N19907" s="28"/>
      <c r="O19907" s="28"/>
      <c r="U19907" s="28"/>
    </row>
    <row r="19908">
      <c r="N19908" s="28"/>
      <c r="O19908" s="28"/>
      <c r="U19908" s="28"/>
    </row>
    <row r="19909">
      <c r="N19909" s="28"/>
      <c r="O19909" s="28"/>
      <c r="U19909" s="28"/>
    </row>
    <row r="19910">
      <c r="N19910" s="28"/>
      <c r="O19910" s="28"/>
      <c r="U19910" s="28"/>
    </row>
    <row r="19911">
      <c r="N19911" s="28"/>
      <c r="O19911" s="28"/>
      <c r="U19911" s="28"/>
    </row>
    <row r="19912">
      <c r="N19912" s="28"/>
      <c r="O19912" s="28"/>
      <c r="U19912" s="28"/>
    </row>
    <row r="19913">
      <c r="N19913" s="28"/>
      <c r="O19913" s="28"/>
      <c r="U19913" s="28"/>
    </row>
    <row r="19914">
      <c r="N19914" s="28"/>
      <c r="O19914" s="28"/>
      <c r="U19914" s="28"/>
    </row>
    <row r="19915">
      <c r="N19915" s="28"/>
      <c r="O19915" s="28"/>
      <c r="U19915" s="28"/>
    </row>
    <row r="19916">
      <c r="N19916" s="28"/>
      <c r="O19916" s="28"/>
      <c r="U19916" s="28"/>
    </row>
    <row r="19917">
      <c r="N19917" s="28"/>
      <c r="O19917" s="28"/>
      <c r="U19917" s="28"/>
    </row>
    <row r="19918">
      <c r="N19918" s="28"/>
      <c r="O19918" s="28"/>
      <c r="U19918" s="28"/>
    </row>
    <row r="19919">
      <c r="N19919" s="28"/>
      <c r="O19919" s="28"/>
      <c r="U19919" s="28"/>
    </row>
    <row r="19920">
      <c r="N19920" s="28"/>
      <c r="O19920" s="28"/>
      <c r="U19920" s="28"/>
    </row>
    <row r="19921">
      <c r="N19921" s="28"/>
      <c r="O19921" s="28"/>
      <c r="U19921" s="28"/>
    </row>
    <row r="19922">
      <c r="N19922" s="28"/>
      <c r="O19922" s="28"/>
      <c r="U19922" s="28"/>
    </row>
    <row r="19923">
      <c r="N19923" s="28"/>
      <c r="O19923" s="28"/>
      <c r="U19923" s="28"/>
    </row>
    <row r="19924">
      <c r="N19924" s="28"/>
      <c r="O19924" s="28"/>
      <c r="U19924" s="28"/>
    </row>
    <row r="19925">
      <c r="N19925" s="28"/>
      <c r="O19925" s="28"/>
      <c r="U19925" s="28"/>
    </row>
    <row r="19926">
      <c r="N19926" s="28"/>
      <c r="O19926" s="28"/>
      <c r="U19926" s="28"/>
    </row>
    <row r="19927">
      <c r="N19927" s="28"/>
      <c r="O19927" s="28"/>
      <c r="U19927" s="28"/>
    </row>
    <row r="19928">
      <c r="N19928" s="28"/>
      <c r="O19928" s="28"/>
      <c r="U19928" s="28"/>
    </row>
    <row r="19929">
      <c r="N19929" s="28"/>
      <c r="O19929" s="28"/>
      <c r="U19929" s="28"/>
    </row>
    <row r="19930">
      <c r="N19930" s="28"/>
      <c r="O19930" s="28"/>
      <c r="U19930" s="28"/>
    </row>
    <row r="19931">
      <c r="N19931" s="28"/>
      <c r="O19931" s="28"/>
      <c r="U19931" s="28"/>
    </row>
    <row r="19932">
      <c r="N19932" s="28"/>
      <c r="O19932" s="28"/>
      <c r="U19932" s="28"/>
    </row>
    <row r="19933">
      <c r="N19933" s="28"/>
      <c r="O19933" s="28"/>
      <c r="U19933" s="28"/>
    </row>
    <row r="19934">
      <c r="N19934" s="28"/>
      <c r="O19934" s="28"/>
      <c r="U19934" s="28"/>
    </row>
    <row r="19935">
      <c r="N19935" s="28"/>
      <c r="O19935" s="28"/>
      <c r="U19935" s="28"/>
    </row>
    <row r="19936">
      <c r="N19936" s="28"/>
      <c r="O19936" s="28"/>
      <c r="U19936" s="28"/>
    </row>
    <row r="19937">
      <c r="N19937" s="28"/>
      <c r="O19937" s="28"/>
      <c r="U19937" s="28"/>
    </row>
    <row r="19938">
      <c r="N19938" s="28"/>
      <c r="O19938" s="28"/>
      <c r="U19938" s="28"/>
    </row>
    <row r="19939">
      <c r="N19939" s="28"/>
      <c r="O19939" s="28"/>
      <c r="U19939" s="28"/>
    </row>
    <row r="19940">
      <c r="N19940" s="28"/>
      <c r="O19940" s="28"/>
      <c r="U19940" s="28"/>
    </row>
    <row r="19941">
      <c r="N19941" s="28"/>
      <c r="O19941" s="28"/>
      <c r="U19941" s="28"/>
    </row>
    <row r="19942">
      <c r="N19942" s="28"/>
      <c r="O19942" s="28"/>
      <c r="U19942" s="28"/>
    </row>
    <row r="19943">
      <c r="N19943" s="28"/>
      <c r="O19943" s="28"/>
      <c r="U19943" s="28"/>
    </row>
    <row r="19944">
      <c r="N19944" s="28"/>
      <c r="O19944" s="28"/>
      <c r="U19944" s="28"/>
    </row>
    <row r="19945">
      <c r="N19945" s="28"/>
      <c r="O19945" s="28"/>
      <c r="U19945" s="28"/>
    </row>
    <row r="19946">
      <c r="N19946" s="28"/>
      <c r="O19946" s="28"/>
      <c r="U19946" s="28"/>
    </row>
    <row r="19947">
      <c r="N19947" s="28"/>
      <c r="O19947" s="28"/>
      <c r="U19947" s="28"/>
    </row>
    <row r="19948">
      <c r="N19948" s="28"/>
      <c r="O19948" s="28"/>
      <c r="U19948" s="28"/>
    </row>
    <row r="19949">
      <c r="N19949" s="28"/>
      <c r="O19949" s="28"/>
      <c r="U19949" s="28"/>
    </row>
    <row r="19950">
      <c r="N19950" s="28"/>
      <c r="O19950" s="28"/>
      <c r="U19950" s="28"/>
    </row>
    <row r="19951">
      <c r="N19951" s="28"/>
      <c r="O19951" s="28"/>
      <c r="U19951" s="28"/>
    </row>
    <row r="19952">
      <c r="N19952" s="28"/>
      <c r="O19952" s="28"/>
      <c r="U19952" s="28"/>
    </row>
    <row r="19953">
      <c r="N19953" s="28"/>
      <c r="O19953" s="28"/>
      <c r="U19953" s="28"/>
    </row>
    <row r="19954">
      <c r="N19954" s="28"/>
      <c r="O19954" s="28"/>
      <c r="U19954" s="28"/>
    </row>
    <row r="19955">
      <c r="N19955" s="28"/>
      <c r="O19955" s="28"/>
      <c r="U19955" s="28"/>
    </row>
    <row r="19956">
      <c r="N19956" s="28"/>
      <c r="O19956" s="28"/>
      <c r="U19956" s="28"/>
    </row>
    <row r="19957">
      <c r="N19957" s="28"/>
      <c r="O19957" s="28"/>
      <c r="U19957" s="28"/>
    </row>
    <row r="19958">
      <c r="N19958" s="28"/>
      <c r="O19958" s="28"/>
      <c r="U19958" s="28"/>
    </row>
    <row r="19959">
      <c r="N19959" s="28"/>
      <c r="O19959" s="28"/>
      <c r="U19959" s="28"/>
    </row>
    <row r="19960">
      <c r="N19960" s="28"/>
      <c r="O19960" s="28"/>
      <c r="U19960" s="28"/>
    </row>
    <row r="19961">
      <c r="N19961" s="28"/>
      <c r="O19961" s="28"/>
      <c r="U19961" s="28"/>
    </row>
    <row r="19962">
      <c r="N19962" s="28"/>
      <c r="O19962" s="28"/>
      <c r="U19962" s="28"/>
    </row>
    <row r="19963">
      <c r="N19963" s="28"/>
      <c r="O19963" s="28"/>
      <c r="U19963" s="28"/>
    </row>
    <row r="19964">
      <c r="N19964" s="28"/>
      <c r="O19964" s="28"/>
      <c r="U19964" s="28"/>
    </row>
    <row r="19965">
      <c r="N19965" s="28"/>
      <c r="O19965" s="28"/>
      <c r="U19965" s="28"/>
    </row>
    <row r="19966">
      <c r="N19966" s="28"/>
      <c r="O19966" s="28"/>
      <c r="U19966" s="28"/>
    </row>
    <row r="19967">
      <c r="N19967" s="28"/>
      <c r="O19967" s="28"/>
      <c r="U19967" s="28"/>
    </row>
    <row r="19968">
      <c r="N19968" s="28"/>
      <c r="O19968" s="28"/>
      <c r="U19968" s="28"/>
    </row>
    <row r="19969">
      <c r="N19969" s="28"/>
      <c r="O19969" s="28"/>
      <c r="U19969" s="28"/>
    </row>
    <row r="19970">
      <c r="N19970" s="28"/>
      <c r="O19970" s="28"/>
      <c r="U19970" s="28"/>
    </row>
    <row r="19971">
      <c r="N19971" s="28"/>
      <c r="O19971" s="28"/>
      <c r="U19971" s="28"/>
    </row>
    <row r="19972">
      <c r="N19972" s="28"/>
      <c r="O19972" s="28"/>
      <c r="U19972" s="28"/>
    </row>
    <row r="19973">
      <c r="N19973" s="28"/>
      <c r="O19973" s="28"/>
      <c r="U19973" s="28"/>
    </row>
    <row r="19974">
      <c r="N19974" s="28"/>
      <c r="O19974" s="28"/>
      <c r="U19974" s="28"/>
    </row>
    <row r="19975">
      <c r="N19975" s="28"/>
      <c r="O19975" s="28"/>
      <c r="U19975" s="28"/>
    </row>
    <row r="19976">
      <c r="N19976" s="28"/>
      <c r="O19976" s="28"/>
      <c r="U19976" s="28"/>
    </row>
    <row r="19977">
      <c r="N19977" s="28"/>
      <c r="O19977" s="28"/>
      <c r="U19977" s="28"/>
    </row>
    <row r="19978">
      <c r="N19978" s="28"/>
      <c r="O19978" s="28"/>
      <c r="U19978" s="28"/>
    </row>
    <row r="19979">
      <c r="N19979" s="28"/>
      <c r="O19979" s="28"/>
      <c r="U19979" s="28"/>
    </row>
    <row r="19980">
      <c r="N19980" s="28"/>
      <c r="O19980" s="28"/>
      <c r="U19980" s="28"/>
    </row>
    <row r="19981">
      <c r="N19981" s="28"/>
      <c r="O19981" s="28"/>
      <c r="U19981" s="28"/>
    </row>
    <row r="19982">
      <c r="N19982" s="28"/>
      <c r="O19982" s="28"/>
      <c r="U19982" s="28"/>
    </row>
    <row r="19983">
      <c r="N19983" s="28"/>
      <c r="O19983" s="28"/>
      <c r="U19983" s="28"/>
    </row>
    <row r="19984">
      <c r="N19984" s="28"/>
      <c r="O19984" s="28"/>
      <c r="U19984" s="28"/>
    </row>
    <row r="19985">
      <c r="N19985" s="28"/>
      <c r="O19985" s="28"/>
      <c r="U19985" s="28"/>
    </row>
    <row r="19986">
      <c r="N19986" s="28"/>
      <c r="O19986" s="28"/>
      <c r="U19986" s="28"/>
    </row>
    <row r="19987">
      <c r="N19987" s="28"/>
      <c r="O19987" s="28"/>
      <c r="U19987" s="28"/>
    </row>
    <row r="19988">
      <c r="N19988" s="28"/>
      <c r="O19988" s="28"/>
      <c r="U19988" s="28"/>
    </row>
    <row r="19989">
      <c r="N19989" s="28"/>
      <c r="O19989" s="28"/>
      <c r="U19989" s="28"/>
    </row>
    <row r="19990">
      <c r="N19990" s="28"/>
      <c r="O19990" s="28"/>
      <c r="U19990" s="28"/>
    </row>
    <row r="19991">
      <c r="N19991" s="28"/>
      <c r="O19991" s="28"/>
      <c r="U19991" s="28"/>
    </row>
    <row r="19992">
      <c r="N19992" s="28"/>
      <c r="O19992" s="28"/>
      <c r="U19992" s="28"/>
    </row>
    <row r="19993">
      <c r="N19993" s="28"/>
      <c r="O19993" s="28"/>
      <c r="U19993" s="28"/>
    </row>
    <row r="19994">
      <c r="N19994" s="28"/>
      <c r="O19994" s="28"/>
      <c r="U19994" s="28"/>
    </row>
    <row r="19995">
      <c r="N19995" s="28"/>
      <c r="O19995" s="28"/>
      <c r="U19995" s="28"/>
    </row>
    <row r="19996">
      <c r="N19996" s="28"/>
      <c r="O19996" s="28"/>
      <c r="U19996" s="28"/>
    </row>
    <row r="19997">
      <c r="N19997" s="28"/>
      <c r="O19997" s="28"/>
      <c r="U19997" s="28"/>
    </row>
    <row r="19998">
      <c r="N19998" s="28"/>
      <c r="O19998" s="28"/>
      <c r="U19998" s="28"/>
    </row>
    <row r="19999">
      <c r="N19999" s="28"/>
      <c r="O19999" s="28"/>
      <c r="U19999" s="28"/>
    </row>
    <row r="20000">
      <c r="N20000" s="28"/>
      <c r="O20000" s="28"/>
      <c r="U20000" s="28"/>
    </row>
    <row r="20001">
      <c r="N20001" s="28"/>
      <c r="O20001" s="28"/>
      <c r="U20001" s="28"/>
    </row>
    <row r="20002">
      <c r="N20002" s="28"/>
      <c r="O20002" s="28"/>
      <c r="U20002" s="28"/>
    </row>
    <row r="20003">
      <c r="N20003" s="28"/>
      <c r="O20003" s="28"/>
      <c r="U20003" s="28"/>
    </row>
    <row r="20004">
      <c r="N20004" s="28"/>
      <c r="O20004" s="28"/>
      <c r="U20004" s="28"/>
    </row>
    <row r="20005">
      <c r="N20005" s="28"/>
      <c r="O20005" s="28"/>
      <c r="U20005" s="28"/>
    </row>
    <row r="20006">
      <c r="N20006" s="28"/>
      <c r="O20006" s="28"/>
      <c r="U20006" s="28"/>
    </row>
    <row r="20007">
      <c r="N20007" s="28"/>
      <c r="O20007" s="28"/>
      <c r="U20007" s="28"/>
    </row>
    <row r="20008">
      <c r="N20008" s="28"/>
      <c r="O20008" s="28"/>
      <c r="U20008" s="28"/>
    </row>
    <row r="20009">
      <c r="N20009" s="28"/>
      <c r="O20009" s="28"/>
      <c r="U20009" s="28"/>
    </row>
    <row r="20010">
      <c r="N20010" s="28"/>
      <c r="O20010" s="28"/>
      <c r="U20010" s="28"/>
    </row>
    <row r="20011">
      <c r="N20011" s="28"/>
      <c r="O20011" s="28"/>
      <c r="U20011" s="28"/>
    </row>
    <row r="20012">
      <c r="N20012" s="28"/>
      <c r="O20012" s="28"/>
      <c r="U20012" s="28"/>
    </row>
    <row r="20013">
      <c r="N20013" s="28"/>
      <c r="O20013" s="28"/>
      <c r="U20013" s="28"/>
    </row>
    <row r="20014">
      <c r="N20014" s="28"/>
      <c r="O20014" s="28"/>
      <c r="U20014" s="28"/>
    </row>
    <row r="20015">
      <c r="N20015" s="28"/>
      <c r="O20015" s="28"/>
      <c r="U20015" s="28"/>
    </row>
    <row r="20016">
      <c r="N20016" s="28"/>
      <c r="O20016" s="28"/>
      <c r="U20016" s="28"/>
    </row>
    <row r="20017">
      <c r="N20017" s="28"/>
      <c r="O20017" s="28"/>
      <c r="U20017" s="28"/>
    </row>
    <row r="20018">
      <c r="N20018" s="28"/>
      <c r="O20018" s="28"/>
      <c r="U20018" s="28"/>
    </row>
    <row r="20019">
      <c r="N20019" s="28"/>
      <c r="O20019" s="28"/>
      <c r="U20019" s="28"/>
    </row>
    <row r="20020">
      <c r="N20020" s="28"/>
      <c r="O20020" s="28"/>
      <c r="U20020" s="28"/>
    </row>
    <row r="20021">
      <c r="N20021" s="28"/>
      <c r="O20021" s="28"/>
      <c r="U20021" s="28"/>
    </row>
    <row r="20022">
      <c r="N20022" s="28"/>
      <c r="O20022" s="28"/>
      <c r="U20022" s="28"/>
    </row>
    <row r="20023">
      <c r="N20023" s="28"/>
      <c r="O20023" s="28"/>
      <c r="U20023" s="28"/>
    </row>
    <row r="20024">
      <c r="N20024" s="28"/>
      <c r="O20024" s="28"/>
      <c r="U20024" s="28"/>
    </row>
    <row r="20025">
      <c r="N20025" s="28"/>
      <c r="O20025" s="28"/>
      <c r="U20025" s="28"/>
    </row>
    <row r="20026">
      <c r="N20026" s="28"/>
      <c r="O20026" s="28"/>
      <c r="U20026" s="28"/>
    </row>
    <row r="20027">
      <c r="N20027" s="28"/>
      <c r="O20027" s="28"/>
      <c r="U20027" s="28"/>
    </row>
    <row r="20028">
      <c r="N20028" s="28"/>
      <c r="O20028" s="28"/>
      <c r="U20028" s="28"/>
    </row>
    <row r="20029">
      <c r="N20029" s="28"/>
      <c r="O20029" s="28"/>
      <c r="U20029" s="28"/>
    </row>
    <row r="20030">
      <c r="N20030" s="28"/>
      <c r="O20030" s="28"/>
      <c r="U20030" s="28"/>
    </row>
    <row r="20031">
      <c r="N20031" s="28"/>
      <c r="O20031" s="28"/>
      <c r="U20031" s="28"/>
    </row>
    <row r="20032">
      <c r="N20032" s="28"/>
      <c r="O20032" s="28"/>
      <c r="U20032" s="28"/>
    </row>
    <row r="20033">
      <c r="N20033" s="28"/>
      <c r="O20033" s="28"/>
      <c r="U20033" s="28"/>
    </row>
    <row r="20034">
      <c r="N20034" s="28"/>
      <c r="O20034" s="28"/>
      <c r="U20034" s="28"/>
    </row>
    <row r="20035">
      <c r="N20035" s="28"/>
      <c r="O20035" s="28"/>
      <c r="U20035" s="28"/>
    </row>
    <row r="20036">
      <c r="N20036" s="28"/>
      <c r="O20036" s="28"/>
      <c r="U20036" s="28"/>
    </row>
    <row r="20037">
      <c r="N20037" s="28"/>
      <c r="O20037" s="28"/>
      <c r="U20037" s="28"/>
    </row>
    <row r="20038">
      <c r="N20038" s="28"/>
      <c r="O20038" s="28"/>
      <c r="U20038" s="28"/>
    </row>
    <row r="20039">
      <c r="N20039" s="28"/>
      <c r="O20039" s="28"/>
      <c r="U20039" s="28"/>
    </row>
    <row r="20040">
      <c r="N20040" s="28"/>
      <c r="O20040" s="28"/>
      <c r="U20040" s="28"/>
    </row>
    <row r="20041">
      <c r="N20041" s="28"/>
      <c r="O20041" s="28"/>
      <c r="U20041" s="28"/>
    </row>
    <row r="20042">
      <c r="N20042" s="28"/>
      <c r="O20042" s="28"/>
      <c r="U20042" s="28"/>
    </row>
    <row r="20043">
      <c r="N20043" s="28"/>
      <c r="O20043" s="28"/>
      <c r="U20043" s="28"/>
    </row>
    <row r="20044">
      <c r="N20044" s="28"/>
      <c r="O20044" s="28"/>
      <c r="U20044" s="28"/>
    </row>
    <row r="20045">
      <c r="N20045" s="28"/>
      <c r="O20045" s="28"/>
      <c r="U20045" s="28"/>
    </row>
    <row r="20046">
      <c r="N20046" s="28"/>
      <c r="O20046" s="28"/>
      <c r="U20046" s="28"/>
    </row>
    <row r="20047">
      <c r="N20047" s="28"/>
      <c r="O20047" s="28"/>
      <c r="U20047" s="28"/>
    </row>
    <row r="20048">
      <c r="N20048" s="28"/>
      <c r="O20048" s="28"/>
      <c r="U20048" s="28"/>
    </row>
    <row r="20049">
      <c r="N20049" s="28"/>
      <c r="O20049" s="28"/>
      <c r="U20049" s="28"/>
    </row>
    <row r="20050">
      <c r="N20050" s="28"/>
      <c r="O20050" s="28"/>
      <c r="U20050" s="28"/>
    </row>
    <row r="20051">
      <c r="N20051" s="28"/>
      <c r="O20051" s="28"/>
      <c r="U20051" s="28"/>
    </row>
    <row r="20052">
      <c r="N20052" s="28"/>
      <c r="O20052" s="28"/>
      <c r="U20052" s="28"/>
    </row>
    <row r="20053">
      <c r="N20053" s="28"/>
      <c r="O20053" s="28"/>
      <c r="U20053" s="28"/>
    </row>
    <row r="20054">
      <c r="N20054" s="28"/>
      <c r="O20054" s="28"/>
      <c r="U20054" s="28"/>
    </row>
    <row r="20055">
      <c r="N20055" s="28"/>
      <c r="O20055" s="28"/>
      <c r="U20055" s="28"/>
    </row>
    <row r="20056">
      <c r="N20056" s="28"/>
      <c r="O20056" s="28"/>
      <c r="U20056" s="28"/>
    </row>
    <row r="20057">
      <c r="N20057" s="28"/>
      <c r="O20057" s="28"/>
      <c r="U20057" s="28"/>
    </row>
    <row r="20058">
      <c r="N20058" s="28"/>
      <c r="O20058" s="28"/>
      <c r="U20058" s="28"/>
    </row>
    <row r="20059">
      <c r="N20059" s="28"/>
      <c r="O20059" s="28"/>
      <c r="U20059" s="28"/>
    </row>
    <row r="20060">
      <c r="N20060" s="28"/>
      <c r="O20060" s="28"/>
      <c r="U20060" s="28"/>
    </row>
    <row r="20061">
      <c r="N20061" s="28"/>
      <c r="O20061" s="28"/>
      <c r="U20061" s="28"/>
    </row>
    <row r="20062">
      <c r="N20062" s="28"/>
      <c r="O20062" s="28"/>
      <c r="U20062" s="28"/>
    </row>
    <row r="20063">
      <c r="N20063" s="28"/>
      <c r="O20063" s="28"/>
      <c r="U20063" s="28"/>
    </row>
    <row r="20064">
      <c r="N20064" s="28"/>
      <c r="O20064" s="28"/>
      <c r="U20064" s="28"/>
    </row>
    <row r="20065">
      <c r="N20065" s="28"/>
      <c r="O20065" s="28"/>
      <c r="U20065" s="28"/>
    </row>
    <row r="20066">
      <c r="N20066" s="28"/>
      <c r="O20066" s="28"/>
      <c r="U20066" s="28"/>
    </row>
    <row r="20067">
      <c r="N20067" s="28"/>
      <c r="O20067" s="28"/>
      <c r="U20067" s="28"/>
    </row>
    <row r="20068">
      <c r="N20068" s="28"/>
      <c r="O20068" s="28"/>
      <c r="U20068" s="28"/>
    </row>
    <row r="20069">
      <c r="N20069" s="28"/>
      <c r="O20069" s="28"/>
      <c r="U20069" s="28"/>
    </row>
    <row r="20070">
      <c r="N20070" s="28"/>
      <c r="O20070" s="28"/>
      <c r="U20070" s="28"/>
    </row>
    <row r="20071">
      <c r="N20071" s="28"/>
      <c r="O20071" s="28"/>
      <c r="U20071" s="28"/>
    </row>
    <row r="20072">
      <c r="N20072" s="28"/>
      <c r="O20072" s="28"/>
      <c r="U20072" s="28"/>
    </row>
    <row r="20073">
      <c r="N20073" s="28"/>
      <c r="O20073" s="28"/>
      <c r="U20073" s="28"/>
    </row>
    <row r="20074">
      <c r="N20074" s="28"/>
      <c r="O20074" s="28"/>
      <c r="U20074" s="28"/>
    </row>
    <row r="20075">
      <c r="N20075" s="28"/>
      <c r="O20075" s="28"/>
      <c r="U20075" s="28"/>
    </row>
    <row r="20076">
      <c r="N20076" s="28"/>
      <c r="O20076" s="28"/>
      <c r="U20076" s="28"/>
    </row>
    <row r="20077">
      <c r="N20077" s="28"/>
      <c r="O20077" s="28"/>
      <c r="U20077" s="28"/>
    </row>
    <row r="20078">
      <c r="N20078" s="28"/>
      <c r="O20078" s="28"/>
      <c r="U20078" s="28"/>
    </row>
    <row r="20079">
      <c r="N20079" s="28"/>
      <c r="O20079" s="28"/>
      <c r="U20079" s="28"/>
    </row>
    <row r="20080">
      <c r="N20080" s="28"/>
      <c r="O20080" s="28"/>
      <c r="U20080" s="28"/>
    </row>
    <row r="20081">
      <c r="N20081" s="28"/>
      <c r="O20081" s="28"/>
      <c r="U20081" s="28"/>
    </row>
    <row r="20082">
      <c r="N20082" s="28"/>
      <c r="O20082" s="28"/>
      <c r="U20082" s="28"/>
    </row>
    <row r="20083">
      <c r="N20083" s="28"/>
      <c r="O20083" s="28"/>
      <c r="U20083" s="28"/>
    </row>
    <row r="20084">
      <c r="N20084" s="28"/>
      <c r="O20084" s="28"/>
      <c r="U20084" s="28"/>
    </row>
    <row r="20085">
      <c r="N20085" s="28"/>
      <c r="O20085" s="28"/>
      <c r="U20085" s="28"/>
    </row>
    <row r="20086">
      <c r="N20086" s="28"/>
      <c r="O20086" s="28"/>
      <c r="U20086" s="28"/>
    </row>
    <row r="20087">
      <c r="N20087" s="28"/>
      <c r="O20087" s="28"/>
      <c r="U20087" s="28"/>
    </row>
    <row r="20088">
      <c r="N20088" s="28"/>
      <c r="O20088" s="28"/>
      <c r="U20088" s="28"/>
    </row>
    <row r="20089">
      <c r="N20089" s="28"/>
      <c r="O20089" s="28"/>
      <c r="U20089" s="28"/>
    </row>
    <row r="20090">
      <c r="N20090" s="28"/>
      <c r="O20090" s="28"/>
      <c r="U20090" s="28"/>
    </row>
    <row r="20091">
      <c r="N20091" s="28"/>
      <c r="O20091" s="28"/>
      <c r="U20091" s="28"/>
    </row>
    <row r="20092">
      <c r="N20092" s="28"/>
      <c r="O20092" s="28"/>
      <c r="U20092" s="28"/>
    </row>
    <row r="20093">
      <c r="N20093" s="28"/>
      <c r="O20093" s="28"/>
      <c r="U20093" s="28"/>
    </row>
    <row r="20094">
      <c r="N20094" s="28"/>
      <c r="O20094" s="28"/>
      <c r="U20094" s="28"/>
    </row>
    <row r="20095">
      <c r="N20095" s="28"/>
      <c r="O20095" s="28"/>
      <c r="U20095" s="28"/>
    </row>
    <row r="20096">
      <c r="N20096" s="28"/>
      <c r="O20096" s="28"/>
      <c r="U20096" s="28"/>
    </row>
    <row r="20097">
      <c r="N20097" s="28"/>
      <c r="O20097" s="28"/>
      <c r="U20097" s="28"/>
    </row>
    <row r="20098">
      <c r="N20098" s="28"/>
      <c r="O20098" s="28"/>
      <c r="U20098" s="28"/>
    </row>
    <row r="20099">
      <c r="N20099" s="28"/>
      <c r="O20099" s="28"/>
      <c r="U20099" s="28"/>
    </row>
    <row r="20100">
      <c r="N20100" s="28"/>
      <c r="O20100" s="28"/>
      <c r="U20100" s="28"/>
    </row>
    <row r="20101">
      <c r="N20101" s="28"/>
      <c r="O20101" s="28"/>
      <c r="U20101" s="28"/>
    </row>
    <row r="20102">
      <c r="N20102" s="28"/>
      <c r="O20102" s="28"/>
      <c r="U20102" s="28"/>
    </row>
    <row r="20103">
      <c r="N20103" s="28"/>
      <c r="O20103" s="28"/>
      <c r="U20103" s="28"/>
    </row>
    <row r="20104">
      <c r="N20104" s="28"/>
      <c r="O20104" s="28"/>
      <c r="U20104" s="28"/>
    </row>
    <row r="20105">
      <c r="N20105" s="28"/>
      <c r="O20105" s="28"/>
      <c r="U20105" s="28"/>
    </row>
    <row r="20106">
      <c r="N20106" s="28"/>
      <c r="O20106" s="28"/>
      <c r="U20106" s="28"/>
    </row>
    <row r="20107">
      <c r="N20107" s="28"/>
      <c r="O20107" s="28"/>
      <c r="U20107" s="28"/>
    </row>
    <row r="20108">
      <c r="N20108" s="28"/>
      <c r="O20108" s="28"/>
      <c r="U20108" s="28"/>
    </row>
    <row r="20109">
      <c r="N20109" s="28"/>
      <c r="O20109" s="28"/>
      <c r="U20109" s="28"/>
    </row>
    <row r="20110">
      <c r="N20110" s="28"/>
      <c r="O20110" s="28"/>
      <c r="U20110" s="28"/>
    </row>
    <row r="20111">
      <c r="N20111" s="28"/>
      <c r="O20111" s="28"/>
      <c r="U20111" s="28"/>
    </row>
    <row r="20112">
      <c r="N20112" s="28"/>
      <c r="O20112" s="28"/>
      <c r="U20112" s="28"/>
    </row>
    <row r="20113">
      <c r="N20113" s="28"/>
      <c r="O20113" s="28"/>
      <c r="U20113" s="28"/>
    </row>
    <row r="20114">
      <c r="N20114" s="28"/>
      <c r="O20114" s="28"/>
      <c r="U20114" s="28"/>
    </row>
    <row r="20115">
      <c r="N20115" s="28"/>
      <c r="O20115" s="28"/>
      <c r="U20115" s="28"/>
    </row>
    <row r="20116">
      <c r="N20116" s="28"/>
      <c r="O20116" s="28"/>
      <c r="U20116" s="28"/>
    </row>
    <row r="20117">
      <c r="N20117" s="28"/>
      <c r="O20117" s="28"/>
      <c r="U20117" s="28"/>
    </row>
    <row r="20118">
      <c r="N20118" s="28"/>
      <c r="O20118" s="28"/>
      <c r="U20118" s="28"/>
    </row>
    <row r="20119">
      <c r="N20119" s="28"/>
      <c r="O20119" s="28"/>
      <c r="U20119" s="28"/>
    </row>
    <row r="20120">
      <c r="N20120" s="28"/>
      <c r="O20120" s="28"/>
      <c r="U20120" s="28"/>
    </row>
    <row r="20121">
      <c r="N20121" s="28"/>
      <c r="O20121" s="28"/>
      <c r="U20121" s="28"/>
    </row>
    <row r="20122">
      <c r="N20122" s="28"/>
      <c r="O20122" s="28"/>
      <c r="U20122" s="28"/>
    </row>
    <row r="20123">
      <c r="N20123" s="28"/>
      <c r="O20123" s="28"/>
      <c r="U20123" s="28"/>
    </row>
    <row r="20124">
      <c r="N20124" s="28"/>
      <c r="O20124" s="28"/>
      <c r="U20124" s="28"/>
    </row>
    <row r="20125">
      <c r="N20125" s="28"/>
      <c r="O20125" s="28"/>
      <c r="U20125" s="28"/>
    </row>
    <row r="20126">
      <c r="N20126" s="28"/>
      <c r="O20126" s="28"/>
      <c r="U20126" s="28"/>
    </row>
    <row r="20127">
      <c r="N20127" s="28"/>
      <c r="O20127" s="28"/>
      <c r="U20127" s="28"/>
    </row>
    <row r="20128">
      <c r="N20128" s="28"/>
      <c r="O20128" s="28"/>
      <c r="U20128" s="28"/>
    </row>
    <row r="20129">
      <c r="N20129" s="28"/>
      <c r="O20129" s="28"/>
      <c r="U20129" s="28"/>
    </row>
    <row r="20130">
      <c r="N20130" s="28"/>
      <c r="O20130" s="28"/>
      <c r="U20130" s="28"/>
    </row>
    <row r="20131">
      <c r="N20131" s="28"/>
      <c r="O20131" s="28"/>
      <c r="U20131" s="28"/>
    </row>
    <row r="20132">
      <c r="N20132" s="28"/>
      <c r="O20132" s="28"/>
      <c r="U20132" s="28"/>
    </row>
    <row r="20133">
      <c r="N20133" s="28"/>
      <c r="O20133" s="28"/>
      <c r="U20133" s="28"/>
    </row>
    <row r="20134">
      <c r="N20134" s="28"/>
      <c r="O20134" s="28"/>
      <c r="U20134" s="28"/>
    </row>
    <row r="20135">
      <c r="N20135" s="28"/>
      <c r="O20135" s="28"/>
      <c r="U20135" s="28"/>
    </row>
    <row r="20136">
      <c r="N20136" s="28"/>
      <c r="O20136" s="28"/>
      <c r="U20136" s="28"/>
    </row>
    <row r="20137">
      <c r="N20137" s="28"/>
      <c r="O20137" s="28"/>
      <c r="U20137" s="28"/>
    </row>
    <row r="20138">
      <c r="N20138" s="28"/>
      <c r="O20138" s="28"/>
      <c r="U20138" s="28"/>
    </row>
    <row r="20139">
      <c r="N20139" s="28"/>
      <c r="O20139" s="28"/>
      <c r="U20139" s="28"/>
    </row>
    <row r="20140">
      <c r="N20140" s="28"/>
      <c r="O20140" s="28"/>
      <c r="U20140" s="28"/>
    </row>
    <row r="20141">
      <c r="N20141" s="28"/>
      <c r="O20141" s="28"/>
      <c r="U20141" s="28"/>
    </row>
    <row r="20142">
      <c r="N20142" s="28"/>
      <c r="O20142" s="28"/>
      <c r="U20142" s="28"/>
    </row>
    <row r="20143">
      <c r="N20143" s="28"/>
      <c r="O20143" s="28"/>
      <c r="U20143" s="28"/>
    </row>
    <row r="20144">
      <c r="N20144" s="28"/>
      <c r="O20144" s="28"/>
      <c r="U20144" s="28"/>
    </row>
    <row r="20145">
      <c r="N20145" s="28"/>
      <c r="O20145" s="28"/>
      <c r="U20145" s="28"/>
    </row>
    <row r="20146">
      <c r="N20146" s="28"/>
      <c r="O20146" s="28"/>
      <c r="U20146" s="28"/>
    </row>
    <row r="20147">
      <c r="N20147" s="28"/>
      <c r="O20147" s="28"/>
      <c r="U20147" s="28"/>
    </row>
    <row r="20148">
      <c r="N20148" s="28"/>
      <c r="O20148" s="28"/>
      <c r="U20148" s="28"/>
    </row>
    <row r="20149">
      <c r="N20149" s="28"/>
      <c r="O20149" s="28"/>
      <c r="U20149" s="28"/>
    </row>
    <row r="20150">
      <c r="N20150" s="28"/>
      <c r="O20150" s="28"/>
      <c r="U20150" s="28"/>
    </row>
    <row r="20151">
      <c r="N20151" s="28"/>
      <c r="O20151" s="28"/>
      <c r="U20151" s="28"/>
    </row>
    <row r="20152">
      <c r="N20152" s="28"/>
      <c r="O20152" s="28"/>
      <c r="U20152" s="28"/>
    </row>
    <row r="20153">
      <c r="N20153" s="28"/>
      <c r="O20153" s="28"/>
      <c r="U20153" s="28"/>
    </row>
    <row r="20154">
      <c r="N20154" s="28"/>
      <c r="O20154" s="28"/>
      <c r="U20154" s="28"/>
    </row>
    <row r="20155">
      <c r="N20155" s="28"/>
      <c r="O20155" s="28"/>
      <c r="U20155" s="28"/>
    </row>
    <row r="20156">
      <c r="N20156" s="28"/>
      <c r="O20156" s="28"/>
      <c r="U20156" s="28"/>
    </row>
    <row r="20157">
      <c r="N20157" s="28"/>
      <c r="O20157" s="28"/>
      <c r="U20157" s="28"/>
    </row>
    <row r="20158">
      <c r="N20158" s="28"/>
      <c r="O20158" s="28"/>
      <c r="U20158" s="28"/>
    </row>
    <row r="20159">
      <c r="N20159" s="28"/>
      <c r="O20159" s="28"/>
      <c r="U20159" s="28"/>
    </row>
    <row r="20160">
      <c r="N20160" s="28"/>
      <c r="O20160" s="28"/>
      <c r="U20160" s="28"/>
    </row>
    <row r="20161">
      <c r="N20161" s="28"/>
      <c r="O20161" s="28"/>
      <c r="U20161" s="28"/>
    </row>
    <row r="20162">
      <c r="N20162" s="28"/>
      <c r="O20162" s="28"/>
      <c r="U20162" s="28"/>
    </row>
    <row r="20163">
      <c r="N20163" s="28"/>
      <c r="O20163" s="28"/>
      <c r="U20163" s="28"/>
    </row>
    <row r="20164">
      <c r="N20164" s="28"/>
      <c r="O20164" s="28"/>
      <c r="U20164" s="28"/>
    </row>
    <row r="20165">
      <c r="N20165" s="28"/>
      <c r="O20165" s="28"/>
      <c r="U20165" s="28"/>
    </row>
    <row r="20166">
      <c r="N20166" s="28"/>
      <c r="O20166" s="28"/>
      <c r="U20166" s="28"/>
    </row>
    <row r="20167">
      <c r="N20167" s="28"/>
      <c r="O20167" s="28"/>
      <c r="U20167" s="28"/>
    </row>
    <row r="20168">
      <c r="N20168" s="28"/>
      <c r="O20168" s="28"/>
      <c r="U20168" s="28"/>
    </row>
    <row r="20169">
      <c r="N20169" s="28"/>
      <c r="O20169" s="28"/>
      <c r="U20169" s="28"/>
    </row>
    <row r="20170">
      <c r="N20170" s="28"/>
      <c r="O20170" s="28"/>
      <c r="U20170" s="28"/>
    </row>
    <row r="20171">
      <c r="N20171" s="28"/>
      <c r="O20171" s="28"/>
      <c r="U20171" s="28"/>
    </row>
    <row r="20172">
      <c r="N20172" s="28"/>
      <c r="O20172" s="28"/>
      <c r="U20172" s="28"/>
    </row>
    <row r="20173">
      <c r="N20173" s="28"/>
      <c r="O20173" s="28"/>
      <c r="U20173" s="28"/>
    </row>
    <row r="20174">
      <c r="N20174" s="28"/>
      <c r="O20174" s="28"/>
      <c r="U20174" s="28"/>
    </row>
    <row r="20175">
      <c r="N20175" s="28"/>
      <c r="O20175" s="28"/>
      <c r="U20175" s="28"/>
    </row>
    <row r="20176">
      <c r="N20176" s="28"/>
      <c r="O20176" s="28"/>
      <c r="U20176" s="28"/>
    </row>
    <row r="20177">
      <c r="N20177" s="28"/>
      <c r="O20177" s="28"/>
      <c r="U20177" s="28"/>
    </row>
    <row r="20178">
      <c r="N20178" s="28"/>
      <c r="O20178" s="28"/>
      <c r="U20178" s="28"/>
    </row>
    <row r="20179">
      <c r="N20179" s="28"/>
      <c r="O20179" s="28"/>
      <c r="U20179" s="28"/>
    </row>
    <row r="20180">
      <c r="N20180" s="28"/>
      <c r="O20180" s="28"/>
      <c r="U20180" s="28"/>
    </row>
    <row r="20181">
      <c r="N20181" s="28"/>
      <c r="O20181" s="28"/>
      <c r="U20181" s="28"/>
    </row>
    <row r="20182">
      <c r="N20182" s="28"/>
      <c r="O20182" s="28"/>
      <c r="U20182" s="28"/>
    </row>
    <row r="20183">
      <c r="N20183" s="28"/>
      <c r="O20183" s="28"/>
      <c r="U20183" s="28"/>
    </row>
    <row r="20184">
      <c r="N20184" s="28"/>
      <c r="O20184" s="28"/>
      <c r="U20184" s="28"/>
    </row>
    <row r="20185">
      <c r="N20185" s="28"/>
      <c r="O20185" s="28"/>
      <c r="U20185" s="28"/>
    </row>
    <row r="20186">
      <c r="N20186" s="28"/>
      <c r="O20186" s="28"/>
      <c r="U20186" s="28"/>
    </row>
    <row r="20187">
      <c r="N20187" s="28"/>
      <c r="O20187" s="28"/>
      <c r="U20187" s="28"/>
    </row>
    <row r="20188">
      <c r="N20188" s="28"/>
      <c r="O20188" s="28"/>
      <c r="U20188" s="28"/>
    </row>
    <row r="20189">
      <c r="N20189" s="28"/>
      <c r="O20189" s="28"/>
      <c r="U20189" s="28"/>
    </row>
    <row r="20190">
      <c r="N20190" s="28"/>
      <c r="O20190" s="28"/>
      <c r="U20190" s="28"/>
    </row>
    <row r="20191">
      <c r="N20191" s="28"/>
      <c r="O20191" s="28"/>
      <c r="U20191" s="28"/>
    </row>
    <row r="20192">
      <c r="N20192" s="28"/>
      <c r="O20192" s="28"/>
      <c r="U20192" s="28"/>
    </row>
    <row r="20193">
      <c r="N20193" s="28"/>
      <c r="O20193" s="28"/>
      <c r="U20193" s="28"/>
    </row>
    <row r="20194">
      <c r="N20194" s="28"/>
      <c r="O20194" s="28"/>
      <c r="U20194" s="28"/>
    </row>
    <row r="20195">
      <c r="N20195" s="28"/>
      <c r="O20195" s="28"/>
      <c r="U20195" s="28"/>
    </row>
    <row r="20196">
      <c r="N20196" s="28"/>
      <c r="O20196" s="28"/>
      <c r="U20196" s="28"/>
    </row>
    <row r="20197">
      <c r="N20197" s="28"/>
      <c r="O20197" s="28"/>
      <c r="U20197" s="28"/>
    </row>
    <row r="20198">
      <c r="N20198" s="28"/>
      <c r="O20198" s="28"/>
      <c r="U20198" s="28"/>
    </row>
    <row r="20199">
      <c r="N20199" s="28"/>
      <c r="O20199" s="28"/>
      <c r="U20199" s="28"/>
    </row>
    <row r="20200">
      <c r="N20200" s="28"/>
      <c r="O20200" s="28"/>
      <c r="U20200" s="28"/>
    </row>
    <row r="20201">
      <c r="N20201" s="28"/>
      <c r="O20201" s="28"/>
      <c r="U20201" s="28"/>
    </row>
    <row r="20202">
      <c r="N20202" s="28"/>
      <c r="O20202" s="28"/>
      <c r="U20202" s="28"/>
    </row>
    <row r="20203">
      <c r="N20203" s="28"/>
      <c r="O20203" s="28"/>
      <c r="U20203" s="28"/>
    </row>
    <row r="20204">
      <c r="N20204" s="28"/>
      <c r="O20204" s="28"/>
      <c r="U20204" s="28"/>
    </row>
    <row r="20205">
      <c r="N20205" s="28"/>
      <c r="O20205" s="28"/>
      <c r="U20205" s="28"/>
    </row>
    <row r="20206">
      <c r="N20206" s="28"/>
      <c r="O20206" s="28"/>
      <c r="U20206" s="28"/>
    </row>
    <row r="20207">
      <c r="N20207" s="28"/>
      <c r="O20207" s="28"/>
      <c r="U20207" s="28"/>
    </row>
    <row r="20208">
      <c r="N20208" s="28"/>
      <c r="O20208" s="28"/>
      <c r="U20208" s="28"/>
    </row>
    <row r="20209">
      <c r="N20209" s="28"/>
      <c r="O20209" s="28"/>
      <c r="U20209" s="28"/>
    </row>
    <row r="20210">
      <c r="N20210" s="28"/>
      <c r="O20210" s="28"/>
      <c r="U20210" s="28"/>
    </row>
    <row r="20211">
      <c r="N20211" s="28"/>
      <c r="O20211" s="28"/>
      <c r="U20211" s="28"/>
    </row>
    <row r="20212">
      <c r="N20212" s="28"/>
      <c r="O20212" s="28"/>
      <c r="U20212" s="28"/>
    </row>
    <row r="20213">
      <c r="N20213" s="28"/>
      <c r="O20213" s="28"/>
      <c r="U20213" s="28"/>
    </row>
    <row r="20214">
      <c r="N20214" s="28"/>
      <c r="O20214" s="28"/>
      <c r="U20214" s="28"/>
    </row>
    <row r="20215">
      <c r="N20215" s="28"/>
      <c r="O20215" s="28"/>
      <c r="U20215" s="28"/>
    </row>
    <row r="20216">
      <c r="N20216" s="28"/>
      <c r="O20216" s="28"/>
      <c r="U20216" s="28"/>
    </row>
    <row r="20217">
      <c r="N20217" s="28"/>
      <c r="O20217" s="28"/>
      <c r="U20217" s="28"/>
    </row>
    <row r="20218">
      <c r="N20218" s="28"/>
      <c r="O20218" s="28"/>
      <c r="U20218" s="28"/>
    </row>
    <row r="20219">
      <c r="N20219" s="28"/>
      <c r="O20219" s="28"/>
      <c r="U20219" s="28"/>
    </row>
    <row r="20220">
      <c r="N20220" s="28"/>
      <c r="O20220" s="28"/>
      <c r="U20220" s="28"/>
    </row>
    <row r="20221">
      <c r="N20221" s="28"/>
      <c r="O20221" s="28"/>
      <c r="U20221" s="28"/>
    </row>
    <row r="20222">
      <c r="N20222" s="28"/>
      <c r="O20222" s="28"/>
      <c r="U20222" s="28"/>
    </row>
    <row r="20223">
      <c r="N20223" s="28"/>
      <c r="O20223" s="28"/>
      <c r="U20223" s="28"/>
    </row>
    <row r="20224">
      <c r="N20224" s="28"/>
      <c r="O20224" s="28"/>
      <c r="U20224" s="28"/>
    </row>
    <row r="20225">
      <c r="N20225" s="28"/>
      <c r="O20225" s="28"/>
      <c r="U20225" s="28"/>
    </row>
    <row r="20226">
      <c r="N20226" s="28"/>
      <c r="O20226" s="28"/>
      <c r="U20226" s="28"/>
    </row>
    <row r="20227">
      <c r="N20227" s="28"/>
      <c r="O20227" s="28"/>
      <c r="U20227" s="28"/>
    </row>
    <row r="20228">
      <c r="N20228" s="28"/>
      <c r="O20228" s="28"/>
      <c r="U20228" s="28"/>
    </row>
    <row r="20229">
      <c r="N20229" s="28"/>
      <c r="O20229" s="28"/>
      <c r="U20229" s="28"/>
    </row>
    <row r="20230">
      <c r="N20230" s="28"/>
      <c r="O20230" s="28"/>
      <c r="U20230" s="28"/>
    </row>
    <row r="20231">
      <c r="N20231" s="28"/>
      <c r="O20231" s="28"/>
      <c r="U20231" s="28"/>
    </row>
    <row r="20232">
      <c r="N20232" s="28"/>
      <c r="O20232" s="28"/>
      <c r="U20232" s="28"/>
    </row>
    <row r="20233">
      <c r="N20233" s="28"/>
      <c r="O20233" s="28"/>
      <c r="U20233" s="28"/>
    </row>
    <row r="20234">
      <c r="N20234" s="28"/>
      <c r="O20234" s="28"/>
      <c r="U20234" s="28"/>
    </row>
    <row r="20235">
      <c r="N20235" s="28"/>
      <c r="O20235" s="28"/>
      <c r="U20235" s="28"/>
    </row>
    <row r="20236">
      <c r="N20236" s="28"/>
      <c r="O20236" s="28"/>
      <c r="U20236" s="28"/>
    </row>
    <row r="20237">
      <c r="N20237" s="28"/>
      <c r="O20237" s="28"/>
      <c r="U20237" s="28"/>
    </row>
    <row r="20238">
      <c r="N20238" s="28"/>
      <c r="O20238" s="28"/>
      <c r="U20238" s="28"/>
    </row>
    <row r="20239">
      <c r="N20239" s="28"/>
      <c r="O20239" s="28"/>
      <c r="U20239" s="28"/>
    </row>
    <row r="20240">
      <c r="N20240" s="28"/>
      <c r="O20240" s="28"/>
      <c r="U20240" s="28"/>
    </row>
    <row r="20241">
      <c r="N20241" s="28"/>
      <c r="O20241" s="28"/>
      <c r="U20241" s="28"/>
    </row>
    <row r="20242">
      <c r="N20242" s="28"/>
      <c r="O20242" s="28"/>
      <c r="U20242" s="28"/>
    </row>
    <row r="20243">
      <c r="N20243" s="28"/>
      <c r="O20243" s="28"/>
      <c r="U20243" s="28"/>
    </row>
    <row r="20244">
      <c r="N20244" s="28"/>
      <c r="O20244" s="28"/>
      <c r="U20244" s="28"/>
    </row>
    <row r="20245">
      <c r="N20245" s="28"/>
      <c r="O20245" s="28"/>
      <c r="U20245" s="28"/>
    </row>
    <row r="20246">
      <c r="N20246" s="28"/>
      <c r="O20246" s="28"/>
      <c r="U20246" s="28"/>
    </row>
    <row r="20247">
      <c r="N20247" s="28"/>
      <c r="O20247" s="28"/>
      <c r="U20247" s="28"/>
    </row>
    <row r="20248">
      <c r="N20248" s="28"/>
      <c r="O20248" s="28"/>
      <c r="U20248" s="28"/>
    </row>
    <row r="20249">
      <c r="N20249" s="28"/>
      <c r="O20249" s="28"/>
      <c r="U20249" s="28"/>
    </row>
    <row r="20250">
      <c r="N20250" s="28"/>
      <c r="O20250" s="28"/>
      <c r="U20250" s="28"/>
    </row>
    <row r="20251">
      <c r="N20251" s="28"/>
      <c r="O20251" s="28"/>
      <c r="U20251" s="28"/>
    </row>
    <row r="20252">
      <c r="N20252" s="28"/>
      <c r="O20252" s="28"/>
      <c r="U20252" s="28"/>
    </row>
    <row r="20253">
      <c r="N20253" s="28"/>
      <c r="O20253" s="28"/>
      <c r="U20253" s="28"/>
    </row>
    <row r="20254">
      <c r="N20254" s="28"/>
      <c r="O20254" s="28"/>
      <c r="U20254" s="28"/>
    </row>
    <row r="20255">
      <c r="N20255" s="28"/>
      <c r="O20255" s="28"/>
      <c r="U20255" s="28"/>
    </row>
    <row r="20256">
      <c r="N20256" s="28"/>
      <c r="O20256" s="28"/>
      <c r="U20256" s="28"/>
    </row>
    <row r="20257">
      <c r="N20257" s="28"/>
      <c r="O20257" s="28"/>
      <c r="U20257" s="28"/>
    </row>
    <row r="20258">
      <c r="N20258" s="28"/>
      <c r="O20258" s="28"/>
      <c r="U20258" s="28"/>
    </row>
    <row r="20259">
      <c r="N20259" s="28"/>
      <c r="O20259" s="28"/>
      <c r="U20259" s="28"/>
    </row>
    <row r="20260">
      <c r="N20260" s="28"/>
      <c r="O20260" s="28"/>
      <c r="U20260" s="28"/>
    </row>
    <row r="20261">
      <c r="N20261" s="28"/>
      <c r="O20261" s="28"/>
      <c r="U20261" s="28"/>
    </row>
    <row r="20262">
      <c r="N20262" s="28"/>
      <c r="O20262" s="28"/>
      <c r="U20262" s="28"/>
    </row>
    <row r="20263">
      <c r="N20263" s="28"/>
      <c r="O20263" s="28"/>
      <c r="U20263" s="28"/>
    </row>
    <row r="20264">
      <c r="N20264" s="28"/>
      <c r="O20264" s="28"/>
      <c r="U20264" s="28"/>
    </row>
    <row r="20265">
      <c r="N20265" s="28"/>
      <c r="O20265" s="28"/>
      <c r="U20265" s="28"/>
    </row>
    <row r="20266">
      <c r="N20266" s="28"/>
      <c r="O20266" s="28"/>
      <c r="U20266" s="28"/>
    </row>
    <row r="20267">
      <c r="N20267" s="28"/>
      <c r="O20267" s="28"/>
      <c r="U20267" s="28"/>
    </row>
    <row r="20268">
      <c r="N20268" s="28"/>
      <c r="O20268" s="28"/>
      <c r="U20268" s="28"/>
    </row>
    <row r="20269">
      <c r="N20269" s="28"/>
      <c r="O20269" s="28"/>
      <c r="U20269" s="28"/>
    </row>
    <row r="20270">
      <c r="N20270" s="28"/>
      <c r="O20270" s="28"/>
      <c r="U20270" s="28"/>
    </row>
    <row r="20271">
      <c r="N20271" s="28"/>
      <c r="O20271" s="28"/>
      <c r="U20271" s="28"/>
    </row>
    <row r="20272">
      <c r="N20272" s="28"/>
      <c r="O20272" s="28"/>
      <c r="U20272" s="28"/>
    </row>
    <row r="20273">
      <c r="N20273" s="28"/>
      <c r="O20273" s="28"/>
      <c r="U20273" s="28"/>
    </row>
    <row r="20274">
      <c r="N20274" s="28"/>
      <c r="O20274" s="28"/>
      <c r="U20274" s="28"/>
    </row>
    <row r="20275">
      <c r="N20275" s="28"/>
      <c r="O20275" s="28"/>
      <c r="U20275" s="28"/>
    </row>
    <row r="20276">
      <c r="N20276" s="28"/>
      <c r="O20276" s="28"/>
      <c r="U20276" s="28"/>
    </row>
    <row r="20277">
      <c r="N20277" s="28"/>
      <c r="O20277" s="28"/>
      <c r="U20277" s="28"/>
    </row>
    <row r="20278">
      <c r="N20278" s="28"/>
      <c r="O20278" s="28"/>
      <c r="U20278" s="28"/>
    </row>
    <row r="20279">
      <c r="N20279" s="28"/>
      <c r="O20279" s="28"/>
      <c r="U20279" s="28"/>
    </row>
    <row r="20280">
      <c r="N20280" s="28"/>
      <c r="O20280" s="28"/>
      <c r="U20280" s="28"/>
    </row>
    <row r="20281">
      <c r="N20281" s="28"/>
      <c r="O20281" s="28"/>
      <c r="U20281" s="28"/>
    </row>
    <row r="20282">
      <c r="N20282" s="28"/>
      <c r="O20282" s="28"/>
      <c r="U20282" s="28"/>
    </row>
    <row r="20283">
      <c r="N20283" s="28"/>
      <c r="O20283" s="28"/>
      <c r="U20283" s="28"/>
    </row>
    <row r="20284">
      <c r="N20284" s="28"/>
      <c r="O20284" s="28"/>
      <c r="U20284" s="28"/>
    </row>
    <row r="20285">
      <c r="N20285" s="28"/>
      <c r="O20285" s="28"/>
      <c r="U20285" s="28"/>
    </row>
    <row r="20286">
      <c r="N20286" s="28"/>
      <c r="O20286" s="28"/>
      <c r="U20286" s="28"/>
    </row>
    <row r="20287">
      <c r="N20287" s="28"/>
      <c r="O20287" s="28"/>
      <c r="U20287" s="28"/>
    </row>
    <row r="20288">
      <c r="N20288" s="28"/>
      <c r="O20288" s="28"/>
      <c r="U20288" s="28"/>
    </row>
    <row r="20289">
      <c r="N20289" s="28"/>
      <c r="O20289" s="28"/>
      <c r="U20289" s="28"/>
    </row>
    <row r="20290">
      <c r="N20290" s="28"/>
      <c r="O20290" s="28"/>
      <c r="U20290" s="28"/>
    </row>
    <row r="20291">
      <c r="N20291" s="28"/>
      <c r="O20291" s="28"/>
      <c r="U20291" s="28"/>
    </row>
    <row r="20292">
      <c r="N20292" s="28"/>
      <c r="O20292" s="28"/>
      <c r="U20292" s="28"/>
    </row>
    <row r="20293">
      <c r="N20293" s="28"/>
      <c r="O20293" s="28"/>
      <c r="U20293" s="28"/>
    </row>
    <row r="20294">
      <c r="N20294" s="28"/>
      <c r="O20294" s="28"/>
      <c r="U20294" s="28"/>
    </row>
    <row r="20295">
      <c r="N20295" s="28"/>
      <c r="O20295" s="28"/>
      <c r="U20295" s="28"/>
    </row>
    <row r="20296">
      <c r="N20296" s="28"/>
      <c r="O20296" s="28"/>
      <c r="U20296" s="28"/>
    </row>
    <row r="20297">
      <c r="N20297" s="28"/>
      <c r="O20297" s="28"/>
      <c r="U20297" s="28"/>
    </row>
    <row r="20298">
      <c r="N20298" s="28"/>
      <c r="O20298" s="28"/>
      <c r="U20298" s="28"/>
    </row>
    <row r="20299">
      <c r="N20299" s="28"/>
      <c r="O20299" s="28"/>
      <c r="U20299" s="28"/>
    </row>
    <row r="20300">
      <c r="N20300" s="28"/>
      <c r="O20300" s="28"/>
      <c r="U20300" s="28"/>
    </row>
    <row r="20301">
      <c r="N20301" s="28"/>
      <c r="O20301" s="28"/>
      <c r="U20301" s="28"/>
    </row>
    <row r="20302">
      <c r="N20302" s="28"/>
      <c r="O20302" s="28"/>
      <c r="U20302" s="28"/>
    </row>
    <row r="20303">
      <c r="N20303" s="28"/>
      <c r="O20303" s="28"/>
      <c r="U20303" s="28"/>
    </row>
    <row r="20304">
      <c r="N20304" s="28"/>
      <c r="O20304" s="28"/>
      <c r="U20304" s="28"/>
    </row>
    <row r="20305">
      <c r="N20305" s="28"/>
      <c r="O20305" s="28"/>
      <c r="U20305" s="28"/>
    </row>
    <row r="20306">
      <c r="N20306" s="28"/>
      <c r="O20306" s="28"/>
      <c r="U20306" s="28"/>
    </row>
    <row r="20307">
      <c r="N20307" s="28"/>
      <c r="O20307" s="28"/>
      <c r="U20307" s="28"/>
    </row>
    <row r="20308">
      <c r="N20308" s="28"/>
      <c r="O20308" s="28"/>
      <c r="U20308" s="28"/>
    </row>
    <row r="20309">
      <c r="N20309" s="28"/>
      <c r="O20309" s="28"/>
      <c r="U20309" s="28"/>
    </row>
    <row r="20310">
      <c r="N20310" s="28"/>
      <c r="O20310" s="28"/>
      <c r="U20310" s="28"/>
    </row>
    <row r="20311">
      <c r="N20311" s="28"/>
      <c r="O20311" s="28"/>
      <c r="U20311" s="28"/>
    </row>
    <row r="20312">
      <c r="N20312" s="28"/>
      <c r="O20312" s="28"/>
      <c r="U20312" s="28"/>
    </row>
    <row r="20313">
      <c r="N20313" s="28"/>
      <c r="O20313" s="28"/>
      <c r="U20313" s="28"/>
    </row>
    <row r="20314">
      <c r="N20314" s="28"/>
      <c r="O20314" s="28"/>
      <c r="U20314" s="28"/>
    </row>
    <row r="20315">
      <c r="N20315" s="28"/>
      <c r="O20315" s="28"/>
      <c r="U20315" s="28"/>
    </row>
    <row r="20316">
      <c r="N20316" s="28"/>
      <c r="O20316" s="28"/>
      <c r="U20316" s="28"/>
    </row>
    <row r="20317">
      <c r="N20317" s="28"/>
      <c r="O20317" s="28"/>
      <c r="U20317" s="28"/>
    </row>
    <row r="20318">
      <c r="N20318" s="28"/>
      <c r="O20318" s="28"/>
      <c r="U20318" s="28"/>
    </row>
    <row r="20319">
      <c r="N20319" s="28"/>
      <c r="O20319" s="28"/>
      <c r="U20319" s="28"/>
    </row>
    <row r="20320">
      <c r="N20320" s="28"/>
      <c r="O20320" s="28"/>
      <c r="U20320" s="28"/>
    </row>
    <row r="20321">
      <c r="N20321" s="28"/>
      <c r="O20321" s="28"/>
      <c r="U20321" s="28"/>
    </row>
    <row r="20322">
      <c r="N20322" s="28"/>
      <c r="O20322" s="28"/>
      <c r="U20322" s="28"/>
    </row>
    <row r="20323">
      <c r="N20323" s="28"/>
      <c r="O20323" s="28"/>
      <c r="U20323" s="28"/>
    </row>
    <row r="20324">
      <c r="N20324" s="28"/>
      <c r="O20324" s="28"/>
      <c r="U20324" s="28"/>
    </row>
    <row r="20325">
      <c r="N20325" s="28"/>
      <c r="O20325" s="28"/>
      <c r="U20325" s="28"/>
    </row>
    <row r="20326">
      <c r="N20326" s="28"/>
      <c r="O20326" s="28"/>
      <c r="U20326" s="28"/>
    </row>
    <row r="20327">
      <c r="N20327" s="28"/>
      <c r="O20327" s="28"/>
      <c r="U20327" s="28"/>
    </row>
    <row r="20328">
      <c r="N20328" s="28"/>
      <c r="O20328" s="28"/>
      <c r="U20328" s="28"/>
    </row>
    <row r="20329">
      <c r="N20329" s="28"/>
      <c r="O20329" s="28"/>
      <c r="U20329" s="28"/>
    </row>
    <row r="20330">
      <c r="N20330" s="28"/>
      <c r="O20330" s="28"/>
      <c r="U20330" s="28"/>
    </row>
    <row r="20331">
      <c r="N20331" s="28"/>
      <c r="O20331" s="28"/>
      <c r="U20331" s="28"/>
    </row>
    <row r="20332">
      <c r="N20332" s="28"/>
      <c r="O20332" s="28"/>
      <c r="U20332" s="28"/>
    </row>
    <row r="20333">
      <c r="N20333" s="28"/>
      <c r="O20333" s="28"/>
      <c r="U20333" s="28"/>
    </row>
    <row r="20334">
      <c r="N20334" s="28"/>
      <c r="O20334" s="28"/>
      <c r="U20334" s="28"/>
    </row>
    <row r="20335">
      <c r="N20335" s="28"/>
      <c r="O20335" s="28"/>
      <c r="U20335" s="28"/>
    </row>
    <row r="20336">
      <c r="N20336" s="28"/>
      <c r="O20336" s="28"/>
      <c r="U20336" s="28"/>
    </row>
    <row r="20337">
      <c r="N20337" s="28"/>
      <c r="O20337" s="28"/>
      <c r="U20337" s="28"/>
    </row>
    <row r="20338">
      <c r="N20338" s="28"/>
      <c r="O20338" s="28"/>
      <c r="U20338" s="28"/>
    </row>
    <row r="20339">
      <c r="N20339" s="28"/>
      <c r="O20339" s="28"/>
      <c r="U20339" s="28"/>
    </row>
    <row r="20340">
      <c r="N20340" s="28"/>
      <c r="O20340" s="28"/>
      <c r="U20340" s="28"/>
    </row>
    <row r="20341">
      <c r="N20341" s="28"/>
      <c r="O20341" s="28"/>
      <c r="U20341" s="28"/>
    </row>
    <row r="20342">
      <c r="N20342" s="28"/>
      <c r="O20342" s="28"/>
      <c r="U20342" s="28"/>
    </row>
    <row r="20343">
      <c r="N20343" s="28"/>
      <c r="O20343" s="28"/>
      <c r="U20343" s="28"/>
    </row>
    <row r="20344">
      <c r="N20344" s="28"/>
      <c r="O20344" s="28"/>
      <c r="U20344" s="28"/>
    </row>
    <row r="20345">
      <c r="N20345" s="28"/>
      <c r="O20345" s="28"/>
      <c r="U20345" s="28"/>
    </row>
    <row r="20346">
      <c r="N20346" s="28"/>
      <c r="O20346" s="28"/>
      <c r="U20346" s="28"/>
    </row>
    <row r="20347">
      <c r="N20347" s="28"/>
      <c r="O20347" s="28"/>
      <c r="U20347" s="28"/>
    </row>
    <row r="20348">
      <c r="N20348" s="28"/>
      <c r="O20348" s="28"/>
      <c r="U20348" s="28"/>
    </row>
    <row r="20349">
      <c r="N20349" s="28"/>
      <c r="O20349" s="28"/>
      <c r="U20349" s="28"/>
    </row>
    <row r="20350">
      <c r="N20350" s="28"/>
      <c r="O20350" s="28"/>
      <c r="U20350" s="28"/>
    </row>
    <row r="20351">
      <c r="N20351" s="28"/>
      <c r="O20351" s="28"/>
      <c r="U20351" s="28"/>
    </row>
    <row r="20352">
      <c r="N20352" s="28"/>
      <c r="O20352" s="28"/>
      <c r="U20352" s="28"/>
    </row>
    <row r="20353">
      <c r="N20353" s="28"/>
      <c r="O20353" s="28"/>
      <c r="U20353" s="28"/>
    </row>
    <row r="20354">
      <c r="N20354" s="28"/>
      <c r="O20354" s="28"/>
      <c r="U20354" s="28"/>
    </row>
    <row r="20355">
      <c r="N20355" s="28"/>
      <c r="O20355" s="28"/>
      <c r="U20355" s="28"/>
    </row>
    <row r="20356">
      <c r="N20356" s="28"/>
      <c r="O20356" s="28"/>
      <c r="U20356" s="28"/>
    </row>
    <row r="20357">
      <c r="N20357" s="28"/>
      <c r="O20357" s="28"/>
      <c r="U20357" s="28"/>
    </row>
    <row r="20358">
      <c r="N20358" s="28"/>
      <c r="O20358" s="28"/>
      <c r="U20358" s="28"/>
    </row>
    <row r="20359">
      <c r="N20359" s="28"/>
      <c r="O20359" s="28"/>
      <c r="U20359" s="28"/>
    </row>
    <row r="20360">
      <c r="N20360" s="28"/>
      <c r="O20360" s="28"/>
      <c r="U20360" s="28"/>
    </row>
    <row r="20361">
      <c r="N20361" s="28"/>
      <c r="O20361" s="28"/>
      <c r="U20361" s="28"/>
    </row>
    <row r="20362">
      <c r="N20362" s="28"/>
      <c r="O20362" s="28"/>
      <c r="U20362" s="28"/>
    </row>
    <row r="20363">
      <c r="N20363" s="28"/>
      <c r="O20363" s="28"/>
      <c r="U20363" s="28"/>
    </row>
    <row r="20364">
      <c r="N20364" s="28"/>
      <c r="O20364" s="28"/>
      <c r="U20364" s="28"/>
    </row>
    <row r="20365">
      <c r="N20365" s="28"/>
      <c r="O20365" s="28"/>
      <c r="U20365" s="28"/>
    </row>
    <row r="20366">
      <c r="N20366" s="28"/>
      <c r="O20366" s="28"/>
      <c r="U20366" s="28"/>
    </row>
    <row r="20367">
      <c r="N20367" s="28"/>
      <c r="O20367" s="28"/>
      <c r="U20367" s="28"/>
    </row>
    <row r="20368">
      <c r="N20368" s="28"/>
      <c r="O20368" s="28"/>
      <c r="U20368" s="28"/>
    </row>
    <row r="20369">
      <c r="N20369" s="28"/>
      <c r="O20369" s="28"/>
      <c r="U20369" s="28"/>
    </row>
    <row r="20370">
      <c r="N20370" s="28"/>
      <c r="O20370" s="28"/>
      <c r="U20370" s="28"/>
    </row>
    <row r="20371">
      <c r="N20371" s="28"/>
      <c r="O20371" s="28"/>
      <c r="U20371" s="28"/>
    </row>
    <row r="20372">
      <c r="N20372" s="28"/>
      <c r="O20372" s="28"/>
      <c r="U20372" s="28"/>
    </row>
    <row r="20373">
      <c r="N20373" s="28"/>
      <c r="O20373" s="28"/>
      <c r="U20373" s="28"/>
    </row>
    <row r="20374">
      <c r="N20374" s="28"/>
      <c r="O20374" s="28"/>
      <c r="U20374" s="28"/>
    </row>
    <row r="20375">
      <c r="N20375" s="28"/>
      <c r="O20375" s="28"/>
      <c r="U20375" s="28"/>
    </row>
    <row r="20376">
      <c r="N20376" s="28"/>
      <c r="O20376" s="28"/>
      <c r="U20376" s="28"/>
    </row>
    <row r="20377">
      <c r="N20377" s="28"/>
      <c r="O20377" s="28"/>
      <c r="U20377" s="28"/>
    </row>
    <row r="20378">
      <c r="N20378" s="28"/>
      <c r="O20378" s="28"/>
      <c r="U20378" s="28"/>
    </row>
    <row r="20379">
      <c r="N20379" s="28"/>
      <c r="O20379" s="28"/>
      <c r="U20379" s="28"/>
    </row>
    <row r="20380">
      <c r="N20380" s="28"/>
      <c r="O20380" s="28"/>
      <c r="U20380" s="28"/>
    </row>
    <row r="20381">
      <c r="N20381" s="28"/>
      <c r="O20381" s="28"/>
      <c r="U20381" s="28"/>
    </row>
    <row r="20382">
      <c r="N20382" s="28"/>
      <c r="O20382" s="28"/>
      <c r="U20382" s="28"/>
    </row>
    <row r="20383">
      <c r="N20383" s="28"/>
      <c r="O20383" s="28"/>
      <c r="U20383" s="28"/>
    </row>
    <row r="20384">
      <c r="N20384" s="28"/>
      <c r="O20384" s="28"/>
      <c r="U20384" s="28"/>
    </row>
    <row r="20385">
      <c r="N20385" s="28"/>
      <c r="O20385" s="28"/>
      <c r="U20385" s="28"/>
    </row>
    <row r="20386">
      <c r="N20386" s="28"/>
      <c r="O20386" s="28"/>
      <c r="U20386" s="28"/>
    </row>
    <row r="20387">
      <c r="N20387" s="28"/>
      <c r="O20387" s="28"/>
      <c r="U20387" s="28"/>
    </row>
    <row r="20388">
      <c r="N20388" s="28"/>
      <c r="O20388" s="28"/>
      <c r="U20388" s="28"/>
    </row>
    <row r="20389">
      <c r="N20389" s="28"/>
      <c r="O20389" s="28"/>
      <c r="U20389" s="28"/>
    </row>
    <row r="20390">
      <c r="N20390" s="28"/>
      <c r="O20390" s="28"/>
      <c r="U20390" s="28"/>
    </row>
    <row r="20391">
      <c r="N20391" s="28"/>
      <c r="O20391" s="28"/>
      <c r="U20391" s="28"/>
    </row>
    <row r="20392">
      <c r="N20392" s="28"/>
      <c r="O20392" s="28"/>
      <c r="U20392" s="28"/>
    </row>
    <row r="20393">
      <c r="N20393" s="28"/>
      <c r="O20393" s="28"/>
      <c r="U20393" s="28"/>
    </row>
    <row r="20394">
      <c r="N20394" s="28"/>
      <c r="O20394" s="28"/>
      <c r="U20394" s="28"/>
    </row>
    <row r="20395">
      <c r="N20395" s="28"/>
      <c r="O20395" s="28"/>
      <c r="U20395" s="28"/>
    </row>
    <row r="20396">
      <c r="N20396" s="28"/>
      <c r="O20396" s="28"/>
      <c r="U20396" s="28"/>
    </row>
    <row r="20397">
      <c r="N20397" s="28"/>
      <c r="O20397" s="28"/>
      <c r="U20397" s="28"/>
    </row>
    <row r="20398">
      <c r="N20398" s="28"/>
      <c r="O20398" s="28"/>
      <c r="U20398" s="28"/>
    </row>
    <row r="20399">
      <c r="N20399" s="28"/>
      <c r="O20399" s="28"/>
      <c r="U20399" s="28"/>
    </row>
    <row r="20400">
      <c r="N20400" s="28"/>
      <c r="O20400" s="28"/>
      <c r="U20400" s="28"/>
    </row>
    <row r="20401">
      <c r="N20401" s="28"/>
      <c r="O20401" s="28"/>
      <c r="U20401" s="28"/>
    </row>
    <row r="20402">
      <c r="N20402" s="28"/>
      <c r="O20402" s="28"/>
      <c r="U20402" s="28"/>
    </row>
    <row r="20403">
      <c r="N20403" s="28"/>
      <c r="O20403" s="28"/>
      <c r="U20403" s="28"/>
    </row>
    <row r="20404">
      <c r="N20404" s="28"/>
      <c r="O20404" s="28"/>
      <c r="U20404" s="28"/>
    </row>
    <row r="20405">
      <c r="N20405" s="28"/>
      <c r="O20405" s="28"/>
      <c r="U20405" s="28"/>
    </row>
    <row r="20406">
      <c r="N20406" s="28"/>
      <c r="O20406" s="28"/>
      <c r="U20406" s="28"/>
    </row>
    <row r="20407">
      <c r="N20407" s="28"/>
      <c r="O20407" s="28"/>
      <c r="U20407" s="28"/>
    </row>
    <row r="20408">
      <c r="N20408" s="28"/>
      <c r="O20408" s="28"/>
      <c r="U20408" s="28"/>
    </row>
    <row r="20409">
      <c r="N20409" s="28"/>
      <c r="O20409" s="28"/>
      <c r="U20409" s="28"/>
    </row>
    <row r="20410">
      <c r="N20410" s="28"/>
      <c r="O20410" s="28"/>
      <c r="U20410" s="28"/>
    </row>
    <row r="20411">
      <c r="N20411" s="28"/>
      <c r="O20411" s="28"/>
      <c r="U20411" s="28"/>
    </row>
    <row r="20412">
      <c r="N20412" s="28"/>
      <c r="O20412" s="28"/>
      <c r="U20412" s="28"/>
    </row>
    <row r="20413">
      <c r="N20413" s="28"/>
      <c r="O20413" s="28"/>
      <c r="U20413" s="28"/>
    </row>
    <row r="20414">
      <c r="N20414" s="28"/>
      <c r="O20414" s="28"/>
      <c r="U20414" s="28"/>
    </row>
    <row r="20415">
      <c r="N20415" s="28"/>
      <c r="O20415" s="28"/>
      <c r="U20415" s="28"/>
    </row>
    <row r="20416">
      <c r="N20416" s="28"/>
      <c r="O20416" s="28"/>
      <c r="U20416" s="28"/>
    </row>
    <row r="20417">
      <c r="N20417" s="28"/>
      <c r="O20417" s="28"/>
      <c r="U20417" s="28"/>
    </row>
    <row r="20418">
      <c r="N20418" s="28"/>
      <c r="O20418" s="28"/>
      <c r="U20418" s="28"/>
    </row>
    <row r="20419">
      <c r="N20419" s="28"/>
      <c r="O20419" s="28"/>
      <c r="U20419" s="28"/>
    </row>
    <row r="20420">
      <c r="N20420" s="28"/>
      <c r="O20420" s="28"/>
      <c r="U20420" s="28"/>
    </row>
    <row r="20421">
      <c r="N20421" s="28"/>
      <c r="O20421" s="28"/>
      <c r="U20421" s="28"/>
    </row>
    <row r="20422">
      <c r="N20422" s="28"/>
      <c r="O20422" s="28"/>
      <c r="U20422" s="28"/>
    </row>
    <row r="20423">
      <c r="N20423" s="28"/>
      <c r="O20423" s="28"/>
      <c r="U20423" s="28"/>
    </row>
    <row r="20424">
      <c r="N20424" s="28"/>
      <c r="O20424" s="28"/>
      <c r="U20424" s="28"/>
    </row>
    <row r="20425">
      <c r="N20425" s="28"/>
      <c r="O20425" s="28"/>
      <c r="U20425" s="28"/>
    </row>
    <row r="20426">
      <c r="N20426" s="28"/>
      <c r="O20426" s="28"/>
      <c r="U20426" s="28"/>
    </row>
    <row r="20427">
      <c r="N20427" s="28"/>
      <c r="O20427" s="28"/>
      <c r="U20427" s="28"/>
    </row>
    <row r="20428">
      <c r="N20428" s="28"/>
      <c r="O20428" s="28"/>
      <c r="U20428" s="28"/>
    </row>
    <row r="20429">
      <c r="N20429" s="28"/>
      <c r="O20429" s="28"/>
      <c r="U20429" s="28"/>
    </row>
    <row r="20430">
      <c r="N20430" s="28"/>
      <c r="O20430" s="28"/>
      <c r="U20430" s="28"/>
    </row>
    <row r="20431">
      <c r="N20431" s="28"/>
      <c r="O20431" s="28"/>
      <c r="U20431" s="28"/>
    </row>
    <row r="20432">
      <c r="N20432" s="28"/>
      <c r="O20432" s="28"/>
      <c r="U20432" s="28"/>
    </row>
    <row r="20433">
      <c r="N20433" s="28"/>
      <c r="O20433" s="28"/>
      <c r="U20433" s="28"/>
    </row>
    <row r="20434">
      <c r="N20434" s="28"/>
      <c r="O20434" s="28"/>
      <c r="U20434" s="28"/>
    </row>
    <row r="20435">
      <c r="N20435" s="28"/>
      <c r="O20435" s="28"/>
      <c r="U20435" s="28"/>
    </row>
    <row r="20436">
      <c r="N20436" s="28"/>
      <c r="O20436" s="28"/>
      <c r="U20436" s="28"/>
    </row>
    <row r="20437">
      <c r="N20437" s="28"/>
      <c r="O20437" s="28"/>
      <c r="U20437" s="28"/>
    </row>
    <row r="20438">
      <c r="N20438" s="28"/>
      <c r="O20438" s="28"/>
      <c r="U20438" s="28"/>
    </row>
    <row r="20439">
      <c r="N20439" s="28"/>
      <c r="O20439" s="28"/>
      <c r="U20439" s="28"/>
    </row>
    <row r="20440">
      <c r="N20440" s="28"/>
      <c r="O20440" s="28"/>
      <c r="U20440" s="28"/>
    </row>
    <row r="20441">
      <c r="N20441" s="28"/>
      <c r="O20441" s="28"/>
      <c r="U20441" s="28"/>
    </row>
    <row r="20442">
      <c r="N20442" s="28"/>
      <c r="O20442" s="28"/>
      <c r="U20442" s="28"/>
    </row>
    <row r="20443">
      <c r="N20443" s="28"/>
      <c r="O20443" s="28"/>
      <c r="U20443" s="28"/>
    </row>
    <row r="20444">
      <c r="N20444" s="28"/>
      <c r="O20444" s="28"/>
      <c r="U20444" s="28"/>
    </row>
    <row r="20445">
      <c r="N20445" s="28"/>
      <c r="O20445" s="28"/>
      <c r="U20445" s="28"/>
    </row>
    <row r="20446">
      <c r="N20446" s="28"/>
      <c r="O20446" s="28"/>
      <c r="U20446" s="28"/>
    </row>
    <row r="20447">
      <c r="N20447" s="28"/>
      <c r="O20447" s="28"/>
      <c r="U20447" s="28"/>
    </row>
    <row r="20448">
      <c r="N20448" s="28"/>
      <c r="O20448" s="28"/>
      <c r="U20448" s="28"/>
    </row>
    <row r="20449">
      <c r="N20449" s="28"/>
      <c r="O20449" s="28"/>
      <c r="U20449" s="28"/>
    </row>
    <row r="20450">
      <c r="N20450" s="28"/>
      <c r="O20450" s="28"/>
      <c r="U20450" s="28"/>
    </row>
    <row r="20451">
      <c r="N20451" s="28"/>
      <c r="O20451" s="28"/>
      <c r="U20451" s="28"/>
    </row>
    <row r="20452">
      <c r="N20452" s="28"/>
      <c r="O20452" s="28"/>
      <c r="U20452" s="28"/>
    </row>
    <row r="20453">
      <c r="N20453" s="28"/>
      <c r="O20453" s="28"/>
      <c r="U20453" s="28"/>
    </row>
    <row r="20454">
      <c r="N20454" s="28"/>
      <c r="O20454" s="28"/>
      <c r="U20454" s="28"/>
    </row>
    <row r="20455">
      <c r="N20455" s="28"/>
      <c r="O20455" s="28"/>
      <c r="U20455" s="28"/>
    </row>
    <row r="20456">
      <c r="N20456" s="28"/>
      <c r="O20456" s="28"/>
      <c r="U20456" s="28"/>
    </row>
    <row r="20457">
      <c r="N20457" s="28"/>
      <c r="O20457" s="28"/>
      <c r="U20457" s="28"/>
    </row>
    <row r="20458">
      <c r="N20458" s="28"/>
      <c r="O20458" s="28"/>
      <c r="U20458" s="28"/>
    </row>
    <row r="20459">
      <c r="N20459" s="28"/>
      <c r="O20459" s="28"/>
      <c r="U20459" s="28"/>
    </row>
    <row r="20460">
      <c r="N20460" s="28"/>
      <c r="O20460" s="28"/>
      <c r="U20460" s="28"/>
    </row>
    <row r="20461">
      <c r="N20461" s="28"/>
      <c r="O20461" s="28"/>
      <c r="U20461" s="28"/>
    </row>
    <row r="20462">
      <c r="N20462" s="28"/>
      <c r="O20462" s="28"/>
      <c r="U20462" s="28"/>
    </row>
    <row r="20463">
      <c r="N20463" s="28"/>
      <c r="O20463" s="28"/>
      <c r="U20463" s="28"/>
    </row>
    <row r="20464">
      <c r="N20464" s="28"/>
      <c r="O20464" s="28"/>
      <c r="U20464" s="28"/>
    </row>
    <row r="20465">
      <c r="N20465" s="28"/>
      <c r="O20465" s="28"/>
      <c r="U20465" s="28"/>
    </row>
    <row r="20466">
      <c r="N20466" s="28"/>
      <c r="O20466" s="28"/>
      <c r="U20466" s="28"/>
    </row>
    <row r="20467">
      <c r="N20467" s="28"/>
      <c r="O20467" s="28"/>
      <c r="U20467" s="28"/>
    </row>
    <row r="20468">
      <c r="N20468" s="28"/>
      <c r="O20468" s="28"/>
      <c r="U20468" s="28"/>
    </row>
    <row r="20469">
      <c r="N20469" s="28"/>
      <c r="O20469" s="28"/>
      <c r="U20469" s="28"/>
    </row>
    <row r="20470">
      <c r="N20470" s="28"/>
      <c r="O20470" s="28"/>
      <c r="U20470" s="28"/>
    </row>
    <row r="20471">
      <c r="N20471" s="28"/>
      <c r="O20471" s="28"/>
      <c r="U20471" s="28"/>
    </row>
    <row r="20472">
      <c r="N20472" s="28"/>
      <c r="O20472" s="28"/>
      <c r="U20472" s="28"/>
    </row>
    <row r="20473">
      <c r="N20473" s="28"/>
      <c r="O20473" s="28"/>
      <c r="U20473" s="28"/>
    </row>
    <row r="20474">
      <c r="N20474" s="28"/>
      <c r="O20474" s="28"/>
      <c r="U20474" s="28"/>
    </row>
    <row r="20475">
      <c r="N20475" s="28"/>
      <c r="O20475" s="28"/>
      <c r="U20475" s="28"/>
    </row>
    <row r="20476">
      <c r="N20476" s="28"/>
      <c r="O20476" s="28"/>
      <c r="U20476" s="28"/>
    </row>
    <row r="20477">
      <c r="N20477" s="28"/>
      <c r="O20477" s="28"/>
      <c r="U20477" s="28"/>
    </row>
    <row r="20478">
      <c r="N20478" s="28"/>
      <c r="O20478" s="28"/>
      <c r="U20478" s="28"/>
    </row>
    <row r="20479">
      <c r="N20479" s="28"/>
      <c r="O20479" s="28"/>
      <c r="U20479" s="28"/>
    </row>
    <row r="20480">
      <c r="N20480" s="28"/>
      <c r="O20480" s="28"/>
      <c r="U20480" s="28"/>
    </row>
    <row r="20481">
      <c r="N20481" s="28"/>
      <c r="O20481" s="28"/>
      <c r="U20481" s="28"/>
    </row>
    <row r="20482">
      <c r="N20482" s="28"/>
      <c r="O20482" s="28"/>
      <c r="U20482" s="28"/>
    </row>
    <row r="20483">
      <c r="N20483" s="28"/>
      <c r="O20483" s="28"/>
      <c r="U20483" s="28"/>
    </row>
    <row r="20484">
      <c r="N20484" s="28"/>
      <c r="O20484" s="28"/>
      <c r="U20484" s="28"/>
    </row>
    <row r="20485">
      <c r="N20485" s="28"/>
      <c r="O20485" s="28"/>
      <c r="U20485" s="28"/>
    </row>
    <row r="20486">
      <c r="N20486" s="28"/>
      <c r="O20486" s="28"/>
      <c r="U20486" s="28"/>
    </row>
    <row r="20487">
      <c r="N20487" s="28"/>
      <c r="O20487" s="28"/>
      <c r="U20487" s="28"/>
    </row>
    <row r="20488">
      <c r="N20488" s="28"/>
      <c r="O20488" s="28"/>
      <c r="U20488" s="28"/>
    </row>
    <row r="20489">
      <c r="N20489" s="28"/>
      <c r="O20489" s="28"/>
      <c r="U20489" s="28"/>
    </row>
    <row r="20490">
      <c r="N20490" s="28"/>
      <c r="O20490" s="28"/>
      <c r="U20490" s="28"/>
    </row>
    <row r="20491">
      <c r="N20491" s="28"/>
      <c r="O20491" s="28"/>
      <c r="U20491" s="28"/>
    </row>
    <row r="20492">
      <c r="N20492" s="28"/>
      <c r="O20492" s="28"/>
      <c r="U20492" s="28"/>
    </row>
    <row r="20493">
      <c r="N20493" s="28"/>
      <c r="O20493" s="28"/>
      <c r="U20493" s="28"/>
    </row>
    <row r="20494">
      <c r="N20494" s="28"/>
      <c r="O20494" s="28"/>
      <c r="U20494" s="28"/>
    </row>
    <row r="20495">
      <c r="N20495" s="28"/>
      <c r="O20495" s="28"/>
      <c r="U20495" s="28"/>
    </row>
    <row r="20496">
      <c r="N20496" s="28"/>
      <c r="O20496" s="28"/>
      <c r="U20496" s="28"/>
    </row>
    <row r="20497">
      <c r="N20497" s="28"/>
      <c r="O20497" s="28"/>
      <c r="U20497" s="28"/>
    </row>
    <row r="20498">
      <c r="N20498" s="28"/>
      <c r="O20498" s="28"/>
      <c r="U20498" s="28"/>
    </row>
    <row r="20499">
      <c r="N20499" s="28"/>
      <c r="O20499" s="28"/>
      <c r="U20499" s="28"/>
    </row>
    <row r="20500">
      <c r="N20500" s="28"/>
      <c r="O20500" s="28"/>
      <c r="U20500" s="28"/>
    </row>
    <row r="20501">
      <c r="N20501" s="28"/>
      <c r="O20501" s="28"/>
      <c r="U20501" s="28"/>
    </row>
    <row r="20502">
      <c r="N20502" s="28"/>
      <c r="O20502" s="28"/>
      <c r="U20502" s="28"/>
    </row>
    <row r="20503">
      <c r="N20503" s="28"/>
      <c r="O20503" s="28"/>
      <c r="U20503" s="28"/>
    </row>
    <row r="20504">
      <c r="N20504" s="28"/>
      <c r="O20504" s="28"/>
      <c r="U20504" s="28"/>
    </row>
    <row r="20505">
      <c r="N20505" s="28"/>
      <c r="O20505" s="28"/>
      <c r="U20505" s="28"/>
    </row>
    <row r="20506">
      <c r="N20506" s="28"/>
      <c r="O20506" s="28"/>
      <c r="U20506" s="28"/>
    </row>
    <row r="20507">
      <c r="N20507" s="28"/>
      <c r="O20507" s="28"/>
      <c r="U20507" s="28"/>
    </row>
    <row r="20508">
      <c r="N20508" s="28"/>
      <c r="O20508" s="28"/>
      <c r="U20508" s="28"/>
    </row>
    <row r="20509">
      <c r="N20509" s="28"/>
      <c r="O20509" s="28"/>
      <c r="U20509" s="28"/>
    </row>
    <row r="20510">
      <c r="N20510" s="28"/>
      <c r="O20510" s="28"/>
      <c r="U20510" s="28"/>
    </row>
    <row r="20511">
      <c r="N20511" s="28"/>
      <c r="O20511" s="28"/>
      <c r="U20511" s="28"/>
    </row>
    <row r="20512">
      <c r="N20512" s="28"/>
      <c r="O20512" s="28"/>
      <c r="U20512" s="28"/>
    </row>
    <row r="20513">
      <c r="N20513" s="28"/>
      <c r="O20513" s="28"/>
      <c r="U20513" s="28"/>
    </row>
    <row r="20514">
      <c r="N20514" s="28"/>
      <c r="O20514" s="28"/>
      <c r="U20514" s="28"/>
    </row>
    <row r="20515">
      <c r="N20515" s="28"/>
      <c r="O20515" s="28"/>
      <c r="U20515" s="28"/>
    </row>
    <row r="20516">
      <c r="N20516" s="28"/>
      <c r="O20516" s="28"/>
      <c r="U20516" s="28"/>
    </row>
    <row r="20517">
      <c r="N20517" s="28"/>
      <c r="O20517" s="28"/>
      <c r="U20517" s="28"/>
    </row>
    <row r="20518">
      <c r="N20518" s="28"/>
      <c r="O20518" s="28"/>
      <c r="U20518" s="28"/>
    </row>
    <row r="20519">
      <c r="N20519" s="28"/>
      <c r="O20519" s="28"/>
      <c r="U20519" s="28"/>
    </row>
    <row r="20520">
      <c r="N20520" s="28"/>
      <c r="O20520" s="28"/>
      <c r="U20520" s="28"/>
    </row>
    <row r="20521">
      <c r="N20521" s="28"/>
      <c r="O20521" s="28"/>
      <c r="U20521" s="28"/>
    </row>
    <row r="20522">
      <c r="N20522" s="28"/>
      <c r="O20522" s="28"/>
      <c r="U20522" s="28"/>
    </row>
    <row r="20523">
      <c r="N20523" s="28"/>
      <c r="O20523" s="28"/>
      <c r="U20523" s="28"/>
    </row>
    <row r="20524">
      <c r="N20524" s="28"/>
      <c r="O20524" s="28"/>
      <c r="U20524" s="28"/>
    </row>
    <row r="20525">
      <c r="N20525" s="28"/>
      <c r="O20525" s="28"/>
      <c r="U20525" s="28"/>
    </row>
    <row r="20526">
      <c r="N20526" s="28"/>
      <c r="O20526" s="28"/>
      <c r="U20526" s="28"/>
    </row>
    <row r="20527">
      <c r="N20527" s="28"/>
      <c r="O20527" s="28"/>
      <c r="U20527" s="28"/>
    </row>
    <row r="20528">
      <c r="N20528" s="28"/>
      <c r="O20528" s="28"/>
      <c r="U20528" s="28"/>
    </row>
    <row r="20529">
      <c r="N20529" s="28"/>
      <c r="O20529" s="28"/>
      <c r="U20529" s="28"/>
    </row>
    <row r="20530">
      <c r="N20530" s="28"/>
      <c r="O20530" s="28"/>
      <c r="U20530" s="28"/>
    </row>
    <row r="20531">
      <c r="N20531" s="28"/>
      <c r="O20531" s="28"/>
      <c r="U20531" s="28"/>
    </row>
    <row r="20532">
      <c r="N20532" s="28"/>
      <c r="O20532" s="28"/>
      <c r="U20532" s="28"/>
    </row>
    <row r="20533">
      <c r="N20533" s="28"/>
      <c r="O20533" s="28"/>
      <c r="U20533" s="28"/>
    </row>
    <row r="20534">
      <c r="N20534" s="28"/>
      <c r="O20534" s="28"/>
      <c r="U20534" s="28"/>
    </row>
    <row r="20535">
      <c r="N20535" s="28"/>
      <c r="O20535" s="28"/>
      <c r="U20535" s="28"/>
    </row>
    <row r="20536">
      <c r="N20536" s="28"/>
      <c r="O20536" s="28"/>
      <c r="U20536" s="28"/>
    </row>
    <row r="20537">
      <c r="N20537" s="28"/>
      <c r="O20537" s="28"/>
      <c r="U20537" s="28"/>
    </row>
    <row r="20538">
      <c r="N20538" s="28"/>
      <c r="O20538" s="28"/>
      <c r="U20538" s="28"/>
    </row>
    <row r="20539">
      <c r="N20539" s="28"/>
      <c r="O20539" s="28"/>
      <c r="U20539" s="28"/>
    </row>
    <row r="20540">
      <c r="N20540" s="28"/>
      <c r="O20540" s="28"/>
      <c r="U20540" s="28"/>
    </row>
    <row r="20541">
      <c r="N20541" s="28"/>
      <c r="O20541" s="28"/>
      <c r="U20541" s="28"/>
    </row>
    <row r="20542">
      <c r="N20542" s="28"/>
      <c r="O20542" s="28"/>
      <c r="U20542" s="28"/>
    </row>
    <row r="20543">
      <c r="N20543" s="28"/>
      <c r="O20543" s="28"/>
      <c r="U20543" s="28"/>
    </row>
    <row r="20544">
      <c r="N20544" s="28"/>
      <c r="O20544" s="28"/>
      <c r="U20544" s="28"/>
    </row>
    <row r="20545">
      <c r="N20545" s="28"/>
      <c r="O20545" s="28"/>
      <c r="U20545" s="28"/>
    </row>
    <row r="20546">
      <c r="N20546" s="28"/>
      <c r="O20546" s="28"/>
      <c r="U20546" s="28"/>
    </row>
    <row r="20547">
      <c r="N20547" s="28"/>
      <c r="O20547" s="28"/>
      <c r="U20547" s="28"/>
    </row>
    <row r="20548">
      <c r="N20548" s="28"/>
      <c r="O20548" s="28"/>
      <c r="U20548" s="28"/>
    </row>
    <row r="20549">
      <c r="N20549" s="28"/>
      <c r="O20549" s="28"/>
      <c r="U20549" s="28"/>
    </row>
    <row r="20550">
      <c r="N20550" s="28"/>
      <c r="O20550" s="28"/>
      <c r="U20550" s="28"/>
    </row>
    <row r="20551">
      <c r="N20551" s="28"/>
      <c r="O20551" s="28"/>
      <c r="U20551" s="28"/>
    </row>
    <row r="20552">
      <c r="N20552" s="28"/>
      <c r="O20552" s="28"/>
      <c r="U20552" s="28"/>
    </row>
    <row r="20553">
      <c r="N20553" s="28"/>
      <c r="O20553" s="28"/>
      <c r="U20553" s="28"/>
    </row>
    <row r="20554">
      <c r="N20554" s="28"/>
      <c r="O20554" s="28"/>
      <c r="U20554" s="28"/>
    </row>
    <row r="20555">
      <c r="N20555" s="28"/>
      <c r="O20555" s="28"/>
      <c r="U20555" s="28"/>
    </row>
    <row r="20556">
      <c r="N20556" s="28"/>
      <c r="O20556" s="28"/>
      <c r="U20556" s="28"/>
    </row>
    <row r="20557">
      <c r="N20557" s="28"/>
      <c r="O20557" s="28"/>
      <c r="U20557" s="28"/>
    </row>
    <row r="20558">
      <c r="N20558" s="28"/>
      <c r="O20558" s="28"/>
      <c r="U20558" s="28"/>
    </row>
    <row r="20559">
      <c r="N20559" s="28"/>
      <c r="O20559" s="28"/>
      <c r="U20559" s="28"/>
    </row>
    <row r="20560">
      <c r="N20560" s="28"/>
      <c r="O20560" s="28"/>
      <c r="U20560" s="28"/>
    </row>
    <row r="20561">
      <c r="N20561" s="28"/>
      <c r="O20561" s="28"/>
      <c r="U20561" s="28"/>
    </row>
    <row r="20562">
      <c r="N20562" s="28"/>
      <c r="O20562" s="28"/>
      <c r="U20562" s="28"/>
    </row>
    <row r="20563">
      <c r="N20563" s="28"/>
      <c r="O20563" s="28"/>
      <c r="U20563" s="28"/>
    </row>
    <row r="20564">
      <c r="N20564" s="28"/>
      <c r="O20564" s="28"/>
      <c r="U20564" s="28"/>
    </row>
    <row r="20565">
      <c r="N20565" s="28"/>
      <c r="O20565" s="28"/>
      <c r="U20565" s="28"/>
    </row>
    <row r="20566">
      <c r="N20566" s="28"/>
      <c r="O20566" s="28"/>
      <c r="U20566" s="28"/>
    </row>
    <row r="20567">
      <c r="N20567" s="28"/>
      <c r="O20567" s="28"/>
      <c r="U20567" s="28"/>
    </row>
    <row r="20568">
      <c r="N20568" s="28"/>
      <c r="O20568" s="28"/>
      <c r="U20568" s="28"/>
    </row>
    <row r="20569">
      <c r="N20569" s="28"/>
      <c r="O20569" s="28"/>
      <c r="U20569" s="28"/>
    </row>
    <row r="20570">
      <c r="N20570" s="28"/>
      <c r="O20570" s="28"/>
      <c r="U20570" s="28"/>
    </row>
    <row r="20571">
      <c r="N20571" s="28"/>
      <c r="O20571" s="28"/>
      <c r="U20571" s="28"/>
    </row>
    <row r="20572">
      <c r="N20572" s="28"/>
      <c r="O20572" s="28"/>
      <c r="U20572" s="28"/>
    </row>
    <row r="20573">
      <c r="N20573" s="28"/>
      <c r="O20573" s="28"/>
      <c r="U20573" s="28"/>
    </row>
    <row r="20574">
      <c r="N20574" s="28"/>
      <c r="O20574" s="28"/>
      <c r="U20574" s="28"/>
    </row>
    <row r="20575">
      <c r="N20575" s="28"/>
      <c r="O20575" s="28"/>
      <c r="U20575" s="28"/>
    </row>
    <row r="20576">
      <c r="N20576" s="28"/>
      <c r="O20576" s="28"/>
      <c r="U20576" s="28"/>
    </row>
    <row r="20577">
      <c r="N20577" s="28"/>
      <c r="O20577" s="28"/>
      <c r="U20577" s="28"/>
    </row>
    <row r="20578">
      <c r="N20578" s="28"/>
      <c r="O20578" s="28"/>
      <c r="U20578" s="28"/>
    </row>
    <row r="20579">
      <c r="N20579" s="28"/>
      <c r="O20579" s="28"/>
      <c r="U20579" s="28"/>
    </row>
    <row r="20580">
      <c r="N20580" s="28"/>
      <c r="O20580" s="28"/>
      <c r="U20580" s="28"/>
    </row>
    <row r="20581">
      <c r="N20581" s="28"/>
      <c r="O20581" s="28"/>
      <c r="U20581" s="28"/>
    </row>
    <row r="20582">
      <c r="N20582" s="28"/>
      <c r="O20582" s="28"/>
      <c r="U20582" s="28"/>
    </row>
    <row r="20583">
      <c r="N20583" s="28"/>
      <c r="O20583" s="28"/>
      <c r="U20583" s="28"/>
    </row>
    <row r="20584">
      <c r="N20584" s="28"/>
      <c r="O20584" s="28"/>
      <c r="U20584" s="28"/>
    </row>
    <row r="20585">
      <c r="N20585" s="28"/>
      <c r="O20585" s="28"/>
      <c r="U20585" s="28"/>
    </row>
    <row r="20586">
      <c r="N20586" s="28"/>
      <c r="O20586" s="28"/>
      <c r="U20586" s="28"/>
    </row>
    <row r="20587">
      <c r="N20587" s="28"/>
      <c r="O20587" s="28"/>
      <c r="U20587" s="28"/>
    </row>
    <row r="20588">
      <c r="N20588" s="28"/>
      <c r="O20588" s="28"/>
      <c r="U20588" s="28"/>
    </row>
    <row r="20589">
      <c r="N20589" s="28"/>
      <c r="O20589" s="28"/>
      <c r="U20589" s="28"/>
    </row>
    <row r="20590">
      <c r="N20590" s="28"/>
      <c r="O20590" s="28"/>
      <c r="U20590" s="28"/>
    </row>
    <row r="20591">
      <c r="N20591" s="28"/>
      <c r="O20591" s="28"/>
      <c r="U20591" s="28"/>
    </row>
    <row r="20592">
      <c r="N20592" s="28"/>
      <c r="O20592" s="28"/>
      <c r="U20592" s="28"/>
    </row>
    <row r="20593">
      <c r="N20593" s="28"/>
      <c r="O20593" s="28"/>
      <c r="U20593" s="28"/>
    </row>
    <row r="20594">
      <c r="N20594" s="28"/>
      <c r="O20594" s="28"/>
      <c r="U20594" s="28"/>
    </row>
    <row r="20595">
      <c r="N20595" s="28"/>
      <c r="O20595" s="28"/>
      <c r="U20595" s="28"/>
    </row>
    <row r="20596">
      <c r="N20596" s="28"/>
      <c r="O20596" s="28"/>
      <c r="U20596" s="28"/>
    </row>
    <row r="20597">
      <c r="N20597" s="28"/>
      <c r="O20597" s="28"/>
      <c r="U20597" s="28"/>
    </row>
    <row r="20598">
      <c r="N20598" s="28"/>
      <c r="O20598" s="28"/>
      <c r="U20598" s="28"/>
    </row>
    <row r="20599">
      <c r="N20599" s="28"/>
      <c r="O20599" s="28"/>
      <c r="U20599" s="28"/>
    </row>
    <row r="20600">
      <c r="N20600" s="28"/>
      <c r="O20600" s="28"/>
      <c r="U20600" s="28"/>
    </row>
    <row r="20601">
      <c r="N20601" s="28"/>
      <c r="O20601" s="28"/>
      <c r="U20601" s="28"/>
    </row>
    <row r="20602">
      <c r="N20602" s="28"/>
      <c r="O20602" s="28"/>
      <c r="U20602" s="28"/>
    </row>
    <row r="20603">
      <c r="N20603" s="28"/>
      <c r="O20603" s="28"/>
      <c r="U20603" s="28"/>
    </row>
    <row r="20604">
      <c r="N20604" s="28"/>
      <c r="O20604" s="28"/>
      <c r="U20604" s="28"/>
    </row>
    <row r="20605">
      <c r="N20605" s="28"/>
      <c r="O20605" s="28"/>
      <c r="U20605" s="28"/>
    </row>
    <row r="20606">
      <c r="N20606" s="28"/>
      <c r="O20606" s="28"/>
      <c r="U20606" s="28"/>
    </row>
    <row r="20607">
      <c r="N20607" s="28"/>
      <c r="O20607" s="28"/>
      <c r="U20607" s="28"/>
    </row>
    <row r="20608">
      <c r="N20608" s="28"/>
      <c r="O20608" s="28"/>
      <c r="U20608" s="28"/>
    </row>
    <row r="20609">
      <c r="N20609" s="28"/>
      <c r="O20609" s="28"/>
      <c r="U20609" s="28"/>
    </row>
    <row r="20610">
      <c r="N20610" s="28"/>
      <c r="O20610" s="28"/>
      <c r="U20610" s="28"/>
    </row>
    <row r="20611">
      <c r="N20611" s="28"/>
      <c r="O20611" s="28"/>
      <c r="U20611" s="28"/>
    </row>
    <row r="20612">
      <c r="N20612" s="28"/>
      <c r="O20612" s="28"/>
      <c r="U20612" s="28"/>
    </row>
    <row r="20613">
      <c r="N20613" s="28"/>
      <c r="O20613" s="28"/>
      <c r="U20613" s="28"/>
    </row>
    <row r="20614">
      <c r="N20614" s="28"/>
      <c r="O20614" s="28"/>
      <c r="U20614" s="28"/>
    </row>
    <row r="20615">
      <c r="N20615" s="28"/>
      <c r="O20615" s="28"/>
      <c r="U20615" s="28"/>
    </row>
    <row r="20616">
      <c r="N20616" s="28"/>
      <c r="O20616" s="28"/>
      <c r="U20616" s="28"/>
    </row>
    <row r="20617">
      <c r="N20617" s="28"/>
      <c r="O20617" s="28"/>
      <c r="U20617" s="28"/>
    </row>
    <row r="20618">
      <c r="N20618" s="28"/>
      <c r="O20618" s="28"/>
      <c r="U20618" s="28"/>
    </row>
    <row r="20619">
      <c r="N20619" s="28"/>
      <c r="O20619" s="28"/>
      <c r="U20619" s="28"/>
    </row>
    <row r="20620">
      <c r="N20620" s="28"/>
      <c r="O20620" s="28"/>
      <c r="U20620" s="28"/>
    </row>
    <row r="20621">
      <c r="N20621" s="28"/>
      <c r="O20621" s="28"/>
      <c r="U20621" s="28"/>
    </row>
    <row r="20622">
      <c r="N20622" s="28"/>
      <c r="O20622" s="28"/>
      <c r="U20622" s="28"/>
    </row>
    <row r="20623">
      <c r="N20623" s="28"/>
      <c r="O20623" s="28"/>
      <c r="U20623" s="28"/>
    </row>
    <row r="20624">
      <c r="N20624" s="28"/>
      <c r="O20624" s="28"/>
      <c r="U20624" s="28"/>
    </row>
    <row r="20625">
      <c r="N20625" s="28"/>
      <c r="O20625" s="28"/>
      <c r="U20625" s="28"/>
    </row>
    <row r="20626">
      <c r="N20626" s="28"/>
      <c r="O20626" s="28"/>
      <c r="U20626" s="28"/>
    </row>
    <row r="20627">
      <c r="N20627" s="28"/>
      <c r="O20627" s="28"/>
      <c r="U20627" s="28"/>
    </row>
    <row r="20628">
      <c r="N20628" s="28"/>
      <c r="O20628" s="28"/>
      <c r="U20628" s="28"/>
    </row>
    <row r="20629">
      <c r="N20629" s="28"/>
      <c r="O20629" s="28"/>
      <c r="U20629" s="28"/>
    </row>
    <row r="20630">
      <c r="N20630" s="28"/>
      <c r="O20630" s="28"/>
      <c r="U20630" s="28"/>
    </row>
    <row r="20631">
      <c r="N20631" s="28"/>
      <c r="O20631" s="28"/>
      <c r="U20631" s="28"/>
    </row>
    <row r="20632">
      <c r="N20632" s="28"/>
      <c r="O20632" s="28"/>
      <c r="U20632" s="28"/>
    </row>
    <row r="20633">
      <c r="N20633" s="28"/>
      <c r="O20633" s="28"/>
      <c r="U20633" s="28"/>
    </row>
    <row r="20634">
      <c r="N20634" s="28"/>
      <c r="O20634" s="28"/>
      <c r="U20634" s="28"/>
    </row>
    <row r="20635">
      <c r="N20635" s="28"/>
      <c r="O20635" s="28"/>
      <c r="U20635" s="28"/>
    </row>
    <row r="20636">
      <c r="N20636" s="28"/>
      <c r="O20636" s="28"/>
      <c r="U20636" s="28"/>
    </row>
    <row r="20637">
      <c r="N20637" s="28"/>
      <c r="O20637" s="28"/>
      <c r="U20637" s="28"/>
    </row>
    <row r="20638">
      <c r="N20638" s="28"/>
      <c r="O20638" s="28"/>
      <c r="U20638" s="28"/>
    </row>
    <row r="20639">
      <c r="N20639" s="28"/>
      <c r="O20639" s="28"/>
      <c r="U20639" s="28"/>
    </row>
    <row r="20640">
      <c r="N20640" s="28"/>
      <c r="O20640" s="28"/>
      <c r="U20640" s="28"/>
    </row>
    <row r="20641">
      <c r="N20641" s="28"/>
      <c r="O20641" s="28"/>
      <c r="U20641" s="28"/>
    </row>
    <row r="20642">
      <c r="N20642" s="28"/>
      <c r="O20642" s="28"/>
      <c r="U20642" s="28"/>
    </row>
    <row r="20643">
      <c r="N20643" s="28"/>
      <c r="O20643" s="28"/>
      <c r="U20643" s="28"/>
    </row>
    <row r="20644">
      <c r="N20644" s="28"/>
      <c r="O20644" s="28"/>
      <c r="U20644" s="28"/>
    </row>
    <row r="20645">
      <c r="N20645" s="28"/>
      <c r="O20645" s="28"/>
      <c r="U20645" s="28"/>
    </row>
    <row r="20646">
      <c r="N20646" s="28"/>
      <c r="O20646" s="28"/>
      <c r="U20646" s="28"/>
    </row>
    <row r="20647">
      <c r="N20647" s="28"/>
      <c r="O20647" s="28"/>
      <c r="U20647" s="28"/>
    </row>
    <row r="20648">
      <c r="N20648" s="28"/>
      <c r="O20648" s="28"/>
      <c r="U20648" s="28"/>
    </row>
    <row r="20649">
      <c r="N20649" s="28"/>
      <c r="O20649" s="28"/>
      <c r="U20649" s="28"/>
    </row>
    <row r="20650">
      <c r="N20650" s="28"/>
      <c r="O20650" s="28"/>
      <c r="U20650" s="28"/>
    </row>
    <row r="20651">
      <c r="N20651" s="28"/>
      <c r="O20651" s="28"/>
      <c r="U20651" s="28"/>
    </row>
    <row r="20652">
      <c r="N20652" s="28"/>
      <c r="O20652" s="28"/>
      <c r="U20652" s="28"/>
    </row>
    <row r="20653">
      <c r="N20653" s="28"/>
      <c r="O20653" s="28"/>
      <c r="U20653" s="28"/>
    </row>
    <row r="20654">
      <c r="N20654" s="28"/>
      <c r="O20654" s="28"/>
      <c r="U20654" s="28"/>
    </row>
    <row r="20655">
      <c r="N20655" s="28"/>
      <c r="O20655" s="28"/>
      <c r="U20655" s="28"/>
    </row>
    <row r="20656">
      <c r="N20656" s="28"/>
      <c r="O20656" s="28"/>
      <c r="U20656" s="28"/>
    </row>
    <row r="20657">
      <c r="N20657" s="28"/>
      <c r="O20657" s="28"/>
      <c r="U20657" s="28"/>
    </row>
    <row r="20658">
      <c r="N20658" s="28"/>
      <c r="O20658" s="28"/>
      <c r="U20658" s="28"/>
    </row>
    <row r="20659">
      <c r="N20659" s="28"/>
      <c r="O20659" s="28"/>
      <c r="U20659" s="28"/>
    </row>
    <row r="20660">
      <c r="N20660" s="28"/>
      <c r="O20660" s="28"/>
      <c r="U20660" s="28"/>
    </row>
    <row r="20661">
      <c r="N20661" s="28"/>
      <c r="O20661" s="28"/>
      <c r="U20661" s="28"/>
    </row>
    <row r="20662">
      <c r="N20662" s="28"/>
      <c r="O20662" s="28"/>
      <c r="U20662" s="28"/>
    </row>
    <row r="20663">
      <c r="N20663" s="28"/>
      <c r="O20663" s="28"/>
      <c r="U20663" s="28"/>
    </row>
    <row r="20664">
      <c r="N20664" s="28"/>
      <c r="O20664" s="28"/>
      <c r="U20664" s="28"/>
    </row>
    <row r="20665">
      <c r="N20665" s="28"/>
      <c r="O20665" s="28"/>
      <c r="U20665" s="28"/>
    </row>
    <row r="20666">
      <c r="N20666" s="28"/>
      <c r="O20666" s="28"/>
      <c r="U20666" s="28"/>
    </row>
    <row r="20667">
      <c r="N20667" s="28"/>
      <c r="O20667" s="28"/>
      <c r="U20667" s="28"/>
    </row>
    <row r="20668">
      <c r="N20668" s="28"/>
      <c r="O20668" s="28"/>
      <c r="U20668" s="28"/>
    </row>
    <row r="20669">
      <c r="N20669" s="28"/>
      <c r="O20669" s="28"/>
      <c r="U20669" s="28"/>
    </row>
    <row r="20670">
      <c r="N20670" s="28"/>
      <c r="O20670" s="28"/>
      <c r="U20670" s="28"/>
    </row>
    <row r="20671">
      <c r="N20671" s="28"/>
      <c r="O20671" s="28"/>
      <c r="U20671" s="28"/>
    </row>
    <row r="20672">
      <c r="N20672" s="28"/>
      <c r="O20672" s="28"/>
      <c r="U20672" s="28"/>
    </row>
    <row r="20673">
      <c r="N20673" s="28"/>
      <c r="O20673" s="28"/>
      <c r="U20673" s="28"/>
    </row>
    <row r="20674">
      <c r="N20674" s="28"/>
      <c r="O20674" s="28"/>
      <c r="U20674" s="28"/>
    </row>
    <row r="20675">
      <c r="N20675" s="28"/>
      <c r="O20675" s="28"/>
      <c r="U20675" s="28"/>
    </row>
    <row r="20676">
      <c r="N20676" s="28"/>
      <c r="O20676" s="28"/>
      <c r="U20676" s="28"/>
    </row>
    <row r="20677">
      <c r="N20677" s="28"/>
      <c r="O20677" s="28"/>
      <c r="U20677" s="28"/>
    </row>
    <row r="20678">
      <c r="N20678" s="28"/>
      <c r="O20678" s="28"/>
      <c r="U20678" s="28"/>
    </row>
    <row r="20679">
      <c r="N20679" s="28"/>
      <c r="O20679" s="28"/>
      <c r="U20679" s="28"/>
    </row>
    <row r="20680">
      <c r="N20680" s="28"/>
      <c r="O20680" s="28"/>
      <c r="U20680" s="28"/>
    </row>
    <row r="20681">
      <c r="N20681" s="28"/>
      <c r="O20681" s="28"/>
      <c r="U20681" s="28"/>
    </row>
    <row r="20682">
      <c r="N20682" s="28"/>
      <c r="O20682" s="28"/>
      <c r="U20682" s="28"/>
    </row>
    <row r="20683">
      <c r="N20683" s="28"/>
      <c r="O20683" s="28"/>
      <c r="U20683" s="28"/>
    </row>
    <row r="20684">
      <c r="N20684" s="28"/>
      <c r="O20684" s="28"/>
      <c r="U20684" s="28"/>
    </row>
    <row r="20685">
      <c r="N20685" s="28"/>
      <c r="O20685" s="28"/>
      <c r="U20685" s="28"/>
    </row>
    <row r="20686">
      <c r="N20686" s="28"/>
      <c r="O20686" s="28"/>
      <c r="U20686" s="28"/>
    </row>
    <row r="20687">
      <c r="N20687" s="28"/>
      <c r="O20687" s="28"/>
      <c r="U20687" s="28"/>
    </row>
    <row r="20688">
      <c r="N20688" s="28"/>
      <c r="O20688" s="28"/>
      <c r="U20688" s="28"/>
    </row>
    <row r="20689">
      <c r="N20689" s="28"/>
      <c r="O20689" s="28"/>
      <c r="U20689" s="28"/>
    </row>
    <row r="20690">
      <c r="N20690" s="28"/>
      <c r="O20690" s="28"/>
      <c r="U20690" s="28"/>
    </row>
    <row r="20691">
      <c r="N20691" s="28"/>
      <c r="O20691" s="28"/>
      <c r="U20691" s="28"/>
    </row>
    <row r="20692">
      <c r="N20692" s="28"/>
      <c r="O20692" s="28"/>
      <c r="U20692" s="28"/>
    </row>
    <row r="20693">
      <c r="N20693" s="28"/>
      <c r="O20693" s="28"/>
      <c r="U20693" s="28"/>
    </row>
    <row r="20694">
      <c r="N20694" s="28"/>
      <c r="O20694" s="28"/>
      <c r="U20694" s="28"/>
    </row>
    <row r="20695">
      <c r="N20695" s="28"/>
      <c r="O20695" s="28"/>
      <c r="U20695" s="28"/>
    </row>
    <row r="20696">
      <c r="N20696" s="28"/>
      <c r="O20696" s="28"/>
      <c r="U20696" s="28"/>
    </row>
    <row r="20697">
      <c r="N20697" s="28"/>
      <c r="O20697" s="28"/>
      <c r="U20697" s="28"/>
    </row>
    <row r="20698">
      <c r="N20698" s="28"/>
      <c r="O20698" s="28"/>
      <c r="U20698" s="28"/>
    </row>
    <row r="20699">
      <c r="N20699" s="28"/>
      <c r="O20699" s="28"/>
      <c r="U20699" s="28"/>
    </row>
    <row r="20700">
      <c r="N20700" s="28"/>
      <c r="O20700" s="28"/>
      <c r="U20700" s="28"/>
    </row>
    <row r="20701">
      <c r="N20701" s="28"/>
      <c r="O20701" s="28"/>
      <c r="U20701" s="28"/>
    </row>
    <row r="20702">
      <c r="N20702" s="28"/>
      <c r="O20702" s="28"/>
      <c r="U20702" s="28"/>
    </row>
    <row r="20703">
      <c r="N20703" s="28"/>
      <c r="O20703" s="28"/>
      <c r="U20703" s="28"/>
    </row>
    <row r="20704">
      <c r="N20704" s="28"/>
      <c r="O20704" s="28"/>
      <c r="U20704" s="28"/>
    </row>
    <row r="20705">
      <c r="N20705" s="28"/>
      <c r="O20705" s="28"/>
      <c r="U20705" s="28"/>
    </row>
    <row r="20706">
      <c r="N20706" s="28"/>
      <c r="O20706" s="28"/>
      <c r="U20706" s="28"/>
    </row>
    <row r="20707">
      <c r="N20707" s="28"/>
      <c r="O20707" s="28"/>
      <c r="U20707" s="28"/>
    </row>
    <row r="20708">
      <c r="N20708" s="28"/>
      <c r="O20708" s="28"/>
      <c r="U20708" s="28"/>
    </row>
    <row r="20709">
      <c r="N20709" s="28"/>
      <c r="O20709" s="28"/>
      <c r="U20709" s="28"/>
    </row>
    <row r="20710">
      <c r="N20710" s="28"/>
      <c r="O20710" s="28"/>
      <c r="U20710" s="28"/>
    </row>
    <row r="20711">
      <c r="N20711" s="28"/>
      <c r="O20711" s="28"/>
      <c r="U20711" s="28"/>
    </row>
    <row r="20712">
      <c r="N20712" s="28"/>
      <c r="O20712" s="28"/>
      <c r="U20712" s="28"/>
    </row>
    <row r="20713">
      <c r="N20713" s="28"/>
      <c r="O20713" s="28"/>
      <c r="U20713" s="28"/>
    </row>
    <row r="20714">
      <c r="N20714" s="28"/>
      <c r="O20714" s="28"/>
      <c r="U20714" s="28"/>
    </row>
    <row r="20715">
      <c r="N20715" s="28"/>
      <c r="O20715" s="28"/>
      <c r="U20715" s="28"/>
    </row>
    <row r="20716">
      <c r="N20716" s="28"/>
      <c r="O20716" s="28"/>
      <c r="U20716" s="28"/>
    </row>
    <row r="20717">
      <c r="N20717" s="28"/>
      <c r="O20717" s="28"/>
      <c r="U20717" s="28"/>
    </row>
    <row r="20718">
      <c r="N20718" s="28"/>
      <c r="O20718" s="28"/>
      <c r="U20718" s="28"/>
    </row>
    <row r="20719">
      <c r="N20719" s="28"/>
      <c r="O20719" s="28"/>
      <c r="U20719" s="28"/>
    </row>
    <row r="20720">
      <c r="N20720" s="28"/>
      <c r="O20720" s="28"/>
      <c r="U20720" s="28"/>
    </row>
    <row r="20721">
      <c r="N20721" s="28"/>
      <c r="O20721" s="28"/>
      <c r="U20721" s="28"/>
    </row>
    <row r="20722">
      <c r="N20722" s="28"/>
      <c r="O20722" s="28"/>
      <c r="U20722" s="28"/>
    </row>
    <row r="20723">
      <c r="N20723" s="28"/>
      <c r="O20723" s="28"/>
      <c r="U20723" s="28"/>
    </row>
    <row r="20724">
      <c r="N20724" s="28"/>
      <c r="O20724" s="28"/>
      <c r="U20724" s="28"/>
    </row>
    <row r="20725">
      <c r="N20725" s="28"/>
      <c r="O20725" s="28"/>
      <c r="U20725" s="28"/>
    </row>
    <row r="20726">
      <c r="N20726" s="28"/>
      <c r="O20726" s="28"/>
      <c r="U20726" s="28"/>
    </row>
    <row r="20727">
      <c r="N20727" s="28"/>
      <c r="O20727" s="28"/>
      <c r="U20727" s="28"/>
    </row>
    <row r="20728">
      <c r="N20728" s="28"/>
      <c r="O20728" s="28"/>
      <c r="U20728" s="28"/>
    </row>
    <row r="20729">
      <c r="N20729" s="28"/>
      <c r="O20729" s="28"/>
      <c r="U20729" s="28"/>
    </row>
    <row r="20730">
      <c r="N20730" s="28"/>
      <c r="O20730" s="28"/>
      <c r="U20730" s="28"/>
    </row>
    <row r="20731">
      <c r="N20731" s="28"/>
      <c r="O20731" s="28"/>
      <c r="U20731" s="28"/>
    </row>
    <row r="20732">
      <c r="N20732" s="28"/>
      <c r="O20732" s="28"/>
      <c r="U20732" s="28"/>
    </row>
    <row r="20733">
      <c r="N20733" s="28"/>
      <c r="O20733" s="28"/>
      <c r="U20733" s="28"/>
    </row>
    <row r="20734">
      <c r="N20734" s="28"/>
      <c r="O20734" s="28"/>
      <c r="U20734" s="28"/>
    </row>
    <row r="20735">
      <c r="N20735" s="28"/>
      <c r="O20735" s="28"/>
      <c r="U20735" s="28"/>
    </row>
    <row r="20736">
      <c r="N20736" s="28"/>
      <c r="O20736" s="28"/>
      <c r="U20736" s="28"/>
    </row>
    <row r="20737">
      <c r="N20737" s="28"/>
      <c r="O20737" s="28"/>
      <c r="U20737" s="28"/>
    </row>
    <row r="20738">
      <c r="N20738" s="28"/>
      <c r="O20738" s="28"/>
      <c r="U20738" s="28"/>
    </row>
    <row r="20739">
      <c r="N20739" s="28"/>
      <c r="O20739" s="28"/>
      <c r="U20739" s="28"/>
    </row>
    <row r="20740">
      <c r="N20740" s="28"/>
      <c r="O20740" s="28"/>
      <c r="U20740" s="28"/>
    </row>
    <row r="20741">
      <c r="N20741" s="28"/>
      <c r="O20741" s="28"/>
      <c r="U20741" s="28"/>
    </row>
    <row r="20742">
      <c r="N20742" s="28"/>
      <c r="O20742" s="28"/>
      <c r="U20742" s="28"/>
    </row>
    <row r="20743">
      <c r="N20743" s="28"/>
      <c r="O20743" s="28"/>
      <c r="U20743" s="28"/>
    </row>
    <row r="20744">
      <c r="N20744" s="28"/>
      <c r="O20744" s="28"/>
      <c r="U20744" s="28"/>
    </row>
    <row r="20745">
      <c r="N20745" s="28"/>
      <c r="O20745" s="28"/>
      <c r="U20745" s="28"/>
    </row>
    <row r="20746">
      <c r="N20746" s="28"/>
      <c r="O20746" s="28"/>
      <c r="U20746" s="28"/>
    </row>
    <row r="20747">
      <c r="N20747" s="28"/>
      <c r="O20747" s="28"/>
      <c r="U20747" s="28"/>
    </row>
    <row r="20748">
      <c r="N20748" s="28"/>
      <c r="O20748" s="28"/>
      <c r="U20748" s="28"/>
    </row>
    <row r="20749">
      <c r="N20749" s="28"/>
      <c r="O20749" s="28"/>
      <c r="U20749" s="28"/>
    </row>
    <row r="20750">
      <c r="N20750" s="28"/>
      <c r="O20750" s="28"/>
      <c r="U20750" s="28"/>
    </row>
    <row r="20751">
      <c r="N20751" s="28"/>
      <c r="O20751" s="28"/>
      <c r="U20751" s="28"/>
    </row>
    <row r="20752">
      <c r="N20752" s="28"/>
      <c r="O20752" s="28"/>
      <c r="U20752" s="28"/>
    </row>
    <row r="20753">
      <c r="N20753" s="28"/>
      <c r="O20753" s="28"/>
      <c r="U20753" s="28"/>
    </row>
    <row r="20754">
      <c r="N20754" s="28"/>
      <c r="O20754" s="28"/>
      <c r="U20754" s="28"/>
    </row>
    <row r="20755">
      <c r="N20755" s="28"/>
      <c r="O20755" s="28"/>
      <c r="U20755" s="28"/>
    </row>
    <row r="20756">
      <c r="N20756" s="28"/>
      <c r="O20756" s="28"/>
      <c r="U20756" s="28"/>
    </row>
    <row r="20757">
      <c r="N20757" s="28"/>
      <c r="O20757" s="28"/>
      <c r="U20757" s="28"/>
    </row>
    <row r="20758">
      <c r="N20758" s="28"/>
      <c r="O20758" s="28"/>
      <c r="U20758" s="28"/>
    </row>
    <row r="20759">
      <c r="N20759" s="28"/>
      <c r="O20759" s="28"/>
      <c r="U20759" s="28"/>
    </row>
    <row r="20760">
      <c r="N20760" s="28"/>
      <c r="O20760" s="28"/>
      <c r="U20760" s="28"/>
    </row>
    <row r="20761">
      <c r="N20761" s="28"/>
      <c r="O20761" s="28"/>
      <c r="U20761" s="28"/>
    </row>
    <row r="20762">
      <c r="N20762" s="28"/>
      <c r="O20762" s="28"/>
      <c r="U20762" s="28"/>
    </row>
    <row r="20763">
      <c r="N20763" s="28"/>
      <c r="O20763" s="28"/>
      <c r="U20763" s="28"/>
    </row>
    <row r="20764">
      <c r="N20764" s="28"/>
      <c r="O20764" s="28"/>
      <c r="U20764" s="28"/>
    </row>
    <row r="20765">
      <c r="N20765" s="28"/>
      <c r="O20765" s="28"/>
      <c r="U20765" s="28"/>
    </row>
    <row r="20766">
      <c r="N20766" s="28"/>
      <c r="O20766" s="28"/>
      <c r="U20766" s="28"/>
    </row>
    <row r="20767">
      <c r="N20767" s="28"/>
      <c r="O20767" s="28"/>
      <c r="U20767" s="28"/>
    </row>
    <row r="20768">
      <c r="N20768" s="28"/>
      <c r="O20768" s="28"/>
      <c r="U20768" s="28"/>
    </row>
    <row r="20769">
      <c r="N20769" s="28"/>
      <c r="O20769" s="28"/>
      <c r="U20769" s="28"/>
    </row>
    <row r="20770">
      <c r="N20770" s="28"/>
      <c r="O20770" s="28"/>
      <c r="U20770" s="28"/>
    </row>
    <row r="20771">
      <c r="N20771" s="28"/>
      <c r="O20771" s="28"/>
      <c r="U20771" s="28"/>
    </row>
    <row r="20772">
      <c r="N20772" s="28"/>
      <c r="O20772" s="28"/>
      <c r="U20772" s="28"/>
    </row>
    <row r="20773">
      <c r="N20773" s="28"/>
      <c r="O20773" s="28"/>
      <c r="U20773" s="28"/>
    </row>
    <row r="20774">
      <c r="N20774" s="28"/>
      <c r="O20774" s="28"/>
      <c r="U20774" s="28"/>
    </row>
    <row r="20775">
      <c r="N20775" s="28"/>
      <c r="O20775" s="28"/>
      <c r="U20775" s="28"/>
    </row>
    <row r="20776">
      <c r="N20776" s="28"/>
      <c r="O20776" s="28"/>
      <c r="U20776" s="28"/>
    </row>
    <row r="20777">
      <c r="N20777" s="28"/>
      <c r="O20777" s="28"/>
      <c r="U20777" s="28"/>
    </row>
    <row r="20778">
      <c r="N20778" s="28"/>
      <c r="O20778" s="28"/>
      <c r="U20778" s="28"/>
    </row>
    <row r="20779">
      <c r="N20779" s="28"/>
      <c r="O20779" s="28"/>
      <c r="U20779" s="28"/>
    </row>
    <row r="20780">
      <c r="N20780" s="28"/>
      <c r="O20780" s="28"/>
      <c r="U20780" s="28"/>
    </row>
    <row r="20781">
      <c r="N20781" s="28"/>
      <c r="O20781" s="28"/>
      <c r="U20781" s="28"/>
    </row>
    <row r="20782">
      <c r="N20782" s="28"/>
      <c r="O20782" s="28"/>
      <c r="U20782" s="28"/>
    </row>
    <row r="20783">
      <c r="N20783" s="28"/>
      <c r="O20783" s="28"/>
      <c r="U20783" s="28"/>
    </row>
    <row r="20784">
      <c r="N20784" s="28"/>
      <c r="O20784" s="28"/>
      <c r="U20784" s="28"/>
    </row>
    <row r="20785">
      <c r="N20785" s="28"/>
      <c r="O20785" s="28"/>
      <c r="U20785" s="28"/>
    </row>
    <row r="20786">
      <c r="N20786" s="28"/>
      <c r="O20786" s="28"/>
      <c r="U20786" s="28"/>
    </row>
    <row r="20787">
      <c r="N20787" s="28"/>
      <c r="O20787" s="28"/>
      <c r="U20787" s="28"/>
    </row>
    <row r="20788">
      <c r="N20788" s="28"/>
      <c r="O20788" s="28"/>
      <c r="U20788" s="28"/>
    </row>
    <row r="20789">
      <c r="N20789" s="28"/>
      <c r="O20789" s="28"/>
      <c r="U20789" s="28"/>
    </row>
    <row r="20790">
      <c r="N20790" s="28"/>
      <c r="O20790" s="28"/>
      <c r="U20790" s="28"/>
    </row>
    <row r="20791">
      <c r="N20791" s="28"/>
      <c r="O20791" s="28"/>
      <c r="U20791" s="28"/>
    </row>
    <row r="20792">
      <c r="N20792" s="28"/>
      <c r="O20792" s="28"/>
      <c r="U20792" s="28"/>
    </row>
    <row r="20793">
      <c r="N20793" s="28"/>
      <c r="O20793" s="28"/>
      <c r="U20793" s="28"/>
    </row>
    <row r="20794">
      <c r="N20794" s="28"/>
      <c r="O20794" s="28"/>
      <c r="U20794" s="28"/>
    </row>
    <row r="20795">
      <c r="N20795" s="28"/>
      <c r="O20795" s="28"/>
      <c r="U20795" s="28"/>
    </row>
    <row r="20796">
      <c r="N20796" s="28"/>
      <c r="O20796" s="28"/>
      <c r="U20796" s="28"/>
    </row>
    <row r="20797">
      <c r="N20797" s="28"/>
      <c r="O20797" s="28"/>
      <c r="U20797" s="28"/>
    </row>
    <row r="20798">
      <c r="N20798" s="28"/>
      <c r="O20798" s="28"/>
      <c r="U20798" s="28"/>
    </row>
    <row r="20799">
      <c r="N20799" s="28"/>
      <c r="O20799" s="28"/>
      <c r="U20799" s="28"/>
    </row>
    <row r="20800">
      <c r="N20800" s="28"/>
      <c r="O20800" s="28"/>
      <c r="U20800" s="28"/>
    </row>
    <row r="20801">
      <c r="N20801" s="28"/>
      <c r="O20801" s="28"/>
      <c r="U20801" s="28"/>
    </row>
    <row r="20802">
      <c r="N20802" s="28"/>
      <c r="O20802" s="28"/>
      <c r="U20802" s="28"/>
    </row>
    <row r="20803">
      <c r="N20803" s="28"/>
      <c r="O20803" s="28"/>
      <c r="U20803" s="28"/>
    </row>
    <row r="20804">
      <c r="N20804" s="28"/>
      <c r="O20804" s="28"/>
      <c r="U20804" s="28"/>
    </row>
    <row r="20805">
      <c r="N20805" s="28"/>
      <c r="O20805" s="28"/>
      <c r="U20805" s="28"/>
    </row>
    <row r="20806">
      <c r="N20806" s="28"/>
      <c r="O20806" s="28"/>
      <c r="U20806" s="28"/>
    </row>
    <row r="20807">
      <c r="N20807" s="28"/>
      <c r="O20807" s="28"/>
      <c r="U20807" s="28"/>
    </row>
    <row r="20808">
      <c r="N20808" s="28"/>
      <c r="O20808" s="28"/>
      <c r="U20808" s="28"/>
    </row>
    <row r="20809">
      <c r="N20809" s="28"/>
      <c r="O20809" s="28"/>
      <c r="U20809" s="28"/>
    </row>
    <row r="20810">
      <c r="N20810" s="28"/>
      <c r="O20810" s="28"/>
      <c r="U20810" s="28"/>
    </row>
    <row r="20811">
      <c r="N20811" s="28"/>
      <c r="O20811" s="28"/>
      <c r="U20811" s="28"/>
    </row>
    <row r="20812">
      <c r="N20812" s="28"/>
      <c r="O20812" s="28"/>
      <c r="U20812" s="28"/>
    </row>
    <row r="20813">
      <c r="N20813" s="28"/>
      <c r="O20813" s="28"/>
      <c r="U20813" s="28"/>
    </row>
    <row r="20814">
      <c r="N20814" s="28"/>
      <c r="O20814" s="28"/>
      <c r="U20814" s="28"/>
    </row>
    <row r="20815">
      <c r="N20815" s="28"/>
      <c r="O20815" s="28"/>
      <c r="U20815" s="28"/>
    </row>
    <row r="20816">
      <c r="N20816" s="28"/>
      <c r="O20816" s="28"/>
      <c r="U20816" s="28"/>
    </row>
    <row r="20817">
      <c r="N20817" s="28"/>
      <c r="O20817" s="28"/>
      <c r="U20817" s="28"/>
    </row>
    <row r="20818">
      <c r="N20818" s="28"/>
      <c r="O20818" s="28"/>
      <c r="U20818" s="28"/>
    </row>
    <row r="20819">
      <c r="N20819" s="28"/>
      <c r="O20819" s="28"/>
      <c r="U20819" s="28"/>
    </row>
    <row r="20820">
      <c r="N20820" s="28"/>
      <c r="O20820" s="28"/>
      <c r="U20820" s="28"/>
    </row>
    <row r="20821">
      <c r="N20821" s="28"/>
      <c r="O20821" s="28"/>
      <c r="U20821" s="28"/>
    </row>
    <row r="20822">
      <c r="N20822" s="28"/>
      <c r="O20822" s="28"/>
      <c r="U20822" s="28"/>
    </row>
    <row r="20823">
      <c r="N20823" s="28"/>
      <c r="O20823" s="28"/>
      <c r="U20823" s="28"/>
    </row>
    <row r="20824">
      <c r="N20824" s="28"/>
      <c r="O20824" s="28"/>
      <c r="U20824" s="28"/>
    </row>
    <row r="20825">
      <c r="N20825" s="28"/>
      <c r="O20825" s="28"/>
      <c r="U20825" s="28"/>
    </row>
    <row r="20826">
      <c r="N20826" s="28"/>
      <c r="O20826" s="28"/>
      <c r="U20826" s="28"/>
    </row>
    <row r="20827">
      <c r="N20827" s="28"/>
      <c r="O20827" s="28"/>
      <c r="U20827" s="28"/>
    </row>
    <row r="20828">
      <c r="N20828" s="28"/>
      <c r="O20828" s="28"/>
      <c r="U20828" s="28"/>
    </row>
    <row r="20829">
      <c r="N20829" s="28"/>
      <c r="O20829" s="28"/>
      <c r="U20829" s="28"/>
    </row>
    <row r="20830">
      <c r="N20830" s="28"/>
      <c r="O20830" s="28"/>
      <c r="U20830" s="28"/>
    </row>
    <row r="20831">
      <c r="N20831" s="28"/>
      <c r="O20831" s="28"/>
      <c r="U20831" s="28"/>
    </row>
    <row r="20832">
      <c r="N20832" s="28"/>
      <c r="O20832" s="28"/>
      <c r="U20832" s="28"/>
    </row>
    <row r="20833">
      <c r="N20833" s="28"/>
      <c r="O20833" s="28"/>
      <c r="U20833" s="28"/>
    </row>
    <row r="20834">
      <c r="N20834" s="28"/>
      <c r="O20834" s="28"/>
      <c r="U20834" s="28"/>
    </row>
    <row r="20835">
      <c r="N20835" s="28"/>
      <c r="O20835" s="28"/>
      <c r="U20835" s="28"/>
    </row>
    <row r="20836">
      <c r="N20836" s="28"/>
      <c r="O20836" s="28"/>
      <c r="U20836" s="28"/>
    </row>
    <row r="20837">
      <c r="N20837" s="28"/>
      <c r="O20837" s="28"/>
      <c r="U20837" s="28"/>
    </row>
    <row r="20838">
      <c r="N20838" s="28"/>
      <c r="O20838" s="28"/>
      <c r="U20838" s="28"/>
    </row>
    <row r="20839">
      <c r="N20839" s="28"/>
      <c r="O20839" s="28"/>
      <c r="U20839" s="28"/>
    </row>
    <row r="20840">
      <c r="N20840" s="28"/>
      <c r="O20840" s="28"/>
      <c r="U20840" s="28"/>
    </row>
    <row r="20841">
      <c r="N20841" s="28"/>
      <c r="O20841" s="28"/>
      <c r="U20841" s="28"/>
    </row>
    <row r="20842">
      <c r="N20842" s="28"/>
      <c r="O20842" s="28"/>
      <c r="U20842" s="28"/>
    </row>
    <row r="20843">
      <c r="N20843" s="28"/>
      <c r="O20843" s="28"/>
      <c r="U20843" s="28"/>
    </row>
    <row r="20844">
      <c r="N20844" s="28"/>
      <c r="O20844" s="28"/>
      <c r="U20844" s="28"/>
    </row>
    <row r="20845">
      <c r="N20845" s="28"/>
      <c r="O20845" s="28"/>
      <c r="U20845" s="28"/>
    </row>
    <row r="20846">
      <c r="N20846" s="28"/>
      <c r="O20846" s="28"/>
      <c r="U20846" s="28"/>
    </row>
    <row r="20847">
      <c r="N20847" s="28"/>
      <c r="O20847" s="28"/>
      <c r="U20847" s="28"/>
    </row>
    <row r="20848">
      <c r="N20848" s="28"/>
      <c r="O20848" s="28"/>
      <c r="U20848" s="28"/>
    </row>
    <row r="20849">
      <c r="N20849" s="28"/>
      <c r="O20849" s="28"/>
      <c r="U20849" s="28"/>
    </row>
    <row r="20850">
      <c r="N20850" s="28"/>
      <c r="O20850" s="28"/>
      <c r="U20850" s="28"/>
    </row>
    <row r="20851">
      <c r="N20851" s="28"/>
      <c r="O20851" s="28"/>
      <c r="U20851" s="28"/>
    </row>
    <row r="20852">
      <c r="N20852" s="28"/>
      <c r="O20852" s="28"/>
      <c r="U20852" s="28"/>
    </row>
    <row r="20853">
      <c r="N20853" s="28"/>
      <c r="O20853" s="28"/>
      <c r="U20853" s="28"/>
    </row>
    <row r="20854">
      <c r="N20854" s="28"/>
      <c r="O20854" s="28"/>
      <c r="U20854" s="28"/>
    </row>
    <row r="20855">
      <c r="N20855" s="28"/>
      <c r="O20855" s="28"/>
      <c r="U20855" s="28"/>
    </row>
    <row r="20856">
      <c r="N20856" s="28"/>
      <c r="O20856" s="28"/>
      <c r="U20856" s="28"/>
    </row>
    <row r="20857">
      <c r="N20857" s="28"/>
      <c r="O20857" s="28"/>
      <c r="U20857" s="28"/>
    </row>
    <row r="20858">
      <c r="N20858" s="28"/>
      <c r="O20858" s="28"/>
      <c r="U20858" s="28"/>
    </row>
    <row r="20859">
      <c r="N20859" s="28"/>
      <c r="O20859" s="28"/>
      <c r="U20859" s="28"/>
    </row>
    <row r="20860">
      <c r="N20860" s="28"/>
      <c r="O20860" s="28"/>
      <c r="U20860" s="28"/>
    </row>
    <row r="20861">
      <c r="N20861" s="28"/>
      <c r="O20861" s="28"/>
      <c r="U20861" s="28"/>
    </row>
    <row r="20862">
      <c r="N20862" s="28"/>
      <c r="O20862" s="28"/>
      <c r="U20862" s="28"/>
    </row>
    <row r="20863">
      <c r="N20863" s="28"/>
      <c r="O20863" s="28"/>
      <c r="U20863" s="28"/>
    </row>
    <row r="20864">
      <c r="N20864" s="28"/>
      <c r="O20864" s="28"/>
      <c r="U20864" s="28"/>
    </row>
    <row r="20865">
      <c r="N20865" s="28"/>
      <c r="O20865" s="28"/>
      <c r="U20865" s="28"/>
    </row>
    <row r="20866">
      <c r="N20866" s="28"/>
      <c r="O20866" s="28"/>
      <c r="U20866" s="28"/>
    </row>
    <row r="20867">
      <c r="N20867" s="28"/>
      <c r="O20867" s="28"/>
      <c r="U20867" s="28"/>
    </row>
    <row r="20868">
      <c r="N20868" s="28"/>
      <c r="O20868" s="28"/>
      <c r="U20868" s="28"/>
    </row>
    <row r="20869">
      <c r="N20869" s="28"/>
      <c r="O20869" s="28"/>
      <c r="U20869" s="28"/>
    </row>
    <row r="20870">
      <c r="N20870" s="28"/>
      <c r="O20870" s="28"/>
      <c r="U20870" s="28"/>
    </row>
    <row r="20871">
      <c r="N20871" s="28"/>
      <c r="O20871" s="28"/>
      <c r="U20871" s="28"/>
    </row>
    <row r="20872">
      <c r="N20872" s="28"/>
      <c r="O20872" s="28"/>
      <c r="U20872" s="28"/>
    </row>
    <row r="20873">
      <c r="N20873" s="28"/>
      <c r="O20873" s="28"/>
      <c r="U20873" s="28"/>
    </row>
    <row r="20874">
      <c r="N20874" s="28"/>
      <c r="O20874" s="28"/>
      <c r="U20874" s="28"/>
    </row>
    <row r="20875">
      <c r="N20875" s="28"/>
      <c r="O20875" s="28"/>
      <c r="U20875" s="28"/>
    </row>
    <row r="20876">
      <c r="N20876" s="28"/>
      <c r="O20876" s="28"/>
      <c r="U20876" s="28"/>
    </row>
    <row r="20877">
      <c r="N20877" s="28"/>
      <c r="O20877" s="28"/>
      <c r="U20877" s="28"/>
    </row>
    <row r="20878">
      <c r="N20878" s="28"/>
      <c r="O20878" s="28"/>
      <c r="U20878" s="28"/>
    </row>
    <row r="20879">
      <c r="N20879" s="28"/>
      <c r="O20879" s="28"/>
      <c r="U20879" s="28"/>
    </row>
    <row r="20880">
      <c r="N20880" s="28"/>
      <c r="O20880" s="28"/>
      <c r="U20880" s="28"/>
    </row>
    <row r="20881">
      <c r="N20881" s="28"/>
      <c r="O20881" s="28"/>
      <c r="U20881" s="28"/>
    </row>
    <row r="20882">
      <c r="N20882" s="28"/>
      <c r="O20882" s="28"/>
      <c r="U20882" s="28"/>
    </row>
    <row r="20883">
      <c r="N20883" s="28"/>
      <c r="O20883" s="28"/>
      <c r="U20883" s="28"/>
    </row>
    <row r="20884">
      <c r="N20884" s="28"/>
      <c r="O20884" s="28"/>
      <c r="U20884" s="28"/>
    </row>
    <row r="20885">
      <c r="N20885" s="28"/>
      <c r="O20885" s="28"/>
      <c r="U20885" s="28"/>
    </row>
    <row r="20886">
      <c r="N20886" s="28"/>
      <c r="O20886" s="28"/>
      <c r="U20886" s="28"/>
    </row>
    <row r="20887">
      <c r="N20887" s="28"/>
      <c r="O20887" s="28"/>
      <c r="U20887" s="28"/>
    </row>
    <row r="20888">
      <c r="N20888" s="28"/>
      <c r="O20888" s="28"/>
      <c r="U20888" s="28"/>
    </row>
    <row r="20889">
      <c r="N20889" s="28"/>
      <c r="O20889" s="28"/>
      <c r="U20889" s="28"/>
    </row>
    <row r="20890">
      <c r="N20890" s="28"/>
      <c r="O20890" s="28"/>
      <c r="U20890" s="28"/>
    </row>
    <row r="20891">
      <c r="N20891" s="28"/>
      <c r="O20891" s="28"/>
      <c r="U20891" s="28"/>
    </row>
    <row r="20892">
      <c r="N20892" s="28"/>
      <c r="O20892" s="28"/>
      <c r="U20892" s="28"/>
    </row>
    <row r="20893">
      <c r="N20893" s="28"/>
      <c r="O20893" s="28"/>
      <c r="U20893" s="28"/>
    </row>
    <row r="20894">
      <c r="N20894" s="28"/>
      <c r="O20894" s="28"/>
      <c r="U20894" s="28"/>
    </row>
    <row r="20895">
      <c r="N20895" s="28"/>
      <c r="O20895" s="28"/>
      <c r="U20895" s="28"/>
    </row>
    <row r="20896">
      <c r="N20896" s="28"/>
      <c r="O20896" s="28"/>
      <c r="U20896" s="28"/>
    </row>
    <row r="20897">
      <c r="N20897" s="28"/>
      <c r="O20897" s="28"/>
      <c r="U20897" s="28"/>
    </row>
    <row r="20898">
      <c r="N20898" s="28"/>
      <c r="O20898" s="28"/>
      <c r="U20898" s="28"/>
    </row>
    <row r="20899">
      <c r="N20899" s="28"/>
      <c r="O20899" s="28"/>
      <c r="U20899" s="28"/>
    </row>
    <row r="20900">
      <c r="N20900" s="28"/>
      <c r="O20900" s="28"/>
      <c r="U20900" s="28"/>
    </row>
    <row r="20901">
      <c r="N20901" s="28"/>
      <c r="O20901" s="28"/>
      <c r="U20901" s="28"/>
    </row>
    <row r="20902">
      <c r="N20902" s="28"/>
      <c r="O20902" s="28"/>
      <c r="U20902" s="28"/>
    </row>
    <row r="20903">
      <c r="N20903" s="28"/>
      <c r="O20903" s="28"/>
      <c r="U20903" s="28"/>
    </row>
    <row r="20904">
      <c r="N20904" s="28"/>
      <c r="O20904" s="28"/>
      <c r="U20904" s="28"/>
    </row>
    <row r="20905">
      <c r="N20905" s="28"/>
      <c r="O20905" s="28"/>
      <c r="U20905" s="28"/>
    </row>
    <row r="20906">
      <c r="N20906" s="28"/>
      <c r="O20906" s="28"/>
      <c r="U20906" s="28"/>
    </row>
    <row r="20907">
      <c r="N20907" s="28"/>
      <c r="O20907" s="28"/>
      <c r="U20907" s="28"/>
    </row>
    <row r="20908">
      <c r="N20908" s="28"/>
      <c r="O20908" s="28"/>
      <c r="U20908" s="28"/>
    </row>
    <row r="20909">
      <c r="N20909" s="28"/>
      <c r="O20909" s="28"/>
      <c r="U20909" s="28"/>
    </row>
    <row r="20910">
      <c r="N20910" s="28"/>
      <c r="O20910" s="28"/>
      <c r="U20910" s="28"/>
    </row>
    <row r="20911">
      <c r="N20911" s="28"/>
      <c r="O20911" s="28"/>
      <c r="U20911" s="28"/>
    </row>
    <row r="20912">
      <c r="N20912" s="28"/>
      <c r="O20912" s="28"/>
      <c r="U20912" s="28"/>
    </row>
    <row r="20913">
      <c r="N20913" s="28"/>
      <c r="O20913" s="28"/>
      <c r="U20913" s="28"/>
    </row>
    <row r="20914">
      <c r="N20914" s="28"/>
      <c r="O20914" s="28"/>
      <c r="U20914" s="28"/>
    </row>
    <row r="20915">
      <c r="N20915" s="28"/>
      <c r="O20915" s="28"/>
      <c r="U20915" s="28"/>
    </row>
    <row r="20916">
      <c r="N20916" s="28"/>
      <c r="O20916" s="28"/>
      <c r="U20916" s="28"/>
    </row>
    <row r="20917">
      <c r="N20917" s="28"/>
      <c r="O20917" s="28"/>
      <c r="U20917" s="28"/>
    </row>
    <row r="20918">
      <c r="N20918" s="28"/>
      <c r="O20918" s="28"/>
      <c r="U20918" s="28"/>
    </row>
    <row r="20919">
      <c r="N20919" s="28"/>
      <c r="O20919" s="28"/>
      <c r="U20919" s="28"/>
    </row>
    <row r="20920">
      <c r="N20920" s="28"/>
      <c r="O20920" s="28"/>
      <c r="U20920" s="28"/>
    </row>
    <row r="20921">
      <c r="N20921" s="28"/>
      <c r="O20921" s="28"/>
      <c r="U20921" s="28"/>
    </row>
    <row r="20922">
      <c r="N20922" s="28"/>
      <c r="O20922" s="28"/>
      <c r="U20922" s="28"/>
    </row>
    <row r="20923">
      <c r="N20923" s="28"/>
      <c r="O20923" s="28"/>
      <c r="U20923" s="28"/>
    </row>
    <row r="20924">
      <c r="N20924" s="28"/>
      <c r="O20924" s="28"/>
      <c r="U20924" s="28"/>
    </row>
    <row r="20925">
      <c r="N20925" s="28"/>
      <c r="O20925" s="28"/>
      <c r="U20925" s="28"/>
    </row>
    <row r="20926">
      <c r="N20926" s="28"/>
      <c r="O20926" s="28"/>
      <c r="U20926" s="28"/>
    </row>
    <row r="20927">
      <c r="N20927" s="28"/>
      <c r="O20927" s="28"/>
      <c r="U20927" s="28"/>
    </row>
    <row r="20928">
      <c r="N20928" s="28"/>
      <c r="O20928" s="28"/>
      <c r="U20928" s="28"/>
    </row>
    <row r="20929">
      <c r="N20929" s="28"/>
      <c r="O20929" s="28"/>
      <c r="U20929" s="28"/>
    </row>
    <row r="20930">
      <c r="N20930" s="28"/>
      <c r="O20930" s="28"/>
      <c r="U20930" s="28"/>
    </row>
    <row r="20931">
      <c r="N20931" s="28"/>
      <c r="O20931" s="28"/>
      <c r="U20931" s="28"/>
    </row>
    <row r="20932">
      <c r="N20932" s="28"/>
      <c r="O20932" s="28"/>
      <c r="U20932" s="28"/>
    </row>
    <row r="20933">
      <c r="N20933" s="28"/>
      <c r="O20933" s="28"/>
      <c r="U20933" s="28"/>
    </row>
    <row r="20934">
      <c r="N20934" s="28"/>
      <c r="O20934" s="28"/>
      <c r="U20934" s="28"/>
    </row>
    <row r="20935">
      <c r="N20935" s="28"/>
      <c r="O20935" s="28"/>
      <c r="U20935" s="28"/>
    </row>
    <row r="20936">
      <c r="N20936" s="28"/>
      <c r="O20936" s="28"/>
      <c r="U20936" s="28"/>
    </row>
    <row r="20937">
      <c r="N20937" s="28"/>
      <c r="O20937" s="28"/>
      <c r="U20937" s="28"/>
    </row>
    <row r="20938">
      <c r="N20938" s="28"/>
      <c r="O20938" s="28"/>
      <c r="U20938" s="28"/>
    </row>
    <row r="20939">
      <c r="N20939" s="28"/>
      <c r="O20939" s="28"/>
      <c r="U20939" s="28"/>
    </row>
    <row r="20940">
      <c r="N20940" s="28"/>
      <c r="O20940" s="28"/>
      <c r="U20940" s="28"/>
    </row>
    <row r="20941">
      <c r="N20941" s="28"/>
      <c r="O20941" s="28"/>
      <c r="U20941" s="28"/>
    </row>
    <row r="20942">
      <c r="N20942" s="28"/>
      <c r="O20942" s="28"/>
      <c r="U20942" s="28"/>
    </row>
    <row r="20943">
      <c r="N20943" s="28"/>
      <c r="O20943" s="28"/>
      <c r="U20943" s="28"/>
    </row>
    <row r="20944">
      <c r="N20944" s="28"/>
      <c r="O20944" s="28"/>
      <c r="U20944" s="28"/>
    </row>
    <row r="20945">
      <c r="N20945" s="28"/>
      <c r="O20945" s="28"/>
      <c r="U20945" s="28"/>
    </row>
    <row r="20946">
      <c r="N20946" s="28"/>
      <c r="O20946" s="28"/>
      <c r="U20946" s="28"/>
    </row>
    <row r="20947">
      <c r="N20947" s="28"/>
      <c r="O20947" s="28"/>
      <c r="U20947" s="28"/>
    </row>
    <row r="20948">
      <c r="N20948" s="28"/>
      <c r="O20948" s="28"/>
      <c r="U20948" s="28"/>
    </row>
    <row r="20949">
      <c r="N20949" s="28"/>
      <c r="O20949" s="28"/>
      <c r="U20949" s="28"/>
    </row>
    <row r="20950">
      <c r="N20950" s="28"/>
      <c r="O20950" s="28"/>
      <c r="U20950" s="28"/>
    </row>
    <row r="20951">
      <c r="N20951" s="28"/>
      <c r="O20951" s="28"/>
      <c r="U20951" s="28"/>
    </row>
    <row r="20952">
      <c r="N20952" s="28"/>
      <c r="O20952" s="28"/>
      <c r="U20952" s="28"/>
    </row>
    <row r="20953">
      <c r="N20953" s="28"/>
      <c r="O20953" s="28"/>
      <c r="U20953" s="28"/>
    </row>
    <row r="20954">
      <c r="N20954" s="28"/>
      <c r="O20954" s="28"/>
      <c r="U20954" s="28"/>
    </row>
    <row r="20955">
      <c r="N20955" s="28"/>
      <c r="O20955" s="28"/>
      <c r="U20955" s="28"/>
    </row>
    <row r="20956">
      <c r="N20956" s="28"/>
      <c r="O20956" s="28"/>
      <c r="U20956" s="28"/>
    </row>
    <row r="20957">
      <c r="N20957" s="28"/>
      <c r="O20957" s="28"/>
      <c r="U20957" s="28"/>
    </row>
    <row r="20958">
      <c r="N20958" s="28"/>
      <c r="O20958" s="28"/>
      <c r="U20958" s="28"/>
    </row>
    <row r="20959">
      <c r="N20959" s="28"/>
      <c r="O20959" s="28"/>
      <c r="U20959" s="28"/>
    </row>
    <row r="20960">
      <c r="N20960" s="28"/>
      <c r="O20960" s="28"/>
      <c r="U20960" s="28"/>
    </row>
    <row r="20961">
      <c r="N20961" s="28"/>
      <c r="O20961" s="28"/>
      <c r="U20961" s="28"/>
    </row>
    <row r="20962">
      <c r="N20962" s="28"/>
      <c r="O20962" s="28"/>
      <c r="U20962" s="28"/>
    </row>
    <row r="20963">
      <c r="N20963" s="28"/>
      <c r="O20963" s="28"/>
      <c r="U20963" s="28"/>
    </row>
    <row r="20964">
      <c r="N20964" s="28"/>
      <c r="O20964" s="28"/>
      <c r="U20964" s="28"/>
    </row>
    <row r="20965">
      <c r="N20965" s="28"/>
      <c r="O20965" s="28"/>
      <c r="U20965" s="28"/>
    </row>
    <row r="20966">
      <c r="N20966" s="28"/>
      <c r="O20966" s="28"/>
      <c r="U20966" s="28"/>
    </row>
    <row r="20967">
      <c r="N20967" s="28"/>
      <c r="O20967" s="28"/>
      <c r="U20967" s="28"/>
    </row>
    <row r="20968">
      <c r="N20968" s="28"/>
      <c r="O20968" s="28"/>
      <c r="U20968" s="28"/>
    </row>
    <row r="20969">
      <c r="N20969" s="28"/>
      <c r="O20969" s="28"/>
      <c r="U20969" s="28"/>
    </row>
    <row r="20970">
      <c r="N20970" s="28"/>
      <c r="O20970" s="28"/>
      <c r="U20970" s="28"/>
    </row>
    <row r="20971">
      <c r="N20971" s="28"/>
      <c r="O20971" s="28"/>
      <c r="U20971" s="28"/>
    </row>
    <row r="20972">
      <c r="N20972" s="28"/>
      <c r="O20972" s="28"/>
      <c r="U20972" s="28"/>
    </row>
    <row r="20973">
      <c r="N20973" s="28"/>
      <c r="O20973" s="28"/>
      <c r="U20973" s="28"/>
    </row>
    <row r="20974">
      <c r="N20974" s="28"/>
      <c r="O20974" s="28"/>
      <c r="U20974" s="28"/>
    </row>
    <row r="20975">
      <c r="N20975" s="28"/>
      <c r="O20975" s="28"/>
      <c r="U20975" s="28"/>
    </row>
    <row r="20976">
      <c r="N20976" s="28"/>
      <c r="O20976" s="28"/>
      <c r="U20976" s="28"/>
    </row>
    <row r="20977">
      <c r="N20977" s="28"/>
      <c r="O20977" s="28"/>
      <c r="U20977" s="28"/>
    </row>
    <row r="20978">
      <c r="N20978" s="28"/>
      <c r="O20978" s="28"/>
      <c r="U20978" s="28"/>
    </row>
    <row r="20979">
      <c r="N20979" s="28"/>
      <c r="O20979" s="28"/>
      <c r="U20979" s="28"/>
    </row>
    <row r="20980">
      <c r="N20980" s="28"/>
      <c r="O20980" s="28"/>
      <c r="U20980" s="28"/>
    </row>
    <row r="20981">
      <c r="N20981" s="28"/>
      <c r="O20981" s="28"/>
      <c r="U20981" s="28"/>
    </row>
    <row r="20982">
      <c r="N20982" s="28"/>
      <c r="O20982" s="28"/>
      <c r="U20982" s="28"/>
    </row>
    <row r="20983">
      <c r="N20983" s="28"/>
      <c r="O20983" s="28"/>
      <c r="U20983" s="28"/>
    </row>
    <row r="20984">
      <c r="N20984" s="28"/>
      <c r="O20984" s="28"/>
      <c r="U20984" s="28"/>
    </row>
    <row r="20985">
      <c r="N20985" s="28"/>
      <c r="O20985" s="28"/>
      <c r="U20985" s="28"/>
    </row>
    <row r="20986">
      <c r="N20986" s="28"/>
      <c r="O20986" s="28"/>
      <c r="U20986" s="28"/>
    </row>
    <row r="20987">
      <c r="N20987" s="28"/>
      <c r="O20987" s="28"/>
      <c r="U20987" s="28"/>
    </row>
    <row r="20988">
      <c r="N20988" s="28"/>
      <c r="O20988" s="28"/>
      <c r="U20988" s="28"/>
    </row>
    <row r="20989">
      <c r="N20989" s="28"/>
      <c r="O20989" s="28"/>
      <c r="U20989" s="28"/>
    </row>
    <row r="20990">
      <c r="N20990" s="28"/>
      <c r="O20990" s="28"/>
      <c r="U20990" s="28"/>
    </row>
    <row r="20991">
      <c r="N20991" s="28"/>
      <c r="O20991" s="28"/>
      <c r="U20991" s="28"/>
    </row>
    <row r="20992">
      <c r="N20992" s="28"/>
      <c r="O20992" s="28"/>
      <c r="U20992" s="28"/>
    </row>
    <row r="20993">
      <c r="N20993" s="28"/>
      <c r="O20993" s="28"/>
      <c r="U20993" s="28"/>
    </row>
    <row r="20994">
      <c r="N20994" s="28"/>
      <c r="O20994" s="28"/>
      <c r="U20994" s="28"/>
    </row>
    <row r="20995">
      <c r="N20995" s="28"/>
      <c r="O20995" s="28"/>
      <c r="U20995" s="28"/>
    </row>
    <row r="20996">
      <c r="N20996" s="28"/>
      <c r="O20996" s="28"/>
      <c r="U20996" s="28"/>
    </row>
    <row r="20997">
      <c r="N20997" s="28"/>
      <c r="O20997" s="28"/>
      <c r="U20997" s="28"/>
    </row>
    <row r="20998">
      <c r="N20998" s="28"/>
      <c r="O20998" s="28"/>
      <c r="U20998" s="28"/>
    </row>
    <row r="20999">
      <c r="N20999" s="28"/>
      <c r="O20999" s="28"/>
      <c r="U20999" s="28"/>
    </row>
    <row r="21000">
      <c r="N21000" s="28"/>
      <c r="O21000" s="28"/>
      <c r="U21000" s="28"/>
    </row>
    <row r="21001">
      <c r="N21001" s="28"/>
      <c r="O21001" s="28"/>
      <c r="U21001" s="28"/>
    </row>
    <row r="21002">
      <c r="N21002" s="28"/>
      <c r="O21002" s="28"/>
      <c r="U21002" s="28"/>
    </row>
    <row r="21003">
      <c r="N21003" s="28"/>
      <c r="O21003" s="28"/>
      <c r="U21003" s="28"/>
    </row>
    <row r="21004">
      <c r="N21004" s="28"/>
      <c r="O21004" s="28"/>
      <c r="U21004" s="28"/>
    </row>
    <row r="21005">
      <c r="N21005" s="28"/>
      <c r="O21005" s="28"/>
      <c r="U21005" s="28"/>
    </row>
    <row r="21006">
      <c r="N21006" s="28"/>
      <c r="O21006" s="28"/>
      <c r="U21006" s="28"/>
    </row>
    <row r="21007">
      <c r="N21007" s="28"/>
      <c r="O21007" s="28"/>
      <c r="U21007" s="28"/>
    </row>
    <row r="21008">
      <c r="N21008" s="28"/>
      <c r="O21008" s="28"/>
      <c r="U21008" s="28"/>
    </row>
    <row r="21009">
      <c r="N21009" s="28"/>
      <c r="O21009" s="28"/>
      <c r="U21009" s="28"/>
    </row>
    <row r="21010">
      <c r="N21010" s="28"/>
      <c r="O21010" s="28"/>
      <c r="U21010" s="28"/>
    </row>
    <row r="21011">
      <c r="N21011" s="28"/>
      <c r="O21011" s="28"/>
      <c r="U21011" s="28"/>
    </row>
    <row r="21012">
      <c r="N21012" s="28"/>
      <c r="O21012" s="28"/>
      <c r="U21012" s="28"/>
    </row>
    <row r="21013">
      <c r="N21013" s="28"/>
      <c r="O21013" s="28"/>
      <c r="U21013" s="28"/>
    </row>
    <row r="21014">
      <c r="N21014" s="28"/>
      <c r="O21014" s="28"/>
      <c r="U21014" s="28"/>
    </row>
    <row r="21015">
      <c r="N21015" s="28"/>
      <c r="O21015" s="28"/>
      <c r="U21015" s="28"/>
    </row>
    <row r="21016">
      <c r="N21016" s="28"/>
      <c r="O21016" s="28"/>
      <c r="U21016" s="28"/>
    </row>
    <row r="21017">
      <c r="N21017" s="28"/>
      <c r="O21017" s="28"/>
      <c r="U21017" s="28"/>
    </row>
    <row r="21018">
      <c r="N21018" s="28"/>
      <c r="O21018" s="28"/>
      <c r="U21018" s="28"/>
    </row>
    <row r="21019">
      <c r="N21019" s="28"/>
      <c r="O21019" s="28"/>
      <c r="U21019" s="28"/>
    </row>
    <row r="21020">
      <c r="N21020" s="28"/>
      <c r="O21020" s="28"/>
      <c r="U21020" s="28"/>
    </row>
    <row r="21021">
      <c r="N21021" s="28"/>
      <c r="O21021" s="28"/>
      <c r="U21021" s="28"/>
    </row>
    <row r="21022">
      <c r="N21022" s="28"/>
      <c r="O21022" s="28"/>
      <c r="U21022" s="28"/>
    </row>
    <row r="21023">
      <c r="N21023" s="28"/>
      <c r="O21023" s="28"/>
      <c r="U21023" s="28"/>
    </row>
    <row r="21024">
      <c r="N21024" s="28"/>
      <c r="O21024" s="28"/>
      <c r="U21024" s="28"/>
    </row>
    <row r="21025">
      <c r="N21025" s="28"/>
      <c r="O21025" s="28"/>
      <c r="U21025" s="28"/>
    </row>
    <row r="21026">
      <c r="N21026" s="28"/>
      <c r="O21026" s="28"/>
      <c r="U21026" s="28"/>
    </row>
    <row r="21027">
      <c r="N21027" s="28"/>
      <c r="O21027" s="28"/>
      <c r="U21027" s="28"/>
    </row>
    <row r="21028">
      <c r="N21028" s="28"/>
      <c r="O21028" s="28"/>
      <c r="U21028" s="28"/>
    </row>
    <row r="21029">
      <c r="N21029" s="28"/>
      <c r="O21029" s="28"/>
      <c r="U21029" s="28"/>
    </row>
    <row r="21030">
      <c r="N21030" s="28"/>
      <c r="O21030" s="28"/>
      <c r="U21030" s="28"/>
    </row>
    <row r="21031">
      <c r="N21031" s="28"/>
      <c r="O21031" s="28"/>
      <c r="U21031" s="28"/>
    </row>
    <row r="21032">
      <c r="N21032" s="28"/>
      <c r="O21032" s="28"/>
      <c r="U21032" s="28"/>
    </row>
    <row r="21033">
      <c r="N21033" s="28"/>
      <c r="O21033" s="28"/>
      <c r="U21033" s="28"/>
    </row>
    <row r="21034">
      <c r="N21034" s="28"/>
      <c r="O21034" s="28"/>
      <c r="U21034" s="28"/>
    </row>
    <row r="21035">
      <c r="N21035" s="28"/>
      <c r="O21035" s="28"/>
      <c r="U21035" s="28"/>
    </row>
    <row r="21036">
      <c r="N21036" s="28"/>
      <c r="O21036" s="28"/>
      <c r="U21036" s="28"/>
    </row>
    <row r="21037">
      <c r="N21037" s="28"/>
      <c r="O21037" s="28"/>
      <c r="U21037" s="28"/>
    </row>
    <row r="21038">
      <c r="N21038" s="28"/>
      <c r="O21038" s="28"/>
      <c r="U21038" s="28"/>
    </row>
    <row r="21039">
      <c r="N21039" s="28"/>
      <c r="O21039" s="28"/>
      <c r="U21039" s="28"/>
    </row>
    <row r="21040">
      <c r="N21040" s="28"/>
      <c r="O21040" s="28"/>
      <c r="U21040" s="28"/>
    </row>
    <row r="21041">
      <c r="N21041" s="28"/>
      <c r="O21041" s="28"/>
      <c r="U21041" s="28"/>
    </row>
    <row r="21042">
      <c r="N21042" s="28"/>
      <c r="O21042" s="28"/>
      <c r="U21042" s="28"/>
    </row>
    <row r="21043">
      <c r="N21043" s="28"/>
      <c r="O21043" s="28"/>
      <c r="U21043" s="28"/>
    </row>
    <row r="21044">
      <c r="N21044" s="28"/>
      <c r="O21044" s="28"/>
      <c r="U21044" s="28"/>
    </row>
    <row r="21045">
      <c r="N21045" s="28"/>
      <c r="O21045" s="28"/>
      <c r="U21045" s="28"/>
    </row>
    <row r="21046">
      <c r="N21046" s="28"/>
      <c r="O21046" s="28"/>
      <c r="U21046" s="28"/>
    </row>
    <row r="21047">
      <c r="N21047" s="28"/>
      <c r="O21047" s="28"/>
      <c r="U21047" s="28"/>
    </row>
    <row r="21048">
      <c r="N21048" s="28"/>
      <c r="O21048" s="28"/>
      <c r="U21048" s="28"/>
    </row>
    <row r="21049">
      <c r="N21049" s="28"/>
      <c r="O21049" s="28"/>
      <c r="U21049" s="28"/>
    </row>
    <row r="21050">
      <c r="N21050" s="28"/>
      <c r="O21050" s="28"/>
      <c r="U21050" s="28"/>
    </row>
    <row r="21051">
      <c r="N21051" s="28"/>
      <c r="O21051" s="28"/>
      <c r="U21051" s="28"/>
    </row>
    <row r="21052">
      <c r="N21052" s="28"/>
      <c r="O21052" s="28"/>
      <c r="U21052" s="28"/>
    </row>
    <row r="21053">
      <c r="N21053" s="28"/>
      <c r="O21053" s="28"/>
      <c r="U21053" s="28"/>
    </row>
    <row r="21054">
      <c r="N21054" s="28"/>
      <c r="O21054" s="28"/>
      <c r="U21054" s="28"/>
    </row>
    <row r="21055">
      <c r="N21055" s="28"/>
      <c r="O21055" s="28"/>
      <c r="U21055" s="28"/>
    </row>
    <row r="21056">
      <c r="N21056" s="28"/>
      <c r="O21056" s="28"/>
      <c r="U21056" s="28"/>
    </row>
    <row r="21057">
      <c r="N21057" s="28"/>
      <c r="O21057" s="28"/>
      <c r="U21057" s="28"/>
    </row>
    <row r="21058">
      <c r="N21058" s="28"/>
      <c r="O21058" s="28"/>
      <c r="U21058" s="28"/>
    </row>
    <row r="21059">
      <c r="N21059" s="28"/>
      <c r="O21059" s="28"/>
      <c r="U21059" s="28"/>
    </row>
    <row r="21060">
      <c r="N21060" s="28"/>
      <c r="O21060" s="28"/>
      <c r="U21060" s="28"/>
    </row>
    <row r="21061">
      <c r="N21061" s="28"/>
      <c r="O21061" s="28"/>
      <c r="U21061" s="28"/>
    </row>
    <row r="21062">
      <c r="N21062" s="28"/>
      <c r="O21062" s="28"/>
      <c r="U21062" s="28"/>
    </row>
    <row r="21063">
      <c r="N21063" s="28"/>
      <c r="O21063" s="28"/>
      <c r="U21063" s="28"/>
    </row>
    <row r="21064">
      <c r="N21064" s="28"/>
      <c r="O21064" s="28"/>
      <c r="U21064" s="28"/>
    </row>
    <row r="21065">
      <c r="N21065" s="28"/>
      <c r="O21065" s="28"/>
      <c r="U21065" s="28"/>
    </row>
    <row r="21066">
      <c r="N21066" s="28"/>
      <c r="O21066" s="28"/>
      <c r="U21066" s="28"/>
    </row>
    <row r="21067">
      <c r="N21067" s="28"/>
      <c r="O21067" s="28"/>
      <c r="U21067" s="28"/>
    </row>
    <row r="21068">
      <c r="N21068" s="28"/>
      <c r="O21068" s="28"/>
      <c r="U21068" s="28"/>
    </row>
    <row r="21069">
      <c r="N21069" s="28"/>
      <c r="O21069" s="28"/>
      <c r="U21069" s="28"/>
    </row>
    <row r="21070">
      <c r="N21070" s="28"/>
      <c r="O21070" s="28"/>
      <c r="U21070" s="28"/>
    </row>
    <row r="21071">
      <c r="N21071" s="28"/>
      <c r="O21071" s="28"/>
      <c r="U21071" s="28"/>
    </row>
    <row r="21072">
      <c r="N21072" s="28"/>
      <c r="O21072" s="28"/>
      <c r="U21072" s="28"/>
    </row>
    <row r="21073">
      <c r="N21073" s="28"/>
      <c r="O21073" s="28"/>
      <c r="U21073" s="28"/>
    </row>
    <row r="21074">
      <c r="N21074" s="28"/>
      <c r="O21074" s="28"/>
      <c r="U21074" s="28"/>
    </row>
    <row r="21075">
      <c r="N21075" s="28"/>
      <c r="O21075" s="28"/>
      <c r="U21075" s="28"/>
    </row>
    <row r="21076">
      <c r="N21076" s="28"/>
      <c r="O21076" s="28"/>
      <c r="U21076" s="28"/>
    </row>
    <row r="21077">
      <c r="N21077" s="28"/>
      <c r="O21077" s="28"/>
      <c r="U21077" s="28"/>
    </row>
    <row r="21078">
      <c r="N21078" s="28"/>
      <c r="O21078" s="28"/>
      <c r="U21078" s="28"/>
    </row>
    <row r="21079">
      <c r="N21079" s="28"/>
      <c r="O21079" s="28"/>
      <c r="U21079" s="28"/>
    </row>
    <row r="21080">
      <c r="N21080" s="28"/>
      <c r="O21080" s="28"/>
      <c r="U21080" s="28"/>
    </row>
    <row r="21081">
      <c r="N21081" s="28"/>
      <c r="O21081" s="28"/>
      <c r="U21081" s="28"/>
    </row>
    <row r="21082">
      <c r="N21082" s="28"/>
      <c r="O21082" s="28"/>
      <c r="U21082" s="28"/>
    </row>
    <row r="21083">
      <c r="N21083" s="28"/>
      <c r="O21083" s="28"/>
      <c r="U21083" s="28"/>
    </row>
    <row r="21084">
      <c r="N21084" s="28"/>
      <c r="O21084" s="28"/>
      <c r="U21084" s="28"/>
    </row>
    <row r="21085">
      <c r="N21085" s="28"/>
      <c r="O21085" s="28"/>
      <c r="U21085" s="28"/>
    </row>
    <row r="21086">
      <c r="N21086" s="28"/>
      <c r="O21086" s="28"/>
      <c r="U21086" s="28"/>
    </row>
    <row r="21087">
      <c r="N21087" s="28"/>
      <c r="O21087" s="28"/>
      <c r="U21087" s="28"/>
    </row>
    <row r="21088">
      <c r="N21088" s="28"/>
      <c r="O21088" s="28"/>
      <c r="U21088" s="28"/>
    </row>
    <row r="21089">
      <c r="N21089" s="28"/>
      <c r="O21089" s="28"/>
      <c r="U21089" s="28"/>
    </row>
    <row r="21090">
      <c r="N21090" s="28"/>
      <c r="O21090" s="28"/>
      <c r="U21090" s="28"/>
    </row>
    <row r="21091">
      <c r="N21091" s="28"/>
      <c r="O21091" s="28"/>
      <c r="U21091" s="28"/>
    </row>
    <row r="21092">
      <c r="N21092" s="28"/>
      <c r="O21092" s="28"/>
      <c r="U21092" s="28"/>
    </row>
    <row r="21093">
      <c r="N21093" s="28"/>
      <c r="O21093" s="28"/>
      <c r="U21093" s="28"/>
    </row>
    <row r="21094">
      <c r="N21094" s="28"/>
      <c r="O21094" s="28"/>
      <c r="U21094" s="28"/>
    </row>
    <row r="21095">
      <c r="N21095" s="28"/>
      <c r="O21095" s="28"/>
      <c r="U21095" s="28"/>
    </row>
    <row r="21096">
      <c r="N21096" s="28"/>
      <c r="O21096" s="28"/>
      <c r="U21096" s="28"/>
    </row>
    <row r="21097">
      <c r="N21097" s="28"/>
      <c r="O21097" s="28"/>
      <c r="U21097" s="28"/>
    </row>
    <row r="21098">
      <c r="N21098" s="28"/>
      <c r="O21098" s="28"/>
      <c r="U21098" s="28"/>
    </row>
    <row r="21099">
      <c r="N21099" s="28"/>
      <c r="O21099" s="28"/>
      <c r="U21099" s="28"/>
    </row>
    <row r="21100">
      <c r="N21100" s="28"/>
      <c r="O21100" s="28"/>
      <c r="U21100" s="28"/>
    </row>
    <row r="21101">
      <c r="N21101" s="28"/>
      <c r="O21101" s="28"/>
      <c r="U21101" s="28"/>
    </row>
    <row r="21102">
      <c r="N21102" s="28"/>
      <c r="O21102" s="28"/>
      <c r="U21102" s="28"/>
    </row>
    <row r="21103">
      <c r="N21103" s="28"/>
      <c r="O21103" s="28"/>
      <c r="U21103" s="28"/>
    </row>
    <row r="21104">
      <c r="N21104" s="28"/>
      <c r="O21104" s="28"/>
      <c r="U21104" s="28"/>
    </row>
    <row r="21105">
      <c r="N21105" s="28"/>
      <c r="O21105" s="28"/>
      <c r="U21105" s="28"/>
    </row>
    <row r="21106">
      <c r="N21106" s="28"/>
      <c r="O21106" s="28"/>
      <c r="U21106" s="28"/>
    </row>
    <row r="21107">
      <c r="N21107" s="28"/>
      <c r="O21107" s="28"/>
      <c r="U21107" s="28"/>
    </row>
    <row r="21108">
      <c r="N21108" s="28"/>
      <c r="O21108" s="28"/>
      <c r="U21108" s="28"/>
    </row>
    <row r="21109">
      <c r="N21109" s="28"/>
      <c r="O21109" s="28"/>
      <c r="U21109" s="28"/>
    </row>
    <row r="21110">
      <c r="N21110" s="28"/>
      <c r="O21110" s="28"/>
      <c r="U21110" s="28"/>
    </row>
    <row r="21111">
      <c r="N21111" s="28"/>
      <c r="O21111" s="28"/>
      <c r="U21111" s="28"/>
    </row>
    <row r="21112">
      <c r="N21112" s="28"/>
      <c r="O21112" s="28"/>
      <c r="U21112" s="28"/>
    </row>
    <row r="21113">
      <c r="N21113" s="28"/>
      <c r="O21113" s="28"/>
      <c r="U21113" s="28"/>
    </row>
    <row r="21114">
      <c r="N21114" s="28"/>
      <c r="O21114" s="28"/>
      <c r="U21114" s="28"/>
    </row>
    <row r="21115">
      <c r="N21115" s="28"/>
      <c r="O21115" s="28"/>
      <c r="U21115" s="28"/>
    </row>
    <row r="21116">
      <c r="N21116" s="28"/>
      <c r="O21116" s="28"/>
      <c r="U21116" s="28"/>
    </row>
    <row r="21117">
      <c r="N21117" s="28"/>
      <c r="O21117" s="28"/>
      <c r="U21117" s="28"/>
    </row>
    <row r="21118">
      <c r="N21118" s="28"/>
      <c r="O21118" s="28"/>
      <c r="U21118" s="28"/>
    </row>
    <row r="21119">
      <c r="N21119" s="28"/>
      <c r="O21119" s="28"/>
      <c r="U21119" s="28"/>
    </row>
    <row r="21120">
      <c r="N21120" s="28"/>
      <c r="O21120" s="28"/>
      <c r="U21120" s="28"/>
    </row>
    <row r="21121">
      <c r="N21121" s="28"/>
      <c r="O21121" s="28"/>
      <c r="U21121" s="28"/>
    </row>
    <row r="21122">
      <c r="N21122" s="28"/>
      <c r="O21122" s="28"/>
      <c r="U21122" s="28"/>
    </row>
    <row r="21123">
      <c r="N21123" s="28"/>
      <c r="O21123" s="28"/>
      <c r="U21123" s="28"/>
    </row>
    <row r="21124">
      <c r="N21124" s="28"/>
      <c r="O21124" s="28"/>
      <c r="U21124" s="28"/>
    </row>
    <row r="21125">
      <c r="N21125" s="28"/>
      <c r="O21125" s="28"/>
      <c r="U21125" s="28"/>
    </row>
    <row r="21126">
      <c r="N21126" s="28"/>
      <c r="O21126" s="28"/>
      <c r="U21126" s="28"/>
    </row>
    <row r="21127">
      <c r="N21127" s="28"/>
      <c r="O21127" s="28"/>
      <c r="U21127" s="28"/>
    </row>
    <row r="21128">
      <c r="N21128" s="28"/>
      <c r="O21128" s="28"/>
      <c r="U21128" s="28"/>
    </row>
    <row r="21129">
      <c r="N21129" s="28"/>
      <c r="O21129" s="28"/>
      <c r="U21129" s="28"/>
    </row>
    <row r="21130">
      <c r="N21130" s="28"/>
      <c r="O21130" s="28"/>
      <c r="U21130" s="28"/>
    </row>
    <row r="21131">
      <c r="N21131" s="28"/>
      <c r="O21131" s="28"/>
      <c r="U21131" s="28"/>
    </row>
    <row r="21132">
      <c r="N21132" s="28"/>
      <c r="O21132" s="28"/>
      <c r="U21132" s="28"/>
    </row>
    <row r="21133">
      <c r="N21133" s="28"/>
      <c r="O21133" s="28"/>
      <c r="U21133" s="28"/>
    </row>
    <row r="21134">
      <c r="N21134" s="28"/>
      <c r="O21134" s="28"/>
      <c r="U21134" s="28"/>
    </row>
    <row r="21135">
      <c r="N21135" s="28"/>
      <c r="O21135" s="28"/>
      <c r="U21135" s="28"/>
    </row>
    <row r="21136">
      <c r="N21136" s="28"/>
      <c r="O21136" s="28"/>
      <c r="U21136" s="28"/>
    </row>
    <row r="21137">
      <c r="N21137" s="28"/>
      <c r="O21137" s="28"/>
      <c r="U21137" s="28"/>
    </row>
    <row r="21138">
      <c r="N21138" s="28"/>
      <c r="O21138" s="28"/>
      <c r="U21138" s="28"/>
    </row>
    <row r="21139">
      <c r="N21139" s="28"/>
      <c r="O21139" s="28"/>
      <c r="U21139" s="28"/>
    </row>
    <row r="21140">
      <c r="N21140" s="28"/>
      <c r="O21140" s="28"/>
      <c r="U21140" s="28"/>
    </row>
    <row r="21141">
      <c r="N21141" s="28"/>
      <c r="O21141" s="28"/>
      <c r="U21141" s="28"/>
    </row>
    <row r="21142">
      <c r="N21142" s="28"/>
      <c r="O21142" s="28"/>
      <c r="U21142" s="28"/>
    </row>
    <row r="21143">
      <c r="N21143" s="28"/>
      <c r="O21143" s="28"/>
      <c r="U21143" s="28"/>
    </row>
    <row r="21144">
      <c r="N21144" s="28"/>
      <c r="O21144" s="28"/>
      <c r="U21144" s="28"/>
    </row>
    <row r="21145">
      <c r="N21145" s="28"/>
      <c r="O21145" s="28"/>
      <c r="U21145" s="28"/>
    </row>
    <row r="21146">
      <c r="N21146" s="28"/>
      <c r="O21146" s="28"/>
      <c r="U21146" s="28"/>
    </row>
    <row r="21147">
      <c r="N21147" s="28"/>
      <c r="O21147" s="28"/>
      <c r="U21147" s="28"/>
    </row>
    <row r="21148">
      <c r="N21148" s="28"/>
      <c r="O21148" s="28"/>
      <c r="U21148" s="28"/>
    </row>
    <row r="21149">
      <c r="N21149" s="28"/>
      <c r="O21149" s="28"/>
      <c r="U21149" s="28"/>
    </row>
    <row r="21150">
      <c r="N21150" s="28"/>
      <c r="O21150" s="28"/>
      <c r="U21150" s="28"/>
    </row>
    <row r="21151">
      <c r="N21151" s="28"/>
      <c r="O21151" s="28"/>
      <c r="U21151" s="28"/>
    </row>
    <row r="21152">
      <c r="N21152" s="28"/>
      <c r="O21152" s="28"/>
      <c r="U21152" s="28"/>
    </row>
    <row r="21153">
      <c r="N21153" s="28"/>
      <c r="O21153" s="28"/>
      <c r="U21153" s="28"/>
    </row>
    <row r="21154">
      <c r="N21154" s="28"/>
      <c r="O21154" s="28"/>
      <c r="U21154" s="28"/>
    </row>
    <row r="21155">
      <c r="N21155" s="28"/>
      <c r="O21155" s="28"/>
      <c r="U21155" s="28"/>
    </row>
    <row r="21156">
      <c r="N21156" s="28"/>
      <c r="O21156" s="28"/>
      <c r="U21156" s="28"/>
    </row>
    <row r="21157">
      <c r="N21157" s="28"/>
      <c r="O21157" s="28"/>
      <c r="U21157" s="28"/>
    </row>
    <row r="21158">
      <c r="N21158" s="28"/>
      <c r="O21158" s="28"/>
      <c r="U21158" s="28"/>
    </row>
    <row r="21159">
      <c r="N21159" s="28"/>
      <c r="O21159" s="28"/>
      <c r="U21159" s="28"/>
    </row>
    <row r="21160">
      <c r="N21160" s="28"/>
      <c r="O21160" s="28"/>
      <c r="U21160" s="28"/>
    </row>
    <row r="21161">
      <c r="N21161" s="28"/>
      <c r="O21161" s="28"/>
      <c r="U21161" s="28"/>
    </row>
    <row r="21162">
      <c r="N21162" s="28"/>
      <c r="O21162" s="28"/>
      <c r="U21162" s="28"/>
    </row>
    <row r="21163">
      <c r="N21163" s="28"/>
      <c r="O21163" s="28"/>
      <c r="U21163" s="28"/>
    </row>
    <row r="21164">
      <c r="N21164" s="28"/>
      <c r="O21164" s="28"/>
      <c r="U21164" s="28"/>
    </row>
    <row r="21165">
      <c r="N21165" s="28"/>
      <c r="O21165" s="28"/>
      <c r="U21165" s="28"/>
    </row>
    <row r="21166">
      <c r="N21166" s="28"/>
      <c r="O21166" s="28"/>
      <c r="U21166" s="28"/>
    </row>
    <row r="21167">
      <c r="N21167" s="28"/>
      <c r="O21167" s="28"/>
      <c r="U21167" s="28"/>
    </row>
    <row r="21168">
      <c r="N21168" s="28"/>
      <c r="O21168" s="28"/>
      <c r="U21168" s="28"/>
    </row>
    <row r="21169">
      <c r="N21169" s="28"/>
      <c r="O21169" s="28"/>
      <c r="U21169" s="28"/>
    </row>
    <row r="21170">
      <c r="N21170" s="28"/>
      <c r="O21170" s="28"/>
      <c r="U21170" s="28"/>
    </row>
    <row r="21171">
      <c r="N21171" s="28"/>
      <c r="O21171" s="28"/>
      <c r="U21171" s="28"/>
    </row>
    <row r="21172">
      <c r="N21172" s="28"/>
      <c r="O21172" s="28"/>
      <c r="U21172" s="28"/>
    </row>
    <row r="21173">
      <c r="N21173" s="28"/>
      <c r="O21173" s="28"/>
      <c r="U21173" s="28"/>
    </row>
    <row r="21174">
      <c r="N21174" s="28"/>
      <c r="O21174" s="28"/>
      <c r="U21174" s="28"/>
    </row>
    <row r="21175">
      <c r="N21175" s="28"/>
      <c r="O21175" s="28"/>
      <c r="U21175" s="28"/>
    </row>
    <row r="21176">
      <c r="N21176" s="28"/>
      <c r="O21176" s="28"/>
      <c r="U21176" s="28"/>
    </row>
    <row r="21177">
      <c r="N21177" s="28"/>
      <c r="O21177" s="28"/>
      <c r="U21177" s="28"/>
    </row>
    <row r="21178">
      <c r="N21178" s="28"/>
      <c r="O21178" s="28"/>
      <c r="U21178" s="28"/>
    </row>
    <row r="21179">
      <c r="N21179" s="28"/>
      <c r="O21179" s="28"/>
      <c r="U21179" s="28"/>
    </row>
    <row r="21180">
      <c r="N21180" s="28"/>
      <c r="O21180" s="28"/>
      <c r="U21180" s="28"/>
    </row>
    <row r="21181">
      <c r="N21181" s="28"/>
      <c r="O21181" s="28"/>
      <c r="U21181" s="28"/>
    </row>
    <row r="21182">
      <c r="N21182" s="28"/>
      <c r="O21182" s="28"/>
      <c r="U21182" s="28"/>
    </row>
    <row r="21183">
      <c r="N21183" s="28"/>
      <c r="O21183" s="28"/>
      <c r="U21183" s="28"/>
    </row>
    <row r="21184">
      <c r="N21184" s="28"/>
      <c r="O21184" s="28"/>
      <c r="U21184" s="28"/>
    </row>
    <row r="21185">
      <c r="N21185" s="28"/>
      <c r="O21185" s="28"/>
      <c r="U21185" s="28"/>
    </row>
    <row r="21186">
      <c r="N21186" s="28"/>
      <c r="O21186" s="28"/>
      <c r="U21186" s="28"/>
    </row>
    <row r="21187">
      <c r="N21187" s="28"/>
      <c r="O21187" s="28"/>
      <c r="U21187" s="28"/>
    </row>
    <row r="21188">
      <c r="N21188" s="28"/>
      <c r="O21188" s="28"/>
      <c r="U21188" s="28"/>
    </row>
    <row r="21189">
      <c r="N21189" s="28"/>
      <c r="O21189" s="28"/>
      <c r="U21189" s="28"/>
    </row>
    <row r="21190">
      <c r="N21190" s="28"/>
      <c r="O21190" s="28"/>
      <c r="U21190" s="28"/>
    </row>
    <row r="21191">
      <c r="N21191" s="28"/>
      <c r="O21191" s="28"/>
      <c r="U21191" s="28"/>
    </row>
    <row r="21192">
      <c r="N21192" s="28"/>
      <c r="O21192" s="28"/>
      <c r="U21192" s="28"/>
    </row>
    <row r="21193">
      <c r="N21193" s="28"/>
      <c r="O21193" s="28"/>
      <c r="U21193" s="28"/>
    </row>
    <row r="21194">
      <c r="N21194" s="28"/>
      <c r="O21194" s="28"/>
      <c r="U21194" s="28"/>
    </row>
    <row r="21195">
      <c r="N21195" s="28"/>
      <c r="O21195" s="28"/>
      <c r="U21195" s="28"/>
    </row>
    <row r="21196">
      <c r="N21196" s="28"/>
      <c r="O21196" s="28"/>
      <c r="U21196" s="28"/>
    </row>
    <row r="21197">
      <c r="N21197" s="28"/>
      <c r="O21197" s="28"/>
      <c r="U21197" s="28"/>
    </row>
    <row r="21198">
      <c r="N21198" s="28"/>
      <c r="O21198" s="28"/>
      <c r="U21198" s="28"/>
    </row>
    <row r="21199">
      <c r="N21199" s="28"/>
      <c r="O21199" s="28"/>
      <c r="U21199" s="28"/>
    </row>
    <row r="21200">
      <c r="N21200" s="28"/>
      <c r="O21200" s="28"/>
      <c r="U21200" s="28"/>
    </row>
    <row r="21201">
      <c r="N21201" s="28"/>
      <c r="O21201" s="28"/>
      <c r="U21201" s="28"/>
    </row>
    <row r="21202">
      <c r="N21202" s="28"/>
      <c r="O21202" s="28"/>
      <c r="U21202" s="28"/>
    </row>
    <row r="21203">
      <c r="N21203" s="28"/>
      <c r="O21203" s="28"/>
      <c r="U21203" s="28"/>
    </row>
    <row r="21204">
      <c r="N21204" s="28"/>
      <c r="O21204" s="28"/>
      <c r="U21204" s="28"/>
    </row>
    <row r="21205">
      <c r="N21205" s="28"/>
      <c r="O21205" s="28"/>
      <c r="U21205" s="28"/>
    </row>
    <row r="21206">
      <c r="N21206" s="28"/>
      <c r="O21206" s="28"/>
      <c r="U21206" s="28"/>
    </row>
    <row r="21207">
      <c r="N21207" s="28"/>
      <c r="O21207" s="28"/>
      <c r="U21207" s="28"/>
    </row>
    <row r="21208">
      <c r="N21208" s="28"/>
      <c r="O21208" s="28"/>
      <c r="U21208" s="28"/>
    </row>
    <row r="21209">
      <c r="N21209" s="28"/>
      <c r="O21209" s="28"/>
      <c r="U21209" s="28"/>
    </row>
    <row r="21210">
      <c r="N21210" s="28"/>
      <c r="O21210" s="28"/>
      <c r="U21210" s="28"/>
    </row>
    <row r="21211">
      <c r="N21211" s="28"/>
      <c r="O21211" s="28"/>
      <c r="U21211" s="28"/>
    </row>
    <row r="21212">
      <c r="N21212" s="28"/>
      <c r="O21212" s="28"/>
      <c r="U21212" s="28"/>
    </row>
    <row r="21213">
      <c r="N21213" s="28"/>
      <c r="O21213" s="28"/>
      <c r="U21213" s="28"/>
    </row>
    <row r="21214">
      <c r="N21214" s="28"/>
      <c r="O21214" s="28"/>
      <c r="U21214" s="28"/>
    </row>
    <row r="21215">
      <c r="N21215" s="28"/>
      <c r="O21215" s="28"/>
      <c r="U21215" s="28"/>
    </row>
    <row r="21216">
      <c r="N21216" s="28"/>
      <c r="O21216" s="28"/>
      <c r="U21216" s="28"/>
    </row>
    <row r="21217">
      <c r="N21217" s="28"/>
      <c r="O21217" s="28"/>
      <c r="U21217" s="28"/>
    </row>
    <row r="21218">
      <c r="N21218" s="28"/>
      <c r="O21218" s="28"/>
      <c r="U21218" s="28"/>
    </row>
    <row r="21219">
      <c r="N21219" s="28"/>
      <c r="O21219" s="28"/>
      <c r="U21219" s="28"/>
    </row>
    <row r="21220">
      <c r="N21220" s="28"/>
      <c r="O21220" s="28"/>
      <c r="U21220" s="28"/>
    </row>
    <row r="21221">
      <c r="N21221" s="28"/>
      <c r="O21221" s="28"/>
      <c r="U21221" s="28"/>
    </row>
    <row r="21222">
      <c r="N21222" s="28"/>
      <c r="O21222" s="28"/>
      <c r="U21222" s="28"/>
    </row>
    <row r="21223">
      <c r="N21223" s="28"/>
      <c r="O21223" s="28"/>
      <c r="U21223" s="28"/>
    </row>
    <row r="21224">
      <c r="N21224" s="28"/>
      <c r="O21224" s="28"/>
      <c r="U21224" s="28"/>
    </row>
    <row r="21225">
      <c r="N21225" s="28"/>
      <c r="O21225" s="28"/>
      <c r="U21225" s="28"/>
    </row>
    <row r="21226">
      <c r="N21226" s="28"/>
      <c r="O21226" s="28"/>
      <c r="U21226" s="28"/>
    </row>
    <row r="21227">
      <c r="N21227" s="28"/>
      <c r="O21227" s="28"/>
      <c r="U21227" s="28"/>
    </row>
    <row r="21228">
      <c r="N21228" s="28"/>
      <c r="O21228" s="28"/>
      <c r="U21228" s="28"/>
    </row>
    <row r="21229">
      <c r="N21229" s="28"/>
      <c r="O21229" s="28"/>
      <c r="U21229" s="28"/>
    </row>
    <row r="21230">
      <c r="N21230" s="28"/>
      <c r="O21230" s="28"/>
      <c r="U21230" s="28"/>
    </row>
    <row r="21231">
      <c r="N21231" s="28"/>
      <c r="O21231" s="28"/>
      <c r="U21231" s="28"/>
    </row>
    <row r="21232">
      <c r="N21232" s="28"/>
      <c r="O21232" s="28"/>
      <c r="U21232" s="28"/>
    </row>
    <row r="21233">
      <c r="N21233" s="28"/>
      <c r="O21233" s="28"/>
      <c r="U21233" s="28"/>
    </row>
    <row r="21234">
      <c r="N21234" s="28"/>
      <c r="O21234" s="28"/>
      <c r="U21234" s="28"/>
    </row>
    <row r="21235">
      <c r="N21235" s="28"/>
      <c r="O21235" s="28"/>
      <c r="U21235" s="28"/>
    </row>
    <row r="21236">
      <c r="N21236" s="28"/>
      <c r="O21236" s="28"/>
      <c r="U21236" s="28"/>
    </row>
    <row r="21237">
      <c r="N21237" s="28"/>
      <c r="O21237" s="28"/>
      <c r="U21237" s="28"/>
    </row>
    <row r="21238">
      <c r="N21238" s="28"/>
      <c r="O21238" s="28"/>
      <c r="U21238" s="28"/>
    </row>
    <row r="21239">
      <c r="N21239" s="28"/>
      <c r="O21239" s="28"/>
      <c r="U21239" s="28"/>
    </row>
    <row r="21240">
      <c r="N21240" s="28"/>
      <c r="O21240" s="28"/>
      <c r="U21240" s="28"/>
    </row>
    <row r="21241">
      <c r="N21241" s="28"/>
      <c r="O21241" s="28"/>
      <c r="U21241" s="28"/>
    </row>
    <row r="21242">
      <c r="N21242" s="28"/>
      <c r="O21242" s="28"/>
      <c r="U21242" s="28"/>
    </row>
    <row r="21243">
      <c r="N21243" s="28"/>
      <c r="O21243" s="28"/>
      <c r="U21243" s="28"/>
    </row>
    <row r="21244">
      <c r="N21244" s="28"/>
      <c r="O21244" s="28"/>
      <c r="U21244" s="28"/>
    </row>
    <row r="21245">
      <c r="N21245" s="28"/>
      <c r="O21245" s="28"/>
      <c r="U21245" s="28"/>
    </row>
    <row r="21246">
      <c r="N21246" s="28"/>
      <c r="O21246" s="28"/>
      <c r="U21246" s="28"/>
    </row>
    <row r="21247">
      <c r="N21247" s="28"/>
      <c r="O21247" s="28"/>
      <c r="U21247" s="28"/>
    </row>
    <row r="21248">
      <c r="N21248" s="28"/>
      <c r="O21248" s="28"/>
      <c r="U21248" s="28"/>
    </row>
    <row r="21249">
      <c r="N21249" s="28"/>
      <c r="O21249" s="28"/>
      <c r="U21249" s="28"/>
    </row>
    <row r="21250">
      <c r="N21250" s="28"/>
      <c r="O21250" s="28"/>
      <c r="U21250" s="28"/>
    </row>
    <row r="21251">
      <c r="N21251" s="28"/>
      <c r="O21251" s="28"/>
      <c r="U21251" s="28"/>
    </row>
    <row r="21252">
      <c r="N21252" s="28"/>
      <c r="O21252" s="28"/>
      <c r="U21252" s="28"/>
    </row>
    <row r="21253">
      <c r="N21253" s="28"/>
      <c r="O21253" s="28"/>
      <c r="U21253" s="28"/>
    </row>
    <row r="21254">
      <c r="N21254" s="28"/>
      <c r="O21254" s="28"/>
      <c r="U21254" s="28"/>
    </row>
    <row r="21255">
      <c r="N21255" s="28"/>
      <c r="O21255" s="28"/>
      <c r="U21255" s="28"/>
    </row>
    <row r="21256">
      <c r="N21256" s="28"/>
      <c r="O21256" s="28"/>
      <c r="U21256" s="28"/>
    </row>
    <row r="21257">
      <c r="N21257" s="28"/>
      <c r="O21257" s="28"/>
      <c r="U21257" s="28"/>
    </row>
    <row r="21258">
      <c r="N21258" s="28"/>
      <c r="O21258" s="28"/>
      <c r="U21258" s="28"/>
    </row>
    <row r="21259">
      <c r="N21259" s="28"/>
      <c r="O21259" s="28"/>
      <c r="U21259" s="28"/>
    </row>
    <row r="21260">
      <c r="N21260" s="28"/>
      <c r="O21260" s="28"/>
      <c r="U21260" s="28"/>
    </row>
    <row r="21261">
      <c r="N21261" s="28"/>
      <c r="O21261" s="28"/>
      <c r="U21261" s="28"/>
    </row>
    <row r="21262">
      <c r="N21262" s="28"/>
      <c r="O21262" s="28"/>
      <c r="U21262" s="28"/>
    </row>
    <row r="21263">
      <c r="N21263" s="28"/>
      <c r="O21263" s="28"/>
      <c r="U21263" s="28"/>
    </row>
    <row r="21264">
      <c r="N21264" s="28"/>
      <c r="O21264" s="28"/>
      <c r="U21264" s="28"/>
    </row>
    <row r="21265">
      <c r="N21265" s="28"/>
      <c r="O21265" s="28"/>
      <c r="U21265" s="28"/>
    </row>
    <row r="21266">
      <c r="N21266" s="28"/>
      <c r="O21266" s="28"/>
      <c r="U21266" s="28"/>
    </row>
    <row r="21267">
      <c r="N21267" s="28"/>
      <c r="O21267" s="28"/>
      <c r="U21267" s="28"/>
    </row>
    <row r="21268">
      <c r="N21268" s="28"/>
      <c r="O21268" s="28"/>
      <c r="U21268" s="28"/>
    </row>
    <row r="21269">
      <c r="N21269" s="28"/>
      <c r="O21269" s="28"/>
      <c r="U21269" s="28"/>
    </row>
    <row r="21270">
      <c r="N21270" s="28"/>
      <c r="O21270" s="28"/>
      <c r="U21270" s="28"/>
    </row>
    <row r="21271">
      <c r="N21271" s="28"/>
      <c r="O21271" s="28"/>
      <c r="U21271" s="28"/>
    </row>
    <row r="21272">
      <c r="N21272" s="28"/>
      <c r="O21272" s="28"/>
      <c r="U21272" s="28"/>
    </row>
    <row r="21273">
      <c r="N21273" s="28"/>
      <c r="O21273" s="28"/>
      <c r="U21273" s="28"/>
    </row>
    <row r="21274">
      <c r="N21274" s="28"/>
      <c r="O21274" s="28"/>
      <c r="U21274" s="28"/>
    </row>
    <row r="21275">
      <c r="N21275" s="28"/>
      <c r="O21275" s="28"/>
      <c r="U21275" s="28"/>
    </row>
    <row r="21276">
      <c r="N21276" s="28"/>
      <c r="O21276" s="28"/>
      <c r="U21276" s="28"/>
    </row>
    <row r="21277">
      <c r="N21277" s="28"/>
      <c r="O21277" s="28"/>
      <c r="U21277" s="28"/>
    </row>
    <row r="21278">
      <c r="N21278" s="28"/>
      <c r="O21278" s="28"/>
      <c r="U21278" s="28"/>
    </row>
    <row r="21279">
      <c r="N21279" s="28"/>
      <c r="O21279" s="28"/>
      <c r="U21279" s="28"/>
    </row>
    <row r="21280">
      <c r="N21280" s="28"/>
      <c r="O21280" s="28"/>
      <c r="U21280" s="28"/>
    </row>
    <row r="21281">
      <c r="N21281" s="28"/>
      <c r="O21281" s="28"/>
      <c r="U21281" s="28"/>
    </row>
    <row r="21282">
      <c r="N21282" s="28"/>
      <c r="O21282" s="28"/>
      <c r="U21282" s="28"/>
    </row>
    <row r="21283">
      <c r="N21283" s="28"/>
      <c r="O21283" s="28"/>
      <c r="U21283" s="28"/>
    </row>
    <row r="21284">
      <c r="N21284" s="28"/>
      <c r="O21284" s="28"/>
      <c r="U21284" s="28"/>
    </row>
    <row r="21285">
      <c r="N21285" s="28"/>
      <c r="O21285" s="28"/>
      <c r="U21285" s="28"/>
    </row>
    <row r="21286">
      <c r="N21286" s="28"/>
      <c r="O21286" s="28"/>
      <c r="U21286" s="28"/>
    </row>
    <row r="21287">
      <c r="N21287" s="28"/>
      <c r="O21287" s="28"/>
      <c r="U21287" s="28"/>
    </row>
    <row r="21288">
      <c r="N21288" s="28"/>
      <c r="O21288" s="28"/>
      <c r="U21288" s="28"/>
    </row>
    <row r="21289">
      <c r="N21289" s="28"/>
      <c r="O21289" s="28"/>
      <c r="U21289" s="28"/>
    </row>
    <row r="21290">
      <c r="N21290" s="28"/>
      <c r="O21290" s="28"/>
      <c r="U21290" s="28"/>
    </row>
    <row r="21291">
      <c r="N21291" s="28"/>
      <c r="O21291" s="28"/>
      <c r="U21291" s="28"/>
    </row>
    <row r="21292">
      <c r="N21292" s="28"/>
      <c r="O21292" s="28"/>
      <c r="U21292" s="28"/>
    </row>
    <row r="21293">
      <c r="N21293" s="28"/>
      <c r="O21293" s="28"/>
      <c r="U21293" s="28"/>
    </row>
    <row r="21294">
      <c r="N21294" s="28"/>
      <c r="O21294" s="28"/>
      <c r="U21294" s="28"/>
    </row>
    <row r="21295">
      <c r="N21295" s="28"/>
      <c r="O21295" s="28"/>
      <c r="U21295" s="28"/>
    </row>
    <row r="21296">
      <c r="N21296" s="28"/>
      <c r="O21296" s="28"/>
      <c r="U21296" s="28"/>
    </row>
    <row r="21297">
      <c r="N21297" s="28"/>
      <c r="O21297" s="28"/>
      <c r="U21297" s="28"/>
    </row>
    <row r="21298">
      <c r="N21298" s="28"/>
      <c r="O21298" s="28"/>
      <c r="U21298" s="28"/>
    </row>
    <row r="21299">
      <c r="N21299" s="28"/>
      <c r="O21299" s="28"/>
      <c r="U21299" s="28"/>
    </row>
    <row r="21300">
      <c r="N21300" s="28"/>
      <c r="O21300" s="28"/>
      <c r="U21300" s="28"/>
    </row>
    <row r="21301">
      <c r="N21301" s="28"/>
      <c r="O21301" s="28"/>
      <c r="U21301" s="28"/>
    </row>
    <row r="21302">
      <c r="N21302" s="28"/>
      <c r="O21302" s="28"/>
      <c r="U21302" s="28"/>
    </row>
    <row r="21303">
      <c r="N21303" s="28"/>
      <c r="O21303" s="28"/>
      <c r="U21303" s="28"/>
    </row>
    <row r="21304">
      <c r="N21304" s="28"/>
      <c r="O21304" s="28"/>
      <c r="U21304" s="28"/>
    </row>
    <row r="21305">
      <c r="N21305" s="28"/>
      <c r="O21305" s="28"/>
      <c r="U21305" s="28"/>
    </row>
    <row r="21306">
      <c r="N21306" s="28"/>
      <c r="O21306" s="28"/>
      <c r="U21306" s="28"/>
    </row>
    <row r="21307">
      <c r="N21307" s="28"/>
      <c r="O21307" s="28"/>
      <c r="U21307" s="28"/>
    </row>
    <row r="21308">
      <c r="N21308" s="28"/>
      <c r="O21308" s="28"/>
      <c r="U21308" s="28"/>
    </row>
    <row r="21309">
      <c r="N21309" s="28"/>
      <c r="O21309" s="28"/>
      <c r="U21309" s="28"/>
    </row>
    <row r="21310">
      <c r="N21310" s="28"/>
      <c r="O21310" s="28"/>
      <c r="U21310" s="28"/>
    </row>
    <row r="21311">
      <c r="N21311" s="28"/>
      <c r="O21311" s="28"/>
      <c r="U21311" s="28"/>
    </row>
    <row r="21312">
      <c r="N21312" s="28"/>
      <c r="O21312" s="28"/>
      <c r="U21312" s="28"/>
    </row>
    <row r="21313">
      <c r="N21313" s="28"/>
      <c r="O21313" s="28"/>
      <c r="U21313" s="28"/>
    </row>
    <row r="21314">
      <c r="N21314" s="28"/>
      <c r="O21314" s="28"/>
      <c r="U21314" s="28"/>
    </row>
    <row r="21315">
      <c r="N21315" s="28"/>
      <c r="O21315" s="28"/>
      <c r="U21315" s="28"/>
    </row>
    <row r="21316">
      <c r="N21316" s="28"/>
      <c r="O21316" s="28"/>
      <c r="U21316" s="28"/>
    </row>
    <row r="21317">
      <c r="N21317" s="28"/>
      <c r="O21317" s="28"/>
      <c r="U21317" s="28"/>
    </row>
    <row r="21318">
      <c r="N21318" s="28"/>
      <c r="O21318" s="28"/>
      <c r="U21318" s="28"/>
    </row>
    <row r="21319">
      <c r="N21319" s="28"/>
      <c r="O21319" s="28"/>
      <c r="U21319" s="28"/>
    </row>
    <row r="21320">
      <c r="N21320" s="28"/>
      <c r="O21320" s="28"/>
      <c r="U21320" s="28"/>
    </row>
    <row r="21321">
      <c r="N21321" s="28"/>
      <c r="O21321" s="28"/>
      <c r="U21321" s="28"/>
    </row>
    <row r="21322">
      <c r="N21322" s="28"/>
      <c r="O21322" s="28"/>
      <c r="U21322" s="28"/>
    </row>
    <row r="21323">
      <c r="N21323" s="28"/>
      <c r="O21323" s="28"/>
      <c r="U21323" s="28"/>
    </row>
    <row r="21324">
      <c r="N21324" s="28"/>
      <c r="O21324" s="28"/>
      <c r="U21324" s="28"/>
    </row>
    <row r="21325">
      <c r="N21325" s="28"/>
      <c r="O21325" s="28"/>
      <c r="U21325" s="28"/>
    </row>
    <row r="21326">
      <c r="N21326" s="28"/>
      <c r="O21326" s="28"/>
      <c r="U21326" s="28"/>
    </row>
    <row r="21327">
      <c r="N21327" s="28"/>
      <c r="O21327" s="28"/>
      <c r="U21327" s="28"/>
    </row>
    <row r="21328">
      <c r="N21328" s="28"/>
      <c r="O21328" s="28"/>
      <c r="U21328" s="28"/>
    </row>
    <row r="21329">
      <c r="N21329" s="28"/>
      <c r="O21329" s="28"/>
      <c r="U21329" s="28"/>
    </row>
    <row r="21330">
      <c r="N21330" s="28"/>
      <c r="O21330" s="28"/>
      <c r="U21330" s="28"/>
    </row>
    <row r="21331">
      <c r="N21331" s="28"/>
      <c r="O21331" s="28"/>
      <c r="U21331" s="28"/>
    </row>
    <row r="21332">
      <c r="N21332" s="28"/>
      <c r="O21332" s="28"/>
      <c r="U21332" s="28"/>
    </row>
    <row r="21333">
      <c r="N21333" s="28"/>
      <c r="O21333" s="28"/>
      <c r="U21333" s="28"/>
    </row>
    <row r="21334">
      <c r="N21334" s="28"/>
      <c r="O21334" s="28"/>
      <c r="U21334" s="28"/>
    </row>
    <row r="21335">
      <c r="N21335" s="28"/>
      <c r="O21335" s="28"/>
      <c r="U21335" s="28"/>
    </row>
    <row r="21336">
      <c r="N21336" s="28"/>
      <c r="O21336" s="28"/>
      <c r="U21336" s="28"/>
    </row>
    <row r="21337">
      <c r="N21337" s="28"/>
      <c r="O21337" s="28"/>
      <c r="U21337" s="28"/>
    </row>
    <row r="21338">
      <c r="N21338" s="28"/>
      <c r="O21338" s="28"/>
      <c r="U21338" s="28"/>
    </row>
    <row r="21339">
      <c r="N21339" s="28"/>
      <c r="O21339" s="28"/>
      <c r="U21339" s="28"/>
    </row>
    <row r="21340">
      <c r="N21340" s="28"/>
      <c r="O21340" s="28"/>
      <c r="U21340" s="28"/>
    </row>
    <row r="21341">
      <c r="N21341" s="28"/>
      <c r="O21341" s="28"/>
      <c r="U21341" s="28"/>
    </row>
    <row r="21342">
      <c r="N21342" s="28"/>
      <c r="O21342" s="28"/>
      <c r="U21342" s="28"/>
    </row>
    <row r="21343">
      <c r="N21343" s="28"/>
      <c r="O21343" s="28"/>
      <c r="U21343" s="28"/>
    </row>
    <row r="21344">
      <c r="N21344" s="28"/>
      <c r="O21344" s="28"/>
      <c r="U21344" s="28"/>
    </row>
    <row r="21345">
      <c r="N21345" s="28"/>
      <c r="O21345" s="28"/>
      <c r="U21345" s="28"/>
    </row>
    <row r="21346">
      <c r="N21346" s="28"/>
      <c r="O21346" s="28"/>
      <c r="U21346" s="28"/>
    </row>
    <row r="21347">
      <c r="N21347" s="28"/>
      <c r="O21347" s="28"/>
      <c r="U21347" s="28"/>
    </row>
    <row r="21348">
      <c r="N21348" s="28"/>
      <c r="O21348" s="28"/>
      <c r="U21348" s="28"/>
    </row>
    <row r="21349">
      <c r="N21349" s="28"/>
      <c r="O21349" s="28"/>
      <c r="U21349" s="28"/>
    </row>
    <row r="21350">
      <c r="N21350" s="28"/>
      <c r="O21350" s="28"/>
      <c r="U21350" s="28"/>
    </row>
    <row r="21351">
      <c r="N21351" s="28"/>
      <c r="O21351" s="28"/>
      <c r="U21351" s="28"/>
    </row>
    <row r="21352">
      <c r="N21352" s="28"/>
      <c r="O21352" s="28"/>
      <c r="U21352" s="28"/>
    </row>
    <row r="21353">
      <c r="N21353" s="28"/>
      <c r="O21353" s="28"/>
      <c r="U21353" s="28"/>
    </row>
    <row r="21354">
      <c r="N21354" s="28"/>
      <c r="O21354" s="28"/>
      <c r="U21354" s="28"/>
    </row>
    <row r="21355">
      <c r="N21355" s="28"/>
      <c r="O21355" s="28"/>
      <c r="U21355" s="28"/>
    </row>
    <row r="21356">
      <c r="N21356" s="28"/>
      <c r="O21356" s="28"/>
      <c r="U21356" s="28"/>
    </row>
    <row r="21357">
      <c r="N21357" s="28"/>
      <c r="O21357" s="28"/>
      <c r="U21357" s="28"/>
    </row>
    <row r="21358">
      <c r="N21358" s="28"/>
      <c r="O21358" s="28"/>
      <c r="U21358" s="28"/>
    </row>
    <row r="21359">
      <c r="N21359" s="28"/>
      <c r="O21359" s="28"/>
      <c r="U21359" s="28"/>
    </row>
    <row r="21360">
      <c r="N21360" s="28"/>
      <c r="O21360" s="28"/>
      <c r="U21360" s="28"/>
    </row>
    <row r="21361">
      <c r="N21361" s="28"/>
      <c r="O21361" s="28"/>
      <c r="U21361" s="28"/>
    </row>
    <row r="21362">
      <c r="N21362" s="28"/>
      <c r="O21362" s="28"/>
      <c r="U21362" s="28"/>
    </row>
    <row r="21363">
      <c r="N21363" s="28"/>
      <c r="O21363" s="28"/>
      <c r="U21363" s="28"/>
    </row>
    <row r="21364">
      <c r="N21364" s="28"/>
      <c r="O21364" s="28"/>
      <c r="U21364" s="28"/>
    </row>
    <row r="21365">
      <c r="N21365" s="28"/>
      <c r="O21365" s="28"/>
      <c r="U21365" s="28"/>
    </row>
    <row r="21366">
      <c r="N21366" s="28"/>
      <c r="O21366" s="28"/>
      <c r="U21366" s="28"/>
    </row>
    <row r="21367">
      <c r="N21367" s="28"/>
      <c r="O21367" s="28"/>
      <c r="U21367" s="28"/>
    </row>
    <row r="21368">
      <c r="N21368" s="28"/>
      <c r="O21368" s="28"/>
      <c r="U21368" s="28"/>
    </row>
    <row r="21369">
      <c r="N21369" s="28"/>
      <c r="O21369" s="28"/>
      <c r="U21369" s="28"/>
    </row>
    <row r="21370">
      <c r="N21370" s="28"/>
      <c r="O21370" s="28"/>
      <c r="U21370" s="28"/>
    </row>
    <row r="21371">
      <c r="N21371" s="28"/>
      <c r="O21371" s="28"/>
      <c r="U21371" s="28"/>
    </row>
    <row r="21372">
      <c r="N21372" s="28"/>
      <c r="O21372" s="28"/>
      <c r="U21372" s="28"/>
    </row>
    <row r="21373">
      <c r="N21373" s="28"/>
      <c r="O21373" s="28"/>
      <c r="U21373" s="28"/>
    </row>
    <row r="21374">
      <c r="N21374" s="28"/>
      <c r="O21374" s="28"/>
      <c r="U21374" s="28"/>
    </row>
    <row r="21375">
      <c r="N21375" s="28"/>
      <c r="O21375" s="28"/>
      <c r="U21375" s="28"/>
    </row>
    <row r="21376">
      <c r="N21376" s="28"/>
      <c r="O21376" s="28"/>
      <c r="U21376" s="28"/>
    </row>
    <row r="21377">
      <c r="N21377" s="28"/>
      <c r="O21377" s="28"/>
      <c r="U21377" s="28"/>
    </row>
    <row r="21378">
      <c r="N21378" s="28"/>
      <c r="O21378" s="28"/>
      <c r="U21378" s="28"/>
    </row>
    <row r="21379">
      <c r="N21379" s="28"/>
      <c r="O21379" s="28"/>
      <c r="U21379" s="28"/>
    </row>
    <row r="21380">
      <c r="N21380" s="28"/>
      <c r="O21380" s="28"/>
      <c r="U21380" s="28"/>
    </row>
    <row r="21381">
      <c r="N21381" s="28"/>
      <c r="O21381" s="28"/>
      <c r="U21381" s="28"/>
    </row>
    <row r="21382">
      <c r="N21382" s="28"/>
      <c r="O21382" s="28"/>
      <c r="U21382" s="28"/>
    </row>
    <row r="21383">
      <c r="N21383" s="28"/>
      <c r="O21383" s="28"/>
      <c r="U21383" s="28"/>
    </row>
    <row r="21384">
      <c r="N21384" s="28"/>
      <c r="O21384" s="28"/>
      <c r="U21384" s="28"/>
    </row>
    <row r="21385">
      <c r="N21385" s="28"/>
      <c r="O21385" s="28"/>
      <c r="U21385" s="28"/>
    </row>
    <row r="21386">
      <c r="N21386" s="28"/>
      <c r="O21386" s="28"/>
      <c r="U21386" s="28"/>
    </row>
    <row r="21387">
      <c r="N21387" s="28"/>
      <c r="O21387" s="28"/>
      <c r="U21387" s="28"/>
    </row>
    <row r="21388">
      <c r="N21388" s="28"/>
      <c r="O21388" s="28"/>
      <c r="U21388" s="28"/>
    </row>
    <row r="21389">
      <c r="N21389" s="28"/>
      <c r="O21389" s="28"/>
      <c r="U21389" s="28"/>
    </row>
    <row r="21390">
      <c r="N21390" s="28"/>
      <c r="O21390" s="28"/>
      <c r="U21390" s="28"/>
    </row>
    <row r="21391">
      <c r="N21391" s="28"/>
      <c r="O21391" s="28"/>
      <c r="U21391" s="28"/>
    </row>
    <row r="21392">
      <c r="N21392" s="28"/>
      <c r="O21392" s="28"/>
      <c r="U21392" s="28"/>
    </row>
    <row r="21393">
      <c r="N21393" s="28"/>
      <c r="O21393" s="28"/>
      <c r="U21393" s="28"/>
    </row>
    <row r="21394">
      <c r="N21394" s="28"/>
      <c r="O21394" s="28"/>
      <c r="U21394" s="28"/>
    </row>
    <row r="21395">
      <c r="N21395" s="28"/>
      <c r="O21395" s="28"/>
      <c r="U21395" s="28"/>
    </row>
    <row r="21396">
      <c r="N21396" s="28"/>
      <c r="O21396" s="28"/>
      <c r="U21396" s="28"/>
    </row>
    <row r="21397">
      <c r="N21397" s="28"/>
      <c r="O21397" s="28"/>
      <c r="U21397" s="28"/>
    </row>
    <row r="21398">
      <c r="N21398" s="28"/>
      <c r="O21398" s="28"/>
      <c r="U21398" s="28"/>
    </row>
    <row r="21399">
      <c r="N21399" s="28"/>
      <c r="O21399" s="28"/>
      <c r="U21399" s="28"/>
    </row>
    <row r="21400">
      <c r="N21400" s="28"/>
      <c r="O21400" s="28"/>
      <c r="U21400" s="28"/>
    </row>
    <row r="21401">
      <c r="N21401" s="28"/>
      <c r="O21401" s="28"/>
      <c r="U21401" s="28"/>
    </row>
    <row r="21402">
      <c r="N21402" s="28"/>
      <c r="O21402" s="28"/>
      <c r="U21402" s="28"/>
    </row>
    <row r="21403">
      <c r="N21403" s="28"/>
      <c r="O21403" s="28"/>
      <c r="U21403" s="28"/>
    </row>
    <row r="21404">
      <c r="N21404" s="28"/>
      <c r="O21404" s="28"/>
      <c r="U21404" s="28"/>
    </row>
    <row r="21405">
      <c r="N21405" s="28"/>
      <c r="O21405" s="28"/>
      <c r="U21405" s="28"/>
    </row>
    <row r="21406">
      <c r="N21406" s="28"/>
      <c r="O21406" s="28"/>
      <c r="U21406" s="28"/>
    </row>
    <row r="21407">
      <c r="N21407" s="28"/>
      <c r="O21407" s="28"/>
      <c r="U21407" s="28"/>
    </row>
    <row r="21408">
      <c r="N21408" s="28"/>
      <c r="O21408" s="28"/>
      <c r="U21408" s="28"/>
    </row>
    <row r="21409">
      <c r="N21409" s="28"/>
      <c r="O21409" s="28"/>
      <c r="U21409" s="28"/>
    </row>
    <row r="21410">
      <c r="N21410" s="28"/>
      <c r="O21410" s="28"/>
      <c r="U21410" s="28"/>
    </row>
    <row r="21411">
      <c r="N21411" s="28"/>
      <c r="O21411" s="28"/>
      <c r="U21411" s="28"/>
    </row>
    <row r="21412">
      <c r="N21412" s="28"/>
      <c r="O21412" s="28"/>
      <c r="U21412" s="28"/>
    </row>
    <row r="21413">
      <c r="N21413" s="28"/>
      <c r="O21413" s="28"/>
      <c r="U21413" s="28"/>
    </row>
    <row r="21414">
      <c r="N21414" s="28"/>
      <c r="O21414" s="28"/>
      <c r="U21414" s="28"/>
    </row>
    <row r="21415">
      <c r="N21415" s="28"/>
      <c r="O21415" s="28"/>
      <c r="U21415" s="28"/>
    </row>
    <row r="21416">
      <c r="N21416" s="28"/>
      <c r="O21416" s="28"/>
      <c r="U21416" s="28"/>
    </row>
    <row r="21417">
      <c r="N21417" s="28"/>
      <c r="O21417" s="28"/>
      <c r="U21417" s="28"/>
    </row>
    <row r="21418">
      <c r="N21418" s="28"/>
      <c r="O21418" s="28"/>
      <c r="U21418" s="28"/>
    </row>
    <row r="21419">
      <c r="N21419" s="28"/>
      <c r="O21419" s="28"/>
      <c r="U21419" s="28"/>
    </row>
    <row r="21420">
      <c r="N21420" s="28"/>
      <c r="O21420" s="28"/>
      <c r="U21420" s="28"/>
    </row>
    <row r="21421">
      <c r="N21421" s="28"/>
      <c r="O21421" s="28"/>
      <c r="U21421" s="28"/>
    </row>
    <row r="21422">
      <c r="N21422" s="28"/>
      <c r="O21422" s="28"/>
      <c r="U21422" s="28"/>
    </row>
    <row r="21423">
      <c r="N21423" s="28"/>
      <c r="O21423" s="28"/>
      <c r="U21423" s="28"/>
    </row>
    <row r="21424">
      <c r="N21424" s="28"/>
      <c r="O21424" s="28"/>
      <c r="U21424" s="28"/>
    </row>
    <row r="21425">
      <c r="N21425" s="28"/>
      <c r="O21425" s="28"/>
      <c r="U21425" s="28"/>
    </row>
    <row r="21426">
      <c r="N21426" s="28"/>
      <c r="O21426" s="28"/>
      <c r="U21426" s="28"/>
    </row>
    <row r="21427">
      <c r="N21427" s="28"/>
      <c r="O21427" s="28"/>
      <c r="U21427" s="28"/>
    </row>
    <row r="21428">
      <c r="N21428" s="28"/>
      <c r="O21428" s="28"/>
      <c r="U21428" s="28"/>
    </row>
    <row r="21429">
      <c r="N21429" s="28"/>
      <c r="O21429" s="28"/>
      <c r="U21429" s="28"/>
    </row>
    <row r="21430">
      <c r="N21430" s="28"/>
      <c r="O21430" s="28"/>
      <c r="U21430" s="28"/>
    </row>
    <row r="21431">
      <c r="N21431" s="28"/>
      <c r="O21431" s="28"/>
      <c r="U21431" s="28"/>
    </row>
    <row r="21432">
      <c r="N21432" s="28"/>
      <c r="O21432" s="28"/>
      <c r="U21432" s="28"/>
    </row>
    <row r="21433">
      <c r="N21433" s="28"/>
      <c r="O21433" s="28"/>
      <c r="U21433" s="28"/>
    </row>
    <row r="21434">
      <c r="N21434" s="28"/>
      <c r="O21434" s="28"/>
      <c r="U21434" s="28"/>
    </row>
    <row r="21435">
      <c r="N21435" s="28"/>
      <c r="O21435" s="28"/>
      <c r="U21435" s="28"/>
    </row>
    <row r="21436">
      <c r="N21436" s="28"/>
      <c r="O21436" s="28"/>
      <c r="U21436" s="28"/>
    </row>
    <row r="21437">
      <c r="N21437" s="28"/>
      <c r="O21437" s="28"/>
      <c r="U21437" s="28"/>
    </row>
    <row r="21438">
      <c r="N21438" s="28"/>
      <c r="O21438" s="28"/>
      <c r="U21438" s="28"/>
    </row>
    <row r="21439">
      <c r="N21439" s="28"/>
      <c r="O21439" s="28"/>
      <c r="U21439" s="28"/>
    </row>
    <row r="21440">
      <c r="N21440" s="28"/>
      <c r="O21440" s="28"/>
      <c r="U21440" s="28"/>
    </row>
    <row r="21441">
      <c r="N21441" s="28"/>
      <c r="O21441" s="28"/>
      <c r="U21441" s="28"/>
    </row>
    <row r="21442">
      <c r="N21442" s="28"/>
      <c r="O21442" s="28"/>
      <c r="U21442" s="28"/>
    </row>
    <row r="21443">
      <c r="N21443" s="28"/>
      <c r="O21443" s="28"/>
      <c r="U21443" s="28"/>
    </row>
    <row r="21444">
      <c r="N21444" s="28"/>
      <c r="O21444" s="28"/>
      <c r="U21444" s="28"/>
    </row>
    <row r="21445">
      <c r="N21445" s="28"/>
      <c r="O21445" s="28"/>
      <c r="U21445" s="28"/>
    </row>
    <row r="21446">
      <c r="N21446" s="28"/>
      <c r="O21446" s="28"/>
      <c r="U21446" s="28"/>
    </row>
    <row r="21447">
      <c r="N21447" s="28"/>
      <c r="O21447" s="28"/>
      <c r="U21447" s="28"/>
    </row>
    <row r="21448">
      <c r="N21448" s="28"/>
      <c r="O21448" s="28"/>
      <c r="U21448" s="28"/>
    </row>
    <row r="21449">
      <c r="N21449" s="28"/>
      <c r="O21449" s="28"/>
      <c r="U21449" s="28"/>
    </row>
    <row r="21450">
      <c r="N21450" s="28"/>
      <c r="O21450" s="28"/>
      <c r="U21450" s="28"/>
    </row>
    <row r="21451">
      <c r="N21451" s="28"/>
      <c r="O21451" s="28"/>
      <c r="U21451" s="28"/>
    </row>
    <row r="21452">
      <c r="N21452" s="28"/>
      <c r="O21452" s="28"/>
      <c r="U21452" s="28"/>
    </row>
    <row r="21453">
      <c r="N21453" s="28"/>
      <c r="O21453" s="28"/>
      <c r="U21453" s="28"/>
    </row>
    <row r="21454">
      <c r="N21454" s="28"/>
      <c r="O21454" s="28"/>
      <c r="U21454" s="28"/>
    </row>
    <row r="21455">
      <c r="N21455" s="28"/>
      <c r="O21455" s="28"/>
      <c r="U21455" s="28"/>
    </row>
    <row r="21456">
      <c r="N21456" s="28"/>
      <c r="O21456" s="28"/>
      <c r="U21456" s="28"/>
    </row>
    <row r="21457">
      <c r="N21457" s="28"/>
      <c r="O21457" s="28"/>
      <c r="U21457" s="28"/>
    </row>
    <row r="21458">
      <c r="N21458" s="28"/>
      <c r="O21458" s="28"/>
      <c r="U21458" s="28"/>
    </row>
    <row r="21459">
      <c r="N21459" s="28"/>
      <c r="O21459" s="28"/>
      <c r="U21459" s="28"/>
    </row>
    <row r="21460">
      <c r="N21460" s="28"/>
      <c r="O21460" s="28"/>
      <c r="U21460" s="28"/>
    </row>
    <row r="21461">
      <c r="N21461" s="28"/>
      <c r="O21461" s="28"/>
      <c r="U21461" s="28"/>
    </row>
    <row r="21462">
      <c r="N21462" s="28"/>
      <c r="O21462" s="28"/>
      <c r="U21462" s="28"/>
    </row>
    <row r="21463">
      <c r="N21463" s="28"/>
      <c r="O21463" s="28"/>
      <c r="U21463" s="28"/>
    </row>
    <row r="21464">
      <c r="N21464" s="28"/>
      <c r="O21464" s="28"/>
      <c r="U21464" s="28"/>
    </row>
    <row r="21465">
      <c r="N21465" s="28"/>
      <c r="O21465" s="28"/>
      <c r="U21465" s="28"/>
    </row>
    <row r="21466">
      <c r="N21466" s="28"/>
      <c r="O21466" s="28"/>
      <c r="U21466" s="28"/>
    </row>
    <row r="21467">
      <c r="N21467" s="28"/>
      <c r="O21467" s="28"/>
      <c r="U21467" s="28"/>
    </row>
    <row r="21468">
      <c r="N21468" s="28"/>
      <c r="O21468" s="28"/>
      <c r="U21468" s="28"/>
    </row>
    <row r="21469">
      <c r="N21469" s="28"/>
      <c r="O21469" s="28"/>
      <c r="U21469" s="28"/>
    </row>
    <row r="21470">
      <c r="N21470" s="28"/>
      <c r="O21470" s="28"/>
      <c r="U21470" s="28"/>
    </row>
    <row r="21471">
      <c r="N21471" s="28"/>
      <c r="O21471" s="28"/>
      <c r="U21471" s="28"/>
    </row>
    <row r="21472">
      <c r="N21472" s="28"/>
      <c r="O21472" s="28"/>
      <c r="U21472" s="28"/>
    </row>
    <row r="21473">
      <c r="N21473" s="28"/>
      <c r="O21473" s="28"/>
      <c r="U21473" s="28"/>
    </row>
    <row r="21474">
      <c r="N21474" s="28"/>
      <c r="O21474" s="28"/>
      <c r="U21474" s="28"/>
    </row>
    <row r="21475">
      <c r="N21475" s="28"/>
      <c r="O21475" s="28"/>
      <c r="U21475" s="28"/>
    </row>
    <row r="21476">
      <c r="N21476" s="28"/>
      <c r="O21476" s="28"/>
      <c r="U21476" s="28"/>
    </row>
    <row r="21477">
      <c r="N21477" s="28"/>
      <c r="O21477" s="28"/>
      <c r="U21477" s="28"/>
    </row>
    <row r="21478">
      <c r="N21478" s="28"/>
      <c r="O21478" s="28"/>
      <c r="U21478" s="28"/>
    </row>
    <row r="21479">
      <c r="N21479" s="28"/>
      <c r="O21479" s="28"/>
      <c r="U21479" s="28"/>
    </row>
    <row r="21480">
      <c r="N21480" s="28"/>
      <c r="O21480" s="28"/>
      <c r="U21480" s="28"/>
    </row>
    <row r="21481">
      <c r="N21481" s="28"/>
      <c r="O21481" s="28"/>
      <c r="U21481" s="28"/>
    </row>
    <row r="21482">
      <c r="N21482" s="28"/>
      <c r="O21482" s="28"/>
      <c r="U21482" s="28"/>
    </row>
    <row r="21483">
      <c r="N21483" s="28"/>
      <c r="O21483" s="28"/>
      <c r="U21483" s="28"/>
    </row>
    <row r="21484">
      <c r="N21484" s="28"/>
      <c r="O21484" s="28"/>
      <c r="U21484" s="28"/>
    </row>
    <row r="21485">
      <c r="N21485" s="28"/>
      <c r="O21485" s="28"/>
      <c r="U21485" s="28"/>
    </row>
    <row r="21486">
      <c r="N21486" s="28"/>
      <c r="O21486" s="28"/>
      <c r="U21486" s="28"/>
    </row>
    <row r="21487">
      <c r="N21487" s="28"/>
      <c r="O21487" s="28"/>
      <c r="U21487" s="28"/>
    </row>
    <row r="21488">
      <c r="N21488" s="28"/>
      <c r="O21488" s="28"/>
      <c r="U21488" s="28"/>
    </row>
    <row r="21489">
      <c r="N21489" s="28"/>
      <c r="O21489" s="28"/>
      <c r="U21489" s="28"/>
    </row>
    <row r="21490">
      <c r="N21490" s="28"/>
      <c r="O21490" s="28"/>
      <c r="U21490" s="28"/>
    </row>
    <row r="21491">
      <c r="N21491" s="28"/>
      <c r="O21491" s="28"/>
      <c r="U21491" s="28"/>
    </row>
    <row r="21492">
      <c r="N21492" s="28"/>
      <c r="O21492" s="28"/>
      <c r="U21492" s="28"/>
    </row>
    <row r="21493">
      <c r="N21493" s="28"/>
      <c r="O21493" s="28"/>
      <c r="U21493" s="28"/>
    </row>
    <row r="21494">
      <c r="N21494" s="28"/>
      <c r="O21494" s="28"/>
      <c r="U21494" s="28"/>
    </row>
    <row r="21495">
      <c r="N21495" s="28"/>
      <c r="O21495" s="28"/>
      <c r="U21495" s="28"/>
    </row>
    <row r="21496">
      <c r="N21496" s="28"/>
      <c r="O21496" s="28"/>
      <c r="U21496" s="28"/>
    </row>
    <row r="21497">
      <c r="N21497" s="28"/>
      <c r="O21497" s="28"/>
      <c r="U21497" s="28"/>
    </row>
    <row r="21498">
      <c r="N21498" s="28"/>
      <c r="O21498" s="28"/>
      <c r="U21498" s="28"/>
    </row>
    <row r="21499">
      <c r="N21499" s="28"/>
      <c r="O21499" s="28"/>
      <c r="U21499" s="28"/>
    </row>
    <row r="21500">
      <c r="N21500" s="28"/>
      <c r="O21500" s="28"/>
      <c r="U21500" s="28"/>
    </row>
    <row r="21501">
      <c r="N21501" s="28"/>
      <c r="O21501" s="28"/>
      <c r="U21501" s="28"/>
    </row>
    <row r="21502">
      <c r="N21502" s="28"/>
      <c r="O21502" s="28"/>
      <c r="U21502" s="28"/>
    </row>
    <row r="21503">
      <c r="N21503" s="28"/>
      <c r="O21503" s="28"/>
      <c r="U21503" s="28"/>
    </row>
    <row r="21504">
      <c r="N21504" s="28"/>
      <c r="O21504" s="28"/>
      <c r="U21504" s="28"/>
    </row>
    <row r="21505">
      <c r="N21505" s="28"/>
      <c r="O21505" s="28"/>
      <c r="U21505" s="28"/>
    </row>
    <row r="21506">
      <c r="N21506" s="28"/>
      <c r="O21506" s="28"/>
      <c r="U21506" s="28"/>
    </row>
    <row r="21507">
      <c r="N21507" s="28"/>
      <c r="O21507" s="28"/>
      <c r="U21507" s="28"/>
    </row>
    <row r="21508">
      <c r="N21508" s="28"/>
      <c r="O21508" s="28"/>
      <c r="U21508" s="28"/>
    </row>
    <row r="21509">
      <c r="N21509" s="28"/>
      <c r="O21509" s="28"/>
      <c r="U21509" s="28"/>
    </row>
    <row r="21510">
      <c r="N21510" s="28"/>
      <c r="O21510" s="28"/>
      <c r="U21510" s="28"/>
    </row>
    <row r="21511">
      <c r="N21511" s="28"/>
      <c r="O21511" s="28"/>
      <c r="U21511" s="28"/>
    </row>
    <row r="21512">
      <c r="N21512" s="28"/>
      <c r="O21512" s="28"/>
      <c r="U21512" s="28"/>
    </row>
    <row r="21513">
      <c r="N21513" s="28"/>
      <c r="O21513" s="28"/>
      <c r="U21513" s="28"/>
    </row>
    <row r="21514">
      <c r="N21514" s="28"/>
      <c r="O21514" s="28"/>
      <c r="U21514" s="28"/>
    </row>
    <row r="21515">
      <c r="N21515" s="28"/>
      <c r="O21515" s="28"/>
      <c r="U21515" s="28"/>
    </row>
    <row r="21516">
      <c r="N21516" s="28"/>
      <c r="O21516" s="28"/>
      <c r="U21516" s="28"/>
    </row>
    <row r="21517">
      <c r="N21517" s="28"/>
      <c r="O21517" s="28"/>
      <c r="U21517" s="28"/>
    </row>
    <row r="21518">
      <c r="N21518" s="28"/>
      <c r="O21518" s="28"/>
      <c r="U21518" s="28"/>
    </row>
    <row r="21519">
      <c r="N21519" s="28"/>
      <c r="O21519" s="28"/>
      <c r="U21519" s="28"/>
    </row>
    <row r="21520">
      <c r="N21520" s="28"/>
      <c r="O21520" s="28"/>
      <c r="U21520" s="28"/>
    </row>
    <row r="21521">
      <c r="N21521" s="28"/>
      <c r="O21521" s="28"/>
      <c r="U21521" s="28"/>
    </row>
    <row r="21522">
      <c r="N21522" s="28"/>
      <c r="O21522" s="28"/>
      <c r="U21522" s="28"/>
    </row>
    <row r="21523">
      <c r="N21523" s="28"/>
      <c r="O21523" s="28"/>
      <c r="U21523" s="28"/>
    </row>
    <row r="21524">
      <c r="N21524" s="28"/>
      <c r="O21524" s="28"/>
      <c r="U21524" s="28"/>
    </row>
    <row r="21525">
      <c r="N21525" s="28"/>
      <c r="O21525" s="28"/>
      <c r="U21525" s="28"/>
    </row>
    <row r="21526">
      <c r="N21526" s="28"/>
      <c r="O21526" s="28"/>
      <c r="U21526" s="28"/>
    </row>
    <row r="21527">
      <c r="N21527" s="28"/>
      <c r="O21527" s="28"/>
      <c r="U21527" s="28"/>
    </row>
    <row r="21528">
      <c r="N21528" s="28"/>
      <c r="O21528" s="28"/>
      <c r="U21528" s="28"/>
    </row>
    <row r="21529">
      <c r="N21529" s="28"/>
      <c r="O21529" s="28"/>
      <c r="U21529" s="28"/>
    </row>
    <row r="21530">
      <c r="N21530" s="28"/>
      <c r="O21530" s="28"/>
      <c r="U21530" s="28"/>
    </row>
    <row r="21531">
      <c r="N21531" s="28"/>
      <c r="O21531" s="28"/>
      <c r="U21531" s="28"/>
    </row>
    <row r="21532">
      <c r="N21532" s="28"/>
      <c r="O21532" s="28"/>
      <c r="U21532" s="28"/>
    </row>
    <row r="21533">
      <c r="N21533" s="28"/>
      <c r="O21533" s="28"/>
      <c r="U21533" s="28"/>
    </row>
    <row r="21534">
      <c r="N21534" s="28"/>
      <c r="O21534" s="28"/>
      <c r="U21534" s="28"/>
    </row>
    <row r="21535">
      <c r="N21535" s="28"/>
      <c r="O21535" s="28"/>
      <c r="U21535" s="28"/>
    </row>
    <row r="21536">
      <c r="N21536" s="28"/>
      <c r="O21536" s="28"/>
      <c r="U21536" s="28"/>
    </row>
    <row r="21537">
      <c r="N21537" s="28"/>
      <c r="O21537" s="28"/>
      <c r="U21537" s="28"/>
    </row>
    <row r="21538">
      <c r="N21538" s="28"/>
      <c r="O21538" s="28"/>
      <c r="U21538" s="28"/>
    </row>
    <row r="21539">
      <c r="N21539" s="28"/>
      <c r="O21539" s="28"/>
      <c r="U21539" s="28"/>
    </row>
    <row r="21540">
      <c r="N21540" s="28"/>
      <c r="O21540" s="28"/>
      <c r="U21540" s="28"/>
    </row>
    <row r="21541">
      <c r="N21541" s="28"/>
      <c r="O21541" s="28"/>
      <c r="U21541" s="28"/>
    </row>
    <row r="21542">
      <c r="N21542" s="28"/>
      <c r="O21542" s="28"/>
      <c r="U21542" s="28"/>
    </row>
    <row r="21543">
      <c r="N21543" s="28"/>
      <c r="O21543" s="28"/>
      <c r="U21543" s="28"/>
    </row>
    <row r="21544">
      <c r="N21544" s="28"/>
      <c r="O21544" s="28"/>
      <c r="U21544" s="28"/>
    </row>
    <row r="21545">
      <c r="N21545" s="28"/>
      <c r="O21545" s="28"/>
      <c r="U21545" s="28"/>
    </row>
    <row r="21546">
      <c r="N21546" s="28"/>
      <c r="O21546" s="28"/>
      <c r="U21546" s="28"/>
    </row>
    <row r="21547">
      <c r="N21547" s="28"/>
      <c r="O21547" s="28"/>
      <c r="U21547" s="28"/>
    </row>
    <row r="21548">
      <c r="N21548" s="28"/>
      <c r="O21548" s="28"/>
      <c r="U21548" s="28"/>
    </row>
    <row r="21549">
      <c r="N21549" s="28"/>
      <c r="O21549" s="28"/>
      <c r="U21549" s="28"/>
    </row>
    <row r="21550">
      <c r="N21550" s="28"/>
      <c r="O21550" s="28"/>
      <c r="U21550" s="28"/>
    </row>
    <row r="21551">
      <c r="N21551" s="28"/>
      <c r="O21551" s="28"/>
      <c r="U21551" s="28"/>
    </row>
    <row r="21552">
      <c r="N21552" s="28"/>
      <c r="O21552" s="28"/>
      <c r="U21552" s="28"/>
    </row>
    <row r="21553">
      <c r="N21553" s="28"/>
      <c r="O21553" s="28"/>
      <c r="U21553" s="28"/>
    </row>
    <row r="21554">
      <c r="N21554" s="28"/>
      <c r="O21554" s="28"/>
      <c r="U21554" s="28"/>
    </row>
    <row r="21555">
      <c r="N21555" s="28"/>
      <c r="O21555" s="28"/>
      <c r="U21555" s="28"/>
    </row>
    <row r="21556">
      <c r="N21556" s="28"/>
      <c r="O21556" s="28"/>
      <c r="U21556" s="28"/>
    </row>
    <row r="21557">
      <c r="N21557" s="28"/>
      <c r="O21557" s="28"/>
      <c r="U21557" s="28"/>
    </row>
    <row r="21558">
      <c r="N21558" s="28"/>
      <c r="O21558" s="28"/>
      <c r="U21558" s="28"/>
    </row>
    <row r="21559">
      <c r="N21559" s="28"/>
      <c r="O21559" s="28"/>
      <c r="U21559" s="28"/>
    </row>
    <row r="21560">
      <c r="N21560" s="28"/>
      <c r="O21560" s="28"/>
      <c r="U21560" s="28"/>
    </row>
    <row r="21561">
      <c r="N21561" s="28"/>
      <c r="O21561" s="28"/>
      <c r="U21561" s="28"/>
    </row>
    <row r="21562">
      <c r="N21562" s="28"/>
      <c r="O21562" s="28"/>
      <c r="U21562" s="28"/>
    </row>
    <row r="21563">
      <c r="N21563" s="28"/>
      <c r="O21563" s="28"/>
      <c r="U21563" s="28"/>
    </row>
    <row r="21564">
      <c r="N21564" s="28"/>
      <c r="O21564" s="28"/>
      <c r="U21564" s="28"/>
    </row>
    <row r="21565">
      <c r="N21565" s="28"/>
      <c r="O21565" s="28"/>
      <c r="U21565" s="28"/>
    </row>
    <row r="21566">
      <c r="N21566" s="28"/>
      <c r="O21566" s="28"/>
      <c r="U21566" s="28"/>
    </row>
    <row r="21567">
      <c r="N21567" s="28"/>
      <c r="O21567" s="28"/>
      <c r="U21567" s="28"/>
    </row>
    <row r="21568">
      <c r="N21568" s="28"/>
      <c r="O21568" s="28"/>
      <c r="U21568" s="28"/>
    </row>
    <row r="21569">
      <c r="N21569" s="28"/>
      <c r="O21569" s="28"/>
      <c r="U21569" s="28"/>
    </row>
    <row r="21570">
      <c r="N21570" s="28"/>
      <c r="O21570" s="28"/>
      <c r="U21570" s="28"/>
    </row>
    <row r="21571">
      <c r="N21571" s="28"/>
      <c r="O21571" s="28"/>
      <c r="U21571" s="28"/>
    </row>
    <row r="21572">
      <c r="N21572" s="28"/>
      <c r="O21572" s="28"/>
      <c r="U21572" s="28"/>
    </row>
    <row r="21573">
      <c r="N21573" s="28"/>
      <c r="O21573" s="28"/>
      <c r="U21573" s="28"/>
    </row>
    <row r="21574">
      <c r="N21574" s="28"/>
      <c r="O21574" s="28"/>
      <c r="U21574" s="28"/>
    </row>
    <row r="21575">
      <c r="N21575" s="28"/>
      <c r="O21575" s="28"/>
      <c r="U21575" s="28"/>
    </row>
    <row r="21576">
      <c r="N21576" s="28"/>
      <c r="O21576" s="28"/>
      <c r="U21576" s="28"/>
    </row>
    <row r="21577">
      <c r="N21577" s="28"/>
      <c r="O21577" s="28"/>
      <c r="U21577" s="28"/>
    </row>
    <row r="21578">
      <c r="N21578" s="28"/>
      <c r="O21578" s="28"/>
      <c r="U21578" s="28"/>
    </row>
    <row r="21579">
      <c r="N21579" s="28"/>
      <c r="O21579" s="28"/>
      <c r="U21579" s="28"/>
    </row>
    <row r="21580">
      <c r="N21580" s="28"/>
      <c r="O21580" s="28"/>
      <c r="U21580" s="28"/>
    </row>
    <row r="21581">
      <c r="N21581" s="28"/>
      <c r="O21581" s="28"/>
      <c r="U21581" s="28"/>
    </row>
    <row r="21582">
      <c r="N21582" s="28"/>
      <c r="O21582" s="28"/>
      <c r="U21582" s="28"/>
    </row>
    <row r="21583">
      <c r="N21583" s="28"/>
      <c r="O21583" s="28"/>
      <c r="U21583" s="28"/>
    </row>
    <row r="21584">
      <c r="N21584" s="28"/>
      <c r="O21584" s="28"/>
      <c r="U21584" s="28"/>
    </row>
    <row r="21585">
      <c r="N21585" s="28"/>
      <c r="O21585" s="28"/>
      <c r="U21585" s="28"/>
    </row>
    <row r="21586">
      <c r="N21586" s="28"/>
      <c r="O21586" s="28"/>
      <c r="U21586" s="28"/>
    </row>
    <row r="21587">
      <c r="N21587" s="28"/>
      <c r="O21587" s="28"/>
      <c r="U21587" s="28"/>
    </row>
    <row r="21588">
      <c r="N21588" s="28"/>
      <c r="O21588" s="28"/>
      <c r="U21588" s="28"/>
    </row>
    <row r="21589">
      <c r="N21589" s="28"/>
      <c r="O21589" s="28"/>
      <c r="U21589" s="28"/>
    </row>
    <row r="21590">
      <c r="N21590" s="28"/>
      <c r="O21590" s="28"/>
      <c r="U21590" s="28"/>
    </row>
    <row r="21591">
      <c r="N21591" s="28"/>
      <c r="O21591" s="28"/>
      <c r="U21591" s="28"/>
    </row>
    <row r="21592">
      <c r="N21592" s="28"/>
      <c r="O21592" s="28"/>
      <c r="U21592" s="28"/>
    </row>
    <row r="21593">
      <c r="N21593" s="28"/>
      <c r="O21593" s="28"/>
      <c r="U21593" s="28"/>
    </row>
    <row r="21594">
      <c r="N21594" s="28"/>
      <c r="O21594" s="28"/>
      <c r="U21594" s="28"/>
    </row>
    <row r="21595">
      <c r="N21595" s="28"/>
      <c r="O21595" s="28"/>
      <c r="U21595" s="28"/>
    </row>
    <row r="21596">
      <c r="N21596" s="28"/>
      <c r="O21596" s="28"/>
      <c r="U21596" s="28"/>
    </row>
    <row r="21597">
      <c r="N21597" s="28"/>
      <c r="O21597" s="28"/>
      <c r="U21597" s="28"/>
    </row>
    <row r="21598">
      <c r="N21598" s="28"/>
      <c r="O21598" s="28"/>
      <c r="U21598" s="28"/>
    </row>
    <row r="21599">
      <c r="N21599" s="28"/>
      <c r="O21599" s="28"/>
      <c r="U21599" s="28"/>
    </row>
    <row r="21600">
      <c r="N21600" s="28"/>
      <c r="O21600" s="28"/>
      <c r="U21600" s="28"/>
    </row>
    <row r="21601">
      <c r="N21601" s="28"/>
      <c r="O21601" s="28"/>
      <c r="U21601" s="28"/>
    </row>
    <row r="21602">
      <c r="N21602" s="28"/>
      <c r="O21602" s="28"/>
      <c r="U21602" s="28"/>
    </row>
    <row r="21603">
      <c r="N21603" s="28"/>
      <c r="O21603" s="28"/>
      <c r="U21603" s="28"/>
    </row>
    <row r="21604">
      <c r="N21604" s="28"/>
      <c r="O21604" s="28"/>
      <c r="U21604" s="28"/>
    </row>
    <row r="21605">
      <c r="N21605" s="28"/>
      <c r="O21605" s="28"/>
      <c r="U21605" s="28"/>
    </row>
    <row r="21606">
      <c r="N21606" s="28"/>
      <c r="O21606" s="28"/>
      <c r="U21606" s="28"/>
    </row>
    <row r="21607">
      <c r="N21607" s="28"/>
      <c r="O21607" s="28"/>
      <c r="U21607" s="28"/>
    </row>
    <row r="21608">
      <c r="N21608" s="28"/>
      <c r="O21608" s="28"/>
      <c r="U21608" s="28"/>
    </row>
    <row r="21609">
      <c r="N21609" s="28"/>
      <c r="O21609" s="28"/>
      <c r="U21609" s="28"/>
    </row>
    <row r="21610">
      <c r="N21610" s="28"/>
      <c r="O21610" s="28"/>
      <c r="U21610" s="28"/>
    </row>
    <row r="21611">
      <c r="N21611" s="28"/>
      <c r="O21611" s="28"/>
      <c r="U21611" s="28"/>
    </row>
    <row r="21612">
      <c r="N21612" s="28"/>
      <c r="O21612" s="28"/>
      <c r="U21612" s="28"/>
    </row>
    <row r="21613">
      <c r="N21613" s="28"/>
      <c r="O21613" s="28"/>
      <c r="U21613" s="28"/>
    </row>
    <row r="21614">
      <c r="N21614" s="28"/>
      <c r="O21614" s="28"/>
      <c r="U21614" s="28"/>
    </row>
    <row r="21615">
      <c r="N21615" s="28"/>
      <c r="O21615" s="28"/>
      <c r="U21615" s="28"/>
    </row>
    <row r="21616">
      <c r="N21616" s="28"/>
      <c r="O21616" s="28"/>
      <c r="U21616" s="28"/>
    </row>
    <row r="21617">
      <c r="N21617" s="28"/>
      <c r="O21617" s="28"/>
      <c r="U21617" s="28"/>
    </row>
    <row r="21618">
      <c r="N21618" s="28"/>
      <c r="O21618" s="28"/>
      <c r="U21618" s="28"/>
    </row>
    <row r="21619">
      <c r="N21619" s="28"/>
      <c r="O21619" s="28"/>
      <c r="U21619" s="28"/>
    </row>
    <row r="21620">
      <c r="N21620" s="28"/>
      <c r="O21620" s="28"/>
      <c r="U21620" s="28"/>
    </row>
    <row r="21621">
      <c r="N21621" s="28"/>
      <c r="O21621" s="28"/>
      <c r="U21621" s="28"/>
    </row>
    <row r="21622">
      <c r="N21622" s="28"/>
      <c r="O21622" s="28"/>
      <c r="U21622" s="28"/>
    </row>
    <row r="21623">
      <c r="N21623" s="28"/>
      <c r="O21623" s="28"/>
      <c r="U21623" s="28"/>
    </row>
    <row r="21624">
      <c r="N21624" s="28"/>
      <c r="O21624" s="28"/>
      <c r="U21624" s="28"/>
    </row>
    <row r="21625">
      <c r="N21625" s="28"/>
      <c r="O21625" s="28"/>
      <c r="U21625" s="28"/>
    </row>
    <row r="21626">
      <c r="N21626" s="28"/>
      <c r="O21626" s="28"/>
      <c r="U21626" s="28"/>
    </row>
    <row r="21627">
      <c r="N21627" s="28"/>
      <c r="O21627" s="28"/>
      <c r="U21627" s="28"/>
    </row>
    <row r="21628">
      <c r="N21628" s="28"/>
      <c r="O21628" s="28"/>
      <c r="U21628" s="28"/>
    </row>
    <row r="21629">
      <c r="N21629" s="28"/>
      <c r="O21629" s="28"/>
      <c r="U21629" s="28"/>
    </row>
    <row r="21630">
      <c r="N21630" s="28"/>
      <c r="O21630" s="28"/>
      <c r="U21630" s="28"/>
    </row>
    <row r="21631">
      <c r="N21631" s="28"/>
      <c r="O21631" s="28"/>
      <c r="U21631" s="28"/>
    </row>
    <row r="21632">
      <c r="N21632" s="28"/>
      <c r="O21632" s="28"/>
      <c r="U21632" s="28"/>
    </row>
    <row r="21633">
      <c r="N21633" s="28"/>
      <c r="O21633" s="28"/>
      <c r="U21633" s="28"/>
    </row>
    <row r="21634">
      <c r="N21634" s="28"/>
      <c r="O21634" s="28"/>
      <c r="U21634" s="28"/>
    </row>
    <row r="21635">
      <c r="N21635" s="28"/>
      <c r="O21635" s="28"/>
      <c r="U21635" s="28"/>
    </row>
    <row r="21636">
      <c r="N21636" s="28"/>
      <c r="O21636" s="28"/>
      <c r="U21636" s="28"/>
    </row>
    <row r="21637">
      <c r="N21637" s="28"/>
      <c r="O21637" s="28"/>
      <c r="U21637" s="28"/>
    </row>
    <row r="21638">
      <c r="N21638" s="28"/>
      <c r="O21638" s="28"/>
      <c r="U21638" s="28"/>
    </row>
    <row r="21639">
      <c r="N21639" s="28"/>
      <c r="O21639" s="28"/>
      <c r="U21639" s="28"/>
    </row>
    <row r="21640">
      <c r="N21640" s="28"/>
      <c r="O21640" s="28"/>
      <c r="U21640" s="28"/>
    </row>
    <row r="21641">
      <c r="N21641" s="28"/>
      <c r="O21641" s="28"/>
      <c r="U21641" s="28"/>
    </row>
    <row r="21642">
      <c r="N21642" s="28"/>
      <c r="O21642" s="28"/>
      <c r="U21642" s="28"/>
    </row>
    <row r="21643">
      <c r="N21643" s="28"/>
      <c r="O21643" s="28"/>
      <c r="U21643" s="28"/>
    </row>
    <row r="21644">
      <c r="N21644" s="28"/>
      <c r="O21644" s="28"/>
      <c r="U21644" s="28"/>
    </row>
    <row r="21645">
      <c r="N21645" s="28"/>
      <c r="O21645" s="28"/>
      <c r="U21645" s="28"/>
    </row>
    <row r="21646">
      <c r="N21646" s="28"/>
      <c r="O21646" s="28"/>
      <c r="U21646" s="28"/>
    </row>
    <row r="21647">
      <c r="N21647" s="28"/>
      <c r="O21647" s="28"/>
      <c r="U21647" s="28"/>
    </row>
    <row r="21648">
      <c r="N21648" s="28"/>
      <c r="O21648" s="28"/>
      <c r="U21648" s="28"/>
    </row>
    <row r="21649">
      <c r="N21649" s="28"/>
      <c r="O21649" s="28"/>
      <c r="U21649" s="28"/>
    </row>
    <row r="21650">
      <c r="N21650" s="28"/>
      <c r="O21650" s="28"/>
      <c r="U21650" s="28"/>
    </row>
    <row r="21651">
      <c r="N21651" s="28"/>
      <c r="O21651" s="28"/>
      <c r="U21651" s="28"/>
    </row>
    <row r="21652">
      <c r="N21652" s="28"/>
      <c r="O21652" s="28"/>
      <c r="U21652" s="28"/>
    </row>
    <row r="21653">
      <c r="N21653" s="28"/>
      <c r="O21653" s="28"/>
      <c r="U21653" s="28"/>
    </row>
    <row r="21654">
      <c r="N21654" s="28"/>
      <c r="O21654" s="28"/>
      <c r="U21654" s="28"/>
    </row>
    <row r="21655">
      <c r="N21655" s="28"/>
      <c r="O21655" s="28"/>
      <c r="U21655" s="28"/>
    </row>
    <row r="21656">
      <c r="N21656" s="28"/>
      <c r="O21656" s="28"/>
      <c r="U21656" s="28"/>
    </row>
    <row r="21657">
      <c r="N21657" s="28"/>
      <c r="O21657" s="28"/>
      <c r="U21657" s="28"/>
    </row>
    <row r="21658">
      <c r="N21658" s="28"/>
      <c r="O21658" s="28"/>
      <c r="U21658" s="28"/>
    </row>
    <row r="21659">
      <c r="N21659" s="28"/>
      <c r="O21659" s="28"/>
      <c r="U21659" s="28"/>
    </row>
    <row r="21660">
      <c r="N21660" s="28"/>
      <c r="O21660" s="28"/>
      <c r="U21660" s="28"/>
    </row>
    <row r="21661">
      <c r="N21661" s="28"/>
      <c r="O21661" s="28"/>
      <c r="U21661" s="28"/>
    </row>
    <row r="21662">
      <c r="N21662" s="28"/>
      <c r="O21662" s="28"/>
      <c r="U21662" s="28"/>
    </row>
    <row r="21663">
      <c r="N21663" s="28"/>
      <c r="O21663" s="28"/>
      <c r="U21663" s="28"/>
    </row>
    <row r="21664">
      <c r="N21664" s="28"/>
      <c r="O21664" s="28"/>
      <c r="U21664" s="28"/>
    </row>
    <row r="21665">
      <c r="N21665" s="28"/>
      <c r="O21665" s="28"/>
      <c r="U21665" s="28"/>
    </row>
    <row r="21666">
      <c r="N21666" s="28"/>
      <c r="O21666" s="28"/>
      <c r="U21666" s="28"/>
    </row>
    <row r="21667">
      <c r="N21667" s="28"/>
      <c r="O21667" s="28"/>
      <c r="U21667" s="28"/>
    </row>
    <row r="21668">
      <c r="N21668" s="28"/>
      <c r="O21668" s="28"/>
      <c r="U21668" s="28"/>
    </row>
    <row r="21669">
      <c r="N21669" s="28"/>
      <c r="O21669" s="28"/>
      <c r="U21669" s="28"/>
    </row>
    <row r="21670">
      <c r="N21670" s="28"/>
      <c r="O21670" s="28"/>
      <c r="U21670" s="28"/>
    </row>
    <row r="21671">
      <c r="N21671" s="28"/>
      <c r="O21671" s="28"/>
      <c r="U21671" s="28"/>
    </row>
    <row r="21672">
      <c r="N21672" s="28"/>
      <c r="O21672" s="28"/>
      <c r="U21672" s="28"/>
    </row>
    <row r="21673">
      <c r="N21673" s="28"/>
      <c r="O21673" s="28"/>
      <c r="U21673" s="28"/>
    </row>
    <row r="21674">
      <c r="N21674" s="28"/>
      <c r="O21674" s="28"/>
      <c r="U21674" s="28"/>
    </row>
    <row r="21675">
      <c r="N21675" s="28"/>
      <c r="O21675" s="28"/>
      <c r="U21675" s="28"/>
    </row>
    <row r="21676">
      <c r="N21676" s="28"/>
      <c r="O21676" s="28"/>
      <c r="U21676" s="28"/>
    </row>
    <row r="21677">
      <c r="N21677" s="28"/>
      <c r="O21677" s="28"/>
      <c r="U21677" s="28"/>
    </row>
    <row r="21678">
      <c r="N21678" s="28"/>
      <c r="O21678" s="28"/>
      <c r="U21678" s="28"/>
    </row>
    <row r="21679">
      <c r="N21679" s="28"/>
      <c r="O21679" s="28"/>
      <c r="U21679" s="28"/>
    </row>
    <row r="21680">
      <c r="N21680" s="28"/>
      <c r="O21680" s="28"/>
      <c r="U21680" s="28"/>
    </row>
    <row r="21681">
      <c r="N21681" s="28"/>
      <c r="O21681" s="28"/>
      <c r="U21681" s="28"/>
    </row>
    <row r="21682">
      <c r="N21682" s="28"/>
      <c r="O21682" s="28"/>
      <c r="U21682" s="28"/>
    </row>
    <row r="21683">
      <c r="N21683" s="28"/>
      <c r="O21683" s="28"/>
      <c r="U21683" s="28"/>
    </row>
    <row r="21684">
      <c r="N21684" s="28"/>
      <c r="O21684" s="28"/>
      <c r="U21684" s="28"/>
    </row>
    <row r="21685">
      <c r="N21685" s="28"/>
      <c r="O21685" s="28"/>
      <c r="U21685" s="28"/>
    </row>
    <row r="21686">
      <c r="N21686" s="28"/>
      <c r="O21686" s="28"/>
      <c r="U21686" s="28"/>
    </row>
    <row r="21687">
      <c r="N21687" s="28"/>
      <c r="O21687" s="28"/>
      <c r="U21687" s="28"/>
    </row>
    <row r="21688">
      <c r="N21688" s="28"/>
      <c r="O21688" s="28"/>
      <c r="U21688" s="28"/>
    </row>
    <row r="21689">
      <c r="N21689" s="28"/>
      <c r="O21689" s="28"/>
      <c r="U21689" s="28"/>
    </row>
    <row r="21690">
      <c r="N21690" s="28"/>
      <c r="O21690" s="28"/>
      <c r="U21690" s="28"/>
    </row>
    <row r="21691">
      <c r="N21691" s="28"/>
      <c r="O21691" s="28"/>
      <c r="U21691" s="28"/>
    </row>
    <row r="21692">
      <c r="N21692" s="28"/>
      <c r="O21692" s="28"/>
      <c r="U21692" s="28"/>
    </row>
    <row r="21693">
      <c r="N21693" s="28"/>
      <c r="O21693" s="28"/>
      <c r="U21693" s="28"/>
    </row>
    <row r="21694">
      <c r="N21694" s="28"/>
      <c r="O21694" s="28"/>
      <c r="U21694" s="28"/>
    </row>
    <row r="21695">
      <c r="N21695" s="28"/>
      <c r="O21695" s="28"/>
      <c r="U21695" s="28"/>
    </row>
    <row r="21696">
      <c r="N21696" s="28"/>
      <c r="O21696" s="28"/>
      <c r="U21696" s="28"/>
    </row>
    <row r="21697">
      <c r="N21697" s="28"/>
      <c r="O21697" s="28"/>
      <c r="U21697" s="28"/>
    </row>
    <row r="21698">
      <c r="N21698" s="28"/>
      <c r="O21698" s="28"/>
      <c r="U21698" s="28"/>
    </row>
    <row r="21699">
      <c r="N21699" s="28"/>
      <c r="O21699" s="28"/>
      <c r="U21699" s="28"/>
    </row>
    <row r="21700">
      <c r="N21700" s="28"/>
      <c r="O21700" s="28"/>
      <c r="U21700" s="28"/>
    </row>
    <row r="21701">
      <c r="N21701" s="28"/>
      <c r="O21701" s="28"/>
      <c r="U21701" s="28"/>
    </row>
    <row r="21702">
      <c r="N21702" s="28"/>
      <c r="O21702" s="28"/>
      <c r="U21702" s="28"/>
    </row>
    <row r="21703">
      <c r="N21703" s="28"/>
      <c r="O21703" s="28"/>
      <c r="U21703" s="28"/>
    </row>
    <row r="21704">
      <c r="N21704" s="28"/>
      <c r="O21704" s="28"/>
      <c r="U21704" s="28"/>
    </row>
    <row r="21705">
      <c r="N21705" s="28"/>
      <c r="O21705" s="28"/>
      <c r="U21705" s="28"/>
    </row>
    <row r="21706">
      <c r="N21706" s="28"/>
      <c r="O21706" s="28"/>
      <c r="U21706" s="28"/>
    </row>
    <row r="21707">
      <c r="N21707" s="28"/>
      <c r="O21707" s="28"/>
      <c r="U21707" s="28"/>
    </row>
    <row r="21708">
      <c r="N21708" s="28"/>
      <c r="O21708" s="28"/>
      <c r="U21708" s="28"/>
    </row>
    <row r="21709">
      <c r="N21709" s="28"/>
      <c r="O21709" s="28"/>
      <c r="U21709" s="28"/>
    </row>
    <row r="21710">
      <c r="N21710" s="28"/>
      <c r="O21710" s="28"/>
      <c r="U21710" s="28"/>
    </row>
    <row r="21711">
      <c r="N21711" s="28"/>
      <c r="O21711" s="28"/>
      <c r="U21711" s="28"/>
    </row>
    <row r="21712">
      <c r="N21712" s="28"/>
      <c r="O21712" s="28"/>
      <c r="U21712" s="28"/>
    </row>
    <row r="21713">
      <c r="N21713" s="28"/>
      <c r="O21713" s="28"/>
      <c r="U21713" s="28"/>
    </row>
    <row r="21714">
      <c r="N21714" s="28"/>
      <c r="O21714" s="28"/>
      <c r="U21714" s="28"/>
    </row>
    <row r="21715">
      <c r="N21715" s="28"/>
      <c r="O21715" s="28"/>
      <c r="U21715" s="28"/>
    </row>
    <row r="21716">
      <c r="N21716" s="28"/>
      <c r="O21716" s="28"/>
      <c r="U21716" s="28"/>
    </row>
    <row r="21717">
      <c r="N21717" s="28"/>
      <c r="O21717" s="28"/>
      <c r="U21717" s="28"/>
    </row>
    <row r="21718">
      <c r="N21718" s="28"/>
      <c r="O21718" s="28"/>
      <c r="U21718" s="28"/>
    </row>
    <row r="21719">
      <c r="N21719" s="28"/>
      <c r="O21719" s="28"/>
      <c r="U21719" s="28"/>
    </row>
    <row r="21720">
      <c r="N21720" s="28"/>
      <c r="O21720" s="28"/>
      <c r="U21720" s="28"/>
    </row>
    <row r="21721">
      <c r="N21721" s="28"/>
      <c r="O21721" s="28"/>
      <c r="U21721" s="28"/>
    </row>
    <row r="21722">
      <c r="N21722" s="28"/>
      <c r="O21722" s="28"/>
      <c r="U21722" s="28"/>
    </row>
    <row r="21723">
      <c r="N21723" s="28"/>
      <c r="O21723" s="28"/>
      <c r="U21723" s="28"/>
    </row>
    <row r="21724">
      <c r="N21724" s="28"/>
      <c r="O21724" s="28"/>
      <c r="U21724" s="28"/>
    </row>
    <row r="21725">
      <c r="N21725" s="28"/>
      <c r="O21725" s="28"/>
      <c r="U21725" s="28"/>
    </row>
    <row r="21726">
      <c r="N21726" s="28"/>
      <c r="O21726" s="28"/>
      <c r="U21726" s="28"/>
    </row>
    <row r="21727">
      <c r="N21727" s="28"/>
      <c r="O21727" s="28"/>
      <c r="U21727" s="28"/>
    </row>
    <row r="21728">
      <c r="N21728" s="28"/>
      <c r="O21728" s="28"/>
      <c r="U21728" s="28"/>
    </row>
    <row r="21729">
      <c r="N21729" s="28"/>
      <c r="O21729" s="28"/>
      <c r="U21729" s="28"/>
    </row>
    <row r="21730">
      <c r="N21730" s="28"/>
      <c r="O21730" s="28"/>
      <c r="U21730" s="28"/>
    </row>
    <row r="21731">
      <c r="N21731" s="28"/>
      <c r="O21731" s="28"/>
      <c r="U21731" s="28"/>
    </row>
    <row r="21732">
      <c r="N21732" s="28"/>
      <c r="O21732" s="28"/>
      <c r="U21732" s="28"/>
    </row>
    <row r="21733">
      <c r="N21733" s="28"/>
      <c r="O21733" s="28"/>
      <c r="U21733" s="28"/>
    </row>
    <row r="21734">
      <c r="N21734" s="28"/>
      <c r="O21734" s="28"/>
      <c r="U21734" s="28"/>
    </row>
    <row r="21735">
      <c r="N21735" s="28"/>
      <c r="O21735" s="28"/>
      <c r="U21735" s="28"/>
    </row>
    <row r="21736">
      <c r="N21736" s="28"/>
      <c r="O21736" s="28"/>
      <c r="U21736" s="28"/>
    </row>
    <row r="21737">
      <c r="N21737" s="28"/>
      <c r="O21737" s="28"/>
      <c r="U21737" s="28"/>
    </row>
    <row r="21738">
      <c r="N21738" s="28"/>
      <c r="O21738" s="28"/>
      <c r="U21738" s="28"/>
    </row>
    <row r="21739">
      <c r="N21739" s="28"/>
      <c r="O21739" s="28"/>
      <c r="U21739" s="28"/>
    </row>
    <row r="21740">
      <c r="N21740" s="28"/>
      <c r="O21740" s="28"/>
      <c r="U21740" s="28"/>
    </row>
    <row r="21741">
      <c r="N21741" s="28"/>
      <c r="O21741" s="28"/>
      <c r="U21741" s="28"/>
    </row>
    <row r="21742">
      <c r="N21742" s="28"/>
      <c r="O21742" s="28"/>
      <c r="U21742" s="28"/>
    </row>
    <row r="21743">
      <c r="N21743" s="28"/>
      <c r="O21743" s="28"/>
      <c r="U21743" s="28"/>
    </row>
    <row r="21744">
      <c r="N21744" s="28"/>
      <c r="O21744" s="28"/>
      <c r="U21744" s="28"/>
    </row>
    <row r="21745">
      <c r="N21745" s="28"/>
      <c r="O21745" s="28"/>
      <c r="U21745" s="28"/>
    </row>
    <row r="21746">
      <c r="N21746" s="28"/>
      <c r="O21746" s="28"/>
      <c r="U21746" s="28"/>
    </row>
    <row r="21747">
      <c r="N21747" s="28"/>
      <c r="O21747" s="28"/>
      <c r="U21747" s="28"/>
    </row>
    <row r="21748">
      <c r="N21748" s="28"/>
      <c r="O21748" s="28"/>
      <c r="U21748" s="28"/>
    </row>
    <row r="21749">
      <c r="N21749" s="28"/>
      <c r="O21749" s="28"/>
      <c r="U21749" s="28"/>
    </row>
    <row r="21750">
      <c r="N21750" s="28"/>
      <c r="O21750" s="28"/>
      <c r="U21750" s="28"/>
    </row>
    <row r="21751">
      <c r="N21751" s="28"/>
      <c r="O21751" s="28"/>
      <c r="U21751" s="28"/>
    </row>
    <row r="21752">
      <c r="N21752" s="28"/>
      <c r="O21752" s="28"/>
      <c r="U21752" s="28"/>
    </row>
    <row r="21753">
      <c r="N21753" s="28"/>
      <c r="O21753" s="28"/>
      <c r="U21753" s="28"/>
    </row>
    <row r="21754">
      <c r="N21754" s="28"/>
      <c r="O21754" s="28"/>
      <c r="U21754" s="28"/>
    </row>
    <row r="21755">
      <c r="N21755" s="28"/>
      <c r="O21755" s="28"/>
      <c r="U21755" s="28"/>
    </row>
    <row r="21756">
      <c r="N21756" s="28"/>
      <c r="O21756" s="28"/>
      <c r="U21756" s="28"/>
    </row>
    <row r="21757">
      <c r="N21757" s="28"/>
      <c r="O21757" s="28"/>
      <c r="U21757" s="28"/>
    </row>
    <row r="21758">
      <c r="N21758" s="28"/>
      <c r="O21758" s="28"/>
      <c r="U21758" s="28"/>
    </row>
    <row r="21759">
      <c r="N21759" s="28"/>
      <c r="O21759" s="28"/>
      <c r="U21759" s="28"/>
    </row>
    <row r="21760">
      <c r="N21760" s="28"/>
      <c r="O21760" s="28"/>
      <c r="U21760" s="28"/>
    </row>
    <row r="21761">
      <c r="N21761" s="28"/>
      <c r="O21761" s="28"/>
      <c r="U21761" s="28"/>
    </row>
    <row r="21762">
      <c r="N21762" s="28"/>
      <c r="O21762" s="28"/>
      <c r="U21762" s="28"/>
    </row>
    <row r="21763">
      <c r="N21763" s="28"/>
      <c r="O21763" s="28"/>
      <c r="U21763" s="28"/>
    </row>
    <row r="21764">
      <c r="N21764" s="28"/>
      <c r="O21764" s="28"/>
      <c r="U21764" s="28"/>
    </row>
    <row r="21765">
      <c r="N21765" s="28"/>
      <c r="O21765" s="28"/>
      <c r="U21765" s="28"/>
    </row>
    <row r="21766">
      <c r="N21766" s="28"/>
      <c r="O21766" s="28"/>
      <c r="U21766" s="28"/>
    </row>
    <row r="21767">
      <c r="N21767" s="28"/>
      <c r="O21767" s="28"/>
      <c r="U21767" s="28"/>
    </row>
    <row r="21768">
      <c r="N21768" s="28"/>
      <c r="O21768" s="28"/>
      <c r="U21768" s="28"/>
    </row>
    <row r="21769">
      <c r="N21769" s="28"/>
      <c r="O21769" s="28"/>
      <c r="U21769" s="28"/>
    </row>
    <row r="21770">
      <c r="N21770" s="28"/>
      <c r="O21770" s="28"/>
      <c r="U21770" s="28"/>
    </row>
    <row r="21771">
      <c r="N21771" s="28"/>
      <c r="O21771" s="28"/>
      <c r="U21771" s="28"/>
    </row>
    <row r="21772">
      <c r="N21772" s="28"/>
      <c r="O21772" s="28"/>
      <c r="U21772" s="28"/>
    </row>
    <row r="21773">
      <c r="N21773" s="28"/>
      <c r="O21773" s="28"/>
      <c r="U21773" s="28"/>
    </row>
    <row r="21774">
      <c r="N21774" s="28"/>
      <c r="O21774" s="28"/>
      <c r="U21774" s="28"/>
    </row>
    <row r="21775">
      <c r="N21775" s="28"/>
      <c r="O21775" s="28"/>
      <c r="U21775" s="28"/>
    </row>
    <row r="21776">
      <c r="N21776" s="28"/>
      <c r="O21776" s="28"/>
      <c r="U21776" s="28"/>
    </row>
    <row r="21777">
      <c r="N21777" s="28"/>
      <c r="O21777" s="28"/>
      <c r="U21777" s="28"/>
    </row>
    <row r="21778">
      <c r="N21778" s="28"/>
      <c r="O21778" s="28"/>
      <c r="U21778" s="28"/>
    </row>
    <row r="21779">
      <c r="N21779" s="28"/>
      <c r="O21779" s="28"/>
      <c r="U21779" s="28"/>
    </row>
    <row r="21780">
      <c r="N21780" s="28"/>
      <c r="O21780" s="28"/>
      <c r="U21780" s="28"/>
    </row>
    <row r="21781">
      <c r="N21781" s="28"/>
      <c r="O21781" s="28"/>
      <c r="U21781" s="28"/>
    </row>
    <row r="21782">
      <c r="N21782" s="28"/>
      <c r="O21782" s="28"/>
      <c r="U21782" s="28"/>
    </row>
    <row r="21783">
      <c r="N21783" s="28"/>
      <c r="O21783" s="28"/>
      <c r="U21783" s="28"/>
    </row>
    <row r="21784">
      <c r="N21784" s="28"/>
      <c r="O21784" s="28"/>
      <c r="U21784" s="28"/>
    </row>
    <row r="21785">
      <c r="N21785" s="28"/>
      <c r="O21785" s="28"/>
      <c r="U21785" s="28"/>
    </row>
    <row r="21786">
      <c r="N21786" s="28"/>
      <c r="O21786" s="28"/>
      <c r="U21786" s="28"/>
    </row>
    <row r="21787">
      <c r="N21787" s="28"/>
      <c r="O21787" s="28"/>
      <c r="U21787" s="28"/>
    </row>
    <row r="21788">
      <c r="N21788" s="28"/>
      <c r="O21788" s="28"/>
      <c r="U21788" s="28"/>
    </row>
    <row r="21789">
      <c r="N21789" s="28"/>
      <c r="O21789" s="28"/>
      <c r="U21789" s="28"/>
    </row>
    <row r="21790">
      <c r="N21790" s="28"/>
      <c r="O21790" s="28"/>
      <c r="U21790" s="28"/>
    </row>
    <row r="21791">
      <c r="N21791" s="28"/>
      <c r="O21791" s="28"/>
      <c r="U21791" s="28"/>
    </row>
    <row r="21792">
      <c r="N21792" s="28"/>
      <c r="O21792" s="28"/>
      <c r="U21792" s="28"/>
    </row>
    <row r="21793">
      <c r="N21793" s="28"/>
      <c r="O21793" s="28"/>
      <c r="U21793" s="28"/>
    </row>
    <row r="21794">
      <c r="N21794" s="28"/>
      <c r="O21794" s="28"/>
      <c r="U21794" s="28"/>
    </row>
    <row r="21795">
      <c r="N21795" s="28"/>
      <c r="O21795" s="28"/>
      <c r="U21795" s="28"/>
    </row>
    <row r="21796">
      <c r="N21796" s="28"/>
      <c r="O21796" s="28"/>
      <c r="U21796" s="28"/>
    </row>
    <row r="21797">
      <c r="N21797" s="28"/>
      <c r="O21797" s="28"/>
      <c r="U21797" s="28"/>
    </row>
    <row r="21798">
      <c r="N21798" s="28"/>
      <c r="O21798" s="28"/>
      <c r="U21798" s="28"/>
    </row>
    <row r="21799">
      <c r="N21799" s="28"/>
      <c r="O21799" s="28"/>
      <c r="U21799" s="28"/>
    </row>
    <row r="21800">
      <c r="N21800" s="28"/>
      <c r="O21800" s="28"/>
      <c r="U21800" s="28"/>
    </row>
    <row r="21801">
      <c r="N21801" s="28"/>
      <c r="O21801" s="28"/>
      <c r="U21801" s="28"/>
    </row>
    <row r="21802">
      <c r="N21802" s="28"/>
      <c r="O21802" s="28"/>
      <c r="U21802" s="28"/>
    </row>
    <row r="21803">
      <c r="N21803" s="28"/>
      <c r="O21803" s="28"/>
      <c r="U21803" s="28"/>
    </row>
    <row r="21804">
      <c r="N21804" s="28"/>
      <c r="O21804" s="28"/>
      <c r="U21804" s="28"/>
    </row>
    <row r="21805">
      <c r="N21805" s="28"/>
      <c r="O21805" s="28"/>
      <c r="U21805" s="28"/>
    </row>
    <row r="21806">
      <c r="N21806" s="28"/>
      <c r="O21806" s="28"/>
      <c r="U21806" s="28"/>
    </row>
    <row r="21807">
      <c r="N21807" s="28"/>
      <c r="O21807" s="28"/>
      <c r="U21807" s="28"/>
    </row>
    <row r="21808">
      <c r="N21808" s="28"/>
      <c r="O21808" s="28"/>
      <c r="U21808" s="28"/>
    </row>
    <row r="21809">
      <c r="N21809" s="28"/>
      <c r="O21809" s="28"/>
      <c r="U21809" s="28"/>
    </row>
    <row r="21810">
      <c r="N21810" s="28"/>
      <c r="O21810" s="28"/>
      <c r="U21810" s="28"/>
    </row>
    <row r="21811">
      <c r="N21811" s="28"/>
      <c r="O21811" s="28"/>
      <c r="U21811" s="28"/>
    </row>
    <row r="21812">
      <c r="N21812" s="28"/>
      <c r="O21812" s="28"/>
      <c r="U21812" s="28"/>
    </row>
    <row r="21813">
      <c r="N21813" s="28"/>
      <c r="O21813" s="28"/>
      <c r="U21813" s="28"/>
    </row>
    <row r="21814">
      <c r="N21814" s="28"/>
      <c r="O21814" s="28"/>
      <c r="U21814" s="28"/>
    </row>
    <row r="21815">
      <c r="N21815" s="28"/>
      <c r="O21815" s="28"/>
      <c r="U21815" s="28"/>
    </row>
    <row r="21816">
      <c r="N21816" s="28"/>
      <c r="O21816" s="28"/>
      <c r="U21816" s="28"/>
    </row>
    <row r="21817">
      <c r="N21817" s="28"/>
      <c r="O21817" s="28"/>
      <c r="U21817" s="28"/>
    </row>
    <row r="21818">
      <c r="N21818" s="28"/>
      <c r="O21818" s="28"/>
      <c r="U21818" s="28"/>
    </row>
    <row r="21819">
      <c r="N21819" s="28"/>
      <c r="O21819" s="28"/>
      <c r="U21819" s="28"/>
    </row>
    <row r="21820">
      <c r="N21820" s="28"/>
      <c r="O21820" s="28"/>
      <c r="U21820" s="28"/>
    </row>
    <row r="21821">
      <c r="N21821" s="28"/>
      <c r="O21821" s="28"/>
      <c r="U21821" s="28"/>
    </row>
    <row r="21822">
      <c r="N21822" s="28"/>
      <c r="O21822" s="28"/>
      <c r="U21822" s="28"/>
    </row>
    <row r="21823">
      <c r="N21823" s="28"/>
      <c r="O21823" s="28"/>
      <c r="U21823" s="28"/>
    </row>
    <row r="21824">
      <c r="N21824" s="28"/>
      <c r="O21824" s="28"/>
      <c r="U21824" s="28"/>
    </row>
    <row r="21825">
      <c r="N21825" s="28"/>
      <c r="O21825" s="28"/>
      <c r="U21825" s="28"/>
    </row>
    <row r="21826">
      <c r="N21826" s="28"/>
      <c r="O21826" s="28"/>
      <c r="U21826" s="28"/>
    </row>
    <row r="21827">
      <c r="N21827" s="28"/>
      <c r="O21827" s="28"/>
      <c r="U21827" s="28"/>
    </row>
    <row r="21828">
      <c r="N21828" s="28"/>
      <c r="O21828" s="28"/>
      <c r="U21828" s="28"/>
    </row>
    <row r="21829">
      <c r="N21829" s="28"/>
      <c r="O21829" s="28"/>
      <c r="U21829" s="28"/>
    </row>
    <row r="21830">
      <c r="N21830" s="28"/>
      <c r="O21830" s="28"/>
      <c r="U21830" s="28"/>
    </row>
    <row r="21831">
      <c r="N21831" s="28"/>
      <c r="O21831" s="28"/>
      <c r="U21831" s="28"/>
    </row>
    <row r="21832">
      <c r="N21832" s="28"/>
      <c r="O21832" s="28"/>
      <c r="U21832" s="28"/>
    </row>
    <row r="21833">
      <c r="N21833" s="28"/>
      <c r="O21833" s="28"/>
      <c r="U21833" s="28"/>
    </row>
    <row r="21834">
      <c r="N21834" s="28"/>
      <c r="O21834" s="28"/>
      <c r="U21834" s="28"/>
    </row>
    <row r="21835">
      <c r="N21835" s="28"/>
      <c r="O21835" s="28"/>
      <c r="U21835" s="28"/>
    </row>
    <row r="21836">
      <c r="N21836" s="28"/>
      <c r="O21836" s="28"/>
      <c r="U21836" s="28"/>
    </row>
    <row r="21837">
      <c r="N21837" s="28"/>
      <c r="O21837" s="28"/>
      <c r="U21837" s="28"/>
    </row>
    <row r="21838">
      <c r="N21838" s="28"/>
      <c r="O21838" s="28"/>
      <c r="U21838" s="28"/>
    </row>
    <row r="21839">
      <c r="N21839" s="28"/>
      <c r="O21839" s="28"/>
      <c r="U21839" s="28"/>
    </row>
    <row r="21840">
      <c r="N21840" s="28"/>
      <c r="O21840" s="28"/>
      <c r="U21840" s="28"/>
    </row>
    <row r="21841">
      <c r="N21841" s="28"/>
      <c r="O21841" s="28"/>
      <c r="U21841" s="28"/>
    </row>
    <row r="21842">
      <c r="N21842" s="28"/>
      <c r="O21842" s="28"/>
      <c r="U21842" s="28"/>
    </row>
    <row r="21843">
      <c r="N21843" s="28"/>
      <c r="O21843" s="28"/>
      <c r="U21843" s="28"/>
    </row>
    <row r="21844">
      <c r="N21844" s="28"/>
      <c r="O21844" s="28"/>
      <c r="U21844" s="28"/>
    </row>
    <row r="21845">
      <c r="N21845" s="28"/>
      <c r="O21845" s="28"/>
      <c r="U21845" s="28"/>
    </row>
    <row r="21846">
      <c r="N21846" s="28"/>
      <c r="O21846" s="28"/>
      <c r="U21846" s="28"/>
    </row>
    <row r="21847">
      <c r="N21847" s="28"/>
      <c r="O21847" s="28"/>
      <c r="U21847" s="28"/>
    </row>
    <row r="21848">
      <c r="N21848" s="28"/>
      <c r="O21848" s="28"/>
      <c r="U21848" s="28"/>
    </row>
    <row r="21849">
      <c r="N21849" s="28"/>
      <c r="O21849" s="28"/>
      <c r="U21849" s="28"/>
    </row>
    <row r="21850">
      <c r="N21850" s="28"/>
      <c r="O21850" s="28"/>
      <c r="U21850" s="28"/>
    </row>
    <row r="21851">
      <c r="N21851" s="28"/>
      <c r="O21851" s="28"/>
      <c r="U21851" s="28"/>
    </row>
    <row r="21852">
      <c r="N21852" s="28"/>
      <c r="O21852" s="28"/>
      <c r="U21852" s="28"/>
    </row>
    <row r="21853">
      <c r="N21853" s="28"/>
      <c r="O21853" s="28"/>
      <c r="U21853" s="28"/>
    </row>
    <row r="21854">
      <c r="N21854" s="28"/>
      <c r="O21854" s="28"/>
      <c r="U21854" s="28"/>
    </row>
    <row r="21855">
      <c r="N21855" s="28"/>
      <c r="O21855" s="28"/>
      <c r="U21855" s="28"/>
    </row>
    <row r="21856">
      <c r="N21856" s="28"/>
      <c r="O21856" s="28"/>
      <c r="U21856" s="28"/>
    </row>
    <row r="21857">
      <c r="N21857" s="28"/>
      <c r="O21857" s="28"/>
      <c r="U21857" s="28"/>
    </row>
    <row r="21858">
      <c r="N21858" s="28"/>
      <c r="O21858" s="28"/>
      <c r="U21858" s="28"/>
    </row>
    <row r="21859">
      <c r="N21859" s="28"/>
      <c r="O21859" s="28"/>
      <c r="U21859" s="28"/>
    </row>
    <row r="21860">
      <c r="N21860" s="28"/>
      <c r="O21860" s="28"/>
      <c r="U21860" s="28"/>
    </row>
    <row r="21861">
      <c r="N21861" s="28"/>
      <c r="O21861" s="28"/>
      <c r="U21861" s="28"/>
    </row>
    <row r="21862">
      <c r="N21862" s="28"/>
      <c r="O21862" s="28"/>
      <c r="U21862" s="28"/>
    </row>
    <row r="21863">
      <c r="N21863" s="28"/>
      <c r="O21863" s="28"/>
      <c r="U21863" s="28"/>
    </row>
    <row r="21864">
      <c r="N21864" s="28"/>
      <c r="O21864" s="28"/>
      <c r="U21864" s="28"/>
    </row>
    <row r="21865">
      <c r="N21865" s="28"/>
      <c r="O21865" s="28"/>
      <c r="U21865" s="28"/>
    </row>
    <row r="21866">
      <c r="N21866" s="28"/>
      <c r="O21866" s="28"/>
      <c r="U21866" s="28"/>
    </row>
    <row r="21867">
      <c r="N21867" s="28"/>
      <c r="O21867" s="28"/>
      <c r="U21867" s="28"/>
    </row>
    <row r="21868">
      <c r="N21868" s="28"/>
      <c r="O21868" s="28"/>
      <c r="U21868" s="28"/>
    </row>
    <row r="21869">
      <c r="N21869" s="28"/>
      <c r="O21869" s="28"/>
      <c r="U21869" s="28"/>
    </row>
    <row r="21870">
      <c r="N21870" s="28"/>
      <c r="O21870" s="28"/>
      <c r="U21870" s="28"/>
    </row>
    <row r="21871">
      <c r="N21871" s="28"/>
      <c r="O21871" s="28"/>
      <c r="U21871" s="28"/>
    </row>
    <row r="21872">
      <c r="N21872" s="28"/>
      <c r="O21872" s="28"/>
      <c r="U21872" s="28"/>
    </row>
    <row r="21873">
      <c r="N21873" s="28"/>
      <c r="O21873" s="28"/>
      <c r="U21873" s="28"/>
    </row>
    <row r="21874">
      <c r="N21874" s="28"/>
      <c r="O21874" s="28"/>
      <c r="U21874" s="28"/>
    </row>
    <row r="21875">
      <c r="N21875" s="28"/>
      <c r="O21875" s="28"/>
      <c r="U21875" s="28"/>
    </row>
    <row r="21876">
      <c r="N21876" s="28"/>
      <c r="O21876" s="28"/>
      <c r="U21876" s="28"/>
    </row>
    <row r="21877">
      <c r="N21877" s="28"/>
      <c r="O21877" s="28"/>
      <c r="U21877" s="28"/>
    </row>
    <row r="21878">
      <c r="N21878" s="28"/>
      <c r="O21878" s="28"/>
      <c r="U21878" s="28"/>
    </row>
    <row r="21879">
      <c r="N21879" s="28"/>
      <c r="O21879" s="28"/>
      <c r="U21879" s="28"/>
    </row>
    <row r="21880">
      <c r="N21880" s="28"/>
      <c r="O21880" s="28"/>
      <c r="U21880" s="28"/>
    </row>
    <row r="21881">
      <c r="N21881" s="28"/>
      <c r="O21881" s="28"/>
      <c r="U21881" s="28"/>
    </row>
    <row r="21882">
      <c r="N21882" s="28"/>
      <c r="O21882" s="28"/>
      <c r="U21882" s="28"/>
    </row>
    <row r="21883">
      <c r="N21883" s="28"/>
      <c r="O21883" s="28"/>
      <c r="U21883" s="28"/>
    </row>
    <row r="21884">
      <c r="N21884" s="28"/>
      <c r="O21884" s="28"/>
      <c r="U21884" s="28"/>
    </row>
    <row r="21885">
      <c r="N21885" s="28"/>
      <c r="O21885" s="28"/>
      <c r="U21885" s="28"/>
    </row>
    <row r="21886">
      <c r="N21886" s="28"/>
      <c r="O21886" s="28"/>
      <c r="U21886" s="28"/>
    </row>
    <row r="21887">
      <c r="N21887" s="28"/>
      <c r="O21887" s="28"/>
      <c r="U21887" s="28"/>
    </row>
    <row r="21888">
      <c r="N21888" s="28"/>
      <c r="O21888" s="28"/>
      <c r="U21888" s="28"/>
    </row>
    <row r="21889">
      <c r="N21889" s="28"/>
      <c r="O21889" s="28"/>
      <c r="U21889" s="28"/>
    </row>
    <row r="21890">
      <c r="N21890" s="28"/>
      <c r="O21890" s="28"/>
      <c r="U21890" s="28"/>
    </row>
    <row r="21891">
      <c r="N21891" s="28"/>
      <c r="O21891" s="28"/>
      <c r="U21891" s="28"/>
    </row>
    <row r="21892">
      <c r="N21892" s="28"/>
      <c r="O21892" s="28"/>
      <c r="U21892" s="28"/>
    </row>
    <row r="21893">
      <c r="N21893" s="28"/>
      <c r="O21893" s="28"/>
      <c r="U21893" s="28"/>
    </row>
    <row r="21894">
      <c r="N21894" s="28"/>
      <c r="O21894" s="28"/>
      <c r="U21894" s="28"/>
    </row>
    <row r="21895">
      <c r="N21895" s="28"/>
      <c r="O21895" s="28"/>
      <c r="U21895" s="28"/>
    </row>
    <row r="21896">
      <c r="N21896" s="28"/>
      <c r="O21896" s="28"/>
      <c r="U21896" s="28"/>
    </row>
    <row r="21897">
      <c r="N21897" s="28"/>
      <c r="O21897" s="28"/>
      <c r="U21897" s="28"/>
    </row>
    <row r="21898">
      <c r="N21898" s="28"/>
      <c r="O21898" s="28"/>
      <c r="U21898" s="28"/>
    </row>
    <row r="21899">
      <c r="N21899" s="28"/>
      <c r="O21899" s="28"/>
      <c r="U21899" s="28"/>
    </row>
    <row r="21900">
      <c r="N21900" s="28"/>
      <c r="O21900" s="28"/>
      <c r="U21900" s="28"/>
    </row>
    <row r="21901">
      <c r="N21901" s="28"/>
      <c r="O21901" s="28"/>
      <c r="U21901" s="28"/>
    </row>
    <row r="21902">
      <c r="N21902" s="28"/>
      <c r="O21902" s="28"/>
      <c r="U21902" s="28"/>
    </row>
    <row r="21903">
      <c r="N21903" s="28"/>
      <c r="O21903" s="28"/>
      <c r="U21903" s="28"/>
    </row>
    <row r="21904">
      <c r="N21904" s="28"/>
      <c r="O21904" s="28"/>
      <c r="U21904" s="28"/>
    </row>
    <row r="21905">
      <c r="N21905" s="28"/>
      <c r="O21905" s="28"/>
      <c r="U21905" s="28"/>
    </row>
    <row r="21906">
      <c r="N21906" s="28"/>
      <c r="O21906" s="28"/>
      <c r="U21906" s="28"/>
    </row>
    <row r="21907">
      <c r="N21907" s="28"/>
      <c r="O21907" s="28"/>
      <c r="U21907" s="28"/>
    </row>
    <row r="21908">
      <c r="N21908" s="28"/>
      <c r="O21908" s="28"/>
      <c r="U21908" s="28"/>
    </row>
    <row r="21909">
      <c r="N21909" s="28"/>
      <c r="O21909" s="28"/>
      <c r="U21909" s="28"/>
    </row>
    <row r="21910">
      <c r="N21910" s="28"/>
      <c r="O21910" s="28"/>
      <c r="U21910" s="28"/>
    </row>
    <row r="21911">
      <c r="N21911" s="28"/>
      <c r="O21911" s="28"/>
      <c r="U21911" s="28"/>
    </row>
    <row r="21912">
      <c r="N21912" s="28"/>
      <c r="O21912" s="28"/>
      <c r="U21912" s="28"/>
    </row>
    <row r="21913">
      <c r="N21913" s="28"/>
      <c r="O21913" s="28"/>
      <c r="U21913" s="28"/>
    </row>
    <row r="21914">
      <c r="N21914" s="28"/>
      <c r="O21914" s="28"/>
      <c r="U21914" s="28"/>
    </row>
    <row r="21915">
      <c r="N21915" s="28"/>
      <c r="O21915" s="28"/>
      <c r="U21915" s="28"/>
    </row>
    <row r="21916">
      <c r="N21916" s="28"/>
      <c r="O21916" s="28"/>
      <c r="U21916" s="28"/>
    </row>
    <row r="21917">
      <c r="N21917" s="28"/>
      <c r="O21917" s="28"/>
      <c r="U21917" s="28"/>
    </row>
    <row r="21918">
      <c r="N21918" s="28"/>
      <c r="O21918" s="28"/>
      <c r="U21918" s="28"/>
    </row>
    <row r="21919">
      <c r="N21919" s="28"/>
      <c r="O21919" s="28"/>
      <c r="U21919" s="28"/>
    </row>
    <row r="21920">
      <c r="N21920" s="28"/>
      <c r="O21920" s="28"/>
      <c r="U21920" s="28"/>
    </row>
    <row r="21921">
      <c r="N21921" s="28"/>
      <c r="O21921" s="28"/>
      <c r="U21921" s="28"/>
    </row>
    <row r="21922">
      <c r="N21922" s="28"/>
      <c r="O21922" s="28"/>
      <c r="U21922" s="28"/>
    </row>
    <row r="21923">
      <c r="N21923" s="28"/>
      <c r="O21923" s="28"/>
      <c r="U21923" s="28"/>
    </row>
    <row r="21924">
      <c r="N21924" s="28"/>
      <c r="O21924" s="28"/>
      <c r="U21924" s="28"/>
    </row>
    <row r="21925">
      <c r="N21925" s="28"/>
      <c r="O21925" s="28"/>
      <c r="U21925" s="28"/>
    </row>
    <row r="21926">
      <c r="N21926" s="28"/>
      <c r="O21926" s="28"/>
      <c r="U21926" s="28"/>
    </row>
    <row r="21927">
      <c r="N21927" s="28"/>
      <c r="O21927" s="28"/>
      <c r="U21927" s="28"/>
    </row>
    <row r="21928">
      <c r="N21928" s="28"/>
      <c r="O21928" s="28"/>
      <c r="U21928" s="28"/>
    </row>
    <row r="21929">
      <c r="N21929" s="28"/>
      <c r="O21929" s="28"/>
      <c r="U21929" s="28"/>
    </row>
    <row r="21930">
      <c r="N21930" s="28"/>
      <c r="O21930" s="28"/>
      <c r="U21930" s="28"/>
    </row>
    <row r="21931">
      <c r="N21931" s="28"/>
      <c r="O21931" s="28"/>
      <c r="U21931" s="28"/>
    </row>
    <row r="21932">
      <c r="N21932" s="28"/>
      <c r="O21932" s="28"/>
      <c r="U21932" s="28"/>
    </row>
    <row r="21933">
      <c r="N21933" s="28"/>
      <c r="O21933" s="28"/>
      <c r="U21933" s="28"/>
    </row>
    <row r="21934">
      <c r="N21934" s="28"/>
      <c r="O21934" s="28"/>
      <c r="U21934" s="28"/>
    </row>
    <row r="21935">
      <c r="N21935" s="28"/>
      <c r="O21935" s="28"/>
      <c r="U21935" s="28"/>
    </row>
    <row r="21936">
      <c r="N21936" s="28"/>
      <c r="O21936" s="28"/>
      <c r="U21936" s="28"/>
    </row>
    <row r="21937">
      <c r="N21937" s="28"/>
      <c r="O21937" s="28"/>
      <c r="U21937" s="28"/>
    </row>
    <row r="21938">
      <c r="N21938" s="28"/>
      <c r="O21938" s="28"/>
      <c r="U21938" s="28"/>
    </row>
    <row r="21939">
      <c r="N21939" s="28"/>
      <c r="O21939" s="28"/>
      <c r="U21939" s="28"/>
    </row>
    <row r="21940">
      <c r="N21940" s="28"/>
      <c r="O21940" s="28"/>
      <c r="U21940" s="28"/>
    </row>
    <row r="21941">
      <c r="N21941" s="28"/>
      <c r="O21941" s="28"/>
      <c r="U21941" s="28"/>
    </row>
    <row r="21942">
      <c r="N21942" s="28"/>
      <c r="O21942" s="28"/>
      <c r="U21942" s="28"/>
    </row>
    <row r="21943">
      <c r="N21943" s="28"/>
      <c r="O21943" s="28"/>
      <c r="U21943" s="28"/>
    </row>
    <row r="21944">
      <c r="N21944" s="28"/>
      <c r="O21944" s="28"/>
      <c r="U21944" s="28"/>
    </row>
    <row r="21945">
      <c r="N21945" s="28"/>
      <c r="O21945" s="28"/>
      <c r="U21945" s="28"/>
    </row>
    <row r="21946">
      <c r="N21946" s="28"/>
      <c r="O21946" s="28"/>
      <c r="U21946" s="28"/>
    </row>
    <row r="21947">
      <c r="N21947" s="28"/>
      <c r="O21947" s="28"/>
      <c r="U21947" s="28"/>
    </row>
    <row r="21948">
      <c r="N21948" s="28"/>
      <c r="O21948" s="28"/>
      <c r="U21948" s="28"/>
    </row>
    <row r="21949">
      <c r="N21949" s="28"/>
      <c r="O21949" s="28"/>
      <c r="U21949" s="28"/>
    </row>
    <row r="21950">
      <c r="N21950" s="28"/>
      <c r="O21950" s="28"/>
      <c r="U21950" s="28"/>
    </row>
    <row r="21951">
      <c r="N21951" s="28"/>
      <c r="O21951" s="28"/>
      <c r="U21951" s="28"/>
    </row>
    <row r="21952">
      <c r="N21952" s="28"/>
      <c r="O21952" s="28"/>
      <c r="U21952" s="28"/>
    </row>
    <row r="21953">
      <c r="N21953" s="28"/>
      <c r="O21953" s="28"/>
      <c r="U21953" s="28"/>
    </row>
    <row r="21954">
      <c r="N21954" s="28"/>
      <c r="O21954" s="28"/>
      <c r="U21954" s="28"/>
    </row>
    <row r="21955">
      <c r="N21955" s="28"/>
      <c r="O21955" s="28"/>
      <c r="U21955" s="28"/>
    </row>
    <row r="21956">
      <c r="N21956" s="28"/>
      <c r="O21956" s="28"/>
      <c r="U21956" s="28"/>
    </row>
    <row r="21957">
      <c r="N21957" s="28"/>
      <c r="O21957" s="28"/>
      <c r="U21957" s="28"/>
    </row>
    <row r="21958">
      <c r="N21958" s="28"/>
      <c r="O21958" s="28"/>
      <c r="U21958" s="28"/>
    </row>
    <row r="21959">
      <c r="N21959" s="28"/>
      <c r="O21959" s="28"/>
      <c r="U21959" s="28"/>
    </row>
    <row r="21960">
      <c r="N21960" s="28"/>
      <c r="O21960" s="28"/>
      <c r="U21960" s="28"/>
    </row>
    <row r="21961">
      <c r="N21961" s="28"/>
      <c r="O21961" s="28"/>
      <c r="U21961" s="28"/>
    </row>
    <row r="21962">
      <c r="N21962" s="28"/>
      <c r="O21962" s="28"/>
      <c r="U21962" s="28"/>
    </row>
    <row r="21963">
      <c r="N21963" s="28"/>
      <c r="O21963" s="28"/>
      <c r="U21963" s="28"/>
    </row>
    <row r="21964">
      <c r="N21964" s="28"/>
      <c r="O21964" s="28"/>
      <c r="U21964" s="28"/>
    </row>
    <row r="21965">
      <c r="N21965" s="28"/>
      <c r="O21965" s="28"/>
      <c r="U21965" s="28"/>
    </row>
    <row r="21966">
      <c r="N21966" s="28"/>
      <c r="O21966" s="28"/>
      <c r="U21966" s="28"/>
    </row>
    <row r="21967">
      <c r="N21967" s="28"/>
      <c r="O21967" s="28"/>
      <c r="U21967" s="28"/>
    </row>
    <row r="21968">
      <c r="N21968" s="28"/>
      <c r="O21968" s="28"/>
      <c r="U21968" s="28"/>
    </row>
    <row r="21969">
      <c r="N21969" s="28"/>
      <c r="O21969" s="28"/>
      <c r="U21969" s="28"/>
    </row>
    <row r="21970">
      <c r="N21970" s="28"/>
      <c r="O21970" s="28"/>
      <c r="U21970" s="28"/>
    </row>
    <row r="21971">
      <c r="N21971" s="28"/>
      <c r="O21971" s="28"/>
      <c r="U21971" s="28"/>
    </row>
    <row r="21972">
      <c r="N21972" s="28"/>
      <c r="O21972" s="28"/>
      <c r="U21972" s="28"/>
    </row>
    <row r="21973">
      <c r="N21973" s="28"/>
      <c r="O21973" s="28"/>
      <c r="U21973" s="28"/>
    </row>
    <row r="21974">
      <c r="N21974" s="28"/>
      <c r="O21974" s="28"/>
      <c r="U21974" s="28"/>
    </row>
    <row r="21975">
      <c r="N21975" s="28"/>
      <c r="O21975" s="28"/>
      <c r="U21975" s="28"/>
    </row>
    <row r="21976">
      <c r="N21976" s="28"/>
      <c r="O21976" s="28"/>
      <c r="U21976" s="28"/>
    </row>
    <row r="21977">
      <c r="N21977" s="28"/>
      <c r="O21977" s="28"/>
      <c r="U21977" s="28"/>
    </row>
    <row r="21978">
      <c r="N21978" s="28"/>
      <c r="O21978" s="28"/>
      <c r="U21978" s="28"/>
    </row>
    <row r="21979">
      <c r="N21979" s="28"/>
      <c r="O21979" s="28"/>
      <c r="U21979" s="28"/>
    </row>
    <row r="21980">
      <c r="N21980" s="28"/>
      <c r="O21980" s="28"/>
      <c r="U21980" s="28"/>
    </row>
    <row r="21981">
      <c r="N21981" s="28"/>
      <c r="O21981" s="28"/>
      <c r="U21981" s="28"/>
    </row>
    <row r="21982">
      <c r="N21982" s="28"/>
      <c r="O21982" s="28"/>
      <c r="U21982" s="28"/>
    </row>
    <row r="21983">
      <c r="N21983" s="28"/>
      <c r="O21983" s="28"/>
      <c r="U21983" s="28"/>
    </row>
    <row r="21984">
      <c r="N21984" s="28"/>
      <c r="O21984" s="28"/>
      <c r="U21984" s="28"/>
    </row>
    <row r="21985">
      <c r="N21985" s="28"/>
      <c r="O21985" s="28"/>
      <c r="U21985" s="28"/>
    </row>
    <row r="21986">
      <c r="N21986" s="28"/>
      <c r="O21986" s="28"/>
      <c r="U21986" s="28"/>
    </row>
    <row r="21987">
      <c r="N21987" s="28"/>
      <c r="O21987" s="28"/>
      <c r="U21987" s="28"/>
    </row>
    <row r="21988">
      <c r="N21988" s="28"/>
      <c r="O21988" s="28"/>
      <c r="U21988" s="28"/>
    </row>
    <row r="21989">
      <c r="N21989" s="28"/>
      <c r="O21989" s="28"/>
      <c r="U21989" s="28"/>
    </row>
    <row r="21990">
      <c r="N21990" s="28"/>
      <c r="O21990" s="28"/>
      <c r="U21990" s="28"/>
    </row>
    <row r="21991">
      <c r="N21991" s="28"/>
      <c r="O21991" s="28"/>
      <c r="U21991" s="28"/>
    </row>
    <row r="21992">
      <c r="N21992" s="28"/>
      <c r="O21992" s="28"/>
      <c r="U21992" s="28"/>
    </row>
    <row r="21993">
      <c r="N21993" s="28"/>
      <c r="O21993" s="28"/>
      <c r="U21993" s="28"/>
    </row>
    <row r="21994">
      <c r="N21994" s="28"/>
      <c r="O21994" s="28"/>
      <c r="U21994" s="28"/>
    </row>
    <row r="21995">
      <c r="N21995" s="28"/>
      <c r="O21995" s="28"/>
      <c r="U21995" s="28"/>
    </row>
    <row r="21996">
      <c r="N21996" s="28"/>
      <c r="O21996" s="28"/>
      <c r="U21996" s="28"/>
    </row>
    <row r="21997">
      <c r="N21997" s="28"/>
      <c r="O21997" s="28"/>
      <c r="U21997" s="28"/>
    </row>
    <row r="21998">
      <c r="N21998" s="28"/>
      <c r="O21998" s="28"/>
      <c r="U21998" s="28"/>
    </row>
    <row r="21999">
      <c r="N21999" s="28"/>
      <c r="O21999" s="28"/>
      <c r="U21999" s="28"/>
    </row>
    <row r="22000">
      <c r="N22000" s="28"/>
      <c r="O22000" s="28"/>
      <c r="U22000" s="28"/>
    </row>
    <row r="22001">
      <c r="N22001" s="28"/>
      <c r="O22001" s="28"/>
      <c r="U22001" s="28"/>
    </row>
    <row r="22002">
      <c r="N22002" s="28"/>
      <c r="O22002" s="28"/>
      <c r="U22002" s="28"/>
    </row>
    <row r="22003">
      <c r="N22003" s="28"/>
      <c r="O22003" s="28"/>
      <c r="U22003" s="28"/>
    </row>
    <row r="22004">
      <c r="N22004" s="28"/>
      <c r="O22004" s="28"/>
      <c r="U22004" s="28"/>
    </row>
    <row r="22005">
      <c r="N22005" s="28"/>
      <c r="O22005" s="28"/>
      <c r="U22005" s="28"/>
    </row>
    <row r="22006">
      <c r="N22006" s="28"/>
      <c r="O22006" s="28"/>
      <c r="U22006" s="28"/>
    </row>
    <row r="22007">
      <c r="N22007" s="28"/>
      <c r="O22007" s="28"/>
      <c r="U22007" s="28"/>
    </row>
    <row r="22008">
      <c r="N22008" s="28"/>
      <c r="O22008" s="28"/>
      <c r="U22008" s="28"/>
    </row>
    <row r="22009">
      <c r="N22009" s="28"/>
      <c r="O22009" s="28"/>
      <c r="U22009" s="28"/>
    </row>
    <row r="22010">
      <c r="N22010" s="28"/>
      <c r="O22010" s="28"/>
      <c r="U22010" s="28"/>
    </row>
    <row r="22011">
      <c r="N22011" s="28"/>
      <c r="O22011" s="28"/>
      <c r="U22011" s="28"/>
    </row>
    <row r="22012">
      <c r="N22012" s="28"/>
      <c r="O22012" s="28"/>
      <c r="U22012" s="28"/>
    </row>
    <row r="22013">
      <c r="N22013" s="28"/>
      <c r="O22013" s="28"/>
      <c r="U22013" s="28"/>
    </row>
    <row r="22014">
      <c r="N22014" s="28"/>
      <c r="O22014" s="28"/>
      <c r="U22014" s="28"/>
    </row>
    <row r="22015">
      <c r="N22015" s="28"/>
      <c r="O22015" s="28"/>
      <c r="U22015" s="28"/>
    </row>
    <row r="22016">
      <c r="N22016" s="28"/>
      <c r="O22016" s="28"/>
      <c r="U22016" s="28"/>
    </row>
    <row r="22017">
      <c r="N22017" s="28"/>
      <c r="O22017" s="28"/>
      <c r="U22017" s="28"/>
    </row>
    <row r="22018">
      <c r="N22018" s="28"/>
      <c r="O22018" s="28"/>
      <c r="U22018" s="28"/>
    </row>
    <row r="22019">
      <c r="N22019" s="28"/>
      <c r="O22019" s="28"/>
      <c r="U22019" s="28"/>
    </row>
    <row r="22020">
      <c r="N22020" s="28"/>
      <c r="O22020" s="28"/>
      <c r="U22020" s="28"/>
    </row>
    <row r="22021">
      <c r="N22021" s="28"/>
      <c r="O22021" s="28"/>
      <c r="U22021" s="28"/>
    </row>
    <row r="22022">
      <c r="N22022" s="28"/>
      <c r="O22022" s="28"/>
      <c r="U22022" s="28"/>
    </row>
    <row r="22023">
      <c r="N22023" s="28"/>
      <c r="O22023" s="28"/>
      <c r="U22023" s="28"/>
    </row>
    <row r="22024">
      <c r="N22024" s="28"/>
      <c r="O22024" s="28"/>
      <c r="U22024" s="28"/>
    </row>
    <row r="22025">
      <c r="N22025" s="28"/>
      <c r="O22025" s="28"/>
      <c r="U22025" s="28"/>
    </row>
    <row r="22026">
      <c r="N22026" s="28"/>
      <c r="O22026" s="28"/>
      <c r="U22026" s="28"/>
    </row>
    <row r="22027">
      <c r="N22027" s="28"/>
      <c r="O22027" s="28"/>
      <c r="U22027" s="28"/>
    </row>
    <row r="22028">
      <c r="N22028" s="28"/>
      <c r="O22028" s="28"/>
      <c r="U22028" s="28"/>
    </row>
    <row r="22029">
      <c r="N22029" s="28"/>
      <c r="O22029" s="28"/>
      <c r="U22029" s="28"/>
    </row>
    <row r="22030">
      <c r="N22030" s="28"/>
      <c r="O22030" s="28"/>
      <c r="U22030" s="28"/>
    </row>
    <row r="22031">
      <c r="N22031" s="28"/>
      <c r="O22031" s="28"/>
      <c r="U22031" s="28"/>
    </row>
    <row r="22032">
      <c r="N22032" s="28"/>
      <c r="O22032" s="28"/>
      <c r="U22032" s="28"/>
    </row>
    <row r="22033">
      <c r="N22033" s="28"/>
      <c r="O22033" s="28"/>
      <c r="U22033" s="28"/>
    </row>
    <row r="22034">
      <c r="N22034" s="28"/>
      <c r="O22034" s="28"/>
      <c r="U22034" s="28"/>
    </row>
    <row r="22035">
      <c r="N22035" s="28"/>
      <c r="O22035" s="28"/>
      <c r="U22035" s="28"/>
    </row>
    <row r="22036">
      <c r="N22036" s="28"/>
      <c r="O22036" s="28"/>
      <c r="U22036" s="28"/>
    </row>
    <row r="22037">
      <c r="N22037" s="28"/>
      <c r="O22037" s="28"/>
      <c r="U22037" s="28"/>
    </row>
    <row r="22038">
      <c r="N22038" s="28"/>
      <c r="O22038" s="28"/>
      <c r="U22038" s="28"/>
    </row>
    <row r="22039">
      <c r="N22039" s="28"/>
      <c r="O22039" s="28"/>
      <c r="U22039" s="28"/>
    </row>
    <row r="22040">
      <c r="N22040" s="28"/>
      <c r="O22040" s="28"/>
      <c r="U22040" s="28"/>
    </row>
    <row r="22041">
      <c r="N22041" s="28"/>
      <c r="O22041" s="28"/>
      <c r="U22041" s="28"/>
    </row>
    <row r="22042">
      <c r="N22042" s="28"/>
      <c r="O22042" s="28"/>
      <c r="U22042" s="28"/>
    </row>
    <row r="22043">
      <c r="N22043" s="28"/>
      <c r="O22043" s="28"/>
      <c r="U22043" s="28"/>
    </row>
    <row r="22044">
      <c r="N22044" s="28"/>
      <c r="O22044" s="28"/>
      <c r="U22044" s="28"/>
    </row>
    <row r="22045">
      <c r="N22045" s="28"/>
      <c r="O22045" s="28"/>
      <c r="U22045" s="28"/>
    </row>
    <row r="22046">
      <c r="N22046" s="28"/>
      <c r="O22046" s="28"/>
      <c r="U22046" s="28"/>
    </row>
    <row r="22047">
      <c r="N22047" s="28"/>
      <c r="O22047" s="28"/>
      <c r="U22047" s="28"/>
    </row>
    <row r="22048">
      <c r="N22048" s="28"/>
      <c r="O22048" s="28"/>
      <c r="U22048" s="28"/>
    </row>
    <row r="22049">
      <c r="N22049" s="28"/>
      <c r="O22049" s="28"/>
      <c r="U22049" s="28"/>
    </row>
    <row r="22050">
      <c r="N22050" s="28"/>
      <c r="O22050" s="28"/>
      <c r="U22050" s="28"/>
    </row>
    <row r="22051">
      <c r="N22051" s="28"/>
      <c r="O22051" s="28"/>
      <c r="U22051" s="28"/>
    </row>
    <row r="22052">
      <c r="N22052" s="28"/>
      <c r="O22052" s="28"/>
      <c r="U22052" s="28"/>
    </row>
    <row r="22053">
      <c r="N22053" s="28"/>
      <c r="O22053" s="28"/>
      <c r="U22053" s="28"/>
    </row>
    <row r="22054">
      <c r="N22054" s="28"/>
      <c r="O22054" s="28"/>
      <c r="U22054" s="28"/>
    </row>
    <row r="22055">
      <c r="N22055" s="28"/>
      <c r="O22055" s="28"/>
      <c r="U22055" s="28"/>
    </row>
    <row r="22056">
      <c r="N22056" s="28"/>
      <c r="O22056" s="28"/>
      <c r="U22056" s="28"/>
    </row>
    <row r="22057">
      <c r="N22057" s="28"/>
      <c r="O22057" s="28"/>
      <c r="U22057" s="28"/>
    </row>
    <row r="22058">
      <c r="N22058" s="28"/>
      <c r="O22058" s="28"/>
      <c r="U22058" s="28"/>
    </row>
    <row r="22059">
      <c r="N22059" s="28"/>
      <c r="O22059" s="28"/>
      <c r="U22059" s="28"/>
    </row>
    <row r="22060">
      <c r="N22060" s="28"/>
      <c r="O22060" s="28"/>
      <c r="U22060" s="28"/>
    </row>
    <row r="22061">
      <c r="N22061" s="28"/>
      <c r="O22061" s="28"/>
      <c r="U22061" s="28"/>
    </row>
    <row r="22062">
      <c r="N22062" s="28"/>
      <c r="O22062" s="28"/>
      <c r="U22062" s="28"/>
    </row>
    <row r="22063">
      <c r="N22063" s="28"/>
      <c r="O22063" s="28"/>
      <c r="U22063" s="28"/>
    </row>
    <row r="22064">
      <c r="N22064" s="28"/>
      <c r="O22064" s="28"/>
      <c r="U22064" s="28"/>
    </row>
    <row r="22065">
      <c r="N22065" s="28"/>
      <c r="O22065" s="28"/>
      <c r="U22065" s="28"/>
    </row>
    <row r="22066">
      <c r="N22066" s="28"/>
      <c r="O22066" s="28"/>
      <c r="U22066" s="28"/>
    </row>
    <row r="22067">
      <c r="N22067" s="28"/>
      <c r="O22067" s="28"/>
      <c r="U22067" s="28"/>
    </row>
    <row r="22068">
      <c r="N22068" s="28"/>
      <c r="O22068" s="28"/>
      <c r="U22068" s="28"/>
    </row>
    <row r="22069">
      <c r="N22069" s="28"/>
      <c r="O22069" s="28"/>
      <c r="U22069" s="28"/>
    </row>
    <row r="22070">
      <c r="N22070" s="28"/>
      <c r="O22070" s="28"/>
      <c r="U22070" s="28"/>
    </row>
    <row r="22071">
      <c r="N22071" s="28"/>
      <c r="O22071" s="28"/>
      <c r="U22071" s="28"/>
    </row>
    <row r="22072">
      <c r="N22072" s="28"/>
      <c r="O22072" s="28"/>
      <c r="U22072" s="28"/>
    </row>
    <row r="22073">
      <c r="N22073" s="28"/>
      <c r="O22073" s="28"/>
      <c r="U22073" s="28"/>
    </row>
    <row r="22074">
      <c r="N22074" s="28"/>
      <c r="O22074" s="28"/>
      <c r="U22074" s="28"/>
    </row>
    <row r="22075">
      <c r="N22075" s="28"/>
      <c r="O22075" s="28"/>
      <c r="U22075" s="28"/>
    </row>
    <row r="22076">
      <c r="N22076" s="28"/>
      <c r="O22076" s="28"/>
      <c r="U22076" s="28"/>
    </row>
    <row r="22077">
      <c r="N22077" s="28"/>
      <c r="O22077" s="28"/>
      <c r="U22077" s="28"/>
    </row>
    <row r="22078">
      <c r="N22078" s="28"/>
      <c r="O22078" s="28"/>
      <c r="U22078" s="28"/>
    </row>
    <row r="22079">
      <c r="N22079" s="28"/>
      <c r="O22079" s="28"/>
      <c r="U22079" s="28"/>
    </row>
    <row r="22080">
      <c r="N22080" s="28"/>
      <c r="O22080" s="28"/>
      <c r="U22080" s="28"/>
    </row>
    <row r="22081">
      <c r="N22081" s="28"/>
      <c r="O22081" s="28"/>
      <c r="U22081" s="28"/>
    </row>
    <row r="22082">
      <c r="N22082" s="28"/>
      <c r="O22082" s="28"/>
      <c r="U22082" s="28"/>
    </row>
    <row r="22083">
      <c r="N22083" s="28"/>
      <c r="O22083" s="28"/>
      <c r="U22083" s="28"/>
    </row>
    <row r="22084">
      <c r="N22084" s="28"/>
      <c r="O22084" s="28"/>
      <c r="U22084" s="28"/>
    </row>
    <row r="22085">
      <c r="N22085" s="28"/>
      <c r="O22085" s="28"/>
      <c r="U22085" s="28"/>
    </row>
    <row r="22086">
      <c r="N22086" s="28"/>
      <c r="O22086" s="28"/>
      <c r="U22086" s="28"/>
    </row>
    <row r="22087">
      <c r="N22087" s="28"/>
      <c r="O22087" s="28"/>
      <c r="U22087" s="28"/>
    </row>
    <row r="22088">
      <c r="N22088" s="28"/>
      <c r="O22088" s="28"/>
      <c r="U22088" s="28"/>
    </row>
    <row r="22089">
      <c r="N22089" s="28"/>
      <c r="O22089" s="28"/>
      <c r="U22089" s="28"/>
    </row>
    <row r="22090">
      <c r="N22090" s="28"/>
      <c r="O22090" s="28"/>
      <c r="U22090" s="28"/>
    </row>
    <row r="22091">
      <c r="N22091" s="28"/>
      <c r="O22091" s="28"/>
      <c r="U22091" s="28"/>
    </row>
    <row r="22092">
      <c r="N22092" s="28"/>
      <c r="O22092" s="28"/>
      <c r="U22092" s="28"/>
    </row>
    <row r="22093">
      <c r="N22093" s="28"/>
      <c r="O22093" s="28"/>
      <c r="U22093" s="28"/>
    </row>
    <row r="22094">
      <c r="N22094" s="28"/>
      <c r="O22094" s="28"/>
      <c r="U22094" s="28"/>
    </row>
    <row r="22095">
      <c r="N22095" s="28"/>
      <c r="O22095" s="28"/>
      <c r="U22095" s="28"/>
    </row>
    <row r="22096">
      <c r="N22096" s="28"/>
      <c r="O22096" s="28"/>
      <c r="U22096" s="28"/>
    </row>
    <row r="22097">
      <c r="N22097" s="28"/>
      <c r="O22097" s="28"/>
      <c r="U22097" s="28"/>
    </row>
    <row r="22098">
      <c r="N22098" s="28"/>
      <c r="O22098" s="28"/>
      <c r="U22098" s="28"/>
    </row>
    <row r="22099">
      <c r="N22099" s="28"/>
      <c r="O22099" s="28"/>
      <c r="U22099" s="28"/>
    </row>
    <row r="22100">
      <c r="N22100" s="28"/>
      <c r="O22100" s="28"/>
      <c r="U22100" s="28"/>
    </row>
    <row r="22101">
      <c r="N22101" s="28"/>
      <c r="O22101" s="28"/>
      <c r="U22101" s="28"/>
    </row>
    <row r="22102">
      <c r="N22102" s="28"/>
      <c r="O22102" s="28"/>
      <c r="U22102" s="28"/>
    </row>
    <row r="22103">
      <c r="N22103" s="28"/>
      <c r="O22103" s="28"/>
      <c r="U22103" s="28"/>
    </row>
    <row r="22104">
      <c r="N22104" s="28"/>
      <c r="O22104" s="28"/>
      <c r="U22104" s="28"/>
    </row>
    <row r="22105">
      <c r="N22105" s="28"/>
      <c r="O22105" s="28"/>
      <c r="U22105" s="28"/>
    </row>
    <row r="22106">
      <c r="N22106" s="28"/>
      <c r="O22106" s="28"/>
      <c r="U22106" s="28"/>
    </row>
    <row r="22107">
      <c r="N22107" s="28"/>
      <c r="O22107" s="28"/>
      <c r="U22107" s="28"/>
    </row>
    <row r="22108">
      <c r="N22108" s="28"/>
      <c r="O22108" s="28"/>
      <c r="U22108" s="28"/>
    </row>
    <row r="22109">
      <c r="N22109" s="28"/>
      <c r="O22109" s="28"/>
      <c r="U22109" s="28"/>
    </row>
    <row r="22110">
      <c r="N22110" s="28"/>
      <c r="O22110" s="28"/>
      <c r="U22110" s="28"/>
    </row>
    <row r="22111">
      <c r="N22111" s="28"/>
      <c r="O22111" s="28"/>
      <c r="U22111" s="28"/>
    </row>
    <row r="22112">
      <c r="N22112" s="28"/>
      <c r="O22112" s="28"/>
      <c r="U22112" s="28"/>
    </row>
    <row r="22113">
      <c r="N22113" s="28"/>
      <c r="O22113" s="28"/>
      <c r="U22113" s="28"/>
    </row>
    <row r="22114">
      <c r="N22114" s="28"/>
      <c r="O22114" s="28"/>
      <c r="U22114" s="28"/>
    </row>
    <row r="22115">
      <c r="N22115" s="28"/>
      <c r="O22115" s="28"/>
      <c r="U22115" s="28"/>
    </row>
    <row r="22116">
      <c r="N22116" s="28"/>
      <c r="O22116" s="28"/>
      <c r="U22116" s="28"/>
    </row>
    <row r="22117">
      <c r="N22117" s="28"/>
      <c r="O22117" s="28"/>
      <c r="U22117" s="28"/>
    </row>
    <row r="22118">
      <c r="N22118" s="28"/>
      <c r="O22118" s="28"/>
      <c r="U22118" s="28"/>
    </row>
    <row r="22119">
      <c r="N22119" s="28"/>
      <c r="O22119" s="28"/>
      <c r="U22119" s="28"/>
    </row>
    <row r="22120">
      <c r="N22120" s="28"/>
      <c r="O22120" s="28"/>
      <c r="U22120" s="28"/>
    </row>
    <row r="22121">
      <c r="N22121" s="28"/>
      <c r="O22121" s="28"/>
      <c r="U22121" s="28"/>
    </row>
    <row r="22122">
      <c r="N22122" s="28"/>
      <c r="O22122" s="28"/>
      <c r="U22122" s="28"/>
    </row>
    <row r="22123">
      <c r="N22123" s="28"/>
      <c r="O22123" s="28"/>
      <c r="U22123" s="28"/>
    </row>
    <row r="22124">
      <c r="N22124" s="28"/>
      <c r="O22124" s="28"/>
      <c r="U22124" s="28"/>
    </row>
    <row r="22125">
      <c r="N22125" s="28"/>
      <c r="O22125" s="28"/>
      <c r="U22125" s="28"/>
    </row>
    <row r="22126">
      <c r="N22126" s="28"/>
      <c r="O22126" s="28"/>
      <c r="U22126" s="28"/>
    </row>
    <row r="22127">
      <c r="N22127" s="28"/>
      <c r="O22127" s="28"/>
      <c r="U22127" s="28"/>
    </row>
    <row r="22128">
      <c r="N22128" s="28"/>
      <c r="O22128" s="28"/>
      <c r="U22128" s="28"/>
    </row>
    <row r="22129">
      <c r="N22129" s="28"/>
      <c r="O22129" s="28"/>
      <c r="U22129" s="28"/>
    </row>
    <row r="22130">
      <c r="N22130" s="28"/>
      <c r="O22130" s="28"/>
      <c r="U22130" s="28"/>
    </row>
    <row r="22131">
      <c r="N22131" s="28"/>
      <c r="O22131" s="28"/>
      <c r="U22131" s="28"/>
    </row>
    <row r="22132">
      <c r="N22132" s="28"/>
      <c r="O22132" s="28"/>
      <c r="U22132" s="28"/>
    </row>
    <row r="22133">
      <c r="N22133" s="28"/>
      <c r="O22133" s="28"/>
      <c r="U22133" s="28"/>
    </row>
    <row r="22134">
      <c r="N22134" s="28"/>
      <c r="O22134" s="28"/>
      <c r="U22134" s="28"/>
    </row>
    <row r="22135">
      <c r="N22135" s="28"/>
      <c r="O22135" s="28"/>
      <c r="U22135" s="28"/>
    </row>
    <row r="22136">
      <c r="N22136" s="28"/>
      <c r="O22136" s="28"/>
      <c r="U22136" s="28"/>
    </row>
    <row r="22137">
      <c r="N22137" s="28"/>
      <c r="O22137" s="28"/>
      <c r="U22137" s="28"/>
    </row>
    <row r="22138">
      <c r="N22138" s="28"/>
      <c r="O22138" s="28"/>
      <c r="U22138" s="28"/>
    </row>
    <row r="22139">
      <c r="N22139" s="28"/>
      <c r="O22139" s="28"/>
      <c r="U22139" s="28"/>
    </row>
    <row r="22140">
      <c r="N22140" s="28"/>
      <c r="O22140" s="28"/>
      <c r="U22140" s="28"/>
    </row>
    <row r="22141">
      <c r="N22141" s="28"/>
      <c r="O22141" s="28"/>
      <c r="U22141" s="28"/>
    </row>
    <row r="22142">
      <c r="N22142" s="28"/>
      <c r="O22142" s="28"/>
      <c r="U22142" s="28"/>
    </row>
    <row r="22143">
      <c r="N22143" s="28"/>
      <c r="O22143" s="28"/>
      <c r="U22143" s="28"/>
    </row>
    <row r="22144">
      <c r="N22144" s="28"/>
      <c r="O22144" s="28"/>
      <c r="U22144" s="28"/>
    </row>
    <row r="22145">
      <c r="N22145" s="28"/>
      <c r="O22145" s="28"/>
      <c r="U22145" s="28"/>
    </row>
    <row r="22146">
      <c r="N22146" s="28"/>
      <c r="O22146" s="28"/>
      <c r="U22146" s="28"/>
    </row>
    <row r="22147">
      <c r="N22147" s="28"/>
      <c r="O22147" s="28"/>
      <c r="U22147" s="28"/>
    </row>
    <row r="22148">
      <c r="N22148" s="28"/>
      <c r="O22148" s="28"/>
      <c r="U22148" s="28"/>
    </row>
    <row r="22149">
      <c r="N22149" s="28"/>
      <c r="O22149" s="28"/>
      <c r="U22149" s="28"/>
    </row>
    <row r="22150">
      <c r="N22150" s="28"/>
      <c r="O22150" s="28"/>
      <c r="U22150" s="28"/>
    </row>
    <row r="22151">
      <c r="N22151" s="28"/>
      <c r="O22151" s="28"/>
      <c r="U22151" s="28"/>
    </row>
    <row r="22152">
      <c r="N22152" s="28"/>
      <c r="O22152" s="28"/>
      <c r="U22152" s="28"/>
    </row>
    <row r="22153">
      <c r="N22153" s="28"/>
      <c r="O22153" s="28"/>
      <c r="U22153" s="28"/>
    </row>
    <row r="22154">
      <c r="N22154" s="28"/>
      <c r="O22154" s="28"/>
      <c r="U22154" s="28"/>
    </row>
    <row r="22155">
      <c r="N22155" s="28"/>
      <c r="O22155" s="28"/>
      <c r="U22155" s="28"/>
    </row>
    <row r="22156">
      <c r="N22156" s="28"/>
      <c r="O22156" s="28"/>
      <c r="U22156" s="28"/>
    </row>
    <row r="22157">
      <c r="N22157" s="28"/>
      <c r="O22157" s="28"/>
      <c r="U22157" s="28"/>
    </row>
    <row r="22158">
      <c r="N22158" s="28"/>
      <c r="O22158" s="28"/>
      <c r="U22158" s="28"/>
    </row>
    <row r="22159">
      <c r="N22159" s="28"/>
      <c r="O22159" s="28"/>
      <c r="U22159" s="28"/>
    </row>
    <row r="22160">
      <c r="N22160" s="28"/>
      <c r="O22160" s="28"/>
      <c r="U22160" s="28"/>
    </row>
    <row r="22161">
      <c r="N22161" s="28"/>
      <c r="O22161" s="28"/>
      <c r="U22161" s="28"/>
    </row>
    <row r="22162">
      <c r="N22162" s="28"/>
      <c r="O22162" s="28"/>
      <c r="U22162" s="28"/>
    </row>
    <row r="22163">
      <c r="N22163" s="28"/>
      <c r="O22163" s="28"/>
      <c r="U22163" s="28"/>
    </row>
    <row r="22164">
      <c r="N22164" s="28"/>
      <c r="O22164" s="28"/>
      <c r="U22164" s="28"/>
    </row>
    <row r="22165">
      <c r="N22165" s="28"/>
      <c r="O22165" s="28"/>
      <c r="U22165" s="28"/>
    </row>
    <row r="22166">
      <c r="N22166" s="28"/>
      <c r="O22166" s="28"/>
      <c r="U22166" s="28"/>
    </row>
    <row r="22167">
      <c r="N22167" s="28"/>
      <c r="O22167" s="28"/>
      <c r="U22167" s="28"/>
    </row>
    <row r="22168">
      <c r="N22168" s="28"/>
      <c r="O22168" s="28"/>
      <c r="U22168" s="28"/>
    </row>
    <row r="22169">
      <c r="N22169" s="28"/>
      <c r="O22169" s="28"/>
      <c r="U22169" s="28"/>
    </row>
    <row r="22170">
      <c r="N22170" s="28"/>
      <c r="O22170" s="28"/>
      <c r="U22170" s="28"/>
    </row>
    <row r="22171">
      <c r="N22171" s="28"/>
      <c r="O22171" s="28"/>
      <c r="U22171" s="28"/>
    </row>
    <row r="22172">
      <c r="N22172" s="28"/>
      <c r="O22172" s="28"/>
      <c r="U22172" s="28"/>
    </row>
    <row r="22173">
      <c r="N22173" s="28"/>
      <c r="O22173" s="28"/>
      <c r="U22173" s="28"/>
    </row>
    <row r="22174">
      <c r="N22174" s="28"/>
      <c r="O22174" s="28"/>
      <c r="U22174" s="28"/>
    </row>
    <row r="22175">
      <c r="N22175" s="28"/>
      <c r="O22175" s="28"/>
      <c r="U22175" s="28"/>
    </row>
    <row r="22176">
      <c r="N22176" s="28"/>
      <c r="O22176" s="28"/>
      <c r="U22176" s="28"/>
    </row>
    <row r="22177">
      <c r="N22177" s="28"/>
      <c r="O22177" s="28"/>
      <c r="U22177" s="28"/>
    </row>
    <row r="22178">
      <c r="N22178" s="28"/>
      <c r="O22178" s="28"/>
      <c r="U22178" s="28"/>
    </row>
    <row r="22179">
      <c r="N22179" s="28"/>
      <c r="O22179" s="28"/>
      <c r="U22179" s="28"/>
    </row>
    <row r="22180">
      <c r="N22180" s="28"/>
      <c r="O22180" s="28"/>
      <c r="U22180" s="28"/>
    </row>
    <row r="22181">
      <c r="N22181" s="28"/>
      <c r="O22181" s="28"/>
      <c r="U22181" s="28"/>
    </row>
    <row r="22182">
      <c r="N22182" s="28"/>
      <c r="O22182" s="28"/>
      <c r="U22182" s="28"/>
    </row>
    <row r="22183">
      <c r="N22183" s="28"/>
      <c r="O22183" s="28"/>
      <c r="U22183" s="28"/>
    </row>
    <row r="22184">
      <c r="N22184" s="28"/>
      <c r="O22184" s="28"/>
      <c r="U22184" s="28"/>
    </row>
    <row r="22185">
      <c r="N22185" s="28"/>
      <c r="O22185" s="28"/>
      <c r="U22185" s="28"/>
    </row>
    <row r="22186">
      <c r="N22186" s="28"/>
      <c r="O22186" s="28"/>
      <c r="U22186" s="28"/>
    </row>
    <row r="22187">
      <c r="N22187" s="28"/>
      <c r="O22187" s="28"/>
      <c r="U22187" s="28"/>
    </row>
    <row r="22188">
      <c r="N22188" s="28"/>
      <c r="O22188" s="28"/>
      <c r="U22188" s="28"/>
    </row>
    <row r="22189">
      <c r="N22189" s="28"/>
      <c r="O22189" s="28"/>
      <c r="U22189" s="28"/>
    </row>
    <row r="22190">
      <c r="N22190" s="28"/>
      <c r="O22190" s="28"/>
      <c r="U22190" s="28"/>
    </row>
    <row r="22191">
      <c r="N22191" s="28"/>
      <c r="O22191" s="28"/>
      <c r="U22191" s="28"/>
    </row>
    <row r="22192">
      <c r="N22192" s="28"/>
      <c r="O22192" s="28"/>
      <c r="U22192" s="28"/>
    </row>
    <row r="22193">
      <c r="N22193" s="28"/>
      <c r="O22193" s="28"/>
      <c r="U22193" s="28"/>
    </row>
    <row r="22194">
      <c r="N22194" s="28"/>
      <c r="O22194" s="28"/>
      <c r="U22194" s="28"/>
    </row>
    <row r="22195">
      <c r="N22195" s="28"/>
      <c r="O22195" s="28"/>
      <c r="U22195" s="28"/>
    </row>
    <row r="22196">
      <c r="N22196" s="28"/>
      <c r="O22196" s="28"/>
      <c r="U22196" s="28"/>
    </row>
    <row r="22197">
      <c r="N22197" s="28"/>
      <c r="O22197" s="28"/>
      <c r="U22197" s="28"/>
    </row>
    <row r="22198">
      <c r="N22198" s="28"/>
      <c r="O22198" s="28"/>
      <c r="U22198" s="28"/>
    </row>
    <row r="22199">
      <c r="N22199" s="28"/>
      <c r="O22199" s="28"/>
      <c r="U22199" s="28"/>
    </row>
    <row r="22200">
      <c r="N22200" s="28"/>
      <c r="O22200" s="28"/>
      <c r="U22200" s="28"/>
    </row>
    <row r="22201">
      <c r="N22201" s="28"/>
      <c r="O22201" s="28"/>
      <c r="U22201" s="28"/>
    </row>
    <row r="22202">
      <c r="N22202" s="28"/>
      <c r="O22202" s="28"/>
      <c r="U22202" s="28"/>
    </row>
    <row r="22203">
      <c r="N22203" s="28"/>
      <c r="O22203" s="28"/>
      <c r="U22203" s="28"/>
    </row>
    <row r="22204">
      <c r="N22204" s="28"/>
      <c r="O22204" s="28"/>
      <c r="U22204" s="28"/>
    </row>
    <row r="22205">
      <c r="N22205" s="28"/>
      <c r="O22205" s="28"/>
      <c r="U22205" s="28"/>
    </row>
    <row r="22206">
      <c r="N22206" s="28"/>
      <c r="O22206" s="28"/>
      <c r="U22206" s="28"/>
    </row>
    <row r="22207">
      <c r="N22207" s="28"/>
      <c r="O22207" s="28"/>
      <c r="U22207" s="28"/>
    </row>
    <row r="22208">
      <c r="N22208" s="28"/>
      <c r="O22208" s="28"/>
      <c r="U22208" s="28"/>
    </row>
    <row r="22209">
      <c r="N22209" s="28"/>
      <c r="O22209" s="28"/>
      <c r="U22209" s="28"/>
    </row>
    <row r="22210">
      <c r="N22210" s="28"/>
      <c r="O22210" s="28"/>
      <c r="U22210" s="28"/>
    </row>
    <row r="22211">
      <c r="N22211" s="28"/>
      <c r="O22211" s="28"/>
      <c r="U22211" s="28"/>
    </row>
    <row r="22212">
      <c r="N22212" s="28"/>
      <c r="O22212" s="28"/>
      <c r="U22212" s="28"/>
    </row>
    <row r="22213">
      <c r="N22213" s="28"/>
      <c r="O22213" s="28"/>
      <c r="U22213" s="28"/>
    </row>
    <row r="22214">
      <c r="N22214" s="28"/>
      <c r="O22214" s="28"/>
      <c r="U22214" s="28"/>
    </row>
    <row r="22215">
      <c r="N22215" s="28"/>
      <c r="O22215" s="28"/>
      <c r="U22215" s="28"/>
    </row>
    <row r="22216">
      <c r="N22216" s="28"/>
      <c r="O22216" s="28"/>
      <c r="U22216" s="28"/>
    </row>
    <row r="22217">
      <c r="N22217" s="28"/>
      <c r="O22217" s="28"/>
      <c r="U22217" s="28"/>
    </row>
    <row r="22218">
      <c r="N22218" s="28"/>
      <c r="O22218" s="28"/>
      <c r="U22218" s="28"/>
    </row>
    <row r="22219">
      <c r="N22219" s="28"/>
      <c r="O22219" s="28"/>
      <c r="U22219" s="28"/>
    </row>
    <row r="22220">
      <c r="N22220" s="28"/>
      <c r="O22220" s="28"/>
      <c r="U22220" s="28"/>
    </row>
    <row r="22221">
      <c r="N22221" s="28"/>
      <c r="O22221" s="28"/>
      <c r="U22221" s="28"/>
    </row>
    <row r="22222">
      <c r="N22222" s="28"/>
      <c r="O22222" s="28"/>
      <c r="U22222" s="28"/>
    </row>
    <row r="22223">
      <c r="N22223" s="28"/>
      <c r="O22223" s="28"/>
      <c r="U22223" s="28"/>
    </row>
    <row r="22224">
      <c r="N22224" s="28"/>
      <c r="O22224" s="28"/>
      <c r="U22224" s="28"/>
    </row>
    <row r="22225">
      <c r="N22225" s="28"/>
      <c r="O22225" s="28"/>
      <c r="U22225" s="28"/>
    </row>
    <row r="22226">
      <c r="N22226" s="28"/>
      <c r="O22226" s="28"/>
      <c r="U22226" s="28"/>
    </row>
    <row r="22227">
      <c r="N22227" s="28"/>
      <c r="O22227" s="28"/>
      <c r="U22227" s="28"/>
    </row>
    <row r="22228">
      <c r="N22228" s="28"/>
      <c r="O22228" s="28"/>
      <c r="U22228" s="28"/>
    </row>
    <row r="22229">
      <c r="N22229" s="28"/>
      <c r="O22229" s="28"/>
      <c r="U22229" s="28"/>
    </row>
    <row r="22230">
      <c r="N22230" s="28"/>
      <c r="O22230" s="28"/>
      <c r="U22230" s="28"/>
    </row>
    <row r="22231">
      <c r="N22231" s="28"/>
      <c r="O22231" s="28"/>
      <c r="U22231" s="28"/>
    </row>
    <row r="22232">
      <c r="N22232" s="28"/>
      <c r="O22232" s="28"/>
      <c r="U22232" s="28"/>
    </row>
    <row r="22233">
      <c r="N22233" s="28"/>
      <c r="O22233" s="28"/>
      <c r="U22233" s="28"/>
    </row>
    <row r="22234">
      <c r="N22234" s="28"/>
      <c r="O22234" s="28"/>
      <c r="U22234" s="28"/>
    </row>
    <row r="22235">
      <c r="N22235" s="28"/>
      <c r="O22235" s="28"/>
      <c r="U22235" s="28"/>
    </row>
    <row r="22236">
      <c r="N22236" s="28"/>
      <c r="O22236" s="28"/>
      <c r="U22236" s="28"/>
    </row>
    <row r="22237">
      <c r="N22237" s="28"/>
      <c r="O22237" s="28"/>
      <c r="U22237" s="28"/>
    </row>
    <row r="22238">
      <c r="N22238" s="28"/>
      <c r="O22238" s="28"/>
      <c r="U22238" s="28"/>
    </row>
    <row r="22239">
      <c r="N22239" s="28"/>
      <c r="O22239" s="28"/>
      <c r="U22239" s="28"/>
    </row>
    <row r="22240">
      <c r="N22240" s="28"/>
      <c r="O22240" s="28"/>
      <c r="U22240" s="28"/>
    </row>
    <row r="22241">
      <c r="N22241" s="28"/>
      <c r="O22241" s="28"/>
      <c r="U22241" s="28"/>
    </row>
    <row r="22242">
      <c r="N22242" s="28"/>
      <c r="O22242" s="28"/>
      <c r="U22242" s="28"/>
    </row>
    <row r="22243">
      <c r="N22243" s="28"/>
      <c r="O22243" s="28"/>
      <c r="U22243" s="28"/>
    </row>
    <row r="22244">
      <c r="N22244" s="28"/>
      <c r="O22244" s="28"/>
      <c r="U22244" s="28"/>
    </row>
    <row r="22245">
      <c r="N22245" s="28"/>
      <c r="O22245" s="28"/>
      <c r="U22245" s="28"/>
    </row>
    <row r="22246">
      <c r="N22246" s="28"/>
      <c r="O22246" s="28"/>
      <c r="U22246" s="28"/>
    </row>
    <row r="22247">
      <c r="N22247" s="28"/>
      <c r="O22247" s="28"/>
      <c r="U22247" s="28"/>
    </row>
    <row r="22248">
      <c r="N22248" s="28"/>
      <c r="O22248" s="28"/>
      <c r="U22248" s="28"/>
    </row>
    <row r="22249">
      <c r="N22249" s="28"/>
      <c r="O22249" s="28"/>
      <c r="U22249" s="28"/>
    </row>
    <row r="22250">
      <c r="N22250" s="28"/>
      <c r="O22250" s="28"/>
      <c r="U22250" s="28"/>
    </row>
    <row r="22251">
      <c r="N22251" s="28"/>
      <c r="O22251" s="28"/>
      <c r="U22251" s="28"/>
    </row>
    <row r="22252">
      <c r="N22252" s="28"/>
      <c r="O22252" s="28"/>
      <c r="U22252" s="28"/>
    </row>
    <row r="22253">
      <c r="N22253" s="28"/>
      <c r="O22253" s="28"/>
      <c r="U22253" s="28"/>
    </row>
    <row r="22254">
      <c r="N22254" s="28"/>
      <c r="O22254" s="28"/>
      <c r="U22254" s="28"/>
    </row>
    <row r="22255">
      <c r="N22255" s="28"/>
      <c r="O22255" s="28"/>
      <c r="U22255" s="28"/>
    </row>
    <row r="22256">
      <c r="N22256" s="28"/>
      <c r="O22256" s="28"/>
      <c r="U22256" s="28"/>
    </row>
    <row r="22257">
      <c r="N22257" s="28"/>
      <c r="O22257" s="28"/>
      <c r="U22257" s="28"/>
    </row>
    <row r="22258">
      <c r="N22258" s="28"/>
      <c r="O22258" s="28"/>
      <c r="U22258" s="28"/>
    </row>
    <row r="22259">
      <c r="N22259" s="28"/>
      <c r="O22259" s="28"/>
      <c r="U22259" s="28"/>
    </row>
    <row r="22260">
      <c r="N22260" s="28"/>
      <c r="O22260" s="28"/>
      <c r="U22260" s="28"/>
    </row>
    <row r="22261">
      <c r="N22261" s="28"/>
      <c r="O22261" s="28"/>
      <c r="U22261" s="28"/>
    </row>
    <row r="22262">
      <c r="N22262" s="28"/>
      <c r="O22262" s="28"/>
      <c r="U22262" s="28"/>
    </row>
    <row r="22263">
      <c r="N22263" s="28"/>
      <c r="O22263" s="28"/>
      <c r="U22263" s="28"/>
    </row>
    <row r="22264">
      <c r="N22264" s="28"/>
      <c r="O22264" s="28"/>
      <c r="U22264" s="28"/>
    </row>
    <row r="22265">
      <c r="N22265" s="28"/>
      <c r="O22265" s="28"/>
      <c r="U22265" s="28"/>
    </row>
    <row r="22266">
      <c r="N22266" s="28"/>
      <c r="O22266" s="28"/>
      <c r="U22266" s="28"/>
    </row>
    <row r="22267">
      <c r="N22267" s="28"/>
      <c r="O22267" s="28"/>
      <c r="U22267" s="28"/>
    </row>
    <row r="22268">
      <c r="N22268" s="28"/>
      <c r="O22268" s="28"/>
      <c r="U22268" s="28"/>
    </row>
    <row r="22269">
      <c r="N22269" s="28"/>
      <c r="O22269" s="28"/>
      <c r="U22269" s="28"/>
    </row>
    <row r="22270">
      <c r="N22270" s="28"/>
      <c r="O22270" s="28"/>
      <c r="U22270" s="28"/>
    </row>
    <row r="22271">
      <c r="N22271" s="28"/>
      <c r="O22271" s="28"/>
      <c r="U22271" s="28"/>
    </row>
    <row r="22272">
      <c r="N22272" s="28"/>
      <c r="O22272" s="28"/>
      <c r="U22272" s="28"/>
    </row>
    <row r="22273">
      <c r="N22273" s="28"/>
      <c r="O22273" s="28"/>
      <c r="U22273" s="28"/>
    </row>
    <row r="22274">
      <c r="N22274" s="28"/>
      <c r="O22274" s="28"/>
      <c r="U22274" s="28"/>
    </row>
    <row r="22275">
      <c r="N22275" s="28"/>
      <c r="O22275" s="28"/>
      <c r="U22275" s="28"/>
    </row>
    <row r="22276">
      <c r="N22276" s="28"/>
      <c r="O22276" s="28"/>
      <c r="U22276" s="28"/>
    </row>
    <row r="22277">
      <c r="N22277" s="28"/>
      <c r="O22277" s="28"/>
      <c r="U22277" s="28"/>
    </row>
    <row r="22278">
      <c r="N22278" s="28"/>
      <c r="O22278" s="28"/>
      <c r="U22278" s="28"/>
    </row>
    <row r="22279">
      <c r="N22279" s="28"/>
      <c r="O22279" s="28"/>
      <c r="U22279" s="28"/>
    </row>
    <row r="22280">
      <c r="N22280" s="28"/>
      <c r="O22280" s="28"/>
      <c r="U22280" s="28"/>
    </row>
    <row r="22281">
      <c r="N22281" s="28"/>
      <c r="O22281" s="28"/>
      <c r="U22281" s="28"/>
    </row>
    <row r="22282">
      <c r="N22282" s="28"/>
      <c r="O22282" s="28"/>
      <c r="U22282" s="28"/>
    </row>
    <row r="22283">
      <c r="N22283" s="28"/>
      <c r="O22283" s="28"/>
      <c r="U22283" s="28"/>
    </row>
    <row r="22284">
      <c r="N22284" s="28"/>
      <c r="O22284" s="28"/>
      <c r="U22284" s="28"/>
    </row>
    <row r="22285">
      <c r="N22285" s="28"/>
      <c r="O22285" s="28"/>
      <c r="U22285" s="28"/>
    </row>
    <row r="22286">
      <c r="N22286" s="28"/>
      <c r="O22286" s="28"/>
      <c r="U22286" s="28"/>
    </row>
    <row r="22287">
      <c r="N22287" s="28"/>
      <c r="O22287" s="28"/>
      <c r="U22287" s="28"/>
    </row>
    <row r="22288">
      <c r="N22288" s="28"/>
      <c r="O22288" s="28"/>
      <c r="U22288" s="28"/>
    </row>
    <row r="22289">
      <c r="N22289" s="28"/>
      <c r="O22289" s="28"/>
      <c r="U22289" s="28"/>
    </row>
    <row r="22290">
      <c r="N22290" s="28"/>
      <c r="O22290" s="28"/>
      <c r="U22290" s="28"/>
    </row>
    <row r="22291">
      <c r="N22291" s="28"/>
      <c r="O22291" s="28"/>
      <c r="U22291" s="28"/>
    </row>
    <row r="22292">
      <c r="N22292" s="28"/>
      <c r="O22292" s="28"/>
      <c r="U22292" s="28"/>
    </row>
    <row r="22293">
      <c r="N22293" s="28"/>
      <c r="O22293" s="28"/>
      <c r="U22293" s="28"/>
    </row>
    <row r="22294">
      <c r="N22294" s="28"/>
      <c r="O22294" s="28"/>
      <c r="U22294" s="28"/>
    </row>
    <row r="22295">
      <c r="N22295" s="28"/>
      <c r="O22295" s="28"/>
      <c r="U22295" s="28"/>
    </row>
    <row r="22296">
      <c r="N22296" s="28"/>
      <c r="O22296" s="28"/>
      <c r="U22296" s="28"/>
    </row>
    <row r="22297">
      <c r="N22297" s="28"/>
      <c r="O22297" s="28"/>
      <c r="U22297" s="28"/>
    </row>
    <row r="22298">
      <c r="N22298" s="28"/>
      <c r="O22298" s="28"/>
      <c r="U22298" s="28"/>
    </row>
    <row r="22299">
      <c r="N22299" s="28"/>
      <c r="O22299" s="28"/>
      <c r="U22299" s="28"/>
    </row>
    <row r="22300">
      <c r="N22300" s="28"/>
      <c r="O22300" s="28"/>
      <c r="U22300" s="28"/>
    </row>
    <row r="22301">
      <c r="N22301" s="28"/>
      <c r="O22301" s="28"/>
      <c r="U22301" s="28"/>
    </row>
    <row r="22302">
      <c r="N22302" s="28"/>
      <c r="O22302" s="28"/>
      <c r="U22302" s="28"/>
    </row>
    <row r="22303">
      <c r="N22303" s="28"/>
      <c r="O22303" s="28"/>
      <c r="U22303" s="28"/>
    </row>
    <row r="22304">
      <c r="N22304" s="28"/>
      <c r="O22304" s="28"/>
      <c r="U22304" s="28"/>
    </row>
    <row r="22305">
      <c r="N22305" s="28"/>
      <c r="O22305" s="28"/>
      <c r="U22305" s="28"/>
    </row>
    <row r="22306">
      <c r="N22306" s="28"/>
      <c r="O22306" s="28"/>
      <c r="U22306" s="28"/>
    </row>
    <row r="22307">
      <c r="N22307" s="28"/>
      <c r="O22307" s="28"/>
      <c r="U22307" s="28"/>
    </row>
    <row r="22308">
      <c r="N22308" s="28"/>
      <c r="O22308" s="28"/>
      <c r="U22308" s="28"/>
    </row>
    <row r="22309">
      <c r="N22309" s="28"/>
      <c r="O22309" s="28"/>
      <c r="U22309" s="28"/>
    </row>
    <row r="22310">
      <c r="N22310" s="28"/>
      <c r="O22310" s="28"/>
      <c r="U22310" s="28"/>
    </row>
    <row r="22311">
      <c r="N22311" s="28"/>
      <c r="O22311" s="28"/>
      <c r="U22311" s="28"/>
    </row>
    <row r="22312">
      <c r="N22312" s="28"/>
      <c r="O22312" s="28"/>
      <c r="U22312" s="28"/>
    </row>
    <row r="22313">
      <c r="N22313" s="28"/>
      <c r="O22313" s="28"/>
      <c r="U22313" s="28"/>
    </row>
    <row r="22314">
      <c r="N22314" s="28"/>
      <c r="O22314" s="28"/>
      <c r="U22314" s="28"/>
    </row>
    <row r="22315">
      <c r="N22315" s="28"/>
      <c r="O22315" s="28"/>
      <c r="U22315" s="28"/>
    </row>
    <row r="22316">
      <c r="N22316" s="28"/>
      <c r="O22316" s="28"/>
      <c r="U22316" s="28"/>
    </row>
    <row r="22317">
      <c r="N22317" s="28"/>
      <c r="O22317" s="28"/>
      <c r="U22317" s="28"/>
    </row>
    <row r="22318">
      <c r="N22318" s="28"/>
      <c r="O22318" s="28"/>
      <c r="U22318" s="28"/>
    </row>
    <row r="22319">
      <c r="N22319" s="28"/>
      <c r="O22319" s="28"/>
      <c r="U22319" s="28"/>
    </row>
    <row r="22320">
      <c r="N22320" s="28"/>
      <c r="O22320" s="28"/>
      <c r="U22320" s="28"/>
    </row>
    <row r="22321">
      <c r="N22321" s="28"/>
      <c r="O22321" s="28"/>
      <c r="U22321" s="28"/>
    </row>
    <row r="22322">
      <c r="N22322" s="28"/>
      <c r="O22322" s="28"/>
      <c r="U22322" s="28"/>
    </row>
    <row r="22323">
      <c r="N22323" s="28"/>
      <c r="O22323" s="28"/>
      <c r="U22323" s="28"/>
    </row>
    <row r="22324">
      <c r="N22324" s="28"/>
      <c r="O22324" s="28"/>
      <c r="U22324" s="28"/>
    </row>
    <row r="22325">
      <c r="N22325" s="28"/>
      <c r="O22325" s="28"/>
      <c r="U22325" s="28"/>
    </row>
    <row r="22326">
      <c r="N22326" s="28"/>
      <c r="O22326" s="28"/>
      <c r="U22326" s="28"/>
    </row>
    <row r="22327">
      <c r="N22327" s="28"/>
      <c r="O22327" s="28"/>
      <c r="U22327" s="28"/>
    </row>
    <row r="22328">
      <c r="N22328" s="28"/>
      <c r="O22328" s="28"/>
      <c r="U22328" s="28"/>
    </row>
    <row r="22329">
      <c r="N22329" s="28"/>
      <c r="O22329" s="28"/>
      <c r="U22329" s="28"/>
    </row>
    <row r="22330">
      <c r="N22330" s="28"/>
      <c r="O22330" s="28"/>
      <c r="U22330" s="28"/>
    </row>
    <row r="22331">
      <c r="N22331" s="28"/>
      <c r="O22331" s="28"/>
      <c r="U22331" s="28"/>
    </row>
    <row r="22332">
      <c r="N22332" s="28"/>
      <c r="O22332" s="28"/>
      <c r="U22332" s="28"/>
    </row>
    <row r="22333">
      <c r="N22333" s="28"/>
      <c r="O22333" s="28"/>
      <c r="U22333" s="28"/>
    </row>
    <row r="22334">
      <c r="N22334" s="28"/>
      <c r="O22334" s="28"/>
      <c r="U22334" s="28"/>
    </row>
    <row r="22335">
      <c r="N22335" s="28"/>
      <c r="O22335" s="28"/>
      <c r="U22335" s="28"/>
    </row>
    <row r="22336">
      <c r="N22336" s="28"/>
      <c r="O22336" s="28"/>
      <c r="U22336" s="28"/>
    </row>
    <row r="22337">
      <c r="N22337" s="28"/>
      <c r="O22337" s="28"/>
      <c r="U22337" s="28"/>
    </row>
    <row r="22338">
      <c r="N22338" s="28"/>
      <c r="O22338" s="28"/>
      <c r="U22338" s="28"/>
    </row>
    <row r="22339">
      <c r="N22339" s="28"/>
      <c r="O22339" s="28"/>
      <c r="U22339" s="28"/>
    </row>
    <row r="22340">
      <c r="N22340" s="28"/>
      <c r="O22340" s="28"/>
      <c r="U22340" s="28"/>
    </row>
    <row r="22341">
      <c r="N22341" s="28"/>
      <c r="O22341" s="28"/>
      <c r="U22341" s="28"/>
    </row>
    <row r="22342">
      <c r="N22342" s="28"/>
      <c r="O22342" s="28"/>
      <c r="U22342" s="28"/>
    </row>
    <row r="22343">
      <c r="N22343" s="28"/>
      <c r="O22343" s="28"/>
      <c r="U22343" s="28"/>
    </row>
    <row r="22344">
      <c r="N22344" s="28"/>
      <c r="O22344" s="28"/>
      <c r="U22344" s="28"/>
    </row>
    <row r="22345">
      <c r="N22345" s="28"/>
      <c r="O22345" s="28"/>
      <c r="U22345" s="28"/>
    </row>
    <row r="22346">
      <c r="N22346" s="28"/>
      <c r="O22346" s="28"/>
      <c r="U22346" s="28"/>
    </row>
    <row r="22347">
      <c r="N22347" s="28"/>
      <c r="O22347" s="28"/>
      <c r="U22347" s="28"/>
    </row>
    <row r="22348">
      <c r="N22348" s="28"/>
      <c r="O22348" s="28"/>
      <c r="U22348" s="28"/>
    </row>
    <row r="22349">
      <c r="N22349" s="28"/>
      <c r="O22349" s="28"/>
      <c r="U22349" s="28"/>
    </row>
    <row r="22350">
      <c r="N22350" s="28"/>
      <c r="O22350" s="28"/>
      <c r="U22350" s="28"/>
    </row>
    <row r="22351">
      <c r="N22351" s="28"/>
      <c r="O22351" s="28"/>
      <c r="U22351" s="28"/>
    </row>
    <row r="22352">
      <c r="N22352" s="28"/>
      <c r="O22352" s="28"/>
      <c r="U22352" s="28"/>
    </row>
    <row r="22353">
      <c r="N22353" s="28"/>
      <c r="O22353" s="28"/>
      <c r="U22353" s="28"/>
    </row>
    <row r="22354">
      <c r="N22354" s="28"/>
      <c r="O22354" s="28"/>
      <c r="U22354" s="28"/>
    </row>
    <row r="22355">
      <c r="N22355" s="28"/>
      <c r="O22355" s="28"/>
      <c r="U22355" s="28"/>
    </row>
    <row r="22356">
      <c r="N22356" s="28"/>
      <c r="O22356" s="28"/>
      <c r="U22356" s="28"/>
    </row>
    <row r="22357">
      <c r="N22357" s="28"/>
      <c r="O22357" s="28"/>
      <c r="U22357" s="28"/>
    </row>
    <row r="22358">
      <c r="N22358" s="28"/>
      <c r="O22358" s="28"/>
      <c r="U22358" s="28"/>
    </row>
    <row r="22359">
      <c r="N22359" s="28"/>
      <c r="O22359" s="28"/>
      <c r="U22359" s="28"/>
    </row>
    <row r="22360">
      <c r="N22360" s="28"/>
      <c r="O22360" s="28"/>
      <c r="U22360" s="28"/>
    </row>
    <row r="22361">
      <c r="N22361" s="28"/>
      <c r="O22361" s="28"/>
      <c r="U22361" s="28"/>
    </row>
    <row r="22362">
      <c r="N22362" s="28"/>
      <c r="O22362" s="28"/>
      <c r="U22362" s="28"/>
    </row>
    <row r="22363">
      <c r="N22363" s="28"/>
      <c r="O22363" s="28"/>
      <c r="U22363" s="28"/>
    </row>
    <row r="22364">
      <c r="N22364" s="28"/>
      <c r="O22364" s="28"/>
      <c r="U22364" s="28"/>
    </row>
    <row r="22365">
      <c r="N22365" s="28"/>
      <c r="O22365" s="28"/>
      <c r="U22365" s="28"/>
    </row>
    <row r="22366">
      <c r="N22366" s="28"/>
      <c r="O22366" s="28"/>
      <c r="U22366" s="28"/>
    </row>
    <row r="22367">
      <c r="N22367" s="28"/>
      <c r="O22367" s="28"/>
      <c r="U22367" s="28"/>
    </row>
    <row r="22368">
      <c r="N22368" s="28"/>
      <c r="O22368" s="28"/>
      <c r="U22368" s="28"/>
    </row>
    <row r="22369">
      <c r="N22369" s="28"/>
      <c r="O22369" s="28"/>
      <c r="U22369" s="28"/>
    </row>
    <row r="22370">
      <c r="N22370" s="28"/>
      <c r="O22370" s="28"/>
      <c r="U22370" s="28"/>
    </row>
    <row r="22371">
      <c r="N22371" s="28"/>
      <c r="O22371" s="28"/>
      <c r="U22371" s="28"/>
    </row>
    <row r="22372">
      <c r="N22372" s="28"/>
      <c r="O22372" s="28"/>
      <c r="U22372" s="28"/>
    </row>
    <row r="22373">
      <c r="N22373" s="28"/>
      <c r="O22373" s="28"/>
      <c r="U22373" s="28"/>
    </row>
    <row r="22374">
      <c r="N22374" s="28"/>
      <c r="O22374" s="28"/>
      <c r="U22374" s="28"/>
    </row>
    <row r="22375">
      <c r="N22375" s="28"/>
      <c r="O22375" s="28"/>
      <c r="U22375" s="28"/>
    </row>
    <row r="22376">
      <c r="N22376" s="28"/>
      <c r="O22376" s="28"/>
      <c r="U22376" s="28"/>
    </row>
    <row r="22377">
      <c r="N22377" s="28"/>
      <c r="O22377" s="28"/>
      <c r="U22377" s="28"/>
    </row>
    <row r="22378">
      <c r="N22378" s="28"/>
      <c r="O22378" s="28"/>
      <c r="U22378" s="28"/>
    </row>
    <row r="22379">
      <c r="N22379" s="28"/>
      <c r="O22379" s="28"/>
      <c r="U22379" s="28"/>
    </row>
    <row r="22380">
      <c r="N22380" s="28"/>
      <c r="O22380" s="28"/>
      <c r="U22380" s="28"/>
    </row>
    <row r="22381">
      <c r="N22381" s="28"/>
      <c r="O22381" s="28"/>
      <c r="U22381" s="28"/>
    </row>
    <row r="22382">
      <c r="N22382" s="28"/>
      <c r="O22382" s="28"/>
      <c r="U22382" s="28"/>
    </row>
    <row r="22383">
      <c r="N22383" s="28"/>
      <c r="O22383" s="28"/>
      <c r="U22383" s="28"/>
    </row>
    <row r="22384">
      <c r="N22384" s="28"/>
      <c r="O22384" s="28"/>
      <c r="U22384" s="28"/>
    </row>
    <row r="22385">
      <c r="N22385" s="28"/>
      <c r="O22385" s="28"/>
      <c r="U22385" s="28"/>
    </row>
    <row r="22386">
      <c r="N22386" s="28"/>
      <c r="O22386" s="28"/>
      <c r="U22386" s="28"/>
    </row>
    <row r="22387">
      <c r="N22387" s="28"/>
      <c r="O22387" s="28"/>
      <c r="U22387" s="28"/>
    </row>
    <row r="22388">
      <c r="N22388" s="28"/>
      <c r="O22388" s="28"/>
      <c r="U22388" s="28"/>
    </row>
    <row r="22389">
      <c r="N22389" s="28"/>
      <c r="O22389" s="28"/>
      <c r="U22389" s="28"/>
    </row>
    <row r="22390">
      <c r="N22390" s="28"/>
      <c r="O22390" s="28"/>
      <c r="U22390" s="28"/>
    </row>
    <row r="22391">
      <c r="N22391" s="28"/>
      <c r="O22391" s="28"/>
      <c r="U22391" s="28"/>
    </row>
    <row r="22392">
      <c r="N22392" s="28"/>
      <c r="O22392" s="28"/>
      <c r="U22392" s="28"/>
    </row>
    <row r="22393">
      <c r="N22393" s="28"/>
      <c r="O22393" s="28"/>
      <c r="U22393" s="28"/>
    </row>
    <row r="22394">
      <c r="N22394" s="28"/>
      <c r="O22394" s="28"/>
      <c r="U22394" s="28"/>
    </row>
    <row r="22395">
      <c r="N22395" s="28"/>
      <c r="O22395" s="28"/>
      <c r="U22395" s="28"/>
    </row>
    <row r="22396">
      <c r="N22396" s="28"/>
      <c r="O22396" s="28"/>
      <c r="U22396" s="28"/>
    </row>
    <row r="22397">
      <c r="N22397" s="28"/>
      <c r="O22397" s="28"/>
      <c r="U22397" s="28"/>
    </row>
    <row r="22398">
      <c r="N22398" s="28"/>
      <c r="O22398" s="28"/>
      <c r="U22398" s="28"/>
    </row>
    <row r="22399">
      <c r="N22399" s="28"/>
      <c r="O22399" s="28"/>
      <c r="U22399" s="28"/>
    </row>
    <row r="22400">
      <c r="N22400" s="28"/>
      <c r="O22400" s="28"/>
      <c r="U22400" s="28"/>
    </row>
    <row r="22401">
      <c r="N22401" s="28"/>
      <c r="O22401" s="28"/>
      <c r="U22401" s="28"/>
    </row>
    <row r="22402">
      <c r="N22402" s="28"/>
      <c r="O22402" s="28"/>
      <c r="U22402" s="28"/>
    </row>
    <row r="22403">
      <c r="N22403" s="28"/>
      <c r="O22403" s="28"/>
      <c r="U22403" s="28"/>
    </row>
    <row r="22404">
      <c r="N22404" s="28"/>
      <c r="O22404" s="28"/>
      <c r="U22404" s="28"/>
    </row>
    <row r="22405">
      <c r="N22405" s="28"/>
      <c r="O22405" s="28"/>
      <c r="U22405" s="28"/>
    </row>
    <row r="22406">
      <c r="N22406" s="28"/>
      <c r="O22406" s="28"/>
      <c r="U22406" s="28"/>
    </row>
    <row r="22407">
      <c r="N22407" s="28"/>
      <c r="O22407" s="28"/>
      <c r="U22407" s="28"/>
    </row>
    <row r="22408">
      <c r="N22408" s="28"/>
      <c r="O22408" s="28"/>
      <c r="U22408" s="28"/>
    </row>
    <row r="22409">
      <c r="N22409" s="28"/>
      <c r="O22409" s="28"/>
      <c r="U22409" s="28"/>
    </row>
    <row r="22410">
      <c r="N22410" s="28"/>
      <c r="O22410" s="28"/>
      <c r="U22410" s="28"/>
    </row>
    <row r="22411">
      <c r="N22411" s="28"/>
      <c r="O22411" s="28"/>
      <c r="U22411" s="28"/>
    </row>
    <row r="22412">
      <c r="N22412" s="28"/>
      <c r="O22412" s="28"/>
      <c r="U22412" s="28"/>
    </row>
    <row r="22413">
      <c r="N22413" s="28"/>
      <c r="O22413" s="28"/>
      <c r="U22413" s="28"/>
    </row>
    <row r="22414">
      <c r="N22414" s="28"/>
      <c r="O22414" s="28"/>
      <c r="U22414" s="28"/>
    </row>
    <row r="22415">
      <c r="N22415" s="28"/>
      <c r="O22415" s="28"/>
      <c r="U22415" s="28"/>
    </row>
    <row r="22416">
      <c r="N22416" s="28"/>
      <c r="O22416" s="28"/>
      <c r="U22416" s="28"/>
    </row>
    <row r="22417">
      <c r="N22417" s="28"/>
      <c r="O22417" s="28"/>
      <c r="U22417" s="28"/>
    </row>
    <row r="22418">
      <c r="N22418" s="28"/>
      <c r="O22418" s="28"/>
      <c r="U22418" s="28"/>
    </row>
    <row r="22419">
      <c r="N22419" s="28"/>
      <c r="O22419" s="28"/>
      <c r="U22419" s="28"/>
    </row>
    <row r="22420">
      <c r="N22420" s="28"/>
      <c r="O22420" s="28"/>
      <c r="U22420" s="28"/>
    </row>
    <row r="22421">
      <c r="N22421" s="28"/>
      <c r="O22421" s="28"/>
      <c r="U22421" s="28"/>
    </row>
    <row r="22422">
      <c r="N22422" s="28"/>
      <c r="O22422" s="28"/>
      <c r="U22422" s="28"/>
    </row>
    <row r="22423">
      <c r="N22423" s="28"/>
      <c r="O22423" s="28"/>
      <c r="U22423" s="28"/>
    </row>
    <row r="22424">
      <c r="N22424" s="28"/>
      <c r="O22424" s="28"/>
      <c r="U22424" s="28"/>
    </row>
    <row r="22425">
      <c r="N22425" s="28"/>
      <c r="O22425" s="28"/>
      <c r="U22425" s="28"/>
    </row>
    <row r="22426">
      <c r="N22426" s="28"/>
      <c r="O22426" s="28"/>
      <c r="U22426" s="28"/>
    </row>
    <row r="22427">
      <c r="N22427" s="28"/>
      <c r="O22427" s="28"/>
      <c r="U22427" s="28"/>
    </row>
    <row r="22428">
      <c r="N22428" s="28"/>
      <c r="O22428" s="28"/>
      <c r="U22428" s="28"/>
    </row>
    <row r="22429">
      <c r="N22429" s="28"/>
      <c r="O22429" s="28"/>
      <c r="U22429" s="28"/>
    </row>
    <row r="22430">
      <c r="N22430" s="28"/>
      <c r="O22430" s="28"/>
      <c r="U22430" s="28"/>
    </row>
    <row r="22431">
      <c r="N22431" s="28"/>
      <c r="O22431" s="28"/>
      <c r="U22431" s="28"/>
    </row>
    <row r="22432">
      <c r="N22432" s="28"/>
      <c r="O22432" s="28"/>
      <c r="U22432" s="28"/>
    </row>
    <row r="22433">
      <c r="N22433" s="28"/>
      <c r="O22433" s="28"/>
      <c r="U22433" s="28"/>
    </row>
    <row r="22434">
      <c r="N22434" s="28"/>
      <c r="O22434" s="28"/>
      <c r="U22434" s="28"/>
    </row>
    <row r="22435">
      <c r="N22435" s="28"/>
      <c r="O22435" s="28"/>
      <c r="U22435" s="28"/>
    </row>
    <row r="22436">
      <c r="N22436" s="28"/>
      <c r="O22436" s="28"/>
      <c r="U22436" s="28"/>
    </row>
    <row r="22437">
      <c r="N22437" s="28"/>
      <c r="O22437" s="28"/>
      <c r="U22437" s="28"/>
    </row>
    <row r="22438">
      <c r="N22438" s="28"/>
      <c r="O22438" s="28"/>
      <c r="U22438" s="28"/>
    </row>
    <row r="22439">
      <c r="N22439" s="28"/>
      <c r="O22439" s="28"/>
      <c r="U22439" s="28"/>
    </row>
    <row r="22440">
      <c r="N22440" s="28"/>
      <c r="O22440" s="28"/>
      <c r="U22440" s="28"/>
    </row>
    <row r="22441">
      <c r="N22441" s="28"/>
      <c r="O22441" s="28"/>
      <c r="U22441" s="28"/>
    </row>
    <row r="22442">
      <c r="N22442" s="28"/>
      <c r="O22442" s="28"/>
      <c r="U22442" s="28"/>
    </row>
    <row r="22443">
      <c r="N22443" s="28"/>
      <c r="O22443" s="28"/>
      <c r="U22443" s="28"/>
    </row>
    <row r="22444">
      <c r="N22444" s="28"/>
      <c r="O22444" s="28"/>
      <c r="U22444" s="28"/>
    </row>
    <row r="22445">
      <c r="N22445" s="28"/>
      <c r="O22445" s="28"/>
      <c r="U22445" s="28"/>
    </row>
    <row r="22446">
      <c r="N22446" s="28"/>
      <c r="O22446" s="28"/>
      <c r="U22446" s="28"/>
    </row>
    <row r="22447">
      <c r="N22447" s="28"/>
      <c r="O22447" s="28"/>
      <c r="U22447" s="28"/>
    </row>
    <row r="22448">
      <c r="N22448" s="28"/>
      <c r="O22448" s="28"/>
      <c r="U22448" s="28"/>
    </row>
    <row r="22449">
      <c r="N22449" s="28"/>
      <c r="O22449" s="28"/>
      <c r="U22449" s="28"/>
    </row>
    <row r="22450">
      <c r="N22450" s="28"/>
      <c r="O22450" s="28"/>
      <c r="U22450" s="28"/>
    </row>
    <row r="22451">
      <c r="N22451" s="28"/>
      <c r="O22451" s="28"/>
      <c r="U22451" s="28"/>
    </row>
    <row r="22452">
      <c r="N22452" s="28"/>
      <c r="O22452" s="28"/>
      <c r="U22452" s="28"/>
    </row>
    <row r="22453">
      <c r="N22453" s="28"/>
      <c r="O22453" s="28"/>
      <c r="U22453" s="28"/>
    </row>
    <row r="22454">
      <c r="N22454" s="28"/>
      <c r="O22454" s="28"/>
      <c r="U22454" s="28"/>
    </row>
    <row r="22455">
      <c r="N22455" s="28"/>
      <c r="O22455" s="28"/>
      <c r="U22455" s="28"/>
    </row>
    <row r="22456">
      <c r="N22456" s="28"/>
      <c r="O22456" s="28"/>
      <c r="U22456" s="28"/>
    </row>
    <row r="22457">
      <c r="N22457" s="28"/>
      <c r="O22457" s="28"/>
      <c r="U22457" s="28"/>
    </row>
    <row r="22458">
      <c r="N22458" s="28"/>
      <c r="O22458" s="28"/>
      <c r="U22458" s="28"/>
    </row>
    <row r="22459">
      <c r="N22459" s="28"/>
      <c r="O22459" s="28"/>
      <c r="U22459" s="28"/>
    </row>
    <row r="22460">
      <c r="N22460" s="28"/>
      <c r="O22460" s="28"/>
      <c r="U22460" s="28"/>
    </row>
    <row r="22461">
      <c r="N22461" s="28"/>
      <c r="O22461" s="28"/>
      <c r="U22461" s="28"/>
    </row>
    <row r="22462">
      <c r="N22462" s="28"/>
      <c r="O22462" s="28"/>
      <c r="U22462" s="28"/>
    </row>
    <row r="22463">
      <c r="N22463" s="28"/>
      <c r="O22463" s="28"/>
      <c r="U22463" s="28"/>
    </row>
    <row r="22464">
      <c r="N22464" s="28"/>
      <c r="O22464" s="28"/>
      <c r="U22464" s="28"/>
    </row>
    <row r="22465">
      <c r="N22465" s="28"/>
      <c r="O22465" s="28"/>
      <c r="U22465" s="28"/>
    </row>
    <row r="22466">
      <c r="N22466" s="28"/>
      <c r="O22466" s="28"/>
      <c r="U22466" s="28"/>
    </row>
    <row r="22467">
      <c r="N22467" s="28"/>
      <c r="O22467" s="28"/>
      <c r="U22467" s="28"/>
    </row>
    <row r="22468">
      <c r="N22468" s="28"/>
      <c r="O22468" s="28"/>
      <c r="U22468" s="28"/>
    </row>
    <row r="22469">
      <c r="N22469" s="28"/>
      <c r="O22469" s="28"/>
      <c r="U22469" s="28"/>
    </row>
    <row r="22470">
      <c r="N22470" s="28"/>
      <c r="O22470" s="28"/>
      <c r="U22470" s="28"/>
    </row>
    <row r="22471">
      <c r="N22471" s="28"/>
      <c r="O22471" s="28"/>
      <c r="U22471" s="28"/>
    </row>
    <row r="22472">
      <c r="N22472" s="28"/>
      <c r="O22472" s="28"/>
      <c r="U22472" s="28"/>
    </row>
    <row r="22473">
      <c r="N22473" s="28"/>
      <c r="O22473" s="28"/>
      <c r="U22473" s="28"/>
    </row>
    <row r="22474">
      <c r="N22474" s="28"/>
      <c r="O22474" s="28"/>
      <c r="U22474" s="28"/>
    </row>
    <row r="22475">
      <c r="N22475" s="28"/>
      <c r="O22475" s="28"/>
      <c r="U22475" s="28"/>
    </row>
    <row r="22476">
      <c r="N22476" s="28"/>
      <c r="O22476" s="28"/>
      <c r="U22476" s="28"/>
    </row>
    <row r="22477">
      <c r="N22477" s="28"/>
      <c r="O22477" s="28"/>
      <c r="U22477" s="28"/>
    </row>
    <row r="22478">
      <c r="N22478" s="28"/>
      <c r="O22478" s="28"/>
      <c r="U22478" s="28"/>
    </row>
    <row r="22479">
      <c r="N22479" s="28"/>
      <c r="O22479" s="28"/>
      <c r="U22479" s="28"/>
    </row>
    <row r="22480">
      <c r="N22480" s="28"/>
      <c r="O22480" s="28"/>
      <c r="U22480" s="28"/>
    </row>
    <row r="22481">
      <c r="N22481" s="28"/>
      <c r="O22481" s="28"/>
      <c r="U22481" s="28"/>
    </row>
    <row r="22482">
      <c r="N22482" s="28"/>
      <c r="O22482" s="28"/>
      <c r="U22482" s="28"/>
    </row>
    <row r="22483">
      <c r="N22483" s="28"/>
      <c r="O22483" s="28"/>
      <c r="U22483" s="28"/>
    </row>
    <row r="22484">
      <c r="N22484" s="28"/>
      <c r="O22484" s="28"/>
      <c r="U22484" s="28"/>
    </row>
    <row r="22485">
      <c r="N22485" s="28"/>
      <c r="O22485" s="28"/>
      <c r="U22485" s="28"/>
    </row>
    <row r="22486">
      <c r="N22486" s="28"/>
      <c r="O22486" s="28"/>
      <c r="U22486" s="28"/>
    </row>
    <row r="22487">
      <c r="N22487" s="28"/>
      <c r="O22487" s="28"/>
      <c r="U22487" s="28"/>
    </row>
    <row r="22488">
      <c r="N22488" s="28"/>
      <c r="O22488" s="28"/>
      <c r="U22488" s="28"/>
    </row>
    <row r="22489">
      <c r="N22489" s="28"/>
      <c r="O22489" s="28"/>
      <c r="U22489" s="28"/>
    </row>
    <row r="22490">
      <c r="N22490" s="28"/>
      <c r="O22490" s="28"/>
      <c r="U22490" s="28"/>
    </row>
    <row r="22491">
      <c r="N22491" s="28"/>
      <c r="O22491" s="28"/>
      <c r="U22491" s="28"/>
    </row>
    <row r="22492">
      <c r="N22492" s="28"/>
      <c r="O22492" s="28"/>
      <c r="U22492" s="28"/>
    </row>
    <row r="22493">
      <c r="N22493" s="28"/>
      <c r="O22493" s="28"/>
      <c r="U22493" s="28"/>
    </row>
    <row r="22494">
      <c r="N22494" s="28"/>
      <c r="O22494" s="28"/>
      <c r="U22494" s="28"/>
    </row>
    <row r="22495">
      <c r="N22495" s="28"/>
      <c r="O22495" s="28"/>
      <c r="U22495" s="28"/>
    </row>
    <row r="22496">
      <c r="N22496" s="28"/>
      <c r="O22496" s="28"/>
      <c r="U22496" s="28"/>
    </row>
    <row r="22497">
      <c r="N22497" s="28"/>
      <c r="O22497" s="28"/>
      <c r="U22497" s="28"/>
    </row>
    <row r="22498">
      <c r="N22498" s="28"/>
      <c r="O22498" s="28"/>
      <c r="U22498" s="28"/>
    </row>
    <row r="22499">
      <c r="N22499" s="28"/>
      <c r="O22499" s="28"/>
      <c r="U22499" s="28"/>
    </row>
    <row r="22500">
      <c r="N22500" s="28"/>
      <c r="O22500" s="28"/>
      <c r="U22500" s="28"/>
    </row>
    <row r="22501">
      <c r="N22501" s="28"/>
      <c r="O22501" s="28"/>
      <c r="U22501" s="28"/>
    </row>
    <row r="22502">
      <c r="N22502" s="28"/>
      <c r="O22502" s="28"/>
      <c r="U22502" s="28"/>
    </row>
    <row r="22503">
      <c r="N22503" s="28"/>
      <c r="O22503" s="28"/>
      <c r="U22503" s="28"/>
    </row>
    <row r="22504">
      <c r="N22504" s="28"/>
      <c r="O22504" s="28"/>
      <c r="U22504" s="28"/>
    </row>
    <row r="22505">
      <c r="N22505" s="28"/>
      <c r="O22505" s="28"/>
      <c r="U22505" s="28"/>
    </row>
    <row r="22506">
      <c r="N22506" s="28"/>
      <c r="O22506" s="28"/>
      <c r="U22506" s="28"/>
    </row>
    <row r="22507">
      <c r="N22507" s="28"/>
      <c r="O22507" s="28"/>
      <c r="U22507" s="28"/>
    </row>
    <row r="22508">
      <c r="N22508" s="28"/>
      <c r="O22508" s="28"/>
      <c r="U22508" s="28"/>
    </row>
    <row r="22509">
      <c r="N22509" s="28"/>
      <c r="O22509" s="28"/>
      <c r="U22509" s="28"/>
    </row>
    <row r="22510">
      <c r="N22510" s="28"/>
      <c r="O22510" s="28"/>
      <c r="U22510" s="28"/>
    </row>
    <row r="22511">
      <c r="N22511" s="28"/>
      <c r="O22511" s="28"/>
      <c r="U22511" s="28"/>
    </row>
    <row r="22512">
      <c r="N22512" s="28"/>
      <c r="O22512" s="28"/>
      <c r="U22512" s="28"/>
    </row>
    <row r="22513">
      <c r="N22513" s="28"/>
      <c r="O22513" s="28"/>
      <c r="U22513" s="28"/>
    </row>
    <row r="22514">
      <c r="N22514" s="28"/>
      <c r="O22514" s="28"/>
      <c r="U22514" s="28"/>
    </row>
    <row r="22515">
      <c r="N22515" s="28"/>
      <c r="O22515" s="28"/>
      <c r="U22515" s="28"/>
    </row>
    <row r="22516">
      <c r="N22516" s="28"/>
      <c r="O22516" s="28"/>
      <c r="U22516" s="28"/>
    </row>
    <row r="22517">
      <c r="N22517" s="28"/>
      <c r="O22517" s="28"/>
      <c r="U22517" s="28"/>
    </row>
    <row r="22518">
      <c r="N22518" s="28"/>
      <c r="O22518" s="28"/>
      <c r="U22518" s="28"/>
    </row>
    <row r="22519">
      <c r="N22519" s="28"/>
      <c r="O22519" s="28"/>
      <c r="U22519" s="28"/>
    </row>
    <row r="22520">
      <c r="N22520" s="28"/>
      <c r="O22520" s="28"/>
      <c r="U22520" s="28"/>
    </row>
    <row r="22521">
      <c r="N22521" s="28"/>
      <c r="O22521" s="28"/>
      <c r="U22521" s="28"/>
    </row>
    <row r="22522">
      <c r="N22522" s="28"/>
      <c r="O22522" s="28"/>
      <c r="U22522" s="28"/>
    </row>
    <row r="22523">
      <c r="N22523" s="28"/>
      <c r="O22523" s="28"/>
      <c r="U22523" s="28"/>
    </row>
    <row r="22524">
      <c r="N22524" s="28"/>
      <c r="O22524" s="28"/>
      <c r="U22524" s="28"/>
    </row>
    <row r="22525">
      <c r="N22525" s="28"/>
      <c r="O22525" s="28"/>
      <c r="U22525" s="28"/>
    </row>
    <row r="22526">
      <c r="N22526" s="28"/>
      <c r="O22526" s="28"/>
      <c r="U22526" s="28"/>
    </row>
    <row r="22527">
      <c r="N22527" s="28"/>
      <c r="O22527" s="28"/>
      <c r="U22527" s="28"/>
    </row>
    <row r="22528">
      <c r="N22528" s="28"/>
      <c r="O22528" s="28"/>
      <c r="U22528" s="28"/>
    </row>
    <row r="22529">
      <c r="N22529" s="28"/>
      <c r="O22529" s="28"/>
      <c r="U22529" s="28"/>
    </row>
    <row r="22530">
      <c r="N22530" s="28"/>
      <c r="O22530" s="28"/>
      <c r="U22530" s="28"/>
    </row>
    <row r="22531">
      <c r="N22531" s="28"/>
      <c r="O22531" s="28"/>
      <c r="U22531" s="28"/>
    </row>
    <row r="22532">
      <c r="N22532" s="28"/>
      <c r="O22532" s="28"/>
      <c r="U22532" s="28"/>
    </row>
    <row r="22533">
      <c r="N22533" s="28"/>
      <c r="O22533" s="28"/>
      <c r="U22533" s="28"/>
    </row>
    <row r="22534">
      <c r="N22534" s="28"/>
      <c r="O22534" s="28"/>
      <c r="U22534" s="28"/>
    </row>
    <row r="22535">
      <c r="N22535" s="28"/>
      <c r="O22535" s="28"/>
      <c r="U22535" s="28"/>
    </row>
    <row r="22536">
      <c r="N22536" s="28"/>
      <c r="O22536" s="28"/>
      <c r="U22536" s="28"/>
    </row>
    <row r="22537">
      <c r="N22537" s="28"/>
      <c r="O22537" s="28"/>
      <c r="U22537" s="28"/>
    </row>
    <row r="22538">
      <c r="N22538" s="28"/>
      <c r="O22538" s="28"/>
      <c r="U22538" s="28"/>
    </row>
    <row r="22539">
      <c r="N22539" s="28"/>
      <c r="O22539" s="28"/>
      <c r="U22539" s="28"/>
    </row>
    <row r="22540">
      <c r="N22540" s="28"/>
      <c r="O22540" s="28"/>
      <c r="U22540" s="28"/>
    </row>
    <row r="22541">
      <c r="N22541" s="28"/>
      <c r="O22541" s="28"/>
      <c r="U22541" s="28"/>
    </row>
    <row r="22542">
      <c r="N22542" s="28"/>
      <c r="O22542" s="28"/>
      <c r="U22542" s="28"/>
    </row>
    <row r="22543">
      <c r="N22543" s="28"/>
      <c r="O22543" s="28"/>
      <c r="U22543" s="28"/>
    </row>
    <row r="22544">
      <c r="N22544" s="28"/>
      <c r="O22544" s="28"/>
      <c r="U22544" s="28"/>
    </row>
    <row r="22545">
      <c r="N22545" s="28"/>
      <c r="O22545" s="28"/>
      <c r="U22545" s="28"/>
    </row>
    <row r="22546">
      <c r="N22546" s="28"/>
      <c r="O22546" s="28"/>
      <c r="U22546" s="28"/>
    </row>
    <row r="22547">
      <c r="N22547" s="28"/>
      <c r="O22547" s="28"/>
      <c r="U22547" s="28"/>
    </row>
    <row r="22548">
      <c r="N22548" s="28"/>
      <c r="O22548" s="28"/>
      <c r="U22548" s="28"/>
    </row>
    <row r="22549">
      <c r="N22549" s="28"/>
      <c r="O22549" s="28"/>
      <c r="U22549" s="28"/>
    </row>
    <row r="22550">
      <c r="N22550" s="28"/>
      <c r="O22550" s="28"/>
      <c r="U22550" s="28"/>
    </row>
    <row r="22551">
      <c r="N22551" s="28"/>
      <c r="O22551" s="28"/>
      <c r="U22551" s="28"/>
    </row>
    <row r="22552">
      <c r="N22552" s="28"/>
      <c r="O22552" s="28"/>
      <c r="U22552" s="28"/>
    </row>
    <row r="22553">
      <c r="N22553" s="28"/>
      <c r="O22553" s="28"/>
      <c r="U22553" s="28"/>
    </row>
    <row r="22554">
      <c r="N22554" s="28"/>
      <c r="O22554" s="28"/>
      <c r="U22554" s="28"/>
    </row>
    <row r="22555">
      <c r="N22555" s="28"/>
      <c r="O22555" s="28"/>
      <c r="U22555" s="28"/>
    </row>
    <row r="22556">
      <c r="N22556" s="28"/>
      <c r="O22556" s="28"/>
      <c r="U22556" s="28"/>
    </row>
    <row r="22557">
      <c r="N22557" s="28"/>
      <c r="O22557" s="28"/>
      <c r="U22557" s="28"/>
    </row>
    <row r="22558">
      <c r="N22558" s="28"/>
      <c r="O22558" s="28"/>
      <c r="U22558" s="28"/>
    </row>
    <row r="22559">
      <c r="N22559" s="28"/>
      <c r="O22559" s="28"/>
      <c r="U22559" s="28"/>
    </row>
    <row r="22560">
      <c r="N22560" s="28"/>
      <c r="O22560" s="28"/>
      <c r="U22560" s="28"/>
    </row>
    <row r="22561">
      <c r="N22561" s="28"/>
      <c r="O22561" s="28"/>
      <c r="U22561" s="28"/>
    </row>
    <row r="22562">
      <c r="N22562" s="28"/>
      <c r="O22562" s="28"/>
      <c r="U22562" s="28"/>
    </row>
    <row r="22563">
      <c r="N22563" s="28"/>
      <c r="O22563" s="28"/>
      <c r="U22563" s="28"/>
    </row>
    <row r="22564">
      <c r="N22564" s="28"/>
      <c r="O22564" s="28"/>
      <c r="U22564" s="28"/>
    </row>
    <row r="22565">
      <c r="N22565" s="28"/>
      <c r="O22565" s="28"/>
      <c r="U22565" s="28"/>
    </row>
    <row r="22566">
      <c r="N22566" s="28"/>
      <c r="O22566" s="28"/>
      <c r="U22566" s="28"/>
    </row>
    <row r="22567">
      <c r="N22567" s="28"/>
      <c r="O22567" s="28"/>
      <c r="U22567" s="28"/>
    </row>
    <row r="22568">
      <c r="N22568" s="28"/>
      <c r="O22568" s="28"/>
      <c r="U22568" s="28"/>
    </row>
    <row r="22569">
      <c r="N22569" s="28"/>
      <c r="O22569" s="28"/>
      <c r="U22569" s="28"/>
    </row>
    <row r="22570">
      <c r="N22570" s="28"/>
      <c r="O22570" s="28"/>
      <c r="U22570" s="28"/>
    </row>
    <row r="22571">
      <c r="N22571" s="28"/>
      <c r="O22571" s="28"/>
      <c r="U22571" s="28"/>
    </row>
    <row r="22572">
      <c r="N22572" s="28"/>
      <c r="O22572" s="28"/>
      <c r="U22572" s="28"/>
    </row>
    <row r="22573">
      <c r="N22573" s="28"/>
      <c r="O22573" s="28"/>
      <c r="U22573" s="28"/>
    </row>
    <row r="22574">
      <c r="N22574" s="28"/>
      <c r="O22574" s="28"/>
      <c r="U22574" s="28"/>
    </row>
    <row r="22575">
      <c r="N22575" s="28"/>
      <c r="O22575" s="28"/>
      <c r="U22575" s="28"/>
    </row>
    <row r="22576">
      <c r="N22576" s="28"/>
      <c r="O22576" s="28"/>
      <c r="U22576" s="28"/>
    </row>
    <row r="22577">
      <c r="N22577" s="28"/>
      <c r="O22577" s="28"/>
      <c r="U22577" s="28"/>
    </row>
    <row r="22578">
      <c r="N22578" s="28"/>
      <c r="O22578" s="28"/>
      <c r="U22578" s="28"/>
    </row>
    <row r="22579">
      <c r="N22579" s="28"/>
      <c r="O22579" s="28"/>
      <c r="U22579" s="28"/>
    </row>
    <row r="22580">
      <c r="N22580" s="28"/>
      <c r="O22580" s="28"/>
      <c r="U22580" s="28"/>
    </row>
    <row r="22581">
      <c r="N22581" s="28"/>
      <c r="O22581" s="28"/>
      <c r="U22581" s="28"/>
    </row>
    <row r="22582">
      <c r="N22582" s="28"/>
      <c r="O22582" s="28"/>
      <c r="U22582" s="28"/>
    </row>
    <row r="22583">
      <c r="N22583" s="28"/>
      <c r="O22583" s="28"/>
      <c r="U22583" s="28"/>
    </row>
    <row r="22584">
      <c r="N22584" s="28"/>
      <c r="O22584" s="28"/>
      <c r="U22584" s="28"/>
    </row>
    <row r="22585">
      <c r="N22585" s="28"/>
      <c r="O22585" s="28"/>
      <c r="U22585" s="28"/>
    </row>
    <row r="22586">
      <c r="N22586" s="28"/>
      <c r="O22586" s="28"/>
      <c r="U22586" s="28"/>
    </row>
    <row r="22587">
      <c r="N22587" s="28"/>
      <c r="O22587" s="28"/>
      <c r="U22587" s="28"/>
    </row>
    <row r="22588">
      <c r="N22588" s="28"/>
      <c r="O22588" s="28"/>
      <c r="U22588" s="28"/>
    </row>
    <row r="22589">
      <c r="N22589" s="28"/>
      <c r="O22589" s="28"/>
      <c r="U22589" s="28"/>
    </row>
    <row r="22590">
      <c r="N22590" s="28"/>
      <c r="O22590" s="28"/>
      <c r="U22590" s="28"/>
    </row>
    <row r="22591">
      <c r="N22591" s="28"/>
      <c r="O22591" s="28"/>
      <c r="U22591" s="28"/>
    </row>
    <row r="22592">
      <c r="N22592" s="28"/>
      <c r="O22592" s="28"/>
      <c r="U22592" s="28"/>
    </row>
    <row r="22593">
      <c r="N22593" s="28"/>
      <c r="O22593" s="28"/>
      <c r="U22593" s="28"/>
    </row>
    <row r="22594">
      <c r="N22594" s="28"/>
      <c r="O22594" s="28"/>
      <c r="U22594" s="28"/>
    </row>
    <row r="22595">
      <c r="N22595" s="28"/>
      <c r="O22595" s="28"/>
      <c r="U22595" s="28"/>
    </row>
    <row r="22596">
      <c r="N22596" s="28"/>
      <c r="O22596" s="28"/>
      <c r="U22596" s="28"/>
    </row>
    <row r="22597">
      <c r="N22597" s="28"/>
      <c r="O22597" s="28"/>
      <c r="U22597" s="28"/>
    </row>
    <row r="22598">
      <c r="N22598" s="28"/>
      <c r="O22598" s="28"/>
      <c r="U22598" s="28"/>
    </row>
    <row r="22599">
      <c r="N22599" s="28"/>
      <c r="O22599" s="28"/>
      <c r="U22599" s="28"/>
    </row>
    <row r="22600">
      <c r="N22600" s="28"/>
      <c r="O22600" s="28"/>
      <c r="U22600" s="28"/>
    </row>
    <row r="22601">
      <c r="N22601" s="28"/>
      <c r="O22601" s="28"/>
      <c r="U22601" s="28"/>
    </row>
    <row r="22602">
      <c r="N22602" s="28"/>
      <c r="O22602" s="28"/>
      <c r="U22602" s="28"/>
    </row>
    <row r="22603">
      <c r="N22603" s="28"/>
      <c r="O22603" s="28"/>
      <c r="U22603" s="28"/>
    </row>
    <row r="22604">
      <c r="N22604" s="28"/>
      <c r="O22604" s="28"/>
      <c r="U22604" s="28"/>
    </row>
    <row r="22605">
      <c r="N22605" s="28"/>
      <c r="O22605" s="28"/>
      <c r="U22605" s="28"/>
    </row>
    <row r="22606">
      <c r="N22606" s="28"/>
      <c r="O22606" s="28"/>
      <c r="U22606" s="28"/>
    </row>
    <row r="22607">
      <c r="N22607" s="28"/>
      <c r="O22607" s="28"/>
      <c r="U22607" s="28"/>
    </row>
    <row r="22608">
      <c r="N22608" s="28"/>
      <c r="O22608" s="28"/>
      <c r="U22608" s="28"/>
    </row>
    <row r="22609">
      <c r="N22609" s="28"/>
      <c r="O22609" s="28"/>
      <c r="U22609" s="28"/>
    </row>
    <row r="22610">
      <c r="N22610" s="28"/>
      <c r="O22610" s="28"/>
      <c r="U22610" s="28"/>
    </row>
    <row r="22611">
      <c r="N22611" s="28"/>
      <c r="O22611" s="28"/>
      <c r="U22611" s="28"/>
    </row>
    <row r="22612">
      <c r="N22612" s="28"/>
      <c r="O22612" s="28"/>
      <c r="U22612" s="28"/>
    </row>
    <row r="22613">
      <c r="N22613" s="28"/>
      <c r="O22613" s="28"/>
      <c r="U22613" s="28"/>
    </row>
    <row r="22614">
      <c r="N22614" s="28"/>
      <c r="O22614" s="28"/>
      <c r="U22614" s="28"/>
    </row>
    <row r="22615">
      <c r="N22615" s="28"/>
      <c r="O22615" s="28"/>
      <c r="U22615" s="28"/>
    </row>
    <row r="22616">
      <c r="N22616" s="28"/>
      <c r="O22616" s="28"/>
      <c r="U22616" s="28"/>
    </row>
    <row r="22617">
      <c r="N22617" s="28"/>
      <c r="O22617" s="28"/>
      <c r="U22617" s="28"/>
    </row>
    <row r="22618">
      <c r="N22618" s="28"/>
      <c r="O22618" s="28"/>
      <c r="U22618" s="28"/>
    </row>
    <row r="22619">
      <c r="N22619" s="28"/>
      <c r="O22619" s="28"/>
      <c r="U22619" s="28"/>
    </row>
    <row r="22620">
      <c r="N22620" s="28"/>
      <c r="O22620" s="28"/>
      <c r="U22620" s="28"/>
    </row>
    <row r="22621">
      <c r="N22621" s="28"/>
      <c r="O22621" s="28"/>
      <c r="U22621" s="28"/>
    </row>
    <row r="22622">
      <c r="N22622" s="28"/>
      <c r="O22622" s="28"/>
      <c r="U22622" s="28"/>
    </row>
    <row r="22623">
      <c r="N22623" s="28"/>
      <c r="O22623" s="28"/>
      <c r="U22623" s="28"/>
    </row>
    <row r="22624">
      <c r="N22624" s="28"/>
      <c r="O22624" s="28"/>
      <c r="U22624" s="28"/>
    </row>
    <row r="22625">
      <c r="N22625" s="28"/>
      <c r="O22625" s="28"/>
      <c r="U22625" s="28"/>
    </row>
    <row r="22626">
      <c r="N22626" s="28"/>
      <c r="O22626" s="28"/>
      <c r="U22626" s="28"/>
    </row>
    <row r="22627">
      <c r="N22627" s="28"/>
      <c r="O22627" s="28"/>
      <c r="U22627" s="28"/>
    </row>
    <row r="22628">
      <c r="N22628" s="28"/>
      <c r="O22628" s="28"/>
      <c r="U22628" s="28"/>
    </row>
    <row r="22629">
      <c r="N22629" s="28"/>
      <c r="O22629" s="28"/>
      <c r="U22629" s="28"/>
    </row>
    <row r="22630">
      <c r="N22630" s="28"/>
      <c r="O22630" s="28"/>
      <c r="U22630" s="28"/>
    </row>
    <row r="22631">
      <c r="N22631" s="28"/>
      <c r="O22631" s="28"/>
      <c r="U22631" s="28"/>
    </row>
    <row r="22632">
      <c r="N22632" s="28"/>
      <c r="O22632" s="28"/>
      <c r="U22632" s="28"/>
    </row>
    <row r="22633">
      <c r="N22633" s="28"/>
      <c r="O22633" s="28"/>
      <c r="U22633" s="28"/>
    </row>
    <row r="22634">
      <c r="N22634" s="28"/>
      <c r="O22634" s="28"/>
      <c r="U22634" s="28"/>
    </row>
    <row r="22635">
      <c r="N22635" s="28"/>
      <c r="O22635" s="28"/>
      <c r="U22635" s="28"/>
    </row>
    <row r="22636">
      <c r="N22636" s="28"/>
      <c r="O22636" s="28"/>
      <c r="U22636" s="28"/>
    </row>
    <row r="22637">
      <c r="N22637" s="28"/>
      <c r="O22637" s="28"/>
      <c r="U22637" s="28"/>
    </row>
    <row r="22638">
      <c r="N22638" s="28"/>
      <c r="O22638" s="28"/>
      <c r="U22638" s="28"/>
    </row>
    <row r="22639">
      <c r="N22639" s="28"/>
      <c r="O22639" s="28"/>
      <c r="U22639" s="28"/>
    </row>
    <row r="22640">
      <c r="N22640" s="28"/>
      <c r="O22640" s="28"/>
      <c r="U22640" s="28"/>
    </row>
    <row r="22641">
      <c r="N22641" s="28"/>
      <c r="O22641" s="28"/>
      <c r="U22641" s="28"/>
    </row>
    <row r="22642">
      <c r="N22642" s="28"/>
      <c r="O22642" s="28"/>
      <c r="U22642" s="28"/>
    </row>
    <row r="22643">
      <c r="N22643" s="28"/>
      <c r="O22643" s="28"/>
      <c r="U22643" s="28"/>
    </row>
    <row r="22644">
      <c r="N22644" s="28"/>
      <c r="O22644" s="28"/>
      <c r="U22644" s="28"/>
    </row>
    <row r="22645">
      <c r="N22645" s="28"/>
      <c r="O22645" s="28"/>
      <c r="U22645" s="28"/>
    </row>
    <row r="22646">
      <c r="N22646" s="28"/>
      <c r="O22646" s="28"/>
      <c r="U22646" s="28"/>
    </row>
    <row r="22647">
      <c r="N22647" s="28"/>
      <c r="O22647" s="28"/>
      <c r="U22647" s="28"/>
    </row>
    <row r="22648">
      <c r="N22648" s="28"/>
      <c r="O22648" s="28"/>
      <c r="U22648" s="28"/>
    </row>
    <row r="22649">
      <c r="N22649" s="28"/>
      <c r="O22649" s="28"/>
      <c r="U22649" s="28"/>
    </row>
    <row r="22650">
      <c r="N22650" s="28"/>
      <c r="O22650" s="28"/>
      <c r="U22650" s="28"/>
    </row>
    <row r="22651">
      <c r="N22651" s="28"/>
      <c r="O22651" s="28"/>
      <c r="U22651" s="28"/>
    </row>
    <row r="22652">
      <c r="N22652" s="28"/>
      <c r="O22652" s="28"/>
      <c r="U22652" s="28"/>
    </row>
    <row r="22653">
      <c r="N22653" s="28"/>
      <c r="O22653" s="28"/>
      <c r="U22653" s="28"/>
    </row>
    <row r="22654">
      <c r="N22654" s="28"/>
      <c r="O22654" s="28"/>
      <c r="U22654" s="28"/>
    </row>
    <row r="22655">
      <c r="N22655" s="28"/>
      <c r="O22655" s="28"/>
      <c r="U22655" s="28"/>
    </row>
    <row r="22656">
      <c r="N22656" s="28"/>
      <c r="O22656" s="28"/>
      <c r="U22656" s="28"/>
    </row>
    <row r="22657">
      <c r="N22657" s="28"/>
      <c r="O22657" s="28"/>
      <c r="U22657" s="28"/>
    </row>
    <row r="22658">
      <c r="N22658" s="28"/>
      <c r="O22658" s="28"/>
      <c r="U22658" s="28"/>
    </row>
    <row r="22659">
      <c r="N22659" s="28"/>
      <c r="O22659" s="28"/>
      <c r="U22659" s="28"/>
    </row>
    <row r="22660">
      <c r="N22660" s="28"/>
      <c r="O22660" s="28"/>
      <c r="U22660" s="28"/>
    </row>
    <row r="22661">
      <c r="N22661" s="28"/>
      <c r="O22661" s="28"/>
      <c r="U22661" s="28"/>
    </row>
    <row r="22662">
      <c r="N22662" s="28"/>
      <c r="O22662" s="28"/>
      <c r="U22662" s="28"/>
    </row>
    <row r="22663">
      <c r="N22663" s="28"/>
      <c r="O22663" s="28"/>
      <c r="U22663" s="28"/>
    </row>
    <row r="22664">
      <c r="N22664" s="28"/>
      <c r="O22664" s="28"/>
      <c r="U22664" s="28"/>
    </row>
    <row r="22665">
      <c r="N22665" s="28"/>
      <c r="O22665" s="28"/>
      <c r="U22665" s="28"/>
    </row>
    <row r="22666">
      <c r="N22666" s="28"/>
      <c r="O22666" s="28"/>
      <c r="U22666" s="28"/>
    </row>
    <row r="22667">
      <c r="N22667" s="28"/>
      <c r="O22667" s="28"/>
      <c r="U22667" s="28"/>
    </row>
    <row r="22668">
      <c r="N22668" s="28"/>
      <c r="O22668" s="28"/>
      <c r="U22668" s="28"/>
    </row>
    <row r="22669">
      <c r="N22669" s="28"/>
      <c r="O22669" s="28"/>
      <c r="U22669" s="28"/>
    </row>
    <row r="22670">
      <c r="N22670" s="28"/>
      <c r="O22670" s="28"/>
      <c r="U22670" s="28"/>
    </row>
    <row r="22671">
      <c r="N22671" s="28"/>
      <c r="O22671" s="28"/>
      <c r="U22671" s="28"/>
    </row>
    <row r="22672">
      <c r="N22672" s="28"/>
      <c r="O22672" s="28"/>
      <c r="U22672" s="28"/>
    </row>
    <row r="22673">
      <c r="N22673" s="28"/>
      <c r="O22673" s="28"/>
      <c r="U22673" s="28"/>
    </row>
    <row r="22674">
      <c r="N22674" s="28"/>
      <c r="O22674" s="28"/>
      <c r="U22674" s="28"/>
    </row>
    <row r="22675">
      <c r="N22675" s="28"/>
      <c r="O22675" s="28"/>
      <c r="U22675" s="28"/>
    </row>
    <row r="22676">
      <c r="N22676" s="28"/>
      <c r="O22676" s="28"/>
      <c r="U22676" s="28"/>
    </row>
    <row r="22677">
      <c r="N22677" s="28"/>
      <c r="O22677" s="28"/>
      <c r="U22677" s="28"/>
    </row>
    <row r="22678">
      <c r="N22678" s="28"/>
      <c r="O22678" s="28"/>
      <c r="U22678" s="28"/>
    </row>
    <row r="22679">
      <c r="N22679" s="28"/>
      <c r="O22679" s="28"/>
      <c r="U22679" s="28"/>
    </row>
    <row r="22680">
      <c r="N22680" s="28"/>
      <c r="O22680" s="28"/>
      <c r="U22680" s="28"/>
    </row>
    <row r="22681">
      <c r="N22681" s="28"/>
      <c r="O22681" s="28"/>
      <c r="U22681" s="28"/>
    </row>
    <row r="22682">
      <c r="N22682" s="28"/>
      <c r="O22682" s="28"/>
      <c r="U22682" s="28"/>
    </row>
    <row r="22683">
      <c r="N22683" s="28"/>
      <c r="O22683" s="28"/>
      <c r="U22683" s="28"/>
    </row>
    <row r="22684">
      <c r="N22684" s="28"/>
      <c r="O22684" s="28"/>
      <c r="U22684" s="28"/>
    </row>
    <row r="22685">
      <c r="N22685" s="28"/>
      <c r="O22685" s="28"/>
      <c r="U22685" s="28"/>
    </row>
    <row r="22686">
      <c r="N22686" s="28"/>
      <c r="O22686" s="28"/>
      <c r="U22686" s="28"/>
    </row>
    <row r="22687">
      <c r="N22687" s="28"/>
      <c r="O22687" s="28"/>
      <c r="U22687" s="28"/>
    </row>
    <row r="22688">
      <c r="N22688" s="28"/>
      <c r="O22688" s="28"/>
      <c r="U22688" s="28"/>
    </row>
    <row r="22689">
      <c r="N22689" s="28"/>
      <c r="O22689" s="28"/>
      <c r="U22689" s="28"/>
    </row>
    <row r="22690">
      <c r="N22690" s="28"/>
      <c r="O22690" s="28"/>
      <c r="U22690" s="28"/>
    </row>
    <row r="22691">
      <c r="N22691" s="28"/>
      <c r="O22691" s="28"/>
      <c r="U22691" s="28"/>
    </row>
    <row r="22692">
      <c r="N22692" s="28"/>
      <c r="O22692" s="28"/>
      <c r="U22692" s="28"/>
    </row>
    <row r="22693">
      <c r="N22693" s="28"/>
      <c r="O22693" s="28"/>
      <c r="U22693" s="28"/>
    </row>
    <row r="22694">
      <c r="N22694" s="28"/>
      <c r="O22694" s="28"/>
      <c r="U22694" s="28"/>
    </row>
    <row r="22695">
      <c r="N22695" s="28"/>
      <c r="O22695" s="28"/>
      <c r="U22695" s="28"/>
    </row>
    <row r="22696">
      <c r="N22696" s="28"/>
      <c r="O22696" s="28"/>
      <c r="U22696" s="28"/>
    </row>
    <row r="22697">
      <c r="N22697" s="28"/>
      <c r="O22697" s="28"/>
      <c r="U22697" s="28"/>
    </row>
    <row r="22698">
      <c r="N22698" s="28"/>
      <c r="O22698" s="28"/>
      <c r="U22698" s="28"/>
    </row>
    <row r="22699">
      <c r="N22699" s="28"/>
      <c r="O22699" s="28"/>
      <c r="U22699" s="28"/>
    </row>
    <row r="22700">
      <c r="N22700" s="28"/>
      <c r="O22700" s="28"/>
      <c r="U22700" s="28"/>
    </row>
    <row r="22701">
      <c r="N22701" s="28"/>
      <c r="O22701" s="28"/>
      <c r="U22701" s="28"/>
    </row>
    <row r="22702">
      <c r="N22702" s="28"/>
      <c r="O22702" s="28"/>
      <c r="U22702" s="28"/>
    </row>
    <row r="22703">
      <c r="N22703" s="28"/>
      <c r="O22703" s="28"/>
      <c r="U22703" s="28"/>
    </row>
    <row r="22704">
      <c r="N22704" s="28"/>
      <c r="O22704" s="28"/>
      <c r="U22704" s="28"/>
    </row>
    <row r="22705">
      <c r="N22705" s="28"/>
      <c r="O22705" s="28"/>
      <c r="U22705" s="28"/>
    </row>
    <row r="22706">
      <c r="N22706" s="28"/>
      <c r="O22706" s="28"/>
      <c r="U22706" s="28"/>
    </row>
    <row r="22707">
      <c r="N22707" s="28"/>
      <c r="O22707" s="28"/>
      <c r="U22707" s="28"/>
    </row>
    <row r="22708">
      <c r="N22708" s="28"/>
      <c r="O22708" s="28"/>
      <c r="U22708" s="28"/>
    </row>
    <row r="22709">
      <c r="N22709" s="28"/>
      <c r="O22709" s="28"/>
      <c r="U22709" s="28"/>
    </row>
    <row r="22710">
      <c r="N22710" s="28"/>
      <c r="O22710" s="28"/>
      <c r="U22710" s="28"/>
    </row>
    <row r="22711">
      <c r="N22711" s="28"/>
      <c r="O22711" s="28"/>
      <c r="U22711" s="28"/>
    </row>
    <row r="22712">
      <c r="N22712" s="28"/>
      <c r="O22712" s="28"/>
      <c r="U22712" s="28"/>
    </row>
    <row r="22713">
      <c r="N22713" s="28"/>
      <c r="O22713" s="28"/>
      <c r="U22713" s="28"/>
    </row>
    <row r="22714">
      <c r="N22714" s="28"/>
      <c r="O22714" s="28"/>
      <c r="U22714" s="28"/>
    </row>
    <row r="22715">
      <c r="N22715" s="28"/>
      <c r="O22715" s="28"/>
      <c r="U22715" s="28"/>
    </row>
    <row r="22716">
      <c r="N22716" s="28"/>
      <c r="O22716" s="28"/>
      <c r="U22716" s="28"/>
    </row>
    <row r="22717">
      <c r="N22717" s="28"/>
      <c r="O22717" s="28"/>
      <c r="U22717" s="28"/>
    </row>
    <row r="22718">
      <c r="N22718" s="28"/>
      <c r="O22718" s="28"/>
      <c r="U22718" s="28"/>
    </row>
    <row r="22719">
      <c r="N22719" s="28"/>
      <c r="O22719" s="28"/>
      <c r="U22719" s="28"/>
    </row>
    <row r="22720">
      <c r="N22720" s="28"/>
      <c r="O22720" s="28"/>
      <c r="U22720" s="28"/>
    </row>
    <row r="22721">
      <c r="N22721" s="28"/>
      <c r="O22721" s="28"/>
      <c r="U22721" s="28"/>
    </row>
    <row r="22722">
      <c r="N22722" s="28"/>
      <c r="O22722" s="28"/>
      <c r="U22722" s="28"/>
    </row>
    <row r="22723">
      <c r="N22723" s="28"/>
      <c r="O22723" s="28"/>
      <c r="U22723" s="28"/>
    </row>
    <row r="22724">
      <c r="N22724" s="28"/>
      <c r="O22724" s="28"/>
      <c r="U22724" s="28"/>
    </row>
    <row r="22725">
      <c r="N22725" s="28"/>
      <c r="O22725" s="28"/>
      <c r="U22725" s="28"/>
    </row>
    <row r="22726">
      <c r="N22726" s="28"/>
      <c r="O22726" s="28"/>
      <c r="U22726" s="28"/>
    </row>
    <row r="22727">
      <c r="N22727" s="28"/>
      <c r="O22727" s="28"/>
      <c r="U22727" s="28"/>
    </row>
    <row r="22728">
      <c r="N22728" s="28"/>
      <c r="O22728" s="28"/>
      <c r="U22728" s="28"/>
    </row>
    <row r="22729">
      <c r="N22729" s="28"/>
      <c r="O22729" s="28"/>
      <c r="U22729" s="28"/>
    </row>
    <row r="22730">
      <c r="N22730" s="28"/>
      <c r="O22730" s="28"/>
      <c r="U22730" s="28"/>
    </row>
    <row r="22731">
      <c r="N22731" s="28"/>
      <c r="O22731" s="28"/>
      <c r="U22731" s="28"/>
    </row>
    <row r="22732">
      <c r="N22732" s="28"/>
      <c r="O22732" s="28"/>
      <c r="U22732" s="28"/>
    </row>
    <row r="22733">
      <c r="N22733" s="28"/>
      <c r="O22733" s="28"/>
      <c r="U22733" s="28"/>
    </row>
    <row r="22734">
      <c r="N22734" s="28"/>
      <c r="O22734" s="28"/>
      <c r="U22734" s="28"/>
    </row>
    <row r="22735">
      <c r="N22735" s="28"/>
      <c r="O22735" s="28"/>
      <c r="U22735" s="28"/>
    </row>
    <row r="22736">
      <c r="N22736" s="28"/>
      <c r="O22736" s="28"/>
      <c r="U22736" s="28"/>
    </row>
    <row r="22737">
      <c r="N22737" s="28"/>
      <c r="O22737" s="28"/>
      <c r="U22737" s="28"/>
    </row>
    <row r="22738">
      <c r="N22738" s="28"/>
      <c r="O22738" s="28"/>
      <c r="U22738" s="28"/>
    </row>
    <row r="22739">
      <c r="N22739" s="28"/>
      <c r="O22739" s="28"/>
      <c r="U22739" s="28"/>
    </row>
    <row r="22740">
      <c r="N22740" s="28"/>
      <c r="O22740" s="28"/>
      <c r="U22740" s="28"/>
    </row>
    <row r="22741">
      <c r="N22741" s="28"/>
      <c r="O22741" s="28"/>
      <c r="U22741" s="28"/>
    </row>
    <row r="22742">
      <c r="N22742" s="28"/>
      <c r="O22742" s="28"/>
      <c r="U22742" s="28"/>
    </row>
    <row r="22743">
      <c r="N22743" s="28"/>
      <c r="O22743" s="28"/>
      <c r="U22743" s="28"/>
    </row>
    <row r="22744">
      <c r="N22744" s="28"/>
      <c r="O22744" s="28"/>
      <c r="U22744" s="28"/>
    </row>
    <row r="22745">
      <c r="N22745" s="28"/>
      <c r="O22745" s="28"/>
      <c r="U22745" s="28"/>
    </row>
    <row r="22746">
      <c r="N22746" s="28"/>
      <c r="O22746" s="28"/>
      <c r="U22746" s="28"/>
    </row>
    <row r="22747">
      <c r="N22747" s="28"/>
      <c r="O22747" s="28"/>
      <c r="U22747" s="28"/>
    </row>
    <row r="22748">
      <c r="N22748" s="28"/>
      <c r="O22748" s="28"/>
      <c r="U22748" s="28"/>
    </row>
    <row r="22749">
      <c r="N22749" s="28"/>
      <c r="O22749" s="28"/>
      <c r="U22749" s="28"/>
    </row>
    <row r="22750">
      <c r="N22750" s="28"/>
      <c r="O22750" s="28"/>
      <c r="U22750" s="28"/>
    </row>
    <row r="22751">
      <c r="N22751" s="28"/>
      <c r="O22751" s="28"/>
      <c r="U22751" s="28"/>
    </row>
    <row r="22752">
      <c r="N22752" s="28"/>
      <c r="O22752" s="28"/>
      <c r="U22752" s="28"/>
    </row>
    <row r="22753">
      <c r="N22753" s="28"/>
      <c r="O22753" s="28"/>
      <c r="U22753" s="28"/>
    </row>
    <row r="22754">
      <c r="N22754" s="28"/>
      <c r="O22754" s="28"/>
      <c r="U22754" s="28"/>
    </row>
    <row r="22755">
      <c r="N22755" s="28"/>
      <c r="O22755" s="28"/>
      <c r="U22755" s="28"/>
    </row>
    <row r="22756">
      <c r="N22756" s="28"/>
      <c r="O22756" s="28"/>
      <c r="U22756" s="28"/>
    </row>
    <row r="22757">
      <c r="N22757" s="28"/>
      <c r="O22757" s="28"/>
      <c r="U22757" s="28"/>
    </row>
    <row r="22758">
      <c r="N22758" s="28"/>
      <c r="O22758" s="28"/>
      <c r="U22758" s="28"/>
    </row>
    <row r="22759">
      <c r="N22759" s="28"/>
      <c r="O22759" s="28"/>
      <c r="U22759" s="28"/>
    </row>
    <row r="22760">
      <c r="N22760" s="28"/>
      <c r="O22760" s="28"/>
      <c r="U22760" s="28"/>
    </row>
    <row r="22761">
      <c r="N22761" s="28"/>
      <c r="O22761" s="28"/>
      <c r="U22761" s="28"/>
    </row>
    <row r="22762">
      <c r="N22762" s="28"/>
      <c r="O22762" s="28"/>
      <c r="U22762" s="28"/>
    </row>
    <row r="22763">
      <c r="N22763" s="28"/>
      <c r="O22763" s="28"/>
      <c r="U22763" s="28"/>
    </row>
    <row r="22764">
      <c r="N22764" s="28"/>
      <c r="O22764" s="28"/>
      <c r="U22764" s="28"/>
    </row>
    <row r="22765">
      <c r="N22765" s="28"/>
      <c r="O22765" s="28"/>
      <c r="U22765" s="28"/>
    </row>
    <row r="22766">
      <c r="N22766" s="28"/>
      <c r="O22766" s="28"/>
      <c r="U22766" s="28"/>
    </row>
    <row r="22767">
      <c r="N22767" s="28"/>
      <c r="O22767" s="28"/>
      <c r="U22767" s="28"/>
    </row>
    <row r="22768">
      <c r="N22768" s="28"/>
      <c r="O22768" s="28"/>
      <c r="U22768" s="28"/>
    </row>
    <row r="22769">
      <c r="N22769" s="28"/>
      <c r="O22769" s="28"/>
      <c r="U22769" s="28"/>
    </row>
    <row r="22770">
      <c r="N22770" s="28"/>
      <c r="O22770" s="28"/>
      <c r="U22770" s="28"/>
    </row>
    <row r="22771">
      <c r="N22771" s="28"/>
      <c r="O22771" s="28"/>
      <c r="U22771" s="28"/>
    </row>
    <row r="22772">
      <c r="N22772" s="28"/>
      <c r="O22772" s="28"/>
      <c r="U22772" s="28"/>
    </row>
    <row r="22773">
      <c r="N22773" s="28"/>
      <c r="O22773" s="28"/>
      <c r="U22773" s="28"/>
    </row>
    <row r="22774">
      <c r="N22774" s="28"/>
      <c r="O22774" s="28"/>
      <c r="U22774" s="28"/>
    </row>
    <row r="22775">
      <c r="N22775" s="28"/>
      <c r="O22775" s="28"/>
      <c r="U22775" s="28"/>
    </row>
    <row r="22776">
      <c r="N22776" s="28"/>
      <c r="O22776" s="28"/>
      <c r="U22776" s="28"/>
    </row>
    <row r="22777">
      <c r="N22777" s="28"/>
      <c r="O22777" s="28"/>
      <c r="U22777" s="28"/>
    </row>
    <row r="22778">
      <c r="N22778" s="28"/>
      <c r="O22778" s="28"/>
      <c r="U22778" s="28"/>
    </row>
    <row r="22779">
      <c r="N22779" s="28"/>
      <c r="O22779" s="28"/>
      <c r="U22779" s="28"/>
    </row>
    <row r="22780">
      <c r="N22780" s="28"/>
      <c r="O22780" s="28"/>
      <c r="U22780" s="28"/>
    </row>
    <row r="22781">
      <c r="N22781" s="28"/>
      <c r="O22781" s="28"/>
      <c r="U22781" s="28"/>
    </row>
    <row r="22782">
      <c r="N22782" s="28"/>
      <c r="O22782" s="28"/>
      <c r="U22782" s="28"/>
    </row>
    <row r="22783">
      <c r="N22783" s="28"/>
      <c r="O22783" s="28"/>
      <c r="U22783" s="28"/>
    </row>
    <row r="22784">
      <c r="N22784" s="28"/>
      <c r="O22784" s="28"/>
      <c r="U22784" s="28"/>
    </row>
    <row r="22785">
      <c r="N22785" s="28"/>
      <c r="O22785" s="28"/>
      <c r="U22785" s="28"/>
    </row>
    <row r="22786">
      <c r="N22786" s="28"/>
      <c r="O22786" s="28"/>
      <c r="U22786" s="28"/>
    </row>
    <row r="22787">
      <c r="N22787" s="28"/>
      <c r="O22787" s="28"/>
      <c r="U22787" s="28"/>
    </row>
    <row r="22788">
      <c r="N22788" s="28"/>
      <c r="O22788" s="28"/>
      <c r="U22788" s="28"/>
    </row>
    <row r="22789">
      <c r="N22789" s="28"/>
      <c r="O22789" s="28"/>
      <c r="U22789" s="28"/>
    </row>
    <row r="22790">
      <c r="N22790" s="28"/>
      <c r="O22790" s="28"/>
      <c r="U22790" s="28"/>
    </row>
    <row r="22791">
      <c r="N22791" s="28"/>
      <c r="O22791" s="28"/>
      <c r="U22791" s="28"/>
    </row>
    <row r="22792">
      <c r="N22792" s="28"/>
      <c r="O22792" s="28"/>
      <c r="U22792" s="28"/>
    </row>
    <row r="22793">
      <c r="N22793" s="28"/>
      <c r="O22793" s="28"/>
      <c r="U22793" s="28"/>
    </row>
    <row r="22794">
      <c r="N22794" s="28"/>
      <c r="O22794" s="28"/>
      <c r="U22794" s="28"/>
    </row>
    <row r="22795">
      <c r="N22795" s="28"/>
      <c r="O22795" s="28"/>
      <c r="U22795" s="28"/>
    </row>
    <row r="22796">
      <c r="N22796" s="28"/>
      <c r="O22796" s="28"/>
      <c r="U22796" s="28"/>
    </row>
    <row r="22797">
      <c r="N22797" s="28"/>
      <c r="O22797" s="28"/>
      <c r="U22797" s="28"/>
    </row>
    <row r="22798">
      <c r="N22798" s="28"/>
      <c r="O22798" s="28"/>
      <c r="U22798" s="28"/>
    </row>
    <row r="22799">
      <c r="N22799" s="28"/>
      <c r="O22799" s="28"/>
      <c r="U22799" s="28"/>
    </row>
    <row r="22800">
      <c r="N22800" s="28"/>
      <c r="O22800" s="28"/>
      <c r="U22800" s="28"/>
    </row>
    <row r="22801">
      <c r="N22801" s="28"/>
      <c r="O22801" s="28"/>
      <c r="U22801" s="28"/>
    </row>
    <row r="22802">
      <c r="N22802" s="28"/>
      <c r="O22802" s="28"/>
      <c r="U22802" s="28"/>
    </row>
    <row r="22803">
      <c r="N22803" s="28"/>
      <c r="O22803" s="28"/>
      <c r="U22803" s="28"/>
    </row>
    <row r="22804">
      <c r="N22804" s="28"/>
      <c r="O22804" s="28"/>
      <c r="U22804" s="28"/>
    </row>
    <row r="22805">
      <c r="N22805" s="28"/>
      <c r="O22805" s="28"/>
      <c r="U22805" s="28"/>
    </row>
    <row r="22806">
      <c r="N22806" s="28"/>
      <c r="O22806" s="28"/>
      <c r="U22806" s="28"/>
    </row>
    <row r="22807">
      <c r="N22807" s="28"/>
      <c r="O22807" s="28"/>
      <c r="U22807" s="28"/>
    </row>
    <row r="22808">
      <c r="N22808" s="28"/>
      <c r="O22808" s="28"/>
      <c r="U22808" s="28"/>
    </row>
    <row r="22809">
      <c r="N22809" s="28"/>
      <c r="O22809" s="28"/>
      <c r="U22809" s="28"/>
    </row>
    <row r="22810">
      <c r="N22810" s="28"/>
      <c r="O22810" s="28"/>
      <c r="U22810" s="28"/>
    </row>
    <row r="22811">
      <c r="N22811" s="28"/>
      <c r="O22811" s="28"/>
      <c r="U22811" s="28"/>
    </row>
    <row r="22812">
      <c r="N22812" s="28"/>
      <c r="O22812" s="28"/>
      <c r="U22812" s="28"/>
    </row>
    <row r="22813">
      <c r="N22813" s="28"/>
      <c r="O22813" s="28"/>
      <c r="U22813" s="28"/>
    </row>
    <row r="22814">
      <c r="N22814" s="28"/>
      <c r="O22814" s="28"/>
      <c r="U22814" s="28"/>
    </row>
    <row r="22815">
      <c r="N22815" s="28"/>
      <c r="O22815" s="28"/>
      <c r="U22815" s="28"/>
    </row>
    <row r="22816">
      <c r="N22816" s="28"/>
      <c r="O22816" s="28"/>
      <c r="U22816" s="28"/>
    </row>
    <row r="22817">
      <c r="N22817" s="28"/>
      <c r="O22817" s="28"/>
      <c r="U22817" s="28"/>
    </row>
    <row r="22818">
      <c r="N22818" s="28"/>
      <c r="O22818" s="28"/>
      <c r="U22818" s="28"/>
    </row>
    <row r="22819">
      <c r="N22819" s="28"/>
      <c r="O22819" s="28"/>
      <c r="U22819" s="28"/>
    </row>
    <row r="22820">
      <c r="N22820" s="28"/>
      <c r="O22820" s="28"/>
      <c r="U22820" s="28"/>
    </row>
    <row r="22821">
      <c r="N22821" s="28"/>
      <c r="O22821" s="28"/>
      <c r="U22821" s="28"/>
    </row>
    <row r="22822">
      <c r="N22822" s="28"/>
      <c r="O22822" s="28"/>
      <c r="U22822" s="28"/>
    </row>
    <row r="22823">
      <c r="N22823" s="28"/>
      <c r="O22823" s="28"/>
      <c r="U22823" s="28"/>
    </row>
    <row r="22824">
      <c r="N22824" s="28"/>
      <c r="O22824" s="28"/>
      <c r="U22824" s="28"/>
    </row>
    <row r="22825">
      <c r="N22825" s="28"/>
      <c r="O22825" s="28"/>
      <c r="U22825" s="28"/>
    </row>
    <row r="22826">
      <c r="N22826" s="28"/>
      <c r="O22826" s="28"/>
      <c r="U22826" s="28"/>
    </row>
    <row r="22827">
      <c r="N22827" s="28"/>
      <c r="O22827" s="28"/>
      <c r="U22827" s="28"/>
    </row>
    <row r="22828">
      <c r="N22828" s="28"/>
      <c r="O22828" s="28"/>
      <c r="U22828" s="28"/>
    </row>
    <row r="22829">
      <c r="N22829" s="28"/>
      <c r="O22829" s="28"/>
      <c r="U22829" s="28"/>
    </row>
    <row r="22830">
      <c r="N22830" s="28"/>
      <c r="O22830" s="28"/>
      <c r="U22830" s="28"/>
    </row>
    <row r="22831">
      <c r="N22831" s="28"/>
      <c r="O22831" s="28"/>
      <c r="U22831" s="28"/>
    </row>
    <row r="22832">
      <c r="N22832" s="28"/>
      <c r="O22832" s="28"/>
      <c r="U22832" s="28"/>
    </row>
    <row r="22833">
      <c r="N22833" s="28"/>
      <c r="O22833" s="28"/>
      <c r="U22833" s="28"/>
    </row>
    <row r="22834">
      <c r="N22834" s="28"/>
      <c r="O22834" s="28"/>
      <c r="U22834" s="28"/>
    </row>
    <row r="22835">
      <c r="N22835" s="28"/>
      <c r="O22835" s="28"/>
      <c r="U22835" s="28"/>
    </row>
    <row r="22836">
      <c r="N22836" s="28"/>
      <c r="O22836" s="28"/>
      <c r="U22836" s="28"/>
    </row>
    <row r="22837">
      <c r="N22837" s="28"/>
      <c r="O22837" s="28"/>
      <c r="U22837" s="28"/>
    </row>
    <row r="22838">
      <c r="N22838" s="28"/>
      <c r="O22838" s="28"/>
      <c r="U22838" s="28"/>
    </row>
    <row r="22839">
      <c r="N22839" s="28"/>
      <c r="O22839" s="28"/>
      <c r="U22839" s="28"/>
    </row>
    <row r="22840">
      <c r="N22840" s="28"/>
      <c r="O22840" s="28"/>
      <c r="U22840" s="28"/>
    </row>
    <row r="22841">
      <c r="N22841" s="28"/>
      <c r="O22841" s="28"/>
      <c r="U22841" s="28"/>
    </row>
    <row r="22842">
      <c r="N22842" s="28"/>
      <c r="O22842" s="28"/>
      <c r="U22842" s="28"/>
    </row>
    <row r="22843">
      <c r="N22843" s="28"/>
      <c r="O22843" s="28"/>
      <c r="U22843" s="28"/>
    </row>
    <row r="22844">
      <c r="N22844" s="28"/>
      <c r="O22844" s="28"/>
      <c r="U22844" s="28"/>
    </row>
    <row r="22845">
      <c r="N22845" s="28"/>
      <c r="O22845" s="28"/>
      <c r="U22845" s="28"/>
    </row>
    <row r="22846">
      <c r="N22846" s="28"/>
      <c r="O22846" s="28"/>
      <c r="U22846" s="28"/>
    </row>
    <row r="22847">
      <c r="N22847" s="28"/>
      <c r="O22847" s="28"/>
      <c r="U22847" s="28"/>
    </row>
    <row r="22848">
      <c r="N22848" s="28"/>
      <c r="O22848" s="28"/>
      <c r="U22848" s="28"/>
    </row>
    <row r="22849">
      <c r="N22849" s="28"/>
      <c r="O22849" s="28"/>
      <c r="U22849" s="28"/>
    </row>
    <row r="22850">
      <c r="N22850" s="28"/>
      <c r="O22850" s="28"/>
      <c r="U22850" s="28"/>
    </row>
    <row r="22851">
      <c r="N22851" s="28"/>
      <c r="O22851" s="28"/>
      <c r="U22851" s="28"/>
    </row>
    <row r="22852">
      <c r="N22852" s="28"/>
      <c r="O22852" s="28"/>
      <c r="U22852" s="28"/>
    </row>
    <row r="22853">
      <c r="N22853" s="28"/>
      <c r="O22853" s="28"/>
      <c r="U22853" s="28"/>
    </row>
    <row r="22854">
      <c r="N22854" s="28"/>
      <c r="O22854" s="28"/>
      <c r="U22854" s="28"/>
    </row>
    <row r="22855">
      <c r="N22855" s="28"/>
      <c r="O22855" s="28"/>
      <c r="U22855" s="28"/>
    </row>
    <row r="22856">
      <c r="N22856" s="28"/>
      <c r="O22856" s="28"/>
      <c r="U22856" s="28"/>
    </row>
    <row r="22857">
      <c r="N22857" s="28"/>
      <c r="O22857" s="28"/>
      <c r="U22857" s="28"/>
    </row>
    <row r="22858">
      <c r="N22858" s="28"/>
      <c r="O22858" s="28"/>
      <c r="U22858" s="28"/>
    </row>
    <row r="22859">
      <c r="N22859" s="28"/>
      <c r="O22859" s="28"/>
      <c r="U22859" s="28"/>
    </row>
    <row r="22860">
      <c r="N22860" s="28"/>
      <c r="O22860" s="28"/>
      <c r="U22860" s="28"/>
    </row>
    <row r="22861">
      <c r="N22861" s="28"/>
      <c r="O22861" s="28"/>
      <c r="U22861" s="28"/>
    </row>
    <row r="22862">
      <c r="N22862" s="28"/>
      <c r="O22862" s="28"/>
      <c r="U22862" s="28"/>
    </row>
    <row r="22863">
      <c r="N22863" s="28"/>
      <c r="O22863" s="28"/>
      <c r="U22863" s="28"/>
    </row>
    <row r="22864">
      <c r="N22864" s="28"/>
      <c r="O22864" s="28"/>
      <c r="U22864" s="28"/>
    </row>
    <row r="22865">
      <c r="N22865" s="28"/>
      <c r="O22865" s="28"/>
      <c r="U22865" s="28"/>
    </row>
    <row r="22866">
      <c r="N22866" s="28"/>
      <c r="O22866" s="28"/>
      <c r="U22866" s="28"/>
    </row>
    <row r="22867">
      <c r="N22867" s="28"/>
      <c r="O22867" s="28"/>
      <c r="U22867" s="28"/>
    </row>
    <row r="22868">
      <c r="N22868" s="28"/>
      <c r="O22868" s="28"/>
      <c r="U22868" s="28"/>
    </row>
    <row r="22869">
      <c r="N22869" s="28"/>
      <c r="O22869" s="28"/>
      <c r="U22869" s="28"/>
    </row>
    <row r="22870">
      <c r="N22870" s="28"/>
      <c r="O22870" s="28"/>
      <c r="U22870" s="28"/>
    </row>
    <row r="22871">
      <c r="N22871" s="28"/>
      <c r="O22871" s="28"/>
      <c r="U22871" s="28"/>
    </row>
    <row r="22872">
      <c r="N22872" s="28"/>
      <c r="O22872" s="28"/>
      <c r="U22872" s="28"/>
    </row>
    <row r="22873">
      <c r="N22873" s="28"/>
      <c r="O22873" s="28"/>
      <c r="U22873" s="28"/>
    </row>
    <row r="22874">
      <c r="N22874" s="28"/>
      <c r="O22874" s="28"/>
      <c r="U22874" s="28"/>
    </row>
    <row r="22875">
      <c r="N22875" s="28"/>
      <c r="O22875" s="28"/>
      <c r="U22875" s="28"/>
    </row>
    <row r="22876">
      <c r="N22876" s="28"/>
      <c r="O22876" s="28"/>
      <c r="U22876" s="28"/>
    </row>
    <row r="22877">
      <c r="N22877" s="28"/>
      <c r="O22877" s="28"/>
      <c r="U22877" s="28"/>
    </row>
    <row r="22878">
      <c r="N22878" s="28"/>
      <c r="O22878" s="28"/>
      <c r="U22878" s="28"/>
    </row>
    <row r="22879">
      <c r="N22879" s="28"/>
      <c r="O22879" s="28"/>
      <c r="U22879" s="28"/>
    </row>
    <row r="22880">
      <c r="N22880" s="28"/>
      <c r="O22880" s="28"/>
      <c r="U22880" s="28"/>
    </row>
    <row r="22881">
      <c r="N22881" s="28"/>
      <c r="O22881" s="28"/>
      <c r="U22881" s="28"/>
    </row>
    <row r="22882">
      <c r="N22882" s="28"/>
      <c r="O22882" s="28"/>
      <c r="U22882" s="28"/>
    </row>
    <row r="22883">
      <c r="N22883" s="28"/>
      <c r="O22883" s="28"/>
      <c r="U22883" s="28"/>
    </row>
    <row r="22884">
      <c r="N22884" s="28"/>
      <c r="O22884" s="28"/>
      <c r="U22884" s="28"/>
    </row>
    <row r="22885">
      <c r="N22885" s="28"/>
      <c r="O22885" s="28"/>
      <c r="U22885" s="28"/>
    </row>
    <row r="22886">
      <c r="N22886" s="28"/>
      <c r="O22886" s="28"/>
      <c r="U22886" s="28"/>
    </row>
    <row r="22887">
      <c r="N22887" s="28"/>
      <c r="O22887" s="28"/>
      <c r="U22887" s="28"/>
    </row>
    <row r="22888">
      <c r="N22888" s="28"/>
      <c r="O22888" s="28"/>
      <c r="U22888" s="28"/>
    </row>
    <row r="22889">
      <c r="N22889" s="28"/>
      <c r="O22889" s="28"/>
      <c r="U22889" s="28"/>
    </row>
    <row r="22890">
      <c r="N22890" s="28"/>
      <c r="O22890" s="28"/>
      <c r="U22890" s="28"/>
    </row>
    <row r="22891">
      <c r="N22891" s="28"/>
      <c r="O22891" s="28"/>
      <c r="U22891" s="28"/>
    </row>
    <row r="22892">
      <c r="N22892" s="28"/>
      <c r="O22892" s="28"/>
      <c r="U22892" s="28"/>
    </row>
    <row r="22893">
      <c r="N22893" s="28"/>
      <c r="O22893" s="28"/>
      <c r="U22893" s="28"/>
    </row>
    <row r="22894">
      <c r="N22894" s="28"/>
      <c r="O22894" s="28"/>
      <c r="U22894" s="28"/>
    </row>
    <row r="22895">
      <c r="N22895" s="28"/>
      <c r="O22895" s="28"/>
      <c r="U22895" s="28"/>
    </row>
    <row r="22896">
      <c r="N22896" s="28"/>
      <c r="O22896" s="28"/>
      <c r="U22896" s="28"/>
    </row>
    <row r="22897">
      <c r="N22897" s="28"/>
      <c r="O22897" s="28"/>
      <c r="U22897" s="28"/>
    </row>
    <row r="22898">
      <c r="N22898" s="28"/>
      <c r="O22898" s="28"/>
      <c r="U22898" s="28"/>
    </row>
    <row r="22899">
      <c r="N22899" s="28"/>
      <c r="O22899" s="28"/>
      <c r="U22899" s="28"/>
    </row>
    <row r="22900">
      <c r="N22900" s="28"/>
      <c r="O22900" s="28"/>
      <c r="U22900" s="28"/>
    </row>
    <row r="22901">
      <c r="N22901" s="28"/>
      <c r="O22901" s="28"/>
      <c r="U22901" s="28"/>
    </row>
    <row r="22902">
      <c r="N22902" s="28"/>
      <c r="O22902" s="28"/>
      <c r="U22902" s="28"/>
    </row>
    <row r="22903">
      <c r="N22903" s="28"/>
      <c r="O22903" s="28"/>
      <c r="U22903" s="28"/>
    </row>
    <row r="22904">
      <c r="N22904" s="28"/>
      <c r="O22904" s="28"/>
      <c r="U22904" s="28"/>
    </row>
    <row r="22905">
      <c r="N22905" s="28"/>
      <c r="O22905" s="28"/>
      <c r="U22905" s="28"/>
    </row>
    <row r="22906">
      <c r="N22906" s="28"/>
      <c r="O22906" s="28"/>
      <c r="U22906" s="28"/>
    </row>
    <row r="22907">
      <c r="N22907" s="28"/>
      <c r="O22907" s="28"/>
      <c r="U22907" s="28"/>
    </row>
    <row r="22908">
      <c r="N22908" s="28"/>
      <c r="O22908" s="28"/>
      <c r="U22908" s="28"/>
    </row>
    <row r="22909">
      <c r="N22909" s="28"/>
      <c r="O22909" s="28"/>
      <c r="U22909" s="28"/>
    </row>
    <row r="22910">
      <c r="N22910" s="28"/>
      <c r="O22910" s="28"/>
      <c r="U22910" s="28"/>
    </row>
    <row r="22911">
      <c r="N22911" s="28"/>
      <c r="O22911" s="28"/>
      <c r="U22911" s="28"/>
    </row>
    <row r="22912">
      <c r="N22912" s="28"/>
      <c r="O22912" s="28"/>
      <c r="U22912" s="28"/>
    </row>
    <row r="22913">
      <c r="N22913" s="28"/>
      <c r="O22913" s="28"/>
      <c r="U22913" s="28"/>
    </row>
    <row r="22914">
      <c r="N22914" s="28"/>
      <c r="O22914" s="28"/>
      <c r="U22914" s="28"/>
    </row>
    <row r="22915">
      <c r="N22915" s="28"/>
      <c r="O22915" s="28"/>
      <c r="U22915" s="28"/>
    </row>
    <row r="22916">
      <c r="N22916" s="28"/>
      <c r="O22916" s="28"/>
      <c r="U22916" s="28"/>
    </row>
    <row r="22917">
      <c r="N22917" s="28"/>
      <c r="O22917" s="28"/>
      <c r="U22917" s="28"/>
    </row>
    <row r="22918">
      <c r="N22918" s="28"/>
      <c r="O22918" s="28"/>
      <c r="U22918" s="28"/>
    </row>
    <row r="22919">
      <c r="N22919" s="28"/>
      <c r="O22919" s="28"/>
      <c r="U22919" s="28"/>
    </row>
    <row r="22920">
      <c r="N22920" s="28"/>
      <c r="O22920" s="28"/>
      <c r="U22920" s="28"/>
    </row>
    <row r="22921">
      <c r="N22921" s="28"/>
      <c r="O22921" s="28"/>
      <c r="U22921" s="28"/>
    </row>
    <row r="22922">
      <c r="N22922" s="28"/>
      <c r="O22922" s="28"/>
      <c r="U22922" s="28"/>
    </row>
    <row r="22923">
      <c r="N22923" s="28"/>
      <c r="O22923" s="28"/>
      <c r="U22923" s="28"/>
    </row>
    <row r="22924">
      <c r="N22924" s="28"/>
      <c r="O22924" s="28"/>
      <c r="U22924" s="28"/>
    </row>
    <row r="22925">
      <c r="N22925" s="28"/>
      <c r="O22925" s="28"/>
      <c r="U22925" s="28"/>
    </row>
    <row r="22926">
      <c r="N22926" s="28"/>
      <c r="O22926" s="28"/>
      <c r="U22926" s="28"/>
    </row>
    <row r="22927">
      <c r="N22927" s="28"/>
      <c r="O22927" s="28"/>
      <c r="U22927" s="28"/>
    </row>
    <row r="22928">
      <c r="N22928" s="28"/>
      <c r="O22928" s="28"/>
      <c r="U22928" s="28"/>
    </row>
    <row r="22929">
      <c r="N22929" s="28"/>
      <c r="O22929" s="28"/>
      <c r="U22929" s="28"/>
    </row>
    <row r="22930">
      <c r="N22930" s="28"/>
      <c r="O22930" s="28"/>
      <c r="U22930" s="28"/>
    </row>
    <row r="22931">
      <c r="N22931" s="28"/>
      <c r="O22931" s="28"/>
      <c r="U22931" s="28"/>
    </row>
    <row r="22932">
      <c r="N22932" s="28"/>
      <c r="O22932" s="28"/>
      <c r="U22932" s="28"/>
    </row>
    <row r="22933">
      <c r="N22933" s="28"/>
      <c r="O22933" s="28"/>
      <c r="U22933" s="28"/>
    </row>
    <row r="22934">
      <c r="N22934" s="28"/>
      <c r="O22934" s="28"/>
      <c r="U22934" s="28"/>
    </row>
    <row r="22935">
      <c r="N22935" s="28"/>
      <c r="O22935" s="28"/>
      <c r="U22935" s="28"/>
    </row>
    <row r="22936">
      <c r="N22936" s="28"/>
      <c r="O22936" s="28"/>
      <c r="U22936" s="28"/>
    </row>
    <row r="22937">
      <c r="N22937" s="28"/>
      <c r="O22937" s="28"/>
      <c r="U22937" s="28"/>
    </row>
    <row r="22938">
      <c r="N22938" s="28"/>
      <c r="O22938" s="28"/>
      <c r="U22938" s="28"/>
    </row>
    <row r="22939">
      <c r="N22939" s="28"/>
      <c r="O22939" s="28"/>
      <c r="U22939" s="28"/>
    </row>
    <row r="22940">
      <c r="N22940" s="28"/>
      <c r="O22940" s="28"/>
      <c r="U22940" s="28"/>
    </row>
    <row r="22941">
      <c r="N22941" s="28"/>
      <c r="O22941" s="28"/>
      <c r="U22941" s="28"/>
    </row>
    <row r="22942">
      <c r="N22942" s="28"/>
      <c r="O22942" s="28"/>
      <c r="U22942" s="28"/>
    </row>
    <row r="22943">
      <c r="N22943" s="28"/>
      <c r="O22943" s="28"/>
      <c r="U22943" s="28"/>
    </row>
    <row r="22944">
      <c r="N22944" s="28"/>
      <c r="O22944" s="28"/>
      <c r="U22944" s="28"/>
    </row>
    <row r="22945">
      <c r="N22945" s="28"/>
      <c r="O22945" s="28"/>
      <c r="U22945" s="28"/>
    </row>
    <row r="22946">
      <c r="N22946" s="28"/>
      <c r="O22946" s="28"/>
      <c r="U22946" s="28"/>
    </row>
    <row r="22947">
      <c r="N22947" s="28"/>
      <c r="O22947" s="28"/>
      <c r="U22947" s="28"/>
    </row>
    <row r="22948">
      <c r="N22948" s="28"/>
      <c r="O22948" s="28"/>
      <c r="U22948" s="28"/>
    </row>
    <row r="22949">
      <c r="N22949" s="28"/>
      <c r="O22949" s="28"/>
      <c r="U22949" s="28"/>
    </row>
    <row r="22950">
      <c r="N22950" s="28"/>
      <c r="O22950" s="28"/>
      <c r="U22950" s="28"/>
    </row>
    <row r="22951">
      <c r="N22951" s="28"/>
      <c r="O22951" s="28"/>
      <c r="U22951" s="28"/>
    </row>
    <row r="22952">
      <c r="N22952" s="28"/>
      <c r="O22952" s="28"/>
      <c r="U22952" s="28"/>
    </row>
    <row r="22953">
      <c r="N22953" s="28"/>
      <c r="O22953" s="28"/>
      <c r="U22953" s="28"/>
    </row>
    <row r="22954">
      <c r="N22954" s="28"/>
      <c r="O22954" s="28"/>
      <c r="U22954" s="28"/>
    </row>
    <row r="22955">
      <c r="N22955" s="28"/>
      <c r="O22955" s="28"/>
      <c r="U22955" s="28"/>
    </row>
    <row r="22956">
      <c r="N22956" s="28"/>
      <c r="O22956" s="28"/>
      <c r="U22956" s="28"/>
    </row>
    <row r="22957">
      <c r="N22957" s="28"/>
      <c r="O22957" s="28"/>
      <c r="U22957" s="28"/>
    </row>
    <row r="22958">
      <c r="N22958" s="28"/>
      <c r="O22958" s="28"/>
      <c r="U22958" s="28"/>
    </row>
    <row r="22959">
      <c r="N22959" s="28"/>
      <c r="O22959" s="28"/>
      <c r="U22959" s="28"/>
    </row>
    <row r="22960">
      <c r="N22960" s="28"/>
      <c r="O22960" s="28"/>
      <c r="U22960" s="28"/>
    </row>
    <row r="22961">
      <c r="N22961" s="28"/>
      <c r="O22961" s="28"/>
      <c r="U22961" s="28"/>
    </row>
    <row r="22962">
      <c r="N22962" s="28"/>
      <c r="O22962" s="28"/>
      <c r="U22962" s="28"/>
    </row>
    <row r="22963">
      <c r="N22963" s="28"/>
      <c r="O22963" s="28"/>
      <c r="U22963" s="28"/>
    </row>
    <row r="22964">
      <c r="N22964" s="28"/>
      <c r="O22964" s="28"/>
      <c r="U22964" s="28"/>
    </row>
    <row r="22965">
      <c r="N22965" s="28"/>
      <c r="O22965" s="28"/>
      <c r="U22965" s="28"/>
    </row>
    <row r="22966">
      <c r="N22966" s="28"/>
      <c r="O22966" s="28"/>
      <c r="U22966" s="28"/>
    </row>
    <row r="22967">
      <c r="N22967" s="28"/>
      <c r="O22967" s="28"/>
      <c r="U22967" s="28"/>
    </row>
    <row r="22968">
      <c r="N22968" s="28"/>
      <c r="O22968" s="28"/>
      <c r="U22968" s="28"/>
    </row>
    <row r="22969">
      <c r="N22969" s="28"/>
      <c r="O22969" s="28"/>
      <c r="U22969" s="28"/>
    </row>
    <row r="22970">
      <c r="N22970" s="28"/>
      <c r="O22970" s="28"/>
      <c r="U22970" s="28"/>
    </row>
    <row r="22971">
      <c r="N22971" s="28"/>
      <c r="O22971" s="28"/>
      <c r="U22971" s="28"/>
    </row>
    <row r="22972">
      <c r="N22972" s="28"/>
      <c r="O22972" s="28"/>
      <c r="U22972" s="28"/>
    </row>
    <row r="22973">
      <c r="N22973" s="28"/>
      <c r="O22973" s="28"/>
      <c r="U22973" s="28"/>
    </row>
    <row r="22974">
      <c r="N22974" s="28"/>
      <c r="O22974" s="28"/>
      <c r="U22974" s="28"/>
    </row>
    <row r="22975">
      <c r="N22975" s="28"/>
      <c r="O22975" s="28"/>
      <c r="U22975" s="28"/>
    </row>
    <row r="22976">
      <c r="N22976" s="28"/>
      <c r="O22976" s="28"/>
      <c r="U22976" s="28"/>
    </row>
    <row r="22977">
      <c r="N22977" s="28"/>
      <c r="O22977" s="28"/>
      <c r="U22977" s="28"/>
    </row>
    <row r="22978">
      <c r="N22978" s="28"/>
      <c r="O22978" s="28"/>
      <c r="U22978" s="28"/>
    </row>
    <row r="22979">
      <c r="N22979" s="28"/>
      <c r="O22979" s="28"/>
      <c r="U22979" s="28"/>
    </row>
    <row r="22980">
      <c r="N22980" s="28"/>
      <c r="O22980" s="28"/>
      <c r="U22980" s="28"/>
    </row>
    <row r="22981">
      <c r="N22981" s="28"/>
      <c r="O22981" s="28"/>
      <c r="U22981" s="28"/>
    </row>
    <row r="22982">
      <c r="N22982" s="28"/>
      <c r="O22982" s="28"/>
      <c r="U22982" s="28"/>
    </row>
    <row r="22983">
      <c r="N22983" s="28"/>
      <c r="O22983" s="28"/>
      <c r="U22983" s="28"/>
    </row>
    <row r="22984">
      <c r="N22984" s="28"/>
      <c r="O22984" s="28"/>
      <c r="U22984" s="28"/>
    </row>
    <row r="22985">
      <c r="N22985" s="28"/>
      <c r="O22985" s="28"/>
      <c r="U22985" s="28"/>
    </row>
    <row r="22986">
      <c r="N22986" s="28"/>
      <c r="O22986" s="28"/>
      <c r="U22986" s="28"/>
    </row>
    <row r="22987">
      <c r="N22987" s="28"/>
      <c r="O22987" s="28"/>
      <c r="U22987" s="28"/>
    </row>
    <row r="22988">
      <c r="N22988" s="28"/>
      <c r="O22988" s="28"/>
      <c r="U22988" s="28"/>
    </row>
    <row r="22989">
      <c r="N22989" s="28"/>
      <c r="O22989" s="28"/>
      <c r="U22989" s="28"/>
    </row>
    <row r="22990">
      <c r="N22990" s="28"/>
      <c r="O22990" s="28"/>
      <c r="U22990" s="28"/>
    </row>
    <row r="22991">
      <c r="N22991" s="28"/>
      <c r="O22991" s="28"/>
      <c r="U22991" s="28"/>
    </row>
    <row r="22992">
      <c r="N22992" s="28"/>
      <c r="O22992" s="28"/>
      <c r="U22992" s="28"/>
    </row>
    <row r="22993">
      <c r="N22993" s="28"/>
      <c r="O22993" s="28"/>
      <c r="U22993" s="28"/>
    </row>
    <row r="22994">
      <c r="N22994" s="28"/>
      <c r="O22994" s="28"/>
      <c r="U22994" s="28"/>
    </row>
    <row r="22995">
      <c r="N22995" s="28"/>
      <c r="O22995" s="28"/>
      <c r="U22995" s="28"/>
    </row>
    <row r="22996">
      <c r="N22996" s="28"/>
      <c r="O22996" s="28"/>
      <c r="U22996" s="28"/>
    </row>
    <row r="22997">
      <c r="N22997" s="28"/>
      <c r="O22997" s="28"/>
      <c r="U22997" s="28"/>
    </row>
    <row r="22998">
      <c r="N22998" s="28"/>
      <c r="O22998" s="28"/>
      <c r="U22998" s="28"/>
    </row>
    <row r="22999">
      <c r="N22999" s="28"/>
      <c r="O22999" s="28"/>
      <c r="U22999" s="28"/>
    </row>
    <row r="23000">
      <c r="N23000" s="28"/>
      <c r="O23000" s="28"/>
      <c r="U23000" s="28"/>
    </row>
    <row r="23001">
      <c r="N23001" s="28"/>
      <c r="O23001" s="28"/>
      <c r="U23001" s="28"/>
    </row>
    <row r="23002">
      <c r="N23002" s="28"/>
      <c r="O23002" s="28"/>
      <c r="U23002" s="28"/>
    </row>
    <row r="23003">
      <c r="N23003" s="28"/>
      <c r="O23003" s="28"/>
      <c r="U23003" s="28"/>
    </row>
    <row r="23004">
      <c r="N23004" s="28"/>
      <c r="O23004" s="28"/>
      <c r="U23004" s="28"/>
    </row>
    <row r="23005">
      <c r="N23005" s="28"/>
      <c r="O23005" s="28"/>
      <c r="U23005" s="28"/>
    </row>
    <row r="23006">
      <c r="N23006" s="28"/>
      <c r="O23006" s="28"/>
      <c r="U23006" s="28"/>
    </row>
    <row r="23007">
      <c r="N23007" s="28"/>
      <c r="O23007" s="28"/>
      <c r="U23007" s="28"/>
    </row>
    <row r="23008">
      <c r="N23008" s="28"/>
      <c r="O23008" s="28"/>
      <c r="U23008" s="28"/>
    </row>
    <row r="23009">
      <c r="N23009" s="28"/>
      <c r="O23009" s="28"/>
      <c r="U23009" s="28"/>
    </row>
    <row r="23010">
      <c r="N23010" s="28"/>
      <c r="O23010" s="28"/>
      <c r="U23010" s="28"/>
    </row>
    <row r="23011">
      <c r="N23011" s="28"/>
      <c r="O23011" s="28"/>
      <c r="U23011" s="28"/>
    </row>
    <row r="23012">
      <c r="N23012" s="28"/>
      <c r="O23012" s="28"/>
      <c r="U23012" s="28"/>
    </row>
    <row r="23013">
      <c r="N23013" s="28"/>
      <c r="O23013" s="28"/>
      <c r="U23013" s="28"/>
    </row>
    <row r="23014">
      <c r="N23014" s="28"/>
      <c r="O23014" s="28"/>
      <c r="U23014" s="28"/>
    </row>
    <row r="23015">
      <c r="N23015" s="28"/>
      <c r="O23015" s="28"/>
      <c r="U23015" s="28"/>
    </row>
    <row r="23016">
      <c r="N23016" s="28"/>
      <c r="O23016" s="28"/>
      <c r="U23016" s="28"/>
    </row>
    <row r="23017">
      <c r="N23017" s="28"/>
      <c r="O23017" s="28"/>
      <c r="U23017" s="28"/>
    </row>
    <row r="23018">
      <c r="N23018" s="28"/>
      <c r="O23018" s="28"/>
      <c r="U23018" s="28"/>
    </row>
    <row r="23019">
      <c r="N23019" s="28"/>
      <c r="O23019" s="28"/>
      <c r="U23019" s="28"/>
    </row>
    <row r="23020">
      <c r="N23020" s="28"/>
      <c r="O23020" s="28"/>
      <c r="U23020" s="28"/>
    </row>
    <row r="23021">
      <c r="N23021" s="28"/>
      <c r="O23021" s="28"/>
      <c r="U23021" s="28"/>
    </row>
    <row r="23022">
      <c r="N23022" s="28"/>
      <c r="O23022" s="28"/>
      <c r="U23022" s="28"/>
    </row>
    <row r="23023">
      <c r="N23023" s="28"/>
      <c r="O23023" s="28"/>
      <c r="U23023" s="28"/>
    </row>
    <row r="23024">
      <c r="N23024" s="28"/>
      <c r="O23024" s="28"/>
      <c r="U23024" s="28"/>
    </row>
    <row r="23025">
      <c r="N23025" s="28"/>
      <c r="O23025" s="28"/>
      <c r="U23025" s="28"/>
    </row>
    <row r="23026">
      <c r="N23026" s="28"/>
      <c r="O23026" s="28"/>
      <c r="U23026" s="28"/>
    </row>
    <row r="23027">
      <c r="N23027" s="28"/>
      <c r="O23027" s="28"/>
      <c r="U23027" s="28"/>
    </row>
    <row r="23028">
      <c r="N23028" s="28"/>
      <c r="O23028" s="28"/>
      <c r="U23028" s="28"/>
    </row>
    <row r="23029">
      <c r="N23029" s="28"/>
      <c r="O23029" s="28"/>
      <c r="U23029" s="28"/>
    </row>
    <row r="23030">
      <c r="N23030" s="28"/>
      <c r="O23030" s="28"/>
      <c r="U23030" s="28"/>
    </row>
    <row r="23031">
      <c r="N23031" s="28"/>
      <c r="O23031" s="28"/>
      <c r="U23031" s="28"/>
    </row>
    <row r="23032">
      <c r="N23032" s="28"/>
      <c r="O23032" s="28"/>
      <c r="U23032" s="28"/>
    </row>
    <row r="23033">
      <c r="N23033" s="28"/>
      <c r="O23033" s="28"/>
      <c r="U23033" s="28"/>
    </row>
    <row r="23034">
      <c r="N23034" s="28"/>
      <c r="O23034" s="28"/>
      <c r="U23034" s="28"/>
    </row>
    <row r="23035">
      <c r="N23035" s="28"/>
      <c r="O23035" s="28"/>
      <c r="U23035" s="28"/>
    </row>
    <row r="23036">
      <c r="N23036" s="28"/>
      <c r="O23036" s="28"/>
      <c r="U23036" s="28"/>
    </row>
    <row r="23037">
      <c r="N23037" s="28"/>
      <c r="O23037" s="28"/>
      <c r="U23037" s="28"/>
    </row>
    <row r="23038">
      <c r="N23038" s="28"/>
      <c r="O23038" s="28"/>
      <c r="U23038" s="28"/>
    </row>
    <row r="23039">
      <c r="N23039" s="28"/>
      <c r="O23039" s="28"/>
      <c r="U23039" s="28"/>
    </row>
    <row r="23040">
      <c r="N23040" s="28"/>
      <c r="O23040" s="28"/>
      <c r="U23040" s="28"/>
    </row>
    <row r="23041">
      <c r="N23041" s="28"/>
      <c r="O23041" s="28"/>
      <c r="U23041" s="28"/>
    </row>
    <row r="23042">
      <c r="N23042" s="28"/>
      <c r="O23042" s="28"/>
      <c r="U23042" s="28"/>
    </row>
    <row r="23043">
      <c r="N23043" s="28"/>
      <c r="O23043" s="28"/>
      <c r="U23043" s="28"/>
    </row>
    <row r="23044">
      <c r="N23044" s="28"/>
      <c r="O23044" s="28"/>
      <c r="U23044" s="28"/>
    </row>
    <row r="23045">
      <c r="N23045" s="28"/>
      <c r="O23045" s="28"/>
      <c r="U23045" s="28"/>
    </row>
    <row r="23046">
      <c r="N23046" s="28"/>
      <c r="O23046" s="28"/>
      <c r="U23046" s="28"/>
    </row>
    <row r="23047">
      <c r="N23047" s="28"/>
      <c r="O23047" s="28"/>
      <c r="U23047" s="28"/>
    </row>
    <row r="23048">
      <c r="N23048" s="28"/>
      <c r="O23048" s="28"/>
      <c r="U23048" s="28"/>
    </row>
    <row r="23049">
      <c r="N23049" s="28"/>
      <c r="O23049" s="28"/>
      <c r="U23049" s="28"/>
    </row>
    <row r="23050">
      <c r="N23050" s="28"/>
      <c r="O23050" s="28"/>
      <c r="U23050" s="28"/>
    </row>
    <row r="23051">
      <c r="N23051" s="28"/>
      <c r="O23051" s="28"/>
      <c r="U23051" s="28"/>
    </row>
    <row r="23052">
      <c r="N23052" s="28"/>
      <c r="O23052" s="28"/>
      <c r="U23052" s="28"/>
    </row>
    <row r="23053">
      <c r="N23053" s="28"/>
      <c r="O23053" s="28"/>
      <c r="U23053" s="28"/>
    </row>
    <row r="23054">
      <c r="N23054" s="28"/>
      <c r="O23054" s="28"/>
      <c r="U23054" s="28"/>
    </row>
    <row r="23055">
      <c r="N23055" s="28"/>
      <c r="O23055" s="28"/>
      <c r="U23055" s="28"/>
    </row>
    <row r="23056">
      <c r="N23056" s="28"/>
      <c r="O23056" s="28"/>
      <c r="U23056" s="28"/>
    </row>
    <row r="23057">
      <c r="N23057" s="28"/>
      <c r="O23057" s="28"/>
      <c r="U23057" s="28"/>
    </row>
    <row r="23058">
      <c r="N23058" s="28"/>
      <c r="O23058" s="28"/>
      <c r="U23058" s="28"/>
    </row>
    <row r="23059">
      <c r="N23059" s="28"/>
      <c r="O23059" s="28"/>
      <c r="U23059" s="28"/>
    </row>
    <row r="23060">
      <c r="N23060" s="28"/>
      <c r="O23060" s="28"/>
      <c r="U23060" s="28"/>
    </row>
    <row r="23061">
      <c r="N23061" s="28"/>
      <c r="O23061" s="28"/>
      <c r="U23061" s="28"/>
    </row>
    <row r="23062">
      <c r="N23062" s="28"/>
      <c r="O23062" s="28"/>
      <c r="U23062" s="28"/>
    </row>
    <row r="23063">
      <c r="N23063" s="28"/>
      <c r="O23063" s="28"/>
      <c r="U23063" s="28"/>
    </row>
    <row r="23064">
      <c r="N23064" s="28"/>
      <c r="O23064" s="28"/>
      <c r="U23064" s="28"/>
    </row>
    <row r="23065">
      <c r="N23065" s="28"/>
      <c r="O23065" s="28"/>
      <c r="U23065" s="28"/>
    </row>
    <row r="23066">
      <c r="N23066" s="28"/>
      <c r="O23066" s="28"/>
      <c r="U23066" s="28"/>
    </row>
    <row r="23067">
      <c r="N23067" s="28"/>
      <c r="O23067" s="28"/>
      <c r="U23067" s="28"/>
    </row>
    <row r="23068">
      <c r="N23068" s="28"/>
      <c r="O23068" s="28"/>
      <c r="U23068" s="28"/>
    </row>
    <row r="23069">
      <c r="N23069" s="28"/>
      <c r="O23069" s="28"/>
      <c r="U23069" s="28"/>
    </row>
    <row r="23070">
      <c r="N23070" s="28"/>
      <c r="O23070" s="28"/>
      <c r="U23070" s="28"/>
    </row>
    <row r="23071">
      <c r="N23071" s="28"/>
      <c r="O23071" s="28"/>
      <c r="U23071" s="28"/>
    </row>
    <row r="23072">
      <c r="N23072" s="28"/>
      <c r="O23072" s="28"/>
      <c r="U23072" s="28"/>
    </row>
    <row r="23073">
      <c r="N23073" s="28"/>
      <c r="O23073" s="28"/>
      <c r="U23073" s="28"/>
    </row>
    <row r="23074">
      <c r="N23074" s="28"/>
      <c r="O23074" s="28"/>
      <c r="U23074" s="28"/>
    </row>
    <row r="23075">
      <c r="N23075" s="28"/>
      <c r="O23075" s="28"/>
      <c r="U23075" s="28"/>
    </row>
    <row r="23076">
      <c r="N23076" s="28"/>
      <c r="O23076" s="28"/>
      <c r="U23076" s="28"/>
    </row>
    <row r="23077">
      <c r="N23077" s="28"/>
      <c r="O23077" s="28"/>
      <c r="U23077" s="28"/>
    </row>
    <row r="23078">
      <c r="N23078" s="28"/>
      <c r="O23078" s="28"/>
      <c r="U23078" s="28"/>
    </row>
    <row r="23079">
      <c r="N23079" s="28"/>
      <c r="O23079" s="28"/>
      <c r="U23079" s="28"/>
    </row>
    <row r="23080">
      <c r="N23080" s="28"/>
      <c r="O23080" s="28"/>
      <c r="U23080" s="28"/>
    </row>
    <row r="23081">
      <c r="N23081" s="28"/>
      <c r="O23081" s="28"/>
      <c r="U23081" s="28"/>
    </row>
    <row r="23082">
      <c r="N23082" s="28"/>
      <c r="O23082" s="28"/>
      <c r="U23082" s="28"/>
    </row>
    <row r="23083">
      <c r="N23083" s="28"/>
      <c r="O23083" s="28"/>
      <c r="U23083" s="28"/>
    </row>
    <row r="23084">
      <c r="N23084" s="28"/>
      <c r="O23084" s="28"/>
      <c r="U23084" s="28"/>
    </row>
    <row r="23085">
      <c r="N23085" s="28"/>
      <c r="O23085" s="28"/>
      <c r="U23085" s="28"/>
    </row>
    <row r="23086">
      <c r="N23086" s="28"/>
      <c r="O23086" s="28"/>
      <c r="U23086" s="28"/>
    </row>
    <row r="23087">
      <c r="N23087" s="28"/>
      <c r="O23087" s="28"/>
      <c r="U23087" s="28"/>
    </row>
    <row r="23088">
      <c r="N23088" s="28"/>
      <c r="O23088" s="28"/>
      <c r="U23088" s="28"/>
    </row>
    <row r="23089">
      <c r="N23089" s="28"/>
      <c r="O23089" s="28"/>
      <c r="U23089" s="28"/>
    </row>
    <row r="23090">
      <c r="N23090" s="28"/>
      <c r="O23090" s="28"/>
      <c r="U23090" s="28"/>
    </row>
    <row r="23091">
      <c r="N23091" s="28"/>
      <c r="O23091" s="28"/>
      <c r="U23091" s="28"/>
    </row>
    <row r="23092">
      <c r="N23092" s="28"/>
      <c r="O23092" s="28"/>
      <c r="U23092" s="28"/>
    </row>
    <row r="23093">
      <c r="N23093" s="28"/>
      <c r="O23093" s="28"/>
      <c r="U23093" s="28"/>
    </row>
    <row r="23094">
      <c r="N23094" s="28"/>
      <c r="O23094" s="28"/>
      <c r="U23094" s="28"/>
    </row>
    <row r="23095">
      <c r="N23095" s="28"/>
      <c r="O23095" s="28"/>
      <c r="U23095" s="28"/>
    </row>
    <row r="23096">
      <c r="N23096" s="28"/>
      <c r="O23096" s="28"/>
      <c r="U23096" s="28"/>
    </row>
    <row r="23097">
      <c r="N23097" s="28"/>
      <c r="O23097" s="28"/>
      <c r="U23097" s="28"/>
    </row>
    <row r="23098">
      <c r="N23098" s="28"/>
      <c r="O23098" s="28"/>
      <c r="U23098" s="28"/>
    </row>
    <row r="23099">
      <c r="N23099" s="28"/>
      <c r="O23099" s="28"/>
      <c r="U23099" s="28"/>
    </row>
    <row r="23100">
      <c r="N23100" s="28"/>
      <c r="O23100" s="28"/>
      <c r="U23100" s="28"/>
    </row>
    <row r="23101">
      <c r="N23101" s="28"/>
      <c r="O23101" s="28"/>
      <c r="U23101" s="28"/>
    </row>
    <row r="23102">
      <c r="N23102" s="28"/>
      <c r="O23102" s="28"/>
      <c r="U23102" s="28"/>
    </row>
    <row r="23103">
      <c r="N23103" s="28"/>
      <c r="O23103" s="28"/>
      <c r="U23103" s="28"/>
    </row>
    <row r="23104">
      <c r="N23104" s="28"/>
      <c r="O23104" s="28"/>
      <c r="U23104" s="28"/>
    </row>
    <row r="23105">
      <c r="N23105" s="28"/>
      <c r="O23105" s="28"/>
      <c r="U23105" s="28"/>
    </row>
    <row r="23106">
      <c r="N23106" s="28"/>
      <c r="O23106" s="28"/>
      <c r="U23106" s="28"/>
    </row>
    <row r="23107">
      <c r="N23107" s="28"/>
      <c r="O23107" s="28"/>
      <c r="U23107" s="28"/>
    </row>
    <row r="23108">
      <c r="N23108" s="28"/>
      <c r="O23108" s="28"/>
      <c r="U23108" s="28"/>
    </row>
    <row r="23109">
      <c r="N23109" s="28"/>
      <c r="O23109" s="28"/>
      <c r="U23109" s="28"/>
    </row>
    <row r="23110">
      <c r="N23110" s="28"/>
      <c r="O23110" s="28"/>
      <c r="U23110" s="28"/>
    </row>
    <row r="23111">
      <c r="N23111" s="28"/>
      <c r="O23111" s="28"/>
      <c r="U23111" s="28"/>
    </row>
    <row r="23112">
      <c r="N23112" s="28"/>
      <c r="O23112" s="28"/>
      <c r="U23112" s="28"/>
    </row>
    <row r="23113">
      <c r="N23113" s="28"/>
      <c r="O23113" s="28"/>
      <c r="U23113" s="28"/>
    </row>
    <row r="23114">
      <c r="N23114" s="28"/>
      <c r="O23114" s="28"/>
      <c r="U23114" s="28"/>
    </row>
    <row r="23115">
      <c r="N23115" s="28"/>
      <c r="O23115" s="28"/>
      <c r="U23115" s="28"/>
    </row>
    <row r="23116">
      <c r="N23116" s="28"/>
      <c r="O23116" s="28"/>
      <c r="U23116" s="28"/>
    </row>
    <row r="23117">
      <c r="N23117" s="28"/>
      <c r="O23117" s="28"/>
      <c r="U23117" s="28"/>
    </row>
    <row r="23118">
      <c r="N23118" s="28"/>
      <c r="O23118" s="28"/>
      <c r="U23118" s="28"/>
    </row>
    <row r="23119">
      <c r="N23119" s="28"/>
      <c r="O23119" s="28"/>
      <c r="U23119" s="28"/>
    </row>
    <row r="23120">
      <c r="N23120" s="28"/>
      <c r="O23120" s="28"/>
      <c r="U23120" s="28"/>
    </row>
    <row r="23121">
      <c r="N23121" s="28"/>
      <c r="O23121" s="28"/>
      <c r="U23121" s="28"/>
    </row>
    <row r="23122">
      <c r="N23122" s="28"/>
      <c r="O23122" s="28"/>
      <c r="U23122" s="28"/>
    </row>
    <row r="23123">
      <c r="N23123" s="28"/>
      <c r="O23123" s="28"/>
      <c r="U23123" s="28"/>
    </row>
    <row r="23124">
      <c r="N23124" s="28"/>
      <c r="O23124" s="28"/>
      <c r="U23124" s="28"/>
    </row>
    <row r="23125">
      <c r="N23125" s="28"/>
      <c r="O23125" s="28"/>
      <c r="U23125" s="28"/>
    </row>
    <row r="23126">
      <c r="N23126" s="28"/>
      <c r="O23126" s="28"/>
      <c r="U23126" s="28"/>
    </row>
    <row r="23127">
      <c r="N23127" s="28"/>
      <c r="O23127" s="28"/>
      <c r="U23127" s="28"/>
    </row>
    <row r="23128">
      <c r="N23128" s="28"/>
      <c r="O23128" s="28"/>
      <c r="U23128" s="28"/>
    </row>
    <row r="23129">
      <c r="N23129" s="28"/>
      <c r="O23129" s="28"/>
      <c r="U23129" s="28"/>
    </row>
    <row r="23130">
      <c r="N23130" s="28"/>
      <c r="O23130" s="28"/>
      <c r="U23130" s="28"/>
    </row>
    <row r="23131">
      <c r="N23131" s="28"/>
      <c r="O23131" s="28"/>
      <c r="U23131" s="28"/>
    </row>
    <row r="23132">
      <c r="N23132" s="28"/>
      <c r="O23132" s="28"/>
      <c r="U23132" s="28"/>
    </row>
    <row r="23133">
      <c r="N23133" s="28"/>
      <c r="O23133" s="28"/>
      <c r="U23133" s="28"/>
    </row>
    <row r="23134">
      <c r="N23134" s="28"/>
      <c r="O23134" s="28"/>
      <c r="U23134" s="28"/>
    </row>
    <row r="23135">
      <c r="N23135" s="28"/>
      <c r="O23135" s="28"/>
      <c r="U23135" s="28"/>
    </row>
    <row r="23136">
      <c r="N23136" s="28"/>
      <c r="O23136" s="28"/>
      <c r="U23136" s="28"/>
    </row>
    <row r="23137">
      <c r="N23137" s="28"/>
      <c r="O23137" s="28"/>
      <c r="U23137" s="28"/>
    </row>
    <row r="23138">
      <c r="N23138" s="28"/>
      <c r="O23138" s="28"/>
      <c r="U23138" s="28"/>
    </row>
    <row r="23139">
      <c r="N23139" s="28"/>
      <c r="O23139" s="28"/>
      <c r="U23139" s="28"/>
    </row>
    <row r="23140">
      <c r="N23140" s="28"/>
      <c r="O23140" s="28"/>
      <c r="U23140" s="28"/>
    </row>
    <row r="23141">
      <c r="N23141" s="28"/>
      <c r="O23141" s="28"/>
      <c r="U23141" s="28"/>
    </row>
    <row r="23142">
      <c r="N23142" s="28"/>
      <c r="O23142" s="28"/>
      <c r="U23142" s="28"/>
    </row>
    <row r="23143">
      <c r="N23143" s="28"/>
      <c r="O23143" s="28"/>
      <c r="U23143" s="28"/>
    </row>
    <row r="23144">
      <c r="N23144" s="28"/>
      <c r="O23144" s="28"/>
      <c r="U23144" s="28"/>
    </row>
    <row r="23145">
      <c r="N23145" s="28"/>
      <c r="O23145" s="28"/>
      <c r="U23145" s="28"/>
    </row>
    <row r="23146">
      <c r="N23146" s="28"/>
      <c r="O23146" s="28"/>
      <c r="U23146" s="28"/>
    </row>
    <row r="23147">
      <c r="N23147" s="28"/>
      <c r="O23147" s="28"/>
      <c r="U23147" s="28"/>
    </row>
    <row r="23148">
      <c r="N23148" s="28"/>
      <c r="O23148" s="28"/>
      <c r="U23148" s="28"/>
    </row>
    <row r="23149">
      <c r="N23149" s="28"/>
      <c r="O23149" s="28"/>
      <c r="U23149" s="28"/>
    </row>
    <row r="23150">
      <c r="N23150" s="28"/>
      <c r="O23150" s="28"/>
      <c r="U23150" s="28"/>
    </row>
    <row r="23151">
      <c r="N23151" s="28"/>
      <c r="O23151" s="28"/>
      <c r="U23151" s="28"/>
    </row>
    <row r="23152">
      <c r="N23152" s="28"/>
      <c r="O23152" s="28"/>
      <c r="U23152" s="28"/>
    </row>
    <row r="23153">
      <c r="N23153" s="28"/>
      <c r="O23153" s="28"/>
      <c r="U23153" s="28"/>
    </row>
    <row r="23154">
      <c r="N23154" s="28"/>
      <c r="O23154" s="28"/>
      <c r="U23154" s="28"/>
    </row>
    <row r="23155">
      <c r="N23155" s="28"/>
      <c r="O23155" s="28"/>
      <c r="U23155" s="28"/>
    </row>
    <row r="23156">
      <c r="N23156" s="28"/>
      <c r="O23156" s="28"/>
      <c r="U23156" s="28"/>
    </row>
    <row r="23157">
      <c r="N23157" s="28"/>
      <c r="O23157" s="28"/>
      <c r="U23157" s="28"/>
    </row>
    <row r="23158">
      <c r="N23158" s="28"/>
      <c r="O23158" s="28"/>
      <c r="U23158" s="28"/>
    </row>
    <row r="23159">
      <c r="N23159" s="28"/>
      <c r="O23159" s="28"/>
      <c r="U23159" s="28"/>
    </row>
    <row r="23160">
      <c r="N23160" s="28"/>
      <c r="O23160" s="28"/>
      <c r="U23160" s="28"/>
    </row>
    <row r="23161">
      <c r="N23161" s="28"/>
      <c r="O23161" s="28"/>
      <c r="U23161" s="28"/>
    </row>
    <row r="23162">
      <c r="N23162" s="28"/>
      <c r="O23162" s="28"/>
      <c r="U23162" s="28"/>
    </row>
    <row r="23163">
      <c r="N23163" s="28"/>
      <c r="O23163" s="28"/>
      <c r="U23163" s="28"/>
    </row>
    <row r="23164">
      <c r="N23164" s="28"/>
      <c r="O23164" s="28"/>
      <c r="U23164" s="28"/>
    </row>
    <row r="23165">
      <c r="N23165" s="28"/>
      <c r="O23165" s="28"/>
      <c r="U23165" s="28"/>
    </row>
    <row r="23166">
      <c r="N23166" s="28"/>
      <c r="O23166" s="28"/>
      <c r="U23166" s="28"/>
    </row>
    <row r="23167">
      <c r="N23167" s="28"/>
      <c r="O23167" s="28"/>
      <c r="U23167" s="28"/>
    </row>
    <row r="23168">
      <c r="N23168" s="28"/>
      <c r="O23168" s="28"/>
      <c r="U23168" s="28"/>
    </row>
    <row r="23169">
      <c r="N23169" s="28"/>
      <c r="O23169" s="28"/>
      <c r="U23169" s="28"/>
    </row>
    <row r="23170">
      <c r="N23170" s="28"/>
      <c r="O23170" s="28"/>
      <c r="U23170" s="28"/>
    </row>
    <row r="23171">
      <c r="N23171" s="28"/>
      <c r="O23171" s="28"/>
      <c r="U23171" s="28"/>
    </row>
    <row r="23172">
      <c r="N23172" s="28"/>
      <c r="O23172" s="28"/>
      <c r="U23172" s="28"/>
    </row>
    <row r="23173">
      <c r="N23173" s="28"/>
      <c r="O23173" s="28"/>
      <c r="U23173" s="28"/>
    </row>
    <row r="23174">
      <c r="N23174" s="28"/>
      <c r="O23174" s="28"/>
      <c r="U23174" s="28"/>
    </row>
    <row r="23175">
      <c r="N23175" s="28"/>
      <c r="O23175" s="28"/>
      <c r="U23175" s="28"/>
    </row>
    <row r="23176">
      <c r="N23176" s="28"/>
      <c r="O23176" s="28"/>
      <c r="U23176" s="28"/>
    </row>
    <row r="23177">
      <c r="N23177" s="28"/>
      <c r="O23177" s="28"/>
      <c r="U23177" s="28"/>
    </row>
    <row r="23178">
      <c r="N23178" s="28"/>
      <c r="O23178" s="28"/>
      <c r="U23178" s="28"/>
    </row>
    <row r="23179">
      <c r="N23179" s="28"/>
      <c r="O23179" s="28"/>
      <c r="U23179" s="28"/>
    </row>
    <row r="23180">
      <c r="N23180" s="28"/>
      <c r="O23180" s="28"/>
      <c r="U23180" s="28"/>
    </row>
    <row r="23181">
      <c r="N23181" s="28"/>
      <c r="O23181" s="28"/>
      <c r="U23181" s="28"/>
    </row>
    <row r="23182">
      <c r="N23182" s="28"/>
      <c r="O23182" s="28"/>
      <c r="U23182" s="28"/>
    </row>
    <row r="23183">
      <c r="N23183" s="28"/>
      <c r="O23183" s="28"/>
      <c r="U23183" s="28"/>
    </row>
    <row r="23184">
      <c r="N23184" s="28"/>
      <c r="O23184" s="28"/>
      <c r="U23184" s="28"/>
    </row>
    <row r="23185">
      <c r="N23185" s="28"/>
      <c r="O23185" s="28"/>
      <c r="U23185" s="28"/>
    </row>
    <row r="23186">
      <c r="N23186" s="28"/>
      <c r="O23186" s="28"/>
      <c r="U23186" s="28"/>
    </row>
    <row r="23187">
      <c r="N23187" s="28"/>
      <c r="O23187" s="28"/>
      <c r="U23187" s="28"/>
    </row>
    <row r="23188">
      <c r="N23188" s="28"/>
      <c r="O23188" s="28"/>
      <c r="U23188" s="28"/>
    </row>
    <row r="23189">
      <c r="N23189" s="28"/>
      <c r="O23189" s="28"/>
      <c r="U23189" s="28"/>
    </row>
    <row r="23190">
      <c r="N23190" s="28"/>
      <c r="O23190" s="28"/>
      <c r="U23190" s="28"/>
    </row>
    <row r="23191">
      <c r="N23191" s="28"/>
      <c r="O23191" s="28"/>
      <c r="U23191" s="28"/>
    </row>
    <row r="23192">
      <c r="N23192" s="28"/>
      <c r="O23192" s="28"/>
      <c r="U23192" s="28"/>
    </row>
    <row r="23193">
      <c r="N23193" s="28"/>
      <c r="O23193" s="28"/>
      <c r="U23193" s="28"/>
    </row>
    <row r="23194">
      <c r="N23194" s="28"/>
      <c r="O23194" s="28"/>
      <c r="U23194" s="28"/>
    </row>
    <row r="23195">
      <c r="N23195" s="28"/>
      <c r="O23195" s="28"/>
      <c r="U23195" s="28"/>
    </row>
    <row r="23196">
      <c r="N23196" s="28"/>
      <c r="O23196" s="28"/>
      <c r="U23196" s="28"/>
    </row>
    <row r="23197">
      <c r="N23197" s="28"/>
      <c r="O23197" s="28"/>
      <c r="U23197" s="28"/>
    </row>
    <row r="23198">
      <c r="N23198" s="28"/>
      <c r="O23198" s="28"/>
      <c r="U23198" s="28"/>
    </row>
    <row r="23199">
      <c r="N23199" s="28"/>
      <c r="O23199" s="28"/>
      <c r="U23199" s="28"/>
    </row>
    <row r="23200">
      <c r="N23200" s="28"/>
      <c r="O23200" s="28"/>
      <c r="U23200" s="28"/>
    </row>
    <row r="23201">
      <c r="N23201" s="28"/>
      <c r="O23201" s="28"/>
      <c r="U23201" s="28"/>
    </row>
    <row r="23202">
      <c r="N23202" s="28"/>
      <c r="O23202" s="28"/>
      <c r="U23202" s="28"/>
    </row>
    <row r="23203">
      <c r="N23203" s="28"/>
      <c r="O23203" s="28"/>
      <c r="U23203" s="28"/>
    </row>
    <row r="23204">
      <c r="N23204" s="28"/>
      <c r="O23204" s="28"/>
      <c r="U23204" s="28"/>
    </row>
    <row r="23205">
      <c r="N23205" s="28"/>
      <c r="O23205" s="28"/>
      <c r="U23205" s="28"/>
    </row>
    <row r="23206">
      <c r="N23206" s="28"/>
      <c r="O23206" s="28"/>
      <c r="U23206" s="28"/>
    </row>
    <row r="23207">
      <c r="N23207" s="28"/>
      <c r="O23207" s="28"/>
      <c r="U23207" s="28"/>
    </row>
    <row r="23208">
      <c r="N23208" s="28"/>
      <c r="O23208" s="28"/>
      <c r="U23208" s="28"/>
    </row>
    <row r="23209">
      <c r="N23209" s="28"/>
      <c r="O23209" s="28"/>
      <c r="U23209" s="28"/>
    </row>
    <row r="23210">
      <c r="N23210" s="28"/>
      <c r="O23210" s="28"/>
      <c r="U23210" s="28"/>
    </row>
    <row r="23211">
      <c r="N23211" s="28"/>
      <c r="O23211" s="28"/>
      <c r="U23211" s="28"/>
    </row>
    <row r="23212">
      <c r="N23212" s="28"/>
      <c r="O23212" s="28"/>
      <c r="U23212" s="28"/>
    </row>
    <row r="23213">
      <c r="N23213" s="28"/>
      <c r="O23213" s="28"/>
      <c r="U23213" s="28"/>
    </row>
    <row r="23214">
      <c r="N23214" s="28"/>
      <c r="O23214" s="28"/>
      <c r="U23214" s="28"/>
    </row>
    <row r="23215">
      <c r="N23215" s="28"/>
      <c r="O23215" s="28"/>
      <c r="U23215" s="28"/>
    </row>
    <row r="23216">
      <c r="N23216" s="28"/>
      <c r="O23216" s="28"/>
      <c r="U23216" s="28"/>
    </row>
    <row r="23217">
      <c r="N23217" s="28"/>
      <c r="O23217" s="28"/>
      <c r="U23217" s="28"/>
    </row>
    <row r="23218">
      <c r="N23218" s="28"/>
      <c r="O23218" s="28"/>
      <c r="U23218" s="28"/>
    </row>
    <row r="23219">
      <c r="N23219" s="28"/>
      <c r="O23219" s="28"/>
      <c r="U23219" s="28"/>
    </row>
    <row r="23220">
      <c r="N23220" s="28"/>
      <c r="O23220" s="28"/>
      <c r="U23220" s="28"/>
    </row>
    <row r="23221">
      <c r="N23221" s="28"/>
      <c r="O23221" s="28"/>
      <c r="U23221" s="28"/>
    </row>
    <row r="23222">
      <c r="N23222" s="28"/>
      <c r="O23222" s="28"/>
      <c r="U23222" s="28"/>
    </row>
    <row r="23223">
      <c r="N23223" s="28"/>
      <c r="O23223" s="28"/>
      <c r="U23223" s="28"/>
    </row>
    <row r="23224">
      <c r="N23224" s="28"/>
      <c r="O23224" s="28"/>
      <c r="U23224" s="28"/>
    </row>
    <row r="23225">
      <c r="N23225" s="28"/>
      <c r="O23225" s="28"/>
      <c r="U23225" s="28"/>
    </row>
    <row r="23226">
      <c r="N23226" s="28"/>
      <c r="O23226" s="28"/>
      <c r="U23226" s="28"/>
    </row>
    <row r="23227">
      <c r="N23227" s="28"/>
      <c r="O23227" s="28"/>
      <c r="U23227" s="28"/>
    </row>
    <row r="23228">
      <c r="N23228" s="28"/>
      <c r="O23228" s="28"/>
      <c r="U23228" s="28"/>
    </row>
    <row r="23229">
      <c r="N23229" s="28"/>
      <c r="O23229" s="28"/>
      <c r="U23229" s="28"/>
    </row>
    <row r="23230">
      <c r="N23230" s="28"/>
      <c r="O23230" s="28"/>
      <c r="U23230" s="28"/>
    </row>
    <row r="23231">
      <c r="N23231" s="28"/>
      <c r="O23231" s="28"/>
      <c r="U23231" s="28"/>
    </row>
    <row r="23232">
      <c r="N23232" s="28"/>
      <c r="O23232" s="28"/>
      <c r="U23232" s="28"/>
    </row>
    <row r="23233">
      <c r="N23233" s="28"/>
      <c r="O23233" s="28"/>
      <c r="U23233" s="28"/>
    </row>
    <row r="23234">
      <c r="N23234" s="28"/>
      <c r="O23234" s="28"/>
      <c r="U23234" s="28"/>
    </row>
    <row r="23235">
      <c r="N23235" s="28"/>
      <c r="O23235" s="28"/>
      <c r="U23235" s="28"/>
    </row>
    <row r="23236">
      <c r="N23236" s="28"/>
      <c r="O23236" s="28"/>
      <c r="U23236" s="28"/>
    </row>
    <row r="23237">
      <c r="N23237" s="28"/>
      <c r="O23237" s="28"/>
      <c r="U23237" s="28"/>
    </row>
    <row r="23238">
      <c r="N23238" s="28"/>
      <c r="O23238" s="28"/>
      <c r="U23238" s="28"/>
    </row>
    <row r="23239">
      <c r="N23239" s="28"/>
      <c r="O23239" s="28"/>
      <c r="U23239" s="28"/>
    </row>
    <row r="23240">
      <c r="N23240" s="28"/>
      <c r="O23240" s="28"/>
      <c r="U23240" s="28"/>
    </row>
    <row r="23241">
      <c r="N23241" s="28"/>
      <c r="O23241" s="28"/>
      <c r="U23241" s="28"/>
    </row>
    <row r="23242">
      <c r="N23242" s="28"/>
      <c r="O23242" s="28"/>
      <c r="U23242" s="28"/>
    </row>
    <row r="23243">
      <c r="N23243" s="28"/>
      <c r="O23243" s="28"/>
      <c r="U23243" s="28"/>
    </row>
    <row r="23244">
      <c r="N23244" s="28"/>
      <c r="O23244" s="28"/>
      <c r="U23244" s="28"/>
    </row>
    <row r="23245">
      <c r="N23245" s="28"/>
      <c r="O23245" s="28"/>
      <c r="U23245" s="28"/>
    </row>
    <row r="23246">
      <c r="N23246" s="28"/>
      <c r="O23246" s="28"/>
      <c r="U23246" s="28"/>
    </row>
    <row r="23247">
      <c r="N23247" s="28"/>
      <c r="O23247" s="28"/>
      <c r="U23247" s="28"/>
    </row>
    <row r="23248">
      <c r="N23248" s="28"/>
      <c r="O23248" s="28"/>
      <c r="U23248" s="28"/>
    </row>
    <row r="23249">
      <c r="N23249" s="28"/>
      <c r="O23249" s="28"/>
      <c r="U23249" s="28"/>
    </row>
    <row r="23250">
      <c r="N23250" s="28"/>
      <c r="O23250" s="28"/>
      <c r="U23250" s="28"/>
    </row>
    <row r="23251">
      <c r="N23251" s="28"/>
      <c r="O23251" s="28"/>
      <c r="U23251" s="28"/>
    </row>
    <row r="23252">
      <c r="N23252" s="28"/>
      <c r="O23252" s="28"/>
      <c r="U23252" s="28"/>
    </row>
    <row r="23253">
      <c r="N23253" s="28"/>
      <c r="O23253" s="28"/>
      <c r="U23253" s="28"/>
    </row>
    <row r="23254">
      <c r="N23254" s="28"/>
      <c r="O23254" s="28"/>
      <c r="U23254" s="28"/>
    </row>
    <row r="23255">
      <c r="N23255" s="28"/>
      <c r="O23255" s="28"/>
      <c r="U23255" s="28"/>
    </row>
    <row r="23256">
      <c r="N23256" s="28"/>
      <c r="O23256" s="28"/>
      <c r="U23256" s="28"/>
    </row>
    <row r="23257">
      <c r="N23257" s="28"/>
      <c r="O23257" s="28"/>
      <c r="U23257" s="28"/>
    </row>
    <row r="23258">
      <c r="N23258" s="28"/>
      <c r="O23258" s="28"/>
      <c r="U23258" s="28"/>
    </row>
    <row r="23259">
      <c r="N23259" s="28"/>
      <c r="O23259" s="28"/>
      <c r="U23259" s="28"/>
    </row>
    <row r="23260">
      <c r="N23260" s="28"/>
      <c r="O23260" s="28"/>
      <c r="U23260" s="28"/>
    </row>
    <row r="23261">
      <c r="N23261" s="28"/>
      <c r="O23261" s="28"/>
      <c r="U23261" s="28"/>
    </row>
    <row r="23262">
      <c r="N23262" s="28"/>
      <c r="O23262" s="28"/>
      <c r="U23262" s="28"/>
    </row>
    <row r="23263">
      <c r="N23263" s="28"/>
      <c r="O23263" s="28"/>
      <c r="U23263" s="28"/>
    </row>
    <row r="23264">
      <c r="N23264" s="28"/>
      <c r="O23264" s="28"/>
      <c r="U23264" s="28"/>
    </row>
    <row r="23265">
      <c r="N23265" s="28"/>
      <c r="O23265" s="28"/>
      <c r="U23265" s="28"/>
    </row>
    <row r="23266">
      <c r="N23266" s="28"/>
      <c r="O23266" s="28"/>
      <c r="U23266" s="28"/>
    </row>
    <row r="23267">
      <c r="N23267" s="28"/>
      <c r="O23267" s="28"/>
      <c r="U23267" s="28"/>
    </row>
    <row r="23268">
      <c r="N23268" s="28"/>
      <c r="O23268" s="28"/>
      <c r="U23268" s="28"/>
    </row>
    <row r="23269">
      <c r="N23269" s="28"/>
      <c r="O23269" s="28"/>
      <c r="U23269" s="28"/>
    </row>
    <row r="23270">
      <c r="N23270" s="28"/>
      <c r="O23270" s="28"/>
      <c r="U23270" s="28"/>
    </row>
    <row r="23271">
      <c r="N23271" s="28"/>
      <c r="O23271" s="28"/>
      <c r="U23271" s="28"/>
    </row>
    <row r="23272">
      <c r="N23272" s="28"/>
      <c r="O23272" s="28"/>
      <c r="U23272" s="28"/>
    </row>
    <row r="23273">
      <c r="N23273" s="28"/>
      <c r="O23273" s="28"/>
      <c r="U23273" s="28"/>
    </row>
    <row r="23274">
      <c r="N23274" s="28"/>
      <c r="O23274" s="28"/>
      <c r="U23274" s="28"/>
    </row>
    <row r="23275">
      <c r="N23275" s="28"/>
      <c r="O23275" s="28"/>
      <c r="U23275" s="28"/>
    </row>
    <row r="23276">
      <c r="N23276" s="28"/>
      <c r="O23276" s="28"/>
      <c r="U23276" s="28"/>
    </row>
    <row r="23277">
      <c r="N23277" s="28"/>
      <c r="O23277" s="28"/>
      <c r="U23277" s="28"/>
    </row>
    <row r="23278">
      <c r="N23278" s="28"/>
      <c r="O23278" s="28"/>
      <c r="U23278" s="28"/>
    </row>
    <row r="23279">
      <c r="N23279" s="28"/>
      <c r="O23279" s="28"/>
      <c r="U23279" s="28"/>
    </row>
    <row r="23280">
      <c r="N23280" s="28"/>
      <c r="O23280" s="28"/>
      <c r="U23280" s="28"/>
    </row>
    <row r="23281">
      <c r="N23281" s="28"/>
      <c r="O23281" s="28"/>
      <c r="U23281" s="28"/>
    </row>
    <row r="23282">
      <c r="N23282" s="28"/>
      <c r="O23282" s="28"/>
      <c r="U23282" s="28"/>
    </row>
    <row r="23283">
      <c r="N23283" s="28"/>
      <c r="O23283" s="28"/>
      <c r="U23283" s="28"/>
    </row>
    <row r="23284">
      <c r="N23284" s="28"/>
      <c r="O23284" s="28"/>
      <c r="U23284" s="28"/>
    </row>
    <row r="23285">
      <c r="N23285" s="28"/>
      <c r="O23285" s="28"/>
      <c r="U23285" s="28"/>
    </row>
    <row r="23286">
      <c r="N23286" s="28"/>
      <c r="O23286" s="28"/>
      <c r="U23286" s="28"/>
    </row>
    <row r="23287">
      <c r="N23287" s="28"/>
      <c r="O23287" s="28"/>
      <c r="U23287" s="28"/>
    </row>
    <row r="23288">
      <c r="N23288" s="28"/>
      <c r="O23288" s="28"/>
      <c r="U23288" s="28"/>
    </row>
    <row r="23289">
      <c r="N23289" s="28"/>
      <c r="O23289" s="28"/>
      <c r="U23289" s="28"/>
    </row>
    <row r="23290">
      <c r="N23290" s="28"/>
      <c r="O23290" s="28"/>
      <c r="U23290" s="28"/>
    </row>
    <row r="23291">
      <c r="N23291" s="28"/>
      <c r="O23291" s="28"/>
      <c r="U23291" s="28"/>
    </row>
    <row r="23292">
      <c r="N23292" s="28"/>
      <c r="O23292" s="28"/>
      <c r="U23292" s="28"/>
    </row>
    <row r="23293">
      <c r="N23293" s="28"/>
      <c r="O23293" s="28"/>
      <c r="U23293" s="28"/>
    </row>
    <row r="23294">
      <c r="N23294" s="28"/>
      <c r="O23294" s="28"/>
      <c r="U23294" s="28"/>
    </row>
    <row r="23295">
      <c r="N23295" s="28"/>
      <c r="O23295" s="28"/>
      <c r="U23295" s="28"/>
    </row>
    <row r="23296">
      <c r="N23296" s="28"/>
      <c r="O23296" s="28"/>
      <c r="U23296" s="28"/>
    </row>
    <row r="23297">
      <c r="N23297" s="28"/>
      <c r="O23297" s="28"/>
      <c r="U23297" s="28"/>
    </row>
    <row r="23298">
      <c r="N23298" s="28"/>
      <c r="O23298" s="28"/>
      <c r="U23298" s="28"/>
    </row>
    <row r="23299">
      <c r="N23299" s="28"/>
      <c r="O23299" s="28"/>
      <c r="U23299" s="28"/>
    </row>
    <row r="23300">
      <c r="N23300" s="28"/>
      <c r="O23300" s="28"/>
      <c r="U23300" s="28"/>
    </row>
    <row r="23301">
      <c r="N23301" s="28"/>
      <c r="O23301" s="28"/>
      <c r="U23301" s="28"/>
    </row>
    <row r="23302">
      <c r="N23302" s="28"/>
      <c r="O23302" s="28"/>
      <c r="U23302" s="28"/>
    </row>
    <row r="23303">
      <c r="N23303" s="28"/>
      <c r="O23303" s="28"/>
      <c r="U23303" s="28"/>
    </row>
    <row r="23304">
      <c r="N23304" s="28"/>
      <c r="O23304" s="28"/>
      <c r="U23304" s="28"/>
    </row>
    <row r="23305">
      <c r="N23305" s="28"/>
      <c r="O23305" s="28"/>
      <c r="U23305" s="28"/>
    </row>
    <row r="23306">
      <c r="N23306" s="28"/>
      <c r="O23306" s="28"/>
      <c r="U23306" s="28"/>
    </row>
    <row r="23307">
      <c r="N23307" s="28"/>
      <c r="O23307" s="28"/>
      <c r="U23307" s="28"/>
    </row>
    <row r="23308">
      <c r="N23308" s="28"/>
      <c r="O23308" s="28"/>
      <c r="U23308" s="28"/>
    </row>
    <row r="23309">
      <c r="N23309" s="28"/>
      <c r="O23309" s="28"/>
      <c r="U23309" s="28"/>
    </row>
    <row r="23310">
      <c r="N23310" s="28"/>
      <c r="O23310" s="28"/>
      <c r="U23310" s="28"/>
    </row>
    <row r="23311">
      <c r="N23311" s="28"/>
      <c r="O23311" s="28"/>
      <c r="U23311" s="28"/>
    </row>
    <row r="23312">
      <c r="N23312" s="28"/>
      <c r="O23312" s="28"/>
      <c r="U23312" s="28"/>
    </row>
    <row r="23313">
      <c r="N23313" s="28"/>
      <c r="O23313" s="28"/>
      <c r="U23313" s="28"/>
    </row>
    <row r="23314">
      <c r="N23314" s="28"/>
      <c r="O23314" s="28"/>
      <c r="U23314" s="28"/>
    </row>
    <row r="23315">
      <c r="N23315" s="28"/>
      <c r="O23315" s="28"/>
      <c r="U23315" s="28"/>
    </row>
    <row r="23316">
      <c r="N23316" s="28"/>
      <c r="O23316" s="28"/>
      <c r="U23316" s="28"/>
    </row>
    <row r="23317">
      <c r="N23317" s="28"/>
      <c r="O23317" s="28"/>
      <c r="U23317" s="28"/>
    </row>
    <row r="23318">
      <c r="N23318" s="28"/>
      <c r="O23318" s="28"/>
      <c r="U23318" s="28"/>
    </row>
    <row r="23319">
      <c r="N23319" s="28"/>
      <c r="O23319" s="28"/>
      <c r="U23319" s="28"/>
    </row>
    <row r="23320">
      <c r="N23320" s="28"/>
      <c r="O23320" s="28"/>
      <c r="U23320" s="28"/>
    </row>
    <row r="23321">
      <c r="N23321" s="28"/>
      <c r="O23321" s="28"/>
      <c r="U23321" s="28"/>
    </row>
    <row r="23322">
      <c r="N23322" s="28"/>
      <c r="O23322" s="28"/>
      <c r="U23322" s="28"/>
    </row>
    <row r="23323">
      <c r="N23323" s="28"/>
      <c r="O23323" s="28"/>
      <c r="U23323" s="28"/>
    </row>
    <row r="23324">
      <c r="N23324" s="28"/>
      <c r="O23324" s="28"/>
      <c r="U23324" s="28"/>
    </row>
    <row r="23325">
      <c r="N23325" s="28"/>
      <c r="O23325" s="28"/>
      <c r="U23325" s="28"/>
    </row>
    <row r="23326">
      <c r="N23326" s="28"/>
      <c r="O23326" s="28"/>
      <c r="U23326" s="28"/>
    </row>
    <row r="23327">
      <c r="N23327" s="28"/>
      <c r="O23327" s="28"/>
      <c r="U23327" s="28"/>
    </row>
    <row r="23328">
      <c r="N23328" s="28"/>
      <c r="O23328" s="28"/>
      <c r="U23328" s="28"/>
    </row>
    <row r="23329">
      <c r="N23329" s="28"/>
      <c r="O23329" s="28"/>
      <c r="U23329" s="28"/>
    </row>
    <row r="23330">
      <c r="N23330" s="28"/>
      <c r="O23330" s="28"/>
      <c r="U23330" s="28"/>
    </row>
    <row r="23331">
      <c r="N23331" s="28"/>
      <c r="O23331" s="28"/>
      <c r="U23331" s="28"/>
    </row>
    <row r="23332">
      <c r="N23332" s="28"/>
      <c r="O23332" s="28"/>
      <c r="U23332" s="28"/>
    </row>
    <row r="23333">
      <c r="N23333" s="28"/>
      <c r="O23333" s="28"/>
      <c r="U23333" s="28"/>
    </row>
    <row r="23334">
      <c r="N23334" s="28"/>
      <c r="O23334" s="28"/>
      <c r="U23334" s="28"/>
    </row>
    <row r="23335">
      <c r="N23335" s="28"/>
      <c r="O23335" s="28"/>
      <c r="U23335" s="28"/>
    </row>
    <row r="23336">
      <c r="N23336" s="28"/>
      <c r="O23336" s="28"/>
      <c r="U23336" s="28"/>
    </row>
    <row r="23337">
      <c r="N23337" s="28"/>
      <c r="O23337" s="28"/>
      <c r="U23337" s="28"/>
    </row>
    <row r="23338">
      <c r="N23338" s="28"/>
      <c r="O23338" s="28"/>
      <c r="U23338" s="28"/>
    </row>
    <row r="23339">
      <c r="N23339" s="28"/>
      <c r="O23339" s="28"/>
      <c r="U23339" s="28"/>
    </row>
    <row r="23340">
      <c r="N23340" s="28"/>
      <c r="O23340" s="28"/>
      <c r="U23340" s="28"/>
    </row>
    <row r="23341">
      <c r="N23341" s="28"/>
      <c r="O23341" s="28"/>
      <c r="U23341" s="28"/>
    </row>
    <row r="23342">
      <c r="N23342" s="28"/>
      <c r="O23342" s="28"/>
      <c r="U23342" s="28"/>
    </row>
    <row r="23343">
      <c r="N23343" s="28"/>
      <c r="O23343" s="28"/>
      <c r="U23343" s="28"/>
    </row>
    <row r="23344">
      <c r="N23344" s="28"/>
      <c r="O23344" s="28"/>
      <c r="U23344" s="28"/>
    </row>
    <row r="23345">
      <c r="N23345" s="28"/>
      <c r="O23345" s="28"/>
      <c r="U23345" s="28"/>
    </row>
    <row r="23346">
      <c r="N23346" s="28"/>
      <c r="O23346" s="28"/>
      <c r="U23346" s="28"/>
    </row>
    <row r="23347">
      <c r="N23347" s="28"/>
      <c r="O23347" s="28"/>
      <c r="U23347" s="28"/>
    </row>
    <row r="23348">
      <c r="N23348" s="28"/>
      <c r="O23348" s="28"/>
      <c r="U23348" s="28"/>
    </row>
    <row r="23349">
      <c r="N23349" s="28"/>
      <c r="O23349" s="28"/>
      <c r="U23349" s="28"/>
    </row>
    <row r="23350">
      <c r="N23350" s="28"/>
      <c r="O23350" s="28"/>
      <c r="U23350" s="28"/>
    </row>
    <row r="23351">
      <c r="N23351" s="28"/>
      <c r="O23351" s="28"/>
      <c r="U23351" s="28"/>
    </row>
    <row r="23352">
      <c r="N23352" s="28"/>
      <c r="O23352" s="28"/>
      <c r="U23352" s="28"/>
    </row>
    <row r="23353">
      <c r="N23353" s="28"/>
      <c r="O23353" s="28"/>
      <c r="U23353" s="28"/>
    </row>
    <row r="23354">
      <c r="N23354" s="28"/>
      <c r="O23354" s="28"/>
      <c r="U23354" s="28"/>
    </row>
    <row r="23355">
      <c r="N23355" s="28"/>
      <c r="O23355" s="28"/>
      <c r="U23355" s="28"/>
    </row>
    <row r="23356">
      <c r="N23356" s="28"/>
      <c r="O23356" s="28"/>
      <c r="U23356" s="28"/>
    </row>
    <row r="23357">
      <c r="N23357" s="28"/>
      <c r="O23357" s="28"/>
      <c r="U23357" s="28"/>
    </row>
    <row r="23358">
      <c r="N23358" s="28"/>
      <c r="O23358" s="28"/>
      <c r="U23358" s="28"/>
    </row>
    <row r="23359">
      <c r="N23359" s="28"/>
      <c r="O23359" s="28"/>
      <c r="U23359" s="28"/>
    </row>
    <row r="23360">
      <c r="N23360" s="28"/>
      <c r="O23360" s="28"/>
      <c r="U23360" s="28"/>
    </row>
    <row r="23361">
      <c r="N23361" s="28"/>
      <c r="O23361" s="28"/>
      <c r="U23361" s="28"/>
    </row>
    <row r="23362">
      <c r="N23362" s="28"/>
      <c r="O23362" s="28"/>
      <c r="U23362" s="28"/>
    </row>
    <row r="23363">
      <c r="N23363" s="28"/>
      <c r="O23363" s="28"/>
      <c r="U23363" s="28"/>
    </row>
    <row r="23364">
      <c r="N23364" s="28"/>
      <c r="O23364" s="28"/>
      <c r="U23364" s="28"/>
    </row>
    <row r="23365">
      <c r="N23365" s="28"/>
      <c r="O23365" s="28"/>
      <c r="U23365" s="28"/>
    </row>
    <row r="23366">
      <c r="N23366" s="28"/>
      <c r="O23366" s="28"/>
      <c r="U23366" s="28"/>
    </row>
    <row r="23367">
      <c r="N23367" s="28"/>
      <c r="O23367" s="28"/>
      <c r="U23367" s="28"/>
    </row>
    <row r="23368">
      <c r="N23368" s="28"/>
      <c r="O23368" s="28"/>
      <c r="U23368" s="28"/>
    </row>
    <row r="23369">
      <c r="N23369" s="28"/>
      <c r="O23369" s="28"/>
      <c r="U23369" s="28"/>
    </row>
    <row r="23370">
      <c r="N23370" s="28"/>
      <c r="O23370" s="28"/>
      <c r="U23370" s="28"/>
    </row>
    <row r="23371">
      <c r="N23371" s="28"/>
      <c r="O23371" s="28"/>
      <c r="U23371" s="28"/>
    </row>
    <row r="23372">
      <c r="N23372" s="28"/>
      <c r="O23372" s="28"/>
      <c r="U23372" s="28"/>
    </row>
    <row r="23373">
      <c r="N23373" s="28"/>
      <c r="O23373" s="28"/>
      <c r="U23373" s="28"/>
    </row>
    <row r="23374">
      <c r="N23374" s="28"/>
      <c r="O23374" s="28"/>
      <c r="U23374" s="28"/>
    </row>
    <row r="23375">
      <c r="N23375" s="28"/>
      <c r="O23375" s="28"/>
      <c r="U23375" s="28"/>
    </row>
    <row r="23376">
      <c r="N23376" s="28"/>
      <c r="O23376" s="28"/>
      <c r="U23376" s="28"/>
    </row>
    <row r="23377">
      <c r="N23377" s="28"/>
      <c r="O23377" s="28"/>
      <c r="U23377" s="28"/>
    </row>
    <row r="23378">
      <c r="N23378" s="28"/>
      <c r="O23378" s="28"/>
      <c r="U23378" s="28"/>
    </row>
    <row r="23379">
      <c r="N23379" s="28"/>
      <c r="O23379" s="28"/>
      <c r="U23379" s="28"/>
    </row>
    <row r="23380">
      <c r="N23380" s="28"/>
      <c r="O23380" s="28"/>
      <c r="U23380" s="28"/>
    </row>
    <row r="23381">
      <c r="N23381" s="28"/>
      <c r="O23381" s="28"/>
      <c r="U23381" s="28"/>
    </row>
    <row r="23382">
      <c r="N23382" s="28"/>
      <c r="O23382" s="28"/>
      <c r="U23382" s="28"/>
    </row>
    <row r="23383">
      <c r="N23383" s="28"/>
      <c r="O23383" s="28"/>
      <c r="U23383" s="28"/>
    </row>
    <row r="23384">
      <c r="N23384" s="28"/>
      <c r="O23384" s="28"/>
      <c r="U23384" s="28"/>
    </row>
    <row r="23385">
      <c r="N23385" s="28"/>
      <c r="O23385" s="28"/>
      <c r="U23385" s="28"/>
    </row>
    <row r="23386">
      <c r="N23386" s="28"/>
      <c r="O23386" s="28"/>
      <c r="U23386" s="28"/>
    </row>
    <row r="23387">
      <c r="N23387" s="28"/>
      <c r="O23387" s="28"/>
      <c r="U23387" s="28"/>
    </row>
    <row r="23388">
      <c r="N23388" s="28"/>
      <c r="O23388" s="28"/>
      <c r="U23388" s="28"/>
    </row>
    <row r="23389">
      <c r="N23389" s="28"/>
      <c r="O23389" s="28"/>
      <c r="U23389" s="28"/>
    </row>
    <row r="23390">
      <c r="N23390" s="28"/>
      <c r="O23390" s="28"/>
      <c r="U23390" s="28"/>
    </row>
    <row r="23391">
      <c r="N23391" s="28"/>
      <c r="O23391" s="28"/>
      <c r="U23391" s="28"/>
    </row>
    <row r="23392">
      <c r="N23392" s="28"/>
      <c r="O23392" s="28"/>
      <c r="U23392" s="28"/>
    </row>
    <row r="23393">
      <c r="N23393" s="28"/>
      <c r="O23393" s="28"/>
      <c r="U23393" s="28"/>
    </row>
    <row r="23394">
      <c r="N23394" s="28"/>
      <c r="O23394" s="28"/>
      <c r="U23394" s="28"/>
    </row>
    <row r="23395">
      <c r="N23395" s="28"/>
      <c r="O23395" s="28"/>
      <c r="U23395" s="28"/>
    </row>
    <row r="23396">
      <c r="N23396" s="28"/>
      <c r="O23396" s="28"/>
      <c r="U23396" s="28"/>
    </row>
    <row r="23397">
      <c r="N23397" s="28"/>
      <c r="O23397" s="28"/>
      <c r="U23397" s="28"/>
    </row>
    <row r="23398">
      <c r="N23398" s="28"/>
      <c r="O23398" s="28"/>
      <c r="U23398" s="28"/>
    </row>
    <row r="23399">
      <c r="N23399" s="28"/>
      <c r="O23399" s="28"/>
      <c r="U23399" s="28"/>
    </row>
    <row r="23400">
      <c r="N23400" s="28"/>
      <c r="O23400" s="28"/>
      <c r="U23400" s="28"/>
    </row>
    <row r="23401">
      <c r="N23401" s="28"/>
      <c r="O23401" s="28"/>
      <c r="U23401" s="28"/>
    </row>
    <row r="23402">
      <c r="N23402" s="28"/>
      <c r="O23402" s="28"/>
      <c r="U23402" s="28"/>
    </row>
    <row r="23403">
      <c r="N23403" s="28"/>
      <c r="O23403" s="28"/>
      <c r="U23403" s="28"/>
    </row>
    <row r="23404">
      <c r="N23404" s="28"/>
      <c r="O23404" s="28"/>
      <c r="U23404" s="28"/>
    </row>
    <row r="23405">
      <c r="N23405" s="28"/>
      <c r="O23405" s="28"/>
      <c r="U23405" s="28"/>
    </row>
    <row r="23406">
      <c r="N23406" s="28"/>
      <c r="O23406" s="28"/>
      <c r="U23406" s="28"/>
    </row>
    <row r="23407">
      <c r="N23407" s="28"/>
      <c r="O23407" s="28"/>
      <c r="U23407" s="28"/>
    </row>
    <row r="23408">
      <c r="N23408" s="28"/>
      <c r="O23408" s="28"/>
      <c r="U23408" s="28"/>
    </row>
    <row r="23409">
      <c r="N23409" s="28"/>
      <c r="O23409" s="28"/>
      <c r="U23409" s="28"/>
    </row>
    <row r="23410">
      <c r="N23410" s="28"/>
      <c r="O23410" s="28"/>
      <c r="U23410" s="28"/>
    </row>
    <row r="23411">
      <c r="N23411" s="28"/>
      <c r="O23411" s="28"/>
      <c r="U23411" s="28"/>
    </row>
    <row r="23412">
      <c r="N23412" s="28"/>
      <c r="O23412" s="28"/>
      <c r="U23412" s="28"/>
    </row>
    <row r="23413">
      <c r="N23413" s="28"/>
      <c r="O23413" s="28"/>
      <c r="U23413" s="28"/>
    </row>
    <row r="23414">
      <c r="N23414" s="28"/>
      <c r="O23414" s="28"/>
      <c r="U23414" s="28"/>
    </row>
    <row r="23415">
      <c r="N23415" s="28"/>
      <c r="O23415" s="28"/>
      <c r="U23415" s="28"/>
    </row>
    <row r="23416">
      <c r="N23416" s="28"/>
      <c r="O23416" s="28"/>
      <c r="U23416" s="28"/>
    </row>
    <row r="23417">
      <c r="N23417" s="28"/>
      <c r="O23417" s="28"/>
      <c r="U23417" s="28"/>
    </row>
    <row r="23418">
      <c r="N23418" s="28"/>
      <c r="O23418" s="28"/>
      <c r="U23418" s="28"/>
    </row>
    <row r="23419">
      <c r="N23419" s="28"/>
      <c r="O23419" s="28"/>
      <c r="U23419" s="28"/>
    </row>
    <row r="23420">
      <c r="N23420" s="28"/>
      <c r="O23420" s="28"/>
      <c r="U23420" s="28"/>
    </row>
    <row r="23421">
      <c r="N23421" s="28"/>
      <c r="O23421" s="28"/>
      <c r="U23421" s="28"/>
    </row>
    <row r="23422">
      <c r="N23422" s="28"/>
      <c r="O23422" s="28"/>
      <c r="U23422" s="28"/>
    </row>
    <row r="23423">
      <c r="N23423" s="28"/>
      <c r="O23423" s="28"/>
      <c r="U23423" s="28"/>
    </row>
    <row r="23424">
      <c r="N23424" s="28"/>
      <c r="O23424" s="28"/>
      <c r="U23424" s="28"/>
    </row>
    <row r="23425">
      <c r="N23425" s="28"/>
      <c r="O23425" s="28"/>
      <c r="U23425" s="28"/>
    </row>
    <row r="23426">
      <c r="N23426" s="28"/>
      <c r="O23426" s="28"/>
      <c r="U23426" s="28"/>
    </row>
    <row r="23427">
      <c r="N23427" s="28"/>
      <c r="O23427" s="28"/>
      <c r="U23427" s="28"/>
    </row>
    <row r="23428">
      <c r="N23428" s="28"/>
      <c r="O23428" s="28"/>
      <c r="U23428" s="28"/>
    </row>
    <row r="23429">
      <c r="N23429" s="28"/>
      <c r="O23429" s="28"/>
      <c r="U23429" s="28"/>
    </row>
    <row r="23430">
      <c r="N23430" s="28"/>
      <c r="O23430" s="28"/>
      <c r="U23430" s="28"/>
    </row>
    <row r="23431">
      <c r="N23431" s="28"/>
      <c r="O23431" s="28"/>
      <c r="U23431" s="28"/>
    </row>
    <row r="23432">
      <c r="N23432" s="28"/>
      <c r="O23432" s="28"/>
      <c r="U23432" s="28"/>
    </row>
    <row r="23433">
      <c r="N23433" s="28"/>
      <c r="O23433" s="28"/>
      <c r="U23433" s="28"/>
    </row>
    <row r="23434">
      <c r="N23434" s="28"/>
      <c r="O23434" s="28"/>
      <c r="U23434" s="28"/>
    </row>
    <row r="23435">
      <c r="N23435" s="28"/>
      <c r="O23435" s="28"/>
      <c r="U23435" s="28"/>
    </row>
    <row r="23436">
      <c r="N23436" s="28"/>
      <c r="O23436" s="28"/>
      <c r="U23436" s="28"/>
    </row>
    <row r="23437">
      <c r="N23437" s="28"/>
      <c r="O23437" s="28"/>
      <c r="U23437" s="28"/>
    </row>
    <row r="23438">
      <c r="N23438" s="28"/>
      <c r="O23438" s="28"/>
      <c r="U23438" s="28"/>
    </row>
    <row r="23439">
      <c r="N23439" s="28"/>
      <c r="O23439" s="28"/>
      <c r="U23439" s="28"/>
    </row>
    <row r="23440">
      <c r="N23440" s="28"/>
      <c r="O23440" s="28"/>
      <c r="U23440" s="28"/>
    </row>
    <row r="23441">
      <c r="N23441" s="28"/>
      <c r="O23441" s="28"/>
      <c r="U23441" s="28"/>
    </row>
    <row r="23442">
      <c r="N23442" s="28"/>
      <c r="O23442" s="28"/>
      <c r="U23442" s="28"/>
    </row>
    <row r="23443">
      <c r="N23443" s="28"/>
      <c r="O23443" s="28"/>
      <c r="U23443" s="28"/>
    </row>
    <row r="23444">
      <c r="N23444" s="28"/>
      <c r="O23444" s="28"/>
      <c r="U23444" s="28"/>
    </row>
    <row r="23445">
      <c r="N23445" s="28"/>
      <c r="O23445" s="28"/>
      <c r="U23445" s="28"/>
    </row>
    <row r="23446">
      <c r="N23446" s="28"/>
      <c r="O23446" s="28"/>
      <c r="U23446" s="28"/>
    </row>
    <row r="23447">
      <c r="N23447" s="28"/>
      <c r="O23447" s="28"/>
      <c r="U23447" s="28"/>
    </row>
    <row r="23448">
      <c r="N23448" s="28"/>
      <c r="O23448" s="28"/>
      <c r="U23448" s="28"/>
    </row>
    <row r="23449">
      <c r="N23449" s="28"/>
      <c r="O23449" s="28"/>
      <c r="U23449" s="28"/>
    </row>
    <row r="23450">
      <c r="N23450" s="28"/>
      <c r="O23450" s="28"/>
      <c r="U23450" s="28"/>
    </row>
    <row r="23451">
      <c r="N23451" s="28"/>
      <c r="O23451" s="28"/>
      <c r="U23451" s="28"/>
    </row>
    <row r="23452">
      <c r="N23452" s="28"/>
      <c r="O23452" s="28"/>
      <c r="U23452" s="28"/>
    </row>
    <row r="23453">
      <c r="N23453" s="28"/>
      <c r="O23453" s="28"/>
      <c r="U23453" s="28"/>
    </row>
    <row r="23454">
      <c r="N23454" s="28"/>
      <c r="O23454" s="28"/>
      <c r="U23454" s="28"/>
    </row>
    <row r="23455">
      <c r="N23455" s="28"/>
      <c r="O23455" s="28"/>
      <c r="U23455" s="28"/>
    </row>
    <row r="23456">
      <c r="N23456" s="28"/>
      <c r="O23456" s="28"/>
      <c r="U23456" s="28"/>
    </row>
    <row r="23457">
      <c r="N23457" s="28"/>
      <c r="O23457" s="28"/>
      <c r="U23457" s="28"/>
    </row>
    <row r="23458">
      <c r="N23458" s="28"/>
      <c r="O23458" s="28"/>
      <c r="U23458" s="28"/>
    </row>
    <row r="23459">
      <c r="N23459" s="28"/>
      <c r="O23459" s="28"/>
      <c r="U23459" s="28"/>
    </row>
    <row r="23460">
      <c r="N23460" s="28"/>
      <c r="O23460" s="28"/>
      <c r="U23460" s="28"/>
    </row>
    <row r="23461">
      <c r="N23461" s="28"/>
      <c r="O23461" s="28"/>
      <c r="U23461" s="28"/>
    </row>
    <row r="23462">
      <c r="N23462" s="28"/>
      <c r="O23462" s="28"/>
      <c r="U23462" s="28"/>
    </row>
    <row r="23463">
      <c r="N23463" s="28"/>
      <c r="O23463" s="28"/>
      <c r="U23463" s="28"/>
    </row>
    <row r="23464">
      <c r="N23464" s="28"/>
      <c r="O23464" s="28"/>
      <c r="U23464" s="28"/>
    </row>
    <row r="23465">
      <c r="N23465" s="28"/>
      <c r="O23465" s="28"/>
      <c r="U23465" s="28"/>
    </row>
    <row r="23466">
      <c r="N23466" s="28"/>
      <c r="O23466" s="28"/>
      <c r="U23466" s="28"/>
    </row>
    <row r="23467">
      <c r="N23467" s="28"/>
      <c r="O23467" s="28"/>
      <c r="U23467" s="28"/>
    </row>
    <row r="23468">
      <c r="N23468" s="28"/>
      <c r="O23468" s="28"/>
      <c r="U23468" s="28"/>
    </row>
    <row r="23469">
      <c r="N23469" s="28"/>
      <c r="O23469" s="28"/>
      <c r="U23469" s="28"/>
    </row>
    <row r="23470">
      <c r="N23470" s="28"/>
      <c r="O23470" s="28"/>
      <c r="U23470" s="28"/>
    </row>
    <row r="23471">
      <c r="N23471" s="28"/>
      <c r="O23471" s="28"/>
      <c r="U23471" s="28"/>
    </row>
    <row r="23472">
      <c r="N23472" s="28"/>
      <c r="O23472" s="28"/>
      <c r="U23472" s="28"/>
    </row>
    <row r="23473">
      <c r="N23473" s="28"/>
      <c r="O23473" s="28"/>
      <c r="U23473" s="28"/>
    </row>
    <row r="23474">
      <c r="N23474" s="28"/>
      <c r="O23474" s="28"/>
      <c r="U23474" s="28"/>
    </row>
    <row r="23475">
      <c r="N23475" s="28"/>
      <c r="O23475" s="28"/>
      <c r="U23475" s="28"/>
    </row>
    <row r="23476">
      <c r="N23476" s="28"/>
      <c r="O23476" s="28"/>
      <c r="U23476" s="28"/>
    </row>
    <row r="23477">
      <c r="N23477" s="28"/>
      <c r="O23477" s="28"/>
      <c r="U23477" s="28"/>
    </row>
    <row r="23478">
      <c r="N23478" s="28"/>
      <c r="O23478" s="28"/>
      <c r="U23478" s="28"/>
    </row>
    <row r="23479">
      <c r="N23479" s="28"/>
      <c r="O23479" s="28"/>
      <c r="U23479" s="28"/>
    </row>
    <row r="23480">
      <c r="N23480" s="28"/>
      <c r="O23480" s="28"/>
      <c r="U23480" s="28"/>
    </row>
    <row r="23481">
      <c r="N23481" s="28"/>
      <c r="O23481" s="28"/>
      <c r="U23481" s="28"/>
    </row>
    <row r="23482">
      <c r="N23482" s="28"/>
      <c r="O23482" s="28"/>
      <c r="U23482" s="28"/>
    </row>
    <row r="23483">
      <c r="N23483" s="28"/>
      <c r="O23483" s="28"/>
      <c r="U23483" s="28"/>
    </row>
    <row r="23484">
      <c r="N23484" s="28"/>
      <c r="O23484" s="28"/>
      <c r="U23484" s="28"/>
    </row>
    <row r="23485">
      <c r="N23485" s="28"/>
      <c r="O23485" s="28"/>
      <c r="U23485" s="28"/>
    </row>
    <row r="23486">
      <c r="N23486" s="28"/>
      <c r="O23486" s="28"/>
      <c r="U23486" s="28"/>
    </row>
    <row r="23487">
      <c r="N23487" s="28"/>
      <c r="O23487" s="28"/>
      <c r="U23487" s="28"/>
    </row>
    <row r="23488">
      <c r="N23488" s="28"/>
      <c r="O23488" s="28"/>
      <c r="U23488" s="28"/>
    </row>
    <row r="23489">
      <c r="N23489" s="28"/>
      <c r="O23489" s="28"/>
      <c r="U23489" s="28"/>
    </row>
    <row r="23490">
      <c r="N23490" s="28"/>
      <c r="O23490" s="28"/>
      <c r="U23490" s="28"/>
    </row>
    <row r="23491">
      <c r="N23491" s="28"/>
      <c r="O23491" s="28"/>
      <c r="U23491" s="28"/>
    </row>
    <row r="23492">
      <c r="N23492" s="28"/>
      <c r="O23492" s="28"/>
      <c r="U23492" s="28"/>
    </row>
    <row r="23493">
      <c r="N23493" s="28"/>
      <c r="O23493" s="28"/>
      <c r="U23493" s="28"/>
    </row>
    <row r="23494">
      <c r="N23494" s="28"/>
      <c r="O23494" s="28"/>
      <c r="U23494" s="28"/>
    </row>
    <row r="23495">
      <c r="N23495" s="28"/>
      <c r="O23495" s="28"/>
      <c r="U23495" s="28"/>
    </row>
    <row r="23496">
      <c r="N23496" s="28"/>
      <c r="O23496" s="28"/>
      <c r="U23496" s="28"/>
    </row>
    <row r="23497">
      <c r="N23497" s="28"/>
      <c r="O23497" s="28"/>
      <c r="U23497" s="28"/>
    </row>
    <row r="23498">
      <c r="N23498" s="28"/>
      <c r="O23498" s="28"/>
      <c r="U23498" s="28"/>
    </row>
    <row r="23499">
      <c r="N23499" s="28"/>
      <c r="O23499" s="28"/>
      <c r="U23499" s="28"/>
    </row>
    <row r="23500">
      <c r="N23500" s="28"/>
      <c r="O23500" s="28"/>
      <c r="U23500" s="28"/>
    </row>
    <row r="23501">
      <c r="N23501" s="28"/>
      <c r="O23501" s="28"/>
      <c r="U23501" s="28"/>
    </row>
    <row r="23502">
      <c r="N23502" s="28"/>
      <c r="O23502" s="28"/>
      <c r="U23502" s="28"/>
    </row>
    <row r="23503">
      <c r="N23503" s="28"/>
      <c r="O23503" s="28"/>
      <c r="U23503" s="28"/>
    </row>
    <row r="23504">
      <c r="N23504" s="28"/>
      <c r="O23504" s="28"/>
      <c r="U23504" s="28"/>
    </row>
    <row r="23505">
      <c r="N23505" s="28"/>
      <c r="O23505" s="28"/>
      <c r="U23505" s="28"/>
    </row>
    <row r="23506">
      <c r="N23506" s="28"/>
      <c r="O23506" s="28"/>
      <c r="U23506" s="28"/>
    </row>
    <row r="23507">
      <c r="N23507" s="28"/>
      <c r="O23507" s="28"/>
      <c r="U23507" s="28"/>
    </row>
    <row r="23508">
      <c r="N23508" s="28"/>
      <c r="O23508" s="28"/>
      <c r="U23508" s="28"/>
    </row>
    <row r="23509">
      <c r="N23509" s="28"/>
      <c r="O23509" s="28"/>
      <c r="U23509" s="28"/>
    </row>
    <row r="23510">
      <c r="N23510" s="28"/>
      <c r="O23510" s="28"/>
      <c r="U23510" s="28"/>
    </row>
    <row r="23511">
      <c r="N23511" s="28"/>
      <c r="O23511" s="28"/>
      <c r="U23511" s="28"/>
    </row>
    <row r="23512">
      <c r="N23512" s="28"/>
      <c r="O23512" s="28"/>
      <c r="U23512" s="28"/>
    </row>
    <row r="23513">
      <c r="N23513" s="28"/>
      <c r="O23513" s="28"/>
      <c r="U23513" s="28"/>
    </row>
    <row r="23514">
      <c r="N23514" s="28"/>
      <c r="O23514" s="28"/>
      <c r="U23514" s="28"/>
    </row>
    <row r="23515">
      <c r="N23515" s="28"/>
      <c r="O23515" s="28"/>
      <c r="U23515" s="28"/>
    </row>
    <row r="23516">
      <c r="N23516" s="28"/>
      <c r="O23516" s="28"/>
      <c r="U23516" s="28"/>
    </row>
    <row r="23517">
      <c r="N23517" s="28"/>
      <c r="O23517" s="28"/>
      <c r="U23517" s="28"/>
    </row>
    <row r="23518">
      <c r="N23518" s="28"/>
      <c r="O23518" s="28"/>
      <c r="U23518" s="28"/>
    </row>
    <row r="23519">
      <c r="N23519" s="28"/>
      <c r="O23519" s="28"/>
      <c r="U23519" s="28"/>
    </row>
    <row r="23520">
      <c r="N23520" s="28"/>
      <c r="O23520" s="28"/>
      <c r="U23520" s="28"/>
    </row>
    <row r="23521">
      <c r="N23521" s="28"/>
      <c r="O23521" s="28"/>
      <c r="U23521" s="28"/>
    </row>
    <row r="23522">
      <c r="N23522" s="28"/>
      <c r="O23522" s="28"/>
      <c r="U23522" s="28"/>
    </row>
    <row r="23523">
      <c r="N23523" s="28"/>
      <c r="O23523" s="28"/>
      <c r="U23523" s="28"/>
    </row>
    <row r="23524">
      <c r="N23524" s="28"/>
      <c r="O23524" s="28"/>
      <c r="U23524" s="28"/>
    </row>
    <row r="23525">
      <c r="N23525" s="28"/>
      <c r="O23525" s="28"/>
      <c r="U23525" s="28"/>
    </row>
    <row r="23526">
      <c r="N23526" s="28"/>
      <c r="O23526" s="28"/>
      <c r="U23526" s="28"/>
    </row>
    <row r="23527">
      <c r="N23527" s="28"/>
      <c r="O23527" s="28"/>
      <c r="U23527" s="28"/>
    </row>
    <row r="23528">
      <c r="N23528" s="28"/>
      <c r="O23528" s="28"/>
      <c r="U23528" s="28"/>
    </row>
    <row r="23529">
      <c r="N23529" s="28"/>
      <c r="O23529" s="28"/>
      <c r="U23529" s="28"/>
    </row>
    <row r="23530">
      <c r="N23530" s="28"/>
      <c r="O23530" s="28"/>
      <c r="U23530" s="28"/>
    </row>
    <row r="23531">
      <c r="N23531" s="28"/>
      <c r="O23531" s="28"/>
      <c r="U23531" s="28"/>
    </row>
    <row r="23532">
      <c r="N23532" s="28"/>
      <c r="O23532" s="28"/>
      <c r="U23532" s="28"/>
    </row>
    <row r="23533">
      <c r="N23533" s="28"/>
      <c r="O23533" s="28"/>
      <c r="U23533" s="28"/>
    </row>
    <row r="23534">
      <c r="N23534" s="28"/>
      <c r="O23534" s="28"/>
      <c r="U23534" s="28"/>
    </row>
    <row r="23535">
      <c r="N23535" s="28"/>
      <c r="O23535" s="28"/>
      <c r="U23535" s="28"/>
    </row>
    <row r="23536">
      <c r="N23536" s="28"/>
      <c r="O23536" s="28"/>
      <c r="U23536" s="28"/>
    </row>
    <row r="23537">
      <c r="N23537" s="28"/>
      <c r="O23537" s="28"/>
      <c r="U23537" s="28"/>
    </row>
    <row r="23538">
      <c r="N23538" s="28"/>
      <c r="O23538" s="28"/>
      <c r="U23538" s="28"/>
    </row>
    <row r="23539">
      <c r="N23539" s="28"/>
      <c r="O23539" s="28"/>
      <c r="U23539" s="28"/>
    </row>
    <row r="23540">
      <c r="N23540" s="28"/>
      <c r="O23540" s="28"/>
      <c r="U23540" s="28"/>
    </row>
    <row r="23541">
      <c r="N23541" s="28"/>
      <c r="O23541" s="28"/>
      <c r="U23541" s="28"/>
    </row>
    <row r="23542">
      <c r="N23542" s="28"/>
      <c r="O23542" s="28"/>
      <c r="U23542" s="28"/>
    </row>
    <row r="23543">
      <c r="N23543" s="28"/>
      <c r="O23543" s="28"/>
      <c r="U23543" s="28"/>
    </row>
    <row r="23544">
      <c r="N23544" s="28"/>
      <c r="O23544" s="28"/>
      <c r="U23544" s="28"/>
    </row>
    <row r="23545">
      <c r="N23545" s="28"/>
      <c r="O23545" s="28"/>
      <c r="U23545" s="28"/>
    </row>
    <row r="23546">
      <c r="N23546" s="28"/>
      <c r="O23546" s="28"/>
      <c r="U23546" s="28"/>
    </row>
    <row r="23547">
      <c r="N23547" s="28"/>
      <c r="O23547" s="28"/>
      <c r="U23547" s="28"/>
    </row>
    <row r="23548">
      <c r="N23548" s="28"/>
      <c r="O23548" s="28"/>
      <c r="U23548" s="28"/>
    </row>
    <row r="23549">
      <c r="N23549" s="28"/>
      <c r="O23549" s="28"/>
      <c r="U23549" s="28"/>
    </row>
    <row r="23550">
      <c r="N23550" s="28"/>
      <c r="O23550" s="28"/>
      <c r="U23550" s="28"/>
    </row>
    <row r="23551">
      <c r="N23551" s="28"/>
      <c r="O23551" s="28"/>
      <c r="U23551" s="28"/>
    </row>
    <row r="23552">
      <c r="N23552" s="28"/>
      <c r="O23552" s="28"/>
      <c r="U23552" s="28"/>
    </row>
    <row r="23553">
      <c r="N23553" s="28"/>
      <c r="O23553" s="28"/>
      <c r="U23553" s="28"/>
    </row>
    <row r="23554">
      <c r="N23554" s="28"/>
      <c r="O23554" s="28"/>
      <c r="U23554" s="28"/>
    </row>
    <row r="23555">
      <c r="N23555" s="28"/>
      <c r="O23555" s="28"/>
      <c r="U23555" s="28"/>
    </row>
    <row r="23556">
      <c r="N23556" s="28"/>
      <c r="O23556" s="28"/>
      <c r="U23556" s="28"/>
    </row>
    <row r="23557">
      <c r="N23557" s="28"/>
      <c r="O23557" s="28"/>
      <c r="U23557" s="28"/>
    </row>
    <row r="23558">
      <c r="N23558" s="28"/>
      <c r="O23558" s="28"/>
      <c r="U23558" s="28"/>
    </row>
    <row r="23559">
      <c r="N23559" s="28"/>
      <c r="O23559" s="28"/>
      <c r="U23559" s="28"/>
    </row>
    <row r="23560">
      <c r="N23560" s="28"/>
      <c r="O23560" s="28"/>
      <c r="U23560" s="28"/>
    </row>
    <row r="23561">
      <c r="N23561" s="28"/>
      <c r="O23561" s="28"/>
      <c r="U23561" s="28"/>
    </row>
    <row r="23562">
      <c r="N23562" s="28"/>
      <c r="O23562" s="28"/>
      <c r="U23562" s="28"/>
    </row>
    <row r="23563">
      <c r="N23563" s="28"/>
      <c r="O23563" s="28"/>
      <c r="U23563" s="28"/>
    </row>
    <row r="23564">
      <c r="N23564" s="28"/>
      <c r="O23564" s="28"/>
      <c r="U23564" s="28"/>
    </row>
    <row r="23565">
      <c r="N23565" s="28"/>
      <c r="O23565" s="28"/>
      <c r="U23565" s="28"/>
    </row>
    <row r="23566">
      <c r="N23566" s="28"/>
      <c r="O23566" s="28"/>
      <c r="U23566" s="28"/>
    </row>
    <row r="23567">
      <c r="N23567" s="28"/>
      <c r="O23567" s="28"/>
      <c r="U23567" s="28"/>
    </row>
    <row r="23568">
      <c r="N23568" s="28"/>
      <c r="O23568" s="28"/>
      <c r="U23568" s="28"/>
    </row>
    <row r="23569">
      <c r="N23569" s="28"/>
      <c r="O23569" s="28"/>
      <c r="U23569" s="28"/>
    </row>
    <row r="23570">
      <c r="N23570" s="28"/>
      <c r="O23570" s="28"/>
      <c r="U23570" s="28"/>
    </row>
    <row r="23571">
      <c r="N23571" s="28"/>
      <c r="O23571" s="28"/>
      <c r="U23571" s="28"/>
    </row>
    <row r="23572">
      <c r="N23572" s="28"/>
      <c r="O23572" s="28"/>
      <c r="U23572" s="28"/>
    </row>
    <row r="23573">
      <c r="N23573" s="28"/>
      <c r="O23573" s="28"/>
      <c r="U23573" s="28"/>
    </row>
    <row r="23574">
      <c r="N23574" s="28"/>
      <c r="O23574" s="28"/>
      <c r="U23574" s="28"/>
    </row>
    <row r="23575">
      <c r="N23575" s="28"/>
      <c r="O23575" s="28"/>
      <c r="U23575" s="28"/>
    </row>
    <row r="23576">
      <c r="N23576" s="28"/>
      <c r="O23576" s="28"/>
      <c r="U23576" s="28"/>
    </row>
    <row r="23577">
      <c r="N23577" s="28"/>
      <c r="O23577" s="28"/>
      <c r="U23577" s="28"/>
    </row>
    <row r="23578">
      <c r="N23578" s="28"/>
      <c r="O23578" s="28"/>
      <c r="U23578" s="28"/>
    </row>
    <row r="23579">
      <c r="N23579" s="28"/>
      <c r="O23579" s="28"/>
      <c r="U23579" s="28"/>
    </row>
    <row r="23580">
      <c r="N23580" s="28"/>
      <c r="O23580" s="28"/>
      <c r="U23580" s="28"/>
    </row>
    <row r="23581">
      <c r="N23581" s="28"/>
      <c r="O23581" s="28"/>
      <c r="U23581" s="28"/>
    </row>
    <row r="23582">
      <c r="N23582" s="28"/>
      <c r="O23582" s="28"/>
      <c r="U23582" s="28"/>
    </row>
    <row r="23583">
      <c r="N23583" s="28"/>
      <c r="O23583" s="28"/>
      <c r="U23583" s="28"/>
    </row>
    <row r="23584">
      <c r="N23584" s="28"/>
      <c r="O23584" s="28"/>
      <c r="U23584" s="28"/>
    </row>
    <row r="23585">
      <c r="N23585" s="28"/>
      <c r="O23585" s="28"/>
      <c r="U23585" s="28"/>
    </row>
    <row r="23586">
      <c r="N23586" s="28"/>
      <c r="O23586" s="28"/>
      <c r="U23586" s="28"/>
    </row>
    <row r="23587">
      <c r="N23587" s="28"/>
      <c r="O23587" s="28"/>
      <c r="U23587" s="28"/>
    </row>
    <row r="23588">
      <c r="N23588" s="28"/>
      <c r="O23588" s="28"/>
      <c r="U23588" s="28"/>
    </row>
    <row r="23589">
      <c r="N23589" s="28"/>
      <c r="O23589" s="28"/>
      <c r="U23589" s="28"/>
    </row>
    <row r="23590">
      <c r="N23590" s="28"/>
      <c r="O23590" s="28"/>
      <c r="U23590" s="28"/>
    </row>
    <row r="23591">
      <c r="N23591" s="28"/>
      <c r="O23591" s="28"/>
      <c r="U23591" s="28"/>
    </row>
    <row r="23592">
      <c r="N23592" s="28"/>
      <c r="O23592" s="28"/>
      <c r="U23592" s="28"/>
    </row>
    <row r="23593">
      <c r="N23593" s="28"/>
      <c r="O23593" s="28"/>
      <c r="U23593" s="28"/>
    </row>
    <row r="23594">
      <c r="N23594" s="28"/>
      <c r="O23594" s="28"/>
      <c r="U23594" s="28"/>
    </row>
    <row r="23595">
      <c r="N23595" s="28"/>
      <c r="O23595" s="28"/>
      <c r="U23595" s="28"/>
    </row>
    <row r="23596">
      <c r="N23596" s="28"/>
      <c r="O23596" s="28"/>
      <c r="U23596" s="28"/>
    </row>
    <row r="23597">
      <c r="N23597" s="28"/>
      <c r="O23597" s="28"/>
      <c r="U23597" s="28"/>
    </row>
    <row r="23598">
      <c r="N23598" s="28"/>
      <c r="O23598" s="28"/>
      <c r="U23598" s="28"/>
    </row>
    <row r="23599">
      <c r="N23599" s="28"/>
      <c r="O23599" s="28"/>
      <c r="U23599" s="28"/>
    </row>
    <row r="23600">
      <c r="N23600" s="28"/>
      <c r="O23600" s="28"/>
      <c r="U23600" s="28"/>
    </row>
    <row r="23601">
      <c r="N23601" s="28"/>
      <c r="O23601" s="28"/>
      <c r="U23601" s="28"/>
    </row>
    <row r="23602">
      <c r="N23602" s="28"/>
      <c r="O23602" s="28"/>
      <c r="U23602" s="28"/>
    </row>
    <row r="23603">
      <c r="N23603" s="28"/>
      <c r="O23603" s="28"/>
      <c r="U23603" s="28"/>
    </row>
    <row r="23604">
      <c r="N23604" s="28"/>
      <c r="O23604" s="28"/>
      <c r="U23604" s="28"/>
    </row>
    <row r="23605">
      <c r="N23605" s="28"/>
      <c r="O23605" s="28"/>
      <c r="U23605" s="28"/>
    </row>
    <row r="23606">
      <c r="N23606" s="28"/>
      <c r="O23606" s="28"/>
      <c r="U23606" s="28"/>
    </row>
    <row r="23607">
      <c r="N23607" s="28"/>
      <c r="O23607" s="28"/>
      <c r="U23607" s="28"/>
    </row>
    <row r="23608">
      <c r="N23608" s="28"/>
      <c r="O23608" s="28"/>
      <c r="U23608" s="28"/>
    </row>
    <row r="23609">
      <c r="N23609" s="28"/>
      <c r="O23609" s="28"/>
      <c r="U23609" s="28"/>
    </row>
    <row r="23610">
      <c r="N23610" s="28"/>
      <c r="O23610" s="28"/>
      <c r="U23610" s="28"/>
    </row>
    <row r="23611">
      <c r="N23611" s="28"/>
      <c r="O23611" s="28"/>
      <c r="U23611" s="28"/>
    </row>
    <row r="23612">
      <c r="N23612" s="28"/>
      <c r="O23612" s="28"/>
      <c r="U23612" s="28"/>
    </row>
    <row r="23613">
      <c r="N23613" s="28"/>
      <c r="O23613" s="28"/>
      <c r="U23613" s="28"/>
    </row>
    <row r="23614">
      <c r="N23614" s="28"/>
      <c r="O23614" s="28"/>
      <c r="U23614" s="28"/>
    </row>
    <row r="23615">
      <c r="N23615" s="28"/>
      <c r="O23615" s="28"/>
      <c r="U23615" s="28"/>
    </row>
    <row r="23616">
      <c r="N23616" s="28"/>
      <c r="O23616" s="28"/>
      <c r="U23616" s="28"/>
    </row>
    <row r="23617">
      <c r="N23617" s="28"/>
      <c r="O23617" s="28"/>
      <c r="U23617" s="28"/>
    </row>
    <row r="23618">
      <c r="N23618" s="28"/>
      <c r="O23618" s="28"/>
      <c r="U23618" s="28"/>
    </row>
    <row r="23619">
      <c r="N23619" s="28"/>
      <c r="O23619" s="28"/>
      <c r="U23619" s="28"/>
    </row>
    <row r="23620">
      <c r="N23620" s="28"/>
      <c r="O23620" s="28"/>
      <c r="U23620" s="28"/>
    </row>
    <row r="23621">
      <c r="N23621" s="28"/>
      <c r="O23621" s="28"/>
      <c r="U23621" s="28"/>
    </row>
    <row r="23622">
      <c r="N23622" s="28"/>
      <c r="O23622" s="28"/>
      <c r="U23622" s="28"/>
    </row>
    <row r="23623">
      <c r="N23623" s="28"/>
      <c r="O23623" s="28"/>
      <c r="U23623" s="28"/>
    </row>
    <row r="23624">
      <c r="N23624" s="28"/>
      <c r="O23624" s="28"/>
      <c r="U23624" s="28"/>
    </row>
    <row r="23625">
      <c r="N23625" s="28"/>
      <c r="O23625" s="28"/>
      <c r="U23625" s="28"/>
    </row>
    <row r="23626">
      <c r="N23626" s="28"/>
      <c r="O23626" s="28"/>
      <c r="U23626" s="28"/>
    </row>
    <row r="23627">
      <c r="N23627" s="28"/>
      <c r="O23627" s="28"/>
      <c r="U23627" s="28"/>
    </row>
    <row r="23628">
      <c r="N23628" s="28"/>
      <c r="O23628" s="28"/>
      <c r="U23628" s="28"/>
    </row>
    <row r="23629">
      <c r="N23629" s="28"/>
      <c r="O23629" s="28"/>
      <c r="U23629" s="28"/>
    </row>
    <row r="23630">
      <c r="N23630" s="28"/>
      <c r="O23630" s="28"/>
      <c r="U23630" s="28"/>
    </row>
    <row r="23631">
      <c r="N23631" s="28"/>
      <c r="O23631" s="28"/>
      <c r="U23631" s="28"/>
    </row>
    <row r="23632">
      <c r="N23632" s="28"/>
      <c r="O23632" s="28"/>
      <c r="U23632" s="28"/>
    </row>
    <row r="23633">
      <c r="N23633" s="28"/>
      <c r="O23633" s="28"/>
      <c r="U23633" s="28"/>
    </row>
    <row r="23634">
      <c r="N23634" s="28"/>
      <c r="O23634" s="28"/>
      <c r="U23634" s="28"/>
    </row>
    <row r="23635">
      <c r="N23635" s="28"/>
      <c r="O23635" s="28"/>
      <c r="U23635" s="28"/>
    </row>
    <row r="23636">
      <c r="N23636" s="28"/>
      <c r="O23636" s="28"/>
      <c r="U23636" s="28"/>
    </row>
    <row r="23637">
      <c r="N23637" s="28"/>
      <c r="O23637" s="28"/>
      <c r="U23637" s="28"/>
    </row>
    <row r="23638">
      <c r="N23638" s="28"/>
      <c r="O23638" s="28"/>
      <c r="U23638" s="28"/>
    </row>
    <row r="23639">
      <c r="N23639" s="28"/>
      <c r="O23639" s="28"/>
      <c r="U23639" s="28"/>
    </row>
    <row r="23640">
      <c r="N23640" s="28"/>
      <c r="O23640" s="28"/>
      <c r="U23640" s="28"/>
    </row>
    <row r="23641">
      <c r="N23641" s="28"/>
      <c r="O23641" s="28"/>
      <c r="U23641" s="28"/>
    </row>
    <row r="23642">
      <c r="N23642" s="28"/>
      <c r="O23642" s="28"/>
      <c r="U23642" s="28"/>
    </row>
    <row r="23643">
      <c r="N23643" s="28"/>
      <c r="O23643" s="28"/>
      <c r="U23643" s="28"/>
    </row>
    <row r="23644">
      <c r="N23644" s="28"/>
      <c r="O23644" s="28"/>
      <c r="U23644" s="28"/>
    </row>
    <row r="23645">
      <c r="N23645" s="28"/>
      <c r="O23645" s="28"/>
      <c r="U23645" s="28"/>
    </row>
    <row r="23646">
      <c r="N23646" s="28"/>
      <c r="O23646" s="28"/>
      <c r="U23646" s="28"/>
    </row>
    <row r="23647">
      <c r="N23647" s="28"/>
      <c r="O23647" s="28"/>
      <c r="U23647" s="28"/>
    </row>
    <row r="23648">
      <c r="N23648" s="28"/>
      <c r="O23648" s="28"/>
      <c r="U23648" s="28"/>
    </row>
    <row r="23649">
      <c r="N23649" s="28"/>
      <c r="O23649" s="28"/>
      <c r="U23649" s="28"/>
    </row>
    <row r="23650">
      <c r="N23650" s="28"/>
      <c r="O23650" s="28"/>
      <c r="U23650" s="28"/>
    </row>
    <row r="23651">
      <c r="N23651" s="28"/>
      <c r="O23651" s="28"/>
      <c r="U23651" s="28"/>
    </row>
    <row r="23652">
      <c r="N23652" s="28"/>
      <c r="O23652" s="28"/>
      <c r="U23652" s="28"/>
    </row>
    <row r="23653">
      <c r="N23653" s="28"/>
      <c r="O23653" s="28"/>
      <c r="U23653" s="28"/>
    </row>
    <row r="23654">
      <c r="N23654" s="28"/>
      <c r="O23654" s="28"/>
      <c r="U23654" s="28"/>
    </row>
    <row r="23655">
      <c r="N23655" s="28"/>
      <c r="O23655" s="28"/>
      <c r="U23655" s="28"/>
    </row>
    <row r="23656">
      <c r="N23656" s="28"/>
      <c r="O23656" s="28"/>
      <c r="U23656" s="28"/>
    </row>
    <row r="23657">
      <c r="N23657" s="28"/>
      <c r="O23657" s="28"/>
      <c r="U23657" s="28"/>
    </row>
    <row r="23658">
      <c r="N23658" s="28"/>
      <c r="O23658" s="28"/>
      <c r="U23658" s="28"/>
    </row>
    <row r="23659">
      <c r="N23659" s="28"/>
      <c r="O23659" s="28"/>
      <c r="U23659" s="28"/>
    </row>
    <row r="23660">
      <c r="N23660" s="28"/>
      <c r="O23660" s="28"/>
      <c r="U23660" s="28"/>
    </row>
    <row r="23661">
      <c r="N23661" s="28"/>
      <c r="O23661" s="28"/>
      <c r="U23661" s="28"/>
    </row>
    <row r="23662">
      <c r="N23662" s="28"/>
      <c r="O23662" s="28"/>
      <c r="U23662" s="28"/>
    </row>
    <row r="23663">
      <c r="N23663" s="28"/>
      <c r="O23663" s="28"/>
      <c r="U23663" s="28"/>
    </row>
    <row r="23664">
      <c r="N23664" s="28"/>
      <c r="O23664" s="28"/>
      <c r="U23664" s="28"/>
    </row>
    <row r="23665">
      <c r="N23665" s="28"/>
      <c r="O23665" s="28"/>
      <c r="U23665" s="28"/>
    </row>
    <row r="23666">
      <c r="N23666" s="28"/>
      <c r="O23666" s="28"/>
      <c r="U23666" s="28"/>
    </row>
    <row r="23667">
      <c r="N23667" s="28"/>
      <c r="O23667" s="28"/>
      <c r="U23667" s="28"/>
    </row>
    <row r="23668">
      <c r="N23668" s="28"/>
      <c r="O23668" s="28"/>
      <c r="U23668" s="28"/>
    </row>
    <row r="23669">
      <c r="N23669" s="28"/>
      <c r="O23669" s="28"/>
      <c r="U23669" s="28"/>
    </row>
    <row r="23670">
      <c r="N23670" s="28"/>
      <c r="O23670" s="28"/>
      <c r="U23670" s="28"/>
    </row>
    <row r="23671">
      <c r="N23671" s="28"/>
      <c r="O23671" s="28"/>
      <c r="U23671" s="28"/>
    </row>
    <row r="23672">
      <c r="N23672" s="28"/>
      <c r="O23672" s="28"/>
      <c r="U23672" s="28"/>
    </row>
    <row r="23673">
      <c r="N23673" s="28"/>
      <c r="O23673" s="28"/>
      <c r="U23673" s="28"/>
    </row>
    <row r="23674">
      <c r="N23674" s="28"/>
      <c r="O23674" s="28"/>
      <c r="U23674" s="28"/>
    </row>
    <row r="23675">
      <c r="N23675" s="28"/>
      <c r="O23675" s="28"/>
      <c r="U23675" s="28"/>
    </row>
    <row r="23676">
      <c r="N23676" s="28"/>
      <c r="O23676" s="28"/>
      <c r="U23676" s="28"/>
    </row>
    <row r="23677">
      <c r="N23677" s="28"/>
      <c r="O23677" s="28"/>
      <c r="U23677" s="28"/>
    </row>
    <row r="23678">
      <c r="N23678" s="28"/>
      <c r="O23678" s="28"/>
      <c r="U23678" s="28"/>
    </row>
    <row r="23679">
      <c r="N23679" s="28"/>
      <c r="O23679" s="28"/>
      <c r="U23679" s="28"/>
    </row>
    <row r="23680">
      <c r="N23680" s="28"/>
      <c r="O23680" s="28"/>
      <c r="U23680" s="28"/>
    </row>
    <row r="23681">
      <c r="N23681" s="28"/>
      <c r="O23681" s="28"/>
      <c r="U23681" s="28"/>
    </row>
    <row r="23682">
      <c r="N23682" s="28"/>
      <c r="O23682" s="28"/>
      <c r="U23682" s="28"/>
    </row>
    <row r="23683">
      <c r="N23683" s="28"/>
      <c r="O23683" s="28"/>
      <c r="U23683" s="28"/>
    </row>
    <row r="23684">
      <c r="N23684" s="28"/>
      <c r="O23684" s="28"/>
      <c r="U23684" s="28"/>
    </row>
    <row r="23685">
      <c r="N23685" s="28"/>
      <c r="O23685" s="28"/>
      <c r="U23685" s="28"/>
    </row>
    <row r="23686">
      <c r="N23686" s="28"/>
      <c r="O23686" s="28"/>
      <c r="U23686" s="28"/>
    </row>
    <row r="23687">
      <c r="N23687" s="28"/>
      <c r="O23687" s="28"/>
      <c r="U23687" s="28"/>
    </row>
    <row r="23688">
      <c r="N23688" s="28"/>
      <c r="O23688" s="28"/>
      <c r="U23688" s="28"/>
    </row>
    <row r="23689">
      <c r="N23689" s="28"/>
      <c r="O23689" s="28"/>
      <c r="U23689" s="28"/>
    </row>
    <row r="23690">
      <c r="N23690" s="28"/>
      <c r="O23690" s="28"/>
      <c r="U23690" s="28"/>
    </row>
    <row r="23691">
      <c r="N23691" s="28"/>
      <c r="O23691" s="28"/>
      <c r="U23691" s="28"/>
    </row>
    <row r="23692">
      <c r="N23692" s="28"/>
      <c r="O23692" s="28"/>
      <c r="U23692" s="28"/>
    </row>
    <row r="23693">
      <c r="N23693" s="28"/>
      <c r="O23693" s="28"/>
      <c r="U23693" s="28"/>
    </row>
    <row r="23694">
      <c r="N23694" s="28"/>
      <c r="O23694" s="28"/>
      <c r="U23694" s="28"/>
    </row>
    <row r="23695">
      <c r="N23695" s="28"/>
      <c r="O23695" s="28"/>
      <c r="U23695" s="28"/>
    </row>
    <row r="23696">
      <c r="N23696" s="28"/>
      <c r="O23696" s="28"/>
      <c r="U23696" s="28"/>
    </row>
    <row r="23697">
      <c r="N23697" s="28"/>
      <c r="O23697" s="28"/>
      <c r="U23697" s="28"/>
    </row>
    <row r="23698">
      <c r="N23698" s="28"/>
      <c r="O23698" s="28"/>
      <c r="U23698" s="28"/>
    </row>
    <row r="23699">
      <c r="N23699" s="28"/>
      <c r="O23699" s="28"/>
      <c r="U23699" s="28"/>
    </row>
    <row r="23700">
      <c r="N23700" s="28"/>
      <c r="O23700" s="28"/>
      <c r="U23700" s="28"/>
    </row>
    <row r="23701">
      <c r="N23701" s="28"/>
      <c r="O23701" s="28"/>
      <c r="U23701" s="28"/>
    </row>
    <row r="23702">
      <c r="N23702" s="28"/>
      <c r="O23702" s="28"/>
      <c r="U23702" s="28"/>
    </row>
    <row r="23703">
      <c r="N23703" s="28"/>
      <c r="O23703" s="28"/>
      <c r="U23703" s="28"/>
    </row>
    <row r="23704">
      <c r="N23704" s="28"/>
      <c r="O23704" s="28"/>
      <c r="U23704" s="28"/>
    </row>
    <row r="23705">
      <c r="N23705" s="28"/>
      <c r="O23705" s="28"/>
      <c r="U23705" s="28"/>
    </row>
    <row r="23706">
      <c r="N23706" s="28"/>
      <c r="O23706" s="28"/>
      <c r="U23706" s="28"/>
    </row>
    <row r="23707">
      <c r="N23707" s="28"/>
      <c r="O23707" s="28"/>
      <c r="U23707" s="28"/>
    </row>
    <row r="23708">
      <c r="N23708" s="28"/>
      <c r="O23708" s="28"/>
      <c r="U23708" s="28"/>
    </row>
    <row r="23709">
      <c r="N23709" s="28"/>
      <c r="O23709" s="28"/>
      <c r="U23709" s="28"/>
    </row>
    <row r="23710">
      <c r="N23710" s="28"/>
      <c r="O23710" s="28"/>
      <c r="U23710" s="28"/>
    </row>
    <row r="23711">
      <c r="N23711" s="28"/>
      <c r="O23711" s="28"/>
      <c r="U23711" s="28"/>
    </row>
    <row r="23712">
      <c r="N23712" s="28"/>
      <c r="O23712" s="28"/>
      <c r="U23712" s="28"/>
    </row>
    <row r="23713">
      <c r="N23713" s="28"/>
      <c r="O23713" s="28"/>
      <c r="U23713" s="28"/>
    </row>
    <row r="23714">
      <c r="N23714" s="28"/>
      <c r="O23714" s="28"/>
      <c r="U23714" s="28"/>
    </row>
    <row r="23715">
      <c r="N23715" s="28"/>
      <c r="O23715" s="28"/>
      <c r="U23715" s="28"/>
    </row>
    <row r="23716">
      <c r="N23716" s="28"/>
      <c r="O23716" s="28"/>
      <c r="U23716" s="28"/>
    </row>
    <row r="23717">
      <c r="N23717" s="28"/>
      <c r="O23717" s="28"/>
      <c r="U23717" s="28"/>
    </row>
    <row r="23718">
      <c r="N23718" s="28"/>
      <c r="O23718" s="28"/>
      <c r="U23718" s="28"/>
    </row>
    <row r="23719">
      <c r="N23719" s="28"/>
      <c r="O23719" s="28"/>
      <c r="U23719" s="28"/>
    </row>
    <row r="23720">
      <c r="N23720" s="28"/>
      <c r="O23720" s="28"/>
      <c r="U23720" s="28"/>
    </row>
    <row r="23721">
      <c r="N23721" s="28"/>
      <c r="O23721" s="28"/>
      <c r="U23721" s="28"/>
    </row>
    <row r="23722">
      <c r="N23722" s="28"/>
      <c r="O23722" s="28"/>
      <c r="U23722" s="28"/>
    </row>
    <row r="23723">
      <c r="N23723" s="28"/>
      <c r="O23723" s="28"/>
      <c r="U23723" s="28"/>
    </row>
    <row r="23724">
      <c r="N23724" s="28"/>
      <c r="O23724" s="28"/>
      <c r="U23724" s="28"/>
    </row>
    <row r="23725">
      <c r="N23725" s="28"/>
      <c r="O23725" s="28"/>
      <c r="U23725" s="28"/>
    </row>
    <row r="23726">
      <c r="N23726" s="28"/>
      <c r="O23726" s="28"/>
      <c r="U23726" s="28"/>
    </row>
    <row r="23727">
      <c r="N23727" s="28"/>
      <c r="O23727" s="28"/>
      <c r="U23727" s="28"/>
    </row>
    <row r="23728">
      <c r="N23728" s="28"/>
      <c r="O23728" s="28"/>
      <c r="U23728" s="28"/>
    </row>
    <row r="23729">
      <c r="N23729" s="28"/>
      <c r="O23729" s="28"/>
      <c r="U23729" s="28"/>
    </row>
    <row r="23730">
      <c r="N23730" s="28"/>
      <c r="O23730" s="28"/>
      <c r="U23730" s="28"/>
    </row>
    <row r="23731">
      <c r="N23731" s="28"/>
      <c r="O23731" s="28"/>
      <c r="U23731" s="28"/>
    </row>
    <row r="23732">
      <c r="N23732" s="28"/>
      <c r="O23732" s="28"/>
      <c r="U23732" s="28"/>
    </row>
    <row r="23733">
      <c r="N23733" s="28"/>
      <c r="O23733" s="28"/>
      <c r="U23733" s="28"/>
    </row>
    <row r="23734">
      <c r="N23734" s="28"/>
      <c r="O23734" s="28"/>
      <c r="U23734" s="28"/>
    </row>
    <row r="23735">
      <c r="N23735" s="28"/>
      <c r="O23735" s="28"/>
      <c r="U23735" s="28"/>
    </row>
    <row r="23736">
      <c r="N23736" s="28"/>
      <c r="O23736" s="28"/>
      <c r="U23736" s="28"/>
    </row>
    <row r="23737">
      <c r="N23737" s="28"/>
      <c r="O23737" s="28"/>
      <c r="U23737" s="28"/>
    </row>
    <row r="23738">
      <c r="N23738" s="28"/>
      <c r="O23738" s="28"/>
      <c r="U23738" s="28"/>
    </row>
    <row r="23739">
      <c r="N23739" s="28"/>
      <c r="O23739" s="28"/>
      <c r="U23739" s="28"/>
    </row>
    <row r="23740">
      <c r="N23740" s="28"/>
      <c r="O23740" s="28"/>
      <c r="U23740" s="28"/>
    </row>
    <row r="23741">
      <c r="N23741" s="28"/>
      <c r="O23741" s="28"/>
      <c r="U23741" s="28"/>
    </row>
    <row r="23742">
      <c r="N23742" s="28"/>
      <c r="O23742" s="28"/>
      <c r="U23742" s="28"/>
    </row>
    <row r="23743">
      <c r="N23743" s="28"/>
      <c r="O23743" s="28"/>
      <c r="U23743" s="28"/>
    </row>
    <row r="23744">
      <c r="N23744" s="28"/>
      <c r="O23744" s="28"/>
      <c r="U23744" s="28"/>
    </row>
    <row r="23745">
      <c r="N23745" s="28"/>
      <c r="O23745" s="28"/>
      <c r="U23745" s="28"/>
    </row>
    <row r="23746">
      <c r="N23746" s="28"/>
      <c r="O23746" s="28"/>
      <c r="U23746" s="28"/>
    </row>
    <row r="23747">
      <c r="N23747" s="28"/>
      <c r="O23747" s="28"/>
      <c r="U23747" s="28"/>
    </row>
    <row r="23748">
      <c r="N23748" s="28"/>
      <c r="O23748" s="28"/>
      <c r="U23748" s="28"/>
    </row>
    <row r="23749">
      <c r="N23749" s="28"/>
      <c r="O23749" s="28"/>
      <c r="U23749" s="28"/>
    </row>
    <row r="23750">
      <c r="N23750" s="28"/>
      <c r="O23750" s="28"/>
      <c r="U23750" s="28"/>
    </row>
    <row r="23751">
      <c r="N23751" s="28"/>
      <c r="O23751" s="28"/>
      <c r="U23751" s="28"/>
    </row>
    <row r="23752">
      <c r="N23752" s="28"/>
      <c r="O23752" s="28"/>
      <c r="U23752" s="28"/>
    </row>
    <row r="23753">
      <c r="N23753" s="28"/>
      <c r="O23753" s="28"/>
      <c r="U23753" s="28"/>
    </row>
    <row r="23754">
      <c r="N23754" s="28"/>
      <c r="O23754" s="28"/>
      <c r="U23754" s="28"/>
    </row>
    <row r="23755">
      <c r="N23755" s="28"/>
      <c r="O23755" s="28"/>
      <c r="U23755" s="28"/>
    </row>
    <row r="23756">
      <c r="N23756" s="28"/>
      <c r="O23756" s="28"/>
      <c r="U23756" s="28"/>
    </row>
    <row r="23757">
      <c r="N23757" s="28"/>
      <c r="O23757" s="28"/>
      <c r="U23757" s="28"/>
    </row>
    <row r="23758">
      <c r="N23758" s="28"/>
      <c r="O23758" s="28"/>
      <c r="U23758" s="28"/>
    </row>
    <row r="23759">
      <c r="N23759" s="28"/>
      <c r="O23759" s="28"/>
      <c r="U23759" s="28"/>
    </row>
    <row r="23760">
      <c r="N23760" s="28"/>
      <c r="O23760" s="28"/>
      <c r="U23760" s="28"/>
    </row>
    <row r="23761">
      <c r="N23761" s="28"/>
      <c r="O23761" s="28"/>
      <c r="U23761" s="28"/>
    </row>
    <row r="23762">
      <c r="N23762" s="28"/>
      <c r="O23762" s="28"/>
      <c r="U23762" s="28"/>
    </row>
    <row r="23763">
      <c r="N23763" s="28"/>
      <c r="O23763" s="28"/>
      <c r="U23763" s="28"/>
    </row>
    <row r="23764">
      <c r="N23764" s="28"/>
      <c r="O23764" s="28"/>
      <c r="U23764" s="28"/>
    </row>
    <row r="23765">
      <c r="N23765" s="28"/>
      <c r="O23765" s="28"/>
      <c r="U23765" s="28"/>
    </row>
    <row r="23766">
      <c r="N23766" s="28"/>
      <c r="O23766" s="28"/>
      <c r="U23766" s="28"/>
    </row>
    <row r="23767">
      <c r="N23767" s="28"/>
      <c r="O23767" s="28"/>
      <c r="U23767" s="28"/>
    </row>
    <row r="23768">
      <c r="N23768" s="28"/>
      <c r="O23768" s="28"/>
      <c r="U23768" s="28"/>
    </row>
    <row r="23769">
      <c r="N23769" s="28"/>
      <c r="O23769" s="28"/>
      <c r="U23769" s="28"/>
    </row>
    <row r="23770">
      <c r="N23770" s="28"/>
      <c r="O23770" s="28"/>
      <c r="U23770" s="28"/>
    </row>
    <row r="23771">
      <c r="N23771" s="28"/>
      <c r="O23771" s="28"/>
      <c r="U23771" s="28"/>
    </row>
    <row r="23772">
      <c r="N23772" s="28"/>
      <c r="O23772" s="28"/>
      <c r="U23772" s="28"/>
    </row>
    <row r="23773">
      <c r="N23773" s="28"/>
      <c r="O23773" s="28"/>
      <c r="U23773" s="28"/>
    </row>
    <row r="23774">
      <c r="N23774" s="28"/>
      <c r="O23774" s="28"/>
      <c r="U23774" s="28"/>
    </row>
    <row r="23775">
      <c r="N23775" s="28"/>
      <c r="O23775" s="28"/>
      <c r="U23775" s="28"/>
    </row>
    <row r="23776">
      <c r="N23776" s="28"/>
      <c r="O23776" s="28"/>
      <c r="U23776" s="28"/>
    </row>
    <row r="23777">
      <c r="N23777" s="28"/>
      <c r="O23777" s="28"/>
      <c r="U23777" s="28"/>
    </row>
    <row r="23778">
      <c r="N23778" s="28"/>
      <c r="O23778" s="28"/>
      <c r="U23778" s="28"/>
    </row>
    <row r="23779">
      <c r="N23779" s="28"/>
      <c r="O23779" s="28"/>
      <c r="U23779" s="28"/>
    </row>
    <row r="23780">
      <c r="N23780" s="28"/>
      <c r="O23780" s="28"/>
      <c r="U23780" s="28"/>
    </row>
    <row r="23781">
      <c r="N23781" s="28"/>
      <c r="O23781" s="28"/>
      <c r="U23781" s="28"/>
    </row>
    <row r="23782">
      <c r="N23782" s="28"/>
      <c r="O23782" s="28"/>
      <c r="U23782" s="28"/>
    </row>
    <row r="23783">
      <c r="N23783" s="28"/>
      <c r="O23783" s="28"/>
      <c r="U23783" s="28"/>
    </row>
    <row r="23784">
      <c r="N23784" s="28"/>
      <c r="O23784" s="28"/>
      <c r="U23784" s="28"/>
    </row>
    <row r="23785">
      <c r="N23785" s="28"/>
      <c r="O23785" s="28"/>
      <c r="U23785" s="28"/>
    </row>
    <row r="23786">
      <c r="N23786" s="28"/>
      <c r="O23786" s="28"/>
      <c r="U23786" s="28"/>
    </row>
    <row r="23787">
      <c r="N23787" s="28"/>
      <c r="O23787" s="28"/>
      <c r="U23787" s="28"/>
    </row>
    <row r="23788">
      <c r="N23788" s="28"/>
      <c r="O23788" s="28"/>
      <c r="U23788" s="28"/>
    </row>
    <row r="23789">
      <c r="N23789" s="28"/>
      <c r="O23789" s="28"/>
      <c r="U23789" s="28"/>
    </row>
    <row r="23790">
      <c r="N23790" s="28"/>
      <c r="O23790" s="28"/>
      <c r="U23790" s="28"/>
    </row>
    <row r="23791">
      <c r="N23791" s="28"/>
      <c r="O23791" s="28"/>
      <c r="U23791" s="28"/>
    </row>
    <row r="23792">
      <c r="N23792" s="28"/>
      <c r="O23792" s="28"/>
      <c r="U23792" s="28"/>
    </row>
    <row r="23793">
      <c r="N23793" s="28"/>
      <c r="O23793" s="28"/>
      <c r="U23793" s="28"/>
    </row>
    <row r="23794">
      <c r="N23794" s="28"/>
      <c r="O23794" s="28"/>
      <c r="U23794" s="28"/>
    </row>
    <row r="23795">
      <c r="N23795" s="28"/>
      <c r="O23795" s="28"/>
      <c r="U23795" s="28"/>
    </row>
    <row r="23796">
      <c r="N23796" s="28"/>
      <c r="O23796" s="28"/>
      <c r="U23796" s="28"/>
    </row>
    <row r="23797">
      <c r="N23797" s="28"/>
      <c r="O23797" s="28"/>
      <c r="U23797" s="28"/>
    </row>
    <row r="23798">
      <c r="N23798" s="28"/>
      <c r="O23798" s="28"/>
      <c r="U23798" s="28"/>
    </row>
    <row r="23799">
      <c r="N23799" s="28"/>
      <c r="O23799" s="28"/>
      <c r="U23799" s="28"/>
    </row>
    <row r="23800">
      <c r="N23800" s="28"/>
      <c r="O23800" s="28"/>
      <c r="U23800" s="28"/>
    </row>
    <row r="23801">
      <c r="N23801" s="28"/>
      <c r="O23801" s="28"/>
      <c r="U23801" s="28"/>
    </row>
    <row r="23802">
      <c r="N23802" s="28"/>
      <c r="O23802" s="28"/>
      <c r="U23802" s="28"/>
    </row>
    <row r="23803">
      <c r="N23803" s="28"/>
      <c r="O23803" s="28"/>
      <c r="U23803" s="28"/>
    </row>
    <row r="23804">
      <c r="N23804" s="28"/>
      <c r="O23804" s="28"/>
      <c r="U23804" s="28"/>
    </row>
    <row r="23805">
      <c r="N23805" s="28"/>
      <c r="O23805" s="28"/>
      <c r="U23805" s="28"/>
    </row>
    <row r="23806">
      <c r="N23806" s="28"/>
      <c r="O23806" s="28"/>
      <c r="U23806" s="28"/>
    </row>
    <row r="23807">
      <c r="N23807" s="28"/>
      <c r="O23807" s="28"/>
      <c r="U23807" s="28"/>
    </row>
    <row r="23808">
      <c r="N23808" s="28"/>
      <c r="O23808" s="28"/>
      <c r="U23808" s="28"/>
    </row>
    <row r="23809">
      <c r="N23809" s="28"/>
      <c r="O23809" s="28"/>
      <c r="U23809" s="28"/>
    </row>
    <row r="23810">
      <c r="N23810" s="28"/>
      <c r="O23810" s="28"/>
      <c r="U23810" s="28"/>
    </row>
    <row r="23811">
      <c r="N23811" s="28"/>
      <c r="O23811" s="28"/>
      <c r="U23811" s="28"/>
    </row>
    <row r="23812">
      <c r="N23812" s="28"/>
      <c r="O23812" s="28"/>
      <c r="U23812" s="28"/>
    </row>
    <row r="23813">
      <c r="N23813" s="28"/>
      <c r="O23813" s="28"/>
      <c r="U23813" s="28"/>
    </row>
    <row r="23814">
      <c r="N23814" s="28"/>
      <c r="O23814" s="28"/>
      <c r="U23814" s="28"/>
    </row>
    <row r="23815">
      <c r="N23815" s="28"/>
      <c r="O23815" s="28"/>
      <c r="U23815" s="28"/>
    </row>
    <row r="23816">
      <c r="N23816" s="28"/>
      <c r="O23816" s="28"/>
      <c r="U23816" s="28"/>
    </row>
    <row r="23817">
      <c r="N23817" s="28"/>
      <c r="O23817" s="28"/>
      <c r="U23817" s="28"/>
    </row>
    <row r="23818">
      <c r="N23818" s="28"/>
      <c r="O23818" s="28"/>
      <c r="U23818" s="28"/>
    </row>
    <row r="23819">
      <c r="N23819" s="28"/>
      <c r="O23819" s="28"/>
      <c r="U23819" s="28"/>
    </row>
    <row r="23820">
      <c r="N23820" s="28"/>
      <c r="O23820" s="28"/>
      <c r="U23820" s="28"/>
    </row>
    <row r="23821">
      <c r="N23821" s="28"/>
      <c r="O23821" s="28"/>
      <c r="U23821" s="28"/>
    </row>
    <row r="23822">
      <c r="N23822" s="28"/>
      <c r="O23822" s="28"/>
      <c r="U23822" s="28"/>
    </row>
    <row r="23823">
      <c r="N23823" s="28"/>
      <c r="O23823" s="28"/>
      <c r="U23823" s="28"/>
    </row>
    <row r="23824">
      <c r="N23824" s="28"/>
      <c r="O23824" s="28"/>
      <c r="U23824" s="28"/>
    </row>
    <row r="23825">
      <c r="N23825" s="28"/>
      <c r="O23825" s="28"/>
      <c r="U23825" s="28"/>
    </row>
    <row r="23826">
      <c r="N23826" s="28"/>
      <c r="O23826" s="28"/>
      <c r="U23826" s="28"/>
    </row>
    <row r="23827">
      <c r="N23827" s="28"/>
      <c r="O23827" s="28"/>
      <c r="U23827" s="28"/>
    </row>
    <row r="23828">
      <c r="N23828" s="28"/>
      <c r="O23828" s="28"/>
      <c r="U23828" s="28"/>
    </row>
    <row r="23829">
      <c r="N23829" s="28"/>
      <c r="O23829" s="28"/>
      <c r="U23829" s="28"/>
    </row>
    <row r="23830">
      <c r="N23830" s="28"/>
      <c r="O23830" s="28"/>
      <c r="U23830" s="28"/>
    </row>
    <row r="23831">
      <c r="N23831" s="28"/>
      <c r="O23831" s="28"/>
      <c r="U23831" s="28"/>
    </row>
    <row r="23832">
      <c r="N23832" s="28"/>
      <c r="O23832" s="28"/>
      <c r="U23832" s="28"/>
    </row>
    <row r="23833">
      <c r="N23833" s="28"/>
      <c r="O23833" s="28"/>
      <c r="U23833" s="28"/>
    </row>
    <row r="23834">
      <c r="N23834" s="28"/>
      <c r="O23834" s="28"/>
      <c r="U23834" s="28"/>
    </row>
    <row r="23835">
      <c r="N23835" s="28"/>
      <c r="O23835" s="28"/>
      <c r="U23835" s="28"/>
    </row>
    <row r="23836">
      <c r="N23836" s="28"/>
      <c r="O23836" s="28"/>
      <c r="U23836" s="28"/>
    </row>
    <row r="23837">
      <c r="N23837" s="28"/>
      <c r="O23837" s="28"/>
      <c r="U23837" s="28"/>
    </row>
    <row r="23838">
      <c r="N23838" s="28"/>
      <c r="O23838" s="28"/>
      <c r="U23838" s="28"/>
    </row>
    <row r="23839">
      <c r="N23839" s="28"/>
      <c r="O23839" s="28"/>
      <c r="U23839" s="28"/>
    </row>
    <row r="23840">
      <c r="N23840" s="28"/>
      <c r="O23840" s="28"/>
      <c r="U23840" s="28"/>
    </row>
    <row r="23841">
      <c r="N23841" s="28"/>
      <c r="O23841" s="28"/>
      <c r="U23841" s="28"/>
    </row>
    <row r="23842">
      <c r="N23842" s="28"/>
      <c r="O23842" s="28"/>
      <c r="U23842" s="28"/>
    </row>
    <row r="23843">
      <c r="N23843" s="28"/>
      <c r="O23843" s="28"/>
      <c r="U23843" s="28"/>
    </row>
    <row r="23844">
      <c r="N23844" s="28"/>
      <c r="O23844" s="28"/>
      <c r="U23844" s="28"/>
    </row>
    <row r="23845">
      <c r="N23845" s="28"/>
      <c r="O23845" s="28"/>
      <c r="U23845" s="28"/>
    </row>
    <row r="23846">
      <c r="N23846" s="28"/>
      <c r="O23846" s="28"/>
      <c r="U23846" s="28"/>
    </row>
    <row r="23847">
      <c r="N23847" s="28"/>
      <c r="O23847" s="28"/>
      <c r="U23847" s="28"/>
    </row>
    <row r="23848">
      <c r="N23848" s="28"/>
      <c r="O23848" s="28"/>
      <c r="U23848" s="28"/>
    </row>
    <row r="23849">
      <c r="N23849" s="28"/>
      <c r="O23849" s="28"/>
      <c r="U23849" s="28"/>
    </row>
    <row r="23850">
      <c r="N23850" s="28"/>
      <c r="O23850" s="28"/>
      <c r="U23850" s="28"/>
    </row>
    <row r="23851">
      <c r="N23851" s="28"/>
      <c r="O23851" s="28"/>
      <c r="U23851" s="28"/>
    </row>
    <row r="23852">
      <c r="N23852" s="28"/>
      <c r="O23852" s="28"/>
      <c r="U23852" s="28"/>
    </row>
    <row r="23853">
      <c r="N23853" s="28"/>
      <c r="O23853" s="28"/>
      <c r="U23853" s="28"/>
    </row>
    <row r="23854">
      <c r="N23854" s="28"/>
      <c r="O23854" s="28"/>
      <c r="U23854" s="28"/>
    </row>
    <row r="23855">
      <c r="N23855" s="28"/>
      <c r="O23855" s="28"/>
      <c r="U23855" s="28"/>
    </row>
    <row r="23856">
      <c r="N23856" s="28"/>
      <c r="O23856" s="28"/>
      <c r="U23856" s="28"/>
    </row>
    <row r="23857">
      <c r="N23857" s="28"/>
      <c r="O23857" s="28"/>
      <c r="U23857" s="28"/>
    </row>
    <row r="23858">
      <c r="N23858" s="28"/>
      <c r="O23858" s="28"/>
      <c r="U23858" s="28"/>
    </row>
    <row r="23859">
      <c r="N23859" s="28"/>
      <c r="O23859" s="28"/>
      <c r="U23859" s="28"/>
    </row>
    <row r="23860">
      <c r="N23860" s="28"/>
      <c r="O23860" s="28"/>
      <c r="U23860" s="28"/>
    </row>
    <row r="23861">
      <c r="N23861" s="28"/>
      <c r="O23861" s="28"/>
      <c r="U23861" s="28"/>
    </row>
    <row r="23862">
      <c r="N23862" s="28"/>
      <c r="O23862" s="28"/>
      <c r="U23862" s="28"/>
    </row>
    <row r="23863">
      <c r="N23863" s="28"/>
      <c r="O23863" s="28"/>
      <c r="U23863" s="28"/>
    </row>
    <row r="23864">
      <c r="N23864" s="28"/>
      <c r="O23864" s="28"/>
      <c r="U23864" s="28"/>
    </row>
    <row r="23865">
      <c r="N23865" s="28"/>
      <c r="O23865" s="28"/>
      <c r="U23865" s="28"/>
    </row>
    <row r="23866">
      <c r="N23866" s="28"/>
      <c r="O23866" s="28"/>
      <c r="U23866" s="28"/>
    </row>
    <row r="23867">
      <c r="N23867" s="28"/>
      <c r="O23867" s="28"/>
      <c r="U23867" s="28"/>
    </row>
    <row r="23868">
      <c r="N23868" s="28"/>
      <c r="O23868" s="28"/>
      <c r="U23868" s="28"/>
    </row>
    <row r="23869">
      <c r="N23869" s="28"/>
      <c r="O23869" s="28"/>
      <c r="U23869" s="28"/>
    </row>
    <row r="23870">
      <c r="N23870" s="28"/>
      <c r="O23870" s="28"/>
      <c r="U23870" s="28"/>
    </row>
    <row r="23871">
      <c r="N23871" s="28"/>
      <c r="O23871" s="28"/>
      <c r="U23871" s="28"/>
    </row>
    <row r="23872">
      <c r="N23872" s="28"/>
      <c r="O23872" s="28"/>
      <c r="U23872" s="28"/>
    </row>
    <row r="23873">
      <c r="N23873" s="28"/>
      <c r="O23873" s="28"/>
      <c r="U23873" s="28"/>
    </row>
    <row r="23874">
      <c r="N23874" s="28"/>
      <c r="O23874" s="28"/>
      <c r="U23874" s="28"/>
    </row>
    <row r="23875">
      <c r="N23875" s="28"/>
      <c r="O23875" s="28"/>
      <c r="U23875" s="28"/>
    </row>
    <row r="23876">
      <c r="N23876" s="28"/>
      <c r="O23876" s="28"/>
      <c r="U23876" s="28"/>
    </row>
    <row r="23877">
      <c r="N23877" s="28"/>
      <c r="O23877" s="28"/>
      <c r="U23877" s="28"/>
    </row>
    <row r="23878">
      <c r="N23878" s="28"/>
      <c r="O23878" s="28"/>
      <c r="U23878" s="28"/>
    </row>
    <row r="23879">
      <c r="N23879" s="28"/>
      <c r="O23879" s="28"/>
      <c r="U23879" s="28"/>
    </row>
    <row r="23880">
      <c r="N23880" s="28"/>
      <c r="O23880" s="28"/>
      <c r="U23880" s="28"/>
    </row>
    <row r="23881">
      <c r="N23881" s="28"/>
      <c r="O23881" s="28"/>
      <c r="U23881" s="28"/>
    </row>
    <row r="23882">
      <c r="N23882" s="28"/>
      <c r="O23882" s="28"/>
      <c r="U23882" s="28"/>
    </row>
    <row r="23883">
      <c r="N23883" s="28"/>
      <c r="O23883" s="28"/>
      <c r="U23883" s="28"/>
    </row>
    <row r="23884">
      <c r="N23884" s="28"/>
      <c r="O23884" s="28"/>
      <c r="U23884" s="28"/>
    </row>
    <row r="23885">
      <c r="N23885" s="28"/>
      <c r="O23885" s="28"/>
      <c r="U23885" s="28"/>
    </row>
    <row r="23886">
      <c r="N23886" s="28"/>
      <c r="O23886" s="28"/>
      <c r="U23886" s="28"/>
    </row>
    <row r="23887">
      <c r="N23887" s="28"/>
      <c r="O23887" s="28"/>
      <c r="U23887" s="28"/>
    </row>
    <row r="23888">
      <c r="N23888" s="28"/>
      <c r="O23888" s="28"/>
      <c r="U23888" s="28"/>
    </row>
    <row r="23889">
      <c r="N23889" s="28"/>
      <c r="O23889" s="28"/>
      <c r="U23889" s="28"/>
    </row>
    <row r="23890">
      <c r="N23890" s="28"/>
      <c r="O23890" s="28"/>
      <c r="U23890" s="28"/>
    </row>
    <row r="23891">
      <c r="N23891" s="28"/>
      <c r="O23891" s="28"/>
      <c r="U23891" s="28"/>
    </row>
    <row r="23892">
      <c r="N23892" s="28"/>
      <c r="O23892" s="28"/>
      <c r="U23892" s="28"/>
    </row>
    <row r="23893">
      <c r="N23893" s="28"/>
      <c r="O23893" s="28"/>
      <c r="U23893" s="28"/>
    </row>
    <row r="23894">
      <c r="N23894" s="28"/>
      <c r="O23894" s="28"/>
      <c r="U23894" s="28"/>
    </row>
    <row r="23895">
      <c r="N23895" s="28"/>
      <c r="O23895" s="28"/>
      <c r="U23895" s="28"/>
    </row>
    <row r="23896">
      <c r="N23896" s="28"/>
      <c r="O23896" s="28"/>
      <c r="U23896" s="28"/>
    </row>
    <row r="23897">
      <c r="N23897" s="28"/>
      <c r="O23897" s="28"/>
      <c r="U23897" s="28"/>
    </row>
    <row r="23898">
      <c r="N23898" s="28"/>
      <c r="O23898" s="28"/>
      <c r="U23898" s="28"/>
    </row>
    <row r="23899">
      <c r="N23899" s="28"/>
      <c r="O23899" s="28"/>
      <c r="U23899" s="28"/>
    </row>
    <row r="23900">
      <c r="N23900" s="28"/>
      <c r="O23900" s="28"/>
      <c r="U23900" s="28"/>
    </row>
    <row r="23901">
      <c r="N23901" s="28"/>
      <c r="O23901" s="28"/>
      <c r="U23901" s="28"/>
    </row>
    <row r="23902">
      <c r="N23902" s="28"/>
      <c r="O23902" s="28"/>
      <c r="U23902" s="28"/>
    </row>
    <row r="23903">
      <c r="N23903" s="28"/>
      <c r="O23903" s="28"/>
      <c r="U23903" s="28"/>
    </row>
    <row r="23904">
      <c r="N23904" s="28"/>
      <c r="O23904" s="28"/>
      <c r="U23904" s="28"/>
    </row>
    <row r="23905">
      <c r="N23905" s="28"/>
      <c r="O23905" s="28"/>
      <c r="U23905" s="28"/>
    </row>
    <row r="23906">
      <c r="N23906" s="28"/>
      <c r="O23906" s="28"/>
      <c r="U23906" s="28"/>
    </row>
    <row r="23907">
      <c r="N23907" s="28"/>
      <c r="O23907" s="28"/>
      <c r="U23907" s="28"/>
    </row>
    <row r="23908">
      <c r="N23908" s="28"/>
      <c r="O23908" s="28"/>
      <c r="U23908" s="28"/>
    </row>
    <row r="23909">
      <c r="N23909" s="28"/>
      <c r="O23909" s="28"/>
      <c r="U23909" s="28"/>
    </row>
    <row r="23910">
      <c r="N23910" s="28"/>
      <c r="O23910" s="28"/>
      <c r="U23910" s="28"/>
    </row>
    <row r="23911">
      <c r="N23911" s="28"/>
      <c r="O23911" s="28"/>
      <c r="U23911" s="28"/>
    </row>
    <row r="23912">
      <c r="N23912" s="28"/>
      <c r="O23912" s="28"/>
      <c r="U23912" s="28"/>
    </row>
    <row r="23913">
      <c r="N23913" s="28"/>
      <c r="O23913" s="28"/>
      <c r="U23913" s="28"/>
    </row>
    <row r="23914">
      <c r="N23914" s="28"/>
      <c r="O23914" s="28"/>
      <c r="U23914" s="28"/>
    </row>
    <row r="23915">
      <c r="N23915" s="28"/>
      <c r="O23915" s="28"/>
      <c r="U23915" s="28"/>
    </row>
    <row r="23916">
      <c r="N23916" s="28"/>
      <c r="O23916" s="28"/>
      <c r="U23916" s="28"/>
    </row>
    <row r="23917">
      <c r="N23917" s="28"/>
      <c r="O23917" s="28"/>
      <c r="U23917" s="28"/>
    </row>
    <row r="23918">
      <c r="N23918" s="28"/>
      <c r="O23918" s="28"/>
      <c r="U23918" s="28"/>
    </row>
    <row r="23919">
      <c r="N23919" s="28"/>
      <c r="O23919" s="28"/>
      <c r="U23919" s="28"/>
    </row>
    <row r="23920">
      <c r="N23920" s="28"/>
      <c r="O23920" s="28"/>
      <c r="U23920" s="28"/>
    </row>
    <row r="23921">
      <c r="N23921" s="28"/>
      <c r="O23921" s="28"/>
      <c r="U23921" s="28"/>
    </row>
    <row r="23922">
      <c r="N23922" s="28"/>
      <c r="O23922" s="28"/>
      <c r="U23922" s="28"/>
    </row>
    <row r="23923">
      <c r="N23923" s="28"/>
      <c r="O23923" s="28"/>
      <c r="U23923" s="28"/>
    </row>
    <row r="23924">
      <c r="N23924" s="28"/>
      <c r="O23924" s="28"/>
      <c r="U23924" s="28"/>
    </row>
    <row r="23925">
      <c r="N23925" s="28"/>
      <c r="O23925" s="28"/>
      <c r="U23925" s="28"/>
    </row>
    <row r="23926">
      <c r="N23926" s="28"/>
      <c r="O23926" s="28"/>
      <c r="U23926" s="28"/>
    </row>
    <row r="23927">
      <c r="N23927" s="28"/>
      <c r="O23927" s="28"/>
      <c r="U23927" s="28"/>
    </row>
    <row r="23928">
      <c r="N23928" s="28"/>
      <c r="O23928" s="28"/>
      <c r="U23928" s="28"/>
    </row>
    <row r="23929">
      <c r="N23929" s="28"/>
      <c r="O23929" s="28"/>
      <c r="U23929" s="28"/>
    </row>
    <row r="23930">
      <c r="N23930" s="28"/>
      <c r="O23930" s="28"/>
      <c r="U23930" s="28"/>
    </row>
    <row r="23931">
      <c r="N23931" s="28"/>
      <c r="O23931" s="28"/>
      <c r="U23931" s="28"/>
    </row>
    <row r="23932">
      <c r="N23932" s="28"/>
      <c r="O23932" s="28"/>
      <c r="U23932" s="28"/>
    </row>
    <row r="23933">
      <c r="N23933" s="28"/>
      <c r="O23933" s="28"/>
      <c r="U23933" s="28"/>
    </row>
    <row r="23934">
      <c r="N23934" s="28"/>
      <c r="O23934" s="28"/>
      <c r="U23934" s="28"/>
    </row>
    <row r="23935">
      <c r="N23935" s="28"/>
      <c r="O23935" s="28"/>
      <c r="U23935" s="28"/>
    </row>
    <row r="23936">
      <c r="N23936" s="28"/>
      <c r="O23936" s="28"/>
      <c r="U23936" s="28"/>
    </row>
    <row r="23937">
      <c r="N23937" s="28"/>
      <c r="O23937" s="28"/>
      <c r="U23937" s="28"/>
    </row>
    <row r="23938">
      <c r="N23938" s="28"/>
      <c r="O23938" s="28"/>
      <c r="U23938" s="28"/>
    </row>
    <row r="23939">
      <c r="N23939" s="28"/>
      <c r="O23939" s="28"/>
      <c r="U23939" s="28"/>
    </row>
    <row r="23940">
      <c r="N23940" s="28"/>
      <c r="O23940" s="28"/>
      <c r="U23940" s="28"/>
    </row>
    <row r="23941">
      <c r="N23941" s="28"/>
      <c r="O23941" s="28"/>
      <c r="U23941" s="28"/>
    </row>
    <row r="23942">
      <c r="N23942" s="28"/>
      <c r="O23942" s="28"/>
      <c r="U23942" s="28"/>
    </row>
    <row r="23943">
      <c r="N23943" s="28"/>
      <c r="O23943" s="28"/>
      <c r="U23943" s="28"/>
    </row>
    <row r="23944">
      <c r="N23944" s="28"/>
      <c r="O23944" s="28"/>
      <c r="U23944" s="28"/>
    </row>
    <row r="23945">
      <c r="N23945" s="28"/>
      <c r="O23945" s="28"/>
      <c r="U23945" s="28"/>
    </row>
    <row r="23946">
      <c r="N23946" s="28"/>
      <c r="O23946" s="28"/>
      <c r="U23946" s="28"/>
    </row>
    <row r="23947">
      <c r="N23947" s="28"/>
      <c r="O23947" s="28"/>
      <c r="U23947" s="28"/>
    </row>
    <row r="23948">
      <c r="N23948" s="28"/>
      <c r="O23948" s="28"/>
      <c r="U23948" s="28"/>
    </row>
    <row r="23949">
      <c r="N23949" s="28"/>
      <c r="O23949" s="28"/>
      <c r="U23949" s="28"/>
    </row>
    <row r="23950">
      <c r="N23950" s="28"/>
      <c r="O23950" s="28"/>
      <c r="U23950" s="28"/>
    </row>
    <row r="23951">
      <c r="N23951" s="28"/>
      <c r="O23951" s="28"/>
      <c r="U23951" s="28"/>
    </row>
    <row r="23952">
      <c r="N23952" s="28"/>
      <c r="O23952" s="28"/>
      <c r="U23952" s="28"/>
    </row>
    <row r="23953">
      <c r="N23953" s="28"/>
      <c r="O23953" s="28"/>
      <c r="U23953" s="28"/>
    </row>
    <row r="23954">
      <c r="N23954" s="28"/>
      <c r="O23954" s="28"/>
      <c r="U23954" s="28"/>
    </row>
    <row r="23955">
      <c r="N23955" s="28"/>
      <c r="O23955" s="28"/>
      <c r="U23955" s="28"/>
    </row>
    <row r="23956">
      <c r="N23956" s="28"/>
      <c r="O23956" s="28"/>
      <c r="U23956" s="28"/>
    </row>
    <row r="23957">
      <c r="N23957" s="28"/>
      <c r="O23957" s="28"/>
      <c r="U23957" s="28"/>
    </row>
    <row r="23958">
      <c r="N23958" s="28"/>
      <c r="O23958" s="28"/>
      <c r="U23958" s="28"/>
    </row>
    <row r="23959">
      <c r="N23959" s="28"/>
      <c r="O23959" s="28"/>
      <c r="U23959" s="28"/>
    </row>
    <row r="23960">
      <c r="N23960" s="28"/>
      <c r="O23960" s="28"/>
      <c r="U23960" s="28"/>
    </row>
    <row r="23961">
      <c r="N23961" s="28"/>
      <c r="O23961" s="28"/>
      <c r="U23961" s="28"/>
    </row>
    <row r="23962">
      <c r="N23962" s="28"/>
      <c r="O23962" s="28"/>
      <c r="U23962" s="28"/>
    </row>
    <row r="23963">
      <c r="N23963" s="28"/>
      <c r="O23963" s="28"/>
      <c r="U23963" s="28"/>
    </row>
    <row r="23964">
      <c r="N23964" s="28"/>
      <c r="O23964" s="28"/>
      <c r="U23964" s="28"/>
    </row>
    <row r="23965">
      <c r="N23965" s="28"/>
      <c r="O23965" s="28"/>
      <c r="U23965" s="28"/>
    </row>
    <row r="23966">
      <c r="N23966" s="28"/>
      <c r="O23966" s="28"/>
      <c r="U23966" s="28"/>
    </row>
    <row r="23967">
      <c r="N23967" s="28"/>
      <c r="O23967" s="28"/>
      <c r="U23967" s="28"/>
    </row>
    <row r="23968">
      <c r="N23968" s="28"/>
      <c r="O23968" s="28"/>
      <c r="U23968" s="28"/>
    </row>
    <row r="23969">
      <c r="N23969" s="28"/>
      <c r="O23969" s="28"/>
      <c r="U23969" s="28"/>
    </row>
    <row r="23970">
      <c r="N23970" s="28"/>
      <c r="O23970" s="28"/>
      <c r="U23970" s="28"/>
    </row>
    <row r="23971">
      <c r="N23971" s="28"/>
      <c r="O23971" s="28"/>
      <c r="U23971" s="28"/>
    </row>
    <row r="23972">
      <c r="N23972" s="28"/>
      <c r="O23972" s="28"/>
      <c r="U23972" s="28"/>
    </row>
    <row r="23973">
      <c r="N23973" s="28"/>
      <c r="O23973" s="28"/>
      <c r="U23973" s="28"/>
    </row>
    <row r="23974">
      <c r="N23974" s="28"/>
      <c r="O23974" s="28"/>
      <c r="U23974" s="28"/>
    </row>
    <row r="23975">
      <c r="N23975" s="28"/>
      <c r="O23975" s="28"/>
      <c r="U23975" s="28"/>
    </row>
    <row r="23976">
      <c r="N23976" s="28"/>
      <c r="O23976" s="28"/>
      <c r="U23976" s="28"/>
    </row>
    <row r="23977">
      <c r="N23977" s="28"/>
      <c r="O23977" s="28"/>
      <c r="U23977" s="28"/>
    </row>
    <row r="23978">
      <c r="N23978" s="28"/>
      <c r="O23978" s="28"/>
      <c r="U23978" s="28"/>
    </row>
    <row r="23979">
      <c r="N23979" s="28"/>
      <c r="O23979" s="28"/>
      <c r="U23979" s="28"/>
    </row>
    <row r="23980">
      <c r="N23980" s="28"/>
      <c r="O23980" s="28"/>
      <c r="U23980" s="28"/>
    </row>
    <row r="23981">
      <c r="N23981" s="28"/>
      <c r="O23981" s="28"/>
      <c r="U23981" s="28"/>
    </row>
    <row r="23982">
      <c r="N23982" s="28"/>
      <c r="O23982" s="28"/>
      <c r="U23982" s="28"/>
    </row>
    <row r="23983">
      <c r="N23983" s="28"/>
      <c r="O23983" s="28"/>
      <c r="U23983" s="28"/>
    </row>
    <row r="23984">
      <c r="N23984" s="28"/>
      <c r="O23984" s="28"/>
      <c r="U23984" s="28"/>
    </row>
    <row r="23985">
      <c r="N23985" s="28"/>
      <c r="O23985" s="28"/>
      <c r="U23985" s="28"/>
    </row>
    <row r="23986">
      <c r="N23986" s="28"/>
      <c r="O23986" s="28"/>
      <c r="U23986" s="28"/>
    </row>
    <row r="23987">
      <c r="N23987" s="28"/>
      <c r="O23987" s="28"/>
      <c r="U23987" s="28"/>
    </row>
    <row r="23988">
      <c r="N23988" s="28"/>
      <c r="O23988" s="28"/>
      <c r="U23988" s="28"/>
    </row>
    <row r="23989">
      <c r="N23989" s="28"/>
      <c r="O23989" s="28"/>
      <c r="U23989" s="28"/>
    </row>
    <row r="23990">
      <c r="N23990" s="28"/>
      <c r="O23990" s="28"/>
      <c r="U23990" s="28"/>
    </row>
    <row r="23991">
      <c r="N23991" s="28"/>
      <c r="O23991" s="28"/>
      <c r="U23991" s="28"/>
    </row>
    <row r="23992">
      <c r="N23992" s="28"/>
      <c r="O23992" s="28"/>
      <c r="U23992" s="28"/>
    </row>
    <row r="23993">
      <c r="N23993" s="28"/>
      <c r="O23993" s="28"/>
      <c r="U23993" s="28"/>
    </row>
    <row r="23994">
      <c r="N23994" s="28"/>
      <c r="O23994" s="28"/>
      <c r="U23994" s="28"/>
    </row>
    <row r="23995">
      <c r="N23995" s="28"/>
      <c r="O23995" s="28"/>
      <c r="U23995" s="28"/>
    </row>
    <row r="23996">
      <c r="N23996" s="28"/>
      <c r="O23996" s="28"/>
      <c r="U23996" s="28"/>
    </row>
    <row r="23997">
      <c r="N23997" s="28"/>
      <c r="O23997" s="28"/>
      <c r="U23997" s="28"/>
    </row>
    <row r="23998">
      <c r="N23998" s="28"/>
      <c r="O23998" s="28"/>
      <c r="U23998" s="28"/>
    </row>
    <row r="23999">
      <c r="N23999" s="28"/>
      <c r="O23999" s="28"/>
      <c r="U23999" s="28"/>
    </row>
    <row r="24000">
      <c r="N24000" s="28"/>
      <c r="O24000" s="28"/>
      <c r="U24000" s="28"/>
    </row>
    <row r="24001">
      <c r="N24001" s="28"/>
      <c r="O24001" s="28"/>
      <c r="U24001" s="28"/>
    </row>
    <row r="24002">
      <c r="N24002" s="28"/>
      <c r="O24002" s="28"/>
      <c r="U24002" s="28"/>
    </row>
    <row r="24003">
      <c r="N24003" s="28"/>
      <c r="O24003" s="28"/>
      <c r="U24003" s="28"/>
    </row>
    <row r="24004">
      <c r="N24004" s="28"/>
      <c r="O24004" s="28"/>
      <c r="U24004" s="28"/>
    </row>
    <row r="24005">
      <c r="N24005" s="28"/>
      <c r="O24005" s="28"/>
      <c r="U24005" s="28"/>
    </row>
    <row r="24006">
      <c r="N24006" s="28"/>
      <c r="O24006" s="28"/>
      <c r="U24006" s="28"/>
    </row>
    <row r="24007">
      <c r="N24007" s="28"/>
      <c r="O24007" s="28"/>
      <c r="U24007" s="28"/>
    </row>
    <row r="24008">
      <c r="N24008" s="28"/>
      <c r="O24008" s="28"/>
      <c r="U24008" s="28"/>
    </row>
    <row r="24009">
      <c r="N24009" s="28"/>
      <c r="O24009" s="28"/>
      <c r="U24009" s="28"/>
    </row>
    <row r="24010">
      <c r="N24010" s="28"/>
      <c r="O24010" s="28"/>
      <c r="U24010" s="28"/>
    </row>
    <row r="24011">
      <c r="N24011" s="28"/>
      <c r="O24011" s="28"/>
      <c r="U24011" s="28"/>
    </row>
    <row r="24012">
      <c r="N24012" s="28"/>
      <c r="O24012" s="28"/>
      <c r="U24012" s="28"/>
    </row>
    <row r="24013">
      <c r="N24013" s="28"/>
      <c r="O24013" s="28"/>
      <c r="U24013" s="28"/>
    </row>
    <row r="24014">
      <c r="N24014" s="28"/>
      <c r="O24014" s="28"/>
      <c r="U24014" s="28"/>
    </row>
    <row r="24015">
      <c r="N24015" s="28"/>
      <c r="O24015" s="28"/>
      <c r="U24015" s="28"/>
    </row>
    <row r="24016">
      <c r="N24016" s="28"/>
      <c r="O24016" s="28"/>
      <c r="U24016" s="28"/>
    </row>
    <row r="24017">
      <c r="N24017" s="28"/>
      <c r="O24017" s="28"/>
      <c r="U24017" s="28"/>
    </row>
    <row r="24018">
      <c r="N24018" s="28"/>
      <c r="O24018" s="28"/>
      <c r="U24018" s="28"/>
    </row>
    <row r="24019">
      <c r="N24019" s="28"/>
      <c r="O24019" s="28"/>
      <c r="U24019" s="28"/>
    </row>
    <row r="24020">
      <c r="N24020" s="28"/>
      <c r="O24020" s="28"/>
      <c r="U24020" s="28"/>
    </row>
    <row r="24021">
      <c r="N24021" s="28"/>
      <c r="O24021" s="28"/>
      <c r="U24021" s="28"/>
    </row>
    <row r="24022">
      <c r="N24022" s="28"/>
      <c r="O24022" s="28"/>
      <c r="U24022" s="28"/>
    </row>
    <row r="24023">
      <c r="N24023" s="28"/>
      <c r="O24023" s="28"/>
      <c r="U24023" s="28"/>
    </row>
    <row r="24024">
      <c r="N24024" s="28"/>
      <c r="O24024" s="28"/>
      <c r="U24024" s="28"/>
    </row>
    <row r="24025">
      <c r="N24025" s="28"/>
      <c r="O24025" s="28"/>
      <c r="U24025" s="28"/>
    </row>
    <row r="24026">
      <c r="N24026" s="28"/>
      <c r="O24026" s="28"/>
      <c r="U24026" s="28"/>
    </row>
    <row r="24027">
      <c r="N24027" s="28"/>
      <c r="O24027" s="28"/>
      <c r="U24027" s="28"/>
    </row>
    <row r="24028">
      <c r="N24028" s="28"/>
      <c r="O24028" s="28"/>
      <c r="U24028" s="28"/>
    </row>
    <row r="24029">
      <c r="N24029" s="28"/>
      <c r="O24029" s="28"/>
      <c r="U24029" s="28"/>
    </row>
    <row r="24030">
      <c r="N24030" s="28"/>
      <c r="O24030" s="28"/>
      <c r="U24030" s="28"/>
    </row>
    <row r="24031">
      <c r="N24031" s="28"/>
      <c r="O24031" s="28"/>
      <c r="U24031" s="28"/>
    </row>
    <row r="24032">
      <c r="N24032" s="28"/>
      <c r="O24032" s="28"/>
      <c r="U24032" s="28"/>
    </row>
    <row r="24033">
      <c r="N24033" s="28"/>
      <c r="O24033" s="28"/>
      <c r="U24033" s="28"/>
    </row>
    <row r="24034">
      <c r="N24034" s="28"/>
      <c r="O24034" s="28"/>
      <c r="U24034" s="28"/>
    </row>
    <row r="24035">
      <c r="N24035" s="28"/>
      <c r="O24035" s="28"/>
      <c r="U24035" s="28"/>
    </row>
    <row r="24036">
      <c r="N24036" s="28"/>
      <c r="O24036" s="28"/>
      <c r="U24036" s="28"/>
    </row>
    <row r="24037">
      <c r="N24037" s="28"/>
      <c r="O24037" s="28"/>
      <c r="U24037" s="28"/>
    </row>
    <row r="24038">
      <c r="N24038" s="28"/>
      <c r="O24038" s="28"/>
      <c r="U24038" s="28"/>
    </row>
    <row r="24039">
      <c r="N24039" s="28"/>
      <c r="O24039" s="28"/>
      <c r="U24039" s="28"/>
    </row>
    <row r="24040">
      <c r="N24040" s="28"/>
      <c r="O24040" s="28"/>
      <c r="U24040" s="28"/>
    </row>
    <row r="24041">
      <c r="N24041" s="28"/>
      <c r="O24041" s="28"/>
      <c r="U24041" s="28"/>
    </row>
    <row r="24042">
      <c r="N24042" s="28"/>
      <c r="O24042" s="28"/>
      <c r="U24042" s="28"/>
    </row>
    <row r="24043">
      <c r="N24043" s="28"/>
      <c r="O24043" s="28"/>
      <c r="U24043" s="28"/>
    </row>
    <row r="24044">
      <c r="N24044" s="28"/>
      <c r="O24044" s="28"/>
      <c r="U24044" s="28"/>
    </row>
    <row r="24045">
      <c r="N24045" s="28"/>
      <c r="O24045" s="28"/>
      <c r="U24045" s="28"/>
    </row>
    <row r="24046">
      <c r="N24046" s="28"/>
      <c r="O24046" s="28"/>
      <c r="U24046" s="28"/>
    </row>
    <row r="24047">
      <c r="N24047" s="28"/>
      <c r="O24047" s="28"/>
      <c r="U24047" s="28"/>
    </row>
    <row r="24048">
      <c r="N24048" s="28"/>
      <c r="O24048" s="28"/>
      <c r="U24048" s="28"/>
    </row>
    <row r="24049">
      <c r="N24049" s="28"/>
      <c r="O24049" s="28"/>
      <c r="U24049" s="28"/>
    </row>
    <row r="24050">
      <c r="N24050" s="28"/>
      <c r="O24050" s="28"/>
      <c r="U24050" s="28"/>
    </row>
    <row r="24051">
      <c r="N24051" s="28"/>
      <c r="O24051" s="28"/>
      <c r="U24051" s="28"/>
    </row>
    <row r="24052">
      <c r="N24052" s="28"/>
      <c r="O24052" s="28"/>
      <c r="U24052" s="28"/>
    </row>
    <row r="24053">
      <c r="N24053" s="28"/>
      <c r="O24053" s="28"/>
      <c r="U24053" s="28"/>
    </row>
    <row r="24054">
      <c r="N24054" s="28"/>
      <c r="O24054" s="28"/>
      <c r="U24054" s="28"/>
    </row>
    <row r="24055">
      <c r="N24055" s="28"/>
      <c r="O24055" s="28"/>
      <c r="U24055" s="28"/>
    </row>
    <row r="24056">
      <c r="N24056" s="28"/>
      <c r="O24056" s="28"/>
      <c r="U24056" s="28"/>
    </row>
    <row r="24057">
      <c r="N24057" s="28"/>
      <c r="O24057" s="28"/>
      <c r="U24057" s="28"/>
    </row>
    <row r="24058">
      <c r="N24058" s="28"/>
      <c r="O24058" s="28"/>
      <c r="U24058" s="28"/>
    </row>
    <row r="24059">
      <c r="N24059" s="28"/>
      <c r="O24059" s="28"/>
      <c r="U24059" s="28"/>
    </row>
    <row r="24060">
      <c r="N24060" s="28"/>
      <c r="O24060" s="28"/>
      <c r="U24060" s="28"/>
    </row>
    <row r="24061">
      <c r="N24061" s="28"/>
      <c r="O24061" s="28"/>
      <c r="U24061" s="28"/>
    </row>
    <row r="24062">
      <c r="N24062" s="28"/>
      <c r="O24062" s="28"/>
      <c r="U24062" s="28"/>
    </row>
    <row r="24063">
      <c r="N24063" s="28"/>
      <c r="O24063" s="28"/>
      <c r="U24063" s="28"/>
    </row>
    <row r="24064">
      <c r="N24064" s="28"/>
      <c r="O24064" s="28"/>
      <c r="U24064" s="28"/>
    </row>
    <row r="24065">
      <c r="N24065" s="28"/>
      <c r="O24065" s="28"/>
      <c r="U24065" s="28"/>
    </row>
    <row r="24066">
      <c r="N24066" s="28"/>
      <c r="O24066" s="28"/>
      <c r="U24066" s="28"/>
    </row>
    <row r="24067">
      <c r="N24067" s="28"/>
      <c r="O24067" s="28"/>
      <c r="U24067" s="28"/>
    </row>
    <row r="24068">
      <c r="N24068" s="28"/>
      <c r="O24068" s="28"/>
      <c r="U24068" s="28"/>
    </row>
    <row r="24069">
      <c r="N24069" s="28"/>
      <c r="O24069" s="28"/>
      <c r="U24069" s="28"/>
    </row>
    <row r="24070">
      <c r="N24070" s="28"/>
      <c r="O24070" s="28"/>
      <c r="U24070" s="28"/>
    </row>
    <row r="24071">
      <c r="N24071" s="28"/>
      <c r="O24071" s="28"/>
      <c r="U24071" s="28"/>
    </row>
    <row r="24072">
      <c r="N24072" s="28"/>
      <c r="O24072" s="28"/>
      <c r="U24072" s="28"/>
    </row>
    <row r="24073">
      <c r="N24073" s="28"/>
      <c r="O24073" s="28"/>
      <c r="U24073" s="28"/>
    </row>
    <row r="24074">
      <c r="N24074" s="28"/>
      <c r="O24074" s="28"/>
      <c r="U24074" s="28"/>
    </row>
    <row r="24075">
      <c r="N24075" s="28"/>
      <c r="O24075" s="28"/>
      <c r="U24075" s="28"/>
    </row>
    <row r="24076">
      <c r="N24076" s="28"/>
      <c r="O24076" s="28"/>
      <c r="U24076" s="28"/>
    </row>
    <row r="24077">
      <c r="N24077" s="28"/>
      <c r="O24077" s="28"/>
      <c r="U24077" s="28"/>
    </row>
    <row r="24078">
      <c r="N24078" s="28"/>
      <c r="O24078" s="28"/>
      <c r="U24078" s="28"/>
    </row>
    <row r="24079">
      <c r="N24079" s="28"/>
      <c r="O24079" s="28"/>
      <c r="U24079" s="28"/>
    </row>
    <row r="24080">
      <c r="N24080" s="28"/>
      <c r="O24080" s="28"/>
      <c r="U24080" s="28"/>
    </row>
    <row r="24081">
      <c r="N24081" s="28"/>
      <c r="O24081" s="28"/>
      <c r="U24081" s="28"/>
    </row>
    <row r="24082">
      <c r="N24082" s="28"/>
      <c r="O24082" s="28"/>
      <c r="U24082" s="28"/>
    </row>
    <row r="24083">
      <c r="N24083" s="28"/>
      <c r="O24083" s="28"/>
      <c r="U24083" s="28"/>
    </row>
    <row r="24084">
      <c r="N24084" s="28"/>
      <c r="O24084" s="28"/>
      <c r="U24084" s="28"/>
    </row>
    <row r="24085">
      <c r="N24085" s="28"/>
      <c r="O24085" s="28"/>
      <c r="U24085" s="28"/>
    </row>
    <row r="24086">
      <c r="N24086" s="28"/>
      <c r="O24086" s="28"/>
      <c r="U24086" s="28"/>
    </row>
    <row r="24087">
      <c r="N24087" s="28"/>
      <c r="O24087" s="28"/>
      <c r="U24087" s="28"/>
    </row>
    <row r="24088">
      <c r="N24088" s="28"/>
      <c r="O24088" s="28"/>
      <c r="U24088" s="28"/>
    </row>
    <row r="24089">
      <c r="N24089" s="28"/>
      <c r="O24089" s="28"/>
      <c r="U24089" s="28"/>
    </row>
    <row r="24090">
      <c r="N24090" s="28"/>
      <c r="O24090" s="28"/>
      <c r="U24090" s="28"/>
    </row>
    <row r="24091">
      <c r="N24091" s="28"/>
      <c r="O24091" s="28"/>
      <c r="U24091" s="28"/>
    </row>
    <row r="24092">
      <c r="N24092" s="28"/>
      <c r="O24092" s="28"/>
      <c r="U24092" s="28"/>
    </row>
    <row r="24093">
      <c r="N24093" s="28"/>
      <c r="O24093" s="28"/>
      <c r="U24093" s="28"/>
    </row>
    <row r="24094">
      <c r="N24094" s="28"/>
      <c r="O24094" s="28"/>
      <c r="U24094" s="28"/>
    </row>
    <row r="24095">
      <c r="N24095" s="28"/>
      <c r="O24095" s="28"/>
      <c r="U24095" s="28"/>
    </row>
    <row r="24096">
      <c r="N24096" s="28"/>
      <c r="O24096" s="28"/>
      <c r="U24096" s="28"/>
    </row>
    <row r="24097">
      <c r="N24097" s="28"/>
      <c r="O24097" s="28"/>
      <c r="U24097" s="28"/>
    </row>
    <row r="24098">
      <c r="N24098" s="28"/>
      <c r="O24098" s="28"/>
      <c r="U24098" s="28"/>
    </row>
    <row r="24099">
      <c r="N24099" s="28"/>
      <c r="O24099" s="28"/>
      <c r="U24099" s="28"/>
    </row>
    <row r="24100">
      <c r="N24100" s="28"/>
      <c r="O24100" s="28"/>
      <c r="U24100" s="28"/>
    </row>
    <row r="24101">
      <c r="N24101" s="28"/>
      <c r="O24101" s="28"/>
      <c r="U24101" s="28"/>
    </row>
    <row r="24102">
      <c r="N24102" s="28"/>
      <c r="O24102" s="28"/>
      <c r="U24102" s="28"/>
    </row>
    <row r="24103">
      <c r="N24103" s="28"/>
      <c r="O24103" s="28"/>
      <c r="U24103" s="28"/>
    </row>
    <row r="24104">
      <c r="N24104" s="28"/>
      <c r="O24104" s="28"/>
      <c r="U24104" s="28"/>
    </row>
    <row r="24105">
      <c r="N24105" s="28"/>
      <c r="O24105" s="28"/>
      <c r="U24105" s="28"/>
    </row>
    <row r="24106">
      <c r="N24106" s="28"/>
      <c r="O24106" s="28"/>
      <c r="U24106" s="28"/>
    </row>
    <row r="24107">
      <c r="N24107" s="28"/>
      <c r="O24107" s="28"/>
      <c r="U24107" s="28"/>
    </row>
    <row r="24108">
      <c r="N24108" s="28"/>
      <c r="O24108" s="28"/>
      <c r="U24108" s="28"/>
    </row>
    <row r="24109">
      <c r="N24109" s="28"/>
      <c r="O24109" s="28"/>
      <c r="U24109" s="28"/>
    </row>
    <row r="24110">
      <c r="N24110" s="28"/>
      <c r="O24110" s="28"/>
      <c r="U24110" s="28"/>
    </row>
    <row r="24111">
      <c r="N24111" s="28"/>
      <c r="O24111" s="28"/>
      <c r="U24111" s="28"/>
    </row>
    <row r="24112">
      <c r="N24112" s="28"/>
      <c r="O24112" s="28"/>
      <c r="U24112" s="28"/>
    </row>
    <row r="24113">
      <c r="N24113" s="28"/>
      <c r="O24113" s="28"/>
      <c r="U24113" s="28"/>
    </row>
    <row r="24114">
      <c r="N24114" s="28"/>
      <c r="O24114" s="28"/>
      <c r="U24114" s="28"/>
    </row>
    <row r="24115">
      <c r="N24115" s="28"/>
      <c r="O24115" s="28"/>
      <c r="U24115" s="28"/>
    </row>
    <row r="24116">
      <c r="N24116" s="28"/>
      <c r="O24116" s="28"/>
      <c r="U24116" s="28"/>
    </row>
    <row r="24117">
      <c r="N24117" s="28"/>
      <c r="O24117" s="28"/>
      <c r="U24117" s="28"/>
    </row>
    <row r="24118">
      <c r="N24118" s="28"/>
      <c r="O24118" s="28"/>
      <c r="U24118" s="28"/>
    </row>
    <row r="24119">
      <c r="N24119" s="28"/>
      <c r="O24119" s="28"/>
      <c r="U24119" s="28"/>
    </row>
    <row r="24120">
      <c r="N24120" s="28"/>
      <c r="O24120" s="28"/>
      <c r="U24120" s="28"/>
    </row>
    <row r="24121">
      <c r="N24121" s="28"/>
      <c r="O24121" s="28"/>
      <c r="U24121" s="28"/>
    </row>
    <row r="24122">
      <c r="N24122" s="28"/>
      <c r="O24122" s="28"/>
      <c r="U24122" s="28"/>
    </row>
    <row r="24123">
      <c r="N24123" s="28"/>
      <c r="O24123" s="28"/>
      <c r="U24123" s="28"/>
    </row>
    <row r="24124">
      <c r="N24124" s="28"/>
      <c r="O24124" s="28"/>
      <c r="U24124" s="28"/>
    </row>
    <row r="24125">
      <c r="N24125" s="28"/>
      <c r="O24125" s="28"/>
      <c r="U24125" s="28"/>
    </row>
    <row r="24126">
      <c r="N24126" s="28"/>
      <c r="O24126" s="28"/>
      <c r="U24126" s="28"/>
    </row>
    <row r="24127">
      <c r="N24127" s="28"/>
      <c r="O24127" s="28"/>
      <c r="U24127" s="28"/>
    </row>
    <row r="24128">
      <c r="N24128" s="28"/>
      <c r="O24128" s="28"/>
      <c r="U24128" s="28"/>
    </row>
    <row r="24129">
      <c r="N24129" s="28"/>
      <c r="O24129" s="28"/>
      <c r="U24129" s="28"/>
    </row>
    <row r="24130">
      <c r="N24130" s="28"/>
      <c r="O24130" s="28"/>
      <c r="U24130" s="28"/>
    </row>
    <row r="24131">
      <c r="N24131" s="28"/>
      <c r="O24131" s="28"/>
      <c r="U24131" s="28"/>
    </row>
    <row r="24132">
      <c r="N24132" s="28"/>
      <c r="O24132" s="28"/>
      <c r="U24132" s="28"/>
    </row>
    <row r="24133">
      <c r="N24133" s="28"/>
      <c r="O24133" s="28"/>
      <c r="U24133" s="28"/>
    </row>
    <row r="24134">
      <c r="N24134" s="28"/>
      <c r="O24134" s="28"/>
      <c r="U24134" s="28"/>
    </row>
    <row r="24135">
      <c r="N24135" s="28"/>
      <c r="O24135" s="28"/>
      <c r="U24135" s="28"/>
    </row>
    <row r="24136">
      <c r="N24136" s="28"/>
      <c r="O24136" s="28"/>
      <c r="U24136" s="28"/>
    </row>
    <row r="24137">
      <c r="N24137" s="28"/>
      <c r="O24137" s="28"/>
      <c r="U24137" s="28"/>
    </row>
    <row r="24138">
      <c r="N24138" s="28"/>
      <c r="O24138" s="28"/>
      <c r="U24138" s="28"/>
    </row>
    <row r="24139">
      <c r="N24139" s="28"/>
      <c r="O24139" s="28"/>
      <c r="U24139" s="28"/>
    </row>
    <row r="24140">
      <c r="N24140" s="28"/>
      <c r="O24140" s="28"/>
      <c r="U24140" s="28"/>
    </row>
    <row r="24141">
      <c r="N24141" s="28"/>
      <c r="O24141" s="28"/>
      <c r="U24141" s="28"/>
    </row>
    <row r="24142">
      <c r="N24142" s="28"/>
      <c r="O24142" s="28"/>
      <c r="U24142" s="28"/>
    </row>
    <row r="24143">
      <c r="N24143" s="28"/>
      <c r="O24143" s="28"/>
      <c r="U24143" s="28"/>
    </row>
    <row r="24144">
      <c r="N24144" s="28"/>
      <c r="O24144" s="28"/>
      <c r="U24144" s="28"/>
    </row>
    <row r="24145">
      <c r="N24145" s="28"/>
      <c r="O24145" s="28"/>
      <c r="U24145" s="28"/>
    </row>
    <row r="24146">
      <c r="N24146" s="28"/>
      <c r="O24146" s="28"/>
      <c r="U24146" s="28"/>
    </row>
    <row r="24147">
      <c r="N24147" s="28"/>
      <c r="O24147" s="28"/>
      <c r="U24147" s="28"/>
    </row>
    <row r="24148">
      <c r="N24148" s="28"/>
      <c r="O24148" s="28"/>
      <c r="U24148" s="28"/>
    </row>
    <row r="24149">
      <c r="N24149" s="28"/>
      <c r="O24149" s="28"/>
      <c r="U24149" s="28"/>
    </row>
    <row r="24150">
      <c r="N24150" s="28"/>
      <c r="O24150" s="28"/>
      <c r="U24150" s="28"/>
    </row>
    <row r="24151">
      <c r="N24151" s="28"/>
      <c r="O24151" s="28"/>
      <c r="U24151" s="28"/>
    </row>
    <row r="24152">
      <c r="N24152" s="28"/>
      <c r="O24152" s="28"/>
      <c r="U24152" s="28"/>
    </row>
    <row r="24153">
      <c r="N24153" s="28"/>
      <c r="O24153" s="28"/>
      <c r="U24153" s="28"/>
    </row>
    <row r="24154">
      <c r="N24154" s="28"/>
      <c r="O24154" s="28"/>
      <c r="U24154" s="28"/>
    </row>
    <row r="24155">
      <c r="N24155" s="28"/>
      <c r="O24155" s="28"/>
      <c r="U24155" s="28"/>
    </row>
    <row r="24156">
      <c r="N24156" s="28"/>
      <c r="O24156" s="28"/>
      <c r="U24156" s="28"/>
    </row>
    <row r="24157">
      <c r="N24157" s="28"/>
      <c r="O24157" s="28"/>
      <c r="U24157" s="28"/>
    </row>
    <row r="24158">
      <c r="N24158" s="28"/>
      <c r="O24158" s="28"/>
      <c r="U24158" s="28"/>
    </row>
    <row r="24159">
      <c r="N24159" s="28"/>
      <c r="O24159" s="28"/>
      <c r="U24159" s="28"/>
    </row>
    <row r="24160">
      <c r="N24160" s="28"/>
      <c r="O24160" s="28"/>
      <c r="U24160" s="28"/>
    </row>
    <row r="24161">
      <c r="N24161" s="28"/>
      <c r="O24161" s="28"/>
      <c r="U24161" s="28"/>
    </row>
    <row r="24162">
      <c r="N24162" s="28"/>
      <c r="O24162" s="28"/>
      <c r="U24162" s="28"/>
    </row>
    <row r="24163">
      <c r="N24163" s="28"/>
      <c r="O24163" s="28"/>
      <c r="U24163" s="28"/>
    </row>
    <row r="24164">
      <c r="N24164" s="28"/>
      <c r="O24164" s="28"/>
      <c r="U24164" s="28"/>
    </row>
    <row r="24165">
      <c r="N24165" s="28"/>
      <c r="O24165" s="28"/>
      <c r="U24165" s="28"/>
    </row>
    <row r="24166">
      <c r="N24166" s="28"/>
      <c r="O24166" s="28"/>
      <c r="U24166" s="28"/>
    </row>
    <row r="24167">
      <c r="N24167" s="28"/>
      <c r="O24167" s="28"/>
      <c r="U24167" s="28"/>
    </row>
    <row r="24168">
      <c r="N24168" s="28"/>
      <c r="O24168" s="28"/>
      <c r="U24168" s="28"/>
    </row>
    <row r="24169">
      <c r="N24169" s="28"/>
      <c r="O24169" s="28"/>
      <c r="U24169" s="28"/>
    </row>
    <row r="24170">
      <c r="N24170" s="28"/>
      <c r="O24170" s="28"/>
      <c r="U24170" s="28"/>
    </row>
    <row r="24171">
      <c r="N24171" s="28"/>
      <c r="O24171" s="28"/>
      <c r="U24171" s="28"/>
    </row>
    <row r="24172">
      <c r="N24172" s="28"/>
      <c r="O24172" s="28"/>
      <c r="U24172" s="28"/>
    </row>
    <row r="24173">
      <c r="N24173" s="28"/>
      <c r="O24173" s="28"/>
      <c r="U24173" s="28"/>
    </row>
    <row r="24174">
      <c r="N24174" s="28"/>
      <c r="O24174" s="28"/>
      <c r="U24174" s="28"/>
    </row>
    <row r="24175">
      <c r="N24175" s="28"/>
      <c r="O24175" s="28"/>
      <c r="U24175" s="28"/>
    </row>
    <row r="24176">
      <c r="N24176" s="28"/>
      <c r="O24176" s="28"/>
      <c r="U24176" s="28"/>
    </row>
    <row r="24177">
      <c r="N24177" s="28"/>
      <c r="O24177" s="28"/>
      <c r="U24177" s="28"/>
    </row>
    <row r="24178">
      <c r="N24178" s="28"/>
      <c r="O24178" s="28"/>
      <c r="U24178" s="28"/>
    </row>
    <row r="24179">
      <c r="N24179" s="28"/>
      <c r="O24179" s="28"/>
      <c r="U24179" s="28"/>
    </row>
    <row r="24180">
      <c r="N24180" s="28"/>
      <c r="O24180" s="28"/>
      <c r="U24180" s="28"/>
    </row>
    <row r="24181">
      <c r="N24181" s="28"/>
      <c r="O24181" s="28"/>
      <c r="U24181" s="28"/>
    </row>
    <row r="24182">
      <c r="N24182" s="28"/>
      <c r="O24182" s="28"/>
      <c r="U24182" s="28"/>
    </row>
    <row r="24183">
      <c r="N24183" s="28"/>
      <c r="O24183" s="28"/>
      <c r="U24183" s="28"/>
    </row>
    <row r="24184">
      <c r="N24184" s="28"/>
      <c r="O24184" s="28"/>
      <c r="U24184" s="28"/>
    </row>
    <row r="24185">
      <c r="N24185" s="28"/>
      <c r="O24185" s="28"/>
      <c r="U24185" s="28"/>
    </row>
    <row r="24186">
      <c r="N24186" s="28"/>
      <c r="O24186" s="28"/>
      <c r="U24186" s="28"/>
    </row>
    <row r="24187">
      <c r="N24187" s="28"/>
      <c r="O24187" s="28"/>
      <c r="U24187" s="28"/>
    </row>
    <row r="24188">
      <c r="N24188" s="28"/>
      <c r="O24188" s="28"/>
      <c r="U24188" s="28"/>
    </row>
    <row r="24189">
      <c r="N24189" s="28"/>
      <c r="O24189" s="28"/>
      <c r="U24189" s="28"/>
    </row>
    <row r="24190">
      <c r="N24190" s="28"/>
      <c r="O24190" s="28"/>
      <c r="U24190" s="28"/>
    </row>
    <row r="24191">
      <c r="N24191" s="28"/>
      <c r="O24191" s="28"/>
      <c r="U24191" s="28"/>
    </row>
    <row r="24192">
      <c r="N24192" s="28"/>
      <c r="O24192" s="28"/>
      <c r="U24192" s="28"/>
    </row>
    <row r="24193">
      <c r="N24193" s="28"/>
      <c r="O24193" s="28"/>
      <c r="U24193" s="28"/>
    </row>
    <row r="24194">
      <c r="N24194" s="28"/>
      <c r="O24194" s="28"/>
      <c r="U24194" s="28"/>
    </row>
    <row r="24195">
      <c r="N24195" s="28"/>
      <c r="O24195" s="28"/>
      <c r="U24195" s="28"/>
    </row>
    <row r="24196">
      <c r="N24196" s="28"/>
      <c r="O24196" s="28"/>
      <c r="U24196" s="28"/>
    </row>
    <row r="24197">
      <c r="N24197" s="28"/>
      <c r="O24197" s="28"/>
      <c r="U24197" s="28"/>
    </row>
    <row r="24198">
      <c r="N24198" s="28"/>
      <c r="O24198" s="28"/>
      <c r="U24198" s="28"/>
    </row>
    <row r="24199">
      <c r="N24199" s="28"/>
      <c r="O24199" s="28"/>
      <c r="U24199" s="28"/>
    </row>
    <row r="24200">
      <c r="N24200" s="28"/>
      <c r="O24200" s="28"/>
      <c r="U24200" s="28"/>
    </row>
    <row r="24201">
      <c r="N24201" s="28"/>
      <c r="O24201" s="28"/>
      <c r="U24201" s="28"/>
    </row>
    <row r="24202">
      <c r="N24202" s="28"/>
      <c r="O24202" s="28"/>
      <c r="U24202" s="28"/>
    </row>
    <row r="24203">
      <c r="N24203" s="28"/>
      <c r="O24203" s="28"/>
      <c r="U24203" s="28"/>
    </row>
    <row r="24204">
      <c r="N24204" s="28"/>
      <c r="O24204" s="28"/>
      <c r="U24204" s="28"/>
    </row>
    <row r="24205">
      <c r="N24205" s="28"/>
      <c r="O24205" s="28"/>
      <c r="U24205" s="28"/>
    </row>
    <row r="24206">
      <c r="N24206" s="28"/>
      <c r="O24206" s="28"/>
      <c r="U24206" s="28"/>
    </row>
    <row r="24207">
      <c r="N24207" s="28"/>
      <c r="O24207" s="28"/>
      <c r="U24207" s="28"/>
    </row>
    <row r="24208">
      <c r="N24208" s="28"/>
      <c r="O24208" s="28"/>
      <c r="U24208" s="28"/>
    </row>
    <row r="24209">
      <c r="N24209" s="28"/>
      <c r="O24209" s="28"/>
      <c r="U24209" s="28"/>
    </row>
    <row r="24210">
      <c r="N24210" s="28"/>
      <c r="O24210" s="28"/>
      <c r="U24210" s="28"/>
    </row>
    <row r="24211">
      <c r="N24211" s="28"/>
      <c r="O24211" s="28"/>
      <c r="U24211" s="28"/>
    </row>
    <row r="24212">
      <c r="N24212" s="28"/>
      <c r="O24212" s="28"/>
      <c r="U24212" s="28"/>
    </row>
    <row r="24213">
      <c r="N24213" s="28"/>
      <c r="O24213" s="28"/>
      <c r="U24213" s="28"/>
    </row>
    <row r="24214">
      <c r="N24214" s="28"/>
      <c r="O24214" s="28"/>
      <c r="U24214" s="28"/>
    </row>
    <row r="24215">
      <c r="N24215" s="28"/>
      <c r="O24215" s="28"/>
      <c r="U24215" s="28"/>
    </row>
    <row r="24216">
      <c r="N24216" s="28"/>
      <c r="O24216" s="28"/>
      <c r="U24216" s="28"/>
    </row>
    <row r="24217">
      <c r="N24217" s="28"/>
      <c r="O24217" s="28"/>
      <c r="U24217" s="28"/>
    </row>
    <row r="24218">
      <c r="N24218" s="28"/>
      <c r="O24218" s="28"/>
      <c r="U24218" s="28"/>
    </row>
    <row r="24219">
      <c r="N24219" s="28"/>
      <c r="O24219" s="28"/>
      <c r="U24219" s="28"/>
    </row>
    <row r="24220">
      <c r="N24220" s="28"/>
      <c r="O24220" s="28"/>
      <c r="U24220" s="28"/>
    </row>
    <row r="24221">
      <c r="N24221" s="28"/>
      <c r="O24221" s="28"/>
      <c r="U24221" s="28"/>
    </row>
    <row r="24222">
      <c r="N24222" s="28"/>
      <c r="O24222" s="28"/>
      <c r="U24222" s="28"/>
    </row>
    <row r="24223">
      <c r="N24223" s="28"/>
      <c r="O24223" s="28"/>
      <c r="U24223" s="28"/>
    </row>
    <row r="24224">
      <c r="N24224" s="28"/>
      <c r="O24224" s="28"/>
      <c r="U24224" s="28"/>
    </row>
    <row r="24225">
      <c r="N24225" s="28"/>
      <c r="O24225" s="28"/>
      <c r="U24225" s="28"/>
    </row>
    <row r="24226">
      <c r="N24226" s="28"/>
      <c r="O24226" s="28"/>
      <c r="U24226" s="28"/>
    </row>
    <row r="24227">
      <c r="N24227" s="28"/>
      <c r="O24227" s="28"/>
      <c r="U24227" s="28"/>
    </row>
    <row r="24228">
      <c r="N24228" s="28"/>
      <c r="O24228" s="28"/>
      <c r="U24228" s="28"/>
    </row>
    <row r="24229">
      <c r="N24229" s="28"/>
      <c r="O24229" s="28"/>
      <c r="U24229" s="28"/>
    </row>
    <row r="24230">
      <c r="N24230" s="28"/>
      <c r="O24230" s="28"/>
      <c r="U24230" s="28"/>
    </row>
    <row r="24231">
      <c r="N24231" s="28"/>
      <c r="O24231" s="28"/>
      <c r="U24231" s="28"/>
    </row>
    <row r="24232">
      <c r="N24232" s="28"/>
      <c r="O24232" s="28"/>
      <c r="U24232" s="28"/>
    </row>
    <row r="24233">
      <c r="N24233" s="28"/>
      <c r="O24233" s="28"/>
      <c r="U24233" s="28"/>
    </row>
    <row r="24234">
      <c r="N24234" s="28"/>
      <c r="O24234" s="28"/>
      <c r="U24234" s="28"/>
    </row>
    <row r="24235">
      <c r="N24235" s="28"/>
      <c r="O24235" s="28"/>
      <c r="U24235" s="28"/>
    </row>
    <row r="24236">
      <c r="N24236" s="28"/>
      <c r="O24236" s="28"/>
      <c r="U24236" s="28"/>
    </row>
    <row r="24237">
      <c r="N24237" s="28"/>
      <c r="O24237" s="28"/>
      <c r="U24237" s="28"/>
    </row>
    <row r="24238">
      <c r="N24238" s="28"/>
      <c r="O24238" s="28"/>
      <c r="U24238" s="28"/>
    </row>
    <row r="24239">
      <c r="N24239" s="28"/>
      <c r="O24239" s="28"/>
      <c r="U24239" s="28"/>
    </row>
    <row r="24240">
      <c r="N24240" s="28"/>
      <c r="O24240" s="28"/>
      <c r="U24240" s="28"/>
    </row>
    <row r="24241">
      <c r="N24241" s="28"/>
      <c r="O24241" s="28"/>
      <c r="U24241" s="28"/>
    </row>
    <row r="24242">
      <c r="N24242" s="28"/>
      <c r="O24242" s="28"/>
      <c r="U24242" s="28"/>
    </row>
    <row r="24243">
      <c r="N24243" s="28"/>
      <c r="O24243" s="28"/>
      <c r="U24243" s="28"/>
    </row>
    <row r="24244">
      <c r="N24244" s="28"/>
      <c r="O24244" s="28"/>
      <c r="U24244" s="28"/>
    </row>
    <row r="24245">
      <c r="N24245" s="28"/>
      <c r="O24245" s="28"/>
      <c r="U24245" s="28"/>
    </row>
    <row r="24246">
      <c r="N24246" s="28"/>
      <c r="O24246" s="28"/>
      <c r="U24246" s="28"/>
    </row>
    <row r="24247">
      <c r="N24247" s="28"/>
      <c r="O24247" s="28"/>
      <c r="U24247" s="28"/>
    </row>
    <row r="24248">
      <c r="N24248" s="28"/>
      <c r="O24248" s="28"/>
      <c r="U24248" s="28"/>
    </row>
    <row r="24249">
      <c r="N24249" s="28"/>
      <c r="O24249" s="28"/>
      <c r="U24249" s="28"/>
    </row>
    <row r="24250">
      <c r="N24250" s="28"/>
      <c r="O24250" s="28"/>
      <c r="U24250" s="28"/>
    </row>
    <row r="24251">
      <c r="N24251" s="28"/>
      <c r="O24251" s="28"/>
      <c r="U24251" s="28"/>
    </row>
    <row r="24252">
      <c r="N24252" s="28"/>
      <c r="O24252" s="28"/>
      <c r="U24252" s="28"/>
    </row>
    <row r="24253">
      <c r="N24253" s="28"/>
      <c r="O24253" s="28"/>
      <c r="U24253" s="28"/>
    </row>
    <row r="24254">
      <c r="N24254" s="28"/>
      <c r="O24254" s="28"/>
      <c r="U24254" s="28"/>
    </row>
    <row r="24255">
      <c r="N24255" s="28"/>
      <c r="O24255" s="28"/>
      <c r="U24255" s="28"/>
    </row>
    <row r="24256">
      <c r="N24256" s="28"/>
      <c r="O24256" s="28"/>
      <c r="U24256" s="28"/>
    </row>
    <row r="24257">
      <c r="N24257" s="28"/>
      <c r="O24257" s="28"/>
      <c r="U24257" s="28"/>
    </row>
    <row r="24258">
      <c r="N24258" s="28"/>
      <c r="O24258" s="28"/>
      <c r="U24258" s="28"/>
    </row>
    <row r="24259">
      <c r="N24259" s="28"/>
      <c r="O24259" s="28"/>
      <c r="U24259" s="28"/>
    </row>
    <row r="24260">
      <c r="N24260" s="28"/>
      <c r="O24260" s="28"/>
      <c r="U24260" s="28"/>
    </row>
    <row r="24261">
      <c r="N24261" s="28"/>
      <c r="O24261" s="28"/>
      <c r="U24261" s="28"/>
    </row>
    <row r="24262">
      <c r="N24262" s="28"/>
      <c r="O24262" s="28"/>
      <c r="U24262" s="28"/>
    </row>
    <row r="24263">
      <c r="N24263" s="28"/>
      <c r="O24263" s="28"/>
      <c r="U24263" s="28"/>
    </row>
    <row r="24264">
      <c r="N24264" s="28"/>
      <c r="O24264" s="28"/>
      <c r="U24264" s="28"/>
    </row>
    <row r="24265">
      <c r="N24265" s="28"/>
      <c r="O24265" s="28"/>
      <c r="U24265" s="28"/>
    </row>
    <row r="24266">
      <c r="N24266" s="28"/>
      <c r="O24266" s="28"/>
      <c r="U24266" s="28"/>
    </row>
    <row r="24267">
      <c r="N24267" s="28"/>
      <c r="O24267" s="28"/>
      <c r="U24267" s="28"/>
    </row>
    <row r="24268">
      <c r="N24268" s="28"/>
      <c r="O24268" s="28"/>
      <c r="U24268" s="28"/>
    </row>
    <row r="24269">
      <c r="N24269" s="28"/>
      <c r="O24269" s="28"/>
      <c r="U24269" s="28"/>
    </row>
    <row r="24270">
      <c r="N24270" s="28"/>
      <c r="O24270" s="28"/>
      <c r="U24270" s="28"/>
    </row>
    <row r="24271">
      <c r="N24271" s="28"/>
      <c r="O24271" s="28"/>
      <c r="U24271" s="28"/>
    </row>
    <row r="24272">
      <c r="N24272" s="28"/>
      <c r="O24272" s="28"/>
      <c r="U24272" s="28"/>
    </row>
    <row r="24273">
      <c r="N24273" s="28"/>
      <c r="O24273" s="28"/>
      <c r="U24273" s="28"/>
    </row>
    <row r="24274">
      <c r="N24274" s="28"/>
      <c r="O24274" s="28"/>
      <c r="U24274" s="28"/>
    </row>
    <row r="24275">
      <c r="N24275" s="28"/>
      <c r="O24275" s="28"/>
      <c r="U24275" s="28"/>
    </row>
    <row r="24276">
      <c r="N24276" s="28"/>
      <c r="O24276" s="28"/>
      <c r="U24276" s="28"/>
    </row>
    <row r="24277">
      <c r="N24277" s="28"/>
      <c r="O24277" s="28"/>
      <c r="U24277" s="28"/>
    </row>
    <row r="24278">
      <c r="N24278" s="28"/>
      <c r="O24278" s="28"/>
      <c r="U24278" s="28"/>
    </row>
    <row r="24279">
      <c r="N24279" s="28"/>
      <c r="O24279" s="28"/>
      <c r="U24279" s="28"/>
    </row>
    <row r="24280">
      <c r="N24280" s="28"/>
      <c r="O24280" s="28"/>
      <c r="U24280" s="28"/>
    </row>
    <row r="24281">
      <c r="N24281" s="28"/>
      <c r="O24281" s="28"/>
      <c r="U24281" s="28"/>
    </row>
    <row r="24282">
      <c r="N24282" s="28"/>
      <c r="O24282" s="28"/>
      <c r="U24282" s="28"/>
    </row>
    <row r="24283">
      <c r="N24283" s="28"/>
      <c r="O24283" s="28"/>
      <c r="U24283" s="28"/>
    </row>
    <row r="24284">
      <c r="N24284" s="28"/>
      <c r="O24284" s="28"/>
      <c r="U24284" s="28"/>
    </row>
    <row r="24285">
      <c r="N24285" s="28"/>
      <c r="O24285" s="28"/>
      <c r="U24285" s="28"/>
    </row>
    <row r="24286">
      <c r="N24286" s="28"/>
      <c r="O24286" s="28"/>
      <c r="U24286" s="28"/>
    </row>
    <row r="24287">
      <c r="N24287" s="28"/>
      <c r="O24287" s="28"/>
      <c r="U24287" s="28"/>
    </row>
    <row r="24288">
      <c r="N24288" s="28"/>
      <c r="O24288" s="28"/>
      <c r="U24288" s="28"/>
    </row>
    <row r="24289">
      <c r="N24289" s="28"/>
      <c r="O24289" s="28"/>
      <c r="U24289" s="28"/>
    </row>
    <row r="24290">
      <c r="N24290" s="28"/>
      <c r="O24290" s="28"/>
      <c r="U24290" s="28"/>
    </row>
    <row r="24291">
      <c r="N24291" s="28"/>
      <c r="O24291" s="28"/>
      <c r="U24291" s="28"/>
    </row>
    <row r="24292">
      <c r="N24292" s="28"/>
      <c r="O24292" s="28"/>
      <c r="U24292" s="28"/>
    </row>
    <row r="24293">
      <c r="N24293" s="28"/>
      <c r="O24293" s="28"/>
      <c r="U24293" s="28"/>
    </row>
    <row r="24294">
      <c r="N24294" s="28"/>
      <c r="O24294" s="28"/>
      <c r="U24294" s="28"/>
    </row>
    <row r="24295">
      <c r="N24295" s="28"/>
      <c r="O24295" s="28"/>
      <c r="U24295" s="28"/>
    </row>
    <row r="24296">
      <c r="N24296" s="28"/>
      <c r="O24296" s="28"/>
      <c r="U24296" s="28"/>
    </row>
    <row r="24297">
      <c r="N24297" s="28"/>
      <c r="O24297" s="28"/>
      <c r="U24297" s="28"/>
    </row>
    <row r="24298">
      <c r="N24298" s="28"/>
      <c r="O24298" s="28"/>
      <c r="U24298" s="28"/>
    </row>
    <row r="24299">
      <c r="N24299" s="28"/>
      <c r="O24299" s="28"/>
      <c r="U24299" s="28"/>
    </row>
    <row r="24300">
      <c r="N24300" s="28"/>
      <c r="O24300" s="28"/>
      <c r="U24300" s="28"/>
    </row>
    <row r="24301">
      <c r="N24301" s="28"/>
      <c r="O24301" s="28"/>
      <c r="U24301" s="28"/>
    </row>
    <row r="24302">
      <c r="N24302" s="28"/>
      <c r="O24302" s="28"/>
      <c r="U24302" s="28"/>
    </row>
    <row r="24303">
      <c r="N24303" s="28"/>
      <c r="O24303" s="28"/>
      <c r="U24303" s="28"/>
    </row>
    <row r="24304">
      <c r="N24304" s="28"/>
      <c r="O24304" s="28"/>
      <c r="U24304" s="28"/>
    </row>
    <row r="24305">
      <c r="N24305" s="28"/>
      <c r="O24305" s="28"/>
      <c r="U24305" s="28"/>
    </row>
    <row r="24306">
      <c r="N24306" s="28"/>
      <c r="O24306" s="28"/>
      <c r="U24306" s="28"/>
    </row>
    <row r="24307">
      <c r="N24307" s="28"/>
      <c r="O24307" s="28"/>
      <c r="U24307" s="28"/>
    </row>
    <row r="24308">
      <c r="N24308" s="28"/>
      <c r="O24308" s="28"/>
      <c r="U24308" s="28"/>
    </row>
    <row r="24309">
      <c r="N24309" s="28"/>
      <c r="O24309" s="28"/>
      <c r="U24309" s="28"/>
    </row>
    <row r="24310">
      <c r="N24310" s="28"/>
      <c r="O24310" s="28"/>
      <c r="U24310" s="28"/>
    </row>
    <row r="24311">
      <c r="N24311" s="28"/>
      <c r="O24311" s="28"/>
      <c r="U24311" s="28"/>
    </row>
    <row r="24312">
      <c r="N24312" s="28"/>
      <c r="O24312" s="28"/>
      <c r="U24312" s="28"/>
    </row>
    <row r="24313">
      <c r="N24313" s="28"/>
      <c r="O24313" s="28"/>
      <c r="U24313" s="28"/>
    </row>
    <row r="24314">
      <c r="N24314" s="28"/>
      <c r="O24314" s="28"/>
      <c r="U24314" s="28"/>
    </row>
    <row r="24315">
      <c r="N24315" s="28"/>
      <c r="O24315" s="28"/>
      <c r="U24315" s="28"/>
    </row>
    <row r="24316">
      <c r="N24316" s="28"/>
      <c r="O24316" s="28"/>
      <c r="U24316" s="28"/>
    </row>
    <row r="24317">
      <c r="N24317" s="28"/>
      <c r="O24317" s="28"/>
      <c r="U24317" s="28"/>
    </row>
    <row r="24318">
      <c r="N24318" s="28"/>
      <c r="O24318" s="28"/>
      <c r="U24318" s="28"/>
    </row>
    <row r="24319">
      <c r="N24319" s="28"/>
      <c r="O24319" s="28"/>
      <c r="U24319" s="28"/>
    </row>
    <row r="24320">
      <c r="N24320" s="28"/>
      <c r="O24320" s="28"/>
      <c r="U24320" s="28"/>
    </row>
    <row r="24321">
      <c r="N24321" s="28"/>
      <c r="O24321" s="28"/>
      <c r="U24321" s="28"/>
    </row>
    <row r="24322">
      <c r="N24322" s="28"/>
      <c r="O24322" s="28"/>
      <c r="U24322" s="28"/>
    </row>
    <row r="24323">
      <c r="N24323" s="28"/>
      <c r="O24323" s="28"/>
      <c r="U24323" s="28"/>
    </row>
    <row r="24324">
      <c r="N24324" s="28"/>
      <c r="O24324" s="28"/>
      <c r="U24324" s="28"/>
    </row>
    <row r="24325">
      <c r="N24325" s="28"/>
      <c r="O24325" s="28"/>
      <c r="U24325" s="28"/>
    </row>
    <row r="24326">
      <c r="N24326" s="28"/>
      <c r="O24326" s="28"/>
      <c r="U24326" s="28"/>
    </row>
    <row r="24327">
      <c r="N24327" s="28"/>
      <c r="O24327" s="28"/>
      <c r="U24327" s="28"/>
    </row>
    <row r="24328">
      <c r="N24328" s="28"/>
      <c r="O24328" s="28"/>
      <c r="U24328" s="28"/>
    </row>
    <row r="24329">
      <c r="N24329" s="28"/>
      <c r="O24329" s="28"/>
      <c r="U24329" s="28"/>
    </row>
    <row r="24330">
      <c r="N24330" s="28"/>
      <c r="O24330" s="28"/>
      <c r="U24330" s="28"/>
    </row>
    <row r="24331">
      <c r="N24331" s="28"/>
      <c r="O24331" s="28"/>
      <c r="U24331" s="28"/>
    </row>
    <row r="24332">
      <c r="N24332" s="28"/>
      <c r="O24332" s="28"/>
      <c r="U24332" s="28"/>
    </row>
    <row r="24333">
      <c r="N24333" s="28"/>
      <c r="O24333" s="28"/>
      <c r="U24333" s="28"/>
    </row>
    <row r="24334">
      <c r="N24334" s="28"/>
      <c r="O24334" s="28"/>
      <c r="U24334" s="28"/>
    </row>
    <row r="24335">
      <c r="N24335" s="28"/>
      <c r="O24335" s="28"/>
      <c r="U24335" s="28"/>
    </row>
    <row r="24336">
      <c r="N24336" s="28"/>
      <c r="O24336" s="28"/>
      <c r="U24336" s="28"/>
    </row>
    <row r="24337">
      <c r="N24337" s="28"/>
      <c r="O24337" s="28"/>
      <c r="U24337" s="28"/>
    </row>
    <row r="24338">
      <c r="N24338" s="28"/>
      <c r="O24338" s="28"/>
      <c r="U24338" s="28"/>
    </row>
    <row r="24339">
      <c r="N24339" s="28"/>
      <c r="O24339" s="28"/>
      <c r="U24339" s="28"/>
    </row>
    <row r="24340">
      <c r="N24340" s="28"/>
      <c r="O24340" s="28"/>
      <c r="U24340" s="28"/>
    </row>
    <row r="24341">
      <c r="N24341" s="28"/>
      <c r="O24341" s="28"/>
      <c r="U24341" s="28"/>
    </row>
    <row r="24342">
      <c r="N24342" s="28"/>
      <c r="O24342" s="28"/>
      <c r="U24342" s="28"/>
    </row>
    <row r="24343">
      <c r="N24343" s="28"/>
      <c r="O24343" s="28"/>
      <c r="U24343" s="28"/>
    </row>
    <row r="24344">
      <c r="N24344" s="28"/>
      <c r="O24344" s="28"/>
      <c r="U24344" s="28"/>
    </row>
    <row r="24345">
      <c r="N24345" s="28"/>
      <c r="O24345" s="28"/>
      <c r="U24345" s="28"/>
    </row>
    <row r="24346">
      <c r="N24346" s="28"/>
      <c r="O24346" s="28"/>
      <c r="U24346" s="28"/>
    </row>
    <row r="24347">
      <c r="N24347" s="28"/>
      <c r="O24347" s="28"/>
      <c r="U24347" s="28"/>
    </row>
    <row r="24348">
      <c r="N24348" s="28"/>
      <c r="O24348" s="28"/>
      <c r="U24348" s="28"/>
    </row>
    <row r="24349">
      <c r="N24349" s="28"/>
      <c r="O24349" s="28"/>
      <c r="U24349" s="28"/>
    </row>
    <row r="24350">
      <c r="N24350" s="28"/>
      <c r="O24350" s="28"/>
      <c r="U24350" s="28"/>
    </row>
    <row r="24351">
      <c r="N24351" s="28"/>
      <c r="O24351" s="28"/>
      <c r="U24351" s="28"/>
    </row>
    <row r="24352">
      <c r="N24352" s="28"/>
      <c r="O24352" s="28"/>
      <c r="U24352" s="28"/>
    </row>
    <row r="24353">
      <c r="N24353" s="28"/>
      <c r="O24353" s="28"/>
      <c r="U24353" s="28"/>
    </row>
    <row r="24354">
      <c r="N24354" s="28"/>
      <c r="O24354" s="28"/>
      <c r="U24354" s="28"/>
    </row>
    <row r="24355">
      <c r="N24355" s="28"/>
      <c r="O24355" s="28"/>
      <c r="U24355" s="28"/>
    </row>
    <row r="24356">
      <c r="N24356" s="28"/>
      <c r="O24356" s="28"/>
      <c r="U24356" s="28"/>
    </row>
    <row r="24357">
      <c r="N24357" s="28"/>
      <c r="O24357" s="28"/>
      <c r="U24357" s="28"/>
    </row>
    <row r="24358">
      <c r="N24358" s="28"/>
      <c r="O24358" s="28"/>
      <c r="U24358" s="28"/>
    </row>
    <row r="24359">
      <c r="N24359" s="28"/>
      <c r="O24359" s="28"/>
      <c r="U24359" s="28"/>
    </row>
    <row r="24360">
      <c r="N24360" s="28"/>
      <c r="O24360" s="28"/>
      <c r="U24360" s="28"/>
    </row>
    <row r="24361">
      <c r="N24361" s="28"/>
      <c r="O24361" s="28"/>
      <c r="U24361" s="28"/>
    </row>
    <row r="24362">
      <c r="N24362" s="28"/>
      <c r="O24362" s="28"/>
      <c r="U24362" s="28"/>
    </row>
    <row r="24363">
      <c r="N24363" s="28"/>
      <c r="O24363" s="28"/>
      <c r="U24363" s="28"/>
    </row>
    <row r="24364">
      <c r="N24364" s="28"/>
      <c r="O24364" s="28"/>
      <c r="U24364" s="28"/>
    </row>
    <row r="24365">
      <c r="N24365" s="28"/>
      <c r="O24365" s="28"/>
      <c r="U24365" s="28"/>
    </row>
    <row r="24366">
      <c r="N24366" s="28"/>
      <c r="O24366" s="28"/>
      <c r="U24366" s="28"/>
    </row>
    <row r="24367">
      <c r="N24367" s="28"/>
      <c r="O24367" s="28"/>
      <c r="U24367" s="28"/>
    </row>
    <row r="24368">
      <c r="N24368" s="28"/>
      <c r="O24368" s="28"/>
      <c r="U24368" s="28"/>
    </row>
    <row r="24369">
      <c r="N24369" s="28"/>
      <c r="O24369" s="28"/>
      <c r="U24369" s="28"/>
    </row>
    <row r="24370">
      <c r="N24370" s="28"/>
      <c r="O24370" s="28"/>
      <c r="U24370" s="28"/>
    </row>
    <row r="24371">
      <c r="N24371" s="28"/>
      <c r="O24371" s="28"/>
      <c r="U24371" s="28"/>
    </row>
    <row r="24372">
      <c r="N24372" s="28"/>
      <c r="O24372" s="28"/>
      <c r="U24372" s="28"/>
    </row>
    <row r="24373">
      <c r="N24373" s="28"/>
      <c r="O24373" s="28"/>
      <c r="U24373" s="28"/>
    </row>
    <row r="24374">
      <c r="N24374" s="28"/>
      <c r="O24374" s="28"/>
      <c r="U24374" s="28"/>
    </row>
    <row r="24375">
      <c r="N24375" s="28"/>
      <c r="O24375" s="28"/>
      <c r="U24375" s="28"/>
    </row>
    <row r="24376">
      <c r="N24376" s="28"/>
      <c r="O24376" s="28"/>
      <c r="U24376" s="28"/>
    </row>
    <row r="24377">
      <c r="N24377" s="28"/>
      <c r="O24377" s="28"/>
      <c r="U24377" s="28"/>
    </row>
    <row r="24378">
      <c r="N24378" s="28"/>
      <c r="O24378" s="28"/>
      <c r="U24378" s="28"/>
    </row>
    <row r="24379">
      <c r="N24379" s="28"/>
      <c r="O24379" s="28"/>
      <c r="U24379" s="28"/>
    </row>
    <row r="24380">
      <c r="N24380" s="28"/>
      <c r="O24380" s="28"/>
      <c r="U24380" s="28"/>
    </row>
    <row r="24381">
      <c r="N24381" s="28"/>
      <c r="O24381" s="28"/>
      <c r="U24381" s="28"/>
    </row>
    <row r="24382">
      <c r="N24382" s="28"/>
      <c r="O24382" s="28"/>
      <c r="U24382" s="28"/>
    </row>
    <row r="24383">
      <c r="N24383" s="28"/>
      <c r="O24383" s="28"/>
      <c r="U24383" s="28"/>
    </row>
    <row r="24384">
      <c r="N24384" s="28"/>
      <c r="O24384" s="28"/>
      <c r="U24384" s="28"/>
    </row>
    <row r="24385">
      <c r="N24385" s="28"/>
      <c r="O24385" s="28"/>
      <c r="U24385" s="28"/>
    </row>
    <row r="24386">
      <c r="N24386" s="28"/>
      <c r="O24386" s="28"/>
      <c r="U24386" s="28"/>
    </row>
    <row r="24387">
      <c r="N24387" s="28"/>
      <c r="O24387" s="28"/>
      <c r="U24387" s="28"/>
    </row>
    <row r="24388">
      <c r="N24388" s="28"/>
      <c r="O24388" s="28"/>
      <c r="U24388" s="28"/>
    </row>
    <row r="24389">
      <c r="N24389" s="28"/>
      <c r="O24389" s="28"/>
      <c r="U24389" s="28"/>
    </row>
    <row r="24390">
      <c r="N24390" s="28"/>
      <c r="O24390" s="28"/>
      <c r="U24390" s="28"/>
    </row>
    <row r="24391">
      <c r="N24391" s="28"/>
      <c r="O24391" s="28"/>
      <c r="U24391" s="28"/>
    </row>
    <row r="24392">
      <c r="N24392" s="28"/>
      <c r="O24392" s="28"/>
      <c r="U24392" s="28"/>
    </row>
    <row r="24393">
      <c r="N24393" s="28"/>
      <c r="O24393" s="28"/>
      <c r="U24393" s="28"/>
    </row>
    <row r="24394">
      <c r="N24394" s="28"/>
      <c r="O24394" s="28"/>
      <c r="U24394" s="28"/>
    </row>
    <row r="24395">
      <c r="N24395" s="28"/>
      <c r="O24395" s="28"/>
      <c r="U24395" s="28"/>
    </row>
    <row r="24396">
      <c r="N24396" s="28"/>
      <c r="O24396" s="28"/>
      <c r="U24396" s="28"/>
    </row>
    <row r="24397">
      <c r="N24397" s="28"/>
      <c r="O24397" s="28"/>
      <c r="U24397" s="28"/>
    </row>
    <row r="24398">
      <c r="N24398" s="28"/>
      <c r="O24398" s="28"/>
      <c r="U24398" s="28"/>
    </row>
    <row r="24399">
      <c r="N24399" s="28"/>
      <c r="O24399" s="28"/>
      <c r="U24399" s="28"/>
    </row>
    <row r="24400">
      <c r="N24400" s="28"/>
      <c r="O24400" s="28"/>
      <c r="U24400" s="28"/>
    </row>
    <row r="24401">
      <c r="N24401" s="28"/>
      <c r="O24401" s="28"/>
      <c r="U24401" s="28"/>
    </row>
    <row r="24402">
      <c r="N24402" s="28"/>
      <c r="O24402" s="28"/>
      <c r="U24402" s="28"/>
    </row>
    <row r="24403">
      <c r="N24403" s="28"/>
      <c r="O24403" s="28"/>
      <c r="U24403" s="28"/>
    </row>
    <row r="24404">
      <c r="N24404" s="28"/>
      <c r="O24404" s="28"/>
      <c r="U24404" s="28"/>
    </row>
    <row r="24405">
      <c r="N24405" s="28"/>
      <c r="O24405" s="28"/>
      <c r="U24405" s="28"/>
    </row>
    <row r="24406">
      <c r="N24406" s="28"/>
      <c r="O24406" s="28"/>
      <c r="U24406" s="28"/>
    </row>
    <row r="24407">
      <c r="N24407" s="28"/>
      <c r="O24407" s="28"/>
      <c r="U24407" s="28"/>
    </row>
    <row r="24408">
      <c r="N24408" s="28"/>
      <c r="O24408" s="28"/>
      <c r="U24408" s="28"/>
    </row>
    <row r="24409">
      <c r="N24409" s="28"/>
      <c r="O24409" s="28"/>
      <c r="U24409" s="28"/>
    </row>
    <row r="24410">
      <c r="N24410" s="28"/>
      <c r="O24410" s="28"/>
      <c r="U24410" s="28"/>
    </row>
    <row r="24411">
      <c r="N24411" s="28"/>
      <c r="O24411" s="28"/>
      <c r="U24411" s="28"/>
    </row>
    <row r="24412">
      <c r="N24412" s="28"/>
      <c r="O24412" s="28"/>
      <c r="U24412" s="28"/>
    </row>
    <row r="24413">
      <c r="N24413" s="28"/>
      <c r="O24413" s="28"/>
      <c r="U24413" s="28"/>
    </row>
    <row r="24414">
      <c r="N24414" s="28"/>
      <c r="O24414" s="28"/>
      <c r="U24414" s="28"/>
    </row>
    <row r="24415">
      <c r="N24415" s="28"/>
      <c r="O24415" s="28"/>
      <c r="U24415" s="28"/>
    </row>
    <row r="24416">
      <c r="N24416" s="28"/>
      <c r="O24416" s="28"/>
      <c r="U24416" s="28"/>
    </row>
    <row r="24417">
      <c r="N24417" s="28"/>
      <c r="O24417" s="28"/>
      <c r="U24417" s="28"/>
    </row>
    <row r="24418">
      <c r="N24418" s="28"/>
      <c r="O24418" s="28"/>
      <c r="U24418" s="28"/>
    </row>
    <row r="24419">
      <c r="N24419" s="28"/>
      <c r="O24419" s="28"/>
      <c r="U24419" s="28"/>
    </row>
    <row r="24420">
      <c r="N24420" s="28"/>
      <c r="O24420" s="28"/>
      <c r="U24420" s="28"/>
    </row>
    <row r="24421">
      <c r="N24421" s="28"/>
      <c r="O24421" s="28"/>
      <c r="U24421" s="28"/>
    </row>
    <row r="24422">
      <c r="N24422" s="28"/>
      <c r="O24422" s="28"/>
      <c r="U24422" s="28"/>
    </row>
    <row r="24423">
      <c r="N24423" s="28"/>
      <c r="O24423" s="28"/>
      <c r="U24423" s="28"/>
    </row>
    <row r="24424">
      <c r="N24424" s="28"/>
      <c r="O24424" s="28"/>
      <c r="U24424" s="28"/>
    </row>
    <row r="24425">
      <c r="N24425" s="28"/>
      <c r="O24425" s="28"/>
      <c r="U24425" s="28"/>
    </row>
    <row r="24426">
      <c r="N24426" s="28"/>
      <c r="O24426" s="28"/>
      <c r="U24426" s="28"/>
    </row>
    <row r="24427">
      <c r="N24427" s="28"/>
      <c r="O24427" s="28"/>
      <c r="U24427" s="28"/>
    </row>
    <row r="24428">
      <c r="N24428" s="28"/>
      <c r="O24428" s="28"/>
      <c r="U24428" s="28"/>
    </row>
    <row r="24429">
      <c r="N24429" s="28"/>
      <c r="O24429" s="28"/>
      <c r="U24429" s="28"/>
    </row>
    <row r="24430">
      <c r="N24430" s="28"/>
      <c r="O24430" s="28"/>
      <c r="U24430" s="28"/>
    </row>
    <row r="24431">
      <c r="N24431" s="28"/>
      <c r="O24431" s="28"/>
      <c r="U24431" s="28"/>
    </row>
    <row r="24432">
      <c r="N24432" s="28"/>
      <c r="O24432" s="28"/>
      <c r="U24432" s="28"/>
    </row>
    <row r="24433">
      <c r="N24433" s="28"/>
      <c r="O24433" s="28"/>
      <c r="U24433" s="28"/>
    </row>
    <row r="24434">
      <c r="N24434" s="28"/>
      <c r="O24434" s="28"/>
      <c r="U24434" s="28"/>
    </row>
    <row r="24435">
      <c r="N24435" s="28"/>
      <c r="O24435" s="28"/>
      <c r="U24435" s="28"/>
    </row>
    <row r="24436">
      <c r="N24436" s="28"/>
      <c r="O24436" s="28"/>
      <c r="U24436" s="28"/>
    </row>
    <row r="24437">
      <c r="N24437" s="28"/>
      <c r="O24437" s="28"/>
      <c r="U24437" s="28"/>
    </row>
    <row r="24438">
      <c r="N24438" s="28"/>
      <c r="O24438" s="28"/>
      <c r="U24438" s="28"/>
    </row>
    <row r="24439">
      <c r="N24439" s="28"/>
      <c r="O24439" s="28"/>
      <c r="U24439" s="28"/>
    </row>
    <row r="24440">
      <c r="N24440" s="28"/>
      <c r="O24440" s="28"/>
      <c r="U24440" s="28"/>
    </row>
    <row r="24441">
      <c r="N24441" s="28"/>
      <c r="O24441" s="28"/>
      <c r="U24441" s="28"/>
    </row>
    <row r="24442">
      <c r="N24442" s="28"/>
      <c r="O24442" s="28"/>
      <c r="U24442" s="28"/>
    </row>
    <row r="24443">
      <c r="N24443" s="28"/>
      <c r="O24443" s="28"/>
      <c r="U24443" s="28"/>
    </row>
    <row r="24444">
      <c r="N24444" s="28"/>
      <c r="O24444" s="28"/>
      <c r="U24444" s="28"/>
    </row>
    <row r="24445">
      <c r="N24445" s="28"/>
      <c r="O24445" s="28"/>
      <c r="U24445" s="28"/>
    </row>
    <row r="24446">
      <c r="N24446" s="28"/>
      <c r="O24446" s="28"/>
      <c r="U24446" s="28"/>
    </row>
    <row r="24447">
      <c r="N24447" s="28"/>
      <c r="O24447" s="28"/>
      <c r="U24447" s="28"/>
    </row>
    <row r="24448">
      <c r="N24448" s="28"/>
      <c r="O24448" s="28"/>
      <c r="U24448" s="28"/>
    </row>
    <row r="24449">
      <c r="N24449" s="28"/>
      <c r="O24449" s="28"/>
      <c r="U24449" s="28"/>
    </row>
    <row r="24450">
      <c r="N24450" s="28"/>
      <c r="O24450" s="28"/>
      <c r="U24450" s="28"/>
    </row>
    <row r="24451">
      <c r="N24451" s="28"/>
      <c r="O24451" s="28"/>
      <c r="U24451" s="28"/>
    </row>
    <row r="24452">
      <c r="N24452" s="28"/>
      <c r="O24452" s="28"/>
      <c r="U24452" s="28"/>
    </row>
    <row r="24453">
      <c r="N24453" s="28"/>
      <c r="O24453" s="28"/>
      <c r="U24453" s="28"/>
    </row>
    <row r="24454">
      <c r="N24454" s="28"/>
      <c r="O24454" s="28"/>
      <c r="U24454" s="28"/>
    </row>
    <row r="24455">
      <c r="N24455" s="28"/>
      <c r="O24455" s="28"/>
      <c r="U24455" s="28"/>
    </row>
    <row r="24456">
      <c r="N24456" s="28"/>
      <c r="O24456" s="28"/>
      <c r="U24456" s="28"/>
    </row>
    <row r="24457">
      <c r="N24457" s="28"/>
      <c r="O24457" s="28"/>
      <c r="U24457" s="28"/>
    </row>
    <row r="24458">
      <c r="N24458" s="28"/>
      <c r="O24458" s="28"/>
      <c r="U24458" s="28"/>
    </row>
    <row r="24459">
      <c r="N24459" s="28"/>
      <c r="O24459" s="28"/>
      <c r="U24459" s="28"/>
    </row>
    <row r="24460">
      <c r="N24460" s="28"/>
      <c r="O24460" s="28"/>
      <c r="U24460" s="28"/>
    </row>
    <row r="24461">
      <c r="N24461" s="28"/>
      <c r="O24461" s="28"/>
      <c r="U24461" s="28"/>
    </row>
    <row r="24462">
      <c r="N24462" s="28"/>
      <c r="O24462" s="28"/>
      <c r="U24462" s="28"/>
    </row>
    <row r="24463">
      <c r="N24463" s="28"/>
      <c r="O24463" s="28"/>
      <c r="U24463" s="28"/>
    </row>
    <row r="24464">
      <c r="N24464" s="28"/>
      <c r="O24464" s="28"/>
      <c r="U24464" s="28"/>
    </row>
    <row r="24465">
      <c r="N24465" s="28"/>
      <c r="O24465" s="28"/>
      <c r="U24465" s="28"/>
    </row>
    <row r="24466">
      <c r="N24466" s="28"/>
      <c r="O24466" s="28"/>
      <c r="U24466" s="28"/>
    </row>
    <row r="24467">
      <c r="N24467" s="28"/>
      <c r="O24467" s="28"/>
      <c r="U24467" s="28"/>
    </row>
    <row r="24468">
      <c r="N24468" s="28"/>
      <c r="O24468" s="28"/>
      <c r="U24468" s="28"/>
    </row>
    <row r="24469">
      <c r="N24469" s="28"/>
      <c r="O24469" s="28"/>
      <c r="U24469" s="28"/>
    </row>
    <row r="24470">
      <c r="N24470" s="28"/>
      <c r="O24470" s="28"/>
      <c r="U24470" s="28"/>
    </row>
    <row r="24471">
      <c r="N24471" s="28"/>
      <c r="O24471" s="28"/>
      <c r="U24471" s="28"/>
    </row>
    <row r="24472">
      <c r="N24472" s="28"/>
      <c r="O24472" s="28"/>
      <c r="U24472" s="28"/>
    </row>
    <row r="24473">
      <c r="N24473" s="28"/>
      <c r="O24473" s="28"/>
      <c r="U24473" s="28"/>
    </row>
    <row r="24474">
      <c r="N24474" s="28"/>
      <c r="O24474" s="28"/>
      <c r="U24474" s="28"/>
    </row>
    <row r="24475">
      <c r="N24475" s="28"/>
      <c r="O24475" s="28"/>
      <c r="U24475" s="28"/>
    </row>
    <row r="24476">
      <c r="N24476" s="28"/>
      <c r="O24476" s="28"/>
      <c r="U24476" s="28"/>
    </row>
    <row r="24477">
      <c r="N24477" s="28"/>
      <c r="O24477" s="28"/>
      <c r="U24477" s="28"/>
    </row>
    <row r="24478">
      <c r="N24478" s="28"/>
      <c r="O24478" s="28"/>
      <c r="U24478" s="28"/>
    </row>
    <row r="24479">
      <c r="N24479" s="28"/>
      <c r="O24479" s="28"/>
      <c r="U24479" s="28"/>
    </row>
    <row r="24480">
      <c r="N24480" s="28"/>
      <c r="O24480" s="28"/>
      <c r="U24480" s="28"/>
    </row>
    <row r="24481">
      <c r="N24481" s="28"/>
      <c r="O24481" s="28"/>
      <c r="U24481" s="28"/>
    </row>
    <row r="24482">
      <c r="N24482" s="28"/>
      <c r="O24482" s="28"/>
      <c r="U24482" s="28"/>
    </row>
    <row r="24483">
      <c r="N24483" s="28"/>
      <c r="O24483" s="28"/>
      <c r="U24483" s="28"/>
    </row>
    <row r="24484">
      <c r="N24484" s="28"/>
      <c r="O24484" s="28"/>
      <c r="U24484" s="28"/>
    </row>
    <row r="24485">
      <c r="N24485" s="28"/>
      <c r="O24485" s="28"/>
      <c r="U24485" s="28"/>
    </row>
    <row r="24486">
      <c r="N24486" s="28"/>
      <c r="O24486" s="28"/>
      <c r="U24486" s="28"/>
    </row>
    <row r="24487">
      <c r="N24487" s="28"/>
      <c r="O24487" s="28"/>
      <c r="U24487" s="28"/>
    </row>
    <row r="24488">
      <c r="N24488" s="28"/>
      <c r="O24488" s="28"/>
      <c r="U24488" s="28"/>
    </row>
    <row r="24489">
      <c r="N24489" s="28"/>
      <c r="O24489" s="28"/>
      <c r="U24489" s="28"/>
    </row>
    <row r="24490">
      <c r="N24490" s="28"/>
      <c r="O24490" s="28"/>
      <c r="U24490" s="28"/>
    </row>
    <row r="24491">
      <c r="N24491" s="28"/>
      <c r="O24491" s="28"/>
      <c r="U24491" s="28"/>
    </row>
    <row r="24492">
      <c r="N24492" s="28"/>
      <c r="O24492" s="28"/>
      <c r="U24492" s="28"/>
    </row>
    <row r="24493">
      <c r="N24493" s="28"/>
      <c r="O24493" s="28"/>
      <c r="U24493" s="28"/>
    </row>
    <row r="24494">
      <c r="N24494" s="28"/>
      <c r="O24494" s="28"/>
      <c r="U24494" s="28"/>
    </row>
    <row r="24495">
      <c r="N24495" s="28"/>
      <c r="O24495" s="28"/>
      <c r="U24495" s="28"/>
    </row>
    <row r="24496">
      <c r="N24496" s="28"/>
      <c r="O24496" s="28"/>
      <c r="U24496" s="28"/>
    </row>
    <row r="24497">
      <c r="N24497" s="28"/>
      <c r="O24497" s="28"/>
      <c r="U24497" s="28"/>
    </row>
    <row r="24498">
      <c r="N24498" s="28"/>
      <c r="O24498" s="28"/>
      <c r="U24498" s="28"/>
    </row>
    <row r="24499">
      <c r="N24499" s="28"/>
      <c r="O24499" s="28"/>
      <c r="U24499" s="28"/>
    </row>
    <row r="24500">
      <c r="N24500" s="28"/>
      <c r="O24500" s="28"/>
      <c r="U24500" s="28"/>
    </row>
    <row r="24501">
      <c r="N24501" s="28"/>
      <c r="O24501" s="28"/>
      <c r="U24501" s="28"/>
    </row>
    <row r="24502">
      <c r="N24502" s="28"/>
      <c r="O24502" s="28"/>
      <c r="U24502" s="28"/>
    </row>
    <row r="24503">
      <c r="N24503" s="28"/>
      <c r="O24503" s="28"/>
      <c r="U24503" s="28"/>
    </row>
    <row r="24504">
      <c r="N24504" s="28"/>
      <c r="O24504" s="28"/>
      <c r="U24504" s="28"/>
    </row>
    <row r="24505">
      <c r="N24505" s="28"/>
      <c r="O24505" s="28"/>
      <c r="U24505" s="28"/>
    </row>
    <row r="24506">
      <c r="N24506" s="28"/>
      <c r="O24506" s="28"/>
      <c r="U24506" s="28"/>
    </row>
    <row r="24507">
      <c r="N24507" s="28"/>
      <c r="O24507" s="28"/>
      <c r="U24507" s="28"/>
    </row>
    <row r="24508">
      <c r="N24508" s="28"/>
      <c r="O24508" s="28"/>
      <c r="U24508" s="28"/>
    </row>
    <row r="24509">
      <c r="N24509" s="28"/>
      <c r="O24509" s="28"/>
      <c r="U24509" s="28"/>
    </row>
    <row r="24510">
      <c r="N24510" s="28"/>
      <c r="O24510" s="28"/>
      <c r="U24510" s="28"/>
    </row>
    <row r="24511">
      <c r="N24511" s="28"/>
      <c r="O24511" s="28"/>
      <c r="U24511" s="28"/>
    </row>
    <row r="24512">
      <c r="N24512" s="28"/>
      <c r="O24512" s="28"/>
      <c r="U24512" s="28"/>
    </row>
    <row r="24513">
      <c r="N24513" s="28"/>
      <c r="O24513" s="28"/>
      <c r="U24513" s="28"/>
    </row>
    <row r="24514">
      <c r="N24514" s="28"/>
      <c r="O24514" s="28"/>
      <c r="U24514" s="28"/>
    </row>
    <row r="24515">
      <c r="N24515" s="28"/>
      <c r="O24515" s="28"/>
      <c r="U24515" s="28"/>
    </row>
    <row r="24516">
      <c r="N24516" s="28"/>
      <c r="O24516" s="28"/>
      <c r="U24516" s="28"/>
    </row>
    <row r="24517">
      <c r="N24517" s="28"/>
      <c r="O24517" s="28"/>
      <c r="U24517" s="28"/>
    </row>
    <row r="24518">
      <c r="N24518" s="28"/>
      <c r="O24518" s="28"/>
      <c r="U24518" s="28"/>
    </row>
    <row r="24519">
      <c r="N24519" s="28"/>
      <c r="O24519" s="28"/>
      <c r="U24519" s="28"/>
    </row>
    <row r="24520">
      <c r="N24520" s="28"/>
      <c r="O24520" s="28"/>
      <c r="U24520" s="28"/>
    </row>
    <row r="24521">
      <c r="N24521" s="28"/>
      <c r="O24521" s="28"/>
      <c r="U24521" s="28"/>
    </row>
    <row r="24522">
      <c r="N24522" s="28"/>
      <c r="O24522" s="28"/>
      <c r="U24522" s="28"/>
    </row>
    <row r="24523">
      <c r="N24523" s="28"/>
      <c r="O24523" s="28"/>
      <c r="U24523" s="28"/>
    </row>
    <row r="24524">
      <c r="N24524" s="28"/>
      <c r="O24524" s="28"/>
      <c r="U24524" s="28"/>
    </row>
    <row r="24525">
      <c r="N24525" s="28"/>
      <c r="O24525" s="28"/>
      <c r="U24525" s="28"/>
    </row>
    <row r="24526">
      <c r="N24526" s="28"/>
      <c r="O24526" s="28"/>
      <c r="U24526" s="28"/>
    </row>
    <row r="24527">
      <c r="N24527" s="28"/>
      <c r="O24527" s="28"/>
      <c r="U24527" s="28"/>
    </row>
    <row r="24528">
      <c r="N24528" s="28"/>
      <c r="O24528" s="28"/>
      <c r="U24528" s="28"/>
    </row>
    <row r="24529">
      <c r="N24529" s="28"/>
      <c r="O24529" s="28"/>
      <c r="U24529" s="28"/>
    </row>
    <row r="24530">
      <c r="N24530" s="28"/>
      <c r="O24530" s="28"/>
      <c r="U24530" s="28"/>
    </row>
    <row r="24531">
      <c r="N24531" s="28"/>
      <c r="O24531" s="28"/>
      <c r="U24531" s="28"/>
    </row>
    <row r="24532">
      <c r="N24532" s="28"/>
      <c r="O24532" s="28"/>
      <c r="U24532" s="28"/>
    </row>
    <row r="24533">
      <c r="N24533" s="28"/>
      <c r="O24533" s="28"/>
      <c r="U24533" s="28"/>
    </row>
    <row r="24534">
      <c r="N24534" s="28"/>
      <c r="O24534" s="28"/>
      <c r="U24534" s="28"/>
    </row>
    <row r="24535">
      <c r="N24535" s="28"/>
      <c r="O24535" s="28"/>
      <c r="U24535" s="28"/>
    </row>
    <row r="24536">
      <c r="N24536" s="28"/>
      <c r="O24536" s="28"/>
      <c r="U24536" s="28"/>
    </row>
    <row r="24537">
      <c r="N24537" s="28"/>
      <c r="O24537" s="28"/>
      <c r="U24537" s="28"/>
    </row>
    <row r="24538">
      <c r="N24538" s="28"/>
      <c r="O24538" s="28"/>
      <c r="U24538" s="28"/>
    </row>
    <row r="24539">
      <c r="N24539" s="28"/>
      <c r="O24539" s="28"/>
      <c r="U24539" s="28"/>
    </row>
    <row r="24540">
      <c r="N24540" s="28"/>
      <c r="O24540" s="28"/>
      <c r="U24540" s="28"/>
    </row>
    <row r="24541">
      <c r="N24541" s="28"/>
      <c r="O24541" s="28"/>
      <c r="U24541" s="28"/>
    </row>
    <row r="24542">
      <c r="N24542" s="28"/>
      <c r="O24542" s="28"/>
      <c r="U24542" s="28"/>
    </row>
    <row r="24543">
      <c r="N24543" s="28"/>
      <c r="O24543" s="28"/>
      <c r="U24543" s="28"/>
    </row>
    <row r="24544">
      <c r="N24544" s="28"/>
      <c r="O24544" s="28"/>
      <c r="U24544" s="28"/>
    </row>
    <row r="24545">
      <c r="N24545" s="28"/>
      <c r="O24545" s="28"/>
      <c r="U24545" s="28"/>
    </row>
    <row r="24546">
      <c r="N24546" s="28"/>
      <c r="O24546" s="28"/>
      <c r="U24546" s="28"/>
    </row>
    <row r="24547">
      <c r="N24547" s="28"/>
      <c r="O24547" s="28"/>
      <c r="U24547" s="28"/>
    </row>
    <row r="24548">
      <c r="N24548" s="28"/>
      <c r="O24548" s="28"/>
      <c r="U24548" s="28"/>
    </row>
    <row r="24549">
      <c r="N24549" s="28"/>
      <c r="O24549" s="28"/>
      <c r="U24549" s="28"/>
    </row>
    <row r="24550">
      <c r="N24550" s="28"/>
      <c r="O24550" s="28"/>
      <c r="U24550" s="28"/>
    </row>
    <row r="24551">
      <c r="N24551" s="28"/>
      <c r="O24551" s="28"/>
      <c r="U24551" s="28"/>
    </row>
    <row r="24552">
      <c r="N24552" s="28"/>
      <c r="O24552" s="28"/>
      <c r="U24552" s="28"/>
    </row>
    <row r="24553">
      <c r="N24553" s="28"/>
      <c r="O24553" s="28"/>
      <c r="U24553" s="28"/>
    </row>
    <row r="24554">
      <c r="N24554" s="28"/>
      <c r="O24554" s="28"/>
      <c r="U24554" s="28"/>
    </row>
    <row r="24555">
      <c r="N24555" s="28"/>
      <c r="O24555" s="28"/>
      <c r="U24555" s="28"/>
    </row>
    <row r="24556">
      <c r="N24556" s="28"/>
      <c r="O24556" s="28"/>
      <c r="U24556" s="28"/>
    </row>
    <row r="24557">
      <c r="N24557" s="28"/>
      <c r="O24557" s="28"/>
      <c r="U24557" s="28"/>
    </row>
    <row r="24558">
      <c r="N24558" s="28"/>
      <c r="O24558" s="28"/>
      <c r="U24558" s="28"/>
    </row>
    <row r="24559">
      <c r="N24559" s="28"/>
      <c r="O24559" s="28"/>
      <c r="U24559" s="28"/>
    </row>
    <row r="24560">
      <c r="N24560" s="28"/>
      <c r="O24560" s="28"/>
      <c r="U24560" s="28"/>
    </row>
    <row r="24561">
      <c r="N24561" s="28"/>
      <c r="O24561" s="28"/>
      <c r="U24561" s="28"/>
    </row>
    <row r="24562">
      <c r="N24562" s="28"/>
      <c r="O24562" s="28"/>
      <c r="U24562" s="28"/>
    </row>
    <row r="24563">
      <c r="N24563" s="28"/>
      <c r="O24563" s="28"/>
      <c r="U24563" s="28"/>
    </row>
    <row r="24564">
      <c r="N24564" s="28"/>
      <c r="O24564" s="28"/>
      <c r="U24564" s="28"/>
    </row>
    <row r="24565">
      <c r="N24565" s="28"/>
      <c r="O24565" s="28"/>
      <c r="U24565" s="28"/>
    </row>
    <row r="24566">
      <c r="N24566" s="28"/>
      <c r="O24566" s="28"/>
      <c r="U24566" s="28"/>
    </row>
    <row r="24567">
      <c r="N24567" s="28"/>
      <c r="O24567" s="28"/>
      <c r="U24567" s="28"/>
    </row>
    <row r="24568">
      <c r="N24568" s="28"/>
      <c r="O24568" s="28"/>
      <c r="U24568" s="28"/>
    </row>
    <row r="24569">
      <c r="N24569" s="28"/>
      <c r="O24569" s="28"/>
      <c r="U24569" s="28"/>
    </row>
    <row r="24570">
      <c r="N24570" s="28"/>
      <c r="O24570" s="28"/>
      <c r="U24570" s="28"/>
    </row>
    <row r="24571">
      <c r="N24571" s="28"/>
      <c r="O24571" s="28"/>
      <c r="U24571" s="28"/>
    </row>
    <row r="24572">
      <c r="N24572" s="28"/>
      <c r="O24572" s="28"/>
      <c r="U24572" s="28"/>
    </row>
    <row r="24573">
      <c r="N24573" s="28"/>
      <c r="O24573" s="28"/>
      <c r="U24573" s="28"/>
    </row>
    <row r="24574">
      <c r="N24574" s="28"/>
      <c r="O24574" s="28"/>
      <c r="U24574" s="28"/>
    </row>
    <row r="24575">
      <c r="N24575" s="28"/>
      <c r="O24575" s="28"/>
      <c r="U24575" s="28"/>
    </row>
    <row r="24576">
      <c r="N24576" s="28"/>
      <c r="O24576" s="28"/>
      <c r="U24576" s="28"/>
    </row>
    <row r="24577">
      <c r="N24577" s="28"/>
      <c r="O24577" s="28"/>
      <c r="U24577" s="28"/>
    </row>
    <row r="24578">
      <c r="N24578" s="28"/>
      <c r="O24578" s="28"/>
      <c r="U24578" s="28"/>
    </row>
    <row r="24579">
      <c r="N24579" s="28"/>
      <c r="O24579" s="28"/>
      <c r="U24579" s="28"/>
    </row>
    <row r="24580">
      <c r="N24580" s="28"/>
      <c r="O24580" s="28"/>
      <c r="U24580" s="28"/>
    </row>
    <row r="24581">
      <c r="N24581" s="28"/>
      <c r="O24581" s="28"/>
      <c r="U24581" s="28"/>
    </row>
    <row r="24582">
      <c r="N24582" s="28"/>
      <c r="O24582" s="28"/>
      <c r="U24582" s="28"/>
    </row>
    <row r="24583">
      <c r="N24583" s="28"/>
      <c r="O24583" s="28"/>
      <c r="U24583" s="28"/>
    </row>
    <row r="24584">
      <c r="N24584" s="28"/>
      <c r="O24584" s="28"/>
      <c r="U24584" s="28"/>
    </row>
    <row r="24585">
      <c r="N24585" s="28"/>
      <c r="O24585" s="28"/>
      <c r="U24585" s="28"/>
    </row>
    <row r="24586">
      <c r="N24586" s="28"/>
      <c r="O24586" s="28"/>
      <c r="U24586" s="28"/>
    </row>
    <row r="24587">
      <c r="N24587" s="28"/>
      <c r="O24587" s="28"/>
      <c r="U24587" s="28"/>
    </row>
    <row r="24588">
      <c r="N24588" s="28"/>
      <c r="O24588" s="28"/>
      <c r="U24588" s="28"/>
    </row>
    <row r="24589">
      <c r="N24589" s="28"/>
      <c r="O24589" s="28"/>
      <c r="U24589" s="28"/>
    </row>
    <row r="24590">
      <c r="N24590" s="28"/>
      <c r="O24590" s="28"/>
      <c r="U24590" s="28"/>
    </row>
    <row r="24591">
      <c r="N24591" s="28"/>
      <c r="O24591" s="28"/>
      <c r="U24591" s="28"/>
    </row>
    <row r="24592">
      <c r="N24592" s="28"/>
      <c r="O24592" s="28"/>
      <c r="U24592" s="28"/>
    </row>
    <row r="24593">
      <c r="N24593" s="28"/>
      <c r="O24593" s="28"/>
      <c r="U24593" s="28"/>
    </row>
    <row r="24594">
      <c r="N24594" s="28"/>
      <c r="O24594" s="28"/>
      <c r="U24594" s="28"/>
    </row>
    <row r="24595">
      <c r="N24595" s="28"/>
      <c r="O24595" s="28"/>
      <c r="U24595" s="28"/>
    </row>
    <row r="24596">
      <c r="N24596" s="28"/>
      <c r="O24596" s="28"/>
      <c r="U24596" s="28"/>
    </row>
    <row r="24597">
      <c r="N24597" s="28"/>
      <c r="O24597" s="28"/>
      <c r="U24597" s="28"/>
    </row>
    <row r="24598">
      <c r="N24598" s="28"/>
      <c r="O24598" s="28"/>
      <c r="U24598" s="28"/>
    </row>
    <row r="24599">
      <c r="N24599" s="28"/>
      <c r="O24599" s="28"/>
      <c r="U24599" s="28"/>
    </row>
    <row r="24600">
      <c r="N24600" s="28"/>
      <c r="O24600" s="28"/>
      <c r="U24600" s="28"/>
    </row>
    <row r="24601">
      <c r="N24601" s="28"/>
      <c r="O24601" s="28"/>
      <c r="U24601" s="28"/>
    </row>
    <row r="24602">
      <c r="N24602" s="28"/>
      <c r="O24602" s="28"/>
      <c r="U24602" s="28"/>
    </row>
    <row r="24603">
      <c r="N24603" s="28"/>
      <c r="O24603" s="28"/>
      <c r="U24603" s="28"/>
    </row>
    <row r="24604">
      <c r="N24604" s="28"/>
      <c r="O24604" s="28"/>
      <c r="U24604" s="28"/>
    </row>
    <row r="24605">
      <c r="N24605" s="28"/>
      <c r="O24605" s="28"/>
      <c r="U24605" s="28"/>
    </row>
    <row r="24606">
      <c r="N24606" s="28"/>
      <c r="O24606" s="28"/>
      <c r="U24606" s="28"/>
    </row>
    <row r="24607">
      <c r="N24607" s="28"/>
      <c r="O24607" s="28"/>
      <c r="U24607" s="28"/>
    </row>
    <row r="24608">
      <c r="N24608" s="28"/>
      <c r="O24608" s="28"/>
      <c r="U24608" s="28"/>
    </row>
    <row r="24609">
      <c r="N24609" s="28"/>
      <c r="O24609" s="28"/>
      <c r="U24609" s="28"/>
    </row>
    <row r="24610">
      <c r="N24610" s="28"/>
      <c r="O24610" s="28"/>
      <c r="U24610" s="28"/>
    </row>
    <row r="24611">
      <c r="N24611" s="28"/>
      <c r="O24611" s="28"/>
      <c r="U24611" s="28"/>
    </row>
    <row r="24612">
      <c r="N24612" s="28"/>
      <c r="O24612" s="28"/>
      <c r="U24612" s="28"/>
    </row>
    <row r="24613">
      <c r="N24613" s="28"/>
      <c r="O24613" s="28"/>
      <c r="U24613" s="28"/>
    </row>
    <row r="24614">
      <c r="N24614" s="28"/>
      <c r="O24614" s="28"/>
      <c r="U24614" s="28"/>
    </row>
    <row r="24615">
      <c r="N24615" s="28"/>
      <c r="O24615" s="28"/>
      <c r="U24615" s="28"/>
    </row>
    <row r="24616">
      <c r="N24616" s="28"/>
      <c r="O24616" s="28"/>
      <c r="U24616" s="28"/>
    </row>
    <row r="24617">
      <c r="N24617" s="28"/>
      <c r="O24617" s="28"/>
      <c r="U24617" s="28"/>
    </row>
    <row r="24618">
      <c r="N24618" s="28"/>
      <c r="O24618" s="28"/>
      <c r="U24618" s="28"/>
    </row>
    <row r="24619">
      <c r="N24619" s="28"/>
      <c r="O24619" s="28"/>
      <c r="U24619" s="28"/>
    </row>
    <row r="24620">
      <c r="N24620" s="28"/>
      <c r="O24620" s="28"/>
      <c r="U24620" s="28"/>
    </row>
    <row r="24621">
      <c r="N24621" s="28"/>
      <c r="O24621" s="28"/>
      <c r="U24621" s="28"/>
    </row>
    <row r="24622">
      <c r="N24622" s="28"/>
      <c r="O24622" s="28"/>
      <c r="U24622" s="28"/>
    </row>
    <row r="24623">
      <c r="N24623" s="28"/>
      <c r="O24623" s="28"/>
      <c r="U24623" s="28"/>
    </row>
    <row r="24624">
      <c r="N24624" s="28"/>
      <c r="O24624" s="28"/>
      <c r="U24624" s="28"/>
    </row>
    <row r="24625">
      <c r="N24625" s="28"/>
      <c r="O24625" s="28"/>
      <c r="U24625" s="28"/>
    </row>
    <row r="24626">
      <c r="N24626" s="28"/>
      <c r="O24626" s="28"/>
      <c r="U24626" s="28"/>
    </row>
    <row r="24627">
      <c r="N24627" s="28"/>
      <c r="O24627" s="28"/>
      <c r="U24627" s="28"/>
    </row>
    <row r="24628">
      <c r="N24628" s="28"/>
      <c r="O24628" s="28"/>
      <c r="U24628" s="28"/>
    </row>
    <row r="24629">
      <c r="N24629" s="28"/>
      <c r="O24629" s="28"/>
      <c r="U24629" s="28"/>
    </row>
    <row r="24630">
      <c r="N24630" s="28"/>
      <c r="O24630" s="28"/>
      <c r="U24630" s="28"/>
    </row>
    <row r="24631">
      <c r="N24631" s="28"/>
      <c r="O24631" s="28"/>
      <c r="U24631" s="28"/>
    </row>
    <row r="24632">
      <c r="N24632" s="28"/>
      <c r="O24632" s="28"/>
      <c r="U24632" s="28"/>
    </row>
    <row r="24633">
      <c r="N24633" s="28"/>
      <c r="O24633" s="28"/>
      <c r="U24633" s="28"/>
    </row>
    <row r="24634">
      <c r="N24634" s="28"/>
      <c r="O24634" s="28"/>
      <c r="U24634" s="28"/>
    </row>
    <row r="24635">
      <c r="N24635" s="28"/>
      <c r="O24635" s="28"/>
      <c r="U24635" s="28"/>
    </row>
    <row r="24636">
      <c r="N24636" s="28"/>
      <c r="O24636" s="28"/>
      <c r="U24636" s="28"/>
    </row>
    <row r="24637">
      <c r="N24637" s="28"/>
      <c r="O24637" s="28"/>
      <c r="U24637" s="28"/>
    </row>
    <row r="24638">
      <c r="N24638" s="28"/>
      <c r="O24638" s="28"/>
      <c r="U24638" s="28"/>
    </row>
    <row r="24639">
      <c r="N24639" s="28"/>
      <c r="O24639" s="28"/>
      <c r="U24639" s="28"/>
    </row>
    <row r="24640">
      <c r="N24640" s="28"/>
      <c r="O24640" s="28"/>
      <c r="U24640" s="28"/>
    </row>
    <row r="24641">
      <c r="N24641" s="28"/>
      <c r="O24641" s="28"/>
      <c r="U24641" s="28"/>
    </row>
    <row r="24642">
      <c r="N24642" s="28"/>
      <c r="O24642" s="28"/>
      <c r="U24642" s="28"/>
    </row>
    <row r="24643">
      <c r="N24643" s="28"/>
      <c r="O24643" s="28"/>
      <c r="U24643" s="28"/>
    </row>
    <row r="24644">
      <c r="N24644" s="28"/>
      <c r="O24644" s="28"/>
      <c r="U24644" s="28"/>
    </row>
    <row r="24645">
      <c r="N24645" s="28"/>
      <c r="O24645" s="28"/>
      <c r="U24645" s="28"/>
    </row>
    <row r="24646">
      <c r="N24646" s="28"/>
      <c r="O24646" s="28"/>
      <c r="U24646" s="28"/>
    </row>
    <row r="24647">
      <c r="N24647" s="28"/>
      <c r="O24647" s="28"/>
      <c r="U24647" s="28"/>
    </row>
    <row r="24648">
      <c r="N24648" s="28"/>
      <c r="O24648" s="28"/>
      <c r="U24648" s="28"/>
    </row>
    <row r="24649">
      <c r="N24649" s="28"/>
      <c r="O24649" s="28"/>
      <c r="U24649" s="28"/>
    </row>
    <row r="24650">
      <c r="N24650" s="28"/>
      <c r="O24650" s="28"/>
      <c r="U24650" s="28"/>
    </row>
    <row r="24651">
      <c r="N24651" s="28"/>
      <c r="O24651" s="28"/>
      <c r="U24651" s="28"/>
    </row>
    <row r="24652">
      <c r="N24652" s="28"/>
      <c r="O24652" s="28"/>
      <c r="U24652" s="28"/>
    </row>
    <row r="24653">
      <c r="N24653" s="28"/>
      <c r="O24653" s="28"/>
      <c r="U24653" s="28"/>
    </row>
    <row r="24654">
      <c r="N24654" s="28"/>
      <c r="O24654" s="28"/>
      <c r="U24654" s="28"/>
    </row>
    <row r="24655">
      <c r="N24655" s="28"/>
      <c r="O24655" s="28"/>
      <c r="U24655" s="28"/>
    </row>
    <row r="24656">
      <c r="N24656" s="28"/>
      <c r="O24656" s="28"/>
      <c r="U24656" s="28"/>
    </row>
    <row r="24657">
      <c r="N24657" s="28"/>
      <c r="O24657" s="28"/>
      <c r="U24657" s="28"/>
    </row>
    <row r="24658">
      <c r="N24658" s="28"/>
      <c r="O24658" s="28"/>
      <c r="U24658" s="28"/>
    </row>
    <row r="24659">
      <c r="N24659" s="28"/>
      <c r="O24659" s="28"/>
      <c r="U24659" s="28"/>
    </row>
    <row r="24660">
      <c r="N24660" s="28"/>
      <c r="O24660" s="28"/>
      <c r="U24660" s="28"/>
    </row>
    <row r="24661">
      <c r="N24661" s="28"/>
      <c r="O24661" s="28"/>
      <c r="U24661" s="28"/>
    </row>
    <row r="24662">
      <c r="N24662" s="28"/>
      <c r="O24662" s="28"/>
      <c r="U24662" s="28"/>
    </row>
    <row r="24663">
      <c r="N24663" s="28"/>
      <c r="O24663" s="28"/>
      <c r="U24663" s="28"/>
    </row>
    <row r="24664">
      <c r="N24664" s="28"/>
      <c r="O24664" s="28"/>
      <c r="U24664" s="28"/>
    </row>
    <row r="24665">
      <c r="N24665" s="28"/>
      <c r="O24665" s="28"/>
      <c r="U24665" s="28"/>
    </row>
    <row r="24666">
      <c r="N24666" s="28"/>
      <c r="O24666" s="28"/>
      <c r="U24666" s="28"/>
    </row>
    <row r="24667">
      <c r="N24667" s="28"/>
      <c r="O24667" s="28"/>
      <c r="U24667" s="28"/>
    </row>
    <row r="24668">
      <c r="N24668" s="28"/>
      <c r="O24668" s="28"/>
      <c r="U24668" s="28"/>
    </row>
    <row r="24669">
      <c r="N24669" s="28"/>
      <c r="O24669" s="28"/>
      <c r="U24669" s="28"/>
    </row>
    <row r="24670">
      <c r="N24670" s="28"/>
      <c r="O24670" s="28"/>
      <c r="U24670" s="28"/>
    </row>
    <row r="24671">
      <c r="N24671" s="28"/>
      <c r="O24671" s="28"/>
      <c r="U24671" s="28"/>
    </row>
    <row r="24672">
      <c r="N24672" s="28"/>
      <c r="O24672" s="28"/>
      <c r="U24672" s="28"/>
    </row>
    <row r="24673">
      <c r="N24673" s="28"/>
      <c r="O24673" s="28"/>
      <c r="U24673" s="28"/>
    </row>
    <row r="24674">
      <c r="N24674" s="28"/>
      <c r="O24674" s="28"/>
      <c r="U24674" s="28"/>
    </row>
    <row r="24675">
      <c r="N24675" s="28"/>
      <c r="O24675" s="28"/>
      <c r="U24675" s="28"/>
    </row>
    <row r="24676">
      <c r="N24676" s="28"/>
      <c r="O24676" s="28"/>
      <c r="U24676" s="28"/>
    </row>
    <row r="24677">
      <c r="N24677" s="28"/>
      <c r="O24677" s="28"/>
      <c r="U24677" s="28"/>
    </row>
    <row r="24678">
      <c r="N24678" s="28"/>
      <c r="O24678" s="28"/>
      <c r="U24678" s="28"/>
    </row>
    <row r="24679">
      <c r="N24679" s="28"/>
      <c r="O24679" s="28"/>
      <c r="U24679" s="28"/>
    </row>
    <row r="24680">
      <c r="N24680" s="28"/>
      <c r="O24680" s="28"/>
      <c r="U24680" s="28"/>
    </row>
    <row r="24681">
      <c r="N24681" s="28"/>
      <c r="O24681" s="28"/>
      <c r="U24681" s="28"/>
    </row>
    <row r="24682">
      <c r="N24682" s="28"/>
      <c r="O24682" s="28"/>
      <c r="U24682" s="28"/>
    </row>
    <row r="24683">
      <c r="N24683" s="28"/>
      <c r="O24683" s="28"/>
      <c r="U24683" s="28"/>
    </row>
    <row r="24684">
      <c r="N24684" s="28"/>
      <c r="O24684" s="28"/>
      <c r="U24684" s="28"/>
    </row>
    <row r="24685">
      <c r="N24685" s="28"/>
      <c r="O24685" s="28"/>
      <c r="U24685" s="28"/>
    </row>
    <row r="24686">
      <c r="N24686" s="28"/>
      <c r="O24686" s="28"/>
      <c r="U24686" s="28"/>
    </row>
    <row r="24687">
      <c r="N24687" s="28"/>
      <c r="O24687" s="28"/>
      <c r="U24687" s="28"/>
    </row>
    <row r="24688">
      <c r="N24688" s="28"/>
      <c r="O24688" s="28"/>
      <c r="U24688" s="28"/>
    </row>
    <row r="24689">
      <c r="N24689" s="28"/>
      <c r="O24689" s="28"/>
      <c r="U24689" s="28"/>
    </row>
    <row r="24690">
      <c r="N24690" s="28"/>
      <c r="O24690" s="28"/>
      <c r="U24690" s="28"/>
    </row>
    <row r="24691">
      <c r="N24691" s="28"/>
      <c r="O24691" s="28"/>
      <c r="U24691" s="28"/>
    </row>
    <row r="24692">
      <c r="N24692" s="28"/>
      <c r="O24692" s="28"/>
      <c r="U24692" s="28"/>
    </row>
    <row r="24693">
      <c r="N24693" s="28"/>
      <c r="O24693" s="28"/>
      <c r="U24693" s="28"/>
    </row>
    <row r="24694">
      <c r="N24694" s="28"/>
      <c r="O24694" s="28"/>
      <c r="U24694" s="28"/>
    </row>
    <row r="24695">
      <c r="N24695" s="28"/>
      <c r="O24695" s="28"/>
      <c r="U24695" s="28"/>
    </row>
    <row r="24696">
      <c r="N24696" s="28"/>
      <c r="O24696" s="28"/>
      <c r="U24696" s="28"/>
    </row>
    <row r="24697">
      <c r="N24697" s="28"/>
      <c r="O24697" s="28"/>
      <c r="U24697" s="28"/>
    </row>
    <row r="24698">
      <c r="N24698" s="28"/>
      <c r="O24698" s="28"/>
      <c r="U24698" s="28"/>
    </row>
    <row r="24699">
      <c r="N24699" s="28"/>
      <c r="O24699" s="28"/>
      <c r="U24699" s="28"/>
    </row>
    <row r="24700">
      <c r="N24700" s="28"/>
      <c r="O24700" s="28"/>
      <c r="U24700" s="28"/>
    </row>
    <row r="24701">
      <c r="N24701" s="28"/>
      <c r="O24701" s="28"/>
      <c r="U24701" s="28"/>
    </row>
    <row r="24702">
      <c r="N24702" s="28"/>
      <c r="O24702" s="28"/>
      <c r="U24702" s="28"/>
    </row>
    <row r="24703">
      <c r="N24703" s="28"/>
      <c r="O24703" s="28"/>
      <c r="U24703" s="28"/>
    </row>
    <row r="24704">
      <c r="N24704" s="28"/>
      <c r="O24704" s="28"/>
      <c r="U24704" s="28"/>
    </row>
    <row r="24705">
      <c r="N24705" s="28"/>
      <c r="O24705" s="28"/>
      <c r="U24705" s="28"/>
    </row>
    <row r="24706">
      <c r="N24706" s="28"/>
      <c r="O24706" s="28"/>
      <c r="U24706" s="28"/>
    </row>
    <row r="24707">
      <c r="N24707" s="28"/>
      <c r="O24707" s="28"/>
      <c r="U24707" s="28"/>
    </row>
    <row r="24708">
      <c r="N24708" s="28"/>
      <c r="O24708" s="28"/>
      <c r="U24708" s="28"/>
    </row>
    <row r="24709">
      <c r="N24709" s="28"/>
      <c r="O24709" s="28"/>
      <c r="U24709" s="28"/>
    </row>
    <row r="24710">
      <c r="N24710" s="28"/>
      <c r="O24710" s="28"/>
      <c r="U24710" s="28"/>
    </row>
    <row r="24711">
      <c r="N24711" s="28"/>
      <c r="O24711" s="28"/>
      <c r="U24711" s="28"/>
    </row>
    <row r="24712">
      <c r="N24712" s="28"/>
      <c r="O24712" s="28"/>
      <c r="U24712" s="28"/>
    </row>
    <row r="24713">
      <c r="N24713" s="28"/>
      <c r="O24713" s="28"/>
      <c r="U24713" s="28"/>
    </row>
    <row r="24714">
      <c r="N24714" s="28"/>
      <c r="O24714" s="28"/>
      <c r="U24714" s="28"/>
    </row>
    <row r="24715">
      <c r="N24715" s="28"/>
      <c r="O24715" s="28"/>
      <c r="U24715" s="28"/>
    </row>
    <row r="24716">
      <c r="N24716" s="28"/>
      <c r="O24716" s="28"/>
      <c r="U24716" s="28"/>
    </row>
    <row r="24717">
      <c r="N24717" s="28"/>
      <c r="O24717" s="28"/>
      <c r="U24717" s="28"/>
    </row>
    <row r="24718">
      <c r="N24718" s="28"/>
      <c r="O24718" s="28"/>
      <c r="U24718" s="28"/>
    </row>
    <row r="24719">
      <c r="N24719" s="28"/>
      <c r="O24719" s="28"/>
      <c r="U24719" s="28"/>
    </row>
    <row r="24720">
      <c r="N24720" s="28"/>
      <c r="O24720" s="28"/>
      <c r="U24720" s="28"/>
    </row>
    <row r="24721">
      <c r="N24721" s="28"/>
      <c r="O24721" s="28"/>
      <c r="U24721" s="28"/>
    </row>
    <row r="24722">
      <c r="N24722" s="28"/>
      <c r="O24722" s="28"/>
      <c r="U24722" s="28"/>
    </row>
    <row r="24723">
      <c r="N24723" s="28"/>
      <c r="O24723" s="28"/>
      <c r="U24723" s="28"/>
    </row>
    <row r="24724">
      <c r="N24724" s="28"/>
      <c r="O24724" s="28"/>
      <c r="U24724" s="28"/>
    </row>
    <row r="24725">
      <c r="N24725" s="28"/>
      <c r="O24725" s="28"/>
      <c r="U24725" s="28"/>
    </row>
    <row r="24726">
      <c r="N24726" s="28"/>
      <c r="O24726" s="28"/>
      <c r="U24726" s="28"/>
    </row>
    <row r="24727">
      <c r="N24727" s="28"/>
      <c r="O24727" s="28"/>
      <c r="U24727" s="28"/>
    </row>
    <row r="24728">
      <c r="N24728" s="28"/>
      <c r="O24728" s="28"/>
      <c r="U24728" s="28"/>
    </row>
    <row r="24729">
      <c r="N24729" s="28"/>
      <c r="O24729" s="28"/>
      <c r="U24729" s="28"/>
    </row>
    <row r="24730">
      <c r="N24730" s="28"/>
      <c r="O24730" s="28"/>
      <c r="U24730" s="28"/>
    </row>
    <row r="24731">
      <c r="N24731" s="28"/>
      <c r="O24731" s="28"/>
      <c r="U24731" s="28"/>
    </row>
    <row r="24732">
      <c r="N24732" s="28"/>
      <c r="O24732" s="28"/>
      <c r="U24732" s="28"/>
    </row>
    <row r="24733">
      <c r="N24733" s="28"/>
      <c r="O24733" s="28"/>
      <c r="U24733" s="28"/>
    </row>
    <row r="24734">
      <c r="N24734" s="28"/>
      <c r="O24734" s="28"/>
      <c r="U24734" s="28"/>
    </row>
    <row r="24735">
      <c r="N24735" s="28"/>
      <c r="O24735" s="28"/>
      <c r="U24735" s="28"/>
    </row>
    <row r="24736">
      <c r="N24736" s="28"/>
      <c r="O24736" s="28"/>
      <c r="U24736" s="28"/>
    </row>
    <row r="24737">
      <c r="N24737" s="28"/>
      <c r="O24737" s="28"/>
      <c r="U24737" s="28"/>
    </row>
    <row r="24738">
      <c r="N24738" s="28"/>
      <c r="O24738" s="28"/>
      <c r="U24738" s="28"/>
    </row>
    <row r="24739">
      <c r="N24739" s="28"/>
      <c r="O24739" s="28"/>
      <c r="U24739" s="28"/>
    </row>
    <row r="24740">
      <c r="N24740" s="28"/>
      <c r="O24740" s="28"/>
      <c r="U24740" s="28"/>
    </row>
    <row r="24741">
      <c r="N24741" s="28"/>
      <c r="O24741" s="28"/>
      <c r="U24741" s="28"/>
    </row>
    <row r="24742">
      <c r="N24742" s="28"/>
      <c r="O24742" s="28"/>
      <c r="U24742" s="28"/>
    </row>
    <row r="24743">
      <c r="N24743" s="28"/>
      <c r="O24743" s="28"/>
      <c r="U24743" s="28"/>
    </row>
    <row r="24744">
      <c r="N24744" s="28"/>
      <c r="O24744" s="28"/>
      <c r="U24744" s="28"/>
    </row>
    <row r="24745">
      <c r="N24745" s="28"/>
      <c r="O24745" s="28"/>
      <c r="U24745" s="28"/>
    </row>
    <row r="24746">
      <c r="N24746" s="28"/>
      <c r="O24746" s="28"/>
      <c r="U24746" s="28"/>
    </row>
    <row r="24747">
      <c r="N24747" s="28"/>
      <c r="O24747" s="28"/>
      <c r="U24747" s="28"/>
    </row>
    <row r="24748">
      <c r="N24748" s="28"/>
      <c r="O24748" s="28"/>
      <c r="U24748" s="28"/>
    </row>
    <row r="24749">
      <c r="N24749" s="28"/>
      <c r="O24749" s="28"/>
      <c r="U24749" s="28"/>
    </row>
    <row r="24750">
      <c r="N24750" s="28"/>
      <c r="O24750" s="28"/>
      <c r="U24750" s="28"/>
    </row>
    <row r="24751">
      <c r="N24751" s="28"/>
      <c r="O24751" s="28"/>
      <c r="U24751" s="28"/>
    </row>
    <row r="24752">
      <c r="N24752" s="28"/>
      <c r="O24752" s="28"/>
      <c r="U24752" s="28"/>
    </row>
    <row r="24753">
      <c r="N24753" s="28"/>
      <c r="O24753" s="28"/>
      <c r="U24753" s="28"/>
    </row>
    <row r="24754">
      <c r="N24754" s="28"/>
      <c r="O24754" s="28"/>
      <c r="U24754" s="28"/>
    </row>
    <row r="24755">
      <c r="N24755" s="28"/>
      <c r="O24755" s="28"/>
      <c r="U24755" s="28"/>
    </row>
    <row r="24756">
      <c r="N24756" s="28"/>
      <c r="O24756" s="28"/>
      <c r="U24756" s="28"/>
    </row>
    <row r="24757">
      <c r="N24757" s="28"/>
      <c r="O24757" s="28"/>
      <c r="U24757" s="28"/>
    </row>
    <row r="24758">
      <c r="N24758" s="28"/>
      <c r="O24758" s="28"/>
      <c r="U24758" s="28"/>
    </row>
    <row r="24759">
      <c r="N24759" s="28"/>
      <c r="O24759" s="28"/>
      <c r="U24759" s="28"/>
    </row>
    <row r="24760">
      <c r="N24760" s="28"/>
      <c r="O24760" s="28"/>
      <c r="U24760" s="28"/>
    </row>
    <row r="24761">
      <c r="N24761" s="28"/>
      <c r="O24761" s="28"/>
      <c r="U24761" s="28"/>
    </row>
    <row r="24762">
      <c r="N24762" s="28"/>
      <c r="O24762" s="28"/>
      <c r="U24762" s="28"/>
    </row>
    <row r="24763">
      <c r="N24763" s="28"/>
      <c r="O24763" s="28"/>
      <c r="U24763" s="28"/>
    </row>
    <row r="24764">
      <c r="N24764" s="28"/>
      <c r="O24764" s="28"/>
      <c r="U24764" s="28"/>
    </row>
    <row r="24765">
      <c r="N24765" s="28"/>
      <c r="O24765" s="28"/>
      <c r="U24765" s="28"/>
    </row>
    <row r="24766">
      <c r="N24766" s="28"/>
      <c r="O24766" s="28"/>
      <c r="U24766" s="28"/>
    </row>
    <row r="24767">
      <c r="N24767" s="28"/>
      <c r="O24767" s="28"/>
      <c r="U24767" s="28"/>
    </row>
    <row r="24768">
      <c r="N24768" s="28"/>
      <c r="O24768" s="28"/>
      <c r="U24768" s="28"/>
    </row>
    <row r="24769">
      <c r="N24769" s="28"/>
      <c r="O24769" s="28"/>
      <c r="U24769" s="28"/>
    </row>
    <row r="24770">
      <c r="N24770" s="28"/>
      <c r="O24770" s="28"/>
      <c r="U24770" s="28"/>
    </row>
    <row r="24771">
      <c r="N24771" s="28"/>
      <c r="O24771" s="28"/>
      <c r="U24771" s="28"/>
    </row>
    <row r="24772">
      <c r="N24772" s="28"/>
      <c r="O24772" s="28"/>
      <c r="U24772" s="28"/>
    </row>
    <row r="24773">
      <c r="N24773" s="28"/>
      <c r="O24773" s="28"/>
      <c r="U24773" s="28"/>
    </row>
    <row r="24774">
      <c r="N24774" s="28"/>
      <c r="O24774" s="28"/>
      <c r="U24774" s="28"/>
    </row>
    <row r="24775">
      <c r="N24775" s="28"/>
      <c r="O24775" s="28"/>
      <c r="U24775" s="28"/>
    </row>
    <row r="24776">
      <c r="N24776" s="28"/>
      <c r="O24776" s="28"/>
      <c r="U24776" s="28"/>
    </row>
    <row r="24777">
      <c r="N24777" s="28"/>
      <c r="O24777" s="28"/>
      <c r="U24777" s="28"/>
    </row>
    <row r="24778">
      <c r="N24778" s="28"/>
      <c r="O24778" s="28"/>
      <c r="U24778" s="28"/>
    </row>
    <row r="24779">
      <c r="N24779" s="28"/>
      <c r="O24779" s="28"/>
      <c r="U24779" s="28"/>
    </row>
    <row r="24780">
      <c r="N24780" s="28"/>
      <c r="O24780" s="28"/>
      <c r="U24780" s="28"/>
    </row>
    <row r="24781">
      <c r="N24781" s="28"/>
      <c r="O24781" s="28"/>
      <c r="U24781" s="28"/>
    </row>
    <row r="24782">
      <c r="N24782" s="28"/>
      <c r="O24782" s="28"/>
      <c r="U24782" s="28"/>
    </row>
    <row r="24783">
      <c r="N24783" s="28"/>
      <c r="O24783" s="28"/>
      <c r="U24783" s="28"/>
    </row>
    <row r="24784">
      <c r="N24784" s="28"/>
      <c r="O24784" s="28"/>
      <c r="U24784" s="28"/>
    </row>
    <row r="24785">
      <c r="N24785" s="28"/>
      <c r="O24785" s="28"/>
      <c r="U24785" s="28"/>
    </row>
    <row r="24786">
      <c r="N24786" s="28"/>
      <c r="O24786" s="28"/>
      <c r="U24786" s="28"/>
    </row>
    <row r="24787">
      <c r="N24787" s="28"/>
      <c r="O24787" s="28"/>
      <c r="U24787" s="28"/>
    </row>
    <row r="24788">
      <c r="N24788" s="28"/>
      <c r="O24788" s="28"/>
      <c r="U24788" s="28"/>
    </row>
    <row r="24789">
      <c r="N24789" s="28"/>
      <c r="O24789" s="28"/>
      <c r="U24789" s="28"/>
    </row>
    <row r="24790">
      <c r="N24790" s="28"/>
      <c r="O24790" s="28"/>
      <c r="U24790" s="28"/>
    </row>
    <row r="24791">
      <c r="N24791" s="28"/>
      <c r="O24791" s="28"/>
      <c r="U24791" s="28"/>
    </row>
    <row r="24792">
      <c r="N24792" s="28"/>
      <c r="O24792" s="28"/>
      <c r="U24792" s="28"/>
    </row>
    <row r="24793">
      <c r="N24793" s="28"/>
      <c r="O24793" s="28"/>
      <c r="U24793" s="28"/>
    </row>
    <row r="24794">
      <c r="N24794" s="28"/>
      <c r="O24794" s="28"/>
      <c r="U24794" s="28"/>
    </row>
    <row r="24795">
      <c r="N24795" s="28"/>
      <c r="O24795" s="28"/>
      <c r="U24795" s="28"/>
    </row>
    <row r="24796">
      <c r="N24796" s="28"/>
      <c r="O24796" s="28"/>
      <c r="U24796" s="28"/>
    </row>
    <row r="24797">
      <c r="N24797" s="28"/>
      <c r="O24797" s="28"/>
      <c r="U24797" s="28"/>
    </row>
    <row r="24798">
      <c r="N24798" s="28"/>
      <c r="O24798" s="28"/>
      <c r="U24798" s="28"/>
    </row>
    <row r="24799">
      <c r="N24799" s="28"/>
      <c r="O24799" s="28"/>
      <c r="U24799" s="28"/>
    </row>
    <row r="24800">
      <c r="N24800" s="28"/>
      <c r="O24800" s="28"/>
      <c r="U24800" s="28"/>
    </row>
    <row r="24801">
      <c r="N24801" s="28"/>
      <c r="O24801" s="28"/>
      <c r="U24801" s="28"/>
    </row>
    <row r="24802">
      <c r="N24802" s="28"/>
      <c r="O24802" s="28"/>
      <c r="U24802" s="28"/>
    </row>
    <row r="24803">
      <c r="N24803" s="28"/>
      <c r="O24803" s="28"/>
      <c r="U24803" s="28"/>
    </row>
    <row r="24804">
      <c r="N24804" s="28"/>
      <c r="O24804" s="28"/>
      <c r="U24804" s="28"/>
    </row>
    <row r="24805">
      <c r="N24805" s="28"/>
      <c r="O24805" s="28"/>
      <c r="U24805" s="28"/>
    </row>
    <row r="24806">
      <c r="N24806" s="28"/>
      <c r="O24806" s="28"/>
      <c r="U24806" s="28"/>
    </row>
    <row r="24807">
      <c r="N24807" s="28"/>
      <c r="O24807" s="28"/>
      <c r="U24807" s="28"/>
    </row>
    <row r="24808">
      <c r="N24808" s="28"/>
      <c r="O24808" s="28"/>
      <c r="U24808" s="28"/>
    </row>
    <row r="24809">
      <c r="N24809" s="28"/>
      <c r="O24809" s="28"/>
      <c r="U24809" s="28"/>
    </row>
    <row r="24810">
      <c r="N24810" s="28"/>
      <c r="O24810" s="28"/>
      <c r="U24810" s="28"/>
    </row>
    <row r="24811">
      <c r="N24811" s="28"/>
      <c r="O24811" s="28"/>
      <c r="U24811" s="28"/>
    </row>
    <row r="24812">
      <c r="N24812" s="28"/>
      <c r="O24812" s="28"/>
      <c r="U24812" s="28"/>
    </row>
    <row r="24813">
      <c r="N24813" s="28"/>
      <c r="O24813" s="28"/>
      <c r="U24813" s="28"/>
    </row>
    <row r="24814">
      <c r="N24814" s="28"/>
      <c r="O24814" s="28"/>
      <c r="U24814" s="28"/>
    </row>
    <row r="24815">
      <c r="N24815" s="28"/>
      <c r="O24815" s="28"/>
      <c r="U24815" s="28"/>
    </row>
    <row r="24816">
      <c r="N24816" s="28"/>
      <c r="O24816" s="28"/>
      <c r="U24816" s="28"/>
    </row>
    <row r="24817">
      <c r="N24817" s="28"/>
      <c r="O24817" s="28"/>
      <c r="U24817" s="28"/>
    </row>
    <row r="24818">
      <c r="N24818" s="28"/>
      <c r="O24818" s="28"/>
      <c r="U24818" s="28"/>
    </row>
    <row r="24819">
      <c r="N24819" s="28"/>
      <c r="O24819" s="28"/>
      <c r="U24819" s="28"/>
    </row>
    <row r="24820">
      <c r="N24820" s="28"/>
      <c r="O24820" s="28"/>
      <c r="U24820" s="28"/>
    </row>
    <row r="24821">
      <c r="N24821" s="28"/>
      <c r="O24821" s="28"/>
      <c r="U24821" s="28"/>
    </row>
    <row r="24822">
      <c r="N24822" s="28"/>
      <c r="O24822" s="28"/>
      <c r="U24822" s="28"/>
    </row>
    <row r="24823">
      <c r="N24823" s="28"/>
      <c r="O24823" s="28"/>
      <c r="U24823" s="28"/>
    </row>
    <row r="24824">
      <c r="N24824" s="28"/>
      <c r="O24824" s="28"/>
      <c r="U24824" s="28"/>
    </row>
    <row r="24825">
      <c r="N24825" s="28"/>
      <c r="O24825" s="28"/>
      <c r="U24825" s="28"/>
    </row>
    <row r="24826">
      <c r="N24826" s="28"/>
      <c r="O24826" s="28"/>
      <c r="U24826" s="28"/>
    </row>
    <row r="24827">
      <c r="N24827" s="28"/>
      <c r="O24827" s="28"/>
      <c r="U24827" s="28"/>
    </row>
    <row r="24828">
      <c r="N24828" s="28"/>
      <c r="O24828" s="28"/>
      <c r="U24828" s="28"/>
    </row>
    <row r="24829">
      <c r="N24829" s="28"/>
      <c r="O24829" s="28"/>
      <c r="U24829" s="28"/>
    </row>
    <row r="24830">
      <c r="N24830" s="28"/>
      <c r="O24830" s="28"/>
      <c r="U24830" s="28"/>
    </row>
    <row r="24831">
      <c r="N24831" s="28"/>
      <c r="O24831" s="28"/>
      <c r="U24831" s="28"/>
    </row>
    <row r="24832">
      <c r="N24832" s="28"/>
      <c r="O24832" s="28"/>
      <c r="U24832" s="28"/>
    </row>
    <row r="24833">
      <c r="N24833" s="28"/>
      <c r="O24833" s="28"/>
      <c r="U24833" s="28"/>
    </row>
    <row r="24834">
      <c r="N24834" s="28"/>
      <c r="O24834" s="28"/>
      <c r="U24834" s="28"/>
    </row>
    <row r="24835">
      <c r="N24835" s="28"/>
      <c r="O24835" s="28"/>
      <c r="U24835" s="28"/>
    </row>
    <row r="24836">
      <c r="N24836" s="28"/>
      <c r="O24836" s="28"/>
      <c r="U24836" s="28"/>
    </row>
    <row r="24837">
      <c r="N24837" s="28"/>
      <c r="O24837" s="28"/>
      <c r="U24837" s="28"/>
    </row>
    <row r="24838">
      <c r="N24838" s="28"/>
      <c r="O24838" s="28"/>
      <c r="U24838" s="28"/>
    </row>
    <row r="24839">
      <c r="N24839" s="28"/>
      <c r="O24839" s="28"/>
      <c r="U24839" s="28"/>
    </row>
    <row r="24840">
      <c r="N24840" s="28"/>
      <c r="O24840" s="28"/>
      <c r="U24840" s="28"/>
    </row>
    <row r="24841">
      <c r="N24841" s="28"/>
      <c r="O24841" s="28"/>
      <c r="U24841" s="28"/>
    </row>
    <row r="24842">
      <c r="N24842" s="28"/>
      <c r="O24842" s="28"/>
      <c r="U24842" s="28"/>
    </row>
    <row r="24843">
      <c r="N24843" s="28"/>
      <c r="O24843" s="28"/>
      <c r="U24843" s="28"/>
    </row>
    <row r="24844">
      <c r="N24844" s="28"/>
      <c r="O24844" s="28"/>
      <c r="U24844" s="28"/>
    </row>
    <row r="24845">
      <c r="N24845" s="28"/>
      <c r="O24845" s="28"/>
      <c r="U24845" s="28"/>
    </row>
    <row r="24846">
      <c r="N24846" s="28"/>
      <c r="O24846" s="28"/>
      <c r="U24846" s="28"/>
    </row>
    <row r="24847">
      <c r="N24847" s="28"/>
      <c r="O24847" s="28"/>
      <c r="U24847" s="28"/>
    </row>
    <row r="24848">
      <c r="N24848" s="28"/>
      <c r="O24848" s="28"/>
      <c r="U24848" s="28"/>
    </row>
    <row r="24849">
      <c r="N24849" s="28"/>
      <c r="O24849" s="28"/>
      <c r="U24849" s="28"/>
    </row>
    <row r="24850">
      <c r="N24850" s="28"/>
      <c r="O24850" s="28"/>
      <c r="U24850" s="28"/>
    </row>
    <row r="24851">
      <c r="N24851" s="28"/>
      <c r="O24851" s="28"/>
      <c r="U24851" s="28"/>
    </row>
    <row r="24852">
      <c r="N24852" s="28"/>
      <c r="O24852" s="28"/>
      <c r="U24852" s="28"/>
    </row>
    <row r="24853">
      <c r="N24853" s="28"/>
      <c r="O24853" s="28"/>
      <c r="U24853" s="28"/>
    </row>
    <row r="24854">
      <c r="N24854" s="28"/>
      <c r="O24854" s="28"/>
      <c r="U24854" s="28"/>
    </row>
    <row r="24855">
      <c r="N24855" s="28"/>
      <c r="O24855" s="28"/>
      <c r="U24855" s="28"/>
    </row>
    <row r="24856">
      <c r="N24856" s="28"/>
      <c r="O24856" s="28"/>
      <c r="U24856" s="28"/>
    </row>
    <row r="24857">
      <c r="N24857" s="28"/>
      <c r="O24857" s="28"/>
      <c r="U24857" s="28"/>
    </row>
    <row r="24858">
      <c r="N24858" s="28"/>
      <c r="O24858" s="28"/>
      <c r="U24858" s="28"/>
    </row>
    <row r="24859">
      <c r="N24859" s="28"/>
      <c r="O24859" s="28"/>
      <c r="U24859" s="28"/>
    </row>
    <row r="24860">
      <c r="N24860" s="28"/>
      <c r="O24860" s="28"/>
      <c r="U24860" s="28"/>
    </row>
    <row r="24861">
      <c r="N24861" s="28"/>
      <c r="O24861" s="28"/>
      <c r="U24861" s="28"/>
    </row>
    <row r="24862">
      <c r="N24862" s="28"/>
      <c r="O24862" s="28"/>
      <c r="U24862" s="28"/>
    </row>
    <row r="24863">
      <c r="N24863" s="28"/>
      <c r="O24863" s="28"/>
      <c r="U24863" s="28"/>
    </row>
    <row r="24864">
      <c r="N24864" s="28"/>
      <c r="O24864" s="28"/>
      <c r="U24864" s="28"/>
    </row>
    <row r="24865">
      <c r="N24865" s="28"/>
      <c r="O24865" s="28"/>
      <c r="U24865" s="28"/>
    </row>
    <row r="24866">
      <c r="N24866" s="28"/>
      <c r="O24866" s="28"/>
      <c r="U24866" s="28"/>
    </row>
    <row r="24867">
      <c r="N24867" s="28"/>
      <c r="O24867" s="28"/>
      <c r="U24867" s="28"/>
    </row>
    <row r="24868">
      <c r="N24868" s="28"/>
      <c r="O24868" s="28"/>
      <c r="U24868" s="28"/>
    </row>
    <row r="24869">
      <c r="N24869" s="28"/>
      <c r="O24869" s="28"/>
      <c r="U24869" s="28"/>
    </row>
    <row r="24870">
      <c r="N24870" s="28"/>
      <c r="O24870" s="28"/>
      <c r="U24870" s="28"/>
    </row>
    <row r="24871">
      <c r="N24871" s="28"/>
      <c r="O24871" s="28"/>
      <c r="U24871" s="28"/>
    </row>
    <row r="24872">
      <c r="N24872" s="28"/>
      <c r="O24872" s="28"/>
      <c r="U24872" s="28"/>
    </row>
    <row r="24873">
      <c r="N24873" s="28"/>
      <c r="O24873" s="28"/>
      <c r="U24873" s="28"/>
    </row>
    <row r="24874">
      <c r="N24874" s="28"/>
      <c r="O24874" s="28"/>
      <c r="U24874" s="28"/>
    </row>
    <row r="24875">
      <c r="N24875" s="28"/>
      <c r="O24875" s="28"/>
      <c r="U24875" s="28"/>
    </row>
    <row r="24876">
      <c r="N24876" s="28"/>
      <c r="O24876" s="28"/>
      <c r="U24876" s="28"/>
    </row>
    <row r="24877">
      <c r="N24877" s="28"/>
      <c r="O24877" s="28"/>
      <c r="U24877" s="28"/>
    </row>
    <row r="24878">
      <c r="N24878" s="28"/>
      <c r="O24878" s="28"/>
      <c r="U24878" s="28"/>
    </row>
    <row r="24879">
      <c r="N24879" s="28"/>
      <c r="O24879" s="28"/>
      <c r="U24879" s="28"/>
    </row>
    <row r="24880">
      <c r="N24880" s="28"/>
      <c r="O24880" s="28"/>
      <c r="U24880" s="28"/>
    </row>
    <row r="24881">
      <c r="N24881" s="28"/>
      <c r="O24881" s="28"/>
      <c r="U24881" s="28"/>
    </row>
    <row r="24882">
      <c r="N24882" s="28"/>
      <c r="O24882" s="28"/>
      <c r="U24882" s="28"/>
    </row>
    <row r="24883">
      <c r="N24883" s="28"/>
      <c r="O24883" s="28"/>
      <c r="U24883" s="28"/>
    </row>
    <row r="24884">
      <c r="N24884" s="28"/>
      <c r="O24884" s="28"/>
      <c r="U24884" s="28"/>
    </row>
    <row r="24885">
      <c r="N24885" s="28"/>
      <c r="O24885" s="28"/>
      <c r="U24885" s="28"/>
    </row>
    <row r="24886">
      <c r="N24886" s="28"/>
      <c r="O24886" s="28"/>
      <c r="U24886" s="28"/>
    </row>
    <row r="24887">
      <c r="N24887" s="28"/>
      <c r="O24887" s="28"/>
      <c r="U24887" s="28"/>
    </row>
    <row r="24888">
      <c r="N24888" s="28"/>
      <c r="O24888" s="28"/>
      <c r="U24888" s="28"/>
    </row>
    <row r="24889">
      <c r="N24889" s="28"/>
      <c r="O24889" s="28"/>
      <c r="U24889" s="28"/>
    </row>
    <row r="24890">
      <c r="N24890" s="28"/>
      <c r="O24890" s="28"/>
      <c r="U24890" s="28"/>
    </row>
    <row r="24891">
      <c r="N24891" s="28"/>
      <c r="O24891" s="28"/>
      <c r="U24891" s="28"/>
    </row>
    <row r="24892">
      <c r="N24892" s="28"/>
      <c r="O24892" s="28"/>
      <c r="U24892" s="28"/>
    </row>
    <row r="24893">
      <c r="N24893" s="28"/>
      <c r="O24893" s="28"/>
      <c r="U24893" s="28"/>
    </row>
    <row r="24894">
      <c r="N24894" s="28"/>
      <c r="O24894" s="28"/>
      <c r="U24894" s="28"/>
    </row>
    <row r="24895">
      <c r="N24895" s="28"/>
      <c r="O24895" s="28"/>
      <c r="U24895" s="28"/>
    </row>
    <row r="24896">
      <c r="N24896" s="28"/>
      <c r="O24896" s="28"/>
      <c r="U24896" s="28"/>
    </row>
    <row r="24897">
      <c r="N24897" s="28"/>
      <c r="O24897" s="28"/>
      <c r="U24897" s="28"/>
    </row>
    <row r="24898">
      <c r="N24898" s="28"/>
      <c r="O24898" s="28"/>
      <c r="U24898" s="28"/>
    </row>
    <row r="24899">
      <c r="N24899" s="28"/>
      <c r="O24899" s="28"/>
      <c r="U24899" s="28"/>
    </row>
    <row r="24900">
      <c r="N24900" s="28"/>
      <c r="O24900" s="28"/>
      <c r="U24900" s="28"/>
    </row>
    <row r="24901">
      <c r="N24901" s="28"/>
      <c r="O24901" s="28"/>
      <c r="U24901" s="28"/>
    </row>
    <row r="24902">
      <c r="N24902" s="28"/>
      <c r="O24902" s="28"/>
      <c r="U24902" s="28"/>
    </row>
    <row r="24903">
      <c r="N24903" s="28"/>
      <c r="O24903" s="28"/>
      <c r="U24903" s="28"/>
    </row>
    <row r="24904">
      <c r="N24904" s="28"/>
      <c r="O24904" s="28"/>
      <c r="U24904" s="28"/>
    </row>
    <row r="24905">
      <c r="N24905" s="28"/>
      <c r="O24905" s="28"/>
      <c r="U24905" s="28"/>
    </row>
    <row r="24906">
      <c r="N24906" s="28"/>
      <c r="O24906" s="28"/>
      <c r="U24906" s="28"/>
    </row>
    <row r="24907">
      <c r="N24907" s="28"/>
      <c r="O24907" s="28"/>
      <c r="U24907" s="28"/>
    </row>
    <row r="24908">
      <c r="N24908" s="28"/>
      <c r="O24908" s="28"/>
      <c r="U24908" s="28"/>
    </row>
    <row r="24909">
      <c r="N24909" s="28"/>
      <c r="O24909" s="28"/>
      <c r="U24909" s="28"/>
    </row>
    <row r="24910">
      <c r="N24910" s="28"/>
      <c r="O24910" s="28"/>
      <c r="U24910" s="28"/>
    </row>
    <row r="24911">
      <c r="N24911" s="28"/>
      <c r="O24911" s="28"/>
      <c r="U24911" s="28"/>
    </row>
    <row r="24912">
      <c r="N24912" s="28"/>
      <c r="O24912" s="28"/>
      <c r="U24912" s="28"/>
    </row>
    <row r="24913">
      <c r="N24913" s="28"/>
      <c r="O24913" s="28"/>
      <c r="U24913" s="28"/>
    </row>
    <row r="24914">
      <c r="N24914" s="28"/>
      <c r="O24914" s="28"/>
      <c r="U24914" s="28"/>
    </row>
    <row r="24915">
      <c r="N24915" s="28"/>
      <c r="O24915" s="28"/>
      <c r="U24915" s="28"/>
    </row>
    <row r="24916">
      <c r="N24916" s="28"/>
      <c r="O24916" s="28"/>
      <c r="U24916" s="28"/>
    </row>
    <row r="24917">
      <c r="N24917" s="28"/>
      <c r="O24917" s="28"/>
      <c r="U24917" s="28"/>
    </row>
    <row r="24918">
      <c r="N24918" s="28"/>
      <c r="O24918" s="28"/>
      <c r="U24918" s="28"/>
    </row>
    <row r="24919">
      <c r="N24919" s="28"/>
      <c r="O24919" s="28"/>
      <c r="U24919" s="28"/>
    </row>
    <row r="24920">
      <c r="N24920" s="28"/>
      <c r="O24920" s="28"/>
      <c r="U24920" s="28"/>
    </row>
    <row r="24921">
      <c r="N24921" s="28"/>
      <c r="O24921" s="28"/>
      <c r="U24921" s="28"/>
    </row>
    <row r="24922">
      <c r="N24922" s="28"/>
      <c r="O24922" s="28"/>
      <c r="U24922" s="28"/>
    </row>
    <row r="24923">
      <c r="N24923" s="28"/>
      <c r="O24923" s="28"/>
      <c r="U24923" s="28"/>
    </row>
    <row r="24924">
      <c r="N24924" s="28"/>
      <c r="O24924" s="28"/>
      <c r="U24924" s="28"/>
    </row>
    <row r="24925">
      <c r="N24925" s="28"/>
      <c r="O24925" s="28"/>
      <c r="U24925" s="28"/>
    </row>
    <row r="24926">
      <c r="N24926" s="28"/>
      <c r="O24926" s="28"/>
      <c r="U24926" s="28"/>
    </row>
    <row r="24927">
      <c r="N24927" s="28"/>
      <c r="O24927" s="28"/>
      <c r="U24927" s="28"/>
    </row>
    <row r="24928">
      <c r="N24928" s="28"/>
      <c r="O24928" s="28"/>
      <c r="U24928" s="28"/>
    </row>
    <row r="24929">
      <c r="N24929" s="28"/>
      <c r="O24929" s="28"/>
      <c r="U24929" s="28"/>
    </row>
    <row r="24930">
      <c r="N24930" s="28"/>
      <c r="O24930" s="28"/>
      <c r="U24930" s="28"/>
    </row>
    <row r="24931">
      <c r="N24931" s="28"/>
      <c r="O24931" s="28"/>
      <c r="U24931" s="28"/>
    </row>
    <row r="24932">
      <c r="N24932" s="28"/>
      <c r="O24932" s="28"/>
      <c r="U24932" s="28"/>
    </row>
    <row r="24933">
      <c r="N24933" s="28"/>
      <c r="O24933" s="28"/>
      <c r="U24933" s="28"/>
    </row>
    <row r="24934">
      <c r="N24934" s="28"/>
      <c r="O24934" s="28"/>
      <c r="U24934" s="28"/>
    </row>
    <row r="24935">
      <c r="N24935" s="28"/>
      <c r="O24935" s="28"/>
      <c r="U24935" s="28"/>
    </row>
    <row r="24936">
      <c r="N24936" s="28"/>
      <c r="O24936" s="28"/>
      <c r="U24936" s="28"/>
    </row>
    <row r="24937">
      <c r="N24937" s="28"/>
      <c r="O24937" s="28"/>
      <c r="U24937" s="28"/>
    </row>
    <row r="24938">
      <c r="N24938" s="28"/>
      <c r="O24938" s="28"/>
      <c r="U24938" s="28"/>
    </row>
    <row r="24939">
      <c r="N24939" s="28"/>
      <c r="O24939" s="28"/>
      <c r="U24939" s="28"/>
    </row>
    <row r="24940">
      <c r="N24940" s="28"/>
      <c r="O24940" s="28"/>
      <c r="U24940" s="28"/>
    </row>
    <row r="24941">
      <c r="N24941" s="28"/>
      <c r="O24941" s="28"/>
      <c r="U24941" s="28"/>
    </row>
    <row r="24942">
      <c r="N24942" s="28"/>
      <c r="O24942" s="28"/>
      <c r="U24942" s="28"/>
    </row>
    <row r="24943">
      <c r="N24943" s="28"/>
      <c r="O24943" s="28"/>
      <c r="U24943" s="28"/>
    </row>
    <row r="24944">
      <c r="N24944" s="28"/>
      <c r="O24944" s="28"/>
      <c r="U24944" s="28"/>
    </row>
    <row r="24945">
      <c r="N24945" s="28"/>
      <c r="O24945" s="28"/>
      <c r="U24945" s="28"/>
    </row>
    <row r="24946">
      <c r="N24946" s="28"/>
      <c r="O24946" s="28"/>
      <c r="U24946" s="28"/>
    </row>
    <row r="24947">
      <c r="N24947" s="28"/>
      <c r="O24947" s="28"/>
      <c r="U24947" s="28"/>
    </row>
    <row r="24948">
      <c r="N24948" s="28"/>
      <c r="O24948" s="28"/>
      <c r="U24948" s="28"/>
    </row>
    <row r="24949">
      <c r="N24949" s="28"/>
      <c r="O24949" s="28"/>
      <c r="U24949" s="28"/>
    </row>
    <row r="24950">
      <c r="N24950" s="28"/>
      <c r="O24950" s="28"/>
      <c r="U24950" s="28"/>
    </row>
    <row r="24951">
      <c r="N24951" s="28"/>
      <c r="O24951" s="28"/>
      <c r="U24951" s="28"/>
    </row>
    <row r="24952">
      <c r="N24952" s="28"/>
      <c r="O24952" s="28"/>
      <c r="U24952" s="28"/>
    </row>
    <row r="24953">
      <c r="N24953" s="28"/>
      <c r="O24953" s="28"/>
      <c r="U24953" s="28"/>
    </row>
    <row r="24954">
      <c r="N24954" s="28"/>
      <c r="O24954" s="28"/>
      <c r="U24954" s="28"/>
    </row>
    <row r="24955">
      <c r="N24955" s="28"/>
      <c r="O24955" s="28"/>
      <c r="U24955" s="28"/>
    </row>
    <row r="24956">
      <c r="N24956" s="28"/>
      <c r="O24956" s="28"/>
      <c r="U24956" s="28"/>
    </row>
    <row r="24957">
      <c r="N24957" s="28"/>
      <c r="O24957" s="28"/>
      <c r="U24957" s="28"/>
    </row>
    <row r="24958">
      <c r="N24958" s="28"/>
      <c r="O24958" s="28"/>
      <c r="U24958" s="28"/>
    </row>
    <row r="24959">
      <c r="N24959" s="28"/>
      <c r="O24959" s="28"/>
      <c r="U24959" s="28"/>
    </row>
    <row r="24960">
      <c r="N24960" s="28"/>
      <c r="O24960" s="28"/>
      <c r="U24960" s="28"/>
    </row>
    <row r="24961">
      <c r="N24961" s="28"/>
      <c r="O24961" s="28"/>
      <c r="U24961" s="28"/>
    </row>
    <row r="24962">
      <c r="N24962" s="28"/>
      <c r="O24962" s="28"/>
      <c r="U24962" s="28"/>
    </row>
    <row r="24963">
      <c r="N24963" s="28"/>
      <c r="O24963" s="28"/>
      <c r="U24963" s="28"/>
    </row>
    <row r="24964">
      <c r="N24964" s="28"/>
      <c r="O24964" s="28"/>
      <c r="U24964" s="28"/>
    </row>
    <row r="24965">
      <c r="N24965" s="28"/>
      <c r="O24965" s="28"/>
      <c r="U24965" s="28"/>
    </row>
    <row r="24966">
      <c r="N24966" s="28"/>
      <c r="O24966" s="28"/>
      <c r="U24966" s="28"/>
    </row>
    <row r="24967">
      <c r="N24967" s="28"/>
      <c r="O24967" s="28"/>
      <c r="U24967" s="28"/>
    </row>
    <row r="24968">
      <c r="N24968" s="28"/>
      <c r="O24968" s="28"/>
      <c r="U24968" s="28"/>
    </row>
    <row r="24969">
      <c r="N24969" s="28"/>
      <c r="O24969" s="28"/>
      <c r="U24969" s="28"/>
    </row>
    <row r="24970">
      <c r="N24970" s="28"/>
      <c r="O24970" s="28"/>
      <c r="U24970" s="28"/>
    </row>
    <row r="24971">
      <c r="N24971" s="28"/>
      <c r="O24971" s="28"/>
      <c r="U24971" s="28"/>
    </row>
    <row r="24972">
      <c r="N24972" s="28"/>
      <c r="O24972" s="28"/>
      <c r="U24972" s="28"/>
    </row>
    <row r="24973">
      <c r="N24973" s="28"/>
      <c r="O24973" s="28"/>
      <c r="U24973" s="28"/>
    </row>
    <row r="24974">
      <c r="N24974" s="28"/>
      <c r="O24974" s="28"/>
      <c r="U24974" s="28"/>
    </row>
    <row r="24975">
      <c r="N24975" s="28"/>
      <c r="O24975" s="28"/>
      <c r="U24975" s="28"/>
    </row>
    <row r="24976">
      <c r="N24976" s="28"/>
      <c r="O24976" s="28"/>
      <c r="U24976" s="28"/>
    </row>
    <row r="24977">
      <c r="N24977" s="28"/>
      <c r="O24977" s="28"/>
      <c r="U24977" s="28"/>
    </row>
    <row r="24978">
      <c r="N24978" s="28"/>
      <c r="O24978" s="28"/>
      <c r="U24978" s="28"/>
    </row>
    <row r="24979">
      <c r="N24979" s="28"/>
      <c r="O24979" s="28"/>
      <c r="U24979" s="28"/>
    </row>
    <row r="24980">
      <c r="N24980" s="28"/>
      <c r="O24980" s="28"/>
      <c r="U24980" s="28"/>
    </row>
    <row r="24981">
      <c r="N24981" s="28"/>
      <c r="O24981" s="28"/>
      <c r="U24981" s="28"/>
    </row>
    <row r="24982">
      <c r="N24982" s="28"/>
      <c r="O24982" s="28"/>
      <c r="U24982" s="28"/>
    </row>
    <row r="24983">
      <c r="N24983" s="28"/>
      <c r="O24983" s="28"/>
      <c r="U24983" s="28"/>
    </row>
    <row r="24984">
      <c r="N24984" s="28"/>
      <c r="O24984" s="28"/>
      <c r="U24984" s="28"/>
    </row>
    <row r="24985">
      <c r="N24985" s="28"/>
      <c r="O24985" s="28"/>
      <c r="U24985" s="28"/>
    </row>
    <row r="24986">
      <c r="N24986" s="28"/>
      <c r="O24986" s="28"/>
      <c r="U24986" s="28"/>
    </row>
    <row r="24987">
      <c r="N24987" s="28"/>
      <c r="O24987" s="28"/>
      <c r="U24987" s="28"/>
    </row>
    <row r="24988">
      <c r="N24988" s="28"/>
      <c r="O24988" s="28"/>
      <c r="U24988" s="28"/>
    </row>
    <row r="24989">
      <c r="N24989" s="28"/>
      <c r="O24989" s="28"/>
      <c r="U24989" s="28"/>
    </row>
    <row r="24990">
      <c r="N24990" s="28"/>
      <c r="O24990" s="28"/>
      <c r="U24990" s="28"/>
    </row>
    <row r="24991">
      <c r="N24991" s="28"/>
      <c r="O24991" s="28"/>
      <c r="U24991" s="28"/>
    </row>
    <row r="24992">
      <c r="N24992" s="28"/>
      <c r="O24992" s="28"/>
      <c r="U24992" s="28"/>
    </row>
    <row r="24993">
      <c r="N24993" s="28"/>
      <c r="O24993" s="28"/>
      <c r="U24993" s="28"/>
    </row>
    <row r="24994">
      <c r="N24994" s="28"/>
      <c r="O24994" s="28"/>
      <c r="U24994" s="28"/>
    </row>
    <row r="24995">
      <c r="N24995" s="28"/>
      <c r="O24995" s="28"/>
      <c r="U24995" s="28"/>
    </row>
    <row r="24996">
      <c r="N24996" s="28"/>
      <c r="O24996" s="28"/>
      <c r="U24996" s="28"/>
    </row>
    <row r="24997">
      <c r="N24997" s="28"/>
      <c r="O24997" s="28"/>
      <c r="U24997" s="28"/>
    </row>
    <row r="24998">
      <c r="N24998" s="28"/>
      <c r="O24998" s="28"/>
      <c r="U24998" s="28"/>
    </row>
    <row r="24999">
      <c r="N24999" s="28"/>
      <c r="O24999" s="28"/>
      <c r="U24999" s="28"/>
    </row>
    <row r="25000">
      <c r="N25000" s="28"/>
      <c r="O25000" s="28"/>
      <c r="U25000" s="28"/>
    </row>
    <row r="25001">
      <c r="N25001" s="28"/>
      <c r="O25001" s="28"/>
      <c r="U25001" s="28"/>
    </row>
    <row r="25002">
      <c r="N25002" s="28"/>
      <c r="O25002" s="28"/>
      <c r="U25002" s="28"/>
    </row>
    <row r="25003">
      <c r="N25003" s="28"/>
      <c r="O25003" s="28"/>
      <c r="U25003" s="28"/>
    </row>
    <row r="25004">
      <c r="N25004" s="28"/>
      <c r="O25004" s="28"/>
      <c r="U25004" s="28"/>
    </row>
    <row r="25005">
      <c r="N25005" s="28"/>
      <c r="O25005" s="28"/>
      <c r="U25005" s="28"/>
    </row>
    <row r="25006">
      <c r="N25006" s="28"/>
      <c r="O25006" s="28"/>
      <c r="U25006" s="28"/>
    </row>
    <row r="25007">
      <c r="N25007" s="28"/>
      <c r="O25007" s="28"/>
      <c r="U25007" s="28"/>
    </row>
    <row r="25008">
      <c r="N25008" s="28"/>
      <c r="O25008" s="28"/>
      <c r="U25008" s="28"/>
    </row>
    <row r="25009">
      <c r="N25009" s="28"/>
      <c r="O25009" s="28"/>
      <c r="U25009" s="28"/>
    </row>
    <row r="25010">
      <c r="N25010" s="28"/>
      <c r="O25010" s="28"/>
      <c r="U25010" s="28"/>
    </row>
    <row r="25011">
      <c r="N25011" s="28"/>
      <c r="O25011" s="28"/>
      <c r="U25011" s="28"/>
    </row>
    <row r="25012">
      <c r="N25012" s="28"/>
      <c r="O25012" s="28"/>
      <c r="U25012" s="28"/>
    </row>
    <row r="25013">
      <c r="N25013" s="28"/>
      <c r="O25013" s="28"/>
      <c r="U25013" s="28"/>
    </row>
    <row r="25014">
      <c r="N25014" s="28"/>
      <c r="O25014" s="28"/>
      <c r="U25014" s="28"/>
    </row>
    <row r="25015">
      <c r="N25015" s="28"/>
      <c r="O25015" s="28"/>
      <c r="U25015" s="28"/>
    </row>
    <row r="25016">
      <c r="N25016" s="28"/>
      <c r="O25016" s="28"/>
      <c r="U25016" s="28"/>
    </row>
    <row r="25017">
      <c r="N25017" s="28"/>
      <c r="O25017" s="28"/>
      <c r="U25017" s="28"/>
    </row>
    <row r="25018">
      <c r="N25018" s="28"/>
      <c r="O25018" s="28"/>
      <c r="U25018" s="28"/>
    </row>
    <row r="25019">
      <c r="N25019" s="28"/>
      <c r="O25019" s="28"/>
      <c r="U25019" s="28"/>
    </row>
    <row r="25020">
      <c r="N25020" s="28"/>
      <c r="O25020" s="28"/>
      <c r="U25020" s="28"/>
    </row>
    <row r="25021">
      <c r="N25021" s="28"/>
      <c r="O25021" s="28"/>
      <c r="U25021" s="28"/>
    </row>
    <row r="25022">
      <c r="N25022" s="28"/>
      <c r="O25022" s="28"/>
      <c r="U25022" s="28"/>
    </row>
    <row r="25023">
      <c r="N25023" s="28"/>
      <c r="O25023" s="28"/>
      <c r="U25023" s="28"/>
    </row>
    <row r="25024">
      <c r="N25024" s="28"/>
      <c r="O25024" s="28"/>
      <c r="U25024" s="28"/>
    </row>
    <row r="25025">
      <c r="N25025" s="28"/>
      <c r="O25025" s="28"/>
      <c r="U25025" s="28"/>
    </row>
    <row r="25026">
      <c r="N25026" s="28"/>
      <c r="O25026" s="28"/>
      <c r="U25026" s="28"/>
    </row>
    <row r="25027">
      <c r="N25027" s="28"/>
      <c r="O25027" s="28"/>
      <c r="U25027" s="28"/>
    </row>
    <row r="25028">
      <c r="N25028" s="28"/>
      <c r="O25028" s="28"/>
      <c r="U25028" s="28"/>
    </row>
    <row r="25029">
      <c r="N25029" s="28"/>
      <c r="O25029" s="28"/>
      <c r="U25029" s="28"/>
    </row>
    <row r="25030">
      <c r="N25030" s="28"/>
      <c r="O25030" s="28"/>
      <c r="U25030" s="28"/>
    </row>
    <row r="25031">
      <c r="N25031" s="28"/>
      <c r="O25031" s="28"/>
      <c r="U25031" s="28"/>
    </row>
    <row r="25032">
      <c r="N25032" s="28"/>
      <c r="O25032" s="28"/>
      <c r="U25032" s="28"/>
    </row>
    <row r="25033">
      <c r="N25033" s="28"/>
      <c r="O25033" s="28"/>
      <c r="U25033" s="28"/>
    </row>
    <row r="25034">
      <c r="N25034" s="28"/>
      <c r="O25034" s="28"/>
      <c r="U25034" s="28"/>
    </row>
    <row r="25035">
      <c r="N25035" s="28"/>
      <c r="O25035" s="28"/>
      <c r="U25035" s="28"/>
    </row>
    <row r="25036">
      <c r="N25036" s="28"/>
      <c r="O25036" s="28"/>
      <c r="U25036" s="28"/>
    </row>
    <row r="25037">
      <c r="N25037" s="28"/>
      <c r="O25037" s="28"/>
      <c r="U25037" s="28"/>
    </row>
    <row r="25038">
      <c r="N25038" s="28"/>
      <c r="O25038" s="28"/>
      <c r="U25038" s="28"/>
    </row>
    <row r="25039">
      <c r="N25039" s="28"/>
      <c r="O25039" s="28"/>
      <c r="U25039" s="28"/>
    </row>
    <row r="25040">
      <c r="N25040" s="28"/>
      <c r="O25040" s="28"/>
      <c r="U25040" s="28"/>
    </row>
    <row r="25041">
      <c r="N25041" s="28"/>
      <c r="O25041" s="28"/>
      <c r="U25041" s="28"/>
    </row>
    <row r="25042">
      <c r="N25042" s="28"/>
      <c r="O25042" s="28"/>
      <c r="U25042" s="28"/>
    </row>
    <row r="25043">
      <c r="N25043" s="28"/>
      <c r="O25043" s="28"/>
      <c r="U25043" s="28"/>
    </row>
    <row r="25044">
      <c r="N25044" s="28"/>
      <c r="O25044" s="28"/>
      <c r="U25044" s="28"/>
    </row>
    <row r="25045">
      <c r="N25045" s="28"/>
      <c r="O25045" s="28"/>
      <c r="U25045" s="28"/>
    </row>
    <row r="25046">
      <c r="N25046" s="28"/>
      <c r="O25046" s="28"/>
      <c r="U25046" s="28"/>
    </row>
    <row r="25047">
      <c r="N25047" s="28"/>
      <c r="O25047" s="28"/>
      <c r="U25047" s="28"/>
    </row>
    <row r="25048">
      <c r="N25048" s="28"/>
      <c r="O25048" s="28"/>
      <c r="U25048" s="28"/>
    </row>
    <row r="25049">
      <c r="N25049" s="28"/>
      <c r="O25049" s="28"/>
      <c r="U25049" s="28"/>
    </row>
    <row r="25050">
      <c r="N25050" s="28"/>
      <c r="O25050" s="28"/>
      <c r="U25050" s="28"/>
    </row>
    <row r="25051">
      <c r="N25051" s="28"/>
      <c r="O25051" s="28"/>
      <c r="U25051" s="28"/>
    </row>
    <row r="25052">
      <c r="N25052" s="28"/>
      <c r="O25052" s="28"/>
      <c r="U25052" s="28"/>
    </row>
    <row r="25053">
      <c r="N25053" s="28"/>
      <c r="O25053" s="28"/>
      <c r="U25053" s="28"/>
    </row>
    <row r="25054">
      <c r="N25054" s="28"/>
      <c r="O25054" s="28"/>
      <c r="U25054" s="28"/>
    </row>
    <row r="25055">
      <c r="N25055" s="28"/>
      <c r="O25055" s="28"/>
      <c r="U25055" s="28"/>
    </row>
    <row r="25056">
      <c r="N25056" s="28"/>
      <c r="O25056" s="28"/>
      <c r="U25056" s="28"/>
    </row>
    <row r="25057">
      <c r="N25057" s="28"/>
      <c r="O25057" s="28"/>
      <c r="U25057" s="28"/>
    </row>
    <row r="25058">
      <c r="N25058" s="28"/>
      <c r="O25058" s="28"/>
      <c r="U25058" s="28"/>
    </row>
    <row r="25059">
      <c r="N25059" s="28"/>
      <c r="O25059" s="28"/>
      <c r="U25059" s="28"/>
    </row>
    <row r="25060">
      <c r="N25060" s="28"/>
      <c r="O25060" s="28"/>
      <c r="U25060" s="28"/>
    </row>
    <row r="25061">
      <c r="N25061" s="28"/>
      <c r="O25061" s="28"/>
      <c r="U25061" s="28"/>
    </row>
    <row r="25062">
      <c r="N25062" s="28"/>
      <c r="O25062" s="28"/>
      <c r="U25062" s="28"/>
    </row>
    <row r="25063">
      <c r="N25063" s="28"/>
      <c r="O25063" s="28"/>
      <c r="U25063" s="28"/>
    </row>
    <row r="25064">
      <c r="N25064" s="28"/>
      <c r="O25064" s="28"/>
      <c r="U25064" s="28"/>
    </row>
    <row r="25065">
      <c r="N25065" s="28"/>
      <c r="O25065" s="28"/>
      <c r="U25065" s="28"/>
    </row>
    <row r="25066">
      <c r="N25066" s="28"/>
      <c r="O25066" s="28"/>
      <c r="U25066" s="28"/>
    </row>
    <row r="25067">
      <c r="N25067" s="28"/>
      <c r="O25067" s="28"/>
      <c r="U25067" s="28"/>
    </row>
    <row r="25068">
      <c r="N25068" s="28"/>
      <c r="O25068" s="28"/>
      <c r="U25068" s="28"/>
    </row>
    <row r="25069">
      <c r="N25069" s="28"/>
      <c r="O25069" s="28"/>
      <c r="U25069" s="28"/>
    </row>
    <row r="25070">
      <c r="N25070" s="28"/>
      <c r="O25070" s="28"/>
      <c r="U25070" s="28"/>
    </row>
    <row r="25071">
      <c r="N25071" s="28"/>
      <c r="O25071" s="28"/>
      <c r="U25071" s="28"/>
    </row>
    <row r="25072">
      <c r="N25072" s="28"/>
      <c r="O25072" s="28"/>
      <c r="U25072" s="28"/>
    </row>
    <row r="25073">
      <c r="N25073" s="28"/>
      <c r="O25073" s="28"/>
      <c r="U25073" s="28"/>
    </row>
    <row r="25074">
      <c r="N25074" s="28"/>
      <c r="O25074" s="28"/>
      <c r="U25074" s="28"/>
    </row>
    <row r="25075">
      <c r="N25075" s="28"/>
      <c r="O25075" s="28"/>
      <c r="U25075" s="28"/>
    </row>
    <row r="25076">
      <c r="N25076" s="28"/>
      <c r="O25076" s="28"/>
      <c r="U25076" s="28"/>
    </row>
    <row r="25077">
      <c r="N25077" s="28"/>
      <c r="O25077" s="28"/>
      <c r="U25077" s="28"/>
    </row>
    <row r="25078">
      <c r="N25078" s="28"/>
      <c r="O25078" s="28"/>
      <c r="U25078" s="28"/>
    </row>
    <row r="25079">
      <c r="N25079" s="28"/>
      <c r="O25079" s="28"/>
      <c r="U25079" s="28"/>
    </row>
    <row r="25080">
      <c r="N25080" s="28"/>
      <c r="O25080" s="28"/>
      <c r="U25080" s="28"/>
    </row>
    <row r="25081">
      <c r="N25081" s="28"/>
      <c r="O25081" s="28"/>
      <c r="U25081" s="28"/>
    </row>
    <row r="25082">
      <c r="N25082" s="28"/>
      <c r="O25082" s="28"/>
      <c r="U25082" s="28"/>
    </row>
    <row r="25083">
      <c r="N25083" s="28"/>
      <c r="O25083" s="28"/>
      <c r="U25083" s="28"/>
    </row>
    <row r="25084">
      <c r="N25084" s="28"/>
      <c r="O25084" s="28"/>
      <c r="U25084" s="28"/>
    </row>
    <row r="25085">
      <c r="N25085" s="28"/>
      <c r="O25085" s="28"/>
      <c r="U25085" s="28"/>
    </row>
    <row r="25086">
      <c r="N25086" s="28"/>
      <c r="O25086" s="28"/>
      <c r="U25086" s="28"/>
    </row>
    <row r="25087">
      <c r="N25087" s="28"/>
      <c r="O25087" s="28"/>
      <c r="U25087" s="28"/>
    </row>
    <row r="25088">
      <c r="N25088" s="28"/>
      <c r="O25088" s="28"/>
      <c r="U25088" s="28"/>
    </row>
    <row r="25089">
      <c r="N25089" s="28"/>
      <c r="O25089" s="28"/>
      <c r="U25089" s="28"/>
    </row>
    <row r="25090">
      <c r="N25090" s="28"/>
      <c r="O25090" s="28"/>
      <c r="U25090" s="28"/>
    </row>
    <row r="25091">
      <c r="N25091" s="28"/>
      <c r="O25091" s="28"/>
      <c r="U25091" s="28"/>
    </row>
    <row r="25092">
      <c r="N25092" s="28"/>
      <c r="O25092" s="28"/>
      <c r="U25092" s="28"/>
    </row>
    <row r="25093">
      <c r="N25093" s="28"/>
      <c r="O25093" s="28"/>
      <c r="U25093" s="28"/>
    </row>
    <row r="25094">
      <c r="N25094" s="28"/>
      <c r="O25094" s="28"/>
      <c r="U25094" s="28"/>
    </row>
    <row r="25095">
      <c r="N25095" s="28"/>
      <c r="O25095" s="28"/>
      <c r="U25095" s="28"/>
    </row>
    <row r="25096">
      <c r="N25096" s="28"/>
      <c r="O25096" s="28"/>
      <c r="U25096" s="28"/>
    </row>
    <row r="25097">
      <c r="N25097" s="28"/>
      <c r="O25097" s="28"/>
      <c r="U25097" s="28"/>
    </row>
    <row r="25098">
      <c r="N25098" s="28"/>
      <c r="O25098" s="28"/>
      <c r="U25098" s="28"/>
    </row>
    <row r="25099">
      <c r="N25099" s="28"/>
      <c r="O25099" s="28"/>
      <c r="U25099" s="28"/>
    </row>
    <row r="25100">
      <c r="N25100" s="28"/>
      <c r="O25100" s="28"/>
      <c r="U25100" s="28"/>
    </row>
    <row r="25101">
      <c r="N25101" s="28"/>
      <c r="O25101" s="28"/>
      <c r="U25101" s="28"/>
    </row>
    <row r="25102">
      <c r="N25102" s="28"/>
      <c r="O25102" s="28"/>
      <c r="U25102" s="28"/>
    </row>
    <row r="25103">
      <c r="N25103" s="28"/>
      <c r="O25103" s="28"/>
      <c r="U25103" s="28"/>
    </row>
    <row r="25104">
      <c r="N25104" s="28"/>
      <c r="O25104" s="28"/>
      <c r="U25104" s="28"/>
    </row>
    <row r="25105">
      <c r="N25105" s="28"/>
      <c r="O25105" s="28"/>
      <c r="U25105" s="28"/>
    </row>
    <row r="25106">
      <c r="N25106" s="28"/>
      <c r="O25106" s="28"/>
      <c r="U25106" s="28"/>
    </row>
    <row r="25107">
      <c r="N25107" s="28"/>
      <c r="O25107" s="28"/>
      <c r="U25107" s="28"/>
    </row>
    <row r="25108">
      <c r="N25108" s="28"/>
      <c r="O25108" s="28"/>
      <c r="U25108" s="28"/>
    </row>
    <row r="25109">
      <c r="N25109" s="28"/>
      <c r="O25109" s="28"/>
      <c r="U25109" s="28"/>
    </row>
    <row r="25110">
      <c r="N25110" s="28"/>
      <c r="O25110" s="28"/>
      <c r="U25110" s="28"/>
    </row>
    <row r="25111">
      <c r="N25111" s="28"/>
      <c r="O25111" s="28"/>
      <c r="U25111" s="28"/>
    </row>
    <row r="25112">
      <c r="N25112" s="28"/>
      <c r="O25112" s="28"/>
      <c r="U25112" s="28"/>
    </row>
    <row r="25113">
      <c r="N25113" s="28"/>
      <c r="O25113" s="28"/>
      <c r="U25113" s="28"/>
    </row>
    <row r="25114">
      <c r="N25114" s="28"/>
      <c r="O25114" s="28"/>
      <c r="U25114" s="28"/>
    </row>
    <row r="25115">
      <c r="N25115" s="28"/>
      <c r="O25115" s="28"/>
      <c r="U25115" s="28"/>
    </row>
    <row r="25116">
      <c r="N25116" s="28"/>
      <c r="O25116" s="28"/>
      <c r="U25116" s="28"/>
    </row>
    <row r="25117">
      <c r="N25117" s="28"/>
      <c r="O25117" s="28"/>
      <c r="U25117" s="28"/>
    </row>
    <row r="25118">
      <c r="N25118" s="28"/>
      <c r="O25118" s="28"/>
      <c r="U25118" s="28"/>
    </row>
    <row r="25119">
      <c r="N25119" s="28"/>
      <c r="O25119" s="28"/>
      <c r="U25119" s="28"/>
    </row>
    <row r="25120">
      <c r="N25120" s="28"/>
      <c r="O25120" s="28"/>
      <c r="U25120" s="28"/>
    </row>
    <row r="25121">
      <c r="N25121" s="28"/>
      <c r="O25121" s="28"/>
      <c r="U25121" s="28"/>
    </row>
    <row r="25122">
      <c r="N25122" s="28"/>
      <c r="O25122" s="28"/>
      <c r="U25122" s="28"/>
    </row>
    <row r="25123">
      <c r="N25123" s="28"/>
      <c r="O25123" s="28"/>
      <c r="U25123" s="28"/>
    </row>
    <row r="25124">
      <c r="N25124" s="28"/>
      <c r="O25124" s="28"/>
      <c r="U25124" s="28"/>
    </row>
    <row r="25125">
      <c r="N25125" s="28"/>
      <c r="O25125" s="28"/>
      <c r="U25125" s="28"/>
    </row>
    <row r="25126">
      <c r="N25126" s="28"/>
      <c r="O25126" s="28"/>
      <c r="U25126" s="28"/>
    </row>
    <row r="25127">
      <c r="N25127" s="28"/>
      <c r="O25127" s="28"/>
      <c r="U25127" s="28"/>
    </row>
    <row r="25128">
      <c r="N25128" s="28"/>
      <c r="O25128" s="28"/>
      <c r="U25128" s="28"/>
    </row>
    <row r="25129">
      <c r="N25129" s="28"/>
      <c r="O25129" s="28"/>
      <c r="U25129" s="28"/>
    </row>
    <row r="25130">
      <c r="N25130" s="28"/>
      <c r="O25130" s="28"/>
      <c r="U25130" s="28"/>
    </row>
    <row r="25131">
      <c r="N25131" s="28"/>
      <c r="O25131" s="28"/>
      <c r="U25131" s="28"/>
    </row>
    <row r="25132">
      <c r="N25132" s="28"/>
      <c r="O25132" s="28"/>
      <c r="U25132" s="28"/>
    </row>
    <row r="25133">
      <c r="N25133" s="28"/>
      <c r="O25133" s="28"/>
      <c r="U25133" s="28"/>
    </row>
    <row r="25134">
      <c r="N25134" s="28"/>
      <c r="O25134" s="28"/>
      <c r="U25134" s="28"/>
    </row>
    <row r="25135">
      <c r="N25135" s="28"/>
      <c r="O25135" s="28"/>
      <c r="U25135" s="28"/>
    </row>
    <row r="25136">
      <c r="N25136" s="28"/>
      <c r="O25136" s="28"/>
      <c r="U25136" s="28"/>
    </row>
    <row r="25137">
      <c r="N25137" s="28"/>
      <c r="O25137" s="28"/>
      <c r="U25137" s="28"/>
    </row>
    <row r="25138">
      <c r="N25138" s="28"/>
      <c r="O25138" s="28"/>
      <c r="U25138" s="28"/>
    </row>
    <row r="25139">
      <c r="N25139" s="28"/>
      <c r="O25139" s="28"/>
      <c r="U25139" s="28"/>
    </row>
    <row r="25140">
      <c r="N25140" s="28"/>
      <c r="O25140" s="28"/>
      <c r="U25140" s="28"/>
    </row>
    <row r="25141">
      <c r="N25141" s="28"/>
      <c r="O25141" s="28"/>
      <c r="U25141" s="28"/>
    </row>
    <row r="25142">
      <c r="N25142" s="28"/>
      <c r="O25142" s="28"/>
      <c r="U25142" s="28"/>
    </row>
    <row r="25143">
      <c r="N25143" s="28"/>
      <c r="O25143" s="28"/>
      <c r="U25143" s="28"/>
    </row>
    <row r="25144">
      <c r="N25144" s="28"/>
      <c r="O25144" s="28"/>
      <c r="U25144" s="28"/>
    </row>
    <row r="25145">
      <c r="N25145" s="28"/>
      <c r="O25145" s="28"/>
      <c r="U25145" s="28"/>
    </row>
    <row r="25146">
      <c r="N25146" s="28"/>
      <c r="O25146" s="28"/>
      <c r="U25146" s="28"/>
    </row>
    <row r="25147">
      <c r="N25147" s="28"/>
      <c r="O25147" s="28"/>
      <c r="U25147" s="28"/>
    </row>
    <row r="25148">
      <c r="N25148" s="28"/>
      <c r="O25148" s="28"/>
      <c r="U25148" s="28"/>
    </row>
    <row r="25149">
      <c r="N25149" s="28"/>
      <c r="O25149" s="28"/>
      <c r="U25149" s="28"/>
    </row>
    <row r="25150">
      <c r="N25150" s="28"/>
      <c r="O25150" s="28"/>
      <c r="U25150" s="28"/>
    </row>
    <row r="25151">
      <c r="N25151" s="28"/>
      <c r="O25151" s="28"/>
      <c r="U25151" s="28"/>
    </row>
    <row r="25152">
      <c r="N25152" s="28"/>
      <c r="O25152" s="28"/>
      <c r="U25152" s="28"/>
    </row>
    <row r="25153">
      <c r="N25153" s="28"/>
      <c r="O25153" s="28"/>
      <c r="U25153" s="28"/>
    </row>
    <row r="25154">
      <c r="N25154" s="28"/>
      <c r="O25154" s="28"/>
      <c r="U25154" s="28"/>
    </row>
    <row r="25155">
      <c r="N25155" s="28"/>
      <c r="O25155" s="28"/>
      <c r="U25155" s="28"/>
    </row>
    <row r="25156">
      <c r="N25156" s="28"/>
      <c r="O25156" s="28"/>
      <c r="U25156" s="28"/>
    </row>
    <row r="25157">
      <c r="N25157" s="28"/>
      <c r="O25157" s="28"/>
      <c r="U25157" s="28"/>
    </row>
    <row r="25158">
      <c r="N25158" s="28"/>
      <c r="O25158" s="28"/>
      <c r="U25158" s="28"/>
    </row>
    <row r="25159">
      <c r="N25159" s="28"/>
      <c r="O25159" s="28"/>
      <c r="U25159" s="28"/>
    </row>
    <row r="25160">
      <c r="N25160" s="28"/>
      <c r="O25160" s="28"/>
      <c r="U25160" s="28"/>
    </row>
    <row r="25161">
      <c r="N25161" s="28"/>
      <c r="O25161" s="28"/>
      <c r="U25161" s="28"/>
    </row>
    <row r="25162">
      <c r="N25162" s="28"/>
      <c r="O25162" s="28"/>
      <c r="U25162" s="28"/>
    </row>
    <row r="25163">
      <c r="N25163" s="28"/>
      <c r="O25163" s="28"/>
      <c r="U25163" s="28"/>
    </row>
    <row r="25164">
      <c r="N25164" s="28"/>
      <c r="O25164" s="28"/>
      <c r="U25164" s="28"/>
    </row>
    <row r="25165">
      <c r="N25165" s="28"/>
      <c r="O25165" s="28"/>
      <c r="U25165" s="28"/>
    </row>
    <row r="25166">
      <c r="N25166" s="28"/>
      <c r="O25166" s="28"/>
      <c r="U25166" s="28"/>
    </row>
    <row r="25167">
      <c r="N25167" s="28"/>
      <c r="O25167" s="28"/>
      <c r="U25167" s="28"/>
    </row>
    <row r="25168">
      <c r="N25168" s="28"/>
      <c r="O25168" s="28"/>
      <c r="U25168" s="28"/>
    </row>
    <row r="25169">
      <c r="N25169" s="28"/>
      <c r="O25169" s="28"/>
      <c r="U25169" s="28"/>
    </row>
    <row r="25170">
      <c r="N25170" s="28"/>
      <c r="O25170" s="28"/>
      <c r="U25170" s="28"/>
    </row>
    <row r="25171">
      <c r="N25171" s="28"/>
      <c r="O25171" s="28"/>
      <c r="U25171" s="28"/>
    </row>
    <row r="25172">
      <c r="N25172" s="28"/>
      <c r="O25172" s="28"/>
      <c r="U25172" s="28"/>
    </row>
    <row r="25173">
      <c r="N25173" s="28"/>
      <c r="O25173" s="28"/>
      <c r="U25173" s="28"/>
    </row>
    <row r="25174">
      <c r="N25174" s="28"/>
      <c r="O25174" s="28"/>
      <c r="U25174" s="28"/>
    </row>
    <row r="25175">
      <c r="N25175" s="28"/>
      <c r="O25175" s="28"/>
      <c r="U25175" s="28"/>
    </row>
    <row r="25176">
      <c r="N25176" s="28"/>
      <c r="O25176" s="28"/>
      <c r="U25176" s="28"/>
    </row>
    <row r="25177">
      <c r="N25177" s="28"/>
      <c r="O25177" s="28"/>
      <c r="U25177" s="28"/>
    </row>
    <row r="25178">
      <c r="N25178" s="28"/>
      <c r="O25178" s="28"/>
      <c r="U25178" s="28"/>
    </row>
    <row r="25179">
      <c r="N25179" s="28"/>
      <c r="O25179" s="28"/>
      <c r="U25179" s="28"/>
    </row>
    <row r="25180">
      <c r="N25180" s="28"/>
      <c r="O25180" s="28"/>
      <c r="U25180" s="28"/>
    </row>
    <row r="25181">
      <c r="N25181" s="28"/>
      <c r="O25181" s="28"/>
      <c r="U25181" s="28"/>
    </row>
    <row r="25182">
      <c r="N25182" s="28"/>
      <c r="O25182" s="28"/>
      <c r="U25182" s="28"/>
    </row>
    <row r="25183">
      <c r="N25183" s="28"/>
      <c r="O25183" s="28"/>
      <c r="U25183" s="28"/>
    </row>
    <row r="25184">
      <c r="N25184" s="28"/>
      <c r="O25184" s="28"/>
      <c r="U25184" s="28"/>
    </row>
    <row r="25185">
      <c r="N25185" s="28"/>
      <c r="O25185" s="28"/>
      <c r="U25185" s="28"/>
    </row>
    <row r="25186">
      <c r="N25186" s="28"/>
      <c r="O25186" s="28"/>
      <c r="U25186" s="28"/>
    </row>
    <row r="25187">
      <c r="N25187" s="28"/>
      <c r="O25187" s="28"/>
      <c r="U25187" s="28"/>
    </row>
    <row r="25188">
      <c r="N25188" s="28"/>
      <c r="O25188" s="28"/>
      <c r="U25188" s="28"/>
    </row>
    <row r="25189">
      <c r="N25189" s="28"/>
      <c r="O25189" s="28"/>
      <c r="U25189" s="28"/>
    </row>
    <row r="25190">
      <c r="N25190" s="28"/>
      <c r="O25190" s="28"/>
      <c r="U25190" s="28"/>
    </row>
    <row r="25191">
      <c r="N25191" s="28"/>
      <c r="O25191" s="28"/>
      <c r="U25191" s="28"/>
    </row>
    <row r="25192">
      <c r="N25192" s="28"/>
      <c r="O25192" s="28"/>
      <c r="U25192" s="28"/>
    </row>
    <row r="25193">
      <c r="N25193" s="28"/>
      <c r="O25193" s="28"/>
      <c r="U25193" s="28"/>
    </row>
    <row r="25194">
      <c r="N25194" s="28"/>
      <c r="O25194" s="28"/>
      <c r="U25194" s="28"/>
    </row>
    <row r="25195">
      <c r="N25195" s="28"/>
      <c r="O25195" s="28"/>
      <c r="U25195" s="28"/>
    </row>
    <row r="25196">
      <c r="N25196" s="28"/>
      <c r="O25196" s="28"/>
      <c r="U25196" s="28"/>
    </row>
    <row r="25197">
      <c r="N25197" s="28"/>
      <c r="O25197" s="28"/>
      <c r="U25197" s="28"/>
    </row>
    <row r="25198">
      <c r="N25198" s="28"/>
      <c r="O25198" s="28"/>
      <c r="U25198" s="28"/>
    </row>
    <row r="25199">
      <c r="N25199" s="28"/>
      <c r="O25199" s="28"/>
      <c r="U25199" s="28"/>
    </row>
    <row r="25200">
      <c r="N25200" s="28"/>
      <c r="O25200" s="28"/>
      <c r="U25200" s="28"/>
    </row>
    <row r="25201">
      <c r="N25201" s="28"/>
      <c r="O25201" s="28"/>
      <c r="U25201" s="28"/>
    </row>
    <row r="25202">
      <c r="N25202" s="28"/>
      <c r="O25202" s="28"/>
      <c r="U25202" s="28"/>
    </row>
    <row r="25203">
      <c r="N25203" s="28"/>
      <c r="O25203" s="28"/>
      <c r="U25203" s="28"/>
    </row>
    <row r="25204">
      <c r="N25204" s="28"/>
      <c r="O25204" s="28"/>
      <c r="U25204" s="28"/>
    </row>
    <row r="25205">
      <c r="N25205" s="28"/>
      <c r="O25205" s="28"/>
      <c r="U25205" s="28"/>
    </row>
    <row r="25206">
      <c r="N25206" s="28"/>
      <c r="O25206" s="28"/>
      <c r="U25206" s="28"/>
    </row>
    <row r="25207">
      <c r="N25207" s="28"/>
      <c r="O25207" s="28"/>
      <c r="U25207" s="28"/>
    </row>
    <row r="25208">
      <c r="N25208" s="28"/>
      <c r="O25208" s="28"/>
      <c r="U25208" s="28"/>
    </row>
    <row r="25209">
      <c r="N25209" s="28"/>
      <c r="O25209" s="28"/>
      <c r="U25209" s="28"/>
    </row>
    <row r="25210">
      <c r="N25210" s="28"/>
      <c r="O25210" s="28"/>
      <c r="U25210" s="28"/>
    </row>
    <row r="25211">
      <c r="N25211" s="28"/>
      <c r="O25211" s="28"/>
      <c r="U25211" s="28"/>
    </row>
    <row r="25212">
      <c r="N25212" s="28"/>
      <c r="O25212" s="28"/>
      <c r="U25212" s="28"/>
    </row>
    <row r="25213">
      <c r="N25213" s="28"/>
      <c r="O25213" s="28"/>
      <c r="U25213" s="28"/>
    </row>
    <row r="25214">
      <c r="N25214" s="28"/>
      <c r="O25214" s="28"/>
      <c r="U25214" s="28"/>
    </row>
    <row r="25215">
      <c r="N25215" s="28"/>
      <c r="O25215" s="28"/>
      <c r="U25215" s="28"/>
    </row>
    <row r="25216">
      <c r="N25216" s="28"/>
      <c r="O25216" s="28"/>
      <c r="U25216" s="28"/>
    </row>
    <row r="25217">
      <c r="N25217" s="28"/>
      <c r="O25217" s="28"/>
      <c r="U25217" s="28"/>
    </row>
    <row r="25218">
      <c r="N25218" s="28"/>
      <c r="O25218" s="28"/>
      <c r="U25218" s="28"/>
    </row>
    <row r="25219">
      <c r="N25219" s="28"/>
      <c r="O25219" s="28"/>
      <c r="U25219" s="28"/>
    </row>
    <row r="25220">
      <c r="N25220" s="28"/>
      <c r="O25220" s="28"/>
      <c r="U25220" s="28"/>
    </row>
    <row r="25221">
      <c r="N25221" s="28"/>
      <c r="O25221" s="28"/>
      <c r="U25221" s="28"/>
    </row>
    <row r="25222">
      <c r="N25222" s="28"/>
      <c r="O25222" s="28"/>
      <c r="U25222" s="28"/>
    </row>
    <row r="25223">
      <c r="N25223" s="28"/>
      <c r="O25223" s="28"/>
      <c r="U25223" s="28"/>
    </row>
    <row r="25224">
      <c r="N25224" s="28"/>
      <c r="O25224" s="28"/>
      <c r="U25224" s="28"/>
    </row>
    <row r="25225">
      <c r="N25225" s="28"/>
      <c r="O25225" s="28"/>
      <c r="U25225" s="28"/>
    </row>
    <row r="25226">
      <c r="N25226" s="28"/>
      <c r="O25226" s="28"/>
      <c r="U25226" s="28"/>
    </row>
    <row r="25227">
      <c r="N25227" s="28"/>
      <c r="O25227" s="28"/>
      <c r="U25227" s="28"/>
    </row>
    <row r="25228">
      <c r="N25228" s="28"/>
      <c r="O25228" s="28"/>
      <c r="U25228" s="28"/>
    </row>
    <row r="25229">
      <c r="N25229" s="28"/>
      <c r="O25229" s="28"/>
      <c r="U25229" s="28"/>
    </row>
    <row r="25230">
      <c r="N25230" s="28"/>
      <c r="O25230" s="28"/>
      <c r="U25230" s="28"/>
    </row>
    <row r="25231">
      <c r="N25231" s="28"/>
      <c r="O25231" s="28"/>
      <c r="U25231" s="28"/>
    </row>
    <row r="25232">
      <c r="N25232" s="28"/>
      <c r="O25232" s="28"/>
      <c r="U25232" s="28"/>
    </row>
    <row r="25233">
      <c r="N25233" s="28"/>
      <c r="O25233" s="28"/>
      <c r="U25233" s="28"/>
    </row>
    <row r="25234">
      <c r="N25234" s="28"/>
      <c r="O25234" s="28"/>
      <c r="U25234" s="28"/>
    </row>
    <row r="25235">
      <c r="N25235" s="28"/>
      <c r="O25235" s="28"/>
      <c r="U25235" s="28"/>
    </row>
    <row r="25236">
      <c r="N25236" s="28"/>
      <c r="O25236" s="28"/>
      <c r="U25236" s="28"/>
    </row>
    <row r="25237">
      <c r="N25237" s="28"/>
      <c r="O25237" s="28"/>
      <c r="U25237" s="28"/>
    </row>
    <row r="25238">
      <c r="N25238" s="28"/>
      <c r="O25238" s="28"/>
      <c r="U25238" s="28"/>
    </row>
    <row r="25239">
      <c r="N25239" s="28"/>
      <c r="O25239" s="28"/>
      <c r="U25239" s="28"/>
    </row>
    <row r="25240">
      <c r="N25240" s="28"/>
      <c r="O25240" s="28"/>
      <c r="U25240" s="28"/>
    </row>
    <row r="25241">
      <c r="N25241" s="28"/>
      <c r="O25241" s="28"/>
      <c r="U25241" s="28"/>
    </row>
    <row r="25242">
      <c r="N25242" s="28"/>
      <c r="O25242" s="28"/>
      <c r="U25242" s="28"/>
    </row>
    <row r="25243">
      <c r="N25243" s="28"/>
      <c r="O25243" s="28"/>
      <c r="U25243" s="28"/>
    </row>
    <row r="25244">
      <c r="N25244" s="28"/>
      <c r="O25244" s="28"/>
      <c r="U25244" s="28"/>
    </row>
    <row r="25245">
      <c r="N25245" s="28"/>
      <c r="O25245" s="28"/>
      <c r="U25245" s="28"/>
    </row>
    <row r="25246">
      <c r="N25246" s="28"/>
      <c r="O25246" s="28"/>
      <c r="U25246" s="28"/>
    </row>
    <row r="25247">
      <c r="N25247" s="28"/>
      <c r="O25247" s="28"/>
      <c r="U25247" s="28"/>
    </row>
    <row r="25248">
      <c r="N25248" s="28"/>
      <c r="O25248" s="28"/>
      <c r="U25248" s="28"/>
    </row>
    <row r="25249">
      <c r="N25249" s="28"/>
      <c r="O25249" s="28"/>
      <c r="U25249" s="28"/>
    </row>
    <row r="25250">
      <c r="N25250" s="28"/>
      <c r="O25250" s="28"/>
      <c r="U25250" s="28"/>
    </row>
    <row r="25251">
      <c r="N25251" s="28"/>
      <c r="O25251" s="28"/>
      <c r="U25251" s="28"/>
    </row>
    <row r="25252">
      <c r="N25252" s="28"/>
      <c r="O25252" s="28"/>
      <c r="U25252" s="28"/>
    </row>
    <row r="25253">
      <c r="N25253" s="28"/>
      <c r="O25253" s="28"/>
      <c r="U25253" s="28"/>
    </row>
    <row r="25254">
      <c r="N25254" s="28"/>
      <c r="O25254" s="28"/>
      <c r="U25254" s="28"/>
    </row>
    <row r="25255">
      <c r="N25255" s="28"/>
      <c r="O25255" s="28"/>
      <c r="U25255" s="28"/>
    </row>
    <row r="25256">
      <c r="N25256" s="28"/>
      <c r="O25256" s="28"/>
      <c r="U25256" s="28"/>
    </row>
    <row r="25257">
      <c r="N25257" s="28"/>
      <c r="O25257" s="28"/>
      <c r="U25257" s="28"/>
    </row>
    <row r="25258">
      <c r="N25258" s="28"/>
      <c r="O25258" s="28"/>
      <c r="U25258" s="28"/>
    </row>
    <row r="25259">
      <c r="N25259" s="28"/>
      <c r="O25259" s="28"/>
      <c r="U25259" s="28"/>
    </row>
    <row r="25260">
      <c r="N25260" s="28"/>
      <c r="O25260" s="28"/>
      <c r="U25260" s="28"/>
    </row>
    <row r="25261">
      <c r="N25261" s="28"/>
      <c r="O25261" s="28"/>
      <c r="U25261" s="28"/>
    </row>
    <row r="25262">
      <c r="N25262" s="28"/>
      <c r="O25262" s="28"/>
      <c r="U25262" s="28"/>
    </row>
    <row r="25263">
      <c r="N25263" s="28"/>
      <c r="O25263" s="28"/>
      <c r="U25263" s="28"/>
    </row>
    <row r="25264">
      <c r="N25264" s="28"/>
      <c r="O25264" s="28"/>
      <c r="U25264" s="28"/>
    </row>
    <row r="25265">
      <c r="N25265" s="28"/>
      <c r="O25265" s="28"/>
      <c r="U25265" s="28"/>
    </row>
    <row r="25266">
      <c r="N25266" s="28"/>
      <c r="O25266" s="28"/>
      <c r="U25266" s="28"/>
    </row>
    <row r="25267">
      <c r="N25267" s="28"/>
      <c r="O25267" s="28"/>
      <c r="U25267" s="28"/>
    </row>
    <row r="25268">
      <c r="N25268" s="28"/>
      <c r="O25268" s="28"/>
      <c r="U25268" s="28"/>
    </row>
    <row r="25269">
      <c r="N25269" s="28"/>
      <c r="O25269" s="28"/>
      <c r="U25269" s="28"/>
    </row>
    <row r="25270">
      <c r="N25270" s="28"/>
      <c r="O25270" s="28"/>
      <c r="U25270" s="28"/>
    </row>
    <row r="25271">
      <c r="N25271" s="28"/>
      <c r="O25271" s="28"/>
      <c r="U25271" s="28"/>
    </row>
    <row r="25272">
      <c r="N25272" s="28"/>
      <c r="O25272" s="28"/>
      <c r="U25272" s="28"/>
    </row>
    <row r="25273">
      <c r="N25273" s="28"/>
      <c r="O25273" s="28"/>
      <c r="U25273" s="28"/>
    </row>
    <row r="25274">
      <c r="N25274" s="28"/>
      <c r="O25274" s="28"/>
      <c r="U25274" s="28"/>
    </row>
    <row r="25275">
      <c r="N25275" s="28"/>
      <c r="O25275" s="28"/>
      <c r="U25275" s="28"/>
    </row>
    <row r="25276">
      <c r="N25276" s="28"/>
      <c r="O25276" s="28"/>
      <c r="U25276" s="28"/>
    </row>
    <row r="25277">
      <c r="N25277" s="28"/>
      <c r="O25277" s="28"/>
      <c r="U25277" s="28"/>
    </row>
    <row r="25278">
      <c r="N25278" s="28"/>
      <c r="O25278" s="28"/>
      <c r="U25278" s="28"/>
    </row>
    <row r="25279">
      <c r="N25279" s="28"/>
      <c r="O25279" s="28"/>
      <c r="U25279" s="28"/>
    </row>
    <row r="25280">
      <c r="N25280" s="28"/>
      <c r="O25280" s="28"/>
      <c r="U25280" s="28"/>
    </row>
    <row r="25281">
      <c r="N25281" s="28"/>
      <c r="O25281" s="28"/>
      <c r="U25281" s="28"/>
    </row>
    <row r="25282">
      <c r="N25282" s="28"/>
      <c r="O25282" s="28"/>
      <c r="U25282" s="28"/>
    </row>
    <row r="25283">
      <c r="N25283" s="28"/>
      <c r="O25283" s="28"/>
      <c r="U25283" s="28"/>
    </row>
    <row r="25284">
      <c r="N25284" s="28"/>
      <c r="O25284" s="28"/>
      <c r="U25284" s="28"/>
    </row>
    <row r="25285">
      <c r="N25285" s="28"/>
      <c r="O25285" s="28"/>
      <c r="U25285" s="28"/>
    </row>
    <row r="25286">
      <c r="N25286" s="28"/>
      <c r="O25286" s="28"/>
      <c r="U25286" s="28"/>
    </row>
    <row r="25287">
      <c r="N25287" s="28"/>
      <c r="O25287" s="28"/>
      <c r="U25287" s="28"/>
    </row>
    <row r="25288">
      <c r="N25288" s="28"/>
      <c r="O25288" s="28"/>
      <c r="U25288" s="28"/>
    </row>
    <row r="25289">
      <c r="N25289" s="28"/>
      <c r="O25289" s="28"/>
      <c r="U25289" s="28"/>
    </row>
    <row r="25290">
      <c r="N25290" s="28"/>
      <c r="O25290" s="28"/>
      <c r="U25290" s="28"/>
    </row>
    <row r="25291">
      <c r="N25291" s="28"/>
      <c r="O25291" s="28"/>
      <c r="U25291" s="28"/>
    </row>
    <row r="25292">
      <c r="N25292" s="28"/>
      <c r="O25292" s="28"/>
      <c r="U25292" s="28"/>
    </row>
    <row r="25293">
      <c r="N25293" s="28"/>
      <c r="O25293" s="28"/>
      <c r="U25293" s="28"/>
    </row>
    <row r="25294">
      <c r="N25294" s="28"/>
      <c r="O25294" s="28"/>
      <c r="U25294" s="28"/>
    </row>
    <row r="25295">
      <c r="N25295" s="28"/>
      <c r="O25295" s="28"/>
      <c r="U25295" s="28"/>
    </row>
    <row r="25296">
      <c r="N25296" s="28"/>
      <c r="O25296" s="28"/>
      <c r="U25296" s="28"/>
    </row>
    <row r="25297">
      <c r="N25297" s="28"/>
      <c r="O25297" s="28"/>
      <c r="U25297" s="28"/>
    </row>
    <row r="25298">
      <c r="N25298" s="28"/>
      <c r="O25298" s="28"/>
      <c r="U25298" s="28"/>
    </row>
    <row r="25299">
      <c r="N25299" s="28"/>
      <c r="O25299" s="28"/>
      <c r="U25299" s="28"/>
    </row>
    <row r="25300">
      <c r="N25300" s="28"/>
      <c r="O25300" s="28"/>
      <c r="U25300" s="28"/>
    </row>
    <row r="25301">
      <c r="N25301" s="28"/>
      <c r="O25301" s="28"/>
      <c r="U25301" s="28"/>
    </row>
    <row r="25302">
      <c r="N25302" s="28"/>
      <c r="O25302" s="28"/>
      <c r="U25302" s="28"/>
    </row>
    <row r="25303">
      <c r="N25303" s="28"/>
      <c r="O25303" s="28"/>
      <c r="U25303" s="28"/>
    </row>
    <row r="25304">
      <c r="N25304" s="28"/>
      <c r="O25304" s="28"/>
      <c r="U25304" s="28"/>
    </row>
    <row r="25305">
      <c r="N25305" s="28"/>
      <c r="O25305" s="28"/>
      <c r="U25305" s="28"/>
    </row>
    <row r="25306">
      <c r="N25306" s="28"/>
      <c r="O25306" s="28"/>
      <c r="U25306" s="28"/>
    </row>
    <row r="25307">
      <c r="N25307" s="28"/>
      <c r="O25307" s="28"/>
      <c r="U25307" s="28"/>
    </row>
    <row r="25308">
      <c r="N25308" s="28"/>
      <c r="O25308" s="28"/>
      <c r="U25308" s="28"/>
    </row>
    <row r="25309">
      <c r="N25309" s="28"/>
      <c r="O25309" s="28"/>
      <c r="U25309" s="28"/>
    </row>
    <row r="25310">
      <c r="N25310" s="28"/>
      <c r="O25310" s="28"/>
      <c r="U25310" s="28"/>
    </row>
    <row r="25311">
      <c r="N25311" s="28"/>
      <c r="O25311" s="28"/>
      <c r="U25311" s="28"/>
    </row>
    <row r="25312">
      <c r="N25312" s="28"/>
      <c r="O25312" s="28"/>
      <c r="U25312" s="28"/>
    </row>
    <row r="25313">
      <c r="N25313" s="28"/>
      <c r="O25313" s="28"/>
      <c r="U25313" s="28"/>
    </row>
    <row r="25314">
      <c r="N25314" s="28"/>
      <c r="O25314" s="28"/>
      <c r="U25314" s="28"/>
    </row>
    <row r="25315">
      <c r="N25315" s="28"/>
      <c r="O25315" s="28"/>
      <c r="U25315" s="28"/>
    </row>
    <row r="25316">
      <c r="N25316" s="28"/>
      <c r="O25316" s="28"/>
      <c r="U25316" s="28"/>
    </row>
    <row r="25317">
      <c r="N25317" s="28"/>
      <c r="O25317" s="28"/>
      <c r="U25317" s="28"/>
    </row>
    <row r="25318">
      <c r="N25318" s="28"/>
      <c r="O25318" s="28"/>
      <c r="U25318" s="28"/>
    </row>
    <row r="25319">
      <c r="N25319" s="28"/>
      <c r="O25319" s="28"/>
      <c r="U25319" s="28"/>
    </row>
    <row r="25320">
      <c r="N25320" s="28"/>
      <c r="O25320" s="28"/>
      <c r="U25320" s="28"/>
    </row>
    <row r="25321">
      <c r="N25321" s="28"/>
      <c r="O25321" s="28"/>
      <c r="U25321" s="28"/>
    </row>
    <row r="25322">
      <c r="N25322" s="28"/>
      <c r="O25322" s="28"/>
      <c r="U25322" s="28"/>
    </row>
    <row r="25323">
      <c r="N25323" s="28"/>
      <c r="O25323" s="28"/>
      <c r="U25323" s="28"/>
    </row>
    <row r="25324">
      <c r="N25324" s="28"/>
      <c r="O25324" s="28"/>
      <c r="U25324" s="28"/>
    </row>
    <row r="25325">
      <c r="N25325" s="28"/>
      <c r="O25325" s="28"/>
      <c r="U25325" s="28"/>
    </row>
    <row r="25326">
      <c r="N25326" s="28"/>
      <c r="O25326" s="28"/>
      <c r="U25326" s="28"/>
    </row>
    <row r="25327">
      <c r="N25327" s="28"/>
      <c r="O25327" s="28"/>
      <c r="U25327" s="28"/>
    </row>
    <row r="25328">
      <c r="N25328" s="28"/>
      <c r="O25328" s="28"/>
      <c r="U25328" s="28"/>
    </row>
    <row r="25329">
      <c r="N25329" s="28"/>
      <c r="O25329" s="28"/>
      <c r="U25329" s="28"/>
    </row>
    <row r="25330">
      <c r="N25330" s="28"/>
      <c r="O25330" s="28"/>
      <c r="U25330" s="28"/>
    </row>
    <row r="25331">
      <c r="N25331" s="28"/>
      <c r="O25331" s="28"/>
      <c r="U25331" s="28"/>
    </row>
    <row r="25332">
      <c r="N25332" s="28"/>
      <c r="O25332" s="28"/>
      <c r="U25332" s="28"/>
    </row>
    <row r="25333">
      <c r="N25333" s="28"/>
      <c r="O25333" s="28"/>
      <c r="U25333" s="28"/>
    </row>
    <row r="25334">
      <c r="N25334" s="28"/>
      <c r="O25334" s="28"/>
      <c r="U25334" s="28"/>
    </row>
    <row r="25335">
      <c r="N25335" s="28"/>
      <c r="O25335" s="28"/>
      <c r="U25335" s="28"/>
    </row>
    <row r="25336">
      <c r="N25336" s="28"/>
      <c r="O25336" s="28"/>
      <c r="U25336" s="28"/>
    </row>
    <row r="25337">
      <c r="N25337" s="28"/>
      <c r="O25337" s="28"/>
      <c r="U25337" s="28"/>
    </row>
    <row r="25338">
      <c r="N25338" s="28"/>
      <c r="O25338" s="28"/>
      <c r="U25338" s="28"/>
    </row>
    <row r="25339">
      <c r="N25339" s="28"/>
      <c r="O25339" s="28"/>
      <c r="U25339" s="28"/>
    </row>
    <row r="25340">
      <c r="N25340" s="28"/>
      <c r="O25340" s="28"/>
      <c r="U25340" s="28"/>
    </row>
    <row r="25341">
      <c r="N25341" s="28"/>
      <c r="O25341" s="28"/>
      <c r="U25341" s="28"/>
    </row>
    <row r="25342">
      <c r="N25342" s="28"/>
      <c r="O25342" s="28"/>
      <c r="U25342" s="28"/>
    </row>
    <row r="25343">
      <c r="N25343" s="28"/>
      <c r="O25343" s="28"/>
      <c r="U25343" s="28"/>
    </row>
    <row r="25344">
      <c r="N25344" s="28"/>
      <c r="O25344" s="28"/>
      <c r="U25344" s="28"/>
    </row>
    <row r="25345">
      <c r="N25345" s="28"/>
      <c r="O25345" s="28"/>
      <c r="U25345" s="28"/>
    </row>
    <row r="25346">
      <c r="N25346" s="28"/>
      <c r="O25346" s="28"/>
      <c r="U25346" s="28"/>
    </row>
    <row r="25347">
      <c r="N25347" s="28"/>
      <c r="O25347" s="28"/>
      <c r="U25347" s="28"/>
    </row>
    <row r="25348">
      <c r="N25348" s="28"/>
      <c r="O25348" s="28"/>
      <c r="U25348" s="28"/>
    </row>
    <row r="25349">
      <c r="N25349" s="28"/>
      <c r="O25349" s="28"/>
      <c r="U25349" s="28"/>
    </row>
    <row r="25350">
      <c r="N25350" s="28"/>
      <c r="O25350" s="28"/>
      <c r="U25350" s="28"/>
    </row>
    <row r="25351">
      <c r="N25351" s="28"/>
      <c r="O25351" s="28"/>
      <c r="U25351" s="28"/>
    </row>
    <row r="25352">
      <c r="N25352" s="28"/>
      <c r="O25352" s="28"/>
      <c r="U25352" s="28"/>
    </row>
    <row r="25353">
      <c r="N25353" s="28"/>
      <c r="O25353" s="28"/>
      <c r="U25353" s="28"/>
    </row>
    <row r="25354">
      <c r="N25354" s="28"/>
      <c r="O25354" s="28"/>
      <c r="U25354" s="28"/>
    </row>
    <row r="25355">
      <c r="N25355" s="28"/>
      <c r="O25355" s="28"/>
      <c r="U25355" s="28"/>
    </row>
    <row r="25356">
      <c r="N25356" s="28"/>
      <c r="O25356" s="28"/>
      <c r="U25356" s="28"/>
    </row>
    <row r="25357">
      <c r="N25357" s="28"/>
      <c r="O25357" s="28"/>
      <c r="U25357" s="28"/>
    </row>
    <row r="25358">
      <c r="N25358" s="28"/>
      <c r="O25358" s="28"/>
      <c r="U25358" s="28"/>
    </row>
    <row r="25359">
      <c r="N25359" s="28"/>
      <c r="O25359" s="28"/>
      <c r="U25359" s="28"/>
    </row>
    <row r="25360">
      <c r="N25360" s="28"/>
      <c r="O25360" s="28"/>
      <c r="U25360" s="28"/>
    </row>
    <row r="25361">
      <c r="N25361" s="28"/>
      <c r="O25361" s="28"/>
      <c r="U25361" s="28"/>
    </row>
    <row r="25362">
      <c r="N25362" s="28"/>
      <c r="O25362" s="28"/>
      <c r="U25362" s="28"/>
    </row>
    <row r="25363">
      <c r="N25363" s="28"/>
      <c r="O25363" s="28"/>
      <c r="U25363" s="28"/>
    </row>
    <row r="25364">
      <c r="N25364" s="28"/>
      <c r="O25364" s="28"/>
      <c r="U25364" s="28"/>
    </row>
    <row r="25365">
      <c r="N25365" s="28"/>
      <c r="O25365" s="28"/>
      <c r="U25365" s="28"/>
    </row>
    <row r="25366">
      <c r="N25366" s="28"/>
      <c r="O25366" s="28"/>
      <c r="U25366" s="28"/>
    </row>
    <row r="25367">
      <c r="N25367" s="28"/>
      <c r="O25367" s="28"/>
      <c r="U25367" s="28"/>
    </row>
    <row r="25368">
      <c r="N25368" s="28"/>
      <c r="O25368" s="28"/>
      <c r="U25368" s="28"/>
    </row>
    <row r="25369">
      <c r="N25369" s="28"/>
      <c r="O25369" s="28"/>
      <c r="U25369" s="28"/>
    </row>
    <row r="25370">
      <c r="N25370" s="28"/>
      <c r="O25370" s="28"/>
      <c r="U25370" s="28"/>
    </row>
    <row r="25371">
      <c r="N25371" s="28"/>
      <c r="O25371" s="28"/>
      <c r="U25371" s="28"/>
    </row>
    <row r="25372">
      <c r="N25372" s="28"/>
      <c r="O25372" s="28"/>
      <c r="U25372" s="28"/>
    </row>
    <row r="25373">
      <c r="N25373" s="28"/>
      <c r="O25373" s="28"/>
      <c r="U25373" s="28"/>
    </row>
    <row r="25374">
      <c r="N25374" s="28"/>
      <c r="O25374" s="28"/>
      <c r="U25374" s="28"/>
    </row>
    <row r="25375">
      <c r="N25375" s="28"/>
      <c r="O25375" s="28"/>
      <c r="U25375" s="28"/>
    </row>
    <row r="25376">
      <c r="N25376" s="28"/>
      <c r="O25376" s="28"/>
      <c r="U25376" s="28"/>
    </row>
    <row r="25377">
      <c r="N25377" s="28"/>
      <c r="O25377" s="28"/>
      <c r="U25377" s="28"/>
    </row>
    <row r="25378">
      <c r="N25378" s="28"/>
      <c r="O25378" s="28"/>
      <c r="U25378" s="28"/>
    </row>
    <row r="25379">
      <c r="N25379" s="28"/>
      <c r="O25379" s="28"/>
      <c r="U25379" s="28"/>
    </row>
    <row r="25380">
      <c r="N25380" s="28"/>
      <c r="O25380" s="28"/>
      <c r="U25380" s="28"/>
    </row>
    <row r="25381">
      <c r="N25381" s="28"/>
      <c r="O25381" s="28"/>
      <c r="U25381" s="28"/>
    </row>
    <row r="25382">
      <c r="N25382" s="28"/>
      <c r="O25382" s="28"/>
      <c r="U25382" s="28"/>
    </row>
    <row r="25383">
      <c r="N25383" s="28"/>
      <c r="O25383" s="28"/>
      <c r="U25383" s="28"/>
    </row>
    <row r="25384">
      <c r="N25384" s="28"/>
      <c r="O25384" s="28"/>
      <c r="U25384" s="28"/>
    </row>
    <row r="25385">
      <c r="N25385" s="28"/>
      <c r="O25385" s="28"/>
      <c r="U25385" s="28"/>
    </row>
    <row r="25386">
      <c r="N25386" s="28"/>
      <c r="O25386" s="28"/>
      <c r="U25386" s="28"/>
    </row>
    <row r="25387">
      <c r="N25387" s="28"/>
      <c r="O25387" s="28"/>
      <c r="U25387" s="28"/>
    </row>
    <row r="25388">
      <c r="N25388" s="28"/>
      <c r="O25388" s="28"/>
      <c r="U25388" s="28"/>
    </row>
    <row r="25389">
      <c r="N25389" s="28"/>
      <c r="O25389" s="28"/>
      <c r="U25389" s="28"/>
    </row>
    <row r="25390">
      <c r="N25390" s="28"/>
      <c r="O25390" s="28"/>
      <c r="U25390" s="28"/>
    </row>
    <row r="25391">
      <c r="N25391" s="28"/>
      <c r="O25391" s="28"/>
      <c r="U25391" s="28"/>
    </row>
    <row r="25392">
      <c r="N25392" s="28"/>
      <c r="O25392" s="28"/>
      <c r="U25392" s="28"/>
    </row>
    <row r="25393">
      <c r="N25393" s="28"/>
      <c r="O25393" s="28"/>
      <c r="U25393" s="28"/>
    </row>
    <row r="25394">
      <c r="N25394" s="28"/>
      <c r="O25394" s="28"/>
      <c r="U25394" s="28"/>
    </row>
    <row r="25395">
      <c r="N25395" s="28"/>
      <c r="O25395" s="28"/>
      <c r="U25395" s="28"/>
    </row>
    <row r="25396">
      <c r="N25396" s="28"/>
      <c r="O25396" s="28"/>
      <c r="U25396" s="28"/>
    </row>
    <row r="25397">
      <c r="N25397" s="28"/>
      <c r="O25397" s="28"/>
      <c r="U25397" s="28"/>
    </row>
    <row r="25398">
      <c r="N25398" s="28"/>
      <c r="O25398" s="28"/>
      <c r="U25398" s="28"/>
    </row>
    <row r="25399">
      <c r="N25399" s="28"/>
      <c r="O25399" s="28"/>
      <c r="U25399" s="28"/>
    </row>
    <row r="25400">
      <c r="N25400" s="28"/>
      <c r="O25400" s="28"/>
      <c r="U25400" s="28"/>
    </row>
    <row r="25401">
      <c r="N25401" s="28"/>
      <c r="O25401" s="28"/>
      <c r="U25401" s="28"/>
    </row>
    <row r="25402">
      <c r="N25402" s="28"/>
      <c r="O25402" s="28"/>
      <c r="U25402" s="28"/>
    </row>
    <row r="25403">
      <c r="N25403" s="28"/>
      <c r="O25403" s="28"/>
      <c r="U25403" s="28"/>
    </row>
    <row r="25404">
      <c r="N25404" s="28"/>
      <c r="O25404" s="28"/>
      <c r="U25404" s="28"/>
    </row>
    <row r="25405">
      <c r="N25405" s="28"/>
      <c r="O25405" s="28"/>
      <c r="U25405" s="28"/>
    </row>
    <row r="25406">
      <c r="N25406" s="28"/>
      <c r="O25406" s="28"/>
      <c r="U25406" s="28"/>
    </row>
    <row r="25407">
      <c r="N25407" s="28"/>
      <c r="O25407" s="28"/>
      <c r="U25407" s="28"/>
    </row>
    <row r="25408">
      <c r="N25408" s="28"/>
      <c r="O25408" s="28"/>
      <c r="U25408" s="28"/>
    </row>
    <row r="25409">
      <c r="N25409" s="28"/>
      <c r="O25409" s="28"/>
      <c r="U25409" s="28"/>
    </row>
    <row r="25410">
      <c r="N25410" s="28"/>
      <c r="O25410" s="28"/>
      <c r="U25410" s="28"/>
    </row>
    <row r="25411">
      <c r="N25411" s="28"/>
      <c r="O25411" s="28"/>
      <c r="U25411" s="28"/>
    </row>
    <row r="25412">
      <c r="N25412" s="28"/>
      <c r="O25412" s="28"/>
      <c r="U25412" s="28"/>
    </row>
    <row r="25413">
      <c r="N25413" s="28"/>
      <c r="O25413" s="28"/>
      <c r="U25413" s="28"/>
    </row>
    <row r="25414">
      <c r="N25414" s="28"/>
      <c r="O25414" s="28"/>
      <c r="U25414" s="28"/>
    </row>
    <row r="25415">
      <c r="N25415" s="28"/>
      <c r="O25415" s="28"/>
      <c r="U25415" s="28"/>
    </row>
    <row r="25416">
      <c r="N25416" s="28"/>
      <c r="O25416" s="28"/>
      <c r="U25416" s="28"/>
    </row>
    <row r="25417">
      <c r="N25417" s="28"/>
      <c r="O25417" s="28"/>
      <c r="U25417" s="28"/>
    </row>
    <row r="25418">
      <c r="N25418" s="28"/>
      <c r="O25418" s="28"/>
      <c r="U25418" s="28"/>
    </row>
    <row r="25419">
      <c r="N25419" s="28"/>
      <c r="O25419" s="28"/>
      <c r="U25419" s="28"/>
    </row>
    <row r="25420">
      <c r="N25420" s="28"/>
      <c r="O25420" s="28"/>
      <c r="U25420" s="28"/>
    </row>
    <row r="25421">
      <c r="N25421" s="28"/>
      <c r="O25421" s="28"/>
      <c r="U25421" s="28"/>
    </row>
    <row r="25422">
      <c r="N25422" s="28"/>
      <c r="O25422" s="28"/>
      <c r="U25422" s="28"/>
    </row>
    <row r="25423">
      <c r="N25423" s="28"/>
      <c r="O25423" s="28"/>
      <c r="U25423" s="28"/>
    </row>
    <row r="25424">
      <c r="N25424" s="28"/>
      <c r="O25424" s="28"/>
      <c r="U25424" s="28"/>
    </row>
    <row r="25425">
      <c r="N25425" s="28"/>
      <c r="O25425" s="28"/>
      <c r="U25425" s="28"/>
    </row>
    <row r="25426">
      <c r="N25426" s="28"/>
      <c r="O25426" s="28"/>
      <c r="U25426" s="28"/>
    </row>
    <row r="25427">
      <c r="N25427" s="28"/>
      <c r="O25427" s="28"/>
      <c r="U25427" s="28"/>
    </row>
    <row r="25428">
      <c r="N25428" s="28"/>
      <c r="O25428" s="28"/>
      <c r="U25428" s="28"/>
    </row>
    <row r="25429">
      <c r="N25429" s="28"/>
      <c r="O25429" s="28"/>
      <c r="U25429" s="28"/>
    </row>
    <row r="25430">
      <c r="N25430" s="28"/>
      <c r="O25430" s="28"/>
      <c r="U25430" s="28"/>
    </row>
    <row r="25431">
      <c r="N25431" s="28"/>
      <c r="O25431" s="28"/>
      <c r="U25431" s="28"/>
    </row>
    <row r="25432">
      <c r="N25432" s="28"/>
      <c r="O25432" s="28"/>
      <c r="U25432" s="28"/>
    </row>
    <row r="25433">
      <c r="N25433" s="28"/>
      <c r="O25433" s="28"/>
      <c r="U25433" s="28"/>
    </row>
    <row r="25434">
      <c r="N25434" s="28"/>
      <c r="O25434" s="28"/>
      <c r="U25434" s="28"/>
    </row>
    <row r="25435">
      <c r="N25435" s="28"/>
      <c r="O25435" s="28"/>
      <c r="U25435" s="28"/>
    </row>
    <row r="25436">
      <c r="N25436" s="28"/>
      <c r="O25436" s="28"/>
      <c r="U25436" s="28"/>
    </row>
    <row r="25437">
      <c r="N25437" s="28"/>
      <c r="O25437" s="28"/>
      <c r="U25437" s="28"/>
    </row>
    <row r="25438">
      <c r="N25438" s="28"/>
      <c r="O25438" s="28"/>
      <c r="U25438" s="28"/>
    </row>
    <row r="25439">
      <c r="N25439" s="28"/>
      <c r="O25439" s="28"/>
      <c r="U25439" s="28"/>
    </row>
    <row r="25440">
      <c r="N25440" s="28"/>
      <c r="O25440" s="28"/>
      <c r="U25440" s="28"/>
    </row>
    <row r="25441">
      <c r="N25441" s="28"/>
      <c r="O25441" s="28"/>
      <c r="U25441" s="28"/>
    </row>
    <row r="25442">
      <c r="N25442" s="28"/>
      <c r="O25442" s="28"/>
      <c r="U25442" s="28"/>
    </row>
    <row r="25443">
      <c r="N25443" s="28"/>
      <c r="O25443" s="28"/>
      <c r="U25443" s="28"/>
    </row>
    <row r="25444">
      <c r="N25444" s="28"/>
      <c r="O25444" s="28"/>
      <c r="U25444" s="28"/>
    </row>
    <row r="25445">
      <c r="N25445" s="28"/>
      <c r="O25445" s="28"/>
      <c r="U25445" s="28"/>
    </row>
    <row r="25446">
      <c r="N25446" s="28"/>
      <c r="O25446" s="28"/>
      <c r="U25446" s="28"/>
    </row>
    <row r="25447">
      <c r="N25447" s="28"/>
      <c r="O25447" s="28"/>
      <c r="U25447" s="28"/>
    </row>
    <row r="25448">
      <c r="N25448" s="28"/>
      <c r="O25448" s="28"/>
      <c r="U25448" s="28"/>
    </row>
    <row r="25449">
      <c r="N25449" s="28"/>
      <c r="O25449" s="28"/>
      <c r="U25449" s="28"/>
    </row>
    <row r="25450">
      <c r="N25450" s="28"/>
      <c r="O25450" s="28"/>
      <c r="U25450" s="28"/>
    </row>
    <row r="25451">
      <c r="N25451" s="28"/>
      <c r="O25451" s="28"/>
      <c r="U25451" s="28"/>
    </row>
    <row r="25452">
      <c r="N25452" s="28"/>
      <c r="O25452" s="28"/>
      <c r="U25452" s="28"/>
    </row>
    <row r="25453">
      <c r="N25453" s="28"/>
      <c r="O25453" s="28"/>
      <c r="U25453" s="28"/>
    </row>
    <row r="25454">
      <c r="N25454" s="28"/>
      <c r="O25454" s="28"/>
      <c r="U25454" s="28"/>
    </row>
    <row r="25455">
      <c r="N25455" s="28"/>
      <c r="O25455" s="28"/>
      <c r="U25455" s="28"/>
    </row>
    <row r="25456">
      <c r="N25456" s="28"/>
      <c r="O25456" s="28"/>
      <c r="U25456" s="28"/>
    </row>
    <row r="25457">
      <c r="N25457" s="28"/>
      <c r="O25457" s="28"/>
      <c r="U25457" s="28"/>
    </row>
    <row r="25458">
      <c r="N25458" s="28"/>
      <c r="O25458" s="28"/>
      <c r="U25458" s="28"/>
    </row>
    <row r="25459">
      <c r="N25459" s="28"/>
      <c r="O25459" s="28"/>
      <c r="U25459" s="28"/>
    </row>
    <row r="25460">
      <c r="N25460" s="28"/>
      <c r="O25460" s="28"/>
      <c r="U25460" s="28"/>
    </row>
    <row r="25461">
      <c r="N25461" s="28"/>
      <c r="O25461" s="28"/>
      <c r="U25461" s="28"/>
    </row>
    <row r="25462">
      <c r="N25462" s="28"/>
      <c r="O25462" s="28"/>
      <c r="U25462" s="28"/>
    </row>
    <row r="25463">
      <c r="N25463" s="28"/>
      <c r="O25463" s="28"/>
      <c r="U25463" s="28"/>
    </row>
    <row r="25464">
      <c r="N25464" s="28"/>
      <c r="O25464" s="28"/>
      <c r="U25464" s="28"/>
    </row>
    <row r="25465">
      <c r="N25465" s="28"/>
      <c r="O25465" s="28"/>
      <c r="U25465" s="28"/>
    </row>
    <row r="25466">
      <c r="N25466" s="28"/>
      <c r="O25466" s="28"/>
      <c r="U25466" s="28"/>
    </row>
    <row r="25467">
      <c r="N25467" s="28"/>
      <c r="O25467" s="28"/>
      <c r="U25467" s="28"/>
    </row>
    <row r="25468">
      <c r="N25468" s="28"/>
      <c r="O25468" s="28"/>
      <c r="U25468" s="28"/>
    </row>
    <row r="25469">
      <c r="N25469" s="28"/>
      <c r="O25469" s="28"/>
      <c r="U25469" s="28"/>
    </row>
    <row r="25470">
      <c r="N25470" s="28"/>
      <c r="O25470" s="28"/>
      <c r="U25470" s="28"/>
    </row>
    <row r="25471">
      <c r="N25471" s="28"/>
      <c r="O25471" s="28"/>
      <c r="U25471" s="28"/>
    </row>
    <row r="25472">
      <c r="N25472" s="28"/>
      <c r="O25472" s="28"/>
      <c r="U25472" s="28"/>
    </row>
    <row r="25473">
      <c r="N25473" s="28"/>
      <c r="O25473" s="28"/>
      <c r="U25473" s="28"/>
    </row>
    <row r="25474">
      <c r="N25474" s="28"/>
      <c r="O25474" s="28"/>
      <c r="U25474" s="28"/>
    </row>
    <row r="25475">
      <c r="N25475" s="28"/>
      <c r="O25475" s="28"/>
      <c r="U25475" s="28"/>
    </row>
    <row r="25476">
      <c r="N25476" s="28"/>
      <c r="O25476" s="28"/>
      <c r="U25476" s="28"/>
    </row>
    <row r="25477">
      <c r="N25477" s="28"/>
      <c r="O25477" s="28"/>
      <c r="U25477" s="28"/>
    </row>
    <row r="25478">
      <c r="N25478" s="28"/>
      <c r="O25478" s="28"/>
      <c r="U25478" s="28"/>
    </row>
    <row r="25479">
      <c r="N25479" s="28"/>
      <c r="O25479" s="28"/>
      <c r="U25479" s="28"/>
    </row>
    <row r="25480">
      <c r="N25480" s="28"/>
      <c r="O25480" s="28"/>
      <c r="U25480" s="28"/>
    </row>
    <row r="25481">
      <c r="N25481" s="28"/>
      <c r="O25481" s="28"/>
      <c r="U25481" s="28"/>
    </row>
    <row r="25482">
      <c r="N25482" s="28"/>
      <c r="O25482" s="28"/>
      <c r="U25482" s="28"/>
    </row>
    <row r="25483">
      <c r="N25483" s="28"/>
      <c r="O25483" s="28"/>
      <c r="U25483" s="28"/>
    </row>
    <row r="25484">
      <c r="N25484" s="28"/>
      <c r="O25484" s="28"/>
      <c r="U25484" s="28"/>
    </row>
    <row r="25485">
      <c r="N25485" s="28"/>
      <c r="O25485" s="28"/>
      <c r="U25485" s="28"/>
    </row>
    <row r="25486">
      <c r="N25486" s="28"/>
      <c r="O25486" s="28"/>
      <c r="U25486" s="28"/>
    </row>
    <row r="25487">
      <c r="N25487" s="28"/>
      <c r="O25487" s="28"/>
      <c r="U25487" s="28"/>
    </row>
    <row r="25488">
      <c r="N25488" s="28"/>
      <c r="O25488" s="28"/>
      <c r="U25488" s="28"/>
    </row>
    <row r="25489">
      <c r="N25489" s="28"/>
      <c r="O25489" s="28"/>
      <c r="U25489" s="28"/>
    </row>
    <row r="25490">
      <c r="N25490" s="28"/>
      <c r="O25490" s="28"/>
      <c r="U25490" s="28"/>
    </row>
    <row r="25491">
      <c r="N25491" s="28"/>
      <c r="O25491" s="28"/>
      <c r="U25491" s="28"/>
    </row>
    <row r="25492">
      <c r="N25492" s="28"/>
      <c r="O25492" s="28"/>
      <c r="U25492" s="28"/>
    </row>
    <row r="25493">
      <c r="N25493" s="28"/>
      <c r="O25493" s="28"/>
      <c r="U25493" s="28"/>
    </row>
    <row r="25494">
      <c r="N25494" s="28"/>
      <c r="O25494" s="28"/>
      <c r="U25494" s="28"/>
    </row>
    <row r="25495">
      <c r="N25495" s="28"/>
      <c r="O25495" s="28"/>
      <c r="U25495" s="28"/>
    </row>
    <row r="25496">
      <c r="N25496" s="28"/>
      <c r="O25496" s="28"/>
      <c r="U25496" s="28"/>
    </row>
    <row r="25497">
      <c r="N25497" s="28"/>
      <c r="O25497" s="28"/>
      <c r="U25497" s="28"/>
    </row>
    <row r="25498">
      <c r="N25498" s="28"/>
      <c r="O25498" s="28"/>
      <c r="U25498" s="28"/>
    </row>
    <row r="25499">
      <c r="N25499" s="28"/>
      <c r="O25499" s="28"/>
      <c r="U25499" s="28"/>
    </row>
    <row r="25500">
      <c r="N25500" s="28"/>
      <c r="O25500" s="28"/>
      <c r="U25500" s="28"/>
    </row>
    <row r="25501">
      <c r="N25501" s="28"/>
      <c r="O25501" s="28"/>
      <c r="U25501" s="28"/>
    </row>
    <row r="25502">
      <c r="N25502" s="28"/>
      <c r="O25502" s="28"/>
      <c r="U25502" s="28"/>
    </row>
    <row r="25503">
      <c r="N25503" s="28"/>
      <c r="O25503" s="28"/>
      <c r="U25503" s="28"/>
    </row>
    <row r="25504">
      <c r="N25504" s="28"/>
      <c r="O25504" s="28"/>
      <c r="U25504" s="28"/>
    </row>
    <row r="25505">
      <c r="N25505" s="28"/>
      <c r="O25505" s="28"/>
      <c r="U25505" s="28"/>
    </row>
    <row r="25506">
      <c r="N25506" s="28"/>
      <c r="O25506" s="28"/>
      <c r="U25506" s="28"/>
    </row>
    <row r="25507">
      <c r="N25507" s="28"/>
      <c r="O25507" s="28"/>
      <c r="U25507" s="28"/>
    </row>
    <row r="25508">
      <c r="N25508" s="28"/>
      <c r="O25508" s="28"/>
      <c r="U25508" s="28"/>
    </row>
    <row r="25509">
      <c r="N25509" s="28"/>
      <c r="O25509" s="28"/>
      <c r="U25509" s="28"/>
    </row>
    <row r="25510">
      <c r="N25510" s="28"/>
      <c r="O25510" s="28"/>
      <c r="U25510" s="28"/>
    </row>
    <row r="25511">
      <c r="N25511" s="28"/>
      <c r="O25511" s="28"/>
      <c r="U25511" s="28"/>
    </row>
    <row r="25512">
      <c r="N25512" s="28"/>
      <c r="O25512" s="28"/>
      <c r="U25512" s="28"/>
    </row>
    <row r="25513">
      <c r="N25513" s="28"/>
      <c r="O25513" s="28"/>
      <c r="U25513" s="28"/>
    </row>
    <row r="25514">
      <c r="N25514" s="28"/>
      <c r="O25514" s="28"/>
      <c r="U25514" s="28"/>
    </row>
    <row r="25515">
      <c r="N25515" s="28"/>
      <c r="O25515" s="28"/>
      <c r="U25515" s="28"/>
    </row>
    <row r="25516">
      <c r="N25516" s="28"/>
      <c r="O25516" s="28"/>
      <c r="U25516" s="28"/>
    </row>
    <row r="25517">
      <c r="N25517" s="28"/>
      <c r="O25517" s="28"/>
      <c r="U25517" s="28"/>
    </row>
    <row r="25518">
      <c r="N25518" s="28"/>
      <c r="O25518" s="28"/>
      <c r="U25518" s="28"/>
    </row>
    <row r="25519">
      <c r="N25519" s="28"/>
      <c r="O25519" s="28"/>
      <c r="U25519" s="28"/>
    </row>
    <row r="25520">
      <c r="N25520" s="28"/>
      <c r="O25520" s="28"/>
      <c r="U25520" s="28"/>
    </row>
    <row r="25521">
      <c r="N25521" s="28"/>
      <c r="O25521" s="28"/>
      <c r="U25521" s="28"/>
    </row>
    <row r="25522">
      <c r="N25522" s="28"/>
      <c r="O25522" s="28"/>
      <c r="U25522" s="28"/>
    </row>
    <row r="25523">
      <c r="N25523" s="28"/>
      <c r="O25523" s="28"/>
      <c r="U25523" s="28"/>
    </row>
    <row r="25524">
      <c r="N25524" s="28"/>
      <c r="O25524" s="28"/>
      <c r="U25524" s="28"/>
    </row>
    <row r="25525">
      <c r="N25525" s="28"/>
      <c r="O25525" s="28"/>
      <c r="U25525" s="28"/>
    </row>
    <row r="25526">
      <c r="N25526" s="28"/>
      <c r="O25526" s="28"/>
      <c r="U25526" s="28"/>
    </row>
    <row r="25527">
      <c r="N25527" s="28"/>
      <c r="O25527" s="28"/>
      <c r="U25527" s="28"/>
    </row>
    <row r="25528">
      <c r="N25528" s="28"/>
      <c r="O25528" s="28"/>
      <c r="U25528" s="28"/>
    </row>
    <row r="25529">
      <c r="N25529" s="28"/>
      <c r="O25529" s="28"/>
      <c r="U25529" s="28"/>
    </row>
    <row r="25530">
      <c r="N25530" s="28"/>
      <c r="O25530" s="28"/>
      <c r="U25530" s="28"/>
    </row>
    <row r="25531">
      <c r="N25531" s="28"/>
      <c r="O25531" s="28"/>
      <c r="U25531" s="28"/>
    </row>
    <row r="25532">
      <c r="N25532" s="28"/>
      <c r="O25532" s="28"/>
      <c r="U25532" s="28"/>
    </row>
    <row r="25533">
      <c r="N25533" s="28"/>
      <c r="O25533" s="28"/>
      <c r="U25533" s="28"/>
    </row>
    <row r="25534">
      <c r="N25534" s="28"/>
      <c r="O25534" s="28"/>
      <c r="U25534" s="28"/>
    </row>
    <row r="25535">
      <c r="N25535" s="28"/>
      <c r="O25535" s="28"/>
      <c r="U25535" s="28"/>
    </row>
    <row r="25536">
      <c r="N25536" s="28"/>
      <c r="O25536" s="28"/>
      <c r="U25536" s="28"/>
    </row>
    <row r="25537">
      <c r="N25537" s="28"/>
      <c r="O25537" s="28"/>
      <c r="U25537" s="28"/>
    </row>
    <row r="25538">
      <c r="N25538" s="28"/>
      <c r="O25538" s="28"/>
      <c r="U25538" s="28"/>
    </row>
    <row r="25539">
      <c r="N25539" s="28"/>
      <c r="O25539" s="28"/>
      <c r="U25539" s="28"/>
    </row>
    <row r="25540">
      <c r="N25540" s="28"/>
      <c r="O25540" s="28"/>
      <c r="U25540" s="28"/>
    </row>
    <row r="25541">
      <c r="N25541" s="28"/>
      <c r="O25541" s="28"/>
      <c r="U25541" s="28"/>
    </row>
    <row r="25542">
      <c r="N25542" s="28"/>
      <c r="O25542" s="28"/>
      <c r="U25542" s="28"/>
    </row>
    <row r="25543">
      <c r="N25543" s="28"/>
      <c r="O25543" s="28"/>
      <c r="U25543" s="28"/>
    </row>
    <row r="25544">
      <c r="N25544" s="28"/>
      <c r="O25544" s="28"/>
      <c r="U25544" s="28"/>
    </row>
    <row r="25545">
      <c r="N25545" s="28"/>
      <c r="O25545" s="28"/>
      <c r="U25545" s="28"/>
    </row>
    <row r="25546">
      <c r="N25546" s="28"/>
      <c r="O25546" s="28"/>
      <c r="U25546" s="28"/>
    </row>
    <row r="25547">
      <c r="N25547" s="28"/>
      <c r="O25547" s="28"/>
      <c r="U25547" s="28"/>
    </row>
    <row r="25548">
      <c r="N25548" s="28"/>
      <c r="O25548" s="28"/>
      <c r="U25548" s="28"/>
    </row>
    <row r="25549">
      <c r="N25549" s="28"/>
      <c r="O25549" s="28"/>
      <c r="U25549" s="28"/>
    </row>
    <row r="25550">
      <c r="N25550" s="28"/>
      <c r="O25550" s="28"/>
      <c r="U25550" s="28"/>
    </row>
    <row r="25551">
      <c r="N25551" s="28"/>
      <c r="O25551" s="28"/>
      <c r="U25551" s="28"/>
    </row>
    <row r="25552">
      <c r="N25552" s="28"/>
      <c r="O25552" s="28"/>
      <c r="U25552" s="28"/>
    </row>
    <row r="25553">
      <c r="N25553" s="28"/>
      <c r="O25553" s="28"/>
      <c r="U25553" s="28"/>
    </row>
    <row r="25554">
      <c r="N25554" s="28"/>
      <c r="O25554" s="28"/>
      <c r="U25554" s="28"/>
    </row>
    <row r="25555">
      <c r="N25555" s="28"/>
      <c r="O25555" s="28"/>
      <c r="U25555" s="28"/>
    </row>
    <row r="25556">
      <c r="N25556" s="28"/>
      <c r="O25556" s="28"/>
      <c r="U25556" s="28"/>
    </row>
    <row r="25557">
      <c r="N25557" s="28"/>
      <c r="O25557" s="28"/>
      <c r="U25557" s="28"/>
    </row>
    <row r="25558">
      <c r="N25558" s="28"/>
      <c r="O25558" s="28"/>
      <c r="U25558" s="28"/>
    </row>
    <row r="25559">
      <c r="N25559" s="28"/>
      <c r="O25559" s="28"/>
      <c r="U25559" s="28"/>
    </row>
    <row r="25560">
      <c r="N25560" s="28"/>
      <c r="O25560" s="28"/>
      <c r="U25560" s="28"/>
    </row>
    <row r="25561">
      <c r="N25561" s="28"/>
      <c r="O25561" s="28"/>
      <c r="U25561" s="28"/>
    </row>
    <row r="25562">
      <c r="N25562" s="28"/>
      <c r="O25562" s="28"/>
      <c r="U25562" s="28"/>
    </row>
    <row r="25563">
      <c r="N25563" s="28"/>
      <c r="O25563" s="28"/>
      <c r="U25563" s="28"/>
    </row>
    <row r="25564">
      <c r="N25564" s="28"/>
      <c r="O25564" s="28"/>
      <c r="U25564" s="28"/>
    </row>
    <row r="25565">
      <c r="N25565" s="28"/>
      <c r="O25565" s="28"/>
      <c r="U25565" s="28"/>
    </row>
    <row r="25566">
      <c r="N25566" s="28"/>
      <c r="O25566" s="28"/>
      <c r="U25566" s="28"/>
    </row>
    <row r="25567">
      <c r="N25567" s="28"/>
      <c r="O25567" s="28"/>
      <c r="U25567" s="28"/>
    </row>
    <row r="25568">
      <c r="N25568" s="28"/>
      <c r="O25568" s="28"/>
      <c r="U25568" s="28"/>
    </row>
    <row r="25569">
      <c r="N25569" s="28"/>
      <c r="O25569" s="28"/>
      <c r="U25569" s="28"/>
    </row>
    <row r="25570">
      <c r="N25570" s="28"/>
      <c r="O25570" s="28"/>
      <c r="U25570" s="28"/>
    </row>
    <row r="25571">
      <c r="N25571" s="28"/>
      <c r="O25571" s="28"/>
      <c r="U25571" s="28"/>
    </row>
    <row r="25572">
      <c r="N25572" s="28"/>
      <c r="O25572" s="28"/>
      <c r="U25572" s="28"/>
    </row>
    <row r="25573">
      <c r="N25573" s="28"/>
      <c r="O25573" s="28"/>
      <c r="U25573" s="28"/>
    </row>
    <row r="25574">
      <c r="N25574" s="28"/>
      <c r="O25574" s="28"/>
      <c r="U25574" s="28"/>
    </row>
    <row r="25575">
      <c r="N25575" s="28"/>
      <c r="O25575" s="28"/>
      <c r="U25575" s="28"/>
    </row>
    <row r="25576">
      <c r="N25576" s="28"/>
      <c r="O25576" s="28"/>
      <c r="U25576" s="28"/>
    </row>
    <row r="25577">
      <c r="N25577" s="28"/>
      <c r="O25577" s="28"/>
      <c r="U25577" s="28"/>
    </row>
    <row r="25578">
      <c r="N25578" s="28"/>
      <c r="O25578" s="28"/>
      <c r="U25578" s="28"/>
    </row>
    <row r="25579">
      <c r="N25579" s="28"/>
      <c r="O25579" s="28"/>
      <c r="U25579" s="28"/>
    </row>
    <row r="25580">
      <c r="N25580" s="28"/>
      <c r="O25580" s="28"/>
      <c r="U25580" s="28"/>
    </row>
    <row r="25581">
      <c r="N25581" s="28"/>
      <c r="O25581" s="28"/>
      <c r="U25581" s="28"/>
    </row>
    <row r="25582">
      <c r="N25582" s="28"/>
      <c r="O25582" s="28"/>
      <c r="U25582" s="28"/>
    </row>
    <row r="25583">
      <c r="N25583" s="28"/>
      <c r="O25583" s="28"/>
      <c r="U25583" s="28"/>
    </row>
    <row r="25584">
      <c r="N25584" s="28"/>
      <c r="O25584" s="28"/>
      <c r="U25584" s="28"/>
    </row>
    <row r="25585">
      <c r="N25585" s="28"/>
      <c r="O25585" s="28"/>
      <c r="U25585" s="28"/>
    </row>
    <row r="25586">
      <c r="N25586" s="28"/>
      <c r="O25586" s="28"/>
      <c r="U25586" s="28"/>
    </row>
    <row r="25587">
      <c r="N25587" s="28"/>
      <c r="O25587" s="28"/>
      <c r="U25587" s="28"/>
    </row>
    <row r="25588">
      <c r="N25588" s="28"/>
      <c r="O25588" s="28"/>
      <c r="U25588" s="28"/>
    </row>
    <row r="25589">
      <c r="N25589" s="28"/>
      <c r="O25589" s="28"/>
      <c r="U25589" s="28"/>
    </row>
    <row r="25590">
      <c r="N25590" s="28"/>
      <c r="O25590" s="28"/>
      <c r="U25590" s="28"/>
    </row>
    <row r="25591">
      <c r="N25591" s="28"/>
      <c r="O25591" s="28"/>
      <c r="U25591" s="28"/>
    </row>
    <row r="25592">
      <c r="N25592" s="28"/>
      <c r="O25592" s="28"/>
      <c r="U25592" s="28"/>
    </row>
    <row r="25593">
      <c r="N25593" s="28"/>
      <c r="O25593" s="28"/>
      <c r="U25593" s="28"/>
    </row>
    <row r="25594">
      <c r="N25594" s="28"/>
      <c r="O25594" s="28"/>
      <c r="U25594" s="28"/>
    </row>
    <row r="25595">
      <c r="N25595" s="28"/>
      <c r="O25595" s="28"/>
      <c r="U25595" s="28"/>
    </row>
    <row r="25596">
      <c r="N25596" s="28"/>
      <c r="O25596" s="28"/>
      <c r="U25596" s="28"/>
    </row>
    <row r="25597">
      <c r="N25597" s="28"/>
      <c r="O25597" s="28"/>
      <c r="U25597" s="28"/>
    </row>
    <row r="25598">
      <c r="N25598" s="28"/>
      <c r="O25598" s="28"/>
      <c r="U25598" s="28"/>
    </row>
    <row r="25599">
      <c r="N25599" s="28"/>
      <c r="O25599" s="28"/>
      <c r="U25599" s="28"/>
    </row>
    <row r="25600">
      <c r="N25600" s="28"/>
      <c r="O25600" s="28"/>
      <c r="U25600" s="28"/>
    </row>
    <row r="25601">
      <c r="N25601" s="28"/>
      <c r="O25601" s="28"/>
      <c r="U25601" s="28"/>
    </row>
    <row r="25602">
      <c r="N25602" s="28"/>
      <c r="O25602" s="28"/>
      <c r="U25602" s="28"/>
    </row>
    <row r="25603">
      <c r="N25603" s="28"/>
      <c r="O25603" s="28"/>
      <c r="U25603" s="28"/>
    </row>
    <row r="25604">
      <c r="N25604" s="28"/>
      <c r="O25604" s="28"/>
      <c r="U25604" s="28"/>
    </row>
    <row r="25605">
      <c r="N25605" s="28"/>
      <c r="O25605" s="28"/>
      <c r="U25605" s="28"/>
    </row>
    <row r="25606">
      <c r="N25606" s="28"/>
      <c r="O25606" s="28"/>
      <c r="U25606" s="28"/>
    </row>
    <row r="25607">
      <c r="N25607" s="28"/>
      <c r="O25607" s="28"/>
      <c r="U25607" s="28"/>
    </row>
    <row r="25608">
      <c r="N25608" s="28"/>
      <c r="O25608" s="28"/>
      <c r="U25608" s="28"/>
    </row>
    <row r="25609">
      <c r="N25609" s="28"/>
      <c r="O25609" s="28"/>
      <c r="U25609" s="28"/>
    </row>
    <row r="25610">
      <c r="N25610" s="28"/>
      <c r="O25610" s="28"/>
      <c r="U25610" s="28"/>
    </row>
    <row r="25611">
      <c r="N25611" s="28"/>
      <c r="O25611" s="28"/>
      <c r="U25611" s="28"/>
    </row>
    <row r="25612">
      <c r="N25612" s="28"/>
      <c r="O25612" s="28"/>
      <c r="U25612" s="28"/>
    </row>
    <row r="25613">
      <c r="N25613" s="28"/>
      <c r="O25613" s="28"/>
      <c r="U25613" s="28"/>
    </row>
    <row r="25614">
      <c r="N25614" s="28"/>
      <c r="O25614" s="28"/>
      <c r="U25614" s="28"/>
    </row>
    <row r="25615">
      <c r="N25615" s="28"/>
      <c r="O25615" s="28"/>
      <c r="U25615" s="28"/>
    </row>
    <row r="25616">
      <c r="N25616" s="28"/>
      <c r="O25616" s="28"/>
      <c r="U25616" s="28"/>
    </row>
    <row r="25617">
      <c r="N25617" s="28"/>
      <c r="O25617" s="28"/>
      <c r="U25617" s="28"/>
    </row>
    <row r="25618">
      <c r="N25618" s="28"/>
      <c r="O25618" s="28"/>
      <c r="U25618" s="28"/>
    </row>
    <row r="25619">
      <c r="N25619" s="28"/>
      <c r="O25619" s="28"/>
      <c r="U25619" s="28"/>
    </row>
    <row r="25620">
      <c r="N25620" s="28"/>
      <c r="O25620" s="28"/>
      <c r="U25620" s="28"/>
    </row>
    <row r="25621">
      <c r="N25621" s="28"/>
      <c r="O25621" s="28"/>
      <c r="U25621" s="28"/>
    </row>
    <row r="25622">
      <c r="N25622" s="28"/>
      <c r="O25622" s="28"/>
      <c r="U25622" s="28"/>
    </row>
    <row r="25623">
      <c r="N25623" s="28"/>
      <c r="O25623" s="28"/>
      <c r="U25623" s="28"/>
    </row>
    <row r="25624">
      <c r="N25624" s="28"/>
      <c r="O25624" s="28"/>
      <c r="U25624" s="28"/>
    </row>
    <row r="25625">
      <c r="N25625" s="28"/>
      <c r="O25625" s="28"/>
      <c r="U25625" s="28"/>
    </row>
    <row r="25626">
      <c r="N25626" s="28"/>
      <c r="O25626" s="28"/>
      <c r="U25626" s="28"/>
    </row>
    <row r="25627">
      <c r="N25627" s="28"/>
      <c r="O25627" s="28"/>
      <c r="U25627" s="28"/>
    </row>
    <row r="25628">
      <c r="N25628" s="28"/>
      <c r="O25628" s="28"/>
      <c r="U25628" s="28"/>
    </row>
    <row r="25629">
      <c r="N25629" s="28"/>
      <c r="O25629" s="28"/>
      <c r="U25629" s="28"/>
    </row>
    <row r="25630">
      <c r="N25630" s="28"/>
      <c r="O25630" s="28"/>
      <c r="U25630" s="28"/>
    </row>
    <row r="25631">
      <c r="N25631" s="28"/>
      <c r="O25631" s="28"/>
      <c r="U25631" s="28"/>
    </row>
    <row r="25632">
      <c r="N25632" s="28"/>
      <c r="O25632" s="28"/>
      <c r="U25632" s="28"/>
    </row>
    <row r="25633">
      <c r="N25633" s="28"/>
      <c r="O25633" s="28"/>
      <c r="U25633" s="28"/>
    </row>
    <row r="25634">
      <c r="N25634" s="28"/>
      <c r="O25634" s="28"/>
      <c r="U25634" s="28"/>
    </row>
    <row r="25635">
      <c r="N25635" s="28"/>
      <c r="O25635" s="28"/>
      <c r="U25635" s="28"/>
    </row>
    <row r="25636">
      <c r="N25636" s="28"/>
      <c r="O25636" s="28"/>
      <c r="U25636" s="28"/>
    </row>
    <row r="25637">
      <c r="N25637" s="28"/>
      <c r="O25637" s="28"/>
      <c r="U25637" s="28"/>
    </row>
    <row r="25638">
      <c r="N25638" s="28"/>
      <c r="O25638" s="28"/>
      <c r="U25638" s="28"/>
    </row>
    <row r="25639">
      <c r="N25639" s="28"/>
      <c r="O25639" s="28"/>
      <c r="U25639" s="28"/>
    </row>
    <row r="25640">
      <c r="N25640" s="28"/>
      <c r="O25640" s="28"/>
      <c r="U25640" s="28"/>
    </row>
    <row r="25641">
      <c r="N25641" s="28"/>
      <c r="O25641" s="28"/>
      <c r="U25641" s="28"/>
    </row>
    <row r="25642">
      <c r="N25642" s="28"/>
      <c r="O25642" s="28"/>
      <c r="U25642" s="28"/>
    </row>
    <row r="25643">
      <c r="N25643" s="28"/>
      <c r="O25643" s="28"/>
      <c r="U25643" s="28"/>
    </row>
    <row r="25644">
      <c r="N25644" s="28"/>
      <c r="O25644" s="28"/>
      <c r="U25644" s="28"/>
    </row>
    <row r="25645">
      <c r="N25645" s="28"/>
      <c r="O25645" s="28"/>
      <c r="U25645" s="28"/>
    </row>
    <row r="25646">
      <c r="N25646" s="28"/>
      <c r="O25646" s="28"/>
      <c r="U25646" s="28"/>
    </row>
    <row r="25647">
      <c r="N25647" s="28"/>
      <c r="O25647" s="28"/>
      <c r="U25647" s="28"/>
    </row>
    <row r="25648">
      <c r="N25648" s="28"/>
      <c r="O25648" s="28"/>
      <c r="U25648" s="28"/>
    </row>
    <row r="25649">
      <c r="N25649" s="28"/>
      <c r="O25649" s="28"/>
      <c r="U25649" s="28"/>
    </row>
    <row r="25650">
      <c r="N25650" s="28"/>
      <c r="O25650" s="28"/>
      <c r="U25650" s="28"/>
    </row>
    <row r="25651">
      <c r="N25651" s="28"/>
      <c r="O25651" s="28"/>
      <c r="U25651" s="28"/>
    </row>
    <row r="25652">
      <c r="N25652" s="28"/>
      <c r="O25652" s="28"/>
      <c r="U25652" s="28"/>
    </row>
    <row r="25653">
      <c r="N25653" s="28"/>
      <c r="O25653" s="28"/>
      <c r="U25653" s="28"/>
    </row>
    <row r="25654">
      <c r="N25654" s="28"/>
      <c r="O25654" s="28"/>
      <c r="U25654" s="28"/>
    </row>
    <row r="25655">
      <c r="N25655" s="28"/>
      <c r="O25655" s="28"/>
      <c r="U25655" s="28"/>
    </row>
    <row r="25656">
      <c r="N25656" s="28"/>
      <c r="O25656" s="28"/>
      <c r="U25656" s="28"/>
    </row>
    <row r="25657">
      <c r="N25657" s="28"/>
      <c r="O25657" s="28"/>
      <c r="U25657" s="28"/>
    </row>
    <row r="25658">
      <c r="N25658" s="28"/>
      <c r="O25658" s="28"/>
      <c r="U25658" s="28"/>
    </row>
    <row r="25659">
      <c r="N25659" s="28"/>
      <c r="O25659" s="28"/>
      <c r="U25659" s="28"/>
    </row>
    <row r="25660">
      <c r="N25660" s="28"/>
      <c r="O25660" s="28"/>
      <c r="U25660" s="28"/>
    </row>
    <row r="25661">
      <c r="N25661" s="28"/>
      <c r="O25661" s="28"/>
      <c r="U25661" s="28"/>
    </row>
    <row r="25662">
      <c r="N25662" s="28"/>
      <c r="O25662" s="28"/>
      <c r="U25662" s="28"/>
    </row>
    <row r="25663">
      <c r="N25663" s="28"/>
      <c r="O25663" s="28"/>
      <c r="U25663" s="28"/>
    </row>
    <row r="25664">
      <c r="N25664" s="28"/>
      <c r="O25664" s="28"/>
      <c r="U25664" s="28"/>
    </row>
    <row r="25665">
      <c r="N25665" s="28"/>
      <c r="O25665" s="28"/>
      <c r="U25665" s="28"/>
    </row>
    <row r="25666">
      <c r="N25666" s="28"/>
      <c r="O25666" s="28"/>
      <c r="U25666" s="28"/>
    </row>
    <row r="25667">
      <c r="N25667" s="28"/>
      <c r="O25667" s="28"/>
      <c r="U25667" s="28"/>
    </row>
    <row r="25668">
      <c r="N25668" s="28"/>
      <c r="O25668" s="28"/>
      <c r="U25668" s="28"/>
    </row>
    <row r="25669">
      <c r="N25669" s="28"/>
      <c r="O25669" s="28"/>
      <c r="U25669" s="28"/>
    </row>
    <row r="25670">
      <c r="N25670" s="28"/>
      <c r="O25670" s="28"/>
      <c r="U25670" s="28"/>
    </row>
    <row r="25671">
      <c r="N25671" s="28"/>
      <c r="O25671" s="28"/>
      <c r="U25671" s="28"/>
    </row>
    <row r="25672">
      <c r="N25672" s="28"/>
      <c r="O25672" s="28"/>
      <c r="U25672" s="28"/>
    </row>
    <row r="25673">
      <c r="N25673" s="28"/>
      <c r="O25673" s="28"/>
      <c r="U25673" s="28"/>
    </row>
    <row r="25674">
      <c r="N25674" s="28"/>
      <c r="O25674" s="28"/>
      <c r="U25674" s="28"/>
    </row>
    <row r="25675">
      <c r="N25675" s="28"/>
      <c r="O25675" s="28"/>
      <c r="U25675" s="28"/>
    </row>
    <row r="25676">
      <c r="N25676" s="28"/>
      <c r="O25676" s="28"/>
      <c r="U25676" s="28"/>
    </row>
    <row r="25677">
      <c r="N25677" s="28"/>
      <c r="O25677" s="28"/>
      <c r="U25677" s="28"/>
    </row>
    <row r="25678">
      <c r="N25678" s="28"/>
      <c r="O25678" s="28"/>
      <c r="U25678" s="28"/>
    </row>
    <row r="25679">
      <c r="N25679" s="28"/>
      <c r="O25679" s="28"/>
      <c r="U25679" s="28"/>
    </row>
    <row r="25680">
      <c r="N25680" s="28"/>
      <c r="O25680" s="28"/>
      <c r="U25680" s="28"/>
    </row>
    <row r="25681">
      <c r="N25681" s="28"/>
      <c r="O25681" s="28"/>
      <c r="U25681" s="28"/>
    </row>
    <row r="25682">
      <c r="N25682" s="28"/>
      <c r="O25682" s="28"/>
      <c r="U25682" s="28"/>
    </row>
    <row r="25683">
      <c r="N25683" s="28"/>
      <c r="O25683" s="28"/>
      <c r="U25683" s="28"/>
    </row>
    <row r="25684">
      <c r="N25684" s="28"/>
      <c r="O25684" s="28"/>
      <c r="U25684" s="28"/>
    </row>
    <row r="25685">
      <c r="N25685" s="28"/>
      <c r="O25685" s="28"/>
      <c r="U25685" s="28"/>
    </row>
    <row r="25686">
      <c r="N25686" s="28"/>
      <c r="O25686" s="28"/>
      <c r="U25686" s="28"/>
    </row>
    <row r="25687">
      <c r="N25687" s="28"/>
      <c r="O25687" s="28"/>
      <c r="U25687" s="28"/>
    </row>
    <row r="25688">
      <c r="N25688" s="28"/>
      <c r="O25688" s="28"/>
      <c r="U25688" s="28"/>
    </row>
    <row r="25689">
      <c r="N25689" s="28"/>
      <c r="O25689" s="28"/>
      <c r="U25689" s="28"/>
    </row>
    <row r="25690">
      <c r="N25690" s="28"/>
      <c r="O25690" s="28"/>
      <c r="U25690" s="28"/>
    </row>
    <row r="25691">
      <c r="N25691" s="28"/>
      <c r="O25691" s="28"/>
      <c r="U25691" s="28"/>
    </row>
    <row r="25692">
      <c r="N25692" s="28"/>
      <c r="O25692" s="28"/>
      <c r="U25692" s="28"/>
    </row>
    <row r="25693">
      <c r="N25693" s="28"/>
      <c r="O25693" s="28"/>
      <c r="U25693" s="28"/>
    </row>
    <row r="25694">
      <c r="N25694" s="28"/>
      <c r="O25694" s="28"/>
      <c r="U25694" s="28"/>
    </row>
    <row r="25695">
      <c r="N25695" s="28"/>
      <c r="O25695" s="28"/>
      <c r="U25695" s="28"/>
    </row>
    <row r="25696">
      <c r="N25696" s="28"/>
      <c r="O25696" s="28"/>
      <c r="U25696" s="28"/>
    </row>
    <row r="25697">
      <c r="N25697" s="28"/>
      <c r="O25697" s="28"/>
      <c r="U25697" s="28"/>
    </row>
    <row r="25698">
      <c r="N25698" s="28"/>
      <c r="O25698" s="28"/>
      <c r="U25698" s="28"/>
    </row>
    <row r="25699">
      <c r="N25699" s="28"/>
      <c r="O25699" s="28"/>
      <c r="U25699" s="28"/>
    </row>
    <row r="25700">
      <c r="N25700" s="28"/>
      <c r="O25700" s="28"/>
      <c r="U25700" s="28"/>
    </row>
    <row r="25701">
      <c r="N25701" s="28"/>
      <c r="O25701" s="28"/>
      <c r="U25701" s="28"/>
    </row>
    <row r="25702">
      <c r="N25702" s="28"/>
      <c r="O25702" s="28"/>
      <c r="U25702" s="28"/>
    </row>
    <row r="25703">
      <c r="N25703" s="28"/>
      <c r="O25703" s="28"/>
      <c r="U25703" s="28"/>
    </row>
    <row r="25704">
      <c r="N25704" s="28"/>
      <c r="O25704" s="28"/>
      <c r="U25704" s="28"/>
    </row>
    <row r="25705">
      <c r="N25705" s="28"/>
      <c r="O25705" s="28"/>
      <c r="U25705" s="28"/>
    </row>
    <row r="25706">
      <c r="N25706" s="28"/>
      <c r="O25706" s="28"/>
      <c r="U25706" s="28"/>
    </row>
    <row r="25707">
      <c r="N25707" s="28"/>
      <c r="O25707" s="28"/>
      <c r="U25707" s="28"/>
    </row>
    <row r="25708">
      <c r="N25708" s="28"/>
      <c r="O25708" s="28"/>
      <c r="U25708" s="28"/>
    </row>
    <row r="25709">
      <c r="N25709" s="28"/>
      <c r="O25709" s="28"/>
      <c r="U25709" s="28"/>
    </row>
    <row r="25710">
      <c r="N25710" s="28"/>
      <c r="O25710" s="28"/>
      <c r="U25710" s="28"/>
    </row>
    <row r="25711">
      <c r="N25711" s="28"/>
      <c r="O25711" s="28"/>
      <c r="U25711" s="28"/>
    </row>
    <row r="25712">
      <c r="N25712" s="28"/>
      <c r="O25712" s="28"/>
      <c r="U25712" s="28"/>
    </row>
    <row r="25713">
      <c r="N25713" s="28"/>
      <c r="O25713" s="28"/>
      <c r="U25713" s="28"/>
    </row>
    <row r="25714">
      <c r="N25714" s="28"/>
      <c r="O25714" s="28"/>
      <c r="U25714" s="28"/>
    </row>
    <row r="25715">
      <c r="N25715" s="28"/>
      <c r="O25715" s="28"/>
      <c r="U25715" s="28"/>
    </row>
    <row r="25716">
      <c r="N25716" s="28"/>
      <c r="O25716" s="28"/>
      <c r="U25716" s="28"/>
    </row>
    <row r="25717">
      <c r="N25717" s="28"/>
      <c r="O25717" s="28"/>
      <c r="U25717" s="28"/>
    </row>
    <row r="25718">
      <c r="N25718" s="28"/>
      <c r="O25718" s="28"/>
      <c r="U25718" s="28"/>
    </row>
    <row r="25719">
      <c r="N25719" s="28"/>
      <c r="O25719" s="28"/>
      <c r="U25719" s="28"/>
    </row>
    <row r="25720">
      <c r="N25720" s="28"/>
      <c r="O25720" s="28"/>
      <c r="U25720" s="28"/>
    </row>
    <row r="25721">
      <c r="N25721" s="28"/>
      <c r="O25721" s="28"/>
      <c r="U25721" s="28"/>
    </row>
    <row r="25722">
      <c r="N25722" s="28"/>
      <c r="O25722" s="28"/>
      <c r="U25722" s="28"/>
    </row>
    <row r="25723">
      <c r="N25723" s="28"/>
      <c r="O25723" s="28"/>
      <c r="U25723" s="28"/>
    </row>
    <row r="25724">
      <c r="N25724" s="28"/>
      <c r="O25724" s="28"/>
      <c r="U25724" s="28"/>
    </row>
    <row r="25725">
      <c r="N25725" s="28"/>
      <c r="O25725" s="28"/>
      <c r="U25725" s="28"/>
    </row>
    <row r="25726">
      <c r="N25726" s="28"/>
      <c r="O25726" s="28"/>
      <c r="U25726" s="28"/>
    </row>
    <row r="25727">
      <c r="N25727" s="28"/>
      <c r="O25727" s="28"/>
      <c r="U25727" s="28"/>
    </row>
    <row r="25728">
      <c r="N25728" s="28"/>
      <c r="O25728" s="28"/>
      <c r="U25728" s="28"/>
    </row>
    <row r="25729">
      <c r="N25729" s="28"/>
      <c r="O25729" s="28"/>
      <c r="U25729" s="28"/>
    </row>
    <row r="25730">
      <c r="N25730" s="28"/>
      <c r="O25730" s="28"/>
      <c r="U25730" s="28"/>
    </row>
    <row r="25731">
      <c r="N25731" s="28"/>
      <c r="O25731" s="28"/>
      <c r="U25731" s="28"/>
    </row>
    <row r="25732">
      <c r="N25732" s="28"/>
      <c r="O25732" s="28"/>
      <c r="U25732" s="28"/>
    </row>
    <row r="25733">
      <c r="N25733" s="28"/>
      <c r="O25733" s="28"/>
      <c r="U25733" s="28"/>
    </row>
    <row r="25734">
      <c r="N25734" s="28"/>
      <c r="O25734" s="28"/>
      <c r="U25734" s="28"/>
    </row>
    <row r="25735">
      <c r="N25735" s="28"/>
      <c r="O25735" s="28"/>
      <c r="U25735" s="28"/>
    </row>
    <row r="25736">
      <c r="N25736" s="28"/>
      <c r="O25736" s="28"/>
      <c r="U25736" s="28"/>
    </row>
    <row r="25737">
      <c r="N25737" s="28"/>
      <c r="O25737" s="28"/>
      <c r="U25737" s="28"/>
    </row>
    <row r="25738">
      <c r="N25738" s="28"/>
      <c r="O25738" s="28"/>
      <c r="U25738" s="28"/>
    </row>
    <row r="25739">
      <c r="N25739" s="28"/>
      <c r="O25739" s="28"/>
      <c r="U25739" s="28"/>
    </row>
    <row r="25740">
      <c r="N25740" s="28"/>
      <c r="O25740" s="28"/>
      <c r="U25740" s="28"/>
    </row>
    <row r="25741">
      <c r="N25741" s="28"/>
      <c r="O25741" s="28"/>
      <c r="U25741" s="28"/>
    </row>
    <row r="25742">
      <c r="N25742" s="28"/>
      <c r="O25742" s="28"/>
      <c r="U25742" s="28"/>
    </row>
    <row r="25743">
      <c r="N25743" s="28"/>
      <c r="O25743" s="28"/>
      <c r="U25743" s="28"/>
    </row>
    <row r="25744">
      <c r="N25744" s="28"/>
      <c r="O25744" s="28"/>
      <c r="U25744" s="28"/>
    </row>
    <row r="25745">
      <c r="N25745" s="28"/>
      <c r="O25745" s="28"/>
      <c r="U25745" s="28"/>
    </row>
    <row r="25746">
      <c r="N25746" s="28"/>
      <c r="O25746" s="28"/>
      <c r="U25746" s="28"/>
    </row>
    <row r="25747">
      <c r="N25747" s="28"/>
      <c r="O25747" s="28"/>
      <c r="U25747" s="28"/>
    </row>
    <row r="25748">
      <c r="N25748" s="28"/>
      <c r="O25748" s="28"/>
      <c r="U25748" s="28"/>
    </row>
    <row r="25749">
      <c r="N25749" s="28"/>
      <c r="O25749" s="28"/>
      <c r="U25749" s="28"/>
    </row>
    <row r="25750">
      <c r="N25750" s="28"/>
      <c r="O25750" s="28"/>
      <c r="U25750" s="28"/>
    </row>
    <row r="25751">
      <c r="N25751" s="28"/>
      <c r="O25751" s="28"/>
      <c r="U25751" s="28"/>
    </row>
    <row r="25752">
      <c r="N25752" s="28"/>
      <c r="O25752" s="28"/>
      <c r="U25752" s="28"/>
    </row>
    <row r="25753">
      <c r="N25753" s="28"/>
      <c r="O25753" s="28"/>
      <c r="U25753" s="28"/>
    </row>
    <row r="25754">
      <c r="N25754" s="28"/>
      <c r="O25754" s="28"/>
      <c r="U25754" s="28"/>
    </row>
    <row r="25755">
      <c r="N25755" s="28"/>
      <c r="O25755" s="28"/>
      <c r="U25755" s="28"/>
    </row>
    <row r="25756">
      <c r="N25756" s="28"/>
      <c r="O25756" s="28"/>
      <c r="U25756" s="28"/>
    </row>
    <row r="25757">
      <c r="N25757" s="28"/>
      <c r="O25757" s="28"/>
      <c r="U25757" s="28"/>
    </row>
    <row r="25758">
      <c r="N25758" s="28"/>
      <c r="O25758" s="28"/>
      <c r="U25758" s="28"/>
    </row>
    <row r="25759">
      <c r="N25759" s="28"/>
      <c r="O25759" s="28"/>
      <c r="U25759" s="28"/>
    </row>
    <row r="25760">
      <c r="N25760" s="28"/>
      <c r="O25760" s="28"/>
      <c r="U25760" s="28"/>
    </row>
    <row r="25761">
      <c r="N25761" s="28"/>
      <c r="O25761" s="28"/>
      <c r="U25761" s="28"/>
    </row>
    <row r="25762">
      <c r="N25762" s="28"/>
      <c r="O25762" s="28"/>
      <c r="U25762" s="28"/>
    </row>
    <row r="25763">
      <c r="N25763" s="28"/>
      <c r="O25763" s="28"/>
      <c r="U25763" s="28"/>
    </row>
    <row r="25764">
      <c r="N25764" s="28"/>
      <c r="O25764" s="28"/>
      <c r="U25764" s="28"/>
    </row>
    <row r="25765">
      <c r="N25765" s="28"/>
      <c r="O25765" s="28"/>
      <c r="U25765" s="28"/>
    </row>
    <row r="25766">
      <c r="N25766" s="28"/>
      <c r="O25766" s="28"/>
      <c r="U25766" s="28"/>
    </row>
    <row r="25767">
      <c r="N25767" s="28"/>
      <c r="O25767" s="28"/>
      <c r="U25767" s="28"/>
    </row>
    <row r="25768">
      <c r="N25768" s="28"/>
      <c r="O25768" s="28"/>
      <c r="U25768" s="28"/>
    </row>
    <row r="25769">
      <c r="N25769" s="28"/>
      <c r="O25769" s="28"/>
      <c r="U25769" s="28"/>
    </row>
    <row r="25770">
      <c r="N25770" s="28"/>
      <c r="O25770" s="28"/>
      <c r="U25770" s="28"/>
    </row>
    <row r="25771">
      <c r="N25771" s="28"/>
      <c r="O25771" s="28"/>
      <c r="U25771" s="28"/>
    </row>
    <row r="25772">
      <c r="N25772" s="28"/>
      <c r="O25772" s="28"/>
      <c r="U25772" s="28"/>
    </row>
    <row r="25773">
      <c r="N25773" s="28"/>
      <c r="O25773" s="28"/>
      <c r="U25773" s="28"/>
    </row>
    <row r="25774">
      <c r="N25774" s="28"/>
      <c r="O25774" s="28"/>
      <c r="U25774" s="28"/>
    </row>
    <row r="25775">
      <c r="N25775" s="28"/>
      <c r="O25775" s="28"/>
      <c r="U25775" s="28"/>
    </row>
    <row r="25776">
      <c r="N25776" s="28"/>
      <c r="O25776" s="28"/>
      <c r="U25776" s="28"/>
    </row>
    <row r="25777">
      <c r="N25777" s="28"/>
      <c r="O25777" s="28"/>
      <c r="U25777" s="28"/>
    </row>
    <row r="25778">
      <c r="N25778" s="28"/>
      <c r="O25778" s="28"/>
      <c r="U25778" s="28"/>
    </row>
    <row r="25779">
      <c r="N25779" s="28"/>
      <c r="O25779" s="28"/>
      <c r="U25779" s="28"/>
    </row>
    <row r="25780">
      <c r="N25780" s="28"/>
      <c r="O25780" s="28"/>
      <c r="U25780" s="28"/>
    </row>
    <row r="25781">
      <c r="N25781" s="28"/>
      <c r="O25781" s="28"/>
      <c r="U25781" s="28"/>
    </row>
    <row r="25782">
      <c r="N25782" s="28"/>
      <c r="O25782" s="28"/>
      <c r="U25782" s="28"/>
    </row>
    <row r="25783">
      <c r="N25783" s="28"/>
      <c r="O25783" s="28"/>
      <c r="U25783" s="28"/>
    </row>
    <row r="25784">
      <c r="N25784" s="28"/>
      <c r="O25784" s="28"/>
      <c r="U25784" s="28"/>
    </row>
    <row r="25785">
      <c r="N25785" s="28"/>
      <c r="O25785" s="28"/>
      <c r="U25785" s="28"/>
    </row>
    <row r="25786">
      <c r="N25786" s="28"/>
      <c r="O25786" s="28"/>
      <c r="U25786" s="28"/>
    </row>
    <row r="25787">
      <c r="N25787" s="28"/>
      <c r="O25787" s="28"/>
      <c r="U25787" s="28"/>
    </row>
    <row r="25788">
      <c r="N25788" s="28"/>
      <c r="O25788" s="28"/>
      <c r="U25788" s="28"/>
    </row>
    <row r="25789">
      <c r="N25789" s="28"/>
      <c r="O25789" s="28"/>
      <c r="U25789" s="28"/>
    </row>
    <row r="25790">
      <c r="N25790" s="28"/>
      <c r="O25790" s="28"/>
      <c r="U25790" s="28"/>
    </row>
    <row r="25791">
      <c r="N25791" s="28"/>
      <c r="O25791" s="28"/>
      <c r="U25791" s="28"/>
    </row>
    <row r="25792">
      <c r="N25792" s="28"/>
      <c r="O25792" s="28"/>
      <c r="U25792" s="28"/>
    </row>
    <row r="25793">
      <c r="N25793" s="28"/>
      <c r="O25793" s="28"/>
      <c r="U25793" s="28"/>
    </row>
    <row r="25794">
      <c r="N25794" s="28"/>
      <c r="O25794" s="28"/>
      <c r="U25794" s="28"/>
    </row>
    <row r="25795">
      <c r="N25795" s="28"/>
      <c r="O25795" s="28"/>
      <c r="U25795" s="28"/>
    </row>
    <row r="25796">
      <c r="N25796" s="28"/>
      <c r="O25796" s="28"/>
      <c r="U25796" s="28"/>
    </row>
    <row r="25797">
      <c r="N25797" s="28"/>
      <c r="O25797" s="28"/>
      <c r="U25797" s="28"/>
    </row>
    <row r="25798">
      <c r="N25798" s="28"/>
      <c r="O25798" s="28"/>
      <c r="U25798" s="28"/>
    </row>
    <row r="25799">
      <c r="N25799" s="28"/>
      <c r="O25799" s="28"/>
      <c r="U25799" s="28"/>
    </row>
    <row r="25800">
      <c r="N25800" s="28"/>
      <c r="O25800" s="28"/>
      <c r="U25800" s="28"/>
    </row>
    <row r="25801">
      <c r="N25801" s="28"/>
      <c r="O25801" s="28"/>
      <c r="U25801" s="28"/>
    </row>
    <row r="25802">
      <c r="N25802" s="28"/>
      <c r="O25802" s="28"/>
      <c r="U25802" s="28"/>
    </row>
    <row r="25803">
      <c r="N25803" s="28"/>
      <c r="O25803" s="28"/>
      <c r="U25803" s="28"/>
    </row>
    <row r="25804">
      <c r="N25804" s="28"/>
      <c r="O25804" s="28"/>
      <c r="U25804" s="28"/>
    </row>
    <row r="25805">
      <c r="N25805" s="28"/>
      <c r="O25805" s="28"/>
      <c r="U25805" s="28"/>
    </row>
    <row r="25806">
      <c r="N25806" s="28"/>
      <c r="O25806" s="28"/>
      <c r="U25806" s="28"/>
    </row>
    <row r="25807">
      <c r="N25807" s="28"/>
      <c r="O25807" s="28"/>
      <c r="U25807" s="28"/>
    </row>
    <row r="25808">
      <c r="N25808" s="28"/>
      <c r="O25808" s="28"/>
      <c r="U25808" s="28"/>
    </row>
    <row r="25809">
      <c r="N25809" s="28"/>
      <c r="O25809" s="28"/>
      <c r="U25809" s="28"/>
    </row>
    <row r="25810">
      <c r="N25810" s="28"/>
      <c r="O25810" s="28"/>
      <c r="U25810" s="28"/>
    </row>
    <row r="25811">
      <c r="N25811" s="28"/>
      <c r="O25811" s="28"/>
      <c r="U25811" s="28"/>
    </row>
    <row r="25812">
      <c r="N25812" s="28"/>
      <c r="O25812" s="28"/>
      <c r="U25812" s="28"/>
    </row>
    <row r="25813">
      <c r="N25813" s="28"/>
      <c r="O25813" s="28"/>
      <c r="U25813" s="28"/>
    </row>
    <row r="25814">
      <c r="N25814" s="28"/>
      <c r="O25814" s="28"/>
      <c r="U25814" s="28"/>
    </row>
    <row r="25815">
      <c r="N25815" s="28"/>
      <c r="O25815" s="28"/>
      <c r="U25815" s="28"/>
    </row>
    <row r="25816">
      <c r="N25816" s="28"/>
      <c r="O25816" s="28"/>
      <c r="U25816" s="28"/>
    </row>
    <row r="25817">
      <c r="N25817" s="28"/>
      <c r="O25817" s="28"/>
      <c r="U25817" s="28"/>
    </row>
    <row r="25818">
      <c r="N25818" s="28"/>
      <c r="O25818" s="28"/>
      <c r="U25818" s="28"/>
    </row>
    <row r="25819">
      <c r="N25819" s="28"/>
      <c r="O25819" s="28"/>
      <c r="U25819" s="28"/>
    </row>
    <row r="25820">
      <c r="N25820" s="28"/>
      <c r="O25820" s="28"/>
      <c r="U25820" s="28"/>
    </row>
    <row r="25821">
      <c r="N25821" s="28"/>
      <c r="O25821" s="28"/>
      <c r="U25821" s="28"/>
    </row>
    <row r="25822">
      <c r="N25822" s="28"/>
      <c r="O25822" s="28"/>
      <c r="U25822" s="28"/>
    </row>
    <row r="25823">
      <c r="N25823" s="28"/>
      <c r="O25823" s="28"/>
      <c r="U25823" s="28"/>
    </row>
    <row r="25824">
      <c r="N25824" s="28"/>
      <c r="O25824" s="28"/>
      <c r="U25824" s="28"/>
    </row>
    <row r="25825">
      <c r="N25825" s="28"/>
      <c r="O25825" s="28"/>
      <c r="U25825" s="28"/>
    </row>
    <row r="25826">
      <c r="N25826" s="28"/>
      <c r="O25826" s="28"/>
      <c r="U25826" s="28"/>
    </row>
    <row r="25827">
      <c r="N25827" s="28"/>
      <c r="O25827" s="28"/>
      <c r="U25827" s="28"/>
    </row>
    <row r="25828">
      <c r="N25828" s="28"/>
      <c r="O25828" s="28"/>
      <c r="U25828" s="28"/>
    </row>
    <row r="25829">
      <c r="N25829" s="28"/>
      <c r="O25829" s="28"/>
      <c r="U25829" s="28"/>
    </row>
    <row r="25830">
      <c r="N25830" s="28"/>
      <c r="O25830" s="28"/>
      <c r="U25830" s="28"/>
    </row>
    <row r="25831">
      <c r="N25831" s="28"/>
      <c r="O25831" s="28"/>
      <c r="U25831" s="28"/>
    </row>
    <row r="25832">
      <c r="N25832" s="28"/>
      <c r="O25832" s="28"/>
      <c r="U25832" s="28"/>
    </row>
    <row r="25833">
      <c r="N25833" s="28"/>
      <c r="O25833" s="28"/>
      <c r="U25833" s="28"/>
    </row>
    <row r="25834">
      <c r="N25834" s="28"/>
      <c r="O25834" s="28"/>
      <c r="U25834" s="28"/>
    </row>
    <row r="25835">
      <c r="N25835" s="28"/>
      <c r="O25835" s="28"/>
      <c r="U25835" s="28"/>
    </row>
    <row r="25836">
      <c r="N25836" s="28"/>
      <c r="O25836" s="28"/>
      <c r="U25836" s="28"/>
    </row>
    <row r="25837">
      <c r="N25837" s="28"/>
      <c r="O25837" s="28"/>
      <c r="U25837" s="28"/>
    </row>
    <row r="25838">
      <c r="N25838" s="28"/>
      <c r="O25838" s="28"/>
      <c r="U25838" s="28"/>
    </row>
    <row r="25839">
      <c r="N25839" s="28"/>
      <c r="O25839" s="28"/>
      <c r="U25839" s="28"/>
    </row>
    <row r="25840">
      <c r="N25840" s="28"/>
      <c r="O25840" s="28"/>
      <c r="U25840" s="28"/>
    </row>
    <row r="25841">
      <c r="N25841" s="28"/>
      <c r="O25841" s="28"/>
      <c r="U25841" s="28"/>
    </row>
    <row r="25842">
      <c r="N25842" s="28"/>
      <c r="O25842" s="28"/>
      <c r="U25842" s="28"/>
    </row>
    <row r="25843">
      <c r="N25843" s="28"/>
      <c r="O25843" s="28"/>
      <c r="U25843" s="28"/>
    </row>
    <row r="25844">
      <c r="N25844" s="28"/>
      <c r="O25844" s="28"/>
      <c r="U25844" s="28"/>
    </row>
    <row r="25845">
      <c r="N25845" s="28"/>
      <c r="O25845" s="28"/>
      <c r="U25845" s="28"/>
    </row>
    <row r="25846">
      <c r="N25846" s="28"/>
      <c r="O25846" s="28"/>
      <c r="U25846" s="28"/>
    </row>
    <row r="25847">
      <c r="N25847" s="28"/>
      <c r="O25847" s="28"/>
      <c r="U25847" s="28"/>
    </row>
    <row r="25848">
      <c r="N25848" s="28"/>
      <c r="O25848" s="28"/>
      <c r="U25848" s="28"/>
    </row>
    <row r="25849">
      <c r="N25849" s="28"/>
      <c r="O25849" s="28"/>
      <c r="U25849" s="28"/>
    </row>
    <row r="25850">
      <c r="N25850" s="28"/>
      <c r="O25850" s="28"/>
      <c r="U25850" s="28"/>
    </row>
    <row r="25851">
      <c r="N25851" s="28"/>
      <c r="O25851" s="28"/>
      <c r="U25851" s="28"/>
    </row>
    <row r="25852">
      <c r="N25852" s="28"/>
      <c r="O25852" s="28"/>
      <c r="U25852" s="28"/>
    </row>
    <row r="25853">
      <c r="N25853" s="28"/>
      <c r="O25853" s="28"/>
      <c r="U25853" s="28"/>
    </row>
    <row r="25854">
      <c r="N25854" s="28"/>
      <c r="O25854" s="28"/>
      <c r="U25854" s="28"/>
    </row>
    <row r="25855">
      <c r="N25855" s="28"/>
      <c r="O25855" s="28"/>
      <c r="U25855" s="28"/>
    </row>
    <row r="25856">
      <c r="N25856" s="28"/>
      <c r="O25856" s="28"/>
      <c r="U25856" s="28"/>
    </row>
    <row r="25857">
      <c r="N25857" s="28"/>
      <c r="O25857" s="28"/>
      <c r="U25857" s="28"/>
    </row>
    <row r="25858">
      <c r="N25858" s="28"/>
      <c r="O25858" s="28"/>
      <c r="U25858" s="28"/>
    </row>
    <row r="25859">
      <c r="N25859" s="28"/>
      <c r="O25859" s="28"/>
      <c r="U25859" s="28"/>
    </row>
    <row r="25860">
      <c r="N25860" s="28"/>
      <c r="O25860" s="28"/>
      <c r="U25860" s="28"/>
    </row>
    <row r="25861">
      <c r="N25861" s="28"/>
      <c r="O25861" s="28"/>
      <c r="U25861" s="28"/>
    </row>
    <row r="25862">
      <c r="N25862" s="28"/>
      <c r="O25862" s="28"/>
      <c r="U25862" s="28"/>
    </row>
    <row r="25863">
      <c r="N25863" s="28"/>
      <c r="O25863" s="28"/>
      <c r="U25863" s="28"/>
    </row>
    <row r="25864">
      <c r="N25864" s="28"/>
      <c r="O25864" s="28"/>
      <c r="U25864" s="28"/>
    </row>
    <row r="25865">
      <c r="N25865" s="28"/>
      <c r="O25865" s="28"/>
      <c r="U25865" s="28"/>
    </row>
    <row r="25866">
      <c r="N25866" s="28"/>
      <c r="O25866" s="28"/>
      <c r="U25866" s="28"/>
    </row>
    <row r="25867">
      <c r="N25867" s="28"/>
      <c r="O25867" s="28"/>
      <c r="U25867" s="28"/>
    </row>
    <row r="25868">
      <c r="N25868" s="28"/>
      <c r="O25868" s="28"/>
      <c r="U25868" s="28"/>
    </row>
    <row r="25869">
      <c r="N25869" s="28"/>
      <c r="O25869" s="28"/>
      <c r="U25869" s="28"/>
    </row>
    <row r="25870">
      <c r="N25870" s="28"/>
      <c r="O25870" s="28"/>
      <c r="U25870" s="28"/>
    </row>
    <row r="25871">
      <c r="N25871" s="28"/>
      <c r="O25871" s="28"/>
      <c r="U25871" s="28"/>
    </row>
    <row r="25872">
      <c r="N25872" s="28"/>
      <c r="O25872" s="28"/>
      <c r="U25872" s="28"/>
    </row>
    <row r="25873">
      <c r="N25873" s="28"/>
      <c r="O25873" s="28"/>
      <c r="U25873" s="28"/>
    </row>
    <row r="25874">
      <c r="N25874" s="28"/>
      <c r="O25874" s="28"/>
      <c r="U25874" s="28"/>
    </row>
    <row r="25875">
      <c r="N25875" s="28"/>
      <c r="O25875" s="28"/>
      <c r="U25875" s="28"/>
    </row>
    <row r="25876">
      <c r="N25876" s="28"/>
      <c r="O25876" s="28"/>
      <c r="U25876" s="28"/>
    </row>
    <row r="25877">
      <c r="N25877" s="28"/>
      <c r="O25877" s="28"/>
      <c r="U25877" s="28"/>
    </row>
    <row r="25878">
      <c r="N25878" s="28"/>
      <c r="O25878" s="28"/>
      <c r="U25878" s="28"/>
    </row>
    <row r="25879">
      <c r="N25879" s="28"/>
      <c r="O25879" s="28"/>
      <c r="U25879" s="28"/>
    </row>
    <row r="25880">
      <c r="N25880" s="28"/>
      <c r="O25880" s="28"/>
      <c r="U25880" s="28"/>
    </row>
    <row r="25881">
      <c r="N25881" s="28"/>
      <c r="O25881" s="28"/>
      <c r="U25881" s="28"/>
    </row>
    <row r="25882">
      <c r="N25882" s="28"/>
      <c r="O25882" s="28"/>
      <c r="U25882" s="28"/>
    </row>
    <row r="25883">
      <c r="N25883" s="28"/>
      <c r="O25883" s="28"/>
      <c r="U25883" s="28"/>
    </row>
    <row r="25884">
      <c r="N25884" s="28"/>
      <c r="O25884" s="28"/>
      <c r="U25884" s="28"/>
    </row>
    <row r="25885">
      <c r="N25885" s="28"/>
      <c r="O25885" s="28"/>
      <c r="U25885" s="28"/>
    </row>
    <row r="25886">
      <c r="N25886" s="28"/>
      <c r="O25886" s="28"/>
      <c r="U25886" s="28"/>
    </row>
    <row r="25887">
      <c r="N25887" s="28"/>
      <c r="O25887" s="28"/>
      <c r="U25887" s="28"/>
    </row>
    <row r="25888">
      <c r="N25888" s="28"/>
      <c r="O25888" s="28"/>
      <c r="U25888" s="28"/>
    </row>
    <row r="25889">
      <c r="N25889" s="28"/>
      <c r="O25889" s="28"/>
      <c r="U25889" s="28"/>
    </row>
    <row r="25890">
      <c r="N25890" s="28"/>
      <c r="O25890" s="28"/>
      <c r="U25890" s="28"/>
    </row>
    <row r="25891">
      <c r="N25891" s="28"/>
      <c r="O25891" s="28"/>
      <c r="U25891" s="28"/>
    </row>
    <row r="25892">
      <c r="N25892" s="28"/>
      <c r="O25892" s="28"/>
      <c r="U25892" s="28"/>
    </row>
    <row r="25893">
      <c r="N25893" s="28"/>
      <c r="O25893" s="28"/>
      <c r="U25893" s="28"/>
    </row>
    <row r="25894">
      <c r="N25894" s="28"/>
      <c r="O25894" s="28"/>
      <c r="U25894" s="28"/>
    </row>
    <row r="25895">
      <c r="N25895" s="28"/>
      <c r="O25895" s="28"/>
      <c r="U25895" s="28"/>
    </row>
    <row r="25896">
      <c r="N25896" s="28"/>
      <c r="O25896" s="28"/>
      <c r="U25896" s="28"/>
    </row>
    <row r="25897">
      <c r="N25897" s="28"/>
      <c r="O25897" s="28"/>
      <c r="U25897" s="28"/>
    </row>
    <row r="25898">
      <c r="N25898" s="28"/>
      <c r="O25898" s="28"/>
      <c r="U25898" s="28"/>
    </row>
    <row r="25899">
      <c r="N25899" s="28"/>
      <c r="O25899" s="28"/>
      <c r="U25899" s="28"/>
    </row>
    <row r="25900">
      <c r="N25900" s="28"/>
      <c r="O25900" s="28"/>
      <c r="U25900" s="28"/>
    </row>
    <row r="25901">
      <c r="N25901" s="28"/>
      <c r="O25901" s="28"/>
      <c r="U25901" s="28"/>
    </row>
    <row r="25902">
      <c r="N25902" s="28"/>
      <c r="O25902" s="28"/>
      <c r="U25902" s="28"/>
    </row>
    <row r="25903">
      <c r="N25903" s="28"/>
      <c r="O25903" s="28"/>
      <c r="U25903" s="28"/>
    </row>
    <row r="25904">
      <c r="N25904" s="28"/>
      <c r="O25904" s="28"/>
      <c r="U25904" s="28"/>
    </row>
    <row r="25905">
      <c r="N25905" s="28"/>
      <c r="O25905" s="28"/>
      <c r="U25905" s="28"/>
    </row>
    <row r="25906">
      <c r="N25906" s="28"/>
      <c r="O25906" s="28"/>
      <c r="U25906" s="28"/>
    </row>
    <row r="25907">
      <c r="N25907" s="28"/>
      <c r="O25907" s="28"/>
      <c r="U25907" s="28"/>
    </row>
    <row r="25908">
      <c r="N25908" s="28"/>
      <c r="O25908" s="28"/>
      <c r="U25908" s="28"/>
    </row>
    <row r="25909">
      <c r="N25909" s="28"/>
      <c r="O25909" s="28"/>
      <c r="U25909" s="28"/>
    </row>
    <row r="25910">
      <c r="N25910" s="28"/>
      <c r="O25910" s="28"/>
      <c r="U25910" s="28"/>
    </row>
    <row r="25911">
      <c r="N25911" s="28"/>
      <c r="O25911" s="28"/>
      <c r="U25911" s="28"/>
    </row>
    <row r="25912">
      <c r="N25912" s="28"/>
      <c r="O25912" s="28"/>
      <c r="U25912" s="28"/>
    </row>
    <row r="25913">
      <c r="N25913" s="28"/>
      <c r="O25913" s="28"/>
      <c r="U25913" s="28"/>
    </row>
    <row r="25914">
      <c r="N25914" s="28"/>
      <c r="O25914" s="28"/>
      <c r="U25914" s="28"/>
    </row>
    <row r="25915">
      <c r="N25915" s="28"/>
      <c r="O25915" s="28"/>
      <c r="U25915" s="28"/>
    </row>
    <row r="25916">
      <c r="N25916" s="28"/>
      <c r="O25916" s="28"/>
      <c r="U25916" s="28"/>
    </row>
    <row r="25917">
      <c r="N25917" s="28"/>
      <c r="O25917" s="28"/>
      <c r="U25917" s="28"/>
    </row>
    <row r="25918">
      <c r="N25918" s="28"/>
      <c r="O25918" s="28"/>
      <c r="U25918" s="28"/>
    </row>
    <row r="25919">
      <c r="N25919" s="28"/>
      <c r="O25919" s="28"/>
      <c r="U25919" s="28"/>
    </row>
    <row r="25920">
      <c r="N25920" s="28"/>
      <c r="O25920" s="28"/>
      <c r="U25920" s="28"/>
    </row>
    <row r="25921">
      <c r="N25921" s="28"/>
      <c r="O25921" s="28"/>
      <c r="U25921" s="28"/>
    </row>
    <row r="25922">
      <c r="N25922" s="28"/>
      <c r="O25922" s="28"/>
      <c r="U25922" s="28"/>
    </row>
    <row r="25923">
      <c r="N25923" s="28"/>
      <c r="O25923" s="28"/>
      <c r="U25923" s="28"/>
    </row>
    <row r="25924">
      <c r="N25924" s="28"/>
      <c r="O25924" s="28"/>
      <c r="U25924" s="28"/>
    </row>
    <row r="25925">
      <c r="N25925" s="28"/>
      <c r="O25925" s="28"/>
      <c r="U25925" s="28"/>
    </row>
    <row r="25926">
      <c r="N25926" s="28"/>
      <c r="O25926" s="28"/>
      <c r="U25926" s="28"/>
    </row>
    <row r="25927">
      <c r="N25927" s="28"/>
      <c r="O25927" s="28"/>
      <c r="U25927" s="28"/>
    </row>
    <row r="25928">
      <c r="N25928" s="28"/>
      <c r="O25928" s="28"/>
      <c r="U25928" s="28"/>
    </row>
    <row r="25929">
      <c r="N25929" s="28"/>
      <c r="O25929" s="28"/>
      <c r="U25929" s="28"/>
    </row>
    <row r="25930">
      <c r="N25930" s="28"/>
      <c r="O25930" s="28"/>
      <c r="U25930" s="28"/>
    </row>
    <row r="25931">
      <c r="N25931" s="28"/>
      <c r="O25931" s="28"/>
      <c r="U25931" s="28"/>
    </row>
    <row r="25932">
      <c r="N25932" s="28"/>
      <c r="O25932" s="28"/>
      <c r="U25932" s="28"/>
    </row>
    <row r="25933">
      <c r="N25933" s="28"/>
      <c r="O25933" s="28"/>
      <c r="U25933" s="28"/>
    </row>
    <row r="25934">
      <c r="N25934" s="28"/>
      <c r="O25934" s="28"/>
      <c r="U25934" s="28"/>
    </row>
    <row r="25935">
      <c r="N25935" s="28"/>
      <c r="O25935" s="28"/>
      <c r="U25935" s="28"/>
    </row>
    <row r="25936">
      <c r="N25936" s="28"/>
      <c r="O25936" s="28"/>
      <c r="U25936" s="28"/>
    </row>
    <row r="25937">
      <c r="N25937" s="28"/>
      <c r="O25937" s="28"/>
      <c r="U25937" s="28"/>
    </row>
    <row r="25938">
      <c r="N25938" s="28"/>
      <c r="O25938" s="28"/>
      <c r="U25938" s="28"/>
    </row>
    <row r="25939">
      <c r="N25939" s="28"/>
      <c r="O25939" s="28"/>
      <c r="U25939" s="28"/>
    </row>
    <row r="25940">
      <c r="N25940" s="28"/>
      <c r="O25940" s="28"/>
      <c r="U25940" s="28"/>
    </row>
    <row r="25941">
      <c r="N25941" s="28"/>
      <c r="O25941" s="28"/>
      <c r="U25941" s="28"/>
    </row>
    <row r="25942">
      <c r="N25942" s="28"/>
      <c r="O25942" s="28"/>
      <c r="U25942" s="28"/>
    </row>
    <row r="25943">
      <c r="N25943" s="28"/>
      <c r="O25943" s="28"/>
      <c r="U25943" s="28"/>
    </row>
    <row r="25944">
      <c r="N25944" s="28"/>
      <c r="O25944" s="28"/>
      <c r="U25944" s="28"/>
    </row>
    <row r="25945">
      <c r="N25945" s="28"/>
      <c r="O25945" s="28"/>
      <c r="U25945" s="28"/>
    </row>
    <row r="25946">
      <c r="N25946" s="28"/>
      <c r="O25946" s="28"/>
      <c r="U25946" s="28"/>
    </row>
    <row r="25947">
      <c r="N25947" s="28"/>
      <c r="O25947" s="28"/>
      <c r="U25947" s="28"/>
    </row>
    <row r="25948">
      <c r="N25948" s="28"/>
      <c r="O25948" s="28"/>
      <c r="U25948" s="28"/>
    </row>
    <row r="25949">
      <c r="N25949" s="28"/>
      <c r="O25949" s="28"/>
      <c r="U25949" s="28"/>
    </row>
    <row r="25950">
      <c r="N25950" s="28"/>
      <c r="O25950" s="28"/>
      <c r="U25950" s="28"/>
    </row>
    <row r="25951">
      <c r="N25951" s="28"/>
      <c r="O25951" s="28"/>
      <c r="U25951" s="28"/>
    </row>
    <row r="25952">
      <c r="N25952" s="28"/>
      <c r="O25952" s="28"/>
      <c r="U25952" s="28"/>
    </row>
    <row r="25953">
      <c r="N25953" s="28"/>
      <c r="O25953" s="28"/>
      <c r="U25953" s="28"/>
    </row>
    <row r="25954">
      <c r="N25954" s="28"/>
      <c r="O25954" s="28"/>
      <c r="U25954" s="28"/>
    </row>
    <row r="25955">
      <c r="N25955" s="28"/>
      <c r="O25955" s="28"/>
      <c r="U25955" s="28"/>
    </row>
    <row r="25956">
      <c r="N25956" s="28"/>
      <c r="O25956" s="28"/>
      <c r="U25956" s="28"/>
    </row>
    <row r="25957">
      <c r="N25957" s="28"/>
      <c r="O25957" s="28"/>
      <c r="U25957" s="28"/>
    </row>
    <row r="25958">
      <c r="N25958" s="28"/>
      <c r="O25958" s="28"/>
      <c r="U25958" s="28"/>
    </row>
    <row r="25959">
      <c r="N25959" s="28"/>
      <c r="O25959" s="28"/>
      <c r="U25959" s="28"/>
    </row>
    <row r="25960">
      <c r="N25960" s="28"/>
      <c r="O25960" s="28"/>
      <c r="U25960" s="28"/>
    </row>
    <row r="25961">
      <c r="N25961" s="28"/>
      <c r="O25961" s="28"/>
      <c r="U25961" s="28"/>
    </row>
    <row r="25962">
      <c r="N25962" s="28"/>
      <c r="O25962" s="28"/>
      <c r="U25962" s="28"/>
    </row>
    <row r="25963">
      <c r="N25963" s="28"/>
      <c r="O25963" s="28"/>
      <c r="U25963" s="28"/>
    </row>
    <row r="25964">
      <c r="N25964" s="28"/>
      <c r="O25964" s="28"/>
      <c r="U25964" s="28"/>
    </row>
    <row r="25965">
      <c r="N25965" s="28"/>
      <c r="O25965" s="28"/>
      <c r="U25965" s="28"/>
    </row>
    <row r="25966">
      <c r="N25966" s="28"/>
      <c r="O25966" s="28"/>
      <c r="U25966" s="28"/>
    </row>
    <row r="25967">
      <c r="N25967" s="28"/>
      <c r="O25967" s="28"/>
      <c r="U25967" s="28"/>
    </row>
    <row r="25968">
      <c r="N25968" s="28"/>
      <c r="O25968" s="28"/>
      <c r="U25968" s="28"/>
    </row>
    <row r="25969">
      <c r="N25969" s="28"/>
      <c r="O25969" s="28"/>
      <c r="U25969" s="28"/>
    </row>
    <row r="25970">
      <c r="N25970" s="28"/>
      <c r="O25970" s="28"/>
      <c r="U25970" s="28"/>
    </row>
    <row r="25971">
      <c r="N25971" s="28"/>
      <c r="O25971" s="28"/>
      <c r="U25971" s="28"/>
    </row>
    <row r="25972">
      <c r="N25972" s="28"/>
      <c r="O25972" s="28"/>
      <c r="U25972" s="28"/>
    </row>
    <row r="25973">
      <c r="N25973" s="28"/>
      <c r="O25973" s="28"/>
      <c r="U25973" s="28"/>
    </row>
    <row r="25974">
      <c r="N25974" s="28"/>
      <c r="O25974" s="28"/>
      <c r="U25974" s="28"/>
    </row>
    <row r="25975">
      <c r="N25975" s="28"/>
      <c r="O25975" s="28"/>
      <c r="U25975" s="28"/>
    </row>
    <row r="25976">
      <c r="N25976" s="28"/>
      <c r="O25976" s="28"/>
      <c r="U25976" s="28"/>
    </row>
    <row r="25977">
      <c r="N25977" s="28"/>
      <c r="O25977" s="28"/>
      <c r="U25977" s="28"/>
    </row>
    <row r="25978">
      <c r="N25978" s="28"/>
      <c r="O25978" s="28"/>
      <c r="U25978" s="28"/>
    </row>
    <row r="25979">
      <c r="N25979" s="28"/>
      <c r="O25979" s="28"/>
      <c r="U25979" s="28"/>
    </row>
    <row r="25980">
      <c r="N25980" s="28"/>
      <c r="O25980" s="28"/>
      <c r="U25980" s="28"/>
    </row>
    <row r="25981">
      <c r="N25981" s="28"/>
      <c r="O25981" s="28"/>
      <c r="U25981" s="28"/>
    </row>
    <row r="25982">
      <c r="N25982" s="28"/>
      <c r="O25982" s="28"/>
      <c r="U25982" s="28"/>
    </row>
    <row r="25983">
      <c r="N25983" s="28"/>
      <c r="O25983" s="28"/>
      <c r="U25983" s="28"/>
    </row>
    <row r="25984">
      <c r="N25984" s="28"/>
      <c r="O25984" s="28"/>
      <c r="U25984" s="28"/>
    </row>
    <row r="25985">
      <c r="N25985" s="28"/>
      <c r="O25985" s="28"/>
      <c r="U25985" s="28"/>
    </row>
    <row r="25986">
      <c r="N25986" s="28"/>
      <c r="O25986" s="28"/>
      <c r="U25986" s="28"/>
    </row>
    <row r="25987">
      <c r="N25987" s="28"/>
      <c r="O25987" s="28"/>
      <c r="U25987" s="28"/>
    </row>
    <row r="25988">
      <c r="N25988" s="28"/>
      <c r="O25988" s="28"/>
      <c r="U25988" s="28"/>
    </row>
    <row r="25989">
      <c r="N25989" s="28"/>
      <c r="O25989" s="28"/>
      <c r="U25989" s="28"/>
    </row>
    <row r="25990">
      <c r="N25990" s="28"/>
      <c r="O25990" s="28"/>
      <c r="U25990" s="28"/>
    </row>
    <row r="25991">
      <c r="N25991" s="28"/>
      <c r="O25991" s="28"/>
      <c r="U25991" s="28"/>
    </row>
    <row r="25992">
      <c r="N25992" s="28"/>
      <c r="O25992" s="28"/>
      <c r="U25992" s="28"/>
    </row>
    <row r="25993">
      <c r="N25993" s="28"/>
      <c r="O25993" s="28"/>
      <c r="U25993" s="28"/>
    </row>
    <row r="25994">
      <c r="N25994" s="28"/>
      <c r="O25994" s="28"/>
      <c r="U25994" s="28"/>
    </row>
    <row r="25995">
      <c r="N25995" s="28"/>
      <c r="O25995" s="28"/>
      <c r="U25995" s="28"/>
    </row>
    <row r="25996">
      <c r="N25996" s="28"/>
      <c r="O25996" s="28"/>
      <c r="U25996" s="28"/>
    </row>
    <row r="25997">
      <c r="N25997" s="28"/>
      <c r="O25997" s="28"/>
      <c r="U25997" s="28"/>
    </row>
    <row r="25998">
      <c r="N25998" s="28"/>
      <c r="O25998" s="28"/>
      <c r="U25998" s="28"/>
    </row>
    <row r="25999">
      <c r="N25999" s="28"/>
      <c r="O25999" s="28"/>
      <c r="U25999" s="28"/>
    </row>
    <row r="26000">
      <c r="N26000" s="28"/>
      <c r="O26000" s="28"/>
      <c r="U26000" s="28"/>
    </row>
    <row r="26001">
      <c r="N26001" s="28"/>
      <c r="O26001" s="28"/>
      <c r="U26001" s="28"/>
    </row>
    <row r="26002">
      <c r="N26002" s="28"/>
      <c r="O26002" s="28"/>
      <c r="U26002" s="28"/>
    </row>
    <row r="26003">
      <c r="N26003" s="28"/>
      <c r="O26003" s="28"/>
      <c r="U26003" s="28"/>
    </row>
    <row r="26004">
      <c r="N26004" s="28"/>
      <c r="O26004" s="28"/>
      <c r="U26004" s="28"/>
    </row>
    <row r="26005">
      <c r="N26005" s="28"/>
      <c r="O26005" s="28"/>
      <c r="U26005" s="28"/>
    </row>
    <row r="26006">
      <c r="N26006" s="28"/>
      <c r="O26006" s="28"/>
      <c r="U26006" s="28"/>
    </row>
    <row r="26007">
      <c r="N26007" s="28"/>
      <c r="O26007" s="28"/>
      <c r="U26007" s="28"/>
    </row>
    <row r="26008">
      <c r="N26008" s="28"/>
      <c r="O26008" s="28"/>
      <c r="U26008" s="28"/>
    </row>
    <row r="26009">
      <c r="N26009" s="28"/>
      <c r="O26009" s="28"/>
      <c r="U26009" s="28"/>
    </row>
    <row r="26010">
      <c r="N26010" s="28"/>
      <c r="O26010" s="28"/>
      <c r="U26010" s="28"/>
    </row>
    <row r="26011">
      <c r="N26011" s="28"/>
      <c r="O26011" s="28"/>
      <c r="U26011" s="28"/>
    </row>
    <row r="26012">
      <c r="N26012" s="28"/>
      <c r="O26012" s="28"/>
      <c r="U26012" s="28"/>
    </row>
    <row r="26013">
      <c r="N26013" s="28"/>
      <c r="O26013" s="28"/>
      <c r="U26013" s="28"/>
    </row>
    <row r="26014">
      <c r="N26014" s="28"/>
      <c r="O26014" s="28"/>
      <c r="U26014" s="28"/>
    </row>
    <row r="26015">
      <c r="N26015" s="28"/>
      <c r="O26015" s="28"/>
      <c r="U26015" s="28"/>
    </row>
    <row r="26016">
      <c r="N26016" s="28"/>
      <c r="O26016" s="28"/>
      <c r="U26016" s="28"/>
    </row>
    <row r="26017">
      <c r="N26017" s="28"/>
      <c r="O26017" s="28"/>
      <c r="U26017" s="28"/>
    </row>
    <row r="26018">
      <c r="N26018" s="28"/>
      <c r="O26018" s="28"/>
      <c r="U26018" s="28"/>
    </row>
    <row r="26019">
      <c r="N26019" s="28"/>
      <c r="O26019" s="28"/>
      <c r="U26019" s="28"/>
    </row>
    <row r="26020">
      <c r="N26020" s="28"/>
      <c r="O26020" s="28"/>
      <c r="U26020" s="28"/>
    </row>
    <row r="26021">
      <c r="N26021" s="28"/>
      <c r="O26021" s="28"/>
      <c r="U26021" s="28"/>
    </row>
    <row r="26022">
      <c r="N26022" s="28"/>
      <c r="O26022" s="28"/>
      <c r="U26022" s="28"/>
    </row>
    <row r="26023">
      <c r="N26023" s="28"/>
      <c r="O26023" s="28"/>
      <c r="U26023" s="28"/>
    </row>
    <row r="26024">
      <c r="N26024" s="28"/>
      <c r="O26024" s="28"/>
      <c r="U26024" s="28"/>
    </row>
    <row r="26025">
      <c r="N26025" s="28"/>
      <c r="O26025" s="28"/>
      <c r="U26025" s="28"/>
    </row>
    <row r="26026">
      <c r="N26026" s="28"/>
      <c r="O26026" s="28"/>
      <c r="U26026" s="28"/>
    </row>
    <row r="26027">
      <c r="N26027" s="28"/>
      <c r="O26027" s="28"/>
      <c r="U26027" s="28"/>
    </row>
    <row r="26028">
      <c r="N26028" s="28"/>
      <c r="O26028" s="28"/>
      <c r="U26028" s="28"/>
    </row>
    <row r="26029">
      <c r="N26029" s="28"/>
      <c r="O26029" s="28"/>
      <c r="U26029" s="28"/>
    </row>
    <row r="26030">
      <c r="N26030" s="28"/>
      <c r="O26030" s="28"/>
      <c r="U26030" s="28"/>
    </row>
    <row r="26031">
      <c r="N26031" s="28"/>
      <c r="O26031" s="28"/>
      <c r="U26031" s="28"/>
    </row>
    <row r="26032">
      <c r="N26032" s="28"/>
      <c r="O26032" s="28"/>
      <c r="U26032" s="28"/>
    </row>
    <row r="26033">
      <c r="N26033" s="28"/>
      <c r="O26033" s="28"/>
      <c r="U26033" s="28"/>
    </row>
    <row r="26034">
      <c r="N26034" s="28"/>
      <c r="O26034" s="28"/>
      <c r="U26034" s="28"/>
    </row>
    <row r="26035">
      <c r="N26035" s="28"/>
      <c r="O26035" s="28"/>
      <c r="U26035" s="28"/>
    </row>
    <row r="26036">
      <c r="N26036" s="28"/>
      <c r="O26036" s="28"/>
      <c r="U26036" s="28"/>
    </row>
    <row r="26037">
      <c r="N26037" s="28"/>
      <c r="O26037" s="28"/>
      <c r="U26037" s="28"/>
    </row>
    <row r="26038">
      <c r="N26038" s="28"/>
      <c r="O26038" s="28"/>
      <c r="U26038" s="28"/>
    </row>
    <row r="26039">
      <c r="N26039" s="28"/>
      <c r="O26039" s="28"/>
      <c r="U26039" s="28"/>
    </row>
    <row r="26040">
      <c r="N26040" s="28"/>
      <c r="O26040" s="28"/>
      <c r="U26040" s="28"/>
    </row>
    <row r="26041">
      <c r="N26041" s="28"/>
      <c r="O26041" s="28"/>
      <c r="U26041" s="28"/>
    </row>
    <row r="26042">
      <c r="N26042" s="28"/>
      <c r="O26042" s="28"/>
      <c r="U26042" s="28"/>
    </row>
    <row r="26043">
      <c r="N26043" s="28"/>
      <c r="O26043" s="28"/>
      <c r="U26043" s="28"/>
    </row>
    <row r="26044">
      <c r="N26044" s="28"/>
      <c r="O26044" s="28"/>
      <c r="U26044" s="28"/>
    </row>
    <row r="26045">
      <c r="N26045" s="28"/>
      <c r="O26045" s="28"/>
      <c r="U26045" s="28"/>
    </row>
    <row r="26046">
      <c r="N26046" s="28"/>
      <c r="O26046" s="28"/>
      <c r="U26046" s="28"/>
    </row>
    <row r="26047">
      <c r="N26047" s="28"/>
      <c r="O26047" s="28"/>
      <c r="U26047" s="28"/>
    </row>
    <row r="26048">
      <c r="N26048" s="28"/>
      <c r="O26048" s="28"/>
      <c r="U26048" s="28"/>
    </row>
    <row r="26049">
      <c r="N26049" s="28"/>
      <c r="O26049" s="28"/>
      <c r="U26049" s="28"/>
    </row>
    <row r="26050">
      <c r="N26050" s="28"/>
      <c r="O26050" s="28"/>
      <c r="U26050" s="28"/>
    </row>
    <row r="26051">
      <c r="N26051" s="28"/>
      <c r="O26051" s="28"/>
      <c r="U26051" s="28"/>
    </row>
    <row r="26052">
      <c r="N26052" s="28"/>
      <c r="O26052" s="28"/>
      <c r="U26052" s="28"/>
    </row>
    <row r="26053">
      <c r="N26053" s="28"/>
      <c r="O26053" s="28"/>
      <c r="U26053" s="28"/>
    </row>
    <row r="26054">
      <c r="N26054" s="28"/>
      <c r="O26054" s="28"/>
      <c r="U26054" s="28"/>
    </row>
    <row r="26055">
      <c r="N26055" s="28"/>
      <c r="O26055" s="28"/>
      <c r="U26055" s="28"/>
    </row>
    <row r="26056">
      <c r="N26056" s="28"/>
      <c r="O26056" s="28"/>
      <c r="U26056" s="28"/>
    </row>
    <row r="26057">
      <c r="N26057" s="28"/>
      <c r="O26057" s="28"/>
      <c r="U26057" s="28"/>
    </row>
    <row r="26058">
      <c r="N26058" s="28"/>
      <c r="O26058" s="28"/>
      <c r="U26058" s="28"/>
    </row>
    <row r="26059">
      <c r="N26059" s="28"/>
      <c r="O26059" s="28"/>
      <c r="U26059" s="28"/>
    </row>
    <row r="26060">
      <c r="N26060" s="28"/>
      <c r="O26060" s="28"/>
      <c r="U26060" s="28"/>
    </row>
    <row r="26061">
      <c r="N26061" s="28"/>
      <c r="O26061" s="28"/>
      <c r="U26061" s="28"/>
    </row>
    <row r="26062">
      <c r="N26062" s="28"/>
      <c r="O26062" s="28"/>
      <c r="U26062" s="28"/>
    </row>
    <row r="26063">
      <c r="N26063" s="28"/>
      <c r="O26063" s="28"/>
      <c r="U26063" s="28"/>
    </row>
    <row r="26064">
      <c r="N26064" s="28"/>
      <c r="O26064" s="28"/>
      <c r="U26064" s="28"/>
    </row>
    <row r="26065">
      <c r="N26065" s="28"/>
      <c r="O26065" s="28"/>
      <c r="U26065" s="28"/>
    </row>
    <row r="26066">
      <c r="N26066" s="28"/>
      <c r="O26066" s="28"/>
      <c r="U26066" s="28"/>
    </row>
    <row r="26067">
      <c r="N26067" s="28"/>
      <c r="O26067" s="28"/>
      <c r="U26067" s="28"/>
    </row>
    <row r="26068">
      <c r="N26068" s="28"/>
      <c r="O26068" s="28"/>
      <c r="U26068" s="28"/>
    </row>
    <row r="26069">
      <c r="N26069" s="28"/>
      <c r="O26069" s="28"/>
      <c r="U26069" s="28"/>
    </row>
    <row r="26070">
      <c r="N26070" s="28"/>
      <c r="O26070" s="28"/>
      <c r="U26070" s="28"/>
    </row>
    <row r="26071">
      <c r="N26071" s="28"/>
      <c r="O26071" s="28"/>
      <c r="U26071" s="28"/>
    </row>
    <row r="26072">
      <c r="N26072" s="28"/>
      <c r="O26072" s="28"/>
      <c r="U26072" s="28"/>
    </row>
    <row r="26073">
      <c r="N26073" s="28"/>
      <c r="O26073" s="28"/>
      <c r="U26073" s="28"/>
    </row>
    <row r="26074">
      <c r="N26074" s="28"/>
      <c r="O26074" s="28"/>
      <c r="U26074" s="28"/>
    </row>
    <row r="26075">
      <c r="N26075" s="28"/>
      <c r="O26075" s="28"/>
      <c r="U26075" s="28"/>
    </row>
    <row r="26076">
      <c r="N26076" s="28"/>
      <c r="O26076" s="28"/>
      <c r="U26076" s="28"/>
    </row>
    <row r="26077">
      <c r="N26077" s="28"/>
      <c r="O26077" s="28"/>
      <c r="U26077" s="28"/>
    </row>
    <row r="26078">
      <c r="N26078" s="28"/>
      <c r="O26078" s="28"/>
      <c r="U26078" s="28"/>
    </row>
    <row r="26079">
      <c r="N26079" s="28"/>
      <c r="O26079" s="28"/>
      <c r="U26079" s="28"/>
    </row>
    <row r="26080">
      <c r="N26080" s="28"/>
      <c r="O26080" s="28"/>
      <c r="U26080" s="28"/>
    </row>
    <row r="26081">
      <c r="N26081" s="28"/>
      <c r="O26081" s="28"/>
      <c r="U26081" s="28"/>
    </row>
    <row r="26082">
      <c r="N26082" s="28"/>
      <c r="O26082" s="28"/>
      <c r="U26082" s="28"/>
    </row>
    <row r="26083">
      <c r="N26083" s="28"/>
      <c r="O26083" s="28"/>
      <c r="U26083" s="28"/>
    </row>
    <row r="26084">
      <c r="N26084" s="28"/>
      <c r="O26084" s="28"/>
      <c r="U26084" s="28"/>
    </row>
    <row r="26085">
      <c r="N26085" s="28"/>
      <c r="O26085" s="28"/>
      <c r="U26085" s="28"/>
    </row>
    <row r="26086">
      <c r="N26086" s="28"/>
      <c r="O26086" s="28"/>
      <c r="U26086" s="28"/>
    </row>
    <row r="26087">
      <c r="N26087" s="28"/>
      <c r="O26087" s="28"/>
      <c r="U26087" s="28"/>
    </row>
    <row r="26088">
      <c r="N26088" s="28"/>
      <c r="O26088" s="28"/>
      <c r="U26088" s="28"/>
    </row>
    <row r="26089">
      <c r="N26089" s="28"/>
      <c r="O26089" s="28"/>
      <c r="U26089" s="28"/>
    </row>
    <row r="26090">
      <c r="N26090" s="28"/>
      <c r="O26090" s="28"/>
      <c r="U26090" s="28"/>
    </row>
    <row r="26091">
      <c r="N26091" s="28"/>
      <c r="O26091" s="28"/>
      <c r="U26091" s="28"/>
    </row>
    <row r="26092">
      <c r="N26092" s="28"/>
      <c r="O26092" s="28"/>
      <c r="U26092" s="28"/>
    </row>
    <row r="26093">
      <c r="N26093" s="28"/>
      <c r="O26093" s="28"/>
      <c r="U26093" s="28"/>
    </row>
    <row r="26094">
      <c r="N26094" s="28"/>
      <c r="O26094" s="28"/>
      <c r="U26094" s="28"/>
    </row>
    <row r="26095">
      <c r="N26095" s="28"/>
      <c r="O26095" s="28"/>
      <c r="U26095" s="28"/>
    </row>
    <row r="26096">
      <c r="N26096" s="28"/>
      <c r="O26096" s="28"/>
      <c r="U26096" s="28"/>
    </row>
    <row r="26097">
      <c r="N26097" s="28"/>
      <c r="O26097" s="28"/>
      <c r="U26097" s="28"/>
    </row>
    <row r="26098">
      <c r="N26098" s="28"/>
      <c r="O26098" s="28"/>
      <c r="U26098" s="28"/>
    </row>
    <row r="26099">
      <c r="N26099" s="28"/>
      <c r="O26099" s="28"/>
      <c r="U26099" s="28"/>
    </row>
    <row r="26100">
      <c r="N26100" s="28"/>
      <c r="O26100" s="28"/>
      <c r="U26100" s="28"/>
    </row>
    <row r="26101">
      <c r="N26101" s="28"/>
      <c r="O26101" s="28"/>
      <c r="U26101" s="28"/>
    </row>
    <row r="26102">
      <c r="N26102" s="28"/>
      <c r="O26102" s="28"/>
      <c r="U26102" s="28"/>
    </row>
    <row r="26103">
      <c r="N26103" s="28"/>
      <c r="O26103" s="28"/>
      <c r="U26103" s="28"/>
    </row>
    <row r="26104">
      <c r="N26104" s="28"/>
      <c r="O26104" s="28"/>
      <c r="U26104" s="28"/>
    </row>
    <row r="26105">
      <c r="N26105" s="28"/>
      <c r="O26105" s="28"/>
      <c r="U26105" s="28"/>
    </row>
    <row r="26106">
      <c r="N26106" s="28"/>
      <c r="O26106" s="28"/>
      <c r="U26106" s="28"/>
    </row>
    <row r="26107">
      <c r="N26107" s="28"/>
      <c r="O26107" s="28"/>
      <c r="U26107" s="28"/>
    </row>
    <row r="26108">
      <c r="N26108" s="28"/>
      <c r="O26108" s="28"/>
      <c r="U26108" s="28"/>
    </row>
    <row r="26109">
      <c r="N26109" s="28"/>
      <c r="O26109" s="28"/>
      <c r="U26109" s="28"/>
    </row>
    <row r="26110">
      <c r="N26110" s="28"/>
      <c r="O26110" s="28"/>
      <c r="U26110" s="28"/>
    </row>
    <row r="26111">
      <c r="N26111" s="28"/>
      <c r="O26111" s="28"/>
      <c r="U26111" s="28"/>
    </row>
    <row r="26112">
      <c r="N26112" s="28"/>
      <c r="O26112" s="28"/>
      <c r="U26112" s="28"/>
    </row>
    <row r="26113">
      <c r="N26113" s="28"/>
      <c r="O26113" s="28"/>
      <c r="U26113" s="28"/>
    </row>
    <row r="26114">
      <c r="N26114" s="28"/>
      <c r="O26114" s="28"/>
      <c r="U26114" s="28"/>
    </row>
    <row r="26115">
      <c r="N26115" s="28"/>
      <c r="O26115" s="28"/>
      <c r="U26115" s="28"/>
    </row>
    <row r="26116">
      <c r="N26116" s="28"/>
      <c r="O26116" s="28"/>
      <c r="U26116" s="28"/>
    </row>
    <row r="26117">
      <c r="N26117" s="28"/>
      <c r="O26117" s="28"/>
      <c r="U26117" s="28"/>
    </row>
    <row r="26118">
      <c r="N26118" s="28"/>
      <c r="O26118" s="28"/>
      <c r="U26118" s="28"/>
    </row>
    <row r="26119">
      <c r="N26119" s="28"/>
      <c r="O26119" s="28"/>
      <c r="U26119" s="28"/>
    </row>
    <row r="26120">
      <c r="N26120" s="28"/>
      <c r="O26120" s="28"/>
      <c r="U26120" s="28"/>
    </row>
    <row r="26121">
      <c r="N26121" s="28"/>
      <c r="O26121" s="28"/>
      <c r="U26121" s="28"/>
    </row>
    <row r="26122">
      <c r="N26122" s="28"/>
      <c r="O26122" s="28"/>
      <c r="U26122" s="28"/>
    </row>
    <row r="26123">
      <c r="N26123" s="28"/>
      <c r="O26123" s="28"/>
      <c r="U26123" s="28"/>
    </row>
    <row r="26124">
      <c r="N26124" s="28"/>
      <c r="O26124" s="28"/>
      <c r="U26124" s="28"/>
    </row>
    <row r="26125">
      <c r="N26125" s="28"/>
      <c r="O26125" s="28"/>
      <c r="U26125" s="28"/>
    </row>
    <row r="26126">
      <c r="N26126" s="28"/>
      <c r="O26126" s="28"/>
      <c r="U26126" s="28"/>
    </row>
    <row r="26127">
      <c r="N26127" s="28"/>
      <c r="O26127" s="28"/>
      <c r="U26127" s="28"/>
    </row>
    <row r="26128">
      <c r="N26128" s="28"/>
      <c r="O26128" s="28"/>
      <c r="U26128" s="28"/>
    </row>
    <row r="26129">
      <c r="N26129" s="28"/>
      <c r="O26129" s="28"/>
      <c r="U26129" s="28"/>
    </row>
    <row r="26130">
      <c r="N26130" s="28"/>
      <c r="O26130" s="28"/>
      <c r="U26130" s="28"/>
    </row>
    <row r="26131">
      <c r="N26131" s="28"/>
      <c r="O26131" s="28"/>
      <c r="U26131" s="28"/>
    </row>
    <row r="26132">
      <c r="N26132" s="28"/>
      <c r="O26132" s="28"/>
      <c r="U26132" s="28"/>
    </row>
    <row r="26133">
      <c r="N26133" s="28"/>
      <c r="O26133" s="28"/>
      <c r="U26133" s="28"/>
    </row>
    <row r="26134">
      <c r="N26134" s="28"/>
      <c r="O26134" s="28"/>
      <c r="U26134" s="28"/>
    </row>
    <row r="26135">
      <c r="N26135" s="28"/>
      <c r="O26135" s="28"/>
      <c r="U26135" s="28"/>
    </row>
    <row r="26136">
      <c r="N26136" s="28"/>
      <c r="O26136" s="28"/>
      <c r="U26136" s="28"/>
    </row>
    <row r="26137">
      <c r="N26137" s="28"/>
      <c r="O26137" s="28"/>
      <c r="U26137" s="28"/>
    </row>
    <row r="26138">
      <c r="N26138" s="28"/>
      <c r="O26138" s="28"/>
      <c r="U26138" s="28"/>
    </row>
    <row r="26139">
      <c r="N26139" s="28"/>
      <c r="O26139" s="28"/>
      <c r="U26139" s="28"/>
    </row>
    <row r="26140">
      <c r="N26140" s="28"/>
      <c r="O26140" s="28"/>
      <c r="U26140" s="28"/>
    </row>
    <row r="26141">
      <c r="N26141" s="28"/>
      <c r="O26141" s="28"/>
      <c r="U26141" s="28"/>
    </row>
    <row r="26142">
      <c r="N26142" s="28"/>
      <c r="O26142" s="28"/>
      <c r="U26142" s="28"/>
    </row>
    <row r="26143">
      <c r="N26143" s="28"/>
      <c r="O26143" s="28"/>
      <c r="U26143" s="28"/>
    </row>
    <row r="26144">
      <c r="N26144" s="28"/>
      <c r="O26144" s="28"/>
      <c r="U26144" s="28"/>
    </row>
    <row r="26145">
      <c r="N26145" s="28"/>
      <c r="O26145" s="28"/>
      <c r="U26145" s="28"/>
    </row>
    <row r="26146">
      <c r="N26146" s="28"/>
      <c r="O26146" s="28"/>
      <c r="U26146" s="28"/>
    </row>
    <row r="26147">
      <c r="N26147" s="28"/>
      <c r="O26147" s="28"/>
      <c r="U26147" s="28"/>
    </row>
    <row r="26148">
      <c r="N26148" s="28"/>
      <c r="O26148" s="28"/>
      <c r="U26148" s="28"/>
    </row>
    <row r="26149">
      <c r="N26149" s="28"/>
      <c r="O26149" s="28"/>
      <c r="U26149" s="28"/>
    </row>
    <row r="26150">
      <c r="N26150" s="28"/>
      <c r="O26150" s="28"/>
      <c r="U26150" s="28"/>
    </row>
    <row r="26151">
      <c r="N26151" s="28"/>
      <c r="O26151" s="28"/>
      <c r="U26151" s="28"/>
    </row>
    <row r="26152">
      <c r="N26152" s="28"/>
      <c r="O26152" s="28"/>
      <c r="U26152" s="28"/>
    </row>
    <row r="26153">
      <c r="N26153" s="28"/>
      <c r="O26153" s="28"/>
      <c r="U26153" s="28"/>
    </row>
    <row r="26154">
      <c r="N26154" s="28"/>
      <c r="O26154" s="28"/>
      <c r="U26154" s="28"/>
    </row>
    <row r="26155">
      <c r="N26155" s="28"/>
      <c r="O26155" s="28"/>
      <c r="U26155" s="28"/>
    </row>
    <row r="26156">
      <c r="N26156" s="28"/>
      <c r="O26156" s="28"/>
      <c r="U26156" s="28"/>
    </row>
    <row r="26157">
      <c r="N26157" s="28"/>
      <c r="O26157" s="28"/>
      <c r="U26157" s="28"/>
    </row>
    <row r="26158">
      <c r="N26158" s="28"/>
      <c r="O26158" s="28"/>
      <c r="U26158" s="28"/>
    </row>
    <row r="26159">
      <c r="N26159" s="28"/>
      <c r="O26159" s="28"/>
      <c r="U26159" s="28"/>
    </row>
    <row r="26160">
      <c r="N26160" s="28"/>
      <c r="O26160" s="28"/>
      <c r="U26160" s="28"/>
    </row>
    <row r="26161">
      <c r="N26161" s="28"/>
      <c r="O26161" s="28"/>
      <c r="U26161" s="28"/>
    </row>
    <row r="26162">
      <c r="N26162" s="28"/>
      <c r="O26162" s="28"/>
      <c r="U26162" s="28"/>
    </row>
    <row r="26163">
      <c r="N26163" s="28"/>
      <c r="O26163" s="28"/>
      <c r="U26163" s="28"/>
    </row>
    <row r="26164">
      <c r="N26164" s="28"/>
      <c r="O26164" s="28"/>
      <c r="U26164" s="28"/>
    </row>
    <row r="26165">
      <c r="N26165" s="28"/>
      <c r="O26165" s="28"/>
      <c r="U26165" s="28"/>
    </row>
    <row r="26166">
      <c r="N26166" s="28"/>
      <c r="O26166" s="28"/>
      <c r="U26166" s="28"/>
    </row>
    <row r="26167">
      <c r="N26167" s="28"/>
      <c r="O26167" s="28"/>
      <c r="U26167" s="28"/>
    </row>
    <row r="26168">
      <c r="N26168" s="28"/>
      <c r="O26168" s="28"/>
      <c r="U26168" s="28"/>
    </row>
    <row r="26169">
      <c r="N26169" s="28"/>
      <c r="O26169" s="28"/>
      <c r="U26169" s="28"/>
    </row>
    <row r="26170">
      <c r="N26170" s="28"/>
      <c r="O26170" s="28"/>
      <c r="U26170" s="28"/>
    </row>
    <row r="26171">
      <c r="N26171" s="28"/>
      <c r="O26171" s="28"/>
      <c r="U26171" s="28"/>
    </row>
    <row r="26172">
      <c r="N26172" s="28"/>
      <c r="O26172" s="28"/>
      <c r="U26172" s="28"/>
    </row>
    <row r="26173">
      <c r="N26173" s="28"/>
      <c r="O26173" s="28"/>
      <c r="U26173" s="28"/>
    </row>
    <row r="26174">
      <c r="N26174" s="28"/>
      <c r="O26174" s="28"/>
      <c r="U26174" s="28"/>
    </row>
    <row r="26175">
      <c r="N26175" s="28"/>
      <c r="O26175" s="28"/>
      <c r="U26175" s="28"/>
    </row>
    <row r="26176">
      <c r="N26176" s="28"/>
      <c r="O26176" s="28"/>
      <c r="U26176" s="28"/>
    </row>
    <row r="26177">
      <c r="N26177" s="28"/>
      <c r="O26177" s="28"/>
      <c r="U26177" s="28"/>
    </row>
    <row r="26178">
      <c r="N26178" s="28"/>
      <c r="O26178" s="28"/>
      <c r="U26178" s="28"/>
    </row>
    <row r="26179">
      <c r="N26179" s="28"/>
      <c r="O26179" s="28"/>
      <c r="U26179" s="28"/>
    </row>
    <row r="26180">
      <c r="N26180" s="28"/>
      <c r="O26180" s="28"/>
      <c r="U26180" s="28"/>
    </row>
    <row r="26181">
      <c r="N26181" s="28"/>
      <c r="O26181" s="28"/>
      <c r="U26181" s="28"/>
    </row>
    <row r="26182">
      <c r="N26182" s="28"/>
      <c r="O26182" s="28"/>
      <c r="U26182" s="28"/>
    </row>
    <row r="26183">
      <c r="N26183" s="28"/>
      <c r="O26183" s="28"/>
      <c r="U26183" s="28"/>
    </row>
    <row r="26184">
      <c r="N26184" s="28"/>
      <c r="O26184" s="28"/>
      <c r="U26184" s="28"/>
    </row>
    <row r="26185">
      <c r="N26185" s="28"/>
      <c r="O26185" s="28"/>
      <c r="U26185" s="28"/>
    </row>
    <row r="26186">
      <c r="N26186" s="28"/>
      <c r="O26186" s="28"/>
      <c r="U26186" s="28"/>
    </row>
    <row r="26187">
      <c r="N26187" s="28"/>
      <c r="O26187" s="28"/>
      <c r="U26187" s="28"/>
    </row>
    <row r="26188">
      <c r="N26188" s="28"/>
      <c r="O26188" s="28"/>
      <c r="U26188" s="28"/>
    </row>
    <row r="26189">
      <c r="N26189" s="28"/>
      <c r="O26189" s="28"/>
      <c r="U26189" s="28"/>
    </row>
    <row r="26190">
      <c r="N26190" s="28"/>
      <c r="O26190" s="28"/>
      <c r="U26190" s="28"/>
    </row>
    <row r="26191">
      <c r="N26191" s="28"/>
      <c r="O26191" s="28"/>
      <c r="U26191" s="28"/>
    </row>
    <row r="26192">
      <c r="N26192" s="28"/>
      <c r="O26192" s="28"/>
      <c r="U26192" s="28"/>
    </row>
    <row r="26193">
      <c r="N26193" s="28"/>
      <c r="O26193" s="28"/>
      <c r="U26193" s="28"/>
    </row>
    <row r="26194">
      <c r="N26194" s="28"/>
      <c r="O26194" s="28"/>
      <c r="U26194" s="28"/>
    </row>
    <row r="26195">
      <c r="N26195" s="28"/>
      <c r="O26195" s="28"/>
      <c r="U26195" s="28"/>
    </row>
    <row r="26196">
      <c r="N26196" s="28"/>
      <c r="O26196" s="28"/>
      <c r="U26196" s="28"/>
    </row>
    <row r="26197">
      <c r="N26197" s="28"/>
      <c r="O26197" s="28"/>
      <c r="U26197" s="28"/>
    </row>
    <row r="26198">
      <c r="N26198" s="28"/>
      <c r="O26198" s="28"/>
      <c r="U26198" s="28"/>
    </row>
    <row r="26199">
      <c r="N26199" s="28"/>
      <c r="O26199" s="28"/>
      <c r="U26199" s="28"/>
    </row>
    <row r="26200">
      <c r="N26200" s="28"/>
      <c r="O26200" s="28"/>
      <c r="U26200" s="28"/>
    </row>
    <row r="26201">
      <c r="N26201" s="28"/>
      <c r="O26201" s="28"/>
      <c r="U26201" s="28"/>
    </row>
    <row r="26202">
      <c r="N26202" s="28"/>
      <c r="O26202" s="28"/>
      <c r="U26202" s="28"/>
    </row>
    <row r="26203">
      <c r="N26203" s="28"/>
      <c r="O26203" s="28"/>
      <c r="U26203" s="28"/>
    </row>
    <row r="26204">
      <c r="N26204" s="28"/>
      <c r="O26204" s="28"/>
      <c r="U26204" s="28"/>
    </row>
    <row r="26205">
      <c r="N26205" s="28"/>
      <c r="O26205" s="28"/>
      <c r="U26205" s="28"/>
    </row>
    <row r="26206">
      <c r="N26206" s="28"/>
      <c r="O26206" s="28"/>
      <c r="U26206" s="28"/>
    </row>
    <row r="26207">
      <c r="N26207" s="28"/>
      <c r="O26207" s="28"/>
      <c r="U26207" s="28"/>
    </row>
    <row r="26208">
      <c r="N26208" s="28"/>
      <c r="O26208" s="28"/>
      <c r="U26208" s="28"/>
    </row>
    <row r="26209">
      <c r="N26209" s="28"/>
      <c r="O26209" s="28"/>
      <c r="U26209" s="28"/>
    </row>
    <row r="26210">
      <c r="N26210" s="28"/>
      <c r="O26210" s="28"/>
      <c r="U26210" s="28"/>
    </row>
    <row r="26211">
      <c r="N26211" s="28"/>
      <c r="O26211" s="28"/>
      <c r="U26211" s="28"/>
    </row>
    <row r="26212">
      <c r="N26212" s="28"/>
      <c r="O26212" s="28"/>
      <c r="U26212" s="28"/>
    </row>
    <row r="26213">
      <c r="N26213" s="28"/>
      <c r="O26213" s="28"/>
      <c r="U26213" s="28"/>
    </row>
    <row r="26214">
      <c r="N26214" s="28"/>
      <c r="O26214" s="28"/>
      <c r="U26214" s="28"/>
    </row>
    <row r="26215">
      <c r="N26215" s="28"/>
      <c r="O26215" s="28"/>
      <c r="U26215" s="28"/>
    </row>
    <row r="26216">
      <c r="N26216" s="28"/>
      <c r="O26216" s="28"/>
      <c r="U26216" s="28"/>
    </row>
    <row r="26217">
      <c r="N26217" s="28"/>
      <c r="O26217" s="28"/>
      <c r="U26217" s="28"/>
    </row>
    <row r="26218">
      <c r="N26218" s="28"/>
      <c r="O26218" s="28"/>
      <c r="U26218" s="28"/>
    </row>
    <row r="26219">
      <c r="N26219" s="28"/>
      <c r="O26219" s="28"/>
      <c r="U26219" s="28"/>
    </row>
    <row r="26220">
      <c r="N26220" s="28"/>
      <c r="O26220" s="28"/>
      <c r="U26220" s="28"/>
    </row>
    <row r="26221">
      <c r="N26221" s="28"/>
      <c r="O26221" s="28"/>
      <c r="U26221" s="28"/>
    </row>
    <row r="26222">
      <c r="N26222" s="28"/>
      <c r="O26222" s="28"/>
      <c r="U26222" s="28"/>
    </row>
    <row r="26223">
      <c r="N26223" s="28"/>
      <c r="O26223" s="28"/>
      <c r="U26223" s="28"/>
    </row>
    <row r="26224">
      <c r="N26224" s="28"/>
      <c r="O26224" s="28"/>
      <c r="U26224" s="28"/>
    </row>
    <row r="26225">
      <c r="N26225" s="28"/>
      <c r="O26225" s="28"/>
      <c r="U26225" s="28"/>
    </row>
    <row r="26226">
      <c r="N26226" s="28"/>
      <c r="O26226" s="28"/>
      <c r="U26226" s="28"/>
    </row>
    <row r="26227">
      <c r="N26227" s="28"/>
      <c r="O26227" s="28"/>
      <c r="U26227" s="28"/>
    </row>
    <row r="26228">
      <c r="N26228" s="28"/>
      <c r="O26228" s="28"/>
      <c r="U26228" s="28"/>
    </row>
    <row r="26229">
      <c r="N26229" s="28"/>
      <c r="O26229" s="28"/>
      <c r="U26229" s="28"/>
    </row>
    <row r="26230">
      <c r="N26230" s="28"/>
      <c r="O26230" s="28"/>
      <c r="U26230" s="28"/>
    </row>
    <row r="26231">
      <c r="N26231" s="28"/>
      <c r="O26231" s="28"/>
      <c r="U26231" s="28"/>
    </row>
    <row r="26232">
      <c r="N26232" s="28"/>
      <c r="O26232" s="28"/>
      <c r="U26232" s="28"/>
    </row>
    <row r="26233">
      <c r="N26233" s="28"/>
      <c r="O26233" s="28"/>
      <c r="U26233" s="28"/>
    </row>
    <row r="26234">
      <c r="N26234" s="28"/>
      <c r="O26234" s="28"/>
      <c r="U26234" s="28"/>
    </row>
    <row r="26235">
      <c r="N26235" s="28"/>
      <c r="O26235" s="28"/>
      <c r="U26235" s="28"/>
    </row>
    <row r="26236">
      <c r="N26236" s="28"/>
      <c r="O26236" s="28"/>
      <c r="U26236" s="28"/>
    </row>
    <row r="26237">
      <c r="N26237" s="28"/>
      <c r="O26237" s="28"/>
      <c r="U26237" s="28"/>
    </row>
    <row r="26238">
      <c r="N26238" s="28"/>
      <c r="O26238" s="28"/>
      <c r="U26238" s="28"/>
    </row>
    <row r="26239">
      <c r="N26239" s="28"/>
      <c r="O26239" s="28"/>
      <c r="U26239" s="28"/>
    </row>
    <row r="26240">
      <c r="N26240" s="28"/>
      <c r="O26240" s="28"/>
      <c r="U26240" s="28"/>
    </row>
    <row r="26241">
      <c r="N26241" s="28"/>
      <c r="O26241" s="28"/>
      <c r="U26241" s="28"/>
    </row>
    <row r="26242">
      <c r="N26242" s="28"/>
      <c r="O26242" s="28"/>
      <c r="U26242" s="28"/>
    </row>
    <row r="26243">
      <c r="N26243" s="28"/>
      <c r="O26243" s="28"/>
      <c r="U26243" s="28"/>
    </row>
    <row r="26244">
      <c r="N26244" s="28"/>
      <c r="O26244" s="28"/>
      <c r="U26244" s="28"/>
    </row>
    <row r="26245">
      <c r="N26245" s="28"/>
      <c r="O26245" s="28"/>
      <c r="U26245" s="28"/>
    </row>
    <row r="26246">
      <c r="N26246" s="28"/>
      <c r="O26246" s="28"/>
      <c r="U26246" s="28"/>
    </row>
    <row r="26247">
      <c r="N26247" s="28"/>
      <c r="O26247" s="28"/>
      <c r="U26247" s="28"/>
    </row>
    <row r="26248">
      <c r="N26248" s="28"/>
      <c r="O26248" s="28"/>
      <c r="U26248" s="28"/>
    </row>
    <row r="26249">
      <c r="N26249" s="28"/>
      <c r="O26249" s="28"/>
      <c r="U26249" s="28"/>
    </row>
    <row r="26250">
      <c r="N26250" s="28"/>
      <c r="O26250" s="28"/>
      <c r="U26250" s="28"/>
    </row>
    <row r="26251">
      <c r="N26251" s="28"/>
      <c r="O26251" s="28"/>
      <c r="U26251" s="28"/>
    </row>
    <row r="26252">
      <c r="N26252" s="28"/>
      <c r="O26252" s="28"/>
      <c r="U26252" s="28"/>
    </row>
    <row r="26253">
      <c r="N26253" s="28"/>
      <c r="O26253" s="28"/>
      <c r="U26253" s="28"/>
    </row>
    <row r="26254">
      <c r="N26254" s="28"/>
      <c r="O26254" s="28"/>
      <c r="U26254" s="28"/>
    </row>
    <row r="26255">
      <c r="N26255" s="28"/>
      <c r="O26255" s="28"/>
      <c r="U26255" s="28"/>
    </row>
    <row r="26256">
      <c r="N26256" s="28"/>
      <c r="O26256" s="28"/>
      <c r="U26256" s="28"/>
    </row>
    <row r="26257">
      <c r="N26257" s="28"/>
      <c r="O26257" s="28"/>
      <c r="U26257" s="28"/>
    </row>
    <row r="26258">
      <c r="N26258" s="28"/>
      <c r="O26258" s="28"/>
      <c r="U26258" s="28"/>
    </row>
    <row r="26259">
      <c r="N26259" s="28"/>
      <c r="O26259" s="28"/>
      <c r="U26259" s="28"/>
    </row>
    <row r="26260">
      <c r="N26260" s="28"/>
      <c r="O26260" s="28"/>
      <c r="U26260" s="28"/>
    </row>
    <row r="26261">
      <c r="N26261" s="28"/>
      <c r="O26261" s="28"/>
      <c r="U26261" s="28"/>
    </row>
    <row r="26262">
      <c r="N26262" s="28"/>
      <c r="O26262" s="28"/>
      <c r="U26262" s="28"/>
    </row>
    <row r="26263">
      <c r="N26263" s="28"/>
      <c r="O26263" s="28"/>
      <c r="U26263" s="28"/>
    </row>
    <row r="26264">
      <c r="N26264" s="28"/>
      <c r="O26264" s="28"/>
      <c r="U26264" s="28"/>
    </row>
    <row r="26265">
      <c r="N26265" s="28"/>
      <c r="O26265" s="28"/>
      <c r="U26265" s="28"/>
    </row>
    <row r="26266">
      <c r="N26266" s="28"/>
      <c r="O26266" s="28"/>
      <c r="U26266" s="28"/>
    </row>
    <row r="26267">
      <c r="N26267" s="28"/>
      <c r="O26267" s="28"/>
      <c r="U26267" s="28"/>
    </row>
    <row r="26268">
      <c r="N26268" s="28"/>
      <c r="O26268" s="28"/>
      <c r="U26268" s="28"/>
    </row>
    <row r="26269">
      <c r="N26269" s="28"/>
      <c r="O26269" s="28"/>
      <c r="U26269" s="28"/>
    </row>
    <row r="26270">
      <c r="N26270" s="28"/>
      <c r="O26270" s="28"/>
      <c r="U26270" s="28"/>
    </row>
    <row r="26271">
      <c r="N26271" s="28"/>
      <c r="O26271" s="28"/>
      <c r="U26271" s="28"/>
    </row>
    <row r="26272">
      <c r="N26272" s="28"/>
      <c r="O26272" s="28"/>
      <c r="U26272" s="28"/>
    </row>
    <row r="26273">
      <c r="N26273" s="28"/>
      <c r="O26273" s="28"/>
      <c r="U26273" s="28"/>
    </row>
    <row r="26274">
      <c r="N26274" s="28"/>
      <c r="O26274" s="28"/>
      <c r="U26274" s="28"/>
    </row>
    <row r="26275">
      <c r="N26275" s="28"/>
      <c r="O26275" s="28"/>
      <c r="U26275" s="28"/>
    </row>
    <row r="26276">
      <c r="N26276" s="28"/>
      <c r="O26276" s="28"/>
      <c r="U26276" s="28"/>
    </row>
    <row r="26277">
      <c r="N26277" s="28"/>
      <c r="O26277" s="28"/>
      <c r="U26277" s="28"/>
    </row>
    <row r="26278">
      <c r="N26278" s="28"/>
      <c r="O26278" s="28"/>
      <c r="U26278" s="28"/>
    </row>
    <row r="26279">
      <c r="N26279" s="28"/>
      <c r="O26279" s="28"/>
      <c r="U26279" s="28"/>
    </row>
    <row r="26280">
      <c r="N26280" s="28"/>
      <c r="O26280" s="28"/>
      <c r="U26280" s="28"/>
    </row>
    <row r="26281">
      <c r="N26281" s="28"/>
      <c r="O26281" s="28"/>
      <c r="U26281" s="28"/>
    </row>
    <row r="26282">
      <c r="N26282" s="28"/>
      <c r="O26282" s="28"/>
      <c r="U26282" s="28"/>
    </row>
    <row r="26283">
      <c r="N26283" s="28"/>
      <c r="O26283" s="28"/>
      <c r="U26283" s="28"/>
    </row>
    <row r="26284">
      <c r="N26284" s="28"/>
      <c r="O26284" s="28"/>
      <c r="U26284" s="28"/>
    </row>
    <row r="26285">
      <c r="N26285" s="28"/>
      <c r="O26285" s="28"/>
      <c r="U26285" s="28"/>
    </row>
    <row r="26286">
      <c r="N26286" s="28"/>
      <c r="O26286" s="28"/>
      <c r="U26286" s="28"/>
    </row>
    <row r="26287">
      <c r="N26287" s="28"/>
      <c r="O26287" s="28"/>
      <c r="U26287" s="28"/>
    </row>
    <row r="26288">
      <c r="N26288" s="28"/>
      <c r="O26288" s="28"/>
      <c r="U26288" s="28"/>
    </row>
    <row r="26289">
      <c r="N26289" s="28"/>
      <c r="O26289" s="28"/>
      <c r="U26289" s="28"/>
    </row>
    <row r="26290">
      <c r="N26290" s="28"/>
      <c r="O26290" s="28"/>
      <c r="U26290" s="28"/>
    </row>
    <row r="26291">
      <c r="N26291" s="28"/>
      <c r="O26291" s="28"/>
      <c r="U26291" s="28"/>
    </row>
    <row r="26292">
      <c r="N26292" s="28"/>
      <c r="O26292" s="28"/>
      <c r="U26292" s="28"/>
    </row>
    <row r="26293">
      <c r="N26293" s="28"/>
      <c r="O26293" s="28"/>
      <c r="U26293" s="28"/>
    </row>
    <row r="26294">
      <c r="N26294" s="28"/>
      <c r="O26294" s="28"/>
      <c r="U26294" s="28"/>
    </row>
    <row r="26295">
      <c r="N26295" s="28"/>
      <c r="O26295" s="28"/>
      <c r="U26295" s="28"/>
    </row>
    <row r="26296">
      <c r="N26296" s="28"/>
      <c r="O26296" s="28"/>
      <c r="U26296" s="28"/>
    </row>
    <row r="26297">
      <c r="N26297" s="28"/>
      <c r="O26297" s="28"/>
      <c r="U26297" s="28"/>
    </row>
    <row r="26298">
      <c r="N26298" s="28"/>
      <c r="O26298" s="28"/>
      <c r="U26298" s="28"/>
    </row>
    <row r="26299">
      <c r="N26299" s="28"/>
      <c r="O26299" s="28"/>
      <c r="U26299" s="28"/>
    </row>
    <row r="26300">
      <c r="N26300" s="28"/>
      <c r="O26300" s="28"/>
      <c r="U26300" s="28"/>
    </row>
    <row r="26301">
      <c r="N26301" s="28"/>
      <c r="O26301" s="28"/>
      <c r="U26301" s="28"/>
    </row>
    <row r="26302">
      <c r="N26302" s="28"/>
      <c r="O26302" s="28"/>
      <c r="U26302" s="28"/>
    </row>
    <row r="26303">
      <c r="N26303" s="28"/>
      <c r="O26303" s="28"/>
      <c r="U26303" s="28"/>
    </row>
    <row r="26304">
      <c r="N26304" s="28"/>
      <c r="O26304" s="28"/>
      <c r="U26304" s="28"/>
    </row>
    <row r="26305">
      <c r="N26305" s="28"/>
      <c r="O26305" s="28"/>
      <c r="U26305" s="28"/>
    </row>
    <row r="26306">
      <c r="N26306" s="28"/>
      <c r="O26306" s="28"/>
      <c r="U26306" s="28"/>
    </row>
    <row r="26307">
      <c r="N26307" s="28"/>
      <c r="O26307" s="28"/>
      <c r="U26307" s="28"/>
    </row>
    <row r="26308">
      <c r="N26308" s="28"/>
      <c r="O26308" s="28"/>
      <c r="U26308" s="28"/>
    </row>
    <row r="26309">
      <c r="N26309" s="28"/>
      <c r="O26309" s="28"/>
      <c r="U26309" s="28"/>
    </row>
    <row r="26310">
      <c r="N26310" s="28"/>
      <c r="O26310" s="28"/>
      <c r="U26310" s="28"/>
    </row>
    <row r="26311">
      <c r="N26311" s="28"/>
      <c r="O26311" s="28"/>
      <c r="U26311" s="28"/>
    </row>
    <row r="26312">
      <c r="N26312" s="28"/>
      <c r="O26312" s="28"/>
      <c r="U26312" s="28"/>
    </row>
    <row r="26313">
      <c r="N26313" s="28"/>
      <c r="O26313" s="28"/>
      <c r="U26313" s="28"/>
    </row>
    <row r="26314">
      <c r="N26314" s="28"/>
      <c r="O26314" s="28"/>
      <c r="U26314" s="28"/>
    </row>
    <row r="26315">
      <c r="N26315" s="28"/>
      <c r="O26315" s="28"/>
      <c r="U26315" s="28"/>
    </row>
    <row r="26316">
      <c r="N26316" s="28"/>
      <c r="O26316" s="28"/>
      <c r="U26316" s="28"/>
    </row>
    <row r="26317">
      <c r="N26317" s="28"/>
      <c r="O26317" s="28"/>
      <c r="U26317" s="28"/>
    </row>
    <row r="26318">
      <c r="N26318" s="28"/>
      <c r="O26318" s="28"/>
      <c r="U26318" s="28"/>
    </row>
    <row r="26319">
      <c r="N26319" s="28"/>
      <c r="O26319" s="28"/>
      <c r="U26319" s="28"/>
    </row>
    <row r="26320">
      <c r="N26320" s="28"/>
      <c r="O26320" s="28"/>
      <c r="U26320" s="28"/>
    </row>
    <row r="26321">
      <c r="N26321" s="28"/>
      <c r="O26321" s="28"/>
      <c r="U26321" s="28"/>
    </row>
    <row r="26322">
      <c r="N26322" s="28"/>
      <c r="O26322" s="28"/>
      <c r="U26322" s="28"/>
    </row>
    <row r="26323">
      <c r="N26323" s="28"/>
      <c r="O26323" s="28"/>
      <c r="U26323" s="28"/>
    </row>
    <row r="26324">
      <c r="N26324" s="28"/>
      <c r="O26324" s="28"/>
      <c r="U26324" s="28"/>
    </row>
    <row r="26325">
      <c r="N26325" s="28"/>
      <c r="O26325" s="28"/>
      <c r="U26325" s="28"/>
    </row>
    <row r="26326">
      <c r="N26326" s="28"/>
      <c r="O26326" s="28"/>
      <c r="U26326" s="28"/>
    </row>
    <row r="26327">
      <c r="N26327" s="28"/>
      <c r="O26327" s="28"/>
      <c r="U26327" s="28"/>
    </row>
    <row r="26328">
      <c r="N26328" s="28"/>
      <c r="O26328" s="28"/>
      <c r="U26328" s="28"/>
    </row>
    <row r="26329">
      <c r="N26329" s="28"/>
      <c r="O26329" s="28"/>
      <c r="U26329" s="28"/>
    </row>
    <row r="26330">
      <c r="N26330" s="28"/>
      <c r="O26330" s="28"/>
      <c r="U26330" s="28"/>
    </row>
    <row r="26331">
      <c r="N26331" s="28"/>
      <c r="O26331" s="28"/>
      <c r="U26331" s="28"/>
    </row>
    <row r="26332">
      <c r="N26332" s="28"/>
      <c r="O26332" s="28"/>
      <c r="U26332" s="28"/>
    </row>
    <row r="26333">
      <c r="N26333" s="28"/>
      <c r="O26333" s="28"/>
      <c r="U26333" s="28"/>
    </row>
    <row r="26334">
      <c r="N26334" s="28"/>
      <c r="O26334" s="28"/>
      <c r="U26334" s="28"/>
    </row>
    <row r="26335">
      <c r="N26335" s="28"/>
      <c r="O26335" s="28"/>
      <c r="U26335" s="28"/>
    </row>
    <row r="26336">
      <c r="N26336" s="28"/>
      <c r="O26336" s="28"/>
      <c r="U26336" s="28"/>
    </row>
    <row r="26337">
      <c r="N26337" s="28"/>
      <c r="O26337" s="28"/>
      <c r="U26337" s="28"/>
    </row>
    <row r="26338">
      <c r="N26338" s="28"/>
      <c r="O26338" s="28"/>
      <c r="U26338" s="28"/>
    </row>
    <row r="26339">
      <c r="N26339" s="28"/>
      <c r="O26339" s="28"/>
      <c r="U26339" s="28"/>
    </row>
    <row r="26340">
      <c r="N26340" s="28"/>
      <c r="O26340" s="28"/>
      <c r="U26340" s="28"/>
    </row>
    <row r="26341">
      <c r="N26341" s="28"/>
      <c r="O26341" s="28"/>
      <c r="U26341" s="28"/>
    </row>
    <row r="26342">
      <c r="N26342" s="28"/>
      <c r="O26342" s="28"/>
      <c r="U26342" s="28"/>
    </row>
    <row r="26343">
      <c r="N26343" s="28"/>
      <c r="O26343" s="28"/>
      <c r="U26343" s="28"/>
    </row>
    <row r="26344">
      <c r="N26344" s="28"/>
      <c r="O26344" s="28"/>
      <c r="U26344" s="28"/>
    </row>
    <row r="26345">
      <c r="N26345" s="28"/>
      <c r="O26345" s="28"/>
      <c r="U26345" s="28"/>
    </row>
    <row r="26346">
      <c r="N26346" s="28"/>
      <c r="O26346" s="28"/>
      <c r="U26346" s="28"/>
    </row>
    <row r="26347">
      <c r="N26347" s="28"/>
      <c r="O26347" s="28"/>
      <c r="U26347" s="28"/>
    </row>
    <row r="26348">
      <c r="N26348" s="28"/>
      <c r="O26348" s="28"/>
      <c r="U26348" s="28"/>
    </row>
    <row r="26349">
      <c r="N26349" s="28"/>
      <c r="O26349" s="28"/>
      <c r="U26349" s="28"/>
    </row>
    <row r="26350">
      <c r="N26350" s="28"/>
      <c r="O26350" s="28"/>
      <c r="U26350" s="28"/>
    </row>
    <row r="26351">
      <c r="N26351" s="28"/>
      <c r="O26351" s="28"/>
      <c r="U26351" s="28"/>
    </row>
    <row r="26352">
      <c r="N26352" s="28"/>
      <c r="O26352" s="28"/>
      <c r="U26352" s="28"/>
    </row>
    <row r="26353">
      <c r="N26353" s="28"/>
      <c r="O26353" s="28"/>
      <c r="U26353" s="28"/>
    </row>
    <row r="26354">
      <c r="N26354" s="28"/>
      <c r="O26354" s="28"/>
      <c r="U26354" s="28"/>
    </row>
    <row r="26355">
      <c r="N26355" s="28"/>
      <c r="O26355" s="28"/>
      <c r="U26355" s="28"/>
    </row>
    <row r="26356">
      <c r="N26356" s="28"/>
      <c r="O26356" s="28"/>
      <c r="U26356" s="28"/>
    </row>
    <row r="26357">
      <c r="N26357" s="28"/>
      <c r="O26357" s="28"/>
      <c r="U26357" s="28"/>
    </row>
    <row r="26358">
      <c r="N26358" s="28"/>
      <c r="O26358" s="28"/>
      <c r="U26358" s="28"/>
    </row>
    <row r="26359">
      <c r="N26359" s="28"/>
      <c r="O26359" s="28"/>
      <c r="U26359" s="28"/>
    </row>
    <row r="26360">
      <c r="N26360" s="28"/>
      <c r="O26360" s="28"/>
      <c r="U26360" s="28"/>
    </row>
    <row r="26361">
      <c r="N26361" s="28"/>
      <c r="O26361" s="28"/>
      <c r="U26361" s="28"/>
    </row>
    <row r="26362">
      <c r="N26362" s="28"/>
      <c r="O26362" s="28"/>
      <c r="U26362" s="28"/>
    </row>
    <row r="26363">
      <c r="N26363" s="28"/>
      <c r="O26363" s="28"/>
      <c r="U26363" s="28"/>
    </row>
    <row r="26364">
      <c r="N26364" s="28"/>
      <c r="O26364" s="28"/>
      <c r="U26364" s="28"/>
    </row>
    <row r="26365">
      <c r="N26365" s="28"/>
      <c r="O26365" s="28"/>
      <c r="U26365" s="28"/>
    </row>
    <row r="26366">
      <c r="N26366" s="28"/>
      <c r="O26366" s="28"/>
      <c r="U26366" s="28"/>
    </row>
    <row r="26367">
      <c r="N26367" s="28"/>
      <c r="O26367" s="28"/>
      <c r="U26367" s="28"/>
    </row>
    <row r="26368">
      <c r="N26368" s="28"/>
      <c r="O26368" s="28"/>
      <c r="U26368" s="28"/>
    </row>
    <row r="26369">
      <c r="N26369" s="28"/>
      <c r="O26369" s="28"/>
      <c r="U26369" s="28"/>
    </row>
    <row r="26370">
      <c r="N26370" s="28"/>
      <c r="O26370" s="28"/>
      <c r="U26370" s="28"/>
    </row>
    <row r="26371">
      <c r="N26371" s="28"/>
      <c r="O26371" s="28"/>
      <c r="U26371" s="28"/>
    </row>
    <row r="26372">
      <c r="N26372" s="28"/>
      <c r="O26372" s="28"/>
      <c r="U26372" s="28"/>
    </row>
    <row r="26373">
      <c r="N26373" s="28"/>
      <c r="O26373" s="28"/>
      <c r="U26373" s="28"/>
    </row>
    <row r="26374">
      <c r="N26374" s="28"/>
      <c r="O26374" s="28"/>
      <c r="U26374" s="28"/>
    </row>
    <row r="26375">
      <c r="N26375" s="28"/>
      <c r="O26375" s="28"/>
      <c r="U26375" s="28"/>
    </row>
    <row r="26376">
      <c r="N26376" s="28"/>
      <c r="O26376" s="28"/>
      <c r="U26376" s="28"/>
    </row>
    <row r="26377">
      <c r="N26377" s="28"/>
      <c r="O26377" s="28"/>
      <c r="U26377" s="28"/>
    </row>
    <row r="26378">
      <c r="N26378" s="28"/>
      <c r="O26378" s="28"/>
      <c r="U26378" s="28"/>
    </row>
    <row r="26379">
      <c r="N26379" s="28"/>
      <c r="O26379" s="28"/>
      <c r="U26379" s="28"/>
    </row>
    <row r="26380">
      <c r="N26380" s="28"/>
      <c r="O26380" s="28"/>
      <c r="U26380" s="28"/>
    </row>
    <row r="26381">
      <c r="N26381" s="28"/>
      <c r="O26381" s="28"/>
      <c r="U26381" s="28"/>
    </row>
    <row r="26382">
      <c r="N26382" s="28"/>
      <c r="O26382" s="28"/>
      <c r="U26382" s="28"/>
    </row>
    <row r="26383">
      <c r="N26383" s="28"/>
      <c r="O26383" s="28"/>
      <c r="U26383" s="28"/>
    </row>
    <row r="26384">
      <c r="N26384" s="28"/>
      <c r="O26384" s="28"/>
      <c r="U26384" s="28"/>
    </row>
    <row r="26385">
      <c r="N26385" s="28"/>
      <c r="O26385" s="28"/>
      <c r="U26385" s="28"/>
    </row>
    <row r="26386">
      <c r="N26386" s="28"/>
      <c r="O26386" s="28"/>
      <c r="U26386" s="28"/>
    </row>
    <row r="26387">
      <c r="N26387" s="28"/>
      <c r="O26387" s="28"/>
      <c r="U26387" s="28"/>
    </row>
    <row r="26388">
      <c r="N26388" s="28"/>
      <c r="O26388" s="28"/>
      <c r="U26388" s="28"/>
    </row>
    <row r="26389">
      <c r="N26389" s="28"/>
      <c r="O26389" s="28"/>
      <c r="U26389" s="28"/>
    </row>
    <row r="26390">
      <c r="N26390" s="28"/>
      <c r="O26390" s="28"/>
      <c r="U26390" s="28"/>
    </row>
    <row r="26391">
      <c r="N26391" s="28"/>
      <c r="O26391" s="28"/>
      <c r="U26391" s="28"/>
    </row>
    <row r="26392">
      <c r="N26392" s="28"/>
      <c r="O26392" s="28"/>
      <c r="U26392" s="28"/>
    </row>
    <row r="26393">
      <c r="N26393" s="28"/>
      <c r="O26393" s="28"/>
      <c r="U26393" s="28"/>
    </row>
    <row r="26394">
      <c r="N26394" s="28"/>
      <c r="O26394" s="28"/>
      <c r="U26394" s="28"/>
    </row>
    <row r="26395">
      <c r="N26395" s="28"/>
      <c r="O26395" s="28"/>
      <c r="U26395" s="28"/>
    </row>
    <row r="26396">
      <c r="N26396" s="28"/>
      <c r="O26396" s="28"/>
      <c r="U26396" s="28"/>
    </row>
    <row r="26397">
      <c r="N26397" s="28"/>
      <c r="O26397" s="28"/>
      <c r="U26397" s="28"/>
    </row>
    <row r="26398">
      <c r="N26398" s="28"/>
      <c r="O26398" s="28"/>
      <c r="U26398" s="28"/>
    </row>
    <row r="26399">
      <c r="N26399" s="28"/>
      <c r="O26399" s="28"/>
      <c r="U26399" s="28"/>
    </row>
    <row r="26400">
      <c r="N26400" s="28"/>
      <c r="O26400" s="28"/>
      <c r="U26400" s="28"/>
    </row>
    <row r="26401">
      <c r="N26401" s="28"/>
      <c r="O26401" s="28"/>
      <c r="U26401" s="28"/>
    </row>
    <row r="26402">
      <c r="N26402" s="28"/>
      <c r="O26402" s="28"/>
      <c r="U26402" s="28"/>
    </row>
    <row r="26403">
      <c r="N26403" s="28"/>
      <c r="O26403" s="28"/>
      <c r="U26403" s="28"/>
    </row>
    <row r="26404">
      <c r="N26404" s="28"/>
      <c r="O26404" s="28"/>
      <c r="U26404" s="28"/>
    </row>
    <row r="26405">
      <c r="N26405" s="28"/>
      <c r="O26405" s="28"/>
      <c r="U26405" s="28"/>
    </row>
    <row r="26406">
      <c r="N26406" s="28"/>
      <c r="O26406" s="28"/>
      <c r="U26406" s="28"/>
    </row>
    <row r="26407">
      <c r="N26407" s="28"/>
      <c r="O26407" s="28"/>
      <c r="U26407" s="28"/>
    </row>
    <row r="26408">
      <c r="N26408" s="28"/>
      <c r="O26408" s="28"/>
      <c r="U26408" s="28"/>
    </row>
    <row r="26409">
      <c r="N26409" s="28"/>
      <c r="O26409" s="28"/>
      <c r="U26409" s="28"/>
    </row>
    <row r="26410">
      <c r="N26410" s="28"/>
      <c r="O26410" s="28"/>
      <c r="U26410" s="28"/>
    </row>
    <row r="26411">
      <c r="N26411" s="28"/>
      <c r="O26411" s="28"/>
      <c r="U26411" s="28"/>
    </row>
    <row r="26412">
      <c r="N26412" s="28"/>
      <c r="O26412" s="28"/>
      <c r="U26412" s="28"/>
    </row>
    <row r="26413">
      <c r="N26413" s="28"/>
      <c r="O26413" s="28"/>
      <c r="U26413" s="28"/>
    </row>
    <row r="26414">
      <c r="N26414" s="28"/>
      <c r="O26414" s="28"/>
      <c r="U26414" s="28"/>
    </row>
    <row r="26415">
      <c r="N26415" s="28"/>
      <c r="O26415" s="28"/>
      <c r="U26415" s="28"/>
    </row>
    <row r="26416">
      <c r="N26416" s="28"/>
      <c r="O26416" s="28"/>
      <c r="U26416" s="28"/>
    </row>
    <row r="26417">
      <c r="N26417" s="28"/>
      <c r="O26417" s="28"/>
      <c r="U26417" s="28"/>
    </row>
    <row r="26418">
      <c r="N26418" s="28"/>
      <c r="O26418" s="28"/>
      <c r="U26418" s="28"/>
    </row>
    <row r="26419">
      <c r="N26419" s="28"/>
      <c r="O26419" s="28"/>
      <c r="U26419" s="28"/>
    </row>
    <row r="26420">
      <c r="N26420" s="28"/>
      <c r="O26420" s="28"/>
      <c r="U26420" s="28"/>
    </row>
    <row r="26421">
      <c r="N26421" s="28"/>
      <c r="O26421" s="28"/>
      <c r="U26421" s="28"/>
    </row>
    <row r="26422">
      <c r="N26422" s="28"/>
      <c r="O26422" s="28"/>
      <c r="U26422" s="28"/>
    </row>
    <row r="26423">
      <c r="N26423" s="28"/>
      <c r="O26423" s="28"/>
      <c r="U26423" s="28"/>
    </row>
    <row r="26424">
      <c r="N26424" s="28"/>
      <c r="O26424" s="28"/>
      <c r="U26424" s="28"/>
    </row>
    <row r="26425">
      <c r="N26425" s="28"/>
      <c r="O26425" s="28"/>
      <c r="U26425" s="28"/>
    </row>
    <row r="26426">
      <c r="N26426" s="28"/>
      <c r="O26426" s="28"/>
      <c r="U26426" s="28"/>
    </row>
    <row r="26427">
      <c r="N26427" s="28"/>
      <c r="O26427" s="28"/>
      <c r="U26427" s="28"/>
    </row>
    <row r="26428">
      <c r="N26428" s="28"/>
      <c r="O26428" s="28"/>
      <c r="U26428" s="28"/>
    </row>
    <row r="26429">
      <c r="N26429" s="28"/>
      <c r="O26429" s="28"/>
      <c r="U26429" s="28"/>
    </row>
    <row r="26430">
      <c r="N26430" s="28"/>
      <c r="O26430" s="28"/>
      <c r="U26430" s="28"/>
    </row>
    <row r="26431">
      <c r="N26431" s="28"/>
      <c r="O26431" s="28"/>
      <c r="U26431" s="28"/>
    </row>
    <row r="26432">
      <c r="N26432" s="28"/>
      <c r="O26432" s="28"/>
      <c r="U26432" s="28"/>
    </row>
    <row r="26433">
      <c r="N26433" s="28"/>
      <c r="O26433" s="28"/>
      <c r="U26433" s="28"/>
    </row>
    <row r="26434">
      <c r="N26434" s="28"/>
      <c r="O26434" s="28"/>
      <c r="U26434" s="28"/>
    </row>
    <row r="26435">
      <c r="N26435" s="28"/>
      <c r="O26435" s="28"/>
      <c r="U26435" s="28"/>
    </row>
    <row r="26436">
      <c r="N26436" s="28"/>
      <c r="O26436" s="28"/>
      <c r="U26436" s="28"/>
    </row>
    <row r="26437">
      <c r="N26437" s="28"/>
      <c r="O26437" s="28"/>
      <c r="U26437" s="28"/>
    </row>
    <row r="26438">
      <c r="N26438" s="28"/>
      <c r="O26438" s="28"/>
      <c r="U26438" s="28"/>
    </row>
    <row r="26439">
      <c r="N26439" s="28"/>
      <c r="O26439" s="28"/>
      <c r="U26439" s="28"/>
    </row>
    <row r="26440">
      <c r="N26440" s="28"/>
      <c r="O26440" s="28"/>
      <c r="U26440" s="28"/>
    </row>
    <row r="26441">
      <c r="N26441" s="28"/>
      <c r="O26441" s="28"/>
      <c r="U26441" s="28"/>
    </row>
    <row r="26442">
      <c r="N26442" s="28"/>
      <c r="O26442" s="28"/>
      <c r="U26442" s="28"/>
    </row>
    <row r="26443">
      <c r="N26443" s="28"/>
      <c r="O26443" s="28"/>
      <c r="U26443" s="28"/>
    </row>
    <row r="26444">
      <c r="N26444" s="28"/>
      <c r="O26444" s="28"/>
      <c r="U26444" s="28"/>
    </row>
    <row r="26445">
      <c r="N26445" s="28"/>
      <c r="O26445" s="28"/>
      <c r="U26445" s="28"/>
    </row>
    <row r="26446">
      <c r="N26446" s="28"/>
      <c r="O26446" s="28"/>
      <c r="U26446" s="28"/>
    </row>
    <row r="26447">
      <c r="N26447" s="28"/>
      <c r="O26447" s="28"/>
      <c r="U26447" s="28"/>
    </row>
    <row r="26448">
      <c r="N26448" s="28"/>
      <c r="O26448" s="28"/>
      <c r="U26448" s="28"/>
    </row>
    <row r="26449">
      <c r="N26449" s="28"/>
      <c r="O26449" s="28"/>
      <c r="U26449" s="28"/>
    </row>
    <row r="26450">
      <c r="N26450" s="28"/>
      <c r="O26450" s="28"/>
      <c r="U26450" s="28"/>
    </row>
    <row r="26451">
      <c r="N26451" s="28"/>
      <c r="O26451" s="28"/>
      <c r="U26451" s="28"/>
    </row>
    <row r="26452">
      <c r="N26452" s="28"/>
      <c r="O26452" s="28"/>
      <c r="U26452" s="28"/>
    </row>
    <row r="26453">
      <c r="N26453" s="28"/>
      <c r="O26453" s="28"/>
      <c r="U26453" s="28"/>
    </row>
    <row r="26454">
      <c r="N26454" s="28"/>
      <c r="O26454" s="28"/>
      <c r="U26454" s="28"/>
    </row>
    <row r="26455">
      <c r="N26455" s="28"/>
      <c r="O26455" s="28"/>
      <c r="U26455" s="28"/>
    </row>
    <row r="26456">
      <c r="N26456" s="28"/>
      <c r="O26456" s="28"/>
      <c r="U26456" s="28"/>
    </row>
    <row r="26457">
      <c r="N26457" s="28"/>
      <c r="O26457" s="28"/>
      <c r="U26457" s="28"/>
    </row>
    <row r="26458">
      <c r="N26458" s="28"/>
      <c r="O26458" s="28"/>
      <c r="U26458" s="28"/>
    </row>
    <row r="26459">
      <c r="N26459" s="28"/>
      <c r="O26459" s="28"/>
      <c r="U26459" s="28"/>
    </row>
    <row r="26460">
      <c r="N26460" s="28"/>
      <c r="O26460" s="28"/>
      <c r="U26460" s="28"/>
    </row>
    <row r="26461">
      <c r="N26461" s="28"/>
      <c r="O26461" s="28"/>
      <c r="U26461" s="28"/>
    </row>
    <row r="26462">
      <c r="N26462" s="28"/>
      <c r="O26462" s="28"/>
      <c r="U26462" s="28"/>
    </row>
    <row r="26463">
      <c r="N26463" s="28"/>
      <c r="O26463" s="28"/>
      <c r="U26463" s="28"/>
    </row>
    <row r="26464">
      <c r="N26464" s="28"/>
      <c r="O26464" s="28"/>
      <c r="U26464" s="28"/>
    </row>
    <row r="26465">
      <c r="N26465" s="28"/>
      <c r="O26465" s="28"/>
      <c r="U26465" s="28"/>
    </row>
    <row r="26466">
      <c r="N26466" s="28"/>
      <c r="O26466" s="28"/>
      <c r="U26466" s="28"/>
    </row>
    <row r="26467">
      <c r="N26467" s="28"/>
      <c r="O26467" s="28"/>
      <c r="U26467" s="28"/>
    </row>
    <row r="26468">
      <c r="N26468" s="28"/>
      <c r="O26468" s="28"/>
      <c r="U26468" s="28"/>
    </row>
    <row r="26469">
      <c r="N26469" s="28"/>
      <c r="O26469" s="28"/>
      <c r="U26469" s="28"/>
    </row>
    <row r="26470">
      <c r="N26470" s="28"/>
      <c r="O26470" s="28"/>
      <c r="U26470" s="28"/>
    </row>
    <row r="26471">
      <c r="N26471" s="28"/>
      <c r="O26471" s="28"/>
      <c r="U26471" s="28"/>
    </row>
    <row r="26472">
      <c r="N26472" s="28"/>
      <c r="O26472" s="28"/>
      <c r="U26472" s="28"/>
    </row>
    <row r="26473">
      <c r="N26473" s="28"/>
      <c r="O26473" s="28"/>
      <c r="U26473" s="28"/>
    </row>
    <row r="26474">
      <c r="N26474" s="28"/>
      <c r="O26474" s="28"/>
      <c r="U26474" s="28"/>
    </row>
    <row r="26475">
      <c r="N26475" s="28"/>
      <c r="O26475" s="28"/>
      <c r="U26475" s="28"/>
    </row>
    <row r="26476">
      <c r="N26476" s="28"/>
      <c r="O26476" s="28"/>
      <c r="U26476" s="28"/>
    </row>
    <row r="26477">
      <c r="N26477" s="28"/>
      <c r="O26477" s="28"/>
      <c r="U26477" s="28"/>
    </row>
    <row r="26478">
      <c r="N26478" s="28"/>
      <c r="O26478" s="28"/>
      <c r="U26478" s="28"/>
    </row>
    <row r="26479">
      <c r="N26479" s="28"/>
      <c r="O26479" s="28"/>
      <c r="U26479" s="28"/>
    </row>
    <row r="26480">
      <c r="N26480" s="28"/>
      <c r="O26480" s="28"/>
      <c r="U26480" s="28"/>
    </row>
    <row r="26481">
      <c r="N26481" s="28"/>
      <c r="O26481" s="28"/>
      <c r="U26481" s="28"/>
    </row>
    <row r="26482">
      <c r="N26482" s="28"/>
      <c r="O26482" s="28"/>
      <c r="U26482" s="28"/>
    </row>
    <row r="26483">
      <c r="N26483" s="28"/>
      <c r="O26483" s="28"/>
      <c r="U26483" s="28"/>
    </row>
    <row r="26484">
      <c r="N26484" s="28"/>
      <c r="O26484" s="28"/>
      <c r="U26484" s="28"/>
    </row>
    <row r="26485">
      <c r="N26485" s="28"/>
      <c r="O26485" s="28"/>
      <c r="U26485" s="28"/>
    </row>
    <row r="26486">
      <c r="N26486" s="28"/>
      <c r="O26486" s="28"/>
      <c r="U26486" s="28"/>
    </row>
    <row r="26487">
      <c r="N26487" s="28"/>
      <c r="O26487" s="28"/>
      <c r="U26487" s="28"/>
    </row>
    <row r="26488">
      <c r="N26488" s="28"/>
      <c r="O26488" s="28"/>
      <c r="U26488" s="28"/>
    </row>
    <row r="26489">
      <c r="N26489" s="28"/>
      <c r="O26489" s="28"/>
      <c r="U26489" s="28"/>
    </row>
    <row r="26490">
      <c r="N26490" s="28"/>
      <c r="O26490" s="28"/>
      <c r="U26490" s="28"/>
    </row>
    <row r="26491">
      <c r="N26491" s="28"/>
      <c r="O26491" s="28"/>
      <c r="U26491" s="28"/>
    </row>
    <row r="26492">
      <c r="N26492" s="28"/>
      <c r="O26492" s="28"/>
      <c r="U26492" s="28"/>
    </row>
    <row r="26493">
      <c r="N26493" s="28"/>
      <c r="O26493" s="28"/>
      <c r="U26493" s="28"/>
    </row>
    <row r="26494">
      <c r="N26494" s="28"/>
      <c r="O26494" s="28"/>
      <c r="U26494" s="28"/>
    </row>
    <row r="26495">
      <c r="N26495" s="28"/>
      <c r="O26495" s="28"/>
      <c r="U26495" s="28"/>
    </row>
    <row r="26496">
      <c r="N26496" s="28"/>
      <c r="O26496" s="28"/>
      <c r="U26496" s="28"/>
    </row>
    <row r="26497">
      <c r="N26497" s="28"/>
      <c r="O26497" s="28"/>
      <c r="U26497" s="28"/>
    </row>
    <row r="26498">
      <c r="N26498" s="28"/>
      <c r="O26498" s="28"/>
      <c r="U26498" s="28"/>
    </row>
    <row r="26499">
      <c r="N26499" s="28"/>
      <c r="O26499" s="28"/>
      <c r="U26499" s="28"/>
    </row>
    <row r="26500">
      <c r="N26500" s="28"/>
      <c r="O26500" s="28"/>
      <c r="U26500" s="28"/>
    </row>
    <row r="26501">
      <c r="N26501" s="28"/>
      <c r="O26501" s="28"/>
      <c r="U26501" s="28"/>
    </row>
    <row r="26502">
      <c r="N26502" s="28"/>
      <c r="O26502" s="28"/>
      <c r="U26502" s="28"/>
    </row>
    <row r="26503">
      <c r="N26503" s="28"/>
      <c r="O26503" s="28"/>
      <c r="U26503" s="28"/>
    </row>
    <row r="26504">
      <c r="N26504" s="28"/>
      <c r="O26504" s="28"/>
      <c r="U26504" s="28"/>
    </row>
    <row r="26505">
      <c r="N26505" s="28"/>
      <c r="O26505" s="28"/>
      <c r="U26505" s="28"/>
    </row>
    <row r="26506">
      <c r="N26506" s="28"/>
      <c r="O26506" s="28"/>
      <c r="U26506" s="28"/>
    </row>
    <row r="26507">
      <c r="N26507" s="28"/>
      <c r="O26507" s="28"/>
      <c r="U26507" s="28"/>
    </row>
    <row r="26508">
      <c r="N26508" s="28"/>
      <c r="O26508" s="28"/>
      <c r="U26508" s="28"/>
    </row>
    <row r="26509">
      <c r="N26509" s="28"/>
      <c r="O26509" s="28"/>
      <c r="U26509" s="28"/>
    </row>
    <row r="26510">
      <c r="N26510" s="28"/>
      <c r="O26510" s="28"/>
      <c r="U26510" s="28"/>
    </row>
    <row r="26511">
      <c r="N26511" s="28"/>
      <c r="O26511" s="28"/>
      <c r="U26511" s="28"/>
    </row>
    <row r="26512">
      <c r="N26512" s="28"/>
      <c r="O26512" s="28"/>
      <c r="U26512" s="28"/>
    </row>
    <row r="26513">
      <c r="N26513" s="28"/>
      <c r="O26513" s="28"/>
      <c r="U26513" s="28"/>
    </row>
    <row r="26514">
      <c r="N26514" s="28"/>
      <c r="O26514" s="28"/>
      <c r="U26514" s="28"/>
    </row>
    <row r="26515">
      <c r="N26515" s="28"/>
      <c r="O26515" s="28"/>
      <c r="U26515" s="28"/>
    </row>
    <row r="26516">
      <c r="N26516" s="28"/>
      <c r="O26516" s="28"/>
      <c r="U26516" s="28"/>
    </row>
    <row r="26517">
      <c r="N26517" s="28"/>
      <c r="O26517" s="28"/>
      <c r="U26517" s="28"/>
    </row>
    <row r="26518">
      <c r="N26518" s="28"/>
      <c r="O26518" s="28"/>
      <c r="U26518" s="28"/>
    </row>
    <row r="26519">
      <c r="N26519" s="28"/>
      <c r="O26519" s="28"/>
      <c r="U26519" s="28"/>
    </row>
    <row r="26520">
      <c r="N26520" s="28"/>
      <c r="O26520" s="28"/>
      <c r="U26520" s="28"/>
    </row>
    <row r="26521">
      <c r="N26521" s="28"/>
      <c r="O26521" s="28"/>
      <c r="U26521" s="28"/>
    </row>
    <row r="26522">
      <c r="N26522" s="28"/>
      <c r="O26522" s="28"/>
      <c r="U26522" s="28"/>
    </row>
    <row r="26523">
      <c r="N26523" s="28"/>
      <c r="O26523" s="28"/>
      <c r="U26523" s="28"/>
    </row>
    <row r="26524">
      <c r="N26524" s="28"/>
      <c r="O26524" s="28"/>
      <c r="U26524" s="28"/>
    </row>
    <row r="26525">
      <c r="N26525" s="28"/>
      <c r="O26525" s="28"/>
      <c r="U26525" s="28"/>
    </row>
    <row r="26526">
      <c r="N26526" s="28"/>
      <c r="O26526" s="28"/>
      <c r="U26526" s="28"/>
    </row>
    <row r="26527">
      <c r="N26527" s="28"/>
      <c r="O26527" s="28"/>
      <c r="U26527" s="28"/>
    </row>
    <row r="26528">
      <c r="N26528" s="28"/>
      <c r="O26528" s="28"/>
      <c r="U26528" s="28"/>
    </row>
    <row r="26529">
      <c r="N26529" s="28"/>
      <c r="O26529" s="28"/>
      <c r="U26529" s="28"/>
    </row>
    <row r="26530">
      <c r="N26530" s="28"/>
      <c r="O26530" s="28"/>
      <c r="U26530" s="28"/>
    </row>
    <row r="26531">
      <c r="N26531" s="28"/>
      <c r="O26531" s="28"/>
      <c r="U26531" s="28"/>
    </row>
    <row r="26532">
      <c r="N26532" s="28"/>
      <c r="O26532" s="28"/>
      <c r="U26532" s="28"/>
    </row>
    <row r="26533">
      <c r="N26533" s="28"/>
      <c r="O26533" s="28"/>
      <c r="U26533" s="28"/>
    </row>
    <row r="26534">
      <c r="N26534" s="28"/>
      <c r="O26534" s="28"/>
      <c r="U26534" s="28"/>
    </row>
    <row r="26535">
      <c r="N26535" s="28"/>
      <c r="O26535" s="28"/>
      <c r="U26535" s="28"/>
    </row>
    <row r="26536">
      <c r="N26536" s="28"/>
      <c r="O26536" s="28"/>
      <c r="U26536" s="28"/>
    </row>
    <row r="26537">
      <c r="N26537" s="28"/>
      <c r="O26537" s="28"/>
      <c r="U26537" s="28"/>
    </row>
    <row r="26538">
      <c r="N26538" s="28"/>
      <c r="O26538" s="28"/>
      <c r="U26538" s="28"/>
    </row>
    <row r="26539">
      <c r="N26539" s="28"/>
      <c r="O26539" s="28"/>
      <c r="U26539" s="28"/>
    </row>
    <row r="26540">
      <c r="N26540" s="28"/>
      <c r="O26540" s="28"/>
      <c r="U26540" s="28"/>
    </row>
    <row r="26541">
      <c r="N26541" s="28"/>
      <c r="O26541" s="28"/>
      <c r="U26541" s="28"/>
    </row>
    <row r="26542">
      <c r="N26542" s="28"/>
      <c r="O26542" s="28"/>
      <c r="U26542" s="28"/>
    </row>
    <row r="26543">
      <c r="N26543" s="28"/>
      <c r="O26543" s="28"/>
      <c r="U26543" s="28"/>
    </row>
    <row r="26544">
      <c r="N26544" s="28"/>
      <c r="O26544" s="28"/>
      <c r="U26544" s="28"/>
    </row>
    <row r="26545">
      <c r="N26545" s="28"/>
      <c r="O26545" s="28"/>
      <c r="U26545" s="28"/>
    </row>
    <row r="26546">
      <c r="N26546" s="28"/>
      <c r="O26546" s="28"/>
      <c r="U26546" s="28"/>
    </row>
    <row r="26547">
      <c r="N26547" s="28"/>
      <c r="O26547" s="28"/>
      <c r="U26547" s="28"/>
    </row>
    <row r="26548">
      <c r="N26548" s="28"/>
      <c r="O26548" s="28"/>
      <c r="U26548" s="28"/>
    </row>
    <row r="26549">
      <c r="N26549" s="28"/>
      <c r="O26549" s="28"/>
      <c r="U26549" s="28"/>
    </row>
    <row r="26550">
      <c r="N26550" s="28"/>
      <c r="O26550" s="28"/>
      <c r="U26550" s="28"/>
    </row>
    <row r="26551">
      <c r="N26551" s="28"/>
      <c r="O26551" s="28"/>
      <c r="U26551" s="28"/>
    </row>
    <row r="26552">
      <c r="N26552" s="28"/>
      <c r="O26552" s="28"/>
      <c r="U26552" s="28"/>
    </row>
    <row r="26553">
      <c r="N26553" s="28"/>
      <c r="O26553" s="28"/>
      <c r="U26553" s="28"/>
    </row>
    <row r="26554">
      <c r="N26554" s="28"/>
      <c r="O26554" s="28"/>
      <c r="U26554" s="28"/>
    </row>
    <row r="26555">
      <c r="N26555" s="28"/>
      <c r="O26555" s="28"/>
      <c r="U26555" s="28"/>
    </row>
    <row r="26556">
      <c r="N26556" s="28"/>
      <c r="O26556" s="28"/>
      <c r="U26556" s="28"/>
    </row>
    <row r="26557">
      <c r="N26557" s="28"/>
      <c r="O26557" s="28"/>
      <c r="U26557" s="28"/>
    </row>
    <row r="26558">
      <c r="N26558" s="28"/>
      <c r="O26558" s="28"/>
      <c r="U26558" s="28"/>
    </row>
    <row r="26559">
      <c r="N26559" s="28"/>
      <c r="O26559" s="28"/>
      <c r="U26559" s="28"/>
    </row>
    <row r="26560">
      <c r="N26560" s="28"/>
      <c r="O26560" s="28"/>
      <c r="U26560" s="28"/>
    </row>
    <row r="26561">
      <c r="N26561" s="28"/>
      <c r="O26561" s="28"/>
      <c r="U26561" s="28"/>
    </row>
    <row r="26562">
      <c r="N26562" s="28"/>
      <c r="O26562" s="28"/>
      <c r="U26562" s="28"/>
    </row>
    <row r="26563">
      <c r="N26563" s="28"/>
      <c r="O26563" s="28"/>
      <c r="U26563" s="28"/>
    </row>
    <row r="26564">
      <c r="N26564" s="28"/>
      <c r="O26564" s="28"/>
      <c r="U26564" s="28"/>
    </row>
    <row r="26565">
      <c r="N26565" s="28"/>
      <c r="O26565" s="28"/>
      <c r="U26565" s="28"/>
    </row>
    <row r="26566">
      <c r="N26566" s="28"/>
      <c r="O26566" s="28"/>
      <c r="U26566" s="28"/>
    </row>
    <row r="26567">
      <c r="N26567" s="28"/>
      <c r="O26567" s="28"/>
      <c r="U26567" s="28"/>
    </row>
    <row r="26568">
      <c r="N26568" s="28"/>
      <c r="O26568" s="28"/>
      <c r="U26568" s="28"/>
    </row>
    <row r="26569">
      <c r="N26569" s="28"/>
      <c r="O26569" s="28"/>
      <c r="U26569" s="28"/>
    </row>
    <row r="26570">
      <c r="N26570" s="28"/>
      <c r="O26570" s="28"/>
      <c r="U26570" s="28"/>
    </row>
    <row r="26571">
      <c r="N26571" s="28"/>
      <c r="O26571" s="28"/>
      <c r="U26571" s="28"/>
    </row>
    <row r="26572">
      <c r="N26572" s="28"/>
      <c r="O26572" s="28"/>
      <c r="U26572" s="28"/>
    </row>
    <row r="26573">
      <c r="N26573" s="28"/>
      <c r="O26573" s="28"/>
      <c r="U26573" s="28"/>
    </row>
    <row r="26574">
      <c r="N26574" s="28"/>
      <c r="O26574" s="28"/>
      <c r="U26574" s="28"/>
    </row>
    <row r="26575">
      <c r="N26575" s="28"/>
      <c r="O26575" s="28"/>
      <c r="U26575" s="28"/>
    </row>
    <row r="26576">
      <c r="N26576" s="28"/>
      <c r="O26576" s="28"/>
      <c r="U26576" s="28"/>
    </row>
    <row r="26577">
      <c r="N26577" s="28"/>
      <c r="O26577" s="28"/>
      <c r="U26577" s="28"/>
    </row>
    <row r="26578">
      <c r="N26578" s="28"/>
      <c r="O26578" s="28"/>
      <c r="U26578" s="28"/>
    </row>
    <row r="26579">
      <c r="N26579" s="28"/>
      <c r="O26579" s="28"/>
      <c r="U26579" s="28"/>
    </row>
    <row r="26580">
      <c r="N26580" s="28"/>
      <c r="O26580" s="28"/>
      <c r="U26580" s="28"/>
    </row>
    <row r="26581">
      <c r="N26581" s="28"/>
      <c r="O26581" s="28"/>
      <c r="U26581" s="28"/>
    </row>
    <row r="26582">
      <c r="N26582" s="28"/>
      <c r="O26582" s="28"/>
      <c r="U26582" s="28"/>
    </row>
    <row r="26583">
      <c r="N26583" s="28"/>
      <c r="O26583" s="28"/>
      <c r="U26583" s="28"/>
    </row>
    <row r="26584">
      <c r="N26584" s="28"/>
      <c r="O26584" s="28"/>
      <c r="U26584" s="28"/>
    </row>
    <row r="26585">
      <c r="N26585" s="28"/>
      <c r="O26585" s="28"/>
      <c r="U26585" s="28"/>
    </row>
    <row r="26586">
      <c r="N26586" s="28"/>
      <c r="O26586" s="28"/>
      <c r="U26586" s="28"/>
    </row>
    <row r="26587">
      <c r="N26587" s="28"/>
      <c r="O26587" s="28"/>
      <c r="U26587" s="28"/>
    </row>
    <row r="26588">
      <c r="N26588" s="28"/>
      <c r="O26588" s="28"/>
      <c r="U26588" s="28"/>
    </row>
    <row r="26589">
      <c r="N26589" s="28"/>
      <c r="O26589" s="28"/>
      <c r="U26589" s="28"/>
    </row>
    <row r="26590">
      <c r="N26590" s="28"/>
      <c r="O26590" s="28"/>
      <c r="U26590" s="28"/>
    </row>
    <row r="26591">
      <c r="N26591" s="28"/>
      <c r="O26591" s="28"/>
      <c r="U26591" s="28"/>
    </row>
    <row r="26592">
      <c r="N26592" s="28"/>
      <c r="O26592" s="28"/>
      <c r="U26592" s="28"/>
    </row>
    <row r="26593">
      <c r="N26593" s="28"/>
      <c r="O26593" s="28"/>
      <c r="U26593" s="28"/>
    </row>
    <row r="26594">
      <c r="N26594" s="28"/>
      <c r="O26594" s="28"/>
      <c r="U26594" s="28"/>
    </row>
    <row r="26595">
      <c r="N26595" s="28"/>
      <c r="O26595" s="28"/>
      <c r="U26595" s="28"/>
    </row>
    <row r="26596">
      <c r="N26596" s="28"/>
      <c r="O26596" s="28"/>
      <c r="U26596" s="28"/>
    </row>
    <row r="26597">
      <c r="N26597" s="28"/>
      <c r="O26597" s="28"/>
      <c r="U26597" s="28"/>
    </row>
    <row r="26598">
      <c r="N26598" s="28"/>
      <c r="O26598" s="28"/>
      <c r="U26598" s="28"/>
    </row>
    <row r="26599">
      <c r="N26599" s="28"/>
      <c r="O26599" s="28"/>
      <c r="U26599" s="28"/>
    </row>
    <row r="26600">
      <c r="N26600" s="28"/>
      <c r="O26600" s="28"/>
      <c r="U26600" s="28"/>
    </row>
    <row r="26601">
      <c r="N26601" s="28"/>
      <c r="O26601" s="28"/>
      <c r="U26601" s="28"/>
    </row>
    <row r="26602">
      <c r="N26602" s="28"/>
      <c r="O26602" s="28"/>
      <c r="U26602" s="28"/>
    </row>
    <row r="26603">
      <c r="N26603" s="28"/>
      <c r="O26603" s="28"/>
      <c r="U26603" s="28"/>
    </row>
    <row r="26604">
      <c r="N26604" s="28"/>
      <c r="O26604" s="28"/>
      <c r="U26604" s="28"/>
    </row>
    <row r="26605">
      <c r="N26605" s="28"/>
      <c r="O26605" s="28"/>
      <c r="U26605" s="28"/>
    </row>
    <row r="26606">
      <c r="N26606" s="28"/>
      <c r="O26606" s="28"/>
      <c r="U26606" s="28"/>
    </row>
    <row r="26607">
      <c r="N26607" s="28"/>
      <c r="O26607" s="28"/>
      <c r="U26607" s="28"/>
    </row>
    <row r="26608">
      <c r="N26608" s="28"/>
      <c r="O26608" s="28"/>
      <c r="U26608" s="28"/>
    </row>
    <row r="26609">
      <c r="N26609" s="28"/>
      <c r="O26609" s="28"/>
      <c r="U26609" s="28"/>
    </row>
    <row r="26610">
      <c r="N26610" s="28"/>
      <c r="O26610" s="28"/>
      <c r="U26610" s="28"/>
    </row>
    <row r="26611">
      <c r="N26611" s="28"/>
      <c r="O26611" s="28"/>
      <c r="U26611" s="28"/>
    </row>
    <row r="26612">
      <c r="N26612" s="28"/>
      <c r="O26612" s="28"/>
      <c r="U26612" s="28"/>
    </row>
    <row r="26613">
      <c r="N26613" s="28"/>
      <c r="O26613" s="28"/>
      <c r="U26613" s="28"/>
    </row>
    <row r="26614">
      <c r="N26614" s="28"/>
      <c r="O26614" s="28"/>
      <c r="U26614" s="28"/>
    </row>
    <row r="26615">
      <c r="N26615" s="28"/>
      <c r="O26615" s="28"/>
      <c r="U26615" s="28"/>
    </row>
    <row r="26616">
      <c r="N26616" s="28"/>
      <c r="O26616" s="28"/>
      <c r="U26616" s="28"/>
    </row>
    <row r="26617">
      <c r="N26617" s="28"/>
      <c r="O26617" s="28"/>
      <c r="U26617" s="28"/>
    </row>
    <row r="26618">
      <c r="N26618" s="28"/>
      <c r="O26618" s="28"/>
      <c r="U26618" s="28"/>
    </row>
    <row r="26619">
      <c r="N26619" s="28"/>
      <c r="O26619" s="28"/>
      <c r="U26619" s="28"/>
    </row>
    <row r="26620">
      <c r="N26620" s="28"/>
      <c r="O26620" s="28"/>
      <c r="U26620" s="28"/>
    </row>
    <row r="26621">
      <c r="N26621" s="28"/>
      <c r="O26621" s="28"/>
      <c r="U26621" s="28"/>
    </row>
    <row r="26622">
      <c r="N26622" s="28"/>
      <c r="O26622" s="28"/>
      <c r="U26622" s="28"/>
    </row>
    <row r="26623">
      <c r="N26623" s="28"/>
      <c r="O26623" s="28"/>
      <c r="U26623" s="28"/>
    </row>
    <row r="26624">
      <c r="N26624" s="28"/>
      <c r="O26624" s="28"/>
      <c r="U26624" s="28"/>
    </row>
    <row r="26625">
      <c r="N26625" s="28"/>
      <c r="O26625" s="28"/>
      <c r="U26625" s="28"/>
    </row>
    <row r="26626">
      <c r="N26626" s="28"/>
      <c r="O26626" s="28"/>
      <c r="U26626" s="28"/>
    </row>
    <row r="26627">
      <c r="N26627" s="28"/>
      <c r="O26627" s="28"/>
      <c r="U26627" s="28"/>
    </row>
    <row r="26628">
      <c r="N26628" s="28"/>
      <c r="O26628" s="28"/>
      <c r="U26628" s="28"/>
    </row>
    <row r="26629">
      <c r="N26629" s="28"/>
      <c r="O26629" s="28"/>
      <c r="U26629" s="28"/>
    </row>
    <row r="26630">
      <c r="N26630" s="28"/>
      <c r="O26630" s="28"/>
      <c r="U26630" s="28"/>
    </row>
    <row r="26631">
      <c r="N26631" s="28"/>
      <c r="O26631" s="28"/>
      <c r="U26631" s="28"/>
    </row>
    <row r="26632">
      <c r="N26632" s="28"/>
      <c r="O26632" s="28"/>
      <c r="U26632" s="28"/>
    </row>
    <row r="26633">
      <c r="N26633" s="28"/>
      <c r="O26633" s="28"/>
      <c r="U26633" s="28"/>
    </row>
    <row r="26634">
      <c r="N26634" s="28"/>
      <c r="O26634" s="28"/>
      <c r="U26634" s="28"/>
    </row>
    <row r="26635">
      <c r="N26635" s="28"/>
      <c r="O26635" s="28"/>
      <c r="U26635" s="28"/>
    </row>
    <row r="26636">
      <c r="N26636" s="28"/>
      <c r="O26636" s="28"/>
      <c r="U26636" s="28"/>
    </row>
    <row r="26637">
      <c r="N26637" s="28"/>
      <c r="O26637" s="28"/>
      <c r="U26637" s="28"/>
    </row>
    <row r="26638">
      <c r="N26638" s="28"/>
      <c r="O26638" s="28"/>
      <c r="U26638" s="28"/>
    </row>
    <row r="26639">
      <c r="N26639" s="28"/>
      <c r="O26639" s="28"/>
      <c r="U26639" s="28"/>
    </row>
    <row r="26640">
      <c r="N26640" s="28"/>
      <c r="O26640" s="28"/>
      <c r="U26640" s="28"/>
    </row>
    <row r="26641">
      <c r="N26641" s="28"/>
      <c r="O26641" s="28"/>
      <c r="U26641" s="28"/>
    </row>
    <row r="26642">
      <c r="N26642" s="28"/>
      <c r="O26642" s="28"/>
      <c r="U26642" s="28"/>
    </row>
    <row r="26643">
      <c r="N26643" s="28"/>
      <c r="O26643" s="28"/>
      <c r="U26643" s="28"/>
    </row>
    <row r="26644">
      <c r="N26644" s="28"/>
      <c r="O26644" s="28"/>
      <c r="U26644" s="28"/>
    </row>
    <row r="26645">
      <c r="N26645" s="28"/>
      <c r="O26645" s="28"/>
      <c r="U26645" s="28"/>
    </row>
    <row r="26646">
      <c r="N26646" s="28"/>
      <c r="O26646" s="28"/>
      <c r="U26646" s="28"/>
    </row>
    <row r="26647">
      <c r="N26647" s="28"/>
      <c r="O26647" s="28"/>
      <c r="U26647" s="28"/>
    </row>
    <row r="26648">
      <c r="N26648" s="28"/>
      <c r="O26648" s="28"/>
      <c r="U26648" s="28"/>
    </row>
    <row r="26649">
      <c r="N26649" s="28"/>
      <c r="O26649" s="28"/>
      <c r="U26649" s="28"/>
    </row>
    <row r="26650">
      <c r="N26650" s="28"/>
      <c r="O26650" s="28"/>
      <c r="U26650" s="28"/>
    </row>
    <row r="26651">
      <c r="N26651" s="28"/>
      <c r="O26651" s="28"/>
      <c r="U26651" s="28"/>
    </row>
    <row r="26652">
      <c r="N26652" s="28"/>
      <c r="O26652" s="28"/>
      <c r="U26652" s="28"/>
    </row>
    <row r="26653">
      <c r="N26653" s="28"/>
      <c r="O26653" s="28"/>
      <c r="U26653" s="28"/>
    </row>
    <row r="26654">
      <c r="N26654" s="28"/>
      <c r="O26654" s="28"/>
      <c r="U26654" s="28"/>
    </row>
    <row r="26655">
      <c r="N26655" s="28"/>
      <c r="O26655" s="28"/>
      <c r="U26655" s="28"/>
    </row>
    <row r="26656">
      <c r="N26656" s="28"/>
      <c r="O26656" s="28"/>
      <c r="U26656" s="28"/>
    </row>
    <row r="26657">
      <c r="N26657" s="28"/>
      <c r="O26657" s="28"/>
      <c r="U26657" s="28"/>
    </row>
    <row r="26658">
      <c r="N26658" s="28"/>
      <c r="O26658" s="28"/>
      <c r="U26658" s="28"/>
    </row>
    <row r="26659">
      <c r="N26659" s="28"/>
      <c r="O26659" s="28"/>
      <c r="U26659" s="28"/>
    </row>
    <row r="26660">
      <c r="N26660" s="28"/>
      <c r="O26660" s="28"/>
      <c r="U26660" s="28"/>
    </row>
    <row r="26661">
      <c r="N26661" s="28"/>
      <c r="O26661" s="28"/>
      <c r="U26661" s="28"/>
    </row>
    <row r="26662">
      <c r="N26662" s="28"/>
      <c r="O26662" s="28"/>
      <c r="U26662" s="28"/>
    </row>
    <row r="26663">
      <c r="N26663" s="28"/>
      <c r="O26663" s="28"/>
      <c r="U26663" s="28"/>
    </row>
    <row r="26664">
      <c r="N26664" s="28"/>
      <c r="O26664" s="28"/>
      <c r="U26664" s="28"/>
    </row>
    <row r="26665">
      <c r="N26665" s="28"/>
      <c r="O26665" s="28"/>
      <c r="U26665" s="28"/>
    </row>
    <row r="26666">
      <c r="N26666" s="28"/>
      <c r="O26666" s="28"/>
      <c r="U26666" s="28"/>
    </row>
    <row r="26667">
      <c r="N26667" s="28"/>
      <c r="O26667" s="28"/>
      <c r="U26667" s="28"/>
    </row>
    <row r="26668">
      <c r="N26668" s="28"/>
      <c r="O26668" s="28"/>
      <c r="U26668" s="28"/>
    </row>
    <row r="26669">
      <c r="N26669" s="28"/>
      <c r="O26669" s="28"/>
      <c r="U26669" s="28"/>
    </row>
    <row r="26670">
      <c r="N26670" s="28"/>
      <c r="O26670" s="28"/>
      <c r="U26670" s="28"/>
    </row>
    <row r="26671">
      <c r="N26671" s="28"/>
      <c r="O26671" s="28"/>
      <c r="U26671" s="28"/>
    </row>
    <row r="26672">
      <c r="N26672" s="28"/>
      <c r="O26672" s="28"/>
      <c r="U26672" s="28"/>
    </row>
    <row r="26673">
      <c r="N26673" s="28"/>
      <c r="O26673" s="28"/>
      <c r="U26673" s="28"/>
    </row>
    <row r="26674">
      <c r="N26674" s="28"/>
      <c r="O26674" s="28"/>
      <c r="U26674" s="28"/>
    </row>
    <row r="26675">
      <c r="N26675" s="28"/>
      <c r="O26675" s="28"/>
      <c r="U26675" s="28"/>
    </row>
    <row r="26676">
      <c r="N26676" s="28"/>
      <c r="O26676" s="28"/>
      <c r="U26676" s="28"/>
    </row>
    <row r="26677">
      <c r="N26677" s="28"/>
      <c r="O26677" s="28"/>
      <c r="U26677" s="28"/>
    </row>
    <row r="26678">
      <c r="N26678" s="28"/>
      <c r="O26678" s="28"/>
      <c r="U26678" s="28"/>
    </row>
    <row r="26679">
      <c r="N26679" s="28"/>
      <c r="O26679" s="28"/>
      <c r="U26679" s="28"/>
    </row>
    <row r="26680">
      <c r="N26680" s="28"/>
      <c r="O26680" s="28"/>
      <c r="U26680" s="28"/>
    </row>
    <row r="26681">
      <c r="N26681" s="28"/>
      <c r="O26681" s="28"/>
      <c r="U26681" s="28"/>
    </row>
    <row r="26682">
      <c r="N26682" s="28"/>
      <c r="O26682" s="28"/>
      <c r="U26682" s="28"/>
    </row>
    <row r="26683">
      <c r="N26683" s="28"/>
      <c r="O26683" s="28"/>
      <c r="U26683" s="28"/>
    </row>
    <row r="26684">
      <c r="N26684" s="28"/>
      <c r="O26684" s="28"/>
      <c r="U26684" s="28"/>
    </row>
    <row r="26685">
      <c r="N26685" s="28"/>
      <c r="O26685" s="28"/>
      <c r="U26685" s="28"/>
    </row>
    <row r="26686">
      <c r="N26686" s="28"/>
      <c r="O26686" s="28"/>
      <c r="U26686" s="28"/>
    </row>
    <row r="26687">
      <c r="N26687" s="28"/>
      <c r="O26687" s="28"/>
      <c r="U26687" s="28"/>
    </row>
    <row r="26688">
      <c r="N26688" s="28"/>
      <c r="O26688" s="28"/>
      <c r="U26688" s="28"/>
    </row>
    <row r="26689">
      <c r="N26689" s="28"/>
      <c r="O26689" s="28"/>
      <c r="U26689" s="28"/>
    </row>
    <row r="26690">
      <c r="N26690" s="28"/>
      <c r="O26690" s="28"/>
      <c r="U26690" s="28"/>
    </row>
    <row r="26691">
      <c r="N26691" s="28"/>
      <c r="O26691" s="28"/>
      <c r="U26691" s="28"/>
    </row>
    <row r="26692">
      <c r="N26692" s="28"/>
      <c r="O26692" s="28"/>
      <c r="U26692" s="28"/>
    </row>
    <row r="26693">
      <c r="N26693" s="28"/>
      <c r="O26693" s="28"/>
      <c r="U26693" s="28"/>
    </row>
    <row r="26694">
      <c r="N26694" s="28"/>
      <c r="O26694" s="28"/>
      <c r="U26694" s="28"/>
    </row>
    <row r="26695">
      <c r="N26695" s="28"/>
      <c r="O26695" s="28"/>
      <c r="U26695" s="28"/>
    </row>
    <row r="26696">
      <c r="N26696" s="28"/>
      <c r="O26696" s="28"/>
      <c r="U26696" s="28"/>
    </row>
    <row r="26697">
      <c r="N26697" s="28"/>
      <c r="O26697" s="28"/>
      <c r="U26697" s="28"/>
    </row>
    <row r="26698">
      <c r="N26698" s="28"/>
      <c r="O26698" s="28"/>
      <c r="U26698" s="28"/>
    </row>
    <row r="26699">
      <c r="N26699" s="28"/>
      <c r="O26699" s="28"/>
      <c r="U26699" s="28"/>
    </row>
    <row r="26700">
      <c r="N26700" s="28"/>
      <c r="O26700" s="28"/>
      <c r="U26700" s="28"/>
    </row>
    <row r="26701">
      <c r="N26701" s="28"/>
      <c r="O26701" s="28"/>
      <c r="U26701" s="28"/>
    </row>
    <row r="26702">
      <c r="N26702" s="28"/>
      <c r="O26702" s="28"/>
      <c r="U26702" s="28"/>
    </row>
    <row r="26703">
      <c r="N26703" s="28"/>
      <c r="O26703" s="28"/>
      <c r="U26703" s="28"/>
    </row>
    <row r="26704">
      <c r="N26704" s="28"/>
      <c r="O26704" s="28"/>
      <c r="U26704" s="28"/>
    </row>
    <row r="26705">
      <c r="N26705" s="28"/>
      <c r="O26705" s="28"/>
      <c r="U26705" s="28"/>
    </row>
    <row r="26706">
      <c r="N26706" s="28"/>
      <c r="O26706" s="28"/>
      <c r="U26706" s="28"/>
    </row>
    <row r="26707">
      <c r="N26707" s="28"/>
      <c r="O26707" s="28"/>
      <c r="U26707" s="28"/>
    </row>
    <row r="26708">
      <c r="N26708" s="28"/>
      <c r="O26708" s="28"/>
      <c r="U26708" s="28"/>
    </row>
    <row r="26709">
      <c r="N26709" s="28"/>
      <c r="O26709" s="28"/>
      <c r="U26709" s="28"/>
    </row>
    <row r="26710">
      <c r="N26710" s="28"/>
      <c r="O26710" s="28"/>
      <c r="U26710" s="28"/>
    </row>
    <row r="26711">
      <c r="N26711" s="28"/>
      <c r="O26711" s="28"/>
      <c r="U26711" s="28"/>
    </row>
    <row r="26712">
      <c r="N26712" s="28"/>
      <c r="O26712" s="28"/>
      <c r="U26712" s="28"/>
    </row>
    <row r="26713">
      <c r="N26713" s="28"/>
      <c r="O26713" s="28"/>
      <c r="U26713" s="28"/>
    </row>
    <row r="26714">
      <c r="N26714" s="28"/>
      <c r="O26714" s="28"/>
      <c r="U26714" s="28"/>
    </row>
    <row r="26715">
      <c r="N26715" s="28"/>
      <c r="O26715" s="28"/>
      <c r="U26715" s="28"/>
    </row>
    <row r="26716">
      <c r="N26716" s="28"/>
      <c r="O26716" s="28"/>
      <c r="U26716" s="28"/>
    </row>
    <row r="26717">
      <c r="N26717" s="28"/>
      <c r="O26717" s="28"/>
      <c r="U26717" s="28"/>
    </row>
    <row r="26718">
      <c r="N26718" s="28"/>
      <c r="O26718" s="28"/>
      <c r="U26718" s="28"/>
    </row>
    <row r="26719">
      <c r="N26719" s="28"/>
      <c r="O26719" s="28"/>
      <c r="U26719" s="28"/>
    </row>
    <row r="26720">
      <c r="N26720" s="28"/>
      <c r="O26720" s="28"/>
      <c r="U26720" s="28"/>
    </row>
    <row r="26721">
      <c r="N26721" s="28"/>
      <c r="O26721" s="28"/>
      <c r="U26721" s="28"/>
    </row>
    <row r="26722">
      <c r="N26722" s="28"/>
      <c r="O26722" s="28"/>
      <c r="U26722" s="28"/>
    </row>
    <row r="26723">
      <c r="N26723" s="28"/>
      <c r="O26723" s="28"/>
      <c r="U26723" s="28"/>
    </row>
    <row r="26724">
      <c r="N26724" s="28"/>
      <c r="O26724" s="28"/>
      <c r="U26724" s="28"/>
    </row>
    <row r="26725">
      <c r="N26725" s="28"/>
      <c r="O26725" s="28"/>
      <c r="U26725" s="28"/>
    </row>
    <row r="26726">
      <c r="N26726" s="28"/>
      <c r="O26726" s="28"/>
      <c r="U26726" s="28"/>
    </row>
    <row r="26727">
      <c r="N26727" s="28"/>
      <c r="O26727" s="28"/>
      <c r="U26727" s="28"/>
    </row>
    <row r="26728">
      <c r="N26728" s="28"/>
      <c r="O26728" s="28"/>
      <c r="U26728" s="28"/>
    </row>
    <row r="26729">
      <c r="N26729" s="28"/>
      <c r="O26729" s="28"/>
      <c r="U26729" s="28"/>
    </row>
    <row r="26730">
      <c r="N26730" s="28"/>
      <c r="O26730" s="28"/>
      <c r="U26730" s="28"/>
    </row>
    <row r="26731">
      <c r="N26731" s="28"/>
      <c r="O26731" s="28"/>
      <c r="U26731" s="28"/>
    </row>
    <row r="26732">
      <c r="N26732" s="28"/>
      <c r="O26732" s="28"/>
      <c r="U26732" s="28"/>
    </row>
    <row r="26733">
      <c r="N26733" s="28"/>
      <c r="O26733" s="28"/>
      <c r="U26733" s="28"/>
    </row>
    <row r="26734">
      <c r="N26734" s="28"/>
      <c r="O26734" s="28"/>
      <c r="U26734" s="28"/>
    </row>
    <row r="26735">
      <c r="N26735" s="28"/>
      <c r="O26735" s="28"/>
      <c r="U26735" s="28"/>
    </row>
    <row r="26736">
      <c r="N26736" s="28"/>
      <c r="O26736" s="28"/>
      <c r="U26736" s="28"/>
    </row>
    <row r="26737">
      <c r="N26737" s="28"/>
      <c r="O26737" s="28"/>
      <c r="U26737" s="28"/>
    </row>
    <row r="26738">
      <c r="N26738" s="28"/>
      <c r="O26738" s="28"/>
      <c r="U26738" s="28"/>
    </row>
    <row r="26739">
      <c r="N26739" s="28"/>
      <c r="O26739" s="28"/>
      <c r="U26739" s="28"/>
    </row>
    <row r="26740">
      <c r="N26740" s="28"/>
      <c r="O26740" s="28"/>
      <c r="U26740" s="28"/>
    </row>
    <row r="26741">
      <c r="N26741" s="28"/>
      <c r="O26741" s="28"/>
      <c r="U26741" s="28"/>
    </row>
    <row r="26742">
      <c r="N26742" s="28"/>
      <c r="O26742" s="28"/>
      <c r="U26742" s="28"/>
    </row>
    <row r="26743">
      <c r="N26743" s="28"/>
      <c r="O26743" s="28"/>
      <c r="U26743" s="28"/>
    </row>
    <row r="26744">
      <c r="N26744" s="28"/>
      <c r="O26744" s="28"/>
      <c r="U26744" s="28"/>
    </row>
    <row r="26745">
      <c r="N26745" s="28"/>
      <c r="O26745" s="28"/>
      <c r="U26745" s="28"/>
    </row>
    <row r="26746">
      <c r="N26746" s="28"/>
      <c r="O26746" s="28"/>
      <c r="U26746" s="28"/>
    </row>
    <row r="26747">
      <c r="N26747" s="28"/>
      <c r="O26747" s="28"/>
      <c r="U26747" s="28"/>
    </row>
    <row r="26748">
      <c r="N26748" s="28"/>
      <c r="O26748" s="28"/>
      <c r="U26748" s="28"/>
    </row>
    <row r="26749">
      <c r="N26749" s="28"/>
      <c r="O26749" s="28"/>
      <c r="U26749" s="28"/>
    </row>
    <row r="26750">
      <c r="N26750" s="28"/>
      <c r="O26750" s="28"/>
      <c r="U26750" s="28"/>
    </row>
    <row r="26751">
      <c r="N26751" s="28"/>
      <c r="O26751" s="28"/>
      <c r="U26751" s="28"/>
    </row>
    <row r="26752">
      <c r="N26752" s="28"/>
      <c r="O26752" s="28"/>
      <c r="U26752" s="28"/>
    </row>
    <row r="26753">
      <c r="N26753" s="28"/>
      <c r="O26753" s="28"/>
      <c r="U26753" s="28"/>
    </row>
    <row r="26754">
      <c r="N26754" s="28"/>
      <c r="O26754" s="28"/>
      <c r="U26754" s="28"/>
    </row>
    <row r="26755">
      <c r="N26755" s="28"/>
      <c r="O26755" s="28"/>
      <c r="U26755" s="28"/>
    </row>
    <row r="26756">
      <c r="N26756" s="28"/>
      <c r="O26756" s="28"/>
      <c r="U26756" s="28"/>
    </row>
    <row r="26757">
      <c r="N26757" s="28"/>
      <c r="O26757" s="28"/>
      <c r="U26757" s="28"/>
    </row>
    <row r="26758">
      <c r="N26758" s="28"/>
      <c r="O26758" s="28"/>
      <c r="U26758" s="28"/>
    </row>
    <row r="26759">
      <c r="N26759" s="28"/>
      <c r="O26759" s="28"/>
      <c r="U26759" s="28"/>
    </row>
    <row r="26760">
      <c r="N26760" s="28"/>
      <c r="O26760" s="28"/>
      <c r="U26760" s="28"/>
    </row>
    <row r="26761">
      <c r="N26761" s="28"/>
      <c r="O26761" s="28"/>
      <c r="U26761" s="28"/>
    </row>
    <row r="26762">
      <c r="N26762" s="28"/>
      <c r="O26762" s="28"/>
      <c r="U26762" s="28"/>
    </row>
    <row r="26763">
      <c r="N26763" s="28"/>
      <c r="O26763" s="28"/>
      <c r="U26763" s="28"/>
    </row>
    <row r="26764">
      <c r="N26764" s="28"/>
      <c r="O26764" s="28"/>
      <c r="U26764" s="28"/>
    </row>
    <row r="26765">
      <c r="N26765" s="28"/>
      <c r="O26765" s="28"/>
      <c r="U26765" s="28"/>
    </row>
    <row r="26766">
      <c r="N26766" s="28"/>
      <c r="O26766" s="28"/>
      <c r="U26766" s="28"/>
    </row>
    <row r="26767">
      <c r="N26767" s="28"/>
      <c r="O26767" s="28"/>
      <c r="U26767" s="28"/>
    </row>
    <row r="26768">
      <c r="N26768" s="28"/>
      <c r="O26768" s="28"/>
      <c r="U26768" s="28"/>
    </row>
    <row r="26769">
      <c r="N26769" s="28"/>
      <c r="O26769" s="28"/>
      <c r="U26769" s="28"/>
    </row>
    <row r="26770">
      <c r="N26770" s="28"/>
      <c r="O26770" s="28"/>
      <c r="U26770" s="28"/>
    </row>
    <row r="26771">
      <c r="N26771" s="28"/>
      <c r="O26771" s="28"/>
      <c r="U26771" s="28"/>
    </row>
    <row r="26772">
      <c r="N26772" s="28"/>
      <c r="O26772" s="28"/>
      <c r="U26772" s="28"/>
    </row>
    <row r="26773">
      <c r="N26773" s="28"/>
      <c r="O26773" s="28"/>
      <c r="U26773" s="28"/>
    </row>
    <row r="26774">
      <c r="N26774" s="28"/>
      <c r="O26774" s="28"/>
      <c r="U26774" s="28"/>
    </row>
    <row r="26775">
      <c r="N26775" s="28"/>
      <c r="O26775" s="28"/>
      <c r="U26775" s="28"/>
    </row>
    <row r="26776">
      <c r="N26776" s="28"/>
      <c r="O26776" s="28"/>
      <c r="U26776" s="28"/>
    </row>
    <row r="26777">
      <c r="N26777" s="28"/>
      <c r="O26777" s="28"/>
      <c r="U26777" s="28"/>
    </row>
    <row r="26778">
      <c r="N26778" s="28"/>
      <c r="O26778" s="28"/>
      <c r="U26778" s="28"/>
    </row>
    <row r="26779">
      <c r="N26779" s="28"/>
      <c r="O26779" s="28"/>
      <c r="U26779" s="28"/>
    </row>
    <row r="26780">
      <c r="N26780" s="28"/>
      <c r="O26780" s="28"/>
      <c r="U26780" s="28"/>
    </row>
    <row r="26781">
      <c r="N26781" s="28"/>
      <c r="O26781" s="28"/>
      <c r="U26781" s="28"/>
    </row>
    <row r="26782">
      <c r="N26782" s="28"/>
      <c r="O26782" s="28"/>
      <c r="U26782" s="28"/>
    </row>
    <row r="26783">
      <c r="N26783" s="28"/>
      <c r="O26783" s="28"/>
      <c r="U26783" s="28"/>
    </row>
    <row r="26784">
      <c r="N26784" s="28"/>
      <c r="O26784" s="28"/>
      <c r="U26784" s="28"/>
    </row>
    <row r="26785">
      <c r="N26785" s="28"/>
      <c r="O26785" s="28"/>
      <c r="U26785" s="28"/>
    </row>
    <row r="26786">
      <c r="N26786" s="28"/>
      <c r="O26786" s="28"/>
      <c r="U26786" s="28"/>
    </row>
    <row r="26787">
      <c r="N26787" s="28"/>
      <c r="O26787" s="28"/>
      <c r="U26787" s="28"/>
    </row>
    <row r="26788">
      <c r="N26788" s="28"/>
      <c r="O26788" s="28"/>
      <c r="U26788" s="28"/>
    </row>
    <row r="26789">
      <c r="N26789" s="28"/>
      <c r="O26789" s="28"/>
      <c r="U26789" s="28"/>
    </row>
    <row r="26790">
      <c r="N26790" s="28"/>
      <c r="O26790" s="28"/>
      <c r="U26790" s="28"/>
    </row>
    <row r="26791">
      <c r="N26791" s="28"/>
      <c r="O26791" s="28"/>
      <c r="U26791" s="28"/>
    </row>
    <row r="26792">
      <c r="N26792" s="28"/>
      <c r="O26792" s="28"/>
      <c r="U26792" s="28"/>
    </row>
    <row r="26793">
      <c r="N26793" s="28"/>
      <c r="O26793" s="28"/>
      <c r="U26793" s="28"/>
    </row>
    <row r="26794">
      <c r="N26794" s="28"/>
      <c r="O26794" s="28"/>
      <c r="U26794" s="28"/>
    </row>
    <row r="26795">
      <c r="N26795" s="28"/>
      <c r="O26795" s="28"/>
      <c r="U26795" s="28"/>
    </row>
    <row r="26796">
      <c r="N26796" s="28"/>
      <c r="O26796" s="28"/>
      <c r="U26796" s="28"/>
    </row>
    <row r="26797">
      <c r="N26797" s="28"/>
      <c r="O26797" s="28"/>
      <c r="U26797" s="28"/>
    </row>
    <row r="26798">
      <c r="N26798" s="28"/>
      <c r="O26798" s="28"/>
      <c r="U26798" s="28"/>
    </row>
    <row r="26799">
      <c r="N26799" s="28"/>
      <c r="O26799" s="28"/>
      <c r="U26799" s="28"/>
    </row>
    <row r="26800">
      <c r="N26800" s="28"/>
      <c r="O26800" s="28"/>
      <c r="U26800" s="28"/>
    </row>
    <row r="26801">
      <c r="N26801" s="28"/>
      <c r="O26801" s="28"/>
      <c r="U26801" s="28"/>
    </row>
    <row r="26802">
      <c r="N26802" s="28"/>
      <c r="O26802" s="28"/>
      <c r="U26802" s="28"/>
    </row>
    <row r="26803">
      <c r="N26803" s="28"/>
      <c r="O26803" s="28"/>
      <c r="U26803" s="28"/>
    </row>
    <row r="26804">
      <c r="N26804" s="28"/>
      <c r="O26804" s="28"/>
      <c r="U26804" s="28"/>
    </row>
    <row r="26805">
      <c r="N26805" s="28"/>
      <c r="O26805" s="28"/>
      <c r="U26805" s="28"/>
    </row>
    <row r="26806">
      <c r="N26806" s="28"/>
      <c r="O26806" s="28"/>
      <c r="U26806" s="28"/>
    </row>
    <row r="26807">
      <c r="N26807" s="28"/>
      <c r="O26807" s="28"/>
      <c r="U26807" s="28"/>
    </row>
    <row r="26808">
      <c r="N26808" s="28"/>
      <c r="O26808" s="28"/>
      <c r="U26808" s="28"/>
    </row>
    <row r="26809">
      <c r="N26809" s="28"/>
      <c r="O26809" s="28"/>
      <c r="U26809" s="28"/>
    </row>
    <row r="26810">
      <c r="N26810" s="28"/>
      <c r="O26810" s="28"/>
      <c r="U26810" s="28"/>
    </row>
    <row r="26811">
      <c r="N26811" s="28"/>
      <c r="O26811" s="28"/>
      <c r="U26811" s="28"/>
    </row>
    <row r="26812">
      <c r="N26812" s="28"/>
      <c r="O26812" s="28"/>
      <c r="U26812" s="28"/>
    </row>
    <row r="26813">
      <c r="N26813" s="28"/>
      <c r="O26813" s="28"/>
      <c r="U26813" s="28"/>
    </row>
    <row r="26814">
      <c r="N26814" s="28"/>
      <c r="O26814" s="28"/>
      <c r="U26814" s="28"/>
    </row>
    <row r="26815">
      <c r="N26815" s="28"/>
      <c r="O26815" s="28"/>
      <c r="U26815" s="28"/>
    </row>
    <row r="26816">
      <c r="N26816" s="28"/>
      <c r="O26816" s="28"/>
      <c r="U26816" s="28"/>
    </row>
    <row r="26817">
      <c r="N26817" s="28"/>
      <c r="O26817" s="28"/>
      <c r="U26817" s="28"/>
    </row>
    <row r="26818">
      <c r="N26818" s="28"/>
      <c r="O26818" s="28"/>
      <c r="U26818" s="28"/>
    </row>
    <row r="26819">
      <c r="N26819" s="28"/>
      <c r="O26819" s="28"/>
      <c r="U26819" s="28"/>
    </row>
    <row r="26820">
      <c r="N26820" s="28"/>
      <c r="O26820" s="28"/>
      <c r="U26820" s="28"/>
    </row>
    <row r="26821">
      <c r="N26821" s="28"/>
      <c r="O26821" s="28"/>
      <c r="U26821" s="28"/>
    </row>
    <row r="26822">
      <c r="N26822" s="28"/>
      <c r="O26822" s="28"/>
      <c r="U26822" s="28"/>
    </row>
    <row r="26823">
      <c r="N26823" s="28"/>
      <c r="O26823" s="28"/>
      <c r="U26823" s="28"/>
    </row>
    <row r="26824">
      <c r="N26824" s="28"/>
      <c r="O26824" s="28"/>
      <c r="U26824" s="28"/>
    </row>
    <row r="26825">
      <c r="N26825" s="28"/>
      <c r="O26825" s="28"/>
      <c r="U26825" s="28"/>
    </row>
    <row r="26826">
      <c r="N26826" s="28"/>
      <c r="O26826" s="28"/>
      <c r="U26826" s="28"/>
    </row>
    <row r="26827">
      <c r="N26827" s="28"/>
      <c r="O26827" s="28"/>
      <c r="U26827" s="28"/>
    </row>
    <row r="26828">
      <c r="N26828" s="28"/>
      <c r="O26828" s="28"/>
      <c r="U26828" s="28"/>
    </row>
    <row r="26829">
      <c r="N26829" s="28"/>
      <c r="O26829" s="28"/>
      <c r="U26829" s="28"/>
    </row>
    <row r="26830">
      <c r="N26830" s="28"/>
      <c r="O26830" s="28"/>
      <c r="U26830" s="28"/>
    </row>
    <row r="26831">
      <c r="N26831" s="28"/>
      <c r="O26831" s="28"/>
      <c r="U26831" s="28"/>
    </row>
    <row r="26832">
      <c r="N26832" s="28"/>
      <c r="O26832" s="28"/>
      <c r="U26832" s="28"/>
    </row>
    <row r="26833">
      <c r="N26833" s="28"/>
      <c r="O26833" s="28"/>
      <c r="U26833" s="28"/>
    </row>
    <row r="26834">
      <c r="N26834" s="28"/>
      <c r="O26834" s="28"/>
      <c r="U26834" s="28"/>
    </row>
    <row r="26835">
      <c r="N26835" s="28"/>
      <c r="O26835" s="28"/>
      <c r="U26835" s="28"/>
    </row>
    <row r="26836">
      <c r="N26836" s="28"/>
      <c r="O26836" s="28"/>
      <c r="U26836" s="28"/>
    </row>
    <row r="26837">
      <c r="N26837" s="28"/>
      <c r="O26837" s="28"/>
      <c r="U26837" s="28"/>
    </row>
    <row r="26838">
      <c r="N26838" s="28"/>
      <c r="O26838" s="28"/>
      <c r="U26838" s="28"/>
    </row>
    <row r="26839">
      <c r="N26839" s="28"/>
      <c r="O26839" s="28"/>
      <c r="U26839" s="28"/>
    </row>
    <row r="26840">
      <c r="N26840" s="28"/>
      <c r="O26840" s="28"/>
      <c r="U26840" s="28"/>
    </row>
    <row r="26841">
      <c r="N26841" s="28"/>
      <c r="O26841" s="28"/>
      <c r="U26841" s="28"/>
    </row>
    <row r="26842">
      <c r="N26842" s="28"/>
      <c r="O26842" s="28"/>
      <c r="U26842" s="28"/>
    </row>
    <row r="26843">
      <c r="N26843" s="28"/>
      <c r="O26843" s="28"/>
      <c r="U26843" s="28"/>
    </row>
    <row r="26844">
      <c r="N26844" s="28"/>
      <c r="O26844" s="28"/>
      <c r="U26844" s="28"/>
    </row>
    <row r="26845">
      <c r="N26845" s="28"/>
      <c r="O26845" s="28"/>
      <c r="U26845" s="28"/>
    </row>
    <row r="26846">
      <c r="N26846" s="28"/>
      <c r="O26846" s="28"/>
      <c r="U26846" s="28"/>
    </row>
    <row r="26847">
      <c r="N26847" s="28"/>
      <c r="O26847" s="28"/>
      <c r="U26847" s="28"/>
    </row>
    <row r="26848">
      <c r="N26848" s="28"/>
      <c r="O26848" s="28"/>
      <c r="U26848" s="28"/>
    </row>
    <row r="26849">
      <c r="N26849" s="28"/>
      <c r="O26849" s="28"/>
      <c r="U26849" s="28"/>
    </row>
    <row r="26850">
      <c r="N26850" s="28"/>
      <c r="O26850" s="28"/>
      <c r="U26850" s="28"/>
    </row>
    <row r="26851">
      <c r="N26851" s="28"/>
      <c r="O26851" s="28"/>
      <c r="U26851" s="28"/>
    </row>
    <row r="26852">
      <c r="N26852" s="28"/>
      <c r="O26852" s="28"/>
      <c r="U26852" s="28"/>
    </row>
    <row r="26853">
      <c r="N26853" s="28"/>
      <c r="O26853" s="28"/>
      <c r="U26853" s="28"/>
    </row>
    <row r="26854">
      <c r="N26854" s="28"/>
      <c r="O26854" s="28"/>
      <c r="U26854" s="28"/>
    </row>
    <row r="26855">
      <c r="N26855" s="28"/>
      <c r="O26855" s="28"/>
      <c r="U26855" s="28"/>
    </row>
    <row r="26856">
      <c r="N26856" s="28"/>
      <c r="O26856" s="28"/>
      <c r="U26856" s="28"/>
    </row>
    <row r="26857">
      <c r="N26857" s="28"/>
      <c r="O26857" s="28"/>
      <c r="U26857" s="28"/>
    </row>
    <row r="26858">
      <c r="N26858" s="28"/>
      <c r="O26858" s="28"/>
      <c r="U26858" s="28"/>
    </row>
    <row r="26859">
      <c r="N26859" s="28"/>
      <c r="O26859" s="28"/>
      <c r="U26859" s="28"/>
    </row>
    <row r="26860">
      <c r="N26860" s="28"/>
      <c r="O26860" s="28"/>
      <c r="U26860" s="28"/>
    </row>
    <row r="26861">
      <c r="N26861" s="28"/>
      <c r="O26861" s="28"/>
      <c r="U26861" s="28"/>
    </row>
    <row r="26862">
      <c r="N26862" s="28"/>
      <c r="O26862" s="28"/>
      <c r="U26862" s="28"/>
    </row>
    <row r="26863">
      <c r="N26863" s="28"/>
      <c r="O26863" s="28"/>
      <c r="U26863" s="28"/>
    </row>
    <row r="26864">
      <c r="N26864" s="28"/>
      <c r="O26864" s="28"/>
      <c r="U26864" s="28"/>
    </row>
    <row r="26865">
      <c r="N26865" s="28"/>
      <c r="O26865" s="28"/>
      <c r="U26865" s="28"/>
    </row>
    <row r="26866">
      <c r="N26866" s="28"/>
      <c r="O26866" s="28"/>
      <c r="U26866" s="28"/>
    </row>
    <row r="26867">
      <c r="N26867" s="28"/>
      <c r="O26867" s="28"/>
      <c r="U26867" s="28"/>
    </row>
    <row r="26868">
      <c r="N26868" s="28"/>
      <c r="O26868" s="28"/>
      <c r="U26868" s="28"/>
    </row>
    <row r="26869">
      <c r="N26869" s="28"/>
      <c r="O26869" s="28"/>
      <c r="U26869" s="28"/>
    </row>
    <row r="26870">
      <c r="N26870" s="28"/>
      <c r="O26870" s="28"/>
      <c r="U26870" s="28"/>
    </row>
    <row r="26871">
      <c r="N26871" s="28"/>
      <c r="O26871" s="28"/>
      <c r="U26871" s="28"/>
    </row>
    <row r="26872">
      <c r="N26872" s="28"/>
      <c r="O26872" s="28"/>
      <c r="U26872" s="28"/>
    </row>
    <row r="26873">
      <c r="N26873" s="28"/>
      <c r="O26873" s="28"/>
      <c r="U26873" s="28"/>
    </row>
    <row r="26874">
      <c r="N26874" s="28"/>
      <c r="O26874" s="28"/>
      <c r="U26874" s="28"/>
    </row>
    <row r="26875">
      <c r="N26875" s="28"/>
      <c r="O26875" s="28"/>
      <c r="U26875" s="28"/>
    </row>
    <row r="26876">
      <c r="N26876" s="28"/>
      <c r="O26876" s="28"/>
      <c r="U26876" s="28"/>
    </row>
    <row r="26877">
      <c r="N26877" s="28"/>
      <c r="O26877" s="28"/>
      <c r="U26877" s="28"/>
    </row>
    <row r="26878">
      <c r="N26878" s="28"/>
      <c r="O26878" s="28"/>
      <c r="U26878" s="28"/>
    </row>
    <row r="26879">
      <c r="N26879" s="28"/>
      <c r="O26879" s="28"/>
      <c r="U26879" s="28"/>
    </row>
    <row r="26880">
      <c r="N26880" s="28"/>
      <c r="O26880" s="28"/>
      <c r="U26880" s="28"/>
    </row>
    <row r="26881">
      <c r="N26881" s="28"/>
      <c r="O26881" s="28"/>
      <c r="U26881" s="28"/>
    </row>
    <row r="26882">
      <c r="N26882" s="28"/>
      <c r="O26882" s="28"/>
      <c r="U26882" s="28"/>
    </row>
    <row r="26883">
      <c r="N26883" s="28"/>
      <c r="O26883" s="28"/>
      <c r="U26883" s="28"/>
    </row>
    <row r="26884">
      <c r="N26884" s="28"/>
      <c r="O26884" s="28"/>
      <c r="U26884" s="28"/>
    </row>
    <row r="26885">
      <c r="N26885" s="28"/>
      <c r="O26885" s="28"/>
      <c r="U26885" s="28"/>
    </row>
    <row r="26886">
      <c r="N26886" s="28"/>
      <c r="O26886" s="28"/>
      <c r="U26886" s="28"/>
    </row>
    <row r="26887">
      <c r="N26887" s="28"/>
      <c r="O26887" s="28"/>
      <c r="U26887" s="28"/>
    </row>
    <row r="26888">
      <c r="N26888" s="28"/>
      <c r="O26888" s="28"/>
      <c r="U26888" s="28"/>
    </row>
    <row r="26889">
      <c r="N26889" s="28"/>
      <c r="O26889" s="28"/>
      <c r="U26889" s="28"/>
    </row>
    <row r="26890">
      <c r="N26890" s="28"/>
      <c r="O26890" s="28"/>
      <c r="U26890" s="28"/>
    </row>
    <row r="26891">
      <c r="N26891" s="28"/>
      <c r="O26891" s="28"/>
      <c r="U26891" s="28"/>
    </row>
    <row r="26892">
      <c r="N26892" s="28"/>
      <c r="O26892" s="28"/>
      <c r="U26892" s="28"/>
    </row>
    <row r="26893">
      <c r="N26893" s="28"/>
      <c r="O26893" s="28"/>
      <c r="U26893" s="28"/>
    </row>
    <row r="26894">
      <c r="N26894" s="28"/>
      <c r="O26894" s="28"/>
      <c r="U26894" s="28"/>
    </row>
    <row r="26895">
      <c r="N26895" s="28"/>
      <c r="O26895" s="28"/>
      <c r="U26895" s="28"/>
    </row>
    <row r="26896">
      <c r="N26896" s="28"/>
      <c r="O26896" s="28"/>
      <c r="U26896" s="28"/>
    </row>
    <row r="26897">
      <c r="N26897" s="28"/>
      <c r="O26897" s="28"/>
      <c r="U26897" s="28"/>
    </row>
    <row r="26898">
      <c r="N26898" s="28"/>
      <c r="O26898" s="28"/>
      <c r="U26898" s="28"/>
    </row>
    <row r="26899">
      <c r="N26899" s="28"/>
      <c r="O26899" s="28"/>
      <c r="U26899" s="28"/>
    </row>
    <row r="26900">
      <c r="N26900" s="28"/>
      <c r="O26900" s="28"/>
      <c r="U26900" s="28"/>
    </row>
    <row r="26901">
      <c r="N26901" s="28"/>
      <c r="O26901" s="28"/>
      <c r="U26901" s="28"/>
    </row>
    <row r="26902">
      <c r="N26902" s="28"/>
      <c r="O26902" s="28"/>
      <c r="U26902" s="28"/>
    </row>
    <row r="26903">
      <c r="N26903" s="28"/>
      <c r="O26903" s="28"/>
      <c r="U26903" s="28"/>
    </row>
    <row r="26904">
      <c r="N26904" s="28"/>
      <c r="O26904" s="28"/>
      <c r="U26904" s="28"/>
    </row>
    <row r="26905">
      <c r="N26905" s="28"/>
      <c r="O26905" s="28"/>
      <c r="U26905" s="28"/>
    </row>
    <row r="26906">
      <c r="N26906" s="28"/>
      <c r="O26906" s="28"/>
      <c r="U26906" s="28"/>
    </row>
    <row r="26907">
      <c r="N26907" s="28"/>
      <c r="O26907" s="28"/>
      <c r="U26907" s="28"/>
    </row>
    <row r="26908">
      <c r="N26908" s="28"/>
      <c r="O26908" s="28"/>
      <c r="U26908" s="28"/>
    </row>
    <row r="26909">
      <c r="N26909" s="28"/>
      <c r="O26909" s="28"/>
      <c r="U26909" s="28"/>
    </row>
    <row r="26910">
      <c r="N26910" s="28"/>
      <c r="O26910" s="28"/>
      <c r="U26910" s="28"/>
    </row>
    <row r="26911">
      <c r="N26911" s="28"/>
      <c r="O26911" s="28"/>
      <c r="U26911" s="28"/>
    </row>
    <row r="26912">
      <c r="N26912" s="28"/>
      <c r="O26912" s="28"/>
      <c r="U26912" s="28"/>
    </row>
    <row r="26913">
      <c r="N26913" s="28"/>
      <c r="O26913" s="28"/>
      <c r="U26913" s="28"/>
    </row>
    <row r="26914">
      <c r="N26914" s="28"/>
      <c r="O26914" s="28"/>
      <c r="U26914" s="28"/>
    </row>
    <row r="26915">
      <c r="N26915" s="28"/>
      <c r="O26915" s="28"/>
      <c r="U26915" s="28"/>
    </row>
    <row r="26916">
      <c r="N26916" s="28"/>
      <c r="O26916" s="28"/>
      <c r="U26916" s="28"/>
    </row>
    <row r="26917">
      <c r="N26917" s="28"/>
      <c r="O26917" s="28"/>
      <c r="U26917" s="28"/>
    </row>
    <row r="26918">
      <c r="N26918" s="28"/>
      <c r="O26918" s="28"/>
      <c r="U26918" s="28"/>
    </row>
    <row r="26919">
      <c r="N26919" s="28"/>
      <c r="O26919" s="28"/>
      <c r="U26919" s="28"/>
    </row>
    <row r="26920">
      <c r="N26920" s="28"/>
      <c r="O26920" s="28"/>
      <c r="U26920" s="28"/>
    </row>
    <row r="26921">
      <c r="N26921" s="28"/>
      <c r="O26921" s="28"/>
      <c r="U26921" s="28"/>
    </row>
    <row r="26922">
      <c r="N26922" s="28"/>
      <c r="O26922" s="28"/>
      <c r="U26922" s="28"/>
    </row>
    <row r="26923">
      <c r="N26923" s="28"/>
      <c r="O26923" s="28"/>
      <c r="U26923" s="28"/>
    </row>
    <row r="26924">
      <c r="N26924" s="28"/>
      <c r="O26924" s="28"/>
      <c r="U26924" s="28"/>
    </row>
    <row r="26925">
      <c r="N26925" s="28"/>
      <c r="O26925" s="28"/>
      <c r="U26925" s="28"/>
    </row>
    <row r="26926">
      <c r="N26926" s="28"/>
      <c r="O26926" s="28"/>
      <c r="U26926" s="28"/>
    </row>
    <row r="26927">
      <c r="N26927" s="28"/>
      <c r="O26927" s="28"/>
      <c r="U26927" s="28"/>
    </row>
    <row r="26928">
      <c r="N26928" s="28"/>
      <c r="O26928" s="28"/>
      <c r="U26928" s="28"/>
    </row>
    <row r="26929">
      <c r="N26929" s="28"/>
      <c r="O26929" s="28"/>
      <c r="U26929" s="28"/>
    </row>
    <row r="26930">
      <c r="N26930" s="28"/>
      <c r="O26930" s="28"/>
      <c r="U26930" s="28"/>
    </row>
    <row r="26931">
      <c r="N26931" s="28"/>
      <c r="O26931" s="28"/>
      <c r="U26931" s="28"/>
    </row>
    <row r="26932">
      <c r="N26932" s="28"/>
      <c r="O26932" s="28"/>
      <c r="U26932" s="28"/>
    </row>
    <row r="26933">
      <c r="N26933" s="28"/>
      <c r="O26933" s="28"/>
      <c r="U26933" s="28"/>
    </row>
    <row r="26934">
      <c r="N26934" s="28"/>
      <c r="O26934" s="28"/>
      <c r="U26934" s="28"/>
    </row>
    <row r="26935">
      <c r="N26935" s="28"/>
      <c r="O26935" s="28"/>
      <c r="U26935" s="28"/>
    </row>
    <row r="26936">
      <c r="N26936" s="28"/>
      <c r="O26936" s="28"/>
      <c r="U26936" s="28"/>
    </row>
    <row r="26937">
      <c r="N26937" s="28"/>
      <c r="O26937" s="28"/>
      <c r="U26937" s="28"/>
    </row>
    <row r="26938">
      <c r="N26938" s="28"/>
      <c r="O26938" s="28"/>
      <c r="U26938" s="28"/>
    </row>
    <row r="26939">
      <c r="N26939" s="28"/>
      <c r="O26939" s="28"/>
      <c r="U26939" s="28"/>
    </row>
    <row r="26940">
      <c r="N26940" s="28"/>
      <c r="O26940" s="28"/>
      <c r="U26940" s="28"/>
    </row>
    <row r="26941">
      <c r="N26941" s="28"/>
      <c r="O26941" s="28"/>
      <c r="U26941" s="28"/>
    </row>
    <row r="26942">
      <c r="N26942" s="28"/>
      <c r="O26942" s="28"/>
      <c r="U26942" s="28"/>
    </row>
    <row r="26943">
      <c r="N26943" s="28"/>
      <c r="O26943" s="28"/>
      <c r="U26943" s="28"/>
    </row>
    <row r="26944">
      <c r="N26944" s="28"/>
      <c r="O26944" s="28"/>
      <c r="U26944" s="28"/>
    </row>
    <row r="26945">
      <c r="N26945" s="28"/>
      <c r="O26945" s="28"/>
      <c r="U26945" s="28"/>
    </row>
    <row r="26946">
      <c r="N26946" s="28"/>
      <c r="O26946" s="28"/>
      <c r="U26946" s="28"/>
    </row>
    <row r="26947">
      <c r="N26947" s="28"/>
      <c r="O26947" s="28"/>
      <c r="U26947" s="28"/>
    </row>
    <row r="26948">
      <c r="N26948" s="28"/>
      <c r="O26948" s="28"/>
      <c r="U26948" s="28"/>
    </row>
    <row r="26949">
      <c r="N26949" s="28"/>
      <c r="O26949" s="28"/>
      <c r="U26949" s="28"/>
    </row>
    <row r="26950">
      <c r="N26950" s="28"/>
      <c r="O26950" s="28"/>
      <c r="U26950" s="28"/>
    </row>
    <row r="26951">
      <c r="N26951" s="28"/>
      <c r="O26951" s="28"/>
      <c r="U26951" s="28"/>
    </row>
    <row r="26952">
      <c r="N26952" s="28"/>
      <c r="O26952" s="28"/>
      <c r="U26952" s="28"/>
    </row>
    <row r="26953">
      <c r="N26953" s="28"/>
      <c r="O26953" s="28"/>
      <c r="U26953" s="28"/>
    </row>
    <row r="26954">
      <c r="N26954" s="28"/>
      <c r="O26954" s="28"/>
      <c r="U26954" s="28"/>
    </row>
    <row r="26955">
      <c r="N26955" s="28"/>
      <c r="O26955" s="28"/>
      <c r="U26955" s="28"/>
    </row>
    <row r="26956">
      <c r="N26956" s="28"/>
      <c r="O26956" s="28"/>
      <c r="U26956" s="28"/>
    </row>
    <row r="26957">
      <c r="N26957" s="28"/>
      <c r="O26957" s="28"/>
      <c r="U26957" s="28"/>
    </row>
    <row r="26958">
      <c r="N26958" s="28"/>
      <c r="O26958" s="28"/>
      <c r="U26958" s="28"/>
    </row>
    <row r="26959">
      <c r="N26959" s="28"/>
      <c r="O26959" s="28"/>
      <c r="U26959" s="28"/>
    </row>
    <row r="26960">
      <c r="N26960" s="28"/>
      <c r="O26960" s="28"/>
      <c r="U26960" s="28"/>
    </row>
    <row r="26961">
      <c r="N26961" s="28"/>
      <c r="O26961" s="28"/>
      <c r="U26961" s="28"/>
    </row>
    <row r="26962">
      <c r="N26962" s="28"/>
      <c r="O26962" s="28"/>
      <c r="U26962" s="28"/>
    </row>
    <row r="26963">
      <c r="N26963" s="28"/>
      <c r="O26963" s="28"/>
      <c r="U26963" s="28"/>
    </row>
    <row r="26964">
      <c r="N26964" s="28"/>
      <c r="O26964" s="28"/>
      <c r="U26964" s="28"/>
    </row>
    <row r="26965">
      <c r="N26965" s="28"/>
      <c r="O26965" s="28"/>
      <c r="U26965" s="28"/>
    </row>
    <row r="26966">
      <c r="N26966" s="28"/>
      <c r="O26966" s="28"/>
      <c r="U26966" s="28"/>
    </row>
    <row r="26967">
      <c r="N26967" s="28"/>
      <c r="O26967" s="28"/>
      <c r="U26967" s="28"/>
    </row>
    <row r="26968">
      <c r="N26968" s="28"/>
      <c r="O26968" s="28"/>
      <c r="U26968" s="28"/>
    </row>
    <row r="26969">
      <c r="N26969" s="28"/>
      <c r="O26969" s="28"/>
      <c r="U26969" s="28"/>
    </row>
    <row r="26970">
      <c r="N26970" s="28"/>
      <c r="O26970" s="28"/>
      <c r="U26970" s="28"/>
    </row>
    <row r="26971">
      <c r="N26971" s="28"/>
      <c r="O26971" s="28"/>
      <c r="U26971" s="28"/>
    </row>
    <row r="26972">
      <c r="N26972" s="28"/>
      <c r="O26972" s="28"/>
      <c r="U26972" s="28"/>
    </row>
    <row r="26973">
      <c r="N26973" s="28"/>
      <c r="O26973" s="28"/>
      <c r="U26973" s="28"/>
    </row>
    <row r="26974">
      <c r="N26974" s="28"/>
      <c r="O26974" s="28"/>
      <c r="U26974" s="28"/>
    </row>
    <row r="26975">
      <c r="N26975" s="28"/>
      <c r="O26975" s="28"/>
      <c r="U26975" s="28"/>
    </row>
    <row r="26976">
      <c r="N26976" s="28"/>
      <c r="O26976" s="28"/>
      <c r="U26976" s="28"/>
    </row>
    <row r="26977">
      <c r="N26977" s="28"/>
      <c r="O26977" s="28"/>
      <c r="U26977" s="28"/>
    </row>
    <row r="26978">
      <c r="N26978" s="28"/>
      <c r="O26978" s="28"/>
      <c r="U26978" s="28"/>
    </row>
    <row r="26979">
      <c r="N26979" s="28"/>
      <c r="O26979" s="28"/>
      <c r="U26979" s="28"/>
    </row>
    <row r="26980">
      <c r="N26980" s="28"/>
      <c r="O26980" s="28"/>
      <c r="U26980" s="28"/>
    </row>
    <row r="26981">
      <c r="N26981" s="28"/>
      <c r="O26981" s="28"/>
      <c r="U26981" s="28"/>
    </row>
    <row r="26982">
      <c r="N26982" s="28"/>
      <c r="O26982" s="28"/>
      <c r="U26982" s="28"/>
    </row>
    <row r="26983">
      <c r="N26983" s="28"/>
      <c r="O26983" s="28"/>
      <c r="U26983" s="28"/>
    </row>
    <row r="26984">
      <c r="N26984" s="28"/>
      <c r="O26984" s="28"/>
      <c r="U26984" s="28"/>
    </row>
    <row r="26985">
      <c r="N26985" s="28"/>
      <c r="O26985" s="28"/>
      <c r="U26985" s="28"/>
    </row>
    <row r="26986">
      <c r="N26986" s="28"/>
      <c r="O26986" s="28"/>
      <c r="U26986" s="28"/>
    </row>
    <row r="26987">
      <c r="N26987" s="28"/>
      <c r="O26987" s="28"/>
      <c r="U26987" s="28"/>
    </row>
    <row r="26988">
      <c r="N26988" s="28"/>
      <c r="O26988" s="28"/>
      <c r="U26988" s="28"/>
    </row>
    <row r="26989">
      <c r="N26989" s="28"/>
      <c r="O26989" s="28"/>
      <c r="U26989" s="28"/>
    </row>
    <row r="26990">
      <c r="N26990" s="28"/>
      <c r="O26990" s="28"/>
      <c r="U26990" s="28"/>
    </row>
    <row r="26991">
      <c r="N26991" s="28"/>
      <c r="O26991" s="28"/>
      <c r="U26991" s="28"/>
    </row>
    <row r="26992">
      <c r="N26992" s="28"/>
      <c r="O26992" s="28"/>
      <c r="U26992" s="28"/>
    </row>
    <row r="26993">
      <c r="N26993" s="28"/>
      <c r="O26993" s="28"/>
      <c r="U26993" s="28"/>
    </row>
    <row r="26994">
      <c r="N26994" s="28"/>
      <c r="O26994" s="28"/>
      <c r="U26994" s="28"/>
    </row>
    <row r="26995">
      <c r="N26995" s="28"/>
      <c r="O26995" s="28"/>
      <c r="U26995" s="28"/>
    </row>
    <row r="26996">
      <c r="N26996" s="28"/>
      <c r="O26996" s="28"/>
      <c r="U26996" s="28"/>
    </row>
    <row r="26997">
      <c r="N26997" s="28"/>
      <c r="O26997" s="28"/>
      <c r="U26997" s="28"/>
    </row>
    <row r="26998">
      <c r="N26998" s="28"/>
      <c r="O26998" s="28"/>
      <c r="U26998" s="28"/>
    </row>
    <row r="26999">
      <c r="N26999" s="28"/>
      <c r="O26999" s="28"/>
      <c r="U26999" s="28"/>
    </row>
    <row r="27000">
      <c r="N27000" s="28"/>
      <c r="O27000" s="28"/>
      <c r="U27000" s="28"/>
    </row>
    <row r="27001">
      <c r="N27001" s="28"/>
      <c r="O27001" s="28"/>
      <c r="U27001" s="28"/>
    </row>
    <row r="27002">
      <c r="N27002" s="28"/>
      <c r="O27002" s="28"/>
      <c r="U27002" s="28"/>
    </row>
    <row r="27003">
      <c r="N27003" s="28"/>
      <c r="O27003" s="28"/>
      <c r="U27003" s="28"/>
    </row>
    <row r="27004">
      <c r="N27004" s="28"/>
      <c r="O27004" s="28"/>
      <c r="U27004" s="28"/>
    </row>
    <row r="27005">
      <c r="N27005" s="28"/>
      <c r="O27005" s="28"/>
      <c r="U27005" s="28"/>
    </row>
    <row r="27006">
      <c r="N27006" s="28"/>
      <c r="O27006" s="28"/>
      <c r="U27006" s="28"/>
    </row>
    <row r="27007">
      <c r="N27007" s="28"/>
      <c r="O27007" s="28"/>
      <c r="U27007" s="28"/>
    </row>
    <row r="27008">
      <c r="N27008" s="28"/>
      <c r="O27008" s="28"/>
      <c r="U27008" s="28"/>
    </row>
    <row r="27009">
      <c r="N27009" s="28"/>
      <c r="O27009" s="28"/>
      <c r="U27009" s="28"/>
    </row>
    <row r="27010">
      <c r="N27010" s="28"/>
      <c r="O27010" s="28"/>
      <c r="U27010" s="28"/>
    </row>
    <row r="27011">
      <c r="N27011" s="28"/>
      <c r="O27011" s="28"/>
      <c r="U27011" s="28"/>
    </row>
    <row r="27012">
      <c r="N27012" s="28"/>
      <c r="O27012" s="28"/>
      <c r="U27012" s="28"/>
    </row>
    <row r="27013">
      <c r="N27013" s="28"/>
      <c r="O27013" s="28"/>
      <c r="U27013" s="28"/>
    </row>
    <row r="27014">
      <c r="N27014" s="28"/>
      <c r="O27014" s="28"/>
      <c r="U27014" s="28"/>
    </row>
    <row r="27015">
      <c r="N27015" s="28"/>
      <c r="O27015" s="28"/>
      <c r="U27015" s="28"/>
    </row>
    <row r="27016">
      <c r="N27016" s="28"/>
      <c r="O27016" s="28"/>
      <c r="U27016" s="28"/>
    </row>
    <row r="27017">
      <c r="N27017" s="28"/>
      <c r="O27017" s="28"/>
      <c r="U27017" s="28"/>
    </row>
    <row r="27018">
      <c r="N27018" s="28"/>
      <c r="O27018" s="28"/>
      <c r="U27018" s="28"/>
    </row>
    <row r="27019">
      <c r="N27019" s="28"/>
      <c r="O27019" s="28"/>
      <c r="U27019" s="28"/>
    </row>
    <row r="27020">
      <c r="N27020" s="28"/>
      <c r="O27020" s="28"/>
      <c r="U27020" s="28"/>
    </row>
    <row r="27021">
      <c r="N27021" s="28"/>
      <c r="O27021" s="28"/>
      <c r="U27021" s="28"/>
    </row>
    <row r="27022">
      <c r="N27022" s="28"/>
      <c r="O27022" s="28"/>
      <c r="U27022" s="28"/>
    </row>
    <row r="27023">
      <c r="N27023" s="28"/>
      <c r="O27023" s="28"/>
      <c r="U27023" s="28"/>
    </row>
    <row r="27024">
      <c r="N27024" s="28"/>
      <c r="O27024" s="28"/>
      <c r="U27024" s="28"/>
    </row>
    <row r="27025">
      <c r="N27025" s="28"/>
      <c r="O27025" s="28"/>
      <c r="U27025" s="28"/>
    </row>
    <row r="27026">
      <c r="N27026" s="28"/>
      <c r="O27026" s="28"/>
      <c r="U27026" s="28"/>
    </row>
    <row r="27027">
      <c r="N27027" s="28"/>
      <c r="O27027" s="28"/>
      <c r="U27027" s="28"/>
    </row>
    <row r="27028">
      <c r="N27028" s="28"/>
      <c r="O27028" s="28"/>
      <c r="U27028" s="28"/>
    </row>
    <row r="27029">
      <c r="N27029" s="28"/>
      <c r="O27029" s="28"/>
      <c r="U27029" s="28"/>
    </row>
    <row r="27030">
      <c r="N27030" s="28"/>
      <c r="O27030" s="28"/>
      <c r="U27030" s="28"/>
    </row>
    <row r="27031">
      <c r="N27031" s="28"/>
      <c r="O27031" s="28"/>
      <c r="U27031" s="28"/>
    </row>
    <row r="27032">
      <c r="N27032" s="28"/>
      <c r="O27032" s="28"/>
      <c r="U27032" s="28"/>
    </row>
    <row r="27033">
      <c r="N27033" s="28"/>
      <c r="O27033" s="28"/>
      <c r="U27033" s="28"/>
    </row>
    <row r="27034">
      <c r="N27034" s="28"/>
      <c r="O27034" s="28"/>
      <c r="U27034" s="28"/>
    </row>
    <row r="27035">
      <c r="N27035" s="28"/>
      <c r="O27035" s="28"/>
      <c r="U27035" s="28"/>
    </row>
    <row r="27036">
      <c r="N27036" s="28"/>
      <c r="O27036" s="28"/>
      <c r="U27036" s="28"/>
    </row>
    <row r="27037">
      <c r="N27037" s="28"/>
      <c r="O27037" s="28"/>
      <c r="U27037" s="28"/>
    </row>
    <row r="27038">
      <c r="N27038" s="28"/>
      <c r="O27038" s="28"/>
      <c r="U27038" s="28"/>
    </row>
    <row r="27039">
      <c r="N27039" s="28"/>
      <c r="O27039" s="28"/>
      <c r="U27039" s="28"/>
    </row>
    <row r="27040">
      <c r="N27040" s="28"/>
      <c r="O27040" s="28"/>
      <c r="U27040" s="28"/>
    </row>
    <row r="27041">
      <c r="N27041" s="28"/>
      <c r="O27041" s="28"/>
      <c r="U27041" s="28"/>
    </row>
    <row r="27042">
      <c r="N27042" s="28"/>
      <c r="O27042" s="28"/>
      <c r="U27042" s="28"/>
    </row>
    <row r="27043">
      <c r="N27043" s="28"/>
      <c r="O27043" s="28"/>
      <c r="U27043" s="28"/>
    </row>
    <row r="27044">
      <c r="N27044" s="28"/>
      <c r="O27044" s="28"/>
      <c r="U27044" s="28"/>
    </row>
    <row r="27045">
      <c r="N27045" s="28"/>
      <c r="O27045" s="28"/>
      <c r="U27045" s="28"/>
    </row>
    <row r="27046">
      <c r="N27046" s="28"/>
      <c r="O27046" s="28"/>
      <c r="U27046" s="28"/>
    </row>
    <row r="27047">
      <c r="N27047" s="28"/>
      <c r="O27047" s="28"/>
      <c r="U27047" s="28"/>
    </row>
    <row r="27048">
      <c r="N27048" s="28"/>
      <c r="O27048" s="28"/>
      <c r="U27048" s="28"/>
    </row>
    <row r="27049">
      <c r="N27049" s="28"/>
      <c r="O27049" s="28"/>
      <c r="U27049" s="28"/>
    </row>
    <row r="27050">
      <c r="N27050" s="28"/>
      <c r="O27050" s="28"/>
      <c r="U27050" s="28"/>
    </row>
    <row r="27051">
      <c r="N27051" s="28"/>
      <c r="O27051" s="28"/>
      <c r="U27051" s="28"/>
    </row>
    <row r="27052">
      <c r="N27052" s="28"/>
      <c r="O27052" s="28"/>
      <c r="U27052" s="28"/>
    </row>
    <row r="27053">
      <c r="N27053" s="28"/>
      <c r="O27053" s="28"/>
      <c r="U27053" s="28"/>
    </row>
    <row r="27054">
      <c r="N27054" s="28"/>
      <c r="O27054" s="28"/>
      <c r="U27054" s="28"/>
    </row>
    <row r="27055">
      <c r="N27055" s="28"/>
      <c r="O27055" s="28"/>
      <c r="U27055" s="28"/>
    </row>
    <row r="27056">
      <c r="N27056" s="28"/>
      <c r="O27056" s="28"/>
      <c r="U27056" s="28"/>
    </row>
    <row r="27057">
      <c r="N27057" s="28"/>
      <c r="O27057" s="28"/>
      <c r="U27057" s="28"/>
    </row>
    <row r="27058">
      <c r="N27058" s="28"/>
      <c r="O27058" s="28"/>
      <c r="U27058" s="28"/>
    </row>
    <row r="27059">
      <c r="N27059" s="28"/>
      <c r="O27059" s="28"/>
      <c r="U27059" s="28"/>
    </row>
    <row r="27060">
      <c r="N27060" s="28"/>
      <c r="O27060" s="28"/>
      <c r="U27060" s="28"/>
    </row>
    <row r="27061">
      <c r="N27061" s="28"/>
      <c r="O27061" s="28"/>
      <c r="U27061" s="28"/>
    </row>
    <row r="27062">
      <c r="N27062" s="28"/>
      <c r="O27062" s="28"/>
      <c r="U27062" s="28"/>
    </row>
    <row r="27063">
      <c r="N27063" s="28"/>
      <c r="O27063" s="28"/>
      <c r="U27063" s="28"/>
    </row>
    <row r="27064">
      <c r="N27064" s="28"/>
      <c r="O27064" s="28"/>
      <c r="U27064" s="28"/>
    </row>
    <row r="27065">
      <c r="N27065" s="28"/>
      <c r="O27065" s="28"/>
      <c r="U27065" s="28"/>
    </row>
    <row r="27066">
      <c r="N27066" s="28"/>
      <c r="O27066" s="28"/>
      <c r="U27066" s="28"/>
    </row>
    <row r="27067">
      <c r="N27067" s="28"/>
      <c r="O27067" s="28"/>
      <c r="U27067" s="28"/>
    </row>
    <row r="27068">
      <c r="N27068" s="28"/>
      <c r="O27068" s="28"/>
      <c r="U27068" s="28"/>
    </row>
    <row r="27069">
      <c r="N27069" s="28"/>
      <c r="O27069" s="28"/>
      <c r="U27069" s="28"/>
    </row>
    <row r="27070">
      <c r="N27070" s="28"/>
      <c r="O27070" s="28"/>
      <c r="U27070" s="28"/>
    </row>
    <row r="27071">
      <c r="N27071" s="28"/>
      <c r="O27071" s="28"/>
      <c r="U27071" s="28"/>
    </row>
    <row r="27072">
      <c r="N27072" s="28"/>
      <c r="O27072" s="28"/>
      <c r="U27072" s="28"/>
    </row>
    <row r="27073">
      <c r="N27073" s="28"/>
      <c r="O27073" s="28"/>
      <c r="U27073" s="28"/>
    </row>
    <row r="27074">
      <c r="N27074" s="28"/>
      <c r="O27074" s="28"/>
      <c r="U27074" s="28"/>
    </row>
    <row r="27075">
      <c r="N27075" s="28"/>
      <c r="O27075" s="28"/>
      <c r="U27075" s="28"/>
    </row>
    <row r="27076">
      <c r="N27076" s="28"/>
      <c r="O27076" s="28"/>
      <c r="U27076" s="28"/>
    </row>
    <row r="27077">
      <c r="N27077" s="28"/>
      <c r="O27077" s="28"/>
      <c r="U27077" s="28"/>
    </row>
    <row r="27078">
      <c r="N27078" s="28"/>
      <c r="O27078" s="28"/>
      <c r="U27078" s="28"/>
    </row>
    <row r="27079">
      <c r="N27079" s="28"/>
      <c r="O27079" s="28"/>
      <c r="U27079" s="28"/>
    </row>
    <row r="27080">
      <c r="N27080" s="28"/>
      <c r="O27080" s="28"/>
      <c r="U27080" s="28"/>
    </row>
    <row r="27081">
      <c r="N27081" s="28"/>
      <c r="O27081" s="28"/>
      <c r="U27081" s="28"/>
    </row>
    <row r="27082">
      <c r="N27082" s="28"/>
      <c r="O27082" s="28"/>
      <c r="U27082" s="28"/>
    </row>
    <row r="27083">
      <c r="N27083" s="28"/>
      <c r="O27083" s="28"/>
      <c r="U27083" s="28"/>
    </row>
    <row r="27084">
      <c r="N27084" s="28"/>
      <c r="O27084" s="28"/>
      <c r="U27084" s="28"/>
    </row>
    <row r="27085">
      <c r="N27085" s="28"/>
      <c r="O27085" s="28"/>
      <c r="U27085" s="28"/>
    </row>
    <row r="27086">
      <c r="N27086" s="28"/>
      <c r="O27086" s="28"/>
      <c r="U27086" s="28"/>
    </row>
    <row r="27087">
      <c r="N27087" s="28"/>
      <c r="O27087" s="28"/>
      <c r="U27087" s="28"/>
    </row>
    <row r="27088">
      <c r="N27088" s="28"/>
      <c r="O27088" s="28"/>
      <c r="U27088" s="28"/>
    </row>
    <row r="27089">
      <c r="N27089" s="28"/>
      <c r="O27089" s="28"/>
      <c r="U27089" s="28"/>
    </row>
    <row r="27090">
      <c r="N27090" s="28"/>
      <c r="O27090" s="28"/>
      <c r="U27090" s="28"/>
    </row>
    <row r="27091">
      <c r="N27091" s="28"/>
      <c r="O27091" s="28"/>
      <c r="U27091" s="28"/>
    </row>
    <row r="27092">
      <c r="N27092" s="28"/>
      <c r="O27092" s="28"/>
      <c r="U27092" s="28"/>
    </row>
    <row r="27093">
      <c r="N27093" s="28"/>
      <c r="O27093" s="28"/>
      <c r="U27093" s="28"/>
    </row>
    <row r="27094">
      <c r="N27094" s="28"/>
      <c r="O27094" s="28"/>
      <c r="U27094" s="28"/>
    </row>
    <row r="27095">
      <c r="N27095" s="28"/>
      <c r="O27095" s="28"/>
      <c r="U27095" s="28"/>
    </row>
    <row r="27096">
      <c r="N27096" s="28"/>
      <c r="O27096" s="28"/>
      <c r="U27096" s="28"/>
    </row>
    <row r="27097">
      <c r="N27097" s="28"/>
      <c r="O27097" s="28"/>
      <c r="U27097" s="28"/>
    </row>
    <row r="27098">
      <c r="N27098" s="28"/>
      <c r="O27098" s="28"/>
      <c r="U27098" s="28"/>
    </row>
    <row r="27099">
      <c r="N27099" s="28"/>
      <c r="O27099" s="28"/>
      <c r="U27099" s="28"/>
    </row>
    <row r="27100">
      <c r="N27100" s="28"/>
      <c r="O27100" s="28"/>
      <c r="U27100" s="28"/>
    </row>
    <row r="27101">
      <c r="N27101" s="28"/>
      <c r="O27101" s="28"/>
      <c r="U27101" s="28"/>
    </row>
    <row r="27102">
      <c r="N27102" s="28"/>
      <c r="O27102" s="28"/>
      <c r="U27102" s="28"/>
    </row>
    <row r="27103">
      <c r="N27103" s="28"/>
      <c r="O27103" s="28"/>
      <c r="U27103" s="28"/>
    </row>
    <row r="27104">
      <c r="N27104" s="28"/>
      <c r="O27104" s="28"/>
      <c r="U27104" s="28"/>
    </row>
    <row r="27105">
      <c r="N27105" s="28"/>
      <c r="O27105" s="28"/>
      <c r="U27105" s="28"/>
    </row>
    <row r="27106">
      <c r="N27106" s="28"/>
      <c r="O27106" s="28"/>
      <c r="U27106" s="28"/>
    </row>
    <row r="27107">
      <c r="N27107" s="28"/>
      <c r="O27107" s="28"/>
      <c r="U27107" s="28"/>
    </row>
    <row r="27108">
      <c r="N27108" s="28"/>
      <c r="O27108" s="28"/>
      <c r="U27108" s="28"/>
    </row>
    <row r="27109">
      <c r="N27109" s="28"/>
      <c r="O27109" s="28"/>
      <c r="U27109" s="28"/>
    </row>
    <row r="27110">
      <c r="N27110" s="28"/>
      <c r="O27110" s="28"/>
      <c r="U27110" s="28"/>
    </row>
    <row r="27111">
      <c r="N27111" s="28"/>
      <c r="O27111" s="28"/>
      <c r="U27111" s="28"/>
    </row>
    <row r="27112">
      <c r="N27112" s="28"/>
      <c r="O27112" s="28"/>
      <c r="U27112" s="28"/>
    </row>
    <row r="27113">
      <c r="N27113" s="28"/>
      <c r="O27113" s="28"/>
      <c r="U27113" s="28"/>
    </row>
    <row r="27114">
      <c r="N27114" s="28"/>
      <c r="O27114" s="28"/>
      <c r="U27114" s="28"/>
    </row>
    <row r="27115">
      <c r="N27115" s="28"/>
      <c r="O27115" s="28"/>
      <c r="U27115" s="28"/>
    </row>
    <row r="27116">
      <c r="N27116" s="28"/>
      <c r="O27116" s="28"/>
      <c r="U27116" s="28"/>
    </row>
    <row r="27117">
      <c r="N27117" s="28"/>
      <c r="O27117" s="28"/>
      <c r="U27117" s="28"/>
    </row>
    <row r="27118">
      <c r="N27118" s="28"/>
      <c r="O27118" s="28"/>
      <c r="U27118" s="28"/>
    </row>
    <row r="27119">
      <c r="N27119" s="28"/>
      <c r="O27119" s="28"/>
      <c r="U27119" s="28"/>
    </row>
    <row r="27120">
      <c r="N27120" s="28"/>
      <c r="O27120" s="28"/>
      <c r="U27120" s="28"/>
    </row>
    <row r="27121">
      <c r="N27121" s="28"/>
      <c r="O27121" s="28"/>
      <c r="U27121" s="28"/>
    </row>
    <row r="27122">
      <c r="N27122" s="28"/>
      <c r="O27122" s="28"/>
      <c r="U27122" s="28"/>
    </row>
    <row r="27123">
      <c r="N27123" s="28"/>
      <c r="O27123" s="28"/>
      <c r="U27123" s="28"/>
    </row>
    <row r="27124">
      <c r="N27124" s="28"/>
      <c r="O27124" s="28"/>
      <c r="U27124" s="28"/>
    </row>
    <row r="27125">
      <c r="N27125" s="28"/>
      <c r="O27125" s="28"/>
      <c r="U27125" s="28"/>
    </row>
    <row r="27126">
      <c r="N27126" s="28"/>
      <c r="O27126" s="28"/>
      <c r="U27126" s="28"/>
    </row>
    <row r="27127">
      <c r="N27127" s="28"/>
      <c r="O27127" s="28"/>
      <c r="U27127" s="28"/>
    </row>
    <row r="27128">
      <c r="N27128" s="28"/>
      <c r="O27128" s="28"/>
      <c r="U27128" s="28"/>
    </row>
    <row r="27129">
      <c r="N27129" s="28"/>
      <c r="O27129" s="28"/>
      <c r="U27129" s="28"/>
    </row>
    <row r="27130">
      <c r="N27130" s="28"/>
      <c r="O27130" s="28"/>
      <c r="U27130" s="28"/>
    </row>
    <row r="27131">
      <c r="N27131" s="28"/>
      <c r="O27131" s="28"/>
      <c r="U27131" s="28"/>
    </row>
    <row r="27132">
      <c r="N27132" s="28"/>
      <c r="O27132" s="28"/>
      <c r="U27132" s="28"/>
    </row>
    <row r="27133">
      <c r="N27133" s="28"/>
      <c r="O27133" s="28"/>
      <c r="U27133" s="28"/>
    </row>
    <row r="27134">
      <c r="N27134" s="28"/>
      <c r="O27134" s="28"/>
      <c r="U27134" s="28"/>
    </row>
    <row r="27135">
      <c r="N27135" s="28"/>
      <c r="O27135" s="28"/>
      <c r="U27135" s="28"/>
    </row>
    <row r="27136">
      <c r="N27136" s="28"/>
      <c r="O27136" s="28"/>
      <c r="U27136" s="28"/>
    </row>
    <row r="27137">
      <c r="N27137" s="28"/>
      <c r="O27137" s="28"/>
      <c r="U27137" s="28"/>
    </row>
    <row r="27138">
      <c r="N27138" s="28"/>
      <c r="O27138" s="28"/>
      <c r="U27138" s="28"/>
    </row>
    <row r="27139">
      <c r="N27139" s="28"/>
      <c r="O27139" s="28"/>
      <c r="U27139" s="28"/>
    </row>
    <row r="27140">
      <c r="N27140" s="28"/>
      <c r="O27140" s="28"/>
      <c r="U27140" s="28"/>
    </row>
    <row r="27141">
      <c r="N27141" s="28"/>
      <c r="O27141" s="28"/>
      <c r="U27141" s="28"/>
    </row>
    <row r="27142">
      <c r="N27142" s="28"/>
      <c r="O27142" s="28"/>
      <c r="U27142" s="28"/>
    </row>
    <row r="27143">
      <c r="N27143" s="28"/>
      <c r="O27143" s="28"/>
      <c r="U27143" s="28"/>
    </row>
    <row r="27144">
      <c r="N27144" s="28"/>
      <c r="O27144" s="28"/>
      <c r="U27144" s="28"/>
    </row>
    <row r="27145">
      <c r="N27145" s="28"/>
      <c r="O27145" s="28"/>
      <c r="U27145" s="28"/>
    </row>
    <row r="27146">
      <c r="N27146" s="28"/>
      <c r="O27146" s="28"/>
      <c r="U27146" s="28"/>
    </row>
    <row r="27147">
      <c r="N27147" s="28"/>
      <c r="O27147" s="28"/>
      <c r="U27147" s="28"/>
    </row>
    <row r="27148">
      <c r="N27148" s="28"/>
      <c r="O27148" s="28"/>
      <c r="U27148" s="28"/>
    </row>
    <row r="27149">
      <c r="N27149" s="28"/>
      <c r="O27149" s="28"/>
      <c r="U27149" s="28"/>
    </row>
    <row r="27150">
      <c r="N27150" s="28"/>
      <c r="O27150" s="28"/>
      <c r="U27150" s="28"/>
    </row>
    <row r="27151">
      <c r="N27151" s="28"/>
      <c r="O27151" s="28"/>
      <c r="U27151" s="28"/>
    </row>
    <row r="27152">
      <c r="N27152" s="28"/>
      <c r="O27152" s="28"/>
      <c r="U27152" s="28"/>
    </row>
    <row r="27153">
      <c r="N27153" s="28"/>
      <c r="O27153" s="28"/>
      <c r="U27153" s="28"/>
    </row>
    <row r="27154">
      <c r="N27154" s="28"/>
      <c r="O27154" s="28"/>
      <c r="U27154" s="28"/>
    </row>
    <row r="27155">
      <c r="N27155" s="28"/>
      <c r="O27155" s="28"/>
      <c r="U27155" s="28"/>
    </row>
    <row r="27156">
      <c r="N27156" s="28"/>
      <c r="O27156" s="28"/>
      <c r="U27156" s="28"/>
    </row>
    <row r="27157">
      <c r="N27157" s="28"/>
      <c r="O27157" s="28"/>
      <c r="U27157" s="28"/>
    </row>
    <row r="27158">
      <c r="N27158" s="28"/>
      <c r="O27158" s="28"/>
      <c r="U27158" s="28"/>
    </row>
    <row r="27159">
      <c r="N27159" s="28"/>
      <c r="O27159" s="28"/>
      <c r="U27159" s="28"/>
    </row>
    <row r="27160">
      <c r="N27160" s="28"/>
      <c r="O27160" s="28"/>
      <c r="U27160" s="28"/>
    </row>
    <row r="27161">
      <c r="N27161" s="28"/>
      <c r="O27161" s="28"/>
      <c r="U27161" s="28"/>
    </row>
    <row r="27162">
      <c r="N27162" s="28"/>
      <c r="O27162" s="28"/>
      <c r="U27162" s="28"/>
    </row>
    <row r="27163">
      <c r="N27163" s="28"/>
      <c r="O27163" s="28"/>
      <c r="U27163" s="28"/>
    </row>
    <row r="27164">
      <c r="N27164" s="28"/>
      <c r="O27164" s="28"/>
      <c r="U27164" s="28"/>
    </row>
    <row r="27165">
      <c r="N27165" s="28"/>
      <c r="O27165" s="28"/>
      <c r="U27165" s="28"/>
    </row>
    <row r="27166">
      <c r="N27166" s="28"/>
      <c r="O27166" s="28"/>
      <c r="U27166" s="28"/>
    </row>
    <row r="27167">
      <c r="N27167" s="28"/>
      <c r="O27167" s="28"/>
      <c r="U27167" s="28"/>
    </row>
    <row r="27168">
      <c r="N27168" s="28"/>
      <c r="O27168" s="28"/>
      <c r="U27168" s="28"/>
    </row>
    <row r="27169">
      <c r="N27169" s="28"/>
      <c r="O27169" s="28"/>
      <c r="U27169" s="28"/>
    </row>
    <row r="27170">
      <c r="N27170" s="28"/>
      <c r="O27170" s="28"/>
      <c r="U27170" s="28"/>
    </row>
    <row r="27171">
      <c r="N27171" s="28"/>
      <c r="O27171" s="28"/>
      <c r="U27171" s="28"/>
    </row>
    <row r="27172">
      <c r="N27172" s="28"/>
      <c r="O27172" s="28"/>
      <c r="U27172" s="28"/>
    </row>
    <row r="27173">
      <c r="N27173" s="28"/>
      <c r="O27173" s="28"/>
      <c r="U27173" s="28"/>
    </row>
    <row r="27174">
      <c r="N27174" s="28"/>
      <c r="O27174" s="28"/>
      <c r="U27174" s="28"/>
    </row>
    <row r="27175">
      <c r="N27175" s="28"/>
      <c r="O27175" s="28"/>
      <c r="U27175" s="28"/>
    </row>
    <row r="27176">
      <c r="N27176" s="28"/>
      <c r="O27176" s="28"/>
      <c r="U27176" s="28"/>
    </row>
    <row r="27177">
      <c r="N27177" s="28"/>
      <c r="O27177" s="28"/>
      <c r="U27177" s="28"/>
    </row>
    <row r="27178">
      <c r="N27178" s="28"/>
      <c r="O27178" s="28"/>
      <c r="U27178" s="28"/>
    </row>
    <row r="27179">
      <c r="N27179" s="28"/>
      <c r="O27179" s="28"/>
      <c r="U27179" s="28"/>
    </row>
    <row r="27180">
      <c r="N27180" s="28"/>
      <c r="O27180" s="28"/>
      <c r="U27180" s="28"/>
    </row>
    <row r="27181">
      <c r="N27181" s="28"/>
      <c r="O27181" s="28"/>
      <c r="U27181" s="28"/>
    </row>
    <row r="27182">
      <c r="N27182" s="28"/>
      <c r="O27182" s="28"/>
      <c r="U27182" s="28"/>
    </row>
    <row r="27183">
      <c r="N27183" s="28"/>
      <c r="O27183" s="28"/>
      <c r="U27183" s="28"/>
    </row>
    <row r="27184">
      <c r="N27184" s="28"/>
      <c r="O27184" s="28"/>
      <c r="U27184" s="28"/>
    </row>
    <row r="27185">
      <c r="N27185" s="28"/>
      <c r="O27185" s="28"/>
      <c r="U27185" s="28"/>
    </row>
    <row r="27186">
      <c r="N27186" s="28"/>
      <c r="O27186" s="28"/>
      <c r="U27186" s="28"/>
    </row>
    <row r="27187">
      <c r="N27187" s="28"/>
      <c r="O27187" s="28"/>
      <c r="U27187" s="28"/>
    </row>
    <row r="27188">
      <c r="N27188" s="28"/>
      <c r="O27188" s="28"/>
      <c r="U27188" s="28"/>
    </row>
    <row r="27189">
      <c r="N27189" s="28"/>
      <c r="O27189" s="28"/>
      <c r="U27189" s="28"/>
    </row>
    <row r="27190">
      <c r="N27190" s="28"/>
      <c r="O27190" s="28"/>
      <c r="U27190" s="28"/>
    </row>
    <row r="27191">
      <c r="N27191" s="28"/>
      <c r="O27191" s="28"/>
      <c r="U27191" s="28"/>
    </row>
    <row r="27192">
      <c r="N27192" s="28"/>
      <c r="O27192" s="28"/>
      <c r="U27192" s="28"/>
    </row>
    <row r="27193">
      <c r="N27193" s="28"/>
      <c r="O27193" s="28"/>
      <c r="U27193" s="28"/>
    </row>
    <row r="27194">
      <c r="N27194" s="28"/>
      <c r="O27194" s="28"/>
      <c r="U27194" s="28"/>
    </row>
    <row r="27195">
      <c r="N27195" s="28"/>
      <c r="O27195" s="28"/>
      <c r="U27195" s="28"/>
    </row>
    <row r="27196">
      <c r="N27196" s="28"/>
      <c r="O27196" s="28"/>
      <c r="U27196" s="28"/>
    </row>
    <row r="27197">
      <c r="N27197" s="28"/>
      <c r="O27197" s="28"/>
      <c r="U27197" s="28"/>
    </row>
    <row r="27198">
      <c r="N27198" s="28"/>
      <c r="O27198" s="28"/>
      <c r="U27198" s="28"/>
    </row>
    <row r="27199">
      <c r="N27199" s="28"/>
      <c r="O27199" s="28"/>
      <c r="U27199" s="28"/>
    </row>
    <row r="27200">
      <c r="N27200" s="28"/>
      <c r="O27200" s="28"/>
      <c r="U27200" s="28"/>
    </row>
    <row r="27201">
      <c r="N27201" s="28"/>
      <c r="O27201" s="28"/>
      <c r="U27201" s="28"/>
    </row>
    <row r="27202">
      <c r="N27202" s="28"/>
      <c r="O27202" s="28"/>
      <c r="U27202" s="28"/>
    </row>
    <row r="27203">
      <c r="N27203" s="28"/>
      <c r="O27203" s="28"/>
      <c r="U27203" s="28"/>
    </row>
    <row r="27204">
      <c r="N27204" s="28"/>
      <c r="O27204" s="28"/>
      <c r="U27204" s="28"/>
    </row>
    <row r="27205">
      <c r="N27205" s="28"/>
      <c r="O27205" s="28"/>
      <c r="U27205" s="28"/>
    </row>
    <row r="27206">
      <c r="N27206" s="28"/>
      <c r="O27206" s="28"/>
      <c r="U27206" s="28"/>
    </row>
    <row r="27207">
      <c r="N27207" s="28"/>
      <c r="O27207" s="28"/>
      <c r="U27207" s="28"/>
    </row>
    <row r="27208">
      <c r="N27208" s="28"/>
      <c r="O27208" s="28"/>
      <c r="U27208" s="28"/>
    </row>
    <row r="27209">
      <c r="N27209" s="28"/>
      <c r="O27209" s="28"/>
      <c r="U27209" s="28"/>
    </row>
    <row r="27210">
      <c r="N27210" s="28"/>
      <c r="O27210" s="28"/>
      <c r="U27210" s="28"/>
    </row>
    <row r="27211">
      <c r="N27211" s="28"/>
      <c r="O27211" s="28"/>
      <c r="U27211" s="28"/>
    </row>
    <row r="27212">
      <c r="N27212" s="28"/>
      <c r="O27212" s="28"/>
      <c r="U27212" s="28"/>
    </row>
    <row r="27213">
      <c r="N27213" s="28"/>
      <c r="O27213" s="28"/>
      <c r="U27213" s="28"/>
    </row>
    <row r="27214">
      <c r="N27214" s="28"/>
      <c r="O27214" s="28"/>
      <c r="U27214" s="28"/>
    </row>
    <row r="27215">
      <c r="N27215" s="28"/>
      <c r="O27215" s="28"/>
      <c r="U27215" s="28"/>
    </row>
    <row r="27216">
      <c r="N27216" s="28"/>
      <c r="O27216" s="28"/>
      <c r="U27216" s="28"/>
    </row>
    <row r="27217">
      <c r="N27217" s="28"/>
      <c r="O27217" s="28"/>
      <c r="U27217" s="28"/>
    </row>
    <row r="27218">
      <c r="N27218" s="28"/>
      <c r="O27218" s="28"/>
      <c r="U27218" s="28"/>
    </row>
    <row r="27219">
      <c r="N27219" s="28"/>
      <c r="O27219" s="28"/>
      <c r="U27219" s="28"/>
    </row>
    <row r="27220">
      <c r="N27220" s="28"/>
      <c r="O27220" s="28"/>
      <c r="U27220" s="28"/>
    </row>
    <row r="27221">
      <c r="N27221" s="28"/>
      <c r="O27221" s="28"/>
      <c r="U27221" s="28"/>
    </row>
    <row r="27222">
      <c r="N27222" s="28"/>
      <c r="O27222" s="28"/>
      <c r="U27222" s="28"/>
    </row>
    <row r="27223">
      <c r="N27223" s="28"/>
      <c r="O27223" s="28"/>
      <c r="U27223" s="28"/>
    </row>
    <row r="27224">
      <c r="N27224" s="28"/>
      <c r="O27224" s="28"/>
      <c r="U27224" s="28"/>
    </row>
    <row r="27225">
      <c r="N27225" s="28"/>
      <c r="O27225" s="28"/>
      <c r="U27225" s="28"/>
    </row>
    <row r="27226">
      <c r="N27226" s="28"/>
      <c r="O27226" s="28"/>
      <c r="U27226" s="28"/>
    </row>
    <row r="27227">
      <c r="N27227" s="28"/>
      <c r="O27227" s="28"/>
      <c r="U27227" s="28"/>
    </row>
    <row r="27228">
      <c r="N27228" s="28"/>
      <c r="O27228" s="28"/>
      <c r="U27228" s="28"/>
    </row>
    <row r="27229">
      <c r="N27229" s="28"/>
      <c r="O27229" s="28"/>
      <c r="U27229" s="28"/>
    </row>
    <row r="27230">
      <c r="N27230" s="28"/>
      <c r="O27230" s="28"/>
      <c r="U27230" s="28"/>
    </row>
    <row r="27231">
      <c r="N27231" s="28"/>
      <c r="O27231" s="28"/>
      <c r="U27231" s="28"/>
    </row>
    <row r="27232">
      <c r="N27232" s="28"/>
      <c r="O27232" s="28"/>
      <c r="U27232" s="28"/>
    </row>
    <row r="27233">
      <c r="N27233" s="28"/>
      <c r="O27233" s="28"/>
      <c r="U27233" s="28"/>
    </row>
    <row r="27234">
      <c r="N27234" s="28"/>
      <c r="O27234" s="28"/>
      <c r="U27234" s="28"/>
    </row>
    <row r="27235">
      <c r="N27235" s="28"/>
      <c r="O27235" s="28"/>
      <c r="U27235" s="28"/>
    </row>
    <row r="27236">
      <c r="N27236" s="28"/>
      <c r="O27236" s="28"/>
      <c r="U27236" s="28"/>
    </row>
    <row r="27237">
      <c r="N27237" s="28"/>
      <c r="O27237" s="28"/>
      <c r="U27237" s="28"/>
    </row>
    <row r="27238">
      <c r="N27238" s="28"/>
      <c r="O27238" s="28"/>
      <c r="U27238" s="28"/>
    </row>
    <row r="27239">
      <c r="N27239" s="28"/>
      <c r="O27239" s="28"/>
      <c r="U27239" s="28"/>
    </row>
    <row r="27240">
      <c r="N27240" s="28"/>
      <c r="O27240" s="28"/>
      <c r="U27240" s="28"/>
    </row>
    <row r="27241">
      <c r="N27241" s="28"/>
      <c r="O27241" s="28"/>
      <c r="U27241" s="28"/>
    </row>
    <row r="27242">
      <c r="N27242" s="28"/>
      <c r="O27242" s="28"/>
      <c r="U27242" s="28"/>
    </row>
    <row r="27243">
      <c r="N27243" s="28"/>
      <c r="O27243" s="28"/>
      <c r="U27243" s="28"/>
    </row>
    <row r="27244">
      <c r="N27244" s="28"/>
      <c r="O27244" s="28"/>
      <c r="U27244" s="28"/>
    </row>
    <row r="27245">
      <c r="N27245" s="28"/>
      <c r="O27245" s="28"/>
      <c r="U27245" s="28"/>
    </row>
    <row r="27246">
      <c r="N27246" s="28"/>
      <c r="O27246" s="28"/>
      <c r="U27246" s="28"/>
    </row>
    <row r="27247">
      <c r="N27247" s="28"/>
      <c r="O27247" s="28"/>
      <c r="U27247" s="28"/>
    </row>
    <row r="27248">
      <c r="N27248" s="28"/>
      <c r="O27248" s="28"/>
      <c r="U27248" s="28"/>
    </row>
    <row r="27249">
      <c r="N27249" s="28"/>
      <c r="O27249" s="28"/>
      <c r="U27249" s="28"/>
    </row>
    <row r="27250">
      <c r="N27250" s="28"/>
      <c r="O27250" s="28"/>
      <c r="U27250" s="28"/>
    </row>
    <row r="27251">
      <c r="N27251" s="28"/>
      <c r="O27251" s="28"/>
      <c r="U27251" s="28"/>
    </row>
    <row r="27252">
      <c r="N27252" s="28"/>
      <c r="O27252" s="28"/>
      <c r="U27252" s="28"/>
    </row>
    <row r="27253">
      <c r="N27253" s="28"/>
      <c r="O27253" s="28"/>
      <c r="U27253" s="28"/>
    </row>
    <row r="27254">
      <c r="N27254" s="28"/>
      <c r="O27254" s="28"/>
      <c r="U27254" s="28"/>
    </row>
    <row r="27255">
      <c r="N27255" s="28"/>
      <c r="O27255" s="28"/>
      <c r="U27255" s="28"/>
    </row>
    <row r="27256">
      <c r="N27256" s="28"/>
      <c r="O27256" s="28"/>
      <c r="U27256" s="28"/>
    </row>
    <row r="27257">
      <c r="N27257" s="28"/>
      <c r="O27257" s="28"/>
      <c r="U27257" s="28"/>
    </row>
    <row r="27258">
      <c r="N27258" s="28"/>
      <c r="O27258" s="28"/>
      <c r="U27258" s="28"/>
    </row>
    <row r="27259">
      <c r="N27259" s="28"/>
      <c r="O27259" s="28"/>
      <c r="U27259" s="28"/>
    </row>
    <row r="27260">
      <c r="N27260" s="28"/>
      <c r="O27260" s="28"/>
      <c r="U27260" s="28"/>
    </row>
    <row r="27261">
      <c r="N27261" s="28"/>
      <c r="O27261" s="28"/>
      <c r="U27261" s="28"/>
    </row>
    <row r="27262">
      <c r="N27262" s="28"/>
      <c r="O27262" s="28"/>
      <c r="U27262" s="28"/>
    </row>
    <row r="27263">
      <c r="N27263" s="28"/>
      <c r="O27263" s="28"/>
      <c r="U27263" s="28"/>
    </row>
    <row r="27264">
      <c r="N27264" s="28"/>
      <c r="O27264" s="28"/>
      <c r="U27264" s="28"/>
    </row>
    <row r="27265">
      <c r="N27265" s="28"/>
      <c r="O27265" s="28"/>
      <c r="U27265" s="28"/>
    </row>
    <row r="27266">
      <c r="N27266" s="28"/>
      <c r="O27266" s="28"/>
      <c r="U27266" s="28"/>
    </row>
    <row r="27267">
      <c r="N27267" s="28"/>
      <c r="O27267" s="28"/>
      <c r="U27267" s="28"/>
    </row>
    <row r="27268">
      <c r="N27268" s="28"/>
      <c r="O27268" s="28"/>
      <c r="U27268" s="28"/>
    </row>
    <row r="27269">
      <c r="N27269" s="28"/>
      <c r="O27269" s="28"/>
      <c r="U27269" s="28"/>
    </row>
    <row r="27270">
      <c r="N27270" s="28"/>
      <c r="O27270" s="28"/>
      <c r="U27270" s="28"/>
    </row>
    <row r="27271">
      <c r="N27271" s="28"/>
      <c r="O27271" s="28"/>
      <c r="U27271" s="28"/>
    </row>
    <row r="27272">
      <c r="N27272" s="28"/>
      <c r="O27272" s="28"/>
      <c r="U27272" s="28"/>
    </row>
    <row r="27273">
      <c r="N27273" s="28"/>
      <c r="O27273" s="28"/>
      <c r="U27273" s="28"/>
    </row>
    <row r="27274">
      <c r="N27274" s="28"/>
      <c r="O27274" s="28"/>
      <c r="U27274" s="28"/>
    </row>
    <row r="27275">
      <c r="N27275" s="28"/>
      <c r="O27275" s="28"/>
      <c r="U27275" s="28"/>
    </row>
    <row r="27276">
      <c r="N27276" s="28"/>
      <c r="O27276" s="28"/>
      <c r="U27276" s="28"/>
    </row>
    <row r="27277">
      <c r="N27277" s="28"/>
      <c r="O27277" s="28"/>
      <c r="U27277" s="28"/>
    </row>
    <row r="27278">
      <c r="N27278" s="28"/>
      <c r="O27278" s="28"/>
      <c r="U27278" s="28"/>
    </row>
    <row r="27279">
      <c r="N27279" s="28"/>
      <c r="O27279" s="28"/>
      <c r="U27279" s="28"/>
    </row>
    <row r="27280">
      <c r="N27280" s="28"/>
      <c r="O27280" s="28"/>
      <c r="U27280" s="28"/>
    </row>
    <row r="27281">
      <c r="N27281" s="28"/>
      <c r="O27281" s="28"/>
      <c r="U27281" s="28"/>
    </row>
    <row r="27282">
      <c r="N27282" s="28"/>
      <c r="O27282" s="28"/>
      <c r="U27282" s="28"/>
    </row>
    <row r="27283">
      <c r="N27283" s="28"/>
      <c r="O27283" s="28"/>
      <c r="U27283" s="28"/>
    </row>
    <row r="27284">
      <c r="N27284" s="28"/>
      <c r="O27284" s="28"/>
      <c r="U27284" s="28"/>
    </row>
    <row r="27285">
      <c r="N27285" s="28"/>
      <c r="O27285" s="28"/>
      <c r="U27285" s="28"/>
    </row>
    <row r="27286">
      <c r="N27286" s="28"/>
      <c r="O27286" s="28"/>
      <c r="U27286" s="28"/>
    </row>
    <row r="27287">
      <c r="N27287" s="28"/>
      <c r="O27287" s="28"/>
      <c r="U27287" s="28"/>
    </row>
    <row r="27288">
      <c r="N27288" s="28"/>
      <c r="O27288" s="28"/>
      <c r="U27288" s="28"/>
    </row>
    <row r="27289">
      <c r="N27289" s="28"/>
      <c r="O27289" s="28"/>
      <c r="U27289" s="28"/>
    </row>
    <row r="27290">
      <c r="N27290" s="28"/>
      <c r="O27290" s="28"/>
      <c r="U27290" s="28"/>
    </row>
    <row r="27291">
      <c r="N27291" s="28"/>
      <c r="O27291" s="28"/>
      <c r="U27291" s="28"/>
    </row>
    <row r="27292">
      <c r="N27292" s="28"/>
      <c r="O27292" s="28"/>
      <c r="U27292" s="28"/>
    </row>
    <row r="27293">
      <c r="N27293" s="28"/>
      <c r="O27293" s="28"/>
      <c r="U27293" s="28"/>
    </row>
    <row r="27294">
      <c r="N27294" s="28"/>
      <c r="O27294" s="28"/>
      <c r="U27294" s="28"/>
    </row>
    <row r="27295">
      <c r="N27295" s="28"/>
      <c r="O27295" s="28"/>
      <c r="U27295" s="28"/>
    </row>
    <row r="27296">
      <c r="N27296" s="28"/>
      <c r="O27296" s="28"/>
      <c r="U27296" s="28"/>
    </row>
    <row r="27297">
      <c r="N27297" s="28"/>
      <c r="O27297" s="28"/>
      <c r="U27297" s="28"/>
    </row>
    <row r="27298">
      <c r="N27298" s="28"/>
      <c r="O27298" s="28"/>
      <c r="U27298" s="28"/>
    </row>
    <row r="27299">
      <c r="N27299" s="28"/>
      <c r="O27299" s="28"/>
      <c r="U27299" s="28"/>
    </row>
    <row r="27300">
      <c r="N27300" s="28"/>
      <c r="O27300" s="28"/>
      <c r="U27300" s="28"/>
    </row>
    <row r="27301">
      <c r="N27301" s="28"/>
      <c r="O27301" s="28"/>
      <c r="U27301" s="28"/>
    </row>
    <row r="27302">
      <c r="N27302" s="28"/>
      <c r="O27302" s="28"/>
      <c r="U27302" s="28"/>
    </row>
    <row r="27303">
      <c r="N27303" s="28"/>
      <c r="O27303" s="28"/>
      <c r="U27303" s="28"/>
    </row>
    <row r="27304">
      <c r="N27304" s="28"/>
      <c r="O27304" s="28"/>
      <c r="U27304" s="28"/>
    </row>
    <row r="27305">
      <c r="N27305" s="28"/>
      <c r="O27305" s="28"/>
      <c r="U27305" s="28"/>
    </row>
    <row r="27306">
      <c r="N27306" s="28"/>
      <c r="O27306" s="28"/>
      <c r="U27306" s="28"/>
    </row>
    <row r="27307">
      <c r="N27307" s="28"/>
      <c r="O27307" s="28"/>
      <c r="U27307" s="28"/>
    </row>
    <row r="27308">
      <c r="N27308" s="28"/>
      <c r="O27308" s="28"/>
      <c r="U27308" s="28"/>
    </row>
    <row r="27309">
      <c r="N27309" s="28"/>
      <c r="O27309" s="28"/>
      <c r="U27309" s="28"/>
    </row>
    <row r="27310">
      <c r="N27310" s="28"/>
      <c r="O27310" s="28"/>
      <c r="U27310" s="28"/>
    </row>
    <row r="27311">
      <c r="N27311" s="28"/>
      <c r="O27311" s="28"/>
      <c r="U27311" s="28"/>
    </row>
    <row r="27312">
      <c r="N27312" s="28"/>
      <c r="O27312" s="28"/>
      <c r="U27312" s="28"/>
    </row>
    <row r="27313">
      <c r="N27313" s="28"/>
      <c r="O27313" s="28"/>
      <c r="U27313" s="28"/>
    </row>
    <row r="27314">
      <c r="N27314" s="28"/>
      <c r="O27314" s="28"/>
      <c r="U27314" s="28"/>
    </row>
    <row r="27315">
      <c r="N27315" s="28"/>
      <c r="O27315" s="28"/>
      <c r="U27315" s="28"/>
    </row>
    <row r="27316">
      <c r="N27316" s="28"/>
      <c r="O27316" s="28"/>
      <c r="U27316" s="28"/>
    </row>
    <row r="27317">
      <c r="N27317" s="28"/>
      <c r="O27317" s="28"/>
      <c r="U27317" s="28"/>
    </row>
    <row r="27318">
      <c r="N27318" s="28"/>
      <c r="O27318" s="28"/>
      <c r="U27318" s="28"/>
    </row>
    <row r="27319">
      <c r="N27319" s="28"/>
      <c r="O27319" s="28"/>
      <c r="U27319" s="28"/>
    </row>
    <row r="27320">
      <c r="N27320" s="28"/>
      <c r="O27320" s="28"/>
      <c r="U27320" s="28"/>
    </row>
    <row r="27321">
      <c r="N27321" s="28"/>
      <c r="O27321" s="28"/>
      <c r="U27321" s="28"/>
    </row>
    <row r="27322">
      <c r="N27322" s="28"/>
      <c r="O27322" s="28"/>
      <c r="U27322" s="28"/>
    </row>
    <row r="27323">
      <c r="N27323" s="28"/>
      <c r="O27323" s="28"/>
      <c r="U27323" s="28"/>
    </row>
    <row r="27324">
      <c r="N27324" s="28"/>
      <c r="O27324" s="28"/>
      <c r="U27324" s="28"/>
    </row>
    <row r="27325">
      <c r="N27325" s="28"/>
      <c r="O27325" s="28"/>
      <c r="U27325" s="28"/>
    </row>
    <row r="27326">
      <c r="N27326" s="28"/>
      <c r="O27326" s="28"/>
      <c r="U27326" s="28"/>
    </row>
    <row r="27327">
      <c r="N27327" s="28"/>
      <c r="O27327" s="28"/>
      <c r="U27327" s="28"/>
    </row>
    <row r="27328">
      <c r="N27328" s="28"/>
      <c r="O27328" s="28"/>
      <c r="U27328" s="28"/>
    </row>
    <row r="27329">
      <c r="N27329" s="28"/>
      <c r="O27329" s="28"/>
      <c r="U27329" s="28"/>
    </row>
    <row r="27330">
      <c r="N27330" s="28"/>
      <c r="O27330" s="28"/>
      <c r="U27330" s="28"/>
    </row>
    <row r="27331">
      <c r="N27331" s="28"/>
      <c r="O27331" s="28"/>
      <c r="U27331" s="28"/>
    </row>
    <row r="27332">
      <c r="N27332" s="28"/>
      <c r="O27332" s="28"/>
      <c r="U27332" s="28"/>
    </row>
    <row r="27333">
      <c r="N27333" s="28"/>
      <c r="O27333" s="28"/>
      <c r="U27333" s="28"/>
    </row>
    <row r="27334">
      <c r="N27334" s="28"/>
      <c r="O27334" s="28"/>
      <c r="U27334" s="28"/>
    </row>
    <row r="27335">
      <c r="N27335" s="28"/>
      <c r="O27335" s="28"/>
      <c r="U27335" s="28"/>
    </row>
    <row r="27336">
      <c r="N27336" s="28"/>
      <c r="O27336" s="28"/>
      <c r="U27336" s="28"/>
    </row>
    <row r="27337">
      <c r="N27337" s="28"/>
      <c r="O27337" s="28"/>
      <c r="U27337" s="28"/>
    </row>
    <row r="27338">
      <c r="N27338" s="28"/>
      <c r="O27338" s="28"/>
      <c r="U27338" s="28"/>
    </row>
    <row r="27339">
      <c r="N27339" s="28"/>
      <c r="O27339" s="28"/>
      <c r="U27339" s="28"/>
    </row>
    <row r="27340">
      <c r="N27340" s="28"/>
      <c r="O27340" s="28"/>
      <c r="U27340" s="28"/>
    </row>
    <row r="27341">
      <c r="N27341" s="28"/>
      <c r="O27341" s="28"/>
      <c r="U27341" s="28"/>
    </row>
    <row r="27342">
      <c r="N27342" s="28"/>
      <c r="O27342" s="28"/>
      <c r="U27342" s="28"/>
    </row>
    <row r="27343">
      <c r="N27343" s="28"/>
      <c r="O27343" s="28"/>
      <c r="U27343" s="28"/>
    </row>
    <row r="27344">
      <c r="N27344" s="28"/>
      <c r="O27344" s="28"/>
      <c r="U27344" s="28"/>
    </row>
    <row r="27345">
      <c r="N27345" s="28"/>
      <c r="O27345" s="28"/>
      <c r="U27345" s="28"/>
    </row>
    <row r="27346">
      <c r="N27346" s="28"/>
      <c r="O27346" s="28"/>
      <c r="U27346" s="28"/>
    </row>
    <row r="27347">
      <c r="N27347" s="28"/>
      <c r="O27347" s="28"/>
      <c r="U27347" s="28"/>
    </row>
    <row r="27348">
      <c r="N27348" s="28"/>
      <c r="O27348" s="28"/>
      <c r="U27348" s="28"/>
    </row>
    <row r="27349">
      <c r="N27349" s="28"/>
      <c r="O27349" s="28"/>
      <c r="U27349" s="28"/>
    </row>
    <row r="27350">
      <c r="N27350" s="28"/>
      <c r="O27350" s="28"/>
      <c r="U27350" s="28"/>
    </row>
    <row r="27351">
      <c r="N27351" s="28"/>
      <c r="O27351" s="28"/>
      <c r="U27351" s="28"/>
    </row>
    <row r="27352">
      <c r="N27352" s="28"/>
      <c r="O27352" s="28"/>
      <c r="U27352" s="28"/>
    </row>
    <row r="27353">
      <c r="N27353" s="28"/>
      <c r="O27353" s="28"/>
      <c r="U27353" s="28"/>
    </row>
    <row r="27354">
      <c r="N27354" s="28"/>
      <c r="O27354" s="28"/>
      <c r="U27354" s="28"/>
    </row>
    <row r="27355">
      <c r="N27355" s="28"/>
      <c r="O27355" s="28"/>
      <c r="U27355" s="28"/>
    </row>
    <row r="27356">
      <c r="N27356" s="28"/>
      <c r="O27356" s="28"/>
      <c r="U27356" s="28"/>
    </row>
    <row r="27357">
      <c r="N27357" s="28"/>
      <c r="O27357" s="28"/>
      <c r="U27357" s="28"/>
    </row>
    <row r="27358">
      <c r="N27358" s="28"/>
      <c r="O27358" s="28"/>
      <c r="U27358" s="28"/>
    </row>
    <row r="27359">
      <c r="N27359" s="28"/>
      <c r="O27359" s="28"/>
      <c r="U27359" s="28"/>
    </row>
    <row r="27360">
      <c r="N27360" s="28"/>
      <c r="O27360" s="28"/>
      <c r="U27360" s="28"/>
    </row>
    <row r="27361">
      <c r="N27361" s="28"/>
      <c r="O27361" s="28"/>
      <c r="U27361" s="28"/>
    </row>
    <row r="27362">
      <c r="N27362" s="28"/>
      <c r="O27362" s="28"/>
      <c r="U27362" s="28"/>
    </row>
    <row r="27363">
      <c r="N27363" s="28"/>
      <c r="O27363" s="28"/>
      <c r="U27363" s="28"/>
    </row>
    <row r="27364">
      <c r="N27364" s="28"/>
      <c r="O27364" s="28"/>
      <c r="U27364" s="28"/>
    </row>
    <row r="27365">
      <c r="N27365" s="28"/>
      <c r="O27365" s="28"/>
      <c r="U27365" s="28"/>
    </row>
    <row r="27366">
      <c r="N27366" s="28"/>
      <c r="O27366" s="28"/>
      <c r="U27366" s="28"/>
    </row>
    <row r="27367">
      <c r="N27367" s="28"/>
      <c r="O27367" s="28"/>
      <c r="U27367" s="28"/>
    </row>
    <row r="27368">
      <c r="N27368" s="28"/>
      <c r="O27368" s="28"/>
      <c r="U27368" s="28"/>
    </row>
    <row r="27369">
      <c r="N27369" s="28"/>
      <c r="O27369" s="28"/>
      <c r="U27369" s="28"/>
    </row>
    <row r="27370">
      <c r="N27370" s="28"/>
      <c r="O27370" s="28"/>
      <c r="U27370" s="28"/>
    </row>
    <row r="27371">
      <c r="N27371" s="28"/>
      <c r="O27371" s="28"/>
      <c r="U27371" s="28"/>
    </row>
    <row r="27372">
      <c r="N27372" s="28"/>
      <c r="O27372" s="28"/>
      <c r="U27372" s="28"/>
    </row>
    <row r="27373">
      <c r="N27373" s="28"/>
      <c r="O27373" s="28"/>
      <c r="U27373" s="28"/>
    </row>
    <row r="27374">
      <c r="N27374" s="28"/>
      <c r="O27374" s="28"/>
      <c r="U27374" s="28"/>
    </row>
    <row r="27375">
      <c r="N27375" s="28"/>
      <c r="O27375" s="28"/>
      <c r="U27375" s="28"/>
    </row>
    <row r="27376">
      <c r="N27376" s="28"/>
      <c r="O27376" s="28"/>
      <c r="U27376" s="28"/>
    </row>
    <row r="27377">
      <c r="N27377" s="28"/>
      <c r="O27377" s="28"/>
      <c r="U27377" s="28"/>
    </row>
    <row r="27378">
      <c r="N27378" s="28"/>
      <c r="O27378" s="28"/>
      <c r="U27378" s="28"/>
    </row>
    <row r="27379">
      <c r="N27379" s="28"/>
      <c r="O27379" s="28"/>
      <c r="U27379" s="28"/>
    </row>
    <row r="27380">
      <c r="N27380" s="28"/>
      <c r="O27380" s="28"/>
      <c r="U27380" s="28"/>
    </row>
    <row r="27381">
      <c r="N27381" s="28"/>
      <c r="O27381" s="28"/>
      <c r="U27381" s="28"/>
    </row>
    <row r="27382">
      <c r="N27382" s="28"/>
      <c r="O27382" s="28"/>
      <c r="U27382" s="28"/>
    </row>
    <row r="27383">
      <c r="N27383" s="28"/>
      <c r="O27383" s="28"/>
      <c r="U27383" s="28"/>
    </row>
    <row r="27384">
      <c r="N27384" s="28"/>
      <c r="O27384" s="28"/>
      <c r="U27384" s="28"/>
    </row>
    <row r="27385">
      <c r="N27385" s="28"/>
      <c r="O27385" s="28"/>
      <c r="U27385" s="28"/>
    </row>
    <row r="27386">
      <c r="N27386" s="28"/>
      <c r="O27386" s="28"/>
      <c r="U27386" s="28"/>
    </row>
    <row r="27387">
      <c r="N27387" s="28"/>
      <c r="O27387" s="28"/>
      <c r="U27387" s="28"/>
    </row>
    <row r="27388">
      <c r="N27388" s="28"/>
      <c r="O27388" s="28"/>
      <c r="U27388" s="28"/>
    </row>
    <row r="27389">
      <c r="N27389" s="28"/>
      <c r="O27389" s="28"/>
      <c r="U27389" s="28"/>
    </row>
    <row r="27390">
      <c r="N27390" s="28"/>
      <c r="O27390" s="28"/>
      <c r="U27390" s="28"/>
    </row>
    <row r="27391">
      <c r="N27391" s="28"/>
      <c r="O27391" s="28"/>
      <c r="U27391" s="28"/>
    </row>
    <row r="27392">
      <c r="N27392" s="28"/>
      <c r="O27392" s="28"/>
      <c r="U27392" s="28"/>
    </row>
    <row r="27393">
      <c r="N27393" s="28"/>
      <c r="O27393" s="28"/>
      <c r="U27393" s="28"/>
    </row>
    <row r="27394">
      <c r="N27394" s="28"/>
      <c r="O27394" s="28"/>
      <c r="U27394" s="28"/>
    </row>
    <row r="27395">
      <c r="N27395" s="28"/>
      <c r="O27395" s="28"/>
      <c r="U27395" s="28"/>
    </row>
    <row r="27396">
      <c r="N27396" s="28"/>
      <c r="O27396" s="28"/>
      <c r="U27396" s="28"/>
    </row>
    <row r="27397">
      <c r="N27397" s="28"/>
      <c r="O27397" s="28"/>
      <c r="U27397" s="28"/>
    </row>
    <row r="27398">
      <c r="N27398" s="28"/>
      <c r="O27398" s="28"/>
      <c r="U27398" s="28"/>
    </row>
    <row r="27399">
      <c r="N27399" s="28"/>
      <c r="O27399" s="28"/>
      <c r="U27399" s="28"/>
    </row>
    <row r="27400">
      <c r="N27400" s="28"/>
      <c r="O27400" s="28"/>
      <c r="U27400" s="28"/>
    </row>
    <row r="27401">
      <c r="N27401" s="28"/>
      <c r="O27401" s="28"/>
      <c r="U27401" s="28"/>
    </row>
    <row r="27402">
      <c r="N27402" s="28"/>
      <c r="O27402" s="28"/>
      <c r="U27402" s="28"/>
    </row>
    <row r="27403">
      <c r="N27403" s="28"/>
      <c r="O27403" s="28"/>
      <c r="U27403" s="28"/>
    </row>
    <row r="27404">
      <c r="N27404" s="28"/>
      <c r="O27404" s="28"/>
      <c r="U27404" s="28"/>
    </row>
    <row r="27405">
      <c r="N27405" s="28"/>
      <c r="O27405" s="28"/>
      <c r="U27405" s="28"/>
    </row>
    <row r="27406">
      <c r="N27406" s="28"/>
      <c r="O27406" s="28"/>
      <c r="U27406" s="28"/>
    </row>
    <row r="27407">
      <c r="N27407" s="28"/>
      <c r="O27407" s="28"/>
      <c r="U27407" s="28"/>
    </row>
    <row r="27408">
      <c r="N27408" s="28"/>
      <c r="O27408" s="28"/>
      <c r="U27408" s="28"/>
    </row>
    <row r="27409">
      <c r="N27409" s="28"/>
      <c r="O27409" s="28"/>
      <c r="U27409" s="28"/>
    </row>
    <row r="27410">
      <c r="N27410" s="28"/>
      <c r="O27410" s="28"/>
      <c r="U27410" s="28"/>
    </row>
    <row r="27411">
      <c r="N27411" s="28"/>
      <c r="O27411" s="28"/>
      <c r="U27411" s="28"/>
    </row>
    <row r="27412">
      <c r="N27412" s="28"/>
      <c r="O27412" s="28"/>
      <c r="U27412" s="28"/>
    </row>
    <row r="27413">
      <c r="N27413" s="28"/>
      <c r="O27413" s="28"/>
      <c r="U27413" s="28"/>
    </row>
    <row r="27414">
      <c r="N27414" s="28"/>
      <c r="O27414" s="28"/>
      <c r="U27414" s="28"/>
    </row>
    <row r="27415">
      <c r="N27415" s="28"/>
      <c r="O27415" s="28"/>
      <c r="U27415" s="28"/>
    </row>
    <row r="27416">
      <c r="N27416" s="28"/>
      <c r="O27416" s="28"/>
      <c r="U27416" s="28"/>
    </row>
    <row r="27417">
      <c r="N27417" s="28"/>
      <c r="O27417" s="28"/>
      <c r="U27417" s="28"/>
    </row>
    <row r="27418">
      <c r="N27418" s="28"/>
      <c r="O27418" s="28"/>
      <c r="U27418" s="28"/>
    </row>
    <row r="27419">
      <c r="N27419" s="28"/>
      <c r="O27419" s="28"/>
      <c r="U27419" s="28"/>
    </row>
    <row r="27420">
      <c r="N27420" s="28"/>
      <c r="O27420" s="28"/>
      <c r="U27420" s="28"/>
    </row>
    <row r="27421">
      <c r="N27421" s="28"/>
      <c r="O27421" s="28"/>
      <c r="U27421" s="28"/>
    </row>
    <row r="27422">
      <c r="N27422" s="28"/>
      <c r="O27422" s="28"/>
      <c r="U27422" s="28"/>
    </row>
    <row r="27423">
      <c r="N27423" s="28"/>
      <c r="O27423" s="28"/>
      <c r="U27423" s="28"/>
    </row>
    <row r="27424">
      <c r="N27424" s="28"/>
      <c r="O27424" s="28"/>
      <c r="U27424" s="28"/>
    </row>
    <row r="27425">
      <c r="N27425" s="28"/>
      <c r="O27425" s="28"/>
      <c r="U27425" s="28"/>
    </row>
    <row r="27426">
      <c r="N27426" s="28"/>
      <c r="O27426" s="28"/>
      <c r="U27426" s="28"/>
    </row>
    <row r="27427">
      <c r="N27427" s="28"/>
      <c r="O27427" s="28"/>
      <c r="U27427" s="28"/>
    </row>
    <row r="27428">
      <c r="N27428" s="28"/>
      <c r="O27428" s="28"/>
      <c r="U27428" s="28"/>
    </row>
    <row r="27429">
      <c r="N27429" s="28"/>
      <c r="O27429" s="28"/>
      <c r="U27429" s="28"/>
    </row>
    <row r="27430">
      <c r="N27430" s="28"/>
      <c r="O27430" s="28"/>
      <c r="U27430" s="28"/>
    </row>
    <row r="27431">
      <c r="N27431" s="28"/>
      <c r="O27431" s="28"/>
      <c r="U27431" s="28"/>
    </row>
    <row r="27432">
      <c r="N27432" s="28"/>
      <c r="O27432" s="28"/>
      <c r="U27432" s="28"/>
    </row>
    <row r="27433">
      <c r="N27433" s="28"/>
      <c r="O27433" s="28"/>
      <c r="U27433" s="28"/>
    </row>
    <row r="27434">
      <c r="N27434" s="28"/>
      <c r="O27434" s="28"/>
      <c r="U27434" s="28"/>
    </row>
    <row r="27435">
      <c r="N27435" s="28"/>
      <c r="O27435" s="28"/>
      <c r="U27435" s="28"/>
    </row>
    <row r="27436">
      <c r="N27436" s="28"/>
      <c r="O27436" s="28"/>
      <c r="U27436" s="28"/>
    </row>
    <row r="27437">
      <c r="N27437" s="28"/>
      <c r="O27437" s="28"/>
      <c r="U27437" s="28"/>
    </row>
    <row r="27438">
      <c r="N27438" s="28"/>
      <c r="O27438" s="28"/>
      <c r="U27438" s="28"/>
    </row>
    <row r="27439">
      <c r="N27439" s="28"/>
      <c r="O27439" s="28"/>
      <c r="U27439" s="28"/>
    </row>
    <row r="27440">
      <c r="N27440" s="28"/>
      <c r="O27440" s="28"/>
      <c r="U27440" s="28"/>
    </row>
    <row r="27441">
      <c r="N27441" s="28"/>
      <c r="O27441" s="28"/>
      <c r="U27441" s="28"/>
    </row>
    <row r="27442">
      <c r="N27442" s="28"/>
      <c r="O27442" s="28"/>
      <c r="U27442" s="28"/>
    </row>
    <row r="27443">
      <c r="N27443" s="28"/>
      <c r="O27443" s="28"/>
      <c r="U27443" s="28"/>
    </row>
    <row r="27444">
      <c r="N27444" s="28"/>
      <c r="O27444" s="28"/>
      <c r="U27444" s="28"/>
    </row>
    <row r="27445">
      <c r="N27445" s="28"/>
      <c r="O27445" s="28"/>
      <c r="U27445" s="28"/>
    </row>
    <row r="27446">
      <c r="N27446" s="28"/>
      <c r="O27446" s="28"/>
      <c r="U27446" s="28"/>
    </row>
    <row r="27447">
      <c r="N27447" s="28"/>
      <c r="O27447" s="28"/>
      <c r="U27447" s="28"/>
    </row>
    <row r="27448">
      <c r="N27448" s="28"/>
      <c r="O27448" s="28"/>
      <c r="U27448" s="28"/>
    </row>
    <row r="27449">
      <c r="N27449" s="28"/>
      <c r="O27449" s="28"/>
      <c r="U27449" s="28"/>
    </row>
    <row r="27450">
      <c r="N27450" s="28"/>
      <c r="O27450" s="28"/>
      <c r="U27450" s="28"/>
    </row>
    <row r="27451">
      <c r="N27451" s="28"/>
      <c r="O27451" s="28"/>
      <c r="U27451" s="28"/>
    </row>
    <row r="27452">
      <c r="N27452" s="28"/>
      <c r="O27452" s="28"/>
      <c r="U27452" s="28"/>
    </row>
    <row r="27453">
      <c r="N27453" s="28"/>
      <c r="O27453" s="28"/>
      <c r="U27453" s="28"/>
    </row>
    <row r="27454">
      <c r="N27454" s="28"/>
      <c r="O27454" s="28"/>
      <c r="U27454" s="28"/>
    </row>
    <row r="27455">
      <c r="N27455" s="28"/>
      <c r="O27455" s="28"/>
      <c r="U27455" s="28"/>
    </row>
    <row r="27456">
      <c r="N27456" s="28"/>
      <c r="O27456" s="28"/>
      <c r="U27456" s="28"/>
    </row>
    <row r="27457">
      <c r="N27457" s="28"/>
      <c r="O27457" s="28"/>
      <c r="U27457" s="28"/>
    </row>
    <row r="27458">
      <c r="N27458" s="28"/>
      <c r="O27458" s="28"/>
      <c r="U27458" s="28"/>
    </row>
    <row r="27459">
      <c r="N27459" s="28"/>
      <c r="O27459" s="28"/>
      <c r="U27459" s="28"/>
    </row>
    <row r="27460">
      <c r="N27460" s="28"/>
      <c r="O27460" s="28"/>
      <c r="U27460" s="28"/>
    </row>
    <row r="27461">
      <c r="N27461" s="28"/>
      <c r="O27461" s="28"/>
      <c r="U27461" s="28"/>
    </row>
    <row r="27462">
      <c r="N27462" s="28"/>
      <c r="O27462" s="28"/>
      <c r="U27462" s="28"/>
    </row>
    <row r="27463">
      <c r="N27463" s="28"/>
      <c r="O27463" s="28"/>
      <c r="U27463" s="28"/>
    </row>
    <row r="27464">
      <c r="N27464" s="28"/>
      <c r="O27464" s="28"/>
      <c r="U27464" s="28"/>
    </row>
    <row r="27465">
      <c r="N27465" s="28"/>
      <c r="O27465" s="28"/>
      <c r="U27465" s="28"/>
    </row>
    <row r="27466">
      <c r="N27466" s="28"/>
      <c r="O27466" s="28"/>
      <c r="U27466" s="28"/>
    </row>
    <row r="27467">
      <c r="N27467" s="28"/>
      <c r="O27467" s="28"/>
      <c r="U27467" s="28"/>
    </row>
    <row r="27468">
      <c r="N27468" s="28"/>
      <c r="O27468" s="28"/>
      <c r="U27468" s="28"/>
    </row>
    <row r="27469">
      <c r="N27469" s="28"/>
      <c r="O27469" s="28"/>
      <c r="U27469" s="28"/>
    </row>
    <row r="27470">
      <c r="N27470" s="28"/>
      <c r="O27470" s="28"/>
      <c r="U27470" s="28"/>
    </row>
    <row r="27471">
      <c r="N27471" s="28"/>
      <c r="O27471" s="28"/>
      <c r="U27471" s="28"/>
    </row>
    <row r="27472">
      <c r="N27472" s="28"/>
      <c r="O27472" s="28"/>
      <c r="U27472" s="28"/>
    </row>
    <row r="27473">
      <c r="N27473" s="28"/>
      <c r="O27473" s="28"/>
      <c r="U27473" s="28"/>
    </row>
    <row r="27474">
      <c r="N27474" s="28"/>
      <c r="O27474" s="28"/>
      <c r="U27474" s="28"/>
    </row>
    <row r="27475">
      <c r="N27475" s="28"/>
      <c r="O27475" s="28"/>
      <c r="U27475" s="28"/>
    </row>
    <row r="27476">
      <c r="N27476" s="28"/>
      <c r="O27476" s="28"/>
      <c r="U27476" s="28"/>
    </row>
    <row r="27477">
      <c r="N27477" s="28"/>
      <c r="O27477" s="28"/>
      <c r="U27477" s="28"/>
    </row>
    <row r="27478">
      <c r="N27478" s="28"/>
      <c r="O27478" s="28"/>
      <c r="U27478" s="28"/>
    </row>
    <row r="27479">
      <c r="N27479" s="28"/>
      <c r="O27479" s="28"/>
      <c r="U27479" s="28"/>
    </row>
    <row r="27480">
      <c r="N27480" s="28"/>
      <c r="O27480" s="28"/>
      <c r="U27480" s="28"/>
    </row>
    <row r="27481">
      <c r="N27481" s="28"/>
      <c r="O27481" s="28"/>
      <c r="U27481" s="28"/>
    </row>
    <row r="27482">
      <c r="N27482" s="28"/>
      <c r="O27482" s="28"/>
      <c r="U27482" s="28"/>
    </row>
    <row r="27483">
      <c r="N27483" s="28"/>
      <c r="O27483" s="28"/>
      <c r="U27483" s="28"/>
    </row>
    <row r="27484">
      <c r="N27484" s="28"/>
      <c r="O27484" s="28"/>
      <c r="U27484" s="28"/>
    </row>
    <row r="27485">
      <c r="N27485" s="28"/>
      <c r="O27485" s="28"/>
      <c r="U27485" s="28"/>
    </row>
    <row r="27486">
      <c r="N27486" s="28"/>
      <c r="O27486" s="28"/>
      <c r="U27486" s="28"/>
    </row>
    <row r="27487">
      <c r="N27487" s="28"/>
      <c r="O27487" s="28"/>
      <c r="U27487" s="28"/>
    </row>
    <row r="27488">
      <c r="N27488" s="28"/>
      <c r="O27488" s="28"/>
      <c r="U27488" s="28"/>
    </row>
    <row r="27489">
      <c r="N27489" s="28"/>
      <c r="O27489" s="28"/>
      <c r="U27489" s="28"/>
    </row>
    <row r="27490">
      <c r="N27490" s="28"/>
      <c r="O27490" s="28"/>
      <c r="U27490" s="28"/>
    </row>
    <row r="27491">
      <c r="N27491" s="28"/>
      <c r="O27491" s="28"/>
      <c r="U27491" s="28"/>
    </row>
    <row r="27492">
      <c r="N27492" s="28"/>
      <c r="O27492" s="28"/>
      <c r="U27492" s="28"/>
    </row>
    <row r="27493">
      <c r="N27493" s="28"/>
      <c r="O27493" s="28"/>
      <c r="U27493" s="28"/>
    </row>
    <row r="27494">
      <c r="N27494" s="28"/>
      <c r="O27494" s="28"/>
      <c r="U27494" s="28"/>
    </row>
    <row r="27495">
      <c r="N27495" s="28"/>
      <c r="O27495" s="28"/>
      <c r="U27495" s="28"/>
    </row>
    <row r="27496">
      <c r="N27496" s="28"/>
      <c r="O27496" s="28"/>
      <c r="U27496" s="28"/>
    </row>
    <row r="27497">
      <c r="N27497" s="28"/>
      <c r="O27497" s="28"/>
      <c r="U27497" s="28"/>
    </row>
    <row r="27498">
      <c r="N27498" s="28"/>
      <c r="O27498" s="28"/>
      <c r="U27498" s="28"/>
    </row>
    <row r="27499">
      <c r="N27499" s="28"/>
      <c r="O27499" s="28"/>
      <c r="U27499" s="28"/>
    </row>
    <row r="27500">
      <c r="N27500" s="28"/>
      <c r="O27500" s="28"/>
      <c r="U27500" s="28"/>
    </row>
    <row r="27501">
      <c r="N27501" s="28"/>
      <c r="O27501" s="28"/>
      <c r="U27501" s="28"/>
    </row>
    <row r="27502">
      <c r="N27502" s="28"/>
      <c r="O27502" s="28"/>
      <c r="U27502" s="28"/>
    </row>
    <row r="27503">
      <c r="N27503" s="28"/>
      <c r="O27503" s="28"/>
      <c r="U27503" s="28"/>
    </row>
    <row r="27504">
      <c r="N27504" s="28"/>
      <c r="O27504" s="28"/>
      <c r="U27504" s="28"/>
    </row>
    <row r="27505">
      <c r="N27505" s="28"/>
      <c r="O27505" s="28"/>
      <c r="U27505" s="28"/>
    </row>
    <row r="27506">
      <c r="N27506" s="28"/>
      <c r="O27506" s="28"/>
      <c r="U27506" s="28"/>
    </row>
    <row r="27507">
      <c r="N27507" s="28"/>
      <c r="O27507" s="28"/>
      <c r="U27507" s="28"/>
    </row>
    <row r="27508">
      <c r="N27508" s="28"/>
      <c r="O27508" s="28"/>
      <c r="U27508" s="28"/>
    </row>
    <row r="27509">
      <c r="N27509" s="28"/>
      <c r="O27509" s="28"/>
      <c r="U27509" s="28"/>
    </row>
    <row r="27510">
      <c r="N27510" s="28"/>
      <c r="O27510" s="28"/>
      <c r="U27510" s="28"/>
    </row>
    <row r="27511">
      <c r="N27511" s="28"/>
      <c r="O27511" s="28"/>
      <c r="U27511" s="28"/>
    </row>
    <row r="27512">
      <c r="N27512" s="28"/>
      <c r="O27512" s="28"/>
      <c r="U27512" s="28"/>
    </row>
    <row r="27513">
      <c r="N27513" s="28"/>
      <c r="O27513" s="28"/>
      <c r="U27513" s="28"/>
    </row>
    <row r="27514">
      <c r="N27514" s="28"/>
      <c r="O27514" s="28"/>
      <c r="U27514" s="28"/>
    </row>
    <row r="27515">
      <c r="N27515" s="28"/>
      <c r="O27515" s="28"/>
      <c r="U27515" s="28"/>
    </row>
    <row r="27516">
      <c r="N27516" s="28"/>
      <c r="O27516" s="28"/>
      <c r="U27516" s="28"/>
    </row>
    <row r="27517">
      <c r="N27517" s="28"/>
      <c r="O27517" s="28"/>
      <c r="U27517" s="28"/>
    </row>
    <row r="27518">
      <c r="N27518" s="28"/>
      <c r="O27518" s="28"/>
      <c r="U27518" s="28"/>
    </row>
    <row r="27519">
      <c r="N27519" s="28"/>
      <c r="O27519" s="28"/>
      <c r="U27519" s="28"/>
    </row>
    <row r="27520">
      <c r="N27520" s="28"/>
      <c r="O27520" s="28"/>
      <c r="U27520" s="28"/>
    </row>
    <row r="27521">
      <c r="N27521" s="28"/>
      <c r="O27521" s="28"/>
      <c r="U27521" s="28"/>
    </row>
    <row r="27522">
      <c r="N27522" s="28"/>
      <c r="O27522" s="28"/>
      <c r="U27522" s="28"/>
    </row>
    <row r="27523">
      <c r="N27523" s="28"/>
      <c r="O27523" s="28"/>
      <c r="U27523" s="28"/>
    </row>
    <row r="27524">
      <c r="N27524" s="28"/>
      <c r="O27524" s="28"/>
      <c r="U27524" s="28"/>
    </row>
    <row r="27525">
      <c r="N27525" s="28"/>
      <c r="O27525" s="28"/>
      <c r="U27525" s="28"/>
    </row>
    <row r="27526">
      <c r="N27526" s="28"/>
      <c r="O27526" s="28"/>
      <c r="U27526" s="28"/>
    </row>
    <row r="27527">
      <c r="N27527" s="28"/>
      <c r="O27527" s="28"/>
      <c r="U27527" s="28"/>
    </row>
    <row r="27528">
      <c r="N27528" s="28"/>
      <c r="O27528" s="28"/>
      <c r="U27528" s="28"/>
    </row>
    <row r="27529">
      <c r="N27529" s="28"/>
      <c r="O27529" s="28"/>
      <c r="U27529" s="28"/>
    </row>
    <row r="27530">
      <c r="N27530" s="28"/>
      <c r="O27530" s="28"/>
      <c r="U27530" s="28"/>
    </row>
    <row r="27531">
      <c r="N27531" s="28"/>
      <c r="O27531" s="28"/>
      <c r="U27531" s="28"/>
    </row>
    <row r="27532">
      <c r="N27532" s="28"/>
      <c r="O27532" s="28"/>
      <c r="U27532" s="28"/>
    </row>
    <row r="27533">
      <c r="N27533" s="28"/>
      <c r="O27533" s="28"/>
      <c r="U27533" s="28"/>
    </row>
    <row r="27534">
      <c r="N27534" s="28"/>
      <c r="O27534" s="28"/>
      <c r="U27534" s="28"/>
    </row>
    <row r="27535">
      <c r="N27535" s="28"/>
      <c r="O27535" s="28"/>
      <c r="U27535" s="28"/>
    </row>
    <row r="27536">
      <c r="N27536" s="28"/>
      <c r="O27536" s="28"/>
      <c r="U27536" s="28"/>
    </row>
    <row r="27537">
      <c r="N27537" s="28"/>
      <c r="O27537" s="28"/>
      <c r="U27537" s="28"/>
    </row>
    <row r="27538">
      <c r="N27538" s="28"/>
      <c r="O27538" s="28"/>
      <c r="U27538" s="28"/>
    </row>
    <row r="27539">
      <c r="N27539" s="28"/>
      <c r="O27539" s="28"/>
      <c r="U27539" s="28"/>
    </row>
    <row r="27540">
      <c r="N27540" s="28"/>
      <c r="O27540" s="28"/>
      <c r="U27540" s="28"/>
    </row>
    <row r="27541">
      <c r="N27541" s="28"/>
      <c r="O27541" s="28"/>
      <c r="U27541" s="28"/>
    </row>
    <row r="27542">
      <c r="N27542" s="28"/>
      <c r="O27542" s="28"/>
      <c r="U27542" s="28"/>
    </row>
    <row r="27543">
      <c r="N27543" s="28"/>
      <c r="O27543" s="28"/>
      <c r="U27543" s="28"/>
    </row>
    <row r="27544">
      <c r="N27544" s="28"/>
      <c r="O27544" s="28"/>
      <c r="U27544" s="28"/>
    </row>
    <row r="27545">
      <c r="N27545" s="28"/>
      <c r="O27545" s="28"/>
      <c r="U27545" s="28"/>
    </row>
    <row r="27546">
      <c r="N27546" s="28"/>
      <c r="O27546" s="28"/>
      <c r="U27546" s="28"/>
    </row>
    <row r="27547">
      <c r="N27547" s="28"/>
      <c r="O27547" s="28"/>
      <c r="U27547" s="28"/>
    </row>
    <row r="27548">
      <c r="N27548" s="28"/>
      <c r="O27548" s="28"/>
      <c r="U27548" s="28"/>
    </row>
    <row r="27549">
      <c r="N27549" s="28"/>
      <c r="O27549" s="28"/>
      <c r="U27549" s="28"/>
    </row>
    <row r="27550">
      <c r="N27550" s="28"/>
      <c r="O27550" s="28"/>
      <c r="U27550" s="28"/>
    </row>
    <row r="27551">
      <c r="N27551" s="28"/>
      <c r="O27551" s="28"/>
      <c r="U27551" s="28"/>
    </row>
    <row r="27552">
      <c r="N27552" s="28"/>
      <c r="O27552" s="28"/>
      <c r="U27552" s="28"/>
    </row>
    <row r="27553">
      <c r="N27553" s="28"/>
      <c r="O27553" s="28"/>
      <c r="U27553" s="28"/>
    </row>
    <row r="27554">
      <c r="N27554" s="28"/>
      <c r="O27554" s="28"/>
      <c r="U27554" s="28"/>
    </row>
    <row r="27555">
      <c r="N27555" s="28"/>
      <c r="O27555" s="28"/>
      <c r="U27555" s="28"/>
    </row>
    <row r="27556">
      <c r="N27556" s="28"/>
      <c r="O27556" s="28"/>
      <c r="U27556" s="28"/>
    </row>
    <row r="27557">
      <c r="N27557" s="28"/>
      <c r="O27557" s="28"/>
      <c r="U27557" s="28"/>
    </row>
    <row r="27558">
      <c r="N27558" s="28"/>
      <c r="O27558" s="28"/>
      <c r="U27558" s="28"/>
    </row>
    <row r="27559">
      <c r="N27559" s="28"/>
      <c r="O27559" s="28"/>
      <c r="U27559" s="28"/>
    </row>
    <row r="27560">
      <c r="N27560" s="28"/>
      <c r="O27560" s="28"/>
      <c r="U27560" s="28"/>
    </row>
    <row r="27561">
      <c r="N27561" s="28"/>
      <c r="O27561" s="28"/>
      <c r="U27561" s="28"/>
    </row>
    <row r="27562">
      <c r="N27562" s="28"/>
      <c r="O27562" s="28"/>
      <c r="U27562" s="28"/>
    </row>
    <row r="27563">
      <c r="N27563" s="28"/>
      <c r="O27563" s="28"/>
      <c r="U27563" s="28"/>
    </row>
    <row r="27564">
      <c r="N27564" s="28"/>
      <c r="O27564" s="28"/>
      <c r="U27564" s="28"/>
    </row>
    <row r="27565">
      <c r="N27565" s="28"/>
      <c r="O27565" s="28"/>
      <c r="U27565" s="28"/>
    </row>
    <row r="27566">
      <c r="N27566" s="28"/>
      <c r="O27566" s="28"/>
      <c r="U27566" s="28"/>
    </row>
    <row r="27567">
      <c r="N27567" s="28"/>
      <c r="O27567" s="28"/>
      <c r="U27567" s="28"/>
    </row>
    <row r="27568">
      <c r="N27568" s="28"/>
      <c r="O27568" s="28"/>
      <c r="U27568" s="28"/>
    </row>
    <row r="27569">
      <c r="N27569" s="28"/>
      <c r="O27569" s="28"/>
      <c r="U27569" s="28"/>
    </row>
    <row r="27570">
      <c r="N27570" s="28"/>
      <c r="O27570" s="28"/>
      <c r="U27570" s="28"/>
    </row>
    <row r="27571">
      <c r="N27571" s="28"/>
      <c r="O27571" s="28"/>
      <c r="U27571" s="28"/>
    </row>
    <row r="27572">
      <c r="N27572" s="28"/>
      <c r="O27572" s="28"/>
      <c r="U27572" s="28"/>
    </row>
    <row r="27573">
      <c r="N27573" s="28"/>
      <c r="O27573" s="28"/>
      <c r="U27573" s="28"/>
    </row>
    <row r="27574">
      <c r="N27574" s="28"/>
      <c r="O27574" s="28"/>
      <c r="U27574" s="28"/>
    </row>
    <row r="27575">
      <c r="N27575" s="28"/>
      <c r="O27575" s="28"/>
      <c r="U27575" s="28"/>
    </row>
    <row r="27576">
      <c r="N27576" s="28"/>
      <c r="O27576" s="28"/>
      <c r="U27576" s="28"/>
    </row>
    <row r="27577">
      <c r="N27577" s="28"/>
      <c r="O27577" s="28"/>
      <c r="U27577" s="28"/>
    </row>
    <row r="27578">
      <c r="N27578" s="28"/>
      <c r="O27578" s="28"/>
      <c r="U27578" s="28"/>
    </row>
    <row r="27579">
      <c r="N27579" s="28"/>
      <c r="O27579" s="28"/>
      <c r="U27579" s="28"/>
    </row>
    <row r="27580">
      <c r="N27580" s="28"/>
      <c r="O27580" s="28"/>
      <c r="U27580" s="28"/>
    </row>
    <row r="27581">
      <c r="N27581" s="28"/>
      <c r="O27581" s="28"/>
      <c r="U27581" s="28"/>
    </row>
    <row r="27582">
      <c r="N27582" s="28"/>
      <c r="O27582" s="28"/>
      <c r="U27582" s="28"/>
    </row>
    <row r="27583">
      <c r="N27583" s="28"/>
      <c r="O27583" s="28"/>
      <c r="U27583" s="28"/>
    </row>
    <row r="27584">
      <c r="N27584" s="28"/>
      <c r="O27584" s="28"/>
      <c r="U27584" s="28"/>
    </row>
    <row r="27585">
      <c r="N27585" s="28"/>
      <c r="O27585" s="28"/>
      <c r="U27585" s="28"/>
    </row>
    <row r="27586">
      <c r="N27586" s="28"/>
      <c r="O27586" s="28"/>
      <c r="U27586" s="28"/>
    </row>
    <row r="27587">
      <c r="N27587" s="28"/>
      <c r="O27587" s="28"/>
      <c r="U27587" s="28"/>
    </row>
    <row r="27588">
      <c r="N27588" s="28"/>
      <c r="O27588" s="28"/>
      <c r="U27588" s="28"/>
    </row>
    <row r="27589">
      <c r="N27589" s="28"/>
      <c r="O27589" s="28"/>
      <c r="U27589" s="28"/>
    </row>
    <row r="27590">
      <c r="N27590" s="28"/>
      <c r="O27590" s="28"/>
      <c r="U27590" s="28"/>
    </row>
    <row r="27591">
      <c r="N27591" s="28"/>
      <c r="O27591" s="28"/>
      <c r="U27591" s="28"/>
    </row>
    <row r="27592">
      <c r="N27592" s="28"/>
      <c r="O27592" s="28"/>
      <c r="U27592" s="28"/>
    </row>
    <row r="27593">
      <c r="N27593" s="28"/>
      <c r="O27593" s="28"/>
      <c r="U27593" s="28"/>
    </row>
    <row r="27594">
      <c r="N27594" s="28"/>
      <c r="O27594" s="28"/>
      <c r="U27594" s="28"/>
    </row>
    <row r="27595">
      <c r="N27595" s="28"/>
      <c r="O27595" s="28"/>
      <c r="U27595" s="28"/>
    </row>
    <row r="27596">
      <c r="N27596" s="28"/>
      <c r="O27596" s="28"/>
      <c r="U27596" s="28"/>
    </row>
    <row r="27597">
      <c r="N27597" s="28"/>
      <c r="O27597" s="28"/>
      <c r="U27597" s="28"/>
    </row>
    <row r="27598">
      <c r="N27598" s="28"/>
      <c r="O27598" s="28"/>
      <c r="U27598" s="28"/>
    </row>
    <row r="27599">
      <c r="N27599" s="28"/>
      <c r="O27599" s="28"/>
      <c r="U27599" s="28"/>
    </row>
    <row r="27600">
      <c r="N27600" s="28"/>
      <c r="O27600" s="28"/>
      <c r="U27600" s="28"/>
    </row>
    <row r="27601">
      <c r="N27601" s="28"/>
      <c r="O27601" s="28"/>
      <c r="U27601" s="28"/>
    </row>
    <row r="27602">
      <c r="N27602" s="28"/>
      <c r="O27602" s="28"/>
      <c r="U27602" s="28"/>
    </row>
    <row r="27603">
      <c r="N27603" s="28"/>
      <c r="O27603" s="28"/>
      <c r="U27603" s="28"/>
    </row>
    <row r="27604">
      <c r="N27604" s="28"/>
      <c r="O27604" s="28"/>
      <c r="U27604" s="28"/>
    </row>
    <row r="27605">
      <c r="N27605" s="28"/>
      <c r="O27605" s="28"/>
      <c r="U27605" s="28"/>
    </row>
    <row r="27606">
      <c r="N27606" s="28"/>
      <c r="O27606" s="28"/>
      <c r="U27606" s="28"/>
    </row>
    <row r="27607">
      <c r="N27607" s="28"/>
      <c r="O27607" s="28"/>
      <c r="U27607" s="28"/>
    </row>
    <row r="27608">
      <c r="N27608" s="28"/>
      <c r="O27608" s="28"/>
      <c r="U27608" s="28"/>
    </row>
    <row r="27609">
      <c r="N27609" s="28"/>
      <c r="O27609" s="28"/>
      <c r="U27609" s="28"/>
    </row>
    <row r="27610">
      <c r="N27610" s="28"/>
      <c r="O27610" s="28"/>
      <c r="U27610" s="28"/>
    </row>
    <row r="27611">
      <c r="N27611" s="28"/>
      <c r="O27611" s="28"/>
      <c r="U27611" s="28"/>
    </row>
    <row r="27612">
      <c r="N27612" s="28"/>
      <c r="O27612" s="28"/>
      <c r="U27612" s="28"/>
    </row>
    <row r="27613">
      <c r="N27613" s="28"/>
      <c r="O27613" s="28"/>
      <c r="U27613" s="28"/>
    </row>
    <row r="27614">
      <c r="N27614" s="28"/>
      <c r="O27614" s="28"/>
      <c r="U27614" s="28"/>
    </row>
    <row r="27615">
      <c r="N27615" s="28"/>
      <c r="O27615" s="28"/>
      <c r="U27615" s="28"/>
    </row>
    <row r="27616">
      <c r="N27616" s="28"/>
      <c r="O27616" s="28"/>
      <c r="U27616" s="28"/>
    </row>
    <row r="27617">
      <c r="N27617" s="28"/>
      <c r="O27617" s="28"/>
      <c r="U27617" s="28"/>
    </row>
    <row r="27618">
      <c r="N27618" s="28"/>
      <c r="O27618" s="28"/>
      <c r="U27618" s="28"/>
    </row>
    <row r="27619">
      <c r="N27619" s="28"/>
      <c r="O27619" s="28"/>
      <c r="U27619" s="28"/>
    </row>
    <row r="27620">
      <c r="N27620" s="28"/>
      <c r="O27620" s="28"/>
      <c r="U27620" s="28"/>
    </row>
    <row r="27621">
      <c r="N27621" s="28"/>
      <c r="O27621" s="28"/>
      <c r="U27621" s="28"/>
    </row>
    <row r="27622">
      <c r="N27622" s="28"/>
      <c r="O27622" s="28"/>
      <c r="U27622" s="28"/>
    </row>
    <row r="27623">
      <c r="N27623" s="28"/>
      <c r="O27623" s="28"/>
      <c r="U27623" s="28"/>
    </row>
    <row r="27624">
      <c r="N27624" s="28"/>
      <c r="O27624" s="28"/>
      <c r="U27624" s="28"/>
    </row>
    <row r="27625">
      <c r="N27625" s="28"/>
      <c r="O27625" s="28"/>
      <c r="U27625" s="28"/>
    </row>
    <row r="27626">
      <c r="N27626" s="28"/>
      <c r="O27626" s="28"/>
      <c r="U27626" s="28"/>
    </row>
    <row r="27627">
      <c r="N27627" s="28"/>
      <c r="O27627" s="28"/>
      <c r="U27627" s="28"/>
    </row>
    <row r="27628">
      <c r="N27628" s="28"/>
      <c r="O27628" s="28"/>
      <c r="U27628" s="28"/>
    </row>
    <row r="27629">
      <c r="N27629" s="28"/>
      <c r="O27629" s="28"/>
      <c r="U27629" s="28"/>
    </row>
    <row r="27630">
      <c r="N27630" s="28"/>
      <c r="O27630" s="28"/>
      <c r="U27630" s="28"/>
    </row>
    <row r="27631">
      <c r="N27631" s="28"/>
      <c r="O27631" s="28"/>
      <c r="U27631" s="28"/>
    </row>
    <row r="27632">
      <c r="N27632" s="28"/>
      <c r="O27632" s="28"/>
      <c r="U27632" s="28"/>
    </row>
    <row r="27633">
      <c r="N27633" s="28"/>
      <c r="O27633" s="28"/>
      <c r="U27633" s="28"/>
    </row>
    <row r="27634">
      <c r="N27634" s="28"/>
      <c r="O27634" s="28"/>
      <c r="U27634" s="28"/>
    </row>
    <row r="27635">
      <c r="N27635" s="28"/>
      <c r="O27635" s="28"/>
      <c r="U27635" s="28"/>
    </row>
    <row r="27636">
      <c r="N27636" s="28"/>
      <c r="O27636" s="28"/>
      <c r="U27636" s="28"/>
    </row>
    <row r="27637">
      <c r="N27637" s="28"/>
      <c r="O27637" s="28"/>
      <c r="U27637" s="28"/>
    </row>
    <row r="27638">
      <c r="N27638" s="28"/>
      <c r="O27638" s="28"/>
      <c r="U27638" s="28"/>
    </row>
    <row r="27639">
      <c r="N27639" s="28"/>
      <c r="O27639" s="28"/>
      <c r="U27639" s="28"/>
    </row>
    <row r="27640">
      <c r="N27640" s="28"/>
      <c r="O27640" s="28"/>
      <c r="U27640" s="28"/>
    </row>
    <row r="27641">
      <c r="N27641" s="28"/>
      <c r="O27641" s="28"/>
      <c r="U27641" s="28"/>
    </row>
    <row r="27642">
      <c r="N27642" s="28"/>
      <c r="O27642" s="28"/>
      <c r="U27642" s="28"/>
    </row>
    <row r="27643">
      <c r="N27643" s="28"/>
      <c r="O27643" s="28"/>
      <c r="U27643" s="28"/>
    </row>
    <row r="27644">
      <c r="N27644" s="28"/>
      <c r="O27644" s="28"/>
      <c r="U27644" s="28"/>
    </row>
    <row r="27645">
      <c r="N27645" s="28"/>
      <c r="O27645" s="28"/>
      <c r="U27645" s="28"/>
    </row>
    <row r="27646">
      <c r="N27646" s="28"/>
      <c r="O27646" s="28"/>
      <c r="U27646" s="28"/>
    </row>
    <row r="27647">
      <c r="N27647" s="28"/>
      <c r="O27647" s="28"/>
      <c r="U27647" s="28"/>
    </row>
    <row r="27648">
      <c r="N27648" s="28"/>
      <c r="O27648" s="28"/>
      <c r="U27648" s="28"/>
    </row>
    <row r="27649">
      <c r="N27649" s="28"/>
      <c r="O27649" s="28"/>
      <c r="U27649" s="28"/>
    </row>
    <row r="27650">
      <c r="N27650" s="28"/>
      <c r="O27650" s="28"/>
      <c r="U27650" s="28"/>
    </row>
    <row r="27651">
      <c r="N27651" s="28"/>
      <c r="O27651" s="28"/>
      <c r="U27651" s="28"/>
    </row>
    <row r="27652">
      <c r="N27652" s="28"/>
      <c r="O27652" s="28"/>
      <c r="U27652" s="28"/>
    </row>
    <row r="27653">
      <c r="N27653" s="28"/>
      <c r="O27653" s="28"/>
      <c r="U27653" s="28"/>
    </row>
    <row r="27654">
      <c r="N27654" s="28"/>
      <c r="O27654" s="28"/>
      <c r="U27654" s="28"/>
    </row>
    <row r="27655">
      <c r="N27655" s="28"/>
      <c r="O27655" s="28"/>
      <c r="U27655" s="28"/>
    </row>
    <row r="27656">
      <c r="N27656" s="28"/>
      <c r="O27656" s="28"/>
      <c r="U27656" s="28"/>
    </row>
    <row r="27657">
      <c r="N27657" s="28"/>
      <c r="O27657" s="28"/>
      <c r="U27657" s="28"/>
    </row>
    <row r="27658">
      <c r="N27658" s="28"/>
      <c r="O27658" s="28"/>
      <c r="U27658" s="28"/>
    </row>
    <row r="27659">
      <c r="N27659" s="28"/>
      <c r="O27659" s="28"/>
      <c r="U27659" s="28"/>
    </row>
    <row r="27660">
      <c r="N27660" s="28"/>
      <c r="O27660" s="28"/>
      <c r="U27660" s="28"/>
    </row>
    <row r="27661">
      <c r="N27661" s="28"/>
      <c r="O27661" s="28"/>
      <c r="U27661" s="28"/>
    </row>
    <row r="27662">
      <c r="N27662" s="28"/>
      <c r="O27662" s="28"/>
      <c r="U27662" s="28"/>
    </row>
    <row r="27663">
      <c r="N27663" s="28"/>
      <c r="O27663" s="28"/>
      <c r="U27663" s="28"/>
    </row>
    <row r="27664">
      <c r="N27664" s="28"/>
      <c r="O27664" s="28"/>
      <c r="U27664" s="28"/>
    </row>
    <row r="27665">
      <c r="N27665" s="28"/>
      <c r="O27665" s="28"/>
      <c r="U27665" s="28"/>
    </row>
    <row r="27666">
      <c r="N27666" s="28"/>
      <c r="O27666" s="28"/>
      <c r="U27666" s="28"/>
    </row>
    <row r="27667">
      <c r="N27667" s="28"/>
      <c r="O27667" s="28"/>
      <c r="U27667" s="28"/>
    </row>
    <row r="27668">
      <c r="N27668" s="28"/>
      <c r="O27668" s="28"/>
      <c r="U27668" s="28"/>
    </row>
    <row r="27669">
      <c r="N27669" s="28"/>
      <c r="O27669" s="28"/>
      <c r="U27669" s="28"/>
    </row>
    <row r="27670">
      <c r="N27670" s="28"/>
      <c r="O27670" s="28"/>
      <c r="U27670" s="28"/>
    </row>
    <row r="27671">
      <c r="N27671" s="28"/>
      <c r="O27671" s="28"/>
      <c r="U27671" s="28"/>
    </row>
    <row r="27672">
      <c r="N27672" s="28"/>
      <c r="O27672" s="28"/>
      <c r="U27672" s="28"/>
    </row>
    <row r="27673">
      <c r="N27673" s="28"/>
      <c r="O27673" s="28"/>
      <c r="U27673" s="28"/>
    </row>
    <row r="27674">
      <c r="N27674" s="28"/>
      <c r="O27674" s="28"/>
      <c r="U27674" s="28"/>
    </row>
    <row r="27675">
      <c r="N27675" s="28"/>
      <c r="O27675" s="28"/>
      <c r="U27675" s="28"/>
    </row>
    <row r="27676">
      <c r="N27676" s="28"/>
      <c r="O27676" s="28"/>
      <c r="U27676" s="28"/>
    </row>
    <row r="27677">
      <c r="N27677" s="28"/>
      <c r="O27677" s="28"/>
      <c r="U27677" s="28"/>
    </row>
    <row r="27678">
      <c r="N27678" s="28"/>
      <c r="O27678" s="28"/>
      <c r="U27678" s="28"/>
    </row>
    <row r="27679">
      <c r="N27679" s="28"/>
      <c r="O27679" s="28"/>
      <c r="U27679" s="28"/>
    </row>
    <row r="27680">
      <c r="N27680" s="28"/>
      <c r="O27680" s="28"/>
      <c r="U27680" s="28"/>
    </row>
    <row r="27681">
      <c r="N27681" s="28"/>
      <c r="O27681" s="28"/>
      <c r="U27681" s="28"/>
    </row>
    <row r="27682">
      <c r="N27682" s="28"/>
      <c r="O27682" s="28"/>
      <c r="U27682" s="28"/>
    </row>
    <row r="27683">
      <c r="N27683" s="28"/>
      <c r="O27683" s="28"/>
      <c r="U27683" s="28"/>
    </row>
    <row r="27684">
      <c r="N27684" s="28"/>
      <c r="O27684" s="28"/>
      <c r="U27684" s="28"/>
    </row>
    <row r="27685">
      <c r="N27685" s="28"/>
      <c r="O27685" s="28"/>
      <c r="U27685" s="28"/>
    </row>
    <row r="27686">
      <c r="N27686" s="28"/>
      <c r="O27686" s="28"/>
      <c r="U27686" s="28"/>
    </row>
    <row r="27687">
      <c r="N27687" s="28"/>
      <c r="O27687" s="28"/>
      <c r="U27687" s="28"/>
    </row>
    <row r="27688">
      <c r="N27688" s="28"/>
      <c r="O27688" s="28"/>
      <c r="U27688" s="28"/>
    </row>
    <row r="27689">
      <c r="N27689" s="28"/>
      <c r="O27689" s="28"/>
      <c r="U27689" s="28"/>
    </row>
    <row r="27690">
      <c r="N27690" s="28"/>
      <c r="O27690" s="28"/>
      <c r="U27690" s="28"/>
    </row>
    <row r="27691">
      <c r="N27691" s="28"/>
      <c r="O27691" s="28"/>
      <c r="U27691" s="28"/>
    </row>
    <row r="27692">
      <c r="N27692" s="28"/>
      <c r="O27692" s="28"/>
      <c r="U27692" s="28"/>
    </row>
    <row r="27693">
      <c r="N27693" s="28"/>
      <c r="O27693" s="28"/>
      <c r="U27693" s="28"/>
    </row>
    <row r="27694">
      <c r="N27694" s="28"/>
      <c r="O27694" s="28"/>
      <c r="U27694" s="28"/>
    </row>
    <row r="27695">
      <c r="N27695" s="28"/>
      <c r="O27695" s="28"/>
      <c r="U27695" s="28"/>
    </row>
    <row r="27696">
      <c r="N27696" s="28"/>
      <c r="O27696" s="28"/>
      <c r="U27696" s="28"/>
    </row>
    <row r="27697">
      <c r="N27697" s="28"/>
      <c r="O27697" s="28"/>
      <c r="U27697" s="28"/>
    </row>
    <row r="27698">
      <c r="N27698" s="28"/>
      <c r="O27698" s="28"/>
      <c r="U27698" s="28"/>
    </row>
    <row r="27699">
      <c r="N27699" s="28"/>
      <c r="O27699" s="28"/>
      <c r="U27699" s="28"/>
    </row>
    <row r="27700">
      <c r="N27700" s="28"/>
      <c r="O27700" s="28"/>
      <c r="U27700" s="28"/>
    </row>
    <row r="27701">
      <c r="N27701" s="28"/>
      <c r="O27701" s="28"/>
      <c r="U27701" s="28"/>
    </row>
    <row r="27702">
      <c r="N27702" s="28"/>
      <c r="O27702" s="28"/>
      <c r="U27702" s="28"/>
    </row>
    <row r="27703">
      <c r="N27703" s="28"/>
      <c r="O27703" s="28"/>
      <c r="U27703" s="28"/>
    </row>
    <row r="27704">
      <c r="N27704" s="28"/>
      <c r="O27704" s="28"/>
      <c r="U27704" s="28"/>
    </row>
    <row r="27705">
      <c r="N27705" s="28"/>
      <c r="O27705" s="28"/>
      <c r="U27705" s="28"/>
    </row>
    <row r="27706">
      <c r="N27706" s="28"/>
      <c r="O27706" s="28"/>
      <c r="U27706" s="28"/>
    </row>
    <row r="27707">
      <c r="N27707" s="28"/>
      <c r="O27707" s="28"/>
      <c r="U27707" s="28"/>
    </row>
    <row r="27708">
      <c r="N27708" s="28"/>
      <c r="O27708" s="28"/>
      <c r="U27708" s="28"/>
    </row>
    <row r="27709">
      <c r="N27709" s="28"/>
      <c r="O27709" s="28"/>
      <c r="U27709" s="28"/>
    </row>
    <row r="27710">
      <c r="N27710" s="28"/>
      <c r="O27710" s="28"/>
      <c r="U27710" s="28"/>
    </row>
    <row r="27711">
      <c r="N27711" s="28"/>
      <c r="O27711" s="28"/>
      <c r="U27711" s="28"/>
    </row>
    <row r="27712">
      <c r="N27712" s="28"/>
      <c r="O27712" s="28"/>
      <c r="U27712" s="28"/>
    </row>
    <row r="27713">
      <c r="N27713" s="28"/>
      <c r="O27713" s="28"/>
      <c r="U27713" s="28"/>
    </row>
    <row r="27714">
      <c r="N27714" s="28"/>
      <c r="O27714" s="28"/>
      <c r="U27714" s="28"/>
    </row>
    <row r="27715">
      <c r="N27715" s="28"/>
      <c r="O27715" s="28"/>
      <c r="U27715" s="28"/>
    </row>
    <row r="27716">
      <c r="N27716" s="28"/>
      <c r="O27716" s="28"/>
      <c r="U27716" s="28"/>
    </row>
    <row r="27717">
      <c r="N27717" s="28"/>
      <c r="O27717" s="28"/>
      <c r="U27717" s="28"/>
    </row>
    <row r="27718">
      <c r="N27718" s="28"/>
      <c r="O27718" s="28"/>
      <c r="U27718" s="28"/>
    </row>
    <row r="27719">
      <c r="N27719" s="28"/>
      <c r="O27719" s="28"/>
      <c r="U27719" s="28"/>
    </row>
    <row r="27720">
      <c r="N27720" s="28"/>
      <c r="O27720" s="28"/>
      <c r="U27720" s="28"/>
    </row>
    <row r="27721">
      <c r="N27721" s="28"/>
      <c r="O27721" s="28"/>
      <c r="U27721" s="28"/>
    </row>
    <row r="27722">
      <c r="N27722" s="28"/>
      <c r="O27722" s="28"/>
      <c r="U27722" s="28"/>
    </row>
    <row r="27723">
      <c r="N27723" s="28"/>
      <c r="O27723" s="28"/>
      <c r="U27723" s="28"/>
    </row>
    <row r="27724">
      <c r="N27724" s="28"/>
      <c r="O27724" s="28"/>
      <c r="U27724" s="28"/>
    </row>
    <row r="27725">
      <c r="N27725" s="28"/>
      <c r="O27725" s="28"/>
      <c r="U27725" s="28"/>
    </row>
    <row r="27726">
      <c r="N27726" s="28"/>
      <c r="O27726" s="28"/>
      <c r="U27726" s="28"/>
    </row>
    <row r="27727">
      <c r="N27727" s="28"/>
      <c r="O27727" s="28"/>
      <c r="U27727" s="28"/>
    </row>
    <row r="27728">
      <c r="N27728" s="28"/>
      <c r="O27728" s="28"/>
      <c r="U27728" s="28"/>
    </row>
    <row r="27729">
      <c r="N27729" s="28"/>
      <c r="O27729" s="28"/>
      <c r="U27729" s="28"/>
    </row>
    <row r="27730">
      <c r="N27730" s="28"/>
      <c r="O27730" s="28"/>
      <c r="U27730" s="28"/>
    </row>
    <row r="27731">
      <c r="N27731" s="28"/>
      <c r="O27731" s="28"/>
      <c r="U27731" s="28"/>
    </row>
    <row r="27732">
      <c r="N27732" s="28"/>
      <c r="O27732" s="28"/>
      <c r="U27732" s="28"/>
    </row>
    <row r="27733">
      <c r="N27733" s="28"/>
      <c r="O27733" s="28"/>
      <c r="U27733" s="28"/>
    </row>
    <row r="27734">
      <c r="N27734" s="28"/>
      <c r="O27734" s="28"/>
      <c r="U27734" s="28"/>
    </row>
    <row r="27735">
      <c r="N27735" s="28"/>
      <c r="O27735" s="28"/>
      <c r="U27735" s="28"/>
    </row>
    <row r="27736">
      <c r="N27736" s="28"/>
      <c r="O27736" s="28"/>
      <c r="U27736" s="28"/>
    </row>
    <row r="27737">
      <c r="N27737" s="28"/>
      <c r="O27737" s="28"/>
      <c r="U27737" s="28"/>
    </row>
    <row r="27738">
      <c r="N27738" s="28"/>
      <c r="O27738" s="28"/>
      <c r="U27738" s="28"/>
    </row>
    <row r="27739">
      <c r="N27739" s="28"/>
      <c r="O27739" s="28"/>
      <c r="U27739" s="28"/>
    </row>
    <row r="27740">
      <c r="N27740" s="28"/>
      <c r="O27740" s="28"/>
      <c r="U27740" s="28"/>
    </row>
    <row r="27741">
      <c r="N27741" s="28"/>
      <c r="O27741" s="28"/>
      <c r="U27741" s="28"/>
    </row>
    <row r="27742">
      <c r="N27742" s="28"/>
      <c r="O27742" s="28"/>
      <c r="U27742" s="28"/>
    </row>
    <row r="27743">
      <c r="N27743" s="28"/>
      <c r="O27743" s="28"/>
      <c r="U27743" s="28"/>
    </row>
    <row r="27744">
      <c r="N27744" s="28"/>
      <c r="O27744" s="28"/>
      <c r="U27744" s="28"/>
    </row>
    <row r="27745">
      <c r="N27745" s="28"/>
      <c r="O27745" s="28"/>
      <c r="U27745" s="28"/>
    </row>
    <row r="27746">
      <c r="N27746" s="28"/>
      <c r="O27746" s="28"/>
      <c r="U27746" s="28"/>
    </row>
    <row r="27747">
      <c r="N27747" s="28"/>
      <c r="O27747" s="28"/>
      <c r="U27747" s="28"/>
    </row>
    <row r="27748">
      <c r="N27748" s="28"/>
      <c r="O27748" s="28"/>
      <c r="U27748" s="28"/>
    </row>
    <row r="27749">
      <c r="N27749" s="28"/>
      <c r="O27749" s="28"/>
      <c r="U27749" s="28"/>
    </row>
    <row r="27750">
      <c r="N27750" s="28"/>
      <c r="O27750" s="28"/>
      <c r="U27750" s="28"/>
    </row>
    <row r="27751">
      <c r="N27751" s="28"/>
      <c r="O27751" s="28"/>
      <c r="U27751" s="28"/>
    </row>
    <row r="27752">
      <c r="N27752" s="28"/>
      <c r="O27752" s="28"/>
      <c r="U27752" s="28"/>
    </row>
    <row r="27753">
      <c r="N27753" s="28"/>
      <c r="O27753" s="28"/>
      <c r="U27753" s="28"/>
    </row>
    <row r="27754">
      <c r="N27754" s="28"/>
      <c r="O27754" s="28"/>
      <c r="U27754" s="28"/>
    </row>
    <row r="27755">
      <c r="N27755" s="28"/>
      <c r="O27755" s="28"/>
      <c r="U27755" s="28"/>
    </row>
    <row r="27756">
      <c r="N27756" s="28"/>
      <c r="O27756" s="28"/>
      <c r="U27756" s="28"/>
    </row>
    <row r="27757">
      <c r="N27757" s="28"/>
      <c r="O27757" s="28"/>
      <c r="U27757" s="28"/>
    </row>
    <row r="27758">
      <c r="N27758" s="28"/>
      <c r="O27758" s="28"/>
      <c r="U27758" s="28"/>
    </row>
    <row r="27759">
      <c r="N27759" s="28"/>
      <c r="O27759" s="28"/>
      <c r="U27759" s="28"/>
    </row>
    <row r="27760">
      <c r="N27760" s="28"/>
      <c r="O27760" s="28"/>
      <c r="U27760" s="28"/>
    </row>
    <row r="27761">
      <c r="N27761" s="28"/>
      <c r="O27761" s="28"/>
      <c r="U27761" s="28"/>
    </row>
    <row r="27762">
      <c r="N27762" s="28"/>
      <c r="O27762" s="28"/>
      <c r="U27762" s="28"/>
    </row>
    <row r="27763">
      <c r="N27763" s="28"/>
      <c r="O27763" s="28"/>
      <c r="U27763" s="28"/>
    </row>
    <row r="27764">
      <c r="N27764" s="28"/>
      <c r="O27764" s="28"/>
      <c r="U27764" s="28"/>
    </row>
    <row r="27765">
      <c r="N27765" s="28"/>
      <c r="O27765" s="28"/>
      <c r="U27765" s="28"/>
    </row>
    <row r="27766">
      <c r="N27766" s="28"/>
      <c r="O27766" s="28"/>
      <c r="U27766" s="28"/>
    </row>
    <row r="27767">
      <c r="N27767" s="28"/>
      <c r="O27767" s="28"/>
      <c r="U27767" s="28"/>
    </row>
    <row r="27768">
      <c r="N27768" s="28"/>
      <c r="O27768" s="28"/>
      <c r="U27768" s="28"/>
    </row>
    <row r="27769">
      <c r="N27769" s="28"/>
      <c r="O27769" s="28"/>
      <c r="U27769" s="28"/>
    </row>
    <row r="27770">
      <c r="N27770" s="28"/>
      <c r="O27770" s="28"/>
      <c r="U27770" s="28"/>
    </row>
    <row r="27771">
      <c r="N27771" s="28"/>
      <c r="O27771" s="28"/>
      <c r="U27771" s="28"/>
    </row>
    <row r="27772">
      <c r="N27772" s="28"/>
      <c r="O27772" s="28"/>
      <c r="U27772" s="28"/>
    </row>
    <row r="27773">
      <c r="N27773" s="28"/>
      <c r="O27773" s="28"/>
      <c r="U27773" s="28"/>
    </row>
    <row r="27774">
      <c r="N27774" s="28"/>
      <c r="O27774" s="28"/>
      <c r="U27774" s="28"/>
    </row>
    <row r="27775">
      <c r="N27775" s="28"/>
      <c r="O27775" s="28"/>
      <c r="U27775" s="28"/>
    </row>
    <row r="27776">
      <c r="N27776" s="28"/>
      <c r="O27776" s="28"/>
      <c r="U27776" s="28"/>
    </row>
    <row r="27777">
      <c r="N27777" s="28"/>
      <c r="O27777" s="28"/>
      <c r="U27777" s="28"/>
    </row>
    <row r="27778">
      <c r="N27778" s="28"/>
      <c r="O27778" s="28"/>
      <c r="U27778" s="28"/>
    </row>
    <row r="27779">
      <c r="N27779" s="28"/>
      <c r="O27779" s="28"/>
      <c r="U27779" s="28"/>
    </row>
    <row r="27780">
      <c r="N27780" s="28"/>
      <c r="O27780" s="28"/>
      <c r="U27780" s="28"/>
    </row>
    <row r="27781">
      <c r="N27781" s="28"/>
      <c r="O27781" s="28"/>
      <c r="U27781" s="28"/>
    </row>
    <row r="27782">
      <c r="N27782" s="28"/>
      <c r="O27782" s="28"/>
      <c r="U27782" s="28"/>
    </row>
    <row r="27783">
      <c r="N27783" s="28"/>
      <c r="O27783" s="28"/>
      <c r="U27783" s="28"/>
    </row>
    <row r="27784">
      <c r="N27784" s="28"/>
      <c r="O27784" s="28"/>
      <c r="U27784" s="28"/>
    </row>
    <row r="27785">
      <c r="N27785" s="28"/>
      <c r="O27785" s="28"/>
      <c r="U27785" s="28"/>
    </row>
    <row r="27786">
      <c r="N27786" s="28"/>
      <c r="O27786" s="28"/>
      <c r="U27786" s="28"/>
    </row>
    <row r="27787">
      <c r="N27787" s="28"/>
      <c r="O27787" s="28"/>
      <c r="U27787" s="28"/>
    </row>
    <row r="27788">
      <c r="N27788" s="28"/>
      <c r="O27788" s="28"/>
      <c r="U27788" s="28"/>
    </row>
    <row r="27789">
      <c r="N27789" s="28"/>
      <c r="O27789" s="28"/>
      <c r="U27789" s="28"/>
    </row>
    <row r="27790">
      <c r="N27790" s="28"/>
      <c r="O27790" s="28"/>
      <c r="U27790" s="28"/>
    </row>
    <row r="27791">
      <c r="N27791" s="28"/>
      <c r="O27791" s="28"/>
      <c r="U27791" s="28"/>
    </row>
    <row r="27792">
      <c r="N27792" s="28"/>
      <c r="O27792" s="28"/>
      <c r="U27792" s="28"/>
    </row>
    <row r="27793">
      <c r="N27793" s="28"/>
      <c r="O27793" s="28"/>
      <c r="U27793" s="28"/>
    </row>
    <row r="27794">
      <c r="N27794" s="28"/>
      <c r="O27794" s="28"/>
      <c r="U27794" s="28"/>
    </row>
    <row r="27795">
      <c r="N27795" s="28"/>
      <c r="O27795" s="28"/>
      <c r="U27795" s="28"/>
    </row>
    <row r="27796">
      <c r="N27796" s="28"/>
      <c r="O27796" s="28"/>
      <c r="U27796" s="28"/>
    </row>
    <row r="27797">
      <c r="N27797" s="28"/>
      <c r="O27797" s="28"/>
      <c r="U27797" s="28"/>
    </row>
    <row r="27798">
      <c r="N27798" s="28"/>
      <c r="O27798" s="28"/>
      <c r="U27798" s="28"/>
    </row>
    <row r="27799">
      <c r="N27799" s="28"/>
      <c r="O27799" s="28"/>
      <c r="U27799" s="28"/>
    </row>
    <row r="27800">
      <c r="N27800" s="28"/>
      <c r="O27800" s="28"/>
      <c r="U27800" s="28"/>
    </row>
    <row r="27801">
      <c r="N27801" s="28"/>
      <c r="O27801" s="28"/>
      <c r="U27801" s="28"/>
    </row>
    <row r="27802">
      <c r="N27802" s="28"/>
      <c r="O27802" s="28"/>
      <c r="U27802" s="28"/>
    </row>
    <row r="27803">
      <c r="N27803" s="28"/>
      <c r="O27803" s="28"/>
      <c r="U27803" s="28"/>
    </row>
    <row r="27804">
      <c r="N27804" s="28"/>
      <c r="O27804" s="28"/>
      <c r="U27804" s="28"/>
    </row>
    <row r="27805">
      <c r="N27805" s="28"/>
      <c r="O27805" s="28"/>
      <c r="U27805" s="28"/>
    </row>
    <row r="27806">
      <c r="N27806" s="28"/>
      <c r="O27806" s="28"/>
      <c r="U27806" s="28"/>
    </row>
    <row r="27807">
      <c r="N27807" s="28"/>
      <c r="O27807" s="28"/>
      <c r="U27807" s="28"/>
    </row>
    <row r="27808">
      <c r="N27808" s="28"/>
      <c r="O27808" s="28"/>
      <c r="U27808" s="28"/>
    </row>
    <row r="27809">
      <c r="N27809" s="28"/>
      <c r="O27809" s="28"/>
      <c r="U27809" s="28"/>
    </row>
    <row r="27810">
      <c r="N27810" s="28"/>
      <c r="O27810" s="28"/>
      <c r="U27810" s="28"/>
    </row>
    <row r="27811">
      <c r="N27811" s="28"/>
      <c r="O27811" s="28"/>
      <c r="U27811" s="28"/>
    </row>
    <row r="27812">
      <c r="N27812" s="28"/>
      <c r="O27812" s="28"/>
      <c r="U27812" s="28"/>
    </row>
    <row r="27813">
      <c r="N27813" s="28"/>
      <c r="O27813" s="28"/>
      <c r="U27813" s="28"/>
    </row>
    <row r="27814">
      <c r="N27814" s="28"/>
      <c r="O27814" s="28"/>
      <c r="U27814" s="28"/>
    </row>
    <row r="27815">
      <c r="N27815" s="28"/>
      <c r="O27815" s="28"/>
      <c r="U27815" s="28"/>
    </row>
    <row r="27816">
      <c r="N27816" s="28"/>
      <c r="O27816" s="28"/>
      <c r="U27816" s="28"/>
    </row>
    <row r="27817">
      <c r="N27817" s="28"/>
      <c r="O27817" s="28"/>
      <c r="U27817" s="28"/>
    </row>
    <row r="27818">
      <c r="N27818" s="28"/>
      <c r="O27818" s="28"/>
      <c r="U27818" s="28"/>
    </row>
    <row r="27819">
      <c r="N27819" s="28"/>
      <c r="O27819" s="28"/>
      <c r="U27819" s="28"/>
    </row>
    <row r="27820">
      <c r="N27820" s="28"/>
      <c r="O27820" s="28"/>
      <c r="U27820" s="28"/>
    </row>
    <row r="27821">
      <c r="N27821" s="28"/>
      <c r="O27821" s="28"/>
      <c r="U27821" s="28"/>
    </row>
    <row r="27822">
      <c r="N27822" s="28"/>
      <c r="O27822" s="28"/>
      <c r="U27822" s="28"/>
    </row>
    <row r="27823">
      <c r="N27823" s="28"/>
      <c r="O27823" s="28"/>
      <c r="U27823" s="28"/>
    </row>
    <row r="27824">
      <c r="N27824" s="28"/>
      <c r="O27824" s="28"/>
      <c r="U27824" s="28"/>
    </row>
    <row r="27825">
      <c r="N27825" s="28"/>
      <c r="O27825" s="28"/>
      <c r="U27825" s="28"/>
    </row>
    <row r="27826">
      <c r="N27826" s="28"/>
      <c r="O27826" s="28"/>
      <c r="U27826" s="28"/>
    </row>
    <row r="27827">
      <c r="N27827" s="28"/>
      <c r="O27827" s="28"/>
      <c r="U27827" s="28"/>
    </row>
    <row r="27828">
      <c r="N27828" s="28"/>
      <c r="O27828" s="28"/>
      <c r="U27828" s="28"/>
    </row>
    <row r="27829">
      <c r="N27829" s="28"/>
      <c r="O27829" s="28"/>
      <c r="U27829" s="28"/>
    </row>
    <row r="27830">
      <c r="N27830" s="28"/>
      <c r="O27830" s="28"/>
      <c r="U27830" s="28"/>
    </row>
    <row r="27831">
      <c r="N27831" s="28"/>
      <c r="O27831" s="28"/>
      <c r="U27831" s="28"/>
    </row>
    <row r="27832">
      <c r="N27832" s="28"/>
      <c r="O27832" s="28"/>
      <c r="U27832" s="28"/>
    </row>
    <row r="27833">
      <c r="N27833" s="28"/>
      <c r="O27833" s="28"/>
      <c r="U27833" s="28"/>
    </row>
    <row r="27834">
      <c r="N27834" s="28"/>
      <c r="O27834" s="28"/>
      <c r="U27834" s="28"/>
    </row>
    <row r="27835">
      <c r="N27835" s="28"/>
      <c r="O27835" s="28"/>
      <c r="U27835" s="28"/>
    </row>
    <row r="27836">
      <c r="N27836" s="28"/>
      <c r="O27836" s="28"/>
      <c r="U27836" s="28"/>
    </row>
    <row r="27837">
      <c r="N27837" s="28"/>
      <c r="O27837" s="28"/>
      <c r="U27837" s="28"/>
    </row>
    <row r="27838">
      <c r="N27838" s="28"/>
      <c r="O27838" s="28"/>
      <c r="U27838" s="28"/>
    </row>
    <row r="27839">
      <c r="N27839" s="28"/>
      <c r="O27839" s="28"/>
      <c r="U27839" s="28"/>
    </row>
    <row r="27840">
      <c r="N27840" s="28"/>
      <c r="O27840" s="28"/>
      <c r="U27840" s="28"/>
    </row>
    <row r="27841">
      <c r="N27841" s="28"/>
      <c r="O27841" s="28"/>
      <c r="U27841" s="28"/>
    </row>
    <row r="27842">
      <c r="N27842" s="28"/>
      <c r="O27842" s="28"/>
      <c r="U27842" s="28"/>
    </row>
    <row r="27843">
      <c r="N27843" s="28"/>
      <c r="O27843" s="28"/>
      <c r="U27843" s="28"/>
    </row>
    <row r="27844">
      <c r="N27844" s="28"/>
      <c r="O27844" s="28"/>
      <c r="U27844" s="28"/>
    </row>
    <row r="27845">
      <c r="N27845" s="28"/>
      <c r="O27845" s="28"/>
      <c r="U27845" s="28"/>
    </row>
    <row r="27846">
      <c r="N27846" s="28"/>
      <c r="O27846" s="28"/>
      <c r="U27846" s="28"/>
    </row>
    <row r="27847">
      <c r="N27847" s="28"/>
      <c r="O27847" s="28"/>
      <c r="U27847" s="28"/>
    </row>
    <row r="27848">
      <c r="N27848" s="28"/>
      <c r="O27848" s="28"/>
      <c r="U27848" s="28"/>
    </row>
    <row r="27849">
      <c r="N27849" s="28"/>
      <c r="O27849" s="28"/>
      <c r="U27849" s="28"/>
    </row>
    <row r="27850">
      <c r="N27850" s="28"/>
      <c r="O27850" s="28"/>
      <c r="U27850" s="28"/>
    </row>
    <row r="27851">
      <c r="N27851" s="28"/>
      <c r="O27851" s="28"/>
      <c r="U27851" s="28"/>
    </row>
    <row r="27852">
      <c r="N27852" s="28"/>
      <c r="O27852" s="28"/>
      <c r="U27852" s="28"/>
    </row>
    <row r="27853">
      <c r="N27853" s="28"/>
      <c r="O27853" s="28"/>
      <c r="U27853" s="28"/>
    </row>
    <row r="27854">
      <c r="N27854" s="28"/>
      <c r="O27854" s="28"/>
      <c r="U27854" s="28"/>
    </row>
    <row r="27855">
      <c r="N27855" s="28"/>
      <c r="O27855" s="28"/>
      <c r="U27855" s="28"/>
    </row>
    <row r="27856">
      <c r="N27856" s="28"/>
      <c r="O27856" s="28"/>
      <c r="U27856" s="28"/>
    </row>
    <row r="27857">
      <c r="N27857" s="28"/>
      <c r="O27857" s="28"/>
      <c r="U27857" s="28"/>
    </row>
    <row r="27858">
      <c r="N27858" s="28"/>
      <c r="O27858" s="28"/>
      <c r="U27858" s="28"/>
    </row>
    <row r="27859">
      <c r="N27859" s="28"/>
      <c r="O27859" s="28"/>
      <c r="U27859" s="28"/>
    </row>
    <row r="27860">
      <c r="N27860" s="28"/>
      <c r="O27860" s="28"/>
      <c r="U27860" s="28"/>
    </row>
    <row r="27861">
      <c r="N27861" s="28"/>
      <c r="O27861" s="28"/>
      <c r="U27861" s="28"/>
    </row>
    <row r="27862">
      <c r="N27862" s="28"/>
      <c r="O27862" s="28"/>
      <c r="U27862" s="28"/>
    </row>
    <row r="27863">
      <c r="N27863" s="28"/>
      <c r="O27863" s="28"/>
      <c r="U27863" s="28"/>
    </row>
    <row r="27864">
      <c r="N27864" s="28"/>
      <c r="O27864" s="28"/>
      <c r="U27864" s="28"/>
    </row>
    <row r="27865">
      <c r="N27865" s="28"/>
      <c r="O27865" s="28"/>
      <c r="U27865" s="28"/>
    </row>
    <row r="27866">
      <c r="N27866" s="28"/>
      <c r="O27866" s="28"/>
      <c r="U27866" s="28"/>
    </row>
    <row r="27867">
      <c r="N27867" s="28"/>
      <c r="O27867" s="28"/>
      <c r="U27867" s="28"/>
    </row>
    <row r="27868">
      <c r="N27868" s="28"/>
      <c r="O27868" s="28"/>
      <c r="U27868" s="28"/>
    </row>
    <row r="27869">
      <c r="N27869" s="28"/>
      <c r="O27869" s="28"/>
      <c r="U27869" s="28"/>
    </row>
    <row r="27870">
      <c r="N27870" s="28"/>
      <c r="O27870" s="28"/>
      <c r="U27870" s="28"/>
    </row>
    <row r="27871">
      <c r="N27871" s="28"/>
      <c r="O27871" s="28"/>
      <c r="U27871" s="28"/>
    </row>
    <row r="27872">
      <c r="N27872" s="28"/>
      <c r="O27872" s="28"/>
      <c r="U27872" s="28"/>
    </row>
    <row r="27873">
      <c r="N27873" s="28"/>
      <c r="O27873" s="28"/>
      <c r="U27873" s="28"/>
    </row>
    <row r="27874">
      <c r="N27874" s="28"/>
      <c r="O27874" s="28"/>
      <c r="U27874" s="28"/>
    </row>
    <row r="27875">
      <c r="N27875" s="28"/>
      <c r="O27875" s="28"/>
      <c r="U27875" s="28"/>
    </row>
    <row r="27876">
      <c r="N27876" s="28"/>
      <c r="O27876" s="28"/>
      <c r="U27876" s="28"/>
    </row>
    <row r="27877">
      <c r="N27877" s="28"/>
      <c r="O27877" s="28"/>
      <c r="U27877" s="28"/>
    </row>
    <row r="27878">
      <c r="N27878" s="28"/>
      <c r="O27878" s="28"/>
      <c r="U27878" s="28"/>
    </row>
    <row r="27879">
      <c r="N27879" s="28"/>
      <c r="O27879" s="28"/>
      <c r="U27879" s="28"/>
    </row>
    <row r="27880">
      <c r="N27880" s="28"/>
      <c r="O27880" s="28"/>
      <c r="U27880" s="28"/>
    </row>
    <row r="27881">
      <c r="N27881" s="28"/>
      <c r="O27881" s="28"/>
      <c r="U27881" s="28"/>
    </row>
    <row r="27882">
      <c r="N27882" s="28"/>
      <c r="O27882" s="28"/>
      <c r="U27882" s="28"/>
    </row>
    <row r="27883">
      <c r="N27883" s="28"/>
      <c r="O27883" s="28"/>
      <c r="U27883" s="28"/>
    </row>
    <row r="27884">
      <c r="N27884" s="28"/>
      <c r="O27884" s="28"/>
      <c r="U27884" s="28"/>
    </row>
    <row r="27885">
      <c r="N27885" s="28"/>
      <c r="O27885" s="28"/>
      <c r="U27885" s="28"/>
    </row>
    <row r="27886">
      <c r="N27886" s="28"/>
      <c r="O27886" s="28"/>
      <c r="U27886" s="28"/>
    </row>
    <row r="27887">
      <c r="N27887" s="28"/>
      <c r="O27887" s="28"/>
      <c r="U27887" s="28"/>
    </row>
    <row r="27888">
      <c r="N27888" s="28"/>
      <c r="O27888" s="28"/>
      <c r="U27888" s="28"/>
    </row>
    <row r="27889">
      <c r="N27889" s="28"/>
      <c r="O27889" s="28"/>
      <c r="U27889" s="28"/>
    </row>
    <row r="27890">
      <c r="N27890" s="28"/>
      <c r="O27890" s="28"/>
      <c r="U27890" s="28"/>
    </row>
    <row r="27891">
      <c r="N27891" s="28"/>
      <c r="O27891" s="28"/>
      <c r="U27891" s="28"/>
    </row>
    <row r="27892">
      <c r="N27892" s="28"/>
      <c r="O27892" s="28"/>
      <c r="U27892" s="28"/>
    </row>
    <row r="27893">
      <c r="N27893" s="28"/>
      <c r="O27893" s="28"/>
      <c r="U27893" s="28"/>
    </row>
    <row r="27894">
      <c r="N27894" s="28"/>
      <c r="O27894" s="28"/>
      <c r="U27894" s="28"/>
    </row>
    <row r="27895">
      <c r="N27895" s="28"/>
      <c r="O27895" s="28"/>
      <c r="U27895" s="28"/>
    </row>
    <row r="27896">
      <c r="N27896" s="28"/>
      <c r="O27896" s="28"/>
      <c r="U27896" s="28"/>
    </row>
    <row r="27897">
      <c r="N27897" s="28"/>
      <c r="O27897" s="28"/>
      <c r="U27897" s="28"/>
    </row>
    <row r="27898">
      <c r="N27898" s="28"/>
      <c r="O27898" s="28"/>
      <c r="U27898" s="28"/>
    </row>
    <row r="27899">
      <c r="N27899" s="28"/>
      <c r="O27899" s="28"/>
      <c r="U27899" s="28"/>
    </row>
    <row r="27900">
      <c r="N27900" s="28"/>
      <c r="O27900" s="28"/>
      <c r="U27900" s="28"/>
    </row>
    <row r="27901">
      <c r="N27901" s="28"/>
      <c r="O27901" s="28"/>
      <c r="U27901" s="28"/>
    </row>
    <row r="27902">
      <c r="N27902" s="28"/>
      <c r="O27902" s="28"/>
      <c r="U27902" s="28"/>
    </row>
    <row r="27903">
      <c r="N27903" s="28"/>
      <c r="O27903" s="28"/>
      <c r="U27903" s="28"/>
    </row>
    <row r="27904">
      <c r="N27904" s="28"/>
      <c r="O27904" s="28"/>
      <c r="U27904" s="28"/>
    </row>
    <row r="27905">
      <c r="N27905" s="28"/>
      <c r="O27905" s="28"/>
      <c r="U27905" s="28"/>
    </row>
    <row r="27906">
      <c r="N27906" s="28"/>
      <c r="O27906" s="28"/>
      <c r="U27906" s="28"/>
    </row>
    <row r="27907">
      <c r="N27907" s="28"/>
      <c r="O27907" s="28"/>
      <c r="U27907" s="28"/>
    </row>
    <row r="27908">
      <c r="N27908" s="28"/>
      <c r="O27908" s="28"/>
      <c r="U27908" s="28"/>
    </row>
    <row r="27909">
      <c r="N27909" s="28"/>
      <c r="O27909" s="28"/>
      <c r="U27909" s="28"/>
    </row>
    <row r="27910">
      <c r="N27910" s="28"/>
      <c r="O27910" s="28"/>
      <c r="U27910" s="28"/>
    </row>
    <row r="27911">
      <c r="N27911" s="28"/>
      <c r="O27911" s="28"/>
      <c r="U27911" s="28"/>
    </row>
    <row r="27912">
      <c r="N27912" s="28"/>
      <c r="O27912" s="28"/>
      <c r="U27912" s="28"/>
    </row>
    <row r="27913">
      <c r="N27913" s="28"/>
      <c r="O27913" s="28"/>
      <c r="U27913" s="28"/>
    </row>
    <row r="27914">
      <c r="N27914" s="28"/>
      <c r="O27914" s="28"/>
      <c r="U27914" s="28"/>
    </row>
    <row r="27915">
      <c r="N27915" s="28"/>
      <c r="O27915" s="28"/>
      <c r="U27915" s="28"/>
    </row>
    <row r="27916">
      <c r="N27916" s="28"/>
      <c r="O27916" s="28"/>
      <c r="U27916" s="28"/>
    </row>
    <row r="27917">
      <c r="N27917" s="28"/>
      <c r="O27917" s="28"/>
      <c r="U27917" s="28"/>
    </row>
    <row r="27918">
      <c r="N27918" s="28"/>
      <c r="O27918" s="28"/>
      <c r="U27918" s="28"/>
    </row>
    <row r="27919">
      <c r="N27919" s="28"/>
      <c r="O27919" s="28"/>
      <c r="U27919" s="28"/>
    </row>
    <row r="27920">
      <c r="N27920" s="28"/>
      <c r="O27920" s="28"/>
      <c r="U27920" s="28"/>
    </row>
    <row r="27921">
      <c r="N27921" s="28"/>
      <c r="O27921" s="28"/>
      <c r="U27921" s="28"/>
    </row>
    <row r="27922">
      <c r="N27922" s="28"/>
      <c r="O27922" s="28"/>
      <c r="U27922" s="28"/>
    </row>
    <row r="27923">
      <c r="N27923" s="28"/>
      <c r="O27923" s="28"/>
      <c r="U27923" s="28"/>
    </row>
    <row r="27924">
      <c r="N27924" s="28"/>
      <c r="O27924" s="28"/>
      <c r="U27924" s="28"/>
    </row>
    <row r="27925">
      <c r="N27925" s="28"/>
      <c r="O27925" s="28"/>
      <c r="U27925" s="28"/>
    </row>
    <row r="27926">
      <c r="N27926" s="28"/>
      <c r="O27926" s="28"/>
      <c r="U27926" s="28"/>
    </row>
    <row r="27927">
      <c r="N27927" s="28"/>
      <c r="O27927" s="28"/>
      <c r="U27927" s="28"/>
    </row>
    <row r="27928">
      <c r="N27928" s="28"/>
      <c r="O27928" s="28"/>
      <c r="U27928" s="28"/>
    </row>
    <row r="27929">
      <c r="N27929" s="28"/>
      <c r="O27929" s="28"/>
      <c r="U27929" s="28"/>
    </row>
    <row r="27930">
      <c r="N27930" s="28"/>
      <c r="O27930" s="28"/>
      <c r="U27930" s="28"/>
    </row>
    <row r="27931">
      <c r="N27931" s="28"/>
      <c r="O27931" s="28"/>
      <c r="U27931" s="28"/>
    </row>
    <row r="27932">
      <c r="N27932" s="28"/>
      <c r="O27932" s="28"/>
      <c r="U27932" s="28"/>
    </row>
    <row r="27933">
      <c r="N27933" s="28"/>
      <c r="O27933" s="28"/>
      <c r="U27933" s="28"/>
    </row>
    <row r="27934">
      <c r="N27934" s="28"/>
      <c r="O27934" s="28"/>
      <c r="U27934" s="28"/>
    </row>
    <row r="27935">
      <c r="N27935" s="28"/>
      <c r="O27935" s="28"/>
      <c r="U27935" s="28"/>
    </row>
    <row r="27936">
      <c r="N27936" s="28"/>
      <c r="O27936" s="28"/>
      <c r="U27936" s="28"/>
    </row>
    <row r="27937">
      <c r="N27937" s="28"/>
      <c r="O27937" s="28"/>
      <c r="U27937" s="28"/>
    </row>
    <row r="27938">
      <c r="N27938" s="28"/>
      <c r="O27938" s="28"/>
      <c r="U27938" s="28"/>
    </row>
    <row r="27939">
      <c r="N27939" s="28"/>
      <c r="O27939" s="28"/>
      <c r="U27939" s="28"/>
    </row>
    <row r="27940">
      <c r="N27940" s="28"/>
      <c r="O27940" s="28"/>
      <c r="U27940" s="28"/>
    </row>
    <row r="27941">
      <c r="N27941" s="28"/>
      <c r="O27941" s="28"/>
      <c r="U27941" s="28"/>
    </row>
    <row r="27942">
      <c r="N27942" s="28"/>
      <c r="O27942" s="28"/>
      <c r="U27942" s="28"/>
    </row>
    <row r="27943">
      <c r="N27943" s="28"/>
      <c r="O27943" s="28"/>
      <c r="U27943" s="28"/>
    </row>
    <row r="27944">
      <c r="N27944" s="28"/>
      <c r="O27944" s="28"/>
      <c r="U27944" s="28"/>
    </row>
    <row r="27945">
      <c r="N27945" s="28"/>
      <c r="O27945" s="28"/>
      <c r="U27945" s="28"/>
    </row>
    <row r="27946">
      <c r="N27946" s="28"/>
      <c r="O27946" s="28"/>
      <c r="U27946" s="28"/>
    </row>
    <row r="27947">
      <c r="N27947" s="28"/>
      <c r="O27947" s="28"/>
      <c r="U27947" s="28"/>
    </row>
    <row r="27948">
      <c r="N27948" s="28"/>
      <c r="O27948" s="28"/>
      <c r="U27948" s="28"/>
    </row>
    <row r="27949">
      <c r="N27949" s="28"/>
      <c r="O27949" s="28"/>
      <c r="U27949" s="28"/>
    </row>
    <row r="27950">
      <c r="N27950" s="28"/>
      <c r="O27950" s="28"/>
      <c r="U27950" s="28"/>
    </row>
    <row r="27951">
      <c r="N27951" s="28"/>
      <c r="O27951" s="28"/>
      <c r="U27951" s="28"/>
    </row>
    <row r="27952">
      <c r="N27952" s="28"/>
      <c r="O27952" s="28"/>
      <c r="U27952" s="28"/>
    </row>
    <row r="27953">
      <c r="N27953" s="28"/>
      <c r="O27953" s="28"/>
      <c r="U27953" s="28"/>
    </row>
    <row r="27954">
      <c r="N27954" s="28"/>
      <c r="O27954" s="28"/>
      <c r="U27954" s="28"/>
    </row>
    <row r="27955">
      <c r="N27955" s="28"/>
      <c r="O27955" s="28"/>
      <c r="U27955" s="28"/>
    </row>
    <row r="27956">
      <c r="N27956" s="28"/>
      <c r="O27956" s="28"/>
      <c r="U27956" s="28"/>
    </row>
    <row r="27957">
      <c r="N27957" s="28"/>
      <c r="O27957" s="28"/>
      <c r="U27957" s="28"/>
    </row>
    <row r="27958">
      <c r="N27958" s="28"/>
      <c r="O27958" s="28"/>
      <c r="U27958" s="28"/>
    </row>
    <row r="27959">
      <c r="N27959" s="28"/>
      <c r="O27959" s="28"/>
      <c r="U27959" s="28"/>
    </row>
    <row r="27960">
      <c r="N27960" s="28"/>
      <c r="O27960" s="28"/>
      <c r="U27960" s="28"/>
    </row>
    <row r="27961">
      <c r="N27961" s="28"/>
      <c r="O27961" s="28"/>
      <c r="U27961" s="28"/>
    </row>
    <row r="27962">
      <c r="N27962" s="28"/>
      <c r="O27962" s="28"/>
      <c r="U27962" s="28"/>
    </row>
    <row r="27963">
      <c r="N27963" s="28"/>
      <c r="O27963" s="28"/>
      <c r="U27963" s="28"/>
    </row>
    <row r="27964">
      <c r="N27964" s="28"/>
      <c r="O27964" s="28"/>
      <c r="U27964" s="28"/>
    </row>
    <row r="27965">
      <c r="N27965" s="28"/>
      <c r="O27965" s="28"/>
      <c r="U27965" s="28"/>
    </row>
    <row r="27966">
      <c r="N27966" s="28"/>
      <c r="O27966" s="28"/>
      <c r="U27966" s="28"/>
    </row>
    <row r="27967">
      <c r="N27967" s="28"/>
      <c r="O27967" s="28"/>
      <c r="U27967" s="28"/>
    </row>
    <row r="27968">
      <c r="N27968" s="28"/>
      <c r="O27968" s="28"/>
      <c r="U27968" s="28"/>
    </row>
    <row r="27969">
      <c r="N27969" s="28"/>
      <c r="O27969" s="28"/>
      <c r="U27969" s="28"/>
    </row>
    <row r="27970">
      <c r="N27970" s="28"/>
      <c r="O27970" s="28"/>
      <c r="U27970" s="28"/>
    </row>
    <row r="27971">
      <c r="N27971" s="28"/>
      <c r="O27971" s="28"/>
      <c r="U27971" s="28"/>
    </row>
    <row r="27972">
      <c r="N27972" s="28"/>
      <c r="O27972" s="28"/>
      <c r="U27972" s="28"/>
    </row>
    <row r="27973">
      <c r="N27973" s="28"/>
      <c r="O27973" s="28"/>
      <c r="U27973" s="28"/>
    </row>
    <row r="27974">
      <c r="N27974" s="28"/>
      <c r="O27974" s="28"/>
      <c r="U27974" s="28"/>
    </row>
    <row r="27975">
      <c r="N27975" s="28"/>
      <c r="O27975" s="28"/>
      <c r="U27975" s="28"/>
    </row>
    <row r="27976">
      <c r="N27976" s="28"/>
      <c r="O27976" s="28"/>
      <c r="U27976" s="28"/>
    </row>
    <row r="27977">
      <c r="N27977" s="28"/>
      <c r="O27977" s="28"/>
      <c r="U27977" s="28"/>
    </row>
    <row r="27978">
      <c r="N27978" s="28"/>
      <c r="O27978" s="28"/>
      <c r="U27978" s="28"/>
    </row>
    <row r="27979">
      <c r="N27979" s="28"/>
      <c r="O27979" s="28"/>
      <c r="U27979" s="28"/>
    </row>
    <row r="27980">
      <c r="N27980" s="28"/>
      <c r="O27980" s="28"/>
      <c r="U27980" s="28"/>
    </row>
    <row r="27981">
      <c r="N27981" s="28"/>
      <c r="O27981" s="28"/>
      <c r="U27981" s="28"/>
    </row>
    <row r="27982">
      <c r="N27982" s="28"/>
      <c r="O27982" s="28"/>
      <c r="U27982" s="28"/>
    </row>
    <row r="27983">
      <c r="N27983" s="28"/>
      <c r="O27983" s="28"/>
      <c r="U27983" s="28"/>
    </row>
    <row r="27984">
      <c r="N27984" s="28"/>
      <c r="O27984" s="28"/>
      <c r="U27984" s="28"/>
    </row>
    <row r="27985">
      <c r="N27985" s="28"/>
      <c r="O27985" s="28"/>
      <c r="U27985" s="28"/>
    </row>
    <row r="27986">
      <c r="N27986" s="28"/>
      <c r="O27986" s="28"/>
      <c r="U27986" s="28"/>
    </row>
    <row r="27987">
      <c r="N27987" s="28"/>
      <c r="O27987" s="28"/>
      <c r="U27987" s="28"/>
    </row>
    <row r="27988">
      <c r="N27988" s="28"/>
      <c r="O27988" s="28"/>
      <c r="U27988" s="28"/>
    </row>
    <row r="27989">
      <c r="N27989" s="28"/>
      <c r="O27989" s="28"/>
      <c r="U27989" s="28"/>
    </row>
    <row r="27990">
      <c r="N27990" s="28"/>
      <c r="O27990" s="28"/>
      <c r="U27990" s="28"/>
    </row>
    <row r="27991">
      <c r="N27991" s="28"/>
      <c r="O27991" s="28"/>
      <c r="U27991" s="28"/>
    </row>
    <row r="27992">
      <c r="N27992" s="28"/>
      <c r="O27992" s="28"/>
      <c r="U27992" s="28"/>
    </row>
    <row r="27993">
      <c r="N27993" s="28"/>
      <c r="O27993" s="28"/>
      <c r="U27993" s="28"/>
    </row>
    <row r="27994">
      <c r="N27994" s="28"/>
      <c r="O27994" s="28"/>
      <c r="U27994" s="28"/>
    </row>
    <row r="27995">
      <c r="N27995" s="28"/>
      <c r="O27995" s="28"/>
      <c r="U27995" s="28"/>
    </row>
    <row r="27996">
      <c r="N27996" s="28"/>
      <c r="O27996" s="28"/>
      <c r="U27996" s="28"/>
    </row>
    <row r="27997">
      <c r="N27997" s="28"/>
      <c r="O27997" s="28"/>
      <c r="U27997" s="28"/>
    </row>
    <row r="27998">
      <c r="N27998" s="28"/>
      <c r="O27998" s="28"/>
      <c r="U27998" s="28"/>
    </row>
    <row r="27999">
      <c r="N27999" s="28"/>
      <c r="O27999" s="28"/>
      <c r="U27999" s="28"/>
    </row>
    <row r="28000">
      <c r="N28000" s="28"/>
      <c r="O28000" s="28"/>
      <c r="U28000" s="28"/>
    </row>
    <row r="28001">
      <c r="N28001" s="28"/>
      <c r="O28001" s="28"/>
      <c r="U28001" s="28"/>
    </row>
    <row r="28002">
      <c r="N28002" s="28"/>
      <c r="O28002" s="28"/>
      <c r="U28002" s="28"/>
    </row>
    <row r="28003">
      <c r="N28003" s="28"/>
      <c r="O28003" s="28"/>
      <c r="U28003" s="28"/>
    </row>
    <row r="28004">
      <c r="N28004" s="28"/>
      <c r="O28004" s="28"/>
      <c r="U28004" s="28"/>
    </row>
    <row r="28005">
      <c r="N28005" s="28"/>
      <c r="O28005" s="28"/>
      <c r="U28005" s="28"/>
    </row>
    <row r="28006">
      <c r="N28006" s="28"/>
      <c r="O28006" s="28"/>
      <c r="U28006" s="28"/>
    </row>
    <row r="28007">
      <c r="N28007" s="28"/>
      <c r="O28007" s="28"/>
      <c r="U28007" s="28"/>
    </row>
    <row r="28008">
      <c r="N28008" s="28"/>
      <c r="O28008" s="28"/>
      <c r="U28008" s="28"/>
    </row>
    <row r="28009">
      <c r="N28009" s="28"/>
      <c r="O28009" s="28"/>
      <c r="U28009" s="28"/>
    </row>
    <row r="28010">
      <c r="N28010" s="28"/>
      <c r="O28010" s="28"/>
      <c r="U28010" s="28"/>
    </row>
    <row r="28011">
      <c r="N28011" s="28"/>
      <c r="O28011" s="28"/>
      <c r="U28011" s="28"/>
    </row>
    <row r="28012">
      <c r="N28012" s="28"/>
      <c r="O28012" s="28"/>
      <c r="U28012" s="28"/>
    </row>
    <row r="28013">
      <c r="N28013" s="28"/>
      <c r="O28013" s="28"/>
      <c r="U28013" s="28"/>
    </row>
    <row r="28014">
      <c r="N28014" s="28"/>
      <c r="O28014" s="28"/>
      <c r="U28014" s="28"/>
    </row>
    <row r="28015">
      <c r="N28015" s="28"/>
      <c r="O28015" s="28"/>
      <c r="U28015" s="28"/>
    </row>
    <row r="28016">
      <c r="N28016" s="28"/>
      <c r="O28016" s="28"/>
      <c r="U28016" s="28"/>
    </row>
    <row r="28017">
      <c r="N28017" s="28"/>
      <c r="O28017" s="28"/>
      <c r="U28017" s="28"/>
    </row>
    <row r="28018">
      <c r="N28018" s="28"/>
      <c r="O28018" s="28"/>
      <c r="U28018" s="28"/>
    </row>
    <row r="28019">
      <c r="N28019" s="28"/>
      <c r="O28019" s="28"/>
      <c r="U28019" s="28"/>
    </row>
    <row r="28020">
      <c r="N28020" s="28"/>
      <c r="O28020" s="28"/>
      <c r="U28020" s="28"/>
    </row>
    <row r="28021">
      <c r="N28021" s="28"/>
      <c r="O28021" s="28"/>
      <c r="U28021" s="28"/>
    </row>
    <row r="28022">
      <c r="N28022" s="28"/>
      <c r="O28022" s="28"/>
      <c r="U28022" s="28"/>
    </row>
    <row r="28023">
      <c r="N28023" s="28"/>
      <c r="O28023" s="28"/>
      <c r="U28023" s="28"/>
    </row>
    <row r="28024">
      <c r="N28024" s="28"/>
      <c r="O28024" s="28"/>
      <c r="U28024" s="28"/>
    </row>
    <row r="28025">
      <c r="N28025" s="28"/>
      <c r="O28025" s="28"/>
      <c r="U28025" s="28"/>
    </row>
    <row r="28026">
      <c r="N28026" s="28"/>
      <c r="O28026" s="28"/>
      <c r="U28026" s="28"/>
    </row>
    <row r="28027">
      <c r="N28027" s="28"/>
      <c r="O28027" s="28"/>
      <c r="U28027" s="28"/>
    </row>
    <row r="28028">
      <c r="N28028" s="28"/>
      <c r="O28028" s="28"/>
      <c r="U28028" s="28"/>
    </row>
    <row r="28029">
      <c r="N28029" s="28"/>
      <c r="O28029" s="28"/>
      <c r="U28029" s="28"/>
    </row>
    <row r="28030">
      <c r="N28030" s="28"/>
      <c r="O28030" s="28"/>
      <c r="U28030" s="28"/>
    </row>
    <row r="28031">
      <c r="N28031" s="28"/>
      <c r="O28031" s="28"/>
      <c r="U28031" s="28"/>
    </row>
    <row r="28032">
      <c r="N28032" s="28"/>
      <c r="O28032" s="28"/>
      <c r="U28032" s="28"/>
    </row>
    <row r="28033">
      <c r="N28033" s="28"/>
      <c r="O28033" s="28"/>
      <c r="U28033" s="28"/>
    </row>
    <row r="28034">
      <c r="N28034" s="28"/>
      <c r="O28034" s="28"/>
      <c r="U28034" s="28"/>
    </row>
    <row r="28035">
      <c r="N28035" s="28"/>
      <c r="O28035" s="28"/>
      <c r="U28035" s="28"/>
    </row>
    <row r="28036">
      <c r="N28036" s="28"/>
      <c r="O28036" s="28"/>
      <c r="U28036" s="28"/>
    </row>
    <row r="28037">
      <c r="N28037" s="28"/>
      <c r="O28037" s="28"/>
      <c r="U28037" s="28"/>
    </row>
    <row r="28038">
      <c r="N28038" s="28"/>
      <c r="O28038" s="28"/>
      <c r="U28038" s="28"/>
    </row>
    <row r="28039">
      <c r="N28039" s="28"/>
      <c r="O28039" s="28"/>
      <c r="U28039" s="28"/>
    </row>
    <row r="28040">
      <c r="N28040" s="28"/>
      <c r="O28040" s="28"/>
      <c r="U28040" s="28"/>
    </row>
    <row r="28041">
      <c r="N28041" s="28"/>
      <c r="O28041" s="28"/>
      <c r="U28041" s="28"/>
    </row>
    <row r="28042">
      <c r="N28042" s="28"/>
      <c r="O28042" s="28"/>
      <c r="U28042" s="28"/>
    </row>
    <row r="28043">
      <c r="N28043" s="28"/>
      <c r="O28043" s="28"/>
      <c r="U28043" s="28"/>
    </row>
    <row r="28044">
      <c r="N28044" s="28"/>
      <c r="O28044" s="28"/>
      <c r="U28044" s="28"/>
    </row>
    <row r="28045">
      <c r="N28045" s="28"/>
      <c r="O28045" s="28"/>
      <c r="U28045" s="28"/>
    </row>
    <row r="28046">
      <c r="N28046" s="28"/>
      <c r="O28046" s="28"/>
      <c r="U28046" s="28"/>
    </row>
    <row r="28047">
      <c r="N28047" s="28"/>
      <c r="O28047" s="28"/>
      <c r="U28047" s="28"/>
    </row>
    <row r="28048">
      <c r="N28048" s="28"/>
      <c r="O28048" s="28"/>
      <c r="U28048" s="28"/>
    </row>
    <row r="28049">
      <c r="N28049" s="28"/>
      <c r="O28049" s="28"/>
      <c r="U28049" s="28"/>
    </row>
    <row r="28050">
      <c r="N28050" s="28"/>
      <c r="O28050" s="28"/>
      <c r="U28050" s="28"/>
    </row>
    <row r="28051">
      <c r="N28051" s="28"/>
      <c r="O28051" s="28"/>
      <c r="U28051" s="28"/>
    </row>
    <row r="28052">
      <c r="N28052" s="28"/>
      <c r="O28052" s="28"/>
      <c r="U28052" s="28"/>
    </row>
    <row r="28053">
      <c r="N28053" s="28"/>
      <c r="O28053" s="28"/>
      <c r="U28053" s="28"/>
    </row>
    <row r="28054">
      <c r="N28054" s="28"/>
      <c r="O28054" s="28"/>
      <c r="U28054" s="28"/>
    </row>
    <row r="28055">
      <c r="N28055" s="28"/>
      <c r="O28055" s="28"/>
      <c r="U28055" s="28"/>
    </row>
    <row r="28056">
      <c r="N28056" s="28"/>
      <c r="O28056" s="28"/>
      <c r="U28056" s="28"/>
    </row>
    <row r="28057">
      <c r="N28057" s="28"/>
      <c r="O28057" s="28"/>
      <c r="U28057" s="28"/>
    </row>
    <row r="28058">
      <c r="N28058" s="28"/>
      <c r="O28058" s="28"/>
      <c r="U28058" s="28"/>
    </row>
    <row r="28059">
      <c r="N28059" s="28"/>
      <c r="O28059" s="28"/>
      <c r="U28059" s="28"/>
    </row>
    <row r="28060">
      <c r="N28060" s="28"/>
      <c r="O28060" s="28"/>
      <c r="U28060" s="28"/>
    </row>
    <row r="28061">
      <c r="N28061" s="28"/>
      <c r="O28061" s="28"/>
      <c r="U28061" s="28"/>
    </row>
    <row r="28062">
      <c r="N28062" s="28"/>
      <c r="O28062" s="28"/>
      <c r="U28062" s="28"/>
    </row>
    <row r="28063">
      <c r="N28063" s="28"/>
      <c r="O28063" s="28"/>
      <c r="U28063" s="28"/>
    </row>
    <row r="28064">
      <c r="N28064" s="28"/>
      <c r="O28064" s="28"/>
      <c r="U28064" s="28"/>
    </row>
    <row r="28065">
      <c r="N28065" s="28"/>
      <c r="O28065" s="28"/>
      <c r="U28065" s="28"/>
    </row>
    <row r="28066">
      <c r="N28066" s="28"/>
      <c r="O28066" s="28"/>
      <c r="U28066" s="28"/>
    </row>
    <row r="28067">
      <c r="N28067" s="28"/>
      <c r="O28067" s="28"/>
      <c r="U28067" s="28"/>
    </row>
    <row r="28068">
      <c r="N28068" s="28"/>
      <c r="O28068" s="28"/>
      <c r="U28068" s="28"/>
    </row>
    <row r="28069">
      <c r="N28069" s="28"/>
      <c r="O28069" s="28"/>
      <c r="U28069" s="28"/>
    </row>
    <row r="28070">
      <c r="N28070" s="28"/>
      <c r="O28070" s="28"/>
      <c r="U28070" s="28"/>
    </row>
    <row r="28071">
      <c r="N28071" s="28"/>
      <c r="O28071" s="28"/>
      <c r="U28071" s="28"/>
    </row>
    <row r="28072">
      <c r="N28072" s="28"/>
      <c r="O28072" s="28"/>
      <c r="U28072" s="28"/>
    </row>
    <row r="28073">
      <c r="N28073" s="28"/>
      <c r="O28073" s="28"/>
      <c r="U28073" s="28"/>
    </row>
    <row r="28074">
      <c r="N28074" s="28"/>
      <c r="O28074" s="28"/>
      <c r="U28074" s="28"/>
    </row>
    <row r="28075">
      <c r="N28075" s="28"/>
      <c r="O28075" s="28"/>
      <c r="U28075" s="28"/>
    </row>
    <row r="28076">
      <c r="N28076" s="28"/>
      <c r="O28076" s="28"/>
      <c r="U28076" s="28"/>
    </row>
    <row r="28077">
      <c r="N28077" s="28"/>
      <c r="O28077" s="28"/>
      <c r="U28077" s="28"/>
    </row>
    <row r="28078">
      <c r="N28078" s="28"/>
      <c r="O28078" s="28"/>
      <c r="U28078" s="28"/>
    </row>
    <row r="28079">
      <c r="N28079" s="28"/>
      <c r="O28079" s="28"/>
      <c r="U28079" s="28"/>
    </row>
    <row r="28080">
      <c r="N28080" s="28"/>
      <c r="O28080" s="28"/>
      <c r="U28080" s="28"/>
    </row>
    <row r="28081">
      <c r="N28081" s="28"/>
      <c r="O28081" s="28"/>
      <c r="U28081" s="28"/>
    </row>
    <row r="28082">
      <c r="N28082" s="28"/>
      <c r="O28082" s="28"/>
      <c r="U28082" s="28"/>
    </row>
    <row r="28083">
      <c r="N28083" s="28"/>
      <c r="O28083" s="28"/>
      <c r="U28083" s="28"/>
    </row>
    <row r="28084">
      <c r="N28084" s="28"/>
      <c r="O28084" s="28"/>
      <c r="U28084" s="28"/>
    </row>
    <row r="28085">
      <c r="N28085" s="28"/>
      <c r="O28085" s="28"/>
      <c r="U28085" s="28"/>
    </row>
    <row r="28086">
      <c r="N28086" s="28"/>
      <c r="O28086" s="28"/>
      <c r="U28086" s="28"/>
    </row>
    <row r="28087">
      <c r="N28087" s="28"/>
      <c r="O28087" s="28"/>
      <c r="U28087" s="28"/>
    </row>
    <row r="28088">
      <c r="N28088" s="28"/>
      <c r="O28088" s="28"/>
      <c r="U28088" s="28"/>
    </row>
    <row r="28089">
      <c r="N28089" s="28"/>
      <c r="O28089" s="28"/>
      <c r="U28089" s="28"/>
    </row>
    <row r="28090">
      <c r="N28090" s="28"/>
      <c r="O28090" s="28"/>
      <c r="U28090" s="28"/>
    </row>
    <row r="28091">
      <c r="N28091" s="28"/>
      <c r="O28091" s="28"/>
      <c r="U28091" s="28"/>
    </row>
    <row r="28092">
      <c r="N28092" s="28"/>
      <c r="O28092" s="28"/>
      <c r="U28092" s="28"/>
    </row>
    <row r="28093">
      <c r="N28093" s="28"/>
      <c r="O28093" s="28"/>
      <c r="U28093" s="28"/>
    </row>
    <row r="28094">
      <c r="N28094" s="28"/>
      <c r="O28094" s="28"/>
      <c r="U28094" s="28"/>
    </row>
    <row r="28095">
      <c r="N28095" s="28"/>
      <c r="O28095" s="28"/>
      <c r="U28095" s="28"/>
    </row>
    <row r="28096">
      <c r="N28096" s="28"/>
      <c r="O28096" s="28"/>
      <c r="U28096" s="28"/>
    </row>
    <row r="28097">
      <c r="N28097" s="28"/>
      <c r="O28097" s="28"/>
      <c r="U28097" s="28"/>
    </row>
    <row r="28098">
      <c r="N28098" s="28"/>
      <c r="O28098" s="28"/>
      <c r="U28098" s="28"/>
    </row>
    <row r="28099">
      <c r="N28099" s="28"/>
      <c r="O28099" s="28"/>
      <c r="U28099" s="28"/>
    </row>
    <row r="28100">
      <c r="N28100" s="28"/>
      <c r="O28100" s="28"/>
      <c r="U28100" s="28"/>
    </row>
    <row r="28101">
      <c r="N28101" s="28"/>
      <c r="O28101" s="28"/>
      <c r="U28101" s="28"/>
    </row>
    <row r="28102">
      <c r="N28102" s="28"/>
      <c r="O28102" s="28"/>
      <c r="U28102" s="28"/>
    </row>
    <row r="28103">
      <c r="N28103" s="28"/>
      <c r="O28103" s="28"/>
      <c r="U28103" s="28"/>
    </row>
    <row r="28104">
      <c r="N28104" s="28"/>
      <c r="O28104" s="28"/>
      <c r="U28104" s="28"/>
    </row>
    <row r="28105">
      <c r="N28105" s="28"/>
      <c r="O28105" s="28"/>
      <c r="U28105" s="28"/>
    </row>
    <row r="28106">
      <c r="N28106" s="28"/>
      <c r="O28106" s="28"/>
      <c r="U28106" s="28"/>
    </row>
    <row r="28107">
      <c r="N28107" s="28"/>
      <c r="O28107" s="28"/>
      <c r="U28107" s="28"/>
    </row>
    <row r="28108">
      <c r="N28108" s="28"/>
      <c r="O28108" s="28"/>
      <c r="U28108" s="28"/>
    </row>
    <row r="28109">
      <c r="N28109" s="28"/>
      <c r="O28109" s="28"/>
      <c r="U28109" s="28"/>
    </row>
    <row r="28110">
      <c r="N28110" s="28"/>
      <c r="O28110" s="28"/>
      <c r="U28110" s="28"/>
    </row>
    <row r="28111">
      <c r="N28111" s="28"/>
      <c r="O28111" s="28"/>
      <c r="U28111" s="28"/>
    </row>
    <row r="28112">
      <c r="N28112" s="28"/>
      <c r="O28112" s="28"/>
      <c r="U28112" s="28"/>
    </row>
    <row r="28113">
      <c r="N28113" s="28"/>
      <c r="O28113" s="28"/>
      <c r="U28113" s="28"/>
    </row>
    <row r="28114">
      <c r="N28114" s="28"/>
      <c r="O28114" s="28"/>
      <c r="U28114" s="28"/>
    </row>
    <row r="28115">
      <c r="N28115" s="28"/>
      <c r="O28115" s="28"/>
      <c r="U28115" s="28"/>
    </row>
    <row r="28116">
      <c r="N28116" s="28"/>
      <c r="O28116" s="28"/>
      <c r="U28116" s="28"/>
    </row>
    <row r="28117">
      <c r="N28117" s="28"/>
      <c r="O28117" s="28"/>
      <c r="U28117" s="28"/>
    </row>
    <row r="28118">
      <c r="N28118" s="28"/>
      <c r="O28118" s="28"/>
      <c r="U28118" s="28"/>
    </row>
    <row r="28119">
      <c r="N28119" s="28"/>
      <c r="O28119" s="28"/>
      <c r="U28119" s="28"/>
    </row>
    <row r="28120">
      <c r="N28120" s="28"/>
      <c r="O28120" s="28"/>
      <c r="U28120" s="28"/>
    </row>
    <row r="28121">
      <c r="N28121" s="28"/>
      <c r="O28121" s="28"/>
      <c r="U28121" s="28"/>
    </row>
    <row r="28122">
      <c r="N28122" s="28"/>
      <c r="O28122" s="28"/>
      <c r="U28122" s="28"/>
    </row>
    <row r="28123">
      <c r="N28123" s="28"/>
      <c r="O28123" s="28"/>
      <c r="U28123" s="28"/>
    </row>
    <row r="28124">
      <c r="N28124" s="28"/>
      <c r="O28124" s="28"/>
      <c r="U28124" s="28"/>
    </row>
    <row r="28125">
      <c r="N28125" s="28"/>
      <c r="O28125" s="28"/>
      <c r="U28125" s="28"/>
    </row>
    <row r="28126">
      <c r="N28126" s="28"/>
      <c r="O28126" s="28"/>
      <c r="U28126" s="28"/>
    </row>
    <row r="28127">
      <c r="N28127" s="28"/>
      <c r="O28127" s="28"/>
      <c r="U28127" s="28"/>
    </row>
    <row r="28128">
      <c r="N28128" s="28"/>
      <c r="O28128" s="28"/>
      <c r="U28128" s="28"/>
    </row>
    <row r="28129">
      <c r="N28129" s="28"/>
      <c r="O28129" s="28"/>
      <c r="U28129" s="28"/>
    </row>
    <row r="28130">
      <c r="N28130" s="28"/>
      <c r="O28130" s="28"/>
      <c r="U28130" s="28"/>
    </row>
    <row r="28131">
      <c r="N28131" s="28"/>
      <c r="O28131" s="28"/>
      <c r="U28131" s="28"/>
    </row>
    <row r="28132">
      <c r="N28132" s="28"/>
      <c r="O28132" s="28"/>
      <c r="U28132" s="28"/>
    </row>
    <row r="28133">
      <c r="N28133" s="28"/>
      <c r="O28133" s="28"/>
      <c r="U28133" s="28"/>
    </row>
    <row r="28134">
      <c r="N28134" s="28"/>
      <c r="O28134" s="28"/>
      <c r="U28134" s="28"/>
    </row>
    <row r="28135">
      <c r="N28135" s="28"/>
      <c r="O28135" s="28"/>
      <c r="U28135" s="28"/>
    </row>
    <row r="28136">
      <c r="N28136" s="28"/>
      <c r="O28136" s="28"/>
      <c r="U28136" s="28"/>
    </row>
    <row r="28137">
      <c r="N28137" s="28"/>
      <c r="O28137" s="28"/>
      <c r="U28137" s="28"/>
    </row>
    <row r="28138">
      <c r="N28138" s="28"/>
      <c r="O28138" s="28"/>
      <c r="U28138" s="28"/>
    </row>
    <row r="28139">
      <c r="N28139" s="28"/>
      <c r="O28139" s="28"/>
      <c r="U28139" s="28"/>
    </row>
    <row r="28140">
      <c r="N28140" s="28"/>
      <c r="O28140" s="28"/>
      <c r="U28140" s="28"/>
    </row>
    <row r="28141">
      <c r="N28141" s="28"/>
      <c r="O28141" s="28"/>
      <c r="U28141" s="28"/>
    </row>
    <row r="28142">
      <c r="N28142" s="28"/>
      <c r="O28142" s="28"/>
      <c r="U28142" s="28"/>
    </row>
    <row r="28143">
      <c r="N28143" s="28"/>
      <c r="O28143" s="28"/>
      <c r="U28143" s="28"/>
    </row>
    <row r="28144">
      <c r="N28144" s="28"/>
      <c r="O28144" s="28"/>
      <c r="U28144" s="28"/>
    </row>
    <row r="28145">
      <c r="N28145" s="28"/>
      <c r="O28145" s="28"/>
      <c r="U28145" s="28"/>
    </row>
    <row r="28146">
      <c r="N28146" s="28"/>
      <c r="O28146" s="28"/>
      <c r="U28146" s="28"/>
    </row>
    <row r="28147">
      <c r="N28147" s="28"/>
      <c r="O28147" s="28"/>
      <c r="U28147" s="28"/>
    </row>
    <row r="28148">
      <c r="N28148" s="28"/>
      <c r="O28148" s="28"/>
      <c r="U28148" s="28"/>
    </row>
    <row r="28149">
      <c r="N28149" s="28"/>
      <c r="O28149" s="28"/>
      <c r="U28149" s="28"/>
    </row>
    <row r="28150">
      <c r="N28150" s="28"/>
      <c r="O28150" s="28"/>
      <c r="U28150" s="28"/>
    </row>
    <row r="28151">
      <c r="N28151" s="28"/>
      <c r="O28151" s="28"/>
      <c r="U28151" s="28"/>
    </row>
    <row r="28152">
      <c r="N28152" s="28"/>
      <c r="O28152" s="28"/>
      <c r="U28152" s="28"/>
    </row>
    <row r="28153">
      <c r="N28153" s="28"/>
      <c r="O28153" s="28"/>
      <c r="U28153" s="28"/>
    </row>
    <row r="28154">
      <c r="N28154" s="28"/>
      <c r="O28154" s="28"/>
      <c r="U28154" s="28"/>
    </row>
    <row r="28155">
      <c r="N28155" s="28"/>
      <c r="O28155" s="28"/>
      <c r="U28155" s="28"/>
    </row>
    <row r="28156">
      <c r="N28156" s="28"/>
      <c r="O28156" s="28"/>
      <c r="U28156" s="28"/>
    </row>
    <row r="28157">
      <c r="N28157" s="28"/>
      <c r="O28157" s="28"/>
      <c r="U28157" s="28"/>
    </row>
    <row r="28158">
      <c r="N28158" s="28"/>
      <c r="O28158" s="28"/>
      <c r="U28158" s="28"/>
    </row>
    <row r="28159">
      <c r="N28159" s="28"/>
      <c r="O28159" s="28"/>
      <c r="U28159" s="28"/>
    </row>
    <row r="28160">
      <c r="N28160" s="28"/>
      <c r="O28160" s="28"/>
      <c r="U28160" s="28"/>
    </row>
    <row r="28161">
      <c r="N28161" s="28"/>
      <c r="O28161" s="28"/>
      <c r="U28161" s="28"/>
    </row>
    <row r="28162">
      <c r="N28162" s="28"/>
      <c r="O28162" s="28"/>
      <c r="U28162" s="28"/>
    </row>
    <row r="28163">
      <c r="N28163" s="28"/>
      <c r="O28163" s="28"/>
      <c r="U28163" s="28"/>
    </row>
    <row r="28164">
      <c r="N28164" s="28"/>
      <c r="O28164" s="28"/>
      <c r="U28164" s="28"/>
    </row>
    <row r="28165">
      <c r="N28165" s="28"/>
      <c r="O28165" s="28"/>
      <c r="U28165" s="28"/>
    </row>
    <row r="28166">
      <c r="N28166" s="28"/>
      <c r="O28166" s="28"/>
      <c r="U28166" s="28"/>
    </row>
    <row r="28167">
      <c r="N28167" s="28"/>
      <c r="O28167" s="28"/>
      <c r="U28167" s="28"/>
    </row>
    <row r="28168">
      <c r="N28168" s="28"/>
      <c r="O28168" s="28"/>
      <c r="U28168" s="28"/>
    </row>
    <row r="28169">
      <c r="N28169" s="28"/>
      <c r="O28169" s="28"/>
      <c r="U28169" s="28"/>
    </row>
    <row r="28170">
      <c r="N28170" s="28"/>
      <c r="O28170" s="28"/>
      <c r="U28170" s="28"/>
    </row>
    <row r="28171">
      <c r="N28171" s="28"/>
      <c r="O28171" s="28"/>
      <c r="U28171" s="28"/>
    </row>
    <row r="28172">
      <c r="N28172" s="28"/>
      <c r="O28172" s="28"/>
      <c r="U28172" s="28"/>
    </row>
    <row r="28173">
      <c r="N28173" s="28"/>
      <c r="O28173" s="28"/>
      <c r="U28173" s="28"/>
    </row>
    <row r="28174">
      <c r="N28174" s="28"/>
      <c r="O28174" s="28"/>
      <c r="U28174" s="28"/>
    </row>
    <row r="28175">
      <c r="N28175" s="28"/>
      <c r="O28175" s="28"/>
      <c r="U28175" s="28"/>
    </row>
    <row r="28176">
      <c r="N28176" s="28"/>
      <c r="O28176" s="28"/>
      <c r="U28176" s="28"/>
    </row>
    <row r="28177">
      <c r="N28177" s="28"/>
      <c r="O28177" s="28"/>
      <c r="U28177" s="28"/>
    </row>
    <row r="28178">
      <c r="N28178" s="28"/>
      <c r="O28178" s="28"/>
      <c r="U28178" s="28"/>
    </row>
    <row r="28179">
      <c r="N28179" s="28"/>
      <c r="O28179" s="28"/>
      <c r="U28179" s="28"/>
    </row>
    <row r="28180">
      <c r="N28180" s="28"/>
      <c r="O28180" s="28"/>
      <c r="U28180" s="28"/>
    </row>
    <row r="28181">
      <c r="N28181" s="28"/>
      <c r="O28181" s="28"/>
      <c r="U28181" s="28"/>
    </row>
    <row r="28182">
      <c r="N28182" s="28"/>
      <c r="O28182" s="28"/>
      <c r="U28182" s="28"/>
    </row>
    <row r="28183">
      <c r="N28183" s="28"/>
      <c r="O28183" s="28"/>
      <c r="U28183" s="28"/>
    </row>
    <row r="28184">
      <c r="N28184" s="28"/>
      <c r="O28184" s="28"/>
      <c r="U28184" s="28"/>
    </row>
    <row r="28185">
      <c r="N28185" s="28"/>
      <c r="O28185" s="28"/>
      <c r="U28185" s="28"/>
    </row>
    <row r="28186">
      <c r="N28186" s="28"/>
      <c r="O28186" s="28"/>
      <c r="U28186" s="28"/>
    </row>
    <row r="28187">
      <c r="N28187" s="28"/>
      <c r="O28187" s="28"/>
      <c r="U28187" s="28"/>
    </row>
    <row r="28188">
      <c r="N28188" s="28"/>
      <c r="O28188" s="28"/>
      <c r="U28188" s="28"/>
    </row>
    <row r="28189">
      <c r="N28189" s="28"/>
      <c r="O28189" s="28"/>
      <c r="U28189" s="28"/>
    </row>
    <row r="28190">
      <c r="N28190" s="28"/>
      <c r="O28190" s="28"/>
      <c r="U28190" s="28"/>
    </row>
    <row r="28191">
      <c r="N28191" s="28"/>
      <c r="O28191" s="28"/>
      <c r="U28191" s="28"/>
    </row>
    <row r="28192">
      <c r="N28192" s="28"/>
      <c r="O28192" s="28"/>
      <c r="U28192" s="28"/>
    </row>
    <row r="28193">
      <c r="N28193" s="28"/>
      <c r="O28193" s="28"/>
      <c r="U28193" s="28"/>
    </row>
    <row r="28194">
      <c r="N28194" s="28"/>
      <c r="O28194" s="28"/>
      <c r="U28194" s="28"/>
    </row>
    <row r="28195">
      <c r="N28195" s="28"/>
      <c r="O28195" s="28"/>
      <c r="U28195" s="28"/>
    </row>
    <row r="28196">
      <c r="N28196" s="28"/>
      <c r="O28196" s="28"/>
      <c r="U28196" s="28"/>
    </row>
    <row r="28197">
      <c r="N28197" s="28"/>
      <c r="O28197" s="28"/>
      <c r="U28197" s="28"/>
    </row>
    <row r="28198">
      <c r="N28198" s="28"/>
      <c r="O28198" s="28"/>
      <c r="U28198" s="28"/>
    </row>
    <row r="28199">
      <c r="N28199" s="28"/>
      <c r="O28199" s="28"/>
      <c r="U28199" s="28"/>
    </row>
    <row r="28200">
      <c r="N28200" s="28"/>
      <c r="O28200" s="28"/>
      <c r="U28200" s="28"/>
    </row>
    <row r="28201">
      <c r="N28201" s="28"/>
      <c r="O28201" s="28"/>
      <c r="U28201" s="28"/>
    </row>
    <row r="28202">
      <c r="N28202" s="28"/>
      <c r="O28202" s="28"/>
      <c r="U28202" s="28"/>
    </row>
    <row r="28203">
      <c r="N28203" s="28"/>
      <c r="O28203" s="28"/>
      <c r="U28203" s="28"/>
    </row>
    <row r="28204">
      <c r="N28204" s="28"/>
      <c r="O28204" s="28"/>
      <c r="U28204" s="28"/>
    </row>
    <row r="28205">
      <c r="N28205" s="28"/>
      <c r="O28205" s="28"/>
      <c r="U28205" s="28"/>
    </row>
    <row r="28206">
      <c r="N28206" s="28"/>
      <c r="O28206" s="28"/>
      <c r="U28206" s="28"/>
    </row>
    <row r="28207">
      <c r="N28207" s="28"/>
      <c r="O28207" s="28"/>
      <c r="U28207" s="28"/>
    </row>
    <row r="28208">
      <c r="N28208" s="28"/>
      <c r="O28208" s="28"/>
      <c r="U28208" s="28"/>
    </row>
    <row r="28209">
      <c r="N28209" s="28"/>
      <c r="O28209" s="28"/>
      <c r="U28209" s="28"/>
    </row>
    <row r="28210">
      <c r="N28210" s="28"/>
      <c r="O28210" s="28"/>
      <c r="U28210" s="28"/>
    </row>
    <row r="28211">
      <c r="N28211" s="28"/>
      <c r="O28211" s="28"/>
      <c r="U28211" s="28"/>
    </row>
    <row r="28212">
      <c r="N28212" s="28"/>
      <c r="O28212" s="28"/>
      <c r="U28212" s="28"/>
    </row>
    <row r="28213">
      <c r="N28213" s="28"/>
      <c r="O28213" s="28"/>
      <c r="U28213" s="28"/>
    </row>
    <row r="28214">
      <c r="N28214" s="28"/>
      <c r="O28214" s="28"/>
      <c r="U28214" s="28"/>
    </row>
    <row r="28215">
      <c r="N28215" s="28"/>
      <c r="O28215" s="28"/>
      <c r="U28215" s="28"/>
    </row>
    <row r="28216">
      <c r="N28216" s="28"/>
      <c r="O28216" s="28"/>
      <c r="U28216" s="28"/>
    </row>
    <row r="28217">
      <c r="N28217" s="28"/>
      <c r="O28217" s="28"/>
      <c r="U28217" s="28"/>
    </row>
    <row r="28218">
      <c r="N28218" s="28"/>
      <c r="O28218" s="28"/>
      <c r="U28218" s="28"/>
    </row>
    <row r="28219">
      <c r="N28219" s="28"/>
      <c r="O28219" s="28"/>
      <c r="U28219" s="28"/>
    </row>
    <row r="28220">
      <c r="N28220" s="28"/>
      <c r="O28220" s="28"/>
      <c r="U28220" s="28"/>
    </row>
    <row r="28221">
      <c r="N28221" s="28"/>
      <c r="O28221" s="28"/>
      <c r="U28221" s="28"/>
    </row>
    <row r="28222">
      <c r="N28222" s="28"/>
      <c r="O28222" s="28"/>
      <c r="U28222" s="28"/>
    </row>
    <row r="28223">
      <c r="N28223" s="28"/>
      <c r="O28223" s="28"/>
      <c r="U28223" s="28"/>
    </row>
    <row r="28224">
      <c r="N28224" s="28"/>
      <c r="O28224" s="28"/>
      <c r="U28224" s="28"/>
    </row>
    <row r="28225">
      <c r="N28225" s="28"/>
      <c r="O28225" s="28"/>
      <c r="U28225" s="28"/>
    </row>
    <row r="28226">
      <c r="N28226" s="28"/>
      <c r="O28226" s="28"/>
      <c r="U28226" s="28"/>
    </row>
    <row r="28227">
      <c r="N28227" s="28"/>
      <c r="O28227" s="28"/>
      <c r="U28227" s="28"/>
    </row>
    <row r="28228">
      <c r="N28228" s="28"/>
      <c r="O28228" s="28"/>
      <c r="U28228" s="28"/>
    </row>
    <row r="28229">
      <c r="N28229" s="28"/>
      <c r="O28229" s="28"/>
      <c r="U28229" s="28"/>
    </row>
    <row r="28230">
      <c r="N28230" s="28"/>
      <c r="O28230" s="28"/>
      <c r="U28230" s="28"/>
    </row>
    <row r="28231">
      <c r="N28231" s="28"/>
      <c r="O28231" s="28"/>
      <c r="U28231" s="28"/>
    </row>
    <row r="28232">
      <c r="N28232" s="28"/>
      <c r="O28232" s="28"/>
      <c r="U28232" s="28"/>
    </row>
    <row r="28233">
      <c r="N28233" s="28"/>
      <c r="O28233" s="28"/>
      <c r="U28233" s="28"/>
    </row>
    <row r="28234">
      <c r="N28234" s="28"/>
      <c r="O28234" s="28"/>
      <c r="U28234" s="28"/>
    </row>
    <row r="28235">
      <c r="N28235" s="28"/>
      <c r="O28235" s="28"/>
      <c r="U28235" s="28"/>
    </row>
    <row r="28236">
      <c r="N28236" s="28"/>
      <c r="O28236" s="28"/>
      <c r="U28236" s="28"/>
    </row>
    <row r="28237">
      <c r="N28237" s="28"/>
      <c r="O28237" s="28"/>
      <c r="U28237" s="28"/>
    </row>
    <row r="28238">
      <c r="N28238" s="28"/>
      <c r="O28238" s="28"/>
      <c r="U28238" s="28"/>
    </row>
    <row r="28239">
      <c r="N28239" s="28"/>
      <c r="O28239" s="28"/>
      <c r="U28239" s="28"/>
    </row>
    <row r="28240">
      <c r="N28240" s="28"/>
      <c r="O28240" s="28"/>
      <c r="U28240" s="28"/>
    </row>
    <row r="28241">
      <c r="N28241" s="28"/>
      <c r="O28241" s="28"/>
      <c r="U28241" s="28"/>
    </row>
    <row r="28242">
      <c r="N28242" s="28"/>
      <c r="O28242" s="28"/>
      <c r="U28242" s="28"/>
    </row>
    <row r="28243">
      <c r="N28243" s="28"/>
      <c r="O28243" s="28"/>
      <c r="U28243" s="28"/>
    </row>
    <row r="28244">
      <c r="N28244" s="28"/>
      <c r="O28244" s="28"/>
      <c r="U28244" s="28"/>
    </row>
    <row r="28245">
      <c r="N28245" s="28"/>
      <c r="O28245" s="28"/>
      <c r="U28245" s="28"/>
    </row>
    <row r="28246">
      <c r="N28246" s="28"/>
      <c r="O28246" s="28"/>
      <c r="U28246" s="28"/>
    </row>
    <row r="28247">
      <c r="N28247" s="28"/>
      <c r="O28247" s="28"/>
      <c r="U28247" s="28"/>
    </row>
    <row r="28248">
      <c r="N28248" s="28"/>
      <c r="O28248" s="28"/>
      <c r="U28248" s="28"/>
    </row>
    <row r="28249">
      <c r="N28249" s="28"/>
      <c r="O28249" s="28"/>
      <c r="U28249" s="28"/>
    </row>
    <row r="28250">
      <c r="N28250" s="28"/>
      <c r="O28250" s="28"/>
      <c r="U28250" s="28"/>
    </row>
    <row r="28251">
      <c r="N28251" s="28"/>
      <c r="O28251" s="28"/>
      <c r="U28251" s="28"/>
    </row>
    <row r="28252">
      <c r="N28252" s="28"/>
      <c r="O28252" s="28"/>
      <c r="U28252" s="28"/>
    </row>
    <row r="28253">
      <c r="N28253" s="28"/>
      <c r="O28253" s="28"/>
      <c r="U28253" s="28"/>
    </row>
    <row r="28254">
      <c r="N28254" s="28"/>
      <c r="O28254" s="28"/>
      <c r="U28254" s="28"/>
    </row>
    <row r="28255">
      <c r="N28255" s="28"/>
      <c r="O28255" s="28"/>
      <c r="U28255" s="28"/>
    </row>
    <row r="28256">
      <c r="N28256" s="28"/>
      <c r="O28256" s="28"/>
      <c r="U28256" s="28"/>
    </row>
    <row r="28257">
      <c r="N28257" s="28"/>
      <c r="O28257" s="28"/>
      <c r="U28257" s="28"/>
    </row>
    <row r="28258">
      <c r="N28258" s="28"/>
      <c r="O28258" s="28"/>
      <c r="U28258" s="28"/>
    </row>
    <row r="28259">
      <c r="N28259" s="28"/>
      <c r="O28259" s="28"/>
      <c r="U28259" s="28"/>
    </row>
    <row r="28260">
      <c r="N28260" s="28"/>
      <c r="O28260" s="28"/>
      <c r="U28260" s="28"/>
    </row>
    <row r="28261">
      <c r="N28261" s="28"/>
      <c r="O28261" s="28"/>
      <c r="U28261" s="28"/>
    </row>
    <row r="28262">
      <c r="N28262" s="28"/>
      <c r="O28262" s="28"/>
      <c r="U28262" s="28"/>
    </row>
    <row r="28263">
      <c r="N28263" s="28"/>
      <c r="O28263" s="28"/>
      <c r="U28263" s="28"/>
    </row>
    <row r="28264">
      <c r="N28264" s="28"/>
      <c r="O28264" s="28"/>
      <c r="U28264" s="28"/>
    </row>
    <row r="28265">
      <c r="N28265" s="28"/>
      <c r="O28265" s="28"/>
      <c r="U28265" s="28"/>
    </row>
    <row r="28266">
      <c r="N28266" s="28"/>
      <c r="O28266" s="28"/>
      <c r="U28266" s="28"/>
    </row>
    <row r="28267">
      <c r="N28267" s="28"/>
      <c r="O28267" s="28"/>
      <c r="U28267" s="28"/>
    </row>
    <row r="28268">
      <c r="N28268" s="28"/>
      <c r="O28268" s="28"/>
      <c r="U28268" s="28"/>
    </row>
    <row r="28269">
      <c r="N28269" s="28"/>
      <c r="O28269" s="28"/>
      <c r="U28269" s="28"/>
    </row>
    <row r="28270">
      <c r="N28270" s="28"/>
      <c r="O28270" s="28"/>
      <c r="U28270" s="28"/>
    </row>
    <row r="28271">
      <c r="N28271" s="28"/>
      <c r="O28271" s="28"/>
      <c r="U28271" s="28"/>
    </row>
    <row r="28272">
      <c r="N28272" s="28"/>
      <c r="O28272" s="28"/>
      <c r="U28272" s="28"/>
    </row>
    <row r="28273">
      <c r="N28273" s="28"/>
      <c r="O28273" s="28"/>
      <c r="U28273" s="28"/>
    </row>
    <row r="28274">
      <c r="N28274" s="28"/>
      <c r="O28274" s="28"/>
      <c r="U28274" s="28"/>
    </row>
    <row r="28275">
      <c r="N28275" s="28"/>
      <c r="O28275" s="28"/>
      <c r="U28275" s="28"/>
    </row>
    <row r="28276">
      <c r="N28276" s="28"/>
      <c r="O28276" s="28"/>
      <c r="U28276" s="28"/>
    </row>
    <row r="28277">
      <c r="N28277" s="28"/>
      <c r="O28277" s="28"/>
      <c r="U28277" s="28"/>
    </row>
    <row r="28278">
      <c r="N28278" s="28"/>
      <c r="O28278" s="28"/>
      <c r="U28278" s="28"/>
    </row>
    <row r="28279">
      <c r="N28279" s="28"/>
      <c r="O28279" s="28"/>
      <c r="U28279" s="28"/>
    </row>
    <row r="28280">
      <c r="N28280" s="28"/>
      <c r="O28280" s="28"/>
      <c r="U28280" s="28"/>
    </row>
    <row r="28281">
      <c r="N28281" s="28"/>
      <c r="O28281" s="28"/>
      <c r="U28281" s="28"/>
    </row>
    <row r="28282">
      <c r="N28282" s="28"/>
      <c r="O28282" s="28"/>
      <c r="U28282" s="28"/>
    </row>
    <row r="28283">
      <c r="N28283" s="28"/>
      <c r="O28283" s="28"/>
      <c r="U28283" s="28"/>
    </row>
    <row r="28284">
      <c r="N28284" s="28"/>
      <c r="O28284" s="28"/>
      <c r="U28284" s="28"/>
    </row>
    <row r="28285">
      <c r="N28285" s="28"/>
      <c r="O28285" s="28"/>
      <c r="U28285" s="28"/>
    </row>
    <row r="28286">
      <c r="N28286" s="28"/>
      <c r="O28286" s="28"/>
      <c r="U28286" s="28"/>
    </row>
    <row r="28287">
      <c r="N28287" s="28"/>
      <c r="O28287" s="28"/>
      <c r="U28287" s="28"/>
    </row>
    <row r="28288">
      <c r="N28288" s="28"/>
      <c r="O28288" s="28"/>
      <c r="U28288" s="28"/>
    </row>
    <row r="28289">
      <c r="N28289" s="28"/>
      <c r="O28289" s="28"/>
      <c r="U28289" s="28"/>
    </row>
    <row r="28290">
      <c r="N28290" s="28"/>
      <c r="O28290" s="28"/>
      <c r="U28290" s="28"/>
    </row>
    <row r="28291">
      <c r="N28291" s="28"/>
      <c r="O28291" s="28"/>
      <c r="U28291" s="28"/>
    </row>
    <row r="28292">
      <c r="N28292" s="28"/>
      <c r="O28292" s="28"/>
      <c r="U28292" s="28"/>
    </row>
    <row r="28293">
      <c r="N28293" s="28"/>
      <c r="O28293" s="28"/>
      <c r="U28293" s="28"/>
    </row>
    <row r="28294">
      <c r="N28294" s="28"/>
      <c r="O28294" s="28"/>
      <c r="U28294" s="28"/>
    </row>
    <row r="28295">
      <c r="N28295" s="28"/>
      <c r="O28295" s="28"/>
      <c r="U28295" s="28"/>
    </row>
    <row r="28296">
      <c r="N28296" s="28"/>
      <c r="O28296" s="28"/>
      <c r="U28296" s="28"/>
    </row>
    <row r="28297">
      <c r="N28297" s="28"/>
      <c r="O28297" s="28"/>
      <c r="U28297" s="28"/>
    </row>
    <row r="28298">
      <c r="N28298" s="28"/>
      <c r="O28298" s="28"/>
      <c r="U28298" s="28"/>
    </row>
    <row r="28299">
      <c r="N28299" s="28"/>
      <c r="O28299" s="28"/>
      <c r="U28299" s="28"/>
    </row>
    <row r="28300">
      <c r="N28300" s="28"/>
      <c r="O28300" s="28"/>
      <c r="U28300" s="28"/>
    </row>
    <row r="28301">
      <c r="N28301" s="28"/>
      <c r="O28301" s="28"/>
      <c r="U28301" s="28"/>
    </row>
    <row r="28302">
      <c r="N28302" s="28"/>
      <c r="O28302" s="28"/>
      <c r="U28302" s="28"/>
    </row>
    <row r="28303">
      <c r="N28303" s="28"/>
      <c r="O28303" s="28"/>
      <c r="U28303" s="28"/>
    </row>
    <row r="28304">
      <c r="N28304" s="28"/>
      <c r="O28304" s="28"/>
      <c r="U28304" s="28"/>
    </row>
    <row r="28305">
      <c r="N28305" s="28"/>
      <c r="O28305" s="28"/>
      <c r="U28305" s="28"/>
    </row>
    <row r="28306">
      <c r="N28306" s="28"/>
      <c r="O28306" s="28"/>
      <c r="U28306" s="28"/>
    </row>
    <row r="28307">
      <c r="N28307" s="28"/>
      <c r="O28307" s="28"/>
      <c r="U28307" s="28"/>
    </row>
    <row r="28308">
      <c r="N28308" s="28"/>
      <c r="O28308" s="28"/>
      <c r="U28308" s="28"/>
    </row>
    <row r="28309">
      <c r="N28309" s="28"/>
      <c r="O28309" s="28"/>
      <c r="U28309" s="28"/>
    </row>
    <row r="28310">
      <c r="N28310" s="28"/>
      <c r="O28310" s="28"/>
      <c r="U28310" s="28"/>
    </row>
    <row r="28311">
      <c r="N28311" s="28"/>
      <c r="O28311" s="28"/>
      <c r="U28311" s="28"/>
    </row>
    <row r="28312">
      <c r="N28312" s="28"/>
      <c r="O28312" s="28"/>
      <c r="U28312" s="28"/>
    </row>
    <row r="28313">
      <c r="N28313" s="28"/>
      <c r="O28313" s="28"/>
      <c r="U28313" s="28"/>
    </row>
    <row r="28314">
      <c r="N28314" s="28"/>
      <c r="O28314" s="28"/>
      <c r="U28314" s="28"/>
    </row>
    <row r="28315">
      <c r="N28315" s="28"/>
      <c r="O28315" s="28"/>
      <c r="U28315" s="28"/>
    </row>
    <row r="28316">
      <c r="N28316" s="28"/>
      <c r="O28316" s="28"/>
      <c r="U28316" s="28"/>
    </row>
    <row r="28317">
      <c r="N28317" s="28"/>
      <c r="O28317" s="28"/>
      <c r="U28317" s="28"/>
    </row>
    <row r="28318">
      <c r="N28318" s="28"/>
      <c r="O28318" s="28"/>
      <c r="U28318" s="28"/>
    </row>
    <row r="28319">
      <c r="N28319" s="28"/>
      <c r="O28319" s="28"/>
      <c r="U28319" s="28"/>
    </row>
    <row r="28320">
      <c r="N28320" s="28"/>
      <c r="O28320" s="28"/>
      <c r="U28320" s="28"/>
    </row>
    <row r="28321">
      <c r="N28321" s="28"/>
      <c r="O28321" s="28"/>
      <c r="U28321" s="28"/>
    </row>
    <row r="28322">
      <c r="N28322" s="28"/>
      <c r="O28322" s="28"/>
      <c r="U28322" s="28"/>
    </row>
    <row r="28323">
      <c r="N28323" s="28"/>
      <c r="O28323" s="28"/>
      <c r="U28323" s="28"/>
    </row>
    <row r="28324">
      <c r="N28324" s="28"/>
      <c r="O28324" s="28"/>
      <c r="U28324" s="28"/>
    </row>
    <row r="28325">
      <c r="N28325" s="28"/>
      <c r="O28325" s="28"/>
      <c r="U28325" s="28"/>
    </row>
    <row r="28326">
      <c r="N28326" s="28"/>
      <c r="O28326" s="28"/>
      <c r="U28326" s="28"/>
    </row>
    <row r="28327">
      <c r="N28327" s="28"/>
      <c r="O28327" s="28"/>
      <c r="U28327" s="28"/>
    </row>
    <row r="28328">
      <c r="N28328" s="28"/>
      <c r="O28328" s="28"/>
      <c r="U28328" s="28"/>
    </row>
    <row r="28329">
      <c r="N28329" s="28"/>
      <c r="O28329" s="28"/>
      <c r="U28329" s="28"/>
    </row>
    <row r="28330">
      <c r="N28330" s="28"/>
      <c r="O28330" s="28"/>
      <c r="U28330" s="28"/>
    </row>
    <row r="28331">
      <c r="N28331" s="28"/>
      <c r="O28331" s="28"/>
      <c r="U28331" s="28"/>
    </row>
    <row r="28332">
      <c r="N28332" s="28"/>
      <c r="O28332" s="28"/>
      <c r="U28332" s="28"/>
    </row>
    <row r="28333">
      <c r="N28333" s="28"/>
      <c r="O28333" s="28"/>
      <c r="U28333" s="28"/>
    </row>
    <row r="28334">
      <c r="N28334" s="28"/>
      <c r="O28334" s="28"/>
      <c r="U28334" s="28"/>
    </row>
    <row r="28335">
      <c r="N28335" s="28"/>
      <c r="O28335" s="28"/>
      <c r="U28335" s="28"/>
    </row>
    <row r="28336">
      <c r="N28336" s="28"/>
      <c r="O28336" s="28"/>
      <c r="U28336" s="28"/>
    </row>
    <row r="28337">
      <c r="N28337" s="28"/>
      <c r="O28337" s="28"/>
      <c r="U28337" s="28"/>
    </row>
    <row r="28338">
      <c r="N28338" s="28"/>
      <c r="O28338" s="28"/>
      <c r="U28338" s="28"/>
    </row>
    <row r="28339">
      <c r="N28339" s="28"/>
      <c r="O28339" s="28"/>
      <c r="U28339" s="28"/>
    </row>
    <row r="28340">
      <c r="N28340" s="28"/>
      <c r="O28340" s="28"/>
      <c r="U28340" s="28"/>
    </row>
    <row r="28341">
      <c r="N28341" s="28"/>
      <c r="O28341" s="28"/>
      <c r="U28341" s="28"/>
    </row>
    <row r="28342">
      <c r="N28342" s="28"/>
      <c r="O28342" s="28"/>
      <c r="U28342" s="28"/>
    </row>
    <row r="28343">
      <c r="N28343" s="28"/>
      <c r="O28343" s="28"/>
      <c r="U28343" s="28"/>
    </row>
    <row r="28344">
      <c r="N28344" s="28"/>
      <c r="O28344" s="28"/>
      <c r="U28344" s="28"/>
    </row>
    <row r="28345">
      <c r="N28345" s="28"/>
      <c r="O28345" s="28"/>
      <c r="U28345" s="28"/>
    </row>
    <row r="28346">
      <c r="N28346" s="28"/>
      <c r="O28346" s="28"/>
      <c r="U28346" s="28"/>
    </row>
    <row r="28347">
      <c r="N28347" s="28"/>
      <c r="O28347" s="28"/>
      <c r="U28347" s="28"/>
    </row>
    <row r="28348">
      <c r="N28348" s="28"/>
      <c r="O28348" s="28"/>
      <c r="U28348" s="28"/>
    </row>
    <row r="28349">
      <c r="N28349" s="28"/>
      <c r="O28349" s="28"/>
      <c r="U28349" s="28"/>
    </row>
    <row r="28350">
      <c r="N28350" s="28"/>
      <c r="O28350" s="28"/>
      <c r="U28350" s="28"/>
    </row>
    <row r="28351">
      <c r="N28351" s="28"/>
      <c r="O28351" s="28"/>
      <c r="U28351" s="28"/>
    </row>
    <row r="28352">
      <c r="N28352" s="28"/>
      <c r="O28352" s="28"/>
      <c r="U28352" s="28"/>
    </row>
    <row r="28353">
      <c r="N28353" s="28"/>
      <c r="O28353" s="28"/>
      <c r="U28353" s="28"/>
    </row>
    <row r="28354">
      <c r="N28354" s="28"/>
      <c r="O28354" s="28"/>
      <c r="U28354" s="28"/>
    </row>
    <row r="28355">
      <c r="N28355" s="28"/>
      <c r="O28355" s="28"/>
      <c r="U28355" s="28"/>
    </row>
    <row r="28356">
      <c r="N28356" s="28"/>
      <c r="O28356" s="28"/>
      <c r="U28356" s="28"/>
    </row>
    <row r="28357">
      <c r="N28357" s="28"/>
      <c r="O28357" s="28"/>
      <c r="U28357" s="28"/>
    </row>
    <row r="28358">
      <c r="N28358" s="28"/>
      <c r="O28358" s="28"/>
      <c r="U28358" s="28"/>
    </row>
    <row r="28359">
      <c r="N28359" s="28"/>
      <c r="O28359" s="28"/>
      <c r="U28359" s="28"/>
    </row>
    <row r="28360">
      <c r="N28360" s="28"/>
      <c r="O28360" s="28"/>
      <c r="U28360" s="28"/>
    </row>
    <row r="28361">
      <c r="N28361" s="28"/>
      <c r="O28361" s="28"/>
      <c r="U28361" s="28"/>
    </row>
    <row r="28362">
      <c r="N28362" s="28"/>
      <c r="O28362" s="28"/>
      <c r="U28362" s="28"/>
    </row>
    <row r="28363">
      <c r="N28363" s="28"/>
      <c r="O28363" s="28"/>
      <c r="U28363" s="28"/>
    </row>
    <row r="28364">
      <c r="N28364" s="28"/>
      <c r="O28364" s="28"/>
      <c r="U28364" s="28"/>
    </row>
    <row r="28365">
      <c r="N28365" s="28"/>
      <c r="O28365" s="28"/>
      <c r="U28365" s="28"/>
    </row>
    <row r="28366">
      <c r="N28366" s="28"/>
      <c r="O28366" s="28"/>
      <c r="U28366" s="28"/>
    </row>
    <row r="28367">
      <c r="N28367" s="28"/>
      <c r="O28367" s="28"/>
      <c r="U28367" s="28"/>
    </row>
    <row r="28368">
      <c r="N28368" s="28"/>
      <c r="O28368" s="28"/>
      <c r="U28368" s="28"/>
    </row>
    <row r="28369">
      <c r="N28369" s="28"/>
      <c r="O28369" s="28"/>
      <c r="U28369" s="28"/>
    </row>
    <row r="28370">
      <c r="N28370" s="28"/>
      <c r="O28370" s="28"/>
      <c r="U28370" s="28"/>
    </row>
    <row r="28371">
      <c r="N28371" s="28"/>
      <c r="O28371" s="28"/>
      <c r="U28371" s="28"/>
    </row>
    <row r="28372">
      <c r="N28372" s="28"/>
      <c r="O28372" s="28"/>
      <c r="U28372" s="28"/>
    </row>
    <row r="28373">
      <c r="N28373" s="28"/>
      <c r="O28373" s="28"/>
      <c r="U28373" s="28"/>
    </row>
    <row r="28374">
      <c r="N28374" s="28"/>
      <c r="O28374" s="28"/>
      <c r="U28374" s="28"/>
    </row>
    <row r="28375">
      <c r="N28375" s="28"/>
      <c r="O28375" s="28"/>
      <c r="U28375" s="28"/>
    </row>
    <row r="28376">
      <c r="N28376" s="28"/>
      <c r="O28376" s="28"/>
      <c r="U28376" s="28"/>
    </row>
    <row r="28377">
      <c r="N28377" s="28"/>
      <c r="O28377" s="28"/>
      <c r="U28377" s="28"/>
    </row>
    <row r="28378">
      <c r="N28378" s="28"/>
      <c r="O28378" s="28"/>
      <c r="U28378" s="28"/>
    </row>
    <row r="28379">
      <c r="N28379" s="28"/>
      <c r="O28379" s="28"/>
      <c r="U28379" s="28"/>
    </row>
    <row r="28380">
      <c r="N28380" s="28"/>
      <c r="O28380" s="28"/>
      <c r="U28380" s="28"/>
    </row>
    <row r="28381">
      <c r="N28381" s="28"/>
      <c r="O28381" s="28"/>
      <c r="U28381" s="28"/>
    </row>
    <row r="28382">
      <c r="N28382" s="28"/>
      <c r="O28382" s="28"/>
      <c r="U28382" s="28"/>
    </row>
    <row r="28383">
      <c r="N28383" s="28"/>
      <c r="O28383" s="28"/>
      <c r="U28383" s="28"/>
    </row>
    <row r="28384">
      <c r="N28384" s="28"/>
      <c r="O28384" s="28"/>
      <c r="U28384" s="28"/>
    </row>
    <row r="28385">
      <c r="N28385" s="28"/>
      <c r="O28385" s="28"/>
      <c r="U28385" s="28"/>
    </row>
    <row r="28386">
      <c r="N28386" s="28"/>
      <c r="O28386" s="28"/>
      <c r="U28386" s="28"/>
    </row>
    <row r="28387">
      <c r="N28387" s="28"/>
      <c r="O28387" s="28"/>
      <c r="U28387" s="28"/>
    </row>
    <row r="28388">
      <c r="N28388" s="28"/>
      <c r="O28388" s="28"/>
      <c r="U28388" s="28"/>
    </row>
    <row r="28389">
      <c r="N28389" s="28"/>
      <c r="O28389" s="28"/>
      <c r="U28389" s="28"/>
    </row>
    <row r="28390">
      <c r="N28390" s="28"/>
      <c r="O28390" s="28"/>
      <c r="U28390" s="28"/>
    </row>
    <row r="28391">
      <c r="N28391" s="28"/>
      <c r="O28391" s="28"/>
      <c r="U28391" s="28"/>
    </row>
    <row r="28392">
      <c r="N28392" s="28"/>
      <c r="O28392" s="28"/>
      <c r="U28392" s="28"/>
    </row>
    <row r="28393">
      <c r="N28393" s="28"/>
      <c r="O28393" s="28"/>
      <c r="U28393" s="28"/>
    </row>
    <row r="28394">
      <c r="N28394" s="28"/>
      <c r="O28394" s="28"/>
      <c r="U28394" s="28"/>
    </row>
    <row r="28395">
      <c r="N28395" s="28"/>
      <c r="O28395" s="28"/>
      <c r="U28395" s="28"/>
    </row>
    <row r="28396">
      <c r="N28396" s="28"/>
      <c r="O28396" s="28"/>
      <c r="U28396" s="28"/>
    </row>
    <row r="28397">
      <c r="N28397" s="28"/>
      <c r="O28397" s="28"/>
      <c r="U28397" s="28"/>
    </row>
    <row r="28398">
      <c r="N28398" s="28"/>
      <c r="O28398" s="28"/>
      <c r="U28398" s="28"/>
    </row>
    <row r="28399">
      <c r="N28399" s="28"/>
      <c r="O28399" s="28"/>
      <c r="U28399" s="28"/>
    </row>
    <row r="28400">
      <c r="N28400" s="28"/>
      <c r="O28400" s="28"/>
      <c r="U28400" s="28"/>
    </row>
    <row r="28401">
      <c r="N28401" s="28"/>
      <c r="O28401" s="28"/>
      <c r="U28401" s="28"/>
    </row>
    <row r="28402">
      <c r="N28402" s="28"/>
      <c r="O28402" s="28"/>
      <c r="U28402" s="28"/>
    </row>
    <row r="28403">
      <c r="N28403" s="28"/>
      <c r="O28403" s="28"/>
      <c r="U28403" s="28"/>
    </row>
    <row r="28404">
      <c r="N28404" s="28"/>
      <c r="O28404" s="28"/>
      <c r="U28404" s="28"/>
    </row>
    <row r="28405">
      <c r="N28405" s="28"/>
      <c r="O28405" s="28"/>
      <c r="U28405" s="28"/>
    </row>
    <row r="28406">
      <c r="N28406" s="28"/>
      <c r="O28406" s="28"/>
      <c r="U28406" s="28"/>
    </row>
    <row r="28407">
      <c r="N28407" s="28"/>
      <c r="O28407" s="28"/>
      <c r="U28407" s="28"/>
    </row>
    <row r="28408">
      <c r="N28408" s="28"/>
      <c r="O28408" s="28"/>
      <c r="U28408" s="28"/>
    </row>
    <row r="28409">
      <c r="N28409" s="28"/>
      <c r="O28409" s="28"/>
      <c r="U28409" s="28"/>
    </row>
    <row r="28410">
      <c r="N28410" s="28"/>
      <c r="O28410" s="28"/>
      <c r="U28410" s="28"/>
    </row>
    <row r="28411">
      <c r="N28411" s="28"/>
      <c r="O28411" s="28"/>
      <c r="U28411" s="28"/>
    </row>
    <row r="28412">
      <c r="N28412" s="28"/>
      <c r="O28412" s="28"/>
      <c r="U28412" s="28"/>
    </row>
    <row r="28413">
      <c r="N28413" s="28"/>
      <c r="O28413" s="28"/>
      <c r="U28413" s="28"/>
    </row>
    <row r="28414">
      <c r="N28414" s="28"/>
      <c r="O28414" s="28"/>
      <c r="U28414" s="28"/>
    </row>
    <row r="28415">
      <c r="N28415" s="28"/>
      <c r="O28415" s="28"/>
      <c r="U28415" s="28"/>
    </row>
    <row r="28416">
      <c r="N28416" s="28"/>
      <c r="O28416" s="28"/>
      <c r="U28416" s="28"/>
    </row>
    <row r="28417">
      <c r="N28417" s="28"/>
      <c r="O28417" s="28"/>
      <c r="U28417" s="28"/>
    </row>
    <row r="28418">
      <c r="N28418" s="28"/>
      <c r="O28418" s="28"/>
      <c r="U28418" s="28"/>
    </row>
    <row r="28419">
      <c r="N28419" s="28"/>
      <c r="O28419" s="28"/>
      <c r="U28419" s="28"/>
    </row>
    <row r="28420">
      <c r="N28420" s="28"/>
      <c r="O28420" s="28"/>
      <c r="U28420" s="28"/>
    </row>
    <row r="28421">
      <c r="N28421" s="28"/>
      <c r="O28421" s="28"/>
      <c r="U28421" s="28"/>
    </row>
    <row r="28422">
      <c r="N28422" s="28"/>
      <c r="O28422" s="28"/>
      <c r="U28422" s="28"/>
    </row>
    <row r="28423">
      <c r="N28423" s="28"/>
      <c r="O28423" s="28"/>
      <c r="U28423" s="28"/>
    </row>
    <row r="28424">
      <c r="N28424" s="28"/>
      <c r="O28424" s="28"/>
      <c r="U28424" s="28"/>
    </row>
    <row r="28425">
      <c r="N28425" s="28"/>
      <c r="O28425" s="28"/>
      <c r="U28425" s="28"/>
    </row>
    <row r="28426">
      <c r="N28426" s="28"/>
      <c r="O28426" s="28"/>
      <c r="U28426" s="28"/>
    </row>
    <row r="28427">
      <c r="N28427" s="28"/>
      <c r="O28427" s="28"/>
      <c r="U28427" s="28"/>
    </row>
    <row r="28428">
      <c r="N28428" s="28"/>
      <c r="O28428" s="28"/>
      <c r="U28428" s="28"/>
    </row>
    <row r="28429">
      <c r="N28429" s="28"/>
      <c r="O28429" s="28"/>
      <c r="U28429" s="28"/>
    </row>
    <row r="28430">
      <c r="N28430" s="28"/>
      <c r="O28430" s="28"/>
      <c r="U28430" s="28"/>
    </row>
    <row r="28431">
      <c r="N28431" s="28"/>
      <c r="O28431" s="28"/>
      <c r="U28431" s="28"/>
    </row>
    <row r="28432">
      <c r="N28432" s="28"/>
      <c r="O28432" s="28"/>
      <c r="U28432" s="28"/>
    </row>
    <row r="28433">
      <c r="N28433" s="28"/>
      <c r="O28433" s="28"/>
      <c r="U28433" s="28"/>
    </row>
    <row r="28434">
      <c r="N28434" s="28"/>
      <c r="O28434" s="28"/>
      <c r="U28434" s="28"/>
    </row>
    <row r="28435">
      <c r="N28435" s="28"/>
      <c r="O28435" s="28"/>
      <c r="U28435" s="28"/>
    </row>
    <row r="28436">
      <c r="N28436" s="28"/>
      <c r="O28436" s="28"/>
      <c r="U28436" s="28"/>
    </row>
    <row r="28437">
      <c r="N28437" s="28"/>
      <c r="O28437" s="28"/>
      <c r="U28437" s="28"/>
    </row>
    <row r="28438">
      <c r="N28438" s="28"/>
      <c r="O28438" s="28"/>
      <c r="U28438" s="28"/>
    </row>
    <row r="28439">
      <c r="N28439" s="28"/>
      <c r="O28439" s="28"/>
      <c r="U28439" s="28"/>
    </row>
    <row r="28440">
      <c r="N28440" s="28"/>
      <c r="O28440" s="28"/>
      <c r="U28440" s="28"/>
    </row>
    <row r="28441">
      <c r="N28441" s="28"/>
      <c r="O28441" s="28"/>
      <c r="U28441" s="28"/>
    </row>
    <row r="28442">
      <c r="N28442" s="28"/>
      <c r="O28442" s="28"/>
      <c r="U28442" s="28"/>
    </row>
    <row r="28443">
      <c r="N28443" s="28"/>
      <c r="O28443" s="28"/>
      <c r="U28443" s="28"/>
    </row>
    <row r="28444">
      <c r="N28444" s="28"/>
      <c r="O28444" s="28"/>
      <c r="U28444" s="28"/>
    </row>
    <row r="28445">
      <c r="N28445" s="28"/>
      <c r="O28445" s="28"/>
      <c r="U28445" s="28"/>
    </row>
    <row r="28446">
      <c r="N28446" s="28"/>
      <c r="O28446" s="28"/>
      <c r="U28446" s="28"/>
    </row>
    <row r="28447">
      <c r="N28447" s="28"/>
      <c r="O28447" s="28"/>
      <c r="U28447" s="28"/>
    </row>
    <row r="28448">
      <c r="N28448" s="28"/>
      <c r="O28448" s="28"/>
      <c r="U28448" s="28"/>
    </row>
    <row r="28449">
      <c r="N28449" s="28"/>
      <c r="O28449" s="28"/>
      <c r="U28449" s="28"/>
    </row>
    <row r="28450">
      <c r="N28450" s="28"/>
      <c r="O28450" s="28"/>
      <c r="U28450" s="28"/>
    </row>
    <row r="28451">
      <c r="N28451" s="28"/>
      <c r="O28451" s="28"/>
      <c r="U28451" s="28"/>
    </row>
    <row r="28452">
      <c r="N28452" s="28"/>
      <c r="O28452" s="28"/>
      <c r="U28452" s="28"/>
    </row>
    <row r="28453">
      <c r="N28453" s="28"/>
      <c r="O28453" s="28"/>
      <c r="U28453" s="28"/>
    </row>
    <row r="28454">
      <c r="N28454" s="28"/>
      <c r="O28454" s="28"/>
      <c r="U28454" s="28"/>
    </row>
    <row r="28455">
      <c r="N28455" s="28"/>
      <c r="O28455" s="28"/>
      <c r="U28455" s="28"/>
    </row>
    <row r="28456">
      <c r="N28456" s="28"/>
      <c r="O28456" s="28"/>
      <c r="U28456" s="28"/>
    </row>
    <row r="28457">
      <c r="N28457" s="28"/>
      <c r="O28457" s="28"/>
      <c r="U28457" s="28"/>
    </row>
    <row r="28458">
      <c r="N28458" s="28"/>
      <c r="O28458" s="28"/>
      <c r="U28458" s="28"/>
    </row>
    <row r="28459">
      <c r="N28459" s="28"/>
      <c r="O28459" s="28"/>
      <c r="U28459" s="28"/>
    </row>
    <row r="28460">
      <c r="N28460" s="28"/>
      <c r="O28460" s="28"/>
      <c r="U28460" s="28"/>
    </row>
    <row r="28461">
      <c r="N28461" s="28"/>
      <c r="O28461" s="28"/>
      <c r="U28461" s="28"/>
    </row>
    <row r="28462">
      <c r="N28462" s="28"/>
      <c r="O28462" s="28"/>
      <c r="U28462" s="28"/>
    </row>
    <row r="28463">
      <c r="N28463" s="28"/>
      <c r="O28463" s="28"/>
      <c r="U28463" s="28"/>
    </row>
    <row r="28464">
      <c r="N28464" s="28"/>
      <c r="O28464" s="28"/>
      <c r="U28464" s="28"/>
    </row>
    <row r="28465">
      <c r="N28465" s="28"/>
      <c r="O28465" s="28"/>
      <c r="U28465" s="28"/>
    </row>
    <row r="28466">
      <c r="N28466" s="28"/>
      <c r="O28466" s="28"/>
      <c r="U28466" s="28"/>
    </row>
    <row r="28467">
      <c r="N28467" s="28"/>
      <c r="O28467" s="28"/>
      <c r="U28467" s="28"/>
    </row>
    <row r="28468">
      <c r="N28468" s="28"/>
      <c r="O28468" s="28"/>
      <c r="U28468" s="28"/>
    </row>
    <row r="28469">
      <c r="N28469" s="28"/>
      <c r="O28469" s="28"/>
      <c r="U28469" s="28"/>
    </row>
    <row r="28470">
      <c r="N28470" s="28"/>
      <c r="O28470" s="28"/>
      <c r="U28470" s="28"/>
    </row>
    <row r="28471">
      <c r="N28471" s="28"/>
      <c r="O28471" s="28"/>
      <c r="U28471" s="28"/>
    </row>
    <row r="28472">
      <c r="N28472" s="28"/>
      <c r="O28472" s="28"/>
      <c r="U28472" s="28"/>
    </row>
    <row r="28473">
      <c r="N28473" s="28"/>
      <c r="O28473" s="28"/>
      <c r="U28473" s="28"/>
    </row>
    <row r="28474">
      <c r="N28474" s="28"/>
      <c r="O28474" s="28"/>
      <c r="U28474" s="28"/>
    </row>
    <row r="28475">
      <c r="N28475" s="28"/>
      <c r="O28475" s="28"/>
      <c r="U28475" s="28"/>
    </row>
    <row r="28476">
      <c r="N28476" s="28"/>
      <c r="O28476" s="28"/>
      <c r="U28476" s="28"/>
    </row>
    <row r="28477">
      <c r="N28477" s="28"/>
      <c r="O28477" s="28"/>
      <c r="U28477" s="28"/>
    </row>
    <row r="28478">
      <c r="N28478" s="28"/>
      <c r="O28478" s="28"/>
      <c r="U28478" s="28"/>
    </row>
    <row r="28479">
      <c r="N28479" s="28"/>
      <c r="O28479" s="28"/>
      <c r="U28479" s="28"/>
    </row>
    <row r="28480">
      <c r="N28480" s="28"/>
      <c r="O28480" s="28"/>
      <c r="U28480" s="28"/>
    </row>
    <row r="28481">
      <c r="N28481" s="28"/>
      <c r="O28481" s="28"/>
      <c r="U28481" s="28"/>
    </row>
    <row r="28482">
      <c r="N28482" s="28"/>
      <c r="O28482" s="28"/>
      <c r="U28482" s="28"/>
    </row>
    <row r="28483">
      <c r="N28483" s="28"/>
      <c r="O28483" s="28"/>
      <c r="U28483" s="28"/>
    </row>
    <row r="28484">
      <c r="N28484" s="28"/>
      <c r="O28484" s="28"/>
      <c r="U28484" s="28"/>
    </row>
    <row r="28485">
      <c r="N28485" s="28"/>
      <c r="O28485" s="28"/>
      <c r="U28485" s="28"/>
    </row>
    <row r="28486">
      <c r="N28486" s="28"/>
      <c r="O28486" s="28"/>
      <c r="U28486" s="28"/>
    </row>
    <row r="28487">
      <c r="N28487" s="28"/>
      <c r="O28487" s="28"/>
      <c r="U28487" s="28"/>
    </row>
    <row r="28488">
      <c r="N28488" s="28"/>
      <c r="O28488" s="28"/>
      <c r="U28488" s="28"/>
    </row>
    <row r="28489">
      <c r="N28489" s="28"/>
      <c r="O28489" s="28"/>
      <c r="U28489" s="28"/>
    </row>
    <row r="28490">
      <c r="N28490" s="28"/>
      <c r="O28490" s="28"/>
      <c r="U28490" s="28"/>
    </row>
    <row r="28491">
      <c r="N28491" s="28"/>
      <c r="O28491" s="28"/>
      <c r="U28491" s="28"/>
    </row>
    <row r="28492">
      <c r="N28492" s="28"/>
      <c r="O28492" s="28"/>
      <c r="U28492" s="28"/>
    </row>
    <row r="28493">
      <c r="N28493" s="28"/>
      <c r="O28493" s="28"/>
      <c r="U28493" s="28"/>
    </row>
    <row r="28494">
      <c r="N28494" s="28"/>
      <c r="O28494" s="28"/>
      <c r="U28494" s="28"/>
    </row>
    <row r="28495">
      <c r="N28495" s="28"/>
      <c r="O28495" s="28"/>
      <c r="U28495" s="28"/>
    </row>
    <row r="28496">
      <c r="N28496" s="28"/>
      <c r="O28496" s="28"/>
      <c r="U28496" s="28"/>
    </row>
    <row r="28497">
      <c r="N28497" s="28"/>
      <c r="O28497" s="28"/>
      <c r="U28497" s="28"/>
    </row>
    <row r="28498">
      <c r="N28498" s="28"/>
      <c r="O28498" s="28"/>
      <c r="U28498" s="28"/>
    </row>
    <row r="28499">
      <c r="N28499" s="28"/>
      <c r="O28499" s="28"/>
      <c r="U28499" s="28"/>
    </row>
    <row r="28500">
      <c r="N28500" s="28"/>
      <c r="O28500" s="28"/>
      <c r="U28500" s="28"/>
    </row>
    <row r="28501">
      <c r="N28501" s="28"/>
      <c r="O28501" s="28"/>
      <c r="U28501" s="28"/>
    </row>
    <row r="28502">
      <c r="N28502" s="28"/>
      <c r="O28502" s="28"/>
      <c r="U28502" s="28"/>
    </row>
    <row r="28503">
      <c r="N28503" s="28"/>
      <c r="O28503" s="28"/>
      <c r="U28503" s="28"/>
    </row>
    <row r="28504">
      <c r="N28504" s="28"/>
      <c r="O28504" s="28"/>
      <c r="U28504" s="28"/>
    </row>
    <row r="28505">
      <c r="N28505" s="28"/>
      <c r="O28505" s="28"/>
      <c r="U28505" s="28"/>
    </row>
    <row r="28506">
      <c r="N28506" s="28"/>
      <c r="O28506" s="28"/>
      <c r="U28506" s="28"/>
    </row>
    <row r="28507">
      <c r="N28507" s="28"/>
      <c r="O28507" s="28"/>
      <c r="U28507" s="28"/>
    </row>
    <row r="28508">
      <c r="N28508" s="28"/>
      <c r="O28508" s="28"/>
      <c r="U28508" s="28"/>
    </row>
    <row r="28509">
      <c r="N28509" s="28"/>
      <c r="O28509" s="28"/>
      <c r="U28509" s="28"/>
    </row>
    <row r="28510">
      <c r="N28510" s="28"/>
      <c r="O28510" s="28"/>
      <c r="U28510" s="28"/>
    </row>
    <row r="28511">
      <c r="N28511" s="28"/>
      <c r="O28511" s="28"/>
      <c r="U28511" s="28"/>
    </row>
    <row r="28512">
      <c r="N28512" s="28"/>
      <c r="O28512" s="28"/>
      <c r="U28512" s="28"/>
    </row>
    <row r="28513">
      <c r="N28513" s="28"/>
      <c r="O28513" s="28"/>
      <c r="U28513" s="28"/>
    </row>
    <row r="28514">
      <c r="N28514" s="28"/>
      <c r="O28514" s="28"/>
      <c r="U28514" s="28"/>
    </row>
    <row r="28515">
      <c r="N28515" s="28"/>
      <c r="O28515" s="28"/>
      <c r="U28515" s="28"/>
    </row>
    <row r="28516">
      <c r="N28516" s="28"/>
      <c r="O28516" s="28"/>
      <c r="U28516" s="28"/>
    </row>
    <row r="28517">
      <c r="N28517" s="28"/>
      <c r="O28517" s="28"/>
      <c r="U28517" s="28"/>
    </row>
    <row r="28518">
      <c r="N28518" s="28"/>
      <c r="O28518" s="28"/>
      <c r="U28518" s="28"/>
    </row>
    <row r="28519">
      <c r="N28519" s="28"/>
      <c r="O28519" s="28"/>
      <c r="U28519" s="28"/>
    </row>
    <row r="28520">
      <c r="N28520" s="28"/>
      <c r="O28520" s="28"/>
      <c r="U28520" s="28"/>
    </row>
    <row r="28521">
      <c r="N28521" s="28"/>
      <c r="O28521" s="28"/>
      <c r="U28521" s="28"/>
    </row>
    <row r="28522">
      <c r="N28522" s="28"/>
      <c r="O28522" s="28"/>
      <c r="U28522" s="28"/>
    </row>
    <row r="28523">
      <c r="N28523" s="28"/>
      <c r="O28523" s="28"/>
      <c r="U28523" s="28"/>
    </row>
    <row r="28524">
      <c r="N28524" s="28"/>
      <c r="O28524" s="28"/>
      <c r="U28524" s="28"/>
    </row>
    <row r="28525">
      <c r="N28525" s="28"/>
      <c r="O28525" s="28"/>
      <c r="U28525" s="28"/>
    </row>
    <row r="28526">
      <c r="N28526" s="28"/>
      <c r="O28526" s="28"/>
      <c r="U28526" s="28"/>
    </row>
    <row r="28527">
      <c r="N28527" s="28"/>
      <c r="O28527" s="28"/>
      <c r="U28527" s="28"/>
    </row>
    <row r="28528">
      <c r="N28528" s="28"/>
      <c r="O28528" s="28"/>
      <c r="U28528" s="28"/>
    </row>
    <row r="28529">
      <c r="N28529" s="28"/>
      <c r="O28529" s="28"/>
      <c r="U28529" s="28"/>
    </row>
    <row r="28530">
      <c r="N28530" s="28"/>
      <c r="O28530" s="28"/>
      <c r="U28530" s="28"/>
    </row>
    <row r="28531">
      <c r="N28531" s="28"/>
      <c r="O28531" s="28"/>
      <c r="U28531" s="28"/>
    </row>
    <row r="28532">
      <c r="N28532" s="28"/>
      <c r="O28532" s="28"/>
      <c r="U28532" s="28"/>
    </row>
    <row r="28533">
      <c r="N28533" s="28"/>
      <c r="O28533" s="28"/>
      <c r="U28533" s="28"/>
    </row>
    <row r="28534">
      <c r="N28534" s="28"/>
      <c r="O28534" s="28"/>
      <c r="U28534" s="28"/>
    </row>
    <row r="28535">
      <c r="N28535" s="28"/>
      <c r="O28535" s="28"/>
      <c r="U28535" s="28"/>
    </row>
    <row r="28536">
      <c r="N28536" s="28"/>
      <c r="O28536" s="28"/>
      <c r="U28536" s="28"/>
    </row>
    <row r="28537">
      <c r="N28537" s="28"/>
      <c r="O28537" s="28"/>
      <c r="U28537" s="28"/>
    </row>
    <row r="28538">
      <c r="N28538" s="28"/>
      <c r="O28538" s="28"/>
      <c r="U28538" s="28"/>
    </row>
    <row r="28539">
      <c r="N28539" s="28"/>
      <c r="O28539" s="28"/>
      <c r="U28539" s="28"/>
    </row>
    <row r="28540">
      <c r="N28540" s="28"/>
      <c r="O28540" s="28"/>
      <c r="U28540" s="28"/>
    </row>
    <row r="28541">
      <c r="N28541" s="28"/>
      <c r="O28541" s="28"/>
      <c r="U28541" s="28"/>
    </row>
    <row r="28542">
      <c r="N28542" s="28"/>
      <c r="O28542" s="28"/>
      <c r="U28542" s="28"/>
    </row>
    <row r="28543">
      <c r="N28543" s="28"/>
      <c r="O28543" s="28"/>
      <c r="U28543" s="28"/>
    </row>
    <row r="28544">
      <c r="N28544" s="28"/>
      <c r="O28544" s="28"/>
      <c r="U28544" s="28"/>
    </row>
    <row r="28545">
      <c r="N28545" s="28"/>
      <c r="O28545" s="28"/>
      <c r="U28545" s="28"/>
    </row>
    <row r="28546">
      <c r="N28546" s="28"/>
      <c r="O28546" s="28"/>
      <c r="U28546" s="28"/>
    </row>
    <row r="28547">
      <c r="N28547" s="28"/>
      <c r="O28547" s="28"/>
      <c r="U28547" s="28"/>
    </row>
    <row r="28548">
      <c r="N28548" s="28"/>
      <c r="O28548" s="28"/>
      <c r="U28548" s="28"/>
    </row>
    <row r="28549">
      <c r="N28549" s="28"/>
      <c r="O28549" s="28"/>
      <c r="U28549" s="28"/>
    </row>
    <row r="28550">
      <c r="N28550" s="28"/>
      <c r="O28550" s="28"/>
      <c r="U28550" s="28"/>
    </row>
    <row r="28551">
      <c r="N28551" s="28"/>
      <c r="O28551" s="28"/>
      <c r="U28551" s="28"/>
    </row>
    <row r="28552">
      <c r="N28552" s="28"/>
      <c r="O28552" s="28"/>
      <c r="U28552" s="28"/>
    </row>
    <row r="28553">
      <c r="N28553" s="28"/>
      <c r="O28553" s="28"/>
      <c r="U28553" s="28"/>
    </row>
    <row r="28554">
      <c r="N28554" s="28"/>
      <c r="O28554" s="28"/>
      <c r="U28554" s="28"/>
    </row>
    <row r="28555">
      <c r="N28555" s="28"/>
      <c r="O28555" s="28"/>
      <c r="U28555" s="28"/>
    </row>
    <row r="28556">
      <c r="N28556" s="28"/>
      <c r="O28556" s="28"/>
      <c r="U28556" s="28"/>
    </row>
    <row r="28557">
      <c r="N28557" s="28"/>
      <c r="O28557" s="28"/>
      <c r="U28557" s="28"/>
    </row>
    <row r="28558">
      <c r="N28558" s="28"/>
      <c r="O28558" s="28"/>
      <c r="U28558" s="28"/>
    </row>
    <row r="28559">
      <c r="N28559" s="28"/>
      <c r="O28559" s="28"/>
      <c r="U28559" s="28"/>
    </row>
    <row r="28560">
      <c r="N28560" s="28"/>
      <c r="O28560" s="28"/>
      <c r="U28560" s="28"/>
    </row>
    <row r="28561">
      <c r="N28561" s="28"/>
      <c r="O28561" s="28"/>
      <c r="U28561" s="28"/>
    </row>
    <row r="28562">
      <c r="N28562" s="28"/>
      <c r="O28562" s="28"/>
      <c r="U28562" s="28"/>
    </row>
    <row r="28563">
      <c r="N28563" s="28"/>
      <c r="O28563" s="28"/>
      <c r="U28563" s="28"/>
    </row>
    <row r="28564">
      <c r="N28564" s="28"/>
      <c r="O28564" s="28"/>
      <c r="U28564" s="28"/>
    </row>
    <row r="28565">
      <c r="N28565" s="28"/>
      <c r="O28565" s="28"/>
      <c r="U28565" s="28"/>
    </row>
    <row r="28566">
      <c r="N28566" s="28"/>
      <c r="O28566" s="28"/>
      <c r="U28566" s="28"/>
    </row>
    <row r="28567">
      <c r="N28567" s="28"/>
      <c r="O28567" s="28"/>
      <c r="U28567" s="28"/>
    </row>
    <row r="28568">
      <c r="N28568" s="28"/>
      <c r="O28568" s="28"/>
      <c r="U28568" s="28"/>
    </row>
    <row r="28569">
      <c r="N28569" s="28"/>
      <c r="O28569" s="28"/>
      <c r="U28569" s="28"/>
    </row>
    <row r="28570">
      <c r="N28570" s="28"/>
      <c r="O28570" s="28"/>
      <c r="U28570" s="28"/>
    </row>
    <row r="28571">
      <c r="N28571" s="28"/>
      <c r="O28571" s="28"/>
      <c r="U28571" s="28"/>
    </row>
    <row r="28572">
      <c r="N28572" s="28"/>
      <c r="O28572" s="28"/>
      <c r="U28572" s="28"/>
    </row>
    <row r="28573">
      <c r="N28573" s="28"/>
      <c r="O28573" s="28"/>
      <c r="U28573" s="28"/>
    </row>
    <row r="28574">
      <c r="N28574" s="28"/>
      <c r="O28574" s="28"/>
      <c r="U28574" s="28"/>
    </row>
    <row r="28575">
      <c r="N28575" s="28"/>
      <c r="O28575" s="28"/>
      <c r="U28575" s="28"/>
    </row>
    <row r="28576">
      <c r="N28576" s="28"/>
      <c r="O28576" s="28"/>
      <c r="U28576" s="28"/>
    </row>
    <row r="28577">
      <c r="N28577" s="28"/>
      <c r="O28577" s="28"/>
      <c r="U28577" s="28"/>
    </row>
    <row r="28578">
      <c r="N28578" s="28"/>
      <c r="O28578" s="28"/>
      <c r="U28578" s="28"/>
    </row>
    <row r="28579">
      <c r="N28579" s="28"/>
      <c r="O28579" s="28"/>
      <c r="U28579" s="28"/>
    </row>
    <row r="28580">
      <c r="N28580" s="28"/>
      <c r="O28580" s="28"/>
      <c r="U28580" s="28"/>
    </row>
    <row r="28581">
      <c r="N28581" s="28"/>
      <c r="O28581" s="28"/>
      <c r="U28581" s="28"/>
    </row>
    <row r="28582">
      <c r="N28582" s="28"/>
      <c r="O28582" s="28"/>
      <c r="U28582" s="28"/>
    </row>
    <row r="28583">
      <c r="N28583" s="28"/>
      <c r="O28583" s="28"/>
      <c r="U28583" s="28"/>
    </row>
    <row r="28584">
      <c r="N28584" s="28"/>
      <c r="O28584" s="28"/>
      <c r="U28584" s="28"/>
    </row>
    <row r="28585">
      <c r="N28585" s="28"/>
      <c r="O28585" s="28"/>
      <c r="U28585" s="28"/>
    </row>
    <row r="28586">
      <c r="N28586" s="28"/>
      <c r="O28586" s="28"/>
      <c r="U28586" s="28"/>
    </row>
    <row r="28587">
      <c r="N28587" s="28"/>
      <c r="O28587" s="28"/>
      <c r="U28587" s="28"/>
    </row>
    <row r="28588">
      <c r="N28588" s="28"/>
      <c r="O28588" s="28"/>
      <c r="U28588" s="28"/>
    </row>
    <row r="28589">
      <c r="N28589" s="28"/>
      <c r="O28589" s="28"/>
      <c r="U28589" s="28"/>
    </row>
    <row r="28590">
      <c r="N28590" s="28"/>
      <c r="O28590" s="28"/>
      <c r="U28590" s="28"/>
    </row>
    <row r="28591">
      <c r="N28591" s="28"/>
      <c r="O28591" s="28"/>
      <c r="U28591" s="28"/>
    </row>
    <row r="28592">
      <c r="N28592" s="28"/>
      <c r="O28592" s="28"/>
      <c r="U28592" s="28"/>
    </row>
    <row r="28593">
      <c r="N28593" s="28"/>
      <c r="O28593" s="28"/>
      <c r="U28593" s="28"/>
    </row>
    <row r="28594">
      <c r="N28594" s="28"/>
      <c r="O28594" s="28"/>
      <c r="U28594" s="28"/>
    </row>
    <row r="28595">
      <c r="N28595" s="28"/>
      <c r="O28595" s="28"/>
      <c r="U28595" s="28"/>
    </row>
    <row r="28596">
      <c r="N28596" s="28"/>
      <c r="O28596" s="28"/>
      <c r="U28596" s="28"/>
    </row>
    <row r="28597">
      <c r="N28597" s="28"/>
      <c r="O28597" s="28"/>
      <c r="U28597" s="28"/>
    </row>
    <row r="28598">
      <c r="N28598" s="28"/>
      <c r="O28598" s="28"/>
      <c r="U28598" s="28"/>
    </row>
    <row r="28599">
      <c r="N28599" s="28"/>
      <c r="O28599" s="28"/>
      <c r="U28599" s="28"/>
    </row>
    <row r="28600">
      <c r="N28600" s="28"/>
      <c r="O28600" s="28"/>
      <c r="U28600" s="28"/>
    </row>
    <row r="28601">
      <c r="N28601" s="28"/>
      <c r="O28601" s="28"/>
      <c r="U28601" s="28"/>
    </row>
    <row r="28602">
      <c r="N28602" s="28"/>
      <c r="O28602" s="28"/>
      <c r="U28602" s="28"/>
    </row>
    <row r="28603">
      <c r="N28603" s="28"/>
      <c r="O28603" s="28"/>
      <c r="U28603" s="28"/>
    </row>
    <row r="28604">
      <c r="N28604" s="28"/>
      <c r="O28604" s="28"/>
      <c r="U28604" s="28"/>
    </row>
    <row r="28605">
      <c r="N28605" s="28"/>
      <c r="O28605" s="28"/>
      <c r="U28605" s="28"/>
    </row>
    <row r="28606">
      <c r="N28606" s="28"/>
      <c r="O28606" s="28"/>
      <c r="U28606" s="28"/>
    </row>
    <row r="28607">
      <c r="N28607" s="28"/>
      <c r="O28607" s="28"/>
      <c r="U28607" s="28"/>
    </row>
    <row r="28608">
      <c r="N28608" s="28"/>
      <c r="O28608" s="28"/>
      <c r="U28608" s="28"/>
    </row>
    <row r="28609">
      <c r="N28609" s="28"/>
      <c r="O28609" s="28"/>
      <c r="U28609" s="28"/>
    </row>
    <row r="28610">
      <c r="N28610" s="28"/>
      <c r="O28610" s="28"/>
      <c r="U28610" s="28"/>
    </row>
    <row r="28611">
      <c r="N28611" s="28"/>
      <c r="O28611" s="28"/>
      <c r="U28611" s="28"/>
    </row>
    <row r="28612">
      <c r="N28612" s="28"/>
      <c r="O28612" s="28"/>
      <c r="U28612" s="28"/>
    </row>
    <row r="28613">
      <c r="N28613" s="28"/>
      <c r="O28613" s="28"/>
      <c r="U28613" s="28"/>
    </row>
    <row r="28614">
      <c r="N28614" s="28"/>
      <c r="O28614" s="28"/>
      <c r="U28614" s="28"/>
    </row>
    <row r="28615">
      <c r="N28615" s="28"/>
      <c r="O28615" s="28"/>
      <c r="U28615" s="28"/>
    </row>
    <row r="28616">
      <c r="N28616" s="28"/>
      <c r="O28616" s="28"/>
      <c r="U28616" s="28"/>
    </row>
    <row r="28617">
      <c r="N28617" s="28"/>
      <c r="O28617" s="28"/>
      <c r="U28617" s="28"/>
    </row>
    <row r="28618">
      <c r="N28618" s="28"/>
      <c r="O28618" s="28"/>
      <c r="U28618" s="28"/>
    </row>
    <row r="28619">
      <c r="N28619" s="28"/>
      <c r="O28619" s="28"/>
      <c r="U28619" s="28"/>
    </row>
    <row r="28620">
      <c r="N28620" s="28"/>
      <c r="O28620" s="28"/>
      <c r="U28620" s="28"/>
    </row>
    <row r="28621">
      <c r="N28621" s="28"/>
      <c r="O28621" s="28"/>
      <c r="U28621" s="28"/>
    </row>
    <row r="28622">
      <c r="N28622" s="28"/>
      <c r="O28622" s="28"/>
      <c r="U28622" s="28"/>
    </row>
    <row r="28623">
      <c r="N28623" s="28"/>
      <c r="O28623" s="28"/>
      <c r="U28623" s="28"/>
    </row>
    <row r="28624">
      <c r="N28624" s="28"/>
      <c r="O28624" s="28"/>
      <c r="U28624" s="28"/>
    </row>
    <row r="28625">
      <c r="N28625" s="28"/>
      <c r="O28625" s="28"/>
      <c r="U28625" s="28"/>
    </row>
    <row r="28626">
      <c r="N28626" s="28"/>
      <c r="O28626" s="28"/>
      <c r="U28626" s="28"/>
    </row>
    <row r="28627">
      <c r="N28627" s="28"/>
      <c r="O28627" s="28"/>
      <c r="U28627" s="28"/>
    </row>
    <row r="28628">
      <c r="N28628" s="28"/>
      <c r="O28628" s="28"/>
      <c r="U28628" s="28"/>
    </row>
    <row r="28629">
      <c r="N28629" s="28"/>
      <c r="O28629" s="28"/>
      <c r="U28629" s="28"/>
    </row>
    <row r="28630">
      <c r="N28630" s="28"/>
      <c r="O28630" s="28"/>
      <c r="U28630" s="28"/>
    </row>
    <row r="28631">
      <c r="N28631" s="28"/>
      <c r="O28631" s="28"/>
      <c r="U28631" s="28"/>
    </row>
    <row r="28632">
      <c r="N28632" s="28"/>
      <c r="O28632" s="28"/>
      <c r="U28632" s="28"/>
    </row>
    <row r="28633">
      <c r="N28633" s="28"/>
      <c r="O28633" s="28"/>
      <c r="U28633" s="28"/>
    </row>
    <row r="28634">
      <c r="N28634" s="28"/>
      <c r="O28634" s="28"/>
      <c r="U28634" s="28"/>
    </row>
    <row r="28635">
      <c r="N28635" s="28"/>
      <c r="O28635" s="28"/>
      <c r="U28635" s="28"/>
    </row>
    <row r="28636">
      <c r="N28636" s="28"/>
      <c r="O28636" s="28"/>
      <c r="U28636" s="28"/>
    </row>
    <row r="28637">
      <c r="N28637" s="28"/>
      <c r="O28637" s="28"/>
      <c r="U28637" s="28"/>
    </row>
    <row r="28638">
      <c r="N28638" s="28"/>
      <c r="O28638" s="28"/>
      <c r="U28638" s="28"/>
    </row>
    <row r="28639">
      <c r="N28639" s="28"/>
      <c r="O28639" s="28"/>
      <c r="U28639" s="28"/>
    </row>
    <row r="28640">
      <c r="N28640" s="28"/>
      <c r="O28640" s="28"/>
      <c r="U28640" s="28"/>
    </row>
    <row r="28641">
      <c r="N28641" s="28"/>
      <c r="O28641" s="28"/>
      <c r="U28641" s="28"/>
    </row>
    <row r="28642">
      <c r="N28642" s="28"/>
      <c r="O28642" s="28"/>
      <c r="U28642" s="28"/>
    </row>
    <row r="28643">
      <c r="N28643" s="28"/>
      <c r="O28643" s="28"/>
      <c r="U28643" s="28"/>
    </row>
    <row r="28644">
      <c r="N28644" s="28"/>
      <c r="O28644" s="28"/>
      <c r="U28644" s="28"/>
    </row>
    <row r="28645">
      <c r="N28645" s="28"/>
      <c r="O28645" s="28"/>
      <c r="U28645" s="28"/>
    </row>
    <row r="28646">
      <c r="N28646" s="28"/>
      <c r="O28646" s="28"/>
      <c r="U28646" s="28"/>
    </row>
    <row r="28647">
      <c r="N28647" s="28"/>
      <c r="O28647" s="28"/>
      <c r="U28647" s="28"/>
    </row>
    <row r="28648">
      <c r="N28648" s="28"/>
      <c r="O28648" s="28"/>
      <c r="U28648" s="28"/>
    </row>
    <row r="28649">
      <c r="N28649" s="28"/>
      <c r="O28649" s="28"/>
      <c r="U28649" s="28"/>
    </row>
    <row r="28650">
      <c r="N28650" s="28"/>
      <c r="O28650" s="28"/>
      <c r="U28650" s="28"/>
    </row>
    <row r="28651">
      <c r="N28651" s="28"/>
      <c r="O28651" s="28"/>
      <c r="U28651" s="28"/>
    </row>
    <row r="28652">
      <c r="N28652" s="28"/>
      <c r="O28652" s="28"/>
      <c r="U28652" s="28"/>
    </row>
    <row r="28653">
      <c r="N28653" s="28"/>
      <c r="O28653" s="28"/>
      <c r="U28653" s="28"/>
    </row>
    <row r="28654">
      <c r="N28654" s="28"/>
      <c r="O28654" s="28"/>
      <c r="U28654" s="28"/>
    </row>
    <row r="28655">
      <c r="N28655" s="28"/>
      <c r="O28655" s="28"/>
      <c r="U28655" s="28"/>
    </row>
    <row r="28656">
      <c r="N28656" s="28"/>
      <c r="O28656" s="28"/>
      <c r="U28656" s="28"/>
    </row>
    <row r="28657">
      <c r="N28657" s="28"/>
      <c r="O28657" s="28"/>
      <c r="U28657" s="28"/>
    </row>
    <row r="28658">
      <c r="N28658" s="28"/>
      <c r="O28658" s="28"/>
      <c r="U28658" s="28"/>
    </row>
    <row r="28659">
      <c r="N28659" s="28"/>
      <c r="O28659" s="28"/>
      <c r="U28659" s="28"/>
    </row>
    <row r="28660">
      <c r="N28660" s="28"/>
      <c r="O28660" s="28"/>
      <c r="U28660" s="28"/>
    </row>
    <row r="28661">
      <c r="N28661" s="28"/>
      <c r="O28661" s="28"/>
      <c r="U28661" s="28"/>
    </row>
    <row r="28662">
      <c r="N28662" s="28"/>
      <c r="O28662" s="28"/>
      <c r="U28662" s="28"/>
    </row>
    <row r="28663">
      <c r="N28663" s="28"/>
      <c r="O28663" s="28"/>
      <c r="U28663" s="28"/>
    </row>
    <row r="28664">
      <c r="N28664" s="28"/>
      <c r="O28664" s="28"/>
      <c r="U28664" s="28"/>
    </row>
    <row r="28665">
      <c r="N28665" s="28"/>
      <c r="O28665" s="28"/>
      <c r="U28665" s="28"/>
    </row>
    <row r="28666">
      <c r="N28666" s="28"/>
      <c r="O28666" s="28"/>
      <c r="U28666" s="28"/>
    </row>
    <row r="28667">
      <c r="N28667" s="28"/>
      <c r="O28667" s="28"/>
      <c r="U28667" s="28"/>
    </row>
    <row r="28668">
      <c r="N28668" s="28"/>
      <c r="O28668" s="28"/>
      <c r="U28668" s="28"/>
    </row>
    <row r="28669">
      <c r="N28669" s="28"/>
      <c r="O28669" s="28"/>
      <c r="U28669" s="28"/>
    </row>
    <row r="28670">
      <c r="N28670" s="28"/>
      <c r="O28670" s="28"/>
      <c r="U28670" s="28"/>
    </row>
    <row r="28671">
      <c r="N28671" s="28"/>
      <c r="O28671" s="28"/>
      <c r="U28671" s="28"/>
    </row>
    <row r="28672">
      <c r="N28672" s="28"/>
      <c r="O28672" s="28"/>
      <c r="U28672" s="28"/>
    </row>
    <row r="28673">
      <c r="N28673" s="28"/>
      <c r="O28673" s="28"/>
      <c r="U28673" s="28"/>
    </row>
    <row r="28674">
      <c r="N28674" s="28"/>
      <c r="O28674" s="28"/>
      <c r="U28674" s="28"/>
    </row>
    <row r="28675">
      <c r="N28675" s="28"/>
      <c r="O28675" s="28"/>
      <c r="U28675" s="28"/>
    </row>
    <row r="28676">
      <c r="N28676" s="28"/>
      <c r="O28676" s="28"/>
      <c r="U28676" s="28"/>
    </row>
    <row r="28677">
      <c r="N28677" s="28"/>
      <c r="O28677" s="28"/>
      <c r="U28677" s="28"/>
    </row>
    <row r="28678">
      <c r="N28678" s="28"/>
      <c r="O28678" s="28"/>
      <c r="U28678" s="28"/>
    </row>
    <row r="28679">
      <c r="N28679" s="28"/>
      <c r="O28679" s="28"/>
      <c r="U28679" s="28"/>
    </row>
    <row r="28680">
      <c r="N28680" s="28"/>
      <c r="O28680" s="28"/>
      <c r="U28680" s="28"/>
    </row>
    <row r="28681">
      <c r="N28681" s="28"/>
      <c r="O28681" s="28"/>
      <c r="U28681" s="28"/>
    </row>
    <row r="28682">
      <c r="N28682" s="28"/>
      <c r="O28682" s="28"/>
      <c r="U28682" s="28"/>
    </row>
    <row r="28683">
      <c r="N28683" s="28"/>
      <c r="O28683" s="28"/>
      <c r="U28683" s="28"/>
    </row>
    <row r="28684">
      <c r="N28684" s="28"/>
      <c r="O28684" s="28"/>
      <c r="U28684" s="28"/>
    </row>
    <row r="28685">
      <c r="N28685" s="28"/>
      <c r="O28685" s="28"/>
      <c r="U28685" s="28"/>
    </row>
    <row r="28686">
      <c r="N28686" s="28"/>
      <c r="O28686" s="28"/>
      <c r="U28686" s="28"/>
    </row>
    <row r="28687">
      <c r="N28687" s="28"/>
      <c r="O28687" s="28"/>
      <c r="U28687" s="28"/>
    </row>
    <row r="28688">
      <c r="N28688" s="28"/>
      <c r="O28688" s="28"/>
      <c r="U28688" s="28"/>
    </row>
    <row r="28689">
      <c r="N28689" s="28"/>
      <c r="O28689" s="28"/>
      <c r="U28689" s="28"/>
    </row>
    <row r="28690">
      <c r="N28690" s="28"/>
      <c r="O28690" s="28"/>
      <c r="U28690" s="28"/>
    </row>
    <row r="28691">
      <c r="N28691" s="28"/>
      <c r="O28691" s="28"/>
      <c r="U28691" s="28"/>
    </row>
    <row r="28692">
      <c r="N28692" s="28"/>
      <c r="O28692" s="28"/>
      <c r="U28692" s="28"/>
    </row>
    <row r="28693">
      <c r="N28693" s="28"/>
      <c r="O28693" s="28"/>
      <c r="U28693" s="28"/>
    </row>
    <row r="28694">
      <c r="N28694" s="28"/>
      <c r="O28694" s="28"/>
      <c r="U28694" s="28"/>
    </row>
    <row r="28695">
      <c r="N28695" s="28"/>
      <c r="O28695" s="28"/>
      <c r="U28695" s="28"/>
    </row>
    <row r="28696">
      <c r="N28696" s="28"/>
      <c r="O28696" s="28"/>
      <c r="U28696" s="28"/>
    </row>
    <row r="28697">
      <c r="N28697" s="28"/>
      <c r="O28697" s="28"/>
      <c r="U28697" s="28"/>
    </row>
    <row r="28698">
      <c r="N28698" s="28"/>
      <c r="O28698" s="28"/>
      <c r="U28698" s="28"/>
    </row>
    <row r="28699">
      <c r="N28699" s="28"/>
      <c r="O28699" s="28"/>
      <c r="U28699" s="28"/>
    </row>
    <row r="28700">
      <c r="N28700" s="28"/>
      <c r="O28700" s="28"/>
      <c r="U28700" s="28"/>
    </row>
    <row r="28701">
      <c r="N28701" s="28"/>
      <c r="O28701" s="28"/>
      <c r="U28701" s="28"/>
    </row>
    <row r="28702">
      <c r="N28702" s="28"/>
      <c r="O28702" s="28"/>
      <c r="U28702" s="28"/>
    </row>
    <row r="28703">
      <c r="N28703" s="28"/>
      <c r="O28703" s="28"/>
      <c r="U28703" s="28"/>
    </row>
    <row r="28704">
      <c r="N28704" s="28"/>
      <c r="O28704" s="28"/>
      <c r="U28704" s="28"/>
    </row>
    <row r="28705">
      <c r="N28705" s="28"/>
      <c r="O28705" s="28"/>
      <c r="U28705" s="28"/>
    </row>
    <row r="28706">
      <c r="N28706" s="28"/>
      <c r="O28706" s="28"/>
      <c r="U28706" s="28"/>
    </row>
    <row r="28707">
      <c r="N28707" s="28"/>
      <c r="O28707" s="28"/>
      <c r="U28707" s="28"/>
    </row>
    <row r="28708">
      <c r="N28708" s="28"/>
      <c r="O28708" s="28"/>
      <c r="U28708" s="28"/>
    </row>
    <row r="28709">
      <c r="N28709" s="28"/>
      <c r="O28709" s="28"/>
      <c r="U28709" s="28"/>
    </row>
    <row r="28710">
      <c r="N28710" s="28"/>
      <c r="O28710" s="28"/>
      <c r="U28710" s="28"/>
    </row>
    <row r="28711">
      <c r="N28711" s="28"/>
      <c r="O28711" s="28"/>
      <c r="U28711" s="28"/>
    </row>
    <row r="28712">
      <c r="N28712" s="28"/>
      <c r="O28712" s="28"/>
      <c r="U28712" s="28"/>
    </row>
    <row r="28713">
      <c r="N28713" s="28"/>
      <c r="O28713" s="28"/>
      <c r="U28713" s="28"/>
    </row>
    <row r="28714">
      <c r="N28714" s="28"/>
      <c r="O28714" s="28"/>
      <c r="U28714" s="28"/>
    </row>
    <row r="28715">
      <c r="N28715" s="28"/>
      <c r="O28715" s="28"/>
      <c r="U28715" s="28"/>
    </row>
    <row r="28716">
      <c r="N28716" s="28"/>
      <c r="O28716" s="28"/>
      <c r="U28716" s="28"/>
    </row>
    <row r="28717">
      <c r="N28717" s="28"/>
      <c r="O28717" s="28"/>
      <c r="U28717" s="28"/>
    </row>
    <row r="28718">
      <c r="N28718" s="28"/>
      <c r="O28718" s="28"/>
      <c r="U28718" s="28"/>
    </row>
    <row r="28719">
      <c r="N28719" s="28"/>
      <c r="O28719" s="28"/>
      <c r="U28719" s="28"/>
    </row>
    <row r="28720">
      <c r="N28720" s="28"/>
      <c r="O28720" s="28"/>
      <c r="U28720" s="28"/>
    </row>
    <row r="28721">
      <c r="N28721" s="28"/>
      <c r="O28721" s="28"/>
      <c r="U28721" s="28"/>
    </row>
    <row r="28722">
      <c r="N28722" s="28"/>
      <c r="O28722" s="28"/>
      <c r="U28722" s="28"/>
    </row>
    <row r="28723">
      <c r="N28723" s="28"/>
      <c r="O28723" s="28"/>
      <c r="U28723" s="28"/>
    </row>
    <row r="28724">
      <c r="N28724" s="28"/>
      <c r="O28724" s="28"/>
      <c r="U28724" s="28"/>
    </row>
    <row r="28725">
      <c r="N28725" s="28"/>
      <c r="O28725" s="28"/>
      <c r="U28725" s="28"/>
    </row>
    <row r="28726">
      <c r="N28726" s="28"/>
      <c r="O28726" s="28"/>
      <c r="U28726" s="28"/>
    </row>
    <row r="28727">
      <c r="N28727" s="28"/>
      <c r="O28727" s="28"/>
      <c r="U28727" s="28"/>
    </row>
    <row r="28728">
      <c r="N28728" s="28"/>
      <c r="O28728" s="28"/>
      <c r="U28728" s="28"/>
    </row>
    <row r="28729">
      <c r="N28729" s="28"/>
      <c r="O28729" s="28"/>
      <c r="U28729" s="28"/>
    </row>
    <row r="28730">
      <c r="N28730" s="28"/>
      <c r="O28730" s="28"/>
      <c r="U28730" s="28"/>
    </row>
    <row r="28731">
      <c r="N28731" s="28"/>
      <c r="O28731" s="28"/>
      <c r="U28731" s="28"/>
    </row>
    <row r="28732">
      <c r="N28732" s="28"/>
      <c r="O28732" s="28"/>
      <c r="U28732" s="28"/>
    </row>
    <row r="28733">
      <c r="N28733" s="28"/>
      <c r="O28733" s="28"/>
      <c r="U28733" s="28"/>
    </row>
    <row r="28734">
      <c r="N28734" s="28"/>
      <c r="O28734" s="28"/>
      <c r="U28734" s="28"/>
    </row>
    <row r="28735">
      <c r="N28735" s="28"/>
      <c r="O28735" s="28"/>
      <c r="U28735" s="28"/>
    </row>
    <row r="28736">
      <c r="N28736" s="28"/>
      <c r="O28736" s="28"/>
      <c r="U28736" s="28"/>
    </row>
    <row r="28737">
      <c r="N28737" s="28"/>
      <c r="O28737" s="28"/>
      <c r="U28737" s="28"/>
    </row>
    <row r="28738">
      <c r="N28738" s="28"/>
      <c r="O28738" s="28"/>
      <c r="U28738" s="28"/>
    </row>
    <row r="28739">
      <c r="N28739" s="28"/>
      <c r="O28739" s="28"/>
      <c r="U28739" s="28"/>
    </row>
    <row r="28740">
      <c r="N28740" s="28"/>
      <c r="O28740" s="28"/>
      <c r="U28740" s="28"/>
    </row>
    <row r="28741">
      <c r="N28741" s="28"/>
      <c r="O28741" s="28"/>
      <c r="U28741" s="28"/>
    </row>
    <row r="28742">
      <c r="N28742" s="28"/>
      <c r="O28742" s="28"/>
      <c r="U28742" s="28"/>
    </row>
    <row r="28743">
      <c r="N28743" s="28"/>
      <c r="O28743" s="28"/>
      <c r="U28743" s="28"/>
    </row>
    <row r="28744">
      <c r="N28744" s="28"/>
      <c r="O28744" s="28"/>
      <c r="U28744" s="28"/>
    </row>
    <row r="28745">
      <c r="N28745" s="28"/>
      <c r="O28745" s="28"/>
      <c r="U28745" s="28"/>
    </row>
    <row r="28746">
      <c r="N28746" s="28"/>
      <c r="O28746" s="28"/>
      <c r="U28746" s="28"/>
    </row>
    <row r="28747">
      <c r="N28747" s="28"/>
      <c r="O28747" s="28"/>
      <c r="U28747" s="28"/>
    </row>
    <row r="28748">
      <c r="N28748" s="28"/>
      <c r="O28748" s="28"/>
      <c r="U28748" s="28"/>
    </row>
    <row r="28749">
      <c r="N28749" s="28"/>
      <c r="O28749" s="28"/>
      <c r="U28749" s="28"/>
    </row>
    <row r="28750">
      <c r="N28750" s="28"/>
      <c r="O28750" s="28"/>
      <c r="U28750" s="28"/>
    </row>
    <row r="28751">
      <c r="N28751" s="28"/>
      <c r="O28751" s="28"/>
      <c r="U28751" s="28"/>
    </row>
    <row r="28752">
      <c r="N28752" s="28"/>
      <c r="O28752" s="28"/>
      <c r="U28752" s="28"/>
    </row>
    <row r="28753">
      <c r="N28753" s="28"/>
      <c r="O28753" s="28"/>
      <c r="U28753" s="28"/>
    </row>
    <row r="28754">
      <c r="N28754" s="28"/>
      <c r="O28754" s="28"/>
      <c r="U28754" s="28"/>
    </row>
    <row r="28755">
      <c r="N28755" s="28"/>
      <c r="O28755" s="28"/>
      <c r="U28755" s="28"/>
    </row>
    <row r="28756">
      <c r="N28756" s="28"/>
      <c r="O28756" s="28"/>
      <c r="U28756" s="28"/>
    </row>
    <row r="28757">
      <c r="N28757" s="28"/>
      <c r="O28757" s="28"/>
      <c r="U28757" s="28"/>
    </row>
    <row r="28758">
      <c r="N28758" s="28"/>
      <c r="O28758" s="28"/>
      <c r="U28758" s="28"/>
    </row>
    <row r="28759">
      <c r="N28759" s="28"/>
      <c r="O28759" s="28"/>
      <c r="U28759" s="28"/>
    </row>
    <row r="28760">
      <c r="N28760" s="28"/>
      <c r="O28760" s="28"/>
      <c r="U28760" s="28"/>
    </row>
    <row r="28761">
      <c r="N28761" s="28"/>
      <c r="O28761" s="28"/>
      <c r="U28761" s="28"/>
    </row>
    <row r="28762">
      <c r="N28762" s="28"/>
      <c r="O28762" s="28"/>
      <c r="U28762" s="28"/>
    </row>
    <row r="28763">
      <c r="N28763" s="28"/>
      <c r="O28763" s="28"/>
      <c r="U28763" s="28"/>
    </row>
    <row r="28764">
      <c r="N28764" s="28"/>
      <c r="O28764" s="28"/>
      <c r="U28764" s="28"/>
    </row>
    <row r="28765">
      <c r="N28765" s="28"/>
      <c r="O28765" s="28"/>
      <c r="U28765" s="28"/>
    </row>
    <row r="28766">
      <c r="N28766" s="28"/>
      <c r="O28766" s="28"/>
      <c r="U28766" s="28"/>
    </row>
    <row r="28767">
      <c r="N28767" s="28"/>
      <c r="O28767" s="28"/>
      <c r="U28767" s="28"/>
    </row>
    <row r="28768">
      <c r="N28768" s="28"/>
      <c r="O28768" s="28"/>
      <c r="U28768" s="28"/>
    </row>
    <row r="28769">
      <c r="N28769" s="28"/>
      <c r="O28769" s="28"/>
      <c r="U28769" s="28"/>
    </row>
    <row r="28770">
      <c r="N28770" s="28"/>
      <c r="O28770" s="28"/>
      <c r="U28770" s="28"/>
    </row>
    <row r="28771">
      <c r="N28771" s="28"/>
      <c r="O28771" s="28"/>
      <c r="U28771" s="28"/>
    </row>
    <row r="28772">
      <c r="N28772" s="28"/>
      <c r="O28772" s="28"/>
      <c r="U28772" s="28"/>
    </row>
    <row r="28773">
      <c r="N28773" s="28"/>
      <c r="O28773" s="28"/>
      <c r="U28773" s="28"/>
    </row>
    <row r="28774">
      <c r="N28774" s="28"/>
      <c r="O28774" s="28"/>
      <c r="U28774" s="28"/>
    </row>
    <row r="28775">
      <c r="N28775" s="28"/>
      <c r="O28775" s="28"/>
      <c r="U28775" s="28"/>
    </row>
    <row r="28776">
      <c r="N28776" s="28"/>
      <c r="O28776" s="28"/>
      <c r="U28776" s="28"/>
    </row>
    <row r="28777">
      <c r="N28777" s="28"/>
      <c r="O28777" s="28"/>
      <c r="U28777" s="28"/>
    </row>
    <row r="28778">
      <c r="N28778" s="28"/>
      <c r="O28778" s="28"/>
      <c r="U28778" s="28"/>
    </row>
    <row r="28779">
      <c r="N28779" s="28"/>
      <c r="O28779" s="28"/>
      <c r="U28779" s="28"/>
    </row>
    <row r="28780">
      <c r="N28780" s="28"/>
      <c r="O28780" s="28"/>
      <c r="U28780" s="28"/>
    </row>
    <row r="28781">
      <c r="N28781" s="28"/>
      <c r="O28781" s="28"/>
      <c r="U28781" s="28"/>
    </row>
    <row r="28782">
      <c r="N28782" s="28"/>
      <c r="O28782" s="28"/>
      <c r="U28782" s="28"/>
    </row>
    <row r="28783">
      <c r="N28783" s="28"/>
      <c r="O28783" s="28"/>
      <c r="U28783" s="28"/>
    </row>
    <row r="28784">
      <c r="N28784" s="28"/>
      <c r="O28784" s="28"/>
      <c r="U28784" s="28"/>
    </row>
    <row r="28785">
      <c r="N28785" s="28"/>
      <c r="O28785" s="28"/>
      <c r="U28785" s="28"/>
    </row>
    <row r="28786">
      <c r="N28786" s="28"/>
      <c r="O28786" s="28"/>
      <c r="U28786" s="28"/>
    </row>
    <row r="28787">
      <c r="N28787" s="28"/>
      <c r="O28787" s="28"/>
      <c r="U28787" s="28"/>
    </row>
    <row r="28788">
      <c r="N28788" s="28"/>
      <c r="O28788" s="28"/>
      <c r="U28788" s="28"/>
    </row>
    <row r="28789">
      <c r="N28789" s="28"/>
      <c r="O28789" s="28"/>
      <c r="U28789" s="28"/>
    </row>
    <row r="28790">
      <c r="N28790" s="28"/>
      <c r="O28790" s="28"/>
      <c r="U28790" s="28"/>
    </row>
    <row r="28791">
      <c r="N28791" s="28"/>
      <c r="O28791" s="28"/>
      <c r="U28791" s="28"/>
    </row>
    <row r="28792">
      <c r="N28792" s="28"/>
      <c r="O28792" s="28"/>
      <c r="U28792" s="28"/>
    </row>
    <row r="28793">
      <c r="N28793" s="28"/>
      <c r="O28793" s="28"/>
      <c r="U28793" s="28"/>
    </row>
    <row r="28794">
      <c r="N28794" s="28"/>
      <c r="O28794" s="28"/>
      <c r="U28794" s="28"/>
    </row>
    <row r="28795">
      <c r="N28795" s="28"/>
      <c r="O28795" s="28"/>
      <c r="U28795" s="28"/>
    </row>
    <row r="28796">
      <c r="N28796" s="28"/>
      <c r="O28796" s="28"/>
      <c r="U28796" s="28"/>
    </row>
    <row r="28797">
      <c r="N28797" s="28"/>
      <c r="O28797" s="28"/>
      <c r="U28797" s="28"/>
    </row>
    <row r="28798">
      <c r="N28798" s="28"/>
      <c r="O28798" s="28"/>
      <c r="U28798" s="28"/>
    </row>
    <row r="28799">
      <c r="N28799" s="28"/>
      <c r="O28799" s="28"/>
      <c r="U28799" s="28"/>
    </row>
    <row r="28800">
      <c r="N28800" s="28"/>
      <c r="O28800" s="28"/>
      <c r="U28800" s="28"/>
    </row>
    <row r="28801">
      <c r="N28801" s="28"/>
      <c r="O28801" s="28"/>
      <c r="U28801" s="28"/>
    </row>
    <row r="28802">
      <c r="N28802" s="28"/>
      <c r="O28802" s="28"/>
      <c r="U28802" s="28"/>
    </row>
    <row r="28803">
      <c r="N28803" s="28"/>
      <c r="O28803" s="28"/>
      <c r="U28803" s="28"/>
    </row>
    <row r="28804">
      <c r="N28804" s="28"/>
      <c r="O28804" s="28"/>
      <c r="U28804" s="28"/>
    </row>
    <row r="28805">
      <c r="N28805" s="28"/>
      <c r="O28805" s="28"/>
      <c r="U28805" s="28"/>
    </row>
    <row r="28806">
      <c r="N28806" s="28"/>
      <c r="O28806" s="28"/>
      <c r="U28806" s="28"/>
    </row>
    <row r="28807">
      <c r="N28807" s="28"/>
      <c r="O28807" s="28"/>
      <c r="U28807" s="28"/>
    </row>
    <row r="28808">
      <c r="N28808" s="28"/>
      <c r="O28808" s="28"/>
      <c r="U28808" s="28"/>
    </row>
    <row r="28809">
      <c r="N28809" s="28"/>
      <c r="O28809" s="28"/>
      <c r="U28809" s="28"/>
    </row>
    <row r="28810">
      <c r="N28810" s="28"/>
      <c r="O28810" s="28"/>
      <c r="U28810" s="28"/>
    </row>
    <row r="28811">
      <c r="N28811" s="28"/>
      <c r="O28811" s="28"/>
      <c r="U28811" s="28"/>
    </row>
    <row r="28812">
      <c r="N28812" s="28"/>
      <c r="O28812" s="28"/>
      <c r="U28812" s="28"/>
    </row>
    <row r="28813">
      <c r="N28813" s="28"/>
      <c r="O28813" s="28"/>
      <c r="U28813" s="28"/>
    </row>
    <row r="28814">
      <c r="N28814" s="28"/>
      <c r="O28814" s="28"/>
      <c r="U28814" s="28"/>
    </row>
    <row r="28815">
      <c r="N28815" s="28"/>
      <c r="O28815" s="28"/>
      <c r="U28815" s="28"/>
    </row>
    <row r="28816">
      <c r="N28816" s="28"/>
      <c r="O28816" s="28"/>
      <c r="U28816" s="28"/>
    </row>
    <row r="28817">
      <c r="N28817" s="28"/>
      <c r="O28817" s="28"/>
      <c r="U28817" s="28"/>
    </row>
    <row r="28818">
      <c r="N28818" s="28"/>
      <c r="O28818" s="28"/>
      <c r="U28818" s="28"/>
    </row>
    <row r="28819">
      <c r="N28819" s="28"/>
      <c r="O28819" s="28"/>
      <c r="U28819" s="28"/>
    </row>
    <row r="28820">
      <c r="N28820" s="28"/>
      <c r="O28820" s="28"/>
      <c r="U28820" s="28"/>
    </row>
    <row r="28821">
      <c r="N28821" s="28"/>
      <c r="O28821" s="28"/>
      <c r="U28821" s="28"/>
    </row>
    <row r="28822">
      <c r="N28822" s="28"/>
      <c r="O28822" s="28"/>
      <c r="U28822" s="28"/>
    </row>
    <row r="28823">
      <c r="N28823" s="28"/>
      <c r="O28823" s="28"/>
      <c r="U28823" s="28"/>
    </row>
    <row r="28824">
      <c r="N28824" s="28"/>
      <c r="O28824" s="28"/>
      <c r="U28824" s="28"/>
    </row>
    <row r="28825">
      <c r="N28825" s="28"/>
      <c r="O28825" s="28"/>
      <c r="U28825" s="28"/>
    </row>
    <row r="28826">
      <c r="N28826" s="28"/>
      <c r="O28826" s="28"/>
      <c r="U28826" s="28"/>
    </row>
    <row r="28827">
      <c r="N28827" s="28"/>
      <c r="O28827" s="28"/>
      <c r="U28827" s="28"/>
    </row>
    <row r="28828">
      <c r="N28828" s="28"/>
      <c r="O28828" s="28"/>
      <c r="U28828" s="28"/>
    </row>
    <row r="28829">
      <c r="N28829" s="28"/>
      <c r="O28829" s="28"/>
      <c r="U28829" s="28"/>
    </row>
    <row r="28830">
      <c r="N28830" s="28"/>
      <c r="O28830" s="28"/>
      <c r="U28830" s="28"/>
    </row>
    <row r="28831">
      <c r="N28831" s="28"/>
      <c r="O28831" s="28"/>
      <c r="U28831" s="28"/>
    </row>
    <row r="28832">
      <c r="N28832" s="28"/>
      <c r="O28832" s="28"/>
      <c r="U28832" s="28"/>
    </row>
    <row r="28833">
      <c r="N28833" s="28"/>
      <c r="O28833" s="28"/>
      <c r="U28833" s="28"/>
    </row>
    <row r="28834">
      <c r="N28834" s="28"/>
      <c r="O28834" s="28"/>
      <c r="U28834" s="28"/>
    </row>
    <row r="28835">
      <c r="N28835" s="28"/>
      <c r="O28835" s="28"/>
      <c r="U28835" s="28"/>
    </row>
    <row r="28836">
      <c r="N28836" s="28"/>
      <c r="O28836" s="28"/>
      <c r="U28836" s="28"/>
    </row>
    <row r="28837">
      <c r="N28837" s="28"/>
      <c r="O28837" s="28"/>
      <c r="U28837" s="28"/>
    </row>
    <row r="28838">
      <c r="N28838" s="28"/>
      <c r="O28838" s="28"/>
      <c r="U28838" s="28"/>
    </row>
    <row r="28839">
      <c r="N28839" s="28"/>
      <c r="O28839" s="28"/>
      <c r="U28839" s="28"/>
    </row>
    <row r="28840">
      <c r="N28840" s="28"/>
      <c r="O28840" s="28"/>
      <c r="U28840" s="28"/>
    </row>
    <row r="28841">
      <c r="N28841" s="28"/>
      <c r="O28841" s="28"/>
      <c r="U28841" s="28"/>
    </row>
    <row r="28842">
      <c r="N28842" s="28"/>
      <c r="O28842" s="28"/>
      <c r="U28842" s="28"/>
    </row>
    <row r="28843">
      <c r="N28843" s="28"/>
      <c r="O28843" s="28"/>
      <c r="U28843" s="28"/>
    </row>
    <row r="28844">
      <c r="N28844" s="28"/>
      <c r="O28844" s="28"/>
      <c r="U28844" s="28"/>
    </row>
    <row r="28845">
      <c r="N28845" s="28"/>
      <c r="O28845" s="28"/>
      <c r="U28845" s="28"/>
    </row>
    <row r="28846">
      <c r="N28846" s="28"/>
      <c r="O28846" s="28"/>
      <c r="U28846" s="28"/>
    </row>
    <row r="28847">
      <c r="N28847" s="28"/>
      <c r="O28847" s="28"/>
      <c r="U28847" s="28"/>
    </row>
    <row r="28848">
      <c r="N28848" s="28"/>
      <c r="O28848" s="28"/>
      <c r="U28848" s="28"/>
    </row>
    <row r="28849">
      <c r="N28849" s="28"/>
      <c r="O28849" s="28"/>
      <c r="U28849" s="28"/>
    </row>
    <row r="28850">
      <c r="N28850" s="28"/>
      <c r="O28850" s="28"/>
      <c r="U28850" s="28"/>
    </row>
    <row r="28851">
      <c r="N28851" s="28"/>
      <c r="O28851" s="28"/>
      <c r="U28851" s="28"/>
    </row>
    <row r="28852">
      <c r="N28852" s="28"/>
      <c r="O28852" s="28"/>
      <c r="U28852" s="28"/>
    </row>
    <row r="28853">
      <c r="N28853" s="28"/>
      <c r="O28853" s="28"/>
      <c r="U28853" s="28"/>
    </row>
    <row r="28854">
      <c r="N28854" s="28"/>
      <c r="O28854" s="28"/>
      <c r="U28854" s="28"/>
    </row>
    <row r="28855">
      <c r="N28855" s="28"/>
      <c r="O28855" s="28"/>
      <c r="U28855" s="28"/>
    </row>
    <row r="28856">
      <c r="N28856" s="28"/>
      <c r="O28856" s="28"/>
      <c r="U28856" s="28"/>
    </row>
    <row r="28857">
      <c r="N28857" s="28"/>
      <c r="O28857" s="28"/>
      <c r="U28857" s="28"/>
    </row>
    <row r="28858">
      <c r="N28858" s="28"/>
      <c r="O28858" s="28"/>
      <c r="U28858" s="28"/>
    </row>
    <row r="28859">
      <c r="N28859" s="28"/>
      <c r="O28859" s="28"/>
      <c r="U28859" s="28"/>
    </row>
    <row r="28860">
      <c r="N28860" s="28"/>
      <c r="O28860" s="28"/>
      <c r="U28860" s="28"/>
    </row>
    <row r="28861">
      <c r="N28861" s="28"/>
      <c r="O28861" s="28"/>
      <c r="U28861" s="28"/>
    </row>
    <row r="28862">
      <c r="N28862" s="28"/>
      <c r="O28862" s="28"/>
      <c r="U28862" s="28"/>
    </row>
    <row r="28863">
      <c r="N28863" s="28"/>
      <c r="O28863" s="28"/>
      <c r="U28863" s="28"/>
    </row>
    <row r="28864">
      <c r="N28864" s="28"/>
      <c r="O28864" s="28"/>
      <c r="U28864" s="28"/>
    </row>
    <row r="28865">
      <c r="N28865" s="28"/>
      <c r="O28865" s="28"/>
      <c r="U28865" s="28"/>
    </row>
    <row r="28866">
      <c r="N28866" s="28"/>
      <c r="O28866" s="28"/>
      <c r="U28866" s="28"/>
    </row>
    <row r="28867">
      <c r="N28867" s="28"/>
      <c r="O28867" s="28"/>
      <c r="U28867" s="28"/>
    </row>
    <row r="28868">
      <c r="N28868" s="28"/>
      <c r="O28868" s="28"/>
      <c r="U28868" s="28"/>
    </row>
    <row r="28869">
      <c r="N28869" s="28"/>
      <c r="O28869" s="28"/>
      <c r="U28869" s="28"/>
    </row>
    <row r="28870">
      <c r="N28870" s="28"/>
      <c r="O28870" s="28"/>
      <c r="U28870" s="28"/>
    </row>
    <row r="28871">
      <c r="N28871" s="28"/>
      <c r="O28871" s="28"/>
      <c r="U28871" s="28"/>
    </row>
    <row r="28872">
      <c r="N28872" s="28"/>
      <c r="O28872" s="28"/>
      <c r="U28872" s="28"/>
    </row>
    <row r="28873">
      <c r="N28873" s="28"/>
      <c r="O28873" s="28"/>
      <c r="U28873" s="28"/>
    </row>
    <row r="28874">
      <c r="N28874" s="28"/>
      <c r="O28874" s="28"/>
      <c r="U28874" s="28"/>
    </row>
    <row r="28875">
      <c r="N28875" s="28"/>
      <c r="O28875" s="28"/>
      <c r="U28875" s="28"/>
    </row>
    <row r="28876">
      <c r="N28876" s="28"/>
      <c r="O28876" s="28"/>
      <c r="U28876" s="28"/>
    </row>
    <row r="28877">
      <c r="N28877" s="28"/>
      <c r="O28877" s="28"/>
      <c r="U28877" s="28"/>
    </row>
    <row r="28878">
      <c r="N28878" s="28"/>
      <c r="O28878" s="28"/>
      <c r="U28878" s="28"/>
    </row>
    <row r="28879">
      <c r="N28879" s="28"/>
      <c r="O28879" s="28"/>
      <c r="U28879" s="28"/>
    </row>
    <row r="28880">
      <c r="N28880" s="28"/>
      <c r="O28880" s="28"/>
      <c r="U28880" s="28"/>
    </row>
    <row r="28881">
      <c r="N28881" s="28"/>
      <c r="O28881" s="28"/>
      <c r="U28881" s="28"/>
    </row>
    <row r="28882">
      <c r="N28882" s="28"/>
      <c r="O28882" s="28"/>
      <c r="U28882" s="28"/>
    </row>
    <row r="28883">
      <c r="N28883" s="28"/>
      <c r="O28883" s="28"/>
      <c r="U28883" s="28"/>
    </row>
    <row r="28884">
      <c r="N28884" s="28"/>
      <c r="O28884" s="28"/>
      <c r="U28884" s="28"/>
    </row>
    <row r="28885">
      <c r="N28885" s="28"/>
      <c r="O28885" s="28"/>
      <c r="U28885" s="28"/>
    </row>
    <row r="28886">
      <c r="N28886" s="28"/>
      <c r="O28886" s="28"/>
      <c r="U28886" s="28"/>
    </row>
    <row r="28887">
      <c r="N28887" s="28"/>
      <c r="O28887" s="28"/>
      <c r="U28887" s="28"/>
    </row>
    <row r="28888">
      <c r="N28888" s="28"/>
      <c r="O28888" s="28"/>
      <c r="U28888" s="28"/>
    </row>
    <row r="28889">
      <c r="N28889" s="28"/>
      <c r="O28889" s="28"/>
      <c r="U28889" s="28"/>
    </row>
    <row r="28890">
      <c r="N28890" s="28"/>
      <c r="O28890" s="28"/>
      <c r="U28890" s="28"/>
    </row>
    <row r="28891">
      <c r="N28891" s="28"/>
      <c r="O28891" s="28"/>
      <c r="U28891" s="28"/>
    </row>
    <row r="28892">
      <c r="N28892" s="28"/>
      <c r="O28892" s="28"/>
      <c r="U28892" s="28"/>
    </row>
    <row r="28893">
      <c r="N28893" s="28"/>
      <c r="O28893" s="28"/>
      <c r="U28893" s="28"/>
    </row>
    <row r="28894">
      <c r="N28894" s="28"/>
      <c r="O28894" s="28"/>
      <c r="U28894" s="28"/>
    </row>
    <row r="28895">
      <c r="N28895" s="28"/>
      <c r="O28895" s="28"/>
      <c r="U28895" s="28"/>
    </row>
    <row r="28896">
      <c r="N28896" s="28"/>
      <c r="O28896" s="28"/>
      <c r="U28896" s="28"/>
    </row>
    <row r="28897">
      <c r="N28897" s="28"/>
      <c r="O28897" s="28"/>
      <c r="U28897" s="28"/>
    </row>
    <row r="28898">
      <c r="N28898" s="28"/>
      <c r="O28898" s="28"/>
      <c r="U28898" s="28"/>
    </row>
    <row r="28899">
      <c r="N28899" s="28"/>
      <c r="O28899" s="28"/>
      <c r="U28899" s="28"/>
    </row>
    <row r="28900">
      <c r="N28900" s="28"/>
      <c r="O28900" s="28"/>
      <c r="U28900" s="28"/>
    </row>
    <row r="28901">
      <c r="N28901" s="28"/>
      <c r="O28901" s="28"/>
      <c r="U28901" s="28"/>
    </row>
    <row r="28902">
      <c r="N28902" s="28"/>
      <c r="O28902" s="28"/>
      <c r="U28902" s="28"/>
    </row>
    <row r="28903">
      <c r="N28903" s="28"/>
      <c r="O28903" s="28"/>
      <c r="U28903" s="28"/>
    </row>
    <row r="28904">
      <c r="N28904" s="28"/>
      <c r="O28904" s="28"/>
      <c r="U28904" s="28"/>
    </row>
    <row r="28905">
      <c r="N28905" s="28"/>
      <c r="O28905" s="28"/>
      <c r="U28905" s="28"/>
    </row>
    <row r="28906">
      <c r="N28906" s="28"/>
      <c r="O28906" s="28"/>
      <c r="U28906" s="28"/>
    </row>
    <row r="28907">
      <c r="N28907" s="28"/>
      <c r="O28907" s="28"/>
      <c r="U28907" s="28"/>
    </row>
    <row r="28908">
      <c r="N28908" s="28"/>
      <c r="O28908" s="28"/>
      <c r="U28908" s="28"/>
    </row>
    <row r="28909">
      <c r="N28909" s="28"/>
      <c r="O28909" s="28"/>
      <c r="U28909" s="28"/>
    </row>
    <row r="28910">
      <c r="N28910" s="28"/>
      <c r="O28910" s="28"/>
      <c r="U28910" s="28"/>
    </row>
    <row r="28911">
      <c r="N28911" s="28"/>
      <c r="O28911" s="28"/>
      <c r="U28911" s="28"/>
    </row>
    <row r="28912">
      <c r="N28912" s="28"/>
      <c r="O28912" s="28"/>
      <c r="U28912" s="28"/>
    </row>
    <row r="28913">
      <c r="N28913" s="28"/>
      <c r="O28913" s="28"/>
      <c r="U28913" s="28"/>
    </row>
    <row r="28914">
      <c r="N28914" s="28"/>
      <c r="O28914" s="28"/>
      <c r="U28914" s="28"/>
    </row>
    <row r="28915">
      <c r="N28915" s="28"/>
      <c r="O28915" s="28"/>
      <c r="U28915" s="28"/>
    </row>
    <row r="28916">
      <c r="N28916" s="28"/>
      <c r="O28916" s="28"/>
      <c r="U28916" s="28"/>
    </row>
    <row r="28917">
      <c r="N28917" s="28"/>
      <c r="O28917" s="28"/>
      <c r="U28917" s="28"/>
    </row>
    <row r="28918">
      <c r="N28918" s="28"/>
      <c r="O28918" s="28"/>
      <c r="U28918" s="28"/>
    </row>
    <row r="28919">
      <c r="N28919" s="28"/>
      <c r="O28919" s="28"/>
      <c r="U28919" s="28"/>
    </row>
    <row r="28920">
      <c r="N28920" s="28"/>
      <c r="O28920" s="28"/>
      <c r="U28920" s="28"/>
    </row>
    <row r="28921">
      <c r="N28921" s="28"/>
      <c r="O28921" s="28"/>
      <c r="U28921" s="28"/>
    </row>
    <row r="28922">
      <c r="N28922" s="28"/>
      <c r="O28922" s="28"/>
      <c r="U28922" s="28"/>
    </row>
    <row r="28923">
      <c r="N28923" s="28"/>
      <c r="O28923" s="28"/>
      <c r="U28923" s="28"/>
    </row>
    <row r="28924">
      <c r="N28924" s="28"/>
      <c r="O28924" s="28"/>
      <c r="U28924" s="28"/>
    </row>
    <row r="28925">
      <c r="N28925" s="28"/>
      <c r="O28925" s="28"/>
      <c r="U28925" s="28"/>
    </row>
    <row r="28926">
      <c r="N28926" s="28"/>
      <c r="O28926" s="28"/>
      <c r="U28926" s="28"/>
    </row>
    <row r="28927">
      <c r="N28927" s="28"/>
      <c r="O28927" s="28"/>
      <c r="U28927" s="28"/>
    </row>
    <row r="28928">
      <c r="N28928" s="28"/>
      <c r="O28928" s="28"/>
      <c r="U28928" s="28"/>
    </row>
    <row r="28929">
      <c r="N28929" s="28"/>
      <c r="O28929" s="28"/>
      <c r="U28929" s="28"/>
    </row>
    <row r="28930">
      <c r="N28930" s="28"/>
      <c r="O28930" s="28"/>
      <c r="U28930" s="28"/>
    </row>
    <row r="28931">
      <c r="N28931" s="28"/>
      <c r="O28931" s="28"/>
      <c r="U28931" s="28"/>
    </row>
    <row r="28932">
      <c r="N28932" s="28"/>
      <c r="O28932" s="28"/>
      <c r="U28932" s="28"/>
    </row>
    <row r="28933">
      <c r="N28933" s="28"/>
      <c r="O28933" s="28"/>
      <c r="U28933" s="28"/>
    </row>
    <row r="28934">
      <c r="N28934" s="28"/>
      <c r="O28934" s="28"/>
      <c r="U28934" s="28"/>
    </row>
    <row r="28935">
      <c r="N28935" s="28"/>
      <c r="O28935" s="28"/>
      <c r="U28935" s="28"/>
    </row>
    <row r="28936">
      <c r="N28936" s="28"/>
      <c r="O28936" s="28"/>
      <c r="U28936" s="28"/>
    </row>
    <row r="28937">
      <c r="N28937" s="28"/>
      <c r="O28937" s="28"/>
      <c r="U28937" s="28"/>
    </row>
    <row r="28938">
      <c r="N28938" s="28"/>
      <c r="O28938" s="28"/>
      <c r="U28938" s="28"/>
    </row>
    <row r="28939">
      <c r="N28939" s="28"/>
      <c r="O28939" s="28"/>
      <c r="U28939" s="28"/>
    </row>
    <row r="28940">
      <c r="N28940" s="28"/>
      <c r="O28940" s="28"/>
      <c r="U28940" s="28"/>
    </row>
    <row r="28941">
      <c r="N28941" s="28"/>
      <c r="O28941" s="28"/>
      <c r="U28941" s="28"/>
    </row>
    <row r="28942">
      <c r="N28942" s="28"/>
      <c r="O28942" s="28"/>
      <c r="U28942" s="28"/>
    </row>
    <row r="28943">
      <c r="N28943" s="28"/>
      <c r="O28943" s="28"/>
      <c r="U28943" s="28"/>
    </row>
    <row r="28944">
      <c r="N28944" s="28"/>
      <c r="O28944" s="28"/>
      <c r="U28944" s="28"/>
    </row>
    <row r="28945">
      <c r="N28945" s="28"/>
      <c r="O28945" s="28"/>
      <c r="U28945" s="28"/>
    </row>
    <row r="28946">
      <c r="N28946" s="28"/>
      <c r="O28946" s="28"/>
      <c r="U28946" s="28"/>
    </row>
    <row r="28947">
      <c r="N28947" s="28"/>
      <c r="O28947" s="28"/>
      <c r="U28947" s="28"/>
    </row>
    <row r="28948">
      <c r="N28948" s="28"/>
      <c r="O28948" s="28"/>
      <c r="U28948" s="28"/>
    </row>
    <row r="28949">
      <c r="N28949" s="28"/>
      <c r="O28949" s="28"/>
      <c r="U28949" s="28"/>
    </row>
    <row r="28950">
      <c r="N28950" s="28"/>
      <c r="O28950" s="28"/>
      <c r="U28950" s="28"/>
    </row>
    <row r="28951">
      <c r="N28951" s="28"/>
      <c r="O28951" s="28"/>
      <c r="U28951" s="28"/>
    </row>
    <row r="28952">
      <c r="N28952" s="28"/>
      <c r="O28952" s="28"/>
      <c r="U28952" s="28"/>
    </row>
    <row r="28953">
      <c r="N28953" s="28"/>
      <c r="O28953" s="28"/>
      <c r="U28953" s="28"/>
    </row>
    <row r="28954">
      <c r="N28954" s="28"/>
      <c r="O28954" s="28"/>
      <c r="U28954" s="28"/>
    </row>
    <row r="28955">
      <c r="N28955" s="28"/>
      <c r="O28955" s="28"/>
      <c r="U28955" s="28"/>
    </row>
    <row r="28956">
      <c r="N28956" s="28"/>
      <c r="O28956" s="28"/>
      <c r="U28956" s="28"/>
    </row>
    <row r="28957">
      <c r="N28957" s="28"/>
      <c r="O28957" s="28"/>
      <c r="U28957" s="28"/>
    </row>
    <row r="28958">
      <c r="N28958" s="28"/>
      <c r="O28958" s="28"/>
      <c r="U28958" s="28"/>
    </row>
    <row r="28959">
      <c r="N28959" s="28"/>
      <c r="O28959" s="28"/>
      <c r="U28959" s="28"/>
    </row>
    <row r="28960">
      <c r="N28960" s="28"/>
      <c r="O28960" s="28"/>
      <c r="U28960" s="28"/>
    </row>
    <row r="28961">
      <c r="N28961" s="28"/>
      <c r="O28961" s="28"/>
      <c r="U28961" s="28"/>
    </row>
    <row r="28962">
      <c r="N28962" s="28"/>
      <c r="O28962" s="28"/>
      <c r="U28962" s="28"/>
    </row>
    <row r="28963">
      <c r="N28963" s="28"/>
      <c r="O28963" s="28"/>
      <c r="U28963" s="28"/>
    </row>
    <row r="28964">
      <c r="N28964" s="28"/>
      <c r="O28964" s="28"/>
      <c r="U28964" s="28"/>
    </row>
    <row r="28965">
      <c r="N28965" s="28"/>
      <c r="O28965" s="28"/>
      <c r="U28965" s="28"/>
    </row>
    <row r="28966">
      <c r="N28966" s="28"/>
      <c r="O28966" s="28"/>
      <c r="U28966" s="28"/>
    </row>
    <row r="28967">
      <c r="N28967" s="28"/>
      <c r="O28967" s="28"/>
      <c r="U28967" s="28"/>
    </row>
    <row r="28968">
      <c r="N28968" s="28"/>
      <c r="O28968" s="28"/>
      <c r="U28968" s="28"/>
    </row>
    <row r="28969">
      <c r="N28969" s="28"/>
      <c r="O28969" s="28"/>
      <c r="U28969" s="28"/>
    </row>
    <row r="28970">
      <c r="N28970" s="28"/>
      <c r="O28970" s="28"/>
      <c r="U28970" s="28"/>
    </row>
    <row r="28971">
      <c r="N28971" s="28"/>
      <c r="O28971" s="28"/>
      <c r="U28971" s="28"/>
    </row>
    <row r="28972">
      <c r="N28972" s="28"/>
      <c r="O28972" s="28"/>
      <c r="U28972" s="28"/>
    </row>
    <row r="28973">
      <c r="N28973" s="28"/>
      <c r="O28973" s="28"/>
      <c r="U28973" s="28"/>
    </row>
    <row r="28974">
      <c r="N28974" s="28"/>
      <c r="O28974" s="28"/>
      <c r="U28974" s="28"/>
    </row>
    <row r="28975">
      <c r="N28975" s="28"/>
      <c r="O28975" s="28"/>
      <c r="U28975" s="28"/>
    </row>
    <row r="28976">
      <c r="N28976" s="28"/>
      <c r="O28976" s="28"/>
      <c r="U28976" s="28"/>
    </row>
    <row r="28977">
      <c r="N28977" s="28"/>
      <c r="O28977" s="28"/>
      <c r="U28977" s="28"/>
    </row>
    <row r="28978">
      <c r="N28978" s="28"/>
      <c r="O28978" s="28"/>
      <c r="U28978" s="28"/>
    </row>
    <row r="28979">
      <c r="N28979" s="28"/>
      <c r="O28979" s="28"/>
      <c r="U28979" s="28"/>
    </row>
    <row r="28980">
      <c r="N28980" s="28"/>
      <c r="O28980" s="28"/>
      <c r="U28980" s="28"/>
    </row>
    <row r="28981">
      <c r="N28981" s="28"/>
      <c r="O28981" s="28"/>
      <c r="U28981" s="28"/>
    </row>
    <row r="28982">
      <c r="N28982" s="28"/>
      <c r="O28982" s="28"/>
      <c r="U28982" s="28"/>
    </row>
    <row r="28983">
      <c r="N28983" s="28"/>
      <c r="O28983" s="28"/>
      <c r="U28983" s="28"/>
    </row>
    <row r="28984">
      <c r="N28984" s="28"/>
      <c r="O28984" s="28"/>
      <c r="U28984" s="28"/>
    </row>
    <row r="28985">
      <c r="N28985" s="28"/>
      <c r="O28985" s="28"/>
      <c r="U28985" s="28"/>
    </row>
    <row r="28986">
      <c r="N28986" s="28"/>
      <c r="O28986" s="28"/>
      <c r="U28986" s="28"/>
    </row>
    <row r="28987">
      <c r="N28987" s="28"/>
      <c r="O28987" s="28"/>
      <c r="U28987" s="28"/>
    </row>
    <row r="28988">
      <c r="N28988" s="28"/>
      <c r="O28988" s="28"/>
      <c r="U28988" s="28"/>
    </row>
    <row r="28989">
      <c r="N28989" s="28"/>
      <c r="O28989" s="28"/>
      <c r="U28989" s="28"/>
    </row>
    <row r="28990">
      <c r="N28990" s="28"/>
      <c r="O28990" s="28"/>
      <c r="U28990" s="28"/>
    </row>
    <row r="28991">
      <c r="N28991" s="28"/>
      <c r="O28991" s="28"/>
      <c r="U28991" s="28"/>
    </row>
    <row r="28992">
      <c r="N28992" s="28"/>
      <c r="O28992" s="28"/>
      <c r="U28992" s="28"/>
    </row>
    <row r="28993">
      <c r="N28993" s="28"/>
      <c r="O28993" s="28"/>
      <c r="U28993" s="28"/>
    </row>
    <row r="28994">
      <c r="N28994" s="28"/>
      <c r="O28994" s="28"/>
      <c r="U28994" s="28"/>
    </row>
    <row r="28995">
      <c r="N28995" s="28"/>
      <c r="O28995" s="28"/>
      <c r="U28995" s="28"/>
    </row>
    <row r="28996">
      <c r="N28996" s="28"/>
      <c r="O28996" s="28"/>
      <c r="U28996" s="28"/>
    </row>
    <row r="28997">
      <c r="N28997" s="28"/>
      <c r="O28997" s="28"/>
      <c r="U28997" s="28"/>
    </row>
    <row r="28998">
      <c r="N28998" s="28"/>
      <c r="O28998" s="28"/>
      <c r="U28998" s="28"/>
    </row>
    <row r="28999">
      <c r="N28999" s="28"/>
      <c r="O28999" s="28"/>
      <c r="U28999" s="28"/>
    </row>
    <row r="29000">
      <c r="N29000" s="28"/>
      <c r="O29000" s="28"/>
      <c r="U29000" s="28"/>
    </row>
    <row r="29001">
      <c r="N29001" s="28"/>
      <c r="O29001" s="28"/>
      <c r="U29001" s="28"/>
    </row>
    <row r="29002">
      <c r="N29002" s="28"/>
      <c r="O29002" s="28"/>
      <c r="U29002" s="28"/>
    </row>
    <row r="29003">
      <c r="N29003" s="28"/>
      <c r="O29003" s="28"/>
      <c r="U29003" s="28"/>
    </row>
    <row r="29004">
      <c r="N29004" s="28"/>
      <c r="O29004" s="28"/>
      <c r="U29004" s="28"/>
    </row>
    <row r="29005">
      <c r="N29005" s="28"/>
      <c r="O29005" s="28"/>
      <c r="U29005" s="28"/>
    </row>
    <row r="29006">
      <c r="N29006" s="28"/>
      <c r="O29006" s="28"/>
      <c r="U29006" s="28"/>
    </row>
    <row r="29007">
      <c r="N29007" s="28"/>
      <c r="O29007" s="28"/>
      <c r="U29007" s="28"/>
    </row>
    <row r="29008">
      <c r="N29008" s="28"/>
      <c r="O29008" s="28"/>
      <c r="U29008" s="28"/>
    </row>
    <row r="29009">
      <c r="N29009" s="28"/>
      <c r="O29009" s="28"/>
      <c r="U29009" s="28"/>
    </row>
    <row r="29010">
      <c r="N29010" s="28"/>
      <c r="O29010" s="28"/>
      <c r="U29010" s="28"/>
    </row>
    <row r="29011">
      <c r="N29011" s="28"/>
      <c r="O29011" s="28"/>
      <c r="U29011" s="28"/>
    </row>
    <row r="29012">
      <c r="N29012" s="28"/>
      <c r="O29012" s="28"/>
      <c r="U29012" s="28"/>
    </row>
    <row r="29013">
      <c r="N29013" s="28"/>
      <c r="O29013" s="28"/>
      <c r="U29013" s="28"/>
    </row>
    <row r="29014">
      <c r="N29014" s="28"/>
      <c r="O29014" s="28"/>
      <c r="U29014" s="28"/>
    </row>
    <row r="29015">
      <c r="N29015" s="28"/>
      <c r="O29015" s="28"/>
      <c r="U29015" s="28"/>
    </row>
    <row r="29016">
      <c r="N29016" s="28"/>
      <c r="O29016" s="28"/>
      <c r="U29016" s="28"/>
    </row>
    <row r="29017">
      <c r="N29017" s="28"/>
      <c r="O29017" s="28"/>
      <c r="U29017" s="28"/>
    </row>
    <row r="29018">
      <c r="N29018" s="28"/>
      <c r="O29018" s="28"/>
      <c r="U29018" s="28"/>
    </row>
    <row r="29019">
      <c r="N29019" s="28"/>
      <c r="O29019" s="28"/>
      <c r="U29019" s="28"/>
    </row>
    <row r="29020">
      <c r="N29020" s="28"/>
      <c r="O29020" s="28"/>
      <c r="U29020" s="28"/>
    </row>
    <row r="29021">
      <c r="N29021" s="28"/>
      <c r="O29021" s="28"/>
      <c r="U29021" s="28"/>
    </row>
    <row r="29022">
      <c r="N29022" s="28"/>
      <c r="O29022" s="28"/>
      <c r="U29022" s="28"/>
    </row>
    <row r="29023">
      <c r="N29023" s="28"/>
      <c r="O29023" s="28"/>
      <c r="U29023" s="28"/>
    </row>
    <row r="29024">
      <c r="N29024" s="28"/>
      <c r="O29024" s="28"/>
      <c r="U29024" s="28"/>
    </row>
    <row r="29025">
      <c r="N29025" s="28"/>
      <c r="O29025" s="28"/>
      <c r="U29025" s="28"/>
    </row>
    <row r="29026">
      <c r="N29026" s="28"/>
      <c r="O29026" s="28"/>
      <c r="U29026" s="28"/>
    </row>
    <row r="29027">
      <c r="N29027" s="28"/>
      <c r="O29027" s="28"/>
      <c r="U29027" s="28"/>
    </row>
    <row r="29028">
      <c r="N29028" s="28"/>
      <c r="O29028" s="28"/>
      <c r="U29028" s="28"/>
    </row>
    <row r="29029">
      <c r="N29029" s="28"/>
      <c r="O29029" s="28"/>
      <c r="U29029" s="28"/>
    </row>
    <row r="29030">
      <c r="N29030" s="28"/>
      <c r="O29030" s="28"/>
      <c r="U29030" s="28"/>
    </row>
    <row r="29031">
      <c r="N29031" s="28"/>
      <c r="O29031" s="28"/>
      <c r="U29031" s="28"/>
    </row>
    <row r="29032">
      <c r="N29032" s="28"/>
      <c r="O29032" s="28"/>
      <c r="U29032" s="28"/>
    </row>
    <row r="29033">
      <c r="N29033" s="28"/>
      <c r="O29033" s="28"/>
      <c r="U29033" s="28"/>
    </row>
    <row r="29034">
      <c r="N29034" s="28"/>
      <c r="O29034" s="28"/>
      <c r="U29034" s="28"/>
    </row>
    <row r="29035">
      <c r="N29035" s="28"/>
      <c r="O29035" s="28"/>
      <c r="U29035" s="28"/>
    </row>
    <row r="29036">
      <c r="N29036" s="28"/>
      <c r="O29036" s="28"/>
      <c r="U29036" s="28"/>
    </row>
    <row r="29037">
      <c r="N29037" s="28"/>
      <c r="O29037" s="28"/>
      <c r="U29037" s="28"/>
    </row>
    <row r="29038">
      <c r="N29038" s="28"/>
      <c r="O29038" s="28"/>
      <c r="U29038" s="28"/>
    </row>
    <row r="29039">
      <c r="N29039" s="28"/>
      <c r="O29039" s="28"/>
      <c r="U29039" s="28"/>
    </row>
    <row r="29040">
      <c r="N29040" s="28"/>
      <c r="O29040" s="28"/>
      <c r="U29040" s="28"/>
    </row>
    <row r="29041">
      <c r="N29041" s="28"/>
      <c r="O29041" s="28"/>
      <c r="U29041" s="28"/>
    </row>
    <row r="29042">
      <c r="N29042" s="28"/>
      <c r="O29042" s="28"/>
      <c r="U29042" s="28"/>
    </row>
    <row r="29043">
      <c r="N29043" s="28"/>
      <c r="O29043" s="28"/>
      <c r="U29043" s="28"/>
    </row>
    <row r="29044">
      <c r="N29044" s="28"/>
      <c r="O29044" s="28"/>
      <c r="U29044" s="28"/>
    </row>
    <row r="29045">
      <c r="N29045" s="28"/>
      <c r="O29045" s="28"/>
      <c r="U29045" s="28"/>
    </row>
    <row r="29046">
      <c r="N29046" s="28"/>
      <c r="O29046" s="28"/>
      <c r="U29046" s="28"/>
    </row>
    <row r="29047">
      <c r="N29047" s="28"/>
      <c r="O29047" s="28"/>
      <c r="U29047" s="28"/>
    </row>
    <row r="29048">
      <c r="N29048" s="28"/>
      <c r="O29048" s="28"/>
      <c r="U29048" s="28"/>
    </row>
    <row r="29049">
      <c r="N29049" s="28"/>
      <c r="O29049" s="28"/>
      <c r="U29049" s="28"/>
    </row>
    <row r="29050">
      <c r="N29050" s="28"/>
      <c r="O29050" s="28"/>
      <c r="U29050" s="28"/>
    </row>
    <row r="29051">
      <c r="N29051" s="28"/>
      <c r="O29051" s="28"/>
      <c r="U29051" s="28"/>
    </row>
    <row r="29052">
      <c r="N29052" s="28"/>
      <c r="O29052" s="28"/>
      <c r="U29052" s="28"/>
    </row>
    <row r="29053">
      <c r="N29053" s="28"/>
      <c r="O29053" s="28"/>
      <c r="U29053" s="28"/>
    </row>
    <row r="29054">
      <c r="N29054" s="28"/>
      <c r="O29054" s="28"/>
      <c r="U29054" s="28"/>
    </row>
    <row r="29055">
      <c r="N29055" s="28"/>
      <c r="O29055" s="28"/>
      <c r="U29055" s="28"/>
    </row>
    <row r="29056">
      <c r="N29056" s="28"/>
      <c r="O29056" s="28"/>
      <c r="U29056" s="28"/>
    </row>
    <row r="29057">
      <c r="N29057" s="28"/>
      <c r="O29057" s="28"/>
      <c r="U29057" s="28"/>
    </row>
    <row r="29058">
      <c r="N29058" s="28"/>
      <c r="O29058" s="28"/>
      <c r="U29058" s="28"/>
    </row>
    <row r="29059">
      <c r="N29059" s="28"/>
      <c r="O29059" s="28"/>
      <c r="U29059" s="28"/>
    </row>
    <row r="29060">
      <c r="N29060" s="28"/>
      <c r="O29060" s="28"/>
      <c r="U29060" s="28"/>
    </row>
    <row r="29061">
      <c r="N29061" s="28"/>
      <c r="O29061" s="28"/>
      <c r="U29061" s="28"/>
    </row>
    <row r="29062">
      <c r="N29062" s="28"/>
      <c r="O29062" s="28"/>
      <c r="U29062" s="28"/>
    </row>
    <row r="29063">
      <c r="N29063" s="28"/>
      <c r="O29063" s="28"/>
      <c r="U29063" s="28"/>
    </row>
    <row r="29064">
      <c r="N29064" s="28"/>
      <c r="O29064" s="28"/>
      <c r="U29064" s="28"/>
    </row>
    <row r="29065">
      <c r="N29065" s="28"/>
      <c r="O29065" s="28"/>
      <c r="U29065" s="28"/>
    </row>
    <row r="29066">
      <c r="N29066" s="28"/>
      <c r="O29066" s="28"/>
      <c r="U29066" s="28"/>
    </row>
    <row r="29067">
      <c r="N29067" s="28"/>
      <c r="O29067" s="28"/>
      <c r="U29067" s="28"/>
    </row>
    <row r="29068">
      <c r="N29068" s="28"/>
      <c r="O29068" s="28"/>
      <c r="U29068" s="28"/>
    </row>
    <row r="29069">
      <c r="N29069" s="28"/>
      <c r="O29069" s="28"/>
      <c r="U29069" s="28"/>
    </row>
    <row r="29070">
      <c r="N29070" s="28"/>
      <c r="O29070" s="28"/>
      <c r="U29070" s="28"/>
    </row>
    <row r="29071">
      <c r="N29071" s="28"/>
      <c r="O29071" s="28"/>
      <c r="U29071" s="28"/>
    </row>
    <row r="29072">
      <c r="N29072" s="28"/>
      <c r="O29072" s="28"/>
      <c r="U29072" s="28"/>
    </row>
    <row r="29073">
      <c r="N29073" s="28"/>
      <c r="O29073" s="28"/>
      <c r="U29073" s="28"/>
    </row>
    <row r="29074">
      <c r="N29074" s="28"/>
      <c r="O29074" s="28"/>
      <c r="U29074" s="28"/>
    </row>
    <row r="29075">
      <c r="N29075" s="28"/>
      <c r="O29075" s="28"/>
      <c r="U29075" s="28"/>
    </row>
    <row r="29076">
      <c r="N29076" s="28"/>
      <c r="O29076" s="28"/>
      <c r="U29076" s="28"/>
    </row>
    <row r="29077">
      <c r="N29077" s="28"/>
      <c r="O29077" s="28"/>
      <c r="U29077" s="28"/>
    </row>
    <row r="29078">
      <c r="N29078" s="28"/>
      <c r="O29078" s="28"/>
      <c r="U29078" s="28"/>
    </row>
    <row r="29079">
      <c r="N29079" s="28"/>
      <c r="O29079" s="28"/>
      <c r="U29079" s="28"/>
    </row>
    <row r="29080">
      <c r="N29080" s="28"/>
      <c r="O29080" s="28"/>
      <c r="U29080" s="28"/>
    </row>
    <row r="29081">
      <c r="N29081" s="28"/>
      <c r="O29081" s="28"/>
      <c r="U29081" s="28"/>
    </row>
    <row r="29082">
      <c r="N29082" s="28"/>
      <c r="O29082" s="28"/>
      <c r="U29082" s="28"/>
    </row>
    <row r="29083">
      <c r="N29083" s="28"/>
      <c r="O29083" s="28"/>
      <c r="U29083" s="28"/>
    </row>
    <row r="29084">
      <c r="N29084" s="28"/>
      <c r="O29084" s="28"/>
      <c r="U29084" s="28"/>
    </row>
    <row r="29085">
      <c r="N29085" s="28"/>
      <c r="O29085" s="28"/>
      <c r="U29085" s="28"/>
    </row>
    <row r="29086">
      <c r="N29086" s="28"/>
      <c r="O29086" s="28"/>
      <c r="U29086" s="28"/>
    </row>
    <row r="29087">
      <c r="N29087" s="28"/>
      <c r="O29087" s="28"/>
      <c r="U29087" s="28"/>
    </row>
    <row r="29088">
      <c r="N29088" s="28"/>
      <c r="O29088" s="28"/>
      <c r="U29088" s="28"/>
    </row>
    <row r="29089">
      <c r="N29089" s="28"/>
      <c r="O29089" s="28"/>
      <c r="U29089" s="28"/>
    </row>
    <row r="29090">
      <c r="N29090" s="28"/>
      <c r="O29090" s="28"/>
      <c r="U29090" s="28"/>
    </row>
    <row r="29091">
      <c r="N29091" s="28"/>
      <c r="O29091" s="28"/>
      <c r="U29091" s="28"/>
    </row>
    <row r="29092">
      <c r="N29092" s="28"/>
      <c r="O29092" s="28"/>
      <c r="U29092" s="28"/>
    </row>
    <row r="29093">
      <c r="N29093" s="28"/>
      <c r="O29093" s="28"/>
      <c r="U29093" s="28"/>
    </row>
    <row r="29094">
      <c r="N29094" s="28"/>
      <c r="O29094" s="28"/>
      <c r="U29094" s="28"/>
    </row>
    <row r="29095">
      <c r="N29095" s="28"/>
      <c r="O29095" s="28"/>
      <c r="U29095" s="28"/>
    </row>
    <row r="29096">
      <c r="N29096" s="28"/>
      <c r="O29096" s="28"/>
      <c r="U29096" s="28"/>
    </row>
    <row r="29097">
      <c r="N29097" s="28"/>
      <c r="O29097" s="28"/>
      <c r="U29097" s="28"/>
    </row>
    <row r="29098">
      <c r="N29098" s="28"/>
      <c r="O29098" s="28"/>
      <c r="U29098" s="28"/>
    </row>
    <row r="29099">
      <c r="N29099" s="28"/>
      <c r="O29099" s="28"/>
      <c r="U29099" s="28"/>
    </row>
    <row r="29100">
      <c r="N29100" s="28"/>
      <c r="O29100" s="28"/>
      <c r="U29100" s="28"/>
    </row>
    <row r="29101">
      <c r="N29101" s="28"/>
      <c r="O29101" s="28"/>
      <c r="U29101" s="28"/>
    </row>
    <row r="29102">
      <c r="N29102" s="28"/>
      <c r="O29102" s="28"/>
      <c r="U29102" s="28"/>
    </row>
    <row r="29103">
      <c r="N29103" s="28"/>
      <c r="O29103" s="28"/>
      <c r="U29103" s="28"/>
    </row>
    <row r="29104">
      <c r="N29104" s="28"/>
      <c r="O29104" s="28"/>
      <c r="U29104" s="28"/>
    </row>
    <row r="29105">
      <c r="N29105" s="28"/>
      <c r="O29105" s="28"/>
      <c r="U29105" s="28"/>
    </row>
    <row r="29106">
      <c r="N29106" s="28"/>
      <c r="O29106" s="28"/>
      <c r="U29106" s="28"/>
    </row>
    <row r="29107">
      <c r="N29107" s="28"/>
      <c r="O29107" s="28"/>
      <c r="U29107" s="28"/>
    </row>
    <row r="29108">
      <c r="N29108" s="28"/>
      <c r="O29108" s="28"/>
      <c r="U29108" s="28"/>
    </row>
    <row r="29109">
      <c r="N29109" s="28"/>
      <c r="O29109" s="28"/>
      <c r="U29109" s="28"/>
    </row>
    <row r="29110">
      <c r="N29110" s="28"/>
      <c r="O29110" s="28"/>
      <c r="U29110" s="28"/>
    </row>
    <row r="29111">
      <c r="N29111" s="28"/>
      <c r="O29111" s="28"/>
      <c r="U29111" s="28"/>
    </row>
    <row r="29112">
      <c r="N29112" s="28"/>
      <c r="O29112" s="28"/>
      <c r="U29112" s="28"/>
    </row>
    <row r="29113">
      <c r="N29113" s="28"/>
      <c r="O29113" s="28"/>
      <c r="U29113" s="28"/>
    </row>
    <row r="29114">
      <c r="N29114" s="28"/>
      <c r="O29114" s="28"/>
      <c r="U29114" s="28"/>
    </row>
    <row r="29115">
      <c r="N29115" s="28"/>
      <c r="O29115" s="28"/>
      <c r="U29115" s="28"/>
    </row>
    <row r="29116">
      <c r="N29116" s="28"/>
      <c r="O29116" s="28"/>
      <c r="U29116" s="28"/>
    </row>
    <row r="29117">
      <c r="N29117" s="28"/>
      <c r="O29117" s="28"/>
      <c r="U29117" s="28"/>
    </row>
    <row r="29118">
      <c r="N29118" s="28"/>
      <c r="O29118" s="28"/>
      <c r="U29118" s="28"/>
    </row>
    <row r="29119">
      <c r="N29119" s="28"/>
      <c r="O29119" s="28"/>
      <c r="U29119" s="28"/>
    </row>
    <row r="29120">
      <c r="N29120" s="28"/>
      <c r="O29120" s="28"/>
      <c r="U29120" s="28"/>
    </row>
    <row r="29121">
      <c r="N29121" s="28"/>
      <c r="O29121" s="28"/>
      <c r="U29121" s="28"/>
    </row>
    <row r="29122">
      <c r="N29122" s="28"/>
      <c r="O29122" s="28"/>
      <c r="U29122" s="28"/>
    </row>
    <row r="29123">
      <c r="N29123" s="28"/>
      <c r="O29123" s="28"/>
      <c r="U29123" s="28"/>
    </row>
    <row r="29124">
      <c r="N29124" s="28"/>
      <c r="O29124" s="28"/>
      <c r="U29124" s="28"/>
    </row>
    <row r="29125">
      <c r="N29125" s="28"/>
      <c r="O29125" s="28"/>
      <c r="U29125" s="28"/>
    </row>
    <row r="29126">
      <c r="N29126" s="28"/>
      <c r="O29126" s="28"/>
      <c r="U29126" s="28"/>
    </row>
    <row r="29127">
      <c r="N29127" s="28"/>
      <c r="O29127" s="28"/>
      <c r="U29127" s="28"/>
    </row>
    <row r="29128">
      <c r="N29128" s="28"/>
      <c r="O29128" s="28"/>
      <c r="U29128" s="28"/>
    </row>
    <row r="29129">
      <c r="N29129" s="28"/>
      <c r="O29129" s="28"/>
      <c r="U29129" s="28"/>
    </row>
    <row r="29130">
      <c r="N29130" s="28"/>
      <c r="O29130" s="28"/>
      <c r="U29130" s="28"/>
    </row>
    <row r="29131">
      <c r="N29131" s="28"/>
      <c r="O29131" s="28"/>
      <c r="U29131" s="28"/>
    </row>
    <row r="29132">
      <c r="N29132" s="28"/>
      <c r="O29132" s="28"/>
      <c r="U29132" s="28"/>
    </row>
    <row r="29133">
      <c r="N29133" s="28"/>
      <c r="O29133" s="28"/>
      <c r="U29133" s="28"/>
    </row>
    <row r="29134">
      <c r="N29134" s="28"/>
      <c r="O29134" s="28"/>
      <c r="U29134" s="28"/>
    </row>
    <row r="29135">
      <c r="N29135" s="28"/>
      <c r="O29135" s="28"/>
      <c r="U29135" s="28"/>
    </row>
    <row r="29136">
      <c r="N29136" s="28"/>
      <c r="O29136" s="28"/>
      <c r="U29136" s="28"/>
    </row>
    <row r="29137">
      <c r="N29137" s="28"/>
      <c r="O29137" s="28"/>
      <c r="U29137" s="28"/>
    </row>
    <row r="29138">
      <c r="N29138" s="28"/>
      <c r="O29138" s="28"/>
      <c r="U29138" s="28"/>
    </row>
    <row r="29139">
      <c r="N29139" s="28"/>
      <c r="O29139" s="28"/>
      <c r="U29139" s="28"/>
    </row>
    <row r="29140">
      <c r="N29140" s="28"/>
      <c r="O29140" s="28"/>
      <c r="U29140" s="28"/>
    </row>
    <row r="29141">
      <c r="N29141" s="28"/>
      <c r="O29141" s="28"/>
      <c r="U29141" s="28"/>
    </row>
    <row r="29142">
      <c r="N29142" s="28"/>
      <c r="O29142" s="28"/>
      <c r="U29142" s="28"/>
    </row>
    <row r="29143">
      <c r="N29143" s="28"/>
      <c r="O29143" s="28"/>
      <c r="U29143" s="28"/>
    </row>
    <row r="29144">
      <c r="N29144" s="28"/>
      <c r="O29144" s="28"/>
      <c r="U29144" s="28"/>
    </row>
    <row r="29145">
      <c r="N29145" s="28"/>
      <c r="O29145" s="28"/>
      <c r="U29145" s="28"/>
    </row>
    <row r="29146">
      <c r="N29146" s="28"/>
      <c r="O29146" s="28"/>
      <c r="U29146" s="28"/>
    </row>
    <row r="29147">
      <c r="N29147" s="28"/>
      <c r="O29147" s="28"/>
      <c r="U29147" s="28"/>
    </row>
    <row r="29148">
      <c r="N29148" s="28"/>
      <c r="O29148" s="28"/>
      <c r="U29148" s="28"/>
    </row>
    <row r="29149">
      <c r="N29149" s="28"/>
      <c r="O29149" s="28"/>
      <c r="U29149" s="28"/>
    </row>
    <row r="29150">
      <c r="N29150" s="28"/>
      <c r="O29150" s="28"/>
      <c r="U29150" s="28"/>
    </row>
    <row r="29151">
      <c r="N29151" s="28"/>
      <c r="O29151" s="28"/>
      <c r="U29151" s="28"/>
    </row>
    <row r="29152">
      <c r="N29152" s="28"/>
      <c r="O29152" s="28"/>
      <c r="U29152" s="28"/>
    </row>
    <row r="29153">
      <c r="N29153" s="28"/>
      <c r="O29153" s="28"/>
      <c r="U29153" s="28"/>
    </row>
    <row r="29154">
      <c r="N29154" s="28"/>
      <c r="O29154" s="28"/>
      <c r="U29154" s="28"/>
    </row>
    <row r="29155">
      <c r="N29155" s="28"/>
      <c r="O29155" s="28"/>
      <c r="U29155" s="28"/>
    </row>
    <row r="29156">
      <c r="N29156" s="28"/>
      <c r="O29156" s="28"/>
      <c r="U29156" s="28"/>
    </row>
    <row r="29157">
      <c r="N29157" s="28"/>
      <c r="O29157" s="28"/>
      <c r="U29157" s="28"/>
    </row>
    <row r="29158">
      <c r="N29158" s="28"/>
      <c r="O29158" s="28"/>
      <c r="U29158" s="28"/>
    </row>
    <row r="29159">
      <c r="N29159" s="28"/>
      <c r="O29159" s="28"/>
      <c r="U29159" s="28"/>
    </row>
    <row r="29160">
      <c r="N29160" s="28"/>
      <c r="O29160" s="28"/>
      <c r="U29160" s="28"/>
    </row>
    <row r="29161">
      <c r="N29161" s="28"/>
      <c r="O29161" s="28"/>
      <c r="U29161" s="28"/>
    </row>
    <row r="29162">
      <c r="N29162" s="28"/>
      <c r="O29162" s="28"/>
      <c r="U29162" s="28"/>
    </row>
    <row r="29163">
      <c r="N29163" s="28"/>
      <c r="O29163" s="28"/>
      <c r="U29163" s="28"/>
    </row>
    <row r="29164">
      <c r="N29164" s="28"/>
      <c r="O29164" s="28"/>
      <c r="U29164" s="28"/>
    </row>
    <row r="29165">
      <c r="N29165" s="28"/>
      <c r="O29165" s="28"/>
      <c r="U29165" s="28"/>
    </row>
    <row r="29166">
      <c r="N29166" s="28"/>
      <c r="O29166" s="28"/>
      <c r="U29166" s="28"/>
    </row>
    <row r="29167">
      <c r="N29167" s="28"/>
      <c r="O29167" s="28"/>
      <c r="U29167" s="28"/>
    </row>
    <row r="29168">
      <c r="N29168" s="28"/>
      <c r="O29168" s="28"/>
      <c r="U29168" s="28"/>
    </row>
    <row r="29169">
      <c r="N29169" s="28"/>
      <c r="O29169" s="28"/>
      <c r="U29169" s="28"/>
    </row>
    <row r="29170">
      <c r="N29170" s="28"/>
      <c r="O29170" s="28"/>
      <c r="U29170" s="28"/>
    </row>
    <row r="29171">
      <c r="N29171" s="28"/>
      <c r="O29171" s="28"/>
      <c r="U29171" s="28"/>
    </row>
    <row r="29172">
      <c r="N29172" s="28"/>
      <c r="O29172" s="28"/>
      <c r="U29172" s="28"/>
    </row>
    <row r="29173">
      <c r="N29173" s="28"/>
      <c r="O29173" s="28"/>
      <c r="U29173" s="28"/>
    </row>
    <row r="29174">
      <c r="N29174" s="28"/>
      <c r="O29174" s="28"/>
      <c r="U29174" s="28"/>
    </row>
    <row r="29175">
      <c r="N29175" s="28"/>
      <c r="O29175" s="28"/>
      <c r="U29175" s="28"/>
    </row>
    <row r="29176">
      <c r="N29176" s="28"/>
      <c r="O29176" s="28"/>
      <c r="U29176" s="28"/>
    </row>
    <row r="29177">
      <c r="N29177" s="28"/>
      <c r="O29177" s="28"/>
      <c r="U29177" s="28"/>
    </row>
    <row r="29178">
      <c r="N29178" s="28"/>
      <c r="O29178" s="28"/>
      <c r="U29178" s="28"/>
    </row>
    <row r="29179">
      <c r="N29179" s="28"/>
      <c r="O29179" s="28"/>
      <c r="U29179" s="28"/>
    </row>
    <row r="29180">
      <c r="N29180" s="28"/>
      <c r="O29180" s="28"/>
      <c r="U29180" s="28"/>
    </row>
    <row r="29181">
      <c r="N29181" s="28"/>
      <c r="O29181" s="28"/>
      <c r="U29181" s="28"/>
    </row>
    <row r="29182">
      <c r="N29182" s="28"/>
      <c r="O29182" s="28"/>
      <c r="U29182" s="28"/>
    </row>
    <row r="29183">
      <c r="N29183" s="28"/>
      <c r="O29183" s="28"/>
      <c r="U29183" s="28"/>
    </row>
    <row r="29184">
      <c r="N29184" s="28"/>
      <c r="O29184" s="28"/>
      <c r="U29184" s="28"/>
    </row>
    <row r="29185">
      <c r="N29185" s="28"/>
      <c r="O29185" s="28"/>
      <c r="U29185" s="28"/>
    </row>
    <row r="29186">
      <c r="N29186" s="28"/>
      <c r="O29186" s="28"/>
      <c r="U29186" s="28"/>
    </row>
    <row r="29187">
      <c r="N29187" s="28"/>
      <c r="O29187" s="28"/>
      <c r="U29187" s="28"/>
    </row>
    <row r="29188">
      <c r="N29188" s="28"/>
      <c r="O29188" s="28"/>
      <c r="U29188" s="28"/>
    </row>
    <row r="29189">
      <c r="N29189" s="28"/>
      <c r="O29189" s="28"/>
      <c r="U29189" s="28"/>
    </row>
    <row r="29190">
      <c r="N29190" s="28"/>
      <c r="O29190" s="28"/>
      <c r="U29190" s="28"/>
    </row>
    <row r="29191">
      <c r="N29191" s="28"/>
      <c r="O29191" s="28"/>
      <c r="U29191" s="28"/>
    </row>
    <row r="29192">
      <c r="N29192" s="28"/>
      <c r="O29192" s="28"/>
      <c r="U29192" s="28"/>
    </row>
    <row r="29193">
      <c r="N29193" s="28"/>
      <c r="O29193" s="28"/>
      <c r="U29193" s="28"/>
    </row>
    <row r="29194">
      <c r="N29194" s="28"/>
      <c r="O29194" s="28"/>
      <c r="U29194" s="28"/>
    </row>
    <row r="29195">
      <c r="N29195" s="28"/>
      <c r="O29195" s="28"/>
      <c r="U29195" s="28"/>
    </row>
    <row r="29196">
      <c r="N29196" s="28"/>
      <c r="O29196" s="28"/>
      <c r="U29196" s="28"/>
    </row>
    <row r="29197">
      <c r="N29197" s="28"/>
      <c r="O29197" s="28"/>
      <c r="U29197" s="28"/>
    </row>
    <row r="29198">
      <c r="N29198" s="28"/>
      <c r="O29198" s="28"/>
      <c r="U29198" s="28"/>
    </row>
    <row r="29199">
      <c r="N29199" s="28"/>
      <c r="O29199" s="28"/>
      <c r="U29199" s="28"/>
    </row>
    <row r="29200">
      <c r="N29200" s="28"/>
      <c r="O29200" s="28"/>
      <c r="U29200" s="28"/>
    </row>
    <row r="29201">
      <c r="N29201" s="28"/>
      <c r="O29201" s="28"/>
      <c r="U29201" s="28"/>
    </row>
    <row r="29202">
      <c r="N29202" s="28"/>
      <c r="O29202" s="28"/>
      <c r="U29202" s="28"/>
    </row>
    <row r="29203">
      <c r="N29203" s="28"/>
      <c r="O29203" s="28"/>
      <c r="U29203" s="28"/>
    </row>
    <row r="29204">
      <c r="N29204" s="28"/>
      <c r="O29204" s="28"/>
      <c r="U29204" s="28"/>
    </row>
    <row r="29205">
      <c r="N29205" s="28"/>
      <c r="O29205" s="28"/>
      <c r="U29205" s="28"/>
    </row>
    <row r="29206">
      <c r="N29206" s="28"/>
      <c r="O29206" s="28"/>
      <c r="U29206" s="28"/>
    </row>
    <row r="29207">
      <c r="N29207" s="28"/>
      <c r="O29207" s="28"/>
      <c r="U29207" s="28"/>
    </row>
    <row r="29208">
      <c r="N29208" s="28"/>
      <c r="O29208" s="28"/>
      <c r="U29208" s="28"/>
    </row>
    <row r="29209">
      <c r="N29209" s="28"/>
      <c r="O29209" s="28"/>
      <c r="U29209" s="28"/>
    </row>
    <row r="29210">
      <c r="N29210" s="28"/>
      <c r="O29210" s="28"/>
      <c r="U29210" s="28"/>
    </row>
    <row r="29211">
      <c r="N29211" s="28"/>
      <c r="O29211" s="28"/>
      <c r="U29211" s="28"/>
    </row>
    <row r="29212">
      <c r="N29212" s="28"/>
      <c r="O29212" s="28"/>
      <c r="U29212" s="28"/>
    </row>
    <row r="29213">
      <c r="N29213" s="28"/>
      <c r="O29213" s="28"/>
      <c r="U29213" s="28"/>
    </row>
    <row r="29214">
      <c r="N29214" s="28"/>
      <c r="O29214" s="28"/>
      <c r="U29214" s="28"/>
    </row>
    <row r="29215">
      <c r="N29215" s="28"/>
      <c r="O29215" s="28"/>
      <c r="U29215" s="28"/>
    </row>
    <row r="29216">
      <c r="N29216" s="28"/>
      <c r="O29216" s="28"/>
      <c r="U29216" s="28"/>
    </row>
    <row r="29217">
      <c r="N29217" s="28"/>
      <c r="O29217" s="28"/>
      <c r="U29217" s="28"/>
    </row>
    <row r="29218">
      <c r="N29218" s="28"/>
      <c r="O29218" s="28"/>
      <c r="U29218" s="28"/>
    </row>
    <row r="29219">
      <c r="N29219" s="28"/>
      <c r="O29219" s="28"/>
      <c r="U29219" s="28"/>
    </row>
    <row r="29220">
      <c r="N29220" s="28"/>
      <c r="O29220" s="28"/>
      <c r="U29220" s="28"/>
    </row>
    <row r="29221">
      <c r="N29221" s="28"/>
      <c r="O29221" s="28"/>
      <c r="U29221" s="28"/>
    </row>
    <row r="29222">
      <c r="N29222" s="28"/>
      <c r="O29222" s="28"/>
      <c r="U29222" s="28"/>
    </row>
    <row r="29223">
      <c r="N29223" s="28"/>
      <c r="O29223" s="28"/>
      <c r="U29223" s="28"/>
    </row>
    <row r="29224">
      <c r="N29224" s="28"/>
      <c r="O29224" s="28"/>
      <c r="U29224" s="28"/>
    </row>
    <row r="29225">
      <c r="N29225" s="28"/>
      <c r="O29225" s="28"/>
      <c r="U29225" s="28"/>
    </row>
    <row r="29226">
      <c r="N29226" s="28"/>
      <c r="O29226" s="28"/>
      <c r="U29226" s="28"/>
    </row>
    <row r="29227">
      <c r="N29227" s="28"/>
      <c r="O29227" s="28"/>
      <c r="U29227" s="28"/>
    </row>
    <row r="29228">
      <c r="N29228" s="28"/>
      <c r="O29228" s="28"/>
      <c r="U29228" s="28"/>
    </row>
    <row r="29229">
      <c r="N29229" s="28"/>
      <c r="O29229" s="28"/>
      <c r="U29229" s="28"/>
    </row>
    <row r="29230">
      <c r="N29230" s="28"/>
      <c r="O29230" s="28"/>
      <c r="U29230" s="28"/>
    </row>
    <row r="29231">
      <c r="N29231" s="28"/>
      <c r="O29231" s="28"/>
      <c r="U29231" s="28"/>
    </row>
    <row r="29232">
      <c r="N29232" s="28"/>
      <c r="O29232" s="28"/>
      <c r="U29232" s="28"/>
    </row>
    <row r="29233">
      <c r="N29233" s="28"/>
      <c r="O29233" s="28"/>
      <c r="U29233" s="28"/>
    </row>
    <row r="29234">
      <c r="N29234" s="28"/>
      <c r="O29234" s="28"/>
      <c r="U29234" s="28"/>
    </row>
    <row r="29235">
      <c r="N29235" s="28"/>
      <c r="O29235" s="28"/>
      <c r="U29235" s="28"/>
    </row>
    <row r="29236">
      <c r="N29236" s="28"/>
      <c r="O29236" s="28"/>
      <c r="U29236" s="28"/>
    </row>
    <row r="29237">
      <c r="N29237" s="28"/>
      <c r="O29237" s="28"/>
      <c r="U29237" s="28"/>
    </row>
    <row r="29238">
      <c r="N29238" s="28"/>
      <c r="O29238" s="28"/>
      <c r="U29238" s="28"/>
    </row>
    <row r="29239">
      <c r="N29239" s="28"/>
      <c r="O29239" s="28"/>
      <c r="U29239" s="28"/>
    </row>
    <row r="29240">
      <c r="N29240" s="28"/>
      <c r="O29240" s="28"/>
      <c r="U29240" s="28"/>
    </row>
    <row r="29241">
      <c r="N29241" s="28"/>
      <c r="O29241" s="28"/>
      <c r="U29241" s="28"/>
    </row>
    <row r="29242">
      <c r="N29242" s="28"/>
      <c r="O29242" s="28"/>
      <c r="U29242" s="28"/>
    </row>
    <row r="29243">
      <c r="N29243" s="28"/>
      <c r="O29243" s="28"/>
      <c r="U29243" s="28"/>
    </row>
    <row r="29244">
      <c r="N29244" s="28"/>
      <c r="O29244" s="28"/>
      <c r="U29244" s="28"/>
    </row>
    <row r="29245">
      <c r="N29245" s="28"/>
      <c r="O29245" s="28"/>
      <c r="U29245" s="28"/>
    </row>
    <row r="29246">
      <c r="N29246" s="28"/>
      <c r="O29246" s="28"/>
      <c r="U29246" s="28"/>
    </row>
    <row r="29247">
      <c r="N29247" s="28"/>
      <c r="O29247" s="28"/>
      <c r="U29247" s="28"/>
    </row>
    <row r="29248">
      <c r="N29248" s="28"/>
      <c r="O29248" s="28"/>
      <c r="U29248" s="28"/>
    </row>
    <row r="29249">
      <c r="N29249" s="28"/>
      <c r="O29249" s="28"/>
      <c r="U29249" s="28"/>
    </row>
    <row r="29250">
      <c r="N29250" s="28"/>
      <c r="O29250" s="28"/>
      <c r="U29250" s="28"/>
    </row>
    <row r="29251">
      <c r="N29251" s="28"/>
      <c r="O29251" s="28"/>
      <c r="U29251" s="28"/>
    </row>
    <row r="29252">
      <c r="N29252" s="28"/>
      <c r="O29252" s="28"/>
      <c r="U29252" s="28"/>
    </row>
    <row r="29253">
      <c r="N29253" s="28"/>
      <c r="O29253" s="28"/>
      <c r="U29253" s="28"/>
    </row>
    <row r="29254">
      <c r="N29254" s="28"/>
      <c r="O29254" s="28"/>
      <c r="U29254" s="28"/>
    </row>
    <row r="29255">
      <c r="N29255" s="28"/>
      <c r="O29255" s="28"/>
      <c r="U29255" s="28"/>
    </row>
    <row r="29256">
      <c r="N29256" s="28"/>
      <c r="O29256" s="28"/>
      <c r="U29256" s="28"/>
    </row>
    <row r="29257">
      <c r="N29257" s="28"/>
      <c r="O29257" s="28"/>
      <c r="U29257" s="28"/>
    </row>
    <row r="29258">
      <c r="N29258" s="28"/>
      <c r="O29258" s="28"/>
      <c r="U29258" s="28"/>
    </row>
    <row r="29259">
      <c r="N29259" s="28"/>
      <c r="O29259" s="28"/>
      <c r="U29259" s="28"/>
    </row>
    <row r="29260">
      <c r="N29260" s="28"/>
      <c r="O29260" s="28"/>
      <c r="U29260" s="28"/>
    </row>
    <row r="29261">
      <c r="N29261" s="28"/>
      <c r="O29261" s="28"/>
      <c r="U29261" s="28"/>
    </row>
    <row r="29262">
      <c r="N29262" s="28"/>
      <c r="O29262" s="28"/>
      <c r="U29262" s="28"/>
    </row>
    <row r="29263">
      <c r="N29263" s="28"/>
      <c r="O29263" s="28"/>
      <c r="U29263" s="28"/>
    </row>
    <row r="29264">
      <c r="N29264" s="28"/>
      <c r="O29264" s="28"/>
      <c r="U29264" s="28"/>
    </row>
    <row r="29265">
      <c r="N29265" s="28"/>
      <c r="O29265" s="28"/>
      <c r="U29265" s="28"/>
    </row>
    <row r="29266">
      <c r="N29266" s="28"/>
      <c r="O29266" s="28"/>
      <c r="U29266" s="28"/>
    </row>
    <row r="29267">
      <c r="N29267" s="28"/>
      <c r="O29267" s="28"/>
      <c r="U29267" s="28"/>
    </row>
    <row r="29268">
      <c r="N29268" s="28"/>
      <c r="O29268" s="28"/>
      <c r="U29268" s="28"/>
    </row>
    <row r="29269">
      <c r="N29269" s="28"/>
      <c r="O29269" s="28"/>
      <c r="U29269" s="28"/>
    </row>
    <row r="29270">
      <c r="N29270" s="28"/>
      <c r="O29270" s="28"/>
      <c r="U29270" s="28"/>
    </row>
    <row r="29271">
      <c r="N29271" s="28"/>
      <c r="O29271" s="28"/>
      <c r="U29271" s="28"/>
    </row>
    <row r="29272">
      <c r="N29272" s="28"/>
      <c r="O29272" s="28"/>
      <c r="U29272" s="28"/>
    </row>
    <row r="29273">
      <c r="N29273" s="28"/>
      <c r="O29273" s="28"/>
      <c r="U29273" s="28"/>
    </row>
    <row r="29274">
      <c r="N29274" s="28"/>
      <c r="O29274" s="28"/>
      <c r="U29274" s="28"/>
    </row>
    <row r="29275">
      <c r="N29275" s="28"/>
      <c r="O29275" s="28"/>
      <c r="U29275" s="28"/>
    </row>
    <row r="29276">
      <c r="N29276" s="28"/>
      <c r="O29276" s="28"/>
      <c r="U29276" s="28"/>
    </row>
    <row r="29277">
      <c r="N29277" s="28"/>
      <c r="O29277" s="28"/>
      <c r="U29277" s="28"/>
    </row>
    <row r="29278">
      <c r="N29278" s="28"/>
      <c r="O29278" s="28"/>
      <c r="U29278" s="28"/>
    </row>
    <row r="29279">
      <c r="N29279" s="28"/>
      <c r="O29279" s="28"/>
      <c r="U29279" s="28"/>
    </row>
    <row r="29280">
      <c r="N29280" s="28"/>
      <c r="O29280" s="28"/>
      <c r="U29280" s="28"/>
    </row>
    <row r="29281">
      <c r="N29281" s="28"/>
      <c r="O29281" s="28"/>
      <c r="U29281" s="28"/>
    </row>
    <row r="29282">
      <c r="N29282" s="28"/>
      <c r="O29282" s="28"/>
      <c r="U29282" s="28"/>
    </row>
    <row r="29283">
      <c r="N29283" s="28"/>
      <c r="O29283" s="28"/>
      <c r="U29283" s="28"/>
    </row>
    <row r="29284">
      <c r="N29284" s="28"/>
      <c r="O29284" s="28"/>
      <c r="U29284" s="28"/>
    </row>
    <row r="29285">
      <c r="N29285" s="28"/>
      <c r="O29285" s="28"/>
      <c r="U29285" s="28"/>
    </row>
    <row r="29286">
      <c r="N29286" s="28"/>
      <c r="O29286" s="28"/>
      <c r="U29286" s="28"/>
    </row>
    <row r="29287">
      <c r="N29287" s="28"/>
      <c r="O29287" s="28"/>
      <c r="U29287" s="28"/>
    </row>
    <row r="29288">
      <c r="N29288" s="28"/>
      <c r="O29288" s="28"/>
      <c r="U29288" s="28"/>
    </row>
    <row r="29289">
      <c r="N29289" s="28"/>
      <c r="O29289" s="28"/>
      <c r="U29289" s="28"/>
    </row>
    <row r="29290">
      <c r="N29290" s="28"/>
      <c r="O29290" s="28"/>
      <c r="U29290" s="28"/>
    </row>
    <row r="29291">
      <c r="N29291" s="28"/>
      <c r="O29291" s="28"/>
      <c r="U29291" s="28"/>
    </row>
    <row r="29292">
      <c r="N29292" s="28"/>
      <c r="O29292" s="28"/>
      <c r="U29292" s="28"/>
    </row>
    <row r="29293">
      <c r="N29293" s="28"/>
      <c r="O29293" s="28"/>
      <c r="U29293" s="28"/>
    </row>
    <row r="29294">
      <c r="N29294" s="28"/>
      <c r="O29294" s="28"/>
      <c r="U29294" s="28"/>
    </row>
    <row r="29295">
      <c r="N29295" s="28"/>
      <c r="O29295" s="28"/>
      <c r="U29295" s="28"/>
    </row>
    <row r="29296">
      <c r="N29296" s="28"/>
      <c r="O29296" s="28"/>
      <c r="U29296" s="28"/>
    </row>
    <row r="29297">
      <c r="N29297" s="28"/>
      <c r="O29297" s="28"/>
      <c r="U29297" s="28"/>
    </row>
    <row r="29298">
      <c r="N29298" s="28"/>
      <c r="O29298" s="28"/>
      <c r="U29298" s="28"/>
    </row>
    <row r="29299">
      <c r="N29299" s="28"/>
      <c r="O29299" s="28"/>
      <c r="U29299" s="28"/>
    </row>
    <row r="29300">
      <c r="N29300" s="28"/>
      <c r="O29300" s="28"/>
      <c r="U29300" s="28"/>
    </row>
    <row r="29301">
      <c r="N29301" s="28"/>
      <c r="O29301" s="28"/>
      <c r="U29301" s="28"/>
    </row>
    <row r="29302">
      <c r="N29302" s="28"/>
      <c r="O29302" s="28"/>
      <c r="U29302" s="28"/>
    </row>
    <row r="29303">
      <c r="N29303" s="28"/>
      <c r="O29303" s="28"/>
      <c r="U29303" s="28"/>
    </row>
    <row r="29304">
      <c r="N29304" s="28"/>
      <c r="O29304" s="28"/>
      <c r="U29304" s="28"/>
    </row>
    <row r="29305">
      <c r="N29305" s="28"/>
      <c r="O29305" s="28"/>
      <c r="U29305" s="28"/>
    </row>
    <row r="29306">
      <c r="N29306" s="28"/>
      <c r="O29306" s="28"/>
      <c r="U29306" s="28"/>
    </row>
    <row r="29307">
      <c r="N29307" s="28"/>
      <c r="O29307" s="28"/>
      <c r="U29307" s="28"/>
    </row>
    <row r="29308">
      <c r="N29308" s="28"/>
      <c r="O29308" s="28"/>
      <c r="U29308" s="28"/>
    </row>
    <row r="29309">
      <c r="N29309" s="28"/>
      <c r="O29309" s="28"/>
      <c r="U29309" s="28"/>
    </row>
    <row r="29310">
      <c r="N29310" s="28"/>
      <c r="O29310" s="28"/>
      <c r="U29310" s="28"/>
    </row>
    <row r="29311">
      <c r="N29311" s="28"/>
      <c r="O29311" s="28"/>
      <c r="U29311" s="28"/>
    </row>
    <row r="29312">
      <c r="N29312" s="28"/>
      <c r="O29312" s="28"/>
      <c r="U29312" s="28"/>
    </row>
    <row r="29313">
      <c r="N29313" s="28"/>
      <c r="O29313" s="28"/>
      <c r="U29313" s="28"/>
    </row>
    <row r="29314">
      <c r="N29314" s="28"/>
      <c r="O29314" s="28"/>
      <c r="U29314" s="28"/>
    </row>
    <row r="29315">
      <c r="N29315" s="28"/>
      <c r="O29315" s="28"/>
      <c r="U29315" s="28"/>
    </row>
    <row r="29316">
      <c r="N29316" s="28"/>
      <c r="O29316" s="28"/>
      <c r="U29316" s="28"/>
    </row>
    <row r="29317">
      <c r="N29317" s="28"/>
      <c r="O29317" s="28"/>
      <c r="U29317" s="28"/>
    </row>
    <row r="29318">
      <c r="N29318" s="28"/>
      <c r="O29318" s="28"/>
      <c r="U29318" s="28"/>
    </row>
    <row r="29319">
      <c r="N29319" s="28"/>
      <c r="O29319" s="28"/>
      <c r="U29319" s="28"/>
    </row>
    <row r="29320">
      <c r="N29320" s="28"/>
      <c r="O29320" s="28"/>
      <c r="U29320" s="28"/>
    </row>
    <row r="29321">
      <c r="N29321" s="28"/>
      <c r="O29321" s="28"/>
      <c r="U29321" s="28"/>
    </row>
    <row r="29322">
      <c r="N29322" s="28"/>
      <c r="O29322" s="28"/>
      <c r="U29322" s="28"/>
    </row>
    <row r="29323">
      <c r="N29323" s="28"/>
      <c r="O29323" s="28"/>
      <c r="U29323" s="28"/>
    </row>
    <row r="29324">
      <c r="N29324" s="28"/>
      <c r="O29324" s="28"/>
      <c r="U29324" s="28"/>
    </row>
    <row r="29325">
      <c r="N29325" s="28"/>
      <c r="O29325" s="28"/>
      <c r="U29325" s="28"/>
    </row>
    <row r="29326">
      <c r="N29326" s="28"/>
      <c r="O29326" s="28"/>
      <c r="U29326" s="28"/>
    </row>
    <row r="29327">
      <c r="N29327" s="28"/>
      <c r="O29327" s="28"/>
      <c r="U29327" s="28"/>
    </row>
    <row r="29328">
      <c r="N29328" s="28"/>
      <c r="O29328" s="28"/>
      <c r="U29328" s="28"/>
    </row>
    <row r="29329">
      <c r="N29329" s="28"/>
      <c r="O29329" s="28"/>
      <c r="U29329" s="28"/>
    </row>
    <row r="29330">
      <c r="N29330" s="28"/>
      <c r="O29330" s="28"/>
      <c r="U29330" s="28"/>
    </row>
    <row r="29331">
      <c r="N29331" s="28"/>
      <c r="O29331" s="28"/>
      <c r="U29331" s="28"/>
    </row>
    <row r="29332">
      <c r="N29332" s="28"/>
      <c r="O29332" s="28"/>
      <c r="U29332" s="28"/>
    </row>
    <row r="29333">
      <c r="N29333" s="28"/>
      <c r="O29333" s="28"/>
      <c r="U29333" s="28"/>
    </row>
    <row r="29334">
      <c r="N29334" s="28"/>
      <c r="O29334" s="28"/>
      <c r="U29334" s="28"/>
    </row>
    <row r="29335">
      <c r="N29335" s="28"/>
      <c r="O29335" s="28"/>
      <c r="U29335" s="28"/>
    </row>
    <row r="29336">
      <c r="N29336" s="28"/>
      <c r="O29336" s="28"/>
      <c r="U29336" s="28"/>
    </row>
    <row r="29337">
      <c r="N29337" s="28"/>
      <c r="O29337" s="28"/>
      <c r="U29337" s="28"/>
    </row>
    <row r="29338">
      <c r="N29338" s="28"/>
      <c r="O29338" s="28"/>
      <c r="U29338" s="28"/>
    </row>
    <row r="29339">
      <c r="N29339" s="28"/>
      <c r="O29339" s="28"/>
      <c r="U29339" s="28"/>
    </row>
    <row r="29340">
      <c r="N29340" s="28"/>
      <c r="O29340" s="28"/>
      <c r="U29340" s="28"/>
    </row>
    <row r="29341">
      <c r="N29341" s="28"/>
      <c r="O29341" s="28"/>
      <c r="U29341" s="28"/>
    </row>
    <row r="29342">
      <c r="N29342" s="28"/>
      <c r="O29342" s="28"/>
      <c r="U29342" s="28"/>
    </row>
    <row r="29343">
      <c r="N29343" s="28"/>
      <c r="O29343" s="28"/>
      <c r="U29343" s="28"/>
    </row>
    <row r="29344">
      <c r="N29344" s="28"/>
      <c r="O29344" s="28"/>
      <c r="U29344" s="28"/>
    </row>
    <row r="29345">
      <c r="N29345" s="28"/>
      <c r="O29345" s="28"/>
      <c r="U29345" s="28"/>
    </row>
    <row r="29346">
      <c r="N29346" s="28"/>
      <c r="O29346" s="28"/>
      <c r="U29346" s="28"/>
    </row>
    <row r="29347">
      <c r="N29347" s="28"/>
      <c r="O29347" s="28"/>
      <c r="U29347" s="28"/>
    </row>
    <row r="29348">
      <c r="N29348" s="28"/>
      <c r="O29348" s="28"/>
      <c r="U29348" s="28"/>
    </row>
    <row r="29349">
      <c r="N29349" s="28"/>
      <c r="O29349" s="28"/>
      <c r="U29349" s="28"/>
    </row>
    <row r="29350">
      <c r="N29350" s="28"/>
      <c r="O29350" s="28"/>
      <c r="U29350" s="28"/>
    </row>
    <row r="29351">
      <c r="N29351" s="28"/>
      <c r="O29351" s="28"/>
      <c r="U29351" s="28"/>
    </row>
    <row r="29352">
      <c r="N29352" s="28"/>
      <c r="O29352" s="28"/>
      <c r="U29352" s="28"/>
    </row>
    <row r="29353">
      <c r="N29353" s="28"/>
      <c r="O29353" s="28"/>
      <c r="U29353" s="28"/>
    </row>
    <row r="29354">
      <c r="N29354" s="28"/>
      <c r="O29354" s="28"/>
      <c r="U29354" s="28"/>
    </row>
    <row r="29355">
      <c r="N29355" s="28"/>
      <c r="O29355" s="28"/>
      <c r="U29355" s="28"/>
    </row>
    <row r="29356">
      <c r="N29356" s="28"/>
      <c r="O29356" s="28"/>
      <c r="U29356" s="28"/>
    </row>
    <row r="29357">
      <c r="N29357" s="28"/>
      <c r="O29357" s="28"/>
      <c r="U29357" s="28"/>
    </row>
    <row r="29358">
      <c r="N29358" s="28"/>
      <c r="O29358" s="28"/>
      <c r="U29358" s="28"/>
    </row>
    <row r="29359">
      <c r="N29359" s="28"/>
      <c r="O29359" s="28"/>
      <c r="U29359" s="28"/>
    </row>
    <row r="29360">
      <c r="N29360" s="28"/>
      <c r="O29360" s="28"/>
      <c r="U29360" s="28"/>
    </row>
    <row r="29361">
      <c r="N29361" s="28"/>
      <c r="O29361" s="28"/>
      <c r="U29361" s="28"/>
    </row>
    <row r="29362">
      <c r="N29362" s="28"/>
      <c r="O29362" s="28"/>
      <c r="U29362" s="28"/>
    </row>
    <row r="29363">
      <c r="N29363" s="28"/>
      <c r="O29363" s="28"/>
      <c r="U29363" s="28"/>
    </row>
    <row r="29364">
      <c r="N29364" s="28"/>
      <c r="O29364" s="28"/>
      <c r="U29364" s="28"/>
    </row>
    <row r="29365">
      <c r="N29365" s="28"/>
      <c r="O29365" s="28"/>
      <c r="U29365" s="28"/>
    </row>
    <row r="29366">
      <c r="N29366" s="28"/>
      <c r="O29366" s="28"/>
      <c r="U29366" s="28"/>
    </row>
    <row r="29367">
      <c r="N29367" s="28"/>
      <c r="O29367" s="28"/>
      <c r="U29367" s="28"/>
    </row>
    <row r="29368">
      <c r="N29368" s="28"/>
      <c r="O29368" s="28"/>
      <c r="U29368" s="28"/>
    </row>
    <row r="29369">
      <c r="N29369" s="28"/>
      <c r="O29369" s="28"/>
      <c r="U29369" s="28"/>
    </row>
    <row r="29370">
      <c r="N29370" s="28"/>
      <c r="O29370" s="28"/>
      <c r="U29370" s="28"/>
    </row>
    <row r="29371">
      <c r="N29371" s="28"/>
      <c r="O29371" s="28"/>
      <c r="U29371" s="28"/>
    </row>
    <row r="29372">
      <c r="N29372" s="28"/>
      <c r="O29372" s="28"/>
      <c r="U29372" s="28"/>
    </row>
    <row r="29373">
      <c r="N29373" s="28"/>
      <c r="O29373" s="28"/>
      <c r="U29373" s="28"/>
    </row>
    <row r="29374">
      <c r="N29374" s="28"/>
      <c r="O29374" s="28"/>
      <c r="U29374" s="28"/>
    </row>
    <row r="29375">
      <c r="N29375" s="28"/>
      <c r="O29375" s="28"/>
      <c r="U29375" s="28"/>
    </row>
    <row r="29376">
      <c r="N29376" s="28"/>
      <c r="O29376" s="28"/>
      <c r="U29376" s="28"/>
    </row>
    <row r="29377">
      <c r="N29377" s="28"/>
      <c r="O29377" s="28"/>
      <c r="U29377" s="28"/>
    </row>
    <row r="29378">
      <c r="N29378" s="28"/>
      <c r="O29378" s="28"/>
      <c r="U29378" s="28"/>
    </row>
    <row r="29379">
      <c r="N29379" s="28"/>
      <c r="O29379" s="28"/>
      <c r="U29379" s="28"/>
    </row>
    <row r="29380">
      <c r="N29380" s="28"/>
      <c r="O29380" s="28"/>
      <c r="U29380" s="28"/>
    </row>
    <row r="29381">
      <c r="N29381" s="28"/>
      <c r="O29381" s="28"/>
      <c r="U29381" s="28"/>
    </row>
    <row r="29382">
      <c r="N29382" s="28"/>
      <c r="O29382" s="28"/>
      <c r="U29382" s="28"/>
    </row>
    <row r="29383">
      <c r="N29383" s="28"/>
      <c r="O29383" s="28"/>
      <c r="U29383" s="28"/>
    </row>
    <row r="29384">
      <c r="N29384" s="28"/>
      <c r="O29384" s="28"/>
      <c r="U29384" s="28"/>
    </row>
    <row r="29385">
      <c r="N29385" s="28"/>
      <c r="O29385" s="28"/>
      <c r="U29385" s="28"/>
    </row>
    <row r="29386">
      <c r="N29386" s="28"/>
      <c r="O29386" s="28"/>
      <c r="U29386" s="28"/>
    </row>
    <row r="29387">
      <c r="N29387" s="28"/>
      <c r="O29387" s="28"/>
      <c r="U29387" s="28"/>
    </row>
    <row r="29388">
      <c r="N29388" s="28"/>
      <c r="O29388" s="28"/>
      <c r="U29388" s="28"/>
    </row>
    <row r="29389">
      <c r="N29389" s="28"/>
      <c r="O29389" s="28"/>
      <c r="U29389" s="28"/>
    </row>
    <row r="29390">
      <c r="N29390" s="28"/>
      <c r="O29390" s="28"/>
      <c r="U29390" s="28"/>
    </row>
    <row r="29391">
      <c r="N29391" s="28"/>
      <c r="O29391" s="28"/>
      <c r="U29391" s="28"/>
    </row>
    <row r="29392">
      <c r="N29392" s="28"/>
      <c r="O29392" s="28"/>
      <c r="U29392" s="28"/>
    </row>
    <row r="29393">
      <c r="N29393" s="28"/>
      <c r="O29393" s="28"/>
      <c r="U29393" s="28"/>
    </row>
    <row r="29394">
      <c r="N29394" s="28"/>
      <c r="O29394" s="28"/>
      <c r="U29394" s="28"/>
    </row>
    <row r="29395">
      <c r="N29395" s="28"/>
      <c r="O29395" s="28"/>
      <c r="U29395" s="28"/>
    </row>
    <row r="29396">
      <c r="N29396" s="28"/>
      <c r="O29396" s="28"/>
      <c r="U29396" s="28"/>
    </row>
    <row r="29397">
      <c r="N29397" s="28"/>
      <c r="O29397" s="28"/>
      <c r="U29397" s="28"/>
    </row>
    <row r="29398">
      <c r="N29398" s="28"/>
      <c r="O29398" s="28"/>
      <c r="U29398" s="28"/>
    </row>
    <row r="29399">
      <c r="N29399" s="28"/>
      <c r="O29399" s="28"/>
      <c r="U29399" s="28"/>
    </row>
    <row r="29400">
      <c r="N29400" s="28"/>
      <c r="O29400" s="28"/>
      <c r="U29400" s="28"/>
    </row>
    <row r="29401">
      <c r="N29401" s="28"/>
      <c r="O29401" s="28"/>
      <c r="U29401" s="28"/>
    </row>
    <row r="29402">
      <c r="N29402" s="28"/>
      <c r="O29402" s="28"/>
      <c r="U29402" s="28"/>
    </row>
    <row r="29403">
      <c r="N29403" s="28"/>
      <c r="O29403" s="28"/>
      <c r="U29403" s="28"/>
    </row>
    <row r="29404">
      <c r="N29404" s="28"/>
      <c r="O29404" s="28"/>
      <c r="U29404" s="28"/>
    </row>
    <row r="29405">
      <c r="N29405" s="28"/>
      <c r="O29405" s="28"/>
      <c r="U29405" s="28"/>
    </row>
    <row r="29406">
      <c r="N29406" s="28"/>
      <c r="O29406" s="28"/>
      <c r="U29406" s="28"/>
    </row>
    <row r="29407">
      <c r="N29407" s="28"/>
      <c r="O29407" s="28"/>
      <c r="U29407" s="28"/>
    </row>
    <row r="29408">
      <c r="N29408" s="28"/>
      <c r="O29408" s="28"/>
      <c r="U29408" s="28"/>
    </row>
    <row r="29409">
      <c r="N29409" s="28"/>
      <c r="O29409" s="28"/>
      <c r="U29409" s="28"/>
    </row>
    <row r="29410">
      <c r="N29410" s="28"/>
      <c r="O29410" s="28"/>
      <c r="U29410" s="28"/>
    </row>
    <row r="29411">
      <c r="N29411" s="28"/>
      <c r="O29411" s="28"/>
      <c r="U29411" s="28"/>
    </row>
    <row r="29412">
      <c r="N29412" s="28"/>
      <c r="O29412" s="28"/>
      <c r="U29412" s="28"/>
    </row>
    <row r="29413">
      <c r="N29413" s="28"/>
      <c r="O29413" s="28"/>
      <c r="U29413" s="28"/>
    </row>
    <row r="29414">
      <c r="N29414" s="28"/>
      <c r="O29414" s="28"/>
      <c r="U29414" s="28"/>
    </row>
    <row r="29415">
      <c r="N29415" s="28"/>
      <c r="O29415" s="28"/>
      <c r="U29415" s="28"/>
    </row>
    <row r="29416">
      <c r="N29416" s="28"/>
      <c r="O29416" s="28"/>
      <c r="U29416" s="28"/>
    </row>
    <row r="29417">
      <c r="N29417" s="28"/>
      <c r="O29417" s="28"/>
      <c r="U29417" s="28"/>
    </row>
    <row r="29418">
      <c r="N29418" s="28"/>
      <c r="O29418" s="28"/>
      <c r="U29418" s="28"/>
    </row>
    <row r="29419">
      <c r="N29419" s="28"/>
      <c r="O29419" s="28"/>
      <c r="U29419" s="28"/>
    </row>
    <row r="29420">
      <c r="N29420" s="28"/>
      <c r="O29420" s="28"/>
      <c r="U29420" s="28"/>
    </row>
    <row r="29421">
      <c r="N29421" s="28"/>
      <c r="O29421" s="28"/>
      <c r="U29421" s="28"/>
    </row>
    <row r="29422">
      <c r="N29422" s="28"/>
      <c r="O29422" s="28"/>
      <c r="U29422" s="28"/>
    </row>
    <row r="29423">
      <c r="N29423" s="28"/>
      <c r="O29423" s="28"/>
      <c r="U29423" s="28"/>
    </row>
    <row r="29424">
      <c r="N29424" s="28"/>
      <c r="O29424" s="28"/>
      <c r="U29424" s="28"/>
    </row>
    <row r="29425">
      <c r="N29425" s="28"/>
      <c r="O29425" s="28"/>
      <c r="U29425" s="28"/>
    </row>
    <row r="29426">
      <c r="N29426" s="28"/>
      <c r="O29426" s="28"/>
      <c r="U29426" s="28"/>
    </row>
    <row r="29427">
      <c r="N29427" s="28"/>
      <c r="O29427" s="28"/>
      <c r="U29427" s="28"/>
    </row>
    <row r="29428">
      <c r="N29428" s="28"/>
      <c r="O29428" s="28"/>
      <c r="U29428" s="28"/>
    </row>
    <row r="29429">
      <c r="N29429" s="28"/>
      <c r="O29429" s="28"/>
      <c r="U29429" s="28"/>
    </row>
    <row r="29430">
      <c r="N29430" s="28"/>
      <c r="O29430" s="28"/>
      <c r="U29430" s="28"/>
    </row>
    <row r="29431">
      <c r="N29431" s="28"/>
      <c r="O29431" s="28"/>
      <c r="U29431" s="28"/>
    </row>
    <row r="29432">
      <c r="N29432" s="28"/>
      <c r="O29432" s="28"/>
      <c r="U29432" s="28"/>
    </row>
    <row r="29433">
      <c r="N29433" s="28"/>
      <c r="O29433" s="28"/>
      <c r="U29433" s="28"/>
    </row>
    <row r="29434">
      <c r="N29434" s="28"/>
      <c r="O29434" s="28"/>
      <c r="U29434" s="28"/>
    </row>
    <row r="29435">
      <c r="N29435" s="28"/>
      <c r="O29435" s="28"/>
      <c r="U29435" s="28"/>
    </row>
    <row r="29436">
      <c r="N29436" s="28"/>
      <c r="O29436" s="28"/>
      <c r="U29436" s="28"/>
    </row>
    <row r="29437">
      <c r="N29437" s="28"/>
      <c r="O29437" s="28"/>
      <c r="U29437" s="28"/>
    </row>
    <row r="29438">
      <c r="N29438" s="28"/>
      <c r="O29438" s="28"/>
      <c r="U29438" s="28"/>
    </row>
    <row r="29439">
      <c r="N29439" s="28"/>
      <c r="O29439" s="28"/>
      <c r="U29439" s="28"/>
    </row>
    <row r="29440">
      <c r="N29440" s="28"/>
      <c r="O29440" s="28"/>
      <c r="U29440" s="28"/>
    </row>
    <row r="29441">
      <c r="N29441" s="28"/>
      <c r="O29441" s="28"/>
      <c r="U29441" s="28"/>
    </row>
    <row r="29442">
      <c r="N29442" s="28"/>
      <c r="O29442" s="28"/>
      <c r="U29442" s="28"/>
    </row>
    <row r="29443">
      <c r="N29443" s="28"/>
      <c r="O29443" s="28"/>
      <c r="U29443" s="28"/>
    </row>
    <row r="29444">
      <c r="N29444" s="28"/>
      <c r="O29444" s="28"/>
      <c r="U29444" s="28"/>
    </row>
    <row r="29445">
      <c r="N29445" s="28"/>
      <c r="O29445" s="28"/>
      <c r="U29445" s="28"/>
    </row>
    <row r="29446">
      <c r="N29446" s="28"/>
      <c r="O29446" s="28"/>
      <c r="U29446" s="28"/>
    </row>
    <row r="29447">
      <c r="N29447" s="28"/>
      <c r="O29447" s="28"/>
      <c r="U29447" s="28"/>
    </row>
    <row r="29448">
      <c r="N29448" s="28"/>
      <c r="O29448" s="28"/>
      <c r="U29448" s="28"/>
    </row>
    <row r="29449">
      <c r="N29449" s="28"/>
      <c r="O29449" s="28"/>
      <c r="U29449" s="28"/>
    </row>
    <row r="29450">
      <c r="N29450" s="28"/>
      <c r="O29450" s="28"/>
      <c r="U29450" s="28"/>
    </row>
    <row r="29451">
      <c r="N29451" s="28"/>
      <c r="O29451" s="28"/>
      <c r="U29451" s="28"/>
    </row>
    <row r="29452">
      <c r="N29452" s="28"/>
      <c r="O29452" s="28"/>
      <c r="U29452" s="28"/>
    </row>
    <row r="29453">
      <c r="N29453" s="28"/>
      <c r="O29453" s="28"/>
      <c r="U29453" s="28"/>
    </row>
    <row r="29454">
      <c r="N29454" s="28"/>
      <c r="O29454" s="28"/>
      <c r="U29454" s="28"/>
    </row>
    <row r="29455">
      <c r="N29455" s="28"/>
      <c r="O29455" s="28"/>
      <c r="U29455" s="28"/>
    </row>
    <row r="29456">
      <c r="N29456" s="28"/>
      <c r="O29456" s="28"/>
      <c r="U29456" s="28"/>
    </row>
    <row r="29457">
      <c r="N29457" s="28"/>
      <c r="O29457" s="28"/>
      <c r="U29457" s="28"/>
    </row>
    <row r="29458">
      <c r="N29458" s="28"/>
      <c r="O29458" s="28"/>
      <c r="U29458" s="28"/>
    </row>
    <row r="29459">
      <c r="N29459" s="28"/>
      <c r="O29459" s="28"/>
      <c r="U29459" s="28"/>
    </row>
    <row r="29460">
      <c r="N29460" s="28"/>
      <c r="O29460" s="28"/>
      <c r="U29460" s="28"/>
    </row>
    <row r="29461">
      <c r="N29461" s="28"/>
      <c r="O29461" s="28"/>
      <c r="U29461" s="28"/>
    </row>
    <row r="29462">
      <c r="N29462" s="28"/>
      <c r="O29462" s="28"/>
      <c r="U29462" s="28"/>
    </row>
    <row r="29463">
      <c r="N29463" s="28"/>
      <c r="O29463" s="28"/>
      <c r="U29463" s="28"/>
    </row>
    <row r="29464">
      <c r="N29464" s="28"/>
      <c r="O29464" s="28"/>
      <c r="U29464" s="28"/>
    </row>
    <row r="29465">
      <c r="N29465" s="28"/>
      <c r="O29465" s="28"/>
      <c r="U29465" s="28"/>
    </row>
    <row r="29466">
      <c r="N29466" s="28"/>
      <c r="O29466" s="28"/>
      <c r="U29466" s="28"/>
    </row>
    <row r="29467">
      <c r="N29467" s="28"/>
      <c r="O29467" s="28"/>
      <c r="U29467" s="28"/>
    </row>
    <row r="29468">
      <c r="N29468" s="28"/>
      <c r="O29468" s="28"/>
      <c r="U29468" s="28"/>
    </row>
    <row r="29469">
      <c r="N29469" s="28"/>
      <c r="O29469" s="28"/>
      <c r="U29469" s="28"/>
    </row>
    <row r="29470">
      <c r="N29470" s="28"/>
      <c r="O29470" s="28"/>
      <c r="U29470" s="28"/>
    </row>
    <row r="29471">
      <c r="N29471" s="28"/>
      <c r="O29471" s="28"/>
      <c r="U29471" s="28"/>
    </row>
    <row r="29472">
      <c r="N29472" s="28"/>
      <c r="O29472" s="28"/>
      <c r="U29472" s="28"/>
    </row>
    <row r="29473">
      <c r="N29473" s="28"/>
      <c r="O29473" s="28"/>
      <c r="U29473" s="28"/>
    </row>
    <row r="29474">
      <c r="N29474" s="28"/>
      <c r="O29474" s="28"/>
      <c r="U29474" s="28"/>
    </row>
    <row r="29475">
      <c r="N29475" s="28"/>
      <c r="O29475" s="28"/>
      <c r="U29475" s="28"/>
    </row>
    <row r="29476">
      <c r="N29476" s="28"/>
      <c r="O29476" s="28"/>
      <c r="U29476" s="28"/>
    </row>
    <row r="29477">
      <c r="N29477" s="28"/>
      <c r="O29477" s="28"/>
      <c r="U29477" s="28"/>
    </row>
    <row r="29478">
      <c r="N29478" s="28"/>
      <c r="O29478" s="28"/>
      <c r="U29478" s="28"/>
    </row>
    <row r="29479">
      <c r="N29479" s="28"/>
      <c r="O29479" s="28"/>
      <c r="U29479" s="28"/>
    </row>
    <row r="29480">
      <c r="N29480" s="28"/>
      <c r="O29480" s="28"/>
      <c r="U29480" s="28"/>
    </row>
    <row r="29481">
      <c r="N29481" s="28"/>
      <c r="O29481" s="28"/>
      <c r="U29481" s="28"/>
    </row>
    <row r="29482">
      <c r="N29482" s="28"/>
      <c r="O29482" s="28"/>
      <c r="U29482" s="28"/>
    </row>
    <row r="29483">
      <c r="N29483" s="28"/>
      <c r="O29483" s="28"/>
      <c r="U29483" s="28"/>
    </row>
    <row r="29484">
      <c r="N29484" s="28"/>
      <c r="O29484" s="28"/>
      <c r="U29484" s="28"/>
    </row>
    <row r="29485">
      <c r="N29485" s="28"/>
      <c r="O29485" s="28"/>
      <c r="U29485" s="28"/>
    </row>
    <row r="29486">
      <c r="N29486" s="28"/>
      <c r="O29486" s="28"/>
      <c r="U29486" s="28"/>
    </row>
    <row r="29487">
      <c r="N29487" s="28"/>
      <c r="O29487" s="28"/>
      <c r="U29487" s="28"/>
    </row>
    <row r="29488">
      <c r="N29488" s="28"/>
      <c r="O29488" s="28"/>
      <c r="U29488" s="28"/>
    </row>
    <row r="29489">
      <c r="N29489" s="28"/>
      <c r="O29489" s="28"/>
      <c r="U29489" s="28"/>
    </row>
    <row r="29490">
      <c r="N29490" s="28"/>
      <c r="O29490" s="28"/>
      <c r="U29490" s="28"/>
    </row>
    <row r="29491">
      <c r="N29491" s="28"/>
      <c r="O29491" s="28"/>
      <c r="U29491" s="28"/>
    </row>
    <row r="29492">
      <c r="N29492" s="28"/>
      <c r="O29492" s="28"/>
      <c r="U29492" s="28"/>
    </row>
    <row r="29493">
      <c r="N29493" s="28"/>
      <c r="O29493" s="28"/>
      <c r="U29493" s="28"/>
    </row>
    <row r="29494">
      <c r="N29494" s="28"/>
      <c r="O29494" s="28"/>
      <c r="U29494" s="28"/>
    </row>
    <row r="29495">
      <c r="N29495" s="28"/>
      <c r="O29495" s="28"/>
      <c r="U29495" s="28"/>
    </row>
    <row r="29496">
      <c r="N29496" s="28"/>
      <c r="O29496" s="28"/>
      <c r="U29496" s="28"/>
    </row>
    <row r="29497">
      <c r="N29497" s="28"/>
      <c r="O29497" s="28"/>
      <c r="U29497" s="28"/>
    </row>
    <row r="29498">
      <c r="N29498" s="28"/>
      <c r="O29498" s="28"/>
      <c r="U29498" s="28"/>
    </row>
    <row r="29499">
      <c r="N29499" s="28"/>
      <c r="O29499" s="28"/>
      <c r="U29499" s="28"/>
    </row>
    <row r="29500">
      <c r="N29500" s="28"/>
      <c r="O29500" s="28"/>
      <c r="U29500" s="28"/>
    </row>
    <row r="29501">
      <c r="N29501" s="28"/>
      <c r="O29501" s="28"/>
      <c r="U29501" s="28"/>
    </row>
    <row r="29502">
      <c r="N29502" s="28"/>
      <c r="O29502" s="28"/>
      <c r="U29502" s="28"/>
    </row>
    <row r="29503">
      <c r="N29503" s="28"/>
      <c r="O29503" s="28"/>
      <c r="U29503" s="28"/>
    </row>
    <row r="29504">
      <c r="N29504" s="28"/>
      <c r="O29504" s="28"/>
      <c r="U29504" s="28"/>
    </row>
    <row r="29505">
      <c r="N29505" s="28"/>
      <c r="O29505" s="28"/>
      <c r="U29505" s="28"/>
    </row>
    <row r="29506">
      <c r="N29506" s="28"/>
      <c r="O29506" s="28"/>
      <c r="U29506" s="28"/>
    </row>
    <row r="29507">
      <c r="N29507" s="28"/>
      <c r="O29507" s="28"/>
      <c r="U29507" s="28"/>
    </row>
    <row r="29508">
      <c r="N29508" s="28"/>
      <c r="O29508" s="28"/>
      <c r="U29508" s="28"/>
    </row>
    <row r="29509">
      <c r="N29509" s="28"/>
      <c r="O29509" s="28"/>
      <c r="U29509" s="28"/>
    </row>
    <row r="29510">
      <c r="N29510" s="28"/>
      <c r="O29510" s="28"/>
      <c r="U29510" s="28"/>
    </row>
    <row r="29511">
      <c r="N29511" s="28"/>
      <c r="O29511" s="28"/>
      <c r="U29511" s="28"/>
    </row>
    <row r="29512">
      <c r="N29512" s="28"/>
      <c r="O29512" s="28"/>
      <c r="U29512" s="28"/>
    </row>
    <row r="29513">
      <c r="N29513" s="28"/>
      <c r="O29513" s="28"/>
      <c r="U29513" s="28"/>
    </row>
    <row r="29514">
      <c r="N29514" s="28"/>
      <c r="O29514" s="28"/>
      <c r="U29514" s="28"/>
    </row>
    <row r="29515">
      <c r="N29515" s="28"/>
      <c r="O29515" s="28"/>
      <c r="U29515" s="28"/>
    </row>
    <row r="29516">
      <c r="N29516" s="28"/>
      <c r="O29516" s="28"/>
      <c r="U29516" s="28"/>
    </row>
    <row r="29517">
      <c r="N29517" s="28"/>
      <c r="O29517" s="28"/>
      <c r="U29517" s="28"/>
    </row>
    <row r="29518">
      <c r="N29518" s="28"/>
      <c r="O29518" s="28"/>
      <c r="U29518" s="28"/>
    </row>
    <row r="29519">
      <c r="N29519" s="28"/>
      <c r="O29519" s="28"/>
      <c r="U29519" s="28"/>
    </row>
    <row r="29520">
      <c r="N29520" s="28"/>
      <c r="O29520" s="28"/>
      <c r="U29520" s="28"/>
    </row>
    <row r="29521">
      <c r="N29521" s="28"/>
      <c r="O29521" s="28"/>
      <c r="U29521" s="28"/>
    </row>
    <row r="29522">
      <c r="N29522" s="28"/>
      <c r="O29522" s="28"/>
      <c r="U29522" s="28"/>
    </row>
    <row r="29523">
      <c r="N29523" s="28"/>
      <c r="O29523" s="28"/>
      <c r="U29523" s="28"/>
    </row>
    <row r="29524">
      <c r="N29524" s="28"/>
      <c r="O29524" s="28"/>
      <c r="U29524" s="28"/>
    </row>
    <row r="29525">
      <c r="N29525" s="28"/>
      <c r="O29525" s="28"/>
      <c r="U29525" s="28"/>
    </row>
    <row r="29526">
      <c r="N29526" s="28"/>
      <c r="O29526" s="28"/>
      <c r="U29526" s="28"/>
    </row>
    <row r="29527">
      <c r="N29527" s="28"/>
      <c r="O29527" s="28"/>
      <c r="U29527" s="28"/>
    </row>
    <row r="29528">
      <c r="N29528" s="28"/>
      <c r="O29528" s="28"/>
      <c r="U29528" s="28"/>
    </row>
    <row r="29529">
      <c r="N29529" s="28"/>
      <c r="O29529" s="28"/>
      <c r="U29529" s="28"/>
    </row>
    <row r="29530">
      <c r="N29530" s="28"/>
      <c r="O29530" s="28"/>
      <c r="U29530" s="28"/>
    </row>
    <row r="29531">
      <c r="N29531" s="28"/>
      <c r="O29531" s="28"/>
      <c r="U29531" s="28"/>
    </row>
    <row r="29532">
      <c r="N29532" s="28"/>
      <c r="O29532" s="28"/>
      <c r="U29532" s="28"/>
    </row>
    <row r="29533">
      <c r="N29533" s="28"/>
      <c r="O29533" s="28"/>
      <c r="U29533" s="28"/>
    </row>
    <row r="29534">
      <c r="N29534" s="28"/>
      <c r="O29534" s="28"/>
      <c r="U29534" s="28"/>
    </row>
    <row r="29535">
      <c r="N29535" s="28"/>
      <c r="O29535" s="28"/>
      <c r="U29535" s="28"/>
    </row>
    <row r="29536">
      <c r="N29536" s="28"/>
      <c r="O29536" s="28"/>
      <c r="U29536" s="28"/>
    </row>
    <row r="29537">
      <c r="N29537" s="28"/>
      <c r="O29537" s="28"/>
      <c r="U29537" s="28"/>
    </row>
    <row r="29538">
      <c r="N29538" s="28"/>
      <c r="O29538" s="28"/>
      <c r="U29538" s="28"/>
    </row>
    <row r="29539">
      <c r="N29539" s="28"/>
      <c r="O29539" s="28"/>
      <c r="U29539" s="28"/>
    </row>
    <row r="29540">
      <c r="N29540" s="28"/>
      <c r="O29540" s="28"/>
      <c r="U29540" s="28"/>
    </row>
    <row r="29541">
      <c r="N29541" s="28"/>
      <c r="O29541" s="28"/>
      <c r="U29541" s="28"/>
    </row>
    <row r="29542">
      <c r="N29542" s="28"/>
      <c r="O29542" s="28"/>
      <c r="U29542" s="28"/>
    </row>
    <row r="29543">
      <c r="N29543" s="28"/>
      <c r="O29543" s="28"/>
      <c r="U29543" s="28"/>
    </row>
    <row r="29544">
      <c r="N29544" s="28"/>
      <c r="O29544" s="28"/>
      <c r="U29544" s="28"/>
    </row>
    <row r="29545">
      <c r="N29545" s="28"/>
      <c r="O29545" s="28"/>
      <c r="U29545" s="28"/>
    </row>
    <row r="29546">
      <c r="N29546" s="28"/>
      <c r="O29546" s="28"/>
      <c r="U29546" s="28"/>
    </row>
    <row r="29547">
      <c r="N29547" s="28"/>
      <c r="O29547" s="28"/>
      <c r="U29547" s="28"/>
    </row>
    <row r="29548">
      <c r="N29548" s="28"/>
      <c r="O29548" s="28"/>
      <c r="U29548" s="28"/>
    </row>
    <row r="29549">
      <c r="N29549" s="28"/>
      <c r="O29549" s="28"/>
      <c r="U29549" s="28"/>
    </row>
    <row r="29550">
      <c r="N29550" s="28"/>
      <c r="O29550" s="28"/>
      <c r="U29550" s="28"/>
    </row>
    <row r="29551">
      <c r="N29551" s="28"/>
      <c r="O29551" s="28"/>
      <c r="U29551" s="28"/>
    </row>
    <row r="29552">
      <c r="N29552" s="28"/>
      <c r="O29552" s="28"/>
      <c r="U29552" s="28"/>
    </row>
    <row r="29553">
      <c r="N29553" s="28"/>
      <c r="O29553" s="28"/>
      <c r="U29553" s="28"/>
    </row>
    <row r="29554">
      <c r="N29554" s="28"/>
      <c r="O29554" s="28"/>
      <c r="U29554" s="28"/>
    </row>
    <row r="29555">
      <c r="N29555" s="28"/>
      <c r="O29555" s="28"/>
      <c r="U29555" s="28"/>
    </row>
    <row r="29556">
      <c r="N29556" s="28"/>
      <c r="O29556" s="28"/>
      <c r="U29556" s="28"/>
    </row>
    <row r="29557">
      <c r="N29557" s="28"/>
      <c r="O29557" s="28"/>
      <c r="U29557" s="28"/>
    </row>
    <row r="29558">
      <c r="N29558" s="28"/>
      <c r="O29558" s="28"/>
      <c r="U29558" s="28"/>
    </row>
    <row r="29559">
      <c r="N29559" s="28"/>
      <c r="O29559" s="28"/>
      <c r="U29559" s="28"/>
    </row>
    <row r="29560">
      <c r="N29560" s="28"/>
      <c r="O29560" s="28"/>
      <c r="U29560" s="28"/>
    </row>
    <row r="29561">
      <c r="N29561" s="28"/>
      <c r="O29561" s="28"/>
      <c r="U29561" s="28"/>
    </row>
    <row r="29562">
      <c r="N29562" s="28"/>
      <c r="O29562" s="28"/>
      <c r="U29562" s="28"/>
    </row>
    <row r="29563">
      <c r="N29563" s="28"/>
      <c r="O29563" s="28"/>
      <c r="U29563" s="28"/>
    </row>
    <row r="29564">
      <c r="N29564" s="28"/>
      <c r="O29564" s="28"/>
      <c r="U29564" s="28"/>
    </row>
    <row r="29565">
      <c r="N29565" s="28"/>
      <c r="O29565" s="28"/>
      <c r="U29565" s="28"/>
    </row>
    <row r="29566">
      <c r="N29566" s="28"/>
      <c r="O29566" s="28"/>
      <c r="U29566" s="28"/>
    </row>
    <row r="29567">
      <c r="N29567" s="28"/>
      <c r="O29567" s="28"/>
      <c r="U29567" s="28"/>
    </row>
    <row r="29568">
      <c r="N29568" s="28"/>
      <c r="O29568" s="28"/>
      <c r="U29568" s="28"/>
    </row>
    <row r="29569">
      <c r="N29569" s="28"/>
      <c r="O29569" s="28"/>
      <c r="U29569" s="28"/>
    </row>
    <row r="29570">
      <c r="N29570" s="28"/>
      <c r="O29570" s="28"/>
      <c r="U29570" s="28"/>
    </row>
    <row r="29571">
      <c r="N29571" s="28"/>
      <c r="O29571" s="28"/>
      <c r="U29571" s="28"/>
    </row>
    <row r="29572">
      <c r="N29572" s="28"/>
      <c r="O29572" s="28"/>
      <c r="U29572" s="28"/>
    </row>
    <row r="29573">
      <c r="N29573" s="28"/>
      <c r="O29573" s="28"/>
      <c r="U29573" s="28"/>
    </row>
    <row r="29574">
      <c r="N29574" s="28"/>
      <c r="O29574" s="28"/>
      <c r="U29574" s="28"/>
    </row>
    <row r="29575">
      <c r="N29575" s="28"/>
      <c r="O29575" s="28"/>
      <c r="U29575" s="28"/>
    </row>
    <row r="29576">
      <c r="N29576" s="28"/>
      <c r="O29576" s="28"/>
      <c r="U29576" s="28"/>
    </row>
    <row r="29577">
      <c r="N29577" s="28"/>
      <c r="O29577" s="28"/>
      <c r="U29577" s="28"/>
    </row>
    <row r="29578">
      <c r="N29578" s="28"/>
      <c r="O29578" s="28"/>
      <c r="U29578" s="28"/>
    </row>
    <row r="29579">
      <c r="N29579" s="28"/>
      <c r="O29579" s="28"/>
      <c r="U29579" s="28"/>
    </row>
    <row r="29580">
      <c r="N29580" s="28"/>
      <c r="O29580" s="28"/>
      <c r="U29580" s="28"/>
    </row>
    <row r="29581">
      <c r="N29581" s="28"/>
      <c r="O29581" s="28"/>
      <c r="U29581" s="28"/>
    </row>
    <row r="29582">
      <c r="N29582" s="28"/>
      <c r="O29582" s="28"/>
      <c r="U29582" s="28"/>
    </row>
    <row r="29583">
      <c r="N29583" s="28"/>
      <c r="O29583" s="28"/>
      <c r="U29583" s="28"/>
    </row>
    <row r="29584">
      <c r="N29584" s="28"/>
      <c r="O29584" s="28"/>
      <c r="U29584" s="28"/>
    </row>
    <row r="29585">
      <c r="N29585" s="28"/>
      <c r="O29585" s="28"/>
      <c r="U29585" s="28"/>
    </row>
    <row r="29586">
      <c r="N29586" s="28"/>
      <c r="O29586" s="28"/>
      <c r="U29586" s="28"/>
    </row>
    <row r="29587">
      <c r="N29587" s="28"/>
      <c r="O29587" s="28"/>
      <c r="U29587" s="28"/>
    </row>
    <row r="29588">
      <c r="N29588" s="28"/>
      <c r="O29588" s="28"/>
      <c r="U29588" s="28"/>
    </row>
    <row r="29589">
      <c r="N29589" s="28"/>
      <c r="O29589" s="28"/>
      <c r="U29589" s="28"/>
    </row>
    <row r="29590">
      <c r="N29590" s="28"/>
      <c r="O29590" s="28"/>
      <c r="U29590" s="28"/>
    </row>
    <row r="29591">
      <c r="N29591" s="28"/>
      <c r="O29591" s="28"/>
      <c r="U29591" s="28"/>
    </row>
    <row r="29592">
      <c r="N29592" s="28"/>
      <c r="O29592" s="28"/>
      <c r="U29592" s="28"/>
    </row>
    <row r="29593">
      <c r="N29593" s="28"/>
      <c r="O29593" s="28"/>
      <c r="U29593" s="28"/>
    </row>
    <row r="29594">
      <c r="N29594" s="28"/>
      <c r="O29594" s="28"/>
      <c r="U29594" s="28"/>
    </row>
    <row r="29595">
      <c r="N29595" s="28"/>
      <c r="O29595" s="28"/>
      <c r="U29595" s="28"/>
    </row>
    <row r="29596">
      <c r="N29596" s="28"/>
      <c r="O29596" s="28"/>
      <c r="U29596" s="28"/>
    </row>
    <row r="29597">
      <c r="N29597" s="28"/>
      <c r="O29597" s="28"/>
      <c r="U29597" s="28"/>
    </row>
    <row r="29598">
      <c r="N29598" s="28"/>
      <c r="O29598" s="28"/>
      <c r="U29598" s="28"/>
    </row>
    <row r="29599">
      <c r="N29599" s="28"/>
      <c r="O29599" s="28"/>
      <c r="U29599" s="28"/>
    </row>
    <row r="29600">
      <c r="N29600" s="28"/>
      <c r="O29600" s="28"/>
      <c r="U29600" s="28"/>
    </row>
    <row r="29601">
      <c r="N29601" s="28"/>
      <c r="O29601" s="28"/>
      <c r="U29601" s="28"/>
    </row>
    <row r="29602">
      <c r="N29602" s="28"/>
      <c r="O29602" s="28"/>
      <c r="U29602" s="28"/>
    </row>
    <row r="29603">
      <c r="N29603" s="28"/>
      <c r="O29603" s="28"/>
      <c r="U29603" s="28"/>
    </row>
    <row r="29604">
      <c r="N29604" s="28"/>
      <c r="O29604" s="28"/>
      <c r="U29604" s="28"/>
    </row>
    <row r="29605">
      <c r="N29605" s="28"/>
      <c r="O29605" s="28"/>
      <c r="U29605" s="28"/>
    </row>
    <row r="29606">
      <c r="N29606" s="28"/>
      <c r="O29606" s="28"/>
      <c r="U29606" s="28"/>
    </row>
    <row r="29607">
      <c r="N29607" s="28"/>
      <c r="O29607" s="28"/>
      <c r="U29607" s="28"/>
    </row>
    <row r="29608">
      <c r="N29608" s="28"/>
      <c r="O29608" s="28"/>
      <c r="U29608" s="28"/>
    </row>
    <row r="29609">
      <c r="N29609" s="28"/>
      <c r="O29609" s="28"/>
      <c r="U29609" s="28"/>
    </row>
    <row r="29610">
      <c r="N29610" s="28"/>
      <c r="O29610" s="28"/>
      <c r="U29610" s="28"/>
    </row>
    <row r="29611">
      <c r="N29611" s="28"/>
      <c r="O29611" s="28"/>
      <c r="U29611" s="28"/>
    </row>
    <row r="29612">
      <c r="N29612" s="28"/>
      <c r="O29612" s="28"/>
      <c r="U29612" s="28"/>
    </row>
    <row r="29613">
      <c r="N29613" s="28"/>
      <c r="O29613" s="28"/>
      <c r="U29613" s="28"/>
    </row>
    <row r="29614">
      <c r="N29614" s="28"/>
      <c r="O29614" s="28"/>
      <c r="U29614" s="28"/>
    </row>
    <row r="29615">
      <c r="N29615" s="28"/>
      <c r="O29615" s="28"/>
      <c r="U29615" s="28"/>
    </row>
    <row r="29616">
      <c r="N29616" s="28"/>
      <c r="O29616" s="28"/>
      <c r="U29616" s="28"/>
    </row>
    <row r="29617">
      <c r="N29617" s="28"/>
      <c r="O29617" s="28"/>
      <c r="U29617" s="28"/>
    </row>
    <row r="29618">
      <c r="N29618" s="28"/>
      <c r="O29618" s="28"/>
      <c r="U29618" s="28"/>
    </row>
    <row r="29619">
      <c r="N29619" s="28"/>
      <c r="O29619" s="28"/>
      <c r="U29619" s="28"/>
    </row>
    <row r="29620">
      <c r="N29620" s="28"/>
      <c r="O29620" s="28"/>
      <c r="U29620" s="28"/>
    </row>
    <row r="29621">
      <c r="N29621" s="28"/>
      <c r="O29621" s="28"/>
      <c r="U29621" s="28"/>
    </row>
    <row r="29622">
      <c r="N29622" s="28"/>
      <c r="O29622" s="28"/>
      <c r="U29622" s="28"/>
    </row>
    <row r="29623">
      <c r="N29623" s="28"/>
      <c r="O29623" s="28"/>
      <c r="U29623" s="28"/>
    </row>
    <row r="29624">
      <c r="N29624" s="28"/>
      <c r="O29624" s="28"/>
      <c r="U29624" s="28"/>
    </row>
    <row r="29625">
      <c r="N29625" s="28"/>
      <c r="O29625" s="28"/>
      <c r="U29625" s="28"/>
    </row>
    <row r="29626">
      <c r="N29626" s="28"/>
      <c r="O29626" s="28"/>
      <c r="U29626" s="28"/>
    </row>
    <row r="29627">
      <c r="N29627" s="28"/>
      <c r="O29627" s="28"/>
      <c r="U29627" s="28"/>
    </row>
    <row r="29628">
      <c r="N29628" s="28"/>
      <c r="O29628" s="28"/>
      <c r="U29628" s="28"/>
    </row>
    <row r="29629">
      <c r="N29629" s="28"/>
      <c r="O29629" s="28"/>
      <c r="U29629" s="28"/>
    </row>
    <row r="29630">
      <c r="N29630" s="28"/>
      <c r="O29630" s="28"/>
      <c r="U29630" s="28"/>
    </row>
    <row r="29631">
      <c r="N29631" s="28"/>
      <c r="O29631" s="28"/>
      <c r="U29631" s="28"/>
    </row>
    <row r="29632">
      <c r="N29632" s="28"/>
      <c r="O29632" s="28"/>
      <c r="U29632" s="28"/>
    </row>
    <row r="29633">
      <c r="N29633" s="28"/>
      <c r="O29633" s="28"/>
      <c r="U29633" s="28"/>
    </row>
    <row r="29634">
      <c r="N29634" s="28"/>
      <c r="O29634" s="28"/>
      <c r="U29634" s="28"/>
    </row>
    <row r="29635">
      <c r="N29635" s="28"/>
      <c r="O29635" s="28"/>
      <c r="U29635" s="28"/>
    </row>
    <row r="29636">
      <c r="N29636" s="28"/>
      <c r="O29636" s="28"/>
      <c r="U29636" s="28"/>
    </row>
    <row r="29637">
      <c r="N29637" s="28"/>
      <c r="O29637" s="28"/>
      <c r="U29637" s="28"/>
    </row>
    <row r="29638">
      <c r="N29638" s="28"/>
      <c r="O29638" s="28"/>
      <c r="U29638" s="28"/>
    </row>
    <row r="29639">
      <c r="N29639" s="28"/>
      <c r="O29639" s="28"/>
      <c r="U29639" s="28"/>
    </row>
    <row r="29640">
      <c r="N29640" s="28"/>
      <c r="O29640" s="28"/>
      <c r="U29640" s="28"/>
    </row>
    <row r="29641">
      <c r="N29641" s="28"/>
      <c r="O29641" s="28"/>
      <c r="U29641" s="28"/>
    </row>
    <row r="29642">
      <c r="N29642" s="28"/>
      <c r="O29642" s="28"/>
      <c r="U29642" s="28"/>
    </row>
    <row r="29643">
      <c r="N29643" s="28"/>
      <c r="O29643" s="28"/>
      <c r="U29643" s="28"/>
    </row>
    <row r="29644">
      <c r="N29644" s="28"/>
      <c r="O29644" s="28"/>
      <c r="U29644" s="28"/>
    </row>
    <row r="29645">
      <c r="N29645" s="28"/>
      <c r="O29645" s="28"/>
      <c r="U29645" s="28"/>
    </row>
    <row r="29646">
      <c r="N29646" s="28"/>
      <c r="O29646" s="28"/>
      <c r="U29646" s="28"/>
    </row>
    <row r="29647">
      <c r="N29647" s="28"/>
      <c r="O29647" s="28"/>
      <c r="U29647" s="28"/>
    </row>
    <row r="29648">
      <c r="N29648" s="28"/>
      <c r="O29648" s="28"/>
      <c r="U29648" s="28"/>
    </row>
    <row r="29649">
      <c r="N29649" s="28"/>
      <c r="O29649" s="28"/>
      <c r="U29649" s="28"/>
    </row>
    <row r="29650">
      <c r="N29650" s="28"/>
      <c r="O29650" s="28"/>
      <c r="U29650" s="28"/>
    </row>
    <row r="29651">
      <c r="N29651" s="28"/>
      <c r="O29651" s="28"/>
      <c r="U29651" s="28"/>
    </row>
    <row r="29652">
      <c r="N29652" s="28"/>
      <c r="O29652" s="28"/>
      <c r="U29652" s="28"/>
    </row>
    <row r="29653">
      <c r="N29653" s="28"/>
      <c r="O29653" s="28"/>
      <c r="U29653" s="28"/>
    </row>
    <row r="29654">
      <c r="N29654" s="28"/>
      <c r="O29654" s="28"/>
      <c r="U29654" s="28"/>
    </row>
    <row r="29655">
      <c r="N29655" s="28"/>
      <c r="O29655" s="28"/>
      <c r="U29655" s="28"/>
    </row>
    <row r="29656">
      <c r="N29656" s="28"/>
      <c r="O29656" s="28"/>
      <c r="U29656" s="28"/>
    </row>
    <row r="29657">
      <c r="N29657" s="28"/>
      <c r="O29657" s="28"/>
      <c r="U29657" s="28"/>
    </row>
    <row r="29658">
      <c r="N29658" s="28"/>
      <c r="O29658" s="28"/>
      <c r="U29658" s="28"/>
    </row>
    <row r="29659">
      <c r="N29659" s="28"/>
      <c r="O29659" s="28"/>
      <c r="U29659" s="28"/>
    </row>
    <row r="29660">
      <c r="N29660" s="28"/>
      <c r="O29660" s="28"/>
      <c r="U29660" s="28"/>
    </row>
    <row r="29661">
      <c r="N29661" s="28"/>
      <c r="O29661" s="28"/>
      <c r="U29661" s="28"/>
    </row>
    <row r="29662">
      <c r="N29662" s="28"/>
      <c r="O29662" s="28"/>
      <c r="U29662" s="28"/>
    </row>
    <row r="29663">
      <c r="N29663" s="28"/>
      <c r="O29663" s="28"/>
      <c r="U29663" s="28"/>
    </row>
    <row r="29664">
      <c r="N29664" s="28"/>
      <c r="O29664" s="28"/>
      <c r="U29664" s="28"/>
    </row>
    <row r="29665">
      <c r="N29665" s="28"/>
      <c r="O29665" s="28"/>
      <c r="U29665" s="28"/>
    </row>
    <row r="29666">
      <c r="N29666" s="28"/>
      <c r="O29666" s="28"/>
      <c r="U29666" s="28"/>
    </row>
    <row r="29667">
      <c r="N29667" s="28"/>
      <c r="O29667" s="28"/>
      <c r="U29667" s="28"/>
    </row>
    <row r="29668">
      <c r="N29668" s="28"/>
      <c r="O29668" s="28"/>
      <c r="U29668" s="28"/>
    </row>
    <row r="29669">
      <c r="N29669" s="28"/>
      <c r="O29669" s="28"/>
      <c r="U29669" s="28"/>
    </row>
    <row r="29670">
      <c r="N29670" s="28"/>
      <c r="O29670" s="28"/>
      <c r="U29670" s="28"/>
    </row>
    <row r="29671">
      <c r="N29671" s="28"/>
      <c r="O29671" s="28"/>
      <c r="U29671" s="28"/>
    </row>
    <row r="29672">
      <c r="N29672" s="28"/>
      <c r="O29672" s="28"/>
      <c r="U29672" s="28"/>
    </row>
    <row r="29673">
      <c r="N29673" s="28"/>
      <c r="O29673" s="28"/>
      <c r="U29673" s="28"/>
    </row>
    <row r="29674">
      <c r="N29674" s="28"/>
      <c r="O29674" s="28"/>
      <c r="U29674" s="28"/>
    </row>
    <row r="29675">
      <c r="N29675" s="28"/>
      <c r="O29675" s="28"/>
      <c r="U29675" s="28"/>
    </row>
    <row r="29676">
      <c r="N29676" s="28"/>
      <c r="O29676" s="28"/>
      <c r="U29676" s="28"/>
    </row>
    <row r="29677">
      <c r="N29677" s="28"/>
      <c r="O29677" s="28"/>
      <c r="U29677" s="28"/>
    </row>
    <row r="29678">
      <c r="N29678" s="28"/>
      <c r="O29678" s="28"/>
      <c r="U29678" s="28"/>
    </row>
    <row r="29679">
      <c r="N29679" s="28"/>
      <c r="O29679" s="28"/>
      <c r="U29679" s="28"/>
    </row>
    <row r="29680">
      <c r="N29680" s="28"/>
      <c r="O29680" s="28"/>
      <c r="U29680" s="28"/>
    </row>
    <row r="29681">
      <c r="N29681" s="28"/>
      <c r="O29681" s="28"/>
      <c r="U29681" s="28"/>
    </row>
    <row r="29682">
      <c r="N29682" s="28"/>
      <c r="O29682" s="28"/>
      <c r="U29682" s="28"/>
    </row>
    <row r="29683">
      <c r="N29683" s="28"/>
      <c r="O29683" s="28"/>
      <c r="U29683" s="28"/>
    </row>
    <row r="29684">
      <c r="N29684" s="28"/>
      <c r="O29684" s="28"/>
      <c r="U29684" s="28"/>
    </row>
    <row r="29685">
      <c r="N29685" s="28"/>
      <c r="O29685" s="28"/>
      <c r="U29685" s="28"/>
    </row>
    <row r="29686">
      <c r="N29686" s="28"/>
      <c r="O29686" s="28"/>
      <c r="U29686" s="28"/>
    </row>
    <row r="29687">
      <c r="N29687" s="28"/>
      <c r="O29687" s="28"/>
      <c r="U29687" s="28"/>
    </row>
    <row r="29688">
      <c r="N29688" s="28"/>
      <c r="O29688" s="28"/>
      <c r="U29688" s="28"/>
    </row>
    <row r="29689">
      <c r="N29689" s="28"/>
      <c r="O29689" s="28"/>
      <c r="U29689" s="28"/>
    </row>
    <row r="29690">
      <c r="N29690" s="28"/>
      <c r="O29690" s="28"/>
      <c r="U29690" s="28"/>
    </row>
    <row r="29691">
      <c r="N29691" s="28"/>
      <c r="O29691" s="28"/>
      <c r="U29691" s="28"/>
    </row>
    <row r="29692">
      <c r="N29692" s="28"/>
      <c r="O29692" s="28"/>
      <c r="U29692" s="28"/>
    </row>
    <row r="29693">
      <c r="N29693" s="28"/>
      <c r="O29693" s="28"/>
      <c r="U29693" s="28"/>
    </row>
    <row r="29694">
      <c r="N29694" s="28"/>
      <c r="O29694" s="28"/>
      <c r="U29694" s="28"/>
    </row>
    <row r="29695">
      <c r="N29695" s="28"/>
      <c r="O29695" s="28"/>
      <c r="U29695" s="28"/>
    </row>
    <row r="29696">
      <c r="N29696" s="28"/>
      <c r="O29696" s="28"/>
      <c r="U29696" s="28"/>
    </row>
    <row r="29697">
      <c r="N29697" s="28"/>
      <c r="O29697" s="28"/>
      <c r="U29697" s="28"/>
    </row>
    <row r="29698">
      <c r="N29698" s="28"/>
      <c r="O29698" s="28"/>
      <c r="U29698" s="28"/>
    </row>
    <row r="29699">
      <c r="N29699" s="28"/>
      <c r="O29699" s="28"/>
      <c r="U29699" s="28"/>
    </row>
    <row r="29700">
      <c r="N29700" s="28"/>
      <c r="O29700" s="28"/>
      <c r="U29700" s="28"/>
    </row>
    <row r="29701">
      <c r="N29701" s="28"/>
      <c r="O29701" s="28"/>
      <c r="U29701" s="28"/>
    </row>
    <row r="29702">
      <c r="N29702" s="28"/>
      <c r="O29702" s="28"/>
      <c r="U29702" s="28"/>
    </row>
    <row r="29703">
      <c r="N29703" s="28"/>
      <c r="O29703" s="28"/>
      <c r="U29703" s="28"/>
    </row>
    <row r="29704">
      <c r="N29704" s="28"/>
      <c r="O29704" s="28"/>
      <c r="U29704" s="28"/>
    </row>
    <row r="29705">
      <c r="N29705" s="28"/>
      <c r="O29705" s="28"/>
      <c r="U29705" s="28"/>
    </row>
    <row r="29706">
      <c r="N29706" s="28"/>
      <c r="O29706" s="28"/>
      <c r="U29706" s="28"/>
    </row>
    <row r="29707">
      <c r="N29707" s="28"/>
      <c r="O29707" s="28"/>
      <c r="U29707" s="28"/>
    </row>
    <row r="29708">
      <c r="N29708" s="28"/>
      <c r="O29708" s="28"/>
      <c r="U29708" s="28"/>
    </row>
    <row r="29709">
      <c r="N29709" s="28"/>
      <c r="O29709" s="28"/>
      <c r="U29709" s="28"/>
    </row>
    <row r="29710">
      <c r="N29710" s="28"/>
      <c r="O29710" s="28"/>
      <c r="U29710" s="28"/>
    </row>
    <row r="29711">
      <c r="N29711" s="28"/>
      <c r="O29711" s="28"/>
      <c r="U29711" s="28"/>
    </row>
    <row r="29712">
      <c r="N29712" s="28"/>
      <c r="O29712" s="28"/>
      <c r="U29712" s="28"/>
    </row>
    <row r="29713">
      <c r="N29713" s="28"/>
      <c r="O29713" s="28"/>
      <c r="U29713" s="28"/>
    </row>
    <row r="29714">
      <c r="N29714" s="28"/>
      <c r="O29714" s="28"/>
      <c r="U29714" s="28"/>
    </row>
    <row r="29715">
      <c r="N29715" s="28"/>
      <c r="O29715" s="28"/>
      <c r="U29715" s="28"/>
    </row>
    <row r="29716">
      <c r="N29716" s="28"/>
      <c r="O29716" s="28"/>
      <c r="U29716" s="28"/>
    </row>
    <row r="29717">
      <c r="N29717" s="28"/>
      <c r="O29717" s="28"/>
      <c r="U29717" s="28"/>
    </row>
    <row r="29718">
      <c r="N29718" s="28"/>
      <c r="O29718" s="28"/>
      <c r="U29718" s="28"/>
    </row>
    <row r="29719">
      <c r="N29719" s="28"/>
      <c r="O29719" s="28"/>
      <c r="U29719" s="28"/>
    </row>
    <row r="29720">
      <c r="N29720" s="28"/>
      <c r="O29720" s="28"/>
      <c r="U29720" s="28"/>
    </row>
    <row r="29721">
      <c r="N29721" s="28"/>
      <c r="O29721" s="28"/>
      <c r="U29721" s="28"/>
    </row>
    <row r="29722">
      <c r="N29722" s="28"/>
      <c r="O29722" s="28"/>
      <c r="U29722" s="28"/>
    </row>
    <row r="29723">
      <c r="N29723" s="28"/>
      <c r="O29723" s="28"/>
      <c r="U29723" s="28"/>
    </row>
    <row r="29724">
      <c r="N29724" s="28"/>
      <c r="O29724" s="28"/>
      <c r="U29724" s="28"/>
    </row>
    <row r="29725">
      <c r="N29725" s="28"/>
      <c r="O29725" s="28"/>
      <c r="U29725" s="28"/>
    </row>
    <row r="29726">
      <c r="N29726" s="28"/>
      <c r="O29726" s="28"/>
      <c r="U29726" s="28"/>
    </row>
    <row r="29727">
      <c r="N29727" s="28"/>
      <c r="O29727" s="28"/>
      <c r="U29727" s="28"/>
    </row>
    <row r="29728">
      <c r="N29728" s="28"/>
      <c r="O29728" s="28"/>
      <c r="U29728" s="28"/>
    </row>
    <row r="29729">
      <c r="N29729" s="28"/>
      <c r="O29729" s="28"/>
      <c r="U29729" s="28"/>
    </row>
    <row r="29730">
      <c r="N29730" s="28"/>
      <c r="O29730" s="28"/>
      <c r="U29730" s="28"/>
    </row>
    <row r="29731">
      <c r="N29731" s="28"/>
      <c r="O29731" s="28"/>
      <c r="U29731" s="28"/>
    </row>
    <row r="29732">
      <c r="N29732" s="28"/>
      <c r="O29732" s="28"/>
      <c r="U29732" s="28"/>
    </row>
    <row r="29733">
      <c r="N29733" s="28"/>
      <c r="O29733" s="28"/>
      <c r="U29733" s="28"/>
    </row>
    <row r="29734">
      <c r="N29734" s="28"/>
      <c r="O29734" s="28"/>
      <c r="U29734" s="28"/>
    </row>
    <row r="29735">
      <c r="N29735" s="28"/>
      <c r="O29735" s="28"/>
      <c r="U29735" s="28"/>
    </row>
    <row r="29736">
      <c r="N29736" s="28"/>
      <c r="O29736" s="28"/>
      <c r="U29736" s="28"/>
    </row>
    <row r="29737">
      <c r="N29737" s="28"/>
      <c r="O29737" s="28"/>
      <c r="U29737" s="28"/>
    </row>
    <row r="29738">
      <c r="N29738" s="28"/>
      <c r="O29738" s="28"/>
      <c r="U29738" s="28"/>
    </row>
    <row r="29739">
      <c r="N29739" s="28"/>
      <c r="O29739" s="28"/>
      <c r="U29739" s="28"/>
    </row>
    <row r="29740">
      <c r="N29740" s="28"/>
      <c r="O29740" s="28"/>
      <c r="U29740" s="28"/>
    </row>
    <row r="29741">
      <c r="N29741" s="28"/>
      <c r="O29741" s="28"/>
      <c r="U29741" s="28"/>
    </row>
    <row r="29742">
      <c r="N29742" s="28"/>
      <c r="O29742" s="28"/>
      <c r="U29742" s="28"/>
    </row>
    <row r="29743">
      <c r="N29743" s="28"/>
      <c r="O29743" s="28"/>
      <c r="U29743" s="28"/>
    </row>
    <row r="29744">
      <c r="N29744" s="28"/>
      <c r="O29744" s="28"/>
      <c r="U29744" s="28"/>
    </row>
    <row r="29745">
      <c r="N29745" s="28"/>
      <c r="O29745" s="28"/>
      <c r="U29745" s="28"/>
    </row>
    <row r="29746">
      <c r="N29746" s="28"/>
      <c r="O29746" s="28"/>
      <c r="U29746" s="28"/>
    </row>
    <row r="29747">
      <c r="N29747" s="28"/>
      <c r="O29747" s="28"/>
      <c r="U29747" s="28"/>
    </row>
    <row r="29748">
      <c r="N29748" s="28"/>
      <c r="O29748" s="28"/>
      <c r="U29748" s="28"/>
    </row>
    <row r="29749">
      <c r="N29749" s="28"/>
      <c r="O29749" s="28"/>
      <c r="U29749" s="28"/>
    </row>
    <row r="29750">
      <c r="N29750" s="28"/>
      <c r="O29750" s="28"/>
      <c r="U29750" s="28"/>
    </row>
    <row r="29751">
      <c r="N29751" s="28"/>
      <c r="O29751" s="28"/>
      <c r="U29751" s="28"/>
    </row>
    <row r="29752">
      <c r="N29752" s="28"/>
      <c r="O29752" s="28"/>
      <c r="U29752" s="28"/>
    </row>
    <row r="29753">
      <c r="N29753" s="28"/>
      <c r="O29753" s="28"/>
      <c r="U29753" s="28"/>
    </row>
    <row r="29754">
      <c r="N29754" s="28"/>
      <c r="O29754" s="28"/>
      <c r="U29754" s="28"/>
    </row>
    <row r="29755">
      <c r="N29755" s="28"/>
      <c r="O29755" s="28"/>
      <c r="U29755" s="28"/>
    </row>
    <row r="29756">
      <c r="N29756" s="28"/>
      <c r="O29756" s="28"/>
      <c r="U29756" s="28"/>
    </row>
    <row r="29757">
      <c r="N29757" s="28"/>
      <c r="O29757" s="28"/>
      <c r="U29757" s="28"/>
    </row>
    <row r="29758">
      <c r="N29758" s="28"/>
      <c r="O29758" s="28"/>
      <c r="U29758" s="28"/>
    </row>
    <row r="29759">
      <c r="N29759" s="28"/>
      <c r="O29759" s="28"/>
      <c r="U29759" s="28"/>
    </row>
    <row r="29760">
      <c r="N29760" s="28"/>
      <c r="O29760" s="28"/>
      <c r="U29760" s="28"/>
    </row>
    <row r="29761">
      <c r="N29761" s="28"/>
      <c r="O29761" s="28"/>
      <c r="U29761" s="28"/>
    </row>
    <row r="29762">
      <c r="N29762" s="28"/>
      <c r="O29762" s="28"/>
      <c r="U29762" s="28"/>
    </row>
    <row r="29763">
      <c r="N29763" s="28"/>
      <c r="O29763" s="28"/>
      <c r="U29763" s="28"/>
    </row>
    <row r="29764">
      <c r="N29764" s="28"/>
      <c r="O29764" s="28"/>
      <c r="U29764" s="28"/>
    </row>
    <row r="29765">
      <c r="N29765" s="28"/>
      <c r="O29765" s="28"/>
      <c r="U29765" s="28"/>
    </row>
    <row r="29766">
      <c r="N29766" s="28"/>
      <c r="O29766" s="28"/>
      <c r="U29766" s="28"/>
    </row>
    <row r="29767">
      <c r="N29767" s="28"/>
      <c r="O29767" s="28"/>
      <c r="U29767" s="28"/>
    </row>
    <row r="29768">
      <c r="N29768" s="28"/>
      <c r="O29768" s="28"/>
      <c r="U29768" s="28"/>
    </row>
    <row r="29769">
      <c r="N29769" s="28"/>
      <c r="O29769" s="28"/>
      <c r="U29769" s="28"/>
    </row>
    <row r="29770">
      <c r="N29770" s="28"/>
      <c r="O29770" s="28"/>
      <c r="U29770" s="28"/>
    </row>
    <row r="29771">
      <c r="N29771" s="28"/>
      <c r="O29771" s="28"/>
      <c r="U29771" s="28"/>
    </row>
    <row r="29772">
      <c r="N29772" s="28"/>
      <c r="O29772" s="28"/>
      <c r="U29772" s="28"/>
    </row>
    <row r="29773">
      <c r="N29773" s="28"/>
      <c r="O29773" s="28"/>
      <c r="U29773" s="28"/>
    </row>
    <row r="29774">
      <c r="N29774" s="28"/>
      <c r="O29774" s="28"/>
      <c r="U29774" s="28"/>
    </row>
    <row r="29775">
      <c r="N29775" s="28"/>
      <c r="O29775" s="28"/>
      <c r="U29775" s="28"/>
    </row>
    <row r="29776">
      <c r="N29776" s="28"/>
      <c r="O29776" s="28"/>
      <c r="U29776" s="28"/>
    </row>
    <row r="29777">
      <c r="N29777" s="28"/>
      <c r="O29777" s="28"/>
      <c r="U29777" s="28"/>
    </row>
    <row r="29778">
      <c r="N29778" s="28"/>
      <c r="O29778" s="28"/>
      <c r="U29778" s="28"/>
    </row>
    <row r="29779">
      <c r="N29779" s="28"/>
      <c r="O29779" s="28"/>
      <c r="U29779" s="28"/>
    </row>
    <row r="29780">
      <c r="N29780" s="28"/>
      <c r="O29780" s="28"/>
      <c r="U29780" s="28"/>
    </row>
    <row r="29781">
      <c r="N29781" s="28"/>
      <c r="O29781" s="28"/>
      <c r="U29781" s="28"/>
    </row>
    <row r="29782">
      <c r="N29782" s="28"/>
      <c r="O29782" s="28"/>
      <c r="U29782" s="28"/>
    </row>
    <row r="29783">
      <c r="N29783" s="28"/>
      <c r="O29783" s="28"/>
      <c r="U29783" s="28"/>
    </row>
    <row r="29784">
      <c r="N29784" s="28"/>
      <c r="O29784" s="28"/>
      <c r="U29784" s="28"/>
    </row>
    <row r="29785">
      <c r="N29785" s="28"/>
      <c r="O29785" s="28"/>
      <c r="U29785" s="28"/>
    </row>
    <row r="29786">
      <c r="N29786" s="28"/>
      <c r="O29786" s="28"/>
      <c r="U29786" s="28"/>
    </row>
    <row r="29787">
      <c r="N29787" s="28"/>
      <c r="O29787" s="28"/>
      <c r="U29787" s="28"/>
    </row>
    <row r="29788">
      <c r="N29788" s="28"/>
      <c r="O29788" s="28"/>
      <c r="U29788" s="28"/>
    </row>
    <row r="29789">
      <c r="N29789" s="28"/>
      <c r="O29789" s="28"/>
      <c r="U29789" s="28"/>
    </row>
    <row r="29790">
      <c r="N29790" s="28"/>
      <c r="O29790" s="28"/>
      <c r="U29790" s="28"/>
    </row>
    <row r="29791">
      <c r="N29791" s="28"/>
      <c r="O29791" s="28"/>
      <c r="U29791" s="28"/>
    </row>
    <row r="29792">
      <c r="N29792" s="28"/>
      <c r="O29792" s="28"/>
      <c r="U29792" s="28"/>
    </row>
    <row r="29793">
      <c r="N29793" s="28"/>
      <c r="O29793" s="28"/>
      <c r="U29793" s="28"/>
    </row>
    <row r="29794">
      <c r="N29794" s="28"/>
      <c r="O29794" s="28"/>
      <c r="U29794" s="28"/>
    </row>
    <row r="29795">
      <c r="N29795" s="28"/>
      <c r="O29795" s="28"/>
      <c r="U29795" s="28"/>
    </row>
    <row r="29796">
      <c r="N29796" s="28"/>
      <c r="O29796" s="28"/>
      <c r="U29796" s="28"/>
    </row>
    <row r="29797">
      <c r="N29797" s="28"/>
      <c r="O29797" s="28"/>
      <c r="U29797" s="28"/>
    </row>
    <row r="29798">
      <c r="N29798" s="28"/>
      <c r="O29798" s="28"/>
      <c r="U29798" s="28"/>
    </row>
    <row r="29799">
      <c r="N29799" s="28"/>
      <c r="O29799" s="28"/>
      <c r="U29799" s="28"/>
    </row>
    <row r="29800">
      <c r="N29800" s="28"/>
      <c r="O29800" s="28"/>
      <c r="U29800" s="28"/>
    </row>
    <row r="29801">
      <c r="N29801" s="28"/>
      <c r="O29801" s="28"/>
      <c r="U29801" s="28"/>
    </row>
    <row r="29802">
      <c r="N29802" s="28"/>
      <c r="O29802" s="28"/>
      <c r="U29802" s="28"/>
    </row>
    <row r="29803">
      <c r="N29803" s="28"/>
      <c r="O29803" s="28"/>
      <c r="U29803" s="28"/>
    </row>
    <row r="29804">
      <c r="N29804" s="28"/>
      <c r="O29804" s="28"/>
      <c r="U29804" s="28"/>
    </row>
    <row r="29805">
      <c r="N29805" s="28"/>
      <c r="O29805" s="28"/>
      <c r="U29805" s="28"/>
    </row>
    <row r="29806">
      <c r="N29806" s="28"/>
      <c r="O29806" s="28"/>
      <c r="U29806" s="28"/>
    </row>
    <row r="29807">
      <c r="N29807" s="28"/>
      <c r="O29807" s="28"/>
      <c r="U29807" s="28"/>
    </row>
    <row r="29808">
      <c r="N29808" s="28"/>
      <c r="O29808" s="28"/>
      <c r="U29808" s="28"/>
    </row>
    <row r="29809">
      <c r="N29809" s="28"/>
      <c r="O29809" s="28"/>
      <c r="U29809" s="28"/>
    </row>
    <row r="29810">
      <c r="N29810" s="28"/>
      <c r="O29810" s="28"/>
      <c r="U29810" s="28"/>
    </row>
    <row r="29811">
      <c r="N29811" s="28"/>
      <c r="O29811" s="28"/>
      <c r="U29811" s="28"/>
    </row>
    <row r="29812">
      <c r="N29812" s="28"/>
      <c r="O29812" s="28"/>
      <c r="U29812" s="28"/>
    </row>
    <row r="29813">
      <c r="N29813" s="28"/>
      <c r="O29813" s="28"/>
      <c r="U29813" s="28"/>
    </row>
    <row r="29814">
      <c r="N29814" s="28"/>
      <c r="O29814" s="28"/>
      <c r="U29814" s="28"/>
    </row>
    <row r="29815">
      <c r="N29815" s="28"/>
      <c r="O29815" s="28"/>
      <c r="U29815" s="28"/>
    </row>
    <row r="29816">
      <c r="N29816" s="28"/>
      <c r="O29816" s="28"/>
      <c r="U29816" s="28"/>
    </row>
    <row r="29817">
      <c r="N29817" s="28"/>
      <c r="O29817" s="28"/>
      <c r="U29817" s="28"/>
    </row>
    <row r="29818">
      <c r="N29818" s="28"/>
      <c r="O29818" s="28"/>
      <c r="U29818" s="28"/>
    </row>
    <row r="29819">
      <c r="N29819" s="28"/>
      <c r="O29819" s="28"/>
      <c r="U29819" s="28"/>
    </row>
    <row r="29820">
      <c r="N29820" s="28"/>
      <c r="O29820" s="28"/>
      <c r="U29820" s="28"/>
    </row>
    <row r="29821">
      <c r="N29821" s="28"/>
      <c r="O29821" s="28"/>
      <c r="U29821" s="28"/>
    </row>
    <row r="29822">
      <c r="N29822" s="28"/>
      <c r="O29822" s="28"/>
      <c r="U29822" s="28"/>
    </row>
    <row r="29823">
      <c r="N29823" s="28"/>
      <c r="O29823" s="28"/>
      <c r="U29823" s="28"/>
    </row>
    <row r="29824">
      <c r="N29824" s="28"/>
      <c r="O29824" s="28"/>
      <c r="U29824" s="28"/>
    </row>
    <row r="29825">
      <c r="N29825" s="28"/>
      <c r="O29825" s="28"/>
      <c r="U29825" s="28"/>
    </row>
    <row r="29826">
      <c r="N29826" s="28"/>
      <c r="O29826" s="28"/>
      <c r="U29826" s="28"/>
    </row>
    <row r="29827">
      <c r="N29827" s="28"/>
      <c r="O29827" s="28"/>
      <c r="U29827" s="28"/>
    </row>
    <row r="29828">
      <c r="N29828" s="28"/>
      <c r="O29828" s="28"/>
      <c r="U29828" s="28"/>
    </row>
    <row r="29829">
      <c r="N29829" s="28"/>
      <c r="O29829" s="28"/>
      <c r="U29829" s="28"/>
    </row>
    <row r="29830">
      <c r="N29830" s="28"/>
      <c r="O29830" s="28"/>
      <c r="U29830" s="28"/>
    </row>
    <row r="29831">
      <c r="N29831" s="28"/>
      <c r="O29831" s="28"/>
      <c r="U29831" s="28"/>
    </row>
    <row r="29832">
      <c r="N29832" s="28"/>
      <c r="O29832" s="28"/>
      <c r="U29832" s="28"/>
    </row>
    <row r="29833">
      <c r="N29833" s="28"/>
      <c r="O29833" s="28"/>
      <c r="U29833" s="28"/>
    </row>
    <row r="29834">
      <c r="N29834" s="28"/>
      <c r="O29834" s="28"/>
      <c r="U29834" s="28"/>
    </row>
    <row r="29835">
      <c r="N29835" s="28"/>
      <c r="O29835" s="28"/>
      <c r="U29835" s="28"/>
    </row>
    <row r="29836">
      <c r="N29836" s="28"/>
      <c r="O29836" s="28"/>
      <c r="U29836" s="28"/>
    </row>
    <row r="29837">
      <c r="N29837" s="28"/>
      <c r="O29837" s="28"/>
      <c r="U29837" s="28"/>
    </row>
    <row r="29838">
      <c r="N29838" s="28"/>
      <c r="O29838" s="28"/>
      <c r="U29838" s="28"/>
    </row>
    <row r="29839">
      <c r="N29839" s="28"/>
      <c r="O29839" s="28"/>
      <c r="U29839" s="28"/>
    </row>
    <row r="29840">
      <c r="N29840" s="28"/>
      <c r="O29840" s="28"/>
      <c r="U29840" s="28"/>
    </row>
    <row r="29841">
      <c r="N29841" s="28"/>
      <c r="O29841" s="28"/>
      <c r="U29841" s="28"/>
    </row>
    <row r="29842">
      <c r="N29842" s="28"/>
      <c r="O29842" s="28"/>
      <c r="U29842" s="28"/>
    </row>
    <row r="29843">
      <c r="N29843" s="28"/>
      <c r="O29843" s="28"/>
      <c r="U29843" s="28"/>
    </row>
    <row r="29844">
      <c r="N29844" s="28"/>
      <c r="O29844" s="28"/>
      <c r="U29844" s="28"/>
    </row>
    <row r="29845">
      <c r="N29845" s="28"/>
      <c r="O29845" s="28"/>
      <c r="U29845" s="28"/>
    </row>
    <row r="29846">
      <c r="N29846" s="28"/>
      <c r="O29846" s="28"/>
      <c r="U29846" s="28"/>
    </row>
    <row r="29847">
      <c r="N29847" s="28"/>
      <c r="O29847" s="28"/>
      <c r="U29847" s="28"/>
    </row>
    <row r="29848">
      <c r="N29848" s="28"/>
      <c r="O29848" s="28"/>
      <c r="U29848" s="28"/>
    </row>
    <row r="29849">
      <c r="N29849" s="28"/>
      <c r="O29849" s="28"/>
      <c r="U29849" s="28"/>
    </row>
    <row r="29850">
      <c r="N29850" s="28"/>
      <c r="O29850" s="28"/>
      <c r="U29850" s="28"/>
    </row>
    <row r="29851">
      <c r="N29851" s="28"/>
      <c r="O29851" s="28"/>
      <c r="U29851" s="28"/>
    </row>
    <row r="29852">
      <c r="N29852" s="28"/>
      <c r="O29852" s="28"/>
      <c r="U29852" s="28"/>
    </row>
    <row r="29853">
      <c r="N29853" s="28"/>
      <c r="O29853" s="28"/>
      <c r="U29853" s="28"/>
    </row>
    <row r="29854">
      <c r="N29854" s="28"/>
      <c r="O29854" s="28"/>
      <c r="U29854" s="28"/>
    </row>
    <row r="29855">
      <c r="N29855" s="28"/>
      <c r="O29855" s="28"/>
      <c r="U29855" s="28"/>
    </row>
    <row r="29856">
      <c r="N29856" s="28"/>
      <c r="O29856" s="28"/>
      <c r="U29856" s="28"/>
    </row>
    <row r="29857">
      <c r="N29857" s="28"/>
      <c r="O29857" s="28"/>
      <c r="U29857" s="28"/>
    </row>
    <row r="29858">
      <c r="N29858" s="28"/>
      <c r="O29858" s="28"/>
      <c r="U29858" s="28"/>
    </row>
    <row r="29859">
      <c r="N29859" s="28"/>
      <c r="O29859" s="28"/>
      <c r="U29859" s="28"/>
    </row>
    <row r="29860">
      <c r="N29860" s="28"/>
      <c r="O29860" s="28"/>
      <c r="U29860" s="28"/>
    </row>
    <row r="29861">
      <c r="N29861" s="28"/>
      <c r="O29861" s="28"/>
      <c r="U29861" s="28"/>
    </row>
    <row r="29862">
      <c r="N29862" s="28"/>
      <c r="O29862" s="28"/>
      <c r="U29862" s="28"/>
    </row>
    <row r="29863">
      <c r="N29863" s="28"/>
      <c r="O29863" s="28"/>
      <c r="U29863" s="28"/>
    </row>
    <row r="29864">
      <c r="N29864" s="28"/>
      <c r="O29864" s="28"/>
      <c r="U29864" s="28"/>
    </row>
    <row r="29865">
      <c r="N29865" s="28"/>
      <c r="O29865" s="28"/>
      <c r="U29865" s="28"/>
    </row>
    <row r="29866">
      <c r="N29866" s="28"/>
      <c r="O29866" s="28"/>
      <c r="U29866" s="28"/>
    </row>
    <row r="29867">
      <c r="N29867" s="28"/>
      <c r="O29867" s="28"/>
      <c r="U29867" s="28"/>
    </row>
    <row r="29868">
      <c r="N29868" s="28"/>
      <c r="O29868" s="28"/>
      <c r="U29868" s="28"/>
    </row>
    <row r="29869">
      <c r="N29869" s="28"/>
      <c r="O29869" s="28"/>
      <c r="U29869" s="28"/>
    </row>
    <row r="29870">
      <c r="N29870" s="28"/>
      <c r="O29870" s="28"/>
      <c r="U29870" s="28"/>
    </row>
    <row r="29871">
      <c r="N29871" s="28"/>
      <c r="O29871" s="28"/>
      <c r="U29871" s="28"/>
    </row>
    <row r="29872">
      <c r="N29872" s="28"/>
      <c r="O29872" s="28"/>
      <c r="U29872" s="28"/>
    </row>
    <row r="29873">
      <c r="N29873" s="28"/>
      <c r="O29873" s="28"/>
      <c r="U29873" s="28"/>
    </row>
    <row r="29874">
      <c r="N29874" s="28"/>
      <c r="O29874" s="28"/>
      <c r="U29874" s="28"/>
    </row>
    <row r="29875">
      <c r="N29875" s="28"/>
      <c r="O29875" s="28"/>
      <c r="U29875" s="28"/>
    </row>
    <row r="29876">
      <c r="N29876" s="28"/>
      <c r="O29876" s="28"/>
      <c r="U29876" s="28"/>
    </row>
    <row r="29877">
      <c r="N29877" s="28"/>
      <c r="O29877" s="28"/>
      <c r="U29877" s="28"/>
    </row>
    <row r="29878">
      <c r="N29878" s="28"/>
      <c r="O29878" s="28"/>
      <c r="U29878" s="28"/>
    </row>
    <row r="29879">
      <c r="N29879" s="28"/>
      <c r="O29879" s="28"/>
      <c r="U29879" s="28"/>
    </row>
    <row r="29880">
      <c r="N29880" s="28"/>
      <c r="O29880" s="28"/>
      <c r="U29880" s="28"/>
    </row>
    <row r="29881">
      <c r="N29881" s="28"/>
      <c r="O29881" s="28"/>
      <c r="U29881" s="28"/>
    </row>
    <row r="29882">
      <c r="N29882" s="28"/>
      <c r="O29882" s="28"/>
      <c r="U29882" s="28"/>
    </row>
    <row r="29883">
      <c r="N29883" s="28"/>
      <c r="O29883" s="28"/>
      <c r="U29883" s="28"/>
    </row>
    <row r="29884">
      <c r="N29884" s="28"/>
      <c r="O29884" s="28"/>
      <c r="U29884" s="28"/>
    </row>
    <row r="29885">
      <c r="N29885" s="28"/>
      <c r="O29885" s="28"/>
      <c r="U29885" s="28"/>
    </row>
    <row r="29886">
      <c r="N29886" s="28"/>
      <c r="O29886" s="28"/>
      <c r="U29886" s="28"/>
    </row>
    <row r="29887">
      <c r="N29887" s="28"/>
      <c r="O29887" s="28"/>
      <c r="U29887" s="28"/>
    </row>
    <row r="29888">
      <c r="N29888" s="28"/>
      <c r="O29888" s="28"/>
      <c r="U29888" s="28"/>
    </row>
    <row r="29889">
      <c r="N29889" s="28"/>
      <c r="O29889" s="28"/>
      <c r="U29889" s="28"/>
    </row>
    <row r="29890">
      <c r="N29890" s="28"/>
      <c r="O29890" s="28"/>
      <c r="U29890" s="28"/>
    </row>
    <row r="29891">
      <c r="N29891" s="28"/>
      <c r="O29891" s="28"/>
      <c r="U29891" s="28"/>
    </row>
    <row r="29892">
      <c r="N29892" s="28"/>
      <c r="O29892" s="28"/>
      <c r="U29892" s="28"/>
    </row>
    <row r="29893">
      <c r="N29893" s="28"/>
      <c r="O29893" s="28"/>
      <c r="U29893" s="28"/>
    </row>
    <row r="29894">
      <c r="N29894" s="28"/>
      <c r="O29894" s="28"/>
      <c r="U29894" s="28"/>
    </row>
    <row r="29895">
      <c r="N29895" s="28"/>
      <c r="O29895" s="28"/>
      <c r="U29895" s="28"/>
    </row>
    <row r="29896">
      <c r="N29896" s="28"/>
      <c r="O29896" s="28"/>
      <c r="U29896" s="28"/>
    </row>
    <row r="29897">
      <c r="N29897" s="28"/>
      <c r="O29897" s="28"/>
      <c r="U29897" s="28"/>
    </row>
    <row r="29898">
      <c r="N29898" s="28"/>
      <c r="O29898" s="28"/>
      <c r="U29898" s="28"/>
    </row>
    <row r="29899">
      <c r="N29899" s="28"/>
      <c r="O29899" s="28"/>
      <c r="U29899" s="28"/>
    </row>
    <row r="29900">
      <c r="N29900" s="28"/>
      <c r="O29900" s="28"/>
      <c r="U29900" s="28"/>
    </row>
    <row r="29901">
      <c r="N29901" s="28"/>
      <c r="O29901" s="28"/>
      <c r="U29901" s="28"/>
    </row>
    <row r="29902">
      <c r="N29902" s="28"/>
      <c r="O29902" s="28"/>
      <c r="U29902" s="28"/>
    </row>
    <row r="29903">
      <c r="N29903" s="28"/>
      <c r="O29903" s="28"/>
      <c r="U29903" s="28"/>
    </row>
    <row r="29904">
      <c r="N29904" s="28"/>
      <c r="O29904" s="28"/>
      <c r="U29904" s="28"/>
    </row>
    <row r="29905">
      <c r="N29905" s="28"/>
      <c r="O29905" s="28"/>
      <c r="U29905" s="28"/>
    </row>
    <row r="29906">
      <c r="N29906" s="28"/>
      <c r="O29906" s="28"/>
      <c r="U29906" s="28"/>
    </row>
    <row r="29907">
      <c r="N29907" s="28"/>
      <c r="O29907" s="28"/>
      <c r="U29907" s="28"/>
    </row>
    <row r="29908">
      <c r="N29908" s="28"/>
      <c r="O29908" s="28"/>
      <c r="U29908" s="28"/>
    </row>
    <row r="29909">
      <c r="N29909" s="28"/>
      <c r="O29909" s="28"/>
      <c r="U29909" s="28"/>
    </row>
    <row r="29910">
      <c r="N29910" s="28"/>
      <c r="O29910" s="28"/>
      <c r="U29910" s="28"/>
    </row>
    <row r="29911">
      <c r="N29911" s="28"/>
      <c r="O29911" s="28"/>
      <c r="U29911" s="28"/>
    </row>
    <row r="29912">
      <c r="N29912" s="28"/>
      <c r="O29912" s="28"/>
      <c r="U29912" s="28"/>
    </row>
    <row r="29913">
      <c r="N29913" s="28"/>
      <c r="O29913" s="28"/>
      <c r="U29913" s="28"/>
    </row>
    <row r="29914">
      <c r="N29914" s="28"/>
      <c r="O29914" s="28"/>
      <c r="U29914" s="28"/>
    </row>
    <row r="29915">
      <c r="N29915" s="28"/>
      <c r="O29915" s="28"/>
      <c r="U29915" s="28"/>
    </row>
    <row r="29916">
      <c r="N29916" s="28"/>
      <c r="O29916" s="28"/>
      <c r="U29916" s="28"/>
    </row>
    <row r="29917">
      <c r="N29917" s="28"/>
      <c r="O29917" s="28"/>
      <c r="U29917" s="28"/>
    </row>
    <row r="29918">
      <c r="N29918" s="28"/>
      <c r="O29918" s="28"/>
      <c r="U29918" s="28"/>
    </row>
    <row r="29919">
      <c r="N29919" s="28"/>
      <c r="O29919" s="28"/>
      <c r="U29919" s="28"/>
    </row>
    <row r="29920">
      <c r="N29920" s="28"/>
      <c r="O29920" s="28"/>
      <c r="U29920" s="28"/>
    </row>
    <row r="29921">
      <c r="N29921" s="28"/>
      <c r="O29921" s="28"/>
      <c r="U29921" s="28"/>
    </row>
    <row r="29922">
      <c r="N29922" s="28"/>
      <c r="O29922" s="28"/>
      <c r="U29922" s="28"/>
    </row>
    <row r="29923">
      <c r="N29923" s="28"/>
      <c r="O29923" s="28"/>
      <c r="U29923" s="28"/>
    </row>
    <row r="29924">
      <c r="N29924" s="28"/>
      <c r="O29924" s="28"/>
      <c r="U29924" s="28"/>
    </row>
    <row r="29925">
      <c r="N29925" s="28"/>
      <c r="O29925" s="28"/>
      <c r="U29925" s="28"/>
    </row>
    <row r="29926">
      <c r="N29926" s="28"/>
      <c r="O29926" s="28"/>
      <c r="U29926" s="28"/>
    </row>
    <row r="29927">
      <c r="N29927" s="28"/>
      <c r="O29927" s="28"/>
      <c r="U29927" s="28"/>
    </row>
    <row r="29928">
      <c r="N29928" s="28"/>
      <c r="O29928" s="28"/>
      <c r="U29928" s="28"/>
    </row>
    <row r="29929">
      <c r="N29929" s="28"/>
      <c r="O29929" s="28"/>
      <c r="U29929" s="28"/>
    </row>
    <row r="29930">
      <c r="N29930" s="28"/>
      <c r="O29930" s="28"/>
      <c r="U29930" s="28"/>
    </row>
    <row r="29931">
      <c r="N29931" s="28"/>
      <c r="O29931" s="28"/>
      <c r="U29931" s="28"/>
    </row>
    <row r="29932">
      <c r="N29932" s="28"/>
      <c r="O29932" s="28"/>
      <c r="U29932" s="28"/>
    </row>
    <row r="29933">
      <c r="N29933" s="28"/>
      <c r="O29933" s="28"/>
      <c r="U29933" s="28"/>
    </row>
    <row r="29934">
      <c r="N29934" s="28"/>
      <c r="O29934" s="28"/>
      <c r="U29934" s="28"/>
    </row>
    <row r="29935">
      <c r="N29935" s="28"/>
      <c r="O29935" s="28"/>
      <c r="U29935" s="28"/>
    </row>
    <row r="29936">
      <c r="N29936" s="28"/>
      <c r="O29936" s="28"/>
      <c r="U29936" s="28"/>
    </row>
    <row r="29937">
      <c r="N29937" s="28"/>
      <c r="O29937" s="28"/>
      <c r="U29937" s="28"/>
    </row>
    <row r="29938">
      <c r="N29938" s="28"/>
      <c r="O29938" s="28"/>
      <c r="U29938" s="28"/>
    </row>
    <row r="29939">
      <c r="N29939" s="28"/>
      <c r="O29939" s="28"/>
      <c r="U29939" s="28"/>
    </row>
    <row r="29940">
      <c r="N29940" s="28"/>
      <c r="O29940" s="28"/>
      <c r="U29940" s="28"/>
    </row>
    <row r="29941">
      <c r="N29941" s="28"/>
      <c r="O29941" s="28"/>
      <c r="U29941" s="28"/>
    </row>
    <row r="29942">
      <c r="N29942" s="28"/>
      <c r="O29942" s="28"/>
      <c r="U29942" s="28"/>
    </row>
    <row r="29943">
      <c r="N29943" s="28"/>
      <c r="O29943" s="28"/>
      <c r="U29943" s="28"/>
    </row>
    <row r="29944">
      <c r="N29944" s="28"/>
      <c r="O29944" s="28"/>
      <c r="U29944" s="28"/>
    </row>
    <row r="29945">
      <c r="N29945" s="28"/>
      <c r="O29945" s="28"/>
      <c r="U29945" s="28"/>
    </row>
    <row r="29946">
      <c r="N29946" s="28"/>
      <c r="O29946" s="28"/>
      <c r="U29946" s="28"/>
    </row>
    <row r="29947">
      <c r="N29947" s="28"/>
      <c r="O29947" s="28"/>
      <c r="U29947" s="28"/>
    </row>
    <row r="29948">
      <c r="N29948" s="28"/>
      <c r="O29948" s="28"/>
      <c r="U29948" s="28"/>
    </row>
    <row r="29949">
      <c r="N29949" s="28"/>
      <c r="O29949" s="28"/>
      <c r="U29949" s="28"/>
    </row>
    <row r="29950">
      <c r="N29950" s="28"/>
      <c r="O29950" s="28"/>
      <c r="U29950" s="28"/>
    </row>
    <row r="29951">
      <c r="N29951" s="28"/>
      <c r="O29951" s="28"/>
      <c r="U29951" s="28"/>
    </row>
    <row r="29952">
      <c r="N29952" s="28"/>
      <c r="O29952" s="28"/>
      <c r="U29952" s="28"/>
    </row>
    <row r="29953">
      <c r="N29953" s="28"/>
      <c r="O29953" s="28"/>
      <c r="U29953" s="28"/>
    </row>
    <row r="29954">
      <c r="N29954" s="28"/>
      <c r="O29954" s="28"/>
      <c r="U29954" s="28"/>
    </row>
    <row r="29955">
      <c r="N29955" s="28"/>
      <c r="O29955" s="28"/>
      <c r="U29955" s="28"/>
    </row>
    <row r="29956">
      <c r="N29956" s="28"/>
      <c r="O29956" s="28"/>
      <c r="U29956" s="28"/>
    </row>
    <row r="29957">
      <c r="N29957" s="28"/>
      <c r="O29957" s="28"/>
      <c r="U29957" s="28"/>
    </row>
    <row r="29958">
      <c r="N29958" s="28"/>
      <c r="O29958" s="28"/>
      <c r="U29958" s="28"/>
    </row>
    <row r="29959">
      <c r="N29959" s="28"/>
      <c r="O29959" s="28"/>
      <c r="U29959" s="28"/>
    </row>
    <row r="29960">
      <c r="N29960" s="28"/>
      <c r="O29960" s="28"/>
      <c r="U29960" s="28"/>
    </row>
    <row r="29961">
      <c r="N29961" s="28"/>
      <c r="O29961" s="28"/>
      <c r="U29961" s="28"/>
    </row>
    <row r="29962">
      <c r="N29962" s="28"/>
      <c r="O29962" s="28"/>
      <c r="U29962" s="28"/>
    </row>
    <row r="29963">
      <c r="N29963" s="28"/>
      <c r="O29963" s="28"/>
      <c r="U29963" s="28"/>
    </row>
    <row r="29964">
      <c r="N29964" s="28"/>
      <c r="O29964" s="28"/>
      <c r="U29964" s="28"/>
    </row>
    <row r="29965">
      <c r="N29965" s="28"/>
      <c r="O29965" s="28"/>
      <c r="U29965" s="28"/>
    </row>
    <row r="29966">
      <c r="N29966" s="28"/>
      <c r="O29966" s="28"/>
      <c r="U29966" s="28"/>
    </row>
    <row r="29967">
      <c r="N29967" s="28"/>
      <c r="O29967" s="28"/>
      <c r="U29967" s="28"/>
    </row>
    <row r="29968">
      <c r="N29968" s="28"/>
      <c r="O29968" s="28"/>
      <c r="U29968" s="28"/>
    </row>
    <row r="29969">
      <c r="N29969" s="28"/>
      <c r="O29969" s="28"/>
      <c r="U29969" s="28"/>
    </row>
    <row r="29970">
      <c r="N29970" s="28"/>
      <c r="O29970" s="28"/>
      <c r="U29970" s="28"/>
    </row>
    <row r="29971">
      <c r="N29971" s="28"/>
      <c r="O29971" s="28"/>
      <c r="U29971" s="28"/>
    </row>
    <row r="29972">
      <c r="N29972" s="28"/>
      <c r="O29972" s="28"/>
      <c r="U29972" s="28"/>
    </row>
    <row r="29973">
      <c r="N29973" s="28"/>
      <c r="O29973" s="28"/>
      <c r="U29973" s="28"/>
    </row>
    <row r="29974">
      <c r="N29974" s="28"/>
      <c r="O29974" s="28"/>
      <c r="U29974" s="28"/>
    </row>
    <row r="29975">
      <c r="N29975" s="28"/>
      <c r="O29975" s="28"/>
      <c r="U29975" s="28"/>
    </row>
    <row r="29976">
      <c r="N29976" s="28"/>
      <c r="O29976" s="28"/>
      <c r="U29976" s="28"/>
    </row>
    <row r="29977">
      <c r="N29977" s="28"/>
      <c r="O29977" s="28"/>
      <c r="U29977" s="28"/>
    </row>
    <row r="29978">
      <c r="N29978" s="28"/>
      <c r="O29978" s="28"/>
      <c r="U29978" s="28"/>
    </row>
    <row r="29979">
      <c r="N29979" s="28"/>
      <c r="O29979" s="28"/>
      <c r="U29979" s="28"/>
    </row>
    <row r="29980">
      <c r="N29980" s="28"/>
      <c r="O29980" s="28"/>
      <c r="U29980" s="28"/>
    </row>
    <row r="29981">
      <c r="N29981" s="28"/>
      <c r="O29981" s="28"/>
      <c r="U29981" s="28"/>
    </row>
    <row r="29982">
      <c r="N29982" s="28"/>
      <c r="O29982" s="28"/>
      <c r="U29982" s="28"/>
    </row>
    <row r="29983">
      <c r="N29983" s="28"/>
      <c r="O29983" s="28"/>
      <c r="U29983" s="28"/>
    </row>
    <row r="29984">
      <c r="N29984" s="28"/>
      <c r="O29984" s="28"/>
      <c r="U29984" s="28"/>
    </row>
    <row r="29985">
      <c r="N29985" s="28"/>
      <c r="O29985" s="28"/>
      <c r="U29985" s="28"/>
    </row>
    <row r="29986">
      <c r="N29986" s="28"/>
      <c r="O29986" s="28"/>
      <c r="U29986" s="28"/>
    </row>
    <row r="29987">
      <c r="N29987" s="28"/>
      <c r="O29987" s="28"/>
      <c r="U29987" s="28"/>
    </row>
    <row r="29988">
      <c r="N29988" s="28"/>
      <c r="O29988" s="28"/>
      <c r="U29988" s="28"/>
    </row>
    <row r="29989">
      <c r="N29989" s="28"/>
      <c r="O29989" s="28"/>
      <c r="U29989" s="28"/>
    </row>
    <row r="29990">
      <c r="N29990" s="28"/>
      <c r="O29990" s="28"/>
      <c r="U29990" s="28"/>
    </row>
    <row r="29991">
      <c r="N29991" s="28"/>
      <c r="O29991" s="28"/>
      <c r="U29991" s="28"/>
    </row>
    <row r="29992">
      <c r="N29992" s="28"/>
      <c r="O29992" s="28"/>
      <c r="U29992" s="28"/>
    </row>
    <row r="29993">
      <c r="N29993" s="28"/>
      <c r="O29993" s="28"/>
      <c r="U29993" s="28"/>
    </row>
    <row r="29994">
      <c r="N29994" s="28"/>
      <c r="O29994" s="28"/>
      <c r="U29994" s="28"/>
    </row>
    <row r="29995">
      <c r="N29995" s="28"/>
      <c r="O29995" s="28"/>
      <c r="U29995" s="28"/>
    </row>
    <row r="29996">
      <c r="N29996" s="28"/>
      <c r="O29996" s="28"/>
      <c r="U29996" s="28"/>
    </row>
    <row r="29997">
      <c r="N29997" s="28"/>
      <c r="O29997" s="28"/>
      <c r="U29997" s="28"/>
    </row>
    <row r="29998">
      <c r="N29998" s="28"/>
      <c r="O29998" s="28"/>
      <c r="U29998" s="28"/>
    </row>
    <row r="29999">
      <c r="N29999" s="28"/>
      <c r="O29999" s="28"/>
      <c r="U29999" s="28"/>
    </row>
    <row r="30000">
      <c r="N30000" s="28"/>
      <c r="O30000" s="28"/>
      <c r="U30000" s="28"/>
    </row>
    <row r="30001">
      <c r="N30001" s="28"/>
      <c r="O30001" s="28"/>
      <c r="U30001" s="28"/>
    </row>
    <row r="30002">
      <c r="N30002" s="28"/>
      <c r="O30002" s="28"/>
      <c r="U30002" s="28"/>
    </row>
    <row r="30003">
      <c r="N30003" s="28"/>
      <c r="O30003" s="28"/>
      <c r="U30003" s="28"/>
    </row>
    <row r="30004">
      <c r="N30004" s="28"/>
      <c r="O30004" s="28"/>
      <c r="U30004" s="28"/>
    </row>
    <row r="30005">
      <c r="N30005" s="28"/>
      <c r="O30005" s="28"/>
      <c r="U30005" s="28"/>
    </row>
    <row r="30006">
      <c r="N30006" s="28"/>
      <c r="O30006" s="28"/>
      <c r="U30006" s="28"/>
    </row>
    <row r="30007">
      <c r="N30007" s="28"/>
      <c r="O30007" s="28"/>
      <c r="U30007" s="28"/>
    </row>
    <row r="30008">
      <c r="N30008" s="28"/>
      <c r="O30008" s="28"/>
      <c r="U30008" s="28"/>
    </row>
    <row r="30009">
      <c r="N30009" s="28"/>
      <c r="O30009" s="28"/>
      <c r="U30009" s="28"/>
    </row>
    <row r="30010">
      <c r="N30010" s="28"/>
      <c r="O30010" s="28"/>
      <c r="U30010" s="28"/>
    </row>
    <row r="30011">
      <c r="N30011" s="28"/>
      <c r="O30011" s="28"/>
      <c r="U30011" s="28"/>
    </row>
    <row r="30012">
      <c r="N30012" s="28"/>
      <c r="O30012" s="28"/>
      <c r="U30012" s="28"/>
    </row>
    <row r="30013">
      <c r="N30013" s="28"/>
      <c r="O30013" s="28"/>
      <c r="U30013" s="28"/>
    </row>
    <row r="30014">
      <c r="N30014" s="28"/>
      <c r="O30014" s="28"/>
      <c r="U30014" s="28"/>
    </row>
    <row r="30015">
      <c r="N30015" s="28"/>
      <c r="O30015" s="28"/>
      <c r="U30015" s="28"/>
    </row>
    <row r="30016">
      <c r="N30016" s="28"/>
      <c r="O30016" s="28"/>
      <c r="U30016" s="28"/>
    </row>
    <row r="30017">
      <c r="N30017" s="28"/>
      <c r="O30017" s="28"/>
      <c r="U30017" s="28"/>
    </row>
    <row r="30018">
      <c r="N30018" s="28"/>
      <c r="O30018" s="28"/>
      <c r="U30018" s="28"/>
    </row>
    <row r="30019">
      <c r="N30019" s="28"/>
      <c r="O30019" s="28"/>
      <c r="U30019" s="28"/>
    </row>
    <row r="30020">
      <c r="N30020" s="28"/>
      <c r="O30020" s="28"/>
      <c r="U30020" s="28"/>
    </row>
    <row r="30021">
      <c r="N30021" s="28"/>
      <c r="O30021" s="28"/>
      <c r="U30021" s="28"/>
    </row>
    <row r="30022">
      <c r="N30022" s="28"/>
      <c r="O30022" s="28"/>
      <c r="U30022" s="28"/>
    </row>
    <row r="30023">
      <c r="N30023" s="28"/>
      <c r="O30023" s="28"/>
      <c r="U30023" s="28"/>
    </row>
    <row r="30024">
      <c r="N30024" s="28"/>
      <c r="O30024" s="28"/>
      <c r="U30024" s="28"/>
    </row>
    <row r="30025">
      <c r="N30025" s="28"/>
      <c r="O30025" s="28"/>
      <c r="U30025" s="28"/>
    </row>
    <row r="30026">
      <c r="N30026" s="28"/>
      <c r="O30026" s="28"/>
      <c r="U30026" s="28"/>
    </row>
    <row r="30027">
      <c r="N30027" s="28"/>
      <c r="O30027" s="28"/>
      <c r="U30027" s="28"/>
    </row>
    <row r="30028">
      <c r="N30028" s="28"/>
      <c r="O30028" s="28"/>
      <c r="U30028" s="28"/>
    </row>
    <row r="30029">
      <c r="N30029" s="28"/>
      <c r="O30029" s="28"/>
      <c r="U30029" s="28"/>
    </row>
    <row r="30030">
      <c r="N30030" s="28"/>
      <c r="O30030" s="28"/>
      <c r="U30030" s="28"/>
    </row>
    <row r="30031">
      <c r="N30031" s="28"/>
      <c r="O30031" s="28"/>
      <c r="U30031" s="28"/>
    </row>
    <row r="30032">
      <c r="N30032" s="28"/>
      <c r="O30032" s="28"/>
      <c r="U30032" s="28"/>
    </row>
    <row r="30033">
      <c r="N30033" s="28"/>
      <c r="O30033" s="28"/>
      <c r="U30033" s="28"/>
    </row>
    <row r="30034">
      <c r="N30034" s="28"/>
      <c r="O30034" s="28"/>
      <c r="U30034" s="28"/>
    </row>
    <row r="30035">
      <c r="N30035" s="28"/>
      <c r="O30035" s="28"/>
      <c r="U30035" s="28"/>
    </row>
    <row r="30036">
      <c r="N30036" s="28"/>
      <c r="O30036" s="28"/>
      <c r="U30036" s="28"/>
    </row>
    <row r="30037">
      <c r="N30037" s="28"/>
      <c r="O30037" s="28"/>
      <c r="U30037" s="28"/>
    </row>
    <row r="30038">
      <c r="N30038" s="28"/>
      <c r="O30038" s="28"/>
      <c r="U30038" s="28"/>
    </row>
    <row r="30039">
      <c r="N30039" s="28"/>
      <c r="O30039" s="28"/>
      <c r="U30039" s="28"/>
    </row>
    <row r="30040">
      <c r="N30040" s="28"/>
      <c r="O30040" s="28"/>
      <c r="U30040" s="28"/>
    </row>
    <row r="30041">
      <c r="N30041" s="28"/>
      <c r="O30041" s="28"/>
      <c r="U30041" s="28"/>
    </row>
    <row r="30042">
      <c r="N30042" s="28"/>
      <c r="O30042" s="28"/>
      <c r="U30042" s="28"/>
    </row>
    <row r="30043">
      <c r="N30043" s="28"/>
      <c r="O30043" s="28"/>
      <c r="U30043" s="28"/>
    </row>
    <row r="30044">
      <c r="N30044" s="28"/>
      <c r="O30044" s="28"/>
      <c r="U30044" s="28"/>
    </row>
    <row r="30045">
      <c r="N30045" s="28"/>
      <c r="O30045" s="28"/>
      <c r="U30045" s="28"/>
    </row>
    <row r="30046">
      <c r="N30046" s="28"/>
      <c r="O30046" s="28"/>
      <c r="U30046" s="28"/>
    </row>
    <row r="30047">
      <c r="N30047" s="28"/>
      <c r="O30047" s="28"/>
      <c r="U30047" s="28"/>
    </row>
    <row r="30048">
      <c r="N30048" s="28"/>
      <c r="O30048" s="28"/>
      <c r="U30048" s="28"/>
    </row>
    <row r="30049">
      <c r="N30049" s="28"/>
      <c r="O30049" s="28"/>
      <c r="U30049" s="28"/>
    </row>
    <row r="30050">
      <c r="N30050" s="28"/>
      <c r="O30050" s="28"/>
      <c r="U30050" s="28"/>
    </row>
    <row r="30051">
      <c r="N30051" s="28"/>
      <c r="O30051" s="28"/>
      <c r="U30051" s="28"/>
    </row>
    <row r="30052">
      <c r="N30052" s="28"/>
      <c r="O30052" s="28"/>
      <c r="U30052" s="28"/>
    </row>
    <row r="30053">
      <c r="N30053" s="28"/>
      <c r="O30053" s="28"/>
      <c r="U30053" s="28"/>
    </row>
    <row r="30054">
      <c r="N30054" s="28"/>
      <c r="O30054" s="28"/>
      <c r="U30054" s="28"/>
    </row>
    <row r="30055">
      <c r="N30055" s="28"/>
      <c r="O30055" s="28"/>
      <c r="U30055" s="28"/>
    </row>
    <row r="30056">
      <c r="N30056" s="28"/>
      <c r="O30056" s="28"/>
      <c r="U30056" s="28"/>
    </row>
    <row r="30057">
      <c r="N30057" s="28"/>
      <c r="O30057" s="28"/>
      <c r="U30057" s="28"/>
    </row>
    <row r="30058">
      <c r="N30058" s="28"/>
      <c r="O30058" s="28"/>
      <c r="U30058" s="28"/>
    </row>
    <row r="30059">
      <c r="N30059" s="28"/>
      <c r="O30059" s="28"/>
      <c r="U30059" s="28"/>
    </row>
    <row r="30060">
      <c r="N30060" s="28"/>
      <c r="O30060" s="28"/>
      <c r="U30060" s="28"/>
    </row>
    <row r="30061">
      <c r="N30061" s="28"/>
      <c r="O30061" s="28"/>
      <c r="U30061" s="28"/>
    </row>
    <row r="30062">
      <c r="N30062" s="28"/>
      <c r="O30062" s="28"/>
      <c r="U30062" s="28"/>
    </row>
    <row r="30063">
      <c r="N30063" s="28"/>
      <c r="O30063" s="28"/>
      <c r="U30063" s="28"/>
    </row>
    <row r="30064">
      <c r="N30064" s="28"/>
      <c r="O30064" s="28"/>
      <c r="U30064" s="28"/>
    </row>
    <row r="30065">
      <c r="N30065" s="28"/>
      <c r="O30065" s="28"/>
      <c r="U30065" s="28"/>
    </row>
    <row r="30066">
      <c r="N30066" s="28"/>
      <c r="O30066" s="28"/>
      <c r="U30066" s="28"/>
    </row>
    <row r="30067">
      <c r="N30067" s="28"/>
      <c r="O30067" s="28"/>
      <c r="U30067" s="28"/>
    </row>
    <row r="30068">
      <c r="N30068" s="28"/>
      <c r="O30068" s="28"/>
      <c r="U30068" s="28"/>
    </row>
    <row r="30069">
      <c r="N30069" s="28"/>
      <c r="O30069" s="28"/>
      <c r="U30069" s="28"/>
    </row>
    <row r="30070">
      <c r="N30070" s="28"/>
      <c r="O30070" s="28"/>
      <c r="U30070" s="28"/>
    </row>
    <row r="30071">
      <c r="N30071" s="28"/>
      <c r="O30071" s="28"/>
      <c r="U30071" s="28"/>
    </row>
    <row r="30072">
      <c r="N30072" s="28"/>
      <c r="O30072" s="28"/>
      <c r="U30072" s="28"/>
    </row>
    <row r="30073">
      <c r="N30073" s="28"/>
      <c r="O30073" s="28"/>
      <c r="U30073" s="28"/>
    </row>
    <row r="30074">
      <c r="N30074" s="28"/>
      <c r="O30074" s="28"/>
      <c r="U30074" s="28"/>
    </row>
    <row r="30075">
      <c r="N30075" s="28"/>
      <c r="O30075" s="28"/>
      <c r="U30075" s="28"/>
    </row>
    <row r="30076">
      <c r="N30076" s="28"/>
      <c r="O30076" s="28"/>
      <c r="U30076" s="28"/>
    </row>
    <row r="30077">
      <c r="N30077" s="28"/>
      <c r="O30077" s="28"/>
      <c r="U30077" s="28"/>
    </row>
    <row r="30078">
      <c r="N30078" s="28"/>
      <c r="O30078" s="28"/>
      <c r="U30078" s="28"/>
    </row>
    <row r="30079">
      <c r="N30079" s="28"/>
      <c r="O30079" s="28"/>
      <c r="U30079" s="28"/>
    </row>
    <row r="30080">
      <c r="N30080" s="28"/>
      <c r="O30080" s="28"/>
      <c r="U30080" s="28"/>
    </row>
    <row r="30081">
      <c r="N30081" s="28"/>
      <c r="O30081" s="28"/>
      <c r="U30081" s="28"/>
    </row>
    <row r="30082">
      <c r="N30082" s="28"/>
      <c r="O30082" s="28"/>
      <c r="U30082" s="28"/>
    </row>
    <row r="30083">
      <c r="N30083" s="28"/>
      <c r="O30083" s="28"/>
      <c r="U30083" s="28"/>
    </row>
    <row r="30084">
      <c r="N30084" s="28"/>
      <c r="O30084" s="28"/>
      <c r="U30084" s="28"/>
    </row>
    <row r="30085">
      <c r="N30085" s="28"/>
      <c r="O30085" s="28"/>
      <c r="U30085" s="28"/>
    </row>
    <row r="30086">
      <c r="N30086" s="28"/>
      <c r="O30086" s="28"/>
      <c r="U30086" s="28"/>
    </row>
    <row r="30087">
      <c r="N30087" s="28"/>
      <c r="O30087" s="28"/>
      <c r="U30087" s="28"/>
    </row>
    <row r="30088">
      <c r="N30088" s="28"/>
      <c r="O30088" s="28"/>
      <c r="U30088" s="28"/>
    </row>
    <row r="30089">
      <c r="N30089" s="28"/>
      <c r="O30089" s="28"/>
      <c r="U30089" s="28"/>
    </row>
    <row r="30090">
      <c r="N30090" s="28"/>
      <c r="O30090" s="28"/>
      <c r="U30090" s="28"/>
    </row>
    <row r="30091">
      <c r="N30091" s="28"/>
      <c r="O30091" s="28"/>
      <c r="U30091" s="28"/>
    </row>
    <row r="30092">
      <c r="N30092" s="28"/>
      <c r="O30092" s="28"/>
      <c r="U30092" s="28"/>
    </row>
    <row r="30093">
      <c r="N30093" s="28"/>
      <c r="O30093" s="28"/>
      <c r="U30093" s="28"/>
    </row>
    <row r="30094">
      <c r="N30094" s="28"/>
      <c r="O30094" s="28"/>
      <c r="U30094" s="28"/>
    </row>
    <row r="30095">
      <c r="N30095" s="28"/>
      <c r="O30095" s="28"/>
      <c r="U30095" s="28"/>
    </row>
    <row r="30096">
      <c r="N30096" s="28"/>
      <c r="O30096" s="28"/>
      <c r="U30096" s="28"/>
    </row>
    <row r="30097">
      <c r="N30097" s="28"/>
      <c r="O30097" s="28"/>
      <c r="U30097" s="28"/>
    </row>
    <row r="30098">
      <c r="N30098" s="28"/>
      <c r="O30098" s="28"/>
      <c r="U30098" s="28"/>
    </row>
    <row r="30099">
      <c r="N30099" s="28"/>
      <c r="O30099" s="28"/>
      <c r="U30099" s="28"/>
    </row>
    <row r="30100">
      <c r="N30100" s="28"/>
      <c r="O30100" s="28"/>
      <c r="U30100" s="28"/>
    </row>
    <row r="30101">
      <c r="N30101" s="28"/>
      <c r="O30101" s="28"/>
      <c r="U30101" s="28"/>
    </row>
    <row r="30102">
      <c r="N30102" s="28"/>
      <c r="O30102" s="28"/>
      <c r="U30102" s="28"/>
    </row>
    <row r="30103">
      <c r="N30103" s="28"/>
      <c r="O30103" s="28"/>
      <c r="U30103" s="28"/>
    </row>
    <row r="30104">
      <c r="N30104" s="28"/>
      <c r="O30104" s="28"/>
      <c r="U30104" s="28"/>
    </row>
    <row r="30105">
      <c r="N30105" s="28"/>
      <c r="O30105" s="28"/>
      <c r="U30105" s="28"/>
    </row>
    <row r="30106">
      <c r="N30106" s="28"/>
      <c r="O30106" s="28"/>
      <c r="U30106" s="28"/>
    </row>
    <row r="30107">
      <c r="N30107" s="28"/>
      <c r="O30107" s="28"/>
      <c r="U30107" s="28"/>
    </row>
    <row r="30108">
      <c r="N30108" s="28"/>
      <c r="O30108" s="28"/>
      <c r="U30108" s="28"/>
    </row>
    <row r="30109">
      <c r="N30109" s="28"/>
      <c r="O30109" s="28"/>
      <c r="U30109" s="28"/>
    </row>
    <row r="30110">
      <c r="N30110" s="28"/>
      <c r="O30110" s="28"/>
      <c r="U30110" s="28"/>
    </row>
    <row r="30111">
      <c r="N30111" s="28"/>
      <c r="O30111" s="28"/>
      <c r="U30111" s="28"/>
    </row>
    <row r="30112">
      <c r="N30112" s="28"/>
      <c r="O30112" s="28"/>
      <c r="U30112" s="28"/>
    </row>
    <row r="30113">
      <c r="N30113" s="28"/>
      <c r="O30113" s="28"/>
      <c r="U30113" s="28"/>
    </row>
    <row r="30114">
      <c r="N30114" s="28"/>
      <c r="O30114" s="28"/>
      <c r="U30114" s="28"/>
    </row>
    <row r="30115">
      <c r="N30115" s="28"/>
      <c r="O30115" s="28"/>
      <c r="U30115" s="28"/>
    </row>
    <row r="30116">
      <c r="N30116" s="28"/>
      <c r="O30116" s="28"/>
      <c r="U30116" s="28"/>
    </row>
    <row r="30117">
      <c r="N30117" s="28"/>
      <c r="O30117" s="28"/>
      <c r="U30117" s="28"/>
    </row>
    <row r="30118">
      <c r="N30118" s="28"/>
      <c r="O30118" s="28"/>
      <c r="U30118" s="28"/>
    </row>
    <row r="30119">
      <c r="N30119" s="28"/>
      <c r="O30119" s="28"/>
      <c r="U30119" s="28"/>
    </row>
    <row r="30120">
      <c r="N30120" s="28"/>
      <c r="O30120" s="28"/>
      <c r="U30120" s="28"/>
    </row>
    <row r="30121">
      <c r="N30121" s="28"/>
      <c r="O30121" s="28"/>
      <c r="U30121" s="28"/>
    </row>
    <row r="30122">
      <c r="N30122" s="28"/>
      <c r="O30122" s="28"/>
      <c r="U30122" s="28"/>
    </row>
    <row r="30123">
      <c r="N30123" s="28"/>
      <c r="O30123" s="28"/>
      <c r="U30123" s="28"/>
    </row>
    <row r="30124">
      <c r="N30124" s="28"/>
      <c r="O30124" s="28"/>
      <c r="U30124" s="28"/>
    </row>
    <row r="30125">
      <c r="N30125" s="28"/>
      <c r="O30125" s="28"/>
      <c r="U30125" s="28"/>
    </row>
    <row r="30126">
      <c r="N30126" s="28"/>
      <c r="O30126" s="28"/>
      <c r="U30126" s="28"/>
    </row>
    <row r="30127">
      <c r="N30127" s="28"/>
      <c r="O30127" s="28"/>
      <c r="U30127" s="28"/>
    </row>
    <row r="30128">
      <c r="N30128" s="28"/>
      <c r="O30128" s="28"/>
      <c r="U30128" s="28"/>
    </row>
    <row r="30129">
      <c r="N30129" s="28"/>
      <c r="O30129" s="28"/>
      <c r="U30129" s="28"/>
    </row>
    <row r="30130">
      <c r="N30130" s="28"/>
      <c r="O30130" s="28"/>
      <c r="U30130" s="28"/>
    </row>
    <row r="30131">
      <c r="N30131" s="28"/>
      <c r="O30131" s="28"/>
      <c r="U30131" s="28"/>
    </row>
    <row r="30132">
      <c r="N30132" s="28"/>
      <c r="O30132" s="28"/>
      <c r="U30132" s="28"/>
    </row>
    <row r="30133">
      <c r="N30133" s="28"/>
      <c r="O30133" s="28"/>
      <c r="U30133" s="28"/>
    </row>
    <row r="30134">
      <c r="N30134" s="28"/>
      <c r="O30134" s="28"/>
      <c r="U30134" s="28"/>
    </row>
    <row r="30135">
      <c r="N30135" s="28"/>
      <c r="O30135" s="28"/>
      <c r="U30135" s="28"/>
    </row>
    <row r="30136">
      <c r="N30136" s="28"/>
      <c r="O30136" s="28"/>
      <c r="U30136" s="28"/>
    </row>
    <row r="30137">
      <c r="N30137" s="28"/>
      <c r="O30137" s="28"/>
      <c r="U30137" s="28"/>
    </row>
    <row r="30138">
      <c r="N30138" s="28"/>
      <c r="O30138" s="28"/>
      <c r="U30138" s="28"/>
    </row>
    <row r="30139">
      <c r="N30139" s="28"/>
      <c r="O30139" s="28"/>
      <c r="U30139" s="28"/>
    </row>
    <row r="30140">
      <c r="N30140" s="28"/>
      <c r="O30140" s="28"/>
      <c r="U30140" s="28"/>
    </row>
    <row r="30141">
      <c r="N30141" s="28"/>
      <c r="O30141" s="28"/>
      <c r="U30141" s="28"/>
    </row>
    <row r="30142">
      <c r="N30142" s="28"/>
      <c r="O30142" s="28"/>
      <c r="U30142" s="28"/>
    </row>
    <row r="30143">
      <c r="N30143" s="28"/>
      <c r="O30143" s="28"/>
      <c r="U30143" s="28"/>
    </row>
    <row r="30144">
      <c r="N30144" s="28"/>
      <c r="O30144" s="28"/>
      <c r="U30144" s="28"/>
    </row>
    <row r="30145">
      <c r="N30145" s="28"/>
      <c r="O30145" s="28"/>
      <c r="U30145" s="28"/>
    </row>
    <row r="30146">
      <c r="N30146" s="28"/>
      <c r="O30146" s="28"/>
      <c r="U30146" s="28"/>
    </row>
    <row r="30147">
      <c r="N30147" s="28"/>
      <c r="O30147" s="28"/>
      <c r="U30147" s="28"/>
    </row>
    <row r="30148">
      <c r="N30148" s="28"/>
      <c r="O30148" s="28"/>
      <c r="U30148" s="28"/>
    </row>
    <row r="30149">
      <c r="N30149" s="28"/>
      <c r="O30149" s="28"/>
      <c r="U30149" s="28"/>
    </row>
    <row r="30150">
      <c r="N30150" s="28"/>
      <c r="O30150" s="28"/>
      <c r="U30150" s="28"/>
    </row>
    <row r="30151">
      <c r="N30151" s="28"/>
      <c r="O30151" s="28"/>
      <c r="U30151" s="28"/>
    </row>
    <row r="30152">
      <c r="N30152" s="28"/>
      <c r="O30152" s="28"/>
      <c r="U30152" s="28"/>
    </row>
    <row r="30153">
      <c r="N30153" s="28"/>
      <c r="O30153" s="28"/>
      <c r="U30153" s="28"/>
    </row>
    <row r="30154">
      <c r="N30154" s="28"/>
      <c r="O30154" s="28"/>
      <c r="U30154" s="28"/>
    </row>
    <row r="30155">
      <c r="N30155" s="28"/>
      <c r="O30155" s="28"/>
      <c r="U30155" s="28"/>
    </row>
    <row r="30156">
      <c r="N30156" s="28"/>
      <c r="O30156" s="28"/>
      <c r="U30156" s="28"/>
    </row>
    <row r="30157">
      <c r="N30157" s="28"/>
      <c r="O30157" s="28"/>
      <c r="U30157" s="28"/>
    </row>
    <row r="30158">
      <c r="N30158" s="28"/>
      <c r="O30158" s="28"/>
      <c r="U30158" s="28"/>
    </row>
    <row r="30159">
      <c r="N30159" s="28"/>
      <c r="O30159" s="28"/>
      <c r="U30159" s="28"/>
    </row>
    <row r="30160">
      <c r="N30160" s="28"/>
      <c r="O30160" s="28"/>
      <c r="U30160" s="28"/>
    </row>
    <row r="30161">
      <c r="N30161" s="28"/>
      <c r="O30161" s="28"/>
      <c r="U30161" s="28"/>
    </row>
    <row r="30162">
      <c r="N30162" s="28"/>
      <c r="O30162" s="28"/>
      <c r="U30162" s="28"/>
    </row>
    <row r="30163">
      <c r="N30163" s="28"/>
      <c r="O30163" s="28"/>
      <c r="U30163" s="28"/>
    </row>
    <row r="30164">
      <c r="N30164" s="28"/>
      <c r="O30164" s="28"/>
      <c r="U30164" s="28"/>
    </row>
    <row r="30165">
      <c r="N30165" s="28"/>
      <c r="O30165" s="28"/>
      <c r="U30165" s="28"/>
    </row>
    <row r="30166">
      <c r="N30166" s="28"/>
      <c r="O30166" s="28"/>
      <c r="U30166" s="28"/>
    </row>
    <row r="30167">
      <c r="N30167" s="28"/>
      <c r="O30167" s="28"/>
      <c r="U30167" s="28"/>
    </row>
    <row r="30168">
      <c r="N30168" s="28"/>
      <c r="O30168" s="28"/>
      <c r="U30168" s="28"/>
    </row>
    <row r="30169">
      <c r="N30169" s="28"/>
      <c r="O30169" s="28"/>
      <c r="U30169" s="28"/>
    </row>
    <row r="30170">
      <c r="N30170" s="28"/>
      <c r="O30170" s="28"/>
      <c r="U30170" s="28"/>
    </row>
    <row r="30171">
      <c r="N30171" s="28"/>
      <c r="O30171" s="28"/>
      <c r="U30171" s="28"/>
    </row>
    <row r="30172">
      <c r="N30172" s="28"/>
      <c r="O30172" s="28"/>
      <c r="U30172" s="28"/>
    </row>
    <row r="30173">
      <c r="N30173" s="28"/>
      <c r="O30173" s="28"/>
      <c r="U30173" s="28"/>
    </row>
    <row r="30174">
      <c r="N30174" s="28"/>
      <c r="O30174" s="28"/>
      <c r="U30174" s="28"/>
    </row>
    <row r="30175">
      <c r="N30175" s="28"/>
      <c r="O30175" s="28"/>
      <c r="U30175" s="28"/>
    </row>
    <row r="30176">
      <c r="N30176" s="28"/>
      <c r="O30176" s="28"/>
      <c r="U30176" s="28"/>
    </row>
    <row r="30177">
      <c r="N30177" s="28"/>
      <c r="O30177" s="28"/>
      <c r="U30177" s="28"/>
    </row>
    <row r="30178">
      <c r="N30178" s="28"/>
      <c r="O30178" s="28"/>
      <c r="U30178" s="28"/>
    </row>
    <row r="30179">
      <c r="N30179" s="28"/>
      <c r="O30179" s="28"/>
      <c r="U30179" s="28"/>
    </row>
    <row r="30180">
      <c r="N30180" s="28"/>
      <c r="O30180" s="28"/>
      <c r="U30180" s="28"/>
    </row>
    <row r="30181">
      <c r="N30181" s="28"/>
      <c r="O30181" s="28"/>
      <c r="U30181" s="28"/>
    </row>
    <row r="30182">
      <c r="N30182" s="28"/>
      <c r="O30182" s="28"/>
      <c r="U30182" s="28"/>
    </row>
    <row r="30183">
      <c r="N30183" s="28"/>
      <c r="O30183" s="28"/>
      <c r="U30183" s="28"/>
    </row>
    <row r="30184">
      <c r="N30184" s="28"/>
      <c r="O30184" s="28"/>
      <c r="U30184" s="28"/>
    </row>
    <row r="30185">
      <c r="N30185" s="28"/>
      <c r="O30185" s="28"/>
      <c r="U30185" s="28"/>
    </row>
    <row r="30186">
      <c r="N30186" s="28"/>
      <c r="O30186" s="28"/>
      <c r="U30186" s="28"/>
    </row>
    <row r="30187">
      <c r="N30187" s="28"/>
      <c r="O30187" s="28"/>
      <c r="U30187" s="28"/>
    </row>
    <row r="30188">
      <c r="N30188" s="28"/>
      <c r="O30188" s="28"/>
      <c r="U30188" s="28"/>
    </row>
    <row r="30189">
      <c r="N30189" s="28"/>
      <c r="O30189" s="28"/>
      <c r="U30189" s="28"/>
    </row>
    <row r="30190">
      <c r="N30190" s="28"/>
      <c r="O30190" s="28"/>
      <c r="U30190" s="28"/>
    </row>
    <row r="30191">
      <c r="N30191" s="28"/>
      <c r="O30191" s="28"/>
      <c r="U30191" s="28"/>
    </row>
    <row r="30192">
      <c r="N30192" s="28"/>
      <c r="O30192" s="28"/>
      <c r="U30192" s="28"/>
    </row>
    <row r="30193">
      <c r="N30193" s="28"/>
      <c r="O30193" s="28"/>
      <c r="U30193" s="28"/>
    </row>
    <row r="30194">
      <c r="N30194" s="28"/>
      <c r="O30194" s="28"/>
      <c r="U30194" s="28"/>
    </row>
    <row r="30195">
      <c r="N30195" s="28"/>
      <c r="O30195" s="28"/>
      <c r="U30195" s="28"/>
    </row>
    <row r="30196">
      <c r="N30196" s="28"/>
      <c r="O30196" s="28"/>
      <c r="U30196" s="28"/>
    </row>
    <row r="30197">
      <c r="N30197" s="28"/>
      <c r="O30197" s="28"/>
      <c r="U30197" s="28"/>
    </row>
    <row r="30198">
      <c r="N30198" s="28"/>
      <c r="O30198" s="28"/>
      <c r="U30198" s="28"/>
    </row>
    <row r="30199">
      <c r="N30199" s="28"/>
      <c r="O30199" s="28"/>
      <c r="U30199" s="28"/>
    </row>
    <row r="30200">
      <c r="N30200" s="28"/>
      <c r="O30200" s="28"/>
      <c r="U30200" s="28"/>
    </row>
    <row r="30201">
      <c r="N30201" s="28"/>
      <c r="O30201" s="28"/>
      <c r="U30201" s="28"/>
    </row>
    <row r="30202">
      <c r="N30202" s="28"/>
      <c r="O30202" s="28"/>
      <c r="U30202" s="28"/>
    </row>
    <row r="30203">
      <c r="N30203" s="28"/>
      <c r="O30203" s="28"/>
      <c r="U30203" s="28"/>
    </row>
    <row r="30204">
      <c r="N30204" s="28"/>
      <c r="O30204" s="28"/>
      <c r="U30204" s="28"/>
    </row>
    <row r="30205">
      <c r="N30205" s="28"/>
      <c r="O30205" s="28"/>
      <c r="U30205" s="28"/>
    </row>
    <row r="30206">
      <c r="N30206" s="28"/>
      <c r="O30206" s="28"/>
      <c r="U30206" s="28"/>
    </row>
    <row r="30207">
      <c r="N30207" s="28"/>
      <c r="O30207" s="28"/>
      <c r="U30207" s="28"/>
    </row>
    <row r="30208">
      <c r="N30208" s="28"/>
      <c r="O30208" s="28"/>
      <c r="U30208" s="28"/>
    </row>
    <row r="30209">
      <c r="N30209" s="28"/>
      <c r="O30209" s="28"/>
      <c r="U30209" s="28"/>
    </row>
    <row r="30210">
      <c r="N30210" s="28"/>
      <c r="O30210" s="28"/>
      <c r="U30210" s="28"/>
    </row>
    <row r="30211">
      <c r="N30211" s="28"/>
      <c r="O30211" s="28"/>
      <c r="U30211" s="28"/>
    </row>
    <row r="30212">
      <c r="N30212" s="28"/>
      <c r="O30212" s="28"/>
      <c r="U30212" s="28"/>
    </row>
    <row r="30213">
      <c r="N30213" s="28"/>
      <c r="O30213" s="28"/>
      <c r="U30213" s="28"/>
    </row>
    <row r="30214">
      <c r="N30214" s="28"/>
      <c r="O30214" s="28"/>
      <c r="U30214" s="28"/>
    </row>
    <row r="30215">
      <c r="N30215" s="28"/>
      <c r="O30215" s="28"/>
      <c r="U30215" s="28"/>
    </row>
    <row r="30216">
      <c r="N30216" s="28"/>
      <c r="O30216" s="28"/>
      <c r="U30216" s="28"/>
    </row>
    <row r="30217">
      <c r="N30217" s="28"/>
      <c r="O30217" s="28"/>
      <c r="U30217" s="28"/>
    </row>
    <row r="30218">
      <c r="N30218" s="28"/>
      <c r="O30218" s="28"/>
      <c r="U30218" s="28"/>
    </row>
    <row r="30219">
      <c r="N30219" s="28"/>
      <c r="O30219" s="28"/>
      <c r="U30219" s="28"/>
    </row>
    <row r="30220">
      <c r="N30220" s="28"/>
      <c r="O30220" s="28"/>
      <c r="U30220" s="28"/>
    </row>
    <row r="30221">
      <c r="N30221" s="28"/>
      <c r="O30221" s="28"/>
      <c r="U30221" s="28"/>
    </row>
    <row r="30222">
      <c r="N30222" s="28"/>
      <c r="O30222" s="28"/>
      <c r="U30222" s="28"/>
    </row>
    <row r="30223">
      <c r="N30223" s="28"/>
      <c r="O30223" s="28"/>
      <c r="U30223" s="28"/>
    </row>
    <row r="30224">
      <c r="N30224" s="28"/>
      <c r="O30224" s="28"/>
      <c r="U30224" s="28"/>
    </row>
    <row r="30225">
      <c r="N30225" s="28"/>
      <c r="O30225" s="28"/>
      <c r="U30225" s="28"/>
    </row>
    <row r="30226">
      <c r="N30226" s="28"/>
      <c r="O30226" s="28"/>
      <c r="U30226" s="28"/>
    </row>
    <row r="30227">
      <c r="N30227" s="28"/>
      <c r="O30227" s="28"/>
      <c r="U30227" s="28"/>
    </row>
    <row r="30228">
      <c r="N30228" s="28"/>
      <c r="O30228" s="28"/>
      <c r="U30228" s="28"/>
    </row>
    <row r="30229">
      <c r="N30229" s="28"/>
      <c r="O30229" s="28"/>
      <c r="U30229" s="28"/>
    </row>
    <row r="30230">
      <c r="N30230" s="28"/>
      <c r="O30230" s="28"/>
      <c r="U30230" s="28"/>
    </row>
    <row r="30231">
      <c r="N30231" s="28"/>
      <c r="O30231" s="28"/>
      <c r="U30231" s="28"/>
    </row>
    <row r="30232">
      <c r="N30232" s="28"/>
      <c r="O30232" s="28"/>
      <c r="U30232" s="28"/>
    </row>
    <row r="30233">
      <c r="N30233" s="28"/>
      <c r="O30233" s="28"/>
      <c r="U30233" s="28"/>
    </row>
    <row r="30234">
      <c r="N30234" s="28"/>
      <c r="O30234" s="28"/>
      <c r="U30234" s="28"/>
    </row>
    <row r="30235">
      <c r="N30235" s="28"/>
      <c r="O30235" s="28"/>
      <c r="U30235" s="28"/>
    </row>
    <row r="30236">
      <c r="N30236" s="28"/>
      <c r="O30236" s="28"/>
      <c r="U30236" s="28"/>
    </row>
    <row r="30237">
      <c r="N30237" s="28"/>
      <c r="O30237" s="28"/>
      <c r="U30237" s="28"/>
    </row>
    <row r="30238">
      <c r="N30238" s="28"/>
      <c r="O30238" s="28"/>
      <c r="U30238" s="28"/>
    </row>
    <row r="30239">
      <c r="N30239" s="28"/>
      <c r="O30239" s="28"/>
      <c r="U30239" s="28"/>
    </row>
    <row r="30240">
      <c r="N30240" s="28"/>
      <c r="O30240" s="28"/>
      <c r="U30240" s="28"/>
    </row>
    <row r="30241">
      <c r="N30241" s="28"/>
      <c r="O30241" s="28"/>
      <c r="U30241" s="28"/>
    </row>
    <row r="30242">
      <c r="N30242" s="28"/>
      <c r="O30242" s="28"/>
      <c r="U30242" s="28"/>
    </row>
    <row r="30243">
      <c r="N30243" s="28"/>
      <c r="O30243" s="28"/>
      <c r="U30243" s="28"/>
    </row>
    <row r="30244">
      <c r="N30244" s="28"/>
      <c r="O30244" s="28"/>
      <c r="U30244" s="28"/>
    </row>
    <row r="30245">
      <c r="N30245" s="28"/>
      <c r="O30245" s="28"/>
      <c r="U30245" s="28"/>
    </row>
    <row r="30246">
      <c r="N30246" s="28"/>
      <c r="O30246" s="28"/>
      <c r="U30246" s="28"/>
    </row>
    <row r="30247">
      <c r="N30247" s="28"/>
      <c r="O30247" s="28"/>
      <c r="U30247" s="28"/>
    </row>
    <row r="30248">
      <c r="N30248" s="28"/>
      <c r="O30248" s="28"/>
      <c r="U30248" s="28"/>
    </row>
    <row r="30249">
      <c r="N30249" s="28"/>
      <c r="O30249" s="28"/>
      <c r="U30249" s="28"/>
    </row>
    <row r="30250">
      <c r="N30250" s="28"/>
      <c r="O30250" s="28"/>
      <c r="U30250" s="28"/>
    </row>
    <row r="30251">
      <c r="N30251" s="28"/>
      <c r="O30251" s="28"/>
      <c r="U30251" s="28"/>
    </row>
    <row r="30252">
      <c r="N30252" s="28"/>
      <c r="O30252" s="28"/>
      <c r="U30252" s="28"/>
    </row>
    <row r="30253">
      <c r="N30253" s="28"/>
      <c r="O30253" s="28"/>
      <c r="U30253" s="28"/>
    </row>
    <row r="30254">
      <c r="N30254" s="28"/>
      <c r="O30254" s="28"/>
      <c r="U30254" s="28"/>
    </row>
    <row r="30255">
      <c r="N30255" s="28"/>
      <c r="O30255" s="28"/>
      <c r="U30255" s="28"/>
    </row>
    <row r="30256">
      <c r="N30256" s="28"/>
      <c r="O30256" s="28"/>
      <c r="U30256" s="28"/>
    </row>
    <row r="30257">
      <c r="N30257" s="28"/>
      <c r="O30257" s="28"/>
      <c r="U30257" s="28"/>
    </row>
    <row r="30258">
      <c r="N30258" s="28"/>
      <c r="O30258" s="28"/>
      <c r="U30258" s="28"/>
    </row>
    <row r="30259">
      <c r="N30259" s="28"/>
      <c r="O30259" s="28"/>
      <c r="U30259" s="28"/>
    </row>
    <row r="30260">
      <c r="N30260" s="28"/>
      <c r="O30260" s="28"/>
      <c r="U30260" s="28"/>
    </row>
    <row r="30261">
      <c r="N30261" s="28"/>
      <c r="O30261" s="28"/>
      <c r="U30261" s="28"/>
    </row>
    <row r="30262">
      <c r="N30262" s="28"/>
      <c r="O30262" s="28"/>
      <c r="U30262" s="28"/>
    </row>
    <row r="30263">
      <c r="N30263" s="28"/>
      <c r="O30263" s="28"/>
      <c r="U30263" s="28"/>
    </row>
    <row r="30264">
      <c r="N30264" s="28"/>
      <c r="O30264" s="28"/>
      <c r="U30264" s="28"/>
    </row>
    <row r="30265">
      <c r="N30265" s="28"/>
      <c r="O30265" s="28"/>
      <c r="U30265" s="28"/>
    </row>
    <row r="30266">
      <c r="N30266" s="28"/>
      <c r="O30266" s="28"/>
      <c r="U30266" s="28"/>
    </row>
    <row r="30267">
      <c r="N30267" s="28"/>
      <c r="O30267" s="28"/>
      <c r="U30267" s="28"/>
    </row>
    <row r="30268">
      <c r="N30268" s="28"/>
      <c r="O30268" s="28"/>
      <c r="U30268" s="28"/>
    </row>
    <row r="30269">
      <c r="N30269" s="28"/>
      <c r="O30269" s="28"/>
      <c r="U30269" s="28"/>
    </row>
    <row r="30270">
      <c r="N30270" s="28"/>
      <c r="O30270" s="28"/>
      <c r="U30270" s="28"/>
    </row>
    <row r="30271">
      <c r="N30271" s="28"/>
      <c r="O30271" s="28"/>
      <c r="U30271" s="28"/>
    </row>
    <row r="30272">
      <c r="N30272" s="28"/>
      <c r="O30272" s="28"/>
      <c r="U30272" s="28"/>
    </row>
    <row r="30273">
      <c r="N30273" s="28"/>
      <c r="O30273" s="28"/>
      <c r="U30273" s="28"/>
    </row>
    <row r="30274">
      <c r="N30274" s="28"/>
      <c r="O30274" s="28"/>
      <c r="U30274" s="28"/>
    </row>
    <row r="30275">
      <c r="N30275" s="28"/>
      <c r="O30275" s="28"/>
      <c r="U30275" s="28"/>
    </row>
    <row r="30276">
      <c r="N30276" s="28"/>
      <c r="O30276" s="28"/>
      <c r="U30276" s="28"/>
    </row>
    <row r="30277">
      <c r="N30277" s="28"/>
      <c r="O30277" s="28"/>
      <c r="U30277" s="28"/>
    </row>
    <row r="30278">
      <c r="N30278" s="28"/>
      <c r="O30278" s="28"/>
      <c r="U30278" s="28"/>
    </row>
    <row r="30279">
      <c r="N30279" s="28"/>
      <c r="O30279" s="28"/>
      <c r="U30279" s="28"/>
    </row>
    <row r="30280">
      <c r="N30280" s="28"/>
      <c r="O30280" s="28"/>
      <c r="U30280" s="28"/>
    </row>
    <row r="30281">
      <c r="N30281" s="28"/>
      <c r="O30281" s="28"/>
      <c r="U30281" s="28"/>
    </row>
    <row r="30282">
      <c r="N30282" s="28"/>
      <c r="O30282" s="28"/>
      <c r="U30282" s="28"/>
    </row>
    <row r="30283">
      <c r="N30283" s="28"/>
      <c r="O30283" s="28"/>
      <c r="U30283" s="28"/>
    </row>
    <row r="30284">
      <c r="N30284" s="28"/>
      <c r="O30284" s="28"/>
      <c r="U30284" s="28"/>
    </row>
    <row r="30285">
      <c r="N30285" s="28"/>
      <c r="O30285" s="28"/>
      <c r="U30285" s="28"/>
    </row>
    <row r="30286">
      <c r="N30286" s="28"/>
      <c r="O30286" s="28"/>
      <c r="U30286" s="28"/>
    </row>
    <row r="30287">
      <c r="N30287" s="28"/>
      <c r="O30287" s="28"/>
      <c r="U30287" s="28"/>
    </row>
    <row r="30288">
      <c r="N30288" s="28"/>
      <c r="O30288" s="28"/>
      <c r="U30288" s="28"/>
    </row>
    <row r="30289">
      <c r="N30289" s="28"/>
      <c r="O30289" s="28"/>
      <c r="U30289" s="28"/>
    </row>
    <row r="30290">
      <c r="N30290" s="28"/>
      <c r="O30290" s="28"/>
      <c r="U30290" s="28"/>
    </row>
    <row r="30291">
      <c r="N30291" s="28"/>
      <c r="O30291" s="28"/>
      <c r="U30291" s="28"/>
    </row>
    <row r="30292">
      <c r="N30292" s="28"/>
      <c r="O30292" s="28"/>
      <c r="U30292" s="28"/>
    </row>
    <row r="30293">
      <c r="N30293" s="28"/>
      <c r="O30293" s="28"/>
      <c r="U30293" s="28"/>
    </row>
    <row r="30294">
      <c r="N30294" s="28"/>
      <c r="O30294" s="28"/>
      <c r="U30294" s="28"/>
    </row>
    <row r="30295">
      <c r="N30295" s="28"/>
      <c r="O30295" s="28"/>
      <c r="U30295" s="28"/>
    </row>
    <row r="30296">
      <c r="N30296" s="28"/>
      <c r="O30296" s="28"/>
      <c r="U30296" s="28"/>
    </row>
    <row r="30297">
      <c r="N30297" s="28"/>
      <c r="O30297" s="28"/>
      <c r="U30297" s="28"/>
    </row>
    <row r="30298">
      <c r="N30298" s="28"/>
      <c r="O30298" s="28"/>
      <c r="U30298" s="28"/>
    </row>
    <row r="30299">
      <c r="N30299" s="28"/>
      <c r="O30299" s="28"/>
      <c r="U30299" s="28"/>
    </row>
    <row r="30300">
      <c r="N30300" s="28"/>
      <c r="O30300" s="28"/>
      <c r="U30300" s="28"/>
    </row>
    <row r="30301">
      <c r="N30301" s="28"/>
      <c r="O30301" s="28"/>
      <c r="U30301" s="28"/>
    </row>
    <row r="30302">
      <c r="N30302" s="28"/>
      <c r="O30302" s="28"/>
      <c r="U30302" s="28"/>
    </row>
    <row r="30303">
      <c r="N30303" s="28"/>
      <c r="O30303" s="28"/>
      <c r="U30303" s="28"/>
    </row>
    <row r="30304">
      <c r="N30304" s="28"/>
      <c r="O30304" s="28"/>
      <c r="U30304" s="28"/>
    </row>
    <row r="30305">
      <c r="N30305" s="28"/>
      <c r="O30305" s="28"/>
      <c r="U30305" s="28"/>
    </row>
    <row r="30306">
      <c r="N30306" s="28"/>
      <c r="O30306" s="28"/>
      <c r="U30306" s="28"/>
    </row>
    <row r="30307">
      <c r="N30307" s="28"/>
      <c r="O30307" s="28"/>
      <c r="U30307" s="28"/>
    </row>
    <row r="30308">
      <c r="N30308" s="28"/>
      <c r="O30308" s="28"/>
      <c r="U30308" s="28"/>
    </row>
    <row r="30309">
      <c r="N30309" s="28"/>
      <c r="O30309" s="28"/>
      <c r="U30309" s="28"/>
    </row>
    <row r="30310">
      <c r="N30310" s="28"/>
      <c r="O30310" s="28"/>
      <c r="U30310" s="28"/>
    </row>
    <row r="30311">
      <c r="N30311" s="28"/>
      <c r="O30311" s="28"/>
      <c r="U30311" s="28"/>
    </row>
    <row r="30312">
      <c r="N30312" s="28"/>
      <c r="O30312" s="28"/>
      <c r="U30312" s="28"/>
    </row>
    <row r="30313">
      <c r="N30313" s="28"/>
      <c r="O30313" s="28"/>
      <c r="U30313" s="28"/>
    </row>
    <row r="30314">
      <c r="N30314" s="28"/>
      <c r="O30314" s="28"/>
      <c r="U30314" s="28"/>
    </row>
    <row r="30315">
      <c r="N30315" s="28"/>
      <c r="O30315" s="28"/>
      <c r="U30315" s="28"/>
    </row>
    <row r="30316">
      <c r="N30316" s="28"/>
      <c r="O30316" s="28"/>
      <c r="U30316" s="28"/>
    </row>
    <row r="30317">
      <c r="N30317" s="28"/>
      <c r="O30317" s="28"/>
      <c r="U30317" s="28"/>
    </row>
    <row r="30318">
      <c r="N30318" s="28"/>
      <c r="O30318" s="28"/>
      <c r="U30318" s="28"/>
    </row>
    <row r="30319">
      <c r="N30319" s="28"/>
      <c r="O30319" s="28"/>
      <c r="U30319" s="28"/>
    </row>
    <row r="30320">
      <c r="N30320" s="28"/>
      <c r="O30320" s="28"/>
      <c r="U30320" s="28"/>
    </row>
    <row r="30321">
      <c r="N30321" s="28"/>
      <c r="O30321" s="28"/>
      <c r="U30321" s="28"/>
    </row>
    <row r="30322">
      <c r="N30322" s="28"/>
      <c r="O30322" s="28"/>
      <c r="U30322" s="28"/>
    </row>
    <row r="30323">
      <c r="N30323" s="28"/>
      <c r="O30323" s="28"/>
      <c r="U30323" s="28"/>
    </row>
    <row r="30324">
      <c r="N30324" s="28"/>
      <c r="O30324" s="28"/>
      <c r="U30324" s="28"/>
    </row>
    <row r="30325">
      <c r="N30325" s="28"/>
      <c r="O30325" s="28"/>
      <c r="U30325" s="28"/>
    </row>
    <row r="30326">
      <c r="N30326" s="28"/>
      <c r="O30326" s="28"/>
      <c r="U30326" s="28"/>
    </row>
    <row r="30327">
      <c r="N30327" s="28"/>
      <c r="O30327" s="28"/>
      <c r="U30327" s="28"/>
    </row>
    <row r="30328">
      <c r="N30328" s="28"/>
      <c r="O30328" s="28"/>
      <c r="U30328" s="28"/>
    </row>
    <row r="30329">
      <c r="N30329" s="28"/>
      <c r="O30329" s="28"/>
      <c r="U30329" s="28"/>
    </row>
    <row r="30330">
      <c r="N30330" s="28"/>
      <c r="O30330" s="28"/>
      <c r="U30330" s="28"/>
    </row>
    <row r="30331">
      <c r="N30331" s="28"/>
      <c r="O30331" s="28"/>
      <c r="U30331" s="28"/>
    </row>
    <row r="30332">
      <c r="N30332" s="28"/>
      <c r="O30332" s="28"/>
      <c r="U30332" s="28"/>
    </row>
    <row r="30333">
      <c r="N30333" s="28"/>
      <c r="O30333" s="28"/>
      <c r="U30333" s="28"/>
    </row>
    <row r="30334">
      <c r="N30334" s="28"/>
      <c r="O30334" s="28"/>
      <c r="U30334" s="28"/>
    </row>
    <row r="30335">
      <c r="N30335" s="28"/>
      <c r="O30335" s="28"/>
      <c r="U30335" s="28"/>
    </row>
    <row r="30336">
      <c r="N30336" s="28"/>
      <c r="O30336" s="28"/>
      <c r="U30336" s="28"/>
    </row>
    <row r="30337">
      <c r="N30337" s="28"/>
      <c r="O30337" s="28"/>
      <c r="U30337" s="28"/>
    </row>
    <row r="30338">
      <c r="N30338" s="28"/>
      <c r="O30338" s="28"/>
      <c r="U30338" s="28"/>
    </row>
    <row r="30339">
      <c r="N30339" s="28"/>
      <c r="O30339" s="28"/>
      <c r="U30339" s="28"/>
    </row>
    <row r="30340">
      <c r="N30340" s="28"/>
      <c r="O30340" s="28"/>
      <c r="U30340" s="28"/>
    </row>
    <row r="30341">
      <c r="N30341" s="28"/>
      <c r="O30341" s="28"/>
      <c r="U30341" s="28"/>
    </row>
    <row r="30342">
      <c r="N30342" s="28"/>
      <c r="O30342" s="28"/>
      <c r="U30342" s="28"/>
    </row>
    <row r="30343">
      <c r="N30343" s="28"/>
      <c r="O30343" s="28"/>
      <c r="U30343" s="28"/>
    </row>
    <row r="30344">
      <c r="N30344" s="28"/>
      <c r="O30344" s="28"/>
      <c r="U30344" s="28"/>
    </row>
    <row r="30345">
      <c r="N30345" s="28"/>
      <c r="O30345" s="28"/>
      <c r="U30345" s="28"/>
    </row>
    <row r="30346">
      <c r="N30346" s="28"/>
      <c r="O30346" s="28"/>
      <c r="U30346" s="28"/>
    </row>
    <row r="30347">
      <c r="N30347" s="28"/>
      <c r="O30347" s="28"/>
      <c r="U30347" s="28"/>
    </row>
    <row r="30348">
      <c r="N30348" s="28"/>
      <c r="O30348" s="28"/>
      <c r="U30348" s="28"/>
    </row>
    <row r="30349">
      <c r="N30349" s="28"/>
      <c r="O30349" s="28"/>
      <c r="U30349" s="28"/>
    </row>
    <row r="30350">
      <c r="N30350" s="28"/>
      <c r="O30350" s="28"/>
      <c r="U30350" s="28"/>
    </row>
    <row r="30351">
      <c r="N30351" s="28"/>
      <c r="O30351" s="28"/>
      <c r="U30351" s="28"/>
    </row>
    <row r="30352">
      <c r="N30352" s="28"/>
      <c r="O30352" s="28"/>
      <c r="U30352" s="28"/>
    </row>
    <row r="30353">
      <c r="N30353" s="28"/>
      <c r="O30353" s="28"/>
      <c r="U30353" s="28"/>
    </row>
    <row r="30354">
      <c r="N30354" s="28"/>
      <c r="O30354" s="28"/>
      <c r="U30354" s="28"/>
    </row>
    <row r="30355">
      <c r="N30355" s="28"/>
      <c r="O30355" s="28"/>
      <c r="U30355" s="28"/>
    </row>
    <row r="30356">
      <c r="N30356" s="28"/>
      <c r="O30356" s="28"/>
      <c r="U30356" s="28"/>
    </row>
    <row r="30357">
      <c r="N30357" s="28"/>
      <c r="O30357" s="28"/>
      <c r="U30357" s="28"/>
    </row>
    <row r="30358">
      <c r="N30358" s="28"/>
      <c r="O30358" s="28"/>
      <c r="U30358" s="28"/>
    </row>
    <row r="30359">
      <c r="N30359" s="28"/>
      <c r="O30359" s="28"/>
      <c r="U30359" s="28"/>
    </row>
    <row r="30360">
      <c r="N30360" s="28"/>
      <c r="O30360" s="28"/>
      <c r="U30360" s="28"/>
    </row>
    <row r="30361">
      <c r="N30361" s="28"/>
      <c r="O30361" s="28"/>
      <c r="U30361" s="28"/>
    </row>
    <row r="30362">
      <c r="N30362" s="28"/>
      <c r="O30362" s="28"/>
      <c r="U30362" s="28"/>
    </row>
    <row r="30363">
      <c r="N30363" s="28"/>
      <c r="O30363" s="28"/>
      <c r="U30363" s="28"/>
    </row>
    <row r="30364">
      <c r="N30364" s="28"/>
      <c r="O30364" s="28"/>
      <c r="U30364" s="28"/>
    </row>
    <row r="30365">
      <c r="N30365" s="28"/>
      <c r="O30365" s="28"/>
      <c r="U30365" s="28"/>
    </row>
    <row r="30366">
      <c r="N30366" s="28"/>
      <c r="O30366" s="28"/>
      <c r="U30366" s="28"/>
    </row>
    <row r="30367">
      <c r="N30367" s="28"/>
      <c r="O30367" s="28"/>
      <c r="U30367" s="28"/>
    </row>
    <row r="30368">
      <c r="N30368" s="28"/>
      <c r="O30368" s="28"/>
      <c r="U30368" s="28"/>
    </row>
    <row r="30369">
      <c r="N30369" s="28"/>
      <c r="O30369" s="28"/>
      <c r="U30369" s="28"/>
    </row>
    <row r="30370">
      <c r="N30370" s="28"/>
      <c r="O30370" s="28"/>
      <c r="U30370" s="28"/>
    </row>
    <row r="30371">
      <c r="N30371" s="28"/>
      <c r="O30371" s="28"/>
      <c r="U30371" s="28"/>
    </row>
    <row r="30372">
      <c r="N30372" s="28"/>
      <c r="O30372" s="28"/>
      <c r="U30372" s="28"/>
    </row>
    <row r="30373">
      <c r="N30373" s="28"/>
      <c r="O30373" s="28"/>
      <c r="U30373" s="28"/>
    </row>
    <row r="30374">
      <c r="N30374" s="28"/>
      <c r="O30374" s="28"/>
      <c r="U30374" s="28"/>
    </row>
    <row r="30375">
      <c r="N30375" s="28"/>
      <c r="O30375" s="28"/>
      <c r="U30375" s="28"/>
    </row>
    <row r="30376">
      <c r="N30376" s="28"/>
      <c r="O30376" s="28"/>
      <c r="U30376" s="28"/>
    </row>
    <row r="30377">
      <c r="N30377" s="28"/>
      <c r="O30377" s="28"/>
      <c r="U30377" s="28"/>
    </row>
    <row r="30378">
      <c r="N30378" s="28"/>
      <c r="O30378" s="28"/>
      <c r="U30378" s="28"/>
    </row>
    <row r="30379">
      <c r="N30379" s="28"/>
      <c r="O30379" s="28"/>
      <c r="U30379" s="28"/>
    </row>
    <row r="30380">
      <c r="N30380" s="28"/>
      <c r="O30380" s="28"/>
      <c r="U30380" s="28"/>
    </row>
    <row r="30381">
      <c r="N30381" s="28"/>
      <c r="O30381" s="28"/>
      <c r="U30381" s="28"/>
    </row>
    <row r="30382">
      <c r="N30382" s="28"/>
      <c r="O30382" s="28"/>
      <c r="U30382" s="28"/>
    </row>
    <row r="30383">
      <c r="N30383" s="28"/>
      <c r="O30383" s="28"/>
      <c r="U30383" s="28"/>
    </row>
    <row r="30384">
      <c r="N30384" s="28"/>
      <c r="O30384" s="28"/>
      <c r="U30384" s="28"/>
    </row>
    <row r="30385">
      <c r="N30385" s="28"/>
      <c r="O30385" s="28"/>
      <c r="U30385" s="28"/>
    </row>
    <row r="30386">
      <c r="N30386" s="28"/>
      <c r="O30386" s="28"/>
      <c r="U30386" s="28"/>
    </row>
    <row r="30387">
      <c r="N30387" s="28"/>
      <c r="O30387" s="28"/>
      <c r="U30387" s="28"/>
    </row>
    <row r="30388">
      <c r="N30388" s="28"/>
      <c r="O30388" s="28"/>
      <c r="U30388" s="28"/>
    </row>
    <row r="30389">
      <c r="N30389" s="28"/>
      <c r="O30389" s="28"/>
      <c r="U30389" s="28"/>
    </row>
    <row r="30390">
      <c r="N30390" s="28"/>
      <c r="O30390" s="28"/>
      <c r="U30390" s="28"/>
    </row>
    <row r="30391">
      <c r="N30391" s="28"/>
      <c r="O30391" s="28"/>
      <c r="U30391" s="28"/>
    </row>
    <row r="30392">
      <c r="N30392" s="28"/>
      <c r="O30392" s="28"/>
      <c r="U30392" s="28"/>
    </row>
    <row r="30393">
      <c r="N30393" s="28"/>
      <c r="O30393" s="28"/>
      <c r="U30393" s="28"/>
    </row>
    <row r="30394">
      <c r="N30394" s="28"/>
      <c r="O30394" s="28"/>
      <c r="U30394" s="28"/>
    </row>
    <row r="30395">
      <c r="N30395" s="28"/>
      <c r="O30395" s="28"/>
      <c r="U30395" s="28"/>
    </row>
    <row r="30396">
      <c r="N30396" s="28"/>
      <c r="O30396" s="28"/>
      <c r="U30396" s="28"/>
    </row>
    <row r="30397">
      <c r="N30397" s="28"/>
      <c r="O30397" s="28"/>
      <c r="U30397" s="28"/>
    </row>
    <row r="30398">
      <c r="N30398" s="28"/>
      <c r="O30398" s="28"/>
      <c r="U30398" s="28"/>
    </row>
    <row r="30399">
      <c r="N30399" s="28"/>
      <c r="O30399" s="28"/>
      <c r="U30399" s="28"/>
    </row>
    <row r="30400">
      <c r="N30400" s="28"/>
      <c r="O30400" s="28"/>
      <c r="U30400" s="28"/>
    </row>
    <row r="30401">
      <c r="N30401" s="28"/>
      <c r="O30401" s="28"/>
      <c r="U30401" s="28"/>
    </row>
    <row r="30402">
      <c r="N30402" s="28"/>
      <c r="O30402" s="28"/>
      <c r="U30402" s="28"/>
    </row>
    <row r="30403">
      <c r="N30403" s="28"/>
      <c r="O30403" s="28"/>
      <c r="U30403" s="28"/>
    </row>
    <row r="30404">
      <c r="N30404" s="28"/>
      <c r="O30404" s="28"/>
      <c r="U30404" s="28"/>
    </row>
    <row r="30405">
      <c r="N30405" s="28"/>
      <c r="O30405" s="28"/>
      <c r="U30405" s="28"/>
    </row>
    <row r="30406">
      <c r="N30406" s="28"/>
      <c r="O30406" s="28"/>
      <c r="U30406" s="28"/>
    </row>
    <row r="30407">
      <c r="N30407" s="28"/>
      <c r="O30407" s="28"/>
      <c r="U30407" s="28"/>
    </row>
    <row r="30408">
      <c r="N30408" s="28"/>
      <c r="O30408" s="28"/>
      <c r="U30408" s="28"/>
    </row>
    <row r="30409">
      <c r="N30409" s="28"/>
      <c r="O30409" s="28"/>
      <c r="U30409" s="28"/>
    </row>
    <row r="30410">
      <c r="N30410" s="28"/>
      <c r="O30410" s="28"/>
      <c r="U30410" s="28"/>
    </row>
    <row r="30411">
      <c r="N30411" s="28"/>
      <c r="O30411" s="28"/>
      <c r="U30411" s="28"/>
    </row>
    <row r="30412">
      <c r="N30412" s="28"/>
      <c r="O30412" s="28"/>
      <c r="U30412" s="28"/>
    </row>
    <row r="30413">
      <c r="N30413" s="28"/>
      <c r="O30413" s="28"/>
      <c r="U30413" s="28"/>
    </row>
    <row r="30414">
      <c r="N30414" s="28"/>
      <c r="O30414" s="28"/>
      <c r="U30414" s="28"/>
    </row>
    <row r="30415">
      <c r="N30415" s="28"/>
      <c r="O30415" s="28"/>
      <c r="U30415" s="28"/>
    </row>
    <row r="30416">
      <c r="N30416" s="28"/>
      <c r="O30416" s="28"/>
      <c r="U30416" s="28"/>
    </row>
    <row r="30417">
      <c r="N30417" s="28"/>
      <c r="O30417" s="28"/>
      <c r="U30417" s="28"/>
    </row>
    <row r="30418">
      <c r="N30418" s="28"/>
      <c r="O30418" s="28"/>
      <c r="U30418" s="28"/>
    </row>
    <row r="30419">
      <c r="N30419" s="28"/>
      <c r="O30419" s="28"/>
      <c r="U30419" s="28"/>
    </row>
    <row r="30420">
      <c r="N30420" s="28"/>
      <c r="O30420" s="28"/>
      <c r="U30420" s="28"/>
    </row>
    <row r="30421">
      <c r="N30421" s="28"/>
      <c r="O30421" s="28"/>
      <c r="U30421" s="28"/>
    </row>
    <row r="30422">
      <c r="N30422" s="28"/>
      <c r="O30422" s="28"/>
      <c r="U30422" s="28"/>
    </row>
    <row r="30423">
      <c r="N30423" s="28"/>
      <c r="O30423" s="28"/>
      <c r="U30423" s="28"/>
    </row>
    <row r="30424">
      <c r="N30424" s="28"/>
      <c r="O30424" s="28"/>
      <c r="U30424" s="28"/>
    </row>
    <row r="30425">
      <c r="N30425" s="28"/>
      <c r="O30425" s="28"/>
      <c r="U30425" s="28"/>
    </row>
    <row r="30426">
      <c r="N30426" s="28"/>
      <c r="O30426" s="28"/>
      <c r="U30426" s="28"/>
    </row>
    <row r="30427">
      <c r="N30427" s="28"/>
      <c r="O30427" s="28"/>
      <c r="U30427" s="28"/>
    </row>
    <row r="30428">
      <c r="N30428" s="28"/>
      <c r="O30428" s="28"/>
      <c r="U30428" s="28"/>
    </row>
    <row r="30429">
      <c r="N30429" s="28"/>
      <c r="O30429" s="28"/>
      <c r="U30429" s="28"/>
    </row>
    <row r="30430">
      <c r="N30430" s="28"/>
      <c r="O30430" s="28"/>
      <c r="U30430" s="28"/>
    </row>
    <row r="30431">
      <c r="N30431" s="28"/>
      <c r="O30431" s="28"/>
      <c r="U30431" s="28"/>
    </row>
    <row r="30432">
      <c r="N30432" s="28"/>
      <c r="O30432" s="28"/>
      <c r="U30432" s="28"/>
    </row>
    <row r="30433">
      <c r="N30433" s="28"/>
      <c r="O30433" s="28"/>
      <c r="U30433" s="28"/>
    </row>
    <row r="30434">
      <c r="N30434" s="28"/>
      <c r="O30434" s="28"/>
      <c r="U30434" s="28"/>
    </row>
    <row r="30435">
      <c r="N30435" s="28"/>
      <c r="O30435" s="28"/>
      <c r="U30435" s="28"/>
    </row>
    <row r="30436">
      <c r="N30436" s="28"/>
      <c r="O30436" s="28"/>
      <c r="U30436" s="28"/>
    </row>
    <row r="30437">
      <c r="N30437" s="28"/>
      <c r="O30437" s="28"/>
      <c r="U30437" s="28"/>
    </row>
    <row r="30438">
      <c r="N30438" s="28"/>
      <c r="O30438" s="28"/>
      <c r="U30438" s="28"/>
    </row>
    <row r="30439">
      <c r="N30439" s="28"/>
      <c r="O30439" s="28"/>
      <c r="U30439" s="28"/>
    </row>
    <row r="30440">
      <c r="N30440" s="28"/>
      <c r="O30440" s="28"/>
      <c r="U30440" s="28"/>
    </row>
    <row r="30441">
      <c r="N30441" s="28"/>
      <c r="O30441" s="28"/>
      <c r="U30441" s="28"/>
    </row>
    <row r="30442">
      <c r="N30442" s="28"/>
      <c r="O30442" s="28"/>
      <c r="U30442" s="28"/>
    </row>
    <row r="30443">
      <c r="N30443" s="28"/>
      <c r="O30443" s="28"/>
      <c r="U30443" s="28"/>
    </row>
    <row r="30444">
      <c r="N30444" s="28"/>
      <c r="O30444" s="28"/>
      <c r="U30444" s="28"/>
    </row>
    <row r="30445">
      <c r="N30445" s="28"/>
      <c r="O30445" s="28"/>
      <c r="U30445" s="28"/>
    </row>
    <row r="30446">
      <c r="N30446" s="28"/>
      <c r="O30446" s="28"/>
      <c r="U30446" s="28"/>
    </row>
    <row r="30447">
      <c r="N30447" s="28"/>
      <c r="O30447" s="28"/>
      <c r="U30447" s="28"/>
    </row>
    <row r="30448">
      <c r="N30448" s="28"/>
      <c r="O30448" s="28"/>
      <c r="U30448" s="28"/>
    </row>
    <row r="30449">
      <c r="N30449" s="28"/>
      <c r="O30449" s="28"/>
      <c r="U30449" s="28"/>
    </row>
    <row r="30450">
      <c r="N30450" s="28"/>
      <c r="O30450" s="28"/>
      <c r="U30450" s="28"/>
    </row>
    <row r="30451">
      <c r="N30451" s="28"/>
      <c r="O30451" s="28"/>
      <c r="U30451" s="28"/>
    </row>
    <row r="30452">
      <c r="N30452" s="28"/>
      <c r="O30452" s="28"/>
      <c r="U30452" s="28"/>
    </row>
    <row r="30453">
      <c r="N30453" s="28"/>
      <c r="O30453" s="28"/>
      <c r="U30453" s="28"/>
    </row>
    <row r="30454">
      <c r="N30454" s="28"/>
      <c r="O30454" s="28"/>
      <c r="U30454" s="28"/>
    </row>
    <row r="30455">
      <c r="N30455" s="28"/>
      <c r="O30455" s="28"/>
      <c r="U30455" s="28"/>
    </row>
    <row r="30456">
      <c r="N30456" s="28"/>
      <c r="O30456" s="28"/>
      <c r="U30456" s="28"/>
    </row>
    <row r="30457">
      <c r="N30457" s="28"/>
      <c r="O30457" s="28"/>
      <c r="U30457" s="28"/>
    </row>
    <row r="30458">
      <c r="N30458" s="28"/>
      <c r="O30458" s="28"/>
      <c r="U30458" s="28"/>
    </row>
    <row r="30459">
      <c r="N30459" s="28"/>
      <c r="O30459" s="28"/>
      <c r="U30459" s="28"/>
    </row>
    <row r="30460">
      <c r="N30460" s="28"/>
      <c r="O30460" s="28"/>
      <c r="U30460" s="28"/>
    </row>
    <row r="30461">
      <c r="N30461" s="28"/>
      <c r="O30461" s="28"/>
      <c r="U30461" s="28"/>
    </row>
    <row r="30462">
      <c r="N30462" s="28"/>
      <c r="O30462" s="28"/>
      <c r="U30462" s="28"/>
    </row>
    <row r="30463">
      <c r="N30463" s="28"/>
      <c r="O30463" s="28"/>
      <c r="U30463" s="28"/>
    </row>
    <row r="30464">
      <c r="N30464" s="28"/>
      <c r="O30464" s="28"/>
      <c r="U30464" s="28"/>
    </row>
    <row r="30465">
      <c r="N30465" s="28"/>
      <c r="O30465" s="28"/>
      <c r="U30465" s="28"/>
    </row>
    <row r="30466">
      <c r="N30466" s="28"/>
      <c r="O30466" s="28"/>
      <c r="U30466" s="28"/>
    </row>
    <row r="30467">
      <c r="N30467" s="28"/>
      <c r="O30467" s="28"/>
      <c r="U30467" s="28"/>
    </row>
    <row r="30468">
      <c r="N30468" s="28"/>
      <c r="O30468" s="28"/>
      <c r="U30468" s="28"/>
    </row>
    <row r="30469">
      <c r="N30469" s="28"/>
      <c r="O30469" s="28"/>
      <c r="U30469" s="28"/>
    </row>
    <row r="30470">
      <c r="N30470" s="28"/>
      <c r="O30470" s="28"/>
      <c r="U30470" s="28"/>
    </row>
    <row r="30471">
      <c r="N30471" s="28"/>
      <c r="O30471" s="28"/>
      <c r="U30471" s="28"/>
    </row>
    <row r="30472">
      <c r="N30472" s="28"/>
      <c r="O30472" s="28"/>
      <c r="U30472" s="28"/>
    </row>
    <row r="30473">
      <c r="N30473" s="28"/>
      <c r="O30473" s="28"/>
      <c r="U30473" s="28"/>
    </row>
    <row r="30474">
      <c r="N30474" s="28"/>
      <c r="O30474" s="28"/>
      <c r="U30474" s="28"/>
    </row>
    <row r="30475">
      <c r="N30475" s="28"/>
      <c r="O30475" s="28"/>
      <c r="U30475" s="28"/>
    </row>
    <row r="30476">
      <c r="N30476" s="28"/>
      <c r="O30476" s="28"/>
      <c r="U30476" s="28"/>
    </row>
    <row r="30477">
      <c r="N30477" s="28"/>
      <c r="O30477" s="28"/>
      <c r="U30477" s="28"/>
    </row>
    <row r="30478">
      <c r="N30478" s="28"/>
      <c r="O30478" s="28"/>
      <c r="U30478" s="28"/>
    </row>
    <row r="30479">
      <c r="N30479" s="28"/>
      <c r="O30479" s="28"/>
      <c r="U30479" s="28"/>
    </row>
    <row r="30480">
      <c r="N30480" s="28"/>
      <c r="O30480" s="28"/>
      <c r="U30480" s="28"/>
    </row>
    <row r="30481">
      <c r="N30481" s="28"/>
      <c r="O30481" s="28"/>
      <c r="U30481" s="28"/>
    </row>
    <row r="30482">
      <c r="N30482" s="28"/>
      <c r="O30482" s="28"/>
      <c r="U30482" s="28"/>
    </row>
    <row r="30483">
      <c r="N30483" s="28"/>
      <c r="O30483" s="28"/>
      <c r="U30483" s="28"/>
    </row>
    <row r="30484">
      <c r="N30484" s="28"/>
      <c r="O30484" s="28"/>
      <c r="U30484" s="28"/>
    </row>
    <row r="30485">
      <c r="N30485" s="28"/>
      <c r="O30485" s="28"/>
      <c r="U30485" s="28"/>
    </row>
    <row r="30486">
      <c r="N30486" s="28"/>
      <c r="O30486" s="28"/>
      <c r="U30486" s="28"/>
    </row>
    <row r="30487">
      <c r="N30487" s="28"/>
      <c r="O30487" s="28"/>
      <c r="U30487" s="28"/>
    </row>
    <row r="30488">
      <c r="N30488" s="28"/>
      <c r="O30488" s="28"/>
      <c r="U30488" s="28"/>
    </row>
    <row r="30489">
      <c r="N30489" s="28"/>
      <c r="O30489" s="28"/>
      <c r="U30489" s="28"/>
    </row>
    <row r="30490">
      <c r="N30490" s="28"/>
      <c r="O30490" s="28"/>
      <c r="U30490" s="28"/>
    </row>
    <row r="30491">
      <c r="N30491" s="28"/>
      <c r="O30491" s="28"/>
      <c r="U30491" s="28"/>
    </row>
    <row r="30492">
      <c r="N30492" s="28"/>
      <c r="O30492" s="28"/>
      <c r="U30492" s="28"/>
    </row>
    <row r="30493">
      <c r="N30493" s="28"/>
      <c r="O30493" s="28"/>
      <c r="U30493" s="28"/>
    </row>
    <row r="30494">
      <c r="N30494" s="28"/>
      <c r="O30494" s="28"/>
      <c r="U30494" s="28"/>
    </row>
    <row r="30495">
      <c r="N30495" s="28"/>
      <c r="O30495" s="28"/>
      <c r="U30495" s="28"/>
    </row>
    <row r="30496">
      <c r="N30496" s="28"/>
      <c r="O30496" s="28"/>
      <c r="U30496" s="28"/>
    </row>
    <row r="30497">
      <c r="N30497" s="28"/>
      <c r="O30497" s="28"/>
      <c r="U30497" s="28"/>
    </row>
    <row r="30498">
      <c r="N30498" s="28"/>
      <c r="O30498" s="28"/>
      <c r="U30498" s="28"/>
    </row>
    <row r="30499">
      <c r="N30499" s="28"/>
      <c r="O30499" s="28"/>
      <c r="U30499" s="28"/>
    </row>
    <row r="30500">
      <c r="N30500" s="28"/>
      <c r="O30500" s="28"/>
      <c r="U30500" s="28"/>
    </row>
    <row r="30501">
      <c r="N30501" s="28"/>
      <c r="O30501" s="28"/>
      <c r="U30501" s="28"/>
    </row>
    <row r="30502">
      <c r="N30502" s="28"/>
      <c r="O30502" s="28"/>
      <c r="U30502" s="28"/>
    </row>
    <row r="30503">
      <c r="N30503" s="28"/>
      <c r="O30503" s="28"/>
      <c r="U30503" s="28"/>
    </row>
    <row r="30504">
      <c r="N30504" s="28"/>
      <c r="O30504" s="28"/>
      <c r="U30504" s="28"/>
    </row>
    <row r="30505">
      <c r="N30505" s="28"/>
      <c r="O30505" s="28"/>
      <c r="U30505" s="28"/>
    </row>
    <row r="30506">
      <c r="N30506" s="28"/>
      <c r="O30506" s="28"/>
      <c r="U30506" s="28"/>
    </row>
    <row r="30507">
      <c r="N30507" s="28"/>
      <c r="O30507" s="28"/>
      <c r="U30507" s="28"/>
    </row>
    <row r="30508">
      <c r="N30508" s="28"/>
      <c r="O30508" s="28"/>
      <c r="U30508" s="28"/>
    </row>
    <row r="30509">
      <c r="N30509" s="28"/>
      <c r="O30509" s="28"/>
      <c r="U30509" s="28"/>
    </row>
    <row r="30510">
      <c r="N30510" s="28"/>
      <c r="O30510" s="28"/>
      <c r="U30510" s="28"/>
    </row>
    <row r="30511">
      <c r="N30511" s="28"/>
      <c r="O30511" s="28"/>
      <c r="U30511" s="28"/>
    </row>
    <row r="30512">
      <c r="N30512" s="28"/>
      <c r="O30512" s="28"/>
      <c r="U30512" s="28"/>
    </row>
    <row r="30513">
      <c r="N30513" s="28"/>
      <c r="O30513" s="28"/>
      <c r="U30513" s="28"/>
    </row>
    <row r="30514">
      <c r="N30514" s="28"/>
      <c r="O30514" s="28"/>
      <c r="U30514" s="28"/>
    </row>
    <row r="30515">
      <c r="N30515" s="28"/>
      <c r="O30515" s="28"/>
      <c r="U30515" s="28"/>
    </row>
    <row r="30516">
      <c r="N30516" s="28"/>
      <c r="O30516" s="28"/>
      <c r="U30516" s="28"/>
    </row>
    <row r="30517">
      <c r="N30517" s="28"/>
      <c r="O30517" s="28"/>
      <c r="U30517" s="28"/>
    </row>
    <row r="30518">
      <c r="N30518" s="28"/>
      <c r="O30518" s="28"/>
      <c r="U30518" s="28"/>
    </row>
    <row r="30519">
      <c r="N30519" s="28"/>
      <c r="O30519" s="28"/>
      <c r="U30519" s="28"/>
    </row>
    <row r="30520">
      <c r="N30520" s="28"/>
      <c r="O30520" s="28"/>
      <c r="U30520" s="28"/>
    </row>
    <row r="30521">
      <c r="N30521" s="28"/>
      <c r="O30521" s="28"/>
      <c r="U30521" s="28"/>
    </row>
    <row r="30522">
      <c r="N30522" s="28"/>
      <c r="O30522" s="28"/>
      <c r="U30522" s="28"/>
    </row>
    <row r="30523">
      <c r="N30523" s="28"/>
      <c r="O30523" s="28"/>
      <c r="U30523" s="28"/>
    </row>
    <row r="30524">
      <c r="N30524" s="28"/>
      <c r="O30524" s="28"/>
      <c r="U30524" s="28"/>
    </row>
    <row r="30525">
      <c r="N30525" s="28"/>
      <c r="O30525" s="28"/>
      <c r="U30525" s="28"/>
    </row>
    <row r="30526">
      <c r="N30526" s="28"/>
      <c r="O30526" s="28"/>
      <c r="U30526" s="28"/>
    </row>
    <row r="30527">
      <c r="N30527" s="28"/>
      <c r="O30527" s="28"/>
      <c r="U30527" s="28"/>
    </row>
    <row r="30528">
      <c r="N30528" s="28"/>
      <c r="O30528" s="28"/>
      <c r="U30528" s="28"/>
    </row>
    <row r="30529">
      <c r="N30529" s="28"/>
      <c r="O30529" s="28"/>
      <c r="U30529" s="28"/>
    </row>
    <row r="30530">
      <c r="N30530" s="28"/>
      <c r="O30530" s="28"/>
      <c r="U30530" s="28"/>
    </row>
    <row r="30531">
      <c r="N30531" s="28"/>
      <c r="O30531" s="28"/>
      <c r="U30531" s="28"/>
    </row>
    <row r="30532">
      <c r="N30532" s="28"/>
      <c r="O30532" s="28"/>
      <c r="U30532" s="28"/>
    </row>
    <row r="30533">
      <c r="N30533" s="28"/>
      <c r="O30533" s="28"/>
      <c r="U30533" s="28"/>
    </row>
    <row r="30534">
      <c r="N30534" s="28"/>
      <c r="O30534" s="28"/>
      <c r="U30534" s="28"/>
    </row>
    <row r="30535">
      <c r="N30535" s="28"/>
      <c r="O30535" s="28"/>
      <c r="U30535" s="28"/>
    </row>
    <row r="30536">
      <c r="N30536" s="28"/>
      <c r="O30536" s="28"/>
      <c r="U30536" s="28"/>
    </row>
    <row r="30537">
      <c r="N30537" s="28"/>
      <c r="O30537" s="28"/>
      <c r="U30537" s="28"/>
    </row>
    <row r="30538">
      <c r="N30538" s="28"/>
      <c r="O30538" s="28"/>
      <c r="U30538" s="28"/>
    </row>
    <row r="30539">
      <c r="N30539" s="28"/>
      <c r="O30539" s="28"/>
      <c r="U30539" s="28"/>
    </row>
    <row r="30540">
      <c r="N30540" s="28"/>
      <c r="O30540" s="28"/>
      <c r="U30540" s="28"/>
    </row>
    <row r="30541">
      <c r="N30541" s="28"/>
      <c r="O30541" s="28"/>
      <c r="U30541" s="28"/>
    </row>
    <row r="30542">
      <c r="N30542" s="28"/>
      <c r="O30542" s="28"/>
      <c r="U30542" s="28"/>
    </row>
    <row r="30543">
      <c r="N30543" s="28"/>
      <c r="O30543" s="28"/>
      <c r="U30543" s="28"/>
    </row>
    <row r="30544">
      <c r="N30544" s="28"/>
      <c r="O30544" s="28"/>
      <c r="U30544" s="28"/>
    </row>
    <row r="30545">
      <c r="N30545" s="28"/>
      <c r="O30545" s="28"/>
      <c r="U30545" s="28"/>
    </row>
    <row r="30546">
      <c r="N30546" s="28"/>
      <c r="O30546" s="28"/>
      <c r="U30546" s="28"/>
    </row>
    <row r="30547">
      <c r="N30547" s="28"/>
      <c r="O30547" s="28"/>
      <c r="U30547" s="28"/>
    </row>
    <row r="30548">
      <c r="N30548" s="28"/>
      <c r="O30548" s="28"/>
      <c r="U30548" s="28"/>
    </row>
    <row r="30549">
      <c r="N30549" s="28"/>
      <c r="O30549" s="28"/>
      <c r="U30549" s="28"/>
    </row>
    <row r="30550">
      <c r="N30550" s="28"/>
      <c r="O30550" s="28"/>
      <c r="U30550" s="28"/>
    </row>
    <row r="30551">
      <c r="N30551" s="28"/>
      <c r="O30551" s="28"/>
      <c r="U30551" s="28"/>
    </row>
    <row r="30552">
      <c r="N30552" s="28"/>
      <c r="O30552" s="28"/>
      <c r="U30552" s="28"/>
    </row>
    <row r="30553">
      <c r="N30553" s="28"/>
      <c r="O30553" s="28"/>
      <c r="U30553" s="28"/>
    </row>
    <row r="30554">
      <c r="N30554" s="28"/>
      <c r="O30554" s="28"/>
      <c r="U30554" s="28"/>
    </row>
    <row r="30555">
      <c r="N30555" s="28"/>
      <c r="O30555" s="28"/>
      <c r="U30555" s="28"/>
    </row>
    <row r="30556">
      <c r="N30556" s="28"/>
      <c r="O30556" s="28"/>
      <c r="U30556" s="28"/>
    </row>
    <row r="30557">
      <c r="N30557" s="28"/>
      <c r="O30557" s="28"/>
      <c r="U30557" s="28"/>
    </row>
    <row r="30558">
      <c r="N30558" s="28"/>
      <c r="O30558" s="28"/>
      <c r="U30558" s="28"/>
    </row>
    <row r="30559">
      <c r="N30559" s="28"/>
      <c r="O30559" s="28"/>
      <c r="U30559" s="28"/>
    </row>
    <row r="30560">
      <c r="N30560" s="28"/>
      <c r="O30560" s="28"/>
      <c r="U30560" s="28"/>
    </row>
    <row r="30561">
      <c r="N30561" s="28"/>
      <c r="O30561" s="28"/>
      <c r="U30561" s="28"/>
    </row>
    <row r="30562">
      <c r="N30562" s="28"/>
      <c r="O30562" s="28"/>
      <c r="U30562" s="28"/>
    </row>
    <row r="30563">
      <c r="N30563" s="28"/>
      <c r="O30563" s="28"/>
      <c r="U30563" s="28"/>
    </row>
    <row r="30564">
      <c r="N30564" s="28"/>
      <c r="O30564" s="28"/>
      <c r="U30564" s="28"/>
    </row>
    <row r="30565">
      <c r="N30565" s="28"/>
      <c r="O30565" s="28"/>
      <c r="U30565" s="28"/>
    </row>
    <row r="30566">
      <c r="N30566" s="28"/>
      <c r="O30566" s="28"/>
      <c r="U30566" s="28"/>
    </row>
    <row r="30567">
      <c r="N30567" s="28"/>
      <c r="O30567" s="28"/>
      <c r="U30567" s="28"/>
    </row>
    <row r="30568">
      <c r="N30568" s="28"/>
      <c r="O30568" s="28"/>
      <c r="U30568" s="28"/>
    </row>
    <row r="30569">
      <c r="N30569" s="28"/>
      <c r="O30569" s="28"/>
      <c r="U30569" s="28"/>
    </row>
    <row r="30570">
      <c r="N30570" s="28"/>
      <c r="O30570" s="28"/>
      <c r="U30570" s="28"/>
    </row>
    <row r="30571">
      <c r="N30571" s="28"/>
      <c r="O30571" s="28"/>
      <c r="U30571" s="28"/>
    </row>
    <row r="30572">
      <c r="N30572" s="28"/>
      <c r="O30572" s="28"/>
      <c r="U30572" s="28"/>
    </row>
    <row r="30573">
      <c r="N30573" s="28"/>
      <c r="O30573" s="28"/>
      <c r="U30573" s="28"/>
    </row>
    <row r="30574">
      <c r="N30574" s="28"/>
      <c r="O30574" s="28"/>
      <c r="U30574" s="28"/>
    </row>
    <row r="30575">
      <c r="N30575" s="28"/>
      <c r="O30575" s="28"/>
      <c r="U30575" s="28"/>
    </row>
    <row r="30576">
      <c r="N30576" s="28"/>
      <c r="O30576" s="28"/>
      <c r="U30576" s="28"/>
    </row>
    <row r="30577">
      <c r="N30577" s="28"/>
      <c r="O30577" s="28"/>
      <c r="U30577" s="28"/>
    </row>
    <row r="30578">
      <c r="N30578" s="28"/>
      <c r="O30578" s="28"/>
      <c r="U30578" s="28"/>
    </row>
    <row r="30579">
      <c r="N30579" s="28"/>
      <c r="O30579" s="28"/>
      <c r="U30579" s="28"/>
    </row>
    <row r="30580">
      <c r="N30580" s="28"/>
      <c r="O30580" s="28"/>
      <c r="U30580" s="28"/>
    </row>
    <row r="30581">
      <c r="N30581" s="28"/>
      <c r="O30581" s="28"/>
      <c r="U30581" s="28"/>
    </row>
    <row r="30582">
      <c r="N30582" s="28"/>
      <c r="O30582" s="28"/>
      <c r="U30582" s="28"/>
    </row>
    <row r="30583">
      <c r="N30583" s="28"/>
      <c r="O30583" s="28"/>
      <c r="U30583" s="28"/>
    </row>
    <row r="30584">
      <c r="N30584" s="28"/>
      <c r="O30584" s="28"/>
      <c r="U30584" s="28"/>
    </row>
    <row r="30585">
      <c r="N30585" s="28"/>
      <c r="O30585" s="28"/>
      <c r="U30585" s="28"/>
    </row>
    <row r="30586">
      <c r="N30586" s="28"/>
      <c r="O30586" s="28"/>
      <c r="U30586" s="28"/>
    </row>
    <row r="30587">
      <c r="N30587" s="28"/>
      <c r="O30587" s="28"/>
      <c r="U30587" s="28"/>
    </row>
    <row r="30588">
      <c r="N30588" s="28"/>
      <c r="O30588" s="28"/>
      <c r="U30588" s="28"/>
    </row>
    <row r="30589">
      <c r="N30589" s="28"/>
      <c r="O30589" s="28"/>
      <c r="U30589" s="28"/>
    </row>
    <row r="30590">
      <c r="N30590" s="28"/>
      <c r="O30590" s="28"/>
      <c r="U30590" s="28"/>
    </row>
    <row r="30591">
      <c r="N30591" s="28"/>
      <c r="O30591" s="28"/>
      <c r="U30591" s="28"/>
    </row>
    <row r="30592">
      <c r="N30592" s="28"/>
      <c r="O30592" s="28"/>
      <c r="U30592" s="28"/>
    </row>
    <row r="30593">
      <c r="N30593" s="28"/>
      <c r="O30593" s="28"/>
      <c r="U30593" s="28"/>
    </row>
    <row r="30594">
      <c r="N30594" s="28"/>
      <c r="O30594" s="28"/>
      <c r="U30594" s="28"/>
    </row>
    <row r="30595">
      <c r="N30595" s="28"/>
      <c r="O30595" s="28"/>
      <c r="U30595" s="28"/>
    </row>
    <row r="30596">
      <c r="N30596" s="28"/>
      <c r="O30596" s="28"/>
      <c r="U30596" s="28"/>
    </row>
    <row r="30597">
      <c r="N30597" s="28"/>
      <c r="O30597" s="28"/>
      <c r="U30597" s="28"/>
    </row>
    <row r="30598">
      <c r="N30598" s="28"/>
      <c r="O30598" s="28"/>
      <c r="U30598" s="28"/>
    </row>
    <row r="30599">
      <c r="N30599" s="28"/>
      <c r="O30599" s="28"/>
      <c r="U30599" s="28"/>
    </row>
    <row r="30600">
      <c r="N30600" s="28"/>
      <c r="O30600" s="28"/>
      <c r="U30600" s="28"/>
    </row>
    <row r="30601">
      <c r="N30601" s="28"/>
      <c r="O30601" s="28"/>
      <c r="U30601" s="28"/>
    </row>
    <row r="30602">
      <c r="N30602" s="28"/>
      <c r="O30602" s="28"/>
      <c r="U30602" s="28"/>
    </row>
    <row r="30603">
      <c r="N30603" s="28"/>
      <c r="O30603" s="28"/>
      <c r="U30603" s="28"/>
    </row>
    <row r="30604">
      <c r="N30604" s="28"/>
      <c r="O30604" s="28"/>
      <c r="U30604" s="28"/>
    </row>
    <row r="30605">
      <c r="N30605" s="28"/>
      <c r="O30605" s="28"/>
      <c r="U30605" s="28"/>
    </row>
    <row r="30606">
      <c r="N30606" s="28"/>
      <c r="O30606" s="28"/>
      <c r="U30606" s="28"/>
    </row>
    <row r="30607">
      <c r="N30607" s="28"/>
      <c r="O30607" s="28"/>
      <c r="U30607" s="28"/>
    </row>
    <row r="30608">
      <c r="N30608" s="28"/>
      <c r="O30608" s="28"/>
      <c r="U30608" s="28"/>
    </row>
    <row r="30609">
      <c r="N30609" s="28"/>
      <c r="O30609" s="28"/>
      <c r="U30609" s="28"/>
    </row>
    <row r="30610">
      <c r="N30610" s="28"/>
      <c r="O30610" s="28"/>
      <c r="U30610" s="28"/>
    </row>
    <row r="30611">
      <c r="N30611" s="28"/>
      <c r="O30611" s="28"/>
      <c r="U30611" s="28"/>
    </row>
    <row r="30612">
      <c r="N30612" s="28"/>
      <c r="O30612" s="28"/>
      <c r="U30612" s="28"/>
    </row>
    <row r="30613">
      <c r="N30613" s="28"/>
      <c r="O30613" s="28"/>
      <c r="U30613" s="28"/>
    </row>
    <row r="30614">
      <c r="N30614" s="28"/>
      <c r="O30614" s="28"/>
      <c r="U30614" s="28"/>
    </row>
    <row r="30615">
      <c r="N30615" s="28"/>
      <c r="O30615" s="28"/>
      <c r="U30615" s="28"/>
    </row>
    <row r="30616">
      <c r="N30616" s="28"/>
      <c r="O30616" s="28"/>
      <c r="U30616" s="28"/>
    </row>
    <row r="30617">
      <c r="N30617" s="28"/>
      <c r="O30617" s="28"/>
      <c r="U30617" s="28"/>
    </row>
    <row r="30618">
      <c r="N30618" s="28"/>
      <c r="O30618" s="28"/>
      <c r="U30618" s="28"/>
    </row>
    <row r="30619">
      <c r="N30619" s="28"/>
      <c r="O30619" s="28"/>
      <c r="U30619" s="28"/>
    </row>
    <row r="30620">
      <c r="N30620" s="28"/>
      <c r="O30620" s="28"/>
      <c r="U30620" s="28"/>
    </row>
    <row r="30621">
      <c r="N30621" s="28"/>
      <c r="O30621" s="28"/>
      <c r="U30621" s="28"/>
    </row>
    <row r="30622">
      <c r="N30622" s="28"/>
      <c r="O30622" s="28"/>
      <c r="U30622" s="28"/>
    </row>
    <row r="30623">
      <c r="N30623" s="28"/>
      <c r="O30623" s="28"/>
      <c r="U30623" s="28"/>
    </row>
    <row r="30624">
      <c r="N30624" s="28"/>
      <c r="O30624" s="28"/>
      <c r="U30624" s="28"/>
    </row>
    <row r="30625">
      <c r="N30625" s="28"/>
      <c r="O30625" s="28"/>
      <c r="U30625" s="28"/>
    </row>
    <row r="30626">
      <c r="N30626" s="28"/>
      <c r="O30626" s="28"/>
      <c r="U30626" s="28"/>
    </row>
    <row r="30627">
      <c r="N30627" s="28"/>
      <c r="O30627" s="28"/>
      <c r="U30627" s="28"/>
    </row>
    <row r="30628">
      <c r="N30628" s="28"/>
      <c r="O30628" s="28"/>
      <c r="U30628" s="28"/>
    </row>
    <row r="30629">
      <c r="N30629" s="28"/>
      <c r="O30629" s="28"/>
      <c r="U30629" s="28"/>
    </row>
    <row r="30630">
      <c r="N30630" s="28"/>
      <c r="O30630" s="28"/>
      <c r="U30630" s="28"/>
    </row>
    <row r="30631">
      <c r="N30631" s="28"/>
      <c r="O30631" s="28"/>
      <c r="U30631" s="28"/>
    </row>
    <row r="30632">
      <c r="N30632" s="28"/>
      <c r="O30632" s="28"/>
      <c r="U30632" s="28"/>
    </row>
    <row r="30633">
      <c r="N30633" s="28"/>
      <c r="O30633" s="28"/>
      <c r="U30633" s="28"/>
    </row>
    <row r="30634">
      <c r="N30634" s="28"/>
      <c r="O30634" s="28"/>
      <c r="U30634" s="28"/>
    </row>
    <row r="30635">
      <c r="N30635" s="28"/>
      <c r="O30635" s="28"/>
      <c r="U30635" s="28"/>
    </row>
    <row r="30636">
      <c r="N30636" s="28"/>
      <c r="O30636" s="28"/>
      <c r="U30636" s="28"/>
    </row>
    <row r="30637">
      <c r="N30637" s="28"/>
      <c r="O30637" s="28"/>
      <c r="U30637" s="28"/>
    </row>
    <row r="30638">
      <c r="N30638" s="28"/>
      <c r="O30638" s="28"/>
      <c r="U30638" s="28"/>
    </row>
    <row r="30639">
      <c r="N30639" s="28"/>
      <c r="O30639" s="28"/>
      <c r="U30639" s="28"/>
    </row>
    <row r="30640">
      <c r="N30640" s="28"/>
      <c r="O30640" s="28"/>
      <c r="U30640" s="28"/>
    </row>
    <row r="30641">
      <c r="N30641" s="28"/>
      <c r="O30641" s="28"/>
      <c r="U30641" s="28"/>
    </row>
    <row r="30642">
      <c r="N30642" s="28"/>
      <c r="O30642" s="28"/>
      <c r="U30642" s="28"/>
    </row>
    <row r="30643">
      <c r="N30643" s="28"/>
      <c r="O30643" s="28"/>
      <c r="U30643" s="28"/>
    </row>
    <row r="30644">
      <c r="N30644" s="28"/>
      <c r="O30644" s="28"/>
      <c r="U30644" s="28"/>
    </row>
    <row r="30645">
      <c r="N30645" s="28"/>
      <c r="O30645" s="28"/>
      <c r="U30645" s="28"/>
    </row>
    <row r="30646">
      <c r="N30646" s="28"/>
      <c r="O30646" s="28"/>
      <c r="U30646" s="28"/>
    </row>
    <row r="30647">
      <c r="N30647" s="28"/>
      <c r="O30647" s="28"/>
      <c r="U30647" s="28"/>
    </row>
    <row r="30648">
      <c r="N30648" s="28"/>
      <c r="O30648" s="28"/>
      <c r="U30648" s="28"/>
    </row>
    <row r="30649">
      <c r="N30649" s="28"/>
      <c r="O30649" s="28"/>
      <c r="U30649" s="28"/>
    </row>
    <row r="30650">
      <c r="N30650" s="28"/>
      <c r="O30650" s="28"/>
      <c r="U30650" s="28"/>
    </row>
    <row r="30651">
      <c r="N30651" s="28"/>
      <c r="O30651" s="28"/>
      <c r="U30651" s="28"/>
    </row>
    <row r="30652">
      <c r="N30652" s="28"/>
      <c r="O30652" s="28"/>
      <c r="U30652" s="28"/>
    </row>
    <row r="30653">
      <c r="N30653" s="28"/>
      <c r="O30653" s="28"/>
      <c r="U30653" s="28"/>
    </row>
    <row r="30654">
      <c r="N30654" s="28"/>
      <c r="O30654" s="28"/>
      <c r="U30654" s="28"/>
    </row>
    <row r="30655">
      <c r="N30655" s="28"/>
      <c r="O30655" s="28"/>
      <c r="U30655" s="28"/>
    </row>
    <row r="30656">
      <c r="N30656" s="28"/>
      <c r="O30656" s="28"/>
      <c r="U30656" s="28"/>
    </row>
    <row r="30657">
      <c r="N30657" s="28"/>
      <c r="O30657" s="28"/>
      <c r="U30657" s="28"/>
    </row>
    <row r="30658">
      <c r="N30658" s="28"/>
      <c r="O30658" s="28"/>
      <c r="U30658" s="28"/>
    </row>
    <row r="30659">
      <c r="N30659" s="28"/>
      <c r="O30659" s="28"/>
      <c r="U30659" s="28"/>
    </row>
    <row r="30660">
      <c r="N30660" s="28"/>
      <c r="O30660" s="28"/>
      <c r="U30660" s="28"/>
    </row>
    <row r="30661">
      <c r="N30661" s="28"/>
      <c r="O30661" s="28"/>
      <c r="U30661" s="28"/>
    </row>
    <row r="30662">
      <c r="N30662" s="28"/>
      <c r="O30662" s="28"/>
      <c r="U30662" s="28"/>
    </row>
    <row r="30663">
      <c r="N30663" s="28"/>
      <c r="O30663" s="28"/>
      <c r="U30663" s="28"/>
    </row>
    <row r="30664">
      <c r="N30664" s="28"/>
      <c r="O30664" s="28"/>
      <c r="U30664" s="28"/>
    </row>
    <row r="30665">
      <c r="N30665" s="28"/>
      <c r="O30665" s="28"/>
      <c r="U30665" s="28"/>
    </row>
    <row r="30666">
      <c r="N30666" s="28"/>
      <c r="O30666" s="28"/>
      <c r="U30666" s="28"/>
    </row>
    <row r="30667">
      <c r="N30667" s="28"/>
      <c r="O30667" s="28"/>
      <c r="U30667" s="28"/>
    </row>
    <row r="30668">
      <c r="N30668" s="28"/>
      <c r="O30668" s="28"/>
      <c r="U30668" s="28"/>
    </row>
    <row r="30669">
      <c r="N30669" s="28"/>
      <c r="O30669" s="28"/>
      <c r="U30669" s="28"/>
    </row>
    <row r="30670">
      <c r="N30670" s="28"/>
      <c r="O30670" s="28"/>
      <c r="U30670" s="28"/>
    </row>
    <row r="30671">
      <c r="N30671" s="28"/>
      <c r="O30671" s="28"/>
      <c r="U30671" s="28"/>
    </row>
    <row r="30672">
      <c r="N30672" s="28"/>
      <c r="O30672" s="28"/>
      <c r="U30672" s="28"/>
    </row>
    <row r="30673">
      <c r="N30673" s="28"/>
      <c r="O30673" s="28"/>
      <c r="U30673" s="28"/>
    </row>
    <row r="30674">
      <c r="N30674" s="28"/>
      <c r="O30674" s="28"/>
      <c r="U30674" s="28"/>
    </row>
    <row r="30675">
      <c r="N30675" s="28"/>
      <c r="O30675" s="28"/>
      <c r="U30675" s="28"/>
    </row>
    <row r="30676">
      <c r="N30676" s="28"/>
      <c r="O30676" s="28"/>
      <c r="U30676" s="28"/>
    </row>
    <row r="30677">
      <c r="N30677" s="28"/>
      <c r="O30677" s="28"/>
      <c r="U30677" s="28"/>
    </row>
    <row r="30678">
      <c r="N30678" s="28"/>
      <c r="O30678" s="28"/>
      <c r="U30678" s="28"/>
    </row>
    <row r="30679">
      <c r="N30679" s="28"/>
      <c r="O30679" s="28"/>
      <c r="U30679" s="28"/>
    </row>
    <row r="30680">
      <c r="N30680" s="28"/>
      <c r="O30680" s="28"/>
      <c r="U30680" s="28"/>
    </row>
    <row r="30681">
      <c r="N30681" s="28"/>
      <c r="O30681" s="28"/>
      <c r="U30681" s="28"/>
    </row>
    <row r="30682">
      <c r="N30682" s="28"/>
      <c r="O30682" s="28"/>
      <c r="U30682" s="28"/>
    </row>
    <row r="30683">
      <c r="N30683" s="28"/>
      <c r="O30683" s="28"/>
      <c r="U30683" s="28"/>
    </row>
    <row r="30684">
      <c r="N30684" s="28"/>
      <c r="O30684" s="28"/>
      <c r="U30684" s="28"/>
    </row>
    <row r="30685">
      <c r="N30685" s="28"/>
      <c r="O30685" s="28"/>
      <c r="U30685" s="28"/>
    </row>
    <row r="30686">
      <c r="N30686" s="28"/>
      <c r="O30686" s="28"/>
      <c r="U30686" s="28"/>
    </row>
    <row r="30687">
      <c r="N30687" s="28"/>
      <c r="O30687" s="28"/>
      <c r="U30687" s="28"/>
    </row>
    <row r="30688">
      <c r="N30688" s="28"/>
      <c r="O30688" s="28"/>
      <c r="U30688" s="28"/>
    </row>
    <row r="30689">
      <c r="N30689" s="28"/>
      <c r="O30689" s="28"/>
      <c r="U30689" s="28"/>
    </row>
    <row r="30690">
      <c r="N30690" s="28"/>
      <c r="O30690" s="28"/>
      <c r="U30690" s="28"/>
    </row>
    <row r="30691">
      <c r="N30691" s="28"/>
      <c r="O30691" s="28"/>
      <c r="U30691" s="28"/>
    </row>
    <row r="30692">
      <c r="N30692" s="28"/>
      <c r="O30692" s="28"/>
      <c r="U30692" s="28"/>
    </row>
    <row r="30693">
      <c r="N30693" s="28"/>
      <c r="O30693" s="28"/>
      <c r="U30693" s="28"/>
    </row>
    <row r="30694">
      <c r="N30694" s="28"/>
      <c r="O30694" s="28"/>
      <c r="U30694" s="28"/>
    </row>
    <row r="30695">
      <c r="N30695" s="28"/>
      <c r="O30695" s="28"/>
      <c r="U30695" s="28"/>
    </row>
    <row r="30696">
      <c r="N30696" s="28"/>
      <c r="O30696" s="28"/>
      <c r="U30696" s="28"/>
    </row>
    <row r="30697">
      <c r="N30697" s="28"/>
      <c r="O30697" s="28"/>
      <c r="U30697" s="28"/>
    </row>
    <row r="30698">
      <c r="N30698" s="28"/>
      <c r="O30698" s="28"/>
      <c r="U30698" s="28"/>
    </row>
    <row r="30699">
      <c r="N30699" s="28"/>
      <c r="O30699" s="28"/>
      <c r="U30699" s="28"/>
    </row>
    <row r="30700">
      <c r="N30700" s="28"/>
      <c r="O30700" s="28"/>
      <c r="U30700" s="28"/>
    </row>
    <row r="30701">
      <c r="N30701" s="28"/>
      <c r="O30701" s="28"/>
      <c r="U30701" s="28"/>
    </row>
    <row r="30702">
      <c r="N30702" s="28"/>
      <c r="O30702" s="28"/>
      <c r="U30702" s="28"/>
    </row>
    <row r="30703">
      <c r="N30703" s="28"/>
      <c r="O30703" s="28"/>
      <c r="U30703" s="28"/>
    </row>
    <row r="30704">
      <c r="N30704" s="28"/>
      <c r="O30704" s="28"/>
      <c r="U30704" s="28"/>
    </row>
    <row r="30705">
      <c r="N30705" s="28"/>
      <c r="O30705" s="28"/>
      <c r="U30705" s="28"/>
    </row>
    <row r="30706">
      <c r="N30706" s="28"/>
      <c r="O30706" s="28"/>
      <c r="U30706" s="28"/>
    </row>
    <row r="30707">
      <c r="N30707" s="28"/>
      <c r="O30707" s="28"/>
      <c r="U30707" s="28"/>
    </row>
    <row r="30708">
      <c r="N30708" s="28"/>
      <c r="O30708" s="28"/>
      <c r="U30708" s="28"/>
    </row>
    <row r="30709">
      <c r="N30709" s="28"/>
      <c r="O30709" s="28"/>
      <c r="U30709" s="28"/>
    </row>
    <row r="30710">
      <c r="N30710" s="28"/>
      <c r="O30710" s="28"/>
      <c r="U30710" s="28"/>
    </row>
    <row r="30711">
      <c r="N30711" s="28"/>
      <c r="O30711" s="28"/>
      <c r="U30711" s="28"/>
    </row>
    <row r="30712">
      <c r="N30712" s="28"/>
      <c r="O30712" s="28"/>
      <c r="U30712" s="28"/>
    </row>
    <row r="30713">
      <c r="N30713" s="28"/>
      <c r="O30713" s="28"/>
      <c r="U30713" s="28"/>
    </row>
    <row r="30714">
      <c r="N30714" s="28"/>
      <c r="O30714" s="28"/>
      <c r="U30714" s="28"/>
    </row>
    <row r="30715">
      <c r="N30715" s="28"/>
      <c r="O30715" s="28"/>
      <c r="U30715" s="28"/>
    </row>
    <row r="30716">
      <c r="N30716" s="28"/>
      <c r="O30716" s="28"/>
      <c r="U30716" s="28"/>
    </row>
    <row r="30717">
      <c r="N30717" s="28"/>
      <c r="O30717" s="28"/>
      <c r="U30717" s="28"/>
    </row>
    <row r="30718">
      <c r="N30718" s="28"/>
      <c r="O30718" s="28"/>
      <c r="U30718" s="28"/>
    </row>
    <row r="30719">
      <c r="N30719" s="28"/>
      <c r="O30719" s="28"/>
      <c r="U30719" s="28"/>
    </row>
    <row r="30720">
      <c r="N30720" s="28"/>
      <c r="O30720" s="28"/>
      <c r="U30720" s="28"/>
    </row>
    <row r="30721">
      <c r="N30721" s="28"/>
      <c r="O30721" s="28"/>
      <c r="U30721" s="28"/>
    </row>
    <row r="30722">
      <c r="N30722" s="28"/>
      <c r="O30722" s="28"/>
      <c r="U30722" s="28"/>
    </row>
    <row r="30723">
      <c r="N30723" s="28"/>
      <c r="O30723" s="28"/>
      <c r="U30723" s="28"/>
    </row>
    <row r="30724">
      <c r="N30724" s="28"/>
      <c r="O30724" s="28"/>
      <c r="U30724" s="28"/>
    </row>
    <row r="30725">
      <c r="N30725" s="28"/>
      <c r="O30725" s="28"/>
      <c r="U30725" s="28"/>
    </row>
    <row r="30726">
      <c r="N30726" s="28"/>
      <c r="O30726" s="28"/>
      <c r="U30726" s="28"/>
    </row>
    <row r="30727">
      <c r="N30727" s="28"/>
      <c r="O30727" s="28"/>
      <c r="U30727" s="28"/>
    </row>
    <row r="30728">
      <c r="N30728" s="28"/>
      <c r="O30728" s="28"/>
      <c r="U30728" s="28"/>
    </row>
    <row r="30729">
      <c r="N30729" s="28"/>
      <c r="O30729" s="28"/>
      <c r="U30729" s="28"/>
    </row>
    <row r="30730">
      <c r="N30730" s="28"/>
      <c r="O30730" s="28"/>
      <c r="U30730" s="28"/>
    </row>
    <row r="30731">
      <c r="N30731" s="28"/>
      <c r="O30731" s="28"/>
      <c r="U30731" s="28"/>
    </row>
    <row r="30732">
      <c r="N30732" s="28"/>
      <c r="O30732" s="28"/>
      <c r="U30732" s="28"/>
    </row>
    <row r="30733">
      <c r="N30733" s="28"/>
      <c r="O30733" s="28"/>
      <c r="U30733" s="28"/>
    </row>
    <row r="30734">
      <c r="N30734" s="28"/>
      <c r="O30734" s="28"/>
      <c r="U30734" s="28"/>
    </row>
    <row r="30735">
      <c r="N30735" s="28"/>
      <c r="O30735" s="28"/>
      <c r="U30735" s="28"/>
    </row>
    <row r="30736">
      <c r="N30736" s="28"/>
      <c r="O30736" s="28"/>
      <c r="U30736" s="28"/>
    </row>
    <row r="30737">
      <c r="N30737" s="28"/>
      <c r="O30737" s="28"/>
      <c r="U30737" s="28"/>
    </row>
    <row r="30738">
      <c r="N30738" s="28"/>
      <c r="O30738" s="28"/>
      <c r="U30738" s="28"/>
    </row>
    <row r="30739">
      <c r="N30739" s="28"/>
      <c r="O30739" s="28"/>
      <c r="U30739" s="28"/>
    </row>
    <row r="30740">
      <c r="N30740" s="28"/>
      <c r="O30740" s="28"/>
      <c r="U30740" s="28"/>
    </row>
    <row r="30741">
      <c r="N30741" s="28"/>
      <c r="O30741" s="28"/>
      <c r="U30741" s="28"/>
    </row>
    <row r="30742">
      <c r="N30742" s="28"/>
      <c r="O30742" s="28"/>
      <c r="U30742" s="28"/>
    </row>
    <row r="30743">
      <c r="N30743" s="28"/>
      <c r="O30743" s="28"/>
      <c r="U30743" s="28"/>
    </row>
    <row r="30744">
      <c r="N30744" s="28"/>
      <c r="O30744" s="28"/>
      <c r="U30744" s="28"/>
    </row>
    <row r="30745">
      <c r="N30745" s="28"/>
      <c r="O30745" s="28"/>
      <c r="U30745" s="28"/>
    </row>
    <row r="30746">
      <c r="N30746" s="28"/>
      <c r="O30746" s="28"/>
      <c r="U30746" s="28"/>
    </row>
    <row r="30747">
      <c r="N30747" s="28"/>
      <c r="O30747" s="28"/>
      <c r="U30747" s="28"/>
    </row>
    <row r="30748">
      <c r="N30748" s="28"/>
      <c r="O30748" s="28"/>
      <c r="U30748" s="28"/>
    </row>
    <row r="30749">
      <c r="N30749" s="28"/>
      <c r="O30749" s="28"/>
      <c r="U30749" s="28"/>
    </row>
    <row r="30750">
      <c r="N30750" s="28"/>
      <c r="O30750" s="28"/>
      <c r="U30750" s="28"/>
    </row>
    <row r="30751">
      <c r="N30751" s="28"/>
      <c r="O30751" s="28"/>
      <c r="U30751" s="28"/>
    </row>
    <row r="30752">
      <c r="N30752" s="28"/>
      <c r="O30752" s="28"/>
      <c r="U30752" s="28"/>
    </row>
    <row r="30753">
      <c r="N30753" s="28"/>
      <c r="O30753" s="28"/>
      <c r="U30753" s="28"/>
    </row>
    <row r="30754">
      <c r="N30754" s="28"/>
      <c r="O30754" s="28"/>
      <c r="U30754" s="28"/>
    </row>
    <row r="30755">
      <c r="N30755" s="28"/>
      <c r="O30755" s="28"/>
      <c r="U30755" s="28"/>
    </row>
    <row r="30756">
      <c r="N30756" s="28"/>
      <c r="O30756" s="28"/>
      <c r="U30756" s="28"/>
    </row>
    <row r="30757">
      <c r="N30757" s="28"/>
      <c r="O30757" s="28"/>
      <c r="U30757" s="28"/>
    </row>
    <row r="30758">
      <c r="N30758" s="28"/>
      <c r="O30758" s="28"/>
      <c r="U30758" s="28"/>
    </row>
    <row r="30759">
      <c r="N30759" s="28"/>
      <c r="O30759" s="28"/>
      <c r="U30759" s="28"/>
    </row>
    <row r="30760">
      <c r="N30760" s="28"/>
      <c r="O30760" s="28"/>
      <c r="U30760" s="28"/>
    </row>
    <row r="30761">
      <c r="N30761" s="28"/>
      <c r="O30761" s="28"/>
      <c r="U30761" s="28"/>
    </row>
    <row r="30762">
      <c r="N30762" s="28"/>
      <c r="O30762" s="28"/>
      <c r="U30762" s="28"/>
    </row>
    <row r="30763">
      <c r="N30763" s="28"/>
      <c r="O30763" s="28"/>
      <c r="U30763" s="28"/>
    </row>
    <row r="30764">
      <c r="N30764" s="28"/>
      <c r="O30764" s="28"/>
      <c r="U30764" s="28"/>
    </row>
    <row r="30765">
      <c r="N30765" s="28"/>
      <c r="O30765" s="28"/>
      <c r="U30765" s="28"/>
    </row>
    <row r="30766">
      <c r="N30766" s="28"/>
      <c r="O30766" s="28"/>
      <c r="U30766" s="28"/>
    </row>
    <row r="30767">
      <c r="N30767" s="28"/>
      <c r="O30767" s="28"/>
      <c r="U30767" s="28"/>
    </row>
    <row r="30768">
      <c r="N30768" s="28"/>
      <c r="O30768" s="28"/>
      <c r="U30768" s="28"/>
    </row>
    <row r="30769">
      <c r="N30769" s="28"/>
      <c r="O30769" s="28"/>
      <c r="U30769" s="28"/>
    </row>
    <row r="30770">
      <c r="N30770" s="28"/>
      <c r="O30770" s="28"/>
      <c r="U30770" s="28"/>
    </row>
    <row r="30771">
      <c r="N30771" s="28"/>
      <c r="O30771" s="28"/>
      <c r="U30771" s="28"/>
    </row>
    <row r="30772">
      <c r="N30772" s="28"/>
      <c r="O30772" s="28"/>
      <c r="U30772" s="28"/>
    </row>
    <row r="30773">
      <c r="N30773" s="28"/>
      <c r="O30773" s="28"/>
      <c r="U30773" s="28"/>
    </row>
    <row r="30774">
      <c r="N30774" s="28"/>
      <c r="O30774" s="28"/>
      <c r="U30774" s="28"/>
    </row>
    <row r="30775">
      <c r="N30775" s="28"/>
      <c r="O30775" s="28"/>
      <c r="U30775" s="28"/>
    </row>
    <row r="30776">
      <c r="N30776" s="28"/>
      <c r="O30776" s="28"/>
      <c r="U30776" s="28"/>
    </row>
    <row r="30777">
      <c r="N30777" s="28"/>
      <c r="O30777" s="28"/>
      <c r="U30777" s="28"/>
    </row>
    <row r="30778">
      <c r="N30778" s="28"/>
      <c r="O30778" s="28"/>
      <c r="U30778" s="28"/>
    </row>
    <row r="30779">
      <c r="N30779" s="28"/>
      <c r="O30779" s="28"/>
      <c r="U30779" s="28"/>
    </row>
    <row r="30780">
      <c r="N30780" s="28"/>
      <c r="O30780" s="28"/>
      <c r="U30780" s="28"/>
    </row>
    <row r="30781">
      <c r="N30781" s="28"/>
      <c r="O30781" s="28"/>
      <c r="U30781" s="28"/>
    </row>
    <row r="30782">
      <c r="N30782" s="28"/>
      <c r="O30782" s="28"/>
      <c r="U30782" s="28"/>
    </row>
    <row r="30783">
      <c r="N30783" s="28"/>
      <c r="O30783" s="28"/>
      <c r="U30783" s="28"/>
    </row>
    <row r="30784">
      <c r="N30784" s="28"/>
      <c r="O30784" s="28"/>
      <c r="U30784" s="28"/>
    </row>
    <row r="30785">
      <c r="N30785" s="28"/>
      <c r="O30785" s="28"/>
      <c r="U30785" s="28"/>
    </row>
    <row r="30786">
      <c r="N30786" s="28"/>
      <c r="O30786" s="28"/>
      <c r="U30786" s="28"/>
    </row>
    <row r="30787">
      <c r="N30787" s="28"/>
      <c r="O30787" s="28"/>
      <c r="U30787" s="28"/>
    </row>
    <row r="30788">
      <c r="N30788" s="28"/>
      <c r="O30788" s="28"/>
      <c r="U30788" s="28"/>
    </row>
    <row r="30789">
      <c r="N30789" s="28"/>
      <c r="O30789" s="28"/>
      <c r="U30789" s="28"/>
    </row>
    <row r="30790">
      <c r="N30790" s="28"/>
      <c r="O30790" s="28"/>
      <c r="U30790" s="28"/>
    </row>
    <row r="30791">
      <c r="N30791" s="28"/>
      <c r="O30791" s="28"/>
      <c r="U30791" s="28"/>
    </row>
    <row r="30792">
      <c r="N30792" s="28"/>
      <c r="O30792" s="28"/>
      <c r="U30792" s="28"/>
    </row>
    <row r="30793">
      <c r="N30793" s="28"/>
      <c r="O30793" s="28"/>
      <c r="U30793" s="28"/>
    </row>
    <row r="30794">
      <c r="N30794" s="28"/>
      <c r="O30794" s="28"/>
      <c r="U30794" s="28"/>
    </row>
    <row r="30795">
      <c r="N30795" s="28"/>
      <c r="O30795" s="28"/>
      <c r="U30795" s="28"/>
    </row>
    <row r="30796">
      <c r="N30796" s="28"/>
      <c r="O30796" s="28"/>
      <c r="U30796" s="28"/>
    </row>
    <row r="30797">
      <c r="N30797" s="28"/>
      <c r="O30797" s="28"/>
      <c r="U30797" s="28"/>
    </row>
    <row r="30798">
      <c r="N30798" s="28"/>
      <c r="O30798" s="28"/>
      <c r="U30798" s="28"/>
    </row>
    <row r="30799">
      <c r="N30799" s="28"/>
      <c r="O30799" s="28"/>
      <c r="U30799" s="28"/>
    </row>
    <row r="30800">
      <c r="N30800" s="28"/>
      <c r="O30800" s="28"/>
      <c r="U30800" s="28"/>
    </row>
    <row r="30801">
      <c r="N30801" s="28"/>
      <c r="O30801" s="28"/>
      <c r="U30801" s="28"/>
    </row>
    <row r="30802">
      <c r="N30802" s="28"/>
      <c r="O30802" s="28"/>
      <c r="U30802" s="28"/>
    </row>
    <row r="30803">
      <c r="N30803" s="28"/>
      <c r="O30803" s="28"/>
      <c r="U30803" s="28"/>
    </row>
    <row r="30804">
      <c r="N30804" s="28"/>
      <c r="O30804" s="28"/>
      <c r="U30804" s="28"/>
    </row>
    <row r="30805">
      <c r="N30805" s="28"/>
      <c r="O30805" s="28"/>
      <c r="U30805" s="28"/>
    </row>
    <row r="30806">
      <c r="N30806" s="28"/>
      <c r="O30806" s="28"/>
      <c r="U30806" s="28"/>
    </row>
    <row r="30807">
      <c r="N30807" s="28"/>
      <c r="O30807" s="28"/>
      <c r="U30807" s="28"/>
    </row>
    <row r="30808">
      <c r="N30808" s="28"/>
      <c r="O30808" s="28"/>
      <c r="U30808" s="28"/>
    </row>
    <row r="30809">
      <c r="N30809" s="28"/>
      <c r="O30809" s="28"/>
      <c r="U30809" s="28"/>
    </row>
    <row r="30810">
      <c r="N30810" s="28"/>
      <c r="O30810" s="28"/>
      <c r="U30810" s="28"/>
    </row>
    <row r="30811">
      <c r="N30811" s="28"/>
      <c r="O30811" s="28"/>
      <c r="U30811" s="28"/>
    </row>
    <row r="30812">
      <c r="N30812" s="28"/>
      <c r="O30812" s="28"/>
      <c r="U30812" s="28"/>
    </row>
    <row r="30813">
      <c r="N30813" s="28"/>
      <c r="O30813" s="28"/>
      <c r="U30813" s="28"/>
    </row>
    <row r="30814">
      <c r="N30814" s="28"/>
      <c r="O30814" s="28"/>
      <c r="U30814" s="28"/>
    </row>
    <row r="30815">
      <c r="N30815" s="28"/>
      <c r="O30815" s="28"/>
      <c r="U30815" s="28"/>
    </row>
    <row r="30816">
      <c r="N30816" s="28"/>
      <c r="O30816" s="28"/>
      <c r="U30816" s="28"/>
    </row>
    <row r="30817">
      <c r="N30817" s="28"/>
      <c r="O30817" s="28"/>
      <c r="U30817" s="28"/>
    </row>
    <row r="30818">
      <c r="N30818" s="28"/>
      <c r="O30818" s="28"/>
      <c r="U30818" s="28"/>
    </row>
    <row r="30819">
      <c r="N30819" s="28"/>
      <c r="O30819" s="28"/>
      <c r="U30819" s="28"/>
    </row>
    <row r="30820">
      <c r="N30820" s="28"/>
      <c r="O30820" s="28"/>
      <c r="U30820" s="28"/>
    </row>
    <row r="30821">
      <c r="N30821" s="28"/>
      <c r="O30821" s="28"/>
      <c r="U30821" s="28"/>
    </row>
    <row r="30822">
      <c r="N30822" s="28"/>
      <c r="O30822" s="28"/>
      <c r="U30822" s="28"/>
    </row>
    <row r="30823">
      <c r="N30823" s="28"/>
      <c r="O30823" s="28"/>
      <c r="U30823" s="28"/>
    </row>
    <row r="30824">
      <c r="N30824" s="28"/>
      <c r="O30824" s="28"/>
      <c r="U30824" s="28"/>
    </row>
    <row r="30825">
      <c r="N30825" s="28"/>
      <c r="O30825" s="28"/>
      <c r="U30825" s="28"/>
    </row>
    <row r="30826">
      <c r="N30826" s="28"/>
      <c r="O30826" s="28"/>
      <c r="U30826" s="28"/>
    </row>
    <row r="30827">
      <c r="N30827" s="28"/>
      <c r="O30827" s="28"/>
      <c r="U30827" s="28"/>
    </row>
    <row r="30828">
      <c r="N30828" s="28"/>
      <c r="O30828" s="28"/>
      <c r="U30828" s="28"/>
    </row>
    <row r="30829">
      <c r="N30829" s="28"/>
      <c r="O30829" s="28"/>
      <c r="U30829" s="28"/>
    </row>
    <row r="30830">
      <c r="N30830" s="28"/>
      <c r="O30830" s="28"/>
      <c r="U30830" s="28"/>
    </row>
    <row r="30831">
      <c r="N30831" s="28"/>
      <c r="O30831" s="28"/>
      <c r="U30831" s="28"/>
    </row>
    <row r="30832">
      <c r="N30832" s="28"/>
      <c r="O30832" s="28"/>
      <c r="U30832" s="28"/>
    </row>
    <row r="30833">
      <c r="N30833" s="28"/>
      <c r="O30833" s="28"/>
      <c r="U30833" s="28"/>
    </row>
    <row r="30834">
      <c r="N30834" s="28"/>
      <c r="O30834" s="28"/>
      <c r="U30834" s="28"/>
    </row>
    <row r="30835">
      <c r="N30835" s="28"/>
      <c r="O30835" s="28"/>
      <c r="U30835" s="28"/>
    </row>
    <row r="30836">
      <c r="N30836" s="28"/>
      <c r="O30836" s="28"/>
      <c r="U30836" s="28"/>
    </row>
    <row r="30837">
      <c r="N30837" s="28"/>
      <c r="O30837" s="28"/>
      <c r="U30837" s="28"/>
    </row>
    <row r="30838">
      <c r="N30838" s="28"/>
      <c r="O30838" s="28"/>
      <c r="U30838" s="28"/>
    </row>
    <row r="30839">
      <c r="N30839" s="28"/>
      <c r="O30839" s="28"/>
      <c r="U30839" s="28"/>
    </row>
    <row r="30840">
      <c r="N30840" s="28"/>
      <c r="O30840" s="28"/>
      <c r="U30840" s="28"/>
    </row>
    <row r="30841">
      <c r="N30841" s="28"/>
      <c r="O30841" s="28"/>
      <c r="U30841" s="28"/>
    </row>
    <row r="30842">
      <c r="N30842" s="28"/>
      <c r="O30842" s="28"/>
      <c r="U30842" s="28"/>
    </row>
    <row r="30843">
      <c r="N30843" s="28"/>
      <c r="O30843" s="28"/>
      <c r="U30843" s="28"/>
    </row>
    <row r="30844">
      <c r="N30844" s="28"/>
      <c r="O30844" s="28"/>
      <c r="U30844" s="28"/>
    </row>
    <row r="30845">
      <c r="N30845" s="28"/>
      <c r="O30845" s="28"/>
      <c r="U30845" s="28"/>
    </row>
    <row r="30846">
      <c r="N30846" s="28"/>
      <c r="O30846" s="28"/>
      <c r="U30846" s="28"/>
    </row>
    <row r="30847">
      <c r="N30847" s="28"/>
      <c r="O30847" s="28"/>
      <c r="U30847" s="28"/>
    </row>
    <row r="30848">
      <c r="N30848" s="28"/>
      <c r="O30848" s="28"/>
      <c r="U30848" s="28"/>
    </row>
    <row r="30849">
      <c r="N30849" s="28"/>
      <c r="O30849" s="28"/>
      <c r="U30849" s="28"/>
    </row>
    <row r="30850">
      <c r="N30850" s="28"/>
      <c r="O30850" s="28"/>
      <c r="U30850" s="28"/>
    </row>
    <row r="30851">
      <c r="N30851" s="28"/>
      <c r="O30851" s="28"/>
      <c r="U30851" s="28"/>
    </row>
    <row r="30852">
      <c r="N30852" s="28"/>
      <c r="O30852" s="28"/>
      <c r="U30852" s="28"/>
    </row>
    <row r="30853">
      <c r="N30853" s="28"/>
      <c r="O30853" s="28"/>
      <c r="U30853" s="28"/>
    </row>
    <row r="30854">
      <c r="N30854" s="28"/>
      <c r="O30854" s="28"/>
      <c r="U30854" s="28"/>
    </row>
    <row r="30855">
      <c r="N30855" s="28"/>
      <c r="O30855" s="28"/>
      <c r="U30855" s="28"/>
    </row>
    <row r="30856">
      <c r="N30856" s="28"/>
      <c r="O30856" s="28"/>
      <c r="U30856" s="28"/>
    </row>
    <row r="30857">
      <c r="N30857" s="28"/>
      <c r="O30857" s="28"/>
      <c r="U30857" s="28"/>
    </row>
    <row r="30858">
      <c r="N30858" s="28"/>
      <c r="O30858" s="28"/>
      <c r="U30858" s="28"/>
    </row>
    <row r="30859">
      <c r="N30859" s="28"/>
      <c r="O30859" s="28"/>
      <c r="U30859" s="28"/>
    </row>
    <row r="30860">
      <c r="N30860" s="28"/>
      <c r="O30860" s="28"/>
      <c r="U30860" s="28"/>
    </row>
    <row r="30861">
      <c r="N30861" s="28"/>
      <c r="O30861" s="28"/>
      <c r="U30861" s="28"/>
    </row>
    <row r="30862">
      <c r="N30862" s="28"/>
      <c r="O30862" s="28"/>
      <c r="U30862" s="28"/>
    </row>
    <row r="30863">
      <c r="N30863" s="28"/>
      <c r="O30863" s="28"/>
      <c r="U30863" s="28"/>
    </row>
    <row r="30864">
      <c r="N30864" s="28"/>
      <c r="O30864" s="28"/>
      <c r="U30864" s="28"/>
    </row>
    <row r="30865">
      <c r="N30865" s="28"/>
      <c r="O30865" s="28"/>
      <c r="U30865" s="28"/>
    </row>
    <row r="30866">
      <c r="N30866" s="28"/>
      <c r="O30866" s="28"/>
      <c r="U30866" s="28"/>
    </row>
    <row r="30867">
      <c r="N30867" s="28"/>
      <c r="O30867" s="28"/>
      <c r="U30867" s="28"/>
    </row>
    <row r="30868">
      <c r="N30868" s="28"/>
      <c r="O30868" s="28"/>
      <c r="U30868" s="28"/>
    </row>
    <row r="30869">
      <c r="N30869" s="28"/>
      <c r="O30869" s="28"/>
      <c r="U30869" s="28"/>
    </row>
    <row r="30870">
      <c r="N30870" s="28"/>
      <c r="O30870" s="28"/>
      <c r="U30870" s="28"/>
    </row>
    <row r="30871">
      <c r="N30871" s="28"/>
      <c r="O30871" s="28"/>
      <c r="U30871" s="28"/>
    </row>
    <row r="30872">
      <c r="N30872" s="28"/>
      <c r="O30872" s="28"/>
      <c r="U30872" s="28"/>
    </row>
    <row r="30873">
      <c r="N30873" s="28"/>
      <c r="O30873" s="28"/>
      <c r="U30873" s="28"/>
    </row>
    <row r="30874">
      <c r="N30874" s="28"/>
      <c r="O30874" s="28"/>
      <c r="U30874" s="28"/>
    </row>
    <row r="30875">
      <c r="N30875" s="28"/>
      <c r="O30875" s="28"/>
      <c r="U30875" s="28"/>
    </row>
    <row r="30876">
      <c r="N30876" s="28"/>
      <c r="O30876" s="28"/>
      <c r="U30876" s="28"/>
    </row>
    <row r="30877">
      <c r="N30877" s="28"/>
      <c r="O30877" s="28"/>
      <c r="U30877" s="28"/>
    </row>
    <row r="30878">
      <c r="N30878" s="28"/>
      <c r="O30878" s="28"/>
      <c r="U30878" s="28"/>
    </row>
    <row r="30879">
      <c r="N30879" s="28"/>
      <c r="O30879" s="28"/>
      <c r="U30879" s="28"/>
    </row>
    <row r="30880">
      <c r="N30880" s="28"/>
      <c r="O30880" s="28"/>
      <c r="U30880" s="28"/>
    </row>
    <row r="30881">
      <c r="N30881" s="28"/>
      <c r="O30881" s="28"/>
      <c r="U30881" s="28"/>
    </row>
    <row r="30882">
      <c r="N30882" s="28"/>
      <c r="O30882" s="28"/>
      <c r="U30882" s="28"/>
    </row>
    <row r="30883">
      <c r="N30883" s="28"/>
      <c r="O30883" s="28"/>
      <c r="U30883" s="28"/>
    </row>
    <row r="30884">
      <c r="N30884" s="28"/>
      <c r="O30884" s="28"/>
      <c r="U30884" s="28"/>
    </row>
    <row r="30885">
      <c r="N30885" s="28"/>
      <c r="O30885" s="28"/>
      <c r="U30885" s="28"/>
    </row>
    <row r="30886">
      <c r="N30886" s="28"/>
      <c r="O30886" s="28"/>
      <c r="U30886" s="28"/>
    </row>
    <row r="30887">
      <c r="N30887" s="28"/>
      <c r="O30887" s="28"/>
      <c r="U30887" s="28"/>
    </row>
    <row r="30888">
      <c r="N30888" s="28"/>
      <c r="O30888" s="28"/>
      <c r="U30888" s="28"/>
    </row>
    <row r="30889">
      <c r="N30889" s="28"/>
      <c r="O30889" s="28"/>
      <c r="U30889" s="28"/>
    </row>
    <row r="30890">
      <c r="N30890" s="28"/>
      <c r="O30890" s="28"/>
      <c r="U30890" s="28"/>
    </row>
    <row r="30891">
      <c r="N30891" s="28"/>
      <c r="O30891" s="28"/>
      <c r="U30891" s="28"/>
    </row>
    <row r="30892">
      <c r="N30892" s="28"/>
      <c r="O30892" s="28"/>
      <c r="U30892" s="28"/>
    </row>
    <row r="30893">
      <c r="N30893" s="28"/>
      <c r="O30893" s="28"/>
      <c r="U30893" s="28"/>
    </row>
    <row r="30894">
      <c r="N30894" s="28"/>
      <c r="O30894" s="28"/>
      <c r="U30894" s="28"/>
    </row>
    <row r="30895">
      <c r="N30895" s="28"/>
      <c r="O30895" s="28"/>
      <c r="U30895" s="28"/>
    </row>
    <row r="30896">
      <c r="N30896" s="28"/>
      <c r="O30896" s="28"/>
      <c r="U30896" s="28"/>
    </row>
    <row r="30897">
      <c r="N30897" s="28"/>
      <c r="O30897" s="28"/>
      <c r="U30897" s="28"/>
    </row>
    <row r="30898">
      <c r="N30898" s="28"/>
      <c r="O30898" s="28"/>
      <c r="U30898" s="28"/>
    </row>
    <row r="30899">
      <c r="N30899" s="28"/>
      <c r="O30899" s="28"/>
      <c r="U30899" s="28"/>
    </row>
    <row r="30900">
      <c r="N30900" s="28"/>
      <c r="O30900" s="28"/>
      <c r="U30900" s="28"/>
    </row>
    <row r="30901">
      <c r="N30901" s="28"/>
      <c r="O30901" s="28"/>
      <c r="U30901" s="28"/>
    </row>
    <row r="30902">
      <c r="N30902" s="28"/>
      <c r="O30902" s="28"/>
      <c r="U30902" s="28"/>
    </row>
    <row r="30903">
      <c r="N30903" s="28"/>
      <c r="O30903" s="28"/>
      <c r="U30903" s="28"/>
    </row>
    <row r="30904">
      <c r="N30904" s="28"/>
      <c r="O30904" s="28"/>
      <c r="U30904" s="28"/>
    </row>
    <row r="30905">
      <c r="N30905" s="28"/>
      <c r="O30905" s="28"/>
      <c r="U30905" s="28"/>
    </row>
    <row r="30906">
      <c r="N30906" s="28"/>
      <c r="O30906" s="28"/>
      <c r="U30906" s="28"/>
    </row>
    <row r="30907">
      <c r="N30907" s="28"/>
      <c r="O30907" s="28"/>
      <c r="U30907" s="28"/>
    </row>
    <row r="30908">
      <c r="N30908" s="28"/>
      <c r="O30908" s="28"/>
      <c r="U30908" s="28"/>
    </row>
    <row r="30909">
      <c r="N30909" s="28"/>
      <c r="O30909" s="28"/>
      <c r="U30909" s="28"/>
    </row>
    <row r="30910">
      <c r="N30910" s="28"/>
      <c r="O30910" s="28"/>
      <c r="U30910" s="28"/>
    </row>
    <row r="30911">
      <c r="N30911" s="28"/>
      <c r="O30911" s="28"/>
      <c r="U30911" s="28"/>
    </row>
    <row r="30912">
      <c r="N30912" s="28"/>
      <c r="O30912" s="28"/>
      <c r="U30912" s="28"/>
    </row>
    <row r="30913">
      <c r="N30913" s="28"/>
      <c r="O30913" s="28"/>
      <c r="U30913" s="28"/>
    </row>
    <row r="30914">
      <c r="N30914" s="28"/>
      <c r="O30914" s="28"/>
      <c r="U30914" s="28"/>
    </row>
    <row r="30915">
      <c r="N30915" s="28"/>
      <c r="O30915" s="28"/>
      <c r="U30915" s="28"/>
    </row>
    <row r="30916">
      <c r="N30916" s="28"/>
      <c r="O30916" s="28"/>
      <c r="U30916" s="28"/>
    </row>
    <row r="30917">
      <c r="N30917" s="28"/>
      <c r="O30917" s="28"/>
      <c r="U30917" s="28"/>
    </row>
    <row r="30918">
      <c r="N30918" s="28"/>
      <c r="O30918" s="28"/>
      <c r="U30918" s="28"/>
    </row>
    <row r="30919">
      <c r="N30919" s="28"/>
      <c r="O30919" s="28"/>
      <c r="U30919" s="28"/>
    </row>
    <row r="30920">
      <c r="N30920" s="28"/>
      <c r="O30920" s="28"/>
      <c r="U30920" s="28"/>
    </row>
    <row r="30921">
      <c r="N30921" s="28"/>
      <c r="O30921" s="28"/>
      <c r="U30921" s="28"/>
    </row>
    <row r="30922">
      <c r="N30922" s="28"/>
      <c r="O30922" s="28"/>
      <c r="U30922" s="28"/>
    </row>
    <row r="30923">
      <c r="N30923" s="28"/>
      <c r="O30923" s="28"/>
      <c r="U30923" s="28"/>
    </row>
    <row r="30924">
      <c r="N30924" s="28"/>
      <c r="O30924" s="28"/>
      <c r="U30924" s="28"/>
    </row>
    <row r="30925">
      <c r="N30925" s="28"/>
      <c r="O30925" s="28"/>
      <c r="U30925" s="28"/>
    </row>
    <row r="30926">
      <c r="N30926" s="28"/>
      <c r="O30926" s="28"/>
      <c r="U30926" s="28"/>
    </row>
    <row r="30927">
      <c r="N30927" s="28"/>
      <c r="O30927" s="28"/>
      <c r="U30927" s="28"/>
    </row>
    <row r="30928">
      <c r="N30928" s="28"/>
      <c r="O30928" s="28"/>
      <c r="U30928" s="28"/>
    </row>
    <row r="30929">
      <c r="N30929" s="28"/>
      <c r="O30929" s="28"/>
      <c r="U30929" s="28"/>
    </row>
    <row r="30930">
      <c r="N30930" s="28"/>
      <c r="O30930" s="28"/>
      <c r="U30930" s="28"/>
    </row>
    <row r="30931">
      <c r="N30931" s="28"/>
      <c r="O30931" s="28"/>
      <c r="U30931" s="28"/>
    </row>
    <row r="30932">
      <c r="N30932" s="28"/>
      <c r="O30932" s="28"/>
      <c r="U30932" s="28"/>
    </row>
    <row r="30933">
      <c r="N30933" s="28"/>
      <c r="O30933" s="28"/>
      <c r="U30933" s="28"/>
    </row>
    <row r="30934">
      <c r="N30934" s="28"/>
      <c r="O30934" s="28"/>
      <c r="U30934" s="28"/>
    </row>
    <row r="30935">
      <c r="N30935" s="28"/>
      <c r="O30935" s="28"/>
      <c r="U30935" s="28"/>
    </row>
    <row r="30936">
      <c r="N30936" s="28"/>
      <c r="O30936" s="28"/>
      <c r="U30936" s="28"/>
    </row>
    <row r="30937">
      <c r="N30937" s="28"/>
      <c r="O30937" s="28"/>
      <c r="U30937" s="28"/>
    </row>
    <row r="30938">
      <c r="N30938" s="28"/>
      <c r="O30938" s="28"/>
      <c r="U30938" s="28"/>
    </row>
    <row r="30939">
      <c r="N30939" s="28"/>
      <c r="O30939" s="28"/>
      <c r="U30939" s="28"/>
    </row>
    <row r="30940">
      <c r="N30940" s="28"/>
      <c r="O30940" s="28"/>
      <c r="U30940" s="28"/>
    </row>
    <row r="30941">
      <c r="N30941" s="28"/>
      <c r="O30941" s="28"/>
      <c r="U30941" s="28"/>
    </row>
    <row r="30942">
      <c r="N30942" s="28"/>
      <c r="O30942" s="28"/>
      <c r="U30942" s="28"/>
    </row>
    <row r="30943">
      <c r="N30943" s="28"/>
      <c r="O30943" s="28"/>
      <c r="U30943" s="28"/>
    </row>
    <row r="30944">
      <c r="N30944" s="28"/>
      <c r="O30944" s="28"/>
      <c r="U30944" s="28"/>
    </row>
    <row r="30945">
      <c r="N30945" s="28"/>
      <c r="O30945" s="28"/>
      <c r="U30945" s="28"/>
    </row>
    <row r="30946">
      <c r="N30946" s="28"/>
      <c r="O30946" s="28"/>
      <c r="U30946" s="28"/>
    </row>
    <row r="30947">
      <c r="N30947" s="28"/>
      <c r="O30947" s="28"/>
      <c r="U30947" s="28"/>
    </row>
    <row r="30948">
      <c r="N30948" s="28"/>
      <c r="O30948" s="28"/>
      <c r="U30948" s="28"/>
    </row>
    <row r="30949">
      <c r="N30949" s="28"/>
      <c r="O30949" s="28"/>
      <c r="U30949" s="28"/>
    </row>
    <row r="30950">
      <c r="N30950" s="28"/>
      <c r="O30950" s="28"/>
      <c r="U30950" s="28"/>
    </row>
    <row r="30951">
      <c r="N30951" s="28"/>
      <c r="O30951" s="28"/>
      <c r="U30951" s="28"/>
    </row>
    <row r="30952">
      <c r="N30952" s="28"/>
      <c r="O30952" s="28"/>
      <c r="U30952" s="28"/>
    </row>
    <row r="30953">
      <c r="N30953" s="28"/>
      <c r="O30953" s="28"/>
      <c r="U30953" s="28"/>
    </row>
    <row r="30954">
      <c r="N30954" s="28"/>
      <c r="O30954" s="28"/>
      <c r="U30954" s="28"/>
    </row>
    <row r="30955">
      <c r="N30955" s="28"/>
      <c r="O30955" s="28"/>
      <c r="U30955" s="28"/>
    </row>
    <row r="30956">
      <c r="N30956" s="28"/>
      <c r="O30956" s="28"/>
      <c r="U30956" s="28"/>
    </row>
    <row r="30957">
      <c r="N30957" s="28"/>
      <c r="O30957" s="28"/>
      <c r="U30957" s="28"/>
    </row>
    <row r="30958">
      <c r="N30958" s="28"/>
      <c r="O30958" s="28"/>
      <c r="U30958" s="28"/>
    </row>
    <row r="30959">
      <c r="N30959" s="28"/>
      <c r="O30959" s="28"/>
      <c r="U30959" s="28"/>
    </row>
    <row r="30960">
      <c r="N30960" s="28"/>
      <c r="O30960" s="28"/>
      <c r="U30960" s="28"/>
    </row>
    <row r="30961">
      <c r="N30961" s="28"/>
      <c r="O30961" s="28"/>
      <c r="U30961" s="28"/>
    </row>
    <row r="30962">
      <c r="N30962" s="28"/>
      <c r="O30962" s="28"/>
      <c r="U30962" s="28"/>
    </row>
    <row r="30963">
      <c r="N30963" s="28"/>
      <c r="O30963" s="28"/>
      <c r="U30963" s="28"/>
    </row>
    <row r="30964">
      <c r="N30964" s="28"/>
      <c r="O30964" s="28"/>
      <c r="U30964" s="28"/>
    </row>
    <row r="30965">
      <c r="N30965" s="28"/>
      <c r="O30965" s="28"/>
      <c r="U30965" s="28"/>
    </row>
    <row r="30966">
      <c r="N30966" s="28"/>
      <c r="O30966" s="28"/>
      <c r="U30966" s="28"/>
    </row>
    <row r="30967">
      <c r="N30967" s="28"/>
      <c r="O30967" s="28"/>
      <c r="U30967" s="28"/>
    </row>
    <row r="30968">
      <c r="N30968" s="28"/>
      <c r="O30968" s="28"/>
      <c r="U30968" s="28"/>
    </row>
    <row r="30969">
      <c r="N30969" s="28"/>
      <c r="O30969" s="28"/>
      <c r="U30969" s="28"/>
    </row>
    <row r="30970">
      <c r="N30970" s="28"/>
      <c r="O30970" s="28"/>
      <c r="U30970" s="28"/>
    </row>
    <row r="30971">
      <c r="N30971" s="28"/>
      <c r="O30971" s="28"/>
      <c r="U30971" s="28"/>
    </row>
    <row r="30972">
      <c r="N30972" s="28"/>
      <c r="O30972" s="28"/>
      <c r="U30972" s="28"/>
    </row>
    <row r="30973">
      <c r="N30973" s="28"/>
      <c r="O30973" s="28"/>
      <c r="U30973" s="28"/>
    </row>
    <row r="30974">
      <c r="N30974" s="28"/>
      <c r="O30974" s="28"/>
      <c r="U30974" s="28"/>
    </row>
    <row r="30975">
      <c r="N30975" s="28"/>
      <c r="O30975" s="28"/>
      <c r="U30975" s="28"/>
    </row>
    <row r="30976">
      <c r="N30976" s="28"/>
      <c r="O30976" s="28"/>
      <c r="U30976" s="28"/>
    </row>
    <row r="30977">
      <c r="N30977" s="28"/>
      <c r="O30977" s="28"/>
      <c r="U30977" s="28"/>
    </row>
    <row r="30978">
      <c r="N30978" s="28"/>
      <c r="O30978" s="28"/>
      <c r="U30978" s="28"/>
    </row>
    <row r="30979">
      <c r="N30979" s="28"/>
      <c r="O30979" s="28"/>
      <c r="U30979" s="28"/>
    </row>
    <row r="30980">
      <c r="N30980" s="28"/>
      <c r="O30980" s="28"/>
      <c r="U30980" s="28"/>
    </row>
    <row r="30981">
      <c r="N30981" s="28"/>
      <c r="O30981" s="28"/>
      <c r="U30981" s="28"/>
    </row>
    <row r="30982">
      <c r="N30982" s="28"/>
      <c r="O30982" s="28"/>
      <c r="U30982" s="28"/>
    </row>
    <row r="30983">
      <c r="N30983" s="28"/>
      <c r="O30983" s="28"/>
      <c r="U30983" s="28"/>
    </row>
    <row r="30984">
      <c r="N30984" s="28"/>
      <c r="O30984" s="28"/>
      <c r="U30984" s="28"/>
    </row>
    <row r="30985">
      <c r="N30985" s="28"/>
      <c r="O30985" s="28"/>
      <c r="U30985" s="28"/>
    </row>
    <row r="30986">
      <c r="N30986" s="28"/>
      <c r="O30986" s="28"/>
      <c r="U30986" s="28"/>
    </row>
    <row r="30987">
      <c r="N30987" s="28"/>
      <c r="O30987" s="28"/>
      <c r="U30987" s="28"/>
    </row>
    <row r="30988">
      <c r="N30988" s="28"/>
      <c r="O30988" s="28"/>
      <c r="U30988" s="28"/>
    </row>
    <row r="30989">
      <c r="N30989" s="28"/>
      <c r="O30989" s="28"/>
      <c r="U30989" s="28"/>
    </row>
    <row r="30990">
      <c r="N30990" s="28"/>
      <c r="O30990" s="28"/>
      <c r="U30990" s="28"/>
    </row>
    <row r="30991">
      <c r="N30991" s="28"/>
      <c r="O30991" s="28"/>
      <c r="U30991" s="28"/>
    </row>
    <row r="30992">
      <c r="N30992" s="28"/>
      <c r="O30992" s="28"/>
      <c r="U30992" s="28"/>
    </row>
    <row r="30993">
      <c r="N30993" s="28"/>
      <c r="O30993" s="28"/>
      <c r="U30993" s="28"/>
    </row>
    <row r="30994">
      <c r="N30994" s="28"/>
      <c r="O30994" s="28"/>
      <c r="U30994" s="28"/>
    </row>
    <row r="30995">
      <c r="N30995" s="28"/>
      <c r="O30995" s="28"/>
      <c r="U30995" s="28"/>
    </row>
    <row r="30996">
      <c r="N30996" s="28"/>
      <c r="O30996" s="28"/>
      <c r="U30996" s="28"/>
    </row>
    <row r="30997">
      <c r="N30997" s="28"/>
      <c r="O30997" s="28"/>
      <c r="U30997" s="28"/>
    </row>
    <row r="30998">
      <c r="N30998" s="28"/>
      <c r="O30998" s="28"/>
      <c r="U30998" s="28"/>
    </row>
    <row r="30999">
      <c r="N30999" s="28"/>
      <c r="O30999" s="28"/>
      <c r="U30999" s="28"/>
    </row>
    <row r="31000">
      <c r="N31000" s="28"/>
      <c r="O31000" s="28"/>
      <c r="U31000" s="28"/>
    </row>
    <row r="31001">
      <c r="N31001" s="28"/>
      <c r="O31001" s="28"/>
      <c r="U31001" s="28"/>
    </row>
    <row r="31002">
      <c r="N31002" s="28"/>
      <c r="O31002" s="28"/>
      <c r="U31002" s="28"/>
    </row>
    <row r="31003">
      <c r="N31003" s="28"/>
      <c r="O31003" s="28"/>
      <c r="U31003" s="28"/>
    </row>
    <row r="31004">
      <c r="N31004" s="28"/>
      <c r="O31004" s="28"/>
      <c r="U31004" s="28"/>
    </row>
    <row r="31005">
      <c r="N31005" s="28"/>
      <c r="O31005" s="28"/>
      <c r="U31005" s="28"/>
    </row>
    <row r="31006">
      <c r="N31006" s="28"/>
      <c r="O31006" s="28"/>
      <c r="U31006" s="28"/>
    </row>
    <row r="31007">
      <c r="N31007" s="28"/>
      <c r="O31007" s="28"/>
      <c r="U31007" s="28"/>
    </row>
    <row r="31008">
      <c r="N31008" s="28"/>
      <c r="O31008" s="28"/>
      <c r="U31008" s="28"/>
    </row>
    <row r="31009">
      <c r="N31009" s="28"/>
      <c r="O31009" s="28"/>
      <c r="U31009" s="28"/>
    </row>
    <row r="31010">
      <c r="N31010" s="28"/>
      <c r="O31010" s="28"/>
      <c r="U31010" s="28"/>
    </row>
    <row r="31011">
      <c r="N31011" s="28"/>
      <c r="O31011" s="28"/>
      <c r="U31011" s="28"/>
    </row>
    <row r="31012">
      <c r="N31012" s="28"/>
      <c r="O31012" s="28"/>
      <c r="U31012" s="28"/>
    </row>
    <row r="31013">
      <c r="N31013" s="28"/>
      <c r="O31013" s="28"/>
      <c r="U31013" s="28"/>
    </row>
    <row r="31014">
      <c r="N31014" s="28"/>
      <c r="O31014" s="28"/>
      <c r="U31014" s="28"/>
    </row>
    <row r="31015">
      <c r="N31015" s="28"/>
      <c r="O31015" s="28"/>
      <c r="U31015" s="28"/>
    </row>
    <row r="31016">
      <c r="N31016" s="28"/>
      <c r="O31016" s="28"/>
      <c r="U31016" s="28"/>
    </row>
    <row r="31017">
      <c r="N31017" s="28"/>
      <c r="O31017" s="28"/>
      <c r="U31017" s="28"/>
    </row>
    <row r="31018">
      <c r="N31018" s="28"/>
      <c r="O31018" s="28"/>
      <c r="U31018" s="28"/>
    </row>
    <row r="31019">
      <c r="N31019" s="28"/>
      <c r="O31019" s="28"/>
      <c r="U31019" s="28"/>
    </row>
    <row r="31020">
      <c r="N31020" s="28"/>
      <c r="O31020" s="28"/>
      <c r="U31020" s="28"/>
    </row>
    <row r="31021">
      <c r="N31021" s="28"/>
      <c r="O31021" s="28"/>
      <c r="U31021" s="28"/>
    </row>
    <row r="31022">
      <c r="N31022" s="28"/>
      <c r="O31022" s="28"/>
      <c r="U31022" s="28"/>
    </row>
    <row r="31023">
      <c r="N31023" s="28"/>
      <c r="O31023" s="28"/>
      <c r="U31023" s="28"/>
    </row>
    <row r="31024">
      <c r="N31024" s="28"/>
      <c r="O31024" s="28"/>
      <c r="U31024" s="28"/>
    </row>
    <row r="31025">
      <c r="N31025" s="28"/>
      <c r="O31025" s="28"/>
      <c r="U31025" s="28"/>
    </row>
    <row r="31026">
      <c r="N31026" s="28"/>
      <c r="O31026" s="28"/>
      <c r="U31026" s="28"/>
    </row>
    <row r="31027">
      <c r="N31027" s="28"/>
      <c r="O31027" s="28"/>
      <c r="U31027" s="28"/>
    </row>
    <row r="31028">
      <c r="N31028" s="28"/>
      <c r="O31028" s="28"/>
      <c r="U31028" s="28"/>
    </row>
    <row r="31029">
      <c r="N31029" s="28"/>
      <c r="O31029" s="28"/>
      <c r="U31029" s="28"/>
    </row>
    <row r="31030">
      <c r="N31030" s="28"/>
      <c r="O31030" s="28"/>
      <c r="U31030" s="28"/>
    </row>
    <row r="31031">
      <c r="N31031" s="28"/>
      <c r="O31031" s="28"/>
      <c r="U31031" s="28"/>
    </row>
    <row r="31032">
      <c r="N31032" s="28"/>
      <c r="O31032" s="28"/>
      <c r="U31032" s="28"/>
    </row>
    <row r="31033">
      <c r="N31033" s="28"/>
      <c r="O31033" s="28"/>
      <c r="U31033" s="28"/>
    </row>
    <row r="31034">
      <c r="N31034" s="28"/>
      <c r="O31034" s="28"/>
      <c r="U31034" s="28"/>
    </row>
    <row r="31035">
      <c r="N31035" s="28"/>
      <c r="O31035" s="28"/>
      <c r="U31035" s="28"/>
    </row>
    <row r="31036">
      <c r="N31036" s="28"/>
      <c r="O31036" s="28"/>
      <c r="U31036" s="28"/>
    </row>
    <row r="31037">
      <c r="N31037" s="28"/>
      <c r="O31037" s="28"/>
      <c r="U31037" s="28"/>
    </row>
    <row r="31038">
      <c r="N31038" s="28"/>
      <c r="O31038" s="28"/>
      <c r="U31038" s="28"/>
    </row>
    <row r="31039">
      <c r="N31039" s="28"/>
      <c r="O31039" s="28"/>
      <c r="U31039" s="28"/>
    </row>
    <row r="31040">
      <c r="N31040" s="28"/>
      <c r="O31040" s="28"/>
      <c r="U31040" s="28"/>
    </row>
    <row r="31041">
      <c r="N31041" s="28"/>
      <c r="O31041" s="28"/>
      <c r="U31041" s="28"/>
    </row>
    <row r="31042">
      <c r="N31042" s="28"/>
      <c r="O31042" s="28"/>
      <c r="U31042" s="28"/>
    </row>
    <row r="31043">
      <c r="N31043" s="28"/>
      <c r="O31043" s="28"/>
      <c r="U31043" s="28"/>
    </row>
    <row r="31044">
      <c r="N31044" s="28"/>
      <c r="O31044" s="28"/>
      <c r="U31044" s="28"/>
    </row>
    <row r="31045">
      <c r="N31045" s="28"/>
      <c r="O31045" s="28"/>
      <c r="U31045" s="28"/>
    </row>
    <row r="31046">
      <c r="N31046" s="28"/>
      <c r="O31046" s="28"/>
      <c r="U31046" s="28"/>
    </row>
    <row r="31047">
      <c r="N31047" s="28"/>
      <c r="O31047" s="28"/>
      <c r="U31047" s="28"/>
    </row>
    <row r="31048">
      <c r="N31048" s="28"/>
      <c r="O31048" s="28"/>
      <c r="U31048" s="28"/>
    </row>
    <row r="31049">
      <c r="N31049" s="28"/>
      <c r="O31049" s="28"/>
      <c r="U31049" s="28"/>
    </row>
    <row r="31050">
      <c r="N31050" s="28"/>
      <c r="O31050" s="28"/>
      <c r="U31050" s="28"/>
    </row>
    <row r="31051">
      <c r="N31051" s="28"/>
      <c r="O31051" s="28"/>
      <c r="U31051" s="28"/>
    </row>
    <row r="31052">
      <c r="N31052" s="28"/>
      <c r="O31052" s="28"/>
      <c r="U31052" s="28"/>
    </row>
    <row r="31053">
      <c r="N31053" s="28"/>
      <c r="O31053" s="28"/>
      <c r="U31053" s="28"/>
    </row>
    <row r="31054">
      <c r="N31054" s="28"/>
      <c r="O31054" s="28"/>
      <c r="U31054" s="28"/>
    </row>
    <row r="31055">
      <c r="N31055" s="28"/>
      <c r="O31055" s="28"/>
      <c r="U31055" s="28"/>
    </row>
    <row r="31056">
      <c r="N31056" s="28"/>
      <c r="O31056" s="28"/>
      <c r="U31056" s="28"/>
    </row>
    <row r="31057">
      <c r="N31057" s="28"/>
      <c r="O31057" s="28"/>
      <c r="U31057" s="28"/>
    </row>
    <row r="31058">
      <c r="N31058" s="28"/>
      <c r="O31058" s="28"/>
      <c r="U31058" s="28"/>
    </row>
    <row r="31059">
      <c r="N31059" s="28"/>
      <c r="O31059" s="28"/>
      <c r="U31059" s="28"/>
    </row>
    <row r="31060">
      <c r="N31060" s="28"/>
      <c r="O31060" s="28"/>
      <c r="U31060" s="28"/>
    </row>
    <row r="31061">
      <c r="N31061" s="28"/>
      <c r="O31061" s="28"/>
      <c r="U31061" s="28"/>
    </row>
    <row r="31062">
      <c r="N31062" s="28"/>
      <c r="O31062" s="28"/>
      <c r="U31062" s="28"/>
    </row>
    <row r="31063">
      <c r="N31063" s="28"/>
      <c r="O31063" s="28"/>
      <c r="U31063" s="28"/>
    </row>
    <row r="31064">
      <c r="N31064" s="28"/>
      <c r="O31064" s="28"/>
      <c r="U31064" s="28"/>
    </row>
    <row r="31065">
      <c r="N31065" s="28"/>
      <c r="O31065" s="28"/>
      <c r="U31065" s="28"/>
    </row>
    <row r="31066">
      <c r="N31066" s="28"/>
      <c r="O31066" s="28"/>
      <c r="U31066" s="28"/>
    </row>
    <row r="31067">
      <c r="N31067" s="28"/>
      <c r="O31067" s="28"/>
      <c r="U31067" s="28"/>
    </row>
    <row r="31068">
      <c r="N31068" s="28"/>
      <c r="O31068" s="28"/>
      <c r="U31068" s="28"/>
    </row>
    <row r="31069">
      <c r="N31069" s="28"/>
      <c r="O31069" s="28"/>
      <c r="U31069" s="28"/>
    </row>
    <row r="31070">
      <c r="N31070" s="28"/>
      <c r="O31070" s="28"/>
      <c r="U31070" s="28"/>
    </row>
    <row r="31071">
      <c r="N31071" s="28"/>
      <c r="O31071" s="28"/>
      <c r="U31071" s="28"/>
    </row>
    <row r="31072">
      <c r="N31072" s="28"/>
      <c r="O31072" s="28"/>
      <c r="U31072" s="28"/>
    </row>
    <row r="31073">
      <c r="N31073" s="28"/>
      <c r="O31073" s="28"/>
      <c r="U31073" s="28"/>
    </row>
    <row r="31074">
      <c r="N31074" s="28"/>
      <c r="O31074" s="28"/>
      <c r="U31074" s="28"/>
    </row>
    <row r="31075">
      <c r="N31075" s="28"/>
      <c r="O31075" s="28"/>
      <c r="U31075" s="28"/>
    </row>
    <row r="31076">
      <c r="N31076" s="28"/>
      <c r="O31076" s="28"/>
      <c r="U31076" s="28"/>
    </row>
    <row r="31077">
      <c r="N31077" s="28"/>
      <c r="O31077" s="28"/>
      <c r="U31077" s="28"/>
    </row>
    <row r="31078">
      <c r="N31078" s="28"/>
      <c r="O31078" s="28"/>
      <c r="U31078" s="28"/>
    </row>
    <row r="31079">
      <c r="N31079" s="28"/>
      <c r="O31079" s="28"/>
      <c r="U31079" s="28"/>
    </row>
    <row r="31080">
      <c r="N31080" s="28"/>
      <c r="O31080" s="28"/>
      <c r="U31080" s="28"/>
    </row>
    <row r="31081">
      <c r="N31081" s="28"/>
      <c r="O31081" s="28"/>
      <c r="U31081" s="28"/>
    </row>
    <row r="31082">
      <c r="N31082" s="28"/>
      <c r="O31082" s="28"/>
      <c r="U31082" s="28"/>
    </row>
    <row r="31083">
      <c r="N31083" s="28"/>
      <c r="O31083" s="28"/>
      <c r="U31083" s="28"/>
    </row>
    <row r="31084">
      <c r="N31084" s="28"/>
      <c r="O31084" s="28"/>
      <c r="U31084" s="28"/>
    </row>
    <row r="31085">
      <c r="N31085" s="28"/>
      <c r="O31085" s="28"/>
      <c r="U31085" s="28"/>
    </row>
    <row r="31086">
      <c r="N31086" s="28"/>
      <c r="O31086" s="28"/>
      <c r="U31086" s="28"/>
    </row>
    <row r="31087">
      <c r="N31087" s="28"/>
      <c r="O31087" s="28"/>
      <c r="U31087" s="28"/>
    </row>
    <row r="31088">
      <c r="N31088" s="28"/>
      <c r="O31088" s="28"/>
      <c r="U31088" s="28"/>
    </row>
    <row r="31089">
      <c r="N31089" s="28"/>
      <c r="O31089" s="28"/>
      <c r="U31089" s="28"/>
    </row>
    <row r="31090">
      <c r="N31090" s="28"/>
      <c r="O31090" s="28"/>
      <c r="U31090" s="28"/>
    </row>
    <row r="31091">
      <c r="N31091" s="28"/>
      <c r="O31091" s="28"/>
      <c r="U31091" s="28"/>
    </row>
    <row r="31092">
      <c r="N31092" s="28"/>
      <c r="O31092" s="28"/>
      <c r="U31092" s="28"/>
    </row>
    <row r="31093">
      <c r="N31093" s="28"/>
      <c r="O31093" s="28"/>
      <c r="U31093" s="28"/>
    </row>
    <row r="31094">
      <c r="N31094" s="28"/>
      <c r="O31094" s="28"/>
      <c r="U31094" s="28"/>
    </row>
    <row r="31095">
      <c r="N31095" s="28"/>
      <c r="O31095" s="28"/>
      <c r="U31095" s="28"/>
    </row>
    <row r="31096">
      <c r="N31096" s="28"/>
      <c r="O31096" s="28"/>
      <c r="U31096" s="28"/>
    </row>
    <row r="31097">
      <c r="N31097" s="28"/>
      <c r="O31097" s="28"/>
      <c r="U31097" s="28"/>
    </row>
    <row r="31098">
      <c r="N31098" s="28"/>
      <c r="O31098" s="28"/>
      <c r="U31098" s="28"/>
    </row>
    <row r="31099">
      <c r="N31099" s="28"/>
      <c r="O31099" s="28"/>
      <c r="U31099" s="28"/>
    </row>
    <row r="31100">
      <c r="N31100" s="28"/>
      <c r="O31100" s="28"/>
      <c r="U31100" s="28"/>
    </row>
    <row r="31101">
      <c r="N31101" s="28"/>
      <c r="O31101" s="28"/>
      <c r="U31101" s="28"/>
    </row>
    <row r="31102">
      <c r="N31102" s="28"/>
      <c r="O31102" s="28"/>
      <c r="U31102" s="28"/>
    </row>
    <row r="31103">
      <c r="N31103" s="28"/>
      <c r="O31103" s="28"/>
      <c r="U31103" s="28"/>
    </row>
    <row r="31104">
      <c r="N31104" s="28"/>
      <c r="O31104" s="28"/>
      <c r="U31104" s="28"/>
    </row>
    <row r="31105">
      <c r="N31105" s="28"/>
      <c r="O31105" s="28"/>
      <c r="U31105" s="28"/>
    </row>
    <row r="31106">
      <c r="N31106" s="28"/>
      <c r="O31106" s="28"/>
      <c r="U31106" s="28"/>
    </row>
    <row r="31107">
      <c r="N31107" s="28"/>
      <c r="O31107" s="28"/>
      <c r="U31107" s="28"/>
    </row>
    <row r="31108">
      <c r="N31108" s="28"/>
      <c r="O31108" s="28"/>
      <c r="U31108" s="28"/>
    </row>
    <row r="31109">
      <c r="N31109" s="28"/>
      <c r="O31109" s="28"/>
      <c r="U31109" s="28"/>
    </row>
    <row r="31110">
      <c r="N31110" s="28"/>
      <c r="O31110" s="28"/>
      <c r="U31110" s="28"/>
    </row>
    <row r="31111">
      <c r="N31111" s="28"/>
      <c r="O31111" s="28"/>
      <c r="U31111" s="28"/>
    </row>
    <row r="31112">
      <c r="N31112" s="28"/>
      <c r="O31112" s="28"/>
      <c r="U31112" s="28"/>
    </row>
    <row r="31113">
      <c r="N31113" s="28"/>
      <c r="O31113" s="28"/>
      <c r="U31113" s="28"/>
    </row>
    <row r="31114">
      <c r="N31114" s="28"/>
      <c r="O31114" s="28"/>
      <c r="U31114" s="28"/>
    </row>
    <row r="31115">
      <c r="N31115" s="28"/>
      <c r="O31115" s="28"/>
      <c r="U31115" s="28"/>
    </row>
    <row r="31116">
      <c r="N31116" s="28"/>
      <c r="O31116" s="28"/>
      <c r="U31116" s="28"/>
    </row>
    <row r="31117">
      <c r="N31117" s="28"/>
      <c r="O31117" s="28"/>
      <c r="U31117" s="28"/>
    </row>
    <row r="31118">
      <c r="N31118" s="28"/>
      <c r="O31118" s="28"/>
      <c r="U31118" s="28"/>
    </row>
    <row r="31119">
      <c r="N31119" s="28"/>
      <c r="O31119" s="28"/>
      <c r="U31119" s="28"/>
    </row>
    <row r="31120">
      <c r="N31120" s="28"/>
      <c r="O31120" s="28"/>
      <c r="U31120" s="28"/>
    </row>
    <row r="31121">
      <c r="N31121" s="28"/>
      <c r="O31121" s="28"/>
      <c r="U31121" s="28"/>
    </row>
    <row r="31122">
      <c r="N31122" s="28"/>
      <c r="O31122" s="28"/>
      <c r="U31122" s="28"/>
    </row>
    <row r="31123">
      <c r="N31123" s="28"/>
      <c r="O31123" s="28"/>
      <c r="U31123" s="28"/>
    </row>
    <row r="31124">
      <c r="N31124" s="28"/>
      <c r="O31124" s="28"/>
      <c r="U31124" s="28"/>
    </row>
    <row r="31125">
      <c r="N31125" s="28"/>
      <c r="O31125" s="28"/>
      <c r="U31125" s="28"/>
    </row>
    <row r="31126">
      <c r="N31126" s="28"/>
      <c r="O31126" s="28"/>
      <c r="U31126" s="28"/>
    </row>
    <row r="31127">
      <c r="N31127" s="28"/>
      <c r="O31127" s="28"/>
      <c r="U31127" s="28"/>
    </row>
    <row r="31128">
      <c r="N31128" s="28"/>
      <c r="O31128" s="28"/>
      <c r="U31128" s="28"/>
    </row>
    <row r="31129">
      <c r="N31129" s="28"/>
      <c r="O31129" s="28"/>
      <c r="U31129" s="28"/>
    </row>
    <row r="31130">
      <c r="N31130" s="28"/>
      <c r="O31130" s="28"/>
      <c r="U31130" s="28"/>
    </row>
    <row r="31131">
      <c r="N31131" s="28"/>
      <c r="O31131" s="28"/>
      <c r="U31131" s="28"/>
    </row>
    <row r="31132">
      <c r="N31132" s="28"/>
      <c r="O31132" s="28"/>
      <c r="U31132" s="28"/>
    </row>
    <row r="31133">
      <c r="N31133" s="28"/>
      <c r="O31133" s="28"/>
      <c r="U31133" s="28"/>
    </row>
    <row r="31134">
      <c r="N31134" s="28"/>
      <c r="O31134" s="28"/>
      <c r="U31134" s="28"/>
    </row>
    <row r="31135">
      <c r="N31135" s="28"/>
      <c r="O31135" s="28"/>
      <c r="U31135" s="28"/>
    </row>
    <row r="31136">
      <c r="N31136" s="28"/>
      <c r="O31136" s="28"/>
      <c r="U31136" s="28"/>
    </row>
    <row r="31137">
      <c r="N31137" s="28"/>
      <c r="O31137" s="28"/>
      <c r="U31137" s="28"/>
    </row>
    <row r="31138">
      <c r="N31138" s="28"/>
      <c r="O31138" s="28"/>
      <c r="U31138" s="28"/>
    </row>
    <row r="31139">
      <c r="N31139" s="28"/>
      <c r="O31139" s="28"/>
      <c r="U31139" s="28"/>
    </row>
    <row r="31140">
      <c r="N31140" s="28"/>
      <c r="O31140" s="28"/>
      <c r="U31140" s="28"/>
    </row>
    <row r="31141">
      <c r="N31141" s="28"/>
      <c r="O31141" s="28"/>
      <c r="U31141" s="28"/>
    </row>
    <row r="31142">
      <c r="N31142" s="28"/>
      <c r="O31142" s="28"/>
      <c r="U31142" s="28"/>
    </row>
    <row r="31143">
      <c r="N31143" s="28"/>
      <c r="O31143" s="28"/>
      <c r="U31143" s="28"/>
    </row>
    <row r="31144">
      <c r="N31144" s="28"/>
      <c r="O31144" s="28"/>
      <c r="U31144" s="28"/>
    </row>
    <row r="31145">
      <c r="N31145" s="28"/>
      <c r="O31145" s="28"/>
      <c r="U31145" s="28"/>
    </row>
    <row r="31146">
      <c r="N31146" s="28"/>
      <c r="O31146" s="28"/>
      <c r="U31146" s="28"/>
    </row>
    <row r="31147">
      <c r="N31147" s="28"/>
      <c r="O31147" s="28"/>
      <c r="U31147" s="28"/>
    </row>
    <row r="31148">
      <c r="N31148" s="28"/>
      <c r="O31148" s="28"/>
      <c r="U31148" s="28"/>
    </row>
    <row r="31149">
      <c r="N31149" s="28"/>
      <c r="O31149" s="28"/>
      <c r="U31149" s="28"/>
    </row>
    <row r="31150">
      <c r="N31150" s="28"/>
      <c r="O31150" s="28"/>
      <c r="U31150" s="28"/>
    </row>
    <row r="31151">
      <c r="N31151" s="28"/>
      <c r="O31151" s="28"/>
      <c r="U31151" s="28"/>
    </row>
    <row r="31152">
      <c r="N31152" s="28"/>
      <c r="O31152" s="28"/>
      <c r="U31152" s="28"/>
    </row>
    <row r="31153">
      <c r="N31153" s="28"/>
      <c r="O31153" s="28"/>
      <c r="U31153" s="28"/>
    </row>
    <row r="31154">
      <c r="N31154" s="28"/>
      <c r="O31154" s="28"/>
      <c r="U31154" s="28"/>
    </row>
    <row r="31155">
      <c r="N31155" s="28"/>
      <c r="O31155" s="28"/>
      <c r="U31155" s="28"/>
    </row>
    <row r="31156">
      <c r="N31156" s="28"/>
      <c r="O31156" s="28"/>
      <c r="U31156" s="28"/>
    </row>
    <row r="31157">
      <c r="N31157" s="28"/>
      <c r="O31157" s="28"/>
      <c r="U31157" s="28"/>
    </row>
    <row r="31158">
      <c r="N31158" s="28"/>
      <c r="O31158" s="28"/>
      <c r="U31158" s="28"/>
    </row>
    <row r="31159">
      <c r="N31159" s="28"/>
      <c r="O31159" s="28"/>
      <c r="U31159" s="28"/>
    </row>
    <row r="31160">
      <c r="N31160" s="28"/>
      <c r="O31160" s="28"/>
      <c r="U31160" s="28"/>
    </row>
    <row r="31161">
      <c r="N31161" s="28"/>
      <c r="O31161" s="28"/>
      <c r="U31161" s="28"/>
    </row>
    <row r="31162">
      <c r="N31162" s="28"/>
      <c r="O31162" s="28"/>
      <c r="U31162" s="28"/>
    </row>
    <row r="31163">
      <c r="N31163" s="28"/>
      <c r="O31163" s="28"/>
      <c r="U31163" s="28"/>
    </row>
    <row r="31164">
      <c r="N31164" s="28"/>
      <c r="O31164" s="28"/>
      <c r="U31164" s="28"/>
    </row>
    <row r="31165">
      <c r="N31165" s="28"/>
      <c r="O31165" s="28"/>
      <c r="U31165" s="28"/>
    </row>
    <row r="31166">
      <c r="N31166" s="28"/>
      <c r="O31166" s="28"/>
      <c r="U31166" s="28"/>
    </row>
    <row r="31167">
      <c r="N31167" s="28"/>
      <c r="O31167" s="28"/>
      <c r="U31167" s="28"/>
    </row>
    <row r="31168">
      <c r="N31168" s="28"/>
      <c r="O31168" s="28"/>
      <c r="U31168" s="28"/>
    </row>
    <row r="31169">
      <c r="N31169" s="28"/>
      <c r="O31169" s="28"/>
      <c r="U31169" s="28"/>
    </row>
    <row r="31170">
      <c r="N31170" s="28"/>
      <c r="O31170" s="28"/>
      <c r="U31170" s="28"/>
    </row>
    <row r="31171">
      <c r="N31171" s="28"/>
      <c r="O31171" s="28"/>
      <c r="U31171" s="28"/>
    </row>
    <row r="31172">
      <c r="N31172" s="28"/>
      <c r="O31172" s="28"/>
      <c r="U31172" s="28"/>
    </row>
    <row r="31173">
      <c r="N31173" s="28"/>
      <c r="O31173" s="28"/>
      <c r="U31173" s="28"/>
    </row>
    <row r="31174">
      <c r="N31174" s="28"/>
      <c r="O31174" s="28"/>
      <c r="U31174" s="28"/>
    </row>
    <row r="31175">
      <c r="N31175" s="28"/>
      <c r="O31175" s="28"/>
      <c r="U31175" s="28"/>
    </row>
    <row r="31176">
      <c r="N31176" s="28"/>
      <c r="O31176" s="28"/>
      <c r="U31176" s="28"/>
    </row>
    <row r="31177">
      <c r="N31177" s="28"/>
      <c r="O31177" s="28"/>
      <c r="U31177" s="28"/>
    </row>
    <row r="31178">
      <c r="N31178" s="28"/>
      <c r="O31178" s="28"/>
      <c r="U31178" s="28"/>
    </row>
    <row r="31179">
      <c r="N31179" s="28"/>
      <c r="O31179" s="28"/>
      <c r="U31179" s="28"/>
    </row>
    <row r="31180">
      <c r="N31180" s="28"/>
      <c r="O31180" s="28"/>
      <c r="U31180" s="28"/>
    </row>
    <row r="31181">
      <c r="N31181" s="28"/>
      <c r="O31181" s="28"/>
      <c r="U31181" s="28"/>
    </row>
    <row r="31182">
      <c r="N31182" s="28"/>
      <c r="O31182" s="28"/>
      <c r="U31182" s="28"/>
    </row>
    <row r="31183">
      <c r="N31183" s="28"/>
      <c r="O31183" s="28"/>
      <c r="U31183" s="28"/>
    </row>
    <row r="31184">
      <c r="N31184" s="28"/>
      <c r="O31184" s="28"/>
      <c r="U31184" s="28"/>
    </row>
    <row r="31185">
      <c r="N31185" s="28"/>
      <c r="O31185" s="28"/>
      <c r="U31185" s="28"/>
    </row>
    <row r="31186">
      <c r="N31186" s="28"/>
      <c r="O31186" s="28"/>
      <c r="U31186" s="28"/>
    </row>
    <row r="31187">
      <c r="N31187" s="28"/>
      <c r="O31187" s="28"/>
      <c r="U31187" s="28"/>
    </row>
    <row r="31188">
      <c r="N31188" s="28"/>
      <c r="O31188" s="28"/>
      <c r="U31188" s="28"/>
    </row>
    <row r="31189">
      <c r="N31189" s="28"/>
      <c r="O31189" s="28"/>
      <c r="U31189" s="28"/>
    </row>
    <row r="31190">
      <c r="N31190" s="28"/>
      <c r="O31190" s="28"/>
      <c r="U31190" s="28"/>
    </row>
    <row r="31191">
      <c r="N31191" s="28"/>
      <c r="O31191" s="28"/>
      <c r="U31191" s="28"/>
    </row>
    <row r="31192">
      <c r="N31192" s="28"/>
      <c r="O31192" s="28"/>
      <c r="U31192" s="28"/>
    </row>
    <row r="31193">
      <c r="N31193" s="28"/>
      <c r="O31193" s="28"/>
      <c r="U31193" s="28"/>
    </row>
    <row r="31194">
      <c r="N31194" s="28"/>
      <c r="O31194" s="28"/>
      <c r="U31194" s="28"/>
    </row>
    <row r="31195">
      <c r="N31195" s="28"/>
      <c r="O31195" s="28"/>
      <c r="U31195" s="28"/>
    </row>
    <row r="31196">
      <c r="N31196" s="28"/>
      <c r="O31196" s="28"/>
      <c r="U31196" s="28"/>
    </row>
    <row r="31197">
      <c r="N31197" s="28"/>
      <c r="O31197" s="28"/>
      <c r="U31197" s="28"/>
    </row>
    <row r="31198">
      <c r="N31198" s="28"/>
      <c r="O31198" s="28"/>
      <c r="U31198" s="28"/>
    </row>
    <row r="31199">
      <c r="N31199" s="28"/>
      <c r="O31199" s="28"/>
      <c r="U31199" s="28"/>
    </row>
    <row r="31200">
      <c r="N31200" s="28"/>
      <c r="O31200" s="28"/>
      <c r="U31200" s="28"/>
    </row>
    <row r="31201">
      <c r="N31201" s="28"/>
      <c r="O31201" s="28"/>
      <c r="U31201" s="28"/>
    </row>
    <row r="31202">
      <c r="N31202" s="28"/>
      <c r="O31202" s="28"/>
      <c r="U31202" s="28"/>
    </row>
    <row r="31203">
      <c r="N31203" s="28"/>
      <c r="O31203" s="28"/>
      <c r="U31203" s="28"/>
    </row>
    <row r="31204">
      <c r="N31204" s="28"/>
      <c r="O31204" s="28"/>
      <c r="U31204" s="28"/>
    </row>
    <row r="31205">
      <c r="N31205" s="28"/>
      <c r="O31205" s="28"/>
      <c r="U31205" s="28"/>
    </row>
    <row r="31206">
      <c r="N31206" s="28"/>
      <c r="O31206" s="28"/>
      <c r="U31206" s="28"/>
    </row>
    <row r="31207">
      <c r="N31207" s="28"/>
      <c r="O31207" s="28"/>
      <c r="U31207" s="28"/>
    </row>
    <row r="31208">
      <c r="N31208" s="28"/>
      <c r="O31208" s="28"/>
      <c r="U31208" s="28"/>
    </row>
    <row r="31209">
      <c r="N31209" s="28"/>
      <c r="O31209" s="28"/>
      <c r="U31209" s="28"/>
    </row>
    <row r="31210">
      <c r="N31210" s="28"/>
      <c r="O31210" s="28"/>
      <c r="U31210" s="28"/>
    </row>
    <row r="31211">
      <c r="N31211" s="28"/>
      <c r="O31211" s="28"/>
      <c r="U31211" s="28"/>
    </row>
    <row r="31212">
      <c r="N31212" s="28"/>
      <c r="O31212" s="28"/>
      <c r="U31212" s="28"/>
    </row>
    <row r="31213">
      <c r="N31213" s="28"/>
      <c r="O31213" s="28"/>
      <c r="U31213" s="28"/>
    </row>
    <row r="31214">
      <c r="N31214" s="28"/>
      <c r="O31214" s="28"/>
      <c r="U31214" s="28"/>
    </row>
    <row r="31215">
      <c r="N31215" s="28"/>
      <c r="O31215" s="28"/>
      <c r="U31215" s="28"/>
    </row>
    <row r="31216">
      <c r="N31216" s="28"/>
      <c r="O31216" s="28"/>
      <c r="U31216" s="28"/>
    </row>
    <row r="31217">
      <c r="N31217" s="28"/>
      <c r="O31217" s="28"/>
      <c r="U31217" s="28"/>
    </row>
    <row r="31218">
      <c r="N31218" s="28"/>
      <c r="O31218" s="28"/>
      <c r="U31218" s="28"/>
    </row>
    <row r="31219">
      <c r="N31219" s="28"/>
      <c r="O31219" s="28"/>
      <c r="U31219" s="28"/>
    </row>
    <row r="31220">
      <c r="N31220" s="28"/>
      <c r="O31220" s="28"/>
      <c r="U31220" s="28"/>
    </row>
    <row r="31221">
      <c r="N31221" s="28"/>
      <c r="O31221" s="28"/>
      <c r="U31221" s="28"/>
    </row>
    <row r="31222">
      <c r="N31222" s="28"/>
      <c r="O31222" s="28"/>
      <c r="U31222" s="28"/>
    </row>
    <row r="31223">
      <c r="N31223" s="28"/>
      <c r="O31223" s="28"/>
      <c r="U31223" s="28"/>
    </row>
    <row r="31224">
      <c r="N31224" s="28"/>
      <c r="O31224" s="28"/>
      <c r="U31224" s="28"/>
    </row>
    <row r="31225">
      <c r="N31225" s="28"/>
      <c r="O31225" s="28"/>
      <c r="U31225" s="28"/>
    </row>
    <row r="31226">
      <c r="N31226" s="28"/>
      <c r="O31226" s="28"/>
      <c r="U31226" s="28"/>
    </row>
    <row r="31227">
      <c r="N31227" s="28"/>
      <c r="O31227" s="28"/>
      <c r="U31227" s="28"/>
    </row>
    <row r="31228">
      <c r="N31228" s="28"/>
      <c r="O31228" s="28"/>
      <c r="U31228" s="28"/>
    </row>
    <row r="31229">
      <c r="N31229" s="28"/>
      <c r="O31229" s="28"/>
      <c r="U31229" s="28"/>
    </row>
    <row r="31230">
      <c r="N31230" s="28"/>
      <c r="O31230" s="28"/>
      <c r="U31230" s="28"/>
    </row>
    <row r="31231">
      <c r="N31231" s="28"/>
      <c r="O31231" s="28"/>
      <c r="U31231" s="28"/>
    </row>
    <row r="31232">
      <c r="N31232" s="28"/>
      <c r="O31232" s="28"/>
      <c r="U31232" s="28"/>
    </row>
    <row r="31233">
      <c r="N31233" s="28"/>
      <c r="O31233" s="28"/>
      <c r="U31233" s="28"/>
    </row>
    <row r="31234">
      <c r="N31234" s="28"/>
      <c r="O31234" s="28"/>
      <c r="U31234" s="28"/>
    </row>
    <row r="31235">
      <c r="N31235" s="28"/>
      <c r="O31235" s="28"/>
      <c r="U31235" s="28"/>
    </row>
    <row r="31236">
      <c r="N31236" s="28"/>
      <c r="O31236" s="28"/>
      <c r="U31236" s="28"/>
    </row>
    <row r="31237">
      <c r="N31237" s="28"/>
      <c r="O31237" s="28"/>
      <c r="U31237" s="28"/>
    </row>
    <row r="31238">
      <c r="N31238" s="28"/>
      <c r="O31238" s="28"/>
      <c r="U31238" s="28"/>
    </row>
    <row r="31239">
      <c r="N31239" s="28"/>
      <c r="O31239" s="28"/>
      <c r="U31239" s="28"/>
    </row>
    <row r="31240">
      <c r="N31240" s="28"/>
      <c r="O31240" s="28"/>
      <c r="U31240" s="28"/>
    </row>
    <row r="31241">
      <c r="N31241" s="28"/>
      <c r="O31241" s="28"/>
      <c r="U31241" s="28"/>
    </row>
    <row r="31242">
      <c r="N31242" s="28"/>
      <c r="O31242" s="28"/>
      <c r="U31242" s="28"/>
    </row>
    <row r="31243">
      <c r="N31243" s="28"/>
      <c r="O31243" s="28"/>
      <c r="U31243" s="28"/>
    </row>
    <row r="31244">
      <c r="N31244" s="28"/>
      <c r="O31244" s="28"/>
      <c r="U31244" s="28"/>
    </row>
    <row r="31245">
      <c r="N31245" s="28"/>
      <c r="O31245" s="28"/>
      <c r="U31245" s="28"/>
    </row>
    <row r="31246">
      <c r="N31246" s="28"/>
      <c r="O31246" s="28"/>
      <c r="U31246" s="28"/>
    </row>
    <row r="31247">
      <c r="N31247" s="28"/>
      <c r="O31247" s="28"/>
      <c r="U31247" s="28"/>
    </row>
    <row r="31248">
      <c r="N31248" s="28"/>
      <c r="O31248" s="28"/>
      <c r="U31248" s="28"/>
    </row>
    <row r="31249">
      <c r="N31249" s="28"/>
      <c r="O31249" s="28"/>
      <c r="U31249" s="28"/>
    </row>
    <row r="31250">
      <c r="N31250" s="28"/>
      <c r="O31250" s="28"/>
      <c r="U31250" s="28"/>
    </row>
    <row r="31251">
      <c r="N31251" s="28"/>
      <c r="O31251" s="28"/>
      <c r="U31251" s="28"/>
    </row>
    <row r="31252">
      <c r="N31252" s="28"/>
      <c r="O31252" s="28"/>
      <c r="U31252" s="28"/>
    </row>
    <row r="31253">
      <c r="N31253" s="28"/>
      <c r="O31253" s="28"/>
      <c r="U31253" s="28"/>
    </row>
    <row r="31254">
      <c r="N31254" s="28"/>
      <c r="O31254" s="28"/>
      <c r="U31254" s="28"/>
    </row>
    <row r="31255">
      <c r="N31255" s="28"/>
      <c r="O31255" s="28"/>
      <c r="U31255" s="28"/>
    </row>
    <row r="31256">
      <c r="N31256" s="28"/>
      <c r="O31256" s="28"/>
      <c r="U31256" s="28"/>
    </row>
    <row r="31257">
      <c r="N31257" s="28"/>
      <c r="O31257" s="28"/>
      <c r="U31257" s="28"/>
    </row>
    <row r="31258">
      <c r="N31258" s="28"/>
      <c r="O31258" s="28"/>
      <c r="U31258" s="28"/>
    </row>
    <row r="31259">
      <c r="N31259" s="28"/>
      <c r="O31259" s="28"/>
      <c r="U31259" s="28"/>
    </row>
    <row r="31260">
      <c r="N31260" s="28"/>
      <c r="O31260" s="28"/>
      <c r="U31260" s="28"/>
    </row>
    <row r="31261">
      <c r="N31261" s="28"/>
      <c r="O31261" s="28"/>
      <c r="U31261" s="28"/>
    </row>
    <row r="31262">
      <c r="N31262" s="28"/>
      <c r="O31262" s="28"/>
      <c r="U31262" s="28"/>
    </row>
    <row r="31263">
      <c r="N31263" s="28"/>
      <c r="O31263" s="28"/>
      <c r="U31263" s="28"/>
    </row>
    <row r="31264">
      <c r="N31264" s="28"/>
      <c r="O31264" s="28"/>
      <c r="U31264" s="28"/>
    </row>
    <row r="31265">
      <c r="N31265" s="28"/>
      <c r="O31265" s="28"/>
      <c r="U31265" s="28"/>
    </row>
    <row r="31266">
      <c r="N31266" s="28"/>
      <c r="O31266" s="28"/>
      <c r="U31266" s="28"/>
    </row>
    <row r="31267">
      <c r="N31267" s="28"/>
      <c r="O31267" s="28"/>
      <c r="U31267" s="28"/>
    </row>
    <row r="31268">
      <c r="N31268" s="28"/>
      <c r="O31268" s="28"/>
      <c r="U31268" s="28"/>
    </row>
    <row r="31269">
      <c r="N31269" s="28"/>
      <c r="O31269" s="28"/>
      <c r="U31269" s="28"/>
    </row>
    <row r="31270">
      <c r="N31270" s="28"/>
      <c r="O31270" s="28"/>
      <c r="U31270" s="28"/>
    </row>
    <row r="31271">
      <c r="N31271" s="28"/>
      <c r="O31271" s="28"/>
      <c r="U31271" s="28"/>
    </row>
    <row r="31272">
      <c r="N31272" s="28"/>
      <c r="O31272" s="28"/>
      <c r="U31272" s="28"/>
    </row>
    <row r="31273">
      <c r="N31273" s="28"/>
      <c r="O31273" s="28"/>
      <c r="U31273" s="28"/>
    </row>
    <row r="31274">
      <c r="N31274" s="28"/>
      <c r="O31274" s="28"/>
      <c r="U31274" s="28"/>
    </row>
    <row r="31275">
      <c r="N31275" s="28"/>
      <c r="O31275" s="28"/>
      <c r="U31275" s="28"/>
    </row>
    <row r="31276">
      <c r="N31276" s="28"/>
      <c r="O31276" s="28"/>
      <c r="U31276" s="28"/>
    </row>
    <row r="31277">
      <c r="N31277" s="28"/>
      <c r="O31277" s="28"/>
      <c r="U31277" s="28"/>
    </row>
    <row r="31278">
      <c r="N31278" s="28"/>
      <c r="O31278" s="28"/>
      <c r="U31278" s="28"/>
    </row>
    <row r="31279">
      <c r="N31279" s="28"/>
      <c r="O31279" s="28"/>
      <c r="U31279" s="28"/>
    </row>
    <row r="31280">
      <c r="N31280" s="28"/>
      <c r="O31280" s="28"/>
      <c r="U31280" s="28"/>
    </row>
    <row r="31281">
      <c r="N31281" s="28"/>
      <c r="O31281" s="28"/>
      <c r="U31281" s="28"/>
    </row>
    <row r="31282">
      <c r="N31282" s="28"/>
      <c r="O31282" s="28"/>
      <c r="U31282" s="28"/>
    </row>
    <row r="31283">
      <c r="N31283" s="28"/>
      <c r="O31283" s="28"/>
      <c r="U31283" s="28"/>
    </row>
    <row r="31284">
      <c r="N31284" s="28"/>
      <c r="O31284" s="28"/>
      <c r="U31284" s="28"/>
    </row>
    <row r="31285">
      <c r="N31285" s="28"/>
      <c r="O31285" s="28"/>
      <c r="U31285" s="28"/>
    </row>
    <row r="31286">
      <c r="N31286" s="28"/>
      <c r="O31286" s="28"/>
      <c r="U31286" s="28"/>
    </row>
    <row r="31287">
      <c r="N31287" s="28"/>
      <c r="O31287" s="28"/>
      <c r="U31287" s="28"/>
    </row>
    <row r="31288">
      <c r="N31288" s="28"/>
      <c r="O31288" s="28"/>
      <c r="U31288" s="28"/>
    </row>
    <row r="31289">
      <c r="N31289" s="28"/>
      <c r="O31289" s="28"/>
      <c r="U31289" s="28"/>
    </row>
    <row r="31290">
      <c r="N31290" s="28"/>
      <c r="O31290" s="28"/>
      <c r="U31290" s="28"/>
    </row>
    <row r="31291">
      <c r="N31291" s="28"/>
      <c r="O31291" s="28"/>
      <c r="U31291" s="28"/>
    </row>
    <row r="31292">
      <c r="N31292" s="28"/>
      <c r="O31292" s="28"/>
      <c r="U31292" s="28"/>
    </row>
    <row r="31293">
      <c r="N31293" s="28"/>
      <c r="O31293" s="28"/>
      <c r="U31293" s="28"/>
    </row>
    <row r="31294">
      <c r="N31294" s="28"/>
      <c r="O31294" s="28"/>
      <c r="U31294" s="28"/>
    </row>
    <row r="31295">
      <c r="N31295" s="28"/>
      <c r="O31295" s="28"/>
      <c r="U31295" s="28"/>
    </row>
    <row r="31296">
      <c r="N31296" s="28"/>
      <c r="O31296" s="28"/>
      <c r="U31296" s="28"/>
    </row>
    <row r="31297">
      <c r="N31297" s="28"/>
      <c r="O31297" s="28"/>
      <c r="U31297" s="28"/>
    </row>
    <row r="31298">
      <c r="N31298" s="28"/>
      <c r="O31298" s="28"/>
      <c r="U31298" s="28"/>
    </row>
    <row r="31299">
      <c r="N31299" s="28"/>
      <c r="O31299" s="28"/>
      <c r="U31299" s="28"/>
    </row>
    <row r="31300">
      <c r="N31300" s="28"/>
      <c r="O31300" s="28"/>
      <c r="U31300" s="28"/>
    </row>
    <row r="31301">
      <c r="N31301" s="28"/>
      <c r="O31301" s="28"/>
      <c r="U31301" s="28"/>
    </row>
    <row r="31302">
      <c r="N31302" s="28"/>
      <c r="O31302" s="28"/>
      <c r="U31302" s="28"/>
    </row>
    <row r="31303">
      <c r="N31303" s="28"/>
      <c r="O31303" s="28"/>
      <c r="U31303" s="28"/>
    </row>
    <row r="31304">
      <c r="N31304" s="28"/>
      <c r="O31304" s="28"/>
      <c r="U31304" s="28"/>
    </row>
    <row r="31305">
      <c r="N31305" s="28"/>
      <c r="O31305" s="28"/>
      <c r="U31305" s="28"/>
    </row>
    <row r="31306">
      <c r="N31306" s="28"/>
      <c r="O31306" s="28"/>
      <c r="U31306" s="28"/>
    </row>
    <row r="31307">
      <c r="N31307" s="28"/>
      <c r="O31307" s="28"/>
      <c r="U31307" s="28"/>
    </row>
    <row r="31308">
      <c r="N31308" s="28"/>
      <c r="O31308" s="28"/>
      <c r="U31308" s="28"/>
    </row>
    <row r="31309">
      <c r="N31309" s="28"/>
      <c r="O31309" s="28"/>
      <c r="U31309" s="28"/>
    </row>
    <row r="31310">
      <c r="N31310" s="28"/>
      <c r="O31310" s="28"/>
      <c r="U31310" s="28"/>
    </row>
    <row r="31311">
      <c r="N31311" s="28"/>
      <c r="O31311" s="28"/>
      <c r="U31311" s="28"/>
    </row>
    <row r="31312">
      <c r="N31312" s="28"/>
      <c r="O31312" s="28"/>
      <c r="U31312" s="28"/>
    </row>
    <row r="31313">
      <c r="N31313" s="28"/>
      <c r="O31313" s="28"/>
      <c r="U31313" s="28"/>
    </row>
    <row r="31314">
      <c r="N31314" s="28"/>
      <c r="O31314" s="28"/>
      <c r="U31314" s="28"/>
    </row>
    <row r="31315">
      <c r="N31315" s="28"/>
      <c r="O31315" s="28"/>
      <c r="U31315" s="28"/>
    </row>
    <row r="31316">
      <c r="N31316" s="28"/>
      <c r="O31316" s="28"/>
      <c r="U31316" s="28"/>
    </row>
    <row r="31317">
      <c r="N31317" s="28"/>
      <c r="O31317" s="28"/>
      <c r="U31317" s="28"/>
    </row>
    <row r="31318">
      <c r="N31318" s="28"/>
      <c r="O31318" s="28"/>
      <c r="U31318" s="28"/>
    </row>
    <row r="31319">
      <c r="N31319" s="28"/>
      <c r="O31319" s="28"/>
      <c r="U31319" s="28"/>
    </row>
    <row r="31320">
      <c r="N31320" s="28"/>
      <c r="O31320" s="28"/>
      <c r="U31320" s="28"/>
    </row>
    <row r="31321">
      <c r="N31321" s="28"/>
      <c r="O31321" s="28"/>
      <c r="U31321" s="28"/>
    </row>
    <row r="31322">
      <c r="N31322" s="28"/>
      <c r="O31322" s="28"/>
      <c r="U31322" s="28"/>
    </row>
    <row r="31323">
      <c r="N31323" s="28"/>
      <c r="O31323" s="28"/>
      <c r="U31323" s="28"/>
    </row>
    <row r="31324">
      <c r="N31324" s="28"/>
      <c r="O31324" s="28"/>
      <c r="U31324" s="28"/>
    </row>
    <row r="31325">
      <c r="N31325" s="28"/>
      <c r="O31325" s="28"/>
      <c r="U31325" s="28"/>
    </row>
    <row r="31326">
      <c r="N31326" s="28"/>
      <c r="O31326" s="28"/>
      <c r="U31326" s="28"/>
    </row>
    <row r="31327">
      <c r="N31327" s="28"/>
      <c r="O31327" s="28"/>
      <c r="U31327" s="28"/>
    </row>
    <row r="31328">
      <c r="N31328" s="28"/>
      <c r="O31328" s="28"/>
      <c r="U31328" s="28"/>
    </row>
    <row r="31329">
      <c r="N31329" s="28"/>
      <c r="O31329" s="28"/>
      <c r="U31329" s="28"/>
    </row>
    <row r="31330">
      <c r="N31330" s="28"/>
      <c r="O31330" s="28"/>
      <c r="U31330" s="28"/>
    </row>
    <row r="31331">
      <c r="N31331" s="28"/>
      <c r="O31331" s="28"/>
      <c r="U31331" s="28"/>
    </row>
    <row r="31332">
      <c r="N31332" s="28"/>
      <c r="O31332" s="28"/>
      <c r="U31332" s="28"/>
    </row>
    <row r="31333">
      <c r="N31333" s="28"/>
      <c r="O31333" s="28"/>
      <c r="U31333" s="28"/>
    </row>
    <row r="31334">
      <c r="N31334" s="28"/>
      <c r="O31334" s="28"/>
      <c r="U31334" s="28"/>
    </row>
    <row r="31335">
      <c r="N31335" s="28"/>
      <c r="O31335" s="28"/>
      <c r="U31335" s="28"/>
    </row>
    <row r="31336">
      <c r="N31336" s="28"/>
      <c r="O31336" s="28"/>
      <c r="U31336" s="28"/>
    </row>
    <row r="31337">
      <c r="N31337" s="28"/>
      <c r="O31337" s="28"/>
      <c r="U31337" s="28"/>
    </row>
    <row r="31338">
      <c r="N31338" s="28"/>
      <c r="O31338" s="28"/>
      <c r="U31338" s="28"/>
    </row>
    <row r="31339">
      <c r="N31339" s="28"/>
      <c r="O31339" s="28"/>
      <c r="U31339" s="28"/>
    </row>
    <row r="31340">
      <c r="N31340" s="28"/>
      <c r="O31340" s="28"/>
      <c r="U31340" s="28"/>
    </row>
    <row r="31341">
      <c r="N31341" s="28"/>
      <c r="O31341" s="28"/>
      <c r="U31341" s="28"/>
    </row>
    <row r="31342">
      <c r="N31342" s="28"/>
      <c r="O31342" s="28"/>
      <c r="U31342" s="28"/>
    </row>
    <row r="31343">
      <c r="N31343" s="28"/>
      <c r="O31343" s="28"/>
      <c r="U31343" s="28"/>
    </row>
    <row r="31344">
      <c r="N31344" s="28"/>
      <c r="O31344" s="28"/>
      <c r="U31344" s="28"/>
    </row>
    <row r="31345">
      <c r="N31345" s="28"/>
      <c r="O31345" s="28"/>
      <c r="U31345" s="28"/>
    </row>
    <row r="31346">
      <c r="N31346" s="28"/>
      <c r="O31346" s="28"/>
      <c r="U31346" s="28"/>
    </row>
    <row r="31347">
      <c r="N31347" s="28"/>
      <c r="O31347" s="28"/>
      <c r="U31347" s="28"/>
    </row>
    <row r="31348">
      <c r="N31348" s="28"/>
      <c r="O31348" s="28"/>
      <c r="U31348" s="28"/>
    </row>
    <row r="31349">
      <c r="N31349" s="28"/>
      <c r="O31349" s="28"/>
      <c r="U31349" s="28"/>
    </row>
    <row r="31350">
      <c r="N31350" s="28"/>
      <c r="O31350" s="28"/>
      <c r="U31350" s="28"/>
    </row>
    <row r="31351">
      <c r="N31351" s="28"/>
      <c r="O31351" s="28"/>
      <c r="U31351" s="28"/>
    </row>
    <row r="31352">
      <c r="N31352" s="28"/>
      <c r="O31352" s="28"/>
      <c r="U31352" s="28"/>
    </row>
    <row r="31353">
      <c r="N31353" s="28"/>
      <c r="O31353" s="28"/>
      <c r="U31353" s="28"/>
    </row>
    <row r="31354">
      <c r="N31354" s="28"/>
      <c r="O31354" s="28"/>
      <c r="U31354" s="28"/>
    </row>
    <row r="31355">
      <c r="N31355" s="28"/>
      <c r="O31355" s="28"/>
      <c r="U31355" s="28"/>
    </row>
    <row r="31356">
      <c r="N31356" s="28"/>
      <c r="O31356" s="28"/>
      <c r="U31356" s="28"/>
    </row>
    <row r="31357">
      <c r="N31357" s="28"/>
      <c r="O31357" s="28"/>
      <c r="U31357" s="28"/>
    </row>
    <row r="31358">
      <c r="N31358" s="28"/>
      <c r="O31358" s="28"/>
      <c r="U31358" s="28"/>
    </row>
    <row r="31359">
      <c r="N31359" s="28"/>
      <c r="O31359" s="28"/>
      <c r="U31359" s="28"/>
    </row>
    <row r="31360">
      <c r="N31360" s="28"/>
      <c r="O31360" s="28"/>
      <c r="U31360" s="28"/>
    </row>
    <row r="31361">
      <c r="N31361" s="28"/>
      <c r="O31361" s="28"/>
      <c r="U31361" s="28"/>
    </row>
    <row r="31362">
      <c r="N31362" s="28"/>
      <c r="O31362" s="28"/>
      <c r="U31362" s="28"/>
    </row>
    <row r="31363">
      <c r="N31363" s="28"/>
      <c r="O31363" s="28"/>
      <c r="U31363" s="28"/>
    </row>
    <row r="31364">
      <c r="N31364" s="28"/>
      <c r="O31364" s="28"/>
      <c r="U31364" s="28"/>
    </row>
    <row r="31365">
      <c r="N31365" s="28"/>
      <c r="O31365" s="28"/>
      <c r="U31365" s="28"/>
    </row>
    <row r="31366">
      <c r="N31366" s="28"/>
      <c r="O31366" s="28"/>
      <c r="U31366" s="28"/>
    </row>
    <row r="31367">
      <c r="N31367" s="28"/>
      <c r="O31367" s="28"/>
      <c r="U31367" s="28"/>
    </row>
    <row r="31368">
      <c r="N31368" s="28"/>
      <c r="O31368" s="28"/>
      <c r="U31368" s="28"/>
    </row>
    <row r="31369">
      <c r="N31369" s="28"/>
      <c r="O31369" s="28"/>
      <c r="U31369" s="28"/>
    </row>
    <row r="31370">
      <c r="N31370" s="28"/>
      <c r="O31370" s="28"/>
      <c r="U31370" s="28"/>
    </row>
    <row r="31371">
      <c r="N31371" s="28"/>
      <c r="O31371" s="28"/>
      <c r="U31371" s="28"/>
    </row>
    <row r="31372">
      <c r="N31372" s="28"/>
      <c r="O31372" s="28"/>
      <c r="U31372" s="28"/>
    </row>
    <row r="31373">
      <c r="N31373" s="28"/>
      <c r="O31373" s="28"/>
      <c r="U31373" s="28"/>
    </row>
    <row r="31374">
      <c r="N31374" s="28"/>
      <c r="O31374" s="28"/>
      <c r="U31374" s="28"/>
    </row>
    <row r="31375">
      <c r="N31375" s="28"/>
      <c r="O31375" s="28"/>
      <c r="U31375" s="28"/>
    </row>
    <row r="31376">
      <c r="N31376" s="28"/>
      <c r="O31376" s="28"/>
      <c r="U31376" s="28"/>
    </row>
    <row r="31377">
      <c r="N31377" s="28"/>
      <c r="O31377" s="28"/>
      <c r="U31377" s="28"/>
    </row>
    <row r="31378">
      <c r="N31378" s="28"/>
      <c r="O31378" s="28"/>
      <c r="U31378" s="28"/>
    </row>
    <row r="31379">
      <c r="N31379" s="28"/>
      <c r="O31379" s="28"/>
      <c r="U31379" s="28"/>
    </row>
    <row r="31380">
      <c r="N31380" s="28"/>
      <c r="O31380" s="28"/>
      <c r="U31380" s="28"/>
    </row>
    <row r="31381">
      <c r="N31381" s="28"/>
      <c r="O31381" s="28"/>
      <c r="U31381" s="28"/>
    </row>
    <row r="31382">
      <c r="N31382" s="28"/>
      <c r="O31382" s="28"/>
      <c r="U31382" s="28"/>
    </row>
    <row r="31383">
      <c r="N31383" s="28"/>
      <c r="O31383" s="28"/>
      <c r="U31383" s="28"/>
    </row>
    <row r="31384">
      <c r="N31384" s="28"/>
      <c r="O31384" s="28"/>
      <c r="U31384" s="28"/>
    </row>
    <row r="31385">
      <c r="N31385" s="28"/>
      <c r="O31385" s="28"/>
      <c r="U31385" s="28"/>
    </row>
    <row r="31386">
      <c r="N31386" s="28"/>
      <c r="O31386" s="28"/>
      <c r="U31386" s="28"/>
    </row>
    <row r="31387">
      <c r="N31387" s="28"/>
      <c r="O31387" s="28"/>
      <c r="U31387" s="28"/>
    </row>
    <row r="31388">
      <c r="N31388" s="28"/>
      <c r="O31388" s="28"/>
      <c r="U31388" s="28"/>
    </row>
    <row r="31389">
      <c r="N31389" s="28"/>
      <c r="O31389" s="28"/>
      <c r="U31389" s="28"/>
    </row>
    <row r="31390">
      <c r="N31390" s="28"/>
      <c r="O31390" s="28"/>
      <c r="U31390" s="28"/>
    </row>
    <row r="31391">
      <c r="N31391" s="28"/>
      <c r="O31391" s="28"/>
      <c r="U31391" s="28"/>
    </row>
    <row r="31392">
      <c r="N31392" s="28"/>
      <c r="O31392" s="28"/>
      <c r="U31392" s="28"/>
    </row>
    <row r="31393">
      <c r="N31393" s="28"/>
      <c r="O31393" s="28"/>
      <c r="U31393" s="28"/>
    </row>
    <row r="31394">
      <c r="N31394" s="28"/>
      <c r="O31394" s="28"/>
      <c r="U31394" s="28"/>
    </row>
    <row r="31395">
      <c r="N31395" s="28"/>
      <c r="O31395" s="28"/>
      <c r="U31395" s="28"/>
    </row>
    <row r="31396">
      <c r="N31396" s="28"/>
      <c r="O31396" s="28"/>
      <c r="U31396" s="28"/>
    </row>
    <row r="31397">
      <c r="N31397" s="28"/>
      <c r="O31397" s="28"/>
      <c r="U31397" s="28"/>
    </row>
    <row r="31398">
      <c r="N31398" s="28"/>
      <c r="O31398" s="28"/>
      <c r="U31398" s="28"/>
    </row>
    <row r="31399">
      <c r="N31399" s="28"/>
      <c r="O31399" s="28"/>
      <c r="U31399" s="28"/>
    </row>
    <row r="31400">
      <c r="N31400" s="28"/>
      <c r="O31400" s="28"/>
      <c r="U31400" s="28"/>
    </row>
    <row r="31401">
      <c r="N31401" s="28"/>
      <c r="O31401" s="28"/>
      <c r="U31401" s="28"/>
    </row>
    <row r="31402">
      <c r="N31402" s="28"/>
      <c r="O31402" s="28"/>
      <c r="U31402" s="28"/>
    </row>
    <row r="31403">
      <c r="N31403" s="28"/>
      <c r="O31403" s="28"/>
      <c r="U31403" s="28"/>
    </row>
    <row r="31404">
      <c r="N31404" s="28"/>
      <c r="O31404" s="28"/>
      <c r="U31404" s="28"/>
    </row>
    <row r="31405">
      <c r="N31405" s="28"/>
      <c r="O31405" s="28"/>
      <c r="U31405" s="28"/>
    </row>
    <row r="31406">
      <c r="N31406" s="28"/>
      <c r="O31406" s="28"/>
      <c r="U31406" s="28"/>
    </row>
    <row r="31407">
      <c r="N31407" s="28"/>
      <c r="O31407" s="28"/>
      <c r="U31407" s="28"/>
    </row>
    <row r="31408">
      <c r="N31408" s="28"/>
      <c r="O31408" s="28"/>
      <c r="U31408" s="28"/>
    </row>
    <row r="31409">
      <c r="N31409" s="28"/>
      <c r="O31409" s="28"/>
      <c r="U31409" s="28"/>
    </row>
    <row r="31410">
      <c r="N31410" s="28"/>
      <c r="O31410" s="28"/>
      <c r="U31410" s="28"/>
    </row>
    <row r="31411">
      <c r="N31411" s="28"/>
      <c r="O31411" s="28"/>
      <c r="U31411" s="28"/>
    </row>
    <row r="31412">
      <c r="N31412" s="28"/>
      <c r="O31412" s="28"/>
      <c r="U31412" s="28"/>
    </row>
    <row r="31413">
      <c r="N31413" s="28"/>
      <c r="O31413" s="28"/>
      <c r="U31413" s="28"/>
    </row>
    <row r="31414">
      <c r="N31414" s="28"/>
      <c r="O31414" s="28"/>
      <c r="U31414" s="28"/>
    </row>
    <row r="31415">
      <c r="N31415" s="28"/>
      <c r="O31415" s="28"/>
      <c r="U31415" s="28"/>
    </row>
    <row r="31416">
      <c r="N31416" s="28"/>
      <c r="O31416" s="28"/>
      <c r="U31416" s="28"/>
    </row>
    <row r="31417">
      <c r="N31417" s="28"/>
      <c r="O31417" s="28"/>
      <c r="U31417" s="28"/>
    </row>
    <row r="31418">
      <c r="N31418" s="28"/>
      <c r="O31418" s="28"/>
      <c r="U31418" s="28"/>
    </row>
    <row r="31419">
      <c r="N31419" s="28"/>
      <c r="O31419" s="28"/>
      <c r="U31419" s="28"/>
    </row>
    <row r="31420">
      <c r="N31420" s="28"/>
      <c r="O31420" s="28"/>
      <c r="U31420" s="28"/>
    </row>
    <row r="31421">
      <c r="N31421" s="28"/>
      <c r="O31421" s="28"/>
      <c r="U31421" s="28"/>
    </row>
    <row r="31422">
      <c r="N31422" s="28"/>
      <c r="O31422" s="28"/>
      <c r="U31422" s="28"/>
    </row>
    <row r="31423">
      <c r="N31423" s="28"/>
      <c r="O31423" s="28"/>
      <c r="U31423" s="28"/>
    </row>
    <row r="31424">
      <c r="N31424" s="28"/>
      <c r="O31424" s="28"/>
      <c r="U31424" s="28"/>
    </row>
    <row r="31425">
      <c r="N31425" s="28"/>
      <c r="O31425" s="28"/>
      <c r="U31425" s="28"/>
    </row>
    <row r="31426">
      <c r="N31426" s="28"/>
      <c r="O31426" s="28"/>
      <c r="U31426" s="28"/>
    </row>
    <row r="31427">
      <c r="N31427" s="28"/>
      <c r="O31427" s="28"/>
      <c r="U31427" s="28"/>
    </row>
    <row r="31428">
      <c r="N31428" s="28"/>
      <c r="O31428" s="28"/>
      <c r="U31428" s="28"/>
    </row>
    <row r="31429">
      <c r="N31429" s="28"/>
      <c r="O31429" s="28"/>
      <c r="U31429" s="28"/>
    </row>
    <row r="31430">
      <c r="N31430" s="28"/>
      <c r="O31430" s="28"/>
      <c r="U31430" s="28"/>
    </row>
    <row r="31431">
      <c r="N31431" s="28"/>
      <c r="O31431" s="28"/>
      <c r="U31431" s="28"/>
    </row>
    <row r="31432">
      <c r="N31432" s="28"/>
      <c r="O31432" s="28"/>
      <c r="U31432" s="28"/>
    </row>
    <row r="31433">
      <c r="N31433" s="28"/>
      <c r="O31433" s="28"/>
      <c r="U31433" s="28"/>
    </row>
    <row r="31434">
      <c r="N31434" s="28"/>
      <c r="O31434" s="28"/>
      <c r="U31434" s="28"/>
    </row>
    <row r="31435">
      <c r="N31435" s="28"/>
      <c r="O31435" s="28"/>
      <c r="U31435" s="28"/>
    </row>
    <row r="31436">
      <c r="N31436" s="28"/>
      <c r="O31436" s="28"/>
      <c r="U31436" s="28"/>
    </row>
    <row r="31437">
      <c r="N31437" s="28"/>
      <c r="O31437" s="28"/>
      <c r="U31437" s="28"/>
    </row>
    <row r="31438">
      <c r="N31438" s="28"/>
      <c r="O31438" s="28"/>
      <c r="U31438" s="28"/>
    </row>
    <row r="31439">
      <c r="N31439" s="28"/>
      <c r="O31439" s="28"/>
      <c r="U31439" s="28"/>
    </row>
    <row r="31440">
      <c r="N31440" s="28"/>
      <c r="O31440" s="28"/>
      <c r="U31440" s="28"/>
    </row>
    <row r="31441">
      <c r="N31441" s="28"/>
      <c r="O31441" s="28"/>
      <c r="U31441" s="28"/>
    </row>
    <row r="31442">
      <c r="N31442" s="28"/>
      <c r="O31442" s="28"/>
      <c r="U31442" s="28"/>
    </row>
    <row r="31443">
      <c r="N31443" s="28"/>
      <c r="O31443" s="28"/>
      <c r="U31443" s="28"/>
    </row>
    <row r="31444">
      <c r="N31444" s="28"/>
      <c r="O31444" s="28"/>
      <c r="U31444" s="28"/>
    </row>
    <row r="31445">
      <c r="N31445" s="28"/>
      <c r="O31445" s="28"/>
      <c r="U31445" s="28"/>
    </row>
    <row r="31446">
      <c r="N31446" s="28"/>
      <c r="O31446" s="28"/>
      <c r="U31446" s="28"/>
    </row>
    <row r="31447">
      <c r="N31447" s="28"/>
      <c r="O31447" s="28"/>
      <c r="U31447" s="28"/>
    </row>
    <row r="31448">
      <c r="N31448" s="28"/>
      <c r="O31448" s="28"/>
      <c r="U31448" s="28"/>
    </row>
    <row r="31449">
      <c r="N31449" s="28"/>
      <c r="O31449" s="28"/>
      <c r="U31449" s="28"/>
    </row>
    <row r="31450">
      <c r="N31450" s="28"/>
      <c r="O31450" s="28"/>
      <c r="U31450" s="28"/>
    </row>
    <row r="31451">
      <c r="N31451" s="28"/>
      <c r="O31451" s="28"/>
      <c r="U31451" s="28"/>
    </row>
    <row r="31452">
      <c r="N31452" s="28"/>
      <c r="O31452" s="28"/>
      <c r="U31452" s="28"/>
    </row>
    <row r="31453">
      <c r="N31453" s="28"/>
      <c r="O31453" s="28"/>
      <c r="U31453" s="28"/>
    </row>
    <row r="31454">
      <c r="N31454" s="28"/>
      <c r="O31454" s="28"/>
      <c r="U31454" s="28"/>
    </row>
    <row r="31455">
      <c r="N31455" s="28"/>
      <c r="O31455" s="28"/>
      <c r="U31455" s="28"/>
    </row>
    <row r="31456">
      <c r="N31456" s="28"/>
      <c r="O31456" s="28"/>
      <c r="U31456" s="28"/>
    </row>
    <row r="31457">
      <c r="N31457" s="28"/>
      <c r="O31457" s="28"/>
      <c r="U31457" s="28"/>
    </row>
    <row r="31458">
      <c r="N31458" s="28"/>
      <c r="O31458" s="28"/>
      <c r="U31458" s="28"/>
    </row>
    <row r="31459">
      <c r="N31459" s="28"/>
      <c r="O31459" s="28"/>
      <c r="U31459" s="28"/>
    </row>
    <row r="31460">
      <c r="N31460" s="28"/>
      <c r="O31460" s="28"/>
      <c r="U31460" s="28"/>
    </row>
    <row r="31461">
      <c r="N31461" s="28"/>
      <c r="O31461" s="28"/>
      <c r="U31461" s="28"/>
    </row>
    <row r="31462">
      <c r="N31462" s="28"/>
      <c r="O31462" s="28"/>
      <c r="U31462" s="28"/>
    </row>
    <row r="31463">
      <c r="N31463" s="28"/>
      <c r="O31463" s="28"/>
      <c r="U31463" s="28"/>
    </row>
    <row r="31464">
      <c r="N31464" s="28"/>
      <c r="O31464" s="28"/>
      <c r="U31464" s="28"/>
    </row>
    <row r="31465">
      <c r="N31465" s="28"/>
      <c r="O31465" s="28"/>
      <c r="U31465" s="28"/>
    </row>
    <row r="31466">
      <c r="N31466" s="28"/>
      <c r="O31466" s="28"/>
      <c r="U31466" s="28"/>
    </row>
    <row r="31467">
      <c r="N31467" s="28"/>
      <c r="O31467" s="28"/>
      <c r="U31467" s="28"/>
    </row>
    <row r="31468">
      <c r="N31468" s="28"/>
      <c r="O31468" s="28"/>
      <c r="U31468" s="28"/>
    </row>
    <row r="31469">
      <c r="N31469" s="28"/>
      <c r="O31469" s="28"/>
      <c r="U31469" s="28"/>
    </row>
    <row r="31470">
      <c r="N31470" s="28"/>
      <c r="O31470" s="28"/>
      <c r="U31470" s="28"/>
    </row>
    <row r="31471">
      <c r="N31471" s="28"/>
      <c r="O31471" s="28"/>
      <c r="U31471" s="28"/>
    </row>
    <row r="31472">
      <c r="N31472" s="28"/>
      <c r="O31472" s="28"/>
      <c r="U31472" s="28"/>
    </row>
    <row r="31473">
      <c r="N31473" s="28"/>
      <c r="O31473" s="28"/>
      <c r="U31473" s="28"/>
    </row>
    <row r="31474">
      <c r="N31474" s="28"/>
      <c r="O31474" s="28"/>
      <c r="U31474" s="28"/>
    </row>
    <row r="31475">
      <c r="N31475" s="28"/>
      <c r="O31475" s="28"/>
      <c r="U31475" s="28"/>
    </row>
    <row r="31476">
      <c r="N31476" s="28"/>
      <c r="O31476" s="28"/>
      <c r="U31476" s="28"/>
    </row>
    <row r="31477">
      <c r="N31477" s="28"/>
      <c r="O31477" s="28"/>
      <c r="U31477" s="28"/>
    </row>
    <row r="31478">
      <c r="N31478" s="28"/>
      <c r="O31478" s="28"/>
      <c r="U31478" s="28"/>
    </row>
    <row r="31479">
      <c r="N31479" s="28"/>
      <c r="O31479" s="28"/>
      <c r="U31479" s="28"/>
    </row>
    <row r="31480">
      <c r="N31480" s="28"/>
      <c r="O31480" s="28"/>
      <c r="U31480" s="28"/>
    </row>
    <row r="31481">
      <c r="N31481" s="28"/>
      <c r="O31481" s="28"/>
      <c r="U31481" s="28"/>
    </row>
    <row r="31482">
      <c r="N31482" s="28"/>
      <c r="O31482" s="28"/>
      <c r="U31482" s="28"/>
    </row>
    <row r="31483">
      <c r="N31483" s="28"/>
      <c r="O31483" s="28"/>
      <c r="U31483" s="28"/>
    </row>
    <row r="31484">
      <c r="N31484" s="28"/>
      <c r="O31484" s="28"/>
      <c r="U31484" s="28"/>
    </row>
    <row r="31485">
      <c r="N31485" s="28"/>
      <c r="O31485" s="28"/>
      <c r="U31485" s="28"/>
    </row>
    <row r="31486">
      <c r="N31486" s="28"/>
      <c r="O31486" s="28"/>
      <c r="U31486" s="28"/>
    </row>
    <row r="31487">
      <c r="N31487" s="28"/>
      <c r="O31487" s="28"/>
      <c r="U31487" s="28"/>
    </row>
    <row r="31488">
      <c r="N31488" s="28"/>
      <c r="O31488" s="28"/>
      <c r="U31488" s="28"/>
    </row>
    <row r="31489">
      <c r="N31489" s="28"/>
      <c r="O31489" s="28"/>
      <c r="U31489" s="28"/>
    </row>
    <row r="31490">
      <c r="N31490" s="28"/>
      <c r="O31490" s="28"/>
      <c r="U31490" s="28"/>
    </row>
    <row r="31491">
      <c r="N31491" s="28"/>
      <c r="O31491" s="28"/>
      <c r="U31491" s="28"/>
    </row>
    <row r="31492">
      <c r="N31492" s="28"/>
      <c r="O31492" s="28"/>
      <c r="U31492" s="28"/>
    </row>
    <row r="31493">
      <c r="N31493" s="28"/>
      <c r="O31493" s="28"/>
      <c r="U31493" s="28"/>
    </row>
    <row r="31494">
      <c r="N31494" s="28"/>
      <c r="O31494" s="28"/>
      <c r="U31494" s="28"/>
    </row>
    <row r="31495">
      <c r="N31495" s="28"/>
      <c r="O31495" s="28"/>
      <c r="U31495" s="28"/>
    </row>
    <row r="31496">
      <c r="N31496" s="28"/>
      <c r="O31496" s="28"/>
      <c r="U31496" s="28"/>
    </row>
    <row r="31497">
      <c r="N31497" s="28"/>
      <c r="O31497" s="28"/>
      <c r="U31497" s="28"/>
    </row>
    <row r="31498">
      <c r="N31498" s="28"/>
      <c r="O31498" s="28"/>
      <c r="U31498" s="28"/>
    </row>
    <row r="31499">
      <c r="N31499" s="28"/>
      <c r="O31499" s="28"/>
      <c r="U31499" s="28"/>
    </row>
    <row r="31500">
      <c r="N31500" s="28"/>
      <c r="O31500" s="28"/>
      <c r="U31500" s="28"/>
    </row>
    <row r="31501">
      <c r="N31501" s="28"/>
      <c r="O31501" s="28"/>
      <c r="U31501" s="28"/>
    </row>
    <row r="31502">
      <c r="N31502" s="28"/>
      <c r="O31502" s="28"/>
      <c r="U31502" s="28"/>
    </row>
    <row r="31503">
      <c r="N31503" s="28"/>
      <c r="O31503" s="28"/>
      <c r="U31503" s="28"/>
    </row>
    <row r="31504">
      <c r="N31504" s="28"/>
      <c r="O31504" s="28"/>
      <c r="U31504" s="28"/>
    </row>
    <row r="31505">
      <c r="N31505" s="28"/>
      <c r="O31505" s="28"/>
      <c r="U31505" s="28"/>
    </row>
    <row r="31506">
      <c r="N31506" s="28"/>
      <c r="O31506" s="28"/>
      <c r="U31506" s="28"/>
    </row>
    <row r="31507">
      <c r="N31507" s="28"/>
      <c r="O31507" s="28"/>
      <c r="U31507" s="28"/>
    </row>
    <row r="31508">
      <c r="N31508" s="28"/>
      <c r="O31508" s="28"/>
      <c r="U31508" s="28"/>
    </row>
    <row r="31509">
      <c r="N31509" s="28"/>
      <c r="O31509" s="28"/>
      <c r="U31509" s="28"/>
    </row>
    <row r="31510">
      <c r="N31510" s="28"/>
      <c r="O31510" s="28"/>
      <c r="U31510" s="28"/>
    </row>
    <row r="31511">
      <c r="N31511" s="28"/>
      <c r="O31511" s="28"/>
      <c r="U31511" s="28"/>
    </row>
    <row r="31512">
      <c r="N31512" s="28"/>
      <c r="O31512" s="28"/>
      <c r="U31512" s="28"/>
    </row>
    <row r="31513">
      <c r="N31513" s="28"/>
      <c r="O31513" s="28"/>
      <c r="U31513" s="28"/>
    </row>
    <row r="31514">
      <c r="N31514" s="28"/>
      <c r="O31514" s="28"/>
      <c r="U31514" s="28"/>
    </row>
    <row r="31515">
      <c r="N31515" s="28"/>
      <c r="O31515" s="28"/>
      <c r="U31515" s="28"/>
    </row>
    <row r="31516">
      <c r="N31516" s="28"/>
      <c r="O31516" s="28"/>
      <c r="U31516" s="28"/>
    </row>
    <row r="31517">
      <c r="N31517" s="28"/>
      <c r="O31517" s="28"/>
      <c r="U31517" s="28"/>
    </row>
    <row r="31518">
      <c r="N31518" s="28"/>
      <c r="O31518" s="28"/>
      <c r="U31518" s="28"/>
    </row>
    <row r="31519">
      <c r="N31519" s="28"/>
      <c r="O31519" s="28"/>
      <c r="U31519" s="28"/>
    </row>
    <row r="31520">
      <c r="N31520" s="28"/>
      <c r="O31520" s="28"/>
      <c r="U31520" s="28"/>
    </row>
    <row r="31521">
      <c r="N31521" s="28"/>
      <c r="O31521" s="28"/>
      <c r="U31521" s="28"/>
    </row>
    <row r="31522">
      <c r="N31522" s="28"/>
      <c r="O31522" s="28"/>
      <c r="U31522" s="28"/>
    </row>
    <row r="31523">
      <c r="N31523" s="28"/>
      <c r="O31523" s="28"/>
      <c r="U31523" s="28"/>
    </row>
    <row r="31524">
      <c r="N31524" s="28"/>
      <c r="O31524" s="28"/>
      <c r="U31524" s="28"/>
    </row>
    <row r="31525">
      <c r="N31525" s="28"/>
      <c r="O31525" s="28"/>
      <c r="U31525" s="28"/>
    </row>
    <row r="31526">
      <c r="N31526" s="28"/>
      <c r="O31526" s="28"/>
      <c r="U31526" s="28"/>
    </row>
    <row r="31527">
      <c r="N31527" s="28"/>
      <c r="O31527" s="28"/>
      <c r="U31527" s="28"/>
    </row>
    <row r="31528">
      <c r="N31528" s="28"/>
      <c r="O31528" s="28"/>
      <c r="U31528" s="28"/>
    </row>
    <row r="31529">
      <c r="N31529" s="28"/>
      <c r="O31529" s="28"/>
      <c r="U31529" s="28"/>
    </row>
    <row r="31530">
      <c r="N31530" s="28"/>
      <c r="O31530" s="28"/>
      <c r="U31530" s="28"/>
    </row>
    <row r="31531">
      <c r="N31531" s="28"/>
      <c r="O31531" s="28"/>
      <c r="U31531" s="28"/>
    </row>
    <row r="31532">
      <c r="N31532" s="28"/>
      <c r="O31532" s="28"/>
      <c r="U31532" s="28"/>
    </row>
    <row r="31533">
      <c r="N31533" s="28"/>
      <c r="O31533" s="28"/>
      <c r="U31533" s="28"/>
    </row>
    <row r="31534">
      <c r="N31534" s="28"/>
      <c r="O31534" s="28"/>
      <c r="U31534" s="28"/>
    </row>
    <row r="31535">
      <c r="N31535" s="28"/>
      <c r="O31535" s="28"/>
      <c r="U31535" s="28"/>
    </row>
    <row r="31536">
      <c r="N31536" s="28"/>
      <c r="O31536" s="28"/>
      <c r="U31536" s="28"/>
    </row>
    <row r="31537">
      <c r="N31537" s="28"/>
      <c r="O31537" s="28"/>
      <c r="U31537" s="28"/>
    </row>
    <row r="31538">
      <c r="N31538" s="28"/>
      <c r="O31538" s="28"/>
      <c r="U31538" s="28"/>
    </row>
    <row r="31539">
      <c r="N31539" s="28"/>
      <c r="O31539" s="28"/>
      <c r="U31539" s="28"/>
    </row>
    <row r="31540">
      <c r="N31540" s="28"/>
      <c r="O31540" s="28"/>
      <c r="U31540" s="28"/>
    </row>
    <row r="31541">
      <c r="N31541" s="28"/>
      <c r="O31541" s="28"/>
      <c r="U31541" s="28"/>
    </row>
    <row r="31542">
      <c r="N31542" s="28"/>
      <c r="O31542" s="28"/>
      <c r="U31542" s="28"/>
    </row>
    <row r="31543">
      <c r="N31543" s="28"/>
      <c r="O31543" s="28"/>
      <c r="U31543" s="28"/>
    </row>
    <row r="31544">
      <c r="N31544" s="28"/>
      <c r="O31544" s="28"/>
      <c r="U31544" s="28"/>
    </row>
    <row r="31545">
      <c r="N31545" s="28"/>
      <c r="O31545" s="28"/>
      <c r="U31545" s="28"/>
    </row>
    <row r="31546">
      <c r="N31546" s="28"/>
      <c r="O31546" s="28"/>
      <c r="U31546" s="28"/>
    </row>
    <row r="31547">
      <c r="N31547" s="28"/>
      <c r="O31547" s="28"/>
      <c r="U31547" s="28"/>
    </row>
    <row r="31548">
      <c r="N31548" s="28"/>
      <c r="O31548" s="28"/>
      <c r="U31548" s="28"/>
    </row>
    <row r="31549">
      <c r="N31549" s="28"/>
      <c r="O31549" s="28"/>
      <c r="U31549" s="28"/>
    </row>
    <row r="31550">
      <c r="N31550" s="28"/>
      <c r="O31550" s="28"/>
      <c r="U31550" s="28"/>
    </row>
    <row r="31551">
      <c r="N31551" s="28"/>
      <c r="O31551" s="28"/>
      <c r="U31551" s="28"/>
    </row>
    <row r="31552">
      <c r="N31552" s="28"/>
      <c r="O31552" s="28"/>
      <c r="U31552" s="28"/>
    </row>
    <row r="31553">
      <c r="N31553" s="28"/>
      <c r="O31553" s="28"/>
      <c r="U31553" s="28"/>
    </row>
    <row r="31554">
      <c r="N31554" s="28"/>
      <c r="O31554" s="28"/>
      <c r="U31554" s="28"/>
    </row>
    <row r="31555">
      <c r="N31555" s="28"/>
      <c r="O31555" s="28"/>
      <c r="U31555" s="28"/>
    </row>
    <row r="31556">
      <c r="N31556" s="28"/>
      <c r="O31556" s="28"/>
      <c r="U31556" s="28"/>
    </row>
    <row r="31557">
      <c r="N31557" s="28"/>
      <c r="O31557" s="28"/>
      <c r="U31557" s="28"/>
    </row>
    <row r="31558">
      <c r="N31558" s="28"/>
      <c r="O31558" s="28"/>
      <c r="U31558" s="28"/>
    </row>
    <row r="31559">
      <c r="N31559" s="28"/>
      <c r="O31559" s="28"/>
      <c r="U31559" s="28"/>
    </row>
    <row r="31560">
      <c r="N31560" s="28"/>
      <c r="O31560" s="28"/>
      <c r="U31560" s="28"/>
    </row>
    <row r="31561">
      <c r="N31561" s="28"/>
      <c r="O31561" s="28"/>
      <c r="U31561" s="28"/>
    </row>
    <row r="31562">
      <c r="N31562" s="28"/>
      <c r="O31562" s="28"/>
      <c r="U31562" s="28"/>
    </row>
    <row r="31563">
      <c r="N31563" s="28"/>
      <c r="O31563" s="28"/>
      <c r="U31563" s="28"/>
    </row>
    <row r="31564">
      <c r="N31564" s="28"/>
      <c r="O31564" s="28"/>
      <c r="U31564" s="28"/>
    </row>
    <row r="31565">
      <c r="N31565" s="28"/>
      <c r="O31565" s="28"/>
      <c r="U31565" s="28"/>
    </row>
    <row r="31566">
      <c r="N31566" s="28"/>
      <c r="O31566" s="28"/>
      <c r="U31566" s="28"/>
    </row>
    <row r="31567">
      <c r="N31567" s="28"/>
      <c r="O31567" s="28"/>
      <c r="U31567" s="28"/>
    </row>
    <row r="31568">
      <c r="N31568" s="28"/>
      <c r="O31568" s="28"/>
      <c r="U31568" s="28"/>
    </row>
    <row r="31569">
      <c r="N31569" s="28"/>
      <c r="O31569" s="28"/>
      <c r="U31569" s="28"/>
    </row>
    <row r="31570">
      <c r="N31570" s="28"/>
      <c r="O31570" s="28"/>
      <c r="U31570" s="28"/>
    </row>
    <row r="31571">
      <c r="N31571" s="28"/>
      <c r="O31571" s="28"/>
      <c r="U31571" s="28"/>
    </row>
    <row r="31572">
      <c r="N31572" s="28"/>
      <c r="O31572" s="28"/>
      <c r="U31572" s="28"/>
    </row>
    <row r="31573">
      <c r="N31573" s="28"/>
      <c r="O31573" s="28"/>
      <c r="U31573" s="28"/>
    </row>
    <row r="31574">
      <c r="N31574" s="28"/>
      <c r="O31574" s="28"/>
      <c r="U31574" s="28"/>
    </row>
    <row r="31575">
      <c r="N31575" s="28"/>
      <c r="O31575" s="28"/>
      <c r="U31575" s="28"/>
    </row>
    <row r="31576">
      <c r="N31576" s="28"/>
      <c r="O31576" s="28"/>
      <c r="U31576" s="28"/>
    </row>
    <row r="31577">
      <c r="N31577" s="28"/>
      <c r="O31577" s="28"/>
      <c r="U31577" s="28"/>
    </row>
    <row r="31578">
      <c r="N31578" s="28"/>
      <c r="O31578" s="28"/>
      <c r="U31578" s="28"/>
    </row>
    <row r="31579">
      <c r="N31579" s="28"/>
      <c r="O31579" s="28"/>
      <c r="U31579" s="28"/>
    </row>
    <row r="31580">
      <c r="N31580" s="28"/>
      <c r="O31580" s="28"/>
      <c r="U31580" s="28"/>
    </row>
    <row r="31581">
      <c r="N31581" s="28"/>
      <c r="O31581" s="28"/>
      <c r="U31581" s="28"/>
    </row>
    <row r="31582">
      <c r="N31582" s="28"/>
      <c r="O31582" s="28"/>
      <c r="U31582" s="28"/>
    </row>
    <row r="31583">
      <c r="N31583" s="28"/>
      <c r="O31583" s="28"/>
      <c r="U31583" s="28"/>
    </row>
    <row r="31584">
      <c r="N31584" s="28"/>
      <c r="O31584" s="28"/>
      <c r="U31584" s="28"/>
    </row>
    <row r="31585">
      <c r="N31585" s="28"/>
      <c r="O31585" s="28"/>
      <c r="U31585" s="28"/>
    </row>
    <row r="31586">
      <c r="N31586" s="28"/>
      <c r="O31586" s="28"/>
      <c r="U31586" s="28"/>
    </row>
    <row r="31587">
      <c r="N31587" s="28"/>
      <c r="O31587" s="28"/>
      <c r="U31587" s="28"/>
    </row>
    <row r="31588">
      <c r="N31588" s="28"/>
      <c r="O31588" s="28"/>
      <c r="U31588" s="28"/>
    </row>
    <row r="31589">
      <c r="N31589" s="28"/>
      <c r="O31589" s="28"/>
      <c r="U31589" s="28"/>
    </row>
    <row r="31590">
      <c r="N31590" s="28"/>
      <c r="O31590" s="28"/>
      <c r="U31590" s="28"/>
    </row>
    <row r="31591">
      <c r="N31591" s="28"/>
      <c r="O31591" s="28"/>
      <c r="U31591" s="28"/>
    </row>
    <row r="31592">
      <c r="N31592" s="28"/>
      <c r="O31592" s="28"/>
      <c r="U31592" s="28"/>
    </row>
    <row r="31593">
      <c r="N31593" s="28"/>
      <c r="O31593" s="28"/>
      <c r="U31593" s="28"/>
    </row>
    <row r="31594">
      <c r="N31594" s="28"/>
      <c r="O31594" s="28"/>
      <c r="U31594" s="28"/>
    </row>
    <row r="31595">
      <c r="N31595" s="28"/>
      <c r="O31595" s="28"/>
      <c r="U31595" s="28"/>
    </row>
    <row r="31596">
      <c r="N31596" s="28"/>
      <c r="O31596" s="28"/>
      <c r="U31596" s="28"/>
    </row>
    <row r="31597">
      <c r="N31597" s="28"/>
      <c r="O31597" s="28"/>
      <c r="U31597" s="28"/>
    </row>
    <row r="31598">
      <c r="N31598" s="28"/>
      <c r="O31598" s="28"/>
      <c r="U31598" s="28"/>
    </row>
    <row r="31599">
      <c r="N31599" s="28"/>
      <c r="O31599" s="28"/>
      <c r="U31599" s="28"/>
    </row>
    <row r="31600">
      <c r="N31600" s="28"/>
      <c r="O31600" s="28"/>
      <c r="U31600" s="28"/>
    </row>
    <row r="31601">
      <c r="N31601" s="28"/>
      <c r="O31601" s="28"/>
      <c r="U31601" s="28"/>
    </row>
    <row r="31602">
      <c r="N31602" s="28"/>
      <c r="O31602" s="28"/>
      <c r="U31602" s="28"/>
    </row>
    <row r="31603">
      <c r="N31603" s="28"/>
      <c r="O31603" s="28"/>
      <c r="U31603" s="28"/>
    </row>
    <row r="31604">
      <c r="N31604" s="28"/>
      <c r="O31604" s="28"/>
      <c r="U31604" s="28"/>
    </row>
    <row r="31605">
      <c r="N31605" s="28"/>
      <c r="O31605" s="28"/>
      <c r="U31605" s="28"/>
    </row>
    <row r="31606">
      <c r="N31606" s="28"/>
      <c r="O31606" s="28"/>
      <c r="U31606" s="28"/>
    </row>
    <row r="31607">
      <c r="N31607" s="28"/>
      <c r="O31607" s="28"/>
      <c r="U31607" s="28"/>
    </row>
    <row r="31608">
      <c r="N31608" s="28"/>
      <c r="O31608" s="28"/>
      <c r="U31608" s="28"/>
    </row>
    <row r="31609">
      <c r="N31609" s="28"/>
      <c r="O31609" s="28"/>
      <c r="U31609" s="28"/>
    </row>
    <row r="31610">
      <c r="N31610" s="28"/>
      <c r="O31610" s="28"/>
      <c r="U31610" s="28"/>
    </row>
    <row r="31611">
      <c r="N31611" s="28"/>
      <c r="O31611" s="28"/>
      <c r="U31611" s="28"/>
    </row>
    <row r="31612">
      <c r="N31612" s="28"/>
      <c r="O31612" s="28"/>
      <c r="U31612" s="28"/>
    </row>
    <row r="31613">
      <c r="N31613" s="28"/>
      <c r="O31613" s="28"/>
      <c r="U31613" s="28"/>
    </row>
    <row r="31614">
      <c r="N31614" s="28"/>
      <c r="O31614" s="28"/>
      <c r="U31614" s="28"/>
    </row>
    <row r="31615">
      <c r="N31615" s="28"/>
      <c r="O31615" s="28"/>
      <c r="U31615" s="28"/>
    </row>
    <row r="31616">
      <c r="N31616" s="28"/>
      <c r="O31616" s="28"/>
      <c r="U31616" s="28"/>
    </row>
    <row r="31617">
      <c r="N31617" s="28"/>
      <c r="O31617" s="28"/>
      <c r="U31617" s="28"/>
    </row>
    <row r="31618">
      <c r="N31618" s="28"/>
      <c r="O31618" s="28"/>
      <c r="U31618" s="28"/>
    </row>
    <row r="31619">
      <c r="N31619" s="28"/>
      <c r="O31619" s="28"/>
      <c r="U31619" s="28"/>
    </row>
    <row r="31620">
      <c r="N31620" s="28"/>
      <c r="O31620" s="28"/>
      <c r="U31620" s="28"/>
    </row>
    <row r="31621">
      <c r="N31621" s="28"/>
      <c r="O31621" s="28"/>
      <c r="U31621" s="28"/>
    </row>
    <row r="31622">
      <c r="N31622" s="28"/>
      <c r="O31622" s="28"/>
      <c r="U31622" s="28"/>
    </row>
    <row r="31623">
      <c r="N31623" s="28"/>
      <c r="O31623" s="28"/>
      <c r="U31623" s="28"/>
    </row>
    <row r="31624">
      <c r="N31624" s="28"/>
      <c r="O31624" s="28"/>
      <c r="U31624" s="28"/>
    </row>
    <row r="31625">
      <c r="N31625" s="28"/>
      <c r="O31625" s="28"/>
      <c r="U31625" s="28"/>
    </row>
    <row r="31626">
      <c r="N31626" s="28"/>
      <c r="O31626" s="28"/>
      <c r="U31626" s="28"/>
    </row>
    <row r="31627">
      <c r="N31627" s="28"/>
      <c r="O31627" s="28"/>
      <c r="U31627" s="28"/>
    </row>
    <row r="31628">
      <c r="N31628" s="28"/>
      <c r="O31628" s="28"/>
      <c r="U31628" s="28"/>
    </row>
    <row r="31629">
      <c r="N31629" s="28"/>
      <c r="O31629" s="28"/>
      <c r="U31629" s="28"/>
    </row>
    <row r="31630">
      <c r="N31630" s="28"/>
      <c r="O31630" s="28"/>
      <c r="U31630" s="28"/>
    </row>
    <row r="31631">
      <c r="N31631" s="28"/>
      <c r="O31631" s="28"/>
      <c r="U31631" s="28"/>
    </row>
    <row r="31632">
      <c r="N31632" s="28"/>
      <c r="O31632" s="28"/>
      <c r="U31632" s="28"/>
    </row>
    <row r="31633">
      <c r="N31633" s="28"/>
      <c r="O31633" s="28"/>
      <c r="U31633" s="28"/>
    </row>
    <row r="31634">
      <c r="N31634" s="28"/>
      <c r="O31634" s="28"/>
      <c r="U31634" s="28"/>
    </row>
    <row r="31635">
      <c r="N31635" s="28"/>
      <c r="O31635" s="28"/>
      <c r="U31635" s="28"/>
    </row>
    <row r="31636">
      <c r="N31636" s="28"/>
      <c r="O31636" s="28"/>
      <c r="U31636" s="28"/>
    </row>
    <row r="31637">
      <c r="N31637" s="28"/>
      <c r="O31637" s="28"/>
      <c r="U31637" s="28"/>
    </row>
    <row r="31638">
      <c r="N31638" s="28"/>
      <c r="O31638" s="28"/>
      <c r="U31638" s="28"/>
    </row>
    <row r="31639">
      <c r="N31639" s="28"/>
      <c r="O31639" s="28"/>
      <c r="U31639" s="28"/>
    </row>
    <row r="31640">
      <c r="N31640" s="28"/>
      <c r="O31640" s="28"/>
      <c r="U31640" s="28"/>
    </row>
    <row r="31641">
      <c r="N31641" s="28"/>
      <c r="O31641" s="28"/>
      <c r="U31641" s="28"/>
    </row>
    <row r="31642">
      <c r="N31642" s="28"/>
      <c r="O31642" s="28"/>
      <c r="U31642" s="28"/>
    </row>
    <row r="31643">
      <c r="N31643" s="28"/>
      <c r="O31643" s="28"/>
      <c r="U31643" s="28"/>
    </row>
    <row r="31644">
      <c r="N31644" s="28"/>
      <c r="O31644" s="28"/>
      <c r="U31644" s="28"/>
    </row>
    <row r="31645">
      <c r="N31645" s="28"/>
      <c r="O31645" s="28"/>
      <c r="U31645" s="28"/>
    </row>
    <row r="31646">
      <c r="N31646" s="28"/>
      <c r="O31646" s="28"/>
      <c r="U31646" s="28"/>
    </row>
    <row r="31647">
      <c r="N31647" s="28"/>
      <c r="O31647" s="28"/>
      <c r="U31647" s="28"/>
    </row>
    <row r="31648">
      <c r="N31648" s="28"/>
      <c r="O31648" s="28"/>
      <c r="U31648" s="28"/>
    </row>
    <row r="31649">
      <c r="N31649" s="28"/>
      <c r="O31649" s="28"/>
      <c r="U31649" s="28"/>
    </row>
    <row r="31650">
      <c r="N31650" s="28"/>
      <c r="O31650" s="28"/>
      <c r="U31650" s="28"/>
    </row>
    <row r="31651">
      <c r="N31651" s="28"/>
      <c r="O31651" s="28"/>
      <c r="U31651" s="28"/>
    </row>
    <row r="31652">
      <c r="N31652" s="28"/>
      <c r="O31652" s="28"/>
      <c r="U31652" s="28"/>
    </row>
    <row r="31653">
      <c r="N31653" s="28"/>
      <c r="O31653" s="28"/>
      <c r="U31653" s="28"/>
    </row>
    <row r="31654">
      <c r="N31654" s="28"/>
      <c r="O31654" s="28"/>
      <c r="U31654" s="28"/>
    </row>
    <row r="31655">
      <c r="N31655" s="28"/>
      <c r="O31655" s="28"/>
      <c r="U31655" s="28"/>
    </row>
    <row r="31656">
      <c r="N31656" s="28"/>
      <c r="O31656" s="28"/>
      <c r="U31656" s="28"/>
    </row>
    <row r="31657">
      <c r="N31657" s="28"/>
      <c r="O31657" s="28"/>
      <c r="U31657" s="28"/>
    </row>
    <row r="31658">
      <c r="N31658" s="28"/>
      <c r="O31658" s="28"/>
      <c r="U31658" s="28"/>
    </row>
    <row r="31659">
      <c r="N31659" s="28"/>
      <c r="O31659" s="28"/>
      <c r="U31659" s="28"/>
    </row>
    <row r="31660">
      <c r="N31660" s="28"/>
      <c r="O31660" s="28"/>
      <c r="U31660" s="28"/>
    </row>
    <row r="31661">
      <c r="N31661" s="28"/>
      <c r="O31661" s="28"/>
      <c r="U31661" s="28"/>
    </row>
    <row r="31662">
      <c r="N31662" s="28"/>
      <c r="O31662" s="28"/>
      <c r="U31662" s="28"/>
    </row>
    <row r="31663">
      <c r="N31663" s="28"/>
      <c r="O31663" s="28"/>
      <c r="U31663" s="28"/>
    </row>
    <row r="31664">
      <c r="N31664" s="28"/>
      <c r="O31664" s="28"/>
      <c r="U31664" s="28"/>
    </row>
    <row r="31665">
      <c r="N31665" s="28"/>
      <c r="O31665" s="28"/>
      <c r="U31665" s="28"/>
    </row>
    <row r="31666">
      <c r="N31666" s="28"/>
      <c r="O31666" s="28"/>
      <c r="U31666" s="28"/>
    </row>
    <row r="31667">
      <c r="N31667" s="28"/>
      <c r="O31667" s="28"/>
      <c r="U31667" s="28"/>
    </row>
    <row r="31668">
      <c r="N31668" s="28"/>
      <c r="O31668" s="28"/>
      <c r="U31668" s="28"/>
    </row>
    <row r="31669">
      <c r="N31669" s="28"/>
      <c r="O31669" s="28"/>
      <c r="U31669" s="28"/>
    </row>
    <row r="31670">
      <c r="N31670" s="28"/>
      <c r="O31670" s="28"/>
      <c r="U31670" s="28"/>
    </row>
    <row r="31671">
      <c r="N31671" s="28"/>
      <c r="O31671" s="28"/>
      <c r="U31671" s="28"/>
    </row>
    <row r="31672">
      <c r="N31672" s="28"/>
      <c r="O31672" s="28"/>
      <c r="U31672" s="28"/>
    </row>
    <row r="31673">
      <c r="N31673" s="28"/>
      <c r="O31673" s="28"/>
      <c r="U31673" s="28"/>
    </row>
    <row r="31674">
      <c r="N31674" s="28"/>
      <c r="O31674" s="28"/>
      <c r="U31674" s="28"/>
    </row>
    <row r="31675">
      <c r="N31675" s="28"/>
      <c r="O31675" s="28"/>
      <c r="U31675" s="28"/>
    </row>
    <row r="31676">
      <c r="N31676" s="28"/>
      <c r="O31676" s="28"/>
      <c r="U31676" s="28"/>
    </row>
    <row r="31677">
      <c r="N31677" s="28"/>
      <c r="O31677" s="28"/>
      <c r="U31677" s="28"/>
    </row>
    <row r="31678">
      <c r="N31678" s="28"/>
      <c r="O31678" s="28"/>
      <c r="U31678" s="28"/>
    </row>
    <row r="31679">
      <c r="N31679" s="28"/>
      <c r="O31679" s="28"/>
      <c r="U31679" s="28"/>
    </row>
    <row r="31680">
      <c r="N31680" s="28"/>
      <c r="O31680" s="28"/>
      <c r="U31680" s="28"/>
    </row>
    <row r="31681">
      <c r="N31681" s="28"/>
      <c r="O31681" s="28"/>
      <c r="U31681" s="28"/>
    </row>
    <row r="31682">
      <c r="N31682" s="28"/>
      <c r="O31682" s="28"/>
      <c r="U31682" s="28"/>
    </row>
    <row r="31683">
      <c r="N31683" s="28"/>
      <c r="O31683" s="28"/>
      <c r="U31683" s="28"/>
    </row>
    <row r="31684">
      <c r="N31684" s="28"/>
      <c r="O31684" s="28"/>
      <c r="U31684" s="28"/>
    </row>
    <row r="31685">
      <c r="N31685" s="28"/>
      <c r="O31685" s="28"/>
      <c r="U31685" s="28"/>
    </row>
    <row r="31686">
      <c r="N31686" s="28"/>
      <c r="O31686" s="28"/>
      <c r="U31686" s="28"/>
    </row>
    <row r="31687">
      <c r="N31687" s="28"/>
      <c r="O31687" s="28"/>
      <c r="U31687" s="28"/>
    </row>
    <row r="31688">
      <c r="N31688" s="28"/>
      <c r="O31688" s="28"/>
      <c r="U31688" s="28"/>
    </row>
    <row r="31689">
      <c r="N31689" s="28"/>
      <c r="O31689" s="28"/>
      <c r="U31689" s="28"/>
    </row>
    <row r="31690">
      <c r="N31690" s="28"/>
      <c r="O31690" s="28"/>
      <c r="U31690" s="28"/>
    </row>
    <row r="31691">
      <c r="N31691" s="28"/>
      <c r="O31691" s="28"/>
      <c r="U31691" s="28"/>
    </row>
    <row r="31692">
      <c r="N31692" s="28"/>
      <c r="O31692" s="28"/>
      <c r="U31692" s="28"/>
    </row>
    <row r="31693">
      <c r="N31693" s="28"/>
      <c r="O31693" s="28"/>
      <c r="U31693" s="28"/>
    </row>
    <row r="31694">
      <c r="N31694" s="28"/>
      <c r="O31694" s="28"/>
      <c r="U31694" s="28"/>
    </row>
    <row r="31695">
      <c r="N31695" s="28"/>
      <c r="O31695" s="28"/>
      <c r="U31695" s="28"/>
    </row>
    <row r="31696">
      <c r="N31696" s="28"/>
      <c r="O31696" s="28"/>
      <c r="U31696" s="28"/>
    </row>
    <row r="31697">
      <c r="N31697" s="28"/>
      <c r="O31697" s="28"/>
      <c r="U31697" s="28"/>
    </row>
    <row r="31698">
      <c r="N31698" s="28"/>
      <c r="O31698" s="28"/>
      <c r="U31698" s="28"/>
    </row>
    <row r="31699">
      <c r="N31699" s="28"/>
      <c r="O31699" s="28"/>
      <c r="U31699" s="28"/>
    </row>
    <row r="31700">
      <c r="N31700" s="28"/>
      <c r="O31700" s="28"/>
      <c r="U31700" s="28"/>
    </row>
    <row r="31701">
      <c r="N31701" s="28"/>
      <c r="O31701" s="28"/>
      <c r="U31701" s="28"/>
    </row>
    <row r="31702">
      <c r="N31702" s="28"/>
      <c r="O31702" s="28"/>
      <c r="U31702" s="28"/>
    </row>
    <row r="31703">
      <c r="N31703" s="28"/>
      <c r="O31703" s="28"/>
      <c r="U31703" s="28"/>
    </row>
    <row r="31704">
      <c r="N31704" s="28"/>
      <c r="O31704" s="28"/>
      <c r="U31704" s="28"/>
    </row>
    <row r="31705">
      <c r="N31705" s="28"/>
      <c r="O31705" s="28"/>
      <c r="U31705" s="28"/>
    </row>
    <row r="31706">
      <c r="N31706" s="28"/>
      <c r="O31706" s="28"/>
      <c r="U31706" s="28"/>
    </row>
    <row r="31707">
      <c r="N31707" s="28"/>
      <c r="O31707" s="28"/>
      <c r="U31707" s="28"/>
    </row>
    <row r="31708">
      <c r="N31708" s="28"/>
      <c r="O31708" s="28"/>
      <c r="U31708" s="28"/>
    </row>
    <row r="31709">
      <c r="N31709" s="28"/>
      <c r="O31709" s="28"/>
      <c r="U31709" s="28"/>
    </row>
    <row r="31710">
      <c r="N31710" s="28"/>
      <c r="O31710" s="28"/>
      <c r="U31710" s="28"/>
    </row>
    <row r="31711">
      <c r="N31711" s="28"/>
      <c r="O31711" s="28"/>
      <c r="U31711" s="28"/>
    </row>
    <row r="31712">
      <c r="N31712" s="28"/>
      <c r="O31712" s="28"/>
      <c r="U31712" s="28"/>
    </row>
    <row r="31713">
      <c r="N31713" s="28"/>
      <c r="O31713" s="28"/>
      <c r="U31713" s="28"/>
    </row>
    <row r="31714">
      <c r="N31714" s="28"/>
      <c r="O31714" s="28"/>
      <c r="U31714" s="28"/>
    </row>
    <row r="31715">
      <c r="N31715" s="28"/>
      <c r="O31715" s="28"/>
      <c r="U31715" s="28"/>
    </row>
    <row r="31716">
      <c r="N31716" s="28"/>
      <c r="O31716" s="28"/>
      <c r="U31716" s="28"/>
    </row>
    <row r="31717">
      <c r="N31717" s="28"/>
      <c r="O31717" s="28"/>
      <c r="U31717" s="28"/>
    </row>
    <row r="31718">
      <c r="N31718" s="28"/>
      <c r="O31718" s="28"/>
      <c r="U31718" s="28"/>
    </row>
    <row r="31719">
      <c r="N31719" s="28"/>
      <c r="O31719" s="28"/>
      <c r="U31719" s="28"/>
    </row>
    <row r="31720">
      <c r="N31720" s="28"/>
      <c r="O31720" s="28"/>
      <c r="U31720" s="28"/>
    </row>
    <row r="31721">
      <c r="N31721" s="28"/>
      <c r="O31721" s="28"/>
      <c r="U31721" s="28"/>
    </row>
    <row r="31722">
      <c r="N31722" s="28"/>
      <c r="O31722" s="28"/>
      <c r="U31722" s="28"/>
    </row>
    <row r="31723">
      <c r="N31723" s="28"/>
      <c r="O31723" s="28"/>
      <c r="U31723" s="28"/>
    </row>
    <row r="31724">
      <c r="N31724" s="28"/>
      <c r="O31724" s="28"/>
      <c r="U31724" s="28"/>
    </row>
    <row r="31725">
      <c r="N31725" s="28"/>
      <c r="O31725" s="28"/>
      <c r="U31725" s="28"/>
    </row>
    <row r="31726">
      <c r="N31726" s="28"/>
      <c r="O31726" s="28"/>
      <c r="U31726" s="28"/>
    </row>
    <row r="31727">
      <c r="N31727" s="28"/>
      <c r="O31727" s="28"/>
      <c r="U31727" s="28"/>
    </row>
    <row r="31728">
      <c r="N31728" s="28"/>
      <c r="O31728" s="28"/>
      <c r="U31728" s="28"/>
    </row>
    <row r="31729">
      <c r="N31729" s="28"/>
      <c r="O31729" s="28"/>
      <c r="U31729" s="28"/>
    </row>
    <row r="31730">
      <c r="N31730" s="28"/>
      <c r="O31730" s="28"/>
      <c r="U31730" s="28"/>
    </row>
    <row r="31731">
      <c r="N31731" s="28"/>
      <c r="O31731" s="28"/>
      <c r="U31731" s="28"/>
    </row>
    <row r="31732">
      <c r="N31732" s="28"/>
      <c r="O31732" s="28"/>
      <c r="U31732" s="28"/>
    </row>
    <row r="31733">
      <c r="N31733" s="28"/>
      <c r="O31733" s="28"/>
      <c r="U31733" s="28"/>
    </row>
    <row r="31734">
      <c r="N31734" s="28"/>
      <c r="O31734" s="28"/>
      <c r="U31734" s="28"/>
    </row>
    <row r="31735">
      <c r="N31735" s="28"/>
      <c r="O31735" s="28"/>
      <c r="U31735" s="28"/>
    </row>
    <row r="31736">
      <c r="N31736" s="28"/>
      <c r="O31736" s="28"/>
      <c r="U31736" s="28"/>
    </row>
    <row r="31737">
      <c r="N31737" s="28"/>
      <c r="O31737" s="28"/>
      <c r="U31737" s="28"/>
    </row>
    <row r="31738">
      <c r="N31738" s="28"/>
      <c r="O31738" s="28"/>
      <c r="U31738" s="28"/>
    </row>
    <row r="31739">
      <c r="N31739" s="28"/>
      <c r="O31739" s="28"/>
      <c r="U31739" s="28"/>
    </row>
    <row r="31740">
      <c r="N31740" s="28"/>
      <c r="O31740" s="28"/>
      <c r="U31740" s="28"/>
    </row>
    <row r="31741">
      <c r="N31741" s="28"/>
      <c r="O31741" s="28"/>
      <c r="U31741" s="28"/>
    </row>
    <row r="31742">
      <c r="N31742" s="28"/>
      <c r="O31742" s="28"/>
      <c r="U31742" s="28"/>
    </row>
    <row r="31743">
      <c r="N31743" s="28"/>
      <c r="O31743" s="28"/>
      <c r="U31743" s="28"/>
    </row>
    <row r="31744">
      <c r="N31744" s="28"/>
      <c r="O31744" s="28"/>
      <c r="U31744" s="28"/>
    </row>
    <row r="31745">
      <c r="N31745" s="28"/>
      <c r="O31745" s="28"/>
      <c r="U31745" s="28"/>
    </row>
    <row r="31746">
      <c r="N31746" s="28"/>
      <c r="O31746" s="28"/>
      <c r="U31746" s="28"/>
    </row>
    <row r="31747">
      <c r="N31747" s="28"/>
      <c r="O31747" s="28"/>
      <c r="U31747" s="28"/>
    </row>
    <row r="31748">
      <c r="N31748" s="28"/>
      <c r="O31748" s="28"/>
      <c r="U31748" s="28"/>
    </row>
    <row r="31749">
      <c r="N31749" s="28"/>
      <c r="O31749" s="28"/>
      <c r="U31749" s="28"/>
    </row>
    <row r="31750">
      <c r="N31750" s="28"/>
      <c r="O31750" s="28"/>
      <c r="U31750" s="28"/>
    </row>
    <row r="31751">
      <c r="N31751" s="28"/>
      <c r="O31751" s="28"/>
      <c r="U31751" s="28"/>
    </row>
    <row r="31752">
      <c r="N31752" s="28"/>
      <c r="O31752" s="28"/>
      <c r="U31752" s="28"/>
    </row>
    <row r="31753">
      <c r="N31753" s="28"/>
      <c r="O31753" s="28"/>
      <c r="U31753" s="28"/>
    </row>
    <row r="31754">
      <c r="N31754" s="28"/>
      <c r="O31754" s="28"/>
      <c r="U31754" s="28"/>
    </row>
    <row r="31755">
      <c r="N31755" s="28"/>
      <c r="O31755" s="28"/>
      <c r="U31755" s="28"/>
    </row>
    <row r="31756">
      <c r="N31756" s="28"/>
      <c r="O31756" s="28"/>
      <c r="U31756" s="28"/>
    </row>
    <row r="31757">
      <c r="N31757" s="28"/>
      <c r="O31757" s="28"/>
      <c r="U31757" s="28"/>
    </row>
    <row r="31758">
      <c r="N31758" s="28"/>
      <c r="O31758" s="28"/>
      <c r="U31758" s="28"/>
    </row>
    <row r="31759">
      <c r="N31759" s="28"/>
      <c r="O31759" s="28"/>
      <c r="U31759" s="28"/>
    </row>
    <row r="31760">
      <c r="N31760" s="28"/>
      <c r="O31760" s="28"/>
      <c r="U31760" s="28"/>
    </row>
    <row r="31761">
      <c r="N31761" s="28"/>
      <c r="O31761" s="28"/>
      <c r="U31761" s="28"/>
    </row>
    <row r="31762">
      <c r="N31762" s="28"/>
      <c r="O31762" s="28"/>
      <c r="U31762" s="28"/>
    </row>
    <row r="31763">
      <c r="N31763" s="28"/>
      <c r="O31763" s="28"/>
      <c r="U31763" s="28"/>
    </row>
    <row r="31764">
      <c r="N31764" s="28"/>
      <c r="O31764" s="28"/>
      <c r="U31764" s="28"/>
    </row>
    <row r="31765">
      <c r="N31765" s="28"/>
      <c r="O31765" s="28"/>
      <c r="U31765" s="28"/>
    </row>
    <row r="31766">
      <c r="N31766" s="28"/>
      <c r="O31766" s="28"/>
      <c r="U31766" s="28"/>
    </row>
    <row r="31767">
      <c r="N31767" s="28"/>
      <c r="O31767" s="28"/>
      <c r="U31767" s="28"/>
    </row>
    <row r="31768">
      <c r="N31768" s="28"/>
      <c r="O31768" s="28"/>
      <c r="U31768" s="28"/>
    </row>
    <row r="31769">
      <c r="N31769" s="28"/>
      <c r="O31769" s="28"/>
      <c r="U31769" s="28"/>
    </row>
    <row r="31770">
      <c r="N31770" s="28"/>
      <c r="O31770" s="28"/>
      <c r="U31770" s="28"/>
    </row>
    <row r="31771">
      <c r="N31771" s="28"/>
      <c r="O31771" s="28"/>
      <c r="U31771" s="28"/>
    </row>
    <row r="31772">
      <c r="N31772" s="28"/>
      <c r="O31772" s="28"/>
      <c r="U31772" s="28"/>
    </row>
    <row r="31773">
      <c r="N31773" s="28"/>
      <c r="O31773" s="28"/>
      <c r="U31773" s="28"/>
    </row>
    <row r="31774">
      <c r="N31774" s="28"/>
      <c r="O31774" s="28"/>
      <c r="U31774" s="28"/>
    </row>
    <row r="31775">
      <c r="N31775" s="28"/>
      <c r="O31775" s="28"/>
      <c r="U31775" s="28"/>
    </row>
    <row r="31776">
      <c r="N31776" s="28"/>
      <c r="O31776" s="28"/>
      <c r="U31776" s="28"/>
    </row>
    <row r="31777">
      <c r="N31777" s="28"/>
      <c r="O31777" s="28"/>
      <c r="U31777" s="28"/>
    </row>
    <row r="31778">
      <c r="N31778" s="28"/>
      <c r="O31778" s="28"/>
      <c r="U31778" s="28"/>
    </row>
    <row r="31779">
      <c r="N31779" s="28"/>
      <c r="O31779" s="28"/>
      <c r="U31779" s="28"/>
    </row>
    <row r="31780">
      <c r="N31780" s="28"/>
      <c r="O31780" s="28"/>
      <c r="U31780" s="28"/>
    </row>
    <row r="31781">
      <c r="N31781" s="28"/>
      <c r="O31781" s="28"/>
      <c r="U31781" s="28"/>
    </row>
    <row r="31782">
      <c r="N31782" s="28"/>
      <c r="O31782" s="28"/>
      <c r="U31782" s="28"/>
    </row>
    <row r="31783">
      <c r="N31783" s="28"/>
      <c r="O31783" s="28"/>
      <c r="U31783" s="28"/>
    </row>
    <row r="31784">
      <c r="N31784" s="28"/>
      <c r="O31784" s="28"/>
      <c r="U31784" s="28"/>
    </row>
    <row r="31785">
      <c r="N31785" s="28"/>
      <c r="O31785" s="28"/>
      <c r="U31785" s="28"/>
    </row>
    <row r="31786">
      <c r="N31786" s="28"/>
      <c r="O31786" s="28"/>
      <c r="U31786" s="28"/>
    </row>
    <row r="31787">
      <c r="N31787" s="28"/>
      <c r="O31787" s="28"/>
      <c r="U31787" s="28"/>
    </row>
    <row r="31788">
      <c r="N31788" s="28"/>
      <c r="O31788" s="28"/>
      <c r="U31788" s="28"/>
    </row>
    <row r="31789">
      <c r="N31789" s="28"/>
      <c r="O31789" s="28"/>
      <c r="U31789" s="28"/>
    </row>
    <row r="31790">
      <c r="N31790" s="28"/>
      <c r="O31790" s="28"/>
      <c r="U31790" s="28"/>
    </row>
    <row r="31791">
      <c r="N31791" s="28"/>
      <c r="O31791" s="28"/>
      <c r="U31791" s="28"/>
    </row>
    <row r="31792">
      <c r="N31792" s="28"/>
      <c r="O31792" s="28"/>
      <c r="U31792" s="28"/>
    </row>
    <row r="31793">
      <c r="N31793" s="28"/>
      <c r="O31793" s="28"/>
      <c r="U31793" s="28"/>
    </row>
    <row r="31794">
      <c r="N31794" s="28"/>
      <c r="O31794" s="28"/>
      <c r="U31794" s="28"/>
    </row>
    <row r="31795">
      <c r="N31795" s="28"/>
      <c r="O31795" s="28"/>
      <c r="U31795" s="28"/>
    </row>
    <row r="31796">
      <c r="N31796" s="28"/>
      <c r="O31796" s="28"/>
      <c r="U31796" s="28"/>
    </row>
    <row r="31797">
      <c r="N31797" s="28"/>
      <c r="O31797" s="28"/>
      <c r="U31797" s="28"/>
    </row>
    <row r="31798">
      <c r="N31798" s="28"/>
      <c r="O31798" s="28"/>
      <c r="U31798" s="28"/>
    </row>
    <row r="31799">
      <c r="N31799" s="28"/>
      <c r="O31799" s="28"/>
      <c r="U31799" s="28"/>
    </row>
    <row r="31800">
      <c r="N31800" s="28"/>
      <c r="O31800" s="28"/>
      <c r="U31800" s="28"/>
    </row>
    <row r="31801">
      <c r="N31801" s="28"/>
      <c r="O31801" s="28"/>
      <c r="U31801" s="28"/>
    </row>
    <row r="31802">
      <c r="N31802" s="28"/>
      <c r="O31802" s="28"/>
      <c r="U31802" s="28"/>
    </row>
    <row r="31803">
      <c r="N31803" s="28"/>
      <c r="O31803" s="28"/>
      <c r="U31803" s="28"/>
    </row>
    <row r="31804">
      <c r="N31804" s="28"/>
      <c r="O31804" s="28"/>
      <c r="U31804" s="28"/>
    </row>
    <row r="31805">
      <c r="N31805" s="28"/>
      <c r="O31805" s="28"/>
      <c r="U31805" s="28"/>
    </row>
    <row r="31806">
      <c r="N31806" s="28"/>
      <c r="O31806" s="28"/>
      <c r="U31806" s="28"/>
    </row>
    <row r="31807">
      <c r="N31807" s="28"/>
      <c r="O31807" s="28"/>
      <c r="U31807" s="28"/>
    </row>
    <row r="31808">
      <c r="N31808" s="28"/>
      <c r="O31808" s="28"/>
      <c r="U31808" s="28"/>
    </row>
    <row r="31809">
      <c r="N31809" s="28"/>
      <c r="O31809" s="28"/>
      <c r="U31809" s="28"/>
    </row>
    <row r="31810">
      <c r="N31810" s="28"/>
      <c r="O31810" s="28"/>
      <c r="U31810" s="28"/>
    </row>
    <row r="31811">
      <c r="N31811" s="28"/>
      <c r="O31811" s="28"/>
      <c r="U31811" s="28"/>
    </row>
    <row r="31812">
      <c r="N31812" s="28"/>
      <c r="O31812" s="28"/>
      <c r="U31812" s="28"/>
    </row>
    <row r="31813">
      <c r="N31813" s="28"/>
      <c r="O31813" s="28"/>
      <c r="U31813" s="28"/>
    </row>
    <row r="31814">
      <c r="N31814" s="28"/>
      <c r="O31814" s="28"/>
      <c r="U31814" s="28"/>
    </row>
    <row r="31815">
      <c r="N31815" s="28"/>
      <c r="O31815" s="28"/>
      <c r="U31815" s="28"/>
    </row>
    <row r="31816">
      <c r="N31816" s="28"/>
      <c r="O31816" s="28"/>
      <c r="U31816" s="28"/>
    </row>
    <row r="31817">
      <c r="N31817" s="28"/>
      <c r="O31817" s="28"/>
      <c r="U31817" s="28"/>
    </row>
    <row r="31818">
      <c r="N31818" s="28"/>
      <c r="O31818" s="28"/>
      <c r="U31818" s="28"/>
    </row>
    <row r="31819">
      <c r="N31819" s="28"/>
      <c r="O31819" s="28"/>
      <c r="U31819" s="28"/>
    </row>
    <row r="31820">
      <c r="N31820" s="28"/>
      <c r="O31820" s="28"/>
      <c r="U31820" s="28"/>
    </row>
    <row r="31821">
      <c r="N31821" s="28"/>
      <c r="O31821" s="28"/>
      <c r="U31821" s="28"/>
    </row>
    <row r="31822">
      <c r="N31822" s="28"/>
      <c r="O31822" s="28"/>
      <c r="U31822" s="28"/>
    </row>
    <row r="31823">
      <c r="N31823" s="28"/>
      <c r="O31823" s="28"/>
      <c r="U31823" s="28"/>
    </row>
    <row r="31824">
      <c r="N31824" s="28"/>
      <c r="O31824" s="28"/>
      <c r="U31824" s="28"/>
    </row>
    <row r="31825">
      <c r="N31825" s="28"/>
      <c r="O31825" s="28"/>
      <c r="U31825" s="28"/>
    </row>
    <row r="31826">
      <c r="N31826" s="28"/>
      <c r="O31826" s="28"/>
      <c r="U31826" s="28"/>
    </row>
    <row r="31827">
      <c r="N31827" s="28"/>
      <c r="O31827" s="28"/>
      <c r="U31827" s="28"/>
    </row>
    <row r="31828">
      <c r="N31828" s="28"/>
      <c r="O31828" s="28"/>
      <c r="U31828" s="28"/>
    </row>
    <row r="31829">
      <c r="N31829" s="28"/>
      <c r="O31829" s="28"/>
      <c r="U31829" s="28"/>
    </row>
    <row r="31830">
      <c r="N31830" s="28"/>
      <c r="O31830" s="28"/>
      <c r="U31830" s="28"/>
    </row>
    <row r="31831">
      <c r="N31831" s="28"/>
      <c r="O31831" s="28"/>
      <c r="U31831" s="28"/>
    </row>
    <row r="31832">
      <c r="N31832" s="28"/>
      <c r="O31832" s="28"/>
      <c r="U31832" s="28"/>
    </row>
    <row r="31833">
      <c r="N31833" s="28"/>
      <c r="O31833" s="28"/>
      <c r="U31833" s="28"/>
    </row>
    <row r="31834">
      <c r="N31834" s="28"/>
      <c r="O31834" s="28"/>
      <c r="U31834" s="28"/>
    </row>
    <row r="31835">
      <c r="N31835" s="28"/>
      <c r="O31835" s="28"/>
      <c r="U31835" s="28"/>
    </row>
    <row r="31836">
      <c r="N31836" s="28"/>
      <c r="O31836" s="28"/>
      <c r="U31836" s="28"/>
    </row>
    <row r="31837">
      <c r="N31837" s="28"/>
      <c r="O31837" s="28"/>
      <c r="U31837" s="28"/>
    </row>
    <row r="31838">
      <c r="N31838" s="28"/>
      <c r="O31838" s="28"/>
      <c r="U31838" s="28"/>
    </row>
    <row r="31839">
      <c r="N31839" s="28"/>
      <c r="O31839" s="28"/>
      <c r="U31839" s="28"/>
    </row>
    <row r="31840">
      <c r="N31840" s="28"/>
      <c r="O31840" s="28"/>
      <c r="U31840" s="28"/>
    </row>
    <row r="31841">
      <c r="N31841" s="28"/>
      <c r="O31841" s="28"/>
      <c r="U31841" s="28"/>
    </row>
    <row r="31842">
      <c r="N31842" s="28"/>
      <c r="O31842" s="28"/>
      <c r="U31842" s="28"/>
    </row>
    <row r="31843">
      <c r="N31843" s="28"/>
      <c r="O31843" s="28"/>
      <c r="U31843" s="28"/>
    </row>
    <row r="31844">
      <c r="N31844" s="28"/>
      <c r="O31844" s="28"/>
      <c r="U31844" s="28"/>
    </row>
    <row r="31845">
      <c r="N31845" s="28"/>
      <c r="O31845" s="28"/>
      <c r="U31845" s="28"/>
    </row>
    <row r="31846">
      <c r="N31846" s="28"/>
      <c r="O31846" s="28"/>
      <c r="U31846" s="28"/>
    </row>
    <row r="31847">
      <c r="N31847" s="28"/>
      <c r="O31847" s="28"/>
      <c r="U31847" s="28"/>
    </row>
    <row r="31848">
      <c r="N31848" s="28"/>
      <c r="O31848" s="28"/>
      <c r="U31848" s="28"/>
    </row>
    <row r="31849">
      <c r="N31849" s="28"/>
      <c r="O31849" s="28"/>
      <c r="U31849" s="28"/>
    </row>
    <row r="31850">
      <c r="N31850" s="28"/>
      <c r="O31850" s="28"/>
      <c r="U31850" s="28"/>
    </row>
    <row r="31851">
      <c r="N31851" s="28"/>
      <c r="O31851" s="28"/>
      <c r="U31851" s="28"/>
    </row>
    <row r="31852">
      <c r="N31852" s="28"/>
      <c r="O31852" s="28"/>
      <c r="U31852" s="28"/>
    </row>
    <row r="31853">
      <c r="N31853" s="28"/>
      <c r="O31853" s="28"/>
      <c r="U31853" s="28"/>
    </row>
    <row r="31854">
      <c r="N31854" s="28"/>
      <c r="O31854" s="28"/>
      <c r="U31854" s="28"/>
    </row>
    <row r="31855">
      <c r="N31855" s="28"/>
      <c r="O31855" s="28"/>
      <c r="U31855" s="28"/>
    </row>
    <row r="31856">
      <c r="N31856" s="28"/>
      <c r="O31856" s="28"/>
      <c r="U31856" s="28"/>
    </row>
    <row r="31857">
      <c r="N31857" s="28"/>
      <c r="O31857" s="28"/>
      <c r="U31857" s="28"/>
    </row>
    <row r="31858">
      <c r="N31858" s="28"/>
      <c r="O31858" s="28"/>
      <c r="U31858" s="28"/>
    </row>
    <row r="31859">
      <c r="N31859" s="28"/>
      <c r="O31859" s="28"/>
      <c r="U31859" s="28"/>
    </row>
    <row r="31860">
      <c r="N31860" s="28"/>
      <c r="O31860" s="28"/>
      <c r="U31860" s="28"/>
    </row>
    <row r="31861">
      <c r="N31861" s="28"/>
      <c r="O31861" s="28"/>
      <c r="U31861" s="28"/>
    </row>
    <row r="31862">
      <c r="N31862" s="28"/>
      <c r="O31862" s="28"/>
      <c r="U31862" s="28"/>
    </row>
    <row r="31863">
      <c r="N31863" s="28"/>
      <c r="O31863" s="28"/>
      <c r="U31863" s="28"/>
    </row>
    <row r="31864">
      <c r="N31864" s="28"/>
      <c r="O31864" s="28"/>
      <c r="U31864" s="28"/>
    </row>
    <row r="31865">
      <c r="N31865" s="28"/>
      <c r="O31865" s="28"/>
      <c r="U31865" s="28"/>
    </row>
    <row r="31866">
      <c r="N31866" s="28"/>
      <c r="O31866" s="28"/>
      <c r="U31866" s="28"/>
    </row>
    <row r="31867">
      <c r="N31867" s="28"/>
      <c r="O31867" s="28"/>
      <c r="U31867" s="28"/>
    </row>
    <row r="31868">
      <c r="N31868" s="28"/>
      <c r="O31868" s="28"/>
      <c r="U31868" s="28"/>
    </row>
    <row r="31869">
      <c r="N31869" s="28"/>
      <c r="O31869" s="28"/>
      <c r="U31869" s="28"/>
    </row>
    <row r="31870">
      <c r="N31870" s="28"/>
      <c r="O31870" s="28"/>
      <c r="U31870" s="28"/>
    </row>
    <row r="31871">
      <c r="N31871" s="28"/>
      <c r="O31871" s="28"/>
      <c r="U31871" s="28"/>
    </row>
    <row r="31872">
      <c r="N31872" s="28"/>
      <c r="O31872" s="28"/>
      <c r="U31872" s="28"/>
    </row>
    <row r="31873">
      <c r="N31873" s="28"/>
      <c r="O31873" s="28"/>
      <c r="U31873" s="28"/>
    </row>
    <row r="31874">
      <c r="N31874" s="28"/>
      <c r="O31874" s="28"/>
      <c r="U31874" s="28"/>
    </row>
    <row r="31875">
      <c r="N31875" s="28"/>
      <c r="O31875" s="28"/>
      <c r="U31875" s="28"/>
    </row>
    <row r="31876">
      <c r="N31876" s="28"/>
      <c r="O31876" s="28"/>
      <c r="U31876" s="28"/>
    </row>
    <row r="31877">
      <c r="N31877" s="28"/>
      <c r="O31877" s="28"/>
      <c r="U31877" s="28"/>
    </row>
    <row r="31878">
      <c r="N31878" s="28"/>
      <c r="O31878" s="28"/>
      <c r="U31878" s="28"/>
    </row>
    <row r="31879">
      <c r="N31879" s="28"/>
      <c r="O31879" s="28"/>
      <c r="U31879" s="28"/>
    </row>
    <row r="31880">
      <c r="N31880" s="28"/>
      <c r="O31880" s="28"/>
      <c r="U31880" s="28"/>
    </row>
    <row r="31881">
      <c r="N31881" s="28"/>
      <c r="O31881" s="28"/>
      <c r="U31881" s="28"/>
    </row>
    <row r="31882">
      <c r="N31882" s="28"/>
      <c r="O31882" s="28"/>
      <c r="U31882" s="28"/>
    </row>
    <row r="31883">
      <c r="N31883" s="28"/>
      <c r="O31883" s="28"/>
      <c r="U31883" s="28"/>
    </row>
    <row r="31884">
      <c r="N31884" s="28"/>
      <c r="O31884" s="28"/>
      <c r="U31884" s="28"/>
    </row>
    <row r="31885">
      <c r="N31885" s="28"/>
      <c r="O31885" s="28"/>
      <c r="U31885" s="28"/>
    </row>
    <row r="31886">
      <c r="N31886" s="28"/>
      <c r="O31886" s="28"/>
      <c r="U31886" s="28"/>
    </row>
    <row r="31887">
      <c r="N31887" s="28"/>
      <c r="O31887" s="28"/>
      <c r="U31887" s="28"/>
    </row>
    <row r="31888">
      <c r="N31888" s="28"/>
      <c r="O31888" s="28"/>
      <c r="U31888" s="28"/>
    </row>
    <row r="31889">
      <c r="N31889" s="28"/>
      <c r="O31889" s="28"/>
      <c r="U31889" s="28"/>
    </row>
    <row r="31890">
      <c r="N31890" s="28"/>
      <c r="O31890" s="28"/>
      <c r="U31890" s="28"/>
    </row>
    <row r="31891">
      <c r="N31891" s="28"/>
      <c r="O31891" s="28"/>
      <c r="U31891" s="28"/>
    </row>
    <row r="31892">
      <c r="N31892" s="28"/>
      <c r="O31892" s="28"/>
      <c r="U31892" s="28"/>
    </row>
    <row r="31893">
      <c r="N31893" s="28"/>
      <c r="O31893" s="28"/>
      <c r="U31893" s="28"/>
    </row>
    <row r="31894">
      <c r="N31894" s="28"/>
      <c r="O31894" s="28"/>
      <c r="U31894" s="28"/>
    </row>
    <row r="31895">
      <c r="N31895" s="28"/>
      <c r="O31895" s="28"/>
      <c r="U31895" s="28"/>
    </row>
    <row r="31896">
      <c r="N31896" s="28"/>
      <c r="O31896" s="28"/>
      <c r="U31896" s="28"/>
    </row>
    <row r="31897">
      <c r="N31897" s="28"/>
      <c r="O31897" s="28"/>
      <c r="U31897" s="28"/>
    </row>
    <row r="31898">
      <c r="N31898" s="28"/>
      <c r="O31898" s="28"/>
      <c r="U31898" s="28"/>
    </row>
    <row r="31899">
      <c r="N31899" s="28"/>
      <c r="O31899" s="28"/>
      <c r="U31899" s="28"/>
    </row>
    <row r="31900">
      <c r="N31900" s="28"/>
      <c r="O31900" s="28"/>
      <c r="U31900" s="28"/>
    </row>
    <row r="31901">
      <c r="N31901" s="28"/>
      <c r="O31901" s="28"/>
      <c r="U31901" s="28"/>
    </row>
    <row r="31902">
      <c r="N31902" s="28"/>
      <c r="O31902" s="28"/>
      <c r="U31902" s="28"/>
    </row>
    <row r="31903">
      <c r="N31903" s="28"/>
      <c r="O31903" s="28"/>
      <c r="U31903" s="28"/>
    </row>
    <row r="31904">
      <c r="N31904" s="28"/>
      <c r="O31904" s="28"/>
      <c r="U31904" s="28"/>
    </row>
    <row r="31905">
      <c r="N31905" s="28"/>
      <c r="O31905" s="28"/>
      <c r="U31905" s="28"/>
    </row>
    <row r="31906">
      <c r="N31906" s="28"/>
      <c r="O31906" s="28"/>
      <c r="U31906" s="28"/>
    </row>
    <row r="31907">
      <c r="N31907" s="28"/>
      <c r="O31907" s="28"/>
      <c r="U31907" s="28"/>
    </row>
    <row r="31908">
      <c r="N31908" s="28"/>
      <c r="O31908" s="28"/>
      <c r="U31908" s="28"/>
    </row>
    <row r="31909">
      <c r="N31909" s="28"/>
      <c r="O31909" s="28"/>
      <c r="U31909" s="28"/>
    </row>
    <row r="31910">
      <c r="N31910" s="28"/>
      <c r="O31910" s="28"/>
      <c r="U31910" s="28"/>
    </row>
    <row r="31911">
      <c r="N31911" s="28"/>
      <c r="O31911" s="28"/>
      <c r="U31911" s="28"/>
    </row>
    <row r="31912">
      <c r="N31912" s="28"/>
      <c r="O31912" s="28"/>
      <c r="U31912" s="28"/>
    </row>
    <row r="31913">
      <c r="N31913" s="28"/>
      <c r="O31913" s="28"/>
      <c r="U31913" s="28"/>
    </row>
    <row r="31914">
      <c r="N31914" s="28"/>
      <c r="O31914" s="28"/>
      <c r="U31914" s="28"/>
    </row>
    <row r="31915">
      <c r="N31915" s="28"/>
      <c r="O31915" s="28"/>
      <c r="U31915" s="28"/>
    </row>
    <row r="31916">
      <c r="N31916" s="28"/>
      <c r="O31916" s="28"/>
      <c r="U31916" s="28"/>
    </row>
    <row r="31917">
      <c r="N31917" s="28"/>
      <c r="O31917" s="28"/>
      <c r="U31917" s="28"/>
    </row>
    <row r="31918">
      <c r="N31918" s="28"/>
      <c r="O31918" s="28"/>
      <c r="U31918" s="28"/>
    </row>
    <row r="31919">
      <c r="N31919" s="28"/>
      <c r="O31919" s="28"/>
      <c r="U31919" s="28"/>
    </row>
    <row r="31920">
      <c r="N31920" s="28"/>
      <c r="O31920" s="28"/>
      <c r="U31920" s="28"/>
    </row>
    <row r="31921">
      <c r="N31921" s="28"/>
      <c r="O31921" s="28"/>
      <c r="U31921" s="28"/>
    </row>
    <row r="31922">
      <c r="N31922" s="28"/>
      <c r="O31922" s="28"/>
      <c r="U31922" s="28"/>
    </row>
    <row r="31923">
      <c r="N31923" s="28"/>
      <c r="O31923" s="28"/>
      <c r="U31923" s="28"/>
    </row>
    <row r="31924">
      <c r="N31924" s="28"/>
      <c r="O31924" s="28"/>
      <c r="U31924" s="28"/>
    </row>
    <row r="31925">
      <c r="N31925" s="28"/>
      <c r="O31925" s="28"/>
      <c r="U31925" s="28"/>
    </row>
    <row r="31926">
      <c r="N31926" s="28"/>
      <c r="O31926" s="28"/>
      <c r="U31926" s="28"/>
    </row>
    <row r="31927">
      <c r="N31927" s="28"/>
      <c r="O31927" s="28"/>
      <c r="U31927" s="28"/>
    </row>
    <row r="31928">
      <c r="N31928" s="28"/>
      <c r="O31928" s="28"/>
      <c r="U31928" s="28"/>
    </row>
    <row r="31929">
      <c r="N31929" s="28"/>
      <c r="O31929" s="28"/>
      <c r="U31929" s="28"/>
    </row>
    <row r="31930">
      <c r="N31930" s="28"/>
      <c r="O31930" s="28"/>
      <c r="U31930" s="28"/>
    </row>
    <row r="31931">
      <c r="N31931" s="28"/>
      <c r="O31931" s="28"/>
      <c r="U31931" s="28"/>
    </row>
    <row r="31932">
      <c r="N31932" s="28"/>
      <c r="O31932" s="28"/>
      <c r="U31932" s="28"/>
    </row>
    <row r="31933">
      <c r="N31933" s="28"/>
      <c r="O31933" s="28"/>
      <c r="U31933" s="28"/>
    </row>
    <row r="31934">
      <c r="N31934" s="28"/>
      <c r="O31934" s="28"/>
      <c r="U31934" s="28"/>
    </row>
    <row r="31935">
      <c r="N31935" s="28"/>
      <c r="O31935" s="28"/>
      <c r="U31935" s="28"/>
    </row>
    <row r="31936">
      <c r="N31936" s="28"/>
      <c r="O31936" s="28"/>
      <c r="U31936" s="28"/>
    </row>
    <row r="31937">
      <c r="N31937" s="28"/>
      <c r="O31937" s="28"/>
      <c r="U31937" s="28"/>
    </row>
    <row r="31938">
      <c r="N31938" s="28"/>
      <c r="O31938" s="28"/>
      <c r="U31938" s="28"/>
    </row>
    <row r="31939">
      <c r="N31939" s="28"/>
      <c r="O31939" s="28"/>
      <c r="U31939" s="28"/>
    </row>
    <row r="31940">
      <c r="N31940" s="28"/>
      <c r="O31940" s="28"/>
      <c r="U31940" s="28"/>
    </row>
    <row r="31941">
      <c r="N31941" s="28"/>
      <c r="O31941" s="28"/>
      <c r="U31941" s="28"/>
    </row>
    <row r="31942">
      <c r="N31942" s="28"/>
      <c r="O31942" s="28"/>
      <c r="U31942" s="28"/>
    </row>
    <row r="31943">
      <c r="N31943" s="28"/>
      <c r="O31943" s="28"/>
      <c r="U31943" s="28"/>
    </row>
    <row r="31944">
      <c r="N31944" s="28"/>
      <c r="O31944" s="28"/>
      <c r="U31944" s="28"/>
    </row>
    <row r="31945">
      <c r="N31945" s="28"/>
      <c r="O31945" s="28"/>
      <c r="U31945" s="28"/>
    </row>
    <row r="31946">
      <c r="N31946" s="28"/>
      <c r="O31946" s="28"/>
      <c r="U31946" s="28"/>
    </row>
    <row r="31947">
      <c r="N31947" s="28"/>
      <c r="O31947" s="28"/>
      <c r="U31947" s="28"/>
    </row>
    <row r="31948">
      <c r="N31948" s="28"/>
      <c r="O31948" s="28"/>
      <c r="U31948" s="28"/>
    </row>
    <row r="31949">
      <c r="N31949" s="28"/>
      <c r="O31949" s="28"/>
      <c r="U31949" s="28"/>
    </row>
    <row r="31950">
      <c r="N31950" s="28"/>
      <c r="O31950" s="28"/>
      <c r="U31950" s="28"/>
    </row>
    <row r="31951">
      <c r="N31951" s="28"/>
      <c r="O31951" s="28"/>
      <c r="U31951" s="28"/>
    </row>
    <row r="31952">
      <c r="N31952" s="28"/>
      <c r="O31952" s="28"/>
      <c r="U31952" s="28"/>
    </row>
    <row r="31953">
      <c r="N31953" s="28"/>
      <c r="O31953" s="28"/>
      <c r="U31953" s="28"/>
    </row>
    <row r="31954">
      <c r="N31954" s="28"/>
      <c r="O31954" s="28"/>
      <c r="U31954" s="28"/>
    </row>
    <row r="31955">
      <c r="N31955" s="28"/>
      <c r="O31955" s="28"/>
      <c r="U31955" s="28"/>
    </row>
    <row r="31956">
      <c r="N31956" s="28"/>
      <c r="O31956" s="28"/>
      <c r="U31956" s="28"/>
    </row>
    <row r="31957">
      <c r="N31957" s="28"/>
      <c r="O31957" s="28"/>
      <c r="U31957" s="28"/>
    </row>
    <row r="31958">
      <c r="N31958" s="28"/>
      <c r="O31958" s="28"/>
      <c r="U31958" s="28"/>
    </row>
    <row r="31959">
      <c r="N31959" s="28"/>
      <c r="O31959" s="28"/>
      <c r="U31959" s="28"/>
    </row>
    <row r="31960">
      <c r="N31960" s="28"/>
      <c r="O31960" s="28"/>
      <c r="U31960" s="28"/>
    </row>
    <row r="31961">
      <c r="N31961" s="28"/>
      <c r="O31961" s="28"/>
      <c r="U31961" s="28"/>
    </row>
    <row r="31962">
      <c r="N31962" s="28"/>
      <c r="O31962" s="28"/>
      <c r="U31962" s="28"/>
    </row>
    <row r="31963">
      <c r="N31963" s="28"/>
      <c r="O31963" s="28"/>
      <c r="U31963" s="28"/>
    </row>
    <row r="31964">
      <c r="N31964" s="28"/>
      <c r="O31964" s="28"/>
      <c r="U31964" s="28"/>
    </row>
    <row r="31965">
      <c r="N31965" s="28"/>
      <c r="O31965" s="28"/>
      <c r="U31965" s="28"/>
    </row>
    <row r="31966">
      <c r="N31966" s="28"/>
      <c r="O31966" s="28"/>
      <c r="U31966" s="28"/>
    </row>
    <row r="31967">
      <c r="N31967" s="28"/>
      <c r="O31967" s="28"/>
      <c r="U31967" s="28"/>
    </row>
    <row r="31968">
      <c r="N31968" s="28"/>
      <c r="O31968" s="28"/>
      <c r="U31968" s="28"/>
    </row>
    <row r="31969">
      <c r="N31969" s="28"/>
      <c r="O31969" s="28"/>
      <c r="U31969" s="28"/>
    </row>
    <row r="31970">
      <c r="N31970" s="28"/>
      <c r="O31970" s="28"/>
      <c r="U31970" s="28"/>
    </row>
    <row r="31971">
      <c r="N31971" s="28"/>
      <c r="O31971" s="28"/>
      <c r="U31971" s="28"/>
    </row>
    <row r="31972">
      <c r="N31972" s="28"/>
      <c r="O31972" s="28"/>
      <c r="U31972" s="28"/>
    </row>
    <row r="31973">
      <c r="N31973" s="28"/>
      <c r="O31973" s="28"/>
      <c r="U31973" s="28"/>
    </row>
    <row r="31974">
      <c r="N31974" s="28"/>
      <c r="O31974" s="28"/>
      <c r="U31974" s="28"/>
    </row>
    <row r="31975">
      <c r="N31975" s="28"/>
      <c r="O31975" s="28"/>
      <c r="U31975" s="28"/>
    </row>
    <row r="31976">
      <c r="N31976" s="28"/>
      <c r="O31976" s="28"/>
      <c r="U31976" s="28"/>
    </row>
    <row r="31977">
      <c r="N31977" s="28"/>
      <c r="O31977" s="28"/>
      <c r="U31977" s="28"/>
    </row>
    <row r="31978">
      <c r="N31978" s="28"/>
      <c r="O31978" s="28"/>
      <c r="U31978" s="28"/>
    </row>
    <row r="31979">
      <c r="N31979" s="28"/>
      <c r="O31979" s="28"/>
      <c r="U31979" s="28"/>
    </row>
    <row r="31980">
      <c r="N31980" s="28"/>
      <c r="O31980" s="28"/>
      <c r="U31980" s="28"/>
    </row>
    <row r="31981">
      <c r="N31981" s="28"/>
      <c r="O31981" s="28"/>
      <c r="U31981" s="28"/>
    </row>
    <row r="31982">
      <c r="N31982" s="28"/>
      <c r="O31982" s="28"/>
      <c r="U31982" s="28"/>
    </row>
    <row r="31983">
      <c r="N31983" s="28"/>
      <c r="O31983" s="28"/>
      <c r="U31983" s="28"/>
    </row>
    <row r="31984">
      <c r="N31984" s="28"/>
      <c r="O31984" s="28"/>
      <c r="U31984" s="28"/>
    </row>
    <row r="31985">
      <c r="N31985" s="28"/>
      <c r="O31985" s="28"/>
      <c r="U31985" s="28"/>
    </row>
    <row r="31986">
      <c r="N31986" s="28"/>
      <c r="O31986" s="28"/>
      <c r="U31986" s="28"/>
    </row>
    <row r="31987">
      <c r="N31987" s="28"/>
      <c r="O31987" s="28"/>
      <c r="U31987" s="28"/>
    </row>
    <row r="31988">
      <c r="N31988" s="28"/>
      <c r="O31988" s="28"/>
      <c r="U31988" s="28"/>
    </row>
    <row r="31989">
      <c r="N31989" s="28"/>
      <c r="O31989" s="28"/>
      <c r="U31989" s="28"/>
    </row>
    <row r="31990">
      <c r="N31990" s="28"/>
      <c r="O31990" s="28"/>
      <c r="U31990" s="28"/>
    </row>
    <row r="31991">
      <c r="N31991" s="28"/>
      <c r="O31991" s="28"/>
      <c r="U31991" s="28"/>
    </row>
    <row r="31992">
      <c r="N31992" s="28"/>
      <c r="O31992" s="28"/>
      <c r="U31992" s="28"/>
    </row>
    <row r="31993">
      <c r="N31993" s="28"/>
      <c r="O31993" s="28"/>
      <c r="U31993" s="28"/>
    </row>
    <row r="31994">
      <c r="N31994" s="28"/>
      <c r="O31994" s="28"/>
      <c r="U31994" s="28"/>
    </row>
    <row r="31995">
      <c r="N31995" s="28"/>
      <c r="O31995" s="28"/>
      <c r="U31995" s="28"/>
    </row>
    <row r="31996">
      <c r="N31996" s="28"/>
      <c r="O31996" s="28"/>
      <c r="U31996" s="28"/>
    </row>
    <row r="31997">
      <c r="N31997" s="28"/>
      <c r="O31997" s="28"/>
      <c r="U31997" s="28"/>
    </row>
    <row r="31998">
      <c r="N31998" s="28"/>
      <c r="O31998" s="28"/>
      <c r="U31998" s="28"/>
    </row>
    <row r="31999">
      <c r="N31999" s="28"/>
      <c r="O31999" s="28"/>
      <c r="U31999" s="28"/>
    </row>
    <row r="32000">
      <c r="N32000" s="28"/>
      <c r="O32000" s="28"/>
      <c r="U32000" s="28"/>
    </row>
    <row r="32001">
      <c r="N32001" s="28"/>
      <c r="O32001" s="28"/>
      <c r="U32001" s="28"/>
    </row>
    <row r="32002">
      <c r="N32002" s="28"/>
      <c r="O32002" s="28"/>
      <c r="U32002" s="28"/>
    </row>
    <row r="32003">
      <c r="N32003" s="28"/>
      <c r="O32003" s="28"/>
      <c r="U32003" s="28"/>
    </row>
    <row r="32004">
      <c r="N32004" s="28"/>
      <c r="O32004" s="28"/>
      <c r="U32004" s="28"/>
    </row>
    <row r="32005">
      <c r="N32005" s="28"/>
      <c r="O32005" s="28"/>
      <c r="U32005" s="28"/>
    </row>
    <row r="32006">
      <c r="N32006" s="28"/>
      <c r="O32006" s="28"/>
      <c r="U32006" s="28"/>
    </row>
    <row r="32007">
      <c r="N32007" s="28"/>
      <c r="O32007" s="28"/>
      <c r="U32007" s="28"/>
    </row>
    <row r="32008">
      <c r="N32008" s="28"/>
      <c r="O32008" s="28"/>
      <c r="U32008" s="28"/>
    </row>
    <row r="32009">
      <c r="N32009" s="28"/>
      <c r="O32009" s="28"/>
      <c r="U32009" s="28"/>
    </row>
    <row r="32010">
      <c r="N32010" s="28"/>
      <c r="O32010" s="28"/>
      <c r="U32010" s="28"/>
    </row>
    <row r="32011">
      <c r="N32011" s="28"/>
      <c r="O32011" s="28"/>
      <c r="U32011" s="28"/>
    </row>
    <row r="32012">
      <c r="N32012" s="28"/>
      <c r="O32012" s="28"/>
      <c r="U32012" s="28"/>
    </row>
    <row r="32013">
      <c r="N32013" s="28"/>
      <c r="O32013" s="28"/>
      <c r="U32013" s="28"/>
    </row>
    <row r="32014">
      <c r="N32014" s="28"/>
      <c r="O32014" s="28"/>
      <c r="U32014" s="28"/>
    </row>
    <row r="32015">
      <c r="N32015" s="28"/>
      <c r="O32015" s="28"/>
      <c r="U32015" s="28"/>
    </row>
    <row r="32016">
      <c r="N32016" s="28"/>
      <c r="O32016" s="28"/>
      <c r="U32016" s="28"/>
    </row>
    <row r="32017">
      <c r="N32017" s="28"/>
      <c r="O32017" s="28"/>
      <c r="U32017" s="28"/>
    </row>
    <row r="32018">
      <c r="N32018" s="28"/>
      <c r="O32018" s="28"/>
      <c r="U32018" s="28"/>
    </row>
    <row r="32019">
      <c r="N32019" s="28"/>
      <c r="O32019" s="28"/>
      <c r="U32019" s="28"/>
    </row>
    <row r="32020">
      <c r="N32020" s="28"/>
      <c r="O32020" s="28"/>
      <c r="U32020" s="28"/>
    </row>
    <row r="32021">
      <c r="N32021" s="28"/>
      <c r="O32021" s="28"/>
      <c r="U32021" s="28"/>
    </row>
    <row r="32022">
      <c r="N32022" s="28"/>
      <c r="O32022" s="28"/>
      <c r="U32022" s="28"/>
    </row>
    <row r="32023">
      <c r="N32023" s="28"/>
      <c r="O32023" s="28"/>
      <c r="U32023" s="28"/>
    </row>
    <row r="32024">
      <c r="N32024" s="28"/>
      <c r="O32024" s="28"/>
      <c r="U32024" s="28"/>
    </row>
    <row r="32025">
      <c r="N32025" s="28"/>
      <c r="O32025" s="28"/>
      <c r="U32025" s="28"/>
    </row>
    <row r="32026">
      <c r="N32026" s="28"/>
      <c r="O32026" s="28"/>
      <c r="U32026" s="28"/>
    </row>
    <row r="32027">
      <c r="N32027" s="28"/>
      <c r="O32027" s="28"/>
      <c r="U32027" s="28"/>
    </row>
    <row r="32028">
      <c r="N32028" s="28"/>
      <c r="O32028" s="28"/>
      <c r="U32028" s="28"/>
    </row>
    <row r="32029">
      <c r="N32029" s="28"/>
      <c r="O32029" s="28"/>
      <c r="U32029" s="28"/>
    </row>
    <row r="32030">
      <c r="N32030" s="28"/>
      <c r="O32030" s="28"/>
      <c r="U32030" s="28"/>
    </row>
    <row r="32031">
      <c r="N32031" s="28"/>
      <c r="O32031" s="28"/>
      <c r="U32031" s="28"/>
    </row>
    <row r="32032">
      <c r="N32032" s="28"/>
      <c r="O32032" s="28"/>
      <c r="U32032" s="28"/>
    </row>
    <row r="32033">
      <c r="N32033" s="28"/>
      <c r="O32033" s="28"/>
      <c r="U32033" s="28"/>
    </row>
    <row r="32034">
      <c r="N32034" s="28"/>
      <c r="O32034" s="28"/>
      <c r="U32034" s="28"/>
    </row>
    <row r="32035">
      <c r="N32035" s="28"/>
      <c r="O32035" s="28"/>
      <c r="U32035" s="28"/>
    </row>
    <row r="32036">
      <c r="N32036" s="28"/>
      <c r="O32036" s="28"/>
      <c r="U32036" s="28"/>
    </row>
    <row r="32037">
      <c r="N32037" s="28"/>
      <c r="O32037" s="28"/>
      <c r="U32037" s="28"/>
    </row>
    <row r="32038">
      <c r="N32038" s="28"/>
      <c r="O32038" s="28"/>
      <c r="U32038" s="28"/>
    </row>
    <row r="32039">
      <c r="N32039" s="28"/>
      <c r="O32039" s="28"/>
      <c r="U32039" s="28"/>
    </row>
    <row r="32040">
      <c r="N32040" s="28"/>
      <c r="O32040" s="28"/>
      <c r="U32040" s="28"/>
    </row>
    <row r="32041">
      <c r="N32041" s="28"/>
      <c r="O32041" s="28"/>
      <c r="U32041" s="28"/>
    </row>
    <row r="32042">
      <c r="N32042" s="28"/>
      <c r="O32042" s="28"/>
      <c r="U32042" s="28"/>
    </row>
    <row r="32043">
      <c r="N32043" s="28"/>
      <c r="O32043" s="28"/>
      <c r="U32043" s="28"/>
    </row>
    <row r="32044">
      <c r="N32044" s="28"/>
      <c r="O32044" s="28"/>
      <c r="U32044" s="28"/>
    </row>
    <row r="32045">
      <c r="N32045" s="28"/>
      <c r="O32045" s="28"/>
      <c r="U32045" s="28"/>
    </row>
    <row r="32046">
      <c r="N32046" s="28"/>
      <c r="O32046" s="28"/>
      <c r="U32046" s="28"/>
    </row>
    <row r="32047">
      <c r="N32047" s="28"/>
      <c r="O32047" s="28"/>
      <c r="U32047" s="28"/>
    </row>
    <row r="32048">
      <c r="N32048" s="28"/>
      <c r="O32048" s="28"/>
      <c r="U32048" s="28"/>
    </row>
    <row r="32049">
      <c r="N32049" s="28"/>
      <c r="O32049" s="28"/>
      <c r="U32049" s="28"/>
    </row>
    <row r="32050">
      <c r="N32050" s="28"/>
      <c r="O32050" s="28"/>
      <c r="U32050" s="28"/>
    </row>
    <row r="32051">
      <c r="N32051" s="28"/>
      <c r="O32051" s="28"/>
      <c r="U32051" s="28"/>
    </row>
    <row r="32052">
      <c r="N32052" s="28"/>
      <c r="O32052" s="28"/>
      <c r="U32052" s="28"/>
    </row>
    <row r="32053">
      <c r="N32053" s="28"/>
      <c r="O32053" s="28"/>
      <c r="U32053" s="28"/>
    </row>
    <row r="32054">
      <c r="N32054" s="28"/>
      <c r="O32054" s="28"/>
      <c r="U32054" s="28"/>
    </row>
    <row r="32055">
      <c r="N32055" s="28"/>
      <c r="O32055" s="28"/>
      <c r="U32055" s="28"/>
    </row>
    <row r="32056">
      <c r="N32056" s="28"/>
      <c r="O32056" s="28"/>
      <c r="U32056" s="28"/>
    </row>
    <row r="32057">
      <c r="N32057" s="28"/>
      <c r="O32057" s="28"/>
      <c r="U32057" s="28"/>
    </row>
    <row r="32058">
      <c r="N32058" s="28"/>
      <c r="O32058" s="28"/>
      <c r="U32058" s="28"/>
    </row>
    <row r="32059">
      <c r="N32059" s="28"/>
      <c r="O32059" s="28"/>
      <c r="U32059" s="28"/>
    </row>
    <row r="32060">
      <c r="N32060" s="28"/>
      <c r="O32060" s="28"/>
      <c r="U32060" s="28"/>
    </row>
    <row r="32061">
      <c r="N32061" s="28"/>
      <c r="O32061" s="28"/>
      <c r="U32061" s="28"/>
    </row>
    <row r="32062">
      <c r="N32062" s="28"/>
      <c r="O32062" s="28"/>
      <c r="U32062" s="28"/>
    </row>
    <row r="32063">
      <c r="N32063" s="28"/>
      <c r="O32063" s="28"/>
      <c r="U32063" s="28"/>
    </row>
    <row r="32064">
      <c r="N32064" s="28"/>
      <c r="O32064" s="28"/>
      <c r="U32064" s="28"/>
    </row>
    <row r="32065">
      <c r="N32065" s="28"/>
      <c r="O32065" s="28"/>
      <c r="U32065" s="28"/>
    </row>
    <row r="32066">
      <c r="N32066" s="28"/>
      <c r="O32066" s="28"/>
      <c r="U32066" s="28"/>
    </row>
    <row r="32067">
      <c r="N32067" s="28"/>
      <c r="O32067" s="28"/>
      <c r="U32067" s="28"/>
    </row>
    <row r="32068">
      <c r="N32068" s="28"/>
      <c r="O32068" s="28"/>
      <c r="U32068" s="28"/>
    </row>
    <row r="32069">
      <c r="N32069" s="28"/>
      <c r="O32069" s="28"/>
      <c r="U32069" s="28"/>
    </row>
    <row r="32070">
      <c r="N32070" s="28"/>
      <c r="O32070" s="28"/>
      <c r="U32070" s="28"/>
    </row>
    <row r="32071">
      <c r="N32071" s="28"/>
      <c r="O32071" s="28"/>
      <c r="U32071" s="28"/>
    </row>
    <row r="32072">
      <c r="N32072" s="28"/>
      <c r="O32072" s="28"/>
      <c r="U32072" s="28"/>
    </row>
    <row r="32073">
      <c r="N32073" s="28"/>
      <c r="O32073" s="28"/>
      <c r="U32073" s="28"/>
    </row>
    <row r="32074">
      <c r="N32074" s="28"/>
      <c r="O32074" s="28"/>
      <c r="U32074" s="28"/>
    </row>
    <row r="32075">
      <c r="N32075" s="28"/>
      <c r="O32075" s="28"/>
      <c r="U32075" s="28"/>
    </row>
    <row r="32076">
      <c r="N32076" s="28"/>
      <c r="O32076" s="28"/>
      <c r="U32076" s="28"/>
    </row>
    <row r="32077">
      <c r="N32077" s="28"/>
      <c r="O32077" s="28"/>
      <c r="U32077" s="28"/>
    </row>
    <row r="32078">
      <c r="N32078" s="28"/>
      <c r="O32078" s="28"/>
      <c r="U32078" s="28"/>
    </row>
    <row r="32079">
      <c r="N32079" s="28"/>
      <c r="O32079" s="28"/>
      <c r="U32079" s="28"/>
    </row>
    <row r="32080">
      <c r="N32080" s="28"/>
      <c r="O32080" s="28"/>
      <c r="U32080" s="28"/>
    </row>
    <row r="32081">
      <c r="N32081" s="28"/>
      <c r="O32081" s="28"/>
      <c r="U32081" s="28"/>
    </row>
    <row r="32082">
      <c r="N32082" s="28"/>
      <c r="O32082" s="28"/>
      <c r="U32082" s="28"/>
    </row>
    <row r="32083">
      <c r="N32083" s="28"/>
      <c r="O32083" s="28"/>
      <c r="U32083" s="28"/>
    </row>
    <row r="32084">
      <c r="N32084" s="28"/>
      <c r="O32084" s="28"/>
      <c r="U32084" s="28"/>
    </row>
    <row r="32085">
      <c r="N32085" s="28"/>
      <c r="O32085" s="28"/>
      <c r="U32085" s="28"/>
    </row>
    <row r="32086">
      <c r="N32086" s="28"/>
      <c r="O32086" s="28"/>
      <c r="U32086" s="28"/>
    </row>
    <row r="32087">
      <c r="N32087" s="28"/>
      <c r="O32087" s="28"/>
      <c r="U32087" s="28"/>
    </row>
    <row r="32088">
      <c r="N32088" s="28"/>
      <c r="O32088" s="28"/>
      <c r="U32088" s="28"/>
    </row>
    <row r="32089">
      <c r="N32089" s="28"/>
      <c r="O32089" s="28"/>
      <c r="U32089" s="28"/>
    </row>
    <row r="32090">
      <c r="N32090" s="28"/>
      <c r="O32090" s="28"/>
      <c r="U32090" s="28"/>
    </row>
    <row r="32091">
      <c r="N32091" s="28"/>
      <c r="O32091" s="28"/>
      <c r="U32091" s="28"/>
    </row>
    <row r="32092">
      <c r="N32092" s="28"/>
      <c r="O32092" s="28"/>
      <c r="U32092" s="28"/>
    </row>
    <row r="32093">
      <c r="N32093" s="28"/>
      <c r="O32093" s="28"/>
      <c r="U32093" s="28"/>
    </row>
    <row r="32094">
      <c r="N32094" s="28"/>
      <c r="O32094" s="28"/>
      <c r="U32094" s="28"/>
    </row>
    <row r="32095">
      <c r="N32095" s="28"/>
      <c r="O32095" s="28"/>
      <c r="U32095" s="28"/>
    </row>
    <row r="32096">
      <c r="N32096" s="28"/>
      <c r="O32096" s="28"/>
      <c r="U32096" s="28"/>
    </row>
    <row r="32097">
      <c r="N32097" s="28"/>
      <c r="O32097" s="28"/>
      <c r="U32097" s="28"/>
    </row>
    <row r="32098">
      <c r="N32098" s="28"/>
      <c r="O32098" s="28"/>
      <c r="U32098" s="28"/>
    </row>
    <row r="32099">
      <c r="N32099" s="28"/>
      <c r="O32099" s="28"/>
      <c r="U32099" s="28"/>
    </row>
    <row r="32100">
      <c r="N32100" s="28"/>
      <c r="O32100" s="28"/>
      <c r="U32100" s="28"/>
    </row>
    <row r="32101">
      <c r="N32101" s="28"/>
      <c r="O32101" s="28"/>
      <c r="U32101" s="28"/>
    </row>
    <row r="32102">
      <c r="N32102" s="28"/>
      <c r="O32102" s="28"/>
      <c r="U32102" s="28"/>
    </row>
    <row r="32103">
      <c r="N32103" s="28"/>
      <c r="O32103" s="28"/>
      <c r="U32103" s="28"/>
    </row>
    <row r="32104">
      <c r="N32104" s="28"/>
      <c r="O32104" s="28"/>
      <c r="U32104" s="28"/>
    </row>
    <row r="32105">
      <c r="N32105" s="28"/>
      <c r="O32105" s="28"/>
      <c r="U32105" s="28"/>
    </row>
    <row r="32106">
      <c r="N32106" s="28"/>
      <c r="O32106" s="28"/>
      <c r="U32106" s="28"/>
    </row>
    <row r="32107">
      <c r="N32107" s="28"/>
      <c r="O32107" s="28"/>
      <c r="U32107" s="28"/>
    </row>
    <row r="32108">
      <c r="N32108" s="28"/>
      <c r="O32108" s="28"/>
      <c r="U32108" s="28"/>
    </row>
    <row r="32109">
      <c r="N32109" s="28"/>
      <c r="O32109" s="28"/>
      <c r="U32109" s="28"/>
    </row>
    <row r="32110">
      <c r="N32110" s="28"/>
      <c r="O32110" s="28"/>
      <c r="U32110" s="28"/>
    </row>
    <row r="32111">
      <c r="N32111" s="28"/>
      <c r="O32111" s="28"/>
      <c r="U32111" s="28"/>
    </row>
    <row r="32112">
      <c r="N32112" s="28"/>
      <c r="O32112" s="28"/>
      <c r="U32112" s="28"/>
    </row>
    <row r="32113">
      <c r="N32113" s="28"/>
      <c r="O32113" s="28"/>
      <c r="U32113" s="28"/>
    </row>
    <row r="32114">
      <c r="N32114" s="28"/>
      <c r="O32114" s="28"/>
      <c r="U32114" s="28"/>
    </row>
    <row r="32115">
      <c r="N32115" s="28"/>
      <c r="O32115" s="28"/>
      <c r="U32115" s="28"/>
    </row>
    <row r="32116">
      <c r="N32116" s="28"/>
      <c r="O32116" s="28"/>
      <c r="U32116" s="28"/>
    </row>
    <row r="32117">
      <c r="N32117" s="28"/>
      <c r="O32117" s="28"/>
      <c r="U32117" s="28"/>
    </row>
    <row r="32118">
      <c r="N32118" s="28"/>
      <c r="O32118" s="28"/>
      <c r="U32118" s="28"/>
    </row>
    <row r="32119">
      <c r="N32119" s="28"/>
      <c r="O32119" s="28"/>
      <c r="U32119" s="28"/>
    </row>
    <row r="32120">
      <c r="N32120" s="28"/>
      <c r="O32120" s="28"/>
      <c r="U32120" s="28"/>
    </row>
    <row r="32121">
      <c r="N32121" s="28"/>
      <c r="O32121" s="28"/>
      <c r="U32121" s="28"/>
    </row>
    <row r="32122">
      <c r="N32122" s="28"/>
      <c r="O32122" s="28"/>
      <c r="U32122" s="28"/>
    </row>
    <row r="32123">
      <c r="N32123" s="28"/>
      <c r="O32123" s="28"/>
      <c r="U32123" s="28"/>
    </row>
    <row r="32124">
      <c r="N32124" s="28"/>
      <c r="O32124" s="28"/>
      <c r="U32124" s="28"/>
    </row>
    <row r="32125">
      <c r="N32125" s="28"/>
      <c r="O32125" s="28"/>
      <c r="U32125" s="28"/>
    </row>
    <row r="32126">
      <c r="N32126" s="28"/>
      <c r="O32126" s="28"/>
      <c r="U32126" s="28"/>
    </row>
    <row r="32127">
      <c r="N32127" s="28"/>
      <c r="O32127" s="28"/>
      <c r="U32127" s="28"/>
    </row>
    <row r="32128">
      <c r="N32128" s="28"/>
      <c r="O32128" s="28"/>
      <c r="U32128" s="28"/>
    </row>
    <row r="32129">
      <c r="N32129" s="28"/>
      <c r="O32129" s="28"/>
      <c r="U32129" s="28"/>
    </row>
    <row r="32130">
      <c r="N32130" s="28"/>
      <c r="O32130" s="28"/>
      <c r="U32130" s="28"/>
    </row>
    <row r="32131">
      <c r="N32131" s="28"/>
      <c r="O32131" s="28"/>
      <c r="U32131" s="28"/>
    </row>
    <row r="32132">
      <c r="N32132" s="28"/>
      <c r="O32132" s="28"/>
      <c r="U32132" s="28"/>
    </row>
    <row r="32133">
      <c r="N32133" s="28"/>
      <c r="O32133" s="28"/>
      <c r="U32133" s="28"/>
    </row>
    <row r="32134">
      <c r="N32134" s="28"/>
      <c r="O32134" s="28"/>
      <c r="U32134" s="28"/>
    </row>
    <row r="32135">
      <c r="N32135" s="28"/>
      <c r="O32135" s="28"/>
      <c r="U32135" s="28"/>
    </row>
    <row r="32136">
      <c r="N32136" s="28"/>
      <c r="O32136" s="28"/>
      <c r="U32136" s="28"/>
    </row>
    <row r="32137">
      <c r="N32137" s="28"/>
      <c r="O32137" s="28"/>
      <c r="U32137" s="28"/>
    </row>
    <row r="32138">
      <c r="N32138" s="28"/>
      <c r="O32138" s="28"/>
      <c r="U32138" s="28"/>
    </row>
    <row r="32139">
      <c r="N32139" s="28"/>
      <c r="O32139" s="28"/>
      <c r="U32139" s="28"/>
    </row>
    <row r="32140">
      <c r="N32140" s="28"/>
      <c r="O32140" s="28"/>
      <c r="U32140" s="28"/>
    </row>
    <row r="32141">
      <c r="N32141" s="28"/>
      <c r="O32141" s="28"/>
      <c r="U32141" s="28"/>
    </row>
    <row r="32142">
      <c r="N32142" s="28"/>
      <c r="O32142" s="28"/>
      <c r="U32142" s="28"/>
    </row>
    <row r="32143">
      <c r="N32143" s="28"/>
      <c r="O32143" s="28"/>
      <c r="U32143" s="28"/>
    </row>
    <row r="32144">
      <c r="N32144" s="28"/>
      <c r="O32144" s="28"/>
      <c r="U32144" s="28"/>
    </row>
    <row r="32145">
      <c r="N32145" s="28"/>
      <c r="O32145" s="28"/>
      <c r="U32145" s="28"/>
    </row>
    <row r="32146">
      <c r="N32146" s="28"/>
      <c r="O32146" s="28"/>
      <c r="U32146" s="28"/>
    </row>
    <row r="32147">
      <c r="N32147" s="28"/>
      <c r="O32147" s="28"/>
      <c r="U32147" s="28"/>
    </row>
    <row r="32148">
      <c r="N32148" s="28"/>
      <c r="O32148" s="28"/>
      <c r="U32148" s="28"/>
    </row>
    <row r="32149">
      <c r="N32149" s="28"/>
      <c r="O32149" s="28"/>
      <c r="U32149" s="28"/>
    </row>
    <row r="32150">
      <c r="N32150" s="28"/>
      <c r="O32150" s="28"/>
      <c r="U32150" s="28"/>
    </row>
    <row r="32151">
      <c r="N32151" s="28"/>
      <c r="O32151" s="28"/>
      <c r="U32151" s="28"/>
    </row>
    <row r="32152">
      <c r="N32152" s="28"/>
      <c r="O32152" s="28"/>
      <c r="U32152" s="28"/>
    </row>
    <row r="32153">
      <c r="N32153" s="28"/>
      <c r="O32153" s="28"/>
      <c r="U32153" s="28"/>
    </row>
    <row r="32154">
      <c r="N32154" s="28"/>
      <c r="O32154" s="28"/>
      <c r="U32154" s="28"/>
    </row>
    <row r="32155">
      <c r="N32155" s="28"/>
      <c r="O32155" s="28"/>
      <c r="U32155" s="28"/>
    </row>
    <row r="32156">
      <c r="N32156" s="28"/>
      <c r="O32156" s="28"/>
      <c r="U32156" s="28"/>
    </row>
    <row r="32157">
      <c r="N32157" s="28"/>
      <c r="O32157" s="28"/>
      <c r="U32157" s="28"/>
    </row>
    <row r="32158">
      <c r="N32158" s="28"/>
      <c r="O32158" s="28"/>
      <c r="U32158" s="28"/>
    </row>
    <row r="32159">
      <c r="N32159" s="28"/>
      <c r="O32159" s="28"/>
      <c r="U32159" s="28"/>
    </row>
    <row r="32160">
      <c r="N32160" s="28"/>
      <c r="O32160" s="28"/>
      <c r="U32160" s="28"/>
    </row>
    <row r="32161">
      <c r="N32161" s="28"/>
      <c r="O32161" s="28"/>
      <c r="U32161" s="28"/>
    </row>
    <row r="32162">
      <c r="N32162" s="28"/>
      <c r="O32162" s="28"/>
      <c r="U32162" s="28"/>
    </row>
    <row r="32163">
      <c r="N32163" s="28"/>
      <c r="O32163" s="28"/>
      <c r="U32163" s="28"/>
    </row>
    <row r="32164">
      <c r="N32164" s="28"/>
      <c r="O32164" s="28"/>
      <c r="U32164" s="28"/>
    </row>
    <row r="32165">
      <c r="N32165" s="28"/>
      <c r="O32165" s="28"/>
      <c r="U32165" s="28"/>
    </row>
    <row r="32166">
      <c r="N32166" s="28"/>
      <c r="O32166" s="28"/>
      <c r="U32166" s="28"/>
    </row>
    <row r="32167">
      <c r="N32167" s="28"/>
      <c r="O32167" s="28"/>
      <c r="U32167" s="28"/>
    </row>
    <row r="32168">
      <c r="N32168" s="28"/>
      <c r="O32168" s="28"/>
      <c r="U32168" s="28"/>
    </row>
    <row r="32169">
      <c r="N32169" s="28"/>
      <c r="O32169" s="28"/>
      <c r="U32169" s="28"/>
    </row>
    <row r="32170">
      <c r="N32170" s="28"/>
      <c r="O32170" s="28"/>
      <c r="U32170" s="28"/>
    </row>
    <row r="32171">
      <c r="N32171" s="28"/>
      <c r="O32171" s="28"/>
      <c r="U32171" s="28"/>
    </row>
    <row r="32172">
      <c r="N32172" s="28"/>
      <c r="O32172" s="28"/>
      <c r="U32172" s="28"/>
    </row>
    <row r="32173">
      <c r="N32173" s="28"/>
      <c r="O32173" s="28"/>
      <c r="U32173" s="28"/>
    </row>
    <row r="32174">
      <c r="N32174" s="28"/>
      <c r="O32174" s="28"/>
      <c r="U32174" s="28"/>
    </row>
    <row r="32175">
      <c r="N32175" s="28"/>
      <c r="O32175" s="28"/>
      <c r="U32175" s="28"/>
    </row>
    <row r="32176">
      <c r="N32176" s="28"/>
      <c r="O32176" s="28"/>
      <c r="U32176" s="28"/>
    </row>
    <row r="32177">
      <c r="N32177" s="28"/>
      <c r="O32177" s="28"/>
      <c r="U32177" s="28"/>
    </row>
    <row r="32178">
      <c r="N32178" s="28"/>
      <c r="O32178" s="28"/>
      <c r="U32178" s="28"/>
    </row>
    <row r="32179">
      <c r="N32179" s="28"/>
      <c r="O32179" s="28"/>
      <c r="U32179" s="28"/>
    </row>
    <row r="32180">
      <c r="N32180" s="28"/>
      <c r="O32180" s="28"/>
      <c r="U32180" s="28"/>
    </row>
    <row r="32181">
      <c r="N32181" s="28"/>
      <c r="O32181" s="28"/>
      <c r="U32181" s="28"/>
    </row>
    <row r="32182">
      <c r="N32182" s="28"/>
      <c r="O32182" s="28"/>
      <c r="U32182" s="28"/>
    </row>
    <row r="32183">
      <c r="N32183" s="28"/>
      <c r="O32183" s="28"/>
      <c r="U32183" s="28"/>
    </row>
    <row r="32184">
      <c r="N32184" s="28"/>
      <c r="O32184" s="28"/>
      <c r="U32184" s="28"/>
    </row>
    <row r="32185">
      <c r="N32185" s="28"/>
      <c r="O32185" s="28"/>
      <c r="U32185" s="28"/>
    </row>
    <row r="32186">
      <c r="N32186" s="28"/>
      <c r="O32186" s="28"/>
      <c r="U32186" s="28"/>
    </row>
    <row r="32187">
      <c r="N32187" s="28"/>
      <c r="O32187" s="28"/>
      <c r="U32187" s="28"/>
    </row>
    <row r="32188">
      <c r="N32188" s="28"/>
      <c r="O32188" s="28"/>
      <c r="U32188" s="28"/>
    </row>
    <row r="32189">
      <c r="N32189" s="28"/>
      <c r="O32189" s="28"/>
      <c r="U32189" s="28"/>
    </row>
    <row r="32190">
      <c r="N32190" s="28"/>
      <c r="O32190" s="28"/>
      <c r="U32190" s="28"/>
    </row>
    <row r="32191">
      <c r="N32191" s="28"/>
      <c r="O32191" s="28"/>
      <c r="U32191" s="28"/>
    </row>
    <row r="32192">
      <c r="N32192" s="28"/>
      <c r="O32192" s="28"/>
      <c r="U32192" s="28"/>
    </row>
    <row r="32193">
      <c r="N32193" s="28"/>
      <c r="O32193" s="28"/>
      <c r="U32193" s="28"/>
    </row>
    <row r="32194">
      <c r="N32194" s="28"/>
      <c r="O32194" s="28"/>
      <c r="U32194" s="28"/>
    </row>
    <row r="32195">
      <c r="N32195" s="28"/>
      <c r="O32195" s="28"/>
      <c r="U32195" s="28"/>
    </row>
    <row r="32196">
      <c r="N32196" s="28"/>
      <c r="O32196" s="28"/>
      <c r="U32196" s="28"/>
    </row>
    <row r="32197">
      <c r="N32197" s="28"/>
      <c r="O32197" s="28"/>
      <c r="U32197" s="28"/>
    </row>
    <row r="32198">
      <c r="N32198" s="28"/>
      <c r="O32198" s="28"/>
      <c r="U32198" s="28"/>
    </row>
    <row r="32199">
      <c r="N32199" s="28"/>
      <c r="O32199" s="28"/>
      <c r="U32199" s="28"/>
    </row>
    <row r="32200">
      <c r="N32200" s="28"/>
      <c r="O32200" s="28"/>
      <c r="U32200" s="28"/>
    </row>
    <row r="32201">
      <c r="N32201" s="28"/>
      <c r="O32201" s="28"/>
      <c r="U32201" s="28"/>
    </row>
    <row r="32202">
      <c r="N32202" s="28"/>
      <c r="O32202" s="28"/>
      <c r="U32202" s="28"/>
    </row>
    <row r="32203">
      <c r="N32203" s="28"/>
      <c r="O32203" s="28"/>
      <c r="U32203" s="28"/>
    </row>
    <row r="32204">
      <c r="N32204" s="28"/>
      <c r="O32204" s="28"/>
      <c r="U32204" s="28"/>
    </row>
    <row r="32205">
      <c r="N32205" s="28"/>
      <c r="O32205" s="28"/>
      <c r="U32205" s="28"/>
    </row>
    <row r="32206">
      <c r="N32206" s="28"/>
      <c r="O32206" s="28"/>
      <c r="U32206" s="28"/>
    </row>
    <row r="32207">
      <c r="N32207" s="28"/>
      <c r="O32207" s="28"/>
      <c r="U32207" s="28"/>
    </row>
    <row r="32208">
      <c r="N32208" s="28"/>
      <c r="O32208" s="28"/>
      <c r="U32208" s="28"/>
    </row>
    <row r="32209">
      <c r="N32209" s="28"/>
      <c r="O32209" s="28"/>
      <c r="U32209" s="28"/>
    </row>
    <row r="32210">
      <c r="N32210" s="28"/>
      <c r="O32210" s="28"/>
      <c r="U32210" s="28"/>
    </row>
    <row r="32211">
      <c r="N32211" s="28"/>
      <c r="O32211" s="28"/>
      <c r="U32211" s="28"/>
    </row>
    <row r="32212">
      <c r="N32212" s="28"/>
      <c r="O32212" s="28"/>
      <c r="U32212" s="28"/>
    </row>
    <row r="32213">
      <c r="N32213" s="28"/>
      <c r="O32213" s="28"/>
      <c r="U32213" s="28"/>
    </row>
    <row r="32214">
      <c r="N32214" s="28"/>
      <c r="O32214" s="28"/>
      <c r="U32214" s="28"/>
    </row>
    <row r="32215">
      <c r="N32215" s="28"/>
      <c r="O32215" s="28"/>
      <c r="U32215" s="28"/>
    </row>
    <row r="32216">
      <c r="N32216" s="28"/>
      <c r="O32216" s="28"/>
      <c r="U32216" s="28"/>
    </row>
    <row r="32217">
      <c r="N32217" s="28"/>
      <c r="O32217" s="28"/>
      <c r="U32217" s="28"/>
    </row>
    <row r="32218">
      <c r="N32218" s="28"/>
      <c r="O32218" s="28"/>
      <c r="U32218" s="28"/>
    </row>
    <row r="32219">
      <c r="N32219" s="28"/>
      <c r="O32219" s="28"/>
      <c r="U32219" s="28"/>
    </row>
    <row r="32220">
      <c r="N32220" s="28"/>
      <c r="O32220" s="28"/>
      <c r="U32220" s="28"/>
    </row>
    <row r="32221">
      <c r="N32221" s="28"/>
      <c r="O32221" s="28"/>
      <c r="U32221" s="28"/>
    </row>
    <row r="32222">
      <c r="N32222" s="28"/>
      <c r="O32222" s="28"/>
      <c r="U32222" s="28"/>
    </row>
    <row r="32223">
      <c r="N32223" s="28"/>
      <c r="O32223" s="28"/>
      <c r="U32223" s="28"/>
    </row>
    <row r="32224">
      <c r="N32224" s="28"/>
      <c r="O32224" s="28"/>
      <c r="U32224" s="28"/>
    </row>
    <row r="32225">
      <c r="N32225" s="28"/>
      <c r="O32225" s="28"/>
      <c r="U32225" s="28"/>
    </row>
    <row r="32226">
      <c r="N32226" s="28"/>
      <c r="O32226" s="28"/>
      <c r="U32226" s="28"/>
    </row>
    <row r="32227">
      <c r="N32227" s="28"/>
      <c r="O32227" s="28"/>
      <c r="U32227" s="28"/>
    </row>
    <row r="32228">
      <c r="N32228" s="28"/>
      <c r="O32228" s="28"/>
      <c r="U32228" s="28"/>
    </row>
    <row r="32229">
      <c r="N32229" s="28"/>
      <c r="O32229" s="28"/>
      <c r="U32229" s="28"/>
    </row>
    <row r="32230">
      <c r="N32230" s="28"/>
      <c r="O32230" s="28"/>
      <c r="U32230" s="28"/>
    </row>
    <row r="32231">
      <c r="N32231" s="28"/>
      <c r="O32231" s="28"/>
      <c r="U32231" s="28"/>
    </row>
    <row r="32232">
      <c r="N32232" s="28"/>
      <c r="O32232" s="28"/>
      <c r="U32232" s="28"/>
    </row>
    <row r="32233">
      <c r="N32233" s="28"/>
      <c r="O32233" s="28"/>
      <c r="U32233" s="28"/>
    </row>
    <row r="32234">
      <c r="N32234" s="28"/>
      <c r="O32234" s="28"/>
      <c r="U32234" s="28"/>
    </row>
    <row r="32235">
      <c r="N32235" s="28"/>
      <c r="O32235" s="28"/>
      <c r="U32235" s="28"/>
    </row>
    <row r="32236">
      <c r="N32236" s="28"/>
      <c r="O32236" s="28"/>
      <c r="U32236" s="28"/>
    </row>
    <row r="32237">
      <c r="N32237" s="28"/>
      <c r="O32237" s="28"/>
      <c r="U32237" s="28"/>
    </row>
    <row r="32238">
      <c r="N32238" s="28"/>
      <c r="O32238" s="28"/>
      <c r="U32238" s="28"/>
    </row>
    <row r="32239">
      <c r="N32239" s="28"/>
      <c r="O32239" s="28"/>
      <c r="U32239" s="28"/>
    </row>
    <row r="32240">
      <c r="N32240" s="28"/>
      <c r="O32240" s="28"/>
      <c r="U32240" s="28"/>
    </row>
    <row r="32241">
      <c r="N32241" s="28"/>
      <c r="O32241" s="28"/>
      <c r="U32241" s="28"/>
    </row>
    <row r="32242">
      <c r="N32242" s="28"/>
      <c r="O32242" s="28"/>
      <c r="U32242" s="28"/>
    </row>
    <row r="32243">
      <c r="N32243" s="28"/>
      <c r="O32243" s="28"/>
      <c r="U32243" s="28"/>
    </row>
    <row r="32244">
      <c r="N32244" s="28"/>
      <c r="O32244" s="28"/>
      <c r="U32244" s="28"/>
    </row>
    <row r="32245">
      <c r="N32245" s="28"/>
      <c r="O32245" s="28"/>
      <c r="U32245" s="28"/>
    </row>
    <row r="32246">
      <c r="N32246" s="28"/>
      <c r="O32246" s="28"/>
      <c r="U32246" s="28"/>
    </row>
    <row r="32247">
      <c r="N32247" s="28"/>
      <c r="O32247" s="28"/>
      <c r="U32247" s="28"/>
    </row>
    <row r="32248">
      <c r="N32248" s="28"/>
      <c r="O32248" s="28"/>
      <c r="U32248" s="28"/>
    </row>
    <row r="32249">
      <c r="N32249" s="28"/>
      <c r="O32249" s="28"/>
      <c r="U32249" s="28"/>
    </row>
    <row r="32250">
      <c r="N32250" s="28"/>
      <c r="O32250" s="28"/>
      <c r="U32250" s="28"/>
    </row>
    <row r="32251">
      <c r="N32251" s="28"/>
      <c r="O32251" s="28"/>
      <c r="U32251" s="28"/>
    </row>
    <row r="32252">
      <c r="N32252" s="28"/>
      <c r="O32252" s="28"/>
      <c r="U32252" s="28"/>
    </row>
    <row r="32253">
      <c r="N32253" s="28"/>
      <c r="O32253" s="28"/>
      <c r="U32253" s="28"/>
    </row>
    <row r="32254">
      <c r="N32254" s="28"/>
      <c r="O32254" s="28"/>
      <c r="U32254" s="28"/>
    </row>
    <row r="32255">
      <c r="N32255" s="28"/>
      <c r="O32255" s="28"/>
      <c r="U32255" s="28"/>
    </row>
    <row r="32256">
      <c r="N32256" s="28"/>
      <c r="O32256" s="28"/>
      <c r="U32256" s="28"/>
    </row>
    <row r="32257">
      <c r="N32257" s="28"/>
      <c r="O32257" s="28"/>
      <c r="U32257" s="28"/>
    </row>
    <row r="32258">
      <c r="N32258" s="28"/>
      <c r="O32258" s="28"/>
      <c r="U32258" s="28"/>
    </row>
    <row r="32259">
      <c r="N32259" s="28"/>
      <c r="O32259" s="28"/>
      <c r="U32259" s="28"/>
    </row>
    <row r="32260">
      <c r="N32260" s="28"/>
      <c r="O32260" s="28"/>
      <c r="U32260" s="28"/>
    </row>
    <row r="32261">
      <c r="N32261" s="28"/>
      <c r="O32261" s="28"/>
      <c r="U32261" s="28"/>
    </row>
    <row r="32262">
      <c r="N32262" s="28"/>
      <c r="O32262" s="28"/>
      <c r="U32262" s="28"/>
    </row>
    <row r="32263">
      <c r="N32263" s="28"/>
      <c r="O32263" s="28"/>
      <c r="U32263" s="28"/>
    </row>
    <row r="32264">
      <c r="N32264" s="28"/>
      <c r="O32264" s="28"/>
      <c r="U32264" s="28"/>
    </row>
    <row r="32265">
      <c r="N32265" s="28"/>
      <c r="O32265" s="28"/>
      <c r="U32265" s="28"/>
    </row>
    <row r="32266">
      <c r="N32266" s="28"/>
      <c r="O32266" s="28"/>
      <c r="U32266" s="28"/>
    </row>
    <row r="32267">
      <c r="N32267" s="28"/>
      <c r="O32267" s="28"/>
      <c r="U32267" s="28"/>
    </row>
    <row r="32268">
      <c r="N32268" s="28"/>
      <c r="O32268" s="28"/>
      <c r="U32268" s="28"/>
    </row>
    <row r="32269">
      <c r="N32269" s="28"/>
      <c r="O32269" s="28"/>
      <c r="U32269" s="28"/>
    </row>
    <row r="32270">
      <c r="N32270" s="28"/>
      <c r="O32270" s="28"/>
      <c r="U32270" s="28"/>
    </row>
    <row r="32271">
      <c r="N32271" s="28"/>
      <c r="O32271" s="28"/>
      <c r="U32271" s="28"/>
    </row>
    <row r="32272">
      <c r="N32272" s="28"/>
      <c r="O32272" s="28"/>
      <c r="U32272" s="28"/>
    </row>
    <row r="32273">
      <c r="N32273" s="28"/>
      <c r="O32273" s="28"/>
      <c r="U32273" s="28"/>
    </row>
    <row r="32274">
      <c r="N32274" s="28"/>
      <c r="O32274" s="28"/>
      <c r="U32274" s="28"/>
    </row>
    <row r="32275">
      <c r="N32275" s="28"/>
      <c r="O32275" s="28"/>
      <c r="U32275" s="28"/>
    </row>
    <row r="32276">
      <c r="N32276" s="28"/>
      <c r="O32276" s="28"/>
      <c r="U32276" s="28"/>
    </row>
    <row r="32277">
      <c r="N32277" s="28"/>
      <c r="O32277" s="28"/>
      <c r="U32277" s="28"/>
    </row>
    <row r="32278">
      <c r="N32278" s="28"/>
      <c r="O32278" s="28"/>
      <c r="U32278" s="28"/>
    </row>
    <row r="32279">
      <c r="N32279" s="28"/>
      <c r="O32279" s="28"/>
      <c r="U32279" s="28"/>
    </row>
    <row r="32280">
      <c r="N32280" s="28"/>
      <c r="O32280" s="28"/>
      <c r="U32280" s="28"/>
    </row>
    <row r="32281">
      <c r="N32281" s="28"/>
      <c r="O32281" s="28"/>
      <c r="U32281" s="28"/>
    </row>
    <row r="32282">
      <c r="N32282" s="28"/>
      <c r="O32282" s="28"/>
      <c r="U32282" s="28"/>
    </row>
    <row r="32283">
      <c r="N32283" s="28"/>
      <c r="O32283" s="28"/>
      <c r="U32283" s="28"/>
    </row>
    <row r="32284">
      <c r="N32284" s="28"/>
      <c r="O32284" s="28"/>
      <c r="U32284" s="28"/>
    </row>
    <row r="32285">
      <c r="N32285" s="28"/>
      <c r="O32285" s="28"/>
      <c r="U32285" s="28"/>
    </row>
    <row r="32286">
      <c r="N32286" s="28"/>
      <c r="O32286" s="28"/>
      <c r="U32286" s="28"/>
    </row>
    <row r="32287">
      <c r="N32287" s="28"/>
      <c r="O32287" s="28"/>
      <c r="U32287" s="28"/>
    </row>
    <row r="32288">
      <c r="N32288" s="28"/>
      <c r="O32288" s="28"/>
      <c r="U32288" s="28"/>
    </row>
    <row r="32289">
      <c r="N32289" s="28"/>
      <c r="O32289" s="28"/>
      <c r="U32289" s="28"/>
    </row>
    <row r="32290">
      <c r="N32290" s="28"/>
      <c r="O32290" s="28"/>
      <c r="U32290" s="28"/>
    </row>
    <row r="32291">
      <c r="N32291" s="28"/>
      <c r="O32291" s="28"/>
      <c r="U32291" s="28"/>
    </row>
    <row r="32292">
      <c r="N32292" s="28"/>
      <c r="O32292" s="28"/>
      <c r="U32292" s="28"/>
    </row>
    <row r="32293">
      <c r="N32293" s="28"/>
      <c r="O32293" s="28"/>
      <c r="U32293" s="28"/>
    </row>
    <row r="32294">
      <c r="N32294" s="28"/>
      <c r="O32294" s="28"/>
      <c r="U32294" s="28"/>
    </row>
    <row r="32295">
      <c r="N32295" s="28"/>
      <c r="O32295" s="28"/>
      <c r="U32295" s="28"/>
    </row>
    <row r="32296">
      <c r="N32296" s="28"/>
      <c r="O32296" s="28"/>
      <c r="U32296" s="28"/>
    </row>
    <row r="32297">
      <c r="N32297" s="28"/>
      <c r="O32297" s="28"/>
      <c r="U32297" s="28"/>
    </row>
    <row r="32298">
      <c r="N32298" s="28"/>
      <c r="O32298" s="28"/>
      <c r="U32298" s="28"/>
    </row>
    <row r="32299">
      <c r="N32299" s="28"/>
      <c r="O32299" s="28"/>
      <c r="U32299" s="28"/>
    </row>
    <row r="32300">
      <c r="N32300" s="28"/>
      <c r="O32300" s="28"/>
      <c r="U32300" s="28"/>
    </row>
    <row r="32301">
      <c r="N32301" s="28"/>
      <c r="O32301" s="28"/>
      <c r="U32301" s="28"/>
    </row>
    <row r="32302">
      <c r="N32302" s="28"/>
      <c r="O32302" s="28"/>
      <c r="U32302" s="28"/>
    </row>
    <row r="32303">
      <c r="N32303" s="28"/>
      <c r="O32303" s="28"/>
      <c r="U32303" s="28"/>
    </row>
    <row r="32304">
      <c r="N32304" s="28"/>
      <c r="O32304" s="28"/>
      <c r="U32304" s="28"/>
    </row>
    <row r="32305">
      <c r="N32305" s="28"/>
      <c r="O32305" s="28"/>
      <c r="U32305" s="28"/>
    </row>
    <row r="32306">
      <c r="N32306" s="28"/>
      <c r="O32306" s="28"/>
      <c r="U32306" s="28"/>
    </row>
    <row r="32307">
      <c r="N32307" s="28"/>
      <c r="O32307" s="28"/>
      <c r="U32307" s="28"/>
    </row>
    <row r="32308">
      <c r="N32308" s="28"/>
      <c r="O32308" s="28"/>
      <c r="U32308" s="28"/>
    </row>
    <row r="32309">
      <c r="N32309" s="28"/>
      <c r="O32309" s="28"/>
      <c r="U32309" s="28"/>
    </row>
    <row r="32310">
      <c r="N32310" s="28"/>
      <c r="O32310" s="28"/>
      <c r="U32310" s="28"/>
    </row>
    <row r="32311">
      <c r="N32311" s="28"/>
      <c r="O32311" s="28"/>
      <c r="U32311" s="28"/>
    </row>
    <row r="32312">
      <c r="N32312" s="28"/>
      <c r="O32312" s="28"/>
      <c r="U32312" s="28"/>
    </row>
    <row r="32313">
      <c r="N32313" s="28"/>
      <c r="O32313" s="28"/>
      <c r="U32313" s="28"/>
    </row>
    <row r="32314">
      <c r="N32314" s="28"/>
      <c r="O32314" s="28"/>
      <c r="U32314" s="28"/>
    </row>
    <row r="32315">
      <c r="N32315" s="28"/>
      <c r="O32315" s="28"/>
      <c r="U32315" s="28"/>
    </row>
    <row r="32316">
      <c r="N32316" s="28"/>
      <c r="O32316" s="28"/>
      <c r="U32316" s="28"/>
    </row>
    <row r="32317">
      <c r="N32317" s="28"/>
      <c r="O32317" s="28"/>
      <c r="U32317" s="28"/>
    </row>
    <row r="32318">
      <c r="N32318" s="28"/>
      <c r="O32318" s="28"/>
      <c r="U32318" s="28"/>
    </row>
    <row r="32319">
      <c r="N32319" s="28"/>
      <c r="O32319" s="28"/>
      <c r="U32319" s="28"/>
    </row>
    <row r="32320">
      <c r="N32320" s="28"/>
      <c r="O32320" s="28"/>
      <c r="U32320" s="28"/>
    </row>
    <row r="32321">
      <c r="N32321" s="28"/>
      <c r="O32321" s="28"/>
      <c r="U32321" s="28"/>
    </row>
    <row r="32322">
      <c r="N32322" s="28"/>
      <c r="O32322" s="28"/>
      <c r="U32322" s="28"/>
    </row>
    <row r="32323">
      <c r="N32323" s="28"/>
      <c r="O32323" s="28"/>
      <c r="U32323" s="28"/>
    </row>
    <row r="32324">
      <c r="N32324" s="28"/>
      <c r="O32324" s="28"/>
      <c r="U32324" s="28"/>
    </row>
    <row r="32325">
      <c r="N32325" s="28"/>
      <c r="O32325" s="28"/>
      <c r="U32325" s="28"/>
    </row>
    <row r="32326">
      <c r="N32326" s="28"/>
      <c r="O32326" s="28"/>
      <c r="U32326" s="28"/>
    </row>
    <row r="32327">
      <c r="N32327" s="28"/>
      <c r="O32327" s="28"/>
      <c r="U32327" s="28"/>
    </row>
    <row r="32328">
      <c r="N32328" s="28"/>
      <c r="O32328" s="28"/>
      <c r="U32328" s="28"/>
    </row>
    <row r="32329">
      <c r="N32329" s="28"/>
      <c r="O32329" s="28"/>
      <c r="U32329" s="28"/>
    </row>
    <row r="32330">
      <c r="N32330" s="28"/>
      <c r="O32330" s="28"/>
      <c r="U32330" s="28"/>
    </row>
    <row r="32331">
      <c r="N32331" s="28"/>
      <c r="O32331" s="28"/>
      <c r="U32331" s="28"/>
    </row>
    <row r="32332">
      <c r="N32332" s="28"/>
      <c r="O32332" s="28"/>
      <c r="U32332" s="28"/>
    </row>
    <row r="32333">
      <c r="N32333" s="28"/>
      <c r="O32333" s="28"/>
      <c r="U32333" s="28"/>
    </row>
    <row r="32334">
      <c r="N32334" s="28"/>
      <c r="O32334" s="28"/>
      <c r="U32334" s="28"/>
    </row>
    <row r="32335">
      <c r="N32335" s="28"/>
      <c r="O32335" s="28"/>
      <c r="U32335" s="28"/>
    </row>
    <row r="32336">
      <c r="N32336" s="28"/>
      <c r="O32336" s="28"/>
      <c r="U32336" s="28"/>
    </row>
    <row r="32337">
      <c r="N32337" s="28"/>
      <c r="O32337" s="28"/>
      <c r="U32337" s="28"/>
    </row>
    <row r="32338">
      <c r="N32338" s="28"/>
      <c r="O32338" s="28"/>
      <c r="U32338" s="28"/>
    </row>
    <row r="32339">
      <c r="N32339" s="28"/>
      <c r="O32339" s="28"/>
      <c r="U32339" s="28"/>
    </row>
    <row r="32340">
      <c r="N32340" s="28"/>
      <c r="O32340" s="28"/>
      <c r="U32340" s="28"/>
    </row>
    <row r="32341">
      <c r="N32341" s="28"/>
      <c r="O32341" s="28"/>
      <c r="U32341" s="28"/>
    </row>
    <row r="32342">
      <c r="N32342" s="28"/>
      <c r="O32342" s="28"/>
      <c r="U32342" s="28"/>
    </row>
    <row r="32343">
      <c r="N32343" s="28"/>
      <c r="O32343" s="28"/>
      <c r="U32343" s="28"/>
    </row>
    <row r="32344">
      <c r="N32344" s="28"/>
      <c r="O32344" s="28"/>
      <c r="U32344" s="28"/>
    </row>
    <row r="32345">
      <c r="N32345" s="28"/>
      <c r="O32345" s="28"/>
      <c r="U32345" s="28"/>
    </row>
    <row r="32346">
      <c r="N32346" s="28"/>
      <c r="O32346" s="28"/>
      <c r="U32346" s="28"/>
    </row>
    <row r="32347">
      <c r="N32347" s="28"/>
      <c r="O32347" s="28"/>
      <c r="U32347" s="28"/>
    </row>
    <row r="32348">
      <c r="N32348" s="28"/>
      <c r="O32348" s="28"/>
      <c r="U32348" s="28"/>
    </row>
    <row r="32349">
      <c r="N32349" s="28"/>
      <c r="O32349" s="28"/>
      <c r="U32349" s="28"/>
    </row>
    <row r="32350">
      <c r="N32350" s="28"/>
      <c r="O32350" s="28"/>
      <c r="U32350" s="28"/>
    </row>
    <row r="32351">
      <c r="N32351" s="28"/>
      <c r="O32351" s="28"/>
      <c r="U32351" s="28"/>
    </row>
    <row r="32352">
      <c r="N32352" s="28"/>
      <c r="O32352" s="28"/>
      <c r="U32352" s="28"/>
    </row>
    <row r="32353">
      <c r="N32353" s="28"/>
      <c r="O32353" s="28"/>
      <c r="U32353" s="28"/>
    </row>
    <row r="32354">
      <c r="N32354" s="28"/>
      <c r="O32354" s="28"/>
      <c r="U32354" s="28"/>
    </row>
    <row r="32355">
      <c r="N32355" s="28"/>
      <c r="O32355" s="28"/>
      <c r="U32355" s="28"/>
    </row>
    <row r="32356">
      <c r="N32356" s="28"/>
      <c r="O32356" s="28"/>
      <c r="U32356" s="28"/>
    </row>
    <row r="32357">
      <c r="N32357" s="28"/>
      <c r="O32357" s="28"/>
      <c r="U32357" s="28"/>
    </row>
    <row r="32358">
      <c r="N32358" s="28"/>
      <c r="O32358" s="28"/>
      <c r="U32358" s="28"/>
    </row>
    <row r="32359">
      <c r="N32359" s="28"/>
      <c r="O32359" s="28"/>
      <c r="U32359" s="28"/>
    </row>
    <row r="32360">
      <c r="N32360" s="28"/>
      <c r="O32360" s="28"/>
      <c r="U32360" s="28"/>
    </row>
    <row r="32361">
      <c r="N32361" s="28"/>
      <c r="O32361" s="28"/>
      <c r="U32361" s="28"/>
    </row>
    <row r="32362">
      <c r="N32362" s="28"/>
      <c r="O32362" s="28"/>
      <c r="U32362" s="28"/>
    </row>
    <row r="32363">
      <c r="N32363" s="28"/>
      <c r="O32363" s="28"/>
      <c r="U32363" s="28"/>
    </row>
    <row r="32364">
      <c r="N32364" s="28"/>
      <c r="O32364" s="28"/>
      <c r="U32364" s="28"/>
    </row>
    <row r="32365">
      <c r="N32365" s="28"/>
      <c r="O32365" s="28"/>
      <c r="U32365" s="28"/>
    </row>
    <row r="32366">
      <c r="N32366" s="28"/>
      <c r="O32366" s="28"/>
      <c r="U32366" s="28"/>
    </row>
    <row r="32367">
      <c r="N32367" s="28"/>
      <c r="O32367" s="28"/>
      <c r="U32367" s="28"/>
    </row>
    <row r="32368">
      <c r="N32368" s="28"/>
      <c r="O32368" s="28"/>
      <c r="U32368" s="28"/>
    </row>
    <row r="32369">
      <c r="N32369" s="28"/>
      <c r="O32369" s="28"/>
      <c r="U32369" s="28"/>
    </row>
    <row r="32370">
      <c r="N32370" s="28"/>
      <c r="O32370" s="28"/>
      <c r="U32370" s="28"/>
    </row>
    <row r="32371">
      <c r="N32371" s="28"/>
      <c r="O32371" s="28"/>
      <c r="U32371" s="28"/>
    </row>
    <row r="32372">
      <c r="N32372" s="28"/>
      <c r="O32372" s="28"/>
      <c r="U32372" s="28"/>
    </row>
    <row r="32373">
      <c r="N32373" s="28"/>
      <c r="O32373" s="28"/>
      <c r="U32373" s="28"/>
    </row>
    <row r="32374">
      <c r="N32374" s="28"/>
      <c r="O32374" s="28"/>
      <c r="U32374" s="28"/>
    </row>
    <row r="32375">
      <c r="N32375" s="28"/>
      <c r="O32375" s="28"/>
      <c r="U32375" s="28"/>
    </row>
    <row r="32376">
      <c r="N32376" s="28"/>
      <c r="O32376" s="28"/>
      <c r="U32376" s="28"/>
    </row>
    <row r="32377">
      <c r="N32377" s="28"/>
      <c r="O32377" s="28"/>
      <c r="U32377" s="28"/>
    </row>
    <row r="32378">
      <c r="N32378" s="28"/>
      <c r="O32378" s="28"/>
      <c r="U32378" s="28"/>
    </row>
    <row r="32379">
      <c r="N32379" s="28"/>
      <c r="O32379" s="28"/>
      <c r="U32379" s="28"/>
    </row>
    <row r="32380">
      <c r="N32380" s="28"/>
      <c r="O32380" s="28"/>
      <c r="U32380" s="28"/>
    </row>
    <row r="32381">
      <c r="N32381" s="28"/>
      <c r="O32381" s="28"/>
      <c r="U32381" s="28"/>
    </row>
    <row r="32382">
      <c r="N32382" s="28"/>
      <c r="O32382" s="28"/>
      <c r="U32382" s="28"/>
    </row>
    <row r="32383">
      <c r="N32383" s="28"/>
      <c r="O32383" s="28"/>
      <c r="U32383" s="28"/>
    </row>
    <row r="32384">
      <c r="N32384" s="28"/>
      <c r="O32384" s="28"/>
      <c r="U32384" s="28"/>
    </row>
    <row r="32385">
      <c r="N32385" s="28"/>
      <c r="O32385" s="28"/>
      <c r="U32385" s="28"/>
    </row>
    <row r="32386">
      <c r="N32386" s="28"/>
      <c r="O32386" s="28"/>
      <c r="U32386" s="28"/>
    </row>
    <row r="32387">
      <c r="N32387" s="28"/>
      <c r="O32387" s="28"/>
      <c r="U32387" s="28"/>
    </row>
    <row r="32388">
      <c r="N32388" s="28"/>
      <c r="O32388" s="28"/>
      <c r="U32388" s="28"/>
    </row>
    <row r="32389">
      <c r="N32389" s="28"/>
      <c r="O32389" s="28"/>
      <c r="U32389" s="28"/>
    </row>
    <row r="32390">
      <c r="N32390" s="28"/>
      <c r="O32390" s="28"/>
      <c r="U32390" s="28"/>
    </row>
    <row r="32391">
      <c r="N32391" s="28"/>
      <c r="O32391" s="28"/>
      <c r="U32391" s="28"/>
    </row>
    <row r="32392">
      <c r="N32392" s="28"/>
      <c r="O32392" s="28"/>
      <c r="U32392" s="28"/>
    </row>
    <row r="32393">
      <c r="N32393" s="28"/>
      <c r="O32393" s="28"/>
      <c r="U32393" s="28"/>
    </row>
    <row r="32394">
      <c r="N32394" s="28"/>
      <c r="O32394" s="28"/>
      <c r="U32394" s="28"/>
    </row>
    <row r="32395">
      <c r="N32395" s="28"/>
      <c r="O32395" s="28"/>
      <c r="U32395" s="28"/>
    </row>
    <row r="32396">
      <c r="N32396" s="28"/>
      <c r="O32396" s="28"/>
      <c r="U32396" s="28"/>
    </row>
    <row r="32397">
      <c r="N32397" s="28"/>
      <c r="O32397" s="28"/>
      <c r="U32397" s="28"/>
    </row>
    <row r="32398">
      <c r="N32398" s="28"/>
      <c r="O32398" s="28"/>
      <c r="U32398" s="28"/>
    </row>
    <row r="32399">
      <c r="N32399" s="28"/>
      <c r="O32399" s="28"/>
      <c r="U32399" s="28"/>
    </row>
    <row r="32400">
      <c r="N32400" s="28"/>
      <c r="O32400" s="28"/>
      <c r="U32400" s="28"/>
    </row>
    <row r="32401">
      <c r="N32401" s="28"/>
      <c r="O32401" s="28"/>
      <c r="U32401" s="28"/>
    </row>
    <row r="32402">
      <c r="N32402" s="28"/>
      <c r="O32402" s="28"/>
      <c r="U32402" s="28"/>
    </row>
    <row r="32403">
      <c r="N32403" s="28"/>
      <c r="O32403" s="28"/>
      <c r="U32403" s="28"/>
    </row>
    <row r="32404">
      <c r="N32404" s="28"/>
      <c r="O32404" s="28"/>
      <c r="U32404" s="28"/>
    </row>
    <row r="32405">
      <c r="N32405" s="28"/>
      <c r="O32405" s="28"/>
      <c r="U32405" s="28"/>
    </row>
    <row r="32406">
      <c r="N32406" s="28"/>
      <c r="O32406" s="28"/>
      <c r="U32406" s="28"/>
    </row>
    <row r="32407">
      <c r="N32407" s="28"/>
      <c r="O32407" s="28"/>
      <c r="U32407" s="28"/>
    </row>
    <row r="32408">
      <c r="N32408" s="28"/>
      <c r="O32408" s="28"/>
      <c r="U32408" s="28"/>
    </row>
    <row r="32409">
      <c r="N32409" s="28"/>
      <c r="O32409" s="28"/>
      <c r="U32409" s="28"/>
    </row>
    <row r="32410">
      <c r="N32410" s="28"/>
      <c r="O32410" s="28"/>
      <c r="U32410" s="28"/>
    </row>
    <row r="32411">
      <c r="N32411" s="28"/>
      <c r="O32411" s="28"/>
      <c r="U32411" s="28"/>
    </row>
    <row r="32412">
      <c r="N32412" s="28"/>
      <c r="O32412" s="28"/>
      <c r="U32412" s="28"/>
    </row>
    <row r="32413">
      <c r="N32413" s="28"/>
      <c r="O32413" s="28"/>
      <c r="U32413" s="28"/>
    </row>
    <row r="32414">
      <c r="N32414" s="28"/>
      <c r="O32414" s="28"/>
      <c r="U32414" s="28"/>
    </row>
    <row r="32415">
      <c r="N32415" s="28"/>
      <c r="O32415" s="28"/>
      <c r="U32415" s="28"/>
    </row>
    <row r="32416">
      <c r="N32416" s="28"/>
      <c r="O32416" s="28"/>
      <c r="U32416" s="28"/>
    </row>
    <row r="32417">
      <c r="N32417" s="28"/>
      <c r="O32417" s="28"/>
      <c r="U32417" s="28"/>
    </row>
    <row r="32418">
      <c r="N32418" s="28"/>
      <c r="O32418" s="28"/>
      <c r="U32418" s="28"/>
    </row>
    <row r="32419">
      <c r="N32419" s="28"/>
      <c r="O32419" s="28"/>
      <c r="U32419" s="28"/>
    </row>
    <row r="32420">
      <c r="N32420" s="28"/>
      <c r="O32420" s="28"/>
      <c r="U32420" s="28"/>
    </row>
    <row r="32421">
      <c r="N32421" s="28"/>
      <c r="O32421" s="28"/>
      <c r="U32421" s="28"/>
    </row>
    <row r="32422">
      <c r="N32422" s="28"/>
      <c r="O32422" s="28"/>
      <c r="U32422" s="28"/>
    </row>
    <row r="32423">
      <c r="N32423" s="28"/>
      <c r="O32423" s="28"/>
      <c r="U32423" s="28"/>
    </row>
    <row r="32424">
      <c r="N32424" s="28"/>
      <c r="O32424" s="28"/>
      <c r="U32424" s="28"/>
    </row>
    <row r="32425">
      <c r="N32425" s="28"/>
      <c r="O32425" s="28"/>
      <c r="U32425" s="28"/>
    </row>
    <row r="32426">
      <c r="N32426" s="28"/>
      <c r="O32426" s="28"/>
      <c r="U32426" s="28"/>
    </row>
    <row r="32427">
      <c r="N32427" s="28"/>
      <c r="O32427" s="28"/>
      <c r="U32427" s="28"/>
    </row>
    <row r="32428">
      <c r="N32428" s="28"/>
      <c r="O32428" s="28"/>
      <c r="U32428" s="28"/>
    </row>
    <row r="32429">
      <c r="N32429" s="28"/>
      <c r="O32429" s="28"/>
      <c r="U32429" s="28"/>
    </row>
    <row r="32430">
      <c r="N32430" s="28"/>
      <c r="O32430" s="28"/>
      <c r="U32430" s="28"/>
    </row>
    <row r="32431">
      <c r="N32431" s="28"/>
      <c r="O32431" s="28"/>
      <c r="U32431" s="28"/>
    </row>
    <row r="32432">
      <c r="N32432" s="28"/>
      <c r="O32432" s="28"/>
      <c r="U32432" s="28"/>
    </row>
    <row r="32433">
      <c r="N32433" s="28"/>
      <c r="O32433" s="28"/>
      <c r="U32433" s="28"/>
    </row>
    <row r="32434">
      <c r="N32434" s="28"/>
      <c r="O32434" s="28"/>
      <c r="U32434" s="28"/>
    </row>
    <row r="32435">
      <c r="N32435" s="28"/>
      <c r="O32435" s="28"/>
      <c r="U32435" s="28"/>
    </row>
    <row r="32436">
      <c r="N32436" s="28"/>
      <c r="O32436" s="28"/>
      <c r="U32436" s="28"/>
    </row>
    <row r="32437">
      <c r="N32437" s="28"/>
      <c r="O32437" s="28"/>
      <c r="U32437" s="28"/>
    </row>
    <row r="32438">
      <c r="N32438" s="28"/>
      <c r="O32438" s="28"/>
      <c r="U32438" s="28"/>
    </row>
    <row r="32439">
      <c r="N32439" s="28"/>
      <c r="O32439" s="28"/>
      <c r="U32439" s="28"/>
    </row>
    <row r="32440">
      <c r="N32440" s="28"/>
      <c r="O32440" s="28"/>
      <c r="U32440" s="28"/>
    </row>
    <row r="32441">
      <c r="N32441" s="28"/>
      <c r="O32441" s="28"/>
      <c r="U32441" s="28"/>
    </row>
    <row r="32442">
      <c r="N32442" s="28"/>
      <c r="O32442" s="28"/>
      <c r="U32442" s="28"/>
    </row>
    <row r="32443">
      <c r="N32443" s="28"/>
      <c r="O32443" s="28"/>
      <c r="U32443" s="28"/>
    </row>
    <row r="32444">
      <c r="N32444" s="28"/>
      <c r="O32444" s="28"/>
      <c r="U32444" s="28"/>
    </row>
    <row r="32445">
      <c r="N32445" s="28"/>
      <c r="O32445" s="28"/>
      <c r="U32445" s="28"/>
    </row>
    <row r="32446">
      <c r="N32446" s="28"/>
      <c r="O32446" s="28"/>
      <c r="U32446" s="28"/>
    </row>
    <row r="32447">
      <c r="N32447" s="28"/>
      <c r="O32447" s="28"/>
      <c r="U32447" s="28"/>
    </row>
    <row r="32448">
      <c r="N32448" s="28"/>
      <c r="O32448" s="28"/>
      <c r="U32448" s="28"/>
    </row>
    <row r="32449">
      <c r="N32449" s="28"/>
      <c r="O32449" s="28"/>
      <c r="U32449" s="28"/>
    </row>
    <row r="32450">
      <c r="N32450" s="28"/>
      <c r="O32450" s="28"/>
      <c r="U32450" s="28"/>
    </row>
    <row r="32451">
      <c r="N32451" s="28"/>
      <c r="O32451" s="28"/>
      <c r="U32451" s="28"/>
    </row>
    <row r="32452">
      <c r="N32452" s="28"/>
      <c r="O32452" s="28"/>
      <c r="U32452" s="28"/>
    </row>
    <row r="32453">
      <c r="N32453" s="28"/>
      <c r="O32453" s="28"/>
      <c r="U32453" s="28"/>
    </row>
    <row r="32454">
      <c r="N32454" s="28"/>
      <c r="O32454" s="28"/>
      <c r="U32454" s="28"/>
    </row>
    <row r="32455">
      <c r="N32455" s="28"/>
      <c r="O32455" s="28"/>
      <c r="U32455" s="28"/>
    </row>
    <row r="32456">
      <c r="N32456" s="28"/>
      <c r="O32456" s="28"/>
      <c r="U32456" s="28"/>
    </row>
    <row r="32457">
      <c r="N32457" s="28"/>
      <c r="O32457" s="28"/>
      <c r="U32457" s="28"/>
    </row>
    <row r="32458">
      <c r="N32458" s="28"/>
      <c r="O32458" s="28"/>
      <c r="U32458" s="28"/>
    </row>
    <row r="32459">
      <c r="N32459" s="28"/>
      <c r="O32459" s="28"/>
      <c r="U32459" s="28"/>
    </row>
    <row r="32460">
      <c r="N32460" s="28"/>
      <c r="O32460" s="28"/>
      <c r="U32460" s="28"/>
    </row>
    <row r="32461">
      <c r="N32461" s="28"/>
      <c r="O32461" s="28"/>
      <c r="U32461" s="28"/>
    </row>
    <row r="32462">
      <c r="N32462" s="28"/>
      <c r="O32462" s="28"/>
      <c r="U32462" s="28"/>
    </row>
    <row r="32463">
      <c r="N32463" s="28"/>
      <c r="O32463" s="28"/>
      <c r="U32463" s="28"/>
    </row>
    <row r="32464">
      <c r="N32464" s="28"/>
      <c r="O32464" s="28"/>
      <c r="U32464" s="28"/>
    </row>
    <row r="32465">
      <c r="N32465" s="28"/>
      <c r="O32465" s="28"/>
      <c r="U32465" s="28"/>
    </row>
    <row r="32466">
      <c r="N32466" s="28"/>
      <c r="O32466" s="28"/>
      <c r="U32466" s="28"/>
    </row>
    <row r="32467">
      <c r="N32467" s="28"/>
      <c r="O32467" s="28"/>
      <c r="U32467" s="28"/>
    </row>
    <row r="32468">
      <c r="N32468" s="28"/>
      <c r="O32468" s="28"/>
      <c r="U32468" s="28"/>
    </row>
    <row r="32469">
      <c r="N32469" s="28"/>
      <c r="O32469" s="28"/>
      <c r="U32469" s="28"/>
    </row>
    <row r="32470">
      <c r="N32470" s="28"/>
      <c r="O32470" s="28"/>
      <c r="U32470" s="28"/>
    </row>
    <row r="32471">
      <c r="N32471" s="28"/>
      <c r="O32471" s="28"/>
      <c r="U32471" s="28"/>
    </row>
    <row r="32472">
      <c r="N32472" s="28"/>
      <c r="O32472" s="28"/>
      <c r="U32472" s="28"/>
    </row>
    <row r="32473">
      <c r="N32473" s="28"/>
      <c r="O32473" s="28"/>
      <c r="U32473" s="28"/>
    </row>
    <row r="32474">
      <c r="N32474" s="28"/>
      <c r="O32474" s="28"/>
      <c r="U32474" s="28"/>
    </row>
    <row r="32475">
      <c r="N32475" s="28"/>
      <c r="O32475" s="28"/>
      <c r="U32475" s="28"/>
    </row>
    <row r="32476">
      <c r="N32476" s="28"/>
      <c r="O32476" s="28"/>
      <c r="U32476" s="28"/>
    </row>
    <row r="32477">
      <c r="N32477" s="28"/>
      <c r="O32477" s="28"/>
      <c r="U32477" s="28"/>
    </row>
    <row r="32478">
      <c r="N32478" s="28"/>
      <c r="O32478" s="28"/>
      <c r="U32478" s="28"/>
    </row>
    <row r="32479">
      <c r="N32479" s="28"/>
      <c r="O32479" s="28"/>
      <c r="U32479" s="28"/>
    </row>
    <row r="32480">
      <c r="N32480" s="28"/>
      <c r="O32480" s="28"/>
      <c r="U32480" s="28"/>
    </row>
    <row r="32481">
      <c r="N32481" s="28"/>
      <c r="O32481" s="28"/>
      <c r="U32481" s="28"/>
    </row>
    <row r="32482">
      <c r="N32482" s="28"/>
      <c r="O32482" s="28"/>
      <c r="U32482" s="28"/>
    </row>
    <row r="32483">
      <c r="N32483" s="28"/>
      <c r="O32483" s="28"/>
      <c r="U32483" s="28"/>
    </row>
    <row r="32484">
      <c r="N32484" s="28"/>
      <c r="O32484" s="28"/>
      <c r="U32484" s="28"/>
    </row>
    <row r="32485">
      <c r="N32485" s="28"/>
      <c r="O32485" s="28"/>
      <c r="U32485" s="28"/>
    </row>
    <row r="32486">
      <c r="N32486" s="28"/>
      <c r="O32486" s="28"/>
      <c r="U32486" s="28"/>
    </row>
    <row r="32487">
      <c r="N32487" s="28"/>
      <c r="O32487" s="28"/>
      <c r="U32487" s="28"/>
    </row>
    <row r="32488">
      <c r="N32488" s="28"/>
      <c r="O32488" s="28"/>
      <c r="U32488" s="28"/>
    </row>
    <row r="32489">
      <c r="N32489" s="28"/>
      <c r="O32489" s="28"/>
      <c r="U32489" s="28"/>
    </row>
    <row r="32490">
      <c r="N32490" s="28"/>
      <c r="O32490" s="28"/>
      <c r="U32490" s="28"/>
    </row>
    <row r="32491">
      <c r="N32491" s="28"/>
      <c r="O32491" s="28"/>
      <c r="U32491" s="28"/>
    </row>
    <row r="32492">
      <c r="N32492" s="28"/>
      <c r="O32492" s="28"/>
      <c r="U32492" s="28"/>
    </row>
    <row r="32493">
      <c r="N32493" s="28"/>
      <c r="O32493" s="28"/>
      <c r="U32493" s="28"/>
    </row>
    <row r="32494">
      <c r="N32494" s="28"/>
      <c r="O32494" s="28"/>
      <c r="U32494" s="28"/>
    </row>
    <row r="32495">
      <c r="N32495" s="28"/>
      <c r="O32495" s="28"/>
      <c r="U32495" s="28"/>
    </row>
    <row r="32496">
      <c r="N32496" s="28"/>
      <c r="O32496" s="28"/>
      <c r="U32496" s="28"/>
    </row>
    <row r="32497">
      <c r="N32497" s="28"/>
      <c r="O32497" s="28"/>
      <c r="U32497" s="28"/>
    </row>
    <row r="32498">
      <c r="N32498" s="28"/>
      <c r="O32498" s="28"/>
      <c r="U32498" s="28"/>
    </row>
    <row r="32499">
      <c r="N32499" s="28"/>
      <c r="O32499" s="28"/>
      <c r="U32499" s="28"/>
    </row>
    <row r="32500">
      <c r="N32500" s="28"/>
      <c r="O32500" s="28"/>
      <c r="U32500" s="28"/>
    </row>
    <row r="32501">
      <c r="N32501" s="28"/>
      <c r="O32501" s="28"/>
      <c r="U32501" s="28"/>
    </row>
    <row r="32502">
      <c r="N32502" s="28"/>
      <c r="O32502" s="28"/>
      <c r="U32502" s="28"/>
    </row>
    <row r="32503">
      <c r="N32503" s="28"/>
      <c r="O32503" s="28"/>
      <c r="U32503" s="28"/>
    </row>
    <row r="32504">
      <c r="N32504" s="28"/>
      <c r="O32504" s="28"/>
      <c r="U32504" s="28"/>
    </row>
    <row r="32505">
      <c r="N32505" s="28"/>
      <c r="O32505" s="28"/>
      <c r="U32505" s="28"/>
    </row>
    <row r="32506">
      <c r="N32506" s="28"/>
      <c r="O32506" s="28"/>
      <c r="U32506" s="28"/>
    </row>
    <row r="32507">
      <c r="N32507" s="28"/>
      <c r="O32507" s="28"/>
      <c r="U32507" s="28"/>
    </row>
    <row r="32508">
      <c r="N32508" s="28"/>
      <c r="O32508" s="28"/>
      <c r="U32508" s="28"/>
    </row>
    <row r="32509">
      <c r="N32509" s="28"/>
      <c r="O32509" s="28"/>
      <c r="U32509" s="28"/>
    </row>
    <row r="32510">
      <c r="N32510" s="28"/>
      <c r="O32510" s="28"/>
      <c r="U32510" s="28"/>
    </row>
    <row r="32511">
      <c r="N32511" s="28"/>
      <c r="O32511" s="28"/>
      <c r="U32511" s="28"/>
    </row>
    <row r="32512">
      <c r="N32512" s="28"/>
      <c r="O32512" s="28"/>
      <c r="U32512" s="28"/>
    </row>
    <row r="32513">
      <c r="N32513" s="28"/>
      <c r="O32513" s="28"/>
      <c r="U32513" s="28"/>
    </row>
    <row r="32514">
      <c r="N32514" s="28"/>
      <c r="O32514" s="28"/>
      <c r="U32514" s="28"/>
    </row>
    <row r="32515">
      <c r="N32515" s="28"/>
      <c r="O32515" s="28"/>
      <c r="U32515" s="28"/>
    </row>
    <row r="32516">
      <c r="N32516" s="28"/>
      <c r="O32516" s="28"/>
      <c r="U32516" s="28"/>
    </row>
    <row r="32517">
      <c r="N32517" s="28"/>
      <c r="O32517" s="28"/>
      <c r="U32517" s="28"/>
    </row>
    <row r="32518">
      <c r="N32518" s="28"/>
      <c r="O32518" s="28"/>
      <c r="U32518" s="28"/>
    </row>
    <row r="32519">
      <c r="N32519" s="28"/>
      <c r="O32519" s="28"/>
      <c r="U32519" s="28"/>
    </row>
    <row r="32520">
      <c r="N32520" s="28"/>
      <c r="O32520" s="28"/>
      <c r="U32520" s="28"/>
    </row>
    <row r="32521">
      <c r="N32521" s="28"/>
      <c r="O32521" s="28"/>
      <c r="U32521" s="28"/>
    </row>
    <row r="32522">
      <c r="N32522" s="28"/>
      <c r="O32522" s="28"/>
      <c r="U32522" s="28"/>
    </row>
    <row r="32523">
      <c r="N32523" s="28"/>
      <c r="O32523" s="28"/>
      <c r="U32523" s="28"/>
    </row>
    <row r="32524">
      <c r="N32524" s="28"/>
      <c r="O32524" s="28"/>
      <c r="U32524" s="28"/>
    </row>
    <row r="32525">
      <c r="N32525" s="28"/>
      <c r="O32525" s="28"/>
      <c r="U32525" s="28"/>
    </row>
    <row r="32526">
      <c r="N32526" s="28"/>
      <c r="O32526" s="28"/>
      <c r="U32526" s="28"/>
    </row>
    <row r="32527">
      <c r="N32527" s="28"/>
      <c r="O32527" s="28"/>
      <c r="U32527" s="28"/>
    </row>
    <row r="32528">
      <c r="N32528" s="28"/>
      <c r="O32528" s="28"/>
      <c r="U32528" s="28"/>
    </row>
    <row r="32529">
      <c r="N32529" s="28"/>
      <c r="O32529" s="28"/>
      <c r="U32529" s="28"/>
    </row>
    <row r="32530">
      <c r="N32530" s="28"/>
      <c r="O32530" s="28"/>
      <c r="U32530" s="28"/>
    </row>
    <row r="32531">
      <c r="N32531" s="28"/>
      <c r="O32531" s="28"/>
      <c r="U32531" s="28"/>
    </row>
    <row r="32532">
      <c r="N32532" s="28"/>
      <c r="O32532" s="28"/>
      <c r="U32532" s="28"/>
    </row>
    <row r="32533">
      <c r="N32533" s="28"/>
      <c r="O32533" s="28"/>
      <c r="U32533" s="28"/>
    </row>
    <row r="32534">
      <c r="N32534" s="28"/>
      <c r="O32534" s="28"/>
      <c r="U32534" s="28"/>
    </row>
    <row r="32535">
      <c r="N32535" s="28"/>
      <c r="O32535" s="28"/>
      <c r="U32535" s="28"/>
    </row>
    <row r="32536">
      <c r="N32536" s="28"/>
      <c r="O32536" s="28"/>
      <c r="U32536" s="28"/>
    </row>
    <row r="32537">
      <c r="N32537" s="28"/>
      <c r="O32537" s="28"/>
      <c r="U32537" s="28"/>
    </row>
    <row r="32538">
      <c r="N32538" s="28"/>
      <c r="O32538" s="28"/>
      <c r="U32538" s="28"/>
    </row>
    <row r="32539">
      <c r="N32539" s="28"/>
      <c r="O32539" s="28"/>
      <c r="U32539" s="28"/>
    </row>
    <row r="32540">
      <c r="N32540" s="28"/>
      <c r="O32540" s="28"/>
      <c r="U32540" s="28"/>
    </row>
    <row r="32541">
      <c r="N32541" s="28"/>
      <c r="O32541" s="28"/>
      <c r="U32541" s="28"/>
    </row>
    <row r="32542">
      <c r="N32542" s="28"/>
      <c r="O32542" s="28"/>
      <c r="U32542" s="28"/>
    </row>
    <row r="32543">
      <c r="N32543" s="28"/>
      <c r="O32543" s="28"/>
      <c r="U32543" s="28"/>
    </row>
    <row r="32544">
      <c r="N32544" s="28"/>
      <c r="O32544" s="28"/>
      <c r="U32544" s="28"/>
    </row>
    <row r="32545">
      <c r="N32545" s="28"/>
      <c r="O32545" s="28"/>
      <c r="U32545" s="28"/>
    </row>
    <row r="32546">
      <c r="N32546" s="28"/>
      <c r="O32546" s="28"/>
      <c r="U32546" s="28"/>
    </row>
    <row r="32547">
      <c r="N32547" s="28"/>
      <c r="O32547" s="28"/>
      <c r="U32547" s="28"/>
    </row>
    <row r="32548">
      <c r="N32548" s="28"/>
      <c r="O32548" s="28"/>
      <c r="U32548" s="28"/>
    </row>
    <row r="32549">
      <c r="N32549" s="28"/>
      <c r="O32549" s="28"/>
      <c r="U32549" s="28"/>
    </row>
    <row r="32550">
      <c r="N32550" s="28"/>
      <c r="O32550" s="28"/>
      <c r="U32550" s="28"/>
    </row>
    <row r="32551">
      <c r="N32551" s="28"/>
      <c r="O32551" s="28"/>
      <c r="U32551" s="28"/>
    </row>
    <row r="32552">
      <c r="N32552" s="28"/>
      <c r="O32552" s="28"/>
      <c r="U32552" s="28"/>
    </row>
    <row r="32553">
      <c r="N32553" s="28"/>
      <c r="O32553" s="28"/>
      <c r="U32553" s="28"/>
    </row>
    <row r="32554">
      <c r="N32554" s="28"/>
      <c r="O32554" s="28"/>
      <c r="U32554" s="28"/>
    </row>
    <row r="32555">
      <c r="N32555" s="28"/>
      <c r="O32555" s="28"/>
      <c r="U32555" s="28"/>
    </row>
    <row r="32556">
      <c r="N32556" s="28"/>
      <c r="O32556" s="28"/>
      <c r="U32556" s="28"/>
    </row>
    <row r="32557">
      <c r="N32557" s="28"/>
      <c r="O32557" s="28"/>
      <c r="U32557" s="28"/>
    </row>
    <row r="32558">
      <c r="N32558" s="28"/>
      <c r="O32558" s="28"/>
      <c r="U32558" s="28"/>
    </row>
    <row r="32559">
      <c r="N32559" s="28"/>
      <c r="O32559" s="28"/>
      <c r="U32559" s="28"/>
    </row>
    <row r="32560">
      <c r="N32560" s="28"/>
      <c r="O32560" s="28"/>
      <c r="U32560" s="28"/>
    </row>
    <row r="32561">
      <c r="N32561" s="28"/>
      <c r="O32561" s="28"/>
      <c r="U32561" s="28"/>
    </row>
    <row r="32562">
      <c r="N32562" s="28"/>
      <c r="O32562" s="28"/>
      <c r="U32562" s="28"/>
    </row>
    <row r="32563">
      <c r="N32563" s="28"/>
      <c r="O32563" s="28"/>
      <c r="U32563" s="28"/>
    </row>
    <row r="32564">
      <c r="N32564" s="28"/>
      <c r="O32564" s="28"/>
      <c r="U32564" s="28"/>
    </row>
    <row r="32565">
      <c r="N32565" s="28"/>
      <c r="O32565" s="28"/>
      <c r="U32565" s="28"/>
    </row>
    <row r="32566">
      <c r="N32566" s="28"/>
      <c r="O32566" s="28"/>
      <c r="U32566" s="28"/>
    </row>
    <row r="32567">
      <c r="N32567" s="28"/>
      <c r="O32567" s="28"/>
      <c r="U32567" s="28"/>
    </row>
    <row r="32568">
      <c r="N32568" s="28"/>
      <c r="O32568" s="28"/>
      <c r="U32568" s="28"/>
    </row>
    <row r="32569">
      <c r="N32569" s="28"/>
      <c r="O32569" s="28"/>
      <c r="U32569" s="28"/>
    </row>
    <row r="32570">
      <c r="N32570" s="28"/>
      <c r="O32570" s="28"/>
      <c r="U32570" s="28"/>
    </row>
    <row r="32571">
      <c r="N32571" s="28"/>
      <c r="O32571" s="28"/>
      <c r="U32571" s="28"/>
    </row>
    <row r="32572">
      <c r="N32572" s="28"/>
      <c r="O32572" s="28"/>
      <c r="U32572" s="28"/>
    </row>
    <row r="32573">
      <c r="N32573" s="28"/>
      <c r="O32573" s="28"/>
      <c r="U32573" s="28"/>
    </row>
    <row r="32574">
      <c r="N32574" s="28"/>
      <c r="O32574" s="28"/>
      <c r="U32574" s="28"/>
    </row>
    <row r="32575">
      <c r="N32575" s="28"/>
      <c r="O32575" s="28"/>
      <c r="U32575" s="28"/>
    </row>
    <row r="32576">
      <c r="N32576" s="28"/>
      <c r="O32576" s="28"/>
      <c r="U32576" s="28"/>
    </row>
    <row r="32577">
      <c r="N32577" s="28"/>
      <c r="O32577" s="28"/>
      <c r="U32577" s="28"/>
    </row>
    <row r="32578">
      <c r="N32578" s="28"/>
      <c r="O32578" s="28"/>
      <c r="U32578" s="28"/>
    </row>
    <row r="32579">
      <c r="N32579" s="28"/>
      <c r="O32579" s="28"/>
      <c r="U32579" s="28"/>
    </row>
    <row r="32580">
      <c r="N32580" s="28"/>
      <c r="O32580" s="28"/>
      <c r="U32580" s="28"/>
    </row>
    <row r="32581">
      <c r="N32581" s="28"/>
      <c r="O32581" s="28"/>
      <c r="U32581" s="28"/>
    </row>
    <row r="32582">
      <c r="N32582" s="28"/>
      <c r="O32582" s="28"/>
      <c r="U32582" s="28"/>
    </row>
    <row r="32583">
      <c r="N32583" s="28"/>
      <c r="O32583" s="28"/>
      <c r="U32583" s="28"/>
    </row>
    <row r="32584">
      <c r="N32584" s="28"/>
      <c r="O32584" s="28"/>
      <c r="U32584" s="28"/>
    </row>
    <row r="32585">
      <c r="N32585" s="28"/>
      <c r="O32585" s="28"/>
      <c r="U32585" s="28"/>
    </row>
    <row r="32586">
      <c r="N32586" s="28"/>
      <c r="O32586" s="28"/>
      <c r="U32586" s="28"/>
    </row>
    <row r="32587">
      <c r="N32587" s="28"/>
      <c r="O32587" s="28"/>
      <c r="U32587" s="28"/>
    </row>
    <row r="32588">
      <c r="N32588" s="28"/>
      <c r="O32588" s="28"/>
      <c r="U32588" s="28"/>
    </row>
    <row r="32589">
      <c r="N32589" s="28"/>
      <c r="O32589" s="28"/>
      <c r="U32589" s="28"/>
    </row>
    <row r="32590">
      <c r="N32590" s="28"/>
      <c r="O32590" s="28"/>
      <c r="U32590" s="28"/>
    </row>
    <row r="32591">
      <c r="N32591" s="28"/>
      <c r="O32591" s="28"/>
      <c r="U32591" s="28"/>
    </row>
    <row r="32592">
      <c r="N32592" s="28"/>
      <c r="O32592" s="28"/>
      <c r="U32592" s="28"/>
    </row>
    <row r="32593">
      <c r="N32593" s="28"/>
      <c r="O32593" s="28"/>
      <c r="U32593" s="28"/>
    </row>
    <row r="32594">
      <c r="N32594" s="28"/>
      <c r="O32594" s="28"/>
      <c r="U32594" s="28"/>
    </row>
    <row r="32595">
      <c r="N32595" s="28"/>
      <c r="O32595" s="28"/>
      <c r="U32595" s="28"/>
    </row>
    <row r="32596">
      <c r="N32596" s="28"/>
      <c r="O32596" s="28"/>
      <c r="U32596" s="28"/>
    </row>
    <row r="32597">
      <c r="N32597" s="28"/>
      <c r="O32597" s="28"/>
      <c r="U32597" s="28"/>
    </row>
    <row r="32598">
      <c r="N32598" s="28"/>
      <c r="O32598" s="28"/>
      <c r="U32598" s="28"/>
    </row>
    <row r="32599">
      <c r="N32599" s="28"/>
      <c r="O32599" s="28"/>
      <c r="U32599" s="28"/>
    </row>
    <row r="32600">
      <c r="N32600" s="28"/>
      <c r="O32600" s="28"/>
      <c r="U32600" s="28"/>
    </row>
    <row r="32601">
      <c r="N32601" s="28"/>
      <c r="O32601" s="28"/>
      <c r="U32601" s="28"/>
    </row>
    <row r="32602">
      <c r="N32602" s="28"/>
      <c r="O32602" s="28"/>
      <c r="U32602" s="28"/>
    </row>
    <row r="32603">
      <c r="N32603" s="28"/>
      <c r="O32603" s="28"/>
      <c r="U32603" s="28"/>
    </row>
    <row r="32604">
      <c r="N32604" s="28"/>
      <c r="O32604" s="28"/>
      <c r="U32604" s="28"/>
    </row>
    <row r="32605">
      <c r="N32605" s="28"/>
      <c r="O32605" s="28"/>
      <c r="U32605" s="28"/>
    </row>
    <row r="32606">
      <c r="N32606" s="28"/>
      <c r="O32606" s="28"/>
      <c r="U32606" s="28"/>
    </row>
    <row r="32607">
      <c r="N32607" s="28"/>
      <c r="O32607" s="28"/>
      <c r="U32607" s="28"/>
    </row>
    <row r="32608">
      <c r="N32608" s="28"/>
      <c r="O32608" s="28"/>
      <c r="U32608" s="28"/>
    </row>
    <row r="32609">
      <c r="N32609" s="28"/>
      <c r="O32609" s="28"/>
      <c r="U32609" s="28"/>
    </row>
    <row r="32610">
      <c r="N32610" s="28"/>
      <c r="O32610" s="28"/>
      <c r="U32610" s="28"/>
    </row>
    <row r="32611">
      <c r="N32611" s="28"/>
      <c r="O32611" s="28"/>
      <c r="U32611" s="28"/>
    </row>
    <row r="32612">
      <c r="N32612" s="28"/>
      <c r="O32612" s="28"/>
      <c r="U32612" s="28"/>
    </row>
    <row r="32613">
      <c r="N32613" s="28"/>
      <c r="O32613" s="28"/>
      <c r="U32613" s="28"/>
    </row>
    <row r="32614">
      <c r="N32614" s="28"/>
      <c r="O32614" s="28"/>
      <c r="U32614" s="28"/>
    </row>
    <row r="32615">
      <c r="N32615" s="28"/>
      <c r="O32615" s="28"/>
      <c r="U32615" s="28"/>
    </row>
    <row r="32616">
      <c r="N32616" s="28"/>
      <c r="O32616" s="28"/>
      <c r="U32616" s="28"/>
    </row>
    <row r="32617">
      <c r="N32617" s="28"/>
      <c r="O32617" s="28"/>
      <c r="U32617" s="28"/>
    </row>
    <row r="32618">
      <c r="N32618" s="28"/>
      <c r="O32618" s="28"/>
      <c r="U32618" s="28"/>
    </row>
    <row r="32619">
      <c r="N32619" s="28"/>
      <c r="O32619" s="28"/>
      <c r="U32619" s="28"/>
    </row>
    <row r="32620">
      <c r="N32620" s="28"/>
      <c r="O32620" s="28"/>
      <c r="U32620" s="28"/>
    </row>
    <row r="32621">
      <c r="N32621" s="28"/>
      <c r="O32621" s="28"/>
      <c r="U32621" s="28"/>
    </row>
    <row r="32622">
      <c r="N32622" s="28"/>
      <c r="O32622" s="28"/>
      <c r="U32622" s="28"/>
    </row>
    <row r="32623">
      <c r="N32623" s="28"/>
      <c r="O32623" s="28"/>
      <c r="U32623" s="28"/>
    </row>
    <row r="32624">
      <c r="N32624" s="28"/>
      <c r="O32624" s="28"/>
      <c r="U32624" s="28"/>
    </row>
    <row r="32625">
      <c r="N32625" s="28"/>
      <c r="O32625" s="28"/>
      <c r="U32625" s="28"/>
    </row>
    <row r="32626">
      <c r="N32626" s="28"/>
      <c r="O32626" s="28"/>
      <c r="U32626" s="28"/>
    </row>
    <row r="32627">
      <c r="N32627" s="28"/>
      <c r="O32627" s="28"/>
      <c r="U32627" s="28"/>
    </row>
    <row r="32628">
      <c r="N32628" s="28"/>
      <c r="O32628" s="28"/>
      <c r="U32628" s="28"/>
    </row>
    <row r="32629">
      <c r="N32629" s="28"/>
      <c r="O32629" s="28"/>
      <c r="U32629" s="28"/>
    </row>
    <row r="32630">
      <c r="N32630" s="28"/>
      <c r="O32630" s="28"/>
      <c r="U32630" s="28"/>
    </row>
    <row r="32631">
      <c r="N32631" s="28"/>
      <c r="O32631" s="28"/>
      <c r="U32631" s="28"/>
    </row>
    <row r="32632">
      <c r="N32632" s="28"/>
      <c r="O32632" s="28"/>
      <c r="U32632" s="28"/>
    </row>
    <row r="32633">
      <c r="N32633" s="28"/>
      <c r="O32633" s="28"/>
      <c r="U32633" s="28"/>
    </row>
    <row r="32634">
      <c r="N32634" s="28"/>
      <c r="O32634" s="28"/>
      <c r="U32634" s="28"/>
    </row>
    <row r="32635">
      <c r="N32635" s="28"/>
      <c r="O32635" s="28"/>
      <c r="U32635" s="28"/>
    </row>
    <row r="32636">
      <c r="N32636" s="28"/>
      <c r="O32636" s="28"/>
      <c r="U32636" s="28"/>
    </row>
    <row r="32637">
      <c r="N32637" s="28"/>
      <c r="O32637" s="28"/>
      <c r="U32637" s="28"/>
    </row>
    <row r="32638">
      <c r="N32638" s="28"/>
      <c r="O32638" s="28"/>
      <c r="U32638" s="28"/>
    </row>
    <row r="32639">
      <c r="N32639" s="28"/>
      <c r="O32639" s="28"/>
      <c r="U32639" s="28"/>
    </row>
    <row r="32640">
      <c r="N32640" s="28"/>
      <c r="O32640" s="28"/>
      <c r="U32640" s="28"/>
    </row>
    <row r="32641">
      <c r="N32641" s="28"/>
      <c r="O32641" s="28"/>
      <c r="U32641" s="28"/>
    </row>
    <row r="32642">
      <c r="N32642" s="28"/>
      <c r="O32642" s="28"/>
      <c r="U32642" s="28"/>
    </row>
    <row r="32643">
      <c r="N32643" s="28"/>
      <c r="O32643" s="28"/>
      <c r="U32643" s="28"/>
    </row>
    <row r="32644">
      <c r="N32644" s="28"/>
      <c r="O32644" s="28"/>
      <c r="U32644" s="28"/>
    </row>
    <row r="32645">
      <c r="N32645" s="28"/>
      <c r="O32645" s="28"/>
      <c r="U32645" s="28"/>
    </row>
    <row r="32646">
      <c r="N32646" s="28"/>
      <c r="O32646" s="28"/>
      <c r="U32646" s="28"/>
    </row>
    <row r="32647">
      <c r="N32647" s="28"/>
      <c r="O32647" s="28"/>
      <c r="U32647" s="28"/>
    </row>
    <row r="32648">
      <c r="N32648" s="28"/>
      <c r="O32648" s="28"/>
      <c r="U32648" s="28"/>
    </row>
    <row r="32649">
      <c r="N32649" s="28"/>
      <c r="O32649" s="28"/>
      <c r="U32649" s="28"/>
    </row>
    <row r="32650">
      <c r="N32650" s="28"/>
      <c r="O32650" s="28"/>
      <c r="U32650" s="28"/>
    </row>
    <row r="32651">
      <c r="N32651" s="28"/>
      <c r="O32651" s="28"/>
      <c r="U32651" s="28"/>
    </row>
    <row r="32652">
      <c r="N32652" s="28"/>
      <c r="O32652" s="28"/>
      <c r="U32652" s="28"/>
    </row>
    <row r="32653">
      <c r="N32653" s="28"/>
      <c r="O32653" s="28"/>
      <c r="U32653" s="28"/>
    </row>
    <row r="32654">
      <c r="N32654" s="28"/>
      <c r="O32654" s="28"/>
      <c r="U32654" s="28"/>
    </row>
    <row r="32655">
      <c r="N32655" s="28"/>
      <c r="O32655" s="28"/>
      <c r="U32655" s="28"/>
    </row>
    <row r="32656">
      <c r="N32656" s="28"/>
      <c r="O32656" s="28"/>
      <c r="U32656" s="28"/>
    </row>
    <row r="32657">
      <c r="N32657" s="28"/>
      <c r="O32657" s="28"/>
      <c r="U32657" s="28"/>
    </row>
    <row r="32658">
      <c r="N32658" s="28"/>
      <c r="O32658" s="28"/>
      <c r="U32658" s="28"/>
    </row>
    <row r="32659">
      <c r="N32659" s="28"/>
      <c r="O32659" s="28"/>
      <c r="U32659" s="28"/>
    </row>
    <row r="32660">
      <c r="N32660" s="28"/>
      <c r="O32660" s="28"/>
      <c r="U32660" s="28"/>
    </row>
    <row r="32661">
      <c r="N32661" s="28"/>
      <c r="O32661" s="28"/>
      <c r="U32661" s="28"/>
    </row>
    <row r="32662">
      <c r="N32662" s="28"/>
      <c r="O32662" s="28"/>
      <c r="U32662" s="28"/>
    </row>
    <row r="32663">
      <c r="N32663" s="28"/>
      <c r="O32663" s="28"/>
      <c r="U32663" s="28"/>
    </row>
    <row r="32664">
      <c r="N32664" s="28"/>
      <c r="O32664" s="28"/>
      <c r="U32664" s="28"/>
    </row>
    <row r="32665">
      <c r="N32665" s="28"/>
      <c r="O32665" s="28"/>
      <c r="U32665" s="28"/>
    </row>
    <row r="32666">
      <c r="N32666" s="28"/>
      <c r="O32666" s="28"/>
      <c r="U32666" s="28"/>
    </row>
    <row r="32667">
      <c r="N32667" s="28"/>
      <c r="O32667" s="28"/>
      <c r="U32667" s="28"/>
    </row>
    <row r="32668">
      <c r="N32668" s="28"/>
      <c r="O32668" s="28"/>
      <c r="U32668" s="28"/>
    </row>
    <row r="32669">
      <c r="N32669" s="28"/>
      <c r="O32669" s="28"/>
      <c r="U32669" s="28"/>
    </row>
    <row r="32670">
      <c r="N32670" s="28"/>
      <c r="O32670" s="28"/>
      <c r="U32670" s="28"/>
    </row>
    <row r="32671">
      <c r="N32671" s="28"/>
      <c r="O32671" s="28"/>
      <c r="U32671" s="28"/>
    </row>
    <row r="32672">
      <c r="N32672" s="28"/>
      <c r="O32672" s="28"/>
      <c r="U32672" s="28"/>
    </row>
    <row r="32673">
      <c r="N32673" s="28"/>
      <c r="O32673" s="28"/>
      <c r="U32673" s="28"/>
    </row>
    <row r="32674">
      <c r="N32674" s="28"/>
      <c r="O32674" s="28"/>
      <c r="U32674" s="28"/>
    </row>
    <row r="32675">
      <c r="N32675" s="28"/>
      <c r="O32675" s="28"/>
      <c r="U32675" s="28"/>
    </row>
    <row r="32676">
      <c r="N32676" s="28"/>
      <c r="O32676" s="28"/>
      <c r="U32676" s="28"/>
    </row>
    <row r="32677">
      <c r="N32677" s="28"/>
      <c r="O32677" s="28"/>
      <c r="U32677" s="28"/>
    </row>
    <row r="32678">
      <c r="N32678" s="28"/>
      <c r="O32678" s="28"/>
      <c r="U32678" s="28"/>
    </row>
    <row r="32679">
      <c r="N32679" s="28"/>
      <c r="O32679" s="28"/>
      <c r="U32679" s="28"/>
    </row>
    <row r="32680">
      <c r="N32680" s="28"/>
      <c r="O32680" s="28"/>
      <c r="U32680" s="28"/>
    </row>
    <row r="32681">
      <c r="N32681" s="28"/>
      <c r="O32681" s="28"/>
      <c r="U32681" s="28"/>
    </row>
    <row r="32682">
      <c r="N32682" s="28"/>
      <c r="O32682" s="28"/>
      <c r="U32682" s="28"/>
    </row>
    <row r="32683">
      <c r="N32683" s="28"/>
      <c r="O32683" s="28"/>
      <c r="U32683" s="28"/>
    </row>
    <row r="32684">
      <c r="N32684" s="28"/>
      <c r="O32684" s="28"/>
      <c r="U32684" s="28"/>
    </row>
    <row r="32685">
      <c r="N32685" s="28"/>
      <c r="O32685" s="28"/>
      <c r="U32685" s="28"/>
    </row>
    <row r="32686">
      <c r="N32686" s="28"/>
      <c r="O32686" s="28"/>
      <c r="U32686" s="28"/>
    </row>
    <row r="32687">
      <c r="N32687" s="28"/>
      <c r="O32687" s="28"/>
      <c r="U32687" s="28"/>
    </row>
    <row r="32688">
      <c r="N32688" s="28"/>
      <c r="O32688" s="28"/>
      <c r="U32688" s="28"/>
    </row>
    <row r="32689">
      <c r="N32689" s="28"/>
      <c r="O32689" s="28"/>
      <c r="U32689" s="28"/>
    </row>
    <row r="32690">
      <c r="N32690" s="28"/>
      <c r="O32690" s="28"/>
      <c r="U32690" s="28"/>
    </row>
    <row r="32691">
      <c r="N32691" s="28"/>
      <c r="O32691" s="28"/>
      <c r="U32691" s="28"/>
    </row>
    <row r="32692">
      <c r="N32692" s="28"/>
      <c r="O32692" s="28"/>
      <c r="U32692" s="28"/>
    </row>
    <row r="32693">
      <c r="N32693" s="28"/>
      <c r="O32693" s="28"/>
      <c r="U32693" s="28"/>
    </row>
    <row r="32694">
      <c r="N32694" s="28"/>
      <c r="O32694" s="28"/>
      <c r="U32694" s="28"/>
    </row>
    <row r="32695">
      <c r="N32695" s="28"/>
      <c r="O32695" s="28"/>
      <c r="U32695" s="28"/>
    </row>
    <row r="32696">
      <c r="N32696" s="28"/>
      <c r="O32696" s="28"/>
      <c r="U32696" s="28"/>
    </row>
    <row r="32697">
      <c r="N32697" s="28"/>
      <c r="O32697" s="28"/>
      <c r="U32697" s="28"/>
    </row>
    <row r="32698">
      <c r="N32698" s="28"/>
      <c r="O32698" s="28"/>
      <c r="U32698" s="28"/>
    </row>
    <row r="32699">
      <c r="N32699" s="28"/>
      <c r="O32699" s="28"/>
      <c r="U32699" s="28"/>
    </row>
    <row r="32700">
      <c r="N32700" s="28"/>
      <c r="O32700" s="28"/>
      <c r="U32700" s="28"/>
    </row>
    <row r="32701">
      <c r="N32701" s="28"/>
      <c r="O32701" s="28"/>
      <c r="U32701" s="28"/>
    </row>
    <row r="32702">
      <c r="N32702" s="28"/>
      <c r="O32702" s="28"/>
      <c r="U32702" s="28"/>
    </row>
    <row r="32703">
      <c r="N32703" s="28"/>
      <c r="O32703" s="28"/>
      <c r="U32703" s="28"/>
    </row>
    <row r="32704">
      <c r="N32704" s="28"/>
      <c r="O32704" s="28"/>
      <c r="U32704" s="28"/>
    </row>
    <row r="32705">
      <c r="N32705" s="28"/>
      <c r="O32705" s="28"/>
      <c r="U32705" s="28"/>
    </row>
    <row r="32706">
      <c r="N32706" s="28"/>
      <c r="O32706" s="28"/>
      <c r="U32706" s="28"/>
    </row>
    <row r="32707">
      <c r="N32707" s="28"/>
      <c r="O32707" s="28"/>
      <c r="U32707" s="28"/>
    </row>
    <row r="32708">
      <c r="N32708" s="28"/>
      <c r="O32708" s="28"/>
      <c r="U32708" s="28"/>
    </row>
    <row r="32709">
      <c r="N32709" s="28"/>
      <c r="O32709" s="28"/>
      <c r="U32709" s="28"/>
    </row>
    <row r="32710">
      <c r="N32710" s="28"/>
      <c r="O32710" s="28"/>
      <c r="U32710" s="28"/>
    </row>
    <row r="32711">
      <c r="N32711" s="28"/>
      <c r="O32711" s="28"/>
      <c r="U32711" s="28"/>
    </row>
    <row r="32712">
      <c r="N32712" s="28"/>
      <c r="O32712" s="28"/>
      <c r="U32712" s="28"/>
    </row>
    <row r="32713">
      <c r="N32713" s="28"/>
      <c r="O32713" s="28"/>
      <c r="U32713" s="28"/>
    </row>
    <row r="32714">
      <c r="N32714" s="28"/>
      <c r="O32714" s="28"/>
      <c r="U32714" s="28"/>
    </row>
    <row r="32715">
      <c r="N32715" s="28"/>
      <c r="O32715" s="28"/>
      <c r="U32715" s="28"/>
    </row>
    <row r="32716">
      <c r="N32716" s="28"/>
      <c r="O32716" s="28"/>
      <c r="U32716" s="28"/>
    </row>
    <row r="32717">
      <c r="N32717" s="28"/>
      <c r="O32717" s="28"/>
      <c r="U32717" s="28"/>
    </row>
    <row r="32718">
      <c r="N32718" s="28"/>
      <c r="O32718" s="28"/>
      <c r="U32718" s="28"/>
    </row>
    <row r="32719">
      <c r="N32719" s="28"/>
      <c r="O32719" s="28"/>
      <c r="U32719" s="28"/>
    </row>
    <row r="32720">
      <c r="N32720" s="28"/>
      <c r="O32720" s="28"/>
      <c r="U32720" s="28"/>
    </row>
    <row r="32721">
      <c r="N32721" s="28"/>
      <c r="O32721" s="28"/>
      <c r="U32721" s="28"/>
    </row>
    <row r="32722">
      <c r="N32722" s="28"/>
      <c r="O32722" s="28"/>
      <c r="U32722" s="28"/>
    </row>
    <row r="32723">
      <c r="N32723" s="28"/>
      <c r="O32723" s="28"/>
      <c r="U32723" s="28"/>
    </row>
    <row r="32724">
      <c r="N32724" s="28"/>
      <c r="O32724" s="28"/>
      <c r="U32724" s="28"/>
    </row>
    <row r="32725">
      <c r="N32725" s="28"/>
      <c r="O32725" s="28"/>
      <c r="U32725" s="28"/>
    </row>
    <row r="32726">
      <c r="N32726" s="28"/>
      <c r="O32726" s="28"/>
      <c r="U32726" s="28"/>
    </row>
    <row r="32727">
      <c r="N32727" s="28"/>
      <c r="O32727" s="28"/>
      <c r="U32727" s="28"/>
    </row>
    <row r="32728">
      <c r="N32728" s="28"/>
      <c r="O32728" s="28"/>
      <c r="U32728" s="28"/>
    </row>
    <row r="32729">
      <c r="N32729" s="28"/>
      <c r="O32729" s="28"/>
      <c r="U32729" s="28"/>
    </row>
    <row r="32730">
      <c r="N32730" s="28"/>
      <c r="O32730" s="28"/>
      <c r="U32730" s="28"/>
    </row>
    <row r="32731">
      <c r="N32731" s="28"/>
      <c r="O32731" s="28"/>
      <c r="U32731" s="28"/>
    </row>
    <row r="32732">
      <c r="N32732" s="28"/>
      <c r="O32732" s="28"/>
      <c r="U32732" s="28"/>
    </row>
    <row r="32733">
      <c r="N32733" s="28"/>
      <c r="O32733" s="28"/>
      <c r="U32733" s="28"/>
    </row>
    <row r="32734">
      <c r="N32734" s="28"/>
      <c r="O32734" s="28"/>
      <c r="U32734" s="28"/>
    </row>
    <row r="32735">
      <c r="N32735" s="28"/>
      <c r="O32735" s="28"/>
      <c r="U32735" s="28"/>
    </row>
    <row r="32736">
      <c r="N32736" s="28"/>
      <c r="O32736" s="28"/>
      <c r="U32736" s="28"/>
    </row>
    <row r="32737">
      <c r="N32737" s="28"/>
      <c r="O32737" s="28"/>
      <c r="U32737" s="28"/>
    </row>
    <row r="32738">
      <c r="N32738" s="28"/>
      <c r="O32738" s="28"/>
      <c r="U32738" s="28"/>
    </row>
    <row r="32739">
      <c r="N32739" s="28"/>
      <c r="O32739" s="28"/>
      <c r="U32739" s="28"/>
    </row>
    <row r="32740">
      <c r="N32740" s="28"/>
      <c r="O32740" s="28"/>
      <c r="U32740" s="28"/>
    </row>
    <row r="32741">
      <c r="N32741" s="28"/>
      <c r="O32741" s="28"/>
      <c r="U32741" s="28"/>
    </row>
    <row r="32742">
      <c r="N32742" s="28"/>
      <c r="O32742" s="28"/>
      <c r="U32742" s="28"/>
    </row>
    <row r="32743">
      <c r="N32743" s="28"/>
      <c r="O32743" s="28"/>
      <c r="U32743" s="28"/>
    </row>
    <row r="32744">
      <c r="N32744" s="28"/>
      <c r="O32744" s="28"/>
      <c r="U32744" s="28"/>
    </row>
    <row r="32745">
      <c r="N32745" s="28"/>
      <c r="O32745" s="28"/>
      <c r="U32745" s="28"/>
    </row>
    <row r="32746">
      <c r="N32746" s="28"/>
      <c r="O32746" s="28"/>
      <c r="U32746" s="28"/>
    </row>
    <row r="32747">
      <c r="N32747" s="28"/>
      <c r="O32747" s="28"/>
      <c r="U32747" s="28"/>
    </row>
    <row r="32748">
      <c r="N32748" s="28"/>
      <c r="O32748" s="28"/>
      <c r="U32748" s="28"/>
    </row>
    <row r="32749">
      <c r="N32749" s="28"/>
      <c r="O32749" s="28"/>
      <c r="U32749" s="28"/>
    </row>
    <row r="32750">
      <c r="N32750" s="28"/>
      <c r="O32750" s="28"/>
      <c r="U32750" s="28"/>
    </row>
    <row r="32751">
      <c r="N32751" s="28"/>
      <c r="O32751" s="28"/>
      <c r="U32751" s="28"/>
    </row>
    <row r="32752">
      <c r="N32752" s="28"/>
      <c r="O32752" s="28"/>
      <c r="U32752" s="28"/>
    </row>
    <row r="32753">
      <c r="N32753" s="28"/>
      <c r="O32753" s="28"/>
      <c r="U32753" s="28"/>
    </row>
    <row r="32754">
      <c r="N32754" s="28"/>
      <c r="O32754" s="28"/>
      <c r="U32754" s="28"/>
    </row>
    <row r="32755">
      <c r="N32755" s="28"/>
      <c r="O32755" s="28"/>
      <c r="U32755" s="28"/>
    </row>
    <row r="32756">
      <c r="N32756" s="28"/>
      <c r="O32756" s="28"/>
      <c r="U32756" s="28"/>
    </row>
    <row r="32757">
      <c r="N32757" s="28"/>
      <c r="O32757" s="28"/>
      <c r="U32757" s="28"/>
    </row>
    <row r="32758">
      <c r="N32758" s="28"/>
      <c r="O32758" s="28"/>
      <c r="U32758" s="28"/>
    </row>
    <row r="32759">
      <c r="N32759" s="28"/>
      <c r="O32759" s="28"/>
      <c r="U32759" s="28"/>
    </row>
    <row r="32760">
      <c r="N32760" s="28"/>
      <c r="O32760" s="28"/>
      <c r="U32760" s="28"/>
    </row>
    <row r="32761">
      <c r="N32761" s="28"/>
      <c r="O32761" s="28"/>
      <c r="U32761" s="28"/>
    </row>
    <row r="32762">
      <c r="N32762" s="28"/>
      <c r="O32762" s="28"/>
      <c r="U32762" s="28"/>
    </row>
    <row r="32763">
      <c r="N32763" s="28"/>
      <c r="O32763" s="28"/>
      <c r="U32763" s="28"/>
    </row>
    <row r="32764">
      <c r="N32764" s="28"/>
      <c r="O32764" s="28"/>
      <c r="U32764" s="28"/>
    </row>
    <row r="32765">
      <c r="N32765" s="28"/>
      <c r="O32765" s="28"/>
      <c r="U32765" s="28"/>
    </row>
    <row r="32766">
      <c r="N32766" s="28"/>
      <c r="O32766" s="28"/>
      <c r="U32766" s="28"/>
    </row>
    <row r="32767">
      <c r="N32767" s="28"/>
      <c r="O32767" s="28"/>
      <c r="U32767" s="28"/>
    </row>
    <row r="32768">
      <c r="N32768" s="28"/>
      <c r="O32768" s="28"/>
      <c r="U32768" s="28"/>
    </row>
    <row r="32769">
      <c r="N32769" s="28"/>
      <c r="O32769" s="28"/>
      <c r="U32769" s="28"/>
    </row>
    <row r="32770">
      <c r="N32770" s="28"/>
      <c r="O32770" s="28"/>
      <c r="U32770" s="28"/>
    </row>
    <row r="32771">
      <c r="N32771" s="28"/>
      <c r="O32771" s="28"/>
      <c r="U32771" s="28"/>
    </row>
    <row r="32772">
      <c r="N32772" s="28"/>
      <c r="O32772" s="28"/>
      <c r="U32772" s="28"/>
    </row>
    <row r="32773">
      <c r="N32773" s="28"/>
      <c r="O32773" s="28"/>
      <c r="U32773" s="28"/>
    </row>
    <row r="32774">
      <c r="N32774" s="28"/>
      <c r="O32774" s="28"/>
      <c r="U32774" s="28"/>
    </row>
    <row r="32775">
      <c r="N32775" s="28"/>
      <c r="O32775" s="28"/>
      <c r="U32775" s="28"/>
    </row>
    <row r="32776">
      <c r="N32776" s="28"/>
      <c r="O32776" s="28"/>
      <c r="U32776" s="28"/>
    </row>
    <row r="32777">
      <c r="N32777" s="28"/>
      <c r="O32777" s="28"/>
      <c r="U32777" s="28"/>
    </row>
    <row r="32778">
      <c r="N32778" s="28"/>
      <c r="O32778" s="28"/>
      <c r="U32778" s="28"/>
    </row>
    <row r="32779">
      <c r="N32779" s="28"/>
      <c r="O32779" s="28"/>
      <c r="U32779" s="28"/>
    </row>
    <row r="32780">
      <c r="N32780" s="28"/>
      <c r="O32780" s="28"/>
      <c r="U32780" s="28"/>
    </row>
    <row r="32781">
      <c r="N32781" s="28"/>
      <c r="O32781" s="28"/>
      <c r="U32781" s="28"/>
    </row>
    <row r="32782">
      <c r="N32782" s="28"/>
      <c r="O32782" s="28"/>
      <c r="U32782" s="28"/>
    </row>
    <row r="32783">
      <c r="N32783" s="28"/>
      <c r="O32783" s="28"/>
      <c r="U32783" s="28"/>
    </row>
    <row r="32784">
      <c r="N32784" s="28"/>
      <c r="O32784" s="28"/>
      <c r="U32784" s="28"/>
    </row>
    <row r="32785">
      <c r="N32785" s="28"/>
      <c r="O32785" s="28"/>
      <c r="U32785" s="28"/>
    </row>
    <row r="32786">
      <c r="N32786" s="28"/>
      <c r="O32786" s="28"/>
      <c r="U32786" s="28"/>
    </row>
    <row r="32787">
      <c r="N32787" s="28"/>
      <c r="O32787" s="28"/>
      <c r="U32787" s="28"/>
    </row>
    <row r="32788">
      <c r="N32788" s="28"/>
      <c r="O32788" s="28"/>
      <c r="U32788" s="28"/>
    </row>
    <row r="32789">
      <c r="N32789" s="28"/>
      <c r="O32789" s="28"/>
      <c r="U32789" s="28"/>
    </row>
    <row r="32790">
      <c r="N32790" s="28"/>
      <c r="O32790" s="28"/>
      <c r="U32790" s="28"/>
    </row>
    <row r="32791">
      <c r="N32791" s="28"/>
      <c r="O32791" s="28"/>
      <c r="U32791" s="28"/>
    </row>
    <row r="32792">
      <c r="N32792" s="28"/>
      <c r="O32792" s="28"/>
      <c r="U32792" s="28"/>
    </row>
    <row r="32793">
      <c r="N32793" s="28"/>
      <c r="O32793" s="28"/>
      <c r="U32793" s="28"/>
    </row>
    <row r="32794">
      <c r="N32794" s="28"/>
      <c r="O32794" s="28"/>
      <c r="U32794" s="28"/>
    </row>
    <row r="32795">
      <c r="N32795" s="28"/>
      <c r="O32795" s="28"/>
      <c r="U32795" s="28"/>
    </row>
    <row r="32796">
      <c r="N32796" s="28"/>
      <c r="O32796" s="28"/>
      <c r="U32796" s="28"/>
    </row>
    <row r="32797">
      <c r="N32797" s="28"/>
      <c r="O32797" s="28"/>
      <c r="U32797" s="28"/>
    </row>
    <row r="32798">
      <c r="N32798" s="28"/>
      <c r="O32798" s="28"/>
      <c r="U32798" s="28"/>
    </row>
    <row r="32799">
      <c r="N32799" s="28"/>
      <c r="O32799" s="28"/>
      <c r="U32799" s="28"/>
    </row>
    <row r="32800">
      <c r="N32800" s="28"/>
      <c r="O32800" s="28"/>
      <c r="U32800" s="28"/>
    </row>
    <row r="32801">
      <c r="N32801" s="28"/>
      <c r="O32801" s="28"/>
      <c r="U32801" s="28"/>
    </row>
    <row r="32802">
      <c r="N32802" s="28"/>
      <c r="O32802" s="28"/>
      <c r="U32802" s="28"/>
    </row>
    <row r="32803">
      <c r="N32803" s="28"/>
      <c r="O32803" s="28"/>
      <c r="U32803" s="28"/>
    </row>
    <row r="32804">
      <c r="N32804" s="28"/>
      <c r="O32804" s="28"/>
      <c r="U32804" s="28"/>
    </row>
    <row r="32805">
      <c r="N32805" s="28"/>
      <c r="O32805" s="28"/>
      <c r="U32805" s="28"/>
    </row>
    <row r="32806">
      <c r="N32806" s="28"/>
      <c r="O32806" s="28"/>
      <c r="U32806" s="28"/>
    </row>
    <row r="32807">
      <c r="N32807" s="28"/>
      <c r="O32807" s="28"/>
      <c r="U32807" s="28"/>
    </row>
    <row r="32808">
      <c r="N32808" s="28"/>
      <c r="O32808" s="28"/>
      <c r="U32808" s="28"/>
    </row>
    <row r="32809">
      <c r="N32809" s="28"/>
      <c r="O32809" s="28"/>
      <c r="U32809" s="28"/>
    </row>
    <row r="32810">
      <c r="N32810" s="28"/>
      <c r="O32810" s="28"/>
      <c r="U32810" s="28"/>
    </row>
    <row r="32811">
      <c r="N32811" s="28"/>
      <c r="O32811" s="28"/>
      <c r="U32811" s="28"/>
    </row>
    <row r="32812">
      <c r="N32812" s="28"/>
      <c r="O32812" s="28"/>
      <c r="U32812" s="28"/>
    </row>
    <row r="32813">
      <c r="N32813" s="28"/>
      <c r="O32813" s="28"/>
      <c r="U32813" s="28"/>
    </row>
    <row r="32814">
      <c r="N32814" s="28"/>
      <c r="O32814" s="28"/>
      <c r="U32814" s="28"/>
    </row>
    <row r="32815">
      <c r="N32815" s="28"/>
      <c r="O32815" s="28"/>
      <c r="U32815" s="28"/>
    </row>
    <row r="32816">
      <c r="N32816" s="28"/>
      <c r="O32816" s="28"/>
      <c r="U32816" s="28"/>
    </row>
    <row r="32817">
      <c r="N32817" s="28"/>
      <c r="O32817" s="28"/>
      <c r="U32817" s="28"/>
    </row>
    <row r="32818">
      <c r="N32818" s="28"/>
      <c r="O32818" s="28"/>
      <c r="U32818" s="28"/>
    </row>
    <row r="32819">
      <c r="N32819" s="28"/>
      <c r="O32819" s="28"/>
      <c r="U32819" s="28"/>
    </row>
    <row r="32820">
      <c r="N32820" s="28"/>
      <c r="O32820" s="28"/>
      <c r="U32820" s="28"/>
    </row>
    <row r="32821">
      <c r="N32821" s="28"/>
      <c r="O32821" s="28"/>
      <c r="U32821" s="28"/>
    </row>
    <row r="32822">
      <c r="N32822" s="28"/>
      <c r="O32822" s="28"/>
      <c r="U32822" s="28"/>
    </row>
    <row r="32823">
      <c r="N32823" s="28"/>
      <c r="O32823" s="28"/>
      <c r="U32823" s="28"/>
    </row>
    <row r="32824">
      <c r="N32824" s="28"/>
      <c r="O32824" s="28"/>
      <c r="U32824" s="28"/>
    </row>
    <row r="32825">
      <c r="N32825" s="28"/>
      <c r="O32825" s="28"/>
      <c r="U32825" s="28"/>
    </row>
    <row r="32826">
      <c r="N32826" s="28"/>
      <c r="O32826" s="28"/>
      <c r="U32826" s="28"/>
    </row>
    <row r="32827">
      <c r="N32827" s="28"/>
      <c r="O32827" s="28"/>
      <c r="U32827" s="28"/>
    </row>
    <row r="32828">
      <c r="N32828" s="28"/>
      <c r="O32828" s="28"/>
      <c r="U32828" s="28"/>
    </row>
    <row r="32829">
      <c r="N32829" s="28"/>
      <c r="O32829" s="28"/>
      <c r="U32829" s="28"/>
    </row>
    <row r="32830">
      <c r="N32830" s="28"/>
      <c r="O32830" s="28"/>
      <c r="U32830" s="28"/>
    </row>
    <row r="32831">
      <c r="N32831" s="28"/>
      <c r="O32831" s="28"/>
      <c r="U32831" s="28"/>
    </row>
    <row r="32832">
      <c r="N32832" s="28"/>
      <c r="O32832" s="28"/>
      <c r="U32832" s="28"/>
    </row>
    <row r="32833">
      <c r="N32833" s="28"/>
      <c r="O32833" s="28"/>
      <c r="U32833" s="28"/>
    </row>
    <row r="32834">
      <c r="N32834" s="28"/>
      <c r="O32834" s="28"/>
      <c r="U32834" s="28"/>
    </row>
    <row r="32835">
      <c r="N32835" s="28"/>
      <c r="O32835" s="28"/>
      <c r="U32835" s="28"/>
    </row>
    <row r="32836">
      <c r="N32836" s="28"/>
      <c r="O32836" s="28"/>
      <c r="U32836" s="28"/>
    </row>
    <row r="32837">
      <c r="N32837" s="28"/>
      <c r="O32837" s="28"/>
      <c r="U32837" s="28"/>
    </row>
    <row r="32838">
      <c r="N32838" s="28"/>
      <c r="O32838" s="28"/>
      <c r="U32838" s="28"/>
    </row>
    <row r="32839">
      <c r="N32839" s="28"/>
      <c r="O32839" s="28"/>
      <c r="U32839" s="28"/>
    </row>
    <row r="32840">
      <c r="N32840" s="28"/>
      <c r="O32840" s="28"/>
      <c r="U32840" s="28"/>
    </row>
    <row r="32841">
      <c r="N32841" s="28"/>
      <c r="O32841" s="28"/>
      <c r="U32841" s="28"/>
    </row>
    <row r="32842">
      <c r="N32842" s="28"/>
      <c r="O32842" s="28"/>
      <c r="U32842" s="28"/>
    </row>
    <row r="32843">
      <c r="N32843" s="28"/>
      <c r="O32843" s="28"/>
      <c r="U32843" s="28"/>
    </row>
    <row r="32844">
      <c r="N32844" s="28"/>
      <c r="O32844" s="28"/>
      <c r="U32844" s="28"/>
    </row>
    <row r="32845">
      <c r="N32845" s="28"/>
      <c r="O32845" s="28"/>
      <c r="U32845" s="28"/>
    </row>
    <row r="32846">
      <c r="N32846" s="28"/>
      <c r="O32846" s="28"/>
      <c r="U32846" s="28"/>
    </row>
    <row r="32847">
      <c r="N32847" s="28"/>
      <c r="O32847" s="28"/>
      <c r="U32847" s="28"/>
    </row>
    <row r="32848">
      <c r="N32848" s="28"/>
      <c r="O32848" s="28"/>
      <c r="U32848" s="28"/>
    </row>
    <row r="32849">
      <c r="N32849" s="28"/>
      <c r="O32849" s="28"/>
      <c r="U32849" s="28"/>
    </row>
    <row r="32850">
      <c r="N32850" s="28"/>
      <c r="O32850" s="28"/>
      <c r="U32850" s="28"/>
    </row>
    <row r="32851">
      <c r="N32851" s="28"/>
      <c r="O32851" s="28"/>
      <c r="U32851" s="28"/>
    </row>
    <row r="32852">
      <c r="N32852" s="28"/>
      <c r="O32852" s="28"/>
      <c r="U32852" s="28"/>
    </row>
    <row r="32853">
      <c r="N32853" s="28"/>
      <c r="O32853" s="28"/>
      <c r="U32853" s="28"/>
    </row>
    <row r="32854">
      <c r="N32854" s="28"/>
      <c r="O32854" s="28"/>
      <c r="U32854" s="28"/>
    </row>
    <row r="32855">
      <c r="N32855" s="28"/>
      <c r="O32855" s="28"/>
      <c r="U32855" s="28"/>
    </row>
    <row r="32856">
      <c r="N32856" s="28"/>
      <c r="O32856" s="28"/>
      <c r="U32856" s="28"/>
    </row>
    <row r="32857">
      <c r="N32857" s="28"/>
      <c r="O32857" s="28"/>
      <c r="U32857" s="28"/>
    </row>
    <row r="32858">
      <c r="N32858" s="28"/>
      <c r="O32858" s="28"/>
      <c r="U32858" s="28"/>
    </row>
    <row r="32859">
      <c r="N32859" s="28"/>
      <c r="O32859" s="28"/>
      <c r="U32859" s="28"/>
    </row>
    <row r="32860">
      <c r="N32860" s="28"/>
      <c r="O32860" s="28"/>
      <c r="U32860" s="28"/>
    </row>
    <row r="32861">
      <c r="N32861" s="28"/>
      <c r="O32861" s="28"/>
      <c r="U32861" s="28"/>
    </row>
    <row r="32862">
      <c r="N32862" s="28"/>
      <c r="O32862" s="28"/>
      <c r="U32862" s="28"/>
    </row>
    <row r="32863">
      <c r="N32863" s="28"/>
      <c r="O32863" s="28"/>
      <c r="U32863" s="28"/>
    </row>
    <row r="32864">
      <c r="N32864" s="28"/>
      <c r="O32864" s="28"/>
      <c r="U32864" s="28"/>
    </row>
    <row r="32865">
      <c r="N32865" s="28"/>
      <c r="O32865" s="28"/>
      <c r="U32865" s="28"/>
    </row>
    <row r="32866">
      <c r="N32866" s="28"/>
      <c r="O32866" s="28"/>
      <c r="U32866" s="28"/>
    </row>
    <row r="32867">
      <c r="N32867" s="28"/>
      <c r="O32867" s="28"/>
      <c r="U32867" s="28"/>
    </row>
    <row r="32868">
      <c r="N32868" s="28"/>
      <c r="O32868" s="28"/>
      <c r="U32868" s="28"/>
    </row>
    <row r="32869">
      <c r="N32869" s="28"/>
      <c r="O32869" s="28"/>
      <c r="U32869" s="28"/>
    </row>
    <row r="32870">
      <c r="N32870" s="28"/>
      <c r="O32870" s="28"/>
      <c r="U32870" s="28"/>
    </row>
    <row r="32871">
      <c r="N32871" s="28"/>
      <c r="O32871" s="28"/>
      <c r="U32871" s="28"/>
    </row>
    <row r="32872">
      <c r="N32872" s="28"/>
      <c r="O32872" s="28"/>
      <c r="U32872" s="28"/>
    </row>
    <row r="32873">
      <c r="N32873" s="28"/>
      <c r="O32873" s="28"/>
      <c r="U32873" s="28"/>
    </row>
    <row r="32874">
      <c r="N32874" s="28"/>
      <c r="O32874" s="28"/>
      <c r="U32874" s="28"/>
    </row>
    <row r="32875">
      <c r="N32875" s="28"/>
      <c r="O32875" s="28"/>
      <c r="U32875" s="28"/>
    </row>
    <row r="32876">
      <c r="N32876" s="28"/>
      <c r="O32876" s="28"/>
      <c r="U32876" s="28"/>
    </row>
    <row r="32877">
      <c r="N32877" s="28"/>
      <c r="O32877" s="28"/>
      <c r="U32877" s="28"/>
    </row>
    <row r="32878">
      <c r="N32878" s="28"/>
      <c r="O32878" s="28"/>
      <c r="U32878" s="28"/>
    </row>
    <row r="32879">
      <c r="N32879" s="28"/>
      <c r="O32879" s="28"/>
      <c r="U32879" s="28"/>
    </row>
    <row r="32880">
      <c r="N32880" s="28"/>
      <c r="O32880" s="28"/>
      <c r="U32880" s="28"/>
    </row>
    <row r="32881">
      <c r="N32881" s="28"/>
      <c r="O32881" s="28"/>
      <c r="U32881" s="28"/>
    </row>
    <row r="32882">
      <c r="N32882" s="28"/>
      <c r="O32882" s="28"/>
      <c r="U32882" s="28"/>
    </row>
    <row r="32883">
      <c r="N32883" s="28"/>
      <c r="O32883" s="28"/>
      <c r="U32883" s="28"/>
    </row>
    <row r="32884">
      <c r="N32884" s="28"/>
      <c r="O32884" s="28"/>
      <c r="U32884" s="28"/>
    </row>
    <row r="32885">
      <c r="N32885" s="28"/>
      <c r="O32885" s="28"/>
      <c r="U32885" s="28"/>
    </row>
    <row r="32886">
      <c r="N32886" s="28"/>
      <c r="O32886" s="28"/>
      <c r="U32886" s="28"/>
    </row>
    <row r="32887">
      <c r="N32887" s="28"/>
      <c r="O32887" s="28"/>
      <c r="U32887" s="28"/>
    </row>
    <row r="32888">
      <c r="N32888" s="28"/>
      <c r="O32888" s="28"/>
      <c r="U32888" s="28"/>
    </row>
    <row r="32889">
      <c r="N32889" s="28"/>
      <c r="O32889" s="28"/>
      <c r="U32889" s="28"/>
    </row>
    <row r="32890">
      <c r="N32890" s="28"/>
      <c r="O32890" s="28"/>
      <c r="U32890" s="28"/>
    </row>
    <row r="32891">
      <c r="N32891" s="28"/>
      <c r="O32891" s="28"/>
      <c r="U32891" s="28"/>
    </row>
    <row r="32892">
      <c r="N32892" s="28"/>
      <c r="O32892" s="28"/>
      <c r="U32892" s="28"/>
    </row>
    <row r="32893">
      <c r="N32893" s="28"/>
      <c r="O32893" s="28"/>
      <c r="U32893" s="28"/>
    </row>
    <row r="32894">
      <c r="N32894" s="28"/>
      <c r="O32894" s="28"/>
      <c r="U32894" s="28"/>
    </row>
    <row r="32895">
      <c r="N32895" s="28"/>
      <c r="O32895" s="28"/>
      <c r="U32895" s="28"/>
    </row>
    <row r="32896">
      <c r="N32896" s="28"/>
      <c r="O32896" s="28"/>
      <c r="U32896" s="28"/>
    </row>
    <row r="32897">
      <c r="N32897" s="28"/>
      <c r="O32897" s="28"/>
      <c r="U32897" s="28"/>
    </row>
    <row r="32898">
      <c r="N32898" s="28"/>
      <c r="O32898" s="28"/>
      <c r="U32898" s="28"/>
    </row>
    <row r="32899">
      <c r="N32899" s="28"/>
      <c r="O32899" s="28"/>
      <c r="U32899" s="28"/>
    </row>
    <row r="32900">
      <c r="N32900" s="28"/>
      <c r="O32900" s="28"/>
      <c r="U32900" s="28"/>
    </row>
    <row r="32901">
      <c r="N32901" s="28"/>
      <c r="O32901" s="28"/>
      <c r="U32901" s="28"/>
    </row>
    <row r="32902">
      <c r="N32902" s="28"/>
      <c r="O32902" s="28"/>
      <c r="U32902" s="28"/>
    </row>
    <row r="32903">
      <c r="N32903" s="28"/>
      <c r="O32903" s="28"/>
      <c r="U32903" s="28"/>
    </row>
    <row r="32904">
      <c r="N32904" s="28"/>
      <c r="O32904" s="28"/>
      <c r="U32904" s="28"/>
    </row>
    <row r="32905">
      <c r="N32905" s="28"/>
      <c r="O32905" s="28"/>
      <c r="U32905" s="28"/>
    </row>
    <row r="32906">
      <c r="N32906" s="28"/>
      <c r="O32906" s="28"/>
      <c r="U32906" s="28"/>
    </row>
    <row r="32907">
      <c r="N32907" s="28"/>
      <c r="O32907" s="28"/>
      <c r="U32907" s="28"/>
    </row>
    <row r="32908">
      <c r="N32908" s="28"/>
      <c r="O32908" s="28"/>
      <c r="U32908" s="28"/>
    </row>
    <row r="32909">
      <c r="N32909" s="28"/>
      <c r="O32909" s="28"/>
      <c r="U32909" s="28"/>
    </row>
    <row r="32910">
      <c r="N32910" s="28"/>
      <c r="O32910" s="28"/>
      <c r="U32910" s="28"/>
    </row>
    <row r="32911">
      <c r="N32911" s="28"/>
      <c r="O32911" s="28"/>
      <c r="U32911" s="28"/>
    </row>
    <row r="32912">
      <c r="N32912" s="28"/>
      <c r="O32912" s="28"/>
      <c r="U32912" s="28"/>
    </row>
    <row r="32913">
      <c r="N32913" s="28"/>
      <c r="O32913" s="28"/>
      <c r="U32913" s="28"/>
    </row>
    <row r="32914">
      <c r="N32914" s="28"/>
      <c r="O32914" s="28"/>
      <c r="U32914" s="28"/>
    </row>
    <row r="32915">
      <c r="N32915" s="28"/>
      <c r="O32915" s="28"/>
      <c r="U32915" s="28"/>
    </row>
    <row r="32916">
      <c r="N32916" s="28"/>
      <c r="O32916" s="28"/>
      <c r="U32916" s="28"/>
    </row>
    <row r="32917">
      <c r="N32917" s="28"/>
      <c r="O32917" s="28"/>
      <c r="U32917" s="28"/>
    </row>
    <row r="32918">
      <c r="N32918" s="28"/>
      <c r="O32918" s="28"/>
      <c r="U32918" s="28"/>
    </row>
    <row r="32919">
      <c r="N32919" s="28"/>
      <c r="O32919" s="28"/>
      <c r="U32919" s="28"/>
    </row>
    <row r="32920">
      <c r="N32920" s="28"/>
      <c r="O32920" s="28"/>
      <c r="U32920" s="28"/>
    </row>
    <row r="32921">
      <c r="N32921" s="28"/>
      <c r="O32921" s="28"/>
      <c r="U32921" s="28"/>
    </row>
    <row r="32922">
      <c r="N32922" s="28"/>
      <c r="O32922" s="28"/>
      <c r="U32922" s="28"/>
    </row>
    <row r="32923">
      <c r="N32923" s="28"/>
      <c r="O32923" s="28"/>
      <c r="U32923" s="28"/>
    </row>
    <row r="32924">
      <c r="N32924" s="28"/>
      <c r="O32924" s="28"/>
      <c r="U32924" s="28"/>
    </row>
    <row r="32925">
      <c r="N32925" s="28"/>
      <c r="O32925" s="28"/>
      <c r="U32925" s="28"/>
    </row>
    <row r="32926">
      <c r="N32926" s="28"/>
      <c r="O32926" s="28"/>
      <c r="U32926" s="28"/>
    </row>
    <row r="32927">
      <c r="N32927" s="28"/>
      <c r="O32927" s="28"/>
      <c r="U32927" s="28"/>
    </row>
    <row r="32928">
      <c r="N32928" s="28"/>
      <c r="O32928" s="28"/>
      <c r="U32928" s="28"/>
    </row>
    <row r="32929">
      <c r="N32929" s="28"/>
      <c r="O32929" s="28"/>
      <c r="U32929" s="28"/>
    </row>
    <row r="32930">
      <c r="N32930" s="28"/>
      <c r="O32930" s="28"/>
      <c r="U32930" s="28"/>
    </row>
    <row r="32931">
      <c r="N32931" s="28"/>
      <c r="O32931" s="28"/>
      <c r="U32931" s="28"/>
    </row>
    <row r="32932">
      <c r="N32932" s="28"/>
      <c r="O32932" s="28"/>
      <c r="U32932" s="28"/>
    </row>
    <row r="32933">
      <c r="N32933" s="28"/>
      <c r="O32933" s="28"/>
      <c r="U32933" s="28"/>
    </row>
    <row r="32934">
      <c r="N32934" s="28"/>
      <c r="O32934" s="28"/>
      <c r="U32934" s="28"/>
    </row>
    <row r="32935">
      <c r="N32935" s="28"/>
      <c r="O32935" s="28"/>
      <c r="U32935" s="28"/>
    </row>
    <row r="32936">
      <c r="N32936" s="28"/>
      <c r="O32936" s="28"/>
      <c r="U32936" s="28"/>
    </row>
    <row r="32937">
      <c r="N32937" s="28"/>
      <c r="O32937" s="28"/>
      <c r="U32937" s="28"/>
    </row>
    <row r="32938">
      <c r="N32938" s="28"/>
      <c r="O32938" s="28"/>
      <c r="U32938" s="28"/>
    </row>
    <row r="32939">
      <c r="N32939" s="28"/>
      <c r="O32939" s="28"/>
      <c r="U32939" s="28"/>
    </row>
    <row r="32940">
      <c r="N32940" s="28"/>
      <c r="O32940" s="28"/>
      <c r="U32940" s="28"/>
    </row>
    <row r="32941">
      <c r="N32941" s="28"/>
      <c r="O32941" s="28"/>
      <c r="U32941" s="28"/>
    </row>
    <row r="32942">
      <c r="N32942" s="28"/>
      <c r="O32942" s="28"/>
      <c r="U32942" s="28"/>
    </row>
    <row r="32943">
      <c r="N32943" s="28"/>
      <c r="O32943" s="28"/>
      <c r="U32943" s="28"/>
    </row>
    <row r="32944">
      <c r="N32944" s="28"/>
      <c r="O32944" s="28"/>
      <c r="U32944" s="28"/>
    </row>
    <row r="32945">
      <c r="N32945" s="28"/>
      <c r="O32945" s="28"/>
      <c r="U32945" s="28"/>
    </row>
    <row r="32946">
      <c r="N32946" s="28"/>
      <c r="O32946" s="28"/>
      <c r="U32946" s="28"/>
    </row>
    <row r="32947">
      <c r="N32947" s="28"/>
      <c r="O32947" s="28"/>
      <c r="U32947" s="28"/>
    </row>
    <row r="32948">
      <c r="N32948" s="28"/>
      <c r="O32948" s="28"/>
      <c r="U32948" s="28"/>
    </row>
    <row r="32949">
      <c r="N32949" s="28"/>
      <c r="O32949" s="28"/>
      <c r="U32949" s="28"/>
    </row>
    <row r="32950">
      <c r="N32950" s="28"/>
      <c r="O32950" s="28"/>
      <c r="U32950" s="28"/>
    </row>
    <row r="32951">
      <c r="N32951" s="28"/>
      <c r="O32951" s="28"/>
      <c r="U32951" s="28"/>
    </row>
    <row r="32952">
      <c r="N32952" s="28"/>
      <c r="O32952" s="28"/>
      <c r="U32952" s="28"/>
    </row>
    <row r="32953">
      <c r="N32953" s="28"/>
      <c r="O32953" s="28"/>
      <c r="U32953" s="28"/>
    </row>
    <row r="32954">
      <c r="N32954" s="28"/>
      <c r="O32954" s="28"/>
      <c r="U32954" s="28"/>
    </row>
    <row r="32955">
      <c r="N32955" s="28"/>
      <c r="O32955" s="28"/>
      <c r="U32955" s="28"/>
    </row>
    <row r="32956">
      <c r="N32956" s="28"/>
      <c r="O32956" s="28"/>
      <c r="U32956" s="28"/>
    </row>
    <row r="32957">
      <c r="N32957" s="28"/>
      <c r="O32957" s="28"/>
      <c r="U32957" s="28"/>
    </row>
    <row r="32958">
      <c r="N32958" s="28"/>
      <c r="O32958" s="28"/>
      <c r="U32958" s="28"/>
    </row>
    <row r="32959">
      <c r="N32959" s="28"/>
      <c r="O32959" s="28"/>
      <c r="U32959" s="28"/>
    </row>
    <row r="32960">
      <c r="N32960" s="28"/>
      <c r="O32960" s="28"/>
      <c r="U32960" s="28"/>
    </row>
    <row r="32961">
      <c r="N32961" s="28"/>
      <c r="O32961" s="28"/>
      <c r="U32961" s="28"/>
    </row>
    <row r="32962">
      <c r="N32962" s="28"/>
      <c r="O32962" s="28"/>
      <c r="U32962" s="28"/>
    </row>
    <row r="32963">
      <c r="N32963" s="28"/>
      <c r="O32963" s="28"/>
      <c r="U32963" s="28"/>
    </row>
    <row r="32964">
      <c r="N32964" s="28"/>
      <c r="O32964" s="28"/>
      <c r="U32964" s="28"/>
    </row>
    <row r="32965">
      <c r="N32965" s="28"/>
      <c r="O32965" s="28"/>
      <c r="U32965" s="28"/>
    </row>
    <row r="32966">
      <c r="N32966" s="28"/>
      <c r="O32966" s="28"/>
      <c r="U32966" s="28"/>
    </row>
    <row r="32967">
      <c r="N32967" s="28"/>
      <c r="O32967" s="28"/>
      <c r="U32967" s="28"/>
    </row>
    <row r="32968">
      <c r="N32968" s="28"/>
      <c r="O32968" s="28"/>
      <c r="U32968" s="28"/>
    </row>
    <row r="32969">
      <c r="N32969" s="28"/>
      <c r="O32969" s="28"/>
      <c r="U32969" s="28"/>
    </row>
    <row r="32970">
      <c r="N32970" s="28"/>
      <c r="O32970" s="28"/>
      <c r="U32970" s="28"/>
    </row>
    <row r="32971">
      <c r="N32971" s="28"/>
      <c r="O32971" s="28"/>
      <c r="U32971" s="28"/>
    </row>
    <row r="32972">
      <c r="N32972" s="28"/>
      <c r="O32972" s="28"/>
      <c r="U32972" s="28"/>
    </row>
    <row r="32973">
      <c r="N32973" s="28"/>
      <c r="O32973" s="28"/>
      <c r="U32973" s="28"/>
    </row>
    <row r="32974">
      <c r="N32974" s="28"/>
      <c r="O32974" s="28"/>
      <c r="U32974" s="28"/>
    </row>
    <row r="32975">
      <c r="N32975" s="28"/>
      <c r="O32975" s="28"/>
      <c r="U32975" s="28"/>
    </row>
    <row r="32976">
      <c r="N32976" s="28"/>
      <c r="O32976" s="28"/>
      <c r="U32976" s="28"/>
    </row>
    <row r="32977">
      <c r="N32977" s="28"/>
      <c r="O32977" s="28"/>
      <c r="U32977" s="28"/>
    </row>
    <row r="32978">
      <c r="N32978" s="28"/>
      <c r="O32978" s="28"/>
      <c r="U32978" s="28"/>
    </row>
    <row r="32979">
      <c r="N32979" s="28"/>
      <c r="O32979" s="28"/>
      <c r="U32979" s="28"/>
    </row>
    <row r="32980">
      <c r="N32980" s="28"/>
      <c r="O32980" s="28"/>
      <c r="U32980" s="28"/>
    </row>
    <row r="32981">
      <c r="N32981" s="28"/>
      <c r="O32981" s="28"/>
      <c r="U32981" s="28"/>
    </row>
    <row r="32982">
      <c r="N32982" s="28"/>
      <c r="O32982" s="28"/>
      <c r="U32982" s="28"/>
    </row>
    <row r="32983">
      <c r="N32983" s="28"/>
      <c r="O32983" s="28"/>
      <c r="U32983" s="28"/>
    </row>
    <row r="32984">
      <c r="N32984" s="28"/>
      <c r="O32984" s="28"/>
      <c r="U32984" s="28"/>
    </row>
    <row r="32985">
      <c r="N32985" s="28"/>
      <c r="O32985" s="28"/>
      <c r="U32985" s="28"/>
    </row>
    <row r="32986">
      <c r="N32986" s="28"/>
      <c r="O32986" s="28"/>
      <c r="U32986" s="28"/>
    </row>
    <row r="32987">
      <c r="N32987" s="28"/>
      <c r="O32987" s="28"/>
      <c r="U32987" s="28"/>
    </row>
    <row r="32988">
      <c r="N32988" s="28"/>
      <c r="O32988" s="28"/>
      <c r="U32988" s="28"/>
    </row>
    <row r="32989">
      <c r="N32989" s="28"/>
      <c r="O32989" s="28"/>
      <c r="U32989" s="28"/>
    </row>
    <row r="32990">
      <c r="N32990" s="28"/>
      <c r="O32990" s="28"/>
      <c r="U32990" s="28"/>
    </row>
    <row r="32991">
      <c r="N32991" s="28"/>
      <c r="O32991" s="28"/>
      <c r="U32991" s="28"/>
    </row>
    <row r="32992">
      <c r="N32992" s="28"/>
      <c r="O32992" s="28"/>
      <c r="U32992" s="28"/>
    </row>
    <row r="32993">
      <c r="N32993" s="28"/>
      <c r="O32993" s="28"/>
      <c r="U32993" s="28"/>
    </row>
    <row r="32994">
      <c r="N32994" s="28"/>
      <c r="O32994" s="28"/>
      <c r="U32994" s="28"/>
    </row>
    <row r="32995">
      <c r="N32995" s="28"/>
      <c r="O32995" s="28"/>
      <c r="U32995" s="28"/>
    </row>
    <row r="32996">
      <c r="N32996" s="28"/>
      <c r="O32996" s="28"/>
      <c r="U32996" s="28"/>
    </row>
    <row r="32997">
      <c r="N32997" s="28"/>
      <c r="O32997" s="28"/>
      <c r="U32997" s="28"/>
    </row>
    <row r="32998">
      <c r="N32998" s="28"/>
      <c r="O32998" s="28"/>
      <c r="U32998" s="28"/>
    </row>
    <row r="32999">
      <c r="N32999" s="28"/>
      <c r="O32999" s="28"/>
      <c r="U32999" s="28"/>
    </row>
    <row r="33000">
      <c r="N33000" s="28"/>
      <c r="O33000" s="28"/>
      <c r="U33000" s="28"/>
    </row>
    <row r="33001">
      <c r="N33001" s="28"/>
      <c r="O33001" s="28"/>
      <c r="U33001" s="28"/>
    </row>
    <row r="33002">
      <c r="N33002" s="28"/>
      <c r="O33002" s="28"/>
      <c r="U33002" s="28"/>
    </row>
    <row r="33003">
      <c r="N33003" s="28"/>
      <c r="O33003" s="28"/>
      <c r="U33003" s="28"/>
    </row>
    <row r="33004">
      <c r="N33004" s="28"/>
      <c r="O33004" s="28"/>
      <c r="U33004" s="28"/>
    </row>
    <row r="33005">
      <c r="N33005" s="28"/>
      <c r="O33005" s="28"/>
      <c r="U33005" s="28"/>
    </row>
    <row r="33006">
      <c r="N33006" s="28"/>
      <c r="O33006" s="28"/>
      <c r="U33006" s="28"/>
    </row>
    <row r="33007">
      <c r="N33007" s="28"/>
      <c r="O33007" s="28"/>
      <c r="U33007" s="28"/>
    </row>
    <row r="33008">
      <c r="N33008" s="28"/>
      <c r="O33008" s="28"/>
      <c r="U33008" s="28"/>
    </row>
    <row r="33009">
      <c r="N33009" s="28"/>
      <c r="O33009" s="28"/>
      <c r="U33009" s="28"/>
    </row>
    <row r="33010">
      <c r="N33010" s="28"/>
      <c r="O33010" s="28"/>
      <c r="U33010" s="28"/>
    </row>
    <row r="33011">
      <c r="N33011" s="28"/>
      <c r="O33011" s="28"/>
      <c r="U33011" s="28"/>
    </row>
    <row r="33012">
      <c r="N33012" s="28"/>
      <c r="O33012" s="28"/>
      <c r="U33012" s="28"/>
    </row>
    <row r="33013">
      <c r="N33013" s="28"/>
      <c r="O33013" s="28"/>
      <c r="U33013" s="28"/>
    </row>
    <row r="33014">
      <c r="N33014" s="28"/>
      <c r="O33014" s="28"/>
      <c r="U33014" s="28"/>
    </row>
    <row r="33015">
      <c r="N33015" s="28"/>
      <c r="O33015" s="28"/>
      <c r="U33015" s="28"/>
    </row>
    <row r="33016">
      <c r="N33016" s="28"/>
      <c r="O33016" s="28"/>
      <c r="U33016" s="28"/>
    </row>
    <row r="33017">
      <c r="N33017" s="28"/>
      <c r="O33017" s="28"/>
      <c r="U33017" s="28"/>
    </row>
    <row r="33018">
      <c r="N33018" s="28"/>
      <c r="O33018" s="28"/>
      <c r="U33018" s="28"/>
    </row>
    <row r="33019">
      <c r="N33019" s="28"/>
      <c r="O33019" s="28"/>
      <c r="U33019" s="28"/>
    </row>
    <row r="33020">
      <c r="N33020" s="28"/>
      <c r="O33020" s="28"/>
      <c r="U33020" s="28"/>
    </row>
    <row r="33021">
      <c r="N33021" s="28"/>
      <c r="O33021" s="28"/>
      <c r="U33021" s="28"/>
    </row>
    <row r="33022">
      <c r="N33022" s="28"/>
      <c r="O33022" s="28"/>
      <c r="U33022" s="28"/>
    </row>
    <row r="33023">
      <c r="N33023" s="28"/>
      <c r="O33023" s="28"/>
      <c r="U33023" s="28"/>
    </row>
    <row r="33024">
      <c r="N33024" s="28"/>
      <c r="O33024" s="28"/>
      <c r="U33024" s="28"/>
    </row>
    <row r="33025">
      <c r="N33025" s="28"/>
      <c r="O33025" s="28"/>
      <c r="U33025" s="28"/>
    </row>
    <row r="33026">
      <c r="N33026" s="28"/>
      <c r="O33026" s="28"/>
      <c r="U33026" s="28"/>
    </row>
    <row r="33027">
      <c r="N33027" s="28"/>
      <c r="O33027" s="28"/>
      <c r="U33027" s="28"/>
    </row>
    <row r="33028">
      <c r="N33028" s="28"/>
      <c r="O33028" s="28"/>
      <c r="U33028" s="28"/>
    </row>
    <row r="33029">
      <c r="N33029" s="28"/>
      <c r="O33029" s="28"/>
      <c r="U33029" s="28"/>
    </row>
    <row r="33030">
      <c r="N33030" s="28"/>
      <c r="O33030" s="28"/>
      <c r="U33030" s="28"/>
    </row>
    <row r="33031">
      <c r="N33031" s="28"/>
      <c r="O33031" s="28"/>
      <c r="U33031" s="28"/>
    </row>
    <row r="33032">
      <c r="N33032" s="28"/>
      <c r="O33032" s="28"/>
      <c r="U33032" s="28"/>
    </row>
    <row r="33033">
      <c r="N33033" s="28"/>
      <c r="O33033" s="28"/>
      <c r="U33033" s="28"/>
    </row>
    <row r="33034">
      <c r="N33034" s="28"/>
      <c r="O33034" s="28"/>
      <c r="U33034" s="28"/>
    </row>
    <row r="33035">
      <c r="N33035" s="28"/>
      <c r="O33035" s="28"/>
      <c r="U33035" s="28"/>
    </row>
    <row r="33036">
      <c r="N33036" s="28"/>
      <c r="O33036" s="28"/>
      <c r="U33036" s="28"/>
    </row>
    <row r="33037">
      <c r="N33037" s="28"/>
      <c r="O33037" s="28"/>
      <c r="U33037" s="28"/>
    </row>
    <row r="33038">
      <c r="N33038" s="28"/>
      <c r="O33038" s="28"/>
      <c r="U33038" s="28"/>
    </row>
    <row r="33039">
      <c r="N33039" s="28"/>
      <c r="O33039" s="28"/>
      <c r="U33039" s="28"/>
    </row>
    <row r="33040">
      <c r="N33040" s="28"/>
      <c r="O33040" s="28"/>
      <c r="U33040" s="28"/>
    </row>
    <row r="33041">
      <c r="N33041" s="28"/>
      <c r="O33041" s="28"/>
      <c r="U33041" s="28"/>
    </row>
    <row r="33042">
      <c r="N33042" s="28"/>
      <c r="O33042" s="28"/>
      <c r="U33042" s="28"/>
    </row>
    <row r="33043">
      <c r="N33043" s="28"/>
      <c r="O33043" s="28"/>
      <c r="U33043" s="28"/>
    </row>
    <row r="33044">
      <c r="N33044" s="28"/>
      <c r="O33044" s="28"/>
      <c r="U33044" s="28"/>
    </row>
    <row r="33045">
      <c r="N33045" s="28"/>
      <c r="O33045" s="28"/>
      <c r="U33045" s="28"/>
    </row>
    <row r="33046">
      <c r="N33046" s="28"/>
      <c r="O33046" s="28"/>
      <c r="U33046" s="28"/>
    </row>
    <row r="33047">
      <c r="N33047" s="28"/>
      <c r="O33047" s="28"/>
      <c r="U33047" s="28"/>
    </row>
    <row r="33048">
      <c r="N33048" s="28"/>
      <c r="O33048" s="28"/>
      <c r="U33048" s="28"/>
    </row>
    <row r="33049">
      <c r="N33049" s="28"/>
      <c r="O33049" s="28"/>
      <c r="U33049" s="28"/>
    </row>
    <row r="33050">
      <c r="N33050" s="28"/>
      <c r="O33050" s="28"/>
      <c r="U33050" s="28"/>
    </row>
    <row r="33051">
      <c r="N33051" s="28"/>
      <c r="O33051" s="28"/>
      <c r="U33051" s="28"/>
    </row>
    <row r="33052">
      <c r="N33052" s="28"/>
      <c r="O33052" s="28"/>
      <c r="U33052" s="28"/>
    </row>
    <row r="33053">
      <c r="N33053" s="28"/>
      <c r="O33053" s="28"/>
      <c r="U33053" s="28"/>
    </row>
    <row r="33054">
      <c r="N33054" s="28"/>
      <c r="O33054" s="28"/>
      <c r="U33054" s="28"/>
    </row>
    <row r="33055">
      <c r="N33055" s="28"/>
      <c r="O33055" s="28"/>
      <c r="U33055" s="28"/>
    </row>
    <row r="33056">
      <c r="N33056" s="28"/>
      <c r="O33056" s="28"/>
      <c r="U33056" s="28"/>
    </row>
    <row r="33057">
      <c r="N33057" s="28"/>
      <c r="O33057" s="28"/>
      <c r="U33057" s="28"/>
    </row>
    <row r="33058">
      <c r="N33058" s="28"/>
      <c r="O33058" s="28"/>
      <c r="U33058" s="28"/>
    </row>
    <row r="33059">
      <c r="N33059" s="28"/>
      <c r="O33059" s="28"/>
      <c r="U33059" s="28"/>
    </row>
    <row r="33060">
      <c r="N33060" s="28"/>
      <c r="O33060" s="28"/>
      <c r="U33060" s="28"/>
    </row>
    <row r="33061">
      <c r="N33061" s="28"/>
      <c r="O33061" s="28"/>
      <c r="U33061" s="28"/>
    </row>
    <row r="33062">
      <c r="N33062" s="28"/>
      <c r="O33062" s="28"/>
      <c r="U33062" s="28"/>
    </row>
    <row r="33063">
      <c r="N33063" s="28"/>
      <c r="O33063" s="28"/>
      <c r="U33063" s="28"/>
    </row>
    <row r="33064">
      <c r="N33064" s="28"/>
      <c r="O33064" s="28"/>
      <c r="U33064" s="28"/>
    </row>
    <row r="33065">
      <c r="N33065" s="28"/>
      <c r="O33065" s="28"/>
      <c r="U33065" s="28"/>
    </row>
    <row r="33066">
      <c r="N33066" s="28"/>
      <c r="O33066" s="28"/>
      <c r="U33066" s="28"/>
    </row>
    <row r="33067">
      <c r="N33067" s="28"/>
      <c r="O33067" s="28"/>
      <c r="U33067" s="28"/>
    </row>
    <row r="33068">
      <c r="N33068" s="28"/>
      <c r="O33068" s="28"/>
      <c r="U33068" s="28"/>
    </row>
    <row r="33069">
      <c r="N33069" s="28"/>
      <c r="O33069" s="28"/>
      <c r="U33069" s="28"/>
    </row>
    <row r="33070">
      <c r="N33070" s="28"/>
      <c r="O33070" s="28"/>
      <c r="U33070" s="28"/>
    </row>
    <row r="33071">
      <c r="N33071" s="28"/>
      <c r="O33071" s="28"/>
      <c r="U33071" s="28"/>
    </row>
    <row r="33072">
      <c r="N33072" s="28"/>
      <c r="O33072" s="28"/>
      <c r="U33072" s="28"/>
    </row>
    <row r="33073">
      <c r="N33073" s="28"/>
      <c r="O33073" s="28"/>
      <c r="U33073" s="28"/>
    </row>
    <row r="33074">
      <c r="N33074" s="28"/>
      <c r="O33074" s="28"/>
      <c r="U33074" s="28"/>
    </row>
    <row r="33075">
      <c r="N33075" s="28"/>
      <c r="O33075" s="28"/>
      <c r="U33075" s="28"/>
    </row>
    <row r="33076">
      <c r="N33076" s="28"/>
      <c r="O33076" s="28"/>
      <c r="U33076" s="28"/>
    </row>
    <row r="33077">
      <c r="N33077" s="28"/>
      <c r="O33077" s="28"/>
      <c r="U33077" s="28"/>
    </row>
    <row r="33078">
      <c r="N33078" s="28"/>
      <c r="O33078" s="28"/>
      <c r="U33078" s="28"/>
    </row>
    <row r="33079">
      <c r="N33079" s="28"/>
      <c r="O33079" s="28"/>
      <c r="U33079" s="28"/>
    </row>
    <row r="33080">
      <c r="N33080" s="28"/>
      <c r="O33080" s="28"/>
      <c r="U33080" s="28"/>
    </row>
    <row r="33081">
      <c r="N33081" s="28"/>
      <c r="O33081" s="28"/>
      <c r="U33081" s="28"/>
    </row>
    <row r="33082">
      <c r="N33082" s="28"/>
      <c r="O33082" s="28"/>
      <c r="U33082" s="28"/>
    </row>
    <row r="33083">
      <c r="N33083" s="28"/>
      <c r="O33083" s="28"/>
      <c r="U33083" s="28"/>
    </row>
    <row r="33084">
      <c r="N33084" s="28"/>
      <c r="O33084" s="28"/>
      <c r="U33084" s="28"/>
    </row>
    <row r="33085">
      <c r="N33085" s="28"/>
      <c r="O33085" s="28"/>
      <c r="U33085" s="28"/>
    </row>
    <row r="33086">
      <c r="N33086" s="28"/>
      <c r="O33086" s="28"/>
      <c r="U33086" s="28"/>
    </row>
    <row r="33087">
      <c r="N33087" s="28"/>
      <c r="O33087" s="28"/>
      <c r="U33087" s="28"/>
    </row>
    <row r="33088">
      <c r="N33088" s="28"/>
      <c r="O33088" s="28"/>
      <c r="U33088" s="28"/>
    </row>
    <row r="33089">
      <c r="N33089" s="28"/>
      <c r="O33089" s="28"/>
      <c r="U33089" s="28"/>
    </row>
    <row r="33090">
      <c r="N33090" s="28"/>
      <c r="O33090" s="28"/>
      <c r="U33090" s="28"/>
    </row>
    <row r="33091">
      <c r="N33091" s="28"/>
      <c r="O33091" s="28"/>
      <c r="U33091" s="28"/>
    </row>
    <row r="33092">
      <c r="N33092" s="28"/>
      <c r="O33092" s="28"/>
      <c r="U33092" s="28"/>
    </row>
    <row r="33093">
      <c r="N33093" s="28"/>
      <c r="O33093" s="28"/>
      <c r="U33093" s="28"/>
    </row>
    <row r="33094">
      <c r="N33094" s="28"/>
      <c r="O33094" s="28"/>
      <c r="U33094" s="28"/>
    </row>
    <row r="33095">
      <c r="N33095" s="28"/>
      <c r="O33095" s="28"/>
      <c r="U33095" s="28"/>
    </row>
    <row r="33096">
      <c r="N33096" s="28"/>
      <c r="O33096" s="28"/>
      <c r="U33096" s="28"/>
    </row>
    <row r="33097">
      <c r="N33097" s="28"/>
      <c r="O33097" s="28"/>
      <c r="U33097" s="28"/>
    </row>
    <row r="33098">
      <c r="N33098" s="28"/>
      <c r="O33098" s="28"/>
      <c r="U33098" s="28"/>
    </row>
    <row r="33099">
      <c r="N33099" s="28"/>
      <c r="O33099" s="28"/>
      <c r="U33099" s="28"/>
    </row>
    <row r="33100">
      <c r="N33100" s="28"/>
      <c r="O33100" s="28"/>
      <c r="U33100" s="28"/>
    </row>
    <row r="33101">
      <c r="N33101" s="28"/>
      <c r="O33101" s="28"/>
      <c r="U33101" s="28"/>
    </row>
    <row r="33102">
      <c r="N33102" s="28"/>
      <c r="O33102" s="28"/>
      <c r="U33102" s="28"/>
    </row>
    <row r="33103">
      <c r="N33103" s="28"/>
      <c r="O33103" s="28"/>
      <c r="U33103" s="28"/>
    </row>
    <row r="33104">
      <c r="N33104" s="28"/>
      <c r="O33104" s="28"/>
      <c r="U33104" s="28"/>
    </row>
    <row r="33105">
      <c r="N33105" s="28"/>
      <c r="O33105" s="28"/>
      <c r="U33105" s="28"/>
    </row>
    <row r="33106">
      <c r="N33106" s="28"/>
      <c r="O33106" s="28"/>
      <c r="U33106" s="28"/>
    </row>
    <row r="33107">
      <c r="N33107" s="28"/>
      <c r="O33107" s="28"/>
      <c r="U33107" s="28"/>
    </row>
    <row r="33108">
      <c r="N33108" s="28"/>
      <c r="O33108" s="28"/>
      <c r="U33108" s="28"/>
    </row>
    <row r="33109">
      <c r="N33109" s="28"/>
      <c r="O33109" s="28"/>
      <c r="U33109" s="28"/>
    </row>
    <row r="33110">
      <c r="N33110" s="28"/>
      <c r="O33110" s="28"/>
      <c r="U33110" s="28"/>
    </row>
    <row r="33111">
      <c r="N33111" s="28"/>
      <c r="O33111" s="28"/>
      <c r="U33111" s="28"/>
    </row>
    <row r="33112">
      <c r="N33112" s="28"/>
      <c r="O33112" s="28"/>
      <c r="U33112" s="28"/>
    </row>
    <row r="33113">
      <c r="N33113" s="28"/>
      <c r="O33113" s="28"/>
      <c r="U33113" s="28"/>
    </row>
    <row r="33114">
      <c r="N33114" s="28"/>
      <c r="O33114" s="28"/>
      <c r="U33114" s="28"/>
    </row>
    <row r="33115">
      <c r="N33115" s="28"/>
      <c r="O33115" s="28"/>
      <c r="U33115" s="28"/>
    </row>
    <row r="33116">
      <c r="N33116" s="28"/>
      <c r="O33116" s="28"/>
      <c r="U33116" s="28"/>
    </row>
    <row r="33117">
      <c r="N33117" s="28"/>
      <c r="O33117" s="28"/>
      <c r="U33117" s="28"/>
    </row>
    <row r="33118">
      <c r="N33118" s="28"/>
      <c r="O33118" s="28"/>
      <c r="U33118" s="28"/>
    </row>
    <row r="33119">
      <c r="N33119" s="28"/>
      <c r="O33119" s="28"/>
      <c r="U33119" s="28"/>
    </row>
    <row r="33120">
      <c r="N33120" s="28"/>
      <c r="O33120" s="28"/>
      <c r="U33120" s="28"/>
    </row>
    <row r="33121">
      <c r="N33121" s="28"/>
      <c r="O33121" s="28"/>
      <c r="U33121" s="28"/>
    </row>
    <row r="33122">
      <c r="N33122" s="28"/>
      <c r="O33122" s="28"/>
      <c r="U33122" s="28"/>
    </row>
    <row r="33123">
      <c r="N33123" s="28"/>
      <c r="O33123" s="28"/>
      <c r="U33123" s="28"/>
    </row>
    <row r="33124">
      <c r="N33124" s="28"/>
      <c r="O33124" s="28"/>
      <c r="U33124" s="28"/>
    </row>
    <row r="33125">
      <c r="N33125" s="28"/>
      <c r="O33125" s="28"/>
      <c r="U33125" s="28"/>
    </row>
    <row r="33126">
      <c r="N33126" s="28"/>
      <c r="O33126" s="28"/>
      <c r="U33126" s="28"/>
    </row>
    <row r="33127">
      <c r="N33127" s="28"/>
      <c r="O33127" s="28"/>
      <c r="U33127" s="28"/>
    </row>
    <row r="33128">
      <c r="N33128" s="28"/>
      <c r="O33128" s="28"/>
      <c r="U33128" s="28"/>
    </row>
    <row r="33129">
      <c r="N33129" s="28"/>
      <c r="O33129" s="28"/>
      <c r="U33129" s="28"/>
    </row>
    <row r="33130">
      <c r="N33130" s="28"/>
      <c r="O33130" s="28"/>
      <c r="U33130" s="28"/>
    </row>
    <row r="33131">
      <c r="N33131" s="28"/>
      <c r="O33131" s="28"/>
      <c r="U33131" s="28"/>
    </row>
    <row r="33132">
      <c r="N33132" s="28"/>
      <c r="O33132" s="28"/>
      <c r="U33132" s="28"/>
    </row>
    <row r="33133">
      <c r="N33133" s="28"/>
      <c r="O33133" s="28"/>
      <c r="U33133" s="28"/>
    </row>
    <row r="33134">
      <c r="N33134" s="28"/>
      <c r="O33134" s="28"/>
      <c r="U33134" s="28"/>
    </row>
    <row r="33135">
      <c r="N33135" s="28"/>
      <c r="O33135" s="28"/>
      <c r="U33135" s="28"/>
    </row>
    <row r="33136">
      <c r="N33136" s="28"/>
      <c r="O33136" s="28"/>
      <c r="U33136" s="28"/>
    </row>
    <row r="33137">
      <c r="N33137" s="28"/>
      <c r="O33137" s="28"/>
      <c r="U33137" s="28"/>
    </row>
    <row r="33138">
      <c r="N33138" s="28"/>
      <c r="O33138" s="28"/>
      <c r="U33138" s="28"/>
    </row>
    <row r="33139">
      <c r="N33139" s="28"/>
      <c r="O33139" s="28"/>
      <c r="U33139" s="28"/>
    </row>
    <row r="33140">
      <c r="N33140" s="28"/>
      <c r="O33140" s="28"/>
      <c r="U33140" s="28"/>
    </row>
    <row r="33141">
      <c r="N33141" s="28"/>
      <c r="O33141" s="28"/>
      <c r="U33141" s="28"/>
    </row>
    <row r="33142">
      <c r="N33142" s="28"/>
      <c r="O33142" s="28"/>
      <c r="U33142" s="28"/>
    </row>
    <row r="33143">
      <c r="N33143" s="28"/>
      <c r="O33143" s="28"/>
      <c r="U33143" s="28"/>
    </row>
    <row r="33144">
      <c r="N33144" s="28"/>
      <c r="O33144" s="28"/>
      <c r="U33144" s="28"/>
    </row>
    <row r="33145">
      <c r="N33145" s="28"/>
      <c r="O33145" s="28"/>
      <c r="U33145" s="28"/>
    </row>
    <row r="33146">
      <c r="N33146" s="28"/>
      <c r="O33146" s="28"/>
      <c r="U33146" s="28"/>
    </row>
    <row r="33147">
      <c r="N33147" s="28"/>
      <c r="O33147" s="28"/>
      <c r="U33147" s="28"/>
    </row>
    <row r="33148">
      <c r="N33148" s="28"/>
      <c r="O33148" s="28"/>
      <c r="U33148" s="28"/>
    </row>
    <row r="33149">
      <c r="N33149" s="28"/>
      <c r="O33149" s="28"/>
      <c r="U33149" s="28"/>
    </row>
    <row r="33150">
      <c r="N33150" s="28"/>
      <c r="O33150" s="28"/>
      <c r="U33150" s="28"/>
    </row>
    <row r="33151">
      <c r="N33151" s="28"/>
      <c r="O33151" s="28"/>
      <c r="U33151" s="28"/>
    </row>
    <row r="33152">
      <c r="N33152" s="28"/>
      <c r="O33152" s="28"/>
      <c r="U33152" s="28"/>
    </row>
    <row r="33153">
      <c r="N33153" s="28"/>
      <c r="O33153" s="28"/>
      <c r="U33153" s="28"/>
    </row>
    <row r="33154">
      <c r="N33154" s="28"/>
      <c r="O33154" s="28"/>
      <c r="U33154" s="28"/>
    </row>
    <row r="33155">
      <c r="N33155" s="28"/>
      <c r="O33155" s="28"/>
      <c r="U33155" s="28"/>
    </row>
    <row r="33156">
      <c r="N33156" s="28"/>
      <c r="O33156" s="28"/>
      <c r="U33156" s="28"/>
    </row>
    <row r="33157">
      <c r="N33157" s="28"/>
      <c r="O33157" s="28"/>
      <c r="U33157" s="28"/>
    </row>
    <row r="33158">
      <c r="N33158" s="28"/>
      <c r="O33158" s="28"/>
      <c r="U33158" s="28"/>
    </row>
    <row r="33159">
      <c r="N33159" s="28"/>
      <c r="O33159" s="28"/>
      <c r="U33159" s="28"/>
    </row>
    <row r="33160">
      <c r="N33160" s="28"/>
      <c r="O33160" s="28"/>
      <c r="U33160" s="28"/>
    </row>
    <row r="33161">
      <c r="N33161" s="28"/>
      <c r="O33161" s="28"/>
      <c r="U33161" s="28"/>
    </row>
    <row r="33162">
      <c r="N33162" s="28"/>
      <c r="O33162" s="28"/>
      <c r="U33162" s="28"/>
    </row>
    <row r="33163">
      <c r="N33163" s="28"/>
      <c r="O33163" s="28"/>
      <c r="U33163" s="28"/>
    </row>
    <row r="33164">
      <c r="N33164" s="28"/>
      <c r="O33164" s="28"/>
      <c r="U33164" s="28"/>
    </row>
    <row r="33165">
      <c r="N33165" s="28"/>
      <c r="O33165" s="28"/>
      <c r="U33165" s="28"/>
    </row>
    <row r="33166">
      <c r="N33166" s="28"/>
      <c r="O33166" s="28"/>
      <c r="U33166" s="28"/>
    </row>
    <row r="33167">
      <c r="N33167" s="28"/>
      <c r="O33167" s="28"/>
      <c r="U33167" s="28"/>
    </row>
    <row r="33168">
      <c r="N33168" s="28"/>
      <c r="O33168" s="28"/>
      <c r="U33168" s="28"/>
    </row>
    <row r="33169">
      <c r="N33169" s="28"/>
      <c r="O33169" s="28"/>
      <c r="U33169" s="28"/>
    </row>
    <row r="33170">
      <c r="N33170" s="28"/>
      <c r="O33170" s="28"/>
      <c r="U33170" s="28"/>
    </row>
    <row r="33171">
      <c r="N33171" s="28"/>
      <c r="O33171" s="28"/>
      <c r="U33171" s="28"/>
    </row>
    <row r="33172">
      <c r="N33172" s="28"/>
      <c r="O33172" s="28"/>
      <c r="U33172" s="28"/>
    </row>
    <row r="33173">
      <c r="N33173" s="28"/>
      <c r="O33173" s="28"/>
      <c r="U33173" s="28"/>
    </row>
    <row r="33174">
      <c r="N33174" s="28"/>
      <c r="O33174" s="28"/>
      <c r="U33174" s="28"/>
    </row>
    <row r="33175">
      <c r="N33175" s="28"/>
      <c r="O33175" s="28"/>
      <c r="U33175" s="28"/>
    </row>
    <row r="33176">
      <c r="N33176" s="28"/>
      <c r="O33176" s="28"/>
      <c r="U33176" s="28"/>
    </row>
    <row r="33177">
      <c r="N33177" s="28"/>
      <c r="O33177" s="28"/>
      <c r="U33177" s="28"/>
    </row>
    <row r="33178">
      <c r="N33178" s="28"/>
      <c r="O33178" s="28"/>
      <c r="U33178" s="28"/>
    </row>
    <row r="33179">
      <c r="N33179" s="28"/>
      <c r="O33179" s="28"/>
      <c r="U33179" s="28"/>
    </row>
    <row r="33180">
      <c r="N33180" s="28"/>
      <c r="O33180" s="28"/>
      <c r="U33180" s="28"/>
    </row>
    <row r="33181">
      <c r="N33181" s="28"/>
      <c r="O33181" s="28"/>
      <c r="U33181" s="28"/>
    </row>
    <row r="33182">
      <c r="N33182" s="28"/>
      <c r="O33182" s="28"/>
      <c r="U33182" s="28"/>
    </row>
    <row r="33183">
      <c r="N33183" s="28"/>
      <c r="O33183" s="28"/>
      <c r="U33183" s="28"/>
    </row>
    <row r="33184">
      <c r="N33184" s="28"/>
      <c r="O33184" s="28"/>
      <c r="U33184" s="28"/>
    </row>
    <row r="33185">
      <c r="N33185" s="28"/>
      <c r="O33185" s="28"/>
      <c r="U33185" s="28"/>
    </row>
    <row r="33186">
      <c r="N33186" s="28"/>
      <c r="O33186" s="28"/>
      <c r="U33186" s="28"/>
    </row>
    <row r="33187">
      <c r="N33187" s="28"/>
      <c r="O33187" s="28"/>
      <c r="U33187" s="28"/>
    </row>
    <row r="33188">
      <c r="N33188" s="28"/>
      <c r="O33188" s="28"/>
      <c r="U33188" s="28"/>
    </row>
    <row r="33189">
      <c r="N33189" s="28"/>
      <c r="O33189" s="28"/>
      <c r="U33189" s="28"/>
    </row>
    <row r="33190">
      <c r="N33190" s="28"/>
      <c r="O33190" s="28"/>
      <c r="U33190" s="28"/>
    </row>
    <row r="33191">
      <c r="N33191" s="28"/>
      <c r="O33191" s="28"/>
      <c r="U33191" s="28"/>
    </row>
    <row r="33192">
      <c r="N33192" s="28"/>
      <c r="O33192" s="28"/>
      <c r="U33192" s="28"/>
    </row>
    <row r="33193">
      <c r="N33193" s="28"/>
      <c r="O33193" s="28"/>
      <c r="U33193" s="28"/>
    </row>
    <row r="33194">
      <c r="N33194" s="28"/>
      <c r="O33194" s="28"/>
      <c r="U33194" s="28"/>
    </row>
    <row r="33195">
      <c r="N33195" s="28"/>
      <c r="O33195" s="28"/>
      <c r="U33195" s="28"/>
    </row>
    <row r="33196">
      <c r="N33196" s="28"/>
      <c r="O33196" s="28"/>
      <c r="U33196" s="28"/>
    </row>
    <row r="33197">
      <c r="N33197" s="28"/>
      <c r="O33197" s="28"/>
      <c r="U33197" s="28"/>
    </row>
    <row r="33198">
      <c r="N33198" s="28"/>
      <c r="O33198" s="28"/>
      <c r="U33198" s="28"/>
    </row>
    <row r="33199">
      <c r="N33199" s="28"/>
      <c r="O33199" s="28"/>
      <c r="U33199" s="28"/>
    </row>
    <row r="33200">
      <c r="N33200" s="28"/>
      <c r="O33200" s="28"/>
      <c r="U33200" s="28"/>
    </row>
    <row r="33201">
      <c r="N33201" s="28"/>
      <c r="O33201" s="28"/>
      <c r="U33201" s="28"/>
    </row>
    <row r="33202">
      <c r="N33202" s="28"/>
      <c r="O33202" s="28"/>
      <c r="U33202" s="28"/>
    </row>
    <row r="33203">
      <c r="N33203" s="28"/>
      <c r="O33203" s="28"/>
      <c r="U33203" s="28"/>
    </row>
    <row r="33204">
      <c r="N33204" s="28"/>
      <c r="O33204" s="28"/>
      <c r="U33204" s="28"/>
    </row>
    <row r="33205">
      <c r="N33205" s="28"/>
      <c r="O33205" s="28"/>
      <c r="U33205" s="28"/>
    </row>
    <row r="33206">
      <c r="N33206" s="28"/>
      <c r="O33206" s="28"/>
      <c r="U33206" s="28"/>
    </row>
    <row r="33207">
      <c r="N33207" s="28"/>
      <c r="O33207" s="28"/>
      <c r="U33207" s="28"/>
    </row>
    <row r="33208">
      <c r="N33208" s="28"/>
      <c r="O33208" s="28"/>
      <c r="U33208" s="28"/>
    </row>
    <row r="33209">
      <c r="N33209" s="28"/>
      <c r="O33209" s="28"/>
      <c r="U33209" s="28"/>
    </row>
    <row r="33210">
      <c r="N33210" s="28"/>
      <c r="O33210" s="28"/>
      <c r="U33210" s="28"/>
    </row>
    <row r="33211">
      <c r="N33211" s="28"/>
      <c r="O33211" s="28"/>
      <c r="U33211" s="28"/>
    </row>
    <row r="33212">
      <c r="N33212" s="28"/>
      <c r="O33212" s="28"/>
      <c r="U33212" s="28"/>
    </row>
    <row r="33213">
      <c r="N33213" s="28"/>
      <c r="O33213" s="28"/>
      <c r="U33213" s="28"/>
    </row>
    <row r="33214">
      <c r="N33214" s="28"/>
      <c r="O33214" s="28"/>
      <c r="U33214" s="28"/>
    </row>
    <row r="33215">
      <c r="N33215" s="28"/>
      <c r="O33215" s="28"/>
      <c r="U33215" s="28"/>
    </row>
    <row r="33216">
      <c r="N33216" s="28"/>
      <c r="O33216" s="28"/>
      <c r="U33216" s="28"/>
    </row>
    <row r="33217">
      <c r="N33217" s="28"/>
      <c r="O33217" s="28"/>
      <c r="U33217" s="28"/>
    </row>
    <row r="33218">
      <c r="N33218" s="28"/>
      <c r="O33218" s="28"/>
      <c r="U33218" s="28"/>
    </row>
    <row r="33219">
      <c r="N33219" s="28"/>
      <c r="O33219" s="28"/>
      <c r="U33219" s="28"/>
    </row>
    <row r="33220">
      <c r="N33220" s="28"/>
      <c r="O33220" s="28"/>
      <c r="U33220" s="28"/>
    </row>
    <row r="33221">
      <c r="N33221" s="28"/>
      <c r="O33221" s="28"/>
      <c r="U33221" s="28"/>
    </row>
    <row r="33222">
      <c r="N33222" s="28"/>
      <c r="O33222" s="28"/>
      <c r="U33222" s="28"/>
    </row>
    <row r="33223">
      <c r="N33223" s="28"/>
      <c r="O33223" s="28"/>
      <c r="U33223" s="28"/>
    </row>
    <row r="33224">
      <c r="N33224" s="28"/>
      <c r="O33224" s="28"/>
      <c r="U33224" s="28"/>
    </row>
    <row r="33225">
      <c r="N33225" s="28"/>
      <c r="O33225" s="28"/>
      <c r="U33225" s="28"/>
    </row>
    <row r="33226">
      <c r="N33226" s="28"/>
      <c r="O33226" s="28"/>
      <c r="U33226" s="28"/>
    </row>
    <row r="33227">
      <c r="N33227" s="28"/>
      <c r="O33227" s="28"/>
      <c r="U33227" s="28"/>
    </row>
    <row r="33228">
      <c r="N33228" s="28"/>
      <c r="O33228" s="28"/>
      <c r="U33228" s="28"/>
    </row>
    <row r="33229">
      <c r="N33229" s="28"/>
      <c r="O33229" s="28"/>
      <c r="U33229" s="28"/>
    </row>
    <row r="33230">
      <c r="N33230" s="28"/>
      <c r="O33230" s="28"/>
      <c r="U33230" s="28"/>
    </row>
    <row r="33231">
      <c r="N33231" s="28"/>
      <c r="O33231" s="28"/>
      <c r="U33231" s="28"/>
    </row>
    <row r="33232">
      <c r="N33232" s="28"/>
      <c r="O33232" s="28"/>
      <c r="U33232" s="28"/>
    </row>
    <row r="33233">
      <c r="N33233" s="28"/>
      <c r="O33233" s="28"/>
      <c r="U33233" s="28"/>
    </row>
    <row r="33234">
      <c r="N33234" s="28"/>
      <c r="O33234" s="28"/>
      <c r="U33234" s="28"/>
    </row>
    <row r="33235">
      <c r="N33235" s="28"/>
      <c r="O33235" s="28"/>
      <c r="U33235" s="28"/>
    </row>
    <row r="33236">
      <c r="N33236" s="28"/>
      <c r="O33236" s="28"/>
      <c r="U33236" s="28"/>
    </row>
    <row r="33237">
      <c r="N33237" s="28"/>
      <c r="O33237" s="28"/>
      <c r="U33237" s="28"/>
    </row>
    <row r="33238">
      <c r="N33238" s="28"/>
      <c r="O33238" s="28"/>
      <c r="U33238" s="28"/>
    </row>
    <row r="33239">
      <c r="N33239" s="28"/>
      <c r="O33239" s="28"/>
      <c r="U33239" s="28"/>
    </row>
    <row r="33240">
      <c r="N33240" s="28"/>
      <c r="O33240" s="28"/>
      <c r="U33240" s="28"/>
    </row>
    <row r="33241">
      <c r="N33241" s="28"/>
      <c r="O33241" s="28"/>
      <c r="U33241" s="28"/>
    </row>
    <row r="33242">
      <c r="N33242" s="28"/>
      <c r="O33242" s="28"/>
      <c r="U33242" s="28"/>
    </row>
    <row r="33243">
      <c r="N33243" s="28"/>
      <c r="O33243" s="28"/>
      <c r="U33243" s="28"/>
    </row>
    <row r="33244">
      <c r="N33244" s="28"/>
      <c r="O33244" s="28"/>
      <c r="U33244" s="28"/>
    </row>
    <row r="33245">
      <c r="N33245" s="28"/>
      <c r="O33245" s="28"/>
      <c r="U33245" s="28"/>
    </row>
    <row r="33246">
      <c r="N33246" s="28"/>
      <c r="O33246" s="28"/>
      <c r="U33246" s="28"/>
    </row>
    <row r="33247">
      <c r="N33247" s="28"/>
      <c r="O33247" s="28"/>
      <c r="U33247" s="28"/>
    </row>
    <row r="33248">
      <c r="N33248" s="28"/>
      <c r="O33248" s="28"/>
      <c r="U33248" s="28"/>
    </row>
    <row r="33249">
      <c r="N33249" s="28"/>
      <c r="O33249" s="28"/>
      <c r="U33249" s="28"/>
    </row>
    <row r="33250">
      <c r="N33250" s="28"/>
      <c r="O33250" s="28"/>
      <c r="U33250" s="28"/>
    </row>
    <row r="33251">
      <c r="N33251" s="28"/>
      <c r="O33251" s="28"/>
      <c r="U33251" s="28"/>
    </row>
    <row r="33252">
      <c r="N33252" s="28"/>
      <c r="O33252" s="28"/>
      <c r="U33252" s="28"/>
    </row>
    <row r="33253">
      <c r="N33253" s="28"/>
      <c r="O33253" s="28"/>
      <c r="U33253" s="28"/>
    </row>
    <row r="33254">
      <c r="N33254" s="28"/>
      <c r="O33254" s="28"/>
      <c r="U33254" s="28"/>
    </row>
    <row r="33255">
      <c r="N33255" s="28"/>
      <c r="O33255" s="28"/>
      <c r="U33255" s="28"/>
    </row>
    <row r="33256">
      <c r="N33256" s="28"/>
      <c r="O33256" s="28"/>
      <c r="U33256" s="28"/>
    </row>
    <row r="33257">
      <c r="N33257" s="28"/>
      <c r="O33257" s="28"/>
      <c r="U33257" s="28"/>
    </row>
    <row r="33258">
      <c r="N33258" s="28"/>
      <c r="O33258" s="28"/>
      <c r="U33258" s="28"/>
    </row>
    <row r="33259">
      <c r="N33259" s="28"/>
      <c r="O33259" s="28"/>
      <c r="U33259" s="28"/>
    </row>
    <row r="33260">
      <c r="N33260" s="28"/>
      <c r="O33260" s="28"/>
      <c r="U33260" s="28"/>
    </row>
    <row r="33261">
      <c r="N33261" s="28"/>
      <c r="O33261" s="28"/>
      <c r="U33261" s="28"/>
    </row>
    <row r="33262">
      <c r="N33262" s="28"/>
      <c r="O33262" s="28"/>
      <c r="U33262" s="28"/>
    </row>
    <row r="33263">
      <c r="N33263" s="28"/>
      <c r="O33263" s="28"/>
      <c r="U33263" s="28"/>
    </row>
    <row r="33264">
      <c r="N33264" s="28"/>
      <c r="O33264" s="28"/>
      <c r="U33264" s="28"/>
    </row>
    <row r="33265">
      <c r="N33265" s="28"/>
      <c r="O33265" s="28"/>
      <c r="U33265" s="28"/>
    </row>
    <row r="33266">
      <c r="N33266" s="28"/>
      <c r="O33266" s="28"/>
      <c r="U33266" s="28"/>
    </row>
    <row r="33267">
      <c r="N33267" s="28"/>
      <c r="O33267" s="28"/>
      <c r="U33267" s="28"/>
    </row>
    <row r="33268">
      <c r="N33268" s="28"/>
      <c r="O33268" s="28"/>
      <c r="U33268" s="28"/>
    </row>
    <row r="33269">
      <c r="N33269" s="28"/>
      <c r="O33269" s="28"/>
      <c r="U33269" s="28"/>
    </row>
    <row r="33270">
      <c r="N33270" s="28"/>
      <c r="O33270" s="28"/>
      <c r="U33270" s="28"/>
    </row>
    <row r="33271">
      <c r="N33271" s="28"/>
      <c r="O33271" s="28"/>
      <c r="U33271" s="28"/>
    </row>
    <row r="33272">
      <c r="N33272" s="28"/>
      <c r="O33272" s="28"/>
      <c r="U33272" s="28"/>
    </row>
    <row r="33273">
      <c r="N33273" s="28"/>
      <c r="O33273" s="28"/>
      <c r="U33273" s="28"/>
    </row>
    <row r="33274">
      <c r="N33274" s="28"/>
      <c r="O33274" s="28"/>
      <c r="U33274" s="28"/>
    </row>
    <row r="33275">
      <c r="N33275" s="28"/>
      <c r="O33275" s="28"/>
      <c r="U33275" s="28"/>
    </row>
    <row r="33276">
      <c r="N33276" s="28"/>
      <c r="O33276" s="28"/>
      <c r="U33276" s="28"/>
    </row>
    <row r="33277">
      <c r="N33277" s="28"/>
      <c r="O33277" s="28"/>
      <c r="U33277" s="28"/>
    </row>
    <row r="33278">
      <c r="N33278" s="28"/>
      <c r="O33278" s="28"/>
      <c r="U33278" s="28"/>
    </row>
    <row r="33279">
      <c r="N33279" s="28"/>
      <c r="O33279" s="28"/>
      <c r="U33279" s="28"/>
    </row>
    <row r="33280">
      <c r="N33280" s="28"/>
      <c r="O33280" s="28"/>
      <c r="U33280" s="28"/>
    </row>
    <row r="33281">
      <c r="N33281" s="28"/>
      <c r="O33281" s="28"/>
      <c r="U33281" s="28"/>
    </row>
    <row r="33282">
      <c r="N33282" s="28"/>
      <c r="O33282" s="28"/>
      <c r="U33282" s="28"/>
    </row>
    <row r="33283">
      <c r="N33283" s="28"/>
      <c r="O33283" s="28"/>
      <c r="U33283" s="28"/>
    </row>
    <row r="33284">
      <c r="N33284" s="28"/>
      <c r="O33284" s="28"/>
      <c r="U33284" s="28"/>
    </row>
    <row r="33285">
      <c r="N33285" s="28"/>
      <c r="O33285" s="28"/>
      <c r="U33285" s="28"/>
    </row>
    <row r="33286">
      <c r="N33286" s="28"/>
      <c r="O33286" s="28"/>
      <c r="U33286" s="28"/>
    </row>
    <row r="33287">
      <c r="N33287" s="28"/>
      <c r="O33287" s="28"/>
      <c r="U33287" s="28"/>
    </row>
    <row r="33288">
      <c r="N33288" s="28"/>
      <c r="O33288" s="28"/>
      <c r="U33288" s="28"/>
    </row>
    <row r="33289">
      <c r="N33289" s="28"/>
      <c r="O33289" s="28"/>
      <c r="U33289" s="28"/>
    </row>
    <row r="33290">
      <c r="N33290" s="28"/>
      <c r="O33290" s="28"/>
      <c r="U33290" s="28"/>
    </row>
    <row r="33291">
      <c r="N33291" s="28"/>
      <c r="O33291" s="28"/>
      <c r="U33291" s="28"/>
    </row>
    <row r="33292">
      <c r="N33292" s="28"/>
      <c r="O33292" s="28"/>
      <c r="U33292" s="28"/>
    </row>
    <row r="33293">
      <c r="N33293" s="28"/>
      <c r="O33293" s="28"/>
      <c r="U33293" s="28"/>
    </row>
    <row r="33294">
      <c r="N33294" s="28"/>
      <c r="O33294" s="28"/>
      <c r="U33294" s="28"/>
    </row>
    <row r="33295">
      <c r="N33295" s="28"/>
      <c r="O33295" s="28"/>
      <c r="U33295" s="28"/>
    </row>
    <row r="33296">
      <c r="N33296" s="28"/>
      <c r="O33296" s="28"/>
      <c r="U33296" s="28"/>
    </row>
    <row r="33297">
      <c r="N33297" s="28"/>
      <c r="O33297" s="28"/>
      <c r="U33297" s="28"/>
    </row>
    <row r="33298">
      <c r="N33298" s="28"/>
      <c r="O33298" s="28"/>
      <c r="U33298" s="28"/>
    </row>
    <row r="33299">
      <c r="N33299" s="28"/>
      <c r="O33299" s="28"/>
      <c r="U33299" s="28"/>
    </row>
    <row r="33300">
      <c r="N33300" s="28"/>
      <c r="O33300" s="28"/>
      <c r="U33300" s="28"/>
    </row>
    <row r="33301">
      <c r="N33301" s="28"/>
      <c r="O33301" s="28"/>
      <c r="U33301" s="28"/>
    </row>
    <row r="33302">
      <c r="N33302" s="28"/>
      <c r="O33302" s="28"/>
      <c r="U33302" s="28"/>
    </row>
    <row r="33303">
      <c r="N33303" s="28"/>
      <c r="O33303" s="28"/>
      <c r="U33303" s="28"/>
    </row>
    <row r="33304">
      <c r="N33304" s="28"/>
      <c r="O33304" s="28"/>
      <c r="U33304" s="28"/>
    </row>
    <row r="33305">
      <c r="N33305" s="28"/>
      <c r="O33305" s="28"/>
      <c r="U33305" s="28"/>
    </row>
    <row r="33306">
      <c r="N33306" s="28"/>
      <c r="O33306" s="28"/>
      <c r="U33306" s="28"/>
    </row>
    <row r="33307">
      <c r="N33307" s="28"/>
      <c r="O33307" s="28"/>
      <c r="U33307" s="28"/>
    </row>
    <row r="33308">
      <c r="N33308" s="28"/>
      <c r="O33308" s="28"/>
      <c r="U33308" s="28"/>
    </row>
    <row r="33309">
      <c r="N33309" s="28"/>
      <c r="O33309" s="28"/>
      <c r="U33309" s="28"/>
    </row>
    <row r="33310">
      <c r="N33310" s="28"/>
      <c r="O33310" s="28"/>
      <c r="U33310" s="28"/>
    </row>
    <row r="33311">
      <c r="N33311" s="28"/>
      <c r="O33311" s="28"/>
      <c r="U33311" s="28"/>
    </row>
    <row r="33312">
      <c r="N33312" s="28"/>
      <c r="O33312" s="28"/>
      <c r="U33312" s="28"/>
    </row>
    <row r="33313">
      <c r="N33313" s="28"/>
      <c r="O33313" s="28"/>
      <c r="U33313" s="28"/>
    </row>
    <row r="33314">
      <c r="N33314" s="28"/>
      <c r="O33314" s="28"/>
      <c r="U33314" s="28"/>
    </row>
    <row r="33315">
      <c r="N33315" s="28"/>
      <c r="O33315" s="28"/>
      <c r="U33315" s="28"/>
    </row>
    <row r="33316">
      <c r="N33316" s="28"/>
      <c r="O33316" s="28"/>
      <c r="U33316" s="28"/>
    </row>
    <row r="33317">
      <c r="N33317" s="28"/>
      <c r="O33317" s="28"/>
      <c r="U33317" s="28"/>
    </row>
    <row r="33318">
      <c r="N33318" s="28"/>
      <c r="O33318" s="28"/>
      <c r="U33318" s="28"/>
    </row>
    <row r="33319">
      <c r="N33319" s="28"/>
      <c r="O33319" s="28"/>
      <c r="U33319" s="28"/>
    </row>
    <row r="33320">
      <c r="N33320" s="28"/>
      <c r="O33320" s="28"/>
      <c r="U33320" s="28"/>
    </row>
    <row r="33321">
      <c r="N33321" s="28"/>
      <c r="O33321" s="28"/>
      <c r="U33321" s="28"/>
    </row>
    <row r="33322">
      <c r="N33322" s="28"/>
      <c r="O33322" s="28"/>
      <c r="U33322" s="28"/>
    </row>
    <row r="33323">
      <c r="N33323" s="28"/>
      <c r="O33323" s="28"/>
      <c r="U33323" s="28"/>
    </row>
    <row r="33324">
      <c r="N33324" s="28"/>
      <c r="O33324" s="28"/>
      <c r="U33324" s="28"/>
    </row>
    <row r="33325">
      <c r="N33325" s="28"/>
      <c r="O33325" s="28"/>
      <c r="U33325" s="28"/>
    </row>
    <row r="33326">
      <c r="N33326" s="28"/>
      <c r="O33326" s="28"/>
      <c r="U33326" s="28"/>
    </row>
    <row r="33327">
      <c r="N33327" s="28"/>
      <c r="O33327" s="28"/>
      <c r="U33327" s="28"/>
    </row>
    <row r="33328">
      <c r="N33328" s="28"/>
      <c r="O33328" s="28"/>
      <c r="U33328" s="28"/>
    </row>
    <row r="33329">
      <c r="N33329" s="28"/>
      <c r="O33329" s="28"/>
      <c r="U33329" s="28"/>
    </row>
    <row r="33330">
      <c r="N33330" s="28"/>
      <c r="O33330" s="28"/>
      <c r="U33330" s="28"/>
    </row>
    <row r="33331">
      <c r="N33331" s="28"/>
      <c r="O33331" s="28"/>
      <c r="U33331" s="28"/>
    </row>
    <row r="33332">
      <c r="N33332" s="28"/>
      <c r="O33332" s="28"/>
      <c r="U33332" s="28"/>
    </row>
    <row r="33333">
      <c r="N33333" s="28"/>
      <c r="O33333" s="28"/>
      <c r="U33333" s="28"/>
    </row>
    <row r="33334">
      <c r="N33334" s="28"/>
      <c r="O33334" s="28"/>
      <c r="U33334" s="28"/>
    </row>
    <row r="33335">
      <c r="N33335" s="28"/>
      <c r="O33335" s="28"/>
      <c r="U33335" s="28"/>
    </row>
    <row r="33336">
      <c r="N33336" s="28"/>
      <c r="O33336" s="28"/>
      <c r="U33336" s="28"/>
    </row>
    <row r="33337">
      <c r="N33337" s="28"/>
      <c r="O33337" s="28"/>
      <c r="U33337" s="28"/>
    </row>
    <row r="33338">
      <c r="N33338" s="28"/>
      <c r="O33338" s="28"/>
      <c r="U33338" s="28"/>
    </row>
    <row r="33339">
      <c r="N33339" s="28"/>
      <c r="O33339" s="28"/>
      <c r="U33339" s="28"/>
    </row>
    <row r="33340">
      <c r="N33340" s="28"/>
      <c r="O33340" s="28"/>
      <c r="U33340" s="28"/>
    </row>
    <row r="33341">
      <c r="N33341" s="28"/>
      <c r="O33341" s="28"/>
      <c r="U33341" s="28"/>
    </row>
    <row r="33342">
      <c r="N33342" s="28"/>
      <c r="O33342" s="28"/>
      <c r="U33342" s="28"/>
    </row>
    <row r="33343">
      <c r="N33343" s="28"/>
      <c r="O33343" s="28"/>
      <c r="U33343" s="28"/>
    </row>
    <row r="33344">
      <c r="N33344" s="28"/>
      <c r="O33344" s="28"/>
      <c r="U33344" s="28"/>
    </row>
    <row r="33345">
      <c r="N33345" s="28"/>
      <c r="O33345" s="28"/>
      <c r="U33345" s="28"/>
    </row>
    <row r="33346">
      <c r="N33346" s="28"/>
      <c r="O33346" s="28"/>
      <c r="U33346" s="28"/>
    </row>
    <row r="33347">
      <c r="N33347" s="28"/>
      <c r="O33347" s="28"/>
      <c r="U33347" s="28"/>
    </row>
    <row r="33348">
      <c r="N33348" s="28"/>
      <c r="O33348" s="28"/>
      <c r="U33348" s="28"/>
    </row>
    <row r="33349">
      <c r="N33349" s="28"/>
      <c r="O33349" s="28"/>
      <c r="U33349" s="28"/>
    </row>
    <row r="33350">
      <c r="N33350" s="28"/>
      <c r="O33350" s="28"/>
      <c r="U33350" s="28"/>
    </row>
    <row r="33351">
      <c r="N33351" s="28"/>
      <c r="O33351" s="28"/>
      <c r="U33351" s="28"/>
    </row>
    <row r="33352">
      <c r="N33352" s="28"/>
      <c r="O33352" s="28"/>
      <c r="U33352" s="28"/>
    </row>
    <row r="33353">
      <c r="N33353" s="28"/>
      <c r="O33353" s="28"/>
      <c r="U33353" s="28"/>
    </row>
    <row r="33354">
      <c r="N33354" s="28"/>
      <c r="O33354" s="28"/>
      <c r="U33354" s="28"/>
    </row>
    <row r="33355">
      <c r="N33355" s="28"/>
      <c r="O33355" s="28"/>
      <c r="U33355" s="28"/>
    </row>
    <row r="33356">
      <c r="N33356" s="28"/>
      <c r="O33356" s="28"/>
      <c r="U33356" s="28"/>
    </row>
    <row r="33357">
      <c r="N33357" s="28"/>
      <c r="O33357" s="28"/>
      <c r="U33357" s="28"/>
    </row>
    <row r="33358">
      <c r="N33358" s="28"/>
      <c r="O33358" s="28"/>
      <c r="U33358" s="28"/>
    </row>
    <row r="33359">
      <c r="N33359" s="28"/>
      <c r="O33359" s="28"/>
      <c r="U33359" s="28"/>
    </row>
    <row r="33360">
      <c r="N33360" s="28"/>
      <c r="O33360" s="28"/>
      <c r="U33360" s="28"/>
    </row>
    <row r="33361">
      <c r="N33361" s="28"/>
      <c r="O33361" s="28"/>
      <c r="U33361" s="28"/>
    </row>
    <row r="33362">
      <c r="N33362" s="28"/>
      <c r="O33362" s="28"/>
      <c r="U33362" s="28"/>
    </row>
    <row r="33363">
      <c r="N33363" s="28"/>
      <c r="O33363" s="28"/>
      <c r="U33363" s="28"/>
    </row>
    <row r="33364">
      <c r="N33364" s="28"/>
      <c r="O33364" s="28"/>
      <c r="U33364" s="28"/>
    </row>
    <row r="33365">
      <c r="N33365" s="28"/>
      <c r="O33365" s="28"/>
      <c r="U33365" s="28"/>
    </row>
    <row r="33366">
      <c r="N33366" s="28"/>
      <c r="O33366" s="28"/>
      <c r="U33366" s="28"/>
    </row>
    <row r="33367">
      <c r="N33367" s="28"/>
      <c r="O33367" s="28"/>
      <c r="U33367" s="28"/>
    </row>
    <row r="33368">
      <c r="N33368" s="28"/>
      <c r="O33368" s="28"/>
      <c r="U33368" s="28"/>
    </row>
    <row r="33369">
      <c r="N33369" s="28"/>
      <c r="O33369" s="28"/>
      <c r="U33369" s="28"/>
    </row>
    <row r="33370">
      <c r="N33370" s="28"/>
      <c r="O33370" s="28"/>
      <c r="U33370" s="28"/>
    </row>
    <row r="33371">
      <c r="N33371" s="28"/>
      <c r="O33371" s="28"/>
      <c r="U33371" s="28"/>
    </row>
    <row r="33372">
      <c r="N33372" s="28"/>
      <c r="O33372" s="28"/>
      <c r="U33372" s="28"/>
    </row>
    <row r="33373">
      <c r="N33373" s="28"/>
      <c r="O33373" s="28"/>
      <c r="U33373" s="28"/>
    </row>
    <row r="33374">
      <c r="N33374" s="28"/>
      <c r="O33374" s="28"/>
      <c r="U33374" s="28"/>
    </row>
    <row r="33375">
      <c r="N33375" s="28"/>
      <c r="O33375" s="28"/>
      <c r="U33375" s="28"/>
    </row>
    <row r="33376">
      <c r="N33376" s="28"/>
      <c r="O33376" s="28"/>
      <c r="U33376" s="28"/>
    </row>
    <row r="33377">
      <c r="N33377" s="28"/>
      <c r="O33377" s="28"/>
      <c r="U33377" s="28"/>
    </row>
    <row r="33378">
      <c r="N33378" s="28"/>
      <c r="O33378" s="28"/>
      <c r="U33378" s="28"/>
    </row>
    <row r="33379">
      <c r="N33379" s="28"/>
      <c r="O33379" s="28"/>
      <c r="U33379" s="28"/>
    </row>
    <row r="33380">
      <c r="N33380" s="28"/>
      <c r="O33380" s="28"/>
      <c r="U33380" s="28"/>
    </row>
    <row r="33381">
      <c r="N33381" s="28"/>
      <c r="O33381" s="28"/>
      <c r="U33381" s="28"/>
    </row>
    <row r="33382">
      <c r="N33382" s="28"/>
      <c r="O33382" s="28"/>
      <c r="U33382" s="28"/>
    </row>
    <row r="33383">
      <c r="N33383" s="28"/>
      <c r="O33383" s="28"/>
      <c r="U33383" s="28"/>
    </row>
    <row r="33384">
      <c r="N33384" s="28"/>
      <c r="O33384" s="28"/>
      <c r="U33384" s="28"/>
    </row>
    <row r="33385">
      <c r="N33385" s="28"/>
      <c r="O33385" s="28"/>
      <c r="U33385" s="28"/>
    </row>
    <row r="33386">
      <c r="N33386" s="28"/>
      <c r="O33386" s="28"/>
      <c r="U33386" s="28"/>
    </row>
    <row r="33387">
      <c r="N33387" s="28"/>
      <c r="O33387" s="28"/>
      <c r="U33387" s="28"/>
    </row>
    <row r="33388">
      <c r="N33388" s="28"/>
      <c r="O33388" s="28"/>
      <c r="U33388" s="28"/>
    </row>
    <row r="33389">
      <c r="N33389" s="28"/>
      <c r="O33389" s="28"/>
      <c r="U33389" s="28"/>
    </row>
    <row r="33390">
      <c r="N33390" s="28"/>
      <c r="O33390" s="28"/>
      <c r="U33390" s="28"/>
    </row>
    <row r="33391">
      <c r="N33391" s="28"/>
      <c r="O33391" s="28"/>
      <c r="U33391" s="28"/>
    </row>
    <row r="33392">
      <c r="N33392" s="28"/>
      <c r="O33392" s="28"/>
      <c r="U33392" s="28"/>
    </row>
    <row r="33393">
      <c r="N33393" s="28"/>
      <c r="O33393" s="28"/>
      <c r="U33393" s="28"/>
    </row>
    <row r="33394">
      <c r="N33394" s="28"/>
      <c r="O33394" s="28"/>
      <c r="U33394" s="28"/>
    </row>
    <row r="33395">
      <c r="N33395" s="28"/>
      <c r="O33395" s="28"/>
      <c r="U33395" s="28"/>
    </row>
    <row r="33396">
      <c r="N33396" s="28"/>
      <c r="O33396" s="28"/>
      <c r="U33396" s="28"/>
    </row>
    <row r="33397">
      <c r="N33397" s="28"/>
      <c r="O33397" s="28"/>
      <c r="U33397" s="28"/>
    </row>
    <row r="33398">
      <c r="N33398" s="28"/>
      <c r="O33398" s="28"/>
      <c r="U33398" s="28"/>
    </row>
    <row r="33399">
      <c r="N33399" s="28"/>
      <c r="O33399" s="28"/>
      <c r="U33399" s="28"/>
    </row>
    <row r="33400">
      <c r="N33400" s="28"/>
      <c r="O33400" s="28"/>
      <c r="U33400" s="28"/>
    </row>
    <row r="33401">
      <c r="N33401" s="28"/>
      <c r="O33401" s="28"/>
      <c r="U33401" s="28"/>
    </row>
    <row r="33402">
      <c r="N33402" s="28"/>
      <c r="O33402" s="28"/>
      <c r="U33402" s="28"/>
    </row>
    <row r="33403">
      <c r="N33403" s="28"/>
      <c r="O33403" s="28"/>
      <c r="U33403" s="28"/>
    </row>
    <row r="33404">
      <c r="N33404" s="28"/>
      <c r="O33404" s="28"/>
      <c r="U33404" s="28"/>
    </row>
    <row r="33405">
      <c r="N33405" s="28"/>
      <c r="O33405" s="28"/>
      <c r="U33405" s="28"/>
    </row>
    <row r="33406">
      <c r="N33406" s="28"/>
      <c r="O33406" s="28"/>
      <c r="U33406" s="28"/>
    </row>
    <row r="33407">
      <c r="N33407" s="28"/>
      <c r="O33407" s="28"/>
      <c r="U33407" s="28"/>
    </row>
    <row r="33408">
      <c r="N33408" s="28"/>
      <c r="O33408" s="28"/>
      <c r="U33408" s="28"/>
    </row>
    <row r="33409">
      <c r="N33409" s="28"/>
      <c r="O33409" s="28"/>
      <c r="U33409" s="28"/>
    </row>
    <row r="33410">
      <c r="N33410" s="28"/>
      <c r="O33410" s="28"/>
      <c r="U33410" s="28"/>
    </row>
    <row r="33411">
      <c r="N33411" s="28"/>
      <c r="O33411" s="28"/>
      <c r="U33411" s="28"/>
    </row>
    <row r="33412">
      <c r="N33412" s="28"/>
      <c r="O33412" s="28"/>
      <c r="U33412" s="28"/>
    </row>
    <row r="33413">
      <c r="N33413" s="28"/>
      <c r="O33413" s="28"/>
      <c r="U33413" s="28"/>
    </row>
    <row r="33414">
      <c r="N33414" s="28"/>
      <c r="O33414" s="28"/>
      <c r="U33414" s="28"/>
    </row>
    <row r="33415">
      <c r="N33415" s="28"/>
      <c r="O33415" s="28"/>
      <c r="U33415" s="28"/>
    </row>
    <row r="33416">
      <c r="N33416" s="28"/>
      <c r="O33416" s="28"/>
      <c r="U33416" s="28"/>
    </row>
    <row r="33417">
      <c r="N33417" s="28"/>
      <c r="O33417" s="28"/>
      <c r="U33417" s="28"/>
    </row>
    <row r="33418">
      <c r="N33418" s="28"/>
      <c r="O33418" s="28"/>
      <c r="U33418" s="28"/>
    </row>
    <row r="33419">
      <c r="N33419" s="28"/>
      <c r="O33419" s="28"/>
      <c r="U33419" s="28"/>
    </row>
    <row r="33420">
      <c r="N33420" s="28"/>
      <c r="O33420" s="28"/>
      <c r="U33420" s="28"/>
    </row>
    <row r="33421">
      <c r="N33421" s="28"/>
      <c r="O33421" s="28"/>
      <c r="U33421" s="28"/>
    </row>
    <row r="33422">
      <c r="N33422" s="28"/>
      <c r="O33422" s="28"/>
      <c r="U33422" s="28"/>
    </row>
    <row r="33423">
      <c r="N33423" s="28"/>
      <c r="O33423" s="28"/>
      <c r="U33423" s="28"/>
    </row>
    <row r="33424">
      <c r="N33424" s="28"/>
      <c r="O33424" s="28"/>
      <c r="U33424" s="28"/>
    </row>
    <row r="33425">
      <c r="N33425" s="28"/>
      <c r="O33425" s="28"/>
      <c r="U33425" s="28"/>
    </row>
    <row r="33426">
      <c r="N33426" s="28"/>
      <c r="O33426" s="28"/>
      <c r="U33426" s="28"/>
    </row>
    <row r="33427">
      <c r="N33427" s="28"/>
      <c r="O33427" s="28"/>
      <c r="U33427" s="28"/>
    </row>
    <row r="33428">
      <c r="N33428" s="28"/>
      <c r="O33428" s="28"/>
      <c r="U33428" s="28"/>
    </row>
    <row r="33429">
      <c r="N33429" s="28"/>
      <c r="O33429" s="28"/>
      <c r="U33429" s="28"/>
    </row>
    <row r="33430">
      <c r="N33430" s="28"/>
      <c r="O33430" s="28"/>
      <c r="U33430" s="28"/>
    </row>
    <row r="33431">
      <c r="N33431" s="28"/>
      <c r="O33431" s="28"/>
      <c r="U33431" s="28"/>
    </row>
    <row r="33432">
      <c r="N33432" s="28"/>
      <c r="O33432" s="28"/>
      <c r="U33432" s="28"/>
    </row>
    <row r="33433">
      <c r="N33433" s="28"/>
      <c r="O33433" s="28"/>
      <c r="U33433" s="28"/>
    </row>
    <row r="33434">
      <c r="N33434" s="28"/>
      <c r="O33434" s="28"/>
      <c r="U33434" s="28"/>
    </row>
    <row r="33435">
      <c r="N33435" s="28"/>
      <c r="O33435" s="28"/>
      <c r="U33435" s="28"/>
    </row>
    <row r="33436">
      <c r="N33436" s="28"/>
      <c r="O33436" s="28"/>
      <c r="U33436" s="28"/>
    </row>
    <row r="33437">
      <c r="N33437" s="28"/>
      <c r="O33437" s="28"/>
      <c r="U33437" s="28"/>
    </row>
    <row r="33438">
      <c r="N33438" s="28"/>
      <c r="O33438" s="28"/>
      <c r="U33438" s="28"/>
    </row>
    <row r="33439">
      <c r="N33439" s="28"/>
      <c r="O33439" s="28"/>
      <c r="U33439" s="28"/>
    </row>
    <row r="33440">
      <c r="N33440" s="28"/>
      <c r="O33440" s="28"/>
      <c r="U33440" s="28"/>
    </row>
    <row r="33441">
      <c r="N33441" s="28"/>
      <c r="O33441" s="28"/>
      <c r="U33441" s="28"/>
    </row>
    <row r="33442">
      <c r="N33442" s="28"/>
      <c r="O33442" s="28"/>
      <c r="U33442" s="28"/>
    </row>
    <row r="33443">
      <c r="N33443" s="28"/>
      <c r="O33443" s="28"/>
      <c r="U33443" s="28"/>
    </row>
    <row r="33444">
      <c r="N33444" s="28"/>
      <c r="O33444" s="28"/>
      <c r="U33444" s="28"/>
    </row>
    <row r="33445">
      <c r="N33445" s="28"/>
      <c r="O33445" s="28"/>
      <c r="U33445" s="28"/>
    </row>
    <row r="33446">
      <c r="N33446" s="28"/>
      <c r="O33446" s="28"/>
      <c r="U33446" s="28"/>
    </row>
    <row r="33447">
      <c r="N33447" s="28"/>
      <c r="O33447" s="28"/>
      <c r="U33447" s="28"/>
    </row>
    <row r="33448">
      <c r="N33448" s="28"/>
      <c r="O33448" s="28"/>
      <c r="U33448" s="28"/>
    </row>
    <row r="33449">
      <c r="N33449" s="28"/>
      <c r="O33449" s="28"/>
      <c r="U33449" s="28"/>
    </row>
    <row r="33450">
      <c r="N33450" s="28"/>
      <c r="O33450" s="28"/>
      <c r="U33450" s="28"/>
    </row>
    <row r="33451">
      <c r="N33451" s="28"/>
      <c r="O33451" s="28"/>
      <c r="U33451" s="28"/>
    </row>
    <row r="33452">
      <c r="N33452" s="28"/>
      <c r="O33452" s="28"/>
      <c r="U33452" s="28"/>
    </row>
    <row r="33453">
      <c r="N33453" s="28"/>
      <c r="O33453" s="28"/>
      <c r="U33453" s="28"/>
    </row>
    <row r="33454">
      <c r="N33454" s="28"/>
      <c r="O33454" s="28"/>
      <c r="U33454" s="28"/>
    </row>
    <row r="33455">
      <c r="N33455" s="28"/>
      <c r="O33455" s="28"/>
      <c r="U33455" s="28"/>
    </row>
    <row r="33456">
      <c r="N33456" s="28"/>
      <c r="O33456" s="28"/>
      <c r="U33456" s="28"/>
    </row>
    <row r="33457">
      <c r="N33457" s="28"/>
      <c r="O33457" s="28"/>
      <c r="U33457" s="28"/>
    </row>
    <row r="33458">
      <c r="N33458" s="28"/>
      <c r="O33458" s="28"/>
      <c r="U33458" s="28"/>
    </row>
    <row r="33459">
      <c r="N33459" s="28"/>
      <c r="O33459" s="28"/>
      <c r="U33459" s="28"/>
    </row>
    <row r="33460">
      <c r="N33460" s="28"/>
      <c r="O33460" s="28"/>
      <c r="U33460" s="28"/>
    </row>
    <row r="33461">
      <c r="N33461" s="28"/>
      <c r="O33461" s="28"/>
      <c r="U33461" s="28"/>
    </row>
    <row r="33462">
      <c r="N33462" s="28"/>
      <c r="O33462" s="28"/>
      <c r="U33462" s="28"/>
    </row>
    <row r="33463">
      <c r="N33463" s="28"/>
      <c r="O33463" s="28"/>
      <c r="U33463" s="28"/>
    </row>
    <row r="33464">
      <c r="N33464" s="28"/>
      <c r="O33464" s="28"/>
      <c r="U33464" s="28"/>
    </row>
    <row r="33465">
      <c r="N33465" s="28"/>
      <c r="O33465" s="28"/>
      <c r="U33465" s="28"/>
    </row>
    <row r="33466">
      <c r="N33466" s="28"/>
      <c r="O33466" s="28"/>
      <c r="U33466" s="28"/>
    </row>
    <row r="33467">
      <c r="N33467" s="28"/>
      <c r="O33467" s="28"/>
      <c r="U33467" s="28"/>
    </row>
    <row r="33468">
      <c r="N33468" s="28"/>
      <c r="O33468" s="28"/>
      <c r="U33468" s="28"/>
    </row>
    <row r="33469">
      <c r="N33469" s="28"/>
      <c r="O33469" s="28"/>
      <c r="U33469" s="28"/>
    </row>
    <row r="33470">
      <c r="N33470" s="28"/>
      <c r="O33470" s="28"/>
      <c r="U33470" s="28"/>
    </row>
    <row r="33471">
      <c r="N33471" s="28"/>
      <c r="O33471" s="28"/>
      <c r="U33471" s="28"/>
    </row>
    <row r="33472">
      <c r="N33472" s="28"/>
      <c r="O33472" s="28"/>
      <c r="U33472" s="28"/>
    </row>
    <row r="33473">
      <c r="N33473" s="28"/>
      <c r="O33473" s="28"/>
      <c r="U33473" s="28"/>
    </row>
    <row r="33474">
      <c r="N33474" s="28"/>
      <c r="O33474" s="28"/>
      <c r="U33474" s="28"/>
    </row>
    <row r="33475">
      <c r="N33475" s="28"/>
      <c r="O33475" s="28"/>
      <c r="U33475" s="28"/>
    </row>
    <row r="33476">
      <c r="N33476" s="28"/>
      <c r="O33476" s="28"/>
      <c r="U33476" s="28"/>
    </row>
    <row r="33477">
      <c r="N33477" s="28"/>
      <c r="O33477" s="28"/>
      <c r="U33477" s="28"/>
    </row>
    <row r="33478">
      <c r="N33478" s="28"/>
      <c r="O33478" s="28"/>
      <c r="U33478" s="28"/>
    </row>
    <row r="33479">
      <c r="N33479" s="28"/>
      <c r="O33479" s="28"/>
      <c r="U33479" s="28"/>
    </row>
    <row r="33480">
      <c r="N33480" s="28"/>
      <c r="O33480" s="28"/>
      <c r="U33480" s="28"/>
    </row>
    <row r="33481">
      <c r="N33481" s="28"/>
      <c r="O33481" s="28"/>
      <c r="U33481" s="28"/>
    </row>
    <row r="33482">
      <c r="N33482" s="28"/>
      <c r="O33482" s="28"/>
      <c r="U33482" s="28"/>
    </row>
    <row r="33483">
      <c r="N33483" s="28"/>
      <c r="O33483" s="28"/>
      <c r="U33483" s="28"/>
    </row>
    <row r="33484">
      <c r="N33484" s="28"/>
      <c r="O33484" s="28"/>
      <c r="U33484" s="28"/>
    </row>
    <row r="33485">
      <c r="N33485" s="28"/>
      <c r="O33485" s="28"/>
      <c r="U33485" s="28"/>
    </row>
    <row r="33486">
      <c r="N33486" s="28"/>
      <c r="O33486" s="28"/>
      <c r="U33486" s="28"/>
    </row>
    <row r="33487">
      <c r="N33487" s="28"/>
      <c r="O33487" s="28"/>
      <c r="U33487" s="28"/>
    </row>
    <row r="33488">
      <c r="N33488" s="28"/>
      <c r="O33488" s="28"/>
      <c r="U33488" s="28"/>
    </row>
    <row r="33489">
      <c r="N33489" s="28"/>
      <c r="O33489" s="28"/>
      <c r="U33489" s="28"/>
    </row>
    <row r="33490">
      <c r="N33490" s="28"/>
      <c r="O33490" s="28"/>
      <c r="U33490" s="28"/>
    </row>
    <row r="33491">
      <c r="N33491" s="28"/>
      <c r="O33491" s="28"/>
      <c r="U33491" s="28"/>
    </row>
    <row r="33492">
      <c r="N33492" s="28"/>
      <c r="O33492" s="28"/>
      <c r="U33492" s="28"/>
    </row>
    <row r="33493">
      <c r="N33493" s="28"/>
      <c r="O33493" s="28"/>
      <c r="U33493" s="28"/>
    </row>
    <row r="33494">
      <c r="N33494" s="28"/>
      <c r="O33494" s="28"/>
      <c r="U33494" s="28"/>
    </row>
    <row r="33495">
      <c r="N33495" s="28"/>
      <c r="O33495" s="28"/>
      <c r="U33495" s="28"/>
    </row>
    <row r="33496">
      <c r="N33496" s="28"/>
      <c r="O33496" s="28"/>
      <c r="U33496" s="28"/>
    </row>
    <row r="33497">
      <c r="N33497" s="28"/>
      <c r="O33497" s="28"/>
      <c r="U33497" s="28"/>
    </row>
    <row r="33498">
      <c r="N33498" s="28"/>
      <c r="O33498" s="28"/>
      <c r="U33498" s="28"/>
    </row>
    <row r="33499">
      <c r="N33499" s="28"/>
      <c r="O33499" s="28"/>
      <c r="U33499" s="28"/>
    </row>
    <row r="33500">
      <c r="N33500" s="28"/>
      <c r="O33500" s="28"/>
      <c r="U33500" s="28"/>
    </row>
    <row r="33501">
      <c r="N33501" s="28"/>
      <c r="O33501" s="28"/>
      <c r="U33501" s="28"/>
    </row>
    <row r="33502">
      <c r="N33502" s="28"/>
      <c r="O33502" s="28"/>
      <c r="U33502" s="28"/>
    </row>
    <row r="33503">
      <c r="N33503" s="28"/>
      <c r="O33503" s="28"/>
      <c r="U33503" s="28"/>
    </row>
    <row r="33504">
      <c r="N33504" s="28"/>
      <c r="O33504" s="28"/>
      <c r="U33504" s="28"/>
    </row>
    <row r="33505">
      <c r="N33505" s="28"/>
      <c r="O33505" s="28"/>
      <c r="U33505" s="28"/>
    </row>
    <row r="33506">
      <c r="N33506" s="28"/>
      <c r="O33506" s="28"/>
      <c r="U33506" s="28"/>
    </row>
    <row r="33507">
      <c r="N33507" s="28"/>
      <c r="O33507" s="28"/>
      <c r="U33507" s="28"/>
    </row>
    <row r="33508">
      <c r="N33508" s="28"/>
      <c r="O33508" s="28"/>
      <c r="U33508" s="28"/>
    </row>
    <row r="33509">
      <c r="N33509" s="28"/>
      <c r="O33509" s="28"/>
      <c r="U33509" s="28"/>
    </row>
    <row r="33510">
      <c r="N33510" s="28"/>
      <c r="O33510" s="28"/>
      <c r="U33510" s="28"/>
    </row>
    <row r="33511">
      <c r="N33511" s="28"/>
      <c r="O33511" s="28"/>
      <c r="U33511" s="28"/>
    </row>
    <row r="33512">
      <c r="N33512" s="28"/>
      <c r="O33512" s="28"/>
      <c r="U33512" s="28"/>
    </row>
    <row r="33513">
      <c r="N33513" s="28"/>
      <c r="O33513" s="28"/>
      <c r="U33513" s="28"/>
    </row>
    <row r="33514">
      <c r="N33514" s="28"/>
      <c r="O33514" s="28"/>
      <c r="U33514" s="28"/>
    </row>
    <row r="33515">
      <c r="N33515" s="28"/>
      <c r="O33515" s="28"/>
      <c r="U33515" s="28"/>
    </row>
    <row r="33516">
      <c r="N33516" s="28"/>
      <c r="O33516" s="28"/>
      <c r="U33516" s="28"/>
    </row>
    <row r="33517">
      <c r="N33517" s="28"/>
      <c r="O33517" s="28"/>
      <c r="U33517" s="28"/>
    </row>
    <row r="33518">
      <c r="N33518" s="28"/>
      <c r="O33518" s="28"/>
      <c r="U33518" s="28"/>
    </row>
    <row r="33519">
      <c r="N33519" s="28"/>
      <c r="O33519" s="28"/>
      <c r="U33519" s="28"/>
    </row>
    <row r="33520">
      <c r="N33520" s="28"/>
      <c r="O33520" s="28"/>
      <c r="U33520" s="28"/>
    </row>
    <row r="33521">
      <c r="N33521" s="28"/>
      <c r="O33521" s="28"/>
      <c r="U33521" s="28"/>
    </row>
    <row r="33522">
      <c r="N33522" s="28"/>
      <c r="O33522" s="28"/>
      <c r="U33522" s="28"/>
    </row>
    <row r="33523">
      <c r="N33523" s="28"/>
      <c r="O33523" s="28"/>
      <c r="U33523" s="28"/>
    </row>
    <row r="33524">
      <c r="N33524" s="28"/>
      <c r="O33524" s="28"/>
      <c r="U33524" s="28"/>
    </row>
    <row r="33525">
      <c r="N33525" s="28"/>
      <c r="O33525" s="28"/>
      <c r="U33525" s="28"/>
    </row>
    <row r="33526">
      <c r="N33526" s="28"/>
      <c r="O33526" s="28"/>
      <c r="U33526" s="28"/>
    </row>
    <row r="33527">
      <c r="N33527" s="28"/>
      <c r="O33527" s="28"/>
      <c r="U33527" s="28"/>
    </row>
    <row r="33528">
      <c r="N33528" s="28"/>
      <c r="O33528" s="28"/>
      <c r="U33528" s="28"/>
    </row>
    <row r="33529">
      <c r="N33529" s="28"/>
      <c r="O33529" s="28"/>
      <c r="U33529" s="28"/>
    </row>
    <row r="33530">
      <c r="N33530" s="28"/>
      <c r="O33530" s="28"/>
      <c r="U33530" s="28"/>
    </row>
    <row r="33531">
      <c r="N33531" s="28"/>
      <c r="O33531" s="28"/>
      <c r="U33531" s="28"/>
    </row>
    <row r="33532">
      <c r="N33532" s="28"/>
      <c r="O33532" s="28"/>
      <c r="U33532" s="28"/>
    </row>
    <row r="33533">
      <c r="N33533" s="28"/>
      <c r="O33533" s="28"/>
      <c r="U33533" s="28"/>
    </row>
    <row r="33534">
      <c r="N33534" s="28"/>
      <c r="O33534" s="28"/>
      <c r="U33534" s="28"/>
    </row>
    <row r="33535">
      <c r="N33535" s="28"/>
      <c r="O33535" s="28"/>
      <c r="U33535" s="28"/>
    </row>
    <row r="33536">
      <c r="N33536" s="28"/>
      <c r="O33536" s="28"/>
      <c r="U33536" s="28"/>
    </row>
    <row r="33537">
      <c r="N33537" s="28"/>
      <c r="O33537" s="28"/>
      <c r="U33537" s="28"/>
    </row>
    <row r="33538">
      <c r="N33538" s="28"/>
      <c r="O33538" s="28"/>
      <c r="U33538" s="28"/>
    </row>
    <row r="33539">
      <c r="N33539" s="28"/>
      <c r="O33539" s="28"/>
      <c r="U33539" s="28"/>
    </row>
    <row r="33540">
      <c r="N33540" s="28"/>
      <c r="O33540" s="28"/>
      <c r="U33540" s="28"/>
    </row>
    <row r="33541">
      <c r="N33541" s="28"/>
      <c r="O33541" s="28"/>
      <c r="U33541" s="28"/>
    </row>
    <row r="33542">
      <c r="N33542" s="28"/>
      <c r="O33542" s="28"/>
      <c r="U33542" s="28"/>
    </row>
    <row r="33543">
      <c r="N33543" s="28"/>
      <c r="O33543" s="28"/>
      <c r="U33543" s="28"/>
    </row>
    <row r="33544">
      <c r="N33544" s="28"/>
      <c r="O33544" s="28"/>
      <c r="U33544" s="28"/>
    </row>
    <row r="33545">
      <c r="N33545" s="28"/>
      <c r="O33545" s="28"/>
      <c r="U33545" s="28"/>
    </row>
    <row r="33546">
      <c r="N33546" s="28"/>
      <c r="O33546" s="28"/>
      <c r="U33546" s="28"/>
    </row>
    <row r="33547">
      <c r="N33547" s="28"/>
      <c r="O33547" s="28"/>
      <c r="U33547" s="28"/>
    </row>
    <row r="33548">
      <c r="N33548" s="28"/>
      <c r="O33548" s="28"/>
      <c r="U33548" s="28"/>
    </row>
    <row r="33549">
      <c r="N33549" s="28"/>
      <c r="O33549" s="28"/>
      <c r="U33549" s="28"/>
    </row>
    <row r="33550">
      <c r="N33550" s="28"/>
      <c r="O33550" s="28"/>
      <c r="U33550" s="28"/>
    </row>
    <row r="33551">
      <c r="N33551" s="28"/>
      <c r="O33551" s="28"/>
      <c r="U33551" s="28"/>
    </row>
    <row r="33552">
      <c r="N33552" s="28"/>
      <c r="O33552" s="28"/>
      <c r="U33552" s="28"/>
    </row>
    <row r="33553">
      <c r="N33553" s="28"/>
      <c r="O33553" s="28"/>
      <c r="U33553" s="28"/>
    </row>
    <row r="33554">
      <c r="N33554" s="28"/>
      <c r="O33554" s="28"/>
      <c r="U33554" s="28"/>
    </row>
    <row r="33555">
      <c r="N33555" s="28"/>
      <c r="O33555" s="28"/>
      <c r="U33555" s="28"/>
    </row>
    <row r="33556">
      <c r="N33556" s="28"/>
      <c r="O33556" s="28"/>
      <c r="U33556" s="28"/>
    </row>
    <row r="33557">
      <c r="N33557" s="28"/>
      <c r="O33557" s="28"/>
      <c r="U33557" s="28"/>
    </row>
    <row r="33558">
      <c r="N33558" s="28"/>
      <c r="O33558" s="28"/>
      <c r="U33558" s="28"/>
    </row>
    <row r="33559">
      <c r="N33559" s="28"/>
      <c r="O33559" s="28"/>
      <c r="U33559" s="28"/>
    </row>
    <row r="33560">
      <c r="N33560" s="28"/>
      <c r="O33560" s="28"/>
      <c r="U33560" s="28"/>
    </row>
    <row r="33561">
      <c r="N33561" s="28"/>
      <c r="O33561" s="28"/>
      <c r="U33561" s="28"/>
    </row>
    <row r="33562">
      <c r="N33562" s="28"/>
      <c r="O33562" s="28"/>
      <c r="U33562" s="28"/>
    </row>
    <row r="33563">
      <c r="N33563" s="28"/>
      <c r="O33563" s="28"/>
      <c r="U33563" s="28"/>
    </row>
    <row r="33564">
      <c r="N33564" s="28"/>
      <c r="O33564" s="28"/>
      <c r="U33564" s="28"/>
    </row>
    <row r="33565">
      <c r="N33565" s="28"/>
      <c r="O33565" s="28"/>
      <c r="U33565" s="28"/>
    </row>
    <row r="33566">
      <c r="N33566" s="28"/>
      <c r="O33566" s="28"/>
      <c r="U33566" s="28"/>
    </row>
    <row r="33567">
      <c r="N33567" s="28"/>
      <c r="O33567" s="28"/>
      <c r="U33567" s="28"/>
    </row>
    <row r="33568">
      <c r="N33568" s="28"/>
      <c r="O33568" s="28"/>
      <c r="U33568" s="28"/>
    </row>
    <row r="33569">
      <c r="N33569" s="28"/>
      <c r="O33569" s="28"/>
      <c r="U33569" s="28"/>
    </row>
    <row r="33570">
      <c r="N33570" s="28"/>
      <c r="O33570" s="28"/>
      <c r="U33570" s="28"/>
    </row>
    <row r="33571">
      <c r="N33571" s="28"/>
      <c r="O33571" s="28"/>
      <c r="U33571" s="28"/>
    </row>
    <row r="33572">
      <c r="N33572" s="28"/>
      <c r="O33572" s="28"/>
      <c r="U33572" s="28"/>
    </row>
    <row r="33573">
      <c r="N33573" s="28"/>
      <c r="O33573" s="28"/>
      <c r="U33573" s="28"/>
    </row>
    <row r="33574">
      <c r="N33574" s="28"/>
      <c r="O33574" s="28"/>
      <c r="U33574" s="28"/>
    </row>
    <row r="33575">
      <c r="N33575" s="28"/>
      <c r="O33575" s="28"/>
      <c r="U33575" s="28"/>
    </row>
    <row r="33576">
      <c r="N33576" s="28"/>
      <c r="O33576" s="28"/>
      <c r="U33576" s="28"/>
    </row>
    <row r="33577">
      <c r="N33577" s="28"/>
      <c r="O33577" s="28"/>
      <c r="U33577" s="28"/>
    </row>
    <row r="33578">
      <c r="N33578" s="28"/>
      <c r="O33578" s="28"/>
      <c r="U33578" s="28"/>
    </row>
    <row r="33579">
      <c r="N33579" s="28"/>
      <c r="O33579" s="28"/>
      <c r="U33579" s="28"/>
    </row>
    <row r="33580">
      <c r="N33580" s="28"/>
      <c r="O33580" s="28"/>
      <c r="U33580" s="28"/>
    </row>
    <row r="33581">
      <c r="N33581" s="28"/>
      <c r="O33581" s="28"/>
      <c r="U33581" s="28"/>
    </row>
    <row r="33582">
      <c r="N33582" s="28"/>
      <c r="O33582" s="28"/>
      <c r="U33582" s="28"/>
    </row>
    <row r="33583">
      <c r="N33583" s="28"/>
      <c r="O33583" s="28"/>
      <c r="U33583" s="28"/>
    </row>
    <row r="33584">
      <c r="N33584" s="28"/>
      <c r="O33584" s="28"/>
      <c r="U33584" s="28"/>
    </row>
    <row r="33585">
      <c r="N33585" s="28"/>
      <c r="O33585" s="28"/>
      <c r="U33585" s="28"/>
    </row>
    <row r="33586">
      <c r="N33586" s="28"/>
      <c r="O33586" s="28"/>
      <c r="U33586" s="28"/>
    </row>
    <row r="33587">
      <c r="N33587" s="28"/>
      <c r="O33587" s="28"/>
      <c r="U33587" s="28"/>
    </row>
    <row r="33588">
      <c r="N33588" s="28"/>
      <c r="O33588" s="28"/>
      <c r="U33588" s="28"/>
    </row>
    <row r="33589">
      <c r="N33589" s="28"/>
      <c r="O33589" s="28"/>
      <c r="U33589" s="28"/>
    </row>
    <row r="33590">
      <c r="N33590" s="28"/>
      <c r="O33590" s="28"/>
      <c r="U33590" s="28"/>
    </row>
    <row r="33591">
      <c r="N33591" s="28"/>
      <c r="O33591" s="28"/>
      <c r="U33591" s="28"/>
    </row>
    <row r="33592">
      <c r="N33592" s="28"/>
      <c r="O33592" s="28"/>
      <c r="U33592" s="28"/>
    </row>
    <row r="33593">
      <c r="N33593" s="28"/>
      <c r="O33593" s="28"/>
      <c r="U33593" s="28"/>
    </row>
    <row r="33594">
      <c r="N33594" s="28"/>
      <c r="O33594" s="28"/>
      <c r="U33594" s="28"/>
    </row>
    <row r="33595">
      <c r="N33595" s="28"/>
      <c r="O33595" s="28"/>
      <c r="U33595" s="28"/>
    </row>
    <row r="33596">
      <c r="N33596" s="28"/>
      <c r="O33596" s="28"/>
      <c r="U33596" s="28"/>
    </row>
    <row r="33597">
      <c r="N33597" s="28"/>
      <c r="O33597" s="28"/>
      <c r="U33597" s="28"/>
    </row>
    <row r="33598">
      <c r="N33598" s="28"/>
      <c r="O33598" s="28"/>
      <c r="U33598" s="28"/>
    </row>
    <row r="33599">
      <c r="N33599" s="28"/>
      <c r="O33599" s="28"/>
      <c r="U33599" s="28"/>
    </row>
    <row r="33600">
      <c r="N33600" s="28"/>
      <c r="O33600" s="28"/>
      <c r="U33600" s="28"/>
    </row>
    <row r="33601">
      <c r="N33601" s="28"/>
      <c r="O33601" s="28"/>
      <c r="U33601" s="28"/>
    </row>
    <row r="33602">
      <c r="N33602" s="28"/>
      <c r="O33602" s="28"/>
      <c r="U33602" s="28"/>
    </row>
    <row r="33603">
      <c r="N33603" s="28"/>
      <c r="O33603" s="28"/>
      <c r="U33603" s="28"/>
    </row>
    <row r="33604">
      <c r="N33604" s="28"/>
      <c r="O33604" s="28"/>
      <c r="U33604" s="28"/>
    </row>
    <row r="33605">
      <c r="N33605" s="28"/>
      <c r="O33605" s="28"/>
      <c r="U33605" s="28"/>
    </row>
    <row r="33606">
      <c r="N33606" s="28"/>
      <c r="O33606" s="28"/>
      <c r="U33606" s="28"/>
    </row>
    <row r="33607">
      <c r="N33607" s="28"/>
      <c r="O33607" s="28"/>
      <c r="U33607" s="28"/>
    </row>
    <row r="33608">
      <c r="N33608" s="28"/>
      <c r="O33608" s="28"/>
      <c r="U33608" s="28"/>
    </row>
    <row r="33609">
      <c r="N33609" s="28"/>
      <c r="O33609" s="28"/>
      <c r="U33609" s="28"/>
    </row>
    <row r="33610">
      <c r="N33610" s="28"/>
      <c r="O33610" s="28"/>
      <c r="U33610" s="28"/>
    </row>
    <row r="33611">
      <c r="N33611" s="28"/>
      <c r="O33611" s="28"/>
      <c r="U33611" s="28"/>
    </row>
    <row r="33612">
      <c r="N33612" s="28"/>
      <c r="O33612" s="28"/>
      <c r="U33612" s="28"/>
    </row>
    <row r="33613">
      <c r="N33613" s="28"/>
      <c r="O33613" s="28"/>
      <c r="U33613" s="28"/>
    </row>
    <row r="33614">
      <c r="N33614" s="28"/>
      <c r="O33614" s="28"/>
      <c r="U33614" s="28"/>
    </row>
    <row r="33615">
      <c r="N33615" s="28"/>
      <c r="O33615" s="28"/>
      <c r="U33615" s="28"/>
    </row>
    <row r="33616">
      <c r="N33616" s="28"/>
      <c r="O33616" s="28"/>
      <c r="U33616" s="28"/>
    </row>
    <row r="33617">
      <c r="N33617" s="28"/>
      <c r="O33617" s="28"/>
      <c r="U33617" s="28"/>
    </row>
    <row r="33618">
      <c r="N33618" s="28"/>
      <c r="O33618" s="28"/>
      <c r="U33618" s="28"/>
    </row>
    <row r="33619">
      <c r="N33619" s="28"/>
      <c r="O33619" s="28"/>
      <c r="U33619" s="28"/>
    </row>
    <row r="33620">
      <c r="N33620" s="28"/>
      <c r="O33620" s="28"/>
      <c r="U33620" s="28"/>
    </row>
    <row r="33621">
      <c r="N33621" s="28"/>
      <c r="O33621" s="28"/>
      <c r="U33621" s="28"/>
    </row>
    <row r="33622">
      <c r="N33622" s="28"/>
      <c r="O33622" s="28"/>
      <c r="U33622" s="28"/>
    </row>
    <row r="33623">
      <c r="N33623" s="28"/>
      <c r="O33623" s="28"/>
      <c r="U33623" s="28"/>
    </row>
    <row r="33624">
      <c r="N33624" s="28"/>
      <c r="O33624" s="28"/>
      <c r="U33624" s="28"/>
    </row>
    <row r="33625">
      <c r="N33625" s="28"/>
      <c r="O33625" s="28"/>
      <c r="U33625" s="28"/>
    </row>
    <row r="33626">
      <c r="N33626" s="28"/>
      <c r="O33626" s="28"/>
      <c r="U33626" s="28"/>
    </row>
    <row r="33627">
      <c r="N33627" s="28"/>
      <c r="O33627" s="28"/>
      <c r="U33627" s="28"/>
    </row>
    <row r="33628">
      <c r="N33628" s="28"/>
      <c r="O33628" s="28"/>
      <c r="U33628" s="28"/>
    </row>
    <row r="33629">
      <c r="N33629" s="28"/>
      <c r="O33629" s="28"/>
      <c r="U33629" s="28"/>
    </row>
    <row r="33630">
      <c r="N33630" s="28"/>
      <c r="O33630" s="28"/>
      <c r="U33630" s="28"/>
    </row>
    <row r="33631">
      <c r="N33631" s="28"/>
      <c r="O33631" s="28"/>
      <c r="U33631" s="28"/>
    </row>
    <row r="33632">
      <c r="N33632" s="28"/>
      <c r="O33632" s="28"/>
      <c r="U33632" s="28"/>
    </row>
    <row r="33633">
      <c r="N33633" s="28"/>
      <c r="O33633" s="28"/>
      <c r="U33633" s="28"/>
    </row>
    <row r="33634">
      <c r="N33634" s="28"/>
      <c r="O33634" s="28"/>
      <c r="U33634" s="28"/>
    </row>
    <row r="33635">
      <c r="N33635" s="28"/>
      <c r="O33635" s="28"/>
      <c r="U33635" s="28"/>
    </row>
    <row r="33636">
      <c r="N33636" s="28"/>
      <c r="O33636" s="28"/>
      <c r="U33636" s="28"/>
    </row>
    <row r="33637">
      <c r="N33637" s="28"/>
      <c r="O33637" s="28"/>
      <c r="U33637" s="28"/>
    </row>
    <row r="33638">
      <c r="N33638" s="28"/>
      <c r="O33638" s="28"/>
      <c r="U33638" s="28"/>
    </row>
    <row r="33639">
      <c r="N33639" s="28"/>
      <c r="O33639" s="28"/>
      <c r="U33639" s="28"/>
    </row>
    <row r="33640">
      <c r="N33640" s="28"/>
      <c r="O33640" s="28"/>
      <c r="U33640" s="28"/>
    </row>
    <row r="33641">
      <c r="N33641" s="28"/>
      <c r="O33641" s="28"/>
      <c r="U33641" s="28"/>
    </row>
    <row r="33642">
      <c r="N33642" s="28"/>
      <c r="O33642" s="28"/>
      <c r="U33642" s="28"/>
    </row>
    <row r="33643">
      <c r="N33643" s="28"/>
      <c r="O33643" s="28"/>
      <c r="U33643" s="28"/>
    </row>
    <row r="33644">
      <c r="N33644" s="28"/>
      <c r="O33644" s="28"/>
      <c r="U33644" s="28"/>
    </row>
    <row r="33645">
      <c r="N33645" s="28"/>
      <c r="O33645" s="28"/>
      <c r="U33645" s="28"/>
    </row>
    <row r="33646">
      <c r="N33646" s="28"/>
      <c r="O33646" s="28"/>
      <c r="U33646" s="28"/>
    </row>
    <row r="33647">
      <c r="N33647" s="28"/>
      <c r="O33647" s="28"/>
      <c r="U33647" s="28"/>
    </row>
    <row r="33648">
      <c r="N33648" s="28"/>
      <c r="O33648" s="28"/>
      <c r="U33648" s="28"/>
    </row>
    <row r="33649">
      <c r="N33649" s="28"/>
      <c r="O33649" s="28"/>
      <c r="U33649" s="28"/>
    </row>
    <row r="33650">
      <c r="N33650" s="28"/>
      <c r="O33650" s="28"/>
      <c r="U33650" s="28"/>
    </row>
    <row r="33651">
      <c r="N33651" s="28"/>
      <c r="O33651" s="28"/>
      <c r="U33651" s="28"/>
    </row>
    <row r="33652">
      <c r="N33652" s="28"/>
      <c r="O33652" s="28"/>
      <c r="U33652" s="28"/>
    </row>
    <row r="33653">
      <c r="N33653" s="28"/>
      <c r="O33653" s="28"/>
      <c r="U33653" s="28"/>
    </row>
    <row r="33654">
      <c r="N33654" s="28"/>
      <c r="O33654" s="28"/>
      <c r="U33654" s="28"/>
    </row>
    <row r="33655">
      <c r="N33655" s="28"/>
      <c r="O33655" s="28"/>
      <c r="U33655" s="28"/>
    </row>
    <row r="33656">
      <c r="N33656" s="28"/>
      <c r="O33656" s="28"/>
      <c r="U33656" s="28"/>
    </row>
    <row r="33657">
      <c r="N33657" s="28"/>
      <c r="O33657" s="28"/>
      <c r="U33657" s="28"/>
    </row>
    <row r="33658">
      <c r="N33658" s="28"/>
      <c r="O33658" s="28"/>
      <c r="U33658" s="28"/>
    </row>
    <row r="33659">
      <c r="N33659" s="28"/>
      <c r="O33659" s="28"/>
      <c r="U33659" s="28"/>
    </row>
    <row r="33660">
      <c r="N33660" s="28"/>
      <c r="O33660" s="28"/>
      <c r="U33660" s="28"/>
    </row>
    <row r="33661">
      <c r="N33661" s="28"/>
      <c r="O33661" s="28"/>
      <c r="U33661" s="28"/>
    </row>
    <row r="33662">
      <c r="N33662" s="28"/>
      <c r="O33662" s="28"/>
      <c r="U33662" s="28"/>
    </row>
    <row r="33663">
      <c r="N33663" s="28"/>
      <c r="O33663" s="28"/>
      <c r="U33663" s="28"/>
    </row>
    <row r="33664">
      <c r="N33664" s="28"/>
      <c r="O33664" s="28"/>
      <c r="U33664" s="28"/>
    </row>
    <row r="33665">
      <c r="N33665" s="28"/>
      <c r="O33665" s="28"/>
      <c r="U33665" s="28"/>
    </row>
    <row r="33666">
      <c r="N33666" s="28"/>
      <c r="O33666" s="28"/>
      <c r="U33666" s="28"/>
    </row>
    <row r="33667">
      <c r="N33667" s="28"/>
      <c r="O33667" s="28"/>
      <c r="U33667" s="28"/>
    </row>
    <row r="33668">
      <c r="N33668" s="28"/>
      <c r="O33668" s="28"/>
      <c r="U33668" s="28"/>
    </row>
    <row r="33669">
      <c r="N33669" s="28"/>
      <c r="O33669" s="28"/>
      <c r="U33669" s="28"/>
    </row>
    <row r="33670">
      <c r="N33670" s="28"/>
      <c r="O33670" s="28"/>
      <c r="U33670" s="28"/>
    </row>
    <row r="33671">
      <c r="N33671" s="28"/>
      <c r="O33671" s="28"/>
      <c r="U33671" s="28"/>
    </row>
    <row r="33672">
      <c r="N33672" s="28"/>
      <c r="O33672" s="28"/>
      <c r="U33672" s="28"/>
    </row>
    <row r="33673">
      <c r="N33673" s="28"/>
      <c r="O33673" s="28"/>
      <c r="U33673" s="28"/>
    </row>
    <row r="33674">
      <c r="N33674" s="28"/>
      <c r="O33674" s="28"/>
      <c r="U33674" s="28"/>
    </row>
    <row r="33675">
      <c r="N33675" s="28"/>
      <c r="O33675" s="28"/>
      <c r="U33675" s="28"/>
    </row>
    <row r="33676">
      <c r="N33676" s="28"/>
      <c r="O33676" s="28"/>
      <c r="U33676" s="28"/>
    </row>
    <row r="33677">
      <c r="N33677" s="28"/>
      <c r="O33677" s="28"/>
      <c r="U33677" s="28"/>
    </row>
    <row r="33678">
      <c r="N33678" s="28"/>
      <c r="O33678" s="28"/>
      <c r="U33678" s="28"/>
    </row>
    <row r="33679">
      <c r="N33679" s="28"/>
      <c r="O33679" s="28"/>
      <c r="U33679" s="28"/>
    </row>
    <row r="33680">
      <c r="N33680" s="28"/>
      <c r="O33680" s="28"/>
      <c r="U33680" s="28"/>
    </row>
    <row r="33681">
      <c r="N33681" s="28"/>
      <c r="O33681" s="28"/>
      <c r="U33681" s="28"/>
    </row>
    <row r="33682">
      <c r="N33682" s="28"/>
      <c r="O33682" s="28"/>
      <c r="U33682" s="28"/>
    </row>
    <row r="33683">
      <c r="N33683" s="28"/>
      <c r="O33683" s="28"/>
      <c r="U33683" s="28"/>
    </row>
    <row r="33684">
      <c r="N33684" s="28"/>
      <c r="O33684" s="28"/>
      <c r="U33684" s="28"/>
    </row>
    <row r="33685">
      <c r="N33685" s="28"/>
      <c r="O33685" s="28"/>
      <c r="U33685" s="28"/>
    </row>
    <row r="33686">
      <c r="N33686" s="28"/>
      <c r="O33686" s="28"/>
      <c r="U33686" s="28"/>
    </row>
    <row r="33687">
      <c r="N33687" s="28"/>
      <c r="O33687" s="28"/>
      <c r="U33687" s="28"/>
    </row>
    <row r="33688">
      <c r="N33688" s="28"/>
      <c r="O33688" s="28"/>
      <c r="U33688" s="28"/>
    </row>
    <row r="33689">
      <c r="N33689" s="28"/>
      <c r="O33689" s="28"/>
      <c r="U33689" s="28"/>
    </row>
    <row r="33690">
      <c r="N33690" s="28"/>
      <c r="O33690" s="28"/>
      <c r="U33690" s="28"/>
    </row>
    <row r="33691">
      <c r="N33691" s="28"/>
      <c r="O33691" s="28"/>
      <c r="U33691" s="28"/>
    </row>
    <row r="33692">
      <c r="N33692" s="28"/>
      <c r="O33692" s="28"/>
      <c r="U33692" s="28"/>
    </row>
    <row r="33693">
      <c r="N33693" s="28"/>
      <c r="O33693" s="28"/>
      <c r="U33693" s="28"/>
    </row>
    <row r="33694">
      <c r="N33694" s="28"/>
      <c r="O33694" s="28"/>
      <c r="U33694" s="28"/>
    </row>
    <row r="33695">
      <c r="N33695" s="28"/>
      <c r="O33695" s="28"/>
      <c r="U33695" s="28"/>
    </row>
    <row r="33696">
      <c r="N33696" s="28"/>
      <c r="O33696" s="28"/>
      <c r="U33696" s="28"/>
    </row>
    <row r="33697">
      <c r="N33697" s="28"/>
      <c r="O33697" s="28"/>
      <c r="U33697" s="28"/>
    </row>
    <row r="33698">
      <c r="N33698" s="28"/>
      <c r="O33698" s="28"/>
      <c r="U33698" s="28"/>
    </row>
    <row r="33699">
      <c r="N33699" s="28"/>
      <c r="O33699" s="28"/>
      <c r="U33699" s="28"/>
    </row>
    <row r="33700">
      <c r="N33700" s="28"/>
      <c r="O33700" s="28"/>
      <c r="U33700" s="28"/>
    </row>
    <row r="33701">
      <c r="N33701" s="28"/>
      <c r="O33701" s="28"/>
      <c r="U33701" s="28"/>
    </row>
    <row r="33702">
      <c r="N33702" s="28"/>
      <c r="O33702" s="28"/>
      <c r="U33702" s="28"/>
    </row>
    <row r="33703">
      <c r="N33703" s="28"/>
      <c r="O33703" s="28"/>
      <c r="U33703" s="28"/>
    </row>
    <row r="33704">
      <c r="N33704" s="28"/>
      <c r="O33704" s="28"/>
      <c r="U33704" s="28"/>
    </row>
    <row r="33705">
      <c r="N33705" s="28"/>
      <c r="O33705" s="28"/>
      <c r="U33705" s="28"/>
    </row>
    <row r="33706">
      <c r="N33706" s="28"/>
      <c r="O33706" s="28"/>
      <c r="U33706" s="28"/>
    </row>
    <row r="33707">
      <c r="N33707" s="28"/>
      <c r="O33707" s="28"/>
      <c r="U33707" s="28"/>
    </row>
    <row r="33708">
      <c r="N33708" s="28"/>
      <c r="O33708" s="28"/>
      <c r="U33708" s="28"/>
    </row>
    <row r="33709">
      <c r="N33709" s="28"/>
      <c r="O33709" s="28"/>
      <c r="U33709" s="28"/>
    </row>
    <row r="33710">
      <c r="N33710" s="28"/>
      <c r="O33710" s="28"/>
      <c r="U33710" s="28"/>
    </row>
    <row r="33711">
      <c r="N33711" s="28"/>
      <c r="O33711" s="28"/>
      <c r="U33711" s="28"/>
    </row>
    <row r="33712">
      <c r="N33712" s="28"/>
      <c r="O33712" s="28"/>
      <c r="U33712" s="28"/>
    </row>
    <row r="33713">
      <c r="N33713" s="28"/>
      <c r="O33713" s="28"/>
      <c r="U33713" s="28"/>
    </row>
    <row r="33714">
      <c r="N33714" s="28"/>
      <c r="O33714" s="28"/>
      <c r="U33714" s="28"/>
    </row>
    <row r="33715">
      <c r="N33715" s="28"/>
      <c r="O33715" s="28"/>
      <c r="U33715" s="28"/>
    </row>
    <row r="33716">
      <c r="N33716" s="28"/>
      <c r="O33716" s="28"/>
      <c r="U33716" s="28"/>
    </row>
    <row r="33717">
      <c r="N33717" s="28"/>
      <c r="O33717" s="28"/>
      <c r="U33717" s="28"/>
    </row>
    <row r="33718">
      <c r="N33718" s="28"/>
      <c r="O33718" s="28"/>
      <c r="U33718" s="28"/>
    </row>
    <row r="33719">
      <c r="N33719" s="28"/>
      <c r="O33719" s="28"/>
      <c r="U33719" s="28"/>
    </row>
    <row r="33720">
      <c r="N33720" s="28"/>
      <c r="O33720" s="28"/>
      <c r="U33720" s="28"/>
    </row>
    <row r="33721">
      <c r="N33721" s="28"/>
      <c r="O33721" s="28"/>
      <c r="U33721" s="28"/>
    </row>
    <row r="33722">
      <c r="N33722" s="28"/>
      <c r="O33722" s="28"/>
      <c r="U33722" s="28"/>
    </row>
    <row r="33723">
      <c r="N33723" s="28"/>
      <c r="O33723" s="28"/>
      <c r="U33723" s="28"/>
    </row>
    <row r="33724">
      <c r="N33724" s="28"/>
      <c r="O33724" s="28"/>
      <c r="U33724" s="28"/>
    </row>
    <row r="33725">
      <c r="N33725" s="28"/>
      <c r="O33725" s="28"/>
      <c r="U33725" s="28"/>
    </row>
    <row r="33726">
      <c r="N33726" s="28"/>
      <c r="O33726" s="28"/>
      <c r="U33726" s="28"/>
    </row>
    <row r="33727">
      <c r="N33727" s="28"/>
      <c r="O33727" s="28"/>
      <c r="U33727" s="28"/>
    </row>
    <row r="33728">
      <c r="N33728" s="28"/>
      <c r="O33728" s="28"/>
      <c r="U33728" s="28"/>
    </row>
    <row r="33729">
      <c r="N33729" s="28"/>
      <c r="O33729" s="28"/>
      <c r="U33729" s="28"/>
    </row>
    <row r="33730">
      <c r="N33730" s="28"/>
      <c r="O33730" s="28"/>
      <c r="U33730" s="28"/>
    </row>
    <row r="33731">
      <c r="N33731" s="28"/>
      <c r="O33731" s="28"/>
      <c r="U33731" s="28"/>
    </row>
    <row r="33732">
      <c r="N33732" s="28"/>
      <c r="O33732" s="28"/>
      <c r="U33732" s="28"/>
    </row>
    <row r="33733">
      <c r="N33733" s="28"/>
      <c r="O33733" s="28"/>
      <c r="U33733" s="28"/>
    </row>
    <row r="33734">
      <c r="N33734" s="28"/>
      <c r="O33734" s="28"/>
      <c r="U33734" s="28"/>
    </row>
    <row r="33735">
      <c r="N33735" s="28"/>
      <c r="O33735" s="28"/>
      <c r="U33735" s="28"/>
    </row>
    <row r="33736">
      <c r="N33736" s="28"/>
      <c r="O33736" s="28"/>
      <c r="U33736" s="28"/>
    </row>
    <row r="33737">
      <c r="N33737" s="28"/>
      <c r="O33737" s="28"/>
      <c r="U33737" s="28"/>
    </row>
    <row r="33738">
      <c r="N33738" s="28"/>
      <c r="O33738" s="28"/>
      <c r="U33738" s="28"/>
    </row>
    <row r="33739">
      <c r="N33739" s="28"/>
      <c r="O33739" s="28"/>
      <c r="U33739" s="28"/>
    </row>
    <row r="33740">
      <c r="N33740" s="28"/>
      <c r="O33740" s="28"/>
      <c r="U33740" s="28"/>
    </row>
    <row r="33741">
      <c r="N33741" s="28"/>
      <c r="O33741" s="28"/>
      <c r="U33741" s="28"/>
    </row>
    <row r="33742">
      <c r="N33742" s="28"/>
      <c r="O33742" s="28"/>
      <c r="U33742" s="28"/>
    </row>
    <row r="33743">
      <c r="N33743" s="28"/>
      <c r="O33743" s="28"/>
      <c r="U33743" s="28"/>
    </row>
    <row r="33744">
      <c r="N33744" s="28"/>
      <c r="O33744" s="28"/>
      <c r="U33744" s="28"/>
    </row>
    <row r="33745">
      <c r="N33745" s="28"/>
      <c r="O33745" s="28"/>
      <c r="U33745" s="28"/>
    </row>
    <row r="33746">
      <c r="N33746" s="28"/>
      <c r="O33746" s="28"/>
      <c r="U33746" s="28"/>
    </row>
    <row r="33747">
      <c r="N33747" s="28"/>
      <c r="O33747" s="28"/>
      <c r="U33747" s="28"/>
    </row>
    <row r="33748">
      <c r="N33748" s="28"/>
      <c r="O33748" s="28"/>
      <c r="U33748" s="28"/>
    </row>
    <row r="33749">
      <c r="N33749" s="28"/>
      <c r="O33749" s="28"/>
      <c r="U33749" s="28"/>
    </row>
    <row r="33750">
      <c r="N33750" s="28"/>
      <c r="O33750" s="28"/>
      <c r="U33750" s="28"/>
    </row>
    <row r="33751">
      <c r="N33751" s="28"/>
      <c r="O33751" s="28"/>
      <c r="U33751" s="28"/>
    </row>
    <row r="33752">
      <c r="N33752" s="28"/>
      <c r="O33752" s="28"/>
      <c r="U33752" s="28"/>
    </row>
    <row r="33753">
      <c r="N33753" s="28"/>
      <c r="O33753" s="28"/>
      <c r="U33753" s="28"/>
    </row>
    <row r="33754">
      <c r="N33754" s="28"/>
      <c r="O33754" s="28"/>
      <c r="U33754" s="28"/>
    </row>
    <row r="33755">
      <c r="N33755" s="28"/>
      <c r="O33755" s="28"/>
      <c r="U33755" s="28"/>
    </row>
    <row r="33756">
      <c r="N33756" s="28"/>
      <c r="O33756" s="28"/>
      <c r="U33756" s="28"/>
    </row>
    <row r="33757">
      <c r="N33757" s="28"/>
      <c r="O33757" s="28"/>
      <c r="U33757" s="28"/>
    </row>
    <row r="33758">
      <c r="N33758" s="28"/>
      <c r="O33758" s="28"/>
      <c r="U33758" s="28"/>
    </row>
    <row r="33759">
      <c r="N33759" s="28"/>
      <c r="O33759" s="28"/>
      <c r="U33759" s="28"/>
    </row>
    <row r="33760">
      <c r="N33760" s="28"/>
      <c r="O33760" s="28"/>
      <c r="U33760" s="28"/>
    </row>
    <row r="33761">
      <c r="N33761" s="28"/>
      <c r="O33761" s="28"/>
      <c r="U33761" s="28"/>
    </row>
    <row r="33762">
      <c r="N33762" s="28"/>
      <c r="O33762" s="28"/>
      <c r="U33762" s="28"/>
    </row>
    <row r="33763">
      <c r="N33763" s="28"/>
      <c r="O33763" s="28"/>
      <c r="U33763" s="28"/>
    </row>
    <row r="33764">
      <c r="N33764" s="28"/>
      <c r="O33764" s="28"/>
      <c r="U33764" s="28"/>
    </row>
    <row r="33765">
      <c r="N33765" s="28"/>
      <c r="O33765" s="28"/>
      <c r="U33765" s="28"/>
    </row>
    <row r="33766">
      <c r="N33766" s="28"/>
      <c r="O33766" s="28"/>
      <c r="U33766" s="28"/>
    </row>
    <row r="33767">
      <c r="N33767" s="28"/>
      <c r="O33767" s="28"/>
      <c r="U33767" s="28"/>
    </row>
    <row r="33768">
      <c r="N33768" s="28"/>
      <c r="O33768" s="28"/>
      <c r="U33768" s="28"/>
    </row>
    <row r="33769">
      <c r="N33769" s="28"/>
      <c r="O33769" s="28"/>
      <c r="U33769" s="28"/>
    </row>
    <row r="33770">
      <c r="N33770" s="28"/>
      <c r="O33770" s="28"/>
      <c r="U33770" s="28"/>
    </row>
    <row r="33771">
      <c r="N33771" s="28"/>
      <c r="O33771" s="28"/>
      <c r="U33771" s="28"/>
    </row>
    <row r="33772">
      <c r="N33772" s="28"/>
      <c r="O33772" s="28"/>
      <c r="U33772" s="28"/>
    </row>
    <row r="33773">
      <c r="N33773" s="28"/>
      <c r="O33773" s="28"/>
      <c r="U33773" s="28"/>
    </row>
    <row r="33774">
      <c r="N33774" s="28"/>
      <c r="O33774" s="28"/>
      <c r="U33774" s="28"/>
    </row>
    <row r="33775">
      <c r="N33775" s="28"/>
      <c r="O33775" s="28"/>
      <c r="U33775" s="28"/>
    </row>
    <row r="33776">
      <c r="N33776" s="28"/>
      <c r="O33776" s="28"/>
      <c r="U33776" s="28"/>
    </row>
    <row r="33777">
      <c r="N33777" s="28"/>
      <c r="O33777" s="28"/>
      <c r="U33777" s="28"/>
    </row>
    <row r="33778">
      <c r="N33778" s="28"/>
      <c r="O33778" s="28"/>
      <c r="U33778" s="28"/>
    </row>
    <row r="33779">
      <c r="N33779" s="28"/>
      <c r="O33779" s="28"/>
      <c r="U33779" s="28"/>
    </row>
    <row r="33780">
      <c r="N33780" s="28"/>
      <c r="O33780" s="28"/>
      <c r="U33780" s="28"/>
    </row>
    <row r="33781">
      <c r="N33781" s="28"/>
      <c r="O33781" s="28"/>
      <c r="U33781" s="28"/>
    </row>
    <row r="33782">
      <c r="N33782" s="28"/>
      <c r="O33782" s="28"/>
      <c r="U33782" s="28"/>
    </row>
    <row r="33783">
      <c r="N33783" s="28"/>
      <c r="O33783" s="28"/>
      <c r="U33783" s="28"/>
    </row>
    <row r="33784">
      <c r="N33784" s="28"/>
      <c r="O33784" s="28"/>
      <c r="U33784" s="28"/>
    </row>
    <row r="33785">
      <c r="N33785" s="28"/>
      <c r="O33785" s="28"/>
      <c r="U33785" s="28"/>
    </row>
    <row r="33786">
      <c r="N33786" s="28"/>
      <c r="O33786" s="28"/>
      <c r="U33786" s="28"/>
    </row>
    <row r="33787">
      <c r="N33787" s="28"/>
      <c r="O33787" s="28"/>
      <c r="U33787" s="28"/>
    </row>
    <row r="33788">
      <c r="N33788" s="28"/>
      <c r="O33788" s="28"/>
      <c r="U33788" s="28"/>
    </row>
    <row r="33789">
      <c r="N33789" s="28"/>
      <c r="O33789" s="28"/>
      <c r="U33789" s="28"/>
    </row>
    <row r="33790">
      <c r="N33790" s="28"/>
      <c r="O33790" s="28"/>
      <c r="U33790" s="28"/>
    </row>
    <row r="33791">
      <c r="N33791" s="28"/>
      <c r="O33791" s="28"/>
      <c r="U33791" s="28"/>
    </row>
    <row r="33792">
      <c r="N33792" s="28"/>
      <c r="O33792" s="28"/>
      <c r="U33792" s="28"/>
    </row>
    <row r="33793">
      <c r="N33793" s="28"/>
      <c r="O33793" s="28"/>
      <c r="U33793" s="28"/>
    </row>
    <row r="33794">
      <c r="N33794" s="28"/>
      <c r="O33794" s="28"/>
      <c r="U33794" s="28"/>
    </row>
    <row r="33795">
      <c r="N33795" s="28"/>
      <c r="O33795" s="28"/>
      <c r="U33795" s="28"/>
    </row>
    <row r="33796">
      <c r="N33796" s="28"/>
      <c r="O33796" s="28"/>
      <c r="U33796" s="28"/>
    </row>
    <row r="33797">
      <c r="N33797" s="28"/>
      <c r="O33797" s="28"/>
      <c r="U33797" s="28"/>
    </row>
    <row r="33798">
      <c r="N33798" s="28"/>
      <c r="O33798" s="28"/>
      <c r="U33798" s="28"/>
    </row>
    <row r="33799">
      <c r="N33799" s="28"/>
      <c r="O33799" s="28"/>
      <c r="U33799" s="28"/>
    </row>
    <row r="33800">
      <c r="N33800" s="28"/>
      <c r="O33800" s="28"/>
      <c r="U33800" s="28"/>
    </row>
    <row r="33801">
      <c r="N33801" s="28"/>
      <c r="O33801" s="28"/>
      <c r="U33801" s="28"/>
    </row>
    <row r="33802">
      <c r="N33802" s="28"/>
      <c r="O33802" s="28"/>
      <c r="U33802" s="28"/>
    </row>
    <row r="33803">
      <c r="N33803" s="28"/>
      <c r="O33803" s="28"/>
      <c r="U33803" s="28"/>
    </row>
    <row r="33804">
      <c r="N33804" s="28"/>
      <c r="O33804" s="28"/>
      <c r="U33804" s="28"/>
    </row>
    <row r="33805">
      <c r="N33805" s="28"/>
      <c r="O33805" s="28"/>
      <c r="U33805" s="28"/>
    </row>
    <row r="33806">
      <c r="N33806" s="28"/>
      <c r="O33806" s="28"/>
      <c r="U33806" s="28"/>
    </row>
    <row r="33807">
      <c r="N33807" s="28"/>
      <c r="O33807" s="28"/>
      <c r="U33807" s="28"/>
    </row>
    <row r="33808">
      <c r="N33808" s="28"/>
      <c r="O33808" s="28"/>
      <c r="U33808" s="28"/>
    </row>
    <row r="33809">
      <c r="N33809" s="28"/>
      <c r="O33809" s="28"/>
      <c r="U33809" s="28"/>
    </row>
    <row r="33810">
      <c r="N33810" s="28"/>
      <c r="O33810" s="28"/>
      <c r="U33810" s="28"/>
    </row>
    <row r="33811">
      <c r="N33811" s="28"/>
      <c r="O33811" s="28"/>
      <c r="U33811" s="28"/>
    </row>
    <row r="33812">
      <c r="N33812" s="28"/>
      <c r="O33812" s="28"/>
      <c r="U33812" s="28"/>
    </row>
    <row r="33813">
      <c r="N33813" s="28"/>
      <c r="O33813" s="28"/>
      <c r="U33813" s="28"/>
    </row>
    <row r="33814">
      <c r="N33814" s="28"/>
      <c r="O33814" s="28"/>
      <c r="U33814" s="28"/>
    </row>
    <row r="33815">
      <c r="N33815" s="28"/>
      <c r="O33815" s="28"/>
      <c r="U33815" s="28"/>
    </row>
    <row r="33816">
      <c r="N33816" s="28"/>
      <c r="O33816" s="28"/>
      <c r="U33816" s="28"/>
    </row>
    <row r="33817">
      <c r="N33817" s="28"/>
      <c r="O33817" s="28"/>
      <c r="U33817" s="28"/>
    </row>
    <row r="33818">
      <c r="N33818" s="28"/>
      <c r="O33818" s="28"/>
      <c r="U33818" s="28"/>
    </row>
    <row r="33819">
      <c r="N33819" s="28"/>
      <c r="O33819" s="28"/>
      <c r="U33819" s="28"/>
    </row>
    <row r="33820">
      <c r="N33820" s="28"/>
      <c r="O33820" s="28"/>
      <c r="U33820" s="28"/>
    </row>
    <row r="33821">
      <c r="N33821" s="28"/>
      <c r="O33821" s="28"/>
      <c r="U33821" s="28"/>
    </row>
    <row r="33822">
      <c r="N33822" s="28"/>
      <c r="O33822" s="28"/>
      <c r="U33822" s="28"/>
    </row>
    <row r="33823">
      <c r="N33823" s="28"/>
      <c r="O33823" s="28"/>
      <c r="U33823" s="28"/>
    </row>
    <row r="33824">
      <c r="N33824" s="28"/>
      <c r="O33824" s="28"/>
      <c r="U33824" s="28"/>
    </row>
    <row r="33825">
      <c r="N33825" s="28"/>
      <c r="O33825" s="28"/>
      <c r="U33825" s="28"/>
    </row>
    <row r="33826">
      <c r="N33826" s="28"/>
      <c r="O33826" s="28"/>
      <c r="U33826" s="28"/>
    </row>
    <row r="33827">
      <c r="N33827" s="28"/>
      <c r="O33827" s="28"/>
      <c r="U33827" s="28"/>
    </row>
    <row r="33828">
      <c r="N33828" s="28"/>
      <c r="O33828" s="28"/>
      <c r="U33828" s="28"/>
    </row>
    <row r="33829">
      <c r="N33829" s="28"/>
      <c r="O33829" s="28"/>
      <c r="U33829" s="28"/>
    </row>
    <row r="33830">
      <c r="N33830" s="28"/>
      <c r="O33830" s="28"/>
      <c r="U33830" s="28"/>
    </row>
    <row r="33831">
      <c r="N33831" s="28"/>
      <c r="O33831" s="28"/>
      <c r="U33831" s="28"/>
    </row>
    <row r="33832">
      <c r="N33832" s="28"/>
      <c r="O33832" s="28"/>
      <c r="U33832" s="28"/>
    </row>
    <row r="33833">
      <c r="N33833" s="28"/>
      <c r="O33833" s="28"/>
      <c r="U33833" s="28"/>
    </row>
    <row r="33834">
      <c r="N33834" s="28"/>
      <c r="O33834" s="28"/>
      <c r="U33834" s="28"/>
    </row>
    <row r="33835">
      <c r="N33835" s="28"/>
      <c r="O33835" s="28"/>
      <c r="U33835" s="28"/>
    </row>
    <row r="33836">
      <c r="N33836" s="28"/>
      <c r="O33836" s="28"/>
      <c r="U33836" s="28"/>
    </row>
    <row r="33837">
      <c r="N33837" s="28"/>
      <c r="O33837" s="28"/>
      <c r="U33837" s="28"/>
    </row>
    <row r="33838">
      <c r="N33838" s="28"/>
      <c r="O33838" s="28"/>
      <c r="U33838" s="28"/>
    </row>
    <row r="33839">
      <c r="N33839" s="28"/>
      <c r="O33839" s="28"/>
      <c r="U33839" s="28"/>
    </row>
    <row r="33840">
      <c r="N33840" s="28"/>
      <c r="O33840" s="28"/>
      <c r="U33840" s="28"/>
    </row>
    <row r="33841">
      <c r="N33841" s="28"/>
      <c r="O33841" s="28"/>
      <c r="U33841" s="28"/>
    </row>
    <row r="33842">
      <c r="N33842" s="28"/>
      <c r="O33842" s="28"/>
      <c r="U33842" s="28"/>
    </row>
    <row r="33843">
      <c r="N33843" s="28"/>
      <c r="O33843" s="28"/>
      <c r="U33843" s="28"/>
    </row>
    <row r="33844">
      <c r="N33844" s="28"/>
      <c r="O33844" s="28"/>
      <c r="U33844" s="28"/>
    </row>
    <row r="33845">
      <c r="N33845" s="28"/>
      <c r="O33845" s="28"/>
      <c r="U33845" s="28"/>
    </row>
    <row r="33846">
      <c r="N33846" s="28"/>
      <c r="O33846" s="28"/>
      <c r="U33846" s="28"/>
    </row>
    <row r="33847">
      <c r="N33847" s="28"/>
      <c r="O33847" s="28"/>
      <c r="U33847" s="28"/>
    </row>
    <row r="33848">
      <c r="N33848" s="28"/>
      <c r="O33848" s="28"/>
      <c r="U33848" s="28"/>
    </row>
    <row r="33849">
      <c r="N33849" s="28"/>
      <c r="O33849" s="28"/>
      <c r="U33849" s="28"/>
    </row>
    <row r="33850">
      <c r="N33850" s="28"/>
      <c r="O33850" s="28"/>
      <c r="U33850" s="28"/>
    </row>
    <row r="33851">
      <c r="N33851" s="28"/>
      <c r="O33851" s="28"/>
      <c r="U33851" s="28"/>
    </row>
    <row r="33852">
      <c r="N33852" s="28"/>
      <c r="O33852" s="28"/>
      <c r="U33852" s="28"/>
    </row>
    <row r="33853">
      <c r="N33853" s="28"/>
      <c r="O33853" s="28"/>
      <c r="U33853" s="28"/>
    </row>
    <row r="33854">
      <c r="N33854" s="28"/>
      <c r="O33854" s="28"/>
      <c r="U33854" s="28"/>
    </row>
    <row r="33855">
      <c r="N33855" s="28"/>
      <c r="O33855" s="28"/>
      <c r="U33855" s="28"/>
    </row>
    <row r="33856">
      <c r="N33856" s="28"/>
      <c r="O33856" s="28"/>
      <c r="U33856" s="28"/>
    </row>
    <row r="33857">
      <c r="N33857" s="28"/>
      <c r="O33857" s="28"/>
      <c r="U33857" s="28"/>
    </row>
    <row r="33858">
      <c r="N33858" s="28"/>
      <c r="O33858" s="28"/>
      <c r="U33858" s="28"/>
    </row>
    <row r="33859">
      <c r="N33859" s="28"/>
      <c r="O33859" s="28"/>
      <c r="U33859" s="28"/>
    </row>
    <row r="33860">
      <c r="N33860" s="28"/>
      <c r="O33860" s="28"/>
      <c r="U33860" s="28"/>
    </row>
    <row r="33861">
      <c r="N33861" s="28"/>
      <c r="O33861" s="28"/>
      <c r="U33861" s="28"/>
    </row>
    <row r="33862">
      <c r="N33862" s="28"/>
      <c r="O33862" s="28"/>
      <c r="U33862" s="28"/>
    </row>
    <row r="33863">
      <c r="N33863" s="28"/>
      <c r="O33863" s="28"/>
      <c r="U33863" s="28"/>
    </row>
    <row r="33864">
      <c r="N33864" s="28"/>
      <c r="O33864" s="28"/>
      <c r="U33864" s="28"/>
    </row>
    <row r="33865">
      <c r="N33865" s="28"/>
      <c r="O33865" s="28"/>
      <c r="U33865" s="28"/>
    </row>
    <row r="33866">
      <c r="N33866" s="28"/>
      <c r="O33866" s="28"/>
      <c r="U33866" s="28"/>
    </row>
    <row r="33867">
      <c r="N33867" s="28"/>
      <c r="O33867" s="28"/>
      <c r="U33867" s="28"/>
    </row>
    <row r="33868">
      <c r="N33868" s="28"/>
      <c r="O33868" s="28"/>
      <c r="U33868" s="28"/>
    </row>
    <row r="33869">
      <c r="N33869" s="28"/>
      <c r="O33869" s="28"/>
      <c r="U33869" s="28"/>
    </row>
    <row r="33870">
      <c r="N33870" s="28"/>
      <c r="O33870" s="28"/>
      <c r="U33870" s="28"/>
    </row>
    <row r="33871">
      <c r="N33871" s="28"/>
      <c r="O33871" s="28"/>
      <c r="U33871" s="28"/>
    </row>
    <row r="33872">
      <c r="N33872" s="28"/>
      <c r="O33872" s="28"/>
      <c r="U33872" s="28"/>
    </row>
    <row r="33873">
      <c r="N33873" s="28"/>
      <c r="O33873" s="28"/>
      <c r="U33873" s="28"/>
    </row>
    <row r="33874">
      <c r="N33874" s="28"/>
      <c r="O33874" s="28"/>
      <c r="U33874" s="28"/>
    </row>
    <row r="33875">
      <c r="N33875" s="28"/>
      <c r="O33875" s="28"/>
      <c r="U33875" s="28"/>
    </row>
    <row r="33876">
      <c r="N33876" s="28"/>
      <c r="O33876" s="28"/>
      <c r="U33876" s="28"/>
    </row>
    <row r="33877">
      <c r="N33877" s="28"/>
      <c r="O33877" s="28"/>
      <c r="U33877" s="28"/>
    </row>
    <row r="33878">
      <c r="N33878" s="28"/>
      <c r="O33878" s="28"/>
      <c r="U33878" s="28"/>
    </row>
    <row r="33879">
      <c r="N33879" s="28"/>
      <c r="O33879" s="28"/>
      <c r="U33879" s="28"/>
    </row>
    <row r="33880">
      <c r="N33880" s="28"/>
      <c r="O33880" s="28"/>
      <c r="U33880" s="28"/>
    </row>
    <row r="33881">
      <c r="N33881" s="28"/>
      <c r="O33881" s="28"/>
      <c r="U33881" s="28"/>
    </row>
    <row r="33882">
      <c r="N33882" s="28"/>
      <c r="O33882" s="28"/>
      <c r="U33882" s="28"/>
    </row>
    <row r="33883">
      <c r="N33883" s="28"/>
      <c r="O33883" s="28"/>
      <c r="U33883" s="28"/>
    </row>
    <row r="33884">
      <c r="N33884" s="28"/>
      <c r="O33884" s="28"/>
      <c r="U33884" s="28"/>
    </row>
    <row r="33885">
      <c r="N33885" s="28"/>
      <c r="O33885" s="28"/>
      <c r="U33885" s="28"/>
    </row>
    <row r="33886">
      <c r="N33886" s="28"/>
      <c r="O33886" s="28"/>
      <c r="U33886" s="28"/>
    </row>
    <row r="33887">
      <c r="N33887" s="28"/>
      <c r="O33887" s="28"/>
      <c r="U33887" s="28"/>
    </row>
    <row r="33888">
      <c r="N33888" s="28"/>
      <c r="O33888" s="28"/>
      <c r="U33888" s="28"/>
    </row>
    <row r="33889">
      <c r="N33889" s="28"/>
      <c r="O33889" s="28"/>
      <c r="U33889" s="28"/>
    </row>
    <row r="33890">
      <c r="N33890" s="28"/>
      <c r="O33890" s="28"/>
      <c r="U33890" s="28"/>
    </row>
    <row r="33891">
      <c r="N33891" s="28"/>
      <c r="O33891" s="28"/>
      <c r="U33891" s="28"/>
    </row>
    <row r="33892">
      <c r="N33892" s="28"/>
      <c r="O33892" s="28"/>
      <c r="U33892" s="28"/>
    </row>
    <row r="33893">
      <c r="N33893" s="28"/>
      <c r="O33893" s="28"/>
      <c r="U33893" s="28"/>
    </row>
    <row r="33894">
      <c r="N33894" s="28"/>
      <c r="O33894" s="28"/>
      <c r="U33894" s="28"/>
    </row>
    <row r="33895">
      <c r="N33895" s="28"/>
      <c r="O33895" s="28"/>
      <c r="U33895" s="28"/>
    </row>
    <row r="33896">
      <c r="N33896" s="28"/>
      <c r="O33896" s="28"/>
      <c r="U33896" s="28"/>
    </row>
    <row r="33897">
      <c r="N33897" s="28"/>
      <c r="O33897" s="28"/>
      <c r="U33897" s="28"/>
    </row>
    <row r="33898">
      <c r="N33898" s="28"/>
      <c r="O33898" s="28"/>
      <c r="U33898" s="28"/>
    </row>
    <row r="33899">
      <c r="N33899" s="28"/>
      <c r="O33899" s="28"/>
      <c r="U33899" s="28"/>
    </row>
    <row r="33900">
      <c r="N33900" s="28"/>
      <c r="O33900" s="28"/>
      <c r="U33900" s="28"/>
    </row>
    <row r="33901">
      <c r="N33901" s="28"/>
      <c r="O33901" s="28"/>
      <c r="U33901" s="28"/>
    </row>
    <row r="33902">
      <c r="N33902" s="28"/>
      <c r="O33902" s="28"/>
      <c r="U33902" s="28"/>
    </row>
    <row r="33903">
      <c r="N33903" s="28"/>
      <c r="O33903" s="28"/>
      <c r="U33903" s="28"/>
    </row>
    <row r="33904">
      <c r="N33904" s="28"/>
      <c r="O33904" s="28"/>
      <c r="U33904" s="28"/>
    </row>
    <row r="33905">
      <c r="N33905" s="28"/>
      <c r="O33905" s="28"/>
      <c r="U33905" s="28"/>
    </row>
    <row r="33906">
      <c r="N33906" s="28"/>
      <c r="O33906" s="28"/>
      <c r="U33906" s="28"/>
    </row>
    <row r="33907">
      <c r="N33907" s="28"/>
      <c r="O33907" s="28"/>
      <c r="U33907" s="28"/>
    </row>
    <row r="33908">
      <c r="N33908" s="28"/>
      <c r="O33908" s="28"/>
      <c r="U33908" s="28"/>
    </row>
    <row r="33909">
      <c r="N33909" s="28"/>
      <c r="O33909" s="28"/>
      <c r="U33909" s="28"/>
    </row>
    <row r="33910">
      <c r="N33910" s="28"/>
      <c r="O33910" s="28"/>
      <c r="U33910" s="28"/>
    </row>
    <row r="33911">
      <c r="N33911" s="28"/>
      <c r="O33911" s="28"/>
      <c r="U33911" s="28"/>
    </row>
    <row r="33912">
      <c r="N33912" s="28"/>
      <c r="O33912" s="28"/>
      <c r="U33912" s="28"/>
    </row>
    <row r="33913">
      <c r="N33913" s="28"/>
      <c r="O33913" s="28"/>
      <c r="U33913" s="28"/>
    </row>
    <row r="33914">
      <c r="N33914" s="28"/>
      <c r="O33914" s="28"/>
      <c r="U33914" s="28"/>
    </row>
    <row r="33915">
      <c r="N33915" s="28"/>
      <c r="O33915" s="28"/>
      <c r="U33915" s="28"/>
    </row>
    <row r="33916">
      <c r="N33916" s="28"/>
      <c r="O33916" s="28"/>
      <c r="U33916" s="28"/>
    </row>
    <row r="33917">
      <c r="N33917" s="28"/>
      <c r="O33917" s="28"/>
      <c r="U33917" s="28"/>
    </row>
    <row r="33918">
      <c r="N33918" s="28"/>
      <c r="O33918" s="28"/>
      <c r="U33918" s="28"/>
    </row>
    <row r="33919">
      <c r="N33919" s="28"/>
      <c r="O33919" s="28"/>
      <c r="U33919" s="28"/>
    </row>
    <row r="33920">
      <c r="N33920" s="28"/>
      <c r="O33920" s="28"/>
      <c r="U33920" s="28"/>
    </row>
    <row r="33921">
      <c r="N33921" s="28"/>
      <c r="O33921" s="28"/>
      <c r="U33921" s="28"/>
    </row>
    <row r="33922">
      <c r="N33922" s="28"/>
      <c r="O33922" s="28"/>
      <c r="U33922" s="28"/>
    </row>
    <row r="33923">
      <c r="N33923" s="28"/>
      <c r="O33923" s="28"/>
      <c r="U33923" s="28"/>
    </row>
    <row r="33924">
      <c r="N33924" s="28"/>
      <c r="O33924" s="28"/>
      <c r="U33924" s="28"/>
    </row>
    <row r="33925">
      <c r="N33925" s="28"/>
      <c r="O33925" s="28"/>
      <c r="U33925" s="28"/>
    </row>
    <row r="33926">
      <c r="N33926" s="28"/>
      <c r="O33926" s="28"/>
      <c r="U33926" s="28"/>
    </row>
    <row r="33927">
      <c r="N33927" s="28"/>
      <c r="O33927" s="28"/>
      <c r="U33927" s="28"/>
    </row>
    <row r="33928">
      <c r="N33928" s="28"/>
      <c r="O33928" s="28"/>
      <c r="U33928" s="28"/>
    </row>
    <row r="33929">
      <c r="N33929" s="28"/>
      <c r="O33929" s="28"/>
      <c r="U33929" s="28"/>
    </row>
    <row r="33930">
      <c r="N33930" s="28"/>
      <c r="O33930" s="28"/>
      <c r="U33930" s="28"/>
    </row>
    <row r="33931">
      <c r="N33931" s="28"/>
      <c r="O33931" s="28"/>
      <c r="U33931" s="28"/>
    </row>
    <row r="33932">
      <c r="N33932" s="28"/>
      <c r="O33932" s="28"/>
      <c r="U33932" s="28"/>
    </row>
    <row r="33933">
      <c r="N33933" s="28"/>
      <c r="O33933" s="28"/>
      <c r="U33933" s="28"/>
    </row>
    <row r="33934">
      <c r="N33934" s="28"/>
      <c r="O33934" s="28"/>
      <c r="U33934" s="28"/>
    </row>
    <row r="33935">
      <c r="N33935" s="28"/>
      <c r="O33935" s="28"/>
      <c r="U33935" s="28"/>
    </row>
    <row r="33936">
      <c r="N33936" s="28"/>
      <c r="O33936" s="28"/>
      <c r="U33936" s="28"/>
    </row>
    <row r="33937">
      <c r="N33937" s="28"/>
      <c r="O33937" s="28"/>
      <c r="U33937" s="28"/>
    </row>
    <row r="33938">
      <c r="N33938" s="28"/>
      <c r="O33938" s="28"/>
      <c r="U33938" s="28"/>
    </row>
    <row r="33939">
      <c r="N33939" s="28"/>
      <c r="O33939" s="28"/>
      <c r="U33939" s="28"/>
    </row>
    <row r="33940">
      <c r="N33940" s="28"/>
      <c r="O33940" s="28"/>
      <c r="U33940" s="28"/>
    </row>
    <row r="33941">
      <c r="N33941" s="28"/>
      <c r="O33941" s="28"/>
      <c r="U33941" s="28"/>
    </row>
    <row r="33942">
      <c r="N33942" s="28"/>
      <c r="O33942" s="28"/>
      <c r="U33942" s="28"/>
    </row>
    <row r="33943">
      <c r="N33943" s="28"/>
      <c r="O33943" s="28"/>
      <c r="U33943" s="28"/>
    </row>
    <row r="33944">
      <c r="N33944" s="28"/>
      <c r="O33944" s="28"/>
      <c r="U33944" s="28"/>
    </row>
    <row r="33945">
      <c r="N33945" s="28"/>
      <c r="O33945" s="28"/>
      <c r="U33945" s="28"/>
    </row>
    <row r="33946">
      <c r="N33946" s="28"/>
      <c r="O33946" s="28"/>
      <c r="U33946" s="28"/>
    </row>
    <row r="33947">
      <c r="N33947" s="28"/>
      <c r="O33947" s="28"/>
      <c r="U33947" s="28"/>
    </row>
    <row r="33948">
      <c r="N33948" s="28"/>
      <c r="O33948" s="28"/>
      <c r="U33948" s="28"/>
    </row>
    <row r="33949">
      <c r="N33949" s="28"/>
      <c r="O33949" s="28"/>
      <c r="U33949" s="28"/>
    </row>
    <row r="33950">
      <c r="N33950" s="28"/>
      <c r="O33950" s="28"/>
      <c r="U33950" s="28"/>
    </row>
    <row r="33951">
      <c r="N33951" s="28"/>
      <c r="O33951" s="28"/>
      <c r="U33951" s="28"/>
    </row>
    <row r="33952">
      <c r="N33952" s="28"/>
      <c r="O33952" s="28"/>
      <c r="U33952" s="28"/>
    </row>
    <row r="33953">
      <c r="N33953" s="28"/>
      <c r="O33953" s="28"/>
      <c r="U33953" s="28"/>
    </row>
    <row r="33954">
      <c r="N33954" s="28"/>
      <c r="O33954" s="28"/>
      <c r="U33954" s="28"/>
    </row>
    <row r="33955">
      <c r="N33955" s="28"/>
      <c r="O33955" s="28"/>
      <c r="U33955" s="28"/>
    </row>
    <row r="33956">
      <c r="N33956" s="28"/>
      <c r="O33956" s="28"/>
      <c r="U33956" s="28"/>
    </row>
    <row r="33957">
      <c r="N33957" s="28"/>
      <c r="O33957" s="28"/>
      <c r="U33957" s="28"/>
    </row>
    <row r="33958">
      <c r="N33958" s="28"/>
      <c r="O33958" s="28"/>
      <c r="U33958" s="28"/>
    </row>
    <row r="33959">
      <c r="N33959" s="28"/>
      <c r="O33959" s="28"/>
      <c r="U33959" s="28"/>
    </row>
    <row r="33960">
      <c r="N33960" s="28"/>
      <c r="O33960" s="28"/>
      <c r="U33960" s="28"/>
    </row>
    <row r="33961">
      <c r="N33961" s="28"/>
      <c r="O33961" s="28"/>
      <c r="U33961" s="28"/>
    </row>
    <row r="33962">
      <c r="N33962" s="28"/>
      <c r="O33962" s="28"/>
      <c r="U33962" s="28"/>
    </row>
    <row r="33963">
      <c r="N33963" s="28"/>
      <c r="O33963" s="28"/>
      <c r="U33963" s="28"/>
    </row>
    <row r="33964">
      <c r="N33964" s="28"/>
      <c r="O33964" s="28"/>
      <c r="U33964" s="28"/>
    </row>
    <row r="33965">
      <c r="N33965" s="28"/>
      <c r="O33965" s="28"/>
      <c r="U33965" s="28"/>
    </row>
    <row r="33966">
      <c r="N33966" s="28"/>
      <c r="O33966" s="28"/>
      <c r="U33966" s="28"/>
    </row>
    <row r="33967">
      <c r="N33967" s="28"/>
      <c r="O33967" s="28"/>
      <c r="U33967" s="28"/>
    </row>
    <row r="33968">
      <c r="N33968" s="28"/>
      <c r="O33968" s="28"/>
      <c r="U33968" s="28"/>
    </row>
    <row r="33969">
      <c r="N33969" s="28"/>
      <c r="O33969" s="28"/>
      <c r="U33969" s="28"/>
    </row>
    <row r="33970">
      <c r="N33970" s="28"/>
      <c r="O33970" s="28"/>
      <c r="U33970" s="28"/>
    </row>
    <row r="33971">
      <c r="N33971" s="28"/>
      <c r="O33971" s="28"/>
      <c r="U33971" s="28"/>
    </row>
    <row r="33972">
      <c r="N33972" s="28"/>
      <c r="O33972" s="28"/>
      <c r="U33972" s="28"/>
    </row>
    <row r="33973">
      <c r="N33973" s="28"/>
      <c r="O33973" s="28"/>
      <c r="U33973" s="28"/>
    </row>
    <row r="33974">
      <c r="N33974" s="28"/>
      <c r="O33974" s="28"/>
      <c r="U33974" s="28"/>
    </row>
    <row r="33975">
      <c r="N33975" s="28"/>
      <c r="O33975" s="28"/>
      <c r="U33975" s="28"/>
    </row>
    <row r="33976">
      <c r="N33976" s="28"/>
      <c r="O33976" s="28"/>
      <c r="U33976" s="28"/>
    </row>
    <row r="33977">
      <c r="N33977" s="28"/>
      <c r="O33977" s="28"/>
      <c r="U33977" s="28"/>
    </row>
    <row r="33978">
      <c r="N33978" s="28"/>
      <c r="O33978" s="28"/>
      <c r="U33978" s="28"/>
    </row>
    <row r="33979">
      <c r="N33979" s="28"/>
      <c r="O33979" s="28"/>
      <c r="U33979" s="28"/>
    </row>
    <row r="33980">
      <c r="N33980" s="28"/>
      <c r="O33980" s="28"/>
      <c r="U33980" s="28"/>
    </row>
    <row r="33981">
      <c r="N33981" s="28"/>
      <c r="O33981" s="28"/>
      <c r="U33981" s="28"/>
    </row>
    <row r="33982">
      <c r="N33982" s="28"/>
      <c r="O33982" s="28"/>
      <c r="U33982" s="28"/>
    </row>
    <row r="33983">
      <c r="N33983" s="28"/>
      <c r="O33983" s="28"/>
      <c r="U33983" s="28"/>
    </row>
    <row r="33984">
      <c r="N33984" s="28"/>
      <c r="O33984" s="28"/>
      <c r="U33984" s="28"/>
    </row>
    <row r="33985">
      <c r="N33985" s="28"/>
      <c r="O33985" s="28"/>
      <c r="U33985" s="28"/>
    </row>
    <row r="33986">
      <c r="N33986" s="28"/>
      <c r="O33986" s="28"/>
      <c r="U33986" s="28"/>
    </row>
    <row r="33987">
      <c r="N33987" s="28"/>
      <c r="O33987" s="28"/>
      <c r="U33987" s="28"/>
    </row>
    <row r="33988">
      <c r="N33988" s="28"/>
      <c r="O33988" s="28"/>
      <c r="U33988" s="28"/>
    </row>
    <row r="33989">
      <c r="N33989" s="28"/>
      <c r="O33989" s="28"/>
      <c r="U33989" s="28"/>
    </row>
    <row r="33990">
      <c r="N33990" s="28"/>
      <c r="O33990" s="28"/>
      <c r="U33990" s="28"/>
    </row>
    <row r="33991">
      <c r="N33991" s="28"/>
      <c r="O33991" s="28"/>
      <c r="U33991" s="28"/>
    </row>
    <row r="33992">
      <c r="N33992" s="28"/>
      <c r="O33992" s="28"/>
      <c r="U33992" s="28"/>
    </row>
    <row r="33993">
      <c r="N33993" s="28"/>
      <c r="O33993" s="28"/>
      <c r="U33993" s="28"/>
    </row>
    <row r="33994">
      <c r="N33994" s="28"/>
      <c r="O33994" s="28"/>
      <c r="U33994" s="28"/>
    </row>
    <row r="33995">
      <c r="N33995" s="28"/>
      <c r="O33995" s="28"/>
      <c r="U33995" s="28"/>
    </row>
    <row r="33996">
      <c r="N33996" s="28"/>
      <c r="O33996" s="28"/>
      <c r="U33996" s="28"/>
    </row>
    <row r="33997">
      <c r="N33997" s="28"/>
      <c r="O33997" s="28"/>
      <c r="U33997" s="28"/>
    </row>
    <row r="33998">
      <c r="N33998" s="28"/>
      <c r="O33998" s="28"/>
      <c r="U33998" s="28"/>
    </row>
    <row r="33999">
      <c r="N33999" s="28"/>
      <c r="O33999" s="28"/>
      <c r="U33999" s="28"/>
    </row>
    <row r="34000">
      <c r="N34000" s="28"/>
      <c r="O34000" s="28"/>
      <c r="U34000" s="28"/>
    </row>
    <row r="34001">
      <c r="N34001" s="28"/>
      <c r="O34001" s="28"/>
      <c r="U34001" s="28"/>
    </row>
    <row r="34002">
      <c r="N34002" s="28"/>
      <c r="O34002" s="28"/>
      <c r="U34002" s="28"/>
    </row>
    <row r="34003">
      <c r="N34003" s="28"/>
      <c r="O34003" s="28"/>
      <c r="U34003" s="28"/>
    </row>
    <row r="34004">
      <c r="N34004" s="28"/>
      <c r="O34004" s="28"/>
      <c r="U34004" s="28"/>
    </row>
    <row r="34005">
      <c r="N34005" s="28"/>
      <c r="O34005" s="28"/>
      <c r="U34005" s="28"/>
    </row>
    <row r="34006">
      <c r="N34006" s="28"/>
      <c r="O34006" s="28"/>
      <c r="U34006" s="28"/>
    </row>
    <row r="34007">
      <c r="N34007" s="28"/>
      <c r="O34007" s="28"/>
      <c r="U34007" s="28"/>
    </row>
    <row r="34008">
      <c r="N34008" s="28"/>
      <c r="O34008" s="28"/>
      <c r="U34008" s="28"/>
    </row>
    <row r="34009">
      <c r="N34009" s="28"/>
      <c r="O34009" s="28"/>
      <c r="U34009" s="28"/>
    </row>
    <row r="34010">
      <c r="N34010" s="28"/>
      <c r="O34010" s="28"/>
      <c r="U34010" s="28"/>
    </row>
    <row r="34011">
      <c r="N34011" s="28"/>
      <c r="O34011" s="28"/>
      <c r="U34011" s="28"/>
    </row>
    <row r="34012">
      <c r="N34012" s="28"/>
      <c r="O34012" s="28"/>
      <c r="U34012" s="28"/>
    </row>
    <row r="34013">
      <c r="N34013" s="28"/>
      <c r="O34013" s="28"/>
      <c r="U34013" s="28"/>
    </row>
    <row r="34014">
      <c r="N34014" s="28"/>
      <c r="O34014" s="28"/>
      <c r="U34014" s="28"/>
    </row>
    <row r="34015">
      <c r="N34015" s="28"/>
      <c r="O34015" s="28"/>
      <c r="U34015" s="28"/>
    </row>
    <row r="34016">
      <c r="N34016" s="28"/>
      <c r="O34016" s="28"/>
      <c r="U34016" s="28"/>
    </row>
    <row r="34017">
      <c r="N34017" s="28"/>
      <c r="O34017" s="28"/>
      <c r="U34017" s="28"/>
    </row>
    <row r="34018">
      <c r="N34018" s="28"/>
      <c r="O34018" s="28"/>
      <c r="U34018" s="28"/>
    </row>
    <row r="34019">
      <c r="N34019" s="28"/>
      <c r="O34019" s="28"/>
      <c r="U34019" s="28"/>
    </row>
    <row r="34020">
      <c r="N34020" s="28"/>
      <c r="O34020" s="28"/>
      <c r="U34020" s="28"/>
    </row>
    <row r="34021">
      <c r="N34021" s="28"/>
      <c r="O34021" s="28"/>
      <c r="U34021" s="28"/>
    </row>
    <row r="34022">
      <c r="N34022" s="28"/>
      <c r="O34022" s="28"/>
      <c r="U34022" s="28"/>
    </row>
    <row r="34023">
      <c r="N34023" s="28"/>
      <c r="O34023" s="28"/>
      <c r="U34023" s="28"/>
    </row>
    <row r="34024">
      <c r="N34024" s="28"/>
      <c r="O34024" s="28"/>
      <c r="U34024" s="28"/>
    </row>
    <row r="34025">
      <c r="N34025" s="28"/>
      <c r="O34025" s="28"/>
      <c r="U34025" s="28"/>
    </row>
    <row r="34026">
      <c r="N34026" s="28"/>
      <c r="O34026" s="28"/>
      <c r="U34026" s="28"/>
    </row>
    <row r="34027">
      <c r="N34027" s="28"/>
      <c r="O34027" s="28"/>
      <c r="U34027" s="28"/>
    </row>
    <row r="34028">
      <c r="N34028" s="28"/>
      <c r="O34028" s="28"/>
      <c r="U34028" s="28"/>
    </row>
    <row r="34029">
      <c r="N34029" s="28"/>
      <c r="O34029" s="28"/>
      <c r="U34029" s="28"/>
    </row>
    <row r="34030">
      <c r="N34030" s="28"/>
      <c r="O34030" s="28"/>
      <c r="U34030" s="28"/>
    </row>
    <row r="34031">
      <c r="N34031" s="28"/>
      <c r="O34031" s="28"/>
      <c r="U34031" s="28"/>
    </row>
    <row r="34032">
      <c r="N34032" s="28"/>
      <c r="O34032" s="28"/>
      <c r="U34032" s="28"/>
    </row>
    <row r="34033">
      <c r="N34033" s="28"/>
      <c r="O34033" s="28"/>
      <c r="U34033" s="28"/>
    </row>
    <row r="34034">
      <c r="N34034" s="28"/>
      <c r="O34034" s="28"/>
      <c r="U34034" s="28"/>
    </row>
    <row r="34035">
      <c r="N34035" s="28"/>
      <c r="O34035" s="28"/>
      <c r="U34035" s="28"/>
    </row>
    <row r="34036">
      <c r="N34036" s="28"/>
      <c r="O34036" s="28"/>
      <c r="U34036" s="28"/>
    </row>
    <row r="34037">
      <c r="N34037" s="28"/>
      <c r="O34037" s="28"/>
      <c r="U34037" s="28"/>
    </row>
    <row r="34038">
      <c r="N34038" s="28"/>
      <c r="O34038" s="28"/>
      <c r="U34038" s="28"/>
    </row>
    <row r="34039">
      <c r="N34039" s="28"/>
      <c r="O34039" s="28"/>
      <c r="U34039" s="28"/>
    </row>
    <row r="34040">
      <c r="N34040" s="28"/>
      <c r="O34040" s="28"/>
      <c r="U34040" s="28"/>
    </row>
    <row r="34041">
      <c r="N34041" s="28"/>
      <c r="O34041" s="28"/>
      <c r="U34041" s="28"/>
    </row>
    <row r="34042">
      <c r="N34042" s="28"/>
      <c r="O34042" s="28"/>
      <c r="U34042" s="28"/>
    </row>
    <row r="34043">
      <c r="N34043" s="28"/>
      <c r="O34043" s="28"/>
      <c r="U34043" s="28"/>
    </row>
    <row r="34044">
      <c r="N34044" s="28"/>
      <c r="O34044" s="28"/>
      <c r="U34044" s="28"/>
    </row>
    <row r="34045">
      <c r="N34045" s="28"/>
      <c r="O34045" s="28"/>
      <c r="U34045" s="28"/>
    </row>
    <row r="34046">
      <c r="N34046" s="28"/>
      <c r="O34046" s="28"/>
      <c r="U34046" s="28"/>
    </row>
    <row r="34047">
      <c r="N34047" s="28"/>
      <c r="O34047" s="28"/>
      <c r="U34047" s="28"/>
    </row>
    <row r="34048">
      <c r="N34048" s="28"/>
      <c r="O34048" s="28"/>
      <c r="U34048" s="28"/>
    </row>
    <row r="34049">
      <c r="N34049" s="28"/>
      <c r="O34049" s="28"/>
      <c r="U34049" s="28"/>
    </row>
    <row r="34050">
      <c r="N34050" s="28"/>
      <c r="O34050" s="28"/>
      <c r="U34050" s="28"/>
    </row>
    <row r="34051">
      <c r="N34051" s="28"/>
      <c r="O34051" s="28"/>
      <c r="U34051" s="28"/>
    </row>
    <row r="34052">
      <c r="N34052" s="28"/>
      <c r="O34052" s="28"/>
      <c r="U34052" s="28"/>
    </row>
    <row r="34053">
      <c r="N34053" s="28"/>
      <c r="O34053" s="28"/>
      <c r="U34053" s="28"/>
    </row>
    <row r="34054">
      <c r="N34054" s="28"/>
      <c r="O34054" s="28"/>
      <c r="U34054" s="28"/>
    </row>
    <row r="34055">
      <c r="N34055" s="28"/>
      <c r="O34055" s="28"/>
      <c r="U34055" s="28"/>
    </row>
    <row r="34056">
      <c r="N34056" s="28"/>
      <c r="O34056" s="28"/>
      <c r="U34056" s="28"/>
    </row>
    <row r="34057">
      <c r="N34057" s="28"/>
      <c r="O34057" s="28"/>
      <c r="U34057" s="28"/>
    </row>
    <row r="34058">
      <c r="N34058" s="28"/>
      <c r="O34058" s="28"/>
      <c r="U34058" s="28"/>
    </row>
    <row r="34059">
      <c r="N34059" s="28"/>
      <c r="O34059" s="28"/>
      <c r="U34059" s="28"/>
    </row>
    <row r="34060">
      <c r="N34060" s="28"/>
      <c r="O34060" s="28"/>
      <c r="U34060" s="28"/>
    </row>
    <row r="34061">
      <c r="N34061" s="28"/>
      <c r="O34061" s="28"/>
      <c r="U34061" s="28"/>
    </row>
    <row r="34062">
      <c r="N34062" s="28"/>
      <c r="O34062" s="28"/>
      <c r="U34062" s="28"/>
    </row>
    <row r="34063">
      <c r="N34063" s="28"/>
      <c r="O34063" s="28"/>
      <c r="U34063" s="28"/>
    </row>
    <row r="34064">
      <c r="N34064" s="28"/>
      <c r="O34064" s="28"/>
      <c r="U34064" s="28"/>
    </row>
    <row r="34065">
      <c r="N34065" s="28"/>
      <c r="O34065" s="28"/>
      <c r="U34065" s="28"/>
    </row>
    <row r="34066">
      <c r="N34066" s="28"/>
      <c r="O34066" s="28"/>
      <c r="U34066" s="28"/>
    </row>
    <row r="34067">
      <c r="N34067" s="28"/>
      <c r="O34067" s="28"/>
      <c r="U34067" s="28"/>
    </row>
    <row r="34068">
      <c r="N34068" s="28"/>
      <c r="O34068" s="28"/>
      <c r="U34068" s="28"/>
    </row>
    <row r="34069">
      <c r="N34069" s="28"/>
      <c r="O34069" s="28"/>
      <c r="U34069" s="28"/>
    </row>
    <row r="34070">
      <c r="N34070" s="28"/>
      <c r="O34070" s="28"/>
      <c r="U34070" s="28"/>
    </row>
    <row r="34071">
      <c r="N34071" s="28"/>
      <c r="O34071" s="28"/>
      <c r="U34071" s="28"/>
    </row>
    <row r="34072">
      <c r="N34072" s="28"/>
      <c r="O34072" s="28"/>
      <c r="U34072" s="28"/>
    </row>
    <row r="34073">
      <c r="N34073" s="28"/>
      <c r="O34073" s="28"/>
      <c r="U34073" s="28"/>
    </row>
    <row r="34074">
      <c r="N34074" s="28"/>
      <c r="O34074" s="28"/>
      <c r="U34074" s="28"/>
    </row>
    <row r="34075">
      <c r="N34075" s="28"/>
      <c r="O34075" s="28"/>
      <c r="U34075" s="28"/>
    </row>
    <row r="34076">
      <c r="N34076" s="28"/>
      <c r="O34076" s="28"/>
      <c r="U34076" s="28"/>
    </row>
    <row r="34077">
      <c r="N34077" s="28"/>
      <c r="O34077" s="28"/>
      <c r="U34077" s="28"/>
    </row>
    <row r="34078">
      <c r="N34078" s="28"/>
      <c r="O34078" s="28"/>
      <c r="U34078" s="28"/>
    </row>
    <row r="34079">
      <c r="N34079" s="28"/>
      <c r="O34079" s="28"/>
      <c r="U34079" s="28"/>
    </row>
    <row r="34080">
      <c r="N34080" s="28"/>
      <c r="O34080" s="28"/>
      <c r="U34080" s="28"/>
    </row>
    <row r="34081">
      <c r="N34081" s="28"/>
      <c r="O34081" s="28"/>
      <c r="U34081" s="28"/>
    </row>
    <row r="34082">
      <c r="N34082" s="28"/>
      <c r="O34082" s="28"/>
      <c r="U34082" s="28"/>
    </row>
    <row r="34083">
      <c r="N34083" s="28"/>
      <c r="O34083" s="28"/>
      <c r="U34083" s="28"/>
    </row>
    <row r="34084">
      <c r="N34084" s="28"/>
      <c r="O34084" s="28"/>
      <c r="U34084" s="28"/>
    </row>
    <row r="34085">
      <c r="N34085" s="28"/>
      <c r="O34085" s="28"/>
      <c r="U34085" s="28"/>
    </row>
    <row r="34086">
      <c r="N34086" s="28"/>
      <c r="O34086" s="28"/>
      <c r="U34086" s="28"/>
    </row>
    <row r="34087">
      <c r="N34087" s="28"/>
      <c r="O34087" s="28"/>
      <c r="U34087" s="28"/>
    </row>
    <row r="34088">
      <c r="N34088" s="28"/>
      <c r="O34088" s="28"/>
      <c r="U34088" s="28"/>
    </row>
    <row r="34089">
      <c r="N34089" s="28"/>
      <c r="O34089" s="28"/>
      <c r="U34089" s="28"/>
    </row>
    <row r="34090">
      <c r="N34090" s="28"/>
      <c r="O34090" s="28"/>
      <c r="U34090" s="28"/>
    </row>
    <row r="34091">
      <c r="N34091" s="28"/>
      <c r="O34091" s="28"/>
      <c r="U34091" s="28"/>
    </row>
    <row r="34092">
      <c r="N34092" s="28"/>
      <c r="O34092" s="28"/>
      <c r="U34092" s="28"/>
    </row>
    <row r="34093">
      <c r="N34093" s="28"/>
      <c r="O34093" s="28"/>
      <c r="U34093" s="28"/>
    </row>
    <row r="34094">
      <c r="N34094" s="28"/>
      <c r="O34094" s="28"/>
      <c r="U34094" s="28"/>
    </row>
    <row r="34095">
      <c r="N34095" s="28"/>
      <c r="O34095" s="28"/>
      <c r="U34095" s="28"/>
    </row>
    <row r="34096">
      <c r="N34096" s="28"/>
      <c r="O34096" s="28"/>
      <c r="U34096" s="28"/>
    </row>
    <row r="34097">
      <c r="N34097" s="28"/>
      <c r="O34097" s="28"/>
      <c r="U34097" s="28"/>
    </row>
    <row r="34098">
      <c r="N34098" s="28"/>
      <c r="O34098" s="28"/>
      <c r="U34098" s="28"/>
    </row>
    <row r="34099">
      <c r="N34099" s="28"/>
      <c r="O34099" s="28"/>
      <c r="U34099" s="28"/>
    </row>
    <row r="34100">
      <c r="N34100" s="28"/>
      <c r="O34100" s="28"/>
      <c r="U34100" s="28"/>
    </row>
    <row r="34101">
      <c r="N34101" s="28"/>
      <c r="O34101" s="28"/>
      <c r="U34101" s="28"/>
    </row>
    <row r="34102">
      <c r="N34102" s="28"/>
      <c r="O34102" s="28"/>
      <c r="U34102" s="28"/>
    </row>
    <row r="34103">
      <c r="N34103" s="28"/>
      <c r="O34103" s="28"/>
      <c r="U34103" s="28"/>
    </row>
    <row r="34104">
      <c r="N34104" s="28"/>
      <c r="O34104" s="28"/>
      <c r="U34104" s="28"/>
    </row>
    <row r="34105">
      <c r="N34105" s="28"/>
      <c r="O34105" s="28"/>
      <c r="U34105" s="28"/>
    </row>
    <row r="34106">
      <c r="N34106" s="28"/>
      <c r="O34106" s="28"/>
      <c r="U34106" s="28"/>
    </row>
    <row r="34107">
      <c r="N34107" s="28"/>
      <c r="O34107" s="28"/>
      <c r="U34107" s="28"/>
    </row>
    <row r="34108">
      <c r="N34108" s="28"/>
      <c r="O34108" s="28"/>
      <c r="U34108" s="28"/>
    </row>
    <row r="34109">
      <c r="N34109" s="28"/>
      <c r="O34109" s="28"/>
      <c r="U34109" s="28"/>
    </row>
    <row r="34110">
      <c r="N34110" s="28"/>
      <c r="O34110" s="28"/>
      <c r="U34110" s="28"/>
    </row>
    <row r="34111">
      <c r="N34111" s="28"/>
      <c r="O34111" s="28"/>
      <c r="U34111" s="28"/>
    </row>
    <row r="34112">
      <c r="N34112" s="28"/>
      <c r="O34112" s="28"/>
      <c r="U34112" s="28"/>
    </row>
    <row r="34113">
      <c r="N34113" s="28"/>
      <c r="O34113" s="28"/>
      <c r="U34113" s="28"/>
    </row>
    <row r="34114">
      <c r="N34114" s="28"/>
      <c r="O34114" s="28"/>
      <c r="U34114" s="28"/>
    </row>
    <row r="34115">
      <c r="N34115" s="28"/>
      <c r="O34115" s="28"/>
      <c r="U34115" s="28"/>
    </row>
    <row r="34116">
      <c r="N34116" s="28"/>
      <c r="O34116" s="28"/>
      <c r="U34116" s="28"/>
    </row>
    <row r="34117">
      <c r="N34117" s="28"/>
      <c r="O34117" s="28"/>
      <c r="U34117" s="28"/>
    </row>
    <row r="34118">
      <c r="N34118" s="28"/>
      <c r="O34118" s="28"/>
      <c r="U34118" s="28"/>
    </row>
    <row r="34119">
      <c r="N34119" s="28"/>
      <c r="O34119" s="28"/>
      <c r="U34119" s="28"/>
    </row>
    <row r="34120">
      <c r="N34120" s="28"/>
      <c r="O34120" s="28"/>
      <c r="U34120" s="28"/>
    </row>
    <row r="34121">
      <c r="N34121" s="28"/>
      <c r="O34121" s="28"/>
      <c r="U34121" s="28"/>
    </row>
    <row r="34122">
      <c r="N34122" s="28"/>
      <c r="O34122" s="28"/>
      <c r="U34122" s="28"/>
    </row>
    <row r="34123">
      <c r="N34123" s="28"/>
      <c r="O34123" s="28"/>
      <c r="U34123" s="28"/>
    </row>
    <row r="34124">
      <c r="N34124" s="28"/>
      <c r="O34124" s="28"/>
      <c r="U34124" s="28"/>
    </row>
    <row r="34125">
      <c r="N34125" s="28"/>
      <c r="O34125" s="28"/>
      <c r="U34125" s="28"/>
    </row>
    <row r="34126">
      <c r="N34126" s="28"/>
      <c r="O34126" s="28"/>
      <c r="U34126" s="28"/>
    </row>
    <row r="34127">
      <c r="N34127" s="28"/>
      <c r="O34127" s="28"/>
      <c r="U34127" s="28"/>
    </row>
    <row r="34128">
      <c r="N34128" s="28"/>
      <c r="O34128" s="28"/>
      <c r="U34128" s="28"/>
    </row>
    <row r="34129">
      <c r="N34129" s="28"/>
      <c r="O34129" s="28"/>
      <c r="U34129" s="28"/>
    </row>
    <row r="34130">
      <c r="N34130" s="28"/>
      <c r="O34130" s="28"/>
      <c r="U34130" s="28"/>
    </row>
    <row r="34131">
      <c r="N34131" s="28"/>
      <c r="O34131" s="28"/>
      <c r="U34131" s="28"/>
    </row>
    <row r="34132">
      <c r="N34132" s="28"/>
      <c r="O34132" s="28"/>
      <c r="U34132" s="28"/>
    </row>
    <row r="34133">
      <c r="N34133" s="28"/>
      <c r="O34133" s="28"/>
      <c r="U34133" s="28"/>
    </row>
    <row r="34134">
      <c r="N34134" s="28"/>
      <c r="O34134" s="28"/>
      <c r="U34134" s="28"/>
    </row>
    <row r="34135">
      <c r="N34135" s="28"/>
      <c r="O34135" s="28"/>
      <c r="U34135" s="28"/>
    </row>
    <row r="34136">
      <c r="N34136" s="28"/>
      <c r="O34136" s="28"/>
      <c r="U34136" s="28"/>
    </row>
    <row r="34137">
      <c r="N34137" s="28"/>
      <c r="O34137" s="28"/>
      <c r="U34137" s="28"/>
    </row>
    <row r="34138">
      <c r="N34138" s="28"/>
      <c r="O34138" s="28"/>
      <c r="U34138" s="28"/>
    </row>
    <row r="34139">
      <c r="N34139" s="28"/>
      <c r="O34139" s="28"/>
      <c r="U34139" s="28"/>
    </row>
    <row r="34140">
      <c r="N34140" s="28"/>
      <c r="O34140" s="28"/>
      <c r="U34140" s="28"/>
    </row>
    <row r="34141">
      <c r="N34141" s="28"/>
      <c r="O34141" s="28"/>
      <c r="U34141" s="28"/>
    </row>
    <row r="34142">
      <c r="N34142" s="28"/>
      <c r="O34142" s="28"/>
      <c r="U34142" s="28"/>
    </row>
    <row r="34143">
      <c r="N34143" s="28"/>
      <c r="O34143" s="28"/>
      <c r="U34143" s="28"/>
    </row>
    <row r="34144">
      <c r="N34144" s="28"/>
      <c r="O34144" s="28"/>
      <c r="U34144" s="28"/>
    </row>
    <row r="34145">
      <c r="N34145" s="28"/>
      <c r="O34145" s="28"/>
      <c r="U34145" s="28"/>
    </row>
    <row r="34146">
      <c r="N34146" s="28"/>
      <c r="O34146" s="28"/>
      <c r="U34146" s="28"/>
    </row>
    <row r="34147">
      <c r="N34147" s="28"/>
      <c r="O34147" s="28"/>
      <c r="U34147" s="28"/>
    </row>
    <row r="34148">
      <c r="N34148" s="28"/>
      <c r="O34148" s="28"/>
      <c r="U34148" s="28"/>
    </row>
    <row r="34149">
      <c r="N34149" s="28"/>
      <c r="O34149" s="28"/>
      <c r="U34149" s="28"/>
    </row>
    <row r="34150">
      <c r="N34150" s="28"/>
      <c r="O34150" s="28"/>
      <c r="U34150" s="28"/>
    </row>
    <row r="34151">
      <c r="N34151" s="28"/>
      <c r="O34151" s="28"/>
      <c r="U34151" s="28"/>
    </row>
    <row r="34152">
      <c r="N34152" s="28"/>
      <c r="O34152" s="28"/>
      <c r="U34152" s="28"/>
    </row>
    <row r="34153">
      <c r="N34153" s="28"/>
      <c r="O34153" s="28"/>
      <c r="U34153" s="28"/>
    </row>
    <row r="34154">
      <c r="N34154" s="28"/>
      <c r="O34154" s="28"/>
      <c r="U34154" s="28"/>
    </row>
    <row r="34155">
      <c r="N34155" s="28"/>
      <c r="O34155" s="28"/>
      <c r="U34155" s="28"/>
    </row>
    <row r="34156">
      <c r="N34156" s="28"/>
      <c r="O34156" s="28"/>
      <c r="U34156" s="28"/>
    </row>
    <row r="34157">
      <c r="N34157" s="28"/>
      <c r="O34157" s="28"/>
      <c r="U34157" s="28"/>
    </row>
    <row r="34158">
      <c r="N34158" s="28"/>
      <c r="O34158" s="28"/>
      <c r="U34158" s="28"/>
    </row>
    <row r="34159">
      <c r="N34159" s="28"/>
      <c r="O34159" s="28"/>
      <c r="U34159" s="28"/>
    </row>
    <row r="34160">
      <c r="N34160" s="28"/>
      <c r="O34160" s="28"/>
      <c r="U34160" s="28"/>
    </row>
    <row r="34161">
      <c r="N34161" s="28"/>
      <c r="O34161" s="28"/>
      <c r="U34161" s="28"/>
    </row>
    <row r="34162">
      <c r="N34162" s="28"/>
      <c r="O34162" s="28"/>
      <c r="U34162" s="28"/>
    </row>
    <row r="34163">
      <c r="N34163" s="28"/>
      <c r="O34163" s="28"/>
      <c r="U34163" s="28"/>
    </row>
    <row r="34164">
      <c r="N34164" s="28"/>
      <c r="O34164" s="28"/>
      <c r="U34164" s="28"/>
    </row>
    <row r="34165">
      <c r="N34165" s="28"/>
      <c r="O34165" s="28"/>
      <c r="U34165" s="28"/>
    </row>
    <row r="34166">
      <c r="N34166" s="28"/>
      <c r="O34166" s="28"/>
      <c r="U34166" s="28"/>
    </row>
    <row r="34167">
      <c r="N34167" s="28"/>
      <c r="O34167" s="28"/>
      <c r="U34167" s="28"/>
    </row>
    <row r="34168">
      <c r="N34168" s="28"/>
      <c r="O34168" s="28"/>
      <c r="U34168" s="28"/>
    </row>
    <row r="34169">
      <c r="N34169" s="28"/>
      <c r="O34169" s="28"/>
      <c r="U34169" s="28"/>
    </row>
    <row r="34170">
      <c r="N34170" s="28"/>
      <c r="O34170" s="28"/>
      <c r="U34170" s="28"/>
    </row>
    <row r="34171">
      <c r="N34171" s="28"/>
      <c r="O34171" s="28"/>
      <c r="U34171" s="28"/>
    </row>
    <row r="34172">
      <c r="N34172" s="28"/>
      <c r="O34172" s="28"/>
      <c r="U34172" s="28"/>
    </row>
    <row r="34173">
      <c r="N34173" s="28"/>
      <c r="O34173" s="28"/>
      <c r="U34173" s="28"/>
    </row>
    <row r="34174">
      <c r="N34174" s="28"/>
      <c r="O34174" s="28"/>
      <c r="U34174" s="28"/>
    </row>
    <row r="34175">
      <c r="N34175" s="28"/>
      <c r="O34175" s="28"/>
      <c r="U34175" s="28"/>
    </row>
    <row r="34176">
      <c r="N34176" s="28"/>
      <c r="O34176" s="28"/>
      <c r="U34176" s="28"/>
    </row>
    <row r="34177">
      <c r="N34177" s="28"/>
      <c r="O34177" s="28"/>
      <c r="U34177" s="28"/>
    </row>
    <row r="34178">
      <c r="N34178" s="28"/>
      <c r="O34178" s="28"/>
      <c r="U34178" s="28"/>
    </row>
    <row r="34179">
      <c r="N34179" s="28"/>
      <c r="O34179" s="28"/>
      <c r="U34179" s="28"/>
    </row>
    <row r="34180">
      <c r="N34180" s="28"/>
      <c r="O34180" s="28"/>
      <c r="U34180" s="28"/>
    </row>
    <row r="34181">
      <c r="N34181" s="28"/>
      <c r="O34181" s="28"/>
      <c r="U34181" s="28"/>
    </row>
    <row r="34182">
      <c r="N34182" s="28"/>
      <c r="O34182" s="28"/>
      <c r="U34182" s="28"/>
    </row>
    <row r="34183">
      <c r="N34183" s="28"/>
      <c r="O34183" s="28"/>
      <c r="U34183" s="28"/>
    </row>
    <row r="34184">
      <c r="N34184" s="28"/>
      <c r="O34184" s="28"/>
      <c r="U34184" s="28"/>
    </row>
    <row r="34185">
      <c r="N34185" s="28"/>
      <c r="O34185" s="28"/>
      <c r="U34185" s="28"/>
    </row>
    <row r="34186">
      <c r="N34186" s="28"/>
      <c r="O34186" s="28"/>
      <c r="U34186" s="28"/>
    </row>
    <row r="34187">
      <c r="N34187" s="28"/>
      <c r="O34187" s="28"/>
      <c r="U34187" s="28"/>
    </row>
    <row r="34188">
      <c r="N34188" s="28"/>
      <c r="O34188" s="28"/>
      <c r="U34188" s="28"/>
    </row>
    <row r="34189">
      <c r="N34189" s="28"/>
      <c r="O34189" s="28"/>
      <c r="U34189" s="28"/>
    </row>
    <row r="34190">
      <c r="N34190" s="28"/>
      <c r="O34190" s="28"/>
      <c r="U34190" s="28"/>
    </row>
    <row r="34191">
      <c r="N34191" s="28"/>
      <c r="O34191" s="28"/>
      <c r="U34191" s="28"/>
    </row>
    <row r="34192">
      <c r="N34192" s="28"/>
      <c r="O34192" s="28"/>
      <c r="U34192" s="28"/>
    </row>
    <row r="34193">
      <c r="N34193" s="28"/>
      <c r="O34193" s="28"/>
      <c r="U34193" s="28"/>
    </row>
    <row r="34194">
      <c r="N34194" s="28"/>
      <c r="O34194" s="28"/>
      <c r="U34194" s="28"/>
    </row>
    <row r="34195">
      <c r="N34195" s="28"/>
      <c r="O34195" s="28"/>
      <c r="U34195" s="28"/>
    </row>
    <row r="34196">
      <c r="N34196" s="28"/>
      <c r="O34196" s="28"/>
      <c r="U34196" s="28"/>
    </row>
    <row r="34197">
      <c r="N34197" s="28"/>
      <c r="O34197" s="28"/>
      <c r="U34197" s="28"/>
    </row>
    <row r="34198">
      <c r="N34198" s="28"/>
      <c r="O34198" s="28"/>
      <c r="U34198" s="28"/>
    </row>
    <row r="34199">
      <c r="N34199" s="28"/>
      <c r="O34199" s="28"/>
      <c r="U34199" s="28"/>
    </row>
    <row r="34200">
      <c r="N34200" s="28"/>
      <c r="O34200" s="28"/>
      <c r="U34200" s="28"/>
    </row>
    <row r="34201">
      <c r="N34201" s="28"/>
      <c r="O34201" s="28"/>
      <c r="U34201" s="28"/>
    </row>
    <row r="34202">
      <c r="N34202" s="28"/>
      <c r="O34202" s="28"/>
      <c r="U34202" s="28"/>
    </row>
    <row r="34203">
      <c r="N34203" s="28"/>
      <c r="O34203" s="28"/>
      <c r="U34203" s="28"/>
    </row>
    <row r="34204">
      <c r="N34204" s="28"/>
      <c r="O34204" s="28"/>
      <c r="U34204" s="28"/>
    </row>
    <row r="34205">
      <c r="N34205" s="28"/>
      <c r="O34205" s="28"/>
      <c r="U34205" s="28"/>
    </row>
    <row r="34206">
      <c r="N34206" s="28"/>
      <c r="O34206" s="28"/>
      <c r="U34206" s="28"/>
    </row>
    <row r="34207">
      <c r="N34207" s="28"/>
      <c r="O34207" s="28"/>
      <c r="U34207" s="28"/>
    </row>
    <row r="34208">
      <c r="N34208" s="28"/>
      <c r="O34208" s="28"/>
      <c r="U34208" s="28"/>
    </row>
    <row r="34209">
      <c r="N34209" s="28"/>
      <c r="O34209" s="28"/>
      <c r="U34209" s="28"/>
    </row>
    <row r="34210">
      <c r="N34210" s="28"/>
      <c r="O34210" s="28"/>
      <c r="U34210" s="28"/>
    </row>
    <row r="34211">
      <c r="N34211" s="28"/>
      <c r="O34211" s="28"/>
      <c r="U34211" s="28"/>
    </row>
    <row r="34212">
      <c r="N34212" s="28"/>
      <c r="O34212" s="28"/>
      <c r="U34212" s="28"/>
    </row>
    <row r="34213">
      <c r="N34213" s="28"/>
      <c r="O34213" s="28"/>
      <c r="U34213" s="28"/>
    </row>
    <row r="34214">
      <c r="N34214" s="28"/>
      <c r="O34214" s="28"/>
      <c r="U34214" s="28"/>
    </row>
    <row r="34215">
      <c r="N34215" s="28"/>
      <c r="O34215" s="28"/>
      <c r="U34215" s="28"/>
    </row>
    <row r="34216">
      <c r="N34216" s="28"/>
      <c r="O34216" s="28"/>
      <c r="U34216" s="28"/>
    </row>
    <row r="34217">
      <c r="N34217" s="28"/>
      <c r="O34217" s="28"/>
      <c r="U34217" s="28"/>
    </row>
    <row r="34218">
      <c r="N34218" s="28"/>
      <c r="O34218" s="28"/>
      <c r="U34218" s="28"/>
    </row>
    <row r="34219">
      <c r="N34219" s="28"/>
      <c r="O34219" s="28"/>
      <c r="U34219" s="28"/>
    </row>
    <row r="34220">
      <c r="N34220" s="28"/>
      <c r="O34220" s="28"/>
      <c r="U34220" s="28"/>
    </row>
    <row r="34221">
      <c r="N34221" s="28"/>
      <c r="O34221" s="28"/>
      <c r="U34221" s="28"/>
    </row>
    <row r="34222">
      <c r="N34222" s="28"/>
      <c r="O34222" s="28"/>
      <c r="U34222" s="28"/>
    </row>
    <row r="34223">
      <c r="N34223" s="28"/>
      <c r="O34223" s="28"/>
      <c r="U34223" s="28"/>
    </row>
    <row r="34224">
      <c r="N34224" s="28"/>
      <c r="O34224" s="28"/>
      <c r="U34224" s="28"/>
    </row>
    <row r="34225">
      <c r="N34225" s="28"/>
      <c r="O34225" s="28"/>
      <c r="U34225" s="28"/>
    </row>
    <row r="34226">
      <c r="N34226" s="28"/>
      <c r="O34226" s="28"/>
      <c r="U34226" s="28"/>
    </row>
    <row r="34227">
      <c r="N34227" s="28"/>
      <c r="O34227" s="28"/>
      <c r="U34227" s="28"/>
    </row>
    <row r="34228">
      <c r="N34228" s="28"/>
      <c r="O34228" s="28"/>
      <c r="U34228" s="28"/>
    </row>
    <row r="34229">
      <c r="N34229" s="28"/>
      <c r="O34229" s="28"/>
      <c r="U34229" s="28"/>
    </row>
    <row r="34230">
      <c r="N34230" s="28"/>
      <c r="O34230" s="28"/>
      <c r="U34230" s="28"/>
    </row>
    <row r="34231">
      <c r="N34231" s="28"/>
      <c r="O34231" s="28"/>
      <c r="U34231" s="28"/>
    </row>
    <row r="34232">
      <c r="N34232" s="28"/>
      <c r="O34232" s="28"/>
      <c r="U34232" s="28"/>
    </row>
    <row r="34233">
      <c r="N34233" s="28"/>
      <c r="O34233" s="28"/>
      <c r="U34233" s="28"/>
    </row>
    <row r="34234">
      <c r="N34234" s="28"/>
      <c r="O34234" s="28"/>
      <c r="U34234" s="28"/>
    </row>
    <row r="34235">
      <c r="N34235" s="28"/>
      <c r="O34235" s="28"/>
      <c r="U34235" s="28"/>
    </row>
    <row r="34236">
      <c r="N34236" s="28"/>
      <c r="O34236" s="28"/>
      <c r="U34236" s="28"/>
    </row>
    <row r="34237">
      <c r="N34237" s="28"/>
      <c r="O34237" s="28"/>
      <c r="U34237" s="28"/>
    </row>
    <row r="34238">
      <c r="N34238" s="28"/>
      <c r="O34238" s="28"/>
      <c r="U34238" s="28"/>
    </row>
    <row r="34239">
      <c r="N34239" s="28"/>
      <c r="O34239" s="28"/>
      <c r="U34239" s="28"/>
    </row>
    <row r="34240">
      <c r="N34240" s="28"/>
      <c r="O34240" s="28"/>
      <c r="U34240" s="28"/>
    </row>
    <row r="34241">
      <c r="N34241" s="28"/>
      <c r="O34241" s="28"/>
      <c r="U34241" s="28"/>
    </row>
    <row r="34242">
      <c r="N34242" s="28"/>
      <c r="O34242" s="28"/>
      <c r="U34242" s="28"/>
    </row>
    <row r="34243">
      <c r="N34243" s="28"/>
      <c r="O34243" s="28"/>
      <c r="U34243" s="28"/>
    </row>
    <row r="34244">
      <c r="N34244" s="28"/>
      <c r="O34244" s="28"/>
      <c r="U34244" s="28"/>
    </row>
    <row r="34245">
      <c r="N34245" s="28"/>
      <c r="O34245" s="28"/>
      <c r="U34245" s="28"/>
    </row>
    <row r="34246">
      <c r="N34246" s="28"/>
      <c r="O34246" s="28"/>
      <c r="U34246" s="28"/>
    </row>
    <row r="34247">
      <c r="N34247" s="28"/>
      <c r="O34247" s="28"/>
      <c r="U34247" s="28"/>
    </row>
    <row r="34248">
      <c r="N34248" s="28"/>
      <c r="O34248" s="28"/>
      <c r="U34248" s="28"/>
    </row>
    <row r="34249">
      <c r="N34249" s="28"/>
      <c r="O34249" s="28"/>
      <c r="U34249" s="28"/>
    </row>
    <row r="34250">
      <c r="N34250" s="28"/>
      <c r="O34250" s="28"/>
      <c r="U34250" s="28"/>
    </row>
    <row r="34251">
      <c r="N34251" s="28"/>
      <c r="O34251" s="28"/>
      <c r="U34251" s="28"/>
    </row>
    <row r="34252">
      <c r="N34252" s="28"/>
      <c r="O34252" s="28"/>
      <c r="U34252" s="28"/>
    </row>
    <row r="34253">
      <c r="N34253" s="28"/>
      <c r="O34253" s="28"/>
      <c r="U34253" s="28"/>
    </row>
    <row r="34254">
      <c r="N34254" s="28"/>
      <c r="O34254" s="28"/>
      <c r="U34254" s="28"/>
    </row>
    <row r="34255">
      <c r="N34255" s="28"/>
      <c r="O34255" s="28"/>
      <c r="U34255" s="28"/>
    </row>
    <row r="34256">
      <c r="N34256" s="28"/>
      <c r="O34256" s="28"/>
      <c r="U34256" s="28"/>
    </row>
    <row r="34257">
      <c r="N34257" s="28"/>
      <c r="O34257" s="28"/>
      <c r="U34257" s="28"/>
    </row>
    <row r="34258">
      <c r="N34258" s="28"/>
      <c r="O34258" s="28"/>
      <c r="U34258" s="28"/>
    </row>
    <row r="34259">
      <c r="N34259" s="28"/>
      <c r="O34259" s="28"/>
      <c r="U34259" s="28"/>
    </row>
    <row r="34260">
      <c r="N34260" s="28"/>
      <c r="O34260" s="28"/>
      <c r="U34260" s="28"/>
    </row>
    <row r="34261">
      <c r="N34261" s="28"/>
      <c r="O34261" s="28"/>
      <c r="U34261" s="28"/>
    </row>
    <row r="34262">
      <c r="N34262" s="28"/>
      <c r="O34262" s="28"/>
      <c r="U34262" s="28"/>
    </row>
    <row r="34263">
      <c r="N34263" s="28"/>
      <c r="O34263" s="28"/>
      <c r="U34263" s="28"/>
    </row>
    <row r="34264">
      <c r="N34264" s="28"/>
      <c r="O34264" s="28"/>
      <c r="U34264" s="28"/>
    </row>
    <row r="34265">
      <c r="N34265" s="28"/>
      <c r="O34265" s="28"/>
      <c r="U34265" s="28"/>
    </row>
    <row r="34266">
      <c r="N34266" s="28"/>
      <c r="O34266" s="28"/>
      <c r="U34266" s="28"/>
    </row>
    <row r="34267">
      <c r="N34267" s="28"/>
      <c r="O34267" s="28"/>
      <c r="U34267" s="28"/>
    </row>
    <row r="34268">
      <c r="N34268" s="28"/>
      <c r="O34268" s="28"/>
      <c r="U34268" s="28"/>
    </row>
    <row r="34269">
      <c r="N34269" s="28"/>
      <c r="O34269" s="28"/>
      <c r="U34269" s="28"/>
    </row>
    <row r="34270">
      <c r="N34270" s="28"/>
      <c r="O34270" s="28"/>
      <c r="U34270" s="28"/>
    </row>
    <row r="34271">
      <c r="N34271" s="28"/>
      <c r="O34271" s="28"/>
      <c r="U34271" s="28"/>
    </row>
    <row r="34272">
      <c r="N34272" s="28"/>
      <c r="O34272" s="28"/>
      <c r="U34272" s="28"/>
    </row>
    <row r="34273">
      <c r="N34273" s="28"/>
      <c r="O34273" s="28"/>
      <c r="U34273" s="28"/>
    </row>
    <row r="34274">
      <c r="N34274" s="28"/>
      <c r="O34274" s="28"/>
      <c r="U34274" s="28"/>
    </row>
    <row r="34275">
      <c r="N34275" s="28"/>
      <c r="O34275" s="28"/>
      <c r="U34275" s="28"/>
    </row>
    <row r="34276">
      <c r="N34276" s="28"/>
      <c r="O34276" s="28"/>
      <c r="U34276" s="28"/>
    </row>
    <row r="34277">
      <c r="N34277" s="28"/>
      <c r="O34277" s="28"/>
      <c r="U34277" s="28"/>
    </row>
    <row r="34278">
      <c r="N34278" s="28"/>
      <c r="O34278" s="28"/>
      <c r="U34278" s="28"/>
    </row>
    <row r="34279">
      <c r="N34279" s="28"/>
      <c r="O34279" s="28"/>
      <c r="U34279" s="28"/>
    </row>
    <row r="34280">
      <c r="N34280" s="28"/>
      <c r="O34280" s="28"/>
      <c r="U34280" s="28"/>
    </row>
    <row r="34281">
      <c r="N34281" s="28"/>
      <c r="O34281" s="28"/>
      <c r="U34281" s="28"/>
    </row>
    <row r="34282">
      <c r="N34282" s="28"/>
      <c r="O34282" s="28"/>
      <c r="U34282" s="28"/>
    </row>
    <row r="34283">
      <c r="N34283" s="28"/>
      <c r="O34283" s="28"/>
      <c r="U34283" s="28"/>
    </row>
    <row r="34284">
      <c r="N34284" s="28"/>
      <c r="O34284" s="28"/>
      <c r="U34284" s="28"/>
    </row>
    <row r="34285">
      <c r="N34285" s="28"/>
      <c r="O34285" s="28"/>
      <c r="U34285" s="28"/>
    </row>
    <row r="34286">
      <c r="N34286" s="28"/>
      <c r="O34286" s="28"/>
      <c r="U34286" s="28"/>
    </row>
    <row r="34287">
      <c r="N34287" s="28"/>
      <c r="O34287" s="28"/>
      <c r="U34287" s="28"/>
    </row>
    <row r="34288">
      <c r="N34288" s="28"/>
      <c r="O34288" s="28"/>
      <c r="U34288" s="28"/>
    </row>
    <row r="34289">
      <c r="N34289" s="28"/>
      <c r="O34289" s="28"/>
      <c r="U34289" s="28"/>
    </row>
    <row r="34290">
      <c r="N34290" s="28"/>
      <c r="O34290" s="28"/>
      <c r="U34290" s="28"/>
    </row>
    <row r="34291">
      <c r="N34291" s="28"/>
      <c r="O34291" s="28"/>
      <c r="U34291" s="28"/>
    </row>
    <row r="34292">
      <c r="N34292" s="28"/>
      <c r="O34292" s="28"/>
      <c r="U34292" s="28"/>
    </row>
    <row r="34293">
      <c r="N34293" s="28"/>
      <c r="O34293" s="28"/>
      <c r="U34293" s="28"/>
    </row>
    <row r="34294">
      <c r="N34294" s="28"/>
      <c r="O34294" s="28"/>
      <c r="U34294" s="28"/>
    </row>
    <row r="34295">
      <c r="N34295" s="28"/>
      <c r="O34295" s="28"/>
      <c r="U34295" s="28"/>
    </row>
    <row r="34296">
      <c r="N34296" s="28"/>
      <c r="O34296" s="28"/>
      <c r="U34296" s="28"/>
    </row>
    <row r="34297">
      <c r="N34297" s="28"/>
      <c r="O34297" s="28"/>
      <c r="U34297" s="28"/>
    </row>
    <row r="34298">
      <c r="N34298" s="28"/>
      <c r="O34298" s="28"/>
      <c r="U34298" s="28"/>
    </row>
    <row r="34299">
      <c r="N34299" s="28"/>
      <c r="O34299" s="28"/>
      <c r="U34299" s="28"/>
    </row>
    <row r="34300">
      <c r="N34300" s="28"/>
      <c r="O34300" s="28"/>
      <c r="U34300" s="28"/>
    </row>
    <row r="34301">
      <c r="N34301" s="28"/>
      <c r="O34301" s="28"/>
      <c r="U34301" s="28"/>
    </row>
    <row r="34302">
      <c r="N34302" s="28"/>
      <c r="O34302" s="28"/>
      <c r="U34302" s="28"/>
    </row>
    <row r="34303">
      <c r="N34303" s="28"/>
      <c r="O34303" s="28"/>
      <c r="U34303" s="28"/>
    </row>
    <row r="34304">
      <c r="N34304" s="28"/>
      <c r="O34304" s="28"/>
      <c r="U34304" s="28"/>
    </row>
    <row r="34305">
      <c r="N34305" s="28"/>
      <c r="O34305" s="28"/>
      <c r="U34305" s="28"/>
    </row>
    <row r="34306">
      <c r="N34306" s="28"/>
      <c r="O34306" s="28"/>
      <c r="U34306" s="28"/>
    </row>
    <row r="34307">
      <c r="N34307" s="28"/>
      <c r="O34307" s="28"/>
      <c r="U34307" s="28"/>
    </row>
    <row r="34308">
      <c r="N34308" s="28"/>
      <c r="O34308" s="28"/>
      <c r="U34308" s="28"/>
    </row>
    <row r="34309">
      <c r="N34309" s="28"/>
      <c r="O34309" s="28"/>
      <c r="U34309" s="28"/>
    </row>
    <row r="34310">
      <c r="N34310" s="28"/>
      <c r="O34310" s="28"/>
      <c r="U34310" s="28"/>
    </row>
    <row r="34311">
      <c r="N34311" s="28"/>
      <c r="O34311" s="28"/>
      <c r="U34311" s="28"/>
    </row>
    <row r="34312">
      <c r="N34312" s="28"/>
      <c r="O34312" s="28"/>
      <c r="U34312" s="28"/>
    </row>
    <row r="34313">
      <c r="N34313" s="28"/>
      <c r="O34313" s="28"/>
      <c r="U34313" s="28"/>
    </row>
    <row r="34314">
      <c r="N34314" s="28"/>
      <c r="O34314" s="28"/>
      <c r="U34314" s="28"/>
    </row>
    <row r="34315">
      <c r="N34315" s="28"/>
      <c r="O34315" s="28"/>
      <c r="U34315" s="28"/>
    </row>
    <row r="34316">
      <c r="N34316" s="28"/>
      <c r="O34316" s="28"/>
      <c r="U34316" s="28"/>
    </row>
    <row r="34317">
      <c r="N34317" s="28"/>
      <c r="O34317" s="28"/>
      <c r="U34317" s="28"/>
    </row>
    <row r="34318">
      <c r="N34318" s="28"/>
      <c r="O34318" s="28"/>
      <c r="U34318" s="28"/>
    </row>
    <row r="34319">
      <c r="N34319" s="28"/>
      <c r="O34319" s="28"/>
      <c r="U34319" s="28"/>
    </row>
    <row r="34320">
      <c r="N34320" s="28"/>
      <c r="O34320" s="28"/>
      <c r="U34320" s="28"/>
    </row>
    <row r="34321">
      <c r="N34321" s="28"/>
      <c r="O34321" s="28"/>
      <c r="U34321" s="28"/>
    </row>
    <row r="34322">
      <c r="N34322" s="28"/>
      <c r="O34322" s="28"/>
      <c r="U34322" s="28"/>
    </row>
    <row r="34323">
      <c r="N34323" s="28"/>
      <c r="O34323" s="28"/>
      <c r="U34323" s="28"/>
    </row>
    <row r="34324">
      <c r="N34324" s="28"/>
      <c r="O34324" s="28"/>
      <c r="U34324" s="28"/>
    </row>
    <row r="34325">
      <c r="N34325" s="28"/>
      <c r="O34325" s="28"/>
      <c r="U34325" s="28"/>
    </row>
    <row r="34326">
      <c r="N34326" s="28"/>
      <c r="O34326" s="28"/>
      <c r="U34326" s="28"/>
    </row>
    <row r="34327">
      <c r="N34327" s="28"/>
      <c r="O34327" s="28"/>
      <c r="U34327" s="28"/>
    </row>
    <row r="34328">
      <c r="N34328" s="28"/>
      <c r="O34328" s="28"/>
      <c r="U34328" s="28"/>
    </row>
    <row r="34329">
      <c r="N34329" s="28"/>
      <c r="O34329" s="28"/>
      <c r="U34329" s="28"/>
    </row>
    <row r="34330">
      <c r="N34330" s="28"/>
      <c r="O34330" s="28"/>
      <c r="U34330" s="28"/>
    </row>
    <row r="34331">
      <c r="N34331" s="28"/>
      <c r="O34331" s="28"/>
      <c r="U34331" s="28"/>
    </row>
    <row r="34332">
      <c r="N34332" s="28"/>
      <c r="O34332" s="28"/>
      <c r="U34332" s="28"/>
    </row>
    <row r="34333">
      <c r="N34333" s="28"/>
      <c r="O34333" s="28"/>
      <c r="U34333" s="28"/>
    </row>
    <row r="34334">
      <c r="N34334" s="28"/>
      <c r="O34334" s="28"/>
      <c r="U34334" s="28"/>
    </row>
    <row r="34335">
      <c r="N34335" s="28"/>
      <c r="O34335" s="28"/>
      <c r="U34335" s="28"/>
    </row>
    <row r="34336">
      <c r="N34336" s="28"/>
      <c r="O34336" s="28"/>
      <c r="U34336" s="28"/>
    </row>
    <row r="34337">
      <c r="N34337" s="28"/>
      <c r="O34337" s="28"/>
      <c r="U34337" s="28"/>
    </row>
    <row r="34338">
      <c r="N34338" s="28"/>
      <c r="O34338" s="28"/>
      <c r="U34338" s="28"/>
    </row>
    <row r="34339">
      <c r="N34339" s="28"/>
      <c r="O34339" s="28"/>
      <c r="U34339" s="28"/>
    </row>
    <row r="34340">
      <c r="N34340" s="28"/>
      <c r="O34340" s="28"/>
      <c r="U34340" s="28"/>
    </row>
    <row r="34341">
      <c r="N34341" s="28"/>
      <c r="O34341" s="28"/>
      <c r="U34341" s="28"/>
    </row>
    <row r="34342">
      <c r="N34342" s="28"/>
      <c r="O34342" s="28"/>
      <c r="U34342" s="28"/>
    </row>
    <row r="34343">
      <c r="N34343" s="28"/>
      <c r="O34343" s="28"/>
      <c r="U34343" s="28"/>
    </row>
    <row r="34344">
      <c r="N34344" s="28"/>
      <c r="O34344" s="28"/>
      <c r="U34344" s="28"/>
    </row>
    <row r="34345">
      <c r="N34345" s="28"/>
      <c r="O34345" s="28"/>
      <c r="U34345" s="28"/>
    </row>
    <row r="34346">
      <c r="N34346" s="28"/>
      <c r="O34346" s="28"/>
      <c r="U34346" s="28"/>
    </row>
    <row r="34347">
      <c r="N34347" s="28"/>
      <c r="O34347" s="28"/>
      <c r="U34347" s="28"/>
    </row>
    <row r="34348">
      <c r="N34348" s="28"/>
      <c r="O34348" s="28"/>
      <c r="U34348" s="28"/>
    </row>
    <row r="34349">
      <c r="N34349" s="28"/>
      <c r="O34349" s="28"/>
      <c r="U34349" s="28"/>
    </row>
    <row r="34350">
      <c r="N34350" s="28"/>
      <c r="O34350" s="28"/>
      <c r="U34350" s="28"/>
    </row>
    <row r="34351">
      <c r="N34351" s="28"/>
      <c r="O34351" s="28"/>
      <c r="U34351" s="28"/>
    </row>
    <row r="34352">
      <c r="N34352" s="28"/>
      <c r="O34352" s="28"/>
      <c r="U34352" s="28"/>
    </row>
    <row r="34353">
      <c r="N34353" s="28"/>
      <c r="O34353" s="28"/>
      <c r="U34353" s="28"/>
    </row>
    <row r="34354">
      <c r="N34354" s="28"/>
      <c r="O34354" s="28"/>
      <c r="U34354" s="28"/>
    </row>
    <row r="34355">
      <c r="N34355" s="28"/>
      <c r="O34355" s="28"/>
      <c r="U34355" s="28"/>
    </row>
    <row r="34356">
      <c r="N34356" s="28"/>
      <c r="O34356" s="28"/>
      <c r="U34356" s="28"/>
    </row>
    <row r="34357">
      <c r="N34357" s="28"/>
      <c r="O34357" s="28"/>
      <c r="U34357" s="28"/>
    </row>
    <row r="34358">
      <c r="N34358" s="28"/>
      <c r="O34358" s="28"/>
      <c r="U34358" s="28"/>
    </row>
    <row r="34359">
      <c r="N34359" s="28"/>
      <c r="O34359" s="28"/>
      <c r="U34359" s="28"/>
    </row>
    <row r="34360">
      <c r="N34360" s="28"/>
      <c r="O34360" s="28"/>
      <c r="U34360" s="28"/>
    </row>
    <row r="34361">
      <c r="N34361" s="28"/>
      <c r="O34361" s="28"/>
      <c r="U34361" s="28"/>
    </row>
    <row r="34362">
      <c r="N34362" s="28"/>
      <c r="O34362" s="28"/>
      <c r="U34362" s="28"/>
    </row>
    <row r="34363">
      <c r="N34363" s="28"/>
      <c r="O34363" s="28"/>
      <c r="U34363" s="28"/>
    </row>
    <row r="34364">
      <c r="N34364" s="28"/>
      <c r="O34364" s="28"/>
      <c r="U34364" s="28"/>
    </row>
    <row r="34365">
      <c r="N34365" s="28"/>
      <c r="O34365" s="28"/>
      <c r="U34365" s="28"/>
    </row>
    <row r="34366">
      <c r="N34366" s="28"/>
      <c r="O34366" s="28"/>
      <c r="U34366" s="28"/>
    </row>
    <row r="34367">
      <c r="N34367" s="28"/>
      <c r="O34367" s="28"/>
      <c r="U34367" s="28"/>
    </row>
    <row r="34368">
      <c r="N34368" s="28"/>
      <c r="O34368" s="28"/>
      <c r="U34368" s="28"/>
    </row>
    <row r="34369">
      <c r="N34369" s="28"/>
      <c r="O34369" s="28"/>
      <c r="U34369" s="28"/>
    </row>
    <row r="34370">
      <c r="N34370" s="28"/>
      <c r="O34370" s="28"/>
      <c r="U34370" s="28"/>
    </row>
    <row r="34371">
      <c r="N34371" s="28"/>
      <c r="O34371" s="28"/>
      <c r="U34371" s="28"/>
    </row>
    <row r="34372">
      <c r="N34372" s="28"/>
      <c r="O34372" s="28"/>
      <c r="U34372" s="28"/>
    </row>
    <row r="34373">
      <c r="N34373" s="28"/>
      <c r="O34373" s="28"/>
      <c r="U34373" s="28"/>
    </row>
    <row r="34374">
      <c r="N34374" s="28"/>
      <c r="O34374" s="28"/>
      <c r="U34374" s="28"/>
    </row>
    <row r="34375">
      <c r="N34375" s="28"/>
      <c r="O34375" s="28"/>
      <c r="U34375" s="28"/>
    </row>
    <row r="34376">
      <c r="N34376" s="28"/>
      <c r="O34376" s="28"/>
      <c r="U34376" s="28"/>
    </row>
    <row r="34377">
      <c r="N34377" s="28"/>
      <c r="O34377" s="28"/>
      <c r="U34377" s="28"/>
    </row>
    <row r="34378">
      <c r="N34378" s="28"/>
      <c r="O34378" s="28"/>
      <c r="U34378" s="28"/>
    </row>
    <row r="34379">
      <c r="N34379" s="28"/>
      <c r="O34379" s="28"/>
      <c r="U34379" s="28"/>
    </row>
    <row r="34380">
      <c r="N34380" s="28"/>
      <c r="O34380" s="28"/>
      <c r="U34380" s="28"/>
    </row>
    <row r="34381">
      <c r="N34381" s="28"/>
      <c r="O34381" s="28"/>
      <c r="U34381" s="28"/>
    </row>
    <row r="34382">
      <c r="N34382" s="28"/>
      <c r="O34382" s="28"/>
      <c r="U34382" s="28"/>
    </row>
    <row r="34383">
      <c r="N34383" s="28"/>
      <c r="O34383" s="28"/>
      <c r="U34383" s="28"/>
    </row>
    <row r="34384">
      <c r="N34384" s="28"/>
      <c r="O34384" s="28"/>
      <c r="U34384" s="28"/>
    </row>
    <row r="34385">
      <c r="N34385" s="28"/>
      <c r="O34385" s="28"/>
      <c r="U34385" s="28"/>
    </row>
    <row r="34386">
      <c r="N34386" s="28"/>
      <c r="O34386" s="28"/>
      <c r="U34386" s="28"/>
    </row>
    <row r="34387">
      <c r="N34387" s="28"/>
      <c r="O34387" s="28"/>
      <c r="U34387" s="28"/>
    </row>
    <row r="34388">
      <c r="N34388" s="28"/>
      <c r="O34388" s="28"/>
      <c r="U34388" s="28"/>
    </row>
    <row r="34389">
      <c r="N34389" s="28"/>
      <c r="O34389" s="28"/>
      <c r="U34389" s="28"/>
    </row>
    <row r="34390">
      <c r="N34390" s="28"/>
      <c r="O34390" s="28"/>
      <c r="U34390" s="28"/>
    </row>
    <row r="34391">
      <c r="N34391" s="28"/>
      <c r="O34391" s="28"/>
      <c r="U34391" s="28"/>
    </row>
    <row r="34392">
      <c r="N34392" s="28"/>
      <c r="O34392" s="28"/>
      <c r="U34392" s="28"/>
    </row>
    <row r="34393">
      <c r="N34393" s="28"/>
      <c r="O34393" s="28"/>
      <c r="U34393" s="28"/>
    </row>
    <row r="34394">
      <c r="N34394" s="28"/>
      <c r="O34394" s="28"/>
      <c r="U34394" s="28"/>
    </row>
    <row r="34395">
      <c r="N34395" s="28"/>
      <c r="O34395" s="28"/>
      <c r="U34395" s="28"/>
    </row>
    <row r="34396">
      <c r="N34396" s="28"/>
      <c r="O34396" s="28"/>
      <c r="U34396" s="28"/>
    </row>
    <row r="34397">
      <c r="N34397" s="28"/>
      <c r="O34397" s="28"/>
      <c r="U34397" s="28"/>
    </row>
    <row r="34398">
      <c r="N34398" s="28"/>
      <c r="O34398" s="28"/>
      <c r="U34398" s="28"/>
    </row>
    <row r="34399">
      <c r="N34399" s="28"/>
      <c r="O34399" s="28"/>
      <c r="U34399" s="28"/>
    </row>
    <row r="34400">
      <c r="N34400" s="28"/>
      <c r="O34400" s="28"/>
      <c r="U34400" s="28"/>
    </row>
    <row r="34401">
      <c r="N34401" s="28"/>
      <c r="O34401" s="28"/>
      <c r="U34401" s="28"/>
    </row>
    <row r="34402">
      <c r="N34402" s="28"/>
      <c r="O34402" s="28"/>
      <c r="U34402" s="28"/>
    </row>
    <row r="34403">
      <c r="N34403" s="28"/>
      <c r="O34403" s="28"/>
      <c r="U34403" s="28"/>
    </row>
    <row r="34404">
      <c r="N34404" s="28"/>
      <c r="O34404" s="28"/>
      <c r="U34404" s="28"/>
    </row>
    <row r="34405">
      <c r="N34405" s="28"/>
      <c r="O34405" s="28"/>
      <c r="U34405" s="28"/>
    </row>
    <row r="34406">
      <c r="N34406" s="28"/>
      <c r="O34406" s="28"/>
      <c r="U34406" s="28"/>
    </row>
    <row r="34407">
      <c r="N34407" s="28"/>
      <c r="O34407" s="28"/>
      <c r="U34407" s="28"/>
    </row>
    <row r="34408">
      <c r="N34408" s="28"/>
      <c r="O34408" s="28"/>
      <c r="U34408" s="28"/>
    </row>
    <row r="34409">
      <c r="N34409" s="28"/>
      <c r="O34409" s="28"/>
      <c r="U34409" s="28"/>
    </row>
    <row r="34410">
      <c r="N34410" s="28"/>
      <c r="O34410" s="28"/>
      <c r="U34410" s="28"/>
    </row>
    <row r="34411">
      <c r="N34411" s="28"/>
      <c r="O34411" s="28"/>
      <c r="U34411" s="28"/>
    </row>
    <row r="34412">
      <c r="N34412" s="28"/>
      <c r="O34412" s="28"/>
      <c r="U34412" s="28"/>
    </row>
    <row r="34413">
      <c r="N34413" s="28"/>
      <c r="O34413" s="28"/>
      <c r="U34413" s="28"/>
    </row>
    <row r="34414">
      <c r="N34414" s="28"/>
      <c r="O34414" s="28"/>
      <c r="U34414" s="28"/>
    </row>
    <row r="34415">
      <c r="N34415" s="28"/>
      <c r="O34415" s="28"/>
      <c r="U34415" s="28"/>
    </row>
    <row r="34416">
      <c r="N34416" s="28"/>
      <c r="O34416" s="28"/>
      <c r="U34416" s="28"/>
    </row>
    <row r="34417">
      <c r="N34417" s="28"/>
      <c r="O34417" s="28"/>
      <c r="U34417" s="28"/>
    </row>
    <row r="34418">
      <c r="N34418" s="28"/>
      <c r="O34418" s="28"/>
      <c r="U34418" s="28"/>
    </row>
    <row r="34419">
      <c r="N34419" s="28"/>
      <c r="O34419" s="28"/>
      <c r="U34419" s="28"/>
    </row>
    <row r="34420">
      <c r="N34420" s="28"/>
      <c r="O34420" s="28"/>
      <c r="U34420" s="28"/>
    </row>
    <row r="34421">
      <c r="N34421" s="28"/>
      <c r="O34421" s="28"/>
      <c r="U34421" s="28"/>
    </row>
    <row r="34422">
      <c r="N34422" s="28"/>
      <c r="O34422" s="28"/>
      <c r="U34422" s="28"/>
    </row>
    <row r="34423">
      <c r="N34423" s="28"/>
      <c r="O34423" s="28"/>
      <c r="U34423" s="28"/>
    </row>
    <row r="34424">
      <c r="N34424" s="28"/>
      <c r="O34424" s="28"/>
      <c r="U34424" s="28"/>
    </row>
    <row r="34425">
      <c r="N34425" s="28"/>
      <c r="O34425" s="28"/>
      <c r="U34425" s="28"/>
    </row>
    <row r="34426">
      <c r="N34426" s="28"/>
      <c r="O34426" s="28"/>
      <c r="U34426" s="28"/>
    </row>
    <row r="34427">
      <c r="N34427" s="28"/>
      <c r="O34427" s="28"/>
      <c r="U34427" s="28"/>
    </row>
    <row r="34428">
      <c r="N34428" s="28"/>
      <c r="O34428" s="28"/>
      <c r="U34428" s="28"/>
    </row>
    <row r="34429">
      <c r="N34429" s="28"/>
      <c r="O34429" s="28"/>
      <c r="U34429" s="28"/>
    </row>
    <row r="34430">
      <c r="N34430" s="28"/>
      <c r="O34430" s="28"/>
      <c r="U34430" s="28"/>
    </row>
    <row r="34431">
      <c r="N34431" s="28"/>
      <c r="O34431" s="28"/>
      <c r="U34431" s="28"/>
    </row>
    <row r="34432">
      <c r="N34432" s="28"/>
      <c r="O34432" s="28"/>
      <c r="U34432" s="28"/>
    </row>
    <row r="34433">
      <c r="N34433" s="28"/>
      <c r="O34433" s="28"/>
      <c r="U34433" s="28"/>
    </row>
    <row r="34434">
      <c r="N34434" s="28"/>
      <c r="O34434" s="28"/>
      <c r="U34434" s="28"/>
    </row>
    <row r="34435">
      <c r="N34435" s="28"/>
      <c r="O34435" s="28"/>
      <c r="U34435" s="28"/>
    </row>
    <row r="34436">
      <c r="N34436" s="28"/>
      <c r="O34436" s="28"/>
      <c r="U34436" s="28"/>
    </row>
    <row r="34437">
      <c r="N34437" s="28"/>
      <c r="O34437" s="28"/>
      <c r="U34437" s="28"/>
    </row>
    <row r="34438">
      <c r="N34438" s="28"/>
      <c r="O34438" s="28"/>
      <c r="U34438" s="28"/>
    </row>
    <row r="34439">
      <c r="N34439" s="28"/>
      <c r="O34439" s="28"/>
      <c r="U34439" s="28"/>
    </row>
    <row r="34440">
      <c r="N34440" s="28"/>
      <c r="O34440" s="28"/>
      <c r="U34440" s="28"/>
    </row>
    <row r="34441">
      <c r="N34441" s="28"/>
      <c r="O34441" s="28"/>
      <c r="U34441" s="28"/>
    </row>
    <row r="34442">
      <c r="N34442" s="28"/>
      <c r="O34442" s="28"/>
      <c r="U34442" s="28"/>
    </row>
    <row r="34443">
      <c r="N34443" s="28"/>
      <c r="O34443" s="28"/>
      <c r="U34443" s="28"/>
    </row>
    <row r="34444">
      <c r="N34444" s="28"/>
      <c r="O34444" s="28"/>
      <c r="U34444" s="28"/>
    </row>
    <row r="34445">
      <c r="N34445" s="28"/>
      <c r="O34445" s="28"/>
      <c r="U34445" s="28"/>
    </row>
    <row r="34446">
      <c r="N34446" s="28"/>
      <c r="O34446" s="28"/>
      <c r="U34446" s="28"/>
    </row>
    <row r="34447">
      <c r="N34447" s="28"/>
      <c r="O34447" s="28"/>
      <c r="U34447" s="28"/>
    </row>
    <row r="34448">
      <c r="N34448" s="28"/>
      <c r="O34448" s="28"/>
      <c r="U34448" s="28"/>
    </row>
    <row r="34449">
      <c r="N34449" s="28"/>
      <c r="O34449" s="28"/>
      <c r="U34449" s="28"/>
    </row>
    <row r="34450">
      <c r="N34450" s="28"/>
      <c r="O34450" s="28"/>
      <c r="U34450" s="28"/>
    </row>
    <row r="34451">
      <c r="N34451" s="28"/>
      <c r="O34451" s="28"/>
      <c r="U34451" s="28"/>
    </row>
    <row r="34452">
      <c r="N34452" s="28"/>
      <c r="O34452" s="28"/>
      <c r="U34452" s="28"/>
    </row>
    <row r="34453">
      <c r="N34453" s="28"/>
      <c r="O34453" s="28"/>
      <c r="U34453" s="28"/>
    </row>
    <row r="34454">
      <c r="N34454" s="28"/>
      <c r="O34454" s="28"/>
      <c r="U34454" s="28"/>
    </row>
    <row r="34455">
      <c r="N34455" s="28"/>
      <c r="O34455" s="28"/>
      <c r="U34455" s="28"/>
    </row>
    <row r="34456">
      <c r="N34456" s="28"/>
      <c r="O34456" s="28"/>
      <c r="U34456" s="28"/>
    </row>
    <row r="34457">
      <c r="N34457" s="28"/>
      <c r="O34457" s="28"/>
      <c r="U34457" s="28"/>
    </row>
    <row r="34458">
      <c r="N34458" s="28"/>
      <c r="O34458" s="28"/>
      <c r="U34458" s="28"/>
    </row>
    <row r="34459">
      <c r="N34459" s="28"/>
      <c r="O34459" s="28"/>
      <c r="U34459" s="28"/>
    </row>
    <row r="34460">
      <c r="N34460" s="28"/>
      <c r="O34460" s="28"/>
      <c r="U34460" s="28"/>
    </row>
    <row r="34461">
      <c r="N34461" s="28"/>
      <c r="O34461" s="28"/>
      <c r="U34461" s="28"/>
    </row>
    <row r="34462">
      <c r="N34462" s="28"/>
      <c r="O34462" s="28"/>
      <c r="U34462" s="28"/>
    </row>
    <row r="34463">
      <c r="N34463" s="28"/>
      <c r="O34463" s="28"/>
      <c r="U34463" s="28"/>
    </row>
    <row r="34464">
      <c r="N34464" s="28"/>
      <c r="O34464" s="28"/>
      <c r="U34464" s="28"/>
    </row>
    <row r="34465">
      <c r="N34465" s="28"/>
      <c r="O34465" s="28"/>
      <c r="U34465" s="28"/>
    </row>
    <row r="34466">
      <c r="N34466" s="28"/>
      <c r="O34466" s="28"/>
      <c r="U34466" s="28"/>
    </row>
    <row r="34467">
      <c r="N34467" s="28"/>
      <c r="O34467" s="28"/>
      <c r="U34467" s="28"/>
    </row>
    <row r="34468">
      <c r="N34468" s="28"/>
      <c r="O34468" s="28"/>
      <c r="U34468" s="28"/>
    </row>
    <row r="34469">
      <c r="N34469" s="28"/>
      <c r="O34469" s="28"/>
      <c r="U34469" s="28"/>
    </row>
    <row r="34470">
      <c r="N34470" s="28"/>
      <c r="O34470" s="28"/>
      <c r="U34470" s="28"/>
    </row>
    <row r="34471">
      <c r="N34471" s="28"/>
      <c r="O34471" s="28"/>
      <c r="U34471" s="28"/>
    </row>
    <row r="34472">
      <c r="N34472" s="28"/>
      <c r="O34472" s="28"/>
      <c r="U34472" s="28"/>
    </row>
    <row r="34473">
      <c r="N34473" s="28"/>
      <c r="O34473" s="28"/>
      <c r="U34473" s="28"/>
    </row>
    <row r="34474">
      <c r="N34474" s="28"/>
      <c r="O34474" s="28"/>
      <c r="U34474" s="28"/>
    </row>
    <row r="34475">
      <c r="N34475" s="28"/>
      <c r="O34475" s="28"/>
      <c r="U34475" s="28"/>
    </row>
    <row r="34476">
      <c r="N34476" s="28"/>
      <c r="O34476" s="28"/>
      <c r="U34476" s="28"/>
    </row>
    <row r="34477">
      <c r="N34477" s="28"/>
      <c r="O34477" s="28"/>
      <c r="U34477" s="28"/>
    </row>
    <row r="34478">
      <c r="N34478" s="28"/>
      <c r="O34478" s="28"/>
      <c r="U34478" s="28"/>
    </row>
    <row r="34479">
      <c r="N34479" s="28"/>
      <c r="O34479" s="28"/>
      <c r="U34479" s="28"/>
    </row>
    <row r="34480">
      <c r="N34480" s="28"/>
      <c r="O34480" s="28"/>
      <c r="U34480" s="28"/>
    </row>
    <row r="34481">
      <c r="N34481" s="28"/>
      <c r="O34481" s="28"/>
      <c r="U34481" s="28"/>
    </row>
    <row r="34482">
      <c r="N34482" s="28"/>
      <c r="O34482" s="28"/>
      <c r="U34482" s="28"/>
    </row>
    <row r="34483">
      <c r="N34483" s="28"/>
      <c r="O34483" s="28"/>
      <c r="U34483" s="28"/>
    </row>
    <row r="34484">
      <c r="N34484" s="28"/>
      <c r="O34484" s="28"/>
      <c r="U34484" s="28"/>
    </row>
    <row r="34485">
      <c r="N34485" s="28"/>
      <c r="O34485" s="28"/>
      <c r="U34485" s="28"/>
    </row>
    <row r="34486">
      <c r="N34486" s="28"/>
      <c r="O34486" s="28"/>
      <c r="U34486" s="28"/>
    </row>
    <row r="34487">
      <c r="N34487" s="28"/>
      <c r="O34487" s="28"/>
      <c r="U34487" s="28"/>
    </row>
    <row r="34488">
      <c r="N34488" s="28"/>
      <c r="O34488" s="28"/>
      <c r="U34488" s="28"/>
    </row>
    <row r="34489">
      <c r="N34489" s="28"/>
      <c r="O34489" s="28"/>
      <c r="U34489" s="28"/>
    </row>
    <row r="34490">
      <c r="N34490" s="28"/>
      <c r="O34490" s="28"/>
      <c r="U34490" s="28"/>
    </row>
    <row r="34491">
      <c r="N34491" s="28"/>
      <c r="O34491" s="28"/>
      <c r="U34491" s="28"/>
    </row>
    <row r="34492">
      <c r="N34492" s="28"/>
      <c r="O34492" s="28"/>
      <c r="U34492" s="28"/>
    </row>
    <row r="34493">
      <c r="N34493" s="28"/>
      <c r="O34493" s="28"/>
      <c r="U34493" s="28"/>
    </row>
    <row r="34494">
      <c r="N34494" s="28"/>
      <c r="O34494" s="28"/>
      <c r="U34494" s="28"/>
    </row>
    <row r="34495">
      <c r="N34495" s="28"/>
      <c r="O34495" s="28"/>
      <c r="U34495" s="28"/>
    </row>
    <row r="34496">
      <c r="N34496" s="28"/>
      <c r="O34496" s="28"/>
      <c r="U34496" s="28"/>
    </row>
    <row r="34497">
      <c r="N34497" s="28"/>
      <c r="O34497" s="28"/>
      <c r="U34497" s="28"/>
    </row>
    <row r="34498">
      <c r="N34498" s="28"/>
      <c r="O34498" s="28"/>
      <c r="U34498" s="28"/>
    </row>
    <row r="34499">
      <c r="N34499" s="28"/>
      <c r="O34499" s="28"/>
      <c r="U34499" s="28"/>
    </row>
    <row r="34500">
      <c r="N34500" s="28"/>
      <c r="O34500" s="28"/>
      <c r="U34500" s="28"/>
    </row>
    <row r="34501">
      <c r="N34501" s="28"/>
      <c r="O34501" s="28"/>
      <c r="U34501" s="28"/>
    </row>
    <row r="34502">
      <c r="N34502" s="28"/>
      <c r="O34502" s="28"/>
      <c r="U34502" s="28"/>
    </row>
    <row r="34503">
      <c r="N34503" s="28"/>
      <c r="O34503" s="28"/>
      <c r="U34503" s="28"/>
    </row>
    <row r="34504">
      <c r="N34504" s="28"/>
      <c r="O34504" s="28"/>
      <c r="U34504" s="28"/>
    </row>
    <row r="34505">
      <c r="N34505" s="28"/>
      <c r="O34505" s="28"/>
      <c r="U34505" s="28"/>
    </row>
    <row r="34506">
      <c r="N34506" s="28"/>
      <c r="O34506" s="28"/>
      <c r="U34506" s="28"/>
    </row>
    <row r="34507">
      <c r="N34507" s="28"/>
      <c r="O34507" s="28"/>
      <c r="U34507" s="28"/>
    </row>
    <row r="34508">
      <c r="N34508" s="28"/>
      <c r="O34508" s="28"/>
      <c r="U34508" s="28"/>
    </row>
    <row r="34509">
      <c r="N34509" s="28"/>
      <c r="O34509" s="28"/>
      <c r="U34509" s="28"/>
    </row>
    <row r="34510">
      <c r="N34510" s="28"/>
      <c r="O34510" s="28"/>
      <c r="U34510" s="28"/>
    </row>
    <row r="34511">
      <c r="N34511" s="28"/>
      <c r="O34511" s="28"/>
      <c r="U34511" s="28"/>
    </row>
    <row r="34512">
      <c r="N34512" s="28"/>
      <c r="O34512" s="28"/>
      <c r="U34512" s="28"/>
    </row>
    <row r="34513">
      <c r="N34513" s="28"/>
      <c r="O34513" s="28"/>
      <c r="U34513" s="28"/>
    </row>
    <row r="34514">
      <c r="N34514" s="28"/>
      <c r="O34514" s="28"/>
      <c r="U34514" s="28"/>
    </row>
    <row r="34515">
      <c r="N34515" s="28"/>
      <c r="O34515" s="28"/>
      <c r="U34515" s="28"/>
    </row>
    <row r="34516">
      <c r="N34516" s="28"/>
      <c r="O34516" s="28"/>
      <c r="U34516" s="28"/>
    </row>
    <row r="34517">
      <c r="N34517" s="28"/>
      <c r="O34517" s="28"/>
      <c r="U34517" s="28"/>
    </row>
    <row r="34518">
      <c r="N34518" s="28"/>
      <c r="O34518" s="28"/>
      <c r="U34518" s="28"/>
    </row>
    <row r="34519">
      <c r="N34519" s="28"/>
      <c r="O34519" s="28"/>
      <c r="U34519" s="28"/>
    </row>
    <row r="34520">
      <c r="N34520" s="28"/>
      <c r="O34520" s="28"/>
      <c r="U34520" s="28"/>
    </row>
    <row r="34521">
      <c r="N34521" s="28"/>
      <c r="O34521" s="28"/>
      <c r="U34521" s="28"/>
    </row>
    <row r="34522">
      <c r="N34522" s="28"/>
      <c r="O34522" s="28"/>
      <c r="U34522" s="28"/>
    </row>
    <row r="34523">
      <c r="N34523" s="28"/>
      <c r="O34523" s="28"/>
      <c r="U34523" s="28"/>
    </row>
    <row r="34524">
      <c r="N34524" s="28"/>
      <c r="O34524" s="28"/>
      <c r="U34524" s="28"/>
    </row>
    <row r="34525">
      <c r="N34525" s="28"/>
      <c r="O34525" s="28"/>
      <c r="U34525" s="28"/>
    </row>
    <row r="34526">
      <c r="N34526" s="28"/>
      <c r="O34526" s="28"/>
      <c r="U34526" s="28"/>
    </row>
    <row r="34527">
      <c r="N34527" s="28"/>
      <c r="O34527" s="28"/>
      <c r="U34527" s="28"/>
    </row>
    <row r="34528">
      <c r="N34528" s="28"/>
      <c r="O34528" s="28"/>
      <c r="U34528" s="28"/>
    </row>
    <row r="34529">
      <c r="N34529" s="28"/>
      <c r="O34529" s="28"/>
      <c r="U34529" s="28"/>
    </row>
    <row r="34530">
      <c r="N34530" s="28"/>
      <c r="O34530" s="28"/>
      <c r="U34530" s="28"/>
    </row>
    <row r="34531">
      <c r="N34531" s="28"/>
      <c r="O34531" s="28"/>
      <c r="U34531" s="28"/>
    </row>
    <row r="34532">
      <c r="N34532" s="28"/>
      <c r="O34532" s="28"/>
      <c r="U34532" s="28"/>
    </row>
    <row r="34533">
      <c r="N34533" s="28"/>
      <c r="O34533" s="28"/>
      <c r="U34533" s="28"/>
    </row>
    <row r="34534">
      <c r="N34534" s="28"/>
      <c r="O34534" s="28"/>
      <c r="U34534" s="28"/>
    </row>
    <row r="34535">
      <c r="N34535" s="28"/>
      <c r="O34535" s="28"/>
      <c r="U34535" s="28"/>
    </row>
    <row r="34536">
      <c r="N34536" s="28"/>
      <c r="O34536" s="28"/>
      <c r="U34536" s="28"/>
    </row>
    <row r="34537">
      <c r="N34537" s="28"/>
      <c r="O34537" s="28"/>
      <c r="U34537" s="28"/>
    </row>
    <row r="34538">
      <c r="N34538" s="28"/>
      <c r="O34538" s="28"/>
      <c r="U34538" s="28"/>
    </row>
    <row r="34539">
      <c r="N34539" s="28"/>
      <c r="O34539" s="28"/>
      <c r="U34539" s="28"/>
    </row>
    <row r="34540">
      <c r="N34540" s="28"/>
      <c r="O34540" s="28"/>
      <c r="U34540" s="28"/>
    </row>
    <row r="34541">
      <c r="N34541" s="28"/>
      <c r="O34541" s="28"/>
      <c r="U34541" s="28"/>
    </row>
    <row r="34542">
      <c r="N34542" s="28"/>
      <c r="O34542" s="28"/>
      <c r="U34542" s="28"/>
    </row>
    <row r="34543">
      <c r="N34543" s="28"/>
      <c r="O34543" s="28"/>
      <c r="U34543" s="28"/>
    </row>
    <row r="34544">
      <c r="N34544" s="28"/>
      <c r="O34544" s="28"/>
      <c r="U34544" s="28"/>
    </row>
    <row r="34545">
      <c r="N34545" s="28"/>
      <c r="O34545" s="28"/>
      <c r="U34545" s="28"/>
    </row>
    <row r="34546">
      <c r="N34546" s="28"/>
      <c r="O34546" s="28"/>
      <c r="U34546" s="28"/>
    </row>
    <row r="34547">
      <c r="N34547" s="28"/>
      <c r="O34547" s="28"/>
      <c r="U34547" s="28"/>
    </row>
    <row r="34548">
      <c r="N34548" s="28"/>
      <c r="O34548" s="28"/>
      <c r="U34548" s="28"/>
    </row>
    <row r="34549">
      <c r="N34549" s="28"/>
      <c r="O34549" s="28"/>
      <c r="U34549" s="28"/>
    </row>
    <row r="34550">
      <c r="N34550" s="28"/>
      <c r="O34550" s="28"/>
      <c r="U34550" s="28"/>
    </row>
    <row r="34551">
      <c r="N34551" s="28"/>
      <c r="O34551" s="28"/>
      <c r="U34551" s="28"/>
    </row>
    <row r="34552">
      <c r="N34552" s="28"/>
      <c r="O34552" s="28"/>
      <c r="U34552" s="28"/>
    </row>
    <row r="34553">
      <c r="N34553" s="28"/>
      <c r="O34553" s="28"/>
      <c r="U34553" s="28"/>
    </row>
    <row r="34554">
      <c r="N34554" s="28"/>
      <c r="O34554" s="28"/>
      <c r="U34554" s="28"/>
    </row>
    <row r="34555">
      <c r="N34555" s="28"/>
      <c r="O34555" s="28"/>
      <c r="U34555" s="28"/>
    </row>
    <row r="34556">
      <c r="N34556" s="28"/>
      <c r="O34556" s="28"/>
      <c r="U34556" s="28"/>
    </row>
    <row r="34557">
      <c r="N34557" s="28"/>
      <c r="O34557" s="28"/>
      <c r="U34557" s="28"/>
    </row>
    <row r="34558">
      <c r="N34558" s="28"/>
      <c r="O34558" s="28"/>
      <c r="U34558" s="28"/>
    </row>
    <row r="34559">
      <c r="N34559" s="28"/>
      <c r="O34559" s="28"/>
      <c r="U34559" s="28"/>
    </row>
    <row r="34560">
      <c r="N34560" s="28"/>
      <c r="O34560" s="28"/>
      <c r="U34560" s="28"/>
    </row>
    <row r="34561">
      <c r="N34561" s="28"/>
      <c r="O34561" s="28"/>
      <c r="U34561" s="28"/>
    </row>
    <row r="34562">
      <c r="N34562" s="28"/>
      <c r="O34562" s="28"/>
      <c r="U34562" s="28"/>
    </row>
    <row r="34563">
      <c r="N34563" s="28"/>
      <c r="O34563" s="28"/>
      <c r="U34563" s="28"/>
    </row>
    <row r="34564">
      <c r="N34564" s="28"/>
      <c r="O34564" s="28"/>
      <c r="U34564" s="28"/>
    </row>
    <row r="34565">
      <c r="N34565" s="28"/>
      <c r="O34565" s="28"/>
      <c r="U34565" s="28"/>
    </row>
    <row r="34566">
      <c r="N34566" s="28"/>
      <c r="O34566" s="28"/>
      <c r="U34566" s="28"/>
    </row>
    <row r="34567">
      <c r="N34567" s="28"/>
      <c r="O34567" s="28"/>
      <c r="U34567" s="28"/>
    </row>
    <row r="34568">
      <c r="N34568" s="28"/>
      <c r="O34568" s="28"/>
      <c r="U34568" s="28"/>
    </row>
    <row r="34569">
      <c r="N34569" s="28"/>
      <c r="O34569" s="28"/>
      <c r="U34569" s="28"/>
    </row>
    <row r="34570">
      <c r="N34570" s="28"/>
      <c r="O34570" s="28"/>
      <c r="U34570" s="28"/>
    </row>
    <row r="34571">
      <c r="N34571" s="28"/>
      <c r="O34571" s="28"/>
      <c r="U34571" s="28"/>
    </row>
    <row r="34572">
      <c r="N34572" s="28"/>
      <c r="O34572" s="28"/>
      <c r="U34572" s="28"/>
    </row>
    <row r="34573">
      <c r="N34573" s="28"/>
      <c r="O34573" s="28"/>
      <c r="U34573" s="28"/>
    </row>
    <row r="34574">
      <c r="N34574" s="28"/>
      <c r="O34574" s="28"/>
      <c r="U34574" s="28"/>
    </row>
    <row r="34575">
      <c r="N34575" s="28"/>
      <c r="O34575" s="28"/>
      <c r="U34575" s="28"/>
    </row>
    <row r="34576">
      <c r="N34576" s="28"/>
      <c r="O34576" s="28"/>
      <c r="U34576" s="28"/>
    </row>
    <row r="34577">
      <c r="N34577" s="28"/>
      <c r="O34577" s="28"/>
      <c r="U34577" s="28"/>
    </row>
    <row r="34578">
      <c r="N34578" s="28"/>
      <c r="O34578" s="28"/>
      <c r="U34578" s="28"/>
    </row>
    <row r="34579">
      <c r="N34579" s="28"/>
      <c r="O34579" s="28"/>
      <c r="U34579" s="28"/>
    </row>
    <row r="34580">
      <c r="N34580" s="28"/>
      <c r="O34580" s="28"/>
      <c r="U34580" s="28"/>
    </row>
    <row r="34581">
      <c r="N34581" s="28"/>
      <c r="O34581" s="28"/>
      <c r="U34581" s="28"/>
    </row>
    <row r="34582">
      <c r="N34582" s="28"/>
      <c r="O34582" s="28"/>
      <c r="U34582" s="28"/>
    </row>
    <row r="34583">
      <c r="N34583" s="28"/>
      <c r="O34583" s="28"/>
      <c r="U34583" s="28"/>
    </row>
    <row r="34584">
      <c r="N34584" s="28"/>
      <c r="O34584" s="28"/>
      <c r="U34584" s="28"/>
    </row>
    <row r="34585">
      <c r="N34585" s="28"/>
      <c r="O34585" s="28"/>
      <c r="U34585" s="28"/>
    </row>
    <row r="34586">
      <c r="N34586" s="28"/>
      <c r="O34586" s="28"/>
      <c r="U34586" s="28"/>
    </row>
    <row r="34587">
      <c r="N34587" s="28"/>
      <c r="O34587" s="28"/>
      <c r="U34587" s="28"/>
    </row>
    <row r="34588">
      <c r="N34588" s="28"/>
      <c r="O34588" s="28"/>
      <c r="U34588" s="28"/>
    </row>
    <row r="34589">
      <c r="N34589" s="28"/>
      <c r="O34589" s="28"/>
      <c r="U34589" s="28"/>
    </row>
    <row r="34590">
      <c r="N34590" s="28"/>
      <c r="O34590" s="28"/>
      <c r="U34590" s="28"/>
    </row>
    <row r="34591">
      <c r="N34591" s="28"/>
      <c r="O34591" s="28"/>
      <c r="U34591" s="28"/>
    </row>
    <row r="34592">
      <c r="N34592" s="28"/>
      <c r="O34592" s="28"/>
      <c r="U34592" s="28"/>
    </row>
    <row r="34593">
      <c r="N34593" s="28"/>
      <c r="O34593" s="28"/>
      <c r="U34593" s="28"/>
    </row>
    <row r="34594">
      <c r="N34594" s="28"/>
      <c r="O34594" s="28"/>
      <c r="U34594" s="28"/>
    </row>
    <row r="34595">
      <c r="N34595" s="28"/>
      <c r="O34595" s="28"/>
      <c r="U34595" s="28"/>
    </row>
    <row r="34596">
      <c r="N34596" s="28"/>
      <c r="O34596" s="28"/>
      <c r="U34596" s="28"/>
    </row>
    <row r="34597">
      <c r="N34597" s="28"/>
      <c r="O34597" s="28"/>
      <c r="U34597" s="28"/>
    </row>
    <row r="34598">
      <c r="N34598" s="28"/>
      <c r="O34598" s="28"/>
      <c r="U34598" s="28"/>
    </row>
    <row r="34599">
      <c r="N34599" s="28"/>
      <c r="O34599" s="28"/>
      <c r="U34599" s="28"/>
    </row>
    <row r="34600">
      <c r="N34600" s="28"/>
      <c r="O34600" s="28"/>
      <c r="U34600" s="28"/>
    </row>
    <row r="34601">
      <c r="N34601" s="28"/>
      <c r="O34601" s="28"/>
      <c r="U34601" s="28"/>
    </row>
    <row r="34602">
      <c r="N34602" s="28"/>
      <c r="O34602" s="28"/>
      <c r="U34602" s="28"/>
    </row>
    <row r="34603">
      <c r="N34603" s="28"/>
      <c r="O34603" s="28"/>
      <c r="U34603" s="28"/>
    </row>
    <row r="34604">
      <c r="N34604" s="28"/>
      <c r="O34604" s="28"/>
      <c r="U34604" s="28"/>
    </row>
    <row r="34605">
      <c r="N34605" s="28"/>
      <c r="O34605" s="28"/>
      <c r="U34605" s="28"/>
    </row>
    <row r="34606">
      <c r="N34606" s="28"/>
      <c r="O34606" s="28"/>
      <c r="U34606" s="28"/>
    </row>
    <row r="34607">
      <c r="N34607" s="28"/>
      <c r="O34607" s="28"/>
      <c r="U34607" s="28"/>
    </row>
    <row r="34608">
      <c r="N34608" s="28"/>
      <c r="O34608" s="28"/>
      <c r="U34608" s="28"/>
    </row>
    <row r="34609">
      <c r="N34609" s="28"/>
      <c r="O34609" s="28"/>
      <c r="U34609" s="28"/>
    </row>
    <row r="34610">
      <c r="N34610" s="28"/>
      <c r="O34610" s="28"/>
      <c r="U34610" s="28"/>
    </row>
    <row r="34611">
      <c r="N34611" s="28"/>
      <c r="O34611" s="28"/>
      <c r="U34611" s="28"/>
    </row>
    <row r="34612">
      <c r="N34612" s="28"/>
      <c r="O34612" s="28"/>
      <c r="U34612" s="28"/>
    </row>
    <row r="34613">
      <c r="N34613" s="28"/>
      <c r="O34613" s="28"/>
      <c r="U34613" s="28"/>
    </row>
    <row r="34614">
      <c r="N34614" s="28"/>
      <c r="O34614" s="28"/>
      <c r="U34614" s="28"/>
    </row>
    <row r="34615">
      <c r="N34615" s="28"/>
      <c r="O34615" s="28"/>
      <c r="U34615" s="28"/>
    </row>
    <row r="34616">
      <c r="N34616" s="28"/>
      <c r="O34616" s="28"/>
      <c r="U34616" s="28"/>
    </row>
    <row r="34617">
      <c r="N34617" s="28"/>
      <c r="O34617" s="28"/>
      <c r="U34617" s="28"/>
    </row>
    <row r="34618">
      <c r="N34618" s="28"/>
      <c r="O34618" s="28"/>
      <c r="U34618" s="28"/>
    </row>
    <row r="34619">
      <c r="N34619" s="28"/>
      <c r="O34619" s="28"/>
      <c r="U34619" s="28"/>
    </row>
    <row r="34620">
      <c r="N34620" s="28"/>
      <c r="O34620" s="28"/>
      <c r="U34620" s="28"/>
    </row>
    <row r="34621">
      <c r="N34621" s="28"/>
      <c r="O34621" s="28"/>
      <c r="U34621" s="28"/>
    </row>
    <row r="34622">
      <c r="N34622" s="28"/>
      <c r="O34622" s="28"/>
      <c r="U34622" s="28"/>
    </row>
    <row r="34623">
      <c r="N34623" s="28"/>
      <c r="O34623" s="28"/>
      <c r="U34623" s="28"/>
    </row>
    <row r="34624">
      <c r="N34624" s="28"/>
      <c r="O34624" s="28"/>
      <c r="U34624" s="28"/>
    </row>
    <row r="34625">
      <c r="N34625" s="28"/>
      <c r="O34625" s="28"/>
      <c r="U34625" s="28"/>
    </row>
    <row r="34626">
      <c r="N34626" s="28"/>
      <c r="O34626" s="28"/>
      <c r="U34626" s="28"/>
    </row>
    <row r="34627">
      <c r="N34627" s="28"/>
      <c r="O34627" s="28"/>
      <c r="U34627" s="28"/>
    </row>
    <row r="34628">
      <c r="N34628" s="28"/>
      <c r="O34628" s="28"/>
      <c r="U34628" s="28"/>
    </row>
    <row r="34629">
      <c r="N34629" s="28"/>
      <c r="O34629" s="28"/>
      <c r="U34629" s="28"/>
    </row>
    <row r="34630">
      <c r="N34630" s="28"/>
      <c r="O34630" s="28"/>
      <c r="U34630" s="28"/>
    </row>
    <row r="34631">
      <c r="N34631" s="28"/>
      <c r="O34631" s="28"/>
      <c r="U34631" s="28"/>
    </row>
    <row r="34632">
      <c r="N34632" s="28"/>
      <c r="O34632" s="28"/>
      <c r="U34632" s="28"/>
    </row>
    <row r="34633">
      <c r="N34633" s="28"/>
      <c r="O34633" s="28"/>
      <c r="U34633" s="28"/>
    </row>
    <row r="34634">
      <c r="N34634" s="28"/>
      <c r="O34634" s="28"/>
      <c r="U34634" s="28"/>
    </row>
    <row r="34635">
      <c r="N34635" s="28"/>
      <c r="O34635" s="28"/>
      <c r="U34635" s="28"/>
    </row>
    <row r="34636">
      <c r="N34636" s="28"/>
      <c r="O34636" s="28"/>
      <c r="U34636" s="28"/>
    </row>
    <row r="34637">
      <c r="N34637" s="28"/>
      <c r="O34637" s="28"/>
      <c r="U34637" s="28"/>
    </row>
    <row r="34638">
      <c r="N34638" s="28"/>
      <c r="O34638" s="28"/>
      <c r="U34638" s="28"/>
    </row>
    <row r="34639">
      <c r="N34639" s="28"/>
      <c r="O34639" s="28"/>
      <c r="U34639" s="28"/>
    </row>
    <row r="34640">
      <c r="N34640" s="28"/>
      <c r="O34640" s="28"/>
      <c r="U34640" s="28"/>
    </row>
    <row r="34641">
      <c r="N34641" s="28"/>
      <c r="O34641" s="28"/>
      <c r="U34641" s="28"/>
    </row>
    <row r="34642">
      <c r="N34642" s="28"/>
      <c r="O34642" s="28"/>
      <c r="U34642" s="28"/>
    </row>
    <row r="34643">
      <c r="N34643" s="28"/>
      <c r="O34643" s="28"/>
      <c r="U34643" s="28"/>
    </row>
    <row r="34644">
      <c r="N34644" s="28"/>
      <c r="O34644" s="28"/>
      <c r="U34644" s="28"/>
    </row>
    <row r="34645">
      <c r="N34645" s="28"/>
      <c r="O34645" s="28"/>
      <c r="U34645" s="28"/>
    </row>
    <row r="34646">
      <c r="N34646" s="28"/>
      <c r="O34646" s="28"/>
      <c r="U34646" s="28"/>
    </row>
    <row r="34647">
      <c r="N34647" s="28"/>
      <c r="O34647" s="28"/>
      <c r="U34647" s="28"/>
    </row>
    <row r="34648">
      <c r="N34648" s="28"/>
      <c r="O34648" s="28"/>
      <c r="U34648" s="28"/>
    </row>
    <row r="34649">
      <c r="N34649" s="28"/>
      <c r="O34649" s="28"/>
      <c r="U34649" s="28"/>
    </row>
    <row r="34650">
      <c r="N34650" s="28"/>
      <c r="O34650" s="28"/>
      <c r="U34650" s="28"/>
    </row>
    <row r="34651">
      <c r="N34651" s="28"/>
      <c r="O34651" s="28"/>
      <c r="U34651" s="28"/>
    </row>
    <row r="34652">
      <c r="N34652" s="28"/>
      <c r="O34652" s="28"/>
      <c r="U34652" s="28"/>
    </row>
    <row r="34653">
      <c r="N34653" s="28"/>
      <c r="O34653" s="28"/>
      <c r="U34653" s="28"/>
    </row>
    <row r="34654">
      <c r="N34654" s="28"/>
      <c r="O34654" s="28"/>
      <c r="U34654" s="28"/>
    </row>
    <row r="34655">
      <c r="N34655" s="28"/>
      <c r="O34655" s="28"/>
      <c r="U34655" s="28"/>
    </row>
    <row r="34656">
      <c r="N34656" s="28"/>
      <c r="O34656" s="28"/>
      <c r="U34656" s="28"/>
    </row>
    <row r="34657">
      <c r="N34657" s="28"/>
      <c r="O34657" s="28"/>
      <c r="U34657" s="28"/>
    </row>
    <row r="34658">
      <c r="N34658" s="28"/>
      <c r="O34658" s="28"/>
      <c r="U34658" s="28"/>
    </row>
    <row r="34659">
      <c r="N34659" s="28"/>
      <c r="O34659" s="28"/>
      <c r="U34659" s="28"/>
    </row>
    <row r="34660">
      <c r="N34660" s="28"/>
      <c r="O34660" s="28"/>
      <c r="U34660" s="28"/>
    </row>
    <row r="34661">
      <c r="N34661" s="28"/>
      <c r="O34661" s="28"/>
      <c r="U34661" s="28"/>
    </row>
    <row r="34662">
      <c r="N34662" s="28"/>
      <c r="O34662" s="28"/>
      <c r="U34662" s="28"/>
    </row>
    <row r="34663">
      <c r="N34663" s="28"/>
      <c r="O34663" s="28"/>
      <c r="U34663" s="28"/>
    </row>
    <row r="34664">
      <c r="N34664" s="28"/>
      <c r="O34664" s="28"/>
      <c r="U34664" s="28"/>
    </row>
    <row r="34665">
      <c r="N34665" s="28"/>
      <c r="O34665" s="28"/>
      <c r="U34665" s="28"/>
    </row>
    <row r="34666">
      <c r="N34666" s="28"/>
      <c r="O34666" s="28"/>
      <c r="U34666" s="28"/>
    </row>
    <row r="34667">
      <c r="N34667" s="28"/>
      <c r="O34667" s="28"/>
      <c r="U34667" s="28"/>
    </row>
    <row r="34668">
      <c r="N34668" s="28"/>
      <c r="O34668" s="28"/>
      <c r="U34668" s="28"/>
    </row>
    <row r="34669">
      <c r="N34669" s="28"/>
      <c r="O34669" s="28"/>
      <c r="U34669" s="28"/>
    </row>
    <row r="34670">
      <c r="N34670" s="28"/>
      <c r="O34670" s="28"/>
      <c r="U34670" s="28"/>
    </row>
    <row r="34671">
      <c r="N34671" s="28"/>
      <c r="O34671" s="28"/>
      <c r="U34671" s="28"/>
    </row>
    <row r="34672">
      <c r="N34672" s="28"/>
      <c r="O34672" s="28"/>
      <c r="U34672" s="28"/>
    </row>
    <row r="34673">
      <c r="N34673" s="28"/>
      <c r="O34673" s="28"/>
      <c r="U34673" s="28"/>
    </row>
    <row r="34674">
      <c r="N34674" s="28"/>
      <c r="O34674" s="28"/>
      <c r="U34674" s="28"/>
    </row>
    <row r="34675">
      <c r="N34675" s="28"/>
      <c r="O34675" s="28"/>
      <c r="U34675" s="28"/>
    </row>
    <row r="34676">
      <c r="N34676" s="28"/>
      <c r="O34676" s="28"/>
      <c r="U34676" s="28"/>
    </row>
    <row r="34677">
      <c r="N34677" s="28"/>
      <c r="O34677" s="28"/>
      <c r="U34677" s="28"/>
    </row>
    <row r="34678">
      <c r="N34678" s="28"/>
      <c r="O34678" s="28"/>
      <c r="U34678" s="28"/>
    </row>
    <row r="34679">
      <c r="N34679" s="28"/>
      <c r="O34679" s="28"/>
      <c r="U34679" s="28"/>
    </row>
    <row r="34680">
      <c r="N34680" s="28"/>
      <c r="O34680" s="28"/>
      <c r="U34680" s="28"/>
    </row>
    <row r="34681">
      <c r="N34681" s="28"/>
      <c r="O34681" s="28"/>
      <c r="U34681" s="28"/>
    </row>
    <row r="34682">
      <c r="N34682" s="28"/>
      <c r="O34682" s="28"/>
      <c r="U34682" s="28"/>
    </row>
    <row r="34683">
      <c r="N34683" s="28"/>
      <c r="O34683" s="28"/>
      <c r="U34683" s="28"/>
    </row>
    <row r="34684">
      <c r="N34684" s="28"/>
      <c r="O34684" s="28"/>
      <c r="U34684" s="28"/>
    </row>
    <row r="34685">
      <c r="N34685" s="28"/>
      <c r="O34685" s="28"/>
      <c r="U34685" s="28"/>
    </row>
    <row r="34686">
      <c r="N34686" s="28"/>
      <c r="O34686" s="28"/>
      <c r="U34686" s="28"/>
    </row>
    <row r="34687">
      <c r="N34687" s="28"/>
      <c r="O34687" s="28"/>
      <c r="U34687" s="28"/>
    </row>
    <row r="34688">
      <c r="N34688" s="28"/>
      <c r="O34688" s="28"/>
      <c r="U34688" s="28"/>
    </row>
    <row r="34689">
      <c r="N34689" s="28"/>
      <c r="O34689" s="28"/>
      <c r="U34689" s="28"/>
    </row>
    <row r="34690">
      <c r="N34690" s="28"/>
      <c r="O34690" s="28"/>
      <c r="U34690" s="28"/>
    </row>
    <row r="34691">
      <c r="N34691" s="28"/>
      <c r="O34691" s="28"/>
      <c r="U34691" s="28"/>
    </row>
    <row r="34692">
      <c r="N34692" s="28"/>
      <c r="O34692" s="28"/>
      <c r="U34692" s="28"/>
    </row>
    <row r="34693">
      <c r="N34693" s="28"/>
      <c r="O34693" s="28"/>
      <c r="U34693" s="28"/>
    </row>
    <row r="34694">
      <c r="N34694" s="28"/>
      <c r="O34694" s="28"/>
      <c r="U34694" s="28"/>
    </row>
    <row r="34695">
      <c r="N34695" s="28"/>
      <c r="O34695" s="28"/>
      <c r="U34695" s="28"/>
    </row>
    <row r="34696">
      <c r="N34696" s="28"/>
      <c r="O34696" s="28"/>
      <c r="U34696" s="28"/>
    </row>
    <row r="34697">
      <c r="N34697" s="28"/>
      <c r="O34697" s="28"/>
      <c r="U34697" s="28"/>
    </row>
    <row r="34698">
      <c r="N34698" s="28"/>
      <c r="O34698" s="28"/>
      <c r="U34698" s="28"/>
    </row>
    <row r="34699">
      <c r="N34699" s="28"/>
      <c r="O34699" s="28"/>
      <c r="U34699" s="28"/>
    </row>
    <row r="34700">
      <c r="N34700" s="28"/>
      <c r="O34700" s="28"/>
      <c r="U34700" s="28"/>
    </row>
    <row r="34701">
      <c r="N34701" s="28"/>
      <c r="O34701" s="28"/>
      <c r="U34701" s="28"/>
    </row>
    <row r="34702">
      <c r="N34702" s="28"/>
      <c r="O34702" s="28"/>
      <c r="U34702" s="28"/>
    </row>
    <row r="34703">
      <c r="N34703" s="28"/>
      <c r="O34703" s="28"/>
      <c r="U34703" s="28"/>
    </row>
    <row r="34704">
      <c r="N34704" s="28"/>
      <c r="O34704" s="28"/>
      <c r="U34704" s="28"/>
    </row>
    <row r="34705">
      <c r="N34705" s="28"/>
      <c r="O34705" s="28"/>
      <c r="U34705" s="28"/>
    </row>
    <row r="34706">
      <c r="N34706" s="28"/>
      <c r="O34706" s="28"/>
      <c r="U34706" s="28"/>
    </row>
    <row r="34707">
      <c r="N34707" s="28"/>
      <c r="O34707" s="28"/>
      <c r="U34707" s="28"/>
    </row>
    <row r="34708">
      <c r="N34708" s="28"/>
      <c r="O34708" s="28"/>
      <c r="U34708" s="28"/>
    </row>
    <row r="34709">
      <c r="N34709" s="28"/>
      <c r="O34709" s="28"/>
      <c r="U34709" s="28"/>
    </row>
    <row r="34710">
      <c r="N34710" s="28"/>
      <c r="O34710" s="28"/>
      <c r="U34710" s="28"/>
    </row>
    <row r="34711">
      <c r="N34711" s="28"/>
      <c r="O34711" s="28"/>
      <c r="U34711" s="28"/>
    </row>
    <row r="34712">
      <c r="N34712" s="28"/>
      <c r="O34712" s="28"/>
      <c r="U34712" s="28"/>
    </row>
    <row r="34713">
      <c r="N34713" s="28"/>
      <c r="O34713" s="28"/>
      <c r="U34713" s="28"/>
    </row>
    <row r="34714">
      <c r="N34714" s="28"/>
      <c r="O34714" s="28"/>
      <c r="U34714" s="28"/>
    </row>
    <row r="34715">
      <c r="N34715" s="28"/>
      <c r="O34715" s="28"/>
      <c r="U34715" s="28"/>
    </row>
    <row r="34716">
      <c r="N34716" s="28"/>
      <c r="O34716" s="28"/>
      <c r="U34716" s="28"/>
    </row>
    <row r="34717">
      <c r="N34717" s="28"/>
      <c r="O34717" s="28"/>
      <c r="U34717" s="28"/>
    </row>
    <row r="34718">
      <c r="N34718" s="28"/>
      <c r="O34718" s="28"/>
      <c r="U34718" s="28"/>
    </row>
    <row r="34719">
      <c r="N34719" s="28"/>
      <c r="O34719" s="28"/>
      <c r="U34719" s="28"/>
    </row>
    <row r="34720">
      <c r="N34720" s="28"/>
      <c r="O34720" s="28"/>
      <c r="U34720" s="28"/>
    </row>
    <row r="34721">
      <c r="N34721" s="28"/>
      <c r="O34721" s="28"/>
      <c r="U34721" s="28"/>
    </row>
    <row r="34722">
      <c r="N34722" s="28"/>
      <c r="O34722" s="28"/>
      <c r="U34722" s="28"/>
    </row>
    <row r="34723">
      <c r="N34723" s="28"/>
      <c r="O34723" s="28"/>
      <c r="U34723" s="28"/>
    </row>
    <row r="34724">
      <c r="N34724" s="28"/>
      <c r="O34724" s="28"/>
      <c r="U34724" s="28"/>
    </row>
    <row r="34725">
      <c r="N34725" s="28"/>
      <c r="O34725" s="28"/>
      <c r="U34725" s="28"/>
    </row>
    <row r="34726">
      <c r="N34726" s="28"/>
      <c r="O34726" s="28"/>
      <c r="U34726" s="28"/>
    </row>
    <row r="34727">
      <c r="N34727" s="28"/>
      <c r="O34727" s="28"/>
      <c r="U34727" s="28"/>
    </row>
    <row r="34728">
      <c r="N34728" s="28"/>
      <c r="O34728" s="28"/>
      <c r="U34728" s="28"/>
    </row>
    <row r="34729">
      <c r="N34729" s="28"/>
      <c r="O34729" s="28"/>
      <c r="U34729" s="28"/>
    </row>
    <row r="34730">
      <c r="N34730" s="28"/>
      <c r="O34730" s="28"/>
      <c r="U34730" s="28"/>
    </row>
    <row r="34731">
      <c r="N34731" s="28"/>
      <c r="O34731" s="28"/>
      <c r="U34731" s="28"/>
    </row>
    <row r="34732">
      <c r="N34732" s="28"/>
      <c r="O34732" s="28"/>
      <c r="U34732" s="28"/>
    </row>
    <row r="34733">
      <c r="N34733" s="28"/>
      <c r="O34733" s="28"/>
      <c r="U34733" s="28"/>
    </row>
    <row r="34734">
      <c r="N34734" s="28"/>
      <c r="O34734" s="28"/>
      <c r="U34734" s="28"/>
    </row>
    <row r="34735">
      <c r="N34735" s="28"/>
      <c r="O34735" s="28"/>
      <c r="U34735" s="28"/>
    </row>
    <row r="34736">
      <c r="N34736" s="28"/>
      <c r="O34736" s="28"/>
      <c r="U34736" s="28"/>
    </row>
    <row r="34737">
      <c r="N34737" s="28"/>
      <c r="O34737" s="28"/>
      <c r="U34737" s="28"/>
    </row>
    <row r="34738">
      <c r="N34738" s="28"/>
      <c r="O34738" s="28"/>
      <c r="U34738" s="28"/>
    </row>
    <row r="34739">
      <c r="N34739" s="28"/>
      <c r="O34739" s="28"/>
      <c r="U34739" s="28"/>
    </row>
    <row r="34740">
      <c r="N34740" s="28"/>
      <c r="O34740" s="28"/>
      <c r="U34740" s="28"/>
    </row>
    <row r="34741">
      <c r="N34741" s="28"/>
      <c r="O34741" s="28"/>
      <c r="U34741" s="28"/>
    </row>
    <row r="34742">
      <c r="N34742" s="28"/>
      <c r="O34742" s="28"/>
      <c r="U34742" s="28"/>
    </row>
    <row r="34743">
      <c r="N34743" s="28"/>
      <c r="O34743" s="28"/>
      <c r="U34743" s="28"/>
    </row>
    <row r="34744">
      <c r="N34744" s="28"/>
      <c r="O34744" s="28"/>
      <c r="U34744" s="28"/>
    </row>
    <row r="34745">
      <c r="N34745" s="28"/>
      <c r="O34745" s="28"/>
      <c r="U34745" s="28"/>
    </row>
    <row r="34746">
      <c r="N34746" s="28"/>
      <c r="O34746" s="28"/>
      <c r="U34746" s="28"/>
    </row>
    <row r="34747">
      <c r="N34747" s="28"/>
      <c r="O34747" s="28"/>
      <c r="U34747" s="28"/>
    </row>
    <row r="34748">
      <c r="N34748" s="28"/>
      <c r="O34748" s="28"/>
      <c r="U34748" s="28"/>
    </row>
    <row r="34749">
      <c r="N34749" s="28"/>
      <c r="O34749" s="28"/>
      <c r="U34749" s="28"/>
    </row>
    <row r="34750">
      <c r="N34750" s="28"/>
      <c r="O34750" s="28"/>
      <c r="U34750" s="28"/>
    </row>
    <row r="34751">
      <c r="N34751" s="28"/>
      <c r="O34751" s="28"/>
      <c r="U34751" s="28"/>
    </row>
    <row r="34752">
      <c r="N34752" s="28"/>
      <c r="O34752" s="28"/>
      <c r="U34752" s="28"/>
    </row>
    <row r="34753">
      <c r="N34753" s="28"/>
      <c r="O34753" s="28"/>
      <c r="U34753" s="28"/>
    </row>
    <row r="34754">
      <c r="N34754" s="28"/>
      <c r="O34754" s="28"/>
      <c r="U34754" s="28"/>
    </row>
    <row r="34755">
      <c r="N34755" s="28"/>
      <c r="O34755" s="28"/>
      <c r="U34755" s="28"/>
    </row>
    <row r="34756">
      <c r="N34756" s="28"/>
      <c r="O34756" s="28"/>
      <c r="U34756" s="28"/>
    </row>
    <row r="34757">
      <c r="N34757" s="28"/>
      <c r="O34757" s="28"/>
      <c r="U34757" s="28"/>
    </row>
    <row r="34758">
      <c r="N34758" s="28"/>
      <c r="O34758" s="28"/>
      <c r="U34758" s="28"/>
    </row>
    <row r="34759">
      <c r="N34759" s="28"/>
      <c r="O34759" s="28"/>
      <c r="U34759" s="28"/>
    </row>
    <row r="34760">
      <c r="N34760" s="28"/>
      <c r="O34760" s="28"/>
      <c r="U34760" s="28"/>
    </row>
    <row r="34761">
      <c r="N34761" s="28"/>
      <c r="O34761" s="28"/>
      <c r="U34761" s="28"/>
    </row>
    <row r="34762">
      <c r="N34762" s="28"/>
      <c r="O34762" s="28"/>
      <c r="U34762" s="28"/>
    </row>
    <row r="34763">
      <c r="N34763" s="28"/>
      <c r="O34763" s="28"/>
      <c r="U34763" s="28"/>
    </row>
    <row r="34764">
      <c r="N34764" s="28"/>
      <c r="O34764" s="28"/>
      <c r="U34764" s="28"/>
    </row>
    <row r="34765">
      <c r="N34765" s="28"/>
      <c r="O34765" s="28"/>
      <c r="U34765" s="28"/>
    </row>
    <row r="34766">
      <c r="N34766" s="28"/>
      <c r="O34766" s="28"/>
      <c r="U34766" s="28"/>
    </row>
    <row r="34767">
      <c r="N34767" s="28"/>
      <c r="O34767" s="28"/>
      <c r="U34767" s="28"/>
    </row>
    <row r="34768">
      <c r="N34768" s="28"/>
      <c r="O34768" s="28"/>
      <c r="U34768" s="28"/>
    </row>
    <row r="34769">
      <c r="N34769" s="28"/>
      <c r="O34769" s="28"/>
      <c r="U34769" s="28"/>
    </row>
    <row r="34770">
      <c r="N34770" s="28"/>
      <c r="O34770" s="28"/>
      <c r="U34770" s="28"/>
    </row>
    <row r="34771">
      <c r="N34771" s="28"/>
      <c r="O34771" s="28"/>
      <c r="U34771" s="28"/>
    </row>
    <row r="34772">
      <c r="N34772" s="28"/>
      <c r="O34772" s="28"/>
      <c r="U34772" s="28"/>
    </row>
    <row r="34773">
      <c r="N34773" s="28"/>
      <c r="O34773" s="28"/>
      <c r="U34773" s="28"/>
    </row>
    <row r="34774">
      <c r="N34774" s="28"/>
      <c r="O34774" s="28"/>
      <c r="U34774" s="28"/>
    </row>
    <row r="34775">
      <c r="N34775" s="28"/>
      <c r="O34775" s="28"/>
      <c r="U34775" s="28"/>
    </row>
    <row r="34776">
      <c r="N34776" s="28"/>
      <c r="O34776" s="28"/>
      <c r="U34776" s="28"/>
    </row>
    <row r="34777">
      <c r="N34777" s="28"/>
      <c r="O34777" s="28"/>
      <c r="U34777" s="28"/>
    </row>
    <row r="34778">
      <c r="N34778" s="28"/>
      <c r="O34778" s="28"/>
      <c r="U34778" s="28"/>
    </row>
    <row r="34779">
      <c r="N34779" s="28"/>
      <c r="O34779" s="28"/>
      <c r="U34779" s="28"/>
    </row>
    <row r="34780">
      <c r="N34780" s="28"/>
      <c r="O34780" s="28"/>
      <c r="U34780" s="28"/>
    </row>
    <row r="34781">
      <c r="N34781" s="28"/>
      <c r="O34781" s="28"/>
      <c r="U34781" s="28"/>
    </row>
    <row r="34782">
      <c r="N34782" s="28"/>
      <c r="O34782" s="28"/>
      <c r="U34782" s="28"/>
    </row>
    <row r="34783">
      <c r="N34783" s="28"/>
      <c r="O34783" s="28"/>
      <c r="U34783" s="28"/>
    </row>
    <row r="34784">
      <c r="N34784" s="28"/>
      <c r="O34784" s="28"/>
      <c r="U34784" s="28"/>
    </row>
    <row r="34785">
      <c r="N34785" s="28"/>
      <c r="O34785" s="28"/>
      <c r="U34785" s="28"/>
    </row>
    <row r="34786">
      <c r="N34786" s="28"/>
      <c r="O34786" s="28"/>
      <c r="U34786" s="28"/>
    </row>
    <row r="34787">
      <c r="N34787" s="28"/>
      <c r="O34787" s="28"/>
      <c r="U34787" s="28"/>
    </row>
    <row r="34788">
      <c r="N34788" s="28"/>
      <c r="O34788" s="28"/>
      <c r="U34788" s="28"/>
    </row>
    <row r="34789">
      <c r="N34789" s="28"/>
      <c r="O34789" s="28"/>
      <c r="U34789" s="28"/>
    </row>
    <row r="34790">
      <c r="N34790" s="28"/>
      <c r="O34790" s="28"/>
      <c r="U34790" s="28"/>
    </row>
    <row r="34791">
      <c r="N34791" s="28"/>
      <c r="O34791" s="28"/>
      <c r="U34791" s="28"/>
    </row>
    <row r="34792">
      <c r="N34792" s="28"/>
      <c r="O34792" s="28"/>
      <c r="U34792" s="28"/>
    </row>
    <row r="34793">
      <c r="N34793" s="28"/>
      <c r="O34793" s="28"/>
      <c r="U34793" s="28"/>
    </row>
    <row r="34794">
      <c r="N34794" s="28"/>
      <c r="O34794" s="28"/>
      <c r="U34794" s="28"/>
    </row>
    <row r="34795">
      <c r="N34795" s="28"/>
      <c r="O34795" s="28"/>
      <c r="U34795" s="28"/>
    </row>
    <row r="34796">
      <c r="N34796" s="28"/>
      <c r="O34796" s="28"/>
      <c r="U34796" s="28"/>
    </row>
    <row r="34797">
      <c r="N34797" s="28"/>
      <c r="O34797" s="28"/>
      <c r="U34797" s="28"/>
    </row>
    <row r="34798">
      <c r="N34798" s="28"/>
      <c r="O34798" s="28"/>
      <c r="U34798" s="28"/>
    </row>
    <row r="34799">
      <c r="N34799" s="28"/>
      <c r="O34799" s="28"/>
      <c r="U34799" s="28"/>
    </row>
    <row r="34800">
      <c r="N34800" s="28"/>
      <c r="O34800" s="28"/>
      <c r="U34800" s="28"/>
    </row>
    <row r="34801">
      <c r="N34801" s="28"/>
      <c r="O34801" s="28"/>
      <c r="U34801" s="28"/>
    </row>
    <row r="34802">
      <c r="N34802" s="28"/>
      <c r="O34802" s="28"/>
      <c r="U34802" s="28"/>
    </row>
    <row r="34803">
      <c r="N34803" s="28"/>
      <c r="O34803" s="28"/>
      <c r="U34803" s="28"/>
    </row>
    <row r="34804">
      <c r="N34804" s="28"/>
      <c r="O34804" s="28"/>
      <c r="U34804" s="28"/>
    </row>
    <row r="34805">
      <c r="N34805" s="28"/>
      <c r="O34805" s="28"/>
      <c r="U34805" s="28"/>
    </row>
    <row r="34806">
      <c r="N34806" s="28"/>
      <c r="O34806" s="28"/>
      <c r="U34806" s="28"/>
    </row>
    <row r="34807">
      <c r="N34807" s="28"/>
      <c r="O34807" s="28"/>
      <c r="U34807" s="28"/>
    </row>
    <row r="34808">
      <c r="N34808" s="28"/>
      <c r="O34808" s="28"/>
      <c r="U34808" s="28"/>
    </row>
    <row r="34809">
      <c r="N34809" s="28"/>
      <c r="O34809" s="28"/>
      <c r="U34809" s="28"/>
    </row>
    <row r="34810">
      <c r="N34810" s="28"/>
      <c r="O34810" s="28"/>
      <c r="U34810" s="28"/>
    </row>
    <row r="34811">
      <c r="N34811" s="28"/>
      <c r="O34811" s="28"/>
      <c r="U34811" s="28"/>
    </row>
    <row r="34812">
      <c r="N34812" s="28"/>
      <c r="O34812" s="28"/>
      <c r="U34812" s="28"/>
    </row>
    <row r="34813">
      <c r="N34813" s="28"/>
      <c r="O34813" s="28"/>
      <c r="U34813" s="28"/>
    </row>
    <row r="34814">
      <c r="N34814" s="28"/>
      <c r="O34814" s="28"/>
      <c r="U34814" s="28"/>
    </row>
    <row r="34815">
      <c r="N34815" s="28"/>
      <c r="O34815" s="28"/>
      <c r="U34815" s="28"/>
    </row>
    <row r="34816">
      <c r="N34816" s="28"/>
      <c r="O34816" s="28"/>
      <c r="U34816" s="28"/>
    </row>
    <row r="34817">
      <c r="N34817" s="28"/>
      <c r="O34817" s="28"/>
      <c r="U34817" s="28"/>
    </row>
    <row r="34818">
      <c r="N34818" s="28"/>
      <c r="O34818" s="28"/>
      <c r="U34818" s="28"/>
    </row>
    <row r="34819">
      <c r="N34819" s="28"/>
      <c r="O34819" s="28"/>
      <c r="U34819" s="28"/>
    </row>
    <row r="34820">
      <c r="N34820" s="28"/>
      <c r="O34820" s="28"/>
      <c r="U34820" s="28"/>
    </row>
    <row r="34821">
      <c r="N34821" s="28"/>
      <c r="O34821" s="28"/>
      <c r="U34821" s="28"/>
    </row>
    <row r="34822">
      <c r="N34822" s="28"/>
      <c r="O34822" s="28"/>
      <c r="U34822" s="28"/>
    </row>
    <row r="34823">
      <c r="N34823" s="28"/>
      <c r="O34823" s="28"/>
      <c r="U34823" s="28"/>
    </row>
    <row r="34824">
      <c r="N34824" s="28"/>
      <c r="O34824" s="28"/>
      <c r="U34824" s="28"/>
    </row>
    <row r="34825">
      <c r="N34825" s="28"/>
      <c r="O34825" s="28"/>
      <c r="U34825" s="28"/>
    </row>
    <row r="34826">
      <c r="N34826" s="28"/>
      <c r="O34826" s="28"/>
      <c r="U34826" s="28"/>
    </row>
    <row r="34827">
      <c r="N34827" s="28"/>
      <c r="O34827" s="28"/>
      <c r="U34827" s="28"/>
    </row>
    <row r="34828">
      <c r="N34828" s="28"/>
      <c r="O34828" s="28"/>
      <c r="U34828" s="28"/>
    </row>
    <row r="34829">
      <c r="N34829" s="28"/>
      <c r="O34829" s="28"/>
      <c r="U34829" s="28"/>
    </row>
    <row r="34830">
      <c r="N34830" s="28"/>
      <c r="O34830" s="28"/>
      <c r="U34830" s="28"/>
    </row>
    <row r="34831">
      <c r="N34831" s="28"/>
      <c r="O34831" s="28"/>
      <c r="U34831" s="28"/>
    </row>
    <row r="34832">
      <c r="N34832" s="28"/>
      <c r="O34832" s="28"/>
      <c r="U34832" s="28"/>
    </row>
    <row r="34833">
      <c r="N34833" s="28"/>
      <c r="O34833" s="28"/>
      <c r="U34833" s="28"/>
    </row>
    <row r="34834">
      <c r="N34834" s="28"/>
      <c r="O34834" s="28"/>
      <c r="U34834" s="28"/>
    </row>
    <row r="34835">
      <c r="N34835" s="28"/>
      <c r="O34835" s="28"/>
      <c r="U34835" s="28"/>
    </row>
    <row r="34836">
      <c r="N34836" s="28"/>
      <c r="O34836" s="28"/>
      <c r="U34836" s="28"/>
    </row>
    <row r="34837">
      <c r="N34837" s="28"/>
      <c r="O34837" s="28"/>
      <c r="U34837" s="28"/>
    </row>
    <row r="34838">
      <c r="N34838" s="28"/>
      <c r="O34838" s="28"/>
      <c r="U34838" s="28"/>
    </row>
    <row r="34839">
      <c r="N34839" s="28"/>
      <c r="O34839" s="28"/>
      <c r="U34839" s="28"/>
    </row>
    <row r="34840">
      <c r="N34840" s="28"/>
      <c r="O34840" s="28"/>
      <c r="U34840" s="28"/>
    </row>
    <row r="34841">
      <c r="N34841" s="28"/>
      <c r="O34841" s="28"/>
      <c r="U34841" s="28"/>
    </row>
    <row r="34842">
      <c r="N34842" s="28"/>
      <c r="O34842" s="28"/>
      <c r="U34842" s="28"/>
    </row>
    <row r="34843">
      <c r="N34843" s="28"/>
      <c r="O34843" s="28"/>
      <c r="U34843" s="28"/>
    </row>
    <row r="34844">
      <c r="N34844" s="28"/>
      <c r="O34844" s="28"/>
      <c r="U34844" s="28"/>
    </row>
    <row r="34845">
      <c r="N34845" s="28"/>
      <c r="O34845" s="28"/>
      <c r="U34845" s="28"/>
    </row>
    <row r="34846">
      <c r="N34846" s="28"/>
      <c r="O34846" s="28"/>
      <c r="U34846" s="28"/>
    </row>
    <row r="34847">
      <c r="N34847" s="28"/>
      <c r="O34847" s="28"/>
      <c r="U34847" s="28"/>
    </row>
    <row r="34848">
      <c r="N34848" s="28"/>
      <c r="O34848" s="28"/>
      <c r="U34848" s="28"/>
    </row>
    <row r="34849">
      <c r="N34849" s="28"/>
      <c r="O34849" s="28"/>
      <c r="U34849" s="28"/>
    </row>
    <row r="34850">
      <c r="N34850" s="28"/>
      <c r="O34850" s="28"/>
      <c r="U34850" s="28"/>
    </row>
    <row r="34851">
      <c r="N34851" s="28"/>
      <c r="O34851" s="28"/>
      <c r="U34851" s="28"/>
    </row>
    <row r="34852">
      <c r="N34852" s="28"/>
      <c r="O34852" s="28"/>
      <c r="U34852" s="28"/>
    </row>
    <row r="34853">
      <c r="N34853" s="28"/>
      <c r="O34853" s="28"/>
      <c r="U34853" s="28"/>
    </row>
    <row r="34854">
      <c r="N34854" s="28"/>
      <c r="O34854" s="28"/>
      <c r="U34854" s="28"/>
    </row>
    <row r="34855">
      <c r="N34855" s="28"/>
      <c r="O34855" s="28"/>
      <c r="U34855" s="28"/>
    </row>
    <row r="34856">
      <c r="N34856" s="28"/>
      <c r="O34856" s="28"/>
      <c r="U34856" s="28"/>
    </row>
    <row r="34857">
      <c r="N34857" s="28"/>
      <c r="O34857" s="28"/>
      <c r="U34857" s="28"/>
    </row>
    <row r="34858">
      <c r="N34858" s="28"/>
      <c r="O34858" s="28"/>
      <c r="U34858" s="28"/>
    </row>
    <row r="34859">
      <c r="N34859" s="28"/>
      <c r="O34859" s="28"/>
      <c r="U34859" s="28"/>
    </row>
    <row r="34860">
      <c r="N34860" s="28"/>
      <c r="O34860" s="28"/>
      <c r="U34860" s="28"/>
    </row>
    <row r="34861">
      <c r="N34861" s="28"/>
      <c r="O34861" s="28"/>
      <c r="U34861" s="28"/>
    </row>
    <row r="34862">
      <c r="N34862" s="28"/>
      <c r="O34862" s="28"/>
      <c r="U34862" s="28"/>
    </row>
    <row r="34863">
      <c r="N34863" s="28"/>
      <c r="O34863" s="28"/>
      <c r="U34863" s="28"/>
    </row>
    <row r="34864">
      <c r="N34864" s="28"/>
      <c r="O34864" s="28"/>
      <c r="U34864" s="28"/>
    </row>
    <row r="34865">
      <c r="N34865" s="28"/>
      <c r="O34865" s="28"/>
      <c r="U34865" s="28"/>
    </row>
    <row r="34866">
      <c r="N34866" s="28"/>
      <c r="O34866" s="28"/>
      <c r="U34866" s="28"/>
    </row>
    <row r="34867">
      <c r="N34867" s="28"/>
      <c r="O34867" s="28"/>
      <c r="U34867" s="28"/>
    </row>
    <row r="34868">
      <c r="N34868" s="28"/>
      <c r="O34868" s="28"/>
      <c r="U34868" s="28"/>
    </row>
    <row r="34869">
      <c r="N34869" s="28"/>
      <c r="O34869" s="28"/>
      <c r="U34869" s="28"/>
    </row>
    <row r="34870">
      <c r="N34870" s="28"/>
      <c r="O34870" s="28"/>
      <c r="U34870" s="28"/>
    </row>
    <row r="34871">
      <c r="N34871" s="28"/>
      <c r="O34871" s="28"/>
      <c r="U34871" s="28"/>
    </row>
    <row r="34872">
      <c r="N34872" s="28"/>
      <c r="O34872" s="28"/>
      <c r="U34872" s="28"/>
    </row>
    <row r="34873">
      <c r="N34873" s="28"/>
      <c r="O34873" s="28"/>
      <c r="U34873" s="28"/>
    </row>
    <row r="34874">
      <c r="N34874" s="28"/>
      <c r="O34874" s="28"/>
      <c r="U34874" s="28"/>
    </row>
    <row r="34875">
      <c r="N34875" s="28"/>
      <c r="O34875" s="28"/>
      <c r="U34875" s="28"/>
    </row>
    <row r="34876">
      <c r="N34876" s="28"/>
      <c r="O34876" s="28"/>
      <c r="U34876" s="28"/>
    </row>
    <row r="34877">
      <c r="N34877" s="28"/>
      <c r="O34877" s="28"/>
      <c r="U34877" s="28"/>
    </row>
    <row r="34878">
      <c r="N34878" s="28"/>
      <c r="O34878" s="28"/>
      <c r="U34878" s="28"/>
    </row>
    <row r="34879">
      <c r="N34879" s="28"/>
      <c r="O34879" s="28"/>
      <c r="U34879" s="28"/>
    </row>
    <row r="34880">
      <c r="N34880" s="28"/>
      <c r="O34880" s="28"/>
      <c r="U34880" s="28"/>
    </row>
    <row r="34881">
      <c r="N34881" s="28"/>
      <c r="O34881" s="28"/>
      <c r="U34881" s="28"/>
    </row>
    <row r="34882">
      <c r="N34882" s="28"/>
      <c r="O34882" s="28"/>
      <c r="U34882" s="28"/>
    </row>
    <row r="34883">
      <c r="N34883" s="28"/>
      <c r="O34883" s="28"/>
      <c r="U34883" s="28"/>
    </row>
    <row r="34884">
      <c r="N34884" s="28"/>
      <c r="O34884" s="28"/>
      <c r="U34884" s="28"/>
    </row>
    <row r="34885">
      <c r="N34885" s="28"/>
      <c r="O34885" s="28"/>
      <c r="U34885" s="28"/>
    </row>
    <row r="34886">
      <c r="N34886" s="28"/>
      <c r="O34886" s="28"/>
      <c r="U34886" s="28"/>
    </row>
    <row r="34887">
      <c r="N34887" s="28"/>
      <c r="O34887" s="28"/>
      <c r="U34887" s="28"/>
    </row>
    <row r="34888">
      <c r="N34888" s="28"/>
      <c r="O34888" s="28"/>
      <c r="U34888" s="28"/>
    </row>
    <row r="34889">
      <c r="N34889" s="28"/>
      <c r="O34889" s="28"/>
      <c r="U34889" s="28"/>
    </row>
    <row r="34890">
      <c r="N34890" s="28"/>
      <c r="O34890" s="28"/>
      <c r="U34890" s="28"/>
    </row>
    <row r="34891">
      <c r="N34891" s="28"/>
      <c r="O34891" s="28"/>
      <c r="U34891" s="28"/>
    </row>
    <row r="34892">
      <c r="N34892" s="28"/>
      <c r="O34892" s="28"/>
      <c r="U34892" s="28"/>
    </row>
    <row r="34893">
      <c r="N34893" s="28"/>
      <c r="O34893" s="28"/>
      <c r="U34893" s="28"/>
    </row>
    <row r="34894">
      <c r="N34894" s="28"/>
      <c r="O34894" s="28"/>
      <c r="U34894" s="28"/>
    </row>
    <row r="34895">
      <c r="N34895" s="28"/>
      <c r="O34895" s="28"/>
      <c r="U34895" s="28"/>
    </row>
    <row r="34896">
      <c r="N34896" s="28"/>
      <c r="O34896" s="28"/>
      <c r="U34896" s="28"/>
    </row>
    <row r="34897">
      <c r="N34897" s="28"/>
      <c r="O34897" s="28"/>
      <c r="U34897" s="28"/>
    </row>
    <row r="34898">
      <c r="N34898" s="28"/>
      <c r="O34898" s="28"/>
      <c r="U34898" s="28"/>
    </row>
    <row r="34899">
      <c r="N34899" s="28"/>
      <c r="O34899" s="28"/>
      <c r="U34899" s="28"/>
    </row>
    <row r="34900">
      <c r="N34900" s="28"/>
      <c r="O34900" s="28"/>
      <c r="U34900" s="28"/>
    </row>
    <row r="34901">
      <c r="N34901" s="28"/>
      <c r="O34901" s="28"/>
      <c r="U34901" s="28"/>
    </row>
    <row r="34902">
      <c r="N34902" s="28"/>
      <c r="O34902" s="28"/>
      <c r="U34902" s="28"/>
    </row>
    <row r="34903">
      <c r="N34903" s="28"/>
      <c r="O34903" s="28"/>
      <c r="U34903" s="28"/>
    </row>
    <row r="34904">
      <c r="N34904" s="28"/>
      <c r="O34904" s="28"/>
      <c r="U34904" s="28"/>
    </row>
    <row r="34905">
      <c r="N34905" s="28"/>
      <c r="O34905" s="28"/>
      <c r="U34905" s="28"/>
    </row>
    <row r="34906">
      <c r="N34906" s="28"/>
      <c r="O34906" s="28"/>
      <c r="U34906" s="28"/>
    </row>
    <row r="34907">
      <c r="N34907" s="28"/>
      <c r="O34907" s="28"/>
      <c r="U34907" s="28"/>
    </row>
    <row r="34908">
      <c r="N34908" s="28"/>
      <c r="O34908" s="28"/>
      <c r="U34908" s="28"/>
    </row>
    <row r="34909">
      <c r="N34909" s="28"/>
      <c r="O34909" s="28"/>
      <c r="U34909" s="28"/>
    </row>
    <row r="34910">
      <c r="N34910" s="28"/>
      <c r="O34910" s="28"/>
      <c r="U34910" s="28"/>
    </row>
    <row r="34911">
      <c r="N34911" s="28"/>
      <c r="O34911" s="28"/>
      <c r="U34911" s="28"/>
    </row>
    <row r="34912">
      <c r="N34912" s="28"/>
      <c r="O34912" s="28"/>
      <c r="U34912" s="28"/>
    </row>
    <row r="34913">
      <c r="N34913" s="28"/>
      <c r="O34913" s="28"/>
      <c r="U34913" s="28"/>
    </row>
    <row r="34914">
      <c r="N34914" s="28"/>
      <c r="O34914" s="28"/>
      <c r="U34914" s="28"/>
    </row>
    <row r="34915">
      <c r="N34915" s="28"/>
      <c r="O34915" s="28"/>
      <c r="U34915" s="28"/>
    </row>
    <row r="34916">
      <c r="N34916" s="28"/>
      <c r="O34916" s="28"/>
      <c r="U34916" s="28"/>
    </row>
    <row r="34917">
      <c r="N34917" s="28"/>
      <c r="O34917" s="28"/>
      <c r="U34917" s="28"/>
    </row>
    <row r="34918">
      <c r="N34918" s="28"/>
      <c r="O34918" s="28"/>
      <c r="U34918" s="28"/>
    </row>
    <row r="34919">
      <c r="N34919" s="28"/>
      <c r="O34919" s="28"/>
      <c r="U34919" s="28"/>
    </row>
    <row r="34920">
      <c r="N34920" s="28"/>
      <c r="O34920" s="28"/>
      <c r="U34920" s="28"/>
    </row>
    <row r="34921">
      <c r="N34921" s="28"/>
      <c r="O34921" s="28"/>
      <c r="U34921" s="28"/>
    </row>
    <row r="34922">
      <c r="N34922" s="28"/>
      <c r="O34922" s="28"/>
      <c r="U34922" s="28"/>
    </row>
    <row r="34923">
      <c r="N34923" s="28"/>
      <c r="O34923" s="28"/>
      <c r="U34923" s="28"/>
    </row>
    <row r="34924">
      <c r="N34924" s="28"/>
      <c r="O34924" s="28"/>
      <c r="U34924" s="28"/>
    </row>
    <row r="34925">
      <c r="N34925" s="28"/>
      <c r="O34925" s="28"/>
      <c r="U34925" s="28"/>
    </row>
    <row r="34926">
      <c r="N34926" s="28"/>
      <c r="O34926" s="28"/>
      <c r="U34926" s="28"/>
    </row>
    <row r="34927">
      <c r="N34927" s="28"/>
      <c r="O34927" s="28"/>
      <c r="U34927" s="28"/>
    </row>
    <row r="34928">
      <c r="N34928" s="28"/>
      <c r="O34928" s="28"/>
      <c r="U34928" s="28"/>
    </row>
    <row r="34929">
      <c r="N34929" s="28"/>
      <c r="O34929" s="28"/>
      <c r="U34929" s="28"/>
    </row>
    <row r="34930">
      <c r="N34930" s="28"/>
      <c r="O34930" s="28"/>
      <c r="U34930" s="28"/>
    </row>
    <row r="34931">
      <c r="N34931" s="28"/>
      <c r="O34931" s="28"/>
      <c r="U34931" s="28"/>
    </row>
    <row r="34932">
      <c r="N34932" s="28"/>
      <c r="O34932" s="28"/>
      <c r="U34932" s="28"/>
    </row>
    <row r="34933">
      <c r="N34933" s="28"/>
      <c r="O34933" s="28"/>
      <c r="U34933" s="28"/>
    </row>
    <row r="34934">
      <c r="N34934" s="28"/>
      <c r="O34934" s="28"/>
      <c r="U34934" s="28"/>
    </row>
    <row r="34935">
      <c r="N34935" s="28"/>
      <c r="O34935" s="28"/>
      <c r="U34935" s="28"/>
    </row>
    <row r="34936">
      <c r="N34936" s="28"/>
      <c r="O34936" s="28"/>
      <c r="U34936" s="28"/>
    </row>
    <row r="34937">
      <c r="N34937" s="28"/>
      <c r="O34937" s="28"/>
      <c r="U34937" s="28"/>
    </row>
    <row r="34938">
      <c r="N34938" s="28"/>
      <c r="O34938" s="28"/>
      <c r="U34938" s="28"/>
    </row>
    <row r="34939">
      <c r="N34939" s="28"/>
      <c r="O34939" s="28"/>
      <c r="U34939" s="28"/>
    </row>
    <row r="34940">
      <c r="N34940" s="28"/>
      <c r="O34940" s="28"/>
      <c r="U34940" s="28"/>
    </row>
    <row r="34941">
      <c r="N34941" s="28"/>
      <c r="O34941" s="28"/>
      <c r="U34941" s="28"/>
    </row>
    <row r="34942">
      <c r="N34942" s="28"/>
      <c r="O34942" s="28"/>
      <c r="U34942" s="28"/>
    </row>
    <row r="34943">
      <c r="N34943" s="28"/>
      <c r="O34943" s="28"/>
      <c r="U34943" s="28"/>
    </row>
    <row r="34944">
      <c r="N34944" s="28"/>
      <c r="O34944" s="28"/>
      <c r="U34944" s="28"/>
    </row>
    <row r="34945">
      <c r="N34945" s="28"/>
      <c r="O34945" s="28"/>
      <c r="U34945" s="28"/>
    </row>
    <row r="34946">
      <c r="N34946" s="28"/>
      <c r="O34946" s="28"/>
      <c r="U34946" s="28"/>
    </row>
    <row r="34947">
      <c r="N34947" s="28"/>
      <c r="O34947" s="28"/>
      <c r="U34947" s="28"/>
    </row>
    <row r="34948">
      <c r="N34948" s="28"/>
      <c r="O34948" s="28"/>
      <c r="U34948" s="28"/>
    </row>
    <row r="34949">
      <c r="N34949" s="28"/>
      <c r="O34949" s="28"/>
      <c r="U34949" s="28"/>
    </row>
    <row r="34950">
      <c r="N34950" s="28"/>
      <c r="O34950" s="28"/>
      <c r="U34950" s="28"/>
    </row>
    <row r="34951">
      <c r="N34951" s="28"/>
      <c r="O34951" s="28"/>
      <c r="U34951" s="28"/>
    </row>
    <row r="34952">
      <c r="N34952" s="28"/>
      <c r="O34952" s="28"/>
      <c r="U34952" s="28"/>
    </row>
    <row r="34953">
      <c r="N34953" s="28"/>
      <c r="O34953" s="28"/>
      <c r="U34953" s="28"/>
    </row>
    <row r="34954">
      <c r="N34954" s="28"/>
      <c r="O34954" s="28"/>
      <c r="U34954" s="28"/>
    </row>
    <row r="34955">
      <c r="N34955" s="28"/>
      <c r="O34955" s="28"/>
      <c r="U34955" s="28"/>
    </row>
    <row r="34956">
      <c r="N34956" s="28"/>
      <c r="O34956" s="28"/>
      <c r="U34956" s="28"/>
    </row>
    <row r="34957">
      <c r="N34957" s="28"/>
      <c r="O34957" s="28"/>
      <c r="U34957" s="28"/>
    </row>
    <row r="34958">
      <c r="N34958" s="28"/>
      <c r="O34958" s="28"/>
      <c r="U34958" s="28"/>
    </row>
    <row r="34959">
      <c r="N34959" s="28"/>
      <c r="O34959" s="28"/>
      <c r="U34959" s="28"/>
    </row>
    <row r="34960">
      <c r="N34960" s="28"/>
      <c r="O34960" s="28"/>
      <c r="U34960" s="28"/>
    </row>
    <row r="34961">
      <c r="N34961" s="28"/>
      <c r="O34961" s="28"/>
      <c r="U34961" s="28"/>
    </row>
    <row r="34962">
      <c r="N34962" s="28"/>
      <c r="O34962" s="28"/>
      <c r="U34962" s="28"/>
    </row>
    <row r="34963">
      <c r="N34963" s="28"/>
      <c r="O34963" s="28"/>
      <c r="U34963" s="28"/>
    </row>
    <row r="34964">
      <c r="N34964" s="28"/>
      <c r="O34964" s="28"/>
      <c r="U34964" s="28"/>
    </row>
    <row r="34965">
      <c r="N34965" s="28"/>
      <c r="O34965" s="28"/>
      <c r="U34965" s="28"/>
    </row>
    <row r="34966">
      <c r="N34966" s="28"/>
      <c r="O34966" s="28"/>
      <c r="U34966" s="28"/>
    </row>
    <row r="34967">
      <c r="N34967" s="28"/>
      <c r="O34967" s="28"/>
      <c r="U34967" s="28"/>
    </row>
    <row r="34968">
      <c r="N34968" s="28"/>
      <c r="O34968" s="28"/>
      <c r="U34968" s="28"/>
    </row>
    <row r="34969">
      <c r="N34969" s="28"/>
      <c r="O34969" s="28"/>
      <c r="U34969" s="28"/>
    </row>
    <row r="34970">
      <c r="N34970" s="28"/>
      <c r="O34970" s="28"/>
      <c r="U34970" s="28"/>
    </row>
    <row r="34971">
      <c r="N34971" s="28"/>
      <c r="O34971" s="28"/>
      <c r="U34971" s="28"/>
    </row>
    <row r="34972">
      <c r="N34972" s="28"/>
      <c r="O34972" s="28"/>
      <c r="U34972" s="28"/>
    </row>
    <row r="34973">
      <c r="N34973" s="28"/>
      <c r="O34973" s="28"/>
      <c r="U34973" s="28"/>
    </row>
    <row r="34974">
      <c r="N34974" s="28"/>
      <c r="O34974" s="28"/>
      <c r="U34974" s="28"/>
    </row>
    <row r="34975">
      <c r="N34975" s="28"/>
      <c r="O34975" s="28"/>
      <c r="U34975" s="28"/>
    </row>
    <row r="34976">
      <c r="N34976" s="28"/>
      <c r="O34976" s="28"/>
      <c r="U34976" s="28"/>
    </row>
    <row r="34977">
      <c r="N34977" s="28"/>
      <c r="O34977" s="28"/>
      <c r="U34977" s="28"/>
    </row>
    <row r="34978">
      <c r="N34978" s="28"/>
      <c r="O34978" s="28"/>
      <c r="U34978" s="28"/>
    </row>
    <row r="34979">
      <c r="N34979" s="28"/>
      <c r="O34979" s="28"/>
      <c r="U34979" s="28"/>
    </row>
    <row r="34980">
      <c r="N34980" s="28"/>
      <c r="O34980" s="28"/>
      <c r="U34980" s="28"/>
    </row>
    <row r="34981">
      <c r="N34981" s="28"/>
      <c r="O34981" s="28"/>
      <c r="U34981" s="28"/>
    </row>
    <row r="34982">
      <c r="N34982" s="28"/>
      <c r="O34982" s="28"/>
      <c r="U34982" s="28"/>
    </row>
    <row r="34983">
      <c r="N34983" s="28"/>
      <c r="O34983" s="28"/>
      <c r="U34983" s="28"/>
    </row>
    <row r="34984">
      <c r="N34984" s="28"/>
      <c r="O34984" s="28"/>
      <c r="U34984" s="28"/>
    </row>
    <row r="34985">
      <c r="N34985" s="28"/>
      <c r="O34985" s="28"/>
      <c r="U34985" s="28"/>
    </row>
    <row r="34986">
      <c r="N34986" s="28"/>
      <c r="O34986" s="28"/>
      <c r="U34986" s="28"/>
    </row>
    <row r="34987">
      <c r="N34987" s="28"/>
      <c r="O34987" s="28"/>
      <c r="U34987" s="28"/>
    </row>
    <row r="34988">
      <c r="N34988" s="28"/>
      <c r="O34988" s="28"/>
      <c r="U34988" s="28"/>
    </row>
    <row r="34989">
      <c r="N34989" s="28"/>
      <c r="O34989" s="28"/>
      <c r="U34989" s="28"/>
    </row>
    <row r="34990">
      <c r="N34990" s="28"/>
      <c r="O34990" s="28"/>
      <c r="U34990" s="28"/>
    </row>
    <row r="34991">
      <c r="N34991" s="28"/>
      <c r="O34991" s="28"/>
      <c r="U34991" s="28"/>
    </row>
    <row r="34992">
      <c r="N34992" s="28"/>
      <c r="O34992" s="28"/>
      <c r="U34992" s="28"/>
    </row>
    <row r="34993">
      <c r="N34993" s="28"/>
      <c r="O34993" s="28"/>
      <c r="U34993" s="28"/>
    </row>
    <row r="34994">
      <c r="N34994" s="28"/>
      <c r="O34994" s="28"/>
      <c r="U34994" s="28"/>
    </row>
    <row r="34995">
      <c r="N34995" s="28"/>
      <c r="O34995" s="28"/>
      <c r="U34995" s="28"/>
    </row>
    <row r="34996">
      <c r="N34996" s="28"/>
      <c r="O34996" s="28"/>
      <c r="U34996" s="28"/>
    </row>
    <row r="34997">
      <c r="N34997" s="28"/>
      <c r="O34997" s="28"/>
      <c r="U34997" s="28"/>
    </row>
    <row r="34998">
      <c r="N34998" s="28"/>
      <c r="O34998" s="28"/>
      <c r="U34998" s="28"/>
    </row>
    <row r="34999">
      <c r="N34999" s="28"/>
      <c r="O34999" s="28"/>
      <c r="U34999" s="28"/>
    </row>
    <row r="35000">
      <c r="N35000" s="28"/>
      <c r="O35000" s="28"/>
      <c r="U35000" s="28"/>
    </row>
    <row r="35001">
      <c r="N35001" s="28"/>
      <c r="O35001" s="28"/>
      <c r="U35001" s="28"/>
    </row>
    <row r="35002">
      <c r="N35002" s="28"/>
      <c r="O35002" s="28"/>
      <c r="U35002" s="28"/>
    </row>
    <row r="35003">
      <c r="N35003" s="28"/>
      <c r="O35003" s="28"/>
      <c r="U35003" s="28"/>
    </row>
    <row r="35004">
      <c r="N35004" s="28"/>
      <c r="O35004" s="28"/>
      <c r="U35004" s="28"/>
    </row>
    <row r="35005">
      <c r="N35005" s="28"/>
      <c r="O35005" s="28"/>
      <c r="U35005" s="28"/>
    </row>
    <row r="35006">
      <c r="N35006" s="28"/>
      <c r="O35006" s="28"/>
      <c r="U35006" s="28"/>
    </row>
    <row r="35007">
      <c r="N35007" s="28"/>
      <c r="O35007" s="28"/>
      <c r="U35007" s="28"/>
    </row>
    <row r="35008">
      <c r="N35008" s="28"/>
      <c r="O35008" s="28"/>
      <c r="U35008" s="28"/>
    </row>
    <row r="35009">
      <c r="N35009" s="28"/>
      <c r="O35009" s="28"/>
      <c r="U35009" s="28"/>
    </row>
    <row r="35010">
      <c r="N35010" s="28"/>
      <c r="O35010" s="28"/>
      <c r="U35010" s="28"/>
    </row>
    <row r="35011">
      <c r="N35011" s="28"/>
      <c r="O35011" s="28"/>
      <c r="U35011" s="28"/>
    </row>
    <row r="35012">
      <c r="N35012" s="28"/>
      <c r="O35012" s="28"/>
      <c r="U35012" s="28"/>
    </row>
    <row r="35013">
      <c r="N35013" s="28"/>
      <c r="O35013" s="28"/>
      <c r="U35013" s="28"/>
    </row>
    <row r="35014">
      <c r="N35014" s="28"/>
      <c r="O35014" s="28"/>
      <c r="U35014" s="28"/>
    </row>
    <row r="35015">
      <c r="N35015" s="28"/>
      <c r="O35015" s="28"/>
      <c r="U35015" s="28"/>
    </row>
    <row r="35016">
      <c r="N35016" s="28"/>
      <c r="O35016" s="28"/>
      <c r="U35016" s="28"/>
    </row>
    <row r="35017">
      <c r="N35017" s="28"/>
      <c r="O35017" s="28"/>
      <c r="U35017" s="28"/>
    </row>
    <row r="35018">
      <c r="N35018" s="28"/>
      <c r="O35018" s="28"/>
      <c r="U35018" s="28"/>
    </row>
    <row r="35019">
      <c r="N35019" s="28"/>
      <c r="O35019" s="28"/>
      <c r="U35019" s="28"/>
    </row>
    <row r="35020">
      <c r="N35020" s="28"/>
      <c r="O35020" s="28"/>
      <c r="U35020" s="28"/>
    </row>
    <row r="35021">
      <c r="N35021" s="28"/>
      <c r="O35021" s="28"/>
      <c r="U35021" s="28"/>
    </row>
    <row r="35022">
      <c r="N35022" s="28"/>
      <c r="O35022" s="28"/>
      <c r="U35022" s="28"/>
    </row>
    <row r="35023">
      <c r="N35023" s="28"/>
      <c r="O35023" s="28"/>
      <c r="U35023" s="28"/>
    </row>
    <row r="35024">
      <c r="N35024" s="28"/>
      <c r="O35024" s="28"/>
      <c r="U35024" s="28"/>
    </row>
    <row r="35025">
      <c r="N35025" s="28"/>
      <c r="O35025" s="28"/>
      <c r="U35025" s="28"/>
    </row>
    <row r="35026">
      <c r="N35026" s="28"/>
      <c r="O35026" s="28"/>
      <c r="U35026" s="28"/>
    </row>
    <row r="35027">
      <c r="N35027" s="28"/>
      <c r="O35027" s="28"/>
      <c r="U35027" s="28"/>
    </row>
    <row r="35028">
      <c r="N35028" s="28"/>
      <c r="O35028" s="28"/>
      <c r="U35028" s="28"/>
    </row>
    <row r="35029">
      <c r="N35029" s="28"/>
      <c r="O35029" s="28"/>
      <c r="U35029" s="28"/>
    </row>
    <row r="35030">
      <c r="N35030" s="28"/>
      <c r="O35030" s="28"/>
      <c r="U35030" s="28"/>
    </row>
    <row r="35031">
      <c r="N35031" s="28"/>
      <c r="O35031" s="28"/>
      <c r="U35031" s="28"/>
    </row>
    <row r="35032">
      <c r="N35032" s="28"/>
      <c r="O35032" s="28"/>
      <c r="U35032" s="28"/>
    </row>
    <row r="35033">
      <c r="N35033" s="28"/>
      <c r="O35033" s="28"/>
      <c r="U35033" s="28"/>
    </row>
    <row r="35034">
      <c r="N35034" s="28"/>
      <c r="O35034" s="28"/>
      <c r="U35034" s="28"/>
    </row>
    <row r="35035">
      <c r="N35035" s="28"/>
      <c r="O35035" s="28"/>
      <c r="U35035" s="28"/>
    </row>
    <row r="35036">
      <c r="N35036" s="28"/>
      <c r="O35036" s="28"/>
      <c r="U35036" s="28"/>
    </row>
    <row r="35037">
      <c r="N35037" s="28"/>
      <c r="O35037" s="28"/>
      <c r="U35037" s="28"/>
    </row>
    <row r="35038">
      <c r="N35038" s="28"/>
      <c r="O35038" s="28"/>
      <c r="U35038" s="28"/>
    </row>
    <row r="35039">
      <c r="N35039" s="28"/>
      <c r="O35039" s="28"/>
      <c r="U35039" s="28"/>
    </row>
    <row r="35040">
      <c r="N35040" s="28"/>
      <c r="O35040" s="28"/>
      <c r="U35040" s="28"/>
    </row>
    <row r="35041">
      <c r="N35041" s="28"/>
      <c r="O35041" s="28"/>
      <c r="U35041" s="28"/>
    </row>
    <row r="35042">
      <c r="N35042" s="28"/>
      <c r="O35042" s="28"/>
      <c r="U35042" s="28"/>
    </row>
    <row r="35043">
      <c r="N35043" s="28"/>
      <c r="O35043" s="28"/>
      <c r="U35043" s="28"/>
    </row>
    <row r="35044">
      <c r="N35044" s="28"/>
      <c r="O35044" s="28"/>
      <c r="U35044" s="28"/>
    </row>
    <row r="35045">
      <c r="N35045" s="28"/>
      <c r="O35045" s="28"/>
      <c r="U35045" s="28"/>
    </row>
    <row r="35046">
      <c r="N35046" s="28"/>
      <c r="O35046" s="28"/>
      <c r="U35046" s="28"/>
    </row>
    <row r="35047">
      <c r="N35047" s="28"/>
      <c r="O35047" s="28"/>
      <c r="U35047" s="28"/>
    </row>
    <row r="35048">
      <c r="N35048" s="28"/>
      <c r="O35048" s="28"/>
      <c r="U35048" s="28"/>
    </row>
    <row r="35049">
      <c r="N35049" s="28"/>
      <c r="O35049" s="28"/>
      <c r="U35049" s="28"/>
    </row>
    <row r="35050">
      <c r="N35050" s="28"/>
      <c r="O35050" s="28"/>
      <c r="U35050" s="28"/>
    </row>
    <row r="35051">
      <c r="N35051" s="28"/>
      <c r="O35051" s="28"/>
      <c r="U35051" s="28"/>
    </row>
    <row r="35052">
      <c r="N35052" s="28"/>
      <c r="O35052" s="28"/>
      <c r="U35052" s="28"/>
    </row>
    <row r="35053">
      <c r="N35053" s="28"/>
      <c r="O35053" s="28"/>
      <c r="U35053" s="28"/>
    </row>
    <row r="35054">
      <c r="N35054" s="28"/>
      <c r="O35054" s="28"/>
      <c r="U35054" s="28"/>
    </row>
    <row r="35055">
      <c r="N35055" s="28"/>
      <c r="O35055" s="28"/>
      <c r="U35055" s="28"/>
    </row>
    <row r="35056">
      <c r="N35056" s="28"/>
      <c r="O35056" s="28"/>
      <c r="U35056" s="28"/>
    </row>
    <row r="35057">
      <c r="N35057" s="28"/>
      <c r="O35057" s="28"/>
      <c r="U35057" s="28"/>
    </row>
    <row r="35058">
      <c r="N35058" s="28"/>
      <c r="O35058" s="28"/>
      <c r="U35058" s="28"/>
    </row>
    <row r="35059">
      <c r="N35059" s="28"/>
      <c r="O35059" s="28"/>
      <c r="U35059" s="28"/>
    </row>
    <row r="35060">
      <c r="N35060" s="28"/>
      <c r="O35060" s="28"/>
      <c r="U35060" s="28"/>
    </row>
    <row r="35061">
      <c r="N35061" s="28"/>
      <c r="O35061" s="28"/>
      <c r="U35061" s="28"/>
    </row>
    <row r="35062">
      <c r="N35062" s="28"/>
      <c r="O35062" s="28"/>
      <c r="U35062" s="28"/>
    </row>
    <row r="35063">
      <c r="N35063" s="28"/>
      <c r="O35063" s="28"/>
      <c r="U35063" s="28"/>
    </row>
    <row r="35064">
      <c r="N35064" s="28"/>
      <c r="O35064" s="28"/>
      <c r="U35064" s="28"/>
    </row>
    <row r="35065">
      <c r="N35065" s="28"/>
      <c r="O35065" s="28"/>
      <c r="U35065" s="28"/>
    </row>
    <row r="35066">
      <c r="N35066" s="28"/>
      <c r="O35066" s="28"/>
      <c r="U35066" s="28"/>
    </row>
    <row r="35067">
      <c r="N35067" s="28"/>
      <c r="O35067" s="28"/>
      <c r="U35067" s="28"/>
    </row>
    <row r="35068">
      <c r="N35068" s="28"/>
      <c r="O35068" s="28"/>
      <c r="U35068" s="28"/>
    </row>
    <row r="35069">
      <c r="N35069" s="28"/>
      <c r="O35069" s="28"/>
      <c r="U35069" s="28"/>
    </row>
    <row r="35070">
      <c r="N35070" s="28"/>
      <c r="O35070" s="28"/>
      <c r="U35070" s="28"/>
    </row>
    <row r="35071">
      <c r="N35071" s="28"/>
      <c r="O35071" s="28"/>
      <c r="U35071" s="28"/>
    </row>
    <row r="35072">
      <c r="N35072" s="28"/>
      <c r="O35072" s="28"/>
      <c r="U35072" s="28"/>
    </row>
    <row r="35073">
      <c r="N35073" s="28"/>
      <c r="O35073" s="28"/>
      <c r="U35073" s="28"/>
    </row>
    <row r="35074">
      <c r="N35074" s="28"/>
      <c r="O35074" s="28"/>
      <c r="U35074" s="28"/>
    </row>
    <row r="35075">
      <c r="N35075" s="28"/>
      <c r="O35075" s="28"/>
      <c r="U35075" s="28"/>
    </row>
    <row r="35076">
      <c r="N35076" s="28"/>
      <c r="O35076" s="28"/>
      <c r="U35076" s="28"/>
    </row>
    <row r="35077">
      <c r="N35077" s="28"/>
      <c r="O35077" s="28"/>
      <c r="U35077" s="28"/>
    </row>
    <row r="35078">
      <c r="N35078" s="28"/>
      <c r="O35078" s="28"/>
      <c r="U35078" s="28"/>
    </row>
    <row r="35079">
      <c r="N35079" s="28"/>
      <c r="O35079" s="28"/>
      <c r="U35079" s="28"/>
    </row>
    <row r="35080">
      <c r="N35080" s="28"/>
      <c r="O35080" s="28"/>
      <c r="U35080" s="28"/>
    </row>
    <row r="35081">
      <c r="N35081" s="28"/>
      <c r="O35081" s="28"/>
      <c r="U35081" s="28"/>
    </row>
    <row r="35082">
      <c r="N35082" s="28"/>
      <c r="O35082" s="28"/>
      <c r="U35082" s="28"/>
    </row>
    <row r="35083">
      <c r="N35083" s="28"/>
      <c r="O35083" s="28"/>
      <c r="U35083" s="28"/>
    </row>
    <row r="35084">
      <c r="N35084" s="28"/>
      <c r="O35084" s="28"/>
      <c r="U35084" s="28"/>
    </row>
    <row r="35085">
      <c r="N35085" s="28"/>
      <c r="O35085" s="28"/>
      <c r="U35085" s="28"/>
    </row>
    <row r="35086">
      <c r="N35086" s="28"/>
      <c r="O35086" s="28"/>
      <c r="U35086" s="28"/>
    </row>
    <row r="35087">
      <c r="N35087" s="28"/>
      <c r="O35087" s="28"/>
      <c r="U35087" s="28"/>
    </row>
    <row r="35088">
      <c r="N35088" s="28"/>
      <c r="O35088" s="28"/>
      <c r="U35088" s="28"/>
    </row>
    <row r="35089">
      <c r="N35089" s="28"/>
      <c r="O35089" s="28"/>
      <c r="U35089" s="28"/>
    </row>
    <row r="35090">
      <c r="N35090" s="28"/>
      <c r="O35090" s="28"/>
      <c r="U35090" s="28"/>
    </row>
    <row r="35091">
      <c r="N35091" s="28"/>
      <c r="O35091" s="28"/>
      <c r="U35091" s="28"/>
    </row>
    <row r="35092">
      <c r="N35092" s="28"/>
      <c r="O35092" s="28"/>
      <c r="U35092" s="28"/>
    </row>
    <row r="35093">
      <c r="N35093" s="28"/>
      <c r="O35093" s="28"/>
      <c r="U35093" s="28"/>
    </row>
    <row r="35094">
      <c r="N35094" s="28"/>
      <c r="O35094" s="28"/>
      <c r="U35094" s="28"/>
    </row>
    <row r="35095">
      <c r="N35095" s="28"/>
      <c r="O35095" s="28"/>
      <c r="U35095" s="28"/>
    </row>
    <row r="35096">
      <c r="N35096" s="28"/>
      <c r="O35096" s="28"/>
      <c r="U35096" s="28"/>
    </row>
    <row r="35097">
      <c r="N35097" s="28"/>
      <c r="O35097" s="28"/>
      <c r="U35097" s="28"/>
    </row>
    <row r="35098">
      <c r="N35098" s="28"/>
      <c r="O35098" s="28"/>
      <c r="U35098" s="28"/>
    </row>
    <row r="35099">
      <c r="N35099" s="28"/>
      <c r="O35099" s="28"/>
      <c r="U35099" s="28"/>
    </row>
    <row r="35100">
      <c r="N35100" s="28"/>
      <c r="O35100" s="28"/>
      <c r="U35100" s="28"/>
    </row>
    <row r="35101">
      <c r="N35101" s="28"/>
      <c r="O35101" s="28"/>
      <c r="U35101" s="28"/>
    </row>
    <row r="35102">
      <c r="N35102" s="28"/>
      <c r="O35102" s="28"/>
      <c r="U35102" s="28"/>
    </row>
    <row r="35103">
      <c r="N35103" s="28"/>
      <c r="O35103" s="28"/>
      <c r="U35103" s="28"/>
    </row>
    <row r="35104">
      <c r="N35104" s="28"/>
      <c r="O35104" s="28"/>
      <c r="U35104" s="28"/>
    </row>
    <row r="35105">
      <c r="N35105" s="28"/>
      <c r="O35105" s="28"/>
      <c r="U35105" s="28"/>
    </row>
    <row r="35106">
      <c r="N35106" s="28"/>
      <c r="O35106" s="28"/>
      <c r="U35106" s="28"/>
    </row>
    <row r="35107">
      <c r="N35107" s="28"/>
      <c r="O35107" s="28"/>
      <c r="U35107" s="28"/>
    </row>
    <row r="35108">
      <c r="N35108" s="28"/>
      <c r="O35108" s="28"/>
      <c r="U35108" s="28"/>
    </row>
    <row r="35109">
      <c r="N35109" s="28"/>
      <c r="O35109" s="28"/>
      <c r="U35109" s="28"/>
    </row>
    <row r="35110">
      <c r="N35110" s="28"/>
      <c r="O35110" s="28"/>
      <c r="U35110" s="28"/>
    </row>
    <row r="35111">
      <c r="N35111" s="28"/>
      <c r="O35111" s="28"/>
      <c r="U35111" s="28"/>
    </row>
    <row r="35112">
      <c r="N35112" s="28"/>
      <c r="O35112" s="28"/>
      <c r="U35112" s="28"/>
    </row>
    <row r="35113">
      <c r="N35113" s="28"/>
      <c r="O35113" s="28"/>
      <c r="U35113" s="28"/>
    </row>
    <row r="35114">
      <c r="N35114" s="28"/>
      <c r="O35114" s="28"/>
      <c r="U35114" s="28"/>
    </row>
    <row r="35115">
      <c r="N35115" s="28"/>
      <c r="O35115" s="28"/>
      <c r="U35115" s="28"/>
    </row>
    <row r="35116">
      <c r="N35116" s="28"/>
      <c r="O35116" s="28"/>
      <c r="U35116" s="28"/>
    </row>
    <row r="35117">
      <c r="N35117" s="28"/>
      <c r="O35117" s="28"/>
      <c r="U35117" s="28"/>
    </row>
    <row r="35118">
      <c r="N35118" s="28"/>
      <c r="O35118" s="28"/>
      <c r="U35118" s="28"/>
    </row>
    <row r="35119">
      <c r="N35119" s="28"/>
      <c r="O35119" s="28"/>
      <c r="U35119" s="28"/>
    </row>
    <row r="35120">
      <c r="N35120" s="28"/>
      <c r="O35120" s="28"/>
      <c r="U35120" s="28"/>
    </row>
    <row r="35121">
      <c r="N35121" s="28"/>
      <c r="O35121" s="28"/>
      <c r="U35121" s="28"/>
    </row>
    <row r="35122">
      <c r="N35122" s="28"/>
      <c r="O35122" s="28"/>
      <c r="U35122" s="28"/>
    </row>
    <row r="35123">
      <c r="N35123" s="28"/>
      <c r="O35123" s="28"/>
      <c r="U35123" s="28"/>
    </row>
    <row r="35124">
      <c r="N35124" s="28"/>
      <c r="O35124" s="28"/>
      <c r="U35124" s="28"/>
    </row>
    <row r="35125">
      <c r="N35125" s="28"/>
      <c r="O35125" s="28"/>
      <c r="U35125" s="28"/>
    </row>
    <row r="35126">
      <c r="N35126" s="28"/>
      <c r="O35126" s="28"/>
      <c r="U35126" s="28"/>
    </row>
    <row r="35127">
      <c r="N35127" s="28"/>
      <c r="O35127" s="28"/>
      <c r="U35127" s="28"/>
    </row>
    <row r="35128">
      <c r="N35128" s="28"/>
      <c r="O35128" s="28"/>
      <c r="U35128" s="28"/>
    </row>
    <row r="35129">
      <c r="N35129" s="28"/>
      <c r="O35129" s="28"/>
      <c r="U35129" s="28"/>
    </row>
    <row r="35130">
      <c r="N35130" s="28"/>
      <c r="O35130" s="28"/>
      <c r="U35130" s="28"/>
    </row>
    <row r="35131">
      <c r="N35131" s="28"/>
      <c r="O35131" s="28"/>
      <c r="U35131" s="28"/>
    </row>
    <row r="35132">
      <c r="N35132" s="28"/>
      <c r="O35132" s="28"/>
      <c r="U35132" s="28"/>
    </row>
    <row r="35133">
      <c r="N35133" s="28"/>
      <c r="O35133" s="28"/>
      <c r="U35133" s="28"/>
    </row>
    <row r="35134">
      <c r="N35134" s="28"/>
      <c r="O35134" s="28"/>
      <c r="U35134" s="28"/>
    </row>
    <row r="35135">
      <c r="N35135" s="28"/>
      <c r="O35135" s="28"/>
      <c r="U35135" s="28"/>
    </row>
    <row r="35136">
      <c r="N35136" s="28"/>
      <c r="O35136" s="28"/>
      <c r="U35136" s="28"/>
    </row>
    <row r="35137">
      <c r="N35137" s="28"/>
      <c r="O35137" s="28"/>
      <c r="U35137" s="28"/>
    </row>
    <row r="35138">
      <c r="N35138" s="28"/>
      <c r="O35138" s="28"/>
      <c r="U35138" s="28"/>
    </row>
    <row r="35139">
      <c r="N35139" s="28"/>
      <c r="O35139" s="28"/>
      <c r="U35139" s="28"/>
    </row>
    <row r="35140">
      <c r="N35140" s="28"/>
      <c r="O35140" s="28"/>
      <c r="U35140" s="28"/>
    </row>
    <row r="35141">
      <c r="N35141" s="28"/>
      <c r="O35141" s="28"/>
      <c r="U35141" s="28"/>
    </row>
    <row r="35142">
      <c r="N35142" s="28"/>
      <c r="O35142" s="28"/>
      <c r="U35142" s="28"/>
    </row>
    <row r="35143">
      <c r="N35143" s="28"/>
      <c r="O35143" s="28"/>
      <c r="U35143" s="28"/>
    </row>
    <row r="35144">
      <c r="N35144" s="28"/>
      <c r="O35144" s="28"/>
      <c r="U35144" s="28"/>
    </row>
    <row r="35145">
      <c r="N35145" s="28"/>
      <c r="O35145" s="28"/>
      <c r="U35145" s="28"/>
    </row>
    <row r="35146">
      <c r="N35146" s="28"/>
      <c r="O35146" s="28"/>
      <c r="U35146" s="28"/>
    </row>
    <row r="35147">
      <c r="N35147" s="28"/>
      <c r="O35147" s="28"/>
      <c r="U35147" s="28"/>
    </row>
    <row r="35148">
      <c r="N35148" s="28"/>
      <c r="O35148" s="28"/>
      <c r="U35148" s="28"/>
    </row>
    <row r="35149">
      <c r="N35149" s="28"/>
      <c r="O35149" s="28"/>
      <c r="U35149" s="28"/>
    </row>
    <row r="35150">
      <c r="N35150" s="28"/>
      <c r="O35150" s="28"/>
      <c r="U35150" s="28"/>
    </row>
    <row r="35151">
      <c r="N35151" s="28"/>
      <c r="O35151" s="28"/>
      <c r="U35151" s="28"/>
    </row>
    <row r="35152">
      <c r="N35152" s="28"/>
      <c r="O35152" s="28"/>
      <c r="U35152" s="28"/>
    </row>
    <row r="35153">
      <c r="N35153" s="28"/>
      <c r="O35153" s="28"/>
      <c r="U35153" s="28"/>
    </row>
    <row r="35154">
      <c r="N35154" s="28"/>
      <c r="O35154" s="28"/>
      <c r="U35154" s="28"/>
    </row>
    <row r="35155">
      <c r="N35155" s="28"/>
      <c r="O35155" s="28"/>
      <c r="U35155" s="28"/>
    </row>
    <row r="35156">
      <c r="N35156" s="28"/>
      <c r="O35156" s="28"/>
      <c r="U35156" s="28"/>
    </row>
    <row r="35157">
      <c r="N35157" s="28"/>
      <c r="O35157" s="28"/>
      <c r="U35157" s="28"/>
    </row>
    <row r="35158">
      <c r="N35158" s="28"/>
      <c r="O35158" s="28"/>
      <c r="U35158" s="28"/>
    </row>
    <row r="35159">
      <c r="N35159" s="28"/>
      <c r="O35159" s="28"/>
      <c r="U35159" s="28"/>
    </row>
    <row r="35160">
      <c r="N35160" s="28"/>
      <c r="O35160" s="28"/>
      <c r="U35160" s="28"/>
    </row>
    <row r="35161">
      <c r="N35161" s="28"/>
      <c r="O35161" s="28"/>
      <c r="U35161" s="28"/>
    </row>
    <row r="35162">
      <c r="N35162" s="28"/>
      <c r="O35162" s="28"/>
      <c r="U35162" s="28"/>
    </row>
    <row r="35163">
      <c r="N35163" s="28"/>
      <c r="O35163" s="28"/>
      <c r="U35163" s="28"/>
    </row>
    <row r="35164">
      <c r="N35164" s="28"/>
      <c r="O35164" s="28"/>
      <c r="U35164" s="28"/>
    </row>
    <row r="35165">
      <c r="N35165" s="28"/>
      <c r="O35165" s="28"/>
      <c r="U35165" s="28"/>
    </row>
    <row r="35166">
      <c r="N35166" s="28"/>
      <c r="O35166" s="28"/>
      <c r="U35166" s="28"/>
    </row>
    <row r="35167">
      <c r="N35167" s="28"/>
      <c r="O35167" s="28"/>
      <c r="U35167" s="28"/>
    </row>
    <row r="35168">
      <c r="N35168" s="28"/>
      <c r="O35168" s="28"/>
      <c r="U35168" s="28"/>
    </row>
    <row r="35169">
      <c r="N35169" s="28"/>
      <c r="O35169" s="28"/>
      <c r="U35169" s="28"/>
    </row>
    <row r="35170">
      <c r="N35170" s="28"/>
      <c r="O35170" s="28"/>
      <c r="U35170" s="28"/>
    </row>
    <row r="35171">
      <c r="N35171" s="28"/>
      <c r="O35171" s="28"/>
      <c r="U35171" s="28"/>
    </row>
    <row r="35172">
      <c r="N35172" s="28"/>
      <c r="O35172" s="28"/>
      <c r="U35172" s="28"/>
    </row>
    <row r="35173">
      <c r="N35173" s="28"/>
      <c r="O35173" s="28"/>
      <c r="U35173" s="28"/>
    </row>
    <row r="35174">
      <c r="N35174" s="28"/>
      <c r="O35174" s="28"/>
      <c r="U35174" s="28"/>
    </row>
    <row r="35175">
      <c r="N35175" s="28"/>
      <c r="O35175" s="28"/>
      <c r="U35175" s="28"/>
    </row>
    <row r="35176">
      <c r="N35176" s="28"/>
      <c r="O35176" s="28"/>
      <c r="U35176" s="28"/>
    </row>
    <row r="35177">
      <c r="N35177" s="28"/>
      <c r="O35177" s="28"/>
      <c r="U35177" s="28"/>
    </row>
    <row r="35178">
      <c r="N35178" s="28"/>
      <c r="O35178" s="28"/>
      <c r="U35178" s="28"/>
    </row>
    <row r="35179">
      <c r="N35179" s="28"/>
      <c r="O35179" s="28"/>
      <c r="U35179" s="28"/>
    </row>
    <row r="35180">
      <c r="N35180" s="28"/>
      <c r="O35180" s="28"/>
      <c r="U35180" s="28"/>
    </row>
    <row r="35181">
      <c r="N35181" s="28"/>
      <c r="O35181" s="28"/>
      <c r="U35181" s="28"/>
    </row>
    <row r="35182">
      <c r="N35182" s="28"/>
      <c r="O35182" s="28"/>
      <c r="U35182" s="28"/>
    </row>
    <row r="35183">
      <c r="N35183" s="28"/>
      <c r="O35183" s="28"/>
      <c r="U35183" s="28"/>
    </row>
    <row r="35184">
      <c r="N35184" s="28"/>
      <c r="O35184" s="28"/>
      <c r="U35184" s="28"/>
    </row>
    <row r="35185">
      <c r="N35185" s="28"/>
      <c r="O35185" s="28"/>
      <c r="U35185" s="28"/>
    </row>
    <row r="35186">
      <c r="N35186" s="28"/>
      <c r="O35186" s="28"/>
      <c r="U35186" s="28"/>
    </row>
    <row r="35187">
      <c r="N35187" s="28"/>
      <c r="O35187" s="28"/>
      <c r="U35187" s="28"/>
    </row>
    <row r="35188">
      <c r="N35188" s="28"/>
      <c r="O35188" s="28"/>
      <c r="U35188" s="28"/>
    </row>
    <row r="35189">
      <c r="N35189" s="28"/>
      <c r="O35189" s="28"/>
      <c r="U35189" s="28"/>
    </row>
    <row r="35190">
      <c r="N35190" s="28"/>
      <c r="O35190" s="28"/>
      <c r="U35190" s="28"/>
    </row>
    <row r="35191">
      <c r="N35191" s="28"/>
      <c r="O35191" s="28"/>
      <c r="U35191" s="28"/>
    </row>
    <row r="35192">
      <c r="N35192" s="28"/>
      <c r="O35192" s="28"/>
      <c r="U35192" s="28"/>
    </row>
    <row r="35193">
      <c r="N35193" s="28"/>
      <c r="O35193" s="28"/>
      <c r="U35193" s="28"/>
    </row>
    <row r="35194">
      <c r="N35194" s="28"/>
      <c r="O35194" s="28"/>
      <c r="U35194" s="28"/>
    </row>
    <row r="35195">
      <c r="N35195" s="28"/>
      <c r="O35195" s="28"/>
      <c r="U35195" s="28"/>
    </row>
    <row r="35196">
      <c r="N35196" s="28"/>
      <c r="O35196" s="28"/>
      <c r="U35196" s="28"/>
    </row>
    <row r="35197">
      <c r="N35197" s="28"/>
      <c r="O35197" s="28"/>
      <c r="U35197" s="28"/>
    </row>
    <row r="35198">
      <c r="N35198" s="28"/>
      <c r="O35198" s="28"/>
      <c r="U35198" s="28"/>
    </row>
    <row r="35199">
      <c r="N35199" s="28"/>
      <c r="O35199" s="28"/>
      <c r="U35199" s="28"/>
    </row>
    <row r="35200">
      <c r="N35200" s="28"/>
      <c r="O35200" s="28"/>
      <c r="U35200" s="28"/>
    </row>
    <row r="35201">
      <c r="N35201" s="28"/>
      <c r="O35201" s="28"/>
      <c r="U35201" s="28"/>
    </row>
    <row r="35202">
      <c r="N35202" s="28"/>
      <c r="O35202" s="28"/>
      <c r="U35202" s="28"/>
    </row>
    <row r="35203">
      <c r="N35203" s="28"/>
      <c r="O35203" s="28"/>
      <c r="U35203" s="28"/>
    </row>
    <row r="35204">
      <c r="N35204" s="28"/>
      <c r="O35204" s="28"/>
      <c r="U35204" s="28"/>
    </row>
    <row r="35205">
      <c r="N35205" s="28"/>
      <c r="O35205" s="28"/>
      <c r="U35205" s="28"/>
    </row>
    <row r="35206">
      <c r="N35206" s="28"/>
      <c r="O35206" s="28"/>
      <c r="U35206" s="28"/>
    </row>
    <row r="35207">
      <c r="N35207" s="28"/>
      <c r="O35207" s="28"/>
      <c r="U35207" s="28"/>
    </row>
    <row r="35208">
      <c r="N35208" s="28"/>
      <c r="O35208" s="28"/>
      <c r="U35208" s="28"/>
    </row>
    <row r="35209">
      <c r="N35209" s="28"/>
      <c r="O35209" s="28"/>
      <c r="U35209" s="28"/>
    </row>
    <row r="35210">
      <c r="N35210" s="28"/>
      <c r="O35210" s="28"/>
      <c r="U35210" s="28"/>
    </row>
    <row r="35211">
      <c r="N35211" s="28"/>
      <c r="O35211" s="28"/>
      <c r="U35211" s="28"/>
    </row>
    <row r="35212">
      <c r="N35212" s="28"/>
      <c r="O35212" s="28"/>
      <c r="U35212" s="28"/>
    </row>
    <row r="35213">
      <c r="N35213" s="28"/>
      <c r="O35213" s="28"/>
      <c r="U35213" s="28"/>
    </row>
    <row r="35214">
      <c r="N35214" s="28"/>
      <c r="O35214" s="28"/>
      <c r="U35214" s="28"/>
    </row>
    <row r="35215">
      <c r="N35215" s="28"/>
      <c r="O35215" s="28"/>
      <c r="U35215" s="28"/>
    </row>
    <row r="35216">
      <c r="N35216" s="28"/>
      <c r="O35216" s="28"/>
      <c r="U35216" s="28"/>
    </row>
    <row r="35217">
      <c r="N35217" s="28"/>
      <c r="O35217" s="28"/>
      <c r="U35217" s="28"/>
    </row>
    <row r="35218">
      <c r="N35218" s="28"/>
      <c r="O35218" s="28"/>
      <c r="U35218" s="28"/>
    </row>
    <row r="35219">
      <c r="N35219" s="28"/>
      <c r="O35219" s="28"/>
      <c r="U35219" s="28"/>
    </row>
    <row r="35220">
      <c r="N35220" s="28"/>
      <c r="O35220" s="28"/>
      <c r="U35220" s="28"/>
    </row>
    <row r="35221">
      <c r="N35221" s="28"/>
      <c r="O35221" s="28"/>
      <c r="U35221" s="28"/>
    </row>
    <row r="35222">
      <c r="N35222" s="28"/>
      <c r="O35222" s="28"/>
      <c r="U35222" s="28"/>
    </row>
    <row r="35223">
      <c r="N35223" s="28"/>
      <c r="O35223" s="28"/>
      <c r="U35223" s="28"/>
    </row>
    <row r="35224">
      <c r="N35224" s="28"/>
      <c r="O35224" s="28"/>
      <c r="U35224" s="28"/>
    </row>
    <row r="35225">
      <c r="N35225" s="28"/>
      <c r="O35225" s="28"/>
      <c r="U35225" s="28"/>
    </row>
    <row r="35226">
      <c r="N35226" s="28"/>
      <c r="O35226" s="28"/>
      <c r="U35226" s="28"/>
    </row>
    <row r="35227">
      <c r="N35227" s="28"/>
      <c r="O35227" s="28"/>
      <c r="U35227" s="28"/>
    </row>
    <row r="35228">
      <c r="N35228" s="28"/>
      <c r="O35228" s="28"/>
      <c r="U35228" s="28"/>
    </row>
    <row r="35229">
      <c r="N35229" s="28"/>
      <c r="O35229" s="28"/>
      <c r="U35229" s="28"/>
    </row>
    <row r="35230">
      <c r="N35230" s="28"/>
      <c r="O35230" s="28"/>
      <c r="U35230" s="28"/>
    </row>
    <row r="35231">
      <c r="N35231" s="28"/>
      <c r="O35231" s="28"/>
      <c r="U35231" s="28"/>
    </row>
    <row r="35232">
      <c r="N35232" s="28"/>
      <c r="O35232" s="28"/>
      <c r="U35232" s="28"/>
    </row>
    <row r="35233">
      <c r="N35233" s="28"/>
      <c r="O35233" s="28"/>
      <c r="U35233" s="28"/>
    </row>
    <row r="35234">
      <c r="N35234" s="28"/>
      <c r="O35234" s="28"/>
      <c r="U35234" s="28"/>
    </row>
    <row r="35235">
      <c r="N35235" s="28"/>
      <c r="O35235" s="28"/>
      <c r="U35235" s="28"/>
    </row>
    <row r="35236">
      <c r="N35236" s="28"/>
      <c r="O35236" s="28"/>
      <c r="U35236" s="28"/>
    </row>
    <row r="35237">
      <c r="N35237" s="28"/>
      <c r="O35237" s="28"/>
      <c r="U35237" s="28"/>
    </row>
    <row r="35238">
      <c r="N35238" s="28"/>
      <c r="O35238" s="28"/>
      <c r="U35238" s="28"/>
    </row>
    <row r="35239">
      <c r="N35239" s="28"/>
      <c r="O35239" s="28"/>
      <c r="U35239" s="28"/>
    </row>
    <row r="35240">
      <c r="N35240" s="28"/>
      <c r="O35240" s="28"/>
      <c r="U35240" s="28"/>
    </row>
    <row r="35241">
      <c r="N35241" s="28"/>
      <c r="O35241" s="28"/>
      <c r="U35241" s="28"/>
    </row>
    <row r="35242">
      <c r="N35242" s="28"/>
      <c r="O35242" s="28"/>
      <c r="U35242" s="28"/>
    </row>
    <row r="35243">
      <c r="N35243" s="28"/>
      <c r="O35243" s="28"/>
      <c r="U35243" s="28"/>
    </row>
    <row r="35244">
      <c r="N35244" s="28"/>
      <c r="O35244" s="28"/>
      <c r="U35244" s="28"/>
    </row>
    <row r="35245">
      <c r="N35245" s="28"/>
      <c r="O35245" s="28"/>
      <c r="U35245" s="28"/>
    </row>
    <row r="35246">
      <c r="N35246" s="28"/>
      <c r="O35246" s="28"/>
      <c r="U35246" s="28"/>
    </row>
    <row r="35247">
      <c r="N35247" s="28"/>
      <c r="O35247" s="28"/>
      <c r="U35247" s="28"/>
    </row>
    <row r="35248">
      <c r="N35248" s="28"/>
      <c r="O35248" s="28"/>
      <c r="U35248" s="28"/>
    </row>
    <row r="35249">
      <c r="N35249" s="28"/>
      <c r="O35249" s="28"/>
      <c r="U35249" s="28"/>
    </row>
    <row r="35250">
      <c r="N35250" s="28"/>
      <c r="O35250" s="28"/>
      <c r="U35250" s="28"/>
    </row>
    <row r="35251">
      <c r="N35251" s="28"/>
      <c r="O35251" s="28"/>
      <c r="U35251" s="28"/>
    </row>
    <row r="35252">
      <c r="N35252" s="28"/>
      <c r="O35252" s="28"/>
      <c r="U35252" s="28"/>
    </row>
    <row r="35253">
      <c r="N35253" s="28"/>
      <c r="O35253" s="28"/>
      <c r="U35253" s="28"/>
    </row>
    <row r="35254">
      <c r="N35254" s="28"/>
      <c r="O35254" s="28"/>
      <c r="U35254" s="28"/>
    </row>
    <row r="35255">
      <c r="N35255" s="28"/>
      <c r="O35255" s="28"/>
      <c r="U35255" s="28"/>
    </row>
    <row r="35256">
      <c r="N35256" s="28"/>
      <c r="O35256" s="28"/>
      <c r="U35256" s="28"/>
    </row>
    <row r="35257">
      <c r="N35257" s="28"/>
      <c r="O35257" s="28"/>
      <c r="U35257" s="28"/>
    </row>
    <row r="35258">
      <c r="N35258" s="28"/>
      <c r="O35258" s="28"/>
      <c r="U35258" s="28"/>
    </row>
    <row r="35259">
      <c r="N35259" s="28"/>
      <c r="O35259" s="28"/>
      <c r="U35259" s="28"/>
    </row>
    <row r="35260">
      <c r="N35260" s="28"/>
      <c r="O35260" s="28"/>
      <c r="U35260" s="28"/>
    </row>
    <row r="35261">
      <c r="N35261" s="28"/>
      <c r="O35261" s="28"/>
      <c r="U35261" s="28"/>
    </row>
    <row r="35262">
      <c r="N35262" s="28"/>
      <c r="O35262" s="28"/>
      <c r="U35262" s="28"/>
    </row>
    <row r="35263">
      <c r="N35263" s="28"/>
      <c r="O35263" s="28"/>
      <c r="U35263" s="28"/>
    </row>
    <row r="35264">
      <c r="N35264" s="28"/>
      <c r="O35264" s="28"/>
      <c r="U35264" s="28"/>
    </row>
    <row r="35265">
      <c r="N35265" s="28"/>
      <c r="O35265" s="28"/>
      <c r="U35265" s="28"/>
    </row>
    <row r="35266">
      <c r="N35266" s="28"/>
      <c r="O35266" s="28"/>
      <c r="U35266" s="28"/>
    </row>
    <row r="35267">
      <c r="N35267" s="28"/>
      <c r="O35267" s="28"/>
      <c r="U35267" s="28"/>
    </row>
    <row r="35268">
      <c r="N35268" s="28"/>
      <c r="O35268" s="28"/>
      <c r="U35268" s="28"/>
    </row>
    <row r="35269">
      <c r="N35269" s="28"/>
      <c r="O35269" s="28"/>
      <c r="U35269" s="28"/>
    </row>
    <row r="35270">
      <c r="N35270" s="28"/>
      <c r="O35270" s="28"/>
      <c r="U35270" s="28"/>
    </row>
    <row r="35271">
      <c r="N35271" s="28"/>
      <c r="O35271" s="28"/>
      <c r="U35271" s="28"/>
    </row>
    <row r="35272">
      <c r="N35272" s="28"/>
      <c r="O35272" s="28"/>
      <c r="U35272" s="28"/>
    </row>
    <row r="35273">
      <c r="N35273" s="28"/>
      <c r="O35273" s="28"/>
      <c r="U35273" s="28"/>
    </row>
    <row r="35274">
      <c r="N35274" s="28"/>
      <c r="O35274" s="28"/>
      <c r="U35274" s="28"/>
    </row>
    <row r="35275">
      <c r="N35275" s="28"/>
      <c r="O35275" s="28"/>
      <c r="U35275" s="28"/>
    </row>
    <row r="35276">
      <c r="N35276" s="28"/>
      <c r="O35276" s="28"/>
      <c r="U35276" s="28"/>
    </row>
    <row r="35277">
      <c r="N35277" s="28"/>
      <c r="O35277" s="28"/>
      <c r="U35277" s="28"/>
    </row>
    <row r="35278">
      <c r="N35278" s="28"/>
      <c r="O35278" s="28"/>
      <c r="U35278" s="28"/>
    </row>
    <row r="35279">
      <c r="N35279" s="28"/>
      <c r="O35279" s="28"/>
      <c r="U35279" s="28"/>
    </row>
    <row r="35280">
      <c r="N35280" s="28"/>
      <c r="O35280" s="28"/>
      <c r="U35280" s="28"/>
    </row>
    <row r="35281">
      <c r="N35281" s="28"/>
      <c r="O35281" s="28"/>
      <c r="U35281" s="28"/>
    </row>
    <row r="35282">
      <c r="N35282" s="28"/>
      <c r="O35282" s="28"/>
      <c r="U35282" s="28"/>
    </row>
    <row r="35283">
      <c r="N35283" s="28"/>
      <c r="O35283" s="28"/>
      <c r="U35283" s="28"/>
    </row>
    <row r="35284">
      <c r="N35284" s="28"/>
      <c r="O35284" s="28"/>
      <c r="U35284" s="28"/>
    </row>
    <row r="35285">
      <c r="N35285" s="28"/>
      <c r="O35285" s="28"/>
      <c r="U35285" s="28"/>
    </row>
    <row r="35286">
      <c r="N35286" s="28"/>
      <c r="O35286" s="28"/>
      <c r="U35286" s="28"/>
    </row>
    <row r="35287">
      <c r="N35287" s="28"/>
      <c r="O35287" s="28"/>
      <c r="U35287" s="28"/>
    </row>
    <row r="35288">
      <c r="N35288" s="28"/>
      <c r="O35288" s="28"/>
      <c r="U35288" s="28"/>
    </row>
    <row r="35289">
      <c r="N35289" s="28"/>
      <c r="O35289" s="28"/>
      <c r="U35289" s="28"/>
    </row>
    <row r="35290">
      <c r="N35290" s="28"/>
      <c r="O35290" s="28"/>
      <c r="U35290" s="28"/>
    </row>
    <row r="35291">
      <c r="N35291" s="28"/>
      <c r="O35291" s="28"/>
      <c r="U35291" s="28"/>
    </row>
    <row r="35292">
      <c r="N35292" s="28"/>
      <c r="O35292" s="28"/>
      <c r="U35292" s="28"/>
    </row>
    <row r="35293">
      <c r="N35293" s="28"/>
      <c r="O35293" s="28"/>
      <c r="U35293" s="28"/>
    </row>
    <row r="35294">
      <c r="N35294" s="28"/>
      <c r="O35294" s="28"/>
      <c r="U35294" s="28"/>
    </row>
    <row r="35295">
      <c r="N35295" s="28"/>
      <c r="O35295" s="28"/>
      <c r="U35295" s="28"/>
    </row>
    <row r="35296">
      <c r="N35296" s="28"/>
      <c r="O35296" s="28"/>
      <c r="U35296" s="28"/>
    </row>
    <row r="35297">
      <c r="N35297" s="28"/>
      <c r="O35297" s="28"/>
      <c r="U35297" s="28"/>
    </row>
    <row r="35298">
      <c r="N35298" s="28"/>
      <c r="O35298" s="28"/>
      <c r="U35298" s="28"/>
    </row>
    <row r="35299">
      <c r="N35299" s="28"/>
      <c r="O35299" s="28"/>
      <c r="U35299" s="28"/>
    </row>
    <row r="35300">
      <c r="N35300" s="28"/>
      <c r="O35300" s="28"/>
      <c r="U35300" s="28"/>
    </row>
    <row r="35301">
      <c r="N35301" s="28"/>
      <c r="O35301" s="28"/>
      <c r="U35301" s="28"/>
    </row>
    <row r="35302">
      <c r="N35302" s="28"/>
      <c r="O35302" s="28"/>
      <c r="U35302" s="28"/>
    </row>
    <row r="35303">
      <c r="N35303" s="28"/>
      <c r="O35303" s="28"/>
      <c r="U35303" s="28"/>
    </row>
    <row r="35304">
      <c r="N35304" s="28"/>
      <c r="O35304" s="28"/>
      <c r="U35304" s="28"/>
    </row>
    <row r="35305">
      <c r="N35305" s="28"/>
      <c r="O35305" s="28"/>
      <c r="U35305" s="28"/>
    </row>
    <row r="35306">
      <c r="N35306" s="28"/>
      <c r="O35306" s="28"/>
      <c r="U35306" s="28"/>
    </row>
    <row r="35307">
      <c r="N35307" s="28"/>
      <c r="O35307" s="28"/>
      <c r="U35307" s="28"/>
    </row>
    <row r="35308">
      <c r="N35308" s="28"/>
      <c r="O35308" s="28"/>
      <c r="U35308" s="28"/>
    </row>
    <row r="35309">
      <c r="N35309" s="28"/>
      <c r="O35309" s="28"/>
      <c r="U35309" s="28"/>
    </row>
    <row r="35310">
      <c r="N35310" s="28"/>
      <c r="O35310" s="28"/>
      <c r="U35310" s="28"/>
    </row>
    <row r="35311">
      <c r="N35311" s="28"/>
      <c r="O35311" s="28"/>
      <c r="U35311" s="28"/>
    </row>
    <row r="35312">
      <c r="N35312" s="28"/>
      <c r="O35312" s="28"/>
      <c r="U35312" s="28"/>
    </row>
    <row r="35313">
      <c r="N35313" s="28"/>
      <c r="O35313" s="28"/>
      <c r="U35313" s="28"/>
    </row>
    <row r="35314">
      <c r="N35314" s="28"/>
      <c r="O35314" s="28"/>
      <c r="U35314" s="28"/>
    </row>
    <row r="35315">
      <c r="N35315" s="28"/>
      <c r="O35315" s="28"/>
      <c r="U35315" s="28"/>
    </row>
    <row r="35316">
      <c r="N35316" s="28"/>
      <c r="O35316" s="28"/>
      <c r="U35316" s="28"/>
    </row>
    <row r="35317">
      <c r="N35317" s="28"/>
      <c r="O35317" s="28"/>
      <c r="U35317" s="28"/>
    </row>
    <row r="35318">
      <c r="N35318" s="28"/>
      <c r="O35318" s="28"/>
      <c r="U35318" s="28"/>
    </row>
    <row r="35319">
      <c r="N35319" s="28"/>
      <c r="O35319" s="28"/>
      <c r="U35319" s="28"/>
    </row>
    <row r="35320">
      <c r="N35320" s="28"/>
      <c r="O35320" s="28"/>
      <c r="U35320" s="28"/>
    </row>
    <row r="35321">
      <c r="N35321" s="28"/>
      <c r="O35321" s="28"/>
      <c r="U35321" s="28"/>
    </row>
    <row r="35322">
      <c r="N35322" s="28"/>
      <c r="O35322" s="28"/>
      <c r="U35322" s="28"/>
    </row>
    <row r="35323">
      <c r="N35323" s="28"/>
      <c r="O35323" s="28"/>
      <c r="U35323" s="28"/>
    </row>
    <row r="35324">
      <c r="N35324" s="28"/>
      <c r="O35324" s="28"/>
      <c r="U35324" s="28"/>
    </row>
    <row r="35325">
      <c r="N35325" s="28"/>
      <c r="O35325" s="28"/>
      <c r="U35325" s="28"/>
    </row>
    <row r="35326">
      <c r="N35326" s="28"/>
      <c r="O35326" s="28"/>
      <c r="U35326" s="28"/>
    </row>
    <row r="35327">
      <c r="N35327" s="28"/>
      <c r="O35327" s="28"/>
      <c r="U35327" s="28"/>
    </row>
    <row r="35328">
      <c r="N35328" s="28"/>
      <c r="O35328" s="28"/>
      <c r="U35328" s="28"/>
    </row>
    <row r="35329">
      <c r="N35329" s="28"/>
      <c r="O35329" s="28"/>
      <c r="U35329" s="28"/>
    </row>
    <row r="35330">
      <c r="N35330" s="28"/>
      <c r="O35330" s="28"/>
      <c r="U35330" s="28"/>
    </row>
    <row r="35331">
      <c r="N35331" s="28"/>
      <c r="O35331" s="28"/>
      <c r="U35331" s="28"/>
    </row>
    <row r="35332">
      <c r="N35332" s="28"/>
      <c r="O35332" s="28"/>
      <c r="U35332" s="28"/>
    </row>
    <row r="35333">
      <c r="N35333" s="28"/>
      <c r="O35333" s="28"/>
      <c r="U35333" s="28"/>
    </row>
    <row r="35334">
      <c r="N35334" s="28"/>
      <c r="O35334" s="28"/>
      <c r="U35334" s="28"/>
    </row>
    <row r="35335">
      <c r="N35335" s="28"/>
      <c r="O35335" s="28"/>
      <c r="U35335" s="28"/>
    </row>
    <row r="35336">
      <c r="N35336" s="28"/>
      <c r="O35336" s="28"/>
      <c r="U35336" s="28"/>
    </row>
    <row r="35337">
      <c r="N35337" s="28"/>
      <c r="O35337" s="28"/>
      <c r="U35337" s="28"/>
    </row>
    <row r="35338">
      <c r="N35338" s="28"/>
      <c r="O35338" s="28"/>
      <c r="U35338" s="28"/>
    </row>
    <row r="35339">
      <c r="N35339" s="28"/>
      <c r="O35339" s="28"/>
      <c r="U35339" s="28"/>
    </row>
    <row r="35340">
      <c r="N35340" s="28"/>
      <c r="O35340" s="28"/>
      <c r="U35340" s="28"/>
    </row>
    <row r="35341">
      <c r="N35341" s="28"/>
      <c r="O35341" s="28"/>
      <c r="U35341" s="28"/>
    </row>
    <row r="35342">
      <c r="N35342" s="28"/>
      <c r="O35342" s="28"/>
      <c r="U35342" s="28"/>
    </row>
    <row r="35343">
      <c r="N35343" s="28"/>
      <c r="O35343" s="28"/>
      <c r="U35343" s="28"/>
    </row>
    <row r="35344">
      <c r="N35344" s="28"/>
      <c r="O35344" s="28"/>
      <c r="U35344" s="28"/>
    </row>
    <row r="35345">
      <c r="N35345" s="28"/>
      <c r="O35345" s="28"/>
      <c r="U35345" s="28"/>
    </row>
    <row r="35346">
      <c r="N35346" s="28"/>
      <c r="O35346" s="28"/>
      <c r="U35346" s="28"/>
    </row>
    <row r="35347">
      <c r="N35347" s="28"/>
      <c r="O35347" s="28"/>
      <c r="U35347" s="28"/>
    </row>
    <row r="35348">
      <c r="N35348" s="28"/>
      <c r="O35348" s="28"/>
      <c r="U35348" s="28"/>
    </row>
    <row r="35349">
      <c r="N35349" s="28"/>
      <c r="O35349" s="28"/>
      <c r="U35349" s="28"/>
    </row>
    <row r="35350">
      <c r="N35350" s="28"/>
      <c r="O35350" s="28"/>
      <c r="U35350" s="28"/>
    </row>
    <row r="35351">
      <c r="N35351" s="28"/>
      <c r="O35351" s="28"/>
      <c r="U35351" s="28"/>
    </row>
    <row r="35352">
      <c r="N35352" s="28"/>
      <c r="O35352" s="28"/>
      <c r="U35352" s="28"/>
    </row>
    <row r="35353">
      <c r="N35353" s="28"/>
      <c r="O35353" s="28"/>
      <c r="U35353" s="28"/>
    </row>
    <row r="35354">
      <c r="N35354" s="28"/>
      <c r="O35354" s="28"/>
      <c r="U35354" s="28"/>
    </row>
    <row r="35355">
      <c r="N35355" s="28"/>
      <c r="O35355" s="28"/>
      <c r="U35355" s="28"/>
    </row>
    <row r="35356">
      <c r="N35356" s="28"/>
      <c r="O35356" s="28"/>
      <c r="U35356" s="28"/>
    </row>
    <row r="35357">
      <c r="N35357" s="28"/>
      <c r="O35357" s="28"/>
      <c r="U35357" s="28"/>
    </row>
    <row r="35358">
      <c r="N35358" s="28"/>
      <c r="O35358" s="28"/>
      <c r="U35358" s="28"/>
    </row>
    <row r="35359">
      <c r="N35359" s="28"/>
      <c r="O35359" s="28"/>
      <c r="U35359" s="28"/>
    </row>
    <row r="35360">
      <c r="N35360" s="28"/>
      <c r="O35360" s="28"/>
      <c r="U35360" s="28"/>
    </row>
    <row r="35361">
      <c r="N35361" s="28"/>
      <c r="O35361" s="28"/>
      <c r="U35361" s="28"/>
    </row>
    <row r="35362">
      <c r="N35362" s="28"/>
      <c r="O35362" s="28"/>
      <c r="U35362" s="28"/>
    </row>
    <row r="35363">
      <c r="N35363" s="28"/>
      <c r="O35363" s="28"/>
      <c r="U35363" s="28"/>
    </row>
    <row r="35364">
      <c r="N35364" s="28"/>
      <c r="O35364" s="28"/>
      <c r="U35364" s="28"/>
    </row>
    <row r="35365">
      <c r="N35365" s="28"/>
      <c r="O35365" s="28"/>
      <c r="U35365" s="28"/>
    </row>
    <row r="35366">
      <c r="N35366" s="28"/>
      <c r="O35366" s="28"/>
      <c r="U35366" s="28"/>
    </row>
    <row r="35367">
      <c r="N35367" s="28"/>
      <c r="O35367" s="28"/>
      <c r="U35367" s="28"/>
    </row>
    <row r="35368">
      <c r="N35368" s="28"/>
      <c r="O35368" s="28"/>
      <c r="U35368" s="28"/>
    </row>
    <row r="35369">
      <c r="N35369" s="28"/>
      <c r="O35369" s="28"/>
      <c r="U35369" s="28"/>
    </row>
    <row r="35370">
      <c r="N35370" s="28"/>
      <c r="O35370" s="28"/>
      <c r="U35370" s="28"/>
    </row>
    <row r="35371">
      <c r="N35371" s="28"/>
      <c r="O35371" s="28"/>
      <c r="U35371" s="28"/>
    </row>
    <row r="35372">
      <c r="N35372" s="28"/>
      <c r="O35372" s="28"/>
      <c r="U35372" s="28"/>
    </row>
    <row r="35373">
      <c r="N35373" s="28"/>
      <c r="O35373" s="28"/>
      <c r="U35373" s="28"/>
    </row>
    <row r="35374">
      <c r="N35374" s="28"/>
      <c r="O35374" s="28"/>
      <c r="U35374" s="28"/>
    </row>
    <row r="35375">
      <c r="N35375" s="28"/>
      <c r="O35375" s="28"/>
      <c r="U35375" s="28"/>
    </row>
    <row r="35376">
      <c r="N35376" s="28"/>
      <c r="O35376" s="28"/>
      <c r="U35376" s="28"/>
    </row>
    <row r="35377">
      <c r="N35377" s="28"/>
      <c r="O35377" s="28"/>
      <c r="U35377" s="28"/>
    </row>
    <row r="35378">
      <c r="N35378" s="28"/>
      <c r="O35378" s="28"/>
      <c r="U35378" s="28"/>
    </row>
    <row r="35379">
      <c r="N35379" s="28"/>
      <c r="O35379" s="28"/>
      <c r="U35379" s="28"/>
    </row>
    <row r="35380">
      <c r="N35380" s="28"/>
      <c r="O35380" s="28"/>
      <c r="U35380" s="28"/>
    </row>
    <row r="35381">
      <c r="N35381" s="28"/>
      <c r="O35381" s="28"/>
      <c r="U35381" s="28"/>
    </row>
    <row r="35382">
      <c r="N35382" s="28"/>
      <c r="O35382" s="28"/>
      <c r="U35382" s="28"/>
    </row>
    <row r="35383">
      <c r="N35383" s="28"/>
      <c r="O35383" s="28"/>
      <c r="U35383" s="28"/>
    </row>
    <row r="35384">
      <c r="N35384" s="28"/>
      <c r="O35384" s="28"/>
      <c r="U35384" s="28"/>
    </row>
    <row r="35385">
      <c r="N35385" s="28"/>
      <c r="O35385" s="28"/>
      <c r="U35385" s="28"/>
    </row>
    <row r="35386">
      <c r="N35386" s="28"/>
      <c r="O35386" s="28"/>
      <c r="U35386" s="28"/>
    </row>
    <row r="35387">
      <c r="N35387" s="28"/>
      <c r="O35387" s="28"/>
      <c r="U35387" s="28"/>
    </row>
    <row r="35388">
      <c r="N35388" s="28"/>
      <c r="O35388" s="28"/>
      <c r="U35388" s="28"/>
    </row>
    <row r="35389">
      <c r="N35389" s="28"/>
      <c r="O35389" s="28"/>
      <c r="U35389" s="28"/>
    </row>
    <row r="35390">
      <c r="N35390" s="28"/>
      <c r="O35390" s="28"/>
      <c r="U35390" s="28"/>
    </row>
    <row r="35391">
      <c r="N35391" s="28"/>
      <c r="O35391" s="28"/>
      <c r="U35391" s="28"/>
    </row>
    <row r="35392">
      <c r="N35392" s="28"/>
      <c r="O35392" s="28"/>
      <c r="U35392" s="28"/>
    </row>
    <row r="35393">
      <c r="N35393" s="28"/>
      <c r="O35393" s="28"/>
      <c r="U35393" s="28"/>
    </row>
    <row r="35394">
      <c r="N35394" s="28"/>
      <c r="O35394" s="28"/>
      <c r="U35394" s="28"/>
    </row>
    <row r="35395">
      <c r="N35395" s="28"/>
      <c r="O35395" s="28"/>
      <c r="U35395" s="28"/>
    </row>
    <row r="35396">
      <c r="N35396" s="28"/>
      <c r="O35396" s="28"/>
      <c r="U35396" s="28"/>
    </row>
    <row r="35397">
      <c r="N35397" s="28"/>
      <c r="O35397" s="28"/>
      <c r="U35397" s="28"/>
    </row>
    <row r="35398">
      <c r="N35398" s="28"/>
      <c r="O35398" s="28"/>
      <c r="U35398" s="28"/>
    </row>
    <row r="35399">
      <c r="N35399" s="28"/>
      <c r="O35399" s="28"/>
      <c r="U35399" s="28"/>
    </row>
    <row r="35400">
      <c r="N35400" s="28"/>
      <c r="O35400" s="28"/>
      <c r="U35400" s="28"/>
    </row>
    <row r="35401">
      <c r="N35401" s="28"/>
      <c r="O35401" s="28"/>
      <c r="U35401" s="28"/>
    </row>
    <row r="35402">
      <c r="N35402" s="28"/>
      <c r="O35402" s="28"/>
      <c r="U35402" s="28"/>
    </row>
    <row r="35403">
      <c r="N35403" s="28"/>
      <c r="O35403" s="28"/>
      <c r="U35403" s="28"/>
    </row>
    <row r="35404">
      <c r="N35404" s="28"/>
      <c r="O35404" s="28"/>
      <c r="U35404" s="28"/>
    </row>
    <row r="35405">
      <c r="N35405" s="28"/>
      <c r="O35405" s="28"/>
      <c r="U35405" s="28"/>
    </row>
    <row r="35406">
      <c r="N35406" s="28"/>
      <c r="O35406" s="28"/>
      <c r="U35406" s="28"/>
    </row>
    <row r="35407">
      <c r="N35407" s="28"/>
      <c r="O35407" s="28"/>
      <c r="U35407" s="28"/>
    </row>
    <row r="35408">
      <c r="N35408" s="28"/>
      <c r="O35408" s="28"/>
      <c r="U35408" s="28"/>
    </row>
    <row r="35409">
      <c r="N35409" s="28"/>
      <c r="O35409" s="28"/>
      <c r="U35409" s="28"/>
    </row>
    <row r="35410">
      <c r="N35410" s="28"/>
      <c r="O35410" s="28"/>
      <c r="U35410" s="28"/>
    </row>
    <row r="35411">
      <c r="N35411" s="28"/>
      <c r="O35411" s="28"/>
      <c r="U35411" s="28"/>
    </row>
    <row r="35412">
      <c r="N35412" s="28"/>
      <c r="O35412" s="28"/>
      <c r="U35412" s="28"/>
    </row>
    <row r="35413">
      <c r="N35413" s="28"/>
      <c r="O35413" s="28"/>
      <c r="U35413" s="28"/>
    </row>
    <row r="35414">
      <c r="N35414" s="28"/>
      <c r="O35414" s="28"/>
      <c r="U35414" s="28"/>
    </row>
    <row r="35415">
      <c r="N35415" s="28"/>
      <c r="O35415" s="28"/>
      <c r="U35415" s="28"/>
    </row>
    <row r="35416">
      <c r="N35416" s="28"/>
      <c r="O35416" s="28"/>
      <c r="U35416" s="28"/>
    </row>
    <row r="35417">
      <c r="N35417" s="28"/>
      <c r="O35417" s="28"/>
      <c r="U35417" s="28"/>
    </row>
    <row r="35418">
      <c r="N35418" s="28"/>
      <c r="O35418" s="28"/>
      <c r="U35418" s="28"/>
    </row>
    <row r="35419">
      <c r="N35419" s="28"/>
      <c r="O35419" s="28"/>
      <c r="U35419" s="28"/>
    </row>
    <row r="35420">
      <c r="N35420" s="28"/>
      <c r="O35420" s="28"/>
      <c r="U35420" s="28"/>
    </row>
    <row r="35421">
      <c r="N35421" s="28"/>
      <c r="O35421" s="28"/>
      <c r="U35421" s="28"/>
    </row>
    <row r="35422">
      <c r="N35422" s="28"/>
      <c r="O35422" s="28"/>
      <c r="U35422" s="28"/>
    </row>
    <row r="35423">
      <c r="N35423" s="28"/>
      <c r="O35423" s="28"/>
      <c r="U35423" s="28"/>
    </row>
    <row r="35424">
      <c r="N35424" s="28"/>
      <c r="O35424" s="28"/>
      <c r="U35424" s="28"/>
    </row>
    <row r="35425">
      <c r="N35425" s="28"/>
      <c r="O35425" s="28"/>
      <c r="U35425" s="28"/>
    </row>
    <row r="35426">
      <c r="N35426" s="28"/>
      <c r="O35426" s="28"/>
      <c r="U35426" s="28"/>
    </row>
    <row r="35427">
      <c r="N35427" s="28"/>
      <c r="O35427" s="28"/>
      <c r="U35427" s="28"/>
    </row>
    <row r="35428">
      <c r="N35428" s="28"/>
      <c r="O35428" s="28"/>
      <c r="U35428" s="28"/>
    </row>
    <row r="35429">
      <c r="N35429" s="28"/>
      <c r="O35429" s="28"/>
      <c r="U35429" s="28"/>
    </row>
    <row r="35430">
      <c r="N35430" s="28"/>
      <c r="O35430" s="28"/>
      <c r="U35430" s="28"/>
    </row>
    <row r="35431">
      <c r="N35431" s="28"/>
      <c r="O35431" s="28"/>
      <c r="U35431" s="28"/>
    </row>
    <row r="35432">
      <c r="N35432" s="28"/>
      <c r="O35432" s="28"/>
      <c r="U35432" s="28"/>
    </row>
    <row r="35433">
      <c r="N35433" s="28"/>
      <c r="O35433" s="28"/>
      <c r="U35433" s="28"/>
    </row>
    <row r="35434">
      <c r="N35434" s="28"/>
      <c r="O35434" s="28"/>
      <c r="U35434" s="28"/>
    </row>
    <row r="35435">
      <c r="N35435" s="28"/>
      <c r="O35435" s="28"/>
      <c r="U35435" s="28"/>
    </row>
    <row r="35436">
      <c r="N35436" s="28"/>
      <c r="O35436" s="28"/>
      <c r="U35436" s="28"/>
    </row>
    <row r="35437">
      <c r="N35437" s="28"/>
      <c r="O35437" s="28"/>
      <c r="U35437" s="28"/>
    </row>
    <row r="35438">
      <c r="N35438" s="28"/>
      <c r="O35438" s="28"/>
      <c r="U35438" s="28"/>
    </row>
    <row r="35439">
      <c r="N35439" s="28"/>
      <c r="O35439" s="28"/>
      <c r="U35439" s="28"/>
    </row>
    <row r="35440">
      <c r="N35440" s="28"/>
      <c r="O35440" s="28"/>
      <c r="U35440" s="28"/>
    </row>
    <row r="35441">
      <c r="N35441" s="28"/>
      <c r="O35441" s="28"/>
      <c r="U35441" s="28"/>
    </row>
    <row r="35442">
      <c r="N35442" s="28"/>
      <c r="O35442" s="28"/>
      <c r="U35442" s="28"/>
    </row>
    <row r="35443">
      <c r="N35443" s="28"/>
      <c r="O35443" s="28"/>
      <c r="U35443" s="28"/>
    </row>
    <row r="35444">
      <c r="N35444" s="28"/>
      <c r="O35444" s="28"/>
      <c r="U35444" s="28"/>
    </row>
    <row r="35445">
      <c r="N35445" s="28"/>
      <c r="O35445" s="28"/>
      <c r="U35445" s="28"/>
    </row>
    <row r="35446">
      <c r="N35446" s="28"/>
      <c r="O35446" s="28"/>
      <c r="U35446" s="28"/>
    </row>
    <row r="35447">
      <c r="N35447" s="28"/>
      <c r="O35447" s="28"/>
      <c r="U35447" s="28"/>
    </row>
    <row r="35448">
      <c r="N35448" s="28"/>
      <c r="O35448" s="28"/>
      <c r="U35448" s="28"/>
    </row>
    <row r="35449">
      <c r="N35449" s="28"/>
      <c r="O35449" s="28"/>
      <c r="U35449" s="28"/>
    </row>
    <row r="35450">
      <c r="N35450" s="28"/>
      <c r="O35450" s="28"/>
      <c r="U35450" s="28"/>
    </row>
    <row r="35451">
      <c r="N35451" s="28"/>
      <c r="O35451" s="28"/>
      <c r="U35451" s="28"/>
    </row>
    <row r="35452">
      <c r="N35452" s="28"/>
      <c r="O35452" s="28"/>
      <c r="U35452" s="28"/>
    </row>
    <row r="35453">
      <c r="N35453" s="28"/>
      <c r="O35453" s="28"/>
      <c r="U35453" s="28"/>
    </row>
    <row r="35454">
      <c r="N35454" s="28"/>
      <c r="O35454" s="28"/>
      <c r="U35454" s="28"/>
    </row>
    <row r="35455">
      <c r="N35455" s="28"/>
      <c r="O35455" s="28"/>
      <c r="U35455" s="28"/>
    </row>
    <row r="35456">
      <c r="N35456" s="28"/>
      <c r="O35456" s="28"/>
      <c r="U35456" s="28"/>
    </row>
    <row r="35457">
      <c r="N35457" s="28"/>
      <c r="O35457" s="28"/>
      <c r="U35457" s="28"/>
    </row>
    <row r="35458">
      <c r="N35458" s="28"/>
      <c r="O35458" s="28"/>
      <c r="U35458" s="28"/>
    </row>
    <row r="35459">
      <c r="N35459" s="28"/>
      <c r="O35459" s="28"/>
      <c r="U35459" s="28"/>
    </row>
    <row r="35460">
      <c r="N35460" s="28"/>
      <c r="O35460" s="28"/>
      <c r="U35460" s="28"/>
    </row>
    <row r="35461">
      <c r="N35461" s="28"/>
      <c r="O35461" s="28"/>
      <c r="U35461" s="28"/>
    </row>
    <row r="35462">
      <c r="N35462" s="28"/>
      <c r="O35462" s="28"/>
      <c r="U35462" s="28"/>
    </row>
    <row r="35463">
      <c r="N35463" s="28"/>
      <c r="O35463" s="28"/>
      <c r="U35463" s="28"/>
    </row>
    <row r="35464">
      <c r="N35464" s="28"/>
      <c r="O35464" s="28"/>
      <c r="U35464" s="28"/>
    </row>
    <row r="35465">
      <c r="N35465" s="28"/>
      <c r="O35465" s="28"/>
      <c r="U35465" s="28"/>
    </row>
    <row r="35466">
      <c r="N35466" s="28"/>
      <c r="O35466" s="28"/>
      <c r="U35466" s="28"/>
    </row>
    <row r="35467">
      <c r="N35467" s="28"/>
      <c r="O35467" s="28"/>
      <c r="U35467" s="28"/>
    </row>
    <row r="35468">
      <c r="N35468" s="28"/>
      <c r="O35468" s="28"/>
      <c r="U35468" s="28"/>
    </row>
    <row r="35469">
      <c r="N35469" s="28"/>
      <c r="O35469" s="28"/>
      <c r="U35469" s="28"/>
    </row>
    <row r="35470">
      <c r="N35470" s="28"/>
      <c r="O35470" s="28"/>
      <c r="U35470" s="28"/>
    </row>
    <row r="35471">
      <c r="N35471" s="28"/>
      <c r="O35471" s="28"/>
      <c r="U35471" s="28"/>
    </row>
    <row r="35472">
      <c r="N35472" s="28"/>
      <c r="O35472" s="28"/>
      <c r="U35472" s="28"/>
    </row>
    <row r="35473">
      <c r="N35473" s="28"/>
      <c r="O35473" s="28"/>
      <c r="U35473" s="28"/>
    </row>
    <row r="35474">
      <c r="N35474" s="28"/>
      <c r="O35474" s="28"/>
      <c r="U35474" s="28"/>
    </row>
    <row r="35475">
      <c r="N35475" s="28"/>
      <c r="O35475" s="28"/>
      <c r="U35475" s="28"/>
    </row>
    <row r="35476">
      <c r="N35476" s="28"/>
      <c r="O35476" s="28"/>
      <c r="U35476" s="28"/>
    </row>
    <row r="35477">
      <c r="N35477" s="28"/>
      <c r="O35477" s="28"/>
      <c r="U35477" s="28"/>
    </row>
    <row r="35478">
      <c r="N35478" s="28"/>
      <c r="O35478" s="28"/>
      <c r="U35478" s="28"/>
    </row>
    <row r="35479">
      <c r="N35479" s="28"/>
      <c r="O35479" s="28"/>
      <c r="U35479" s="28"/>
    </row>
    <row r="35480">
      <c r="N35480" s="28"/>
      <c r="O35480" s="28"/>
      <c r="U35480" s="28"/>
    </row>
    <row r="35481">
      <c r="N35481" s="28"/>
      <c r="O35481" s="28"/>
      <c r="U35481" s="28"/>
    </row>
    <row r="35482">
      <c r="N35482" s="28"/>
      <c r="O35482" s="28"/>
      <c r="U35482" s="28"/>
    </row>
    <row r="35483">
      <c r="N35483" s="28"/>
      <c r="O35483" s="28"/>
      <c r="U35483" s="28"/>
    </row>
    <row r="35484">
      <c r="N35484" s="28"/>
      <c r="O35484" s="28"/>
      <c r="U35484" s="28"/>
    </row>
    <row r="35485">
      <c r="N35485" s="28"/>
      <c r="O35485" s="28"/>
      <c r="U35485" s="28"/>
    </row>
    <row r="35486">
      <c r="N35486" s="28"/>
      <c r="O35486" s="28"/>
      <c r="U35486" s="28"/>
    </row>
    <row r="35487">
      <c r="N35487" s="28"/>
      <c r="O35487" s="28"/>
      <c r="U35487" s="28"/>
    </row>
    <row r="35488">
      <c r="N35488" s="28"/>
      <c r="O35488" s="28"/>
      <c r="U35488" s="28"/>
    </row>
    <row r="35489">
      <c r="N35489" s="28"/>
      <c r="O35489" s="28"/>
      <c r="U35489" s="28"/>
    </row>
    <row r="35490">
      <c r="N35490" s="28"/>
      <c r="O35490" s="28"/>
      <c r="U35490" s="28"/>
    </row>
    <row r="35491">
      <c r="N35491" s="28"/>
      <c r="O35491" s="28"/>
      <c r="U35491" s="28"/>
    </row>
    <row r="35492">
      <c r="N35492" s="28"/>
      <c r="O35492" s="28"/>
      <c r="U35492" s="28"/>
    </row>
    <row r="35493">
      <c r="N35493" s="28"/>
      <c r="O35493" s="28"/>
      <c r="U35493" s="28"/>
    </row>
    <row r="35494">
      <c r="N35494" s="28"/>
      <c r="O35494" s="28"/>
      <c r="U35494" s="28"/>
    </row>
    <row r="35495">
      <c r="N35495" s="28"/>
      <c r="O35495" s="28"/>
      <c r="U35495" s="28"/>
    </row>
    <row r="35496">
      <c r="N35496" s="28"/>
      <c r="O35496" s="28"/>
      <c r="U35496" s="28"/>
    </row>
    <row r="35497">
      <c r="N35497" s="28"/>
      <c r="O35497" s="28"/>
      <c r="U35497" s="28"/>
    </row>
    <row r="35498">
      <c r="N35498" s="28"/>
      <c r="O35498" s="28"/>
      <c r="U35498" s="28"/>
    </row>
    <row r="35499">
      <c r="N35499" s="28"/>
      <c r="O35499" s="28"/>
      <c r="U35499" s="28"/>
    </row>
    <row r="35500">
      <c r="N35500" s="28"/>
      <c r="O35500" s="28"/>
      <c r="U35500" s="28"/>
    </row>
    <row r="35501">
      <c r="N35501" s="28"/>
      <c r="O35501" s="28"/>
      <c r="U35501" s="28"/>
    </row>
    <row r="35502">
      <c r="N35502" s="28"/>
      <c r="O35502" s="28"/>
      <c r="U35502" s="28"/>
    </row>
    <row r="35503">
      <c r="N35503" s="28"/>
      <c r="O35503" s="28"/>
      <c r="U35503" s="28"/>
    </row>
    <row r="35504">
      <c r="N35504" s="28"/>
      <c r="O35504" s="28"/>
      <c r="U35504" s="28"/>
    </row>
    <row r="35505">
      <c r="N35505" s="28"/>
      <c r="O35505" s="28"/>
      <c r="U35505" s="28"/>
    </row>
    <row r="35506">
      <c r="N35506" s="28"/>
      <c r="O35506" s="28"/>
      <c r="U35506" s="28"/>
    </row>
    <row r="35507">
      <c r="N35507" s="28"/>
      <c r="O35507" s="28"/>
      <c r="U35507" s="28"/>
    </row>
    <row r="35508">
      <c r="N35508" s="28"/>
      <c r="O35508" s="28"/>
      <c r="U35508" s="28"/>
    </row>
    <row r="35509">
      <c r="N35509" s="28"/>
      <c r="O35509" s="28"/>
      <c r="U35509" s="28"/>
    </row>
    <row r="35510">
      <c r="N35510" s="28"/>
      <c r="O35510" s="28"/>
      <c r="U35510" s="28"/>
    </row>
    <row r="35511">
      <c r="N35511" s="28"/>
      <c r="O35511" s="28"/>
      <c r="U35511" s="28"/>
    </row>
    <row r="35512">
      <c r="N35512" s="28"/>
      <c r="O35512" s="28"/>
      <c r="U35512" s="28"/>
    </row>
    <row r="35513">
      <c r="N35513" s="28"/>
      <c r="O35513" s="28"/>
      <c r="U35513" s="28"/>
    </row>
    <row r="35514">
      <c r="N35514" s="28"/>
      <c r="O35514" s="28"/>
      <c r="U35514" s="28"/>
    </row>
    <row r="35515">
      <c r="N35515" s="28"/>
      <c r="O35515" s="28"/>
      <c r="U35515" s="28"/>
    </row>
    <row r="35516">
      <c r="N35516" s="28"/>
      <c r="O35516" s="28"/>
      <c r="U35516" s="28"/>
    </row>
    <row r="35517">
      <c r="N35517" s="28"/>
      <c r="O35517" s="28"/>
      <c r="U35517" s="28"/>
    </row>
    <row r="35518">
      <c r="N35518" s="28"/>
      <c r="O35518" s="28"/>
      <c r="U35518" s="28"/>
    </row>
    <row r="35519">
      <c r="N35519" s="28"/>
      <c r="O35519" s="28"/>
      <c r="U35519" s="28"/>
    </row>
    <row r="35520">
      <c r="N35520" s="28"/>
      <c r="O35520" s="28"/>
      <c r="U35520" s="28"/>
    </row>
    <row r="35521">
      <c r="N35521" s="28"/>
      <c r="O35521" s="28"/>
      <c r="U35521" s="28"/>
    </row>
    <row r="35522">
      <c r="N35522" s="28"/>
      <c r="O35522" s="28"/>
      <c r="U35522" s="28"/>
    </row>
    <row r="35523">
      <c r="N35523" s="28"/>
      <c r="O35523" s="28"/>
      <c r="U35523" s="28"/>
    </row>
    <row r="35524">
      <c r="N35524" s="28"/>
      <c r="O35524" s="28"/>
      <c r="U35524" s="28"/>
    </row>
    <row r="35525">
      <c r="N35525" s="28"/>
      <c r="O35525" s="28"/>
      <c r="U35525" s="28"/>
    </row>
    <row r="35526">
      <c r="N35526" s="28"/>
      <c r="O35526" s="28"/>
      <c r="U35526" s="28"/>
    </row>
    <row r="35527">
      <c r="N35527" s="28"/>
      <c r="O35527" s="28"/>
      <c r="U35527" s="28"/>
    </row>
    <row r="35528">
      <c r="N35528" s="28"/>
      <c r="O35528" s="28"/>
      <c r="U35528" s="28"/>
    </row>
    <row r="35529">
      <c r="N35529" s="28"/>
      <c r="O35529" s="28"/>
      <c r="U35529" s="28"/>
    </row>
    <row r="35530">
      <c r="N35530" s="28"/>
      <c r="O35530" s="28"/>
      <c r="U35530" s="28"/>
    </row>
    <row r="35531">
      <c r="N35531" s="28"/>
      <c r="O35531" s="28"/>
      <c r="U35531" s="28"/>
    </row>
    <row r="35532">
      <c r="N35532" s="28"/>
      <c r="O35532" s="28"/>
      <c r="U35532" s="28"/>
    </row>
    <row r="35533">
      <c r="N35533" s="28"/>
      <c r="O35533" s="28"/>
      <c r="U35533" s="28"/>
    </row>
    <row r="35534">
      <c r="N35534" s="28"/>
      <c r="O35534" s="28"/>
      <c r="U35534" s="28"/>
    </row>
    <row r="35535">
      <c r="N35535" s="28"/>
      <c r="O35535" s="28"/>
      <c r="U35535" s="28"/>
    </row>
    <row r="35536">
      <c r="N35536" s="28"/>
      <c r="O35536" s="28"/>
      <c r="U35536" s="28"/>
    </row>
    <row r="35537">
      <c r="N35537" s="28"/>
      <c r="O35537" s="28"/>
      <c r="U35537" s="28"/>
    </row>
    <row r="35538">
      <c r="N35538" s="28"/>
      <c r="O35538" s="28"/>
      <c r="U35538" s="28"/>
    </row>
    <row r="35539">
      <c r="N35539" s="28"/>
      <c r="O35539" s="28"/>
      <c r="U35539" s="28"/>
    </row>
    <row r="35540">
      <c r="N35540" s="28"/>
      <c r="O35540" s="28"/>
      <c r="U35540" s="28"/>
    </row>
    <row r="35541">
      <c r="N35541" s="28"/>
      <c r="O35541" s="28"/>
      <c r="U35541" s="28"/>
    </row>
    <row r="35542">
      <c r="N35542" s="28"/>
      <c r="O35542" s="28"/>
      <c r="U35542" s="28"/>
    </row>
    <row r="35543">
      <c r="N35543" s="28"/>
      <c r="O35543" s="28"/>
      <c r="U35543" s="28"/>
    </row>
    <row r="35544">
      <c r="N35544" s="28"/>
      <c r="O35544" s="28"/>
      <c r="U35544" s="28"/>
    </row>
    <row r="35545">
      <c r="N35545" s="28"/>
      <c r="O35545" s="28"/>
      <c r="U35545" s="28"/>
    </row>
    <row r="35546">
      <c r="N35546" s="28"/>
      <c r="O35546" s="28"/>
      <c r="U35546" s="28"/>
    </row>
    <row r="35547">
      <c r="N35547" s="28"/>
      <c r="O35547" s="28"/>
      <c r="U35547" s="28"/>
    </row>
    <row r="35548">
      <c r="N35548" s="28"/>
      <c r="O35548" s="28"/>
      <c r="U35548" s="28"/>
    </row>
    <row r="35549">
      <c r="N35549" s="28"/>
      <c r="O35549" s="28"/>
      <c r="U35549" s="28"/>
    </row>
    <row r="35550">
      <c r="N35550" s="28"/>
      <c r="O35550" s="28"/>
      <c r="U35550" s="28"/>
    </row>
    <row r="35551">
      <c r="N35551" s="28"/>
      <c r="O35551" s="28"/>
      <c r="U35551" s="28"/>
    </row>
    <row r="35552">
      <c r="N35552" s="28"/>
      <c r="O35552" s="28"/>
      <c r="U35552" s="28"/>
    </row>
    <row r="35553">
      <c r="N35553" s="28"/>
      <c r="O35553" s="28"/>
      <c r="U35553" s="28"/>
    </row>
    <row r="35554">
      <c r="N35554" s="28"/>
      <c r="O35554" s="28"/>
      <c r="U35554" s="28"/>
    </row>
    <row r="35555">
      <c r="N35555" s="28"/>
      <c r="O35555" s="28"/>
      <c r="U35555" s="28"/>
    </row>
    <row r="35556">
      <c r="N35556" s="28"/>
      <c r="O35556" s="28"/>
      <c r="U35556" s="28"/>
    </row>
    <row r="35557">
      <c r="N35557" s="28"/>
      <c r="O35557" s="28"/>
      <c r="U35557" s="28"/>
    </row>
    <row r="35558">
      <c r="N35558" s="28"/>
      <c r="O35558" s="28"/>
      <c r="U35558" s="28"/>
    </row>
    <row r="35559">
      <c r="N35559" s="28"/>
      <c r="O35559" s="28"/>
      <c r="U35559" s="28"/>
    </row>
    <row r="35560">
      <c r="N35560" s="28"/>
      <c r="O35560" s="28"/>
      <c r="U35560" s="28"/>
    </row>
    <row r="35561">
      <c r="N35561" s="28"/>
      <c r="O35561" s="28"/>
      <c r="U35561" s="28"/>
    </row>
    <row r="35562">
      <c r="N35562" s="28"/>
      <c r="O35562" s="28"/>
      <c r="U35562" s="28"/>
    </row>
    <row r="35563">
      <c r="N35563" s="28"/>
      <c r="O35563" s="28"/>
      <c r="U35563" s="28"/>
    </row>
    <row r="35564">
      <c r="N35564" s="28"/>
      <c r="O35564" s="28"/>
      <c r="U35564" s="28"/>
    </row>
    <row r="35565">
      <c r="N35565" s="28"/>
      <c r="O35565" s="28"/>
      <c r="U35565" s="28"/>
    </row>
    <row r="35566">
      <c r="N35566" s="28"/>
      <c r="O35566" s="28"/>
      <c r="U35566" s="28"/>
    </row>
    <row r="35567">
      <c r="N35567" s="28"/>
      <c r="O35567" s="28"/>
      <c r="U35567" s="28"/>
    </row>
    <row r="35568">
      <c r="N35568" s="28"/>
      <c r="O35568" s="28"/>
      <c r="U35568" s="28"/>
    </row>
    <row r="35569">
      <c r="N35569" s="28"/>
      <c r="O35569" s="28"/>
      <c r="U35569" s="28"/>
    </row>
    <row r="35570">
      <c r="N35570" s="28"/>
      <c r="O35570" s="28"/>
      <c r="U35570" s="28"/>
    </row>
    <row r="35571">
      <c r="N35571" s="28"/>
      <c r="O35571" s="28"/>
      <c r="U35571" s="28"/>
    </row>
    <row r="35572">
      <c r="N35572" s="28"/>
      <c r="O35572" s="28"/>
      <c r="U35572" s="28"/>
    </row>
    <row r="35573">
      <c r="N35573" s="28"/>
      <c r="O35573" s="28"/>
      <c r="U35573" s="28"/>
    </row>
    <row r="35574">
      <c r="N35574" s="28"/>
      <c r="O35574" s="28"/>
      <c r="U35574" s="28"/>
    </row>
    <row r="35575">
      <c r="N35575" s="28"/>
      <c r="O35575" s="28"/>
      <c r="U35575" s="28"/>
    </row>
    <row r="35576">
      <c r="N35576" s="28"/>
      <c r="O35576" s="28"/>
      <c r="U35576" s="28"/>
    </row>
    <row r="35577">
      <c r="N35577" s="28"/>
      <c r="O35577" s="28"/>
      <c r="U35577" s="28"/>
    </row>
    <row r="35578">
      <c r="N35578" s="28"/>
      <c r="O35578" s="28"/>
      <c r="U35578" s="28"/>
    </row>
    <row r="35579">
      <c r="N35579" s="28"/>
      <c r="O35579" s="28"/>
      <c r="U35579" s="28"/>
    </row>
    <row r="35580">
      <c r="N35580" s="28"/>
      <c r="O35580" s="28"/>
      <c r="U35580" s="28"/>
    </row>
    <row r="35581">
      <c r="N35581" s="28"/>
      <c r="O35581" s="28"/>
      <c r="U35581" s="28"/>
    </row>
    <row r="35582">
      <c r="N35582" s="28"/>
      <c r="O35582" s="28"/>
      <c r="U35582" s="28"/>
    </row>
    <row r="35583">
      <c r="N35583" s="28"/>
      <c r="O35583" s="28"/>
      <c r="U35583" s="28"/>
    </row>
    <row r="35584">
      <c r="N35584" s="28"/>
      <c r="O35584" s="28"/>
      <c r="U35584" s="28"/>
    </row>
    <row r="35585">
      <c r="N35585" s="28"/>
      <c r="O35585" s="28"/>
      <c r="U35585" s="28"/>
    </row>
    <row r="35586">
      <c r="N35586" s="28"/>
      <c r="O35586" s="28"/>
      <c r="U35586" s="28"/>
    </row>
    <row r="35587">
      <c r="N35587" s="28"/>
      <c r="O35587" s="28"/>
      <c r="U35587" s="28"/>
    </row>
    <row r="35588">
      <c r="N35588" s="28"/>
      <c r="O35588" s="28"/>
      <c r="U35588" s="28"/>
    </row>
    <row r="35589">
      <c r="N35589" s="28"/>
      <c r="O35589" s="28"/>
      <c r="U35589" s="28"/>
    </row>
    <row r="35590">
      <c r="N35590" s="28"/>
      <c r="O35590" s="28"/>
      <c r="U35590" s="28"/>
    </row>
    <row r="35591">
      <c r="N35591" s="28"/>
      <c r="O35591" s="28"/>
      <c r="U35591" s="28"/>
    </row>
    <row r="35592">
      <c r="N35592" s="28"/>
      <c r="O35592" s="28"/>
      <c r="U35592" s="28"/>
    </row>
    <row r="35593">
      <c r="N35593" s="28"/>
      <c r="O35593" s="28"/>
      <c r="U35593" s="28"/>
    </row>
    <row r="35594">
      <c r="N35594" s="28"/>
      <c r="O35594" s="28"/>
      <c r="U35594" s="28"/>
    </row>
    <row r="35595">
      <c r="N35595" s="28"/>
      <c r="O35595" s="28"/>
      <c r="U35595" s="28"/>
    </row>
    <row r="35596">
      <c r="N35596" s="28"/>
      <c r="O35596" s="28"/>
      <c r="U35596" s="28"/>
    </row>
    <row r="35597">
      <c r="N35597" s="28"/>
      <c r="O35597" s="28"/>
      <c r="U35597" s="28"/>
    </row>
    <row r="35598">
      <c r="N35598" s="28"/>
      <c r="O35598" s="28"/>
      <c r="U35598" s="28"/>
    </row>
    <row r="35599">
      <c r="N35599" s="28"/>
      <c r="O35599" s="28"/>
      <c r="U35599" s="28"/>
    </row>
    <row r="35600">
      <c r="N35600" s="28"/>
      <c r="O35600" s="28"/>
      <c r="U35600" s="28"/>
    </row>
    <row r="35601">
      <c r="N35601" s="28"/>
      <c r="O35601" s="28"/>
      <c r="U35601" s="28"/>
    </row>
    <row r="35602">
      <c r="N35602" s="28"/>
      <c r="O35602" s="28"/>
      <c r="U35602" s="28"/>
    </row>
    <row r="35603">
      <c r="N35603" s="28"/>
      <c r="O35603" s="28"/>
      <c r="U35603" s="28"/>
    </row>
    <row r="35604">
      <c r="N35604" s="28"/>
      <c r="O35604" s="28"/>
      <c r="U35604" s="28"/>
    </row>
    <row r="35605">
      <c r="N35605" s="28"/>
      <c r="O35605" s="28"/>
      <c r="U35605" s="28"/>
    </row>
    <row r="35606">
      <c r="N35606" s="28"/>
      <c r="O35606" s="28"/>
      <c r="U35606" s="28"/>
    </row>
    <row r="35607">
      <c r="N35607" s="28"/>
      <c r="O35607" s="28"/>
      <c r="U35607" s="28"/>
    </row>
    <row r="35608">
      <c r="N35608" s="28"/>
      <c r="O35608" s="28"/>
      <c r="U35608" s="28"/>
    </row>
    <row r="35609">
      <c r="N35609" s="28"/>
      <c r="O35609" s="28"/>
      <c r="U35609" s="28"/>
    </row>
    <row r="35610">
      <c r="N35610" s="28"/>
      <c r="O35610" s="28"/>
      <c r="U35610" s="28"/>
    </row>
    <row r="35611">
      <c r="N35611" s="28"/>
      <c r="O35611" s="28"/>
      <c r="U35611" s="28"/>
    </row>
    <row r="35612">
      <c r="N35612" s="28"/>
      <c r="O35612" s="28"/>
      <c r="U35612" s="28"/>
    </row>
    <row r="35613">
      <c r="N35613" s="28"/>
      <c r="O35613" s="28"/>
      <c r="U35613" s="28"/>
    </row>
    <row r="35614">
      <c r="N35614" s="28"/>
      <c r="O35614" s="28"/>
      <c r="U35614" s="28"/>
    </row>
    <row r="35615">
      <c r="N35615" s="28"/>
      <c r="O35615" s="28"/>
      <c r="U35615" s="28"/>
    </row>
    <row r="35616">
      <c r="N35616" s="28"/>
      <c r="O35616" s="28"/>
      <c r="U35616" s="28"/>
    </row>
    <row r="35617">
      <c r="N35617" s="28"/>
      <c r="O35617" s="28"/>
      <c r="U35617" s="28"/>
    </row>
    <row r="35618">
      <c r="N35618" s="28"/>
      <c r="O35618" s="28"/>
      <c r="U35618" s="28"/>
    </row>
    <row r="35619">
      <c r="N35619" s="28"/>
      <c r="O35619" s="28"/>
      <c r="U35619" s="28"/>
    </row>
    <row r="35620">
      <c r="N35620" s="28"/>
      <c r="O35620" s="28"/>
      <c r="U35620" s="28"/>
    </row>
    <row r="35621">
      <c r="N35621" s="28"/>
      <c r="O35621" s="28"/>
      <c r="U35621" s="28"/>
    </row>
    <row r="35622">
      <c r="N35622" s="28"/>
      <c r="O35622" s="28"/>
      <c r="U35622" s="28"/>
    </row>
    <row r="35623">
      <c r="N35623" s="28"/>
      <c r="O35623" s="28"/>
      <c r="U35623" s="28"/>
    </row>
    <row r="35624">
      <c r="N35624" s="28"/>
      <c r="O35624" s="28"/>
      <c r="U35624" s="28"/>
    </row>
    <row r="35625">
      <c r="N35625" s="28"/>
      <c r="O35625" s="28"/>
      <c r="U35625" s="28"/>
    </row>
    <row r="35626">
      <c r="N35626" s="28"/>
      <c r="O35626" s="28"/>
      <c r="U35626" s="28"/>
    </row>
    <row r="35627">
      <c r="N35627" s="28"/>
      <c r="O35627" s="28"/>
      <c r="U35627" s="28"/>
    </row>
    <row r="35628">
      <c r="N35628" s="28"/>
      <c r="O35628" s="28"/>
      <c r="U35628" s="28"/>
    </row>
    <row r="35629">
      <c r="N35629" s="28"/>
      <c r="O35629" s="28"/>
      <c r="U35629" s="28"/>
    </row>
    <row r="35630">
      <c r="N35630" s="28"/>
      <c r="O35630" s="28"/>
      <c r="U35630" s="28"/>
    </row>
    <row r="35631">
      <c r="N35631" s="28"/>
      <c r="O35631" s="28"/>
      <c r="U35631" s="28"/>
    </row>
    <row r="35632">
      <c r="N35632" s="28"/>
      <c r="O35632" s="28"/>
      <c r="U35632" s="28"/>
    </row>
    <row r="35633">
      <c r="N35633" s="28"/>
      <c r="O35633" s="28"/>
      <c r="U35633" s="28"/>
    </row>
    <row r="35634">
      <c r="N35634" s="28"/>
      <c r="O35634" s="28"/>
      <c r="U35634" s="28"/>
    </row>
    <row r="35635">
      <c r="N35635" s="28"/>
      <c r="O35635" s="28"/>
      <c r="U35635" s="28"/>
    </row>
    <row r="35636">
      <c r="N35636" s="28"/>
      <c r="O35636" s="28"/>
      <c r="U35636" s="28"/>
    </row>
    <row r="35637">
      <c r="N35637" s="28"/>
      <c r="O35637" s="28"/>
      <c r="U35637" s="28"/>
    </row>
    <row r="35638">
      <c r="N35638" s="28"/>
      <c r="O35638" s="28"/>
      <c r="U35638" s="28"/>
    </row>
    <row r="35639">
      <c r="N35639" s="28"/>
      <c r="O35639" s="28"/>
      <c r="U35639" s="28"/>
    </row>
    <row r="35640">
      <c r="N35640" s="28"/>
      <c r="O35640" s="28"/>
      <c r="U35640" s="28"/>
    </row>
    <row r="35641">
      <c r="N35641" s="28"/>
      <c r="O35641" s="28"/>
      <c r="U35641" s="28"/>
    </row>
    <row r="35642">
      <c r="N35642" s="28"/>
      <c r="O35642" s="28"/>
      <c r="U35642" s="28"/>
    </row>
    <row r="35643">
      <c r="N35643" s="28"/>
      <c r="O35643" s="28"/>
      <c r="U35643" s="28"/>
    </row>
    <row r="35644">
      <c r="N35644" s="28"/>
      <c r="O35644" s="28"/>
      <c r="U35644" s="28"/>
    </row>
    <row r="35645">
      <c r="N35645" s="28"/>
      <c r="O35645" s="28"/>
      <c r="U35645" s="28"/>
    </row>
    <row r="35646">
      <c r="N35646" s="28"/>
      <c r="O35646" s="28"/>
      <c r="U35646" s="28"/>
    </row>
    <row r="35647">
      <c r="N35647" s="28"/>
      <c r="O35647" s="28"/>
      <c r="U35647" s="28"/>
    </row>
    <row r="35648">
      <c r="N35648" s="28"/>
      <c r="O35648" s="28"/>
      <c r="U35648" s="28"/>
    </row>
    <row r="35649">
      <c r="N35649" s="28"/>
      <c r="O35649" s="28"/>
      <c r="U35649" s="28"/>
    </row>
    <row r="35650">
      <c r="N35650" s="28"/>
      <c r="O35650" s="28"/>
      <c r="U35650" s="28"/>
    </row>
    <row r="35651">
      <c r="N35651" s="28"/>
      <c r="O35651" s="28"/>
      <c r="U35651" s="28"/>
    </row>
    <row r="35652">
      <c r="N35652" s="28"/>
      <c r="O35652" s="28"/>
      <c r="U35652" s="28"/>
    </row>
    <row r="35653">
      <c r="N35653" s="28"/>
      <c r="O35653" s="28"/>
      <c r="U35653" s="28"/>
    </row>
    <row r="35654">
      <c r="N35654" s="28"/>
      <c r="O35654" s="28"/>
      <c r="U35654" s="28"/>
    </row>
    <row r="35655">
      <c r="N35655" s="28"/>
      <c r="O35655" s="28"/>
      <c r="U35655" s="28"/>
    </row>
    <row r="35656">
      <c r="N35656" s="28"/>
      <c r="O35656" s="28"/>
      <c r="U35656" s="28"/>
    </row>
    <row r="35657">
      <c r="N35657" s="28"/>
      <c r="O35657" s="28"/>
      <c r="U35657" s="28"/>
    </row>
    <row r="35658">
      <c r="N35658" s="28"/>
      <c r="O35658" s="28"/>
      <c r="U35658" s="28"/>
    </row>
    <row r="35659">
      <c r="N35659" s="28"/>
      <c r="O35659" s="28"/>
      <c r="U35659" s="28"/>
    </row>
    <row r="35660">
      <c r="N35660" s="28"/>
      <c r="O35660" s="28"/>
      <c r="U35660" s="28"/>
    </row>
    <row r="35661">
      <c r="N35661" s="28"/>
      <c r="O35661" s="28"/>
      <c r="U35661" s="28"/>
    </row>
    <row r="35662">
      <c r="N35662" s="28"/>
      <c r="O35662" s="28"/>
      <c r="U35662" s="28"/>
    </row>
    <row r="35663">
      <c r="N35663" s="28"/>
      <c r="O35663" s="28"/>
      <c r="U35663" s="28"/>
    </row>
    <row r="35664">
      <c r="N35664" s="28"/>
      <c r="O35664" s="28"/>
      <c r="U35664" s="28"/>
    </row>
    <row r="35665">
      <c r="N35665" s="28"/>
      <c r="O35665" s="28"/>
      <c r="U35665" s="28"/>
    </row>
    <row r="35666">
      <c r="N35666" s="28"/>
      <c r="O35666" s="28"/>
      <c r="U35666" s="28"/>
    </row>
    <row r="35667">
      <c r="N35667" s="28"/>
      <c r="O35667" s="28"/>
      <c r="U35667" s="28"/>
    </row>
    <row r="35668">
      <c r="N35668" s="28"/>
      <c r="O35668" s="28"/>
      <c r="U35668" s="28"/>
    </row>
    <row r="35669">
      <c r="N35669" s="28"/>
      <c r="O35669" s="28"/>
      <c r="U35669" s="28"/>
    </row>
    <row r="35670">
      <c r="N35670" s="28"/>
      <c r="O35670" s="28"/>
      <c r="U35670" s="28"/>
    </row>
    <row r="35671">
      <c r="N35671" s="28"/>
      <c r="O35671" s="28"/>
      <c r="U35671" s="28"/>
    </row>
    <row r="35672">
      <c r="N35672" s="28"/>
      <c r="O35672" s="28"/>
      <c r="U35672" s="28"/>
    </row>
    <row r="35673">
      <c r="N35673" s="28"/>
      <c r="O35673" s="28"/>
      <c r="U35673" s="28"/>
    </row>
    <row r="35674">
      <c r="N35674" s="28"/>
      <c r="O35674" s="28"/>
      <c r="U35674" s="28"/>
    </row>
    <row r="35675">
      <c r="N35675" s="28"/>
      <c r="O35675" s="28"/>
      <c r="U35675" s="28"/>
    </row>
    <row r="35676">
      <c r="N35676" s="28"/>
      <c r="O35676" s="28"/>
      <c r="U35676" s="28"/>
    </row>
    <row r="35677">
      <c r="N35677" s="28"/>
      <c r="O35677" s="28"/>
      <c r="U35677" s="28"/>
    </row>
    <row r="35678">
      <c r="N35678" s="28"/>
      <c r="O35678" s="28"/>
      <c r="U35678" s="28"/>
    </row>
    <row r="35679">
      <c r="N35679" s="28"/>
      <c r="O35679" s="28"/>
      <c r="U35679" s="28"/>
    </row>
    <row r="35680">
      <c r="N35680" s="28"/>
      <c r="O35680" s="28"/>
      <c r="U35680" s="28"/>
    </row>
    <row r="35681">
      <c r="N35681" s="28"/>
      <c r="O35681" s="28"/>
      <c r="U35681" s="28"/>
    </row>
    <row r="35682">
      <c r="N35682" s="28"/>
      <c r="O35682" s="28"/>
      <c r="U35682" s="28"/>
    </row>
    <row r="35683">
      <c r="N35683" s="28"/>
      <c r="O35683" s="28"/>
      <c r="U35683" s="28"/>
    </row>
    <row r="35684">
      <c r="N35684" s="28"/>
      <c r="O35684" s="28"/>
      <c r="U35684" s="28"/>
    </row>
    <row r="35685">
      <c r="N35685" s="28"/>
      <c r="O35685" s="28"/>
      <c r="U35685" s="28"/>
    </row>
    <row r="35686">
      <c r="N35686" s="28"/>
      <c r="O35686" s="28"/>
      <c r="U35686" s="28"/>
    </row>
    <row r="35687">
      <c r="N35687" s="28"/>
      <c r="O35687" s="28"/>
      <c r="U35687" s="28"/>
    </row>
    <row r="35688">
      <c r="N35688" s="28"/>
      <c r="O35688" s="28"/>
      <c r="U35688" s="28"/>
    </row>
    <row r="35689">
      <c r="N35689" s="28"/>
      <c r="O35689" s="28"/>
      <c r="U35689" s="28"/>
    </row>
    <row r="35690">
      <c r="N35690" s="28"/>
      <c r="O35690" s="28"/>
      <c r="U35690" s="28"/>
    </row>
    <row r="35691">
      <c r="N35691" s="28"/>
      <c r="O35691" s="28"/>
      <c r="U35691" s="28"/>
    </row>
    <row r="35692">
      <c r="N35692" s="28"/>
      <c r="O35692" s="28"/>
      <c r="U35692" s="28"/>
    </row>
    <row r="35693">
      <c r="N35693" s="28"/>
      <c r="O35693" s="28"/>
      <c r="U35693" s="28"/>
    </row>
    <row r="35694">
      <c r="N35694" s="28"/>
      <c r="O35694" s="28"/>
      <c r="U35694" s="28"/>
    </row>
    <row r="35695">
      <c r="N35695" s="28"/>
      <c r="O35695" s="28"/>
      <c r="U35695" s="28"/>
    </row>
    <row r="35696">
      <c r="N35696" s="28"/>
      <c r="O35696" s="28"/>
      <c r="U35696" s="28"/>
    </row>
    <row r="35697">
      <c r="N35697" s="28"/>
      <c r="O35697" s="28"/>
      <c r="U35697" s="28"/>
    </row>
    <row r="35698">
      <c r="N35698" s="28"/>
      <c r="O35698" s="28"/>
      <c r="U35698" s="28"/>
    </row>
    <row r="35699">
      <c r="N35699" s="28"/>
      <c r="O35699" s="28"/>
      <c r="U35699" s="28"/>
    </row>
    <row r="35700">
      <c r="N35700" s="28"/>
      <c r="O35700" s="28"/>
      <c r="U35700" s="28"/>
    </row>
    <row r="35701">
      <c r="N35701" s="28"/>
      <c r="O35701" s="28"/>
      <c r="U35701" s="28"/>
    </row>
    <row r="35702">
      <c r="N35702" s="28"/>
      <c r="O35702" s="28"/>
      <c r="U35702" s="28"/>
    </row>
    <row r="35703">
      <c r="N35703" s="28"/>
      <c r="O35703" s="28"/>
      <c r="U35703" s="28"/>
    </row>
    <row r="35704">
      <c r="N35704" s="28"/>
      <c r="O35704" s="28"/>
      <c r="U35704" s="28"/>
    </row>
    <row r="35705">
      <c r="N35705" s="28"/>
      <c r="O35705" s="28"/>
      <c r="U35705" s="28"/>
    </row>
    <row r="35706">
      <c r="N35706" s="28"/>
      <c r="O35706" s="28"/>
      <c r="U35706" s="28"/>
    </row>
    <row r="35707">
      <c r="N35707" s="28"/>
      <c r="O35707" s="28"/>
      <c r="U35707" s="28"/>
    </row>
    <row r="35708">
      <c r="N35708" s="28"/>
      <c r="O35708" s="28"/>
      <c r="U35708" s="28"/>
    </row>
    <row r="35709">
      <c r="N35709" s="28"/>
      <c r="O35709" s="28"/>
      <c r="U35709" s="28"/>
    </row>
    <row r="35710">
      <c r="N35710" s="28"/>
      <c r="O35710" s="28"/>
      <c r="U35710" s="28"/>
    </row>
    <row r="35711">
      <c r="N35711" s="28"/>
      <c r="O35711" s="28"/>
      <c r="U35711" s="28"/>
    </row>
    <row r="35712">
      <c r="N35712" s="28"/>
      <c r="O35712" s="28"/>
      <c r="U35712" s="28"/>
    </row>
    <row r="35713">
      <c r="N35713" s="28"/>
      <c r="O35713" s="28"/>
      <c r="U35713" s="28"/>
    </row>
    <row r="35714">
      <c r="N35714" s="28"/>
      <c r="O35714" s="28"/>
      <c r="U35714" s="28"/>
    </row>
    <row r="35715">
      <c r="N35715" s="28"/>
      <c r="O35715" s="28"/>
      <c r="U35715" s="28"/>
    </row>
    <row r="35716">
      <c r="N35716" s="28"/>
      <c r="O35716" s="28"/>
      <c r="U35716" s="28"/>
    </row>
    <row r="35717">
      <c r="N35717" s="28"/>
      <c r="O35717" s="28"/>
      <c r="U35717" s="28"/>
    </row>
    <row r="35718">
      <c r="N35718" s="28"/>
      <c r="O35718" s="28"/>
      <c r="U35718" s="28"/>
    </row>
    <row r="35719">
      <c r="N35719" s="28"/>
      <c r="O35719" s="28"/>
      <c r="U35719" s="28"/>
    </row>
    <row r="35720">
      <c r="N35720" s="28"/>
      <c r="O35720" s="28"/>
      <c r="U35720" s="28"/>
    </row>
    <row r="35721">
      <c r="N35721" s="28"/>
      <c r="O35721" s="28"/>
      <c r="U35721" s="28"/>
    </row>
    <row r="35722">
      <c r="N35722" s="28"/>
      <c r="O35722" s="28"/>
      <c r="U35722" s="28"/>
    </row>
    <row r="35723">
      <c r="N35723" s="28"/>
      <c r="O35723" s="28"/>
      <c r="U35723" s="28"/>
    </row>
    <row r="35724">
      <c r="N35724" s="28"/>
      <c r="O35724" s="28"/>
      <c r="U35724" s="28"/>
    </row>
    <row r="35725">
      <c r="N35725" s="28"/>
      <c r="O35725" s="28"/>
      <c r="U35725" s="28"/>
    </row>
    <row r="35726">
      <c r="N35726" s="28"/>
      <c r="O35726" s="28"/>
      <c r="U35726" s="28"/>
    </row>
    <row r="35727">
      <c r="N35727" s="28"/>
      <c r="O35727" s="28"/>
      <c r="U35727" s="28"/>
    </row>
    <row r="35728">
      <c r="N35728" s="28"/>
      <c r="O35728" s="28"/>
      <c r="U35728" s="28"/>
    </row>
    <row r="35729">
      <c r="N35729" s="28"/>
      <c r="O35729" s="28"/>
      <c r="U35729" s="28"/>
    </row>
    <row r="35730">
      <c r="N35730" s="28"/>
      <c r="O35730" s="28"/>
      <c r="U35730" s="28"/>
    </row>
    <row r="35731">
      <c r="N35731" s="28"/>
      <c r="O35731" s="28"/>
      <c r="U35731" s="28"/>
    </row>
    <row r="35732">
      <c r="N35732" s="28"/>
      <c r="O35732" s="28"/>
      <c r="U35732" s="28"/>
    </row>
    <row r="35733">
      <c r="N35733" s="28"/>
      <c r="O35733" s="28"/>
      <c r="U35733" s="28"/>
    </row>
    <row r="35734">
      <c r="N35734" s="28"/>
      <c r="O35734" s="28"/>
      <c r="U35734" s="28"/>
    </row>
    <row r="35735">
      <c r="N35735" s="28"/>
      <c r="O35735" s="28"/>
      <c r="U35735" s="28"/>
    </row>
    <row r="35736">
      <c r="N35736" s="28"/>
      <c r="O35736" s="28"/>
      <c r="U35736" s="28"/>
    </row>
    <row r="35737">
      <c r="N35737" s="28"/>
      <c r="O35737" s="28"/>
      <c r="U35737" s="28"/>
    </row>
    <row r="35738">
      <c r="N35738" s="28"/>
      <c r="O35738" s="28"/>
      <c r="U35738" s="28"/>
    </row>
    <row r="35739">
      <c r="N35739" s="28"/>
      <c r="O35739" s="28"/>
      <c r="U35739" s="28"/>
    </row>
    <row r="35740">
      <c r="N35740" s="28"/>
      <c r="O35740" s="28"/>
      <c r="U35740" s="28"/>
    </row>
    <row r="35741">
      <c r="N35741" s="28"/>
      <c r="O35741" s="28"/>
      <c r="U35741" s="28"/>
    </row>
    <row r="35742">
      <c r="N35742" s="28"/>
      <c r="O35742" s="28"/>
      <c r="U35742" s="28"/>
    </row>
    <row r="35743">
      <c r="N35743" s="28"/>
      <c r="O35743" s="28"/>
      <c r="U35743" s="28"/>
    </row>
    <row r="35744">
      <c r="N35744" s="28"/>
      <c r="O35744" s="28"/>
      <c r="U35744" s="28"/>
    </row>
    <row r="35745">
      <c r="N35745" s="28"/>
      <c r="O35745" s="28"/>
      <c r="U35745" s="28"/>
    </row>
    <row r="35746">
      <c r="N35746" s="28"/>
      <c r="O35746" s="28"/>
      <c r="U35746" s="28"/>
    </row>
    <row r="35747">
      <c r="N35747" s="28"/>
      <c r="O35747" s="28"/>
      <c r="U35747" s="28"/>
    </row>
    <row r="35748">
      <c r="N35748" s="28"/>
      <c r="O35748" s="28"/>
      <c r="U35748" s="28"/>
    </row>
    <row r="35749">
      <c r="N35749" s="28"/>
      <c r="O35749" s="28"/>
      <c r="U35749" s="28"/>
    </row>
    <row r="35750">
      <c r="N35750" s="28"/>
      <c r="O35750" s="28"/>
      <c r="U35750" s="28"/>
    </row>
    <row r="35751">
      <c r="N35751" s="28"/>
      <c r="O35751" s="28"/>
      <c r="U35751" s="28"/>
    </row>
    <row r="35752">
      <c r="N35752" s="28"/>
      <c r="O35752" s="28"/>
      <c r="U35752" s="28"/>
    </row>
    <row r="35753">
      <c r="N35753" s="28"/>
      <c r="O35753" s="28"/>
      <c r="U35753" s="28"/>
    </row>
    <row r="35754">
      <c r="N35754" s="28"/>
      <c r="O35754" s="28"/>
      <c r="U35754" s="28"/>
    </row>
    <row r="35755">
      <c r="N35755" s="28"/>
      <c r="O35755" s="28"/>
      <c r="U35755" s="28"/>
    </row>
    <row r="35756">
      <c r="N35756" s="28"/>
      <c r="O35756" s="28"/>
      <c r="U35756" s="28"/>
    </row>
    <row r="35757">
      <c r="N35757" s="28"/>
      <c r="O35757" s="28"/>
      <c r="U35757" s="28"/>
    </row>
    <row r="35758">
      <c r="N35758" s="28"/>
      <c r="O35758" s="28"/>
      <c r="U35758" s="28"/>
    </row>
    <row r="35759">
      <c r="N35759" s="28"/>
      <c r="O35759" s="28"/>
      <c r="U35759" s="28"/>
    </row>
    <row r="35760">
      <c r="N35760" s="28"/>
      <c r="O35760" s="28"/>
      <c r="U35760" s="28"/>
    </row>
    <row r="35761">
      <c r="N35761" s="28"/>
      <c r="O35761" s="28"/>
      <c r="U35761" s="28"/>
    </row>
    <row r="35762">
      <c r="N35762" s="28"/>
      <c r="O35762" s="28"/>
      <c r="U35762" s="28"/>
    </row>
    <row r="35763">
      <c r="N35763" s="28"/>
      <c r="O35763" s="28"/>
      <c r="U35763" s="28"/>
    </row>
    <row r="35764">
      <c r="N35764" s="28"/>
      <c r="O35764" s="28"/>
      <c r="U35764" s="28"/>
    </row>
    <row r="35765">
      <c r="N35765" s="28"/>
      <c r="O35765" s="28"/>
      <c r="U35765" s="28"/>
    </row>
    <row r="35766">
      <c r="N35766" s="28"/>
      <c r="O35766" s="28"/>
      <c r="U35766" s="28"/>
    </row>
    <row r="35767">
      <c r="N35767" s="28"/>
      <c r="O35767" s="28"/>
      <c r="U35767" s="28"/>
    </row>
    <row r="35768">
      <c r="N35768" s="28"/>
      <c r="O35768" s="28"/>
      <c r="U35768" s="28"/>
    </row>
    <row r="35769">
      <c r="N35769" s="28"/>
      <c r="O35769" s="28"/>
      <c r="U35769" s="28"/>
    </row>
    <row r="35770">
      <c r="N35770" s="28"/>
      <c r="O35770" s="28"/>
      <c r="U35770" s="28"/>
    </row>
    <row r="35771">
      <c r="N35771" s="28"/>
      <c r="O35771" s="28"/>
      <c r="U35771" s="28"/>
    </row>
    <row r="35772">
      <c r="N35772" s="28"/>
      <c r="O35772" s="28"/>
      <c r="U35772" s="28"/>
    </row>
    <row r="35773">
      <c r="N35773" s="28"/>
      <c r="O35773" s="28"/>
      <c r="U35773" s="28"/>
    </row>
    <row r="35774">
      <c r="N35774" s="28"/>
      <c r="O35774" s="28"/>
      <c r="U35774" s="28"/>
    </row>
    <row r="35775">
      <c r="N35775" s="28"/>
      <c r="O35775" s="28"/>
      <c r="U35775" s="28"/>
    </row>
    <row r="35776">
      <c r="N35776" s="28"/>
      <c r="O35776" s="28"/>
      <c r="U35776" s="28"/>
    </row>
    <row r="35777">
      <c r="N35777" s="28"/>
      <c r="O35777" s="28"/>
      <c r="U35777" s="28"/>
    </row>
    <row r="35778">
      <c r="N35778" s="28"/>
      <c r="O35778" s="28"/>
      <c r="U35778" s="28"/>
    </row>
    <row r="35779">
      <c r="N35779" s="28"/>
      <c r="O35779" s="28"/>
      <c r="U35779" s="28"/>
    </row>
    <row r="35780">
      <c r="N35780" s="28"/>
      <c r="O35780" s="28"/>
      <c r="U35780" s="28"/>
    </row>
    <row r="35781">
      <c r="N35781" s="28"/>
      <c r="O35781" s="28"/>
      <c r="U35781" s="28"/>
    </row>
    <row r="35782">
      <c r="N35782" s="28"/>
      <c r="O35782" s="28"/>
      <c r="U35782" s="28"/>
    </row>
    <row r="35783">
      <c r="N35783" s="28"/>
      <c r="O35783" s="28"/>
      <c r="U35783" s="28"/>
    </row>
    <row r="35784">
      <c r="N35784" s="28"/>
      <c r="O35784" s="28"/>
      <c r="U35784" s="28"/>
    </row>
    <row r="35785">
      <c r="N35785" s="28"/>
      <c r="O35785" s="28"/>
      <c r="U35785" s="28"/>
    </row>
    <row r="35786">
      <c r="N35786" s="28"/>
      <c r="O35786" s="28"/>
      <c r="U35786" s="28"/>
    </row>
    <row r="35787">
      <c r="N35787" s="28"/>
      <c r="O35787" s="28"/>
      <c r="U35787" s="28"/>
    </row>
    <row r="35788">
      <c r="N35788" s="28"/>
      <c r="O35788" s="28"/>
      <c r="U35788" s="28"/>
    </row>
    <row r="35789">
      <c r="N35789" s="28"/>
      <c r="O35789" s="28"/>
      <c r="U35789" s="28"/>
    </row>
    <row r="35790">
      <c r="N35790" s="28"/>
      <c r="O35790" s="28"/>
      <c r="U35790" s="28"/>
    </row>
    <row r="35791">
      <c r="N35791" s="28"/>
      <c r="O35791" s="28"/>
      <c r="U35791" s="28"/>
    </row>
    <row r="35792">
      <c r="N35792" s="28"/>
      <c r="O35792" s="28"/>
      <c r="U35792" s="28"/>
    </row>
    <row r="35793">
      <c r="N35793" s="28"/>
      <c r="O35793" s="28"/>
      <c r="U35793" s="28"/>
    </row>
    <row r="35794">
      <c r="N35794" s="28"/>
      <c r="O35794" s="28"/>
      <c r="U35794" s="28"/>
    </row>
    <row r="35795">
      <c r="N35795" s="28"/>
      <c r="O35795" s="28"/>
      <c r="U35795" s="28"/>
    </row>
    <row r="35796">
      <c r="N35796" s="28"/>
      <c r="O35796" s="28"/>
      <c r="U35796" s="28"/>
    </row>
    <row r="35797">
      <c r="N35797" s="28"/>
      <c r="O35797" s="28"/>
      <c r="U35797" s="28"/>
    </row>
    <row r="35798">
      <c r="N35798" s="28"/>
      <c r="O35798" s="28"/>
      <c r="U35798" s="28"/>
    </row>
    <row r="35799">
      <c r="N35799" s="28"/>
      <c r="O35799" s="28"/>
      <c r="U35799" s="28"/>
    </row>
    <row r="35800">
      <c r="N35800" s="28"/>
      <c r="O35800" s="28"/>
      <c r="U35800" s="28"/>
    </row>
    <row r="35801">
      <c r="N35801" s="28"/>
      <c r="O35801" s="28"/>
      <c r="U35801" s="28"/>
    </row>
    <row r="35802">
      <c r="N35802" s="28"/>
      <c r="O35802" s="28"/>
      <c r="U35802" s="28"/>
    </row>
    <row r="35803">
      <c r="N35803" s="28"/>
      <c r="O35803" s="28"/>
      <c r="U35803" s="28"/>
    </row>
    <row r="35804">
      <c r="N35804" s="28"/>
      <c r="O35804" s="28"/>
      <c r="U35804" s="28"/>
    </row>
    <row r="35805">
      <c r="N35805" s="28"/>
      <c r="O35805" s="28"/>
      <c r="U35805" s="28"/>
    </row>
    <row r="35806">
      <c r="N35806" s="28"/>
      <c r="O35806" s="28"/>
      <c r="U35806" s="28"/>
    </row>
    <row r="35807">
      <c r="N35807" s="28"/>
      <c r="O35807" s="28"/>
      <c r="U35807" s="28"/>
    </row>
    <row r="35808">
      <c r="N35808" s="28"/>
      <c r="O35808" s="28"/>
      <c r="U35808" s="28"/>
    </row>
    <row r="35809">
      <c r="N35809" s="28"/>
      <c r="O35809" s="28"/>
      <c r="U35809" s="28"/>
    </row>
    <row r="35810">
      <c r="N35810" s="28"/>
      <c r="O35810" s="28"/>
      <c r="U35810" s="28"/>
    </row>
    <row r="35811">
      <c r="N35811" s="28"/>
      <c r="O35811" s="28"/>
      <c r="U35811" s="28"/>
    </row>
    <row r="35812">
      <c r="N35812" s="28"/>
      <c r="O35812" s="28"/>
      <c r="U35812" s="28"/>
    </row>
    <row r="35813">
      <c r="N35813" s="28"/>
      <c r="O35813" s="28"/>
      <c r="U35813" s="28"/>
    </row>
    <row r="35814">
      <c r="N35814" s="28"/>
      <c r="O35814" s="28"/>
      <c r="U35814" s="28"/>
    </row>
    <row r="35815">
      <c r="N35815" s="28"/>
      <c r="O35815" s="28"/>
      <c r="U35815" s="28"/>
    </row>
    <row r="35816">
      <c r="N35816" s="28"/>
      <c r="O35816" s="28"/>
      <c r="U35816" s="28"/>
    </row>
    <row r="35817">
      <c r="N35817" s="28"/>
      <c r="O35817" s="28"/>
      <c r="U35817" s="28"/>
    </row>
    <row r="35818">
      <c r="N35818" s="28"/>
      <c r="O35818" s="28"/>
      <c r="U35818" s="28"/>
    </row>
    <row r="35819">
      <c r="N35819" s="28"/>
      <c r="O35819" s="28"/>
      <c r="U35819" s="28"/>
    </row>
    <row r="35820">
      <c r="N35820" s="28"/>
      <c r="O35820" s="28"/>
      <c r="U35820" s="28"/>
    </row>
    <row r="35821">
      <c r="N35821" s="28"/>
      <c r="O35821" s="28"/>
      <c r="U35821" s="28"/>
    </row>
    <row r="35822">
      <c r="N35822" s="28"/>
      <c r="O35822" s="28"/>
      <c r="U35822" s="28"/>
    </row>
    <row r="35823">
      <c r="N35823" s="28"/>
      <c r="O35823" s="28"/>
      <c r="U35823" s="28"/>
    </row>
    <row r="35824">
      <c r="N35824" s="28"/>
      <c r="O35824" s="28"/>
      <c r="U35824" s="28"/>
    </row>
    <row r="35825">
      <c r="N35825" s="28"/>
      <c r="O35825" s="28"/>
      <c r="U35825" s="28"/>
    </row>
    <row r="35826">
      <c r="N35826" s="28"/>
      <c r="O35826" s="28"/>
      <c r="U35826" s="28"/>
    </row>
    <row r="35827">
      <c r="N35827" s="28"/>
      <c r="O35827" s="28"/>
      <c r="U35827" s="28"/>
    </row>
    <row r="35828">
      <c r="N35828" s="28"/>
      <c r="O35828" s="28"/>
      <c r="U35828" s="28"/>
    </row>
    <row r="35829">
      <c r="N35829" s="28"/>
      <c r="O35829" s="28"/>
      <c r="U35829" s="28"/>
    </row>
    <row r="35830">
      <c r="N35830" s="28"/>
      <c r="O35830" s="28"/>
      <c r="U35830" s="28"/>
    </row>
    <row r="35831">
      <c r="N35831" s="28"/>
      <c r="O35831" s="28"/>
      <c r="U35831" s="28"/>
    </row>
    <row r="35832">
      <c r="N35832" s="28"/>
      <c r="O35832" s="28"/>
      <c r="U35832" s="28"/>
    </row>
    <row r="35833">
      <c r="N35833" s="28"/>
      <c r="O35833" s="28"/>
      <c r="U35833" s="28"/>
    </row>
    <row r="35834">
      <c r="N35834" s="28"/>
      <c r="O35834" s="28"/>
      <c r="U35834" s="28"/>
    </row>
    <row r="35835">
      <c r="N35835" s="28"/>
      <c r="O35835" s="28"/>
      <c r="U35835" s="28"/>
    </row>
    <row r="35836">
      <c r="N35836" s="28"/>
      <c r="O35836" s="28"/>
      <c r="U35836" s="28"/>
    </row>
    <row r="35837">
      <c r="N35837" s="28"/>
      <c r="O35837" s="28"/>
      <c r="U35837" s="28"/>
    </row>
    <row r="35838">
      <c r="N35838" s="28"/>
      <c r="O35838" s="28"/>
      <c r="U35838" s="28"/>
    </row>
    <row r="35839">
      <c r="N35839" s="28"/>
      <c r="O35839" s="28"/>
      <c r="U35839" s="28"/>
    </row>
    <row r="35840">
      <c r="N35840" s="28"/>
      <c r="O35840" s="28"/>
      <c r="U35840" s="28"/>
    </row>
    <row r="35841">
      <c r="N35841" s="28"/>
      <c r="O35841" s="28"/>
      <c r="U35841" s="28"/>
    </row>
    <row r="35842">
      <c r="N35842" s="28"/>
      <c r="O35842" s="28"/>
      <c r="U35842" s="28"/>
    </row>
    <row r="35843">
      <c r="N35843" s="28"/>
      <c r="O35843" s="28"/>
      <c r="U35843" s="28"/>
    </row>
    <row r="35844">
      <c r="N35844" s="28"/>
      <c r="O35844" s="28"/>
      <c r="U35844" s="28"/>
    </row>
    <row r="35845">
      <c r="N35845" s="28"/>
      <c r="O35845" s="28"/>
      <c r="U35845" s="28"/>
    </row>
    <row r="35846">
      <c r="N35846" s="28"/>
      <c r="O35846" s="28"/>
      <c r="U35846" s="28"/>
    </row>
    <row r="35847">
      <c r="N35847" s="28"/>
      <c r="O35847" s="28"/>
      <c r="U35847" s="28"/>
    </row>
    <row r="35848">
      <c r="N35848" s="28"/>
      <c r="O35848" s="28"/>
      <c r="U35848" s="28"/>
    </row>
    <row r="35849">
      <c r="N35849" s="28"/>
      <c r="O35849" s="28"/>
      <c r="U35849" s="28"/>
    </row>
    <row r="35850">
      <c r="N35850" s="28"/>
      <c r="O35850" s="28"/>
      <c r="U35850" s="28"/>
    </row>
    <row r="35851">
      <c r="N35851" s="28"/>
      <c r="O35851" s="28"/>
      <c r="U35851" s="28"/>
    </row>
    <row r="35852">
      <c r="N35852" s="28"/>
      <c r="O35852" s="28"/>
      <c r="U35852" s="28"/>
    </row>
    <row r="35853">
      <c r="N35853" s="28"/>
      <c r="O35853" s="28"/>
      <c r="U35853" s="28"/>
    </row>
    <row r="35854">
      <c r="N35854" s="28"/>
      <c r="O35854" s="28"/>
      <c r="U35854" s="28"/>
    </row>
    <row r="35855">
      <c r="N35855" s="28"/>
      <c r="O35855" s="28"/>
      <c r="U35855" s="28"/>
    </row>
    <row r="35856">
      <c r="N35856" s="28"/>
      <c r="O35856" s="28"/>
      <c r="U35856" s="28"/>
    </row>
    <row r="35857">
      <c r="N35857" s="28"/>
      <c r="O35857" s="28"/>
      <c r="U35857" s="28"/>
    </row>
    <row r="35858">
      <c r="N35858" s="28"/>
      <c r="O35858" s="28"/>
      <c r="U35858" s="28"/>
    </row>
    <row r="35859">
      <c r="N35859" s="28"/>
      <c r="O35859" s="28"/>
      <c r="U35859" s="28"/>
    </row>
    <row r="35860">
      <c r="N35860" s="28"/>
      <c r="O35860" s="28"/>
      <c r="U35860" s="28"/>
    </row>
    <row r="35861">
      <c r="N35861" s="28"/>
      <c r="O35861" s="28"/>
      <c r="U35861" s="28"/>
    </row>
    <row r="35862">
      <c r="N35862" s="28"/>
      <c r="O35862" s="28"/>
      <c r="U35862" s="28"/>
    </row>
    <row r="35863">
      <c r="N35863" s="28"/>
      <c r="O35863" s="28"/>
      <c r="U35863" s="28"/>
    </row>
    <row r="35864">
      <c r="N35864" s="28"/>
      <c r="O35864" s="28"/>
      <c r="U35864" s="28"/>
    </row>
    <row r="35865">
      <c r="N35865" s="28"/>
      <c r="O35865" s="28"/>
      <c r="U35865" s="28"/>
    </row>
    <row r="35866">
      <c r="N35866" s="28"/>
      <c r="O35866" s="28"/>
      <c r="U35866" s="28"/>
    </row>
    <row r="35867">
      <c r="N35867" s="28"/>
      <c r="O35867" s="28"/>
      <c r="U35867" s="28"/>
    </row>
    <row r="35868">
      <c r="N35868" s="28"/>
      <c r="O35868" s="28"/>
      <c r="U35868" s="28"/>
    </row>
    <row r="35869">
      <c r="N35869" s="28"/>
      <c r="O35869" s="28"/>
      <c r="U35869" s="28"/>
    </row>
    <row r="35870">
      <c r="N35870" s="28"/>
      <c r="O35870" s="28"/>
      <c r="U35870" s="28"/>
    </row>
    <row r="35871">
      <c r="N35871" s="28"/>
      <c r="O35871" s="28"/>
      <c r="U35871" s="28"/>
    </row>
    <row r="35872">
      <c r="N35872" s="28"/>
      <c r="O35872" s="28"/>
      <c r="U35872" s="28"/>
    </row>
    <row r="35873">
      <c r="N35873" s="28"/>
      <c r="O35873" s="28"/>
      <c r="U35873" s="28"/>
    </row>
    <row r="35874">
      <c r="N35874" s="28"/>
      <c r="O35874" s="28"/>
      <c r="U35874" s="28"/>
    </row>
    <row r="35875">
      <c r="N35875" s="28"/>
      <c r="O35875" s="28"/>
      <c r="U35875" s="28"/>
    </row>
    <row r="35876">
      <c r="N35876" s="28"/>
      <c r="O35876" s="28"/>
      <c r="U35876" s="28"/>
    </row>
    <row r="35877">
      <c r="N35877" s="28"/>
      <c r="O35877" s="28"/>
      <c r="U35877" s="28"/>
    </row>
    <row r="35878">
      <c r="N35878" s="28"/>
      <c r="O35878" s="28"/>
      <c r="U35878" s="28"/>
    </row>
    <row r="35879">
      <c r="N35879" s="28"/>
      <c r="O35879" s="28"/>
      <c r="U35879" s="28"/>
    </row>
    <row r="35880">
      <c r="N35880" s="28"/>
      <c r="O35880" s="28"/>
      <c r="U35880" s="28"/>
    </row>
    <row r="35881">
      <c r="N35881" s="28"/>
      <c r="O35881" s="28"/>
      <c r="U35881" s="28"/>
    </row>
    <row r="35882">
      <c r="N35882" s="28"/>
      <c r="O35882" s="28"/>
      <c r="U35882" s="28"/>
    </row>
    <row r="35883">
      <c r="N35883" s="28"/>
      <c r="O35883" s="28"/>
      <c r="U35883" s="28"/>
    </row>
    <row r="35884">
      <c r="N35884" s="28"/>
      <c r="O35884" s="28"/>
      <c r="U35884" s="28"/>
    </row>
    <row r="35885">
      <c r="N35885" s="28"/>
      <c r="O35885" s="28"/>
      <c r="U35885" s="28"/>
    </row>
    <row r="35886">
      <c r="N35886" s="28"/>
      <c r="O35886" s="28"/>
      <c r="U35886" s="28"/>
    </row>
    <row r="35887">
      <c r="N35887" s="28"/>
      <c r="O35887" s="28"/>
      <c r="U35887" s="28"/>
    </row>
    <row r="35888">
      <c r="N35888" s="28"/>
      <c r="O35888" s="28"/>
      <c r="U35888" s="28"/>
    </row>
    <row r="35889">
      <c r="N35889" s="28"/>
      <c r="O35889" s="28"/>
      <c r="U35889" s="28"/>
    </row>
    <row r="35890">
      <c r="N35890" s="28"/>
      <c r="O35890" s="28"/>
      <c r="U35890" s="28"/>
    </row>
    <row r="35891">
      <c r="N35891" s="28"/>
      <c r="O35891" s="28"/>
      <c r="U35891" s="28"/>
    </row>
    <row r="35892">
      <c r="N35892" s="28"/>
      <c r="O35892" s="28"/>
      <c r="U35892" s="28"/>
    </row>
    <row r="35893">
      <c r="N35893" s="28"/>
      <c r="O35893" s="28"/>
      <c r="U35893" s="28"/>
    </row>
    <row r="35894">
      <c r="N35894" s="28"/>
      <c r="O35894" s="28"/>
      <c r="U35894" s="28"/>
    </row>
    <row r="35895">
      <c r="N35895" s="28"/>
      <c r="O35895" s="28"/>
      <c r="U35895" s="28"/>
    </row>
    <row r="35896">
      <c r="N35896" s="28"/>
      <c r="O35896" s="28"/>
      <c r="U35896" s="28"/>
    </row>
    <row r="35897">
      <c r="N35897" s="28"/>
      <c r="O35897" s="28"/>
      <c r="U35897" s="28"/>
    </row>
    <row r="35898">
      <c r="N35898" s="28"/>
      <c r="O35898" s="28"/>
      <c r="U35898" s="28"/>
    </row>
    <row r="35899">
      <c r="N35899" s="28"/>
      <c r="O35899" s="28"/>
      <c r="U35899" s="28"/>
    </row>
    <row r="35900">
      <c r="N35900" s="28"/>
      <c r="O35900" s="28"/>
      <c r="U35900" s="28"/>
    </row>
    <row r="35901">
      <c r="N35901" s="28"/>
      <c r="O35901" s="28"/>
      <c r="U35901" s="28"/>
    </row>
    <row r="35902">
      <c r="N35902" s="28"/>
      <c r="O35902" s="28"/>
      <c r="U35902" s="28"/>
    </row>
    <row r="35903">
      <c r="N35903" s="28"/>
      <c r="O35903" s="28"/>
      <c r="U35903" s="28"/>
    </row>
    <row r="35904">
      <c r="N35904" s="28"/>
      <c r="O35904" s="28"/>
      <c r="U35904" s="28"/>
    </row>
    <row r="35905">
      <c r="N35905" s="28"/>
      <c r="O35905" s="28"/>
      <c r="U35905" s="28"/>
    </row>
    <row r="35906">
      <c r="N35906" s="28"/>
      <c r="O35906" s="28"/>
      <c r="U35906" s="28"/>
    </row>
    <row r="35907">
      <c r="N35907" s="28"/>
      <c r="O35907" s="28"/>
      <c r="U35907" s="28"/>
    </row>
    <row r="35908">
      <c r="N35908" s="28"/>
      <c r="O35908" s="28"/>
      <c r="U35908" s="28"/>
    </row>
    <row r="35909">
      <c r="N35909" s="28"/>
      <c r="O35909" s="28"/>
      <c r="U35909" s="28"/>
    </row>
    <row r="35910">
      <c r="N35910" s="28"/>
      <c r="O35910" s="28"/>
      <c r="U35910" s="28"/>
    </row>
    <row r="35911">
      <c r="N35911" s="28"/>
      <c r="O35911" s="28"/>
      <c r="U35911" s="28"/>
    </row>
    <row r="35912">
      <c r="N35912" s="28"/>
      <c r="O35912" s="28"/>
      <c r="U35912" s="28"/>
    </row>
    <row r="35913">
      <c r="N35913" s="28"/>
      <c r="O35913" s="28"/>
      <c r="U35913" s="28"/>
    </row>
    <row r="35914">
      <c r="N35914" s="28"/>
      <c r="O35914" s="28"/>
      <c r="U35914" s="28"/>
    </row>
    <row r="35915">
      <c r="N35915" s="28"/>
      <c r="O35915" s="28"/>
      <c r="U35915" s="28"/>
    </row>
    <row r="35916">
      <c r="N35916" s="28"/>
      <c r="O35916" s="28"/>
      <c r="U35916" s="28"/>
    </row>
    <row r="35917">
      <c r="N35917" s="28"/>
      <c r="O35917" s="28"/>
      <c r="U35917" s="28"/>
    </row>
    <row r="35918">
      <c r="N35918" s="28"/>
      <c r="O35918" s="28"/>
      <c r="U35918" s="28"/>
    </row>
    <row r="35919">
      <c r="N35919" s="28"/>
      <c r="O35919" s="28"/>
      <c r="U35919" s="28"/>
    </row>
    <row r="35920">
      <c r="N35920" s="28"/>
      <c r="O35920" s="28"/>
      <c r="U35920" s="28"/>
    </row>
    <row r="35921">
      <c r="N35921" s="28"/>
      <c r="O35921" s="28"/>
      <c r="U35921" s="28"/>
    </row>
    <row r="35922">
      <c r="N35922" s="28"/>
      <c r="O35922" s="28"/>
      <c r="U35922" s="28"/>
    </row>
    <row r="35923">
      <c r="N35923" s="28"/>
      <c r="O35923" s="28"/>
      <c r="U35923" s="28"/>
    </row>
    <row r="35924">
      <c r="N35924" s="28"/>
      <c r="O35924" s="28"/>
      <c r="U35924" s="28"/>
    </row>
    <row r="35925">
      <c r="N35925" s="28"/>
      <c r="O35925" s="28"/>
      <c r="U35925" s="28"/>
    </row>
    <row r="35926">
      <c r="N35926" s="28"/>
      <c r="O35926" s="28"/>
      <c r="U35926" s="28"/>
    </row>
    <row r="35927">
      <c r="N35927" s="28"/>
      <c r="O35927" s="28"/>
      <c r="U35927" s="28"/>
    </row>
    <row r="35928">
      <c r="N35928" s="28"/>
      <c r="O35928" s="28"/>
      <c r="U35928" s="28"/>
    </row>
    <row r="35929">
      <c r="N35929" s="28"/>
      <c r="O35929" s="28"/>
      <c r="U35929" s="28"/>
    </row>
    <row r="35930">
      <c r="N35930" s="28"/>
      <c r="O35930" s="28"/>
      <c r="U35930" s="28"/>
    </row>
    <row r="35931">
      <c r="N35931" s="28"/>
      <c r="O35931" s="28"/>
      <c r="U35931" s="28"/>
    </row>
    <row r="35932">
      <c r="N35932" s="28"/>
      <c r="O35932" s="28"/>
      <c r="U35932" s="28"/>
    </row>
    <row r="35933">
      <c r="N35933" s="28"/>
      <c r="O35933" s="28"/>
      <c r="U35933" s="28"/>
    </row>
    <row r="35934">
      <c r="N35934" s="28"/>
      <c r="O35934" s="28"/>
      <c r="U35934" s="28"/>
    </row>
    <row r="35935">
      <c r="N35935" s="28"/>
      <c r="O35935" s="28"/>
      <c r="U35935" s="28"/>
    </row>
    <row r="35936">
      <c r="N35936" s="28"/>
      <c r="O35936" s="28"/>
      <c r="U35936" s="28"/>
    </row>
    <row r="35937">
      <c r="N35937" s="28"/>
      <c r="O35937" s="28"/>
      <c r="U35937" s="28"/>
    </row>
    <row r="35938">
      <c r="N35938" s="28"/>
      <c r="O35938" s="28"/>
      <c r="U35938" s="28"/>
    </row>
    <row r="35939">
      <c r="N35939" s="28"/>
      <c r="O35939" s="28"/>
      <c r="U35939" s="28"/>
    </row>
    <row r="35940">
      <c r="N35940" s="28"/>
      <c r="O35940" s="28"/>
      <c r="U35940" s="28"/>
    </row>
    <row r="35941">
      <c r="N35941" s="28"/>
      <c r="O35941" s="28"/>
      <c r="U35941" s="28"/>
    </row>
    <row r="35942">
      <c r="N35942" s="28"/>
      <c r="O35942" s="28"/>
      <c r="U35942" s="28"/>
    </row>
    <row r="35943">
      <c r="N35943" s="28"/>
      <c r="O35943" s="28"/>
      <c r="U35943" s="28"/>
    </row>
    <row r="35944">
      <c r="N35944" s="28"/>
      <c r="O35944" s="28"/>
      <c r="U35944" s="28"/>
    </row>
    <row r="35945">
      <c r="N35945" s="28"/>
      <c r="O35945" s="28"/>
      <c r="U35945" s="28"/>
    </row>
    <row r="35946">
      <c r="N35946" s="28"/>
      <c r="O35946" s="28"/>
      <c r="U35946" s="28"/>
    </row>
    <row r="35947">
      <c r="N35947" s="28"/>
      <c r="O35947" s="28"/>
      <c r="U35947" s="28"/>
    </row>
    <row r="35948">
      <c r="N35948" s="28"/>
      <c r="O35948" s="28"/>
      <c r="U35948" s="28"/>
    </row>
    <row r="35949">
      <c r="N35949" s="28"/>
      <c r="O35949" s="28"/>
      <c r="U35949" s="28"/>
    </row>
    <row r="35950">
      <c r="N35950" s="28"/>
      <c r="O35950" s="28"/>
      <c r="U35950" s="28"/>
    </row>
    <row r="35951">
      <c r="N35951" s="28"/>
      <c r="O35951" s="28"/>
      <c r="U35951" s="28"/>
    </row>
    <row r="35952">
      <c r="N35952" s="28"/>
      <c r="O35952" s="28"/>
      <c r="U35952" s="28"/>
    </row>
    <row r="35953">
      <c r="N35953" s="28"/>
      <c r="O35953" s="28"/>
      <c r="U35953" s="28"/>
    </row>
    <row r="35954">
      <c r="N35954" s="28"/>
      <c r="O35954" s="28"/>
      <c r="U35954" s="28"/>
    </row>
    <row r="35955">
      <c r="N35955" s="28"/>
      <c r="O35955" s="28"/>
      <c r="U35955" s="28"/>
    </row>
    <row r="35956">
      <c r="N35956" s="28"/>
      <c r="O35956" s="28"/>
      <c r="U35956" s="28"/>
    </row>
    <row r="35957">
      <c r="N35957" s="28"/>
      <c r="O35957" s="28"/>
      <c r="U35957" s="28"/>
    </row>
    <row r="35958">
      <c r="N35958" s="28"/>
      <c r="O35958" s="28"/>
      <c r="U35958" s="28"/>
    </row>
    <row r="35959">
      <c r="N35959" s="28"/>
      <c r="O35959" s="28"/>
      <c r="U35959" s="28"/>
    </row>
    <row r="35960">
      <c r="N35960" s="28"/>
      <c r="O35960" s="28"/>
      <c r="U35960" s="28"/>
    </row>
    <row r="35961">
      <c r="N35961" s="28"/>
      <c r="O35961" s="28"/>
      <c r="U35961" s="28"/>
    </row>
    <row r="35962">
      <c r="N35962" s="28"/>
      <c r="O35962" s="28"/>
      <c r="U35962" s="28"/>
    </row>
    <row r="35963">
      <c r="N35963" s="28"/>
      <c r="O35963" s="28"/>
      <c r="U35963" s="28"/>
    </row>
    <row r="35964">
      <c r="N35964" s="28"/>
      <c r="O35964" s="28"/>
      <c r="U35964" s="28"/>
    </row>
    <row r="35965">
      <c r="N35965" s="28"/>
      <c r="O35965" s="28"/>
      <c r="U35965" s="28"/>
    </row>
    <row r="35966">
      <c r="N35966" s="28"/>
      <c r="O35966" s="28"/>
      <c r="U35966" s="28"/>
    </row>
    <row r="35967">
      <c r="N35967" s="28"/>
      <c r="O35967" s="28"/>
      <c r="U35967" s="28"/>
    </row>
    <row r="35968">
      <c r="N35968" s="28"/>
      <c r="O35968" s="28"/>
      <c r="U35968" s="28"/>
    </row>
    <row r="35969">
      <c r="N35969" s="28"/>
      <c r="O35969" s="28"/>
      <c r="U35969" s="28"/>
    </row>
    <row r="35970">
      <c r="N35970" s="28"/>
      <c r="O35970" s="28"/>
      <c r="U35970" s="28"/>
    </row>
    <row r="35971">
      <c r="N35971" s="28"/>
      <c r="O35971" s="28"/>
      <c r="U35971" s="28"/>
    </row>
    <row r="35972">
      <c r="N35972" s="28"/>
      <c r="O35972" s="28"/>
      <c r="U35972" s="28"/>
    </row>
    <row r="35973">
      <c r="N35973" s="28"/>
      <c r="O35973" s="28"/>
      <c r="U35973" s="28"/>
    </row>
    <row r="35974">
      <c r="N35974" s="28"/>
      <c r="O35974" s="28"/>
      <c r="U35974" s="28"/>
    </row>
    <row r="35975">
      <c r="N35975" s="28"/>
      <c r="O35975" s="28"/>
      <c r="U35975" s="28"/>
    </row>
    <row r="35976">
      <c r="N35976" s="28"/>
      <c r="O35976" s="28"/>
      <c r="U35976" s="28"/>
    </row>
    <row r="35977">
      <c r="N35977" s="28"/>
      <c r="O35977" s="28"/>
      <c r="U35977" s="28"/>
    </row>
    <row r="35978">
      <c r="N35978" s="28"/>
      <c r="O35978" s="28"/>
      <c r="U35978" s="28"/>
    </row>
    <row r="35979">
      <c r="N35979" s="28"/>
      <c r="O35979" s="28"/>
      <c r="U35979" s="28"/>
    </row>
    <row r="35980">
      <c r="N35980" s="28"/>
      <c r="O35980" s="28"/>
      <c r="U35980" s="28"/>
    </row>
    <row r="35981">
      <c r="N35981" s="28"/>
      <c r="O35981" s="28"/>
      <c r="U35981" s="28"/>
    </row>
    <row r="35982">
      <c r="N35982" s="28"/>
      <c r="O35982" s="28"/>
      <c r="U35982" s="28"/>
    </row>
    <row r="35983">
      <c r="N35983" s="28"/>
      <c r="O35983" s="28"/>
      <c r="U35983" s="28"/>
    </row>
    <row r="35984">
      <c r="N35984" s="28"/>
      <c r="O35984" s="28"/>
      <c r="U35984" s="28"/>
    </row>
    <row r="35985">
      <c r="N35985" s="28"/>
      <c r="O35985" s="28"/>
      <c r="U35985" s="28"/>
    </row>
    <row r="35986">
      <c r="N35986" s="28"/>
      <c r="O35986" s="28"/>
      <c r="U35986" s="28"/>
    </row>
    <row r="35987">
      <c r="N35987" s="28"/>
      <c r="O35987" s="28"/>
      <c r="U35987" s="28"/>
    </row>
    <row r="35988">
      <c r="N35988" s="28"/>
      <c r="O35988" s="28"/>
      <c r="U35988" s="28"/>
    </row>
    <row r="35989">
      <c r="N35989" s="28"/>
      <c r="O35989" s="28"/>
      <c r="U35989" s="28"/>
    </row>
    <row r="35990">
      <c r="N35990" s="28"/>
      <c r="O35990" s="28"/>
      <c r="U35990" s="28"/>
    </row>
    <row r="35991">
      <c r="N35991" s="28"/>
      <c r="O35991" s="28"/>
      <c r="U35991" s="28"/>
    </row>
    <row r="35992">
      <c r="N35992" s="28"/>
      <c r="O35992" s="28"/>
      <c r="U35992" s="28"/>
    </row>
    <row r="35993">
      <c r="N35993" s="28"/>
      <c r="O35993" s="28"/>
      <c r="U35993" s="28"/>
    </row>
    <row r="35994">
      <c r="N35994" s="28"/>
      <c r="O35994" s="28"/>
      <c r="U35994" s="28"/>
    </row>
    <row r="35995">
      <c r="N35995" s="28"/>
      <c r="O35995" s="28"/>
      <c r="U35995" s="28"/>
    </row>
    <row r="35996">
      <c r="N35996" s="28"/>
      <c r="O35996" s="28"/>
      <c r="U35996" s="28"/>
    </row>
    <row r="35997">
      <c r="N35997" s="28"/>
      <c r="O35997" s="28"/>
      <c r="U35997" s="28"/>
    </row>
    <row r="35998">
      <c r="N35998" s="28"/>
      <c r="O35998" s="28"/>
      <c r="U35998" s="28"/>
    </row>
    <row r="35999">
      <c r="N35999" s="28"/>
      <c r="O35999" s="28"/>
      <c r="U35999" s="28"/>
    </row>
    <row r="36000">
      <c r="N36000" s="28"/>
      <c r="O36000" s="28"/>
      <c r="U36000" s="28"/>
    </row>
    <row r="36001">
      <c r="N36001" s="28"/>
      <c r="O36001" s="28"/>
      <c r="U36001" s="28"/>
    </row>
    <row r="36002">
      <c r="N36002" s="28"/>
      <c r="O36002" s="28"/>
      <c r="U36002" s="28"/>
    </row>
    <row r="36003">
      <c r="N36003" s="28"/>
      <c r="O36003" s="28"/>
      <c r="U36003" s="28"/>
    </row>
    <row r="36004">
      <c r="N36004" s="28"/>
      <c r="O36004" s="28"/>
      <c r="U36004" s="28"/>
    </row>
    <row r="36005">
      <c r="N36005" s="28"/>
      <c r="O36005" s="28"/>
      <c r="U36005" s="28"/>
    </row>
    <row r="36006">
      <c r="N36006" s="28"/>
      <c r="O36006" s="28"/>
      <c r="U36006" s="28"/>
    </row>
    <row r="36007">
      <c r="N36007" s="28"/>
      <c r="O36007" s="28"/>
      <c r="U36007" s="28"/>
    </row>
    <row r="36008">
      <c r="N36008" s="28"/>
      <c r="O36008" s="28"/>
      <c r="U36008" s="28"/>
    </row>
    <row r="36009">
      <c r="N36009" s="28"/>
      <c r="O36009" s="28"/>
      <c r="U36009" s="28"/>
    </row>
    <row r="36010">
      <c r="N36010" s="28"/>
      <c r="O36010" s="28"/>
      <c r="U36010" s="28"/>
    </row>
    <row r="36011">
      <c r="N36011" s="28"/>
      <c r="O36011" s="28"/>
      <c r="U36011" s="28"/>
    </row>
    <row r="36012">
      <c r="N36012" s="28"/>
      <c r="O36012" s="28"/>
      <c r="U36012" s="28"/>
    </row>
    <row r="36013">
      <c r="N36013" s="28"/>
      <c r="O36013" s="28"/>
      <c r="U36013" s="28"/>
    </row>
    <row r="36014">
      <c r="N36014" s="28"/>
      <c r="O36014" s="28"/>
      <c r="U36014" s="28"/>
    </row>
    <row r="36015">
      <c r="N36015" s="28"/>
      <c r="O36015" s="28"/>
      <c r="U36015" s="28"/>
    </row>
    <row r="36016">
      <c r="N36016" s="28"/>
      <c r="O36016" s="28"/>
      <c r="U36016" s="28"/>
    </row>
    <row r="36017">
      <c r="N36017" s="28"/>
      <c r="O36017" s="28"/>
      <c r="U36017" s="28"/>
    </row>
    <row r="36018">
      <c r="N36018" s="28"/>
      <c r="O36018" s="28"/>
      <c r="U36018" s="28"/>
    </row>
    <row r="36019">
      <c r="N36019" s="28"/>
      <c r="O36019" s="28"/>
      <c r="U36019" s="28"/>
    </row>
    <row r="36020">
      <c r="N36020" s="28"/>
      <c r="O36020" s="28"/>
      <c r="U36020" s="28"/>
    </row>
    <row r="36021">
      <c r="N36021" s="28"/>
      <c r="O36021" s="28"/>
      <c r="U36021" s="28"/>
    </row>
    <row r="36022">
      <c r="N36022" s="28"/>
      <c r="O36022" s="28"/>
      <c r="U36022" s="28"/>
    </row>
    <row r="36023">
      <c r="N36023" s="28"/>
      <c r="O36023" s="28"/>
      <c r="U36023" s="28"/>
    </row>
    <row r="36024">
      <c r="N36024" s="28"/>
      <c r="O36024" s="28"/>
      <c r="U36024" s="28"/>
    </row>
    <row r="36025">
      <c r="N36025" s="28"/>
      <c r="O36025" s="28"/>
      <c r="U36025" s="28"/>
    </row>
    <row r="36026">
      <c r="N36026" s="28"/>
      <c r="O36026" s="28"/>
      <c r="U36026" s="28"/>
    </row>
    <row r="36027">
      <c r="N36027" s="28"/>
      <c r="O36027" s="28"/>
      <c r="U36027" s="28"/>
    </row>
    <row r="36028">
      <c r="N36028" s="28"/>
      <c r="O36028" s="28"/>
      <c r="U36028" s="28"/>
    </row>
    <row r="36029">
      <c r="N36029" s="28"/>
      <c r="O36029" s="28"/>
      <c r="U36029" s="28"/>
    </row>
    <row r="36030">
      <c r="N36030" s="28"/>
      <c r="O36030" s="28"/>
      <c r="U36030" s="28"/>
    </row>
    <row r="36031">
      <c r="N36031" s="28"/>
      <c r="O36031" s="28"/>
      <c r="U36031" s="28"/>
    </row>
    <row r="36032">
      <c r="N36032" s="28"/>
      <c r="O36032" s="28"/>
      <c r="U36032" s="28"/>
    </row>
    <row r="36033">
      <c r="N36033" s="28"/>
      <c r="O36033" s="28"/>
      <c r="U36033" s="28"/>
    </row>
    <row r="36034">
      <c r="N36034" s="28"/>
      <c r="O36034" s="28"/>
      <c r="U36034" s="28"/>
    </row>
    <row r="36035">
      <c r="N36035" s="28"/>
      <c r="O36035" s="28"/>
      <c r="U36035" s="28"/>
    </row>
    <row r="36036">
      <c r="N36036" s="28"/>
      <c r="O36036" s="28"/>
      <c r="U36036" s="28"/>
    </row>
    <row r="36037">
      <c r="N36037" s="28"/>
      <c r="O36037" s="28"/>
      <c r="U36037" s="28"/>
    </row>
    <row r="36038">
      <c r="N36038" s="28"/>
      <c r="O36038" s="28"/>
      <c r="U36038" s="28"/>
    </row>
    <row r="36039">
      <c r="N36039" s="28"/>
      <c r="O36039" s="28"/>
      <c r="U36039" s="28"/>
    </row>
    <row r="36040">
      <c r="N36040" s="28"/>
      <c r="O36040" s="28"/>
      <c r="U36040" s="28"/>
    </row>
    <row r="36041">
      <c r="N36041" s="28"/>
      <c r="O36041" s="28"/>
      <c r="U36041" s="28"/>
    </row>
    <row r="36042">
      <c r="N36042" s="28"/>
      <c r="O36042" s="28"/>
      <c r="U36042" s="28"/>
    </row>
    <row r="36043">
      <c r="N36043" s="28"/>
      <c r="O36043" s="28"/>
      <c r="U36043" s="28"/>
    </row>
    <row r="36044">
      <c r="N36044" s="28"/>
      <c r="O36044" s="28"/>
      <c r="U36044" s="28"/>
    </row>
    <row r="36045">
      <c r="N36045" s="28"/>
      <c r="O36045" s="28"/>
      <c r="U36045" s="28"/>
    </row>
    <row r="36046">
      <c r="N36046" s="28"/>
      <c r="O36046" s="28"/>
      <c r="U36046" s="28"/>
    </row>
    <row r="36047">
      <c r="N36047" s="28"/>
      <c r="O36047" s="28"/>
      <c r="U36047" s="28"/>
    </row>
    <row r="36048">
      <c r="N36048" s="28"/>
      <c r="O36048" s="28"/>
      <c r="U36048" s="28"/>
    </row>
    <row r="36049">
      <c r="N36049" s="28"/>
      <c r="O36049" s="28"/>
      <c r="U36049" s="28"/>
    </row>
    <row r="36050">
      <c r="N36050" s="28"/>
      <c r="O36050" s="28"/>
      <c r="U36050" s="28"/>
    </row>
    <row r="36051">
      <c r="N36051" s="28"/>
      <c r="O36051" s="28"/>
      <c r="U36051" s="28"/>
    </row>
    <row r="36052">
      <c r="N36052" s="28"/>
      <c r="O36052" s="28"/>
      <c r="U36052" s="28"/>
    </row>
    <row r="36053">
      <c r="N36053" s="28"/>
      <c r="O36053" s="28"/>
      <c r="U36053" s="28"/>
    </row>
    <row r="36054">
      <c r="N36054" s="28"/>
      <c r="O36054" s="28"/>
      <c r="U36054" s="28"/>
    </row>
    <row r="36055">
      <c r="N36055" s="28"/>
      <c r="O36055" s="28"/>
      <c r="U36055" s="28"/>
    </row>
    <row r="36056">
      <c r="N36056" s="28"/>
      <c r="O36056" s="28"/>
      <c r="U36056" s="28"/>
    </row>
    <row r="36057">
      <c r="N36057" s="28"/>
      <c r="O36057" s="28"/>
      <c r="U36057" s="28"/>
    </row>
    <row r="36058">
      <c r="N36058" s="28"/>
      <c r="O36058" s="28"/>
      <c r="U36058" s="28"/>
    </row>
    <row r="36059">
      <c r="N36059" s="28"/>
      <c r="O36059" s="28"/>
      <c r="U36059" s="28"/>
    </row>
    <row r="36060">
      <c r="N36060" s="28"/>
      <c r="O36060" s="28"/>
      <c r="U36060" s="28"/>
    </row>
    <row r="36061">
      <c r="N36061" s="28"/>
      <c r="O36061" s="28"/>
      <c r="U36061" s="28"/>
    </row>
    <row r="36062">
      <c r="N36062" s="28"/>
      <c r="O36062" s="28"/>
      <c r="U36062" s="28"/>
    </row>
    <row r="36063">
      <c r="N36063" s="28"/>
      <c r="O36063" s="28"/>
      <c r="U36063" s="28"/>
    </row>
    <row r="36064">
      <c r="N36064" s="28"/>
      <c r="O36064" s="28"/>
      <c r="U36064" s="28"/>
    </row>
    <row r="36065">
      <c r="N36065" s="28"/>
      <c r="O36065" s="28"/>
      <c r="U36065" s="28"/>
    </row>
    <row r="36066">
      <c r="N36066" s="28"/>
      <c r="O36066" s="28"/>
      <c r="U36066" s="28"/>
    </row>
    <row r="36067">
      <c r="N36067" s="28"/>
      <c r="O36067" s="28"/>
      <c r="U36067" s="28"/>
    </row>
    <row r="36068">
      <c r="N36068" s="28"/>
      <c r="O36068" s="28"/>
      <c r="U36068" s="28"/>
    </row>
    <row r="36069">
      <c r="N36069" s="28"/>
      <c r="O36069" s="28"/>
      <c r="U36069" s="28"/>
    </row>
    <row r="36070">
      <c r="N36070" s="28"/>
      <c r="O36070" s="28"/>
      <c r="U36070" s="28"/>
    </row>
    <row r="36071">
      <c r="N36071" s="28"/>
      <c r="O36071" s="28"/>
      <c r="U36071" s="28"/>
    </row>
    <row r="36072">
      <c r="N36072" s="28"/>
      <c r="O36072" s="28"/>
      <c r="U36072" s="28"/>
    </row>
    <row r="36073">
      <c r="N36073" s="28"/>
      <c r="O36073" s="28"/>
      <c r="U36073" s="28"/>
    </row>
    <row r="36074">
      <c r="N36074" s="28"/>
      <c r="O36074" s="28"/>
      <c r="U36074" s="28"/>
    </row>
    <row r="36075">
      <c r="N36075" s="28"/>
      <c r="O36075" s="28"/>
      <c r="U36075" s="28"/>
    </row>
    <row r="36076">
      <c r="N36076" s="28"/>
      <c r="O36076" s="28"/>
      <c r="U36076" s="28"/>
    </row>
    <row r="36077">
      <c r="N36077" s="28"/>
      <c r="O36077" s="28"/>
      <c r="U36077" s="28"/>
    </row>
    <row r="36078">
      <c r="N36078" s="28"/>
      <c r="O36078" s="28"/>
      <c r="U36078" s="28"/>
    </row>
    <row r="36079">
      <c r="N36079" s="28"/>
      <c r="O36079" s="28"/>
      <c r="U36079" s="28"/>
    </row>
    <row r="36080">
      <c r="N36080" s="28"/>
      <c r="O36080" s="28"/>
      <c r="U36080" s="28"/>
    </row>
    <row r="36081">
      <c r="N36081" s="28"/>
      <c r="O36081" s="28"/>
      <c r="U36081" s="28"/>
    </row>
    <row r="36082">
      <c r="N36082" s="28"/>
      <c r="O36082" s="28"/>
      <c r="U36082" s="28"/>
    </row>
    <row r="36083">
      <c r="N36083" s="28"/>
      <c r="O36083" s="28"/>
      <c r="U36083" s="28"/>
    </row>
    <row r="36084">
      <c r="N36084" s="28"/>
      <c r="O36084" s="28"/>
      <c r="U36084" s="28"/>
    </row>
    <row r="36085">
      <c r="N36085" s="28"/>
      <c r="O36085" s="28"/>
      <c r="U36085" s="28"/>
    </row>
    <row r="36086">
      <c r="N36086" s="28"/>
      <c r="O36086" s="28"/>
      <c r="U36086" s="28"/>
    </row>
    <row r="36087">
      <c r="N36087" s="28"/>
      <c r="O36087" s="28"/>
      <c r="U36087" s="28"/>
    </row>
    <row r="36088">
      <c r="N36088" s="28"/>
      <c r="O36088" s="28"/>
      <c r="U36088" s="28"/>
    </row>
    <row r="36089">
      <c r="N36089" s="28"/>
      <c r="O36089" s="28"/>
      <c r="U36089" s="28"/>
    </row>
    <row r="36090">
      <c r="N36090" s="28"/>
      <c r="O36090" s="28"/>
      <c r="U36090" s="28"/>
    </row>
    <row r="36091">
      <c r="N36091" s="28"/>
      <c r="O36091" s="28"/>
      <c r="U36091" s="28"/>
    </row>
    <row r="36092">
      <c r="N36092" s="28"/>
      <c r="O36092" s="28"/>
      <c r="U36092" s="28"/>
    </row>
    <row r="36093">
      <c r="N36093" s="28"/>
      <c r="O36093" s="28"/>
      <c r="U36093" s="28"/>
    </row>
    <row r="36094">
      <c r="N36094" s="28"/>
      <c r="O36094" s="28"/>
      <c r="U36094" s="28"/>
    </row>
    <row r="36095">
      <c r="N36095" s="28"/>
      <c r="O36095" s="28"/>
      <c r="U36095" s="28"/>
    </row>
    <row r="36096">
      <c r="N36096" s="28"/>
      <c r="O36096" s="28"/>
      <c r="U36096" s="28"/>
    </row>
    <row r="36097">
      <c r="N36097" s="28"/>
      <c r="O36097" s="28"/>
      <c r="U36097" s="28"/>
    </row>
    <row r="36098">
      <c r="N36098" s="28"/>
      <c r="O36098" s="28"/>
      <c r="U36098" s="28"/>
    </row>
    <row r="36099">
      <c r="N36099" s="28"/>
      <c r="O36099" s="28"/>
      <c r="U36099" s="28"/>
    </row>
    <row r="36100">
      <c r="N36100" s="28"/>
      <c r="O36100" s="28"/>
      <c r="U36100" s="28"/>
    </row>
    <row r="36101">
      <c r="N36101" s="28"/>
      <c r="O36101" s="28"/>
      <c r="U36101" s="28"/>
    </row>
    <row r="36102">
      <c r="N36102" s="28"/>
      <c r="O36102" s="28"/>
      <c r="U36102" s="28"/>
    </row>
    <row r="36103">
      <c r="N36103" s="28"/>
      <c r="O36103" s="28"/>
      <c r="U36103" s="28"/>
    </row>
    <row r="36104">
      <c r="N36104" s="28"/>
      <c r="O36104" s="28"/>
      <c r="U36104" s="28"/>
    </row>
    <row r="36105">
      <c r="N36105" s="28"/>
      <c r="O36105" s="28"/>
      <c r="U36105" s="28"/>
    </row>
    <row r="36106">
      <c r="N36106" s="28"/>
      <c r="O36106" s="28"/>
      <c r="U36106" s="28"/>
    </row>
    <row r="36107">
      <c r="N36107" s="28"/>
      <c r="O36107" s="28"/>
      <c r="U36107" s="28"/>
    </row>
    <row r="36108">
      <c r="N36108" s="28"/>
      <c r="O36108" s="28"/>
      <c r="U36108" s="28"/>
    </row>
    <row r="36109">
      <c r="N36109" s="28"/>
      <c r="O36109" s="28"/>
      <c r="U36109" s="28"/>
    </row>
    <row r="36110">
      <c r="N36110" s="28"/>
      <c r="O36110" s="28"/>
      <c r="U36110" s="28"/>
    </row>
    <row r="36111">
      <c r="N36111" s="28"/>
      <c r="O36111" s="28"/>
      <c r="U36111" s="28"/>
    </row>
    <row r="36112">
      <c r="N36112" s="28"/>
      <c r="O36112" s="28"/>
      <c r="U36112" s="28"/>
    </row>
    <row r="36113">
      <c r="N36113" s="28"/>
      <c r="O36113" s="28"/>
      <c r="U36113" s="28"/>
    </row>
    <row r="36114">
      <c r="N36114" s="28"/>
      <c r="O36114" s="28"/>
      <c r="U36114" s="28"/>
    </row>
    <row r="36115">
      <c r="N36115" s="28"/>
      <c r="O36115" s="28"/>
      <c r="U36115" s="28"/>
    </row>
    <row r="36116">
      <c r="N36116" s="28"/>
      <c r="O36116" s="28"/>
      <c r="U36116" s="28"/>
    </row>
    <row r="36117">
      <c r="N36117" s="28"/>
      <c r="O36117" s="28"/>
      <c r="U36117" s="28"/>
    </row>
    <row r="36118">
      <c r="N36118" s="28"/>
      <c r="O36118" s="28"/>
      <c r="U36118" s="28"/>
    </row>
    <row r="36119">
      <c r="N36119" s="28"/>
      <c r="O36119" s="28"/>
      <c r="U36119" s="28"/>
    </row>
    <row r="36120">
      <c r="N36120" s="28"/>
      <c r="O36120" s="28"/>
      <c r="U36120" s="28"/>
    </row>
    <row r="36121">
      <c r="N36121" s="28"/>
      <c r="O36121" s="28"/>
      <c r="U36121" s="28"/>
    </row>
    <row r="36122">
      <c r="N36122" s="28"/>
      <c r="O36122" s="28"/>
      <c r="U36122" s="28"/>
    </row>
    <row r="36123">
      <c r="N36123" s="28"/>
      <c r="O36123" s="28"/>
      <c r="U36123" s="28"/>
    </row>
    <row r="36124">
      <c r="N36124" s="28"/>
      <c r="O36124" s="28"/>
      <c r="U36124" s="28"/>
    </row>
    <row r="36125">
      <c r="N36125" s="28"/>
      <c r="O36125" s="28"/>
      <c r="U36125" s="28"/>
    </row>
    <row r="36126">
      <c r="N36126" s="28"/>
      <c r="O36126" s="28"/>
      <c r="U36126" s="28"/>
    </row>
    <row r="36127">
      <c r="N36127" s="28"/>
      <c r="O36127" s="28"/>
      <c r="U36127" s="28"/>
    </row>
    <row r="36128">
      <c r="N36128" s="28"/>
      <c r="O36128" s="28"/>
      <c r="U36128" s="28"/>
    </row>
    <row r="36129">
      <c r="N36129" s="28"/>
      <c r="O36129" s="28"/>
      <c r="U36129" s="28"/>
    </row>
    <row r="36130">
      <c r="N36130" s="28"/>
      <c r="O36130" s="28"/>
      <c r="U36130" s="28"/>
    </row>
    <row r="36131">
      <c r="N36131" s="28"/>
      <c r="O36131" s="28"/>
      <c r="U36131" s="28"/>
    </row>
    <row r="36132">
      <c r="N36132" s="28"/>
      <c r="O36132" s="28"/>
      <c r="U36132" s="28"/>
    </row>
    <row r="36133">
      <c r="N36133" s="28"/>
      <c r="O36133" s="28"/>
      <c r="U36133" s="28"/>
    </row>
    <row r="36134">
      <c r="N36134" s="28"/>
      <c r="O36134" s="28"/>
      <c r="U36134" s="28"/>
    </row>
    <row r="36135">
      <c r="N36135" s="28"/>
      <c r="O36135" s="28"/>
      <c r="U36135" s="28"/>
    </row>
    <row r="36136">
      <c r="N36136" s="28"/>
      <c r="O36136" s="28"/>
      <c r="U36136" s="28"/>
    </row>
    <row r="36137">
      <c r="N36137" s="28"/>
      <c r="O36137" s="28"/>
      <c r="U36137" s="28"/>
    </row>
    <row r="36138">
      <c r="N36138" s="28"/>
      <c r="O36138" s="28"/>
      <c r="U36138" s="28"/>
    </row>
    <row r="36139">
      <c r="N36139" s="28"/>
      <c r="O36139" s="28"/>
      <c r="U36139" s="28"/>
    </row>
    <row r="36140">
      <c r="N36140" s="28"/>
      <c r="O36140" s="28"/>
      <c r="U36140" s="28"/>
    </row>
    <row r="36141">
      <c r="N36141" s="28"/>
      <c r="O36141" s="28"/>
      <c r="U36141" s="28"/>
    </row>
    <row r="36142">
      <c r="N36142" s="28"/>
      <c r="O36142" s="28"/>
      <c r="U36142" s="28"/>
    </row>
    <row r="36143">
      <c r="N36143" s="28"/>
      <c r="O36143" s="28"/>
      <c r="U36143" s="28"/>
    </row>
    <row r="36144">
      <c r="N36144" s="28"/>
      <c r="O36144" s="28"/>
      <c r="U36144" s="28"/>
    </row>
    <row r="36145">
      <c r="N36145" s="28"/>
      <c r="O36145" s="28"/>
      <c r="U36145" s="28"/>
    </row>
    <row r="36146">
      <c r="N36146" s="28"/>
      <c r="O36146" s="28"/>
      <c r="U36146" s="28"/>
    </row>
    <row r="36147">
      <c r="N36147" s="28"/>
      <c r="O36147" s="28"/>
      <c r="U36147" s="28"/>
    </row>
    <row r="36148">
      <c r="N36148" s="28"/>
      <c r="O36148" s="28"/>
      <c r="U36148" s="28"/>
    </row>
    <row r="36149">
      <c r="N36149" s="28"/>
      <c r="O36149" s="28"/>
      <c r="U36149" s="28"/>
    </row>
    <row r="36150">
      <c r="N36150" s="28"/>
      <c r="O36150" s="28"/>
      <c r="U36150" s="28"/>
    </row>
    <row r="36151">
      <c r="N36151" s="28"/>
      <c r="O36151" s="28"/>
      <c r="U36151" s="28"/>
    </row>
    <row r="36152">
      <c r="N36152" s="28"/>
      <c r="O36152" s="28"/>
      <c r="U36152" s="28"/>
    </row>
    <row r="36153">
      <c r="N36153" s="28"/>
      <c r="O36153" s="28"/>
      <c r="U36153" s="28"/>
    </row>
    <row r="36154">
      <c r="N36154" s="28"/>
      <c r="O36154" s="28"/>
      <c r="U36154" s="28"/>
    </row>
    <row r="36155">
      <c r="N36155" s="28"/>
      <c r="O36155" s="28"/>
      <c r="U36155" s="28"/>
    </row>
    <row r="36156">
      <c r="N36156" s="28"/>
      <c r="O36156" s="28"/>
      <c r="U36156" s="28"/>
    </row>
    <row r="36157">
      <c r="N36157" s="28"/>
      <c r="O36157" s="28"/>
      <c r="U36157" s="28"/>
    </row>
    <row r="36158">
      <c r="N36158" s="28"/>
      <c r="O36158" s="28"/>
      <c r="U36158" s="28"/>
    </row>
    <row r="36159">
      <c r="N36159" s="28"/>
      <c r="O36159" s="28"/>
      <c r="U36159" s="28"/>
    </row>
    <row r="36160">
      <c r="N36160" s="28"/>
      <c r="O36160" s="28"/>
      <c r="U36160" s="28"/>
    </row>
    <row r="36161">
      <c r="N36161" s="28"/>
      <c r="O36161" s="28"/>
      <c r="U36161" s="28"/>
    </row>
    <row r="36162">
      <c r="N36162" s="28"/>
      <c r="O36162" s="28"/>
      <c r="U36162" s="28"/>
    </row>
    <row r="36163">
      <c r="N36163" s="28"/>
      <c r="O36163" s="28"/>
      <c r="U36163" s="28"/>
    </row>
    <row r="36164">
      <c r="N36164" s="28"/>
      <c r="O36164" s="28"/>
      <c r="U36164" s="28"/>
    </row>
    <row r="36165">
      <c r="N36165" s="28"/>
      <c r="O36165" s="28"/>
      <c r="U36165" s="28"/>
    </row>
    <row r="36166">
      <c r="N36166" s="28"/>
      <c r="O36166" s="28"/>
      <c r="U36166" s="28"/>
    </row>
    <row r="36167">
      <c r="N36167" s="28"/>
      <c r="O36167" s="28"/>
      <c r="U36167" s="28"/>
    </row>
    <row r="36168">
      <c r="N36168" s="28"/>
      <c r="O36168" s="28"/>
      <c r="U36168" s="28"/>
    </row>
    <row r="36169">
      <c r="N36169" s="28"/>
      <c r="O36169" s="28"/>
      <c r="U36169" s="28"/>
    </row>
    <row r="36170">
      <c r="N36170" s="28"/>
      <c r="O36170" s="28"/>
      <c r="U36170" s="28"/>
    </row>
    <row r="36171">
      <c r="N36171" s="28"/>
      <c r="O36171" s="28"/>
      <c r="U36171" s="28"/>
    </row>
    <row r="36172">
      <c r="N36172" s="28"/>
      <c r="O36172" s="28"/>
      <c r="U36172" s="28"/>
    </row>
    <row r="36173">
      <c r="N36173" s="28"/>
      <c r="O36173" s="28"/>
      <c r="U36173" s="28"/>
    </row>
    <row r="36174">
      <c r="N36174" s="28"/>
      <c r="O36174" s="28"/>
      <c r="U36174" s="28"/>
    </row>
    <row r="36175">
      <c r="N36175" s="28"/>
      <c r="O36175" s="28"/>
      <c r="U36175" s="28"/>
    </row>
    <row r="36176">
      <c r="N36176" s="28"/>
      <c r="O36176" s="28"/>
      <c r="U36176" s="28"/>
    </row>
    <row r="36177">
      <c r="N36177" s="28"/>
      <c r="O36177" s="28"/>
      <c r="U36177" s="28"/>
    </row>
    <row r="36178">
      <c r="N36178" s="28"/>
      <c r="O36178" s="28"/>
      <c r="U36178" s="28"/>
    </row>
    <row r="36179">
      <c r="N36179" s="28"/>
      <c r="O36179" s="28"/>
      <c r="U36179" s="28"/>
    </row>
    <row r="36180">
      <c r="N36180" s="28"/>
      <c r="O36180" s="28"/>
      <c r="U36180" s="28"/>
    </row>
    <row r="36181">
      <c r="N36181" s="28"/>
      <c r="O36181" s="28"/>
      <c r="U36181" s="28"/>
    </row>
    <row r="36182">
      <c r="N36182" s="28"/>
      <c r="O36182" s="28"/>
      <c r="U36182" s="28"/>
    </row>
    <row r="36183">
      <c r="N36183" s="28"/>
      <c r="O36183" s="28"/>
      <c r="U36183" s="28"/>
    </row>
    <row r="36184">
      <c r="N36184" s="28"/>
      <c r="O36184" s="28"/>
      <c r="U36184" s="28"/>
    </row>
    <row r="36185">
      <c r="N36185" s="28"/>
      <c r="O36185" s="28"/>
      <c r="U36185" s="28"/>
    </row>
    <row r="36186">
      <c r="N36186" s="28"/>
      <c r="O36186" s="28"/>
      <c r="U36186" s="28"/>
    </row>
    <row r="36187">
      <c r="N36187" s="28"/>
      <c r="O36187" s="28"/>
      <c r="U36187" s="28"/>
    </row>
    <row r="36188">
      <c r="N36188" s="28"/>
      <c r="O36188" s="28"/>
      <c r="U36188" s="28"/>
    </row>
    <row r="36189">
      <c r="N36189" s="28"/>
      <c r="O36189" s="28"/>
      <c r="U36189" s="28"/>
    </row>
    <row r="36190">
      <c r="N36190" s="28"/>
      <c r="O36190" s="28"/>
      <c r="U36190" s="28"/>
    </row>
    <row r="36191">
      <c r="N36191" s="28"/>
      <c r="O36191" s="28"/>
      <c r="U36191" s="28"/>
    </row>
    <row r="36192">
      <c r="N36192" s="28"/>
      <c r="O36192" s="28"/>
      <c r="U36192" s="28"/>
    </row>
    <row r="36193">
      <c r="N36193" s="28"/>
      <c r="O36193" s="28"/>
      <c r="U36193" s="28"/>
    </row>
    <row r="36194">
      <c r="N36194" s="28"/>
      <c r="O36194" s="28"/>
      <c r="U36194" s="28"/>
    </row>
    <row r="36195">
      <c r="N36195" s="28"/>
      <c r="O36195" s="28"/>
      <c r="U36195" s="28"/>
    </row>
    <row r="36196">
      <c r="N36196" s="28"/>
      <c r="O36196" s="28"/>
      <c r="U36196" s="28"/>
    </row>
    <row r="36197">
      <c r="N36197" s="28"/>
      <c r="O36197" s="28"/>
      <c r="U36197" s="28"/>
    </row>
    <row r="36198">
      <c r="N36198" s="28"/>
      <c r="O36198" s="28"/>
      <c r="U36198" s="28"/>
    </row>
    <row r="36199">
      <c r="N36199" s="28"/>
      <c r="O36199" s="28"/>
      <c r="U36199" s="28"/>
    </row>
    <row r="36200">
      <c r="N36200" s="28"/>
      <c r="O36200" s="28"/>
      <c r="U36200" s="28"/>
    </row>
    <row r="36201">
      <c r="N36201" s="28"/>
      <c r="O36201" s="28"/>
      <c r="U36201" s="28"/>
    </row>
    <row r="36202">
      <c r="N36202" s="28"/>
      <c r="O36202" s="28"/>
      <c r="U36202" s="28"/>
    </row>
    <row r="36203">
      <c r="N36203" s="28"/>
      <c r="O36203" s="28"/>
      <c r="U36203" s="28"/>
    </row>
    <row r="36204">
      <c r="N36204" s="28"/>
      <c r="O36204" s="28"/>
      <c r="U36204" s="28"/>
    </row>
    <row r="36205">
      <c r="N36205" s="28"/>
      <c r="O36205" s="28"/>
      <c r="U36205" s="28"/>
    </row>
    <row r="36206">
      <c r="N36206" s="28"/>
      <c r="O36206" s="28"/>
      <c r="U36206" s="28"/>
    </row>
    <row r="36207">
      <c r="N36207" s="28"/>
      <c r="O36207" s="28"/>
      <c r="U36207" s="28"/>
    </row>
    <row r="36208">
      <c r="N36208" s="28"/>
      <c r="O36208" s="28"/>
      <c r="U36208" s="28"/>
    </row>
    <row r="36209">
      <c r="N36209" s="28"/>
      <c r="O36209" s="28"/>
      <c r="U36209" s="28"/>
    </row>
    <row r="36210">
      <c r="N36210" s="28"/>
      <c r="O36210" s="28"/>
      <c r="U36210" s="28"/>
    </row>
    <row r="36211">
      <c r="N36211" s="28"/>
      <c r="O36211" s="28"/>
      <c r="U36211" s="28"/>
    </row>
    <row r="36212">
      <c r="N36212" s="28"/>
      <c r="O36212" s="28"/>
      <c r="U36212" s="28"/>
    </row>
    <row r="36213">
      <c r="N36213" s="28"/>
      <c r="O36213" s="28"/>
      <c r="U36213" s="28"/>
    </row>
    <row r="36214">
      <c r="N36214" s="28"/>
      <c r="O36214" s="28"/>
      <c r="U36214" s="28"/>
    </row>
    <row r="36215">
      <c r="N36215" s="28"/>
      <c r="O36215" s="28"/>
      <c r="U36215" s="28"/>
    </row>
    <row r="36216">
      <c r="N36216" s="28"/>
      <c r="O36216" s="28"/>
      <c r="U36216" s="28"/>
    </row>
    <row r="36217">
      <c r="N36217" s="28"/>
      <c r="O36217" s="28"/>
      <c r="U36217" s="28"/>
    </row>
    <row r="36218">
      <c r="N36218" s="28"/>
      <c r="O36218" s="28"/>
      <c r="U36218" s="28"/>
    </row>
    <row r="36219">
      <c r="N36219" s="28"/>
      <c r="O36219" s="28"/>
      <c r="U36219" s="28"/>
    </row>
    <row r="36220">
      <c r="N36220" s="28"/>
      <c r="O36220" s="28"/>
      <c r="U36220" s="28"/>
    </row>
    <row r="36221">
      <c r="N36221" s="28"/>
      <c r="O36221" s="28"/>
      <c r="U36221" s="28"/>
    </row>
    <row r="36222">
      <c r="N36222" s="28"/>
      <c r="O36222" s="28"/>
      <c r="U36222" s="28"/>
    </row>
    <row r="36223">
      <c r="N36223" s="28"/>
      <c r="O36223" s="28"/>
      <c r="U36223" s="28"/>
    </row>
    <row r="36224">
      <c r="N36224" s="28"/>
      <c r="O36224" s="28"/>
      <c r="U36224" s="28"/>
    </row>
    <row r="36225">
      <c r="N36225" s="28"/>
      <c r="O36225" s="28"/>
      <c r="U36225" s="28"/>
    </row>
    <row r="36226">
      <c r="N36226" s="28"/>
      <c r="O36226" s="28"/>
      <c r="U36226" s="28"/>
    </row>
    <row r="36227">
      <c r="N36227" s="28"/>
      <c r="O36227" s="28"/>
      <c r="U36227" s="28"/>
    </row>
    <row r="36228">
      <c r="N36228" s="28"/>
      <c r="O36228" s="28"/>
      <c r="U36228" s="28"/>
    </row>
    <row r="36229">
      <c r="N36229" s="28"/>
      <c r="O36229" s="28"/>
      <c r="U36229" s="28"/>
    </row>
    <row r="36230">
      <c r="N36230" s="28"/>
      <c r="O36230" s="28"/>
      <c r="U36230" s="28"/>
    </row>
    <row r="36231">
      <c r="N36231" s="28"/>
      <c r="O36231" s="28"/>
      <c r="U36231" s="28"/>
    </row>
    <row r="36232">
      <c r="N36232" s="28"/>
      <c r="O36232" s="28"/>
      <c r="U36232" s="28"/>
    </row>
    <row r="36233">
      <c r="N36233" s="28"/>
      <c r="O36233" s="28"/>
      <c r="U36233" s="28"/>
    </row>
    <row r="36234">
      <c r="N36234" s="28"/>
      <c r="O36234" s="28"/>
      <c r="U36234" s="28"/>
    </row>
    <row r="36235">
      <c r="N36235" s="28"/>
      <c r="O36235" s="28"/>
      <c r="U36235" s="28"/>
    </row>
    <row r="36236">
      <c r="N36236" s="28"/>
      <c r="O36236" s="28"/>
      <c r="U36236" s="28"/>
    </row>
    <row r="36237">
      <c r="N36237" s="28"/>
      <c r="O36237" s="28"/>
      <c r="U36237" s="28"/>
    </row>
    <row r="36238">
      <c r="N36238" s="28"/>
      <c r="O36238" s="28"/>
      <c r="U36238" s="28"/>
    </row>
    <row r="36239">
      <c r="N36239" s="28"/>
      <c r="O36239" s="28"/>
      <c r="U36239" s="28"/>
    </row>
    <row r="36240">
      <c r="N36240" s="28"/>
      <c r="O36240" s="28"/>
      <c r="U36240" s="28"/>
    </row>
    <row r="36241">
      <c r="N36241" s="28"/>
      <c r="O36241" s="28"/>
      <c r="U36241" s="28"/>
    </row>
    <row r="36242">
      <c r="N36242" s="28"/>
      <c r="O36242" s="28"/>
      <c r="U36242" s="28"/>
    </row>
    <row r="36243">
      <c r="N36243" s="28"/>
      <c r="O36243" s="28"/>
      <c r="U36243" s="28"/>
    </row>
    <row r="36244">
      <c r="N36244" s="28"/>
      <c r="O36244" s="28"/>
      <c r="U36244" s="28"/>
    </row>
    <row r="36245">
      <c r="N36245" s="28"/>
      <c r="O36245" s="28"/>
      <c r="U36245" s="28"/>
    </row>
    <row r="36246">
      <c r="N36246" s="28"/>
      <c r="O36246" s="28"/>
      <c r="U36246" s="28"/>
    </row>
    <row r="36247">
      <c r="N36247" s="28"/>
      <c r="O36247" s="28"/>
      <c r="U36247" s="28"/>
    </row>
    <row r="36248">
      <c r="N36248" s="28"/>
      <c r="O36248" s="28"/>
      <c r="U36248" s="28"/>
    </row>
    <row r="36249">
      <c r="N36249" s="28"/>
      <c r="O36249" s="28"/>
      <c r="U36249" s="28"/>
    </row>
    <row r="36250">
      <c r="N36250" s="28"/>
      <c r="O36250" s="28"/>
      <c r="U36250" s="28"/>
    </row>
    <row r="36251">
      <c r="N36251" s="28"/>
      <c r="O36251" s="28"/>
      <c r="U36251" s="28"/>
    </row>
    <row r="36252">
      <c r="N36252" s="28"/>
      <c r="O36252" s="28"/>
      <c r="U36252" s="28"/>
    </row>
    <row r="36253">
      <c r="N36253" s="28"/>
      <c r="O36253" s="28"/>
      <c r="U36253" s="28"/>
    </row>
    <row r="36254">
      <c r="N36254" s="28"/>
      <c r="O36254" s="28"/>
      <c r="U36254" s="28"/>
    </row>
    <row r="36255">
      <c r="N36255" s="28"/>
      <c r="O36255" s="28"/>
      <c r="U36255" s="28"/>
    </row>
    <row r="36256">
      <c r="N36256" s="28"/>
      <c r="O36256" s="28"/>
      <c r="U36256" s="28"/>
    </row>
    <row r="36257">
      <c r="N36257" s="28"/>
      <c r="O36257" s="28"/>
      <c r="U36257" s="28"/>
    </row>
    <row r="36258">
      <c r="N36258" s="28"/>
      <c r="O36258" s="28"/>
      <c r="U36258" s="28"/>
    </row>
    <row r="36259">
      <c r="N36259" s="28"/>
      <c r="O36259" s="28"/>
      <c r="U36259" s="28"/>
    </row>
    <row r="36260">
      <c r="N36260" s="28"/>
      <c r="O36260" s="28"/>
      <c r="U36260" s="28"/>
    </row>
    <row r="36261">
      <c r="N36261" s="28"/>
      <c r="O36261" s="28"/>
      <c r="U36261" s="28"/>
    </row>
    <row r="36262">
      <c r="N36262" s="28"/>
      <c r="O36262" s="28"/>
      <c r="U36262" s="28"/>
    </row>
    <row r="36263">
      <c r="N36263" s="28"/>
      <c r="O36263" s="28"/>
      <c r="U36263" s="28"/>
    </row>
    <row r="36264">
      <c r="N36264" s="28"/>
      <c r="O36264" s="28"/>
      <c r="U36264" s="28"/>
    </row>
    <row r="36265">
      <c r="N36265" s="28"/>
      <c r="O36265" s="28"/>
      <c r="U36265" s="28"/>
    </row>
    <row r="36266">
      <c r="N36266" s="28"/>
      <c r="O36266" s="28"/>
      <c r="U36266" s="28"/>
    </row>
    <row r="36267">
      <c r="N36267" s="28"/>
      <c r="O36267" s="28"/>
      <c r="U36267" s="28"/>
    </row>
    <row r="36268">
      <c r="N36268" s="28"/>
      <c r="O36268" s="28"/>
      <c r="U36268" s="28"/>
    </row>
    <row r="36269">
      <c r="N36269" s="28"/>
      <c r="O36269" s="28"/>
      <c r="U36269" s="28"/>
    </row>
    <row r="36270">
      <c r="N36270" s="28"/>
      <c r="O36270" s="28"/>
      <c r="U36270" s="28"/>
    </row>
    <row r="36271">
      <c r="N36271" s="28"/>
      <c r="O36271" s="28"/>
      <c r="U36271" s="28"/>
    </row>
    <row r="36272">
      <c r="N36272" s="28"/>
      <c r="O36272" s="28"/>
      <c r="U36272" s="28"/>
    </row>
    <row r="36273">
      <c r="N36273" s="28"/>
      <c r="O36273" s="28"/>
      <c r="U36273" s="28"/>
    </row>
    <row r="36274">
      <c r="N36274" s="28"/>
      <c r="O36274" s="28"/>
      <c r="U36274" s="28"/>
    </row>
    <row r="36275">
      <c r="N36275" s="28"/>
      <c r="O36275" s="28"/>
      <c r="U36275" s="28"/>
    </row>
    <row r="36276">
      <c r="N36276" s="28"/>
      <c r="O36276" s="28"/>
      <c r="U36276" s="28"/>
    </row>
    <row r="36277">
      <c r="N36277" s="28"/>
      <c r="O36277" s="28"/>
      <c r="U36277" s="28"/>
    </row>
    <row r="36278">
      <c r="N36278" s="28"/>
      <c r="O36278" s="28"/>
      <c r="U36278" s="28"/>
    </row>
    <row r="36279">
      <c r="N36279" s="28"/>
      <c r="O36279" s="28"/>
      <c r="U36279" s="28"/>
    </row>
    <row r="36280">
      <c r="N36280" s="28"/>
      <c r="O36280" s="28"/>
      <c r="U36280" s="28"/>
    </row>
    <row r="36281">
      <c r="N36281" s="28"/>
      <c r="O36281" s="28"/>
      <c r="U36281" s="28"/>
    </row>
    <row r="36282">
      <c r="N36282" s="28"/>
      <c r="O36282" s="28"/>
      <c r="U36282" s="28"/>
    </row>
    <row r="36283">
      <c r="N36283" s="28"/>
      <c r="O36283" s="28"/>
      <c r="U36283" s="28"/>
    </row>
    <row r="36284">
      <c r="N36284" s="28"/>
      <c r="O36284" s="28"/>
      <c r="U36284" s="28"/>
    </row>
    <row r="36285">
      <c r="N36285" s="28"/>
      <c r="O36285" s="28"/>
      <c r="U36285" s="28"/>
    </row>
    <row r="36286">
      <c r="N36286" s="28"/>
      <c r="O36286" s="28"/>
      <c r="U36286" s="28"/>
    </row>
    <row r="36287">
      <c r="N36287" s="28"/>
      <c r="O36287" s="28"/>
      <c r="U36287" s="28"/>
    </row>
    <row r="36288">
      <c r="N36288" s="28"/>
      <c r="O36288" s="28"/>
      <c r="U36288" s="28"/>
    </row>
    <row r="36289">
      <c r="N36289" s="28"/>
      <c r="O36289" s="28"/>
      <c r="U36289" s="28"/>
    </row>
    <row r="36290">
      <c r="N36290" s="28"/>
      <c r="O36290" s="28"/>
      <c r="U36290" s="28"/>
    </row>
    <row r="36291">
      <c r="N36291" s="28"/>
      <c r="O36291" s="28"/>
      <c r="U36291" s="28"/>
    </row>
    <row r="36292">
      <c r="N36292" s="28"/>
      <c r="O36292" s="28"/>
      <c r="U36292" s="28"/>
    </row>
    <row r="36293">
      <c r="N36293" s="28"/>
      <c r="O36293" s="28"/>
      <c r="U36293" s="28"/>
    </row>
    <row r="36294">
      <c r="N36294" s="28"/>
      <c r="O36294" s="28"/>
      <c r="U36294" s="28"/>
    </row>
    <row r="36295">
      <c r="N36295" s="28"/>
      <c r="O36295" s="28"/>
      <c r="U36295" s="28"/>
    </row>
    <row r="36296">
      <c r="N36296" s="28"/>
      <c r="O36296" s="28"/>
      <c r="U36296" s="28"/>
    </row>
    <row r="36297">
      <c r="N36297" s="28"/>
      <c r="O36297" s="28"/>
      <c r="U36297" s="28"/>
    </row>
    <row r="36298">
      <c r="N36298" s="28"/>
      <c r="O36298" s="28"/>
      <c r="U36298" s="28"/>
    </row>
    <row r="36299">
      <c r="N36299" s="28"/>
      <c r="O36299" s="28"/>
      <c r="U36299" s="28"/>
    </row>
    <row r="36300">
      <c r="N36300" s="28"/>
      <c r="O36300" s="28"/>
      <c r="U36300" s="28"/>
    </row>
    <row r="36301">
      <c r="N36301" s="28"/>
      <c r="O36301" s="28"/>
      <c r="U36301" s="28"/>
    </row>
    <row r="36302">
      <c r="N36302" s="28"/>
      <c r="O36302" s="28"/>
      <c r="U36302" s="28"/>
    </row>
    <row r="36303">
      <c r="N36303" s="28"/>
      <c r="O36303" s="28"/>
      <c r="U36303" s="28"/>
    </row>
    <row r="36304">
      <c r="N36304" s="28"/>
      <c r="O36304" s="28"/>
      <c r="U36304" s="28"/>
    </row>
    <row r="36305">
      <c r="N36305" s="28"/>
      <c r="O36305" s="28"/>
      <c r="U36305" s="28"/>
    </row>
    <row r="36306">
      <c r="N36306" s="28"/>
      <c r="O36306" s="28"/>
      <c r="U36306" s="28"/>
    </row>
    <row r="36307">
      <c r="N36307" s="28"/>
      <c r="O36307" s="28"/>
      <c r="U36307" s="28"/>
    </row>
    <row r="36308">
      <c r="N36308" s="28"/>
      <c r="O36308" s="28"/>
      <c r="U36308" s="28"/>
    </row>
    <row r="36309">
      <c r="N36309" s="28"/>
      <c r="O36309" s="28"/>
      <c r="U36309" s="28"/>
    </row>
    <row r="36310">
      <c r="N36310" s="28"/>
      <c r="O36310" s="28"/>
      <c r="U36310" s="28"/>
    </row>
    <row r="36311">
      <c r="N36311" s="28"/>
      <c r="O36311" s="28"/>
      <c r="U36311" s="28"/>
    </row>
    <row r="36312">
      <c r="N36312" s="28"/>
      <c r="O36312" s="28"/>
      <c r="U36312" s="28"/>
    </row>
    <row r="36313">
      <c r="N36313" s="28"/>
      <c r="O36313" s="28"/>
      <c r="U36313" s="28"/>
    </row>
    <row r="36314">
      <c r="N36314" s="28"/>
      <c r="O36314" s="28"/>
      <c r="U36314" s="28"/>
    </row>
    <row r="36315">
      <c r="N36315" s="28"/>
      <c r="O36315" s="28"/>
      <c r="U36315" s="28"/>
    </row>
    <row r="36316">
      <c r="N36316" s="28"/>
      <c r="O36316" s="28"/>
      <c r="U36316" s="28"/>
    </row>
    <row r="36317">
      <c r="N36317" s="28"/>
      <c r="O36317" s="28"/>
      <c r="U36317" s="28"/>
    </row>
    <row r="36318">
      <c r="N36318" s="28"/>
      <c r="O36318" s="28"/>
      <c r="U36318" s="28"/>
    </row>
    <row r="36319">
      <c r="N36319" s="28"/>
      <c r="O36319" s="28"/>
      <c r="U36319" s="28"/>
    </row>
    <row r="36320">
      <c r="N36320" s="28"/>
      <c r="O36320" s="28"/>
      <c r="U36320" s="28"/>
    </row>
    <row r="36321">
      <c r="N36321" s="28"/>
      <c r="O36321" s="28"/>
      <c r="U36321" s="28"/>
    </row>
    <row r="36322">
      <c r="N36322" s="28"/>
      <c r="O36322" s="28"/>
      <c r="U36322" s="28"/>
    </row>
    <row r="36323">
      <c r="N36323" s="28"/>
      <c r="O36323" s="28"/>
      <c r="U36323" s="28"/>
    </row>
    <row r="36324">
      <c r="N36324" s="28"/>
      <c r="O36324" s="28"/>
      <c r="U36324" s="28"/>
    </row>
    <row r="36325">
      <c r="N36325" s="28"/>
      <c r="O36325" s="28"/>
      <c r="U36325" s="28"/>
    </row>
    <row r="36326">
      <c r="N36326" s="28"/>
      <c r="O36326" s="28"/>
      <c r="U36326" s="28"/>
    </row>
    <row r="36327">
      <c r="N36327" s="28"/>
      <c r="O36327" s="28"/>
      <c r="U36327" s="28"/>
    </row>
    <row r="36328">
      <c r="N36328" s="28"/>
      <c r="O36328" s="28"/>
      <c r="U36328" s="28"/>
    </row>
    <row r="36329">
      <c r="N36329" s="28"/>
      <c r="O36329" s="28"/>
      <c r="U36329" s="28"/>
    </row>
    <row r="36330">
      <c r="N36330" s="28"/>
      <c r="O36330" s="28"/>
      <c r="U36330" s="28"/>
    </row>
    <row r="36331">
      <c r="N36331" s="28"/>
      <c r="O36331" s="28"/>
      <c r="U36331" s="28"/>
    </row>
    <row r="36332">
      <c r="N36332" s="28"/>
      <c r="O36332" s="28"/>
      <c r="U36332" s="28"/>
    </row>
    <row r="36333">
      <c r="N36333" s="28"/>
      <c r="O36333" s="28"/>
      <c r="U36333" s="28"/>
    </row>
    <row r="36334">
      <c r="N36334" s="28"/>
      <c r="O36334" s="28"/>
      <c r="U36334" s="28"/>
    </row>
    <row r="36335">
      <c r="N36335" s="28"/>
      <c r="O36335" s="28"/>
      <c r="U36335" s="28"/>
    </row>
    <row r="36336">
      <c r="N36336" s="28"/>
      <c r="O36336" s="28"/>
      <c r="U36336" s="28"/>
    </row>
    <row r="36337">
      <c r="N36337" s="28"/>
      <c r="O36337" s="28"/>
      <c r="U36337" s="28"/>
    </row>
    <row r="36338">
      <c r="N36338" s="28"/>
      <c r="O36338" s="28"/>
      <c r="U36338" s="28"/>
    </row>
    <row r="36339">
      <c r="N36339" s="28"/>
      <c r="O36339" s="28"/>
      <c r="U36339" s="28"/>
    </row>
    <row r="36340">
      <c r="N36340" s="28"/>
      <c r="O36340" s="28"/>
      <c r="U36340" s="28"/>
    </row>
    <row r="36341">
      <c r="N36341" s="28"/>
      <c r="O36341" s="28"/>
      <c r="U36341" s="28"/>
    </row>
    <row r="36342">
      <c r="N36342" s="28"/>
      <c r="O36342" s="28"/>
      <c r="U36342" s="28"/>
    </row>
    <row r="36343">
      <c r="N36343" s="28"/>
      <c r="O36343" s="28"/>
      <c r="U36343" s="28"/>
    </row>
    <row r="36344">
      <c r="N36344" s="28"/>
      <c r="O36344" s="28"/>
      <c r="U36344" s="28"/>
    </row>
    <row r="36345">
      <c r="N36345" s="28"/>
      <c r="O36345" s="28"/>
      <c r="U36345" s="28"/>
    </row>
    <row r="36346">
      <c r="N36346" s="28"/>
      <c r="O36346" s="28"/>
      <c r="U36346" s="28"/>
    </row>
    <row r="36347">
      <c r="N36347" s="28"/>
      <c r="O36347" s="28"/>
      <c r="U36347" s="28"/>
    </row>
    <row r="36348">
      <c r="N36348" s="28"/>
      <c r="O36348" s="28"/>
      <c r="U36348" s="28"/>
    </row>
    <row r="36349">
      <c r="N36349" s="28"/>
      <c r="O36349" s="28"/>
      <c r="U36349" s="28"/>
    </row>
    <row r="36350">
      <c r="N36350" s="28"/>
      <c r="O36350" s="28"/>
      <c r="U36350" s="28"/>
    </row>
    <row r="36351">
      <c r="N36351" s="28"/>
      <c r="O36351" s="28"/>
      <c r="U36351" s="28"/>
    </row>
    <row r="36352">
      <c r="N36352" s="28"/>
      <c r="O36352" s="28"/>
      <c r="U36352" s="28"/>
    </row>
    <row r="36353">
      <c r="N36353" s="28"/>
      <c r="O36353" s="28"/>
      <c r="U36353" s="28"/>
    </row>
    <row r="36354">
      <c r="N36354" s="28"/>
      <c r="O36354" s="28"/>
      <c r="U36354" s="28"/>
    </row>
    <row r="36355">
      <c r="N36355" s="28"/>
      <c r="O36355" s="28"/>
      <c r="U36355" s="28"/>
    </row>
    <row r="36356">
      <c r="N36356" s="28"/>
      <c r="O36356" s="28"/>
      <c r="U36356" s="28"/>
    </row>
    <row r="36357">
      <c r="N36357" s="28"/>
      <c r="O36357" s="28"/>
      <c r="U36357" s="28"/>
    </row>
    <row r="36358">
      <c r="N36358" s="28"/>
      <c r="O36358" s="28"/>
      <c r="U36358" s="28"/>
    </row>
    <row r="36359">
      <c r="N36359" s="28"/>
      <c r="O36359" s="28"/>
      <c r="U36359" s="28"/>
    </row>
    <row r="36360">
      <c r="N36360" s="28"/>
      <c r="O36360" s="28"/>
      <c r="U36360" s="28"/>
    </row>
    <row r="36361">
      <c r="N36361" s="28"/>
      <c r="O36361" s="28"/>
      <c r="U36361" s="28"/>
    </row>
    <row r="36362">
      <c r="N36362" s="28"/>
      <c r="O36362" s="28"/>
      <c r="U36362" s="28"/>
    </row>
    <row r="36363">
      <c r="N36363" s="28"/>
      <c r="O36363" s="28"/>
      <c r="U36363" s="28"/>
    </row>
    <row r="36364">
      <c r="N36364" s="28"/>
      <c r="O36364" s="28"/>
      <c r="U36364" s="28"/>
    </row>
    <row r="36365">
      <c r="N36365" s="28"/>
      <c r="O36365" s="28"/>
      <c r="U36365" s="28"/>
    </row>
    <row r="36366">
      <c r="N36366" s="28"/>
      <c r="O36366" s="28"/>
      <c r="U36366" s="28"/>
    </row>
    <row r="36367">
      <c r="N36367" s="28"/>
      <c r="O36367" s="28"/>
      <c r="U36367" s="28"/>
    </row>
    <row r="36368">
      <c r="N36368" s="28"/>
      <c r="O36368" s="28"/>
      <c r="U36368" s="28"/>
    </row>
    <row r="36369">
      <c r="N36369" s="28"/>
      <c r="O36369" s="28"/>
      <c r="U36369" s="28"/>
    </row>
    <row r="36370">
      <c r="N36370" s="28"/>
      <c r="O36370" s="28"/>
      <c r="U36370" s="28"/>
    </row>
    <row r="36371">
      <c r="N36371" s="28"/>
      <c r="O36371" s="28"/>
      <c r="U36371" s="28"/>
    </row>
    <row r="36372">
      <c r="N36372" s="28"/>
      <c r="O36372" s="28"/>
      <c r="U36372" s="28"/>
    </row>
    <row r="36373">
      <c r="N36373" s="28"/>
      <c r="O36373" s="28"/>
      <c r="U36373" s="28"/>
    </row>
    <row r="36374">
      <c r="N36374" s="28"/>
      <c r="O36374" s="28"/>
      <c r="U36374" s="28"/>
    </row>
    <row r="36375">
      <c r="N36375" s="28"/>
      <c r="O36375" s="28"/>
      <c r="U36375" s="28"/>
    </row>
    <row r="36376">
      <c r="N36376" s="28"/>
      <c r="O36376" s="28"/>
      <c r="U36376" s="28"/>
    </row>
    <row r="36377">
      <c r="N36377" s="28"/>
      <c r="O36377" s="28"/>
      <c r="U36377" s="28"/>
    </row>
    <row r="36378">
      <c r="N36378" s="28"/>
      <c r="O36378" s="28"/>
      <c r="U36378" s="28"/>
    </row>
    <row r="36379">
      <c r="N36379" s="28"/>
      <c r="O36379" s="28"/>
      <c r="U36379" s="28"/>
    </row>
    <row r="36380">
      <c r="N36380" s="28"/>
      <c r="O36380" s="28"/>
      <c r="U36380" s="28"/>
    </row>
    <row r="36381">
      <c r="N36381" s="28"/>
      <c r="O36381" s="28"/>
      <c r="U36381" s="28"/>
    </row>
    <row r="36382">
      <c r="N36382" s="28"/>
      <c r="O36382" s="28"/>
      <c r="U36382" s="28"/>
    </row>
    <row r="36383">
      <c r="N36383" s="28"/>
      <c r="O36383" s="28"/>
      <c r="U36383" s="28"/>
    </row>
    <row r="36384">
      <c r="N36384" s="28"/>
      <c r="O36384" s="28"/>
      <c r="U36384" s="28"/>
    </row>
    <row r="36385">
      <c r="N36385" s="28"/>
      <c r="O36385" s="28"/>
      <c r="U36385" s="28"/>
    </row>
    <row r="36386">
      <c r="N36386" s="28"/>
      <c r="O36386" s="28"/>
      <c r="U36386" s="28"/>
    </row>
    <row r="36387">
      <c r="N36387" s="28"/>
      <c r="O36387" s="28"/>
      <c r="U36387" s="28"/>
    </row>
    <row r="36388">
      <c r="N36388" s="28"/>
      <c r="O36388" s="28"/>
      <c r="U36388" s="28"/>
    </row>
    <row r="36389">
      <c r="N36389" s="28"/>
      <c r="O36389" s="28"/>
      <c r="U36389" s="28"/>
    </row>
    <row r="36390">
      <c r="N36390" s="28"/>
      <c r="O36390" s="28"/>
      <c r="U36390" s="28"/>
    </row>
    <row r="36391">
      <c r="N36391" s="28"/>
      <c r="O36391" s="28"/>
      <c r="U36391" s="28"/>
    </row>
    <row r="36392">
      <c r="N36392" s="28"/>
      <c r="O36392" s="28"/>
      <c r="U36392" s="28"/>
    </row>
    <row r="36393">
      <c r="N36393" s="28"/>
      <c r="O36393" s="28"/>
      <c r="U36393" s="28"/>
    </row>
    <row r="36394">
      <c r="N36394" s="28"/>
      <c r="O36394" s="28"/>
      <c r="U36394" s="28"/>
    </row>
    <row r="36395">
      <c r="N36395" s="28"/>
      <c r="O36395" s="28"/>
      <c r="U36395" s="28"/>
    </row>
    <row r="36396">
      <c r="N36396" s="28"/>
      <c r="O36396" s="28"/>
      <c r="U36396" s="28"/>
    </row>
    <row r="36397">
      <c r="N36397" s="28"/>
      <c r="O36397" s="28"/>
      <c r="U36397" s="28"/>
    </row>
    <row r="36398">
      <c r="N36398" s="28"/>
      <c r="O36398" s="28"/>
      <c r="U36398" s="28"/>
    </row>
    <row r="36399">
      <c r="N36399" s="28"/>
      <c r="O36399" s="28"/>
      <c r="U36399" s="28"/>
    </row>
    <row r="36400">
      <c r="N36400" s="28"/>
      <c r="O36400" s="28"/>
      <c r="U36400" s="28"/>
    </row>
    <row r="36401">
      <c r="N36401" s="28"/>
      <c r="O36401" s="28"/>
      <c r="U36401" s="28"/>
    </row>
    <row r="36402">
      <c r="N36402" s="28"/>
      <c r="O36402" s="28"/>
      <c r="U36402" s="28"/>
    </row>
    <row r="36403">
      <c r="N36403" s="28"/>
      <c r="O36403" s="28"/>
      <c r="U36403" s="28"/>
    </row>
    <row r="36404">
      <c r="N36404" s="28"/>
      <c r="O36404" s="28"/>
      <c r="U36404" s="28"/>
    </row>
    <row r="36405">
      <c r="N36405" s="28"/>
      <c r="O36405" s="28"/>
      <c r="U36405" s="28"/>
    </row>
    <row r="36406">
      <c r="N36406" s="28"/>
      <c r="O36406" s="28"/>
      <c r="U36406" s="28"/>
    </row>
    <row r="36407">
      <c r="N36407" s="28"/>
      <c r="O36407" s="28"/>
      <c r="U36407" s="28"/>
    </row>
    <row r="36408">
      <c r="N36408" s="28"/>
      <c r="O36408" s="28"/>
      <c r="U36408" s="28"/>
    </row>
    <row r="36409">
      <c r="N36409" s="28"/>
      <c r="O36409" s="28"/>
      <c r="U36409" s="28"/>
    </row>
    <row r="36410">
      <c r="N36410" s="28"/>
      <c r="O36410" s="28"/>
      <c r="U36410" s="28"/>
    </row>
    <row r="36411">
      <c r="N36411" s="28"/>
      <c r="O36411" s="28"/>
      <c r="U36411" s="28"/>
    </row>
    <row r="36412">
      <c r="N36412" s="28"/>
      <c r="O36412" s="28"/>
      <c r="U36412" s="28"/>
    </row>
    <row r="36413">
      <c r="N36413" s="28"/>
      <c r="O36413" s="28"/>
      <c r="U36413" s="28"/>
    </row>
    <row r="36414">
      <c r="N36414" s="28"/>
      <c r="O36414" s="28"/>
      <c r="U36414" s="28"/>
    </row>
    <row r="36415">
      <c r="N36415" s="28"/>
      <c r="O36415" s="28"/>
      <c r="U36415" s="28"/>
    </row>
    <row r="36416">
      <c r="N36416" s="28"/>
      <c r="O36416" s="28"/>
      <c r="U36416" s="28"/>
    </row>
    <row r="36417">
      <c r="N36417" s="28"/>
      <c r="O36417" s="28"/>
      <c r="U36417" s="28"/>
    </row>
    <row r="36418">
      <c r="N36418" s="28"/>
      <c r="O36418" s="28"/>
      <c r="U36418" s="28"/>
    </row>
    <row r="36419">
      <c r="N36419" s="28"/>
      <c r="O36419" s="28"/>
      <c r="U36419" s="28"/>
    </row>
    <row r="36420">
      <c r="N36420" s="28"/>
      <c r="O36420" s="28"/>
      <c r="U36420" s="28"/>
    </row>
    <row r="36421">
      <c r="N36421" s="28"/>
      <c r="O36421" s="28"/>
      <c r="U36421" s="28"/>
    </row>
    <row r="36422">
      <c r="N36422" s="28"/>
      <c r="O36422" s="28"/>
      <c r="U36422" s="28"/>
    </row>
    <row r="36423">
      <c r="N36423" s="28"/>
      <c r="O36423" s="28"/>
      <c r="U36423" s="28"/>
    </row>
    <row r="36424">
      <c r="N36424" s="28"/>
      <c r="O36424" s="28"/>
      <c r="U36424" s="28"/>
    </row>
    <row r="36425">
      <c r="N36425" s="28"/>
      <c r="O36425" s="28"/>
      <c r="U36425" s="28"/>
    </row>
    <row r="36426">
      <c r="N36426" s="28"/>
      <c r="O36426" s="28"/>
      <c r="U36426" s="28"/>
    </row>
    <row r="36427">
      <c r="N36427" s="28"/>
      <c r="O36427" s="28"/>
      <c r="U36427" s="28"/>
    </row>
    <row r="36428">
      <c r="N36428" s="28"/>
      <c r="O36428" s="28"/>
      <c r="U36428" s="28"/>
    </row>
    <row r="36429">
      <c r="N36429" s="28"/>
      <c r="O36429" s="28"/>
      <c r="U36429" s="28"/>
    </row>
    <row r="36430">
      <c r="N36430" s="28"/>
      <c r="O36430" s="28"/>
      <c r="U36430" s="28"/>
    </row>
    <row r="36431">
      <c r="N36431" s="28"/>
      <c r="O36431" s="28"/>
      <c r="U36431" s="28"/>
    </row>
    <row r="36432">
      <c r="N36432" s="28"/>
      <c r="O36432" s="28"/>
      <c r="U36432" s="28"/>
    </row>
    <row r="36433">
      <c r="N36433" s="28"/>
      <c r="O36433" s="28"/>
      <c r="U36433" s="28"/>
    </row>
    <row r="36434">
      <c r="N36434" s="28"/>
      <c r="O36434" s="28"/>
      <c r="U36434" s="28"/>
    </row>
    <row r="36435">
      <c r="N36435" s="28"/>
      <c r="O36435" s="28"/>
      <c r="U36435" s="28"/>
    </row>
    <row r="36436">
      <c r="N36436" s="28"/>
      <c r="O36436" s="28"/>
      <c r="U36436" s="28"/>
    </row>
    <row r="36437">
      <c r="N36437" s="28"/>
      <c r="O36437" s="28"/>
      <c r="U36437" s="28"/>
    </row>
    <row r="36438">
      <c r="N36438" s="28"/>
      <c r="O36438" s="28"/>
      <c r="U36438" s="28"/>
    </row>
    <row r="36439">
      <c r="N36439" s="28"/>
      <c r="O36439" s="28"/>
      <c r="U36439" s="28"/>
    </row>
    <row r="36440">
      <c r="N36440" s="28"/>
      <c r="O36440" s="28"/>
      <c r="U36440" s="28"/>
    </row>
    <row r="36441">
      <c r="N36441" s="28"/>
      <c r="O36441" s="28"/>
      <c r="U36441" s="28"/>
    </row>
    <row r="36442">
      <c r="N36442" s="28"/>
      <c r="O36442" s="28"/>
      <c r="U36442" s="28"/>
    </row>
    <row r="36443">
      <c r="N36443" s="28"/>
      <c r="O36443" s="28"/>
      <c r="U36443" s="28"/>
    </row>
    <row r="36444">
      <c r="N36444" s="28"/>
      <c r="O36444" s="28"/>
      <c r="U36444" s="28"/>
    </row>
    <row r="36445">
      <c r="N36445" s="28"/>
      <c r="O36445" s="28"/>
      <c r="U36445" s="28"/>
    </row>
    <row r="36446">
      <c r="N36446" s="28"/>
      <c r="O36446" s="28"/>
      <c r="U36446" s="28"/>
    </row>
    <row r="36447">
      <c r="N36447" s="28"/>
      <c r="O36447" s="28"/>
      <c r="U36447" s="28"/>
    </row>
    <row r="36448">
      <c r="N36448" s="28"/>
      <c r="O36448" s="28"/>
      <c r="U36448" s="28"/>
    </row>
    <row r="36449">
      <c r="N36449" s="28"/>
      <c r="O36449" s="28"/>
      <c r="U36449" s="28"/>
    </row>
    <row r="36450">
      <c r="N36450" s="28"/>
      <c r="O36450" s="28"/>
      <c r="U36450" s="28"/>
    </row>
    <row r="36451">
      <c r="N36451" s="28"/>
      <c r="O36451" s="28"/>
      <c r="U36451" s="28"/>
    </row>
    <row r="36452">
      <c r="N36452" s="28"/>
      <c r="O36452" s="28"/>
      <c r="U36452" s="28"/>
    </row>
    <row r="36453">
      <c r="N36453" s="28"/>
      <c r="O36453" s="28"/>
      <c r="U36453" s="28"/>
    </row>
    <row r="36454">
      <c r="N36454" s="28"/>
      <c r="O36454" s="28"/>
      <c r="U36454" s="28"/>
    </row>
    <row r="36455">
      <c r="N36455" s="28"/>
      <c r="O36455" s="28"/>
      <c r="U36455" s="28"/>
    </row>
    <row r="36456">
      <c r="N36456" s="28"/>
      <c r="O36456" s="28"/>
      <c r="U36456" s="28"/>
    </row>
    <row r="36457">
      <c r="N36457" s="28"/>
      <c r="O36457" s="28"/>
      <c r="U36457" s="28"/>
    </row>
    <row r="36458">
      <c r="N36458" s="28"/>
      <c r="O36458" s="28"/>
      <c r="U36458" s="28"/>
    </row>
    <row r="36459">
      <c r="N36459" s="28"/>
      <c r="O36459" s="28"/>
      <c r="U36459" s="28"/>
    </row>
    <row r="36460">
      <c r="N36460" s="28"/>
      <c r="O36460" s="28"/>
      <c r="U36460" s="28"/>
    </row>
    <row r="36461">
      <c r="N36461" s="28"/>
      <c r="O36461" s="28"/>
      <c r="U36461" s="28"/>
    </row>
    <row r="36462">
      <c r="N36462" s="28"/>
      <c r="O36462" s="28"/>
      <c r="U36462" s="28"/>
    </row>
    <row r="36463">
      <c r="N36463" s="28"/>
      <c r="O36463" s="28"/>
      <c r="U36463" s="28"/>
    </row>
    <row r="36464">
      <c r="N36464" s="28"/>
      <c r="O36464" s="28"/>
      <c r="U36464" s="28"/>
    </row>
    <row r="36465">
      <c r="N36465" s="28"/>
      <c r="O36465" s="28"/>
      <c r="U36465" s="28"/>
    </row>
    <row r="36466">
      <c r="N36466" s="28"/>
      <c r="O36466" s="28"/>
      <c r="U36466" s="28"/>
    </row>
    <row r="36467">
      <c r="N36467" s="28"/>
      <c r="O36467" s="28"/>
      <c r="U36467" s="28"/>
    </row>
    <row r="36468">
      <c r="N36468" s="28"/>
      <c r="O36468" s="28"/>
      <c r="U36468" s="28"/>
    </row>
    <row r="36469">
      <c r="N36469" s="28"/>
      <c r="O36469" s="28"/>
      <c r="U36469" s="28"/>
    </row>
    <row r="36470">
      <c r="N36470" s="28"/>
      <c r="O36470" s="28"/>
      <c r="U36470" s="28"/>
    </row>
    <row r="36471">
      <c r="N36471" s="28"/>
      <c r="O36471" s="28"/>
      <c r="U36471" s="28"/>
    </row>
    <row r="36472">
      <c r="N36472" s="28"/>
      <c r="O36472" s="28"/>
      <c r="U36472" s="28"/>
    </row>
    <row r="36473">
      <c r="N36473" s="28"/>
      <c r="O36473" s="28"/>
      <c r="U36473" s="28"/>
    </row>
    <row r="36474">
      <c r="N36474" s="28"/>
      <c r="O36474" s="28"/>
      <c r="U36474" s="28"/>
    </row>
    <row r="36475">
      <c r="N36475" s="28"/>
      <c r="O36475" s="28"/>
      <c r="U36475" s="28"/>
    </row>
    <row r="36476">
      <c r="N36476" s="28"/>
      <c r="O36476" s="28"/>
      <c r="U36476" s="28"/>
    </row>
    <row r="36477">
      <c r="N36477" s="28"/>
      <c r="O36477" s="28"/>
      <c r="U36477" s="28"/>
    </row>
    <row r="36478">
      <c r="N36478" s="28"/>
      <c r="O36478" s="28"/>
      <c r="U36478" s="28"/>
    </row>
    <row r="36479">
      <c r="N36479" s="28"/>
      <c r="O36479" s="28"/>
      <c r="U36479" s="28"/>
    </row>
    <row r="36480">
      <c r="N36480" s="28"/>
      <c r="O36480" s="28"/>
      <c r="U36480" s="28"/>
    </row>
    <row r="36481">
      <c r="N36481" s="28"/>
      <c r="O36481" s="28"/>
      <c r="U36481" s="28"/>
    </row>
    <row r="36482">
      <c r="N36482" s="28"/>
      <c r="O36482" s="28"/>
      <c r="U36482" s="28"/>
    </row>
    <row r="36483">
      <c r="N36483" s="28"/>
      <c r="O36483" s="28"/>
      <c r="U36483" s="28"/>
    </row>
    <row r="36484">
      <c r="N36484" s="28"/>
      <c r="O36484" s="28"/>
      <c r="U36484" s="28"/>
    </row>
    <row r="36485">
      <c r="N36485" s="28"/>
      <c r="O36485" s="28"/>
      <c r="U36485" s="28"/>
    </row>
    <row r="36486">
      <c r="N36486" s="28"/>
      <c r="O36486" s="28"/>
      <c r="U36486" s="28"/>
    </row>
    <row r="36487">
      <c r="N36487" s="28"/>
      <c r="O36487" s="28"/>
      <c r="U36487" s="28"/>
    </row>
    <row r="36488">
      <c r="N36488" s="28"/>
      <c r="O36488" s="28"/>
      <c r="U36488" s="28"/>
    </row>
    <row r="36489">
      <c r="N36489" s="28"/>
      <c r="O36489" s="28"/>
      <c r="U36489" s="28"/>
    </row>
    <row r="36490">
      <c r="N36490" s="28"/>
      <c r="O36490" s="28"/>
      <c r="U36490" s="28"/>
    </row>
    <row r="36491">
      <c r="N36491" s="28"/>
      <c r="O36491" s="28"/>
      <c r="U36491" s="28"/>
    </row>
    <row r="36492">
      <c r="N36492" s="28"/>
      <c r="O36492" s="28"/>
      <c r="U36492" s="28"/>
    </row>
    <row r="36493">
      <c r="N36493" s="28"/>
      <c r="O36493" s="28"/>
      <c r="U36493" s="28"/>
    </row>
    <row r="36494">
      <c r="N36494" s="28"/>
      <c r="O36494" s="28"/>
      <c r="U36494" s="28"/>
    </row>
    <row r="36495">
      <c r="N36495" s="28"/>
      <c r="O36495" s="28"/>
      <c r="U36495" s="28"/>
    </row>
    <row r="36496">
      <c r="N36496" s="28"/>
      <c r="O36496" s="28"/>
      <c r="U36496" s="28"/>
    </row>
    <row r="36497">
      <c r="N36497" s="28"/>
      <c r="O36497" s="28"/>
      <c r="U36497" s="28"/>
    </row>
    <row r="36498">
      <c r="N36498" s="28"/>
      <c r="O36498" s="28"/>
      <c r="U36498" s="28"/>
    </row>
    <row r="36499">
      <c r="N36499" s="28"/>
      <c r="O36499" s="28"/>
      <c r="U36499" s="28"/>
    </row>
    <row r="36500">
      <c r="N36500" s="28"/>
      <c r="O36500" s="28"/>
      <c r="U36500" s="28"/>
    </row>
    <row r="36501">
      <c r="N36501" s="28"/>
      <c r="O36501" s="28"/>
      <c r="U36501" s="28"/>
    </row>
    <row r="36502">
      <c r="N36502" s="28"/>
      <c r="O36502" s="28"/>
      <c r="U36502" s="28"/>
    </row>
    <row r="36503">
      <c r="N36503" s="28"/>
      <c r="O36503" s="28"/>
      <c r="U36503" s="28"/>
    </row>
    <row r="36504">
      <c r="N36504" s="28"/>
      <c r="O36504" s="28"/>
      <c r="U36504" s="28"/>
    </row>
    <row r="36505">
      <c r="N36505" s="28"/>
      <c r="O36505" s="28"/>
      <c r="U36505" s="28"/>
    </row>
    <row r="36506">
      <c r="N36506" s="28"/>
      <c r="O36506" s="28"/>
      <c r="U36506" s="28"/>
    </row>
    <row r="36507">
      <c r="N36507" s="28"/>
      <c r="O36507" s="28"/>
      <c r="U36507" s="28"/>
    </row>
    <row r="36508">
      <c r="N36508" s="28"/>
      <c r="O36508" s="28"/>
      <c r="U36508" s="28"/>
    </row>
    <row r="36509">
      <c r="N36509" s="28"/>
      <c r="O36509" s="28"/>
      <c r="U36509" s="28"/>
    </row>
    <row r="36510">
      <c r="N36510" s="28"/>
      <c r="O36510" s="28"/>
      <c r="U36510" s="28"/>
    </row>
    <row r="36511">
      <c r="N36511" s="28"/>
      <c r="O36511" s="28"/>
      <c r="U36511" s="28"/>
    </row>
    <row r="36512">
      <c r="N36512" s="28"/>
      <c r="O36512" s="28"/>
      <c r="U36512" s="28"/>
    </row>
    <row r="36513">
      <c r="N36513" s="28"/>
      <c r="O36513" s="28"/>
      <c r="U36513" s="28"/>
    </row>
    <row r="36514">
      <c r="N36514" s="28"/>
      <c r="O36514" s="28"/>
      <c r="U36514" s="28"/>
    </row>
    <row r="36515">
      <c r="N36515" s="28"/>
      <c r="O36515" s="28"/>
      <c r="U36515" s="28"/>
    </row>
    <row r="36516">
      <c r="N36516" s="28"/>
      <c r="O36516" s="28"/>
      <c r="U36516" s="28"/>
    </row>
    <row r="36517">
      <c r="N36517" s="28"/>
      <c r="O36517" s="28"/>
      <c r="U36517" s="28"/>
    </row>
    <row r="36518">
      <c r="N36518" s="28"/>
      <c r="O36518" s="28"/>
      <c r="U36518" s="28"/>
    </row>
    <row r="36519">
      <c r="N36519" s="28"/>
      <c r="O36519" s="28"/>
      <c r="U36519" s="28"/>
    </row>
    <row r="36520">
      <c r="N36520" s="28"/>
      <c r="O36520" s="28"/>
      <c r="U36520" s="28"/>
    </row>
    <row r="36521">
      <c r="N36521" s="28"/>
      <c r="O36521" s="28"/>
      <c r="U36521" s="28"/>
    </row>
    <row r="36522">
      <c r="N36522" s="28"/>
      <c r="O36522" s="28"/>
      <c r="U36522" s="28"/>
    </row>
    <row r="36523">
      <c r="N36523" s="28"/>
      <c r="O36523" s="28"/>
      <c r="U36523" s="28"/>
    </row>
    <row r="36524">
      <c r="N36524" s="28"/>
      <c r="O36524" s="28"/>
      <c r="U36524" s="28"/>
    </row>
    <row r="36525">
      <c r="N36525" s="28"/>
      <c r="O36525" s="28"/>
      <c r="U36525" s="28"/>
    </row>
    <row r="36526">
      <c r="N36526" s="28"/>
      <c r="O36526" s="28"/>
      <c r="U36526" s="28"/>
    </row>
    <row r="36527">
      <c r="N36527" s="28"/>
      <c r="O36527" s="28"/>
      <c r="U36527" s="28"/>
    </row>
    <row r="36528">
      <c r="N36528" s="28"/>
      <c r="O36528" s="28"/>
      <c r="U36528" s="28"/>
    </row>
    <row r="36529">
      <c r="N36529" s="28"/>
      <c r="O36529" s="28"/>
      <c r="U36529" s="28"/>
    </row>
    <row r="36530">
      <c r="N36530" s="28"/>
      <c r="O36530" s="28"/>
      <c r="U36530" s="28"/>
    </row>
    <row r="36531">
      <c r="N36531" s="28"/>
      <c r="O36531" s="28"/>
      <c r="U36531" s="28"/>
    </row>
    <row r="36532">
      <c r="N36532" s="28"/>
      <c r="O36532" s="28"/>
      <c r="U36532" s="28"/>
    </row>
    <row r="36533">
      <c r="N36533" s="28"/>
      <c r="O36533" s="28"/>
      <c r="U36533" s="28"/>
    </row>
    <row r="36534">
      <c r="N36534" s="28"/>
      <c r="O36534" s="28"/>
      <c r="U36534" s="28"/>
    </row>
    <row r="36535">
      <c r="N36535" s="28"/>
      <c r="O36535" s="28"/>
      <c r="U36535" s="28"/>
    </row>
    <row r="36536">
      <c r="N36536" s="28"/>
      <c r="O36536" s="28"/>
      <c r="U36536" s="28"/>
    </row>
    <row r="36537">
      <c r="N36537" s="28"/>
      <c r="O36537" s="28"/>
      <c r="U36537" s="28"/>
    </row>
    <row r="36538">
      <c r="N36538" s="28"/>
      <c r="O36538" s="28"/>
      <c r="U36538" s="28"/>
    </row>
    <row r="36539">
      <c r="N36539" s="28"/>
      <c r="O36539" s="28"/>
      <c r="U36539" s="28"/>
    </row>
    <row r="36540">
      <c r="N36540" s="28"/>
      <c r="O36540" s="28"/>
      <c r="U36540" s="28"/>
    </row>
    <row r="36541">
      <c r="N36541" s="28"/>
      <c r="O36541" s="28"/>
      <c r="U36541" s="28"/>
    </row>
    <row r="36542">
      <c r="N36542" s="28"/>
      <c r="O36542" s="28"/>
      <c r="U36542" s="28"/>
    </row>
    <row r="36543">
      <c r="N36543" s="28"/>
      <c r="O36543" s="28"/>
      <c r="U36543" s="28"/>
    </row>
    <row r="36544">
      <c r="N36544" s="28"/>
      <c r="O36544" s="28"/>
      <c r="U36544" s="28"/>
    </row>
    <row r="36545">
      <c r="N36545" s="28"/>
      <c r="O36545" s="28"/>
      <c r="U36545" s="28"/>
    </row>
    <row r="36546">
      <c r="N36546" s="28"/>
      <c r="O36546" s="28"/>
      <c r="U36546" s="28"/>
    </row>
    <row r="36547">
      <c r="N36547" s="28"/>
      <c r="O36547" s="28"/>
      <c r="U36547" s="28"/>
    </row>
    <row r="36548">
      <c r="N36548" s="28"/>
      <c r="O36548" s="28"/>
      <c r="U36548" s="28"/>
    </row>
    <row r="36549">
      <c r="N36549" s="28"/>
      <c r="O36549" s="28"/>
      <c r="U36549" s="28"/>
    </row>
    <row r="36550">
      <c r="N36550" s="28"/>
      <c r="O36550" s="28"/>
      <c r="U36550" s="28"/>
    </row>
    <row r="36551">
      <c r="N36551" s="28"/>
      <c r="O36551" s="28"/>
      <c r="U36551" s="28"/>
    </row>
    <row r="36552">
      <c r="N36552" s="28"/>
      <c r="O36552" s="28"/>
      <c r="U36552" s="28"/>
    </row>
    <row r="36553">
      <c r="N36553" s="28"/>
      <c r="O36553" s="28"/>
      <c r="U36553" s="28"/>
    </row>
    <row r="36554">
      <c r="N36554" s="28"/>
      <c r="O36554" s="28"/>
      <c r="U36554" s="28"/>
    </row>
    <row r="36555">
      <c r="N36555" s="28"/>
      <c r="O36555" s="28"/>
      <c r="U36555" s="28"/>
    </row>
    <row r="36556">
      <c r="N36556" s="28"/>
      <c r="O36556" s="28"/>
      <c r="U36556" s="28"/>
    </row>
    <row r="36557">
      <c r="N36557" s="28"/>
      <c r="O36557" s="28"/>
      <c r="U36557" s="28"/>
    </row>
    <row r="36558">
      <c r="N36558" s="28"/>
      <c r="O36558" s="28"/>
      <c r="U36558" s="28"/>
    </row>
    <row r="36559">
      <c r="N36559" s="28"/>
      <c r="O36559" s="28"/>
      <c r="U36559" s="28"/>
    </row>
    <row r="36560">
      <c r="N36560" s="28"/>
      <c r="O36560" s="28"/>
      <c r="U36560" s="28"/>
    </row>
    <row r="36561">
      <c r="N36561" s="28"/>
      <c r="O36561" s="28"/>
      <c r="U36561" s="28"/>
    </row>
    <row r="36562">
      <c r="N36562" s="28"/>
      <c r="O36562" s="28"/>
      <c r="U36562" s="28"/>
    </row>
    <row r="36563">
      <c r="N36563" s="28"/>
      <c r="O36563" s="28"/>
      <c r="U36563" s="28"/>
    </row>
    <row r="36564">
      <c r="N36564" s="28"/>
      <c r="O36564" s="28"/>
      <c r="U36564" s="28"/>
    </row>
    <row r="36565">
      <c r="N36565" s="28"/>
      <c r="O36565" s="28"/>
      <c r="U36565" s="28"/>
    </row>
    <row r="36566">
      <c r="N36566" s="28"/>
      <c r="O36566" s="28"/>
      <c r="U36566" s="28"/>
    </row>
    <row r="36567">
      <c r="N36567" s="28"/>
      <c r="O36567" s="28"/>
      <c r="U36567" s="28"/>
    </row>
    <row r="36568">
      <c r="N36568" s="28"/>
      <c r="O36568" s="28"/>
      <c r="U36568" s="28"/>
    </row>
    <row r="36569">
      <c r="N36569" s="28"/>
      <c r="O36569" s="28"/>
      <c r="U36569" s="28"/>
    </row>
    <row r="36570">
      <c r="N36570" s="28"/>
      <c r="O36570" s="28"/>
      <c r="U36570" s="28"/>
    </row>
    <row r="36571">
      <c r="N36571" s="28"/>
      <c r="O36571" s="28"/>
      <c r="U36571" s="28"/>
    </row>
    <row r="36572">
      <c r="N36572" s="28"/>
      <c r="O36572" s="28"/>
      <c r="U36572" s="28"/>
    </row>
    <row r="36573">
      <c r="N36573" s="28"/>
      <c r="O36573" s="28"/>
      <c r="U36573" s="28"/>
    </row>
    <row r="36574">
      <c r="N36574" s="28"/>
      <c r="O36574" s="28"/>
      <c r="U36574" s="28"/>
    </row>
    <row r="36575">
      <c r="N36575" s="28"/>
      <c r="O36575" s="28"/>
      <c r="U36575" s="28"/>
    </row>
    <row r="36576">
      <c r="N36576" s="28"/>
      <c r="O36576" s="28"/>
      <c r="U36576" s="28"/>
    </row>
    <row r="36577">
      <c r="N36577" s="28"/>
      <c r="O36577" s="28"/>
      <c r="U36577" s="28"/>
    </row>
    <row r="36578">
      <c r="N36578" s="28"/>
      <c r="O36578" s="28"/>
      <c r="U36578" s="28"/>
    </row>
    <row r="36579">
      <c r="N36579" s="28"/>
      <c r="O36579" s="28"/>
      <c r="U36579" s="28"/>
    </row>
    <row r="36580">
      <c r="N36580" s="28"/>
      <c r="O36580" s="28"/>
      <c r="U36580" s="28"/>
    </row>
    <row r="36581">
      <c r="N36581" s="28"/>
      <c r="O36581" s="28"/>
      <c r="U36581" s="28"/>
    </row>
    <row r="36582">
      <c r="N36582" s="28"/>
      <c r="O36582" s="28"/>
      <c r="U36582" s="28"/>
    </row>
    <row r="36583">
      <c r="N36583" s="28"/>
      <c r="O36583" s="28"/>
      <c r="U36583" s="28"/>
    </row>
    <row r="36584">
      <c r="N36584" s="28"/>
      <c r="O36584" s="28"/>
      <c r="U36584" s="28"/>
    </row>
    <row r="36585">
      <c r="N36585" s="28"/>
      <c r="O36585" s="28"/>
      <c r="U36585" s="28"/>
    </row>
    <row r="36586">
      <c r="N36586" s="28"/>
      <c r="O36586" s="28"/>
      <c r="U36586" s="28"/>
    </row>
    <row r="36587">
      <c r="N36587" s="28"/>
      <c r="O36587" s="28"/>
      <c r="U36587" s="28"/>
    </row>
    <row r="36588">
      <c r="N36588" s="28"/>
      <c r="O36588" s="28"/>
      <c r="U36588" s="28"/>
    </row>
    <row r="36589">
      <c r="N36589" s="28"/>
      <c r="O36589" s="28"/>
      <c r="U36589" s="28"/>
    </row>
    <row r="36590">
      <c r="N36590" s="28"/>
      <c r="O36590" s="28"/>
      <c r="U36590" s="28"/>
    </row>
    <row r="36591">
      <c r="N36591" s="28"/>
      <c r="O36591" s="28"/>
      <c r="U36591" s="28"/>
    </row>
    <row r="36592">
      <c r="N36592" s="28"/>
      <c r="O36592" s="28"/>
      <c r="U36592" s="28"/>
    </row>
    <row r="36593">
      <c r="N36593" s="28"/>
      <c r="O36593" s="28"/>
      <c r="U36593" s="28"/>
    </row>
    <row r="36594">
      <c r="N36594" s="28"/>
      <c r="O36594" s="28"/>
      <c r="U36594" s="28"/>
    </row>
    <row r="36595">
      <c r="N36595" s="28"/>
      <c r="O36595" s="28"/>
      <c r="U36595" s="28"/>
    </row>
    <row r="36596">
      <c r="N36596" s="28"/>
      <c r="O36596" s="28"/>
      <c r="U36596" s="28"/>
    </row>
    <row r="36597">
      <c r="N36597" s="28"/>
      <c r="O36597" s="28"/>
      <c r="U36597" s="28"/>
    </row>
    <row r="36598">
      <c r="N36598" s="28"/>
      <c r="O36598" s="28"/>
      <c r="U36598" s="28"/>
    </row>
    <row r="36599">
      <c r="N36599" s="28"/>
      <c r="O36599" s="28"/>
      <c r="U36599" s="28"/>
    </row>
    <row r="36600">
      <c r="N36600" s="28"/>
      <c r="O36600" s="28"/>
      <c r="U36600" s="28"/>
    </row>
    <row r="36601">
      <c r="N36601" s="28"/>
      <c r="O36601" s="28"/>
      <c r="U36601" s="28"/>
    </row>
    <row r="36602">
      <c r="N36602" s="28"/>
      <c r="O36602" s="28"/>
      <c r="U36602" s="28"/>
    </row>
    <row r="36603">
      <c r="N36603" s="28"/>
      <c r="O36603" s="28"/>
      <c r="U36603" s="28"/>
    </row>
    <row r="36604">
      <c r="N36604" s="28"/>
      <c r="O36604" s="28"/>
      <c r="U36604" s="28"/>
    </row>
    <row r="36605">
      <c r="N36605" s="28"/>
      <c r="O36605" s="28"/>
      <c r="U36605" s="28"/>
    </row>
    <row r="36606">
      <c r="N36606" s="28"/>
      <c r="O36606" s="28"/>
      <c r="U36606" s="28"/>
    </row>
    <row r="36607">
      <c r="N36607" s="28"/>
      <c r="O36607" s="28"/>
      <c r="U36607" s="28"/>
    </row>
    <row r="36608">
      <c r="N36608" s="28"/>
      <c r="O36608" s="28"/>
      <c r="U36608" s="28"/>
    </row>
    <row r="36609">
      <c r="N36609" s="28"/>
      <c r="O36609" s="28"/>
      <c r="U36609" s="28"/>
    </row>
    <row r="36610">
      <c r="N36610" s="28"/>
      <c r="O36610" s="28"/>
      <c r="U36610" s="28"/>
    </row>
    <row r="36611">
      <c r="N36611" s="28"/>
      <c r="O36611" s="28"/>
      <c r="U36611" s="28"/>
    </row>
    <row r="36612">
      <c r="N36612" s="28"/>
      <c r="O36612" s="28"/>
      <c r="U36612" s="28"/>
    </row>
    <row r="36613">
      <c r="N36613" s="28"/>
      <c r="O36613" s="28"/>
      <c r="U36613" s="28"/>
    </row>
    <row r="36614">
      <c r="N36614" s="28"/>
      <c r="O36614" s="28"/>
      <c r="U36614" s="28"/>
    </row>
    <row r="36615">
      <c r="N36615" s="28"/>
      <c r="O36615" s="28"/>
      <c r="U36615" s="28"/>
    </row>
    <row r="36616">
      <c r="N36616" s="28"/>
      <c r="O36616" s="28"/>
      <c r="U36616" s="28"/>
    </row>
    <row r="36617">
      <c r="N36617" s="28"/>
      <c r="O36617" s="28"/>
      <c r="U36617" s="28"/>
    </row>
    <row r="36618">
      <c r="N36618" s="28"/>
      <c r="O36618" s="28"/>
      <c r="U36618" s="28"/>
    </row>
    <row r="36619">
      <c r="N36619" s="28"/>
      <c r="O36619" s="28"/>
      <c r="U36619" s="28"/>
    </row>
    <row r="36620">
      <c r="N36620" s="28"/>
      <c r="O36620" s="28"/>
      <c r="U36620" s="28"/>
    </row>
    <row r="36621">
      <c r="N36621" s="28"/>
      <c r="O36621" s="28"/>
      <c r="U36621" s="28"/>
    </row>
    <row r="36622">
      <c r="N36622" s="28"/>
      <c r="O36622" s="28"/>
      <c r="U36622" s="28"/>
    </row>
    <row r="36623">
      <c r="N36623" s="28"/>
      <c r="O36623" s="28"/>
      <c r="U36623" s="28"/>
    </row>
    <row r="36624">
      <c r="N36624" s="28"/>
      <c r="O36624" s="28"/>
      <c r="U36624" s="28"/>
    </row>
    <row r="36625">
      <c r="N36625" s="28"/>
      <c r="O36625" s="28"/>
      <c r="U36625" s="28"/>
    </row>
    <row r="36626">
      <c r="N36626" s="28"/>
      <c r="O36626" s="28"/>
      <c r="U36626" s="28"/>
    </row>
    <row r="36627">
      <c r="N36627" s="28"/>
      <c r="O36627" s="28"/>
      <c r="U36627" s="28"/>
    </row>
    <row r="36628">
      <c r="N36628" s="28"/>
      <c r="O36628" s="28"/>
      <c r="U36628" s="28"/>
    </row>
    <row r="36629">
      <c r="N36629" s="28"/>
      <c r="O36629" s="28"/>
      <c r="U36629" s="28"/>
    </row>
    <row r="36630">
      <c r="N36630" s="28"/>
      <c r="O36630" s="28"/>
      <c r="U36630" s="28"/>
    </row>
    <row r="36631">
      <c r="N36631" s="28"/>
      <c r="O36631" s="28"/>
      <c r="U36631" s="28"/>
    </row>
    <row r="36632">
      <c r="N36632" s="28"/>
      <c r="O36632" s="28"/>
      <c r="U36632" s="28"/>
    </row>
    <row r="36633">
      <c r="N36633" s="28"/>
      <c r="O36633" s="28"/>
      <c r="U36633" s="28"/>
    </row>
    <row r="36634">
      <c r="N36634" s="28"/>
      <c r="O36634" s="28"/>
      <c r="U36634" s="28"/>
    </row>
    <row r="36635">
      <c r="N36635" s="28"/>
      <c r="O36635" s="28"/>
      <c r="U36635" s="28"/>
    </row>
    <row r="36636">
      <c r="N36636" s="28"/>
      <c r="O36636" s="28"/>
      <c r="U36636" s="28"/>
    </row>
    <row r="36637">
      <c r="N36637" s="28"/>
      <c r="O36637" s="28"/>
      <c r="U36637" s="28"/>
    </row>
    <row r="36638">
      <c r="N36638" s="28"/>
      <c r="O36638" s="28"/>
      <c r="U36638" s="28"/>
    </row>
    <row r="36639">
      <c r="N36639" s="28"/>
      <c r="O36639" s="28"/>
      <c r="U36639" s="28"/>
    </row>
    <row r="36640">
      <c r="N36640" s="28"/>
      <c r="O36640" s="28"/>
      <c r="U36640" s="28"/>
    </row>
    <row r="36641">
      <c r="N36641" s="28"/>
      <c r="O36641" s="28"/>
      <c r="U36641" s="28"/>
    </row>
    <row r="36642">
      <c r="N36642" s="28"/>
      <c r="O36642" s="28"/>
      <c r="U36642" s="28"/>
    </row>
    <row r="36643">
      <c r="N36643" s="28"/>
      <c r="O36643" s="28"/>
      <c r="U36643" s="28"/>
    </row>
    <row r="36644">
      <c r="N36644" s="28"/>
      <c r="O36644" s="28"/>
      <c r="U36644" s="28"/>
    </row>
    <row r="36645">
      <c r="N36645" s="28"/>
      <c r="O36645" s="28"/>
      <c r="U36645" s="28"/>
    </row>
    <row r="36646">
      <c r="N36646" s="28"/>
      <c r="O36646" s="28"/>
      <c r="U36646" s="28"/>
    </row>
    <row r="36647">
      <c r="N36647" s="28"/>
      <c r="O36647" s="28"/>
      <c r="U36647" s="28"/>
    </row>
    <row r="36648">
      <c r="N36648" s="28"/>
      <c r="O36648" s="28"/>
      <c r="U36648" s="28"/>
    </row>
    <row r="36649">
      <c r="N36649" s="28"/>
      <c r="O36649" s="28"/>
      <c r="U36649" s="28"/>
    </row>
    <row r="36650">
      <c r="N36650" s="28"/>
      <c r="O36650" s="28"/>
      <c r="U36650" s="28"/>
    </row>
    <row r="36651">
      <c r="N36651" s="28"/>
      <c r="O36651" s="28"/>
      <c r="U36651" s="28"/>
    </row>
    <row r="36652">
      <c r="N36652" s="28"/>
      <c r="O36652" s="28"/>
      <c r="U36652" s="28"/>
    </row>
    <row r="36653">
      <c r="N36653" s="28"/>
      <c r="O36653" s="28"/>
      <c r="U36653" s="28"/>
    </row>
    <row r="36654">
      <c r="N36654" s="28"/>
      <c r="O36654" s="28"/>
      <c r="U36654" s="28"/>
    </row>
    <row r="36655">
      <c r="N36655" s="28"/>
      <c r="O36655" s="28"/>
      <c r="U36655" s="28"/>
    </row>
    <row r="36656">
      <c r="N36656" s="28"/>
      <c r="O36656" s="28"/>
      <c r="U36656" s="28"/>
    </row>
    <row r="36657">
      <c r="N36657" s="28"/>
      <c r="O36657" s="28"/>
      <c r="U36657" s="28"/>
    </row>
    <row r="36658">
      <c r="N36658" s="28"/>
      <c r="O36658" s="28"/>
      <c r="U36658" s="28"/>
    </row>
    <row r="36659">
      <c r="N36659" s="28"/>
      <c r="O36659" s="28"/>
      <c r="U36659" s="28"/>
    </row>
    <row r="36660">
      <c r="N36660" s="28"/>
      <c r="O36660" s="28"/>
      <c r="U36660" s="28"/>
    </row>
    <row r="36661">
      <c r="N36661" s="28"/>
      <c r="O36661" s="28"/>
      <c r="U36661" s="28"/>
    </row>
    <row r="36662">
      <c r="N36662" s="28"/>
      <c r="O36662" s="28"/>
      <c r="U36662" s="28"/>
    </row>
    <row r="36663">
      <c r="N36663" s="28"/>
      <c r="O36663" s="28"/>
      <c r="U36663" s="28"/>
    </row>
    <row r="36664">
      <c r="N36664" s="28"/>
      <c r="O36664" s="28"/>
      <c r="U36664" s="28"/>
    </row>
    <row r="36665">
      <c r="N36665" s="28"/>
      <c r="O36665" s="28"/>
      <c r="U36665" s="28"/>
    </row>
    <row r="36666">
      <c r="N36666" s="28"/>
      <c r="O36666" s="28"/>
      <c r="U36666" s="28"/>
    </row>
    <row r="36667">
      <c r="N36667" s="28"/>
      <c r="O36667" s="28"/>
      <c r="U36667" s="28"/>
    </row>
    <row r="36668">
      <c r="N36668" s="28"/>
      <c r="O36668" s="28"/>
      <c r="U36668" s="28"/>
    </row>
    <row r="36669">
      <c r="N36669" s="28"/>
      <c r="O36669" s="28"/>
      <c r="U36669" s="28"/>
    </row>
    <row r="36670">
      <c r="N36670" s="28"/>
      <c r="O36670" s="28"/>
      <c r="U36670" s="28"/>
    </row>
    <row r="36671">
      <c r="N36671" s="28"/>
      <c r="O36671" s="28"/>
      <c r="U36671" s="28"/>
    </row>
    <row r="36672">
      <c r="N36672" s="28"/>
      <c r="O36672" s="28"/>
      <c r="U36672" s="28"/>
    </row>
    <row r="36673">
      <c r="N36673" s="28"/>
      <c r="O36673" s="28"/>
      <c r="U36673" s="28"/>
    </row>
    <row r="36674">
      <c r="N36674" s="28"/>
      <c r="O36674" s="28"/>
      <c r="U36674" s="28"/>
    </row>
    <row r="36675">
      <c r="N36675" s="28"/>
      <c r="O36675" s="28"/>
      <c r="U36675" s="28"/>
    </row>
    <row r="36676">
      <c r="N36676" s="28"/>
      <c r="O36676" s="28"/>
      <c r="U36676" s="28"/>
    </row>
    <row r="36677">
      <c r="N36677" s="28"/>
      <c r="O36677" s="28"/>
      <c r="U36677" s="28"/>
    </row>
    <row r="36678">
      <c r="N36678" s="28"/>
      <c r="O36678" s="28"/>
      <c r="U36678" s="28"/>
    </row>
    <row r="36679">
      <c r="N36679" s="28"/>
      <c r="O36679" s="28"/>
      <c r="U36679" s="28"/>
    </row>
    <row r="36680">
      <c r="N36680" s="28"/>
      <c r="O36680" s="28"/>
      <c r="U36680" s="28"/>
    </row>
    <row r="36681">
      <c r="N36681" s="28"/>
      <c r="O36681" s="28"/>
      <c r="U36681" s="28"/>
    </row>
    <row r="36682">
      <c r="N36682" s="28"/>
      <c r="O36682" s="28"/>
      <c r="U36682" s="28"/>
    </row>
    <row r="36683">
      <c r="N36683" s="28"/>
      <c r="O36683" s="28"/>
      <c r="U36683" s="28"/>
    </row>
    <row r="36684">
      <c r="N36684" s="28"/>
      <c r="O36684" s="28"/>
      <c r="U36684" s="28"/>
    </row>
    <row r="36685">
      <c r="N36685" s="28"/>
      <c r="O36685" s="28"/>
      <c r="U36685" s="28"/>
    </row>
    <row r="36686">
      <c r="N36686" s="28"/>
      <c r="O36686" s="28"/>
      <c r="U36686" s="28"/>
    </row>
    <row r="36687">
      <c r="N36687" s="28"/>
      <c r="O36687" s="28"/>
      <c r="U36687" s="28"/>
    </row>
    <row r="36688">
      <c r="N36688" s="28"/>
      <c r="O36688" s="28"/>
      <c r="U36688" s="28"/>
    </row>
    <row r="36689">
      <c r="N36689" s="28"/>
      <c r="O36689" s="28"/>
      <c r="U36689" s="28"/>
    </row>
    <row r="36690">
      <c r="N36690" s="28"/>
      <c r="O36690" s="28"/>
      <c r="U36690" s="28"/>
    </row>
    <row r="36691">
      <c r="N36691" s="28"/>
      <c r="O36691" s="28"/>
      <c r="U36691" s="28"/>
    </row>
    <row r="36692">
      <c r="N36692" s="28"/>
      <c r="O36692" s="28"/>
      <c r="U36692" s="28"/>
    </row>
    <row r="36693">
      <c r="N36693" s="28"/>
      <c r="O36693" s="28"/>
      <c r="U36693" s="28"/>
    </row>
    <row r="36694">
      <c r="N36694" s="28"/>
      <c r="O36694" s="28"/>
      <c r="U36694" s="28"/>
    </row>
    <row r="36695">
      <c r="N36695" s="28"/>
      <c r="O36695" s="28"/>
      <c r="U36695" s="28"/>
    </row>
    <row r="36696">
      <c r="N36696" s="28"/>
      <c r="O36696" s="28"/>
      <c r="U36696" s="28"/>
    </row>
    <row r="36697">
      <c r="N36697" s="28"/>
      <c r="O36697" s="28"/>
      <c r="U36697" s="28"/>
    </row>
    <row r="36698">
      <c r="N36698" s="28"/>
      <c r="O36698" s="28"/>
      <c r="U36698" s="28"/>
    </row>
    <row r="36699">
      <c r="N36699" s="28"/>
      <c r="O36699" s="28"/>
      <c r="U36699" s="28"/>
    </row>
    <row r="36700">
      <c r="N36700" s="28"/>
      <c r="O36700" s="28"/>
      <c r="U36700" s="28"/>
    </row>
    <row r="36701">
      <c r="N36701" s="28"/>
      <c r="O36701" s="28"/>
      <c r="U36701" s="28"/>
    </row>
    <row r="36702">
      <c r="N36702" s="28"/>
      <c r="O36702" s="28"/>
      <c r="U36702" s="28"/>
    </row>
    <row r="36703">
      <c r="N36703" s="28"/>
      <c r="O36703" s="28"/>
      <c r="U36703" s="28"/>
    </row>
    <row r="36704">
      <c r="N36704" s="28"/>
      <c r="O36704" s="28"/>
      <c r="U36704" s="28"/>
    </row>
    <row r="36705">
      <c r="N36705" s="28"/>
      <c r="O36705" s="28"/>
      <c r="U36705" s="28"/>
    </row>
    <row r="36706">
      <c r="N36706" s="28"/>
      <c r="O36706" s="28"/>
      <c r="U36706" s="28"/>
    </row>
    <row r="36707">
      <c r="N36707" s="28"/>
      <c r="O36707" s="28"/>
      <c r="U36707" s="28"/>
    </row>
    <row r="36708">
      <c r="N36708" s="28"/>
      <c r="O36708" s="28"/>
      <c r="U36708" s="28"/>
    </row>
    <row r="36709">
      <c r="N36709" s="28"/>
      <c r="O36709" s="28"/>
      <c r="U36709" s="28"/>
    </row>
    <row r="36710">
      <c r="N36710" s="28"/>
      <c r="O36710" s="28"/>
      <c r="U36710" s="28"/>
    </row>
    <row r="36711">
      <c r="N36711" s="28"/>
      <c r="O36711" s="28"/>
      <c r="U36711" s="28"/>
    </row>
    <row r="36712">
      <c r="N36712" s="28"/>
      <c r="O36712" s="28"/>
      <c r="U36712" s="28"/>
    </row>
    <row r="36713">
      <c r="N36713" s="28"/>
      <c r="O36713" s="28"/>
      <c r="U36713" s="28"/>
    </row>
    <row r="36714">
      <c r="N36714" s="28"/>
      <c r="O36714" s="28"/>
      <c r="U36714" s="28"/>
    </row>
    <row r="36715">
      <c r="N36715" s="28"/>
      <c r="O36715" s="28"/>
      <c r="U36715" s="28"/>
    </row>
    <row r="36716">
      <c r="N36716" s="28"/>
      <c r="O36716" s="28"/>
      <c r="U36716" s="28"/>
    </row>
    <row r="36717">
      <c r="N36717" s="28"/>
      <c r="O36717" s="28"/>
      <c r="U36717" s="28"/>
    </row>
    <row r="36718">
      <c r="N36718" s="28"/>
      <c r="O36718" s="28"/>
      <c r="U36718" s="28"/>
    </row>
    <row r="36719">
      <c r="N36719" s="28"/>
      <c r="O36719" s="28"/>
      <c r="U36719" s="28"/>
    </row>
    <row r="36720">
      <c r="N36720" s="28"/>
      <c r="O36720" s="28"/>
      <c r="U36720" s="28"/>
    </row>
    <row r="36721">
      <c r="N36721" s="28"/>
      <c r="O36721" s="28"/>
      <c r="U36721" s="28"/>
    </row>
    <row r="36722">
      <c r="N36722" s="28"/>
      <c r="O36722" s="28"/>
      <c r="U36722" s="28"/>
    </row>
    <row r="36723">
      <c r="N36723" s="28"/>
      <c r="O36723" s="28"/>
      <c r="U36723" s="28"/>
    </row>
    <row r="36724">
      <c r="N36724" s="28"/>
      <c r="O36724" s="28"/>
      <c r="U36724" s="28"/>
    </row>
    <row r="36725">
      <c r="N36725" s="28"/>
      <c r="O36725" s="28"/>
      <c r="U36725" s="28"/>
    </row>
    <row r="36726">
      <c r="N36726" s="28"/>
      <c r="O36726" s="28"/>
      <c r="U36726" s="28"/>
    </row>
    <row r="36727">
      <c r="N36727" s="28"/>
      <c r="O36727" s="28"/>
      <c r="U36727" s="28"/>
    </row>
    <row r="36728">
      <c r="N36728" s="28"/>
      <c r="O36728" s="28"/>
      <c r="U36728" s="28"/>
    </row>
    <row r="36729">
      <c r="N36729" s="28"/>
      <c r="O36729" s="28"/>
      <c r="U36729" s="28"/>
    </row>
    <row r="36730">
      <c r="N36730" s="28"/>
      <c r="O36730" s="28"/>
      <c r="U36730" s="28"/>
    </row>
    <row r="36731">
      <c r="N36731" s="28"/>
      <c r="O36731" s="28"/>
      <c r="U36731" s="28"/>
    </row>
    <row r="36732">
      <c r="N36732" s="28"/>
      <c r="O36732" s="28"/>
      <c r="U36732" s="28"/>
    </row>
    <row r="36733">
      <c r="N36733" s="28"/>
      <c r="O36733" s="28"/>
      <c r="U36733" s="28"/>
    </row>
    <row r="36734">
      <c r="N36734" s="28"/>
      <c r="O36734" s="28"/>
      <c r="U36734" s="28"/>
    </row>
    <row r="36735">
      <c r="N36735" s="28"/>
      <c r="O36735" s="28"/>
      <c r="U36735" s="28"/>
    </row>
    <row r="36736">
      <c r="N36736" s="28"/>
      <c r="O36736" s="28"/>
      <c r="U36736" s="28"/>
    </row>
    <row r="36737">
      <c r="N36737" s="28"/>
      <c r="O36737" s="28"/>
      <c r="U36737" s="28"/>
    </row>
    <row r="36738">
      <c r="N36738" s="28"/>
      <c r="O36738" s="28"/>
      <c r="U36738" s="28"/>
    </row>
    <row r="36739">
      <c r="N36739" s="28"/>
      <c r="O36739" s="28"/>
      <c r="U36739" s="28"/>
    </row>
    <row r="36740">
      <c r="N36740" s="28"/>
      <c r="O36740" s="28"/>
      <c r="U36740" s="28"/>
    </row>
    <row r="36741">
      <c r="N36741" s="28"/>
      <c r="O36741" s="28"/>
      <c r="U36741" s="28"/>
    </row>
    <row r="36742">
      <c r="N36742" s="28"/>
      <c r="O36742" s="28"/>
      <c r="U36742" s="28"/>
    </row>
    <row r="36743">
      <c r="N36743" s="28"/>
      <c r="O36743" s="28"/>
      <c r="U36743" s="28"/>
    </row>
    <row r="36744">
      <c r="N36744" s="28"/>
      <c r="O36744" s="28"/>
      <c r="U36744" s="28"/>
    </row>
    <row r="36745">
      <c r="N36745" s="28"/>
      <c r="O36745" s="28"/>
      <c r="U36745" s="28"/>
    </row>
    <row r="36746">
      <c r="N36746" s="28"/>
      <c r="O36746" s="28"/>
      <c r="U36746" s="28"/>
    </row>
    <row r="36747">
      <c r="N36747" s="28"/>
      <c r="O36747" s="28"/>
      <c r="U36747" s="28"/>
    </row>
    <row r="36748">
      <c r="N36748" s="28"/>
      <c r="O36748" s="28"/>
      <c r="U36748" s="28"/>
    </row>
    <row r="36749">
      <c r="N36749" s="28"/>
      <c r="O36749" s="28"/>
      <c r="U36749" s="28"/>
    </row>
    <row r="36750">
      <c r="N36750" s="28"/>
      <c r="O36750" s="28"/>
      <c r="U36750" s="28"/>
    </row>
    <row r="36751">
      <c r="N36751" s="28"/>
      <c r="O36751" s="28"/>
      <c r="U36751" s="28"/>
    </row>
    <row r="36752">
      <c r="N36752" s="28"/>
      <c r="O36752" s="28"/>
      <c r="U36752" s="28"/>
    </row>
    <row r="36753">
      <c r="N36753" s="28"/>
      <c r="O36753" s="28"/>
      <c r="U36753" s="28"/>
    </row>
    <row r="36754">
      <c r="N36754" s="28"/>
      <c r="O36754" s="28"/>
      <c r="U36754" s="28"/>
    </row>
    <row r="36755">
      <c r="N36755" s="28"/>
      <c r="O36755" s="28"/>
      <c r="U36755" s="28"/>
    </row>
    <row r="36756">
      <c r="N36756" s="28"/>
      <c r="O36756" s="28"/>
      <c r="U36756" s="28"/>
    </row>
    <row r="36757">
      <c r="N36757" s="28"/>
      <c r="O36757" s="28"/>
      <c r="U36757" s="28"/>
    </row>
    <row r="36758">
      <c r="N36758" s="28"/>
      <c r="O36758" s="28"/>
      <c r="U36758" s="28"/>
    </row>
    <row r="36759">
      <c r="N36759" s="28"/>
      <c r="O36759" s="28"/>
      <c r="U36759" s="28"/>
    </row>
    <row r="36760">
      <c r="N36760" s="28"/>
      <c r="O36760" s="28"/>
      <c r="U36760" s="28"/>
    </row>
    <row r="36761">
      <c r="N36761" s="28"/>
      <c r="O36761" s="28"/>
      <c r="U36761" s="28"/>
    </row>
    <row r="36762">
      <c r="N36762" s="28"/>
      <c r="O36762" s="28"/>
      <c r="U36762" s="28"/>
    </row>
    <row r="36763">
      <c r="N36763" s="28"/>
      <c r="O36763" s="28"/>
      <c r="U36763" s="28"/>
    </row>
    <row r="36764">
      <c r="N36764" s="28"/>
      <c r="O36764" s="28"/>
      <c r="U36764" s="28"/>
    </row>
    <row r="36765">
      <c r="N36765" s="28"/>
      <c r="O36765" s="28"/>
      <c r="U36765" s="28"/>
    </row>
    <row r="36766">
      <c r="N36766" s="28"/>
      <c r="O36766" s="28"/>
      <c r="U36766" s="28"/>
    </row>
    <row r="36767">
      <c r="N36767" s="28"/>
      <c r="O36767" s="28"/>
      <c r="U36767" s="28"/>
    </row>
    <row r="36768">
      <c r="N36768" s="28"/>
      <c r="O36768" s="28"/>
      <c r="U36768" s="28"/>
    </row>
    <row r="36769">
      <c r="N36769" s="28"/>
      <c r="O36769" s="28"/>
      <c r="U36769" s="28"/>
    </row>
    <row r="36770">
      <c r="N36770" s="28"/>
      <c r="O36770" s="28"/>
      <c r="U36770" s="28"/>
    </row>
    <row r="36771">
      <c r="N36771" s="28"/>
      <c r="O36771" s="28"/>
      <c r="U36771" s="28"/>
    </row>
    <row r="36772">
      <c r="N36772" s="28"/>
      <c r="O36772" s="28"/>
      <c r="U36772" s="28"/>
    </row>
    <row r="36773">
      <c r="N36773" s="28"/>
      <c r="O36773" s="28"/>
      <c r="U36773" s="28"/>
    </row>
    <row r="36774">
      <c r="N36774" s="28"/>
      <c r="O36774" s="28"/>
      <c r="U36774" s="28"/>
    </row>
    <row r="36775">
      <c r="N36775" s="28"/>
      <c r="O36775" s="28"/>
      <c r="U36775" s="28"/>
    </row>
    <row r="36776">
      <c r="N36776" s="28"/>
      <c r="O36776" s="28"/>
      <c r="U36776" s="28"/>
    </row>
    <row r="36777">
      <c r="N36777" s="28"/>
      <c r="O36777" s="28"/>
      <c r="U36777" s="28"/>
    </row>
    <row r="36778">
      <c r="N36778" s="28"/>
      <c r="O36778" s="28"/>
      <c r="U36778" s="28"/>
    </row>
    <row r="36779">
      <c r="N36779" s="28"/>
      <c r="O36779" s="28"/>
      <c r="U36779" s="28"/>
    </row>
    <row r="36780">
      <c r="N36780" s="28"/>
      <c r="O36780" s="28"/>
      <c r="U36780" s="28"/>
    </row>
    <row r="36781">
      <c r="N36781" s="28"/>
      <c r="O36781" s="28"/>
      <c r="U36781" s="28"/>
    </row>
    <row r="36782">
      <c r="N36782" s="28"/>
      <c r="O36782" s="28"/>
      <c r="U36782" s="28"/>
    </row>
    <row r="36783">
      <c r="N36783" s="28"/>
      <c r="O36783" s="28"/>
      <c r="U36783" s="28"/>
    </row>
    <row r="36784">
      <c r="N36784" s="28"/>
      <c r="O36784" s="28"/>
      <c r="U36784" s="28"/>
    </row>
    <row r="36785">
      <c r="N36785" s="28"/>
      <c r="O36785" s="28"/>
      <c r="U36785" s="28"/>
    </row>
    <row r="36786">
      <c r="N36786" s="28"/>
      <c r="O36786" s="28"/>
      <c r="U36786" s="28"/>
    </row>
    <row r="36787">
      <c r="N36787" s="28"/>
      <c r="O36787" s="28"/>
      <c r="U36787" s="28"/>
    </row>
    <row r="36788">
      <c r="N36788" s="28"/>
      <c r="O36788" s="28"/>
      <c r="U36788" s="28"/>
    </row>
    <row r="36789">
      <c r="N36789" s="28"/>
      <c r="O36789" s="28"/>
      <c r="U36789" s="28"/>
    </row>
    <row r="36790">
      <c r="N36790" s="28"/>
      <c r="O36790" s="28"/>
      <c r="U36790" s="28"/>
    </row>
    <row r="36791">
      <c r="N36791" s="28"/>
      <c r="O36791" s="28"/>
      <c r="U36791" s="28"/>
    </row>
    <row r="36792">
      <c r="N36792" s="28"/>
      <c r="O36792" s="28"/>
      <c r="U36792" s="28"/>
    </row>
    <row r="36793">
      <c r="N36793" s="28"/>
      <c r="O36793" s="28"/>
      <c r="U36793" s="28"/>
    </row>
    <row r="36794">
      <c r="N36794" s="28"/>
      <c r="O36794" s="28"/>
      <c r="U36794" s="28"/>
    </row>
    <row r="36795">
      <c r="N36795" s="28"/>
      <c r="O36795" s="28"/>
      <c r="U36795" s="28"/>
    </row>
    <row r="36796">
      <c r="N36796" s="28"/>
      <c r="O36796" s="28"/>
      <c r="U36796" s="28"/>
    </row>
    <row r="36797">
      <c r="N36797" s="28"/>
      <c r="O36797" s="28"/>
      <c r="U36797" s="28"/>
    </row>
    <row r="36798">
      <c r="N36798" s="28"/>
      <c r="O36798" s="28"/>
      <c r="U36798" s="28"/>
    </row>
    <row r="36799">
      <c r="N36799" s="28"/>
      <c r="O36799" s="28"/>
      <c r="U36799" s="28"/>
    </row>
    <row r="36800">
      <c r="N36800" s="28"/>
      <c r="O36800" s="28"/>
      <c r="U36800" s="28"/>
    </row>
    <row r="36801">
      <c r="N36801" s="28"/>
      <c r="O36801" s="28"/>
      <c r="U36801" s="28"/>
    </row>
    <row r="36802">
      <c r="N36802" s="28"/>
      <c r="O36802" s="28"/>
      <c r="U36802" s="28"/>
    </row>
    <row r="36803">
      <c r="N36803" s="28"/>
      <c r="O36803" s="28"/>
      <c r="U36803" s="28"/>
    </row>
    <row r="36804">
      <c r="N36804" s="28"/>
      <c r="O36804" s="28"/>
      <c r="U36804" s="28"/>
    </row>
    <row r="36805">
      <c r="N36805" s="28"/>
      <c r="O36805" s="28"/>
      <c r="U36805" s="28"/>
    </row>
    <row r="36806">
      <c r="N36806" s="28"/>
      <c r="O36806" s="28"/>
      <c r="U36806" s="28"/>
    </row>
    <row r="36807">
      <c r="N36807" s="28"/>
      <c r="O36807" s="28"/>
      <c r="U36807" s="28"/>
    </row>
    <row r="36808">
      <c r="N36808" s="28"/>
      <c r="O36808" s="28"/>
      <c r="U36808" s="28"/>
    </row>
    <row r="36809">
      <c r="N36809" s="28"/>
      <c r="O36809" s="28"/>
      <c r="U36809" s="28"/>
    </row>
    <row r="36810">
      <c r="N36810" s="28"/>
      <c r="O36810" s="28"/>
      <c r="U36810" s="28"/>
    </row>
    <row r="36811">
      <c r="N36811" s="28"/>
      <c r="O36811" s="28"/>
      <c r="U36811" s="28"/>
    </row>
    <row r="36812">
      <c r="N36812" s="28"/>
      <c r="O36812" s="28"/>
      <c r="U36812" s="28"/>
    </row>
    <row r="36813">
      <c r="N36813" s="28"/>
      <c r="O36813" s="28"/>
      <c r="U36813" s="28"/>
    </row>
    <row r="36814">
      <c r="N36814" s="28"/>
      <c r="O36814" s="28"/>
      <c r="U36814" s="28"/>
    </row>
    <row r="36815">
      <c r="N36815" s="28"/>
      <c r="O36815" s="28"/>
      <c r="U36815" s="28"/>
    </row>
    <row r="36816">
      <c r="N36816" s="28"/>
      <c r="O36816" s="28"/>
      <c r="U36816" s="28"/>
    </row>
    <row r="36817">
      <c r="N36817" s="28"/>
      <c r="O36817" s="28"/>
      <c r="U36817" s="28"/>
    </row>
    <row r="36818">
      <c r="N36818" s="28"/>
      <c r="O36818" s="28"/>
      <c r="U36818" s="28"/>
    </row>
    <row r="36819">
      <c r="N36819" s="28"/>
      <c r="O36819" s="28"/>
      <c r="U36819" s="28"/>
    </row>
    <row r="36820">
      <c r="N36820" s="28"/>
      <c r="O36820" s="28"/>
      <c r="U36820" s="28"/>
    </row>
    <row r="36821">
      <c r="N36821" s="28"/>
      <c r="O36821" s="28"/>
      <c r="U36821" s="28"/>
    </row>
    <row r="36822">
      <c r="N36822" s="28"/>
      <c r="O36822" s="28"/>
      <c r="U36822" s="28"/>
    </row>
    <row r="36823">
      <c r="N36823" s="28"/>
      <c r="O36823" s="28"/>
      <c r="U36823" s="28"/>
    </row>
    <row r="36824">
      <c r="N36824" s="28"/>
      <c r="O36824" s="28"/>
      <c r="U36824" s="28"/>
    </row>
    <row r="36825">
      <c r="N36825" s="28"/>
      <c r="O36825" s="28"/>
      <c r="U36825" s="28"/>
    </row>
    <row r="36826">
      <c r="N36826" s="28"/>
      <c r="O36826" s="28"/>
      <c r="U36826" s="28"/>
    </row>
    <row r="36827">
      <c r="N36827" s="28"/>
      <c r="O36827" s="28"/>
      <c r="U36827" s="28"/>
    </row>
    <row r="36828">
      <c r="N36828" s="28"/>
      <c r="O36828" s="28"/>
      <c r="U36828" s="28"/>
    </row>
    <row r="36829">
      <c r="N36829" s="28"/>
      <c r="O36829" s="28"/>
      <c r="U36829" s="28"/>
    </row>
    <row r="36830">
      <c r="N36830" s="28"/>
      <c r="O36830" s="28"/>
      <c r="U36830" s="28"/>
    </row>
    <row r="36831">
      <c r="N36831" s="28"/>
      <c r="O36831" s="28"/>
      <c r="U36831" s="28"/>
    </row>
    <row r="36832">
      <c r="N36832" s="28"/>
      <c r="O36832" s="28"/>
      <c r="U36832" s="28"/>
    </row>
    <row r="36833">
      <c r="N36833" s="28"/>
      <c r="O36833" s="28"/>
      <c r="U36833" s="28"/>
    </row>
    <row r="36834">
      <c r="N36834" s="28"/>
      <c r="O36834" s="28"/>
      <c r="U36834" s="28"/>
    </row>
    <row r="36835">
      <c r="N36835" s="28"/>
      <c r="O36835" s="28"/>
      <c r="U36835" s="28"/>
    </row>
    <row r="36836">
      <c r="N36836" s="28"/>
      <c r="O36836" s="28"/>
      <c r="U36836" s="28"/>
    </row>
    <row r="36837">
      <c r="N36837" s="28"/>
      <c r="O36837" s="28"/>
      <c r="U36837" s="28"/>
    </row>
    <row r="36838">
      <c r="N36838" s="28"/>
      <c r="O36838" s="28"/>
      <c r="U36838" s="28"/>
    </row>
    <row r="36839">
      <c r="N36839" s="28"/>
      <c r="O36839" s="28"/>
      <c r="U36839" s="28"/>
    </row>
    <row r="36840">
      <c r="N36840" s="28"/>
      <c r="O36840" s="28"/>
      <c r="U36840" s="28"/>
    </row>
    <row r="36841">
      <c r="N36841" s="28"/>
      <c r="O36841" s="28"/>
      <c r="U36841" s="28"/>
    </row>
    <row r="36842">
      <c r="N36842" s="28"/>
      <c r="O36842" s="28"/>
      <c r="U36842" s="28"/>
    </row>
    <row r="36843">
      <c r="N36843" s="28"/>
      <c r="O36843" s="28"/>
      <c r="U36843" s="28"/>
    </row>
    <row r="36844">
      <c r="N36844" s="28"/>
      <c r="O36844" s="28"/>
      <c r="U36844" s="28"/>
    </row>
    <row r="36845">
      <c r="N36845" s="28"/>
      <c r="O36845" s="28"/>
      <c r="U36845" s="28"/>
    </row>
    <row r="36846">
      <c r="N36846" s="28"/>
      <c r="O36846" s="28"/>
      <c r="U36846" s="28"/>
    </row>
    <row r="36847">
      <c r="N36847" s="28"/>
      <c r="O36847" s="28"/>
      <c r="U36847" s="28"/>
    </row>
    <row r="36848">
      <c r="N36848" s="28"/>
      <c r="O36848" s="28"/>
      <c r="U36848" s="28"/>
    </row>
    <row r="36849">
      <c r="N36849" s="28"/>
      <c r="O36849" s="28"/>
      <c r="U36849" s="28"/>
    </row>
    <row r="36850">
      <c r="N36850" s="28"/>
      <c r="O36850" s="28"/>
      <c r="U36850" s="28"/>
    </row>
    <row r="36851">
      <c r="N36851" s="28"/>
      <c r="O36851" s="28"/>
      <c r="U36851" s="28"/>
    </row>
    <row r="36852">
      <c r="N36852" s="28"/>
      <c r="O36852" s="28"/>
      <c r="U36852" s="28"/>
    </row>
    <row r="36853">
      <c r="N36853" s="28"/>
      <c r="O36853" s="28"/>
      <c r="U36853" s="28"/>
    </row>
    <row r="36854">
      <c r="N36854" s="28"/>
      <c r="O36854" s="28"/>
      <c r="U36854" s="28"/>
    </row>
    <row r="36855">
      <c r="N36855" s="28"/>
      <c r="O36855" s="28"/>
      <c r="U36855" s="28"/>
    </row>
    <row r="36856">
      <c r="N36856" s="28"/>
      <c r="O36856" s="28"/>
      <c r="U36856" s="28"/>
    </row>
    <row r="36857">
      <c r="N36857" s="28"/>
      <c r="O36857" s="28"/>
      <c r="U36857" s="28"/>
    </row>
    <row r="36858">
      <c r="N36858" s="28"/>
      <c r="O36858" s="28"/>
      <c r="U36858" s="28"/>
    </row>
    <row r="36859">
      <c r="N36859" s="28"/>
      <c r="O36859" s="28"/>
      <c r="U36859" s="28"/>
    </row>
    <row r="36860">
      <c r="N36860" s="28"/>
      <c r="O36860" s="28"/>
      <c r="U36860" s="28"/>
    </row>
    <row r="36861">
      <c r="N36861" s="28"/>
      <c r="O36861" s="28"/>
      <c r="U36861" s="28"/>
    </row>
    <row r="36862">
      <c r="N36862" s="28"/>
      <c r="O36862" s="28"/>
      <c r="U36862" s="28"/>
    </row>
    <row r="36863">
      <c r="N36863" s="28"/>
      <c r="O36863" s="28"/>
      <c r="U36863" s="28"/>
    </row>
    <row r="36864">
      <c r="N36864" s="28"/>
      <c r="O36864" s="28"/>
      <c r="U36864" s="28"/>
    </row>
    <row r="36865">
      <c r="N36865" s="28"/>
      <c r="O36865" s="28"/>
      <c r="U36865" s="28"/>
    </row>
    <row r="36866">
      <c r="N36866" s="28"/>
      <c r="O36866" s="28"/>
      <c r="U36866" s="28"/>
    </row>
    <row r="36867">
      <c r="N36867" s="28"/>
      <c r="O36867" s="28"/>
      <c r="U36867" s="28"/>
    </row>
    <row r="36868">
      <c r="N36868" s="28"/>
      <c r="O36868" s="28"/>
      <c r="U36868" s="28"/>
    </row>
    <row r="36869">
      <c r="N36869" s="28"/>
      <c r="O36869" s="28"/>
      <c r="U36869" s="28"/>
    </row>
    <row r="36870">
      <c r="N36870" s="28"/>
      <c r="O36870" s="28"/>
      <c r="U36870" s="28"/>
    </row>
    <row r="36871">
      <c r="N36871" s="28"/>
      <c r="O36871" s="28"/>
      <c r="U36871" s="28"/>
    </row>
    <row r="36872">
      <c r="N36872" s="28"/>
      <c r="O36872" s="28"/>
      <c r="U36872" s="28"/>
    </row>
    <row r="36873">
      <c r="N36873" s="28"/>
      <c r="O36873" s="28"/>
      <c r="U36873" s="28"/>
    </row>
    <row r="36874">
      <c r="N36874" s="28"/>
      <c r="O36874" s="28"/>
      <c r="U36874" s="28"/>
    </row>
    <row r="36875">
      <c r="N36875" s="28"/>
      <c r="O36875" s="28"/>
      <c r="U36875" s="28"/>
    </row>
    <row r="36876">
      <c r="N36876" s="28"/>
      <c r="O36876" s="28"/>
      <c r="U36876" s="28"/>
    </row>
    <row r="36877">
      <c r="N36877" s="28"/>
      <c r="O36877" s="28"/>
      <c r="U36877" s="28"/>
    </row>
    <row r="36878">
      <c r="N36878" s="28"/>
      <c r="O36878" s="28"/>
      <c r="U36878" s="28"/>
    </row>
    <row r="36879">
      <c r="N36879" s="28"/>
      <c r="O36879" s="28"/>
      <c r="U36879" s="28"/>
    </row>
    <row r="36880">
      <c r="N36880" s="28"/>
      <c r="O36880" s="28"/>
      <c r="U36880" s="28"/>
    </row>
    <row r="36881">
      <c r="N36881" s="28"/>
      <c r="O36881" s="28"/>
      <c r="U36881" s="28"/>
    </row>
    <row r="36882">
      <c r="N36882" s="28"/>
      <c r="O36882" s="28"/>
      <c r="U36882" s="28"/>
    </row>
    <row r="36883">
      <c r="N36883" s="28"/>
      <c r="O36883" s="28"/>
      <c r="U36883" s="28"/>
    </row>
    <row r="36884">
      <c r="N36884" s="28"/>
      <c r="O36884" s="28"/>
      <c r="U36884" s="28"/>
    </row>
    <row r="36885">
      <c r="N36885" s="28"/>
      <c r="O36885" s="28"/>
      <c r="U36885" s="28"/>
    </row>
    <row r="36886">
      <c r="N36886" s="28"/>
      <c r="O36886" s="28"/>
      <c r="U36886" s="28"/>
    </row>
    <row r="36887">
      <c r="N36887" s="28"/>
      <c r="O36887" s="28"/>
      <c r="U36887" s="28"/>
    </row>
    <row r="36888">
      <c r="N36888" s="28"/>
      <c r="O36888" s="28"/>
      <c r="U36888" s="28"/>
    </row>
    <row r="36889">
      <c r="N36889" s="28"/>
      <c r="O36889" s="28"/>
      <c r="U36889" s="28"/>
    </row>
    <row r="36890">
      <c r="N36890" s="28"/>
      <c r="O36890" s="28"/>
      <c r="U36890" s="28"/>
    </row>
    <row r="36891">
      <c r="N36891" s="28"/>
      <c r="O36891" s="28"/>
      <c r="U36891" s="28"/>
    </row>
    <row r="36892">
      <c r="N36892" s="28"/>
      <c r="O36892" s="28"/>
      <c r="U36892" s="28"/>
    </row>
    <row r="36893">
      <c r="N36893" s="28"/>
      <c r="O36893" s="28"/>
      <c r="U36893" s="28"/>
    </row>
    <row r="36894">
      <c r="N36894" s="28"/>
      <c r="O36894" s="28"/>
      <c r="U36894" s="28"/>
    </row>
    <row r="36895">
      <c r="N36895" s="28"/>
      <c r="O36895" s="28"/>
      <c r="U36895" s="28"/>
    </row>
    <row r="36896">
      <c r="N36896" s="28"/>
      <c r="O36896" s="28"/>
      <c r="U36896" s="28"/>
    </row>
    <row r="36897">
      <c r="N36897" s="28"/>
      <c r="O36897" s="28"/>
      <c r="U36897" s="28"/>
    </row>
    <row r="36898">
      <c r="N36898" s="28"/>
      <c r="O36898" s="28"/>
      <c r="U36898" s="28"/>
    </row>
    <row r="36899">
      <c r="N36899" s="28"/>
      <c r="O36899" s="28"/>
      <c r="U36899" s="28"/>
    </row>
    <row r="36900">
      <c r="N36900" s="28"/>
      <c r="O36900" s="28"/>
      <c r="U36900" s="28"/>
    </row>
    <row r="36901">
      <c r="N36901" s="28"/>
      <c r="O36901" s="28"/>
      <c r="U36901" s="28"/>
    </row>
    <row r="36902">
      <c r="N36902" s="28"/>
      <c r="O36902" s="28"/>
      <c r="U36902" s="28"/>
    </row>
    <row r="36903">
      <c r="N36903" s="28"/>
      <c r="O36903" s="28"/>
      <c r="U36903" s="28"/>
    </row>
    <row r="36904">
      <c r="N36904" s="28"/>
      <c r="O36904" s="28"/>
      <c r="U36904" s="28"/>
    </row>
    <row r="36905">
      <c r="N36905" s="28"/>
      <c r="O36905" s="28"/>
      <c r="U36905" s="28"/>
    </row>
    <row r="36906">
      <c r="N36906" s="28"/>
      <c r="O36906" s="28"/>
      <c r="U36906" s="28"/>
    </row>
    <row r="36907">
      <c r="N36907" s="28"/>
      <c r="O36907" s="28"/>
      <c r="U36907" s="28"/>
    </row>
    <row r="36908">
      <c r="N36908" s="28"/>
      <c r="O36908" s="28"/>
      <c r="U36908" s="28"/>
    </row>
    <row r="36909">
      <c r="N36909" s="28"/>
      <c r="O36909" s="28"/>
      <c r="U36909" s="28"/>
    </row>
    <row r="36910">
      <c r="N36910" s="28"/>
      <c r="O36910" s="28"/>
      <c r="U36910" s="28"/>
    </row>
    <row r="36911">
      <c r="N36911" s="28"/>
      <c r="O36911" s="28"/>
      <c r="U36911" s="28"/>
    </row>
    <row r="36912">
      <c r="N36912" s="28"/>
      <c r="O36912" s="28"/>
      <c r="U36912" s="28"/>
    </row>
    <row r="36913">
      <c r="N36913" s="28"/>
      <c r="O36913" s="28"/>
      <c r="U36913" s="28"/>
    </row>
    <row r="36914">
      <c r="N36914" s="28"/>
      <c r="O36914" s="28"/>
      <c r="U36914" s="28"/>
    </row>
    <row r="36915">
      <c r="N36915" s="28"/>
      <c r="O36915" s="28"/>
      <c r="U36915" s="28"/>
    </row>
    <row r="36916">
      <c r="N36916" s="28"/>
      <c r="O36916" s="28"/>
      <c r="U36916" s="28"/>
    </row>
    <row r="36917">
      <c r="N36917" s="28"/>
      <c r="O36917" s="28"/>
      <c r="U36917" s="28"/>
    </row>
    <row r="36918">
      <c r="N36918" s="28"/>
      <c r="O36918" s="28"/>
      <c r="U36918" s="28"/>
    </row>
    <row r="36919">
      <c r="N36919" s="28"/>
      <c r="O36919" s="28"/>
      <c r="U36919" s="28"/>
    </row>
    <row r="36920">
      <c r="N36920" s="28"/>
      <c r="O36920" s="28"/>
      <c r="U36920" s="28"/>
    </row>
    <row r="36921">
      <c r="N36921" s="28"/>
      <c r="O36921" s="28"/>
      <c r="U36921" s="28"/>
    </row>
    <row r="36922">
      <c r="N36922" s="28"/>
      <c r="O36922" s="28"/>
      <c r="U36922" s="28"/>
    </row>
    <row r="36923">
      <c r="N36923" s="28"/>
      <c r="O36923" s="28"/>
      <c r="U36923" s="28"/>
    </row>
    <row r="36924">
      <c r="N36924" s="28"/>
      <c r="O36924" s="28"/>
      <c r="U36924" s="28"/>
    </row>
    <row r="36925">
      <c r="N36925" s="28"/>
      <c r="O36925" s="28"/>
      <c r="U36925" s="28"/>
    </row>
    <row r="36926">
      <c r="N36926" s="28"/>
      <c r="O36926" s="28"/>
      <c r="U36926" s="28"/>
    </row>
    <row r="36927">
      <c r="N36927" s="28"/>
      <c r="O36927" s="28"/>
      <c r="U36927" s="28"/>
    </row>
    <row r="36928">
      <c r="N36928" s="28"/>
      <c r="O36928" s="28"/>
      <c r="U36928" s="28"/>
    </row>
    <row r="36929">
      <c r="N36929" s="28"/>
      <c r="O36929" s="28"/>
      <c r="U36929" s="28"/>
    </row>
    <row r="36930">
      <c r="N36930" s="28"/>
      <c r="O36930" s="28"/>
      <c r="U36930" s="28"/>
    </row>
    <row r="36931">
      <c r="N36931" s="28"/>
      <c r="O36931" s="28"/>
      <c r="U36931" s="28"/>
    </row>
    <row r="36932">
      <c r="N36932" s="28"/>
      <c r="O36932" s="28"/>
      <c r="U36932" s="28"/>
    </row>
    <row r="36933">
      <c r="N36933" s="28"/>
      <c r="O36933" s="28"/>
      <c r="U36933" s="28"/>
    </row>
    <row r="36934">
      <c r="N36934" s="28"/>
      <c r="O36934" s="28"/>
      <c r="U36934" s="28"/>
    </row>
    <row r="36935">
      <c r="N36935" s="28"/>
      <c r="O36935" s="28"/>
      <c r="U36935" s="28"/>
    </row>
    <row r="36936">
      <c r="N36936" s="28"/>
      <c r="O36936" s="28"/>
      <c r="U36936" s="28"/>
    </row>
    <row r="36937">
      <c r="N36937" s="28"/>
      <c r="O36937" s="28"/>
      <c r="U36937" s="28"/>
    </row>
    <row r="36938">
      <c r="N36938" s="28"/>
      <c r="O36938" s="28"/>
      <c r="U36938" s="28"/>
    </row>
    <row r="36939">
      <c r="N36939" s="28"/>
      <c r="O36939" s="28"/>
      <c r="U36939" s="28"/>
    </row>
    <row r="36940">
      <c r="N36940" s="28"/>
      <c r="O36940" s="28"/>
      <c r="U36940" s="28"/>
    </row>
    <row r="36941">
      <c r="N36941" s="28"/>
      <c r="O36941" s="28"/>
      <c r="U36941" s="28"/>
    </row>
    <row r="36942">
      <c r="N36942" s="28"/>
      <c r="O36942" s="28"/>
      <c r="U36942" s="28"/>
    </row>
    <row r="36943">
      <c r="N36943" s="28"/>
      <c r="O36943" s="28"/>
      <c r="U36943" s="28"/>
    </row>
    <row r="36944">
      <c r="N36944" s="28"/>
      <c r="O36944" s="28"/>
      <c r="U36944" s="28"/>
    </row>
    <row r="36945">
      <c r="N36945" s="28"/>
      <c r="O36945" s="28"/>
      <c r="U36945" s="28"/>
    </row>
    <row r="36946">
      <c r="N36946" s="28"/>
      <c r="O36946" s="28"/>
      <c r="U36946" s="28"/>
    </row>
    <row r="36947">
      <c r="N36947" s="28"/>
      <c r="O36947" s="28"/>
      <c r="U36947" s="28"/>
    </row>
    <row r="36948">
      <c r="N36948" s="28"/>
      <c r="O36948" s="28"/>
      <c r="U36948" s="28"/>
    </row>
    <row r="36949">
      <c r="N36949" s="28"/>
      <c r="O36949" s="28"/>
      <c r="U36949" s="28"/>
    </row>
    <row r="36950">
      <c r="N36950" s="28"/>
      <c r="O36950" s="28"/>
      <c r="U36950" s="28"/>
    </row>
    <row r="36951">
      <c r="N36951" s="28"/>
      <c r="O36951" s="28"/>
      <c r="U36951" s="28"/>
    </row>
    <row r="36952">
      <c r="N36952" s="28"/>
      <c r="O36952" s="28"/>
      <c r="U36952" s="28"/>
    </row>
    <row r="36953">
      <c r="N36953" s="28"/>
      <c r="O36953" s="28"/>
      <c r="U36953" s="28"/>
    </row>
    <row r="36954">
      <c r="N36954" s="28"/>
      <c r="O36954" s="28"/>
      <c r="U36954" s="28"/>
    </row>
    <row r="36955">
      <c r="N36955" s="28"/>
      <c r="O36955" s="28"/>
      <c r="U36955" s="28"/>
    </row>
    <row r="36956">
      <c r="N36956" s="28"/>
      <c r="O36956" s="28"/>
      <c r="U36956" s="28"/>
    </row>
    <row r="36957">
      <c r="N36957" s="28"/>
      <c r="O36957" s="28"/>
      <c r="U36957" s="28"/>
    </row>
    <row r="36958">
      <c r="N36958" s="28"/>
      <c r="O36958" s="28"/>
      <c r="U36958" s="28"/>
    </row>
    <row r="36959">
      <c r="N36959" s="28"/>
      <c r="O36959" s="28"/>
      <c r="U36959" s="28"/>
    </row>
    <row r="36960">
      <c r="N36960" s="28"/>
      <c r="O36960" s="28"/>
      <c r="U36960" s="28"/>
    </row>
    <row r="36961">
      <c r="N36961" s="28"/>
      <c r="O36961" s="28"/>
      <c r="U36961" s="28"/>
    </row>
    <row r="36962">
      <c r="N36962" s="28"/>
      <c r="O36962" s="28"/>
      <c r="U36962" s="28"/>
    </row>
    <row r="36963">
      <c r="N36963" s="28"/>
      <c r="O36963" s="28"/>
      <c r="U36963" s="28"/>
    </row>
    <row r="36964">
      <c r="N36964" s="28"/>
      <c r="O36964" s="28"/>
      <c r="U36964" s="28"/>
    </row>
    <row r="36965">
      <c r="N36965" s="28"/>
      <c r="O36965" s="28"/>
      <c r="U36965" s="28"/>
    </row>
    <row r="36966">
      <c r="N36966" s="28"/>
      <c r="O36966" s="28"/>
      <c r="U36966" s="28"/>
    </row>
    <row r="36967">
      <c r="N36967" s="28"/>
      <c r="O36967" s="28"/>
      <c r="U36967" s="28"/>
    </row>
    <row r="36968">
      <c r="N36968" s="28"/>
      <c r="O36968" s="28"/>
      <c r="U36968" s="28"/>
    </row>
    <row r="36969">
      <c r="N36969" s="28"/>
      <c r="O36969" s="28"/>
      <c r="U36969" s="28"/>
    </row>
    <row r="36970">
      <c r="N36970" s="28"/>
      <c r="O36970" s="28"/>
      <c r="U36970" s="28"/>
    </row>
    <row r="36971">
      <c r="N36971" s="28"/>
      <c r="O36971" s="28"/>
      <c r="U36971" s="28"/>
    </row>
    <row r="36972">
      <c r="N36972" s="28"/>
      <c r="O36972" s="28"/>
      <c r="U36972" s="28"/>
    </row>
    <row r="36973">
      <c r="N36973" s="28"/>
      <c r="O36973" s="28"/>
      <c r="U36973" s="28"/>
    </row>
    <row r="36974">
      <c r="N36974" s="28"/>
      <c r="O36974" s="28"/>
      <c r="U36974" s="28"/>
    </row>
    <row r="36975">
      <c r="N36975" s="28"/>
      <c r="O36975" s="28"/>
      <c r="U36975" s="28"/>
    </row>
    <row r="36976">
      <c r="N36976" s="28"/>
      <c r="O36976" s="28"/>
      <c r="U36976" s="28"/>
    </row>
    <row r="36977">
      <c r="N36977" s="28"/>
      <c r="O36977" s="28"/>
      <c r="U36977" s="28"/>
    </row>
    <row r="36978">
      <c r="N36978" s="28"/>
      <c r="O36978" s="28"/>
      <c r="U36978" s="28"/>
    </row>
    <row r="36979">
      <c r="N36979" s="28"/>
      <c r="O36979" s="28"/>
      <c r="U36979" s="28"/>
    </row>
    <row r="36980">
      <c r="N36980" s="28"/>
      <c r="O36980" s="28"/>
      <c r="U36980" s="28"/>
    </row>
    <row r="36981">
      <c r="N36981" s="28"/>
      <c r="O36981" s="28"/>
      <c r="U36981" s="28"/>
    </row>
    <row r="36982">
      <c r="N36982" s="28"/>
      <c r="O36982" s="28"/>
      <c r="U36982" s="28"/>
    </row>
    <row r="36983">
      <c r="N36983" s="28"/>
      <c r="O36983" s="28"/>
      <c r="U36983" s="28"/>
    </row>
    <row r="36984">
      <c r="N36984" s="28"/>
      <c r="O36984" s="28"/>
      <c r="U36984" s="28"/>
    </row>
    <row r="36985">
      <c r="N36985" s="28"/>
      <c r="O36985" s="28"/>
      <c r="U36985" s="28"/>
    </row>
    <row r="36986">
      <c r="N36986" s="28"/>
      <c r="O36986" s="28"/>
      <c r="U36986" s="28"/>
    </row>
    <row r="36987">
      <c r="N36987" s="28"/>
      <c r="O36987" s="28"/>
      <c r="U36987" s="28"/>
    </row>
    <row r="36988">
      <c r="N36988" s="28"/>
      <c r="O36988" s="28"/>
      <c r="U36988" s="28"/>
    </row>
    <row r="36989">
      <c r="N36989" s="28"/>
      <c r="O36989" s="28"/>
      <c r="U36989" s="28"/>
    </row>
    <row r="36990">
      <c r="N36990" s="28"/>
      <c r="O36990" s="28"/>
      <c r="U36990" s="28"/>
    </row>
    <row r="36991">
      <c r="N36991" s="28"/>
      <c r="O36991" s="28"/>
      <c r="U36991" s="28"/>
    </row>
    <row r="36992">
      <c r="N36992" s="28"/>
      <c r="O36992" s="28"/>
      <c r="U36992" s="28"/>
    </row>
    <row r="36993">
      <c r="N36993" s="28"/>
      <c r="O36993" s="28"/>
      <c r="U36993" s="28"/>
    </row>
    <row r="36994">
      <c r="N36994" s="28"/>
      <c r="O36994" s="28"/>
      <c r="U36994" s="28"/>
    </row>
    <row r="36995">
      <c r="N36995" s="28"/>
      <c r="O36995" s="28"/>
      <c r="U36995" s="28"/>
    </row>
    <row r="36996">
      <c r="N36996" s="28"/>
      <c r="O36996" s="28"/>
      <c r="U36996" s="28"/>
    </row>
    <row r="36997">
      <c r="N36997" s="28"/>
      <c r="O36997" s="28"/>
      <c r="U36997" s="28"/>
    </row>
    <row r="36998">
      <c r="N36998" s="28"/>
      <c r="O36998" s="28"/>
      <c r="U36998" s="28"/>
    </row>
    <row r="36999">
      <c r="N36999" s="28"/>
      <c r="O36999" s="28"/>
      <c r="U36999" s="28"/>
    </row>
    <row r="37000">
      <c r="N37000" s="28"/>
      <c r="O37000" s="28"/>
      <c r="U37000" s="28"/>
    </row>
    <row r="37001">
      <c r="N37001" s="28"/>
      <c r="O37001" s="28"/>
      <c r="U37001" s="28"/>
    </row>
    <row r="37002">
      <c r="N37002" s="28"/>
      <c r="O37002" s="28"/>
      <c r="U37002" s="28"/>
    </row>
    <row r="37003">
      <c r="N37003" s="28"/>
      <c r="O37003" s="28"/>
      <c r="U37003" s="28"/>
    </row>
    <row r="37004">
      <c r="N37004" s="28"/>
      <c r="O37004" s="28"/>
      <c r="U37004" s="28"/>
    </row>
    <row r="37005">
      <c r="N37005" s="28"/>
      <c r="O37005" s="28"/>
      <c r="U37005" s="28"/>
    </row>
    <row r="37006">
      <c r="N37006" s="28"/>
      <c r="O37006" s="28"/>
      <c r="U37006" s="28"/>
    </row>
    <row r="37007">
      <c r="N37007" s="28"/>
      <c r="O37007" s="28"/>
      <c r="U37007" s="28"/>
    </row>
    <row r="37008">
      <c r="N37008" s="28"/>
      <c r="O37008" s="28"/>
      <c r="U37008" s="28"/>
    </row>
    <row r="37009">
      <c r="N37009" s="28"/>
      <c r="O37009" s="28"/>
      <c r="U37009" s="28"/>
    </row>
    <row r="37010">
      <c r="N37010" s="28"/>
      <c r="O37010" s="28"/>
      <c r="U37010" s="28"/>
    </row>
    <row r="37011">
      <c r="N37011" s="28"/>
      <c r="O37011" s="28"/>
      <c r="U37011" s="28"/>
    </row>
    <row r="37012">
      <c r="N37012" s="28"/>
      <c r="O37012" s="28"/>
      <c r="U37012" s="28"/>
    </row>
    <row r="37013">
      <c r="N37013" s="28"/>
      <c r="O37013" s="28"/>
      <c r="U37013" s="28"/>
    </row>
    <row r="37014">
      <c r="N37014" s="28"/>
      <c r="O37014" s="28"/>
      <c r="U37014" s="28"/>
    </row>
    <row r="37015">
      <c r="N37015" s="28"/>
      <c r="O37015" s="28"/>
      <c r="U37015" s="28"/>
    </row>
    <row r="37016">
      <c r="N37016" s="28"/>
      <c r="O37016" s="28"/>
      <c r="U37016" s="28"/>
    </row>
    <row r="37017">
      <c r="N37017" s="28"/>
      <c r="O37017" s="28"/>
      <c r="U37017" s="28"/>
    </row>
    <row r="37018">
      <c r="N37018" s="28"/>
      <c r="O37018" s="28"/>
      <c r="U37018" s="28"/>
    </row>
    <row r="37019">
      <c r="N37019" s="28"/>
      <c r="O37019" s="28"/>
      <c r="U37019" s="28"/>
    </row>
    <row r="37020">
      <c r="N37020" s="28"/>
      <c r="O37020" s="28"/>
      <c r="U37020" s="28"/>
    </row>
    <row r="37021">
      <c r="N37021" s="28"/>
      <c r="O37021" s="28"/>
      <c r="U37021" s="28"/>
    </row>
    <row r="37022">
      <c r="N37022" s="28"/>
      <c r="O37022" s="28"/>
      <c r="U37022" s="28"/>
    </row>
    <row r="37023">
      <c r="N37023" s="28"/>
      <c r="O37023" s="28"/>
      <c r="U37023" s="28"/>
    </row>
    <row r="37024">
      <c r="N37024" s="28"/>
      <c r="O37024" s="28"/>
      <c r="U37024" s="28"/>
    </row>
    <row r="37025">
      <c r="N37025" s="28"/>
      <c r="O37025" s="28"/>
      <c r="U37025" s="28"/>
    </row>
    <row r="37026">
      <c r="N37026" s="28"/>
      <c r="O37026" s="28"/>
      <c r="U37026" s="28"/>
    </row>
    <row r="37027">
      <c r="N37027" s="28"/>
      <c r="O37027" s="28"/>
      <c r="U37027" s="28"/>
    </row>
    <row r="37028">
      <c r="N37028" s="28"/>
      <c r="O37028" s="28"/>
      <c r="U37028" s="28"/>
    </row>
    <row r="37029">
      <c r="N37029" s="28"/>
      <c r="O37029" s="28"/>
      <c r="U37029" s="28"/>
    </row>
    <row r="37030">
      <c r="N37030" s="28"/>
      <c r="O37030" s="28"/>
      <c r="U37030" s="28"/>
    </row>
    <row r="37031">
      <c r="N37031" s="28"/>
      <c r="O37031" s="28"/>
      <c r="U37031" s="28"/>
    </row>
    <row r="37032">
      <c r="N37032" s="28"/>
      <c r="O37032" s="28"/>
      <c r="U37032" s="28"/>
    </row>
    <row r="37033">
      <c r="N37033" s="28"/>
      <c r="O37033" s="28"/>
      <c r="U37033" s="28"/>
    </row>
    <row r="37034">
      <c r="N37034" s="28"/>
      <c r="O37034" s="28"/>
      <c r="U37034" s="28"/>
    </row>
    <row r="37035">
      <c r="N37035" s="28"/>
      <c r="O37035" s="28"/>
      <c r="U37035" s="28"/>
    </row>
    <row r="37036">
      <c r="N37036" s="28"/>
      <c r="O37036" s="28"/>
      <c r="U37036" s="28"/>
    </row>
    <row r="37037">
      <c r="N37037" s="28"/>
      <c r="O37037" s="28"/>
      <c r="U37037" s="28"/>
    </row>
    <row r="37038">
      <c r="N37038" s="28"/>
      <c r="O37038" s="28"/>
      <c r="U37038" s="28"/>
    </row>
    <row r="37039">
      <c r="N37039" s="28"/>
      <c r="O37039" s="28"/>
      <c r="U37039" s="28"/>
    </row>
    <row r="37040">
      <c r="N37040" s="28"/>
      <c r="O37040" s="28"/>
      <c r="U37040" s="28"/>
    </row>
    <row r="37041">
      <c r="N37041" s="28"/>
      <c r="O37041" s="28"/>
      <c r="U37041" s="28"/>
    </row>
    <row r="37042">
      <c r="N37042" s="28"/>
      <c r="O37042" s="28"/>
      <c r="U37042" s="28"/>
    </row>
    <row r="37043">
      <c r="N37043" s="28"/>
      <c r="O37043" s="28"/>
      <c r="U37043" s="28"/>
    </row>
    <row r="37044">
      <c r="N37044" s="28"/>
      <c r="O37044" s="28"/>
      <c r="U37044" s="28"/>
    </row>
    <row r="37045">
      <c r="N37045" s="28"/>
      <c r="O37045" s="28"/>
      <c r="U37045" s="28"/>
    </row>
    <row r="37046">
      <c r="N37046" s="28"/>
      <c r="O37046" s="28"/>
      <c r="U37046" s="28"/>
    </row>
    <row r="37047">
      <c r="N37047" s="28"/>
      <c r="O37047" s="28"/>
      <c r="U37047" s="28"/>
    </row>
    <row r="37048">
      <c r="N37048" s="28"/>
      <c r="O37048" s="28"/>
      <c r="U37048" s="28"/>
    </row>
    <row r="37049">
      <c r="N37049" s="28"/>
      <c r="O37049" s="28"/>
      <c r="U37049" s="28"/>
    </row>
    <row r="37050">
      <c r="N37050" s="28"/>
      <c r="O37050" s="28"/>
      <c r="U37050" s="28"/>
    </row>
    <row r="37051">
      <c r="N37051" s="28"/>
      <c r="O37051" s="28"/>
      <c r="U37051" s="28"/>
    </row>
    <row r="37052">
      <c r="N37052" s="28"/>
      <c r="O37052" s="28"/>
      <c r="U37052" s="28"/>
    </row>
    <row r="37053">
      <c r="N37053" s="28"/>
      <c r="O37053" s="28"/>
      <c r="U37053" s="28"/>
    </row>
    <row r="37054">
      <c r="N37054" s="28"/>
      <c r="O37054" s="28"/>
      <c r="U37054" s="28"/>
    </row>
    <row r="37055">
      <c r="N37055" s="28"/>
      <c r="O37055" s="28"/>
      <c r="U37055" s="28"/>
    </row>
    <row r="37056">
      <c r="N37056" s="28"/>
      <c r="O37056" s="28"/>
      <c r="U37056" s="28"/>
    </row>
    <row r="37057">
      <c r="N37057" s="28"/>
      <c r="O37057" s="28"/>
      <c r="U37057" s="28"/>
    </row>
    <row r="37058">
      <c r="N37058" s="28"/>
      <c r="O37058" s="28"/>
      <c r="U37058" s="28"/>
    </row>
    <row r="37059">
      <c r="N37059" s="28"/>
      <c r="O37059" s="28"/>
      <c r="U37059" s="28"/>
    </row>
    <row r="37060">
      <c r="N37060" s="28"/>
      <c r="O37060" s="28"/>
      <c r="U37060" s="28"/>
    </row>
    <row r="37061">
      <c r="N37061" s="28"/>
      <c r="O37061" s="28"/>
      <c r="U37061" s="28"/>
    </row>
    <row r="37062">
      <c r="N37062" s="28"/>
      <c r="O37062" s="28"/>
      <c r="U37062" s="28"/>
    </row>
    <row r="37063">
      <c r="N37063" s="28"/>
      <c r="O37063" s="28"/>
      <c r="U37063" s="28"/>
    </row>
    <row r="37064">
      <c r="N37064" s="28"/>
      <c r="O37064" s="28"/>
      <c r="U37064" s="28"/>
    </row>
    <row r="37065">
      <c r="N37065" s="28"/>
      <c r="O37065" s="28"/>
      <c r="U37065" s="28"/>
    </row>
    <row r="37066">
      <c r="N37066" s="28"/>
      <c r="O37066" s="28"/>
      <c r="U37066" s="28"/>
    </row>
    <row r="37067">
      <c r="N37067" s="28"/>
      <c r="O37067" s="28"/>
      <c r="U37067" s="28"/>
    </row>
    <row r="37068">
      <c r="N37068" s="28"/>
      <c r="O37068" s="28"/>
      <c r="U37068" s="28"/>
    </row>
    <row r="37069">
      <c r="N37069" s="28"/>
      <c r="O37069" s="28"/>
      <c r="U37069" s="28"/>
    </row>
    <row r="37070">
      <c r="N37070" s="28"/>
      <c r="O37070" s="28"/>
      <c r="U37070" s="28"/>
    </row>
    <row r="37071">
      <c r="N37071" s="28"/>
      <c r="O37071" s="28"/>
      <c r="U37071" s="28"/>
    </row>
    <row r="37072">
      <c r="N37072" s="28"/>
      <c r="O37072" s="28"/>
      <c r="U37072" s="28"/>
    </row>
    <row r="37073">
      <c r="N37073" s="28"/>
      <c r="O37073" s="28"/>
      <c r="U37073" s="28"/>
    </row>
    <row r="37074">
      <c r="N37074" s="28"/>
      <c r="O37074" s="28"/>
      <c r="U37074" s="28"/>
    </row>
    <row r="37075">
      <c r="N37075" s="28"/>
      <c r="O37075" s="28"/>
      <c r="U37075" s="28"/>
    </row>
    <row r="37076">
      <c r="N37076" s="28"/>
      <c r="O37076" s="28"/>
      <c r="U37076" s="28"/>
    </row>
    <row r="37077">
      <c r="N37077" s="28"/>
      <c r="O37077" s="28"/>
      <c r="U37077" s="28"/>
    </row>
    <row r="37078">
      <c r="N37078" s="28"/>
      <c r="O37078" s="28"/>
      <c r="U37078" s="28"/>
    </row>
    <row r="37079">
      <c r="N37079" s="28"/>
      <c r="O37079" s="28"/>
      <c r="U37079" s="28"/>
    </row>
    <row r="37080">
      <c r="N37080" s="28"/>
      <c r="O37080" s="28"/>
      <c r="U37080" s="28"/>
    </row>
    <row r="37081">
      <c r="N37081" s="28"/>
      <c r="O37081" s="28"/>
      <c r="U37081" s="28"/>
    </row>
    <row r="37082">
      <c r="N37082" s="28"/>
      <c r="O37082" s="28"/>
      <c r="U37082" s="28"/>
    </row>
    <row r="37083">
      <c r="N37083" s="28"/>
      <c r="O37083" s="28"/>
      <c r="U37083" s="28"/>
    </row>
    <row r="37084">
      <c r="N37084" s="28"/>
      <c r="O37084" s="28"/>
      <c r="U37084" s="28"/>
    </row>
    <row r="37085">
      <c r="N37085" s="28"/>
      <c r="O37085" s="28"/>
      <c r="U37085" s="28"/>
    </row>
    <row r="37086">
      <c r="N37086" s="28"/>
      <c r="O37086" s="28"/>
      <c r="U37086" s="28"/>
    </row>
    <row r="37087">
      <c r="N37087" s="28"/>
      <c r="O37087" s="28"/>
      <c r="U37087" s="28"/>
    </row>
    <row r="37088">
      <c r="N37088" s="28"/>
      <c r="O37088" s="28"/>
      <c r="U37088" s="28"/>
    </row>
    <row r="37089">
      <c r="N37089" s="28"/>
      <c r="O37089" s="28"/>
      <c r="U37089" s="28"/>
    </row>
    <row r="37090">
      <c r="N37090" s="28"/>
      <c r="O37090" s="28"/>
      <c r="U37090" s="28"/>
    </row>
    <row r="37091">
      <c r="N37091" s="28"/>
      <c r="O37091" s="28"/>
      <c r="U37091" s="28"/>
    </row>
    <row r="37092">
      <c r="N37092" s="28"/>
      <c r="O37092" s="28"/>
      <c r="U37092" s="28"/>
    </row>
    <row r="37093">
      <c r="N37093" s="28"/>
      <c r="O37093" s="28"/>
      <c r="U37093" s="28"/>
    </row>
    <row r="37094">
      <c r="N37094" s="28"/>
      <c r="O37094" s="28"/>
      <c r="U37094" s="28"/>
    </row>
    <row r="37095">
      <c r="N37095" s="28"/>
      <c r="O37095" s="28"/>
      <c r="U37095" s="28"/>
    </row>
    <row r="37096">
      <c r="N37096" s="28"/>
      <c r="O37096" s="28"/>
      <c r="U37096" s="28"/>
    </row>
    <row r="37097">
      <c r="N37097" s="28"/>
      <c r="O37097" s="28"/>
      <c r="U37097" s="28"/>
    </row>
    <row r="37098">
      <c r="N37098" s="28"/>
      <c r="O37098" s="28"/>
      <c r="U37098" s="28"/>
    </row>
    <row r="37099">
      <c r="N37099" s="28"/>
      <c r="O37099" s="28"/>
      <c r="U37099" s="28"/>
    </row>
    <row r="37100">
      <c r="N37100" s="28"/>
      <c r="O37100" s="28"/>
      <c r="U37100" s="28"/>
    </row>
    <row r="37101">
      <c r="N37101" s="28"/>
      <c r="O37101" s="28"/>
      <c r="U37101" s="28"/>
    </row>
    <row r="37102">
      <c r="N37102" s="28"/>
      <c r="O37102" s="28"/>
      <c r="U37102" s="28"/>
    </row>
    <row r="37103">
      <c r="N37103" s="28"/>
      <c r="O37103" s="28"/>
      <c r="U37103" s="28"/>
    </row>
    <row r="37104">
      <c r="N37104" s="28"/>
      <c r="O37104" s="28"/>
      <c r="U37104" s="28"/>
    </row>
    <row r="37105">
      <c r="N37105" s="28"/>
      <c r="O37105" s="28"/>
      <c r="U37105" s="28"/>
    </row>
    <row r="37106">
      <c r="N37106" s="28"/>
      <c r="O37106" s="28"/>
      <c r="U37106" s="28"/>
    </row>
    <row r="37107">
      <c r="N37107" s="28"/>
      <c r="O37107" s="28"/>
      <c r="U37107" s="28"/>
    </row>
    <row r="37108">
      <c r="N37108" s="28"/>
      <c r="O37108" s="28"/>
      <c r="U37108" s="28"/>
    </row>
    <row r="37109">
      <c r="N37109" s="28"/>
      <c r="O37109" s="28"/>
      <c r="U37109" s="28"/>
    </row>
    <row r="37110">
      <c r="N37110" s="28"/>
      <c r="O37110" s="28"/>
      <c r="U37110" s="28"/>
    </row>
    <row r="37111">
      <c r="N37111" s="28"/>
      <c r="O37111" s="28"/>
      <c r="U37111" s="28"/>
    </row>
    <row r="37112">
      <c r="N37112" s="28"/>
      <c r="O37112" s="28"/>
      <c r="U37112" s="28"/>
    </row>
    <row r="37113">
      <c r="N37113" s="28"/>
      <c r="O37113" s="28"/>
      <c r="U37113" s="28"/>
    </row>
    <row r="37114">
      <c r="N37114" s="28"/>
      <c r="O37114" s="28"/>
      <c r="U37114" s="28"/>
    </row>
    <row r="37115">
      <c r="N37115" s="28"/>
      <c r="O37115" s="28"/>
      <c r="U37115" s="28"/>
    </row>
    <row r="37116">
      <c r="N37116" s="28"/>
      <c r="O37116" s="28"/>
      <c r="U37116" s="28"/>
    </row>
    <row r="37117">
      <c r="N37117" s="28"/>
      <c r="O37117" s="28"/>
      <c r="U37117" s="28"/>
    </row>
    <row r="37118">
      <c r="N37118" s="28"/>
      <c r="O37118" s="28"/>
      <c r="U37118" s="28"/>
    </row>
    <row r="37119">
      <c r="N37119" s="28"/>
      <c r="O37119" s="28"/>
      <c r="U37119" s="28"/>
    </row>
    <row r="37120">
      <c r="N37120" s="28"/>
      <c r="O37120" s="28"/>
      <c r="U37120" s="28"/>
    </row>
    <row r="37121">
      <c r="N37121" s="28"/>
      <c r="O37121" s="28"/>
      <c r="U37121" s="28"/>
    </row>
    <row r="37122">
      <c r="N37122" s="28"/>
      <c r="O37122" s="28"/>
      <c r="U37122" s="28"/>
    </row>
    <row r="37123">
      <c r="N37123" s="28"/>
      <c r="O37123" s="28"/>
      <c r="U37123" s="28"/>
    </row>
    <row r="37124">
      <c r="N37124" s="28"/>
      <c r="O37124" s="28"/>
      <c r="U37124" s="28"/>
    </row>
    <row r="37125">
      <c r="N37125" s="28"/>
      <c r="O37125" s="28"/>
      <c r="U37125" s="28"/>
    </row>
    <row r="37126">
      <c r="N37126" s="28"/>
      <c r="O37126" s="28"/>
      <c r="U37126" s="28"/>
    </row>
    <row r="37127">
      <c r="N37127" s="28"/>
      <c r="O37127" s="28"/>
      <c r="U37127" s="28"/>
    </row>
    <row r="37128">
      <c r="N37128" s="28"/>
      <c r="O37128" s="28"/>
      <c r="U37128" s="28"/>
    </row>
    <row r="37129">
      <c r="N37129" s="28"/>
      <c r="O37129" s="28"/>
      <c r="U37129" s="28"/>
    </row>
    <row r="37130">
      <c r="N37130" s="28"/>
      <c r="O37130" s="28"/>
      <c r="U37130" s="28"/>
    </row>
    <row r="37131">
      <c r="N37131" s="28"/>
      <c r="O37131" s="28"/>
      <c r="U37131" s="28"/>
    </row>
    <row r="37132">
      <c r="N37132" s="28"/>
      <c r="O37132" s="28"/>
      <c r="U37132" s="28"/>
    </row>
    <row r="37133">
      <c r="N37133" s="28"/>
      <c r="O37133" s="28"/>
      <c r="U37133" s="28"/>
    </row>
    <row r="37134">
      <c r="N37134" s="28"/>
      <c r="O37134" s="28"/>
      <c r="U37134" s="28"/>
    </row>
    <row r="37135">
      <c r="N37135" s="28"/>
      <c r="O37135" s="28"/>
      <c r="U37135" s="28"/>
    </row>
    <row r="37136">
      <c r="N37136" s="28"/>
      <c r="O37136" s="28"/>
      <c r="U37136" s="28"/>
    </row>
    <row r="37137">
      <c r="N37137" s="28"/>
      <c r="O37137" s="28"/>
      <c r="U37137" s="28"/>
    </row>
    <row r="37138">
      <c r="N37138" s="28"/>
      <c r="O37138" s="28"/>
      <c r="U37138" s="28"/>
    </row>
    <row r="37139">
      <c r="N37139" s="28"/>
      <c r="O37139" s="28"/>
      <c r="U37139" s="28"/>
    </row>
    <row r="37140">
      <c r="N37140" s="28"/>
      <c r="O37140" s="28"/>
      <c r="U37140" s="28"/>
    </row>
    <row r="37141">
      <c r="N37141" s="28"/>
      <c r="O37141" s="28"/>
      <c r="U37141" s="28"/>
    </row>
    <row r="37142">
      <c r="N37142" s="28"/>
      <c r="O37142" s="28"/>
      <c r="U37142" s="28"/>
    </row>
    <row r="37143">
      <c r="N37143" s="28"/>
      <c r="O37143" s="28"/>
      <c r="U37143" s="28"/>
    </row>
    <row r="37144">
      <c r="N37144" s="28"/>
      <c r="O37144" s="28"/>
      <c r="U37144" s="28"/>
    </row>
    <row r="37145">
      <c r="N37145" s="28"/>
      <c r="O37145" s="28"/>
      <c r="U37145" s="28"/>
    </row>
    <row r="37146">
      <c r="N37146" s="28"/>
      <c r="O37146" s="28"/>
      <c r="U37146" s="28"/>
    </row>
    <row r="37147">
      <c r="N37147" s="28"/>
      <c r="O37147" s="28"/>
      <c r="U37147" s="28"/>
    </row>
    <row r="37148">
      <c r="N37148" s="28"/>
      <c r="O37148" s="28"/>
      <c r="U37148" s="28"/>
    </row>
    <row r="37149">
      <c r="N37149" s="28"/>
      <c r="O37149" s="28"/>
      <c r="U37149" s="28"/>
    </row>
    <row r="37150">
      <c r="N37150" s="28"/>
      <c r="O37150" s="28"/>
      <c r="U37150" s="28"/>
    </row>
    <row r="37151">
      <c r="N37151" s="28"/>
      <c r="O37151" s="28"/>
      <c r="U37151" s="28"/>
    </row>
    <row r="37152">
      <c r="N37152" s="28"/>
      <c r="O37152" s="28"/>
      <c r="U37152" s="28"/>
    </row>
    <row r="37153">
      <c r="N37153" s="28"/>
      <c r="O37153" s="28"/>
      <c r="U37153" s="28"/>
    </row>
    <row r="37154">
      <c r="N37154" s="28"/>
      <c r="O37154" s="28"/>
      <c r="U37154" s="28"/>
    </row>
    <row r="37155">
      <c r="N37155" s="28"/>
      <c r="O37155" s="28"/>
      <c r="U37155" s="28"/>
    </row>
    <row r="37156">
      <c r="N37156" s="28"/>
      <c r="O37156" s="28"/>
      <c r="U37156" s="28"/>
    </row>
    <row r="37157">
      <c r="N37157" s="28"/>
      <c r="O37157" s="28"/>
      <c r="U37157" s="28"/>
    </row>
    <row r="37158">
      <c r="N37158" s="28"/>
      <c r="O37158" s="28"/>
      <c r="U37158" s="28"/>
    </row>
    <row r="37159">
      <c r="N37159" s="28"/>
      <c r="O37159" s="28"/>
      <c r="U37159" s="28"/>
    </row>
    <row r="37160">
      <c r="N37160" s="28"/>
      <c r="O37160" s="28"/>
      <c r="U37160" s="28"/>
    </row>
    <row r="37161">
      <c r="N37161" s="28"/>
      <c r="O37161" s="28"/>
      <c r="U37161" s="28"/>
    </row>
    <row r="37162">
      <c r="N37162" s="28"/>
      <c r="O37162" s="28"/>
      <c r="U37162" s="28"/>
    </row>
    <row r="37163">
      <c r="N37163" s="28"/>
      <c r="O37163" s="28"/>
      <c r="U37163" s="28"/>
    </row>
    <row r="37164">
      <c r="N37164" s="28"/>
      <c r="O37164" s="28"/>
      <c r="U37164" s="28"/>
    </row>
    <row r="37165">
      <c r="N37165" s="28"/>
      <c r="O37165" s="28"/>
      <c r="U37165" s="28"/>
    </row>
    <row r="37166">
      <c r="N37166" s="28"/>
      <c r="O37166" s="28"/>
      <c r="U37166" s="28"/>
    </row>
    <row r="37167">
      <c r="N37167" s="28"/>
      <c r="O37167" s="28"/>
      <c r="U37167" s="28"/>
    </row>
    <row r="37168">
      <c r="N37168" s="28"/>
      <c r="O37168" s="28"/>
      <c r="U37168" s="28"/>
    </row>
    <row r="37169">
      <c r="N37169" s="28"/>
      <c r="O37169" s="28"/>
      <c r="U37169" s="28"/>
    </row>
    <row r="37170">
      <c r="N37170" s="28"/>
      <c r="O37170" s="28"/>
      <c r="U37170" s="28"/>
    </row>
    <row r="37171">
      <c r="N37171" s="28"/>
      <c r="O37171" s="28"/>
      <c r="U37171" s="28"/>
    </row>
    <row r="37172">
      <c r="N37172" s="28"/>
      <c r="O37172" s="28"/>
      <c r="U37172" s="28"/>
    </row>
    <row r="37173">
      <c r="N37173" s="28"/>
      <c r="O37173" s="28"/>
      <c r="U37173" s="28"/>
    </row>
    <row r="37174">
      <c r="N37174" s="28"/>
      <c r="O37174" s="28"/>
      <c r="U37174" s="28"/>
    </row>
    <row r="37175">
      <c r="N37175" s="28"/>
      <c r="O37175" s="28"/>
      <c r="U37175" s="28"/>
    </row>
    <row r="37176">
      <c r="N37176" s="28"/>
      <c r="O37176" s="28"/>
      <c r="U37176" s="28"/>
    </row>
    <row r="37177">
      <c r="N37177" s="28"/>
      <c r="O37177" s="28"/>
      <c r="U37177" s="28"/>
    </row>
    <row r="37178">
      <c r="N37178" s="28"/>
      <c r="O37178" s="28"/>
      <c r="U37178" s="28"/>
    </row>
    <row r="37179">
      <c r="N37179" s="28"/>
      <c r="O37179" s="28"/>
      <c r="U37179" s="28"/>
    </row>
    <row r="37180">
      <c r="N37180" s="28"/>
      <c r="O37180" s="28"/>
      <c r="U37180" s="28"/>
    </row>
    <row r="37181">
      <c r="N37181" s="28"/>
      <c r="O37181" s="28"/>
      <c r="U37181" s="28"/>
    </row>
    <row r="37182">
      <c r="N37182" s="28"/>
      <c r="O37182" s="28"/>
      <c r="U37182" s="28"/>
    </row>
    <row r="37183">
      <c r="N37183" s="28"/>
      <c r="O37183" s="28"/>
      <c r="U37183" s="28"/>
    </row>
    <row r="37184">
      <c r="N37184" s="28"/>
      <c r="O37184" s="28"/>
      <c r="U37184" s="28"/>
    </row>
    <row r="37185">
      <c r="N37185" s="28"/>
      <c r="O37185" s="28"/>
      <c r="U37185" s="28"/>
    </row>
    <row r="37186">
      <c r="N37186" s="28"/>
      <c r="O37186" s="28"/>
      <c r="U37186" s="28"/>
    </row>
    <row r="37187">
      <c r="N37187" s="28"/>
      <c r="O37187" s="28"/>
      <c r="U37187" s="28"/>
    </row>
    <row r="37188">
      <c r="N37188" s="28"/>
      <c r="O37188" s="28"/>
      <c r="U37188" s="28"/>
    </row>
    <row r="37189">
      <c r="N37189" s="28"/>
      <c r="O37189" s="28"/>
      <c r="U37189" s="28"/>
    </row>
    <row r="37190">
      <c r="N37190" s="28"/>
      <c r="O37190" s="28"/>
      <c r="U37190" s="28"/>
    </row>
    <row r="37191">
      <c r="N37191" s="28"/>
      <c r="O37191" s="28"/>
      <c r="U37191" s="28"/>
    </row>
    <row r="37192">
      <c r="N37192" s="28"/>
      <c r="O37192" s="28"/>
      <c r="U37192" s="28"/>
    </row>
    <row r="37193">
      <c r="N37193" s="28"/>
      <c r="O37193" s="28"/>
      <c r="U37193" s="28"/>
    </row>
    <row r="37194">
      <c r="N37194" s="28"/>
      <c r="O37194" s="28"/>
      <c r="U37194" s="28"/>
    </row>
    <row r="37195">
      <c r="N37195" s="28"/>
      <c r="O37195" s="28"/>
      <c r="U37195" s="28"/>
    </row>
    <row r="37196">
      <c r="N37196" s="28"/>
      <c r="O37196" s="28"/>
      <c r="U37196" s="28"/>
    </row>
    <row r="37197">
      <c r="N37197" s="28"/>
      <c r="O37197" s="28"/>
      <c r="U37197" s="28"/>
    </row>
    <row r="37198">
      <c r="N37198" s="28"/>
      <c r="O37198" s="28"/>
      <c r="U37198" s="28"/>
    </row>
    <row r="37199">
      <c r="N37199" s="28"/>
      <c r="O37199" s="28"/>
      <c r="U37199" s="28"/>
    </row>
    <row r="37200">
      <c r="N37200" s="28"/>
      <c r="O37200" s="28"/>
      <c r="U37200" s="28"/>
    </row>
    <row r="37201">
      <c r="N37201" s="28"/>
      <c r="O37201" s="28"/>
      <c r="U37201" s="28"/>
    </row>
    <row r="37202">
      <c r="N37202" s="28"/>
      <c r="O37202" s="28"/>
      <c r="U37202" s="28"/>
    </row>
    <row r="37203">
      <c r="N37203" s="28"/>
      <c r="O37203" s="28"/>
      <c r="U37203" s="28"/>
    </row>
    <row r="37204">
      <c r="N37204" s="28"/>
      <c r="O37204" s="28"/>
      <c r="U37204" s="28"/>
    </row>
    <row r="37205">
      <c r="N37205" s="28"/>
      <c r="O37205" s="28"/>
      <c r="U37205" s="28"/>
    </row>
    <row r="37206">
      <c r="N37206" s="28"/>
      <c r="O37206" s="28"/>
      <c r="U37206" s="28"/>
    </row>
    <row r="37207">
      <c r="N37207" s="28"/>
      <c r="O37207" s="28"/>
      <c r="U37207" s="28"/>
    </row>
    <row r="37208">
      <c r="N37208" s="28"/>
      <c r="O37208" s="28"/>
      <c r="U37208" s="28"/>
    </row>
    <row r="37209">
      <c r="N37209" s="28"/>
      <c r="O37209" s="28"/>
      <c r="U37209" s="28"/>
    </row>
    <row r="37210">
      <c r="N37210" s="28"/>
      <c r="O37210" s="28"/>
      <c r="U37210" s="28"/>
    </row>
    <row r="37211">
      <c r="N37211" s="28"/>
      <c r="O37211" s="28"/>
      <c r="U37211" s="28"/>
    </row>
    <row r="37212">
      <c r="N37212" s="28"/>
      <c r="O37212" s="28"/>
      <c r="U37212" s="28"/>
    </row>
    <row r="37213">
      <c r="N37213" s="28"/>
      <c r="O37213" s="28"/>
      <c r="U37213" s="28"/>
    </row>
    <row r="37214">
      <c r="N37214" s="28"/>
      <c r="O37214" s="28"/>
      <c r="U37214" s="28"/>
    </row>
    <row r="37215">
      <c r="N37215" s="28"/>
      <c r="O37215" s="28"/>
      <c r="U37215" s="28"/>
    </row>
    <row r="37216">
      <c r="N37216" s="28"/>
      <c r="O37216" s="28"/>
      <c r="U37216" s="28"/>
    </row>
    <row r="37217">
      <c r="N37217" s="28"/>
      <c r="O37217" s="28"/>
      <c r="U37217" s="28"/>
    </row>
    <row r="37218">
      <c r="N37218" s="28"/>
      <c r="O37218" s="28"/>
      <c r="U37218" s="28"/>
    </row>
    <row r="37219">
      <c r="N37219" s="28"/>
      <c r="O37219" s="28"/>
      <c r="U37219" s="28"/>
    </row>
    <row r="37220">
      <c r="N37220" s="28"/>
      <c r="O37220" s="28"/>
      <c r="U37220" s="28"/>
    </row>
    <row r="37221">
      <c r="N37221" s="28"/>
      <c r="O37221" s="28"/>
      <c r="U37221" s="28"/>
    </row>
    <row r="37222">
      <c r="N37222" s="28"/>
      <c r="O37222" s="28"/>
      <c r="U37222" s="28"/>
    </row>
    <row r="37223">
      <c r="N37223" s="28"/>
      <c r="O37223" s="28"/>
      <c r="U37223" s="28"/>
    </row>
    <row r="37224">
      <c r="N37224" s="28"/>
      <c r="O37224" s="28"/>
      <c r="U37224" s="28"/>
    </row>
    <row r="37225">
      <c r="N37225" s="28"/>
      <c r="O37225" s="28"/>
      <c r="U37225" s="28"/>
    </row>
    <row r="37226">
      <c r="N37226" s="28"/>
      <c r="O37226" s="28"/>
      <c r="U37226" s="28"/>
    </row>
    <row r="37227">
      <c r="N37227" s="28"/>
      <c r="O37227" s="28"/>
      <c r="U37227" s="28"/>
    </row>
    <row r="37228">
      <c r="N37228" s="28"/>
      <c r="O37228" s="28"/>
      <c r="U37228" s="28"/>
    </row>
    <row r="37229">
      <c r="N37229" s="28"/>
      <c r="O37229" s="28"/>
      <c r="U37229" s="28"/>
    </row>
    <row r="37230">
      <c r="N37230" s="28"/>
      <c r="O37230" s="28"/>
      <c r="U37230" s="28"/>
    </row>
    <row r="37231">
      <c r="N37231" s="28"/>
      <c r="O37231" s="28"/>
      <c r="U37231" s="28"/>
    </row>
    <row r="37232">
      <c r="N37232" s="28"/>
      <c r="O37232" s="28"/>
      <c r="U37232" s="28"/>
    </row>
    <row r="37233">
      <c r="N37233" s="28"/>
      <c r="O37233" s="28"/>
      <c r="U37233" s="28"/>
    </row>
    <row r="37234">
      <c r="N37234" s="28"/>
      <c r="O37234" s="28"/>
      <c r="U37234" s="28"/>
    </row>
    <row r="37235">
      <c r="N37235" s="28"/>
      <c r="O37235" s="28"/>
      <c r="U37235" s="28"/>
    </row>
    <row r="37236">
      <c r="N37236" s="28"/>
      <c r="O37236" s="28"/>
      <c r="U37236" s="28"/>
    </row>
    <row r="37237">
      <c r="N37237" s="28"/>
      <c r="O37237" s="28"/>
      <c r="U37237" s="28"/>
    </row>
    <row r="37238">
      <c r="N37238" s="28"/>
      <c r="O37238" s="28"/>
      <c r="U37238" s="28"/>
    </row>
    <row r="37239">
      <c r="N37239" s="28"/>
      <c r="O37239" s="28"/>
      <c r="U37239" s="28"/>
    </row>
    <row r="37240">
      <c r="N37240" s="28"/>
      <c r="O37240" s="28"/>
      <c r="U37240" s="28"/>
    </row>
    <row r="37241">
      <c r="N37241" s="28"/>
      <c r="O37241" s="28"/>
      <c r="U37241" s="28"/>
    </row>
    <row r="37242">
      <c r="N37242" s="28"/>
      <c r="O37242" s="28"/>
      <c r="U37242" s="28"/>
    </row>
    <row r="37243">
      <c r="N37243" s="28"/>
      <c r="O37243" s="28"/>
      <c r="U37243" s="28"/>
    </row>
    <row r="37244">
      <c r="N37244" s="28"/>
      <c r="O37244" s="28"/>
      <c r="U37244" s="28"/>
    </row>
    <row r="37245">
      <c r="N37245" s="28"/>
      <c r="O37245" s="28"/>
      <c r="U37245" s="28"/>
    </row>
    <row r="37246">
      <c r="N37246" s="28"/>
      <c r="O37246" s="28"/>
      <c r="U37246" s="28"/>
    </row>
    <row r="37247">
      <c r="N37247" s="28"/>
      <c r="O37247" s="28"/>
      <c r="U37247" s="28"/>
    </row>
    <row r="37248">
      <c r="N37248" s="28"/>
      <c r="O37248" s="28"/>
      <c r="U37248" s="28"/>
    </row>
    <row r="37249">
      <c r="N37249" s="28"/>
      <c r="O37249" s="28"/>
      <c r="U37249" s="28"/>
    </row>
    <row r="37250">
      <c r="N37250" s="28"/>
      <c r="O37250" s="28"/>
      <c r="U37250" s="28"/>
    </row>
    <row r="37251">
      <c r="N37251" s="28"/>
      <c r="O37251" s="28"/>
      <c r="U37251" s="28"/>
    </row>
    <row r="37252">
      <c r="N37252" s="28"/>
      <c r="O37252" s="28"/>
      <c r="U37252" s="28"/>
    </row>
    <row r="37253">
      <c r="N37253" s="28"/>
      <c r="O37253" s="28"/>
      <c r="U37253" s="28"/>
    </row>
    <row r="37254">
      <c r="N37254" s="28"/>
      <c r="O37254" s="28"/>
      <c r="U37254" s="28"/>
    </row>
    <row r="37255">
      <c r="N37255" s="28"/>
      <c r="O37255" s="28"/>
      <c r="U37255" s="28"/>
    </row>
    <row r="37256">
      <c r="N37256" s="28"/>
      <c r="O37256" s="28"/>
      <c r="U37256" s="28"/>
    </row>
    <row r="37257">
      <c r="N37257" s="28"/>
      <c r="O37257" s="28"/>
      <c r="U37257" s="28"/>
    </row>
    <row r="37258">
      <c r="N37258" s="28"/>
      <c r="O37258" s="28"/>
      <c r="U37258" s="28"/>
    </row>
    <row r="37259">
      <c r="N37259" s="28"/>
      <c r="O37259" s="28"/>
      <c r="U37259" s="28"/>
    </row>
    <row r="37260">
      <c r="N37260" s="28"/>
      <c r="O37260" s="28"/>
      <c r="U37260" s="28"/>
    </row>
    <row r="37261">
      <c r="N37261" s="28"/>
      <c r="O37261" s="28"/>
      <c r="U37261" s="28"/>
    </row>
    <row r="37262">
      <c r="N37262" s="28"/>
      <c r="O37262" s="28"/>
      <c r="U37262" s="28"/>
    </row>
    <row r="37263">
      <c r="N37263" s="28"/>
      <c r="O37263" s="28"/>
      <c r="U37263" s="28"/>
    </row>
    <row r="37264">
      <c r="N37264" s="28"/>
      <c r="O37264" s="28"/>
      <c r="U37264" s="28"/>
    </row>
    <row r="37265">
      <c r="N37265" s="28"/>
      <c r="O37265" s="28"/>
      <c r="U37265" s="28"/>
    </row>
    <row r="37266">
      <c r="N37266" s="28"/>
      <c r="O37266" s="28"/>
      <c r="U37266" s="28"/>
    </row>
    <row r="37267">
      <c r="N37267" s="28"/>
      <c r="O37267" s="28"/>
      <c r="U37267" s="28"/>
    </row>
    <row r="37268">
      <c r="N37268" s="28"/>
      <c r="O37268" s="28"/>
      <c r="U37268" s="28"/>
    </row>
    <row r="37269">
      <c r="N37269" s="28"/>
      <c r="O37269" s="28"/>
      <c r="U37269" s="28"/>
    </row>
    <row r="37270">
      <c r="N37270" s="28"/>
      <c r="O37270" s="28"/>
      <c r="U37270" s="28"/>
    </row>
    <row r="37271">
      <c r="N37271" s="28"/>
      <c r="O37271" s="28"/>
      <c r="U37271" s="28"/>
    </row>
    <row r="37272">
      <c r="N37272" s="28"/>
      <c r="O37272" s="28"/>
      <c r="U37272" s="28"/>
    </row>
    <row r="37273">
      <c r="N37273" s="28"/>
      <c r="O37273" s="28"/>
      <c r="U37273" s="28"/>
    </row>
    <row r="37274">
      <c r="N37274" s="28"/>
      <c r="O37274" s="28"/>
      <c r="U37274" s="28"/>
    </row>
    <row r="37275">
      <c r="N37275" s="28"/>
      <c r="O37275" s="28"/>
      <c r="U37275" s="28"/>
    </row>
    <row r="37276">
      <c r="N37276" s="28"/>
      <c r="O37276" s="28"/>
      <c r="U37276" s="28"/>
    </row>
    <row r="37277">
      <c r="N37277" s="28"/>
      <c r="O37277" s="28"/>
      <c r="U37277" s="28"/>
    </row>
    <row r="37278">
      <c r="N37278" s="28"/>
      <c r="O37278" s="28"/>
      <c r="U37278" s="28"/>
    </row>
    <row r="37279">
      <c r="N37279" s="28"/>
      <c r="O37279" s="28"/>
      <c r="U37279" s="28"/>
    </row>
    <row r="37280">
      <c r="N37280" s="28"/>
      <c r="O37280" s="28"/>
      <c r="U37280" s="28"/>
    </row>
    <row r="37281">
      <c r="N37281" s="28"/>
      <c r="O37281" s="28"/>
      <c r="U37281" s="28"/>
    </row>
    <row r="37282">
      <c r="N37282" s="28"/>
      <c r="O37282" s="28"/>
      <c r="U37282" s="28"/>
    </row>
    <row r="37283">
      <c r="N37283" s="28"/>
      <c r="O37283" s="28"/>
      <c r="U37283" s="28"/>
    </row>
    <row r="37284">
      <c r="N37284" s="28"/>
      <c r="O37284" s="28"/>
      <c r="U37284" s="28"/>
    </row>
    <row r="37285">
      <c r="N37285" s="28"/>
      <c r="O37285" s="28"/>
      <c r="U37285" s="28"/>
    </row>
    <row r="37286">
      <c r="N37286" s="28"/>
      <c r="O37286" s="28"/>
      <c r="U37286" s="28"/>
    </row>
    <row r="37287">
      <c r="N37287" s="28"/>
      <c r="O37287" s="28"/>
      <c r="U37287" s="28"/>
    </row>
    <row r="37288">
      <c r="N37288" s="28"/>
      <c r="O37288" s="28"/>
      <c r="U37288" s="28"/>
    </row>
    <row r="37289">
      <c r="N37289" s="28"/>
      <c r="O37289" s="28"/>
      <c r="U37289" s="28"/>
    </row>
    <row r="37290">
      <c r="N37290" s="28"/>
      <c r="O37290" s="28"/>
      <c r="U37290" s="28"/>
    </row>
    <row r="37291">
      <c r="N37291" s="28"/>
      <c r="O37291" s="28"/>
      <c r="U37291" s="28"/>
    </row>
    <row r="37292">
      <c r="N37292" s="28"/>
      <c r="O37292" s="28"/>
      <c r="U37292" s="28"/>
    </row>
    <row r="37293">
      <c r="N37293" s="28"/>
      <c r="O37293" s="28"/>
      <c r="U37293" s="28"/>
    </row>
    <row r="37294">
      <c r="N37294" s="28"/>
      <c r="O37294" s="28"/>
      <c r="U37294" s="28"/>
    </row>
    <row r="37295">
      <c r="N37295" s="28"/>
      <c r="O37295" s="28"/>
      <c r="U37295" s="28"/>
    </row>
    <row r="37296">
      <c r="N37296" s="28"/>
      <c r="O37296" s="28"/>
      <c r="U37296" s="28"/>
    </row>
    <row r="37297">
      <c r="N37297" s="28"/>
      <c r="O37297" s="28"/>
      <c r="U37297" s="28"/>
    </row>
    <row r="37298">
      <c r="N37298" s="28"/>
      <c r="O37298" s="28"/>
      <c r="U37298" s="28"/>
    </row>
    <row r="37299">
      <c r="N37299" s="28"/>
      <c r="O37299" s="28"/>
      <c r="U37299" s="28"/>
    </row>
    <row r="37300">
      <c r="N37300" s="28"/>
      <c r="O37300" s="28"/>
      <c r="U37300" s="28"/>
    </row>
    <row r="37301">
      <c r="N37301" s="28"/>
      <c r="O37301" s="28"/>
      <c r="U37301" s="28"/>
    </row>
    <row r="37302">
      <c r="N37302" s="28"/>
      <c r="O37302" s="28"/>
      <c r="U37302" s="28"/>
    </row>
    <row r="37303">
      <c r="N37303" s="28"/>
      <c r="O37303" s="28"/>
      <c r="U37303" s="28"/>
    </row>
    <row r="37304">
      <c r="N37304" s="28"/>
      <c r="O37304" s="28"/>
      <c r="U37304" s="28"/>
    </row>
    <row r="37305">
      <c r="N37305" s="28"/>
      <c r="O37305" s="28"/>
      <c r="U37305" s="28"/>
    </row>
    <row r="37306">
      <c r="N37306" s="28"/>
      <c r="O37306" s="28"/>
      <c r="U37306" s="28"/>
    </row>
    <row r="37307">
      <c r="N37307" s="28"/>
      <c r="O37307" s="28"/>
      <c r="U37307" s="28"/>
    </row>
    <row r="37308">
      <c r="N37308" s="28"/>
      <c r="O37308" s="28"/>
      <c r="U37308" s="28"/>
    </row>
    <row r="37309">
      <c r="N37309" s="28"/>
      <c r="O37309" s="28"/>
      <c r="U37309" s="28"/>
    </row>
    <row r="37310">
      <c r="N37310" s="28"/>
      <c r="O37310" s="28"/>
      <c r="U37310" s="28"/>
    </row>
    <row r="37311">
      <c r="N37311" s="28"/>
      <c r="O37311" s="28"/>
      <c r="U37311" s="28"/>
    </row>
    <row r="37312">
      <c r="N37312" s="28"/>
      <c r="O37312" s="28"/>
      <c r="U37312" s="28"/>
    </row>
    <row r="37313">
      <c r="N37313" s="28"/>
      <c r="O37313" s="28"/>
      <c r="U37313" s="28"/>
    </row>
    <row r="37314">
      <c r="N37314" s="28"/>
      <c r="O37314" s="28"/>
      <c r="U37314" s="28"/>
    </row>
    <row r="37315">
      <c r="N37315" s="28"/>
      <c r="O37315" s="28"/>
      <c r="U37315" s="28"/>
    </row>
    <row r="37316">
      <c r="N37316" s="28"/>
      <c r="O37316" s="28"/>
      <c r="U37316" s="28"/>
    </row>
    <row r="37317">
      <c r="N37317" s="28"/>
      <c r="O37317" s="28"/>
      <c r="U37317" s="28"/>
    </row>
    <row r="37318">
      <c r="N37318" s="28"/>
      <c r="O37318" s="28"/>
      <c r="U37318" s="28"/>
    </row>
    <row r="37319">
      <c r="N37319" s="28"/>
      <c r="O37319" s="28"/>
      <c r="U37319" s="28"/>
    </row>
    <row r="37320">
      <c r="N37320" s="28"/>
      <c r="O37320" s="28"/>
      <c r="U37320" s="28"/>
    </row>
    <row r="37321">
      <c r="N37321" s="28"/>
      <c r="O37321" s="28"/>
      <c r="U37321" s="28"/>
    </row>
    <row r="37322">
      <c r="N37322" s="28"/>
      <c r="O37322" s="28"/>
      <c r="U37322" s="28"/>
    </row>
    <row r="37323">
      <c r="N37323" s="28"/>
      <c r="O37323" s="28"/>
      <c r="U37323" s="28"/>
    </row>
    <row r="37324">
      <c r="N37324" s="28"/>
      <c r="O37324" s="28"/>
      <c r="U37324" s="28"/>
    </row>
    <row r="37325">
      <c r="N37325" s="28"/>
      <c r="O37325" s="28"/>
      <c r="U37325" s="28"/>
    </row>
    <row r="37326">
      <c r="N37326" s="28"/>
      <c r="O37326" s="28"/>
      <c r="U37326" s="28"/>
    </row>
    <row r="37327">
      <c r="N37327" s="28"/>
      <c r="O37327" s="28"/>
      <c r="U37327" s="28"/>
    </row>
    <row r="37328">
      <c r="N37328" s="28"/>
      <c r="O37328" s="28"/>
      <c r="U37328" s="28"/>
    </row>
    <row r="37329">
      <c r="N37329" s="28"/>
      <c r="O37329" s="28"/>
      <c r="U37329" s="28"/>
    </row>
    <row r="37330">
      <c r="N37330" s="28"/>
      <c r="O37330" s="28"/>
      <c r="U37330" s="28"/>
    </row>
    <row r="37331">
      <c r="N37331" s="28"/>
      <c r="O37331" s="28"/>
      <c r="U37331" s="28"/>
    </row>
    <row r="37332">
      <c r="N37332" s="28"/>
      <c r="O37332" s="28"/>
      <c r="U37332" s="28"/>
    </row>
    <row r="37333">
      <c r="N37333" s="28"/>
      <c r="O37333" s="28"/>
      <c r="U37333" s="28"/>
    </row>
    <row r="37334">
      <c r="N37334" s="28"/>
      <c r="O37334" s="28"/>
      <c r="U37334" s="28"/>
    </row>
    <row r="37335">
      <c r="N37335" s="28"/>
      <c r="O37335" s="28"/>
      <c r="U37335" s="28"/>
    </row>
    <row r="37336">
      <c r="N37336" s="28"/>
      <c r="O37336" s="28"/>
      <c r="U37336" s="28"/>
    </row>
    <row r="37337">
      <c r="N37337" s="28"/>
      <c r="O37337" s="28"/>
      <c r="U37337" s="28"/>
    </row>
    <row r="37338">
      <c r="N37338" s="28"/>
      <c r="O37338" s="28"/>
      <c r="U37338" s="28"/>
    </row>
    <row r="37339">
      <c r="N37339" s="28"/>
      <c r="O37339" s="28"/>
      <c r="U37339" s="28"/>
    </row>
    <row r="37340">
      <c r="N37340" s="28"/>
      <c r="O37340" s="28"/>
      <c r="U37340" s="28"/>
    </row>
    <row r="37341">
      <c r="N37341" s="28"/>
      <c r="O37341" s="28"/>
      <c r="U37341" s="28"/>
    </row>
    <row r="37342">
      <c r="N37342" s="28"/>
      <c r="O37342" s="28"/>
      <c r="U37342" s="28"/>
    </row>
    <row r="37343">
      <c r="N37343" s="28"/>
      <c r="O37343" s="28"/>
      <c r="U37343" s="28"/>
    </row>
    <row r="37344">
      <c r="N37344" s="28"/>
      <c r="O37344" s="28"/>
      <c r="U37344" s="28"/>
    </row>
    <row r="37345">
      <c r="N37345" s="28"/>
      <c r="O37345" s="28"/>
      <c r="U37345" s="28"/>
    </row>
    <row r="37346">
      <c r="N37346" s="28"/>
      <c r="O37346" s="28"/>
      <c r="U37346" s="28"/>
    </row>
    <row r="37347">
      <c r="N37347" s="28"/>
      <c r="O37347" s="28"/>
      <c r="U37347" s="28"/>
    </row>
    <row r="37348">
      <c r="N37348" s="28"/>
      <c r="O37348" s="28"/>
      <c r="U37348" s="28"/>
    </row>
    <row r="37349">
      <c r="N37349" s="28"/>
      <c r="O37349" s="28"/>
      <c r="U37349" s="28"/>
    </row>
    <row r="37350">
      <c r="N37350" s="28"/>
      <c r="O37350" s="28"/>
      <c r="U37350" s="28"/>
    </row>
    <row r="37351">
      <c r="N37351" s="28"/>
      <c r="O37351" s="28"/>
      <c r="U37351" s="28"/>
    </row>
    <row r="37352">
      <c r="N37352" s="28"/>
      <c r="O37352" s="28"/>
      <c r="U37352" s="28"/>
    </row>
    <row r="37353">
      <c r="N37353" s="28"/>
      <c r="O37353" s="28"/>
      <c r="U37353" s="28"/>
    </row>
    <row r="37354">
      <c r="N37354" s="28"/>
      <c r="O37354" s="28"/>
      <c r="U37354" s="28"/>
    </row>
    <row r="37355">
      <c r="N37355" s="28"/>
      <c r="O37355" s="28"/>
      <c r="U37355" s="28"/>
    </row>
    <row r="37356">
      <c r="N37356" s="28"/>
      <c r="O37356" s="28"/>
      <c r="U37356" s="28"/>
    </row>
    <row r="37357">
      <c r="N37357" s="28"/>
      <c r="O37357" s="28"/>
      <c r="U37357" s="28"/>
    </row>
    <row r="37358">
      <c r="N37358" s="28"/>
      <c r="O37358" s="28"/>
      <c r="U37358" s="28"/>
    </row>
    <row r="37359">
      <c r="N37359" s="28"/>
      <c r="O37359" s="28"/>
      <c r="U37359" s="28"/>
    </row>
    <row r="37360">
      <c r="N37360" s="28"/>
      <c r="O37360" s="28"/>
      <c r="U37360" s="28"/>
    </row>
    <row r="37361">
      <c r="N37361" s="28"/>
      <c r="O37361" s="28"/>
      <c r="U37361" s="28"/>
    </row>
    <row r="37362">
      <c r="N37362" s="28"/>
      <c r="O37362" s="28"/>
      <c r="U37362" s="28"/>
    </row>
    <row r="37363">
      <c r="N37363" s="28"/>
      <c r="O37363" s="28"/>
      <c r="U37363" s="28"/>
    </row>
    <row r="37364">
      <c r="N37364" s="28"/>
      <c r="O37364" s="28"/>
      <c r="U37364" s="28"/>
    </row>
    <row r="37365">
      <c r="N37365" s="28"/>
      <c r="O37365" s="28"/>
      <c r="U37365" s="28"/>
    </row>
    <row r="37366">
      <c r="N37366" s="28"/>
      <c r="O37366" s="28"/>
      <c r="U37366" s="28"/>
    </row>
    <row r="37367">
      <c r="N37367" s="28"/>
      <c r="O37367" s="28"/>
      <c r="U37367" s="28"/>
    </row>
    <row r="37368">
      <c r="N37368" s="28"/>
      <c r="O37368" s="28"/>
      <c r="U37368" s="28"/>
    </row>
    <row r="37369">
      <c r="N37369" s="28"/>
      <c r="O37369" s="28"/>
      <c r="U37369" s="28"/>
    </row>
    <row r="37370">
      <c r="N37370" s="28"/>
      <c r="O37370" s="28"/>
      <c r="U37370" s="28"/>
    </row>
    <row r="37371">
      <c r="N37371" s="28"/>
      <c r="O37371" s="28"/>
      <c r="U37371" s="28"/>
    </row>
    <row r="37372">
      <c r="N37372" s="28"/>
      <c r="O37372" s="28"/>
      <c r="U37372" s="28"/>
    </row>
    <row r="37373">
      <c r="N37373" s="28"/>
      <c r="O37373" s="28"/>
      <c r="U37373" s="28"/>
    </row>
    <row r="37374">
      <c r="N37374" s="28"/>
      <c r="O37374" s="28"/>
      <c r="U37374" s="28"/>
    </row>
    <row r="37375">
      <c r="N37375" s="28"/>
      <c r="O37375" s="28"/>
      <c r="U37375" s="28"/>
    </row>
    <row r="37376">
      <c r="N37376" s="28"/>
      <c r="O37376" s="28"/>
      <c r="U37376" s="28"/>
    </row>
    <row r="37377">
      <c r="N37377" s="28"/>
      <c r="O37377" s="28"/>
      <c r="U37377" s="28"/>
    </row>
    <row r="37378">
      <c r="N37378" s="28"/>
      <c r="O37378" s="28"/>
      <c r="U37378" s="28"/>
    </row>
    <row r="37379">
      <c r="N37379" s="28"/>
      <c r="O37379" s="28"/>
      <c r="U37379" s="28"/>
    </row>
    <row r="37380">
      <c r="N37380" s="28"/>
      <c r="O37380" s="28"/>
      <c r="U37380" s="28"/>
    </row>
    <row r="37381">
      <c r="N37381" s="28"/>
      <c r="O37381" s="28"/>
      <c r="U37381" s="28"/>
    </row>
    <row r="37382">
      <c r="N37382" s="28"/>
      <c r="O37382" s="28"/>
      <c r="U37382" s="28"/>
    </row>
    <row r="37383">
      <c r="N37383" s="28"/>
      <c r="O37383" s="28"/>
      <c r="U37383" s="28"/>
    </row>
    <row r="37384">
      <c r="N37384" s="28"/>
      <c r="O37384" s="28"/>
      <c r="U37384" s="28"/>
    </row>
    <row r="37385">
      <c r="N37385" s="28"/>
      <c r="O37385" s="28"/>
      <c r="U37385" s="28"/>
    </row>
    <row r="37386">
      <c r="N37386" s="28"/>
      <c r="O37386" s="28"/>
      <c r="U37386" s="28"/>
    </row>
    <row r="37387">
      <c r="N37387" s="28"/>
      <c r="O37387" s="28"/>
      <c r="U37387" s="28"/>
    </row>
    <row r="37388">
      <c r="N37388" s="28"/>
      <c r="O37388" s="28"/>
      <c r="U37388" s="28"/>
    </row>
    <row r="37389">
      <c r="N37389" s="28"/>
      <c r="O37389" s="28"/>
      <c r="U37389" s="28"/>
    </row>
    <row r="37390">
      <c r="N37390" s="28"/>
      <c r="O37390" s="28"/>
      <c r="U37390" s="28"/>
    </row>
    <row r="37391">
      <c r="N37391" s="28"/>
      <c r="O37391" s="28"/>
      <c r="U37391" s="28"/>
    </row>
    <row r="37392">
      <c r="N37392" s="28"/>
      <c r="O37392" s="28"/>
      <c r="U37392" s="28"/>
    </row>
    <row r="37393">
      <c r="N37393" s="28"/>
      <c r="O37393" s="28"/>
      <c r="U37393" s="28"/>
    </row>
    <row r="37394">
      <c r="N37394" s="28"/>
      <c r="O37394" s="28"/>
      <c r="U37394" s="28"/>
    </row>
    <row r="37395">
      <c r="N37395" s="28"/>
      <c r="O37395" s="28"/>
      <c r="U37395" s="28"/>
    </row>
    <row r="37396">
      <c r="N37396" s="28"/>
      <c r="O37396" s="28"/>
      <c r="U37396" s="28"/>
    </row>
    <row r="37397">
      <c r="N37397" s="28"/>
      <c r="O37397" s="28"/>
      <c r="U37397" s="28"/>
    </row>
    <row r="37398">
      <c r="N37398" s="28"/>
      <c r="O37398" s="28"/>
      <c r="U37398" s="28"/>
    </row>
    <row r="37399">
      <c r="N37399" s="28"/>
      <c r="O37399" s="28"/>
      <c r="U37399" s="28"/>
    </row>
    <row r="37400">
      <c r="N37400" s="28"/>
      <c r="O37400" s="28"/>
      <c r="U37400" s="28"/>
    </row>
    <row r="37401">
      <c r="N37401" s="28"/>
      <c r="O37401" s="28"/>
      <c r="U37401" s="28"/>
    </row>
    <row r="37402">
      <c r="N37402" s="28"/>
      <c r="O37402" s="28"/>
      <c r="U37402" s="28"/>
    </row>
    <row r="37403">
      <c r="N37403" s="28"/>
      <c r="O37403" s="28"/>
      <c r="U37403" s="28"/>
    </row>
    <row r="37404">
      <c r="N37404" s="28"/>
      <c r="O37404" s="28"/>
      <c r="U37404" s="28"/>
    </row>
    <row r="37405">
      <c r="N37405" s="28"/>
      <c r="O37405" s="28"/>
      <c r="U37405" s="28"/>
    </row>
    <row r="37406">
      <c r="N37406" s="28"/>
      <c r="O37406" s="28"/>
      <c r="U37406" s="28"/>
    </row>
    <row r="37407">
      <c r="N37407" s="28"/>
      <c r="O37407" s="28"/>
      <c r="U37407" s="28"/>
    </row>
    <row r="37408">
      <c r="N37408" s="28"/>
      <c r="O37408" s="28"/>
      <c r="U37408" s="28"/>
    </row>
    <row r="37409">
      <c r="N37409" s="28"/>
      <c r="O37409" s="28"/>
      <c r="U37409" s="28"/>
    </row>
    <row r="37410">
      <c r="N37410" s="28"/>
      <c r="O37410" s="28"/>
      <c r="U37410" s="28"/>
    </row>
    <row r="37411">
      <c r="N37411" s="28"/>
      <c r="O37411" s="28"/>
      <c r="U37411" s="28"/>
    </row>
    <row r="37412">
      <c r="N37412" s="28"/>
      <c r="O37412" s="28"/>
      <c r="U37412" s="28"/>
    </row>
    <row r="37413">
      <c r="N37413" s="28"/>
      <c r="O37413" s="28"/>
      <c r="U37413" s="28"/>
    </row>
    <row r="37414">
      <c r="N37414" s="28"/>
      <c r="O37414" s="28"/>
      <c r="U37414" s="28"/>
    </row>
    <row r="37415">
      <c r="N37415" s="28"/>
      <c r="O37415" s="28"/>
      <c r="U37415" s="28"/>
    </row>
    <row r="37416">
      <c r="N37416" s="28"/>
      <c r="O37416" s="28"/>
      <c r="U37416" s="28"/>
    </row>
    <row r="37417">
      <c r="N37417" s="28"/>
      <c r="O37417" s="28"/>
      <c r="U37417" s="28"/>
    </row>
    <row r="37418">
      <c r="N37418" s="28"/>
      <c r="O37418" s="28"/>
      <c r="U37418" s="28"/>
    </row>
    <row r="37419">
      <c r="N37419" s="28"/>
      <c r="O37419" s="28"/>
      <c r="U37419" s="28"/>
    </row>
    <row r="37420">
      <c r="N37420" s="28"/>
      <c r="O37420" s="28"/>
      <c r="U37420" s="28"/>
    </row>
    <row r="37421">
      <c r="N37421" s="28"/>
      <c r="O37421" s="28"/>
      <c r="U37421" s="28"/>
    </row>
    <row r="37422">
      <c r="N37422" s="28"/>
      <c r="O37422" s="28"/>
      <c r="U37422" s="28"/>
    </row>
    <row r="37423">
      <c r="N37423" s="28"/>
      <c r="O37423" s="28"/>
      <c r="U37423" s="28"/>
    </row>
    <row r="37424">
      <c r="N37424" s="28"/>
      <c r="O37424" s="28"/>
      <c r="U37424" s="28"/>
    </row>
    <row r="37425">
      <c r="N37425" s="28"/>
      <c r="O37425" s="28"/>
      <c r="U37425" s="28"/>
    </row>
    <row r="37426">
      <c r="N37426" s="28"/>
      <c r="O37426" s="28"/>
      <c r="U37426" s="28"/>
    </row>
    <row r="37427">
      <c r="N37427" s="28"/>
      <c r="O37427" s="28"/>
      <c r="U37427" s="28"/>
    </row>
    <row r="37428">
      <c r="N37428" s="28"/>
      <c r="O37428" s="28"/>
      <c r="U37428" s="28"/>
    </row>
    <row r="37429">
      <c r="N37429" s="28"/>
      <c r="O37429" s="28"/>
      <c r="U37429" s="28"/>
    </row>
    <row r="37430">
      <c r="N37430" s="28"/>
      <c r="O37430" s="28"/>
      <c r="U37430" s="28"/>
    </row>
    <row r="37431">
      <c r="N37431" s="28"/>
      <c r="O37431" s="28"/>
      <c r="U37431" s="28"/>
    </row>
    <row r="37432">
      <c r="N37432" s="28"/>
      <c r="O37432" s="28"/>
      <c r="U37432" s="28"/>
    </row>
    <row r="37433">
      <c r="N37433" s="28"/>
      <c r="O37433" s="28"/>
      <c r="U37433" s="28"/>
    </row>
    <row r="37434">
      <c r="N37434" s="28"/>
      <c r="O37434" s="28"/>
      <c r="U37434" s="28"/>
    </row>
    <row r="37435">
      <c r="N37435" s="28"/>
      <c r="O37435" s="28"/>
      <c r="U37435" s="28"/>
    </row>
    <row r="37436">
      <c r="N37436" s="28"/>
      <c r="O37436" s="28"/>
      <c r="U37436" s="28"/>
    </row>
    <row r="37437">
      <c r="N37437" s="28"/>
      <c r="O37437" s="28"/>
      <c r="U37437" s="28"/>
    </row>
    <row r="37438">
      <c r="N37438" s="28"/>
      <c r="O37438" s="28"/>
      <c r="U37438" s="28"/>
    </row>
    <row r="37439">
      <c r="N37439" s="28"/>
      <c r="O37439" s="28"/>
      <c r="U37439" s="28"/>
    </row>
    <row r="37440">
      <c r="N37440" s="28"/>
      <c r="O37440" s="28"/>
      <c r="U37440" s="28"/>
    </row>
    <row r="37441">
      <c r="N37441" s="28"/>
      <c r="O37441" s="28"/>
      <c r="U37441" s="28"/>
    </row>
    <row r="37442">
      <c r="N37442" s="28"/>
      <c r="O37442" s="28"/>
      <c r="U37442" s="28"/>
    </row>
    <row r="37443">
      <c r="N37443" s="28"/>
      <c r="O37443" s="28"/>
      <c r="U37443" s="28"/>
    </row>
    <row r="37444">
      <c r="N37444" s="28"/>
      <c r="O37444" s="28"/>
      <c r="U37444" s="28"/>
    </row>
    <row r="37445">
      <c r="N37445" s="28"/>
      <c r="O37445" s="28"/>
      <c r="U37445" s="28"/>
    </row>
    <row r="37446">
      <c r="N37446" s="28"/>
      <c r="O37446" s="28"/>
      <c r="U37446" s="28"/>
    </row>
    <row r="37447">
      <c r="N37447" s="28"/>
      <c r="O37447" s="28"/>
      <c r="U37447" s="28"/>
    </row>
    <row r="37448">
      <c r="N37448" s="28"/>
      <c r="O37448" s="28"/>
      <c r="U37448" s="28"/>
    </row>
    <row r="37449">
      <c r="N37449" s="28"/>
      <c r="O37449" s="28"/>
      <c r="U37449" s="28"/>
    </row>
    <row r="37450">
      <c r="N37450" s="28"/>
      <c r="O37450" s="28"/>
      <c r="U37450" s="28"/>
    </row>
    <row r="37451">
      <c r="N37451" s="28"/>
      <c r="O37451" s="28"/>
      <c r="U37451" s="28"/>
    </row>
    <row r="37452">
      <c r="N37452" s="28"/>
      <c r="O37452" s="28"/>
      <c r="U37452" s="28"/>
    </row>
    <row r="37453">
      <c r="N37453" s="28"/>
      <c r="O37453" s="28"/>
      <c r="U37453" s="28"/>
    </row>
    <row r="37454">
      <c r="N37454" s="28"/>
      <c r="O37454" s="28"/>
      <c r="U37454" s="28"/>
    </row>
    <row r="37455">
      <c r="N37455" s="28"/>
      <c r="O37455" s="28"/>
      <c r="U37455" s="28"/>
    </row>
    <row r="37456">
      <c r="N37456" s="28"/>
      <c r="O37456" s="28"/>
      <c r="U37456" s="28"/>
    </row>
    <row r="37457">
      <c r="N37457" s="28"/>
      <c r="O37457" s="28"/>
      <c r="U37457" s="28"/>
    </row>
    <row r="37458">
      <c r="N37458" s="28"/>
      <c r="O37458" s="28"/>
      <c r="U37458" s="28"/>
    </row>
    <row r="37459">
      <c r="N37459" s="28"/>
      <c r="O37459" s="28"/>
      <c r="U37459" s="28"/>
    </row>
    <row r="37460">
      <c r="N37460" s="28"/>
      <c r="O37460" s="28"/>
      <c r="U37460" s="28"/>
    </row>
    <row r="37461">
      <c r="N37461" s="28"/>
      <c r="O37461" s="28"/>
      <c r="U37461" s="28"/>
    </row>
    <row r="37462">
      <c r="N37462" s="28"/>
      <c r="O37462" s="28"/>
      <c r="U37462" s="28"/>
    </row>
    <row r="37463">
      <c r="N37463" s="28"/>
      <c r="O37463" s="28"/>
      <c r="U37463" s="28"/>
    </row>
    <row r="37464">
      <c r="N37464" s="28"/>
      <c r="O37464" s="28"/>
      <c r="U37464" s="28"/>
    </row>
    <row r="37465">
      <c r="N37465" s="28"/>
      <c r="O37465" s="28"/>
      <c r="U37465" s="28"/>
    </row>
    <row r="37466">
      <c r="N37466" s="28"/>
      <c r="O37466" s="28"/>
      <c r="U37466" s="28"/>
    </row>
    <row r="37467">
      <c r="N37467" s="28"/>
      <c r="O37467" s="28"/>
      <c r="U37467" s="28"/>
    </row>
    <row r="37468">
      <c r="N37468" s="28"/>
      <c r="O37468" s="28"/>
      <c r="U37468" s="28"/>
    </row>
    <row r="37469">
      <c r="N37469" s="28"/>
      <c r="O37469" s="28"/>
      <c r="U37469" s="28"/>
    </row>
    <row r="37470">
      <c r="N37470" s="28"/>
      <c r="O37470" s="28"/>
      <c r="U37470" s="28"/>
    </row>
    <row r="37471">
      <c r="N37471" s="28"/>
      <c r="O37471" s="28"/>
      <c r="U37471" s="28"/>
    </row>
    <row r="37472">
      <c r="N37472" s="28"/>
      <c r="O37472" s="28"/>
      <c r="U37472" s="28"/>
    </row>
    <row r="37473">
      <c r="N37473" s="28"/>
      <c r="O37473" s="28"/>
      <c r="U37473" s="28"/>
    </row>
    <row r="37474">
      <c r="N37474" s="28"/>
      <c r="O37474" s="28"/>
      <c r="U37474" s="28"/>
    </row>
    <row r="37475">
      <c r="N37475" s="28"/>
      <c r="O37475" s="28"/>
      <c r="U37475" s="28"/>
    </row>
    <row r="37476">
      <c r="N37476" s="28"/>
      <c r="O37476" s="28"/>
      <c r="U37476" s="28"/>
    </row>
    <row r="37477">
      <c r="N37477" s="28"/>
      <c r="O37477" s="28"/>
      <c r="U37477" s="28"/>
    </row>
    <row r="37478">
      <c r="N37478" s="28"/>
      <c r="O37478" s="28"/>
      <c r="U37478" s="28"/>
    </row>
    <row r="37479">
      <c r="N37479" s="28"/>
      <c r="O37479" s="28"/>
      <c r="U37479" s="28"/>
    </row>
    <row r="37480">
      <c r="N37480" s="28"/>
      <c r="O37480" s="28"/>
      <c r="U37480" s="28"/>
    </row>
    <row r="37481">
      <c r="N37481" s="28"/>
      <c r="O37481" s="28"/>
      <c r="U37481" s="28"/>
    </row>
    <row r="37482">
      <c r="N37482" s="28"/>
      <c r="O37482" s="28"/>
      <c r="U37482" s="28"/>
    </row>
    <row r="37483">
      <c r="N37483" s="28"/>
      <c r="O37483" s="28"/>
      <c r="U37483" s="28"/>
    </row>
    <row r="37484">
      <c r="N37484" s="28"/>
      <c r="O37484" s="28"/>
      <c r="U37484" s="28"/>
    </row>
    <row r="37485">
      <c r="N37485" s="28"/>
      <c r="O37485" s="28"/>
      <c r="U37485" s="28"/>
    </row>
    <row r="37486">
      <c r="N37486" s="28"/>
      <c r="O37486" s="28"/>
      <c r="U37486" s="28"/>
    </row>
    <row r="37487">
      <c r="N37487" s="28"/>
      <c r="O37487" s="28"/>
      <c r="U37487" s="28"/>
    </row>
    <row r="37488">
      <c r="N37488" s="28"/>
      <c r="O37488" s="28"/>
      <c r="U37488" s="28"/>
    </row>
    <row r="37489">
      <c r="N37489" s="28"/>
      <c r="O37489" s="28"/>
      <c r="U37489" s="28"/>
    </row>
    <row r="37490">
      <c r="N37490" s="28"/>
      <c r="O37490" s="28"/>
      <c r="U37490" s="28"/>
    </row>
    <row r="37491">
      <c r="N37491" s="28"/>
      <c r="O37491" s="28"/>
      <c r="U37491" s="28"/>
    </row>
    <row r="37492">
      <c r="N37492" s="28"/>
      <c r="O37492" s="28"/>
      <c r="U37492" s="28"/>
    </row>
    <row r="37493">
      <c r="N37493" s="28"/>
      <c r="O37493" s="28"/>
      <c r="U37493" s="28"/>
    </row>
    <row r="37494">
      <c r="N37494" s="28"/>
      <c r="O37494" s="28"/>
      <c r="U37494" s="28"/>
    </row>
    <row r="37495">
      <c r="N37495" s="28"/>
      <c r="O37495" s="28"/>
      <c r="U37495" s="28"/>
    </row>
    <row r="37496">
      <c r="N37496" s="28"/>
      <c r="O37496" s="28"/>
      <c r="U37496" s="28"/>
    </row>
    <row r="37497">
      <c r="N37497" s="28"/>
      <c r="O37497" s="28"/>
      <c r="U37497" s="28"/>
    </row>
    <row r="37498">
      <c r="N37498" s="28"/>
      <c r="O37498" s="28"/>
      <c r="U37498" s="28"/>
    </row>
    <row r="37499">
      <c r="N37499" s="28"/>
      <c r="O37499" s="28"/>
      <c r="U37499" s="28"/>
    </row>
    <row r="37500">
      <c r="N37500" s="28"/>
      <c r="O37500" s="28"/>
      <c r="U37500" s="28"/>
    </row>
    <row r="37501">
      <c r="N37501" s="28"/>
      <c r="O37501" s="28"/>
      <c r="U37501" s="28"/>
    </row>
    <row r="37502">
      <c r="N37502" s="28"/>
      <c r="O37502" s="28"/>
      <c r="U37502" s="28"/>
    </row>
    <row r="37503">
      <c r="N37503" s="28"/>
      <c r="O37503" s="28"/>
      <c r="U37503" s="28"/>
    </row>
    <row r="37504">
      <c r="N37504" s="28"/>
      <c r="O37504" s="28"/>
      <c r="U37504" s="28"/>
    </row>
    <row r="37505">
      <c r="N37505" s="28"/>
      <c r="O37505" s="28"/>
      <c r="U37505" s="28"/>
    </row>
    <row r="37506">
      <c r="N37506" s="28"/>
      <c r="O37506" s="28"/>
      <c r="U37506" s="28"/>
    </row>
    <row r="37507">
      <c r="N37507" s="28"/>
      <c r="O37507" s="28"/>
      <c r="U37507" s="28"/>
    </row>
    <row r="37508">
      <c r="N37508" s="28"/>
      <c r="O37508" s="28"/>
      <c r="U37508" s="28"/>
    </row>
    <row r="37509">
      <c r="N37509" s="28"/>
      <c r="O37509" s="28"/>
      <c r="U37509" s="28"/>
    </row>
    <row r="37510">
      <c r="N37510" s="28"/>
      <c r="O37510" s="28"/>
      <c r="U37510" s="28"/>
    </row>
    <row r="37511">
      <c r="N37511" s="28"/>
      <c r="O37511" s="28"/>
      <c r="U37511" s="28"/>
    </row>
    <row r="37512">
      <c r="N37512" s="28"/>
      <c r="O37512" s="28"/>
      <c r="U37512" s="28"/>
    </row>
    <row r="37513">
      <c r="N37513" s="28"/>
      <c r="O37513" s="28"/>
      <c r="U37513" s="28"/>
    </row>
    <row r="37514">
      <c r="N37514" s="28"/>
      <c r="O37514" s="28"/>
      <c r="U37514" s="28"/>
    </row>
    <row r="37515">
      <c r="N37515" s="28"/>
      <c r="O37515" s="28"/>
      <c r="U37515" s="28"/>
    </row>
    <row r="37516">
      <c r="N37516" s="28"/>
      <c r="O37516" s="28"/>
      <c r="U37516" s="28"/>
    </row>
    <row r="37517">
      <c r="N37517" s="28"/>
      <c r="O37517" s="28"/>
      <c r="U37517" s="28"/>
    </row>
    <row r="37518">
      <c r="N37518" s="28"/>
      <c r="O37518" s="28"/>
      <c r="U37518" s="28"/>
    </row>
    <row r="37519">
      <c r="N37519" s="28"/>
      <c r="O37519" s="28"/>
      <c r="U37519" s="28"/>
    </row>
    <row r="37520">
      <c r="N37520" s="28"/>
      <c r="O37520" s="28"/>
      <c r="U37520" s="28"/>
    </row>
    <row r="37521">
      <c r="N37521" s="28"/>
      <c r="O37521" s="28"/>
      <c r="U37521" s="28"/>
    </row>
    <row r="37522">
      <c r="N37522" s="28"/>
      <c r="O37522" s="28"/>
      <c r="U37522" s="28"/>
    </row>
    <row r="37523">
      <c r="N37523" s="28"/>
      <c r="O37523" s="28"/>
      <c r="U37523" s="28"/>
    </row>
    <row r="37524">
      <c r="N37524" s="28"/>
      <c r="O37524" s="28"/>
      <c r="U37524" s="28"/>
    </row>
    <row r="37525">
      <c r="N37525" s="28"/>
      <c r="O37525" s="28"/>
      <c r="U37525" s="28"/>
    </row>
    <row r="37526">
      <c r="N37526" s="28"/>
      <c r="O37526" s="28"/>
      <c r="U37526" s="28"/>
    </row>
    <row r="37527">
      <c r="N37527" s="28"/>
      <c r="O37527" s="28"/>
      <c r="U37527" s="28"/>
    </row>
    <row r="37528">
      <c r="N37528" s="28"/>
      <c r="O37528" s="28"/>
      <c r="U37528" s="28"/>
    </row>
    <row r="37529">
      <c r="N37529" s="28"/>
      <c r="O37529" s="28"/>
      <c r="U37529" s="28"/>
    </row>
    <row r="37530">
      <c r="N37530" s="28"/>
      <c r="O37530" s="28"/>
      <c r="U37530" s="28"/>
    </row>
    <row r="37531">
      <c r="N37531" s="28"/>
      <c r="O37531" s="28"/>
      <c r="U37531" s="28"/>
    </row>
    <row r="37532">
      <c r="N37532" s="28"/>
      <c r="O37532" s="28"/>
      <c r="U37532" s="28"/>
    </row>
    <row r="37533">
      <c r="N37533" s="28"/>
      <c r="O37533" s="28"/>
      <c r="U37533" s="28"/>
    </row>
    <row r="37534">
      <c r="N37534" s="28"/>
      <c r="O37534" s="28"/>
      <c r="U37534" s="28"/>
    </row>
    <row r="37535">
      <c r="N37535" s="28"/>
      <c r="O37535" s="28"/>
      <c r="U37535" s="28"/>
    </row>
    <row r="37536">
      <c r="N37536" s="28"/>
      <c r="O37536" s="28"/>
      <c r="U37536" s="28"/>
    </row>
    <row r="37537">
      <c r="N37537" s="28"/>
      <c r="O37537" s="28"/>
      <c r="U37537" s="28"/>
    </row>
    <row r="37538">
      <c r="N37538" s="28"/>
      <c r="O37538" s="28"/>
      <c r="U37538" s="28"/>
    </row>
    <row r="37539">
      <c r="N37539" s="28"/>
      <c r="O37539" s="28"/>
      <c r="U37539" s="28"/>
    </row>
    <row r="37540">
      <c r="N37540" s="28"/>
      <c r="O37540" s="28"/>
      <c r="U37540" s="28"/>
    </row>
    <row r="37541">
      <c r="N37541" s="28"/>
      <c r="O37541" s="28"/>
      <c r="U37541" s="28"/>
    </row>
    <row r="37542">
      <c r="N37542" s="28"/>
      <c r="O37542" s="28"/>
      <c r="U37542" s="28"/>
    </row>
    <row r="37543">
      <c r="N37543" s="28"/>
      <c r="O37543" s="28"/>
      <c r="U37543" s="28"/>
    </row>
    <row r="37544">
      <c r="N37544" s="28"/>
      <c r="O37544" s="28"/>
      <c r="U37544" s="28"/>
    </row>
    <row r="37545">
      <c r="N37545" s="28"/>
      <c r="O37545" s="28"/>
      <c r="U37545" s="28"/>
    </row>
    <row r="37546">
      <c r="N37546" s="28"/>
      <c r="O37546" s="28"/>
      <c r="U37546" s="28"/>
    </row>
    <row r="37547">
      <c r="N37547" s="28"/>
      <c r="O37547" s="28"/>
      <c r="U37547" s="28"/>
    </row>
    <row r="37548">
      <c r="N37548" s="28"/>
      <c r="O37548" s="28"/>
      <c r="U37548" s="28"/>
    </row>
    <row r="37549">
      <c r="N37549" s="28"/>
      <c r="O37549" s="28"/>
      <c r="U37549" s="28"/>
    </row>
    <row r="37550">
      <c r="N37550" s="28"/>
      <c r="O37550" s="28"/>
      <c r="U37550" s="28"/>
    </row>
    <row r="37551">
      <c r="N37551" s="28"/>
      <c r="O37551" s="28"/>
      <c r="U37551" s="28"/>
    </row>
    <row r="37552">
      <c r="N37552" s="28"/>
      <c r="O37552" s="28"/>
      <c r="U37552" s="28"/>
    </row>
    <row r="37553">
      <c r="N37553" s="28"/>
      <c r="O37553" s="28"/>
      <c r="U37553" s="28"/>
    </row>
    <row r="37554">
      <c r="N37554" s="28"/>
      <c r="O37554" s="28"/>
      <c r="U37554" s="28"/>
    </row>
    <row r="37555">
      <c r="N37555" s="28"/>
      <c r="O37555" s="28"/>
      <c r="U37555" s="28"/>
    </row>
    <row r="37556">
      <c r="N37556" s="28"/>
      <c r="O37556" s="28"/>
      <c r="U37556" s="28"/>
    </row>
    <row r="37557">
      <c r="N37557" s="28"/>
      <c r="O37557" s="28"/>
      <c r="U37557" s="28"/>
    </row>
    <row r="37558">
      <c r="N37558" s="28"/>
      <c r="O37558" s="28"/>
      <c r="U37558" s="28"/>
    </row>
    <row r="37559">
      <c r="N37559" s="28"/>
      <c r="O37559" s="28"/>
      <c r="U37559" s="28"/>
    </row>
    <row r="37560">
      <c r="N37560" s="28"/>
      <c r="O37560" s="28"/>
      <c r="U37560" s="28"/>
    </row>
    <row r="37561">
      <c r="N37561" s="28"/>
      <c r="O37561" s="28"/>
      <c r="U37561" s="28"/>
    </row>
    <row r="37562">
      <c r="N37562" s="28"/>
      <c r="O37562" s="28"/>
      <c r="U37562" s="28"/>
    </row>
    <row r="37563">
      <c r="N37563" s="28"/>
      <c r="O37563" s="28"/>
      <c r="U37563" s="28"/>
    </row>
    <row r="37564">
      <c r="N37564" s="28"/>
      <c r="O37564" s="28"/>
      <c r="U37564" s="28"/>
    </row>
    <row r="37565">
      <c r="N37565" s="28"/>
      <c r="O37565" s="28"/>
      <c r="U37565" s="28"/>
    </row>
    <row r="37566">
      <c r="N37566" s="28"/>
      <c r="O37566" s="28"/>
      <c r="U37566" s="28"/>
    </row>
    <row r="37567">
      <c r="N37567" s="28"/>
      <c r="O37567" s="28"/>
      <c r="U37567" s="28"/>
    </row>
    <row r="37568">
      <c r="N37568" s="28"/>
      <c r="O37568" s="28"/>
      <c r="U37568" s="28"/>
    </row>
    <row r="37569">
      <c r="N37569" s="28"/>
      <c r="O37569" s="28"/>
      <c r="U37569" s="28"/>
    </row>
    <row r="37570">
      <c r="N37570" s="28"/>
      <c r="O37570" s="28"/>
      <c r="U37570" s="28"/>
    </row>
    <row r="37571">
      <c r="N37571" s="28"/>
      <c r="O37571" s="28"/>
      <c r="U37571" s="28"/>
    </row>
    <row r="37572">
      <c r="N37572" s="28"/>
      <c r="O37572" s="28"/>
      <c r="U37572" s="28"/>
    </row>
    <row r="37573">
      <c r="N37573" s="28"/>
      <c r="O37573" s="28"/>
      <c r="U37573" s="28"/>
    </row>
    <row r="37574">
      <c r="N37574" s="28"/>
      <c r="O37574" s="28"/>
      <c r="U37574" s="28"/>
    </row>
    <row r="37575">
      <c r="N37575" s="28"/>
      <c r="O37575" s="28"/>
      <c r="U37575" s="28"/>
    </row>
    <row r="37576">
      <c r="N37576" s="28"/>
      <c r="O37576" s="28"/>
      <c r="U37576" s="28"/>
    </row>
    <row r="37577">
      <c r="N37577" s="28"/>
      <c r="O37577" s="28"/>
      <c r="U37577" s="28"/>
    </row>
    <row r="37578">
      <c r="N37578" s="28"/>
      <c r="O37578" s="28"/>
      <c r="U37578" s="28"/>
    </row>
    <row r="37579">
      <c r="N37579" s="28"/>
      <c r="O37579" s="28"/>
      <c r="U37579" s="28"/>
    </row>
    <row r="37580">
      <c r="N37580" s="28"/>
      <c r="O37580" s="28"/>
      <c r="U37580" s="28"/>
    </row>
    <row r="37581">
      <c r="N37581" s="28"/>
      <c r="O37581" s="28"/>
      <c r="U37581" s="28"/>
    </row>
    <row r="37582">
      <c r="N37582" s="28"/>
      <c r="O37582" s="28"/>
      <c r="U37582" s="28"/>
    </row>
    <row r="37583">
      <c r="N37583" s="28"/>
      <c r="O37583" s="28"/>
      <c r="U37583" s="28"/>
    </row>
    <row r="37584">
      <c r="N37584" s="28"/>
      <c r="O37584" s="28"/>
      <c r="U37584" s="28"/>
    </row>
    <row r="37585">
      <c r="N37585" s="28"/>
      <c r="O37585" s="28"/>
      <c r="U37585" s="28"/>
    </row>
    <row r="37586">
      <c r="N37586" s="28"/>
      <c r="O37586" s="28"/>
      <c r="U37586" s="28"/>
    </row>
    <row r="37587">
      <c r="N37587" s="28"/>
      <c r="O37587" s="28"/>
      <c r="U37587" s="28"/>
    </row>
    <row r="37588">
      <c r="N37588" s="28"/>
      <c r="O37588" s="28"/>
      <c r="U37588" s="28"/>
    </row>
    <row r="37589">
      <c r="N37589" s="28"/>
      <c r="O37589" s="28"/>
      <c r="U37589" s="28"/>
    </row>
    <row r="37590">
      <c r="N37590" s="28"/>
      <c r="O37590" s="28"/>
      <c r="U37590" s="28"/>
    </row>
    <row r="37591">
      <c r="N37591" s="28"/>
      <c r="O37591" s="28"/>
      <c r="U37591" s="28"/>
    </row>
    <row r="37592">
      <c r="N37592" s="28"/>
      <c r="O37592" s="28"/>
      <c r="U37592" s="28"/>
    </row>
    <row r="37593">
      <c r="N37593" s="28"/>
      <c r="O37593" s="28"/>
      <c r="U37593" s="28"/>
    </row>
    <row r="37594">
      <c r="N37594" s="28"/>
      <c r="O37594" s="28"/>
      <c r="U37594" s="28"/>
    </row>
    <row r="37595">
      <c r="N37595" s="28"/>
      <c r="O37595" s="28"/>
      <c r="U37595" s="28"/>
    </row>
    <row r="37596">
      <c r="N37596" s="28"/>
      <c r="O37596" s="28"/>
      <c r="U37596" s="28"/>
    </row>
    <row r="37597">
      <c r="N37597" s="28"/>
      <c r="O37597" s="28"/>
      <c r="U37597" s="28"/>
    </row>
    <row r="37598">
      <c r="N37598" s="28"/>
      <c r="O37598" s="28"/>
      <c r="U37598" s="28"/>
    </row>
    <row r="37599">
      <c r="N37599" s="28"/>
      <c r="O37599" s="28"/>
      <c r="U37599" s="28"/>
    </row>
    <row r="37600">
      <c r="N37600" s="28"/>
      <c r="O37600" s="28"/>
      <c r="U37600" s="28"/>
    </row>
    <row r="37601">
      <c r="N37601" s="28"/>
      <c r="O37601" s="28"/>
      <c r="U37601" s="28"/>
    </row>
    <row r="37602">
      <c r="N37602" s="28"/>
      <c r="O37602" s="28"/>
      <c r="U37602" s="28"/>
    </row>
    <row r="37603">
      <c r="N37603" s="28"/>
      <c r="O37603" s="28"/>
      <c r="U37603" s="28"/>
    </row>
    <row r="37604">
      <c r="N37604" s="28"/>
      <c r="O37604" s="28"/>
      <c r="U37604" s="28"/>
    </row>
    <row r="37605">
      <c r="N37605" s="28"/>
      <c r="O37605" s="28"/>
      <c r="U37605" s="28"/>
    </row>
    <row r="37606">
      <c r="N37606" s="28"/>
      <c r="O37606" s="28"/>
      <c r="U37606" s="28"/>
    </row>
    <row r="37607">
      <c r="N37607" s="28"/>
      <c r="O37607" s="28"/>
      <c r="U37607" s="28"/>
    </row>
    <row r="37608">
      <c r="N37608" s="28"/>
      <c r="O37608" s="28"/>
      <c r="U37608" s="28"/>
    </row>
    <row r="37609">
      <c r="N37609" s="28"/>
      <c r="O37609" s="28"/>
      <c r="U37609" s="28"/>
    </row>
    <row r="37610">
      <c r="N37610" s="28"/>
      <c r="O37610" s="28"/>
      <c r="U37610" s="28"/>
    </row>
    <row r="37611">
      <c r="N37611" s="28"/>
      <c r="O37611" s="28"/>
      <c r="U37611" s="28"/>
    </row>
    <row r="37612">
      <c r="N37612" s="28"/>
      <c r="O37612" s="28"/>
      <c r="U37612" s="28"/>
    </row>
    <row r="37613">
      <c r="N37613" s="28"/>
      <c r="O37613" s="28"/>
      <c r="U37613" s="28"/>
    </row>
    <row r="37614">
      <c r="N37614" s="28"/>
      <c r="O37614" s="28"/>
      <c r="U37614" s="28"/>
    </row>
    <row r="37615">
      <c r="N37615" s="28"/>
      <c r="O37615" s="28"/>
      <c r="U37615" s="28"/>
    </row>
    <row r="37616">
      <c r="N37616" s="28"/>
      <c r="O37616" s="28"/>
      <c r="U37616" s="28"/>
    </row>
    <row r="37617">
      <c r="N37617" s="28"/>
      <c r="O37617" s="28"/>
      <c r="U37617" s="28"/>
    </row>
    <row r="37618">
      <c r="N37618" s="28"/>
      <c r="O37618" s="28"/>
      <c r="U37618" s="28"/>
    </row>
    <row r="37619">
      <c r="N37619" s="28"/>
      <c r="O37619" s="28"/>
      <c r="U37619" s="28"/>
    </row>
    <row r="37620">
      <c r="N37620" s="28"/>
      <c r="O37620" s="28"/>
      <c r="U37620" s="28"/>
    </row>
    <row r="37621">
      <c r="N37621" s="28"/>
      <c r="O37621" s="28"/>
      <c r="U37621" s="28"/>
    </row>
    <row r="37622">
      <c r="N37622" s="28"/>
      <c r="O37622" s="28"/>
      <c r="U37622" s="28"/>
    </row>
    <row r="37623">
      <c r="N37623" s="28"/>
      <c r="O37623" s="28"/>
      <c r="U37623" s="28"/>
    </row>
    <row r="37624">
      <c r="N37624" s="28"/>
      <c r="O37624" s="28"/>
      <c r="U37624" s="28"/>
    </row>
    <row r="37625">
      <c r="N37625" s="28"/>
      <c r="O37625" s="28"/>
      <c r="U37625" s="28"/>
    </row>
    <row r="37626">
      <c r="N37626" s="28"/>
      <c r="O37626" s="28"/>
      <c r="U37626" s="28"/>
    </row>
    <row r="37627">
      <c r="N37627" s="28"/>
      <c r="O37627" s="28"/>
      <c r="U37627" s="28"/>
    </row>
    <row r="37628">
      <c r="N37628" s="28"/>
      <c r="O37628" s="28"/>
      <c r="U37628" s="28"/>
    </row>
    <row r="37629">
      <c r="N37629" s="28"/>
      <c r="O37629" s="28"/>
      <c r="U37629" s="28"/>
    </row>
    <row r="37630">
      <c r="N37630" s="28"/>
      <c r="O37630" s="28"/>
      <c r="U37630" s="28"/>
    </row>
    <row r="37631">
      <c r="N37631" s="28"/>
      <c r="O37631" s="28"/>
      <c r="U37631" s="28"/>
    </row>
    <row r="37632">
      <c r="N37632" s="28"/>
      <c r="O37632" s="28"/>
      <c r="U37632" s="28"/>
    </row>
    <row r="37633">
      <c r="N37633" s="28"/>
      <c r="O37633" s="28"/>
      <c r="U37633" s="28"/>
    </row>
    <row r="37634">
      <c r="N37634" s="28"/>
      <c r="O37634" s="28"/>
      <c r="U37634" s="28"/>
    </row>
    <row r="37635">
      <c r="N37635" s="28"/>
      <c r="O37635" s="28"/>
      <c r="U37635" s="28"/>
    </row>
    <row r="37636">
      <c r="N37636" s="28"/>
      <c r="O37636" s="28"/>
      <c r="U37636" s="28"/>
    </row>
    <row r="37637">
      <c r="N37637" s="28"/>
      <c r="O37637" s="28"/>
      <c r="U37637" s="28"/>
    </row>
    <row r="37638">
      <c r="N37638" s="28"/>
      <c r="O37638" s="28"/>
      <c r="U37638" s="28"/>
    </row>
    <row r="37639">
      <c r="N37639" s="28"/>
      <c r="O37639" s="28"/>
      <c r="U37639" s="28"/>
    </row>
    <row r="37640">
      <c r="N37640" s="28"/>
      <c r="O37640" s="28"/>
      <c r="U37640" s="28"/>
    </row>
    <row r="37641">
      <c r="N37641" s="28"/>
      <c r="O37641" s="28"/>
      <c r="U37641" s="28"/>
    </row>
    <row r="37642">
      <c r="N37642" s="28"/>
      <c r="O37642" s="28"/>
      <c r="U37642" s="28"/>
    </row>
    <row r="37643">
      <c r="N37643" s="28"/>
      <c r="O37643" s="28"/>
      <c r="U37643" s="28"/>
    </row>
    <row r="37644">
      <c r="N37644" s="28"/>
      <c r="O37644" s="28"/>
      <c r="U37644" s="28"/>
    </row>
    <row r="37645">
      <c r="N37645" s="28"/>
      <c r="O37645" s="28"/>
      <c r="U37645" s="28"/>
    </row>
    <row r="37646">
      <c r="N37646" s="28"/>
      <c r="O37646" s="28"/>
      <c r="U37646" s="28"/>
    </row>
    <row r="37647">
      <c r="N37647" s="28"/>
      <c r="O37647" s="28"/>
      <c r="U37647" s="28"/>
    </row>
    <row r="37648">
      <c r="N37648" s="28"/>
      <c r="O37648" s="28"/>
      <c r="U37648" s="28"/>
    </row>
    <row r="37649">
      <c r="N37649" s="28"/>
      <c r="O37649" s="28"/>
      <c r="U37649" s="28"/>
    </row>
    <row r="37650">
      <c r="N37650" s="28"/>
      <c r="O37650" s="28"/>
      <c r="U37650" s="28"/>
    </row>
    <row r="37651">
      <c r="N37651" s="28"/>
      <c r="O37651" s="28"/>
      <c r="U37651" s="28"/>
    </row>
    <row r="37652">
      <c r="N37652" s="28"/>
      <c r="O37652" s="28"/>
      <c r="U37652" s="28"/>
    </row>
    <row r="37653">
      <c r="N37653" s="28"/>
      <c r="O37653" s="28"/>
      <c r="U37653" s="28"/>
    </row>
    <row r="37654">
      <c r="N37654" s="28"/>
      <c r="O37654" s="28"/>
      <c r="U37654" s="28"/>
    </row>
    <row r="37655">
      <c r="N37655" s="28"/>
      <c r="O37655" s="28"/>
      <c r="U37655" s="28"/>
    </row>
    <row r="37656">
      <c r="N37656" s="28"/>
      <c r="O37656" s="28"/>
      <c r="U37656" s="28"/>
    </row>
    <row r="37657">
      <c r="N37657" s="28"/>
      <c r="O37657" s="28"/>
      <c r="U37657" s="28"/>
    </row>
    <row r="37658">
      <c r="N37658" s="28"/>
      <c r="O37658" s="28"/>
      <c r="U37658" s="28"/>
    </row>
    <row r="37659">
      <c r="N37659" s="28"/>
      <c r="O37659" s="28"/>
      <c r="U37659" s="28"/>
    </row>
    <row r="37660">
      <c r="N37660" s="28"/>
      <c r="O37660" s="28"/>
      <c r="U37660" s="28"/>
    </row>
    <row r="37661">
      <c r="N37661" s="28"/>
      <c r="O37661" s="28"/>
      <c r="U37661" s="28"/>
    </row>
    <row r="37662">
      <c r="N37662" s="28"/>
      <c r="O37662" s="28"/>
      <c r="U37662" s="28"/>
    </row>
    <row r="37663">
      <c r="N37663" s="28"/>
      <c r="O37663" s="28"/>
      <c r="U37663" s="28"/>
    </row>
    <row r="37664">
      <c r="N37664" s="28"/>
      <c r="O37664" s="28"/>
      <c r="U37664" s="28"/>
    </row>
    <row r="37665">
      <c r="N37665" s="28"/>
      <c r="O37665" s="28"/>
      <c r="U37665" s="28"/>
    </row>
    <row r="37666">
      <c r="N37666" s="28"/>
      <c r="O37666" s="28"/>
      <c r="U37666" s="28"/>
    </row>
    <row r="37667">
      <c r="N37667" s="28"/>
      <c r="O37667" s="28"/>
      <c r="U37667" s="28"/>
    </row>
    <row r="37668">
      <c r="N37668" s="28"/>
      <c r="O37668" s="28"/>
      <c r="U37668" s="28"/>
    </row>
    <row r="37669">
      <c r="N37669" s="28"/>
      <c r="O37669" s="28"/>
      <c r="U37669" s="28"/>
    </row>
    <row r="37670">
      <c r="N37670" s="28"/>
      <c r="O37670" s="28"/>
      <c r="U37670" s="28"/>
    </row>
    <row r="37671">
      <c r="N37671" s="28"/>
      <c r="O37671" s="28"/>
      <c r="U37671" s="28"/>
    </row>
    <row r="37672">
      <c r="N37672" s="28"/>
      <c r="O37672" s="28"/>
      <c r="U37672" s="28"/>
    </row>
    <row r="37673">
      <c r="N37673" s="28"/>
      <c r="O37673" s="28"/>
      <c r="U37673" s="28"/>
    </row>
    <row r="37674">
      <c r="N37674" s="28"/>
      <c r="O37674" s="28"/>
      <c r="U37674" s="28"/>
    </row>
    <row r="37675">
      <c r="N37675" s="28"/>
      <c r="O37675" s="28"/>
      <c r="U37675" s="28"/>
    </row>
    <row r="37676">
      <c r="N37676" s="28"/>
      <c r="O37676" s="28"/>
      <c r="U37676" s="28"/>
    </row>
    <row r="37677">
      <c r="N37677" s="28"/>
      <c r="O37677" s="28"/>
      <c r="U37677" s="28"/>
    </row>
    <row r="37678">
      <c r="N37678" s="28"/>
      <c r="O37678" s="28"/>
      <c r="U37678" s="28"/>
    </row>
    <row r="37679">
      <c r="N37679" s="28"/>
      <c r="O37679" s="28"/>
      <c r="U37679" s="28"/>
    </row>
    <row r="37680">
      <c r="N37680" s="28"/>
      <c r="O37680" s="28"/>
      <c r="U37680" s="28"/>
    </row>
    <row r="37681">
      <c r="N37681" s="28"/>
      <c r="O37681" s="28"/>
      <c r="U37681" s="28"/>
    </row>
    <row r="37682">
      <c r="N37682" s="28"/>
      <c r="O37682" s="28"/>
      <c r="U37682" s="28"/>
    </row>
    <row r="37683">
      <c r="N37683" s="28"/>
      <c r="O37683" s="28"/>
      <c r="U37683" s="28"/>
    </row>
    <row r="37684">
      <c r="N37684" s="28"/>
      <c r="O37684" s="28"/>
      <c r="U37684" s="28"/>
    </row>
    <row r="37685">
      <c r="N37685" s="28"/>
      <c r="O37685" s="28"/>
      <c r="U37685" s="28"/>
    </row>
    <row r="37686">
      <c r="N37686" s="28"/>
      <c r="O37686" s="28"/>
      <c r="U37686" s="28"/>
    </row>
    <row r="37687">
      <c r="N37687" s="28"/>
      <c r="O37687" s="28"/>
      <c r="U37687" s="28"/>
    </row>
    <row r="37688">
      <c r="N37688" s="28"/>
      <c r="O37688" s="28"/>
      <c r="U37688" s="28"/>
    </row>
    <row r="37689">
      <c r="N37689" s="28"/>
      <c r="O37689" s="28"/>
      <c r="U37689" s="28"/>
    </row>
    <row r="37690">
      <c r="N37690" s="28"/>
      <c r="O37690" s="28"/>
      <c r="U37690" s="28"/>
    </row>
    <row r="37691">
      <c r="N37691" s="28"/>
      <c r="O37691" s="28"/>
      <c r="U37691" s="28"/>
    </row>
    <row r="37692">
      <c r="N37692" s="28"/>
      <c r="O37692" s="28"/>
      <c r="U37692" s="28"/>
    </row>
    <row r="37693">
      <c r="N37693" s="28"/>
      <c r="O37693" s="28"/>
      <c r="U37693" s="28"/>
    </row>
    <row r="37694">
      <c r="N37694" s="28"/>
      <c r="O37694" s="28"/>
      <c r="U37694" s="28"/>
    </row>
    <row r="37695">
      <c r="N37695" s="28"/>
      <c r="O37695" s="28"/>
      <c r="U37695" s="28"/>
    </row>
    <row r="37696">
      <c r="N37696" s="28"/>
      <c r="O37696" s="28"/>
      <c r="U37696" s="28"/>
    </row>
    <row r="37697">
      <c r="N37697" s="28"/>
      <c r="O37697" s="28"/>
      <c r="U37697" s="28"/>
    </row>
    <row r="37698">
      <c r="N37698" s="28"/>
      <c r="O37698" s="28"/>
      <c r="U37698" s="28"/>
    </row>
    <row r="37699">
      <c r="N37699" s="28"/>
      <c r="O37699" s="28"/>
      <c r="U37699" s="28"/>
    </row>
    <row r="37700">
      <c r="N37700" s="28"/>
      <c r="O37700" s="28"/>
      <c r="U37700" s="28"/>
    </row>
    <row r="37701">
      <c r="N37701" s="28"/>
      <c r="O37701" s="28"/>
      <c r="U37701" s="28"/>
    </row>
    <row r="37702">
      <c r="N37702" s="28"/>
      <c r="O37702" s="28"/>
      <c r="U37702" s="28"/>
    </row>
    <row r="37703">
      <c r="N37703" s="28"/>
      <c r="O37703" s="28"/>
      <c r="U37703" s="28"/>
    </row>
    <row r="37704">
      <c r="N37704" s="28"/>
      <c r="O37704" s="28"/>
      <c r="U37704" s="28"/>
    </row>
    <row r="37705">
      <c r="N37705" s="28"/>
      <c r="O37705" s="28"/>
      <c r="U37705" s="28"/>
    </row>
    <row r="37706">
      <c r="N37706" s="28"/>
      <c r="O37706" s="28"/>
      <c r="U37706" s="28"/>
    </row>
    <row r="37707">
      <c r="N37707" s="28"/>
      <c r="O37707" s="28"/>
      <c r="U37707" s="28"/>
    </row>
    <row r="37708">
      <c r="N37708" s="28"/>
      <c r="O37708" s="28"/>
      <c r="U37708" s="28"/>
    </row>
    <row r="37709">
      <c r="N37709" s="28"/>
      <c r="O37709" s="28"/>
      <c r="U37709" s="28"/>
    </row>
    <row r="37710">
      <c r="N37710" s="28"/>
      <c r="O37710" s="28"/>
      <c r="U37710" s="28"/>
    </row>
    <row r="37711">
      <c r="N37711" s="28"/>
      <c r="O37711" s="28"/>
      <c r="U37711" s="28"/>
    </row>
    <row r="37712">
      <c r="N37712" s="28"/>
      <c r="O37712" s="28"/>
      <c r="U37712" s="28"/>
    </row>
    <row r="37713">
      <c r="N37713" s="28"/>
      <c r="O37713" s="28"/>
      <c r="U37713" s="28"/>
    </row>
    <row r="37714">
      <c r="N37714" s="28"/>
      <c r="O37714" s="28"/>
      <c r="U37714" s="28"/>
    </row>
    <row r="37715">
      <c r="N37715" s="28"/>
      <c r="O37715" s="28"/>
      <c r="U37715" s="28"/>
    </row>
    <row r="37716">
      <c r="N37716" s="28"/>
      <c r="O37716" s="28"/>
      <c r="U37716" s="28"/>
    </row>
    <row r="37717">
      <c r="N37717" s="28"/>
      <c r="O37717" s="28"/>
      <c r="U37717" s="28"/>
    </row>
    <row r="37718">
      <c r="N37718" s="28"/>
      <c r="O37718" s="28"/>
      <c r="U37718" s="28"/>
    </row>
    <row r="37719">
      <c r="N37719" s="28"/>
      <c r="O37719" s="28"/>
      <c r="U37719" s="28"/>
    </row>
    <row r="37720">
      <c r="N37720" s="28"/>
      <c r="O37720" s="28"/>
      <c r="U37720" s="28"/>
    </row>
    <row r="37721">
      <c r="N37721" s="28"/>
      <c r="O37721" s="28"/>
      <c r="U37721" s="28"/>
    </row>
    <row r="37722">
      <c r="N37722" s="28"/>
      <c r="O37722" s="28"/>
      <c r="U37722" s="28"/>
    </row>
    <row r="37723">
      <c r="N37723" s="28"/>
      <c r="O37723" s="28"/>
      <c r="U37723" s="28"/>
    </row>
    <row r="37724">
      <c r="N37724" s="28"/>
      <c r="O37724" s="28"/>
      <c r="U37724" s="28"/>
    </row>
    <row r="37725">
      <c r="N37725" s="28"/>
      <c r="O37725" s="28"/>
      <c r="U37725" s="28"/>
    </row>
    <row r="37726">
      <c r="N37726" s="28"/>
      <c r="O37726" s="28"/>
      <c r="U37726" s="28"/>
    </row>
    <row r="37727">
      <c r="N37727" s="28"/>
      <c r="O37727" s="28"/>
      <c r="U37727" s="28"/>
    </row>
    <row r="37728">
      <c r="N37728" s="28"/>
      <c r="O37728" s="28"/>
      <c r="U37728" s="28"/>
    </row>
    <row r="37729">
      <c r="N37729" s="28"/>
      <c r="O37729" s="28"/>
      <c r="U37729" s="28"/>
    </row>
    <row r="37730">
      <c r="N37730" s="28"/>
      <c r="O37730" s="28"/>
      <c r="U37730" s="28"/>
    </row>
    <row r="37731">
      <c r="N37731" s="28"/>
      <c r="O37731" s="28"/>
      <c r="U37731" s="28"/>
    </row>
    <row r="37732">
      <c r="N37732" s="28"/>
      <c r="O37732" s="28"/>
      <c r="U37732" s="28"/>
    </row>
    <row r="37733">
      <c r="N37733" s="28"/>
      <c r="O37733" s="28"/>
      <c r="U37733" s="28"/>
    </row>
    <row r="37734">
      <c r="N37734" s="28"/>
      <c r="O37734" s="28"/>
      <c r="U37734" s="28"/>
    </row>
    <row r="37735">
      <c r="N37735" s="28"/>
      <c r="O37735" s="28"/>
      <c r="U37735" s="28"/>
    </row>
    <row r="37736">
      <c r="N37736" s="28"/>
      <c r="O37736" s="28"/>
      <c r="U37736" s="28"/>
    </row>
    <row r="37737">
      <c r="N37737" s="28"/>
      <c r="O37737" s="28"/>
      <c r="U37737" s="28"/>
    </row>
    <row r="37738">
      <c r="N37738" s="28"/>
      <c r="O37738" s="28"/>
      <c r="U37738" s="28"/>
    </row>
    <row r="37739">
      <c r="N37739" s="28"/>
      <c r="O37739" s="28"/>
      <c r="U37739" s="28"/>
    </row>
    <row r="37740">
      <c r="N37740" s="28"/>
      <c r="O37740" s="28"/>
      <c r="U37740" s="28"/>
    </row>
    <row r="37741">
      <c r="N37741" s="28"/>
      <c r="O37741" s="28"/>
      <c r="U37741" s="28"/>
    </row>
    <row r="37742">
      <c r="N37742" s="28"/>
      <c r="O37742" s="28"/>
      <c r="U37742" s="28"/>
    </row>
    <row r="37743">
      <c r="N37743" s="28"/>
      <c r="O37743" s="28"/>
      <c r="U37743" s="28"/>
    </row>
    <row r="37744">
      <c r="N37744" s="28"/>
      <c r="O37744" s="28"/>
      <c r="U37744" s="28"/>
    </row>
    <row r="37745">
      <c r="N37745" s="28"/>
      <c r="O37745" s="28"/>
      <c r="U37745" s="28"/>
    </row>
    <row r="37746">
      <c r="N37746" s="28"/>
      <c r="O37746" s="28"/>
      <c r="U37746" s="28"/>
    </row>
    <row r="37747">
      <c r="N37747" s="28"/>
      <c r="O37747" s="28"/>
      <c r="U37747" s="28"/>
    </row>
    <row r="37748">
      <c r="N37748" s="28"/>
      <c r="O37748" s="28"/>
      <c r="U37748" s="28"/>
    </row>
    <row r="37749">
      <c r="N37749" s="28"/>
      <c r="O37749" s="28"/>
      <c r="U37749" s="28"/>
    </row>
    <row r="37750">
      <c r="N37750" s="28"/>
      <c r="O37750" s="28"/>
      <c r="U37750" s="28"/>
    </row>
    <row r="37751">
      <c r="N37751" s="28"/>
      <c r="O37751" s="28"/>
      <c r="U37751" s="28"/>
    </row>
    <row r="37752">
      <c r="N37752" s="28"/>
      <c r="O37752" s="28"/>
      <c r="U37752" s="28"/>
    </row>
    <row r="37753">
      <c r="N37753" s="28"/>
      <c r="O37753" s="28"/>
      <c r="U37753" s="28"/>
    </row>
    <row r="37754">
      <c r="N37754" s="28"/>
      <c r="O37754" s="28"/>
      <c r="U37754" s="28"/>
    </row>
    <row r="37755">
      <c r="N37755" s="28"/>
      <c r="O37755" s="28"/>
      <c r="U37755" s="28"/>
    </row>
    <row r="37756">
      <c r="N37756" s="28"/>
      <c r="O37756" s="28"/>
      <c r="U37756" s="28"/>
    </row>
    <row r="37757">
      <c r="N37757" s="28"/>
      <c r="O37757" s="28"/>
      <c r="U37757" s="28"/>
    </row>
    <row r="37758">
      <c r="N37758" s="28"/>
      <c r="O37758" s="28"/>
      <c r="U37758" s="28"/>
    </row>
    <row r="37759">
      <c r="N37759" s="28"/>
      <c r="O37759" s="28"/>
      <c r="U37759" s="28"/>
    </row>
    <row r="37760">
      <c r="N37760" s="28"/>
      <c r="O37760" s="28"/>
      <c r="U37760" s="28"/>
    </row>
    <row r="37761">
      <c r="N37761" s="28"/>
      <c r="O37761" s="28"/>
      <c r="U37761" s="28"/>
    </row>
    <row r="37762">
      <c r="N37762" s="28"/>
      <c r="O37762" s="28"/>
      <c r="U37762" s="28"/>
    </row>
    <row r="37763">
      <c r="N37763" s="28"/>
      <c r="O37763" s="28"/>
      <c r="U37763" s="28"/>
    </row>
    <row r="37764">
      <c r="N37764" s="28"/>
      <c r="O37764" s="28"/>
      <c r="U37764" s="28"/>
    </row>
    <row r="37765">
      <c r="N37765" s="28"/>
      <c r="O37765" s="28"/>
      <c r="U37765" s="28"/>
    </row>
    <row r="37766">
      <c r="N37766" s="28"/>
      <c r="O37766" s="28"/>
      <c r="U37766" s="28"/>
    </row>
    <row r="37767">
      <c r="N37767" s="28"/>
      <c r="O37767" s="28"/>
      <c r="U37767" s="28"/>
    </row>
    <row r="37768">
      <c r="N37768" s="28"/>
      <c r="O37768" s="28"/>
      <c r="U37768" s="28"/>
    </row>
    <row r="37769">
      <c r="N37769" s="28"/>
      <c r="O37769" s="28"/>
      <c r="U37769" s="28"/>
    </row>
    <row r="37770">
      <c r="N37770" s="28"/>
      <c r="O37770" s="28"/>
      <c r="U37770" s="28"/>
    </row>
    <row r="37771">
      <c r="N37771" s="28"/>
      <c r="O37771" s="28"/>
      <c r="U37771" s="28"/>
    </row>
    <row r="37772">
      <c r="N37772" s="28"/>
      <c r="O37772" s="28"/>
      <c r="U37772" s="28"/>
    </row>
    <row r="37773">
      <c r="N37773" s="28"/>
      <c r="O37773" s="28"/>
      <c r="U37773" s="28"/>
    </row>
    <row r="37774">
      <c r="N37774" s="28"/>
      <c r="O37774" s="28"/>
      <c r="U37774" s="28"/>
    </row>
    <row r="37775">
      <c r="N37775" s="28"/>
      <c r="O37775" s="28"/>
      <c r="U37775" s="28"/>
    </row>
    <row r="37776">
      <c r="N37776" s="28"/>
      <c r="O37776" s="28"/>
      <c r="U37776" s="28"/>
    </row>
    <row r="37777">
      <c r="N37777" s="28"/>
      <c r="O37777" s="28"/>
      <c r="U37777" s="28"/>
    </row>
    <row r="37778">
      <c r="N37778" s="28"/>
      <c r="O37778" s="28"/>
      <c r="U37778" s="28"/>
    </row>
    <row r="37779">
      <c r="N37779" s="28"/>
      <c r="O37779" s="28"/>
      <c r="U37779" s="28"/>
    </row>
    <row r="37780">
      <c r="N37780" s="28"/>
      <c r="O37780" s="28"/>
      <c r="U37780" s="28"/>
    </row>
    <row r="37781">
      <c r="N37781" s="28"/>
      <c r="O37781" s="28"/>
      <c r="U37781" s="28"/>
    </row>
    <row r="37782">
      <c r="N37782" s="28"/>
      <c r="O37782" s="28"/>
      <c r="U37782" s="28"/>
    </row>
    <row r="37783">
      <c r="N37783" s="28"/>
      <c r="O37783" s="28"/>
      <c r="U37783" s="28"/>
    </row>
    <row r="37784">
      <c r="N37784" s="28"/>
      <c r="O37784" s="28"/>
      <c r="U37784" s="28"/>
    </row>
    <row r="37785">
      <c r="N37785" s="28"/>
      <c r="O37785" s="28"/>
      <c r="U37785" s="28"/>
    </row>
    <row r="37786">
      <c r="N37786" s="28"/>
      <c r="O37786" s="28"/>
      <c r="U37786" s="28"/>
    </row>
    <row r="37787">
      <c r="N37787" s="28"/>
      <c r="O37787" s="28"/>
      <c r="U37787" s="28"/>
    </row>
    <row r="37788">
      <c r="N37788" s="28"/>
      <c r="O37788" s="28"/>
      <c r="U37788" s="28"/>
    </row>
    <row r="37789">
      <c r="N37789" s="28"/>
      <c r="O37789" s="28"/>
      <c r="U37789" s="28"/>
    </row>
    <row r="37790">
      <c r="N37790" s="28"/>
      <c r="O37790" s="28"/>
      <c r="U37790" s="28"/>
    </row>
    <row r="37791">
      <c r="N37791" s="28"/>
      <c r="O37791" s="28"/>
      <c r="U37791" s="28"/>
    </row>
    <row r="37792">
      <c r="N37792" s="28"/>
      <c r="O37792" s="28"/>
      <c r="U37792" s="28"/>
    </row>
    <row r="37793">
      <c r="N37793" s="28"/>
      <c r="O37793" s="28"/>
      <c r="U37793" s="28"/>
    </row>
    <row r="37794">
      <c r="N37794" s="28"/>
      <c r="O37794" s="28"/>
      <c r="U37794" s="28"/>
    </row>
    <row r="37795">
      <c r="N37795" s="28"/>
      <c r="O37795" s="28"/>
      <c r="U37795" s="28"/>
    </row>
    <row r="37796">
      <c r="N37796" s="28"/>
      <c r="O37796" s="28"/>
      <c r="U37796" s="28"/>
    </row>
    <row r="37797">
      <c r="N37797" s="28"/>
      <c r="O37797" s="28"/>
      <c r="U37797" s="28"/>
    </row>
    <row r="37798">
      <c r="N37798" s="28"/>
      <c r="O37798" s="28"/>
      <c r="U37798" s="28"/>
    </row>
    <row r="37799">
      <c r="N37799" s="28"/>
      <c r="O37799" s="28"/>
      <c r="U37799" s="28"/>
    </row>
    <row r="37800">
      <c r="N37800" s="28"/>
      <c r="O37800" s="28"/>
      <c r="U37800" s="28"/>
    </row>
    <row r="37801">
      <c r="N37801" s="28"/>
      <c r="O37801" s="28"/>
      <c r="U37801" s="28"/>
    </row>
    <row r="37802">
      <c r="N37802" s="28"/>
      <c r="O37802" s="28"/>
      <c r="U37802" s="28"/>
    </row>
    <row r="37803">
      <c r="N37803" s="28"/>
      <c r="O37803" s="28"/>
      <c r="U37803" s="28"/>
    </row>
    <row r="37804">
      <c r="N37804" s="28"/>
      <c r="O37804" s="28"/>
      <c r="U37804" s="28"/>
    </row>
    <row r="37805">
      <c r="N37805" s="28"/>
      <c r="O37805" s="28"/>
      <c r="U37805" s="28"/>
    </row>
    <row r="37806">
      <c r="N37806" s="28"/>
      <c r="O37806" s="28"/>
      <c r="U37806" s="28"/>
    </row>
    <row r="37807">
      <c r="N37807" s="28"/>
      <c r="O37807" s="28"/>
      <c r="U37807" s="28"/>
    </row>
    <row r="37808">
      <c r="N37808" s="28"/>
      <c r="O37808" s="28"/>
      <c r="U37808" s="28"/>
    </row>
    <row r="37809">
      <c r="N37809" s="28"/>
      <c r="O37809" s="28"/>
      <c r="U37809" s="28"/>
    </row>
    <row r="37810">
      <c r="N37810" s="28"/>
      <c r="O37810" s="28"/>
      <c r="U37810" s="28"/>
    </row>
    <row r="37811">
      <c r="N37811" s="28"/>
      <c r="O37811" s="28"/>
      <c r="U37811" s="28"/>
    </row>
    <row r="37812">
      <c r="N37812" s="28"/>
      <c r="O37812" s="28"/>
      <c r="U37812" s="28"/>
    </row>
    <row r="37813">
      <c r="N37813" s="28"/>
      <c r="O37813" s="28"/>
      <c r="U37813" s="28"/>
    </row>
    <row r="37814">
      <c r="N37814" s="28"/>
      <c r="O37814" s="28"/>
      <c r="U37814" s="28"/>
    </row>
    <row r="37815">
      <c r="N37815" s="28"/>
      <c r="O37815" s="28"/>
      <c r="U37815" s="28"/>
    </row>
    <row r="37816">
      <c r="N37816" s="28"/>
      <c r="O37816" s="28"/>
      <c r="U37816" s="28"/>
    </row>
    <row r="37817">
      <c r="N37817" s="28"/>
      <c r="O37817" s="28"/>
      <c r="U37817" s="28"/>
    </row>
    <row r="37818">
      <c r="N37818" s="28"/>
      <c r="O37818" s="28"/>
      <c r="U37818" s="28"/>
    </row>
    <row r="37819">
      <c r="N37819" s="28"/>
      <c r="O37819" s="28"/>
      <c r="U37819" s="28"/>
    </row>
    <row r="37820">
      <c r="N37820" s="28"/>
      <c r="O37820" s="28"/>
      <c r="U37820" s="28"/>
    </row>
    <row r="37821">
      <c r="N37821" s="28"/>
      <c r="O37821" s="28"/>
      <c r="U37821" s="28"/>
    </row>
    <row r="37822">
      <c r="N37822" s="28"/>
      <c r="O37822" s="28"/>
      <c r="U37822" s="28"/>
    </row>
    <row r="37823">
      <c r="N37823" s="28"/>
      <c r="O37823" s="28"/>
      <c r="U37823" s="28"/>
    </row>
    <row r="37824">
      <c r="N37824" s="28"/>
      <c r="O37824" s="28"/>
      <c r="U37824" s="28"/>
    </row>
    <row r="37825">
      <c r="N37825" s="28"/>
      <c r="O37825" s="28"/>
      <c r="U37825" s="28"/>
    </row>
    <row r="37826">
      <c r="N37826" s="28"/>
      <c r="O37826" s="28"/>
      <c r="U37826" s="28"/>
    </row>
    <row r="37827">
      <c r="N37827" s="28"/>
      <c r="O37827" s="28"/>
      <c r="U37827" s="28"/>
    </row>
    <row r="37828">
      <c r="N37828" s="28"/>
      <c r="O37828" s="28"/>
      <c r="U37828" s="28"/>
    </row>
    <row r="37829">
      <c r="N37829" s="28"/>
      <c r="O37829" s="28"/>
      <c r="U37829" s="28"/>
    </row>
    <row r="37830">
      <c r="N37830" s="28"/>
      <c r="O37830" s="28"/>
      <c r="U37830" s="28"/>
    </row>
    <row r="37831">
      <c r="N37831" s="28"/>
      <c r="O37831" s="28"/>
      <c r="U37831" s="28"/>
    </row>
    <row r="37832">
      <c r="N37832" s="28"/>
      <c r="O37832" s="28"/>
      <c r="U37832" s="28"/>
    </row>
    <row r="37833">
      <c r="N37833" s="28"/>
      <c r="O37833" s="28"/>
      <c r="U37833" s="28"/>
    </row>
    <row r="37834">
      <c r="N37834" s="28"/>
      <c r="O37834" s="28"/>
      <c r="U37834" s="28"/>
    </row>
    <row r="37835">
      <c r="N37835" s="28"/>
      <c r="O37835" s="28"/>
      <c r="U37835" s="28"/>
    </row>
    <row r="37836">
      <c r="N37836" s="28"/>
      <c r="O37836" s="28"/>
      <c r="U37836" s="28"/>
    </row>
    <row r="37837">
      <c r="N37837" s="28"/>
      <c r="O37837" s="28"/>
      <c r="U37837" s="28"/>
    </row>
    <row r="37838">
      <c r="N37838" s="28"/>
      <c r="O37838" s="28"/>
      <c r="U37838" s="28"/>
    </row>
    <row r="37839">
      <c r="N37839" s="28"/>
      <c r="O37839" s="28"/>
      <c r="U37839" s="28"/>
    </row>
    <row r="37840">
      <c r="N37840" s="28"/>
      <c r="O37840" s="28"/>
      <c r="U37840" s="28"/>
    </row>
    <row r="37841">
      <c r="N37841" s="28"/>
      <c r="O37841" s="28"/>
      <c r="U37841" s="28"/>
    </row>
    <row r="37842">
      <c r="N37842" s="28"/>
      <c r="O37842" s="28"/>
      <c r="U37842" s="28"/>
    </row>
    <row r="37843">
      <c r="N37843" s="28"/>
      <c r="O37843" s="28"/>
      <c r="U37843" s="28"/>
    </row>
    <row r="37844">
      <c r="N37844" s="28"/>
      <c r="O37844" s="28"/>
      <c r="U37844" s="28"/>
    </row>
    <row r="37845">
      <c r="N37845" s="28"/>
      <c r="O37845" s="28"/>
      <c r="U37845" s="28"/>
    </row>
    <row r="37846">
      <c r="N37846" s="28"/>
      <c r="O37846" s="28"/>
      <c r="U37846" s="28"/>
    </row>
    <row r="37847">
      <c r="N37847" s="28"/>
      <c r="O37847" s="28"/>
      <c r="U37847" s="28"/>
    </row>
    <row r="37848">
      <c r="N37848" s="28"/>
      <c r="O37848" s="28"/>
      <c r="U37848" s="28"/>
    </row>
    <row r="37849">
      <c r="N37849" s="28"/>
      <c r="O37849" s="28"/>
      <c r="U37849" s="28"/>
    </row>
    <row r="37850">
      <c r="N37850" s="28"/>
      <c r="O37850" s="28"/>
      <c r="U37850" s="28"/>
    </row>
    <row r="37851">
      <c r="N37851" s="28"/>
      <c r="O37851" s="28"/>
      <c r="U37851" s="28"/>
    </row>
    <row r="37852">
      <c r="N37852" s="28"/>
      <c r="O37852" s="28"/>
      <c r="U37852" s="28"/>
    </row>
    <row r="37853">
      <c r="N37853" s="28"/>
      <c r="O37853" s="28"/>
      <c r="U37853" s="28"/>
    </row>
    <row r="37854">
      <c r="N37854" s="28"/>
      <c r="O37854" s="28"/>
      <c r="U37854" s="28"/>
    </row>
    <row r="37855">
      <c r="N37855" s="28"/>
      <c r="O37855" s="28"/>
      <c r="U37855" s="28"/>
    </row>
    <row r="37856">
      <c r="N37856" s="28"/>
      <c r="O37856" s="28"/>
      <c r="U37856" s="28"/>
    </row>
    <row r="37857">
      <c r="N37857" s="28"/>
      <c r="O37857" s="28"/>
      <c r="U37857" s="28"/>
    </row>
    <row r="37858">
      <c r="N37858" s="28"/>
      <c r="O37858" s="28"/>
      <c r="U37858" s="28"/>
    </row>
    <row r="37859">
      <c r="N37859" s="28"/>
      <c r="O37859" s="28"/>
      <c r="U37859" s="28"/>
    </row>
    <row r="37860">
      <c r="N37860" s="28"/>
      <c r="O37860" s="28"/>
      <c r="U37860" s="28"/>
    </row>
    <row r="37861">
      <c r="N37861" s="28"/>
      <c r="O37861" s="28"/>
      <c r="U37861" s="28"/>
    </row>
    <row r="37862">
      <c r="N37862" s="28"/>
      <c r="O37862" s="28"/>
      <c r="U37862" s="28"/>
    </row>
    <row r="37863">
      <c r="N37863" s="28"/>
      <c r="O37863" s="28"/>
      <c r="U37863" s="28"/>
    </row>
    <row r="37864">
      <c r="N37864" s="28"/>
      <c r="O37864" s="28"/>
      <c r="U37864" s="28"/>
    </row>
    <row r="37865">
      <c r="N37865" s="28"/>
      <c r="O37865" s="28"/>
      <c r="U37865" s="28"/>
    </row>
    <row r="37866">
      <c r="N37866" s="28"/>
      <c r="O37866" s="28"/>
      <c r="U37866" s="28"/>
    </row>
    <row r="37867">
      <c r="N37867" s="28"/>
      <c r="O37867" s="28"/>
      <c r="U37867" s="28"/>
    </row>
    <row r="37868">
      <c r="N37868" s="28"/>
      <c r="O37868" s="28"/>
      <c r="U37868" s="28"/>
    </row>
    <row r="37869">
      <c r="N37869" s="28"/>
      <c r="O37869" s="28"/>
      <c r="U37869" s="28"/>
    </row>
    <row r="37870">
      <c r="N37870" s="28"/>
      <c r="O37870" s="28"/>
      <c r="U37870" s="28"/>
    </row>
    <row r="37871">
      <c r="N37871" s="28"/>
      <c r="O37871" s="28"/>
      <c r="U37871" s="28"/>
    </row>
    <row r="37872">
      <c r="N37872" s="28"/>
      <c r="O37872" s="28"/>
      <c r="U37872" s="28"/>
    </row>
    <row r="37873">
      <c r="N37873" s="28"/>
      <c r="O37873" s="28"/>
      <c r="U37873" s="28"/>
    </row>
    <row r="37874">
      <c r="N37874" s="28"/>
      <c r="O37874" s="28"/>
      <c r="U37874" s="28"/>
    </row>
    <row r="37875">
      <c r="N37875" s="28"/>
      <c r="O37875" s="28"/>
      <c r="U37875" s="28"/>
    </row>
    <row r="37876">
      <c r="N37876" s="28"/>
      <c r="O37876" s="28"/>
      <c r="U37876" s="28"/>
    </row>
    <row r="37877">
      <c r="N37877" s="28"/>
      <c r="O37877" s="28"/>
      <c r="U37877" s="28"/>
    </row>
    <row r="37878">
      <c r="N37878" s="28"/>
      <c r="O37878" s="28"/>
      <c r="U37878" s="28"/>
    </row>
    <row r="37879">
      <c r="N37879" s="28"/>
      <c r="O37879" s="28"/>
      <c r="U37879" s="28"/>
    </row>
    <row r="37880">
      <c r="N37880" s="28"/>
      <c r="O37880" s="28"/>
      <c r="U37880" s="28"/>
    </row>
    <row r="37881">
      <c r="N37881" s="28"/>
      <c r="O37881" s="28"/>
      <c r="U37881" s="28"/>
    </row>
    <row r="37882">
      <c r="N37882" s="28"/>
      <c r="O37882" s="28"/>
      <c r="U37882" s="28"/>
    </row>
    <row r="37883">
      <c r="N37883" s="28"/>
      <c r="O37883" s="28"/>
      <c r="U37883" s="28"/>
    </row>
    <row r="37884">
      <c r="N37884" s="28"/>
      <c r="O37884" s="28"/>
      <c r="U37884" s="28"/>
    </row>
    <row r="37885">
      <c r="N37885" s="28"/>
      <c r="O37885" s="28"/>
      <c r="U37885" s="28"/>
    </row>
    <row r="37886">
      <c r="N37886" s="28"/>
      <c r="O37886" s="28"/>
      <c r="U37886" s="28"/>
    </row>
    <row r="37887">
      <c r="N37887" s="28"/>
      <c r="O37887" s="28"/>
      <c r="U37887" s="28"/>
    </row>
    <row r="37888">
      <c r="N37888" s="28"/>
      <c r="O37888" s="28"/>
      <c r="U37888" s="28"/>
    </row>
    <row r="37889">
      <c r="N37889" s="28"/>
      <c r="O37889" s="28"/>
      <c r="U37889" s="28"/>
    </row>
    <row r="37890">
      <c r="N37890" s="28"/>
      <c r="O37890" s="28"/>
      <c r="U37890" s="28"/>
    </row>
    <row r="37891">
      <c r="N37891" s="28"/>
      <c r="O37891" s="28"/>
      <c r="U37891" s="28"/>
    </row>
    <row r="37892">
      <c r="N37892" s="28"/>
      <c r="O37892" s="28"/>
      <c r="U37892" s="28"/>
    </row>
    <row r="37893">
      <c r="N37893" s="28"/>
      <c r="O37893" s="28"/>
      <c r="U37893" s="28"/>
    </row>
    <row r="37894">
      <c r="N37894" s="28"/>
      <c r="O37894" s="28"/>
      <c r="U37894" s="28"/>
    </row>
    <row r="37895">
      <c r="N37895" s="28"/>
      <c r="O37895" s="28"/>
      <c r="U37895" s="28"/>
    </row>
    <row r="37896">
      <c r="N37896" s="28"/>
      <c r="O37896" s="28"/>
      <c r="U37896" s="28"/>
    </row>
    <row r="37897">
      <c r="N37897" s="28"/>
      <c r="O37897" s="28"/>
      <c r="U37897" s="28"/>
    </row>
    <row r="37898">
      <c r="N37898" s="28"/>
      <c r="O37898" s="28"/>
      <c r="U37898" s="28"/>
    </row>
    <row r="37899">
      <c r="N37899" s="28"/>
      <c r="O37899" s="28"/>
      <c r="U37899" s="28"/>
    </row>
    <row r="37900">
      <c r="N37900" s="28"/>
      <c r="O37900" s="28"/>
      <c r="U37900" s="28"/>
    </row>
    <row r="37901">
      <c r="N37901" s="28"/>
      <c r="O37901" s="28"/>
      <c r="U37901" s="28"/>
    </row>
    <row r="37902">
      <c r="N37902" s="28"/>
      <c r="O37902" s="28"/>
      <c r="U37902" s="28"/>
    </row>
    <row r="37903">
      <c r="N37903" s="28"/>
      <c r="O37903" s="28"/>
      <c r="U37903" s="28"/>
    </row>
    <row r="37904">
      <c r="N37904" s="28"/>
      <c r="O37904" s="28"/>
      <c r="U37904" s="28"/>
    </row>
    <row r="37905">
      <c r="N37905" s="28"/>
      <c r="O37905" s="28"/>
      <c r="U37905" s="28"/>
    </row>
    <row r="37906">
      <c r="N37906" s="28"/>
      <c r="O37906" s="28"/>
      <c r="U37906" s="28"/>
    </row>
    <row r="37907">
      <c r="N37907" s="28"/>
      <c r="O37907" s="28"/>
      <c r="U37907" s="28"/>
    </row>
    <row r="37908">
      <c r="N37908" s="28"/>
      <c r="O37908" s="28"/>
      <c r="U37908" s="28"/>
    </row>
    <row r="37909">
      <c r="N37909" s="28"/>
      <c r="O37909" s="28"/>
      <c r="U37909" s="28"/>
    </row>
    <row r="37910">
      <c r="N37910" s="28"/>
      <c r="O37910" s="28"/>
      <c r="U37910" s="28"/>
    </row>
    <row r="37911">
      <c r="N37911" s="28"/>
      <c r="O37911" s="28"/>
      <c r="U37911" s="28"/>
    </row>
    <row r="37912">
      <c r="N37912" s="28"/>
      <c r="O37912" s="28"/>
      <c r="U37912" s="28"/>
    </row>
    <row r="37913">
      <c r="N37913" s="28"/>
      <c r="O37913" s="28"/>
      <c r="U37913" s="28"/>
    </row>
    <row r="37914">
      <c r="N37914" s="28"/>
      <c r="O37914" s="28"/>
      <c r="U37914" s="28"/>
    </row>
    <row r="37915">
      <c r="N37915" s="28"/>
      <c r="O37915" s="28"/>
      <c r="U37915" s="28"/>
    </row>
    <row r="37916">
      <c r="N37916" s="28"/>
      <c r="O37916" s="28"/>
      <c r="U37916" s="28"/>
    </row>
    <row r="37917">
      <c r="N37917" s="28"/>
      <c r="O37917" s="28"/>
      <c r="U37917" s="28"/>
    </row>
    <row r="37918">
      <c r="N37918" s="28"/>
      <c r="O37918" s="28"/>
      <c r="U37918" s="28"/>
    </row>
    <row r="37919">
      <c r="N37919" s="28"/>
      <c r="O37919" s="28"/>
      <c r="U37919" s="28"/>
    </row>
    <row r="37920">
      <c r="N37920" s="28"/>
      <c r="O37920" s="28"/>
      <c r="U37920" s="28"/>
    </row>
    <row r="37921">
      <c r="N37921" s="28"/>
      <c r="O37921" s="28"/>
      <c r="U37921" s="28"/>
    </row>
    <row r="37922">
      <c r="N37922" s="28"/>
      <c r="O37922" s="28"/>
      <c r="U37922" s="28"/>
    </row>
    <row r="37923">
      <c r="N37923" s="28"/>
      <c r="O37923" s="28"/>
      <c r="U37923" s="28"/>
    </row>
    <row r="37924">
      <c r="N37924" s="28"/>
      <c r="O37924" s="28"/>
      <c r="U37924" s="28"/>
    </row>
    <row r="37925">
      <c r="N37925" s="28"/>
      <c r="O37925" s="28"/>
      <c r="U37925" s="28"/>
    </row>
    <row r="37926">
      <c r="N37926" s="28"/>
      <c r="O37926" s="28"/>
      <c r="U37926" s="28"/>
    </row>
    <row r="37927">
      <c r="N37927" s="28"/>
      <c r="O37927" s="28"/>
      <c r="U37927" s="28"/>
    </row>
    <row r="37928">
      <c r="N37928" s="28"/>
      <c r="O37928" s="28"/>
      <c r="U37928" s="28"/>
    </row>
    <row r="37929">
      <c r="N37929" s="28"/>
      <c r="O37929" s="28"/>
      <c r="U37929" s="28"/>
    </row>
    <row r="37930">
      <c r="N37930" s="28"/>
      <c r="O37930" s="28"/>
      <c r="U37930" s="28"/>
    </row>
    <row r="37931">
      <c r="N37931" s="28"/>
      <c r="O37931" s="28"/>
      <c r="U37931" s="28"/>
    </row>
    <row r="37932">
      <c r="N37932" s="28"/>
      <c r="O37932" s="28"/>
      <c r="U37932" s="28"/>
    </row>
    <row r="37933">
      <c r="N37933" s="28"/>
      <c r="O37933" s="28"/>
      <c r="U37933" s="28"/>
    </row>
    <row r="37934">
      <c r="N37934" s="28"/>
      <c r="O37934" s="28"/>
      <c r="U37934" s="28"/>
    </row>
    <row r="37935">
      <c r="N37935" s="28"/>
      <c r="O37935" s="28"/>
      <c r="U37935" s="28"/>
    </row>
    <row r="37936">
      <c r="N37936" s="28"/>
      <c r="O37936" s="28"/>
      <c r="U37936" s="28"/>
    </row>
    <row r="37937">
      <c r="N37937" s="28"/>
      <c r="O37937" s="28"/>
      <c r="U37937" s="28"/>
    </row>
    <row r="37938">
      <c r="N37938" s="28"/>
      <c r="O37938" s="28"/>
      <c r="U37938" s="28"/>
    </row>
    <row r="37939">
      <c r="N37939" s="28"/>
      <c r="O37939" s="28"/>
      <c r="U37939" s="28"/>
    </row>
    <row r="37940">
      <c r="N37940" s="28"/>
      <c r="O37940" s="28"/>
      <c r="U37940" s="28"/>
    </row>
    <row r="37941">
      <c r="N37941" s="28"/>
      <c r="O37941" s="28"/>
      <c r="U37941" s="28"/>
    </row>
    <row r="37942">
      <c r="N37942" s="28"/>
      <c r="O37942" s="28"/>
      <c r="U37942" s="28"/>
    </row>
    <row r="37943">
      <c r="N37943" s="28"/>
      <c r="O37943" s="28"/>
      <c r="U37943" s="28"/>
    </row>
    <row r="37944">
      <c r="N37944" s="28"/>
      <c r="O37944" s="28"/>
      <c r="U37944" s="28"/>
    </row>
    <row r="37945">
      <c r="N37945" s="28"/>
      <c r="O37945" s="28"/>
      <c r="U37945" s="28"/>
    </row>
    <row r="37946">
      <c r="N37946" s="28"/>
      <c r="O37946" s="28"/>
      <c r="U37946" s="28"/>
    </row>
    <row r="37947">
      <c r="N37947" s="28"/>
      <c r="O37947" s="28"/>
      <c r="U37947" s="28"/>
    </row>
    <row r="37948">
      <c r="N37948" s="28"/>
      <c r="O37948" s="28"/>
      <c r="U37948" s="28"/>
    </row>
    <row r="37949">
      <c r="N37949" s="28"/>
      <c r="O37949" s="28"/>
      <c r="U37949" s="28"/>
    </row>
    <row r="37950">
      <c r="N37950" s="28"/>
      <c r="O37950" s="28"/>
      <c r="U37950" s="28"/>
    </row>
    <row r="37951">
      <c r="N37951" s="28"/>
      <c r="O37951" s="28"/>
      <c r="U37951" s="28"/>
    </row>
    <row r="37952">
      <c r="N37952" s="28"/>
      <c r="O37952" s="28"/>
      <c r="U37952" s="28"/>
    </row>
    <row r="37953">
      <c r="N37953" s="28"/>
      <c r="O37953" s="28"/>
      <c r="U37953" s="28"/>
    </row>
    <row r="37954">
      <c r="N37954" s="28"/>
      <c r="O37954" s="28"/>
      <c r="U37954" s="28"/>
    </row>
    <row r="37955">
      <c r="N37955" s="28"/>
      <c r="O37955" s="28"/>
      <c r="U37955" s="28"/>
    </row>
    <row r="37956">
      <c r="N37956" s="28"/>
      <c r="O37956" s="28"/>
      <c r="U37956" s="28"/>
    </row>
    <row r="37957">
      <c r="N37957" s="28"/>
      <c r="O37957" s="28"/>
      <c r="U37957" s="28"/>
    </row>
    <row r="37958">
      <c r="N37958" s="28"/>
      <c r="O37958" s="28"/>
      <c r="U37958" s="28"/>
    </row>
    <row r="37959">
      <c r="N37959" s="28"/>
      <c r="O37959" s="28"/>
      <c r="U37959" s="28"/>
    </row>
    <row r="37960">
      <c r="N37960" s="28"/>
      <c r="O37960" s="28"/>
      <c r="U37960" s="28"/>
    </row>
    <row r="37961">
      <c r="N37961" s="28"/>
      <c r="O37961" s="28"/>
      <c r="U37961" s="28"/>
    </row>
    <row r="37962">
      <c r="N37962" s="28"/>
      <c r="O37962" s="28"/>
      <c r="U37962" s="28"/>
    </row>
    <row r="37963">
      <c r="N37963" s="28"/>
      <c r="O37963" s="28"/>
      <c r="U37963" s="28"/>
    </row>
    <row r="37964">
      <c r="N37964" s="28"/>
      <c r="O37964" s="28"/>
      <c r="U37964" s="28"/>
    </row>
    <row r="37965">
      <c r="N37965" s="28"/>
      <c r="O37965" s="28"/>
      <c r="U37965" s="28"/>
    </row>
    <row r="37966">
      <c r="N37966" s="28"/>
      <c r="O37966" s="28"/>
      <c r="U37966" s="28"/>
    </row>
    <row r="37967">
      <c r="N37967" s="28"/>
      <c r="O37967" s="28"/>
      <c r="U37967" s="28"/>
    </row>
    <row r="37968">
      <c r="N37968" s="28"/>
      <c r="O37968" s="28"/>
      <c r="U37968" s="28"/>
    </row>
    <row r="37969">
      <c r="N37969" s="28"/>
      <c r="O37969" s="28"/>
      <c r="U37969" s="28"/>
    </row>
    <row r="37970">
      <c r="N37970" s="28"/>
      <c r="O37970" s="28"/>
      <c r="U37970" s="28"/>
    </row>
    <row r="37971">
      <c r="N37971" s="28"/>
      <c r="O37971" s="28"/>
      <c r="U37971" s="28"/>
    </row>
    <row r="37972">
      <c r="N37972" s="28"/>
      <c r="O37972" s="28"/>
      <c r="U37972" s="28"/>
    </row>
    <row r="37973">
      <c r="N37973" s="28"/>
      <c r="O37973" s="28"/>
      <c r="U37973" s="28"/>
    </row>
    <row r="37974">
      <c r="N37974" s="28"/>
      <c r="O37974" s="28"/>
      <c r="U37974" s="28"/>
    </row>
    <row r="37975">
      <c r="N37975" s="28"/>
      <c r="O37975" s="28"/>
      <c r="U37975" s="28"/>
    </row>
    <row r="37976">
      <c r="N37976" s="28"/>
      <c r="O37976" s="28"/>
      <c r="U37976" s="28"/>
    </row>
    <row r="37977">
      <c r="N37977" s="28"/>
      <c r="O37977" s="28"/>
      <c r="U37977" s="28"/>
    </row>
    <row r="37978">
      <c r="N37978" s="28"/>
      <c r="O37978" s="28"/>
      <c r="U37978" s="28"/>
    </row>
    <row r="37979">
      <c r="N37979" s="28"/>
      <c r="O37979" s="28"/>
      <c r="U37979" s="28"/>
    </row>
    <row r="37980">
      <c r="N37980" s="28"/>
      <c r="O37980" s="28"/>
      <c r="U37980" s="28"/>
    </row>
    <row r="37981">
      <c r="N37981" s="28"/>
      <c r="O37981" s="28"/>
      <c r="U37981" s="28"/>
    </row>
    <row r="37982">
      <c r="N37982" s="28"/>
      <c r="O37982" s="28"/>
      <c r="U37982" s="28"/>
    </row>
    <row r="37983">
      <c r="N37983" s="28"/>
      <c r="O37983" s="28"/>
      <c r="U37983" s="28"/>
    </row>
    <row r="37984">
      <c r="N37984" s="28"/>
      <c r="O37984" s="28"/>
      <c r="U37984" s="28"/>
    </row>
    <row r="37985">
      <c r="N37985" s="28"/>
      <c r="O37985" s="28"/>
      <c r="U37985" s="28"/>
    </row>
    <row r="37986">
      <c r="N37986" s="28"/>
      <c r="O37986" s="28"/>
      <c r="U37986" s="28"/>
    </row>
    <row r="37987">
      <c r="N37987" s="28"/>
      <c r="O37987" s="28"/>
      <c r="U37987" s="28"/>
    </row>
    <row r="37988">
      <c r="N37988" s="28"/>
      <c r="O37988" s="28"/>
      <c r="U37988" s="28"/>
    </row>
    <row r="37989">
      <c r="N37989" s="28"/>
      <c r="O37989" s="28"/>
      <c r="U37989" s="28"/>
    </row>
    <row r="37990">
      <c r="N37990" s="28"/>
      <c r="O37990" s="28"/>
      <c r="U37990" s="28"/>
    </row>
    <row r="37991">
      <c r="N37991" s="28"/>
      <c r="O37991" s="28"/>
      <c r="U37991" s="28"/>
    </row>
    <row r="37992">
      <c r="N37992" s="28"/>
      <c r="O37992" s="28"/>
      <c r="U37992" s="28"/>
    </row>
    <row r="37993">
      <c r="N37993" s="28"/>
      <c r="O37993" s="28"/>
      <c r="U37993" s="28"/>
    </row>
    <row r="37994">
      <c r="N37994" s="28"/>
      <c r="O37994" s="28"/>
      <c r="U37994" s="28"/>
    </row>
    <row r="37995">
      <c r="N37995" s="28"/>
      <c r="O37995" s="28"/>
      <c r="U37995" s="28"/>
    </row>
    <row r="37996">
      <c r="N37996" s="28"/>
      <c r="O37996" s="28"/>
      <c r="U37996" s="28"/>
    </row>
    <row r="37997">
      <c r="N37997" s="28"/>
      <c r="O37997" s="28"/>
      <c r="U37997" s="28"/>
    </row>
    <row r="37998">
      <c r="N37998" s="28"/>
      <c r="O37998" s="28"/>
      <c r="U37998" s="28"/>
    </row>
    <row r="37999">
      <c r="N37999" s="28"/>
      <c r="O37999" s="28"/>
      <c r="U37999" s="28"/>
    </row>
    <row r="38000">
      <c r="N38000" s="28"/>
      <c r="O38000" s="28"/>
      <c r="U38000" s="28"/>
    </row>
    <row r="38001">
      <c r="N38001" s="28"/>
      <c r="O38001" s="28"/>
      <c r="U38001" s="28"/>
    </row>
    <row r="38002">
      <c r="N38002" s="28"/>
      <c r="O38002" s="28"/>
      <c r="U38002" s="28"/>
    </row>
    <row r="38003">
      <c r="N38003" s="28"/>
      <c r="O38003" s="28"/>
      <c r="U38003" s="28"/>
    </row>
    <row r="38004">
      <c r="N38004" s="28"/>
      <c r="O38004" s="28"/>
      <c r="U38004" s="28"/>
    </row>
    <row r="38005">
      <c r="N38005" s="28"/>
      <c r="O38005" s="28"/>
      <c r="U38005" s="28"/>
    </row>
    <row r="38006">
      <c r="N38006" s="28"/>
      <c r="O38006" s="28"/>
      <c r="U38006" s="28"/>
    </row>
    <row r="38007">
      <c r="N38007" s="28"/>
      <c r="O38007" s="28"/>
      <c r="U38007" s="28"/>
    </row>
    <row r="38008">
      <c r="N38008" s="28"/>
      <c r="O38008" s="28"/>
      <c r="U38008" s="28"/>
    </row>
    <row r="38009">
      <c r="N38009" s="28"/>
      <c r="O38009" s="28"/>
      <c r="U38009" s="28"/>
    </row>
    <row r="38010">
      <c r="N38010" s="28"/>
      <c r="O38010" s="28"/>
      <c r="U38010" s="28"/>
    </row>
    <row r="38011">
      <c r="N38011" s="28"/>
      <c r="O38011" s="28"/>
      <c r="U38011" s="28"/>
    </row>
    <row r="38012">
      <c r="N38012" s="28"/>
      <c r="O38012" s="28"/>
      <c r="U38012" s="28"/>
    </row>
    <row r="38013">
      <c r="N38013" s="28"/>
      <c r="O38013" s="28"/>
      <c r="U38013" s="28"/>
    </row>
    <row r="38014">
      <c r="N38014" s="28"/>
      <c r="O38014" s="28"/>
      <c r="U38014" s="28"/>
    </row>
    <row r="38015">
      <c r="N38015" s="28"/>
      <c r="O38015" s="28"/>
      <c r="U38015" s="28"/>
    </row>
    <row r="38016">
      <c r="N38016" s="28"/>
      <c r="O38016" s="28"/>
      <c r="U38016" s="28"/>
    </row>
    <row r="38017">
      <c r="N38017" s="28"/>
      <c r="O38017" s="28"/>
      <c r="U38017" s="28"/>
    </row>
    <row r="38018">
      <c r="N38018" s="28"/>
      <c r="O38018" s="28"/>
      <c r="U38018" s="28"/>
    </row>
    <row r="38019">
      <c r="N38019" s="28"/>
      <c r="O38019" s="28"/>
      <c r="U38019" s="28"/>
    </row>
    <row r="38020">
      <c r="N38020" s="28"/>
      <c r="O38020" s="28"/>
      <c r="U38020" s="28"/>
    </row>
    <row r="38021">
      <c r="N38021" s="28"/>
      <c r="O38021" s="28"/>
      <c r="U38021" s="28"/>
    </row>
    <row r="38022">
      <c r="N38022" s="28"/>
      <c r="O38022" s="28"/>
      <c r="U38022" s="28"/>
    </row>
    <row r="38023">
      <c r="N38023" s="28"/>
      <c r="O38023" s="28"/>
      <c r="U38023" s="28"/>
    </row>
    <row r="38024">
      <c r="N38024" s="28"/>
      <c r="O38024" s="28"/>
      <c r="U38024" s="28"/>
    </row>
    <row r="38025">
      <c r="N38025" s="28"/>
      <c r="O38025" s="28"/>
      <c r="U38025" s="28"/>
    </row>
    <row r="38026">
      <c r="N38026" s="28"/>
      <c r="O38026" s="28"/>
      <c r="U38026" s="28"/>
    </row>
    <row r="38027">
      <c r="N38027" s="28"/>
      <c r="O38027" s="28"/>
      <c r="U38027" s="28"/>
    </row>
    <row r="38028">
      <c r="N38028" s="28"/>
      <c r="O38028" s="28"/>
      <c r="U38028" s="28"/>
    </row>
    <row r="38029">
      <c r="N38029" s="28"/>
      <c r="O38029" s="28"/>
      <c r="U38029" s="28"/>
    </row>
    <row r="38030">
      <c r="N38030" s="28"/>
      <c r="O38030" s="28"/>
      <c r="U38030" s="28"/>
    </row>
    <row r="38031">
      <c r="N38031" s="28"/>
      <c r="O38031" s="28"/>
      <c r="U38031" s="28"/>
    </row>
    <row r="38032">
      <c r="N38032" s="28"/>
      <c r="O38032" s="28"/>
      <c r="U38032" s="28"/>
    </row>
    <row r="38033">
      <c r="N38033" s="28"/>
      <c r="O38033" s="28"/>
      <c r="U38033" s="28"/>
    </row>
    <row r="38034">
      <c r="N38034" s="28"/>
      <c r="O38034" s="28"/>
      <c r="U38034" s="28"/>
    </row>
    <row r="38035">
      <c r="N38035" s="28"/>
      <c r="O38035" s="28"/>
      <c r="U38035" s="28"/>
    </row>
    <row r="38036">
      <c r="N38036" s="28"/>
      <c r="O38036" s="28"/>
      <c r="U38036" s="28"/>
    </row>
    <row r="38037">
      <c r="N38037" s="28"/>
      <c r="O38037" s="28"/>
      <c r="U38037" s="28"/>
    </row>
    <row r="38038">
      <c r="N38038" s="28"/>
      <c r="O38038" s="28"/>
      <c r="U38038" s="28"/>
    </row>
    <row r="38039">
      <c r="N38039" s="28"/>
      <c r="O38039" s="28"/>
      <c r="U38039" s="28"/>
    </row>
    <row r="38040">
      <c r="N38040" s="28"/>
      <c r="O38040" s="28"/>
      <c r="U38040" s="28"/>
    </row>
    <row r="38041">
      <c r="N38041" s="28"/>
      <c r="O38041" s="28"/>
      <c r="U38041" s="28"/>
    </row>
    <row r="38042">
      <c r="N38042" s="28"/>
      <c r="O38042" s="28"/>
      <c r="U38042" s="28"/>
    </row>
    <row r="38043">
      <c r="N38043" s="28"/>
      <c r="O38043" s="28"/>
      <c r="U38043" s="28"/>
    </row>
    <row r="38044">
      <c r="N38044" s="28"/>
      <c r="O38044" s="28"/>
      <c r="U38044" s="28"/>
    </row>
    <row r="38045">
      <c r="N38045" s="28"/>
      <c r="O38045" s="28"/>
      <c r="U38045" s="28"/>
    </row>
    <row r="38046">
      <c r="N38046" s="28"/>
      <c r="O38046" s="28"/>
      <c r="U38046" s="28"/>
    </row>
    <row r="38047">
      <c r="N38047" s="28"/>
      <c r="O38047" s="28"/>
      <c r="U38047" s="28"/>
    </row>
    <row r="38048">
      <c r="N38048" s="28"/>
      <c r="O38048" s="28"/>
      <c r="U38048" s="28"/>
    </row>
    <row r="38049">
      <c r="N38049" s="28"/>
      <c r="O38049" s="28"/>
      <c r="U38049" s="28"/>
    </row>
    <row r="38050">
      <c r="N38050" s="28"/>
      <c r="O38050" s="28"/>
      <c r="U38050" s="28"/>
    </row>
    <row r="38051">
      <c r="N38051" s="28"/>
      <c r="O38051" s="28"/>
      <c r="U38051" s="28"/>
    </row>
    <row r="38052">
      <c r="N38052" s="28"/>
      <c r="O38052" s="28"/>
      <c r="U38052" s="28"/>
    </row>
    <row r="38053">
      <c r="N38053" s="28"/>
      <c r="O38053" s="28"/>
      <c r="U38053" s="28"/>
    </row>
    <row r="38054">
      <c r="N38054" s="28"/>
      <c r="O38054" s="28"/>
      <c r="U38054" s="28"/>
    </row>
    <row r="38055">
      <c r="N38055" s="28"/>
      <c r="O38055" s="28"/>
      <c r="U38055" s="28"/>
    </row>
    <row r="38056">
      <c r="N38056" s="28"/>
      <c r="O38056" s="28"/>
      <c r="U38056" s="28"/>
    </row>
    <row r="38057">
      <c r="N38057" s="28"/>
      <c r="O38057" s="28"/>
      <c r="U38057" s="28"/>
    </row>
    <row r="38058">
      <c r="N38058" s="28"/>
      <c r="O38058" s="28"/>
      <c r="U38058" s="28"/>
    </row>
    <row r="38059">
      <c r="N38059" s="28"/>
      <c r="O38059" s="28"/>
      <c r="U38059" s="28"/>
    </row>
    <row r="38060">
      <c r="N38060" s="28"/>
      <c r="O38060" s="28"/>
      <c r="U38060" s="28"/>
    </row>
    <row r="38061">
      <c r="N38061" s="28"/>
      <c r="O38061" s="28"/>
      <c r="U38061" s="28"/>
    </row>
    <row r="38062">
      <c r="N38062" s="28"/>
      <c r="O38062" s="28"/>
      <c r="U38062" s="28"/>
    </row>
    <row r="38063">
      <c r="N38063" s="28"/>
      <c r="O38063" s="28"/>
      <c r="U38063" s="28"/>
    </row>
    <row r="38064">
      <c r="N38064" s="28"/>
      <c r="O38064" s="28"/>
      <c r="U38064" s="28"/>
    </row>
    <row r="38065">
      <c r="N38065" s="28"/>
      <c r="O38065" s="28"/>
      <c r="U38065" s="28"/>
    </row>
    <row r="38066">
      <c r="N38066" s="28"/>
      <c r="O38066" s="28"/>
      <c r="U38066" s="28"/>
    </row>
    <row r="38067">
      <c r="N38067" s="28"/>
      <c r="O38067" s="28"/>
      <c r="U38067" s="28"/>
    </row>
    <row r="38068">
      <c r="N38068" s="28"/>
      <c r="O38068" s="28"/>
      <c r="U38068" s="28"/>
    </row>
    <row r="38069">
      <c r="N38069" s="28"/>
      <c r="O38069" s="28"/>
      <c r="U38069" s="28"/>
    </row>
    <row r="38070">
      <c r="N38070" s="28"/>
      <c r="O38070" s="28"/>
      <c r="U38070" s="28"/>
    </row>
    <row r="38071">
      <c r="N38071" s="28"/>
      <c r="O38071" s="28"/>
      <c r="U38071" s="28"/>
    </row>
    <row r="38072">
      <c r="N38072" s="28"/>
      <c r="O38072" s="28"/>
      <c r="U38072" s="28"/>
    </row>
    <row r="38073">
      <c r="N38073" s="28"/>
      <c r="O38073" s="28"/>
      <c r="U38073" s="28"/>
    </row>
    <row r="38074">
      <c r="N38074" s="28"/>
      <c r="O38074" s="28"/>
      <c r="U38074" s="28"/>
    </row>
    <row r="38075">
      <c r="N38075" s="28"/>
      <c r="O38075" s="28"/>
      <c r="U38075" s="28"/>
    </row>
    <row r="38076">
      <c r="N38076" s="28"/>
      <c r="O38076" s="28"/>
      <c r="U38076" s="28"/>
    </row>
    <row r="38077">
      <c r="N38077" s="28"/>
      <c r="O38077" s="28"/>
      <c r="U38077" s="28"/>
    </row>
    <row r="38078">
      <c r="N38078" s="28"/>
      <c r="O38078" s="28"/>
      <c r="U38078" s="28"/>
    </row>
    <row r="38079">
      <c r="N38079" s="28"/>
      <c r="O38079" s="28"/>
      <c r="U38079" s="28"/>
    </row>
    <row r="38080">
      <c r="N38080" s="28"/>
      <c r="O38080" s="28"/>
      <c r="U38080" s="28"/>
    </row>
    <row r="38081">
      <c r="N38081" s="28"/>
      <c r="O38081" s="28"/>
      <c r="U38081" s="28"/>
    </row>
    <row r="38082">
      <c r="N38082" s="28"/>
      <c r="O38082" s="28"/>
      <c r="U38082" s="28"/>
    </row>
    <row r="38083">
      <c r="N38083" s="28"/>
      <c r="O38083" s="28"/>
      <c r="U38083" s="28"/>
    </row>
    <row r="38084">
      <c r="N38084" s="28"/>
      <c r="O38084" s="28"/>
      <c r="U38084" s="28"/>
    </row>
    <row r="38085">
      <c r="N38085" s="28"/>
      <c r="O38085" s="28"/>
      <c r="U38085" s="28"/>
    </row>
    <row r="38086">
      <c r="N38086" s="28"/>
      <c r="O38086" s="28"/>
      <c r="U38086" s="28"/>
    </row>
    <row r="38087">
      <c r="N38087" s="28"/>
      <c r="O38087" s="28"/>
      <c r="U38087" s="28"/>
    </row>
    <row r="38088">
      <c r="N38088" s="28"/>
      <c r="O38088" s="28"/>
      <c r="U38088" s="28"/>
    </row>
    <row r="38089">
      <c r="N38089" s="28"/>
      <c r="O38089" s="28"/>
      <c r="U38089" s="28"/>
    </row>
    <row r="38090">
      <c r="N38090" s="28"/>
      <c r="O38090" s="28"/>
      <c r="U38090" s="28"/>
    </row>
    <row r="38091">
      <c r="N38091" s="28"/>
      <c r="O38091" s="28"/>
      <c r="U38091" s="28"/>
    </row>
    <row r="38092">
      <c r="N38092" s="28"/>
      <c r="O38092" s="28"/>
      <c r="U38092" s="28"/>
    </row>
    <row r="38093">
      <c r="N38093" s="28"/>
      <c r="O38093" s="28"/>
      <c r="U38093" s="28"/>
    </row>
    <row r="38094">
      <c r="N38094" s="28"/>
      <c r="O38094" s="28"/>
      <c r="U38094" s="28"/>
    </row>
    <row r="38095">
      <c r="N38095" s="28"/>
      <c r="O38095" s="28"/>
      <c r="U38095" s="28"/>
    </row>
    <row r="38096">
      <c r="N38096" s="28"/>
      <c r="O38096" s="28"/>
      <c r="U38096" s="28"/>
    </row>
    <row r="38097">
      <c r="N38097" s="28"/>
      <c r="O38097" s="28"/>
      <c r="U38097" s="28"/>
    </row>
    <row r="38098">
      <c r="N38098" s="28"/>
      <c r="O38098" s="28"/>
      <c r="U38098" s="28"/>
    </row>
    <row r="38099">
      <c r="N38099" s="28"/>
      <c r="O38099" s="28"/>
      <c r="U38099" s="28"/>
    </row>
    <row r="38100">
      <c r="N38100" s="28"/>
      <c r="O38100" s="28"/>
      <c r="U38100" s="28"/>
    </row>
    <row r="38101">
      <c r="N38101" s="28"/>
      <c r="O38101" s="28"/>
      <c r="U38101" s="28"/>
    </row>
    <row r="38102">
      <c r="N38102" s="28"/>
      <c r="O38102" s="28"/>
      <c r="U38102" s="28"/>
    </row>
    <row r="38103">
      <c r="N38103" s="28"/>
      <c r="O38103" s="28"/>
      <c r="U38103" s="28"/>
    </row>
    <row r="38104">
      <c r="N38104" s="28"/>
      <c r="O38104" s="28"/>
      <c r="U38104" s="28"/>
    </row>
    <row r="38105">
      <c r="N38105" s="28"/>
      <c r="O38105" s="28"/>
      <c r="U38105" s="28"/>
    </row>
    <row r="38106">
      <c r="N38106" s="28"/>
      <c r="O38106" s="28"/>
      <c r="U38106" s="28"/>
    </row>
    <row r="38107">
      <c r="N38107" s="28"/>
      <c r="O38107" s="28"/>
      <c r="U38107" s="28"/>
    </row>
    <row r="38108">
      <c r="N38108" s="28"/>
      <c r="O38108" s="28"/>
      <c r="U38108" s="28"/>
    </row>
    <row r="38109">
      <c r="N38109" s="28"/>
      <c r="O38109" s="28"/>
      <c r="U38109" s="28"/>
    </row>
    <row r="38110">
      <c r="N38110" s="28"/>
      <c r="O38110" s="28"/>
      <c r="U38110" s="28"/>
    </row>
    <row r="38111">
      <c r="N38111" s="28"/>
      <c r="O38111" s="28"/>
      <c r="U38111" s="28"/>
    </row>
    <row r="38112">
      <c r="N38112" s="28"/>
      <c r="O38112" s="28"/>
      <c r="U38112" s="28"/>
    </row>
    <row r="38113">
      <c r="N38113" s="28"/>
      <c r="O38113" s="28"/>
      <c r="U38113" s="28"/>
    </row>
    <row r="38114">
      <c r="N38114" s="28"/>
      <c r="O38114" s="28"/>
      <c r="U38114" s="28"/>
    </row>
    <row r="38115">
      <c r="N38115" s="28"/>
      <c r="O38115" s="28"/>
      <c r="U38115" s="28"/>
    </row>
    <row r="38116">
      <c r="N38116" s="28"/>
      <c r="O38116" s="28"/>
      <c r="U38116" s="28"/>
    </row>
    <row r="38117">
      <c r="N38117" s="28"/>
      <c r="O38117" s="28"/>
      <c r="U38117" s="28"/>
    </row>
    <row r="38118">
      <c r="N38118" s="28"/>
      <c r="O38118" s="28"/>
      <c r="U38118" s="28"/>
    </row>
    <row r="38119">
      <c r="N38119" s="28"/>
      <c r="O38119" s="28"/>
      <c r="U38119" s="28"/>
    </row>
    <row r="38120">
      <c r="N38120" s="28"/>
      <c r="O38120" s="28"/>
      <c r="U38120" s="28"/>
    </row>
    <row r="38121">
      <c r="N38121" s="28"/>
      <c r="O38121" s="28"/>
      <c r="U38121" s="28"/>
    </row>
    <row r="38122">
      <c r="N38122" s="28"/>
      <c r="O38122" s="28"/>
      <c r="U38122" s="28"/>
    </row>
    <row r="38123">
      <c r="N38123" s="28"/>
      <c r="O38123" s="28"/>
      <c r="U38123" s="28"/>
    </row>
    <row r="38124">
      <c r="N38124" s="28"/>
      <c r="O38124" s="28"/>
      <c r="U38124" s="28"/>
    </row>
    <row r="38125">
      <c r="N38125" s="28"/>
      <c r="O38125" s="28"/>
      <c r="U38125" s="28"/>
    </row>
    <row r="38126">
      <c r="N38126" s="28"/>
      <c r="O38126" s="28"/>
      <c r="U38126" s="28"/>
    </row>
    <row r="38127">
      <c r="N38127" s="28"/>
      <c r="O38127" s="28"/>
      <c r="U38127" s="28"/>
    </row>
    <row r="38128">
      <c r="N38128" s="28"/>
      <c r="O38128" s="28"/>
      <c r="U38128" s="28"/>
    </row>
    <row r="38129">
      <c r="N38129" s="28"/>
      <c r="O38129" s="28"/>
      <c r="U38129" s="28"/>
    </row>
    <row r="38130">
      <c r="N38130" s="28"/>
      <c r="O38130" s="28"/>
      <c r="U38130" s="28"/>
    </row>
    <row r="38131">
      <c r="N38131" s="28"/>
      <c r="O38131" s="28"/>
      <c r="U38131" s="28"/>
    </row>
    <row r="38132">
      <c r="N38132" s="28"/>
      <c r="O38132" s="28"/>
      <c r="U38132" s="28"/>
    </row>
    <row r="38133">
      <c r="N38133" s="28"/>
      <c r="O38133" s="28"/>
      <c r="U38133" s="28"/>
    </row>
    <row r="38134">
      <c r="N38134" s="28"/>
      <c r="O38134" s="28"/>
      <c r="U38134" s="28"/>
    </row>
    <row r="38135">
      <c r="N38135" s="28"/>
      <c r="O38135" s="28"/>
      <c r="U38135" s="28"/>
    </row>
    <row r="38136">
      <c r="N38136" s="28"/>
      <c r="O38136" s="28"/>
      <c r="U38136" s="28"/>
    </row>
    <row r="38137">
      <c r="N38137" s="28"/>
      <c r="O38137" s="28"/>
      <c r="U38137" s="28"/>
    </row>
    <row r="38138">
      <c r="N38138" s="28"/>
      <c r="O38138" s="28"/>
      <c r="U38138" s="28"/>
    </row>
    <row r="38139">
      <c r="N38139" s="28"/>
      <c r="O38139" s="28"/>
      <c r="U38139" s="28"/>
    </row>
    <row r="38140">
      <c r="N38140" s="28"/>
      <c r="O38140" s="28"/>
      <c r="U38140" s="28"/>
    </row>
    <row r="38141">
      <c r="N38141" s="28"/>
      <c r="O38141" s="28"/>
      <c r="U38141" s="28"/>
    </row>
    <row r="38142">
      <c r="N38142" s="28"/>
      <c r="O38142" s="28"/>
      <c r="U38142" s="28"/>
    </row>
    <row r="38143">
      <c r="N38143" s="28"/>
      <c r="O38143" s="28"/>
      <c r="U38143" s="28"/>
    </row>
    <row r="38144">
      <c r="N38144" s="28"/>
      <c r="O38144" s="28"/>
      <c r="U38144" s="28"/>
    </row>
    <row r="38145">
      <c r="N38145" s="28"/>
      <c r="O38145" s="28"/>
      <c r="U38145" s="28"/>
    </row>
    <row r="38146">
      <c r="N38146" s="28"/>
      <c r="O38146" s="28"/>
      <c r="U38146" s="28"/>
    </row>
    <row r="38147">
      <c r="N38147" s="28"/>
      <c r="O38147" s="28"/>
      <c r="U38147" s="28"/>
    </row>
    <row r="38148">
      <c r="N38148" s="28"/>
      <c r="O38148" s="28"/>
      <c r="U38148" s="28"/>
    </row>
    <row r="38149">
      <c r="N38149" s="28"/>
      <c r="O38149" s="28"/>
      <c r="U38149" s="28"/>
    </row>
    <row r="38150">
      <c r="N38150" s="28"/>
      <c r="O38150" s="28"/>
      <c r="U38150" s="28"/>
    </row>
    <row r="38151">
      <c r="N38151" s="28"/>
      <c r="O38151" s="28"/>
      <c r="U38151" s="28"/>
    </row>
    <row r="38152">
      <c r="N38152" s="28"/>
      <c r="O38152" s="28"/>
      <c r="U38152" s="28"/>
    </row>
    <row r="38153">
      <c r="N38153" s="28"/>
      <c r="O38153" s="28"/>
      <c r="U38153" s="28"/>
    </row>
    <row r="38154">
      <c r="N38154" s="28"/>
      <c r="O38154" s="28"/>
      <c r="U38154" s="28"/>
    </row>
    <row r="38155">
      <c r="N38155" s="28"/>
      <c r="O38155" s="28"/>
      <c r="U38155" s="28"/>
    </row>
    <row r="38156">
      <c r="N38156" s="28"/>
      <c r="O38156" s="28"/>
      <c r="U38156" s="28"/>
    </row>
    <row r="38157">
      <c r="N38157" s="28"/>
      <c r="O38157" s="28"/>
      <c r="U38157" s="28"/>
    </row>
    <row r="38158">
      <c r="N38158" s="28"/>
      <c r="O38158" s="28"/>
      <c r="U38158" s="28"/>
    </row>
    <row r="38159">
      <c r="N38159" s="28"/>
      <c r="O38159" s="28"/>
      <c r="U38159" s="28"/>
    </row>
    <row r="38160">
      <c r="N38160" s="28"/>
      <c r="O38160" s="28"/>
      <c r="U38160" s="28"/>
    </row>
    <row r="38161">
      <c r="N38161" s="28"/>
      <c r="O38161" s="28"/>
      <c r="U38161" s="28"/>
    </row>
    <row r="38162">
      <c r="N38162" s="28"/>
      <c r="O38162" s="28"/>
      <c r="U38162" s="28"/>
    </row>
    <row r="38163">
      <c r="N38163" s="28"/>
      <c r="O38163" s="28"/>
      <c r="U38163" s="28"/>
    </row>
    <row r="38164">
      <c r="N38164" s="28"/>
      <c r="O38164" s="28"/>
      <c r="U38164" s="28"/>
    </row>
    <row r="38165">
      <c r="N38165" s="28"/>
      <c r="O38165" s="28"/>
      <c r="U38165" s="28"/>
    </row>
    <row r="38166">
      <c r="N38166" s="28"/>
      <c r="O38166" s="28"/>
      <c r="U38166" s="28"/>
    </row>
    <row r="38167">
      <c r="N38167" s="28"/>
      <c r="O38167" s="28"/>
      <c r="U38167" s="28"/>
    </row>
    <row r="38168">
      <c r="N38168" s="28"/>
      <c r="O38168" s="28"/>
      <c r="U38168" s="28"/>
    </row>
    <row r="38169">
      <c r="N38169" s="28"/>
      <c r="O38169" s="28"/>
      <c r="U38169" s="28"/>
    </row>
    <row r="38170">
      <c r="N38170" s="28"/>
      <c r="O38170" s="28"/>
      <c r="U38170" s="28"/>
    </row>
    <row r="38171">
      <c r="N38171" s="28"/>
      <c r="O38171" s="28"/>
      <c r="U38171" s="28"/>
    </row>
    <row r="38172">
      <c r="N38172" s="28"/>
      <c r="O38172" s="28"/>
      <c r="U38172" s="28"/>
    </row>
    <row r="38173">
      <c r="N38173" s="28"/>
      <c r="O38173" s="28"/>
      <c r="U38173" s="28"/>
    </row>
    <row r="38174">
      <c r="N38174" s="28"/>
      <c r="O38174" s="28"/>
      <c r="U38174" s="28"/>
    </row>
    <row r="38175">
      <c r="N38175" s="28"/>
      <c r="O38175" s="28"/>
      <c r="U38175" s="28"/>
    </row>
    <row r="38176">
      <c r="N38176" s="28"/>
      <c r="O38176" s="28"/>
      <c r="U38176" s="28"/>
    </row>
    <row r="38177">
      <c r="N38177" s="28"/>
      <c r="O38177" s="28"/>
      <c r="U38177" s="28"/>
    </row>
    <row r="38178">
      <c r="N38178" s="28"/>
      <c r="O38178" s="28"/>
      <c r="U38178" s="28"/>
    </row>
    <row r="38179">
      <c r="N38179" s="28"/>
      <c r="O38179" s="28"/>
      <c r="U38179" s="28"/>
    </row>
    <row r="38180">
      <c r="N38180" s="28"/>
      <c r="O38180" s="28"/>
      <c r="U38180" s="28"/>
    </row>
    <row r="38181">
      <c r="N38181" s="28"/>
      <c r="O38181" s="28"/>
      <c r="U38181" s="28"/>
    </row>
    <row r="38182">
      <c r="N38182" s="28"/>
      <c r="O38182" s="28"/>
      <c r="U38182" s="28"/>
    </row>
    <row r="38183">
      <c r="N38183" s="28"/>
      <c r="O38183" s="28"/>
      <c r="U38183" s="28"/>
    </row>
    <row r="38184">
      <c r="N38184" s="28"/>
      <c r="O38184" s="28"/>
      <c r="U38184" s="28"/>
    </row>
    <row r="38185">
      <c r="N38185" s="28"/>
      <c r="O38185" s="28"/>
      <c r="U38185" s="28"/>
    </row>
    <row r="38186">
      <c r="N38186" s="28"/>
      <c r="O38186" s="28"/>
      <c r="U38186" s="28"/>
    </row>
    <row r="38187">
      <c r="N38187" s="28"/>
      <c r="O38187" s="28"/>
      <c r="U38187" s="28"/>
    </row>
    <row r="38188">
      <c r="N38188" s="28"/>
      <c r="O38188" s="28"/>
      <c r="U38188" s="28"/>
    </row>
    <row r="38189">
      <c r="N38189" s="28"/>
      <c r="O38189" s="28"/>
      <c r="U38189" s="28"/>
    </row>
    <row r="38190">
      <c r="N38190" s="28"/>
      <c r="O38190" s="28"/>
      <c r="U38190" s="28"/>
    </row>
    <row r="38191">
      <c r="N38191" s="28"/>
      <c r="O38191" s="28"/>
      <c r="U38191" s="28"/>
    </row>
    <row r="38192">
      <c r="N38192" s="28"/>
      <c r="O38192" s="28"/>
      <c r="U38192" s="28"/>
    </row>
    <row r="38193">
      <c r="N38193" s="28"/>
      <c r="O38193" s="28"/>
      <c r="U38193" s="28"/>
    </row>
    <row r="38194">
      <c r="N38194" s="28"/>
      <c r="O38194" s="28"/>
      <c r="U38194" s="28"/>
    </row>
    <row r="38195">
      <c r="N38195" s="28"/>
      <c r="O38195" s="28"/>
      <c r="U38195" s="28"/>
    </row>
    <row r="38196">
      <c r="N38196" s="28"/>
      <c r="O38196" s="28"/>
      <c r="U38196" s="28"/>
    </row>
    <row r="38197">
      <c r="N38197" s="28"/>
      <c r="O38197" s="28"/>
      <c r="U38197" s="28"/>
    </row>
    <row r="38198">
      <c r="N38198" s="28"/>
      <c r="O38198" s="28"/>
      <c r="U38198" s="28"/>
    </row>
    <row r="38199">
      <c r="N38199" s="28"/>
      <c r="O38199" s="28"/>
      <c r="U38199" s="28"/>
    </row>
    <row r="38200">
      <c r="N38200" s="28"/>
      <c r="O38200" s="28"/>
      <c r="U38200" s="28"/>
    </row>
    <row r="38201">
      <c r="N38201" s="28"/>
      <c r="O38201" s="28"/>
      <c r="U38201" s="28"/>
    </row>
    <row r="38202">
      <c r="N38202" s="28"/>
      <c r="O38202" s="28"/>
      <c r="U38202" s="28"/>
    </row>
    <row r="38203">
      <c r="N38203" s="28"/>
      <c r="O38203" s="28"/>
      <c r="U38203" s="28"/>
    </row>
    <row r="38204">
      <c r="N38204" s="28"/>
      <c r="O38204" s="28"/>
      <c r="U38204" s="28"/>
    </row>
    <row r="38205">
      <c r="N38205" s="28"/>
      <c r="O38205" s="28"/>
      <c r="U38205" s="28"/>
    </row>
    <row r="38206">
      <c r="N38206" s="28"/>
      <c r="O38206" s="28"/>
      <c r="U38206" s="28"/>
    </row>
    <row r="38207">
      <c r="N38207" s="28"/>
      <c r="O38207" s="28"/>
      <c r="U38207" s="28"/>
    </row>
    <row r="38208">
      <c r="N38208" s="28"/>
      <c r="O38208" s="28"/>
      <c r="U38208" s="28"/>
    </row>
    <row r="38209">
      <c r="N38209" s="28"/>
      <c r="O38209" s="28"/>
      <c r="U38209" s="28"/>
    </row>
    <row r="38210">
      <c r="N38210" s="28"/>
      <c r="O38210" s="28"/>
      <c r="U38210" s="28"/>
    </row>
    <row r="38211">
      <c r="N38211" s="28"/>
      <c r="O38211" s="28"/>
      <c r="U38211" s="28"/>
    </row>
    <row r="38212">
      <c r="N38212" s="28"/>
      <c r="O38212" s="28"/>
      <c r="U38212" s="28"/>
    </row>
    <row r="38213">
      <c r="N38213" s="28"/>
      <c r="O38213" s="28"/>
      <c r="U38213" s="28"/>
    </row>
    <row r="38214">
      <c r="N38214" s="28"/>
      <c r="O38214" s="28"/>
      <c r="U38214" s="28"/>
    </row>
    <row r="38215">
      <c r="N38215" s="28"/>
      <c r="O38215" s="28"/>
      <c r="U38215" s="28"/>
    </row>
    <row r="38216">
      <c r="N38216" s="28"/>
      <c r="O38216" s="28"/>
      <c r="U38216" s="28"/>
    </row>
    <row r="38217">
      <c r="N38217" s="28"/>
      <c r="O38217" s="28"/>
      <c r="U38217" s="28"/>
    </row>
    <row r="38218">
      <c r="N38218" s="28"/>
      <c r="O38218" s="28"/>
      <c r="U38218" s="28"/>
    </row>
    <row r="38219">
      <c r="N38219" s="28"/>
      <c r="O38219" s="28"/>
      <c r="U38219" s="28"/>
    </row>
    <row r="38220">
      <c r="N38220" s="28"/>
      <c r="O38220" s="28"/>
      <c r="U38220" s="28"/>
    </row>
    <row r="38221">
      <c r="N38221" s="28"/>
      <c r="O38221" s="28"/>
      <c r="U38221" s="28"/>
    </row>
    <row r="38222">
      <c r="N38222" s="28"/>
      <c r="O38222" s="28"/>
      <c r="U38222" s="28"/>
    </row>
    <row r="38223">
      <c r="N38223" s="28"/>
      <c r="O38223" s="28"/>
      <c r="U38223" s="28"/>
    </row>
    <row r="38224">
      <c r="N38224" s="28"/>
      <c r="O38224" s="28"/>
      <c r="U38224" s="28"/>
    </row>
    <row r="38225">
      <c r="N38225" s="28"/>
      <c r="O38225" s="28"/>
      <c r="U38225" s="28"/>
    </row>
    <row r="38226">
      <c r="N38226" s="28"/>
      <c r="O38226" s="28"/>
      <c r="U38226" s="28"/>
    </row>
    <row r="38227">
      <c r="N38227" s="28"/>
      <c r="O38227" s="28"/>
      <c r="U38227" s="28"/>
    </row>
    <row r="38228">
      <c r="N38228" s="28"/>
      <c r="O38228" s="28"/>
      <c r="U38228" s="28"/>
    </row>
    <row r="38229">
      <c r="N38229" s="28"/>
      <c r="O38229" s="28"/>
      <c r="U38229" s="28"/>
    </row>
    <row r="38230">
      <c r="N38230" s="28"/>
      <c r="O38230" s="28"/>
      <c r="U38230" s="28"/>
    </row>
    <row r="38231">
      <c r="N38231" s="28"/>
      <c r="O38231" s="28"/>
      <c r="U38231" s="28"/>
    </row>
    <row r="38232">
      <c r="N38232" s="28"/>
      <c r="O38232" s="28"/>
      <c r="U38232" s="28"/>
    </row>
    <row r="38233">
      <c r="N38233" s="28"/>
      <c r="O38233" s="28"/>
      <c r="U38233" s="28"/>
    </row>
    <row r="38234">
      <c r="N38234" s="28"/>
      <c r="O38234" s="28"/>
      <c r="U38234" s="28"/>
    </row>
    <row r="38235">
      <c r="N38235" s="28"/>
      <c r="O38235" s="28"/>
      <c r="U38235" s="28"/>
    </row>
    <row r="38236">
      <c r="N38236" s="28"/>
      <c r="O38236" s="28"/>
      <c r="U38236" s="28"/>
    </row>
    <row r="38237">
      <c r="N38237" s="28"/>
      <c r="O38237" s="28"/>
      <c r="U38237" s="28"/>
    </row>
    <row r="38238">
      <c r="N38238" s="28"/>
      <c r="O38238" s="28"/>
      <c r="U38238" s="28"/>
    </row>
    <row r="38239">
      <c r="N38239" s="28"/>
      <c r="O38239" s="28"/>
      <c r="U38239" s="28"/>
    </row>
    <row r="38240">
      <c r="N38240" s="28"/>
      <c r="O38240" s="28"/>
      <c r="U38240" s="28"/>
    </row>
    <row r="38241">
      <c r="N38241" s="28"/>
      <c r="O38241" s="28"/>
      <c r="U38241" s="28"/>
    </row>
    <row r="38242">
      <c r="N38242" s="28"/>
      <c r="O38242" s="28"/>
      <c r="U38242" s="28"/>
    </row>
    <row r="38243">
      <c r="N38243" s="28"/>
      <c r="O38243" s="28"/>
      <c r="U38243" s="28"/>
    </row>
    <row r="38244">
      <c r="N38244" s="28"/>
      <c r="O38244" s="28"/>
      <c r="U38244" s="28"/>
    </row>
    <row r="38245">
      <c r="N38245" s="28"/>
      <c r="O38245" s="28"/>
      <c r="U38245" s="28"/>
    </row>
    <row r="38246">
      <c r="N38246" s="28"/>
      <c r="O38246" s="28"/>
      <c r="U38246" s="28"/>
    </row>
    <row r="38247">
      <c r="N38247" s="28"/>
      <c r="O38247" s="28"/>
      <c r="U38247" s="28"/>
    </row>
    <row r="38248">
      <c r="N38248" s="28"/>
      <c r="O38248" s="28"/>
      <c r="U38248" s="28"/>
    </row>
    <row r="38249">
      <c r="N38249" s="28"/>
      <c r="O38249" s="28"/>
      <c r="U38249" s="28"/>
    </row>
    <row r="38250">
      <c r="N38250" s="28"/>
      <c r="O38250" s="28"/>
      <c r="U38250" s="28"/>
    </row>
    <row r="38251">
      <c r="N38251" s="28"/>
      <c r="O38251" s="28"/>
      <c r="U38251" s="28"/>
    </row>
    <row r="38252">
      <c r="N38252" s="28"/>
      <c r="O38252" s="28"/>
      <c r="U38252" s="28"/>
    </row>
    <row r="38253">
      <c r="N38253" s="28"/>
      <c r="O38253" s="28"/>
      <c r="U38253" s="28"/>
    </row>
    <row r="38254">
      <c r="N38254" s="28"/>
      <c r="O38254" s="28"/>
      <c r="U38254" s="28"/>
    </row>
    <row r="38255">
      <c r="N38255" s="28"/>
      <c r="O38255" s="28"/>
      <c r="U38255" s="28"/>
    </row>
    <row r="38256">
      <c r="N38256" s="28"/>
      <c r="O38256" s="28"/>
      <c r="U38256" s="28"/>
    </row>
    <row r="38257">
      <c r="N38257" s="28"/>
      <c r="O38257" s="28"/>
      <c r="U38257" s="28"/>
    </row>
    <row r="38258">
      <c r="N38258" s="28"/>
      <c r="O38258" s="28"/>
      <c r="U38258" s="28"/>
    </row>
    <row r="38259">
      <c r="N38259" s="28"/>
      <c r="O38259" s="28"/>
      <c r="U38259" s="28"/>
    </row>
    <row r="38260">
      <c r="N38260" s="28"/>
      <c r="O38260" s="28"/>
      <c r="U38260" s="28"/>
    </row>
    <row r="38261">
      <c r="N38261" s="28"/>
      <c r="O38261" s="28"/>
      <c r="U38261" s="28"/>
    </row>
    <row r="38262">
      <c r="N38262" s="28"/>
      <c r="O38262" s="28"/>
      <c r="U38262" s="28"/>
    </row>
    <row r="38263">
      <c r="N38263" s="28"/>
      <c r="O38263" s="28"/>
      <c r="U38263" s="28"/>
    </row>
    <row r="38264">
      <c r="N38264" s="28"/>
      <c r="O38264" s="28"/>
      <c r="U38264" s="28"/>
    </row>
    <row r="38265">
      <c r="N38265" s="28"/>
      <c r="O38265" s="28"/>
      <c r="U38265" s="28"/>
    </row>
    <row r="38266">
      <c r="N38266" s="28"/>
      <c r="O38266" s="28"/>
      <c r="U38266" s="28"/>
    </row>
    <row r="38267">
      <c r="N38267" s="28"/>
      <c r="O38267" s="28"/>
      <c r="U38267" s="28"/>
    </row>
    <row r="38268">
      <c r="N38268" s="28"/>
      <c r="O38268" s="28"/>
      <c r="U38268" s="28"/>
    </row>
    <row r="38269">
      <c r="N38269" s="28"/>
      <c r="O38269" s="28"/>
      <c r="U38269" s="28"/>
    </row>
    <row r="38270">
      <c r="N38270" s="28"/>
      <c r="O38270" s="28"/>
      <c r="U38270" s="28"/>
    </row>
    <row r="38271">
      <c r="N38271" s="28"/>
      <c r="O38271" s="28"/>
      <c r="U38271" s="28"/>
    </row>
    <row r="38272">
      <c r="N38272" s="28"/>
      <c r="O38272" s="28"/>
      <c r="U38272" s="28"/>
    </row>
    <row r="38273">
      <c r="N38273" s="28"/>
      <c r="O38273" s="28"/>
      <c r="U38273" s="28"/>
    </row>
    <row r="38274">
      <c r="N38274" s="28"/>
      <c r="O38274" s="28"/>
      <c r="U38274" s="28"/>
    </row>
    <row r="38275">
      <c r="N38275" s="28"/>
      <c r="O38275" s="28"/>
      <c r="U38275" s="28"/>
    </row>
    <row r="38276">
      <c r="N38276" s="28"/>
      <c r="O38276" s="28"/>
      <c r="U38276" s="28"/>
    </row>
    <row r="38277">
      <c r="N38277" s="28"/>
      <c r="O38277" s="28"/>
      <c r="U38277" s="28"/>
    </row>
    <row r="38278">
      <c r="N38278" s="28"/>
      <c r="O38278" s="28"/>
      <c r="U38278" s="28"/>
    </row>
    <row r="38279">
      <c r="N38279" s="28"/>
      <c r="O38279" s="28"/>
      <c r="U38279" s="28"/>
    </row>
    <row r="38280">
      <c r="N38280" s="28"/>
      <c r="O38280" s="28"/>
      <c r="U38280" s="28"/>
    </row>
    <row r="38281">
      <c r="N38281" s="28"/>
      <c r="O38281" s="28"/>
      <c r="U38281" s="28"/>
    </row>
    <row r="38282">
      <c r="N38282" s="28"/>
      <c r="O38282" s="28"/>
      <c r="U38282" s="28"/>
    </row>
    <row r="38283">
      <c r="N38283" s="28"/>
      <c r="O38283" s="28"/>
      <c r="U38283" s="28"/>
    </row>
    <row r="38284">
      <c r="N38284" s="28"/>
      <c r="O38284" s="28"/>
      <c r="U38284" s="28"/>
    </row>
    <row r="38285">
      <c r="N38285" s="28"/>
      <c r="O38285" s="28"/>
      <c r="U38285" s="28"/>
    </row>
    <row r="38286">
      <c r="N38286" s="28"/>
      <c r="O38286" s="28"/>
      <c r="U38286" s="28"/>
    </row>
    <row r="38287">
      <c r="N38287" s="28"/>
      <c r="O38287" s="28"/>
      <c r="U38287" s="28"/>
    </row>
    <row r="38288">
      <c r="N38288" s="28"/>
      <c r="O38288" s="28"/>
      <c r="U38288" s="28"/>
    </row>
    <row r="38289">
      <c r="N38289" s="28"/>
      <c r="O38289" s="28"/>
      <c r="U38289" s="28"/>
    </row>
    <row r="38290">
      <c r="N38290" s="28"/>
      <c r="O38290" s="28"/>
      <c r="U38290" s="28"/>
    </row>
    <row r="38291">
      <c r="N38291" s="28"/>
      <c r="O38291" s="28"/>
      <c r="U38291" s="28"/>
    </row>
    <row r="38292">
      <c r="N38292" s="28"/>
      <c r="O38292" s="28"/>
      <c r="U38292" s="28"/>
    </row>
    <row r="38293">
      <c r="N38293" s="28"/>
      <c r="O38293" s="28"/>
      <c r="U38293" s="28"/>
    </row>
    <row r="38294">
      <c r="N38294" s="28"/>
      <c r="O38294" s="28"/>
      <c r="U38294" s="28"/>
    </row>
    <row r="38295">
      <c r="N38295" s="28"/>
      <c r="O38295" s="28"/>
      <c r="U38295" s="28"/>
    </row>
    <row r="38296">
      <c r="N38296" s="28"/>
      <c r="O38296" s="28"/>
      <c r="U38296" s="28"/>
    </row>
    <row r="38297">
      <c r="N38297" s="28"/>
      <c r="O38297" s="28"/>
      <c r="U38297" s="28"/>
    </row>
    <row r="38298">
      <c r="N38298" s="28"/>
      <c r="O38298" s="28"/>
      <c r="U38298" s="28"/>
    </row>
    <row r="38299">
      <c r="N38299" s="28"/>
      <c r="O38299" s="28"/>
      <c r="U38299" s="28"/>
    </row>
    <row r="38300">
      <c r="N38300" s="28"/>
      <c r="O38300" s="28"/>
      <c r="U38300" s="28"/>
    </row>
    <row r="38301">
      <c r="N38301" s="28"/>
      <c r="O38301" s="28"/>
      <c r="U38301" s="28"/>
    </row>
    <row r="38302">
      <c r="N38302" s="28"/>
      <c r="O38302" s="28"/>
      <c r="U38302" s="28"/>
    </row>
    <row r="38303">
      <c r="N38303" s="28"/>
      <c r="O38303" s="28"/>
      <c r="U38303" s="28"/>
    </row>
    <row r="38304">
      <c r="N38304" s="28"/>
      <c r="O38304" s="28"/>
      <c r="U38304" s="28"/>
    </row>
    <row r="38305">
      <c r="N38305" s="28"/>
      <c r="O38305" s="28"/>
      <c r="U38305" s="28"/>
    </row>
    <row r="38306">
      <c r="N38306" s="28"/>
      <c r="O38306" s="28"/>
      <c r="U38306" s="28"/>
    </row>
    <row r="38307">
      <c r="N38307" s="28"/>
      <c r="O38307" s="28"/>
      <c r="U38307" s="28"/>
    </row>
    <row r="38308">
      <c r="N38308" s="28"/>
      <c r="O38308" s="28"/>
      <c r="U38308" s="28"/>
    </row>
    <row r="38309">
      <c r="N38309" s="28"/>
      <c r="O38309" s="28"/>
      <c r="U38309" s="28"/>
    </row>
    <row r="38310">
      <c r="N38310" s="28"/>
      <c r="O38310" s="28"/>
      <c r="U38310" s="28"/>
    </row>
    <row r="38311">
      <c r="N38311" s="28"/>
      <c r="O38311" s="28"/>
      <c r="U38311" s="28"/>
    </row>
    <row r="38312">
      <c r="N38312" s="28"/>
      <c r="O38312" s="28"/>
      <c r="U38312" s="28"/>
    </row>
    <row r="38313">
      <c r="N38313" s="28"/>
      <c r="O38313" s="28"/>
      <c r="U38313" s="28"/>
    </row>
    <row r="38314">
      <c r="N38314" s="28"/>
      <c r="O38314" s="28"/>
      <c r="U38314" s="28"/>
    </row>
    <row r="38315">
      <c r="N38315" s="28"/>
      <c r="O38315" s="28"/>
      <c r="U38315" s="28"/>
    </row>
    <row r="38316">
      <c r="N38316" s="28"/>
      <c r="O38316" s="28"/>
      <c r="U38316" s="28"/>
    </row>
    <row r="38317">
      <c r="N38317" s="28"/>
      <c r="O38317" s="28"/>
      <c r="U38317" s="28"/>
    </row>
    <row r="38318">
      <c r="N38318" s="28"/>
      <c r="O38318" s="28"/>
      <c r="U38318" s="28"/>
    </row>
    <row r="38319">
      <c r="N38319" s="28"/>
      <c r="O38319" s="28"/>
      <c r="U38319" s="28"/>
    </row>
    <row r="38320">
      <c r="N38320" s="28"/>
      <c r="O38320" s="28"/>
      <c r="U38320" s="28"/>
    </row>
    <row r="38321">
      <c r="N38321" s="28"/>
      <c r="O38321" s="28"/>
      <c r="U38321" s="28"/>
    </row>
    <row r="38322">
      <c r="N38322" s="28"/>
      <c r="O38322" s="28"/>
      <c r="U38322" s="28"/>
    </row>
    <row r="38323">
      <c r="N38323" s="28"/>
      <c r="O38323" s="28"/>
      <c r="U38323" s="28"/>
    </row>
    <row r="38324">
      <c r="N38324" s="28"/>
      <c r="O38324" s="28"/>
      <c r="U38324" s="28"/>
    </row>
    <row r="38325">
      <c r="N38325" s="28"/>
      <c r="O38325" s="28"/>
      <c r="U38325" s="28"/>
    </row>
    <row r="38326">
      <c r="N38326" s="28"/>
      <c r="O38326" s="28"/>
      <c r="U38326" s="28"/>
    </row>
    <row r="38327">
      <c r="N38327" s="28"/>
      <c r="O38327" s="28"/>
      <c r="U38327" s="28"/>
    </row>
    <row r="38328">
      <c r="N38328" s="28"/>
      <c r="O38328" s="28"/>
      <c r="U38328" s="28"/>
    </row>
    <row r="38329">
      <c r="N38329" s="28"/>
      <c r="O38329" s="28"/>
      <c r="U38329" s="28"/>
    </row>
    <row r="38330">
      <c r="N38330" s="28"/>
      <c r="O38330" s="28"/>
      <c r="U38330" s="28"/>
    </row>
    <row r="38331">
      <c r="N38331" s="28"/>
      <c r="O38331" s="28"/>
      <c r="U38331" s="28"/>
    </row>
    <row r="38332">
      <c r="N38332" s="28"/>
      <c r="O38332" s="28"/>
      <c r="U38332" s="28"/>
    </row>
    <row r="38333">
      <c r="N38333" s="28"/>
      <c r="O38333" s="28"/>
      <c r="U38333" s="28"/>
    </row>
    <row r="38334">
      <c r="N38334" s="28"/>
      <c r="O38334" s="28"/>
      <c r="U38334" s="28"/>
    </row>
    <row r="38335">
      <c r="N38335" s="28"/>
      <c r="O38335" s="28"/>
      <c r="U38335" s="28"/>
    </row>
    <row r="38336">
      <c r="N38336" s="28"/>
      <c r="O38336" s="28"/>
      <c r="U38336" s="28"/>
    </row>
    <row r="38337">
      <c r="N38337" s="28"/>
      <c r="O38337" s="28"/>
      <c r="U38337" s="28"/>
    </row>
    <row r="38338">
      <c r="N38338" s="28"/>
      <c r="O38338" s="28"/>
      <c r="U38338" s="28"/>
    </row>
    <row r="38339">
      <c r="N38339" s="28"/>
      <c r="O38339" s="28"/>
      <c r="U38339" s="28"/>
    </row>
    <row r="38340">
      <c r="N38340" s="28"/>
      <c r="O38340" s="28"/>
      <c r="U38340" s="28"/>
    </row>
    <row r="38341">
      <c r="N38341" s="28"/>
      <c r="O38341" s="28"/>
      <c r="U38341" s="28"/>
    </row>
    <row r="38342">
      <c r="N38342" s="28"/>
      <c r="O38342" s="28"/>
      <c r="U38342" s="28"/>
    </row>
    <row r="38343">
      <c r="N38343" s="28"/>
      <c r="O38343" s="28"/>
      <c r="U38343" s="28"/>
    </row>
    <row r="38344">
      <c r="N38344" s="28"/>
      <c r="O38344" s="28"/>
      <c r="U38344" s="28"/>
    </row>
    <row r="38345">
      <c r="N38345" s="28"/>
      <c r="O38345" s="28"/>
      <c r="U38345" s="28"/>
    </row>
    <row r="38346">
      <c r="N38346" s="28"/>
      <c r="O38346" s="28"/>
      <c r="U38346" s="28"/>
    </row>
    <row r="38347">
      <c r="N38347" s="28"/>
      <c r="O38347" s="28"/>
      <c r="U38347" s="28"/>
    </row>
    <row r="38348">
      <c r="N38348" s="28"/>
      <c r="O38348" s="28"/>
      <c r="U38348" s="28"/>
    </row>
    <row r="38349">
      <c r="N38349" s="28"/>
      <c r="O38349" s="28"/>
      <c r="U38349" s="28"/>
    </row>
    <row r="38350">
      <c r="N38350" s="28"/>
      <c r="O38350" s="28"/>
      <c r="U38350" s="28"/>
    </row>
    <row r="38351">
      <c r="N38351" s="28"/>
      <c r="O38351" s="28"/>
      <c r="U38351" s="28"/>
    </row>
    <row r="38352">
      <c r="N38352" s="28"/>
      <c r="O38352" s="28"/>
      <c r="U38352" s="28"/>
    </row>
    <row r="38353">
      <c r="N38353" s="28"/>
      <c r="O38353" s="28"/>
      <c r="U38353" s="28"/>
    </row>
    <row r="38354">
      <c r="N38354" s="28"/>
      <c r="O38354" s="28"/>
      <c r="U38354" s="28"/>
    </row>
    <row r="38355">
      <c r="N38355" s="28"/>
      <c r="O38355" s="28"/>
      <c r="U38355" s="28"/>
    </row>
    <row r="38356">
      <c r="N38356" s="28"/>
      <c r="O38356" s="28"/>
      <c r="U38356" s="28"/>
    </row>
    <row r="38357">
      <c r="N38357" s="28"/>
      <c r="O38357" s="28"/>
      <c r="U38357" s="28"/>
    </row>
    <row r="38358">
      <c r="N38358" s="28"/>
      <c r="O38358" s="28"/>
      <c r="U38358" s="28"/>
    </row>
    <row r="38359">
      <c r="N38359" s="28"/>
      <c r="O38359" s="28"/>
      <c r="U38359" s="28"/>
    </row>
    <row r="38360">
      <c r="N38360" s="28"/>
      <c r="O38360" s="28"/>
      <c r="U38360" s="28"/>
    </row>
    <row r="38361">
      <c r="N38361" s="28"/>
      <c r="O38361" s="28"/>
      <c r="U38361" s="28"/>
    </row>
    <row r="38362">
      <c r="N38362" s="28"/>
      <c r="O38362" s="28"/>
      <c r="U38362" s="28"/>
    </row>
    <row r="38363">
      <c r="N38363" s="28"/>
      <c r="O38363" s="28"/>
      <c r="U38363" s="28"/>
    </row>
    <row r="38364">
      <c r="N38364" s="28"/>
      <c r="O38364" s="28"/>
      <c r="U38364" s="28"/>
    </row>
    <row r="38365">
      <c r="N38365" s="28"/>
      <c r="O38365" s="28"/>
      <c r="U38365" s="28"/>
    </row>
    <row r="38366">
      <c r="N38366" s="28"/>
      <c r="O38366" s="28"/>
      <c r="U38366" s="28"/>
    </row>
    <row r="38367">
      <c r="N38367" s="28"/>
      <c r="O38367" s="28"/>
      <c r="U38367" s="28"/>
    </row>
    <row r="38368">
      <c r="N38368" s="28"/>
      <c r="O38368" s="28"/>
      <c r="U38368" s="28"/>
    </row>
    <row r="38369">
      <c r="N38369" s="28"/>
      <c r="O38369" s="28"/>
      <c r="U38369" s="28"/>
    </row>
    <row r="38370">
      <c r="N38370" s="28"/>
      <c r="O38370" s="28"/>
      <c r="U38370" s="28"/>
    </row>
    <row r="38371">
      <c r="N38371" s="28"/>
      <c r="O38371" s="28"/>
      <c r="U38371" s="28"/>
    </row>
    <row r="38372">
      <c r="N38372" s="28"/>
      <c r="O38372" s="28"/>
      <c r="U38372" s="28"/>
    </row>
    <row r="38373">
      <c r="N38373" s="28"/>
      <c r="O38373" s="28"/>
      <c r="U38373" s="28"/>
    </row>
    <row r="38374">
      <c r="N38374" s="28"/>
      <c r="O38374" s="28"/>
      <c r="U38374" s="28"/>
    </row>
    <row r="38375">
      <c r="N38375" s="28"/>
      <c r="O38375" s="28"/>
      <c r="U38375" s="28"/>
    </row>
    <row r="38376">
      <c r="N38376" s="28"/>
      <c r="O38376" s="28"/>
      <c r="U38376" s="28"/>
    </row>
    <row r="38377">
      <c r="N38377" s="28"/>
      <c r="O38377" s="28"/>
      <c r="U38377" s="28"/>
    </row>
    <row r="38378">
      <c r="N38378" s="28"/>
      <c r="O38378" s="28"/>
      <c r="U38378" s="28"/>
    </row>
    <row r="38379">
      <c r="N38379" s="28"/>
      <c r="O38379" s="28"/>
      <c r="U38379" s="28"/>
    </row>
    <row r="38380">
      <c r="N38380" s="28"/>
      <c r="O38380" s="28"/>
      <c r="U38380" s="28"/>
    </row>
    <row r="38381">
      <c r="N38381" s="28"/>
      <c r="O38381" s="28"/>
      <c r="U38381" s="28"/>
    </row>
    <row r="38382">
      <c r="N38382" s="28"/>
      <c r="O38382" s="28"/>
      <c r="U38382" s="28"/>
    </row>
    <row r="38383">
      <c r="N38383" s="28"/>
      <c r="O38383" s="28"/>
      <c r="U38383" s="28"/>
    </row>
    <row r="38384">
      <c r="N38384" s="28"/>
      <c r="O38384" s="28"/>
      <c r="U38384" s="28"/>
    </row>
    <row r="38385">
      <c r="N38385" s="28"/>
      <c r="O38385" s="28"/>
      <c r="U38385" s="28"/>
    </row>
    <row r="38386">
      <c r="N38386" s="28"/>
      <c r="O38386" s="28"/>
      <c r="U38386" s="28"/>
    </row>
    <row r="38387">
      <c r="N38387" s="28"/>
      <c r="O38387" s="28"/>
      <c r="U38387" s="28"/>
    </row>
    <row r="38388">
      <c r="N38388" s="28"/>
      <c r="O38388" s="28"/>
      <c r="U38388" s="28"/>
    </row>
    <row r="38389">
      <c r="N38389" s="28"/>
      <c r="O38389" s="28"/>
      <c r="U38389" s="28"/>
    </row>
    <row r="38390">
      <c r="N38390" s="28"/>
      <c r="O38390" s="28"/>
      <c r="U38390" s="28"/>
    </row>
    <row r="38391">
      <c r="N38391" s="28"/>
      <c r="O38391" s="28"/>
      <c r="U38391" s="28"/>
    </row>
    <row r="38392">
      <c r="N38392" s="28"/>
      <c r="O38392" s="28"/>
      <c r="U38392" s="28"/>
    </row>
    <row r="38393">
      <c r="N38393" s="28"/>
      <c r="O38393" s="28"/>
      <c r="U38393" s="28"/>
    </row>
    <row r="38394">
      <c r="N38394" s="28"/>
      <c r="O38394" s="28"/>
      <c r="U38394" s="28"/>
    </row>
    <row r="38395">
      <c r="N38395" s="28"/>
      <c r="O38395" s="28"/>
      <c r="U38395" s="28"/>
    </row>
    <row r="38396">
      <c r="N38396" s="28"/>
      <c r="O38396" s="28"/>
      <c r="U38396" s="28"/>
    </row>
    <row r="38397">
      <c r="N38397" s="28"/>
      <c r="O38397" s="28"/>
      <c r="U38397" s="28"/>
    </row>
    <row r="38398">
      <c r="N38398" s="28"/>
      <c r="O38398" s="28"/>
      <c r="U38398" s="28"/>
    </row>
    <row r="38399">
      <c r="N38399" s="28"/>
      <c r="O38399" s="28"/>
      <c r="U38399" s="28"/>
    </row>
    <row r="38400">
      <c r="N38400" s="28"/>
      <c r="O38400" s="28"/>
      <c r="U38400" s="28"/>
    </row>
    <row r="38401">
      <c r="N38401" s="28"/>
      <c r="O38401" s="28"/>
      <c r="U38401" s="28"/>
    </row>
    <row r="38402">
      <c r="N38402" s="28"/>
      <c r="O38402" s="28"/>
      <c r="U38402" s="28"/>
    </row>
    <row r="38403">
      <c r="N38403" s="28"/>
      <c r="O38403" s="28"/>
      <c r="U38403" s="28"/>
    </row>
    <row r="38404">
      <c r="N38404" s="28"/>
      <c r="O38404" s="28"/>
      <c r="U38404" s="28"/>
    </row>
    <row r="38405">
      <c r="N38405" s="28"/>
      <c r="O38405" s="28"/>
      <c r="U38405" s="28"/>
    </row>
    <row r="38406">
      <c r="N38406" s="28"/>
      <c r="O38406" s="28"/>
      <c r="U38406" s="28"/>
    </row>
    <row r="38407">
      <c r="N38407" s="28"/>
      <c r="O38407" s="28"/>
      <c r="U38407" s="28"/>
    </row>
    <row r="38408">
      <c r="N38408" s="28"/>
      <c r="O38408" s="28"/>
      <c r="U38408" s="28"/>
    </row>
    <row r="38409">
      <c r="N38409" s="28"/>
      <c r="O38409" s="28"/>
      <c r="U38409" s="28"/>
    </row>
    <row r="38410">
      <c r="N38410" s="28"/>
      <c r="O38410" s="28"/>
      <c r="U38410" s="28"/>
    </row>
    <row r="38411">
      <c r="N38411" s="28"/>
      <c r="O38411" s="28"/>
      <c r="U38411" s="28"/>
    </row>
    <row r="38412">
      <c r="N38412" s="28"/>
      <c r="O38412" s="28"/>
      <c r="U38412" s="28"/>
    </row>
    <row r="38413">
      <c r="N38413" s="28"/>
      <c r="O38413" s="28"/>
      <c r="U38413" s="28"/>
    </row>
    <row r="38414">
      <c r="N38414" s="28"/>
      <c r="O38414" s="28"/>
      <c r="U38414" s="28"/>
    </row>
    <row r="38415">
      <c r="N38415" s="28"/>
      <c r="O38415" s="28"/>
      <c r="U38415" s="28"/>
    </row>
    <row r="38416">
      <c r="N38416" s="28"/>
      <c r="O38416" s="28"/>
      <c r="U38416" s="28"/>
    </row>
    <row r="38417">
      <c r="N38417" s="28"/>
      <c r="O38417" s="28"/>
      <c r="U38417" s="28"/>
    </row>
    <row r="38418">
      <c r="N38418" s="28"/>
      <c r="O38418" s="28"/>
      <c r="U38418" s="28"/>
    </row>
    <row r="38419">
      <c r="N38419" s="28"/>
      <c r="O38419" s="28"/>
      <c r="U38419" s="28"/>
    </row>
    <row r="38420">
      <c r="N38420" s="28"/>
      <c r="O38420" s="28"/>
      <c r="U38420" s="28"/>
    </row>
    <row r="38421">
      <c r="N38421" s="28"/>
      <c r="O38421" s="28"/>
      <c r="U38421" s="28"/>
    </row>
    <row r="38422">
      <c r="N38422" s="28"/>
      <c r="O38422" s="28"/>
      <c r="U38422" s="28"/>
    </row>
    <row r="38423">
      <c r="N38423" s="28"/>
      <c r="O38423" s="28"/>
      <c r="U38423" s="28"/>
    </row>
    <row r="38424">
      <c r="N38424" s="28"/>
      <c r="O38424" s="28"/>
      <c r="U38424" s="28"/>
    </row>
    <row r="38425">
      <c r="N38425" s="28"/>
      <c r="O38425" s="28"/>
      <c r="U38425" s="28"/>
    </row>
    <row r="38426">
      <c r="N38426" s="28"/>
      <c r="O38426" s="28"/>
      <c r="U38426" s="28"/>
    </row>
    <row r="38427">
      <c r="N38427" s="28"/>
      <c r="O38427" s="28"/>
      <c r="U38427" s="28"/>
    </row>
    <row r="38428">
      <c r="N38428" s="28"/>
      <c r="O38428" s="28"/>
      <c r="U38428" s="28"/>
    </row>
    <row r="38429">
      <c r="N38429" s="28"/>
      <c r="O38429" s="28"/>
      <c r="U38429" s="28"/>
    </row>
    <row r="38430">
      <c r="N38430" s="28"/>
      <c r="O38430" s="28"/>
      <c r="U38430" s="28"/>
    </row>
    <row r="38431">
      <c r="N38431" s="28"/>
      <c r="O38431" s="28"/>
      <c r="U38431" s="28"/>
    </row>
    <row r="38432">
      <c r="N38432" s="28"/>
      <c r="O38432" s="28"/>
      <c r="U38432" s="28"/>
    </row>
    <row r="38433">
      <c r="N38433" s="28"/>
      <c r="O38433" s="28"/>
      <c r="U38433" s="28"/>
    </row>
    <row r="38434">
      <c r="N38434" s="28"/>
      <c r="O38434" s="28"/>
      <c r="U38434" s="28"/>
    </row>
    <row r="38435">
      <c r="N38435" s="28"/>
      <c r="O38435" s="28"/>
      <c r="U38435" s="28"/>
    </row>
    <row r="38436">
      <c r="N38436" s="28"/>
      <c r="O38436" s="28"/>
      <c r="U38436" s="28"/>
    </row>
    <row r="38437">
      <c r="N38437" s="28"/>
      <c r="O38437" s="28"/>
      <c r="U38437" s="28"/>
    </row>
    <row r="38438">
      <c r="N38438" s="28"/>
      <c r="O38438" s="28"/>
      <c r="U38438" s="28"/>
    </row>
    <row r="38439">
      <c r="N38439" s="28"/>
      <c r="O38439" s="28"/>
      <c r="U38439" s="28"/>
    </row>
    <row r="38440">
      <c r="N38440" s="28"/>
      <c r="O38440" s="28"/>
      <c r="U38440" s="28"/>
    </row>
    <row r="38441">
      <c r="N38441" s="28"/>
      <c r="O38441" s="28"/>
      <c r="U38441" s="28"/>
    </row>
    <row r="38442">
      <c r="N38442" s="28"/>
      <c r="O38442" s="28"/>
      <c r="U38442" s="28"/>
    </row>
    <row r="38443">
      <c r="N38443" s="28"/>
      <c r="O38443" s="28"/>
      <c r="U38443" s="28"/>
    </row>
    <row r="38444">
      <c r="N38444" s="28"/>
      <c r="O38444" s="28"/>
      <c r="U38444" s="28"/>
    </row>
    <row r="38445">
      <c r="N38445" s="28"/>
      <c r="O38445" s="28"/>
      <c r="U38445" s="28"/>
    </row>
    <row r="38446">
      <c r="N38446" s="28"/>
      <c r="O38446" s="28"/>
      <c r="U38446" s="28"/>
    </row>
    <row r="38447">
      <c r="N38447" s="28"/>
      <c r="O38447" s="28"/>
      <c r="U38447" s="28"/>
    </row>
    <row r="38448">
      <c r="N38448" s="28"/>
      <c r="O38448" s="28"/>
      <c r="U38448" s="28"/>
    </row>
    <row r="38449">
      <c r="N38449" s="28"/>
      <c r="O38449" s="28"/>
      <c r="U38449" s="28"/>
    </row>
    <row r="38450">
      <c r="N38450" s="28"/>
      <c r="O38450" s="28"/>
      <c r="U38450" s="28"/>
    </row>
    <row r="38451">
      <c r="N38451" s="28"/>
      <c r="O38451" s="28"/>
      <c r="U38451" s="28"/>
    </row>
    <row r="38452">
      <c r="N38452" s="28"/>
      <c r="O38452" s="28"/>
      <c r="U38452" s="28"/>
    </row>
    <row r="38453">
      <c r="N38453" s="28"/>
      <c r="O38453" s="28"/>
      <c r="U38453" s="28"/>
    </row>
    <row r="38454">
      <c r="N38454" s="28"/>
      <c r="O38454" s="28"/>
      <c r="U38454" s="28"/>
    </row>
    <row r="38455">
      <c r="N38455" s="28"/>
      <c r="O38455" s="28"/>
      <c r="U38455" s="28"/>
    </row>
    <row r="38456">
      <c r="N38456" s="28"/>
      <c r="O38456" s="28"/>
      <c r="U38456" s="28"/>
    </row>
    <row r="38457">
      <c r="N38457" s="28"/>
      <c r="O38457" s="28"/>
      <c r="U38457" s="28"/>
    </row>
    <row r="38458">
      <c r="N38458" s="28"/>
      <c r="O38458" s="28"/>
      <c r="U38458" s="28"/>
    </row>
    <row r="38459">
      <c r="N38459" s="28"/>
      <c r="O38459" s="28"/>
      <c r="U38459" s="28"/>
    </row>
    <row r="38460">
      <c r="N38460" s="28"/>
      <c r="O38460" s="28"/>
      <c r="U38460" s="28"/>
    </row>
    <row r="38461">
      <c r="N38461" s="28"/>
      <c r="O38461" s="28"/>
      <c r="U38461" s="28"/>
    </row>
    <row r="38462">
      <c r="N38462" s="28"/>
      <c r="O38462" s="28"/>
      <c r="U38462" s="28"/>
    </row>
    <row r="38463">
      <c r="N38463" s="28"/>
      <c r="O38463" s="28"/>
      <c r="U38463" s="28"/>
    </row>
    <row r="38464">
      <c r="N38464" s="28"/>
      <c r="O38464" s="28"/>
      <c r="U38464" s="28"/>
    </row>
    <row r="38465">
      <c r="N38465" s="28"/>
      <c r="O38465" s="28"/>
      <c r="U38465" s="28"/>
    </row>
    <row r="38466">
      <c r="N38466" s="28"/>
      <c r="O38466" s="28"/>
      <c r="U38466" s="28"/>
    </row>
    <row r="38467">
      <c r="N38467" s="28"/>
      <c r="O38467" s="28"/>
      <c r="U38467" s="28"/>
    </row>
    <row r="38468">
      <c r="N38468" s="28"/>
      <c r="O38468" s="28"/>
      <c r="U38468" s="28"/>
    </row>
    <row r="38469">
      <c r="N38469" s="28"/>
      <c r="O38469" s="28"/>
      <c r="U38469" s="28"/>
    </row>
    <row r="38470">
      <c r="N38470" s="28"/>
      <c r="O38470" s="28"/>
      <c r="U38470" s="28"/>
    </row>
    <row r="38471">
      <c r="N38471" s="28"/>
      <c r="O38471" s="28"/>
      <c r="U38471" s="28"/>
    </row>
    <row r="38472">
      <c r="N38472" s="28"/>
      <c r="O38472" s="28"/>
      <c r="U38472" s="28"/>
    </row>
    <row r="38473">
      <c r="N38473" s="28"/>
      <c r="O38473" s="28"/>
      <c r="U38473" s="28"/>
    </row>
    <row r="38474">
      <c r="N38474" s="28"/>
      <c r="O38474" s="28"/>
      <c r="U38474" s="28"/>
    </row>
    <row r="38475">
      <c r="N38475" s="28"/>
      <c r="O38475" s="28"/>
      <c r="U38475" s="28"/>
    </row>
    <row r="38476">
      <c r="N38476" s="28"/>
      <c r="O38476" s="28"/>
      <c r="U38476" s="28"/>
    </row>
    <row r="38477">
      <c r="N38477" s="28"/>
      <c r="O38477" s="28"/>
      <c r="U38477" s="28"/>
    </row>
    <row r="38478">
      <c r="N38478" s="28"/>
      <c r="O38478" s="28"/>
      <c r="U38478" s="28"/>
    </row>
    <row r="38479">
      <c r="N38479" s="28"/>
      <c r="O38479" s="28"/>
      <c r="U38479" s="28"/>
    </row>
    <row r="38480">
      <c r="N38480" s="28"/>
      <c r="O38480" s="28"/>
      <c r="U38480" s="28"/>
    </row>
    <row r="38481">
      <c r="N38481" s="28"/>
      <c r="O38481" s="28"/>
      <c r="U38481" s="28"/>
    </row>
    <row r="38482">
      <c r="N38482" s="28"/>
      <c r="O38482" s="28"/>
      <c r="U38482" s="28"/>
    </row>
    <row r="38483">
      <c r="N38483" s="28"/>
      <c r="O38483" s="28"/>
      <c r="U38483" s="28"/>
    </row>
    <row r="38484">
      <c r="N38484" s="28"/>
      <c r="O38484" s="28"/>
      <c r="U38484" s="28"/>
    </row>
    <row r="38485">
      <c r="N38485" s="28"/>
      <c r="O38485" s="28"/>
      <c r="U38485" s="28"/>
    </row>
    <row r="38486">
      <c r="N38486" s="28"/>
      <c r="O38486" s="28"/>
      <c r="U38486" s="28"/>
    </row>
    <row r="38487">
      <c r="N38487" s="28"/>
      <c r="O38487" s="28"/>
      <c r="U38487" s="28"/>
    </row>
    <row r="38488">
      <c r="N38488" s="28"/>
      <c r="O38488" s="28"/>
      <c r="U38488" s="28"/>
    </row>
    <row r="38489">
      <c r="N38489" s="28"/>
      <c r="O38489" s="28"/>
      <c r="U38489" s="28"/>
    </row>
    <row r="38490">
      <c r="N38490" s="28"/>
      <c r="O38490" s="28"/>
      <c r="U38490" s="28"/>
    </row>
    <row r="38491">
      <c r="N38491" s="28"/>
      <c r="O38491" s="28"/>
      <c r="U38491" s="28"/>
    </row>
    <row r="38492">
      <c r="N38492" s="28"/>
      <c r="O38492" s="28"/>
      <c r="U38492" s="28"/>
    </row>
    <row r="38493">
      <c r="N38493" s="28"/>
      <c r="O38493" s="28"/>
      <c r="U38493" s="28"/>
    </row>
    <row r="38494">
      <c r="N38494" s="28"/>
      <c r="O38494" s="28"/>
      <c r="U38494" s="28"/>
    </row>
    <row r="38495">
      <c r="N38495" s="28"/>
      <c r="O38495" s="28"/>
      <c r="U38495" s="28"/>
    </row>
    <row r="38496">
      <c r="N38496" s="28"/>
      <c r="O38496" s="28"/>
      <c r="U38496" s="28"/>
    </row>
    <row r="38497">
      <c r="N38497" s="28"/>
      <c r="O38497" s="28"/>
      <c r="U38497" s="28"/>
    </row>
    <row r="38498">
      <c r="N38498" s="28"/>
      <c r="O38498" s="28"/>
      <c r="U38498" s="28"/>
    </row>
    <row r="38499">
      <c r="N38499" s="28"/>
      <c r="O38499" s="28"/>
      <c r="U38499" s="28"/>
    </row>
    <row r="38500">
      <c r="N38500" s="28"/>
      <c r="O38500" s="28"/>
      <c r="U38500" s="28"/>
    </row>
    <row r="38501">
      <c r="N38501" s="28"/>
      <c r="O38501" s="28"/>
      <c r="U38501" s="28"/>
    </row>
    <row r="38502">
      <c r="N38502" s="28"/>
      <c r="O38502" s="28"/>
      <c r="U38502" s="28"/>
    </row>
    <row r="38503">
      <c r="N38503" s="28"/>
      <c r="O38503" s="28"/>
      <c r="U38503" s="28"/>
    </row>
    <row r="38504">
      <c r="N38504" s="28"/>
      <c r="O38504" s="28"/>
      <c r="U38504" s="28"/>
    </row>
    <row r="38505">
      <c r="N38505" s="28"/>
      <c r="O38505" s="28"/>
      <c r="U38505" s="28"/>
    </row>
    <row r="38506">
      <c r="N38506" s="28"/>
      <c r="O38506" s="28"/>
      <c r="U38506" s="28"/>
    </row>
    <row r="38507">
      <c r="N38507" s="28"/>
      <c r="O38507" s="28"/>
      <c r="U38507" s="28"/>
    </row>
    <row r="38508">
      <c r="N38508" s="28"/>
      <c r="O38508" s="28"/>
      <c r="U38508" s="28"/>
    </row>
    <row r="38509">
      <c r="N38509" s="28"/>
      <c r="O38509" s="28"/>
      <c r="U38509" s="28"/>
    </row>
    <row r="38510">
      <c r="N38510" s="28"/>
      <c r="O38510" s="28"/>
      <c r="U38510" s="28"/>
    </row>
    <row r="38511">
      <c r="N38511" s="28"/>
      <c r="O38511" s="28"/>
      <c r="U38511" s="28"/>
    </row>
    <row r="38512">
      <c r="N38512" s="28"/>
      <c r="O38512" s="28"/>
      <c r="U38512" s="28"/>
    </row>
    <row r="38513">
      <c r="N38513" s="28"/>
      <c r="O38513" s="28"/>
      <c r="U38513" s="28"/>
    </row>
    <row r="38514">
      <c r="N38514" s="28"/>
      <c r="O38514" s="28"/>
      <c r="U38514" s="28"/>
    </row>
    <row r="38515">
      <c r="N38515" s="28"/>
      <c r="O38515" s="28"/>
      <c r="U38515" s="28"/>
    </row>
    <row r="38516">
      <c r="N38516" s="28"/>
      <c r="O38516" s="28"/>
      <c r="U38516" s="28"/>
    </row>
    <row r="38517">
      <c r="N38517" s="28"/>
      <c r="O38517" s="28"/>
      <c r="U38517" s="28"/>
    </row>
    <row r="38518">
      <c r="N38518" s="28"/>
      <c r="O38518" s="28"/>
      <c r="U38518" s="28"/>
    </row>
    <row r="38519">
      <c r="N38519" s="28"/>
      <c r="O38519" s="28"/>
      <c r="U38519" s="28"/>
    </row>
    <row r="38520">
      <c r="N38520" s="28"/>
      <c r="O38520" s="28"/>
      <c r="U38520" s="28"/>
    </row>
    <row r="38521">
      <c r="N38521" s="28"/>
      <c r="O38521" s="28"/>
      <c r="U38521" s="28"/>
    </row>
    <row r="38522">
      <c r="N38522" s="28"/>
      <c r="O38522" s="28"/>
      <c r="U38522" s="28"/>
    </row>
    <row r="38523">
      <c r="N38523" s="28"/>
      <c r="O38523" s="28"/>
      <c r="U38523" s="28"/>
    </row>
    <row r="38524">
      <c r="N38524" s="28"/>
      <c r="O38524" s="28"/>
      <c r="U38524" s="28"/>
    </row>
    <row r="38525">
      <c r="N38525" s="28"/>
      <c r="O38525" s="28"/>
      <c r="U38525" s="28"/>
    </row>
    <row r="38526">
      <c r="N38526" s="28"/>
      <c r="O38526" s="28"/>
      <c r="U38526" s="28"/>
    </row>
    <row r="38527">
      <c r="N38527" s="28"/>
      <c r="O38527" s="28"/>
      <c r="U38527" s="28"/>
    </row>
    <row r="38528">
      <c r="N38528" s="28"/>
      <c r="O38528" s="28"/>
      <c r="U38528" s="28"/>
    </row>
    <row r="38529">
      <c r="N38529" s="28"/>
      <c r="O38529" s="28"/>
      <c r="U38529" s="28"/>
    </row>
    <row r="38530">
      <c r="N38530" s="28"/>
      <c r="O38530" s="28"/>
      <c r="U38530" s="28"/>
    </row>
    <row r="38531">
      <c r="N38531" s="28"/>
      <c r="O38531" s="28"/>
      <c r="U38531" s="28"/>
    </row>
    <row r="38532">
      <c r="N38532" s="28"/>
      <c r="O38532" s="28"/>
      <c r="U38532" s="28"/>
    </row>
    <row r="38533">
      <c r="N38533" s="28"/>
      <c r="O38533" s="28"/>
      <c r="U38533" s="28"/>
    </row>
    <row r="38534">
      <c r="N38534" s="28"/>
      <c r="O38534" s="28"/>
      <c r="U38534" s="28"/>
    </row>
    <row r="38535">
      <c r="N38535" s="28"/>
      <c r="O38535" s="28"/>
      <c r="U38535" s="28"/>
    </row>
    <row r="38536">
      <c r="N38536" s="28"/>
      <c r="O38536" s="28"/>
      <c r="U38536" s="28"/>
    </row>
    <row r="38537">
      <c r="N38537" s="28"/>
      <c r="O38537" s="28"/>
      <c r="U38537" s="28"/>
    </row>
    <row r="38538">
      <c r="N38538" s="28"/>
      <c r="O38538" s="28"/>
      <c r="U38538" s="28"/>
    </row>
    <row r="38539">
      <c r="N38539" s="28"/>
      <c r="O38539" s="28"/>
      <c r="U38539" s="28"/>
    </row>
    <row r="38540">
      <c r="N38540" s="28"/>
      <c r="O38540" s="28"/>
      <c r="U38540" s="28"/>
    </row>
    <row r="38541">
      <c r="N38541" s="28"/>
      <c r="O38541" s="28"/>
      <c r="U38541" s="28"/>
    </row>
    <row r="38542">
      <c r="N38542" s="28"/>
      <c r="O38542" s="28"/>
      <c r="U38542" s="28"/>
    </row>
    <row r="38543">
      <c r="N38543" s="28"/>
      <c r="O38543" s="28"/>
      <c r="U38543" s="28"/>
    </row>
    <row r="38544">
      <c r="N38544" s="28"/>
      <c r="O38544" s="28"/>
      <c r="U38544" s="28"/>
    </row>
    <row r="38545">
      <c r="N38545" s="28"/>
      <c r="O38545" s="28"/>
      <c r="U38545" s="28"/>
    </row>
    <row r="38546">
      <c r="N38546" s="28"/>
      <c r="O38546" s="28"/>
      <c r="U38546" s="28"/>
    </row>
    <row r="38547">
      <c r="N38547" s="28"/>
      <c r="O38547" s="28"/>
      <c r="U38547" s="28"/>
    </row>
    <row r="38548">
      <c r="N38548" s="28"/>
      <c r="O38548" s="28"/>
      <c r="U38548" s="28"/>
    </row>
    <row r="38549">
      <c r="N38549" s="28"/>
      <c r="O38549" s="28"/>
      <c r="U38549" s="28"/>
    </row>
    <row r="38550">
      <c r="N38550" s="28"/>
      <c r="O38550" s="28"/>
      <c r="U38550" s="28"/>
    </row>
    <row r="38551">
      <c r="N38551" s="28"/>
      <c r="O38551" s="28"/>
      <c r="U38551" s="28"/>
    </row>
    <row r="38552">
      <c r="N38552" s="28"/>
      <c r="O38552" s="28"/>
      <c r="U38552" s="28"/>
    </row>
    <row r="38553">
      <c r="N38553" s="28"/>
      <c r="O38553" s="28"/>
      <c r="U38553" s="28"/>
    </row>
    <row r="38554">
      <c r="N38554" s="28"/>
      <c r="O38554" s="28"/>
      <c r="U38554" s="28"/>
    </row>
    <row r="38555">
      <c r="N38555" s="28"/>
      <c r="O38555" s="28"/>
      <c r="U38555" s="28"/>
    </row>
    <row r="38556">
      <c r="N38556" s="28"/>
      <c r="O38556" s="28"/>
      <c r="U38556" s="28"/>
    </row>
    <row r="38557">
      <c r="N38557" s="28"/>
      <c r="O38557" s="28"/>
      <c r="U38557" s="28"/>
    </row>
    <row r="38558">
      <c r="N38558" s="28"/>
      <c r="O38558" s="28"/>
      <c r="U38558" s="28"/>
    </row>
    <row r="38559">
      <c r="N38559" s="28"/>
      <c r="O38559" s="28"/>
      <c r="U38559" s="28"/>
    </row>
    <row r="38560">
      <c r="N38560" s="28"/>
      <c r="O38560" s="28"/>
      <c r="U38560" s="28"/>
    </row>
    <row r="38561">
      <c r="N38561" s="28"/>
      <c r="O38561" s="28"/>
      <c r="U38561" s="28"/>
    </row>
    <row r="38562">
      <c r="N38562" s="28"/>
      <c r="O38562" s="28"/>
      <c r="U38562" s="28"/>
    </row>
    <row r="38563">
      <c r="N38563" s="28"/>
      <c r="O38563" s="28"/>
      <c r="U38563" s="28"/>
    </row>
    <row r="38564">
      <c r="N38564" s="28"/>
      <c r="O38564" s="28"/>
      <c r="U38564" s="28"/>
    </row>
    <row r="38565">
      <c r="N38565" s="28"/>
      <c r="O38565" s="28"/>
      <c r="U38565" s="28"/>
    </row>
    <row r="38566">
      <c r="N38566" s="28"/>
      <c r="O38566" s="28"/>
      <c r="U38566" s="28"/>
    </row>
    <row r="38567">
      <c r="N38567" s="28"/>
      <c r="O38567" s="28"/>
      <c r="U38567" s="28"/>
    </row>
    <row r="38568">
      <c r="N38568" s="28"/>
      <c r="O38568" s="28"/>
      <c r="U38568" s="28"/>
    </row>
    <row r="38569">
      <c r="N38569" s="28"/>
      <c r="O38569" s="28"/>
      <c r="U38569" s="28"/>
    </row>
    <row r="38570">
      <c r="N38570" s="28"/>
      <c r="O38570" s="28"/>
      <c r="U38570" s="28"/>
    </row>
    <row r="38571">
      <c r="N38571" s="28"/>
      <c r="O38571" s="28"/>
      <c r="U38571" s="28"/>
    </row>
    <row r="38572">
      <c r="N38572" s="28"/>
      <c r="O38572" s="28"/>
      <c r="U38572" s="28"/>
    </row>
    <row r="38573">
      <c r="N38573" s="28"/>
      <c r="O38573" s="28"/>
      <c r="U38573" s="28"/>
    </row>
    <row r="38574">
      <c r="N38574" s="28"/>
      <c r="O38574" s="28"/>
      <c r="U38574" s="28"/>
    </row>
    <row r="38575">
      <c r="N38575" s="28"/>
      <c r="O38575" s="28"/>
      <c r="U38575" s="28"/>
    </row>
    <row r="38576">
      <c r="N38576" s="28"/>
      <c r="O38576" s="28"/>
      <c r="U38576" s="28"/>
    </row>
    <row r="38577">
      <c r="N38577" s="28"/>
      <c r="O38577" s="28"/>
      <c r="U38577" s="28"/>
    </row>
    <row r="38578">
      <c r="N38578" s="28"/>
      <c r="O38578" s="28"/>
      <c r="U38578" s="28"/>
    </row>
    <row r="38579">
      <c r="N38579" s="28"/>
      <c r="O38579" s="28"/>
      <c r="U38579" s="28"/>
    </row>
    <row r="38580">
      <c r="N38580" s="28"/>
      <c r="O38580" s="28"/>
      <c r="U38580" s="28"/>
    </row>
    <row r="38581">
      <c r="N38581" s="28"/>
      <c r="O38581" s="28"/>
      <c r="U38581" s="28"/>
    </row>
    <row r="38582">
      <c r="N38582" s="28"/>
      <c r="O38582" s="28"/>
      <c r="U38582" s="28"/>
    </row>
    <row r="38583">
      <c r="N38583" s="28"/>
      <c r="O38583" s="28"/>
      <c r="U38583" s="28"/>
    </row>
    <row r="38584">
      <c r="N38584" s="28"/>
      <c r="O38584" s="28"/>
      <c r="U38584" s="28"/>
    </row>
    <row r="38585">
      <c r="N38585" s="28"/>
      <c r="O38585" s="28"/>
      <c r="U38585" s="28"/>
    </row>
    <row r="38586">
      <c r="N38586" s="28"/>
      <c r="O38586" s="28"/>
      <c r="U38586" s="28"/>
    </row>
    <row r="38587">
      <c r="N38587" s="28"/>
      <c r="O38587" s="28"/>
      <c r="U38587" s="28"/>
    </row>
    <row r="38588">
      <c r="N38588" s="28"/>
      <c r="O38588" s="28"/>
      <c r="U38588" s="28"/>
    </row>
    <row r="38589">
      <c r="N38589" s="28"/>
      <c r="O38589" s="28"/>
      <c r="U38589" s="28"/>
    </row>
    <row r="38590">
      <c r="N38590" s="28"/>
      <c r="O38590" s="28"/>
      <c r="U38590" s="28"/>
    </row>
    <row r="38591">
      <c r="N38591" s="28"/>
      <c r="O38591" s="28"/>
      <c r="U38591" s="28"/>
    </row>
    <row r="38592">
      <c r="N38592" s="28"/>
      <c r="O38592" s="28"/>
      <c r="U38592" s="28"/>
    </row>
    <row r="38593">
      <c r="N38593" s="28"/>
      <c r="O38593" s="28"/>
      <c r="U38593" s="28"/>
    </row>
    <row r="38594">
      <c r="N38594" s="28"/>
      <c r="O38594" s="28"/>
      <c r="U38594" s="28"/>
    </row>
    <row r="38595">
      <c r="N38595" s="28"/>
      <c r="O38595" s="28"/>
      <c r="U38595" s="28"/>
    </row>
    <row r="38596">
      <c r="N38596" s="28"/>
      <c r="O38596" s="28"/>
      <c r="U38596" s="28"/>
    </row>
    <row r="38597">
      <c r="N38597" s="28"/>
      <c r="O38597" s="28"/>
      <c r="U38597" s="28"/>
    </row>
    <row r="38598">
      <c r="N38598" s="28"/>
      <c r="O38598" s="28"/>
      <c r="U38598" s="28"/>
    </row>
    <row r="38599">
      <c r="N38599" s="28"/>
      <c r="O38599" s="28"/>
      <c r="U38599" s="28"/>
    </row>
    <row r="38600">
      <c r="N38600" s="28"/>
      <c r="O38600" s="28"/>
      <c r="U38600" s="28"/>
    </row>
    <row r="38601">
      <c r="N38601" s="28"/>
      <c r="O38601" s="28"/>
      <c r="U38601" s="28"/>
    </row>
    <row r="38602">
      <c r="N38602" s="28"/>
      <c r="O38602" s="28"/>
      <c r="U38602" s="28"/>
    </row>
    <row r="38603">
      <c r="N38603" s="28"/>
      <c r="O38603" s="28"/>
      <c r="U38603" s="28"/>
    </row>
    <row r="38604">
      <c r="N38604" s="28"/>
      <c r="O38604" s="28"/>
      <c r="U38604" s="28"/>
    </row>
    <row r="38605">
      <c r="N38605" s="28"/>
      <c r="O38605" s="28"/>
      <c r="U38605" s="28"/>
    </row>
    <row r="38606">
      <c r="N38606" s="28"/>
      <c r="O38606" s="28"/>
      <c r="U38606" s="28"/>
    </row>
    <row r="38607">
      <c r="N38607" s="28"/>
      <c r="O38607" s="28"/>
      <c r="U38607" s="28"/>
    </row>
    <row r="38608">
      <c r="N38608" s="28"/>
      <c r="O38608" s="28"/>
      <c r="U38608" s="28"/>
    </row>
    <row r="38609">
      <c r="N38609" s="28"/>
      <c r="O38609" s="28"/>
      <c r="U38609" s="28"/>
    </row>
    <row r="38610">
      <c r="N38610" s="28"/>
      <c r="O38610" s="28"/>
      <c r="U38610" s="28"/>
    </row>
    <row r="38611">
      <c r="N38611" s="28"/>
      <c r="O38611" s="28"/>
      <c r="U38611" s="28"/>
    </row>
    <row r="38612">
      <c r="N38612" s="28"/>
      <c r="O38612" s="28"/>
      <c r="U38612" s="28"/>
    </row>
    <row r="38613">
      <c r="N38613" s="28"/>
      <c r="O38613" s="28"/>
      <c r="U38613" s="28"/>
    </row>
    <row r="38614">
      <c r="N38614" s="28"/>
      <c r="O38614" s="28"/>
      <c r="U38614" s="28"/>
    </row>
    <row r="38615">
      <c r="N38615" s="28"/>
      <c r="O38615" s="28"/>
      <c r="U38615" s="28"/>
    </row>
    <row r="38616">
      <c r="N38616" s="28"/>
      <c r="O38616" s="28"/>
      <c r="U38616" s="28"/>
    </row>
    <row r="38617">
      <c r="N38617" s="28"/>
      <c r="O38617" s="28"/>
      <c r="U38617" s="28"/>
    </row>
    <row r="38618">
      <c r="N38618" s="28"/>
      <c r="O38618" s="28"/>
      <c r="U38618" s="28"/>
    </row>
    <row r="38619">
      <c r="N38619" s="28"/>
      <c r="O38619" s="28"/>
      <c r="U38619" s="28"/>
    </row>
    <row r="38620">
      <c r="N38620" s="28"/>
      <c r="O38620" s="28"/>
      <c r="U38620" s="28"/>
    </row>
    <row r="38621">
      <c r="N38621" s="28"/>
      <c r="O38621" s="28"/>
      <c r="U38621" s="28"/>
    </row>
    <row r="38622">
      <c r="N38622" s="28"/>
      <c r="O38622" s="28"/>
      <c r="U38622" s="28"/>
    </row>
    <row r="38623">
      <c r="N38623" s="28"/>
      <c r="O38623" s="28"/>
      <c r="U38623" s="28"/>
    </row>
    <row r="38624">
      <c r="N38624" s="28"/>
      <c r="O38624" s="28"/>
      <c r="U38624" s="28"/>
    </row>
    <row r="38625">
      <c r="N38625" s="28"/>
      <c r="O38625" s="28"/>
      <c r="U38625" s="28"/>
    </row>
    <row r="38626">
      <c r="N38626" s="28"/>
      <c r="O38626" s="28"/>
      <c r="U38626" s="28"/>
    </row>
    <row r="38627">
      <c r="N38627" s="28"/>
      <c r="O38627" s="28"/>
      <c r="U38627" s="28"/>
    </row>
    <row r="38628">
      <c r="N38628" s="28"/>
      <c r="O38628" s="28"/>
      <c r="U38628" s="28"/>
    </row>
    <row r="38629">
      <c r="N38629" s="28"/>
      <c r="O38629" s="28"/>
      <c r="U38629" s="28"/>
    </row>
    <row r="38630">
      <c r="N38630" s="28"/>
      <c r="O38630" s="28"/>
      <c r="U38630" s="28"/>
    </row>
    <row r="38631">
      <c r="N38631" s="28"/>
      <c r="O38631" s="28"/>
      <c r="U38631" s="28"/>
    </row>
    <row r="38632">
      <c r="N38632" s="28"/>
      <c r="O38632" s="28"/>
      <c r="U38632" s="28"/>
    </row>
    <row r="38633">
      <c r="N38633" s="28"/>
      <c r="O38633" s="28"/>
      <c r="U38633" s="28"/>
    </row>
    <row r="38634">
      <c r="N38634" s="28"/>
      <c r="O38634" s="28"/>
      <c r="U38634" s="28"/>
    </row>
    <row r="38635">
      <c r="N38635" s="28"/>
      <c r="O38635" s="28"/>
      <c r="U38635" s="28"/>
    </row>
    <row r="38636">
      <c r="N38636" s="28"/>
      <c r="O38636" s="28"/>
      <c r="U38636" s="28"/>
    </row>
    <row r="38637">
      <c r="N38637" s="28"/>
      <c r="O38637" s="28"/>
      <c r="U38637" s="28"/>
    </row>
    <row r="38638">
      <c r="N38638" s="28"/>
      <c r="O38638" s="28"/>
      <c r="U38638" s="28"/>
    </row>
    <row r="38639">
      <c r="N38639" s="28"/>
      <c r="O38639" s="28"/>
      <c r="U38639" s="28"/>
    </row>
    <row r="38640">
      <c r="N38640" s="28"/>
      <c r="O38640" s="28"/>
      <c r="U38640" s="28"/>
    </row>
    <row r="38641">
      <c r="N38641" s="28"/>
      <c r="O38641" s="28"/>
      <c r="U38641" s="28"/>
    </row>
    <row r="38642">
      <c r="N38642" s="28"/>
      <c r="O38642" s="28"/>
      <c r="U38642" s="28"/>
    </row>
    <row r="38643">
      <c r="N38643" s="28"/>
      <c r="O38643" s="28"/>
      <c r="U38643" s="28"/>
    </row>
    <row r="38644">
      <c r="N38644" s="28"/>
      <c r="O38644" s="28"/>
      <c r="U38644" s="28"/>
    </row>
    <row r="38645">
      <c r="N38645" s="28"/>
      <c r="O38645" s="28"/>
      <c r="U38645" s="28"/>
    </row>
    <row r="38646">
      <c r="N38646" s="28"/>
      <c r="O38646" s="28"/>
      <c r="U38646" s="28"/>
    </row>
    <row r="38647">
      <c r="N38647" s="28"/>
      <c r="O38647" s="28"/>
      <c r="U38647" s="28"/>
    </row>
    <row r="38648">
      <c r="N38648" s="28"/>
      <c r="O38648" s="28"/>
      <c r="U38648" s="28"/>
    </row>
    <row r="38649">
      <c r="N38649" s="28"/>
      <c r="O38649" s="28"/>
      <c r="U38649" s="28"/>
    </row>
    <row r="38650">
      <c r="N38650" s="28"/>
      <c r="O38650" s="28"/>
      <c r="U38650" s="28"/>
    </row>
    <row r="38651">
      <c r="N38651" s="28"/>
      <c r="O38651" s="28"/>
      <c r="U38651" s="28"/>
    </row>
    <row r="38652">
      <c r="N38652" s="28"/>
      <c r="O38652" s="28"/>
      <c r="U38652" s="28"/>
    </row>
    <row r="38653">
      <c r="N38653" s="28"/>
      <c r="O38653" s="28"/>
      <c r="U38653" s="28"/>
    </row>
    <row r="38654">
      <c r="N38654" s="28"/>
      <c r="O38654" s="28"/>
      <c r="U38654" s="28"/>
    </row>
    <row r="38655">
      <c r="N38655" s="28"/>
      <c r="O38655" s="28"/>
      <c r="U38655" s="28"/>
    </row>
    <row r="38656">
      <c r="N38656" s="28"/>
      <c r="O38656" s="28"/>
      <c r="U38656" s="28"/>
    </row>
    <row r="38657">
      <c r="N38657" s="28"/>
      <c r="O38657" s="28"/>
      <c r="U38657" s="28"/>
    </row>
    <row r="38658">
      <c r="N38658" s="28"/>
      <c r="O38658" s="28"/>
      <c r="U38658" s="28"/>
    </row>
    <row r="38659">
      <c r="N38659" s="28"/>
      <c r="O38659" s="28"/>
      <c r="U38659" s="28"/>
    </row>
    <row r="38660">
      <c r="N38660" s="28"/>
      <c r="O38660" s="28"/>
      <c r="U38660" s="28"/>
    </row>
    <row r="38661">
      <c r="N38661" s="28"/>
      <c r="O38661" s="28"/>
      <c r="U38661" s="28"/>
    </row>
    <row r="38662">
      <c r="N38662" s="28"/>
      <c r="O38662" s="28"/>
      <c r="U38662" s="28"/>
    </row>
    <row r="38663">
      <c r="N38663" s="28"/>
      <c r="O38663" s="28"/>
      <c r="U38663" s="28"/>
    </row>
    <row r="38664">
      <c r="N38664" s="28"/>
      <c r="O38664" s="28"/>
      <c r="U38664" s="28"/>
    </row>
    <row r="38665">
      <c r="N38665" s="28"/>
      <c r="O38665" s="28"/>
      <c r="U38665" s="28"/>
    </row>
    <row r="38666">
      <c r="N38666" s="28"/>
      <c r="O38666" s="28"/>
      <c r="U38666" s="28"/>
    </row>
    <row r="38667">
      <c r="N38667" s="28"/>
      <c r="O38667" s="28"/>
      <c r="U38667" s="28"/>
    </row>
    <row r="38668">
      <c r="N38668" s="28"/>
      <c r="O38668" s="28"/>
      <c r="U38668" s="28"/>
    </row>
    <row r="38669">
      <c r="N38669" s="28"/>
      <c r="O38669" s="28"/>
      <c r="U38669" s="28"/>
    </row>
    <row r="38670">
      <c r="N38670" s="28"/>
      <c r="O38670" s="28"/>
      <c r="U38670" s="28"/>
    </row>
    <row r="38671">
      <c r="N38671" s="28"/>
      <c r="O38671" s="28"/>
      <c r="U38671" s="28"/>
    </row>
    <row r="38672">
      <c r="N38672" s="28"/>
      <c r="O38672" s="28"/>
      <c r="U38672" s="28"/>
    </row>
    <row r="38673">
      <c r="N38673" s="28"/>
      <c r="O38673" s="28"/>
      <c r="U38673" s="28"/>
    </row>
    <row r="38674">
      <c r="N38674" s="28"/>
      <c r="O38674" s="28"/>
      <c r="U38674" s="28"/>
    </row>
    <row r="38675">
      <c r="N38675" s="28"/>
      <c r="O38675" s="28"/>
      <c r="U38675" s="28"/>
    </row>
    <row r="38676">
      <c r="N38676" s="28"/>
      <c r="O38676" s="28"/>
      <c r="U38676" s="28"/>
    </row>
    <row r="38677">
      <c r="N38677" s="28"/>
      <c r="O38677" s="28"/>
      <c r="U38677" s="28"/>
    </row>
    <row r="38678">
      <c r="N38678" s="28"/>
      <c r="O38678" s="28"/>
      <c r="U38678" s="28"/>
    </row>
    <row r="38679">
      <c r="N38679" s="28"/>
      <c r="O38679" s="28"/>
      <c r="U38679" s="28"/>
    </row>
    <row r="38680">
      <c r="N38680" s="28"/>
      <c r="O38680" s="28"/>
      <c r="U38680" s="28"/>
    </row>
    <row r="38681">
      <c r="N38681" s="28"/>
      <c r="O38681" s="28"/>
      <c r="U38681" s="28"/>
    </row>
    <row r="38682">
      <c r="N38682" s="28"/>
      <c r="O38682" s="28"/>
      <c r="U38682" s="28"/>
    </row>
    <row r="38683">
      <c r="N38683" s="28"/>
      <c r="O38683" s="28"/>
      <c r="U38683" s="28"/>
    </row>
    <row r="38684">
      <c r="N38684" s="28"/>
      <c r="O38684" s="28"/>
      <c r="U38684" s="28"/>
    </row>
    <row r="38685">
      <c r="N38685" s="28"/>
      <c r="O38685" s="28"/>
      <c r="U38685" s="28"/>
    </row>
    <row r="38686">
      <c r="N38686" s="28"/>
      <c r="O38686" s="28"/>
      <c r="U38686" s="28"/>
    </row>
    <row r="38687">
      <c r="N38687" s="28"/>
      <c r="O38687" s="28"/>
      <c r="U38687" s="28"/>
    </row>
    <row r="38688">
      <c r="N38688" s="28"/>
      <c r="O38688" s="28"/>
      <c r="U38688" s="28"/>
    </row>
    <row r="38689">
      <c r="N38689" s="28"/>
      <c r="O38689" s="28"/>
      <c r="U38689" s="28"/>
    </row>
    <row r="38690">
      <c r="N38690" s="28"/>
      <c r="O38690" s="28"/>
      <c r="U38690" s="28"/>
    </row>
    <row r="38691">
      <c r="N38691" s="28"/>
      <c r="O38691" s="28"/>
      <c r="U38691" s="28"/>
    </row>
    <row r="38692">
      <c r="N38692" s="28"/>
      <c r="O38692" s="28"/>
      <c r="U38692" s="28"/>
    </row>
    <row r="38693">
      <c r="N38693" s="28"/>
      <c r="O38693" s="28"/>
      <c r="U38693" s="28"/>
    </row>
    <row r="38694">
      <c r="N38694" s="28"/>
      <c r="O38694" s="28"/>
      <c r="U38694" s="28"/>
    </row>
    <row r="38695">
      <c r="N38695" s="28"/>
      <c r="O38695" s="28"/>
      <c r="U38695" s="28"/>
    </row>
    <row r="38696">
      <c r="N38696" s="28"/>
      <c r="O38696" s="28"/>
      <c r="U38696" s="28"/>
    </row>
    <row r="38697">
      <c r="N38697" s="28"/>
      <c r="O38697" s="28"/>
      <c r="U38697" s="28"/>
    </row>
    <row r="38698">
      <c r="N38698" s="28"/>
      <c r="O38698" s="28"/>
      <c r="U38698" s="28"/>
    </row>
    <row r="38699">
      <c r="N38699" s="28"/>
      <c r="O38699" s="28"/>
      <c r="U38699" s="28"/>
    </row>
    <row r="38700">
      <c r="N38700" s="28"/>
      <c r="O38700" s="28"/>
      <c r="U38700" s="28"/>
    </row>
    <row r="38701">
      <c r="N38701" s="28"/>
      <c r="O38701" s="28"/>
      <c r="U38701" s="28"/>
    </row>
    <row r="38702">
      <c r="N38702" s="28"/>
      <c r="O38702" s="28"/>
      <c r="U38702" s="28"/>
    </row>
    <row r="38703">
      <c r="N38703" s="28"/>
      <c r="O38703" s="28"/>
      <c r="U38703" s="28"/>
    </row>
    <row r="38704">
      <c r="N38704" s="28"/>
      <c r="O38704" s="28"/>
      <c r="U38704" s="28"/>
    </row>
    <row r="38705">
      <c r="N38705" s="28"/>
      <c r="O38705" s="28"/>
      <c r="U38705" s="28"/>
    </row>
    <row r="38706">
      <c r="N38706" s="28"/>
      <c r="O38706" s="28"/>
      <c r="U38706" s="28"/>
    </row>
    <row r="38707">
      <c r="N38707" s="28"/>
      <c r="O38707" s="28"/>
      <c r="U38707" s="28"/>
    </row>
    <row r="38708">
      <c r="N38708" s="28"/>
      <c r="O38708" s="28"/>
      <c r="U38708" s="28"/>
    </row>
    <row r="38709">
      <c r="N38709" s="28"/>
      <c r="O38709" s="28"/>
      <c r="U38709" s="28"/>
    </row>
    <row r="38710">
      <c r="N38710" s="28"/>
      <c r="O38710" s="28"/>
      <c r="U38710" s="28"/>
    </row>
    <row r="38711">
      <c r="N38711" s="28"/>
      <c r="O38711" s="28"/>
      <c r="U38711" s="28"/>
    </row>
    <row r="38712">
      <c r="N38712" s="28"/>
      <c r="O38712" s="28"/>
      <c r="U38712" s="28"/>
    </row>
    <row r="38713">
      <c r="N38713" s="28"/>
      <c r="O38713" s="28"/>
      <c r="U38713" s="28"/>
    </row>
    <row r="38714">
      <c r="N38714" s="28"/>
      <c r="O38714" s="28"/>
      <c r="U38714" s="28"/>
    </row>
    <row r="38715">
      <c r="N38715" s="28"/>
      <c r="O38715" s="28"/>
      <c r="U38715" s="28"/>
    </row>
    <row r="38716">
      <c r="N38716" s="28"/>
      <c r="O38716" s="28"/>
      <c r="U38716" s="28"/>
    </row>
    <row r="38717">
      <c r="N38717" s="28"/>
      <c r="O38717" s="28"/>
      <c r="U38717" s="28"/>
    </row>
    <row r="38718">
      <c r="N38718" s="28"/>
      <c r="O38718" s="28"/>
      <c r="U38718" s="28"/>
    </row>
    <row r="38719">
      <c r="N38719" s="28"/>
      <c r="O38719" s="28"/>
      <c r="U38719" s="28"/>
    </row>
    <row r="38720">
      <c r="N38720" s="28"/>
      <c r="O38720" s="28"/>
      <c r="U38720" s="28"/>
    </row>
    <row r="38721">
      <c r="N38721" s="28"/>
      <c r="O38721" s="28"/>
      <c r="U38721" s="28"/>
    </row>
    <row r="38722">
      <c r="N38722" s="28"/>
      <c r="O38722" s="28"/>
      <c r="U38722" s="28"/>
    </row>
    <row r="38723">
      <c r="N38723" s="28"/>
      <c r="O38723" s="28"/>
      <c r="U38723" s="28"/>
    </row>
    <row r="38724">
      <c r="N38724" s="28"/>
      <c r="O38724" s="28"/>
      <c r="U38724" s="28"/>
    </row>
    <row r="38725">
      <c r="N38725" s="28"/>
      <c r="O38725" s="28"/>
      <c r="U38725" s="28"/>
    </row>
    <row r="38726">
      <c r="N38726" s="28"/>
      <c r="O38726" s="28"/>
      <c r="U38726" s="28"/>
    </row>
    <row r="38727">
      <c r="N38727" s="28"/>
      <c r="O38727" s="28"/>
      <c r="U38727" s="28"/>
    </row>
    <row r="38728">
      <c r="N38728" s="28"/>
      <c r="O38728" s="28"/>
      <c r="U38728" s="28"/>
    </row>
    <row r="38729">
      <c r="N38729" s="28"/>
      <c r="O38729" s="28"/>
      <c r="U38729" s="28"/>
    </row>
    <row r="38730">
      <c r="N38730" s="28"/>
      <c r="O38730" s="28"/>
      <c r="U38730" s="28"/>
    </row>
    <row r="38731">
      <c r="N38731" s="28"/>
      <c r="O38731" s="28"/>
      <c r="U38731" s="28"/>
    </row>
    <row r="38732">
      <c r="N38732" s="28"/>
      <c r="O38732" s="28"/>
      <c r="U38732" s="28"/>
    </row>
    <row r="38733">
      <c r="N38733" s="28"/>
      <c r="O38733" s="28"/>
      <c r="U38733" s="28"/>
    </row>
    <row r="38734">
      <c r="N38734" s="28"/>
      <c r="O38734" s="28"/>
      <c r="U38734" s="28"/>
    </row>
    <row r="38735">
      <c r="N38735" s="28"/>
      <c r="O38735" s="28"/>
      <c r="U38735" s="28"/>
    </row>
    <row r="38736">
      <c r="N38736" s="28"/>
      <c r="O38736" s="28"/>
      <c r="U38736" s="28"/>
    </row>
    <row r="38737">
      <c r="N38737" s="28"/>
      <c r="O38737" s="28"/>
      <c r="U38737" s="28"/>
    </row>
    <row r="38738">
      <c r="N38738" s="28"/>
      <c r="O38738" s="28"/>
      <c r="U38738" s="28"/>
    </row>
    <row r="38739">
      <c r="N38739" s="28"/>
      <c r="O38739" s="28"/>
      <c r="U38739" s="28"/>
    </row>
    <row r="38740">
      <c r="N38740" s="28"/>
      <c r="O38740" s="28"/>
      <c r="U38740" s="28"/>
    </row>
    <row r="38741">
      <c r="N38741" s="28"/>
      <c r="O38741" s="28"/>
      <c r="U38741" s="28"/>
    </row>
    <row r="38742">
      <c r="N38742" s="28"/>
      <c r="O38742" s="28"/>
      <c r="U38742" s="28"/>
    </row>
    <row r="38743">
      <c r="N38743" s="28"/>
      <c r="O38743" s="28"/>
      <c r="U38743" s="28"/>
    </row>
    <row r="38744">
      <c r="N38744" s="28"/>
      <c r="O38744" s="28"/>
      <c r="U38744" s="28"/>
    </row>
    <row r="38745">
      <c r="N38745" s="28"/>
      <c r="O38745" s="28"/>
      <c r="U38745" s="28"/>
    </row>
    <row r="38746">
      <c r="N38746" s="28"/>
      <c r="O38746" s="28"/>
      <c r="U38746" s="28"/>
    </row>
    <row r="38747">
      <c r="N38747" s="28"/>
      <c r="O38747" s="28"/>
      <c r="U38747" s="28"/>
    </row>
    <row r="38748">
      <c r="N38748" s="28"/>
      <c r="O38748" s="28"/>
      <c r="U38748" s="28"/>
    </row>
    <row r="38749">
      <c r="N38749" s="28"/>
      <c r="O38749" s="28"/>
      <c r="U38749" s="28"/>
    </row>
    <row r="38750">
      <c r="N38750" s="28"/>
      <c r="O38750" s="28"/>
      <c r="U38750" s="28"/>
    </row>
    <row r="38751">
      <c r="N38751" s="28"/>
      <c r="O38751" s="28"/>
      <c r="U38751" s="28"/>
    </row>
    <row r="38752">
      <c r="N38752" s="28"/>
      <c r="O38752" s="28"/>
      <c r="U38752" s="28"/>
    </row>
    <row r="38753">
      <c r="N38753" s="28"/>
      <c r="O38753" s="28"/>
      <c r="U38753" s="28"/>
    </row>
    <row r="38754">
      <c r="N38754" s="28"/>
      <c r="O38754" s="28"/>
      <c r="U38754" s="28"/>
    </row>
    <row r="38755">
      <c r="N38755" s="28"/>
      <c r="O38755" s="28"/>
      <c r="U38755" s="28"/>
    </row>
    <row r="38756">
      <c r="N38756" s="28"/>
      <c r="O38756" s="28"/>
      <c r="U38756" s="28"/>
    </row>
    <row r="38757">
      <c r="N38757" s="28"/>
      <c r="O38757" s="28"/>
      <c r="U38757" s="28"/>
    </row>
    <row r="38758">
      <c r="N38758" s="28"/>
      <c r="O38758" s="28"/>
      <c r="U38758" s="28"/>
    </row>
    <row r="38759">
      <c r="N38759" s="28"/>
      <c r="O38759" s="28"/>
      <c r="U38759" s="28"/>
    </row>
    <row r="38760">
      <c r="N38760" s="28"/>
      <c r="O38760" s="28"/>
      <c r="U38760" s="28"/>
    </row>
    <row r="38761">
      <c r="N38761" s="28"/>
      <c r="O38761" s="28"/>
      <c r="U38761" s="28"/>
    </row>
    <row r="38762">
      <c r="N38762" s="28"/>
      <c r="O38762" s="28"/>
      <c r="U38762" s="28"/>
    </row>
    <row r="38763">
      <c r="N38763" s="28"/>
      <c r="O38763" s="28"/>
      <c r="U38763" s="28"/>
    </row>
    <row r="38764">
      <c r="N38764" s="28"/>
      <c r="O38764" s="28"/>
      <c r="U38764" s="28"/>
    </row>
    <row r="38765">
      <c r="N38765" s="28"/>
      <c r="O38765" s="28"/>
      <c r="U38765" s="28"/>
    </row>
    <row r="38766">
      <c r="N38766" s="28"/>
      <c r="O38766" s="28"/>
      <c r="U38766" s="28"/>
    </row>
    <row r="38767">
      <c r="N38767" s="28"/>
      <c r="O38767" s="28"/>
      <c r="U38767" s="28"/>
    </row>
    <row r="38768">
      <c r="N38768" s="28"/>
      <c r="O38768" s="28"/>
      <c r="U38768" s="28"/>
    </row>
    <row r="38769">
      <c r="N38769" s="28"/>
      <c r="O38769" s="28"/>
      <c r="U38769" s="28"/>
    </row>
    <row r="38770">
      <c r="N38770" s="28"/>
      <c r="O38770" s="28"/>
      <c r="U38770" s="28"/>
    </row>
    <row r="38771">
      <c r="N38771" s="28"/>
      <c r="O38771" s="28"/>
      <c r="U38771" s="28"/>
    </row>
    <row r="38772">
      <c r="N38772" s="28"/>
      <c r="O38772" s="28"/>
      <c r="U38772" s="28"/>
    </row>
    <row r="38773">
      <c r="N38773" s="28"/>
      <c r="O38773" s="28"/>
      <c r="U38773" s="28"/>
    </row>
    <row r="38774">
      <c r="N38774" s="28"/>
      <c r="O38774" s="28"/>
      <c r="U38774" s="28"/>
    </row>
    <row r="38775">
      <c r="N38775" s="28"/>
      <c r="O38775" s="28"/>
      <c r="U38775" s="28"/>
    </row>
    <row r="38776">
      <c r="N38776" s="28"/>
      <c r="O38776" s="28"/>
      <c r="U38776" s="28"/>
    </row>
    <row r="38777">
      <c r="N38777" s="28"/>
      <c r="O38777" s="28"/>
      <c r="U38777" s="28"/>
    </row>
    <row r="38778">
      <c r="N38778" s="28"/>
      <c r="O38778" s="28"/>
      <c r="U38778" s="28"/>
    </row>
    <row r="38779">
      <c r="N38779" s="28"/>
      <c r="O38779" s="28"/>
      <c r="U38779" s="28"/>
    </row>
    <row r="38780">
      <c r="N38780" s="28"/>
      <c r="O38780" s="28"/>
      <c r="U38780" s="28"/>
    </row>
    <row r="38781">
      <c r="N38781" s="28"/>
      <c r="O38781" s="28"/>
      <c r="U38781" s="28"/>
    </row>
    <row r="38782">
      <c r="N38782" s="28"/>
      <c r="O38782" s="28"/>
      <c r="U38782" s="28"/>
    </row>
    <row r="38783">
      <c r="N38783" s="28"/>
      <c r="O38783" s="28"/>
      <c r="U38783" s="28"/>
    </row>
    <row r="38784">
      <c r="N38784" s="28"/>
      <c r="O38784" s="28"/>
      <c r="U38784" s="28"/>
    </row>
    <row r="38785">
      <c r="N38785" s="28"/>
      <c r="O38785" s="28"/>
      <c r="U38785" s="28"/>
    </row>
    <row r="38786">
      <c r="N38786" s="28"/>
      <c r="O38786" s="28"/>
      <c r="U38786" s="28"/>
    </row>
    <row r="38787">
      <c r="N38787" s="28"/>
      <c r="O38787" s="28"/>
      <c r="U38787" s="28"/>
    </row>
    <row r="38788">
      <c r="N38788" s="28"/>
      <c r="O38788" s="28"/>
      <c r="U38788" s="28"/>
    </row>
    <row r="38789">
      <c r="N38789" s="28"/>
      <c r="O38789" s="28"/>
      <c r="U38789" s="28"/>
    </row>
    <row r="38790">
      <c r="N38790" s="28"/>
      <c r="O38790" s="28"/>
      <c r="U38790" s="28"/>
    </row>
    <row r="38791">
      <c r="N38791" s="28"/>
      <c r="O38791" s="28"/>
      <c r="U38791" s="28"/>
    </row>
    <row r="38792">
      <c r="N38792" s="28"/>
      <c r="O38792" s="28"/>
      <c r="U38792" s="28"/>
    </row>
    <row r="38793">
      <c r="N38793" s="28"/>
      <c r="O38793" s="28"/>
      <c r="U38793" s="28"/>
    </row>
    <row r="38794">
      <c r="N38794" s="28"/>
      <c r="O38794" s="28"/>
      <c r="U38794" s="28"/>
    </row>
    <row r="38795">
      <c r="N38795" s="28"/>
      <c r="O38795" s="28"/>
      <c r="U38795" s="28"/>
    </row>
    <row r="38796">
      <c r="N38796" s="28"/>
      <c r="O38796" s="28"/>
      <c r="U38796" s="28"/>
    </row>
    <row r="38797">
      <c r="N38797" s="28"/>
      <c r="O38797" s="28"/>
      <c r="U38797" s="28"/>
    </row>
    <row r="38798">
      <c r="N38798" s="28"/>
      <c r="O38798" s="28"/>
      <c r="U38798" s="28"/>
    </row>
    <row r="38799">
      <c r="N38799" s="28"/>
      <c r="O38799" s="28"/>
      <c r="U38799" s="28"/>
    </row>
    <row r="38800">
      <c r="N38800" s="28"/>
      <c r="O38800" s="28"/>
      <c r="U38800" s="28"/>
    </row>
    <row r="38801">
      <c r="N38801" s="28"/>
      <c r="O38801" s="28"/>
      <c r="U38801" s="28"/>
    </row>
    <row r="38802">
      <c r="N38802" s="28"/>
      <c r="O38802" s="28"/>
      <c r="U38802" s="28"/>
    </row>
    <row r="38803">
      <c r="N38803" s="28"/>
      <c r="O38803" s="28"/>
      <c r="U38803" s="28"/>
    </row>
    <row r="38804">
      <c r="N38804" s="28"/>
      <c r="O38804" s="28"/>
      <c r="U38804" s="28"/>
    </row>
    <row r="38805">
      <c r="N38805" s="28"/>
      <c r="O38805" s="28"/>
      <c r="U38805" s="28"/>
    </row>
    <row r="38806">
      <c r="N38806" s="28"/>
      <c r="O38806" s="28"/>
      <c r="U38806" s="28"/>
    </row>
    <row r="38807">
      <c r="N38807" s="28"/>
      <c r="O38807" s="28"/>
      <c r="U38807" s="28"/>
    </row>
    <row r="38808">
      <c r="N38808" s="28"/>
      <c r="O38808" s="28"/>
      <c r="U38808" s="28"/>
    </row>
    <row r="38809">
      <c r="N38809" s="28"/>
      <c r="O38809" s="28"/>
      <c r="U38809" s="28"/>
    </row>
    <row r="38810">
      <c r="N38810" s="28"/>
      <c r="O38810" s="28"/>
      <c r="U38810" s="28"/>
    </row>
    <row r="38811">
      <c r="N38811" s="28"/>
      <c r="O38811" s="28"/>
      <c r="U38811" s="28"/>
    </row>
    <row r="38812">
      <c r="N38812" s="28"/>
      <c r="O38812" s="28"/>
      <c r="U38812" s="28"/>
    </row>
    <row r="38813">
      <c r="N38813" s="28"/>
      <c r="O38813" s="28"/>
      <c r="U38813" s="28"/>
    </row>
    <row r="38814">
      <c r="N38814" s="28"/>
      <c r="O38814" s="28"/>
      <c r="U38814" s="28"/>
    </row>
    <row r="38815">
      <c r="N38815" s="28"/>
      <c r="O38815" s="28"/>
      <c r="U38815" s="28"/>
    </row>
    <row r="38816">
      <c r="N38816" s="28"/>
      <c r="O38816" s="28"/>
      <c r="U38816" s="28"/>
    </row>
    <row r="38817">
      <c r="N38817" s="28"/>
      <c r="O38817" s="28"/>
      <c r="U38817" s="28"/>
    </row>
    <row r="38818">
      <c r="N38818" s="28"/>
      <c r="O38818" s="28"/>
      <c r="U38818" s="28"/>
    </row>
    <row r="38819">
      <c r="N38819" s="28"/>
      <c r="O38819" s="28"/>
      <c r="U38819" s="28"/>
    </row>
    <row r="38820">
      <c r="N38820" s="28"/>
      <c r="O38820" s="28"/>
      <c r="U38820" s="28"/>
    </row>
    <row r="38821">
      <c r="N38821" s="28"/>
      <c r="O38821" s="28"/>
      <c r="U38821" s="28"/>
    </row>
    <row r="38822">
      <c r="N38822" s="28"/>
      <c r="O38822" s="28"/>
      <c r="U38822" s="28"/>
    </row>
    <row r="38823">
      <c r="N38823" s="28"/>
      <c r="O38823" s="28"/>
      <c r="U38823" s="28"/>
    </row>
    <row r="38824">
      <c r="N38824" s="28"/>
      <c r="O38824" s="28"/>
      <c r="U38824" s="28"/>
    </row>
    <row r="38825">
      <c r="N38825" s="28"/>
      <c r="O38825" s="28"/>
      <c r="U38825" s="28"/>
    </row>
    <row r="38826">
      <c r="N38826" s="28"/>
      <c r="O38826" s="28"/>
      <c r="U38826" s="28"/>
    </row>
    <row r="38827">
      <c r="N38827" s="28"/>
      <c r="O38827" s="28"/>
      <c r="U38827" s="28"/>
    </row>
    <row r="38828">
      <c r="N38828" s="28"/>
      <c r="O38828" s="28"/>
      <c r="U38828" s="28"/>
    </row>
    <row r="38829">
      <c r="N38829" s="28"/>
      <c r="O38829" s="28"/>
      <c r="U38829" s="28"/>
    </row>
    <row r="38830">
      <c r="N38830" s="28"/>
      <c r="O38830" s="28"/>
      <c r="U38830" s="28"/>
    </row>
    <row r="38831">
      <c r="N38831" s="28"/>
      <c r="O38831" s="28"/>
      <c r="U38831" s="28"/>
    </row>
    <row r="38832">
      <c r="N38832" s="28"/>
      <c r="O38832" s="28"/>
      <c r="U38832" s="28"/>
    </row>
    <row r="38833">
      <c r="N38833" s="28"/>
      <c r="O38833" s="28"/>
      <c r="U38833" s="28"/>
    </row>
    <row r="38834">
      <c r="N38834" s="28"/>
      <c r="O38834" s="28"/>
      <c r="U38834" s="28"/>
    </row>
    <row r="38835">
      <c r="N38835" s="28"/>
      <c r="O38835" s="28"/>
      <c r="U38835" s="28"/>
    </row>
    <row r="38836">
      <c r="N38836" s="28"/>
      <c r="O38836" s="28"/>
      <c r="U38836" s="28"/>
    </row>
    <row r="38837">
      <c r="N38837" s="28"/>
      <c r="O38837" s="28"/>
      <c r="U38837" s="28"/>
    </row>
    <row r="38838">
      <c r="N38838" s="28"/>
      <c r="O38838" s="28"/>
      <c r="U38838" s="28"/>
    </row>
    <row r="38839">
      <c r="N38839" s="28"/>
      <c r="O38839" s="28"/>
      <c r="U38839" s="28"/>
    </row>
    <row r="38840">
      <c r="N38840" s="28"/>
      <c r="O38840" s="28"/>
      <c r="U38840" s="28"/>
    </row>
    <row r="38841">
      <c r="N38841" s="28"/>
      <c r="O38841" s="28"/>
      <c r="U38841" s="28"/>
    </row>
    <row r="38842">
      <c r="N38842" s="28"/>
      <c r="O38842" s="28"/>
      <c r="U38842" s="28"/>
    </row>
    <row r="38843">
      <c r="N38843" s="28"/>
      <c r="O38843" s="28"/>
      <c r="U38843" s="28"/>
    </row>
    <row r="38844">
      <c r="N38844" s="28"/>
      <c r="O38844" s="28"/>
      <c r="U38844" s="28"/>
    </row>
    <row r="38845">
      <c r="N38845" s="28"/>
      <c r="O38845" s="28"/>
      <c r="U38845" s="28"/>
    </row>
    <row r="38846">
      <c r="N38846" s="28"/>
      <c r="O38846" s="28"/>
      <c r="U38846" s="28"/>
    </row>
    <row r="38847">
      <c r="N38847" s="28"/>
      <c r="O38847" s="28"/>
      <c r="U38847" s="28"/>
    </row>
    <row r="38848">
      <c r="N38848" s="28"/>
      <c r="O38848" s="28"/>
      <c r="U38848" s="28"/>
    </row>
    <row r="38849">
      <c r="N38849" s="28"/>
      <c r="O38849" s="28"/>
      <c r="U38849" s="28"/>
    </row>
    <row r="38850">
      <c r="N38850" s="28"/>
      <c r="O38850" s="28"/>
      <c r="U38850" s="28"/>
    </row>
    <row r="38851">
      <c r="N38851" s="28"/>
      <c r="O38851" s="28"/>
      <c r="U38851" s="28"/>
    </row>
    <row r="38852">
      <c r="N38852" s="28"/>
      <c r="O38852" s="28"/>
      <c r="U38852" s="28"/>
    </row>
    <row r="38853">
      <c r="N38853" s="28"/>
      <c r="O38853" s="28"/>
      <c r="U38853" s="28"/>
    </row>
    <row r="38854">
      <c r="N38854" s="28"/>
      <c r="O38854" s="28"/>
      <c r="U38854" s="28"/>
    </row>
    <row r="38855">
      <c r="N38855" s="28"/>
      <c r="O38855" s="28"/>
      <c r="U38855" s="28"/>
    </row>
    <row r="38856">
      <c r="N38856" s="28"/>
      <c r="O38856" s="28"/>
      <c r="U38856" s="28"/>
    </row>
    <row r="38857">
      <c r="N38857" s="28"/>
      <c r="O38857" s="28"/>
      <c r="U38857" s="28"/>
    </row>
    <row r="38858">
      <c r="N38858" s="28"/>
      <c r="O38858" s="28"/>
      <c r="U38858" s="28"/>
    </row>
    <row r="38859">
      <c r="N38859" s="28"/>
      <c r="O38859" s="28"/>
      <c r="U38859" s="28"/>
    </row>
    <row r="38860">
      <c r="N38860" s="28"/>
      <c r="O38860" s="28"/>
      <c r="U38860" s="28"/>
    </row>
    <row r="38861">
      <c r="N38861" s="28"/>
      <c r="O38861" s="28"/>
      <c r="U38861" s="28"/>
    </row>
    <row r="38862">
      <c r="N38862" s="28"/>
      <c r="O38862" s="28"/>
      <c r="U38862" s="28"/>
    </row>
    <row r="38863">
      <c r="N38863" s="28"/>
      <c r="O38863" s="28"/>
      <c r="U38863" s="28"/>
    </row>
    <row r="38864">
      <c r="N38864" s="28"/>
      <c r="O38864" s="28"/>
      <c r="U38864" s="28"/>
    </row>
    <row r="38865">
      <c r="N38865" s="28"/>
      <c r="O38865" s="28"/>
      <c r="U38865" s="28"/>
    </row>
    <row r="38866">
      <c r="N38866" s="28"/>
      <c r="O38866" s="28"/>
      <c r="U38866" s="28"/>
    </row>
    <row r="38867">
      <c r="N38867" s="28"/>
      <c r="O38867" s="28"/>
      <c r="U38867" s="28"/>
    </row>
    <row r="38868">
      <c r="N38868" s="28"/>
      <c r="O38868" s="28"/>
      <c r="U38868" s="28"/>
    </row>
    <row r="38869">
      <c r="N38869" s="28"/>
      <c r="O38869" s="28"/>
      <c r="U38869" s="28"/>
    </row>
    <row r="38870">
      <c r="N38870" s="28"/>
      <c r="O38870" s="28"/>
      <c r="U38870" s="28"/>
    </row>
    <row r="38871">
      <c r="N38871" s="28"/>
      <c r="O38871" s="28"/>
      <c r="U38871" s="28"/>
    </row>
    <row r="38872">
      <c r="N38872" s="28"/>
      <c r="O38872" s="28"/>
      <c r="U38872" s="28"/>
    </row>
    <row r="38873">
      <c r="N38873" s="28"/>
      <c r="O38873" s="28"/>
      <c r="U38873" s="28"/>
    </row>
    <row r="38874">
      <c r="N38874" s="28"/>
      <c r="O38874" s="28"/>
      <c r="U38874" s="28"/>
    </row>
    <row r="38875">
      <c r="N38875" s="28"/>
      <c r="O38875" s="28"/>
      <c r="U38875" s="28"/>
    </row>
    <row r="38876">
      <c r="N38876" s="28"/>
      <c r="O38876" s="28"/>
      <c r="U38876" s="28"/>
    </row>
    <row r="38877">
      <c r="N38877" s="28"/>
      <c r="O38877" s="28"/>
      <c r="U38877" s="28"/>
    </row>
    <row r="38878">
      <c r="N38878" s="28"/>
      <c r="O38878" s="28"/>
      <c r="U38878" s="28"/>
    </row>
    <row r="38879">
      <c r="N38879" s="28"/>
      <c r="O38879" s="28"/>
      <c r="U38879" s="28"/>
    </row>
    <row r="38880">
      <c r="N38880" s="28"/>
      <c r="O38880" s="28"/>
      <c r="U38880" s="28"/>
    </row>
    <row r="38881">
      <c r="N38881" s="28"/>
      <c r="O38881" s="28"/>
      <c r="U38881" s="28"/>
    </row>
    <row r="38882">
      <c r="N38882" s="28"/>
      <c r="O38882" s="28"/>
      <c r="U38882" s="28"/>
    </row>
    <row r="38883">
      <c r="N38883" s="28"/>
      <c r="O38883" s="28"/>
      <c r="U38883" s="28"/>
    </row>
    <row r="38884">
      <c r="N38884" s="28"/>
      <c r="O38884" s="28"/>
      <c r="U38884" s="28"/>
    </row>
    <row r="38885">
      <c r="N38885" s="28"/>
      <c r="O38885" s="28"/>
      <c r="U38885" s="28"/>
    </row>
    <row r="38886">
      <c r="N38886" s="28"/>
      <c r="O38886" s="28"/>
      <c r="U38886" s="28"/>
    </row>
    <row r="38887">
      <c r="N38887" s="28"/>
      <c r="O38887" s="28"/>
      <c r="U38887" s="28"/>
    </row>
    <row r="38888">
      <c r="N38888" s="28"/>
      <c r="O38888" s="28"/>
      <c r="U38888" s="28"/>
    </row>
    <row r="38889">
      <c r="N38889" s="28"/>
      <c r="O38889" s="28"/>
      <c r="U38889" s="28"/>
    </row>
    <row r="38890">
      <c r="N38890" s="28"/>
      <c r="O38890" s="28"/>
      <c r="U38890" s="28"/>
    </row>
    <row r="38891">
      <c r="N38891" s="28"/>
      <c r="O38891" s="28"/>
      <c r="U38891" s="28"/>
    </row>
    <row r="38892">
      <c r="N38892" s="28"/>
      <c r="O38892" s="28"/>
      <c r="U38892" s="28"/>
    </row>
    <row r="38893">
      <c r="N38893" s="28"/>
      <c r="O38893" s="28"/>
      <c r="U38893" s="28"/>
    </row>
    <row r="38894">
      <c r="N38894" s="28"/>
      <c r="O38894" s="28"/>
      <c r="U38894" s="28"/>
    </row>
    <row r="38895">
      <c r="N38895" s="28"/>
      <c r="O38895" s="28"/>
      <c r="U38895" s="28"/>
    </row>
    <row r="38896">
      <c r="N38896" s="28"/>
      <c r="O38896" s="28"/>
      <c r="U38896" s="28"/>
    </row>
    <row r="38897">
      <c r="N38897" s="28"/>
      <c r="O38897" s="28"/>
      <c r="U38897" s="28"/>
    </row>
    <row r="38898">
      <c r="N38898" s="28"/>
      <c r="O38898" s="28"/>
      <c r="U38898" s="28"/>
    </row>
    <row r="38899">
      <c r="N38899" s="28"/>
      <c r="O38899" s="28"/>
      <c r="U38899" s="28"/>
    </row>
    <row r="38900">
      <c r="N38900" s="28"/>
      <c r="O38900" s="28"/>
      <c r="U38900" s="28"/>
    </row>
    <row r="38901">
      <c r="N38901" s="28"/>
      <c r="O38901" s="28"/>
      <c r="U38901" s="28"/>
    </row>
    <row r="38902">
      <c r="N38902" s="28"/>
      <c r="O38902" s="28"/>
      <c r="U38902" s="28"/>
    </row>
    <row r="38903">
      <c r="N38903" s="28"/>
      <c r="O38903" s="28"/>
      <c r="U38903" s="28"/>
    </row>
    <row r="38904">
      <c r="N38904" s="28"/>
      <c r="O38904" s="28"/>
      <c r="U38904" s="28"/>
    </row>
    <row r="38905">
      <c r="N38905" s="28"/>
      <c r="O38905" s="28"/>
      <c r="U38905" s="28"/>
    </row>
    <row r="38906">
      <c r="N38906" s="28"/>
      <c r="O38906" s="28"/>
      <c r="U38906" s="28"/>
    </row>
    <row r="38907">
      <c r="N38907" s="28"/>
      <c r="O38907" s="28"/>
      <c r="U38907" s="28"/>
    </row>
    <row r="38908">
      <c r="N38908" s="28"/>
      <c r="O38908" s="28"/>
      <c r="U38908" s="28"/>
    </row>
    <row r="38909">
      <c r="N38909" s="28"/>
      <c r="O38909" s="28"/>
      <c r="U38909" s="28"/>
    </row>
    <row r="38910">
      <c r="N38910" s="28"/>
      <c r="O38910" s="28"/>
      <c r="U38910" s="28"/>
    </row>
    <row r="38911">
      <c r="N38911" s="28"/>
      <c r="O38911" s="28"/>
      <c r="U38911" s="28"/>
    </row>
    <row r="38912">
      <c r="N38912" s="28"/>
      <c r="O38912" s="28"/>
      <c r="U38912" s="28"/>
    </row>
    <row r="38913">
      <c r="N38913" s="28"/>
      <c r="O38913" s="28"/>
      <c r="U38913" s="28"/>
    </row>
    <row r="38914">
      <c r="N38914" s="28"/>
      <c r="O38914" s="28"/>
      <c r="U38914" s="28"/>
    </row>
    <row r="38915">
      <c r="N38915" s="28"/>
      <c r="O38915" s="28"/>
      <c r="U38915" s="28"/>
    </row>
    <row r="38916">
      <c r="N38916" s="28"/>
      <c r="O38916" s="28"/>
      <c r="U38916" s="28"/>
    </row>
    <row r="38917">
      <c r="N38917" s="28"/>
      <c r="O38917" s="28"/>
      <c r="U38917" s="28"/>
    </row>
    <row r="38918">
      <c r="N38918" s="28"/>
      <c r="O38918" s="28"/>
      <c r="U38918" s="28"/>
    </row>
    <row r="38919">
      <c r="N38919" s="28"/>
      <c r="O38919" s="28"/>
      <c r="U38919" s="28"/>
    </row>
    <row r="38920">
      <c r="N38920" s="28"/>
      <c r="O38920" s="28"/>
      <c r="U38920" s="28"/>
    </row>
    <row r="38921">
      <c r="N38921" s="28"/>
      <c r="O38921" s="28"/>
      <c r="U38921" s="28"/>
    </row>
    <row r="38922">
      <c r="N38922" s="28"/>
      <c r="O38922" s="28"/>
      <c r="U38922" s="28"/>
    </row>
    <row r="38923">
      <c r="N38923" s="28"/>
      <c r="O38923" s="28"/>
      <c r="U38923" s="28"/>
    </row>
    <row r="38924">
      <c r="N38924" s="28"/>
      <c r="O38924" s="28"/>
      <c r="U38924" s="28"/>
    </row>
    <row r="38925">
      <c r="N38925" s="28"/>
      <c r="O38925" s="28"/>
      <c r="U38925" s="28"/>
    </row>
    <row r="38926">
      <c r="N38926" s="28"/>
      <c r="O38926" s="28"/>
      <c r="U38926" s="28"/>
    </row>
    <row r="38927">
      <c r="N38927" s="28"/>
      <c r="O38927" s="28"/>
      <c r="U38927" s="28"/>
    </row>
    <row r="38928">
      <c r="N38928" s="28"/>
      <c r="O38928" s="28"/>
      <c r="U38928" s="28"/>
    </row>
    <row r="38929">
      <c r="N38929" s="28"/>
      <c r="O38929" s="28"/>
      <c r="U38929" s="28"/>
    </row>
    <row r="38930">
      <c r="N38930" s="28"/>
      <c r="O38930" s="28"/>
      <c r="U38930" s="28"/>
    </row>
    <row r="38931">
      <c r="N38931" s="28"/>
      <c r="O38931" s="28"/>
      <c r="U38931" s="28"/>
    </row>
    <row r="38932">
      <c r="N38932" s="28"/>
      <c r="O38932" s="28"/>
      <c r="U38932" s="28"/>
    </row>
    <row r="38933">
      <c r="N38933" s="28"/>
      <c r="O38933" s="28"/>
      <c r="U38933" s="28"/>
    </row>
    <row r="38934">
      <c r="N38934" s="28"/>
      <c r="O38934" s="28"/>
      <c r="U38934" s="28"/>
    </row>
    <row r="38935">
      <c r="N38935" s="28"/>
      <c r="O38935" s="28"/>
      <c r="U38935" s="28"/>
    </row>
    <row r="38936">
      <c r="N38936" s="28"/>
      <c r="O38936" s="28"/>
      <c r="U38936" s="28"/>
    </row>
    <row r="38937">
      <c r="N38937" s="28"/>
      <c r="O38937" s="28"/>
      <c r="U38937" s="28"/>
    </row>
    <row r="38938">
      <c r="N38938" s="28"/>
      <c r="O38938" s="28"/>
      <c r="U38938" s="28"/>
    </row>
    <row r="38939">
      <c r="N38939" s="28"/>
      <c r="O38939" s="28"/>
      <c r="U38939" s="28"/>
    </row>
    <row r="38940">
      <c r="N38940" s="28"/>
      <c r="O38940" s="28"/>
      <c r="U38940" s="28"/>
    </row>
    <row r="38941">
      <c r="N38941" s="28"/>
      <c r="O38941" s="28"/>
      <c r="U38941" s="28"/>
    </row>
    <row r="38942">
      <c r="N38942" s="28"/>
      <c r="O38942" s="28"/>
      <c r="U38942" s="28"/>
    </row>
    <row r="38943">
      <c r="N38943" s="28"/>
      <c r="O38943" s="28"/>
      <c r="U38943" s="28"/>
    </row>
    <row r="38944">
      <c r="N38944" s="28"/>
      <c r="O38944" s="28"/>
      <c r="U38944" s="28"/>
    </row>
    <row r="38945">
      <c r="N38945" s="28"/>
      <c r="O38945" s="28"/>
      <c r="U38945" s="28"/>
    </row>
    <row r="38946">
      <c r="N38946" s="28"/>
      <c r="O38946" s="28"/>
      <c r="U38946" s="28"/>
    </row>
    <row r="38947">
      <c r="N38947" s="28"/>
      <c r="O38947" s="28"/>
      <c r="U38947" s="28"/>
    </row>
    <row r="38948">
      <c r="N38948" s="28"/>
      <c r="O38948" s="28"/>
      <c r="U38948" s="28"/>
    </row>
    <row r="38949">
      <c r="N38949" s="28"/>
      <c r="O38949" s="28"/>
      <c r="U38949" s="28"/>
    </row>
    <row r="38950">
      <c r="N38950" s="28"/>
      <c r="O38950" s="28"/>
      <c r="U38950" s="28"/>
    </row>
    <row r="38951">
      <c r="N38951" s="28"/>
      <c r="O38951" s="28"/>
      <c r="U38951" s="28"/>
    </row>
    <row r="38952">
      <c r="N38952" s="28"/>
      <c r="O38952" s="28"/>
      <c r="U38952" s="28"/>
    </row>
    <row r="38953">
      <c r="N38953" s="28"/>
      <c r="O38953" s="28"/>
      <c r="U38953" s="28"/>
    </row>
    <row r="38954">
      <c r="N38954" s="28"/>
      <c r="O38954" s="28"/>
      <c r="U38954" s="28"/>
    </row>
    <row r="38955">
      <c r="N38955" s="28"/>
      <c r="O38955" s="28"/>
      <c r="U38955" s="28"/>
    </row>
    <row r="38956">
      <c r="N38956" s="28"/>
      <c r="O38956" s="28"/>
      <c r="U38956" s="28"/>
    </row>
    <row r="38957">
      <c r="N38957" s="28"/>
      <c r="O38957" s="28"/>
      <c r="U38957" s="28"/>
    </row>
    <row r="38958">
      <c r="N38958" s="28"/>
      <c r="O38958" s="28"/>
      <c r="U38958" s="28"/>
    </row>
    <row r="38959">
      <c r="N38959" s="28"/>
      <c r="O38959" s="28"/>
      <c r="U38959" s="28"/>
    </row>
    <row r="38960">
      <c r="N38960" s="28"/>
      <c r="O38960" s="28"/>
      <c r="U38960" s="28"/>
    </row>
    <row r="38961">
      <c r="N38961" s="28"/>
      <c r="O38961" s="28"/>
      <c r="U38961" s="28"/>
    </row>
    <row r="38962">
      <c r="N38962" s="28"/>
      <c r="O38962" s="28"/>
      <c r="U38962" s="28"/>
    </row>
    <row r="38963">
      <c r="N38963" s="28"/>
      <c r="O38963" s="28"/>
      <c r="U38963" s="28"/>
    </row>
    <row r="38964">
      <c r="N38964" s="28"/>
      <c r="O38964" s="28"/>
      <c r="U38964" s="28"/>
    </row>
    <row r="38965">
      <c r="N38965" s="28"/>
      <c r="O38965" s="28"/>
      <c r="U38965" s="28"/>
    </row>
    <row r="38966">
      <c r="N38966" s="28"/>
      <c r="O38966" s="28"/>
      <c r="U38966" s="28"/>
    </row>
    <row r="38967">
      <c r="N38967" s="28"/>
      <c r="O38967" s="28"/>
      <c r="U38967" s="28"/>
    </row>
    <row r="38968">
      <c r="N38968" s="28"/>
      <c r="O38968" s="28"/>
      <c r="U38968" s="28"/>
    </row>
    <row r="38969">
      <c r="N38969" s="28"/>
      <c r="O38969" s="28"/>
      <c r="U38969" s="28"/>
    </row>
    <row r="38970">
      <c r="N38970" s="28"/>
      <c r="O38970" s="28"/>
      <c r="U38970" s="28"/>
    </row>
    <row r="38971">
      <c r="N38971" s="28"/>
      <c r="O38971" s="28"/>
      <c r="U38971" s="28"/>
    </row>
    <row r="38972">
      <c r="N38972" s="28"/>
      <c r="O38972" s="28"/>
      <c r="U38972" s="28"/>
    </row>
    <row r="38973">
      <c r="N38973" s="28"/>
      <c r="O38973" s="28"/>
      <c r="U38973" s="28"/>
    </row>
    <row r="38974">
      <c r="N38974" s="28"/>
      <c r="O38974" s="28"/>
      <c r="U38974" s="28"/>
    </row>
    <row r="38975">
      <c r="N38975" s="28"/>
      <c r="O38975" s="28"/>
      <c r="U38975" s="28"/>
    </row>
    <row r="38976">
      <c r="N38976" s="28"/>
      <c r="O38976" s="28"/>
      <c r="U38976" s="28"/>
    </row>
    <row r="38977">
      <c r="N38977" s="28"/>
      <c r="O38977" s="28"/>
      <c r="U38977" s="28"/>
    </row>
    <row r="38978">
      <c r="N38978" s="28"/>
      <c r="O38978" s="28"/>
      <c r="U38978" s="28"/>
    </row>
    <row r="38979">
      <c r="N38979" s="28"/>
      <c r="O38979" s="28"/>
      <c r="U38979" s="28"/>
    </row>
    <row r="38980">
      <c r="N38980" s="28"/>
      <c r="O38980" s="28"/>
      <c r="U38980" s="28"/>
    </row>
    <row r="38981">
      <c r="N38981" s="28"/>
      <c r="O38981" s="28"/>
      <c r="U38981" s="28"/>
    </row>
    <row r="38982">
      <c r="N38982" s="28"/>
      <c r="O38982" s="28"/>
      <c r="U38982" s="28"/>
    </row>
    <row r="38983">
      <c r="N38983" s="28"/>
      <c r="O38983" s="28"/>
      <c r="U38983" s="28"/>
    </row>
    <row r="38984">
      <c r="N38984" s="28"/>
      <c r="O38984" s="28"/>
      <c r="U38984" s="28"/>
    </row>
    <row r="38985">
      <c r="N38985" s="28"/>
      <c r="O38985" s="28"/>
      <c r="U38985" s="28"/>
    </row>
    <row r="38986">
      <c r="N38986" s="28"/>
      <c r="O38986" s="28"/>
      <c r="U38986" s="28"/>
    </row>
    <row r="38987">
      <c r="N38987" s="28"/>
      <c r="O38987" s="28"/>
      <c r="U38987" s="28"/>
    </row>
    <row r="38988">
      <c r="N38988" s="28"/>
      <c r="O38988" s="28"/>
      <c r="U38988" s="28"/>
    </row>
    <row r="38989">
      <c r="N38989" s="28"/>
      <c r="O38989" s="28"/>
      <c r="U38989" s="28"/>
    </row>
    <row r="38990">
      <c r="N38990" s="28"/>
      <c r="O38990" s="28"/>
      <c r="U38990" s="28"/>
    </row>
    <row r="38991">
      <c r="N38991" s="28"/>
      <c r="O38991" s="28"/>
      <c r="U38991" s="28"/>
    </row>
    <row r="38992">
      <c r="N38992" s="28"/>
      <c r="O38992" s="28"/>
      <c r="U38992" s="28"/>
    </row>
    <row r="38993">
      <c r="N38993" s="28"/>
      <c r="O38993" s="28"/>
      <c r="U38993" s="28"/>
    </row>
    <row r="38994">
      <c r="N38994" s="28"/>
      <c r="O38994" s="28"/>
      <c r="U38994" s="28"/>
    </row>
    <row r="38995">
      <c r="N38995" s="28"/>
      <c r="O38995" s="28"/>
      <c r="U38995" s="28"/>
    </row>
    <row r="38996">
      <c r="N38996" s="28"/>
      <c r="O38996" s="28"/>
      <c r="U38996" s="28"/>
    </row>
    <row r="38997">
      <c r="N38997" s="28"/>
      <c r="O38997" s="28"/>
      <c r="U38997" s="28"/>
    </row>
    <row r="38998">
      <c r="N38998" s="28"/>
      <c r="O38998" s="28"/>
      <c r="U38998" s="28"/>
    </row>
    <row r="38999">
      <c r="N38999" s="28"/>
      <c r="O38999" s="28"/>
      <c r="U38999" s="28"/>
    </row>
    <row r="39000">
      <c r="N39000" s="28"/>
      <c r="O39000" s="28"/>
      <c r="U39000" s="28"/>
    </row>
    <row r="39001">
      <c r="N39001" s="28"/>
      <c r="O39001" s="28"/>
      <c r="U39001" s="28"/>
    </row>
    <row r="39002">
      <c r="N39002" s="28"/>
      <c r="O39002" s="28"/>
      <c r="U39002" s="28"/>
    </row>
    <row r="39003">
      <c r="N39003" s="28"/>
      <c r="O39003" s="28"/>
      <c r="U39003" s="28"/>
    </row>
    <row r="39004">
      <c r="N39004" s="28"/>
      <c r="O39004" s="28"/>
      <c r="U39004" s="28"/>
    </row>
    <row r="39005">
      <c r="N39005" s="28"/>
      <c r="O39005" s="28"/>
      <c r="U39005" s="28"/>
    </row>
    <row r="39006">
      <c r="N39006" s="28"/>
      <c r="O39006" s="28"/>
      <c r="U39006" s="28"/>
    </row>
    <row r="39007">
      <c r="N39007" s="28"/>
      <c r="O39007" s="28"/>
      <c r="U39007" s="28"/>
    </row>
    <row r="39008">
      <c r="N39008" s="28"/>
      <c r="O39008" s="28"/>
      <c r="U39008" s="28"/>
    </row>
    <row r="39009">
      <c r="N39009" s="28"/>
      <c r="O39009" s="28"/>
      <c r="U39009" s="28"/>
    </row>
    <row r="39010">
      <c r="N39010" s="28"/>
      <c r="O39010" s="28"/>
      <c r="U39010" s="28"/>
    </row>
    <row r="39011">
      <c r="N39011" s="28"/>
      <c r="O39011" s="28"/>
      <c r="U39011" s="28"/>
    </row>
    <row r="39012">
      <c r="N39012" s="28"/>
      <c r="O39012" s="28"/>
      <c r="U39012" s="28"/>
    </row>
    <row r="39013">
      <c r="N39013" s="28"/>
      <c r="O39013" s="28"/>
      <c r="U39013" s="28"/>
    </row>
    <row r="39014">
      <c r="N39014" s="28"/>
      <c r="O39014" s="28"/>
      <c r="U39014" s="28"/>
    </row>
    <row r="39015">
      <c r="N39015" s="28"/>
      <c r="O39015" s="28"/>
      <c r="U39015" s="28"/>
    </row>
    <row r="39016">
      <c r="N39016" s="28"/>
      <c r="O39016" s="28"/>
      <c r="U39016" s="28"/>
    </row>
    <row r="39017">
      <c r="N39017" s="28"/>
      <c r="O39017" s="28"/>
      <c r="U39017" s="28"/>
    </row>
    <row r="39018">
      <c r="N39018" s="28"/>
      <c r="O39018" s="28"/>
      <c r="U39018" s="28"/>
    </row>
    <row r="39019">
      <c r="N39019" s="28"/>
      <c r="O39019" s="28"/>
      <c r="U39019" s="28"/>
    </row>
    <row r="39020">
      <c r="N39020" s="28"/>
      <c r="O39020" s="28"/>
      <c r="U39020" s="28"/>
    </row>
    <row r="39021">
      <c r="N39021" s="28"/>
      <c r="O39021" s="28"/>
      <c r="U39021" s="28"/>
    </row>
    <row r="39022">
      <c r="N39022" s="28"/>
      <c r="O39022" s="28"/>
      <c r="U39022" s="28"/>
    </row>
    <row r="39023">
      <c r="N39023" s="28"/>
      <c r="O39023" s="28"/>
      <c r="U39023" s="28"/>
    </row>
    <row r="39024">
      <c r="N39024" s="28"/>
      <c r="O39024" s="28"/>
      <c r="U39024" s="28"/>
    </row>
    <row r="39025">
      <c r="N39025" s="28"/>
      <c r="O39025" s="28"/>
      <c r="U39025" s="28"/>
    </row>
    <row r="39026">
      <c r="N39026" s="28"/>
      <c r="O39026" s="28"/>
      <c r="U39026" s="28"/>
    </row>
    <row r="39027">
      <c r="N39027" s="28"/>
      <c r="O39027" s="28"/>
      <c r="U39027" s="28"/>
    </row>
    <row r="39028">
      <c r="N39028" s="28"/>
      <c r="O39028" s="28"/>
      <c r="U39028" s="28"/>
    </row>
    <row r="39029">
      <c r="N39029" s="28"/>
      <c r="O39029" s="28"/>
      <c r="U39029" s="28"/>
    </row>
    <row r="39030">
      <c r="N39030" s="28"/>
      <c r="O39030" s="28"/>
      <c r="U39030" s="28"/>
    </row>
    <row r="39031">
      <c r="N39031" s="28"/>
      <c r="O39031" s="28"/>
      <c r="U39031" s="28"/>
    </row>
    <row r="39032">
      <c r="N39032" s="28"/>
      <c r="O39032" s="28"/>
      <c r="U39032" s="28"/>
    </row>
    <row r="39033">
      <c r="N39033" s="28"/>
      <c r="O39033" s="28"/>
      <c r="U39033" s="28"/>
    </row>
    <row r="39034">
      <c r="N39034" s="28"/>
      <c r="O39034" s="28"/>
      <c r="U39034" s="28"/>
    </row>
    <row r="39035">
      <c r="N39035" s="28"/>
      <c r="O39035" s="28"/>
      <c r="U39035" s="28"/>
    </row>
    <row r="39036">
      <c r="N39036" s="28"/>
      <c r="O39036" s="28"/>
      <c r="U39036" s="28"/>
    </row>
    <row r="39037">
      <c r="N39037" s="28"/>
      <c r="O39037" s="28"/>
      <c r="U39037" s="28"/>
    </row>
    <row r="39038">
      <c r="N39038" s="28"/>
      <c r="O39038" s="28"/>
      <c r="U39038" s="28"/>
    </row>
    <row r="39039">
      <c r="N39039" s="28"/>
      <c r="O39039" s="28"/>
      <c r="U39039" s="28"/>
    </row>
    <row r="39040">
      <c r="N39040" s="28"/>
      <c r="O39040" s="28"/>
      <c r="U39040" s="28"/>
    </row>
    <row r="39041">
      <c r="N39041" s="28"/>
      <c r="O39041" s="28"/>
      <c r="U39041" s="28"/>
    </row>
    <row r="39042">
      <c r="N39042" s="28"/>
      <c r="O39042" s="28"/>
      <c r="U39042" s="28"/>
    </row>
    <row r="39043">
      <c r="N39043" s="28"/>
      <c r="O39043" s="28"/>
      <c r="U39043" s="28"/>
    </row>
    <row r="39044">
      <c r="N39044" s="28"/>
      <c r="O39044" s="28"/>
      <c r="U39044" s="28"/>
    </row>
    <row r="39045">
      <c r="N39045" s="28"/>
      <c r="O39045" s="28"/>
      <c r="U39045" s="28"/>
    </row>
    <row r="39046">
      <c r="N39046" s="28"/>
      <c r="O39046" s="28"/>
      <c r="U39046" s="28"/>
    </row>
    <row r="39047">
      <c r="N39047" s="28"/>
      <c r="O39047" s="28"/>
      <c r="U39047" s="28"/>
    </row>
    <row r="39048">
      <c r="N39048" s="28"/>
      <c r="O39048" s="28"/>
      <c r="U39048" s="28"/>
    </row>
    <row r="39049">
      <c r="N39049" s="28"/>
      <c r="O39049" s="28"/>
      <c r="U39049" s="28"/>
    </row>
    <row r="39050">
      <c r="N39050" s="28"/>
      <c r="O39050" s="28"/>
      <c r="U39050" s="28"/>
    </row>
    <row r="39051">
      <c r="N39051" s="28"/>
      <c r="O39051" s="28"/>
      <c r="U39051" s="28"/>
    </row>
    <row r="39052">
      <c r="N39052" s="28"/>
      <c r="O39052" s="28"/>
      <c r="U39052" s="28"/>
    </row>
    <row r="39053">
      <c r="N39053" s="28"/>
      <c r="O39053" s="28"/>
      <c r="U39053" s="28"/>
    </row>
    <row r="39054">
      <c r="N39054" s="28"/>
      <c r="O39054" s="28"/>
      <c r="U39054" s="28"/>
    </row>
    <row r="39055">
      <c r="N39055" s="28"/>
      <c r="O39055" s="28"/>
      <c r="U39055" s="28"/>
    </row>
    <row r="39056">
      <c r="N39056" s="28"/>
      <c r="O39056" s="28"/>
      <c r="U39056" s="28"/>
    </row>
    <row r="39057">
      <c r="N39057" s="28"/>
      <c r="O39057" s="28"/>
      <c r="U39057" s="28"/>
    </row>
    <row r="39058">
      <c r="N39058" s="28"/>
      <c r="O39058" s="28"/>
      <c r="U39058" s="28"/>
    </row>
    <row r="39059">
      <c r="N39059" s="28"/>
      <c r="O39059" s="28"/>
      <c r="U39059" s="28"/>
    </row>
    <row r="39060">
      <c r="N39060" s="28"/>
      <c r="O39060" s="28"/>
      <c r="U39060" s="28"/>
    </row>
    <row r="39061">
      <c r="N39061" s="28"/>
      <c r="O39061" s="28"/>
      <c r="U39061" s="28"/>
    </row>
    <row r="39062">
      <c r="N39062" s="28"/>
      <c r="O39062" s="28"/>
      <c r="U39062" s="28"/>
    </row>
    <row r="39063">
      <c r="N39063" s="28"/>
      <c r="O39063" s="28"/>
      <c r="U39063" s="28"/>
    </row>
    <row r="39064">
      <c r="N39064" s="28"/>
      <c r="O39064" s="28"/>
      <c r="U39064" s="28"/>
    </row>
    <row r="39065">
      <c r="N39065" s="28"/>
      <c r="O39065" s="28"/>
      <c r="U39065" s="28"/>
    </row>
    <row r="39066">
      <c r="N39066" s="28"/>
      <c r="O39066" s="28"/>
      <c r="U39066" s="28"/>
    </row>
    <row r="39067">
      <c r="N39067" s="28"/>
      <c r="O39067" s="28"/>
      <c r="U39067" s="28"/>
    </row>
    <row r="39068">
      <c r="N39068" s="28"/>
      <c r="O39068" s="28"/>
      <c r="U39068" s="28"/>
    </row>
    <row r="39069">
      <c r="N39069" s="28"/>
      <c r="O39069" s="28"/>
      <c r="U39069" s="28"/>
    </row>
    <row r="39070">
      <c r="N39070" s="28"/>
      <c r="O39070" s="28"/>
      <c r="U39070" s="28"/>
    </row>
    <row r="39071">
      <c r="N39071" s="28"/>
      <c r="O39071" s="28"/>
      <c r="U39071" s="28"/>
    </row>
    <row r="39072">
      <c r="N39072" s="28"/>
      <c r="O39072" s="28"/>
      <c r="U39072" s="28"/>
    </row>
    <row r="39073">
      <c r="N39073" s="28"/>
      <c r="O39073" s="28"/>
      <c r="U39073" s="28"/>
    </row>
    <row r="39074">
      <c r="N39074" s="28"/>
      <c r="O39074" s="28"/>
      <c r="U39074" s="28"/>
    </row>
    <row r="39075">
      <c r="N39075" s="28"/>
      <c r="O39075" s="28"/>
      <c r="U39075" s="28"/>
    </row>
    <row r="39076">
      <c r="N39076" s="28"/>
      <c r="O39076" s="28"/>
      <c r="U39076" s="28"/>
    </row>
    <row r="39077">
      <c r="N39077" s="28"/>
      <c r="O39077" s="28"/>
      <c r="U39077" s="28"/>
    </row>
    <row r="39078">
      <c r="N39078" s="28"/>
      <c r="O39078" s="28"/>
      <c r="U39078" s="28"/>
    </row>
    <row r="39079">
      <c r="N39079" s="28"/>
      <c r="O39079" s="28"/>
      <c r="U39079" s="28"/>
    </row>
    <row r="39080">
      <c r="N39080" s="28"/>
      <c r="O39080" s="28"/>
      <c r="U39080" s="28"/>
    </row>
    <row r="39081">
      <c r="N39081" s="28"/>
      <c r="O39081" s="28"/>
      <c r="U39081" s="28"/>
    </row>
    <row r="39082">
      <c r="N39082" s="28"/>
      <c r="O39082" s="28"/>
      <c r="U39082" s="28"/>
    </row>
    <row r="39083">
      <c r="N39083" s="28"/>
      <c r="O39083" s="28"/>
      <c r="U39083" s="28"/>
    </row>
    <row r="39084">
      <c r="N39084" s="28"/>
      <c r="O39084" s="28"/>
      <c r="U39084" s="28"/>
    </row>
    <row r="39085">
      <c r="N39085" s="28"/>
      <c r="O39085" s="28"/>
      <c r="U39085" s="28"/>
    </row>
    <row r="39086">
      <c r="N39086" s="28"/>
      <c r="O39086" s="28"/>
      <c r="U39086" s="28"/>
    </row>
    <row r="39087">
      <c r="N39087" s="28"/>
      <c r="O39087" s="28"/>
      <c r="U39087" s="28"/>
    </row>
    <row r="39088">
      <c r="N39088" s="28"/>
      <c r="O39088" s="28"/>
      <c r="U39088" s="28"/>
    </row>
    <row r="39089">
      <c r="N39089" s="28"/>
      <c r="O39089" s="28"/>
      <c r="U39089" s="28"/>
    </row>
    <row r="39090">
      <c r="N39090" s="28"/>
      <c r="O39090" s="28"/>
      <c r="U39090" s="28"/>
    </row>
    <row r="39091">
      <c r="N39091" s="28"/>
      <c r="O39091" s="28"/>
      <c r="U39091" s="28"/>
    </row>
    <row r="39092">
      <c r="N39092" s="28"/>
      <c r="O39092" s="28"/>
      <c r="U39092" s="28"/>
    </row>
    <row r="39093">
      <c r="N39093" s="28"/>
      <c r="O39093" s="28"/>
      <c r="U39093" s="28"/>
    </row>
    <row r="39094">
      <c r="N39094" s="28"/>
      <c r="O39094" s="28"/>
      <c r="U39094" s="28"/>
    </row>
    <row r="39095">
      <c r="N39095" s="28"/>
      <c r="O39095" s="28"/>
      <c r="U39095" s="28"/>
    </row>
    <row r="39096">
      <c r="N39096" s="28"/>
      <c r="O39096" s="28"/>
      <c r="U39096" s="28"/>
    </row>
    <row r="39097">
      <c r="N39097" s="28"/>
      <c r="O39097" s="28"/>
      <c r="U39097" s="28"/>
    </row>
    <row r="39098">
      <c r="N39098" s="28"/>
      <c r="O39098" s="28"/>
      <c r="U39098" s="28"/>
    </row>
    <row r="39099">
      <c r="N39099" s="28"/>
      <c r="O39099" s="28"/>
      <c r="U39099" s="28"/>
    </row>
    <row r="39100">
      <c r="N39100" s="28"/>
      <c r="O39100" s="28"/>
      <c r="U39100" s="28"/>
    </row>
    <row r="39101">
      <c r="N39101" s="28"/>
      <c r="O39101" s="28"/>
      <c r="U39101" s="28"/>
    </row>
    <row r="39102">
      <c r="N39102" s="28"/>
      <c r="O39102" s="28"/>
      <c r="U39102" s="28"/>
    </row>
    <row r="39103">
      <c r="N39103" s="28"/>
      <c r="O39103" s="28"/>
      <c r="U39103" s="28"/>
    </row>
    <row r="39104">
      <c r="N39104" s="28"/>
      <c r="O39104" s="28"/>
      <c r="U39104" s="28"/>
    </row>
    <row r="39105">
      <c r="N39105" s="28"/>
      <c r="O39105" s="28"/>
      <c r="U39105" s="28"/>
    </row>
    <row r="39106">
      <c r="N39106" s="28"/>
      <c r="O39106" s="28"/>
      <c r="U39106" s="28"/>
    </row>
    <row r="39107">
      <c r="N39107" s="28"/>
      <c r="O39107" s="28"/>
      <c r="U39107" s="28"/>
    </row>
    <row r="39108">
      <c r="N39108" s="28"/>
      <c r="O39108" s="28"/>
      <c r="U39108" s="28"/>
    </row>
    <row r="39109">
      <c r="N39109" s="28"/>
      <c r="O39109" s="28"/>
      <c r="U39109" s="28"/>
    </row>
    <row r="39110">
      <c r="N39110" s="28"/>
      <c r="O39110" s="28"/>
      <c r="U39110" s="28"/>
    </row>
    <row r="39111">
      <c r="N39111" s="28"/>
      <c r="O39111" s="28"/>
      <c r="U39111" s="28"/>
    </row>
    <row r="39112">
      <c r="N39112" s="28"/>
      <c r="O39112" s="28"/>
      <c r="U39112" s="28"/>
    </row>
    <row r="39113">
      <c r="N39113" s="28"/>
      <c r="O39113" s="28"/>
      <c r="U39113" s="28"/>
    </row>
    <row r="39114">
      <c r="N39114" s="28"/>
      <c r="O39114" s="28"/>
      <c r="U39114" s="28"/>
    </row>
    <row r="39115">
      <c r="N39115" s="28"/>
      <c r="O39115" s="28"/>
      <c r="U39115" s="28"/>
    </row>
    <row r="39116">
      <c r="N39116" s="28"/>
      <c r="O39116" s="28"/>
      <c r="U39116" s="28"/>
    </row>
    <row r="39117">
      <c r="N39117" s="28"/>
      <c r="O39117" s="28"/>
      <c r="U39117" s="28"/>
    </row>
    <row r="39118">
      <c r="N39118" s="28"/>
      <c r="O39118" s="28"/>
      <c r="U39118" s="28"/>
    </row>
    <row r="39119">
      <c r="N39119" s="28"/>
      <c r="O39119" s="28"/>
      <c r="U39119" s="28"/>
    </row>
    <row r="39120">
      <c r="N39120" s="28"/>
      <c r="O39120" s="28"/>
      <c r="U39120" s="28"/>
    </row>
    <row r="39121">
      <c r="N39121" s="28"/>
      <c r="O39121" s="28"/>
      <c r="U39121" s="28"/>
    </row>
    <row r="39122">
      <c r="N39122" s="28"/>
      <c r="O39122" s="28"/>
      <c r="U39122" s="28"/>
    </row>
    <row r="39123">
      <c r="N39123" s="28"/>
      <c r="O39123" s="28"/>
      <c r="U39123" s="28"/>
    </row>
    <row r="39124">
      <c r="N39124" s="28"/>
      <c r="O39124" s="28"/>
      <c r="U39124" s="28"/>
    </row>
    <row r="39125">
      <c r="N39125" s="28"/>
      <c r="O39125" s="28"/>
      <c r="U39125" s="28"/>
    </row>
    <row r="39126">
      <c r="N39126" s="28"/>
      <c r="O39126" s="28"/>
      <c r="U39126" s="28"/>
    </row>
    <row r="39127">
      <c r="N39127" s="28"/>
      <c r="O39127" s="28"/>
      <c r="U39127" s="28"/>
    </row>
    <row r="39128">
      <c r="N39128" s="28"/>
      <c r="O39128" s="28"/>
      <c r="U39128" s="28"/>
    </row>
    <row r="39129">
      <c r="N39129" s="28"/>
      <c r="O39129" s="28"/>
      <c r="U39129" s="28"/>
    </row>
    <row r="39130">
      <c r="N39130" s="28"/>
      <c r="O39130" s="28"/>
      <c r="U39130" s="28"/>
    </row>
    <row r="39131">
      <c r="N39131" s="28"/>
      <c r="O39131" s="28"/>
      <c r="U39131" s="28"/>
    </row>
    <row r="39132">
      <c r="N39132" s="28"/>
      <c r="O39132" s="28"/>
      <c r="U39132" s="28"/>
    </row>
    <row r="39133">
      <c r="N39133" s="28"/>
      <c r="O39133" s="28"/>
      <c r="U39133" s="28"/>
    </row>
    <row r="39134">
      <c r="N39134" s="28"/>
      <c r="O39134" s="28"/>
      <c r="U39134" s="28"/>
    </row>
    <row r="39135">
      <c r="N39135" s="28"/>
      <c r="O39135" s="28"/>
      <c r="U39135" s="28"/>
    </row>
    <row r="39136">
      <c r="N39136" s="28"/>
      <c r="O39136" s="28"/>
      <c r="U39136" s="28"/>
    </row>
    <row r="39137">
      <c r="N39137" s="28"/>
      <c r="O39137" s="28"/>
      <c r="U39137" s="28"/>
    </row>
    <row r="39138">
      <c r="N39138" s="28"/>
      <c r="O39138" s="28"/>
      <c r="U39138" s="28"/>
    </row>
    <row r="39139">
      <c r="N39139" s="28"/>
      <c r="O39139" s="28"/>
      <c r="U39139" s="28"/>
    </row>
    <row r="39140">
      <c r="N39140" s="28"/>
      <c r="O39140" s="28"/>
      <c r="U39140" s="28"/>
    </row>
    <row r="39141">
      <c r="N39141" s="28"/>
      <c r="O39141" s="28"/>
      <c r="U39141" s="28"/>
    </row>
    <row r="39142">
      <c r="N39142" s="28"/>
      <c r="O39142" s="28"/>
      <c r="U39142" s="28"/>
    </row>
    <row r="39143">
      <c r="N39143" s="28"/>
      <c r="O39143" s="28"/>
      <c r="U39143" s="28"/>
    </row>
    <row r="39144">
      <c r="N39144" s="28"/>
      <c r="O39144" s="28"/>
      <c r="U39144" s="28"/>
    </row>
    <row r="39145">
      <c r="N39145" s="28"/>
      <c r="O39145" s="28"/>
      <c r="U39145" s="28"/>
    </row>
    <row r="39146">
      <c r="N39146" s="28"/>
      <c r="O39146" s="28"/>
      <c r="U39146" s="28"/>
    </row>
    <row r="39147">
      <c r="N39147" s="28"/>
      <c r="O39147" s="28"/>
      <c r="U39147" s="28"/>
    </row>
    <row r="39148">
      <c r="N39148" s="28"/>
      <c r="O39148" s="28"/>
      <c r="U39148" s="28"/>
    </row>
    <row r="39149">
      <c r="N39149" s="28"/>
      <c r="O39149" s="28"/>
      <c r="U39149" s="28"/>
    </row>
    <row r="39150">
      <c r="N39150" s="28"/>
      <c r="O39150" s="28"/>
      <c r="U39150" s="28"/>
    </row>
    <row r="39151">
      <c r="N39151" s="28"/>
      <c r="O39151" s="28"/>
      <c r="U39151" s="28"/>
    </row>
    <row r="39152">
      <c r="N39152" s="28"/>
      <c r="O39152" s="28"/>
      <c r="U39152" s="28"/>
    </row>
    <row r="39153">
      <c r="N39153" s="28"/>
      <c r="O39153" s="28"/>
      <c r="U39153" s="28"/>
    </row>
    <row r="39154">
      <c r="N39154" s="28"/>
      <c r="O39154" s="28"/>
      <c r="U39154" s="28"/>
    </row>
    <row r="39155">
      <c r="N39155" s="28"/>
      <c r="O39155" s="28"/>
      <c r="U39155" s="28"/>
    </row>
    <row r="39156">
      <c r="N39156" s="28"/>
      <c r="O39156" s="28"/>
      <c r="U39156" s="28"/>
    </row>
    <row r="39157">
      <c r="N39157" s="28"/>
      <c r="O39157" s="28"/>
      <c r="U39157" s="28"/>
    </row>
    <row r="39158">
      <c r="N39158" s="28"/>
      <c r="O39158" s="28"/>
      <c r="U39158" s="28"/>
    </row>
    <row r="39159">
      <c r="N39159" s="28"/>
      <c r="O39159" s="28"/>
      <c r="U39159" s="28"/>
    </row>
    <row r="39160">
      <c r="N39160" s="28"/>
      <c r="O39160" s="28"/>
      <c r="U39160" s="28"/>
    </row>
    <row r="39161">
      <c r="N39161" s="28"/>
      <c r="O39161" s="28"/>
      <c r="U39161" s="28"/>
    </row>
    <row r="39162">
      <c r="N39162" s="28"/>
      <c r="O39162" s="28"/>
      <c r="U39162" s="28"/>
    </row>
    <row r="39163">
      <c r="N39163" s="28"/>
      <c r="O39163" s="28"/>
      <c r="U39163" s="28"/>
    </row>
    <row r="39164">
      <c r="N39164" s="28"/>
      <c r="O39164" s="28"/>
      <c r="U39164" s="28"/>
    </row>
    <row r="39165">
      <c r="N39165" s="28"/>
      <c r="O39165" s="28"/>
      <c r="U39165" s="28"/>
    </row>
    <row r="39166">
      <c r="N39166" s="28"/>
      <c r="O39166" s="28"/>
      <c r="U39166" s="28"/>
    </row>
    <row r="39167">
      <c r="N39167" s="28"/>
      <c r="O39167" s="28"/>
      <c r="U39167" s="28"/>
    </row>
    <row r="39168">
      <c r="N39168" s="28"/>
      <c r="O39168" s="28"/>
      <c r="U39168" s="28"/>
    </row>
    <row r="39169">
      <c r="N39169" s="28"/>
      <c r="O39169" s="28"/>
      <c r="U39169" s="28"/>
    </row>
    <row r="39170">
      <c r="N39170" s="28"/>
      <c r="O39170" s="28"/>
      <c r="U39170" s="28"/>
    </row>
    <row r="39171">
      <c r="N39171" s="28"/>
      <c r="O39171" s="28"/>
      <c r="U39171" s="28"/>
    </row>
    <row r="39172">
      <c r="N39172" s="28"/>
      <c r="O39172" s="28"/>
      <c r="U39172" s="28"/>
    </row>
    <row r="39173">
      <c r="N39173" s="28"/>
      <c r="O39173" s="28"/>
      <c r="U39173" s="28"/>
    </row>
    <row r="39174">
      <c r="N39174" s="28"/>
      <c r="O39174" s="28"/>
      <c r="U39174" s="28"/>
    </row>
    <row r="39175">
      <c r="N39175" s="28"/>
      <c r="O39175" s="28"/>
      <c r="U39175" s="28"/>
    </row>
    <row r="39176">
      <c r="N39176" s="28"/>
      <c r="O39176" s="28"/>
      <c r="U39176" s="28"/>
    </row>
    <row r="39177">
      <c r="N39177" s="28"/>
      <c r="O39177" s="28"/>
      <c r="U39177" s="28"/>
    </row>
    <row r="39178">
      <c r="N39178" s="28"/>
      <c r="O39178" s="28"/>
      <c r="U39178" s="28"/>
    </row>
    <row r="39179">
      <c r="N39179" s="28"/>
      <c r="O39179" s="28"/>
      <c r="U39179" s="28"/>
    </row>
    <row r="39180">
      <c r="N39180" s="28"/>
      <c r="O39180" s="28"/>
      <c r="U39180" s="28"/>
    </row>
    <row r="39181">
      <c r="N39181" s="28"/>
      <c r="O39181" s="28"/>
      <c r="U39181" s="28"/>
    </row>
    <row r="39182">
      <c r="N39182" s="28"/>
      <c r="O39182" s="28"/>
      <c r="U39182" s="28"/>
    </row>
    <row r="39183">
      <c r="N39183" s="28"/>
      <c r="O39183" s="28"/>
      <c r="U39183" s="28"/>
    </row>
    <row r="39184">
      <c r="N39184" s="28"/>
      <c r="O39184" s="28"/>
      <c r="U39184" s="28"/>
    </row>
    <row r="39185">
      <c r="N39185" s="28"/>
      <c r="O39185" s="28"/>
      <c r="U39185" s="28"/>
    </row>
    <row r="39186">
      <c r="N39186" s="28"/>
      <c r="O39186" s="28"/>
      <c r="U39186" s="28"/>
    </row>
    <row r="39187">
      <c r="N39187" s="28"/>
      <c r="O39187" s="28"/>
      <c r="U39187" s="28"/>
    </row>
    <row r="39188">
      <c r="N39188" s="28"/>
      <c r="O39188" s="28"/>
      <c r="U39188" s="28"/>
    </row>
    <row r="39189">
      <c r="N39189" s="28"/>
      <c r="O39189" s="28"/>
      <c r="U39189" s="28"/>
    </row>
    <row r="39190">
      <c r="N39190" s="28"/>
      <c r="O39190" s="28"/>
      <c r="U39190" s="28"/>
    </row>
    <row r="39191">
      <c r="N39191" s="28"/>
      <c r="O39191" s="28"/>
      <c r="U39191" s="28"/>
    </row>
    <row r="39192">
      <c r="N39192" s="28"/>
      <c r="O39192" s="28"/>
      <c r="U39192" s="28"/>
    </row>
    <row r="39193">
      <c r="N39193" s="28"/>
      <c r="O39193" s="28"/>
      <c r="U39193" s="28"/>
    </row>
    <row r="39194">
      <c r="N39194" s="28"/>
      <c r="O39194" s="28"/>
      <c r="U39194" s="28"/>
    </row>
    <row r="39195">
      <c r="N39195" s="28"/>
      <c r="O39195" s="28"/>
      <c r="U39195" s="28"/>
    </row>
    <row r="39196">
      <c r="N39196" s="28"/>
      <c r="O39196" s="28"/>
      <c r="U39196" s="28"/>
    </row>
    <row r="39197">
      <c r="N39197" s="28"/>
      <c r="O39197" s="28"/>
      <c r="U39197" s="28"/>
    </row>
    <row r="39198">
      <c r="N39198" s="28"/>
      <c r="O39198" s="28"/>
      <c r="U39198" s="28"/>
    </row>
    <row r="39199">
      <c r="N39199" s="28"/>
      <c r="O39199" s="28"/>
      <c r="U39199" s="28"/>
    </row>
    <row r="39200">
      <c r="N39200" s="28"/>
      <c r="O39200" s="28"/>
      <c r="U39200" s="28"/>
    </row>
    <row r="39201">
      <c r="N39201" s="28"/>
      <c r="O39201" s="28"/>
      <c r="U39201" s="28"/>
    </row>
    <row r="39202">
      <c r="N39202" s="28"/>
      <c r="O39202" s="28"/>
      <c r="U39202" s="28"/>
    </row>
    <row r="39203">
      <c r="N39203" s="28"/>
      <c r="O39203" s="28"/>
      <c r="U39203" s="28"/>
    </row>
    <row r="39204">
      <c r="N39204" s="28"/>
      <c r="O39204" s="28"/>
      <c r="U39204" s="28"/>
    </row>
    <row r="39205">
      <c r="N39205" s="28"/>
      <c r="O39205" s="28"/>
      <c r="U39205" s="28"/>
    </row>
    <row r="39206">
      <c r="N39206" s="28"/>
      <c r="O39206" s="28"/>
      <c r="U39206" s="28"/>
    </row>
    <row r="39207">
      <c r="N39207" s="28"/>
      <c r="O39207" s="28"/>
      <c r="U39207" s="28"/>
    </row>
    <row r="39208">
      <c r="N39208" s="28"/>
      <c r="O39208" s="28"/>
      <c r="U39208" s="28"/>
    </row>
    <row r="39209">
      <c r="N39209" s="28"/>
      <c r="O39209" s="28"/>
      <c r="U39209" s="28"/>
    </row>
    <row r="39210">
      <c r="N39210" s="28"/>
      <c r="O39210" s="28"/>
      <c r="U39210" s="28"/>
    </row>
    <row r="39211">
      <c r="N39211" s="28"/>
      <c r="O39211" s="28"/>
      <c r="U39211" s="28"/>
    </row>
    <row r="39212">
      <c r="N39212" s="28"/>
      <c r="O39212" s="28"/>
      <c r="U39212" s="28"/>
    </row>
    <row r="39213">
      <c r="N39213" s="28"/>
      <c r="O39213" s="28"/>
      <c r="U39213" s="28"/>
    </row>
    <row r="39214">
      <c r="N39214" s="28"/>
      <c r="O39214" s="28"/>
      <c r="U39214" s="28"/>
    </row>
    <row r="39215">
      <c r="N39215" s="28"/>
      <c r="O39215" s="28"/>
      <c r="U39215" s="28"/>
    </row>
    <row r="39216">
      <c r="N39216" s="28"/>
      <c r="O39216" s="28"/>
      <c r="U39216" s="28"/>
    </row>
    <row r="39217">
      <c r="N39217" s="28"/>
      <c r="O39217" s="28"/>
      <c r="U39217" s="28"/>
    </row>
    <row r="39218">
      <c r="N39218" s="28"/>
      <c r="O39218" s="28"/>
      <c r="U39218" s="28"/>
    </row>
    <row r="39219">
      <c r="N39219" s="28"/>
      <c r="O39219" s="28"/>
      <c r="U39219" s="28"/>
    </row>
    <row r="39220">
      <c r="N39220" s="28"/>
      <c r="O39220" s="28"/>
      <c r="U39220" s="28"/>
    </row>
    <row r="39221">
      <c r="N39221" s="28"/>
      <c r="O39221" s="28"/>
      <c r="U39221" s="28"/>
    </row>
    <row r="39222">
      <c r="N39222" s="28"/>
      <c r="O39222" s="28"/>
      <c r="U39222" s="28"/>
    </row>
    <row r="39223">
      <c r="N39223" s="28"/>
      <c r="O39223" s="28"/>
      <c r="U39223" s="28"/>
    </row>
    <row r="39224">
      <c r="N39224" s="28"/>
      <c r="O39224" s="28"/>
      <c r="U39224" s="28"/>
    </row>
    <row r="39225">
      <c r="N39225" s="28"/>
      <c r="O39225" s="28"/>
      <c r="U39225" s="28"/>
    </row>
    <row r="39226">
      <c r="N39226" s="28"/>
      <c r="O39226" s="28"/>
      <c r="U39226" s="28"/>
    </row>
    <row r="39227">
      <c r="N39227" s="28"/>
      <c r="O39227" s="28"/>
      <c r="U39227" s="28"/>
    </row>
    <row r="39228">
      <c r="N39228" s="28"/>
      <c r="O39228" s="28"/>
      <c r="U39228" s="28"/>
    </row>
    <row r="39229">
      <c r="N39229" s="28"/>
      <c r="O39229" s="28"/>
      <c r="U39229" s="28"/>
    </row>
    <row r="39230">
      <c r="N39230" s="28"/>
      <c r="O39230" s="28"/>
      <c r="U39230" s="28"/>
    </row>
    <row r="39231">
      <c r="N39231" s="28"/>
      <c r="O39231" s="28"/>
      <c r="U39231" s="28"/>
    </row>
    <row r="39232">
      <c r="N39232" s="28"/>
      <c r="O39232" s="28"/>
      <c r="U39232" s="28"/>
    </row>
    <row r="39233">
      <c r="N39233" s="28"/>
      <c r="O39233" s="28"/>
      <c r="U39233" s="28"/>
    </row>
    <row r="39234">
      <c r="N39234" s="28"/>
      <c r="O39234" s="28"/>
      <c r="U39234" s="28"/>
    </row>
    <row r="39235">
      <c r="N39235" s="28"/>
      <c r="O39235" s="28"/>
      <c r="U39235" s="28"/>
    </row>
    <row r="39236">
      <c r="N39236" s="28"/>
      <c r="O39236" s="28"/>
      <c r="U39236" s="28"/>
    </row>
    <row r="39237">
      <c r="N39237" s="28"/>
      <c r="O39237" s="28"/>
      <c r="U39237" s="28"/>
    </row>
    <row r="39238">
      <c r="N39238" s="28"/>
      <c r="O39238" s="28"/>
      <c r="U39238" s="28"/>
    </row>
    <row r="39239">
      <c r="N39239" s="28"/>
      <c r="O39239" s="28"/>
      <c r="U39239" s="28"/>
    </row>
    <row r="39240">
      <c r="N39240" s="28"/>
      <c r="O39240" s="28"/>
      <c r="U39240" s="28"/>
    </row>
    <row r="39241">
      <c r="N39241" s="28"/>
      <c r="O39241" s="28"/>
      <c r="U39241" s="28"/>
    </row>
    <row r="39242">
      <c r="N39242" s="28"/>
      <c r="O39242" s="28"/>
      <c r="U39242" s="28"/>
    </row>
    <row r="39243">
      <c r="N39243" s="28"/>
      <c r="O39243" s="28"/>
      <c r="U39243" s="28"/>
    </row>
    <row r="39244">
      <c r="N39244" s="28"/>
      <c r="O39244" s="28"/>
      <c r="U39244" s="28"/>
    </row>
    <row r="39245">
      <c r="N39245" s="28"/>
      <c r="O39245" s="28"/>
      <c r="U39245" s="28"/>
    </row>
    <row r="39246">
      <c r="N39246" s="28"/>
      <c r="O39246" s="28"/>
      <c r="U39246" s="28"/>
    </row>
    <row r="39247">
      <c r="N39247" s="28"/>
      <c r="O39247" s="28"/>
      <c r="U39247" s="28"/>
    </row>
    <row r="39248">
      <c r="N39248" s="28"/>
      <c r="O39248" s="28"/>
      <c r="U39248" s="28"/>
    </row>
    <row r="39249">
      <c r="N39249" s="28"/>
      <c r="O39249" s="28"/>
      <c r="U39249" s="28"/>
    </row>
    <row r="39250">
      <c r="N39250" s="28"/>
      <c r="O39250" s="28"/>
      <c r="U39250" s="28"/>
    </row>
    <row r="39251">
      <c r="N39251" s="28"/>
      <c r="O39251" s="28"/>
      <c r="U39251" s="28"/>
    </row>
    <row r="39252">
      <c r="N39252" s="28"/>
      <c r="O39252" s="28"/>
      <c r="U39252" s="28"/>
    </row>
    <row r="39253">
      <c r="N39253" s="28"/>
      <c r="O39253" s="28"/>
      <c r="U39253" s="28"/>
    </row>
    <row r="39254">
      <c r="N39254" s="28"/>
      <c r="O39254" s="28"/>
      <c r="U39254" s="28"/>
    </row>
    <row r="39255">
      <c r="N39255" s="28"/>
      <c r="O39255" s="28"/>
      <c r="U39255" s="28"/>
    </row>
    <row r="39256">
      <c r="N39256" s="28"/>
      <c r="O39256" s="28"/>
      <c r="U39256" s="28"/>
    </row>
    <row r="39257">
      <c r="N39257" s="28"/>
      <c r="O39257" s="28"/>
      <c r="U39257" s="28"/>
    </row>
    <row r="39258">
      <c r="N39258" s="28"/>
      <c r="O39258" s="28"/>
      <c r="U39258" s="28"/>
    </row>
    <row r="39259">
      <c r="N39259" s="28"/>
      <c r="O39259" s="28"/>
      <c r="U39259" s="28"/>
    </row>
    <row r="39260">
      <c r="N39260" s="28"/>
      <c r="O39260" s="28"/>
      <c r="U39260" s="28"/>
    </row>
    <row r="39261">
      <c r="N39261" s="28"/>
      <c r="O39261" s="28"/>
      <c r="U39261" s="28"/>
    </row>
    <row r="39262">
      <c r="N39262" s="28"/>
      <c r="O39262" s="28"/>
      <c r="U39262" s="28"/>
    </row>
    <row r="39263">
      <c r="N39263" s="28"/>
      <c r="O39263" s="28"/>
      <c r="U39263" s="28"/>
    </row>
    <row r="39264">
      <c r="N39264" s="28"/>
      <c r="O39264" s="28"/>
      <c r="U39264" s="28"/>
    </row>
    <row r="39265">
      <c r="N39265" s="28"/>
      <c r="O39265" s="28"/>
      <c r="U39265" s="28"/>
    </row>
    <row r="39266">
      <c r="N39266" s="28"/>
      <c r="O39266" s="28"/>
      <c r="U39266" s="28"/>
    </row>
    <row r="39267">
      <c r="N39267" s="28"/>
      <c r="O39267" s="28"/>
      <c r="U39267" s="28"/>
    </row>
    <row r="39268">
      <c r="N39268" s="28"/>
      <c r="O39268" s="28"/>
      <c r="U39268" s="28"/>
    </row>
    <row r="39269">
      <c r="N39269" s="28"/>
      <c r="O39269" s="28"/>
      <c r="U39269" s="28"/>
    </row>
    <row r="39270">
      <c r="N39270" s="28"/>
      <c r="O39270" s="28"/>
      <c r="U39270" s="28"/>
    </row>
    <row r="39271">
      <c r="N39271" s="28"/>
      <c r="O39271" s="28"/>
      <c r="U39271" s="28"/>
    </row>
    <row r="39272">
      <c r="N39272" s="28"/>
      <c r="O39272" s="28"/>
      <c r="U39272" s="28"/>
    </row>
    <row r="39273">
      <c r="N39273" s="28"/>
      <c r="O39273" s="28"/>
      <c r="U39273" s="28"/>
    </row>
    <row r="39274">
      <c r="N39274" s="28"/>
      <c r="O39274" s="28"/>
      <c r="U39274" s="28"/>
    </row>
    <row r="39275">
      <c r="N39275" s="28"/>
      <c r="O39275" s="28"/>
      <c r="U39275" s="28"/>
    </row>
    <row r="39276">
      <c r="N39276" s="28"/>
      <c r="O39276" s="28"/>
      <c r="U39276" s="28"/>
    </row>
    <row r="39277">
      <c r="N39277" s="28"/>
      <c r="O39277" s="28"/>
      <c r="U39277" s="28"/>
    </row>
    <row r="39278">
      <c r="N39278" s="28"/>
      <c r="O39278" s="28"/>
      <c r="U39278" s="28"/>
    </row>
    <row r="39279">
      <c r="N39279" s="28"/>
      <c r="O39279" s="28"/>
      <c r="U39279" s="28"/>
    </row>
    <row r="39280">
      <c r="N39280" s="28"/>
      <c r="O39280" s="28"/>
      <c r="U39280" s="28"/>
    </row>
    <row r="39281">
      <c r="N39281" s="28"/>
      <c r="O39281" s="28"/>
      <c r="U39281" s="28"/>
    </row>
    <row r="39282">
      <c r="N39282" s="28"/>
      <c r="O39282" s="28"/>
      <c r="U39282" s="28"/>
    </row>
    <row r="39283">
      <c r="N39283" s="28"/>
      <c r="O39283" s="28"/>
      <c r="U39283" s="28"/>
    </row>
    <row r="39284">
      <c r="N39284" s="28"/>
      <c r="O39284" s="28"/>
      <c r="U39284" s="28"/>
    </row>
    <row r="39285">
      <c r="N39285" s="28"/>
      <c r="O39285" s="28"/>
      <c r="U39285" s="28"/>
    </row>
    <row r="39286">
      <c r="N39286" s="28"/>
      <c r="O39286" s="28"/>
      <c r="U39286" s="28"/>
    </row>
    <row r="39287">
      <c r="N39287" s="28"/>
      <c r="O39287" s="28"/>
      <c r="U39287" s="28"/>
    </row>
    <row r="39288">
      <c r="N39288" s="28"/>
      <c r="O39288" s="28"/>
      <c r="U39288" s="28"/>
    </row>
    <row r="39289">
      <c r="N39289" s="28"/>
      <c r="O39289" s="28"/>
      <c r="U39289" s="28"/>
    </row>
    <row r="39290">
      <c r="N39290" s="28"/>
      <c r="O39290" s="28"/>
      <c r="U39290" s="28"/>
    </row>
    <row r="39291">
      <c r="N39291" s="28"/>
      <c r="O39291" s="28"/>
      <c r="U39291" s="28"/>
    </row>
    <row r="39292">
      <c r="N39292" s="28"/>
      <c r="O39292" s="28"/>
      <c r="U39292" s="28"/>
    </row>
    <row r="39293">
      <c r="N39293" s="28"/>
      <c r="O39293" s="28"/>
      <c r="U39293" s="28"/>
    </row>
    <row r="39294">
      <c r="N39294" s="28"/>
      <c r="O39294" s="28"/>
      <c r="U39294" s="28"/>
    </row>
    <row r="39295">
      <c r="N39295" s="28"/>
      <c r="O39295" s="28"/>
      <c r="U39295" s="28"/>
    </row>
    <row r="39296">
      <c r="N39296" s="28"/>
      <c r="O39296" s="28"/>
      <c r="U39296" s="28"/>
    </row>
    <row r="39297">
      <c r="N39297" s="28"/>
      <c r="O39297" s="28"/>
      <c r="U39297" s="28"/>
    </row>
    <row r="39298">
      <c r="N39298" s="28"/>
      <c r="O39298" s="28"/>
      <c r="U39298" s="28"/>
    </row>
    <row r="39299">
      <c r="N39299" s="28"/>
      <c r="O39299" s="28"/>
      <c r="U39299" s="28"/>
    </row>
    <row r="39300">
      <c r="N39300" s="28"/>
      <c r="O39300" s="28"/>
      <c r="U39300" s="28"/>
    </row>
    <row r="39301">
      <c r="N39301" s="28"/>
      <c r="O39301" s="28"/>
      <c r="U39301" s="28"/>
    </row>
    <row r="39302">
      <c r="N39302" s="28"/>
      <c r="O39302" s="28"/>
      <c r="U39302" s="28"/>
    </row>
    <row r="39303">
      <c r="N39303" s="28"/>
      <c r="O39303" s="28"/>
      <c r="U39303" s="28"/>
    </row>
    <row r="39304">
      <c r="N39304" s="28"/>
      <c r="O39304" s="28"/>
      <c r="U39304" s="28"/>
    </row>
    <row r="39305">
      <c r="N39305" s="28"/>
      <c r="O39305" s="28"/>
      <c r="U39305" s="28"/>
    </row>
    <row r="39306">
      <c r="N39306" s="28"/>
      <c r="O39306" s="28"/>
      <c r="U39306" s="28"/>
    </row>
    <row r="39307">
      <c r="N39307" s="28"/>
      <c r="O39307" s="28"/>
      <c r="U39307" s="28"/>
    </row>
    <row r="39308">
      <c r="N39308" s="28"/>
      <c r="O39308" s="28"/>
      <c r="U39308" s="28"/>
    </row>
    <row r="39309">
      <c r="N39309" s="28"/>
      <c r="O39309" s="28"/>
      <c r="U39309" s="28"/>
    </row>
    <row r="39310">
      <c r="N39310" s="28"/>
      <c r="O39310" s="28"/>
      <c r="U39310" s="28"/>
    </row>
    <row r="39311">
      <c r="N39311" s="28"/>
      <c r="O39311" s="28"/>
      <c r="U39311" s="28"/>
    </row>
    <row r="39312">
      <c r="N39312" s="28"/>
      <c r="O39312" s="28"/>
      <c r="U39312" s="28"/>
    </row>
    <row r="39313">
      <c r="N39313" s="28"/>
      <c r="O39313" s="28"/>
      <c r="U39313" s="28"/>
    </row>
    <row r="39314">
      <c r="N39314" s="28"/>
      <c r="O39314" s="28"/>
      <c r="U39314" s="28"/>
    </row>
    <row r="39315">
      <c r="N39315" s="28"/>
      <c r="O39315" s="28"/>
      <c r="U39315" s="28"/>
    </row>
    <row r="39316">
      <c r="N39316" s="28"/>
      <c r="O39316" s="28"/>
      <c r="U39316" s="28"/>
    </row>
    <row r="39317">
      <c r="N39317" s="28"/>
      <c r="O39317" s="28"/>
      <c r="U39317" s="28"/>
    </row>
    <row r="39318">
      <c r="N39318" s="28"/>
      <c r="O39318" s="28"/>
      <c r="U39318" s="28"/>
    </row>
    <row r="39319">
      <c r="N39319" s="28"/>
      <c r="O39319" s="28"/>
      <c r="U39319" s="28"/>
    </row>
    <row r="39320">
      <c r="N39320" s="28"/>
      <c r="O39320" s="28"/>
      <c r="U39320" s="28"/>
    </row>
    <row r="39321">
      <c r="N39321" s="28"/>
      <c r="O39321" s="28"/>
      <c r="U39321" s="28"/>
    </row>
    <row r="39322">
      <c r="N39322" s="28"/>
      <c r="O39322" s="28"/>
      <c r="U39322" s="28"/>
    </row>
    <row r="39323">
      <c r="N39323" s="28"/>
      <c r="O39323" s="28"/>
      <c r="U39323" s="28"/>
    </row>
    <row r="39324">
      <c r="N39324" s="28"/>
      <c r="O39324" s="28"/>
      <c r="U39324" s="28"/>
    </row>
    <row r="39325">
      <c r="N39325" s="28"/>
      <c r="O39325" s="28"/>
      <c r="U39325" s="28"/>
    </row>
    <row r="39326">
      <c r="N39326" s="28"/>
      <c r="O39326" s="28"/>
      <c r="U39326" s="28"/>
    </row>
    <row r="39327">
      <c r="N39327" s="28"/>
      <c r="O39327" s="28"/>
      <c r="U39327" s="28"/>
    </row>
    <row r="39328">
      <c r="N39328" s="28"/>
      <c r="O39328" s="28"/>
      <c r="U39328" s="28"/>
    </row>
    <row r="39329">
      <c r="N39329" s="28"/>
      <c r="O39329" s="28"/>
      <c r="U39329" s="28"/>
    </row>
    <row r="39330">
      <c r="N39330" s="28"/>
      <c r="O39330" s="28"/>
      <c r="U39330" s="28"/>
    </row>
    <row r="39331">
      <c r="N39331" s="28"/>
      <c r="O39331" s="28"/>
      <c r="U39331" s="28"/>
    </row>
    <row r="39332">
      <c r="N39332" s="28"/>
      <c r="O39332" s="28"/>
      <c r="U39332" s="28"/>
    </row>
    <row r="39333">
      <c r="N39333" s="28"/>
      <c r="O39333" s="28"/>
      <c r="U39333" s="28"/>
    </row>
    <row r="39334">
      <c r="N39334" s="28"/>
      <c r="O39334" s="28"/>
      <c r="U39334" s="28"/>
    </row>
    <row r="39335">
      <c r="N39335" s="28"/>
      <c r="O39335" s="28"/>
      <c r="U39335" s="28"/>
    </row>
    <row r="39336">
      <c r="N39336" s="28"/>
      <c r="O39336" s="28"/>
      <c r="U39336" s="28"/>
    </row>
    <row r="39337">
      <c r="N39337" s="28"/>
      <c r="O39337" s="28"/>
      <c r="U39337" s="28"/>
    </row>
    <row r="39338">
      <c r="N39338" s="28"/>
      <c r="O39338" s="28"/>
      <c r="U39338" s="28"/>
    </row>
    <row r="39339">
      <c r="N39339" s="28"/>
      <c r="O39339" s="28"/>
      <c r="U39339" s="28"/>
    </row>
    <row r="39340">
      <c r="N39340" s="28"/>
      <c r="O39340" s="28"/>
      <c r="U39340" s="28"/>
    </row>
    <row r="39341">
      <c r="N39341" s="28"/>
      <c r="O39341" s="28"/>
      <c r="U39341" s="28"/>
    </row>
    <row r="39342">
      <c r="N39342" s="28"/>
      <c r="O39342" s="28"/>
      <c r="U39342" s="28"/>
    </row>
    <row r="39343">
      <c r="N39343" s="28"/>
      <c r="O39343" s="28"/>
      <c r="U39343" s="28"/>
    </row>
    <row r="39344">
      <c r="N39344" s="28"/>
      <c r="O39344" s="28"/>
      <c r="U39344" s="28"/>
    </row>
    <row r="39345">
      <c r="N39345" s="28"/>
      <c r="O39345" s="28"/>
      <c r="U39345" s="28"/>
    </row>
    <row r="39346">
      <c r="N39346" s="28"/>
      <c r="O39346" s="28"/>
      <c r="U39346" s="28"/>
    </row>
    <row r="39347">
      <c r="N39347" s="28"/>
      <c r="O39347" s="28"/>
      <c r="U39347" s="28"/>
    </row>
    <row r="39348">
      <c r="N39348" s="28"/>
      <c r="O39348" s="28"/>
      <c r="U39348" s="28"/>
    </row>
    <row r="39349">
      <c r="N39349" s="28"/>
      <c r="O39349" s="28"/>
      <c r="U39349" s="28"/>
    </row>
    <row r="39350">
      <c r="N39350" s="28"/>
      <c r="O39350" s="28"/>
      <c r="U39350" s="28"/>
    </row>
    <row r="39351">
      <c r="N39351" s="28"/>
      <c r="O39351" s="28"/>
      <c r="U39351" s="28"/>
    </row>
    <row r="39352">
      <c r="N39352" s="28"/>
      <c r="O39352" s="28"/>
      <c r="U39352" s="28"/>
    </row>
    <row r="39353">
      <c r="N39353" s="28"/>
      <c r="O39353" s="28"/>
      <c r="U39353" s="28"/>
    </row>
    <row r="39354">
      <c r="N39354" s="28"/>
      <c r="O39354" s="28"/>
      <c r="U39354" s="28"/>
    </row>
    <row r="39355">
      <c r="N39355" s="28"/>
      <c r="O39355" s="28"/>
      <c r="U39355" s="28"/>
    </row>
    <row r="39356">
      <c r="N39356" s="28"/>
      <c r="O39356" s="28"/>
      <c r="U39356" s="28"/>
    </row>
    <row r="39357">
      <c r="N39357" s="28"/>
      <c r="O39357" s="28"/>
      <c r="U39357" s="28"/>
    </row>
    <row r="39358">
      <c r="N39358" s="28"/>
      <c r="O39358" s="28"/>
      <c r="U39358" s="28"/>
    </row>
    <row r="39359">
      <c r="N39359" s="28"/>
      <c r="O39359" s="28"/>
      <c r="U39359" s="28"/>
    </row>
    <row r="39360">
      <c r="N39360" s="28"/>
      <c r="O39360" s="28"/>
      <c r="U39360" s="28"/>
    </row>
    <row r="39361">
      <c r="N39361" s="28"/>
      <c r="O39361" s="28"/>
      <c r="U39361" s="28"/>
    </row>
    <row r="39362">
      <c r="N39362" s="28"/>
      <c r="O39362" s="28"/>
      <c r="U39362" s="28"/>
    </row>
    <row r="39363">
      <c r="N39363" s="28"/>
      <c r="O39363" s="28"/>
      <c r="U39363" s="28"/>
    </row>
    <row r="39364">
      <c r="N39364" s="28"/>
      <c r="O39364" s="28"/>
      <c r="U39364" s="28"/>
    </row>
    <row r="39365">
      <c r="N39365" s="28"/>
      <c r="O39365" s="28"/>
      <c r="U39365" s="28"/>
    </row>
    <row r="39366">
      <c r="N39366" s="28"/>
      <c r="O39366" s="28"/>
      <c r="U39366" s="28"/>
    </row>
    <row r="39367">
      <c r="N39367" s="28"/>
      <c r="O39367" s="28"/>
      <c r="U39367" s="28"/>
    </row>
    <row r="39368">
      <c r="N39368" s="28"/>
      <c r="O39368" s="28"/>
      <c r="U39368" s="28"/>
    </row>
    <row r="39369">
      <c r="N39369" s="28"/>
      <c r="O39369" s="28"/>
      <c r="U39369" s="28"/>
    </row>
    <row r="39370">
      <c r="N39370" s="28"/>
      <c r="O39370" s="28"/>
      <c r="U39370" s="28"/>
    </row>
    <row r="39371">
      <c r="N39371" s="28"/>
      <c r="O39371" s="28"/>
      <c r="U39371" s="28"/>
    </row>
    <row r="39372">
      <c r="N39372" s="28"/>
      <c r="O39372" s="28"/>
      <c r="U39372" s="28"/>
    </row>
    <row r="39373">
      <c r="N39373" s="28"/>
      <c r="O39373" s="28"/>
      <c r="U39373" s="28"/>
    </row>
    <row r="39374">
      <c r="N39374" s="28"/>
      <c r="O39374" s="28"/>
      <c r="U39374" s="28"/>
    </row>
    <row r="39375">
      <c r="N39375" s="28"/>
      <c r="O39375" s="28"/>
      <c r="U39375" s="28"/>
    </row>
    <row r="39376">
      <c r="N39376" s="28"/>
      <c r="O39376" s="28"/>
      <c r="U39376" s="28"/>
    </row>
    <row r="39377">
      <c r="N39377" s="28"/>
      <c r="O39377" s="28"/>
      <c r="U39377" s="28"/>
    </row>
    <row r="39378">
      <c r="N39378" s="28"/>
      <c r="O39378" s="28"/>
      <c r="U39378" s="28"/>
    </row>
    <row r="39379">
      <c r="N39379" s="28"/>
      <c r="O39379" s="28"/>
      <c r="U39379" s="28"/>
    </row>
    <row r="39380">
      <c r="N39380" s="28"/>
      <c r="O39380" s="28"/>
      <c r="U39380" s="28"/>
    </row>
    <row r="39381">
      <c r="N39381" s="28"/>
      <c r="O39381" s="28"/>
      <c r="U39381" s="28"/>
    </row>
    <row r="39382">
      <c r="N39382" s="28"/>
      <c r="O39382" s="28"/>
      <c r="U39382" s="28"/>
    </row>
    <row r="39383">
      <c r="N39383" s="28"/>
      <c r="O39383" s="28"/>
      <c r="U39383" s="28"/>
    </row>
    <row r="39384">
      <c r="N39384" s="28"/>
      <c r="O39384" s="28"/>
      <c r="U39384" s="28"/>
    </row>
    <row r="39385">
      <c r="N39385" s="28"/>
      <c r="O39385" s="28"/>
      <c r="U39385" s="28"/>
    </row>
    <row r="39386">
      <c r="N39386" s="28"/>
      <c r="O39386" s="28"/>
      <c r="U39386" s="28"/>
    </row>
    <row r="39387">
      <c r="N39387" s="28"/>
      <c r="O39387" s="28"/>
      <c r="U39387" s="28"/>
    </row>
    <row r="39388">
      <c r="N39388" s="28"/>
      <c r="O39388" s="28"/>
      <c r="U39388" s="28"/>
    </row>
    <row r="39389">
      <c r="N39389" s="28"/>
      <c r="O39389" s="28"/>
      <c r="U39389" s="28"/>
    </row>
    <row r="39390">
      <c r="N39390" s="28"/>
      <c r="O39390" s="28"/>
      <c r="U39390" s="28"/>
    </row>
    <row r="39391">
      <c r="N39391" s="28"/>
      <c r="O39391" s="28"/>
      <c r="U39391" s="28"/>
    </row>
    <row r="39392">
      <c r="N39392" s="28"/>
      <c r="O39392" s="28"/>
      <c r="U39392" s="28"/>
    </row>
    <row r="39393">
      <c r="N39393" s="28"/>
      <c r="O39393" s="28"/>
      <c r="U39393" s="28"/>
    </row>
    <row r="39394">
      <c r="N39394" s="28"/>
      <c r="O39394" s="28"/>
      <c r="U39394" s="28"/>
    </row>
    <row r="39395">
      <c r="N39395" s="28"/>
      <c r="O39395" s="28"/>
      <c r="U39395" s="28"/>
    </row>
    <row r="39396">
      <c r="N39396" s="28"/>
      <c r="O39396" s="28"/>
      <c r="U39396" s="28"/>
    </row>
    <row r="39397">
      <c r="N39397" s="28"/>
      <c r="O39397" s="28"/>
      <c r="U39397" s="28"/>
    </row>
    <row r="39398">
      <c r="N39398" s="28"/>
      <c r="O39398" s="28"/>
      <c r="U39398" s="28"/>
    </row>
    <row r="39399">
      <c r="N39399" s="28"/>
      <c r="O39399" s="28"/>
      <c r="U39399" s="28"/>
    </row>
    <row r="39400">
      <c r="N39400" s="28"/>
      <c r="O39400" s="28"/>
      <c r="U39400" s="28"/>
    </row>
    <row r="39401">
      <c r="N39401" s="28"/>
      <c r="O39401" s="28"/>
      <c r="U39401" s="28"/>
    </row>
    <row r="39402">
      <c r="N39402" s="28"/>
      <c r="O39402" s="28"/>
      <c r="U39402" s="28"/>
    </row>
    <row r="39403">
      <c r="N39403" s="28"/>
      <c r="O39403" s="28"/>
      <c r="U39403" s="28"/>
    </row>
    <row r="39404">
      <c r="N39404" s="28"/>
      <c r="O39404" s="28"/>
      <c r="U39404" s="28"/>
    </row>
    <row r="39405">
      <c r="N39405" s="28"/>
      <c r="O39405" s="28"/>
      <c r="U39405" s="28"/>
    </row>
    <row r="39406">
      <c r="N39406" s="28"/>
      <c r="O39406" s="28"/>
      <c r="U39406" s="28"/>
    </row>
    <row r="39407">
      <c r="N39407" s="28"/>
      <c r="O39407" s="28"/>
      <c r="U39407" s="28"/>
    </row>
    <row r="39408">
      <c r="N39408" s="28"/>
      <c r="O39408" s="28"/>
      <c r="U39408" s="28"/>
    </row>
    <row r="39409">
      <c r="N39409" s="28"/>
      <c r="O39409" s="28"/>
      <c r="U39409" s="28"/>
    </row>
    <row r="39410">
      <c r="N39410" s="28"/>
      <c r="O39410" s="28"/>
      <c r="U39410" s="28"/>
    </row>
    <row r="39411">
      <c r="N39411" s="28"/>
      <c r="O39411" s="28"/>
      <c r="U39411" s="28"/>
    </row>
    <row r="39412">
      <c r="N39412" s="28"/>
      <c r="O39412" s="28"/>
      <c r="U39412" s="28"/>
    </row>
    <row r="39413">
      <c r="N39413" s="28"/>
      <c r="O39413" s="28"/>
      <c r="U39413" s="28"/>
    </row>
    <row r="39414">
      <c r="N39414" s="28"/>
      <c r="O39414" s="28"/>
      <c r="U39414" s="28"/>
    </row>
    <row r="39415">
      <c r="N39415" s="28"/>
      <c r="O39415" s="28"/>
      <c r="U39415" s="28"/>
    </row>
    <row r="39416">
      <c r="N39416" s="28"/>
      <c r="O39416" s="28"/>
      <c r="U39416" s="28"/>
    </row>
    <row r="39417">
      <c r="N39417" s="28"/>
      <c r="O39417" s="28"/>
      <c r="U39417" s="28"/>
    </row>
    <row r="39418">
      <c r="N39418" s="28"/>
      <c r="O39418" s="28"/>
      <c r="U39418" s="28"/>
    </row>
    <row r="39419">
      <c r="N39419" s="28"/>
      <c r="O39419" s="28"/>
      <c r="U39419" s="28"/>
    </row>
    <row r="39420">
      <c r="N39420" s="28"/>
      <c r="O39420" s="28"/>
      <c r="U39420" s="28"/>
    </row>
    <row r="39421">
      <c r="N39421" s="28"/>
      <c r="O39421" s="28"/>
      <c r="U39421" s="28"/>
    </row>
    <row r="39422">
      <c r="N39422" s="28"/>
      <c r="O39422" s="28"/>
      <c r="U39422" s="28"/>
    </row>
    <row r="39423">
      <c r="N39423" s="28"/>
      <c r="O39423" s="28"/>
      <c r="U39423" s="28"/>
    </row>
    <row r="39424">
      <c r="N39424" s="28"/>
      <c r="O39424" s="28"/>
      <c r="U39424" s="28"/>
    </row>
    <row r="39425">
      <c r="N39425" s="28"/>
      <c r="O39425" s="28"/>
      <c r="U39425" s="28"/>
    </row>
    <row r="39426">
      <c r="N39426" s="28"/>
      <c r="O39426" s="28"/>
      <c r="U39426" s="28"/>
    </row>
    <row r="39427">
      <c r="N39427" s="28"/>
      <c r="O39427" s="28"/>
      <c r="U39427" s="28"/>
    </row>
    <row r="39428">
      <c r="N39428" s="28"/>
      <c r="O39428" s="28"/>
      <c r="U39428" s="28"/>
    </row>
    <row r="39429">
      <c r="N39429" s="28"/>
      <c r="O39429" s="28"/>
      <c r="U39429" s="28"/>
    </row>
    <row r="39430">
      <c r="N39430" s="28"/>
      <c r="O39430" s="28"/>
      <c r="U39430" s="28"/>
    </row>
    <row r="39431">
      <c r="N39431" s="28"/>
      <c r="O39431" s="28"/>
      <c r="U39431" s="28"/>
    </row>
    <row r="39432">
      <c r="N39432" s="28"/>
      <c r="O39432" s="28"/>
      <c r="U39432" s="28"/>
    </row>
    <row r="39433">
      <c r="N39433" s="28"/>
      <c r="O39433" s="28"/>
      <c r="U39433" s="28"/>
    </row>
    <row r="39434">
      <c r="N39434" s="28"/>
      <c r="O39434" s="28"/>
      <c r="U39434" s="28"/>
    </row>
    <row r="39435">
      <c r="N39435" s="28"/>
      <c r="O39435" s="28"/>
      <c r="U39435" s="28"/>
    </row>
    <row r="39436">
      <c r="N39436" s="28"/>
      <c r="O39436" s="28"/>
      <c r="U39436" s="28"/>
    </row>
    <row r="39437">
      <c r="N39437" s="28"/>
      <c r="O39437" s="28"/>
      <c r="U39437" s="28"/>
    </row>
    <row r="39438">
      <c r="N39438" s="28"/>
      <c r="O39438" s="28"/>
      <c r="U39438" s="28"/>
    </row>
    <row r="39439">
      <c r="N39439" s="28"/>
      <c r="O39439" s="28"/>
      <c r="U39439" s="28"/>
    </row>
    <row r="39440">
      <c r="N39440" s="28"/>
      <c r="O39440" s="28"/>
      <c r="U39440" s="28"/>
    </row>
    <row r="39441">
      <c r="N39441" s="28"/>
      <c r="O39441" s="28"/>
      <c r="U39441" s="28"/>
    </row>
    <row r="39442">
      <c r="N39442" s="28"/>
      <c r="O39442" s="28"/>
      <c r="U39442" s="28"/>
    </row>
    <row r="39443">
      <c r="N39443" s="28"/>
      <c r="O39443" s="28"/>
      <c r="U39443" s="28"/>
    </row>
    <row r="39444">
      <c r="N39444" s="28"/>
      <c r="O39444" s="28"/>
      <c r="U39444" s="28"/>
    </row>
    <row r="39445">
      <c r="N39445" s="28"/>
      <c r="O39445" s="28"/>
      <c r="U39445" s="28"/>
    </row>
    <row r="39446">
      <c r="N39446" s="28"/>
      <c r="O39446" s="28"/>
      <c r="U39446" s="28"/>
    </row>
    <row r="39447">
      <c r="N39447" s="28"/>
      <c r="O39447" s="28"/>
      <c r="U39447" s="28"/>
    </row>
    <row r="39448">
      <c r="N39448" s="28"/>
      <c r="O39448" s="28"/>
      <c r="U39448" s="28"/>
    </row>
    <row r="39449">
      <c r="N39449" s="28"/>
      <c r="O39449" s="28"/>
      <c r="U39449" s="28"/>
    </row>
    <row r="39450">
      <c r="N39450" s="28"/>
      <c r="O39450" s="28"/>
      <c r="U39450" s="28"/>
    </row>
    <row r="39451">
      <c r="N39451" s="28"/>
      <c r="O39451" s="28"/>
      <c r="U39451" s="28"/>
    </row>
    <row r="39452">
      <c r="N39452" s="28"/>
      <c r="O39452" s="28"/>
      <c r="U39452" s="28"/>
    </row>
    <row r="39453">
      <c r="N39453" s="28"/>
      <c r="O39453" s="28"/>
      <c r="U39453" s="28"/>
    </row>
    <row r="39454">
      <c r="N39454" s="28"/>
      <c r="O39454" s="28"/>
      <c r="U39454" s="28"/>
    </row>
    <row r="39455">
      <c r="N39455" s="28"/>
      <c r="O39455" s="28"/>
      <c r="U39455" s="28"/>
    </row>
    <row r="39456">
      <c r="N39456" s="28"/>
      <c r="O39456" s="28"/>
      <c r="U39456" s="28"/>
    </row>
    <row r="39457">
      <c r="N39457" s="28"/>
      <c r="O39457" s="28"/>
      <c r="U39457" s="28"/>
    </row>
    <row r="39458">
      <c r="N39458" s="28"/>
      <c r="O39458" s="28"/>
      <c r="U39458" s="28"/>
    </row>
    <row r="39459">
      <c r="N39459" s="28"/>
      <c r="O39459" s="28"/>
      <c r="U39459" s="28"/>
    </row>
    <row r="39460">
      <c r="N39460" s="28"/>
      <c r="O39460" s="28"/>
      <c r="U39460" s="28"/>
    </row>
    <row r="39461">
      <c r="N39461" s="28"/>
      <c r="O39461" s="28"/>
      <c r="U39461" s="28"/>
    </row>
    <row r="39462">
      <c r="N39462" s="28"/>
      <c r="O39462" s="28"/>
      <c r="U39462" s="28"/>
    </row>
    <row r="39463">
      <c r="N39463" s="28"/>
      <c r="O39463" s="28"/>
      <c r="U39463" s="28"/>
    </row>
    <row r="39464">
      <c r="N39464" s="28"/>
      <c r="O39464" s="28"/>
      <c r="U39464" s="28"/>
    </row>
    <row r="39465">
      <c r="N39465" s="28"/>
      <c r="O39465" s="28"/>
      <c r="U39465" s="28"/>
    </row>
    <row r="39466">
      <c r="N39466" s="28"/>
      <c r="O39466" s="28"/>
      <c r="U39466" s="28"/>
    </row>
    <row r="39467">
      <c r="N39467" s="28"/>
      <c r="O39467" s="28"/>
      <c r="U39467" s="28"/>
    </row>
    <row r="39468">
      <c r="N39468" s="28"/>
      <c r="O39468" s="28"/>
      <c r="U39468" s="28"/>
    </row>
    <row r="39469">
      <c r="N39469" s="28"/>
      <c r="O39469" s="28"/>
      <c r="U39469" s="28"/>
    </row>
    <row r="39470">
      <c r="N39470" s="28"/>
      <c r="O39470" s="28"/>
      <c r="U39470" s="28"/>
    </row>
    <row r="39471">
      <c r="N39471" s="28"/>
      <c r="O39471" s="28"/>
      <c r="U39471" s="28"/>
    </row>
    <row r="39472">
      <c r="N39472" s="28"/>
      <c r="O39472" s="28"/>
      <c r="U39472" s="28"/>
    </row>
    <row r="39473">
      <c r="N39473" s="28"/>
      <c r="O39473" s="28"/>
      <c r="U39473" s="28"/>
    </row>
    <row r="39474">
      <c r="N39474" s="28"/>
      <c r="O39474" s="28"/>
      <c r="U39474" s="28"/>
    </row>
    <row r="39475">
      <c r="N39475" s="28"/>
      <c r="O39475" s="28"/>
      <c r="U39475" s="28"/>
    </row>
    <row r="39476">
      <c r="N39476" s="28"/>
      <c r="O39476" s="28"/>
      <c r="U39476" s="28"/>
    </row>
    <row r="39477">
      <c r="N39477" s="28"/>
      <c r="O39477" s="28"/>
      <c r="U39477" s="28"/>
    </row>
    <row r="39478">
      <c r="N39478" s="28"/>
      <c r="O39478" s="28"/>
      <c r="U39478" s="28"/>
    </row>
    <row r="39479">
      <c r="N39479" s="28"/>
      <c r="O39479" s="28"/>
      <c r="U39479" s="28"/>
    </row>
    <row r="39480">
      <c r="N39480" s="28"/>
      <c r="O39480" s="28"/>
      <c r="U39480" s="28"/>
    </row>
    <row r="39481">
      <c r="N39481" s="28"/>
      <c r="O39481" s="28"/>
      <c r="U39481" s="28"/>
    </row>
    <row r="39482">
      <c r="N39482" s="28"/>
      <c r="O39482" s="28"/>
      <c r="U39482" s="28"/>
    </row>
    <row r="39483">
      <c r="N39483" s="28"/>
      <c r="O39483" s="28"/>
      <c r="U39483" s="28"/>
    </row>
    <row r="39484">
      <c r="N39484" s="28"/>
      <c r="O39484" s="28"/>
      <c r="U39484" s="28"/>
    </row>
    <row r="39485">
      <c r="N39485" s="28"/>
      <c r="O39485" s="28"/>
      <c r="U39485" s="28"/>
    </row>
    <row r="39486">
      <c r="N39486" s="28"/>
      <c r="O39486" s="28"/>
      <c r="U39486" s="28"/>
    </row>
    <row r="39487">
      <c r="N39487" s="28"/>
      <c r="O39487" s="28"/>
      <c r="U39487" s="28"/>
    </row>
    <row r="39488">
      <c r="N39488" s="28"/>
      <c r="O39488" s="28"/>
      <c r="U39488" s="28"/>
    </row>
    <row r="39489">
      <c r="N39489" s="28"/>
      <c r="O39489" s="28"/>
      <c r="U39489" s="28"/>
    </row>
    <row r="39490">
      <c r="N39490" s="28"/>
      <c r="O39490" s="28"/>
      <c r="U39490" s="28"/>
    </row>
    <row r="39491">
      <c r="N39491" s="28"/>
      <c r="O39491" s="28"/>
      <c r="U39491" s="28"/>
    </row>
    <row r="39492">
      <c r="N39492" s="28"/>
      <c r="O39492" s="28"/>
      <c r="U39492" s="28"/>
    </row>
    <row r="39493">
      <c r="N39493" s="28"/>
      <c r="O39493" s="28"/>
      <c r="U39493" s="28"/>
    </row>
    <row r="39494">
      <c r="N39494" s="28"/>
      <c r="O39494" s="28"/>
      <c r="U39494" s="28"/>
    </row>
    <row r="39495">
      <c r="N39495" s="28"/>
      <c r="O39495" s="28"/>
      <c r="U39495" s="28"/>
    </row>
    <row r="39496">
      <c r="N39496" s="28"/>
      <c r="O39496" s="28"/>
      <c r="U39496" s="28"/>
    </row>
    <row r="39497">
      <c r="N39497" s="28"/>
      <c r="O39497" s="28"/>
      <c r="U39497" s="28"/>
    </row>
    <row r="39498">
      <c r="N39498" s="28"/>
      <c r="O39498" s="28"/>
      <c r="U39498" s="28"/>
    </row>
    <row r="39499">
      <c r="N39499" s="28"/>
      <c r="O39499" s="28"/>
      <c r="U39499" s="28"/>
    </row>
    <row r="39500">
      <c r="N39500" s="28"/>
      <c r="O39500" s="28"/>
      <c r="U39500" s="28"/>
    </row>
    <row r="39501">
      <c r="N39501" s="28"/>
      <c r="O39501" s="28"/>
      <c r="U39501" s="28"/>
    </row>
    <row r="39502">
      <c r="N39502" s="28"/>
      <c r="O39502" s="28"/>
      <c r="U39502" s="28"/>
    </row>
    <row r="39503">
      <c r="N39503" s="28"/>
      <c r="O39503" s="28"/>
      <c r="U39503" s="28"/>
    </row>
    <row r="39504">
      <c r="N39504" s="28"/>
      <c r="O39504" s="28"/>
      <c r="U39504" s="28"/>
    </row>
    <row r="39505">
      <c r="N39505" s="28"/>
      <c r="O39505" s="28"/>
      <c r="U39505" s="28"/>
    </row>
    <row r="39506">
      <c r="N39506" s="28"/>
      <c r="O39506" s="28"/>
      <c r="U39506" s="28"/>
    </row>
    <row r="39507">
      <c r="N39507" s="28"/>
      <c r="O39507" s="28"/>
      <c r="U39507" s="28"/>
    </row>
    <row r="39508">
      <c r="N39508" s="28"/>
      <c r="O39508" s="28"/>
      <c r="U39508" s="28"/>
    </row>
    <row r="39509">
      <c r="N39509" s="28"/>
      <c r="O39509" s="28"/>
      <c r="U39509" s="28"/>
    </row>
    <row r="39510">
      <c r="N39510" s="28"/>
      <c r="O39510" s="28"/>
      <c r="U39510" s="28"/>
    </row>
    <row r="39511">
      <c r="N39511" s="28"/>
      <c r="O39511" s="28"/>
      <c r="U39511" s="28"/>
    </row>
    <row r="39512">
      <c r="N39512" s="28"/>
      <c r="O39512" s="28"/>
      <c r="U39512" s="28"/>
    </row>
    <row r="39513">
      <c r="N39513" s="28"/>
      <c r="O39513" s="28"/>
      <c r="U39513" s="28"/>
    </row>
    <row r="39514">
      <c r="N39514" s="28"/>
      <c r="O39514" s="28"/>
      <c r="U39514" s="28"/>
    </row>
    <row r="39515">
      <c r="N39515" s="28"/>
      <c r="O39515" s="28"/>
      <c r="U39515" s="28"/>
    </row>
    <row r="39516">
      <c r="N39516" s="28"/>
      <c r="O39516" s="28"/>
      <c r="U39516" s="28"/>
    </row>
    <row r="39517">
      <c r="N39517" s="28"/>
      <c r="O39517" s="28"/>
      <c r="U39517" s="28"/>
    </row>
    <row r="39518">
      <c r="N39518" s="28"/>
      <c r="O39518" s="28"/>
      <c r="U39518" s="28"/>
    </row>
    <row r="39519">
      <c r="N39519" s="28"/>
      <c r="O39519" s="28"/>
      <c r="U39519" s="28"/>
    </row>
    <row r="39520">
      <c r="N39520" s="28"/>
      <c r="O39520" s="28"/>
      <c r="U39520" s="28"/>
    </row>
    <row r="39521">
      <c r="N39521" s="28"/>
      <c r="O39521" s="28"/>
      <c r="U39521" s="28"/>
    </row>
    <row r="39522">
      <c r="N39522" s="28"/>
      <c r="O39522" s="28"/>
      <c r="U39522" s="28"/>
    </row>
    <row r="39523">
      <c r="N39523" s="28"/>
      <c r="O39523" s="28"/>
      <c r="U39523" s="28"/>
    </row>
    <row r="39524">
      <c r="N39524" s="28"/>
      <c r="O39524" s="28"/>
      <c r="U39524" s="28"/>
    </row>
    <row r="39525">
      <c r="N39525" s="28"/>
      <c r="O39525" s="28"/>
      <c r="U39525" s="28"/>
    </row>
    <row r="39526">
      <c r="N39526" s="28"/>
      <c r="O39526" s="28"/>
      <c r="U39526" s="28"/>
    </row>
    <row r="39527">
      <c r="N39527" s="28"/>
      <c r="O39527" s="28"/>
      <c r="U39527" s="28"/>
    </row>
    <row r="39528">
      <c r="N39528" s="28"/>
      <c r="O39528" s="28"/>
      <c r="U39528" s="28"/>
    </row>
    <row r="39529">
      <c r="N39529" s="28"/>
      <c r="O39529" s="28"/>
      <c r="U39529" s="28"/>
    </row>
    <row r="39530">
      <c r="N39530" s="28"/>
      <c r="O39530" s="28"/>
      <c r="U39530" s="28"/>
    </row>
    <row r="39531">
      <c r="N39531" s="28"/>
      <c r="O39531" s="28"/>
      <c r="U39531" s="28"/>
    </row>
    <row r="39532">
      <c r="N39532" s="28"/>
      <c r="O39532" s="28"/>
      <c r="U39532" s="28"/>
    </row>
    <row r="39533">
      <c r="N39533" s="28"/>
      <c r="O39533" s="28"/>
      <c r="U39533" s="28"/>
    </row>
    <row r="39534">
      <c r="N39534" s="28"/>
      <c r="O39534" s="28"/>
      <c r="U39534" s="28"/>
    </row>
    <row r="39535">
      <c r="N39535" s="28"/>
      <c r="O39535" s="28"/>
      <c r="U39535" s="28"/>
    </row>
    <row r="39536">
      <c r="N39536" s="28"/>
      <c r="O39536" s="28"/>
      <c r="U39536" s="28"/>
    </row>
    <row r="39537">
      <c r="N39537" s="28"/>
      <c r="O39537" s="28"/>
      <c r="U39537" s="28"/>
    </row>
    <row r="39538">
      <c r="N39538" s="28"/>
      <c r="O39538" s="28"/>
      <c r="U39538" s="28"/>
    </row>
    <row r="39539">
      <c r="N39539" s="28"/>
      <c r="O39539" s="28"/>
      <c r="U39539" s="28"/>
    </row>
    <row r="39540">
      <c r="N39540" s="28"/>
      <c r="O39540" s="28"/>
      <c r="U39540" s="28"/>
    </row>
    <row r="39541">
      <c r="N39541" s="28"/>
      <c r="O39541" s="28"/>
      <c r="U39541" s="28"/>
    </row>
    <row r="39542">
      <c r="N39542" s="28"/>
      <c r="O39542" s="28"/>
      <c r="U39542" s="28"/>
    </row>
    <row r="39543">
      <c r="N39543" s="28"/>
      <c r="O39543" s="28"/>
      <c r="U39543" s="28"/>
    </row>
    <row r="39544">
      <c r="N39544" s="28"/>
      <c r="O39544" s="28"/>
      <c r="U39544" s="28"/>
    </row>
    <row r="39545">
      <c r="N39545" s="28"/>
      <c r="O39545" s="28"/>
      <c r="U39545" s="28"/>
    </row>
    <row r="39546">
      <c r="N39546" s="28"/>
      <c r="O39546" s="28"/>
      <c r="U39546" s="28"/>
    </row>
    <row r="39547">
      <c r="N39547" s="28"/>
      <c r="O39547" s="28"/>
      <c r="U39547" s="28"/>
    </row>
    <row r="39548">
      <c r="N39548" s="28"/>
      <c r="O39548" s="28"/>
      <c r="U39548" s="28"/>
    </row>
    <row r="39549">
      <c r="N39549" s="28"/>
      <c r="O39549" s="28"/>
      <c r="U39549" s="28"/>
    </row>
    <row r="39550">
      <c r="N39550" s="28"/>
      <c r="O39550" s="28"/>
      <c r="U39550" s="28"/>
    </row>
    <row r="39551">
      <c r="N39551" s="28"/>
      <c r="O39551" s="28"/>
      <c r="U39551" s="28"/>
    </row>
    <row r="39552">
      <c r="N39552" s="28"/>
      <c r="O39552" s="28"/>
      <c r="U39552" s="28"/>
    </row>
    <row r="39553">
      <c r="N39553" s="28"/>
      <c r="O39553" s="28"/>
      <c r="U39553" s="28"/>
    </row>
    <row r="39554">
      <c r="N39554" s="28"/>
      <c r="O39554" s="28"/>
      <c r="U39554" s="28"/>
    </row>
    <row r="39555">
      <c r="N39555" s="28"/>
      <c r="O39555" s="28"/>
      <c r="U39555" s="28"/>
    </row>
    <row r="39556">
      <c r="N39556" s="28"/>
      <c r="O39556" s="28"/>
      <c r="U39556" s="28"/>
    </row>
    <row r="39557">
      <c r="N39557" s="28"/>
      <c r="O39557" s="28"/>
      <c r="U39557" s="28"/>
    </row>
    <row r="39558">
      <c r="N39558" s="28"/>
      <c r="O39558" s="28"/>
      <c r="U39558" s="28"/>
    </row>
    <row r="39559">
      <c r="N39559" s="28"/>
      <c r="O39559" s="28"/>
      <c r="U39559" s="28"/>
    </row>
    <row r="39560">
      <c r="N39560" s="28"/>
      <c r="O39560" s="28"/>
      <c r="U39560" s="28"/>
    </row>
    <row r="39561">
      <c r="N39561" s="28"/>
      <c r="O39561" s="28"/>
      <c r="U39561" s="28"/>
    </row>
    <row r="39562">
      <c r="N39562" s="28"/>
      <c r="O39562" s="28"/>
      <c r="U39562" s="28"/>
    </row>
    <row r="39563">
      <c r="N39563" s="28"/>
      <c r="O39563" s="28"/>
      <c r="U39563" s="28"/>
    </row>
    <row r="39564">
      <c r="N39564" s="28"/>
      <c r="O39564" s="28"/>
      <c r="U39564" s="28"/>
    </row>
    <row r="39565">
      <c r="N39565" s="28"/>
      <c r="O39565" s="28"/>
      <c r="U39565" s="28"/>
    </row>
    <row r="39566">
      <c r="N39566" s="28"/>
      <c r="O39566" s="28"/>
      <c r="U39566" s="28"/>
    </row>
    <row r="39567">
      <c r="N39567" s="28"/>
      <c r="O39567" s="28"/>
      <c r="U39567" s="28"/>
    </row>
    <row r="39568">
      <c r="N39568" s="28"/>
      <c r="O39568" s="28"/>
      <c r="U39568" s="28"/>
    </row>
    <row r="39569">
      <c r="N39569" s="28"/>
      <c r="O39569" s="28"/>
      <c r="U39569" s="28"/>
    </row>
    <row r="39570">
      <c r="N39570" s="28"/>
      <c r="O39570" s="28"/>
      <c r="U39570" s="28"/>
    </row>
    <row r="39571">
      <c r="N39571" s="28"/>
      <c r="O39571" s="28"/>
      <c r="U39571" s="28"/>
    </row>
    <row r="39572">
      <c r="N39572" s="28"/>
      <c r="O39572" s="28"/>
      <c r="U39572" s="28"/>
    </row>
    <row r="39573">
      <c r="N39573" s="28"/>
      <c r="O39573" s="28"/>
      <c r="U39573" s="28"/>
    </row>
    <row r="39574">
      <c r="N39574" s="28"/>
      <c r="O39574" s="28"/>
      <c r="U39574" s="28"/>
    </row>
    <row r="39575">
      <c r="N39575" s="28"/>
      <c r="O39575" s="28"/>
      <c r="U39575" s="28"/>
    </row>
    <row r="39576">
      <c r="N39576" s="28"/>
      <c r="O39576" s="28"/>
      <c r="U39576" s="28"/>
    </row>
    <row r="39577">
      <c r="N39577" s="28"/>
      <c r="O39577" s="28"/>
      <c r="U39577" s="28"/>
    </row>
    <row r="39578">
      <c r="N39578" s="28"/>
      <c r="O39578" s="28"/>
      <c r="U39578" s="28"/>
    </row>
    <row r="39579">
      <c r="N39579" s="28"/>
      <c r="O39579" s="28"/>
      <c r="U39579" s="28"/>
    </row>
    <row r="39580">
      <c r="N39580" s="28"/>
      <c r="O39580" s="28"/>
      <c r="U39580" s="28"/>
    </row>
    <row r="39581">
      <c r="N39581" s="28"/>
      <c r="O39581" s="28"/>
      <c r="U39581" s="28"/>
    </row>
    <row r="39582">
      <c r="N39582" s="28"/>
      <c r="O39582" s="28"/>
      <c r="U39582" s="28"/>
    </row>
    <row r="39583">
      <c r="N39583" s="28"/>
      <c r="O39583" s="28"/>
      <c r="U39583" s="28"/>
    </row>
    <row r="39584">
      <c r="N39584" s="28"/>
      <c r="O39584" s="28"/>
      <c r="U39584" s="28"/>
    </row>
    <row r="39585">
      <c r="N39585" s="28"/>
      <c r="O39585" s="28"/>
      <c r="U39585" s="28"/>
    </row>
    <row r="39586">
      <c r="N39586" s="28"/>
      <c r="O39586" s="28"/>
      <c r="U39586" s="28"/>
    </row>
    <row r="39587">
      <c r="N39587" s="28"/>
      <c r="O39587" s="28"/>
      <c r="U39587" s="28"/>
    </row>
    <row r="39588">
      <c r="N39588" s="28"/>
      <c r="O39588" s="28"/>
      <c r="U39588" s="28"/>
    </row>
    <row r="39589">
      <c r="N39589" s="28"/>
      <c r="O39589" s="28"/>
      <c r="U39589" s="28"/>
    </row>
    <row r="39590">
      <c r="N39590" s="28"/>
      <c r="O39590" s="28"/>
      <c r="U39590" s="28"/>
    </row>
    <row r="39591">
      <c r="N39591" s="28"/>
      <c r="O39591" s="28"/>
      <c r="U39591" s="28"/>
    </row>
    <row r="39592">
      <c r="N39592" s="28"/>
      <c r="O39592" s="28"/>
      <c r="U39592" s="28"/>
    </row>
    <row r="39593">
      <c r="N39593" s="28"/>
      <c r="O39593" s="28"/>
      <c r="U39593" s="28"/>
    </row>
    <row r="39594">
      <c r="N39594" s="28"/>
      <c r="O39594" s="28"/>
      <c r="U39594" s="28"/>
    </row>
    <row r="39595">
      <c r="N39595" s="28"/>
      <c r="O39595" s="28"/>
      <c r="U39595" s="28"/>
    </row>
    <row r="39596">
      <c r="N39596" s="28"/>
      <c r="O39596" s="28"/>
      <c r="U39596" s="28"/>
    </row>
    <row r="39597">
      <c r="N39597" s="28"/>
      <c r="O39597" s="28"/>
      <c r="U39597" s="28"/>
    </row>
    <row r="39598">
      <c r="N39598" s="28"/>
      <c r="O39598" s="28"/>
      <c r="U39598" s="28"/>
    </row>
    <row r="39599">
      <c r="N39599" s="28"/>
      <c r="O39599" s="28"/>
      <c r="U39599" s="28"/>
    </row>
    <row r="39600">
      <c r="N39600" s="28"/>
      <c r="O39600" s="28"/>
      <c r="U39600" s="28"/>
    </row>
    <row r="39601">
      <c r="N39601" s="28"/>
      <c r="O39601" s="28"/>
      <c r="U39601" s="28"/>
    </row>
    <row r="39602">
      <c r="N39602" s="28"/>
      <c r="O39602" s="28"/>
      <c r="U39602" s="28"/>
    </row>
    <row r="39603">
      <c r="N39603" s="28"/>
      <c r="O39603" s="28"/>
      <c r="U39603" s="28"/>
    </row>
    <row r="39604">
      <c r="N39604" s="28"/>
      <c r="O39604" s="28"/>
      <c r="U39604" s="28"/>
    </row>
    <row r="39605">
      <c r="N39605" s="28"/>
      <c r="O39605" s="28"/>
      <c r="U39605" s="28"/>
    </row>
    <row r="39606">
      <c r="N39606" s="28"/>
      <c r="O39606" s="28"/>
      <c r="U39606" s="28"/>
    </row>
    <row r="39607">
      <c r="N39607" s="28"/>
      <c r="O39607" s="28"/>
      <c r="U39607" s="28"/>
    </row>
    <row r="39608">
      <c r="N39608" s="28"/>
      <c r="O39608" s="28"/>
      <c r="U39608" s="28"/>
    </row>
    <row r="39609">
      <c r="N39609" s="28"/>
      <c r="O39609" s="28"/>
      <c r="U39609" s="28"/>
    </row>
    <row r="39610">
      <c r="N39610" s="28"/>
      <c r="O39610" s="28"/>
      <c r="U39610" s="28"/>
    </row>
    <row r="39611">
      <c r="N39611" s="28"/>
      <c r="O39611" s="28"/>
      <c r="U39611" s="28"/>
    </row>
    <row r="39612">
      <c r="N39612" s="28"/>
      <c r="O39612" s="28"/>
      <c r="U39612" s="28"/>
    </row>
    <row r="39613">
      <c r="N39613" s="28"/>
      <c r="O39613" s="28"/>
      <c r="U39613" s="28"/>
    </row>
    <row r="39614">
      <c r="N39614" s="28"/>
      <c r="O39614" s="28"/>
      <c r="U39614" s="28"/>
    </row>
    <row r="39615">
      <c r="N39615" s="28"/>
      <c r="O39615" s="28"/>
      <c r="U39615" s="28"/>
    </row>
    <row r="39616">
      <c r="N39616" s="28"/>
      <c r="O39616" s="28"/>
      <c r="U39616" s="28"/>
    </row>
    <row r="39617">
      <c r="N39617" s="28"/>
      <c r="O39617" s="28"/>
      <c r="U39617" s="28"/>
    </row>
    <row r="39618">
      <c r="N39618" s="28"/>
      <c r="O39618" s="28"/>
      <c r="U39618" s="28"/>
    </row>
    <row r="39619">
      <c r="N39619" s="28"/>
      <c r="O39619" s="28"/>
      <c r="U39619" s="28"/>
    </row>
    <row r="39620">
      <c r="N39620" s="28"/>
      <c r="O39620" s="28"/>
      <c r="U39620" s="28"/>
    </row>
    <row r="39621">
      <c r="N39621" s="28"/>
      <c r="O39621" s="28"/>
      <c r="U39621" s="28"/>
    </row>
    <row r="39622">
      <c r="N39622" s="28"/>
      <c r="O39622" s="28"/>
      <c r="U39622" s="28"/>
    </row>
    <row r="39623">
      <c r="N39623" s="28"/>
      <c r="O39623" s="28"/>
      <c r="U39623" s="28"/>
    </row>
    <row r="39624">
      <c r="N39624" s="28"/>
      <c r="O39624" s="28"/>
      <c r="U39624" s="28"/>
    </row>
    <row r="39625">
      <c r="N39625" s="28"/>
      <c r="O39625" s="28"/>
      <c r="U39625" s="28"/>
    </row>
    <row r="39626">
      <c r="N39626" s="28"/>
      <c r="O39626" s="28"/>
      <c r="U39626" s="28"/>
    </row>
    <row r="39627">
      <c r="N39627" s="28"/>
      <c r="O39627" s="28"/>
      <c r="U39627" s="28"/>
    </row>
    <row r="39628">
      <c r="N39628" s="28"/>
      <c r="O39628" s="28"/>
      <c r="U39628" s="28"/>
    </row>
    <row r="39629">
      <c r="N39629" s="28"/>
      <c r="O39629" s="28"/>
      <c r="U39629" s="28"/>
    </row>
    <row r="39630">
      <c r="N39630" s="28"/>
      <c r="O39630" s="28"/>
      <c r="U39630" s="28"/>
    </row>
    <row r="39631">
      <c r="N39631" s="28"/>
      <c r="O39631" s="28"/>
      <c r="U39631" s="28"/>
    </row>
    <row r="39632">
      <c r="N39632" s="28"/>
      <c r="O39632" s="28"/>
      <c r="U39632" s="28"/>
    </row>
    <row r="39633">
      <c r="N39633" s="28"/>
      <c r="O39633" s="28"/>
      <c r="U39633" s="28"/>
    </row>
    <row r="39634">
      <c r="N39634" s="28"/>
      <c r="O39634" s="28"/>
      <c r="U39634" s="28"/>
    </row>
    <row r="39635">
      <c r="N39635" s="28"/>
      <c r="O39635" s="28"/>
      <c r="U39635" s="28"/>
    </row>
    <row r="39636">
      <c r="N39636" s="28"/>
      <c r="O39636" s="28"/>
      <c r="U39636" s="28"/>
    </row>
    <row r="39637">
      <c r="N39637" s="28"/>
      <c r="O39637" s="28"/>
      <c r="U39637" s="28"/>
    </row>
    <row r="39638">
      <c r="N39638" s="28"/>
      <c r="O39638" s="28"/>
      <c r="U39638" s="28"/>
    </row>
    <row r="39639">
      <c r="N39639" s="28"/>
      <c r="O39639" s="28"/>
      <c r="U39639" s="28"/>
    </row>
    <row r="39640">
      <c r="N39640" s="28"/>
      <c r="O39640" s="28"/>
      <c r="U39640" s="28"/>
    </row>
    <row r="39641">
      <c r="N39641" s="28"/>
      <c r="O39641" s="28"/>
      <c r="U39641" s="28"/>
    </row>
    <row r="39642">
      <c r="N39642" s="28"/>
      <c r="O39642" s="28"/>
      <c r="U39642" s="28"/>
    </row>
    <row r="39643">
      <c r="N39643" s="28"/>
      <c r="O39643" s="28"/>
      <c r="U39643" s="28"/>
    </row>
    <row r="39644">
      <c r="N39644" s="28"/>
      <c r="O39644" s="28"/>
      <c r="U39644" s="28"/>
    </row>
    <row r="39645">
      <c r="N39645" s="28"/>
      <c r="O39645" s="28"/>
      <c r="U39645" s="28"/>
    </row>
    <row r="39646">
      <c r="N39646" s="28"/>
      <c r="O39646" s="28"/>
      <c r="U39646" s="28"/>
    </row>
    <row r="39647">
      <c r="N39647" s="28"/>
      <c r="O39647" s="28"/>
      <c r="U39647" s="28"/>
    </row>
    <row r="39648">
      <c r="N39648" s="28"/>
      <c r="O39648" s="28"/>
      <c r="U39648" s="28"/>
    </row>
    <row r="39649">
      <c r="N39649" s="28"/>
      <c r="O39649" s="28"/>
      <c r="U39649" s="28"/>
    </row>
    <row r="39650">
      <c r="N39650" s="28"/>
      <c r="O39650" s="28"/>
      <c r="U39650" s="28"/>
    </row>
    <row r="39651">
      <c r="N39651" s="28"/>
      <c r="O39651" s="28"/>
      <c r="U39651" s="28"/>
    </row>
    <row r="39652">
      <c r="N39652" s="28"/>
      <c r="O39652" s="28"/>
      <c r="U39652" s="28"/>
    </row>
    <row r="39653">
      <c r="N39653" s="28"/>
      <c r="O39653" s="28"/>
      <c r="U39653" s="28"/>
    </row>
    <row r="39654">
      <c r="N39654" s="28"/>
      <c r="O39654" s="28"/>
      <c r="U39654" s="28"/>
    </row>
    <row r="39655">
      <c r="N39655" s="28"/>
      <c r="O39655" s="28"/>
      <c r="U39655" s="28"/>
    </row>
    <row r="39656">
      <c r="N39656" s="28"/>
      <c r="O39656" s="28"/>
      <c r="U39656" s="28"/>
    </row>
    <row r="39657">
      <c r="N39657" s="28"/>
      <c r="O39657" s="28"/>
      <c r="U39657" s="28"/>
    </row>
    <row r="39658">
      <c r="N39658" s="28"/>
      <c r="O39658" s="28"/>
      <c r="U39658" s="28"/>
    </row>
    <row r="39659">
      <c r="N39659" s="28"/>
      <c r="O39659" s="28"/>
      <c r="U39659" s="28"/>
    </row>
    <row r="39660">
      <c r="N39660" s="28"/>
      <c r="O39660" s="28"/>
      <c r="U39660" s="28"/>
    </row>
    <row r="39661">
      <c r="N39661" s="28"/>
      <c r="O39661" s="28"/>
      <c r="U39661" s="28"/>
    </row>
    <row r="39662">
      <c r="N39662" s="28"/>
      <c r="O39662" s="28"/>
      <c r="U39662" s="28"/>
    </row>
    <row r="39663">
      <c r="N39663" s="28"/>
      <c r="O39663" s="28"/>
      <c r="U39663" s="28"/>
    </row>
    <row r="39664">
      <c r="N39664" s="28"/>
      <c r="O39664" s="28"/>
      <c r="U39664" s="28"/>
    </row>
    <row r="39665">
      <c r="N39665" s="28"/>
      <c r="O39665" s="28"/>
      <c r="U39665" s="28"/>
    </row>
    <row r="39666">
      <c r="N39666" s="28"/>
      <c r="O39666" s="28"/>
      <c r="U39666" s="28"/>
    </row>
    <row r="39667">
      <c r="N39667" s="28"/>
      <c r="O39667" s="28"/>
      <c r="U39667" s="28"/>
    </row>
    <row r="39668">
      <c r="N39668" s="28"/>
      <c r="O39668" s="28"/>
      <c r="U39668" s="28"/>
    </row>
    <row r="39669">
      <c r="N39669" s="28"/>
      <c r="O39669" s="28"/>
      <c r="U39669" s="28"/>
    </row>
    <row r="39670">
      <c r="N39670" s="28"/>
      <c r="O39670" s="28"/>
      <c r="U39670" s="28"/>
    </row>
    <row r="39671">
      <c r="N39671" s="28"/>
      <c r="O39671" s="28"/>
      <c r="U39671" s="28"/>
    </row>
    <row r="39672">
      <c r="N39672" s="28"/>
      <c r="O39672" s="28"/>
      <c r="U39672" s="28"/>
    </row>
    <row r="39673">
      <c r="N39673" s="28"/>
      <c r="O39673" s="28"/>
      <c r="U39673" s="28"/>
    </row>
    <row r="39674">
      <c r="N39674" s="28"/>
      <c r="O39674" s="28"/>
      <c r="U39674" s="28"/>
    </row>
    <row r="39675">
      <c r="N39675" s="28"/>
      <c r="O39675" s="28"/>
      <c r="U39675" s="28"/>
    </row>
    <row r="39676">
      <c r="N39676" s="28"/>
      <c r="O39676" s="28"/>
      <c r="U39676" s="28"/>
    </row>
    <row r="39677">
      <c r="N39677" s="28"/>
      <c r="O39677" s="28"/>
      <c r="U39677" s="28"/>
    </row>
    <row r="39678">
      <c r="N39678" s="28"/>
      <c r="O39678" s="28"/>
      <c r="U39678" s="28"/>
    </row>
    <row r="39679">
      <c r="N39679" s="28"/>
      <c r="O39679" s="28"/>
      <c r="U39679" s="28"/>
    </row>
    <row r="39680">
      <c r="N39680" s="28"/>
      <c r="O39680" s="28"/>
      <c r="U39680" s="28"/>
    </row>
    <row r="39681">
      <c r="N39681" s="28"/>
      <c r="O39681" s="28"/>
      <c r="U39681" s="28"/>
    </row>
    <row r="39682">
      <c r="N39682" s="28"/>
      <c r="O39682" s="28"/>
      <c r="U39682" s="28"/>
    </row>
    <row r="39683">
      <c r="N39683" s="28"/>
      <c r="O39683" s="28"/>
      <c r="U39683" s="28"/>
    </row>
    <row r="39684">
      <c r="N39684" s="28"/>
      <c r="O39684" s="28"/>
      <c r="U39684" s="28"/>
    </row>
    <row r="39685">
      <c r="N39685" s="28"/>
      <c r="O39685" s="28"/>
      <c r="U39685" s="28"/>
    </row>
    <row r="39686">
      <c r="N39686" s="28"/>
      <c r="O39686" s="28"/>
      <c r="U39686" s="28"/>
    </row>
    <row r="39687">
      <c r="N39687" s="28"/>
      <c r="O39687" s="28"/>
      <c r="U39687" s="28"/>
    </row>
    <row r="39688">
      <c r="N39688" s="28"/>
      <c r="O39688" s="28"/>
      <c r="U39688" s="28"/>
    </row>
    <row r="39689">
      <c r="N39689" s="28"/>
      <c r="O39689" s="28"/>
      <c r="U39689" s="28"/>
    </row>
    <row r="39690">
      <c r="N39690" s="28"/>
      <c r="O39690" s="28"/>
      <c r="U39690" s="28"/>
    </row>
    <row r="39691">
      <c r="N39691" s="28"/>
      <c r="O39691" s="28"/>
      <c r="U39691" s="28"/>
    </row>
    <row r="39692">
      <c r="N39692" s="28"/>
      <c r="O39692" s="28"/>
      <c r="U39692" s="28"/>
    </row>
    <row r="39693">
      <c r="N39693" s="28"/>
      <c r="O39693" s="28"/>
      <c r="U39693" s="28"/>
    </row>
    <row r="39694">
      <c r="N39694" s="28"/>
      <c r="O39694" s="28"/>
      <c r="U39694" s="28"/>
    </row>
    <row r="39695">
      <c r="N39695" s="28"/>
      <c r="O39695" s="28"/>
      <c r="U39695" s="28"/>
    </row>
    <row r="39696">
      <c r="N39696" s="28"/>
      <c r="O39696" s="28"/>
      <c r="U39696" s="28"/>
    </row>
    <row r="39697">
      <c r="N39697" s="28"/>
      <c r="O39697" s="28"/>
      <c r="U39697" s="28"/>
    </row>
    <row r="39698">
      <c r="N39698" s="28"/>
      <c r="O39698" s="28"/>
      <c r="U39698" s="28"/>
    </row>
    <row r="39699">
      <c r="N39699" s="28"/>
      <c r="O39699" s="28"/>
      <c r="U39699" s="28"/>
    </row>
    <row r="39700">
      <c r="N39700" s="28"/>
      <c r="O39700" s="28"/>
      <c r="U39700" s="28"/>
    </row>
    <row r="39701">
      <c r="N39701" s="28"/>
      <c r="O39701" s="28"/>
      <c r="U39701" s="28"/>
    </row>
    <row r="39702">
      <c r="N39702" s="28"/>
      <c r="O39702" s="28"/>
      <c r="U39702" s="28"/>
    </row>
    <row r="39703">
      <c r="N39703" s="28"/>
      <c r="O39703" s="28"/>
      <c r="U39703" s="28"/>
    </row>
    <row r="39704">
      <c r="N39704" s="28"/>
      <c r="O39704" s="28"/>
      <c r="U39704" s="28"/>
    </row>
    <row r="39705">
      <c r="N39705" s="28"/>
      <c r="O39705" s="28"/>
      <c r="U39705" s="28"/>
    </row>
    <row r="39706">
      <c r="N39706" s="28"/>
      <c r="O39706" s="28"/>
      <c r="U39706" s="28"/>
    </row>
    <row r="39707">
      <c r="N39707" s="28"/>
      <c r="O39707" s="28"/>
      <c r="U39707" s="28"/>
    </row>
    <row r="39708">
      <c r="N39708" s="28"/>
      <c r="O39708" s="28"/>
      <c r="U39708" s="28"/>
    </row>
    <row r="39709">
      <c r="N39709" s="28"/>
      <c r="O39709" s="28"/>
      <c r="U39709" s="28"/>
    </row>
    <row r="39710">
      <c r="N39710" s="28"/>
      <c r="O39710" s="28"/>
      <c r="U39710" s="28"/>
    </row>
    <row r="39711">
      <c r="N39711" s="28"/>
      <c r="O39711" s="28"/>
      <c r="U39711" s="28"/>
    </row>
    <row r="39712">
      <c r="N39712" s="28"/>
      <c r="O39712" s="28"/>
      <c r="U39712" s="28"/>
    </row>
    <row r="39713">
      <c r="N39713" s="28"/>
      <c r="O39713" s="28"/>
      <c r="U39713" s="28"/>
    </row>
    <row r="39714">
      <c r="N39714" s="28"/>
      <c r="O39714" s="28"/>
      <c r="U39714" s="28"/>
    </row>
    <row r="39715">
      <c r="N39715" s="28"/>
      <c r="O39715" s="28"/>
      <c r="U39715" s="28"/>
    </row>
    <row r="39716">
      <c r="N39716" s="28"/>
      <c r="O39716" s="28"/>
      <c r="U39716" s="28"/>
    </row>
    <row r="39717">
      <c r="N39717" s="28"/>
      <c r="O39717" s="28"/>
      <c r="U39717" s="28"/>
    </row>
    <row r="39718">
      <c r="N39718" s="28"/>
      <c r="O39718" s="28"/>
      <c r="U39718" s="28"/>
    </row>
    <row r="39719">
      <c r="N39719" s="28"/>
      <c r="O39719" s="28"/>
      <c r="U39719" s="28"/>
    </row>
    <row r="39720">
      <c r="N39720" s="28"/>
      <c r="O39720" s="28"/>
      <c r="U39720" s="28"/>
    </row>
    <row r="39721">
      <c r="N39721" s="28"/>
      <c r="O39721" s="28"/>
      <c r="U39721" s="28"/>
    </row>
    <row r="39722">
      <c r="N39722" s="28"/>
      <c r="O39722" s="28"/>
      <c r="U39722" s="28"/>
    </row>
    <row r="39723">
      <c r="N39723" s="28"/>
      <c r="O39723" s="28"/>
      <c r="U39723" s="28"/>
    </row>
    <row r="39724">
      <c r="N39724" s="28"/>
      <c r="O39724" s="28"/>
      <c r="U39724" s="28"/>
    </row>
    <row r="39725">
      <c r="N39725" s="28"/>
      <c r="O39725" s="28"/>
      <c r="U39725" s="28"/>
    </row>
    <row r="39726">
      <c r="N39726" s="28"/>
      <c r="O39726" s="28"/>
      <c r="U39726" s="28"/>
    </row>
    <row r="39727">
      <c r="N39727" s="28"/>
      <c r="O39727" s="28"/>
      <c r="U39727" s="28"/>
    </row>
    <row r="39728">
      <c r="N39728" s="28"/>
      <c r="O39728" s="28"/>
      <c r="U39728" s="28"/>
    </row>
    <row r="39729">
      <c r="N39729" s="28"/>
      <c r="O39729" s="28"/>
      <c r="U39729" s="28"/>
    </row>
    <row r="39730">
      <c r="N39730" s="28"/>
      <c r="O39730" s="28"/>
      <c r="U39730" s="28"/>
    </row>
    <row r="39731">
      <c r="N39731" s="28"/>
      <c r="O39731" s="28"/>
      <c r="U39731" s="28"/>
    </row>
    <row r="39732">
      <c r="N39732" s="28"/>
      <c r="O39732" s="28"/>
      <c r="U39732" s="28"/>
    </row>
    <row r="39733">
      <c r="N39733" s="28"/>
      <c r="O39733" s="28"/>
      <c r="U39733" s="28"/>
    </row>
    <row r="39734">
      <c r="N39734" s="28"/>
      <c r="O39734" s="28"/>
      <c r="U39734" s="28"/>
    </row>
    <row r="39735">
      <c r="N39735" s="28"/>
      <c r="O39735" s="28"/>
      <c r="U39735" s="28"/>
    </row>
    <row r="39736">
      <c r="N39736" s="28"/>
      <c r="O39736" s="28"/>
      <c r="U39736" s="28"/>
    </row>
    <row r="39737">
      <c r="N39737" s="28"/>
      <c r="O39737" s="28"/>
      <c r="U39737" s="28"/>
    </row>
    <row r="39738">
      <c r="N39738" s="28"/>
      <c r="O39738" s="28"/>
      <c r="U39738" s="28"/>
    </row>
    <row r="39739">
      <c r="N39739" s="28"/>
      <c r="O39739" s="28"/>
      <c r="U39739" s="28"/>
    </row>
    <row r="39740">
      <c r="N39740" s="28"/>
      <c r="O39740" s="28"/>
      <c r="U39740" s="28"/>
    </row>
    <row r="39741">
      <c r="N39741" s="28"/>
      <c r="O39741" s="28"/>
      <c r="U39741" s="28"/>
    </row>
    <row r="39742">
      <c r="N39742" s="28"/>
      <c r="O39742" s="28"/>
      <c r="U39742" s="28"/>
    </row>
    <row r="39743">
      <c r="N39743" s="28"/>
      <c r="O39743" s="28"/>
      <c r="U39743" s="28"/>
    </row>
    <row r="39744">
      <c r="N39744" s="28"/>
      <c r="O39744" s="28"/>
      <c r="U39744" s="28"/>
    </row>
    <row r="39745">
      <c r="N39745" s="28"/>
      <c r="O39745" s="28"/>
      <c r="U39745" s="28"/>
    </row>
    <row r="39746">
      <c r="N39746" s="28"/>
      <c r="O39746" s="28"/>
      <c r="U39746" s="28"/>
    </row>
    <row r="39747">
      <c r="N39747" s="28"/>
      <c r="O39747" s="28"/>
      <c r="U39747" s="28"/>
    </row>
    <row r="39748">
      <c r="N39748" s="28"/>
      <c r="O39748" s="28"/>
      <c r="U39748" s="28"/>
    </row>
    <row r="39749">
      <c r="N39749" s="28"/>
      <c r="O39749" s="28"/>
      <c r="U39749" s="28"/>
    </row>
    <row r="39750">
      <c r="N39750" s="28"/>
      <c r="O39750" s="28"/>
      <c r="U39750" s="28"/>
    </row>
    <row r="39751">
      <c r="N39751" s="28"/>
      <c r="O39751" s="28"/>
      <c r="U39751" s="28"/>
    </row>
    <row r="39752">
      <c r="N39752" s="28"/>
      <c r="O39752" s="28"/>
      <c r="U39752" s="28"/>
    </row>
    <row r="39753">
      <c r="N39753" s="28"/>
      <c r="O39753" s="28"/>
      <c r="U39753" s="28"/>
    </row>
    <row r="39754">
      <c r="N39754" s="28"/>
      <c r="O39754" s="28"/>
      <c r="U39754" s="28"/>
    </row>
    <row r="39755">
      <c r="N39755" s="28"/>
      <c r="O39755" s="28"/>
      <c r="U39755" s="28"/>
    </row>
    <row r="39756">
      <c r="N39756" s="28"/>
      <c r="O39756" s="28"/>
      <c r="U39756" s="28"/>
    </row>
    <row r="39757">
      <c r="N39757" s="28"/>
      <c r="O39757" s="28"/>
      <c r="U39757" s="28"/>
    </row>
    <row r="39758">
      <c r="N39758" s="28"/>
      <c r="O39758" s="28"/>
      <c r="U39758" s="28"/>
    </row>
    <row r="39759">
      <c r="N39759" s="28"/>
      <c r="O39759" s="28"/>
      <c r="U39759" s="28"/>
    </row>
    <row r="39760">
      <c r="N39760" s="28"/>
      <c r="O39760" s="28"/>
      <c r="U39760" s="28"/>
    </row>
    <row r="39761">
      <c r="N39761" s="28"/>
      <c r="O39761" s="28"/>
      <c r="U39761" s="28"/>
    </row>
    <row r="39762">
      <c r="N39762" s="28"/>
      <c r="O39762" s="28"/>
      <c r="U39762" s="28"/>
    </row>
    <row r="39763">
      <c r="N39763" s="28"/>
      <c r="O39763" s="28"/>
      <c r="U39763" s="28"/>
    </row>
    <row r="39764">
      <c r="N39764" s="28"/>
      <c r="O39764" s="28"/>
      <c r="U39764" s="28"/>
    </row>
    <row r="39765">
      <c r="N39765" s="28"/>
      <c r="O39765" s="28"/>
      <c r="U39765" s="28"/>
    </row>
    <row r="39766">
      <c r="N39766" s="28"/>
      <c r="O39766" s="28"/>
      <c r="U39766" s="28"/>
    </row>
    <row r="39767">
      <c r="N39767" s="28"/>
      <c r="O39767" s="28"/>
      <c r="U39767" s="28"/>
    </row>
    <row r="39768">
      <c r="N39768" s="28"/>
      <c r="O39768" s="28"/>
      <c r="U39768" s="28"/>
    </row>
    <row r="39769">
      <c r="N39769" s="28"/>
      <c r="O39769" s="28"/>
      <c r="U39769" s="28"/>
    </row>
    <row r="39770">
      <c r="N39770" s="28"/>
      <c r="O39770" s="28"/>
      <c r="U39770" s="28"/>
    </row>
    <row r="39771">
      <c r="N39771" s="28"/>
      <c r="O39771" s="28"/>
      <c r="U39771" s="28"/>
    </row>
    <row r="39772">
      <c r="N39772" s="28"/>
      <c r="O39772" s="28"/>
      <c r="U39772" s="28"/>
    </row>
    <row r="39773">
      <c r="N39773" s="28"/>
      <c r="O39773" s="28"/>
      <c r="U39773" s="28"/>
    </row>
    <row r="39774">
      <c r="N39774" s="28"/>
      <c r="O39774" s="28"/>
      <c r="U39774" s="28"/>
    </row>
    <row r="39775">
      <c r="N39775" s="28"/>
      <c r="O39775" s="28"/>
      <c r="U39775" s="28"/>
    </row>
    <row r="39776">
      <c r="N39776" s="28"/>
      <c r="O39776" s="28"/>
      <c r="U39776" s="28"/>
    </row>
    <row r="39777">
      <c r="N39777" s="28"/>
      <c r="O39777" s="28"/>
      <c r="U39777" s="28"/>
    </row>
    <row r="39778">
      <c r="N39778" s="28"/>
      <c r="O39778" s="28"/>
      <c r="U39778" s="28"/>
    </row>
    <row r="39779">
      <c r="N39779" s="28"/>
      <c r="O39779" s="28"/>
      <c r="U39779" s="28"/>
    </row>
    <row r="39780">
      <c r="N39780" s="28"/>
      <c r="O39780" s="28"/>
      <c r="U39780" s="28"/>
    </row>
    <row r="39781">
      <c r="N39781" s="28"/>
      <c r="O39781" s="28"/>
      <c r="U39781" s="28"/>
    </row>
    <row r="39782">
      <c r="N39782" s="28"/>
      <c r="O39782" s="28"/>
      <c r="U39782" s="28"/>
    </row>
    <row r="39783">
      <c r="N39783" s="28"/>
      <c r="O39783" s="28"/>
      <c r="U39783" s="28"/>
    </row>
    <row r="39784">
      <c r="N39784" s="28"/>
      <c r="O39784" s="28"/>
      <c r="U39784" s="28"/>
    </row>
    <row r="39785">
      <c r="N39785" s="28"/>
      <c r="O39785" s="28"/>
      <c r="U39785" s="28"/>
    </row>
    <row r="39786">
      <c r="N39786" s="28"/>
      <c r="O39786" s="28"/>
      <c r="U39786" s="28"/>
    </row>
    <row r="39787">
      <c r="N39787" s="28"/>
      <c r="O39787" s="28"/>
      <c r="U39787" s="28"/>
    </row>
    <row r="39788">
      <c r="N39788" s="28"/>
      <c r="O39788" s="28"/>
      <c r="U39788" s="28"/>
    </row>
    <row r="39789">
      <c r="N39789" s="28"/>
      <c r="O39789" s="28"/>
      <c r="U39789" s="28"/>
    </row>
    <row r="39790">
      <c r="N39790" s="28"/>
      <c r="O39790" s="28"/>
      <c r="U39790" s="28"/>
    </row>
    <row r="39791">
      <c r="N39791" s="28"/>
      <c r="O39791" s="28"/>
      <c r="U39791" s="28"/>
    </row>
    <row r="39792">
      <c r="N39792" s="28"/>
      <c r="O39792" s="28"/>
      <c r="U39792" s="28"/>
    </row>
    <row r="39793">
      <c r="N39793" s="28"/>
      <c r="O39793" s="28"/>
      <c r="U39793" s="28"/>
    </row>
    <row r="39794">
      <c r="N39794" s="28"/>
      <c r="O39794" s="28"/>
      <c r="U39794" s="28"/>
    </row>
    <row r="39795">
      <c r="N39795" s="28"/>
      <c r="O39795" s="28"/>
      <c r="U39795" s="28"/>
    </row>
    <row r="39796">
      <c r="N39796" s="28"/>
      <c r="O39796" s="28"/>
      <c r="U39796" s="28"/>
    </row>
    <row r="39797">
      <c r="N39797" s="28"/>
      <c r="O39797" s="28"/>
      <c r="U39797" s="28"/>
    </row>
    <row r="39798">
      <c r="N39798" s="28"/>
      <c r="O39798" s="28"/>
      <c r="U39798" s="28"/>
    </row>
    <row r="39799">
      <c r="N39799" s="28"/>
      <c r="O39799" s="28"/>
      <c r="U39799" s="28"/>
    </row>
    <row r="39800">
      <c r="N39800" s="28"/>
      <c r="O39800" s="28"/>
      <c r="U39800" s="28"/>
    </row>
    <row r="39801">
      <c r="N39801" s="28"/>
      <c r="O39801" s="28"/>
      <c r="U39801" s="28"/>
    </row>
    <row r="39802">
      <c r="N39802" s="28"/>
      <c r="O39802" s="28"/>
      <c r="U39802" s="28"/>
    </row>
    <row r="39803">
      <c r="N39803" s="28"/>
      <c r="O39803" s="28"/>
      <c r="U39803" s="28"/>
    </row>
    <row r="39804">
      <c r="N39804" s="28"/>
      <c r="O39804" s="28"/>
      <c r="U39804" s="28"/>
    </row>
    <row r="39805">
      <c r="N39805" s="28"/>
      <c r="O39805" s="28"/>
      <c r="U39805" s="28"/>
    </row>
    <row r="39806">
      <c r="N39806" s="28"/>
      <c r="O39806" s="28"/>
      <c r="U39806" s="28"/>
    </row>
    <row r="39807">
      <c r="N39807" s="28"/>
      <c r="O39807" s="28"/>
      <c r="U39807" s="28"/>
    </row>
    <row r="39808">
      <c r="N39808" s="28"/>
      <c r="O39808" s="28"/>
      <c r="U39808" s="28"/>
    </row>
    <row r="39809">
      <c r="N39809" s="28"/>
      <c r="O39809" s="28"/>
      <c r="U39809" s="28"/>
    </row>
    <row r="39810">
      <c r="N39810" s="28"/>
      <c r="O39810" s="28"/>
      <c r="U39810" s="28"/>
    </row>
    <row r="39811">
      <c r="N39811" s="28"/>
      <c r="O39811" s="28"/>
      <c r="U39811" s="28"/>
    </row>
    <row r="39812">
      <c r="N39812" s="28"/>
      <c r="O39812" s="28"/>
      <c r="U39812" s="28"/>
    </row>
    <row r="39813">
      <c r="N39813" s="28"/>
      <c r="O39813" s="28"/>
      <c r="U39813" s="28"/>
    </row>
    <row r="39814">
      <c r="N39814" s="28"/>
      <c r="O39814" s="28"/>
      <c r="U39814" s="28"/>
    </row>
    <row r="39815">
      <c r="N39815" s="28"/>
      <c r="O39815" s="28"/>
      <c r="U39815" s="28"/>
    </row>
    <row r="39816">
      <c r="N39816" s="28"/>
      <c r="O39816" s="28"/>
      <c r="U39816" s="28"/>
    </row>
    <row r="39817">
      <c r="N39817" s="28"/>
      <c r="O39817" s="28"/>
      <c r="U39817" s="28"/>
    </row>
    <row r="39818">
      <c r="N39818" s="28"/>
      <c r="O39818" s="28"/>
      <c r="U39818" s="28"/>
    </row>
    <row r="39819">
      <c r="N39819" s="28"/>
      <c r="O39819" s="28"/>
      <c r="U39819" s="28"/>
    </row>
    <row r="39820">
      <c r="N39820" s="28"/>
      <c r="O39820" s="28"/>
      <c r="U39820" s="28"/>
    </row>
    <row r="39821">
      <c r="N39821" s="28"/>
      <c r="O39821" s="28"/>
      <c r="U39821" s="28"/>
    </row>
    <row r="39822">
      <c r="N39822" s="28"/>
      <c r="O39822" s="28"/>
      <c r="U39822" s="28"/>
    </row>
    <row r="39823">
      <c r="N39823" s="28"/>
      <c r="O39823" s="28"/>
      <c r="U39823" s="28"/>
    </row>
    <row r="39824">
      <c r="N39824" s="28"/>
      <c r="O39824" s="28"/>
      <c r="U39824" s="28"/>
    </row>
    <row r="39825">
      <c r="N39825" s="28"/>
      <c r="O39825" s="28"/>
      <c r="U39825" s="28"/>
    </row>
    <row r="39826">
      <c r="N39826" s="28"/>
      <c r="O39826" s="28"/>
      <c r="U39826" s="28"/>
    </row>
    <row r="39827">
      <c r="N39827" s="28"/>
      <c r="O39827" s="28"/>
      <c r="U39827" s="28"/>
    </row>
    <row r="39828">
      <c r="N39828" s="28"/>
      <c r="O39828" s="28"/>
      <c r="U39828" s="28"/>
    </row>
    <row r="39829">
      <c r="N39829" s="28"/>
      <c r="O39829" s="28"/>
      <c r="U39829" s="28"/>
    </row>
    <row r="39830">
      <c r="N39830" s="28"/>
      <c r="O39830" s="28"/>
      <c r="U39830" s="28"/>
    </row>
    <row r="39831">
      <c r="N39831" s="28"/>
      <c r="O39831" s="28"/>
      <c r="U39831" s="28"/>
    </row>
    <row r="39832">
      <c r="N39832" s="28"/>
      <c r="O39832" s="28"/>
      <c r="U39832" s="28"/>
    </row>
    <row r="39833">
      <c r="N39833" s="28"/>
      <c r="O39833" s="28"/>
      <c r="U39833" s="28"/>
    </row>
    <row r="39834">
      <c r="N39834" s="28"/>
      <c r="O39834" s="28"/>
      <c r="U39834" s="28"/>
    </row>
    <row r="39835">
      <c r="N39835" s="28"/>
      <c r="O39835" s="28"/>
      <c r="U39835" s="28"/>
    </row>
    <row r="39836">
      <c r="N39836" s="28"/>
      <c r="O39836" s="28"/>
      <c r="U39836" s="28"/>
    </row>
    <row r="39837">
      <c r="N39837" s="28"/>
      <c r="O39837" s="28"/>
      <c r="U39837" s="28"/>
    </row>
    <row r="39838">
      <c r="N39838" s="28"/>
      <c r="O39838" s="28"/>
      <c r="U39838" s="28"/>
    </row>
    <row r="39839">
      <c r="N39839" s="28"/>
      <c r="O39839" s="28"/>
      <c r="U39839" s="28"/>
    </row>
    <row r="39840">
      <c r="N39840" s="28"/>
      <c r="O39840" s="28"/>
      <c r="U39840" s="28"/>
    </row>
    <row r="39841">
      <c r="N39841" s="28"/>
      <c r="O39841" s="28"/>
      <c r="U39841" s="28"/>
    </row>
    <row r="39842">
      <c r="N39842" s="28"/>
      <c r="O39842" s="28"/>
      <c r="U39842" s="28"/>
    </row>
    <row r="39843">
      <c r="N39843" s="28"/>
      <c r="O39843" s="28"/>
      <c r="U39843" s="28"/>
    </row>
    <row r="39844">
      <c r="N39844" s="28"/>
      <c r="O39844" s="28"/>
      <c r="U39844" s="28"/>
    </row>
    <row r="39845">
      <c r="N39845" s="28"/>
      <c r="O39845" s="28"/>
      <c r="U39845" s="28"/>
    </row>
    <row r="39846">
      <c r="N39846" s="28"/>
      <c r="O39846" s="28"/>
      <c r="U39846" s="28"/>
    </row>
    <row r="39847">
      <c r="N39847" s="28"/>
      <c r="O39847" s="28"/>
      <c r="U39847" s="28"/>
    </row>
    <row r="39848">
      <c r="N39848" s="28"/>
      <c r="O39848" s="28"/>
      <c r="U39848" s="28"/>
    </row>
    <row r="39849">
      <c r="N39849" s="28"/>
      <c r="O39849" s="28"/>
      <c r="U39849" s="28"/>
    </row>
    <row r="39850">
      <c r="N39850" s="28"/>
      <c r="O39850" s="28"/>
      <c r="U39850" s="28"/>
    </row>
    <row r="39851">
      <c r="N39851" s="28"/>
      <c r="O39851" s="28"/>
      <c r="U39851" s="28"/>
    </row>
    <row r="39852">
      <c r="N39852" s="28"/>
      <c r="O39852" s="28"/>
      <c r="U39852" s="28"/>
    </row>
    <row r="39853">
      <c r="N39853" s="28"/>
      <c r="O39853" s="28"/>
      <c r="U39853" s="28"/>
    </row>
    <row r="39854">
      <c r="N39854" s="28"/>
      <c r="O39854" s="28"/>
      <c r="U39854" s="28"/>
    </row>
    <row r="39855">
      <c r="N39855" s="28"/>
      <c r="O39855" s="28"/>
      <c r="U39855" s="28"/>
    </row>
    <row r="39856">
      <c r="N39856" s="28"/>
      <c r="O39856" s="28"/>
      <c r="U39856" s="28"/>
    </row>
    <row r="39857">
      <c r="N39857" s="28"/>
      <c r="O39857" s="28"/>
      <c r="U39857" s="28"/>
    </row>
    <row r="39858">
      <c r="N39858" s="28"/>
      <c r="O39858" s="28"/>
      <c r="U39858" s="28"/>
    </row>
    <row r="39859">
      <c r="N39859" s="28"/>
      <c r="O39859" s="28"/>
      <c r="U39859" s="28"/>
    </row>
    <row r="39860">
      <c r="N39860" s="28"/>
      <c r="O39860" s="28"/>
      <c r="U39860" s="28"/>
    </row>
    <row r="39861">
      <c r="N39861" s="28"/>
      <c r="O39861" s="28"/>
      <c r="U39861" s="28"/>
    </row>
    <row r="39862">
      <c r="N39862" s="28"/>
      <c r="O39862" s="28"/>
      <c r="U39862" s="28"/>
    </row>
    <row r="39863">
      <c r="N39863" s="28"/>
      <c r="O39863" s="28"/>
      <c r="U39863" s="28"/>
    </row>
    <row r="39864">
      <c r="N39864" s="28"/>
      <c r="O39864" s="28"/>
      <c r="U39864" s="28"/>
    </row>
    <row r="39865">
      <c r="N39865" s="28"/>
      <c r="O39865" s="28"/>
      <c r="U39865" s="28"/>
    </row>
    <row r="39866">
      <c r="N39866" s="28"/>
      <c r="O39866" s="28"/>
      <c r="U39866" s="28"/>
    </row>
    <row r="39867">
      <c r="N39867" s="28"/>
      <c r="O39867" s="28"/>
      <c r="U39867" s="28"/>
    </row>
    <row r="39868">
      <c r="N39868" s="28"/>
      <c r="O39868" s="28"/>
      <c r="U39868" s="28"/>
    </row>
    <row r="39869">
      <c r="N39869" s="28"/>
      <c r="O39869" s="28"/>
      <c r="U39869" s="28"/>
    </row>
    <row r="39870">
      <c r="N39870" s="28"/>
      <c r="O39870" s="28"/>
      <c r="U39870" s="28"/>
    </row>
    <row r="39871">
      <c r="N39871" s="28"/>
      <c r="O39871" s="28"/>
      <c r="U39871" s="28"/>
    </row>
    <row r="39872">
      <c r="N39872" s="28"/>
      <c r="O39872" s="28"/>
      <c r="U39872" s="28"/>
    </row>
    <row r="39873">
      <c r="N39873" s="28"/>
      <c r="O39873" s="28"/>
      <c r="U39873" s="28"/>
    </row>
    <row r="39874">
      <c r="N39874" s="28"/>
      <c r="O39874" s="28"/>
      <c r="U39874" s="28"/>
    </row>
    <row r="39875">
      <c r="N39875" s="28"/>
      <c r="O39875" s="28"/>
      <c r="U39875" s="28"/>
    </row>
    <row r="39876">
      <c r="N39876" s="28"/>
      <c r="O39876" s="28"/>
      <c r="U39876" s="28"/>
    </row>
    <row r="39877">
      <c r="N39877" s="28"/>
      <c r="O39877" s="28"/>
      <c r="U39877" s="28"/>
    </row>
    <row r="39878">
      <c r="N39878" s="28"/>
      <c r="O39878" s="28"/>
      <c r="U39878" s="28"/>
    </row>
    <row r="39879">
      <c r="N39879" s="28"/>
      <c r="O39879" s="28"/>
      <c r="U39879" s="28"/>
    </row>
    <row r="39880">
      <c r="N39880" s="28"/>
      <c r="O39880" s="28"/>
      <c r="U39880" s="28"/>
    </row>
    <row r="39881">
      <c r="N39881" s="28"/>
      <c r="O39881" s="28"/>
      <c r="U39881" s="28"/>
    </row>
    <row r="39882">
      <c r="N39882" s="28"/>
      <c r="O39882" s="28"/>
      <c r="U39882" s="28"/>
    </row>
    <row r="39883">
      <c r="N39883" s="28"/>
      <c r="O39883" s="28"/>
      <c r="U39883" s="28"/>
    </row>
    <row r="39884">
      <c r="N39884" s="28"/>
      <c r="O39884" s="28"/>
      <c r="U39884" s="28"/>
    </row>
    <row r="39885">
      <c r="N39885" s="28"/>
      <c r="O39885" s="28"/>
      <c r="U39885" s="28"/>
    </row>
    <row r="39886">
      <c r="N39886" s="28"/>
      <c r="O39886" s="28"/>
      <c r="U39886" s="28"/>
    </row>
    <row r="39887">
      <c r="N39887" s="28"/>
      <c r="O39887" s="28"/>
      <c r="U39887" s="28"/>
    </row>
    <row r="39888">
      <c r="N39888" s="28"/>
      <c r="O39888" s="28"/>
      <c r="U39888" s="28"/>
    </row>
    <row r="39889">
      <c r="N39889" s="28"/>
      <c r="O39889" s="28"/>
      <c r="U39889" s="28"/>
    </row>
    <row r="39890">
      <c r="N39890" s="28"/>
      <c r="O39890" s="28"/>
      <c r="U39890" s="28"/>
    </row>
    <row r="39891">
      <c r="N39891" s="28"/>
      <c r="O39891" s="28"/>
      <c r="U39891" s="28"/>
    </row>
    <row r="39892">
      <c r="N39892" s="28"/>
      <c r="O39892" s="28"/>
      <c r="U39892" s="28"/>
    </row>
    <row r="39893">
      <c r="N39893" s="28"/>
      <c r="O39893" s="28"/>
      <c r="U39893" s="28"/>
    </row>
    <row r="39894">
      <c r="N39894" s="28"/>
      <c r="O39894" s="28"/>
      <c r="U39894" s="28"/>
    </row>
    <row r="39895">
      <c r="N39895" s="28"/>
      <c r="O39895" s="28"/>
      <c r="U39895" s="28"/>
    </row>
    <row r="39896">
      <c r="N39896" s="28"/>
      <c r="O39896" s="28"/>
      <c r="U39896" s="28"/>
    </row>
    <row r="39897">
      <c r="N39897" s="28"/>
      <c r="O39897" s="28"/>
      <c r="U39897" s="28"/>
    </row>
    <row r="39898">
      <c r="N39898" s="28"/>
      <c r="O39898" s="28"/>
      <c r="U39898" s="28"/>
    </row>
    <row r="39899">
      <c r="N39899" s="28"/>
      <c r="O39899" s="28"/>
      <c r="U39899" s="28"/>
    </row>
    <row r="39900">
      <c r="N39900" s="28"/>
      <c r="O39900" s="28"/>
      <c r="U39900" s="28"/>
    </row>
    <row r="39901">
      <c r="N39901" s="28"/>
      <c r="O39901" s="28"/>
      <c r="U39901" s="28"/>
    </row>
    <row r="39902">
      <c r="N39902" s="28"/>
      <c r="O39902" s="28"/>
      <c r="U39902" s="28"/>
    </row>
    <row r="39903">
      <c r="N39903" s="28"/>
      <c r="O39903" s="28"/>
      <c r="U39903" s="28"/>
    </row>
    <row r="39904">
      <c r="N39904" s="28"/>
      <c r="O39904" s="28"/>
      <c r="U39904" s="28"/>
    </row>
    <row r="39905">
      <c r="N39905" s="28"/>
      <c r="O39905" s="28"/>
      <c r="U39905" s="28"/>
    </row>
    <row r="39906">
      <c r="N39906" s="28"/>
      <c r="O39906" s="28"/>
      <c r="U39906" s="28"/>
    </row>
    <row r="39907">
      <c r="N39907" s="28"/>
      <c r="O39907" s="28"/>
      <c r="U39907" s="28"/>
    </row>
    <row r="39908">
      <c r="N39908" s="28"/>
      <c r="O39908" s="28"/>
      <c r="U39908" s="28"/>
    </row>
    <row r="39909">
      <c r="N39909" s="28"/>
      <c r="O39909" s="28"/>
      <c r="U39909" s="28"/>
    </row>
    <row r="39910">
      <c r="N39910" s="28"/>
      <c r="O39910" s="28"/>
      <c r="U39910" s="28"/>
    </row>
    <row r="39911">
      <c r="N39911" s="28"/>
      <c r="O39911" s="28"/>
      <c r="U39911" s="28"/>
    </row>
    <row r="39912">
      <c r="N39912" s="28"/>
      <c r="O39912" s="28"/>
      <c r="U39912" s="28"/>
    </row>
    <row r="39913">
      <c r="N39913" s="28"/>
      <c r="O39913" s="28"/>
      <c r="U39913" s="28"/>
    </row>
    <row r="39914">
      <c r="N39914" s="28"/>
      <c r="O39914" s="28"/>
      <c r="U39914" s="28"/>
    </row>
    <row r="39915">
      <c r="N39915" s="28"/>
      <c r="O39915" s="28"/>
      <c r="U39915" s="28"/>
    </row>
    <row r="39916">
      <c r="N39916" s="28"/>
      <c r="O39916" s="28"/>
      <c r="U39916" s="28"/>
    </row>
    <row r="39917">
      <c r="N39917" s="28"/>
      <c r="O39917" s="28"/>
      <c r="U39917" s="28"/>
    </row>
    <row r="39918">
      <c r="N39918" s="28"/>
      <c r="O39918" s="28"/>
      <c r="U39918" s="28"/>
    </row>
    <row r="39919">
      <c r="N39919" s="28"/>
      <c r="O39919" s="28"/>
      <c r="U39919" s="28"/>
    </row>
    <row r="39920">
      <c r="N39920" s="28"/>
      <c r="O39920" s="28"/>
      <c r="U39920" s="28"/>
    </row>
    <row r="39921">
      <c r="N39921" s="28"/>
      <c r="O39921" s="28"/>
      <c r="U39921" s="28"/>
    </row>
    <row r="39922">
      <c r="N39922" s="28"/>
      <c r="O39922" s="28"/>
      <c r="U39922" s="28"/>
    </row>
    <row r="39923">
      <c r="N39923" s="28"/>
      <c r="O39923" s="28"/>
      <c r="U39923" s="28"/>
    </row>
    <row r="39924">
      <c r="N39924" s="28"/>
      <c r="O39924" s="28"/>
      <c r="U39924" s="28"/>
    </row>
    <row r="39925">
      <c r="N39925" s="28"/>
      <c r="O39925" s="28"/>
      <c r="U39925" s="28"/>
    </row>
    <row r="39926">
      <c r="N39926" s="28"/>
      <c r="O39926" s="28"/>
      <c r="U39926" s="28"/>
    </row>
    <row r="39927">
      <c r="N39927" s="28"/>
      <c r="O39927" s="28"/>
      <c r="U39927" s="28"/>
    </row>
    <row r="39928">
      <c r="N39928" s="28"/>
      <c r="O39928" s="28"/>
      <c r="U39928" s="28"/>
    </row>
    <row r="39929">
      <c r="N39929" s="28"/>
      <c r="O39929" s="28"/>
      <c r="U39929" s="28"/>
    </row>
    <row r="39930">
      <c r="N39930" s="28"/>
      <c r="O39930" s="28"/>
      <c r="U39930" s="28"/>
    </row>
    <row r="39931">
      <c r="N39931" s="28"/>
      <c r="O39931" s="28"/>
      <c r="U39931" s="28"/>
    </row>
    <row r="39932">
      <c r="N39932" s="28"/>
      <c r="O39932" s="28"/>
      <c r="U39932" s="28"/>
    </row>
    <row r="39933">
      <c r="N39933" s="28"/>
      <c r="O39933" s="28"/>
      <c r="U39933" s="28"/>
    </row>
    <row r="39934">
      <c r="N39934" s="28"/>
      <c r="O39934" s="28"/>
      <c r="U39934" s="28"/>
    </row>
    <row r="39935">
      <c r="N39935" s="28"/>
      <c r="O39935" s="28"/>
      <c r="U39935" s="28"/>
    </row>
    <row r="39936">
      <c r="N39936" s="28"/>
      <c r="O39936" s="28"/>
      <c r="U39936" s="28"/>
    </row>
    <row r="39937">
      <c r="N39937" s="28"/>
      <c r="O39937" s="28"/>
      <c r="U39937" s="28"/>
    </row>
    <row r="39938">
      <c r="N39938" s="28"/>
      <c r="O39938" s="28"/>
      <c r="U39938" s="28"/>
    </row>
    <row r="39939">
      <c r="N39939" s="28"/>
      <c r="O39939" s="28"/>
      <c r="U39939" s="28"/>
    </row>
    <row r="39940">
      <c r="N39940" s="28"/>
      <c r="O39940" s="28"/>
      <c r="U39940" s="28"/>
    </row>
    <row r="39941">
      <c r="N39941" s="28"/>
      <c r="O39941" s="28"/>
      <c r="U39941" s="28"/>
    </row>
    <row r="39942">
      <c r="N39942" s="28"/>
      <c r="O39942" s="28"/>
      <c r="U39942" s="28"/>
    </row>
    <row r="39943">
      <c r="N39943" s="28"/>
      <c r="O39943" s="28"/>
      <c r="U39943" s="28"/>
    </row>
    <row r="39944">
      <c r="N39944" s="28"/>
      <c r="O39944" s="28"/>
      <c r="U39944" s="28"/>
    </row>
    <row r="39945">
      <c r="N39945" s="28"/>
      <c r="O39945" s="28"/>
      <c r="U39945" s="28"/>
    </row>
    <row r="39946">
      <c r="N39946" s="28"/>
      <c r="O39946" s="28"/>
      <c r="U39946" s="28"/>
    </row>
    <row r="39947">
      <c r="N39947" s="28"/>
      <c r="O39947" s="28"/>
      <c r="U39947" s="28"/>
    </row>
    <row r="39948">
      <c r="N39948" s="28"/>
      <c r="O39948" s="28"/>
      <c r="U39948" s="28"/>
    </row>
    <row r="39949">
      <c r="N39949" s="28"/>
      <c r="O39949" s="28"/>
      <c r="U39949" s="28"/>
    </row>
    <row r="39950">
      <c r="N39950" s="28"/>
      <c r="O39950" s="28"/>
      <c r="U39950" s="28"/>
    </row>
    <row r="39951">
      <c r="N39951" s="28"/>
      <c r="O39951" s="28"/>
      <c r="U39951" s="28"/>
    </row>
    <row r="39952">
      <c r="N39952" s="28"/>
      <c r="O39952" s="28"/>
      <c r="U39952" s="28"/>
    </row>
    <row r="39953">
      <c r="N39953" s="28"/>
      <c r="O39953" s="28"/>
      <c r="U39953" s="28"/>
    </row>
    <row r="39954">
      <c r="N39954" s="28"/>
      <c r="O39954" s="28"/>
      <c r="U39954" s="28"/>
    </row>
    <row r="39955">
      <c r="N39955" s="28"/>
      <c r="O39955" s="28"/>
      <c r="U39955" s="28"/>
    </row>
    <row r="39956">
      <c r="N39956" s="28"/>
      <c r="O39956" s="28"/>
      <c r="U39956" s="28"/>
    </row>
    <row r="39957">
      <c r="N39957" s="28"/>
      <c r="O39957" s="28"/>
      <c r="U39957" s="28"/>
    </row>
    <row r="39958">
      <c r="N39958" s="28"/>
      <c r="O39958" s="28"/>
      <c r="U39958" s="28"/>
    </row>
    <row r="39959">
      <c r="N39959" s="28"/>
      <c r="O39959" s="28"/>
      <c r="U39959" s="28"/>
    </row>
    <row r="39960">
      <c r="N39960" s="28"/>
      <c r="O39960" s="28"/>
      <c r="U39960" s="28"/>
    </row>
    <row r="39961">
      <c r="N39961" s="28"/>
      <c r="O39961" s="28"/>
      <c r="U39961" s="28"/>
    </row>
    <row r="39962">
      <c r="N39962" s="28"/>
      <c r="O39962" s="28"/>
      <c r="U39962" s="28"/>
    </row>
    <row r="39963">
      <c r="N39963" s="28"/>
      <c r="O39963" s="28"/>
      <c r="U39963" s="28"/>
    </row>
    <row r="39964">
      <c r="N39964" s="28"/>
      <c r="O39964" s="28"/>
      <c r="U39964" s="28"/>
    </row>
    <row r="39965">
      <c r="N39965" s="28"/>
      <c r="O39965" s="28"/>
      <c r="U39965" s="28"/>
    </row>
    <row r="39966">
      <c r="N39966" s="28"/>
      <c r="O39966" s="28"/>
      <c r="U39966" s="28"/>
    </row>
    <row r="39967">
      <c r="N39967" s="28"/>
      <c r="O39967" s="28"/>
      <c r="U39967" s="28"/>
    </row>
    <row r="39968">
      <c r="N39968" s="28"/>
      <c r="O39968" s="28"/>
      <c r="U39968" s="28"/>
    </row>
    <row r="39969">
      <c r="N39969" s="28"/>
      <c r="O39969" s="28"/>
      <c r="U39969" s="28"/>
    </row>
    <row r="39970">
      <c r="N39970" s="28"/>
      <c r="O39970" s="28"/>
      <c r="U39970" s="28"/>
    </row>
    <row r="39971">
      <c r="N39971" s="28"/>
      <c r="O39971" s="28"/>
      <c r="U39971" s="28"/>
    </row>
    <row r="39972">
      <c r="N39972" s="28"/>
      <c r="O39972" s="28"/>
      <c r="U39972" s="28"/>
    </row>
    <row r="39973">
      <c r="N39973" s="28"/>
      <c r="O39973" s="28"/>
      <c r="U39973" s="28"/>
    </row>
    <row r="39974">
      <c r="N39974" s="28"/>
      <c r="O39974" s="28"/>
      <c r="U39974" s="28"/>
    </row>
    <row r="39975">
      <c r="N39975" s="28"/>
      <c r="O39975" s="28"/>
      <c r="U39975" s="28"/>
    </row>
    <row r="39976">
      <c r="N39976" s="28"/>
      <c r="O39976" s="28"/>
      <c r="U39976" s="28"/>
    </row>
    <row r="39977">
      <c r="N39977" s="28"/>
      <c r="O39977" s="28"/>
      <c r="U39977" s="28"/>
    </row>
    <row r="39978">
      <c r="N39978" s="28"/>
      <c r="O39978" s="28"/>
      <c r="U39978" s="28"/>
    </row>
    <row r="39979">
      <c r="N39979" s="28"/>
      <c r="O39979" s="28"/>
      <c r="U39979" s="28"/>
    </row>
    <row r="39980">
      <c r="N39980" s="28"/>
      <c r="O39980" s="28"/>
      <c r="U39980" s="28"/>
    </row>
    <row r="39981">
      <c r="N39981" s="28"/>
      <c r="O39981" s="28"/>
      <c r="U39981" s="28"/>
    </row>
    <row r="39982">
      <c r="N39982" s="28"/>
      <c r="O39982" s="28"/>
      <c r="U39982" s="28"/>
    </row>
    <row r="39983">
      <c r="N39983" s="28"/>
      <c r="O39983" s="28"/>
      <c r="U39983" s="28"/>
    </row>
    <row r="39984">
      <c r="N39984" s="28"/>
      <c r="O39984" s="28"/>
      <c r="U39984" s="28"/>
    </row>
    <row r="39985">
      <c r="N39985" s="28"/>
      <c r="O39985" s="28"/>
      <c r="U39985" s="28"/>
    </row>
    <row r="39986">
      <c r="N39986" s="28"/>
      <c r="O39986" s="28"/>
      <c r="U39986" s="28"/>
    </row>
    <row r="39987">
      <c r="N39987" s="28"/>
      <c r="O39987" s="28"/>
      <c r="U39987" s="28"/>
    </row>
    <row r="39988">
      <c r="N39988" s="28"/>
      <c r="O39988" s="28"/>
      <c r="U39988" s="28"/>
    </row>
    <row r="39989">
      <c r="N39989" s="28"/>
      <c r="O39989" s="28"/>
      <c r="U39989" s="28"/>
    </row>
    <row r="39990">
      <c r="N39990" s="28"/>
      <c r="O39990" s="28"/>
      <c r="U39990" s="28"/>
    </row>
    <row r="39991">
      <c r="N39991" s="28"/>
      <c r="O39991" s="28"/>
      <c r="U39991" s="28"/>
    </row>
    <row r="39992">
      <c r="N39992" s="28"/>
      <c r="O39992" s="28"/>
      <c r="U39992" s="28"/>
    </row>
    <row r="39993">
      <c r="N39993" s="28"/>
      <c r="O39993" s="28"/>
      <c r="U39993" s="28"/>
    </row>
    <row r="39994">
      <c r="N39994" s="28"/>
      <c r="O39994" s="28"/>
      <c r="U39994" s="28"/>
    </row>
    <row r="39995">
      <c r="N39995" s="28"/>
      <c r="O39995" s="28"/>
      <c r="U39995" s="28"/>
    </row>
    <row r="39996">
      <c r="N39996" s="28"/>
      <c r="O39996" s="28"/>
      <c r="U39996" s="28"/>
    </row>
    <row r="39997">
      <c r="N39997" s="28"/>
      <c r="O39997" s="28"/>
      <c r="U39997" s="28"/>
    </row>
    <row r="39998">
      <c r="N39998" s="28"/>
      <c r="O39998" s="28"/>
      <c r="U39998" s="28"/>
    </row>
    <row r="39999">
      <c r="N39999" s="28"/>
      <c r="O39999" s="28"/>
      <c r="U39999" s="28"/>
    </row>
    <row r="40000">
      <c r="N40000" s="28"/>
      <c r="O40000" s="28"/>
      <c r="U40000" s="28"/>
    </row>
    <row r="40001">
      <c r="N40001" s="28"/>
      <c r="O40001" s="28"/>
      <c r="U40001" s="28"/>
    </row>
    <row r="40002">
      <c r="N40002" s="28"/>
      <c r="O40002" s="28"/>
      <c r="U40002" s="28"/>
    </row>
    <row r="40003">
      <c r="N40003" s="28"/>
      <c r="O40003" s="28"/>
      <c r="U40003" s="28"/>
    </row>
    <row r="40004">
      <c r="N40004" s="28"/>
      <c r="O40004" s="28"/>
      <c r="U40004" s="28"/>
    </row>
    <row r="40005">
      <c r="N40005" s="28"/>
      <c r="O40005" s="28"/>
      <c r="U40005" s="28"/>
    </row>
    <row r="40006">
      <c r="N40006" s="28"/>
      <c r="O40006" s="28"/>
      <c r="U40006" s="28"/>
    </row>
    <row r="40007">
      <c r="N40007" s="28"/>
      <c r="O40007" s="28"/>
      <c r="U40007" s="28"/>
    </row>
    <row r="40008">
      <c r="N40008" s="28"/>
      <c r="O40008" s="28"/>
      <c r="U40008" s="28"/>
    </row>
    <row r="40009">
      <c r="N40009" s="28"/>
      <c r="O40009" s="28"/>
      <c r="U40009" s="28"/>
    </row>
    <row r="40010">
      <c r="N40010" s="28"/>
      <c r="O40010" s="28"/>
      <c r="U40010" s="28"/>
    </row>
    <row r="40011">
      <c r="N40011" s="28"/>
      <c r="O40011" s="28"/>
      <c r="U40011" s="28"/>
    </row>
    <row r="40012">
      <c r="N40012" s="28"/>
      <c r="O40012" s="28"/>
      <c r="U40012" s="28"/>
    </row>
    <row r="40013">
      <c r="N40013" s="28"/>
      <c r="O40013" s="28"/>
      <c r="U40013" s="28"/>
    </row>
    <row r="40014">
      <c r="N40014" s="28"/>
      <c r="O40014" s="28"/>
      <c r="U40014" s="28"/>
    </row>
    <row r="40015">
      <c r="N40015" s="28"/>
      <c r="O40015" s="28"/>
      <c r="U40015" s="28"/>
    </row>
    <row r="40016">
      <c r="N40016" s="28"/>
      <c r="O40016" s="28"/>
      <c r="U40016" s="28"/>
    </row>
    <row r="40017">
      <c r="N40017" s="28"/>
      <c r="O40017" s="28"/>
      <c r="U40017" s="28"/>
    </row>
    <row r="40018">
      <c r="N40018" s="28"/>
      <c r="O40018" s="28"/>
      <c r="U40018" s="28"/>
    </row>
    <row r="40019">
      <c r="N40019" s="28"/>
      <c r="O40019" s="28"/>
      <c r="U40019" s="28"/>
    </row>
    <row r="40020">
      <c r="N40020" s="28"/>
      <c r="O40020" s="28"/>
      <c r="U40020" s="28"/>
    </row>
    <row r="40021">
      <c r="N40021" s="28"/>
      <c r="O40021" s="28"/>
      <c r="U40021" s="28"/>
    </row>
    <row r="40022">
      <c r="N40022" s="28"/>
      <c r="O40022" s="28"/>
      <c r="U40022" s="28"/>
    </row>
    <row r="40023">
      <c r="N40023" s="28"/>
      <c r="O40023" s="28"/>
      <c r="U40023" s="28"/>
    </row>
    <row r="40024">
      <c r="N40024" s="28"/>
      <c r="O40024" s="28"/>
      <c r="U40024" s="28"/>
    </row>
    <row r="40025">
      <c r="N40025" s="28"/>
      <c r="O40025" s="28"/>
      <c r="U40025" s="28"/>
    </row>
    <row r="40026">
      <c r="N40026" s="28"/>
      <c r="O40026" s="28"/>
      <c r="U40026" s="28"/>
    </row>
    <row r="40027">
      <c r="N40027" s="28"/>
      <c r="O40027" s="28"/>
      <c r="U40027" s="28"/>
    </row>
    <row r="40028">
      <c r="N40028" s="28"/>
      <c r="O40028" s="28"/>
      <c r="U40028" s="28"/>
    </row>
    <row r="40029">
      <c r="N40029" s="28"/>
      <c r="O40029" s="28"/>
      <c r="U40029" s="28"/>
    </row>
    <row r="40030">
      <c r="N40030" s="28"/>
      <c r="O40030" s="28"/>
      <c r="U40030" s="28"/>
    </row>
    <row r="40031">
      <c r="N40031" s="28"/>
      <c r="O40031" s="28"/>
      <c r="U40031" s="28"/>
    </row>
    <row r="40032">
      <c r="N40032" s="28"/>
      <c r="O40032" s="28"/>
      <c r="U40032" s="28"/>
    </row>
    <row r="40033">
      <c r="N40033" s="28"/>
      <c r="O40033" s="28"/>
      <c r="U40033" s="28"/>
    </row>
    <row r="40034">
      <c r="N40034" s="28"/>
      <c r="O40034" s="28"/>
      <c r="U40034" s="28"/>
    </row>
    <row r="40035">
      <c r="N40035" s="28"/>
      <c r="O40035" s="28"/>
      <c r="U40035" s="28"/>
    </row>
    <row r="40036">
      <c r="N40036" s="28"/>
      <c r="O40036" s="28"/>
      <c r="U40036" s="28"/>
    </row>
    <row r="40037">
      <c r="N40037" s="28"/>
      <c r="O40037" s="28"/>
      <c r="U40037" s="28"/>
    </row>
    <row r="40038">
      <c r="N40038" s="28"/>
      <c r="O40038" s="28"/>
      <c r="U40038" s="28"/>
    </row>
    <row r="40039">
      <c r="N40039" s="28"/>
      <c r="O40039" s="28"/>
      <c r="U40039" s="28"/>
    </row>
    <row r="40040">
      <c r="N40040" s="28"/>
      <c r="O40040" s="28"/>
      <c r="U40040" s="28"/>
    </row>
    <row r="40041">
      <c r="N40041" s="28"/>
      <c r="O40041" s="28"/>
      <c r="U40041" s="28"/>
    </row>
    <row r="40042">
      <c r="N40042" s="28"/>
      <c r="O40042" s="28"/>
      <c r="U40042" s="28"/>
    </row>
    <row r="40043">
      <c r="N40043" s="28"/>
      <c r="O40043" s="28"/>
      <c r="U40043" s="28"/>
    </row>
    <row r="40044">
      <c r="N40044" s="28"/>
      <c r="O40044" s="28"/>
      <c r="U40044" s="28"/>
    </row>
    <row r="40045">
      <c r="N40045" s="28"/>
      <c r="O40045" s="28"/>
      <c r="U40045" s="28"/>
    </row>
    <row r="40046">
      <c r="N40046" s="28"/>
      <c r="O40046" s="28"/>
      <c r="U40046" s="28"/>
    </row>
    <row r="40047">
      <c r="N40047" s="28"/>
      <c r="O40047" s="28"/>
      <c r="U40047" s="28"/>
    </row>
    <row r="40048">
      <c r="N40048" s="28"/>
      <c r="O40048" s="28"/>
      <c r="U40048" s="28"/>
    </row>
    <row r="40049">
      <c r="N40049" s="28"/>
      <c r="O40049" s="28"/>
      <c r="U40049" s="28"/>
    </row>
    <row r="40050">
      <c r="N40050" s="28"/>
      <c r="O40050" s="28"/>
      <c r="U40050" s="28"/>
    </row>
    <row r="40051">
      <c r="N40051" s="28"/>
      <c r="O40051" s="28"/>
      <c r="U40051" s="28"/>
    </row>
    <row r="40052">
      <c r="N40052" s="28"/>
      <c r="O40052" s="28"/>
      <c r="U40052" s="28"/>
    </row>
    <row r="40053">
      <c r="N40053" s="28"/>
      <c r="O40053" s="28"/>
      <c r="U40053" s="28"/>
    </row>
    <row r="40054">
      <c r="N40054" s="28"/>
      <c r="O40054" s="28"/>
      <c r="U40054" s="28"/>
    </row>
    <row r="40055">
      <c r="N40055" s="28"/>
      <c r="O40055" s="28"/>
      <c r="U40055" s="28"/>
    </row>
    <row r="40056">
      <c r="N40056" s="28"/>
      <c r="O40056" s="28"/>
      <c r="U40056" s="28"/>
    </row>
    <row r="40057">
      <c r="N40057" s="28"/>
      <c r="O40057" s="28"/>
      <c r="U40057" s="28"/>
    </row>
    <row r="40058">
      <c r="N40058" s="28"/>
      <c r="O40058" s="28"/>
      <c r="U40058" s="28"/>
    </row>
    <row r="40059">
      <c r="N40059" s="28"/>
      <c r="O40059" s="28"/>
      <c r="U40059" s="28"/>
    </row>
    <row r="40060">
      <c r="N40060" s="28"/>
      <c r="O40060" s="28"/>
      <c r="U40060" s="28"/>
    </row>
    <row r="40061">
      <c r="N40061" s="28"/>
      <c r="O40061" s="28"/>
      <c r="U40061" s="28"/>
    </row>
    <row r="40062">
      <c r="N40062" s="28"/>
      <c r="O40062" s="28"/>
      <c r="U40062" s="28"/>
    </row>
    <row r="40063">
      <c r="N40063" s="28"/>
      <c r="O40063" s="28"/>
      <c r="U40063" s="28"/>
    </row>
    <row r="40064">
      <c r="N40064" s="28"/>
      <c r="O40064" s="28"/>
      <c r="U40064" s="28"/>
    </row>
    <row r="40065">
      <c r="N40065" s="28"/>
      <c r="O40065" s="28"/>
      <c r="U40065" s="28"/>
    </row>
    <row r="40066">
      <c r="N40066" s="28"/>
      <c r="O40066" s="28"/>
      <c r="U40066" s="28"/>
    </row>
    <row r="40067">
      <c r="N40067" s="28"/>
      <c r="O40067" s="28"/>
      <c r="U40067" s="28"/>
    </row>
    <row r="40068">
      <c r="N40068" s="28"/>
      <c r="O40068" s="28"/>
      <c r="U40068" s="28"/>
    </row>
    <row r="40069">
      <c r="N40069" s="28"/>
      <c r="O40069" s="28"/>
      <c r="U40069" s="28"/>
    </row>
    <row r="40070">
      <c r="N40070" s="28"/>
      <c r="O40070" s="28"/>
      <c r="U40070" s="28"/>
    </row>
    <row r="40071">
      <c r="N40071" s="28"/>
      <c r="O40071" s="28"/>
      <c r="U40071" s="28"/>
    </row>
    <row r="40072">
      <c r="N40072" s="28"/>
      <c r="O40072" s="28"/>
      <c r="U40072" s="28"/>
    </row>
    <row r="40073">
      <c r="N40073" s="28"/>
      <c r="O40073" s="28"/>
      <c r="U40073" s="28"/>
    </row>
    <row r="40074">
      <c r="N40074" s="28"/>
      <c r="O40074" s="28"/>
      <c r="U40074" s="28"/>
    </row>
    <row r="40075">
      <c r="N40075" s="28"/>
      <c r="O40075" s="28"/>
      <c r="U40075" s="28"/>
    </row>
    <row r="40076">
      <c r="N40076" s="28"/>
      <c r="O40076" s="28"/>
      <c r="U40076" s="28"/>
    </row>
    <row r="40077">
      <c r="N40077" s="28"/>
      <c r="O40077" s="28"/>
      <c r="U40077" s="28"/>
    </row>
    <row r="40078">
      <c r="N40078" s="28"/>
      <c r="O40078" s="28"/>
      <c r="U40078" s="28"/>
    </row>
    <row r="40079">
      <c r="N40079" s="28"/>
      <c r="O40079" s="28"/>
      <c r="U40079" s="28"/>
    </row>
    <row r="40080">
      <c r="N40080" s="28"/>
      <c r="O40080" s="28"/>
      <c r="U40080" s="28"/>
    </row>
    <row r="40081">
      <c r="N40081" s="28"/>
      <c r="O40081" s="28"/>
      <c r="U40081" s="28"/>
    </row>
    <row r="40082">
      <c r="N40082" s="28"/>
      <c r="O40082" s="28"/>
      <c r="U40082" s="28"/>
    </row>
    <row r="40083">
      <c r="N40083" s="28"/>
      <c r="O40083" s="28"/>
      <c r="U40083" s="28"/>
    </row>
    <row r="40084">
      <c r="N40084" s="28"/>
      <c r="O40084" s="28"/>
      <c r="U40084" s="28"/>
    </row>
    <row r="40085">
      <c r="N40085" s="28"/>
      <c r="O40085" s="28"/>
      <c r="U40085" s="28"/>
    </row>
    <row r="40086">
      <c r="N40086" s="28"/>
      <c r="O40086" s="28"/>
      <c r="U40086" s="28"/>
    </row>
    <row r="40087">
      <c r="N40087" s="28"/>
      <c r="O40087" s="28"/>
      <c r="U40087" s="28"/>
    </row>
    <row r="40088">
      <c r="N40088" s="28"/>
      <c r="O40088" s="28"/>
      <c r="U40088" s="28"/>
    </row>
    <row r="40089">
      <c r="N40089" s="28"/>
      <c r="O40089" s="28"/>
      <c r="U40089" s="28"/>
    </row>
    <row r="40090">
      <c r="N40090" s="28"/>
      <c r="O40090" s="28"/>
      <c r="U40090" s="28"/>
    </row>
    <row r="40091">
      <c r="N40091" s="28"/>
      <c r="O40091" s="28"/>
      <c r="U40091" s="28"/>
    </row>
    <row r="40092">
      <c r="N40092" s="28"/>
      <c r="O40092" s="28"/>
      <c r="U40092" s="28"/>
    </row>
    <row r="40093">
      <c r="N40093" s="28"/>
      <c r="O40093" s="28"/>
      <c r="U40093" s="28"/>
    </row>
    <row r="40094">
      <c r="N40094" s="28"/>
      <c r="O40094" s="28"/>
      <c r="U40094" s="28"/>
    </row>
    <row r="40095">
      <c r="N40095" s="28"/>
      <c r="O40095" s="28"/>
      <c r="U40095" s="28"/>
    </row>
    <row r="40096">
      <c r="N40096" s="28"/>
      <c r="O40096" s="28"/>
      <c r="U40096" s="28"/>
    </row>
    <row r="40097">
      <c r="N40097" s="28"/>
      <c r="O40097" s="28"/>
      <c r="U40097" s="28"/>
    </row>
    <row r="40098">
      <c r="N40098" s="28"/>
      <c r="O40098" s="28"/>
      <c r="U40098" s="28"/>
    </row>
    <row r="40099">
      <c r="N40099" s="28"/>
      <c r="O40099" s="28"/>
      <c r="U40099" s="28"/>
    </row>
    <row r="40100">
      <c r="N40100" s="28"/>
      <c r="O40100" s="28"/>
      <c r="U40100" s="28"/>
    </row>
    <row r="40101">
      <c r="N40101" s="28"/>
      <c r="O40101" s="28"/>
      <c r="U40101" s="28"/>
    </row>
    <row r="40102">
      <c r="N40102" s="28"/>
      <c r="O40102" s="28"/>
      <c r="U40102" s="28"/>
    </row>
    <row r="40103">
      <c r="N40103" s="28"/>
      <c r="O40103" s="28"/>
      <c r="U40103" s="28"/>
    </row>
    <row r="40104">
      <c r="N40104" s="28"/>
      <c r="O40104" s="28"/>
      <c r="U40104" s="28"/>
    </row>
    <row r="40105">
      <c r="N40105" s="28"/>
      <c r="O40105" s="28"/>
      <c r="U40105" s="28"/>
    </row>
    <row r="40106">
      <c r="N40106" s="28"/>
      <c r="O40106" s="28"/>
      <c r="U40106" s="28"/>
    </row>
    <row r="40107">
      <c r="N40107" s="28"/>
      <c r="O40107" s="28"/>
      <c r="U40107" s="28"/>
    </row>
    <row r="40108">
      <c r="N40108" s="28"/>
      <c r="O40108" s="28"/>
      <c r="U40108" s="28"/>
    </row>
    <row r="40109">
      <c r="N40109" s="28"/>
      <c r="O40109" s="28"/>
      <c r="U40109" s="28"/>
    </row>
    <row r="40110">
      <c r="N40110" s="28"/>
      <c r="O40110" s="28"/>
      <c r="U40110" s="28"/>
    </row>
    <row r="40111">
      <c r="N40111" s="28"/>
      <c r="O40111" s="28"/>
      <c r="U40111" s="28"/>
    </row>
    <row r="40112">
      <c r="N40112" s="28"/>
      <c r="O40112" s="28"/>
      <c r="U40112" s="28"/>
    </row>
    <row r="40113">
      <c r="N40113" s="28"/>
      <c r="O40113" s="28"/>
      <c r="U40113" s="28"/>
    </row>
    <row r="40114">
      <c r="N40114" s="28"/>
      <c r="O40114" s="28"/>
      <c r="U40114" s="28"/>
    </row>
    <row r="40115">
      <c r="N40115" s="28"/>
      <c r="O40115" s="28"/>
      <c r="U40115" s="28"/>
    </row>
    <row r="40116">
      <c r="N40116" s="28"/>
      <c r="O40116" s="28"/>
      <c r="U40116" s="28"/>
    </row>
    <row r="40117">
      <c r="N40117" s="28"/>
      <c r="O40117" s="28"/>
      <c r="U40117" s="28"/>
    </row>
    <row r="40118">
      <c r="N40118" s="28"/>
      <c r="O40118" s="28"/>
      <c r="U40118" s="28"/>
    </row>
    <row r="40119">
      <c r="N40119" s="28"/>
      <c r="O40119" s="28"/>
      <c r="U40119" s="28"/>
    </row>
    <row r="40120">
      <c r="N40120" s="28"/>
      <c r="O40120" s="28"/>
      <c r="U40120" s="28"/>
    </row>
    <row r="40121">
      <c r="N40121" s="28"/>
      <c r="O40121" s="28"/>
      <c r="U40121" s="28"/>
    </row>
    <row r="40122">
      <c r="N40122" s="28"/>
      <c r="O40122" s="28"/>
      <c r="U40122" s="28"/>
    </row>
    <row r="40123">
      <c r="N40123" s="28"/>
      <c r="O40123" s="28"/>
      <c r="U40123" s="28"/>
    </row>
    <row r="40124">
      <c r="N40124" s="28"/>
      <c r="O40124" s="28"/>
      <c r="U40124" s="28"/>
    </row>
    <row r="40125">
      <c r="N40125" s="28"/>
      <c r="O40125" s="28"/>
      <c r="U40125" s="28"/>
    </row>
    <row r="40126">
      <c r="N40126" s="28"/>
      <c r="O40126" s="28"/>
      <c r="U40126" s="28"/>
    </row>
    <row r="40127">
      <c r="N40127" s="28"/>
      <c r="O40127" s="28"/>
      <c r="U40127" s="28"/>
    </row>
    <row r="40128">
      <c r="N40128" s="28"/>
      <c r="O40128" s="28"/>
      <c r="U40128" s="28"/>
    </row>
    <row r="40129">
      <c r="N40129" s="28"/>
      <c r="O40129" s="28"/>
      <c r="U40129" s="28"/>
    </row>
    <row r="40130">
      <c r="N40130" s="28"/>
      <c r="O40130" s="28"/>
      <c r="U40130" s="28"/>
    </row>
    <row r="40131">
      <c r="N40131" s="28"/>
      <c r="O40131" s="28"/>
      <c r="U40131" s="28"/>
    </row>
    <row r="40132">
      <c r="N40132" s="28"/>
      <c r="O40132" s="28"/>
      <c r="U40132" s="28"/>
    </row>
    <row r="40133">
      <c r="N40133" s="28"/>
      <c r="O40133" s="28"/>
      <c r="U40133" s="28"/>
    </row>
    <row r="40134">
      <c r="N40134" s="28"/>
      <c r="O40134" s="28"/>
      <c r="U40134" s="28"/>
    </row>
    <row r="40135">
      <c r="N40135" s="28"/>
      <c r="O40135" s="28"/>
      <c r="U40135" s="28"/>
    </row>
    <row r="40136">
      <c r="N40136" s="28"/>
      <c r="O40136" s="28"/>
      <c r="U40136" s="28"/>
    </row>
    <row r="40137">
      <c r="N40137" s="28"/>
      <c r="O40137" s="28"/>
      <c r="U40137" s="28"/>
    </row>
    <row r="40138">
      <c r="N40138" s="28"/>
      <c r="O40138" s="28"/>
      <c r="U40138" s="28"/>
    </row>
    <row r="40139">
      <c r="N40139" s="28"/>
      <c r="O40139" s="28"/>
      <c r="U40139" s="28"/>
    </row>
    <row r="40140">
      <c r="N40140" s="28"/>
      <c r="O40140" s="28"/>
      <c r="U40140" s="28"/>
    </row>
    <row r="40141">
      <c r="N40141" s="28"/>
      <c r="O40141" s="28"/>
      <c r="U40141" s="28"/>
    </row>
    <row r="40142">
      <c r="N40142" s="28"/>
      <c r="O40142" s="28"/>
      <c r="U40142" s="28"/>
    </row>
    <row r="40143">
      <c r="N40143" s="28"/>
      <c r="O40143" s="28"/>
      <c r="U40143" s="28"/>
    </row>
    <row r="40144">
      <c r="N40144" s="28"/>
      <c r="O40144" s="28"/>
      <c r="U40144" s="28"/>
    </row>
    <row r="40145">
      <c r="N40145" s="28"/>
      <c r="O40145" s="28"/>
      <c r="U40145" s="28"/>
    </row>
    <row r="40146">
      <c r="N40146" s="28"/>
      <c r="O40146" s="28"/>
      <c r="U40146" s="28"/>
    </row>
    <row r="40147">
      <c r="N40147" s="28"/>
      <c r="O40147" s="28"/>
      <c r="U40147" s="28"/>
    </row>
    <row r="40148">
      <c r="N40148" s="28"/>
      <c r="O40148" s="28"/>
      <c r="U40148" s="28"/>
    </row>
    <row r="40149">
      <c r="N40149" s="28"/>
      <c r="O40149" s="28"/>
      <c r="U40149" s="28"/>
    </row>
    <row r="40150">
      <c r="N40150" s="28"/>
      <c r="O40150" s="28"/>
      <c r="U40150" s="28"/>
    </row>
    <row r="40151">
      <c r="N40151" s="28"/>
      <c r="O40151" s="28"/>
      <c r="U40151" s="28"/>
    </row>
    <row r="40152">
      <c r="N40152" s="28"/>
      <c r="O40152" s="28"/>
      <c r="U40152" s="28"/>
    </row>
    <row r="40153">
      <c r="N40153" s="28"/>
      <c r="O40153" s="28"/>
      <c r="U40153" s="28"/>
    </row>
    <row r="40154">
      <c r="N40154" s="28"/>
      <c r="O40154" s="28"/>
      <c r="U40154" s="28"/>
    </row>
    <row r="40155">
      <c r="N40155" s="28"/>
      <c r="O40155" s="28"/>
      <c r="U40155" s="28"/>
    </row>
    <row r="40156">
      <c r="N40156" s="28"/>
      <c r="O40156" s="28"/>
      <c r="U40156" s="28"/>
    </row>
    <row r="40157">
      <c r="N40157" s="28"/>
      <c r="O40157" s="28"/>
      <c r="U40157" s="28"/>
    </row>
    <row r="40158">
      <c r="N40158" s="28"/>
      <c r="O40158" s="28"/>
      <c r="U40158" s="28"/>
    </row>
    <row r="40159">
      <c r="N40159" s="28"/>
      <c r="O40159" s="28"/>
      <c r="U40159" s="28"/>
    </row>
    <row r="40160">
      <c r="N40160" s="28"/>
      <c r="O40160" s="28"/>
      <c r="U40160" s="28"/>
    </row>
    <row r="40161">
      <c r="N40161" s="28"/>
      <c r="O40161" s="28"/>
      <c r="U40161" s="28"/>
    </row>
    <row r="40162">
      <c r="N40162" s="28"/>
      <c r="O40162" s="28"/>
      <c r="U40162" s="28"/>
    </row>
    <row r="40163">
      <c r="N40163" s="28"/>
      <c r="O40163" s="28"/>
      <c r="U40163" s="28"/>
    </row>
    <row r="40164">
      <c r="N40164" s="28"/>
      <c r="O40164" s="28"/>
      <c r="U40164" s="28"/>
    </row>
    <row r="40165">
      <c r="N40165" s="28"/>
      <c r="O40165" s="28"/>
      <c r="U40165" s="28"/>
    </row>
    <row r="40166">
      <c r="N40166" s="28"/>
      <c r="O40166" s="28"/>
      <c r="U40166" s="28"/>
    </row>
    <row r="40167">
      <c r="N40167" s="28"/>
      <c r="O40167" s="28"/>
      <c r="U40167" s="28"/>
    </row>
    <row r="40168">
      <c r="N40168" s="28"/>
      <c r="O40168" s="28"/>
      <c r="U40168" s="28"/>
    </row>
    <row r="40169">
      <c r="N40169" s="28"/>
      <c r="O40169" s="28"/>
      <c r="U40169" s="28"/>
    </row>
    <row r="40170">
      <c r="N40170" s="28"/>
      <c r="O40170" s="28"/>
      <c r="U40170" s="28"/>
    </row>
    <row r="40171">
      <c r="N40171" s="28"/>
      <c r="O40171" s="28"/>
      <c r="U40171" s="28"/>
    </row>
    <row r="40172">
      <c r="N40172" s="28"/>
      <c r="O40172" s="28"/>
      <c r="U40172" s="28"/>
    </row>
    <row r="40173">
      <c r="N40173" s="28"/>
      <c r="O40173" s="28"/>
      <c r="U40173" s="28"/>
    </row>
    <row r="40174">
      <c r="N40174" s="28"/>
      <c r="O40174" s="28"/>
      <c r="U40174" s="28"/>
    </row>
    <row r="40175">
      <c r="N40175" s="28"/>
      <c r="O40175" s="28"/>
      <c r="U40175" s="28"/>
    </row>
    <row r="40176">
      <c r="N40176" s="28"/>
      <c r="O40176" s="28"/>
      <c r="U40176" s="28"/>
    </row>
    <row r="40177">
      <c r="N40177" s="28"/>
      <c r="O40177" s="28"/>
      <c r="U40177" s="28"/>
    </row>
    <row r="40178">
      <c r="N40178" s="28"/>
      <c r="O40178" s="28"/>
      <c r="U40178" s="28"/>
    </row>
    <row r="40179">
      <c r="N40179" s="28"/>
      <c r="O40179" s="28"/>
      <c r="U40179" s="28"/>
    </row>
    <row r="40180">
      <c r="N40180" s="28"/>
      <c r="O40180" s="28"/>
      <c r="U40180" s="28"/>
    </row>
    <row r="40181">
      <c r="N40181" s="28"/>
      <c r="O40181" s="28"/>
      <c r="U40181" s="28"/>
    </row>
    <row r="40182">
      <c r="N40182" s="28"/>
      <c r="O40182" s="28"/>
      <c r="U40182" s="28"/>
    </row>
    <row r="40183">
      <c r="N40183" s="28"/>
      <c r="O40183" s="28"/>
      <c r="U40183" s="28"/>
    </row>
    <row r="40184">
      <c r="N40184" s="28"/>
      <c r="O40184" s="28"/>
      <c r="U40184" s="28"/>
    </row>
    <row r="40185">
      <c r="N40185" s="28"/>
      <c r="O40185" s="28"/>
      <c r="U40185" s="28"/>
    </row>
    <row r="40186">
      <c r="N40186" s="28"/>
      <c r="O40186" s="28"/>
      <c r="U40186" s="28"/>
    </row>
    <row r="40187">
      <c r="N40187" s="28"/>
      <c r="O40187" s="28"/>
      <c r="U40187" s="28"/>
    </row>
    <row r="40188">
      <c r="N40188" s="28"/>
      <c r="O40188" s="28"/>
      <c r="U40188" s="28"/>
    </row>
    <row r="40189">
      <c r="N40189" s="28"/>
      <c r="O40189" s="28"/>
      <c r="U40189" s="28"/>
    </row>
    <row r="40190">
      <c r="N40190" s="28"/>
      <c r="O40190" s="28"/>
      <c r="U40190" s="28"/>
    </row>
    <row r="40191">
      <c r="N40191" s="28"/>
      <c r="O40191" s="28"/>
      <c r="U40191" s="28"/>
    </row>
    <row r="40192">
      <c r="N40192" s="28"/>
      <c r="O40192" s="28"/>
      <c r="U40192" s="28"/>
    </row>
    <row r="40193">
      <c r="N40193" s="28"/>
      <c r="O40193" s="28"/>
      <c r="U40193" s="28"/>
    </row>
    <row r="40194">
      <c r="N40194" s="28"/>
      <c r="O40194" s="28"/>
      <c r="U40194" s="28"/>
    </row>
    <row r="40195">
      <c r="N40195" s="28"/>
      <c r="O40195" s="28"/>
      <c r="U40195" s="28"/>
    </row>
    <row r="40196">
      <c r="N40196" s="28"/>
      <c r="O40196" s="28"/>
      <c r="U40196" s="28"/>
    </row>
    <row r="40197">
      <c r="N40197" s="28"/>
      <c r="O40197" s="28"/>
      <c r="U40197" s="28"/>
    </row>
    <row r="40198">
      <c r="N40198" s="28"/>
      <c r="O40198" s="28"/>
      <c r="U40198" s="28"/>
    </row>
    <row r="40199">
      <c r="N40199" s="28"/>
      <c r="O40199" s="28"/>
      <c r="U40199" s="28"/>
    </row>
    <row r="40200">
      <c r="N40200" s="28"/>
      <c r="O40200" s="28"/>
      <c r="U40200" s="28"/>
    </row>
    <row r="40201">
      <c r="N40201" s="28"/>
      <c r="O40201" s="28"/>
      <c r="U40201" s="28"/>
    </row>
    <row r="40202">
      <c r="N40202" s="28"/>
      <c r="O40202" s="28"/>
      <c r="U40202" s="28"/>
    </row>
    <row r="40203">
      <c r="N40203" s="28"/>
      <c r="O40203" s="28"/>
      <c r="U40203" s="28"/>
    </row>
    <row r="40204">
      <c r="N40204" s="28"/>
      <c r="O40204" s="28"/>
      <c r="U40204" s="28"/>
    </row>
    <row r="40205">
      <c r="N40205" s="28"/>
      <c r="O40205" s="28"/>
      <c r="U40205" s="28"/>
    </row>
    <row r="40206">
      <c r="N40206" s="28"/>
      <c r="O40206" s="28"/>
      <c r="U40206" s="28"/>
    </row>
    <row r="40207">
      <c r="N40207" s="28"/>
      <c r="O40207" s="28"/>
      <c r="U40207" s="28"/>
    </row>
    <row r="40208">
      <c r="N40208" s="28"/>
      <c r="O40208" s="28"/>
      <c r="U40208" s="28"/>
    </row>
    <row r="40209">
      <c r="N40209" s="28"/>
      <c r="O40209" s="28"/>
      <c r="U40209" s="28"/>
    </row>
    <row r="40210">
      <c r="N40210" s="28"/>
      <c r="O40210" s="28"/>
      <c r="U40210" s="28"/>
    </row>
    <row r="40211">
      <c r="N40211" s="28"/>
      <c r="O40211" s="28"/>
      <c r="U40211" s="28"/>
    </row>
    <row r="40212">
      <c r="N40212" s="28"/>
      <c r="O40212" s="28"/>
      <c r="U40212" s="28"/>
    </row>
    <row r="40213">
      <c r="N40213" s="28"/>
      <c r="O40213" s="28"/>
      <c r="U40213" s="28"/>
    </row>
    <row r="40214">
      <c r="N40214" s="28"/>
      <c r="O40214" s="28"/>
      <c r="U40214" s="28"/>
    </row>
    <row r="40215">
      <c r="N40215" s="28"/>
      <c r="O40215" s="28"/>
      <c r="U40215" s="28"/>
    </row>
    <row r="40216">
      <c r="N40216" s="28"/>
      <c r="O40216" s="28"/>
      <c r="U40216" s="28"/>
    </row>
    <row r="40217">
      <c r="N40217" s="28"/>
      <c r="O40217" s="28"/>
      <c r="U40217" s="28"/>
    </row>
    <row r="40218">
      <c r="N40218" s="28"/>
      <c r="O40218" s="28"/>
      <c r="U40218" s="28"/>
    </row>
    <row r="40219">
      <c r="N40219" s="28"/>
      <c r="O40219" s="28"/>
      <c r="U40219" s="28"/>
    </row>
    <row r="40220">
      <c r="N40220" s="28"/>
      <c r="O40220" s="28"/>
      <c r="U40220" s="28"/>
    </row>
    <row r="40221">
      <c r="N40221" s="28"/>
      <c r="O40221" s="28"/>
      <c r="U40221" s="28"/>
    </row>
    <row r="40222">
      <c r="N40222" s="28"/>
      <c r="O40222" s="28"/>
      <c r="U40222" s="28"/>
    </row>
    <row r="40223">
      <c r="N40223" s="28"/>
      <c r="O40223" s="28"/>
      <c r="U40223" s="28"/>
    </row>
    <row r="40224">
      <c r="N40224" s="28"/>
      <c r="O40224" s="28"/>
      <c r="U40224" s="28"/>
    </row>
    <row r="40225">
      <c r="N40225" s="28"/>
      <c r="O40225" s="28"/>
      <c r="U40225" s="28"/>
    </row>
    <row r="40226">
      <c r="N40226" s="28"/>
      <c r="O40226" s="28"/>
      <c r="U40226" s="28"/>
    </row>
    <row r="40227">
      <c r="N40227" s="28"/>
      <c r="O40227" s="28"/>
      <c r="U40227" s="28"/>
    </row>
    <row r="40228">
      <c r="N40228" s="28"/>
      <c r="O40228" s="28"/>
      <c r="U40228" s="28"/>
    </row>
    <row r="40229">
      <c r="N40229" s="28"/>
      <c r="O40229" s="28"/>
      <c r="U40229" s="28"/>
    </row>
    <row r="40230">
      <c r="N40230" s="28"/>
      <c r="O40230" s="28"/>
      <c r="U40230" s="28"/>
    </row>
    <row r="40231">
      <c r="N40231" s="28"/>
      <c r="O40231" s="28"/>
      <c r="U40231" s="28"/>
    </row>
    <row r="40232">
      <c r="N40232" s="28"/>
      <c r="O40232" s="28"/>
      <c r="U40232" s="28"/>
    </row>
    <row r="40233">
      <c r="N40233" s="28"/>
      <c r="O40233" s="28"/>
      <c r="U40233" s="28"/>
    </row>
    <row r="40234">
      <c r="N40234" s="28"/>
      <c r="O40234" s="28"/>
      <c r="U40234" s="28"/>
    </row>
    <row r="40235">
      <c r="N40235" s="28"/>
      <c r="O40235" s="28"/>
      <c r="U40235" s="28"/>
    </row>
    <row r="40236">
      <c r="N40236" s="28"/>
      <c r="O40236" s="28"/>
      <c r="U40236" s="28"/>
    </row>
    <row r="40237">
      <c r="N40237" s="28"/>
      <c r="O40237" s="28"/>
      <c r="U40237" s="28"/>
    </row>
    <row r="40238">
      <c r="N40238" s="28"/>
      <c r="O40238" s="28"/>
      <c r="U40238" s="28"/>
    </row>
    <row r="40239">
      <c r="N40239" s="28"/>
      <c r="O40239" s="28"/>
      <c r="U40239" s="28"/>
    </row>
    <row r="40240">
      <c r="N40240" s="28"/>
      <c r="O40240" s="28"/>
      <c r="U40240" s="28"/>
    </row>
    <row r="40241">
      <c r="N40241" s="28"/>
      <c r="O40241" s="28"/>
      <c r="U40241" s="28"/>
    </row>
    <row r="40242">
      <c r="N40242" s="28"/>
      <c r="O40242" s="28"/>
      <c r="U40242" s="28"/>
    </row>
    <row r="40243">
      <c r="N40243" s="28"/>
      <c r="O40243" s="28"/>
      <c r="U40243" s="28"/>
    </row>
    <row r="40244">
      <c r="N40244" s="28"/>
      <c r="O40244" s="28"/>
      <c r="U40244" s="28"/>
    </row>
    <row r="40245">
      <c r="N40245" s="28"/>
      <c r="O40245" s="28"/>
      <c r="U40245" s="28"/>
    </row>
    <row r="40246">
      <c r="N40246" s="28"/>
      <c r="O40246" s="28"/>
      <c r="U40246" s="28"/>
    </row>
    <row r="40247">
      <c r="N40247" s="28"/>
      <c r="O40247" s="28"/>
      <c r="U40247" s="28"/>
    </row>
    <row r="40248">
      <c r="N40248" s="28"/>
      <c r="O40248" s="28"/>
      <c r="U40248" s="28"/>
    </row>
    <row r="40249">
      <c r="N40249" s="28"/>
      <c r="O40249" s="28"/>
      <c r="U40249" s="28"/>
    </row>
    <row r="40250">
      <c r="N40250" s="28"/>
      <c r="O40250" s="28"/>
      <c r="U40250" s="28"/>
    </row>
    <row r="40251">
      <c r="N40251" s="28"/>
      <c r="O40251" s="28"/>
      <c r="U40251" s="28"/>
    </row>
    <row r="40252">
      <c r="N40252" s="28"/>
      <c r="O40252" s="28"/>
      <c r="U40252" s="28"/>
    </row>
    <row r="40253">
      <c r="N40253" s="28"/>
      <c r="O40253" s="28"/>
      <c r="U40253" s="28"/>
    </row>
    <row r="40254">
      <c r="N40254" s="28"/>
      <c r="O40254" s="28"/>
      <c r="U40254" s="28"/>
    </row>
    <row r="40255">
      <c r="N40255" s="28"/>
      <c r="O40255" s="28"/>
      <c r="U40255" s="28"/>
    </row>
    <row r="40256">
      <c r="N40256" s="28"/>
      <c r="O40256" s="28"/>
      <c r="U40256" s="28"/>
    </row>
    <row r="40257">
      <c r="N40257" s="28"/>
      <c r="O40257" s="28"/>
      <c r="U40257" s="28"/>
    </row>
    <row r="40258">
      <c r="N40258" s="28"/>
      <c r="O40258" s="28"/>
      <c r="U40258" s="28"/>
    </row>
    <row r="40259">
      <c r="N40259" s="28"/>
      <c r="O40259" s="28"/>
      <c r="U40259" s="28"/>
    </row>
    <row r="40260">
      <c r="N40260" s="28"/>
      <c r="O40260" s="28"/>
      <c r="U40260" s="28"/>
    </row>
    <row r="40261">
      <c r="N40261" s="28"/>
      <c r="O40261" s="28"/>
      <c r="U40261" s="28"/>
    </row>
    <row r="40262">
      <c r="N40262" s="28"/>
      <c r="O40262" s="28"/>
      <c r="U40262" s="28"/>
    </row>
    <row r="40263">
      <c r="N40263" s="28"/>
      <c r="O40263" s="28"/>
      <c r="U40263" s="28"/>
    </row>
    <row r="40264">
      <c r="N40264" s="28"/>
      <c r="O40264" s="28"/>
      <c r="U40264" s="28"/>
    </row>
    <row r="40265">
      <c r="N40265" s="28"/>
      <c r="O40265" s="28"/>
      <c r="U40265" s="28"/>
    </row>
    <row r="40266">
      <c r="N40266" s="28"/>
      <c r="O40266" s="28"/>
      <c r="U40266" s="28"/>
    </row>
    <row r="40267">
      <c r="N40267" s="28"/>
      <c r="O40267" s="28"/>
      <c r="U40267" s="28"/>
    </row>
    <row r="40268">
      <c r="N40268" s="28"/>
      <c r="O40268" s="28"/>
      <c r="U40268" s="28"/>
    </row>
    <row r="40269">
      <c r="N40269" s="28"/>
      <c r="O40269" s="28"/>
      <c r="U40269" s="28"/>
    </row>
    <row r="40270">
      <c r="N40270" s="28"/>
      <c r="O40270" s="28"/>
      <c r="U40270" s="28"/>
    </row>
    <row r="40271">
      <c r="N40271" s="28"/>
      <c r="O40271" s="28"/>
      <c r="U40271" s="28"/>
    </row>
    <row r="40272">
      <c r="N40272" s="28"/>
      <c r="O40272" s="28"/>
      <c r="U40272" s="28"/>
    </row>
    <row r="40273">
      <c r="N40273" s="28"/>
      <c r="O40273" s="28"/>
      <c r="U40273" s="28"/>
    </row>
    <row r="40274">
      <c r="N40274" s="28"/>
      <c r="O40274" s="28"/>
      <c r="U40274" s="28"/>
    </row>
    <row r="40275">
      <c r="N40275" s="28"/>
      <c r="O40275" s="28"/>
      <c r="U40275" s="28"/>
    </row>
    <row r="40276">
      <c r="N40276" s="28"/>
      <c r="O40276" s="28"/>
      <c r="U40276" s="28"/>
    </row>
    <row r="40277">
      <c r="N40277" s="28"/>
      <c r="O40277" s="28"/>
      <c r="U40277" s="28"/>
    </row>
    <row r="40278">
      <c r="N40278" s="28"/>
      <c r="O40278" s="28"/>
      <c r="U40278" s="28"/>
    </row>
    <row r="40279">
      <c r="N40279" s="28"/>
      <c r="O40279" s="28"/>
      <c r="U40279" s="28"/>
    </row>
    <row r="40280">
      <c r="N40280" s="28"/>
      <c r="O40280" s="28"/>
      <c r="U40280" s="28"/>
    </row>
    <row r="40281">
      <c r="N40281" s="28"/>
      <c r="O40281" s="28"/>
      <c r="U40281" s="28"/>
    </row>
    <row r="40282">
      <c r="N40282" s="28"/>
      <c r="O40282" s="28"/>
      <c r="U40282" s="28"/>
    </row>
    <row r="40283">
      <c r="N40283" s="28"/>
      <c r="O40283" s="28"/>
      <c r="U40283" s="28"/>
    </row>
    <row r="40284">
      <c r="N40284" s="28"/>
      <c r="O40284" s="28"/>
      <c r="U40284" s="28"/>
    </row>
    <row r="40285">
      <c r="N40285" s="28"/>
      <c r="O40285" s="28"/>
      <c r="U40285" s="28"/>
    </row>
    <row r="40286">
      <c r="N40286" s="28"/>
      <c r="O40286" s="28"/>
      <c r="U40286" s="28"/>
    </row>
    <row r="40287">
      <c r="N40287" s="28"/>
      <c r="O40287" s="28"/>
      <c r="U40287" s="28"/>
    </row>
    <row r="40288">
      <c r="N40288" s="28"/>
      <c r="O40288" s="28"/>
      <c r="U40288" s="28"/>
    </row>
    <row r="40289">
      <c r="N40289" s="28"/>
      <c r="O40289" s="28"/>
      <c r="U40289" s="28"/>
    </row>
    <row r="40290">
      <c r="N40290" s="28"/>
      <c r="O40290" s="28"/>
      <c r="U40290" s="28"/>
    </row>
    <row r="40291">
      <c r="N40291" s="28"/>
      <c r="O40291" s="28"/>
      <c r="U40291" s="28"/>
    </row>
    <row r="40292">
      <c r="N40292" s="28"/>
      <c r="O40292" s="28"/>
      <c r="U40292" s="28"/>
    </row>
    <row r="40293">
      <c r="N40293" s="28"/>
      <c r="O40293" s="28"/>
      <c r="U40293" s="28"/>
    </row>
    <row r="40294">
      <c r="N40294" s="28"/>
      <c r="O40294" s="28"/>
      <c r="U40294" s="28"/>
    </row>
    <row r="40295">
      <c r="N40295" s="28"/>
      <c r="O40295" s="28"/>
      <c r="U40295" s="28"/>
    </row>
    <row r="40296">
      <c r="N40296" s="28"/>
      <c r="O40296" s="28"/>
      <c r="U40296" s="28"/>
    </row>
    <row r="40297">
      <c r="N40297" s="28"/>
      <c r="O40297" s="28"/>
      <c r="U40297" s="28"/>
    </row>
    <row r="40298">
      <c r="N40298" s="28"/>
      <c r="O40298" s="28"/>
      <c r="U40298" s="28"/>
    </row>
    <row r="40299">
      <c r="N40299" s="28"/>
      <c r="O40299" s="28"/>
      <c r="U40299" s="28"/>
    </row>
    <row r="40300">
      <c r="N40300" s="28"/>
      <c r="O40300" s="28"/>
      <c r="U40300" s="28"/>
    </row>
    <row r="40301">
      <c r="N40301" s="28"/>
      <c r="O40301" s="28"/>
      <c r="U40301" s="28"/>
    </row>
    <row r="40302">
      <c r="N40302" s="28"/>
      <c r="O40302" s="28"/>
      <c r="U40302" s="28"/>
    </row>
    <row r="40303">
      <c r="N40303" s="28"/>
      <c r="O40303" s="28"/>
      <c r="U40303" s="28"/>
    </row>
    <row r="40304">
      <c r="N40304" s="28"/>
      <c r="O40304" s="28"/>
      <c r="U40304" s="28"/>
    </row>
    <row r="40305">
      <c r="N40305" s="28"/>
      <c r="O40305" s="28"/>
      <c r="U40305" s="28"/>
    </row>
    <row r="40306">
      <c r="N40306" s="28"/>
      <c r="O40306" s="28"/>
      <c r="U40306" s="28"/>
    </row>
    <row r="40307">
      <c r="N40307" s="28"/>
      <c r="O40307" s="28"/>
      <c r="U40307" s="28"/>
    </row>
    <row r="40308">
      <c r="N40308" s="28"/>
      <c r="O40308" s="28"/>
      <c r="U40308" s="28"/>
    </row>
    <row r="40309">
      <c r="N40309" s="28"/>
      <c r="O40309" s="28"/>
      <c r="U40309" s="28"/>
    </row>
    <row r="40310">
      <c r="N40310" s="28"/>
      <c r="O40310" s="28"/>
      <c r="U40310" s="28"/>
    </row>
    <row r="40311">
      <c r="N40311" s="28"/>
      <c r="O40311" s="28"/>
      <c r="U40311" s="28"/>
    </row>
    <row r="40312">
      <c r="N40312" s="28"/>
      <c r="O40312" s="28"/>
      <c r="U40312" s="28"/>
    </row>
    <row r="40313">
      <c r="N40313" s="28"/>
      <c r="O40313" s="28"/>
      <c r="U40313" s="28"/>
    </row>
    <row r="40314">
      <c r="N40314" s="28"/>
      <c r="O40314" s="28"/>
      <c r="U40314" s="28"/>
    </row>
    <row r="40315">
      <c r="N40315" s="28"/>
      <c r="O40315" s="28"/>
      <c r="U40315" s="28"/>
    </row>
    <row r="40316">
      <c r="N40316" s="28"/>
      <c r="O40316" s="28"/>
      <c r="U40316" s="28"/>
    </row>
    <row r="40317">
      <c r="N40317" s="28"/>
      <c r="O40317" s="28"/>
      <c r="U40317" s="28"/>
    </row>
    <row r="40318">
      <c r="N40318" s="28"/>
      <c r="O40318" s="28"/>
      <c r="U40318" s="28"/>
    </row>
    <row r="40319">
      <c r="N40319" s="28"/>
      <c r="O40319" s="28"/>
      <c r="U40319" s="28"/>
    </row>
    <row r="40320">
      <c r="N40320" s="28"/>
      <c r="O40320" s="28"/>
      <c r="U40320" s="28"/>
    </row>
    <row r="40321">
      <c r="N40321" s="28"/>
      <c r="O40321" s="28"/>
      <c r="U40321" s="28"/>
    </row>
    <row r="40322">
      <c r="N40322" s="28"/>
      <c r="O40322" s="28"/>
      <c r="U40322" s="28"/>
    </row>
    <row r="40323">
      <c r="N40323" s="28"/>
      <c r="O40323" s="28"/>
      <c r="U40323" s="28"/>
    </row>
    <row r="40324">
      <c r="N40324" s="28"/>
      <c r="O40324" s="28"/>
      <c r="U40324" s="28"/>
    </row>
    <row r="40325">
      <c r="N40325" s="28"/>
      <c r="O40325" s="28"/>
      <c r="U40325" s="28"/>
    </row>
    <row r="40326">
      <c r="N40326" s="28"/>
      <c r="O40326" s="28"/>
      <c r="U40326" s="28"/>
    </row>
    <row r="40327">
      <c r="N40327" s="28"/>
      <c r="O40327" s="28"/>
      <c r="U40327" s="28"/>
    </row>
    <row r="40328">
      <c r="N40328" s="28"/>
      <c r="O40328" s="28"/>
      <c r="U40328" s="28"/>
    </row>
    <row r="40329">
      <c r="N40329" s="28"/>
      <c r="O40329" s="28"/>
      <c r="U40329" s="28"/>
    </row>
    <row r="40330">
      <c r="N40330" s="28"/>
      <c r="O40330" s="28"/>
      <c r="U40330" s="28"/>
    </row>
    <row r="40331">
      <c r="N40331" s="28"/>
      <c r="O40331" s="28"/>
      <c r="U40331" s="28"/>
    </row>
    <row r="40332">
      <c r="N40332" s="28"/>
      <c r="O40332" s="28"/>
      <c r="U40332" s="28"/>
    </row>
    <row r="40333">
      <c r="N40333" s="28"/>
      <c r="O40333" s="28"/>
      <c r="U40333" s="28"/>
    </row>
    <row r="40334">
      <c r="N40334" s="28"/>
      <c r="O40334" s="28"/>
      <c r="U40334" s="28"/>
    </row>
    <row r="40335">
      <c r="N40335" s="28"/>
      <c r="O40335" s="28"/>
      <c r="U40335" s="28"/>
    </row>
    <row r="40336">
      <c r="N40336" s="28"/>
      <c r="O40336" s="28"/>
      <c r="U40336" s="28"/>
    </row>
    <row r="40337">
      <c r="N40337" s="28"/>
      <c r="O40337" s="28"/>
      <c r="U40337" s="28"/>
    </row>
    <row r="40338">
      <c r="N40338" s="28"/>
      <c r="O40338" s="28"/>
      <c r="U40338" s="28"/>
    </row>
    <row r="40339">
      <c r="N40339" s="28"/>
      <c r="O40339" s="28"/>
      <c r="U40339" s="28"/>
    </row>
    <row r="40340">
      <c r="N40340" s="28"/>
      <c r="O40340" s="28"/>
      <c r="U40340" s="28"/>
    </row>
    <row r="40341">
      <c r="N40341" s="28"/>
      <c r="O40341" s="28"/>
      <c r="U40341" s="28"/>
    </row>
    <row r="40342">
      <c r="N40342" s="28"/>
      <c r="O40342" s="28"/>
      <c r="U40342" s="28"/>
    </row>
    <row r="40343">
      <c r="N40343" s="28"/>
      <c r="O40343" s="28"/>
      <c r="U40343" s="28"/>
    </row>
    <row r="40344">
      <c r="N40344" s="28"/>
      <c r="O40344" s="28"/>
      <c r="U40344" s="28"/>
    </row>
    <row r="40345">
      <c r="N40345" s="28"/>
      <c r="O40345" s="28"/>
      <c r="U40345" s="28"/>
    </row>
    <row r="40346">
      <c r="N40346" s="28"/>
      <c r="O40346" s="28"/>
      <c r="U40346" s="28"/>
    </row>
    <row r="40347">
      <c r="N40347" s="28"/>
      <c r="O40347" s="28"/>
      <c r="U40347" s="28"/>
    </row>
    <row r="40348">
      <c r="N40348" s="28"/>
      <c r="O40348" s="28"/>
      <c r="U40348" s="28"/>
    </row>
    <row r="40349">
      <c r="N40349" s="28"/>
      <c r="O40349" s="28"/>
      <c r="U40349" s="28"/>
    </row>
    <row r="40350">
      <c r="N40350" s="28"/>
      <c r="O40350" s="28"/>
      <c r="U40350" s="28"/>
    </row>
    <row r="40351">
      <c r="N40351" s="28"/>
      <c r="O40351" s="28"/>
      <c r="U40351" s="28"/>
    </row>
    <row r="40352">
      <c r="N40352" s="28"/>
      <c r="O40352" s="28"/>
      <c r="U40352" s="28"/>
    </row>
    <row r="40353">
      <c r="N40353" s="28"/>
      <c r="O40353" s="28"/>
      <c r="U40353" s="28"/>
    </row>
    <row r="40354">
      <c r="N40354" s="28"/>
      <c r="O40354" s="28"/>
      <c r="U40354" s="28"/>
    </row>
    <row r="40355">
      <c r="N40355" s="28"/>
      <c r="O40355" s="28"/>
      <c r="U40355" s="28"/>
    </row>
    <row r="40356">
      <c r="N40356" s="28"/>
      <c r="O40356" s="28"/>
      <c r="U40356" s="28"/>
    </row>
    <row r="40357">
      <c r="N40357" s="28"/>
      <c r="O40357" s="28"/>
      <c r="U40357" s="28"/>
    </row>
    <row r="40358">
      <c r="N40358" s="28"/>
      <c r="O40358" s="28"/>
      <c r="U40358" s="28"/>
    </row>
    <row r="40359">
      <c r="N40359" s="28"/>
      <c r="O40359" s="28"/>
      <c r="U40359" s="28"/>
    </row>
    <row r="40360">
      <c r="N40360" s="28"/>
      <c r="O40360" s="28"/>
      <c r="U40360" s="28"/>
    </row>
    <row r="40361">
      <c r="N40361" s="28"/>
      <c r="O40361" s="28"/>
      <c r="U40361" s="28"/>
    </row>
    <row r="40362">
      <c r="N40362" s="28"/>
      <c r="O40362" s="28"/>
      <c r="U40362" s="28"/>
    </row>
    <row r="40363">
      <c r="N40363" s="28"/>
      <c r="O40363" s="28"/>
      <c r="U40363" s="28"/>
    </row>
    <row r="40364">
      <c r="N40364" s="28"/>
      <c r="O40364" s="28"/>
      <c r="U40364" s="28"/>
    </row>
    <row r="40365">
      <c r="N40365" s="28"/>
      <c r="O40365" s="28"/>
      <c r="U40365" s="28"/>
    </row>
    <row r="40366">
      <c r="N40366" s="28"/>
      <c r="O40366" s="28"/>
      <c r="U40366" s="28"/>
    </row>
    <row r="40367">
      <c r="N40367" s="28"/>
      <c r="O40367" s="28"/>
      <c r="U40367" s="28"/>
    </row>
    <row r="40368">
      <c r="N40368" s="28"/>
      <c r="O40368" s="28"/>
      <c r="U40368" s="28"/>
    </row>
    <row r="40369">
      <c r="N40369" s="28"/>
      <c r="O40369" s="28"/>
      <c r="U40369" s="28"/>
    </row>
    <row r="40370">
      <c r="N40370" s="28"/>
      <c r="O40370" s="28"/>
      <c r="U40370" s="28"/>
    </row>
    <row r="40371">
      <c r="N40371" s="28"/>
      <c r="O40371" s="28"/>
      <c r="U40371" s="28"/>
    </row>
    <row r="40372">
      <c r="N40372" s="28"/>
      <c r="O40372" s="28"/>
      <c r="U40372" s="28"/>
    </row>
    <row r="40373">
      <c r="N40373" s="28"/>
      <c r="O40373" s="28"/>
      <c r="U40373" s="28"/>
    </row>
    <row r="40374">
      <c r="N40374" s="28"/>
      <c r="O40374" s="28"/>
      <c r="U40374" s="28"/>
    </row>
    <row r="40375">
      <c r="N40375" s="28"/>
      <c r="O40375" s="28"/>
      <c r="U40375" s="28"/>
    </row>
    <row r="40376">
      <c r="N40376" s="28"/>
      <c r="O40376" s="28"/>
      <c r="U40376" s="28"/>
    </row>
    <row r="40377">
      <c r="N40377" s="28"/>
      <c r="O40377" s="28"/>
      <c r="U40377" s="28"/>
    </row>
    <row r="40378">
      <c r="N40378" s="28"/>
      <c r="O40378" s="28"/>
      <c r="U40378" s="28"/>
    </row>
    <row r="40379">
      <c r="N40379" s="28"/>
      <c r="O40379" s="28"/>
      <c r="U40379" s="28"/>
    </row>
    <row r="40380">
      <c r="N40380" s="28"/>
      <c r="O40380" s="28"/>
      <c r="U40380" s="28"/>
    </row>
    <row r="40381">
      <c r="N40381" s="28"/>
      <c r="O40381" s="28"/>
      <c r="U40381" s="28"/>
    </row>
    <row r="40382">
      <c r="N40382" s="28"/>
      <c r="O40382" s="28"/>
      <c r="U40382" s="28"/>
    </row>
    <row r="40383">
      <c r="N40383" s="28"/>
      <c r="O40383" s="28"/>
      <c r="U40383" s="28"/>
    </row>
    <row r="40384">
      <c r="N40384" s="28"/>
      <c r="O40384" s="28"/>
      <c r="U40384" s="28"/>
    </row>
    <row r="40385">
      <c r="N40385" s="28"/>
      <c r="O40385" s="28"/>
      <c r="U40385" s="28"/>
    </row>
    <row r="40386">
      <c r="N40386" s="28"/>
      <c r="O40386" s="28"/>
      <c r="U40386" s="28"/>
    </row>
    <row r="40387">
      <c r="N40387" s="28"/>
      <c r="O40387" s="28"/>
      <c r="U40387" s="28"/>
    </row>
    <row r="40388">
      <c r="N40388" s="28"/>
      <c r="O40388" s="28"/>
      <c r="U40388" s="28"/>
    </row>
    <row r="40389">
      <c r="N40389" s="28"/>
      <c r="O40389" s="28"/>
      <c r="U40389" s="28"/>
    </row>
    <row r="40390">
      <c r="N40390" s="28"/>
      <c r="O40390" s="28"/>
      <c r="U40390" s="28"/>
    </row>
    <row r="40391">
      <c r="N40391" s="28"/>
      <c r="O40391" s="28"/>
      <c r="U40391" s="28"/>
    </row>
    <row r="40392">
      <c r="N40392" s="28"/>
      <c r="O40392" s="28"/>
      <c r="U40392" s="28"/>
    </row>
    <row r="40393">
      <c r="N40393" s="28"/>
      <c r="O40393" s="28"/>
      <c r="U40393" s="28"/>
    </row>
    <row r="40394">
      <c r="N40394" s="28"/>
      <c r="O40394" s="28"/>
      <c r="U40394" s="28"/>
    </row>
    <row r="40395">
      <c r="N40395" s="28"/>
      <c r="O40395" s="28"/>
      <c r="U40395" s="28"/>
    </row>
    <row r="40396">
      <c r="N40396" s="28"/>
      <c r="O40396" s="28"/>
      <c r="U40396" s="28"/>
    </row>
    <row r="40397">
      <c r="N40397" s="28"/>
      <c r="O40397" s="28"/>
      <c r="U40397" s="28"/>
    </row>
    <row r="40398">
      <c r="N40398" s="28"/>
      <c r="O40398" s="28"/>
      <c r="U40398" s="28"/>
    </row>
    <row r="40399">
      <c r="N40399" s="28"/>
      <c r="O40399" s="28"/>
      <c r="U40399" s="28"/>
    </row>
    <row r="40400">
      <c r="N40400" s="28"/>
      <c r="O40400" s="28"/>
      <c r="U40400" s="28"/>
    </row>
    <row r="40401">
      <c r="N40401" s="28"/>
      <c r="O40401" s="28"/>
      <c r="U40401" s="28"/>
    </row>
    <row r="40402">
      <c r="N40402" s="28"/>
      <c r="O40402" s="28"/>
      <c r="U40402" s="28"/>
    </row>
    <row r="40403">
      <c r="N40403" s="28"/>
      <c r="O40403" s="28"/>
      <c r="U40403" s="28"/>
    </row>
    <row r="40404">
      <c r="N40404" s="28"/>
      <c r="O40404" s="28"/>
      <c r="U40404" s="28"/>
    </row>
    <row r="40405">
      <c r="N40405" s="28"/>
      <c r="O40405" s="28"/>
      <c r="U40405" s="28"/>
    </row>
    <row r="40406">
      <c r="N40406" s="28"/>
      <c r="O40406" s="28"/>
      <c r="U40406" s="28"/>
    </row>
    <row r="40407">
      <c r="N40407" s="28"/>
      <c r="O40407" s="28"/>
      <c r="U40407" s="28"/>
    </row>
    <row r="40408">
      <c r="N40408" s="28"/>
      <c r="O40408" s="28"/>
      <c r="U40408" s="28"/>
    </row>
    <row r="40409">
      <c r="N40409" s="28"/>
      <c r="O40409" s="28"/>
      <c r="U40409" s="28"/>
    </row>
    <row r="40410">
      <c r="N40410" s="28"/>
      <c r="O40410" s="28"/>
      <c r="U40410" s="28"/>
    </row>
    <row r="40411">
      <c r="N40411" s="28"/>
      <c r="O40411" s="28"/>
      <c r="U40411" s="28"/>
    </row>
    <row r="40412">
      <c r="N40412" s="28"/>
      <c r="O40412" s="28"/>
      <c r="U40412" s="28"/>
    </row>
    <row r="40413">
      <c r="N40413" s="28"/>
      <c r="O40413" s="28"/>
      <c r="U40413" s="28"/>
    </row>
    <row r="40414">
      <c r="N40414" s="28"/>
      <c r="O40414" s="28"/>
      <c r="U40414" s="28"/>
    </row>
    <row r="40415">
      <c r="N40415" s="28"/>
      <c r="O40415" s="28"/>
      <c r="U40415" s="28"/>
    </row>
    <row r="40416">
      <c r="N40416" s="28"/>
      <c r="O40416" s="28"/>
      <c r="U40416" s="28"/>
    </row>
    <row r="40417">
      <c r="N40417" s="28"/>
      <c r="O40417" s="28"/>
      <c r="U40417" s="28"/>
    </row>
    <row r="40418">
      <c r="N40418" s="28"/>
      <c r="O40418" s="28"/>
      <c r="U40418" s="28"/>
    </row>
    <row r="40419">
      <c r="N40419" s="28"/>
      <c r="O40419" s="28"/>
      <c r="U40419" s="28"/>
    </row>
    <row r="40420">
      <c r="N40420" s="28"/>
      <c r="O40420" s="28"/>
      <c r="U40420" s="28"/>
    </row>
    <row r="40421">
      <c r="N40421" s="28"/>
      <c r="O40421" s="28"/>
      <c r="U40421" s="28"/>
    </row>
    <row r="40422">
      <c r="N40422" s="28"/>
      <c r="O40422" s="28"/>
      <c r="U40422" s="28"/>
    </row>
    <row r="40423">
      <c r="N40423" s="28"/>
      <c r="O40423" s="28"/>
      <c r="U40423" s="28"/>
    </row>
    <row r="40424">
      <c r="N40424" s="28"/>
      <c r="O40424" s="28"/>
      <c r="U40424" s="28"/>
    </row>
    <row r="40425">
      <c r="N40425" s="28"/>
      <c r="O40425" s="28"/>
      <c r="U40425" s="28"/>
    </row>
    <row r="40426">
      <c r="N40426" s="28"/>
      <c r="O40426" s="28"/>
      <c r="U40426" s="28"/>
    </row>
    <row r="40427">
      <c r="N40427" s="28"/>
      <c r="O40427" s="28"/>
      <c r="U40427" s="28"/>
    </row>
    <row r="40428">
      <c r="N40428" s="28"/>
      <c r="O40428" s="28"/>
      <c r="U40428" s="28"/>
    </row>
    <row r="40429">
      <c r="N40429" s="28"/>
      <c r="O40429" s="28"/>
      <c r="U40429" s="28"/>
    </row>
    <row r="40430">
      <c r="N40430" s="28"/>
      <c r="O40430" s="28"/>
      <c r="U40430" s="28"/>
    </row>
    <row r="40431">
      <c r="N40431" s="28"/>
      <c r="O40431" s="28"/>
      <c r="U40431" s="28"/>
    </row>
    <row r="40432">
      <c r="N40432" s="28"/>
      <c r="O40432" s="28"/>
      <c r="U40432" s="28"/>
    </row>
    <row r="40433">
      <c r="N40433" s="28"/>
      <c r="O40433" s="28"/>
      <c r="U40433" s="28"/>
    </row>
    <row r="40434">
      <c r="N40434" s="28"/>
      <c r="O40434" s="28"/>
      <c r="U40434" s="28"/>
    </row>
    <row r="40435">
      <c r="N40435" s="28"/>
      <c r="O40435" s="28"/>
      <c r="U40435" s="28"/>
    </row>
    <row r="40436">
      <c r="N40436" s="28"/>
      <c r="O40436" s="28"/>
      <c r="U40436" s="28"/>
    </row>
    <row r="40437">
      <c r="N40437" s="28"/>
      <c r="O40437" s="28"/>
      <c r="U40437" s="28"/>
    </row>
    <row r="40438">
      <c r="N40438" s="28"/>
      <c r="O40438" s="28"/>
      <c r="U40438" s="28"/>
    </row>
    <row r="40439">
      <c r="N40439" s="28"/>
      <c r="O40439" s="28"/>
      <c r="U40439" s="28"/>
    </row>
    <row r="40440">
      <c r="N40440" s="28"/>
      <c r="O40440" s="28"/>
      <c r="U40440" s="28"/>
    </row>
    <row r="40441">
      <c r="N40441" s="28"/>
      <c r="O40441" s="28"/>
      <c r="U40441" s="28"/>
    </row>
    <row r="40442">
      <c r="N40442" s="28"/>
      <c r="O40442" s="28"/>
      <c r="U40442" s="28"/>
    </row>
    <row r="40443">
      <c r="N40443" s="28"/>
      <c r="O40443" s="28"/>
      <c r="U40443" s="28"/>
    </row>
    <row r="40444">
      <c r="N40444" s="28"/>
      <c r="O40444" s="28"/>
      <c r="U40444" s="28"/>
    </row>
    <row r="40445">
      <c r="N40445" s="28"/>
      <c r="O40445" s="28"/>
      <c r="U40445" s="28"/>
    </row>
    <row r="40446">
      <c r="N40446" s="28"/>
      <c r="O40446" s="28"/>
      <c r="U40446" s="28"/>
    </row>
    <row r="40447">
      <c r="N40447" s="28"/>
      <c r="O40447" s="28"/>
      <c r="U40447" s="28"/>
    </row>
    <row r="40448">
      <c r="N40448" s="28"/>
      <c r="O40448" s="28"/>
      <c r="U40448" s="28"/>
    </row>
    <row r="40449">
      <c r="N40449" s="28"/>
      <c r="O40449" s="28"/>
      <c r="U40449" s="28"/>
    </row>
    <row r="40450">
      <c r="N40450" s="28"/>
      <c r="O40450" s="28"/>
      <c r="U40450" s="28"/>
    </row>
    <row r="40451">
      <c r="N40451" s="28"/>
      <c r="O40451" s="28"/>
      <c r="U40451" s="28"/>
    </row>
    <row r="40452">
      <c r="N40452" s="28"/>
      <c r="O40452" s="28"/>
      <c r="U40452" s="28"/>
    </row>
    <row r="40453">
      <c r="N40453" s="28"/>
      <c r="O40453" s="28"/>
      <c r="U40453" s="28"/>
    </row>
    <row r="40454">
      <c r="N40454" s="28"/>
      <c r="O40454" s="28"/>
      <c r="U40454" s="28"/>
    </row>
    <row r="40455">
      <c r="N40455" s="28"/>
      <c r="O40455" s="28"/>
      <c r="U40455" s="28"/>
    </row>
    <row r="40456">
      <c r="N40456" s="28"/>
      <c r="O40456" s="28"/>
      <c r="U40456" s="28"/>
    </row>
    <row r="40457">
      <c r="N40457" s="28"/>
      <c r="O40457" s="28"/>
      <c r="U40457" s="28"/>
    </row>
    <row r="40458">
      <c r="N40458" s="28"/>
      <c r="O40458" s="28"/>
      <c r="U40458" s="28"/>
    </row>
    <row r="40459">
      <c r="N40459" s="28"/>
      <c r="O40459" s="28"/>
      <c r="U40459" s="28"/>
    </row>
    <row r="40460">
      <c r="N40460" s="28"/>
      <c r="O40460" s="28"/>
      <c r="U40460" s="28"/>
    </row>
    <row r="40461">
      <c r="N40461" s="28"/>
      <c r="O40461" s="28"/>
      <c r="U40461" s="28"/>
    </row>
    <row r="40462">
      <c r="N40462" s="28"/>
      <c r="O40462" s="28"/>
      <c r="U40462" s="28"/>
    </row>
    <row r="40463">
      <c r="N40463" s="28"/>
      <c r="O40463" s="28"/>
      <c r="U40463" s="28"/>
    </row>
    <row r="40464">
      <c r="N40464" s="28"/>
      <c r="O40464" s="28"/>
      <c r="U40464" s="28"/>
    </row>
    <row r="40465">
      <c r="N40465" s="28"/>
      <c r="O40465" s="28"/>
      <c r="U40465" s="28"/>
    </row>
    <row r="40466">
      <c r="N40466" s="28"/>
      <c r="O40466" s="28"/>
      <c r="U40466" s="28"/>
    </row>
    <row r="40467">
      <c r="N40467" s="28"/>
      <c r="O40467" s="28"/>
      <c r="U40467" s="28"/>
    </row>
    <row r="40468">
      <c r="N40468" s="28"/>
      <c r="O40468" s="28"/>
      <c r="U40468" s="28"/>
    </row>
    <row r="40469">
      <c r="N40469" s="28"/>
      <c r="O40469" s="28"/>
      <c r="U40469" s="28"/>
    </row>
    <row r="40470">
      <c r="N40470" s="28"/>
      <c r="O40470" s="28"/>
      <c r="U40470" s="28"/>
    </row>
    <row r="40471">
      <c r="N40471" s="28"/>
      <c r="O40471" s="28"/>
      <c r="U40471" s="28"/>
    </row>
    <row r="40472">
      <c r="N40472" s="28"/>
      <c r="O40472" s="28"/>
      <c r="U40472" s="28"/>
    </row>
    <row r="40473">
      <c r="N40473" s="28"/>
      <c r="O40473" s="28"/>
      <c r="U40473" s="28"/>
    </row>
    <row r="40474">
      <c r="N40474" s="28"/>
      <c r="O40474" s="28"/>
      <c r="U40474" s="28"/>
    </row>
    <row r="40475">
      <c r="N40475" s="28"/>
      <c r="O40475" s="28"/>
      <c r="U40475" s="28"/>
    </row>
    <row r="40476">
      <c r="N40476" s="28"/>
      <c r="O40476" s="28"/>
      <c r="U40476" s="28"/>
    </row>
    <row r="40477">
      <c r="N40477" s="28"/>
      <c r="O40477" s="28"/>
      <c r="U40477" s="28"/>
    </row>
    <row r="40478">
      <c r="N40478" s="28"/>
      <c r="O40478" s="28"/>
      <c r="U40478" s="28"/>
    </row>
    <row r="40479">
      <c r="N40479" s="28"/>
      <c r="O40479" s="28"/>
      <c r="U40479" s="28"/>
    </row>
    <row r="40480">
      <c r="N40480" s="28"/>
      <c r="O40480" s="28"/>
      <c r="U40480" s="28"/>
    </row>
    <row r="40481">
      <c r="N40481" s="28"/>
      <c r="O40481" s="28"/>
      <c r="U40481" s="28"/>
    </row>
    <row r="40482">
      <c r="N40482" s="28"/>
      <c r="O40482" s="28"/>
      <c r="U40482" s="28"/>
    </row>
    <row r="40483">
      <c r="N40483" s="28"/>
      <c r="O40483" s="28"/>
      <c r="U40483" s="28"/>
    </row>
    <row r="40484">
      <c r="N40484" s="28"/>
      <c r="O40484" s="28"/>
      <c r="U40484" s="28"/>
    </row>
    <row r="40485">
      <c r="N40485" s="28"/>
      <c r="O40485" s="28"/>
      <c r="U40485" s="28"/>
    </row>
    <row r="40486">
      <c r="N40486" s="28"/>
      <c r="O40486" s="28"/>
      <c r="U40486" s="28"/>
    </row>
    <row r="40487">
      <c r="N40487" s="28"/>
      <c r="O40487" s="28"/>
      <c r="U40487" s="28"/>
    </row>
    <row r="40488">
      <c r="N40488" s="28"/>
      <c r="O40488" s="28"/>
      <c r="U40488" s="28"/>
    </row>
    <row r="40489">
      <c r="N40489" s="28"/>
      <c r="O40489" s="28"/>
      <c r="U40489" s="28"/>
    </row>
    <row r="40490">
      <c r="N40490" s="28"/>
      <c r="O40490" s="28"/>
      <c r="U40490" s="28"/>
    </row>
    <row r="40491">
      <c r="N40491" s="28"/>
      <c r="O40491" s="28"/>
      <c r="U40491" s="28"/>
    </row>
    <row r="40492">
      <c r="N40492" s="28"/>
      <c r="O40492" s="28"/>
      <c r="U40492" s="28"/>
    </row>
    <row r="40493">
      <c r="N40493" s="28"/>
      <c r="O40493" s="28"/>
      <c r="U40493" s="28"/>
    </row>
    <row r="40494">
      <c r="N40494" s="28"/>
      <c r="O40494" s="28"/>
      <c r="U40494" s="28"/>
    </row>
    <row r="40495">
      <c r="N40495" s="28"/>
      <c r="O40495" s="28"/>
      <c r="U40495" s="28"/>
    </row>
    <row r="40496">
      <c r="N40496" s="28"/>
      <c r="O40496" s="28"/>
      <c r="U40496" s="28"/>
    </row>
    <row r="40497">
      <c r="N40497" s="28"/>
      <c r="O40497" s="28"/>
      <c r="U40497" s="28"/>
    </row>
    <row r="40498">
      <c r="N40498" s="28"/>
      <c r="O40498" s="28"/>
      <c r="U40498" s="28"/>
    </row>
    <row r="40499">
      <c r="N40499" s="28"/>
      <c r="O40499" s="28"/>
      <c r="U40499" s="28"/>
    </row>
    <row r="40500">
      <c r="N40500" s="28"/>
      <c r="O40500" s="28"/>
      <c r="U40500" s="28"/>
    </row>
    <row r="40501">
      <c r="N40501" s="28"/>
      <c r="O40501" s="28"/>
      <c r="U40501" s="28"/>
    </row>
    <row r="40502">
      <c r="N40502" s="28"/>
      <c r="O40502" s="28"/>
      <c r="U40502" s="28"/>
    </row>
    <row r="40503">
      <c r="N40503" s="28"/>
      <c r="O40503" s="28"/>
      <c r="U40503" s="28"/>
    </row>
    <row r="40504">
      <c r="N40504" s="28"/>
      <c r="O40504" s="28"/>
      <c r="U40504" s="28"/>
    </row>
    <row r="40505">
      <c r="N40505" s="28"/>
      <c r="O40505" s="28"/>
      <c r="U40505" s="28"/>
    </row>
    <row r="40506">
      <c r="N40506" s="28"/>
      <c r="O40506" s="28"/>
      <c r="U40506" s="28"/>
    </row>
    <row r="40507">
      <c r="N40507" s="28"/>
      <c r="O40507" s="28"/>
      <c r="U40507" s="28"/>
    </row>
    <row r="40508">
      <c r="N40508" s="28"/>
      <c r="O40508" s="28"/>
      <c r="U40508" s="28"/>
    </row>
    <row r="40509">
      <c r="N40509" s="28"/>
      <c r="O40509" s="28"/>
      <c r="U40509" s="28"/>
    </row>
    <row r="40510">
      <c r="N40510" s="28"/>
      <c r="O40510" s="28"/>
      <c r="U40510" s="28"/>
    </row>
    <row r="40511">
      <c r="N40511" s="28"/>
      <c r="O40511" s="28"/>
      <c r="U40511" s="28"/>
    </row>
    <row r="40512">
      <c r="N40512" s="28"/>
      <c r="O40512" s="28"/>
      <c r="U40512" s="28"/>
    </row>
    <row r="40513">
      <c r="N40513" s="28"/>
      <c r="O40513" s="28"/>
      <c r="U40513" s="28"/>
    </row>
    <row r="40514">
      <c r="N40514" s="28"/>
      <c r="O40514" s="28"/>
      <c r="U40514" s="28"/>
    </row>
    <row r="40515">
      <c r="N40515" s="28"/>
      <c r="O40515" s="28"/>
      <c r="U40515" s="28"/>
    </row>
    <row r="40516">
      <c r="N40516" s="28"/>
      <c r="O40516" s="28"/>
      <c r="U40516" s="28"/>
    </row>
    <row r="40517">
      <c r="N40517" s="28"/>
      <c r="O40517" s="28"/>
      <c r="U40517" s="28"/>
    </row>
    <row r="40518">
      <c r="N40518" s="28"/>
      <c r="O40518" s="28"/>
      <c r="U40518" s="28"/>
    </row>
    <row r="40519">
      <c r="N40519" s="28"/>
      <c r="O40519" s="28"/>
      <c r="U40519" s="28"/>
    </row>
    <row r="40520">
      <c r="N40520" s="28"/>
      <c r="O40520" s="28"/>
      <c r="U40520" s="28"/>
    </row>
    <row r="40521">
      <c r="N40521" s="28"/>
      <c r="O40521" s="28"/>
      <c r="U40521" s="28"/>
    </row>
    <row r="40522">
      <c r="N40522" s="28"/>
      <c r="O40522" s="28"/>
      <c r="U40522" s="28"/>
    </row>
    <row r="40523">
      <c r="N40523" s="28"/>
      <c r="O40523" s="28"/>
      <c r="U40523" s="28"/>
    </row>
    <row r="40524">
      <c r="N40524" s="28"/>
      <c r="O40524" s="28"/>
      <c r="U40524" s="28"/>
    </row>
    <row r="40525">
      <c r="N40525" s="28"/>
      <c r="O40525" s="28"/>
      <c r="U40525" s="28"/>
    </row>
    <row r="40526">
      <c r="N40526" s="28"/>
      <c r="O40526" s="28"/>
      <c r="U40526" s="28"/>
    </row>
    <row r="40527">
      <c r="N40527" s="28"/>
      <c r="O40527" s="28"/>
      <c r="U40527" s="28"/>
    </row>
    <row r="40528">
      <c r="N40528" s="28"/>
      <c r="O40528" s="28"/>
      <c r="U40528" s="28"/>
    </row>
    <row r="40529">
      <c r="N40529" s="28"/>
      <c r="O40529" s="28"/>
      <c r="U40529" s="28"/>
    </row>
    <row r="40530">
      <c r="N40530" s="28"/>
      <c r="O40530" s="28"/>
      <c r="U40530" s="28"/>
    </row>
    <row r="40531">
      <c r="N40531" s="28"/>
      <c r="O40531" s="28"/>
      <c r="U40531" s="28"/>
    </row>
    <row r="40532">
      <c r="N40532" s="28"/>
      <c r="O40532" s="28"/>
      <c r="U40532" s="28"/>
    </row>
    <row r="40533">
      <c r="N40533" s="28"/>
      <c r="O40533" s="28"/>
      <c r="U40533" s="28"/>
    </row>
    <row r="40534">
      <c r="N40534" s="28"/>
      <c r="O40534" s="28"/>
      <c r="U40534" s="28"/>
    </row>
    <row r="40535">
      <c r="N40535" s="28"/>
      <c r="O40535" s="28"/>
      <c r="U40535" s="28"/>
    </row>
    <row r="40536">
      <c r="N40536" s="28"/>
      <c r="O40536" s="28"/>
      <c r="U40536" s="28"/>
    </row>
    <row r="40537">
      <c r="N40537" s="28"/>
      <c r="O40537" s="28"/>
      <c r="U40537" s="28"/>
    </row>
    <row r="40538">
      <c r="N40538" s="28"/>
      <c r="O40538" s="28"/>
      <c r="U40538" s="28"/>
    </row>
    <row r="40539">
      <c r="N40539" s="28"/>
      <c r="O40539" s="28"/>
      <c r="U40539" s="28"/>
    </row>
    <row r="40540">
      <c r="N40540" s="28"/>
      <c r="O40540" s="28"/>
      <c r="U40540" s="28"/>
    </row>
    <row r="40541">
      <c r="N40541" s="28"/>
      <c r="O40541" s="28"/>
      <c r="U40541" s="28"/>
    </row>
    <row r="40542">
      <c r="N40542" s="28"/>
      <c r="O40542" s="28"/>
      <c r="U40542" s="28"/>
    </row>
    <row r="40543">
      <c r="N40543" s="28"/>
      <c r="O40543" s="28"/>
      <c r="U40543" s="28"/>
    </row>
    <row r="40544">
      <c r="N40544" s="28"/>
      <c r="O40544" s="28"/>
      <c r="U40544" s="28"/>
    </row>
    <row r="40545">
      <c r="N40545" s="28"/>
      <c r="O40545" s="28"/>
      <c r="U40545" s="28"/>
    </row>
    <row r="40546">
      <c r="N40546" s="28"/>
      <c r="O40546" s="28"/>
      <c r="U40546" s="28"/>
    </row>
    <row r="40547">
      <c r="N40547" s="28"/>
      <c r="O40547" s="28"/>
      <c r="U40547" s="28"/>
    </row>
    <row r="40548">
      <c r="N40548" s="28"/>
      <c r="O40548" s="28"/>
      <c r="U40548" s="28"/>
    </row>
    <row r="40549">
      <c r="N40549" s="28"/>
      <c r="O40549" s="28"/>
      <c r="U40549" s="28"/>
    </row>
    <row r="40550">
      <c r="N40550" s="28"/>
      <c r="O40550" s="28"/>
      <c r="U40550" s="28"/>
    </row>
    <row r="40551">
      <c r="N40551" s="28"/>
      <c r="O40551" s="28"/>
      <c r="U40551" s="28"/>
    </row>
    <row r="40552">
      <c r="N40552" s="28"/>
      <c r="O40552" s="28"/>
      <c r="U40552" s="28"/>
    </row>
    <row r="40553">
      <c r="N40553" s="28"/>
      <c r="O40553" s="28"/>
      <c r="U40553" s="28"/>
    </row>
    <row r="40554">
      <c r="N40554" s="28"/>
      <c r="O40554" s="28"/>
      <c r="U40554" s="28"/>
    </row>
    <row r="40555">
      <c r="N40555" s="28"/>
      <c r="O40555" s="28"/>
      <c r="U40555" s="28"/>
    </row>
    <row r="40556">
      <c r="N40556" s="28"/>
      <c r="O40556" s="28"/>
      <c r="U40556" s="28"/>
    </row>
    <row r="40557">
      <c r="N40557" s="28"/>
      <c r="O40557" s="28"/>
      <c r="U40557" s="28"/>
    </row>
    <row r="40558">
      <c r="N40558" s="28"/>
      <c r="O40558" s="28"/>
      <c r="U40558" s="28"/>
    </row>
    <row r="40559">
      <c r="N40559" s="28"/>
      <c r="O40559" s="28"/>
      <c r="U40559" s="28"/>
    </row>
    <row r="40560">
      <c r="N40560" s="28"/>
      <c r="O40560" s="28"/>
      <c r="U40560" s="28"/>
    </row>
    <row r="40561">
      <c r="N40561" s="28"/>
      <c r="O40561" s="28"/>
      <c r="U40561" s="28"/>
    </row>
    <row r="40562">
      <c r="N40562" s="28"/>
      <c r="O40562" s="28"/>
      <c r="U40562" s="28"/>
    </row>
    <row r="40563">
      <c r="N40563" s="28"/>
      <c r="O40563" s="28"/>
      <c r="U40563" s="28"/>
    </row>
    <row r="40564">
      <c r="N40564" s="28"/>
      <c r="O40564" s="28"/>
      <c r="U40564" s="28"/>
    </row>
    <row r="40565">
      <c r="N40565" s="28"/>
      <c r="O40565" s="28"/>
      <c r="U40565" s="28"/>
    </row>
    <row r="40566">
      <c r="N40566" s="28"/>
      <c r="O40566" s="28"/>
      <c r="U40566" s="28"/>
    </row>
    <row r="40567">
      <c r="N40567" s="28"/>
      <c r="O40567" s="28"/>
      <c r="U40567" s="28"/>
    </row>
    <row r="40568">
      <c r="N40568" s="28"/>
      <c r="O40568" s="28"/>
      <c r="U40568" s="28"/>
    </row>
    <row r="40569">
      <c r="N40569" s="28"/>
      <c r="O40569" s="28"/>
      <c r="U40569" s="28"/>
    </row>
    <row r="40570">
      <c r="N40570" s="28"/>
      <c r="O40570" s="28"/>
      <c r="U40570" s="28"/>
    </row>
    <row r="40571">
      <c r="N40571" s="28"/>
      <c r="O40571" s="28"/>
      <c r="U40571" s="28"/>
    </row>
    <row r="40572">
      <c r="N40572" s="28"/>
      <c r="O40572" s="28"/>
      <c r="U40572" s="28"/>
    </row>
    <row r="40573">
      <c r="N40573" s="28"/>
      <c r="O40573" s="28"/>
      <c r="U40573" s="28"/>
    </row>
    <row r="40574">
      <c r="N40574" s="28"/>
      <c r="O40574" s="28"/>
      <c r="U40574" s="28"/>
    </row>
    <row r="40575">
      <c r="N40575" s="28"/>
      <c r="O40575" s="28"/>
      <c r="U40575" s="28"/>
    </row>
    <row r="40576">
      <c r="N40576" s="28"/>
      <c r="O40576" s="28"/>
      <c r="U40576" s="28"/>
    </row>
    <row r="40577">
      <c r="N40577" s="28"/>
      <c r="O40577" s="28"/>
      <c r="U40577" s="28"/>
    </row>
    <row r="40578">
      <c r="N40578" s="28"/>
      <c r="O40578" s="28"/>
      <c r="U40578" s="28"/>
    </row>
    <row r="40579">
      <c r="N40579" s="28"/>
      <c r="O40579" s="28"/>
      <c r="U40579" s="28"/>
    </row>
    <row r="40580">
      <c r="N40580" s="28"/>
      <c r="O40580" s="28"/>
      <c r="U40580" s="28"/>
    </row>
    <row r="40581">
      <c r="N40581" s="28"/>
      <c r="O40581" s="28"/>
      <c r="U40581" s="28"/>
    </row>
    <row r="40582">
      <c r="N40582" s="28"/>
      <c r="O40582" s="28"/>
      <c r="U40582" s="28"/>
    </row>
    <row r="40583">
      <c r="N40583" s="28"/>
      <c r="O40583" s="28"/>
      <c r="U40583" s="28"/>
    </row>
    <row r="40584">
      <c r="N40584" s="28"/>
      <c r="O40584" s="28"/>
      <c r="U40584" s="28"/>
    </row>
    <row r="40585">
      <c r="N40585" s="28"/>
      <c r="O40585" s="28"/>
      <c r="U40585" s="28"/>
    </row>
    <row r="40586">
      <c r="N40586" s="28"/>
      <c r="O40586" s="28"/>
      <c r="U40586" s="28"/>
    </row>
    <row r="40587">
      <c r="N40587" s="28"/>
      <c r="O40587" s="28"/>
      <c r="U40587" s="28"/>
    </row>
    <row r="40588">
      <c r="N40588" s="28"/>
      <c r="O40588" s="28"/>
      <c r="U40588" s="28"/>
    </row>
    <row r="40589">
      <c r="N40589" s="28"/>
      <c r="O40589" s="28"/>
      <c r="U40589" s="28"/>
    </row>
    <row r="40590">
      <c r="N40590" s="28"/>
      <c r="O40590" s="28"/>
      <c r="U40590" s="28"/>
    </row>
    <row r="40591">
      <c r="N40591" s="28"/>
      <c r="O40591" s="28"/>
      <c r="U40591" s="28"/>
    </row>
    <row r="40592">
      <c r="N40592" s="28"/>
      <c r="O40592" s="28"/>
      <c r="U40592" s="28"/>
    </row>
    <row r="40593">
      <c r="N40593" s="28"/>
      <c r="O40593" s="28"/>
      <c r="U40593" s="28"/>
    </row>
    <row r="40594">
      <c r="N40594" s="28"/>
      <c r="O40594" s="28"/>
      <c r="U40594" s="28"/>
    </row>
    <row r="40595">
      <c r="N40595" s="28"/>
      <c r="O40595" s="28"/>
      <c r="U40595" s="28"/>
    </row>
    <row r="40596">
      <c r="N40596" s="28"/>
      <c r="O40596" s="28"/>
      <c r="U40596" s="28"/>
    </row>
    <row r="40597">
      <c r="N40597" s="28"/>
      <c r="O40597" s="28"/>
      <c r="U40597" s="28"/>
    </row>
    <row r="40598">
      <c r="N40598" s="28"/>
      <c r="O40598" s="28"/>
      <c r="U40598" s="28"/>
    </row>
    <row r="40599">
      <c r="N40599" s="28"/>
      <c r="O40599" s="28"/>
      <c r="U40599" s="28"/>
    </row>
    <row r="40600">
      <c r="N40600" s="28"/>
      <c r="O40600" s="28"/>
      <c r="U40600" s="28"/>
    </row>
    <row r="40601">
      <c r="N40601" s="28"/>
      <c r="O40601" s="28"/>
      <c r="U40601" s="28"/>
    </row>
    <row r="40602">
      <c r="N40602" s="28"/>
      <c r="O40602" s="28"/>
      <c r="U40602" s="28"/>
    </row>
    <row r="40603">
      <c r="N40603" s="28"/>
      <c r="O40603" s="28"/>
      <c r="U40603" s="28"/>
    </row>
    <row r="40604">
      <c r="N40604" s="28"/>
      <c r="O40604" s="28"/>
      <c r="U40604" s="28"/>
    </row>
    <row r="40605">
      <c r="N40605" s="28"/>
      <c r="O40605" s="28"/>
      <c r="U40605" s="28"/>
    </row>
    <row r="40606">
      <c r="N40606" s="28"/>
      <c r="O40606" s="28"/>
      <c r="U40606" s="28"/>
    </row>
    <row r="40607">
      <c r="N40607" s="28"/>
      <c r="O40607" s="28"/>
      <c r="U40607" s="28"/>
    </row>
    <row r="40608">
      <c r="N40608" s="28"/>
      <c r="O40608" s="28"/>
      <c r="U40608" s="28"/>
    </row>
    <row r="40609">
      <c r="N40609" s="28"/>
      <c r="O40609" s="28"/>
      <c r="U40609" s="28"/>
    </row>
    <row r="40610">
      <c r="N40610" s="28"/>
      <c r="O40610" s="28"/>
      <c r="U40610" s="28"/>
    </row>
    <row r="40611">
      <c r="N40611" s="28"/>
      <c r="O40611" s="28"/>
      <c r="U40611" s="28"/>
    </row>
    <row r="40612">
      <c r="N40612" s="28"/>
      <c r="O40612" s="28"/>
      <c r="U40612" s="28"/>
    </row>
    <row r="40613">
      <c r="N40613" s="28"/>
      <c r="O40613" s="28"/>
      <c r="U40613" s="28"/>
    </row>
    <row r="40614">
      <c r="N40614" s="28"/>
      <c r="O40614" s="28"/>
      <c r="U40614" s="28"/>
    </row>
    <row r="40615">
      <c r="N40615" s="28"/>
      <c r="O40615" s="28"/>
      <c r="U40615" s="28"/>
    </row>
    <row r="40616">
      <c r="N40616" s="28"/>
      <c r="O40616" s="28"/>
      <c r="U40616" s="28"/>
    </row>
    <row r="40617">
      <c r="N40617" s="28"/>
      <c r="O40617" s="28"/>
      <c r="U40617" s="28"/>
    </row>
    <row r="40618">
      <c r="N40618" s="28"/>
      <c r="O40618" s="28"/>
      <c r="U40618" s="28"/>
    </row>
    <row r="40619">
      <c r="N40619" s="28"/>
      <c r="O40619" s="28"/>
      <c r="U40619" s="28"/>
    </row>
    <row r="40620">
      <c r="N40620" s="28"/>
      <c r="O40620" s="28"/>
      <c r="U40620" s="28"/>
    </row>
    <row r="40621">
      <c r="N40621" s="28"/>
      <c r="O40621" s="28"/>
      <c r="U40621" s="28"/>
    </row>
    <row r="40622">
      <c r="N40622" s="28"/>
      <c r="O40622" s="28"/>
      <c r="U40622" s="28"/>
    </row>
    <row r="40623">
      <c r="N40623" s="28"/>
      <c r="O40623" s="28"/>
      <c r="U40623" s="28"/>
    </row>
    <row r="40624">
      <c r="N40624" s="28"/>
      <c r="O40624" s="28"/>
      <c r="U40624" s="28"/>
    </row>
    <row r="40625">
      <c r="N40625" s="28"/>
      <c r="O40625" s="28"/>
      <c r="U40625" s="28"/>
    </row>
    <row r="40626">
      <c r="N40626" s="28"/>
      <c r="O40626" s="28"/>
      <c r="U40626" s="28"/>
    </row>
    <row r="40627">
      <c r="N40627" s="28"/>
      <c r="O40627" s="28"/>
      <c r="U40627" s="28"/>
    </row>
    <row r="40628">
      <c r="N40628" s="28"/>
      <c r="O40628" s="28"/>
      <c r="U40628" s="28"/>
    </row>
    <row r="40629">
      <c r="N40629" s="28"/>
      <c r="O40629" s="28"/>
      <c r="U40629" s="28"/>
    </row>
    <row r="40630">
      <c r="N40630" s="28"/>
      <c r="O40630" s="28"/>
      <c r="U40630" s="28"/>
    </row>
    <row r="40631">
      <c r="N40631" s="28"/>
      <c r="O40631" s="28"/>
      <c r="U40631" s="28"/>
    </row>
    <row r="40632">
      <c r="N40632" s="28"/>
      <c r="O40632" s="28"/>
      <c r="U40632" s="28"/>
    </row>
    <row r="40633">
      <c r="N40633" s="28"/>
      <c r="O40633" s="28"/>
      <c r="U40633" s="28"/>
    </row>
    <row r="40634">
      <c r="N40634" s="28"/>
      <c r="O40634" s="28"/>
      <c r="U40634" s="28"/>
    </row>
    <row r="40635">
      <c r="N40635" s="28"/>
      <c r="O40635" s="28"/>
      <c r="U40635" s="28"/>
    </row>
    <row r="40636">
      <c r="N40636" s="28"/>
      <c r="O40636" s="28"/>
      <c r="U40636" s="28"/>
    </row>
    <row r="40637">
      <c r="N40637" s="28"/>
      <c r="O40637" s="28"/>
      <c r="U40637" s="28"/>
    </row>
    <row r="40638">
      <c r="N40638" s="28"/>
      <c r="O40638" s="28"/>
      <c r="U40638" s="28"/>
    </row>
    <row r="40639">
      <c r="N40639" s="28"/>
      <c r="O40639" s="28"/>
      <c r="U40639" s="28"/>
    </row>
    <row r="40640">
      <c r="N40640" s="28"/>
      <c r="O40640" s="28"/>
      <c r="U40640" s="28"/>
    </row>
    <row r="40641">
      <c r="N40641" s="28"/>
      <c r="O40641" s="28"/>
      <c r="U40641" s="28"/>
    </row>
    <row r="40642">
      <c r="N40642" s="28"/>
      <c r="O40642" s="28"/>
      <c r="U40642" s="28"/>
    </row>
    <row r="40643">
      <c r="N40643" s="28"/>
      <c r="O40643" s="28"/>
      <c r="U40643" s="28"/>
    </row>
    <row r="40644">
      <c r="N40644" s="28"/>
      <c r="O40644" s="28"/>
      <c r="U40644" s="28"/>
    </row>
    <row r="40645">
      <c r="N40645" s="28"/>
      <c r="O40645" s="28"/>
      <c r="U40645" s="28"/>
    </row>
    <row r="40646">
      <c r="N40646" s="28"/>
      <c r="O40646" s="28"/>
      <c r="U40646" s="28"/>
    </row>
    <row r="40647">
      <c r="N40647" s="28"/>
      <c r="O40647" s="28"/>
      <c r="U40647" s="28"/>
    </row>
    <row r="40648">
      <c r="N40648" s="28"/>
      <c r="O40648" s="28"/>
      <c r="U40648" s="28"/>
    </row>
    <row r="40649">
      <c r="N40649" s="28"/>
      <c r="O40649" s="28"/>
      <c r="U40649" s="28"/>
    </row>
    <row r="40650">
      <c r="N40650" s="28"/>
      <c r="O40650" s="28"/>
      <c r="U40650" s="28"/>
    </row>
    <row r="40651">
      <c r="N40651" s="28"/>
      <c r="O40651" s="28"/>
      <c r="U40651" s="28"/>
    </row>
    <row r="40652">
      <c r="N40652" s="28"/>
      <c r="O40652" s="28"/>
      <c r="U40652" s="28"/>
    </row>
    <row r="40653">
      <c r="N40653" s="28"/>
      <c r="O40653" s="28"/>
      <c r="U40653" s="28"/>
    </row>
    <row r="40654">
      <c r="N40654" s="28"/>
      <c r="O40654" s="28"/>
      <c r="U40654" s="28"/>
    </row>
    <row r="40655">
      <c r="N40655" s="28"/>
      <c r="O40655" s="28"/>
      <c r="U40655" s="28"/>
    </row>
    <row r="40656">
      <c r="N40656" s="28"/>
      <c r="O40656" s="28"/>
      <c r="U40656" s="28"/>
    </row>
    <row r="40657">
      <c r="N40657" s="28"/>
      <c r="O40657" s="28"/>
      <c r="U40657" s="28"/>
    </row>
    <row r="40658">
      <c r="N40658" s="28"/>
      <c r="O40658" s="28"/>
      <c r="U40658" s="28"/>
    </row>
    <row r="40659">
      <c r="N40659" s="28"/>
      <c r="O40659" s="28"/>
      <c r="U40659" s="28"/>
    </row>
    <row r="40660">
      <c r="N40660" s="28"/>
      <c r="O40660" s="28"/>
      <c r="U40660" s="28"/>
    </row>
    <row r="40661">
      <c r="N40661" s="28"/>
      <c r="O40661" s="28"/>
      <c r="U40661" s="28"/>
    </row>
    <row r="40662">
      <c r="N40662" s="28"/>
      <c r="O40662" s="28"/>
      <c r="U40662" s="28"/>
    </row>
    <row r="40663">
      <c r="N40663" s="28"/>
      <c r="O40663" s="28"/>
      <c r="U40663" s="28"/>
    </row>
    <row r="40664">
      <c r="N40664" s="28"/>
      <c r="O40664" s="28"/>
      <c r="U40664" s="28"/>
    </row>
    <row r="40665">
      <c r="N40665" s="28"/>
      <c r="O40665" s="28"/>
      <c r="U40665" s="28"/>
    </row>
    <row r="40666">
      <c r="N40666" s="28"/>
      <c r="O40666" s="28"/>
      <c r="U40666" s="28"/>
    </row>
    <row r="40667">
      <c r="N40667" s="28"/>
      <c r="O40667" s="28"/>
      <c r="U40667" s="28"/>
    </row>
    <row r="40668">
      <c r="N40668" s="28"/>
      <c r="O40668" s="28"/>
      <c r="U40668" s="28"/>
    </row>
    <row r="40669">
      <c r="N40669" s="28"/>
      <c r="O40669" s="28"/>
      <c r="U40669" s="28"/>
    </row>
    <row r="40670">
      <c r="N40670" s="28"/>
      <c r="O40670" s="28"/>
      <c r="U40670" s="28"/>
    </row>
    <row r="40671">
      <c r="N40671" s="28"/>
      <c r="O40671" s="28"/>
      <c r="U40671" s="28"/>
    </row>
    <row r="40672">
      <c r="N40672" s="28"/>
      <c r="O40672" s="28"/>
      <c r="U40672" s="28"/>
    </row>
    <row r="40673">
      <c r="N40673" s="28"/>
      <c r="O40673" s="28"/>
      <c r="U40673" s="28"/>
    </row>
    <row r="40674">
      <c r="N40674" s="28"/>
      <c r="O40674" s="28"/>
      <c r="U40674" s="28"/>
    </row>
    <row r="40675">
      <c r="N40675" s="28"/>
      <c r="O40675" s="28"/>
      <c r="U40675" s="28"/>
    </row>
    <row r="40676">
      <c r="N40676" s="28"/>
      <c r="O40676" s="28"/>
      <c r="U40676" s="28"/>
    </row>
    <row r="40677">
      <c r="N40677" s="28"/>
      <c r="O40677" s="28"/>
      <c r="U40677" s="28"/>
    </row>
    <row r="40678">
      <c r="N40678" s="28"/>
      <c r="O40678" s="28"/>
      <c r="U40678" s="28"/>
    </row>
    <row r="40679">
      <c r="N40679" s="28"/>
      <c r="O40679" s="28"/>
      <c r="U40679" s="28"/>
    </row>
    <row r="40680">
      <c r="N40680" s="28"/>
      <c r="O40680" s="28"/>
      <c r="U40680" s="28"/>
    </row>
    <row r="40681">
      <c r="N40681" s="28"/>
      <c r="O40681" s="28"/>
      <c r="U40681" s="28"/>
    </row>
    <row r="40682">
      <c r="N40682" s="28"/>
      <c r="O40682" s="28"/>
      <c r="U40682" s="28"/>
    </row>
    <row r="40683">
      <c r="N40683" s="28"/>
      <c r="O40683" s="28"/>
      <c r="U40683" s="28"/>
    </row>
    <row r="40684">
      <c r="N40684" s="28"/>
      <c r="O40684" s="28"/>
      <c r="U40684" s="28"/>
    </row>
    <row r="40685">
      <c r="N40685" s="28"/>
      <c r="O40685" s="28"/>
      <c r="U40685" s="28"/>
    </row>
    <row r="40686">
      <c r="N40686" s="28"/>
      <c r="O40686" s="28"/>
      <c r="U40686" s="28"/>
    </row>
    <row r="40687">
      <c r="N40687" s="28"/>
      <c r="O40687" s="28"/>
      <c r="U40687" s="28"/>
    </row>
    <row r="40688">
      <c r="N40688" s="28"/>
      <c r="O40688" s="28"/>
      <c r="U40688" s="28"/>
    </row>
    <row r="40689">
      <c r="N40689" s="28"/>
      <c r="O40689" s="28"/>
      <c r="U40689" s="28"/>
    </row>
    <row r="40690">
      <c r="N40690" s="28"/>
      <c r="O40690" s="28"/>
      <c r="U40690" s="28"/>
    </row>
    <row r="40691">
      <c r="N40691" s="28"/>
      <c r="O40691" s="28"/>
      <c r="U40691" s="28"/>
    </row>
    <row r="40692">
      <c r="N40692" s="28"/>
      <c r="O40692" s="28"/>
      <c r="U40692" s="28"/>
    </row>
    <row r="40693">
      <c r="N40693" s="28"/>
      <c r="O40693" s="28"/>
      <c r="U40693" s="28"/>
    </row>
    <row r="40694">
      <c r="N40694" s="28"/>
      <c r="O40694" s="28"/>
      <c r="U40694" s="28"/>
    </row>
    <row r="40695">
      <c r="N40695" s="28"/>
      <c r="O40695" s="28"/>
      <c r="U40695" s="28"/>
    </row>
    <row r="40696">
      <c r="N40696" s="28"/>
      <c r="O40696" s="28"/>
      <c r="U40696" s="28"/>
    </row>
    <row r="40697">
      <c r="N40697" s="28"/>
      <c r="O40697" s="28"/>
      <c r="U40697" s="28"/>
    </row>
    <row r="40698">
      <c r="N40698" s="28"/>
      <c r="O40698" s="28"/>
      <c r="U40698" s="28"/>
    </row>
    <row r="40699">
      <c r="N40699" s="28"/>
      <c r="O40699" s="28"/>
      <c r="U40699" s="28"/>
    </row>
    <row r="40700">
      <c r="N40700" s="28"/>
      <c r="O40700" s="28"/>
      <c r="U40700" s="28"/>
    </row>
    <row r="40701">
      <c r="N40701" s="28"/>
      <c r="O40701" s="28"/>
      <c r="U40701" s="28"/>
    </row>
    <row r="40702">
      <c r="N40702" s="28"/>
      <c r="O40702" s="28"/>
      <c r="U40702" s="28"/>
    </row>
    <row r="40703">
      <c r="N40703" s="28"/>
      <c r="O40703" s="28"/>
      <c r="U40703" s="28"/>
    </row>
    <row r="40704">
      <c r="N40704" s="28"/>
      <c r="O40704" s="28"/>
      <c r="U40704" s="28"/>
    </row>
    <row r="40705">
      <c r="N40705" s="28"/>
      <c r="O40705" s="28"/>
      <c r="U40705" s="28"/>
    </row>
    <row r="40706">
      <c r="N40706" s="28"/>
      <c r="O40706" s="28"/>
      <c r="U40706" s="28"/>
    </row>
    <row r="40707">
      <c r="N40707" s="28"/>
      <c r="O40707" s="28"/>
      <c r="U40707" s="28"/>
    </row>
    <row r="40708">
      <c r="N40708" s="28"/>
      <c r="O40708" s="28"/>
      <c r="U40708" s="28"/>
    </row>
    <row r="40709">
      <c r="N40709" s="28"/>
      <c r="O40709" s="28"/>
      <c r="U40709" s="28"/>
    </row>
    <row r="40710">
      <c r="N40710" s="28"/>
      <c r="O40710" s="28"/>
      <c r="U40710" s="28"/>
    </row>
    <row r="40711">
      <c r="N40711" s="28"/>
      <c r="O40711" s="28"/>
      <c r="U40711" s="28"/>
    </row>
    <row r="40712">
      <c r="N40712" s="28"/>
      <c r="O40712" s="28"/>
      <c r="U40712" s="28"/>
    </row>
    <row r="40713">
      <c r="N40713" s="28"/>
      <c r="O40713" s="28"/>
      <c r="U40713" s="28"/>
    </row>
    <row r="40714">
      <c r="N40714" s="28"/>
      <c r="O40714" s="28"/>
      <c r="U40714" s="28"/>
    </row>
    <row r="40715">
      <c r="N40715" s="28"/>
      <c r="O40715" s="28"/>
      <c r="U40715" s="28"/>
    </row>
    <row r="40716">
      <c r="N40716" s="28"/>
      <c r="O40716" s="28"/>
      <c r="U40716" s="28"/>
    </row>
    <row r="40717">
      <c r="N40717" s="28"/>
      <c r="O40717" s="28"/>
      <c r="U40717" s="28"/>
    </row>
    <row r="40718">
      <c r="N40718" s="28"/>
      <c r="O40718" s="28"/>
      <c r="U40718" s="28"/>
    </row>
    <row r="40719">
      <c r="N40719" s="28"/>
      <c r="O40719" s="28"/>
      <c r="U40719" s="28"/>
    </row>
    <row r="40720">
      <c r="N40720" s="28"/>
      <c r="O40720" s="28"/>
      <c r="U40720" s="28"/>
    </row>
    <row r="40721">
      <c r="N40721" s="28"/>
      <c r="O40721" s="28"/>
      <c r="U40721" s="28"/>
    </row>
    <row r="40722">
      <c r="N40722" s="28"/>
      <c r="O40722" s="28"/>
      <c r="U40722" s="28"/>
    </row>
    <row r="40723">
      <c r="N40723" s="28"/>
      <c r="O40723" s="28"/>
      <c r="U40723" s="28"/>
    </row>
    <row r="40724">
      <c r="N40724" s="28"/>
      <c r="O40724" s="28"/>
      <c r="U40724" s="28"/>
    </row>
    <row r="40725">
      <c r="N40725" s="28"/>
      <c r="O40725" s="28"/>
      <c r="U40725" s="28"/>
    </row>
    <row r="40726">
      <c r="N40726" s="28"/>
      <c r="O40726" s="28"/>
      <c r="U40726" s="28"/>
    </row>
    <row r="40727">
      <c r="N40727" s="28"/>
      <c r="O40727" s="28"/>
      <c r="U40727" s="28"/>
    </row>
    <row r="40728">
      <c r="N40728" s="28"/>
      <c r="O40728" s="28"/>
      <c r="U40728" s="28"/>
    </row>
    <row r="40729">
      <c r="N40729" s="28"/>
      <c r="O40729" s="28"/>
      <c r="U40729" s="28"/>
    </row>
    <row r="40730">
      <c r="N40730" s="28"/>
      <c r="O40730" s="28"/>
      <c r="U40730" s="28"/>
    </row>
    <row r="40731">
      <c r="N40731" s="28"/>
      <c r="O40731" s="28"/>
      <c r="U40731" s="28"/>
    </row>
    <row r="40732">
      <c r="N40732" s="28"/>
      <c r="O40732" s="28"/>
      <c r="U40732" s="28"/>
    </row>
    <row r="40733">
      <c r="N40733" s="28"/>
      <c r="O40733" s="28"/>
      <c r="U40733" s="28"/>
    </row>
    <row r="40734">
      <c r="N40734" s="28"/>
      <c r="O40734" s="28"/>
      <c r="U40734" s="28"/>
    </row>
    <row r="40735">
      <c r="N40735" s="28"/>
      <c r="O40735" s="28"/>
      <c r="U40735" s="28"/>
    </row>
    <row r="40736">
      <c r="N40736" s="28"/>
      <c r="O40736" s="28"/>
      <c r="U40736" s="28"/>
    </row>
    <row r="40737">
      <c r="N40737" s="28"/>
      <c r="O40737" s="28"/>
      <c r="U40737" s="28"/>
    </row>
    <row r="40738">
      <c r="N40738" s="28"/>
      <c r="O40738" s="28"/>
      <c r="U40738" s="28"/>
    </row>
    <row r="40739">
      <c r="N40739" s="28"/>
      <c r="O40739" s="28"/>
      <c r="U40739" s="28"/>
    </row>
    <row r="40740">
      <c r="N40740" s="28"/>
      <c r="O40740" s="28"/>
      <c r="U40740" s="28"/>
    </row>
    <row r="40741">
      <c r="N40741" s="28"/>
      <c r="O40741" s="28"/>
      <c r="U40741" s="28"/>
    </row>
    <row r="40742">
      <c r="N40742" s="28"/>
      <c r="O40742" s="28"/>
      <c r="U40742" s="28"/>
    </row>
    <row r="40743">
      <c r="N40743" s="28"/>
      <c r="O40743" s="28"/>
      <c r="U40743" s="28"/>
    </row>
    <row r="40744">
      <c r="N40744" s="28"/>
      <c r="O40744" s="28"/>
      <c r="U40744" s="28"/>
    </row>
    <row r="40745">
      <c r="N40745" s="28"/>
      <c r="O40745" s="28"/>
      <c r="U40745" s="28"/>
    </row>
    <row r="40746">
      <c r="N40746" s="28"/>
      <c r="O40746" s="28"/>
      <c r="U40746" s="28"/>
    </row>
    <row r="40747">
      <c r="N40747" s="28"/>
      <c r="O40747" s="28"/>
      <c r="U40747" s="28"/>
    </row>
    <row r="40748">
      <c r="N40748" s="28"/>
      <c r="O40748" s="28"/>
      <c r="U40748" s="28"/>
    </row>
    <row r="40749">
      <c r="N40749" s="28"/>
      <c r="O40749" s="28"/>
      <c r="U40749" s="28"/>
    </row>
    <row r="40750">
      <c r="N40750" s="28"/>
      <c r="O40750" s="28"/>
      <c r="U40750" s="28"/>
    </row>
    <row r="40751">
      <c r="N40751" s="28"/>
      <c r="O40751" s="28"/>
      <c r="U40751" s="28"/>
    </row>
    <row r="40752">
      <c r="N40752" s="28"/>
      <c r="O40752" s="28"/>
      <c r="U40752" s="28"/>
    </row>
    <row r="40753">
      <c r="N40753" s="28"/>
      <c r="O40753" s="28"/>
      <c r="U40753" s="28"/>
    </row>
    <row r="40754">
      <c r="N40754" s="28"/>
      <c r="O40754" s="28"/>
      <c r="U40754" s="28"/>
    </row>
    <row r="40755">
      <c r="N40755" s="28"/>
      <c r="O40755" s="28"/>
      <c r="U40755" s="28"/>
    </row>
    <row r="40756">
      <c r="N40756" s="28"/>
      <c r="O40756" s="28"/>
      <c r="U40756" s="28"/>
    </row>
    <row r="40757">
      <c r="N40757" s="28"/>
      <c r="O40757" s="28"/>
      <c r="U40757" s="28"/>
    </row>
    <row r="40758">
      <c r="N40758" s="28"/>
      <c r="O40758" s="28"/>
      <c r="U40758" s="28"/>
    </row>
    <row r="40759">
      <c r="N40759" s="28"/>
      <c r="O40759" s="28"/>
      <c r="U40759" s="28"/>
    </row>
    <row r="40760">
      <c r="N40760" s="28"/>
      <c r="O40760" s="28"/>
      <c r="U40760" s="28"/>
    </row>
    <row r="40761">
      <c r="N40761" s="28"/>
      <c r="O40761" s="28"/>
      <c r="U40761" s="28"/>
    </row>
    <row r="40762">
      <c r="N40762" s="28"/>
      <c r="O40762" s="28"/>
      <c r="U40762" s="28"/>
    </row>
    <row r="40763">
      <c r="N40763" s="28"/>
      <c r="O40763" s="28"/>
      <c r="U40763" s="28"/>
    </row>
    <row r="40764">
      <c r="N40764" s="28"/>
      <c r="O40764" s="28"/>
      <c r="U40764" s="28"/>
    </row>
    <row r="40765">
      <c r="N40765" s="28"/>
      <c r="O40765" s="28"/>
      <c r="U40765" s="28"/>
    </row>
    <row r="40766">
      <c r="N40766" s="28"/>
      <c r="O40766" s="28"/>
      <c r="U40766" s="28"/>
    </row>
    <row r="40767">
      <c r="N40767" s="28"/>
      <c r="O40767" s="28"/>
      <c r="U40767" s="28"/>
    </row>
    <row r="40768">
      <c r="N40768" s="28"/>
      <c r="O40768" s="28"/>
      <c r="U40768" s="28"/>
    </row>
    <row r="40769">
      <c r="N40769" s="28"/>
      <c r="O40769" s="28"/>
      <c r="U40769" s="28"/>
    </row>
    <row r="40770">
      <c r="N40770" s="28"/>
      <c r="O40770" s="28"/>
      <c r="U40770" s="28"/>
    </row>
    <row r="40771">
      <c r="N40771" s="28"/>
      <c r="O40771" s="28"/>
      <c r="U40771" s="28"/>
    </row>
    <row r="40772">
      <c r="N40772" s="28"/>
      <c r="O40772" s="28"/>
      <c r="U40772" s="28"/>
    </row>
    <row r="40773">
      <c r="N40773" s="28"/>
      <c r="O40773" s="28"/>
      <c r="U40773" s="28"/>
    </row>
    <row r="40774">
      <c r="N40774" s="28"/>
      <c r="O40774" s="28"/>
      <c r="U40774" s="28"/>
    </row>
    <row r="40775">
      <c r="N40775" s="28"/>
      <c r="O40775" s="28"/>
      <c r="U40775" s="28"/>
    </row>
    <row r="40776">
      <c r="N40776" s="28"/>
      <c r="O40776" s="28"/>
      <c r="U40776" s="28"/>
    </row>
    <row r="40777">
      <c r="N40777" s="28"/>
      <c r="O40777" s="28"/>
      <c r="U40777" s="28"/>
    </row>
    <row r="40778">
      <c r="N40778" s="28"/>
      <c r="O40778" s="28"/>
      <c r="U40778" s="28"/>
    </row>
    <row r="40779">
      <c r="N40779" s="28"/>
      <c r="O40779" s="28"/>
      <c r="U40779" s="28"/>
    </row>
    <row r="40780">
      <c r="N40780" s="28"/>
      <c r="O40780" s="28"/>
      <c r="U40780" s="28"/>
    </row>
    <row r="40781">
      <c r="N40781" s="28"/>
      <c r="O40781" s="28"/>
      <c r="U40781" s="28"/>
    </row>
    <row r="40782">
      <c r="N40782" s="28"/>
      <c r="O40782" s="28"/>
      <c r="U40782" s="28"/>
    </row>
    <row r="40783">
      <c r="N40783" s="28"/>
      <c r="O40783" s="28"/>
      <c r="U40783" s="28"/>
    </row>
    <row r="40784">
      <c r="N40784" s="28"/>
      <c r="O40784" s="28"/>
      <c r="U40784" s="28"/>
    </row>
    <row r="40785">
      <c r="N40785" s="28"/>
      <c r="O40785" s="28"/>
      <c r="U40785" s="28"/>
    </row>
    <row r="40786">
      <c r="N40786" s="28"/>
      <c r="O40786" s="28"/>
      <c r="U40786" s="28"/>
    </row>
    <row r="40787">
      <c r="N40787" s="28"/>
      <c r="O40787" s="28"/>
      <c r="U40787" s="28"/>
    </row>
    <row r="40788">
      <c r="N40788" s="28"/>
      <c r="O40788" s="28"/>
      <c r="U40788" s="28"/>
    </row>
    <row r="40789">
      <c r="N40789" s="28"/>
      <c r="O40789" s="28"/>
      <c r="U40789" s="28"/>
    </row>
    <row r="40790">
      <c r="N40790" s="28"/>
      <c r="O40790" s="28"/>
      <c r="U40790" s="28"/>
    </row>
    <row r="40791">
      <c r="N40791" s="28"/>
      <c r="O40791" s="28"/>
      <c r="U40791" s="28"/>
    </row>
    <row r="40792">
      <c r="N40792" s="28"/>
      <c r="O40792" s="28"/>
      <c r="U40792" s="28"/>
    </row>
    <row r="40793">
      <c r="N40793" s="28"/>
      <c r="O40793" s="28"/>
      <c r="U40793" s="28"/>
    </row>
    <row r="40794">
      <c r="N40794" s="28"/>
      <c r="O40794" s="28"/>
      <c r="U40794" s="28"/>
    </row>
    <row r="40795">
      <c r="N40795" s="28"/>
      <c r="O40795" s="28"/>
      <c r="U40795" s="28"/>
    </row>
    <row r="40796">
      <c r="N40796" s="28"/>
      <c r="O40796" s="28"/>
      <c r="U40796" s="28"/>
    </row>
    <row r="40797">
      <c r="N40797" s="28"/>
      <c r="O40797" s="28"/>
      <c r="U40797" s="28"/>
    </row>
    <row r="40798">
      <c r="N40798" s="28"/>
      <c r="O40798" s="28"/>
      <c r="U40798" s="28"/>
    </row>
    <row r="40799">
      <c r="N40799" s="28"/>
      <c r="O40799" s="28"/>
      <c r="U40799" s="28"/>
    </row>
    <row r="40800">
      <c r="N40800" s="28"/>
      <c r="O40800" s="28"/>
      <c r="U40800" s="28"/>
    </row>
    <row r="40801">
      <c r="N40801" s="28"/>
      <c r="O40801" s="28"/>
      <c r="U40801" s="28"/>
    </row>
    <row r="40802">
      <c r="N40802" s="28"/>
      <c r="O40802" s="28"/>
      <c r="U40802" s="28"/>
    </row>
    <row r="40803">
      <c r="N40803" s="28"/>
      <c r="O40803" s="28"/>
      <c r="U40803" s="28"/>
    </row>
    <row r="40804">
      <c r="N40804" s="28"/>
      <c r="O40804" s="28"/>
      <c r="U40804" s="28"/>
    </row>
    <row r="40805">
      <c r="N40805" s="28"/>
      <c r="O40805" s="28"/>
      <c r="U40805" s="28"/>
    </row>
    <row r="40806">
      <c r="N40806" s="28"/>
      <c r="O40806" s="28"/>
      <c r="U40806" s="28"/>
    </row>
    <row r="40807">
      <c r="N40807" s="28"/>
      <c r="O40807" s="28"/>
      <c r="U40807" s="28"/>
    </row>
    <row r="40808">
      <c r="N40808" s="28"/>
      <c r="O40808" s="28"/>
      <c r="U40808" s="28"/>
    </row>
    <row r="40809">
      <c r="N40809" s="28"/>
      <c r="O40809" s="28"/>
      <c r="U40809" s="28"/>
    </row>
    <row r="40810">
      <c r="N40810" s="28"/>
      <c r="O40810" s="28"/>
      <c r="U40810" s="28"/>
    </row>
    <row r="40811">
      <c r="N40811" s="28"/>
      <c r="O40811" s="28"/>
      <c r="U40811" s="28"/>
    </row>
    <row r="40812">
      <c r="N40812" s="28"/>
      <c r="O40812" s="28"/>
      <c r="U40812" s="28"/>
    </row>
    <row r="40813">
      <c r="N40813" s="28"/>
      <c r="O40813" s="28"/>
      <c r="U40813" s="28"/>
    </row>
    <row r="40814">
      <c r="N40814" s="28"/>
      <c r="O40814" s="28"/>
      <c r="U40814" s="28"/>
    </row>
    <row r="40815">
      <c r="N40815" s="28"/>
      <c r="O40815" s="28"/>
      <c r="U40815" s="28"/>
    </row>
    <row r="40816">
      <c r="N40816" s="28"/>
      <c r="O40816" s="28"/>
      <c r="U40816" s="28"/>
    </row>
    <row r="40817">
      <c r="N40817" s="28"/>
      <c r="O40817" s="28"/>
      <c r="U40817" s="28"/>
    </row>
    <row r="40818">
      <c r="N40818" s="28"/>
      <c r="O40818" s="28"/>
      <c r="U40818" s="28"/>
    </row>
    <row r="40819">
      <c r="N40819" s="28"/>
      <c r="O40819" s="28"/>
      <c r="U40819" s="28"/>
    </row>
    <row r="40820">
      <c r="N40820" s="28"/>
      <c r="O40820" s="28"/>
      <c r="U40820" s="28"/>
    </row>
    <row r="40821">
      <c r="N40821" s="28"/>
      <c r="O40821" s="28"/>
      <c r="U40821" s="28"/>
    </row>
    <row r="40822">
      <c r="N40822" s="28"/>
      <c r="O40822" s="28"/>
      <c r="U40822" s="28"/>
    </row>
    <row r="40823">
      <c r="N40823" s="28"/>
      <c r="O40823" s="28"/>
      <c r="U40823" s="28"/>
    </row>
    <row r="40824">
      <c r="N40824" s="28"/>
      <c r="O40824" s="28"/>
      <c r="U40824" s="28"/>
    </row>
    <row r="40825">
      <c r="N40825" s="28"/>
      <c r="O40825" s="28"/>
      <c r="U40825" s="28"/>
    </row>
    <row r="40826">
      <c r="N40826" s="28"/>
      <c r="O40826" s="28"/>
      <c r="U40826" s="28"/>
    </row>
    <row r="40827">
      <c r="N40827" s="28"/>
      <c r="O40827" s="28"/>
      <c r="U40827" s="28"/>
    </row>
    <row r="40828">
      <c r="N40828" s="28"/>
      <c r="O40828" s="28"/>
      <c r="U40828" s="28"/>
    </row>
    <row r="40829">
      <c r="N40829" s="28"/>
      <c r="O40829" s="28"/>
      <c r="U40829" s="28"/>
    </row>
    <row r="40830">
      <c r="N40830" s="28"/>
      <c r="O40830" s="28"/>
      <c r="U40830" s="28"/>
    </row>
    <row r="40831">
      <c r="N40831" s="28"/>
      <c r="O40831" s="28"/>
      <c r="U40831" s="28"/>
    </row>
    <row r="40832">
      <c r="N40832" s="28"/>
      <c r="O40832" s="28"/>
      <c r="U40832" s="28"/>
    </row>
    <row r="40833">
      <c r="N40833" s="28"/>
      <c r="O40833" s="28"/>
      <c r="U40833" s="28"/>
    </row>
    <row r="40834">
      <c r="N40834" s="28"/>
      <c r="O40834" s="28"/>
      <c r="U40834" s="28"/>
    </row>
    <row r="40835">
      <c r="N40835" s="28"/>
      <c r="O40835" s="28"/>
      <c r="U40835" s="28"/>
    </row>
    <row r="40836">
      <c r="N40836" s="28"/>
      <c r="O40836" s="28"/>
      <c r="U40836" s="28"/>
    </row>
    <row r="40837">
      <c r="N40837" s="28"/>
      <c r="O40837" s="28"/>
      <c r="U40837" s="28"/>
    </row>
    <row r="40838">
      <c r="N40838" s="28"/>
      <c r="O40838" s="28"/>
      <c r="U40838" s="28"/>
    </row>
    <row r="40839">
      <c r="N40839" s="28"/>
      <c r="O40839" s="28"/>
      <c r="U40839" s="28"/>
    </row>
    <row r="40840">
      <c r="N40840" s="28"/>
      <c r="O40840" s="28"/>
      <c r="U40840" s="28"/>
    </row>
    <row r="40841">
      <c r="N40841" s="28"/>
      <c r="O40841" s="28"/>
      <c r="U40841" s="28"/>
    </row>
    <row r="40842">
      <c r="N40842" s="28"/>
      <c r="O40842" s="28"/>
      <c r="U40842" s="28"/>
    </row>
    <row r="40843">
      <c r="N40843" s="28"/>
      <c r="O40843" s="28"/>
      <c r="U40843" s="28"/>
    </row>
    <row r="40844">
      <c r="N40844" s="28"/>
      <c r="O40844" s="28"/>
      <c r="U40844" s="28"/>
    </row>
    <row r="40845">
      <c r="N40845" s="28"/>
      <c r="O40845" s="28"/>
      <c r="U40845" s="28"/>
    </row>
    <row r="40846">
      <c r="N40846" s="28"/>
      <c r="O40846" s="28"/>
      <c r="U40846" s="28"/>
    </row>
    <row r="40847">
      <c r="N40847" s="28"/>
      <c r="O40847" s="28"/>
      <c r="U40847" s="28"/>
    </row>
    <row r="40848">
      <c r="N40848" s="28"/>
      <c r="O40848" s="28"/>
      <c r="U40848" s="28"/>
    </row>
    <row r="40849">
      <c r="N40849" s="28"/>
      <c r="O40849" s="28"/>
      <c r="U40849" s="28"/>
    </row>
    <row r="40850">
      <c r="N40850" s="28"/>
      <c r="O40850" s="28"/>
      <c r="U40850" s="28"/>
    </row>
    <row r="40851">
      <c r="N40851" s="28"/>
      <c r="O40851" s="28"/>
      <c r="U40851" s="28"/>
    </row>
    <row r="40852">
      <c r="N40852" s="28"/>
      <c r="O40852" s="28"/>
      <c r="U40852" s="28"/>
    </row>
    <row r="40853">
      <c r="N40853" s="28"/>
      <c r="O40853" s="28"/>
      <c r="U40853" s="28"/>
    </row>
    <row r="40854">
      <c r="N40854" s="28"/>
      <c r="O40854" s="28"/>
      <c r="U40854" s="28"/>
    </row>
    <row r="40855">
      <c r="N40855" s="28"/>
      <c r="O40855" s="28"/>
      <c r="U40855" s="28"/>
    </row>
    <row r="40856">
      <c r="N40856" s="28"/>
      <c r="O40856" s="28"/>
      <c r="U40856" s="28"/>
    </row>
    <row r="40857">
      <c r="N40857" s="28"/>
      <c r="O40857" s="28"/>
      <c r="U40857" s="28"/>
    </row>
    <row r="40858">
      <c r="N40858" s="28"/>
      <c r="O40858" s="28"/>
      <c r="U40858" s="28"/>
    </row>
    <row r="40859">
      <c r="N40859" s="28"/>
      <c r="O40859" s="28"/>
      <c r="U40859" s="28"/>
    </row>
    <row r="40860">
      <c r="N40860" s="28"/>
      <c r="O40860" s="28"/>
      <c r="U40860" s="28"/>
    </row>
    <row r="40861">
      <c r="N40861" s="28"/>
      <c r="O40861" s="28"/>
      <c r="U40861" s="28"/>
    </row>
    <row r="40862">
      <c r="N40862" s="28"/>
      <c r="O40862" s="28"/>
      <c r="U40862" s="28"/>
    </row>
    <row r="40863">
      <c r="N40863" s="28"/>
      <c r="O40863" s="28"/>
      <c r="U40863" s="28"/>
    </row>
    <row r="40864">
      <c r="N40864" s="28"/>
      <c r="O40864" s="28"/>
      <c r="U40864" s="28"/>
    </row>
    <row r="40865">
      <c r="N40865" s="28"/>
      <c r="O40865" s="28"/>
      <c r="U40865" s="28"/>
    </row>
    <row r="40866">
      <c r="N40866" s="28"/>
      <c r="O40866" s="28"/>
      <c r="U40866" s="28"/>
    </row>
    <row r="40867">
      <c r="N40867" s="28"/>
      <c r="O40867" s="28"/>
      <c r="U40867" s="28"/>
    </row>
    <row r="40868">
      <c r="N40868" s="28"/>
      <c r="O40868" s="28"/>
      <c r="U40868" s="28"/>
    </row>
    <row r="40869">
      <c r="N40869" s="28"/>
      <c r="O40869" s="28"/>
      <c r="U40869" s="28"/>
    </row>
    <row r="40870">
      <c r="N40870" s="28"/>
      <c r="O40870" s="28"/>
      <c r="U40870" s="28"/>
    </row>
    <row r="40871">
      <c r="N40871" s="28"/>
      <c r="O40871" s="28"/>
      <c r="U40871" s="28"/>
    </row>
    <row r="40872">
      <c r="N40872" s="28"/>
      <c r="O40872" s="28"/>
      <c r="U40872" s="28"/>
    </row>
    <row r="40873">
      <c r="N40873" s="28"/>
      <c r="O40873" s="28"/>
      <c r="U40873" s="28"/>
    </row>
    <row r="40874">
      <c r="N40874" s="28"/>
      <c r="O40874" s="28"/>
      <c r="U40874" s="28"/>
    </row>
    <row r="40875">
      <c r="N40875" s="28"/>
      <c r="O40875" s="28"/>
      <c r="U40875" s="28"/>
    </row>
    <row r="40876">
      <c r="N40876" s="28"/>
      <c r="O40876" s="28"/>
      <c r="U40876" s="28"/>
    </row>
    <row r="40877">
      <c r="N40877" s="28"/>
      <c r="O40877" s="28"/>
      <c r="U40877" s="28"/>
    </row>
    <row r="40878">
      <c r="N40878" s="28"/>
      <c r="O40878" s="28"/>
      <c r="U40878" s="28"/>
    </row>
    <row r="40879">
      <c r="N40879" s="28"/>
      <c r="O40879" s="28"/>
      <c r="U40879" s="28"/>
    </row>
    <row r="40880">
      <c r="N40880" s="28"/>
      <c r="O40880" s="28"/>
      <c r="U40880" s="28"/>
    </row>
    <row r="40881">
      <c r="N40881" s="28"/>
      <c r="O40881" s="28"/>
      <c r="U40881" s="28"/>
    </row>
    <row r="40882">
      <c r="N40882" s="28"/>
      <c r="O40882" s="28"/>
      <c r="U40882" s="28"/>
    </row>
    <row r="40883">
      <c r="N40883" s="28"/>
      <c r="O40883" s="28"/>
      <c r="U40883" s="28"/>
    </row>
    <row r="40884">
      <c r="N40884" s="28"/>
      <c r="O40884" s="28"/>
      <c r="U40884" s="28"/>
    </row>
    <row r="40885">
      <c r="N40885" s="28"/>
      <c r="O40885" s="28"/>
      <c r="U40885" s="28"/>
    </row>
    <row r="40886">
      <c r="N40886" s="28"/>
      <c r="O40886" s="28"/>
      <c r="U40886" s="28"/>
    </row>
    <row r="40887">
      <c r="N40887" s="28"/>
      <c r="O40887" s="28"/>
      <c r="U40887" s="28"/>
    </row>
    <row r="40888">
      <c r="N40888" s="28"/>
      <c r="O40888" s="28"/>
      <c r="U40888" s="28"/>
    </row>
    <row r="40889">
      <c r="N40889" s="28"/>
      <c r="O40889" s="28"/>
      <c r="U40889" s="28"/>
    </row>
    <row r="40890">
      <c r="N40890" s="28"/>
      <c r="O40890" s="28"/>
      <c r="U40890" s="28"/>
    </row>
    <row r="40891">
      <c r="N40891" s="28"/>
      <c r="O40891" s="28"/>
      <c r="U40891" s="28"/>
    </row>
    <row r="40892">
      <c r="N40892" s="28"/>
      <c r="O40892" s="28"/>
      <c r="U40892" s="28"/>
    </row>
    <row r="40893">
      <c r="N40893" s="28"/>
      <c r="O40893" s="28"/>
      <c r="U40893" s="28"/>
    </row>
    <row r="40894">
      <c r="N40894" s="28"/>
      <c r="O40894" s="28"/>
      <c r="U40894" s="28"/>
    </row>
    <row r="40895">
      <c r="N40895" s="28"/>
      <c r="O40895" s="28"/>
      <c r="U40895" s="28"/>
    </row>
    <row r="40896">
      <c r="N40896" s="28"/>
      <c r="O40896" s="28"/>
      <c r="U40896" s="28"/>
    </row>
    <row r="40897">
      <c r="N40897" s="28"/>
      <c r="O40897" s="28"/>
      <c r="U40897" s="28"/>
    </row>
    <row r="40898">
      <c r="N40898" s="28"/>
      <c r="O40898" s="28"/>
      <c r="U40898" s="28"/>
    </row>
    <row r="40899">
      <c r="N40899" s="28"/>
      <c r="O40899" s="28"/>
      <c r="U40899" s="28"/>
    </row>
    <row r="40900">
      <c r="N40900" s="28"/>
      <c r="O40900" s="28"/>
      <c r="U40900" s="28"/>
    </row>
    <row r="40901">
      <c r="N40901" s="28"/>
      <c r="O40901" s="28"/>
      <c r="U40901" s="28"/>
    </row>
    <row r="40902">
      <c r="N40902" s="28"/>
      <c r="O40902" s="28"/>
      <c r="U40902" s="28"/>
    </row>
    <row r="40903">
      <c r="N40903" s="28"/>
      <c r="O40903" s="28"/>
      <c r="U40903" s="28"/>
    </row>
    <row r="40904">
      <c r="N40904" s="28"/>
      <c r="O40904" s="28"/>
      <c r="U40904" s="28"/>
    </row>
    <row r="40905">
      <c r="N40905" s="28"/>
      <c r="O40905" s="28"/>
      <c r="U40905" s="28"/>
    </row>
    <row r="40906">
      <c r="N40906" s="28"/>
      <c r="O40906" s="28"/>
      <c r="U40906" s="28"/>
    </row>
    <row r="40907">
      <c r="N40907" s="28"/>
      <c r="O40907" s="28"/>
      <c r="U40907" s="28"/>
    </row>
    <row r="40908">
      <c r="N40908" s="28"/>
      <c r="O40908" s="28"/>
      <c r="U40908" s="28"/>
    </row>
    <row r="40909">
      <c r="N40909" s="28"/>
      <c r="O40909" s="28"/>
      <c r="U40909" s="28"/>
    </row>
    <row r="40910">
      <c r="N40910" s="28"/>
      <c r="O40910" s="28"/>
      <c r="U40910" s="28"/>
    </row>
    <row r="40911">
      <c r="N40911" s="28"/>
      <c r="O40911" s="28"/>
      <c r="U40911" s="28"/>
    </row>
    <row r="40912">
      <c r="N40912" s="28"/>
      <c r="O40912" s="28"/>
      <c r="U40912" s="28"/>
    </row>
    <row r="40913">
      <c r="N40913" s="28"/>
      <c r="O40913" s="28"/>
      <c r="U40913" s="28"/>
    </row>
    <row r="40914">
      <c r="N40914" s="28"/>
      <c r="O40914" s="28"/>
      <c r="U40914" s="28"/>
    </row>
    <row r="40915">
      <c r="N40915" s="28"/>
      <c r="O40915" s="28"/>
      <c r="U40915" s="28"/>
    </row>
    <row r="40916">
      <c r="N40916" s="28"/>
      <c r="O40916" s="28"/>
      <c r="U40916" s="28"/>
    </row>
    <row r="40917">
      <c r="N40917" s="28"/>
      <c r="O40917" s="28"/>
      <c r="U40917" s="28"/>
    </row>
    <row r="40918">
      <c r="N40918" s="28"/>
      <c r="O40918" s="28"/>
      <c r="U40918" s="28"/>
    </row>
    <row r="40919">
      <c r="N40919" s="28"/>
      <c r="O40919" s="28"/>
      <c r="U40919" s="28"/>
    </row>
    <row r="40920">
      <c r="N40920" s="28"/>
      <c r="O40920" s="28"/>
      <c r="U40920" s="28"/>
    </row>
    <row r="40921">
      <c r="N40921" s="28"/>
      <c r="O40921" s="28"/>
      <c r="U40921" s="28"/>
    </row>
    <row r="40922">
      <c r="N40922" s="28"/>
      <c r="O40922" s="28"/>
      <c r="U40922" s="28"/>
    </row>
    <row r="40923">
      <c r="N40923" s="28"/>
      <c r="O40923" s="28"/>
      <c r="U40923" s="28"/>
    </row>
    <row r="40924">
      <c r="N40924" s="28"/>
      <c r="O40924" s="28"/>
      <c r="U40924" s="28"/>
    </row>
    <row r="40925">
      <c r="N40925" s="28"/>
      <c r="O40925" s="28"/>
      <c r="U40925" s="28"/>
    </row>
    <row r="40926">
      <c r="N40926" s="28"/>
      <c r="O40926" s="28"/>
      <c r="U40926" s="28"/>
    </row>
    <row r="40927">
      <c r="N40927" s="28"/>
      <c r="O40927" s="28"/>
      <c r="U40927" s="28"/>
    </row>
    <row r="40928">
      <c r="N40928" s="28"/>
      <c r="O40928" s="28"/>
      <c r="U40928" s="28"/>
    </row>
    <row r="40929">
      <c r="N40929" s="28"/>
      <c r="O40929" s="28"/>
      <c r="U40929" s="28"/>
    </row>
    <row r="40930">
      <c r="N40930" s="28"/>
      <c r="O40930" s="28"/>
      <c r="U40930" s="28"/>
    </row>
    <row r="40931">
      <c r="N40931" s="28"/>
      <c r="O40931" s="28"/>
      <c r="U40931" s="28"/>
    </row>
    <row r="40932">
      <c r="N40932" s="28"/>
      <c r="O40932" s="28"/>
      <c r="U40932" s="28"/>
    </row>
    <row r="40933">
      <c r="N40933" s="28"/>
      <c r="O40933" s="28"/>
      <c r="U40933" s="28"/>
    </row>
    <row r="40934">
      <c r="N40934" s="28"/>
      <c r="O40934" s="28"/>
      <c r="U40934" s="28"/>
    </row>
    <row r="40935">
      <c r="N40935" s="28"/>
      <c r="O40935" s="28"/>
      <c r="U40935" s="28"/>
    </row>
    <row r="40936">
      <c r="N40936" s="28"/>
      <c r="O40936" s="28"/>
      <c r="U40936" s="28"/>
    </row>
    <row r="40937">
      <c r="N40937" s="28"/>
      <c r="O40937" s="28"/>
      <c r="U40937" s="28"/>
    </row>
    <row r="40938">
      <c r="N40938" s="28"/>
      <c r="O40938" s="28"/>
      <c r="U40938" s="28"/>
    </row>
    <row r="40939">
      <c r="N40939" s="28"/>
      <c r="O40939" s="28"/>
      <c r="U40939" s="28"/>
    </row>
    <row r="40940">
      <c r="N40940" s="28"/>
      <c r="O40940" s="28"/>
      <c r="U40940" s="28"/>
    </row>
    <row r="40941">
      <c r="N40941" s="28"/>
      <c r="O40941" s="28"/>
      <c r="U40941" s="28"/>
    </row>
    <row r="40942">
      <c r="N40942" s="28"/>
      <c r="O40942" s="28"/>
      <c r="U40942" s="28"/>
    </row>
    <row r="40943">
      <c r="N40943" s="28"/>
      <c r="O40943" s="28"/>
      <c r="U40943" s="28"/>
    </row>
    <row r="40944">
      <c r="N40944" s="28"/>
      <c r="O40944" s="28"/>
      <c r="U40944" s="28"/>
    </row>
    <row r="40945">
      <c r="N40945" s="28"/>
      <c r="O40945" s="28"/>
      <c r="U40945" s="28"/>
    </row>
    <row r="40946">
      <c r="N40946" s="28"/>
      <c r="O40946" s="28"/>
      <c r="U40946" s="28"/>
    </row>
    <row r="40947">
      <c r="N40947" s="28"/>
      <c r="O40947" s="28"/>
      <c r="U40947" s="28"/>
    </row>
    <row r="40948">
      <c r="N40948" s="28"/>
      <c r="O40948" s="28"/>
      <c r="U40948" s="28"/>
    </row>
    <row r="40949">
      <c r="N40949" s="28"/>
      <c r="O40949" s="28"/>
      <c r="U40949" s="28"/>
    </row>
    <row r="40950">
      <c r="N40950" s="28"/>
      <c r="O40950" s="28"/>
      <c r="U40950" s="28"/>
    </row>
    <row r="40951">
      <c r="N40951" s="28"/>
      <c r="O40951" s="28"/>
      <c r="U40951" s="28"/>
    </row>
    <row r="40952">
      <c r="N40952" s="28"/>
      <c r="O40952" s="28"/>
      <c r="U40952" s="28"/>
    </row>
    <row r="40953">
      <c r="N40953" s="28"/>
      <c r="O40953" s="28"/>
      <c r="U40953" s="28"/>
    </row>
    <row r="40954">
      <c r="N40954" s="28"/>
      <c r="O40954" s="28"/>
      <c r="U40954" s="28"/>
    </row>
    <row r="40955">
      <c r="N40955" s="28"/>
      <c r="O40955" s="28"/>
      <c r="U40955" s="28"/>
    </row>
    <row r="40956">
      <c r="N40956" s="28"/>
      <c r="O40956" s="28"/>
      <c r="U40956" s="28"/>
    </row>
    <row r="40957">
      <c r="N40957" s="28"/>
      <c r="O40957" s="28"/>
      <c r="U40957" s="28"/>
    </row>
    <row r="40958">
      <c r="N40958" s="28"/>
      <c r="O40958" s="28"/>
      <c r="U40958" s="28"/>
    </row>
    <row r="40959">
      <c r="N40959" s="28"/>
      <c r="O40959" s="28"/>
      <c r="U40959" s="28"/>
    </row>
    <row r="40960">
      <c r="N40960" s="28"/>
      <c r="O40960" s="28"/>
      <c r="U40960" s="28"/>
    </row>
    <row r="40961">
      <c r="N40961" s="28"/>
      <c r="O40961" s="28"/>
      <c r="U40961" s="28"/>
    </row>
    <row r="40962">
      <c r="N40962" s="28"/>
      <c r="O40962" s="28"/>
      <c r="U40962" s="28"/>
    </row>
    <row r="40963">
      <c r="N40963" s="28"/>
      <c r="O40963" s="28"/>
      <c r="U40963" s="28"/>
    </row>
    <row r="40964">
      <c r="N40964" s="28"/>
      <c r="O40964" s="28"/>
      <c r="U40964" s="28"/>
    </row>
    <row r="40965">
      <c r="N40965" s="28"/>
      <c r="O40965" s="28"/>
      <c r="U40965" s="28"/>
    </row>
    <row r="40966">
      <c r="N40966" s="28"/>
      <c r="O40966" s="28"/>
      <c r="U40966" s="28"/>
    </row>
    <row r="40967">
      <c r="N40967" s="28"/>
      <c r="O40967" s="28"/>
      <c r="U40967" s="28"/>
    </row>
    <row r="40968">
      <c r="N40968" s="28"/>
      <c r="O40968" s="28"/>
      <c r="U40968" s="28"/>
    </row>
    <row r="40969">
      <c r="N40969" s="28"/>
      <c r="O40969" s="28"/>
      <c r="U40969" s="28"/>
    </row>
    <row r="40970">
      <c r="N40970" s="28"/>
      <c r="O40970" s="28"/>
      <c r="U40970" s="28"/>
    </row>
    <row r="40971">
      <c r="N40971" s="28"/>
      <c r="O40971" s="28"/>
      <c r="U40971" s="28"/>
    </row>
    <row r="40972">
      <c r="N40972" s="28"/>
      <c r="O40972" s="28"/>
      <c r="U40972" s="28"/>
    </row>
    <row r="40973">
      <c r="N40973" s="28"/>
      <c r="O40973" s="28"/>
      <c r="U40973" s="28"/>
    </row>
    <row r="40974">
      <c r="N40974" s="28"/>
      <c r="O40974" s="28"/>
      <c r="U40974" s="28"/>
    </row>
    <row r="40975">
      <c r="N40975" s="28"/>
      <c r="O40975" s="28"/>
      <c r="U40975" s="28"/>
    </row>
    <row r="40976">
      <c r="N40976" s="28"/>
      <c r="O40976" s="28"/>
      <c r="U40976" s="28"/>
    </row>
    <row r="40977">
      <c r="N40977" s="28"/>
      <c r="O40977" s="28"/>
      <c r="U40977" s="28"/>
    </row>
    <row r="40978">
      <c r="N40978" s="28"/>
      <c r="O40978" s="28"/>
      <c r="U40978" s="28"/>
    </row>
    <row r="40979">
      <c r="N40979" s="28"/>
      <c r="O40979" s="28"/>
      <c r="U40979" s="28"/>
    </row>
    <row r="40980">
      <c r="N40980" s="28"/>
      <c r="O40980" s="28"/>
      <c r="U40980" s="28"/>
    </row>
    <row r="40981">
      <c r="N40981" s="28"/>
      <c r="O40981" s="28"/>
      <c r="U40981" s="28"/>
    </row>
    <row r="40982">
      <c r="N40982" s="28"/>
      <c r="O40982" s="28"/>
      <c r="U40982" s="28"/>
    </row>
    <row r="40983">
      <c r="N40983" s="28"/>
      <c r="O40983" s="28"/>
      <c r="U40983" s="28"/>
    </row>
    <row r="40984">
      <c r="N40984" s="28"/>
      <c r="O40984" s="28"/>
      <c r="U40984" s="28"/>
    </row>
    <row r="40985">
      <c r="N40985" s="28"/>
      <c r="O40985" s="28"/>
      <c r="U40985" s="28"/>
    </row>
    <row r="40986">
      <c r="N40986" s="28"/>
      <c r="O40986" s="28"/>
      <c r="U40986" s="28"/>
    </row>
    <row r="40987">
      <c r="N40987" s="28"/>
      <c r="O40987" s="28"/>
      <c r="U40987" s="28"/>
    </row>
    <row r="40988">
      <c r="N40988" s="28"/>
      <c r="O40988" s="28"/>
      <c r="U40988" s="28"/>
    </row>
    <row r="40989">
      <c r="N40989" s="28"/>
      <c r="O40989" s="28"/>
      <c r="U40989" s="28"/>
    </row>
    <row r="40990">
      <c r="N40990" s="28"/>
      <c r="O40990" s="28"/>
      <c r="U40990" s="28"/>
    </row>
    <row r="40991">
      <c r="N40991" s="28"/>
      <c r="O40991" s="28"/>
      <c r="U40991" s="28"/>
    </row>
    <row r="40992">
      <c r="N40992" s="28"/>
      <c r="O40992" s="28"/>
      <c r="U40992" s="28"/>
    </row>
    <row r="40993">
      <c r="N40993" s="28"/>
      <c r="O40993" s="28"/>
      <c r="U40993" s="28"/>
    </row>
    <row r="40994">
      <c r="N40994" s="28"/>
      <c r="O40994" s="28"/>
      <c r="U40994" s="28"/>
    </row>
    <row r="40995">
      <c r="N40995" s="28"/>
      <c r="O40995" s="28"/>
      <c r="U40995" s="28"/>
    </row>
    <row r="40996">
      <c r="N40996" s="28"/>
      <c r="O40996" s="28"/>
      <c r="U40996" s="28"/>
    </row>
    <row r="40997">
      <c r="N40997" s="28"/>
      <c r="O40997" s="28"/>
      <c r="U40997" s="28"/>
    </row>
    <row r="40998">
      <c r="N40998" s="28"/>
      <c r="O40998" s="28"/>
      <c r="U40998" s="28"/>
    </row>
    <row r="40999">
      <c r="N40999" s="28"/>
      <c r="O40999" s="28"/>
      <c r="U40999" s="28"/>
    </row>
    <row r="41000">
      <c r="N41000" s="28"/>
      <c r="O41000" s="28"/>
      <c r="U41000" s="28"/>
    </row>
    <row r="41001">
      <c r="N41001" s="28"/>
      <c r="O41001" s="28"/>
      <c r="U41001" s="28"/>
    </row>
    <row r="41002">
      <c r="N41002" s="28"/>
      <c r="O41002" s="28"/>
      <c r="U41002" s="28"/>
    </row>
    <row r="41003">
      <c r="N41003" s="28"/>
      <c r="O41003" s="28"/>
      <c r="U41003" s="28"/>
    </row>
    <row r="41004">
      <c r="N41004" s="28"/>
      <c r="O41004" s="28"/>
      <c r="U41004" s="28"/>
    </row>
    <row r="41005">
      <c r="N41005" s="28"/>
      <c r="O41005" s="28"/>
      <c r="U41005" s="28"/>
    </row>
    <row r="41006">
      <c r="N41006" s="28"/>
      <c r="O41006" s="28"/>
      <c r="U41006" s="28"/>
    </row>
    <row r="41007">
      <c r="N41007" s="28"/>
      <c r="O41007" s="28"/>
      <c r="U41007" s="28"/>
    </row>
    <row r="41008">
      <c r="N41008" s="28"/>
      <c r="O41008" s="28"/>
      <c r="U41008" s="28"/>
    </row>
    <row r="41009">
      <c r="N41009" s="28"/>
      <c r="O41009" s="28"/>
      <c r="U41009" s="28"/>
    </row>
    <row r="41010">
      <c r="N41010" s="28"/>
      <c r="O41010" s="28"/>
      <c r="U41010" s="28"/>
    </row>
    <row r="41011">
      <c r="N41011" s="28"/>
      <c r="O41011" s="28"/>
      <c r="U41011" s="28"/>
    </row>
    <row r="41012">
      <c r="N41012" s="28"/>
      <c r="O41012" s="28"/>
      <c r="U41012" s="28"/>
    </row>
    <row r="41013">
      <c r="N41013" s="28"/>
      <c r="O41013" s="28"/>
      <c r="U41013" s="28"/>
    </row>
    <row r="41014">
      <c r="N41014" s="28"/>
      <c r="O41014" s="28"/>
      <c r="U41014" s="28"/>
    </row>
    <row r="41015">
      <c r="N41015" s="28"/>
      <c r="O41015" s="28"/>
      <c r="U41015" s="28"/>
    </row>
    <row r="41016">
      <c r="N41016" s="28"/>
      <c r="O41016" s="28"/>
      <c r="U41016" s="28"/>
    </row>
    <row r="41017">
      <c r="N41017" s="28"/>
      <c r="O41017" s="28"/>
      <c r="U41017" s="28"/>
    </row>
    <row r="41018">
      <c r="N41018" s="28"/>
      <c r="O41018" s="28"/>
      <c r="U41018" s="28"/>
    </row>
    <row r="41019">
      <c r="N41019" s="28"/>
      <c r="O41019" s="28"/>
      <c r="U41019" s="28"/>
    </row>
    <row r="41020">
      <c r="N41020" s="28"/>
      <c r="O41020" s="28"/>
      <c r="U41020" s="28"/>
    </row>
    <row r="41021">
      <c r="N41021" s="28"/>
      <c r="O41021" s="28"/>
      <c r="U41021" s="28"/>
    </row>
    <row r="41022">
      <c r="N41022" s="28"/>
      <c r="O41022" s="28"/>
      <c r="U41022" s="28"/>
    </row>
    <row r="41023">
      <c r="N41023" s="28"/>
      <c r="O41023" s="28"/>
      <c r="U41023" s="28"/>
    </row>
    <row r="41024">
      <c r="N41024" s="28"/>
      <c r="O41024" s="28"/>
      <c r="U41024" s="28"/>
    </row>
    <row r="41025">
      <c r="N41025" s="28"/>
      <c r="O41025" s="28"/>
      <c r="U41025" s="28"/>
    </row>
    <row r="41026">
      <c r="N41026" s="28"/>
      <c r="O41026" s="28"/>
      <c r="U41026" s="28"/>
    </row>
    <row r="41027">
      <c r="N41027" s="28"/>
      <c r="O41027" s="28"/>
      <c r="U41027" s="28"/>
    </row>
    <row r="41028">
      <c r="N41028" s="28"/>
      <c r="O41028" s="28"/>
      <c r="U41028" s="28"/>
    </row>
    <row r="41029">
      <c r="N41029" s="28"/>
      <c r="O41029" s="28"/>
      <c r="U41029" s="28"/>
    </row>
    <row r="41030">
      <c r="N41030" s="28"/>
      <c r="O41030" s="28"/>
      <c r="U41030" s="28"/>
    </row>
    <row r="41031">
      <c r="N41031" s="28"/>
      <c r="O41031" s="28"/>
      <c r="U41031" s="28"/>
    </row>
    <row r="41032">
      <c r="N41032" s="28"/>
      <c r="O41032" s="28"/>
      <c r="U41032" s="28"/>
    </row>
    <row r="41033">
      <c r="N41033" s="28"/>
      <c r="O41033" s="28"/>
      <c r="U41033" s="28"/>
    </row>
    <row r="41034">
      <c r="N41034" s="28"/>
      <c r="O41034" s="28"/>
      <c r="U41034" s="28"/>
    </row>
    <row r="41035">
      <c r="N41035" s="28"/>
      <c r="O41035" s="28"/>
      <c r="U41035" s="28"/>
    </row>
    <row r="41036">
      <c r="N41036" s="28"/>
      <c r="O41036" s="28"/>
      <c r="U41036" s="28"/>
    </row>
    <row r="41037">
      <c r="N41037" s="28"/>
      <c r="O41037" s="28"/>
      <c r="U41037" s="28"/>
    </row>
    <row r="41038">
      <c r="N41038" s="28"/>
      <c r="O41038" s="28"/>
      <c r="U41038" s="28"/>
    </row>
    <row r="41039">
      <c r="N41039" s="28"/>
      <c r="O41039" s="28"/>
      <c r="U41039" s="28"/>
    </row>
    <row r="41040">
      <c r="N41040" s="28"/>
      <c r="O41040" s="28"/>
      <c r="U41040" s="28"/>
    </row>
    <row r="41041">
      <c r="N41041" s="28"/>
      <c r="O41041" s="28"/>
      <c r="U41041" s="28"/>
    </row>
    <row r="41042">
      <c r="N41042" s="28"/>
      <c r="O41042" s="28"/>
      <c r="U41042" s="28"/>
    </row>
    <row r="41043">
      <c r="N41043" s="28"/>
      <c r="O41043" s="28"/>
      <c r="U41043" s="28"/>
    </row>
    <row r="41044">
      <c r="N41044" s="28"/>
      <c r="O41044" s="28"/>
      <c r="U41044" s="28"/>
    </row>
    <row r="41045">
      <c r="N41045" s="28"/>
      <c r="O41045" s="28"/>
      <c r="U41045" s="28"/>
    </row>
    <row r="41046">
      <c r="N41046" s="28"/>
      <c r="O41046" s="28"/>
      <c r="U41046" s="28"/>
    </row>
    <row r="41047">
      <c r="N41047" s="28"/>
      <c r="O41047" s="28"/>
      <c r="U41047" s="28"/>
    </row>
    <row r="41048">
      <c r="N41048" s="28"/>
      <c r="O41048" s="28"/>
      <c r="U41048" s="28"/>
    </row>
    <row r="41049">
      <c r="N41049" s="28"/>
      <c r="O41049" s="28"/>
      <c r="U41049" s="28"/>
    </row>
    <row r="41050">
      <c r="N41050" s="28"/>
      <c r="O41050" s="28"/>
      <c r="U41050" s="28"/>
    </row>
    <row r="41051">
      <c r="N41051" s="28"/>
      <c r="O41051" s="28"/>
      <c r="U41051" s="28"/>
    </row>
    <row r="41052">
      <c r="N41052" s="28"/>
      <c r="O41052" s="28"/>
      <c r="U41052" s="28"/>
    </row>
    <row r="41053">
      <c r="N41053" s="28"/>
      <c r="O41053" s="28"/>
      <c r="U41053" s="28"/>
    </row>
    <row r="41054">
      <c r="N41054" s="28"/>
      <c r="O41054" s="28"/>
      <c r="U41054" s="28"/>
    </row>
    <row r="41055">
      <c r="N41055" s="28"/>
      <c r="O41055" s="28"/>
      <c r="U41055" s="28"/>
    </row>
    <row r="41056">
      <c r="N41056" s="28"/>
      <c r="O41056" s="28"/>
      <c r="U41056" s="28"/>
    </row>
    <row r="41057">
      <c r="N41057" s="28"/>
      <c r="O41057" s="28"/>
      <c r="U41057" s="28"/>
    </row>
    <row r="41058">
      <c r="N41058" s="28"/>
      <c r="O41058" s="28"/>
      <c r="U41058" s="28"/>
    </row>
    <row r="41059">
      <c r="N41059" s="28"/>
      <c r="O41059" s="28"/>
      <c r="U41059" s="28"/>
    </row>
    <row r="41060">
      <c r="N41060" s="28"/>
      <c r="O41060" s="28"/>
      <c r="U41060" s="28"/>
    </row>
    <row r="41061">
      <c r="N41061" s="28"/>
      <c r="O41061" s="28"/>
      <c r="U41061" s="28"/>
    </row>
    <row r="41062">
      <c r="N41062" s="28"/>
      <c r="O41062" s="28"/>
      <c r="U41062" s="28"/>
    </row>
    <row r="41063">
      <c r="N41063" s="28"/>
      <c r="O41063" s="28"/>
      <c r="U41063" s="28"/>
    </row>
    <row r="41064">
      <c r="N41064" s="28"/>
      <c r="O41064" s="28"/>
      <c r="U41064" s="28"/>
    </row>
    <row r="41065">
      <c r="N41065" s="28"/>
      <c r="O41065" s="28"/>
      <c r="U41065" s="28"/>
    </row>
    <row r="41066">
      <c r="N41066" s="28"/>
      <c r="O41066" s="28"/>
      <c r="U41066" s="28"/>
    </row>
    <row r="41067">
      <c r="N41067" s="28"/>
      <c r="O41067" s="28"/>
      <c r="U41067" s="28"/>
    </row>
    <row r="41068">
      <c r="N41068" s="28"/>
      <c r="O41068" s="28"/>
      <c r="U41068" s="28"/>
    </row>
    <row r="41069">
      <c r="N41069" s="28"/>
      <c r="O41069" s="28"/>
      <c r="U41069" s="28"/>
    </row>
    <row r="41070">
      <c r="N41070" s="28"/>
      <c r="O41070" s="28"/>
      <c r="U41070" s="28"/>
    </row>
    <row r="41071">
      <c r="N41071" s="28"/>
      <c r="O41071" s="28"/>
      <c r="U41071" s="28"/>
    </row>
    <row r="41072">
      <c r="N41072" s="28"/>
      <c r="O41072" s="28"/>
      <c r="U41072" s="28"/>
    </row>
    <row r="41073">
      <c r="N41073" s="28"/>
      <c r="O41073" s="28"/>
      <c r="U41073" s="28"/>
    </row>
    <row r="41074">
      <c r="N41074" s="28"/>
      <c r="O41074" s="28"/>
      <c r="U41074" s="28"/>
    </row>
    <row r="41075">
      <c r="N41075" s="28"/>
      <c r="O41075" s="28"/>
      <c r="U41075" s="28"/>
    </row>
    <row r="41076">
      <c r="N41076" s="28"/>
      <c r="O41076" s="28"/>
      <c r="U41076" s="28"/>
    </row>
    <row r="41077">
      <c r="N41077" s="28"/>
      <c r="O41077" s="28"/>
      <c r="U41077" s="28"/>
    </row>
    <row r="41078">
      <c r="N41078" s="28"/>
      <c r="O41078" s="28"/>
      <c r="U41078" s="28"/>
    </row>
    <row r="41079">
      <c r="N41079" s="28"/>
      <c r="O41079" s="28"/>
      <c r="U41079" s="28"/>
    </row>
    <row r="41080">
      <c r="N41080" s="28"/>
      <c r="O41080" s="28"/>
      <c r="U41080" s="28"/>
    </row>
    <row r="41081">
      <c r="N41081" s="28"/>
      <c r="O41081" s="28"/>
      <c r="U41081" s="28"/>
    </row>
    <row r="41082">
      <c r="N41082" s="28"/>
      <c r="O41082" s="28"/>
      <c r="U41082" s="28"/>
    </row>
    <row r="41083">
      <c r="N41083" s="28"/>
      <c r="O41083" s="28"/>
      <c r="U41083" s="28"/>
    </row>
    <row r="41084">
      <c r="N41084" s="28"/>
      <c r="O41084" s="28"/>
      <c r="U41084" s="28"/>
    </row>
    <row r="41085">
      <c r="N41085" s="28"/>
      <c r="O41085" s="28"/>
      <c r="U41085" s="28"/>
    </row>
    <row r="41086">
      <c r="N41086" s="28"/>
      <c r="O41086" s="28"/>
      <c r="U41086" s="28"/>
    </row>
    <row r="41087">
      <c r="N41087" s="28"/>
      <c r="O41087" s="28"/>
      <c r="U41087" s="28"/>
    </row>
    <row r="41088">
      <c r="N41088" s="28"/>
      <c r="O41088" s="28"/>
      <c r="U41088" s="28"/>
    </row>
    <row r="41089">
      <c r="N41089" s="28"/>
      <c r="O41089" s="28"/>
      <c r="U41089" s="28"/>
    </row>
    <row r="41090">
      <c r="N41090" s="28"/>
      <c r="O41090" s="28"/>
      <c r="U41090" s="28"/>
    </row>
    <row r="41091">
      <c r="N41091" s="28"/>
      <c r="O41091" s="28"/>
      <c r="U41091" s="28"/>
    </row>
    <row r="41092">
      <c r="N41092" s="28"/>
      <c r="O41092" s="28"/>
      <c r="U41092" s="28"/>
    </row>
    <row r="41093">
      <c r="N41093" s="28"/>
      <c r="O41093" s="28"/>
      <c r="U41093" s="28"/>
    </row>
    <row r="41094">
      <c r="N41094" s="28"/>
      <c r="O41094" s="28"/>
      <c r="U41094" s="28"/>
    </row>
    <row r="41095">
      <c r="N41095" s="28"/>
      <c r="O41095" s="28"/>
      <c r="U41095" s="28"/>
    </row>
    <row r="41096">
      <c r="N41096" s="28"/>
      <c r="O41096" s="28"/>
      <c r="U41096" s="28"/>
    </row>
    <row r="41097">
      <c r="N41097" s="28"/>
      <c r="O41097" s="28"/>
      <c r="U41097" s="28"/>
    </row>
    <row r="41098">
      <c r="N41098" s="28"/>
      <c r="O41098" s="28"/>
      <c r="U41098" s="28"/>
    </row>
    <row r="41099">
      <c r="N41099" s="28"/>
      <c r="O41099" s="28"/>
      <c r="U41099" s="28"/>
    </row>
    <row r="41100">
      <c r="N41100" s="28"/>
      <c r="O41100" s="28"/>
      <c r="U41100" s="28"/>
    </row>
    <row r="41101">
      <c r="N41101" s="28"/>
      <c r="O41101" s="28"/>
      <c r="U41101" s="28"/>
    </row>
    <row r="41102">
      <c r="N41102" s="28"/>
      <c r="O41102" s="28"/>
      <c r="U41102" s="28"/>
    </row>
    <row r="41103">
      <c r="N41103" s="28"/>
      <c r="O41103" s="28"/>
      <c r="U41103" s="28"/>
    </row>
    <row r="41104">
      <c r="N41104" s="28"/>
      <c r="O41104" s="28"/>
      <c r="U41104" s="28"/>
    </row>
    <row r="41105">
      <c r="N41105" s="28"/>
      <c r="O41105" s="28"/>
      <c r="U41105" s="28"/>
    </row>
    <row r="41106">
      <c r="N41106" s="28"/>
      <c r="O41106" s="28"/>
      <c r="U41106" s="28"/>
    </row>
    <row r="41107">
      <c r="N41107" s="28"/>
      <c r="O41107" s="28"/>
      <c r="U41107" s="28"/>
    </row>
    <row r="41108">
      <c r="N41108" s="28"/>
      <c r="O41108" s="28"/>
      <c r="U41108" s="28"/>
    </row>
    <row r="41109">
      <c r="N41109" s="28"/>
      <c r="O41109" s="28"/>
      <c r="U41109" s="28"/>
    </row>
    <row r="41110">
      <c r="N41110" s="28"/>
      <c r="O41110" s="28"/>
      <c r="U41110" s="28"/>
    </row>
    <row r="41111">
      <c r="N41111" s="28"/>
      <c r="O41111" s="28"/>
      <c r="U41111" s="28"/>
    </row>
    <row r="41112">
      <c r="N41112" s="28"/>
      <c r="O41112" s="28"/>
      <c r="U41112" s="28"/>
    </row>
    <row r="41113">
      <c r="N41113" s="28"/>
      <c r="O41113" s="28"/>
      <c r="U41113" s="28"/>
    </row>
    <row r="41114">
      <c r="N41114" s="28"/>
      <c r="O41114" s="28"/>
      <c r="U41114" s="28"/>
    </row>
    <row r="41115">
      <c r="N41115" s="28"/>
      <c r="O41115" s="28"/>
      <c r="U41115" s="28"/>
    </row>
    <row r="41116">
      <c r="N41116" s="28"/>
      <c r="O41116" s="28"/>
      <c r="U41116" s="28"/>
    </row>
    <row r="41117">
      <c r="N41117" s="28"/>
      <c r="O41117" s="28"/>
      <c r="U41117" s="28"/>
    </row>
    <row r="41118">
      <c r="N41118" s="28"/>
      <c r="O41118" s="28"/>
      <c r="U41118" s="28"/>
    </row>
    <row r="41119">
      <c r="N41119" s="28"/>
      <c r="O41119" s="28"/>
      <c r="U41119" s="28"/>
    </row>
    <row r="41120">
      <c r="N41120" s="28"/>
      <c r="O41120" s="28"/>
      <c r="U41120" s="28"/>
    </row>
    <row r="41121">
      <c r="N41121" s="28"/>
      <c r="O41121" s="28"/>
      <c r="U41121" s="28"/>
    </row>
    <row r="41122">
      <c r="N41122" s="28"/>
      <c r="O41122" s="28"/>
      <c r="U41122" s="28"/>
    </row>
    <row r="41123">
      <c r="N41123" s="28"/>
      <c r="O41123" s="28"/>
      <c r="U41123" s="28"/>
    </row>
    <row r="41124">
      <c r="N41124" s="28"/>
      <c r="O41124" s="28"/>
      <c r="U41124" s="28"/>
    </row>
    <row r="41125">
      <c r="N41125" s="28"/>
      <c r="O41125" s="28"/>
      <c r="U41125" s="28"/>
    </row>
    <row r="41126">
      <c r="N41126" s="28"/>
      <c r="O41126" s="28"/>
      <c r="U41126" s="28"/>
    </row>
    <row r="41127">
      <c r="N41127" s="28"/>
      <c r="O41127" s="28"/>
      <c r="U41127" s="28"/>
    </row>
    <row r="41128">
      <c r="N41128" s="28"/>
      <c r="O41128" s="28"/>
      <c r="U41128" s="28"/>
    </row>
    <row r="41129">
      <c r="N41129" s="28"/>
      <c r="O41129" s="28"/>
      <c r="U41129" s="28"/>
    </row>
    <row r="41130">
      <c r="N41130" s="28"/>
      <c r="O41130" s="28"/>
      <c r="U41130" s="28"/>
    </row>
    <row r="41131">
      <c r="N41131" s="28"/>
      <c r="O41131" s="28"/>
      <c r="U41131" s="28"/>
    </row>
    <row r="41132">
      <c r="N41132" s="28"/>
      <c r="O41132" s="28"/>
      <c r="U41132" s="28"/>
    </row>
    <row r="41133">
      <c r="N41133" s="28"/>
      <c r="O41133" s="28"/>
      <c r="U41133" s="28"/>
    </row>
    <row r="41134">
      <c r="N41134" s="28"/>
      <c r="O41134" s="28"/>
      <c r="U41134" s="28"/>
    </row>
    <row r="41135">
      <c r="N41135" s="28"/>
      <c r="O41135" s="28"/>
      <c r="U41135" s="28"/>
    </row>
    <row r="41136">
      <c r="N41136" s="28"/>
      <c r="O41136" s="28"/>
      <c r="U41136" s="28"/>
    </row>
    <row r="41137">
      <c r="N41137" s="28"/>
      <c r="O41137" s="28"/>
      <c r="U41137" s="28"/>
    </row>
    <row r="41138">
      <c r="N41138" s="28"/>
      <c r="O41138" s="28"/>
      <c r="U41138" s="28"/>
    </row>
    <row r="41139">
      <c r="N41139" s="28"/>
      <c r="O41139" s="28"/>
      <c r="U41139" s="28"/>
    </row>
    <row r="41140">
      <c r="N41140" s="28"/>
      <c r="O41140" s="28"/>
      <c r="U41140" s="28"/>
    </row>
    <row r="41141">
      <c r="N41141" s="28"/>
      <c r="O41141" s="28"/>
      <c r="U41141" s="28"/>
    </row>
    <row r="41142">
      <c r="N41142" s="28"/>
      <c r="O41142" s="28"/>
      <c r="U41142" s="28"/>
    </row>
    <row r="41143">
      <c r="N41143" s="28"/>
      <c r="O41143" s="28"/>
      <c r="U41143" s="28"/>
    </row>
    <row r="41144">
      <c r="N41144" s="28"/>
      <c r="O41144" s="28"/>
      <c r="U41144" s="28"/>
    </row>
    <row r="41145">
      <c r="N41145" s="28"/>
      <c r="O41145" s="28"/>
      <c r="U41145" s="28"/>
    </row>
    <row r="41146">
      <c r="N41146" s="28"/>
      <c r="O41146" s="28"/>
      <c r="U41146" s="28"/>
    </row>
    <row r="41147">
      <c r="N41147" s="28"/>
      <c r="O41147" s="28"/>
      <c r="U41147" s="28"/>
    </row>
    <row r="41148">
      <c r="N41148" s="28"/>
      <c r="O41148" s="28"/>
      <c r="U41148" s="28"/>
    </row>
    <row r="41149">
      <c r="N41149" s="28"/>
      <c r="O41149" s="28"/>
      <c r="U41149" s="28"/>
    </row>
    <row r="41150">
      <c r="N41150" s="28"/>
      <c r="O41150" s="28"/>
      <c r="U41150" s="28"/>
    </row>
    <row r="41151">
      <c r="N41151" s="28"/>
      <c r="O41151" s="28"/>
      <c r="U41151" s="28"/>
    </row>
    <row r="41152">
      <c r="N41152" s="28"/>
      <c r="O41152" s="28"/>
      <c r="U41152" s="28"/>
    </row>
    <row r="41153">
      <c r="N41153" s="28"/>
      <c r="O41153" s="28"/>
      <c r="U41153" s="28"/>
    </row>
    <row r="41154">
      <c r="N41154" s="28"/>
      <c r="O41154" s="28"/>
      <c r="U41154" s="28"/>
    </row>
    <row r="41155">
      <c r="N41155" s="28"/>
      <c r="O41155" s="28"/>
      <c r="U41155" s="28"/>
    </row>
    <row r="41156">
      <c r="N41156" s="28"/>
      <c r="O41156" s="28"/>
      <c r="U41156" s="28"/>
    </row>
    <row r="41157">
      <c r="N41157" s="28"/>
      <c r="O41157" s="28"/>
      <c r="U41157" s="28"/>
    </row>
    <row r="41158">
      <c r="N41158" s="28"/>
      <c r="O41158" s="28"/>
      <c r="U41158" s="28"/>
    </row>
    <row r="41159">
      <c r="N41159" s="28"/>
      <c r="O41159" s="28"/>
      <c r="U41159" s="28"/>
    </row>
    <row r="41160">
      <c r="N41160" s="28"/>
      <c r="O41160" s="28"/>
      <c r="U41160" s="28"/>
    </row>
    <row r="41161">
      <c r="N41161" s="28"/>
      <c r="O41161" s="28"/>
      <c r="U41161" s="28"/>
    </row>
    <row r="41162">
      <c r="N41162" s="28"/>
      <c r="O41162" s="28"/>
      <c r="U41162" s="28"/>
    </row>
    <row r="41163">
      <c r="N41163" s="28"/>
      <c r="O41163" s="28"/>
      <c r="U41163" s="28"/>
    </row>
    <row r="41164">
      <c r="N41164" s="28"/>
      <c r="O41164" s="28"/>
      <c r="U41164" s="28"/>
    </row>
    <row r="41165">
      <c r="N41165" s="28"/>
      <c r="O41165" s="28"/>
      <c r="U41165" s="28"/>
    </row>
    <row r="41166">
      <c r="N41166" s="28"/>
      <c r="O41166" s="28"/>
      <c r="U41166" s="28"/>
    </row>
    <row r="41167">
      <c r="N41167" s="28"/>
      <c r="O41167" s="28"/>
      <c r="U41167" s="28"/>
    </row>
    <row r="41168">
      <c r="N41168" s="28"/>
      <c r="O41168" s="28"/>
      <c r="U41168" s="28"/>
    </row>
    <row r="41169">
      <c r="N41169" s="28"/>
      <c r="O41169" s="28"/>
      <c r="U41169" s="28"/>
    </row>
    <row r="41170">
      <c r="N41170" s="28"/>
      <c r="O41170" s="28"/>
      <c r="U41170" s="28"/>
    </row>
    <row r="41171">
      <c r="N41171" s="28"/>
      <c r="O41171" s="28"/>
      <c r="U41171" s="28"/>
    </row>
    <row r="41172">
      <c r="N41172" s="28"/>
      <c r="O41172" s="28"/>
      <c r="U41172" s="28"/>
    </row>
    <row r="41173">
      <c r="N41173" s="28"/>
      <c r="O41173" s="28"/>
      <c r="U41173" s="28"/>
    </row>
    <row r="41174">
      <c r="N41174" s="28"/>
      <c r="O41174" s="28"/>
      <c r="U41174" s="28"/>
    </row>
    <row r="41175">
      <c r="N41175" s="28"/>
      <c r="O41175" s="28"/>
      <c r="U41175" s="28"/>
    </row>
    <row r="41176">
      <c r="N41176" s="28"/>
      <c r="O41176" s="28"/>
      <c r="U41176" s="28"/>
    </row>
    <row r="41177">
      <c r="N41177" s="28"/>
      <c r="O41177" s="28"/>
      <c r="U41177" s="28"/>
    </row>
    <row r="41178">
      <c r="N41178" s="28"/>
      <c r="O41178" s="28"/>
      <c r="U41178" s="28"/>
    </row>
    <row r="41179">
      <c r="N41179" s="28"/>
      <c r="O41179" s="28"/>
      <c r="U41179" s="28"/>
    </row>
    <row r="41180">
      <c r="N41180" s="28"/>
      <c r="O41180" s="28"/>
      <c r="U41180" s="28"/>
    </row>
    <row r="41181">
      <c r="N41181" s="28"/>
      <c r="O41181" s="28"/>
      <c r="U41181" s="28"/>
    </row>
    <row r="41182">
      <c r="N41182" s="28"/>
      <c r="O41182" s="28"/>
      <c r="U41182" s="28"/>
    </row>
    <row r="41183">
      <c r="N41183" s="28"/>
      <c r="O41183" s="28"/>
      <c r="U41183" s="28"/>
    </row>
    <row r="41184">
      <c r="N41184" s="28"/>
      <c r="O41184" s="28"/>
      <c r="U41184" s="28"/>
    </row>
    <row r="41185">
      <c r="N41185" s="28"/>
      <c r="O41185" s="28"/>
      <c r="U41185" s="28"/>
    </row>
    <row r="41186">
      <c r="N41186" s="28"/>
      <c r="O41186" s="28"/>
      <c r="U41186" s="28"/>
    </row>
    <row r="41187">
      <c r="N41187" s="28"/>
      <c r="O41187" s="28"/>
      <c r="U41187" s="28"/>
    </row>
    <row r="41188">
      <c r="N41188" s="28"/>
      <c r="O41188" s="28"/>
      <c r="U41188" s="28"/>
    </row>
    <row r="41189">
      <c r="N41189" s="28"/>
      <c r="O41189" s="28"/>
      <c r="U41189" s="28"/>
    </row>
    <row r="41190">
      <c r="N41190" s="28"/>
      <c r="O41190" s="28"/>
      <c r="U41190" s="28"/>
    </row>
    <row r="41191">
      <c r="N41191" s="28"/>
      <c r="O41191" s="28"/>
      <c r="U41191" s="28"/>
    </row>
    <row r="41192">
      <c r="N41192" s="28"/>
      <c r="O41192" s="28"/>
      <c r="U41192" s="28"/>
    </row>
    <row r="41193">
      <c r="N41193" s="28"/>
      <c r="O41193" s="28"/>
      <c r="U41193" s="28"/>
    </row>
    <row r="41194">
      <c r="N41194" s="28"/>
      <c r="O41194" s="28"/>
      <c r="U41194" s="28"/>
    </row>
    <row r="41195">
      <c r="N41195" s="28"/>
      <c r="O41195" s="28"/>
      <c r="U41195" s="28"/>
    </row>
    <row r="41196">
      <c r="N41196" s="28"/>
      <c r="O41196" s="28"/>
      <c r="U41196" s="28"/>
    </row>
    <row r="41197">
      <c r="N41197" s="28"/>
      <c r="O41197" s="28"/>
      <c r="U41197" s="28"/>
    </row>
    <row r="41198">
      <c r="N41198" s="28"/>
      <c r="O41198" s="28"/>
      <c r="U41198" s="28"/>
    </row>
    <row r="41199">
      <c r="N41199" s="28"/>
      <c r="O41199" s="28"/>
      <c r="U41199" s="28"/>
    </row>
    <row r="41200">
      <c r="N41200" s="28"/>
      <c r="O41200" s="28"/>
      <c r="U41200" s="28"/>
    </row>
    <row r="41201">
      <c r="N41201" s="28"/>
      <c r="O41201" s="28"/>
      <c r="U41201" s="28"/>
    </row>
    <row r="41202">
      <c r="N41202" s="28"/>
      <c r="O41202" s="28"/>
      <c r="U41202" s="28"/>
    </row>
    <row r="41203">
      <c r="N41203" s="28"/>
      <c r="O41203" s="28"/>
      <c r="U41203" s="28"/>
    </row>
    <row r="41204">
      <c r="N41204" s="28"/>
      <c r="O41204" s="28"/>
      <c r="U41204" s="28"/>
    </row>
    <row r="41205">
      <c r="N41205" s="28"/>
      <c r="O41205" s="28"/>
      <c r="U41205" s="28"/>
    </row>
    <row r="41206">
      <c r="N41206" s="28"/>
      <c r="O41206" s="28"/>
      <c r="U41206" s="28"/>
    </row>
    <row r="41207">
      <c r="N41207" s="28"/>
      <c r="O41207" s="28"/>
      <c r="U41207" s="28"/>
    </row>
    <row r="41208">
      <c r="N41208" s="28"/>
      <c r="O41208" s="28"/>
      <c r="U41208" s="28"/>
    </row>
    <row r="41209">
      <c r="N41209" s="28"/>
      <c r="O41209" s="28"/>
      <c r="U41209" s="28"/>
    </row>
    <row r="41210">
      <c r="N41210" s="28"/>
      <c r="O41210" s="28"/>
      <c r="U41210" s="28"/>
    </row>
    <row r="41211">
      <c r="N41211" s="28"/>
      <c r="O41211" s="28"/>
      <c r="U41211" s="28"/>
    </row>
    <row r="41212">
      <c r="N41212" s="28"/>
      <c r="O41212" s="28"/>
      <c r="U41212" s="28"/>
    </row>
    <row r="41213">
      <c r="N41213" s="28"/>
      <c r="O41213" s="28"/>
      <c r="U41213" s="28"/>
    </row>
    <row r="41214">
      <c r="N41214" s="28"/>
      <c r="O41214" s="28"/>
      <c r="U41214" s="28"/>
    </row>
    <row r="41215">
      <c r="N41215" s="28"/>
      <c r="O41215" s="28"/>
      <c r="U41215" s="28"/>
    </row>
    <row r="41216">
      <c r="N41216" s="28"/>
      <c r="O41216" s="28"/>
      <c r="U41216" s="28"/>
    </row>
    <row r="41217">
      <c r="N41217" s="28"/>
      <c r="O41217" s="28"/>
      <c r="U41217" s="28"/>
    </row>
    <row r="41218">
      <c r="N41218" s="28"/>
      <c r="O41218" s="28"/>
      <c r="U41218" s="28"/>
    </row>
    <row r="41219">
      <c r="N41219" s="28"/>
      <c r="O41219" s="28"/>
      <c r="U41219" s="28"/>
    </row>
    <row r="41220">
      <c r="N41220" s="28"/>
      <c r="O41220" s="28"/>
      <c r="U41220" s="28"/>
    </row>
    <row r="41221">
      <c r="N41221" s="28"/>
      <c r="O41221" s="28"/>
      <c r="U41221" s="28"/>
    </row>
    <row r="41222">
      <c r="N41222" s="28"/>
      <c r="O41222" s="28"/>
      <c r="U41222" s="28"/>
    </row>
    <row r="41223">
      <c r="N41223" s="28"/>
      <c r="O41223" s="28"/>
      <c r="U41223" s="28"/>
    </row>
    <row r="41224">
      <c r="N41224" s="28"/>
      <c r="O41224" s="28"/>
      <c r="U41224" s="28"/>
    </row>
    <row r="41225">
      <c r="N41225" s="28"/>
      <c r="O41225" s="28"/>
      <c r="U41225" s="28"/>
    </row>
    <row r="41226">
      <c r="N41226" s="28"/>
      <c r="O41226" s="28"/>
      <c r="U41226" s="28"/>
    </row>
    <row r="41227">
      <c r="N41227" s="28"/>
      <c r="O41227" s="28"/>
      <c r="U41227" s="28"/>
    </row>
    <row r="41228">
      <c r="N41228" s="28"/>
      <c r="O41228" s="28"/>
      <c r="U41228" s="28"/>
    </row>
    <row r="41229">
      <c r="N41229" s="28"/>
      <c r="O41229" s="28"/>
      <c r="U41229" s="28"/>
    </row>
    <row r="41230">
      <c r="N41230" s="28"/>
      <c r="O41230" s="28"/>
      <c r="U41230" s="28"/>
    </row>
    <row r="41231">
      <c r="N41231" s="28"/>
      <c r="O41231" s="28"/>
      <c r="U41231" s="28"/>
    </row>
    <row r="41232">
      <c r="N41232" s="28"/>
      <c r="O41232" s="28"/>
      <c r="U41232" s="28"/>
    </row>
    <row r="41233">
      <c r="N41233" s="28"/>
      <c r="O41233" s="28"/>
      <c r="U41233" s="28"/>
    </row>
    <row r="41234">
      <c r="N41234" s="28"/>
      <c r="O41234" s="28"/>
      <c r="U41234" s="28"/>
    </row>
    <row r="41235">
      <c r="N41235" s="28"/>
      <c r="O41235" s="28"/>
      <c r="U41235" s="28"/>
    </row>
    <row r="41236">
      <c r="N41236" s="28"/>
      <c r="O41236" s="28"/>
      <c r="U41236" s="28"/>
    </row>
    <row r="41237">
      <c r="N41237" s="28"/>
      <c r="O41237" s="28"/>
      <c r="U41237" s="28"/>
    </row>
    <row r="41238">
      <c r="N41238" s="28"/>
      <c r="O41238" s="28"/>
      <c r="U41238" s="28"/>
    </row>
    <row r="41239">
      <c r="N41239" s="28"/>
      <c r="O41239" s="28"/>
      <c r="U41239" s="28"/>
    </row>
    <row r="41240">
      <c r="N41240" s="28"/>
      <c r="O41240" s="28"/>
      <c r="U41240" s="28"/>
    </row>
    <row r="41241">
      <c r="N41241" s="28"/>
      <c r="O41241" s="28"/>
      <c r="U41241" s="28"/>
    </row>
    <row r="41242">
      <c r="N41242" s="28"/>
      <c r="O41242" s="28"/>
      <c r="U41242" s="28"/>
    </row>
    <row r="41243">
      <c r="N41243" s="28"/>
      <c r="O41243" s="28"/>
      <c r="U41243" s="28"/>
    </row>
    <row r="41244">
      <c r="N41244" s="28"/>
      <c r="O41244" s="28"/>
      <c r="U41244" s="28"/>
    </row>
    <row r="41245">
      <c r="N41245" s="28"/>
      <c r="O41245" s="28"/>
      <c r="U41245" s="28"/>
    </row>
    <row r="41246">
      <c r="N41246" s="28"/>
      <c r="O41246" s="28"/>
      <c r="U41246" s="28"/>
    </row>
    <row r="41247">
      <c r="N41247" s="28"/>
      <c r="O41247" s="28"/>
      <c r="U41247" s="28"/>
    </row>
    <row r="41248">
      <c r="N41248" s="28"/>
      <c r="O41248" s="28"/>
      <c r="U41248" s="28"/>
    </row>
    <row r="41249">
      <c r="N41249" s="28"/>
      <c r="O41249" s="28"/>
      <c r="U41249" s="28"/>
    </row>
    <row r="41250">
      <c r="N41250" s="28"/>
      <c r="O41250" s="28"/>
      <c r="U41250" s="28"/>
    </row>
    <row r="41251">
      <c r="N41251" s="28"/>
      <c r="O41251" s="28"/>
      <c r="U41251" s="28"/>
    </row>
    <row r="41252">
      <c r="N41252" s="28"/>
      <c r="O41252" s="28"/>
      <c r="U41252" s="28"/>
    </row>
    <row r="41253">
      <c r="N41253" s="28"/>
      <c r="O41253" s="28"/>
      <c r="U41253" s="28"/>
    </row>
    <row r="41254">
      <c r="N41254" s="28"/>
      <c r="O41254" s="28"/>
      <c r="U41254" s="28"/>
    </row>
    <row r="41255">
      <c r="N41255" s="28"/>
      <c r="O41255" s="28"/>
      <c r="U41255" s="28"/>
    </row>
    <row r="41256">
      <c r="N41256" s="28"/>
      <c r="O41256" s="28"/>
      <c r="U41256" s="28"/>
    </row>
    <row r="41257">
      <c r="N41257" s="28"/>
      <c r="O41257" s="28"/>
      <c r="U41257" s="28"/>
    </row>
    <row r="41258">
      <c r="N41258" s="28"/>
      <c r="O41258" s="28"/>
      <c r="U41258" s="28"/>
    </row>
    <row r="41259">
      <c r="N41259" s="28"/>
      <c r="O41259" s="28"/>
      <c r="U41259" s="28"/>
    </row>
    <row r="41260">
      <c r="N41260" s="28"/>
      <c r="O41260" s="28"/>
      <c r="U41260" s="28"/>
    </row>
    <row r="41261">
      <c r="N41261" s="28"/>
      <c r="O41261" s="28"/>
      <c r="U41261" s="28"/>
    </row>
    <row r="41262">
      <c r="N41262" s="28"/>
      <c r="O41262" s="28"/>
      <c r="U41262" s="28"/>
    </row>
    <row r="41263">
      <c r="N41263" s="28"/>
      <c r="O41263" s="28"/>
      <c r="U41263" s="28"/>
    </row>
    <row r="41264">
      <c r="N41264" s="28"/>
      <c r="O41264" s="28"/>
      <c r="U41264" s="28"/>
    </row>
    <row r="41265">
      <c r="N41265" s="28"/>
      <c r="O41265" s="28"/>
      <c r="U41265" s="28"/>
    </row>
    <row r="41266">
      <c r="N41266" s="28"/>
      <c r="O41266" s="28"/>
      <c r="U41266" s="28"/>
    </row>
    <row r="41267">
      <c r="N41267" s="28"/>
      <c r="O41267" s="28"/>
      <c r="U41267" s="28"/>
    </row>
    <row r="41268">
      <c r="N41268" s="28"/>
      <c r="O41268" s="28"/>
      <c r="U41268" s="28"/>
    </row>
    <row r="41269">
      <c r="N41269" s="28"/>
      <c r="O41269" s="28"/>
      <c r="U41269" s="28"/>
    </row>
    <row r="41270">
      <c r="N41270" s="28"/>
      <c r="O41270" s="28"/>
      <c r="U41270" s="28"/>
    </row>
    <row r="41271">
      <c r="N41271" s="28"/>
      <c r="O41271" s="28"/>
      <c r="U41271" s="28"/>
    </row>
    <row r="41272">
      <c r="N41272" s="28"/>
      <c r="O41272" s="28"/>
      <c r="U41272" s="28"/>
    </row>
    <row r="41273">
      <c r="N41273" s="28"/>
      <c r="O41273" s="28"/>
      <c r="U41273" s="28"/>
    </row>
    <row r="41274">
      <c r="N41274" s="28"/>
      <c r="O41274" s="28"/>
      <c r="U41274" s="28"/>
    </row>
    <row r="41275">
      <c r="N41275" s="28"/>
      <c r="O41275" s="28"/>
      <c r="U41275" s="28"/>
    </row>
    <row r="41276">
      <c r="N41276" s="28"/>
      <c r="O41276" s="28"/>
      <c r="U41276" s="28"/>
    </row>
    <row r="41277">
      <c r="N41277" s="28"/>
      <c r="O41277" s="28"/>
      <c r="U41277" s="28"/>
    </row>
    <row r="41278">
      <c r="N41278" s="28"/>
      <c r="O41278" s="28"/>
      <c r="U41278" s="28"/>
    </row>
    <row r="41279">
      <c r="N41279" s="28"/>
      <c r="O41279" s="28"/>
      <c r="U41279" s="28"/>
    </row>
    <row r="41280">
      <c r="N41280" s="28"/>
      <c r="O41280" s="28"/>
      <c r="U41280" s="28"/>
    </row>
    <row r="41281">
      <c r="N41281" s="28"/>
      <c r="O41281" s="28"/>
      <c r="U41281" s="28"/>
    </row>
    <row r="41282">
      <c r="N41282" s="28"/>
      <c r="O41282" s="28"/>
      <c r="U41282" s="28"/>
    </row>
    <row r="41283">
      <c r="N41283" s="28"/>
      <c r="O41283" s="28"/>
      <c r="U41283" s="28"/>
    </row>
    <row r="41284">
      <c r="N41284" s="28"/>
      <c r="O41284" s="28"/>
      <c r="U41284" s="28"/>
    </row>
    <row r="41285">
      <c r="N41285" s="28"/>
      <c r="O41285" s="28"/>
      <c r="U41285" s="28"/>
    </row>
    <row r="41286">
      <c r="N41286" s="28"/>
      <c r="O41286" s="28"/>
      <c r="U41286" s="28"/>
    </row>
    <row r="41287">
      <c r="N41287" s="28"/>
      <c r="O41287" s="28"/>
      <c r="U41287" s="28"/>
    </row>
    <row r="41288">
      <c r="N41288" s="28"/>
      <c r="O41288" s="28"/>
      <c r="U41288" s="28"/>
    </row>
    <row r="41289">
      <c r="N41289" s="28"/>
      <c r="O41289" s="28"/>
      <c r="U41289" s="28"/>
    </row>
    <row r="41290">
      <c r="N41290" s="28"/>
      <c r="O41290" s="28"/>
      <c r="U41290" s="28"/>
    </row>
    <row r="41291">
      <c r="N41291" s="28"/>
      <c r="O41291" s="28"/>
      <c r="U41291" s="28"/>
    </row>
    <row r="41292">
      <c r="N41292" s="28"/>
      <c r="O41292" s="28"/>
      <c r="U41292" s="28"/>
    </row>
    <row r="41293">
      <c r="N41293" s="28"/>
      <c r="O41293" s="28"/>
      <c r="U41293" s="28"/>
    </row>
    <row r="41294">
      <c r="N41294" s="28"/>
      <c r="O41294" s="28"/>
      <c r="U41294" s="28"/>
    </row>
    <row r="41295">
      <c r="N41295" s="28"/>
      <c r="O41295" s="28"/>
      <c r="U41295" s="28"/>
    </row>
    <row r="41296">
      <c r="N41296" s="28"/>
      <c r="O41296" s="28"/>
      <c r="U41296" s="28"/>
    </row>
    <row r="41297">
      <c r="N41297" s="28"/>
      <c r="O41297" s="28"/>
      <c r="U41297" s="28"/>
    </row>
    <row r="41298">
      <c r="N41298" s="28"/>
      <c r="O41298" s="28"/>
      <c r="U41298" s="28"/>
    </row>
    <row r="41299">
      <c r="N41299" s="28"/>
      <c r="O41299" s="28"/>
      <c r="U41299" s="28"/>
    </row>
    <row r="41300">
      <c r="N41300" s="28"/>
      <c r="O41300" s="28"/>
      <c r="U41300" s="28"/>
    </row>
    <row r="41301">
      <c r="N41301" s="28"/>
      <c r="O41301" s="28"/>
      <c r="U41301" s="28"/>
    </row>
    <row r="41302">
      <c r="N41302" s="28"/>
      <c r="O41302" s="28"/>
      <c r="U41302" s="28"/>
    </row>
    <row r="41303">
      <c r="N41303" s="28"/>
      <c r="O41303" s="28"/>
      <c r="U41303" s="28"/>
    </row>
    <row r="41304">
      <c r="N41304" s="28"/>
      <c r="O41304" s="28"/>
      <c r="U41304" s="28"/>
    </row>
    <row r="41305">
      <c r="N41305" s="28"/>
      <c r="O41305" s="28"/>
      <c r="U41305" s="28"/>
    </row>
    <row r="41306">
      <c r="N41306" s="28"/>
      <c r="O41306" s="28"/>
      <c r="U41306" s="28"/>
    </row>
    <row r="41307">
      <c r="N41307" s="28"/>
      <c r="O41307" s="28"/>
      <c r="U41307" s="28"/>
    </row>
    <row r="41308">
      <c r="N41308" s="28"/>
      <c r="O41308" s="28"/>
      <c r="U41308" s="28"/>
    </row>
    <row r="41309">
      <c r="N41309" s="28"/>
      <c r="O41309" s="28"/>
      <c r="U41309" s="28"/>
    </row>
    <row r="41310">
      <c r="N41310" s="28"/>
      <c r="O41310" s="28"/>
      <c r="U41310" s="28"/>
    </row>
    <row r="41311">
      <c r="N41311" s="28"/>
      <c r="O41311" s="28"/>
      <c r="U41311" s="28"/>
    </row>
    <row r="41312">
      <c r="N41312" s="28"/>
      <c r="O41312" s="28"/>
      <c r="U41312" s="28"/>
    </row>
    <row r="41313">
      <c r="N41313" s="28"/>
      <c r="O41313" s="28"/>
      <c r="U41313" s="28"/>
    </row>
    <row r="41314">
      <c r="N41314" s="28"/>
      <c r="O41314" s="28"/>
      <c r="U41314" s="28"/>
    </row>
    <row r="41315">
      <c r="N41315" s="28"/>
      <c r="O41315" s="28"/>
      <c r="U41315" s="28"/>
    </row>
    <row r="41316">
      <c r="N41316" s="28"/>
      <c r="O41316" s="28"/>
      <c r="U41316" s="28"/>
    </row>
    <row r="41317">
      <c r="N41317" s="28"/>
      <c r="O41317" s="28"/>
      <c r="U41317" s="28"/>
    </row>
    <row r="41318">
      <c r="N41318" s="28"/>
      <c r="O41318" s="28"/>
      <c r="U41318" s="28"/>
    </row>
    <row r="41319">
      <c r="N41319" s="28"/>
      <c r="O41319" s="28"/>
      <c r="U41319" s="28"/>
    </row>
    <row r="41320">
      <c r="N41320" s="28"/>
      <c r="O41320" s="28"/>
      <c r="U41320" s="28"/>
    </row>
    <row r="41321">
      <c r="N41321" s="28"/>
      <c r="O41321" s="28"/>
      <c r="U41321" s="28"/>
    </row>
    <row r="41322">
      <c r="N41322" s="28"/>
      <c r="O41322" s="28"/>
      <c r="U41322" s="28"/>
    </row>
    <row r="41323">
      <c r="N41323" s="28"/>
      <c r="O41323" s="28"/>
      <c r="U41323" s="28"/>
    </row>
    <row r="41324">
      <c r="N41324" s="28"/>
      <c r="O41324" s="28"/>
      <c r="U41324" s="28"/>
    </row>
    <row r="41325">
      <c r="N41325" s="28"/>
      <c r="O41325" s="28"/>
      <c r="U41325" s="28"/>
    </row>
    <row r="41326">
      <c r="N41326" s="28"/>
      <c r="O41326" s="28"/>
      <c r="U41326" s="28"/>
    </row>
    <row r="41327">
      <c r="N41327" s="28"/>
      <c r="O41327" s="28"/>
      <c r="U41327" s="28"/>
    </row>
    <row r="41328">
      <c r="N41328" s="28"/>
      <c r="O41328" s="28"/>
      <c r="U41328" s="28"/>
    </row>
    <row r="41329">
      <c r="N41329" s="28"/>
      <c r="O41329" s="28"/>
      <c r="U41329" s="28"/>
    </row>
    <row r="41330">
      <c r="N41330" s="28"/>
      <c r="O41330" s="28"/>
      <c r="U41330" s="28"/>
    </row>
    <row r="41331">
      <c r="N41331" s="28"/>
      <c r="O41331" s="28"/>
      <c r="U41331" s="28"/>
    </row>
    <row r="41332">
      <c r="N41332" s="28"/>
      <c r="O41332" s="28"/>
      <c r="U41332" s="28"/>
    </row>
    <row r="41333">
      <c r="N41333" s="28"/>
      <c r="O41333" s="28"/>
      <c r="U41333" s="28"/>
    </row>
    <row r="41334">
      <c r="N41334" s="28"/>
      <c r="O41334" s="28"/>
      <c r="U41334" s="28"/>
    </row>
    <row r="41335">
      <c r="N41335" s="28"/>
      <c r="O41335" s="28"/>
      <c r="U41335" s="28"/>
    </row>
    <row r="41336">
      <c r="N41336" s="28"/>
      <c r="O41336" s="28"/>
      <c r="U41336" s="28"/>
    </row>
    <row r="41337">
      <c r="N41337" s="28"/>
      <c r="O41337" s="28"/>
      <c r="U41337" s="28"/>
    </row>
    <row r="41338">
      <c r="N41338" s="28"/>
      <c r="O41338" s="28"/>
      <c r="U41338" s="28"/>
    </row>
    <row r="41339">
      <c r="N41339" s="28"/>
      <c r="O41339" s="28"/>
      <c r="U41339" s="28"/>
    </row>
    <row r="41340">
      <c r="N41340" s="28"/>
      <c r="O41340" s="28"/>
      <c r="U41340" s="28"/>
    </row>
    <row r="41341">
      <c r="N41341" s="28"/>
      <c r="O41341" s="28"/>
      <c r="U41341" s="28"/>
    </row>
    <row r="41342">
      <c r="N41342" s="28"/>
      <c r="O41342" s="28"/>
      <c r="U41342" s="28"/>
    </row>
    <row r="41343">
      <c r="N41343" s="28"/>
      <c r="O41343" s="28"/>
      <c r="U41343" s="28"/>
    </row>
    <row r="41344">
      <c r="N41344" s="28"/>
      <c r="O41344" s="28"/>
      <c r="U41344" s="28"/>
    </row>
    <row r="41345">
      <c r="N41345" s="28"/>
      <c r="O41345" s="28"/>
      <c r="U41345" s="28"/>
    </row>
    <row r="41346">
      <c r="N41346" s="28"/>
      <c r="O41346" s="28"/>
      <c r="U41346" s="28"/>
    </row>
    <row r="41347">
      <c r="N41347" s="28"/>
      <c r="O41347" s="28"/>
      <c r="U41347" s="28"/>
    </row>
    <row r="41348">
      <c r="N41348" s="28"/>
      <c r="O41348" s="28"/>
      <c r="U41348" s="28"/>
    </row>
    <row r="41349">
      <c r="N41349" s="28"/>
      <c r="O41349" s="28"/>
      <c r="U41349" s="28"/>
    </row>
    <row r="41350">
      <c r="N41350" s="28"/>
      <c r="O41350" s="28"/>
      <c r="U41350" s="28"/>
    </row>
    <row r="41351">
      <c r="N41351" s="28"/>
      <c r="O41351" s="28"/>
      <c r="U41351" s="28"/>
    </row>
    <row r="41352">
      <c r="N41352" s="28"/>
      <c r="O41352" s="28"/>
      <c r="U41352" s="28"/>
    </row>
    <row r="41353">
      <c r="N41353" s="28"/>
      <c r="O41353" s="28"/>
      <c r="U41353" s="28"/>
    </row>
    <row r="41354">
      <c r="N41354" s="28"/>
      <c r="O41354" s="28"/>
      <c r="U41354" s="28"/>
    </row>
    <row r="41355">
      <c r="N41355" s="28"/>
      <c r="O41355" s="28"/>
      <c r="U41355" s="28"/>
    </row>
    <row r="41356">
      <c r="N41356" s="28"/>
      <c r="O41356" s="28"/>
      <c r="U41356" s="28"/>
    </row>
    <row r="41357">
      <c r="N41357" s="28"/>
      <c r="O41357" s="28"/>
      <c r="U41357" s="28"/>
    </row>
    <row r="41358">
      <c r="N41358" s="28"/>
      <c r="O41358" s="28"/>
      <c r="U41358" s="28"/>
    </row>
    <row r="41359">
      <c r="N41359" s="28"/>
      <c r="O41359" s="28"/>
      <c r="U41359" s="28"/>
    </row>
    <row r="41360">
      <c r="N41360" s="28"/>
      <c r="O41360" s="28"/>
      <c r="U41360" s="28"/>
    </row>
    <row r="41361">
      <c r="N41361" s="28"/>
      <c r="O41361" s="28"/>
      <c r="U41361" s="28"/>
    </row>
    <row r="41362">
      <c r="N41362" s="28"/>
      <c r="O41362" s="28"/>
      <c r="U41362" s="28"/>
    </row>
    <row r="41363">
      <c r="N41363" s="28"/>
      <c r="O41363" s="28"/>
      <c r="U41363" s="28"/>
    </row>
    <row r="41364">
      <c r="N41364" s="28"/>
      <c r="O41364" s="28"/>
      <c r="U41364" s="28"/>
    </row>
    <row r="41365">
      <c r="N41365" s="28"/>
      <c r="O41365" s="28"/>
      <c r="U41365" s="28"/>
    </row>
    <row r="41366">
      <c r="N41366" s="28"/>
      <c r="O41366" s="28"/>
      <c r="U41366" s="28"/>
    </row>
    <row r="41367">
      <c r="N41367" s="28"/>
      <c r="O41367" s="28"/>
      <c r="U41367" s="28"/>
    </row>
    <row r="41368">
      <c r="N41368" s="28"/>
      <c r="O41368" s="28"/>
      <c r="U41368" s="28"/>
    </row>
    <row r="41369">
      <c r="N41369" s="28"/>
      <c r="O41369" s="28"/>
      <c r="U41369" s="28"/>
    </row>
    <row r="41370">
      <c r="N41370" s="28"/>
      <c r="O41370" s="28"/>
      <c r="U41370" s="28"/>
    </row>
    <row r="41371">
      <c r="N41371" s="28"/>
      <c r="O41371" s="28"/>
      <c r="U41371" s="28"/>
    </row>
    <row r="41372">
      <c r="N41372" s="28"/>
      <c r="O41372" s="28"/>
      <c r="U41372" s="28"/>
    </row>
    <row r="41373">
      <c r="N41373" s="28"/>
      <c r="O41373" s="28"/>
      <c r="U41373" s="28"/>
    </row>
    <row r="41374">
      <c r="N41374" s="28"/>
      <c r="O41374" s="28"/>
      <c r="U41374" s="28"/>
    </row>
    <row r="41375">
      <c r="N41375" s="28"/>
      <c r="O41375" s="28"/>
      <c r="U41375" s="28"/>
    </row>
    <row r="41376">
      <c r="N41376" s="28"/>
      <c r="O41376" s="28"/>
      <c r="U41376" s="28"/>
    </row>
    <row r="41377">
      <c r="N41377" s="28"/>
      <c r="O41377" s="28"/>
      <c r="U41377" s="28"/>
    </row>
    <row r="41378">
      <c r="N41378" s="28"/>
      <c r="O41378" s="28"/>
      <c r="U41378" s="28"/>
    </row>
    <row r="41379">
      <c r="N41379" s="28"/>
      <c r="O41379" s="28"/>
      <c r="U41379" s="28"/>
    </row>
    <row r="41380">
      <c r="N41380" s="28"/>
      <c r="O41380" s="28"/>
      <c r="U41380" s="28"/>
    </row>
    <row r="41381">
      <c r="N41381" s="28"/>
      <c r="O41381" s="28"/>
      <c r="U41381" s="28"/>
    </row>
    <row r="41382">
      <c r="N41382" s="28"/>
      <c r="O41382" s="28"/>
      <c r="U41382" s="28"/>
    </row>
    <row r="41383">
      <c r="N41383" s="28"/>
      <c r="O41383" s="28"/>
      <c r="U41383" s="28"/>
    </row>
    <row r="41384">
      <c r="N41384" s="28"/>
      <c r="O41384" s="28"/>
      <c r="U41384" s="28"/>
    </row>
    <row r="41385">
      <c r="N41385" s="28"/>
      <c r="O41385" s="28"/>
      <c r="U41385" s="28"/>
    </row>
    <row r="41386">
      <c r="N41386" s="28"/>
      <c r="O41386" s="28"/>
      <c r="U41386" s="28"/>
    </row>
    <row r="41387">
      <c r="N41387" s="28"/>
      <c r="O41387" s="28"/>
      <c r="U41387" s="28"/>
    </row>
    <row r="41388">
      <c r="N41388" s="28"/>
      <c r="O41388" s="28"/>
      <c r="U41388" s="28"/>
    </row>
    <row r="41389">
      <c r="N41389" s="28"/>
      <c r="O41389" s="28"/>
      <c r="U41389" s="28"/>
    </row>
    <row r="41390">
      <c r="N41390" s="28"/>
      <c r="O41390" s="28"/>
      <c r="U41390" s="28"/>
    </row>
    <row r="41391">
      <c r="N41391" s="28"/>
      <c r="O41391" s="28"/>
      <c r="U41391" s="28"/>
    </row>
    <row r="41392">
      <c r="N41392" s="28"/>
      <c r="O41392" s="28"/>
      <c r="U41392" s="28"/>
    </row>
    <row r="41393">
      <c r="N41393" s="28"/>
      <c r="O41393" s="28"/>
      <c r="U41393" s="28"/>
    </row>
    <row r="41394">
      <c r="N41394" s="28"/>
      <c r="O41394" s="28"/>
      <c r="U41394" s="28"/>
    </row>
    <row r="41395">
      <c r="N41395" s="28"/>
      <c r="O41395" s="28"/>
      <c r="U41395" s="28"/>
    </row>
    <row r="41396">
      <c r="N41396" s="28"/>
      <c r="O41396" s="28"/>
      <c r="U41396" s="28"/>
    </row>
    <row r="41397">
      <c r="N41397" s="28"/>
      <c r="O41397" s="28"/>
      <c r="U41397" s="28"/>
    </row>
    <row r="41398">
      <c r="N41398" s="28"/>
      <c r="O41398" s="28"/>
      <c r="U41398" s="28"/>
    </row>
    <row r="41399">
      <c r="N41399" s="28"/>
      <c r="O41399" s="28"/>
      <c r="U41399" s="28"/>
    </row>
    <row r="41400">
      <c r="N41400" s="28"/>
      <c r="O41400" s="28"/>
      <c r="U41400" s="28"/>
    </row>
    <row r="41401">
      <c r="N41401" s="28"/>
      <c r="O41401" s="28"/>
      <c r="U41401" s="28"/>
    </row>
    <row r="41402">
      <c r="N41402" s="28"/>
      <c r="O41402" s="28"/>
      <c r="U41402" s="28"/>
    </row>
    <row r="41403">
      <c r="N41403" s="28"/>
      <c r="O41403" s="28"/>
      <c r="U41403" s="28"/>
    </row>
    <row r="41404">
      <c r="N41404" s="28"/>
      <c r="O41404" s="28"/>
      <c r="U41404" s="28"/>
    </row>
    <row r="41405">
      <c r="N41405" s="28"/>
      <c r="O41405" s="28"/>
      <c r="U41405" s="28"/>
    </row>
    <row r="41406">
      <c r="N41406" s="28"/>
      <c r="O41406" s="28"/>
      <c r="U41406" s="28"/>
    </row>
    <row r="41407">
      <c r="N41407" s="28"/>
      <c r="O41407" s="28"/>
      <c r="U41407" s="28"/>
    </row>
    <row r="41408">
      <c r="N41408" s="28"/>
      <c r="O41408" s="28"/>
      <c r="U41408" s="28"/>
    </row>
    <row r="41409">
      <c r="N41409" s="28"/>
      <c r="O41409" s="28"/>
      <c r="U41409" s="28"/>
    </row>
    <row r="41410">
      <c r="N41410" s="28"/>
      <c r="O41410" s="28"/>
      <c r="U41410" s="28"/>
    </row>
    <row r="41411">
      <c r="N41411" s="28"/>
      <c r="O41411" s="28"/>
      <c r="U41411" s="28"/>
    </row>
    <row r="41412">
      <c r="N41412" s="28"/>
      <c r="O41412" s="28"/>
      <c r="U41412" s="28"/>
    </row>
    <row r="41413">
      <c r="N41413" s="28"/>
      <c r="O41413" s="28"/>
      <c r="U41413" s="28"/>
    </row>
    <row r="41414">
      <c r="N41414" s="28"/>
      <c r="O41414" s="28"/>
      <c r="U41414" s="28"/>
    </row>
    <row r="41415">
      <c r="N41415" s="28"/>
      <c r="O41415" s="28"/>
      <c r="U41415" s="28"/>
    </row>
    <row r="41416">
      <c r="N41416" s="28"/>
      <c r="O41416" s="28"/>
      <c r="U41416" s="28"/>
    </row>
    <row r="41417">
      <c r="N41417" s="28"/>
      <c r="O41417" s="28"/>
      <c r="U41417" s="28"/>
    </row>
    <row r="41418">
      <c r="N41418" s="28"/>
      <c r="O41418" s="28"/>
      <c r="U41418" s="28"/>
    </row>
    <row r="41419">
      <c r="N41419" s="28"/>
      <c r="O41419" s="28"/>
      <c r="U41419" s="28"/>
    </row>
    <row r="41420">
      <c r="N41420" s="28"/>
      <c r="O41420" s="28"/>
      <c r="U41420" s="28"/>
    </row>
    <row r="41421">
      <c r="N41421" s="28"/>
      <c r="O41421" s="28"/>
      <c r="U41421" s="28"/>
    </row>
    <row r="41422">
      <c r="N41422" s="28"/>
      <c r="O41422" s="28"/>
      <c r="U41422" s="28"/>
    </row>
    <row r="41423">
      <c r="N41423" s="28"/>
      <c r="O41423" s="28"/>
      <c r="U41423" s="28"/>
    </row>
    <row r="41424">
      <c r="N41424" s="28"/>
      <c r="O41424" s="28"/>
      <c r="U41424" s="28"/>
    </row>
    <row r="41425">
      <c r="N41425" s="28"/>
      <c r="O41425" s="28"/>
      <c r="U41425" s="28"/>
    </row>
    <row r="41426">
      <c r="N41426" s="28"/>
      <c r="O41426" s="28"/>
      <c r="U41426" s="28"/>
    </row>
    <row r="41427">
      <c r="N41427" s="28"/>
      <c r="O41427" s="28"/>
      <c r="U41427" s="28"/>
    </row>
    <row r="41428">
      <c r="N41428" s="28"/>
      <c r="O41428" s="28"/>
      <c r="U41428" s="28"/>
    </row>
    <row r="41429">
      <c r="N41429" s="28"/>
      <c r="O41429" s="28"/>
      <c r="U41429" s="28"/>
    </row>
    <row r="41430">
      <c r="N41430" s="28"/>
      <c r="O41430" s="28"/>
      <c r="U41430" s="28"/>
    </row>
    <row r="41431">
      <c r="N41431" s="28"/>
      <c r="O41431" s="28"/>
      <c r="U41431" s="28"/>
    </row>
    <row r="41432">
      <c r="N41432" s="28"/>
      <c r="O41432" s="28"/>
      <c r="U41432" s="28"/>
    </row>
    <row r="41433">
      <c r="N41433" s="28"/>
      <c r="O41433" s="28"/>
      <c r="U41433" s="28"/>
    </row>
    <row r="41434">
      <c r="N41434" s="28"/>
      <c r="O41434" s="28"/>
      <c r="U41434" s="28"/>
    </row>
    <row r="41435">
      <c r="N41435" s="28"/>
      <c r="O41435" s="28"/>
      <c r="U41435" s="28"/>
    </row>
    <row r="41436">
      <c r="N41436" s="28"/>
      <c r="O41436" s="28"/>
      <c r="U41436" s="28"/>
    </row>
    <row r="41437">
      <c r="N41437" s="28"/>
      <c r="O41437" s="28"/>
      <c r="U41437" s="28"/>
    </row>
    <row r="41438">
      <c r="N41438" s="28"/>
      <c r="O41438" s="28"/>
      <c r="U41438" s="28"/>
    </row>
    <row r="41439">
      <c r="N41439" s="28"/>
      <c r="O41439" s="28"/>
      <c r="U41439" s="28"/>
    </row>
    <row r="41440">
      <c r="N41440" s="28"/>
      <c r="O41440" s="28"/>
      <c r="U41440" s="28"/>
    </row>
    <row r="41441">
      <c r="N41441" s="28"/>
      <c r="O41441" s="28"/>
      <c r="U41441" s="28"/>
    </row>
    <row r="41442">
      <c r="N41442" s="28"/>
      <c r="O41442" s="28"/>
      <c r="U41442" s="28"/>
    </row>
    <row r="41443">
      <c r="N41443" s="28"/>
      <c r="O41443" s="28"/>
      <c r="U41443" s="28"/>
    </row>
    <row r="41444">
      <c r="N41444" s="28"/>
      <c r="O41444" s="28"/>
      <c r="U41444" s="28"/>
    </row>
    <row r="41445">
      <c r="N41445" s="28"/>
      <c r="O41445" s="28"/>
      <c r="U41445" s="28"/>
    </row>
    <row r="41446">
      <c r="N41446" s="28"/>
      <c r="O41446" s="28"/>
      <c r="U41446" s="28"/>
    </row>
    <row r="41447">
      <c r="N41447" s="28"/>
      <c r="O41447" s="28"/>
      <c r="U41447" s="28"/>
    </row>
    <row r="41448">
      <c r="N41448" s="28"/>
      <c r="O41448" s="28"/>
      <c r="U41448" s="28"/>
    </row>
    <row r="41449">
      <c r="N41449" s="28"/>
      <c r="O41449" s="28"/>
      <c r="U41449" s="28"/>
    </row>
    <row r="41450">
      <c r="N41450" s="28"/>
      <c r="O41450" s="28"/>
      <c r="U41450" s="28"/>
    </row>
    <row r="41451">
      <c r="N41451" s="28"/>
      <c r="O41451" s="28"/>
      <c r="U41451" s="28"/>
    </row>
    <row r="41452">
      <c r="N41452" s="28"/>
      <c r="O41452" s="28"/>
      <c r="U41452" s="28"/>
    </row>
    <row r="41453">
      <c r="N41453" s="28"/>
      <c r="O41453" s="28"/>
      <c r="U41453" s="28"/>
    </row>
    <row r="41454">
      <c r="N41454" s="28"/>
      <c r="O41454" s="28"/>
      <c r="U41454" s="28"/>
    </row>
    <row r="41455">
      <c r="N41455" s="28"/>
      <c r="O41455" s="28"/>
      <c r="U41455" s="28"/>
    </row>
    <row r="41456">
      <c r="N41456" s="28"/>
      <c r="O41456" s="28"/>
      <c r="U41456" s="28"/>
    </row>
    <row r="41457">
      <c r="N41457" s="28"/>
      <c r="O41457" s="28"/>
      <c r="U41457" s="28"/>
    </row>
    <row r="41458">
      <c r="N41458" s="28"/>
      <c r="O41458" s="28"/>
      <c r="U41458" s="28"/>
    </row>
    <row r="41459">
      <c r="N41459" s="28"/>
      <c r="O41459" s="28"/>
      <c r="U41459" s="28"/>
    </row>
    <row r="41460">
      <c r="N41460" s="28"/>
      <c r="O41460" s="28"/>
      <c r="U41460" s="28"/>
    </row>
    <row r="41461">
      <c r="N41461" s="28"/>
      <c r="O41461" s="28"/>
      <c r="U41461" s="28"/>
    </row>
    <row r="41462">
      <c r="N41462" s="28"/>
      <c r="O41462" s="28"/>
      <c r="U41462" s="28"/>
    </row>
    <row r="41463">
      <c r="N41463" s="28"/>
      <c r="O41463" s="28"/>
      <c r="U41463" s="28"/>
    </row>
    <row r="41464">
      <c r="N41464" s="28"/>
      <c r="O41464" s="28"/>
      <c r="U41464" s="28"/>
    </row>
    <row r="41465">
      <c r="N41465" s="28"/>
      <c r="O41465" s="28"/>
      <c r="U41465" s="28"/>
    </row>
    <row r="41466">
      <c r="N41466" s="28"/>
      <c r="O41466" s="28"/>
      <c r="U41466" s="28"/>
    </row>
    <row r="41467">
      <c r="N41467" s="28"/>
      <c r="O41467" s="28"/>
      <c r="U41467" s="28"/>
    </row>
    <row r="41468">
      <c r="N41468" s="28"/>
      <c r="O41468" s="28"/>
      <c r="U41468" s="28"/>
    </row>
    <row r="41469">
      <c r="N41469" s="28"/>
      <c r="O41469" s="28"/>
      <c r="U41469" s="28"/>
    </row>
    <row r="41470">
      <c r="N41470" s="28"/>
      <c r="O41470" s="28"/>
      <c r="U41470" s="28"/>
    </row>
    <row r="41471">
      <c r="N41471" s="28"/>
      <c r="O41471" s="28"/>
      <c r="U41471" s="28"/>
    </row>
    <row r="41472">
      <c r="N41472" s="28"/>
      <c r="O41472" s="28"/>
      <c r="U41472" s="28"/>
    </row>
    <row r="41473">
      <c r="N41473" s="28"/>
      <c r="O41473" s="28"/>
      <c r="U41473" s="28"/>
    </row>
    <row r="41474">
      <c r="N41474" s="28"/>
      <c r="O41474" s="28"/>
      <c r="U41474" s="28"/>
    </row>
    <row r="41475">
      <c r="N41475" s="28"/>
      <c r="O41475" s="28"/>
      <c r="U41475" s="28"/>
    </row>
    <row r="41476">
      <c r="N41476" s="28"/>
      <c r="O41476" s="28"/>
      <c r="U41476" s="28"/>
    </row>
    <row r="41477">
      <c r="N41477" s="28"/>
      <c r="O41477" s="28"/>
      <c r="U41477" s="28"/>
    </row>
    <row r="41478">
      <c r="N41478" s="28"/>
      <c r="O41478" s="28"/>
      <c r="U41478" s="28"/>
    </row>
    <row r="41479">
      <c r="N41479" s="28"/>
      <c r="O41479" s="28"/>
      <c r="U41479" s="28"/>
    </row>
    <row r="41480">
      <c r="N41480" s="28"/>
      <c r="O41480" s="28"/>
      <c r="U41480" s="28"/>
    </row>
    <row r="41481">
      <c r="N41481" s="28"/>
      <c r="O41481" s="28"/>
      <c r="U41481" s="28"/>
    </row>
    <row r="41482">
      <c r="N41482" s="28"/>
      <c r="O41482" s="28"/>
      <c r="U41482" s="28"/>
    </row>
    <row r="41483">
      <c r="N41483" s="28"/>
      <c r="O41483" s="28"/>
      <c r="U41483" s="28"/>
    </row>
    <row r="41484">
      <c r="N41484" s="28"/>
      <c r="O41484" s="28"/>
      <c r="U41484" s="28"/>
    </row>
    <row r="41485">
      <c r="N41485" s="28"/>
      <c r="O41485" s="28"/>
      <c r="U41485" s="28"/>
    </row>
    <row r="41486">
      <c r="N41486" s="28"/>
      <c r="O41486" s="28"/>
      <c r="U41486" s="28"/>
    </row>
    <row r="41487">
      <c r="N41487" s="28"/>
      <c r="O41487" s="28"/>
      <c r="U41487" s="28"/>
    </row>
    <row r="41488">
      <c r="N41488" s="28"/>
      <c r="O41488" s="28"/>
      <c r="U41488" s="28"/>
    </row>
    <row r="41489">
      <c r="N41489" s="28"/>
      <c r="O41489" s="28"/>
      <c r="U41489" s="28"/>
    </row>
    <row r="41490">
      <c r="N41490" s="28"/>
      <c r="O41490" s="28"/>
      <c r="U41490" s="28"/>
    </row>
    <row r="41491">
      <c r="N41491" s="28"/>
      <c r="O41491" s="28"/>
      <c r="U41491" s="28"/>
    </row>
    <row r="41492">
      <c r="N41492" s="28"/>
      <c r="O41492" s="28"/>
      <c r="U41492" s="28"/>
    </row>
    <row r="41493">
      <c r="N41493" s="28"/>
      <c r="O41493" s="28"/>
      <c r="U41493" s="28"/>
    </row>
    <row r="41494">
      <c r="N41494" s="28"/>
      <c r="O41494" s="28"/>
      <c r="U41494" s="28"/>
    </row>
    <row r="41495">
      <c r="N41495" s="28"/>
      <c r="O41495" s="28"/>
      <c r="U41495" s="28"/>
    </row>
    <row r="41496">
      <c r="N41496" s="28"/>
      <c r="O41496" s="28"/>
      <c r="U41496" s="28"/>
    </row>
    <row r="41497">
      <c r="N41497" s="28"/>
      <c r="O41497" s="28"/>
      <c r="U41497" s="28"/>
    </row>
    <row r="41498">
      <c r="N41498" s="28"/>
      <c r="O41498" s="28"/>
      <c r="U41498" s="28"/>
    </row>
    <row r="41499">
      <c r="N41499" s="28"/>
      <c r="O41499" s="28"/>
      <c r="U41499" s="28"/>
    </row>
    <row r="41500">
      <c r="N41500" s="28"/>
      <c r="O41500" s="28"/>
      <c r="U41500" s="28"/>
    </row>
    <row r="41501">
      <c r="N41501" s="28"/>
      <c r="O41501" s="28"/>
      <c r="U41501" s="28"/>
    </row>
    <row r="41502">
      <c r="N41502" s="28"/>
      <c r="O41502" s="28"/>
      <c r="U41502" s="28"/>
    </row>
    <row r="41503">
      <c r="N41503" s="28"/>
      <c r="O41503" s="28"/>
      <c r="U41503" s="28"/>
    </row>
    <row r="41504">
      <c r="N41504" s="28"/>
      <c r="O41504" s="28"/>
      <c r="U41504" s="28"/>
    </row>
    <row r="41505">
      <c r="N41505" s="28"/>
      <c r="O41505" s="28"/>
      <c r="U41505" s="28"/>
    </row>
    <row r="41506">
      <c r="N41506" s="28"/>
      <c r="O41506" s="28"/>
      <c r="U41506" s="28"/>
    </row>
    <row r="41507">
      <c r="N41507" s="28"/>
      <c r="O41507" s="28"/>
      <c r="U41507" s="28"/>
    </row>
    <row r="41508">
      <c r="N41508" s="28"/>
      <c r="O41508" s="28"/>
      <c r="U41508" s="28"/>
    </row>
    <row r="41509">
      <c r="N41509" s="28"/>
      <c r="O41509" s="28"/>
      <c r="U41509" s="28"/>
    </row>
    <row r="41510">
      <c r="N41510" s="28"/>
      <c r="O41510" s="28"/>
      <c r="U41510" s="28"/>
    </row>
    <row r="41511">
      <c r="N41511" s="28"/>
      <c r="O41511" s="28"/>
      <c r="U41511" s="28"/>
    </row>
    <row r="41512">
      <c r="N41512" s="28"/>
      <c r="O41512" s="28"/>
      <c r="U41512" s="28"/>
    </row>
    <row r="41513">
      <c r="N41513" s="28"/>
      <c r="O41513" s="28"/>
      <c r="U41513" s="28"/>
    </row>
    <row r="41514">
      <c r="N41514" s="28"/>
      <c r="O41514" s="28"/>
      <c r="U41514" s="28"/>
    </row>
    <row r="41515">
      <c r="N41515" s="28"/>
      <c r="O41515" s="28"/>
      <c r="U41515" s="28"/>
    </row>
    <row r="41516">
      <c r="N41516" s="28"/>
      <c r="O41516" s="28"/>
      <c r="U41516" s="28"/>
    </row>
    <row r="41517">
      <c r="N41517" s="28"/>
      <c r="O41517" s="28"/>
      <c r="U41517" s="28"/>
    </row>
    <row r="41518">
      <c r="N41518" s="28"/>
      <c r="O41518" s="28"/>
      <c r="U41518" s="28"/>
    </row>
    <row r="41519">
      <c r="N41519" s="28"/>
      <c r="O41519" s="28"/>
      <c r="U41519" s="28"/>
    </row>
    <row r="41520">
      <c r="N41520" s="28"/>
      <c r="O41520" s="28"/>
      <c r="U41520" s="28"/>
    </row>
    <row r="41521">
      <c r="N41521" s="28"/>
      <c r="O41521" s="28"/>
      <c r="U41521" s="28"/>
    </row>
    <row r="41522">
      <c r="N41522" s="28"/>
      <c r="O41522" s="28"/>
      <c r="U41522" s="28"/>
    </row>
    <row r="41523">
      <c r="N41523" s="28"/>
      <c r="O41523" s="28"/>
      <c r="U41523" s="28"/>
    </row>
    <row r="41524">
      <c r="N41524" s="28"/>
      <c r="O41524" s="28"/>
      <c r="U41524" s="28"/>
    </row>
    <row r="41525">
      <c r="N41525" s="28"/>
      <c r="O41525" s="28"/>
      <c r="U41525" s="28"/>
    </row>
    <row r="41526">
      <c r="N41526" s="28"/>
      <c r="O41526" s="28"/>
      <c r="U41526" s="28"/>
    </row>
    <row r="41527">
      <c r="N41527" s="28"/>
      <c r="O41527" s="28"/>
      <c r="U41527" s="28"/>
    </row>
    <row r="41528">
      <c r="N41528" s="28"/>
      <c r="O41528" s="28"/>
      <c r="U41528" s="28"/>
    </row>
    <row r="41529">
      <c r="N41529" s="28"/>
      <c r="O41529" s="28"/>
      <c r="U41529" s="28"/>
    </row>
    <row r="41530">
      <c r="N41530" s="28"/>
      <c r="O41530" s="28"/>
      <c r="U41530" s="28"/>
    </row>
    <row r="41531">
      <c r="N41531" s="28"/>
      <c r="O41531" s="28"/>
      <c r="U41531" s="28"/>
    </row>
    <row r="41532">
      <c r="N41532" s="28"/>
      <c r="O41532" s="28"/>
      <c r="U41532" s="28"/>
    </row>
    <row r="41533">
      <c r="N41533" s="28"/>
      <c r="O41533" s="28"/>
      <c r="U41533" s="28"/>
    </row>
    <row r="41534">
      <c r="N41534" s="28"/>
      <c r="O41534" s="28"/>
      <c r="U41534" s="28"/>
    </row>
    <row r="41535">
      <c r="N41535" s="28"/>
      <c r="O41535" s="28"/>
      <c r="U41535" s="28"/>
    </row>
    <row r="41536">
      <c r="N41536" s="28"/>
      <c r="O41536" s="28"/>
      <c r="U41536" s="28"/>
    </row>
    <row r="41537">
      <c r="N41537" s="28"/>
      <c r="O41537" s="28"/>
      <c r="U41537" s="28"/>
    </row>
    <row r="41538">
      <c r="N41538" s="28"/>
      <c r="O41538" s="28"/>
      <c r="U41538" s="28"/>
    </row>
    <row r="41539">
      <c r="N41539" s="28"/>
      <c r="O41539" s="28"/>
      <c r="U41539" s="28"/>
    </row>
    <row r="41540">
      <c r="N41540" s="28"/>
      <c r="O41540" s="28"/>
      <c r="U41540" s="28"/>
    </row>
    <row r="41541">
      <c r="N41541" s="28"/>
      <c r="O41541" s="28"/>
      <c r="U41541" s="28"/>
    </row>
    <row r="41542">
      <c r="N41542" s="28"/>
      <c r="O41542" s="28"/>
      <c r="U41542" s="28"/>
    </row>
    <row r="41543">
      <c r="N41543" s="28"/>
      <c r="O41543" s="28"/>
      <c r="U41543" s="28"/>
    </row>
    <row r="41544">
      <c r="N41544" s="28"/>
      <c r="O41544" s="28"/>
      <c r="U41544" s="28"/>
    </row>
    <row r="41545">
      <c r="N41545" s="28"/>
      <c r="O41545" s="28"/>
      <c r="U41545" s="28"/>
    </row>
    <row r="41546">
      <c r="N41546" s="28"/>
      <c r="O41546" s="28"/>
      <c r="U41546" s="28"/>
    </row>
    <row r="41547">
      <c r="N41547" s="28"/>
      <c r="O41547" s="28"/>
      <c r="U41547" s="28"/>
    </row>
    <row r="41548">
      <c r="N41548" s="28"/>
      <c r="O41548" s="28"/>
      <c r="U41548" s="28"/>
    </row>
    <row r="41549">
      <c r="N41549" s="28"/>
      <c r="O41549" s="28"/>
      <c r="U41549" s="28"/>
    </row>
    <row r="41550">
      <c r="N41550" s="28"/>
      <c r="O41550" s="28"/>
      <c r="U41550" s="28"/>
    </row>
    <row r="41551">
      <c r="N41551" s="28"/>
      <c r="O41551" s="28"/>
      <c r="U41551" s="28"/>
    </row>
    <row r="41552">
      <c r="N41552" s="28"/>
      <c r="O41552" s="28"/>
      <c r="U41552" s="28"/>
    </row>
    <row r="41553">
      <c r="N41553" s="28"/>
      <c r="O41553" s="28"/>
      <c r="U41553" s="28"/>
    </row>
    <row r="41554">
      <c r="N41554" s="28"/>
      <c r="O41554" s="28"/>
      <c r="U41554" s="28"/>
    </row>
    <row r="41555">
      <c r="N41555" s="28"/>
      <c r="O41555" s="28"/>
      <c r="U41555" s="28"/>
    </row>
    <row r="41556">
      <c r="N41556" s="28"/>
      <c r="O41556" s="28"/>
      <c r="U41556" s="28"/>
    </row>
    <row r="41557">
      <c r="N41557" s="28"/>
      <c r="O41557" s="28"/>
      <c r="U41557" s="28"/>
    </row>
    <row r="41558">
      <c r="N41558" s="28"/>
      <c r="O41558" s="28"/>
      <c r="U41558" s="28"/>
    </row>
    <row r="41559">
      <c r="N41559" s="28"/>
      <c r="O41559" s="28"/>
      <c r="U41559" s="28"/>
    </row>
    <row r="41560">
      <c r="N41560" s="28"/>
      <c r="O41560" s="28"/>
      <c r="U41560" s="28"/>
    </row>
    <row r="41561">
      <c r="N41561" s="28"/>
      <c r="O41561" s="28"/>
      <c r="U41561" s="28"/>
    </row>
    <row r="41562">
      <c r="N41562" s="28"/>
      <c r="O41562" s="28"/>
      <c r="U41562" s="28"/>
    </row>
    <row r="41563">
      <c r="N41563" s="28"/>
      <c r="O41563" s="28"/>
      <c r="U41563" s="28"/>
    </row>
    <row r="41564">
      <c r="N41564" s="28"/>
      <c r="O41564" s="28"/>
      <c r="U41564" s="28"/>
    </row>
    <row r="41565">
      <c r="N41565" s="28"/>
      <c r="O41565" s="28"/>
      <c r="U41565" s="28"/>
    </row>
    <row r="41566">
      <c r="N41566" s="28"/>
      <c r="O41566" s="28"/>
      <c r="U41566" s="28"/>
    </row>
    <row r="41567">
      <c r="N41567" s="28"/>
      <c r="O41567" s="28"/>
      <c r="U41567" s="28"/>
    </row>
    <row r="41568">
      <c r="N41568" s="28"/>
      <c r="O41568" s="28"/>
      <c r="U41568" s="28"/>
    </row>
    <row r="41569">
      <c r="N41569" s="28"/>
      <c r="O41569" s="28"/>
      <c r="U41569" s="28"/>
    </row>
    <row r="41570">
      <c r="N41570" s="28"/>
      <c r="O41570" s="28"/>
      <c r="U41570" s="28"/>
    </row>
    <row r="41571">
      <c r="N41571" s="28"/>
      <c r="O41571" s="28"/>
      <c r="U41571" s="28"/>
    </row>
    <row r="41572">
      <c r="N41572" s="28"/>
      <c r="O41572" s="28"/>
      <c r="U41572" s="28"/>
    </row>
    <row r="41573">
      <c r="N41573" s="28"/>
      <c r="O41573" s="28"/>
      <c r="U41573" s="28"/>
    </row>
    <row r="41574">
      <c r="N41574" s="28"/>
      <c r="O41574" s="28"/>
      <c r="U41574" s="28"/>
    </row>
    <row r="41575">
      <c r="N41575" s="28"/>
      <c r="O41575" s="28"/>
      <c r="U41575" s="28"/>
    </row>
    <row r="41576">
      <c r="N41576" s="28"/>
      <c r="O41576" s="28"/>
      <c r="U41576" s="28"/>
    </row>
    <row r="41577">
      <c r="N41577" s="28"/>
      <c r="O41577" s="28"/>
      <c r="U41577" s="28"/>
    </row>
    <row r="41578">
      <c r="N41578" s="28"/>
      <c r="O41578" s="28"/>
      <c r="U41578" s="28"/>
    </row>
    <row r="41579">
      <c r="N41579" s="28"/>
      <c r="O41579" s="28"/>
      <c r="U41579" s="28"/>
    </row>
    <row r="41580">
      <c r="N41580" s="28"/>
      <c r="O41580" s="28"/>
      <c r="U41580" s="28"/>
    </row>
    <row r="41581">
      <c r="N41581" s="28"/>
      <c r="O41581" s="28"/>
      <c r="U41581" s="28"/>
    </row>
    <row r="41582">
      <c r="N41582" s="28"/>
      <c r="O41582" s="28"/>
      <c r="U41582" s="28"/>
    </row>
    <row r="41583">
      <c r="N41583" s="28"/>
      <c r="O41583" s="28"/>
      <c r="U41583" s="28"/>
    </row>
    <row r="41584">
      <c r="N41584" s="28"/>
      <c r="O41584" s="28"/>
      <c r="U41584" s="28"/>
    </row>
    <row r="41585">
      <c r="N41585" s="28"/>
      <c r="O41585" s="28"/>
      <c r="U41585" s="28"/>
    </row>
    <row r="41586">
      <c r="N41586" s="28"/>
      <c r="O41586" s="28"/>
      <c r="U41586" s="28"/>
    </row>
    <row r="41587">
      <c r="N41587" s="28"/>
      <c r="O41587" s="28"/>
      <c r="U41587" s="28"/>
    </row>
    <row r="41588">
      <c r="N41588" s="28"/>
      <c r="O41588" s="28"/>
      <c r="U41588" s="28"/>
    </row>
    <row r="41589">
      <c r="N41589" s="28"/>
      <c r="O41589" s="28"/>
      <c r="U41589" s="28"/>
    </row>
    <row r="41590">
      <c r="N41590" s="28"/>
      <c r="O41590" s="28"/>
      <c r="U41590" s="28"/>
    </row>
    <row r="41591">
      <c r="N41591" s="28"/>
      <c r="O41591" s="28"/>
      <c r="U41591" s="28"/>
    </row>
    <row r="41592">
      <c r="N41592" s="28"/>
      <c r="O41592" s="28"/>
      <c r="U41592" s="28"/>
    </row>
    <row r="41593">
      <c r="N41593" s="28"/>
      <c r="O41593" s="28"/>
      <c r="U41593" s="28"/>
    </row>
    <row r="41594">
      <c r="N41594" s="28"/>
      <c r="O41594" s="28"/>
      <c r="U41594" s="28"/>
    </row>
    <row r="41595">
      <c r="N41595" s="28"/>
      <c r="O41595" s="28"/>
      <c r="U41595" s="28"/>
    </row>
    <row r="41596">
      <c r="N41596" s="28"/>
      <c r="O41596" s="28"/>
      <c r="U41596" s="28"/>
    </row>
    <row r="41597">
      <c r="N41597" s="28"/>
      <c r="O41597" s="28"/>
      <c r="U41597" s="28"/>
    </row>
    <row r="41598">
      <c r="N41598" s="28"/>
      <c r="O41598" s="28"/>
      <c r="U41598" s="28"/>
    </row>
    <row r="41599">
      <c r="N41599" s="28"/>
      <c r="O41599" s="28"/>
      <c r="U41599" s="28"/>
    </row>
    <row r="41600">
      <c r="N41600" s="28"/>
      <c r="O41600" s="28"/>
      <c r="U41600" s="28"/>
    </row>
    <row r="41601">
      <c r="N41601" s="28"/>
      <c r="O41601" s="28"/>
      <c r="U41601" s="28"/>
    </row>
    <row r="41602">
      <c r="N41602" s="28"/>
      <c r="O41602" s="28"/>
      <c r="U41602" s="28"/>
    </row>
    <row r="41603">
      <c r="N41603" s="28"/>
      <c r="O41603" s="28"/>
      <c r="U41603" s="28"/>
    </row>
    <row r="41604">
      <c r="N41604" s="28"/>
      <c r="O41604" s="28"/>
      <c r="U41604" s="28"/>
    </row>
    <row r="41605">
      <c r="N41605" s="28"/>
      <c r="O41605" s="28"/>
      <c r="U41605" s="28"/>
    </row>
    <row r="41606">
      <c r="N41606" s="28"/>
      <c r="O41606" s="28"/>
      <c r="U41606" s="28"/>
    </row>
    <row r="41607">
      <c r="N41607" s="28"/>
      <c r="O41607" s="28"/>
      <c r="U41607" s="28"/>
    </row>
    <row r="41608">
      <c r="N41608" s="28"/>
      <c r="O41608" s="28"/>
      <c r="U41608" s="28"/>
    </row>
    <row r="41609">
      <c r="N41609" s="28"/>
      <c r="O41609" s="28"/>
      <c r="U41609" s="28"/>
    </row>
    <row r="41610">
      <c r="N41610" s="28"/>
      <c r="O41610" s="28"/>
      <c r="U41610" s="28"/>
    </row>
    <row r="41611">
      <c r="N41611" s="28"/>
      <c r="O41611" s="28"/>
      <c r="U41611" s="28"/>
    </row>
    <row r="41612">
      <c r="N41612" s="28"/>
      <c r="O41612" s="28"/>
      <c r="U41612" s="28"/>
    </row>
    <row r="41613">
      <c r="N41613" s="28"/>
      <c r="O41613" s="28"/>
      <c r="U41613" s="28"/>
    </row>
    <row r="41614">
      <c r="N41614" s="28"/>
      <c r="O41614" s="28"/>
      <c r="U41614" s="28"/>
    </row>
    <row r="41615">
      <c r="N41615" s="28"/>
      <c r="O41615" s="28"/>
      <c r="U41615" s="28"/>
    </row>
    <row r="41616">
      <c r="N41616" s="28"/>
      <c r="O41616" s="28"/>
      <c r="U41616" s="28"/>
    </row>
    <row r="41617">
      <c r="N41617" s="28"/>
      <c r="O41617" s="28"/>
      <c r="U41617" s="28"/>
    </row>
    <row r="41618">
      <c r="N41618" s="28"/>
      <c r="O41618" s="28"/>
      <c r="U41618" s="28"/>
    </row>
    <row r="41619">
      <c r="N41619" s="28"/>
      <c r="O41619" s="28"/>
      <c r="U41619" s="28"/>
    </row>
    <row r="41620">
      <c r="N41620" s="28"/>
      <c r="O41620" s="28"/>
      <c r="U41620" s="28"/>
    </row>
    <row r="41621">
      <c r="N41621" s="28"/>
      <c r="O41621" s="28"/>
      <c r="U41621" s="28"/>
    </row>
    <row r="41622">
      <c r="N41622" s="28"/>
      <c r="O41622" s="28"/>
      <c r="U41622" s="28"/>
    </row>
    <row r="41623">
      <c r="N41623" s="28"/>
      <c r="O41623" s="28"/>
      <c r="U41623" s="28"/>
    </row>
    <row r="41624">
      <c r="N41624" s="28"/>
      <c r="O41624" s="28"/>
      <c r="U41624" s="28"/>
    </row>
    <row r="41625">
      <c r="N41625" s="28"/>
      <c r="O41625" s="28"/>
      <c r="U41625" s="28"/>
    </row>
    <row r="41626">
      <c r="N41626" s="28"/>
      <c r="O41626" s="28"/>
      <c r="U41626" s="28"/>
    </row>
    <row r="41627">
      <c r="N41627" s="28"/>
      <c r="O41627" s="28"/>
      <c r="U41627" s="28"/>
    </row>
    <row r="41628">
      <c r="N41628" s="28"/>
      <c r="O41628" s="28"/>
      <c r="U41628" s="28"/>
    </row>
    <row r="41629">
      <c r="N41629" s="28"/>
      <c r="O41629" s="28"/>
      <c r="U41629" s="28"/>
    </row>
    <row r="41630">
      <c r="N41630" s="28"/>
      <c r="O41630" s="28"/>
      <c r="U41630" s="28"/>
    </row>
    <row r="41631">
      <c r="N41631" s="28"/>
      <c r="O41631" s="28"/>
      <c r="U41631" s="28"/>
    </row>
    <row r="41632">
      <c r="N41632" s="28"/>
      <c r="O41632" s="28"/>
      <c r="U41632" s="28"/>
    </row>
    <row r="41633">
      <c r="N41633" s="28"/>
      <c r="O41633" s="28"/>
      <c r="U41633" s="28"/>
    </row>
    <row r="41634">
      <c r="N41634" s="28"/>
      <c r="O41634" s="28"/>
      <c r="U41634" s="28"/>
    </row>
    <row r="41635">
      <c r="N41635" s="28"/>
      <c r="O41635" s="28"/>
      <c r="U41635" s="28"/>
    </row>
    <row r="41636">
      <c r="N41636" s="28"/>
      <c r="O41636" s="28"/>
      <c r="U41636" s="28"/>
    </row>
    <row r="41637">
      <c r="N41637" s="28"/>
      <c r="O41637" s="28"/>
      <c r="U41637" s="28"/>
    </row>
    <row r="41638">
      <c r="N41638" s="28"/>
      <c r="O41638" s="28"/>
      <c r="U41638" s="28"/>
    </row>
    <row r="41639">
      <c r="N41639" s="28"/>
      <c r="O41639" s="28"/>
      <c r="U41639" s="28"/>
    </row>
    <row r="41640">
      <c r="N41640" s="28"/>
      <c r="O41640" s="28"/>
      <c r="U41640" s="28"/>
    </row>
    <row r="41641">
      <c r="N41641" s="28"/>
      <c r="O41641" s="28"/>
      <c r="U41641" s="28"/>
    </row>
    <row r="41642">
      <c r="N41642" s="28"/>
      <c r="O41642" s="28"/>
      <c r="U41642" s="28"/>
    </row>
    <row r="41643">
      <c r="N41643" s="28"/>
      <c r="O41643" s="28"/>
      <c r="U41643" s="28"/>
    </row>
    <row r="41644">
      <c r="N41644" s="28"/>
      <c r="O41644" s="28"/>
      <c r="U41644" s="28"/>
    </row>
    <row r="41645">
      <c r="N41645" s="28"/>
      <c r="O41645" s="28"/>
      <c r="U41645" s="28"/>
    </row>
    <row r="41646">
      <c r="N41646" s="28"/>
      <c r="O41646" s="28"/>
      <c r="U41646" s="28"/>
    </row>
    <row r="41647">
      <c r="N41647" s="28"/>
      <c r="O41647" s="28"/>
      <c r="U41647" s="28"/>
    </row>
    <row r="41648">
      <c r="N41648" s="28"/>
      <c r="O41648" s="28"/>
      <c r="U41648" s="28"/>
    </row>
    <row r="41649">
      <c r="N41649" s="28"/>
      <c r="O41649" s="28"/>
      <c r="U41649" s="28"/>
    </row>
    <row r="41650">
      <c r="N41650" s="28"/>
      <c r="O41650" s="28"/>
      <c r="U41650" s="28"/>
    </row>
    <row r="41651">
      <c r="N41651" s="28"/>
      <c r="O41651" s="28"/>
      <c r="U41651" s="28"/>
    </row>
    <row r="41652">
      <c r="N41652" s="28"/>
      <c r="O41652" s="28"/>
      <c r="U41652" s="28"/>
    </row>
    <row r="41653">
      <c r="N41653" s="28"/>
      <c r="O41653" s="28"/>
      <c r="U41653" s="28"/>
    </row>
    <row r="41654">
      <c r="N41654" s="28"/>
      <c r="O41654" s="28"/>
      <c r="U41654" s="28"/>
    </row>
    <row r="41655">
      <c r="N41655" s="28"/>
      <c r="O41655" s="28"/>
      <c r="U41655" s="28"/>
    </row>
    <row r="41656">
      <c r="N41656" s="28"/>
      <c r="O41656" s="28"/>
      <c r="U41656" s="28"/>
    </row>
    <row r="41657">
      <c r="N41657" s="28"/>
      <c r="O41657" s="28"/>
      <c r="U41657" s="28"/>
    </row>
    <row r="41658">
      <c r="N41658" s="28"/>
      <c r="O41658" s="28"/>
      <c r="U41658" s="28"/>
    </row>
    <row r="41659">
      <c r="N41659" s="28"/>
      <c r="O41659" s="28"/>
      <c r="U41659" s="28"/>
    </row>
    <row r="41660">
      <c r="N41660" s="28"/>
      <c r="O41660" s="28"/>
      <c r="U41660" s="28"/>
    </row>
    <row r="41661">
      <c r="N41661" s="28"/>
      <c r="O41661" s="28"/>
      <c r="U41661" s="28"/>
    </row>
    <row r="41662">
      <c r="N41662" s="28"/>
      <c r="O41662" s="28"/>
      <c r="U41662" s="28"/>
    </row>
    <row r="41663">
      <c r="N41663" s="28"/>
      <c r="O41663" s="28"/>
      <c r="U41663" s="28"/>
    </row>
    <row r="41664">
      <c r="N41664" s="28"/>
      <c r="O41664" s="28"/>
      <c r="U41664" s="28"/>
    </row>
    <row r="41665">
      <c r="N41665" s="28"/>
      <c r="O41665" s="28"/>
      <c r="U41665" s="28"/>
    </row>
    <row r="41666">
      <c r="N41666" s="28"/>
      <c r="O41666" s="28"/>
      <c r="U41666" s="28"/>
    </row>
    <row r="41667">
      <c r="N41667" s="28"/>
      <c r="O41667" s="28"/>
      <c r="U41667" s="28"/>
    </row>
    <row r="41668">
      <c r="N41668" s="28"/>
      <c r="O41668" s="28"/>
      <c r="U41668" s="28"/>
    </row>
    <row r="41669">
      <c r="N41669" s="28"/>
      <c r="O41669" s="28"/>
      <c r="U41669" s="28"/>
    </row>
    <row r="41670">
      <c r="N41670" s="28"/>
      <c r="O41670" s="28"/>
      <c r="U41670" s="28"/>
    </row>
    <row r="41671">
      <c r="N41671" s="28"/>
      <c r="O41671" s="28"/>
      <c r="U41671" s="28"/>
    </row>
    <row r="41672">
      <c r="N41672" s="28"/>
      <c r="O41672" s="28"/>
      <c r="U41672" s="28"/>
    </row>
    <row r="41673">
      <c r="N41673" s="28"/>
      <c r="O41673" s="28"/>
      <c r="U41673" s="28"/>
    </row>
    <row r="41674">
      <c r="N41674" s="28"/>
      <c r="O41674" s="28"/>
      <c r="U41674" s="28"/>
    </row>
    <row r="41675">
      <c r="N41675" s="28"/>
      <c r="O41675" s="28"/>
      <c r="U41675" s="28"/>
    </row>
    <row r="41676">
      <c r="N41676" s="28"/>
      <c r="O41676" s="28"/>
      <c r="U41676" s="28"/>
    </row>
    <row r="41677">
      <c r="N41677" s="28"/>
      <c r="O41677" s="28"/>
      <c r="U41677" s="28"/>
    </row>
    <row r="41678">
      <c r="N41678" s="28"/>
      <c r="O41678" s="28"/>
      <c r="U41678" s="28"/>
    </row>
    <row r="41679">
      <c r="N41679" s="28"/>
      <c r="O41679" s="28"/>
      <c r="U41679" s="28"/>
    </row>
    <row r="41680">
      <c r="N41680" s="28"/>
      <c r="O41680" s="28"/>
      <c r="U41680" s="28"/>
    </row>
    <row r="41681">
      <c r="N41681" s="28"/>
      <c r="O41681" s="28"/>
      <c r="U41681" s="28"/>
    </row>
    <row r="41682">
      <c r="N41682" s="28"/>
      <c r="O41682" s="28"/>
      <c r="U41682" s="28"/>
    </row>
    <row r="41683">
      <c r="N41683" s="28"/>
      <c r="O41683" s="28"/>
      <c r="U41683" s="28"/>
    </row>
    <row r="41684">
      <c r="N41684" s="28"/>
      <c r="O41684" s="28"/>
      <c r="U41684" s="28"/>
    </row>
    <row r="41685">
      <c r="N41685" s="28"/>
      <c r="O41685" s="28"/>
      <c r="U41685" s="28"/>
    </row>
    <row r="41686">
      <c r="N41686" s="28"/>
      <c r="O41686" s="28"/>
      <c r="U41686" s="28"/>
    </row>
    <row r="41687">
      <c r="N41687" s="28"/>
      <c r="O41687" s="28"/>
      <c r="U41687" s="28"/>
    </row>
    <row r="41688">
      <c r="N41688" s="28"/>
      <c r="O41688" s="28"/>
      <c r="U41688" s="28"/>
    </row>
    <row r="41689">
      <c r="N41689" s="28"/>
      <c r="O41689" s="28"/>
      <c r="U41689" s="28"/>
    </row>
    <row r="41690">
      <c r="N41690" s="28"/>
      <c r="O41690" s="28"/>
      <c r="U41690" s="28"/>
    </row>
    <row r="41691">
      <c r="N41691" s="28"/>
      <c r="O41691" s="28"/>
      <c r="U41691" s="28"/>
    </row>
    <row r="41692">
      <c r="N41692" s="28"/>
      <c r="O41692" s="28"/>
      <c r="U41692" s="28"/>
    </row>
    <row r="41693">
      <c r="N41693" s="28"/>
      <c r="O41693" s="28"/>
      <c r="U41693" s="28"/>
    </row>
    <row r="41694">
      <c r="N41694" s="28"/>
      <c r="O41694" s="28"/>
      <c r="U41694" s="28"/>
    </row>
    <row r="41695">
      <c r="N41695" s="28"/>
      <c r="O41695" s="28"/>
      <c r="U41695" s="28"/>
    </row>
    <row r="41696">
      <c r="N41696" s="28"/>
      <c r="O41696" s="28"/>
      <c r="U41696" s="28"/>
    </row>
    <row r="41697">
      <c r="N41697" s="28"/>
      <c r="O41697" s="28"/>
      <c r="U41697" s="28"/>
    </row>
    <row r="41698">
      <c r="N41698" s="28"/>
      <c r="O41698" s="28"/>
      <c r="U41698" s="28"/>
    </row>
    <row r="41699">
      <c r="N41699" s="28"/>
      <c r="O41699" s="28"/>
      <c r="U41699" s="28"/>
    </row>
    <row r="41700">
      <c r="N41700" s="28"/>
      <c r="O41700" s="28"/>
      <c r="U41700" s="28"/>
    </row>
    <row r="41701">
      <c r="N41701" s="28"/>
      <c r="O41701" s="28"/>
      <c r="U41701" s="28"/>
    </row>
    <row r="41702">
      <c r="N41702" s="28"/>
      <c r="O41702" s="28"/>
      <c r="U41702" s="28"/>
    </row>
    <row r="41703">
      <c r="N41703" s="28"/>
      <c r="O41703" s="28"/>
      <c r="U41703" s="28"/>
    </row>
    <row r="41704">
      <c r="N41704" s="28"/>
      <c r="O41704" s="28"/>
      <c r="U41704" s="28"/>
    </row>
    <row r="41705">
      <c r="N41705" s="28"/>
      <c r="O41705" s="28"/>
      <c r="U41705" s="28"/>
    </row>
    <row r="41706">
      <c r="N41706" s="28"/>
      <c r="O41706" s="28"/>
      <c r="U41706" s="28"/>
    </row>
    <row r="41707">
      <c r="N41707" s="28"/>
      <c r="O41707" s="28"/>
      <c r="U41707" s="28"/>
    </row>
    <row r="41708">
      <c r="N41708" s="28"/>
      <c r="O41708" s="28"/>
      <c r="U41708" s="28"/>
    </row>
    <row r="41709">
      <c r="N41709" s="28"/>
      <c r="O41709" s="28"/>
      <c r="U41709" s="28"/>
    </row>
    <row r="41710">
      <c r="N41710" s="28"/>
      <c r="O41710" s="28"/>
      <c r="U41710" s="28"/>
    </row>
    <row r="41711">
      <c r="N41711" s="28"/>
      <c r="O41711" s="28"/>
      <c r="U41711" s="28"/>
    </row>
    <row r="41712">
      <c r="N41712" s="28"/>
      <c r="O41712" s="28"/>
      <c r="U41712" s="28"/>
    </row>
    <row r="41713">
      <c r="N41713" s="28"/>
      <c r="O41713" s="28"/>
      <c r="U41713" s="28"/>
    </row>
    <row r="41714">
      <c r="N41714" s="28"/>
      <c r="O41714" s="28"/>
      <c r="U41714" s="28"/>
    </row>
    <row r="41715">
      <c r="N41715" s="28"/>
      <c r="O41715" s="28"/>
      <c r="U41715" s="28"/>
    </row>
    <row r="41716">
      <c r="N41716" s="28"/>
      <c r="O41716" s="28"/>
      <c r="U41716" s="28"/>
    </row>
    <row r="41717">
      <c r="N41717" s="28"/>
      <c r="O41717" s="28"/>
      <c r="U41717" s="28"/>
    </row>
    <row r="41718">
      <c r="N41718" s="28"/>
      <c r="O41718" s="28"/>
      <c r="U41718" s="28"/>
    </row>
    <row r="41719">
      <c r="N41719" s="28"/>
      <c r="O41719" s="28"/>
      <c r="U41719" s="28"/>
    </row>
    <row r="41720">
      <c r="N41720" s="28"/>
      <c r="O41720" s="28"/>
      <c r="U41720" s="28"/>
    </row>
    <row r="41721">
      <c r="N41721" s="28"/>
      <c r="O41721" s="28"/>
      <c r="U41721" s="28"/>
    </row>
    <row r="41722">
      <c r="N41722" s="28"/>
      <c r="O41722" s="28"/>
      <c r="U41722" s="28"/>
    </row>
    <row r="41723">
      <c r="N41723" s="28"/>
      <c r="O41723" s="28"/>
      <c r="U41723" s="28"/>
    </row>
    <row r="41724">
      <c r="N41724" s="28"/>
      <c r="O41724" s="28"/>
      <c r="U41724" s="28"/>
    </row>
    <row r="41725">
      <c r="N41725" s="28"/>
      <c r="O41725" s="28"/>
      <c r="U41725" s="28"/>
    </row>
    <row r="41726">
      <c r="N41726" s="28"/>
      <c r="O41726" s="28"/>
      <c r="U41726" s="28"/>
    </row>
    <row r="41727">
      <c r="N41727" s="28"/>
      <c r="O41727" s="28"/>
      <c r="U41727" s="28"/>
    </row>
    <row r="41728">
      <c r="N41728" s="28"/>
      <c r="O41728" s="28"/>
      <c r="U41728" s="28"/>
    </row>
    <row r="41729">
      <c r="N41729" s="28"/>
      <c r="O41729" s="28"/>
      <c r="U41729" s="28"/>
    </row>
    <row r="41730">
      <c r="N41730" s="28"/>
      <c r="O41730" s="28"/>
      <c r="U41730" s="28"/>
    </row>
    <row r="41731">
      <c r="N41731" s="28"/>
      <c r="O41731" s="28"/>
      <c r="U41731" s="28"/>
    </row>
    <row r="41732">
      <c r="N41732" s="28"/>
      <c r="O41732" s="28"/>
      <c r="U41732" s="28"/>
    </row>
    <row r="41733">
      <c r="N41733" s="28"/>
      <c r="O41733" s="28"/>
      <c r="U41733" s="28"/>
    </row>
    <row r="41734">
      <c r="N41734" s="28"/>
      <c r="O41734" s="28"/>
      <c r="U41734" s="28"/>
    </row>
    <row r="41735">
      <c r="N41735" s="28"/>
      <c r="O41735" s="28"/>
      <c r="U41735" s="28"/>
    </row>
    <row r="41736">
      <c r="N41736" s="28"/>
      <c r="O41736" s="28"/>
      <c r="U41736" s="28"/>
    </row>
    <row r="41737">
      <c r="N41737" s="28"/>
      <c r="O41737" s="28"/>
      <c r="U41737" s="28"/>
    </row>
    <row r="41738">
      <c r="N41738" s="28"/>
      <c r="O41738" s="28"/>
      <c r="U41738" s="28"/>
    </row>
    <row r="41739">
      <c r="N41739" s="28"/>
      <c r="O41739" s="28"/>
      <c r="U41739" s="28"/>
    </row>
    <row r="41740">
      <c r="N41740" s="28"/>
      <c r="O41740" s="28"/>
      <c r="U41740" s="28"/>
    </row>
    <row r="41741">
      <c r="N41741" s="28"/>
      <c r="O41741" s="28"/>
      <c r="U41741" s="28"/>
    </row>
    <row r="41742">
      <c r="N41742" s="28"/>
      <c r="O41742" s="28"/>
      <c r="U41742" s="28"/>
    </row>
    <row r="41743">
      <c r="N41743" s="28"/>
      <c r="O41743" s="28"/>
      <c r="U41743" s="28"/>
    </row>
    <row r="41744">
      <c r="N41744" s="28"/>
      <c r="O41744" s="28"/>
      <c r="U41744" s="28"/>
    </row>
    <row r="41745">
      <c r="N41745" s="28"/>
      <c r="O41745" s="28"/>
      <c r="U41745" s="28"/>
    </row>
    <row r="41746">
      <c r="N41746" s="28"/>
      <c r="O41746" s="28"/>
      <c r="U41746" s="28"/>
    </row>
    <row r="41747">
      <c r="N41747" s="28"/>
      <c r="O41747" s="28"/>
      <c r="U41747" s="28"/>
    </row>
    <row r="41748">
      <c r="N41748" s="28"/>
      <c r="O41748" s="28"/>
      <c r="U41748" s="28"/>
    </row>
    <row r="41749">
      <c r="N41749" s="28"/>
      <c r="O41749" s="28"/>
      <c r="U41749" s="28"/>
    </row>
    <row r="41750">
      <c r="N41750" s="28"/>
      <c r="O41750" s="28"/>
      <c r="U41750" s="28"/>
    </row>
    <row r="41751">
      <c r="N41751" s="28"/>
      <c r="O41751" s="28"/>
      <c r="U41751" s="28"/>
    </row>
    <row r="41752">
      <c r="N41752" s="28"/>
      <c r="O41752" s="28"/>
      <c r="U41752" s="28"/>
    </row>
    <row r="41753">
      <c r="N41753" s="28"/>
      <c r="O41753" s="28"/>
      <c r="U41753" s="28"/>
    </row>
    <row r="41754">
      <c r="N41754" s="28"/>
      <c r="O41754" s="28"/>
      <c r="U41754" s="28"/>
    </row>
    <row r="41755">
      <c r="N41755" s="28"/>
      <c r="O41755" s="28"/>
      <c r="U41755" s="28"/>
    </row>
    <row r="41756">
      <c r="N41756" s="28"/>
      <c r="O41756" s="28"/>
      <c r="U41756" s="28"/>
    </row>
    <row r="41757">
      <c r="N41757" s="28"/>
      <c r="O41757" s="28"/>
      <c r="U41757" s="28"/>
    </row>
    <row r="41758">
      <c r="N41758" s="28"/>
      <c r="O41758" s="28"/>
      <c r="U41758" s="28"/>
    </row>
    <row r="41759">
      <c r="N41759" s="28"/>
      <c r="O41759" s="28"/>
      <c r="U41759" s="28"/>
    </row>
    <row r="41760">
      <c r="N41760" s="28"/>
      <c r="O41760" s="28"/>
      <c r="U41760" s="28"/>
    </row>
    <row r="41761">
      <c r="N41761" s="28"/>
      <c r="O41761" s="28"/>
      <c r="U41761" s="28"/>
    </row>
    <row r="41762">
      <c r="N41762" s="28"/>
      <c r="O41762" s="28"/>
      <c r="U41762" s="28"/>
    </row>
    <row r="41763">
      <c r="N41763" s="28"/>
      <c r="O41763" s="28"/>
      <c r="U41763" s="28"/>
    </row>
    <row r="41764">
      <c r="N41764" s="28"/>
      <c r="O41764" s="28"/>
      <c r="U41764" s="28"/>
    </row>
    <row r="41765">
      <c r="N41765" s="28"/>
      <c r="O41765" s="28"/>
      <c r="U41765" s="28"/>
    </row>
    <row r="41766">
      <c r="N41766" s="28"/>
      <c r="O41766" s="28"/>
      <c r="U41766" s="28"/>
    </row>
    <row r="41767">
      <c r="N41767" s="28"/>
      <c r="O41767" s="28"/>
      <c r="U41767" s="28"/>
    </row>
    <row r="41768">
      <c r="N41768" s="28"/>
      <c r="O41768" s="28"/>
      <c r="U41768" s="28"/>
    </row>
    <row r="41769">
      <c r="N41769" s="28"/>
      <c r="O41769" s="28"/>
      <c r="U41769" s="28"/>
    </row>
    <row r="41770">
      <c r="N41770" s="28"/>
      <c r="O41770" s="28"/>
      <c r="U41770" s="28"/>
    </row>
    <row r="41771">
      <c r="N41771" s="28"/>
      <c r="O41771" s="28"/>
      <c r="U41771" s="28"/>
    </row>
    <row r="41772">
      <c r="N41772" s="28"/>
      <c r="O41772" s="28"/>
      <c r="U41772" s="28"/>
    </row>
    <row r="41773">
      <c r="N41773" s="28"/>
      <c r="O41773" s="28"/>
      <c r="U41773" s="28"/>
    </row>
    <row r="41774">
      <c r="N41774" s="28"/>
      <c r="O41774" s="28"/>
      <c r="U41774" s="28"/>
    </row>
    <row r="41775">
      <c r="N41775" s="28"/>
      <c r="O41775" s="28"/>
      <c r="U41775" s="28"/>
    </row>
    <row r="41776">
      <c r="N41776" s="28"/>
      <c r="O41776" s="28"/>
      <c r="U41776" s="28"/>
    </row>
    <row r="41777">
      <c r="N41777" s="28"/>
      <c r="O41777" s="28"/>
      <c r="U41777" s="28"/>
    </row>
    <row r="41778">
      <c r="N41778" s="28"/>
      <c r="O41778" s="28"/>
      <c r="U41778" s="28"/>
    </row>
    <row r="41779">
      <c r="N41779" s="28"/>
      <c r="O41779" s="28"/>
      <c r="U41779" s="28"/>
    </row>
    <row r="41780">
      <c r="N41780" s="28"/>
      <c r="O41780" s="28"/>
      <c r="U41780" s="28"/>
    </row>
    <row r="41781">
      <c r="N41781" s="28"/>
      <c r="O41781" s="28"/>
      <c r="U41781" s="28"/>
    </row>
    <row r="41782">
      <c r="N41782" s="28"/>
      <c r="O41782" s="28"/>
      <c r="U41782" s="28"/>
    </row>
    <row r="41783">
      <c r="N41783" s="28"/>
      <c r="O41783" s="28"/>
      <c r="U41783" s="28"/>
    </row>
    <row r="41784">
      <c r="N41784" s="28"/>
      <c r="O41784" s="28"/>
      <c r="U41784" s="28"/>
    </row>
    <row r="41785">
      <c r="N41785" s="28"/>
      <c r="O41785" s="28"/>
      <c r="U41785" s="28"/>
    </row>
    <row r="41786">
      <c r="N41786" s="28"/>
      <c r="O41786" s="28"/>
      <c r="U41786" s="28"/>
    </row>
    <row r="41787">
      <c r="N41787" s="28"/>
      <c r="O41787" s="28"/>
      <c r="U41787" s="28"/>
    </row>
    <row r="41788">
      <c r="N41788" s="28"/>
      <c r="O41788" s="28"/>
      <c r="U41788" s="28"/>
    </row>
    <row r="41789">
      <c r="N41789" s="28"/>
      <c r="O41789" s="28"/>
      <c r="U41789" s="28"/>
    </row>
    <row r="41790">
      <c r="N41790" s="28"/>
      <c r="O41790" s="28"/>
      <c r="U41790" s="28"/>
    </row>
    <row r="41791">
      <c r="N41791" s="28"/>
      <c r="O41791" s="28"/>
      <c r="U41791" s="28"/>
    </row>
    <row r="41792">
      <c r="N41792" s="28"/>
      <c r="O41792" s="28"/>
      <c r="U41792" s="28"/>
    </row>
    <row r="41793">
      <c r="N41793" s="28"/>
      <c r="O41793" s="28"/>
      <c r="U41793" s="28"/>
    </row>
    <row r="41794">
      <c r="N41794" s="28"/>
      <c r="O41794" s="28"/>
      <c r="U41794" s="28"/>
    </row>
    <row r="41795">
      <c r="N41795" s="28"/>
      <c r="O41795" s="28"/>
      <c r="U41795" s="28"/>
    </row>
    <row r="41796">
      <c r="N41796" s="28"/>
      <c r="O41796" s="28"/>
      <c r="U41796" s="28"/>
    </row>
    <row r="41797">
      <c r="N41797" s="28"/>
      <c r="O41797" s="28"/>
      <c r="U41797" s="28"/>
    </row>
    <row r="41798">
      <c r="N41798" s="28"/>
      <c r="O41798" s="28"/>
      <c r="U41798" s="28"/>
    </row>
    <row r="41799">
      <c r="N41799" s="28"/>
      <c r="O41799" s="28"/>
      <c r="U41799" s="28"/>
    </row>
    <row r="41800">
      <c r="N41800" s="28"/>
      <c r="O41800" s="28"/>
      <c r="U41800" s="28"/>
    </row>
    <row r="41801">
      <c r="N41801" s="28"/>
      <c r="O41801" s="28"/>
      <c r="U41801" s="28"/>
    </row>
    <row r="41802">
      <c r="N41802" s="28"/>
      <c r="O41802" s="28"/>
      <c r="U41802" s="28"/>
    </row>
    <row r="41803">
      <c r="N41803" s="28"/>
      <c r="O41803" s="28"/>
      <c r="U41803" s="28"/>
    </row>
    <row r="41804">
      <c r="N41804" s="28"/>
      <c r="O41804" s="28"/>
      <c r="U41804" s="28"/>
    </row>
    <row r="41805">
      <c r="N41805" s="28"/>
      <c r="O41805" s="28"/>
      <c r="U41805" s="28"/>
    </row>
    <row r="41806">
      <c r="N41806" s="28"/>
      <c r="O41806" s="28"/>
      <c r="U41806" s="28"/>
    </row>
    <row r="41807">
      <c r="N41807" s="28"/>
      <c r="O41807" s="28"/>
      <c r="U41807" s="28"/>
    </row>
    <row r="41808">
      <c r="N41808" s="28"/>
      <c r="O41808" s="28"/>
      <c r="U41808" s="28"/>
    </row>
    <row r="41809">
      <c r="N41809" s="28"/>
      <c r="O41809" s="28"/>
      <c r="U41809" s="28"/>
    </row>
    <row r="41810">
      <c r="N41810" s="28"/>
      <c r="O41810" s="28"/>
      <c r="U41810" s="28"/>
    </row>
    <row r="41811">
      <c r="N41811" s="28"/>
      <c r="O41811" s="28"/>
      <c r="U41811" s="28"/>
    </row>
    <row r="41812">
      <c r="N41812" s="28"/>
      <c r="O41812" s="28"/>
      <c r="U41812" s="28"/>
    </row>
    <row r="41813">
      <c r="N41813" s="28"/>
      <c r="O41813" s="28"/>
      <c r="U41813" s="28"/>
    </row>
    <row r="41814">
      <c r="N41814" s="28"/>
      <c r="O41814" s="28"/>
      <c r="U41814" s="28"/>
    </row>
    <row r="41815">
      <c r="N41815" s="28"/>
      <c r="O41815" s="28"/>
      <c r="U41815" s="28"/>
    </row>
    <row r="41816">
      <c r="N41816" s="28"/>
      <c r="O41816" s="28"/>
      <c r="U41816" s="28"/>
    </row>
    <row r="41817">
      <c r="N41817" s="28"/>
      <c r="O41817" s="28"/>
      <c r="U41817" s="28"/>
    </row>
    <row r="41818">
      <c r="N41818" s="28"/>
      <c r="O41818" s="28"/>
      <c r="U41818" s="28"/>
    </row>
    <row r="41819">
      <c r="N41819" s="28"/>
      <c r="O41819" s="28"/>
      <c r="U41819" s="28"/>
    </row>
    <row r="41820">
      <c r="N41820" s="28"/>
      <c r="O41820" s="28"/>
      <c r="U41820" s="28"/>
    </row>
    <row r="41821">
      <c r="N41821" s="28"/>
      <c r="O41821" s="28"/>
      <c r="U41821" s="28"/>
    </row>
    <row r="41822">
      <c r="N41822" s="28"/>
      <c r="O41822" s="28"/>
      <c r="U41822" s="28"/>
    </row>
    <row r="41823">
      <c r="N41823" s="28"/>
      <c r="O41823" s="28"/>
      <c r="U41823" s="28"/>
    </row>
    <row r="41824">
      <c r="N41824" s="28"/>
      <c r="O41824" s="28"/>
      <c r="U41824" s="28"/>
    </row>
    <row r="41825">
      <c r="N41825" s="28"/>
      <c r="O41825" s="28"/>
      <c r="U41825" s="28"/>
    </row>
    <row r="41826">
      <c r="N41826" s="28"/>
      <c r="O41826" s="28"/>
      <c r="U41826" s="28"/>
    </row>
    <row r="41827">
      <c r="N41827" s="28"/>
      <c r="O41827" s="28"/>
      <c r="U41827" s="28"/>
    </row>
    <row r="41828">
      <c r="N41828" s="28"/>
      <c r="O41828" s="28"/>
      <c r="U41828" s="28"/>
    </row>
    <row r="41829">
      <c r="N41829" s="28"/>
      <c r="O41829" s="28"/>
      <c r="U41829" s="28"/>
    </row>
    <row r="41830">
      <c r="N41830" s="28"/>
      <c r="O41830" s="28"/>
      <c r="U41830" s="28"/>
    </row>
    <row r="41831">
      <c r="N41831" s="28"/>
      <c r="O41831" s="28"/>
      <c r="U41831" s="28"/>
    </row>
    <row r="41832">
      <c r="N41832" s="28"/>
      <c r="O41832" s="28"/>
      <c r="U41832" s="28"/>
    </row>
    <row r="41833">
      <c r="N41833" s="28"/>
      <c r="O41833" s="28"/>
      <c r="U41833" s="28"/>
    </row>
    <row r="41834">
      <c r="N41834" s="28"/>
      <c r="O41834" s="28"/>
      <c r="U41834" s="28"/>
    </row>
    <row r="41835">
      <c r="N41835" s="28"/>
      <c r="O41835" s="28"/>
      <c r="U41835" s="28"/>
    </row>
    <row r="41836">
      <c r="N41836" s="28"/>
      <c r="O41836" s="28"/>
      <c r="U41836" s="28"/>
    </row>
    <row r="41837">
      <c r="N41837" s="28"/>
      <c r="O41837" s="28"/>
      <c r="U41837" s="28"/>
    </row>
    <row r="41838">
      <c r="N41838" s="28"/>
      <c r="O41838" s="28"/>
      <c r="U41838" s="28"/>
    </row>
    <row r="41839">
      <c r="N41839" s="28"/>
      <c r="O41839" s="28"/>
      <c r="U41839" s="28"/>
    </row>
    <row r="41840">
      <c r="N41840" s="28"/>
      <c r="O41840" s="28"/>
      <c r="U41840" s="28"/>
    </row>
    <row r="41841">
      <c r="N41841" s="28"/>
      <c r="O41841" s="28"/>
      <c r="U41841" s="28"/>
    </row>
    <row r="41842">
      <c r="N41842" s="28"/>
      <c r="O41842" s="28"/>
      <c r="U41842" s="28"/>
    </row>
    <row r="41843">
      <c r="N41843" s="28"/>
      <c r="O41843" s="28"/>
      <c r="U41843" s="28"/>
    </row>
    <row r="41844">
      <c r="N41844" s="28"/>
      <c r="O41844" s="28"/>
      <c r="U41844" s="28"/>
    </row>
    <row r="41845">
      <c r="N41845" s="28"/>
      <c r="O41845" s="28"/>
      <c r="U41845" s="28"/>
    </row>
    <row r="41846">
      <c r="N41846" s="28"/>
      <c r="O41846" s="28"/>
      <c r="U41846" s="28"/>
    </row>
    <row r="41847">
      <c r="N41847" s="28"/>
      <c r="O41847" s="28"/>
      <c r="U41847" s="28"/>
    </row>
    <row r="41848">
      <c r="N41848" s="28"/>
      <c r="O41848" s="28"/>
      <c r="U41848" s="28"/>
    </row>
    <row r="41849">
      <c r="N41849" s="28"/>
      <c r="O41849" s="28"/>
      <c r="U41849" s="28"/>
    </row>
    <row r="41850">
      <c r="N41850" s="28"/>
      <c r="O41850" s="28"/>
      <c r="U41850" s="28"/>
    </row>
    <row r="41851">
      <c r="N41851" s="28"/>
      <c r="O41851" s="28"/>
      <c r="U41851" s="28"/>
    </row>
    <row r="41852">
      <c r="N41852" s="28"/>
      <c r="O41852" s="28"/>
      <c r="U41852" s="28"/>
    </row>
    <row r="41853">
      <c r="N41853" s="28"/>
      <c r="O41853" s="28"/>
      <c r="U41853" s="28"/>
    </row>
    <row r="41854">
      <c r="N41854" s="28"/>
      <c r="O41854" s="28"/>
      <c r="U41854" s="28"/>
    </row>
    <row r="41855">
      <c r="N41855" s="28"/>
      <c r="O41855" s="28"/>
      <c r="U41855" s="28"/>
    </row>
    <row r="41856">
      <c r="N41856" s="28"/>
      <c r="O41856" s="28"/>
      <c r="U41856" s="28"/>
    </row>
    <row r="41857">
      <c r="N41857" s="28"/>
      <c r="O41857" s="28"/>
      <c r="U41857" s="28"/>
    </row>
    <row r="41858">
      <c r="N41858" s="28"/>
      <c r="O41858" s="28"/>
      <c r="U41858" s="28"/>
    </row>
    <row r="41859">
      <c r="N41859" s="28"/>
      <c r="O41859" s="28"/>
      <c r="U41859" s="28"/>
    </row>
    <row r="41860">
      <c r="N41860" s="28"/>
      <c r="O41860" s="28"/>
      <c r="U41860" s="28"/>
    </row>
    <row r="41861">
      <c r="N41861" s="28"/>
      <c r="O41861" s="28"/>
      <c r="U41861" s="28"/>
    </row>
    <row r="41862">
      <c r="N41862" s="28"/>
      <c r="O41862" s="28"/>
      <c r="U41862" s="28"/>
    </row>
    <row r="41863">
      <c r="N41863" s="28"/>
      <c r="O41863" s="28"/>
      <c r="U41863" s="28"/>
    </row>
    <row r="41864">
      <c r="N41864" s="28"/>
      <c r="O41864" s="28"/>
      <c r="U41864" s="28"/>
    </row>
    <row r="41865">
      <c r="N41865" s="28"/>
      <c r="O41865" s="28"/>
      <c r="U41865" s="28"/>
    </row>
    <row r="41866">
      <c r="N41866" s="28"/>
      <c r="O41866" s="28"/>
      <c r="U41866" s="28"/>
    </row>
    <row r="41867">
      <c r="N41867" s="28"/>
      <c r="O41867" s="28"/>
      <c r="U41867" s="28"/>
    </row>
    <row r="41868">
      <c r="N41868" s="28"/>
      <c r="O41868" s="28"/>
      <c r="U41868" s="28"/>
    </row>
    <row r="41869">
      <c r="N41869" s="28"/>
      <c r="O41869" s="28"/>
      <c r="U41869" s="28"/>
    </row>
    <row r="41870">
      <c r="N41870" s="28"/>
      <c r="O41870" s="28"/>
      <c r="U41870" s="28"/>
    </row>
    <row r="41871">
      <c r="N41871" s="28"/>
      <c r="O41871" s="28"/>
      <c r="U41871" s="28"/>
    </row>
    <row r="41872">
      <c r="N41872" s="28"/>
      <c r="O41872" s="28"/>
      <c r="U41872" s="28"/>
    </row>
    <row r="41873">
      <c r="N41873" s="28"/>
      <c r="O41873" s="28"/>
      <c r="U41873" s="28"/>
    </row>
    <row r="41874">
      <c r="N41874" s="28"/>
      <c r="O41874" s="28"/>
      <c r="U41874" s="28"/>
    </row>
    <row r="41875">
      <c r="N41875" s="28"/>
      <c r="O41875" s="28"/>
      <c r="U41875" s="28"/>
    </row>
    <row r="41876">
      <c r="N41876" s="28"/>
      <c r="O41876" s="28"/>
      <c r="U41876" s="28"/>
    </row>
    <row r="41877">
      <c r="N41877" s="28"/>
      <c r="O41877" s="28"/>
      <c r="U41877" s="28"/>
    </row>
    <row r="41878">
      <c r="N41878" s="28"/>
      <c r="O41878" s="28"/>
      <c r="U41878" s="28"/>
    </row>
    <row r="41879">
      <c r="N41879" s="28"/>
      <c r="O41879" s="28"/>
      <c r="U41879" s="28"/>
    </row>
    <row r="41880">
      <c r="N41880" s="28"/>
      <c r="O41880" s="28"/>
      <c r="U41880" s="28"/>
    </row>
    <row r="41881">
      <c r="N41881" s="28"/>
      <c r="O41881" s="28"/>
      <c r="U41881" s="28"/>
    </row>
    <row r="41882">
      <c r="N41882" s="28"/>
      <c r="O41882" s="28"/>
      <c r="U41882" s="28"/>
    </row>
    <row r="41883">
      <c r="N41883" s="28"/>
      <c r="O41883" s="28"/>
      <c r="U41883" s="28"/>
    </row>
    <row r="41884">
      <c r="N41884" s="28"/>
      <c r="O41884" s="28"/>
      <c r="U41884" s="28"/>
    </row>
    <row r="41885">
      <c r="N41885" s="28"/>
      <c r="O41885" s="28"/>
      <c r="U41885" s="28"/>
    </row>
    <row r="41886">
      <c r="N41886" s="28"/>
      <c r="O41886" s="28"/>
      <c r="U41886" s="28"/>
    </row>
    <row r="41887">
      <c r="N41887" s="28"/>
      <c r="O41887" s="28"/>
      <c r="U41887" s="28"/>
    </row>
    <row r="41888">
      <c r="N41888" s="28"/>
      <c r="O41888" s="28"/>
      <c r="U41888" s="28"/>
    </row>
    <row r="41889">
      <c r="N41889" s="28"/>
      <c r="O41889" s="28"/>
      <c r="U41889" s="28"/>
    </row>
    <row r="41890">
      <c r="N41890" s="28"/>
      <c r="O41890" s="28"/>
      <c r="U41890" s="28"/>
    </row>
    <row r="41891">
      <c r="N41891" s="28"/>
      <c r="O41891" s="28"/>
      <c r="U41891" s="28"/>
    </row>
    <row r="41892">
      <c r="N41892" s="28"/>
      <c r="O41892" s="28"/>
      <c r="U41892" s="28"/>
    </row>
    <row r="41893">
      <c r="N41893" s="28"/>
      <c r="O41893" s="28"/>
      <c r="U41893" s="28"/>
    </row>
    <row r="41894">
      <c r="N41894" s="28"/>
      <c r="O41894" s="28"/>
      <c r="U41894" s="28"/>
    </row>
    <row r="41895">
      <c r="N41895" s="28"/>
      <c r="O41895" s="28"/>
      <c r="U41895" s="28"/>
    </row>
    <row r="41896">
      <c r="N41896" s="28"/>
      <c r="O41896" s="28"/>
      <c r="U41896" s="28"/>
    </row>
    <row r="41897">
      <c r="N41897" s="28"/>
      <c r="O41897" s="28"/>
      <c r="U41897" s="28"/>
    </row>
    <row r="41898">
      <c r="N41898" s="28"/>
      <c r="O41898" s="28"/>
      <c r="U41898" s="28"/>
    </row>
    <row r="41899">
      <c r="N41899" s="28"/>
      <c r="O41899" s="28"/>
      <c r="U41899" s="28"/>
    </row>
    <row r="41900">
      <c r="N41900" s="28"/>
      <c r="O41900" s="28"/>
      <c r="U41900" s="28"/>
    </row>
    <row r="41901">
      <c r="N41901" s="28"/>
      <c r="O41901" s="28"/>
      <c r="U41901" s="28"/>
    </row>
    <row r="41902">
      <c r="N41902" s="28"/>
      <c r="O41902" s="28"/>
      <c r="U41902" s="28"/>
    </row>
    <row r="41903">
      <c r="N41903" s="28"/>
      <c r="O41903" s="28"/>
      <c r="U41903" s="28"/>
    </row>
    <row r="41904">
      <c r="N41904" s="28"/>
      <c r="O41904" s="28"/>
      <c r="U41904" s="28"/>
    </row>
    <row r="41905">
      <c r="N41905" s="28"/>
      <c r="O41905" s="28"/>
      <c r="U41905" s="28"/>
    </row>
    <row r="41906">
      <c r="N41906" s="28"/>
      <c r="O41906" s="28"/>
      <c r="U41906" s="28"/>
    </row>
    <row r="41907">
      <c r="N41907" s="28"/>
      <c r="O41907" s="28"/>
      <c r="U41907" s="28"/>
    </row>
    <row r="41908">
      <c r="N41908" s="28"/>
      <c r="O41908" s="28"/>
      <c r="U41908" s="28"/>
    </row>
    <row r="41909">
      <c r="N41909" s="28"/>
      <c r="O41909" s="28"/>
      <c r="U41909" s="28"/>
    </row>
    <row r="41910">
      <c r="N41910" s="28"/>
      <c r="O41910" s="28"/>
      <c r="U41910" s="28"/>
    </row>
    <row r="41911">
      <c r="N41911" s="28"/>
      <c r="O41911" s="28"/>
      <c r="U41911" s="28"/>
    </row>
    <row r="41912">
      <c r="N41912" s="28"/>
      <c r="O41912" s="28"/>
      <c r="U41912" s="28"/>
    </row>
    <row r="41913">
      <c r="N41913" s="28"/>
      <c r="O41913" s="28"/>
      <c r="U41913" s="28"/>
    </row>
    <row r="41914">
      <c r="N41914" s="28"/>
      <c r="O41914" s="28"/>
      <c r="U41914" s="28"/>
    </row>
    <row r="41915">
      <c r="N41915" s="28"/>
      <c r="O41915" s="28"/>
      <c r="U41915" s="28"/>
    </row>
    <row r="41916">
      <c r="N41916" s="28"/>
      <c r="O41916" s="28"/>
      <c r="U41916" s="28"/>
    </row>
    <row r="41917">
      <c r="N41917" s="28"/>
      <c r="O41917" s="28"/>
      <c r="U41917" s="28"/>
    </row>
    <row r="41918">
      <c r="N41918" s="28"/>
      <c r="O41918" s="28"/>
      <c r="U41918" s="28"/>
    </row>
    <row r="41919">
      <c r="N41919" s="28"/>
      <c r="O41919" s="28"/>
      <c r="U41919" s="28"/>
    </row>
    <row r="41920">
      <c r="N41920" s="28"/>
      <c r="O41920" s="28"/>
      <c r="U41920" s="28"/>
    </row>
    <row r="41921">
      <c r="N41921" s="28"/>
      <c r="O41921" s="28"/>
      <c r="U41921" s="28"/>
    </row>
    <row r="41922">
      <c r="N41922" s="28"/>
      <c r="O41922" s="28"/>
      <c r="U41922" s="28"/>
    </row>
    <row r="41923">
      <c r="N41923" s="28"/>
      <c r="O41923" s="28"/>
      <c r="U41923" s="28"/>
    </row>
    <row r="41924">
      <c r="N41924" s="28"/>
      <c r="O41924" s="28"/>
      <c r="U41924" s="28"/>
    </row>
    <row r="41925">
      <c r="N41925" s="28"/>
      <c r="O41925" s="28"/>
      <c r="U41925" s="28"/>
    </row>
    <row r="41926">
      <c r="N41926" s="28"/>
      <c r="O41926" s="28"/>
      <c r="U41926" s="28"/>
    </row>
    <row r="41927">
      <c r="N41927" s="28"/>
      <c r="O41927" s="28"/>
      <c r="U41927" s="28"/>
    </row>
    <row r="41928">
      <c r="N41928" s="28"/>
      <c r="O41928" s="28"/>
      <c r="U41928" s="28"/>
    </row>
    <row r="41929">
      <c r="N41929" s="28"/>
      <c r="O41929" s="28"/>
      <c r="U41929" s="28"/>
    </row>
    <row r="41930">
      <c r="N41930" s="28"/>
      <c r="O41930" s="28"/>
      <c r="U41930" s="28"/>
    </row>
    <row r="41931">
      <c r="N41931" s="28"/>
      <c r="O41931" s="28"/>
      <c r="U41931" s="28"/>
    </row>
    <row r="41932">
      <c r="N41932" s="28"/>
      <c r="O41932" s="28"/>
      <c r="U41932" s="28"/>
    </row>
    <row r="41933">
      <c r="N41933" s="28"/>
      <c r="O41933" s="28"/>
      <c r="U41933" s="28"/>
    </row>
    <row r="41934">
      <c r="N41934" s="28"/>
      <c r="O41934" s="28"/>
      <c r="U41934" s="28"/>
    </row>
    <row r="41935">
      <c r="N41935" s="28"/>
      <c r="O41935" s="28"/>
      <c r="U41935" s="28"/>
    </row>
    <row r="41936">
      <c r="N41936" s="28"/>
      <c r="O41936" s="28"/>
      <c r="U41936" s="28"/>
    </row>
    <row r="41937">
      <c r="N41937" s="28"/>
      <c r="O41937" s="28"/>
      <c r="U41937" s="28"/>
    </row>
    <row r="41938">
      <c r="N41938" s="28"/>
      <c r="O41938" s="28"/>
      <c r="U41938" s="28"/>
    </row>
    <row r="41939">
      <c r="N41939" s="28"/>
      <c r="O41939" s="28"/>
      <c r="U41939" s="28"/>
    </row>
    <row r="41940">
      <c r="N41940" s="28"/>
      <c r="O41940" s="28"/>
      <c r="U41940" s="28"/>
    </row>
    <row r="41941">
      <c r="N41941" s="28"/>
      <c r="O41941" s="28"/>
      <c r="U41941" s="28"/>
    </row>
    <row r="41942">
      <c r="N41942" s="28"/>
      <c r="O41942" s="28"/>
      <c r="U41942" s="28"/>
    </row>
    <row r="41943">
      <c r="N41943" s="28"/>
      <c r="O41943" s="28"/>
      <c r="U41943" s="28"/>
    </row>
    <row r="41944">
      <c r="N41944" s="28"/>
      <c r="O41944" s="28"/>
      <c r="U41944" s="28"/>
    </row>
    <row r="41945">
      <c r="N41945" s="28"/>
      <c r="O41945" s="28"/>
      <c r="U41945" s="28"/>
    </row>
    <row r="41946">
      <c r="N41946" s="28"/>
      <c r="O41946" s="28"/>
      <c r="U41946" s="28"/>
    </row>
    <row r="41947">
      <c r="N41947" s="28"/>
      <c r="O41947" s="28"/>
      <c r="U41947" s="28"/>
    </row>
    <row r="41948">
      <c r="N41948" s="28"/>
      <c r="O41948" s="28"/>
      <c r="U41948" s="28"/>
    </row>
    <row r="41949">
      <c r="N41949" s="28"/>
      <c r="O41949" s="28"/>
      <c r="U41949" s="28"/>
    </row>
    <row r="41950">
      <c r="N41950" s="28"/>
      <c r="O41950" s="28"/>
      <c r="U41950" s="28"/>
    </row>
    <row r="41951">
      <c r="N41951" s="28"/>
      <c r="O41951" s="28"/>
      <c r="U41951" s="28"/>
    </row>
    <row r="41952">
      <c r="N41952" s="28"/>
      <c r="O41952" s="28"/>
      <c r="U41952" s="28"/>
    </row>
    <row r="41953">
      <c r="N41953" s="28"/>
      <c r="O41953" s="28"/>
      <c r="U41953" s="28"/>
    </row>
    <row r="41954">
      <c r="N41954" s="28"/>
      <c r="O41954" s="28"/>
      <c r="U41954" s="28"/>
    </row>
    <row r="41955">
      <c r="N41955" s="28"/>
      <c r="O41955" s="28"/>
      <c r="U41955" s="28"/>
    </row>
    <row r="41956">
      <c r="N41956" s="28"/>
      <c r="O41956" s="28"/>
      <c r="U41956" s="28"/>
    </row>
    <row r="41957">
      <c r="N41957" s="28"/>
      <c r="O41957" s="28"/>
      <c r="U41957" s="28"/>
    </row>
    <row r="41958">
      <c r="N41958" s="28"/>
      <c r="O41958" s="28"/>
      <c r="U41958" s="28"/>
    </row>
    <row r="41959">
      <c r="N41959" s="28"/>
      <c r="O41959" s="28"/>
      <c r="U41959" s="28"/>
    </row>
    <row r="41960">
      <c r="N41960" s="28"/>
      <c r="O41960" s="28"/>
      <c r="U41960" s="28"/>
    </row>
    <row r="41961">
      <c r="N41961" s="28"/>
      <c r="O41961" s="28"/>
      <c r="U41961" s="28"/>
    </row>
    <row r="41962">
      <c r="N41962" s="28"/>
      <c r="O41962" s="28"/>
      <c r="U41962" s="28"/>
    </row>
    <row r="41963">
      <c r="N41963" s="28"/>
      <c r="O41963" s="28"/>
      <c r="U41963" s="28"/>
    </row>
    <row r="41964">
      <c r="N41964" s="28"/>
      <c r="O41964" s="28"/>
      <c r="U41964" s="28"/>
    </row>
    <row r="41965">
      <c r="N41965" s="28"/>
      <c r="O41965" s="28"/>
      <c r="U41965" s="28"/>
    </row>
    <row r="41966">
      <c r="N41966" s="28"/>
      <c r="O41966" s="28"/>
      <c r="U41966" s="28"/>
    </row>
    <row r="41967">
      <c r="N41967" s="28"/>
      <c r="O41967" s="28"/>
      <c r="U41967" s="28"/>
    </row>
    <row r="41968">
      <c r="N41968" s="28"/>
      <c r="O41968" s="28"/>
      <c r="U41968" s="28"/>
    </row>
    <row r="41969">
      <c r="N41969" s="28"/>
      <c r="O41969" s="28"/>
      <c r="U41969" s="28"/>
    </row>
    <row r="41970">
      <c r="N41970" s="28"/>
      <c r="O41970" s="28"/>
      <c r="U41970" s="28"/>
    </row>
    <row r="41971">
      <c r="N41971" s="28"/>
      <c r="O41971" s="28"/>
      <c r="U41971" s="28"/>
    </row>
    <row r="41972">
      <c r="N41972" s="28"/>
      <c r="O41972" s="28"/>
      <c r="U41972" s="28"/>
    </row>
    <row r="41973">
      <c r="N41973" s="28"/>
      <c r="O41973" s="28"/>
      <c r="U41973" s="28"/>
    </row>
    <row r="41974">
      <c r="N41974" s="28"/>
      <c r="O41974" s="28"/>
      <c r="U41974" s="28"/>
    </row>
    <row r="41975">
      <c r="N41975" s="28"/>
      <c r="O41975" s="28"/>
      <c r="U41975" s="28"/>
    </row>
    <row r="41976">
      <c r="N41976" s="28"/>
      <c r="O41976" s="28"/>
      <c r="U41976" s="28"/>
    </row>
    <row r="41977">
      <c r="N41977" s="28"/>
      <c r="O41977" s="28"/>
      <c r="U41977" s="28"/>
    </row>
    <row r="41978">
      <c r="N41978" s="28"/>
      <c r="O41978" s="28"/>
      <c r="U41978" s="28"/>
    </row>
    <row r="41979">
      <c r="N41979" s="28"/>
      <c r="O41979" s="28"/>
      <c r="U41979" s="28"/>
    </row>
    <row r="41980">
      <c r="N41980" s="28"/>
      <c r="O41980" s="28"/>
      <c r="U41980" s="28"/>
    </row>
    <row r="41981">
      <c r="N41981" s="28"/>
      <c r="O41981" s="28"/>
      <c r="U41981" s="28"/>
    </row>
    <row r="41982">
      <c r="N41982" s="28"/>
      <c r="O41982" s="28"/>
      <c r="U41982" s="28"/>
    </row>
    <row r="41983">
      <c r="N41983" s="28"/>
      <c r="O41983" s="28"/>
      <c r="U41983" s="28"/>
    </row>
    <row r="41984">
      <c r="N41984" s="28"/>
      <c r="O41984" s="28"/>
      <c r="U41984" s="28"/>
    </row>
    <row r="41985">
      <c r="N41985" s="28"/>
      <c r="O41985" s="28"/>
      <c r="U41985" s="28"/>
    </row>
    <row r="41986">
      <c r="N41986" s="28"/>
      <c r="O41986" s="28"/>
      <c r="U41986" s="28"/>
    </row>
    <row r="41987">
      <c r="N41987" s="28"/>
      <c r="O41987" s="28"/>
      <c r="U41987" s="28"/>
    </row>
    <row r="41988">
      <c r="N41988" s="28"/>
      <c r="O41988" s="28"/>
      <c r="U41988" s="28"/>
    </row>
    <row r="41989">
      <c r="N41989" s="28"/>
      <c r="O41989" s="28"/>
      <c r="U41989" s="28"/>
    </row>
    <row r="41990">
      <c r="N41990" s="28"/>
      <c r="O41990" s="28"/>
      <c r="U41990" s="28"/>
    </row>
    <row r="41991">
      <c r="N41991" s="28"/>
      <c r="O41991" s="28"/>
      <c r="U41991" s="28"/>
    </row>
    <row r="41992">
      <c r="N41992" s="28"/>
      <c r="O41992" s="28"/>
      <c r="U41992" s="28"/>
    </row>
    <row r="41993">
      <c r="N41993" s="28"/>
      <c r="O41993" s="28"/>
      <c r="U41993" s="28"/>
    </row>
    <row r="41994">
      <c r="N41994" s="28"/>
      <c r="O41994" s="28"/>
      <c r="U41994" s="28"/>
    </row>
    <row r="41995">
      <c r="N41995" s="28"/>
      <c r="O41995" s="28"/>
      <c r="U41995" s="28"/>
    </row>
    <row r="41996">
      <c r="N41996" s="28"/>
      <c r="O41996" s="28"/>
      <c r="U41996" s="28"/>
    </row>
    <row r="41997">
      <c r="N41997" s="28"/>
      <c r="O41997" s="28"/>
      <c r="U41997" s="28"/>
    </row>
    <row r="41998">
      <c r="N41998" s="28"/>
      <c r="O41998" s="28"/>
      <c r="U41998" s="28"/>
    </row>
    <row r="41999">
      <c r="N41999" s="28"/>
      <c r="O41999" s="28"/>
      <c r="U41999" s="28"/>
    </row>
    <row r="42000">
      <c r="N42000" s="28"/>
      <c r="O42000" s="28"/>
      <c r="U42000" s="28"/>
    </row>
    <row r="42001">
      <c r="N42001" s="28"/>
      <c r="O42001" s="28"/>
      <c r="U42001" s="28"/>
    </row>
    <row r="42002">
      <c r="N42002" s="28"/>
      <c r="O42002" s="28"/>
      <c r="U42002" s="28"/>
    </row>
    <row r="42003">
      <c r="N42003" s="28"/>
      <c r="O42003" s="28"/>
      <c r="U42003" s="28"/>
    </row>
    <row r="42004">
      <c r="N42004" s="28"/>
      <c r="O42004" s="28"/>
      <c r="U42004" s="28"/>
    </row>
    <row r="42005">
      <c r="N42005" s="28"/>
      <c r="O42005" s="28"/>
      <c r="U42005" s="28"/>
    </row>
    <row r="42006">
      <c r="N42006" s="28"/>
      <c r="O42006" s="28"/>
      <c r="U42006" s="28"/>
    </row>
    <row r="42007">
      <c r="N42007" s="28"/>
      <c r="O42007" s="28"/>
      <c r="U42007" s="28"/>
    </row>
    <row r="42008">
      <c r="N42008" s="28"/>
      <c r="O42008" s="28"/>
      <c r="U42008" s="28"/>
    </row>
    <row r="42009">
      <c r="N42009" s="28"/>
      <c r="O42009" s="28"/>
      <c r="U42009" s="28"/>
    </row>
    <row r="42010">
      <c r="N42010" s="28"/>
      <c r="O42010" s="28"/>
      <c r="U42010" s="28"/>
    </row>
    <row r="42011">
      <c r="N42011" s="28"/>
      <c r="O42011" s="28"/>
      <c r="U42011" s="28"/>
    </row>
    <row r="42012">
      <c r="N42012" s="28"/>
      <c r="O42012" s="28"/>
      <c r="U42012" s="28"/>
    </row>
    <row r="42013">
      <c r="N42013" s="28"/>
      <c r="O42013" s="28"/>
      <c r="U42013" s="28"/>
    </row>
    <row r="42014">
      <c r="N42014" s="28"/>
      <c r="O42014" s="28"/>
      <c r="U42014" s="28"/>
    </row>
    <row r="42015">
      <c r="N42015" s="28"/>
      <c r="O42015" s="28"/>
      <c r="U42015" s="28"/>
    </row>
    <row r="42016">
      <c r="N42016" s="28"/>
      <c r="O42016" s="28"/>
      <c r="U42016" s="28"/>
    </row>
    <row r="42017">
      <c r="N42017" s="28"/>
      <c r="O42017" s="28"/>
      <c r="U42017" s="28"/>
    </row>
    <row r="42018">
      <c r="N42018" s="28"/>
      <c r="O42018" s="28"/>
      <c r="U42018" s="28"/>
    </row>
    <row r="42019">
      <c r="N42019" s="28"/>
      <c r="O42019" s="28"/>
      <c r="U42019" s="28"/>
    </row>
    <row r="42020">
      <c r="N42020" s="28"/>
      <c r="O42020" s="28"/>
      <c r="U42020" s="28"/>
    </row>
    <row r="42021">
      <c r="N42021" s="28"/>
      <c r="O42021" s="28"/>
      <c r="U42021" s="28"/>
    </row>
    <row r="42022">
      <c r="N42022" s="28"/>
      <c r="O42022" s="28"/>
      <c r="U42022" s="28"/>
    </row>
    <row r="42023">
      <c r="N42023" s="28"/>
      <c r="O42023" s="28"/>
      <c r="U42023" s="28"/>
    </row>
    <row r="42024">
      <c r="N42024" s="28"/>
      <c r="O42024" s="28"/>
      <c r="U42024" s="28"/>
    </row>
    <row r="42025">
      <c r="N42025" s="28"/>
      <c r="O42025" s="28"/>
      <c r="U42025" s="28"/>
    </row>
    <row r="42026">
      <c r="N42026" s="28"/>
      <c r="O42026" s="28"/>
      <c r="U42026" s="28"/>
    </row>
    <row r="42027">
      <c r="N42027" s="28"/>
      <c r="O42027" s="28"/>
      <c r="U42027" s="28"/>
    </row>
    <row r="42028">
      <c r="N42028" s="28"/>
      <c r="O42028" s="28"/>
      <c r="U42028" s="28"/>
    </row>
    <row r="42029">
      <c r="N42029" s="28"/>
      <c r="O42029" s="28"/>
      <c r="U42029" s="28"/>
    </row>
    <row r="42030">
      <c r="N42030" s="28"/>
      <c r="O42030" s="28"/>
      <c r="U42030" s="28"/>
    </row>
    <row r="42031">
      <c r="N42031" s="28"/>
      <c r="O42031" s="28"/>
      <c r="U42031" s="28"/>
    </row>
    <row r="42032">
      <c r="N42032" s="28"/>
      <c r="O42032" s="28"/>
      <c r="U42032" s="28"/>
    </row>
    <row r="42033">
      <c r="N42033" s="28"/>
      <c r="O42033" s="28"/>
      <c r="U42033" s="28"/>
    </row>
    <row r="42034">
      <c r="N42034" s="28"/>
      <c r="O42034" s="28"/>
      <c r="U42034" s="28"/>
    </row>
    <row r="42035">
      <c r="N42035" s="28"/>
      <c r="O42035" s="28"/>
      <c r="U42035" s="28"/>
    </row>
    <row r="42036">
      <c r="N42036" s="28"/>
      <c r="O42036" s="28"/>
      <c r="U42036" s="28"/>
    </row>
    <row r="42037">
      <c r="N42037" s="28"/>
      <c r="O42037" s="28"/>
      <c r="U42037" s="28"/>
    </row>
    <row r="42038">
      <c r="N42038" s="28"/>
      <c r="O42038" s="28"/>
      <c r="U42038" s="28"/>
    </row>
    <row r="42039">
      <c r="N42039" s="28"/>
      <c r="O42039" s="28"/>
      <c r="U42039" s="28"/>
    </row>
    <row r="42040">
      <c r="N42040" s="28"/>
      <c r="O42040" s="28"/>
      <c r="U42040" s="28"/>
    </row>
    <row r="42041">
      <c r="N42041" s="28"/>
      <c r="O42041" s="28"/>
      <c r="U42041" s="28"/>
    </row>
    <row r="42042">
      <c r="N42042" s="28"/>
      <c r="O42042" s="28"/>
      <c r="U42042" s="28"/>
    </row>
    <row r="42043">
      <c r="N42043" s="28"/>
      <c r="O42043" s="28"/>
      <c r="U42043" s="28"/>
    </row>
    <row r="42044">
      <c r="N42044" s="28"/>
      <c r="O42044" s="28"/>
      <c r="U42044" s="28"/>
    </row>
    <row r="42045">
      <c r="N42045" s="28"/>
      <c r="O42045" s="28"/>
      <c r="U42045" s="28"/>
    </row>
    <row r="42046">
      <c r="N42046" s="28"/>
      <c r="O42046" s="28"/>
      <c r="U42046" s="28"/>
    </row>
    <row r="42047">
      <c r="N42047" s="28"/>
      <c r="O42047" s="28"/>
      <c r="U42047" s="28"/>
    </row>
    <row r="42048">
      <c r="N42048" s="28"/>
      <c r="O42048" s="28"/>
      <c r="U42048" s="28"/>
    </row>
    <row r="42049">
      <c r="N42049" s="28"/>
      <c r="O42049" s="28"/>
      <c r="U42049" s="28"/>
    </row>
    <row r="42050">
      <c r="N42050" s="28"/>
      <c r="O42050" s="28"/>
      <c r="U42050" s="28"/>
    </row>
    <row r="42051">
      <c r="N42051" s="28"/>
      <c r="O42051" s="28"/>
      <c r="U42051" s="28"/>
    </row>
    <row r="42052">
      <c r="N42052" s="28"/>
      <c r="O42052" s="28"/>
      <c r="U42052" s="28"/>
    </row>
    <row r="42053">
      <c r="N42053" s="28"/>
      <c r="O42053" s="28"/>
      <c r="U42053" s="28"/>
    </row>
    <row r="42054">
      <c r="N42054" s="28"/>
      <c r="O42054" s="28"/>
      <c r="U42054" s="28"/>
    </row>
    <row r="42055">
      <c r="N42055" s="28"/>
      <c r="O42055" s="28"/>
      <c r="U42055" s="28"/>
    </row>
    <row r="42056">
      <c r="N42056" s="28"/>
      <c r="O42056" s="28"/>
      <c r="U42056" s="28"/>
    </row>
    <row r="42057">
      <c r="N42057" s="28"/>
      <c r="O42057" s="28"/>
      <c r="U42057" s="28"/>
    </row>
    <row r="42058">
      <c r="N42058" s="28"/>
      <c r="O42058" s="28"/>
      <c r="U42058" s="28"/>
    </row>
    <row r="42059">
      <c r="N42059" s="28"/>
      <c r="O42059" s="28"/>
      <c r="U42059" s="28"/>
    </row>
    <row r="42060">
      <c r="N42060" s="28"/>
      <c r="O42060" s="28"/>
      <c r="U42060" s="28"/>
    </row>
    <row r="42061">
      <c r="N42061" s="28"/>
      <c r="O42061" s="28"/>
      <c r="U42061" s="28"/>
    </row>
    <row r="42062">
      <c r="N42062" s="28"/>
      <c r="O42062" s="28"/>
      <c r="U42062" s="28"/>
    </row>
    <row r="42063">
      <c r="N42063" s="28"/>
      <c r="O42063" s="28"/>
      <c r="U42063" s="28"/>
    </row>
    <row r="42064">
      <c r="N42064" s="28"/>
      <c r="O42064" s="28"/>
      <c r="U42064" s="28"/>
    </row>
    <row r="42065">
      <c r="N42065" s="28"/>
      <c r="O42065" s="28"/>
      <c r="U42065" s="28"/>
    </row>
    <row r="42066">
      <c r="N42066" s="28"/>
      <c r="O42066" s="28"/>
      <c r="U42066" s="28"/>
    </row>
    <row r="42067">
      <c r="N42067" s="28"/>
      <c r="O42067" s="28"/>
      <c r="U42067" s="28"/>
    </row>
    <row r="42068">
      <c r="N42068" s="28"/>
      <c r="O42068" s="28"/>
      <c r="U42068" s="28"/>
    </row>
    <row r="42069">
      <c r="N42069" s="28"/>
      <c r="O42069" s="28"/>
      <c r="U42069" s="28"/>
    </row>
    <row r="42070">
      <c r="N42070" s="28"/>
      <c r="O42070" s="28"/>
      <c r="U42070" s="28"/>
    </row>
    <row r="42071">
      <c r="N42071" s="28"/>
      <c r="O42071" s="28"/>
      <c r="U42071" s="28"/>
    </row>
    <row r="42072">
      <c r="N42072" s="28"/>
      <c r="O42072" s="28"/>
      <c r="U42072" s="28"/>
    </row>
    <row r="42073">
      <c r="N42073" s="28"/>
      <c r="O42073" s="28"/>
      <c r="U42073" s="28"/>
    </row>
    <row r="42074">
      <c r="N42074" s="28"/>
      <c r="O42074" s="28"/>
      <c r="U42074" s="28"/>
    </row>
    <row r="42075">
      <c r="N42075" s="28"/>
      <c r="O42075" s="28"/>
      <c r="U42075" s="28"/>
    </row>
    <row r="42076">
      <c r="N42076" s="28"/>
      <c r="O42076" s="28"/>
      <c r="U42076" s="28"/>
    </row>
    <row r="42077">
      <c r="N42077" s="28"/>
      <c r="O42077" s="28"/>
      <c r="U42077" s="28"/>
    </row>
    <row r="42078">
      <c r="N42078" s="28"/>
      <c r="O42078" s="28"/>
      <c r="U42078" s="28"/>
    </row>
    <row r="42079">
      <c r="N42079" s="28"/>
      <c r="O42079" s="28"/>
      <c r="U42079" s="28"/>
    </row>
    <row r="42080">
      <c r="N42080" s="28"/>
      <c r="O42080" s="28"/>
      <c r="U42080" s="28"/>
    </row>
    <row r="42081">
      <c r="N42081" s="28"/>
      <c r="O42081" s="28"/>
      <c r="U42081" s="28"/>
    </row>
    <row r="42082">
      <c r="N42082" s="28"/>
      <c r="O42082" s="28"/>
      <c r="U42082" s="28"/>
    </row>
    <row r="42083">
      <c r="N42083" s="28"/>
      <c r="O42083" s="28"/>
      <c r="U42083" s="28"/>
    </row>
    <row r="42084">
      <c r="N42084" s="28"/>
      <c r="O42084" s="28"/>
      <c r="U42084" s="28"/>
    </row>
    <row r="42085">
      <c r="N42085" s="28"/>
      <c r="O42085" s="28"/>
      <c r="U42085" s="28"/>
    </row>
    <row r="42086">
      <c r="N42086" s="28"/>
      <c r="O42086" s="28"/>
      <c r="U42086" s="28"/>
    </row>
    <row r="42087">
      <c r="N42087" s="28"/>
      <c r="O42087" s="28"/>
      <c r="U42087" s="28"/>
    </row>
    <row r="42088">
      <c r="N42088" s="28"/>
      <c r="O42088" s="28"/>
      <c r="U42088" s="28"/>
    </row>
    <row r="42089">
      <c r="N42089" s="28"/>
      <c r="O42089" s="28"/>
      <c r="U42089" s="28"/>
    </row>
    <row r="42090">
      <c r="N42090" s="28"/>
      <c r="O42090" s="28"/>
      <c r="U42090" s="28"/>
    </row>
    <row r="42091">
      <c r="N42091" s="28"/>
      <c r="O42091" s="28"/>
      <c r="U42091" s="28"/>
    </row>
    <row r="42092">
      <c r="N42092" s="28"/>
      <c r="O42092" s="28"/>
      <c r="U42092" s="28"/>
    </row>
    <row r="42093">
      <c r="N42093" s="28"/>
      <c r="O42093" s="28"/>
      <c r="U42093" s="28"/>
    </row>
    <row r="42094">
      <c r="N42094" s="28"/>
      <c r="O42094" s="28"/>
      <c r="U42094" s="28"/>
    </row>
    <row r="42095">
      <c r="N42095" s="28"/>
      <c r="O42095" s="28"/>
      <c r="U42095" s="28"/>
    </row>
    <row r="42096">
      <c r="N42096" s="28"/>
      <c r="O42096" s="28"/>
      <c r="U42096" s="28"/>
    </row>
    <row r="42097">
      <c r="N42097" s="28"/>
      <c r="O42097" s="28"/>
      <c r="U42097" s="28"/>
    </row>
    <row r="42098">
      <c r="N42098" s="28"/>
      <c r="O42098" s="28"/>
      <c r="U42098" s="28"/>
    </row>
    <row r="42099">
      <c r="N42099" s="28"/>
      <c r="O42099" s="28"/>
      <c r="U42099" s="28"/>
    </row>
    <row r="42100">
      <c r="N42100" s="28"/>
      <c r="O42100" s="28"/>
      <c r="U42100" s="28"/>
    </row>
    <row r="42101">
      <c r="N42101" s="28"/>
      <c r="O42101" s="28"/>
      <c r="U42101" s="28"/>
    </row>
    <row r="42102">
      <c r="N42102" s="28"/>
      <c r="O42102" s="28"/>
      <c r="U42102" s="28"/>
    </row>
    <row r="42103">
      <c r="N42103" s="28"/>
      <c r="O42103" s="28"/>
      <c r="U42103" s="28"/>
    </row>
    <row r="42104">
      <c r="N42104" s="28"/>
      <c r="O42104" s="28"/>
      <c r="U42104" s="28"/>
    </row>
    <row r="42105">
      <c r="N42105" s="28"/>
      <c r="O42105" s="28"/>
      <c r="U42105" s="28"/>
    </row>
    <row r="42106">
      <c r="N42106" s="28"/>
      <c r="O42106" s="28"/>
      <c r="U42106" s="28"/>
    </row>
    <row r="42107">
      <c r="N42107" s="28"/>
      <c r="O42107" s="28"/>
      <c r="U42107" s="28"/>
    </row>
    <row r="42108">
      <c r="N42108" s="28"/>
      <c r="O42108" s="28"/>
      <c r="U42108" s="28"/>
    </row>
    <row r="42109">
      <c r="N42109" s="28"/>
      <c r="O42109" s="28"/>
      <c r="U42109" s="28"/>
    </row>
    <row r="42110">
      <c r="N42110" s="28"/>
      <c r="O42110" s="28"/>
      <c r="U42110" s="28"/>
    </row>
    <row r="42111">
      <c r="N42111" s="28"/>
      <c r="O42111" s="28"/>
      <c r="U42111" s="28"/>
    </row>
    <row r="42112">
      <c r="N42112" s="28"/>
      <c r="O42112" s="28"/>
      <c r="U42112" s="28"/>
    </row>
    <row r="42113">
      <c r="N42113" s="28"/>
      <c r="O42113" s="28"/>
      <c r="U42113" s="28"/>
    </row>
    <row r="42114">
      <c r="N42114" s="28"/>
      <c r="O42114" s="28"/>
      <c r="U42114" s="28"/>
    </row>
    <row r="42115">
      <c r="N42115" s="28"/>
      <c r="O42115" s="28"/>
      <c r="U42115" s="28"/>
    </row>
    <row r="42116">
      <c r="N42116" s="28"/>
      <c r="O42116" s="28"/>
      <c r="U42116" s="28"/>
    </row>
    <row r="42117">
      <c r="N42117" s="28"/>
      <c r="O42117" s="28"/>
      <c r="U42117" s="28"/>
    </row>
    <row r="42118">
      <c r="N42118" s="28"/>
      <c r="O42118" s="28"/>
      <c r="U42118" s="28"/>
    </row>
    <row r="42119">
      <c r="N42119" s="28"/>
      <c r="O42119" s="28"/>
      <c r="U42119" s="28"/>
    </row>
    <row r="42120">
      <c r="N42120" s="28"/>
      <c r="O42120" s="28"/>
      <c r="U42120" s="28"/>
    </row>
    <row r="42121">
      <c r="N42121" s="28"/>
      <c r="O42121" s="28"/>
      <c r="U42121" s="28"/>
    </row>
    <row r="42122">
      <c r="N42122" s="28"/>
      <c r="O42122" s="28"/>
      <c r="U42122" s="28"/>
    </row>
    <row r="42123">
      <c r="N42123" s="28"/>
      <c r="O42123" s="28"/>
      <c r="U42123" s="28"/>
    </row>
    <row r="42124">
      <c r="N42124" s="28"/>
      <c r="O42124" s="28"/>
      <c r="U42124" s="28"/>
    </row>
    <row r="42125">
      <c r="N42125" s="28"/>
      <c r="O42125" s="28"/>
      <c r="U42125" s="28"/>
    </row>
    <row r="42126">
      <c r="N42126" s="28"/>
      <c r="O42126" s="28"/>
      <c r="U42126" s="28"/>
    </row>
    <row r="42127">
      <c r="N42127" s="28"/>
      <c r="O42127" s="28"/>
      <c r="U42127" s="28"/>
    </row>
    <row r="42128">
      <c r="N42128" s="28"/>
      <c r="O42128" s="28"/>
      <c r="U42128" s="28"/>
    </row>
    <row r="42129">
      <c r="N42129" s="28"/>
      <c r="O42129" s="28"/>
      <c r="U42129" s="28"/>
    </row>
    <row r="42130">
      <c r="N42130" s="28"/>
      <c r="O42130" s="28"/>
      <c r="U42130" s="28"/>
    </row>
    <row r="42131">
      <c r="N42131" s="28"/>
      <c r="O42131" s="28"/>
      <c r="U42131" s="28"/>
    </row>
    <row r="42132">
      <c r="N42132" s="28"/>
      <c r="O42132" s="28"/>
      <c r="U42132" s="28"/>
    </row>
    <row r="42133">
      <c r="N42133" s="28"/>
      <c r="O42133" s="28"/>
      <c r="U42133" s="28"/>
    </row>
    <row r="42134">
      <c r="N42134" s="28"/>
      <c r="O42134" s="28"/>
      <c r="U42134" s="28"/>
    </row>
    <row r="42135">
      <c r="N42135" s="28"/>
      <c r="O42135" s="28"/>
      <c r="U42135" s="28"/>
    </row>
    <row r="42136">
      <c r="N42136" s="28"/>
      <c r="O42136" s="28"/>
      <c r="U42136" s="28"/>
    </row>
    <row r="42137">
      <c r="N42137" s="28"/>
      <c r="O42137" s="28"/>
      <c r="U42137" s="28"/>
    </row>
    <row r="42138">
      <c r="N42138" s="28"/>
      <c r="O42138" s="28"/>
      <c r="U42138" s="28"/>
    </row>
    <row r="42139">
      <c r="N42139" s="28"/>
      <c r="O42139" s="28"/>
      <c r="U42139" s="28"/>
    </row>
    <row r="42140">
      <c r="N42140" s="28"/>
      <c r="O42140" s="28"/>
      <c r="U42140" s="28"/>
    </row>
    <row r="42141">
      <c r="N42141" s="28"/>
      <c r="O42141" s="28"/>
      <c r="U42141" s="28"/>
    </row>
    <row r="42142">
      <c r="N42142" s="28"/>
      <c r="O42142" s="28"/>
      <c r="U42142" s="28"/>
    </row>
    <row r="42143">
      <c r="N42143" s="28"/>
      <c r="O42143" s="28"/>
      <c r="U42143" s="28"/>
    </row>
    <row r="42144">
      <c r="N42144" s="28"/>
      <c r="O42144" s="28"/>
      <c r="U42144" s="28"/>
    </row>
    <row r="42145">
      <c r="N42145" s="28"/>
      <c r="O42145" s="28"/>
      <c r="U42145" s="28"/>
    </row>
    <row r="42146">
      <c r="N42146" s="28"/>
      <c r="O42146" s="28"/>
      <c r="U42146" s="28"/>
    </row>
    <row r="42147">
      <c r="N42147" s="28"/>
      <c r="O42147" s="28"/>
      <c r="U42147" s="28"/>
    </row>
    <row r="42148">
      <c r="N42148" s="28"/>
      <c r="O42148" s="28"/>
      <c r="U42148" s="28"/>
    </row>
    <row r="42149">
      <c r="N42149" s="28"/>
      <c r="O42149" s="28"/>
      <c r="U42149" s="28"/>
    </row>
    <row r="42150">
      <c r="N42150" s="28"/>
      <c r="O42150" s="28"/>
      <c r="U42150" s="28"/>
    </row>
    <row r="42151">
      <c r="N42151" s="28"/>
      <c r="O42151" s="28"/>
      <c r="U42151" s="28"/>
    </row>
    <row r="42152">
      <c r="N42152" s="28"/>
      <c r="O42152" s="28"/>
      <c r="U42152" s="28"/>
    </row>
    <row r="42153">
      <c r="N42153" s="28"/>
      <c r="O42153" s="28"/>
      <c r="U42153" s="28"/>
    </row>
    <row r="42154">
      <c r="N42154" s="28"/>
      <c r="O42154" s="28"/>
      <c r="U42154" s="28"/>
    </row>
    <row r="42155">
      <c r="N42155" s="28"/>
      <c r="O42155" s="28"/>
      <c r="U42155" s="28"/>
    </row>
    <row r="42156">
      <c r="N42156" s="28"/>
      <c r="O42156" s="28"/>
      <c r="U42156" s="28"/>
    </row>
    <row r="42157">
      <c r="N42157" s="28"/>
      <c r="O42157" s="28"/>
      <c r="U42157" s="28"/>
    </row>
    <row r="42158">
      <c r="N42158" s="28"/>
      <c r="O42158" s="28"/>
      <c r="U42158" s="28"/>
    </row>
    <row r="42159">
      <c r="N42159" s="28"/>
      <c r="O42159" s="28"/>
      <c r="U42159" s="28"/>
    </row>
    <row r="42160">
      <c r="N42160" s="28"/>
      <c r="O42160" s="28"/>
      <c r="U42160" s="28"/>
    </row>
    <row r="42161">
      <c r="N42161" s="28"/>
      <c r="O42161" s="28"/>
      <c r="U42161" s="28"/>
    </row>
    <row r="42162">
      <c r="N42162" s="28"/>
      <c r="O42162" s="28"/>
      <c r="U42162" s="28"/>
    </row>
    <row r="42163">
      <c r="N42163" s="28"/>
      <c r="O42163" s="28"/>
      <c r="U42163" s="28"/>
    </row>
    <row r="42164">
      <c r="N42164" s="28"/>
      <c r="O42164" s="28"/>
      <c r="U42164" s="28"/>
    </row>
    <row r="42165">
      <c r="N42165" s="28"/>
      <c r="O42165" s="28"/>
      <c r="U42165" s="28"/>
    </row>
    <row r="42166">
      <c r="N42166" s="28"/>
      <c r="O42166" s="28"/>
      <c r="U42166" s="28"/>
    </row>
    <row r="42167">
      <c r="N42167" s="28"/>
      <c r="O42167" s="28"/>
      <c r="U42167" s="28"/>
    </row>
    <row r="42168">
      <c r="N42168" s="28"/>
      <c r="O42168" s="28"/>
      <c r="U42168" s="28"/>
    </row>
    <row r="42169">
      <c r="N42169" s="28"/>
      <c r="O42169" s="28"/>
      <c r="U42169" s="28"/>
    </row>
    <row r="42170">
      <c r="N42170" s="28"/>
      <c r="O42170" s="28"/>
      <c r="U42170" s="28"/>
    </row>
    <row r="42171">
      <c r="N42171" s="28"/>
      <c r="O42171" s="28"/>
      <c r="U42171" s="28"/>
    </row>
    <row r="42172">
      <c r="N42172" s="28"/>
      <c r="O42172" s="28"/>
      <c r="U42172" s="28"/>
    </row>
    <row r="42173">
      <c r="N42173" s="28"/>
      <c r="O42173" s="28"/>
      <c r="U42173" s="28"/>
    </row>
    <row r="42174">
      <c r="N42174" s="28"/>
      <c r="O42174" s="28"/>
      <c r="U42174" s="28"/>
    </row>
    <row r="42175">
      <c r="N42175" s="28"/>
      <c r="O42175" s="28"/>
      <c r="U42175" s="28"/>
    </row>
    <row r="42176">
      <c r="N42176" s="28"/>
      <c r="O42176" s="28"/>
      <c r="U42176" s="28"/>
    </row>
    <row r="42177">
      <c r="N42177" s="28"/>
      <c r="O42177" s="28"/>
      <c r="U42177" s="28"/>
    </row>
    <row r="42178">
      <c r="N42178" s="28"/>
      <c r="O42178" s="28"/>
      <c r="U42178" s="28"/>
    </row>
    <row r="42179">
      <c r="N42179" s="28"/>
      <c r="O42179" s="28"/>
      <c r="U42179" s="28"/>
    </row>
    <row r="42180">
      <c r="N42180" s="28"/>
      <c r="O42180" s="28"/>
      <c r="U42180" s="28"/>
    </row>
    <row r="42181">
      <c r="N42181" s="28"/>
      <c r="O42181" s="28"/>
      <c r="U42181" s="28"/>
    </row>
    <row r="42182">
      <c r="N42182" s="28"/>
      <c r="O42182" s="28"/>
      <c r="U42182" s="28"/>
    </row>
    <row r="42183">
      <c r="N42183" s="28"/>
      <c r="O42183" s="28"/>
      <c r="U42183" s="28"/>
    </row>
    <row r="42184">
      <c r="N42184" s="28"/>
      <c r="O42184" s="28"/>
      <c r="U42184" s="28"/>
    </row>
    <row r="42185">
      <c r="N42185" s="28"/>
      <c r="O42185" s="28"/>
      <c r="U42185" s="28"/>
    </row>
    <row r="42186">
      <c r="N42186" s="28"/>
      <c r="O42186" s="28"/>
      <c r="U42186" s="28"/>
    </row>
    <row r="42187">
      <c r="N42187" s="28"/>
      <c r="O42187" s="28"/>
      <c r="U42187" s="28"/>
    </row>
    <row r="42188">
      <c r="N42188" s="28"/>
      <c r="O42188" s="28"/>
      <c r="U42188" s="28"/>
    </row>
    <row r="42189">
      <c r="N42189" s="28"/>
      <c r="O42189" s="28"/>
      <c r="U42189" s="28"/>
    </row>
    <row r="42190">
      <c r="N42190" s="28"/>
      <c r="O42190" s="28"/>
      <c r="U42190" s="28"/>
    </row>
    <row r="42191">
      <c r="N42191" s="28"/>
      <c r="O42191" s="28"/>
      <c r="U42191" s="28"/>
    </row>
    <row r="42192">
      <c r="N42192" s="28"/>
      <c r="O42192" s="28"/>
      <c r="U42192" s="28"/>
    </row>
    <row r="42193">
      <c r="N42193" s="28"/>
      <c r="O42193" s="28"/>
      <c r="U42193" s="28"/>
    </row>
    <row r="42194">
      <c r="N42194" s="28"/>
      <c r="O42194" s="28"/>
      <c r="U42194" s="28"/>
    </row>
    <row r="42195">
      <c r="N42195" s="28"/>
      <c r="O42195" s="28"/>
      <c r="U42195" s="28"/>
    </row>
    <row r="42196">
      <c r="N42196" s="28"/>
      <c r="O42196" s="28"/>
      <c r="U42196" s="28"/>
    </row>
    <row r="42197">
      <c r="N42197" s="28"/>
      <c r="O42197" s="28"/>
      <c r="U42197" s="28"/>
    </row>
    <row r="42198">
      <c r="N42198" s="28"/>
      <c r="O42198" s="28"/>
      <c r="U42198" s="28"/>
    </row>
    <row r="42199">
      <c r="N42199" s="28"/>
      <c r="O42199" s="28"/>
      <c r="U42199" s="28"/>
    </row>
    <row r="42200">
      <c r="N42200" s="28"/>
      <c r="O42200" s="28"/>
      <c r="U42200" s="28"/>
    </row>
    <row r="42201">
      <c r="N42201" s="28"/>
      <c r="O42201" s="28"/>
      <c r="U42201" s="28"/>
    </row>
    <row r="42202">
      <c r="N42202" s="28"/>
      <c r="O42202" s="28"/>
      <c r="U42202" s="28"/>
    </row>
    <row r="42203">
      <c r="N42203" s="28"/>
      <c r="O42203" s="28"/>
      <c r="U42203" s="28"/>
    </row>
    <row r="42204">
      <c r="N42204" s="28"/>
      <c r="O42204" s="28"/>
      <c r="U42204" s="28"/>
    </row>
    <row r="42205">
      <c r="N42205" s="28"/>
      <c r="O42205" s="28"/>
      <c r="U42205" s="28"/>
    </row>
    <row r="42206">
      <c r="N42206" s="28"/>
      <c r="O42206" s="28"/>
      <c r="U42206" s="28"/>
    </row>
    <row r="42207">
      <c r="N42207" s="28"/>
      <c r="O42207" s="28"/>
      <c r="U42207" s="28"/>
    </row>
    <row r="42208">
      <c r="N42208" s="28"/>
      <c r="O42208" s="28"/>
      <c r="U42208" s="28"/>
    </row>
    <row r="42209">
      <c r="N42209" s="28"/>
      <c r="O42209" s="28"/>
      <c r="U42209" s="28"/>
    </row>
    <row r="42210">
      <c r="N42210" s="28"/>
      <c r="O42210" s="28"/>
      <c r="U42210" s="28"/>
    </row>
    <row r="42211">
      <c r="N42211" s="28"/>
      <c r="O42211" s="28"/>
      <c r="U42211" s="28"/>
    </row>
    <row r="42212">
      <c r="N42212" s="28"/>
      <c r="O42212" s="28"/>
      <c r="U42212" s="28"/>
    </row>
    <row r="42213">
      <c r="N42213" s="28"/>
      <c r="O42213" s="28"/>
      <c r="U42213" s="28"/>
    </row>
    <row r="42214">
      <c r="N42214" s="28"/>
      <c r="O42214" s="28"/>
      <c r="U42214" s="28"/>
    </row>
    <row r="42215">
      <c r="N42215" s="28"/>
      <c r="O42215" s="28"/>
      <c r="U42215" s="28"/>
    </row>
    <row r="42216">
      <c r="N42216" s="28"/>
      <c r="O42216" s="28"/>
      <c r="U42216" s="28"/>
    </row>
    <row r="42217">
      <c r="N42217" s="28"/>
      <c r="O42217" s="28"/>
      <c r="U42217" s="28"/>
    </row>
    <row r="42218">
      <c r="N42218" s="28"/>
      <c r="O42218" s="28"/>
      <c r="U42218" s="28"/>
    </row>
    <row r="42219">
      <c r="N42219" s="28"/>
      <c r="O42219" s="28"/>
      <c r="U42219" s="28"/>
    </row>
    <row r="42220">
      <c r="N42220" s="28"/>
      <c r="O42220" s="28"/>
      <c r="U42220" s="28"/>
    </row>
    <row r="42221">
      <c r="N42221" s="28"/>
      <c r="O42221" s="28"/>
      <c r="U42221" s="28"/>
    </row>
    <row r="42222">
      <c r="N42222" s="28"/>
      <c r="O42222" s="28"/>
      <c r="U42222" s="28"/>
    </row>
    <row r="42223">
      <c r="N42223" s="28"/>
      <c r="O42223" s="28"/>
      <c r="U42223" s="28"/>
    </row>
    <row r="42224">
      <c r="N42224" s="28"/>
      <c r="O42224" s="28"/>
      <c r="U42224" s="28"/>
    </row>
    <row r="42225">
      <c r="N42225" s="28"/>
      <c r="O42225" s="28"/>
      <c r="U42225" s="28"/>
    </row>
    <row r="42226">
      <c r="N42226" s="28"/>
      <c r="O42226" s="28"/>
      <c r="U42226" s="28"/>
    </row>
    <row r="42227">
      <c r="N42227" s="28"/>
      <c r="O42227" s="28"/>
      <c r="U42227" s="28"/>
    </row>
    <row r="42228">
      <c r="N42228" s="28"/>
      <c r="O42228" s="28"/>
      <c r="U42228" s="28"/>
    </row>
    <row r="42229">
      <c r="N42229" s="28"/>
      <c r="O42229" s="28"/>
      <c r="U42229" s="28"/>
    </row>
    <row r="42230">
      <c r="N42230" s="28"/>
      <c r="O42230" s="28"/>
      <c r="U42230" s="28"/>
    </row>
    <row r="42231">
      <c r="N42231" s="28"/>
      <c r="O42231" s="28"/>
      <c r="U42231" s="28"/>
    </row>
    <row r="42232">
      <c r="N42232" s="28"/>
      <c r="O42232" s="28"/>
      <c r="U42232" s="28"/>
    </row>
    <row r="42233">
      <c r="N42233" s="28"/>
      <c r="O42233" s="28"/>
      <c r="U42233" s="28"/>
    </row>
    <row r="42234">
      <c r="N42234" s="28"/>
      <c r="O42234" s="28"/>
      <c r="U42234" s="28"/>
    </row>
    <row r="42235">
      <c r="N42235" s="28"/>
      <c r="O42235" s="28"/>
      <c r="U42235" s="28"/>
    </row>
    <row r="42236">
      <c r="N42236" s="28"/>
      <c r="O42236" s="28"/>
      <c r="U42236" s="28"/>
    </row>
    <row r="42237">
      <c r="N42237" s="28"/>
      <c r="O42237" s="28"/>
      <c r="U42237" s="28"/>
    </row>
    <row r="42238">
      <c r="N42238" s="28"/>
      <c r="O42238" s="28"/>
      <c r="U42238" s="28"/>
    </row>
    <row r="42239">
      <c r="N42239" s="28"/>
      <c r="O42239" s="28"/>
      <c r="U42239" s="28"/>
    </row>
    <row r="42240">
      <c r="N42240" s="28"/>
      <c r="O42240" s="28"/>
      <c r="U42240" s="28"/>
    </row>
    <row r="42241">
      <c r="N42241" s="28"/>
      <c r="O42241" s="28"/>
      <c r="U42241" s="28"/>
    </row>
    <row r="42242">
      <c r="N42242" s="28"/>
      <c r="O42242" s="28"/>
      <c r="U42242" s="28"/>
    </row>
    <row r="42243">
      <c r="N42243" s="28"/>
      <c r="O42243" s="28"/>
      <c r="U42243" s="28"/>
    </row>
    <row r="42244">
      <c r="N42244" s="28"/>
      <c r="O42244" s="28"/>
      <c r="U42244" s="28"/>
    </row>
    <row r="42245">
      <c r="N42245" s="28"/>
      <c r="O42245" s="28"/>
      <c r="U42245" s="28"/>
    </row>
    <row r="42246">
      <c r="N42246" s="28"/>
      <c r="O42246" s="28"/>
      <c r="U42246" s="28"/>
    </row>
    <row r="42247">
      <c r="N42247" s="28"/>
      <c r="O42247" s="28"/>
      <c r="U42247" s="28"/>
    </row>
    <row r="42248">
      <c r="N42248" s="28"/>
      <c r="O42248" s="28"/>
      <c r="U42248" s="28"/>
    </row>
    <row r="42249">
      <c r="N42249" s="28"/>
      <c r="O42249" s="28"/>
      <c r="U42249" s="28"/>
    </row>
    <row r="42250">
      <c r="N42250" s="28"/>
      <c r="O42250" s="28"/>
      <c r="U42250" s="28"/>
    </row>
    <row r="42251">
      <c r="N42251" s="28"/>
      <c r="O42251" s="28"/>
      <c r="U42251" s="28"/>
    </row>
    <row r="42252">
      <c r="N42252" s="28"/>
      <c r="O42252" s="28"/>
      <c r="U42252" s="28"/>
    </row>
    <row r="42253">
      <c r="N42253" s="28"/>
      <c r="O42253" s="28"/>
      <c r="U42253" s="28"/>
    </row>
    <row r="42254">
      <c r="N42254" s="28"/>
      <c r="O42254" s="28"/>
      <c r="U42254" s="28"/>
    </row>
    <row r="42255">
      <c r="N42255" s="28"/>
      <c r="O42255" s="28"/>
      <c r="U42255" s="28"/>
    </row>
    <row r="42256">
      <c r="N42256" s="28"/>
      <c r="O42256" s="28"/>
      <c r="U42256" s="28"/>
    </row>
    <row r="42257">
      <c r="N42257" s="28"/>
      <c r="O42257" s="28"/>
      <c r="U42257" s="28"/>
    </row>
    <row r="42258">
      <c r="N42258" s="28"/>
      <c r="O42258" s="28"/>
      <c r="U42258" s="28"/>
    </row>
    <row r="42259">
      <c r="N42259" s="28"/>
      <c r="O42259" s="28"/>
      <c r="U42259" s="28"/>
    </row>
    <row r="42260">
      <c r="N42260" s="28"/>
      <c r="O42260" s="28"/>
      <c r="U42260" s="28"/>
    </row>
    <row r="42261">
      <c r="N42261" s="28"/>
      <c r="O42261" s="28"/>
      <c r="U42261" s="28"/>
    </row>
    <row r="42262">
      <c r="N42262" s="28"/>
      <c r="O42262" s="28"/>
      <c r="U42262" s="28"/>
    </row>
    <row r="42263">
      <c r="N42263" s="28"/>
      <c r="O42263" s="28"/>
      <c r="U42263" s="28"/>
    </row>
    <row r="42264">
      <c r="N42264" s="28"/>
      <c r="O42264" s="28"/>
      <c r="U42264" s="28"/>
    </row>
    <row r="42265">
      <c r="N42265" s="28"/>
      <c r="O42265" s="28"/>
      <c r="U42265" s="28"/>
    </row>
    <row r="42266">
      <c r="N42266" s="28"/>
      <c r="O42266" s="28"/>
      <c r="U42266" s="28"/>
    </row>
    <row r="42267">
      <c r="N42267" s="28"/>
      <c r="O42267" s="28"/>
      <c r="U42267" s="28"/>
    </row>
    <row r="42268">
      <c r="N42268" s="28"/>
      <c r="O42268" s="28"/>
      <c r="U42268" s="28"/>
    </row>
    <row r="42269">
      <c r="N42269" s="28"/>
      <c r="O42269" s="28"/>
      <c r="U42269" s="28"/>
    </row>
    <row r="42270">
      <c r="N42270" s="28"/>
      <c r="O42270" s="28"/>
      <c r="U42270" s="28"/>
    </row>
    <row r="42271">
      <c r="N42271" s="28"/>
      <c r="O42271" s="28"/>
      <c r="U42271" s="28"/>
    </row>
    <row r="42272">
      <c r="N42272" s="28"/>
      <c r="O42272" s="28"/>
      <c r="U42272" s="28"/>
    </row>
    <row r="42273">
      <c r="N42273" s="28"/>
      <c r="O42273" s="28"/>
      <c r="U42273" s="28"/>
    </row>
    <row r="42274">
      <c r="N42274" s="28"/>
      <c r="O42274" s="28"/>
      <c r="U42274" s="28"/>
    </row>
    <row r="42275">
      <c r="N42275" s="28"/>
      <c r="O42275" s="28"/>
      <c r="U42275" s="28"/>
    </row>
    <row r="42276">
      <c r="N42276" s="28"/>
      <c r="O42276" s="28"/>
      <c r="U42276" s="28"/>
    </row>
    <row r="42277">
      <c r="N42277" s="28"/>
      <c r="O42277" s="28"/>
      <c r="U42277" s="28"/>
    </row>
    <row r="42278">
      <c r="N42278" s="28"/>
      <c r="O42278" s="28"/>
      <c r="U42278" s="28"/>
    </row>
    <row r="42279">
      <c r="N42279" s="28"/>
      <c r="O42279" s="28"/>
      <c r="U42279" s="28"/>
    </row>
    <row r="42280">
      <c r="N42280" s="28"/>
      <c r="O42280" s="28"/>
      <c r="U42280" s="28"/>
    </row>
    <row r="42281">
      <c r="N42281" s="28"/>
      <c r="O42281" s="28"/>
      <c r="U42281" s="28"/>
    </row>
    <row r="42282">
      <c r="N42282" s="28"/>
      <c r="O42282" s="28"/>
      <c r="U42282" s="28"/>
    </row>
    <row r="42283">
      <c r="N42283" s="28"/>
      <c r="O42283" s="28"/>
      <c r="U42283" s="28"/>
    </row>
    <row r="42284">
      <c r="N42284" s="28"/>
      <c r="O42284" s="28"/>
      <c r="U42284" s="28"/>
    </row>
    <row r="42285">
      <c r="N42285" s="28"/>
      <c r="O42285" s="28"/>
      <c r="U42285" s="28"/>
    </row>
    <row r="42286">
      <c r="N42286" s="28"/>
      <c r="O42286" s="28"/>
      <c r="U42286" s="28"/>
    </row>
    <row r="42287">
      <c r="N42287" s="28"/>
      <c r="O42287" s="28"/>
      <c r="U42287" s="28"/>
    </row>
    <row r="42288">
      <c r="N42288" s="28"/>
      <c r="O42288" s="28"/>
      <c r="U42288" s="28"/>
    </row>
    <row r="42289">
      <c r="N42289" s="28"/>
      <c r="O42289" s="28"/>
      <c r="U42289" s="28"/>
    </row>
    <row r="42290">
      <c r="N42290" s="28"/>
      <c r="O42290" s="28"/>
      <c r="U42290" s="28"/>
    </row>
    <row r="42291">
      <c r="N42291" s="28"/>
      <c r="O42291" s="28"/>
      <c r="U42291" s="28"/>
    </row>
    <row r="42292">
      <c r="N42292" s="28"/>
      <c r="O42292" s="28"/>
      <c r="U42292" s="28"/>
    </row>
    <row r="42293">
      <c r="N42293" s="28"/>
      <c r="O42293" s="28"/>
      <c r="U42293" s="28"/>
    </row>
    <row r="42294">
      <c r="N42294" s="28"/>
      <c r="O42294" s="28"/>
      <c r="U42294" s="28"/>
    </row>
    <row r="42295">
      <c r="N42295" s="28"/>
      <c r="O42295" s="28"/>
      <c r="U42295" s="28"/>
    </row>
    <row r="42296">
      <c r="N42296" s="28"/>
      <c r="O42296" s="28"/>
      <c r="U42296" s="28"/>
    </row>
    <row r="42297">
      <c r="N42297" s="28"/>
      <c r="O42297" s="28"/>
      <c r="U42297" s="28"/>
    </row>
    <row r="42298">
      <c r="N42298" s="28"/>
      <c r="O42298" s="28"/>
      <c r="U42298" s="28"/>
    </row>
    <row r="42299">
      <c r="N42299" s="28"/>
      <c r="O42299" s="28"/>
      <c r="U42299" s="28"/>
    </row>
    <row r="42300">
      <c r="N42300" s="28"/>
      <c r="O42300" s="28"/>
      <c r="U42300" s="28"/>
    </row>
    <row r="42301">
      <c r="N42301" s="28"/>
      <c r="O42301" s="28"/>
      <c r="U42301" s="28"/>
    </row>
    <row r="42302">
      <c r="N42302" s="28"/>
      <c r="O42302" s="28"/>
      <c r="U42302" s="28"/>
    </row>
    <row r="42303">
      <c r="N42303" s="28"/>
      <c r="O42303" s="28"/>
      <c r="U42303" s="28"/>
    </row>
    <row r="42304">
      <c r="N42304" s="28"/>
      <c r="O42304" s="28"/>
      <c r="U42304" s="28"/>
    </row>
    <row r="42305">
      <c r="N42305" s="28"/>
      <c r="O42305" s="28"/>
      <c r="U42305" s="28"/>
    </row>
    <row r="42306">
      <c r="N42306" s="28"/>
      <c r="O42306" s="28"/>
      <c r="U42306" s="28"/>
    </row>
    <row r="42307">
      <c r="N42307" s="28"/>
      <c r="O42307" s="28"/>
      <c r="U42307" s="28"/>
    </row>
    <row r="42308">
      <c r="N42308" s="28"/>
      <c r="O42308" s="28"/>
      <c r="U42308" s="28"/>
    </row>
    <row r="42309">
      <c r="N42309" s="28"/>
      <c r="O42309" s="28"/>
      <c r="U42309" s="28"/>
    </row>
    <row r="42310">
      <c r="N42310" s="28"/>
      <c r="O42310" s="28"/>
      <c r="U42310" s="28"/>
    </row>
    <row r="42311">
      <c r="N42311" s="28"/>
      <c r="O42311" s="28"/>
      <c r="U42311" s="28"/>
    </row>
    <row r="42312">
      <c r="N42312" s="28"/>
      <c r="O42312" s="28"/>
      <c r="U42312" s="28"/>
    </row>
    <row r="42313">
      <c r="N42313" s="28"/>
      <c r="O42313" s="28"/>
      <c r="U42313" s="28"/>
    </row>
    <row r="42314">
      <c r="N42314" s="28"/>
      <c r="O42314" s="28"/>
      <c r="U42314" s="28"/>
    </row>
    <row r="42315">
      <c r="N42315" s="28"/>
      <c r="O42315" s="28"/>
      <c r="U42315" s="28"/>
    </row>
    <row r="42316">
      <c r="N42316" s="28"/>
      <c r="O42316" s="28"/>
      <c r="U42316" s="28"/>
    </row>
    <row r="42317">
      <c r="N42317" s="28"/>
      <c r="O42317" s="28"/>
      <c r="U42317" s="28"/>
    </row>
    <row r="42318">
      <c r="N42318" s="28"/>
      <c r="O42318" s="28"/>
      <c r="U42318" s="28"/>
    </row>
    <row r="42319">
      <c r="N42319" s="28"/>
      <c r="O42319" s="28"/>
      <c r="U42319" s="28"/>
    </row>
    <row r="42320">
      <c r="N42320" s="28"/>
      <c r="O42320" s="28"/>
      <c r="U42320" s="28"/>
    </row>
    <row r="42321">
      <c r="N42321" s="28"/>
      <c r="O42321" s="28"/>
      <c r="U42321" s="28"/>
    </row>
    <row r="42322">
      <c r="N42322" s="28"/>
      <c r="O42322" s="28"/>
      <c r="U42322" s="28"/>
    </row>
    <row r="42323">
      <c r="N42323" s="28"/>
      <c r="O42323" s="28"/>
      <c r="U42323" s="28"/>
    </row>
    <row r="42324">
      <c r="N42324" s="28"/>
      <c r="O42324" s="28"/>
      <c r="U42324" s="28"/>
    </row>
    <row r="42325">
      <c r="N42325" s="28"/>
      <c r="O42325" s="28"/>
      <c r="U42325" s="28"/>
    </row>
    <row r="42326">
      <c r="N42326" s="28"/>
      <c r="O42326" s="28"/>
      <c r="U42326" s="28"/>
    </row>
    <row r="42327">
      <c r="N42327" s="28"/>
      <c r="O42327" s="28"/>
      <c r="U42327" s="28"/>
    </row>
    <row r="42328">
      <c r="N42328" s="28"/>
      <c r="O42328" s="28"/>
      <c r="U42328" s="28"/>
    </row>
    <row r="42329">
      <c r="N42329" s="28"/>
      <c r="O42329" s="28"/>
      <c r="U42329" s="28"/>
    </row>
    <row r="42330">
      <c r="N42330" s="28"/>
      <c r="O42330" s="28"/>
      <c r="U42330" s="28"/>
    </row>
    <row r="42331">
      <c r="N42331" s="28"/>
      <c r="O42331" s="28"/>
      <c r="U42331" s="28"/>
    </row>
    <row r="42332">
      <c r="N42332" s="28"/>
      <c r="O42332" s="28"/>
      <c r="U42332" s="28"/>
    </row>
    <row r="42333">
      <c r="N42333" s="28"/>
      <c r="O42333" s="28"/>
      <c r="U42333" s="28"/>
    </row>
    <row r="42334">
      <c r="N42334" s="28"/>
      <c r="O42334" s="28"/>
      <c r="U42334" s="28"/>
    </row>
    <row r="42335">
      <c r="N42335" s="28"/>
      <c r="O42335" s="28"/>
      <c r="U42335" s="28"/>
    </row>
    <row r="42336">
      <c r="N42336" s="28"/>
      <c r="O42336" s="28"/>
      <c r="U42336" s="28"/>
    </row>
    <row r="42337">
      <c r="N42337" s="28"/>
      <c r="O42337" s="28"/>
      <c r="U42337" s="28"/>
    </row>
    <row r="42338">
      <c r="N42338" s="28"/>
      <c r="O42338" s="28"/>
      <c r="U42338" s="28"/>
    </row>
    <row r="42339">
      <c r="N42339" s="28"/>
      <c r="O42339" s="28"/>
      <c r="U42339" s="28"/>
    </row>
    <row r="42340">
      <c r="N42340" s="28"/>
      <c r="O42340" s="28"/>
      <c r="U42340" s="28"/>
    </row>
    <row r="42341">
      <c r="N42341" s="28"/>
      <c r="O42341" s="28"/>
      <c r="U42341" s="28"/>
    </row>
    <row r="42342">
      <c r="N42342" s="28"/>
      <c r="O42342" s="28"/>
      <c r="U42342" s="28"/>
    </row>
    <row r="42343">
      <c r="N42343" s="28"/>
      <c r="O42343" s="28"/>
      <c r="U42343" s="28"/>
    </row>
    <row r="42344">
      <c r="N42344" s="28"/>
      <c r="O42344" s="28"/>
      <c r="U42344" s="28"/>
    </row>
    <row r="42345">
      <c r="N42345" s="28"/>
      <c r="O42345" s="28"/>
      <c r="U42345" s="28"/>
    </row>
    <row r="42346">
      <c r="N42346" s="28"/>
      <c r="O42346" s="28"/>
      <c r="U42346" s="28"/>
    </row>
    <row r="42347">
      <c r="N42347" s="28"/>
      <c r="O42347" s="28"/>
      <c r="U42347" s="28"/>
    </row>
    <row r="42348">
      <c r="N42348" s="28"/>
      <c r="O42348" s="28"/>
      <c r="U42348" s="28"/>
    </row>
    <row r="42349">
      <c r="N42349" s="28"/>
      <c r="O42349" s="28"/>
      <c r="U42349" s="28"/>
    </row>
    <row r="42350">
      <c r="N42350" s="28"/>
      <c r="O42350" s="28"/>
      <c r="U42350" s="28"/>
    </row>
    <row r="42351">
      <c r="N42351" s="28"/>
      <c r="O42351" s="28"/>
      <c r="U42351" s="28"/>
    </row>
    <row r="42352">
      <c r="N42352" s="28"/>
      <c r="O42352" s="28"/>
      <c r="U42352" s="28"/>
    </row>
    <row r="42353">
      <c r="N42353" s="28"/>
      <c r="O42353" s="28"/>
      <c r="U42353" s="28"/>
    </row>
    <row r="42354">
      <c r="N42354" s="28"/>
      <c r="O42354" s="28"/>
      <c r="U42354" s="28"/>
    </row>
    <row r="42355">
      <c r="N42355" s="28"/>
      <c r="O42355" s="28"/>
      <c r="U42355" s="28"/>
    </row>
    <row r="42356">
      <c r="N42356" s="28"/>
      <c r="O42356" s="28"/>
      <c r="U42356" s="28"/>
    </row>
    <row r="42357">
      <c r="N42357" s="28"/>
      <c r="O42357" s="28"/>
      <c r="U42357" s="28"/>
    </row>
    <row r="42358">
      <c r="N42358" s="28"/>
      <c r="O42358" s="28"/>
      <c r="U42358" s="28"/>
    </row>
    <row r="42359">
      <c r="N42359" s="28"/>
      <c r="O42359" s="28"/>
      <c r="U42359" s="28"/>
    </row>
    <row r="42360">
      <c r="N42360" s="28"/>
      <c r="O42360" s="28"/>
      <c r="U42360" s="28"/>
    </row>
    <row r="42361">
      <c r="N42361" s="28"/>
      <c r="O42361" s="28"/>
      <c r="U42361" s="28"/>
    </row>
    <row r="42362">
      <c r="N42362" s="28"/>
      <c r="O42362" s="28"/>
      <c r="U42362" s="28"/>
    </row>
    <row r="42363">
      <c r="N42363" s="28"/>
      <c r="O42363" s="28"/>
      <c r="U42363" s="28"/>
    </row>
    <row r="42364">
      <c r="N42364" s="28"/>
      <c r="O42364" s="28"/>
      <c r="U42364" s="28"/>
    </row>
    <row r="42365">
      <c r="N42365" s="28"/>
      <c r="O42365" s="28"/>
      <c r="U42365" s="28"/>
    </row>
    <row r="42366">
      <c r="N42366" s="28"/>
      <c r="O42366" s="28"/>
      <c r="U42366" s="28"/>
    </row>
    <row r="42367">
      <c r="N42367" s="28"/>
      <c r="O42367" s="28"/>
      <c r="U42367" s="28"/>
    </row>
    <row r="42368">
      <c r="N42368" s="28"/>
      <c r="O42368" s="28"/>
      <c r="U42368" s="28"/>
    </row>
    <row r="42369">
      <c r="N42369" s="28"/>
      <c r="O42369" s="28"/>
      <c r="U42369" s="28"/>
    </row>
    <row r="42370">
      <c r="N42370" s="28"/>
      <c r="O42370" s="28"/>
      <c r="U42370" s="28"/>
    </row>
    <row r="42371">
      <c r="N42371" s="28"/>
      <c r="O42371" s="28"/>
      <c r="U42371" s="28"/>
    </row>
    <row r="42372">
      <c r="N42372" s="28"/>
      <c r="O42372" s="28"/>
      <c r="U42372" s="28"/>
    </row>
    <row r="42373">
      <c r="N42373" s="28"/>
      <c r="O42373" s="28"/>
      <c r="U42373" s="28"/>
    </row>
    <row r="42374">
      <c r="N42374" s="28"/>
      <c r="O42374" s="28"/>
      <c r="U42374" s="28"/>
    </row>
    <row r="42375">
      <c r="N42375" s="28"/>
      <c r="O42375" s="28"/>
      <c r="U42375" s="28"/>
    </row>
    <row r="42376">
      <c r="N42376" s="28"/>
      <c r="O42376" s="28"/>
      <c r="U42376" s="28"/>
    </row>
    <row r="42377">
      <c r="N42377" s="28"/>
      <c r="O42377" s="28"/>
      <c r="U42377" s="28"/>
    </row>
    <row r="42378">
      <c r="N42378" s="28"/>
      <c r="O42378" s="28"/>
      <c r="U42378" s="28"/>
    </row>
    <row r="42379">
      <c r="N42379" s="28"/>
      <c r="O42379" s="28"/>
      <c r="U42379" s="28"/>
    </row>
    <row r="42380">
      <c r="N42380" s="28"/>
      <c r="O42380" s="28"/>
      <c r="U42380" s="28"/>
    </row>
    <row r="42381">
      <c r="N42381" s="28"/>
      <c r="O42381" s="28"/>
      <c r="U42381" s="28"/>
    </row>
    <row r="42382">
      <c r="N42382" s="28"/>
      <c r="O42382" s="28"/>
      <c r="U42382" s="28"/>
    </row>
    <row r="42383">
      <c r="N42383" s="28"/>
      <c r="O42383" s="28"/>
      <c r="U42383" s="28"/>
    </row>
    <row r="42384">
      <c r="N42384" s="28"/>
      <c r="O42384" s="28"/>
      <c r="U42384" s="28"/>
    </row>
    <row r="42385">
      <c r="N42385" s="28"/>
      <c r="O42385" s="28"/>
      <c r="U42385" s="28"/>
    </row>
    <row r="42386">
      <c r="N42386" s="28"/>
      <c r="O42386" s="28"/>
      <c r="U42386" s="28"/>
    </row>
    <row r="42387">
      <c r="N42387" s="28"/>
      <c r="O42387" s="28"/>
      <c r="U42387" s="28"/>
    </row>
    <row r="42388">
      <c r="N42388" s="28"/>
      <c r="O42388" s="28"/>
      <c r="U42388" s="28"/>
    </row>
    <row r="42389">
      <c r="N42389" s="28"/>
      <c r="O42389" s="28"/>
      <c r="U42389" s="28"/>
    </row>
    <row r="42390">
      <c r="N42390" s="28"/>
      <c r="O42390" s="28"/>
      <c r="U42390" s="28"/>
    </row>
    <row r="42391">
      <c r="N42391" s="28"/>
      <c r="O42391" s="28"/>
      <c r="U42391" s="28"/>
    </row>
    <row r="42392">
      <c r="N42392" s="28"/>
      <c r="O42392" s="28"/>
      <c r="U42392" s="28"/>
    </row>
    <row r="42393">
      <c r="N42393" s="28"/>
      <c r="O42393" s="28"/>
      <c r="U42393" s="28"/>
    </row>
    <row r="42394">
      <c r="N42394" s="28"/>
      <c r="O42394" s="28"/>
      <c r="U42394" s="28"/>
    </row>
    <row r="42395">
      <c r="N42395" s="28"/>
      <c r="O42395" s="28"/>
      <c r="U42395" s="28"/>
    </row>
    <row r="42396">
      <c r="N42396" s="28"/>
      <c r="O42396" s="28"/>
      <c r="U42396" s="28"/>
    </row>
    <row r="42397">
      <c r="N42397" s="28"/>
      <c r="O42397" s="28"/>
      <c r="U42397" s="28"/>
    </row>
    <row r="42398">
      <c r="N42398" s="28"/>
      <c r="O42398" s="28"/>
      <c r="U42398" s="28"/>
    </row>
    <row r="42399">
      <c r="N42399" s="28"/>
      <c r="O42399" s="28"/>
      <c r="U42399" s="28"/>
    </row>
    <row r="42400">
      <c r="N42400" s="28"/>
      <c r="O42400" s="28"/>
      <c r="U42400" s="28"/>
    </row>
    <row r="42401">
      <c r="N42401" s="28"/>
      <c r="O42401" s="28"/>
      <c r="U42401" s="28"/>
    </row>
    <row r="42402">
      <c r="N42402" s="28"/>
      <c r="O42402" s="28"/>
      <c r="U42402" s="28"/>
    </row>
    <row r="42403">
      <c r="N42403" s="28"/>
      <c r="O42403" s="28"/>
      <c r="U42403" s="28"/>
    </row>
    <row r="42404">
      <c r="N42404" s="28"/>
      <c r="O42404" s="28"/>
      <c r="U42404" s="28"/>
    </row>
    <row r="42405">
      <c r="N42405" s="28"/>
      <c r="O42405" s="28"/>
      <c r="U42405" s="28"/>
    </row>
    <row r="42406">
      <c r="N42406" s="28"/>
      <c r="O42406" s="28"/>
      <c r="U42406" s="28"/>
    </row>
    <row r="42407">
      <c r="N42407" s="28"/>
      <c r="O42407" s="28"/>
      <c r="U42407" s="28"/>
    </row>
    <row r="42408">
      <c r="N42408" s="28"/>
      <c r="O42408" s="28"/>
      <c r="U42408" s="28"/>
    </row>
    <row r="42409">
      <c r="N42409" s="28"/>
      <c r="O42409" s="28"/>
      <c r="U42409" s="28"/>
    </row>
    <row r="42410">
      <c r="N42410" s="28"/>
      <c r="O42410" s="28"/>
      <c r="U42410" s="28"/>
    </row>
    <row r="42411">
      <c r="N42411" s="28"/>
      <c r="O42411" s="28"/>
      <c r="U42411" s="28"/>
    </row>
    <row r="42412">
      <c r="N42412" s="28"/>
      <c r="O42412" s="28"/>
      <c r="U42412" s="28"/>
    </row>
    <row r="42413">
      <c r="N42413" s="28"/>
      <c r="O42413" s="28"/>
      <c r="U42413" s="28"/>
    </row>
    <row r="42414">
      <c r="N42414" s="28"/>
      <c r="O42414" s="28"/>
      <c r="U42414" s="28"/>
    </row>
    <row r="42415">
      <c r="N42415" s="28"/>
      <c r="O42415" s="28"/>
      <c r="U42415" s="28"/>
    </row>
    <row r="42416">
      <c r="N42416" s="28"/>
      <c r="O42416" s="28"/>
      <c r="U42416" s="28"/>
    </row>
    <row r="42417">
      <c r="N42417" s="28"/>
      <c r="O42417" s="28"/>
      <c r="U42417" s="28"/>
    </row>
    <row r="42418">
      <c r="N42418" s="28"/>
      <c r="O42418" s="28"/>
      <c r="U42418" s="28"/>
    </row>
    <row r="42419">
      <c r="N42419" s="28"/>
      <c r="O42419" s="28"/>
      <c r="U42419" s="28"/>
    </row>
    <row r="42420">
      <c r="N42420" s="28"/>
      <c r="O42420" s="28"/>
      <c r="U42420" s="28"/>
    </row>
    <row r="42421">
      <c r="N42421" s="28"/>
      <c r="O42421" s="28"/>
      <c r="U42421" s="28"/>
    </row>
    <row r="42422">
      <c r="N42422" s="28"/>
      <c r="O42422" s="28"/>
      <c r="U42422" s="28"/>
    </row>
    <row r="42423">
      <c r="N42423" s="28"/>
      <c r="O42423" s="28"/>
      <c r="U42423" s="28"/>
    </row>
    <row r="42424">
      <c r="N42424" s="28"/>
      <c r="O42424" s="28"/>
      <c r="U42424" s="28"/>
    </row>
    <row r="42425">
      <c r="N42425" s="28"/>
      <c r="O42425" s="28"/>
      <c r="U42425" s="28"/>
    </row>
    <row r="42426">
      <c r="N42426" s="28"/>
      <c r="O42426" s="28"/>
      <c r="U42426" s="28"/>
    </row>
    <row r="42427">
      <c r="N42427" s="28"/>
      <c r="O42427" s="28"/>
      <c r="U42427" s="28"/>
    </row>
    <row r="42428">
      <c r="N42428" s="28"/>
      <c r="O42428" s="28"/>
      <c r="U42428" s="28"/>
    </row>
    <row r="42429">
      <c r="N42429" s="28"/>
      <c r="O42429" s="28"/>
      <c r="U42429" s="28"/>
    </row>
    <row r="42430">
      <c r="N42430" s="28"/>
      <c r="O42430" s="28"/>
      <c r="U42430" s="28"/>
    </row>
    <row r="42431">
      <c r="N42431" s="28"/>
      <c r="O42431" s="28"/>
      <c r="U42431" s="28"/>
    </row>
    <row r="42432">
      <c r="N42432" s="28"/>
      <c r="O42432" s="28"/>
      <c r="U42432" s="28"/>
    </row>
    <row r="42433">
      <c r="N42433" s="28"/>
      <c r="O42433" s="28"/>
      <c r="U42433" s="28"/>
    </row>
    <row r="42434">
      <c r="N42434" s="28"/>
      <c r="O42434" s="28"/>
      <c r="U42434" s="28"/>
    </row>
    <row r="42435">
      <c r="N42435" s="28"/>
      <c r="O42435" s="28"/>
      <c r="U42435" s="28"/>
    </row>
    <row r="42436">
      <c r="N42436" s="28"/>
      <c r="O42436" s="28"/>
      <c r="U42436" s="28"/>
    </row>
    <row r="42437">
      <c r="N42437" s="28"/>
      <c r="O42437" s="28"/>
      <c r="U42437" s="28"/>
    </row>
    <row r="42438">
      <c r="N42438" s="28"/>
      <c r="O42438" s="28"/>
      <c r="U42438" s="28"/>
    </row>
    <row r="42439">
      <c r="N42439" s="28"/>
      <c r="O42439" s="28"/>
      <c r="U42439" s="28"/>
    </row>
    <row r="42440">
      <c r="N42440" s="28"/>
      <c r="O42440" s="28"/>
      <c r="U42440" s="28"/>
    </row>
    <row r="42441">
      <c r="N42441" s="28"/>
      <c r="O42441" s="28"/>
      <c r="U42441" s="28"/>
    </row>
    <row r="42442">
      <c r="N42442" s="28"/>
      <c r="O42442" s="28"/>
      <c r="U42442" s="28"/>
    </row>
    <row r="42443">
      <c r="N42443" s="28"/>
      <c r="O42443" s="28"/>
      <c r="U42443" s="28"/>
    </row>
    <row r="42444">
      <c r="N42444" s="28"/>
      <c r="O42444" s="28"/>
      <c r="U42444" s="28"/>
    </row>
    <row r="42445">
      <c r="N42445" s="28"/>
      <c r="O42445" s="28"/>
      <c r="U42445" s="28"/>
    </row>
    <row r="42446">
      <c r="N42446" s="28"/>
      <c r="O42446" s="28"/>
      <c r="U42446" s="28"/>
    </row>
    <row r="42447">
      <c r="N42447" s="28"/>
      <c r="O42447" s="28"/>
      <c r="U42447" s="28"/>
    </row>
    <row r="42448">
      <c r="N42448" s="28"/>
      <c r="O42448" s="28"/>
      <c r="U42448" s="28"/>
    </row>
    <row r="42449">
      <c r="N42449" s="28"/>
      <c r="O42449" s="28"/>
      <c r="U42449" s="28"/>
    </row>
    <row r="42450">
      <c r="N42450" s="28"/>
      <c r="O42450" s="28"/>
      <c r="U42450" s="28"/>
    </row>
    <row r="42451">
      <c r="N42451" s="28"/>
      <c r="O42451" s="28"/>
      <c r="U42451" s="28"/>
    </row>
    <row r="42452">
      <c r="N42452" s="28"/>
      <c r="O42452" s="28"/>
      <c r="U42452" s="28"/>
    </row>
    <row r="42453">
      <c r="N42453" s="28"/>
      <c r="O42453" s="28"/>
      <c r="U42453" s="28"/>
    </row>
    <row r="42454">
      <c r="N42454" s="28"/>
      <c r="O42454" s="28"/>
      <c r="U42454" s="28"/>
    </row>
    <row r="42455">
      <c r="N42455" s="28"/>
      <c r="O42455" s="28"/>
      <c r="U42455" s="28"/>
    </row>
    <row r="42456">
      <c r="N42456" s="28"/>
      <c r="O42456" s="28"/>
      <c r="U42456" s="28"/>
    </row>
    <row r="42457">
      <c r="N42457" s="28"/>
      <c r="O42457" s="28"/>
      <c r="U42457" s="28"/>
    </row>
    <row r="42458">
      <c r="N42458" s="28"/>
      <c r="O42458" s="28"/>
      <c r="U42458" s="28"/>
    </row>
    <row r="42459">
      <c r="N42459" s="28"/>
      <c r="O42459" s="28"/>
      <c r="U42459" s="28"/>
    </row>
    <row r="42460">
      <c r="N42460" s="28"/>
      <c r="O42460" s="28"/>
      <c r="U42460" s="28"/>
    </row>
    <row r="42461">
      <c r="N42461" s="28"/>
      <c r="O42461" s="28"/>
      <c r="U42461" s="28"/>
    </row>
    <row r="42462">
      <c r="N42462" s="28"/>
      <c r="O42462" s="28"/>
      <c r="U42462" s="28"/>
    </row>
    <row r="42463">
      <c r="N42463" s="28"/>
      <c r="O42463" s="28"/>
      <c r="U42463" s="28"/>
    </row>
    <row r="42464">
      <c r="N42464" s="28"/>
      <c r="O42464" s="28"/>
      <c r="U42464" s="28"/>
    </row>
    <row r="42465">
      <c r="N42465" s="28"/>
      <c r="O42465" s="28"/>
      <c r="U42465" s="28"/>
    </row>
    <row r="42466">
      <c r="N42466" s="28"/>
      <c r="O42466" s="28"/>
      <c r="U42466" s="28"/>
    </row>
    <row r="42467">
      <c r="N42467" s="28"/>
      <c r="O42467" s="28"/>
      <c r="U42467" s="28"/>
    </row>
    <row r="42468">
      <c r="N42468" s="28"/>
      <c r="O42468" s="28"/>
      <c r="U42468" s="28"/>
    </row>
    <row r="42469">
      <c r="N42469" s="28"/>
      <c r="O42469" s="28"/>
      <c r="U42469" s="28"/>
    </row>
    <row r="42470">
      <c r="N42470" s="28"/>
      <c r="O42470" s="28"/>
      <c r="U42470" s="28"/>
    </row>
    <row r="42471">
      <c r="N42471" s="28"/>
      <c r="O42471" s="28"/>
      <c r="U42471" s="28"/>
    </row>
    <row r="42472">
      <c r="N42472" s="28"/>
      <c r="O42472" s="28"/>
      <c r="U42472" s="28"/>
    </row>
    <row r="42473">
      <c r="N42473" s="28"/>
      <c r="O42473" s="28"/>
      <c r="U42473" s="28"/>
    </row>
    <row r="42474">
      <c r="N42474" s="28"/>
      <c r="O42474" s="28"/>
      <c r="U42474" s="28"/>
    </row>
    <row r="42475">
      <c r="N42475" s="28"/>
      <c r="O42475" s="28"/>
      <c r="U42475" s="28"/>
    </row>
    <row r="42476">
      <c r="N42476" s="28"/>
      <c r="O42476" s="28"/>
      <c r="U42476" s="28"/>
    </row>
    <row r="42477">
      <c r="N42477" s="28"/>
      <c r="O42477" s="28"/>
      <c r="U42477" s="28"/>
    </row>
    <row r="42478">
      <c r="N42478" s="28"/>
      <c r="O42478" s="28"/>
      <c r="U42478" s="28"/>
    </row>
    <row r="42479">
      <c r="N42479" s="28"/>
      <c r="O42479" s="28"/>
      <c r="U42479" s="28"/>
    </row>
    <row r="42480">
      <c r="N42480" s="28"/>
      <c r="O42480" s="28"/>
      <c r="U42480" s="28"/>
    </row>
    <row r="42481">
      <c r="N42481" s="28"/>
      <c r="O42481" s="28"/>
      <c r="U42481" s="28"/>
    </row>
    <row r="42482">
      <c r="N42482" s="28"/>
      <c r="O42482" s="28"/>
      <c r="U42482" s="28"/>
    </row>
    <row r="42483">
      <c r="N42483" s="28"/>
      <c r="O42483" s="28"/>
      <c r="U42483" s="28"/>
    </row>
    <row r="42484">
      <c r="N42484" s="28"/>
      <c r="O42484" s="28"/>
      <c r="U42484" s="28"/>
    </row>
    <row r="42485">
      <c r="N42485" s="28"/>
      <c r="O42485" s="28"/>
      <c r="U42485" s="28"/>
    </row>
    <row r="42486">
      <c r="N42486" s="28"/>
      <c r="O42486" s="28"/>
      <c r="U42486" s="28"/>
    </row>
    <row r="42487">
      <c r="N42487" s="28"/>
      <c r="O42487" s="28"/>
      <c r="U42487" s="28"/>
    </row>
    <row r="42488">
      <c r="N42488" s="28"/>
      <c r="O42488" s="28"/>
      <c r="U42488" s="28"/>
    </row>
    <row r="42489">
      <c r="N42489" s="28"/>
      <c r="O42489" s="28"/>
      <c r="U42489" s="28"/>
    </row>
    <row r="42490">
      <c r="N42490" s="28"/>
      <c r="O42490" s="28"/>
      <c r="U42490" s="28"/>
    </row>
    <row r="42491">
      <c r="N42491" s="28"/>
      <c r="O42491" s="28"/>
      <c r="U42491" s="28"/>
    </row>
    <row r="42492">
      <c r="N42492" s="28"/>
      <c r="O42492" s="28"/>
      <c r="U42492" s="28"/>
    </row>
    <row r="42493">
      <c r="N42493" s="28"/>
      <c r="O42493" s="28"/>
      <c r="U42493" s="28"/>
    </row>
    <row r="42494">
      <c r="N42494" s="28"/>
      <c r="O42494" s="28"/>
      <c r="U42494" s="28"/>
    </row>
    <row r="42495">
      <c r="N42495" s="28"/>
      <c r="O42495" s="28"/>
      <c r="U42495" s="28"/>
    </row>
    <row r="42496">
      <c r="N42496" s="28"/>
      <c r="O42496" s="28"/>
      <c r="U42496" s="28"/>
    </row>
    <row r="42497">
      <c r="N42497" s="28"/>
      <c r="O42497" s="28"/>
      <c r="U42497" s="28"/>
    </row>
    <row r="42498">
      <c r="N42498" s="28"/>
      <c r="O42498" s="28"/>
      <c r="U42498" s="28"/>
    </row>
    <row r="42499">
      <c r="N42499" s="28"/>
      <c r="O42499" s="28"/>
      <c r="U42499" s="28"/>
    </row>
    <row r="42500">
      <c r="N42500" s="28"/>
      <c r="O42500" s="28"/>
      <c r="U42500" s="28"/>
    </row>
    <row r="42501">
      <c r="N42501" s="28"/>
      <c r="O42501" s="28"/>
      <c r="U42501" s="28"/>
    </row>
    <row r="42502">
      <c r="N42502" s="28"/>
      <c r="O42502" s="28"/>
      <c r="U42502" s="28"/>
    </row>
    <row r="42503">
      <c r="N42503" s="28"/>
      <c r="O42503" s="28"/>
      <c r="U42503" s="28"/>
    </row>
    <row r="42504">
      <c r="N42504" s="28"/>
      <c r="O42504" s="28"/>
      <c r="U42504" s="28"/>
    </row>
    <row r="42505">
      <c r="N42505" s="28"/>
      <c r="O42505" s="28"/>
      <c r="U42505" s="28"/>
    </row>
    <row r="42506">
      <c r="N42506" s="28"/>
      <c r="O42506" s="28"/>
      <c r="U42506" s="28"/>
    </row>
    <row r="42507">
      <c r="N42507" s="28"/>
      <c r="O42507" s="28"/>
      <c r="U42507" s="28"/>
    </row>
    <row r="42508">
      <c r="N42508" s="28"/>
      <c r="O42508" s="28"/>
      <c r="U42508" s="28"/>
    </row>
    <row r="42509">
      <c r="N42509" s="28"/>
      <c r="O42509" s="28"/>
      <c r="U42509" s="28"/>
    </row>
    <row r="42510">
      <c r="N42510" s="28"/>
      <c r="O42510" s="28"/>
      <c r="U42510" s="28"/>
    </row>
    <row r="42511">
      <c r="N42511" s="28"/>
      <c r="O42511" s="28"/>
      <c r="U42511" s="28"/>
    </row>
    <row r="42512">
      <c r="N42512" s="28"/>
      <c r="O42512" s="28"/>
      <c r="U42512" s="28"/>
    </row>
    <row r="42513">
      <c r="N42513" s="28"/>
      <c r="O42513" s="28"/>
      <c r="U42513" s="28"/>
    </row>
    <row r="42514">
      <c r="N42514" s="28"/>
      <c r="O42514" s="28"/>
      <c r="U42514" s="28"/>
    </row>
    <row r="42515">
      <c r="N42515" s="28"/>
      <c r="O42515" s="28"/>
      <c r="U42515" s="28"/>
    </row>
    <row r="42516">
      <c r="N42516" s="28"/>
      <c r="O42516" s="28"/>
      <c r="U42516" s="28"/>
    </row>
    <row r="42517">
      <c r="N42517" s="28"/>
      <c r="O42517" s="28"/>
      <c r="U42517" s="28"/>
    </row>
    <row r="42518">
      <c r="N42518" s="28"/>
      <c r="O42518" s="28"/>
      <c r="U42518" s="28"/>
    </row>
    <row r="42519">
      <c r="N42519" s="28"/>
      <c r="O42519" s="28"/>
      <c r="U42519" s="28"/>
    </row>
    <row r="42520">
      <c r="N42520" s="28"/>
      <c r="O42520" s="28"/>
      <c r="U42520" s="28"/>
    </row>
    <row r="42521">
      <c r="N42521" s="28"/>
      <c r="O42521" s="28"/>
      <c r="U42521" s="28"/>
    </row>
    <row r="42522">
      <c r="N42522" s="28"/>
      <c r="O42522" s="28"/>
      <c r="U42522" s="28"/>
    </row>
    <row r="42523">
      <c r="N42523" s="28"/>
      <c r="O42523" s="28"/>
      <c r="U42523" s="28"/>
    </row>
    <row r="42524">
      <c r="N42524" s="28"/>
      <c r="O42524" s="28"/>
      <c r="U42524" s="28"/>
    </row>
    <row r="42525">
      <c r="N42525" s="28"/>
      <c r="O42525" s="28"/>
      <c r="U42525" s="28"/>
    </row>
    <row r="42526">
      <c r="N42526" s="28"/>
      <c r="O42526" s="28"/>
      <c r="U42526" s="28"/>
    </row>
    <row r="42527">
      <c r="N42527" s="28"/>
      <c r="O42527" s="28"/>
      <c r="U42527" s="28"/>
    </row>
    <row r="42528">
      <c r="N42528" s="28"/>
      <c r="O42528" s="28"/>
      <c r="U42528" s="28"/>
    </row>
    <row r="42529">
      <c r="N42529" s="28"/>
      <c r="O42529" s="28"/>
      <c r="U42529" s="28"/>
    </row>
    <row r="42530">
      <c r="N42530" s="28"/>
      <c r="O42530" s="28"/>
      <c r="U42530" s="28"/>
    </row>
    <row r="42531">
      <c r="N42531" s="28"/>
      <c r="O42531" s="28"/>
      <c r="U42531" s="28"/>
    </row>
    <row r="42532">
      <c r="N42532" s="28"/>
      <c r="O42532" s="28"/>
      <c r="U42532" s="28"/>
    </row>
    <row r="42533">
      <c r="N42533" s="28"/>
      <c r="O42533" s="28"/>
      <c r="U42533" s="28"/>
    </row>
    <row r="42534">
      <c r="N42534" s="28"/>
      <c r="O42534" s="28"/>
      <c r="U42534" s="28"/>
    </row>
    <row r="42535">
      <c r="N42535" s="28"/>
      <c r="O42535" s="28"/>
      <c r="U42535" s="28"/>
    </row>
    <row r="42536">
      <c r="N42536" s="28"/>
      <c r="O42536" s="28"/>
      <c r="U42536" s="28"/>
    </row>
    <row r="42537">
      <c r="N42537" s="28"/>
      <c r="O42537" s="28"/>
      <c r="U42537" s="28"/>
    </row>
    <row r="42538">
      <c r="N42538" s="28"/>
      <c r="O42538" s="28"/>
      <c r="U42538" s="28"/>
    </row>
    <row r="42539">
      <c r="N42539" s="28"/>
      <c r="O42539" s="28"/>
      <c r="U42539" s="28"/>
    </row>
    <row r="42540">
      <c r="N42540" s="28"/>
      <c r="O42540" s="28"/>
      <c r="U42540" s="28"/>
    </row>
    <row r="42541">
      <c r="N42541" s="28"/>
      <c r="O42541" s="28"/>
      <c r="U42541" s="28"/>
    </row>
    <row r="42542">
      <c r="N42542" s="28"/>
      <c r="O42542" s="28"/>
      <c r="U42542" s="28"/>
    </row>
    <row r="42543">
      <c r="N42543" s="28"/>
      <c r="O42543" s="28"/>
      <c r="U42543" s="28"/>
    </row>
    <row r="42544">
      <c r="N42544" s="28"/>
      <c r="O42544" s="28"/>
      <c r="U42544" s="28"/>
    </row>
    <row r="42545">
      <c r="N42545" s="28"/>
      <c r="O42545" s="28"/>
      <c r="U42545" s="28"/>
    </row>
    <row r="42546">
      <c r="N42546" s="28"/>
      <c r="O42546" s="28"/>
      <c r="U42546" s="28"/>
    </row>
    <row r="42547">
      <c r="N42547" s="28"/>
      <c r="O42547" s="28"/>
      <c r="U42547" s="28"/>
    </row>
    <row r="42548">
      <c r="N42548" s="28"/>
      <c r="O42548" s="28"/>
      <c r="U42548" s="28"/>
    </row>
    <row r="42549">
      <c r="N42549" s="28"/>
      <c r="O42549" s="28"/>
      <c r="U42549" s="28"/>
    </row>
    <row r="42550">
      <c r="N42550" s="28"/>
      <c r="O42550" s="28"/>
      <c r="U42550" s="28"/>
    </row>
    <row r="42551">
      <c r="N42551" s="28"/>
      <c r="O42551" s="28"/>
      <c r="U42551" s="28"/>
    </row>
    <row r="42552">
      <c r="N42552" s="28"/>
      <c r="O42552" s="28"/>
      <c r="U42552" s="28"/>
    </row>
    <row r="42553">
      <c r="N42553" s="28"/>
      <c r="O42553" s="28"/>
      <c r="U42553" s="28"/>
    </row>
    <row r="42554">
      <c r="N42554" s="28"/>
      <c r="O42554" s="28"/>
      <c r="U42554" s="28"/>
    </row>
    <row r="42555">
      <c r="N42555" s="28"/>
      <c r="O42555" s="28"/>
      <c r="U42555" s="28"/>
    </row>
    <row r="42556">
      <c r="N42556" s="28"/>
      <c r="O42556" s="28"/>
      <c r="U42556" s="28"/>
    </row>
    <row r="42557">
      <c r="N42557" s="28"/>
      <c r="O42557" s="28"/>
      <c r="U42557" s="28"/>
    </row>
    <row r="42558">
      <c r="N42558" s="28"/>
      <c r="O42558" s="28"/>
      <c r="U42558" s="28"/>
    </row>
    <row r="42559">
      <c r="N42559" s="28"/>
      <c r="O42559" s="28"/>
      <c r="U42559" s="28"/>
    </row>
    <row r="42560">
      <c r="N42560" s="28"/>
      <c r="O42560" s="28"/>
      <c r="U42560" s="28"/>
    </row>
    <row r="42561">
      <c r="N42561" s="28"/>
      <c r="O42561" s="28"/>
      <c r="U42561" s="28"/>
    </row>
    <row r="42562">
      <c r="N42562" s="28"/>
      <c r="O42562" s="28"/>
      <c r="U42562" s="28"/>
    </row>
    <row r="42563">
      <c r="N42563" s="28"/>
      <c r="O42563" s="28"/>
      <c r="U42563" s="28"/>
    </row>
    <row r="42564">
      <c r="N42564" s="28"/>
      <c r="O42564" s="28"/>
      <c r="U42564" s="28"/>
    </row>
    <row r="42565">
      <c r="N42565" s="28"/>
      <c r="O42565" s="28"/>
      <c r="U42565" s="28"/>
    </row>
    <row r="42566">
      <c r="N42566" s="28"/>
      <c r="O42566" s="28"/>
      <c r="U42566" s="28"/>
    </row>
    <row r="42567">
      <c r="N42567" s="28"/>
      <c r="O42567" s="28"/>
      <c r="U42567" s="28"/>
    </row>
    <row r="42568">
      <c r="N42568" s="28"/>
      <c r="O42568" s="28"/>
      <c r="U42568" s="28"/>
    </row>
    <row r="42569">
      <c r="N42569" s="28"/>
      <c r="O42569" s="28"/>
      <c r="U42569" s="28"/>
    </row>
    <row r="42570">
      <c r="N42570" s="28"/>
      <c r="O42570" s="28"/>
      <c r="U42570" s="28"/>
    </row>
    <row r="42571">
      <c r="N42571" s="28"/>
      <c r="O42571" s="28"/>
      <c r="U42571" s="28"/>
    </row>
    <row r="42572">
      <c r="N42572" s="28"/>
      <c r="O42572" s="28"/>
      <c r="U42572" s="28"/>
    </row>
    <row r="42573">
      <c r="N42573" s="28"/>
      <c r="O42573" s="28"/>
      <c r="U42573" s="28"/>
    </row>
    <row r="42574">
      <c r="N42574" s="28"/>
      <c r="O42574" s="28"/>
      <c r="U42574" s="28"/>
    </row>
    <row r="42575">
      <c r="N42575" s="28"/>
      <c r="O42575" s="28"/>
      <c r="U42575" s="28"/>
    </row>
    <row r="42576">
      <c r="N42576" s="28"/>
      <c r="O42576" s="28"/>
      <c r="U42576" s="28"/>
    </row>
    <row r="42577">
      <c r="N42577" s="28"/>
      <c r="O42577" s="28"/>
      <c r="U42577" s="28"/>
    </row>
    <row r="42578">
      <c r="N42578" s="28"/>
      <c r="O42578" s="28"/>
      <c r="U42578" s="28"/>
    </row>
    <row r="42579">
      <c r="N42579" s="28"/>
      <c r="O42579" s="28"/>
      <c r="U42579" s="28"/>
    </row>
    <row r="42580">
      <c r="N42580" s="28"/>
      <c r="O42580" s="28"/>
      <c r="U42580" s="28"/>
    </row>
    <row r="42581">
      <c r="N42581" s="28"/>
      <c r="O42581" s="28"/>
      <c r="U42581" s="28"/>
    </row>
    <row r="42582">
      <c r="N42582" s="28"/>
      <c r="O42582" s="28"/>
      <c r="U42582" s="28"/>
    </row>
    <row r="42583">
      <c r="N42583" s="28"/>
      <c r="O42583" s="28"/>
      <c r="U42583" s="28"/>
    </row>
    <row r="42584">
      <c r="N42584" s="28"/>
      <c r="O42584" s="28"/>
      <c r="U42584" s="28"/>
    </row>
    <row r="42585">
      <c r="N42585" s="28"/>
      <c r="O42585" s="28"/>
      <c r="U42585" s="28"/>
    </row>
    <row r="42586">
      <c r="N42586" s="28"/>
      <c r="O42586" s="28"/>
      <c r="U42586" s="28"/>
    </row>
    <row r="42587">
      <c r="N42587" s="28"/>
      <c r="O42587" s="28"/>
      <c r="U42587" s="28"/>
    </row>
    <row r="42588">
      <c r="N42588" s="28"/>
      <c r="O42588" s="28"/>
      <c r="U42588" s="28"/>
    </row>
    <row r="42589">
      <c r="N42589" s="28"/>
      <c r="O42589" s="28"/>
      <c r="U42589" s="28"/>
    </row>
    <row r="42590">
      <c r="N42590" s="28"/>
      <c r="O42590" s="28"/>
      <c r="U42590" s="28"/>
    </row>
    <row r="42591">
      <c r="N42591" s="28"/>
      <c r="O42591" s="28"/>
      <c r="U42591" s="28"/>
    </row>
    <row r="42592">
      <c r="N42592" s="28"/>
      <c r="O42592" s="28"/>
      <c r="U42592" s="28"/>
    </row>
    <row r="42593">
      <c r="N42593" s="28"/>
      <c r="O42593" s="28"/>
      <c r="U42593" s="28"/>
    </row>
    <row r="42594">
      <c r="N42594" s="28"/>
      <c r="O42594" s="28"/>
      <c r="U42594" s="28"/>
    </row>
    <row r="42595">
      <c r="N42595" s="28"/>
      <c r="O42595" s="28"/>
      <c r="U42595" s="28"/>
    </row>
    <row r="42596">
      <c r="N42596" s="28"/>
      <c r="O42596" s="28"/>
      <c r="U42596" s="28"/>
    </row>
    <row r="42597">
      <c r="N42597" s="28"/>
      <c r="O42597" s="28"/>
      <c r="U42597" s="28"/>
    </row>
    <row r="42598">
      <c r="N42598" s="28"/>
      <c r="O42598" s="28"/>
      <c r="U42598" s="28"/>
    </row>
    <row r="42599">
      <c r="N42599" s="28"/>
      <c r="O42599" s="28"/>
      <c r="U42599" s="28"/>
    </row>
    <row r="42600">
      <c r="N42600" s="28"/>
      <c r="O42600" s="28"/>
      <c r="U42600" s="28"/>
    </row>
    <row r="42601">
      <c r="N42601" s="28"/>
      <c r="O42601" s="28"/>
      <c r="U42601" s="28"/>
    </row>
    <row r="42602">
      <c r="N42602" s="28"/>
      <c r="O42602" s="28"/>
      <c r="U42602" s="28"/>
    </row>
    <row r="42603">
      <c r="N42603" s="28"/>
      <c r="O42603" s="28"/>
      <c r="U42603" s="28"/>
    </row>
    <row r="42604">
      <c r="N42604" s="28"/>
      <c r="O42604" s="28"/>
      <c r="U42604" s="28"/>
    </row>
    <row r="42605">
      <c r="N42605" s="28"/>
      <c r="O42605" s="28"/>
      <c r="U42605" s="28"/>
    </row>
    <row r="42606">
      <c r="N42606" s="28"/>
      <c r="O42606" s="28"/>
      <c r="U42606" s="28"/>
    </row>
    <row r="42607">
      <c r="N42607" s="28"/>
      <c r="O42607" s="28"/>
      <c r="U42607" s="28"/>
    </row>
    <row r="42608">
      <c r="N42608" s="28"/>
      <c r="O42608" s="28"/>
      <c r="U42608" s="28"/>
    </row>
    <row r="42609">
      <c r="N42609" s="28"/>
      <c r="O42609" s="28"/>
      <c r="U42609" s="28"/>
    </row>
    <row r="42610">
      <c r="N42610" s="28"/>
      <c r="O42610" s="28"/>
      <c r="U42610" s="28"/>
    </row>
    <row r="42611">
      <c r="N42611" s="28"/>
      <c r="O42611" s="28"/>
      <c r="U42611" s="28"/>
    </row>
    <row r="42612">
      <c r="N42612" s="28"/>
      <c r="O42612" s="28"/>
      <c r="U42612" s="28"/>
    </row>
    <row r="42613">
      <c r="N42613" s="28"/>
      <c r="O42613" s="28"/>
      <c r="U42613" s="28"/>
    </row>
    <row r="42614">
      <c r="N42614" s="28"/>
      <c r="O42614" s="28"/>
      <c r="U42614" s="28"/>
    </row>
    <row r="42615">
      <c r="N42615" s="28"/>
      <c r="O42615" s="28"/>
      <c r="U42615" s="28"/>
    </row>
    <row r="42616">
      <c r="N42616" s="28"/>
      <c r="O42616" s="28"/>
      <c r="U42616" s="28"/>
    </row>
    <row r="42617">
      <c r="N42617" s="28"/>
      <c r="O42617" s="28"/>
      <c r="U42617" s="28"/>
    </row>
    <row r="42618">
      <c r="N42618" s="28"/>
      <c r="O42618" s="28"/>
      <c r="U42618" s="28"/>
    </row>
    <row r="42619">
      <c r="N42619" s="28"/>
      <c r="O42619" s="28"/>
      <c r="U42619" s="28"/>
    </row>
    <row r="42620">
      <c r="N42620" s="28"/>
      <c r="O42620" s="28"/>
      <c r="U42620" s="28"/>
    </row>
    <row r="42621">
      <c r="N42621" s="28"/>
      <c r="O42621" s="28"/>
      <c r="U42621" s="28"/>
    </row>
    <row r="42622">
      <c r="N42622" s="28"/>
      <c r="O42622" s="28"/>
      <c r="U42622" s="28"/>
    </row>
    <row r="42623">
      <c r="N42623" s="28"/>
      <c r="O42623" s="28"/>
      <c r="U42623" s="28"/>
    </row>
    <row r="42624">
      <c r="N42624" s="28"/>
      <c r="O42624" s="28"/>
      <c r="U42624" s="28"/>
    </row>
    <row r="42625">
      <c r="N42625" s="28"/>
      <c r="O42625" s="28"/>
      <c r="U42625" s="28"/>
    </row>
    <row r="42626">
      <c r="N42626" s="28"/>
      <c r="O42626" s="28"/>
      <c r="U42626" s="28"/>
    </row>
    <row r="42627">
      <c r="N42627" s="28"/>
      <c r="O42627" s="28"/>
      <c r="U42627" s="28"/>
    </row>
    <row r="42628">
      <c r="N42628" s="28"/>
      <c r="O42628" s="28"/>
      <c r="U42628" s="28"/>
    </row>
    <row r="42629">
      <c r="N42629" s="28"/>
      <c r="O42629" s="28"/>
      <c r="U42629" s="28"/>
    </row>
    <row r="42630">
      <c r="N42630" s="28"/>
      <c r="O42630" s="28"/>
      <c r="U42630" s="28"/>
    </row>
    <row r="42631">
      <c r="N42631" s="28"/>
      <c r="O42631" s="28"/>
      <c r="U42631" s="28"/>
    </row>
    <row r="42632">
      <c r="N42632" s="28"/>
      <c r="O42632" s="28"/>
      <c r="U42632" s="28"/>
    </row>
    <row r="42633">
      <c r="N42633" s="28"/>
      <c r="O42633" s="28"/>
      <c r="U42633" s="28"/>
    </row>
    <row r="42634">
      <c r="N42634" s="28"/>
      <c r="O42634" s="28"/>
      <c r="U42634" s="28"/>
    </row>
    <row r="42635">
      <c r="N42635" s="28"/>
      <c r="O42635" s="28"/>
      <c r="U42635" s="28"/>
    </row>
    <row r="42636">
      <c r="N42636" s="28"/>
      <c r="O42636" s="28"/>
      <c r="U42636" s="28"/>
    </row>
    <row r="42637">
      <c r="N42637" s="28"/>
      <c r="O42637" s="28"/>
      <c r="U42637" s="28"/>
    </row>
    <row r="42638">
      <c r="N42638" s="28"/>
      <c r="O42638" s="28"/>
      <c r="U42638" s="28"/>
    </row>
    <row r="42639">
      <c r="N42639" s="28"/>
      <c r="O42639" s="28"/>
      <c r="U42639" s="28"/>
    </row>
    <row r="42640">
      <c r="N42640" s="28"/>
      <c r="O42640" s="28"/>
      <c r="U42640" s="28"/>
    </row>
    <row r="42641">
      <c r="N42641" s="28"/>
      <c r="O42641" s="28"/>
      <c r="U42641" s="28"/>
    </row>
    <row r="42642">
      <c r="N42642" s="28"/>
      <c r="O42642" s="28"/>
      <c r="U42642" s="28"/>
    </row>
    <row r="42643">
      <c r="N42643" s="28"/>
      <c r="O42643" s="28"/>
      <c r="U42643" s="28"/>
    </row>
    <row r="42644">
      <c r="N42644" s="28"/>
      <c r="O42644" s="28"/>
      <c r="U42644" s="28"/>
    </row>
    <row r="42645">
      <c r="N42645" s="28"/>
      <c r="O42645" s="28"/>
      <c r="U42645" s="28"/>
    </row>
    <row r="42646">
      <c r="N42646" s="28"/>
      <c r="O42646" s="28"/>
      <c r="U42646" s="28"/>
    </row>
    <row r="42647">
      <c r="N42647" s="28"/>
      <c r="O42647" s="28"/>
      <c r="U42647" s="28"/>
    </row>
    <row r="42648">
      <c r="N42648" s="28"/>
      <c r="O42648" s="28"/>
      <c r="U42648" s="28"/>
    </row>
    <row r="42649">
      <c r="N42649" s="28"/>
      <c r="O42649" s="28"/>
      <c r="U42649" s="28"/>
    </row>
    <row r="42650">
      <c r="N42650" s="28"/>
      <c r="O42650" s="28"/>
      <c r="U42650" s="28"/>
    </row>
    <row r="42651">
      <c r="N42651" s="28"/>
      <c r="O42651" s="28"/>
      <c r="U42651" s="28"/>
    </row>
    <row r="42652">
      <c r="N42652" s="28"/>
      <c r="O42652" s="28"/>
      <c r="U42652" s="28"/>
    </row>
    <row r="42653">
      <c r="N42653" s="28"/>
      <c r="O42653" s="28"/>
      <c r="U42653" s="28"/>
    </row>
    <row r="42654">
      <c r="N42654" s="28"/>
      <c r="O42654" s="28"/>
      <c r="U42654" s="28"/>
    </row>
    <row r="42655">
      <c r="N42655" s="28"/>
      <c r="O42655" s="28"/>
      <c r="U42655" s="28"/>
    </row>
    <row r="42656">
      <c r="N42656" s="28"/>
      <c r="O42656" s="28"/>
      <c r="U42656" s="28"/>
    </row>
    <row r="42657">
      <c r="N42657" s="28"/>
      <c r="O42657" s="28"/>
      <c r="U42657" s="28"/>
    </row>
    <row r="42658">
      <c r="N42658" s="28"/>
      <c r="O42658" s="28"/>
      <c r="U42658" s="28"/>
    </row>
    <row r="42659">
      <c r="N42659" s="28"/>
      <c r="O42659" s="28"/>
      <c r="U42659" s="28"/>
    </row>
    <row r="42660">
      <c r="N42660" s="28"/>
      <c r="O42660" s="28"/>
      <c r="U42660" s="28"/>
    </row>
    <row r="42661">
      <c r="N42661" s="28"/>
      <c r="O42661" s="28"/>
      <c r="U42661" s="28"/>
    </row>
    <row r="42662">
      <c r="N42662" s="28"/>
      <c r="O42662" s="28"/>
      <c r="U42662" s="28"/>
    </row>
    <row r="42663">
      <c r="N42663" s="28"/>
      <c r="O42663" s="28"/>
      <c r="U42663" s="28"/>
    </row>
    <row r="42664">
      <c r="N42664" s="28"/>
      <c r="O42664" s="28"/>
      <c r="U42664" s="28"/>
    </row>
    <row r="42665">
      <c r="N42665" s="28"/>
      <c r="O42665" s="28"/>
      <c r="U42665" s="28"/>
    </row>
    <row r="42666">
      <c r="N42666" s="28"/>
      <c r="O42666" s="28"/>
      <c r="U42666" s="28"/>
    </row>
    <row r="42667">
      <c r="N42667" s="28"/>
      <c r="O42667" s="28"/>
      <c r="U42667" s="28"/>
    </row>
    <row r="42668">
      <c r="N42668" s="28"/>
      <c r="O42668" s="28"/>
      <c r="U42668" s="28"/>
    </row>
    <row r="42669">
      <c r="N42669" s="28"/>
      <c r="O42669" s="28"/>
      <c r="U42669" s="28"/>
    </row>
    <row r="42670">
      <c r="N42670" s="28"/>
      <c r="O42670" s="28"/>
      <c r="U42670" s="28"/>
    </row>
    <row r="42671">
      <c r="N42671" s="28"/>
      <c r="O42671" s="28"/>
      <c r="U42671" s="28"/>
    </row>
    <row r="42672">
      <c r="N42672" s="28"/>
      <c r="O42672" s="28"/>
      <c r="U42672" s="28"/>
    </row>
    <row r="42673">
      <c r="N42673" s="28"/>
      <c r="O42673" s="28"/>
      <c r="U42673" s="28"/>
    </row>
    <row r="42674">
      <c r="N42674" s="28"/>
      <c r="O42674" s="28"/>
      <c r="U42674" s="28"/>
    </row>
    <row r="42675">
      <c r="N42675" s="28"/>
      <c r="O42675" s="28"/>
      <c r="U42675" s="28"/>
    </row>
    <row r="42676">
      <c r="N42676" s="28"/>
      <c r="O42676" s="28"/>
      <c r="U42676" s="28"/>
    </row>
    <row r="42677">
      <c r="N42677" s="28"/>
      <c r="O42677" s="28"/>
      <c r="U42677" s="28"/>
    </row>
    <row r="42678">
      <c r="N42678" s="28"/>
      <c r="O42678" s="28"/>
      <c r="U42678" s="28"/>
    </row>
    <row r="42679">
      <c r="N42679" s="28"/>
      <c r="O42679" s="28"/>
      <c r="U42679" s="28"/>
    </row>
    <row r="42680">
      <c r="N42680" s="28"/>
      <c r="O42680" s="28"/>
      <c r="U42680" s="28"/>
    </row>
    <row r="42681">
      <c r="N42681" s="28"/>
      <c r="O42681" s="28"/>
      <c r="U42681" s="28"/>
    </row>
    <row r="42682">
      <c r="N42682" s="28"/>
      <c r="O42682" s="28"/>
      <c r="U42682" s="28"/>
    </row>
    <row r="42683">
      <c r="N42683" s="28"/>
      <c r="O42683" s="28"/>
      <c r="U42683" s="28"/>
    </row>
    <row r="42684">
      <c r="N42684" s="28"/>
      <c r="O42684" s="28"/>
      <c r="U42684" s="28"/>
    </row>
    <row r="42685">
      <c r="N42685" s="28"/>
      <c r="O42685" s="28"/>
      <c r="U42685" s="28"/>
    </row>
    <row r="42686">
      <c r="N42686" s="28"/>
      <c r="O42686" s="28"/>
      <c r="U42686" s="28"/>
    </row>
    <row r="42687">
      <c r="N42687" s="28"/>
      <c r="O42687" s="28"/>
      <c r="U42687" s="28"/>
    </row>
    <row r="42688">
      <c r="N42688" s="28"/>
      <c r="O42688" s="28"/>
      <c r="U42688" s="28"/>
    </row>
    <row r="42689">
      <c r="N42689" s="28"/>
      <c r="O42689" s="28"/>
      <c r="U42689" s="28"/>
    </row>
    <row r="42690">
      <c r="N42690" s="28"/>
      <c r="O42690" s="28"/>
      <c r="U42690" s="28"/>
    </row>
    <row r="42691">
      <c r="N42691" s="28"/>
      <c r="O42691" s="28"/>
      <c r="U42691" s="28"/>
    </row>
    <row r="42692">
      <c r="N42692" s="28"/>
      <c r="O42692" s="28"/>
      <c r="U42692" s="28"/>
    </row>
    <row r="42693">
      <c r="N42693" s="28"/>
      <c r="O42693" s="28"/>
      <c r="U42693" s="28"/>
    </row>
    <row r="42694">
      <c r="N42694" s="28"/>
      <c r="O42694" s="28"/>
      <c r="U42694" s="28"/>
    </row>
    <row r="42695">
      <c r="N42695" s="28"/>
      <c r="O42695" s="28"/>
      <c r="U42695" s="28"/>
    </row>
    <row r="42696">
      <c r="N42696" s="28"/>
      <c r="O42696" s="28"/>
      <c r="U42696" s="28"/>
    </row>
    <row r="42697">
      <c r="N42697" s="28"/>
      <c r="O42697" s="28"/>
      <c r="U42697" s="28"/>
    </row>
    <row r="42698">
      <c r="N42698" s="28"/>
      <c r="O42698" s="28"/>
      <c r="U42698" s="28"/>
    </row>
    <row r="42699">
      <c r="N42699" s="28"/>
      <c r="O42699" s="28"/>
      <c r="U42699" s="28"/>
    </row>
    <row r="42700">
      <c r="N42700" s="28"/>
      <c r="O42700" s="28"/>
      <c r="U42700" s="28"/>
    </row>
    <row r="42701">
      <c r="N42701" s="28"/>
      <c r="O42701" s="28"/>
      <c r="U42701" s="28"/>
    </row>
    <row r="42702">
      <c r="N42702" s="28"/>
      <c r="O42702" s="28"/>
      <c r="U42702" s="28"/>
    </row>
    <row r="42703">
      <c r="N42703" s="28"/>
      <c r="O42703" s="28"/>
      <c r="U42703" s="28"/>
    </row>
    <row r="42704">
      <c r="N42704" s="28"/>
      <c r="O42704" s="28"/>
      <c r="U42704" s="28"/>
    </row>
    <row r="42705">
      <c r="N42705" s="28"/>
      <c r="O42705" s="28"/>
      <c r="U42705" s="28"/>
    </row>
    <row r="42706">
      <c r="N42706" s="28"/>
      <c r="O42706" s="28"/>
      <c r="U42706" s="28"/>
    </row>
    <row r="42707">
      <c r="N42707" s="28"/>
      <c r="O42707" s="28"/>
      <c r="U42707" s="28"/>
    </row>
    <row r="42708">
      <c r="N42708" s="28"/>
      <c r="O42708" s="28"/>
      <c r="U42708" s="28"/>
    </row>
    <row r="42709">
      <c r="N42709" s="28"/>
      <c r="O42709" s="28"/>
      <c r="U42709" s="28"/>
    </row>
    <row r="42710">
      <c r="N42710" s="28"/>
      <c r="O42710" s="28"/>
      <c r="U42710" s="28"/>
    </row>
    <row r="42711">
      <c r="N42711" s="28"/>
      <c r="O42711" s="28"/>
      <c r="U42711" s="28"/>
    </row>
    <row r="42712">
      <c r="N42712" s="28"/>
      <c r="O42712" s="28"/>
      <c r="U42712" s="28"/>
    </row>
    <row r="42713">
      <c r="N42713" s="28"/>
      <c r="O42713" s="28"/>
      <c r="U42713" s="28"/>
    </row>
    <row r="42714">
      <c r="N42714" s="28"/>
      <c r="O42714" s="28"/>
      <c r="U42714" s="28"/>
    </row>
    <row r="42715">
      <c r="N42715" s="28"/>
      <c r="O42715" s="28"/>
      <c r="U42715" s="28"/>
    </row>
    <row r="42716">
      <c r="N42716" s="28"/>
      <c r="O42716" s="28"/>
      <c r="U42716" s="28"/>
    </row>
    <row r="42717">
      <c r="N42717" s="28"/>
      <c r="O42717" s="28"/>
      <c r="U42717" s="28"/>
    </row>
    <row r="42718">
      <c r="N42718" s="28"/>
      <c r="O42718" s="28"/>
      <c r="U42718" s="28"/>
    </row>
    <row r="42719">
      <c r="N42719" s="28"/>
      <c r="O42719" s="28"/>
      <c r="U42719" s="28"/>
    </row>
    <row r="42720">
      <c r="N42720" s="28"/>
      <c r="O42720" s="28"/>
      <c r="U42720" s="28"/>
    </row>
    <row r="42721">
      <c r="N42721" s="28"/>
      <c r="O42721" s="28"/>
      <c r="U42721" s="28"/>
    </row>
    <row r="42722">
      <c r="N42722" s="28"/>
      <c r="O42722" s="28"/>
      <c r="U42722" s="28"/>
    </row>
    <row r="42723">
      <c r="N42723" s="28"/>
      <c r="O42723" s="28"/>
      <c r="U42723" s="28"/>
    </row>
    <row r="42724">
      <c r="N42724" s="28"/>
      <c r="O42724" s="28"/>
      <c r="U42724" s="28"/>
    </row>
    <row r="42725">
      <c r="N42725" s="28"/>
      <c r="O42725" s="28"/>
      <c r="U42725" s="28"/>
    </row>
    <row r="42726">
      <c r="N42726" s="28"/>
      <c r="O42726" s="28"/>
      <c r="U42726" s="28"/>
    </row>
    <row r="42727">
      <c r="N42727" s="28"/>
      <c r="O42727" s="28"/>
      <c r="U42727" s="28"/>
    </row>
    <row r="42728">
      <c r="N42728" s="28"/>
      <c r="O42728" s="28"/>
      <c r="U42728" s="28"/>
    </row>
    <row r="42729">
      <c r="N42729" s="28"/>
      <c r="O42729" s="28"/>
      <c r="U42729" s="28"/>
    </row>
    <row r="42730">
      <c r="N42730" s="28"/>
      <c r="O42730" s="28"/>
      <c r="U42730" s="28"/>
    </row>
    <row r="42731">
      <c r="N42731" s="28"/>
      <c r="O42731" s="28"/>
      <c r="U42731" s="28"/>
    </row>
    <row r="42732">
      <c r="N42732" s="28"/>
      <c r="O42732" s="28"/>
      <c r="U42732" s="28"/>
    </row>
    <row r="42733">
      <c r="N42733" s="28"/>
      <c r="O42733" s="28"/>
      <c r="U42733" s="28"/>
    </row>
    <row r="42734">
      <c r="N42734" s="28"/>
      <c r="O42734" s="28"/>
      <c r="U42734" s="28"/>
    </row>
    <row r="42735">
      <c r="N42735" s="28"/>
      <c r="O42735" s="28"/>
      <c r="U42735" s="28"/>
    </row>
    <row r="42736">
      <c r="N42736" s="28"/>
      <c r="O42736" s="28"/>
      <c r="U42736" s="28"/>
    </row>
    <row r="42737">
      <c r="N42737" s="28"/>
      <c r="O42737" s="28"/>
      <c r="U42737" s="28"/>
    </row>
    <row r="42738">
      <c r="N42738" s="28"/>
      <c r="O42738" s="28"/>
      <c r="U42738" s="28"/>
    </row>
    <row r="42739">
      <c r="N42739" s="28"/>
      <c r="O42739" s="28"/>
      <c r="U42739" s="28"/>
    </row>
    <row r="42740">
      <c r="N42740" s="28"/>
      <c r="O42740" s="28"/>
      <c r="U42740" s="28"/>
    </row>
    <row r="42741">
      <c r="N42741" s="28"/>
      <c r="O42741" s="28"/>
      <c r="U42741" s="28"/>
    </row>
    <row r="42742">
      <c r="N42742" s="28"/>
      <c r="O42742" s="28"/>
      <c r="U42742" s="28"/>
    </row>
    <row r="42743">
      <c r="N42743" s="28"/>
      <c r="O42743" s="28"/>
      <c r="U42743" s="28"/>
    </row>
    <row r="42744">
      <c r="N42744" s="28"/>
      <c r="O42744" s="28"/>
      <c r="U42744" s="28"/>
    </row>
    <row r="42745">
      <c r="N42745" s="28"/>
      <c r="O42745" s="28"/>
      <c r="U42745" s="28"/>
    </row>
    <row r="42746">
      <c r="N42746" s="28"/>
      <c r="O42746" s="28"/>
      <c r="U42746" s="28"/>
    </row>
    <row r="42747">
      <c r="N42747" s="28"/>
      <c r="O42747" s="28"/>
      <c r="U42747" s="28"/>
    </row>
    <row r="42748">
      <c r="N42748" s="28"/>
      <c r="O42748" s="28"/>
      <c r="U42748" s="28"/>
    </row>
    <row r="42749">
      <c r="N42749" s="28"/>
      <c r="O42749" s="28"/>
      <c r="U42749" s="28"/>
    </row>
    <row r="42750">
      <c r="N42750" s="28"/>
      <c r="O42750" s="28"/>
      <c r="U42750" s="28"/>
    </row>
    <row r="42751">
      <c r="N42751" s="28"/>
      <c r="O42751" s="28"/>
      <c r="U42751" s="28"/>
    </row>
    <row r="42752">
      <c r="N42752" s="28"/>
      <c r="O42752" s="28"/>
      <c r="U42752" s="28"/>
    </row>
    <row r="42753">
      <c r="N42753" s="28"/>
      <c r="O42753" s="28"/>
      <c r="U42753" s="28"/>
    </row>
    <row r="42754">
      <c r="N42754" s="28"/>
      <c r="O42754" s="28"/>
      <c r="U42754" s="28"/>
    </row>
    <row r="42755">
      <c r="N42755" s="28"/>
      <c r="O42755" s="28"/>
      <c r="U42755" s="28"/>
    </row>
    <row r="42756">
      <c r="N42756" s="28"/>
      <c r="O42756" s="28"/>
      <c r="U42756" s="28"/>
    </row>
    <row r="42757">
      <c r="N42757" s="28"/>
      <c r="O42757" s="28"/>
      <c r="U42757" s="28"/>
    </row>
    <row r="42758">
      <c r="N42758" s="28"/>
      <c r="O42758" s="28"/>
      <c r="U42758" s="28"/>
    </row>
    <row r="42759">
      <c r="N42759" s="28"/>
      <c r="O42759" s="28"/>
      <c r="U42759" s="28"/>
    </row>
    <row r="42760">
      <c r="N42760" s="28"/>
      <c r="O42760" s="28"/>
      <c r="U42760" s="28"/>
    </row>
    <row r="42761">
      <c r="N42761" s="28"/>
      <c r="O42761" s="28"/>
      <c r="U42761" s="28"/>
    </row>
    <row r="42762">
      <c r="N42762" s="28"/>
      <c r="O42762" s="28"/>
      <c r="U42762" s="28"/>
    </row>
    <row r="42763">
      <c r="N42763" s="28"/>
      <c r="O42763" s="28"/>
      <c r="U42763" s="28"/>
    </row>
    <row r="42764">
      <c r="N42764" s="28"/>
      <c r="O42764" s="28"/>
      <c r="U42764" s="28"/>
    </row>
    <row r="42765">
      <c r="N42765" s="28"/>
      <c r="O42765" s="28"/>
      <c r="U42765" s="28"/>
    </row>
    <row r="42766">
      <c r="N42766" s="28"/>
      <c r="O42766" s="28"/>
      <c r="U42766" s="28"/>
    </row>
    <row r="42767">
      <c r="N42767" s="28"/>
      <c r="O42767" s="28"/>
      <c r="U42767" s="28"/>
    </row>
    <row r="42768">
      <c r="N42768" s="28"/>
      <c r="O42768" s="28"/>
      <c r="U42768" s="28"/>
    </row>
    <row r="42769">
      <c r="N42769" s="28"/>
      <c r="O42769" s="28"/>
      <c r="U42769" s="28"/>
    </row>
    <row r="42770">
      <c r="N42770" s="28"/>
      <c r="O42770" s="28"/>
      <c r="U42770" s="28"/>
    </row>
    <row r="42771">
      <c r="N42771" s="28"/>
      <c r="O42771" s="28"/>
      <c r="U42771" s="28"/>
    </row>
    <row r="42772">
      <c r="N42772" s="28"/>
      <c r="O42772" s="28"/>
      <c r="U42772" s="28"/>
    </row>
    <row r="42773">
      <c r="N42773" s="28"/>
      <c r="O42773" s="28"/>
      <c r="U42773" s="28"/>
    </row>
    <row r="42774">
      <c r="N42774" s="28"/>
      <c r="O42774" s="28"/>
      <c r="U42774" s="28"/>
    </row>
    <row r="42775">
      <c r="N42775" s="28"/>
      <c r="O42775" s="28"/>
      <c r="U42775" s="28"/>
    </row>
    <row r="42776">
      <c r="N42776" s="28"/>
      <c r="O42776" s="28"/>
      <c r="U42776" s="28"/>
    </row>
    <row r="42777">
      <c r="N42777" s="28"/>
      <c r="O42777" s="28"/>
      <c r="U42777" s="28"/>
    </row>
    <row r="42778">
      <c r="N42778" s="28"/>
      <c r="O42778" s="28"/>
      <c r="U42778" s="28"/>
    </row>
    <row r="42779">
      <c r="N42779" s="28"/>
      <c r="O42779" s="28"/>
      <c r="U42779" s="28"/>
    </row>
    <row r="42780">
      <c r="N42780" s="28"/>
      <c r="O42780" s="28"/>
      <c r="U42780" s="28"/>
    </row>
    <row r="42781">
      <c r="N42781" s="28"/>
      <c r="O42781" s="28"/>
      <c r="U42781" s="28"/>
    </row>
    <row r="42782">
      <c r="N42782" s="28"/>
      <c r="O42782" s="28"/>
      <c r="U42782" s="28"/>
    </row>
    <row r="42783">
      <c r="N42783" s="28"/>
      <c r="O42783" s="28"/>
      <c r="U42783" s="28"/>
    </row>
    <row r="42784">
      <c r="N42784" s="28"/>
      <c r="O42784" s="28"/>
      <c r="U42784" s="28"/>
    </row>
    <row r="42785">
      <c r="N42785" s="28"/>
      <c r="O42785" s="28"/>
      <c r="U42785" s="28"/>
    </row>
    <row r="42786">
      <c r="N42786" s="28"/>
      <c r="O42786" s="28"/>
      <c r="U42786" s="28"/>
    </row>
    <row r="42787">
      <c r="N42787" s="28"/>
      <c r="O42787" s="28"/>
      <c r="U42787" s="28"/>
    </row>
    <row r="42788">
      <c r="N42788" s="28"/>
      <c r="O42788" s="28"/>
      <c r="U42788" s="28"/>
    </row>
    <row r="42789">
      <c r="N42789" s="28"/>
      <c r="O42789" s="28"/>
      <c r="U42789" s="28"/>
    </row>
    <row r="42790">
      <c r="N42790" s="28"/>
      <c r="O42790" s="28"/>
      <c r="U42790" s="28"/>
    </row>
    <row r="42791">
      <c r="N42791" s="28"/>
      <c r="O42791" s="28"/>
      <c r="U42791" s="28"/>
    </row>
    <row r="42792">
      <c r="N42792" s="28"/>
      <c r="O42792" s="28"/>
      <c r="U42792" s="28"/>
    </row>
    <row r="42793">
      <c r="N42793" s="28"/>
      <c r="O42793" s="28"/>
      <c r="U42793" s="28"/>
    </row>
    <row r="42794">
      <c r="N42794" s="28"/>
      <c r="O42794" s="28"/>
      <c r="U42794" s="28"/>
    </row>
    <row r="42795">
      <c r="N42795" s="28"/>
      <c r="O42795" s="28"/>
      <c r="U42795" s="28"/>
    </row>
    <row r="42796">
      <c r="N42796" s="28"/>
      <c r="O42796" s="28"/>
      <c r="U42796" s="28"/>
    </row>
    <row r="42797">
      <c r="N42797" s="28"/>
      <c r="O42797" s="28"/>
      <c r="U42797" s="28"/>
    </row>
    <row r="42798">
      <c r="N42798" s="28"/>
      <c r="O42798" s="28"/>
      <c r="U42798" s="28"/>
    </row>
    <row r="42799">
      <c r="N42799" s="28"/>
      <c r="O42799" s="28"/>
      <c r="U42799" s="28"/>
    </row>
    <row r="42800">
      <c r="N42800" s="28"/>
      <c r="O42800" s="28"/>
      <c r="U42800" s="28"/>
    </row>
    <row r="42801">
      <c r="N42801" s="28"/>
      <c r="O42801" s="28"/>
      <c r="U42801" s="28"/>
    </row>
    <row r="42802">
      <c r="N42802" s="28"/>
      <c r="O42802" s="28"/>
      <c r="U42802" s="28"/>
    </row>
    <row r="42803">
      <c r="N42803" s="28"/>
      <c r="O42803" s="28"/>
      <c r="U42803" s="28"/>
    </row>
    <row r="42804">
      <c r="N42804" s="28"/>
      <c r="O42804" s="28"/>
      <c r="U42804" s="28"/>
    </row>
    <row r="42805">
      <c r="N42805" s="28"/>
      <c r="O42805" s="28"/>
      <c r="U42805" s="28"/>
    </row>
    <row r="42806">
      <c r="N42806" s="28"/>
      <c r="O42806" s="28"/>
      <c r="U42806" s="28"/>
    </row>
    <row r="42807">
      <c r="N42807" s="28"/>
      <c r="O42807" s="28"/>
      <c r="U42807" s="28"/>
    </row>
    <row r="42808">
      <c r="N42808" s="28"/>
      <c r="O42808" s="28"/>
      <c r="U42808" s="28"/>
    </row>
    <row r="42809">
      <c r="N42809" s="28"/>
      <c r="O42809" s="28"/>
      <c r="U42809" s="28"/>
    </row>
    <row r="42810">
      <c r="N42810" s="28"/>
      <c r="O42810" s="28"/>
      <c r="U42810" s="28"/>
    </row>
    <row r="42811">
      <c r="N42811" s="28"/>
      <c r="O42811" s="28"/>
      <c r="U42811" s="28"/>
    </row>
    <row r="42812">
      <c r="N42812" s="28"/>
      <c r="O42812" s="28"/>
      <c r="U42812" s="28"/>
    </row>
    <row r="42813">
      <c r="N42813" s="28"/>
      <c r="O42813" s="28"/>
      <c r="U42813" s="28"/>
    </row>
    <row r="42814">
      <c r="N42814" s="28"/>
      <c r="O42814" s="28"/>
      <c r="U42814" s="28"/>
    </row>
    <row r="42815">
      <c r="N42815" s="28"/>
      <c r="O42815" s="28"/>
      <c r="U42815" s="28"/>
    </row>
    <row r="42816">
      <c r="N42816" s="28"/>
      <c r="O42816" s="28"/>
      <c r="U42816" s="28"/>
    </row>
    <row r="42817">
      <c r="N42817" s="28"/>
      <c r="O42817" s="28"/>
      <c r="U42817" s="28"/>
    </row>
    <row r="42818">
      <c r="N42818" s="28"/>
      <c r="O42818" s="28"/>
      <c r="U42818" s="28"/>
    </row>
    <row r="42819">
      <c r="N42819" s="28"/>
      <c r="O42819" s="28"/>
      <c r="U42819" s="28"/>
    </row>
    <row r="42820">
      <c r="N42820" s="28"/>
      <c r="O42820" s="28"/>
      <c r="U42820" s="28"/>
    </row>
    <row r="42821">
      <c r="N42821" s="28"/>
      <c r="O42821" s="28"/>
      <c r="U42821" s="28"/>
    </row>
    <row r="42822">
      <c r="N42822" s="28"/>
      <c r="O42822" s="28"/>
      <c r="U42822" s="28"/>
    </row>
    <row r="42823">
      <c r="N42823" s="28"/>
      <c r="O42823" s="28"/>
      <c r="U42823" s="28"/>
    </row>
    <row r="42824">
      <c r="N42824" s="28"/>
      <c r="O42824" s="28"/>
      <c r="U42824" s="28"/>
    </row>
    <row r="42825">
      <c r="N42825" s="28"/>
      <c r="O42825" s="28"/>
      <c r="U42825" s="28"/>
    </row>
    <row r="42826">
      <c r="N42826" s="28"/>
      <c r="O42826" s="28"/>
      <c r="U42826" s="28"/>
    </row>
    <row r="42827">
      <c r="N42827" s="28"/>
      <c r="O42827" s="28"/>
      <c r="U42827" s="28"/>
    </row>
    <row r="42828">
      <c r="N42828" s="28"/>
      <c r="O42828" s="28"/>
      <c r="U42828" s="28"/>
    </row>
    <row r="42829">
      <c r="N42829" s="28"/>
      <c r="O42829" s="28"/>
      <c r="U42829" s="28"/>
    </row>
    <row r="42830">
      <c r="N42830" s="28"/>
      <c r="O42830" s="28"/>
      <c r="U42830" s="28"/>
    </row>
    <row r="42831">
      <c r="N42831" s="28"/>
      <c r="O42831" s="28"/>
      <c r="U42831" s="28"/>
    </row>
    <row r="42832">
      <c r="N42832" s="28"/>
      <c r="O42832" s="28"/>
      <c r="U42832" s="28"/>
    </row>
    <row r="42833">
      <c r="N42833" s="28"/>
      <c r="O42833" s="28"/>
      <c r="U42833" s="28"/>
    </row>
    <row r="42834">
      <c r="N42834" s="28"/>
      <c r="O42834" s="28"/>
      <c r="U42834" s="28"/>
    </row>
    <row r="42835">
      <c r="N42835" s="28"/>
      <c r="O42835" s="28"/>
      <c r="U42835" s="28"/>
    </row>
    <row r="42836">
      <c r="N42836" s="28"/>
      <c r="O42836" s="28"/>
      <c r="U42836" s="28"/>
    </row>
    <row r="42837">
      <c r="N42837" s="28"/>
      <c r="O42837" s="28"/>
      <c r="U42837" s="28"/>
    </row>
    <row r="42838">
      <c r="N42838" s="28"/>
      <c r="O42838" s="28"/>
      <c r="U42838" s="28"/>
    </row>
    <row r="42839">
      <c r="N42839" s="28"/>
      <c r="O42839" s="28"/>
      <c r="U42839" s="28"/>
    </row>
    <row r="42840">
      <c r="N42840" s="28"/>
      <c r="O42840" s="28"/>
      <c r="U42840" s="28"/>
    </row>
    <row r="42841">
      <c r="N42841" s="28"/>
      <c r="O42841" s="28"/>
      <c r="U42841" s="28"/>
    </row>
    <row r="42842">
      <c r="N42842" s="28"/>
      <c r="O42842" s="28"/>
      <c r="U42842" s="28"/>
    </row>
    <row r="42843">
      <c r="N42843" s="28"/>
      <c r="O42843" s="28"/>
      <c r="U42843" s="28"/>
    </row>
    <row r="42844">
      <c r="N42844" s="28"/>
      <c r="O42844" s="28"/>
      <c r="U42844" s="28"/>
    </row>
    <row r="42845">
      <c r="N42845" s="28"/>
      <c r="O42845" s="28"/>
      <c r="U42845" s="28"/>
    </row>
    <row r="42846">
      <c r="N42846" s="28"/>
      <c r="O42846" s="28"/>
      <c r="U42846" s="28"/>
    </row>
    <row r="42847">
      <c r="N42847" s="28"/>
      <c r="O42847" s="28"/>
      <c r="U42847" s="28"/>
    </row>
    <row r="42848">
      <c r="N42848" s="28"/>
      <c r="O42848" s="28"/>
      <c r="U42848" s="28"/>
    </row>
    <row r="42849">
      <c r="N42849" s="28"/>
      <c r="O42849" s="28"/>
      <c r="U42849" s="28"/>
    </row>
    <row r="42850">
      <c r="N42850" s="28"/>
      <c r="O42850" s="28"/>
      <c r="U42850" s="28"/>
    </row>
    <row r="42851">
      <c r="N42851" s="28"/>
      <c r="O42851" s="28"/>
      <c r="U42851" s="28"/>
    </row>
    <row r="42852">
      <c r="N42852" s="28"/>
      <c r="O42852" s="28"/>
      <c r="U42852" s="28"/>
    </row>
    <row r="42853">
      <c r="N42853" s="28"/>
      <c r="O42853" s="28"/>
      <c r="U42853" s="28"/>
    </row>
    <row r="42854">
      <c r="N42854" s="28"/>
      <c r="O42854" s="28"/>
      <c r="U42854" s="28"/>
    </row>
    <row r="42855">
      <c r="N42855" s="28"/>
      <c r="O42855" s="28"/>
      <c r="U42855" s="28"/>
    </row>
    <row r="42856">
      <c r="N42856" s="28"/>
      <c r="O42856" s="28"/>
      <c r="U42856" s="28"/>
    </row>
    <row r="42857">
      <c r="N42857" s="28"/>
      <c r="O42857" s="28"/>
      <c r="U42857" s="28"/>
    </row>
    <row r="42858">
      <c r="N42858" s="28"/>
      <c r="O42858" s="28"/>
      <c r="U42858" s="28"/>
    </row>
    <row r="42859">
      <c r="N42859" s="28"/>
      <c r="O42859" s="28"/>
      <c r="U42859" s="28"/>
    </row>
    <row r="42860">
      <c r="N42860" s="28"/>
      <c r="O42860" s="28"/>
      <c r="U42860" s="28"/>
    </row>
    <row r="42861">
      <c r="N42861" s="28"/>
      <c r="O42861" s="28"/>
      <c r="U42861" s="28"/>
    </row>
    <row r="42862">
      <c r="N42862" s="28"/>
      <c r="O42862" s="28"/>
      <c r="U42862" s="28"/>
    </row>
    <row r="42863">
      <c r="N42863" s="28"/>
      <c r="O42863" s="28"/>
      <c r="U42863" s="28"/>
    </row>
    <row r="42864">
      <c r="N42864" s="28"/>
      <c r="O42864" s="28"/>
      <c r="U42864" s="28"/>
    </row>
    <row r="42865">
      <c r="N42865" s="28"/>
      <c r="O42865" s="28"/>
      <c r="U42865" s="28"/>
    </row>
    <row r="42866">
      <c r="N42866" s="28"/>
      <c r="O42866" s="28"/>
      <c r="U42866" s="28"/>
    </row>
    <row r="42867">
      <c r="N42867" s="28"/>
      <c r="O42867" s="28"/>
      <c r="U42867" s="28"/>
    </row>
    <row r="42868">
      <c r="N42868" s="28"/>
      <c r="O42868" s="28"/>
      <c r="U42868" s="28"/>
    </row>
    <row r="42869">
      <c r="N42869" s="28"/>
      <c r="O42869" s="28"/>
      <c r="U42869" s="28"/>
    </row>
    <row r="42870">
      <c r="N42870" s="28"/>
      <c r="O42870" s="28"/>
      <c r="U42870" s="28"/>
    </row>
    <row r="42871">
      <c r="N42871" s="28"/>
      <c r="O42871" s="28"/>
      <c r="U42871" s="28"/>
    </row>
    <row r="42872">
      <c r="N42872" s="28"/>
      <c r="O42872" s="28"/>
      <c r="U42872" s="28"/>
    </row>
    <row r="42873">
      <c r="N42873" s="28"/>
      <c r="O42873" s="28"/>
      <c r="U42873" s="28"/>
    </row>
    <row r="42874">
      <c r="N42874" s="28"/>
      <c r="O42874" s="28"/>
      <c r="U42874" s="28"/>
    </row>
    <row r="42875">
      <c r="N42875" s="28"/>
      <c r="O42875" s="28"/>
      <c r="U42875" s="28"/>
    </row>
    <row r="42876">
      <c r="N42876" s="28"/>
      <c r="O42876" s="28"/>
      <c r="U42876" s="28"/>
    </row>
    <row r="42877">
      <c r="N42877" s="28"/>
      <c r="O42877" s="28"/>
      <c r="U42877" s="28"/>
    </row>
    <row r="42878">
      <c r="N42878" s="28"/>
      <c r="O42878" s="28"/>
      <c r="U42878" s="28"/>
    </row>
    <row r="42879">
      <c r="N42879" s="28"/>
      <c r="O42879" s="28"/>
      <c r="U42879" s="28"/>
    </row>
    <row r="42880">
      <c r="N42880" s="28"/>
      <c r="O42880" s="28"/>
      <c r="U42880" s="28"/>
    </row>
    <row r="42881">
      <c r="N42881" s="28"/>
      <c r="O42881" s="28"/>
      <c r="U42881" s="28"/>
    </row>
    <row r="42882">
      <c r="N42882" s="28"/>
      <c r="O42882" s="28"/>
      <c r="U42882" s="28"/>
    </row>
    <row r="42883">
      <c r="N42883" s="28"/>
      <c r="O42883" s="28"/>
      <c r="U42883" s="28"/>
    </row>
    <row r="42884">
      <c r="N42884" s="28"/>
      <c r="O42884" s="28"/>
      <c r="U42884" s="28"/>
    </row>
    <row r="42885">
      <c r="N42885" s="28"/>
      <c r="O42885" s="28"/>
      <c r="U42885" s="28"/>
    </row>
    <row r="42886">
      <c r="N42886" s="28"/>
      <c r="O42886" s="28"/>
      <c r="U42886" s="28"/>
    </row>
    <row r="42887">
      <c r="N42887" s="28"/>
      <c r="O42887" s="28"/>
      <c r="U42887" s="28"/>
    </row>
    <row r="42888">
      <c r="N42888" s="28"/>
      <c r="O42888" s="28"/>
      <c r="U42888" s="28"/>
    </row>
    <row r="42889">
      <c r="N42889" s="28"/>
      <c r="O42889" s="28"/>
      <c r="U42889" s="28"/>
    </row>
    <row r="42890">
      <c r="N42890" s="28"/>
      <c r="O42890" s="28"/>
      <c r="U42890" s="28"/>
    </row>
    <row r="42891">
      <c r="N42891" s="28"/>
      <c r="O42891" s="28"/>
      <c r="U42891" s="28"/>
    </row>
    <row r="42892">
      <c r="N42892" s="28"/>
      <c r="O42892" s="28"/>
      <c r="U42892" s="28"/>
    </row>
    <row r="42893">
      <c r="N42893" s="28"/>
      <c r="O42893" s="28"/>
      <c r="U42893" s="28"/>
    </row>
    <row r="42894">
      <c r="N42894" s="28"/>
      <c r="O42894" s="28"/>
      <c r="U42894" s="28"/>
    </row>
    <row r="42895">
      <c r="N42895" s="28"/>
      <c r="O42895" s="28"/>
      <c r="U42895" s="28"/>
    </row>
    <row r="42896">
      <c r="N42896" s="28"/>
      <c r="O42896" s="28"/>
      <c r="U42896" s="28"/>
    </row>
    <row r="42897">
      <c r="N42897" s="28"/>
      <c r="O42897" s="28"/>
      <c r="U42897" s="28"/>
    </row>
    <row r="42898">
      <c r="N42898" s="28"/>
      <c r="O42898" s="28"/>
      <c r="U42898" s="28"/>
    </row>
    <row r="42899">
      <c r="N42899" s="28"/>
      <c r="O42899" s="28"/>
      <c r="U42899" s="28"/>
    </row>
    <row r="42900">
      <c r="N42900" s="28"/>
      <c r="O42900" s="28"/>
      <c r="U42900" s="28"/>
    </row>
    <row r="42901">
      <c r="N42901" s="28"/>
      <c r="O42901" s="28"/>
      <c r="U42901" s="28"/>
    </row>
    <row r="42902">
      <c r="N42902" s="28"/>
      <c r="O42902" s="28"/>
      <c r="U42902" s="28"/>
    </row>
    <row r="42903">
      <c r="N42903" s="28"/>
      <c r="O42903" s="28"/>
      <c r="U42903" s="28"/>
    </row>
    <row r="42904">
      <c r="N42904" s="28"/>
      <c r="O42904" s="28"/>
      <c r="U42904" s="28"/>
    </row>
    <row r="42905">
      <c r="N42905" s="28"/>
      <c r="O42905" s="28"/>
      <c r="U42905" s="28"/>
    </row>
    <row r="42906">
      <c r="N42906" s="28"/>
      <c r="O42906" s="28"/>
      <c r="U42906" s="28"/>
    </row>
    <row r="42907">
      <c r="N42907" s="28"/>
      <c r="O42907" s="28"/>
      <c r="U42907" s="28"/>
    </row>
    <row r="42908">
      <c r="N42908" s="28"/>
      <c r="O42908" s="28"/>
      <c r="U42908" s="28"/>
    </row>
    <row r="42909">
      <c r="N42909" s="28"/>
      <c r="O42909" s="28"/>
      <c r="U42909" s="28"/>
    </row>
    <row r="42910">
      <c r="N42910" s="28"/>
      <c r="O42910" s="28"/>
      <c r="U42910" s="28"/>
    </row>
    <row r="42911">
      <c r="N42911" s="28"/>
      <c r="O42911" s="28"/>
      <c r="U42911" s="28"/>
    </row>
    <row r="42912">
      <c r="N42912" s="28"/>
      <c r="O42912" s="28"/>
      <c r="U42912" s="28"/>
    </row>
    <row r="42913">
      <c r="N42913" s="28"/>
      <c r="O42913" s="28"/>
      <c r="U42913" s="28"/>
    </row>
    <row r="42914">
      <c r="N42914" s="28"/>
      <c r="O42914" s="28"/>
      <c r="U42914" s="28"/>
    </row>
    <row r="42915">
      <c r="N42915" s="28"/>
      <c r="O42915" s="28"/>
      <c r="U42915" s="28"/>
    </row>
    <row r="42916">
      <c r="N42916" s="28"/>
      <c r="O42916" s="28"/>
      <c r="U42916" s="28"/>
    </row>
    <row r="42917">
      <c r="N42917" s="28"/>
      <c r="O42917" s="28"/>
      <c r="U42917" s="28"/>
    </row>
    <row r="42918">
      <c r="N42918" s="28"/>
      <c r="O42918" s="28"/>
      <c r="U42918" s="28"/>
    </row>
    <row r="42919">
      <c r="N42919" s="28"/>
      <c r="O42919" s="28"/>
      <c r="U42919" s="28"/>
    </row>
    <row r="42920">
      <c r="N42920" s="28"/>
      <c r="O42920" s="28"/>
      <c r="U42920" s="28"/>
    </row>
    <row r="42921">
      <c r="N42921" s="28"/>
      <c r="O42921" s="28"/>
      <c r="U42921" s="28"/>
    </row>
    <row r="42922">
      <c r="N42922" s="28"/>
      <c r="O42922" s="28"/>
      <c r="U42922" s="28"/>
    </row>
    <row r="42923">
      <c r="N42923" s="28"/>
      <c r="O42923" s="28"/>
      <c r="U42923" s="28"/>
    </row>
    <row r="42924">
      <c r="N42924" s="28"/>
      <c r="O42924" s="28"/>
      <c r="U42924" s="28"/>
    </row>
    <row r="42925">
      <c r="N42925" s="28"/>
      <c r="O42925" s="28"/>
      <c r="U42925" s="28"/>
    </row>
    <row r="42926">
      <c r="N42926" s="28"/>
      <c r="O42926" s="28"/>
      <c r="U42926" s="28"/>
    </row>
    <row r="42927">
      <c r="N42927" s="28"/>
      <c r="O42927" s="28"/>
      <c r="U42927" s="28"/>
    </row>
    <row r="42928">
      <c r="N42928" s="28"/>
      <c r="O42928" s="28"/>
      <c r="U42928" s="28"/>
    </row>
    <row r="42929">
      <c r="N42929" s="28"/>
      <c r="O42929" s="28"/>
      <c r="U42929" s="28"/>
    </row>
    <row r="42930">
      <c r="N42930" s="28"/>
      <c r="O42930" s="28"/>
      <c r="U42930" s="28"/>
    </row>
    <row r="42931">
      <c r="N42931" s="28"/>
      <c r="O42931" s="28"/>
      <c r="U42931" s="28"/>
    </row>
    <row r="42932">
      <c r="N42932" s="28"/>
      <c r="O42932" s="28"/>
      <c r="U42932" s="28"/>
    </row>
    <row r="42933">
      <c r="N42933" s="28"/>
      <c r="O42933" s="28"/>
      <c r="U42933" s="28"/>
    </row>
    <row r="42934">
      <c r="N42934" s="28"/>
      <c r="O42934" s="28"/>
      <c r="U42934" s="28"/>
    </row>
    <row r="42935">
      <c r="N42935" s="28"/>
      <c r="O42935" s="28"/>
      <c r="U42935" s="28"/>
    </row>
    <row r="42936">
      <c r="N42936" s="28"/>
      <c r="O42936" s="28"/>
      <c r="U42936" s="28"/>
    </row>
    <row r="42937">
      <c r="N42937" s="28"/>
      <c r="O42937" s="28"/>
      <c r="U42937" s="28"/>
    </row>
    <row r="42938">
      <c r="N42938" s="28"/>
      <c r="O42938" s="28"/>
      <c r="U42938" s="28"/>
    </row>
    <row r="42939">
      <c r="N42939" s="28"/>
      <c r="O42939" s="28"/>
      <c r="U42939" s="28"/>
    </row>
    <row r="42940">
      <c r="N42940" s="28"/>
      <c r="O42940" s="28"/>
      <c r="U42940" s="28"/>
    </row>
    <row r="42941">
      <c r="N42941" s="28"/>
      <c r="O42941" s="28"/>
      <c r="U42941" s="28"/>
    </row>
    <row r="42942">
      <c r="N42942" s="28"/>
      <c r="O42942" s="28"/>
      <c r="U42942" s="28"/>
    </row>
    <row r="42943">
      <c r="N42943" s="28"/>
      <c r="O42943" s="28"/>
      <c r="U42943" s="28"/>
    </row>
    <row r="42944">
      <c r="N42944" s="28"/>
      <c r="O42944" s="28"/>
      <c r="U42944" s="28"/>
    </row>
    <row r="42945">
      <c r="N42945" s="28"/>
      <c r="O42945" s="28"/>
      <c r="U42945" s="28"/>
    </row>
    <row r="42946">
      <c r="N42946" s="28"/>
      <c r="O42946" s="28"/>
      <c r="U42946" s="28"/>
    </row>
    <row r="42947">
      <c r="N42947" s="28"/>
      <c r="O42947" s="28"/>
      <c r="U42947" s="28"/>
    </row>
    <row r="42948">
      <c r="N42948" s="28"/>
      <c r="O42948" s="28"/>
      <c r="U42948" s="28"/>
    </row>
    <row r="42949">
      <c r="N42949" s="28"/>
      <c r="O42949" s="28"/>
      <c r="U42949" s="28"/>
    </row>
    <row r="42950">
      <c r="N42950" s="28"/>
      <c r="O42950" s="28"/>
      <c r="U42950" s="28"/>
    </row>
    <row r="42951">
      <c r="N42951" s="28"/>
      <c r="O42951" s="28"/>
      <c r="U42951" s="28"/>
    </row>
    <row r="42952">
      <c r="N42952" s="28"/>
      <c r="O42952" s="28"/>
      <c r="U42952" s="28"/>
    </row>
    <row r="42953">
      <c r="N42953" s="28"/>
      <c r="O42953" s="28"/>
      <c r="U42953" s="28"/>
    </row>
    <row r="42954">
      <c r="N42954" s="28"/>
      <c r="O42954" s="28"/>
      <c r="U42954" s="28"/>
    </row>
    <row r="42955">
      <c r="N42955" s="28"/>
      <c r="O42955" s="28"/>
      <c r="U42955" s="28"/>
    </row>
    <row r="42956">
      <c r="N42956" s="28"/>
      <c r="O42956" s="28"/>
      <c r="U42956" s="28"/>
    </row>
    <row r="42957">
      <c r="N42957" s="28"/>
      <c r="O42957" s="28"/>
      <c r="U42957" s="28"/>
    </row>
    <row r="42958">
      <c r="N42958" s="28"/>
      <c r="O42958" s="28"/>
      <c r="U42958" s="28"/>
    </row>
    <row r="42959">
      <c r="N42959" s="28"/>
      <c r="O42959" s="28"/>
      <c r="U42959" s="28"/>
    </row>
    <row r="42960">
      <c r="N42960" s="28"/>
      <c r="O42960" s="28"/>
      <c r="U42960" s="28"/>
    </row>
    <row r="42961">
      <c r="N42961" s="28"/>
      <c r="O42961" s="28"/>
      <c r="U42961" s="28"/>
    </row>
    <row r="42962">
      <c r="N42962" s="28"/>
      <c r="O42962" s="28"/>
      <c r="U42962" s="28"/>
    </row>
    <row r="42963">
      <c r="N42963" s="28"/>
      <c r="O42963" s="28"/>
      <c r="U42963" s="28"/>
    </row>
    <row r="42964">
      <c r="N42964" s="28"/>
      <c r="O42964" s="28"/>
      <c r="U42964" s="28"/>
    </row>
    <row r="42965">
      <c r="N42965" s="28"/>
      <c r="O42965" s="28"/>
      <c r="U42965" s="28"/>
    </row>
    <row r="42966">
      <c r="N42966" s="28"/>
      <c r="O42966" s="28"/>
      <c r="U42966" s="28"/>
    </row>
    <row r="42967">
      <c r="N42967" s="28"/>
      <c r="O42967" s="28"/>
      <c r="U42967" s="28"/>
    </row>
    <row r="42968">
      <c r="N42968" s="28"/>
      <c r="O42968" s="28"/>
      <c r="U42968" s="28"/>
    </row>
    <row r="42969">
      <c r="N42969" s="28"/>
      <c r="O42969" s="28"/>
      <c r="U42969" s="28"/>
    </row>
    <row r="42970">
      <c r="N42970" s="28"/>
      <c r="O42970" s="28"/>
      <c r="U42970" s="28"/>
    </row>
    <row r="42971">
      <c r="N42971" s="28"/>
      <c r="O42971" s="28"/>
      <c r="U42971" s="28"/>
    </row>
    <row r="42972">
      <c r="N42972" s="28"/>
      <c r="O42972" s="28"/>
      <c r="U42972" s="28"/>
    </row>
    <row r="42973">
      <c r="N42973" s="28"/>
      <c r="O42973" s="28"/>
      <c r="U42973" s="28"/>
    </row>
    <row r="42974">
      <c r="N42974" s="28"/>
      <c r="O42974" s="28"/>
      <c r="U42974" s="28"/>
    </row>
    <row r="42975">
      <c r="N42975" s="28"/>
      <c r="O42975" s="28"/>
      <c r="U42975" s="28"/>
    </row>
    <row r="42976">
      <c r="N42976" s="28"/>
      <c r="O42976" s="28"/>
      <c r="U42976" s="28"/>
    </row>
    <row r="42977">
      <c r="N42977" s="28"/>
      <c r="O42977" s="28"/>
      <c r="U42977" s="28"/>
    </row>
    <row r="42978">
      <c r="N42978" s="28"/>
      <c r="O42978" s="28"/>
      <c r="U42978" s="28"/>
    </row>
    <row r="42979">
      <c r="N42979" s="28"/>
      <c r="O42979" s="28"/>
      <c r="U42979" s="28"/>
    </row>
    <row r="42980">
      <c r="N42980" s="28"/>
      <c r="O42980" s="28"/>
      <c r="U42980" s="28"/>
    </row>
    <row r="42981">
      <c r="N42981" s="28"/>
      <c r="O42981" s="28"/>
      <c r="U42981" s="28"/>
    </row>
    <row r="42982">
      <c r="N42982" s="28"/>
      <c r="O42982" s="28"/>
      <c r="U42982" s="28"/>
    </row>
    <row r="42983">
      <c r="N42983" s="28"/>
      <c r="O42983" s="28"/>
      <c r="U42983" s="28"/>
    </row>
    <row r="42984">
      <c r="N42984" s="28"/>
      <c r="O42984" s="28"/>
      <c r="U42984" s="28"/>
    </row>
    <row r="42985">
      <c r="N42985" s="28"/>
      <c r="O42985" s="28"/>
      <c r="U42985" s="28"/>
    </row>
    <row r="42986">
      <c r="N42986" s="28"/>
      <c r="O42986" s="28"/>
      <c r="U42986" s="28"/>
    </row>
    <row r="42987">
      <c r="N42987" s="28"/>
      <c r="O42987" s="28"/>
      <c r="U42987" s="28"/>
    </row>
    <row r="42988">
      <c r="N42988" s="28"/>
      <c r="O42988" s="28"/>
      <c r="U42988" s="28"/>
    </row>
    <row r="42989">
      <c r="N42989" s="28"/>
      <c r="O42989" s="28"/>
      <c r="U42989" s="28"/>
    </row>
    <row r="42990">
      <c r="N42990" s="28"/>
      <c r="O42990" s="28"/>
      <c r="U42990" s="28"/>
    </row>
    <row r="42991">
      <c r="N42991" s="28"/>
      <c r="O42991" s="28"/>
      <c r="U42991" s="28"/>
    </row>
    <row r="42992">
      <c r="N42992" s="28"/>
      <c r="O42992" s="28"/>
      <c r="U42992" s="28"/>
    </row>
    <row r="42993">
      <c r="N42993" s="28"/>
      <c r="O42993" s="28"/>
      <c r="U42993" s="28"/>
    </row>
    <row r="42994">
      <c r="N42994" s="28"/>
      <c r="O42994" s="28"/>
      <c r="U42994" s="28"/>
    </row>
    <row r="42995">
      <c r="N42995" s="28"/>
      <c r="O42995" s="28"/>
      <c r="U42995" s="28"/>
    </row>
    <row r="42996">
      <c r="N42996" s="28"/>
      <c r="O42996" s="28"/>
      <c r="U42996" s="28"/>
    </row>
    <row r="42997">
      <c r="N42997" s="28"/>
      <c r="O42997" s="28"/>
      <c r="U42997" s="28"/>
    </row>
    <row r="42998">
      <c r="N42998" s="28"/>
      <c r="O42998" s="28"/>
      <c r="U42998" s="28"/>
    </row>
    <row r="42999">
      <c r="N42999" s="28"/>
      <c r="O42999" s="28"/>
      <c r="U42999" s="28"/>
    </row>
    <row r="43000">
      <c r="N43000" s="28"/>
      <c r="O43000" s="28"/>
      <c r="U43000" s="28"/>
    </row>
    <row r="43001">
      <c r="N43001" s="28"/>
      <c r="O43001" s="28"/>
      <c r="U43001" s="28"/>
    </row>
    <row r="43002">
      <c r="N43002" s="28"/>
      <c r="O43002" s="28"/>
      <c r="U43002" s="28"/>
    </row>
    <row r="43003">
      <c r="N43003" s="28"/>
      <c r="O43003" s="28"/>
      <c r="U43003" s="28"/>
    </row>
    <row r="43004">
      <c r="N43004" s="28"/>
      <c r="O43004" s="28"/>
      <c r="U43004" s="28"/>
    </row>
    <row r="43005">
      <c r="N43005" s="28"/>
      <c r="O43005" s="28"/>
      <c r="U43005" s="28"/>
    </row>
    <row r="43006">
      <c r="N43006" s="28"/>
      <c r="O43006" s="28"/>
      <c r="U43006" s="28"/>
    </row>
    <row r="43007">
      <c r="N43007" s="28"/>
      <c r="O43007" s="28"/>
      <c r="U43007" s="28"/>
    </row>
    <row r="43008">
      <c r="N43008" s="28"/>
      <c r="O43008" s="28"/>
      <c r="U43008" s="28"/>
    </row>
    <row r="43009">
      <c r="N43009" s="28"/>
      <c r="O43009" s="28"/>
      <c r="U43009" s="28"/>
    </row>
    <row r="43010">
      <c r="N43010" s="28"/>
      <c r="O43010" s="28"/>
      <c r="U43010" s="28"/>
    </row>
    <row r="43011">
      <c r="N43011" s="28"/>
      <c r="O43011" s="28"/>
      <c r="U43011" s="28"/>
    </row>
    <row r="43012">
      <c r="N43012" s="28"/>
      <c r="O43012" s="28"/>
      <c r="U43012" s="28"/>
    </row>
    <row r="43013">
      <c r="N43013" s="28"/>
      <c r="O43013" s="28"/>
      <c r="U43013" s="28"/>
    </row>
    <row r="43014">
      <c r="N43014" s="28"/>
      <c r="O43014" s="28"/>
      <c r="U43014" s="28"/>
    </row>
    <row r="43015">
      <c r="N43015" s="28"/>
      <c r="O43015" s="28"/>
      <c r="U43015" s="28"/>
    </row>
    <row r="43016">
      <c r="N43016" s="28"/>
      <c r="O43016" s="28"/>
      <c r="U43016" s="28"/>
    </row>
    <row r="43017">
      <c r="N43017" s="28"/>
      <c r="O43017" s="28"/>
      <c r="U43017" s="28"/>
    </row>
    <row r="43018">
      <c r="N43018" s="28"/>
      <c r="O43018" s="28"/>
      <c r="U43018" s="28"/>
    </row>
    <row r="43019">
      <c r="N43019" s="28"/>
      <c r="O43019" s="28"/>
      <c r="U43019" s="28"/>
    </row>
    <row r="43020">
      <c r="N43020" s="28"/>
      <c r="O43020" s="28"/>
      <c r="U43020" s="28"/>
    </row>
    <row r="43021">
      <c r="N43021" s="28"/>
      <c r="O43021" s="28"/>
      <c r="U43021" s="28"/>
    </row>
    <row r="43022">
      <c r="N43022" s="28"/>
      <c r="O43022" s="28"/>
      <c r="U43022" s="28"/>
    </row>
    <row r="43023">
      <c r="N43023" s="28"/>
      <c r="O43023" s="28"/>
      <c r="U43023" s="28"/>
    </row>
    <row r="43024">
      <c r="N43024" s="28"/>
      <c r="O43024" s="28"/>
      <c r="U43024" s="28"/>
    </row>
    <row r="43025">
      <c r="N43025" s="28"/>
      <c r="O43025" s="28"/>
      <c r="U43025" s="28"/>
    </row>
    <row r="43026">
      <c r="N43026" s="28"/>
      <c r="O43026" s="28"/>
      <c r="U43026" s="28"/>
    </row>
    <row r="43027">
      <c r="N43027" s="28"/>
      <c r="O43027" s="28"/>
      <c r="U43027" s="28"/>
    </row>
    <row r="43028">
      <c r="N43028" s="28"/>
      <c r="O43028" s="28"/>
      <c r="U43028" s="28"/>
    </row>
    <row r="43029">
      <c r="N43029" s="28"/>
      <c r="O43029" s="28"/>
      <c r="U43029" s="28"/>
    </row>
    <row r="43030">
      <c r="N43030" s="28"/>
      <c r="O43030" s="28"/>
      <c r="U43030" s="28"/>
    </row>
    <row r="43031">
      <c r="N43031" s="28"/>
      <c r="O43031" s="28"/>
      <c r="U43031" s="28"/>
    </row>
    <row r="43032">
      <c r="N43032" s="28"/>
      <c r="O43032" s="28"/>
      <c r="U43032" s="28"/>
    </row>
    <row r="43033">
      <c r="N43033" s="28"/>
      <c r="O43033" s="28"/>
      <c r="U43033" s="28"/>
    </row>
    <row r="43034">
      <c r="N43034" s="28"/>
      <c r="O43034" s="28"/>
      <c r="U43034" s="28"/>
    </row>
    <row r="43035">
      <c r="N43035" s="28"/>
      <c r="O43035" s="28"/>
      <c r="U43035" s="28"/>
    </row>
    <row r="43036">
      <c r="N43036" s="28"/>
      <c r="O43036" s="28"/>
      <c r="U43036" s="28"/>
    </row>
    <row r="43037">
      <c r="N43037" s="28"/>
      <c r="O43037" s="28"/>
      <c r="U43037" s="28"/>
    </row>
    <row r="43038">
      <c r="N43038" s="28"/>
      <c r="O43038" s="28"/>
      <c r="U43038" s="28"/>
    </row>
    <row r="43039">
      <c r="N43039" s="28"/>
      <c r="O43039" s="28"/>
      <c r="U43039" s="28"/>
    </row>
    <row r="43040">
      <c r="N43040" s="28"/>
      <c r="O43040" s="28"/>
      <c r="U43040" s="28"/>
    </row>
    <row r="43041">
      <c r="N43041" s="28"/>
      <c r="O43041" s="28"/>
      <c r="U43041" s="28"/>
    </row>
    <row r="43042">
      <c r="N43042" s="28"/>
      <c r="O43042" s="28"/>
      <c r="U43042" s="28"/>
    </row>
    <row r="43043">
      <c r="N43043" s="28"/>
      <c r="O43043" s="28"/>
      <c r="U43043" s="28"/>
    </row>
    <row r="43044">
      <c r="N43044" s="28"/>
      <c r="O43044" s="28"/>
      <c r="U43044" s="28"/>
    </row>
    <row r="43045">
      <c r="N43045" s="28"/>
      <c r="O43045" s="28"/>
      <c r="U43045" s="28"/>
    </row>
    <row r="43046">
      <c r="N43046" s="28"/>
      <c r="O43046" s="28"/>
      <c r="U43046" s="28"/>
    </row>
    <row r="43047">
      <c r="N43047" s="28"/>
      <c r="O43047" s="28"/>
      <c r="U43047" s="28"/>
    </row>
    <row r="43048">
      <c r="N43048" s="28"/>
      <c r="O43048" s="28"/>
      <c r="U43048" s="28"/>
    </row>
    <row r="43049">
      <c r="N43049" s="28"/>
      <c r="O43049" s="28"/>
      <c r="U43049" s="28"/>
    </row>
    <row r="43050">
      <c r="N43050" s="28"/>
      <c r="O43050" s="28"/>
      <c r="U43050" s="28"/>
    </row>
    <row r="43051">
      <c r="N43051" s="28"/>
      <c r="O43051" s="28"/>
      <c r="U43051" s="28"/>
    </row>
    <row r="43052">
      <c r="N43052" s="28"/>
      <c r="O43052" s="28"/>
      <c r="U43052" s="28"/>
    </row>
    <row r="43053">
      <c r="N43053" s="28"/>
      <c r="O43053" s="28"/>
      <c r="U43053" s="28"/>
    </row>
    <row r="43054">
      <c r="N43054" s="28"/>
      <c r="O43054" s="28"/>
      <c r="U43054" s="28"/>
    </row>
    <row r="43055">
      <c r="N43055" s="28"/>
      <c r="O43055" s="28"/>
      <c r="U43055" s="28"/>
    </row>
    <row r="43056">
      <c r="N43056" s="28"/>
      <c r="O43056" s="28"/>
      <c r="U43056" s="28"/>
    </row>
    <row r="43057">
      <c r="N43057" s="28"/>
      <c r="O43057" s="28"/>
      <c r="U43057" s="28"/>
    </row>
    <row r="43058">
      <c r="N43058" s="28"/>
      <c r="O43058" s="28"/>
      <c r="U43058" s="28"/>
    </row>
    <row r="43059">
      <c r="N43059" s="28"/>
      <c r="O43059" s="28"/>
      <c r="U43059" s="28"/>
    </row>
    <row r="43060">
      <c r="N43060" s="28"/>
      <c r="O43060" s="28"/>
      <c r="U43060" s="28"/>
    </row>
    <row r="43061">
      <c r="N43061" s="28"/>
      <c r="O43061" s="28"/>
      <c r="U43061" s="28"/>
    </row>
    <row r="43062">
      <c r="N43062" s="28"/>
      <c r="O43062" s="28"/>
      <c r="U43062" s="28"/>
    </row>
    <row r="43063">
      <c r="N43063" s="28"/>
      <c r="O43063" s="28"/>
      <c r="U43063" s="28"/>
    </row>
    <row r="43064">
      <c r="N43064" s="28"/>
      <c r="O43064" s="28"/>
      <c r="U43064" s="28"/>
    </row>
    <row r="43065">
      <c r="N43065" s="28"/>
      <c r="O43065" s="28"/>
      <c r="U43065" s="28"/>
    </row>
    <row r="43066">
      <c r="N43066" s="28"/>
      <c r="O43066" s="28"/>
      <c r="U43066" s="28"/>
    </row>
    <row r="43067">
      <c r="N43067" s="28"/>
      <c r="O43067" s="28"/>
      <c r="U43067" s="28"/>
    </row>
    <row r="43068">
      <c r="N43068" s="28"/>
      <c r="O43068" s="28"/>
      <c r="U43068" s="28"/>
    </row>
    <row r="43069">
      <c r="N43069" s="28"/>
      <c r="O43069" s="28"/>
      <c r="U43069" s="28"/>
    </row>
    <row r="43070">
      <c r="N43070" s="28"/>
      <c r="O43070" s="28"/>
      <c r="U43070" s="28"/>
    </row>
    <row r="43071">
      <c r="N43071" s="28"/>
      <c r="O43071" s="28"/>
      <c r="U43071" s="28"/>
    </row>
    <row r="43072">
      <c r="N43072" s="28"/>
      <c r="O43072" s="28"/>
      <c r="U43072" s="28"/>
    </row>
    <row r="43073">
      <c r="N43073" s="28"/>
      <c r="O43073" s="28"/>
      <c r="U43073" s="28"/>
    </row>
    <row r="43074">
      <c r="N43074" s="28"/>
      <c r="O43074" s="28"/>
      <c r="U43074" s="28"/>
    </row>
    <row r="43075">
      <c r="N43075" s="28"/>
      <c r="O43075" s="28"/>
      <c r="U43075" s="28"/>
    </row>
    <row r="43076">
      <c r="N43076" s="28"/>
      <c r="O43076" s="28"/>
      <c r="U43076" s="28"/>
    </row>
    <row r="43077">
      <c r="N43077" s="28"/>
      <c r="O43077" s="28"/>
      <c r="U43077" s="28"/>
    </row>
    <row r="43078">
      <c r="N43078" s="28"/>
      <c r="O43078" s="28"/>
      <c r="U43078" s="28"/>
    </row>
    <row r="43079">
      <c r="N43079" s="28"/>
      <c r="O43079" s="28"/>
      <c r="U43079" s="28"/>
    </row>
    <row r="43080">
      <c r="N43080" s="28"/>
      <c r="O43080" s="28"/>
      <c r="U43080" s="28"/>
    </row>
    <row r="43081">
      <c r="N43081" s="28"/>
      <c r="O43081" s="28"/>
      <c r="U43081" s="28"/>
    </row>
    <row r="43082">
      <c r="N43082" s="28"/>
      <c r="O43082" s="28"/>
      <c r="U43082" s="28"/>
    </row>
    <row r="43083">
      <c r="N43083" s="28"/>
      <c r="O43083" s="28"/>
      <c r="U43083" s="28"/>
    </row>
    <row r="43084">
      <c r="N43084" s="28"/>
      <c r="O43084" s="28"/>
      <c r="U43084" s="28"/>
    </row>
    <row r="43085">
      <c r="N43085" s="28"/>
      <c r="O43085" s="28"/>
      <c r="U43085" s="28"/>
    </row>
    <row r="43086">
      <c r="N43086" s="28"/>
      <c r="O43086" s="28"/>
      <c r="U43086" s="28"/>
    </row>
    <row r="43087">
      <c r="N43087" s="28"/>
      <c r="O43087" s="28"/>
      <c r="U43087" s="28"/>
    </row>
    <row r="43088">
      <c r="N43088" s="28"/>
      <c r="O43088" s="28"/>
      <c r="U43088" s="28"/>
    </row>
    <row r="43089">
      <c r="N43089" s="28"/>
      <c r="O43089" s="28"/>
      <c r="U43089" s="28"/>
    </row>
    <row r="43090">
      <c r="N43090" s="28"/>
      <c r="O43090" s="28"/>
      <c r="U43090" s="28"/>
    </row>
    <row r="43091">
      <c r="N43091" s="28"/>
      <c r="O43091" s="28"/>
      <c r="U43091" s="28"/>
    </row>
    <row r="43092">
      <c r="N43092" s="28"/>
      <c r="O43092" s="28"/>
      <c r="U43092" s="28"/>
    </row>
    <row r="43093">
      <c r="N43093" s="28"/>
      <c r="O43093" s="28"/>
      <c r="U43093" s="28"/>
    </row>
    <row r="43094">
      <c r="N43094" s="28"/>
      <c r="O43094" s="28"/>
      <c r="U43094" s="28"/>
    </row>
    <row r="43095">
      <c r="N43095" s="28"/>
      <c r="O43095" s="28"/>
      <c r="U43095" s="28"/>
    </row>
    <row r="43096">
      <c r="N43096" s="28"/>
      <c r="O43096" s="28"/>
      <c r="U43096" s="28"/>
    </row>
    <row r="43097">
      <c r="N43097" s="28"/>
      <c r="O43097" s="28"/>
      <c r="U43097" s="28"/>
    </row>
    <row r="43098">
      <c r="N43098" s="28"/>
      <c r="O43098" s="28"/>
      <c r="U43098" s="28"/>
    </row>
    <row r="43099">
      <c r="N43099" s="28"/>
      <c r="O43099" s="28"/>
      <c r="U43099" s="28"/>
    </row>
    <row r="43100">
      <c r="N43100" s="28"/>
      <c r="O43100" s="28"/>
      <c r="U43100" s="28"/>
    </row>
    <row r="43101">
      <c r="N43101" s="28"/>
      <c r="O43101" s="28"/>
      <c r="U43101" s="28"/>
    </row>
    <row r="43102">
      <c r="N43102" s="28"/>
      <c r="O43102" s="28"/>
      <c r="U43102" s="28"/>
    </row>
    <row r="43103">
      <c r="N43103" s="28"/>
      <c r="O43103" s="28"/>
      <c r="U43103" s="28"/>
    </row>
    <row r="43104">
      <c r="N43104" s="28"/>
      <c r="O43104" s="28"/>
      <c r="U43104" s="28"/>
    </row>
    <row r="43105">
      <c r="N43105" s="28"/>
      <c r="O43105" s="28"/>
      <c r="U43105" s="28"/>
    </row>
    <row r="43106">
      <c r="N43106" s="28"/>
      <c r="O43106" s="28"/>
      <c r="U43106" s="28"/>
    </row>
    <row r="43107">
      <c r="N43107" s="28"/>
      <c r="O43107" s="28"/>
      <c r="U43107" s="28"/>
    </row>
    <row r="43108">
      <c r="N43108" s="28"/>
      <c r="O43108" s="28"/>
      <c r="U43108" s="28"/>
    </row>
    <row r="43109">
      <c r="N43109" s="28"/>
      <c r="O43109" s="28"/>
      <c r="U43109" s="28"/>
    </row>
    <row r="43110">
      <c r="N43110" s="28"/>
      <c r="O43110" s="28"/>
      <c r="U43110" s="28"/>
    </row>
    <row r="43111">
      <c r="N43111" s="28"/>
      <c r="O43111" s="28"/>
      <c r="U43111" s="28"/>
    </row>
    <row r="43112">
      <c r="N43112" s="28"/>
      <c r="O43112" s="28"/>
      <c r="U43112" s="28"/>
    </row>
    <row r="43113">
      <c r="N43113" s="28"/>
      <c r="O43113" s="28"/>
      <c r="U43113" s="28"/>
    </row>
    <row r="43114">
      <c r="N43114" s="28"/>
      <c r="O43114" s="28"/>
      <c r="U43114" s="28"/>
    </row>
    <row r="43115">
      <c r="N43115" s="28"/>
      <c r="O43115" s="28"/>
      <c r="U43115" s="28"/>
    </row>
    <row r="43116">
      <c r="N43116" s="28"/>
      <c r="O43116" s="28"/>
      <c r="U43116" s="28"/>
    </row>
    <row r="43117">
      <c r="N43117" s="28"/>
      <c r="O43117" s="28"/>
      <c r="U43117" s="28"/>
    </row>
    <row r="43118">
      <c r="N43118" s="28"/>
      <c r="O43118" s="28"/>
      <c r="U43118" s="28"/>
    </row>
    <row r="43119">
      <c r="N43119" s="28"/>
      <c r="O43119" s="28"/>
      <c r="U43119" s="28"/>
    </row>
    <row r="43120">
      <c r="N43120" s="28"/>
      <c r="O43120" s="28"/>
      <c r="U43120" s="28"/>
    </row>
    <row r="43121">
      <c r="N43121" s="28"/>
      <c r="O43121" s="28"/>
      <c r="U43121" s="28"/>
    </row>
    <row r="43122">
      <c r="N43122" s="28"/>
      <c r="O43122" s="28"/>
      <c r="U43122" s="28"/>
    </row>
    <row r="43123">
      <c r="N43123" s="28"/>
      <c r="O43123" s="28"/>
      <c r="U43123" s="28"/>
    </row>
    <row r="43124">
      <c r="N43124" s="28"/>
      <c r="O43124" s="28"/>
      <c r="U43124" s="28"/>
    </row>
    <row r="43125">
      <c r="N43125" s="28"/>
      <c r="O43125" s="28"/>
      <c r="U43125" s="28"/>
    </row>
    <row r="43126">
      <c r="N43126" s="28"/>
      <c r="O43126" s="28"/>
      <c r="U43126" s="28"/>
    </row>
    <row r="43127">
      <c r="N43127" s="28"/>
      <c r="O43127" s="28"/>
      <c r="U43127" s="28"/>
    </row>
    <row r="43128">
      <c r="N43128" s="28"/>
      <c r="O43128" s="28"/>
      <c r="U43128" s="28"/>
    </row>
    <row r="43129">
      <c r="N43129" s="28"/>
      <c r="O43129" s="28"/>
      <c r="U43129" s="28"/>
    </row>
    <row r="43130">
      <c r="N43130" s="28"/>
      <c r="O43130" s="28"/>
      <c r="U43130" s="28"/>
    </row>
    <row r="43131">
      <c r="N43131" s="28"/>
      <c r="O43131" s="28"/>
      <c r="U43131" s="28"/>
    </row>
    <row r="43132">
      <c r="N43132" s="28"/>
      <c r="O43132" s="28"/>
      <c r="U43132" s="28"/>
    </row>
    <row r="43133">
      <c r="N43133" s="28"/>
      <c r="O43133" s="28"/>
      <c r="U43133" s="28"/>
    </row>
    <row r="43134">
      <c r="N43134" s="28"/>
      <c r="O43134" s="28"/>
      <c r="U43134" s="28"/>
    </row>
    <row r="43135">
      <c r="N43135" s="28"/>
      <c r="O43135" s="28"/>
      <c r="U43135" s="28"/>
    </row>
    <row r="43136">
      <c r="N43136" s="28"/>
      <c r="O43136" s="28"/>
      <c r="U43136" s="28"/>
    </row>
    <row r="43137">
      <c r="N43137" s="28"/>
      <c r="O43137" s="28"/>
      <c r="U43137" s="28"/>
    </row>
    <row r="43138">
      <c r="N43138" s="28"/>
      <c r="O43138" s="28"/>
      <c r="U43138" s="28"/>
    </row>
    <row r="43139">
      <c r="N43139" s="28"/>
      <c r="O43139" s="28"/>
      <c r="U43139" s="28"/>
    </row>
    <row r="43140">
      <c r="N43140" s="28"/>
      <c r="O43140" s="28"/>
      <c r="U43140" s="28"/>
    </row>
    <row r="43141">
      <c r="N43141" s="28"/>
      <c r="O43141" s="28"/>
      <c r="U43141" s="28"/>
    </row>
    <row r="43142">
      <c r="N43142" s="28"/>
      <c r="O43142" s="28"/>
      <c r="U43142" s="28"/>
    </row>
    <row r="43143">
      <c r="N43143" s="28"/>
      <c r="O43143" s="28"/>
      <c r="U43143" s="28"/>
    </row>
    <row r="43144">
      <c r="N43144" s="28"/>
      <c r="O43144" s="28"/>
      <c r="U43144" s="28"/>
    </row>
    <row r="43145">
      <c r="N43145" s="28"/>
      <c r="O43145" s="28"/>
      <c r="U43145" s="28"/>
    </row>
    <row r="43146">
      <c r="N43146" s="28"/>
      <c r="O43146" s="28"/>
      <c r="U43146" s="28"/>
    </row>
    <row r="43147">
      <c r="N43147" s="28"/>
      <c r="O43147" s="28"/>
      <c r="U43147" s="28"/>
    </row>
    <row r="43148">
      <c r="N43148" s="28"/>
      <c r="O43148" s="28"/>
      <c r="U43148" s="28"/>
    </row>
    <row r="43149">
      <c r="N43149" s="28"/>
      <c r="O43149" s="28"/>
      <c r="U43149" s="28"/>
    </row>
    <row r="43150">
      <c r="N43150" s="28"/>
      <c r="O43150" s="28"/>
      <c r="U43150" s="28"/>
    </row>
    <row r="43151">
      <c r="N43151" s="28"/>
      <c r="O43151" s="28"/>
      <c r="U43151" s="28"/>
    </row>
    <row r="43152">
      <c r="N43152" s="28"/>
      <c r="O43152" s="28"/>
      <c r="U43152" s="28"/>
    </row>
    <row r="43153">
      <c r="N43153" s="28"/>
      <c r="O43153" s="28"/>
      <c r="U43153" s="28"/>
    </row>
    <row r="43154">
      <c r="N43154" s="28"/>
      <c r="O43154" s="28"/>
      <c r="U43154" s="28"/>
    </row>
    <row r="43155">
      <c r="N43155" s="28"/>
      <c r="O43155" s="28"/>
      <c r="U43155" s="28"/>
    </row>
    <row r="43156">
      <c r="N43156" s="28"/>
      <c r="O43156" s="28"/>
      <c r="U43156" s="28"/>
    </row>
    <row r="43157">
      <c r="N43157" s="28"/>
      <c r="O43157" s="28"/>
      <c r="U43157" s="28"/>
    </row>
    <row r="43158">
      <c r="N43158" s="28"/>
      <c r="O43158" s="28"/>
      <c r="U43158" s="28"/>
    </row>
    <row r="43159">
      <c r="N43159" s="28"/>
      <c r="O43159" s="28"/>
      <c r="U43159" s="28"/>
    </row>
    <row r="43160">
      <c r="N43160" s="28"/>
      <c r="O43160" s="28"/>
      <c r="U43160" s="28"/>
    </row>
    <row r="43161">
      <c r="N43161" s="28"/>
      <c r="O43161" s="28"/>
      <c r="U43161" s="28"/>
    </row>
    <row r="43162">
      <c r="N43162" s="28"/>
      <c r="O43162" s="28"/>
      <c r="U43162" s="28"/>
    </row>
    <row r="43163">
      <c r="N43163" s="28"/>
      <c r="O43163" s="28"/>
      <c r="U43163" s="28"/>
    </row>
    <row r="43164">
      <c r="N43164" s="28"/>
      <c r="O43164" s="28"/>
      <c r="U43164" s="28"/>
    </row>
    <row r="43165">
      <c r="N43165" s="28"/>
      <c r="O43165" s="28"/>
      <c r="U43165" s="28"/>
    </row>
    <row r="43166">
      <c r="N43166" s="28"/>
      <c r="O43166" s="28"/>
      <c r="U43166" s="28"/>
    </row>
    <row r="43167">
      <c r="N43167" s="28"/>
      <c r="O43167" s="28"/>
      <c r="U43167" s="28"/>
    </row>
    <row r="43168">
      <c r="N43168" s="28"/>
      <c r="O43168" s="28"/>
      <c r="U43168" s="28"/>
    </row>
    <row r="43169">
      <c r="N43169" s="28"/>
      <c r="O43169" s="28"/>
      <c r="U43169" s="28"/>
    </row>
    <row r="43170">
      <c r="N43170" s="28"/>
      <c r="O43170" s="28"/>
      <c r="U43170" s="28"/>
    </row>
    <row r="43171">
      <c r="N43171" s="28"/>
      <c r="O43171" s="28"/>
      <c r="U43171" s="28"/>
    </row>
    <row r="43172">
      <c r="N43172" s="28"/>
      <c r="O43172" s="28"/>
      <c r="U43172" s="28"/>
    </row>
    <row r="43173">
      <c r="N43173" s="28"/>
      <c r="O43173" s="28"/>
      <c r="U43173" s="28"/>
    </row>
    <row r="43174">
      <c r="N43174" s="28"/>
      <c r="O43174" s="28"/>
      <c r="U43174" s="28"/>
    </row>
    <row r="43175">
      <c r="N43175" s="28"/>
      <c r="O43175" s="28"/>
      <c r="U43175" s="28"/>
    </row>
    <row r="43176">
      <c r="N43176" s="28"/>
      <c r="O43176" s="28"/>
      <c r="U43176" s="28"/>
    </row>
    <row r="43177">
      <c r="N43177" s="28"/>
      <c r="O43177" s="28"/>
      <c r="U43177" s="28"/>
    </row>
    <row r="43178">
      <c r="N43178" s="28"/>
      <c r="O43178" s="28"/>
      <c r="U43178" s="28"/>
    </row>
    <row r="43179">
      <c r="N43179" s="28"/>
      <c r="O43179" s="28"/>
      <c r="U43179" s="28"/>
    </row>
    <row r="43180">
      <c r="N43180" s="28"/>
      <c r="O43180" s="28"/>
      <c r="U43180" s="28"/>
    </row>
    <row r="43181">
      <c r="N43181" s="28"/>
      <c r="O43181" s="28"/>
      <c r="U43181" s="28"/>
    </row>
    <row r="43182">
      <c r="N43182" s="28"/>
      <c r="O43182" s="28"/>
      <c r="U43182" s="28"/>
    </row>
    <row r="43183">
      <c r="N43183" s="28"/>
      <c r="O43183" s="28"/>
      <c r="U43183" s="28"/>
    </row>
    <row r="43184">
      <c r="N43184" s="28"/>
      <c r="O43184" s="28"/>
      <c r="U43184" s="28"/>
    </row>
    <row r="43185">
      <c r="N43185" s="28"/>
      <c r="O43185" s="28"/>
      <c r="U43185" s="28"/>
    </row>
    <row r="43186">
      <c r="N43186" s="28"/>
      <c r="O43186" s="28"/>
      <c r="U43186" s="28"/>
    </row>
    <row r="43187">
      <c r="N43187" s="28"/>
      <c r="O43187" s="28"/>
      <c r="U43187" s="28"/>
    </row>
    <row r="43188">
      <c r="N43188" s="28"/>
      <c r="O43188" s="28"/>
      <c r="U43188" s="28"/>
    </row>
    <row r="43189">
      <c r="N43189" s="28"/>
      <c r="O43189" s="28"/>
      <c r="U43189" s="28"/>
    </row>
    <row r="43190">
      <c r="N43190" s="28"/>
      <c r="O43190" s="28"/>
      <c r="U43190" s="28"/>
    </row>
    <row r="43191">
      <c r="N43191" s="28"/>
      <c r="O43191" s="28"/>
      <c r="U43191" s="28"/>
    </row>
    <row r="43192">
      <c r="N43192" s="28"/>
      <c r="O43192" s="28"/>
      <c r="U43192" s="28"/>
    </row>
    <row r="43193">
      <c r="N43193" s="28"/>
      <c r="O43193" s="28"/>
      <c r="U43193" s="28"/>
    </row>
    <row r="43194">
      <c r="N43194" s="28"/>
      <c r="O43194" s="28"/>
      <c r="U43194" s="28"/>
    </row>
    <row r="43195">
      <c r="N43195" s="28"/>
      <c r="O43195" s="28"/>
      <c r="U43195" s="28"/>
    </row>
    <row r="43196">
      <c r="N43196" s="28"/>
      <c r="O43196" s="28"/>
      <c r="U43196" s="28"/>
    </row>
    <row r="43197">
      <c r="N43197" s="28"/>
      <c r="O43197" s="28"/>
      <c r="U43197" s="28"/>
    </row>
    <row r="43198">
      <c r="N43198" s="28"/>
      <c r="O43198" s="28"/>
      <c r="U43198" s="28"/>
    </row>
    <row r="43199">
      <c r="N43199" s="28"/>
      <c r="O43199" s="28"/>
      <c r="U43199" s="28"/>
    </row>
    <row r="43200">
      <c r="N43200" s="28"/>
      <c r="O43200" s="28"/>
      <c r="U43200" s="28"/>
    </row>
    <row r="43201">
      <c r="N43201" s="28"/>
      <c r="O43201" s="28"/>
      <c r="U43201" s="28"/>
    </row>
    <row r="43202">
      <c r="N43202" s="28"/>
      <c r="O43202" s="28"/>
      <c r="U43202" s="28"/>
    </row>
    <row r="43203">
      <c r="N43203" s="28"/>
      <c r="O43203" s="28"/>
      <c r="U43203" s="28"/>
    </row>
    <row r="43204">
      <c r="N43204" s="28"/>
      <c r="O43204" s="28"/>
      <c r="U43204" s="28"/>
    </row>
    <row r="43205">
      <c r="N43205" s="28"/>
      <c r="O43205" s="28"/>
      <c r="U43205" s="28"/>
    </row>
    <row r="43206">
      <c r="N43206" s="28"/>
      <c r="O43206" s="28"/>
      <c r="U43206" s="28"/>
    </row>
    <row r="43207">
      <c r="N43207" s="28"/>
      <c r="O43207" s="28"/>
      <c r="U43207" s="28"/>
    </row>
    <row r="43208">
      <c r="N43208" s="28"/>
      <c r="O43208" s="28"/>
      <c r="U43208" s="28"/>
    </row>
    <row r="43209">
      <c r="N43209" s="28"/>
      <c r="O43209" s="28"/>
      <c r="U43209" s="28"/>
    </row>
    <row r="43210">
      <c r="N43210" s="28"/>
      <c r="O43210" s="28"/>
      <c r="U43210" s="28"/>
    </row>
    <row r="43211">
      <c r="N43211" s="28"/>
      <c r="O43211" s="28"/>
      <c r="U43211" s="28"/>
    </row>
    <row r="43212">
      <c r="N43212" s="28"/>
      <c r="O43212" s="28"/>
      <c r="U43212" s="28"/>
    </row>
    <row r="43213">
      <c r="N43213" s="28"/>
      <c r="O43213" s="28"/>
      <c r="U43213" s="28"/>
    </row>
    <row r="43214">
      <c r="N43214" s="28"/>
      <c r="O43214" s="28"/>
      <c r="U43214" s="28"/>
    </row>
    <row r="43215">
      <c r="N43215" s="28"/>
      <c r="O43215" s="28"/>
      <c r="U43215" s="28"/>
    </row>
    <row r="43216">
      <c r="N43216" s="28"/>
      <c r="O43216" s="28"/>
      <c r="U43216" s="28"/>
    </row>
    <row r="43217">
      <c r="N43217" s="28"/>
      <c r="O43217" s="28"/>
      <c r="U43217" s="28"/>
    </row>
    <row r="43218">
      <c r="N43218" s="28"/>
      <c r="O43218" s="28"/>
      <c r="U43218" s="28"/>
    </row>
    <row r="43219">
      <c r="N43219" s="28"/>
      <c r="O43219" s="28"/>
      <c r="U43219" s="28"/>
    </row>
    <row r="43220">
      <c r="N43220" s="28"/>
      <c r="O43220" s="28"/>
      <c r="U43220" s="28"/>
    </row>
    <row r="43221">
      <c r="N43221" s="28"/>
      <c r="O43221" s="28"/>
      <c r="U43221" s="28"/>
    </row>
    <row r="43222">
      <c r="N43222" s="28"/>
      <c r="O43222" s="28"/>
      <c r="U43222" s="28"/>
    </row>
    <row r="43223">
      <c r="N43223" s="28"/>
      <c r="O43223" s="28"/>
      <c r="U43223" s="28"/>
    </row>
    <row r="43224">
      <c r="N43224" s="28"/>
      <c r="O43224" s="28"/>
      <c r="U43224" s="28"/>
    </row>
    <row r="43225">
      <c r="N43225" s="28"/>
      <c r="O43225" s="28"/>
      <c r="U43225" s="28"/>
    </row>
    <row r="43226">
      <c r="N43226" s="28"/>
      <c r="O43226" s="28"/>
      <c r="U43226" s="28"/>
    </row>
    <row r="43227">
      <c r="N43227" s="28"/>
      <c r="O43227" s="28"/>
      <c r="U43227" s="28"/>
    </row>
    <row r="43228">
      <c r="N43228" s="28"/>
      <c r="O43228" s="28"/>
      <c r="U43228" s="28"/>
    </row>
    <row r="43229">
      <c r="N43229" s="28"/>
      <c r="O43229" s="28"/>
      <c r="U43229" s="28"/>
    </row>
    <row r="43230">
      <c r="N43230" s="28"/>
      <c r="O43230" s="28"/>
      <c r="U43230" s="28"/>
    </row>
    <row r="43231">
      <c r="N43231" s="28"/>
      <c r="O43231" s="28"/>
      <c r="U43231" s="28"/>
    </row>
    <row r="43232">
      <c r="N43232" s="28"/>
      <c r="O43232" s="28"/>
      <c r="U43232" s="28"/>
    </row>
    <row r="43233">
      <c r="N43233" s="28"/>
      <c r="O43233" s="28"/>
      <c r="U43233" s="28"/>
    </row>
    <row r="43234">
      <c r="N43234" s="28"/>
      <c r="O43234" s="28"/>
      <c r="U43234" s="28"/>
    </row>
    <row r="43235">
      <c r="N43235" s="28"/>
      <c r="O43235" s="28"/>
      <c r="U43235" s="28"/>
    </row>
    <row r="43236">
      <c r="N43236" s="28"/>
      <c r="O43236" s="28"/>
      <c r="U43236" s="28"/>
    </row>
    <row r="43237">
      <c r="N43237" s="28"/>
      <c r="O43237" s="28"/>
      <c r="U43237" s="28"/>
    </row>
    <row r="43238">
      <c r="N43238" s="28"/>
      <c r="O43238" s="28"/>
      <c r="U43238" s="28"/>
    </row>
    <row r="43239">
      <c r="N43239" s="28"/>
      <c r="O43239" s="28"/>
      <c r="U43239" s="28"/>
    </row>
    <row r="43240">
      <c r="N43240" s="28"/>
      <c r="O43240" s="28"/>
      <c r="U43240" s="28"/>
    </row>
    <row r="43241">
      <c r="N43241" s="28"/>
      <c r="O43241" s="28"/>
      <c r="U43241" s="28"/>
    </row>
    <row r="43242">
      <c r="N43242" s="28"/>
      <c r="O43242" s="28"/>
      <c r="U43242" s="28"/>
    </row>
    <row r="43243">
      <c r="N43243" s="28"/>
      <c r="O43243" s="28"/>
      <c r="U43243" s="28"/>
    </row>
    <row r="43244">
      <c r="N43244" s="28"/>
      <c r="O43244" s="28"/>
      <c r="U43244" s="28"/>
    </row>
    <row r="43245">
      <c r="N43245" s="28"/>
      <c r="O43245" s="28"/>
      <c r="U43245" s="28"/>
    </row>
    <row r="43246">
      <c r="N43246" s="28"/>
      <c r="O43246" s="28"/>
      <c r="U43246" s="28"/>
    </row>
    <row r="43247">
      <c r="N43247" s="28"/>
      <c r="O43247" s="28"/>
      <c r="U43247" s="28"/>
    </row>
    <row r="43248">
      <c r="N43248" s="28"/>
      <c r="O43248" s="28"/>
      <c r="U43248" s="28"/>
    </row>
    <row r="43249">
      <c r="N43249" s="28"/>
      <c r="O43249" s="28"/>
      <c r="U43249" s="28"/>
    </row>
    <row r="43250">
      <c r="N43250" s="28"/>
      <c r="O43250" s="28"/>
      <c r="U43250" s="28"/>
    </row>
    <row r="43251">
      <c r="N43251" s="28"/>
      <c r="O43251" s="28"/>
      <c r="U43251" s="28"/>
    </row>
    <row r="43252">
      <c r="N43252" s="28"/>
      <c r="O43252" s="28"/>
      <c r="U43252" s="28"/>
    </row>
    <row r="43253">
      <c r="N43253" s="28"/>
      <c r="O43253" s="28"/>
      <c r="U43253" s="28"/>
    </row>
    <row r="43254">
      <c r="N43254" s="28"/>
      <c r="O43254" s="28"/>
      <c r="U43254" s="28"/>
    </row>
    <row r="43255">
      <c r="N43255" s="28"/>
      <c r="O43255" s="28"/>
      <c r="U43255" s="28"/>
    </row>
    <row r="43256">
      <c r="N43256" s="28"/>
      <c r="O43256" s="28"/>
      <c r="U43256" s="28"/>
    </row>
    <row r="43257">
      <c r="N43257" s="28"/>
      <c r="O43257" s="28"/>
      <c r="U43257" s="28"/>
    </row>
    <row r="43258">
      <c r="N43258" s="28"/>
      <c r="O43258" s="28"/>
      <c r="U43258" s="28"/>
    </row>
    <row r="43259">
      <c r="N43259" s="28"/>
      <c r="O43259" s="28"/>
      <c r="U43259" s="28"/>
    </row>
    <row r="43260">
      <c r="N43260" s="28"/>
      <c r="O43260" s="28"/>
      <c r="U43260" s="28"/>
    </row>
    <row r="43261">
      <c r="N43261" s="28"/>
      <c r="O43261" s="28"/>
      <c r="U43261" s="28"/>
    </row>
    <row r="43262">
      <c r="N43262" s="28"/>
      <c r="O43262" s="28"/>
      <c r="U43262" s="28"/>
    </row>
    <row r="43263">
      <c r="N43263" s="28"/>
      <c r="O43263" s="28"/>
      <c r="U43263" s="28"/>
    </row>
    <row r="43264">
      <c r="N43264" s="28"/>
      <c r="O43264" s="28"/>
      <c r="U43264" s="28"/>
    </row>
    <row r="43265">
      <c r="N43265" s="28"/>
      <c r="O43265" s="28"/>
      <c r="U43265" s="28"/>
    </row>
    <row r="43266">
      <c r="N43266" s="28"/>
      <c r="O43266" s="28"/>
      <c r="U43266" s="28"/>
    </row>
    <row r="43267">
      <c r="N43267" s="28"/>
      <c r="O43267" s="28"/>
      <c r="U43267" s="28"/>
    </row>
    <row r="43268">
      <c r="N43268" s="28"/>
      <c r="O43268" s="28"/>
      <c r="U43268" s="28"/>
    </row>
    <row r="43269">
      <c r="N43269" s="28"/>
      <c r="O43269" s="28"/>
      <c r="U43269" s="28"/>
    </row>
    <row r="43270">
      <c r="N43270" s="28"/>
      <c r="O43270" s="28"/>
      <c r="U43270" s="28"/>
    </row>
    <row r="43271">
      <c r="N43271" s="28"/>
      <c r="O43271" s="28"/>
      <c r="U43271" s="28"/>
    </row>
    <row r="43272">
      <c r="N43272" s="28"/>
      <c r="O43272" s="28"/>
      <c r="U43272" s="28"/>
    </row>
    <row r="43273">
      <c r="N43273" s="28"/>
      <c r="O43273" s="28"/>
      <c r="U43273" s="28"/>
    </row>
    <row r="43274">
      <c r="N43274" s="28"/>
      <c r="O43274" s="28"/>
      <c r="U43274" s="28"/>
    </row>
    <row r="43275">
      <c r="N43275" s="28"/>
      <c r="O43275" s="28"/>
      <c r="U43275" s="28"/>
    </row>
    <row r="43276">
      <c r="N43276" s="28"/>
      <c r="O43276" s="28"/>
      <c r="U43276" s="28"/>
    </row>
    <row r="43277">
      <c r="N43277" s="28"/>
      <c r="O43277" s="28"/>
      <c r="U43277" s="28"/>
    </row>
    <row r="43278">
      <c r="N43278" s="28"/>
      <c r="O43278" s="28"/>
      <c r="U43278" s="28"/>
    </row>
    <row r="43279">
      <c r="N43279" s="28"/>
      <c r="O43279" s="28"/>
      <c r="U43279" s="28"/>
    </row>
    <row r="43280">
      <c r="N43280" s="28"/>
      <c r="O43280" s="28"/>
      <c r="U43280" s="28"/>
    </row>
    <row r="43281">
      <c r="N43281" s="28"/>
      <c r="O43281" s="28"/>
      <c r="U43281" s="28"/>
    </row>
    <row r="43282">
      <c r="N43282" s="28"/>
      <c r="O43282" s="28"/>
      <c r="U43282" s="28"/>
    </row>
    <row r="43283">
      <c r="N43283" s="28"/>
      <c r="O43283" s="28"/>
      <c r="U43283" s="28"/>
    </row>
    <row r="43284">
      <c r="N43284" s="28"/>
      <c r="O43284" s="28"/>
      <c r="U43284" s="28"/>
    </row>
    <row r="43285">
      <c r="N43285" s="28"/>
      <c r="O43285" s="28"/>
      <c r="U43285" s="28"/>
    </row>
    <row r="43286">
      <c r="N43286" s="28"/>
      <c r="O43286" s="28"/>
      <c r="U43286" s="28"/>
    </row>
    <row r="43287">
      <c r="N43287" s="28"/>
      <c r="O43287" s="28"/>
      <c r="U43287" s="28"/>
    </row>
    <row r="43288">
      <c r="N43288" s="28"/>
      <c r="O43288" s="28"/>
      <c r="U43288" s="28"/>
    </row>
    <row r="43289">
      <c r="N43289" s="28"/>
      <c r="O43289" s="28"/>
      <c r="U43289" s="28"/>
    </row>
    <row r="43290">
      <c r="N43290" s="28"/>
      <c r="O43290" s="28"/>
      <c r="U43290" s="28"/>
    </row>
    <row r="43291">
      <c r="N43291" s="28"/>
      <c r="O43291" s="28"/>
      <c r="U43291" s="28"/>
    </row>
    <row r="43292">
      <c r="N43292" s="28"/>
      <c r="O43292" s="28"/>
      <c r="U43292" s="28"/>
    </row>
    <row r="43293">
      <c r="N43293" s="28"/>
      <c r="O43293" s="28"/>
      <c r="U43293" s="28"/>
    </row>
    <row r="43294">
      <c r="N43294" s="28"/>
      <c r="O43294" s="28"/>
      <c r="U43294" s="28"/>
    </row>
    <row r="43295">
      <c r="N43295" s="28"/>
      <c r="O43295" s="28"/>
      <c r="U43295" s="28"/>
    </row>
    <row r="43296">
      <c r="N43296" s="28"/>
      <c r="O43296" s="28"/>
      <c r="U43296" s="28"/>
    </row>
    <row r="43297">
      <c r="N43297" s="28"/>
      <c r="O43297" s="28"/>
      <c r="U43297" s="28"/>
    </row>
    <row r="43298">
      <c r="N43298" s="28"/>
      <c r="O43298" s="28"/>
      <c r="U43298" s="28"/>
    </row>
    <row r="43299">
      <c r="N43299" s="28"/>
      <c r="O43299" s="28"/>
      <c r="U43299" s="28"/>
    </row>
    <row r="43300">
      <c r="N43300" s="28"/>
      <c r="O43300" s="28"/>
      <c r="U43300" s="28"/>
    </row>
    <row r="43301">
      <c r="N43301" s="28"/>
      <c r="O43301" s="28"/>
      <c r="U43301" s="28"/>
    </row>
    <row r="43302">
      <c r="N43302" s="28"/>
      <c r="O43302" s="28"/>
      <c r="U43302" s="28"/>
    </row>
    <row r="43303">
      <c r="N43303" s="28"/>
      <c r="O43303" s="28"/>
      <c r="U43303" s="28"/>
    </row>
    <row r="43304">
      <c r="N43304" s="28"/>
      <c r="O43304" s="28"/>
      <c r="U43304" s="28"/>
    </row>
    <row r="43305">
      <c r="N43305" s="28"/>
      <c r="O43305" s="28"/>
      <c r="U43305" s="28"/>
    </row>
    <row r="43306">
      <c r="N43306" s="28"/>
      <c r="O43306" s="28"/>
      <c r="U43306" s="28"/>
    </row>
    <row r="43307">
      <c r="N43307" s="28"/>
      <c r="O43307" s="28"/>
      <c r="U43307" s="28"/>
    </row>
    <row r="43308">
      <c r="N43308" s="28"/>
      <c r="O43308" s="28"/>
      <c r="U43308" s="28"/>
    </row>
    <row r="43309">
      <c r="N43309" s="28"/>
      <c r="O43309" s="28"/>
      <c r="U43309" s="28"/>
    </row>
    <row r="43310">
      <c r="N43310" s="28"/>
      <c r="O43310" s="28"/>
      <c r="U43310" s="28"/>
    </row>
    <row r="43311">
      <c r="N43311" s="28"/>
      <c r="O43311" s="28"/>
      <c r="U43311" s="28"/>
    </row>
    <row r="43312">
      <c r="N43312" s="28"/>
      <c r="O43312" s="28"/>
      <c r="U43312" s="28"/>
    </row>
    <row r="43313">
      <c r="N43313" s="28"/>
      <c r="O43313" s="28"/>
      <c r="U43313" s="28"/>
    </row>
    <row r="43314">
      <c r="N43314" s="28"/>
      <c r="O43314" s="28"/>
      <c r="U43314" s="28"/>
    </row>
    <row r="43315">
      <c r="N43315" s="28"/>
      <c r="O43315" s="28"/>
      <c r="U43315" s="28"/>
    </row>
    <row r="43316">
      <c r="N43316" s="28"/>
      <c r="O43316" s="28"/>
      <c r="U43316" s="28"/>
    </row>
    <row r="43317">
      <c r="N43317" s="28"/>
      <c r="O43317" s="28"/>
      <c r="U43317" s="28"/>
    </row>
    <row r="43318">
      <c r="N43318" s="28"/>
      <c r="O43318" s="28"/>
      <c r="U43318" s="28"/>
    </row>
    <row r="43319">
      <c r="N43319" s="28"/>
      <c r="O43319" s="28"/>
      <c r="U43319" s="28"/>
    </row>
    <row r="43320">
      <c r="N43320" s="28"/>
      <c r="O43320" s="28"/>
      <c r="U43320" s="28"/>
    </row>
    <row r="43321">
      <c r="N43321" s="28"/>
      <c r="O43321" s="28"/>
      <c r="U43321" s="28"/>
    </row>
    <row r="43322">
      <c r="N43322" s="28"/>
      <c r="O43322" s="28"/>
      <c r="U43322" s="28"/>
    </row>
    <row r="43323">
      <c r="N43323" s="28"/>
      <c r="O43323" s="28"/>
      <c r="U43323" s="28"/>
    </row>
    <row r="43324">
      <c r="N43324" s="28"/>
      <c r="O43324" s="28"/>
      <c r="U43324" s="28"/>
    </row>
    <row r="43325">
      <c r="N43325" s="28"/>
      <c r="O43325" s="28"/>
      <c r="U43325" s="28"/>
    </row>
    <row r="43326">
      <c r="N43326" s="28"/>
      <c r="O43326" s="28"/>
      <c r="U43326" s="28"/>
    </row>
    <row r="43327">
      <c r="N43327" s="28"/>
      <c r="O43327" s="28"/>
      <c r="U43327" s="28"/>
    </row>
    <row r="43328">
      <c r="N43328" s="28"/>
      <c r="O43328" s="28"/>
      <c r="U43328" s="28"/>
    </row>
    <row r="43329">
      <c r="N43329" s="28"/>
      <c r="O43329" s="28"/>
      <c r="U43329" s="28"/>
    </row>
    <row r="43330">
      <c r="N43330" s="28"/>
      <c r="O43330" s="28"/>
      <c r="U43330" s="28"/>
    </row>
    <row r="43331">
      <c r="N43331" s="28"/>
      <c r="O43331" s="28"/>
      <c r="U43331" s="28"/>
    </row>
    <row r="43332">
      <c r="N43332" s="28"/>
      <c r="O43332" s="28"/>
      <c r="U43332" s="28"/>
    </row>
    <row r="43333">
      <c r="N43333" s="28"/>
      <c r="O43333" s="28"/>
      <c r="U43333" s="28"/>
    </row>
    <row r="43334">
      <c r="N43334" s="28"/>
      <c r="O43334" s="28"/>
      <c r="U43334" s="28"/>
    </row>
    <row r="43335">
      <c r="N43335" s="28"/>
      <c r="O43335" s="28"/>
      <c r="U43335" s="28"/>
    </row>
    <row r="43336">
      <c r="N43336" s="28"/>
      <c r="O43336" s="28"/>
      <c r="U43336" s="28"/>
    </row>
    <row r="43337">
      <c r="N43337" s="28"/>
      <c r="O43337" s="28"/>
      <c r="U43337" s="28"/>
    </row>
    <row r="43338">
      <c r="N43338" s="28"/>
      <c r="O43338" s="28"/>
      <c r="U43338" s="28"/>
    </row>
    <row r="43339">
      <c r="N43339" s="28"/>
      <c r="O43339" s="28"/>
      <c r="U43339" s="28"/>
    </row>
    <row r="43340">
      <c r="N43340" s="28"/>
      <c r="O43340" s="28"/>
      <c r="U43340" s="28"/>
    </row>
    <row r="43341">
      <c r="N43341" s="28"/>
      <c r="O43341" s="28"/>
      <c r="U43341" s="28"/>
    </row>
    <row r="43342">
      <c r="N43342" s="28"/>
      <c r="O43342" s="28"/>
      <c r="U43342" s="28"/>
    </row>
    <row r="43343">
      <c r="N43343" s="28"/>
      <c r="O43343" s="28"/>
      <c r="U43343" s="28"/>
    </row>
    <row r="43344">
      <c r="N43344" s="28"/>
      <c r="O43344" s="28"/>
      <c r="U43344" s="28"/>
    </row>
    <row r="43345">
      <c r="N43345" s="28"/>
      <c r="O43345" s="28"/>
      <c r="U43345" s="28"/>
    </row>
    <row r="43346">
      <c r="N43346" s="28"/>
      <c r="O43346" s="28"/>
      <c r="U43346" s="28"/>
    </row>
    <row r="43347">
      <c r="N43347" s="28"/>
      <c r="O43347" s="28"/>
      <c r="U43347" s="28"/>
    </row>
    <row r="43348">
      <c r="N43348" s="28"/>
      <c r="O43348" s="28"/>
      <c r="U43348" s="28"/>
    </row>
    <row r="43349">
      <c r="N43349" s="28"/>
      <c r="O43349" s="28"/>
      <c r="U43349" s="28"/>
    </row>
    <row r="43350">
      <c r="N43350" s="28"/>
      <c r="O43350" s="28"/>
      <c r="U43350" s="28"/>
    </row>
    <row r="43351">
      <c r="N43351" s="28"/>
      <c r="O43351" s="28"/>
      <c r="U43351" s="28"/>
    </row>
    <row r="43352">
      <c r="N43352" s="28"/>
      <c r="O43352" s="28"/>
      <c r="U43352" s="28"/>
    </row>
    <row r="43353">
      <c r="N43353" s="28"/>
      <c r="O43353" s="28"/>
      <c r="U43353" s="28"/>
    </row>
    <row r="43354">
      <c r="N43354" s="28"/>
      <c r="O43354" s="28"/>
      <c r="U43354" s="28"/>
    </row>
    <row r="43355">
      <c r="N43355" s="28"/>
      <c r="O43355" s="28"/>
      <c r="U43355" s="28"/>
    </row>
    <row r="43356">
      <c r="N43356" s="28"/>
      <c r="O43356" s="28"/>
      <c r="U43356" s="28"/>
    </row>
    <row r="43357">
      <c r="N43357" s="28"/>
      <c r="O43357" s="28"/>
      <c r="U43357" s="28"/>
    </row>
    <row r="43358">
      <c r="N43358" s="28"/>
      <c r="O43358" s="28"/>
      <c r="U43358" s="28"/>
    </row>
    <row r="43359">
      <c r="N43359" s="28"/>
      <c r="O43359" s="28"/>
      <c r="U43359" s="28"/>
    </row>
    <row r="43360">
      <c r="N43360" s="28"/>
      <c r="O43360" s="28"/>
      <c r="U43360" s="28"/>
    </row>
    <row r="43361">
      <c r="N43361" s="28"/>
      <c r="O43361" s="28"/>
      <c r="U43361" s="28"/>
    </row>
    <row r="43362">
      <c r="N43362" s="28"/>
      <c r="O43362" s="28"/>
      <c r="U43362" s="28"/>
    </row>
    <row r="43363">
      <c r="N43363" s="28"/>
      <c r="O43363" s="28"/>
      <c r="U43363" s="28"/>
    </row>
    <row r="43364">
      <c r="N43364" s="28"/>
      <c r="O43364" s="28"/>
      <c r="U43364" s="28"/>
    </row>
    <row r="43365">
      <c r="N43365" s="28"/>
      <c r="O43365" s="28"/>
      <c r="U43365" s="28"/>
    </row>
    <row r="43366">
      <c r="N43366" s="28"/>
      <c r="O43366" s="28"/>
      <c r="U43366" s="28"/>
    </row>
    <row r="43367">
      <c r="N43367" s="28"/>
      <c r="O43367" s="28"/>
      <c r="U43367" s="28"/>
    </row>
    <row r="43368">
      <c r="N43368" s="28"/>
      <c r="O43368" s="28"/>
      <c r="U43368" s="28"/>
    </row>
    <row r="43369">
      <c r="N43369" s="28"/>
      <c r="O43369" s="28"/>
      <c r="U43369" s="28"/>
    </row>
    <row r="43370">
      <c r="N43370" s="28"/>
      <c r="O43370" s="28"/>
      <c r="U43370" s="28"/>
    </row>
    <row r="43371">
      <c r="N43371" s="28"/>
      <c r="O43371" s="28"/>
      <c r="U43371" s="28"/>
    </row>
    <row r="43372">
      <c r="N43372" s="28"/>
      <c r="O43372" s="28"/>
      <c r="U43372" s="28"/>
    </row>
    <row r="43373">
      <c r="N43373" s="28"/>
      <c r="O43373" s="28"/>
      <c r="U43373" s="28"/>
    </row>
    <row r="43374">
      <c r="N43374" s="28"/>
      <c r="O43374" s="28"/>
      <c r="U43374" s="28"/>
    </row>
    <row r="43375">
      <c r="N43375" s="28"/>
      <c r="O43375" s="28"/>
      <c r="U43375" s="28"/>
    </row>
    <row r="43376">
      <c r="N43376" s="28"/>
      <c r="O43376" s="28"/>
      <c r="U43376" s="28"/>
    </row>
    <row r="43377">
      <c r="N43377" s="28"/>
      <c r="O43377" s="28"/>
      <c r="U43377" s="28"/>
    </row>
    <row r="43378">
      <c r="N43378" s="28"/>
      <c r="O43378" s="28"/>
      <c r="U43378" s="28"/>
    </row>
    <row r="43379">
      <c r="N43379" s="28"/>
      <c r="O43379" s="28"/>
      <c r="U43379" s="28"/>
    </row>
    <row r="43380">
      <c r="N43380" s="28"/>
      <c r="O43380" s="28"/>
      <c r="U43380" s="28"/>
    </row>
    <row r="43381">
      <c r="N43381" s="28"/>
      <c r="O43381" s="28"/>
      <c r="U43381" s="28"/>
    </row>
    <row r="43382">
      <c r="N43382" s="28"/>
      <c r="O43382" s="28"/>
      <c r="U43382" s="28"/>
    </row>
    <row r="43383">
      <c r="N43383" s="28"/>
      <c r="O43383" s="28"/>
      <c r="U43383" s="28"/>
    </row>
    <row r="43384">
      <c r="N43384" s="28"/>
      <c r="O43384" s="28"/>
      <c r="U43384" s="28"/>
    </row>
    <row r="43385">
      <c r="N43385" s="28"/>
      <c r="O43385" s="28"/>
      <c r="U43385" s="28"/>
    </row>
    <row r="43386">
      <c r="N43386" s="28"/>
      <c r="O43386" s="28"/>
      <c r="U43386" s="28"/>
    </row>
    <row r="43387">
      <c r="N43387" s="28"/>
      <c r="O43387" s="28"/>
      <c r="U43387" s="28"/>
    </row>
    <row r="43388">
      <c r="N43388" s="28"/>
      <c r="O43388" s="28"/>
      <c r="U43388" s="28"/>
    </row>
    <row r="43389">
      <c r="N43389" s="28"/>
      <c r="O43389" s="28"/>
      <c r="U43389" s="28"/>
    </row>
    <row r="43390">
      <c r="N43390" s="28"/>
      <c r="O43390" s="28"/>
      <c r="U43390" s="28"/>
    </row>
    <row r="43391">
      <c r="N43391" s="28"/>
      <c r="O43391" s="28"/>
      <c r="U43391" s="28"/>
    </row>
    <row r="43392">
      <c r="N43392" s="28"/>
      <c r="O43392" s="28"/>
      <c r="U43392" s="28"/>
    </row>
    <row r="43393">
      <c r="N43393" s="28"/>
      <c r="O43393" s="28"/>
      <c r="U43393" s="28"/>
    </row>
    <row r="43394">
      <c r="N43394" s="28"/>
      <c r="O43394" s="28"/>
      <c r="U43394" s="28"/>
    </row>
    <row r="43395">
      <c r="N43395" s="28"/>
      <c r="O43395" s="28"/>
      <c r="U43395" s="28"/>
    </row>
    <row r="43396">
      <c r="N43396" s="28"/>
      <c r="O43396" s="28"/>
      <c r="U43396" s="28"/>
    </row>
    <row r="43397">
      <c r="N43397" s="28"/>
      <c r="O43397" s="28"/>
      <c r="U43397" s="28"/>
    </row>
    <row r="43398">
      <c r="N43398" s="28"/>
      <c r="O43398" s="28"/>
      <c r="U43398" s="28"/>
    </row>
    <row r="43399">
      <c r="N43399" s="28"/>
      <c r="O43399" s="28"/>
      <c r="U43399" s="28"/>
    </row>
    <row r="43400">
      <c r="N43400" s="28"/>
      <c r="O43400" s="28"/>
      <c r="U43400" s="28"/>
    </row>
    <row r="43401">
      <c r="N43401" s="28"/>
      <c r="O43401" s="28"/>
      <c r="U43401" s="28"/>
    </row>
    <row r="43402">
      <c r="N43402" s="28"/>
      <c r="O43402" s="28"/>
      <c r="U43402" s="28"/>
    </row>
    <row r="43403">
      <c r="N43403" s="28"/>
      <c r="O43403" s="28"/>
      <c r="U43403" s="28"/>
    </row>
    <row r="43404">
      <c r="N43404" s="28"/>
      <c r="O43404" s="28"/>
      <c r="U43404" s="28"/>
    </row>
    <row r="43405">
      <c r="N43405" s="28"/>
      <c r="O43405" s="28"/>
      <c r="U43405" s="28"/>
    </row>
    <row r="43406">
      <c r="N43406" s="28"/>
      <c r="O43406" s="28"/>
      <c r="U43406" s="28"/>
    </row>
    <row r="43407">
      <c r="N43407" s="28"/>
      <c r="O43407" s="28"/>
      <c r="U43407" s="28"/>
    </row>
    <row r="43408">
      <c r="N43408" s="28"/>
      <c r="O43408" s="28"/>
      <c r="U43408" s="28"/>
    </row>
    <row r="43409">
      <c r="N43409" s="28"/>
      <c r="O43409" s="28"/>
      <c r="U43409" s="28"/>
    </row>
    <row r="43410">
      <c r="N43410" s="28"/>
      <c r="O43410" s="28"/>
      <c r="U43410" s="28"/>
    </row>
    <row r="43411">
      <c r="N43411" s="28"/>
      <c r="O43411" s="28"/>
      <c r="U43411" s="28"/>
    </row>
    <row r="43412">
      <c r="N43412" s="28"/>
      <c r="O43412" s="28"/>
      <c r="U43412" s="28"/>
    </row>
    <row r="43413">
      <c r="N43413" s="28"/>
      <c r="O43413" s="28"/>
      <c r="U43413" s="28"/>
    </row>
    <row r="43414">
      <c r="N43414" s="28"/>
      <c r="O43414" s="28"/>
      <c r="U43414" s="28"/>
    </row>
    <row r="43415">
      <c r="N43415" s="28"/>
      <c r="O43415" s="28"/>
      <c r="U43415" s="28"/>
    </row>
    <row r="43416">
      <c r="N43416" s="28"/>
      <c r="O43416" s="28"/>
      <c r="U43416" s="28"/>
    </row>
    <row r="43417">
      <c r="N43417" s="28"/>
      <c r="O43417" s="28"/>
      <c r="U43417" s="28"/>
    </row>
    <row r="43418">
      <c r="N43418" s="28"/>
      <c r="O43418" s="28"/>
      <c r="U43418" s="28"/>
    </row>
    <row r="43419">
      <c r="N43419" s="28"/>
      <c r="O43419" s="28"/>
      <c r="U43419" s="28"/>
    </row>
    <row r="43420">
      <c r="N43420" s="28"/>
      <c r="O43420" s="28"/>
      <c r="U43420" s="28"/>
    </row>
    <row r="43421">
      <c r="N43421" s="28"/>
      <c r="O43421" s="28"/>
      <c r="U43421" s="28"/>
    </row>
    <row r="43422">
      <c r="N43422" s="28"/>
      <c r="O43422" s="28"/>
      <c r="U43422" s="28"/>
    </row>
    <row r="43423">
      <c r="N43423" s="28"/>
      <c r="O43423" s="28"/>
      <c r="U43423" s="28"/>
    </row>
    <row r="43424">
      <c r="N43424" s="28"/>
      <c r="O43424" s="28"/>
      <c r="U43424" s="28"/>
    </row>
    <row r="43425">
      <c r="N43425" s="28"/>
      <c r="O43425" s="28"/>
      <c r="U43425" s="28"/>
    </row>
    <row r="43426">
      <c r="N43426" s="28"/>
      <c r="O43426" s="28"/>
      <c r="U43426" s="28"/>
    </row>
    <row r="43427">
      <c r="N43427" s="28"/>
      <c r="O43427" s="28"/>
      <c r="U43427" s="28"/>
    </row>
    <row r="43428">
      <c r="N43428" s="28"/>
      <c r="O43428" s="28"/>
      <c r="U43428" s="28"/>
    </row>
    <row r="43429">
      <c r="N43429" s="28"/>
      <c r="O43429" s="28"/>
      <c r="U43429" s="28"/>
    </row>
    <row r="43430">
      <c r="N43430" s="28"/>
      <c r="O43430" s="28"/>
      <c r="U43430" s="28"/>
    </row>
    <row r="43431">
      <c r="N43431" s="28"/>
      <c r="O43431" s="28"/>
      <c r="U43431" s="28"/>
    </row>
    <row r="43432">
      <c r="N43432" s="28"/>
      <c r="O43432" s="28"/>
      <c r="U43432" s="28"/>
    </row>
    <row r="43433">
      <c r="N43433" s="28"/>
      <c r="O43433" s="28"/>
      <c r="U43433" s="28"/>
    </row>
    <row r="43434">
      <c r="N43434" s="28"/>
      <c r="O43434" s="28"/>
      <c r="U43434" s="28"/>
    </row>
    <row r="43435">
      <c r="N43435" s="28"/>
      <c r="O43435" s="28"/>
      <c r="U43435" s="28"/>
    </row>
    <row r="43436">
      <c r="N43436" s="28"/>
      <c r="O43436" s="28"/>
      <c r="U43436" s="28"/>
    </row>
    <row r="43437">
      <c r="N43437" s="28"/>
      <c r="O43437" s="28"/>
      <c r="U43437" s="28"/>
    </row>
    <row r="43438">
      <c r="N43438" s="28"/>
      <c r="O43438" s="28"/>
      <c r="U43438" s="28"/>
    </row>
    <row r="43439">
      <c r="N43439" s="28"/>
      <c r="O43439" s="28"/>
      <c r="U43439" s="28"/>
    </row>
    <row r="43440">
      <c r="N43440" s="28"/>
      <c r="O43440" s="28"/>
      <c r="U43440" s="28"/>
    </row>
    <row r="43441">
      <c r="N43441" s="28"/>
      <c r="O43441" s="28"/>
      <c r="U43441" s="28"/>
    </row>
    <row r="43442">
      <c r="N43442" s="28"/>
      <c r="O43442" s="28"/>
      <c r="U43442" s="28"/>
    </row>
    <row r="43443">
      <c r="N43443" s="28"/>
      <c r="O43443" s="28"/>
      <c r="U43443" s="28"/>
    </row>
    <row r="43444">
      <c r="N43444" s="28"/>
      <c r="O43444" s="28"/>
      <c r="U43444" s="28"/>
    </row>
    <row r="43445">
      <c r="N43445" s="28"/>
      <c r="O43445" s="28"/>
      <c r="U43445" s="28"/>
    </row>
    <row r="43446">
      <c r="N43446" s="28"/>
      <c r="O43446" s="28"/>
      <c r="U43446" s="28"/>
    </row>
    <row r="43447">
      <c r="N43447" s="28"/>
      <c r="O43447" s="28"/>
      <c r="U43447" s="28"/>
    </row>
    <row r="43448">
      <c r="N43448" s="28"/>
      <c r="O43448" s="28"/>
      <c r="U43448" s="28"/>
    </row>
    <row r="43449">
      <c r="N43449" s="28"/>
      <c r="O43449" s="28"/>
      <c r="U43449" s="28"/>
    </row>
    <row r="43450">
      <c r="N43450" s="28"/>
      <c r="O43450" s="28"/>
      <c r="U43450" s="28"/>
    </row>
    <row r="43451">
      <c r="N43451" s="28"/>
      <c r="O43451" s="28"/>
      <c r="U43451" s="28"/>
    </row>
    <row r="43452">
      <c r="N43452" s="28"/>
      <c r="O43452" s="28"/>
      <c r="U43452" s="28"/>
    </row>
    <row r="43453">
      <c r="N43453" s="28"/>
      <c r="O43453" s="28"/>
      <c r="U43453" s="28"/>
    </row>
    <row r="43454">
      <c r="N43454" s="28"/>
      <c r="O43454" s="28"/>
      <c r="U43454" s="28"/>
    </row>
    <row r="43455">
      <c r="N43455" s="28"/>
      <c r="O43455" s="28"/>
      <c r="U43455" s="28"/>
    </row>
    <row r="43456">
      <c r="N43456" s="28"/>
      <c r="O43456" s="28"/>
      <c r="U43456" s="28"/>
    </row>
    <row r="43457">
      <c r="N43457" s="28"/>
      <c r="O43457" s="28"/>
      <c r="U43457" s="28"/>
    </row>
    <row r="43458">
      <c r="N43458" s="28"/>
      <c r="O43458" s="28"/>
      <c r="U43458" s="28"/>
    </row>
    <row r="43459">
      <c r="N43459" s="28"/>
      <c r="O43459" s="28"/>
      <c r="U43459" s="28"/>
    </row>
    <row r="43460">
      <c r="N43460" s="28"/>
      <c r="O43460" s="28"/>
      <c r="U43460" s="28"/>
    </row>
    <row r="43461">
      <c r="N43461" s="28"/>
      <c r="O43461" s="28"/>
      <c r="U43461" s="28"/>
    </row>
    <row r="43462">
      <c r="N43462" s="28"/>
      <c r="O43462" s="28"/>
      <c r="U43462" s="28"/>
    </row>
    <row r="43463">
      <c r="N43463" s="28"/>
      <c r="O43463" s="28"/>
      <c r="U43463" s="28"/>
    </row>
    <row r="43464">
      <c r="N43464" s="28"/>
      <c r="O43464" s="28"/>
      <c r="U43464" s="28"/>
    </row>
    <row r="43465">
      <c r="N43465" s="28"/>
      <c r="O43465" s="28"/>
      <c r="U43465" s="28"/>
    </row>
    <row r="43466">
      <c r="N43466" s="28"/>
      <c r="O43466" s="28"/>
      <c r="U43466" s="28"/>
    </row>
    <row r="43467">
      <c r="N43467" s="28"/>
      <c r="O43467" s="28"/>
      <c r="U43467" s="28"/>
    </row>
    <row r="43468">
      <c r="N43468" s="28"/>
      <c r="O43468" s="28"/>
      <c r="U43468" s="28"/>
    </row>
    <row r="43469">
      <c r="N43469" s="28"/>
      <c r="O43469" s="28"/>
      <c r="U43469" s="28"/>
    </row>
    <row r="43470">
      <c r="N43470" s="28"/>
      <c r="O43470" s="28"/>
      <c r="U43470" s="28"/>
    </row>
    <row r="43471">
      <c r="N43471" s="28"/>
      <c r="O43471" s="28"/>
      <c r="U43471" s="28"/>
    </row>
    <row r="43472">
      <c r="N43472" s="28"/>
      <c r="O43472" s="28"/>
      <c r="U43472" s="28"/>
    </row>
    <row r="43473">
      <c r="N43473" s="28"/>
      <c r="O43473" s="28"/>
      <c r="U43473" s="28"/>
    </row>
    <row r="43474">
      <c r="N43474" s="28"/>
      <c r="O43474" s="28"/>
      <c r="U43474" s="28"/>
    </row>
    <row r="43475">
      <c r="N43475" s="28"/>
      <c r="O43475" s="28"/>
      <c r="U43475" s="28"/>
    </row>
    <row r="43476">
      <c r="N43476" s="28"/>
      <c r="O43476" s="28"/>
      <c r="U43476" s="28"/>
    </row>
    <row r="43477">
      <c r="N43477" s="28"/>
      <c r="O43477" s="28"/>
      <c r="U43477" s="28"/>
    </row>
    <row r="43478">
      <c r="N43478" s="28"/>
      <c r="O43478" s="28"/>
      <c r="U43478" s="28"/>
    </row>
    <row r="43479">
      <c r="N43479" s="28"/>
      <c r="O43479" s="28"/>
      <c r="U43479" s="28"/>
    </row>
    <row r="43480">
      <c r="N43480" s="28"/>
      <c r="O43480" s="28"/>
      <c r="U43480" s="28"/>
    </row>
    <row r="43481">
      <c r="N43481" s="28"/>
      <c r="O43481" s="28"/>
      <c r="U43481" s="28"/>
    </row>
    <row r="43482">
      <c r="N43482" s="28"/>
      <c r="O43482" s="28"/>
      <c r="U43482" s="28"/>
    </row>
    <row r="43483">
      <c r="N43483" s="28"/>
      <c r="O43483" s="28"/>
      <c r="U43483" s="28"/>
    </row>
    <row r="43484">
      <c r="N43484" s="28"/>
      <c r="O43484" s="28"/>
      <c r="U43484" s="28"/>
    </row>
    <row r="43485">
      <c r="N43485" s="28"/>
      <c r="O43485" s="28"/>
      <c r="U43485" s="28"/>
    </row>
    <row r="43486">
      <c r="N43486" s="28"/>
      <c r="O43486" s="28"/>
      <c r="U43486" s="28"/>
    </row>
    <row r="43487">
      <c r="N43487" s="28"/>
      <c r="O43487" s="28"/>
      <c r="U43487" s="28"/>
    </row>
    <row r="43488">
      <c r="N43488" s="28"/>
      <c r="O43488" s="28"/>
      <c r="U43488" s="28"/>
    </row>
    <row r="43489">
      <c r="N43489" s="28"/>
      <c r="O43489" s="28"/>
      <c r="U43489" s="28"/>
    </row>
    <row r="43490">
      <c r="N43490" s="28"/>
      <c r="O43490" s="28"/>
      <c r="U43490" s="28"/>
    </row>
    <row r="43491">
      <c r="N43491" s="28"/>
      <c r="O43491" s="28"/>
      <c r="U43491" s="28"/>
    </row>
    <row r="43492">
      <c r="N43492" s="28"/>
      <c r="O43492" s="28"/>
      <c r="U43492" s="28"/>
    </row>
    <row r="43493">
      <c r="N43493" s="28"/>
      <c r="O43493" s="28"/>
      <c r="U43493" s="28"/>
    </row>
    <row r="43494">
      <c r="N43494" s="28"/>
      <c r="O43494" s="28"/>
      <c r="U43494" s="28"/>
    </row>
    <row r="43495">
      <c r="N43495" s="28"/>
      <c r="O43495" s="28"/>
      <c r="U43495" s="28"/>
    </row>
    <row r="43496">
      <c r="N43496" s="28"/>
      <c r="O43496" s="28"/>
      <c r="U43496" s="28"/>
    </row>
    <row r="43497">
      <c r="N43497" s="28"/>
      <c r="O43497" s="28"/>
      <c r="U43497" s="28"/>
    </row>
    <row r="43498">
      <c r="N43498" s="28"/>
      <c r="O43498" s="28"/>
      <c r="U43498" s="28"/>
    </row>
    <row r="43499">
      <c r="N43499" s="28"/>
      <c r="O43499" s="28"/>
      <c r="U43499" s="28"/>
    </row>
    <row r="43500">
      <c r="N43500" s="28"/>
      <c r="O43500" s="28"/>
      <c r="U43500" s="28"/>
    </row>
    <row r="43501">
      <c r="N43501" s="28"/>
      <c r="O43501" s="28"/>
      <c r="U43501" s="28"/>
    </row>
    <row r="43502">
      <c r="N43502" s="28"/>
      <c r="O43502" s="28"/>
      <c r="U43502" s="28"/>
    </row>
    <row r="43503">
      <c r="N43503" s="28"/>
      <c r="O43503" s="28"/>
      <c r="U43503" s="28"/>
    </row>
    <row r="43504">
      <c r="N43504" s="28"/>
      <c r="O43504" s="28"/>
      <c r="U43504" s="28"/>
    </row>
    <row r="43505">
      <c r="N43505" s="28"/>
      <c r="O43505" s="28"/>
      <c r="U43505" s="28"/>
    </row>
    <row r="43506">
      <c r="N43506" s="28"/>
      <c r="O43506" s="28"/>
      <c r="U43506" s="28"/>
    </row>
    <row r="43507">
      <c r="N43507" s="28"/>
      <c r="O43507" s="28"/>
      <c r="U43507" s="28"/>
    </row>
    <row r="43508">
      <c r="N43508" s="28"/>
      <c r="O43508" s="28"/>
      <c r="U43508" s="28"/>
    </row>
    <row r="43509">
      <c r="N43509" s="28"/>
      <c r="O43509" s="28"/>
      <c r="U43509" s="28"/>
    </row>
    <row r="43510">
      <c r="N43510" s="28"/>
      <c r="O43510" s="28"/>
      <c r="U43510" s="28"/>
    </row>
    <row r="43511">
      <c r="N43511" s="28"/>
      <c r="O43511" s="28"/>
      <c r="U43511" s="28"/>
    </row>
    <row r="43512">
      <c r="N43512" s="28"/>
      <c r="O43512" s="28"/>
      <c r="U43512" s="28"/>
    </row>
    <row r="43513">
      <c r="N43513" s="28"/>
      <c r="O43513" s="28"/>
      <c r="U43513" s="28"/>
    </row>
    <row r="43514">
      <c r="N43514" s="28"/>
      <c r="O43514" s="28"/>
      <c r="U43514" s="28"/>
    </row>
    <row r="43515">
      <c r="N43515" s="28"/>
      <c r="O43515" s="28"/>
      <c r="U43515" s="28"/>
    </row>
    <row r="43516">
      <c r="N43516" s="28"/>
      <c r="O43516" s="28"/>
      <c r="U43516" s="28"/>
    </row>
    <row r="43517">
      <c r="N43517" s="28"/>
      <c r="O43517" s="28"/>
      <c r="U43517" s="28"/>
    </row>
    <row r="43518">
      <c r="N43518" s="28"/>
      <c r="O43518" s="28"/>
      <c r="U43518" s="28"/>
    </row>
    <row r="43519">
      <c r="N43519" s="28"/>
      <c r="O43519" s="28"/>
      <c r="U43519" s="28"/>
    </row>
    <row r="43520">
      <c r="N43520" s="28"/>
      <c r="O43520" s="28"/>
      <c r="U43520" s="28"/>
    </row>
    <row r="43521">
      <c r="N43521" s="28"/>
      <c r="O43521" s="28"/>
      <c r="U43521" s="28"/>
    </row>
    <row r="43522">
      <c r="N43522" s="28"/>
      <c r="O43522" s="28"/>
      <c r="U43522" s="28"/>
    </row>
    <row r="43523">
      <c r="N43523" s="28"/>
      <c r="O43523" s="28"/>
      <c r="U43523" s="28"/>
    </row>
    <row r="43524">
      <c r="N43524" s="28"/>
      <c r="O43524" s="28"/>
      <c r="U43524" s="28"/>
    </row>
    <row r="43525">
      <c r="N43525" s="28"/>
      <c r="O43525" s="28"/>
      <c r="U43525" s="28"/>
    </row>
    <row r="43526">
      <c r="N43526" s="28"/>
      <c r="O43526" s="28"/>
      <c r="U43526" s="28"/>
    </row>
    <row r="43527">
      <c r="N43527" s="28"/>
      <c r="O43527" s="28"/>
      <c r="U43527" s="28"/>
    </row>
    <row r="43528">
      <c r="N43528" s="28"/>
      <c r="O43528" s="28"/>
      <c r="U43528" s="28"/>
    </row>
    <row r="43529">
      <c r="N43529" s="28"/>
      <c r="O43529" s="28"/>
      <c r="U43529" s="28"/>
    </row>
    <row r="43530">
      <c r="N43530" s="28"/>
      <c r="O43530" s="28"/>
      <c r="U43530" s="28"/>
    </row>
    <row r="43531">
      <c r="N43531" s="28"/>
      <c r="O43531" s="28"/>
      <c r="U43531" s="28"/>
    </row>
    <row r="43532">
      <c r="N43532" s="28"/>
      <c r="O43532" s="28"/>
      <c r="U43532" s="28"/>
    </row>
    <row r="43533">
      <c r="N43533" s="28"/>
      <c r="O43533" s="28"/>
      <c r="U43533" s="28"/>
    </row>
    <row r="43534">
      <c r="N43534" s="28"/>
      <c r="O43534" s="28"/>
      <c r="U43534" s="28"/>
    </row>
    <row r="43535">
      <c r="N43535" s="28"/>
      <c r="O43535" s="28"/>
      <c r="U43535" s="28"/>
    </row>
    <row r="43536">
      <c r="N43536" s="28"/>
      <c r="O43536" s="28"/>
      <c r="U43536" s="28"/>
    </row>
    <row r="43537">
      <c r="N43537" s="28"/>
      <c r="O43537" s="28"/>
      <c r="U43537" s="28"/>
    </row>
    <row r="43538">
      <c r="N43538" s="28"/>
      <c r="O43538" s="28"/>
      <c r="U43538" s="28"/>
    </row>
    <row r="43539">
      <c r="N43539" s="28"/>
      <c r="O43539" s="28"/>
      <c r="U43539" s="28"/>
    </row>
    <row r="43540">
      <c r="N43540" s="28"/>
      <c r="O43540" s="28"/>
      <c r="U43540" s="28"/>
    </row>
    <row r="43541">
      <c r="N43541" s="28"/>
      <c r="O43541" s="28"/>
      <c r="U43541" s="28"/>
    </row>
    <row r="43542">
      <c r="N43542" s="28"/>
      <c r="O43542" s="28"/>
      <c r="U43542" s="28"/>
    </row>
    <row r="43543">
      <c r="N43543" s="28"/>
      <c r="O43543" s="28"/>
      <c r="U43543" s="28"/>
    </row>
    <row r="43544">
      <c r="N43544" s="28"/>
      <c r="O43544" s="28"/>
      <c r="U43544" s="28"/>
    </row>
    <row r="43545">
      <c r="N43545" s="28"/>
      <c r="O43545" s="28"/>
      <c r="U43545" s="28"/>
    </row>
    <row r="43546">
      <c r="N43546" s="28"/>
      <c r="O43546" s="28"/>
      <c r="U43546" s="28"/>
    </row>
    <row r="43547">
      <c r="N43547" s="28"/>
      <c r="O43547" s="28"/>
      <c r="U43547" s="28"/>
    </row>
    <row r="43548">
      <c r="N43548" s="28"/>
      <c r="O43548" s="28"/>
      <c r="U43548" s="28"/>
    </row>
    <row r="43549">
      <c r="N43549" s="28"/>
      <c r="O43549" s="28"/>
      <c r="U43549" s="28"/>
    </row>
    <row r="43550">
      <c r="N43550" s="28"/>
      <c r="O43550" s="28"/>
      <c r="U43550" s="28"/>
    </row>
    <row r="43551">
      <c r="N43551" s="28"/>
      <c r="O43551" s="28"/>
      <c r="U43551" s="28"/>
    </row>
    <row r="43552">
      <c r="N43552" s="28"/>
      <c r="O43552" s="28"/>
      <c r="U43552" s="28"/>
    </row>
    <row r="43553">
      <c r="N43553" s="28"/>
      <c r="O43553" s="28"/>
      <c r="U43553" s="28"/>
    </row>
    <row r="43554">
      <c r="N43554" s="28"/>
      <c r="O43554" s="28"/>
      <c r="U43554" s="28"/>
    </row>
    <row r="43555">
      <c r="N43555" s="28"/>
      <c r="O43555" s="28"/>
      <c r="U43555" s="28"/>
    </row>
    <row r="43556">
      <c r="N43556" s="28"/>
      <c r="O43556" s="28"/>
      <c r="U43556" s="28"/>
    </row>
    <row r="43557">
      <c r="N43557" s="28"/>
      <c r="O43557" s="28"/>
      <c r="U43557" s="28"/>
    </row>
    <row r="43558">
      <c r="N43558" s="28"/>
      <c r="O43558" s="28"/>
      <c r="U43558" s="28"/>
    </row>
    <row r="43559">
      <c r="N43559" s="28"/>
      <c r="O43559" s="28"/>
      <c r="U43559" s="28"/>
    </row>
    <row r="43560">
      <c r="N43560" s="28"/>
      <c r="O43560" s="28"/>
      <c r="U43560" s="28"/>
    </row>
    <row r="43561">
      <c r="N43561" s="28"/>
      <c r="O43561" s="28"/>
      <c r="U43561" s="28"/>
    </row>
    <row r="43562">
      <c r="N43562" s="28"/>
      <c r="O43562" s="28"/>
      <c r="U43562" s="28"/>
    </row>
    <row r="43563">
      <c r="N43563" s="28"/>
      <c r="O43563" s="28"/>
      <c r="U43563" s="28"/>
    </row>
    <row r="43564">
      <c r="N43564" s="28"/>
      <c r="O43564" s="28"/>
      <c r="U43564" s="28"/>
    </row>
    <row r="43565">
      <c r="N43565" s="28"/>
      <c r="O43565" s="28"/>
      <c r="U43565" s="28"/>
    </row>
    <row r="43566">
      <c r="N43566" s="28"/>
      <c r="O43566" s="28"/>
      <c r="U43566" s="28"/>
    </row>
    <row r="43567">
      <c r="N43567" s="28"/>
      <c r="O43567" s="28"/>
      <c r="U43567" s="28"/>
    </row>
    <row r="43568">
      <c r="N43568" s="28"/>
      <c r="O43568" s="28"/>
      <c r="U43568" s="28"/>
    </row>
    <row r="43569">
      <c r="N43569" s="28"/>
      <c r="O43569" s="28"/>
      <c r="U43569" s="28"/>
    </row>
    <row r="43570">
      <c r="N43570" s="28"/>
      <c r="O43570" s="28"/>
      <c r="U43570" s="28"/>
    </row>
    <row r="43571">
      <c r="N43571" s="28"/>
      <c r="O43571" s="28"/>
      <c r="U43571" s="28"/>
    </row>
    <row r="43572">
      <c r="N43572" s="28"/>
      <c r="O43572" s="28"/>
      <c r="U43572" s="28"/>
    </row>
    <row r="43573">
      <c r="N43573" s="28"/>
      <c r="O43573" s="28"/>
      <c r="U43573" s="28"/>
    </row>
    <row r="43574">
      <c r="N43574" s="28"/>
      <c r="O43574" s="28"/>
      <c r="U43574" s="28"/>
    </row>
    <row r="43575">
      <c r="N43575" s="28"/>
      <c r="O43575" s="28"/>
      <c r="U43575" s="28"/>
    </row>
    <row r="43576">
      <c r="N43576" s="28"/>
      <c r="O43576" s="28"/>
      <c r="U43576" s="28"/>
    </row>
    <row r="43577">
      <c r="N43577" s="28"/>
      <c r="O43577" s="28"/>
      <c r="U43577" s="28"/>
    </row>
    <row r="43578">
      <c r="N43578" s="28"/>
      <c r="O43578" s="28"/>
      <c r="U43578" s="28"/>
    </row>
    <row r="43579">
      <c r="N43579" s="28"/>
      <c r="O43579" s="28"/>
      <c r="U43579" s="28"/>
    </row>
    <row r="43580">
      <c r="N43580" s="28"/>
      <c r="O43580" s="28"/>
      <c r="U43580" s="28"/>
    </row>
    <row r="43581">
      <c r="N43581" s="28"/>
      <c r="O43581" s="28"/>
      <c r="U43581" s="28"/>
    </row>
    <row r="43582">
      <c r="N43582" s="28"/>
      <c r="O43582" s="28"/>
      <c r="U43582" s="28"/>
    </row>
    <row r="43583">
      <c r="N43583" s="28"/>
      <c r="O43583" s="28"/>
      <c r="U43583" s="28"/>
    </row>
    <row r="43584">
      <c r="N43584" s="28"/>
      <c r="O43584" s="28"/>
      <c r="U43584" s="28"/>
    </row>
    <row r="43585">
      <c r="N43585" s="28"/>
      <c r="O43585" s="28"/>
      <c r="U43585" s="28"/>
    </row>
    <row r="43586">
      <c r="N43586" s="28"/>
      <c r="O43586" s="28"/>
      <c r="U43586" s="28"/>
    </row>
    <row r="43587">
      <c r="N43587" s="28"/>
      <c r="O43587" s="28"/>
      <c r="U43587" s="28"/>
    </row>
    <row r="43588">
      <c r="N43588" s="28"/>
      <c r="O43588" s="28"/>
      <c r="U43588" s="28"/>
    </row>
    <row r="43589">
      <c r="N43589" s="28"/>
      <c r="O43589" s="28"/>
      <c r="U43589" s="28"/>
    </row>
    <row r="43590">
      <c r="N43590" s="28"/>
      <c r="O43590" s="28"/>
      <c r="U43590" s="28"/>
    </row>
    <row r="43591">
      <c r="N43591" s="28"/>
      <c r="O43591" s="28"/>
      <c r="U43591" s="28"/>
    </row>
    <row r="43592">
      <c r="N43592" s="28"/>
      <c r="O43592" s="28"/>
      <c r="U43592" s="28"/>
    </row>
    <row r="43593">
      <c r="N43593" s="28"/>
      <c r="O43593" s="28"/>
      <c r="U43593" s="28"/>
    </row>
    <row r="43594">
      <c r="N43594" s="28"/>
      <c r="O43594" s="28"/>
      <c r="U43594" s="28"/>
    </row>
    <row r="43595">
      <c r="N43595" s="28"/>
      <c r="O43595" s="28"/>
      <c r="U43595" s="28"/>
    </row>
    <row r="43596">
      <c r="N43596" s="28"/>
      <c r="O43596" s="28"/>
      <c r="U43596" s="28"/>
    </row>
    <row r="43597">
      <c r="N43597" s="28"/>
      <c r="O43597" s="28"/>
      <c r="U43597" s="28"/>
    </row>
    <row r="43598">
      <c r="N43598" s="28"/>
      <c r="O43598" s="28"/>
      <c r="U43598" s="28"/>
    </row>
    <row r="43599">
      <c r="N43599" s="28"/>
      <c r="O43599" s="28"/>
      <c r="U43599" s="28"/>
    </row>
    <row r="43600">
      <c r="N43600" s="28"/>
      <c r="O43600" s="28"/>
      <c r="U43600" s="28"/>
    </row>
    <row r="43601">
      <c r="N43601" s="28"/>
      <c r="O43601" s="28"/>
      <c r="U43601" s="28"/>
    </row>
    <row r="43602">
      <c r="N43602" s="28"/>
      <c r="O43602" s="28"/>
      <c r="U43602" s="28"/>
    </row>
    <row r="43603">
      <c r="N43603" s="28"/>
      <c r="O43603" s="28"/>
      <c r="U43603" s="28"/>
    </row>
    <row r="43604">
      <c r="N43604" s="28"/>
      <c r="O43604" s="28"/>
      <c r="U43604" s="28"/>
    </row>
    <row r="43605">
      <c r="N43605" s="28"/>
      <c r="O43605" s="28"/>
      <c r="U43605" s="28"/>
    </row>
    <row r="43606">
      <c r="N43606" s="28"/>
      <c r="O43606" s="28"/>
      <c r="U43606" s="28"/>
    </row>
    <row r="43607">
      <c r="N43607" s="28"/>
      <c r="O43607" s="28"/>
      <c r="U43607" s="28"/>
    </row>
    <row r="43608">
      <c r="N43608" s="28"/>
      <c r="O43608" s="28"/>
      <c r="U43608" s="28"/>
    </row>
    <row r="43609">
      <c r="N43609" s="28"/>
      <c r="O43609" s="28"/>
      <c r="U43609" s="28"/>
    </row>
    <row r="43610">
      <c r="N43610" s="28"/>
      <c r="O43610" s="28"/>
      <c r="U43610" s="28"/>
    </row>
    <row r="43611">
      <c r="N43611" s="28"/>
      <c r="O43611" s="28"/>
      <c r="U43611" s="28"/>
    </row>
    <row r="43612">
      <c r="N43612" s="28"/>
      <c r="O43612" s="28"/>
      <c r="U43612" s="28"/>
    </row>
    <row r="43613">
      <c r="N43613" s="28"/>
      <c r="O43613" s="28"/>
      <c r="U43613" s="28"/>
    </row>
    <row r="43614">
      <c r="N43614" s="28"/>
      <c r="O43614" s="28"/>
      <c r="U43614" s="28"/>
    </row>
    <row r="43615">
      <c r="N43615" s="28"/>
      <c r="O43615" s="28"/>
      <c r="U43615" s="28"/>
    </row>
    <row r="43616">
      <c r="N43616" s="28"/>
      <c r="O43616" s="28"/>
      <c r="U43616" s="28"/>
    </row>
    <row r="43617">
      <c r="N43617" s="28"/>
      <c r="O43617" s="28"/>
      <c r="U43617" s="28"/>
    </row>
    <row r="43618">
      <c r="N43618" s="28"/>
      <c r="O43618" s="28"/>
      <c r="U43618" s="28"/>
    </row>
    <row r="43619">
      <c r="N43619" s="28"/>
      <c r="O43619" s="28"/>
      <c r="U43619" s="28"/>
    </row>
    <row r="43620">
      <c r="N43620" s="28"/>
      <c r="O43620" s="28"/>
      <c r="U43620" s="28"/>
    </row>
    <row r="43621">
      <c r="N43621" s="28"/>
      <c r="O43621" s="28"/>
      <c r="U43621" s="28"/>
    </row>
    <row r="43622">
      <c r="N43622" s="28"/>
      <c r="O43622" s="28"/>
      <c r="U43622" s="28"/>
    </row>
    <row r="43623">
      <c r="N43623" s="28"/>
      <c r="O43623" s="28"/>
      <c r="U43623" s="28"/>
    </row>
    <row r="43624">
      <c r="N43624" s="28"/>
      <c r="O43624" s="28"/>
      <c r="U43624" s="28"/>
    </row>
    <row r="43625">
      <c r="N43625" s="28"/>
      <c r="O43625" s="28"/>
      <c r="U43625" s="28"/>
    </row>
    <row r="43626">
      <c r="N43626" s="28"/>
      <c r="O43626" s="28"/>
      <c r="U43626" s="28"/>
    </row>
    <row r="43627">
      <c r="N43627" s="28"/>
      <c r="O43627" s="28"/>
      <c r="U43627" s="28"/>
    </row>
    <row r="43628">
      <c r="N43628" s="28"/>
      <c r="O43628" s="28"/>
      <c r="U43628" s="28"/>
    </row>
    <row r="43629">
      <c r="N43629" s="28"/>
      <c r="O43629" s="28"/>
      <c r="U43629" s="28"/>
    </row>
    <row r="43630">
      <c r="N43630" s="28"/>
      <c r="O43630" s="28"/>
      <c r="U43630" s="28"/>
    </row>
    <row r="43631">
      <c r="N43631" s="28"/>
      <c r="O43631" s="28"/>
      <c r="U43631" s="28"/>
    </row>
    <row r="43632">
      <c r="N43632" s="28"/>
      <c r="O43632" s="28"/>
      <c r="U43632" s="28"/>
    </row>
    <row r="43633">
      <c r="N43633" s="28"/>
      <c r="O43633" s="28"/>
      <c r="U43633" s="28"/>
    </row>
    <row r="43634">
      <c r="N43634" s="28"/>
      <c r="O43634" s="28"/>
      <c r="U43634" s="28"/>
    </row>
    <row r="43635">
      <c r="N43635" s="28"/>
      <c r="O43635" s="28"/>
      <c r="U43635" s="28"/>
    </row>
    <row r="43636">
      <c r="N43636" s="28"/>
      <c r="O43636" s="28"/>
      <c r="U43636" s="28"/>
    </row>
    <row r="43637">
      <c r="N43637" s="28"/>
      <c r="O43637" s="28"/>
      <c r="U43637" s="28"/>
    </row>
    <row r="43638">
      <c r="N43638" s="28"/>
      <c r="O43638" s="28"/>
      <c r="U43638" s="28"/>
    </row>
    <row r="43639">
      <c r="N43639" s="28"/>
      <c r="O43639" s="28"/>
      <c r="U43639" s="28"/>
    </row>
    <row r="43640">
      <c r="N43640" s="28"/>
      <c r="O43640" s="28"/>
      <c r="U43640" s="28"/>
    </row>
    <row r="43641">
      <c r="N43641" s="28"/>
      <c r="O43641" s="28"/>
      <c r="U43641" s="28"/>
    </row>
    <row r="43642">
      <c r="N43642" s="28"/>
      <c r="O43642" s="28"/>
      <c r="U43642" s="28"/>
    </row>
    <row r="43643">
      <c r="N43643" s="28"/>
      <c r="O43643" s="28"/>
      <c r="U43643" s="28"/>
    </row>
    <row r="43644">
      <c r="N43644" s="28"/>
      <c r="O43644" s="28"/>
      <c r="U43644" s="28"/>
    </row>
    <row r="43645">
      <c r="N43645" s="28"/>
      <c r="O43645" s="28"/>
      <c r="U43645" s="28"/>
    </row>
    <row r="43646">
      <c r="N43646" s="28"/>
      <c r="O43646" s="28"/>
      <c r="U43646" s="28"/>
    </row>
    <row r="43647">
      <c r="N43647" s="28"/>
      <c r="O43647" s="28"/>
      <c r="U43647" s="28"/>
    </row>
    <row r="43648">
      <c r="N43648" s="28"/>
      <c r="O43648" s="28"/>
      <c r="U43648" s="28"/>
    </row>
    <row r="43649">
      <c r="N43649" s="28"/>
      <c r="O43649" s="28"/>
      <c r="U43649" s="28"/>
    </row>
    <row r="43650">
      <c r="N43650" s="28"/>
      <c r="O43650" s="28"/>
      <c r="U43650" s="28"/>
    </row>
    <row r="43651">
      <c r="N43651" s="28"/>
      <c r="O43651" s="28"/>
      <c r="U43651" s="28"/>
    </row>
    <row r="43652">
      <c r="N43652" s="28"/>
      <c r="O43652" s="28"/>
      <c r="U43652" s="28"/>
    </row>
    <row r="43653">
      <c r="N43653" s="28"/>
      <c r="O43653" s="28"/>
      <c r="U43653" s="28"/>
    </row>
    <row r="43654">
      <c r="N43654" s="28"/>
      <c r="O43654" s="28"/>
      <c r="U43654" s="28"/>
    </row>
    <row r="43655">
      <c r="N43655" s="28"/>
      <c r="O43655" s="28"/>
      <c r="U43655" s="28"/>
    </row>
    <row r="43656">
      <c r="N43656" s="28"/>
      <c r="O43656" s="28"/>
      <c r="U43656" s="28"/>
    </row>
    <row r="43657">
      <c r="N43657" s="28"/>
      <c r="O43657" s="28"/>
      <c r="U43657" s="28"/>
    </row>
    <row r="43658">
      <c r="N43658" s="28"/>
      <c r="O43658" s="28"/>
      <c r="U43658" s="28"/>
    </row>
    <row r="43659">
      <c r="N43659" s="28"/>
      <c r="O43659" s="28"/>
      <c r="U43659" s="28"/>
    </row>
    <row r="43660">
      <c r="N43660" s="28"/>
      <c r="O43660" s="28"/>
      <c r="U43660" s="28"/>
    </row>
    <row r="43661">
      <c r="N43661" s="28"/>
      <c r="O43661" s="28"/>
      <c r="U43661" s="28"/>
    </row>
    <row r="43662">
      <c r="N43662" s="28"/>
      <c r="O43662" s="28"/>
      <c r="U43662" s="28"/>
    </row>
    <row r="43663">
      <c r="N43663" s="28"/>
      <c r="O43663" s="28"/>
      <c r="U43663" s="28"/>
    </row>
    <row r="43664">
      <c r="N43664" s="28"/>
      <c r="O43664" s="28"/>
      <c r="U43664" s="28"/>
    </row>
    <row r="43665">
      <c r="N43665" s="28"/>
      <c r="O43665" s="28"/>
      <c r="U43665" s="28"/>
    </row>
    <row r="43666">
      <c r="N43666" s="28"/>
      <c r="O43666" s="28"/>
      <c r="U43666" s="28"/>
    </row>
    <row r="43667">
      <c r="N43667" s="28"/>
      <c r="O43667" s="28"/>
      <c r="U43667" s="28"/>
    </row>
    <row r="43668">
      <c r="N43668" s="28"/>
      <c r="O43668" s="28"/>
      <c r="U43668" s="28"/>
    </row>
    <row r="43669">
      <c r="N43669" s="28"/>
      <c r="O43669" s="28"/>
      <c r="U43669" s="28"/>
    </row>
    <row r="43670">
      <c r="N43670" s="28"/>
      <c r="O43670" s="28"/>
      <c r="U43670" s="28"/>
    </row>
    <row r="43671">
      <c r="N43671" s="28"/>
      <c r="O43671" s="28"/>
      <c r="U43671" s="28"/>
    </row>
    <row r="43672">
      <c r="N43672" s="28"/>
      <c r="O43672" s="28"/>
      <c r="U43672" s="28"/>
    </row>
    <row r="43673">
      <c r="N43673" s="28"/>
      <c r="O43673" s="28"/>
      <c r="U43673" s="28"/>
    </row>
    <row r="43674">
      <c r="N43674" s="28"/>
      <c r="O43674" s="28"/>
      <c r="U43674" s="28"/>
    </row>
    <row r="43675">
      <c r="N43675" s="28"/>
      <c r="O43675" s="28"/>
      <c r="U43675" s="28"/>
    </row>
    <row r="43676">
      <c r="N43676" s="28"/>
      <c r="O43676" s="28"/>
      <c r="U43676" s="28"/>
    </row>
    <row r="43677">
      <c r="N43677" s="28"/>
      <c r="O43677" s="28"/>
      <c r="U43677" s="28"/>
    </row>
    <row r="43678">
      <c r="N43678" s="28"/>
      <c r="O43678" s="28"/>
      <c r="U43678" s="28"/>
    </row>
    <row r="43679">
      <c r="N43679" s="28"/>
      <c r="O43679" s="28"/>
      <c r="U43679" s="28"/>
    </row>
    <row r="43680">
      <c r="N43680" s="28"/>
      <c r="O43680" s="28"/>
      <c r="U43680" s="28"/>
    </row>
    <row r="43681">
      <c r="N43681" s="28"/>
      <c r="O43681" s="28"/>
      <c r="U43681" s="28"/>
    </row>
    <row r="43682">
      <c r="N43682" s="28"/>
      <c r="O43682" s="28"/>
      <c r="U43682" s="28"/>
    </row>
    <row r="43683">
      <c r="N43683" s="28"/>
      <c r="O43683" s="28"/>
      <c r="U43683" s="28"/>
    </row>
    <row r="43684">
      <c r="N43684" s="28"/>
      <c r="O43684" s="28"/>
      <c r="U43684" s="28"/>
    </row>
    <row r="43685">
      <c r="N43685" s="28"/>
      <c r="O43685" s="28"/>
      <c r="U43685" s="28"/>
    </row>
    <row r="43686">
      <c r="N43686" s="28"/>
      <c r="O43686" s="28"/>
      <c r="U43686" s="28"/>
    </row>
    <row r="43687">
      <c r="N43687" s="28"/>
      <c r="O43687" s="28"/>
      <c r="U43687" s="28"/>
    </row>
    <row r="43688">
      <c r="N43688" s="28"/>
      <c r="O43688" s="28"/>
      <c r="U43688" s="28"/>
    </row>
    <row r="43689">
      <c r="N43689" s="28"/>
      <c r="O43689" s="28"/>
      <c r="U43689" s="28"/>
    </row>
    <row r="43690">
      <c r="N43690" s="28"/>
      <c r="O43690" s="28"/>
      <c r="U43690" s="28"/>
    </row>
    <row r="43691">
      <c r="N43691" s="28"/>
      <c r="O43691" s="28"/>
      <c r="U43691" s="28"/>
    </row>
    <row r="43692">
      <c r="N43692" s="28"/>
      <c r="O43692" s="28"/>
      <c r="U43692" s="28"/>
    </row>
    <row r="43693">
      <c r="N43693" s="28"/>
      <c r="O43693" s="28"/>
      <c r="U43693" s="28"/>
    </row>
    <row r="43694">
      <c r="N43694" s="28"/>
      <c r="O43694" s="28"/>
      <c r="U43694" s="28"/>
    </row>
    <row r="43695">
      <c r="N43695" s="28"/>
      <c r="O43695" s="28"/>
      <c r="U43695" s="28"/>
    </row>
    <row r="43696">
      <c r="N43696" s="28"/>
      <c r="O43696" s="28"/>
      <c r="U43696" s="28"/>
    </row>
    <row r="43697">
      <c r="N43697" s="28"/>
      <c r="O43697" s="28"/>
      <c r="U43697" s="28"/>
    </row>
    <row r="43698">
      <c r="N43698" s="28"/>
      <c r="O43698" s="28"/>
      <c r="U43698" s="28"/>
    </row>
    <row r="43699">
      <c r="N43699" s="28"/>
      <c r="O43699" s="28"/>
      <c r="U43699" s="28"/>
    </row>
    <row r="43700">
      <c r="N43700" s="28"/>
      <c r="O43700" s="28"/>
      <c r="U43700" s="28"/>
    </row>
    <row r="43701">
      <c r="N43701" s="28"/>
      <c r="O43701" s="28"/>
      <c r="U43701" s="28"/>
    </row>
    <row r="43702">
      <c r="N43702" s="28"/>
      <c r="O43702" s="28"/>
      <c r="U43702" s="28"/>
    </row>
    <row r="43703">
      <c r="N43703" s="28"/>
      <c r="O43703" s="28"/>
      <c r="U43703" s="28"/>
    </row>
    <row r="43704">
      <c r="N43704" s="28"/>
      <c r="O43704" s="28"/>
      <c r="U43704" s="28"/>
    </row>
    <row r="43705">
      <c r="N43705" s="28"/>
      <c r="O43705" s="28"/>
      <c r="U43705" s="28"/>
    </row>
    <row r="43706">
      <c r="N43706" s="28"/>
      <c r="O43706" s="28"/>
      <c r="U43706" s="28"/>
    </row>
    <row r="43707">
      <c r="N43707" s="28"/>
      <c r="O43707" s="28"/>
      <c r="U43707" s="28"/>
    </row>
    <row r="43708">
      <c r="N43708" s="28"/>
      <c r="O43708" s="28"/>
      <c r="U43708" s="28"/>
    </row>
    <row r="43709">
      <c r="N43709" s="28"/>
      <c r="O43709" s="28"/>
      <c r="U43709" s="28"/>
    </row>
    <row r="43710">
      <c r="N43710" s="28"/>
      <c r="O43710" s="28"/>
      <c r="U43710" s="28"/>
    </row>
    <row r="43711">
      <c r="N43711" s="28"/>
      <c r="O43711" s="28"/>
      <c r="U43711" s="28"/>
    </row>
    <row r="43712">
      <c r="N43712" s="28"/>
      <c r="O43712" s="28"/>
      <c r="U43712" s="28"/>
    </row>
    <row r="43713">
      <c r="N43713" s="28"/>
      <c r="O43713" s="28"/>
      <c r="U43713" s="28"/>
    </row>
    <row r="43714">
      <c r="N43714" s="28"/>
      <c r="O43714" s="28"/>
      <c r="U43714" s="28"/>
    </row>
    <row r="43715">
      <c r="N43715" s="28"/>
      <c r="O43715" s="28"/>
      <c r="U43715" s="28"/>
    </row>
    <row r="43716">
      <c r="N43716" s="28"/>
      <c r="O43716" s="28"/>
      <c r="U43716" s="28"/>
    </row>
    <row r="43717">
      <c r="N43717" s="28"/>
      <c r="O43717" s="28"/>
      <c r="U43717" s="28"/>
    </row>
    <row r="43718">
      <c r="N43718" s="28"/>
      <c r="O43718" s="28"/>
      <c r="U43718" s="28"/>
    </row>
    <row r="43719">
      <c r="N43719" s="28"/>
      <c r="O43719" s="28"/>
      <c r="U43719" s="28"/>
    </row>
    <row r="43720">
      <c r="N43720" s="28"/>
      <c r="O43720" s="28"/>
      <c r="U43720" s="28"/>
    </row>
    <row r="43721">
      <c r="N43721" s="28"/>
      <c r="O43721" s="28"/>
      <c r="U43721" s="28"/>
    </row>
    <row r="43722">
      <c r="N43722" s="28"/>
      <c r="O43722" s="28"/>
      <c r="U43722" s="28"/>
    </row>
    <row r="43723">
      <c r="N43723" s="28"/>
      <c r="O43723" s="28"/>
      <c r="U43723" s="28"/>
    </row>
    <row r="43724">
      <c r="N43724" s="28"/>
      <c r="O43724" s="28"/>
      <c r="U43724" s="28"/>
    </row>
    <row r="43725">
      <c r="N43725" s="28"/>
      <c r="O43725" s="28"/>
      <c r="U43725" s="28"/>
    </row>
    <row r="43726">
      <c r="N43726" s="28"/>
      <c r="O43726" s="28"/>
      <c r="U43726" s="28"/>
    </row>
    <row r="43727">
      <c r="N43727" s="28"/>
      <c r="O43727" s="28"/>
      <c r="U43727" s="28"/>
    </row>
    <row r="43728">
      <c r="N43728" s="28"/>
      <c r="O43728" s="28"/>
      <c r="U43728" s="28"/>
    </row>
    <row r="43729">
      <c r="N43729" s="28"/>
      <c r="O43729" s="28"/>
      <c r="U43729" s="28"/>
    </row>
    <row r="43730">
      <c r="N43730" s="28"/>
      <c r="O43730" s="28"/>
      <c r="U43730" s="28"/>
    </row>
    <row r="43731">
      <c r="N43731" s="28"/>
      <c r="O43731" s="28"/>
      <c r="U43731" s="28"/>
    </row>
    <row r="43732">
      <c r="N43732" s="28"/>
      <c r="O43732" s="28"/>
      <c r="U43732" s="28"/>
    </row>
    <row r="43733">
      <c r="N43733" s="28"/>
      <c r="O43733" s="28"/>
      <c r="U43733" s="28"/>
    </row>
    <row r="43734">
      <c r="N43734" s="28"/>
      <c r="O43734" s="28"/>
      <c r="U43734" s="28"/>
    </row>
    <row r="43735">
      <c r="N43735" s="28"/>
      <c r="O43735" s="28"/>
      <c r="U43735" s="28"/>
    </row>
    <row r="43736">
      <c r="N43736" s="28"/>
      <c r="O43736" s="28"/>
      <c r="U43736" s="28"/>
    </row>
    <row r="43737">
      <c r="N43737" s="28"/>
      <c r="O43737" s="28"/>
      <c r="U43737" s="28"/>
    </row>
    <row r="43738">
      <c r="N43738" s="28"/>
      <c r="O43738" s="28"/>
      <c r="U43738" s="28"/>
    </row>
    <row r="43739">
      <c r="N43739" s="28"/>
      <c r="O43739" s="28"/>
      <c r="U43739" s="28"/>
    </row>
    <row r="43740">
      <c r="N43740" s="28"/>
      <c r="O43740" s="28"/>
      <c r="U43740" s="28"/>
    </row>
    <row r="43741">
      <c r="N43741" s="28"/>
      <c r="O43741" s="28"/>
      <c r="U43741" s="28"/>
    </row>
    <row r="43742">
      <c r="N43742" s="28"/>
      <c r="O43742" s="28"/>
      <c r="U43742" s="28"/>
    </row>
    <row r="43743">
      <c r="N43743" s="28"/>
      <c r="O43743" s="28"/>
      <c r="U43743" s="28"/>
    </row>
    <row r="43744">
      <c r="N43744" s="28"/>
      <c r="O43744" s="28"/>
      <c r="U43744" s="28"/>
    </row>
    <row r="43745">
      <c r="N43745" s="28"/>
      <c r="O43745" s="28"/>
      <c r="U43745" s="28"/>
    </row>
    <row r="43746">
      <c r="N43746" s="28"/>
      <c r="O43746" s="28"/>
      <c r="U43746" s="28"/>
    </row>
    <row r="43747">
      <c r="N43747" s="28"/>
      <c r="O43747" s="28"/>
      <c r="U43747" s="28"/>
    </row>
    <row r="43748">
      <c r="N43748" s="28"/>
      <c r="O43748" s="28"/>
      <c r="U43748" s="28"/>
    </row>
    <row r="43749">
      <c r="N43749" s="28"/>
      <c r="O43749" s="28"/>
      <c r="U43749" s="28"/>
    </row>
    <row r="43750">
      <c r="N43750" s="28"/>
      <c r="O43750" s="28"/>
      <c r="U43750" s="28"/>
    </row>
    <row r="43751">
      <c r="N43751" s="28"/>
      <c r="O43751" s="28"/>
      <c r="U43751" s="28"/>
    </row>
    <row r="43752">
      <c r="N43752" s="28"/>
      <c r="O43752" s="28"/>
      <c r="U43752" s="28"/>
    </row>
    <row r="43753">
      <c r="N43753" s="28"/>
      <c r="O43753" s="28"/>
      <c r="U43753" s="28"/>
    </row>
    <row r="43754">
      <c r="N43754" s="28"/>
      <c r="O43754" s="28"/>
      <c r="U43754" s="28"/>
    </row>
    <row r="43755">
      <c r="N43755" s="28"/>
      <c r="O43755" s="28"/>
      <c r="U43755" s="28"/>
    </row>
    <row r="43756">
      <c r="N43756" s="28"/>
      <c r="O43756" s="28"/>
      <c r="U43756" s="28"/>
    </row>
    <row r="43757">
      <c r="N43757" s="28"/>
      <c r="O43757" s="28"/>
      <c r="U43757" s="28"/>
    </row>
    <row r="43758">
      <c r="N43758" s="28"/>
      <c r="O43758" s="28"/>
      <c r="U43758" s="28"/>
    </row>
    <row r="43759">
      <c r="N43759" s="28"/>
      <c r="O43759" s="28"/>
      <c r="U43759" s="28"/>
    </row>
    <row r="43760">
      <c r="N43760" s="28"/>
      <c r="O43760" s="28"/>
      <c r="U43760" s="28"/>
    </row>
    <row r="43761">
      <c r="N43761" s="28"/>
      <c r="O43761" s="28"/>
      <c r="U43761" s="28"/>
    </row>
    <row r="43762">
      <c r="N43762" s="28"/>
      <c r="O43762" s="28"/>
      <c r="U43762" s="28"/>
    </row>
    <row r="43763">
      <c r="N43763" s="28"/>
      <c r="O43763" s="28"/>
      <c r="U43763" s="28"/>
    </row>
    <row r="43764">
      <c r="N43764" s="28"/>
      <c r="O43764" s="28"/>
      <c r="U43764" s="28"/>
    </row>
    <row r="43765">
      <c r="N43765" s="28"/>
      <c r="O43765" s="28"/>
      <c r="U43765" s="28"/>
    </row>
    <row r="43766">
      <c r="N43766" s="28"/>
      <c r="O43766" s="28"/>
      <c r="U43766" s="28"/>
    </row>
    <row r="43767">
      <c r="N43767" s="28"/>
      <c r="O43767" s="28"/>
      <c r="U43767" s="28"/>
    </row>
    <row r="43768">
      <c r="N43768" s="28"/>
      <c r="O43768" s="28"/>
      <c r="U43768" s="28"/>
    </row>
    <row r="43769">
      <c r="N43769" s="28"/>
      <c r="O43769" s="28"/>
      <c r="U43769" s="28"/>
    </row>
    <row r="43770">
      <c r="N43770" s="28"/>
      <c r="O43770" s="28"/>
      <c r="U43770" s="28"/>
    </row>
    <row r="43771">
      <c r="N43771" s="28"/>
      <c r="O43771" s="28"/>
      <c r="U43771" s="28"/>
    </row>
    <row r="43772">
      <c r="N43772" s="28"/>
      <c r="O43772" s="28"/>
      <c r="U43772" s="28"/>
    </row>
    <row r="43773">
      <c r="N43773" s="28"/>
      <c r="O43773" s="28"/>
      <c r="U43773" s="28"/>
    </row>
    <row r="43774">
      <c r="N43774" s="28"/>
      <c r="O43774" s="28"/>
      <c r="U43774" s="28"/>
    </row>
    <row r="43775">
      <c r="N43775" s="28"/>
      <c r="O43775" s="28"/>
      <c r="U43775" s="28"/>
    </row>
    <row r="43776">
      <c r="N43776" s="28"/>
      <c r="O43776" s="28"/>
      <c r="U43776" s="28"/>
    </row>
    <row r="43777">
      <c r="N43777" s="28"/>
      <c r="O43777" s="28"/>
      <c r="U43777" s="28"/>
    </row>
    <row r="43778">
      <c r="N43778" s="28"/>
      <c r="O43778" s="28"/>
      <c r="U43778" s="28"/>
    </row>
    <row r="43779">
      <c r="N43779" s="28"/>
      <c r="O43779" s="28"/>
      <c r="U43779" s="28"/>
    </row>
    <row r="43780">
      <c r="N43780" s="28"/>
      <c r="O43780" s="28"/>
      <c r="U43780" s="28"/>
    </row>
    <row r="43781">
      <c r="N43781" s="28"/>
      <c r="O43781" s="28"/>
      <c r="U43781" s="28"/>
    </row>
    <row r="43782">
      <c r="N43782" s="28"/>
      <c r="O43782" s="28"/>
      <c r="U43782" s="28"/>
    </row>
    <row r="43783">
      <c r="N43783" s="28"/>
      <c r="O43783" s="28"/>
      <c r="U43783" s="28"/>
    </row>
    <row r="43784">
      <c r="N43784" s="28"/>
      <c r="O43784" s="28"/>
      <c r="U43784" s="28"/>
    </row>
    <row r="43785">
      <c r="N43785" s="28"/>
      <c r="O43785" s="28"/>
      <c r="U43785" s="28"/>
    </row>
    <row r="43786">
      <c r="N43786" s="28"/>
      <c r="O43786" s="28"/>
      <c r="U43786" s="28"/>
    </row>
    <row r="43787">
      <c r="N43787" s="28"/>
      <c r="O43787" s="28"/>
      <c r="U43787" s="28"/>
    </row>
    <row r="43788">
      <c r="N43788" s="28"/>
      <c r="O43788" s="28"/>
      <c r="U43788" s="28"/>
    </row>
    <row r="43789">
      <c r="N43789" s="28"/>
      <c r="O43789" s="28"/>
      <c r="U43789" s="28"/>
    </row>
    <row r="43790">
      <c r="N43790" s="28"/>
      <c r="O43790" s="28"/>
      <c r="U43790" s="28"/>
    </row>
    <row r="43791">
      <c r="N43791" s="28"/>
      <c r="O43791" s="28"/>
      <c r="U43791" s="28"/>
    </row>
    <row r="43792">
      <c r="N43792" s="28"/>
      <c r="O43792" s="28"/>
      <c r="U43792" s="28"/>
    </row>
    <row r="43793">
      <c r="N43793" s="28"/>
      <c r="O43793" s="28"/>
      <c r="U43793" s="28"/>
    </row>
    <row r="43794">
      <c r="N43794" s="28"/>
      <c r="O43794" s="28"/>
      <c r="U43794" s="28"/>
    </row>
    <row r="43795">
      <c r="N43795" s="28"/>
      <c r="O43795" s="28"/>
      <c r="U43795" s="28"/>
    </row>
    <row r="43796">
      <c r="N43796" s="28"/>
      <c r="O43796" s="28"/>
      <c r="U43796" s="28"/>
    </row>
    <row r="43797">
      <c r="N43797" s="28"/>
      <c r="O43797" s="28"/>
      <c r="U43797" s="28"/>
    </row>
    <row r="43798">
      <c r="N43798" s="28"/>
      <c r="O43798" s="28"/>
      <c r="U43798" s="28"/>
    </row>
    <row r="43799">
      <c r="N43799" s="28"/>
      <c r="O43799" s="28"/>
      <c r="U43799" s="28"/>
    </row>
    <row r="43800">
      <c r="N43800" s="28"/>
      <c r="O43800" s="28"/>
      <c r="U43800" s="28"/>
    </row>
    <row r="43801">
      <c r="N43801" s="28"/>
      <c r="O43801" s="28"/>
      <c r="U43801" s="28"/>
    </row>
    <row r="43802">
      <c r="N43802" s="28"/>
      <c r="O43802" s="28"/>
      <c r="U43802" s="28"/>
    </row>
    <row r="43803">
      <c r="N43803" s="28"/>
      <c r="O43803" s="28"/>
      <c r="U43803" s="28"/>
    </row>
    <row r="43804">
      <c r="N43804" s="28"/>
      <c r="O43804" s="28"/>
      <c r="U43804" s="28"/>
    </row>
    <row r="43805">
      <c r="N43805" s="28"/>
      <c r="O43805" s="28"/>
      <c r="U43805" s="28"/>
    </row>
    <row r="43806">
      <c r="N43806" s="28"/>
      <c r="O43806" s="28"/>
      <c r="U43806" s="28"/>
    </row>
    <row r="43807">
      <c r="N43807" s="28"/>
      <c r="O43807" s="28"/>
      <c r="U43807" s="28"/>
    </row>
    <row r="43808">
      <c r="N43808" s="28"/>
      <c r="O43808" s="28"/>
      <c r="U43808" s="28"/>
    </row>
    <row r="43809">
      <c r="N43809" s="28"/>
      <c r="O43809" s="28"/>
      <c r="U43809" s="28"/>
    </row>
    <row r="43810">
      <c r="N43810" s="28"/>
      <c r="O43810" s="28"/>
      <c r="U43810" s="28"/>
    </row>
    <row r="43811">
      <c r="N43811" s="28"/>
      <c r="O43811" s="28"/>
      <c r="U43811" s="28"/>
    </row>
    <row r="43812">
      <c r="N43812" s="28"/>
      <c r="O43812" s="28"/>
      <c r="U43812" s="28"/>
    </row>
    <row r="43813">
      <c r="N43813" s="28"/>
      <c r="O43813" s="28"/>
      <c r="U43813" s="28"/>
    </row>
    <row r="43814">
      <c r="N43814" s="28"/>
      <c r="O43814" s="28"/>
      <c r="U43814" s="28"/>
    </row>
    <row r="43815">
      <c r="N43815" s="28"/>
      <c r="O43815" s="28"/>
      <c r="U43815" s="28"/>
    </row>
    <row r="43816">
      <c r="N43816" s="28"/>
      <c r="O43816" s="28"/>
      <c r="U43816" s="28"/>
    </row>
    <row r="43817">
      <c r="N43817" s="28"/>
      <c r="O43817" s="28"/>
      <c r="U43817" s="28"/>
    </row>
    <row r="43818">
      <c r="N43818" s="28"/>
      <c r="O43818" s="28"/>
      <c r="U43818" s="28"/>
    </row>
    <row r="43819">
      <c r="N43819" s="28"/>
      <c r="O43819" s="28"/>
      <c r="U43819" s="28"/>
    </row>
    <row r="43820">
      <c r="N43820" s="28"/>
      <c r="O43820" s="28"/>
      <c r="U43820" s="28"/>
    </row>
    <row r="43821">
      <c r="N43821" s="28"/>
      <c r="O43821" s="28"/>
      <c r="U43821" s="28"/>
    </row>
    <row r="43822">
      <c r="N43822" s="28"/>
      <c r="O43822" s="28"/>
      <c r="U43822" s="28"/>
    </row>
    <row r="43823">
      <c r="N43823" s="28"/>
      <c r="O43823" s="28"/>
      <c r="U43823" s="28"/>
    </row>
    <row r="43824">
      <c r="N43824" s="28"/>
      <c r="O43824" s="28"/>
      <c r="U43824" s="28"/>
    </row>
    <row r="43825">
      <c r="N43825" s="28"/>
      <c r="O43825" s="28"/>
      <c r="U43825" s="28"/>
    </row>
    <row r="43826">
      <c r="N43826" s="28"/>
      <c r="O43826" s="28"/>
      <c r="U43826" s="28"/>
    </row>
    <row r="43827">
      <c r="N43827" s="28"/>
      <c r="O43827" s="28"/>
      <c r="U43827" s="28"/>
    </row>
    <row r="43828">
      <c r="N43828" s="28"/>
      <c r="O43828" s="28"/>
      <c r="U43828" s="28"/>
    </row>
    <row r="43829">
      <c r="N43829" s="28"/>
      <c r="O43829" s="28"/>
      <c r="U43829" s="28"/>
    </row>
    <row r="43830">
      <c r="N43830" s="28"/>
      <c r="O43830" s="28"/>
      <c r="U43830" s="28"/>
    </row>
    <row r="43831">
      <c r="N43831" s="28"/>
      <c r="O43831" s="28"/>
      <c r="U43831" s="28"/>
    </row>
    <row r="43832">
      <c r="N43832" s="28"/>
      <c r="O43832" s="28"/>
      <c r="U43832" s="28"/>
    </row>
    <row r="43833">
      <c r="N43833" s="28"/>
      <c r="O43833" s="28"/>
      <c r="U43833" s="28"/>
    </row>
    <row r="43834">
      <c r="N43834" s="28"/>
      <c r="O43834" s="28"/>
      <c r="U43834" s="28"/>
    </row>
    <row r="43835">
      <c r="N43835" s="28"/>
      <c r="O43835" s="28"/>
      <c r="U43835" s="28"/>
    </row>
    <row r="43836">
      <c r="N43836" s="28"/>
      <c r="O43836" s="28"/>
      <c r="U43836" s="28"/>
    </row>
    <row r="43837">
      <c r="N43837" s="28"/>
      <c r="O43837" s="28"/>
      <c r="U43837" s="28"/>
    </row>
    <row r="43838">
      <c r="N43838" s="28"/>
      <c r="O43838" s="28"/>
      <c r="U43838" s="28"/>
    </row>
    <row r="43839">
      <c r="N43839" s="28"/>
      <c r="O43839" s="28"/>
      <c r="U43839" s="28"/>
    </row>
    <row r="43840">
      <c r="N43840" s="28"/>
      <c r="O43840" s="28"/>
      <c r="U43840" s="28"/>
    </row>
    <row r="43841">
      <c r="N43841" s="28"/>
      <c r="O43841" s="28"/>
      <c r="U43841" s="28"/>
    </row>
    <row r="43842">
      <c r="N43842" s="28"/>
      <c r="O43842" s="28"/>
      <c r="U43842" s="28"/>
    </row>
    <row r="43843">
      <c r="N43843" s="28"/>
      <c r="O43843" s="28"/>
      <c r="U43843" s="28"/>
    </row>
    <row r="43844">
      <c r="N43844" s="28"/>
      <c r="O43844" s="28"/>
      <c r="U43844" s="28"/>
    </row>
    <row r="43845">
      <c r="N43845" s="28"/>
      <c r="O43845" s="28"/>
      <c r="U43845" s="28"/>
    </row>
    <row r="43846">
      <c r="N43846" s="28"/>
      <c r="O43846" s="28"/>
      <c r="U43846" s="28"/>
    </row>
    <row r="43847">
      <c r="N43847" s="28"/>
      <c r="O43847" s="28"/>
      <c r="U43847" s="28"/>
    </row>
    <row r="43848">
      <c r="N43848" s="28"/>
      <c r="O43848" s="28"/>
      <c r="U43848" s="28"/>
    </row>
    <row r="43849">
      <c r="N43849" s="28"/>
      <c r="O43849" s="28"/>
      <c r="U43849" s="28"/>
    </row>
    <row r="43850">
      <c r="N43850" s="28"/>
      <c r="O43850" s="28"/>
      <c r="U43850" s="28"/>
    </row>
    <row r="43851">
      <c r="N43851" s="28"/>
      <c r="O43851" s="28"/>
      <c r="U43851" s="28"/>
    </row>
    <row r="43852">
      <c r="N43852" s="28"/>
      <c r="O43852" s="28"/>
      <c r="U43852" s="28"/>
    </row>
    <row r="43853">
      <c r="N43853" s="28"/>
      <c r="O43853" s="28"/>
      <c r="U43853" s="28"/>
    </row>
    <row r="43854">
      <c r="N43854" s="28"/>
      <c r="O43854" s="28"/>
      <c r="U43854" s="28"/>
    </row>
    <row r="43855">
      <c r="N43855" s="28"/>
      <c r="O43855" s="28"/>
      <c r="U43855" s="28"/>
    </row>
    <row r="43856">
      <c r="N43856" s="28"/>
      <c r="O43856" s="28"/>
      <c r="U43856" s="28"/>
    </row>
    <row r="43857">
      <c r="N43857" s="28"/>
      <c r="O43857" s="28"/>
      <c r="U43857" s="28"/>
    </row>
    <row r="43858">
      <c r="N43858" s="28"/>
      <c r="O43858" s="28"/>
      <c r="U43858" s="28"/>
    </row>
    <row r="43859">
      <c r="N43859" s="28"/>
      <c r="O43859" s="28"/>
      <c r="U43859" s="28"/>
    </row>
    <row r="43860">
      <c r="N43860" s="28"/>
      <c r="O43860" s="28"/>
      <c r="U43860" s="28"/>
    </row>
    <row r="43861">
      <c r="N43861" s="28"/>
      <c r="O43861" s="28"/>
      <c r="U43861" s="28"/>
    </row>
    <row r="43862">
      <c r="N43862" s="28"/>
      <c r="O43862" s="28"/>
      <c r="U43862" s="28"/>
    </row>
    <row r="43863">
      <c r="N43863" s="28"/>
      <c r="O43863" s="28"/>
      <c r="U43863" s="28"/>
    </row>
    <row r="43864">
      <c r="N43864" s="28"/>
      <c r="O43864" s="28"/>
      <c r="U43864" s="28"/>
    </row>
    <row r="43865">
      <c r="N43865" s="28"/>
      <c r="O43865" s="28"/>
      <c r="U43865" s="28"/>
    </row>
    <row r="43866">
      <c r="N43866" s="28"/>
      <c r="O43866" s="28"/>
      <c r="U43866" s="28"/>
    </row>
    <row r="43867">
      <c r="N43867" s="28"/>
      <c r="O43867" s="28"/>
      <c r="U43867" s="28"/>
    </row>
    <row r="43868">
      <c r="N43868" s="28"/>
      <c r="O43868" s="28"/>
      <c r="U43868" s="28"/>
    </row>
    <row r="43869">
      <c r="N43869" s="28"/>
      <c r="O43869" s="28"/>
      <c r="U43869" s="28"/>
    </row>
    <row r="43870">
      <c r="N43870" s="28"/>
      <c r="O43870" s="28"/>
      <c r="U43870" s="28"/>
    </row>
    <row r="43871">
      <c r="N43871" s="28"/>
      <c r="O43871" s="28"/>
      <c r="U43871" s="28"/>
    </row>
    <row r="43872">
      <c r="N43872" s="28"/>
      <c r="O43872" s="28"/>
      <c r="U43872" s="28"/>
    </row>
    <row r="43873">
      <c r="N43873" s="28"/>
      <c r="O43873" s="28"/>
      <c r="U43873" s="28"/>
    </row>
    <row r="43874">
      <c r="N43874" s="28"/>
      <c r="O43874" s="28"/>
      <c r="U43874" s="28"/>
    </row>
    <row r="43875">
      <c r="N43875" s="28"/>
      <c r="O43875" s="28"/>
      <c r="U43875" s="28"/>
    </row>
    <row r="43876">
      <c r="N43876" s="28"/>
      <c r="O43876" s="28"/>
      <c r="U43876" s="28"/>
    </row>
    <row r="43877">
      <c r="N43877" s="28"/>
      <c r="O43877" s="28"/>
      <c r="U43877" s="28"/>
    </row>
    <row r="43878">
      <c r="N43878" s="28"/>
      <c r="O43878" s="28"/>
      <c r="U43878" s="28"/>
    </row>
    <row r="43879">
      <c r="N43879" s="28"/>
      <c r="O43879" s="28"/>
      <c r="U43879" s="28"/>
    </row>
    <row r="43880">
      <c r="N43880" s="28"/>
      <c r="O43880" s="28"/>
      <c r="U43880" s="28"/>
    </row>
    <row r="43881">
      <c r="N43881" s="28"/>
      <c r="O43881" s="28"/>
      <c r="U43881" s="28"/>
    </row>
    <row r="43882">
      <c r="N43882" s="28"/>
      <c r="O43882" s="28"/>
      <c r="U43882" s="28"/>
    </row>
    <row r="43883">
      <c r="N43883" s="28"/>
      <c r="O43883" s="28"/>
      <c r="U43883" s="28"/>
    </row>
    <row r="43884">
      <c r="N43884" s="28"/>
      <c r="O43884" s="28"/>
      <c r="U43884" s="28"/>
    </row>
    <row r="43885">
      <c r="N43885" s="28"/>
      <c r="O43885" s="28"/>
      <c r="U43885" s="28"/>
    </row>
    <row r="43886">
      <c r="N43886" s="28"/>
      <c r="O43886" s="28"/>
      <c r="U43886" s="28"/>
    </row>
    <row r="43887">
      <c r="N43887" s="28"/>
      <c r="O43887" s="28"/>
      <c r="U43887" s="28"/>
    </row>
    <row r="43888">
      <c r="N43888" s="28"/>
      <c r="O43888" s="28"/>
      <c r="U43888" s="28"/>
    </row>
    <row r="43889">
      <c r="N43889" s="28"/>
      <c r="O43889" s="28"/>
      <c r="U43889" s="28"/>
    </row>
    <row r="43890">
      <c r="N43890" s="28"/>
      <c r="O43890" s="28"/>
      <c r="U43890" s="28"/>
    </row>
    <row r="43891">
      <c r="N43891" s="28"/>
      <c r="O43891" s="28"/>
      <c r="U43891" s="28"/>
    </row>
    <row r="43892">
      <c r="N43892" s="28"/>
      <c r="O43892" s="28"/>
      <c r="U43892" s="28"/>
    </row>
    <row r="43893">
      <c r="N43893" s="28"/>
      <c r="O43893" s="28"/>
      <c r="U43893" s="28"/>
    </row>
    <row r="43894">
      <c r="N43894" s="28"/>
      <c r="O43894" s="28"/>
      <c r="U43894" s="28"/>
    </row>
    <row r="43895">
      <c r="N43895" s="28"/>
      <c r="O43895" s="28"/>
      <c r="U43895" s="28"/>
    </row>
    <row r="43896">
      <c r="N43896" s="28"/>
      <c r="O43896" s="28"/>
      <c r="U43896" s="28"/>
    </row>
    <row r="43897">
      <c r="N43897" s="28"/>
      <c r="O43897" s="28"/>
      <c r="U43897" s="28"/>
    </row>
    <row r="43898">
      <c r="N43898" s="28"/>
      <c r="O43898" s="28"/>
      <c r="U43898" s="28"/>
    </row>
    <row r="43899">
      <c r="N43899" s="28"/>
      <c r="O43899" s="28"/>
      <c r="U43899" s="28"/>
    </row>
    <row r="43900">
      <c r="N43900" s="28"/>
      <c r="O43900" s="28"/>
      <c r="U43900" s="28"/>
    </row>
    <row r="43901">
      <c r="N43901" s="28"/>
      <c r="O43901" s="28"/>
      <c r="U43901" s="28"/>
    </row>
    <row r="43902">
      <c r="N43902" s="28"/>
      <c r="O43902" s="28"/>
      <c r="U43902" s="28"/>
    </row>
    <row r="43903">
      <c r="N43903" s="28"/>
      <c r="O43903" s="28"/>
      <c r="U43903" s="28"/>
    </row>
    <row r="43904">
      <c r="N43904" s="28"/>
      <c r="O43904" s="28"/>
      <c r="U43904" s="28"/>
    </row>
    <row r="43905">
      <c r="N43905" s="28"/>
      <c r="O43905" s="28"/>
      <c r="U43905" s="28"/>
    </row>
    <row r="43906">
      <c r="N43906" s="28"/>
      <c r="O43906" s="28"/>
      <c r="U43906" s="28"/>
    </row>
    <row r="43907">
      <c r="N43907" s="28"/>
      <c r="O43907" s="28"/>
      <c r="U43907" s="28"/>
    </row>
    <row r="43908">
      <c r="N43908" s="28"/>
      <c r="O43908" s="28"/>
      <c r="U43908" s="28"/>
    </row>
    <row r="43909">
      <c r="N43909" s="28"/>
      <c r="O43909" s="28"/>
      <c r="U43909" s="28"/>
    </row>
    <row r="43910">
      <c r="N43910" s="28"/>
      <c r="O43910" s="28"/>
      <c r="U43910" s="28"/>
    </row>
    <row r="43911">
      <c r="N43911" s="28"/>
      <c r="O43911" s="28"/>
      <c r="U43911" s="28"/>
    </row>
    <row r="43912">
      <c r="N43912" s="28"/>
      <c r="O43912" s="28"/>
      <c r="U43912" s="28"/>
    </row>
    <row r="43913">
      <c r="N43913" s="28"/>
      <c r="O43913" s="28"/>
      <c r="U43913" s="28"/>
    </row>
    <row r="43914">
      <c r="N43914" s="28"/>
      <c r="O43914" s="28"/>
      <c r="U43914" s="28"/>
    </row>
    <row r="43915">
      <c r="N43915" s="28"/>
      <c r="O43915" s="28"/>
      <c r="U43915" s="28"/>
    </row>
    <row r="43916">
      <c r="N43916" s="28"/>
      <c r="O43916" s="28"/>
      <c r="U43916" s="28"/>
    </row>
    <row r="43917">
      <c r="N43917" s="28"/>
      <c r="O43917" s="28"/>
      <c r="U43917" s="28"/>
    </row>
    <row r="43918">
      <c r="N43918" s="28"/>
      <c r="O43918" s="28"/>
      <c r="U43918" s="28"/>
    </row>
    <row r="43919">
      <c r="N43919" s="28"/>
      <c r="O43919" s="28"/>
      <c r="U43919" s="28"/>
    </row>
    <row r="43920">
      <c r="N43920" s="28"/>
      <c r="O43920" s="28"/>
      <c r="U43920" s="28"/>
    </row>
    <row r="43921">
      <c r="N43921" s="28"/>
      <c r="O43921" s="28"/>
      <c r="U43921" s="28"/>
    </row>
    <row r="43922">
      <c r="N43922" s="28"/>
      <c r="O43922" s="28"/>
      <c r="U43922" s="28"/>
    </row>
    <row r="43923">
      <c r="N43923" s="28"/>
      <c r="O43923" s="28"/>
      <c r="U43923" s="28"/>
    </row>
    <row r="43924">
      <c r="N43924" s="28"/>
      <c r="O43924" s="28"/>
      <c r="U43924" s="28"/>
    </row>
    <row r="43925">
      <c r="N43925" s="28"/>
      <c r="O43925" s="28"/>
      <c r="U43925" s="28"/>
    </row>
    <row r="43926">
      <c r="N43926" s="28"/>
      <c r="O43926" s="28"/>
      <c r="U43926" s="28"/>
    </row>
    <row r="43927">
      <c r="N43927" s="28"/>
      <c r="O43927" s="28"/>
      <c r="U43927" s="28"/>
    </row>
    <row r="43928">
      <c r="N43928" s="28"/>
      <c r="O43928" s="28"/>
      <c r="U43928" s="28"/>
    </row>
    <row r="43929">
      <c r="N43929" s="28"/>
      <c r="O43929" s="28"/>
      <c r="U43929" s="28"/>
    </row>
    <row r="43930">
      <c r="N43930" s="28"/>
      <c r="O43930" s="28"/>
      <c r="U43930" s="28"/>
    </row>
    <row r="43931">
      <c r="N43931" s="28"/>
      <c r="O43931" s="28"/>
      <c r="U43931" s="28"/>
    </row>
    <row r="43932">
      <c r="N43932" s="28"/>
      <c r="O43932" s="28"/>
      <c r="U43932" s="28"/>
    </row>
    <row r="43933">
      <c r="N43933" s="28"/>
      <c r="O43933" s="28"/>
      <c r="U43933" s="28"/>
    </row>
    <row r="43934">
      <c r="N43934" s="28"/>
      <c r="O43934" s="28"/>
      <c r="U43934" s="28"/>
    </row>
    <row r="43935">
      <c r="N43935" s="28"/>
      <c r="O43935" s="28"/>
      <c r="U43935" s="28"/>
    </row>
    <row r="43936">
      <c r="N43936" s="28"/>
      <c r="O43936" s="28"/>
      <c r="U43936" s="28"/>
    </row>
    <row r="43937">
      <c r="N43937" s="28"/>
      <c r="O43937" s="28"/>
      <c r="U43937" s="28"/>
    </row>
    <row r="43938">
      <c r="N43938" s="28"/>
      <c r="O43938" s="28"/>
      <c r="U43938" s="28"/>
    </row>
    <row r="43939">
      <c r="N43939" s="28"/>
      <c r="O43939" s="28"/>
      <c r="U43939" s="28"/>
    </row>
    <row r="43940">
      <c r="N43940" s="28"/>
      <c r="O43940" s="28"/>
      <c r="U43940" s="28"/>
    </row>
    <row r="43941">
      <c r="N43941" s="28"/>
      <c r="O43941" s="28"/>
      <c r="U43941" s="28"/>
    </row>
    <row r="43942">
      <c r="N43942" s="28"/>
      <c r="O43942" s="28"/>
      <c r="U43942" s="28"/>
    </row>
    <row r="43943">
      <c r="N43943" s="28"/>
      <c r="O43943" s="28"/>
      <c r="U43943" s="28"/>
    </row>
    <row r="43944">
      <c r="N43944" s="28"/>
      <c r="O43944" s="28"/>
      <c r="U43944" s="28"/>
    </row>
    <row r="43945">
      <c r="N43945" s="28"/>
      <c r="O43945" s="28"/>
      <c r="U43945" s="28"/>
    </row>
    <row r="43946">
      <c r="N43946" s="28"/>
      <c r="O43946" s="28"/>
      <c r="U43946" s="28"/>
    </row>
    <row r="43947">
      <c r="N43947" s="28"/>
      <c r="O43947" s="28"/>
      <c r="U43947" s="28"/>
    </row>
    <row r="43948">
      <c r="N43948" s="28"/>
      <c r="O43948" s="28"/>
      <c r="U43948" s="28"/>
    </row>
    <row r="43949">
      <c r="N43949" s="28"/>
      <c r="O43949" s="28"/>
      <c r="U43949" s="28"/>
    </row>
    <row r="43950">
      <c r="N43950" s="28"/>
      <c r="O43950" s="28"/>
      <c r="U43950" s="28"/>
    </row>
    <row r="43951">
      <c r="N43951" s="28"/>
      <c r="O43951" s="28"/>
      <c r="U43951" s="28"/>
    </row>
    <row r="43952">
      <c r="N43952" s="28"/>
      <c r="O43952" s="28"/>
      <c r="U43952" s="28"/>
    </row>
    <row r="43953">
      <c r="N43953" s="28"/>
      <c r="O43953" s="28"/>
      <c r="U43953" s="28"/>
    </row>
    <row r="43954">
      <c r="N43954" s="28"/>
      <c r="O43954" s="28"/>
      <c r="U43954" s="28"/>
    </row>
    <row r="43955">
      <c r="N43955" s="28"/>
      <c r="O43955" s="28"/>
      <c r="U43955" s="28"/>
    </row>
    <row r="43956">
      <c r="N43956" s="28"/>
      <c r="O43956" s="28"/>
      <c r="U43956" s="28"/>
    </row>
    <row r="43957">
      <c r="N43957" s="28"/>
      <c r="O43957" s="28"/>
      <c r="U43957" s="28"/>
    </row>
    <row r="43958">
      <c r="N43958" s="28"/>
      <c r="O43958" s="28"/>
      <c r="U43958" s="28"/>
    </row>
    <row r="43959">
      <c r="N43959" s="28"/>
      <c r="O43959" s="28"/>
      <c r="U43959" s="28"/>
    </row>
    <row r="43960">
      <c r="N43960" s="28"/>
      <c r="O43960" s="28"/>
      <c r="U43960" s="28"/>
    </row>
    <row r="43961">
      <c r="N43961" s="28"/>
      <c r="O43961" s="28"/>
      <c r="U43961" s="28"/>
    </row>
    <row r="43962">
      <c r="N43962" s="28"/>
      <c r="O43962" s="28"/>
      <c r="U43962" s="28"/>
    </row>
    <row r="43963">
      <c r="N43963" s="28"/>
      <c r="O43963" s="28"/>
      <c r="U43963" s="28"/>
    </row>
    <row r="43964">
      <c r="N43964" s="28"/>
      <c r="O43964" s="28"/>
      <c r="U43964" s="28"/>
    </row>
    <row r="43965">
      <c r="N43965" s="28"/>
      <c r="O43965" s="28"/>
      <c r="U43965" s="28"/>
    </row>
    <row r="43966">
      <c r="N43966" s="28"/>
      <c r="O43966" s="28"/>
      <c r="U43966" s="28"/>
    </row>
    <row r="43967">
      <c r="N43967" s="28"/>
      <c r="O43967" s="28"/>
      <c r="U43967" s="28"/>
    </row>
    <row r="43968">
      <c r="N43968" s="28"/>
      <c r="O43968" s="28"/>
      <c r="U43968" s="28"/>
    </row>
    <row r="43969">
      <c r="N43969" s="28"/>
      <c r="O43969" s="28"/>
      <c r="U43969" s="28"/>
    </row>
    <row r="43970">
      <c r="N43970" s="28"/>
      <c r="O43970" s="28"/>
      <c r="U43970" s="28"/>
    </row>
    <row r="43971">
      <c r="N43971" s="28"/>
      <c r="O43971" s="28"/>
      <c r="U43971" s="28"/>
    </row>
    <row r="43972">
      <c r="N43972" s="28"/>
      <c r="O43972" s="28"/>
      <c r="U43972" s="28"/>
    </row>
    <row r="43973">
      <c r="N43973" s="28"/>
      <c r="O43973" s="28"/>
      <c r="U43973" s="28"/>
    </row>
    <row r="43974">
      <c r="N43974" s="28"/>
      <c r="O43974" s="28"/>
      <c r="U43974" s="28"/>
    </row>
    <row r="43975">
      <c r="N43975" s="28"/>
      <c r="O43975" s="28"/>
      <c r="U43975" s="28"/>
    </row>
    <row r="43976">
      <c r="N43976" s="28"/>
      <c r="O43976" s="28"/>
      <c r="U43976" s="28"/>
    </row>
    <row r="43977">
      <c r="N43977" s="28"/>
      <c r="O43977" s="28"/>
      <c r="U43977" s="28"/>
    </row>
    <row r="43978">
      <c r="N43978" s="28"/>
      <c r="O43978" s="28"/>
      <c r="U43978" s="28"/>
    </row>
    <row r="43979">
      <c r="N43979" s="28"/>
      <c r="O43979" s="28"/>
      <c r="U43979" s="28"/>
    </row>
    <row r="43980">
      <c r="N43980" s="28"/>
      <c r="O43980" s="28"/>
      <c r="U43980" s="28"/>
    </row>
    <row r="43981">
      <c r="N43981" s="28"/>
      <c r="O43981" s="28"/>
      <c r="U43981" s="28"/>
    </row>
    <row r="43982">
      <c r="N43982" s="28"/>
      <c r="O43982" s="28"/>
      <c r="U43982" s="28"/>
    </row>
    <row r="43983">
      <c r="N43983" s="28"/>
      <c r="O43983" s="28"/>
      <c r="U43983" s="28"/>
    </row>
    <row r="43984">
      <c r="N43984" s="28"/>
      <c r="O43984" s="28"/>
      <c r="U43984" s="28"/>
    </row>
    <row r="43985">
      <c r="N43985" s="28"/>
      <c r="O43985" s="28"/>
      <c r="U43985" s="28"/>
    </row>
    <row r="43986">
      <c r="N43986" s="28"/>
      <c r="O43986" s="28"/>
      <c r="U43986" s="28"/>
    </row>
    <row r="43987">
      <c r="N43987" s="28"/>
      <c r="O43987" s="28"/>
      <c r="U43987" s="28"/>
    </row>
    <row r="43988">
      <c r="N43988" s="28"/>
      <c r="O43988" s="28"/>
      <c r="U43988" s="28"/>
    </row>
    <row r="43989">
      <c r="N43989" s="28"/>
      <c r="O43989" s="28"/>
      <c r="U43989" s="28"/>
    </row>
    <row r="43990">
      <c r="N43990" s="28"/>
      <c r="O43990" s="28"/>
      <c r="U43990" s="28"/>
    </row>
    <row r="43991">
      <c r="N43991" s="28"/>
      <c r="O43991" s="28"/>
      <c r="U43991" s="28"/>
    </row>
    <row r="43992">
      <c r="N43992" s="28"/>
      <c r="O43992" s="28"/>
      <c r="U43992" s="28"/>
    </row>
    <row r="43993">
      <c r="N43993" s="28"/>
      <c r="O43993" s="28"/>
      <c r="U43993" s="28"/>
    </row>
    <row r="43994">
      <c r="N43994" s="28"/>
      <c r="O43994" s="28"/>
      <c r="U43994" s="28"/>
    </row>
    <row r="43995">
      <c r="N43995" s="28"/>
      <c r="O43995" s="28"/>
      <c r="U43995" s="28"/>
    </row>
    <row r="43996">
      <c r="N43996" s="28"/>
      <c r="O43996" s="28"/>
      <c r="U43996" s="28"/>
    </row>
    <row r="43997">
      <c r="N43997" s="28"/>
      <c r="O43997" s="28"/>
      <c r="U43997" s="28"/>
    </row>
    <row r="43998">
      <c r="N43998" s="28"/>
      <c r="O43998" s="28"/>
      <c r="U43998" s="28"/>
    </row>
    <row r="43999">
      <c r="N43999" s="28"/>
      <c r="O43999" s="28"/>
      <c r="U43999" s="28"/>
    </row>
    <row r="44000">
      <c r="N44000" s="28"/>
      <c r="O44000" s="28"/>
      <c r="U44000" s="28"/>
    </row>
    <row r="44001">
      <c r="N44001" s="28"/>
      <c r="O44001" s="28"/>
      <c r="U44001" s="28"/>
    </row>
    <row r="44002">
      <c r="N44002" s="28"/>
      <c r="O44002" s="28"/>
      <c r="U44002" s="28"/>
    </row>
    <row r="44003">
      <c r="N44003" s="28"/>
      <c r="O44003" s="28"/>
      <c r="U44003" s="28"/>
    </row>
    <row r="44004">
      <c r="N44004" s="28"/>
      <c r="O44004" s="28"/>
      <c r="U44004" s="28"/>
    </row>
    <row r="44005">
      <c r="N44005" s="28"/>
      <c r="O44005" s="28"/>
      <c r="U44005" s="28"/>
    </row>
    <row r="44006">
      <c r="N44006" s="28"/>
      <c r="O44006" s="28"/>
      <c r="U44006" s="28"/>
    </row>
    <row r="44007">
      <c r="N44007" s="28"/>
      <c r="O44007" s="28"/>
      <c r="U44007" s="28"/>
    </row>
    <row r="44008">
      <c r="N44008" s="28"/>
      <c r="O44008" s="28"/>
      <c r="U44008" s="28"/>
    </row>
    <row r="44009">
      <c r="N44009" s="28"/>
      <c r="O44009" s="28"/>
      <c r="U44009" s="28"/>
    </row>
    <row r="44010">
      <c r="N44010" s="28"/>
      <c r="O44010" s="28"/>
      <c r="U44010" s="28"/>
    </row>
    <row r="44011">
      <c r="N44011" s="28"/>
      <c r="O44011" s="28"/>
      <c r="U44011" s="28"/>
    </row>
    <row r="44012">
      <c r="N44012" s="28"/>
      <c r="O44012" s="28"/>
      <c r="U44012" s="28"/>
    </row>
    <row r="44013">
      <c r="N44013" s="28"/>
      <c r="O44013" s="28"/>
      <c r="U44013" s="28"/>
    </row>
    <row r="44014">
      <c r="N44014" s="28"/>
      <c r="O44014" s="28"/>
      <c r="U44014" s="28"/>
    </row>
    <row r="44015">
      <c r="N44015" s="28"/>
      <c r="O44015" s="28"/>
      <c r="U44015" s="28"/>
    </row>
    <row r="44016">
      <c r="N44016" s="28"/>
      <c r="O44016" s="28"/>
      <c r="U44016" s="28"/>
    </row>
    <row r="44017">
      <c r="N44017" s="28"/>
      <c r="O44017" s="28"/>
      <c r="U44017" s="28"/>
    </row>
    <row r="44018">
      <c r="N44018" s="28"/>
      <c r="O44018" s="28"/>
      <c r="U44018" s="28"/>
    </row>
    <row r="44019">
      <c r="N44019" s="28"/>
      <c r="O44019" s="28"/>
      <c r="U44019" s="28"/>
    </row>
    <row r="44020">
      <c r="N44020" s="28"/>
      <c r="O44020" s="28"/>
      <c r="U44020" s="28"/>
    </row>
    <row r="44021">
      <c r="N44021" s="28"/>
      <c r="O44021" s="28"/>
      <c r="U44021" s="28"/>
    </row>
    <row r="44022">
      <c r="N44022" s="28"/>
      <c r="O44022" s="28"/>
      <c r="U44022" s="28"/>
    </row>
    <row r="44023">
      <c r="N44023" s="28"/>
      <c r="O44023" s="28"/>
      <c r="U44023" s="28"/>
    </row>
    <row r="44024">
      <c r="N44024" s="28"/>
      <c r="O44024" s="28"/>
      <c r="U44024" s="28"/>
    </row>
    <row r="44025">
      <c r="N44025" s="28"/>
      <c r="O44025" s="28"/>
      <c r="U44025" s="28"/>
    </row>
    <row r="44026">
      <c r="N44026" s="28"/>
      <c r="O44026" s="28"/>
      <c r="U44026" s="28"/>
    </row>
    <row r="44027">
      <c r="N44027" s="28"/>
      <c r="O44027" s="28"/>
      <c r="U44027" s="28"/>
    </row>
    <row r="44028">
      <c r="N44028" s="28"/>
      <c r="O44028" s="28"/>
      <c r="U44028" s="28"/>
    </row>
    <row r="44029">
      <c r="N44029" s="28"/>
      <c r="O44029" s="28"/>
      <c r="U44029" s="28"/>
    </row>
    <row r="44030">
      <c r="N44030" s="28"/>
      <c r="O44030" s="28"/>
      <c r="U44030" s="28"/>
    </row>
    <row r="44031">
      <c r="N44031" s="28"/>
      <c r="O44031" s="28"/>
      <c r="U44031" s="28"/>
    </row>
    <row r="44032">
      <c r="N44032" s="28"/>
      <c r="O44032" s="28"/>
      <c r="U44032" s="28"/>
    </row>
    <row r="44033">
      <c r="N44033" s="28"/>
      <c r="O44033" s="28"/>
      <c r="U44033" s="28"/>
    </row>
    <row r="44034">
      <c r="N44034" s="28"/>
      <c r="O44034" s="28"/>
      <c r="U44034" s="28"/>
    </row>
    <row r="44035">
      <c r="N44035" s="28"/>
      <c r="O44035" s="28"/>
      <c r="U44035" s="28"/>
    </row>
    <row r="44036">
      <c r="N44036" s="28"/>
      <c r="O44036" s="28"/>
      <c r="U44036" s="28"/>
    </row>
    <row r="44037">
      <c r="N44037" s="28"/>
      <c r="O44037" s="28"/>
      <c r="U44037" s="28"/>
    </row>
    <row r="44038">
      <c r="N44038" s="28"/>
      <c r="O44038" s="28"/>
      <c r="U44038" s="28"/>
    </row>
    <row r="44039">
      <c r="N44039" s="28"/>
      <c r="O44039" s="28"/>
      <c r="U44039" s="28"/>
    </row>
    <row r="44040">
      <c r="N44040" s="28"/>
      <c r="O44040" s="28"/>
      <c r="U44040" s="28"/>
    </row>
    <row r="44041">
      <c r="N44041" s="28"/>
      <c r="O44041" s="28"/>
      <c r="U44041" s="28"/>
    </row>
    <row r="44042">
      <c r="N44042" s="28"/>
      <c r="O44042" s="28"/>
      <c r="U44042" s="28"/>
    </row>
    <row r="44043">
      <c r="N44043" s="28"/>
      <c r="O44043" s="28"/>
      <c r="U44043" s="28"/>
    </row>
    <row r="44044">
      <c r="N44044" s="28"/>
      <c r="O44044" s="28"/>
      <c r="U44044" s="28"/>
    </row>
    <row r="44045">
      <c r="N44045" s="28"/>
      <c r="O44045" s="28"/>
      <c r="U44045" s="28"/>
    </row>
    <row r="44046">
      <c r="N44046" s="28"/>
      <c r="O44046" s="28"/>
      <c r="U44046" s="28"/>
    </row>
    <row r="44047">
      <c r="N44047" s="28"/>
      <c r="O44047" s="28"/>
      <c r="U44047" s="28"/>
    </row>
    <row r="44048">
      <c r="N44048" s="28"/>
      <c r="O44048" s="28"/>
      <c r="U44048" s="28"/>
    </row>
    <row r="44049">
      <c r="N44049" s="28"/>
      <c r="O44049" s="28"/>
      <c r="U44049" s="28"/>
    </row>
    <row r="44050">
      <c r="N44050" s="28"/>
      <c r="O44050" s="28"/>
      <c r="U44050" s="28"/>
    </row>
    <row r="44051">
      <c r="N44051" s="28"/>
      <c r="O44051" s="28"/>
      <c r="U44051" s="28"/>
    </row>
    <row r="44052">
      <c r="N44052" s="28"/>
      <c r="O44052" s="28"/>
      <c r="U44052" s="28"/>
    </row>
    <row r="44053">
      <c r="N44053" s="28"/>
      <c r="O44053" s="28"/>
      <c r="U44053" s="28"/>
    </row>
    <row r="44054">
      <c r="N44054" s="28"/>
      <c r="O44054" s="28"/>
      <c r="U44054" s="28"/>
    </row>
    <row r="44055">
      <c r="N44055" s="28"/>
      <c r="O44055" s="28"/>
      <c r="U44055" s="28"/>
    </row>
    <row r="44056">
      <c r="N44056" s="28"/>
      <c r="O44056" s="28"/>
      <c r="U44056" s="28"/>
    </row>
    <row r="44057">
      <c r="N44057" s="28"/>
      <c r="O44057" s="28"/>
      <c r="U44057" s="28"/>
    </row>
    <row r="44058">
      <c r="N44058" s="28"/>
      <c r="O44058" s="28"/>
      <c r="U44058" s="28"/>
    </row>
    <row r="44059">
      <c r="N44059" s="28"/>
      <c r="O44059" s="28"/>
      <c r="U44059" s="28"/>
    </row>
    <row r="44060">
      <c r="N44060" s="28"/>
      <c r="O44060" s="28"/>
      <c r="U44060" s="28"/>
    </row>
    <row r="44061">
      <c r="N44061" s="28"/>
      <c r="O44061" s="28"/>
      <c r="U44061" s="28"/>
    </row>
    <row r="44062">
      <c r="N44062" s="28"/>
      <c r="O44062" s="28"/>
      <c r="U44062" s="28"/>
    </row>
    <row r="44063">
      <c r="N44063" s="28"/>
      <c r="O44063" s="28"/>
      <c r="U44063" s="28"/>
    </row>
    <row r="44064">
      <c r="N44064" s="28"/>
      <c r="O44064" s="28"/>
      <c r="U44064" s="28"/>
    </row>
    <row r="44065">
      <c r="N44065" s="28"/>
      <c r="O44065" s="28"/>
      <c r="U44065" s="28"/>
    </row>
    <row r="44066">
      <c r="N44066" s="28"/>
      <c r="O44066" s="28"/>
      <c r="U44066" s="28"/>
    </row>
    <row r="44067">
      <c r="N44067" s="28"/>
      <c r="O44067" s="28"/>
      <c r="U44067" s="28"/>
    </row>
    <row r="44068">
      <c r="N44068" s="28"/>
      <c r="O44068" s="28"/>
      <c r="U44068" s="28"/>
    </row>
    <row r="44069">
      <c r="N44069" s="28"/>
      <c r="O44069" s="28"/>
      <c r="U44069" s="28"/>
    </row>
    <row r="44070">
      <c r="N44070" s="28"/>
      <c r="O44070" s="28"/>
      <c r="U44070" s="28"/>
    </row>
    <row r="44071">
      <c r="N44071" s="28"/>
      <c r="O44071" s="28"/>
      <c r="U44071" s="28"/>
    </row>
    <row r="44072">
      <c r="N44072" s="28"/>
      <c r="O44072" s="28"/>
      <c r="U44072" s="28"/>
    </row>
    <row r="44073">
      <c r="N44073" s="28"/>
      <c r="O44073" s="28"/>
      <c r="U44073" s="28"/>
    </row>
    <row r="44074">
      <c r="N44074" s="28"/>
      <c r="O44074" s="28"/>
      <c r="U44074" s="28"/>
    </row>
    <row r="44075">
      <c r="N44075" s="28"/>
      <c r="O44075" s="28"/>
      <c r="U44075" s="28"/>
    </row>
    <row r="44076">
      <c r="N44076" s="28"/>
      <c r="O44076" s="28"/>
      <c r="U44076" s="28"/>
    </row>
    <row r="44077">
      <c r="N44077" s="28"/>
      <c r="O44077" s="28"/>
      <c r="U44077" s="28"/>
    </row>
    <row r="44078">
      <c r="N44078" s="28"/>
      <c r="O44078" s="28"/>
      <c r="U44078" s="28"/>
    </row>
    <row r="44079">
      <c r="N44079" s="28"/>
      <c r="O44079" s="28"/>
      <c r="U44079" s="28"/>
    </row>
    <row r="44080">
      <c r="N44080" s="28"/>
      <c r="O44080" s="28"/>
      <c r="U44080" s="28"/>
    </row>
    <row r="44081">
      <c r="N44081" s="28"/>
      <c r="O44081" s="28"/>
      <c r="U44081" s="28"/>
    </row>
    <row r="44082">
      <c r="N44082" s="28"/>
      <c r="O44082" s="28"/>
      <c r="U44082" s="28"/>
    </row>
    <row r="44083">
      <c r="N44083" s="28"/>
      <c r="O44083" s="28"/>
      <c r="U44083" s="28"/>
    </row>
    <row r="44084">
      <c r="N44084" s="28"/>
      <c r="O44084" s="28"/>
      <c r="U44084" s="28"/>
    </row>
    <row r="44085">
      <c r="N44085" s="28"/>
      <c r="O44085" s="28"/>
      <c r="U44085" s="28"/>
    </row>
    <row r="44086">
      <c r="N44086" s="28"/>
      <c r="O44086" s="28"/>
      <c r="U44086" s="28"/>
    </row>
    <row r="44087">
      <c r="N44087" s="28"/>
      <c r="O44087" s="28"/>
      <c r="U44087" s="28"/>
    </row>
    <row r="44088">
      <c r="N44088" s="28"/>
      <c r="O44088" s="28"/>
      <c r="U44088" s="28"/>
    </row>
    <row r="44089">
      <c r="N44089" s="28"/>
      <c r="O44089" s="28"/>
      <c r="U44089" s="28"/>
    </row>
    <row r="44090">
      <c r="N44090" s="28"/>
      <c r="O44090" s="28"/>
      <c r="U44090" s="28"/>
    </row>
    <row r="44091">
      <c r="N44091" s="28"/>
      <c r="O44091" s="28"/>
      <c r="U44091" s="28"/>
    </row>
    <row r="44092">
      <c r="N44092" s="28"/>
      <c r="O44092" s="28"/>
      <c r="U44092" s="28"/>
    </row>
    <row r="44093">
      <c r="N44093" s="28"/>
      <c r="O44093" s="28"/>
      <c r="U44093" s="28"/>
    </row>
    <row r="44094">
      <c r="N44094" s="28"/>
      <c r="O44094" s="28"/>
      <c r="U44094" s="28"/>
    </row>
    <row r="44095">
      <c r="N44095" s="28"/>
      <c r="O44095" s="28"/>
      <c r="U44095" s="28"/>
    </row>
    <row r="44096">
      <c r="N44096" s="28"/>
      <c r="O44096" s="28"/>
      <c r="U44096" s="28"/>
    </row>
    <row r="44097">
      <c r="N44097" s="28"/>
      <c r="O44097" s="28"/>
      <c r="U44097" s="28"/>
    </row>
    <row r="44098">
      <c r="N44098" s="28"/>
      <c r="O44098" s="28"/>
      <c r="U44098" s="28"/>
    </row>
    <row r="44099">
      <c r="N44099" s="28"/>
      <c r="O44099" s="28"/>
      <c r="U44099" s="28"/>
    </row>
    <row r="44100">
      <c r="N44100" s="28"/>
      <c r="O44100" s="28"/>
      <c r="U44100" s="28"/>
    </row>
    <row r="44101">
      <c r="N44101" s="28"/>
      <c r="O44101" s="28"/>
      <c r="U44101" s="28"/>
    </row>
    <row r="44102">
      <c r="N44102" s="28"/>
      <c r="O44102" s="28"/>
      <c r="U44102" s="28"/>
    </row>
    <row r="44103">
      <c r="N44103" s="28"/>
      <c r="O44103" s="28"/>
      <c r="U44103" s="28"/>
    </row>
    <row r="44104">
      <c r="N44104" s="28"/>
      <c r="O44104" s="28"/>
      <c r="U44104" s="28"/>
    </row>
    <row r="44105">
      <c r="N44105" s="28"/>
      <c r="O44105" s="28"/>
      <c r="U44105" s="28"/>
    </row>
    <row r="44106">
      <c r="N44106" s="28"/>
      <c r="O44106" s="28"/>
      <c r="U44106" s="28"/>
    </row>
    <row r="44107">
      <c r="N44107" s="28"/>
      <c r="O44107" s="28"/>
      <c r="U44107" s="28"/>
    </row>
    <row r="44108">
      <c r="N44108" s="28"/>
      <c r="O44108" s="28"/>
      <c r="U44108" s="28"/>
    </row>
    <row r="44109">
      <c r="N44109" s="28"/>
      <c r="O44109" s="28"/>
      <c r="U44109" s="28"/>
    </row>
    <row r="44110">
      <c r="N44110" s="28"/>
      <c r="O44110" s="28"/>
      <c r="U44110" s="28"/>
    </row>
    <row r="44111">
      <c r="N44111" s="28"/>
      <c r="O44111" s="28"/>
      <c r="U44111" s="28"/>
    </row>
    <row r="44112">
      <c r="N44112" s="28"/>
      <c r="O44112" s="28"/>
      <c r="U44112" s="28"/>
    </row>
    <row r="44113">
      <c r="N44113" s="28"/>
      <c r="O44113" s="28"/>
      <c r="U44113" s="28"/>
    </row>
    <row r="44114">
      <c r="N44114" s="28"/>
      <c r="O44114" s="28"/>
      <c r="U44114" s="28"/>
    </row>
    <row r="44115">
      <c r="N44115" s="28"/>
      <c r="O44115" s="28"/>
      <c r="U44115" s="28"/>
    </row>
    <row r="44116">
      <c r="N44116" s="28"/>
      <c r="O44116" s="28"/>
      <c r="U44116" s="28"/>
    </row>
    <row r="44117">
      <c r="N44117" s="28"/>
      <c r="O44117" s="28"/>
      <c r="U44117" s="28"/>
    </row>
    <row r="44118">
      <c r="N44118" s="28"/>
      <c r="O44118" s="28"/>
      <c r="U44118" s="28"/>
    </row>
    <row r="44119">
      <c r="N44119" s="28"/>
      <c r="O44119" s="28"/>
      <c r="U44119" s="28"/>
    </row>
    <row r="44120">
      <c r="N44120" s="28"/>
      <c r="O44120" s="28"/>
      <c r="U44120" s="28"/>
    </row>
    <row r="44121">
      <c r="N44121" s="28"/>
      <c r="O44121" s="28"/>
      <c r="U44121" s="28"/>
    </row>
    <row r="44122">
      <c r="N44122" s="28"/>
      <c r="O44122" s="28"/>
      <c r="U44122" s="28"/>
    </row>
    <row r="44123">
      <c r="N44123" s="28"/>
      <c r="O44123" s="28"/>
      <c r="U44123" s="28"/>
    </row>
    <row r="44124">
      <c r="N44124" s="28"/>
      <c r="O44124" s="28"/>
      <c r="U44124" s="28"/>
    </row>
    <row r="44125">
      <c r="N44125" s="28"/>
      <c r="O44125" s="28"/>
      <c r="U44125" s="28"/>
    </row>
    <row r="44126">
      <c r="N44126" s="28"/>
      <c r="O44126" s="28"/>
      <c r="U44126" s="28"/>
    </row>
    <row r="44127">
      <c r="N44127" s="28"/>
      <c r="O44127" s="28"/>
      <c r="U44127" s="28"/>
    </row>
    <row r="44128">
      <c r="N44128" s="28"/>
      <c r="O44128" s="28"/>
      <c r="U44128" s="28"/>
    </row>
    <row r="44129">
      <c r="N44129" s="28"/>
      <c r="O44129" s="28"/>
      <c r="U44129" s="28"/>
    </row>
    <row r="44130">
      <c r="N44130" s="28"/>
      <c r="O44130" s="28"/>
      <c r="U44130" s="28"/>
    </row>
    <row r="44131">
      <c r="N44131" s="28"/>
      <c r="O44131" s="28"/>
      <c r="U44131" s="28"/>
    </row>
    <row r="44132">
      <c r="N44132" s="28"/>
      <c r="O44132" s="28"/>
      <c r="U44132" s="28"/>
    </row>
    <row r="44133">
      <c r="N44133" s="28"/>
      <c r="O44133" s="28"/>
      <c r="U44133" s="28"/>
    </row>
    <row r="44134">
      <c r="N44134" s="28"/>
      <c r="O44134" s="28"/>
      <c r="U44134" s="28"/>
    </row>
    <row r="44135">
      <c r="N44135" s="28"/>
      <c r="O44135" s="28"/>
      <c r="U44135" s="28"/>
    </row>
    <row r="44136">
      <c r="N44136" s="28"/>
      <c r="O44136" s="28"/>
      <c r="U44136" s="28"/>
    </row>
    <row r="44137">
      <c r="N44137" s="28"/>
      <c r="O44137" s="28"/>
      <c r="U44137" s="28"/>
    </row>
    <row r="44138">
      <c r="N44138" s="28"/>
      <c r="O44138" s="28"/>
      <c r="U44138" s="28"/>
    </row>
    <row r="44139">
      <c r="N44139" s="28"/>
      <c r="O44139" s="28"/>
      <c r="U44139" s="28"/>
    </row>
    <row r="44140">
      <c r="N44140" s="28"/>
      <c r="O44140" s="28"/>
      <c r="U44140" s="28"/>
    </row>
    <row r="44141">
      <c r="N44141" s="28"/>
      <c r="O44141" s="28"/>
      <c r="U44141" s="28"/>
    </row>
    <row r="44142">
      <c r="N44142" s="28"/>
      <c r="O44142" s="28"/>
      <c r="U44142" s="28"/>
    </row>
    <row r="44143">
      <c r="N44143" s="28"/>
      <c r="O44143" s="28"/>
      <c r="U44143" s="28"/>
    </row>
    <row r="44144">
      <c r="N44144" s="28"/>
      <c r="O44144" s="28"/>
      <c r="U44144" s="28"/>
    </row>
    <row r="44145">
      <c r="N44145" s="28"/>
      <c r="O44145" s="28"/>
      <c r="U44145" s="28"/>
    </row>
    <row r="44146">
      <c r="N44146" s="28"/>
      <c r="O44146" s="28"/>
      <c r="U44146" s="28"/>
    </row>
    <row r="44147">
      <c r="N44147" s="28"/>
      <c r="O44147" s="28"/>
      <c r="U44147" s="28"/>
    </row>
    <row r="44148">
      <c r="N44148" s="28"/>
      <c r="O44148" s="28"/>
      <c r="U44148" s="28"/>
    </row>
    <row r="44149">
      <c r="N44149" s="28"/>
      <c r="O44149" s="28"/>
      <c r="U44149" s="28"/>
    </row>
    <row r="44150">
      <c r="N44150" s="28"/>
      <c r="O44150" s="28"/>
      <c r="U44150" s="28"/>
    </row>
    <row r="44151">
      <c r="N44151" s="28"/>
      <c r="O44151" s="28"/>
      <c r="U44151" s="28"/>
    </row>
    <row r="44152">
      <c r="N44152" s="28"/>
      <c r="O44152" s="28"/>
      <c r="U44152" s="28"/>
    </row>
    <row r="44153">
      <c r="N44153" s="28"/>
      <c r="O44153" s="28"/>
      <c r="U44153" s="28"/>
    </row>
    <row r="44154">
      <c r="N44154" s="28"/>
      <c r="O44154" s="28"/>
      <c r="U44154" s="28"/>
    </row>
    <row r="44155">
      <c r="N44155" s="28"/>
      <c r="O44155" s="28"/>
      <c r="U44155" s="28"/>
    </row>
    <row r="44156">
      <c r="N44156" s="28"/>
      <c r="O44156" s="28"/>
      <c r="U44156" s="28"/>
    </row>
    <row r="44157">
      <c r="N44157" s="28"/>
      <c r="O44157" s="28"/>
      <c r="U44157" s="28"/>
    </row>
    <row r="44158">
      <c r="N44158" s="28"/>
      <c r="O44158" s="28"/>
      <c r="U44158" s="28"/>
    </row>
    <row r="44159">
      <c r="N44159" s="28"/>
      <c r="O44159" s="28"/>
      <c r="U44159" s="28"/>
    </row>
    <row r="44160">
      <c r="N44160" s="28"/>
      <c r="O44160" s="28"/>
      <c r="U44160" s="28"/>
    </row>
    <row r="44161">
      <c r="N44161" s="28"/>
      <c r="O44161" s="28"/>
      <c r="U44161" s="28"/>
    </row>
    <row r="44162">
      <c r="N44162" s="28"/>
      <c r="O44162" s="28"/>
      <c r="U44162" s="28"/>
    </row>
    <row r="44163">
      <c r="N44163" s="28"/>
      <c r="O44163" s="28"/>
      <c r="U44163" s="28"/>
    </row>
    <row r="44164">
      <c r="N44164" s="28"/>
      <c r="O44164" s="28"/>
      <c r="U44164" s="28"/>
    </row>
    <row r="44165">
      <c r="N44165" s="28"/>
      <c r="O44165" s="28"/>
      <c r="U44165" s="28"/>
    </row>
    <row r="44166">
      <c r="N44166" s="28"/>
      <c r="O44166" s="28"/>
      <c r="U44166" s="28"/>
    </row>
    <row r="44167">
      <c r="N44167" s="28"/>
      <c r="O44167" s="28"/>
      <c r="U44167" s="28"/>
    </row>
    <row r="44168">
      <c r="N44168" s="28"/>
      <c r="O44168" s="28"/>
      <c r="U44168" s="28"/>
    </row>
    <row r="44169">
      <c r="N44169" s="28"/>
      <c r="O44169" s="28"/>
      <c r="U44169" s="28"/>
    </row>
    <row r="44170">
      <c r="N44170" s="28"/>
      <c r="O44170" s="28"/>
      <c r="U44170" s="28"/>
    </row>
    <row r="44171">
      <c r="N44171" s="28"/>
      <c r="O44171" s="28"/>
      <c r="U44171" s="28"/>
    </row>
    <row r="44172">
      <c r="N44172" s="28"/>
      <c r="O44172" s="28"/>
      <c r="U44172" s="28"/>
    </row>
    <row r="44173">
      <c r="N44173" s="28"/>
      <c r="O44173" s="28"/>
      <c r="U44173" s="28"/>
    </row>
    <row r="44174">
      <c r="N44174" s="28"/>
      <c r="O44174" s="28"/>
      <c r="U44174" s="28"/>
    </row>
    <row r="44175">
      <c r="N44175" s="28"/>
      <c r="O44175" s="28"/>
      <c r="U44175" s="28"/>
    </row>
    <row r="44176">
      <c r="N44176" s="28"/>
      <c r="O44176" s="28"/>
      <c r="U44176" s="28"/>
    </row>
    <row r="44177">
      <c r="N44177" s="28"/>
      <c r="O44177" s="28"/>
      <c r="U44177" s="28"/>
    </row>
    <row r="44178">
      <c r="N44178" s="28"/>
      <c r="O44178" s="28"/>
      <c r="U44178" s="28"/>
    </row>
    <row r="44179">
      <c r="N44179" s="28"/>
      <c r="O44179" s="28"/>
      <c r="U44179" s="28"/>
    </row>
    <row r="44180">
      <c r="N44180" s="28"/>
      <c r="O44180" s="28"/>
      <c r="U44180" s="28"/>
    </row>
    <row r="44181">
      <c r="N44181" s="28"/>
      <c r="O44181" s="28"/>
      <c r="U44181" s="28"/>
    </row>
    <row r="44182">
      <c r="N44182" s="28"/>
      <c r="O44182" s="28"/>
      <c r="U44182" s="28"/>
    </row>
    <row r="44183">
      <c r="N44183" s="28"/>
      <c r="O44183" s="28"/>
      <c r="U44183" s="28"/>
    </row>
    <row r="44184">
      <c r="N44184" s="28"/>
      <c r="O44184" s="28"/>
      <c r="U44184" s="28"/>
    </row>
    <row r="44185">
      <c r="N44185" s="28"/>
      <c r="O44185" s="28"/>
      <c r="U44185" s="28"/>
    </row>
    <row r="44186">
      <c r="N44186" s="28"/>
      <c r="O44186" s="28"/>
      <c r="U44186" s="28"/>
    </row>
    <row r="44187">
      <c r="N44187" s="28"/>
      <c r="O44187" s="28"/>
      <c r="U44187" s="28"/>
    </row>
    <row r="44188">
      <c r="N44188" s="28"/>
      <c r="O44188" s="28"/>
      <c r="U44188" s="28"/>
    </row>
    <row r="44189">
      <c r="N44189" s="28"/>
      <c r="O44189" s="28"/>
      <c r="U44189" s="28"/>
    </row>
    <row r="44190">
      <c r="N44190" s="28"/>
      <c r="O44190" s="28"/>
      <c r="U44190" s="28"/>
    </row>
    <row r="44191">
      <c r="N44191" s="28"/>
      <c r="O44191" s="28"/>
      <c r="U44191" s="28"/>
    </row>
    <row r="44192">
      <c r="N44192" s="28"/>
      <c r="O44192" s="28"/>
      <c r="U44192" s="28"/>
    </row>
    <row r="44193">
      <c r="N44193" s="28"/>
      <c r="O44193" s="28"/>
      <c r="U44193" s="28"/>
    </row>
    <row r="44194">
      <c r="N44194" s="28"/>
      <c r="O44194" s="28"/>
      <c r="U44194" s="28"/>
    </row>
    <row r="44195">
      <c r="N44195" s="28"/>
      <c r="O44195" s="28"/>
      <c r="U44195" s="28"/>
    </row>
    <row r="44196">
      <c r="N44196" s="28"/>
      <c r="O44196" s="28"/>
      <c r="U44196" s="28"/>
    </row>
    <row r="44197">
      <c r="N44197" s="28"/>
      <c r="O44197" s="28"/>
      <c r="U44197" s="28"/>
    </row>
    <row r="44198">
      <c r="N44198" s="28"/>
      <c r="O44198" s="28"/>
      <c r="U44198" s="28"/>
    </row>
    <row r="44199">
      <c r="N44199" s="28"/>
      <c r="O44199" s="28"/>
      <c r="U44199" s="28"/>
    </row>
    <row r="44200">
      <c r="N44200" s="28"/>
      <c r="O44200" s="28"/>
      <c r="U44200" s="28"/>
    </row>
    <row r="44201">
      <c r="N44201" s="28"/>
      <c r="O44201" s="28"/>
      <c r="U44201" s="28"/>
    </row>
    <row r="44202">
      <c r="N44202" s="28"/>
      <c r="O44202" s="28"/>
      <c r="U44202" s="28"/>
    </row>
    <row r="44203">
      <c r="N44203" s="28"/>
      <c r="O44203" s="28"/>
      <c r="U44203" s="28"/>
    </row>
    <row r="44204">
      <c r="N44204" s="28"/>
      <c r="O44204" s="28"/>
      <c r="U44204" s="28"/>
    </row>
    <row r="44205">
      <c r="N44205" s="28"/>
      <c r="O44205" s="28"/>
      <c r="U44205" s="28"/>
    </row>
    <row r="44206">
      <c r="N44206" s="28"/>
      <c r="O44206" s="28"/>
      <c r="U44206" s="28"/>
    </row>
    <row r="44207">
      <c r="N44207" s="28"/>
      <c r="O44207" s="28"/>
      <c r="U44207" s="28"/>
    </row>
    <row r="44208">
      <c r="N44208" s="28"/>
      <c r="O44208" s="28"/>
      <c r="U44208" s="28"/>
    </row>
    <row r="44209">
      <c r="N44209" s="28"/>
      <c r="O44209" s="28"/>
      <c r="U44209" s="28"/>
    </row>
    <row r="44210">
      <c r="N44210" s="28"/>
      <c r="O44210" s="28"/>
      <c r="U44210" s="28"/>
    </row>
    <row r="44211">
      <c r="N44211" s="28"/>
      <c r="O44211" s="28"/>
      <c r="U44211" s="28"/>
    </row>
    <row r="44212">
      <c r="N44212" s="28"/>
      <c r="O44212" s="28"/>
      <c r="U44212" s="28"/>
    </row>
    <row r="44213">
      <c r="N44213" s="28"/>
      <c r="O44213" s="28"/>
      <c r="U44213" s="28"/>
    </row>
    <row r="44214">
      <c r="N44214" s="28"/>
      <c r="O44214" s="28"/>
      <c r="U44214" s="28"/>
    </row>
    <row r="44215">
      <c r="N44215" s="28"/>
      <c r="O44215" s="28"/>
      <c r="U44215" s="28"/>
    </row>
    <row r="44216">
      <c r="N44216" s="28"/>
      <c r="O44216" s="28"/>
      <c r="U44216" s="28"/>
    </row>
    <row r="44217">
      <c r="N44217" s="28"/>
      <c r="O44217" s="28"/>
      <c r="U44217" s="28"/>
    </row>
    <row r="44218">
      <c r="N44218" s="28"/>
      <c r="O44218" s="28"/>
      <c r="U44218" s="28"/>
    </row>
    <row r="44219">
      <c r="N44219" s="28"/>
      <c r="O44219" s="28"/>
      <c r="U44219" s="28"/>
    </row>
    <row r="44220">
      <c r="N44220" s="28"/>
      <c r="O44220" s="28"/>
      <c r="U44220" s="28"/>
    </row>
    <row r="44221">
      <c r="N44221" s="28"/>
      <c r="O44221" s="28"/>
      <c r="U44221" s="28"/>
    </row>
    <row r="44222">
      <c r="N44222" s="28"/>
      <c r="O44222" s="28"/>
      <c r="U44222" s="28"/>
    </row>
    <row r="44223">
      <c r="N44223" s="28"/>
      <c r="O44223" s="28"/>
      <c r="U44223" s="28"/>
    </row>
    <row r="44224">
      <c r="N44224" s="28"/>
      <c r="O44224" s="28"/>
      <c r="U44224" s="28"/>
    </row>
    <row r="44225">
      <c r="N44225" s="28"/>
      <c r="O44225" s="28"/>
      <c r="U44225" s="28"/>
    </row>
    <row r="44226">
      <c r="N44226" s="28"/>
      <c r="O44226" s="28"/>
      <c r="U44226" s="28"/>
    </row>
    <row r="44227">
      <c r="N44227" s="28"/>
      <c r="O44227" s="28"/>
      <c r="U44227" s="28"/>
    </row>
    <row r="44228">
      <c r="N44228" s="28"/>
      <c r="O44228" s="28"/>
      <c r="U44228" s="28"/>
    </row>
    <row r="44229">
      <c r="N44229" s="28"/>
      <c r="O44229" s="28"/>
      <c r="U44229" s="28"/>
    </row>
    <row r="44230">
      <c r="N44230" s="28"/>
      <c r="O44230" s="28"/>
      <c r="U44230" s="28"/>
    </row>
    <row r="44231">
      <c r="N44231" s="28"/>
      <c r="O44231" s="28"/>
      <c r="U44231" s="28"/>
    </row>
    <row r="44232">
      <c r="N44232" s="28"/>
      <c r="O44232" s="28"/>
      <c r="U44232" s="28"/>
    </row>
    <row r="44233">
      <c r="N44233" s="28"/>
      <c r="O44233" s="28"/>
      <c r="U44233" s="28"/>
    </row>
    <row r="44234">
      <c r="N44234" s="28"/>
      <c r="O44234" s="28"/>
      <c r="U44234" s="28"/>
    </row>
    <row r="44235">
      <c r="N44235" s="28"/>
      <c r="O44235" s="28"/>
      <c r="U44235" s="28"/>
    </row>
    <row r="44236">
      <c r="N44236" s="28"/>
      <c r="O44236" s="28"/>
      <c r="U44236" s="28"/>
    </row>
    <row r="44237">
      <c r="N44237" s="28"/>
      <c r="O44237" s="28"/>
      <c r="U44237" s="28"/>
    </row>
    <row r="44238">
      <c r="N44238" s="28"/>
      <c r="O44238" s="28"/>
      <c r="U44238" s="28"/>
    </row>
    <row r="44239">
      <c r="N44239" s="28"/>
      <c r="O44239" s="28"/>
      <c r="U44239" s="28"/>
    </row>
    <row r="44240">
      <c r="N44240" s="28"/>
      <c r="O44240" s="28"/>
      <c r="U44240" s="28"/>
    </row>
    <row r="44241">
      <c r="N44241" s="28"/>
      <c r="O44241" s="28"/>
      <c r="U44241" s="28"/>
    </row>
    <row r="44242">
      <c r="N44242" s="28"/>
      <c r="O44242" s="28"/>
      <c r="U44242" s="28"/>
    </row>
    <row r="44243">
      <c r="N44243" s="28"/>
      <c r="O44243" s="28"/>
      <c r="U44243" s="28"/>
    </row>
    <row r="44244">
      <c r="N44244" s="28"/>
      <c r="O44244" s="28"/>
      <c r="U44244" s="28"/>
    </row>
    <row r="44245">
      <c r="N44245" s="28"/>
      <c r="O44245" s="28"/>
      <c r="U44245" s="28"/>
    </row>
    <row r="44246">
      <c r="N44246" s="28"/>
      <c r="O44246" s="28"/>
      <c r="U44246" s="28"/>
    </row>
    <row r="44247">
      <c r="N44247" s="28"/>
      <c r="O44247" s="28"/>
      <c r="U44247" s="28"/>
    </row>
    <row r="44248">
      <c r="N44248" s="28"/>
      <c r="O44248" s="28"/>
      <c r="U44248" s="28"/>
    </row>
    <row r="44249">
      <c r="N44249" s="28"/>
      <c r="O44249" s="28"/>
      <c r="U44249" s="28"/>
    </row>
    <row r="44250">
      <c r="N44250" s="28"/>
      <c r="O44250" s="28"/>
      <c r="U44250" s="28"/>
    </row>
    <row r="44251">
      <c r="N44251" s="28"/>
      <c r="O44251" s="28"/>
      <c r="U44251" s="28"/>
    </row>
    <row r="44252">
      <c r="N44252" s="28"/>
      <c r="O44252" s="28"/>
      <c r="U44252" s="28"/>
    </row>
    <row r="44253">
      <c r="N44253" s="28"/>
      <c r="O44253" s="28"/>
      <c r="U44253" s="28"/>
    </row>
    <row r="44254">
      <c r="N44254" s="28"/>
      <c r="O44254" s="28"/>
      <c r="U44254" s="28"/>
    </row>
    <row r="44255">
      <c r="N44255" s="28"/>
      <c r="O44255" s="28"/>
      <c r="U44255" s="28"/>
    </row>
    <row r="44256">
      <c r="N44256" s="28"/>
      <c r="O44256" s="28"/>
      <c r="U44256" s="28"/>
    </row>
    <row r="44257">
      <c r="N44257" s="28"/>
      <c r="O44257" s="28"/>
      <c r="U44257" s="28"/>
    </row>
    <row r="44258">
      <c r="N44258" s="28"/>
      <c r="O44258" s="28"/>
      <c r="U44258" s="28"/>
    </row>
    <row r="44259">
      <c r="N44259" s="28"/>
      <c r="O44259" s="28"/>
      <c r="U44259" s="28"/>
    </row>
    <row r="44260">
      <c r="N44260" s="28"/>
      <c r="O44260" s="28"/>
      <c r="U44260" s="28"/>
    </row>
    <row r="44261">
      <c r="N44261" s="28"/>
      <c r="O44261" s="28"/>
      <c r="U44261" s="28"/>
    </row>
    <row r="44262">
      <c r="N44262" s="28"/>
      <c r="O44262" s="28"/>
      <c r="U44262" s="28"/>
    </row>
    <row r="44263">
      <c r="N44263" s="28"/>
      <c r="O44263" s="28"/>
      <c r="U44263" s="28"/>
    </row>
    <row r="44264">
      <c r="N44264" s="28"/>
      <c r="O44264" s="28"/>
      <c r="U44264" s="28"/>
    </row>
    <row r="44265">
      <c r="N44265" s="28"/>
      <c r="O44265" s="28"/>
      <c r="U44265" s="28"/>
    </row>
    <row r="44266">
      <c r="N44266" s="28"/>
      <c r="O44266" s="28"/>
      <c r="U44266" s="28"/>
    </row>
    <row r="44267">
      <c r="N44267" s="28"/>
      <c r="O44267" s="28"/>
      <c r="U44267" s="28"/>
    </row>
    <row r="44268">
      <c r="N44268" s="28"/>
      <c r="O44268" s="28"/>
      <c r="U44268" s="28"/>
    </row>
    <row r="44269">
      <c r="N44269" s="28"/>
      <c r="O44269" s="28"/>
      <c r="U44269" s="28"/>
    </row>
    <row r="44270">
      <c r="N44270" s="28"/>
      <c r="O44270" s="28"/>
      <c r="U44270" s="28"/>
    </row>
    <row r="44271">
      <c r="N44271" s="28"/>
      <c r="O44271" s="28"/>
      <c r="U44271" s="28"/>
    </row>
    <row r="44272">
      <c r="N44272" s="28"/>
      <c r="O44272" s="28"/>
      <c r="U44272" s="28"/>
    </row>
    <row r="44273">
      <c r="N44273" s="28"/>
      <c r="O44273" s="28"/>
      <c r="U44273" s="28"/>
    </row>
    <row r="44274">
      <c r="N44274" s="28"/>
      <c r="O44274" s="28"/>
      <c r="U44274" s="28"/>
    </row>
    <row r="44275">
      <c r="N44275" s="28"/>
      <c r="O44275" s="28"/>
      <c r="U44275" s="28"/>
    </row>
    <row r="44276">
      <c r="N44276" s="28"/>
      <c r="O44276" s="28"/>
      <c r="U44276" s="28"/>
    </row>
    <row r="44277">
      <c r="N44277" s="28"/>
      <c r="O44277" s="28"/>
      <c r="U44277" s="28"/>
    </row>
    <row r="44278">
      <c r="N44278" s="28"/>
      <c r="O44278" s="28"/>
      <c r="U44278" s="28"/>
    </row>
    <row r="44279">
      <c r="N44279" s="28"/>
      <c r="O44279" s="28"/>
      <c r="U44279" s="28"/>
    </row>
    <row r="44280">
      <c r="N44280" s="28"/>
      <c r="O44280" s="28"/>
      <c r="U44280" s="28"/>
    </row>
    <row r="44281">
      <c r="N44281" s="28"/>
      <c r="O44281" s="28"/>
      <c r="U44281" s="28"/>
    </row>
    <row r="44282">
      <c r="N44282" s="28"/>
      <c r="O44282" s="28"/>
      <c r="U44282" s="28"/>
    </row>
    <row r="44283">
      <c r="N44283" s="28"/>
      <c r="O44283" s="28"/>
      <c r="U44283" s="28"/>
    </row>
    <row r="44284">
      <c r="N44284" s="28"/>
      <c r="O44284" s="28"/>
      <c r="U44284" s="28"/>
    </row>
    <row r="44285">
      <c r="N44285" s="28"/>
      <c r="O44285" s="28"/>
      <c r="U44285" s="28"/>
    </row>
    <row r="44286">
      <c r="N44286" s="28"/>
      <c r="O44286" s="28"/>
      <c r="U44286" s="28"/>
    </row>
    <row r="44287">
      <c r="N44287" s="28"/>
      <c r="O44287" s="28"/>
      <c r="U44287" s="28"/>
    </row>
    <row r="44288">
      <c r="N44288" s="28"/>
      <c r="O44288" s="28"/>
      <c r="U44288" s="28"/>
    </row>
    <row r="44289">
      <c r="N44289" s="28"/>
      <c r="O44289" s="28"/>
      <c r="U44289" s="28"/>
    </row>
    <row r="44290">
      <c r="N44290" s="28"/>
      <c r="O44290" s="28"/>
      <c r="U44290" s="28"/>
    </row>
    <row r="44291">
      <c r="N44291" s="28"/>
      <c r="O44291" s="28"/>
      <c r="U44291" s="28"/>
    </row>
    <row r="44292">
      <c r="N44292" s="28"/>
      <c r="O44292" s="28"/>
      <c r="U44292" s="28"/>
    </row>
    <row r="44293">
      <c r="N44293" s="28"/>
      <c r="O44293" s="28"/>
      <c r="U44293" s="28"/>
    </row>
    <row r="44294">
      <c r="N44294" s="28"/>
      <c r="O44294" s="28"/>
      <c r="U44294" s="28"/>
    </row>
    <row r="44295">
      <c r="N44295" s="28"/>
      <c r="O44295" s="28"/>
      <c r="U44295" s="28"/>
    </row>
    <row r="44296">
      <c r="N44296" s="28"/>
      <c r="O44296" s="28"/>
      <c r="U44296" s="28"/>
    </row>
    <row r="44297">
      <c r="N44297" s="28"/>
      <c r="O44297" s="28"/>
      <c r="U44297" s="28"/>
    </row>
    <row r="44298">
      <c r="N44298" s="28"/>
      <c r="O44298" s="28"/>
      <c r="U44298" s="28"/>
    </row>
    <row r="44299">
      <c r="N44299" s="28"/>
      <c r="O44299" s="28"/>
      <c r="U44299" s="28"/>
    </row>
    <row r="44300">
      <c r="N44300" s="28"/>
      <c r="O44300" s="28"/>
      <c r="U44300" s="28"/>
    </row>
    <row r="44301">
      <c r="N44301" s="28"/>
      <c r="O44301" s="28"/>
      <c r="U44301" s="28"/>
    </row>
    <row r="44302">
      <c r="N44302" s="28"/>
      <c r="O44302" s="28"/>
      <c r="U44302" s="28"/>
    </row>
    <row r="44303">
      <c r="N44303" s="28"/>
      <c r="O44303" s="28"/>
      <c r="U44303" s="28"/>
    </row>
    <row r="44304">
      <c r="N44304" s="28"/>
      <c r="O44304" s="28"/>
      <c r="U44304" s="28"/>
    </row>
    <row r="44305">
      <c r="N44305" s="28"/>
      <c r="O44305" s="28"/>
      <c r="U44305" s="28"/>
    </row>
    <row r="44306">
      <c r="N44306" s="28"/>
      <c r="O44306" s="28"/>
      <c r="U44306" s="28"/>
    </row>
    <row r="44307">
      <c r="N44307" s="28"/>
      <c r="O44307" s="28"/>
      <c r="U44307" s="28"/>
    </row>
    <row r="44308">
      <c r="N44308" s="28"/>
      <c r="O44308" s="28"/>
      <c r="U44308" s="28"/>
    </row>
    <row r="44309">
      <c r="N44309" s="28"/>
      <c r="O44309" s="28"/>
      <c r="U44309" s="28"/>
    </row>
    <row r="44310">
      <c r="N44310" s="28"/>
      <c r="O44310" s="28"/>
      <c r="U44310" s="28"/>
    </row>
    <row r="44311">
      <c r="N44311" s="28"/>
      <c r="O44311" s="28"/>
      <c r="U44311" s="28"/>
    </row>
    <row r="44312">
      <c r="N44312" s="28"/>
      <c r="O44312" s="28"/>
      <c r="U44312" s="28"/>
    </row>
    <row r="44313">
      <c r="N44313" s="28"/>
      <c r="O44313" s="28"/>
      <c r="U44313" s="28"/>
    </row>
    <row r="44314">
      <c r="N44314" s="28"/>
      <c r="O44314" s="28"/>
      <c r="U44314" s="28"/>
    </row>
    <row r="44315">
      <c r="N44315" s="28"/>
      <c r="O44315" s="28"/>
      <c r="U44315" s="28"/>
    </row>
    <row r="44316">
      <c r="N44316" s="28"/>
      <c r="O44316" s="28"/>
      <c r="U44316" s="28"/>
    </row>
    <row r="44317">
      <c r="N44317" s="28"/>
      <c r="O44317" s="28"/>
      <c r="U44317" s="28"/>
    </row>
    <row r="44318">
      <c r="N44318" s="28"/>
      <c r="O44318" s="28"/>
      <c r="U44318" s="28"/>
    </row>
    <row r="44319">
      <c r="N44319" s="28"/>
      <c r="O44319" s="28"/>
      <c r="U44319" s="28"/>
    </row>
    <row r="44320">
      <c r="N44320" s="28"/>
      <c r="O44320" s="28"/>
      <c r="U44320" s="28"/>
    </row>
    <row r="44321">
      <c r="N44321" s="28"/>
      <c r="O44321" s="28"/>
      <c r="U44321" s="28"/>
    </row>
    <row r="44322">
      <c r="N44322" s="28"/>
      <c r="O44322" s="28"/>
      <c r="U44322" s="28"/>
    </row>
    <row r="44323">
      <c r="N44323" s="28"/>
      <c r="O44323" s="28"/>
      <c r="U44323" s="28"/>
    </row>
    <row r="44324">
      <c r="N44324" s="28"/>
      <c r="O44324" s="28"/>
      <c r="U44324" s="28"/>
    </row>
    <row r="44325">
      <c r="N44325" s="28"/>
      <c r="O44325" s="28"/>
      <c r="U44325" s="28"/>
    </row>
    <row r="44326">
      <c r="N44326" s="28"/>
      <c r="O44326" s="28"/>
      <c r="U44326" s="28"/>
    </row>
    <row r="44327">
      <c r="N44327" s="28"/>
      <c r="O44327" s="28"/>
      <c r="U44327" s="28"/>
    </row>
    <row r="44328">
      <c r="N44328" s="28"/>
      <c r="O44328" s="28"/>
      <c r="U44328" s="28"/>
    </row>
    <row r="44329">
      <c r="N44329" s="28"/>
      <c r="O44329" s="28"/>
      <c r="U44329" s="28"/>
    </row>
    <row r="44330">
      <c r="N44330" s="28"/>
      <c r="O44330" s="28"/>
      <c r="U44330" s="28"/>
    </row>
    <row r="44331">
      <c r="N44331" s="28"/>
      <c r="O44331" s="28"/>
      <c r="U44331" s="28"/>
    </row>
    <row r="44332">
      <c r="N44332" s="28"/>
      <c r="O44332" s="28"/>
      <c r="U44332" s="28"/>
    </row>
    <row r="44333">
      <c r="N44333" s="28"/>
      <c r="O44333" s="28"/>
      <c r="U44333" s="28"/>
    </row>
    <row r="44334">
      <c r="N44334" s="28"/>
      <c r="O44334" s="28"/>
      <c r="U44334" s="28"/>
    </row>
    <row r="44335">
      <c r="N44335" s="28"/>
      <c r="O44335" s="28"/>
      <c r="U44335" s="28"/>
    </row>
    <row r="44336">
      <c r="N44336" s="28"/>
      <c r="O44336" s="28"/>
      <c r="U44336" s="28"/>
    </row>
    <row r="44337">
      <c r="N44337" s="28"/>
      <c r="O44337" s="28"/>
      <c r="U44337" s="28"/>
    </row>
    <row r="44338">
      <c r="N44338" s="28"/>
      <c r="O44338" s="28"/>
      <c r="U44338" s="28"/>
    </row>
    <row r="44339">
      <c r="N44339" s="28"/>
      <c r="O44339" s="28"/>
      <c r="U44339" s="28"/>
    </row>
    <row r="44340">
      <c r="N44340" s="28"/>
      <c r="O44340" s="28"/>
      <c r="U44340" s="28"/>
    </row>
    <row r="44341">
      <c r="N44341" s="28"/>
      <c r="O44341" s="28"/>
      <c r="U44341" s="28"/>
    </row>
    <row r="44342">
      <c r="N44342" s="28"/>
      <c r="O44342" s="28"/>
      <c r="U44342" s="28"/>
    </row>
    <row r="44343">
      <c r="N44343" s="28"/>
      <c r="O44343" s="28"/>
      <c r="U44343" s="28"/>
    </row>
    <row r="44344">
      <c r="N44344" s="28"/>
      <c r="O44344" s="28"/>
      <c r="U44344" s="28"/>
    </row>
    <row r="44345">
      <c r="N44345" s="28"/>
      <c r="O44345" s="28"/>
      <c r="U44345" s="28"/>
    </row>
    <row r="44346">
      <c r="N44346" s="28"/>
      <c r="O44346" s="28"/>
      <c r="U44346" s="28"/>
    </row>
    <row r="44347">
      <c r="N44347" s="28"/>
      <c r="O44347" s="28"/>
      <c r="U44347" s="28"/>
    </row>
    <row r="44348">
      <c r="N44348" s="28"/>
      <c r="O44348" s="28"/>
      <c r="U44348" s="28"/>
    </row>
    <row r="44349">
      <c r="N44349" s="28"/>
      <c r="O44349" s="28"/>
      <c r="U44349" s="28"/>
    </row>
    <row r="44350">
      <c r="N44350" s="28"/>
      <c r="O44350" s="28"/>
      <c r="U44350" s="28"/>
    </row>
    <row r="44351">
      <c r="N44351" s="28"/>
      <c r="O44351" s="28"/>
      <c r="U44351" s="28"/>
    </row>
    <row r="44352">
      <c r="N44352" s="28"/>
      <c r="O44352" s="28"/>
      <c r="U44352" s="28"/>
    </row>
    <row r="44353">
      <c r="N44353" s="28"/>
      <c r="O44353" s="28"/>
      <c r="U44353" s="28"/>
    </row>
    <row r="44354">
      <c r="N44354" s="28"/>
      <c r="O44354" s="28"/>
      <c r="U44354" s="28"/>
    </row>
    <row r="44355">
      <c r="N44355" s="28"/>
      <c r="O44355" s="28"/>
      <c r="U44355" s="28"/>
    </row>
    <row r="44356">
      <c r="N44356" s="28"/>
      <c r="O44356" s="28"/>
      <c r="U44356" s="28"/>
    </row>
    <row r="44357">
      <c r="N44357" s="28"/>
      <c r="O44357" s="28"/>
      <c r="U44357" s="28"/>
    </row>
    <row r="44358">
      <c r="N44358" s="28"/>
      <c r="O44358" s="28"/>
      <c r="U44358" s="28"/>
    </row>
    <row r="44359">
      <c r="N44359" s="28"/>
      <c r="O44359" s="28"/>
      <c r="U44359" s="28"/>
    </row>
    <row r="44360">
      <c r="N44360" s="28"/>
      <c r="O44360" s="28"/>
      <c r="U44360" s="28"/>
    </row>
    <row r="44361">
      <c r="N44361" s="28"/>
      <c r="O44361" s="28"/>
      <c r="U44361" s="28"/>
    </row>
    <row r="44362">
      <c r="N44362" s="28"/>
      <c r="O44362" s="28"/>
      <c r="U44362" s="28"/>
    </row>
    <row r="44363">
      <c r="N44363" s="28"/>
      <c r="O44363" s="28"/>
      <c r="U44363" s="28"/>
    </row>
    <row r="44364">
      <c r="N44364" s="28"/>
      <c r="O44364" s="28"/>
      <c r="U44364" s="28"/>
    </row>
    <row r="44365">
      <c r="N44365" s="28"/>
      <c r="O44365" s="28"/>
      <c r="U44365" s="28"/>
    </row>
    <row r="44366">
      <c r="N44366" s="28"/>
      <c r="O44366" s="28"/>
      <c r="U44366" s="28"/>
    </row>
    <row r="44367">
      <c r="N44367" s="28"/>
      <c r="O44367" s="28"/>
      <c r="U44367" s="28"/>
    </row>
    <row r="44368">
      <c r="N44368" s="28"/>
      <c r="O44368" s="28"/>
      <c r="U44368" s="28"/>
    </row>
    <row r="44369">
      <c r="N44369" s="28"/>
      <c r="O44369" s="28"/>
      <c r="U44369" s="28"/>
    </row>
    <row r="44370">
      <c r="N44370" s="28"/>
      <c r="O44370" s="28"/>
      <c r="U44370" s="28"/>
    </row>
    <row r="44371">
      <c r="N44371" s="28"/>
      <c r="O44371" s="28"/>
      <c r="U44371" s="28"/>
    </row>
    <row r="44372">
      <c r="N44372" s="28"/>
      <c r="O44372" s="28"/>
      <c r="U44372" s="28"/>
    </row>
    <row r="44373">
      <c r="N44373" s="28"/>
      <c r="O44373" s="28"/>
      <c r="U44373" s="28"/>
    </row>
    <row r="44374">
      <c r="N44374" s="28"/>
      <c r="O44374" s="28"/>
      <c r="U44374" s="28"/>
    </row>
    <row r="44375">
      <c r="N44375" s="28"/>
      <c r="O44375" s="28"/>
      <c r="U44375" s="28"/>
    </row>
    <row r="44376">
      <c r="N44376" s="28"/>
      <c r="O44376" s="28"/>
      <c r="U44376" s="28"/>
    </row>
    <row r="44377">
      <c r="N44377" s="28"/>
      <c r="O44377" s="28"/>
      <c r="U44377" s="28"/>
    </row>
    <row r="44378">
      <c r="N44378" s="28"/>
      <c r="O44378" s="28"/>
      <c r="U44378" s="28"/>
    </row>
    <row r="44379">
      <c r="N44379" s="28"/>
      <c r="O44379" s="28"/>
      <c r="U44379" s="28"/>
    </row>
    <row r="44380">
      <c r="N44380" s="28"/>
      <c r="O44380" s="28"/>
      <c r="U44380" s="28"/>
    </row>
    <row r="44381">
      <c r="N44381" s="28"/>
      <c r="O44381" s="28"/>
      <c r="U44381" s="28"/>
    </row>
    <row r="44382">
      <c r="N44382" s="28"/>
      <c r="O44382" s="28"/>
      <c r="U44382" s="28"/>
    </row>
    <row r="44383">
      <c r="N44383" s="28"/>
      <c r="O44383" s="28"/>
      <c r="U44383" s="28"/>
    </row>
    <row r="44384">
      <c r="N44384" s="28"/>
      <c r="O44384" s="28"/>
      <c r="U44384" s="28"/>
    </row>
    <row r="44385">
      <c r="N44385" s="28"/>
      <c r="O44385" s="28"/>
      <c r="U44385" s="28"/>
    </row>
    <row r="44386">
      <c r="N44386" s="28"/>
      <c r="O44386" s="28"/>
      <c r="U44386" s="28"/>
    </row>
    <row r="44387">
      <c r="N44387" s="28"/>
      <c r="O44387" s="28"/>
      <c r="U44387" s="28"/>
    </row>
    <row r="44388">
      <c r="N44388" s="28"/>
      <c r="O44388" s="28"/>
      <c r="U44388" s="28"/>
    </row>
    <row r="44389">
      <c r="N44389" s="28"/>
      <c r="O44389" s="28"/>
      <c r="U44389" s="28"/>
    </row>
    <row r="44390">
      <c r="N44390" s="28"/>
      <c r="O44390" s="28"/>
      <c r="U44390" s="28"/>
    </row>
    <row r="44391">
      <c r="N44391" s="28"/>
      <c r="O44391" s="28"/>
      <c r="U44391" s="28"/>
    </row>
    <row r="44392">
      <c r="N44392" s="28"/>
      <c r="O44392" s="28"/>
      <c r="U44392" s="28"/>
    </row>
    <row r="44393">
      <c r="N44393" s="28"/>
      <c r="O44393" s="28"/>
      <c r="U44393" s="28"/>
    </row>
    <row r="44394">
      <c r="N44394" s="28"/>
      <c r="O44394" s="28"/>
      <c r="U44394" s="28"/>
    </row>
    <row r="44395">
      <c r="N44395" s="28"/>
      <c r="O44395" s="28"/>
      <c r="U44395" s="28"/>
    </row>
    <row r="44396">
      <c r="N44396" s="28"/>
      <c r="O44396" s="28"/>
      <c r="U44396" s="28"/>
    </row>
    <row r="44397">
      <c r="N44397" s="28"/>
      <c r="O44397" s="28"/>
      <c r="U44397" s="28"/>
    </row>
    <row r="44398">
      <c r="N44398" s="28"/>
      <c r="O44398" s="28"/>
      <c r="U44398" s="28"/>
    </row>
    <row r="44399">
      <c r="N44399" s="28"/>
      <c r="O44399" s="28"/>
      <c r="U44399" s="28"/>
    </row>
    <row r="44400">
      <c r="N44400" s="28"/>
      <c r="O44400" s="28"/>
      <c r="U44400" s="28"/>
    </row>
    <row r="44401">
      <c r="N44401" s="28"/>
      <c r="O44401" s="28"/>
      <c r="U44401" s="28"/>
    </row>
    <row r="44402">
      <c r="N44402" s="28"/>
      <c r="O44402" s="28"/>
      <c r="U44402" s="28"/>
    </row>
    <row r="44403">
      <c r="N44403" s="28"/>
      <c r="O44403" s="28"/>
      <c r="U44403" s="28"/>
    </row>
    <row r="44404">
      <c r="N44404" s="28"/>
      <c r="O44404" s="28"/>
      <c r="U44404" s="28"/>
    </row>
    <row r="44405">
      <c r="N44405" s="28"/>
      <c r="O44405" s="28"/>
      <c r="U44405" s="28"/>
    </row>
    <row r="44406">
      <c r="N44406" s="28"/>
      <c r="O44406" s="28"/>
      <c r="U44406" s="28"/>
    </row>
    <row r="44407">
      <c r="N44407" s="28"/>
      <c r="O44407" s="28"/>
      <c r="U44407" s="28"/>
    </row>
    <row r="44408">
      <c r="N44408" s="28"/>
      <c r="O44408" s="28"/>
      <c r="U44408" s="28"/>
    </row>
    <row r="44409">
      <c r="N44409" s="28"/>
      <c r="O44409" s="28"/>
      <c r="U44409" s="28"/>
    </row>
    <row r="44410">
      <c r="N44410" s="28"/>
      <c r="O44410" s="28"/>
      <c r="U44410" s="28"/>
    </row>
    <row r="44411">
      <c r="N44411" s="28"/>
      <c r="O44411" s="28"/>
      <c r="U44411" s="28"/>
    </row>
    <row r="44412">
      <c r="N44412" s="28"/>
      <c r="O44412" s="28"/>
      <c r="U44412" s="28"/>
    </row>
    <row r="44413">
      <c r="N44413" s="28"/>
      <c r="O44413" s="28"/>
      <c r="U44413" s="28"/>
    </row>
    <row r="44414">
      <c r="N44414" s="28"/>
      <c r="O44414" s="28"/>
      <c r="U44414" s="28"/>
    </row>
    <row r="44415">
      <c r="N44415" s="28"/>
      <c r="O44415" s="28"/>
      <c r="U44415" s="28"/>
    </row>
    <row r="44416">
      <c r="N44416" s="28"/>
      <c r="O44416" s="28"/>
      <c r="U44416" s="28"/>
    </row>
    <row r="44417">
      <c r="N44417" s="28"/>
      <c r="O44417" s="28"/>
      <c r="U44417" s="28"/>
    </row>
    <row r="44418">
      <c r="N44418" s="28"/>
      <c r="O44418" s="28"/>
      <c r="U44418" s="28"/>
    </row>
    <row r="44419">
      <c r="N44419" s="28"/>
      <c r="O44419" s="28"/>
      <c r="U44419" s="28"/>
    </row>
    <row r="44420">
      <c r="N44420" s="28"/>
      <c r="O44420" s="28"/>
      <c r="U44420" s="28"/>
    </row>
    <row r="44421">
      <c r="N44421" s="28"/>
      <c r="O44421" s="28"/>
      <c r="U44421" s="28"/>
    </row>
    <row r="44422">
      <c r="N44422" s="28"/>
      <c r="O44422" s="28"/>
      <c r="U44422" s="28"/>
    </row>
    <row r="44423">
      <c r="N44423" s="28"/>
      <c r="O44423" s="28"/>
      <c r="U44423" s="28"/>
    </row>
    <row r="44424">
      <c r="N44424" s="28"/>
      <c r="O44424" s="28"/>
      <c r="U44424" s="28"/>
    </row>
    <row r="44425">
      <c r="N44425" s="28"/>
      <c r="O44425" s="28"/>
      <c r="U44425" s="28"/>
    </row>
    <row r="44426">
      <c r="N44426" s="28"/>
      <c r="O44426" s="28"/>
      <c r="U44426" s="28"/>
    </row>
    <row r="44427">
      <c r="N44427" s="28"/>
      <c r="O44427" s="28"/>
      <c r="U44427" s="28"/>
    </row>
    <row r="44428">
      <c r="N44428" s="28"/>
      <c r="O44428" s="28"/>
      <c r="U44428" s="28"/>
    </row>
    <row r="44429">
      <c r="N44429" s="28"/>
      <c r="O44429" s="28"/>
      <c r="U44429" s="28"/>
    </row>
    <row r="44430">
      <c r="N44430" s="28"/>
      <c r="O44430" s="28"/>
      <c r="U44430" s="28"/>
    </row>
    <row r="44431">
      <c r="N44431" s="28"/>
      <c r="O44431" s="28"/>
      <c r="U44431" s="28"/>
    </row>
    <row r="44432">
      <c r="N44432" s="28"/>
      <c r="O44432" s="28"/>
      <c r="U44432" s="28"/>
    </row>
    <row r="44433">
      <c r="N44433" s="28"/>
      <c r="O44433" s="28"/>
      <c r="U44433" s="28"/>
    </row>
    <row r="44434">
      <c r="N44434" s="28"/>
      <c r="O44434" s="28"/>
      <c r="U44434" s="28"/>
    </row>
    <row r="44435">
      <c r="N44435" s="28"/>
      <c r="O44435" s="28"/>
      <c r="U44435" s="28"/>
    </row>
    <row r="44436">
      <c r="N44436" s="28"/>
      <c r="O44436" s="28"/>
      <c r="U44436" s="28"/>
    </row>
    <row r="44437">
      <c r="N44437" s="28"/>
      <c r="O44437" s="28"/>
      <c r="U44437" s="28"/>
    </row>
    <row r="44438">
      <c r="N44438" s="28"/>
      <c r="O44438" s="28"/>
      <c r="U44438" s="28"/>
    </row>
    <row r="44439">
      <c r="N44439" s="28"/>
      <c r="O44439" s="28"/>
      <c r="U44439" s="28"/>
    </row>
    <row r="44440">
      <c r="N44440" s="28"/>
      <c r="O44440" s="28"/>
      <c r="U44440" s="28"/>
    </row>
    <row r="44441">
      <c r="N44441" s="28"/>
      <c r="O44441" s="28"/>
      <c r="U44441" s="28"/>
    </row>
    <row r="44442">
      <c r="N44442" s="28"/>
      <c r="O44442" s="28"/>
      <c r="U44442" s="28"/>
    </row>
    <row r="44443">
      <c r="N44443" s="28"/>
      <c r="O44443" s="28"/>
      <c r="U44443" s="28"/>
    </row>
    <row r="44444">
      <c r="N44444" s="28"/>
      <c r="O44444" s="28"/>
      <c r="U44444" s="28"/>
    </row>
    <row r="44445">
      <c r="N44445" s="28"/>
      <c r="O44445" s="28"/>
      <c r="U44445" s="28"/>
    </row>
    <row r="44446">
      <c r="N44446" s="28"/>
      <c r="O44446" s="28"/>
      <c r="U44446" s="28"/>
    </row>
    <row r="44447">
      <c r="N44447" s="28"/>
      <c r="O44447" s="28"/>
      <c r="U44447" s="28"/>
    </row>
    <row r="44448">
      <c r="N44448" s="28"/>
      <c r="O44448" s="28"/>
      <c r="U44448" s="28"/>
    </row>
    <row r="44449">
      <c r="N44449" s="28"/>
      <c r="O44449" s="28"/>
      <c r="U44449" s="28"/>
    </row>
    <row r="44450">
      <c r="N44450" s="28"/>
      <c r="O44450" s="28"/>
      <c r="U44450" s="28"/>
    </row>
    <row r="44451">
      <c r="N44451" s="28"/>
      <c r="O44451" s="28"/>
      <c r="U44451" s="28"/>
    </row>
    <row r="44452">
      <c r="N44452" s="28"/>
      <c r="O44452" s="28"/>
      <c r="U44452" s="28"/>
    </row>
    <row r="44453">
      <c r="N44453" s="28"/>
      <c r="O44453" s="28"/>
      <c r="U44453" s="28"/>
    </row>
    <row r="44454">
      <c r="N44454" s="28"/>
      <c r="O44454" s="28"/>
      <c r="U44454" s="28"/>
    </row>
    <row r="44455">
      <c r="N44455" s="28"/>
      <c r="O44455" s="28"/>
      <c r="U44455" s="28"/>
    </row>
    <row r="44456">
      <c r="N44456" s="28"/>
      <c r="O44456" s="28"/>
      <c r="U44456" s="28"/>
    </row>
    <row r="44457">
      <c r="N44457" s="28"/>
      <c r="O44457" s="28"/>
      <c r="U44457" s="28"/>
    </row>
    <row r="44458">
      <c r="N44458" s="28"/>
      <c r="O44458" s="28"/>
      <c r="U44458" s="28"/>
    </row>
    <row r="44459">
      <c r="N44459" s="28"/>
      <c r="O44459" s="28"/>
      <c r="U44459" s="28"/>
    </row>
    <row r="44460">
      <c r="N44460" s="28"/>
      <c r="O44460" s="28"/>
      <c r="U44460" s="28"/>
    </row>
    <row r="44461">
      <c r="N44461" s="28"/>
      <c r="O44461" s="28"/>
      <c r="U44461" s="28"/>
    </row>
    <row r="44462">
      <c r="N44462" s="28"/>
      <c r="O44462" s="28"/>
      <c r="U44462" s="28"/>
    </row>
    <row r="44463">
      <c r="N44463" s="28"/>
      <c r="O44463" s="28"/>
      <c r="U44463" s="28"/>
    </row>
    <row r="44464">
      <c r="N44464" s="28"/>
      <c r="O44464" s="28"/>
      <c r="U44464" s="28"/>
    </row>
    <row r="44465">
      <c r="N44465" s="28"/>
      <c r="O44465" s="28"/>
      <c r="U44465" s="28"/>
    </row>
    <row r="44466">
      <c r="N44466" s="28"/>
      <c r="O44466" s="28"/>
      <c r="U44466" s="28"/>
    </row>
    <row r="44467">
      <c r="N44467" s="28"/>
      <c r="O44467" s="28"/>
      <c r="U44467" s="28"/>
    </row>
    <row r="44468">
      <c r="N44468" s="28"/>
      <c r="O44468" s="28"/>
      <c r="U44468" s="28"/>
    </row>
    <row r="44469">
      <c r="N44469" s="28"/>
      <c r="O44469" s="28"/>
      <c r="U44469" s="28"/>
    </row>
    <row r="44470">
      <c r="N44470" s="28"/>
      <c r="O44470" s="28"/>
      <c r="U44470" s="28"/>
    </row>
    <row r="44471">
      <c r="N44471" s="28"/>
      <c r="O44471" s="28"/>
      <c r="U44471" s="28"/>
    </row>
    <row r="44472">
      <c r="N44472" s="28"/>
      <c r="O44472" s="28"/>
      <c r="U44472" s="28"/>
    </row>
    <row r="44473">
      <c r="N44473" s="28"/>
      <c r="O44473" s="28"/>
      <c r="U44473" s="28"/>
    </row>
    <row r="44474">
      <c r="N44474" s="28"/>
      <c r="O44474" s="28"/>
      <c r="U44474" s="28"/>
    </row>
    <row r="44475">
      <c r="N44475" s="28"/>
      <c r="O44475" s="28"/>
      <c r="U44475" s="28"/>
    </row>
    <row r="44476">
      <c r="N44476" s="28"/>
      <c r="O44476" s="28"/>
      <c r="U44476" s="28"/>
    </row>
    <row r="44477">
      <c r="N44477" s="28"/>
      <c r="O44477" s="28"/>
      <c r="U44477" s="28"/>
    </row>
    <row r="44478">
      <c r="N44478" s="28"/>
      <c r="O44478" s="28"/>
      <c r="U44478" s="28"/>
    </row>
    <row r="44479">
      <c r="N44479" s="28"/>
      <c r="O44479" s="28"/>
      <c r="U44479" s="28"/>
    </row>
    <row r="44480">
      <c r="N44480" s="28"/>
      <c r="O44480" s="28"/>
      <c r="U44480" s="28"/>
    </row>
    <row r="44481">
      <c r="N44481" s="28"/>
      <c r="O44481" s="28"/>
      <c r="U44481" s="28"/>
    </row>
    <row r="44482">
      <c r="N44482" s="28"/>
      <c r="O44482" s="28"/>
      <c r="U44482" s="28"/>
    </row>
    <row r="44483">
      <c r="N44483" s="28"/>
      <c r="O44483" s="28"/>
      <c r="U44483" s="28"/>
    </row>
    <row r="44484">
      <c r="N44484" s="28"/>
      <c r="O44484" s="28"/>
      <c r="U44484" s="28"/>
    </row>
    <row r="44485">
      <c r="N44485" s="28"/>
      <c r="O44485" s="28"/>
      <c r="U44485" s="28"/>
    </row>
    <row r="44486">
      <c r="N44486" s="28"/>
      <c r="O44486" s="28"/>
      <c r="U44486" s="28"/>
    </row>
    <row r="44487">
      <c r="N44487" s="28"/>
      <c r="O44487" s="28"/>
      <c r="U44487" s="28"/>
    </row>
    <row r="44488">
      <c r="N44488" s="28"/>
      <c r="O44488" s="28"/>
      <c r="U44488" s="28"/>
    </row>
    <row r="44489">
      <c r="N44489" s="28"/>
      <c r="O44489" s="28"/>
      <c r="U44489" s="28"/>
    </row>
    <row r="44490">
      <c r="N44490" s="28"/>
      <c r="O44490" s="28"/>
      <c r="U44490" s="28"/>
    </row>
    <row r="44491">
      <c r="N44491" s="28"/>
      <c r="O44491" s="28"/>
      <c r="U44491" s="28"/>
    </row>
    <row r="44492">
      <c r="N44492" s="28"/>
      <c r="O44492" s="28"/>
      <c r="U44492" s="28"/>
    </row>
    <row r="44493">
      <c r="N44493" s="28"/>
      <c r="O44493" s="28"/>
      <c r="U44493" s="28"/>
    </row>
    <row r="44494">
      <c r="N44494" s="28"/>
      <c r="O44494" s="28"/>
      <c r="U44494" s="28"/>
    </row>
    <row r="44495">
      <c r="N44495" s="28"/>
      <c r="O44495" s="28"/>
      <c r="U44495" s="28"/>
    </row>
    <row r="44496">
      <c r="N44496" s="28"/>
      <c r="O44496" s="28"/>
      <c r="U44496" s="28"/>
    </row>
    <row r="44497">
      <c r="N44497" s="28"/>
      <c r="O44497" s="28"/>
      <c r="U44497" s="28"/>
    </row>
    <row r="44498">
      <c r="N44498" s="28"/>
      <c r="O44498" s="28"/>
      <c r="U44498" s="28"/>
    </row>
    <row r="44499">
      <c r="N44499" s="28"/>
      <c r="O44499" s="28"/>
      <c r="U44499" s="28"/>
    </row>
    <row r="44500">
      <c r="N44500" s="28"/>
      <c r="O44500" s="28"/>
      <c r="U44500" s="28"/>
    </row>
    <row r="44501">
      <c r="N44501" s="28"/>
      <c r="O44501" s="28"/>
      <c r="U44501" s="28"/>
    </row>
    <row r="44502">
      <c r="N44502" s="28"/>
      <c r="O44502" s="28"/>
      <c r="U44502" s="28"/>
    </row>
    <row r="44503">
      <c r="N44503" s="28"/>
      <c r="O44503" s="28"/>
      <c r="U44503" s="28"/>
    </row>
    <row r="44504">
      <c r="N44504" s="28"/>
      <c r="O44504" s="28"/>
      <c r="U44504" s="28"/>
    </row>
    <row r="44505">
      <c r="N44505" s="28"/>
      <c r="O44505" s="28"/>
      <c r="U44505" s="28"/>
    </row>
    <row r="44506">
      <c r="N44506" s="28"/>
      <c r="O44506" s="28"/>
      <c r="U44506" s="28"/>
    </row>
    <row r="44507">
      <c r="N44507" s="28"/>
      <c r="O44507" s="28"/>
      <c r="U44507" s="28"/>
    </row>
    <row r="44508">
      <c r="N44508" s="28"/>
      <c r="O44508" s="28"/>
      <c r="U44508" s="28"/>
    </row>
    <row r="44509">
      <c r="N44509" s="28"/>
      <c r="O44509" s="28"/>
      <c r="U44509" s="28"/>
    </row>
    <row r="44510">
      <c r="N44510" s="28"/>
      <c r="O44510" s="28"/>
      <c r="U44510" s="28"/>
    </row>
    <row r="44511">
      <c r="N44511" s="28"/>
      <c r="O44511" s="28"/>
      <c r="U44511" s="28"/>
    </row>
    <row r="44512">
      <c r="N44512" s="28"/>
      <c r="O44512" s="28"/>
      <c r="U44512" s="28"/>
    </row>
    <row r="44513">
      <c r="N44513" s="28"/>
      <c r="O44513" s="28"/>
      <c r="U44513" s="28"/>
    </row>
    <row r="44514">
      <c r="N44514" s="28"/>
      <c r="O44514" s="28"/>
      <c r="U44514" s="28"/>
    </row>
    <row r="44515">
      <c r="N44515" s="28"/>
      <c r="O44515" s="28"/>
      <c r="U44515" s="28"/>
    </row>
    <row r="44516">
      <c r="N44516" s="28"/>
      <c r="O44516" s="28"/>
      <c r="U44516" s="28"/>
    </row>
    <row r="44517">
      <c r="N44517" s="28"/>
      <c r="O44517" s="28"/>
      <c r="U44517" s="28"/>
    </row>
    <row r="44518">
      <c r="N44518" s="28"/>
      <c r="O44518" s="28"/>
      <c r="U44518" s="28"/>
    </row>
    <row r="44519">
      <c r="N44519" s="28"/>
      <c r="O44519" s="28"/>
      <c r="U44519" s="28"/>
    </row>
    <row r="44520">
      <c r="N44520" s="28"/>
      <c r="O44520" s="28"/>
      <c r="U44520" s="28"/>
    </row>
    <row r="44521">
      <c r="N44521" s="28"/>
      <c r="O44521" s="28"/>
      <c r="U44521" s="28"/>
    </row>
    <row r="44522">
      <c r="N44522" s="28"/>
      <c r="O44522" s="28"/>
      <c r="U44522" s="28"/>
    </row>
    <row r="44523">
      <c r="N44523" s="28"/>
      <c r="O44523" s="28"/>
      <c r="U44523" s="28"/>
    </row>
    <row r="44524">
      <c r="N44524" s="28"/>
      <c r="O44524" s="28"/>
      <c r="U44524" s="28"/>
    </row>
    <row r="44525">
      <c r="N44525" s="28"/>
      <c r="O44525" s="28"/>
      <c r="U44525" s="28"/>
    </row>
    <row r="44526">
      <c r="N44526" s="28"/>
      <c r="O44526" s="28"/>
      <c r="U44526" s="28"/>
    </row>
    <row r="44527">
      <c r="N44527" s="28"/>
      <c r="O44527" s="28"/>
      <c r="U44527" s="28"/>
    </row>
    <row r="44528">
      <c r="N44528" s="28"/>
      <c r="O44528" s="28"/>
      <c r="U44528" s="28"/>
    </row>
    <row r="44529">
      <c r="N44529" s="28"/>
      <c r="O44529" s="28"/>
      <c r="U44529" s="28"/>
    </row>
    <row r="44530">
      <c r="N44530" s="28"/>
      <c r="O44530" s="28"/>
      <c r="U44530" s="28"/>
    </row>
    <row r="44531">
      <c r="N44531" s="28"/>
      <c r="O44531" s="28"/>
      <c r="U44531" s="28"/>
    </row>
    <row r="44532">
      <c r="N44532" s="28"/>
      <c r="O44532" s="28"/>
      <c r="U44532" s="28"/>
    </row>
    <row r="44533">
      <c r="N44533" s="28"/>
      <c r="O44533" s="28"/>
      <c r="U44533" s="28"/>
    </row>
    <row r="44534">
      <c r="N44534" s="28"/>
      <c r="O44534" s="28"/>
      <c r="U44534" s="28"/>
    </row>
    <row r="44535">
      <c r="N44535" s="28"/>
      <c r="O44535" s="28"/>
      <c r="U44535" s="28"/>
    </row>
    <row r="44536">
      <c r="N44536" s="28"/>
      <c r="O44536" s="28"/>
      <c r="U44536" s="28"/>
    </row>
    <row r="44537">
      <c r="N44537" s="28"/>
      <c r="O44537" s="28"/>
      <c r="U44537" s="28"/>
    </row>
    <row r="44538">
      <c r="N44538" s="28"/>
      <c r="O44538" s="28"/>
      <c r="U44538" s="28"/>
    </row>
    <row r="44539">
      <c r="N44539" s="28"/>
      <c r="O44539" s="28"/>
      <c r="U44539" s="28"/>
    </row>
    <row r="44540">
      <c r="N44540" s="28"/>
      <c r="O44540" s="28"/>
      <c r="U44540" s="28"/>
    </row>
    <row r="44541">
      <c r="N44541" s="28"/>
      <c r="O44541" s="28"/>
      <c r="U44541" s="28"/>
    </row>
    <row r="44542">
      <c r="N44542" s="28"/>
      <c r="O44542" s="28"/>
      <c r="U44542" s="28"/>
    </row>
    <row r="44543">
      <c r="N44543" s="28"/>
      <c r="O44543" s="28"/>
      <c r="U44543" s="28"/>
    </row>
    <row r="44544">
      <c r="N44544" s="28"/>
      <c r="O44544" s="28"/>
      <c r="U44544" s="28"/>
    </row>
    <row r="44545">
      <c r="N44545" s="28"/>
      <c r="O44545" s="28"/>
      <c r="U44545" s="28"/>
    </row>
    <row r="44546">
      <c r="N44546" s="28"/>
      <c r="O44546" s="28"/>
      <c r="U44546" s="28"/>
    </row>
    <row r="44547">
      <c r="N44547" s="28"/>
      <c r="O44547" s="28"/>
      <c r="U44547" s="28"/>
    </row>
    <row r="44548">
      <c r="N44548" s="28"/>
      <c r="O44548" s="28"/>
      <c r="U44548" s="28"/>
    </row>
    <row r="44549">
      <c r="N44549" s="28"/>
      <c r="O44549" s="28"/>
      <c r="U44549" s="28"/>
    </row>
    <row r="44550">
      <c r="N44550" s="28"/>
      <c r="O44550" s="28"/>
      <c r="U44550" s="28"/>
    </row>
    <row r="44551">
      <c r="N44551" s="28"/>
      <c r="O44551" s="28"/>
      <c r="U44551" s="28"/>
    </row>
    <row r="44552">
      <c r="N44552" s="28"/>
      <c r="O44552" s="28"/>
      <c r="U44552" s="28"/>
    </row>
    <row r="44553">
      <c r="N44553" s="28"/>
      <c r="O44553" s="28"/>
      <c r="U44553" s="28"/>
    </row>
    <row r="44554">
      <c r="N44554" s="28"/>
      <c r="O44554" s="28"/>
      <c r="U44554" s="28"/>
    </row>
    <row r="44555">
      <c r="N44555" s="28"/>
      <c r="O44555" s="28"/>
      <c r="U44555" s="28"/>
    </row>
    <row r="44556">
      <c r="N44556" s="28"/>
      <c r="O44556" s="28"/>
      <c r="U44556" s="28"/>
    </row>
    <row r="44557">
      <c r="N44557" s="28"/>
      <c r="O44557" s="28"/>
      <c r="U44557" s="28"/>
    </row>
    <row r="44558">
      <c r="N44558" s="28"/>
      <c r="O44558" s="28"/>
      <c r="U44558" s="28"/>
    </row>
    <row r="44559">
      <c r="N44559" s="28"/>
      <c r="O44559" s="28"/>
      <c r="U44559" s="28"/>
    </row>
    <row r="44560">
      <c r="N44560" s="28"/>
      <c r="O44560" s="28"/>
      <c r="U44560" s="28"/>
    </row>
    <row r="44561">
      <c r="N44561" s="28"/>
      <c r="O44561" s="28"/>
      <c r="U44561" s="28"/>
    </row>
    <row r="44562">
      <c r="N44562" s="28"/>
      <c r="O44562" s="28"/>
      <c r="U44562" s="28"/>
    </row>
    <row r="44563">
      <c r="N44563" s="28"/>
      <c r="O44563" s="28"/>
      <c r="U44563" s="28"/>
    </row>
    <row r="44564">
      <c r="N44564" s="28"/>
      <c r="O44564" s="28"/>
      <c r="U44564" s="28"/>
    </row>
    <row r="44565">
      <c r="N44565" s="28"/>
      <c r="O44565" s="28"/>
      <c r="U44565" s="28"/>
    </row>
    <row r="44566">
      <c r="N44566" s="28"/>
      <c r="O44566" s="28"/>
      <c r="U44566" s="28"/>
    </row>
    <row r="44567">
      <c r="N44567" s="28"/>
      <c r="O44567" s="28"/>
      <c r="U44567" s="28"/>
    </row>
    <row r="44568">
      <c r="N44568" s="28"/>
      <c r="O44568" s="28"/>
      <c r="U44568" s="28"/>
    </row>
    <row r="44569">
      <c r="N44569" s="28"/>
      <c r="O44569" s="28"/>
      <c r="U44569" s="28"/>
    </row>
    <row r="44570">
      <c r="N44570" s="28"/>
      <c r="O44570" s="28"/>
      <c r="U44570" s="28"/>
    </row>
    <row r="44571">
      <c r="N44571" s="28"/>
      <c r="O44571" s="28"/>
      <c r="U44571" s="28"/>
    </row>
    <row r="44572">
      <c r="N44572" s="28"/>
      <c r="O44572" s="28"/>
      <c r="U44572" s="28"/>
    </row>
    <row r="44573">
      <c r="N44573" s="28"/>
      <c r="O44573" s="28"/>
      <c r="U44573" s="28"/>
    </row>
    <row r="44574">
      <c r="N44574" s="28"/>
      <c r="O44574" s="28"/>
      <c r="U44574" s="28"/>
    </row>
    <row r="44575">
      <c r="N44575" s="28"/>
      <c r="O44575" s="28"/>
      <c r="U44575" s="28"/>
    </row>
    <row r="44576">
      <c r="N44576" s="28"/>
      <c r="O44576" s="28"/>
      <c r="U44576" s="28"/>
    </row>
    <row r="44577">
      <c r="N44577" s="28"/>
      <c r="O44577" s="28"/>
      <c r="U44577" s="28"/>
    </row>
    <row r="44578">
      <c r="N44578" s="28"/>
      <c r="O44578" s="28"/>
      <c r="U44578" s="28"/>
    </row>
    <row r="44579">
      <c r="N44579" s="28"/>
      <c r="O44579" s="28"/>
      <c r="U44579" s="28"/>
    </row>
    <row r="44580">
      <c r="N44580" s="28"/>
      <c r="O44580" s="28"/>
      <c r="U44580" s="28"/>
    </row>
    <row r="44581">
      <c r="N44581" s="28"/>
      <c r="O44581" s="28"/>
      <c r="U44581" s="28"/>
    </row>
    <row r="44582">
      <c r="N44582" s="28"/>
      <c r="O44582" s="28"/>
      <c r="U44582" s="28"/>
    </row>
    <row r="44583">
      <c r="N44583" s="28"/>
      <c r="O44583" s="28"/>
      <c r="U44583" s="28"/>
    </row>
    <row r="44584">
      <c r="N44584" s="28"/>
      <c r="O44584" s="28"/>
      <c r="U44584" s="28"/>
    </row>
    <row r="44585">
      <c r="N44585" s="28"/>
      <c r="O44585" s="28"/>
      <c r="U44585" s="28"/>
    </row>
    <row r="44586">
      <c r="N44586" s="28"/>
      <c r="O44586" s="28"/>
      <c r="U44586" s="28"/>
    </row>
    <row r="44587">
      <c r="N44587" s="28"/>
      <c r="O44587" s="28"/>
      <c r="U44587" s="28"/>
    </row>
    <row r="44588">
      <c r="N44588" s="28"/>
      <c r="O44588" s="28"/>
      <c r="U44588" s="28"/>
    </row>
    <row r="44589">
      <c r="N44589" s="28"/>
      <c r="O44589" s="28"/>
      <c r="U44589" s="28"/>
    </row>
    <row r="44590">
      <c r="N44590" s="28"/>
      <c r="O44590" s="28"/>
      <c r="U44590" s="28"/>
    </row>
    <row r="44591">
      <c r="N44591" s="28"/>
      <c r="O44591" s="28"/>
      <c r="U44591" s="28"/>
    </row>
    <row r="44592">
      <c r="N44592" s="28"/>
      <c r="O44592" s="28"/>
      <c r="U44592" s="28"/>
    </row>
    <row r="44593">
      <c r="N44593" s="28"/>
      <c r="O44593" s="28"/>
      <c r="U44593" s="28"/>
    </row>
    <row r="44594">
      <c r="N44594" s="28"/>
      <c r="O44594" s="28"/>
      <c r="U44594" s="28"/>
    </row>
    <row r="44595">
      <c r="N44595" s="28"/>
      <c r="O44595" s="28"/>
      <c r="U44595" s="28"/>
    </row>
    <row r="44596">
      <c r="N44596" s="28"/>
      <c r="O44596" s="28"/>
      <c r="U44596" s="28"/>
    </row>
    <row r="44597">
      <c r="N44597" s="28"/>
      <c r="O44597" s="28"/>
      <c r="U44597" s="28"/>
    </row>
    <row r="44598">
      <c r="N44598" s="28"/>
      <c r="O44598" s="28"/>
      <c r="U44598" s="28"/>
    </row>
    <row r="44599">
      <c r="N44599" s="28"/>
      <c r="O44599" s="28"/>
      <c r="U44599" s="28"/>
    </row>
    <row r="44600">
      <c r="N44600" s="28"/>
      <c r="O44600" s="28"/>
      <c r="U44600" s="28"/>
    </row>
    <row r="44601">
      <c r="N44601" s="28"/>
      <c r="O44601" s="28"/>
      <c r="U44601" s="28"/>
    </row>
    <row r="44602">
      <c r="N44602" s="28"/>
      <c r="O44602" s="28"/>
      <c r="U44602" s="28"/>
    </row>
    <row r="44603">
      <c r="N44603" s="28"/>
      <c r="O44603" s="28"/>
      <c r="U44603" s="28"/>
    </row>
    <row r="44604">
      <c r="N44604" s="28"/>
      <c r="O44604" s="28"/>
      <c r="U44604" s="28"/>
    </row>
    <row r="44605">
      <c r="N44605" s="28"/>
      <c r="O44605" s="28"/>
      <c r="U44605" s="28"/>
    </row>
    <row r="44606">
      <c r="N44606" s="28"/>
      <c r="O44606" s="28"/>
      <c r="U44606" s="28"/>
    </row>
    <row r="44607">
      <c r="N44607" s="28"/>
      <c r="O44607" s="28"/>
      <c r="U44607" s="28"/>
    </row>
    <row r="44608">
      <c r="N44608" s="28"/>
      <c r="O44608" s="28"/>
      <c r="U44608" s="28"/>
    </row>
    <row r="44609">
      <c r="N44609" s="28"/>
      <c r="O44609" s="28"/>
      <c r="U44609" s="28"/>
    </row>
    <row r="44610">
      <c r="N44610" s="28"/>
      <c r="O44610" s="28"/>
      <c r="U44610" s="28"/>
    </row>
    <row r="44611">
      <c r="N44611" s="28"/>
      <c r="O44611" s="28"/>
      <c r="U44611" s="28"/>
    </row>
    <row r="44612">
      <c r="N44612" s="28"/>
      <c r="O44612" s="28"/>
      <c r="U44612" s="28"/>
    </row>
    <row r="44613">
      <c r="N44613" s="28"/>
      <c r="O44613" s="28"/>
      <c r="U44613" s="28"/>
    </row>
    <row r="44614">
      <c r="N44614" s="28"/>
      <c r="O44614" s="28"/>
      <c r="U44614" s="28"/>
    </row>
    <row r="44615">
      <c r="N44615" s="28"/>
      <c r="O44615" s="28"/>
      <c r="U44615" s="28"/>
    </row>
    <row r="44616">
      <c r="N44616" s="28"/>
      <c r="O44616" s="28"/>
      <c r="U44616" s="28"/>
    </row>
    <row r="44617">
      <c r="N44617" s="28"/>
      <c r="O44617" s="28"/>
      <c r="U44617" s="28"/>
    </row>
    <row r="44618">
      <c r="N44618" s="28"/>
      <c r="O44618" s="28"/>
      <c r="U44618" s="28"/>
    </row>
    <row r="44619">
      <c r="N44619" s="28"/>
      <c r="O44619" s="28"/>
      <c r="U44619" s="28"/>
    </row>
    <row r="44620">
      <c r="N44620" s="28"/>
      <c r="O44620" s="28"/>
      <c r="U44620" s="28"/>
    </row>
    <row r="44621">
      <c r="N44621" s="28"/>
      <c r="O44621" s="28"/>
      <c r="U44621" s="28"/>
    </row>
    <row r="44622">
      <c r="N44622" s="28"/>
      <c r="O44622" s="28"/>
      <c r="U44622" s="28"/>
    </row>
    <row r="44623">
      <c r="N44623" s="28"/>
      <c r="O44623" s="28"/>
      <c r="U44623" s="28"/>
    </row>
    <row r="44624">
      <c r="N44624" s="28"/>
      <c r="O44624" s="28"/>
      <c r="U44624" s="28"/>
    </row>
    <row r="44625">
      <c r="N44625" s="28"/>
      <c r="O44625" s="28"/>
      <c r="U44625" s="28"/>
    </row>
    <row r="44626">
      <c r="N44626" s="28"/>
      <c r="O44626" s="28"/>
      <c r="U44626" s="28"/>
    </row>
    <row r="44627">
      <c r="N44627" s="28"/>
      <c r="O44627" s="28"/>
      <c r="U44627" s="28"/>
    </row>
    <row r="44628">
      <c r="N44628" s="28"/>
      <c r="O44628" s="28"/>
      <c r="U44628" s="28"/>
    </row>
    <row r="44629">
      <c r="N44629" s="28"/>
      <c r="O44629" s="28"/>
      <c r="U44629" s="28"/>
    </row>
    <row r="44630">
      <c r="N44630" s="28"/>
      <c r="O44630" s="28"/>
      <c r="U44630" s="28"/>
    </row>
    <row r="44631">
      <c r="N44631" s="28"/>
      <c r="O44631" s="28"/>
      <c r="U44631" s="28"/>
    </row>
    <row r="44632">
      <c r="N44632" s="28"/>
      <c r="O44632" s="28"/>
      <c r="U44632" s="28"/>
    </row>
    <row r="44633">
      <c r="N44633" s="28"/>
      <c r="O44633" s="28"/>
      <c r="U44633" s="28"/>
    </row>
    <row r="44634">
      <c r="N44634" s="28"/>
      <c r="O44634" s="28"/>
      <c r="U44634" s="28"/>
    </row>
    <row r="44635">
      <c r="N44635" s="28"/>
      <c r="O44635" s="28"/>
      <c r="U44635" s="28"/>
    </row>
    <row r="44636">
      <c r="N44636" s="28"/>
      <c r="O44636" s="28"/>
      <c r="U44636" s="28"/>
    </row>
    <row r="44637">
      <c r="N44637" s="28"/>
      <c r="O44637" s="28"/>
      <c r="U44637" s="28"/>
    </row>
    <row r="44638">
      <c r="N44638" s="28"/>
      <c r="O44638" s="28"/>
      <c r="U44638" s="28"/>
    </row>
    <row r="44639">
      <c r="N44639" s="28"/>
      <c r="O44639" s="28"/>
      <c r="U44639" s="28"/>
    </row>
    <row r="44640">
      <c r="N44640" s="28"/>
      <c r="O44640" s="28"/>
      <c r="U44640" s="28"/>
    </row>
    <row r="44641">
      <c r="N44641" s="28"/>
      <c r="O44641" s="28"/>
      <c r="U44641" s="28"/>
    </row>
    <row r="44642">
      <c r="N44642" s="28"/>
      <c r="O44642" s="28"/>
      <c r="U44642" s="28"/>
    </row>
    <row r="44643">
      <c r="N44643" s="28"/>
      <c r="O44643" s="28"/>
      <c r="U44643" s="28"/>
    </row>
    <row r="44644">
      <c r="N44644" s="28"/>
      <c r="O44644" s="28"/>
      <c r="U44644" s="28"/>
    </row>
    <row r="44645">
      <c r="N44645" s="28"/>
      <c r="O44645" s="28"/>
      <c r="U44645" s="28"/>
    </row>
    <row r="44646">
      <c r="N44646" s="28"/>
      <c r="O44646" s="28"/>
      <c r="U44646" s="28"/>
    </row>
    <row r="44647">
      <c r="N44647" s="28"/>
      <c r="O44647" s="28"/>
      <c r="U44647" s="28"/>
    </row>
    <row r="44648">
      <c r="N44648" s="28"/>
      <c r="O44648" s="28"/>
      <c r="U44648" s="28"/>
    </row>
    <row r="44649">
      <c r="N44649" s="28"/>
      <c r="O44649" s="28"/>
      <c r="U44649" s="28"/>
    </row>
    <row r="44650">
      <c r="N44650" s="28"/>
      <c r="O44650" s="28"/>
      <c r="U44650" s="28"/>
    </row>
    <row r="44651">
      <c r="N44651" s="28"/>
      <c r="O44651" s="28"/>
      <c r="U44651" s="28"/>
    </row>
    <row r="44652">
      <c r="N44652" s="28"/>
      <c r="O44652" s="28"/>
      <c r="U44652" s="28"/>
    </row>
    <row r="44653">
      <c r="N44653" s="28"/>
      <c r="O44653" s="28"/>
      <c r="U44653" s="28"/>
    </row>
    <row r="44654">
      <c r="N44654" s="28"/>
      <c r="O44654" s="28"/>
      <c r="U44654" s="28"/>
    </row>
    <row r="44655">
      <c r="N44655" s="28"/>
      <c r="O44655" s="28"/>
      <c r="U44655" s="28"/>
    </row>
    <row r="44656">
      <c r="N44656" s="28"/>
      <c r="O44656" s="28"/>
      <c r="U44656" s="28"/>
    </row>
    <row r="44657">
      <c r="N44657" s="28"/>
      <c r="O44657" s="28"/>
      <c r="U44657" s="28"/>
    </row>
    <row r="44658">
      <c r="N44658" s="28"/>
      <c r="O44658" s="28"/>
      <c r="U44658" s="28"/>
    </row>
    <row r="44659">
      <c r="N44659" s="28"/>
      <c r="O44659" s="28"/>
      <c r="U44659" s="28"/>
    </row>
    <row r="44660">
      <c r="N44660" s="28"/>
      <c r="O44660" s="28"/>
      <c r="U44660" s="28"/>
    </row>
    <row r="44661">
      <c r="N44661" s="28"/>
      <c r="O44661" s="28"/>
      <c r="U44661" s="28"/>
    </row>
    <row r="44662">
      <c r="N44662" s="28"/>
      <c r="O44662" s="28"/>
      <c r="U44662" s="28"/>
    </row>
    <row r="44663">
      <c r="N44663" s="28"/>
      <c r="O44663" s="28"/>
      <c r="U44663" s="28"/>
    </row>
    <row r="44664">
      <c r="N44664" s="28"/>
      <c r="O44664" s="28"/>
      <c r="U44664" s="28"/>
    </row>
    <row r="44665">
      <c r="N44665" s="28"/>
      <c r="O44665" s="28"/>
      <c r="U44665" s="28"/>
    </row>
    <row r="44666">
      <c r="N44666" s="28"/>
      <c r="O44666" s="28"/>
      <c r="U44666" s="28"/>
    </row>
    <row r="44667">
      <c r="N44667" s="28"/>
      <c r="O44667" s="28"/>
      <c r="U44667" s="28"/>
    </row>
    <row r="44668">
      <c r="N44668" s="28"/>
      <c r="O44668" s="28"/>
      <c r="U44668" s="28"/>
    </row>
    <row r="44669">
      <c r="N44669" s="28"/>
      <c r="O44669" s="28"/>
      <c r="U44669" s="28"/>
    </row>
    <row r="44670">
      <c r="N44670" s="28"/>
      <c r="O44670" s="28"/>
      <c r="U44670" s="28"/>
    </row>
    <row r="44671">
      <c r="N44671" s="28"/>
      <c r="O44671" s="28"/>
      <c r="U44671" s="28"/>
    </row>
    <row r="44672">
      <c r="N44672" s="28"/>
      <c r="O44672" s="28"/>
      <c r="U44672" s="28"/>
    </row>
    <row r="44673">
      <c r="N44673" s="28"/>
      <c r="O44673" s="28"/>
      <c r="U44673" s="28"/>
    </row>
    <row r="44674">
      <c r="N44674" s="28"/>
      <c r="O44674" s="28"/>
      <c r="U44674" s="28"/>
    </row>
    <row r="44675">
      <c r="N44675" s="28"/>
      <c r="O44675" s="28"/>
      <c r="U44675" s="28"/>
    </row>
    <row r="44676">
      <c r="N44676" s="28"/>
      <c r="O44676" s="28"/>
      <c r="U44676" s="28"/>
    </row>
    <row r="44677">
      <c r="N44677" s="28"/>
      <c r="O44677" s="28"/>
      <c r="U44677" s="28"/>
    </row>
    <row r="44678">
      <c r="N44678" s="28"/>
      <c r="O44678" s="28"/>
      <c r="U44678" s="28"/>
    </row>
    <row r="44679">
      <c r="N44679" s="28"/>
      <c r="O44679" s="28"/>
      <c r="U44679" s="28"/>
    </row>
    <row r="44680">
      <c r="N44680" s="28"/>
      <c r="O44680" s="28"/>
      <c r="U44680" s="28"/>
    </row>
    <row r="44681">
      <c r="N44681" s="28"/>
      <c r="O44681" s="28"/>
      <c r="U44681" s="28"/>
    </row>
    <row r="44682">
      <c r="N44682" s="28"/>
      <c r="O44682" s="28"/>
      <c r="U44682" s="28"/>
    </row>
    <row r="44683">
      <c r="N44683" s="28"/>
      <c r="O44683" s="28"/>
      <c r="U44683" s="28"/>
    </row>
    <row r="44684">
      <c r="N44684" s="28"/>
      <c r="O44684" s="28"/>
      <c r="U44684" s="28"/>
    </row>
    <row r="44685">
      <c r="N44685" s="28"/>
      <c r="O44685" s="28"/>
      <c r="U44685" s="28"/>
    </row>
    <row r="44686">
      <c r="N44686" s="28"/>
      <c r="O44686" s="28"/>
      <c r="U44686" s="28"/>
    </row>
    <row r="44687">
      <c r="N44687" s="28"/>
      <c r="O44687" s="28"/>
      <c r="U44687" s="28"/>
    </row>
    <row r="44688">
      <c r="N44688" s="28"/>
      <c r="O44688" s="28"/>
      <c r="U44688" s="28"/>
    </row>
    <row r="44689">
      <c r="N44689" s="28"/>
      <c r="O44689" s="28"/>
      <c r="U44689" s="28"/>
    </row>
    <row r="44690">
      <c r="N44690" s="28"/>
      <c r="O44690" s="28"/>
      <c r="U44690" s="28"/>
    </row>
    <row r="44691">
      <c r="N44691" s="28"/>
      <c r="O44691" s="28"/>
      <c r="U44691" s="28"/>
    </row>
    <row r="44692">
      <c r="N44692" s="28"/>
      <c r="O44692" s="28"/>
      <c r="U44692" s="28"/>
    </row>
    <row r="44693">
      <c r="N44693" s="28"/>
      <c r="O44693" s="28"/>
      <c r="U44693" s="28"/>
    </row>
    <row r="44694">
      <c r="N44694" s="28"/>
      <c r="O44694" s="28"/>
      <c r="U44694" s="28"/>
    </row>
    <row r="44695">
      <c r="N44695" s="28"/>
      <c r="O44695" s="28"/>
      <c r="U44695" s="28"/>
    </row>
    <row r="44696">
      <c r="N44696" s="28"/>
      <c r="O44696" s="28"/>
      <c r="U44696" s="28"/>
    </row>
    <row r="44697">
      <c r="N44697" s="28"/>
      <c r="O44697" s="28"/>
      <c r="U44697" s="28"/>
    </row>
    <row r="44698">
      <c r="N44698" s="28"/>
      <c r="O44698" s="28"/>
      <c r="U44698" s="28"/>
    </row>
    <row r="44699">
      <c r="N44699" s="28"/>
      <c r="O44699" s="28"/>
      <c r="U44699" s="28"/>
    </row>
    <row r="44700">
      <c r="N44700" s="28"/>
      <c r="O44700" s="28"/>
      <c r="U44700" s="28"/>
    </row>
    <row r="44701">
      <c r="N44701" s="28"/>
      <c r="O44701" s="28"/>
      <c r="U44701" s="28"/>
    </row>
    <row r="44702">
      <c r="N44702" s="28"/>
      <c r="O44702" s="28"/>
      <c r="U44702" s="28"/>
    </row>
    <row r="44703">
      <c r="N44703" s="28"/>
      <c r="O44703" s="28"/>
      <c r="U44703" s="28"/>
    </row>
    <row r="44704">
      <c r="N44704" s="28"/>
      <c r="O44704" s="28"/>
      <c r="U44704" s="28"/>
    </row>
    <row r="44705">
      <c r="N44705" s="28"/>
      <c r="O44705" s="28"/>
      <c r="U44705" s="28"/>
    </row>
    <row r="44706">
      <c r="N44706" s="28"/>
      <c r="O44706" s="28"/>
      <c r="U44706" s="28"/>
    </row>
    <row r="44707">
      <c r="N44707" s="28"/>
      <c r="O44707" s="28"/>
      <c r="U44707" s="28"/>
    </row>
    <row r="44708">
      <c r="N44708" s="28"/>
      <c r="O44708" s="28"/>
      <c r="U44708" s="28"/>
    </row>
    <row r="44709">
      <c r="N44709" s="28"/>
      <c r="O44709" s="28"/>
      <c r="U44709" s="28"/>
    </row>
    <row r="44710">
      <c r="N44710" s="28"/>
      <c r="O44710" s="28"/>
      <c r="U44710" s="28"/>
    </row>
    <row r="44711">
      <c r="N44711" s="28"/>
      <c r="O44711" s="28"/>
      <c r="U44711" s="28"/>
    </row>
    <row r="44712">
      <c r="N44712" s="28"/>
      <c r="O44712" s="28"/>
      <c r="U44712" s="28"/>
    </row>
    <row r="44713">
      <c r="N44713" s="28"/>
      <c r="O44713" s="28"/>
      <c r="U44713" s="28"/>
    </row>
    <row r="44714">
      <c r="N44714" s="28"/>
      <c r="O44714" s="28"/>
      <c r="U44714" s="28"/>
    </row>
    <row r="44715">
      <c r="N44715" s="28"/>
      <c r="O44715" s="28"/>
      <c r="U44715" s="28"/>
    </row>
    <row r="44716">
      <c r="N44716" s="28"/>
      <c r="O44716" s="28"/>
      <c r="U44716" s="28"/>
    </row>
    <row r="44717">
      <c r="N44717" s="28"/>
      <c r="O44717" s="28"/>
      <c r="U44717" s="28"/>
    </row>
    <row r="44718">
      <c r="N44718" s="28"/>
      <c r="O44718" s="28"/>
      <c r="U44718" s="28"/>
    </row>
    <row r="44719">
      <c r="N44719" s="28"/>
      <c r="O44719" s="28"/>
      <c r="U44719" s="28"/>
    </row>
    <row r="44720">
      <c r="N44720" s="28"/>
      <c r="O44720" s="28"/>
      <c r="U44720" s="28"/>
    </row>
    <row r="44721">
      <c r="N44721" s="28"/>
      <c r="O44721" s="28"/>
      <c r="U44721" s="28"/>
    </row>
    <row r="44722">
      <c r="N44722" s="28"/>
      <c r="O44722" s="28"/>
      <c r="U44722" s="28"/>
    </row>
    <row r="44723">
      <c r="N44723" s="28"/>
      <c r="O44723" s="28"/>
      <c r="U44723" s="28"/>
    </row>
    <row r="44724">
      <c r="N44724" s="28"/>
      <c r="O44724" s="28"/>
      <c r="U44724" s="28"/>
    </row>
    <row r="44725">
      <c r="N44725" s="28"/>
      <c r="O44725" s="28"/>
      <c r="U44725" s="28"/>
    </row>
    <row r="44726">
      <c r="N44726" s="28"/>
      <c r="O44726" s="28"/>
      <c r="U44726" s="28"/>
    </row>
    <row r="44727">
      <c r="N44727" s="28"/>
      <c r="O44727" s="28"/>
      <c r="U44727" s="28"/>
    </row>
    <row r="44728">
      <c r="N44728" s="28"/>
      <c r="O44728" s="28"/>
      <c r="U44728" s="28"/>
    </row>
    <row r="44729">
      <c r="N44729" s="28"/>
      <c r="O44729" s="28"/>
      <c r="U44729" s="28"/>
    </row>
    <row r="44730">
      <c r="N44730" s="28"/>
      <c r="O44730" s="28"/>
      <c r="U44730" s="28"/>
    </row>
    <row r="44731">
      <c r="N44731" s="28"/>
      <c r="O44731" s="28"/>
      <c r="U44731" s="28"/>
    </row>
    <row r="44732">
      <c r="N44732" s="28"/>
      <c r="O44732" s="28"/>
      <c r="U44732" s="28"/>
    </row>
    <row r="44733">
      <c r="N44733" s="28"/>
      <c r="O44733" s="28"/>
      <c r="U44733" s="28"/>
    </row>
    <row r="44734">
      <c r="N44734" s="28"/>
      <c r="O44734" s="28"/>
      <c r="U44734" s="28"/>
    </row>
    <row r="44735">
      <c r="N44735" s="28"/>
      <c r="O44735" s="28"/>
      <c r="U44735" s="28"/>
    </row>
    <row r="44736">
      <c r="N44736" s="28"/>
      <c r="O44736" s="28"/>
      <c r="U44736" s="28"/>
    </row>
    <row r="44737">
      <c r="N44737" s="28"/>
      <c r="O44737" s="28"/>
      <c r="U44737" s="28"/>
    </row>
    <row r="44738">
      <c r="N44738" s="28"/>
      <c r="O44738" s="28"/>
      <c r="U44738" s="28"/>
    </row>
    <row r="44739">
      <c r="N44739" s="28"/>
      <c r="O44739" s="28"/>
      <c r="U44739" s="28"/>
    </row>
    <row r="44740">
      <c r="N44740" s="28"/>
      <c r="O44740" s="28"/>
      <c r="U44740" s="28"/>
    </row>
    <row r="44741">
      <c r="N44741" s="28"/>
      <c r="O44741" s="28"/>
      <c r="U44741" s="28"/>
    </row>
    <row r="44742">
      <c r="N44742" s="28"/>
      <c r="O44742" s="28"/>
      <c r="U44742" s="28"/>
    </row>
    <row r="44743">
      <c r="N44743" s="28"/>
      <c r="O44743" s="28"/>
      <c r="U44743" s="28"/>
    </row>
    <row r="44744">
      <c r="N44744" s="28"/>
      <c r="O44744" s="28"/>
      <c r="U44744" s="28"/>
    </row>
    <row r="44745">
      <c r="N44745" s="28"/>
      <c r="O44745" s="28"/>
      <c r="U44745" s="28"/>
    </row>
    <row r="44746">
      <c r="N44746" s="28"/>
      <c r="O44746" s="28"/>
      <c r="U44746" s="28"/>
    </row>
    <row r="44747">
      <c r="N44747" s="28"/>
      <c r="O44747" s="28"/>
      <c r="U44747" s="28"/>
    </row>
    <row r="44748">
      <c r="N44748" s="28"/>
      <c r="O44748" s="28"/>
      <c r="U44748" s="28"/>
    </row>
    <row r="44749">
      <c r="N44749" s="28"/>
      <c r="O44749" s="28"/>
      <c r="U44749" s="28"/>
    </row>
    <row r="44750">
      <c r="N44750" s="28"/>
      <c r="O44750" s="28"/>
      <c r="U44750" s="28"/>
    </row>
    <row r="44751">
      <c r="N44751" s="28"/>
      <c r="O44751" s="28"/>
      <c r="U44751" s="28"/>
    </row>
    <row r="44752">
      <c r="N44752" s="28"/>
      <c r="O44752" s="28"/>
      <c r="U44752" s="28"/>
    </row>
    <row r="44753">
      <c r="N44753" s="28"/>
      <c r="O44753" s="28"/>
      <c r="U44753" s="28"/>
    </row>
    <row r="44754">
      <c r="N44754" s="28"/>
      <c r="O44754" s="28"/>
      <c r="U44754" s="28"/>
    </row>
    <row r="44755">
      <c r="N44755" s="28"/>
      <c r="O44755" s="28"/>
      <c r="U44755" s="28"/>
    </row>
    <row r="44756">
      <c r="N44756" s="28"/>
      <c r="O44756" s="28"/>
      <c r="U44756" s="28"/>
    </row>
    <row r="44757">
      <c r="N44757" s="28"/>
      <c r="O44757" s="28"/>
      <c r="U44757" s="28"/>
    </row>
    <row r="44758">
      <c r="N44758" s="28"/>
      <c r="O44758" s="28"/>
      <c r="U44758" s="28"/>
    </row>
    <row r="44759">
      <c r="N44759" s="28"/>
      <c r="O44759" s="28"/>
      <c r="U44759" s="28"/>
    </row>
    <row r="44760">
      <c r="N44760" s="28"/>
      <c r="O44760" s="28"/>
      <c r="U44760" s="28"/>
    </row>
    <row r="44761">
      <c r="N44761" s="28"/>
      <c r="O44761" s="28"/>
      <c r="U44761" s="28"/>
    </row>
    <row r="44762">
      <c r="N44762" s="28"/>
      <c r="O44762" s="28"/>
      <c r="U44762" s="28"/>
    </row>
    <row r="44763">
      <c r="N44763" s="28"/>
      <c r="O44763" s="28"/>
      <c r="U44763" s="28"/>
    </row>
    <row r="44764">
      <c r="N44764" s="28"/>
      <c r="O44764" s="28"/>
      <c r="U44764" s="28"/>
    </row>
    <row r="44765">
      <c r="N44765" s="28"/>
      <c r="O44765" s="28"/>
      <c r="U44765" s="28"/>
    </row>
    <row r="44766">
      <c r="N44766" s="28"/>
      <c r="O44766" s="28"/>
      <c r="U44766" s="28"/>
    </row>
    <row r="44767">
      <c r="N44767" s="28"/>
      <c r="O44767" s="28"/>
      <c r="U44767" s="28"/>
    </row>
    <row r="44768">
      <c r="N44768" s="28"/>
      <c r="O44768" s="28"/>
      <c r="U44768" s="28"/>
    </row>
    <row r="44769">
      <c r="N44769" s="28"/>
      <c r="O44769" s="28"/>
      <c r="U44769" s="28"/>
    </row>
    <row r="44770">
      <c r="N44770" s="28"/>
      <c r="O44770" s="28"/>
      <c r="U44770" s="28"/>
    </row>
    <row r="44771">
      <c r="N44771" s="28"/>
      <c r="O44771" s="28"/>
      <c r="U44771" s="28"/>
    </row>
    <row r="44772">
      <c r="N44772" s="28"/>
      <c r="O44772" s="28"/>
      <c r="U44772" s="28"/>
    </row>
    <row r="44773">
      <c r="N44773" s="28"/>
      <c r="O44773" s="28"/>
      <c r="U44773" s="28"/>
    </row>
    <row r="44774">
      <c r="N44774" s="28"/>
      <c r="O44774" s="28"/>
      <c r="U44774" s="28"/>
    </row>
    <row r="44775">
      <c r="N44775" s="28"/>
      <c r="O44775" s="28"/>
      <c r="U44775" s="28"/>
    </row>
    <row r="44776">
      <c r="N44776" s="28"/>
      <c r="O44776" s="28"/>
      <c r="U44776" s="28"/>
    </row>
    <row r="44777">
      <c r="N44777" s="28"/>
      <c r="O44777" s="28"/>
      <c r="U44777" s="28"/>
    </row>
    <row r="44778">
      <c r="N44778" s="28"/>
      <c r="O44778" s="28"/>
      <c r="U44778" s="28"/>
    </row>
    <row r="44779">
      <c r="N44779" s="28"/>
      <c r="O44779" s="28"/>
      <c r="U44779" s="28"/>
    </row>
    <row r="44780">
      <c r="N44780" s="28"/>
      <c r="O44780" s="28"/>
      <c r="U44780" s="28"/>
    </row>
    <row r="44781">
      <c r="N44781" s="28"/>
      <c r="O44781" s="28"/>
      <c r="U44781" s="28"/>
    </row>
    <row r="44782">
      <c r="N44782" s="28"/>
      <c r="O44782" s="28"/>
      <c r="U44782" s="28"/>
    </row>
    <row r="44783">
      <c r="N44783" s="28"/>
      <c r="O44783" s="28"/>
      <c r="U44783" s="28"/>
    </row>
    <row r="44784">
      <c r="N44784" s="28"/>
      <c r="O44784" s="28"/>
      <c r="U44784" s="28"/>
    </row>
    <row r="44785">
      <c r="N44785" s="28"/>
      <c r="O44785" s="28"/>
      <c r="U44785" s="28"/>
    </row>
    <row r="44786">
      <c r="N44786" s="28"/>
      <c r="O44786" s="28"/>
      <c r="U44786" s="28"/>
    </row>
    <row r="44787">
      <c r="N44787" s="28"/>
      <c r="O44787" s="28"/>
      <c r="U44787" s="28"/>
    </row>
    <row r="44788">
      <c r="N44788" s="28"/>
      <c r="O44788" s="28"/>
      <c r="U44788" s="28"/>
    </row>
    <row r="44789">
      <c r="N44789" s="28"/>
      <c r="O44789" s="28"/>
      <c r="U44789" s="28"/>
    </row>
    <row r="44790">
      <c r="N44790" s="28"/>
      <c r="O44790" s="28"/>
      <c r="U44790" s="28"/>
    </row>
    <row r="44791">
      <c r="N44791" s="28"/>
      <c r="O44791" s="28"/>
      <c r="U44791" s="28"/>
    </row>
    <row r="44792">
      <c r="N44792" s="28"/>
      <c r="O44792" s="28"/>
      <c r="U44792" s="28"/>
    </row>
    <row r="44793">
      <c r="N44793" s="28"/>
      <c r="O44793" s="28"/>
      <c r="U44793" s="28"/>
    </row>
    <row r="44794">
      <c r="N44794" s="28"/>
      <c r="O44794" s="28"/>
      <c r="U44794" s="28"/>
    </row>
    <row r="44795">
      <c r="N44795" s="28"/>
      <c r="O44795" s="28"/>
      <c r="U44795" s="28"/>
    </row>
    <row r="44796">
      <c r="N44796" s="28"/>
      <c r="O44796" s="28"/>
      <c r="U44796" s="28"/>
    </row>
    <row r="44797">
      <c r="N44797" s="28"/>
      <c r="O44797" s="28"/>
      <c r="U44797" s="28"/>
    </row>
    <row r="44798">
      <c r="N44798" s="28"/>
      <c r="O44798" s="28"/>
      <c r="U44798" s="28"/>
    </row>
    <row r="44799">
      <c r="N44799" s="28"/>
      <c r="O44799" s="28"/>
      <c r="U44799" s="28"/>
    </row>
    <row r="44800">
      <c r="N44800" s="28"/>
      <c r="O44800" s="28"/>
      <c r="U44800" s="28"/>
    </row>
    <row r="44801">
      <c r="N44801" s="28"/>
      <c r="O44801" s="28"/>
      <c r="U44801" s="28"/>
    </row>
    <row r="44802">
      <c r="N44802" s="28"/>
      <c r="O44802" s="28"/>
      <c r="U44802" s="28"/>
    </row>
    <row r="44803">
      <c r="N44803" s="28"/>
      <c r="O44803" s="28"/>
      <c r="U44803" s="28"/>
    </row>
    <row r="44804">
      <c r="N44804" s="28"/>
      <c r="O44804" s="28"/>
      <c r="U44804" s="28"/>
    </row>
    <row r="44805">
      <c r="N44805" s="28"/>
      <c r="O44805" s="28"/>
      <c r="U44805" s="28"/>
    </row>
    <row r="44806">
      <c r="N44806" s="28"/>
      <c r="O44806" s="28"/>
      <c r="U44806" s="28"/>
    </row>
    <row r="44807">
      <c r="N44807" s="28"/>
      <c r="O44807" s="28"/>
      <c r="U44807" s="28"/>
    </row>
    <row r="44808">
      <c r="N44808" s="28"/>
      <c r="O44808" s="28"/>
      <c r="U44808" s="28"/>
    </row>
    <row r="44809">
      <c r="N44809" s="28"/>
      <c r="O44809" s="28"/>
      <c r="U44809" s="28"/>
    </row>
    <row r="44810">
      <c r="N44810" s="28"/>
      <c r="O44810" s="28"/>
      <c r="U44810" s="28"/>
    </row>
    <row r="44811">
      <c r="N44811" s="28"/>
      <c r="O44811" s="28"/>
      <c r="U44811" s="28"/>
    </row>
    <row r="44812">
      <c r="N44812" s="28"/>
      <c r="O44812" s="28"/>
      <c r="U44812" s="28"/>
    </row>
    <row r="44813">
      <c r="N44813" s="28"/>
      <c r="O44813" s="28"/>
      <c r="U44813" s="28"/>
    </row>
    <row r="44814">
      <c r="N44814" s="28"/>
      <c r="O44814" s="28"/>
      <c r="U44814" s="28"/>
    </row>
    <row r="44815">
      <c r="N44815" s="28"/>
      <c r="O44815" s="28"/>
      <c r="U44815" s="28"/>
    </row>
    <row r="44816">
      <c r="N44816" s="28"/>
      <c r="O44816" s="28"/>
      <c r="U44816" s="28"/>
    </row>
    <row r="44817">
      <c r="N44817" s="28"/>
      <c r="O44817" s="28"/>
      <c r="U44817" s="28"/>
    </row>
    <row r="44818">
      <c r="N44818" s="28"/>
      <c r="O44818" s="28"/>
      <c r="U44818" s="28"/>
    </row>
    <row r="44819">
      <c r="N44819" s="28"/>
      <c r="O44819" s="28"/>
      <c r="U44819" s="28"/>
    </row>
    <row r="44820">
      <c r="N44820" s="28"/>
      <c r="O44820" s="28"/>
      <c r="U44820" s="28"/>
    </row>
    <row r="44821">
      <c r="N44821" s="28"/>
      <c r="O44821" s="28"/>
      <c r="U44821" s="28"/>
    </row>
    <row r="44822">
      <c r="N44822" s="28"/>
      <c r="O44822" s="28"/>
      <c r="U44822" s="28"/>
    </row>
    <row r="44823">
      <c r="N44823" s="28"/>
      <c r="O44823" s="28"/>
      <c r="U44823" s="28"/>
    </row>
    <row r="44824">
      <c r="N44824" s="28"/>
      <c r="O44824" s="28"/>
      <c r="U44824" s="28"/>
    </row>
    <row r="44825">
      <c r="N44825" s="28"/>
      <c r="O44825" s="28"/>
      <c r="U44825" s="28"/>
    </row>
    <row r="44826">
      <c r="N44826" s="28"/>
      <c r="O44826" s="28"/>
      <c r="U44826" s="28"/>
    </row>
    <row r="44827">
      <c r="N44827" s="28"/>
      <c r="O44827" s="28"/>
      <c r="U44827" s="28"/>
    </row>
    <row r="44828">
      <c r="N44828" s="28"/>
      <c r="O44828" s="28"/>
      <c r="U44828" s="28"/>
    </row>
    <row r="44829">
      <c r="N44829" s="28"/>
      <c r="O44829" s="28"/>
      <c r="U44829" s="28"/>
    </row>
    <row r="44830">
      <c r="N44830" s="28"/>
      <c r="O44830" s="28"/>
      <c r="U44830" s="28"/>
    </row>
    <row r="44831">
      <c r="N44831" s="28"/>
      <c r="O44831" s="28"/>
      <c r="U44831" s="28"/>
    </row>
    <row r="44832">
      <c r="N44832" s="28"/>
      <c r="O44832" s="28"/>
      <c r="U44832" s="28"/>
    </row>
    <row r="44833">
      <c r="N44833" s="28"/>
      <c r="O44833" s="28"/>
      <c r="U44833" s="28"/>
    </row>
    <row r="44834">
      <c r="N44834" s="28"/>
      <c r="O44834" s="28"/>
      <c r="U44834" s="28"/>
    </row>
    <row r="44835">
      <c r="N44835" s="28"/>
      <c r="O44835" s="28"/>
      <c r="U44835" s="28"/>
    </row>
    <row r="44836">
      <c r="N44836" s="28"/>
      <c r="O44836" s="28"/>
      <c r="U44836" s="28"/>
    </row>
    <row r="44837">
      <c r="N44837" s="28"/>
      <c r="O44837" s="28"/>
      <c r="U44837" s="28"/>
    </row>
    <row r="44838">
      <c r="N44838" s="28"/>
      <c r="O44838" s="28"/>
      <c r="U44838" s="28"/>
    </row>
    <row r="44839">
      <c r="N44839" s="28"/>
      <c r="O44839" s="28"/>
      <c r="U44839" s="28"/>
    </row>
    <row r="44840">
      <c r="N44840" s="28"/>
      <c r="O44840" s="28"/>
      <c r="U44840" s="28"/>
    </row>
    <row r="44841">
      <c r="N44841" s="28"/>
      <c r="O44841" s="28"/>
      <c r="U44841" s="28"/>
    </row>
    <row r="44842">
      <c r="N44842" s="28"/>
      <c r="O44842" s="28"/>
      <c r="U44842" s="28"/>
    </row>
    <row r="44843">
      <c r="N44843" s="28"/>
      <c r="O44843" s="28"/>
      <c r="U44843" s="28"/>
    </row>
    <row r="44844">
      <c r="N44844" s="28"/>
      <c r="O44844" s="28"/>
      <c r="U44844" s="28"/>
    </row>
    <row r="44845">
      <c r="N44845" s="28"/>
      <c r="O44845" s="28"/>
      <c r="U44845" s="28"/>
    </row>
    <row r="44846">
      <c r="N44846" s="28"/>
      <c r="O44846" s="28"/>
      <c r="U44846" s="28"/>
    </row>
    <row r="44847">
      <c r="N44847" s="28"/>
      <c r="O44847" s="28"/>
      <c r="U44847" s="28"/>
    </row>
    <row r="44848">
      <c r="N44848" s="28"/>
      <c r="O44848" s="28"/>
      <c r="U44848" s="28"/>
    </row>
    <row r="44849">
      <c r="N44849" s="28"/>
      <c r="O44849" s="28"/>
      <c r="U44849" s="28"/>
    </row>
    <row r="44850">
      <c r="N44850" s="28"/>
      <c r="O44850" s="28"/>
      <c r="U44850" s="28"/>
    </row>
    <row r="44851">
      <c r="N44851" s="28"/>
      <c r="O44851" s="28"/>
      <c r="U44851" s="28"/>
    </row>
    <row r="44852">
      <c r="N44852" s="28"/>
      <c r="O44852" s="28"/>
      <c r="U44852" s="28"/>
    </row>
    <row r="44853">
      <c r="N44853" s="28"/>
      <c r="O44853" s="28"/>
      <c r="U44853" s="28"/>
    </row>
    <row r="44854">
      <c r="N44854" s="28"/>
      <c r="O44854" s="28"/>
      <c r="U44854" s="28"/>
    </row>
    <row r="44855">
      <c r="N44855" s="28"/>
      <c r="O44855" s="28"/>
      <c r="U44855" s="28"/>
    </row>
    <row r="44856">
      <c r="N44856" s="28"/>
      <c r="O44856" s="28"/>
      <c r="U44856" s="28"/>
    </row>
    <row r="44857">
      <c r="N44857" s="28"/>
      <c r="O44857" s="28"/>
      <c r="U44857" s="28"/>
    </row>
    <row r="44858">
      <c r="N44858" s="28"/>
      <c r="O44858" s="28"/>
      <c r="U44858" s="28"/>
    </row>
    <row r="44859">
      <c r="N44859" s="28"/>
      <c r="O44859" s="28"/>
      <c r="U44859" s="28"/>
    </row>
    <row r="44860">
      <c r="N44860" s="28"/>
      <c r="O44860" s="28"/>
      <c r="U44860" s="28"/>
    </row>
    <row r="44861">
      <c r="N44861" s="28"/>
      <c r="O44861" s="28"/>
      <c r="U44861" s="28"/>
    </row>
    <row r="44862">
      <c r="N44862" s="28"/>
      <c r="O44862" s="28"/>
      <c r="U44862" s="28"/>
    </row>
    <row r="44863">
      <c r="N44863" s="28"/>
      <c r="O44863" s="28"/>
      <c r="U44863" s="28"/>
    </row>
    <row r="44864">
      <c r="N44864" s="28"/>
      <c r="O44864" s="28"/>
      <c r="U44864" s="28"/>
    </row>
    <row r="44865">
      <c r="N44865" s="28"/>
      <c r="O44865" s="28"/>
      <c r="U44865" s="28"/>
    </row>
    <row r="44866">
      <c r="N44866" s="28"/>
      <c r="O44866" s="28"/>
      <c r="U44866" s="28"/>
    </row>
    <row r="44867">
      <c r="N44867" s="28"/>
      <c r="O44867" s="28"/>
      <c r="U44867" s="28"/>
    </row>
    <row r="44868">
      <c r="N44868" s="28"/>
      <c r="O44868" s="28"/>
      <c r="U44868" s="28"/>
    </row>
    <row r="44869">
      <c r="N44869" s="28"/>
      <c r="O44869" s="28"/>
      <c r="U44869" s="28"/>
    </row>
    <row r="44870">
      <c r="N44870" s="28"/>
      <c r="O44870" s="28"/>
      <c r="U44870" s="28"/>
    </row>
    <row r="44871">
      <c r="N44871" s="28"/>
      <c r="O44871" s="28"/>
      <c r="U44871" s="28"/>
    </row>
    <row r="44872">
      <c r="N44872" s="28"/>
      <c r="O44872" s="28"/>
      <c r="U44872" s="28"/>
    </row>
    <row r="44873">
      <c r="N44873" s="28"/>
      <c r="O44873" s="28"/>
      <c r="U44873" s="28"/>
    </row>
    <row r="44874">
      <c r="N44874" s="28"/>
      <c r="O44874" s="28"/>
      <c r="U44874" s="28"/>
    </row>
    <row r="44875">
      <c r="N44875" s="28"/>
      <c r="O44875" s="28"/>
      <c r="U44875" s="28"/>
    </row>
    <row r="44876">
      <c r="N44876" s="28"/>
      <c r="O44876" s="28"/>
      <c r="U44876" s="28"/>
    </row>
    <row r="44877">
      <c r="N44877" s="28"/>
      <c r="O44877" s="28"/>
      <c r="U44877" s="28"/>
    </row>
    <row r="44878">
      <c r="N44878" s="28"/>
      <c r="O44878" s="28"/>
      <c r="U44878" s="28"/>
    </row>
    <row r="44879">
      <c r="N44879" s="28"/>
      <c r="O44879" s="28"/>
      <c r="U44879" s="28"/>
    </row>
    <row r="44880">
      <c r="N44880" s="28"/>
      <c r="O44880" s="28"/>
      <c r="U44880" s="28"/>
    </row>
    <row r="44881">
      <c r="N44881" s="28"/>
      <c r="O44881" s="28"/>
      <c r="U44881" s="28"/>
    </row>
    <row r="44882">
      <c r="N44882" s="28"/>
      <c r="O44882" s="28"/>
      <c r="U44882" s="28"/>
    </row>
    <row r="44883">
      <c r="N44883" s="28"/>
      <c r="O44883" s="28"/>
      <c r="U44883" s="28"/>
    </row>
    <row r="44884">
      <c r="N44884" s="28"/>
      <c r="O44884" s="28"/>
      <c r="U44884" s="28"/>
    </row>
    <row r="44885">
      <c r="N44885" s="28"/>
      <c r="O44885" s="28"/>
      <c r="U44885" s="28"/>
    </row>
    <row r="44886">
      <c r="N44886" s="28"/>
      <c r="O44886" s="28"/>
      <c r="U44886" s="28"/>
    </row>
    <row r="44887">
      <c r="N44887" s="28"/>
      <c r="O44887" s="28"/>
      <c r="U44887" s="28"/>
    </row>
    <row r="44888">
      <c r="N44888" s="28"/>
      <c r="O44888" s="28"/>
      <c r="U44888" s="28"/>
    </row>
    <row r="44889">
      <c r="N44889" s="28"/>
      <c r="O44889" s="28"/>
      <c r="U44889" s="28"/>
    </row>
    <row r="44890">
      <c r="N44890" s="28"/>
      <c r="O44890" s="28"/>
      <c r="U44890" s="28"/>
    </row>
    <row r="44891">
      <c r="N44891" s="28"/>
      <c r="O44891" s="28"/>
      <c r="U44891" s="28"/>
    </row>
    <row r="44892">
      <c r="N44892" s="28"/>
      <c r="O44892" s="28"/>
      <c r="U44892" s="28"/>
    </row>
    <row r="44893">
      <c r="N44893" s="28"/>
      <c r="O44893" s="28"/>
      <c r="U44893" s="28"/>
    </row>
    <row r="44894">
      <c r="N44894" s="28"/>
      <c r="O44894" s="28"/>
      <c r="U44894" s="28"/>
    </row>
    <row r="44895">
      <c r="N44895" s="28"/>
      <c r="O44895" s="28"/>
      <c r="U44895" s="28"/>
    </row>
    <row r="44896">
      <c r="N44896" s="28"/>
      <c r="O44896" s="28"/>
      <c r="U44896" s="28"/>
    </row>
    <row r="44897">
      <c r="N44897" s="28"/>
      <c r="O44897" s="28"/>
      <c r="U44897" s="28"/>
    </row>
    <row r="44898">
      <c r="N44898" s="28"/>
      <c r="O44898" s="28"/>
      <c r="U44898" s="28"/>
    </row>
    <row r="44899">
      <c r="N44899" s="28"/>
      <c r="O44899" s="28"/>
      <c r="U44899" s="28"/>
    </row>
    <row r="44900">
      <c r="N44900" s="28"/>
      <c r="O44900" s="28"/>
      <c r="U44900" s="28"/>
    </row>
    <row r="44901">
      <c r="N44901" s="28"/>
      <c r="O44901" s="28"/>
      <c r="U44901" s="28"/>
    </row>
    <row r="44902">
      <c r="N44902" s="28"/>
      <c r="O44902" s="28"/>
      <c r="U44902" s="28"/>
    </row>
    <row r="44903">
      <c r="N44903" s="28"/>
      <c r="O44903" s="28"/>
      <c r="U44903" s="28"/>
    </row>
    <row r="44904">
      <c r="N44904" s="28"/>
      <c r="O44904" s="28"/>
      <c r="U44904" s="28"/>
    </row>
    <row r="44905">
      <c r="N44905" s="28"/>
      <c r="O44905" s="28"/>
      <c r="U44905" s="28"/>
    </row>
    <row r="44906">
      <c r="N44906" s="28"/>
      <c r="O44906" s="28"/>
      <c r="U44906" s="28"/>
    </row>
    <row r="44907">
      <c r="N44907" s="28"/>
      <c r="O44907" s="28"/>
      <c r="U44907" s="28"/>
    </row>
    <row r="44908">
      <c r="N44908" s="28"/>
      <c r="O44908" s="28"/>
      <c r="U44908" s="28"/>
    </row>
    <row r="44909">
      <c r="N44909" s="28"/>
      <c r="O44909" s="28"/>
      <c r="U44909" s="28"/>
    </row>
    <row r="44910">
      <c r="N44910" s="28"/>
      <c r="O44910" s="28"/>
      <c r="U44910" s="28"/>
    </row>
    <row r="44911">
      <c r="N44911" s="28"/>
      <c r="O44911" s="28"/>
      <c r="U44911" s="28"/>
    </row>
    <row r="44912">
      <c r="N44912" s="28"/>
      <c r="O44912" s="28"/>
      <c r="U44912" s="28"/>
    </row>
    <row r="44913">
      <c r="N44913" s="28"/>
      <c r="O44913" s="28"/>
      <c r="U44913" s="28"/>
    </row>
    <row r="44914">
      <c r="N44914" s="28"/>
      <c r="O44914" s="28"/>
      <c r="U44914" s="28"/>
    </row>
    <row r="44915">
      <c r="N44915" s="28"/>
      <c r="O44915" s="28"/>
      <c r="U44915" s="28"/>
    </row>
    <row r="44916">
      <c r="N44916" s="28"/>
      <c r="O44916" s="28"/>
      <c r="U44916" s="28"/>
    </row>
    <row r="44917">
      <c r="N44917" s="28"/>
      <c r="O44917" s="28"/>
      <c r="U44917" s="28"/>
    </row>
    <row r="44918">
      <c r="N44918" s="28"/>
      <c r="O44918" s="28"/>
      <c r="U44918" s="28"/>
    </row>
    <row r="44919">
      <c r="N44919" s="28"/>
      <c r="O44919" s="28"/>
      <c r="U44919" s="28"/>
    </row>
    <row r="44920">
      <c r="N44920" s="28"/>
      <c r="O44920" s="28"/>
      <c r="U44920" s="28"/>
    </row>
    <row r="44921">
      <c r="N44921" s="28"/>
      <c r="O44921" s="28"/>
      <c r="U44921" s="28"/>
    </row>
    <row r="44922">
      <c r="N44922" s="28"/>
      <c r="O44922" s="28"/>
      <c r="U44922" s="28"/>
    </row>
    <row r="44923">
      <c r="N44923" s="28"/>
      <c r="O44923" s="28"/>
      <c r="U44923" s="28"/>
    </row>
    <row r="44924">
      <c r="N44924" s="28"/>
      <c r="O44924" s="28"/>
      <c r="U44924" s="28"/>
    </row>
    <row r="44925">
      <c r="N44925" s="28"/>
      <c r="O44925" s="28"/>
      <c r="U44925" s="28"/>
    </row>
    <row r="44926">
      <c r="N44926" s="28"/>
      <c r="O44926" s="28"/>
      <c r="U44926" s="28"/>
    </row>
    <row r="44927">
      <c r="N44927" s="28"/>
      <c r="O44927" s="28"/>
      <c r="U44927" s="28"/>
    </row>
    <row r="44928">
      <c r="N44928" s="28"/>
      <c r="O44928" s="28"/>
      <c r="U44928" s="28"/>
    </row>
    <row r="44929">
      <c r="N44929" s="28"/>
      <c r="O44929" s="28"/>
      <c r="U44929" s="28"/>
    </row>
    <row r="44930">
      <c r="N44930" s="28"/>
      <c r="O44930" s="28"/>
      <c r="U44930" s="28"/>
    </row>
    <row r="44931">
      <c r="N44931" s="28"/>
      <c r="O44931" s="28"/>
      <c r="U44931" s="28"/>
    </row>
    <row r="44932">
      <c r="N44932" s="28"/>
      <c r="O44932" s="28"/>
      <c r="U44932" s="28"/>
    </row>
    <row r="44933">
      <c r="N44933" s="28"/>
      <c r="O44933" s="28"/>
      <c r="U44933" s="28"/>
    </row>
    <row r="44934">
      <c r="N44934" s="28"/>
      <c r="O44934" s="28"/>
      <c r="U44934" s="28"/>
    </row>
    <row r="44935">
      <c r="N44935" s="28"/>
      <c r="O44935" s="28"/>
      <c r="U44935" s="28"/>
    </row>
    <row r="44936">
      <c r="N44936" s="28"/>
      <c r="O44936" s="28"/>
      <c r="U44936" s="28"/>
    </row>
    <row r="44937">
      <c r="N44937" s="28"/>
      <c r="O44937" s="28"/>
      <c r="U44937" s="28"/>
    </row>
    <row r="44938">
      <c r="N44938" s="28"/>
      <c r="O44938" s="28"/>
      <c r="U44938" s="28"/>
    </row>
    <row r="44939">
      <c r="N44939" s="28"/>
      <c r="O44939" s="28"/>
      <c r="U44939" s="28"/>
    </row>
    <row r="44940">
      <c r="N44940" s="28"/>
      <c r="O44940" s="28"/>
      <c r="U44940" s="28"/>
    </row>
    <row r="44941">
      <c r="N44941" s="28"/>
      <c r="O44941" s="28"/>
      <c r="U44941" s="28"/>
    </row>
    <row r="44942">
      <c r="N44942" s="28"/>
      <c r="O44942" s="28"/>
      <c r="U44942" s="28"/>
    </row>
    <row r="44943">
      <c r="N44943" s="28"/>
      <c r="O44943" s="28"/>
      <c r="U44943" s="28"/>
    </row>
    <row r="44944">
      <c r="N44944" s="28"/>
      <c r="O44944" s="28"/>
      <c r="U44944" s="28"/>
    </row>
    <row r="44945">
      <c r="N44945" s="28"/>
      <c r="O44945" s="28"/>
      <c r="U44945" s="28"/>
    </row>
    <row r="44946">
      <c r="N44946" s="28"/>
      <c r="O44946" s="28"/>
      <c r="U44946" s="28"/>
    </row>
    <row r="44947">
      <c r="N44947" s="28"/>
      <c r="O44947" s="28"/>
      <c r="U44947" s="28"/>
    </row>
    <row r="44948">
      <c r="N44948" s="28"/>
      <c r="O44948" s="28"/>
      <c r="U44948" s="28"/>
    </row>
    <row r="44949">
      <c r="N44949" s="28"/>
      <c r="O44949" s="28"/>
      <c r="U44949" s="28"/>
    </row>
    <row r="44950">
      <c r="N44950" s="28"/>
      <c r="O44950" s="28"/>
      <c r="U44950" s="28"/>
    </row>
    <row r="44951">
      <c r="N44951" s="28"/>
      <c r="O44951" s="28"/>
      <c r="U44951" s="28"/>
    </row>
    <row r="44952">
      <c r="N44952" s="28"/>
      <c r="O44952" s="28"/>
      <c r="U44952" s="28"/>
    </row>
    <row r="44953">
      <c r="N44953" s="28"/>
      <c r="O44953" s="28"/>
      <c r="U44953" s="28"/>
    </row>
    <row r="44954">
      <c r="N44954" s="28"/>
      <c r="O44954" s="28"/>
      <c r="U44954" s="28"/>
    </row>
    <row r="44955">
      <c r="N44955" s="28"/>
      <c r="O44955" s="28"/>
      <c r="U44955" s="28"/>
    </row>
    <row r="44956">
      <c r="N44956" s="28"/>
      <c r="O44956" s="28"/>
      <c r="U44956" s="28"/>
    </row>
    <row r="44957">
      <c r="N44957" s="28"/>
      <c r="O44957" s="28"/>
      <c r="U44957" s="28"/>
    </row>
    <row r="44958">
      <c r="N44958" s="28"/>
      <c r="O44958" s="28"/>
      <c r="U44958" s="28"/>
    </row>
    <row r="44959">
      <c r="N44959" s="28"/>
      <c r="O44959" s="28"/>
      <c r="U44959" s="28"/>
    </row>
    <row r="44960">
      <c r="N44960" s="28"/>
      <c r="O44960" s="28"/>
      <c r="U44960" s="28"/>
    </row>
    <row r="44961">
      <c r="N44961" s="28"/>
      <c r="O44961" s="28"/>
      <c r="U44961" s="28"/>
    </row>
    <row r="44962">
      <c r="N44962" s="28"/>
      <c r="O44962" s="28"/>
      <c r="U44962" s="28"/>
    </row>
    <row r="44963">
      <c r="N44963" s="28"/>
      <c r="O44963" s="28"/>
      <c r="U44963" s="28"/>
    </row>
    <row r="44964">
      <c r="N44964" s="28"/>
      <c r="O44964" s="28"/>
      <c r="U44964" s="28"/>
    </row>
    <row r="44965">
      <c r="N44965" s="28"/>
      <c r="O44965" s="28"/>
      <c r="U44965" s="28"/>
    </row>
    <row r="44966">
      <c r="N44966" s="28"/>
      <c r="O44966" s="28"/>
      <c r="U44966" s="28"/>
    </row>
    <row r="44967">
      <c r="N44967" s="28"/>
      <c r="O44967" s="28"/>
      <c r="U44967" s="28"/>
    </row>
    <row r="44968">
      <c r="N44968" s="28"/>
      <c r="O44968" s="28"/>
      <c r="U44968" s="28"/>
    </row>
    <row r="44969">
      <c r="N44969" s="28"/>
      <c r="O44969" s="28"/>
      <c r="U44969" s="28"/>
    </row>
    <row r="44970">
      <c r="N44970" s="28"/>
      <c r="O44970" s="28"/>
      <c r="U44970" s="28"/>
    </row>
    <row r="44971">
      <c r="N44971" s="28"/>
      <c r="O44971" s="28"/>
      <c r="U44971" s="28"/>
    </row>
    <row r="44972">
      <c r="N44972" s="28"/>
      <c r="O44972" s="28"/>
      <c r="U44972" s="28"/>
    </row>
    <row r="44973">
      <c r="N44973" s="28"/>
      <c r="O44973" s="28"/>
      <c r="U44973" s="28"/>
    </row>
    <row r="44974">
      <c r="N44974" s="28"/>
      <c r="O44974" s="28"/>
      <c r="U44974" s="28"/>
    </row>
    <row r="44975">
      <c r="N44975" s="28"/>
      <c r="O44975" s="28"/>
      <c r="U44975" s="28"/>
    </row>
    <row r="44976">
      <c r="N44976" s="28"/>
      <c r="O44976" s="28"/>
      <c r="U44976" s="28"/>
    </row>
    <row r="44977">
      <c r="N44977" s="28"/>
      <c r="O44977" s="28"/>
      <c r="U44977" s="28"/>
    </row>
    <row r="44978">
      <c r="N44978" s="28"/>
      <c r="O44978" s="28"/>
      <c r="U44978" s="28"/>
    </row>
    <row r="44979">
      <c r="N44979" s="28"/>
      <c r="O44979" s="28"/>
      <c r="U44979" s="28"/>
    </row>
    <row r="44980">
      <c r="N44980" s="28"/>
      <c r="O44980" s="28"/>
      <c r="U44980" s="28"/>
    </row>
    <row r="44981">
      <c r="N44981" s="28"/>
      <c r="O44981" s="28"/>
      <c r="U44981" s="28"/>
    </row>
    <row r="44982">
      <c r="N44982" s="28"/>
      <c r="O44982" s="28"/>
      <c r="U44982" s="28"/>
    </row>
    <row r="44983">
      <c r="N44983" s="28"/>
      <c r="O44983" s="28"/>
      <c r="U44983" s="28"/>
    </row>
    <row r="44984">
      <c r="N44984" s="28"/>
      <c r="O44984" s="28"/>
      <c r="U44984" s="28"/>
    </row>
    <row r="44985">
      <c r="N44985" s="28"/>
      <c r="O44985" s="28"/>
      <c r="U44985" s="28"/>
    </row>
    <row r="44986">
      <c r="N44986" s="28"/>
      <c r="O44986" s="28"/>
      <c r="U44986" s="28"/>
    </row>
    <row r="44987">
      <c r="N44987" s="28"/>
      <c r="O44987" s="28"/>
      <c r="U44987" s="28"/>
    </row>
    <row r="44988">
      <c r="N44988" s="28"/>
      <c r="O44988" s="28"/>
      <c r="U44988" s="28"/>
    </row>
    <row r="44989">
      <c r="N44989" s="28"/>
      <c r="O44989" s="28"/>
      <c r="U44989" s="28"/>
    </row>
    <row r="44990">
      <c r="N44990" s="28"/>
      <c r="O44990" s="28"/>
      <c r="U44990" s="28"/>
    </row>
    <row r="44991">
      <c r="N44991" s="28"/>
      <c r="O44991" s="28"/>
      <c r="U44991" s="28"/>
    </row>
    <row r="44992">
      <c r="N44992" s="28"/>
      <c r="O44992" s="28"/>
      <c r="U44992" s="28"/>
    </row>
    <row r="44993">
      <c r="N44993" s="28"/>
      <c r="O44993" s="28"/>
      <c r="U44993" s="28"/>
    </row>
    <row r="44994">
      <c r="N44994" s="28"/>
      <c r="O44994" s="28"/>
      <c r="U44994" s="28"/>
    </row>
    <row r="44995">
      <c r="N44995" s="28"/>
      <c r="O44995" s="28"/>
      <c r="U44995" s="28"/>
    </row>
    <row r="44996">
      <c r="N44996" s="28"/>
      <c r="O44996" s="28"/>
      <c r="U44996" s="28"/>
    </row>
    <row r="44997">
      <c r="N44997" s="28"/>
      <c r="O44997" s="28"/>
      <c r="U44997" s="28"/>
    </row>
    <row r="44998">
      <c r="N44998" s="28"/>
      <c r="O44998" s="28"/>
      <c r="U44998" s="28"/>
    </row>
    <row r="44999">
      <c r="N44999" s="28"/>
      <c r="O44999" s="28"/>
      <c r="U44999" s="28"/>
    </row>
    <row r="45000">
      <c r="N45000" s="28"/>
      <c r="O45000" s="28"/>
      <c r="U45000" s="28"/>
    </row>
    <row r="45001">
      <c r="N45001" s="28"/>
      <c r="O45001" s="28"/>
      <c r="U45001" s="28"/>
    </row>
    <row r="45002">
      <c r="N45002" s="28"/>
      <c r="O45002" s="28"/>
      <c r="U45002" s="28"/>
    </row>
    <row r="45003">
      <c r="N45003" s="28"/>
      <c r="O45003" s="28"/>
      <c r="U45003" s="28"/>
    </row>
    <row r="45004">
      <c r="N45004" s="28"/>
      <c r="O45004" s="28"/>
      <c r="U45004" s="28"/>
    </row>
    <row r="45005">
      <c r="N45005" s="28"/>
      <c r="O45005" s="28"/>
      <c r="U45005" s="28"/>
    </row>
    <row r="45006">
      <c r="N45006" s="28"/>
      <c r="O45006" s="28"/>
      <c r="U45006" s="28"/>
    </row>
    <row r="45007">
      <c r="N45007" s="28"/>
      <c r="O45007" s="28"/>
      <c r="U45007" s="28"/>
    </row>
    <row r="45008">
      <c r="N45008" s="28"/>
      <c r="O45008" s="28"/>
      <c r="U45008" s="28"/>
    </row>
    <row r="45009">
      <c r="N45009" s="28"/>
      <c r="O45009" s="28"/>
      <c r="U45009" s="28"/>
    </row>
    <row r="45010">
      <c r="N45010" s="28"/>
      <c r="O45010" s="28"/>
      <c r="U45010" s="28"/>
    </row>
    <row r="45011">
      <c r="N45011" s="28"/>
      <c r="O45011" s="28"/>
      <c r="U45011" s="28"/>
    </row>
    <row r="45012">
      <c r="N45012" s="28"/>
      <c r="O45012" s="28"/>
      <c r="U45012" s="28"/>
    </row>
    <row r="45013">
      <c r="N45013" s="28"/>
      <c r="O45013" s="28"/>
      <c r="U45013" s="28"/>
    </row>
    <row r="45014">
      <c r="N45014" s="28"/>
      <c r="O45014" s="28"/>
      <c r="U45014" s="28"/>
    </row>
    <row r="45015">
      <c r="N45015" s="28"/>
      <c r="O45015" s="28"/>
      <c r="U45015" s="28"/>
    </row>
    <row r="45016">
      <c r="N45016" s="28"/>
      <c r="O45016" s="28"/>
      <c r="U45016" s="28"/>
    </row>
    <row r="45017">
      <c r="N45017" s="28"/>
      <c r="O45017" s="28"/>
      <c r="U45017" s="28"/>
    </row>
    <row r="45018">
      <c r="N45018" s="28"/>
      <c r="O45018" s="28"/>
      <c r="U45018" s="28"/>
    </row>
    <row r="45019">
      <c r="N45019" s="28"/>
      <c r="O45019" s="28"/>
      <c r="U45019" s="28"/>
    </row>
    <row r="45020">
      <c r="N45020" s="28"/>
      <c r="O45020" s="28"/>
      <c r="U45020" s="28"/>
    </row>
    <row r="45021">
      <c r="N45021" s="28"/>
      <c r="O45021" s="28"/>
      <c r="U45021" s="28"/>
    </row>
    <row r="45022">
      <c r="N45022" s="28"/>
      <c r="O45022" s="28"/>
      <c r="U45022" s="28"/>
    </row>
    <row r="45023">
      <c r="N45023" s="28"/>
      <c r="O45023" s="28"/>
      <c r="U45023" s="28"/>
    </row>
    <row r="45024">
      <c r="N45024" s="28"/>
      <c r="O45024" s="28"/>
      <c r="U45024" s="28"/>
    </row>
    <row r="45025">
      <c r="N45025" s="28"/>
      <c r="O45025" s="28"/>
      <c r="U45025" s="28"/>
    </row>
    <row r="45026">
      <c r="N45026" s="28"/>
      <c r="O45026" s="28"/>
      <c r="U45026" s="28"/>
    </row>
    <row r="45027">
      <c r="N45027" s="28"/>
      <c r="O45027" s="28"/>
      <c r="U45027" s="28"/>
    </row>
    <row r="45028">
      <c r="N45028" s="28"/>
      <c r="O45028" s="28"/>
      <c r="U45028" s="28"/>
    </row>
    <row r="45029">
      <c r="N45029" s="28"/>
      <c r="O45029" s="28"/>
      <c r="U45029" s="28"/>
    </row>
    <row r="45030">
      <c r="N45030" s="28"/>
      <c r="O45030" s="28"/>
      <c r="U45030" s="28"/>
    </row>
    <row r="45031">
      <c r="N45031" s="28"/>
      <c r="O45031" s="28"/>
      <c r="U45031" s="28"/>
    </row>
    <row r="45032">
      <c r="N45032" s="28"/>
      <c r="O45032" s="28"/>
      <c r="U45032" s="28"/>
    </row>
    <row r="45033">
      <c r="N45033" s="28"/>
      <c r="O45033" s="28"/>
      <c r="U45033" s="28"/>
    </row>
    <row r="45034">
      <c r="N45034" s="28"/>
      <c r="O45034" s="28"/>
      <c r="U45034" s="28"/>
    </row>
    <row r="45035">
      <c r="N45035" s="28"/>
      <c r="O45035" s="28"/>
      <c r="U45035" s="28"/>
    </row>
    <row r="45036">
      <c r="N45036" s="28"/>
      <c r="O45036" s="28"/>
      <c r="U45036" s="28"/>
    </row>
    <row r="45037">
      <c r="N45037" s="28"/>
      <c r="O45037" s="28"/>
      <c r="U45037" s="28"/>
    </row>
    <row r="45038">
      <c r="N45038" s="28"/>
      <c r="O45038" s="28"/>
      <c r="U45038" s="28"/>
    </row>
    <row r="45039">
      <c r="N45039" s="28"/>
      <c r="O45039" s="28"/>
      <c r="U45039" s="28"/>
    </row>
    <row r="45040">
      <c r="N45040" s="28"/>
      <c r="O45040" s="28"/>
      <c r="U45040" s="28"/>
    </row>
    <row r="45041">
      <c r="N45041" s="28"/>
      <c r="O45041" s="28"/>
      <c r="U45041" s="28"/>
    </row>
    <row r="45042">
      <c r="N45042" s="28"/>
      <c r="O45042" s="28"/>
      <c r="U45042" s="28"/>
    </row>
    <row r="45043">
      <c r="N45043" s="28"/>
      <c r="O45043" s="28"/>
      <c r="U45043" s="28"/>
    </row>
    <row r="45044">
      <c r="N45044" s="28"/>
      <c r="O45044" s="28"/>
      <c r="U45044" s="28"/>
    </row>
    <row r="45045">
      <c r="N45045" s="28"/>
      <c r="O45045" s="28"/>
      <c r="U45045" s="28"/>
    </row>
    <row r="45046">
      <c r="N45046" s="28"/>
      <c r="O45046" s="28"/>
      <c r="U45046" s="28"/>
    </row>
    <row r="45047">
      <c r="N45047" s="28"/>
      <c r="O45047" s="28"/>
      <c r="U45047" s="28"/>
    </row>
    <row r="45048">
      <c r="N45048" s="28"/>
      <c r="O45048" s="28"/>
      <c r="U45048" s="28"/>
    </row>
    <row r="45049">
      <c r="N45049" s="28"/>
      <c r="O45049" s="28"/>
      <c r="U45049" s="28"/>
    </row>
    <row r="45050">
      <c r="N45050" s="28"/>
      <c r="O45050" s="28"/>
      <c r="U45050" s="28"/>
    </row>
    <row r="45051">
      <c r="N45051" s="28"/>
      <c r="O45051" s="28"/>
      <c r="U45051" s="28"/>
    </row>
    <row r="45052">
      <c r="N45052" s="28"/>
      <c r="O45052" s="28"/>
      <c r="U45052" s="28"/>
    </row>
    <row r="45053">
      <c r="N45053" s="28"/>
      <c r="O45053" s="28"/>
      <c r="U45053" s="28"/>
    </row>
    <row r="45054">
      <c r="N45054" s="28"/>
      <c r="O45054" s="28"/>
      <c r="U45054" s="28"/>
    </row>
    <row r="45055">
      <c r="N45055" s="28"/>
      <c r="O45055" s="28"/>
      <c r="U45055" s="28"/>
    </row>
    <row r="45056">
      <c r="N45056" s="28"/>
      <c r="O45056" s="28"/>
      <c r="U45056" s="28"/>
    </row>
    <row r="45057">
      <c r="N45057" s="28"/>
      <c r="O45057" s="28"/>
      <c r="U45057" s="28"/>
    </row>
    <row r="45058">
      <c r="N45058" s="28"/>
      <c r="O45058" s="28"/>
      <c r="U45058" s="28"/>
    </row>
    <row r="45059">
      <c r="N45059" s="28"/>
      <c r="O45059" s="28"/>
      <c r="U45059" s="28"/>
    </row>
    <row r="45060">
      <c r="N45060" s="28"/>
      <c r="O45060" s="28"/>
      <c r="U45060" s="28"/>
    </row>
    <row r="45061">
      <c r="N45061" s="28"/>
      <c r="O45061" s="28"/>
      <c r="U45061" s="28"/>
    </row>
    <row r="45062">
      <c r="N45062" s="28"/>
      <c r="O45062" s="28"/>
      <c r="U45062" s="28"/>
    </row>
    <row r="45063">
      <c r="N45063" s="28"/>
      <c r="O45063" s="28"/>
      <c r="U45063" s="28"/>
    </row>
    <row r="45064">
      <c r="N45064" s="28"/>
      <c r="O45064" s="28"/>
      <c r="U45064" s="28"/>
    </row>
    <row r="45065">
      <c r="N45065" s="28"/>
      <c r="O45065" s="28"/>
      <c r="U45065" s="28"/>
    </row>
    <row r="45066">
      <c r="N45066" s="28"/>
      <c r="O45066" s="28"/>
      <c r="U45066" s="28"/>
    </row>
    <row r="45067">
      <c r="N45067" s="28"/>
      <c r="O45067" s="28"/>
      <c r="U45067" s="28"/>
    </row>
    <row r="45068">
      <c r="N45068" s="28"/>
      <c r="O45068" s="28"/>
      <c r="U45068" s="28"/>
    </row>
    <row r="45069">
      <c r="N45069" s="28"/>
      <c r="O45069" s="28"/>
      <c r="U45069" s="28"/>
    </row>
    <row r="45070">
      <c r="N45070" s="28"/>
      <c r="O45070" s="28"/>
      <c r="U45070" s="28"/>
    </row>
    <row r="45071">
      <c r="N45071" s="28"/>
      <c r="O45071" s="28"/>
      <c r="U45071" s="28"/>
    </row>
    <row r="45072">
      <c r="N45072" s="28"/>
      <c r="O45072" s="28"/>
      <c r="U45072" s="28"/>
    </row>
    <row r="45073">
      <c r="N45073" s="28"/>
      <c r="O45073" s="28"/>
      <c r="U45073" s="28"/>
    </row>
    <row r="45074">
      <c r="N45074" s="28"/>
      <c r="O45074" s="28"/>
      <c r="U45074" s="28"/>
    </row>
    <row r="45075">
      <c r="N45075" s="28"/>
      <c r="O45075" s="28"/>
      <c r="U45075" s="28"/>
    </row>
    <row r="45076">
      <c r="N45076" s="28"/>
      <c r="O45076" s="28"/>
      <c r="U45076" s="28"/>
    </row>
    <row r="45077">
      <c r="N45077" s="28"/>
      <c r="O45077" s="28"/>
      <c r="U45077" s="28"/>
    </row>
    <row r="45078">
      <c r="N45078" s="28"/>
      <c r="O45078" s="28"/>
      <c r="U45078" s="28"/>
    </row>
    <row r="45079">
      <c r="N45079" s="28"/>
      <c r="O45079" s="28"/>
      <c r="U45079" s="28"/>
    </row>
    <row r="45080">
      <c r="N45080" s="28"/>
      <c r="O45080" s="28"/>
      <c r="U45080" s="28"/>
    </row>
    <row r="45081">
      <c r="N45081" s="28"/>
      <c r="O45081" s="28"/>
      <c r="U45081" s="28"/>
    </row>
    <row r="45082">
      <c r="N45082" s="28"/>
      <c r="O45082" s="28"/>
      <c r="U45082" s="28"/>
    </row>
    <row r="45083">
      <c r="N45083" s="28"/>
      <c r="O45083" s="28"/>
      <c r="U45083" s="28"/>
    </row>
    <row r="45084">
      <c r="N45084" s="28"/>
      <c r="O45084" s="28"/>
      <c r="U45084" s="28"/>
    </row>
    <row r="45085">
      <c r="N45085" s="28"/>
      <c r="O45085" s="28"/>
      <c r="U45085" s="28"/>
    </row>
    <row r="45086">
      <c r="N45086" s="28"/>
      <c r="O45086" s="28"/>
      <c r="U45086" s="28"/>
    </row>
    <row r="45087">
      <c r="N45087" s="28"/>
      <c r="O45087" s="28"/>
      <c r="U45087" s="28"/>
    </row>
    <row r="45088">
      <c r="N45088" s="28"/>
      <c r="O45088" s="28"/>
      <c r="U45088" s="28"/>
    </row>
    <row r="45089">
      <c r="N45089" s="28"/>
      <c r="O45089" s="28"/>
      <c r="U45089" s="28"/>
    </row>
    <row r="45090">
      <c r="N45090" s="28"/>
      <c r="O45090" s="28"/>
      <c r="U45090" s="28"/>
    </row>
    <row r="45091">
      <c r="N45091" s="28"/>
      <c r="O45091" s="28"/>
      <c r="U45091" s="28"/>
    </row>
    <row r="45092">
      <c r="N45092" s="28"/>
      <c r="O45092" s="28"/>
      <c r="U45092" s="28"/>
    </row>
    <row r="45093">
      <c r="N45093" s="28"/>
      <c r="O45093" s="28"/>
      <c r="U45093" s="28"/>
    </row>
    <row r="45094">
      <c r="N45094" s="28"/>
      <c r="O45094" s="28"/>
      <c r="U45094" s="28"/>
    </row>
    <row r="45095">
      <c r="N45095" s="28"/>
      <c r="O45095" s="28"/>
      <c r="U45095" s="28"/>
    </row>
    <row r="45096">
      <c r="N45096" s="28"/>
      <c r="O45096" s="28"/>
      <c r="U45096" s="28"/>
    </row>
    <row r="45097">
      <c r="N45097" s="28"/>
      <c r="O45097" s="28"/>
      <c r="U45097" s="28"/>
    </row>
    <row r="45098">
      <c r="N45098" s="28"/>
      <c r="O45098" s="28"/>
      <c r="U45098" s="28"/>
    </row>
    <row r="45099">
      <c r="N45099" s="28"/>
      <c r="O45099" s="28"/>
      <c r="U45099" s="28"/>
    </row>
    <row r="45100">
      <c r="N45100" s="28"/>
      <c r="O45100" s="28"/>
      <c r="U45100" s="28"/>
    </row>
    <row r="45101">
      <c r="N45101" s="28"/>
      <c r="O45101" s="28"/>
      <c r="U45101" s="28"/>
    </row>
    <row r="45102">
      <c r="N45102" s="28"/>
      <c r="O45102" s="28"/>
      <c r="U45102" s="28"/>
    </row>
    <row r="45103">
      <c r="N45103" s="28"/>
      <c r="O45103" s="28"/>
      <c r="U45103" s="28"/>
    </row>
    <row r="45104">
      <c r="N45104" s="28"/>
      <c r="O45104" s="28"/>
      <c r="U45104" s="28"/>
    </row>
    <row r="45105">
      <c r="N45105" s="28"/>
      <c r="O45105" s="28"/>
      <c r="U45105" s="28"/>
    </row>
    <row r="45106">
      <c r="N45106" s="28"/>
      <c r="O45106" s="28"/>
      <c r="U45106" s="28"/>
    </row>
    <row r="45107">
      <c r="N45107" s="28"/>
      <c r="O45107" s="28"/>
      <c r="U45107" s="28"/>
    </row>
    <row r="45108">
      <c r="N45108" s="28"/>
      <c r="O45108" s="28"/>
      <c r="U45108" s="28"/>
    </row>
    <row r="45109">
      <c r="N45109" s="28"/>
      <c r="O45109" s="28"/>
      <c r="U45109" s="28"/>
    </row>
    <row r="45110">
      <c r="N45110" s="28"/>
      <c r="O45110" s="28"/>
      <c r="U45110" s="28"/>
    </row>
    <row r="45111">
      <c r="N45111" s="28"/>
      <c r="O45111" s="28"/>
      <c r="U45111" s="28"/>
    </row>
    <row r="45112">
      <c r="N45112" s="28"/>
      <c r="O45112" s="28"/>
      <c r="U45112" s="28"/>
    </row>
    <row r="45113">
      <c r="N45113" s="28"/>
      <c r="O45113" s="28"/>
      <c r="U45113" s="28"/>
    </row>
    <row r="45114">
      <c r="N45114" s="28"/>
      <c r="O45114" s="28"/>
      <c r="U45114" s="28"/>
    </row>
    <row r="45115">
      <c r="N45115" s="28"/>
      <c r="O45115" s="28"/>
      <c r="U45115" s="28"/>
    </row>
    <row r="45116">
      <c r="N45116" s="28"/>
      <c r="O45116" s="28"/>
      <c r="U45116" s="28"/>
    </row>
    <row r="45117">
      <c r="N45117" s="28"/>
      <c r="O45117" s="28"/>
      <c r="U45117" s="28"/>
    </row>
    <row r="45118">
      <c r="N45118" s="28"/>
      <c r="O45118" s="28"/>
      <c r="U45118" s="28"/>
    </row>
    <row r="45119">
      <c r="N45119" s="28"/>
      <c r="O45119" s="28"/>
      <c r="U45119" s="28"/>
    </row>
    <row r="45120">
      <c r="N45120" s="28"/>
      <c r="O45120" s="28"/>
      <c r="U45120" s="28"/>
    </row>
    <row r="45121">
      <c r="N45121" s="28"/>
      <c r="O45121" s="28"/>
      <c r="U45121" s="28"/>
    </row>
    <row r="45122">
      <c r="N45122" s="28"/>
      <c r="O45122" s="28"/>
      <c r="U45122" s="28"/>
    </row>
    <row r="45123">
      <c r="N45123" s="28"/>
      <c r="O45123" s="28"/>
      <c r="U45123" s="28"/>
    </row>
    <row r="45124">
      <c r="N45124" s="28"/>
      <c r="O45124" s="28"/>
      <c r="U45124" s="28"/>
    </row>
    <row r="45125">
      <c r="N45125" s="28"/>
      <c r="O45125" s="28"/>
      <c r="U45125" s="28"/>
    </row>
    <row r="45126">
      <c r="N45126" s="28"/>
      <c r="O45126" s="28"/>
      <c r="U45126" s="28"/>
    </row>
    <row r="45127">
      <c r="N45127" s="28"/>
      <c r="O45127" s="28"/>
      <c r="U45127" s="28"/>
    </row>
    <row r="45128">
      <c r="N45128" s="28"/>
      <c r="O45128" s="28"/>
      <c r="U45128" s="28"/>
    </row>
    <row r="45129">
      <c r="N45129" s="28"/>
      <c r="O45129" s="28"/>
      <c r="U45129" s="28"/>
    </row>
    <row r="45130">
      <c r="N45130" s="28"/>
      <c r="O45130" s="28"/>
      <c r="U45130" s="28"/>
    </row>
    <row r="45131">
      <c r="N45131" s="28"/>
      <c r="O45131" s="28"/>
      <c r="U45131" s="28"/>
    </row>
    <row r="45132">
      <c r="N45132" s="28"/>
      <c r="O45132" s="28"/>
      <c r="U45132" s="28"/>
    </row>
    <row r="45133">
      <c r="N45133" s="28"/>
      <c r="O45133" s="28"/>
      <c r="U45133" s="28"/>
    </row>
    <row r="45134">
      <c r="N45134" s="28"/>
      <c r="O45134" s="28"/>
      <c r="U45134" s="28"/>
    </row>
    <row r="45135">
      <c r="N45135" s="28"/>
      <c r="O45135" s="28"/>
      <c r="U45135" s="28"/>
    </row>
    <row r="45136">
      <c r="N45136" s="28"/>
      <c r="O45136" s="28"/>
      <c r="U45136" s="28"/>
    </row>
    <row r="45137">
      <c r="N45137" s="28"/>
      <c r="O45137" s="28"/>
      <c r="U45137" s="28"/>
    </row>
    <row r="45138">
      <c r="N45138" s="28"/>
      <c r="O45138" s="28"/>
      <c r="U45138" s="28"/>
    </row>
    <row r="45139">
      <c r="N45139" s="28"/>
      <c r="O45139" s="28"/>
      <c r="U45139" s="28"/>
    </row>
    <row r="45140">
      <c r="N45140" s="28"/>
      <c r="O45140" s="28"/>
      <c r="U45140" s="28"/>
    </row>
    <row r="45141">
      <c r="N45141" s="28"/>
      <c r="O45141" s="28"/>
      <c r="U45141" s="28"/>
    </row>
    <row r="45142">
      <c r="N45142" s="28"/>
      <c r="O45142" s="28"/>
      <c r="U45142" s="28"/>
    </row>
    <row r="45143">
      <c r="N45143" s="28"/>
      <c r="O45143" s="28"/>
      <c r="U45143" s="28"/>
    </row>
    <row r="45144">
      <c r="N45144" s="28"/>
      <c r="O45144" s="28"/>
      <c r="U45144" s="28"/>
    </row>
    <row r="45145">
      <c r="N45145" s="28"/>
      <c r="O45145" s="28"/>
      <c r="U45145" s="28"/>
    </row>
    <row r="45146">
      <c r="N45146" s="28"/>
      <c r="O45146" s="28"/>
      <c r="U45146" s="28"/>
    </row>
    <row r="45147">
      <c r="N45147" s="28"/>
      <c r="O45147" s="28"/>
      <c r="U45147" s="28"/>
    </row>
    <row r="45148">
      <c r="N45148" s="28"/>
      <c r="O45148" s="28"/>
      <c r="U45148" s="28"/>
    </row>
    <row r="45149">
      <c r="N45149" s="28"/>
      <c r="O45149" s="28"/>
      <c r="U45149" s="28"/>
    </row>
    <row r="45150">
      <c r="N45150" s="28"/>
      <c r="O45150" s="28"/>
      <c r="U45150" s="28"/>
    </row>
    <row r="45151">
      <c r="N45151" s="28"/>
      <c r="O45151" s="28"/>
      <c r="U45151" s="28"/>
    </row>
    <row r="45152">
      <c r="N45152" s="28"/>
      <c r="O45152" s="28"/>
      <c r="U45152" s="28"/>
    </row>
    <row r="45153">
      <c r="N45153" s="28"/>
      <c r="O45153" s="28"/>
      <c r="U45153" s="28"/>
    </row>
    <row r="45154">
      <c r="N45154" s="28"/>
      <c r="O45154" s="28"/>
      <c r="U45154" s="28"/>
    </row>
    <row r="45155">
      <c r="N45155" s="28"/>
      <c r="O45155" s="28"/>
      <c r="U45155" s="28"/>
    </row>
    <row r="45156">
      <c r="N45156" s="28"/>
      <c r="O45156" s="28"/>
      <c r="U45156" s="28"/>
    </row>
    <row r="45157">
      <c r="N45157" s="28"/>
      <c r="O45157" s="28"/>
      <c r="U45157" s="28"/>
    </row>
    <row r="45158">
      <c r="N45158" s="28"/>
      <c r="O45158" s="28"/>
      <c r="U45158" s="28"/>
    </row>
    <row r="45159">
      <c r="N45159" s="28"/>
      <c r="O45159" s="28"/>
      <c r="U45159" s="28"/>
    </row>
    <row r="45160">
      <c r="N45160" s="28"/>
      <c r="O45160" s="28"/>
      <c r="U45160" s="28"/>
    </row>
    <row r="45161">
      <c r="N45161" s="28"/>
      <c r="O45161" s="28"/>
      <c r="U45161" s="28"/>
    </row>
    <row r="45162">
      <c r="N45162" s="28"/>
      <c r="O45162" s="28"/>
      <c r="U45162" s="28"/>
    </row>
    <row r="45163">
      <c r="N45163" s="28"/>
      <c r="O45163" s="28"/>
      <c r="U45163" s="28"/>
    </row>
    <row r="45164">
      <c r="N45164" s="28"/>
      <c r="O45164" s="28"/>
      <c r="U45164" s="28"/>
    </row>
    <row r="45165">
      <c r="N45165" s="28"/>
      <c r="O45165" s="28"/>
      <c r="U45165" s="28"/>
    </row>
    <row r="45166">
      <c r="N45166" s="28"/>
      <c r="O45166" s="28"/>
      <c r="U45166" s="28"/>
    </row>
    <row r="45167">
      <c r="N45167" s="28"/>
      <c r="O45167" s="28"/>
      <c r="U45167" s="28"/>
    </row>
    <row r="45168">
      <c r="N45168" s="28"/>
      <c r="O45168" s="28"/>
      <c r="U45168" s="28"/>
    </row>
    <row r="45169">
      <c r="N45169" s="28"/>
      <c r="O45169" s="28"/>
      <c r="U45169" s="28"/>
    </row>
    <row r="45170">
      <c r="N45170" s="28"/>
      <c r="O45170" s="28"/>
      <c r="U45170" s="28"/>
    </row>
    <row r="45171">
      <c r="N45171" s="28"/>
      <c r="O45171" s="28"/>
      <c r="U45171" s="28"/>
    </row>
    <row r="45172">
      <c r="N45172" s="28"/>
      <c r="O45172" s="28"/>
      <c r="U45172" s="28"/>
    </row>
    <row r="45173">
      <c r="N45173" s="28"/>
      <c r="O45173" s="28"/>
      <c r="U45173" s="28"/>
    </row>
    <row r="45174">
      <c r="N45174" s="28"/>
      <c r="O45174" s="28"/>
      <c r="U45174" s="28"/>
    </row>
    <row r="45175">
      <c r="N45175" s="28"/>
      <c r="O45175" s="28"/>
      <c r="U45175" s="28"/>
    </row>
    <row r="45176">
      <c r="N45176" s="28"/>
      <c r="O45176" s="28"/>
      <c r="U45176" s="28"/>
    </row>
    <row r="45177">
      <c r="N45177" s="28"/>
      <c r="O45177" s="28"/>
      <c r="U45177" s="28"/>
    </row>
    <row r="45178">
      <c r="N45178" s="28"/>
      <c r="O45178" s="28"/>
      <c r="U45178" s="28"/>
    </row>
    <row r="45179">
      <c r="N45179" s="28"/>
      <c r="O45179" s="28"/>
      <c r="U45179" s="28"/>
    </row>
    <row r="45180">
      <c r="N45180" s="28"/>
      <c r="O45180" s="28"/>
      <c r="U45180" s="28"/>
    </row>
    <row r="45181">
      <c r="N45181" s="28"/>
      <c r="O45181" s="28"/>
      <c r="U45181" s="28"/>
    </row>
    <row r="45182">
      <c r="N45182" s="28"/>
      <c r="O45182" s="28"/>
      <c r="U45182" s="28"/>
    </row>
    <row r="45183">
      <c r="N45183" s="28"/>
      <c r="O45183" s="28"/>
      <c r="U45183" s="28"/>
    </row>
    <row r="45184">
      <c r="N45184" s="28"/>
      <c r="O45184" s="28"/>
      <c r="U45184" s="28"/>
    </row>
    <row r="45185">
      <c r="N45185" s="28"/>
      <c r="O45185" s="28"/>
      <c r="U45185" s="28"/>
    </row>
    <row r="45186">
      <c r="N45186" s="28"/>
      <c r="O45186" s="28"/>
      <c r="U45186" s="28"/>
    </row>
    <row r="45187">
      <c r="N45187" s="28"/>
      <c r="O45187" s="28"/>
      <c r="U45187" s="28"/>
    </row>
    <row r="45188">
      <c r="N45188" s="28"/>
      <c r="O45188" s="28"/>
      <c r="U45188" s="28"/>
    </row>
    <row r="45189">
      <c r="N45189" s="28"/>
      <c r="O45189" s="28"/>
      <c r="U45189" s="28"/>
    </row>
    <row r="45190">
      <c r="N45190" s="28"/>
      <c r="O45190" s="28"/>
      <c r="U45190" s="28"/>
    </row>
    <row r="45191">
      <c r="N45191" s="28"/>
      <c r="O45191" s="28"/>
      <c r="U45191" s="28"/>
    </row>
    <row r="45192">
      <c r="N45192" s="28"/>
      <c r="O45192" s="28"/>
      <c r="U45192" s="28"/>
    </row>
    <row r="45193">
      <c r="N45193" s="28"/>
      <c r="O45193" s="28"/>
      <c r="U45193" s="28"/>
    </row>
    <row r="45194">
      <c r="N45194" s="28"/>
      <c r="O45194" s="28"/>
      <c r="U45194" s="28"/>
    </row>
    <row r="45195">
      <c r="N45195" s="28"/>
      <c r="O45195" s="28"/>
      <c r="U45195" s="28"/>
    </row>
    <row r="45196">
      <c r="N45196" s="28"/>
      <c r="O45196" s="28"/>
      <c r="U45196" s="28"/>
    </row>
    <row r="45197">
      <c r="N45197" s="28"/>
      <c r="O45197" s="28"/>
      <c r="U45197" s="28"/>
    </row>
    <row r="45198">
      <c r="N45198" s="28"/>
      <c r="O45198" s="28"/>
      <c r="U45198" s="28"/>
    </row>
    <row r="45199">
      <c r="N45199" s="28"/>
      <c r="O45199" s="28"/>
      <c r="U45199" s="28"/>
    </row>
    <row r="45200">
      <c r="N45200" s="28"/>
      <c r="O45200" s="28"/>
      <c r="U45200" s="28"/>
    </row>
    <row r="45201">
      <c r="N45201" s="28"/>
      <c r="O45201" s="28"/>
      <c r="U45201" s="28"/>
    </row>
    <row r="45202">
      <c r="N45202" s="28"/>
      <c r="O45202" s="28"/>
      <c r="U45202" s="28"/>
    </row>
    <row r="45203">
      <c r="N45203" s="28"/>
      <c r="O45203" s="28"/>
      <c r="U45203" s="28"/>
    </row>
    <row r="45204">
      <c r="N45204" s="28"/>
      <c r="O45204" s="28"/>
      <c r="U45204" s="28"/>
    </row>
    <row r="45205">
      <c r="N45205" s="28"/>
      <c r="O45205" s="28"/>
      <c r="U45205" s="28"/>
    </row>
    <row r="45206">
      <c r="N45206" s="28"/>
      <c r="O45206" s="28"/>
      <c r="U45206" s="28"/>
    </row>
    <row r="45207">
      <c r="N45207" s="28"/>
      <c r="O45207" s="28"/>
      <c r="U45207" s="28"/>
    </row>
    <row r="45208">
      <c r="N45208" s="28"/>
      <c r="O45208" s="28"/>
      <c r="U45208" s="28"/>
    </row>
    <row r="45209">
      <c r="N45209" s="28"/>
      <c r="O45209" s="28"/>
      <c r="U45209" s="28"/>
    </row>
    <row r="45210">
      <c r="N45210" s="28"/>
      <c r="O45210" s="28"/>
      <c r="U45210" s="28"/>
    </row>
    <row r="45211">
      <c r="N45211" s="28"/>
      <c r="O45211" s="28"/>
      <c r="U45211" s="28"/>
    </row>
    <row r="45212">
      <c r="N45212" s="28"/>
      <c r="O45212" s="28"/>
      <c r="U45212" s="28"/>
    </row>
    <row r="45213">
      <c r="N45213" s="28"/>
      <c r="O45213" s="28"/>
      <c r="U45213" s="28"/>
    </row>
    <row r="45214">
      <c r="N45214" s="28"/>
      <c r="O45214" s="28"/>
      <c r="U45214" s="28"/>
    </row>
    <row r="45215">
      <c r="N45215" s="28"/>
      <c r="O45215" s="28"/>
      <c r="U45215" s="28"/>
    </row>
    <row r="45216">
      <c r="N45216" s="28"/>
      <c r="O45216" s="28"/>
      <c r="U45216" s="28"/>
    </row>
    <row r="45217">
      <c r="N45217" s="28"/>
      <c r="O45217" s="28"/>
      <c r="U45217" s="28"/>
    </row>
    <row r="45218">
      <c r="N45218" s="28"/>
      <c r="O45218" s="28"/>
      <c r="U45218" s="28"/>
    </row>
    <row r="45219">
      <c r="N45219" s="28"/>
      <c r="O45219" s="28"/>
      <c r="U45219" s="28"/>
    </row>
    <row r="45220">
      <c r="N45220" s="28"/>
      <c r="O45220" s="28"/>
      <c r="U45220" s="28"/>
    </row>
    <row r="45221">
      <c r="N45221" s="28"/>
      <c r="O45221" s="28"/>
      <c r="U45221" s="28"/>
    </row>
    <row r="45222">
      <c r="N45222" s="28"/>
      <c r="O45222" s="28"/>
      <c r="U45222" s="28"/>
    </row>
    <row r="45223">
      <c r="N45223" s="28"/>
      <c r="O45223" s="28"/>
      <c r="U45223" s="28"/>
    </row>
    <row r="45224">
      <c r="N45224" s="28"/>
      <c r="O45224" s="28"/>
      <c r="U45224" s="28"/>
    </row>
    <row r="45225">
      <c r="N45225" s="28"/>
      <c r="O45225" s="28"/>
      <c r="U45225" s="28"/>
    </row>
    <row r="45226">
      <c r="N45226" s="28"/>
      <c r="O45226" s="28"/>
      <c r="U45226" s="28"/>
    </row>
    <row r="45227">
      <c r="N45227" s="28"/>
      <c r="O45227" s="28"/>
      <c r="U45227" s="28"/>
    </row>
    <row r="45228">
      <c r="N45228" s="28"/>
      <c r="O45228" s="28"/>
      <c r="U45228" s="28"/>
    </row>
    <row r="45229">
      <c r="N45229" s="28"/>
      <c r="O45229" s="28"/>
      <c r="U45229" s="28"/>
    </row>
    <row r="45230">
      <c r="N45230" s="28"/>
      <c r="O45230" s="28"/>
      <c r="U45230" s="28"/>
    </row>
    <row r="45231">
      <c r="N45231" s="28"/>
      <c r="O45231" s="28"/>
      <c r="U45231" s="28"/>
    </row>
    <row r="45232">
      <c r="N45232" s="28"/>
      <c r="O45232" s="28"/>
      <c r="U45232" s="28"/>
    </row>
    <row r="45233">
      <c r="N45233" s="28"/>
      <c r="O45233" s="28"/>
      <c r="U45233" s="28"/>
    </row>
    <row r="45234">
      <c r="N45234" s="28"/>
      <c r="O45234" s="28"/>
      <c r="U45234" s="28"/>
    </row>
    <row r="45235">
      <c r="N45235" s="28"/>
      <c r="O45235" s="28"/>
      <c r="U45235" s="28"/>
    </row>
    <row r="45236">
      <c r="N45236" s="28"/>
      <c r="O45236" s="28"/>
      <c r="U45236" s="28"/>
    </row>
    <row r="45237">
      <c r="N45237" s="28"/>
      <c r="O45237" s="28"/>
      <c r="U45237" s="28"/>
    </row>
    <row r="45238">
      <c r="N45238" s="28"/>
      <c r="O45238" s="28"/>
      <c r="U45238" s="28"/>
    </row>
    <row r="45239">
      <c r="N45239" s="28"/>
      <c r="O45239" s="28"/>
      <c r="U45239" s="28"/>
    </row>
    <row r="45240">
      <c r="N45240" s="28"/>
      <c r="O45240" s="28"/>
      <c r="U45240" s="28"/>
    </row>
    <row r="45241">
      <c r="N45241" s="28"/>
      <c r="O45241" s="28"/>
      <c r="U45241" s="28"/>
    </row>
    <row r="45242">
      <c r="N45242" s="28"/>
      <c r="O45242" s="28"/>
      <c r="U45242" s="28"/>
    </row>
    <row r="45243">
      <c r="N45243" s="28"/>
      <c r="O45243" s="28"/>
      <c r="U45243" s="28"/>
    </row>
    <row r="45244">
      <c r="N45244" s="28"/>
      <c r="O45244" s="28"/>
      <c r="U45244" s="28"/>
    </row>
    <row r="45245">
      <c r="N45245" s="28"/>
      <c r="O45245" s="28"/>
      <c r="U45245" s="28"/>
    </row>
    <row r="45246">
      <c r="N45246" s="28"/>
      <c r="O45246" s="28"/>
      <c r="U45246" s="28"/>
    </row>
    <row r="45247">
      <c r="N45247" s="28"/>
      <c r="O45247" s="28"/>
      <c r="U45247" s="28"/>
    </row>
    <row r="45248">
      <c r="N45248" s="28"/>
      <c r="O45248" s="28"/>
      <c r="U45248" s="28"/>
    </row>
    <row r="45249">
      <c r="N45249" s="28"/>
      <c r="O45249" s="28"/>
      <c r="U45249" s="28"/>
    </row>
    <row r="45250">
      <c r="N45250" s="28"/>
      <c r="O45250" s="28"/>
      <c r="U45250" s="28"/>
    </row>
    <row r="45251">
      <c r="N45251" s="28"/>
      <c r="O45251" s="28"/>
      <c r="U45251" s="28"/>
    </row>
    <row r="45252">
      <c r="N45252" s="28"/>
      <c r="O45252" s="28"/>
      <c r="U45252" s="28"/>
    </row>
    <row r="45253">
      <c r="N45253" s="28"/>
      <c r="O45253" s="28"/>
      <c r="U45253" s="28"/>
    </row>
    <row r="45254">
      <c r="N45254" s="28"/>
      <c r="O45254" s="28"/>
      <c r="U45254" s="28"/>
    </row>
    <row r="45255">
      <c r="N45255" s="28"/>
      <c r="O45255" s="28"/>
      <c r="U45255" s="28"/>
    </row>
    <row r="45256">
      <c r="N45256" s="28"/>
      <c r="O45256" s="28"/>
      <c r="U45256" s="28"/>
    </row>
    <row r="45257">
      <c r="N45257" s="28"/>
      <c r="O45257" s="28"/>
      <c r="U45257" s="28"/>
    </row>
    <row r="45258">
      <c r="N45258" s="28"/>
      <c r="O45258" s="28"/>
      <c r="U45258" s="28"/>
    </row>
    <row r="45259">
      <c r="N45259" s="28"/>
      <c r="O45259" s="28"/>
      <c r="U45259" s="28"/>
    </row>
    <row r="45260">
      <c r="N45260" s="28"/>
      <c r="O45260" s="28"/>
      <c r="U45260" s="28"/>
    </row>
    <row r="45261">
      <c r="N45261" s="28"/>
      <c r="O45261" s="28"/>
      <c r="U45261" s="28"/>
    </row>
    <row r="45262">
      <c r="N45262" s="28"/>
      <c r="O45262" s="28"/>
      <c r="U45262" s="28"/>
    </row>
    <row r="45263">
      <c r="N45263" s="28"/>
      <c r="O45263" s="28"/>
      <c r="U45263" s="28"/>
    </row>
    <row r="45264">
      <c r="N45264" s="28"/>
      <c r="O45264" s="28"/>
      <c r="U45264" s="28"/>
    </row>
    <row r="45265">
      <c r="N45265" s="28"/>
      <c r="O45265" s="28"/>
      <c r="U45265" s="28"/>
    </row>
    <row r="45266">
      <c r="N45266" s="28"/>
      <c r="O45266" s="28"/>
      <c r="U45266" s="28"/>
    </row>
    <row r="45267">
      <c r="N45267" s="28"/>
      <c r="O45267" s="28"/>
      <c r="U45267" s="28"/>
    </row>
    <row r="45268">
      <c r="N45268" s="28"/>
      <c r="O45268" s="28"/>
      <c r="U45268" s="28"/>
    </row>
    <row r="45269">
      <c r="N45269" s="28"/>
      <c r="O45269" s="28"/>
      <c r="U45269" s="28"/>
    </row>
    <row r="45270">
      <c r="N45270" s="28"/>
      <c r="O45270" s="28"/>
      <c r="U45270" s="28"/>
    </row>
    <row r="45271">
      <c r="N45271" s="28"/>
      <c r="O45271" s="28"/>
      <c r="U45271" s="28"/>
    </row>
    <row r="45272">
      <c r="N45272" s="28"/>
      <c r="O45272" s="28"/>
      <c r="U45272" s="28"/>
    </row>
    <row r="45273">
      <c r="N45273" s="28"/>
      <c r="O45273" s="28"/>
      <c r="U45273" s="28"/>
    </row>
    <row r="45274">
      <c r="N45274" s="28"/>
      <c r="O45274" s="28"/>
      <c r="U45274" s="28"/>
    </row>
    <row r="45275">
      <c r="N45275" s="28"/>
      <c r="O45275" s="28"/>
      <c r="U45275" s="28"/>
    </row>
    <row r="45276">
      <c r="N45276" s="28"/>
      <c r="O45276" s="28"/>
      <c r="U45276" s="28"/>
    </row>
    <row r="45277">
      <c r="N45277" s="28"/>
      <c r="O45277" s="28"/>
      <c r="U45277" s="28"/>
    </row>
    <row r="45278">
      <c r="N45278" s="28"/>
      <c r="O45278" s="28"/>
      <c r="U45278" s="28"/>
    </row>
    <row r="45279">
      <c r="N45279" s="28"/>
      <c r="O45279" s="28"/>
      <c r="U45279" s="28"/>
    </row>
    <row r="45280">
      <c r="N45280" s="28"/>
      <c r="O45280" s="28"/>
      <c r="U45280" s="28"/>
    </row>
    <row r="45281">
      <c r="N45281" s="28"/>
      <c r="O45281" s="28"/>
      <c r="U45281" s="28"/>
    </row>
    <row r="45282">
      <c r="N45282" s="28"/>
      <c r="O45282" s="28"/>
      <c r="U45282" s="28"/>
    </row>
    <row r="45283">
      <c r="N45283" s="28"/>
      <c r="O45283" s="28"/>
      <c r="U45283" s="28"/>
    </row>
    <row r="45284">
      <c r="N45284" s="28"/>
      <c r="O45284" s="28"/>
      <c r="U45284" s="28"/>
    </row>
    <row r="45285">
      <c r="N45285" s="28"/>
      <c r="O45285" s="28"/>
      <c r="U45285" s="28"/>
    </row>
    <row r="45286">
      <c r="N45286" s="28"/>
      <c r="O45286" s="28"/>
      <c r="U45286" s="28"/>
    </row>
    <row r="45287">
      <c r="N45287" s="28"/>
      <c r="O45287" s="28"/>
      <c r="U45287" s="28"/>
    </row>
    <row r="45288">
      <c r="N45288" s="28"/>
      <c r="O45288" s="28"/>
      <c r="U45288" s="28"/>
    </row>
    <row r="45289">
      <c r="N45289" s="28"/>
      <c r="O45289" s="28"/>
      <c r="U45289" s="28"/>
    </row>
    <row r="45290">
      <c r="N45290" s="28"/>
      <c r="O45290" s="28"/>
      <c r="U45290" s="28"/>
    </row>
    <row r="45291">
      <c r="N45291" s="28"/>
      <c r="O45291" s="28"/>
      <c r="U45291" s="28"/>
    </row>
    <row r="45292">
      <c r="N45292" s="28"/>
      <c r="O45292" s="28"/>
      <c r="U45292" s="28"/>
    </row>
    <row r="45293">
      <c r="N45293" s="28"/>
      <c r="O45293" s="28"/>
      <c r="U45293" s="28"/>
    </row>
    <row r="45294">
      <c r="N45294" s="28"/>
      <c r="O45294" s="28"/>
      <c r="U45294" s="28"/>
    </row>
    <row r="45295">
      <c r="N45295" s="28"/>
      <c r="O45295" s="28"/>
      <c r="U45295" s="28"/>
    </row>
    <row r="45296">
      <c r="N45296" s="28"/>
      <c r="O45296" s="28"/>
      <c r="U45296" s="28"/>
    </row>
    <row r="45297">
      <c r="N45297" s="28"/>
      <c r="O45297" s="28"/>
      <c r="U45297" s="28"/>
    </row>
    <row r="45298">
      <c r="N45298" s="28"/>
      <c r="O45298" s="28"/>
      <c r="U45298" s="28"/>
    </row>
    <row r="45299">
      <c r="N45299" s="28"/>
      <c r="O45299" s="28"/>
      <c r="U45299" s="28"/>
    </row>
    <row r="45300">
      <c r="N45300" s="28"/>
      <c r="O45300" s="28"/>
      <c r="U45300" s="28"/>
    </row>
    <row r="45301">
      <c r="N45301" s="28"/>
      <c r="O45301" s="28"/>
      <c r="U45301" s="28"/>
    </row>
    <row r="45302">
      <c r="N45302" s="28"/>
      <c r="O45302" s="28"/>
      <c r="U45302" s="28"/>
    </row>
    <row r="45303">
      <c r="N45303" s="28"/>
      <c r="O45303" s="28"/>
      <c r="U45303" s="28"/>
    </row>
    <row r="45304">
      <c r="N45304" s="28"/>
      <c r="O45304" s="28"/>
      <c r="U45304" s="28"/>
    </row>
    <row r="45305">
      <c r="N45305" s="28"/>
      <c r="O45305" s="28"/>
      <c r="U45305" s="28"/>
    </row>
    <row r="45306">
      <c r="N45306" s="28"/>
      <c r="O45306" s="28"/>
      <c r="U45306" s="28"/>
    </row>
    <row r="45307">
      <c r="N45307" s="28"/>
      <c r="O45307" s="28"/>
      <c r="U45307" s="28"/>
    </row>
    <row r="45308">
      <c r="N45308" s="28"/>
      <c r="O45308" s="28"/>
      <c r="U45308" s="28"/>
    </row>
    <row r="45309">
      <c r="N45309" s="28"/>
      <c r="O45309" s="28"/>
      <c r="U45309" s="28"/>
    </row>
    <row r="45310">
      <c r="N45310" s="28"/>
      <c r="O45310" s="28"/>
      <c r="U45310" s="28"/>
    </row>
    <row r="45311">
      <c r="N45311" s="28"/>
      <c r="O45311" s="28"/>
      <c r="U45311" s="28"/>
    </row>
    <row r="45312">
      <c r="N45312" s="28"/>
      <c r="O45312" s="28"/>
      <c r="U45312" s="28"/>
    </row>
    <row r="45313">
      <c r="N45313" s="28"/>
      <c r="O45313" s="28"/>
      <c r="U45313" s="28"/>
    </row>
    <row r="45314">
      <c r="N45314" s="28"/>
      <c r="O45314" s="28"/>
      <c r="U45314" s="28"/>
    </row>
    <row r="45315">
      <c r="N45315" s="28"/>
      <c r="O45315" s="28"/>
      <c r="U45315" s="28"/>
    </row>
    <row r="45316">
      <c r="N45316" s="28"/>
      <c r="O45316" s="28"/>
      <c r="U45316" s="28"/>
    </row>
    <row r="45317">
      <c r="N45317" s="28"/>
      <c r="O45317" s="28"/>
      <c r="U45317" s="28"/>
    </row>
    <row r="45318">
      <c r="N45318" s="28"/>
      <c r="O45318" s="28"/>
      <c r="U45318" s="28"/>
    </row>
    <row r="45319">
      <c r="N45319" s="28"/>
      <c r="O45319" s="28"/>
      <c r="U45319" s="28"/>
    </row>
    <row r="45320">
      <c r="N45320" s="28"/>
      <c r="O45320" s="28"/>
      <c r="U45320" s="28"/>
    </row>
    <row r="45321">
      <c r="N45321" s="28"/>
      <c r="O45321" s="28"/>
      <c r="U45321" s="28"/>
    </row>
    <row r="45322">
      <c r="N45322" s="28"/>
      <c r="O45322" s="28"/>
      <c r="U45322" s="28"/>
    </row>
    <row r="45323">
      <c r="N45323" s="28"/>
      <c r="O45323" s="28"/>
      <c r="U45323" s="28"/>
    </row>
    <row r="45324">
      <c r="N45324" s="28"/>
      <c r="O45324" s="28"/>
      <c r="U45324" s="28"/>
    </row>
    <row r="45325">
      <c r="N45325" s="28"/>
      <c r="O45325" s="28"/>
      <c r="U45325" s="28"/>
    </row>
    <row r="45326">
      <c r="N45326" s="28"/>
      <c r="O45326" s="28"/>
      <c r="U45326" s="28"/>
    </row>
    <row r="45327">
      <c r="N45327" s="28"/>
      <c r="O45327" s="28"/>
      <c r="U45327" s="28"/>
    </row>
    <row r="45328">
      <c r="N45328" s="28"/>
      <c r="O45328" s="28"/>
      <c r="U45328" s="28"/>
    </row>
    <row r="45329">
      <c r="N45329" s="28"/>
      <c r="O45329" s="28"/>
      <c r="U45329" s="28"/>
    </row>
    <row r="45330">
      <c r="N45330" s="28"/>
      <c r="O45330" s="28"/>
      <c r="U45330" s="28"/>
    </row>
    <row r="45331">
      <c r="N45331" s="28"/>
      <c r="O45331" s="28"/>
      <c r="U45331" s="28"/>
    </row>
    <row r="45332">
      <c r="N45332" s="28"/>
      <c r="O45332" s="28"/>
      <c r="U45332" s="28"/>
    </row>
    <row r="45333">
      <c r="N45333" s="28"/>
      <c r="O45333" s="28"/>
      <c r="U45333" s="28"/>
    </row>
    <row r="45334">
      <c r="N45334" s="28"/>
      <c r="O45334" s="28"/>
      <c r="U45334" s="28"/>
    </row>
    <row r="45335">
      <c r="N45335" s="28"/>
      <c r="O45335" s="28"/>
      <c r="U45335" s="28"/>
    </row>
    <row r="45336">
      <c r="N45336" s="28"/>
      <c r="O45336" s="28"/>
      <c r="U45336" s="28"/>
    </row>
    <row r="45337">
      <c r="N45337" s="28"/>
      <c r="O45337" s="28"/>
      <c r="U45337" s="28"/>
    </row>
    <row r="45338">
      <c r="N45338" s="28"/>
      <c r="O45338" s="28"/>
      <c r="U45338" s="28"/>
    </row>
    <row r="45339">
      <c r="N45339" s="28"/>
      <c r="O45339" s="28"/>
      <c r="U45339" s="28"/>
    </row>
    <row r="45340">
      <c r="N45340" s="28"/>
      <c r="O45340" s="28"/>
      <c r="U45340" s="28"/>
    </row>
    <row r="45341">
      <c r="N45341" s="28"/>
      <c r="O45341" s="28"/>
      <c r="U45341" s="28"/>
    </row>
    <row r="45342">
      <c r="N45342" s="28"/>
      <c r="O45342" s="28"/>
      <c r="U45342" s="28"/>
    </row>
    <row r="45343">
      <c r="N45343" s="28"/>
      <c r="O45343" s="28"/>
      <c r="U45343" s="28"/>
    </row>
    <row r="45344">
      <c r="N45344" s="28"/>
      <c r="O45344" s="28"/>
      <c r="U45344" s="28"/>
    </row>
    <row r="45345">
      <c r="N45345" s="28"/>
      <c r="O45345" s="28"/>
      <c r="U45345" s="28"/>
    </row>
    <row r="45346">
      <c r="N45346" s="28"/>
      <c r="O45346" s="28"/>
      <c r="U45346" s="28"/>
    </row>
    <row r="45347">
      <c r="N45347" s="28"/>
      <c r="O45347" s="28"/>
      <c r="U45347" s="28"/>
    </row>
    <row r="45348">
      <c r="N45348" s="28"/>
      <c r="O45348" s="28"/>
      <c r="U45348" s="28"/>
    </row>
    <row r="45349">
      <c r="N45349" s="28"/>
      <c r="O45349" s="28"/>
      <c r="U45349" s="28"/>
    </row>
    <row r="45350">
      <c r="N45350" s="28"/>
      <c r="O45350" s="28"/>
      <c r="U45350" s="28"/>
    </row>
    <row r="45351">
      <c r="N45351" s="28"/>
      <c r="O45351" s="28"/>
      <c r="U45351" s="28"/>
    </row>
    <row r="45352">
      <c r="N45352" s="28"/>
      <c r="O45352" s="28"/>
      <c r="U45352" s="28"/>
    </row>
    <row r="45353">
      <c r="N45353" s="28"/>
      <c r="O45353" s="28"/>
      <c r="U45353" s="28"/>
    </row>
    <row r="45354">
      <c r="N45354" s="28"/>
      <c r="O45354" s="28"/>
      <c r="U45354" s="28"/>
    </row>
    <row r="45355">
      <c r="N45355" s="28"/>
      <c r="O45355" s="28"/>
      <c r="U45355" s="28"/>
    </row>
    <row r="45356">
      <c r="N45356" s="28"/>
      <c r="O45356" s="28"/>
      <c r="U45356" s="28"/>
    </row>
    <row r="45357">
      <c r="N45357" s="28"/>
      <c r="O45357" s="28"/>
      <c r="U45357" s="28"/>
    </row>
    <row r="45358">
      <c r="N45358" s="28"/>
      <c r="O45358" s="28"/>
      <c r="U45358" s="28"/>
    </row>
    <row r="45359">
      <c r="N45359" s="28"/>
      <c r="O45359" s="28"/>
      <c r="U45359" s="28"/>
    </row>
    <row r="45360">
      <c r="N45360" s="28"/>
      <c r="O45360" s="28"/>
      <c r="U45360" s="28"/>
    </row>
    <row r="45361">
      <c r="N45361" s="28"/>
      <c r="O45361" s="28"/>
      <c r="U45361" s="28"/>
    </row>
    <row r="45362">
      <c r="N45362" s="28"/>
      <c r="O45362" s="28"/>
      <c r="U45362" s="28"/>
    </row>
    <row r="45363">
      <c r="N45363" s="28"/>
      <c r="O45363" s="28"/>
      <c r="U45363" s="28"/>
    </row>
    <row r="45364">
      <c r="N45364" s="28"/>
      <c r="O45364" s="28"/>
      <c r="U45364" s="28"/>
    </row>
    <row r="45365">
      <c r="N45365" s="28"/>
      <c r="O45365" s="28"/>
      <c r="U45365" s="28"/>
    </row>
    <row r="45366">
      <c r="N45366" s="28"/>
      <c r="O45366" s="28"/>
      <c r="U45366" s="28"/>
    </row>
    <row r="45367">
      <c r="N45367" s="28"/>
      <c r="O45367" s="28"/>
      <c r="U45367" s="28"/>
    </row>
    <row r="45368">
      <c r="N45368" s="28"/>
      <c r="O45368" s="28"/>
      <c r="U45368" s="28"/>
    </row>
    <row r="45369">
      <c r="N45369" s="28"/>
      <c r="O45369" s="28"/>
      <c r="U45369" s="28"/>
    </row>
    <row r="45370">
      <c r="N45370" s="28"/>
      <c r="O45370" s="28"/>
      <c r="U45370" s="28"/>
    </row>
    <row r="45371">
      <c r="N45371" s="28"/>
      <c r="O45371" s="28"/>
      <c r="U45371" s="28"/>
    </row>
    <row r="45372">
      <c r="N45372" s="28"/>
      <c r="O45372" s="28"/>
      <c r="U45372" s="28"/>
    </row>
    <row r="45373">
      <c r="N45373" s="28"/>
      <c r="O45373" s="28"/>
      <c r="U45373" s="28"/>
    </row>
    <row r="45374">
      <c r="N45374" s="28"/>
      <c r="O45374" s="28"/>
      <c r="U45374" s="28"/>
    </row>
    <row r="45375">
      <c r="N45375" s="28"/>
      <c r="O45375" s="28"/>
      <c r="U45375" s="28"/>
    </row>
    <row r="45376">
      <c r="N45376" s="28"/>
      <c r="O45376" s="28"/>
      <c r="U45376" s="28"/>
    </row>
    <row r="45377">
      <c r="N45377" s="28"/>
      <c r="O45377" s="28"/>
      <c r="U45377" s="28"/>
    </row>
    <row r="45378">
      <c r="N45378" s="28"/>
      <c r="O45378" s="28"/>
      <c r="U45378" s="28"/>
    </row>
    <row r="45379">
      <c r="N45379" s="28"/>
      <c r="O45379" s="28"/>
      <c r="U45379" s="28"/>
    </row>
    <row r="45380">
      <c r="N45380" s="28"/>
      <c r="O45380" s="28"/>
      <c r="U45380" s="28"/>
    </row>
    <row r="45381">
      <c r="N45381" s="28"/>
      <c r="O45381" s="28"/>
      <c r="U45381" s="28"/>
    </row>
    <row r="45382">
      <c r="N45382" s="28"/>
      <c r="O45382" s="28"/>
      <c r="U45382" s="28"/>
    </row>
    <row r="45383">
      <c r="N45383" s="28"/>
      <c r="O45383" s="28"/>
      <c r="U45383" s="28"/>
    </row>
    <row r="45384">
      <c r="N45384" s="28"/>
      <c r="O45384" s="28"/>
      <c r="U45384" s="28"/>
    </row>
    <row r="45385">
      <c r="N45385" s="28"/>
      <c r="O45385" s="28"/>
      <c r="U45385" s="28"/>
    </row>
    <row r="45386">
      <c r="N45386" s="28"/>
      <c r="O45386" s="28"/>
      <c r="U45386" s="28"/>
    </row>
    <row r="45387">
      <c r="N45387" s="28"/>
      <c r="O45387" s="28"/>
      <c r="U45387" s="28"/>
    </row>
    <row r="45388">
      <c r="N45388" s="28"/>
      <c r="O45388" s="28"/>
      <c r="U45388" s="28"/>
    </row>
    <row r="45389">
      <c r="N45389" s="28"/>
      <c r="O45389" s="28"/>
      <c r="U45389" s="28"/>
    </row>
    <row r="45390">
      <c r="N45390" s="28"/>
      <c r="O45390" s="28"/>
      <c r="U45390" s="28"/>
    </row>
    <row r="45391">
      <c r="N45391" s="28"/>
      <c r="O45391" s="28"/>
      <c r="U45391" s="28"/>
    </row>
    <row r="45392">
      <c r="N45392" s="28"/>
      <c r="O45392" s="28"/>
      <c r="U45392" s="28"/>
    </row>
    <row r="45393">
      <c r="N45393" s="28"/>
      <c r="O45393" s="28"/>
      <c r="U45393" s="28"/>
    </row>
    <row r="45394">
      <c r="N45394" s="28"/>
      <c r="O45394" s="28"/>
      <c r="U45394" s="28"/>
    </row>
    <row r="45395">
      <c r="N45395" s="28"/>
      <c r="O45395" s="28"/>
      <c r="U45395" s="28"/>
    </row>
    <row r="45396">
      <c r="N45396" s="28"/>
      <c r="O45396" s="28"/>
      <c r="U45396" s="28"/>
    </row>
    <row r="45397">
      <c r="N45397" s="28"/>
      <c r="O45397" s="28"/>
      <c r="U45397" s="28"/>
    </row>
    <row r="45398">
      <c r="N45398" s="28"/>
      <c r="O45398" s="28"/>
      <c r="U45398" s="28"/>
    </row>
    <row r="45399">
      <c r="N45399" s="28"/>
      <c r="O45399" s="28"/>
      <c r="U45399" s="28"/>
    </row>
    <row r="45400">
      <c r="N45400" s="28"/>
      <c r="O45400" s="28"/>
      <c r="U45400" s="28"/>
    </row>
    <row r="45401">
      <c r="N45401" s="28"/>
      <c r="O45401" s="28"/>
      <c r="U45401" s="28"/>
    </row>
    <row r="45402">
      <c r="N45402" s="28"/>
      <c r="O45402" s="28"/>
      <c r="U45402" s="28"/>
    </row>
    <row r="45403">
      <c r="N45403" s="28"/>
      <c r="O45403" s="28"/>
      <c r="U45403" s="28"/>
    </row>
    <row r="45404">
      <c r="N45404" s="28"/>
      <c r="O45404" s="28"/>
      <c r="U45404" s="28"/>
    </row>
    <row r="45405">
      <c r="N45405" s="28"/>
      <c r="O45405" s="28"/>
      <c r="U45405" s="28"/>
    </row>
    <row r="45406">
      <c r="N45406" s="28"/>
      <c r="O45406" s="28"/>
      <c r="U45406" s="28"/>
    </row>
    <row r="45407">
      <c r="N45407" s="28"/>
      <c r="O45407" s="28"/>
      <c r="U45407" s="28"/>
    </row>
    <row r="45408">
      <c r="N45408" s="28"/>
      <c r="O45408" s="28"/>
      <c r="U45408" s="28"/>
    </row>
    <row r="45409">
      <c r="N45409" s="28"/>
      <c r="O45409" s="28"/>
      <c r="U45409" s="28"/>
    </row>
    <row r="45410">
      <c r="N45410" s="28"/>
      <c r="O45410" s="28"/>
      <c r="U45410" s="28"/>
    </row>
    <row r="45411">
      <c r="N45411" s="28"/>
      <c r="O45411" s="28"/>
      <c r="U45411" s="28"/>
    </row>
    <row r="45412">
      <c r="N45412" s="28"/>
      <c r="O45412" s="28"/>
      <c r="U45412" s="28"/>
    </row>
    <row r="45413">
      <c r="N45413" s="28"/>
      <c r="O45413" s="28"/>
      <c r="U45413" s="28"/>
    </row>
    <row r="45414">
      <c r="N45414" s="28"/>
      <c r="O45414" s="28"/>
      <c r="U45414" s="28"/>
    </row>
    <row r="45415">
      <c r="N45415" s="28"/>
      <c r="O45415" s="28"/>
      <c r="U45415" s="28"/>
    </row>
    <row r="45416">
      <c r="N45416" s="28"/>
      <c r="O45416" s="28"/>
      <c r="U45416" s="28"/>
    </row>
    <row r="45417">
      <c r="N45417" s="28"/>
      <c r="O45417" s="28"/>
      <c r="U45417" s="28"/>
    </row>
    <row r="45418">
      <c r="N45418" s="28"/>
      <c r="O45418" s="28"/>
      <c r="U45418" s="28"/>
    </row>
    <row r="45419">
      <c r="N45419" s="28"/>
      <c r="O45419" s="28"/>
      <c r="U45419" s="28"/>
    </row>
    <row r="45420">
      <c r="N45420" s="28"/>
      <c r="O45420" s="28"/>
      <c r="U45420" s="28"/>
    </row>
    <row r="45421">
      <c r="N45421" s="28"/>
      <c r="O45421" s="28"/>
      <c r="U45421" s="28"/>
    </row>
    <row r="45422">
      <c r="N45422" s="28"/>
      <c r="O45422" s="28"/>
      <c r="U45422" s="28"/>
    </row>
    <row r="45423">
      <c r="N45423" s="28"/>
      <c r="O45423" s="28"/>
      <c r="U45423" s="28"/>
    </row>
    <row r="45424">
      <c r="N45424" s="28"/>
      <c r="O45424" s="28"/>
      <c r="U45424" s="28"/>
    </row>
    <row r="45425">
      <c r="N45425" s="28"/>
      <c r="O45425" s="28"/>
      <c r="U45425" s="28"/>
    </row>
    <row r="45426">
      <c r="N45426" s="28"/>
      <c r="O45426" s="28"/>
      <c r="U45426" s="28"/>
    </row>
    <row r="45427">
      <c r="N45427" s="28"/>
      <c r="O45427" s="28"/>
      <c r="U45427" s="28"/>
    </row>
    <row r="45428">
      <c r="N45428" s="28"/>
      <c r="O45428" s="28"/>
      <c r="U45428" s="28"/>
    </row>
    <row r="45429">
      <c r="N45429" s="28"/>
      <c r="O45429" s="28"/>
      <c r="U45429" s="28"/>
    </row>
    <row r="45430">
      <c r="N45430" s="28"/>
      <c r="O45430" s="28"/>
      <c r="U45430" s="28"/>
    </row>
    <row r="45431">
      <c r="N45431" s="28"/>
      <c r="O45431" s="28"/>
      <c r="U45431" s="28"/>
    </row>
    <row r="45432">
      <c r="N45432" s="28"/>
      <c r="O45432" s="28"/>
      <c r="U45432" s="28"/>
    </row>
    <row r="45433">
      <c r="N45433" s="28"/>
      <c r="O45433" s="28"/>
      <c r="U45433" s="28"/>
    </row>
    <row r="45434">
      <c r="N45434" s="28"/>
      <c r="O45434" s="28"/>
      <c r="U45434" s="28"/>
    </row>
    <row r="45435">
      <c r="N45435" s="28"/>
      <c r="O45435" s="28"/>
      <c r="U45435" s="28"/>
    </row>
    <row r="45436">
      <c r="N45436" s="28"/>
      <c r="O45436" s="28"/>
      <c r="U45436" s="28"/>
    </row>
    <row r="45437">
      <c r="N45437" s="28"/>
      <c r="O45437" s="28"/>
      <c r="U45437" s="28"/>
    </row>
    <row r="45438">
      <c r="N45438" s="28"/>
      <c r="O45438" s="28"/>
      <c r="U45438" s="28"/>
    </row>
    <row r="45439">
      <c r="N45439" s="28"/>
      <c r="O45439" s="28"/>
      <c r="U45439" s="28"/>
    </row>
    <row r="45440">
      <c r="N45440" s="28"/>
      <c r="O45440" s="28"/>
      <c r="U45440" s="28"/>
    </row>
    <row r="45441">
      <c r="N45441" s="28"/>
      <c r="O45441" s="28"/>
      <c r="U45441" s="28"/>
    </row>
    <row r="45442">
      <c r="N45442" s="28"/>
      <c r="O45442" s="28"/>
      <c r="U45442" s="28"/>
    </row>
    <row r="45443">
      <c r="N45443" s="28"/>
      <c r="O45443" s="28"/>
      <c r="U45443" s="28"/>
    </row>
    <row r="45444">
      <c r="N45444" s="28"/>
      <c r="O45444" s="28"/>
      <c r="U45444" s="28"/>
    </row>
    <row r="45445">
      <c r="N45445" s="28"/>
      <c r="O45445" s="28"/>
      <c r="U45445" s="28"/>
    </row>
    <row r="45446">
      <c r="N45446" s="28"/>
      <c r="O45446" s="28"/>
      <c r="U45446" s="28"/>
    </row>
    <row r="45447">
      <c r="N45447" s="28"/>
      <c r="O45447" s="28"/>
      <c r="U45447" s="28"/>
    </row>
    <row r="45448">
      <c r="N45448" s="28"/>
      <c r="O45448" s="28"/>
      <c r="U45448" s="28"/>
    </row>
    <row r="45449">
      <c r="N45449" s="28"/>
      <c r="O45449" s="28"/>
      <c r="U45449" s="28"/>
    </row>
    <row r="45450">
      <c r="N45450" s="28"/>
      <c r="O45450" s="28"/>
      <c r="U45450" s="28"/>
    </row>
    <row r="45451">
      <c r="N45451" s="28"/>
      <c r="O45451" s="28"/>
      <c r="U45451" s="28"/>
    </row>
    <row r="45452">
      <c r="N45452" s="28"/>
      <c r="O45452" s="28"/>
      <c r="U45452" s="28"/>
    </row>
    <row r="45453">
      <c r="N45453" s="28"/>
      <c r="O45453" s="28"/>
      <c r="U45453" s="28"/>
    </row>
    <row r="45454">
      <c r="N45454" s="28"/>
      <c r="O45454" s="28"/>
      <c r="U45454" s="28"/>
    </row>
    <row r="45455">
      <c r="N45455" s="28"/>
      <c r="O45455" s="28"/>
      <c r="U45455" s="28"/>
    </row>
    <row r="45456">
      <c r="N45456" s="28"/>
      <c r="O45456" s="28"/>
      <c r="U45456" s="28"/>
    </row>
    <row r="45457">
      <c r="N45457" s="28"/>
      <c r="O45457" s="28"/>
      <c r="U45457" s="28"/>
    </row>
    <row r="45458">
      <c r="N45458" s="28"/>
      <c r="O45458" s="28"/>
      <c r="U45458" s="28"/>
    </row>
    <row r="45459">
      <c r="N45459" s="28"/>
      <c r="O45459" s="28"/>
      <c r="U45459" s="28"/>
    </row>
    <row r="45460">
      <c r="N45460" s="28"/>
      <c r="O45460" s="28"/>
      <c r="U45460" s="28"/>
    </row>
    <row r="45461">
      <c r="N45461" s="28"/>
      <c r="O45461" s="28"/>
      <c r="U45461" s="28"/>
    </row>
    <row r="45462">
      <c r="N45462" s="28"/>
      <c r="O45462" s="28"/>
      <c r="U45462" s="28"/>
    </row>
    <row r="45463">
      <c r="N45463" s="28"/>
      <c r="O45463" s="28"/>
      <c r="U45463" s="28"/>
    </row>
    <row r="45464">
      <c r="N45464" s="28"/>
      <c r="O45464" s="28"/>
      <c r="U45464" s="28"/>
    </row>
    <row r="45465">
      <c r="N45465" s="28"/>
      <c r="O45465" s="28"/>
      <c r="U45465" s="28"/>
    </row>
    <row r="45466">
      <c r="N45466" s="28"/>
      <c r="O45466" s="28"/>
      <c r="U45466" s="28"/>
    </row>
    <row r="45467">
      <c r="N45467" s="28"/>
      <c r="O45467" s="28"/>
      <c r="U45467" s="28"/>
    </row>
    <row r="45468">
      <c r="N45468" s="28"/>
      <c r="O45468" s="28"/>
      <c r="U45468" s="28"/>
    </row>
    <row r="45469">
      <c r="N45469" s="28"/>
      <c r="O45469" s="28"/>
      <c r="U45469" s="28"/>
    </row>
    <row r="45470">
      <c r="N45470" s="28"/>
      <c r="O45470" s="28"/>
      <c r="U45470" s="28"/>
    </row>
    <row r="45471">
      <c r="N45471" s="28"/>
      <c r="O45471" s="28"/>
      <c r="U45471" s="28"/>
    </row>
    <row r="45472">
      <c r="N45472" s="28"/>
      <c r="O45472" s="28"/>
      <c r="U45472" s="28"/>
    </row>
    <row r="45473">
      <c r="N45473" s="28"/>
      <c r="O45473" s="28"/>
      <c r="U45473" s="28"/>
    </row>
    <row r="45474">
      <c r="N45474" s="28"/>
      <c r="O45474" s="28"/>
      <c r="U45474" s="28"/>
    </row>
    <row r="45475">
      <c r="N45475" s="28"/>
      <c r="O45475" s="28"/>
      <c r="U45475" s="28"/>
    </row>
    <row r="45476">
      <c r="N45476" s="28"/>
      <c r="O45476" s="28"/>
      <c r="U45476" s="28"/>
    </row>
    <row r="45477">
      <c r="N45477" s="28"/>
      <c r="O45477" s="28"/>
      <c r="U45477" s="28"/>
    </row>
    <row r="45478">
      <c r="N45478" s="28"/>
      <c r="O45478" s="28"/>
      <c r="U45478" s="28"/>
    </row>
    <row r="45479">
      <c r="N45479" s="28"/>
      <c r="O45479" s="28"/>
      <c r="U45479" s="28"/>
    </row>
    <row r="45480">
      <c r="N45480" s="28"/>
      <c r="O45480" s="28"/>
      <c r="U45480" s="28"/>
    </row>
    <row r="45481">
      <c r="N45481" s="28"/>
      <c r="O45481" s="28"/>
      <c r="U45481" s="28"/>
    </row>
    <row r="45482">
      <c r="N45482" s="28"/>
      <c r="O45482" s="28"/>
      <c r="U45482" s="28"/>
    </row>
    <row r="45483">
      <c r="N45483" s="28"/>
      <c r="O45483" s="28"/>
      <c r="U45483" s="28"/>
    </row>
    <row r="45484">
      <c r="N45484" s="28"/>
      <c r="O45484" s="28"/>
      <c r="U45484" s="28"/>
    </row>
    <row r="45485">
      <c r="N45485" s="28"/>
      <c r="O45485" s="28"/>
      <c r="U45485" s="28"/>
    </row>
    <row r="45486">
      <c r="N45486" s="28"/>
      <c r="O45486" s="28"/>
      <c r="U45486" s="28"/>
    </row>
    <row r="45487">
      <c r="N45487" s="28"/>
      <c r="O45487" s="28"/>
      <c r="U45487" s="28"/>
    </row>
    <row r="45488">
      <c r="N45488" s="28"/>
      <c r="O45488" s="28"/>
      <c r="U45488" s="28"/>
    </row>
    <row r="45489">
      <c r="N45489" s="28"/>
      <c r="O45489" s="28"/>
      <c r="U45489" s="28"/>
    </row>
    <row r="45490">
      <c r="N45490" s="28"/>
      <c r="O45490" s="28"/>
      <c r="U45490" s="28"/>
    </row>
    <row r="45491">
      <c r="N45491" s="28"/>
      <c r="O45491" s="28"/>
      <c r="U45491" s="28"/>
    </row>
    <row r="45492">
      <c r="N45492" s="28"/>
      <c r="O45492" s="28"/>
      <c r="U45492" s="28"/>
    </row>
    <row r="45493">
      <c r="N45493" s="28"/>
      <c r="O45493" s="28"/>
      <c r="U45493" s="28"/>
    </row>
    <row r="45494">
      <c r="N45494" s="28"/>
      <c r="O45494" s="28"/>
      <c r="U45494" s="28"/>
    </row>
    <row r="45495">
      <c r="N45495" s="28"/>
      <c r="O45495" s="28"/>
      <c r="U45495" s="28"/>
    </row>
    <row r="45496">
      <c r="N45496" s="28"/>
      <c r="O45496" s="28"/>
      <c r="U45496" s="28"/>
    </row>
    <row r="45497">
      <c r="N45497" s="28"/>
      <c r="O45497" s="28"/>
      <c r="U45497" s="28"/>
    </row>
    <row r="45498">
      <c r="N45498" s="28"/>
      <c r="O45498" s="28"/>
      <c r="U45498" s="28"/>
    </row>
    <row r="45499">
      <c r="N45499" s="28"/>
      <c r="O45499" s="28"/>
      <c r="U45499" s="28"/>
    </row>
    <row r="45500">
      <c r="N45500" s="28"/>
      <c r="O45500" s="28"/>
      <c r="U45500" s="28"/>
    </row>
    <row r="45501">
      <c r="N45501" s="28"/>
      <c r="O45501" s="28"/>
      <c r="U45501" s="28"/>
    </row>
    <row r="45502">
      <c r="N45502" s="28"/>
      <c r="O45502" s="28"/>
      <c r="U45502" s="28"/>
    </row>
    <row r="45503">
      <c r="N45503" s="28"/>
      <c r="O45503" s="28"/>
      <c r="U45503" s="28"/>
    </row>
    <row r="45504">
      <c r="N45504" s="28"/>
      <c r="O45504" s="28"/>
      <c r="U45504" s="28"/>
    </row>
    <row r="45505">
      <c r="N45505" s="28"/>
      <c r="O45505" s="28"/>
      <c r="U45505" s="28"/>
    </row>
    <row r="45506">
      <c r="N45506" s="28"/>
      <c r="O45506" s="28"/>
      <c r="U45506" s="28"/>
    </row>
    <row r="45507">
      <c r="N45507" s="28"/>
      <c r="O45507" s="28"/>
      <c r="U45507" s="28"/>
    </row>
    <row r="45508">
      <c r="N45508" s="28"/>
      <c r="O45508" s="28"/>
      <c r="U45508" s="28"/>
    </row>
    <row r="45509">
      <c r="N45509" s="28"/>
      <c r="O45509" s="28"/>
      <c r="U45509" s="28"/>
    </row>
    <row r="45510">
      <c r="N45510" s="28"/>
      <c r="O45510" s="28"/>
      <c r="U45510" s="28"/>
    </row>
    <row r="45511">
      <c r="N45511" s="28"/>
      <c r="O45511" s="28"/>
      <c r="U45511" s="28"/>
    </row>
    <row r="45512">
      <c r="N45512" s="28"/>
      <c r="O45512" s="28"/>
      <c r="U45512" s="28"/>
    </row>
    <row r="45513">
      <c r="N45513" s="28"/>
      <c r="O45513" s="28"/>
      <c r="U45513" s="28"/>
    </row>
    <row r="45514">
      <c r="N45514" s="28"/>
      <c r="O45514" s="28"/>
      <c r="U45514" s="28"/>
    </row>
    <row r="45515">
      <c r="N45515" s="28"/>
      <c r="O45515" s="28"/>
      <c r="U45515" s="28"/>
    </row>
    <row r="45516">
      <c r="N45516" s="28"/>
      <c r="O45516" s="28"/>
      <c r="U45516" s="28"/>
    </row>
    <row r="45517">
      <c r="N45517" s="28"/>
      <c r="O45517" s="28"/>
      <c r="U45517" s="28"/>
    </row>
    <row r="45518">
      <c r="N45518" s="28"/>
      <c r="O45518" s="28"/>
      <c r="U45518" s="28"/>
    </row>
    <row r="45519">
      <c r="N45519" s="28"/>
      <c r="O45519" s="28"/>
      <c r="U45519" s="28"/>
    </row>
    <row r="45520">
      <c r="N45520" s="28"/>
      <c r="O45520" s="28"/>
      <c r="U45520" s="28"/>
    </row>
    <row r="45521">
      <c r="N45521" s="28"/>
      <c r="O45521" s="28"/>
      <c r="U45521" s="28"/>
    </row>
    <row r="45522">
      <c r="N45522" s="28"/>
      <c r="O45522" s="28"/>
      <c r="U45522" s="28"/>
    </row>
    <row r="45523">
      <c r="N45523" s="28"/>
      <c r="O45523" s="28"/>
      <c r="U45523" s="28"/>
    </row>
    <row r="45524">
      <c r="N45524" s="28"/>
      <c r="O45524" s="28"/>
      <c r="U45524" s="28"/>
    </row>
    <row r="45525">
      <c r="N45525" s="28"/>
      <c r="O45525" s="28"/>
      <c r="U45525" s="28"/>
    </row>
    <row r="45526">
      <c r="N45526" s="28"/>
      <c r="O45526" s="28"/>
      <c r="U45526" s="28"/>
    </row>
    <row r="45527">
      <c r="N45527" s="28"/>
      <c r="O45527" s="28"/>
      <c r="U45527" s="28"/>
    </row>
    <row r="45528">
      <c r="N45528" s="28"/>
      <c r="O45528" s="28"/>
      <c r="U45528" s="28"/>
    </row>
    <row r="45529">
      <c r="N45529" s="28"/>
      <c r="O45529" s="28"/>
      <c r="U45529" s="28"/>
    </row>
    <row r="45530">
      <c r="N45530" s="28"/>
      <c r="O45530" s="28"/>
      <c r="U45530" s="28"/>
    </row>
    <row r="45531">
      <c r="N45531" s="28"/>
      <c r="O45531" s="28"/>
      <c r="U45531" s="28"/>
    </row>
    <row r="45532">
      <c r="N45532" s="28"/>
      <c r="O45532" s="28"/>
      <c r="U45532" s="28"/>
    </row>
    <row r="45533">
      <c r="N45533" s="28"/>
      <c r="O45533" s="28"/>
      <c r="U45533" s="28"/>
    </row>
    <row r="45534">
      <c r="N45534" s="28"/>
      <c r="O45534" s="28"/>
      <c r="U45534" s="28"/>
    </row>
    <row r="45535">
      <c r="N45535" s="28"/>
      <c r="O45535" s="28"/>
      <c r="U45535" s="28"/>
    </row>
    <row r="45536">
      <c r="N45536" s="28"/>
      <c r="O45536" s="28"/>
      <c r="U45536" s="28"/>
    </row>
    <row r="45537">
      <c r="N45537" s="28"/>
      <c r="O45537" s="28"/>
      <c r="U45537" s="28"/>
    </row>
    <row r="45538">
      <c r="N45538" s="28"/>
      <c r="O45538" s="28"/>
      <c r="U45538" s="28"/>
    </row>
    <row r="45539">
      <c r="N45539" s="28"/>
      <c r="O45539" s="28"/>
      <c r="U45539" s="28"/>
    </row>
    <row r="45540">
      <c r="N45540" s="28"/>
      <c r="O45540" s="28"/>
      <c r="U45540" s="28"/>
    </row>
    <row r="45541">
      <c r="N45541" s="28"/>
      <c r="O45541" s="28"/>
      <c r="U45541" s="28"/>
    </row>
    <row r="45542">
      <c r="N45542" s="28"/>
      <c r="O45542" s="28"/>
      <c r="U45542" s="28"/>
    </row>
    <row r="45543">
      <c r="N45543" s="28"/>
      <c r="O45543" s="28"/>
      <c r="U45543" s="28"/>
    </row>
    <row r="45544">
      <c r="N45544" s="28"/>
      <c r="O45544" s="28"/>
      <c r="U45544" s="28"/>
    </row>
    <row r="45545">
      <c r="N45545" s="28"/>
      <c r="O45545" s="28"/>
      <c r="U45545" s="28"/>
    </row>
    <row r="45546">
      <c r="N45546" s="28"/>
      <c r="O45546" s="28"/>
      <c r="U45546" s="28"/>
    </row>
    <row r="45547">
      <c r="N45547" s="28"/>
      <c r="O45547" s="28"/>
      <c r="U45547" s="28"/>
    </row>
    <row r="45548">
      <c r="N45548" s="28"/>
      <c r="O45548" s="28"/>
      <c r="U45548" s="28"/>
    </row>
    <row r="45549">
      <c r="N45549" s="28"/>
      <c r="O45549" s="28"/>
      <c r="U45549" s="28"/>
    </row>
    <row r="45550">
      <c r="N45550" s="28"/>
      <c r="O45550" s="28"/>
      <c r="U45550" s="28"/>
    </row>
    <row r="45551">
      <c r="N45551" s="28"/>
      <c r="O45551" s="28"/>
      <c r="U45551" s="28"/>
    </row>
    <row r="45552">
      <c r="N45552" s="28"/>
      <c r="O45552" s="28"/>
      <c r="U45552" s="28"/>
    </row>
    <row r="45553">
      <c r="N45553" s="28"/>
      <c r="O45553" s="28"/>
      <c r="U45553" s="28"/>
    </row>
    <row r="45554">
      <c r="N45554" s="28"/>
      <c r="O45554" s="28"/>
      <c r="U45554" s="28"/>
    </row>
    <row r="45555">
      <c r="N45555" s="28"/>
      <c r="O45555" s="28"/>
      <c r="U45555" s="28"/>
    </row>
    <row r="45556">
      <c r="N45556" s="28"/>
      <c r="O45556" s="28"/>
      <c r="U45556" s="28"/>
    </row>
    <row r="45557">
      <c r="N45557" s="28"/>
      <c r="O45557" s="28"/>
      <c r="U45557" s="28"/>
    </row>
    <row r="45558">
      <c r="N45558" s="28"/>
      <c r="O45558" s="28"/>
      <c r="U45558" s="28"/>
    </row>
    <row r="45559">
      <c r="N45559" s="28"/>
      <c r="O45559" s="28"/>
      <c r="U45559" s="28"/>
    </row>
    <row r="45560">
      <c r="N45560" s="28"/>
      <c r="O45560" s="28"/>
      <c r="U45560" s="28"/>
    </row>
    <row r="45561">
      <c r="N45561" s="28"/>
      <c r="O45561" s="28"/>
      <c r="U45561" s="28"/>
    </row>
    <row r="45562">
      <c r="N45562" s="28"/>
      <c r="O45562" s="28"/>
      <c r="U45562" s="28"/>
    </row>
    <row r="45563">
      <c r="N45563" s="28"/>
      <c r="O45563" s="28"/>
      <c r="U45563" s="28"/>
    </row>
    <row r="45564">
      <c r="N45564" s="28"/>
      <c r="O45564" s="28"/>
      <c r="U45564" s="28"/>
    </row>
    <row r="45565">
      <c r="N45565" s="28"/>
      <c r="O45565" s="28"/>
      <c r="U45565" s="28"/>
    </row>
    <row r="45566">
      <c r="N45566" s="28"/>
      <c r="O45566" s="28"/>
      <c r="U45566" s="28"/>
    </row>
    <row r="45567">
      <c r="N45567" s="28"/>
      <c r="O45567" s="28"/>
      <c r="U45567" s="28"/>
    </row>
    <row r="45568">
      <c r="N45568" s="28"/>
      <c r="O45568" s="28"/>
      <c r="U45568" s="28"/>
    </row>
    <row r="45569">
      <c r="N45569" s="28"/>
      <c r="O45569" s="28"/>
      <c r="U45569" s="28"/>
    </row>
    <row r="45570">
      <c r="N45570" s="28"/>
      <c r="O45570" s="28"/>
      <c r="U45570" s="28"/>
    </row>
    <row r="45571">
      <c r="N45571" s="28"/>
      <c r="O45571" s="28"/>
      <c r="U45571" s="28"/>
    </row>
    <row r="45572">
      <c r="N45572" s="28"/>
      <c r="O45572" s="28"/>
      <c r="U45572" s="28"/>
    </row>
    <row r="45573">
      <c r="N45573" s="28"/>
      <c r="O45573" s="28"/>
      <c r="U45573" s="28"/>
    </row>
    <row r="45574">
      <c r="N45574" s="28"/>
      <c r="O45574" s="28"/>
      <c r="U45574" s="28"/>
    </row>
    <row r="45575">
      <c r="N45575" s="28"/>
      <c r="O45575" s="28"/>
      <c r="U45575" s="28"/>
    </row>
    <row r="45576">
      <c r="N45576" s="28"/>
      <c r="O45576" s="28"/>
      <c r="U45576" s="28"/>
    </row>
    <row r="45577">
      <c r="N45577" s="28"/>
      <c r="O45577" s="28"/>
      <c r="U45577" s="28"/>
    </row>
    <row r="45578">
      <c r="N45578" s="28"/>
      <c r="O45578" s="28"/>
      <c r="U45578" s="28"/>
    </row>
    <row r="45579">
      <c r="N45579" s="28"/>
      <c r="O45579" s="28"/>
      <c r="U45579" s="28"/>
    </row>
    <row r="45580">
      <c r="N45580" s="28"/>
      <c r="O45580" s="28"/>
      <c r="U45580" s="28"/>
    </row>
    <row r="45581">
      <c r="N45581" s="28"/>
      <c r="O45581" s="28"/>
      <c r="U45581" s="28"/>
    </row>
    <row r="45582">
      <c r="N45582" s="28"/>
      <c r="O45582" s="28"/>
      <c r="U45582" s="28"/>
    </row>
    <row r="45583">
      <c r="N45583" s="28"/>
      <c r="O45583" s="28"/>
      <c r="U45583" s="28"/>
    </row>
    <row r="45584">
      <c r="N45584" s="28"/>
      <c r="O45584" s="28"/>
      <c r="U45584" s="28"/>
    </row>
    <row r="45585">
      <c r="N45585" s="28"/>
      <c r="O45585" s="28"/>
      <c r="U45585" s="28"/>
    </row>
    <row r="45586">
      <c r="N45586" s="28"/>
      <c r="O45586" s="28"/>
      <c r="U45586" s="28"/>
    </row>
    <row r="45587">
      <c r="N45587" s="28"/>
      <c r="O45587" s="28"/>
      <c r="U45587" s="28"/>
    </row>
    <row r="45588">
      <c r="N45588" s="28"/>
      <c r="O45588" s="28"/>
      <c r="U45588" s="28"/>
    </row>
    <row r="45589">
      <c r="N45589" s="28"/>
      <c r="O45589" s="28"/>
      <c r="U45589" s="28"/>
    </row>
    <row r="45590">
      <c r="N45590" s="28"/>
      <c r="O45590" s="28"/>
      <c r="U45590" s="28"/>
    </row>
    <row r="45591">
      <c r="N45591" s="28"/>
      <c r="O45591" s="28"/>
      <c r="U45591" s="28"/>
    </row>
    <row r="45592">
      <c r="N45592" s="28"/>
      <c r="O45592" s="28"/>
      <c r="U45592" s="28"/>
    </row>
    <row r="45593">
      <c r="N45593" s="28"/>
      <c r="O45593" s="28"/>
      <c r="U45593" s="28"/>
    </row>
    <row r="45594">
      <c r="N45594" s="28"/>
      <c r="O45594" s="28"/>
      <c r="U45594" s="28"/>
    </row>
    <row r="45595">
      <c r="N45595" s="28"/>
      <c r="O45595" s="28"/>
      <c r="U45595" s="28"/>
    </row>
    <row r="45596">
      <c r="N45596" s="28"/>
      <c r="O45596" s="28"/>
      <c r="U45596" s="28"/>
    </row>
    <row r="45597">
      <c r="N45597" s="28"/>
      <c r="O45597" s="28"/>
      <c r="U45597" s="28"/>
    </row>
    <row r="45598">
      <c r="N45598" s="28"/>
      <c r="O45598" s="28"/>
      <c r="U45598" s="28"/>
    </row>
    <row r="45599">
      <c r="N45599" s="28"/>
      <c r="O45599" s="28"/>
      <c r="U45599" s="28"/>
    </row>
    <row r="45600">
      <c r="N45600" s="28"/>
      <c r="O45600" s="28"/>
      <c r="U45600" s="28"/>
    </row>
    <row r="45601">
      <c r="N45601" s="28"/>
      <c r="O45601" s="28"/>
      <c r="U45601" s="28"/>
    </row>
    <row r="45602">
      <c r="N45602" s="28"/>
      <c r="O45602" s="28"/>
      <c r="U45602" s="28"/>
    </row>
    <row r="45603">
      <c r="N45603" s="28"/>
      <c r="O45603" s="28"/>
      <c r="U45603" s="28"/>
    </row>
    <row r="45604">
      <c r="N45604" s="28"/>
      <c r="O45604" s="28"/>
      <c r="U45604" s="28"/>
    </row>
    <row r="45605">
      <c r="N45605" s="28"/>
      <c r="O45605" s="28"/>
      <c r="U45605" s="28"/>
    </row>
    <row r="45606">
      <c r="N45606" s="28"/>
      <c r="O45606" s="28"/>
      <c r="U45606" s="28"/>
    </row>
    <row r="45607">
      <c r="N45607" s="28"/>
      <c r="O45607" s="28"/>
      <c r="U45607" s="28"/>
    </row>
    <row r="45608">
      <c r="N45608" s="28"/>
      <c r="O45608" s="28"/>
      <c r="U45608" s="28"/>
    </row>
    <row r="45609">
      <c r="N45609" s="28"/>
      <c r="O45609" s="28"/>
      <c r="U45609" s="28"/>
    </row>
    <row r="45610">
      <c r="N45610" s="28"/>
      <c r="O45610" s="28"/>
      <c r="U45610" s="28"/>
    </row>
    <row r="45611">
      <c r="N45611" s="28"/>
      <c r="O45611" s="28"/>
      <c r="U45611" s="28"/>
    </row>
    <row r="45612">
      <c r="N45612" s="28"/>
      <c r="O45612" s="28"/>
      <c r="U45612" s="28"/>
    </row>
    <row r="45613">
      <c r="N45613" s="28"/>
      <c r="O45613" s="28"/>
      <c r="U45613" s="28"/>
    </row>
    <row r="45614">
      <c r="N45614" s="28"/>
      <c r="O45614" s="28"/>
      <c r="U45614" s="28"/>
    </row>
    <row r="45615">
      <c r="N45615" s="28"/>
      <c r="O45615" s="28"/>
      <c r="U45615" s="28"/>
    </row>
    <row r="45616">
      <c r="N45616" s="28"/>
      <c r="O45616" s="28"/>
      <c r="U45616" s="28"/>
    </row>
    <row r="45617">
      <c r="N45617" s="28"/>
      <c r="O45617" s="28"/>
      <c r="U45617" s="28"/>
    </row>
    <row r="45618">
      <c r="N45618" s="28"/>
      <c r="O45618" s="28"/>
      <c r="U45618" s="28"/>
    </row>
    <row r="45619">
      <c r="N45619" s="28"/>
      <c r="O45619" s="28"/>
      <c r="U45619" s="28"/>
    </row>
    <row r="45620">
      <c r="N45620" s="28"/>
      <c r="O45620" s="28"/>
      <c r="U45620" s="28"/>
    </row>
    <row r="45621">
      <c r="N45621" s="28"/>
      <c r="O45621" s="28"/>
      <c r="U45621" s="28"/>
    </row>
    <row r="45622">
      <c r="N45622" s="28"/>
      <c r="O45622" s="28"/>
      <c r="U45622" s="28"/>
    </row>
    <row r="45623">
      <c r="N45623" s="28"/>
      <c r="O45623" s="28"/>
      <c r="U45623" s="28"/>
    </row>
    <row r="45624">
      <c r="N45624" s="28"/>
      <c r="O45624" s="28"/>
      <c r="U45624" s="28"/>
    </row>
    <row r="45625">
      <c r="N45625" s="28"/>
      <c r="O45625" s="28"/>
      <c r="U45625" s="28"/>
    </row>
    <row r="45626">
      <c r="N45626" s="28"/>
      <c r="O45626" s="28"/>
      <c r="U45626" s="28"/>
    </row>
    <row r="45627">
      <c r="N45627" s="28"/>
      <c r="O45627" s="28"/>
      <c r="U45627" s="28"/>
    </row>
    <row r="45628">
      <c r="N45628" s="28"/>
      <c r="O45628" s="28"/>
      <c r="U45628" s="28"/>
    </row>
    <row r="45629">
      <c r="N45629" s="28"/>
      <c r="O45629" s="28"/>
      <c r="U45629" s="28"/>
    </row>
    <row r="45630">
      <c r="N45630" s="28"/>
      <c r="O45630" s="28"/>
      <c r="U45630" s="28"/>
    </row>
    <row r="45631">
      <c r="N45631" s="28"/>
      <c r="O45631" s="28"/>
      <c r="U45631" s="28"/>
    </row>
    <row r="45632">
      <c r="N45632" s="28"/>
      <c r="O45632" s="28"/>
      <c r="U45632" s="28"/>
    </row>
    <row r="45633">
      <c r="N45633" s="28"/>
      <c r="O45633" s="28"/>
      <c r="U45633" s="28"/>
    </row>
    <row r="45634">
      <c r="N45634" s="28"/>
      <c r="O45634" s="28"/>
      <c r="U45634" s="28"/>
    </row>
    <row r="45635">
      <c r="N45635" s="28"/>
      <c r="O45635" s="28"/>
      <c r="U45635" s="28"/>
    </row>
    <row r="45636">
      <c r="N45636" s="28"/>
      <c r="O45636" s="28"/>
      <c r="U45636" s="28"/>
    </row>
    <row r="45637">
      <c r="N45637" s="28"/>
      <c r="O45637" s="28"/>
      <c r="U45637" s="28"/>
    </row>
    <row r="45638">
      <c r="N45638" s="28"/>
      <c r="O45638" s="28"/>
      <c r="U45638" s="28"/>
    </row>
    <row r="45639">
      <c r="N45639" s="28"/>
      <c r="O45639" s="28"/>
      <c r="U45639" s="28"/>
    </row>
    <row r="45640">
      <c r="N45640" s="28"/>
      <c r="O45640" s="28"/>
      <c r="U45640" s="28"/>
    </row>
    <row r="45641">
      <c r="N45641" s="28"/>
      <c r="O45641" s="28"/>
      <c r="U45641" s="28"/>
    </row>
    <row r="45642">
      <c r="N45642" s="28"/>
      <c r="O45642" s="28"/>
      <c r="U45642" s="28"/>
    </row>
    <row r="45643">
      <c r="N45643" s="28"/>
      <c r="O45643" s="28"/>
      <c r="U45643" s="28"/>
    </row>
    <row r="45644">
      <c r="N45644" s="28"/>
      <c r="O45644" s="28"/>
      <c r="U45644" s="28"/>
    </row>
    <row r="45645">
      <c r="N45645" s="28"/>
      <c r="O45645" s="28"/>
      <c r="U45645" s="28"/>
    </row>
    <row r="45646">
      <c r="N45646" s="28"/>
      <c r="O45646" s="28"/>
      <c r="U45646" s="28"/>
    </row>
    <row r="45647">
      <c r="N45647" s="28"/>
      <c r="O45647" s="28"/>
      <c r="U45647" s="28"/>
    </row>
    <row r="45648">
      <c r="N45648" s="28"/>
      <c r="O45648" s="28"/>
      <c r="U45648" s="28"/>
    </row>
    <row r="45649">
      <c r="N45649" s="28"/>
      <c r="O45649" s="28"/>
      <c r="U45649" s="28"/>
    </row>
    <row r="45650">
      <c r="N45650" s="28"/>
      <c r="O45650" s="28"/>
      <c r="U45650" s="28"/>
    </row>
    <row r="45651">
      <c r="N45651" s="28"/>
      <c r="O45651" s="28"/>
      <c r="U45651" s="28"/>
    </row>
    <row r="45652">
      <c r="N45652" s="28"/>
      <c r="O45652" s="28"/>
      <c r="U45652" s="28"/>
    </row>
    <row r="45653">
      <c r="N45653" s="28"/>
      <c r="O45653" s="28"/>
      <c r="U45653" s="28"/>
    </row>
    <row r="45654">
      <c r="N45654" s="28"/>
      <c r="O45654" s="28"/>
      <c r="U45654" s="28"/>
    </row>
    <row r="45655">
      <c r="N45655" s="28"/>
      <c r="O45655" s="28"/>
      <c r="U45655" s="28"/>
    </row>
    <row r="45656">
      <c r="N45656" s="28"/>
      <c r="O45656" s="28"/>
      <c r="U45656" s="28"/>
    </row>
    <row r="45657">
      <c r="N45657" s="28"/>
      <c r="O45657" s="28"/>
      <c r="U45657" s="28"/>
    </row>
    <row r="45658">
      <c r="N45658" s="28"/>
      <c r="O45658" s="28"/>
      <c r="U45658" s="28"/>
    </row>
    <row r="45659">
      <c r="N45659" s="28"/>
      <c r="O45659" s="28"/>
      <c r="U45659" s="28"/>
    </row>
    <row r="45660">
      <c r="N45660" s="28"/>
      <c r="O45660" s="28"/>
      <c r="U45660" s="28"/>
    </row>
    <row r="45661">
      <c r="N45661" s="28"/>
      <c r="O45661" s="28"/>
      <c r="U45661" s="28"/>
    </row>
    <row r="45662">
      <c r="N45662" s="28"/>
      <c r="O45662" s="28"/>
      <c r="U45662" s="28"/>
    </row>
    <row r="45663">
      <c r="N45663" s="28"/>
      <c r="O45663" s="28"/>
      <c r="U45663" s="28"/>
    </row>
    <row r="45664">
      <c r="N45664" s="28"/>
      <c r="O45664" s="28"/>
      <c r="U45664" s="28"/>
    </row>
    <row r="45665">
      <c r="N45665" s="28"/>
      <c r="O45665" s="28"/>
      <c r="U45665" s="28"/>
    </row>
    <row r="45666">
      <c r="N45666" s="28"/>
      <c r="O45666" s="28"/>
      <c r="U45666" s="28"/>
    </row>
    <row r="45667">
      <c r="N45667" s="28"/>
      <c r="O45667" s="28"/>
      <c r="U45667" s="28"/>
    </row>
    <row r="45668">
      <c r="N45668" s="28"/>
      <c r="O45668" s="28"/>
      <c r="U45668" s="28"/>
    </row>
    <row r="45669">
      <c r="N45669" s="28"/>
      <c r="O45669" s="28"/>
      <c r="U45669" s="28"/>
    </row>
    <row r="45670">
      <c r="N45670" s="28"/>
      <c r="O45670" s="28"/>
      <c r="U45670" s="28"/>
    </row>
    <row r="45671">
      <c r="N45671" s="28"/>
      <c r="O45671" s="28"/>
      <c r="U45671" s="28"/>
    </row>
    <row r="45672">
      <c r="N45672" s="28"/>
      <c r="O45672" s="28"/>
      <c r="U45672" s="28"/>
    </row>
    <row r="45673">
      <c r="N45673" s="28"/>
      <c r="O45673" s="28"/>
      <c r="U45673" s="28"/>
    </row>
    <row r="45674">
      <c r="N45674" s="28"/>
      <c r="O45674" s="28"/>
      <c r="U45674" s="28"/>
    </row>
    <row r="45675">
      <c r="N45675" s="28"/>
      <c r="O45675" s="28"/>
      <c r="U45675" s="28"/>
    </row>
    <row r="45676">
      <c r="N45676" s="28"/>
      <c r="O45676" s="28"/>
      <c r="U45676" s="28"/>
    </row>
    <row r="45677">
      <c r="N45677" s="28"/>
      <c r="O45677" s="28"/>
      <c r="U45677" s="28"/>
    </row>
    <row r="45678">
      <c r="N45678" s="28"/>
      <c r="O45678" s="28"/>
      <c r="U45678" s="28"/>
    </row>
    <row r="45679">
      <c r="N45679" s="28"/>
      <c r="O45679" s="28"/>
      <c r="U45679" s="28"/>
    </row>
    <row r="45680">
      <c r="N45680" s="28"/>
      <c r="O45680" s="28"/>
      <c r="U45680" s="28"/>
    </row>
    <row r="45681">
      <c r="N45681" s="28"/>
      <c r="O45681" s="28"/>
      <c r="U45681" s="28"/>
    </row>
    <row r="45682">
      <c r="N45682" s="28"/>
      <c r="O45682" s="28"/>
      <c r="U45682" s="28"/>
    </row>
    <row r="45683">
      <c r="N45683" s="28"/>
      <c r="O45683" s="28"/>
      <c r="U45683" s="28"/>
    </row>
    <row r="45684">
      <c r="N45684" s="28"/>
      <c r="O45684" s="28"/>
      <c r="U45684" s="28"/>
    </row>
    <row r="45685">
      <c r="N45685" s="28"/>
      <c r="O45685" s="28"/>
      <c r="U45685" s="28"/>
    </row>
    <row r="45686">
      <c r="N45686" s="28"/>
      <c r="O45686" s="28"/>
      <c r="U45686" s="28"/>
    </row>
    <row r="45687">
      <c r="N45687" s="28"/>
      <c r="O45687" s="28"/>
      <c r="U45687" s="28"/>
    </row>
    <row r="45688">
      <c r="N45688" s="28"/>
      <c r="O45688" s="28"/>
      <c r="U45688" s="28"/>
    </row>
    <row r="45689">
      <c r="N45689" s="28"/>
      <c r="O45689" s="28"/>
      <c r="U45689" s="28"/>
    </row>
    <row r="45690">
      <c r="N45690" s="28"/>
      <c r="O45690" s="28"/>
      <c r="U45690" s="28"/>
    </row>
    <row r="45691">
      <c r="N45691" s="28"/>
      <c r="O45691" s="28"/>
      <c r="U45691" s="28"/>
    </row>
    <row r="45692">
      <c r="N45692" s="28"/>
      <c r="O45692" s="28"/>
      <c r="U45692" s="28"/>
    </row>
    <row r="45693">
      <c r="N45693" s="28"/>
      <c r="O45693" s="28"/>
      <c r="U45693" s="28"/>
    </row>
    <row r="45694">
      <c r="N45694" s="28"/>
      <c r="O45694" s="28"/>
      <c r="U45694" s="28"/>
    </row>
    <row r="45695">
      <c r="N45695" s="28"/>
      <c r="O45695" s="28"/>
      <c r="U45695" s="28"/>
    </row>
    <row r="45696">
      <c r="N45696" s="28"/>
      <c r="O45696" s="28"/>
      <c r="U45696" s="28"/>
    </row>
    <row r="45697">
      <c r="N45697" s="28"/>
      <c r="O45697" s="28"/>
      <c r="U45697" s="28"/>
    </row>
    <row r="45698">
      <c r="N45698" s="28"/>
      <c r="O45698" s="28"/>
      <c r="U45698" s="28"/>
    </row>
    <row r="45699">
      <c r="N45699" s="28"/>
      <c r="O45699" s="28"/>
      <c r="U45699" s="28"/>
    </row>
    <row r="45700">
      <c r="N45700" s="28"/>
      <c r="O45700" s="28"/>
      <c r="U45700" s="28"/>
    </row>
    <row r="45701">
      <c r="N45701" s="28"/>
      <c r="O45701" s="28"/>
      <c r="U45701" s="28"/>
    </row>
    <row r="45702">
      <c r="N45702" s="28"/>
      <c r="O45702" s="28"/>
      <c r="U45702" s="28"/>
    </row>
    <row r="45703">
      <c r="N45703" s="28"/>
      <c r="O45703" s="28"/>
      <c r="U45703" s="28"/>
    </row>
    <row r="45704">
      <c r="N45704" s="28"/>
      <c r="O45704" s="28"/>
      <c r="U45704" s="28"/>
    </row>
    <row r="45705">
      <c r="N45705" s="28"/>
      <c r="O45705" s="28"/>
      <c r="U45705" s="28"/>
    </row>
    <row r="45706">
      <c r="N45706" s="28"/>
      <c r="O45706" s="28"/>
      <c r="U45706" s="28"/>
    </row>
    <row r="45707">
      <c r="N45707" s="28"/>
      <c r="O45707" s="28"/>
      <c r="U45707" s="28"/>
    </row>
    <row r="45708">
      <c r="N45708" s="28"/>
      <c r="O45708" s="28"/>
      <c r="U45708" s="28"/>
    </row>
    <row r="45709">
      <c r="N45709" s="28"/>
      <c r="O45709" s="28"/>
      <c r="U45709" s="28"/>
    </row>
    <row r="45710">
      <c r="N45710" s="28"/>
      <c r="O45710" s="28"/>
      <c r="U45710" s="28"/>
    </row>
    <row r="45711">
      <c r="N45711" s="28"/>
      <c r="O45711" s="28"/>
      <c r="U45711" s="28"/>
    </row>
    <row r="45712">
      <c r="N45712" s="28"/>
      <c r="O45712" s="28"/>
      <c r="U45712" s="28"/>
    </row>
    <row r="45713">
      <c r="N45713" s="28"/>
      <c r="O45713" s="28"/>
      <c r="U45713" s="28"/>
    </row>
    <row r="45714">
      <c r="N45714" s="28"/>
      <c r="O45714" s="28"/>
      <c r="U45714" s="28"/>
    </row>
    <row r="45715">
      <c r="N45715" s="28"/>
      <c r="O45715" s="28"/>
      <c r="U45715" s="28"/>
    </row>
    <row r="45716">
      <c r="N45716" s="28"/>
      <c r="O45716" s="28"/>
      <c r="U45716" s="28"/>
    </row>
    <row r="45717">
      <c r="N45717" s="28"/>
      <c r="O45717" s="28"/>
      <c r="U45717" s="28"/>
    </row>
    <row r="45718">
      <c r="N45718" s="28"/>
      <c r="O45718" s="28"/>
      <c r="U45718" s="28"/>
    </row>
    <row r="45719">
      <c r="N45719" s="28"/>
      <c r="O45719" s="28"/>
      <c r="U45719" s="28"/>
    </row>
    <row r="45720">
      <c r="N45720" s="28"/>
      <c r="O45720" s="28"/>
      <c r="U45720" s="28"/>
    </row>
    <row r="45721">
      <c r="N45721" s="28"/>
      <c r="O45721" s="28"/>
      <c r="U45721" s="28"/>
    </row>
    <row r="45722">
      <c r="N45722" s="28"/>
      <c r="O45722" s="28"/>
      <c r="U45722" s="28"/>
    </row>
    <row r="45723">
      <c r="N45723" s="28"/>
      <c r="O45723" s="28"/>
      <c r="U45723" s="28"/>
    </row>
    <row r="45724">
      <c r="N45724" s="28"/>
      <c r="O45724" s="28"/>
      <c r="U45724" s="28"/>
    </row>
    <row r="45725">
      <c r="N45725" s="28"/>
      <c r="O45725" s="28"/>
      <c r="U45725" s="28"/>
    </row>
    <row r="45726">
      <c r="N45726" s="28"/>
      <c r="O45726" s="28"/>
      <c r="U45726" s="28"/>
    </row>
    <row r="45727">
      <c r="N45727" s="28"/>
      <c r="O45727" s="28"/>
      <c r="U45727" s="28"/>
    </row>
    <row r="45728">
      <c r="N45728" s="28"/>
      <c r="O45728" s="28"/>
      <c r="U45728" s="28"/>
    </row>
    <row r="45729">
      <c r="N45729" s="28"/>
      <c r="O45729" s="28"/>
      <c r="U45729" s="28"/>
    </row>
    <row r="45730">
      <c r="N45730" s="28"/>
      <c r="O45730" s="28"/>
      <c r="U45730" s="28"/>
    </row>
    <row r="45731">
      <c r="N45731" s="28"/>
      <c r="O45731" s="28"/>
      <c r="U45731" s="28"/>
    </row>
    <row r="45732">
      <c r="N45732" s="28"/>
      <c r="O45732" s="28"/>
      <c r="U45732" s="28"/>
    </row>
    <row r="45733">
      <c r="N45733" s="28"/>
      <c r="O45733" s="28"/>
      <c r="U45733" s="28"/>
    </row>
    <row r="45734">
      <c r="N45734" s="28"/>
      <c r="O45734" s="28"/>
      <c r="U45734" s="28"/>
    </row>
    <row r="45735">
      <c r="N45735" s="28"/>
      <c r="O45735" s="28"/>
      <c r="U45735" s="28"/>
    </row>
    <row r="45736">
      <c r="N45736" s="28"/>
      <c r="O45736" s="28"/>
      <c r="U45736" s="28"/>
    </row>
    <row r="45737">
      <c r="N45737" s="28"/>
      <c r="O45737" s="28"/>
      <c r="U45737" s="28"/>
    </row>
    <row r="45738">
      <c r="N45738" s="28"/>
      <c r="O45738" s="28"/>
      <c r="U45738" s="28"/>
    </row>
    <row r="45739">
      <c r="N45739" s="28"/>
      <c r="O45739" s="28"/>
      <c r="U45739" s="28"/>
    </row>
    <row r="45740">
      <c r="N45740" s="28"/>
      <c r="O45740" s="28"/>
      <c r="U45740" s="28"/>
    </row>
    <row r="45741">
      <c r="N45741" s="28"/>
      <c r="O45741" s="28"/>
      <c r="U45741" s="28"/>
    </row>
    <row r="45742">
      <c r="N45742" s="28"/>
      <c r="O45742" s="28"/>
      <c r="U45742" s="28"/>
    </row>
    <row r="45743">
      <c r="N45743" s="28"/>
      <c r="O45743" s="28"/>
      <c r="U45743" s="28"/>
    </row>
    <row r="45744">
      <c r="N45744" s="28"/>
      <c r="O45744" s="28"/>
      <c r="U45744" s="28"/>
    </row>
    <row r="45745">
      <c r="N45745" s="28"/>
      <c r="O45745" s="28"/>
      <c r="U45745" s="28"/>
    </row>
    <row r="45746">
      <c r="N45746" s="28"/>
      <c r="O45746" s="28"/>
      <c r="U45746" s="28"/>
    </row>
    <row r="45747">
      <c r="N45747" s="28"/>
      <c r="O45747" s="28"/>
      <c r="U45747" s="28"/>
    </row>
    <row r="45748">
      <c r="N45748" s="28"/>
      <c r="O45748" s="28"/>
      <c r="U45748" s="28"/>
    </row>
    <row r="45749">
      <c r="N45749" s="28"/>
      <c r="O45749" s="28"/>
      <c r="U45749" s="28"/>
    </row>
    <row r="45750">
      <c r="N45750" s="28"/>
      <c r="O45750" s="28"/>
      <c r="U45750" s="28"/>
    </row>
    <row r="45751">
      <c r="N45751" s="28"/>
      <c r="O45751" s="28"/>
      <c r="U45751" s="28"/>
    </row>
    <row r="45752">
      <c r="N45752" s="28"/>
      <c r="O45752" s="28"/>
      <c r="U45752" s="28"/>
    </row>
    <row r="45753">
      <c r="N45753" s="28"/>
      <c r="O45753" s="28"/>
      <c r="U45753" s="28"/>
    </row>
    <row r="45754">
      <c r="N45754" s="28"/>
      <c r="O45754" s="28"/>
      <c r="U45754" s="28"/>
    </row>
    <row r="45755">
      <c r="N45755" s="28"/>
      <c r="O45755" s="28"/>
      <c r="U45755" s="28"/>
    </row>
    <row r="45756">
      <c r="N45756" s="28"/>
      <c r="O45756" s="28"/>
      <c r="U45756" s="28"/>
    </row>
    <row r="45757">
      <c r="N45757" s="28"/>
      <c r="O45757" s="28"/>
      <c r="U45757" s="28"/>
    </row>
    <row r="45758">
      <c r="N45758" s="28"/>
      <c r="O45758" s="28"/>
      <c r="U45758" s="28"/>
    </row>
    <row r="45759">
      <c r="N45759" s="28"/>
      <c r="O45759" s="28"/>
      <c r="U45759" s="28"/>
    </row>
    <row r="45760">
      <c r="N45760" s="28"/>
      <c r="O45760" s="28"/>
      <c r="U45760" s="28"/>
    </row>
    <row r="45761">
      <c r="N45761" s="28"/>
      <c r="O45761" s="28"/>
      <c r="U45761" s="28"/>
    </row>
    <row r="45762">
      <c r="N45762" s="28"/>
      <c r="O45762" s="28"/>
      <c r="U45762" s="28"/>
    </row>
    <row r="45763">
      <c r="N45763" s="28"/>
      <c r="O45763" s="28"/>
      <c r="U45763" s="28"/>
    </row>
    <row r="45764">
      <c r="N45764" s="28"/>
      <c r="O45764" s="28"/>
      <c r="U45764" s="28"/>
    </row>
    <row r="45765">
      <c r="N45765" s="28"/>
      <c r="O45765" s="28"/>
      <c r="U45765" s="28"/>
    </row>
    <row r="45766">
      <c r="N45766" s="28"/>
      <c r="O45766" s="28"/>
      <c r="U45766" s="28"/>
    </row>
    <row r="45767">
      <c r="N45767" s="28"/>
      <c r="O45767" s="28"/>
      <c r="U45767" s="28"/>
    </row>
    <row r="45768">
      <c r="N45768" s="28"/>
      <c r="O45768" s="28"/>
      <c r="U45768" s="28"/>
    </row>
    <row r="45769">
      <c r="N45769" s="28"/>
      <c r="O45769" s="28"/>
      <c r="U45769" s="28"/>
    </row>
    <row r="45770">
      <c r="N45770" s="28"/>
      <c r="O45770" s="28"/>
      <c r="U45770" s="28"/>
    </row>
    <row r="45771">
      <c r="N45771" s="28"/>
      <c r="O45771" s="28"/>
      <c r="U45771" s="28"/>
    </row>
    <row r="45772">
      <c r="N45772" s="28"/>
      <c r="O45772" s="28"/>
      <c r="U45772" s="28"/>
    </row>
    <row r="45773">
      <c r="N45773" s="28"/>
      <c r="O45773" s="28"/>
      <c r="U45773" s="28"/>
    </row>
    <row r="45774">
      <c r="N45774" s="28"/>
      <c r="O45774" s="28"/>
      <c r="U45774" s="28"/>
    </row>
    <row r="45775">
      <c r="N45775" s="28"/>
      <c r="O45775" s="28"/>
      <c r="U45775" s="28"/>
    </row>
    <row r="45776">
      <c r="N45776" s="28"/>
      <c r="O45776" s="28"/>
      <c r="U45776" s="28"/>
    </row>
    <row r="45777">
      <c r="N45777" s="28"/>
      <c r="O45777" s="28"/>
      <c r="U45777" s="28"/>
    </row>
    <row r="45778">
      <c r="N45778" s="28"/>
      <c r="O45778" s="28"/>
      <c r="U45778" s="28"/>
    </row>
    <row r="45779">
      <c r="N45779" s="28"/>
      <c r="O45779" s="28"/>
      <c r="U45779" s="28"/>
    </row>
    <row r="45780">
      <c r="N45780" s="28"/>
      <c r="O45780" s="28"/>
      <c r="U45780" s="28"/>
    </row>
    <row r="45781">
      <c r="N45781" s="28"/>
      <c r="O45781" s="28"/>
      <c r="U45781" s="28"/>
    </row>
    <row r="45782">
      <c r="N45782" s="28"/>
      <c r="O45782" s="28"/>
      <c r="U45782" s="28"/>
    </row>
    <row r="45783">
      <c r="N45783" s="28"/>
      <c r="O45783" s="28"/>
      <c r="U45783" s="28"/>
    </row>
    <row r="45784">
      <c r="N45784" s="28"/>
      <c r="O45784" s="28"/>
      <c r="U45784" s="28"/>
    </row>
    <row r="45785">
      <c r="N45785" s="28"/>
      <c r="O45785" s="28"/>
      <c r="U45785" s="28"/>
    </row>
    <row r="45786">
      <c r="N45786" s="28"/>
      <c r="O45786" s="28"/>
      <c r="U45786" s="28"/>
    </row>
    <row r="45787">
      <c r="N45787" s="28"/>
      <c r="O45787" s="28"/>
      <c r="U45787" s="28"/>
    </row>
    <row r="45788">
      <c r="N45788" s="28"/>
      <c r="O45788" s="28"/>
      <c r="U45788" s="28"/>
    </row>
    <row r="45789">
      <c r="N45789" s="28"/>
      <c r="O45789" s="28"/>
      <c r="U45789" s="28"/>
    </row>
    <row r="45790">
      <c r="N45790" s="28"/>
      <c r="O45790" s="28"/>
      <c r="U45790" s="28"/>
    </row>
    <row r="45791">
      <c r="N45791" s="28"/>
      <c r="O45791" s="28"/>
      <c r="U45791" s="28"/>
    </row>
    <row r="45792">
      <c r="N45792" s="28"/>
      <c r="O45792" s="28"/>
      <c r="U45792" s="28"/>
    </row>
    <row r="45793">
      <c r="N45793" s="28"/>
      <c r="O45793" s="28"/>
      <c r="U45793" s="28"/>
    </row>
    <row r="45794">
      <c r="N45794" s="28"/>
      <c r="O45794" s="28"/>
      <c r="U45794" s="28"/>
    </row>
    <row r="45795">
      <c r="N45795" s="28"/>
      <c r="O45795" s="28"/>
      <c r="U45795" s="28"/>
    </row>
    <row r="45796">
      <c r="N45796" s="28"/>
      <c r="O45796" s="28"/>
      <c r="U45796" s="28"/>
    </row>
    <row r="45797">
      <c r="N45797" s="28"/>
      <c r="O45797" s="28"/>
      <c r="U45797" s="28"/>
    </row>
    <row r="45798">
      <c r="N45798" s="28"/>
      <c r="O45798" s="28"/>
      <c r="U45798" s="28"/>
    </row>
    <row r="45799">
      <c r="N45799" s="28"/>
      <c r="O45799" s="28"/>
      <c r="U45799" s="28"/>
    </row>
    <row r="45800">
      <c r="N45800" s="28"/>
      <c r="O45800" s="28"/>
      <c r="U45800" s="28"/>
    </row>
    <row r="45801">
      <c r="N45801" s="28"/>
      <c r="O45801" s="28"/>
      <c r="U45801" s="28"/>
    </row>
    <row r="45802">
      <c r="N45802" s="28"/>
      <c r="O45802" s="28"/>
      <c r="U45802" s="28"/>
    </row>
    <row r="45803">
      <c r="N45803" s="28"/>
      <c r="O45803" s="28"/>
      <c r="U45803" s="28"/>
    </row>
    <row r="45804">
      <c r="N45804" s="28"/>
      <c r="O45804" s="28"/>
      <c r="U45804" s="28"/>
    </row>
    <row r="45805">
      <c r="N45805" s="28"/>
      <c r="O45805" s="28"/>
      <c r="U45805" s="28"/>
    </row>
    <row r="45806">
      <c r="N45806" s="28"/>
      <c r="O45806" s="28"/>
      <c r="U45806" s="28"/>
    </row>
    <row r="45807">
      <c r="N45807" s="28"/>
      <c r="O45807" s="28"/>
      <c r="U45807" s="28"/>
    </row>
    <row r="45808">
      <c r="N45808" s="28"/>
      <c r="O45808" s="28"/>
      <c r="U45808" s="28"/>
    </row>
    <row r="45809">
      <c r="N45809" s="28"/>
      <c r="O45809" s="28"/>
      <c r="U45809" s="28"/>
    </row>
    <row r="45810">
      <c r="N45810" s="28"/>
      <c r="O45810" s="28"/>
      <c r="U45810" s="28"/>
    </row>
    <row r="45811">
      <c r="N45811" s="28"/>
      <c r="O45811" s="28"/>
      <c r="U45811" s="28"/>
    </row>
    <row r="45812">
      <c r="N45812" s="28"/>
      <c r="O45812" s="28"/>
      <c r="U45812" s="28"/>
    </row>
    <row r="45813">
      <c r="N45813" s="28"/>
      <c r="O45813" s="28"/>
      <c r="U45813" s="28"/>
    </row>
    <row r="45814">
      <c r="N45814" s="28"/>
      <c r="O45814" s="28"/>
      <c r="U45814" s="28"/>
    </row>
    <row r="45815">
      <c r="N45815" s="28"/>
      <c r="O45815" s="28"/>
      <c r="U45815" s="28"/>
    </row>
    <row r="45816">
      <c r="N45816" s="28"/>
      <c r="O45816" s="28"/>
      <c r="U45816" s="28"/>
    </row>
    <row r="45817">
      <c r="N45817" s="28"/>
      <c r="O45817" s="28"/>
      <c r="U45817" s="28"/>
    </row>
    <row r="45818">
      <c r="N45818" s="28"/>
      <c r="O45818" s="28"/>
      <c r="U45818" s="28"/>
    </row>
    <row r="45819">
      <c r="N45819" s="28"/>
      <c r="O45819" s="28"/>
      <c r="U45819" s="28"/>
    </row>
    <row r="45820">
      <c r="N45820" s="28"/>
      <c r="O45820" s="28"/>
      <c r="U45820" s="28"/>
    </row>
    <row r="45821">
      <c r="N45821" s="28"/>
      <c r="O45821" s="28"/>
      <c r="U45821" s="28"/>
    </row>
    <row r="45822">
      <c r="N45822" s="28"/>
      <c r="O45822" s="28"/>
      <c r="U45822" s="28"/>
    </row>
    <row r="45823">
      <c r="N45823" s="28"/>
      <c r="O45823" s="28"/>
      <c r="U45823" s="28"/>
    </row>
    <row r="45824">
      <c r="N45824" s="28"/>
      <c r="O45824" s="28"/>
      <c r="U45824" s="28"/>
    </row>
    <row r="45825">
      <c r="N45825" s="28"/>
      <c r="O45825" s="28"/>
      <c r="U45825" s="28"/>
    </row>
    <row r="45826">
      <c r="N45826" s="28"/>
      <c r="O45826" s="28"/>
      <c r="U45826" s="28"/>
    </row>
    <row r="45827">
      <c r="N45827" s="28"/>
      <c r="O45827" s="28"/>
      <c r="U45827" s="28"/>
    </row>
    <row r="45828">
      <c r="N45828" s="28"/>
      <c r="O45828" s="28"/>
      <c r="U45828" s="28"/>
    </row>
    <row r="45829">
      <c r="N45829" s="28"/>
      <c r="O45829" s="28"/>
      <c r="U45829" s="28"/>
    </row>
    <row r="45830">
      <c r="N45830" s="28"/>
      <c r="O45830" s="28"/>
      <c r="U45830" s="28"/>
    </row>
    <row r="45831">
      <c r="N45831" s="28"/>
      <c r="O45831" s="28"/>
      <c r="U45831" s="28"/>
    </row>
    <row r="45832">
      <c r="N45832" s="28"/>
      <c r="O45832" s="28"/>
      <c r="U45832" s="28"/>
    </row>
    <row r="45833">
      <c r="N45833" s="28"/>
      <c r="O45833" s="28"/>
      <c r="U45833" s="28"/>
    </row>
    <row r="45834">
      <c r="N45834" s="28"/>
      <c r="O45834" s="28"/>
      <c r="U45834" s="28"/>
    </row>
    <row r="45835">
      <c r="N45835" s="28"/>
      <c r="O45835" s="28"/>
      <c r="U45835" s="28"/>
    </row>
    <row r="45836">
      <c r="N45836" s="28"/>
      <c r="O45836" s="28"/>
      <c r="U45836" s="28"/>
    </row>
    <row r="45837">
      <c r="N45837" s="28"/>
      <c r="O45837" s="28"/>
      <c r="U45837" s="28"/>
    </row>
    <row r="45838">
      <c r="N45838" s="28"/>
      <c r="O45838" s="28"/>
      <c r="U45838" s="28"/>
    </row>
    <row r="45839">
      <c r="N45839" s="28"/>
      <c r="O45839" s="28"/>
      <c r="U45839" s="28"/>
    </row>
    <row r="45840">
      <c r="N45840" s="28"/>
      <c r="O45840" s="28"/>
      <c r="U45840" s="28"/>
    </row>
    <row r="45841">
      <c r="N45841" s="28"/>
      <c r="O45841" s="28"/>
      <c r="U45841" s="28"/>
    </row>
    <row r="45842">
      <c r="N45842" s="28"/>
      <c r="O45842" s="28"/>
      <c r="U45842" s="28"/>
    </row>
    <row r="45843">
      <c r="N45843" s="28"/>
      <c r="O45843" s="28"/>
      <c r="U45843" s="28"/>
    </row>
    <row r="45844">
      <c r="N45844" s="28"/>
      <c r="O45844" s="28"/>
      <c r="U45844" s="28"/>
    </row>
    <row r="45845">
      <c r="N45845" s="28"/>
      <c r="O45845" s="28"/>
      <c r="U45845" s="28"/>
    </row>
    <row r="45846">
      <c r="N45846" s="28"/>
      <c r="O45846" s="28"/>
      <c r="U45846" s="28"/>
    </row>
    <row r="45847">
      <c r="N45847" s="28"/>
      <c r="O45847" s="28"/>
      <c r="U45847" s="28"/>
    </row>
    <row r="45848">
      <c r="N45848" s="28"/>
      <c r="O45848" s="28"/>
      <c r="U45848" s="28"/>
    </row>
    <row r="45849">
      <c r="N45849" s="28"/>
      <c r="O45849" s="28"/>
      <c r="U45849" s="28"/>
    </row>
    <row r="45850">
      <c r="N45850" s="28"/>
      <c r="O45850" s="28"/>
      <c r="U45850" s="28"/>
    </row>
    <row r="45851">
      <c r="N45851" s="28"/>
      <c r="O45851" s="28"/>
      <c r="U45851" s="28"/>
    </row>
    <row r="45852">
      <c r="N45852" s="28"/>
      <c r="O45852" s="28"/>
      <c r="U45852" s="28"/>
    </row>
    <row r="45853">
      <c r="N45853" s="28"/>
      <c r="O45853" s="28"/>
      <c r="U45853" s="28"/>
    </row>
    <row r="45854">
      <c r="N45854" s="28"/>
      <c r="O45854" s="28"/>
      <c r="U45854" s="28"/>
    </row>
    <row r="45855">
      <c r="N45855" s="28"/>
      <c r="O45855" s="28"/>
      <c r="U45855" s="28"/>
    </row>
    <row r="45856">
      <c r="N45856" s="28"/>
      <c r="O45856" s="28"/>
      <c r="U45856" s="28"/>
    </row>
    <row r="45857">
      <c r="N45857" s="28"/>
      <c r="O45857" s="28"/>
      <c r="U45857" s="28"/>
    </row>
    <row r="45858">
      <c r="N45858" s="28"/>
      <c r="O45858" s="28"/>
      <c r="U45858" s="28"/>
    </row>
    <row r="45859">
      <c r="N45859" s="28"/>
      <c r="O45859" s="28"/>
      <c r="U45859" s="28"/>
    </row>
    <row r="45860">
      <c r="N45860" s="28"/>
      <c r="O45860" s="28"/>
      <c r="U45860" s="28"/>
    </row>
    <row r="45861">
      <c r="N45861" s="28"/>
      <c r="O45861" s="28"/>
      <c r="U45861" s="28"/>
    </row>
    <row r="45862">
      <c r="N45862" s="28"/>
      <c r="O45862" s="28"/>
      <c r="U45862" s="28"/>
    </row>
    <row r="45863">
      <c r="N45863" s="28"/>
      <c r="O45863" s="28"/>
      <c r="U45863" s="28"/>
    </row>
    <row r="45864">
      <c r="N45864" s="28"/>
      <c r="O45864" s="28"/>
      <c r="U45864" s="28"/>
    </row>
    <row r="45865">
      <c r="N45865" s="28"/>
      <c r="O45865" s="28"/>
      <c r="U45865" s="28"/>
    </row>
    <row r="45866">
      <c r="N45866" s="28"/>
      <c r="O45866" s="28"/>
      <c r="U45866" s="28"/>
    </row>
    <row r="45867">
      <c r="N45867" s="28"/>
      <c r="O45867" s="28"/>
      <c r="U45867" s="28"/>
    </row>
    <row r="45868">
      <c r="N45868" s="28"/>
      <c r="O45868" s="28"/>
      <c r="U45868" s="28"/>
    </row>
    <row r="45869">
      <c r="N45869" s="28"/>
      <c r="O45869" s="28"/>
      <c r="U45869" s="28"/>
    </row>
    <row r="45870">
      <c r="N45870" s="28"/>
      <c r="O45870" s="28"/>
      <c r="U45870" s="28"/>
    </row>
    <row r="45871">
      <c r="N45871" s="28"/>
      <c r="O45871" s="28"/>
      <c r="U45871" s="28"/>
    </row>
    <row r="45872">
      <c r="N45872" s="28"/>
      <c r="O45872" s="28"/>
      <c r="U45872" s="28"/>
    </row>
    <row r="45873">
      <c r="N45873" s="28"/>
      <c r="O45873" s="28"/>
      <c r="U45873" s="28"/>
    </row>
    <row r="45874">
      <c r="N45874" s="28"/>
      <c r="O45874" s="28"/>
      <c r="U45874" s="28"/>
    </row>
    <row r="45875">
      <c r="N45875" s="28"/>
      <c r="O45875" s="28"/>
      <c r="U45875" s="28"/>
    </row>
    <row r="45876">
      <c r="N45876" s="28"/>
      <c r="O45876" s="28"/>
      <c r="U45876" s="28"/>
    </row>
    <row r="45877">
      <c r="N45877" s="28"/>
      <c r="O45877" s="28"/>
      <c r="U45877" s="28"/>
    </row>
    <row r="45878">
      <c r="N45878" s="28"/>
      <c r="O45878" s="28"/>
      <c r="U45878" s="28"/>
    </row>
    <row r="45879">
      <c r="N45879" s="28"/>
      <c r="O45879" s="28"/>
      <c r="U45879" s="28"/>
    </row>
    <row r="45880">
      <c r="N45880" s="28"/>
      <c r="O45880" s="28"/>
      <c r="U45880" s="28"/>
    </row>
    <row r="45881">
      <c r="N45881" s="28"/>
      <c r="O45881" s="28"/>
      <c r="U45881" s="28"/>
    </row>
    <row r="45882">
      <c r="N45882" s="28"/>
      <c r="O45882" s="28"/>
      <c r="U45882" s="28"/>
    </row>
    <row r="45883">
      <c r="N45883" s="28"/>
      <c r="O45883" s="28"/>
      <c r="U45883" s="28"/>
    </row>
    <row r="45884">
      <c r="N45884" s="28"/>
      <c r="O45884" s="28"/>
      <c r="U45884" s="28"/>
    </row>
    <row r="45885">
      <c r="N45885" s="28"/>
      <c r="O45885" s="28"/>
      <c r="U45885" s="28"/>
    </row>
    <row r="45886">
      <c r="N45886" s="28"/>
      <c r="O45886" s="28"/>
      <c r="U45886" s="28"/>
    </row>
    <row r="45887">
      <c r="N45887" s="28"/>
      <c r="O45887" s="28"/>
      <c r="U45887" s="28"/>
    </row>
    <row r="45888">
      <c r="N45888" s="28"/>
      <c r="O45888" s="28"/>
      <c r="U45888" s="28"/>
    </row>
    <row r="45889">
      <c r="N45889" s="28"/>
      <c r="O45889" s="28"/>
      <c r="U45889" s="28"/>
    </row>
    <row r="45890">
      <c r="N45890" s="28"/>
      <c r="O45890" s="28"/>
      <c r="U45890" s="28"/>
    </row>
    <row r="45891">
      <c r="N45891" s="28"/>
      <c r="O45891" s="28"/>
      <c r="U45891" s="28"/>
    </row>
    <row r="45892">
      <c r="N45892" s="28"/>
      <c r="O45892" s="28"/>
      <c r="U45892" s="28"/>
    </row>
    <row r="45893">
      <c r="N45893" s="28"/>
      <c r="O45893" s="28"/>
      <c r="U45893" s="28"/>
    </row>
    <row r="45894">
      <c r="N45894" s="28"/>
      <c r="O45894" s="28"/>
      <c r="U45894" s="28"/>
    </row>
    <row r="45895">
      <c r="N45895" s="28"/>
      <c r="O45895" s="28"/>
      <c r="U45895" s="28"/>
    </row>
    <row r="45896">
      <c r="N45896" s="28"/>
      <c r="O45896" s="28"/>
      <c r="U45896" s="28"/>
    </row>
    <row r="45897">
      <c r="N45897" s="28"/>
      <c r="O45897" s="28"/>
      <c r="U45897" s="28"/>
    </row>
    <row r="45898">
      <c r="N45898" s="28"/>
      <c r="O45898" s="28"/>
      <c r="U45898" s="28"/>
    </row>
    <row r="45899">
      <c r="N45899" s="28"/>
      <c r="O45899" s="28"/>
      <c r="U45899" s="28"/>
    </row>
    <row r="45900">
      <c r="N45900" s="28"/>
      <c r="O45900" s="28"/>
      <c r="U45900" s="28"/>
    </row>
    <row r="45901">
      <c r="N45901" s="28"/>
      <c r="O45901" s="28"/>
      <c r="U45901" s="28"/>
    </row>
    <row r="45902">
      <c r="N45902" s="28"/>
      <c r="O45902" s="28"/>
      <c r="U45902" s="28"/>
    </row>
    <row r="45903">
      <c r="N45903" s="28"/>
      <c r="O45903" s="28"/>
      <c r="U45903" s="28"/>
    </row>
    <row r="45904">
      <c r="N45904" s="28"/>
      <c r="O45904" s="28"/>
      <c r="U45904" s="28"/>
    </row>
    <row r="45905">
      <c r="N45905" s="28"/>
      <c r="O45905" s="28"/>
      <c r="U45905" s="28"/>
    </row>
    <row r="45906">
      <c r="N45906" s="28"/>
      <c r="O45906" s="28"/>
      <c r="U45906" s="28"/>
    </row>
    <row r="45907">
      <c r="N45907" s="28"/>
      <c r="O45907" s="28"/>
      <c r="U45907" s="28"/>
    </row>
    <row r="45908">
      <c r="N45908" s="28"/>
      <c r="O45908" s="28"/>
      <c r="U45908" s="28"/>
    </row>
    <row r="45909">
      <c r="N45909" s="28"/>
      <c r="O45909" s="28"/>
      <c r="U45909" s="28"/>
    </row>
    <row r="45910">
      <c r="N45910" s="28"/>
      <c r="O45910" s="28"/>
      <c r="U45910" s="28"/>
    </row>
    <row r="45911">
      <c r="N45911" s="28"/>
      <c r="O45911" s="28"/>
      <c r="U45911" s="28"/>
    </row>
    <row r="45912">
      <c r="N45912" s="28"/>
      <c r="O45912" s="28"/>
      <c r="U45912" s="28"/>
    </row>
    <row r="45913">
      <c r="N45913" s="28"/>
      <c r="O45913" s="28"/>
      <c r="U45913" s="28"/>
    </row>
    <row r="45914">
      <c r="N45914" s="28"/>
      <c r="O45914" s="28"/>
      <c r="U45914" s="28"/>
    </row>
    <row r="45915">
      <c r="N45915" s="28"/>
      <c r="O45915" s="28"/>
      <c r="U45915" s="28"/>
    </row>
    <row r="45916">
      <c r="N45916" s="28"/>
      <c r="O45916" s="28"/>
      <c r="U45916" s="28"/>
    </row>
    <row r="45917">
      <c r="N45917" s="28"/>
      <c r="O45917" s="28"/>
      <c r="U45917" s="28"/>
    </row>
    <row r="45918">
      <c r="N45918" s="28"/>
      <c r="O45918" s="28"/>
      <c r="U45918" s="28"/>
    </row>
    <row r="45919">
      <c r="N45919" s="28"/>
      <c r="O45919" s="28"/>
      <c r="U45919" s="28"/>
    </row>
    <row r="45920">
      <c r="N45920" s="28"/>
      <c r="O45920" s="28"/>
      <c r="U45920" s="28"/>
    </row>
    <row r="45921">
      <c r="N45921" s="28"/>
      <c r="O45921" s="28"/>
      <c r="U45921" s="28"/>
    </row>
    <row r="45922">
      <c r="N45922" s="28"/>
      <c r="O45922" s="28"/>
      <c r="U45922" s="28"/>
    </row>
    <row r="45923">
      <c r="N45923" s="28"/>
      <c r="O45923" s="28"/>
      <c r="U45923" s="28"/>
    </row>
    <row r="45924">
      <c r="N45924" s="28"/>
      <c r="O45924" s="28"/>
      <c r="U45924" s="28"/>
    </row>
    <row r="45925">
      <c r="N45925" s="28"/>
      <c r="O45925" s="28"/>
      <c r="U45925" s="28"/>
    </row>
    <row r="45926">
      <c r="N45926" s="28"/>
      <c r="O45926" s="28"/>
      <c r="U45926" s="28"/>
    </row>
    <row r="45927">
      <c r="N45927" s="28"/>
      <c r="O45927" s="28"/>
      <c r="U45927" s="28"/>
    </row>
    <row r="45928">
      <c r="N45928" s="28"/>
      <c r="O45928" s="28"/>
      <c r="U45928" s="28"/>
    </row>
    <row r="45929">
      <c r="N45929" s="28"/>
      <c r="O45929" s="28"/>
      <c r="U45929" s="28"/>
    </row>
    <row r="45930">
      <c r="N45930" s="28"/>
      <c r="O45930" s="28"/>
      <c r="U45930" s="28"/>
    </row>
    <row r="45931">
      <c r="N45931" s="28"/>
      <c r="O45931" s="28"/>
      <c r="U45931" s="28"/>
    </row>
    <row r="45932">
      <c r="N45932" s="28"/>
      <c r="O45932" s="28"/>
      <c r="U45932" s="28"/>
    </row>
    <row r="45933">
      <c r="N45933" s="28"/>
      <c r="O45933" s="28"/>
      <c r="U45933" s="28"/>
    </row>
    <row r="45934">
      <c r="N45934" s="28"/>
      <c r="O45934" s="28"/>
      <c r="U45934" s="28"/>
    </row>
    <row r="45935">
      <c r="N45935" s="28"/>
      <c r="O45935" s="28"/>
      <c r="U45935" s="28"/>
    </row>
    <row r="45936">
      <c r="N45936" s="28"/>
      <c r="O45936" s="28"/>
      <c r="U45936" s="28"/>
    </row>
    <row r="45937">
      <c r="N45937" s="28"/>
      <c r="O45937" s="28"/>
      <c r="U45937" s="28"/>
    </row>
    <row r="45938">
      <c r="N45938" s="28"/>
      <c r="O45938" s="28"/>
      <c r="U45938" s="28"/>
    </row>
    <row r="45939">
      <c r="N45939" s="28"/>
      <c r="O45939" s="28"/>
      <c r="U45939" s="28"/>
    </row>
    <row r="45940">
      <c r="N45940" s="28"/>
      <c r="O45940" s="28"/>
      <c r="U45940" s="28"/>
    </row>
    <row r="45941">
      <c r="N45941" s="28"/>
      <c r="O45941" s="28"/>
      <c r="U45941" s="28"/>
    </row>
    <row r="45942">
      <c r="N45942" s="28"/>
      <c r="O45942" s="28"/>
      <c r="U45942" s="28"/>
    </row>
    <row r="45943">
      <c r="N45943" s="28"/>
      <c r="O45943" s="28"/>
      <c r="U45943" s="28"/>
    </row>
    <row r="45944">
      <c r="N45944" s="28"/>
      <c r="O45944" s="28"/>
      <c r="U45944" s="28"/>
    </row>
    <row r="45945">
      <c r="N45945" s="28"/>
      <c r="O45945" s="28"/>
      <c r="U45945" s="28"/>
    </row>
    <row r="45946">
      <c r="N45946" s="28"/>
      <c r="O45946" s="28"/>
      <c r="U45946" s="28"/>
    </row>
    <row r="45947">
      <c r="N45947" s="28"/>
      <c r="O45947" s="28"/>
      <c r="U45947" s="28"/>
    </row>
    <row r="45948">
      <c r="N45948" s="28"/>
      <c r="O45948" s="28"/>
      <c r="U45948" s="28"/>
    </row>
    <row r="45949">
      <c r="N45949" s="28"/>
      <c r="O45949" s="28"/>
      <c r="U45949" s="28"/>
    </row>
    <row r="45950">
      <c r="N45950" s="28"/>
      <c r="O45950" s="28"/>
      <c r="U45950" s="28"/>
    </row>
    <row r="45951">
      <c r="N45951" s="28"/>
      <c r="O45951" s="28"/>
      <c r="U45951" s="28"/>
    </row>
    <row r="45952">
      <c r="N45952" s="28"/>
      <c r="O45952" s="28"/>
      <c r="U45952" s="28"/>
    </row>
    <row r="45953">
      <c r="N45953" s="28"/>
      <c r="O45953" s="28"/>
      <c r="U45953" s="28"/>
    </row>
    <row r="45954">
      <c r="N45954" s="28"/>
      <c r="O45954" s="28"/>
      <c r="U45954" s="28"/>
    </row>
    <row r="45955">
      <c r="N45955" s="28"/>
      <c r="O45955" s="28"/>
      <c r="U45955" s="28"/>
    </row>
    <row r="45956">
      <c r="N45956" s="28"/>
      <c r="O45956" s="28"/>
      <c r="U45956" s="28"/>
    </row>
    <row r="45957">
      <c r="N45957" s="28"/>
      <c r="O45957" s="28"/>
      <c r="U45957" s="28"/>
    </row>
    <row r="45958">
      <c r="N45958" s="28"/>
      <c r="O45958" s="28"/>
      <c r="U45958" s="28"/>
    </row>
    <row r="45959">
      <c r="N45959" s="28"/>
      <c r="O45959" s="28"/>
      <c r="U45959" s="28"/>
    </row>
    <row r="45960">
      <c r="N45960" s="28"/>
      <c r="O45960" s="28"/>
      <c r="U45960" s="28"/>
    </row>
    <row r="45961">
      <c r="N45961" s="28"/>
      <c r="O45961" s="28"/>
      <c r="U45961" s="28"/>
    </row>
    <row r="45962">
      <c r="N45962" s="28"/>
      <c r="O45962" s="28"/>
      <c r="U45962" s="28"/>
    </row>
    <row r="45963">
      <c r="N45963" s="28"/>
      <c r="O45963" s="28"/>
      <c r="U45963" s="28"/>
    </row>
    <row r="45964">
      <c r="N45964" s="28"/>
      <c r="O45964" s="28"/>
      <c r="U45964" s="28"/>
    </row>
    <row r="45965">
      <c r="N45965" s="28"/>
      <c r="O45965" s="28"/>
      <c r="U45965" s="28"/>
    </row>
    <row r="45966">
      <c r="N45966" s="28"/>
      <c r="O45966" s="28"/>
      <c r="U45966" s="28"/>
    </row>
    <row r="45967">
      <c r="N45967" s="28"/>
      <c r="O45967" s="28"/>
      <c r="U45967" s="28"/>
    </row>
    <row r="45968">
      <c r="N45968" s="28"/>
      <c r="O45968" s="28"/>
      <c r="U45968" s="28"/>
    </row>
    <row r="45969">
      <c r="N45969" s="28"/>
      <c r="O45969" s="28"/>
      <c r="U45969" s="28"/>
    </row>
    <row r="45970">
      <c r="N45970" s="28"/>
      <c r="O45970" s="28"/>
      <c r="U45970" s="28"/>
    </row>
    <row r="45971">
      <c r="N45971" s="28"/>
      <c r="O45971" s="28"/>
      <c r="U45971" s="28"/>
    </row>
    <row r="45972">
      <c r="N45972" s="28"/>
      <c r="O45972" s="28"/>
      <c r="U45972" s="28"/>
    </row>
    <row r="45973">
      <c r="N45973" s="28"/>
      <c r="O45973" s="28"/>
      <c r="U45973" s="28"/>
    </row>
    <row r="45974">
      <c r="N45974" s="28"/>
      <c r="O45974" s="28"/>
      <c r="U45974" s="28"/>
    </row>
    <row r="45975">
      <c r="N45975" s="28"/>
      <c r="O45975" s="28"/>
      <c r="U45975" s="28"/>
    </row>
    <row r="45976">
      <c r="N45976" s="28"/>
      <c r="O45976" s="28"/>
      <c r="U45976" s="28"/>
    </row>
    <row r="45977">
      <c r="N45977" s="28"/>
      <c r="O45977" s="28"/>
      <c r="U45977" s="28"/>
    </row>
    <row r="45978">
      <c r="N45978" s="28"/>
      <c r="O45978" s="28"/>
      <c r="U45978" s="28"/>
    </row>
    <row r="45979">
      <c r="N45979" s="28"/>
      <c r="O45979" s="28"/>
      <c r="U45979" s="28"/>
    </row>
    <row r="45980">
      <c r="N45980" s="28"/>
      <c r="O45980" s="28"/>
      <c r="U45980" s="28"/>
    </row>
    <row r="45981">
      <c r="N45981" s="28"/>
      <c r="O45981" s="28"/>
      <c r="U45981" s="28"/>
    </row>
    <row r="45982">
      <c r="N45982" s="28"/>
      <c r="O45982" s="28"/>
      <c r="U45982" s="28"/>
    </row>
    <row r="45983">
      <c r="N45983" s="28"/>
      <c r="O45983" s="28"/>
      <c r="U45983" s="28"/>
    </row>
    <row r="45984">
      <c r="N45984" s="28"/>
      <c r="O45984" s="28"/>
      <c r="U45984" s="28"/>
    </row>
    <row r="45985">
      <c r="N45985" s="28"/>
      <c r="O45985" s="28"/>
      <c r="U45985" s="28"/>
    </row>
    <row r="45986">
      <c r="N45986" s="28"/>
      <c r="O45986" s="28"/>
      <c r="U45986" s="28"/>
    </row>
    <row r="45987">
      <c r="N45987" s="28"/>
      <c r="O45987" s="28"/>
      <c r="U45987" s="28"/>
    </row>
    <row r="45988">
      <c r="N45988" s="28"/>
      <c r="O45988" s="28"/>
      <c r="U45988" s="28"/>
    </row>
    <row r="45989">
      <c r="N45989" s="28"/>
      <c r="O45989" s="28"/>
      <c r="U45989" s="28"/>
    </row>
    <row r="45990">
      <c r="N45990" s="28"/>
      <c r="O45990" s="28"/>
      <c r="U45990" s="28"/>
    </row>
    <row r="45991">
      <c r="N45991" s="28"/>
      <c r="O45991" s="28"/>
      <c r="U45991" s="28"/>
    </row>
    <row r="45992">
      <c r="N45992" s="28"/>
      <c r="O45992" s="28"/>
      <c r="U45992" s="28"/>
    </row>
    <row r="45993">
      <c r="N45993" s="28"/>
      <c r="O45993" s="28"/>
      <c r="U45993" s="28"/>
    </row>
    <row r="45994">
      <c r="N45994" s="28"/>
      <c r="O45994" s="28"/>
      <c r="U45994" s="28"/>
    </row>
    <row r="45995">
      <c r="N45995" s="28"/>
      <c r="O45995" s="28"/>
      <c r="U45995" s="28"/>
    </row>
    <row r="45996">
      <c r="N45996" s="28"/>
      <c r="O45996" s="28"/>
      <c r="U45996" s="28"/>
    </row>
    <row r="45997">
      <c r="N45997" s="28"/>
      <c r="O45997" s="28"/>
      <c r="U45997" s="28"/>
    </row>
    <row r="45998">
      <c r="N45998" s="28"/>
      <c r="O45998" s="28"/>
      <c r="U45998" s="28"/>
    </row>
    <row r="45999">
      <c r="N45999" s="28"/>
      <c r="O45999" s="28"/>
      <c r="U45999" s="28"/>
    </row>
    <row r="46000">
      <c r="N46000" s="28"/>
      <c r="O46000" s="28"/>
      <c r="U46000" s="28"/>
    </row>
    <row r="46001">
      <c r="N46001" s="28"/>
      <c r="O46001" s="28"/>
      <c r="U46001" s="28"/>
    </row>
    <row r="46002">
      <c r="N46002" s="28"/>
      <c r="O46002" s="28"/>
      <c r="U46002" s="28"/>
    </row>
    <row r="46003">
      <c r="N46003" s="28"/>
      <c r="O46003" s="28"/>
      <c r="U46003" s="28"/>
    </row>
    <row r="46004">
      <c r="N46004" s="28"/>
      <c r="O46004" s="28"/>
      <c r="U46004" s="28"/>
    </row>
    <row r="46005">
      <c r="N46005" s="28"/>
      <c r="O46005" s="28"/>
      <c r="U46005" s="28"/>
    </row>
    <row r="46006">
      <c r="N46006" s="28"/>
      <c r="O46006" s="28"/>
      <c r="U46006" s="28"/>
    </row>
    <row r="46007">
      <c r="N46007" s="28"/>
      <c r="O46007" s="28"/>
      <c r="U46007" s="28"/>
    </row>
    <row r="46008">
      <c r="N46008" s="28"/>
      <c r="O46008" s="28"/>
      <c r="U46008" s="28"/>
    </row>
    <row r="46009">
      <c r="N46009" s="28"/>
      <c r="O46009" s="28"/>
      <c r="U46009" s="28"/>
    </row>
    <row r="46010">
      <c r="N46010" s="28"/>
      <c r="O46010" s="28"/>
      <c r="U46010" s="28"/>
    </row>
    <row r="46011">
      <c r="N46011" s="28"/>
      <c r="O46011" s="28"/>
      <c r="U46011" s="28"/>
    </row>
    <row r="46012">
      <c r="N46012" s="28"/>
      <c r="O46012" s="28"/>
      <c r="U46012" s="28"/>
    </row>
    <row r="46013">
      <c r="N46013" s="28"/>
      <c r="O46013" s="28"/>
      <c r="U46013" s="28"/>
    </row>
    <row r="46014">
      <c r="N46014" s="28"/>
      <c r="O46014" s="28"/>
      <c r="U46014" s="28"/>
    </row>
    <row r="46015">
      <c r="N46015" s="28"/>
      <c r="O46015" s="28"/>
      <c r="U46015" s="28"/>
    </row>
    <row r="46016">
      <c r="N46016" s="28"/>
      <c r="O46016" s="28"/>
      <c r="U46016" s="28"/>
    </row>
    <row r="46017">
      <c r="N46017" s="28"/>
      <c r="O46017" s="28"/>
      <c r="U46017" s="28"/>
    </row>
    <row r="46018">
      <c r="N46018" s="28"/>
      <c r="O46018" s="28"/>
      <c r="U46018" s="28"/>
    </row>
    <row r="46019">
      <c r="N46019" s="28"/>
      <c r="O46019" s="28"/>
      <c r="U46019" s="28"/>
    </row>
    <row r="46020">
      <c r="N46020" s="28"/>
      <c r="O46020" s="28"/>
      <c r="U46020" s="28"/>
    </row>
    <row r="46021">
      <c r="N46021" s="28"/>
      <c r="O46021" s="28"/>
      <c r="U46021" s="28"/>
    </row>
    <row r="46022">
      <c r="N46022" s="28"/>
      <c r="O46022" s="28"/>
      <c r="U46022" s="28"/>
    </row>
    <row r="46023">
      <c r="N46023" s="28"/>
      <c r="O46023" s="28"/>
      <c r="U46023" s="28"/>
    </row>
    <row r="46024">
      <c r="N46024" s="28"/>
      <c r="O46024" s="28"/>
      <c r="U46024" s="28"/>
    </row>
    <row r="46025">
      <c r="N46025" s="28"/>
      <c r="O46025" s="28"/>
      <c r="U46025" s="28"/>
    </row>
    <row r="46026">
      <c r="N46026" s="28"/>
      <c r="O46026" s="28"/>
      <c r="U46026" s="28"/>
    </row>
    <row r="46027">
      <c r="N46027" s="28"/>
      <c r="O46027" s="28"/>
      <c r="U46027" s="28"/>
    </row>
    <row r="46028">
      <c r="N46028" s="28"/>
      <c r="O46028" s="28"/>
      <c r="U46028" s="28"/>
    </row>
    <row r="46029">
      <c r="N46029" s="28"/>
      <c r="O46029" s="28"/>
      <c r="U46029" s="28"/>
    </row>
    <row r="46030">
      <c r="N46030" s="28"/>
      <c r="O46030" s="28"/>
      <c r="U46030" s="28"/>
    </row>
    <row r="46031">
      <c r="N46031" s="28"/>
      <c r="O46031" s="28"/>
      <c r="U46031" s="28"/>
    </row>
    <row r="46032">
      <c r="N46032" s="28"/>
      <c r="O46032" s="28"/>
      <c r="U46032" s="28"/>
    </row>
    <row r="46033">
      <c r="N46033" s="28"/>
      <c r="O46033" s="28"/>
      <c r="U46033" s="28"/>
    </row>
    <row r="46034">
      <c r="N46034" s="28"/>
      <c r="O46034" s="28"/>
      <c r="U46034" s="28"/>
    </row>
    <row r="46035">
      <c r="N46035" s="28"/>
      <c r="O46035" s="28"/>
      <c r="U46035" s="28"/>
    </row>
    <row r="46036">
      <c r="N46036" s="28"/>
      <c r="O46036" s="28"/>
      <c r="U46036" s="28"/>
    </row>
    <row r="46037">
      <c r="N46037" s="28"/>
      <c r="O46037" s="28"/>
      <c r="U46037" s="28"/>
    </row>
    <row r="46038">
      <c r="N46038" s="28"/>
      <c r="O46038" s="28"/>
      <c r="U46038" s="28"/>
    </row>
    <row r="46039">
      <c r="N46039" s="28"/>
      <c r="O46039" s="28"/>
      <c r="U46039" s="28"/>
    </row>
    <row r="46040">
      <c r="N46040" s="28"/>
      <c r="O46040" s="28"/>
      <c r="U46040" s="28"/>
    </row>
    <row r="46041">
      <c r="N46041" s="28"/>
      <c r="O46041" s="28"/>
      <c r="U46041" s="28"/>
    </row>
    <row r="46042">
      <c r="N46042" s="28"/>
      <c r="O46042" s="28"/>
      <c r="U46042" s="28"/>
    </row>
    <row r="46043">
      <c r="N46043" s="28"/>
      <c r="O46043" s="28"/>
      <c r="U46043" s="28"/>
    </row>
    <row r="46044">
      <c r="N46044" s="28"/>
      <c r="O46044" s="28"/>
      <c r="U46044" s="28"/>
    </row>
    <row r="46045">
      <c r="N46045" s="28"/>
      <c r="O46045" s="28"/>
      <c r="U46045" s="28"/>
    </row>
    <row r="46046">
      <c r="N46046" s="28"/>
      <c r="O46046" s="28"/>
      <c r="U46046" s="28"/>
    </row>
    <row r="46047">
      <c r="N46047" s="28"/>
      <c r="O46047" s="28"/>
      <c r="U46047" s="28"/>
    </row>
    <row r="46048">
      <c r="N46048" s="28"/>
      <c r="O46048" s="28"/>
      <c r="U46048" s="28"/>
    </row>
    <row r="46049">
      <c r="N46049" s="28"/>
      <c r="O46049" s="28"/>
      <c r="U46049" s="28"/>
    </row>
    <row r="46050">
      <c r="N46050" s="28"/>
      <c r="O46050" s="28"/>
      <c r="U46050" s="28"/>
    </row>
    <row r="46051">
      <c r="N46051" s="28"/>
      <c r="O46051" s="28"/>
      <c r="U46051" s="28"/>
    </row>
    <row r="46052">
      <c r="N46052" s="28"/>
      <c r="O46052" s="28"/>
      <c r="U46052" s="28"/>
    </row>
    <row r="46053">
      <c r="N46053" s="28"/>
      <c r="O46053" s="28"/>
      <c r="U46053" s="28"/>
    </row>
    <row r="46054">
      <c r="N46054" s="28"/>
      <c r="O46054" s="28"/>
      <c r="U46054" s="28"/>
    </row>
    <row r="46055">
      <c r="N46055" s="28"/>
      <c r="O46055" s="28"/>
      <c r="U46055" s="28"/>
    </row>
    <row r="46056">
      <c r="N46056" s="28"/>
      <c r="O46056" s="28"/>
      <c r="U46056" s="28"/>
    </row>
    <row r="46057">
      <c r="N46057" s="28"/>
      <c r="O46057" s="28"/>
      <c r="U46057" s="28"/>
    </row>
    <row r="46058">
      <c r="N46058" s="28"/>
      <c r="O46058" s="28"/>
      <c r="U46058" s="28"/>
    </row>
    <row r="46059">
      <c r="N46059" s="28"/>
      <c r="O46059" s="28"/>
      <c r="U46059" s="28"/>
    </row>
    <row r="46060">
      <c r="N46060" s="28"/>
      <c r="O46060" s="28"/>
      <c r="U46060" s="28"/>
    </row>
    <row r="46061">
      <c r="N46061" s="28"/>
      <c r="O46061" s="28"/>
      <c r="U46061" s="28"/>
    </row>
    <row r="46062">
      <c r="N46062" s="28"/>
      <c r="O46062" s="28"/>
      <c r="U46062" s="28"/>
    </row>
    <row r="46063">
      <c r="N46063" s="28"/>
      <c r="O46063" s="28"/>
      <c r="U46063" s="28"/>
    </row>
    <row r="46064">
      <c r="N46064" s="28"/>
      <c r="O46064" s="28"/>
      <c r="U46064" s="28"/>
    </row>
    <row r="46065">
      <c r="N46065" s="28"/>
      <c r="O46065" s="28"/>
      <c r="U46065" s="28"/>
    </row>
    <row r="46066">
      <c r="N46066" s="28"/>
      <c r="O46066" s="28"/>
      <c r="U46066" s="28"/>
    </row>
    <row r="46067">
      <c r="N46067" s="28"/>
      <c r="O46067" s="28"/>
      <c r="U46067" s="28"/>
    </row>
    <row r="46068">
      <c r="N46068" s="28"/>
      <c r="O46068" s="28"/>
      <c r="U46068" s="28"/>
    </row>
    <row r="46069">
      <c r="N46069" s="28"/>
      <c r="O46069" s="28"/>
      <c r="U46069" s="28"/>
    </row>
    <row r="46070">
      <c r="N46070" s="28"/>
      <c r="O46070" s="28"/>
      <c r="U46070" s="28"/>
    </row>
    <row r="46071">
      <c r="N46071" s="28"/>
      <c r="O46071" s="28"/>
      <c r="U46071" s="28"/>
    </row>
    <row r="46072">
      <c r="N46072" s="28"/>
      <c r="O46072" s="28"/>
      <c r="U46072" s="28"/>
    </row>
    <row r="46073">
      <c r="N46073" s="28"/>
      <c r="O46073" s="28"/>
      <c r="U46073" s="28"/>
    </row>
    <row r="46074">
      <c r="N46074" s="28"/>
      <c r="O46074" s="28"/>
      <c r="U46074" s="28"/>
    </row>
    <row r="46075">
      <c r="N46075" s="28"/>
      <c r="O46075" s="28"/>
      <c r="U46075" s="28"/>
    </row>
    <row r="46076">
      <c r="N46076" s="28"/>
      <c r="O46076" s="28"/>
      <c r="U46076" s="28"/>
    </row>
    <row r="46077">
      <c r="N46077" s="28"/>
      <c r="O46077" s="28"/>
      <c r="U46077" s="28"/>
    </row>
    <row r="46078">
      <c r="N46078" s="28"/>
      <c r="O46078" s="28"/>
      <c r="U46078" s="28"/>
    </row>
    <row r="46079">
      <c r="N46079" s="28"/>
      <c r="O46079" s="28"/>
      <c r="U46079" s="28"/>
    </row>
    <row r="46080">
      <c r="N46080" s="28"/>
      <c r="O46080" s="28"/>
      <c r="U46080" s="28"/>
    </row>
    <row r="46081">
      <c r="N46081" s="28"/>
      <c r="O46081" s="28"/>
      <c r="U46081" s="28"/>
    </row>
    <row r="46082">
      <c r="N46082" s="28"/>
      <c r="O46082" s="28"/>
      <c r="U46082" s="28"/>
    </row>
    <row r="46083">
      <c r="N46083" s="28"/>
      <c r="O46083" s="28"/>
      <c r="U46083" s="28"/>
    </row>
    <row r="46084">
      <c r="N46084" s="28"/>
      <c r="O46084" s="28"/>
      <c r="U46084" s="28"/>
    </row>
    <row r="46085">
      <c r="N46085" s="28"/>
      <c r="O46085" s="28"/>
      <c r="U46085" s="28"/>
    </row>
    <row r="46086">
      <c r="N46086" s="28"/>
      <c r="O46086" s="28"/>
      <c r="U46086" s="28"/>
    </row>
    <row r="46087">
      <c r="N46087" s="28"/>
      <c r="O46087" s="28"/>
      <c r="U46087" s="28"/>
    </row>
    <row r="46088">
      <c r="N46088" s="28"/>
      <c r="O46088" s="28"/>
      <c r="U46088" s="28"/>
    </row>
    <row r="46089">
      <c r="N46089" s="28"/>
      <c r="O46089" s="28"/>
      <c r="U46089" s="28"/>
    </row>
    <row r="46090">
      <c r="N46090" s="28"/>
      <c r="O46090" s="28"/>
      <c r="U46090" s="28"/>
    </row>
    <row r="46091">
      <c r="N46091" s="28"/>
      <c r="O46091" s="28"/>
      <c r="U46091" s="28"/>
    </row>
    <row r="46092">
      <c r="N46092" s="28"/>
      <c r="O46092" s="28"/>
      <c r="U46092" s="28"/>
    </row>
    <row r="46093">
      <c r="N46093" s="28"/>
      <c r="O46093" s="28"/>
      <c r="U46093" s="28"/>
    </row>
    <row r="46094">
      <c r="N46094" s="28"/>
      <c r="O46094" s="28"/>
      <c r="U46094" s="28"/>
    </row>
    <row r="46095">
      <c r="N46095" s="28"/>
      <c r="O46095" s="28"/>
      <c r="U46095" s="28"/>
    </row>
    <row r="46096">
      <c r="N46096" s="28"/>
      <c r="O46096" s="28"/>
      <c r="U46096" s="28"/>
    </row>
    <row r="46097">
      <c r="N46097" s="28"/>
      <c r="O46097" s="28"/>
      <c r="U46097" s="28"/>
    </row>
    <row r="46098">
      <c r="N46098" s="28"/>
      <c r="O46098" s="28"/>
      <c r="U46098" s="28"/>
    </row>
    <row r="46099">
      <c r="N46099" s="28"/>
      <c r="O46099" s="28"/>
      <c r="U46099" s="28"/>
    </row>
    <row r="46100">
      <c r="N46100" s="28"/>
      <c r="O46100" s="28"/>
      <c r="U46100" s="28"/>
    </row>
    <row r="46101">
      <c r="N46101" s="28"/>
      <c r="O46101" s="28"/>
      <c r="U46101" s="28"/>
    </row>
    <row r="46102">
      <c r="N46102" s="28"/>
      <c r="O46102" s="28"/>
      <c r="U46102" s="28"/>
    </row>
    <row r="46103">
      <c r="N46103" s="28"/>
      <c r="O46103" s="28"/>
      <c r="U46103" s="28"/>
    </row>
    <row r="46104">
      <c r="N46104" s="28"/>
      <c r="O46104" s="28"/>
      <c r="U46104" s="28"/>
    </row>
    <row r="46105">
      <c r="N46105" s="28"/>
      <c r="O46105" s="28"/>
      <c r="U46105" s="28"/>
    </row>
    <row r="46106">
      <c r="N46106" s="28"/>
      <c r="O46106" s="28"/>
      <c r="U46106" s="28"/>
    </row>
    <row r="46107">
      <c r="N46107" s="28"/>
      <c r="O46107" s="28"/>
      <c r="U46107" s="28"/>
    </row>
    <row r="46108">
      <c r="N46108" s="28"/>
      <c r="O46108" s="28"/>
      <c r="U46108" s="28"/>
    </row>
    <row r="46109">
      <c r="N46109" s="28"/>
      <c r="O46109" s="28"/>
      <c r="U46109" s="28"/>
    </row>
    <row r="46110">
      <c r="N46110" s="28"/>
      <c r="O46110" s="28"/>
      <c r="U46110" s="28"/>
    </row>
    <row r="46111">
      <c r="N46111" s="28"/>
      <c r="O46111" s="28"/>
      <c r="U46111" s="28"/>
    </row>
    <row r="46112">
      <c r="N46112" s="28"/>
      <c r="O46112" s="28"/>
      <c r="U46112" s="28"/>
    </row>
    <row r="46113">
      <c r="N46113" s="28"/>
      <c r="O46113" s="28"/>
      <c r="U46113" s="28"/>
    </row>
    <row r="46114">
      <c r="N46114" s="28"/>
      <c r="O46114" s="28"/>
      <c r="U46114" s="28"/>
    </row>
    <row r="46115">
      <c r="N46115" s="28"/>
      <c r="O46115" s="28"/>
      <c r="U46115" s="28"/>
    </row>
    <row r="46116">
      <c r="N46116" s="28"/>
      <c r="O46116" s="28"/>
      <c r="U46116" s="28"/>
    </row>
    <row r="46117">
      <c r="N46117" s="28"/>
      <c r="O46117" s="28"/>
      <c r="U46117" s="28"/>
    </row>
    <row r="46118">
      <c r="N46118" s="28"/>
      <c r="O46118" s="28"/>
      <c r="U46118" s="28"/>
    </row>
    <row r="46119">
      <c r="N46119" s="28"/>
      <c r="O46119" s="28"/>
      <c r="U46119" s="28"/>
    </row>
    <row r="46120">
      <c r="N46120" s="28"/>
      <c r="O46120" s="28"/>
      <c r="U46120" s="28"/>
    </row>
    <row r="46121">
      <c r="N46121" s="28"/>
      <c r="O46121" s="28"/>
      <c r="U46121" s="28"/>
    </row>
    <row r="46122">
      <c r="N46122" s="28"/>
      <c r="O46122" s="28"/>
      <c r="U46122" s="28"/>
    </row>
    <row r="46123">
      <c r="N46123" s="28"/>
      <c r="O46123" s="28"/>
      <c r="U46123" s="28"/>
    </row>
    <row r="46124">
      <c r="N46124" s="28"/>
      <c r="O46124" s="28"/>
      <c r="U46124" s="28"/>
    </row>
    <row r="46125">
      <c r="N46125" s="28"/>
      <c r="O46125" s="28"/>
      <c r="U46125" s="28"/>
    </row>
    <row r="46126">
      <c r="N46126" s="28"/>
      <c r="O46126" s="28"/>
      <c r="U46126" s="28"/>
    </row>
    <row r="46127">
      <c r="N46127" s="28"/>
      <c r="O46127" s="28"/>
      <c r="U46127" s="28"/>
    </row>
    <row r="46128">
      <c r="N46128" s="28"/>
      <c r="O46128" s="28"/>
      <c r="U46128" s="28"/>
    </row>
    <row r="46129">
      <c r="N46129" s="28"/>
      <c r="O46129" s="28"/>
      <c r="U46129" s="28"/>
    </row>
    <row r="46130">
      <c r="N46130" s="28"/>
      <c r="O46130" s="28"/>
      <c r="U46130" s="28"/>
    </row>
    <row r="46131">
      <c r="N46131" s="28"/>
      <c r="O46131" s="28"/>
      <c r="U46131" s="28"/>
    </row>
    <row r="46132">
      <c r="N46132" s="28"/>
      <c r="O46132" s="28"/>
      <c r="U46132" s="28"/>
    </row>
    <row r="46133">
      <c r="N46133" s="28"/>
      <c r="O46133" s="28"/>
      <c r="U46133" s="28"/>
    </row>
    <row r="46134">
      <c r="N46134" s="28"/>
      <c r="O46134" s="28"/>
      <c r="U46134" s="28"/>
    </row>
    <row r="46135">
      <c r="N46135" s="28"/>
      <c r="O46135" s="28"/>
      <c r="U46135" s="28"/>
    </row>
    <row r="46136">
      <c r="N46136" s="28"/>
      <c r="O46136" s="28"/>
      <c r="U46136" s="28"/>
    </row>
    <row r="46137">
      <c r="N46137" s="28"/>
      <c r="O46137" s="28"/>
      <c r="U46137" s="28"/>
    </row>
    <row r="46138">
      <c r="N46138" s="28"/>
      <c r="O46138" s="28"/>
      <c r="U46138" s="28"/>
    </row>
    <row r="46139">
      <c r="N46139" s="28"/>
      <c r="O46139" s="28"/>
      <c r="U46139" s="28"/>
    </row>
    <row r="46140">
      <c r="N46140" s="28"/>
      <c r="O46140" s="28"/>
      <c r="U46140" s="28"/>
    </row>
    <row r="46141">
      <c r="N46141" s="28"/>
      <c r="O46141" s="28"/>
      <c r="U46141" s="28"/>
    </row>
    <row r="46142">
      <c r="N46142" s="28"/>
      <c r="O46142" s="28"/>
      <c r="U46142" s="28"/>
    </row>
    <row r="46143">
      <c r="N46143" s="28"/>
      <c r="O46143" s="28"/>
      <c r="U46143" s="28"/>
    </row>
    <row r="46144">
      <c r="N46144" s="28"/>
      <c r="O46144" s="28"/>
      <c r="U46144" s="28"/>
    </row>
    <row r="46145">
      <c r="N46145" s="28"/>
      <c r="O46145" s="28"/>
      <c r="U46145" s="28"/>
    </row>
    <row r="46146">
      <c r="N46146" s="28"/>
      <c r="O46146" s="28"/>
      <c r="U46146" s="28"/>
    </row>
    <row r="46147">
      <c r="N46147" s="28"/>
      <c r="O46147" s="28"/>
      <c r="U46147" s="28"/>
    </row>
    <row r="46148">
      <c r="N46148" s="28"/>
      <c r="O46148" s="28"/>
      <c r="U46148" s="28"/>
    </row>
    <row r="46149">
      <c r="N46149" s="28"/>
      <c r="O46149" s="28"/>
      <c r="U46149" s="28"/>
    </row>
    <row r="46150">
      <c r="N46150" s="28"/>
      <c r="O46150" s="28"/>
      <c r="U46150" s="28"/>
    </row>
    <row r="46151">
      <c r="N46151" s="28"/>
      <c r="O46151" s="28"/>
      <c r="U46151" s="28"/>
    </row>
    <row r="46152">
      <c r="N46152" s="28"/>
      <c r="O46152" s="28"/>
      <c r="U46152" s="28"/>
    </row>
    <row r="46153">
      <c r="N46153" s="28"/>
      <c r="O46153" s="28"/>
      <c r="U46153" s="28"/>
    </row>
    <row r="46154">
      <c r="N46154" s="28"/>
      <c r="O46154" s="28"/>
      <c r="U46154" s="28"/>
    </row>
    <row r="46155">
      <c r="N46155" s="28"/>
      <c r="O46155" s="28"/>
      <c r="U46155" s="28"/>
    </row>
    <row r="46156">
      <c r="N46156" s="28"/>
      <c r="O46156" s="28"/>
      <c r="U46156" s="28"/>
    </row>
    <row r="46157">
      <c r="N46157" s="28"/>
      <c r="O46157" s="28"/>
      <c r="U46157" s="28"/>
    </row>
    <row r="46158">
      <c r="N46158" s="28"/>
      <c r="O46158" s="28"/>
      <c r="U46158" s="28"/>
    </row>
    <row r="46159">
      <c r="N46159" s="28"/>
      <c r="O46159" s="28"/>
      <c r="U46159" s="28"/>
    </row>
    <row r="46160">
      <c r="N46160" s="28"/>
      <c r="O46160" s="28"/>
      <c r="U46160" s="28"/>
    </row>
    <row r="46161">
      <c r="N46161" s="28"/>
      <c r="O46161" s="28"/>
      <c r="U46161" s="28"/>
    </row>
    <row r="46162">
      <c r="N46162" s="28"/>
      <c r="O46162" s="28"/>
      <c r="U46162" s="28"/>
    </row>
    <row r="46163">
      <c r="N46163" s="28"/>
      <c r="O46163" s="28"/>
      <c r="U46163" s="28"/>
    </row>
    <row r="46164">
      <c r="N46164" s="28"/>
      <c r="O46164" s="28"/>
      <c r="U46164" s="28"/>
    </row>
    <row r="46165">
      <c r="N46165" s="28"/>
      <c r="O46165" s="28"/>
      <c r="U46165" s="28"/>
    </row>
    <row r="46166">
      <c r="N46166" s="28"/>
      <c r="O46166" s="28"/>
      <c r="U46166" s="28"/>
    </row>
    <row r="46167">
      <c r="N46167" s="28"/>
      <c r="O46167" s="28"/>
      <c r="U46167" s="28"/>
    </row>
    <row r="46168">
      <c r="N46168" s="28"/>
      <c r="O46168" s="28"/>
      <c r="U46168" s="28"/>
    </row>
    <row r="46169">
      <c r="N46169" s="28"/>
      <c r="O46169" s="28"/>
      <c r="U46169" s="28"/>
    </row>
    <row r="46170">
      <c r="N46170" s="28"/>
      <c r="O46170" s="28"/>
      <c r="U46170" s="28"/>
    </row>
    <row r="46171">
      <c r="N46171" s="28"/>
      <c r="O46171" s="28"/>
      <c r="U46171" s="28"/>
    </row>
    <row r="46172">
      <c r="N46172" s="28"/>
      <c r="O46172" s="28"/>
      <c r="U46172" s="28"/>
    </row>
    <row r="46173">
      <c r="N46173" s="28"/>
      <c r="O46173" s="28"/>
      <c r="U46173" s="28"/>
    </row>
    <row r="46174">
      <c r="N46174" s="28"/>
      <c r="O46174" s="28"/>
      <c r="U46174" s="28"/>
    </row>
    <row r="46175">
      <c r="N46175" s="28"/>
      <c r="O46175" s="28"/>
      <c r="U46175" s="28"/>
    </row>
    <row r="46176">
      <c r="N46176" s="28"/>
      <c r="O46176" s="28"/>
      <c r="U46176" s="28"/>
    </row>
    <row r="46177">
      <c r="N46177" s="28"/>
      <c r="O46177" s="28"/>
      <c r="U46177" s="28"/>
    </row>
    <row r="46178">
      <c r="N46178" s="28"/>
      <c r="O46178" s="28"/>
      <c r="U46178" s="28"/>
    </row>
    <row r="46179">
      <c r="N46179" s="28"/>
      <c r="O46179" s="28"/>
      <c r="U46179" s="28"/>
    </row>
    <row r="46180">
      <c r="N46180" s="28"/>
      <c r="O46180" s="28"/>
      <c r="U46180" s="28"/>
    </row>
    <row r="46181">
      <c r="N46181" s="28"/>
      <c r="O46181" s="28"/>
      <c r="U46181" s="28"/>
    </row>
    <row r="46182">
      <c r="N46182" s="28"/>
      <c r="O46182" s="28"/>
      <c r="U46182" s="28"/>
    </row>
    <row r="46183">
      <c r="N46183" s="28"/>
      <c r="O46183" s="28"/>
      <c r="U46183" s="28"/>
    </row>
    <row r="46184">
      <c r="N46184" s="28"/>
      <c r="O46184" s="28"/>
      <c r="U46184" s="28"/>
    </row>
    <row r="46185">
      <c r="N46185" s="28"/>
      <c r="O46185" s="28"/>
      <c r="U46185" s="28"/>
    </row>
    <row r="46186">
      <c r="N46186" s="28"/>
      <c r="O46186" s="28"/>
      <c r="U46186" s="28"/>
    </row>
    <row r="46187">
      <c r="N46187" s="28"/>
      <c r="O46187" s="28"/>
      <c r="U46187" s="28"/>
    </row>
    <row r="46188">
      <c r="N46188" s="28"/>
      <c r="O46188" s="28"/>
      <c r="U46188" s="28"/>
    </row>
    <row r="46189">
      <c r="N46189" s="28"/>
      <c r="O46189" s="28"/>
      <c r="U46189" s="28"/>
    </row>
    <row r="46190">
      <c r="N46190" s="28"/>
      <c r="O46190" s="28"/>
      <c r="U46190" s="28"/>
    </row>
    <row r="46191">
      <c r="N46191" s="28"/>
      <c r="O46191" s="28"/>
      <c r="U46191" s="28"/>
    </row>
    <row r="46192">
      <c r="N46192" s="28"/>
      <c r="O46192" s="28"/>
      <c r="U46192" s="28"/>
    </row>
    <row r="46193">
      <c r="N46193" s="28"/>
      <c r="O46193" s="28"/>
      <c r="U46193" s="28"/>
    </row>
    <row r="46194">
      <c r="N46194" s="28"/>
      <c r="O46194" s="28"/>
      <c r="U46194" s="28"/>
    </row>
    <row r="46195">
      <c r="N46195" s="28"/>
      <c r="O46195" s="28"/>
      <c r="U46195" s="28"/>
    </row>
    <row r="46196">
      <c r="N46196" s="28"/>
      <c r="O46196" s="28"/>
      <c r="U46196" s="28"/>
    </row>
    <row r="46197">
      <c r="N46197" s="28"/>
      <c r="O46197" s="28"/>
      <c r="U46197" s="28"/>
    </row>
    <row r="46198">
      <c r="N46198" s="28"/>
      <c r="O46198" s="28"/>
      <c r="U46198" s="28"/>
    </row>
    <row r="46199">
      <c r="N46199" s="28"/>
      <c r="O46199" s="28"/>
      <c r="U46199" s="28"/>
    </row>
    <row r="46200">
      <c r="N46200" s="28"/>
      <c r="O46200" s="28"/>
      <c r="U46200" s="28"/>
    </row>
    <row r="46201">
      <c r="N46201" s="28"/>
      <c r="O46201" s="28"/>
      <c r="U46201" s="28"/>
    </row>
    <row r="46202">
      <c r="N46202" s="28"/>
      <c r="O46202" s="28"/>
      <c r="U46202" s="28"/>
    </row>
    <row r="46203">
      <c r="N46203" s="28"/>
      <c r="O46203" s="28"/>
      <c r="U46203" s="28"/>
    </row>
    <row r="46204">
      <c r="N46204" s="28"/>
      <c r="O46204" s="28"/>
      <c r="U46204" s="28"/>
    </row>
    <row r="46205">
      <c r="N46205" s="28"/>
      <c r="O46205" s="28"/>
      <c r="U46205" s="28"/>
    </row>
    <row r="46206">
      <c r="N46206" s="28"/>
      <c r="O46206" s="28"/>
      <c r="U46206" s="28"/>
    </row>
    <row r="46207">
      <c r="N46207" s="28"/>
      <c r="O46207" s="28"/>
      <c r="U46207" s="28"/>
    </row>
    <row r="46208">
      <c r="N46208" s="28"/>
      <c r="O46208" s="28"/>
      <c r="U46208" s="28"/>
    </row>
    <row r="46209">
      <c r="N46209" s="28"/>
      <c r="O46209" s="28"/>
      <c r="U46209" s="28"/>
    </row>
    <row r="46210">
      <c r="N46210" s="28"/>
      <c r="O46210" s="28"/>
      <c r="U46210" s="28"/>
    </row>
    <row r="46211">
      <c r="N46211" s="28"/>
      <c r="O46211" s="28"/>
      <c r="U46211" s="28"/>
    </row>
    <row r="46212">
      <c r="N46212" s="28"/>
      <c r="O46212" s="28"/>
      <c r="U46212" s="28"/>
    </row>
    <row r="46213">
      <c r="N46213" s="28"/>
      <c r="O46213" s="28"/>
      <c r="U46213" s="28"/>
    </row>
    <row r="46214">
      <c r="N46214" s="28"/>
      <c r="O46214" s="28"/>
      <c r="U46214" s="28"/>
    </row>
    <row r="46215">
      <c r="N46215" s="28"/>
      <c r="O46215" s="28"/>
      <c r="U46215" s="28"/>
    </row>
    <row r="46216">
      <c r="N46216" s="28"/>
      <c r="O46216" s="28"/>
      <c r="U46216" s="28"/>
    </row>
    <row r="46217">
      <c r="N46217" s="28"/>
      <c r="O46217" s="28"/>
      <c r="U46217" s="28"/>
    </row>
    <row r="46218">
      <c r="N46218" s="28"/>
      <c r="O46218" s="28"/>
      <c r="U46218" s="28"/>
    </row>
    <row r="46219">
      <c r="N46219" s="28"/>
      <c r="O46219" s="28"/>
      <c r="U46219" s="28"/>
    </row>
    <row r="46220">
      <c r="N46220" s="28"/>
      <c r="O46220" s="28"/>
      <c r="U46220" s="28"/>
    </row>
    <row r="46221">
      <c r="N46221" s="28"/>
      <c r="O46221" s="28"/>
      <c r="U46221" s="28"/>
    </row>
    <row r="46222">
      <c r="N46222" s="28"/>
      <c r="O46222" s="28"/>
      <c r="U46222" s="28"/>
    </row>
    <row r="46223">
      <c r="N46223" s="28"/>
      <c r="O46223" s="28"/>
      <c r="U46223" s="28"/>
    </row>
    <row r="46224">
      <c r="N46224" s="28"/>
      <c r="O46224" s="28"/>
      <c r="U46224" s="28"/>
    </row>
    <row r="46225">
      <c r="N46225" s="28"/>
      <c r="O46225" s="28"/>
      <c r="U46225" s="28"/>
    </row>
    <row r="46226">
      <c r="N46226" s="28"/>
      <c r="O46226" s="28"/>
      <c r="U46226" s="28"/>
    </row>
    <row r="46227">
      <c r="N46227" s="28"/>
      <c r="O46227" s="28"/>
      <c r="U46227" s="28"/>
    </row>
    <row r="46228">
      <c r="N46228" s="28"/>
      <c r="O46228" s="28"/>
      <c r="U46228" s="28"/>
    </row>
    <row r="46229">
      <c r="N46229" s="28"/>
      <c r="O46229" s="28"/>
      <c r="U46229" s="28"/>
    </row>
    <row r="46230">
      <c r="N46230" s="28"/>
      <c r="O46230" s="28"/>
      <c r="U46230" s="28"/>
    </row>
    <row r="46231">
      <c r="N46231" s="28"/>
      <c r="O46231" s="28"/>
      <c r="U46231" s="28"/>
    </row>
    <row r="46232">
      <c r="N46232" s="28"/>
      <c r="O46232" s="28"/>
      <c r="U46232" s="28"/>
    </row>
    <row r="46233">
      <c r="N46233" s="28"/>
      <c r="O46233" s="28"/>
      <c r="U46233" s="28"/>
    </row>
    <row r="46234">
      <c r="N46234" s="28"/>
      <c r="O46234" s="28"/>
      <c r="U46234" s="28"/>
    </row>
    <row r="46235">
      <c r="N46235" s="28"/>
      <c r="O46235" s="28"/>
      <c r="U46235" s="28"/>
    </row>
    <row r="46236">
      <c r="N46236" s="28"/>
      <c r="O46236" s="28"/>
      <c r="U46236" s="28"/>
    </row>
    <row r="46237">
      <c r="N46237" s="28"/>
      <c r="O46237" s="28"/>
      <c r="U46237" s="28"/>
    </row>
    <row r="46238">
      <c r="N46238" s="28"/>
      <c r="O46238" s="28"/>
      <c r="U46238" s="28"/>
    </row>
    <row r="46239">
      <c r="N46239" s="28"/>
      <c r="O46239" s="28"/>
      <c r="U46239" s="28"/>
    </row>
    <row r="46240">
      <c r="N46240" s="28"/>
      <c r="O46240" s="28"/>
      <c r="U46240" s="28"/>
    </row>
    <row r="46241">
      <c r="N46241" s="28"/>
      <c r="O46241" s="28"/>
      <c r="U46241" s="28"/>
    </row>
    <row r="46242">
      <c r="N46242" s="28"/>
      <c r="O46242" s="28"/>
      <c r="U46242" s="28"/>
    </row>
    <row r="46243">
      <c r="N46243" s="28"/>
      <c r="O46243" s="28"/>
      <c r="U46243" s="28"/>
    </row>
    <row r="46244">
      <c r="N46244" s="28"/>
      <c r="O46244" s="28"/>
      <c r="U46244" s="28"/>
    </row>
    <row r="46245">
      <c r="N46245" s="28"/>
      <c r="O46245" s="28"/>
      <c r="U46245" s="28"/>
    </row>
    <row r="46246">
      <c r="N46246" s="28"/>
      <c r="O46246" s="28"/>
      <c r="U46246" s="28"/>
    </row>
    <row r="46247">
      <c r="N46247" s="28"/>
      <c r="O46247" s="28"/>
      <c r="U46247" s="28"/>
    </row>
    <row r="46248">
      <c r="N46248" s="28"/>
      <c r="O46248" s="28"/>
      <c r="U46248" s="28"/>
    </row>
    <row r="46249">
      <c r="N46249" s="28"/>
      <c r="O46249" s="28"/>
      <c r="U46249" s="28"/>
    </row>
    <row r="46250">
      <c r="N46250" s="28"/>
      <c r="O46250" s="28"/>
      <c r="U46250" s="28"/>
    </row>
    <row r="46251">
      <c r="N46251" s="28"/>
      <c r="O46251" s="28"/>
      <c r="U46251" s="28"/>
    </row>
    <row r="46252">
      <c r="N46252" s="28"/>
      <c r="O46252" s="28"/>
      <c r="U46252" s="28"/>
    </row>
    <row r="46253">
      <c r="N46253" s="28"/>
      <c r="O46253" s="28"/>
      <c r="U46253" s="28"/>
    </row>
    <row r="46254">
      <c r="N46254" s="28"/>
      <c r="O46254" s="28"/>
      <c r="U46254" s="28"/>
    </row>
    <row r="46255">
      <c r="N46255" s="28"/>
      <c r="O46255" s="28"/>
      <c r="U46255" s="28"/>
    </row>
    <row r="46256">
      <c r="N46256" s="28"/>
      <c r="O46256" s="28"/>
      <c r="U46256" s="28"/>
    </row>
    <row r="46257">
      <c r="N46257" s="28"/>
      <c r="O46257" s="28"/>
      <c r="U46257" s="28"/>
    </row>
    <row r="46258">
      <c r="N46258" s="28"/>
      <c r="O46258" s="28"/>
      <c r="U46258" s="28"/>
    </row>
    <row r="46259">
      <c r="N46259" s="28"/>
      <c r="O46259" s="28"/>
      <c r="U46259" s="28"/>
    </row>
    <row r="46260">
      <c r="N46260" s="28"/>
      <c r="O46260" s="28"/>
      <c r="U46260" s="28"/>
    </row>
    <row r="46261">
      <c r="N46261" s="28"/>
      <c r="O46261" s="28"/>
      <c r="U46261" s="28"/>
    </row>
    <row r="46262">
      <c r="N46262" s="28"/>
      <c r="O46262" s="28"/>
      <c r="U46262" s="28"/>
    </row>
    <row r="46263">
      <c r="N46263" s="28"/>
      <c r="O46263" s="28"/>
      <c r="U46263" s="28"/>
    </row>
    <row r="46264">
      <c r="N46264" s="28"/>
      <c r="O46264" s="28"/>
      <c r="U46264" s="28"/>
    </row>
    <row r="46265">
      <c r="N46265" s="28"/>
      <c r="O46265" s="28"/>
      <c r="U46265" s="28"/>
    </row>
    <row r="46266">
      <c r="N46266" s="28"/>
      <c r="O46266" s="28"/>
      <c r="U46266" s="28"/>
    </row>
    <row r="46267">
      <c r="N46267" s="28"/>
      <c r="O46267" s="28"/>
      <c r="U46267" s="28"/>
    </row>
    <row r="46268">
      <c r="N46268" s="28"/>
      <c r="O46268" s="28"/>
      <c r="U46268" s="28"/>
    </row>
    <row r="46269">
      <c r="N46269" s="28"/>
      <c r="O46269" s="28"/>
      <c r="U46269" s="28"/>
    </row>
    <row r="46270">
      <c r="N46270" s="28"/>
      <c r="O46270" s="28"/>
      <c r="U46270" s="28"/>
    </row>
    <row r="46271">
      <c r="N46271" s="28"/>
      <c r="O46271" s="28"/>
      <c r="U46271" s="28"/>
    </row>
    <row r="46272">
      <c r="N46272" s="28"/>
      <c r="O46272" s="28"/>
      <c r="U46272" s="28"/>
    </row>
    <row r="46273">
      <c r="N46273" s="28"/>
      <c r="O46273" s="28"/>
      <c r="U46273" s="28"/>
    </row>
    <row r="46274">
      <c r="N46274" s="28"/>
      <c r="O46274" s="28"/>
      <c r="U46274" s="28"/>
    </row>
    <row r="46275">
      <c r="N46275" s="28"/>
      <c r="O46275" s="28"/>
      <c r="U46275" s="28"/>
    </row>
    <row r="46276">
      <c r="N46276" s="28"/>
      <c r="O46276" s="28"/>
      <c r="U46276" s="28"/>
    </row>
    <row r="46277">
      <c r="N46277" s="28"/>
      <c r="O46277" s="28"/>
      <c r="U46277" s="28"/>
    </row>
    <row r="46278">
      <c r="N46278" s="28"/>
      <c r="O46278" s="28"/>
      <c r="U46278" s="28"/>
    </row>
    <row r="46279">
      <c r="N46279" s="28"/>
      <c r="O46279" s="28"/>
      <c r="U46279" s="28"/>
    </row>
    <row r="46280">
      <c r="N46280" s="28"/>
      <c r="O46280" s="28"/>
      <c r="U46280" s="28"/>
    </row>
    <row r="46281">
      <c r="N46281" s="28"/>
      <c r="O46281" s="28"/>
      <c r="U46281" s="28"/>
    </row>
    <row r="46282">
      <c r="N46282" s="28"/>
      <c r="O46282" s="28"/>
      <c r="U46282" s="28"/>
    </row>
    <row r="46283">
      <c r="N46283" s="28"/>
      <c r="O46283" s="28"/>
      <c r="U46283" s="28"/>
    </row>
    <row r="46284">
      <c r="N46284" s="28"/>
      <c r="O46284" s="28"/>
      <c r="U46284" s="28"/>
    </row>
    <row r="46285">
      <c r="N46285" s="28"/>
      <c r="O46285" s="28"/>
      <c r="U46285" s="28"/>
    </row>
    <row r="46286">
      <c r="N46286" s="28"/>
      <c r="O46286" s="28"/>
      <c r="U46286" s="28"/>
    </row>
    <row r="46287">
      <c r="N46287" s="28"/>
      <c r="O46287" s="28"/>
      <c r="U46287" s="28"/>
    </row>
    <row r="46288">
      <c r="N46288" s="28"/>
      <c r="O46288" s="28"/>
      <c r="U46288" s="28"/>
    </row>
    <row r="46289">
      <c r="N46289" s="28"/>
      <c r="O46289" s="28"/>
      <c r="U46289" s="28"/>
    </row>
    <row r="46290">
      <c r="N46290" s="28"/>
      <c r="O46290" s="28"/>
      <c r="U46290" s="28"/>
    </row>
    <row r="46291">
      <c r="N46291" s="28"/>
      <c r="O46291" s="28"/>
      <c r="U46291" s="28"/>
    </row>
    <row r="46292">
      <c r="N46292" s="28"/>
      <c r="O46292" s="28"/>
      <c r="U46292" s="28"/>
    </row>
    <row r="46293">
      <c r="N46293" s="28"/>
      <c r="O46293" s="28"/>
      <c r="U46293" s="28"/>
    </row>
    <row r="46294">
      <c r="N46294" s="28"/>
      <c r="O46294" s="28"/>
      <c r="U46294" s="28"/>
    </row>
    <row r="46295">
      <c r="N46295" s="28"/>
      <c r="O46295" s="28"/>
      <c r="U46295" s="28"/>
    </row>
    <row r="46296">
      <c r="N46296" s="28"/>
      <c r="O46296" s="28"/>
      <c r="U46296" s="28"/>
    </row>
    <row r="46297">
      <c r="N46297" s="28"/>
      <c r="O46297" s="28"/>
      <c r="U46297" s="28"/>
    </row>
    <row r="46298">
      <c r="N46298" s="28"/>
      <c r="O46298" s="28"/>
      <c r="U46298" s="28"/>
    </row>
    <row r="46299">
      <c r="N46299" s="28"/>
      <c r="O46299" s="28"/>
      <c r="U46299" s="28"/>
    </row>
    <row r="46300">
      <c r="N46300" s="28"/>
      <c r="O46300" s="28"/>
      <c r="U46300" s="28"/>
    </row>
    <row r="46301">
      <c r="N46301" s="28"/>
      <c r="O46301" s="28"/>
      <c r="U46301" s="28"/>
    </row>
    <row r="46302">
      <c r="N46302" s="28"/>
      <c r="O46302" s="28"/>
      <c r="U46302" s="28"/>
    </row>
    <row r="46303">
      <c r="N46303" s="28"/>
      <c r="O46303" s="28"/>
      <c r="U46303" s="28"/>
    </row>
    <row r="46304">
      <c r="N46304" s="28"/>
      <c r="O46304" s="28"/>
      <c r="U46304" s="28"/>
    </row>
    <row r="46305">
      <c r="N46305" s="28"/>
      <c r="O46305" s="28"/>
      <c r="U46305" s="28"/>
    </row>
    <row r="46306">
      <c r="N46306" s="28"/>
      <c r="O46306" s="28"/>
      <c r="U46306" s="28"/>
    </row>
    <row r="46307">
      <c r="N46307" s="28"/>
      <c r="O46307" s="28"/>
      <c r="U46307" s="28"/>
    </row>
    <row r="46308">
      <c r="N46308" s="28"/>
      <c r="O46308" s="28"/>
      <c r="U46308" s="28"/>
    </row>
    <row r="46309">
      <c r="N46309" s="28"/>
      <c r="O46309" s="28"/>
      <c r="U46309" s="28"/>
    </row>
    <row r="46310">
      <c r="N46310" s="28"/>
      <c r="O46310" s="28"/>
      <c r="U46310" s="28"/>
    </row>
    <row r="46311">
      <c r="N46311" s="28"/>
      <c r="O46311" s="28"/>
      <c r="U46311" s="28"/>
    </row>
    <row r="46312">
      <c r="N46312" s="28"/>
      <c r="O46312" s="28"/>
      <c r="U46312" s="28"/>
    </row>
    <row r="46313">
      <c r="N46313" s="28"/>
      <c r="O46313" s="28"/>
      <c r="U46313" s="28"/>
    </row>
    <row r="46314">
      <c r="N46314" s="28"/>
      <c r="O46314" s="28"/>
      <c r="U46314" s="28"/>
    </row>
    <row r="46315">
      <c r="N46315" s="28"/>
      <c r="O46315" s="28"/>
      <c r="U46315" s="28"/>
    </row>
    <row r="46316">
      <c r="N46316" s="28"/>
      <c r="O46316" s="28"/>
      <c r="U46316" s="28"/>
    </row>
    <row r="46317">
      <c r="N46317" s="28"/>
      <c r="O46317" s="28"/>
      <c r="U46317" s="28"/>
    </row>
    <row r="46318">
      <c r="N46318" s="28"/>
      <c r="O46318" s="28"/>
      <c r="U46318" s="28"/>
    </row>
    <row r="46319">
      <c r="N46319" s="28"/>
      <c r="O46319" s="28"/>
      <c r="U46319" s="28"/>
    </row>
    <row r="46320">
      <c r="N46320" s="28"/>
      <c r="O46320" s="28"/>
      <c r="U46320" s="28"/>
    </row>
    <row r="46321">
      <c r="N46321" s="28"/>
      <c r="O46321" s="28"/>
      <c r="U46321" s="28"/>
    </row>
    <row r="46322">
      <c r="N46322" s="28"/>
      <c r="O46322" s="28"/>
      <c r="U46322" s="28"/>
    </row>
    <row r="46323">
      <c r="N46323" s="28"/>
      <c r="O46323" s="28"/>
      <c r="U46323" s="28"/>
    </row>
    <row r="46324">
      <c r="N46324" s="28"/>
      <c r="O46324" s="28"/>
      <c r="U46324" s="28"/>
    </row>
    <row r="46325">
      <c r="N46325" s="28"/>
      <c r="O46325" s="28"/>
      <c r="U46325" s="28"/>
    </row>
    <row r="46326">
      <c r="N46326" s="28"/>
      <c r="O46326" s="28"/>
      <c r="U46326" s="28"/>
    </row>
    <row r="46327">
      <c r="N46327" s="28"/>
      <c r="O46327" s="28"/>
      <c r="U46327" s="28"/>
    </row>
    <row r="46328">
      <c r="N46328" s="28"/>
      <c r="O46328" s="28"/>
      <c r="U46328" s="28"/>
    </row>
    <row r="46329">
      <c r="N46329" s="28"/>
      <c r="O46329" s="28"/>
      <c r="U46329" s="28"/>
    </row>
    <row r="46330">
      <c r="N46330" s="28"/>
      <c r="O46330" s="28"/>
      <c r="U46330" s="28"/>
    </row>
    <row r="46331">
      <c r="N46331" s="28"/>
      <c r="O46331" s="28"/>
      <c r="U46331" s="28"/>
    </row>
    <row r="46332">
      <c r="N46332" s="28"/>
      <c r="O46332" s="28"/>
      <c r="U46332" s="28"/>
    </row>
    <row r="46333">
      <c r="N46333" s="28"/>
      <c r="O46333" s="28"/>
      <c r="U46333" s="28"/>
    </row>
    <row r="46334">
      <c r="N46334" s="28"/>
      <c r="O46334" s="28"/>
      <c r="U46334" s="28"/>
    </row>
    <row r="46335">
      <c r="N46335" s="28"/>
      <c r="O46335" s="28"/>
      <c r="U46335" s="28"/>
    </row>
    <row r="46336">
      <c r="N46336" s="28"/>
      <c r="O46336" s="28"/>
      <c r="U46336" s="28"/>
    </row>
    <row r="46337">
      <c r="N46337" s="28"/>
      <c r="O46337" s="28"/>
      <c r="U46337" s="28"/>
    </row>
    <row r="46338">
      <c r="N46338" s="28"/>
      <c r="O46338" s="28"/>
      <c r="U46338" s="28"/>
    </row>
    <row r="46339">
      <c r="N46339" s="28"/>
      <c r="O46339" s="28"/>
      <c r="U46339" s="28"/>
    </row>
    <row r="46340">
      <c r="N46340" s="28"/>
      <c r="O46340" s="28"/>
      <c r="U46340" s="28"/>
    </row>
    <row r="46341">
      <c r="N46341" s="28"/>
      <c r="O46341" s="28"/>
      <c r="U46341" s="28"/>
    </row>
    <row r="46342">
      <c r="N46342" s="28"/>
      <c r="O46342" s="28"/>
      <c r="U46342" s="28"/>
    </row>
    <row r="46343">
      <c r="N46343" s="28"/>
      <c r="O46343" s="28"/>
      <c r="U46343" s="28"/>
    </row>
    <row r="46344">
      <c r="N46344" s="28"/>
      <c r="O46344" s="28"/>
      <c r="U46344" s="28"/>
    </row>
    <row r="46345">
      <c r="N46345" s="28"/>
      <c r="O46345" s="28"/>
      <c r="U46345" s="28"/>
    </row>
    <row r="46346">
      <c r="N46346" s="28"/>
      <c r="O46346" s="28"/>
      <c r="U46346" s="28"/>
    </row>
    <row r="46347">
      <c r="N46347" s="28"/>
      <c r="O46347" s="28"/>
      <c r="U46347" s="28"/>
    </row>
    <row r="46348">
      <c r="N46348" s="28"/>
      <c r="O46348" s="28"/>
      <c r="U46348" s="28"/>
    </row>
    <row r="46349">
      <c r="N46349" s="28"/>
      <c r="O46349" s="28"/>
      <c r="U46349" s="28"/>
    </row>
    <row r="46350">
      <c r="N46350" s="28"/>
      <c r="O46350" s="28"/>
      <c r="U46350" s="28"/>
    </row>
    <row r="46351">
      <c r="N46351" s="28"/>
      <c r="O46351" s="28"/>
      <c r="U46351" s="28"/>
    </row>
    <row r="46352">
      <c r="N46352" s="28"/>
      <c r="O46352" s="28"/>
      <c r="U46352" s="28"/>
    </row>
    <row r="46353">
      <c r="N46353" s="28"/>
      <c r="O46353" s="28"/>
      <c r="U46353" s="28"/>
    </row>
    <row r="46354">
      <c r="N46354" s="28"/>
      <c r="O46354" s="28"/>
      <c r="U46354" s="28"/>
    </row>
    <row r="46355">
      <c r="N46355" s="28"/>
      <c r="O46355" s="28"/>
      <c r="U46355" s="28"/>
    </row>
    <row r="46356">
      <c r="N46356" s="28"/>
      <c r="O46356" s="28"/>
      <c r="U46356" s="28"/>
    </row>
    <row r="46357">
      <c r="N46357" s="28"/>
      <c r="O46357" s="28"/>
      <c r="U46357" s="28"/>
    </row>
    <row r="46358">
      <c r="N46358" s="28"/>
      <c r="O46358" s="28"/>
      <c r="U46358" s="28"/>
    </row>
    <row r="46359">
      <c r="N46359" s="28"/>
      <c r="O46359" s="28"/>
      <c r="U46359" s="28"/>
    </row>
    <row r="46360">
      <c r="N46360" s="28"/>
      <c r="O46360" s="28"/>
      <c r="U46360" s="28"/>
    </row>
    <row r="46361">
      <c r="N46361" s="28"/>
      <c r="O46361" s="28"/>
      <c r="U46361" s="28"/>
    </row>
    <row r="46362">
      <c r="N46362" s="28"/>
      <c r="O46362" s="28"/>
      <c r="U46362" s="28"/>
    </row>
    <row r="46363">
      <c r="N46363" s="28"/>
      <c r="O46363" s="28"/>
      <c r="U46363" s="28"/>
    </row>
    <row r="46364">
      <c r="N46364" s="28"/>
      <c r="O46364" s="28"/>
      <c r="U46364" s="28"/>
    </row>
    <row r="46365">
      <c r="N46365" s="28"/>
      <c r="O46365" s="28"/>
      <c r="U46365" s="28"/>
    </row>
    <row r="46366">
      <c r="N46366" s="28"/>
      <c r="O46366" s="28"/>
      <c r="U46366" s="28"/>
    </row>
    <row r="46367">
      <c r="N46367" s="28"/>
      <c r="O46367" s="28"/>
      <c r="U46367" s="28"/>
    </row>
    <row r="46368">
      <c r="N46368" s="28"/>
      <c r="O46368" s="28"/>
      <c r="U46368" s="28"/>
    </row>
    <row r="46369">
      <c r="N46369" s="28"/>
      <c r="O46369" s="28"/>
      <c r="U46369" s="28"/>
    </row>
    <row r="46370">
      <c r="N46370" s="28"/>
      <c r="O46370" s="28"/>
      <c r="U46370" s="28"/>
    </row>
    <row r="46371">
      <c r="N46371" s="28"/>
      <c r="O46371" s="28"/>
      <c r="U46371" s="28"/>
    </row>
    <row r="46372">
      <c r="N46372" s="28"/>
      <c r="O46372" s="28"/>
      <c r="U46372" s="28"/>
    </row>
    <row r="46373">
      <c r="N46373" s="28"/>
      <c r="O46373" s="28"/>
      <c r="U46373" s="28"/>
    </row>
    <row r="46374">
      <c r="N46374" s="28"/>
      <c r="O46374" s="28"/>
      <c r="U46374" s="28"/>
    </row>
    <row r="46375">
      <c r="N46375" s="28"/>
      <c r="O46375" s="28"/>
      <c r="U46375" s="28"/>
    </row>
    <row r="46376">
      <c r="N46376" s="28"/>
      <c r="O46376" s="28"/>
      <c r="U46376" s="28"/>
    </row>
    <row r="46377">
      <c r="N46377" s="28"/>
      <c r="O46377" s="28"/>
      <c r="U46377" s="28"/>
    </row>
    <row r="46378">
      <c r="N46378" s="28"/>
      <c r="O46378" s="28"/>
      <c r="U46378" s="28"/>
    </row>
    <row r="46379">
      <c r="N46379" s="28"/>
      <c r="O46379" s="28"/>
      <c r="U46379" s="28"/>
    </row>
    <row r="46380">
      <c r="N46380" s="28"/>
      <c r="O46380" s="28"/>
      <c r="U46380" s="28"/>
    </row>
    <row r="46381">
      <c r="N46381" s="28"/>
      <c r="O46381" s="28"/>
      <c r="U46381" s="28"/>
    </row>
    <row r="46382">
      <c r="N46382" s="28"/>
      <c r="O46382" s="28"/>
      <c r="U46382" s="28"/>
    </row>
    <row r="46383">
      <c r="N46383" s="28"/>
      <c r="O46383" s="28"/>
      <c r="U46383" s="28"/>
    </row>
    <row r="46384">
      <c r="N46384" s="28"/>
      <c r="O46384" s="28"/>
      <c r="U46384" s="28"/>
    </row>
    <row r="46385">
      <c r="N46385" s="28"/>
      <c r="O46385" s="28"/>
      <c r="U46385" s="28"/>
    </row>
    <row r="46386">
      <c r="N46386" s="28"/>
      <c r="O46386" s="28"/>
      <c r="U46386" s="28"/>
    </row>
    <row r="46387">
      <c r="N46387" s="28"/>
      <c r="O46387" s="28"/>
      <c r="U46387" s="28"/>
    </row>
    <row r="46388">
      <c r="N46388" s="28"/>
      <c r="O46388" s="28"/>
      <c r="U46388" s="28"/>
    </row>
    <row r="46389">
      <c r="N46389" s="28"/>
      <c r="O46389" s="28"/>
      <c r="U46389" s="28"/>
    </row>
    <row r="46390">
      <c r="N46390" s="28"/>
      <c r="O46390" s="28"/>
      <c r="U46390" s="28"/>
    </row>
    <row r="46391">
      <c r="N46391" s="28"/>
      <c r="O46391" s="28"/>
      <c r="U46391" s="28"/>
    </row>
    <row r="46392">
      <c r="N46392" s="28"/>
      <c r="O46392" s="28"/>
      <c r="U46392" s="28"/>
    </row>
    <row r="46393">
      <c r="N46393" s="28"/>
      <c r="O46393" s="28"/>
      <c r="U46393" s="28"/>
    </row>
    <row r="46394">
      <c r="N46394" s="28"/>
      <c r="O46394" s="28"/>
      <c r="U46394" s="28"/>
    </row>
    <row r="46395">
      <c r="N46395" s="28"/>
      <c r="O46395" s="28"/>
      <c r="U46395" s="28"/>
    </row>
    <row r="46396">
      <c r="N46396" s="28"/>
      <c r="O46396" s="28"/>
      <c r="U46396" s="28"/>
    </row>
    <row r="46397">
      <c r="N46397" s="28"/>
      <c r="O46397" s="28"/>
      <c r="U46397" s="28"/>
    </row>
    <row r="46398">
      <c r="N46398" s="28"/>
      <c r="O46398" s="28"/>
      <c r="U46398" s="28"/>
    </row>
    <row r="46399">
      <c r="N46399" s="28"/>
      <c r="O46399" s="28"/>
      <c r="U46399" s="28"/>
    </row>
    <row r="46400">
      <c r="N46400" s="28"/>
      <c r="O46400" s="28"/>
      <c r="U46400" s="28"/>
    </row>
    <row r="46401">
      <c r="N46401" s="28"/>
      <c r="O46401" s="28"/>
      <c r="U46401" s="28"/>
    </row>
    <row r="46402">
      <c r="N46402" s="28"/>
      <c r="O46402" s="28"/>
      <c r="U46402" s="28"/>
    </row>
    <row r="46403">
      <c r="N46403" s="28"/>
      <c r="O46403" s="28"/>
      <c r="U46403" s="28"/>
    </row>
    <row r="46404">
      <c r="N46404" s="28"/>
      <c r="O46404" s="28"/>
      <c r="U46404" s="28"/>
    </row>
    <row r="46405">
      <c r="N46405" s="28"/>
      <c r="O46405" s="28"/>
      <c r="U46405" s="28"/>
    </row>
    <row r="46406">
      <c r="N46406" s="28"/>
      <c r="O46406" s="28"/>
      <c r="U46406" s="28"/>
    </row>
    <row r="46407">
      <c r="N46407" s="28"/>
      <c r="O46407" s="28"/>
      <c r="U46407" s="28"/>
    </row>
    <row r="46408">
      <c r="N46408" s="28"/>
      <c r="O46408" s="28"/>
      <c r="U46408" s="28"/>
    </row>
    <row r="46409">
      <c r="N46409" s="28"/>
      <c r="O46409" s="28"/>
      <c r="U46409" s="28"/>
    </row>
    <row r="46410">
      <c r="N46410" s="28"/>
      <c r="O46410" s="28"/>
      <c r="U46410" s="28"/>
    </row>
    <row r="46411">
      <c r="N46411" s="28"/>
      <c r="O46411" s="28"/>
      <c r="U46411" s="28"/>
    </row>
    <row r="46412">
      <c r="N46412" s="28"/>
      <c r="O46412" s="28"/>
      <c r="U46412" s="28"/>
    </row>
    <row r="46413">
      <c r="N46413" s="28"/>
      <c r="O46413" s="28"/>
      <c r="U46413" s="28"/>
    </row>
    <row r="46414">
      <c r="N46414" s="28"/>
      <c r="O46414" s="28"/>
      <c r="U46414" s="28"/>
    </row>
    <row r="46415">
      <c r="N46415" s="28"/>
      <c r="O46415" s="28"/>
      <c r="U46415" s="28"/>
    </row>
    <row r="46416">
      <c r="N46416" s="28"/>
      <c r="O46416" s="28"/>
      <c r="U46416" s="28"/>
    </row>
    <row r="46417">
      <c r="N46417" s="28"/>
      <c r="O46417" s="28"/>
      <c r="U46417" s="28"/>
    </row>
    <row r="46418">
      <c r="N46418" s="28"/>
      <c r="O46418" s="28"/>
      <c r="U46418" s="28"/>
    </row>
    <row r="46419">
      <c r="N46419" s="28"/>
      <c r="O46419" s="28"/>
      <c r="U46419" s="28"/>
    </row>
    <row r="46420">
      <c r="N46420" s="28"/>
      <c r="O46420" s="28"/>
      <c r="U46420" s="28"/>
    </row>
    <row r="46421">
      <c r="N46421" s="28"/>
      <c r="O46421" s="28"/>
      <c r="U46421" s="28"/>
    </row>
    <row r="46422">
      <c r="N46422" s="28"/>
      <c r="O46422" s="28"/>
      <c r="U46422" s="28"/>
    </row>
    <row r="46423">
      <c r="N46423" s="28"/>
      <c r="O46423" s="28"/>
      <c r="U46423" s="28"/>
    </row>
    <row r="46424">
      <c r="N46424" s="28"/>
      <c r="O46424" s="28"/>
      <c r="U46424" s="28"/>
    </row>
    <row r="46425">
      <c r="N46425" s="28"/>
      <c r="O46425" s="28"/>
      <c r="U46425" s="28"/>
    </row>
    <row r="46426">
      <c r="N46426" s="28"/>
      <c r="O46426" s="28"/>
      <c r="U46426" s="28"/>
    </row>
    <row r="46427">
      <c r="N46427" s="28"/>
      <c r="O46427" s="28"/>
      <c r="U46427" s="28"/>
    </row>
    <row r="46428">
      <c r="N46428" s="28"/>
      <c r="O46428" s="28"/>
      <c r="U46428" s="28"/>
    </row>
    <row r="46429">
      <c r="N46429" s="28"/>
      <c r="O46429" s="28"/>
      <c r="U46429" s="28"/>
    </row>
    <row r="46430">
      <c r="N46430" s="28"/>
      <c r="O46430" s="28"/>
      <c r="U46430" s="28"/>
    </row>
    <row r="46431">
      <c r="N46431" s="28"/>
      <c r="O46431" s="28"/>
      <c r="U46431" s="28"/>
    </row>
    <row r="46432">
      <c r="N46432" s="28"/>
      <c r="O46432" s="28"/>
      <c r="U46432" s="28"/>
    </row>
    <row r="46433">
      <c r="N46433" s="28"/>
      <c r="O46433" s="28"/>
      <c r="U46433" s="28"/>
    </row>
    <row r="46434">
      <c r="N46434" s="28"/>
      <c r="O46434" s="28"/>
      <c r="U46434" s="28"/>
    </row>
    <row r="46435">
      <c r="N46435" s="28"/>
      <c r="O46435" s="28"/>
      <c r="U46435" s="28"/>
    </row>
    <row r="46436">
      <c r="N46436" s="28"/>
      <c r="O46436" s="28"/>
      <c r="U46436" s="28"/>
    </row>
    <row r="46437">
      <c r="N46437" s="28"/>
      <c r="O46437" s="28"/>
      <c r="U46437" s="28"/>
    </row>
    <row r="46438">
      <c r="N46438" s="28"/>
      <c r="O46438" s="28"/>
      <c r="U46438" s="28"/>
    </row>
    <row r="46439">
      <c r="N46439" s="28"/>
      <c r="O46439" s="28"/>
      <c r="U46439" s="28"/>
    </row>
    <row r="46440">
      <c r="N46440" s="28"/>
      <c r="O46440" s="28"/>
      <c r="U46440" s="28"/>
    </row>
    <row r="46441">
      <c r="N46441" s="28"/>
      <c r="O46441" s="28"/>
      <c r="U46441" s="28"/>
    </row>
    <row r="46442">
      <c r="N46442" s="28"/>
      <c r="O46442" s="28"/>
      <c r="U46442" s="28"/>
    </row>
    <row r="46443">
      <c r="N46443" s="28"/>
      <c r="O46443" s="28"/>
      <c r="U46443" s="28"/>
    </row>
    <row r="46444">
      <c r="N46444" s="28"/>
      <c r="O46444" s="28"/>
      <c r="U46444" s="28"/>
    </row>
    <row r="46445">
      <c r="N46445" s="28"/>
      <c r="O46445" s="28"/>
      <c r="U46445" s="28"/>
    </row>
    <row r="46446">
      <c r="N46446" s="28"/>
      <c r="O46446" s="28"/>
      <c r="U46446" s="28"/>
    </row>
    <row r="46447">
      <c r="N46447" s="28"/>
      <c r="O46447" s="28"/>
      <c r="U46447" s="28"/>
    </row>
    <row r="46448">
      <c r="N46448" s="28"/>
      <c r="O46448" s="28"/>
      <c r="U46448" s="28"/>
    </row>
    <row r="46449">
      <c r="N46449" s="28"/>
      <c r="O46449" s="28"/>
      <c r="U46449" s="28"/>
    </row>
    <row r="46450">
      <c r="N46450" s="28"/>
      <c r="O46450" s="28"/>
      <c r="U46450" s="28"/>
    </row>
    <row r="46451">
      <c r="N46451" s="28"/>
      <c r="O46451" s="28"/>
      <c r="U46451" s="28"/>
    </row>
    <row r="46452">
      <c r="N46452" s="28"/>
      <c r="O46452" s="28"/>
      <c r="U46452" s="28"/>
    </row>
    <row r="46453">
      <c r="N46453" s="28"/>
      <c r="O46453" s="28"/>
      <c r="U46453" s="28"/>
    </row>
    <row r="46454">
      <c r="N46454" s="28"/>
      <c r="O46454" s="28"/>
      <c r="U46454" s="28"/>
    </row>
    <row r="46455">
      <c r="N46455" s="28"/>
      <c r="O46455" s="28"/>
      <c r="U46455" s="28"/>
    </row>
    <row r="46456">
      <c r="N46456" s="28"/>
      <c r="O46456" s="28"/>
      <c r="U46456" s="28"/>
    </row>
    <row r="46457">
      <c r="N46457" s="28"/>
      <c r="O46457" s="28"/>
      <c r="U46457" s="28"/>
    </row>
    <row r="46458">
      <c r="N46458" s="28"/>
      <c r="O46458" s="28"/>
      <c r="U46458" s="28"/>
    </row>
    <row r="46459">
      <c r="N46459" s="28"/>
      <c r="O46459" s="28"/>
      <c r="U46459" s="28"/>
    </row>
    <row r="46460">
      <c r="N46460" s="28"/>
      <c r="O46460" s="28"/>
      <c r="U46460" s="28"/>
    </row>
    <row r="46461">
      <c r="N46461" s="28"/>
      <c r="O46461" s="28"/>
      <c r="U46461" s="28"/>
    </row>
    <row r="46462">
      <c r="N46462" s="28"/>
      <c r="O46462" s="28"/>
      <c r="U46462" s="28"/>
    </row>
    <row r="46463">
      <c r="N46463" s="28"/>
      <c r="O46463" s="28"/>
      <c r="U46463" s="28"/>
    </row>
    <row r="46464">
      <c r="N46464" s="28"/>
      <c r="O46464" s="28"/>
      <c r="U46464" s="28"/>
    </row>
    <row r="46465">
      <c r="N46465" s="28"/>
      <c r="O46465" s="28"/>
      <c r="U46465" s="28"/>
    </row>
    <row r="46466">
      <c r="N46466" s="28"/>
      <c r="O46466" s="28"/>
      <c r="U46466" s="28"/>
    </row>
    <row r="46467">
      <c r="N46467" s="28"/>
      <c r="O46467" s="28"/>
      <c r="U46467" s="28"/>
    </row>
    <row r="46468">
      <c r="N46468" s="28"/>
      <c r="O46468" s="28"/>
      <c r="U46468" s="28"/>
    </row>
    <row r="46469">
      <c r="N46469" s="28"/>
      <c r="O46469" s="28"/>
      <c r="U46469" s="28"/>
    </row>
    <row r="46470">
      <c r="N46470" s="28"/>
      <c r="O46470" s="28"/>
      <c r="U46470" s="28"/>
    </row>
    <row r="46471">
      <c r="N46471" s="28"/>
      <c r="O46471" s="28"/>
      <c r="U46471" s="28"/>
    </row>
    <row r="46472">
      <c r="N46472" s="28"/>
      <c r="O46472" s="28"/>
      <c r="U46472" s="28"/>
    </row>
    <row r="46473">
      <c r="N46473" s="28"/>
      <c r="O46473" s="28"/>
      <c r="U46473" s="28"/>
    </row>
    <row r="46474">
      <c r="N46474" s="28"/>
      <c r="O46474" s="28"/>
      <c r="U46474" s="28"/>
    </row>
    <row r="46475">
      <c r="N46475" s="28"/>
      <c r="O46475" s="28"/>
      <c r="U46475" s="28"/>
    </row>
    <row r="46476">
      <c r="N46476" s="28"/>
      <c r="O46476" s="28"/>
      <c r="U46476" s="28"/>
    </row>
    <row r="46477">
      <c r="N46477" s="28"/>
      <c r="O46477" s="28"/>
      <c r="U46477" s="28"/>
    </row>
    <row r="46478">
      <c r="N46478" s="28"/>
      <c r="O46478" s="28"/>
      <c r="U46478" s="28"/>
    </row>
    <row r="46479">
      <c r="N46479" s="28"/>
      <c r="O46479" s="28"/>
      <c r="U46479" s="28"/>
    </row>
    <row r="46480">
      <c r="N46480" s="28"/>
      <c r="O46480" s="28"/>
      <c r="U46480" s="28"/>
    </row>
    <row r="46481">
      <c r="N46481" s="28"/>
      <c r="O46481" s="28"/>
      <c r="U46481" s="28"/>
    </row>
    <row r="46482">
      <c r="N46482" s="28"/>
      <c r="O46482" s="28"/>
      <c r="U46482" s="28"/>
    </row>
    <row r="46483">
      <c r="N46483" s="28"/>
      <c r="O46483" s="28"/>
      <c r="U46483" s="28"/>
    </row>
    <row r="46484">
      <c r="N46484" s="28"/>
      <c r="O46484" s="28"/>
      <c r="U46484" s="28"/>
    </row>
    <row r="46485">
      <c r="N46485" s="28"/>
      <c r="O46485" s="28"/>
      <c r="U46485" s="28"/>
    </row>
    <row r="46486">
      <c r="N46486" s="28"/>
      <c r="O46486" s="28"/>
      <c r="U46486" s="28"/>
    </row>
    <row r="46487">
      <c r="N46487" s="28"/>
      <c r="O46487" s="28"/>
      <c r="U46487" s="28"/>
    </row>
    <row r="46488">
      <c r="N46488" s="28"/>
      <c r="O46488" s="28"/>
      <c r="U46488" s="28"/>
    </row>
    <row r="46489">
      <c r="N46489" s="28"/>
      <c r="O46489" s="28"/>
      <c r="U46489" s="28"/>
    </row>
    <row r="46490">
      <c r="N46490" s="28"/>
      <c r="O46490" s="28"/>
      <c r="U46490" s="28"/>
    </row>
    <row r="46491">
      <c r="N46491" s="28"/>
      <c r="O46491" s="28"/>
      <c r="U46491" s="28"/>
    </row>
    <row r="46492">
      <c r="N46492" s="28"/>
      <c r="O46492" s="28"/>
      <c r="U46492" s="28"/>
    </row>
    <row r="46493">
      <c r="N46493" s="28"/>
      <c r="O46493" s="28"/>
      <c r="U46493" s="28"/>
    </row>
    <row r="46494">
      <c r="N46494" s="28"/>
      <c r="O46494" s="28"/>
      <c r="U46494" s="28"/>
    </row>
    <row r="46495">
      <c r="N46495" s="28"/>
      <c r="O46495" s="28"/>
      <c r="U46495" s="28"/>
    </row>
    <row r="46496">
      <c r="N46496" s="28"/>
      <c r="O46496" s="28"/>
      <c r="U46496" s="28"/>
    </row>
    <row r="46497">
      <c r="N46497" s="28"/>
      <c r="O46497" s="28"/>
      <c r="U46497" s="28"/>
    </row>
    <row r="46498">
      <c r="N46498" s="28"/>
      <c r="O46498" s="28"/>
      <c r="U46498" s="28"/>
    </row>
    <row r="46499">
      <c r="N46499" s="28"/>
      <c r="O46499" s="28"/>
      <c r="U46499" s="28"/>
    </row>
    <row r="46500">
      <c r="N46500" s="28"/>
      <c r="O46500" s="28"/>
      <c r="U46500" s="28"/>
    </row>
    <row r="46501">
      <c r="N46501" s="28"/>
      <c r="O46501" s="28"/>
      <c r="U46501" s="28"/>
    </row>
    <row r="46502">
      <c r="N46502" s="28"/>
      <c r="O46502" s="28"/>
      <c r="U46502" s="28"/>
    </row>
    <row r="46503">
      <c r="N46503" s="28"/>
      <c r="O46503" s="28"/>
      <c r="U46503" s="28"/>
    </row>
    <row r="46504">
      <c r="N46504" s="28"/>
      <c r="O46504" s="28"/>
      <c r="U46504" s="28"/>
    </row>
    <row r="46505">
      <c r="N46505" s="28"/>
      <c r="O46505" s="28"/>
      <c r="U46505" s="28"/>
    </row>
    <row r="46506">
      <c r="N46506" s="28"/>
      <c r="O46506" s="28"/>
      <c r="U46506" s="28"/>
    </row>
    <row r="46507">
      <c r="N46507" s="28"/>
      <c r="O46507" s="28"/>
      <c r="U46507" s="28"/>
    </row>
    <row r="46508">
      <c r="N46508" s="28"/>
      <c r="O46508" s="28"/>
      <c r="U46508" s="28"/>
    </row>
    <row r="46509">
      <c r="N46509" s="28"/>
      <c r="O46509" s="28"/>
      <c r="U46509" s="28"/>
    </row>
    <row r="46510">
      <c r="N46510" s="28"/>
      <c r="O46510" s="28"/>
      <c r="U46510" s="28"/>
    </row>
    <row r="46511">
      <c r="N46511" s="28"/>
      <c r="O46511" s="28"/>
      <c r="U46511" s="28"/>
    </row>
    <row r="46512">
      <c r="N46512" s="28"/>
      <c r="O46512" s="28"/>
      <c r="U46512" s="28"/>
    </row>
    <row r="46513">
      <c r="N46513" s="28"/>
      <c r="O46513" s="28"/>
      <c r="U46513" s="28"/>
    </row>
    <row r="46514">
      <c r="N46514" s="28"/>
      <c r="O46514" s="28"/>
      <c r="U46514" s="28"/>
    </row>
    <row r="46515">
      <c r="N46515" s="28"/>
      <c r="O46515" s="28"/>
      <c r="U46515" s="28"/>
    </row>
    <row r="46516">
      <c r="N46516" s="28"/>
      <c r="O46516" s="28"/>
      <c r="U46516" s="28"/>
    </row>
    <row r="46517">
      <c r="N46517" s="28"/>
      <c r="O46517" s="28"/>
      <c r="U46517" s="28"/>
    </row>
    <row r="46518">
      <c r="N46518" s="28"/>
      <c r="O46518" s="28"/>
      <c r="U46518" s="28"/>
    </row>
    <row r="46519">
      <c r="N46519" s="28"/>
      <c r="O46519" s="28"/>
      <c r="U46519" s="28"/>
    </row>
    <row r="46520">
      <c r="N46520" s="28"/>
      <c r="O46520" s="28"/>
      <c r="U46520" s="28"/>
    </row>
    <row r="46521">
      <c r="N46521" s="28"/>
      <c r="O46521" s="28"/>
      <c r="U46521" s="28"/>
    </row>
    <row r="46522">
      <c r="N46522" s="28"/>
      <c r="O46522" s="28"/>
      <c r="U46522" s="28"/>
    </row>
    <row r="46523">
      <c r="N46523" s="28"/>
      <c r="O46523" s="28"/>
      <c r="U46523" s="28"/>
    </row>
    <row r="46524">
      <c r="N46524" s="28"/>
      <c r="O46524" s="28"/>
      <c r="U46524" s="28"/>
    </row>
    <row r="46525">
      <c r="N46525" s="28"/>
      <c r="O46525" s="28"/>
      <c r="U46525" s="28"/>
    </row>
    <row r="46526">
      <c r="N46526" s="28"/>
      <c r="O46526" s="28"/>
      <c r="U46526" s="28"/>
    </row>
    <row r="46527">
      <c r="N46527" s="28"/>
      <c r="O46527" s="28"/>
      <c r="U46527" s="28"/>
    </row>
    <row r="46528">
      <c r="N46528" s="28"/>
      <c r="O46528" s="28"/>
      <c r="U46528" s="28"/>
    </row>
    <row r="46529">
      <c r="N46529" s="28"/>
      <c r="O46529" s="28"/>
      <c r="U46529" s="28"/>
    </row>
    <row r="46530">
      <c r="N46530" s="28"/>
      <c r="O46530" s="28"/>
      <c r="U46530" s="28"/>
    </row>
    <row r="46531">
      <c r="N46531" s="28"/>
      <c r="O46531" s="28"/>
      <c r="U46531" s="28"/>
    </row>
    <row r="46532">
      <c r="N46532" s="28"/>
      <c r="O46532" s="28"/>
      <c r="U46532" s="28"/>
    </row>
    <row r="46533">
      <c r="N46533" s="28"/>
      <c r="O46533" s="28"/>
      <c r="U46533" s="28"/>
    </row>
    <row r="46534">
      <c r="N46534" s="28"/>
      <c r="O46534" s="28"/>
      <c r="U46534" s="28"/>
    </row>
    <row r="46535">
      <c r="N46535" s="28"/>
      <c r="O46535" s="28"/>
      <c r="U46535" s="28"/>
    </row>
    <row r="46536">
      <c r="N46536" s="28"/>
      <c r="O46536" s="28"/>
      <c r="U46536" s="28"/>
    </row>
    <row r="46537">
      <c r="N46537" s="28"/>
      <c r="O46537" s="28"/>
      <c r="U46537" s="28"/>
    </row>
    <row r="46538">
      <c r="N46538" s="28"/>
      <c r="O46538" s="28"/>
      <c r="U46538" s="28"/>
    </row>
    <row r="46539">
      <c r="N46539" s="28"/>
      <c r="O46539" s="28"/>
      <c r="U46539" s="28"/>
    </row>
    <row r="46540">
      <c r="N46540" s="28"/>
      <c r="O46540" s="28"/>
      <c r="U46540" s="28"/>
    </row>
    <row r="46541">
      <c r="N46541" s="28"/>
      <c r="O46541" s="28"/>
      <c r="U46541" s="28"/>
    </row>
    <row r="46542">
      <c r="N46542" s="28"/>
      <c r="O46542" s="28"/>
      <c r="U46542" s="28"/>
    </row>
    <row r="46543">
      <c r="N46543" s="28"/>
      <c r="O46543" s="28"/>
      <c r="U46543" s="28"/>
    </row>
    <row r="46544">
      <c r="N46544" s="28"/>
      <c r="O46544" s="28"/>
      <c r="U46544" s="28"/>
    </row>
    <row r="46545">
      <c r="N46545" s="28"/>
      <c r="O46545" s="28"/>
      <c r="U46545" s="28"/>
    </row>
    <row r="46546">
      <c r="N46546" s="28"/>
      <c r="O46546" s="28"/>
      <c r="U46546" s="28"/>
    </row>
    <row r="46547">
      <c r="N46547" s="28"/>
      <c r="O46547" s="28"/>
      <c r="U46547" s="28"/>
    </row>
    <row r="46548">
      <c r="N46548" s="28"/>
      <c r="O46548" s="28"/>
      <c r="U46548" s="28"/>
    </row>
    <row r="46549">
      <c r="N46549" s="28"/>
      <c r="O46549" s="28"/>
      <c r="U46549" s="28"/>
    </row>
    <row r="46550">
      <c r="N46550" s="28"/>
      <c r="O46550" s="28"/>
      <c r="U46550" s="28"/>
    </row>
    <row r="46551">
      <c r="N46551" s="28"/>
      <c r="O46551" s="28"/>
      <c r="U46551" s="28"/>
    </row>
    <row r="46552">
      <c r="N46552" s="28"/>
      <c r="O46552" s="28"/>
      <c r="U46552" s="28"/>
    </row>
    <row r="46553">
      <c r="N46553" s="28"/>
      <c r="O46553" s="28"/>
      <c r="U46553" s="28"/>
    </row>
    <row r="46554">
      <c r="N46554" s="28"/>
      <c r="O46554" s="28"/>
      <c r="U46554" s="28"/>
    </row>
    <row r="46555">
      <c r="N46555" s="28"/>
      <c r="O46555" s="28"/>
      <c r="U46555" s="28"/>
    </row>
    <row r="46556">
      <c r="N46556" s="28"/>
      <c r="O46556" s="28"/>
      <c r="U46556" s="28"/>
    </row>
    <row r="46557">
      <c r="N46557" s="28"/>
      <c r="O46557" s="28"/>
      <c r="U46557" s="28"/>
    </row>
    <row r="46558">
      <c r="N46558" s="28"/>
      <c r="O46558" s="28"/>
      <c r="U46558" s="28"/>
    </row>
    <row r="46559">
      <c r="N46559" s="28"/>
      <c r="O46559" s="28"/>
      <c r="U46559" s="28"/>
    </row>
    <row r="46560">
      <c r="N46560" s="28"/>
      <c r="O46560" s="28"/>
      <c r="U46560" s="28"/>
    </row>
    <row r="46561">
      <c r="N46561" s="28"/>
      <c r="O46561" s="28"/>
      <c r="U46561" s="28"/>
    </row>
    <row r="46562">
      <c r="N46562" s="28"/>
      <c r="O46562" s="28"/>
      <c r="U46562" s="28"/>
    </row>
    <row r="46563">
      <c r="N46563" s="28"/>
      <c r="O46563" s="28"/>
      <c r="U46563" s="28"/>
    </row>
    <row r="46564">
      <c r="N46564" s="28"/>
      <c r="O46564" s="28"/>
      <c r="U46564" s="28"/>
    </row>
    <row r="46565">
      <c r="N46565" s="28"/>
      <c r="O46565" s="28"/>
      <c r="U46565" s="28"/>
    </row>
    <row r="46566">
      <c r="N46566" s="28"/>
      <c r="O46566" s="28"/>
      <c r="U46566" s="28"/>
    </row>
    <row r="46567">
      <c r="N46567" s="28"/>
      <c r="O46567" s="28"/>
      <c r="U46567" s="28"/>
    </row>
    <row r="46568">
      <c r="N46568" s="28"/>
      <c r="O46568" s="28"/>
      <c r="U46568" s="28"/>
    </row>
    <row r="46569">
      <c r="N46569" s="28"/>
      <c r="O46569" s="28"/>
      <c r="U46569" s="28"/>
    </row>
    <row r="46570">
      <c r="N46570" s="28"/>
      <c r="O46570" s="28"/>
      <c r="U46570" s="28"/>
    </row>
    <row r="46571">
      <c r="N46571" s="28"/>
      <c r="O46571" s="28"/>
      <c r="U46571" s="28"/>
    </row>
    <row r="46572">
      <c r="N46572" s="28"/>
      <c r="O46572" s="28"/>
      <c r="U46572" s="28"/>
    </row>
    <row r="46573">
      <c r="N46573" s="28"/>
      <c r="O46573" s="28"/>
      <c r="U46573" s="28"/>
    </row>
    <row r="46574">
      <c r="N46574" s="28"/>
      <c r="O46574" s="28"/>
      <c r="U46574" s="28"/>
    </row>
    <row r="46575">
      <c r="N46575" s="28"/>
      <c r="O46575" s="28"/>
      <c r="U46575" s="28"/>
    </row>
    <row r="46576">
      <c r="N46576" s="28"/>
      <c r="O46576" s="28"/>
      <c r="U46576" s="28"/>
    </row>
    <row r="46577">
      <c r="N46577" s="28"/>
      <c r="O46577" s="28"/>
      <c r="U46577" s="28"/>
    </row>
    <row r="46578">
      <c r="N46578" s="28"/>
      <c r="O46578" s="28"/>
      <c r="U46578" s="28"/>
    </row>
    <row r="46579">
      <c r="N46579" s="28"/>
      <c r="O46579" s="28"/>
      <c r="U46579" s="28"/>
    </row>
    <row r="46580">
      <c r="N46580" s="28"/>
      <c r="O46580" s="28"/>
      <c r="U46580" s="28"/>
    </row>
    <row r="46581">
      <c r="N46581" s="28"/>
      <c r="O46581" s="28"/>
      <c r="U46581" s="28"/>
    </row>
    <row r="46582">
      <c r="N46582" s="28"/>
      <c r="O46582" s="28"/>
      <c r="U46582" s="28"/>
    </row>
    <row r="46583">
      <c r="N46583" s="28"/>
      <c r="O46583" s="28"/>
      <c r="U46583" s="28"/>
    </row>
    <row r="46584">
      <c r="N46584" s="28"/>
      <c r="O46584" s="28"/>
      <c r="U46584" s="28"/>
    </row>
    <row r="46585">
      <c r="N46585" s="28"/>
      <c r="O46585" s="28"/>
      <c r="U46585" s="28"/>
    </row>
    <row r="46586">
      <c r="N46586" s="28"/>
      <c r="O46586" s="28"/>
      <c r="U46586" s="28"/>
    </row>
    <row r="46587">
      <c r="N46587" s="28"/>
      <c r="O46587" s="28"/>
      <c r="U46587" s="28"/>
    </row>
    <row r="46588">
      <c r="N46588" s="28"/>
      <c r="O46588" s="28"/>
      <c r="U46588" s="28"/>
    </row>
    <row r="46589">
      <c r="N46589" s="28"/>
      <c r="O46589" s="28"/>
      <c r="U46589" s="28"/>
    </row>
    <row r="46590">
      <c r="N46590" s="28"/>
      <c r="O46590" s="28"/>
      <c r="U46590" s="28"/>
    </row>
    <row r="46591">
      <c r="N46591" s="28"/>
      <c r="O46591" s="28"/>
      <c r="U46591" s="28"/>
    </row>
    <row r="46592">
      <c r="N46592" s="28"/>
      <c r="O46592" s="28"/>
      <c r="U46592" s="28"/>
    </row>
    <row r="46593">
      <c r="N46593" s="28"/>
      <c r="O46593" s="28"/>
      <c r="U46593" s="28"/>
    </row>
    <row r="46594">
      <c r="N46594" s="28"/>
      <c r="O46594" s="28"/>
      <c r="U46594" s="28"/>
    </row>
    <row r="46595">
      <c r="N46595" s="28"/>
      <c r="O46595" s="28"/>
      <c r="U46595" s="28"/>
    </row>
    <row r="46596">
      <c r="N46596" s="28"/>
      <c r="O46596" s="28"/>
      <c r="U46596" s="28"/>
    </row>
    <row r="46597">
      <c r="N46597" s="28"/>
      <c r="O46597" s="28"/>
      <c r="U46597" s="28"/>
    </row>
    <row r="46598">
      <c r="N46598" s="28"/>
      <c r="O46598" s="28"/>
      <c r="U46598" s="28"/>
    </row>
    <row r="46599">
      <c r="N46599" s="28"/>
      <c r="O46599" s="28"/>
      <c r="U46599" s="28"/>
    </row>
    <row r="46600">
      <c r="N46600" s="28"/>
      <c r="O46600" s="28"/>
      <c r="U46600" s="28"/>
    </row>
    <row r="46601">
      <c r="N46601" s="28"/>
      <c r="O46601" s="28"/>
      <c r="U46601" s="28"/>
    </row>
    <row r="46602">
      <c r="N46602" s="28"/>
      <c r="O46602" s="28"/>
      <c r="U46602" s="28"/>
    </row>
    <row r="46603">
      <c r="N46603" s="28"/>
      <c r="O46603" s="28"/>
      <c r="U46603" s="28"/>
    </row>
    <row r="46604">
      <c r="N46604" s="28"/>
      <c r="O46604" s="28"/>
      <c r="U46604" s="28"/>
    </row>
    <row r="46605">
      <c r="N46605" s="28"/>
      <c r="O46605" s="28"/>
      <c r="U46605" s="28"/>
    </row>
    <row r="46606">
      <c r="N46606" s="28"/>
      <c r="O46606" s="28"/>
      <c r="U46606" s="28"/>
    </row>
    <row r="46607">
      <c r="N46607" s="28"/>
      <c r="O46607" s="28"/>
      <c r="U46607" s="28"/>
    </row>
    <row r="46608">
      <c r="N46608" s="28"/>
      <c r="O46608" s="28"/>
      <c r="U46608" s="28"/>
    </row>
    <row r="46609">
      <c r="N46609" s="28"/>
      <c r="O46609" s="28"/>
      <c r="U46609" s="28"/>
    </row>
    <row r="46610">
      <c r="N46610" s="28"/>
      <c r="O46610" s="28"/>
      <c r="U46610" s="28"/>
    </row>
    <row r="46611">
      <c r="N46611" s="28"/>
      <c r="O46611" s="28"/>
      <c r="U46611" s="28"/>
    </row>
    <row r="46612">
      <c r="N46612" s="28"/>
      <c r="O46612" s="28"/>
      <c r="U46612" s="28"/>
    </row>
    <row r="46613">
      <c r="N46613" s="28"/>
      <c r="O46613" s="28"/>
      <c r="U46613" s="28"/>
    </row>
    <row r="46614">
      <c r="N46614" s="28"/>
      <c r="O46614" s="28"/>
      <c r="U46614" s="28"/>
    </row>
    <row r="46615">
      <c r="N46615" s="28"/>
      <c r="O46615" s="28"/>
      <c r="U46615" s="28"/>
    </row>
    <row r="46616">
      <c r="N46616" s="28"/>
      <c r="O46616" s="28"/>
      <c r="U46616" s="28"/>
    </row>
    <row r="46617">
      <c r="N46617" s="28"/>
      <c r="O46617" s="28"/>
      <c r="U46617" s="28"/>
    </row>
    <row r="46618">
      <c r="N46618" s="28"/>
      <c r="O46618" s="28"/>
      <c r="U46618" s="28"/>
    </row>
    <row r="46619">
      <c r="N46619" s="28"/>
      <c r="O46619" s="28"/>
      <c r="U46619" s="28"/>
    </row>
    <row r="46620">
      <c r="N46620" s="28"/>
      <c r="O46620" s="28"/>
      <c r="U46620" s="28"/>
    </row>
    <row r="46621">
      <c r="N46621" s="28"/>
      <c r="O46621" s="28"/>
      <c r="U46621" s="28"/>
    </row>
    <row r="46622">
      <c r="N46622" s="28"/>
      <c r="O46622" s="28"/>
      <c r="U46622" s="28"/>
    </row>
    <row r="46623">
      <c r="N46623" s="28"/>
      <c r="O46623" s="28"/>
      <c r="U46623" s="28"/>
    </row>
    <row r="46624">
      <c r="N46624" s="28"/>
      <c r="O46624" s="28"/>
      <c r="U46624" s="28"/>
    </row>
    <row r="46625">
      <c r="N46625" s="28"/>
      <c r="O46625" s="28"/>
      <c r="U46625" s="28"/>
    </row>
    <row r="46626">
      <c r="N46626" s="28"/>
      <c r="O46626" s="28"/>
      <c r="U46626" s="28"/>
    </row>
    <row r="46627">
      <c r="N46627" s="28"/>
      <c r="O46627" s="28"/>
      <c r="U46627" s="28"/>
    </row>
    <row r="46628">
      <c r="N46628" s="28"/>
      <c r="O46628" s="28"/>
      <c r="U46628" s="28"/>
    </row>
    <row r="46629">
      <c r="N46629" s="28"/>
      <c r="O46629" s="28"/>
      <c r="U46629" s="28"/>
    </row>
    <row r="46630">
      <c r="N46630" s="28"/>
      <c r="O46630" s="28"/>
      <c r="U46630" s="28"/>
    </row>
    <row r="46631">
      <c r="N46631" s="28"/>
      <c r="O46631" s="28"/>
      <c r="U46631" s="28"/>
    </row>
    <row r="46632">
      <c r="N46632" s="28"/>
      <c r="O46632" s="28"/>
      <c r="U46632" s="28"/>
    </row>
    <row r="46633">
      <c r="N46633" s="28"/>
      <c r="O46633" s="28"/>
      <c r="U46633" s="28"/>
    </row>
    <row r="46634">
      <c r="N46634" s="28"/>
      <c r="O46634" s="28"/>
      <c r="U46634" s="28"/>
    </row>
    <row r="46635">
      <c r="N46635" s="28"/>
      <c r="O46635" s="28"/>
      <c r="U46635" s="28"/>
    </row>
    <row r="46636">
      <c r="N46636" s="28"/>
      <c r="O46636" s="28"/>
      <c r="U46636" s="28"/>
    </row>
    <row r="46637">
      <c r="N46637" s="28"/>
      <c r="O46637" s="28"/>
      <c r="U46637" s="28"/>
    </row>
    <row r="46638">
      <c r="N46638" s="28"/>
      <c r="O46638" s="28"/>
      <c r="U46638" s="28"/>
    </row>
    <row r="46639">
      <c r="N46639" s="28"/>
      <c r="O46639" s="28"/>
      <c r="U46639" s="28"/>
    </row>
    <row r="46640">
      <c r="N46640" s="28"/>
      <c r="O46640" s="28"/>
      <c r="U46640" s="28"/>
    </row>
    <row r="46641">
      <c r="N46641" s="28"/>
      <c r="O46641" s="28"/>
      <c r="U46641" s="28"/>
    </row>
    <row r="46642">
      <c r="N46642" s="28"/>
      <c r="O46642" s="28"/>
      <c r="U46642" s="28"/>
    </row>
    <row r="46643">
      <c r="N46643" s="28"/>
      <c r="O46643" s="28"/>
      <c r="U46643" s="28"/>
    </row>
    <row r="46644">
      <c r="N46644" s="28"/>
      <c r="O46644" s="28"/>
      <c r="U46644" s="28"/>
    </row>
    <row r="46645">
      <c r="N46645" s="28"/>
      <c r="O46645" s="28"/>
      <c r="U46645" s="28"/>
    </row>
    <row r="46646">
      <c r="N46646" s="28"/>
      <c r="O46646" s="28"/>
      <c r="U46646" s="28"/>
    </row>
    <row r="46647">
      <c r="N46647" s="28"/>
      <c r="O46647" s="28"/>
      <c r="U46647" s="28"/>
    </row>
    <row r="46648">
      <c r="N46648" s="28"/>
      <c r="O46648" s="28"/>
      <c r="U46648" s="28"/>
    </row>
    <row r="46649">
      <c r="N46649" s="28"/>
      <c r="O46649" s="28"/>
      <c r="U46649" s="28"/>
    </row>
    <row r="46650">
      <c r="N46650" s="28"/>
      <c r="O46650" s="28"/>
      <c r="U46650" s="28"/>
    </row>
    <row r="46651">
      <c r="N46651" s="28"/>
      <c r="O46651" s="28"/>
      <c r="U46651" s="28"/>
    </row>
    <row r="46652">
      <c r="N46652" s="28"/>
      <c r="O46652" s="28"/>
      <c r="U46652" s="28"/>
    </row>
    <row r="46653">
      <c r="N46653" s="28"/>
      <c r="O46653" s="28"/>
      <c r="U46653" s="28"/>
    </row>
    <row r="46654">
      <c r="N46654" s="28"/>
      <c r="O46654" s="28"/>
      <c r="U46654" s="28"/>
    </row>
    <row r="46655">
      <c r="N46655" s="28"/>
      <c r="O46655" s="28"/>
      <c r="U46655" s="28"/>
    </row>
    <row r="46656">
      <c r="N46656" s="28"/>
      <c r="O46656" s="28"/>
      <c r="U46656" s="28"/>
    </row>
    <row r="46657">
      <c r="N46657" s="28"/>
      <c r="O46657" s="28"/>
      <c r="U46657" s="28"/>
    </row>
    <row r="46658">
      <c r="N46658" s="28"/>
      <c r="O46658" s="28"/>
      <c r="U46658" s="28"/>
    </row>
    <row r="46659">
      <c r="N46659" s="28"/>
      <c r="O46659" s="28"/>
      <c r="U46659" s="28"/>
    </row>
    <row r="46660">
      <c r="N46660" s="28"/>
      <c r="O46660" s="28"/>
      <c r="U46660" s="28"/>
    </row>
    <row r="46661">
      <c r="N46661" s="28"/>
      <c r="O46661" s="28"/>
      <c r="U46661" s="28"/>
    </row>
    <row r="46662">
      <c r="N46662" s="28"/>
      <c r="O46662" s="28"/>
      <c r="U46662" s="28"/>
    </row>
    <row r="46663">
      <c r="N46663" s="28"/>
      <c r="O46663" s="28"/>
      <c r="U46663" s="28"/>
    </row>
    <row r="46664">
      <c r="N46664" s="28"/>
      <c r="O46664" s="28"/>
      <c r="U46664" s="28"/>
    </row>
    <row r="46665">
      <c r="N46665" s="28"/>
      <c r="O46665" s="28"/>
      <c r="U46665" s="28"/>
    </row>
    <row r="46666">
      <c r="N46666" s="28"/>
      <c r="O46666" s="28"/>
      <c r="U46666" s="28"/>
    </row>
    <row r="46667">
      <c r="N46667" s="28"/>
      <c r="O46667" s="28"/>
      <c r="U46667" s="28"/>
    </row>
    <row r="46668">
      <c r="N46668" s="28"/>
      <c r="O46668" s="28"/>
      <c r="U46668" s="28"/>
    </row>
    <row r="46669">
      <c r="N46669" s="28"/>
      <c r="O46669" s="28"/>
      <c r="U46669" s="28"/>
    </row>
    <row r="46670">
      <c r="N46670" s="28"/>
      <c r="O46670" s="28"/>
      <c r="U46670" s="28"/>
    </row>
    <row r="46671">
      <c r="N46671" s="28"/>
      <c r="O46671" s="28"/>
      <c r="U46671" s="28"/>
    </row>
    <row r="46672">
      <c r="N46672" s="28"/>
      <c r="O46672" s="28"/>
      <c r="U46672" s="28"/>
    </row>
    <row r="46673">
      <c r="N46673" s="28"/>
      <c r="O46673" s="28"/>
      <c r="U46673" s="28"/>
    </row>
    <row r="46674">
      <c r="N46674" s="28"/>
      <c r="O46674" s="28"/>
      <c r="U46674" s="28"/>
    </row>
    <row r="46675">
      <c r="N46675" s="28"/>
      <c r="O46675" s="28"/>
      <c r="U46675" s="28"/>
    </row>
    <row r="46676">
      <c r="N46676" s="28"/>
      <c r="O46676" s="28"/>
      <c r="U46676" s="28"/>
    </row>
    <row r="46677">
      <c r="N46677" s="28"/>
      <c r="O46677" s="28"/>
      <c r="U46677" s="28"/>
    </row>
    <row r="46678">
      <c r="N46678" s="28"/>
      <c r="O46678" s="28"/>
      <c r="U46678" s="28"/>
    </row>
    <row r="46679">
      <c r="N46679" s="28"/>
      <c r="O46679" s="28"/>
      <c r="U46679" s="28"/>
    </row>
    <row r="46680">
      <c r="N46680" s="28"/>
      <c r="O46680" s="28"/>
      <c r="U46680" s="28"/>
    </row>
    <row r="46681">
      <c r="N46681" s="28"/>
      <c r="O46681" s="28"/>
      <c r="U46681" s="28"/>
    </row>
    <row r="46682">
      <c r="N46682" s="28"/>
      <c r="O46682" s="28"/>
      <c r="U46682" s="28"/>
    </row>
    <row r="46683">
      <c r="N46683" s="28"/>
      <c r="O46683" s="28"/>
      <c r="U46683" s="28"/>
    </row>
    <row r="46684">
      <c r="N46684" s="28"/>
      <c r="O46684" s="28"/>
      <c r="U46684" s="28"/>
    </row>
    <row r="46685">
      <c r="N46685" s="28"/>
      <c r="O46685" s="28"/>
      <c r="U46685" s="28"/>
    </row>
    <row r="46686">
      <c r="N46686" s="28"/>
      <c r="O46686" s="28"/>
      <c r="U46686" s="28"/>
    </row>
    <row r="46687">
      <c r="N46687" s="28"/>
      <c r="O46687" s="28"/>
      <c r="U46687" s="28"/>
    </row>
    <row r="46688">
      <c r="N46688" s="28"/>
      <c r="O46688" s="28"/>
      <c r="U46688" s="28"/>
    </row>
    <row r="46689">
      <c r="N46689" s="28"/>
      <c r="O46689" s="28"/>
      <c r="U46689" s="28"/>
    </row>
    <row r="46690">
      <c r="N46690" s="28"/>
      <c r="O46690" s="28"/>
      <c r="U46690" s="28"/>
    </row>
    <row r="46691">
      <c r="N46691" s="28"/>
      <c r="O46691" s="28"/>
      <c r="U46691" s="28"/>
    </row>
    <row r="46692">
      <c r="N46692" s="28"/>
      <c r="O46692" s="28"/>
      <c r="U46692" s="28"/>
    </row>
    <row r="46693">
      <c r="N46693" s="28"/>
      <c r="O46693" s="28"/>
      <c r="U46693" s="28"/>
    </row>
    <row r="46694">
      <c r="N46694" s="28"/>
      <c r="O46694" s="28"/>
      <c r="U46694" s="28"/>
    </row>
    <row r="46695">
      <c r="N46695" s="28"/>
      <c r="O46695" s="28"/>
      <c r="U46695" s="28"/>
    </row>
    <row r="46696">
      <c r="N46696" s="28"/>
      <c r="O46696" s="28"/>
      <c r="U46696" s="28"/>
    </row>
    <row r="46697">
      <c r="N46697" s="28"/>
      <c r="O46697" s="28"/>
      <c r="U46697" s="28"/>
    </row>
    <row r="46698">
      <c r="N46698" s="28"/>
      <c r="O46698" s="28"/>
      <c r="U46698" s="28"/>
    </row>
    <row r="46699">
      <c r="N46699" s="28"/>
      <c r="O46699" s="28"/>
      <c r="U46699" s="28"/>
    </row>
    <row r="46700">
      <c r="N46700" s="28"/>
      <c r="O46700" s="28"/>
      <c r="U46700" s="28"/>
    </row>
    <row r="46701">
      <c r="N46701" s="28"/>
      <c r="O46701" s="28"/>
      <c r="U46701" s="28"/>
    </row>
    <row r="46702">
      <c r="N46702" s="28"/>
      <c r="O46702" s="28"/>
      <c r="U46702" s="28"/>
    </row>
    <row r="46703">
      <c r="N46703" s="28"/>
      <c r="O46703" s="28"/>
      <c r="U46703" s="28"/>
    </row>
    <row r="46704">
      <c r="N46704" s="28"/>
      <c r="O46704" s="28"/>
      <c r="U46704" s="28"/>
    </row>
    <row r="46705">
      <c r="N46705" s="28"/>
      <c r="O46705" s="28"/>
      <c r="U46705" s="28"/>
    </row>
    <row r="46706">
      <c r="N46706" s="28"/>
      <c r="O46706" s="28"/>
      <c r="U46706" s="28"/>
    </row>
    <row r="46707">
      <c r="N46707" s="28"/>
      <c r="O46707" s="28"/>
      <c r="U46707" s="28"/>
    </row>
    <row r="46708">
      <c r="N46708" s="28"/>
      <c r="O46708" s="28"/>
      <c r="U46708" s="28"/>
    </row>
    <row r="46709">
      <c r="N46709" s="28"/>
      <c r="O46709" s="28"/>
      <c r="U46709" s="28"/>
    </row>
    <row r="46710">
      <c r="N46710" s="28"/>
      <c r="O46710" s="28"/>
      <c r="U46710" s="28"/>
    </row>
    <row r="46711">
      <c r="N46711" s="28"/>
      <c r="O46711" s="28"/>
      <c r="U46711" s="28"/>
    </row>
    <row r="46712">
      <c r="N46712" s="28"/>
      <c r="O46712" s="28"/>
      <c r="U46712" s="28"/>
    </row>
    <row r="46713">
      <c r="N46713" s="28"/>
      <c r="O46713" s="28"/>
      <c r="U46713" s="28"/>
    </row>
    <row r="46714">
      <c r="N46714" s="28"/>
      <c r="O46714" s="28"/>
      <c r="U46714" s="28"/>
    </row>
    <row r="46715">
      <c r="N46715" s="28"/>
      <c r="O46715" s="28"/>
      <c r="U46715" s="28"/>
    </row>
    <row r="46716">
      <c r="N46716" s="28"/>
      <c r="O46716" s="28"/>
      <c r="U46716" s="28"/>
    </row>
    <row r="46717">
      <c r="N46717" s="28"/>
      <c r="O46717" s="28"/>
      <c r="U46717" s="28"/>
    </row>
    <row r="46718">
      <c r="N46718" s="28"/>
      <c r="O46718" s="28"/>
      <c r="U46718" s="28"/>
    </row>
    <row r="46719">
      <c r="N46719" s="28"/>
      <c r="O46719" s="28"/>
      <c r="U46719" s="28"/>
    </row>
    <row r="46720">
      <c r="N46720" s="28"/>
      <c r="O46720" s="28"/>
      <c r="U46720" s="28"/>
    </row>
    <row r="46721">
      <c r="N46721" s="28"/>
      <c r="O46721" s="28"/>
      <c r="U46721" s="28"/>
    </row>
    <row r="46722">
      <c r="N46722" s="28"/>
      <c r="O46722" s="28"/>
      <c r="U46722" s="28"/>
    </row>
    <row r="46723">
      <c r="N46723" s="28"/>
      <c r="O46723" s="28"/>
      <c r="U46723" s="28"/>
    </row>
    <row r="46724">
      <c r="N46724" s="28"/>
      <c r="O46724" s="28"/>
      <c r="U46724" s="28"/>
    </row>
    <row r="46725">
      <c r="N46725" s="28"/>
      <c r="O46725" s="28"/>
      <c r="U46725" s="28"/>
    </row>
    <row r="46726">
      <c r="N46726" s="28"/>
      <c r="O46726" s="28"/>
      <c r="U46726" s="28"/>
    </row>
    <row r="46727">
      <c r="N46727" s="28"/>
      <c r="O46727" s="28"/>
      <c r="U46727" s="28"/>
    </row>
    <row r="46728">
      <c r="N46728" s="28"/>
      <c r="O46728" s="28"/>
      <c r="U46728" s="28"/>
    </row>
    <row r="46729">
      <c r="N46729" s="28"/>
      <c r="O46729" s="28"/>
      <c r="U46729" s="28"/>
    </row>
    <row r="46730">
      <c r="N46730" s="28"/>
      <c r="O46730" s="28"/>
      <c r="U46730" s="28"/>
    </row>
    <row r="46731">
      <c r="N46731" s="28"/>
      <c r="O46731" s="28"/>
      <c r="U46731" s="28"/>
    </row>
    <row r="46732">
      <c r="N46732" s="28"/>
      <c r="O46732" s="28"/>
      <c r="U46732" s="28"/>
    </row>
    <row r="46733">
      <c r="N46733" s="28"/>
      <c r="O46733" s="28"/>
      <c r="U46733" s="28"/>
    </row>
    <row r="46734">
      <c r="N46734" s="28"/>
      <c r="O46734" s="28"/>
      <c r="U46734" s="28"/>
    </row>
    <row r="46735">
      <c r="N46735" s="28"/>
      <c r="O46735" s="28"/>
      <c r="U46735" s="28"/>
    </row>
    <row r="46736">
      <c r="N46736" s="28"/>
      <c r="O46736" s="28"/>
      <c r="U46736" s="28"/>
    </row>
    <row r="46737">
      <c r="N46737" s="28"/>
      <c r="O46737" s="28"/>
      <c r="U46737" s="28"/>
    </row>
    <row r="46738">
      <c r="N46738" s="28"/>
      <c r="O46738" s="28"/>
      <c r="U46738" s="28"/>
    </row>
    <row r="46739">
      <c r="N46739" s="28"/>
      <c r="O46739" s="28"/>
      <c r="U46739" s="28"/>
    </row>
    <row r="46740">
      <c r="N46740" s="28"/>
      <c r="O46740" s="28"/>
      <c r="U46740" s="28"/>
    </row>
    <row r="46741">
      <c r="N46741" s="28"/>
      <c r="O46741" s="28"/>
      <c r="U46741" s="28"/>
    </row>
    <row r="46742">
      <c r="N46742" s="28"/>
      <c r="O46742" s="28"/>
      <c r="U46742" s="28"/>
    </row>
    <row r="46743">
      <c r="N46743" s="28"/>
      <c r="O46743" s="28"/>
      <c r="U46743" s="28"/>
    </row>
    <row r="46744">
      <c r="N46744" s="28"/>
      <c r="O46744" s="28"/>
      <c r="U46744" s="28"/>
    </row>
    <row r="46745">
      <c r="N46745" s="28"/>
      <c r="O46745" s="28"/>
      <c r="U46745" s="28"/>
    </row>
    <row r="46746">
      <c r="N46746" s="28"/>
      <c r="O46746" s="28"/>
      <c r="U46746" s="28"/>
    </row>
    <row r="46747">
      <c r="N46747" s="28"/>
      <c r="O46747" s="28"/>
      <c r="U46747" s="28"/>
    </row>
    <row r="46748">
      <c r="N46748" s="28"/>
      <c r="O46748" s="28"/>
      <c r="U46748" s="28"/>
    </row>
    <row r="46749">
      <c r="N46749" s="28"/>
      <c r="O46749" s="28"/>
      <c r="U46749" s="28"/>
    </row>
    <row r="46750">
      <c r="N46750" s="28"/>
      <c r="O46750" s="28"/>
      <c r="U46750" s="28"/>
    </row>
    <row r="46751">
      <c r="N46751" s="28"/>
      <c r="O46751" s="28"/>
      <c r="U46751" s="28"/>
    </row>
    <row r="46752">
      <c r="N46752" s="28"/>
      <c r="O46752" s="28"/>
      <c r="U46752" s="28"/>
    </row>
    <row r="46753">
      <c r="N46753" s="28"/>
      <c r="O46753" s="28"/>
      <c r="U46753" s="28"/>
    </row>
    <row r="46754">
      <c r="N46754" s="28"/>
      <c r="O46754" s="28"/>
      <c r="U46754" s="28"/>
    </row>
    <row r="46755">
      <c r="N46755" s="28"/>
      <c r="O46755" s="28"/>
      <c r="U46755" s="28"/>
    </row>
    <row r="46756">
      <c r="N46756" s="28"/>
      <c r="O46756" s="28"/>
      <c r="U46756" s="28"/>
    </row>
    <row r="46757">
      <c r="N46757" s="28"/>
      <c r="O46757" s="28"/>
      <c r="U46757" s="28"/>
    </row>
    <row r="46758">
      <c r="N46758" s="28"/>
      <c r="O46758" s="28"/>
      <c r="U46758" s="28"/>
    </row>
    <row r="46759">
      <c r="N46759" s="28"/>
      <c r="O46759" s="28"/>
      <c r="U46759" s="28"/>
    </row>
    <row r="46760">
      <c r="N46760" s="28"/>
      <c r="O46760" s="28"/>
      <c r="U46760" s="28"/>
    </row>
    <row r="46761">
      <c r="N46761" s="28"/>
      <c r="O46761" s="28"/>
      <c r="U46761" s="28"/>
    </row>
    <row r="46762">
      <c r="N46762" s="28"/>
      <c r="O46762" s="28"/>
      <c r="U46762" s="28"/>
    </row>
    <row r="46763">
      <c r="N46763" s="28"/>
      <c r="O46763" s="28"/>
      <c r="U46763" s="28"/>
    </row>
    <row r="46764">
      <c r="N46764" s="28"/>
      <c r="O46764" s="28"/>
      <c r="U46764" s="28"/>
    </row>
    <row r="46765">
      <c r="N46765" s="28"/>
      <c r="O46765" s="28"/>
      <c r="U46765" s="28"/>
    </row>
    <row r="46766">
      <c r="N46766" s="28"/>
      <c r="O46766" s="28"/>
      <c r="U46766" s="28"/>
    </row>
    <row r="46767">
      <c r="N46767" s="28"/>
      <c r="O46767" s="28"/>
      <c r="U46767" s="28"/>
    </row>
    <row r="46768">
      <c r="N46768" s="28"/>
      <c r="O46768" s="28"/>
      <c r="U46768" s="28"/>
    </row>
    <row r="46769">
      <c r="N46769" s="28"/>
      <c r="O46769" s="28"/>
      <c r="U46769" s="28"/>
    </row>
    <row r="46770">
      <c r="N46770" s="28"/>
      <c r="O46770" s="28"/>
      <c r="U46770" s="28"/>
    </row>
    <row r="46771">
      <c r="N46771" s="28"/>
      <c r="O46771" s="28"/>
      <c r="U46771" s="28"/>
    </row>
    <row r="46772">
      <c r="N46772" s="28"/>
      <c r="O46772" s="28"/>
      <c r="U46772" s="28"/>
    </row>
    <row r="46773">
      <c r="N46773" s="28"/>
      <c r="O46773" s="28"/>
      <c r="U46773" s="28"/>
    </row>
    <row r="46774">
      <c r="N46774" s="28"/>
      <c r="O46774" s="28"/>
      <c r="U46774" s="28"/>
    </row>
    <row r="46775">
      <c r="N46775" s="28"/>
      <c r="O46775" s="28"/>
      <c r="U46775" s="28"/>
    </row>
    <row r="46776">
      <c r="N46776" s="28"/>
      <c r="O46776" s="28"/>
      <c r="U46776" s="28"/>
    </row>
    <row r="46777">
      <c r="N46777" s="28"/>
      <c r="O46777" s="28"/>
      <c r="U46777" s="28"/>
    </row>
    <row r="46778">
      <c r="N46778" s="28"/>
      <c r="O46778" s="28"/>
      <c r="U46778" s="28"/>
    </row>
    <row r="46779">
      <c r="N46779" s="28"/>
      <c r="O46779" s="28"/>
      <c r="U46779" s="28"/>
    </row>
    <row r="46780">
      <c r="N46780" s="28"/>
      <c r="O46780" s="28"/>
      <c r="U46780" s="28"/>
    </row>
    <row r="46781">
      <c r="N46781" s="28"/>
      <c r="O46781" s="28"/>
      <c r="U46781" s="28"/>
    </row>
    <row r="46782">
      <c r="N46782" s="28"/>
      <c r="O46782" s="28"/>
      <c r="U46782" s="28"/>
    </row>
    <row r="46783">
      <c r="N46783" s="28"/>
      <c r="O46783" s="28"/>
      <c r="U46783" s="28"/>
    </row>
    <row r="46784">
      <c r="N46784" s="28"/>
      <c r="O46784" s="28"/>
      <c r="U46784" s="28"/>
    </row>
    <row r="46785">
      <c r="N46785" s="28"/>
      <c r="O46785" s="28"/>
      <c r="U46785" s="28"/>
    </row>
    <row r="46786">
      <c r="N46786" s="28"/>
      <c r="O46786" s="28"/>
      <c r="U46786" s="28"/>
    </row>
    <row r="46787">
      <c r="N46787" s="28"/>
      <c r="O46787" s="28"/>
      <c r="U46787" s="28"/>
    </row>
    <row r="46788">
      <c r="N46788" s="28"/>
      <c r="O46788" s="28"/>
      <c r="U46788" s="28"/>
    </row>
    <row r="46789">
      <c r="N46789" s="28"/>
      <c r="O46789" s="28"/>
      <c r="U46789" s="28"/>
    </row>
    <row r="46790">
      <c r="N46790" s="28"/>
      <c r="O46790" s="28"/>
      <c r="U46790" s="28"/>
    </row>
    <row r="46791">
      <c r="N46791" s="28"/>
      <c r="O46791" s="28"/>
      <c r="U46791" s="28"/>
    </row>
    <row r="46792">
      <c r="N46792" s="28"/>
      <c r="O46792" s="28"/>
      <c r="U46792" s="28"/>
    </row>
    <row r="46793">
      <c r="N46793" s="28"/>
      <c r="O46793" s="28"/>
      <c r="U46793" s="28"/>
    </row>
    <row r="46794">
      <c r="N46794" s="28"/>
      <c r="O46794" s="28"/>
      <c r="U46794" s="28"/>
    </row>
    <row r="46795">
      <c r="N46795" s="28"/>
      <c r="O46795" s="28"/>
      <c r="U46795" s="28"/>
    </row>
    <row r="46796">
      <c r="N46796" s="28"/>
      <c r="O46796" s="28"/>
      <c r="U46796" s="28"/>
    </row>
    <row r="46797">
      <c r="N46797" s="28"/>
      <c r="O46797" s="28"/>
      <c r="U46797" s="28"/>
    </row>
    <row r="46798">
      <c r="N46798" s="28"/>
      <c r="O46798" s="28"/>
      <c r="U46798" s="28"/>
    </row>
    <row r="46799">
      <c r="N46799" s="28"/>
      <c r="O46799" s="28"/>
      <c r="U46799" s="28"/>
    </row>
    <row r="46800">
      <c r="N46800" s="28"/>
      <c r="O46800" s="28"/>
      <c r="U46800" s="28"/>
    </row>
    <row r="46801">
      <c r="N46801" s="28"/>
      <c r="O46801" s="28"/>
      <c r="U46801" s="28"/>
    </row>
    <row r="46802">
      <c r="N46802" s="28"/>
      <c r="O46802" s="28"/>
      <c r="U46802" s="28"/>
    </row>
    <row r="46803">
      <c r="N46803" s="28"/>
      <c r="O46803" s="28"/>
      <c r="U46803" s="28"/>
    </row>
    <row r="46804">
      <c r="N46804" s="28"/>
      <c r="O46804" s="28"/>
      <c r="U46804" s="28"/>
    </row>
    <row r="46805">
      <c r="N46805" s="28"/>
      <c r="O46805" s="28"/>
      <c r="U46805" s="28"/>
    </row>
    <row r="46806">
      <c r="N46806" s="28"/>
      <c r="O46806" s="28"/>
      <c r="U46806" s="28"/>
    </row>
    <row r="46807">
      <c r="N46807" s="28"/>
      <c r="O46807" s="28"/>
      <c r="U46807" s="28"/>
    </row>
    <row r="46808">
      <c r="N46808" s="28"/>
      <c r="O46808" s="28"/>
      <c r="U46808" s="28"/>
    </row>
    <row r="46809">
      <c r="N46809" s="28"/>
      <c r="O46809" s="28"/>
      <c r="U46809" s="28"/>
    </row>
    <row r="46810">
      <c r="N46810" s="28"/>
      <c r="O46810" s="28"/>
      <c r="U46810" s="28"/>
    </row>
    <row r="46811">
      <c r="N46811" s="28"/>
      <c r="O46811" s="28"/>
      <c r="U46811" s="28"/>
    </row>
    <row r="46812">
      <c r="N46812" s="28"/>
      <c r="O46812" s="28"/>
      <c r="U46812" s="28"/>
    </row>
    <row r="46813">
      <c r="N46813" s="28"/>
      <c r="O46813" s="28"/>
      <c r="U46813" s="28"/>
    </row>
    <row r="46814">
      <c r="N46814" s="28"/>
      <c r="O46814" s="28"/>
      <c r="U46814" s="28"/>
    </row>
    <row r="46815">
      <c r="N46815" s="28"/>
      <c r="O46815" s="28"/>
      <c r="U46815" s="28"/>
    </row>
    <row r="46816">
      <c r="N46816" s="28"/>
      <c r="O46816" s="28"/>
      <c r="U46816" s="28"/>
    </row>
    <row r="46817">
      <c r="N46817" s="28"/>
      <c r="O46817" s="28"/>
      <c r="U46817" s="28"/>
    </row>
    <row r="46818">
      <c r="N46818" s="28"/>
      <c r="O46818" s="28"/>
      <c r="U46818" s="28"/>
    </row>
    <row r="46819">
      <c r="N46819" s="28"/>
      <c r="O46819" s="28"/>
      <c r="U46819" s="28"/>
    </row>
    <row r="46820">
      <c r="N46820" s="28"/>
      <c r="O46820" s="28"/>
      <c r="U46820" s="28"/>
    </row>
    <row r="46821">
      <c r="N46821" s="28"/>
      <c r="O46821" s="28"/>
      <c r="U46821" s="28"/>
    </row>
    <row r="46822">
      <c r="N46822" s="28"/>
      <c r="O46822" s="28"/>
      <c r="U46822" s="28"/>
    </row>
    <row r="46823">
      <c r="N46823" s="28"/>
      <c r="O46823" s="28"/>
      <c r="U46823" s="28"/>
    </row>
    <row r="46824">
      <c r="N46824" s="28"/>
      <c r="O46824" s="28"/>
      <c r="U46824" s="28"/>
    </row>
    <row r="46825">
      <c r="N46825" s="28"/>
      <c r="O46825" s="28"/>
      <c r="U46825" s="28"/>
    </row>
    <row r="46826">
      <c r="N46826" s="28"/>
      <c r="O46826" s="28"/>
      <c r="U46826" s="28"/>
    </row>
    <row r="46827">
      <c r="N46827" s="28"/>
      <c r="O46827" s="28"/>
      <c r="U46827" s="28"/>
    </row>
    <row r="46828">
      <c r="N46828" s="28"/>
      <c r="O46828" s="28"/>
      <c r="U46828" s="28"/>
    </row>
    <row r="46829">
      <c r="N46829" s="28"/>
      <c r="O46829" s="28"/>
      <c r="U46829" s="28"/>
    </row>
    <row r="46830">
      <c r="N46830" s="28"/>
      <c r="O46830" s="28"/>
      <c r="U46830" s="28"/>
    </row>
    <row r="46831">
      <c r="N46831" s="28"/>
      <c r="O46831" s="28"/>
      <c r="U46831" s="28"/>
    </row>
    <row r="46832">
      <c r="N46832" s="28"/>
      <c r="O46832" s="28"/>
      <c r="U46832" s="28"/>
    </row>
    <row r="46833">
      <c r="N46833" s="28"/>
      <c r="O46833" s="28"/>
      <c r="U46833" s="28"/>
    </row>
    <row r="46834">
      <c r="N46834" s="28"/>
      <c r="O46834" s="28"/>
      <c r="U46834" s="28"/>
    </row>
    <row r="46835">
      <c r="N46835" s="28"/>
      <c r="O46835" s="28"/>
      <c r="U46835" s="28"/>
    </row>
    <row r="46836">
      <c r="N46836" s="28"/>
      <c r="O46836" s="28"/>
      <c r="U46836" s="28"/>
    </row>
    <row r="46837">
      <c r="N46837" s="28"/>
      <c r="O46837" s="28"/>
      <c r="U46837" s="28"/>
    </row>
    <row r="46838">
      <c r="N46838" s="28"/>
      <c r="O46838" s="28"/>
      <c r="U46838" s="28"/>
    </row>
    <row r="46839">
      <c r="N46839" s="28"/>
      <c r="O46839" s="28"/>
      <c r="U46839" s="28"/>
    </row>
    <row r="46840">
      <c r="N46840" s="28"/>
      <c r="O46840" s="28"/>
      <c r="U46840" s="28"/>
    </row>
    <row r="46841">
      <c r="N46841" s="28"/>
      <c r="O46841" s="28"/>
      <c r="U46841" s="28"/>
    </row>
    <row r="46842">
      <c r="N46842" s="28"/>
      <c r="O46842" s="28"/>
      <c r="U46842" s="28"/>
    </row>
    <row r="46843">
      <c r="N46843" s="28"/>
      <c r="O46843" s="28"/>
      <c r="U46843" s="28"/>
    </row>
    <row r="46844">
      <c r="N46844" s="28"/>
      <c r="O46844" s="28"/>
      <c r="U46844" s="28"/>
    </row>
    <row r="46845">
      <c r="N46845" s="28"/>
      <c r="O46845" s="28"/>
      <c r="U46845" s="28"/>
    </row>
    <row r="46846">
      <c r="N46846" s="28"/>
      <c r="O46846" s="28"/>
      <c r="U46846" s="28"/>
    </row>
    <row r="46847">
      <c r="N46847" s="28"/>
      <c r="O46847" s="28"/>
      <c r="U46847" s="28"/>
    </row>
    <row r="46848">
      <c r="N46848" s="28"/>
      <c r="O46848" s="28"/>
      <c r="U46848" s="28"/>
    </row>
    <row r="46849">
      <c r="N46849" s="28"/>
      <c r="O46849" s="28"/>
      <c r="U46849" s="28"/>
    </row>
    <row r="46850">
      <c r="N46850" s="28"/>
      <c r="O46850" s="28"/>
      <c r="U46850" s="28"/>
    </row>
    <row r="46851">
      <c r="N46851" s="28"/>
      <c r="O46851" s="28"/>
      <c r="U46851" s="28"/>
    </row>
    <row r="46852">
      <c r="N46852" s="28"/>
      <c r="O46852" s="28"/>
      <c r="U46852" s="28"/>
    </row>
    <row r="46853">
      <c r="N46853" s="28"/>
      <c r="O46853" s="28"/>
      <c r="U46853" s="28"/>
    </row>
    <row r="46854">
      <c r="N46854" s="28"/>
      <c r="O46854" s="28"/>
      <c r="U46854" s="28"/>
    </row>
    <row r="46855">
      <c r="N46855" s="28"/>
      <c r="O46855" s="28"/>
      <c r="U46855" s="28"/>
    </row>
    <row r="46856">
      <c r="N46856" s="28"/>
      <c r="O46856" s="28"/>
      <c r="U46856" s="28"/>
    </row>
    <row r="46857">
      <c r="N46857" s="28"/>
      <c r="O46857" s="28"/>
      <c r="U46857" s="28"/>
    </row>
    <row r="46858">
      <c r="N46858" s="28"/>
      <c r="O46858" s="28"/>
      <c r="U46858" s="28"/>
    </row>
    <row r="46859">
      <c r="N46859" s="28"/>
      <c r="O46859" s="28"/>
      <c r="U46859" s="28"/>
    </row>
    <row r="46860">
      <c r="N46860" s="28"/>
      <c r="O46860" s="28"/>
      <c r="U46860" s="28"/>
    </row>
    <row r="46861">
      <c r="N46861" s="28"/>
      <c r="O46861" s="28"/>
      <c r="U46861" s="28"/>
    </row>
    <row r="46862">
      <c r="N46862" s="28"/>
      <c r="O46862" s="28"/>
      <c r="U46862" s="28"/>
    </row>
    <row r="46863">
      <c r="N46863" s="28"/>
      <c r="O46863" s="28"/>
      <c r="U46863" s="28"/>
    </row>
    <row r="46864">
      <c r="N46864" s="28"/>
      <c r="O46864" s="28"/>
      <c r="U46864" s="28"/>
    </row>
    <row r="46865">
      <c r="N46865" s="28"/>
      <c r="O46865" s="28"/>
      <c r="U46865" s="28"/>
    </row>
    <row r="46866">
      <c r="N46866" s="28"/>
      <c r="O46866" s="28"/>
      <c r="U46866" s="28"/>
    </row>
    <row r="46867">
      <c r="N46867" s="28"/>
      <c r="O46867" s="28"/>
      <c r="U46867" s="28"/>
    </row>
    <row r="46868">
      <c r="N46868" s="28"/>
      <c r="O46868" s="28"/>
      <c r="U46868" s="28"/>
    </row>
    <row r="46869">
      <c r="N46869" s="28"/>
      <c r="O46869" s="28"/>
      <c r="U46869" s="28"/>
    </row>
    <row r="46870">
      <c r="N46870" s="28"/>
      <c r="O46870" s="28"/>
      <c r="U46870" s="28"/>
    </row>
    <row r="46871">
      <c r="N46871" s="28"/>
      <c r="O46871" s="28"/>
      <c r="U46871" s="28"/>
    </row>
    <row r="46872">
      <c r="N46872" s="28"/>
      <c r="O46872" s="28"/>
      <c r="U46872" s="28"/>
    </row>
    <row r="46873">
      <c r="N46873" s="28"/>
      <c r="O46873" s="28"/>
      <c r="U46873" s="28"/>
    </row>
    <row r="46874">
      <c r="N46874" s="28"/>
      <c r="O46874" s="28"/>
      <c r="U46874" s="28"/>
    </row>
    <row r="46875">
      <c r="N46875" s="28"/>
      <c r="O46875" s="28"/>
      <c r="U46875" s="28"/>
    </row>
    <row r="46876">
      <c r="N46876" s="28"/>
      <c r="O46876" s="28"/>
      <c r="U46876" s="28"/>
    </row>
    <row r="46877">
      <c r="N46877" s="28"/>
      <c r="O46877" s="28"/>
      <c r="U46877" s="28"/>
    </row>
    <row r="46878">
      <c r="N46878" s="28"/>
      <c r="O46878" s="28"/>
      <c r="U46878" s="28"/>
    </row>
    <row r="46879">
      <c r="N46879" s="28"/>
      <c r="O46879" s="28"/>
      <c r="U46879" s="28"/>
    </row>
    <row r="46880">
      <c r="N46880" s="28"/>
      <c r="O46880" s="28"/>
      <c r="U46880" s="28"/>
    </row>
    <row r="46881">
      <c r="N46881" s="28"/>
      <c r="O46881" s="28"/>
      <c r="U46881" s="28"/>
    </row>
    <row r="46882">
      <c r="N46882" s="28"/>
      <c r="O46882" s="28"/>
      <c r="U46882" s="28"/>
    </row>
    <row r="46883">
      <c r="N46883" s="28"/>
      <c r="O46883" s="28"/>
      <c r="U46883" s="28"/>
    </row>
    <row r="46884">
      <c r="N46884" s="28"/>
      <c r="O46884" s="28"/>
      <c r="U46884" s="28"/>
    </row>
    <row r="46885">
      <c r="N46885" s="28"/>
      <c r="O46885" s="28"/>
      <c r="U46885" s="28"/>
    </row>
    <row r="46886">
      <c r="N46886" s="28"/>
      <c r="O46886" s="28"/>
      <c r="U46886" s="28"/>
    </row>
    <row r="46887">
      <c r="N46887" s="28"/>
      <c r="O46887" s="28"/>
      <c r="U46887" s="28"/>
    </row>
    <row r="46888">
      <c r="N46888" s="28"/>
      <c r="O46888" s="28"/>
      <c r="U46888" s="28"/>
    </row>
    <row r="46889">
      <c r="N46889" s="28"/>
      <c r="O46889" s="28"/>
      <c r="U46889" s="28"/>
    </row>
    <row r="46890">
      <c r="N46890" s="28"/>
      <c r="O46890" s="28"/>
      <c r="U46890" s="28"/>
    </row>
    <row r="46891">
      <c r="N46891" s="28"/>
      <c r="O46891" s="28"/>
      <c r="U46891" s="28"/>
    </row>
    <row r="46892">
      <c r="N46892" s="28"/>
      <c r="O46892" s="28"/>
      <c r="U46892" s="28"/>
    </row>
    <row r="46893">
      <c r="N46893" s="28"/>
      <c r="O46893" s="28"/>
      <c r="U46893" s="28"/>
    </row>
    <row r="46894">
      <c r="N46894" s="28"/>
      <c r="O46894" s="28"/>
      <c r="U46894" s="28"/>
    </row>
    <row r="46895">
      <c r="N46895" s="28"/>
      <c r="O46895" s="28"/>
      <c r="U46895" s="28"/>
    </row>
    <row r="46896">
      <c r="N46896" s="28"/>
      <c r="O46896" s="28"/>
      <c r="U46896" s="28"/>
    </row>
    <row r="46897">
      <c r="N46897" s="28"/>
      <c r="O46897" s="28"/>
      <c r="U46897" s="28"/>
    </row>
    <row r="46898">
      <c r="N46898" s="28"/>
      <c r="O46898" s="28"/>
      <c r="U46898" s="28"/>
    </row>
    <row r="46899">
      <c r="N46899" s="28"/>
      <c r="O46899" s="28"/>
      <c r="U46899" s="28"/>
    </row>
    <row r="46900">
      <c r="N46900" s="28"/>
      <c r="O46900" s="28"/>
      <c r="U46900" s="28"/>
    </row>
    <row r="46901">
      <c r="N46901" s="28"/>
      <c r="O46901" s="28"/>
      <c r="U46901" s="28"/>
    </row>
    <row r="46902">
      <c r="N46902" s="28"/>
      <c r="O46902" s="28"/>
      <c r="U46902" s="28"/>
    </row>
    <row r="46903">
      <c r="N46903" s="28"/>
      <c r="O46903" s="28"/>
      <c r="U46903" s="28"/>
    </row>
    <row r="46904">
      <c r="N46904" s="28"/>
      <c r="O46904" s="28"/>
      <c r="U46904" s="28"/>
    </row>
    <row r="46905">
      <c r="N46905" s="28"/>
      <c r="O46905" s="28"/>
      <c r="U46905" s="28"/>
    </row>
    <row r="46906">
      <c r="N46906" s="28"/>
      <c r="O46906" s="28"/>
      <c r="U46906" s="28"/>
    </row>
    <row r="46907">
      <c r="N46907" s="28"/>
      <c r="O46907" s="28"/>
      <c r="U46907" s="28"/>
    </row>
    <row r="46908">
      <c r="N46908" s="28"/>
      <c r="O46908" s="28"/>
      <c r="U46908" s="28"/>
    </row>
    <row r="46909">
      <c r="N46909" s="28"/>
      <c r="O46909" s="28"/>
      <c r="U46909" s="28"/>
    </row>
    <row r="46910">
      <c r="N46910" s="28"/>
      <c r="O46910" s="28"/>
      <c r="U46910" s="28"/>
    </row>
    <row r="46911">
      <c r="N46911" s="28"/>
      <c r="O46911" s="28"/>
      <c r="U46911" s="28"/>
    </row>
    <row r="46912">
      <c r="N46912" s="28"/>
      <c r="O46912" s="28"/>
      <c r="U46912" s="28"/>
    </row>
    <row r="46913">
      <c r="N46913" s="28"/>
      <c r="O46913" s="28"/>
      <c r="U46913" s="28"/>
    </row>
    <row r="46914">
      <c r="N46914" s="28"/>
      <c r="O46914" s="28"/>
      <c r="U46914" s="28"/>
    </row>
    <row r="46915">
      <c r="N46915" s="28"/>
      <c r="O46915" s="28"/>
      <c r="U46915" s="28"/>
    </row>
    <row r="46916">
      <c r="N46916" s="28"/>
      <c r="O46916" s="28"/>
      <c r="U46916" s="28"/>
    </row>
    <row r="46917">
      <c r="N46917" s="28"/>
      <c r="O46917" s="28"/>
      <c r="U46917" s="28"/>
    </row>
    <row r="46918">
      <c r="N46918" s="28"/>
      <c r="O46918" s="28"/>
      <c r="U46918" s="28"/>
    </row>
    <row r="46919">
      <c r="N46919" s="28"/>
      <c r="O46919" s="28"/>
      <c r="U46919" s="28"/>
    </row>
    <row r="46920">
      <c r="N46920" s="28"/>
      <c r="O46920" s="28"/>
      <c r="U46920" s="28"/>
    </row>
    <row r="46921">
      <c r="N46921" s="28"/>
      <c r="O46921" s="28"/>
      <c r="U46921" s="28"/>
    </row>
    <row r="46922">
      <c r="N46922" s="28"/>
      <c r="O46922" s="28"/>
      <c r="U46922" s="28"/>
    </row>
    <row r="46923">
      <c r="N46923" s="28"/>
      <c r="O46923" s="28"/>
      <c r="U46923" s="28"/>
    </row>
    <row r="46924">
      <c r="N46924" s="28"/>
      <c r="O46924" s="28"/>
      <c r="U46924" s="28"/>
    </row>
    <row r="46925">
      <c r="N46925" s="28"/>
      <c r="O46925" s="28"/>
      <c r="U46925" s="28"/>
    </row>
    <row r="46926">
      <c r="N46926" s="28"/>
      <c r="O46926" s="28"/>
      <c r="U46926" s="28"/>
    </row>
    <row r="46927">
      <c r="N46927" s="28"/>
      <c r="O46927" s="28"/>
      <c r="U46927" s="28"/>
    </row>
    <row r="46928">
      <c r="N46928" s="28"/>
      <c r="O46928" s="28"/>
      <c r="U46928" s="28"/>
    </row>
    <row r="46929">
      <c r="N46929" s="28"/>
      <c r="O46929" s="28"/>
      <c r="U46929" s="28"/>
    </row>
    <row r="46930">
      <c r="N46930" s="28"/>
      <c r="O46930" s="28"/>
      <c r="U46930" s="28"/>
    </row>
    <row r="46931">
      <c r="N46931" s="28"/>
      <c r="O46931" s="28"/>
      <c r="U46931" s="28"/>
    </row>
    <row r="46932">
      <c r="N46932" s="28"/>
      <c r="O46932" s="28"/>
      <c r="U46932" s="28"/>
    </row>
    <row r="46933">
      <c r="N46933" s="28"/>
      <c r="O46933" s="28"/>
      <c r="U46933" s="28"/>
    </row>
    <row r="46934">
      <c r="N46934" s="28"/>
      <c r="O46934" s="28"/>
      <c r="U46934" s="28"/>
    </row>
    <row r="46935">
      <c r="N46935" s="28"/>
      <c r="O46935" s="28"/>
      <c r="U46935" s="28"/>
    </row>
    <row r="46936">
      <c r="N46936" s="28"/>
      <c r="O46936" s="28"/>
      <c r="U46936" s="28"/>
    </row>
    <row r="46937">
      <c r="N46937" s="28"/>
      <c r="O46937" s="28"/>
      <c r="U46937" s="28"/>
    </row>
    <row r="46938">
      <c r="N46938" s="28"/>
      <c r="O46938" s="28"/>
      <c r="U46938" s="28"/>
    </row>
    <row r="46939">
      <c r="N46939" s="28"/>
      <c r="O46939" s="28"/>
      <c r="U46939" s="28"/>
    </row>
    <row r="46940">
      <c r="N46940" s="28"/>
      <c r="O46940" s="28"/>
      <c r="U46940" s="28"/>
    </row>
    <row r="46941">
      <c r="N46941" s="28"/>
      <c r="O46941" s="28"/>
      <c r="U46941" s="28"/>
    </row>
    <row r="46942">
      <c r="N46942" s="28"/>
      <c r="O46942" s="28"/>
      <c r="U46942" s="28"/>
    </row>
    <row r="46943">
      <c r="N46943" s="28"/>
      <c r="O46943" s="28"/>
      <c r="U46943" s="28"/>
    </row>
    <row r="46944">
      <c r="N46944" s="28"/>
      <c r="O46944" s="28"/>
      <c r="U46944" s="28"/>
    </row>
    <row r="46945">
      <c r="N46945" s="28"/>
      <c r="O46945" s="28"/>
      <c r="U46945" s="28"/>
    </row>
    <row r="46946">
      <c r="N46946" s="28"/>
      <c r="O46946" s="28"/>
      <c r="U46946" s="28"/>
    </row>
    <row r="46947">
      <c r="N46947" s="28"/>
      <c r="O46947" s="28"/>
      <c r="U46947" s="28"/>
    </row>
    <row r="46948">
      <c r="N46948" s="28"/>
      <c r="O46948" s="28"/>
      <c r="U46948" s="28"/>
    </row>
    <row r="46949">
      <c r="N46949" s="28"/>
      <c r="O46949" s="28"/>
      <c r="U46949" s="28"/>
    </row>
    <row r="46950">
      <c r="N46950" s="28"/>
      <c r="O46950" s="28"/>
      <c r="U46950" s="28"/>
    </row>
    <row r="46951">
      <c r="N46951" s="28"/>
      <c r="O46951" s="28"/>
      <c r="U46951" s="28"/>
    </row>
    <row r="46952">
      <c r="N46952" s="28"/>
      <c r="O46952" s="28"/>
      <c r="U46952" s="28"/>
    </row>
    <row r="46953">
      <c r="N46953" s="28"/>
      <c r="O46953" s="28"/>
      <c r="U46953" s="28"/>
    </row>
    <row r="46954">
      <c r="N46954" s="28"/>
      <c r="O46954" s="28"/>
      <c r="U46954" s="28"/>
    </row>
    <row r="46955">
      <c r="N46955" s="28"/>
      <c r="O46955" s="28"/>
      <c r="U46955" s="28"/>
    </row>
    <row r="46956">
      <c r="N46956" s="28"/>
      <c r="O46956" s="28"/>
      <c r="U46956" s="28"/>
    </row>
    <row r="46957">
      <c r="N46957" s="28"/>
      <c r="O46957" s="28"/>
      <c r="U46957" s="28"/>
    </row>
    <row r="46958">
      <c r="N46958" s="28"/>
      <c r="O46958" s="28"/>
      <c r="U46958" s="28"/>
    </row>
    <row r="46959">
      <c r="N46959" s="28"/>
      <c r="O46959" s="28"/>
      <c r="U46959" s="28"/>
    </row>
    <row r="46960">
      <c r="N46960" s="28"/>
      <c r="O46960" s="28"/>
      <c r="U46960" s="28"/>
    </row>
    <row r="46961">
      <c r="N46961" s="28"/>
      <c r="O46961" s="28"/>
      <c r="U46961" s="28"/>
    </row>
    <row r="46962">
      <c r="N46962" s="28"/>
      <c r="O46962" s="28"/>
      <c r="U46962" s="28"/>
    </row>
    <row r="46963">
      <c r="N46963" s="28"/>
      <c r="O46963" s="28"/>
      <c r="U46963" s="28"/>
    </row>
    <row r="46964">
      <c r="N46964" s="28"/>
      <c r="O46964" s="28"/>
      <c r="U46964" s="28"/>
    </row>
    <row r="46965">
      <c r="N46965" s="28"/>
      <c r="O46965" s="28"/>
      <c r="U46965" s="28"/>
    </row>
    <row r="46966">
      <c r="N46966" s="28"/>
      <c r="O46966" s="28"/>
      <c r="U46966" s="28"/>
    </row>
    <row r="46967">
      <c r="N46967" s="28"/>
      <c r="O46967" s="28"/>
      <c r="U46967" s="28"/>
    </row>
    <row r="46968">
      <c r="N46968" s="28"/>
      <c r="O46968" s="28"/>
      <c r="U46968" s="28"/>
    </row>
    <row r="46969">
      <c r="N46969" s="28"/>
      <c r="O46969" s="28"/>
      <c r="U46969" s="28"/>
    </row>
    <row r="46970">
      <c r="N46970" s="28"/>
      <c r="O46970" s="28"/>
      <c r="U46970" s="28"/>
    </row>
    <row r="46971">
      <c r="N46971" s="28"/>
      <c r="O46971" s="28"/>
      <c r="U46971" s="28"/>
    </row>
    <row r="46972">
      <c r="N46972" s="28"/>
      <c r="O46972" s="28"/>
      <c r="U46972" s="28"/>
    </row>
    <row r="46973">
      <c r="N46973" s="28"/>
      <c r="O46973" s="28"/>
      <c r="U46973" s="28"/>
    </row>
    <row r="46974">
      <c r="N46974" s="28"/>
      <c r="O46974" s="28"/>
      <c r="U46974" s="28"/>
    </row>
    <row r="46975">
      <c r="N46975" s="28"/>
      <c r="O46975" s="28"/>
      <c r="U46975" s="28"/>
    </row>
    <row r="46976">
      <c r="N46976" s="28"/>
      <c r="O46976" s="28"/>
      <c r="U46976" s="28"/>
    </row>
    <row r="46977">
      <c r="N46977" s="28"/>
      <c r="O46977" s="28"/>
      <c r="U46977" s="28"/>
    </row>
    <row r="46978">
      <c r="N46978" s="28"/>
      <c r="O46978" s="28"/>
      <c r="U46978" s="28"/>
    </row>
    <row r="46979">
      <c r="N46979" s="28"/>
      <c r="O46979" s="28"/>
      <c r="U46979" s="28"/>
    </row>
    <row r="46980">
      <c r="N46980" s="28"/>
      <c r="O46980" s="28"/>
      <c r="U46980" s="28"/>
    </row>
    <row r="46981">
      <c r="N46981" s="28"/>
      <c r="O46981" s="28"/>
      <c r="U46981" s="28"/>
    </row>
    <row r="46982">
      <c r="N46982" s="28"/>
      <c r="O46982" s="28"/>
      <c r="U46982" s="28"/>
    </row>
    <row r="46983">
      <c r="N46983" s="28"/>
      <c r="O46983" s="28"/>
      <c r="U46983" s="28"/>
    </row>
    <row r="46984">
      <c r="N46984" s="28"/>
      <c r="O46984" s="28"/>
      <c r="U46984" s="28"/>
    </row>
    <row r="46985">
      <c r="N46985" s="28"/>
      <c r="O46985" s="28"/>
      <c r="U46985" s="28"/>
    </row>
    <row r="46986">
      <c r="N46986" s="28"/>
      <c r="O46986" s="28"/>
      <c r="U46986" s="28"/>
    </row>
    <row r="46987">
      <c r="N46987" s="28"/>
      <c r="O46987" s="28"/>
      <c r="U46987" s="28"/>
    </row>
    <row r="46988">
      <c r="N46988" s="28"/>
      <c r="O46988" s="28"/>
      <c r="U46988" s="28"/>
    </row>
    <row r="46989">
      <c r="N46989" s="28"/>
      <c r="O46989" s="28"/>
      <c r="U46989" s="28"/>
    </row>
    <row r="46990">
      <c r="N46990" s="28"/>
      <c r="O46990" s="28"/>
      <c r="U46990" s="28"/>
    </row>
    <row r="46991">
      <c r="N46991" s="28"/>
      <c r="O46991" s="28"/>
      <c r="U46991" s="28"/>
    </row>
    <row r="46992">
      <c r="N46992" s="28"/>
      <c r="O46992" s="28"/>
      <c r="U46992" s="28"/>
    </row>
    <row r="46993">
      <c r="N46993" s="28"/>
      <c r="O46993" s="28"/>
      <c r="U46993" s="28"/>
    </row>
    <row r="46994">
      <c r="N46994" s="28"/>
      <c r="O46994" s="28"/>
      <c r="U46994" s="28"/>
    </row>
    <row r="46995">
      <c r="N46995" s="28"/>
      <c r="O46995" s="28"/>
      <c r="U46995" s="28"/>
    </row>
    <row r="46996">
      <c r="N46996" s="28"/>
      <c r="O46996" s="28"/>
      <c r="U46996" s="28"/>
    </row>
    <row r="46997">
      <c r="N46997" s="28"/>
      <c r="O46997" s="28"/>
      <c r="U46997" s="28"/>
    </row>
    <row r="46998">
      <c r="N46998" s="28"/>
      <c r="O46998" s="28"/>
      <c r="U46998" s="28"/>
    </row>
    <row r="46999">
      <c r="N46999" s="28"/>
      <c r="O46999" s="28"/>
      <c r="U46999" s="28"/>
    </row>
    <row r="47000">
      <c r="N47000" s="28"/>
      <c r="O47000" s="28"/>
      <c r="U47000" s="28"/>
    </row>
    <row r="47001">
      <c r="N47001" s="28"/>
      <c r="O47001" s="28"/>
      <c r="U47001" s="28"/>
    </row>
    <row r="47002">
      <c r="N47002" s="28"/>
      <c r="O47002" s="28"/>
      <c r="U47002" s="28"/>
    </row>
    <row r="47003">
      <c r="N47003" s="28"/>
      <c r="O47003" s="28"/>
      <c r="U47003" s="28"/>
    </row>
    <row r="47004">
      <c r="N47004" s="28"/>
      <c r="O47004" s="28"/>
      <c r="U47004" s="28"/>
    </row>
    <row r="47005">
      <c r="N47005" s="28"/>
      <c r="O47005" s="28"/>
      <c r="U47005" s="28"/>
    </row>
    <row r="47006">
      <c r="N47006" s="28"/>
      <c r="O47006" s="28"/>
      <c r="U47006" s="28"/>
    </row>
    <row r="47007">
      <c r="N47007" s="28"/>
      <c r="O47007" s="28"/>
      <c r="U47007" s="28"/>
    </row>
    <row r="47008">
      <c r="N47008" s="28"/>
      <c r="O47008" s="28"/>
      <c r="U47008" s="28"/>
    </row>
    <row r="47009">
      <c r="N47009" s="28"/>
      <c r="O47009" s="28"/>
      <c r="U47009" s="28"/>
    </row>
    <row r="47010">
      <c r="N47010" s="28"/>
      <c r="O47010" s="28"/>
      <c r="U47010" s="28"/>
    </row>
    <row r="47011">
      <c r="N47011" s="28"/>
      <c r="O47011" s="28"/>
      <c r="U47011" s="28"/>
    </row>
    <row r="47012">
      <c r="N47012" s="28"/>
      <c r="O47012" s="28"/>
      <c r="U47012" s="28"/>
    </row>
    <row r="47013">
      <c r="N47013" s="28"/>
      <c r="O47013" s="28"/>
      <c r="U47013" s="28"/>
    </row>
    <row r="47014">
      <c r="N47014" s="28"/>
      <c r="O47014" s="28"/>
      <c r="U47014" s="28"/>
    </row>
    <row r="47015">
      <c r="N47015" s="28"/>
      <c r="O47015" s="28"/>
      <c r="U47015" s="28"/>
    </row>
    <row r="47016">
      <c r="N47016" s="28"/>
      <c r="O47016" s="28"/>
      <c r="U47016" s="28"/>
    </row>
    <row r="47017">
      <c r="N47017" s="28"/>
      <c r="O47017" s="28"/>
      <c r="U47017" s="28"/>
    </row>
    <row r="47018">
      <c r="N47018" s="28"/>
      <c r="O47018" s="28"/>
      <c r="U47018" s="28"/>
    </row>
    <row r="47019">
      <c r="N47019" s="28"/>
      <c r="O47019" s="28"/>
      <c r="U47019" s="28"/>
    </row>
    <row r="47020">
      <c r="N47020" s="28"/>
      <c r="O47020" s="28"/>
      <c r="U47020" s="28"/>
    </row>
    <row r="47021">
      <c r="N47021" s="28"/>
      <c r="O47021" s="28"/>
      <c r="U47021" s="28"/>
    </row>
    <row r="47022">
      <c r="N47022" s="28"/>
      <c r="O47022" s="28"/>
      <c r="U47022" s="28"/>
    </row>
    <row r="47023">
      <c r="N47023" s="28"/>
      <c r="O47023" s="28"/>
      <c r="U47023" s="28"/>
    </row>
    <row r="47024">
      <c r="N47024" s="28"/>
      <c r="O47024" s="28"/>
      <c r="U47024" s="28"/>
    </row>
    <row r="47025">
      <c r="N47025" s="28"/>
      <c r="O47025" s="28"/>
      <c r="U47025" s="28"/>
    </row>
    <row r="47026">
      <c r="N47026" s="28"/>
      <c r="O47026" s="28"/>
      <c r="U47026" s="28"/>
    </row>
    <row r="47027">
      <c r="N47027" s="28"/>
      <c r="O47027" s="28"/>
      <c r="U47027" s="28"/>
    </row>
    <row r="47028">
      <c r="N47028" s="28"/>
      <c r="O47028" s="28"/>
      <c r="U47028" s="28"/>
    </row>
    <row r="47029">
      <c r="N47029" s="28"/>
      <c r="O47029" s="28"/>
      <c r="U47029" s="28"/>
    </row>
    <row r="47030">
      <c r="N47030" s="28"/>
      <c r="O47030" s="28"/>
      <c r="U47030" s="28"/>
    </row>
    <row r="47031">
      <c r="N47031" s="28"/>
      <c r="O47031" s="28"/>
      <c r="U47031" s="28"/>
    </row>
    <row r="47032">
      <c r="N47032" s="28"/>
      <c r="O47032" s="28"/>
      <c r="U47032" s="28"/>
    </row>
    <row r="47033">
      <c r="N47033" s="28"/>
      <c r="O47033" s="28"/>
      <c r="U47033" s="28"/>
    </row>
    <row r="47034">
      <c r="N47034" s="28"/>
      <c r="O47034" s="28"/>
      <c r="U47034" s="28"/>
    </row>
    <row r="47035">
      <c r="N47035" s="28"/>
      <c r="O47035" s="28"/>
      <c r="U47035" s="28"/>
    </row>
    <row r="47036">
      <c r="N47036" s="28"/>
      <c r="O47036" s="28"/>
      <c r="U47036" s="28"/>
    </row>
    <row r="47037">
      <c r="N47037" s="28"/>
      <c r="O47037" s="28"/>
      <c r="U47037" s="28"/>
    </row>
    <row r="47038">
      <c r="N47038" s="28"/>
      <c r="O47038" s="28"/>
      <c r="U47038" s="28"/>
    </row>
    <row r="47039">
      <c r="N47039" s="28"/>
      <c r="O47039" s="28"/>
      <c r="U47039" s="28"/>
    </row>
    <row r="47040">
      <c r="N47040" s="28"/>
      <c r="O47040" s="28"/>
      <c r="U47040" s="28"/>
    </row>
    <row r="47041">
      <c r="N47041" s="28"/>
      <c r="O47041" s="28"/>
      <c r="U47041" s="28"/>
    </row>
    <row r="47042">
      <c r="N47042" s="28"/>
      <c r="O47042" s="28"/>
      <c r="U47042" s="28"/>
    </row>
    <row r="47043">
      <c r="N47043" s="28"/>
      <c r="O47043" s="28"/>
      <c r="U47043" s="28"/>
    </row>
    <row r="47044">
      <c r="N47044" s="28"/>
      <c r="O47044" s="28"/>
      <c r="U47044" s="28"/>
    </row>
    <row r="47045">
      <c r="N47045" s="28"/>
      <c r="O47045" s="28"/>
      <c r="U47045" s="28"/>
    </row>
    <row r="47046">
      <c r="N47046" s="28"/>
      <c r="O47046" s="28"/>
      <c r="U47046" s="28"/>
    </row>
    <row r="47047">
      <c r="N47047" s="28"/>
      <c r="O47047" s="28"/>
      <c r="U47047" s="28"/>
    </row>
    <row r="47048">
      <c r="N47048" s="28"/>
      <c r="O47048" s="28"/>
      <c r="U47048" s="28"/>
    </row>
    <row r="47049">
      <c r="N47049" s="28"/>
      <c r="O47049" s="28"/>
      <c r="U47049" s="28"/>
    </row>
    <row r="47050">
      <c r="N47050" s="28"/>
      <c r="O47050" s="28"/>
      <c r="U47050" s="28"/>
    </row>
    <row r="47051">
      <c r="N47051" s="28"/>
      <c r="O47051" s="28"/>
      <c r="U47051" s="28"/>
    </row>
    <row r="47052">
      <c r="N47052" s="28"/>
      <c r="O47052" s="28"/>
      <c r="U47052" s="28"/>
    </row>
    <row r="47053">
      <c r="N47053" s="28"/>
      <c r="O47053" s="28"/>
      <c r="U47053" s="28"/>
    </row>
    <row r="47054">
      <c r="N47054" s="28"/>
      <c r="O47054" s="28"/>
      <c r="U47054" s="28"/>
    </row>
    <row r="47055">
      <c r="N47055" s="28"/>
      <c r="O47055" s="28"/>
      <c r="U47055" s="28"/>
    </row>
    <row r="47056">
      <c r="N47056" s="28"/>
      <c r="O47056" s="28"/>
      <c r="U47056" s="28"/>
    </row>
    <row r="47057">
      <c r="N47057" s="28"/>
      <c r="O47057" s="28"/>
      <c r="U47057" s="28"/>
    </row>
    <row r="47058">
      <c r="N47058" s="28"/>
      <c r="O47058" s="28"/>
      <c r="U47058" s="28"/>
    </row>
    <row r="47059">
      <c r="N47059" s="28"/>
      <c r="O47059" s="28"/>
      <c r="U47059" s="28"/>
    </row>
    <row r="47060">
      <c r="N47060" s="28"/>
      <c r="O47060" s="28"/>
      <c r="U47060" s="28"/>
    </row>
    <row r="47061">
      <c r="N47061" s="28"/>
      <c r="O47061" s="28"/>
      <c r="U47061" s="28"/>
    </row>
    <row r="47062">
      <c r="N47062" s="28"/>
      <c r="O47062" s="28"/>
      <c r="U47062" s="28"/>
    </row>
    <row r="47063">
      <c r="N47063" s="28"/>
      <c r="O47063" s="28"/>
      <c r="U47063" s="28"/>
    </row>
    <row r="47064">
      <c r="N47064" s="28"/>
      <c r="O47064" s="28"/>
      <c r="U47064" s="28"/>
    </row>
    <row r="47065">
      <c r="N47065" s="28"/>
      <c r="O47065" s="28"/>
      <c r="U47065" s="28"/>
    </row>
    <row r="47066">
      <c r="N47066" s="28"/>
      <c r="O47066" s="28"/>
      <c r="U47066" s="28"/>
    </row>
    <row r="47067">
      <c r="N47067" s="28"/>
      <c r="O47067" s="28"/>
      <c r="U47067" s="28"/>
    </row>
    <row r="47068">
      <c r="N47068" s="28"/>
      <c r="O47068" s="28"/>
      <c r="U47068" s="28"/>
    </row>
    <row r="47069">
      <c r="N47069" s="28"/>
      <c r="O47069" s="28"/>
      <c r="U47069" s="28"/>
    </row>
    <row r="47070">
      <c r="N47070" s="28"/>
      <c r="O47070" s="28"/>
      <c r="U47070" s="28"/>
    </row>
    <row r="47071">
      <c r="N47071" s="28"/>
      <c r="O47071" s="28"/>
      <c r="U47071" s="28"/>
    </row>
    <row r="47072">
      <c r="N47072" s="28"/>
      <c r="O47072" s="28"/>
      <c r="U47072" s="28"/>
    </row>
    <row r="47073">
      <c r="N47073" s="28"/>
      <c r="O47073" s="28"/>
      <c r="U47073" s="28"/>
    </row>
    <row r="47074">
      <c r="N47074" s="28"/>
      <c r="O47074" s="28"/>
      <c r="U47074" s="28"/>
    </row>
    <row r="47075">
      <c r="N47075" s="28"/>
      <c r="O47075" s="28"/>
      <c r="U47075" s="28"/>
    </row>
    <row r="47076">
      <c r="N47076" s="28"/>
      <c r="O47076" s="28"/>
      <c r="U47076" s="28"/>
    </row>
    <row r="47077">
      <c r="N47077" s="28"/>
      <c r="O47077" s="28"/>
      <c r="U47077" s="28"/>
    </row>
    <row r="47078">
      <c r="N47078" s="28"/>
      <c r="O47078" s="28"/>
      <c r="U47078" s="28"/>
    </row>
    <row r="47079">
      <c r="N47079" s="28"/>
      <c r="O47079" s="28"/>
      <c r="U47079" s="28"/>
    </row>
    <row r="47080">
      <c r="N47080" s="28"/>
      <c r="O47080" s="28"/>
      <c r="U47080" s="28"/>
    </row>
    <row r="47081">
      <c r="N47081" s="28"/>
      <c r="O47081" s="28"/>
      <c r="U47081" s="28"/>
    </row>
    <row r="47082">
      <c r="N47082" s="28"/>
      <c r="O47082" s="28"/>
      <c r="U47082" s="28"/>
    </row>
    <row r="47083">
      <c r="N47083" s="28"/>
      <c r="O47083" s="28"/>
      <c r="U47083" s="28"/>
    </row>
    <row r="47084">
      <c r="N47084" s="28"/>
      <c r="O47084" s="28"/>
      <c r="U47084" s="28"/>
    </row>
    <row r="47085">
      <c r="N47085" s="28"/>
      <c r="O47085" s="28"/>
      <c r="U47085" s="28"/>
    </row>
    <row r="47086">
      <c r="N47086" s="28"/>
      <c r="O47086" s="28"/>
      <c r="U47086" s="28"/>
    </row>
    <row r="47087">
      <c r="N47087" s="28"/>
      <c r="O47087" s="28"/>
      <c r="U47087" s="28"/>
    </row>
    <row r="47088">
      <c r="N47088" s="28"/>
      <c r="O47088" s="28"/>
      <c r="U47088" s="28"/>
    </row>
    <row r="47089">
      <c r="N47089" s="28"/>
      <c r="O47089" s="28"/>
      <c r="U47089" s="28"/>
    </row>
    <row r="47090">
      <c r="N47090" s="28"/>
      <c r="O47090" s="28"/>
      <c r="U47090" s="28"/>
    </row>
    <row r="47091">
      <c r="N47091" s="28"/>
      <c r="O47091" s="28"/>
      <c r="U47091" s="28"/>
    </row>
    <row r="47092">
      <c r="N47092" s="28"/>
      <c r="O47092" s="28"/>
      <c r="U47092" s="28"/>
    </row>
    <row r="47093">
      <c r="N47093" s="28"/>
      <c r="O47093" s="28"/>
      <c r="U47093" s="28"/>
    </row>
    <row r="47094">
      <c r="N47094" s="28"/>
      <c r="O47094" s="28"/>
      <c r="U47094" s="28"/>
    </row>
    <row r="47095">
      <c r="N47095" s="28"/>
      <c r="O47095" s="28"/>
      <c r="U47095" s="28"/>
    </row>
    <row r="47096">
      <c r="N47096" s="28"/>
      <c r="O47096" s="28"/>
      <c r="U47096" s="28"/>
    </row>
    <row r="47097">
      <c r="N47097" s="28"/>
      <c r="O47097" s="28"/>
      <c r="U47097" s="28"/>
    </row>
    <row r="47098">
      <c r="N47098" s="28"/>
      <c r="O47098" s="28"/>
      <c r="U47098" s="28"/>
    </row>
    <row r="47099">
      <c r="N47099" s="28"/>
      <c r="O47099" s="28"/>
      <c r="U47099" s="28"/>
    </row>
    <row r="47100">
      <c r="N47100" s="28"/>
      <c r="O47100" s="28"/>
      <c r="U47100" s="28"/>
    </row>
    <row r="47101">
      <c r="N47101" s="28"/>
      <c r="O47101" s="28"/>
      <c r="U47101" s="28"/>
    </row>
    <row r="47102">
      <c r="N47102" s="28"/>
      <c r="O47102" s="28"/>
      <c r="U47102" s="28"/>
    </row>
    <row r="47103">
      <c r="N47103" s="28"/>
      <c r="O47103" s="28"/>
      <c r="U47103" s="28"/>
    </row>
    <row r="47104">
      <c r="N47104" s="28"/>
      <c r="O47104" s="28"/>
      <c r="U47104" s="28"/>
    </row>
    <row r="47105">
      <c r="N47105" s="28"/>
      <c r="O47105" s="28"/>
      <c r="U47105" s="28"/>
    </row>
    <row r="47106">
      <c r="N47106" s="28"/>
      <c r="O47106" s="28"/>
      <c r="U47106" s="28"/>
    </row>
    <row r="47107">
      <c r="N47107" s="28"/>
      <c r="O47107" s="28"/>
      <c r="U47107" s="28"/>
    </row>
    <row r="47108">
      <c r="N47108" s="28"/>
      <c r="O47108" s="28"/>
      <c r="U47108" s="28"/>
    </row>
    <row r="47109">
      <c r="N47109" s="28"/>
      <c r="O47109" s="28"/>
      <c r="U47109" s="28"/>
    </row>
    <row r="47110">
      <c r="N47110" s="28"/>
      <c r="O47110" s="28"/>
      <c r="U47110" s="28"/>
    </row>
    <row r="47111">
      <c r="N47111" s="28"/>
      <c r="O47111" s="28"/>
      <c r="U47111" s="28"/>
    </row>
    <row r="47112">
      <c r="N47112" s="28"/>
      <c r="O47112" s="28"/>
      <c r="U47112" s="28"/>
    </row>
    <row r="47113">
      <c r="N47113" s="28"/>
      <c r="O47113" s="28"/>
      <c r="U47113" s="28"/>
    </row>
    <row r="47114">
      <c r="N47114" s="28"/>
      <c r="O47114" s="28"/>
      <c r="U47114" s="28"/>
    </row>
    <row r="47115">
      <c r="N47115" s="28"/>
      <c r="O47115" s="28"/>
      <c r="U47115" s="28"/>
    </row>
    <row r="47116">
      <c r="N47116" s="28"/>
      <c r="O47116" s="28"/>
      <c r="U47116" s="28"/>
    </row>
    <row r="47117">
      <c r="N47117" s="28"/>
      <c r="O47117" s="28"/>
      <c r="U47117" s="28"/>
    </row>
    <row r="47118">
      <c r="N47118" s="28"/>
      <c r="O47118" s="28"/>
      <c r="U47118" s="28"/>
    </row>
    <row r="47119">
      <c r="N47119" s="28"/>
      <c r="O47119" s="28"/>
      <c r="U47119" s="28"/>
    </row>
    <row r="47120">
      <c r="N47120" s="28"/>
      <c r="O47120" s="28"/>
      <c r="U47120" s="28"/>
    </row>
    <row r="47121">
      <c r="N47121" s="28"/>
      <c r="O47121" s="28"/>
      <c r="U47121" s="28"/>
    </row>
    <row r="47122">
      <c r="N47122" s="28"/>
      <c r="O47122" s="28"/>
      <c r="U47122" s="28"/>
    </row>
    <row r="47123">
      <c r="N47123" s="28"/>
      <c r="O47123" s="28"/>
      <c r="U47123" s="28"/>
    </row>
    <row r="47124">
      <c r="N47124" s="28"/>
      <c r="O47124" s="28"/>
      <c r="U47124" s="28"/>
    </row>
    <row r="47125">
      <c r="N47125" s="28"/>
      <c r="O47125" s="28"/>
      <c r="U47125" s="28"/>
    </row>
    <row r="47126">
      <c r="N47126" s="28"/>
      <c r="O47126" s="28"/>
      <c r="U47126" s="28"/>
    </row>
    <row r="47127">
      <c r="N47127" s="28"/>
      <c r="O47127" s="28"/>
      <c r="U47127" s="28"/>
    </row>
    <row r="47128">
      <c r="N47128" s="28"/>
      <c r="O47128" s="28"/>
      <c r="U47128" s="28"/>
    </row>
    <row r="47129">
      <c r="N47129" s="28"/>
      <c r="O47129" s="28"/>
      <c r="U47129" s="28"/>
    </row>
    <row r="47130">
      <c r="N47130" s="28"/>
      <c r="O47130" s="28"/>
      <c r="U47130" s="28"/>
    </row>
    <row r="47131">
      <c r="N47131" s="28"/>
      <c r="O47131" s="28"/>
      <c r="U47131" s="28"/>
    </row>
    <row r="47132">
      <c r="N47132" s="28"/>
      <c r="O47132" s="28"/>
      <c r="U47132" s="28"/>
    </row>
    <row r="47133">
      <c r="N47133" s="28"/>
      <c r="O47133" s="28"/>
      <c r="U47133" s="28"/>
    </row>
    <row r="47134">
      <c r="N47134" s="28"/>
      <c r="O47134" s="28"/>
      <c r="U47134" s="28"/>
    </row>
    <row r="47135">
      <c r="N47135" s="28"/>
      <c r="O47135" s="28"/>
      <c r="U47135" s="28"/>
    </row>
    <row r="47136">
      <c r="N47136" s="28"/>
      <c r="O47136" s="28"/>
      <c r="U47136" s="28"/>
    </row>
    <row r="47137">
      <c r="N47137" s="28"/>
      <c r="O47137" s="28"/>
      <c r="U47137" s="28"/>
    </row>
    <row r="47138">
      <c r="N47138" s="28"/>
      <c r="O47138" s="28"/>
      <c r="U47138" s="28"/>
    </row>
    <row r="47139">
      <c r="N47139" s="28"/>
      <c r="O47139" s="28"/>
      <c r="U47139" s="28"/>
    </row>
    <row r="47140">
      <c r="N47140" s="28"/>
      <c r="O47140" s="28"/>
      <c r="U47140" s="28"/>
    </row>
    <row r="47141">
      <c r="N47141" s="28"/>
      <c r="O47141" s="28"/>
      <c r="U47141" s="28"/>
    </row>
    <row r="47142">
      <c r="N47142" s="28"/>
      <c r="O47142" s="28"/>
      <c r="U47142" s="28"/>
    </row>
    <row r="47143">
      <c r="N47143" s="28"/>
      <c r="O47143" s="28"/>
      <c r="U47143" s="28"/>
    </row>
    <row r="47144">
      <c r="N47144" s="28"/>
      <c r="O47144" s="28"/>
      <c r="U47144" s="28"/>
    </row>
    <row r="47145">
      <c r="N47145" s="28"/>
      <c r="O47145" s="28"/>
      <c r="U47145" s="28"/>
    </row>
    <row r="47146">
      <c r="N47146" s="28"/>
      <c r="O47146" s="28"/>
      <c r="U47146" s="28"/>
    </row>
    <row r="47147">
      <c r="N47147" s="28"/>
      <c r="O47147" s="28"/>
      <c r="U47147" s="28"/>
    </row>
    <row r="47148">
      <c r="N47148" s="28"/>
      <c r="O47148" s="28"/>
      <c r="U47148" s="28"/>
    </row>
    <row r="47149">
      <c r="N47149" s="28"/>
      <c r="O47149" s="28"/>
      <c r="U47149" s="28"/>
    </row>
    <row r="47150">
      <c r="N47150" s="28"/>
      <c r="O47150" s="28"/>
      <c r="U47150" s="28"/>
    </row>
    <row r="47151">
      <c r="N47151" s="28"/>
      <c r="O47151" s="28"/>
      <c r="U47151" s="28"/>
    </row>
    <row r="47152">
      <c r="N47152" s="28"/>
      <c r="O47152" s="28"/>
      <c r="U47152" s="28"/>
    </row>
    <row r="47153">
      <c r="N47153" s="28"/>
      <c r="O47153" s="28"/>
      <c r="U47153" s="28"/>
    </row>
    <row r="47154">
      <c r="N47154" s="28"/>
      <c r="O47154" s="28"/>
      <c r="U47154" s="28"/>
    </row>
    <row r="47155">
      <c r="N47155" s="28"/>
      <c r="O47155" s="28"/>
      <c r="U47155" s="28"/>
    </row>
    <row r="47156">
      <c r="N47156" s="28"/>
      <c r="O47156" s="28"/>
      <c r="U47156" s="28"/>
    </row>
    <row r="47157">
      <c r="N47157" s="28"/>
      <c r="O47157" s="28"/>
      <c r="U47157" s="28"/>
    </row>
    <row r="47158">
      <c r="N47158" s="28"/>
      <c r="O47158" s="28"/>
      <c r="U47158" s="28"/>
    </row>
    <row r="47159">
      <c r="N47159" s="28"/>
      <c r="O47159" s="28"/>
      <c r="U47159" s="28"/>
    </row>
    <row r="47160">
      <c r="N47160" s="28"/>
      <c r="O47160" s="28"/>
      <c r="U47160" s="28"/>
    </row>
    <row r="47161">
      <c r="N47161" s="28"/>
      <c r="O47161" s="28"/>
      <c r="U47161" s="28"/>
    </row>
    <row r="47162">
      <c r="N47162" s="28"/>
      <c r="O47162" s="28"/>
      <c r="U47162" s="28"/>
    </row>
    <row r="47163">
      <c r="N47163" s="28"/>
      <c r="O47163" s="28"/>
      <c r="U47163" s="28"/>
    </row>
    <row r="47164">
      <c r="N47164" s="28"/>
      <c r="O47164" s="28"/>
      <c r="U47164" s="28"/>
    </row>
    <row r="47165">
      <c r="N47165" s="28"/>
      <c r="O47165" s="28"/>
      <c r="U47165" s="28"/>
    </row>
    <row r="47166">
      <c r="N47166" s="28"/>
      <c r="O47166" s="28"/>
      <c r="U47166" s="28"/>
    </row>
    <row r="47167">
      <c r="N47167" s="28"/>
      <c r="O47167" s="28"/>
      <c r="U47167" s="28"/>
    </row>
    <row r="47168">
      <c r="N47168" s="28"/>
      <c r="O47168" s="28"/>
      <c r="U47168" s="28"/>
    </row>
    <row r="47169">
      <c r="N47169" s="28"/>
      <c r="O47169" s="28"/>
      <c r="U47169" s="28"/>
    </row>
    <row r="47170">
      <c r="N47170" s="28"/>
      <c r="O47170" s="28"/>
      <c r="U47170" s="28"/>
    </row>
    <row r="47171">
      <c r="N47171" s="28"/>
      <c r="O47171" s="28"/>
      <c r="U47171" s="28"/>
    </row>
    <row r="47172">
      <c r="N47172" s="28"/>
      <c r="O47172" s="28"/>
      <c r="U47172" s="28"/>
    </row>
    <row r="47173">
      <c r="N47173" s="28"/>
      <c r="O47173" s="28"/>
      <c r="U47173" s="28"/>
    </row>
    <row r="47174">
      <c r="N47174" s="28"/>
      <c r="O47174" s="28"/>
      <c r="U47174" s="28"/>
    </row>
    <row r="47175">
      <c r="N47175" s="28"/>
      <c r="O47175" s="28"/>
      <c r="U47175" s="28"/>
    </row>
    <row r="47176">
      <c r="N47176" s="28"/>
      <c r="O47176" s="28"/>
      <c r="U47176" s="28"/>
    </row>
    <row r="47177">
      <c r="N47177" s="28"/>
      <c r="O47177" s="28"/>
      <c r="U47177" s="28"/>
    </row>
    <row r="47178">
      <c r="N47178" s="28"/>
      <c r="O47178" s="28"/>
      <c r="U47178" s="28"/>
    </row>
    <row r="47179">
      <c r="N47179" s="28"/>
      <c r="O47179" s="28"/>
      <c r="U47179" s="28"/>
    </row>
    <row r="47180">
      <c r="N47180" s="28"/>
      <c r="O47180" s="28"/>
      <c r="U47180" s="28"/>
    </row>
    <row r="47181">
      <c r="N47181" s="28"/>
      <c r="O47181" s="28"/>
      <c r="U47181" s="28"/>
    </row>
    <row r="47182">
      <c r="N47182" s="28"/>
      <c r="O47182" s="28"/>
      <c r="U47182" s="28"/>
    </row>
    <row r="47183">
      <c r="N47183" s="28"/>
      <c r="O47183" s="28"/>
      <c r="U47183" s="28"/>
    </row>
    <row r="47184">
      <c r="N47184" s="28"/>
      <c r="O47184" s="28"/>
      <c r="U47184" s="28"/>
    </row>
    <row r="47185">
      <c r="N47185" s="28"/>
      <c r="O47185" s="28"/>
      <c r="U47185" s="28"/>
    </row>
    <row r="47186">
      <c r="N47186" s="28"/>
      <c r="O47186" s="28"/>
      <c r="U47186" s="28"/>
    </row>
    <row r="47187">
      <c r="N47187" s="28"/>
      <c r="O47187" s="28"/>
      <c r="U47187" s="28"/>
    </row>
    <row r="47188">
      <c r="N47188" s="28"/>
      <c r="O47188" s="28"/>
      <c r="U47188" s="28"/>
    </row>
    <row r="47189">
      <c r="N47189" s="28"/>
      <c r="O47189" s="28"/>
      <c r="U47189" s="28"/>
    </row>
    <row r="47190">
      <c r="N47190" s="28"/>
      <c r="O47190" s="28"/>
      <c r="U47190" s="28"/>
    </row>
    <row r="47191">
      <c r="N47191" s="28"/>
      <c r="O47191" s="28"/>
      <c r="U47191" s="28"/>
    </row>
    <row r="47192">
      <c r="N47192" s="28"/>
      <c r="O47192" s="28"/>
      <c r="U47192" s="28"/>
    </row>
    <row r="47193">
      <c r="N47193" s="28"/>
      <c r="O47193" s="28"/>
      <c r="U47193" s="28"/>
    </row>
    <row r="47194">
      <c r="N47194" s="28"/>
      <c r="O47194" s="28"/>
      <c r="U47194" s="28"/>
    </row>
    <row r="47195">
      <c r="N47195" s="28"/>
      <c r="O47195" s="28"/>
      <c r="U47195" s="28"/>
    </row>
    <row r="47196">
      <c r="N47196" s="28"/>
      <c r="O47196" s="28"/>
      <c r="U47196" s="28"/>
    </row>
    <row r="47197">
      <c r="N47197" s="28"/>
      <c r="O47197" s="28"/>
      <c r="U47197" s="28"/>
    </row>
    <row r="47198">
      <c r="N47198" s="28"/>
      <c r="O47198" s="28"/>
      <c r="U47198" s="28"/>
    </row>
    <row r="47199">
      <c r="N47199" s="28"/>
      <c r="O47199" s="28"/>
      <c r="U47199" s="28"/>
    </row>
    <row r="47200">
      <c r="N47200" s="28"/>
      <c r="O47200" s="28"/>
      <c r="U47200" s="28"/>
    </row>
    <row r="47201">
      <c r="N47201" s="28"/>
      <c r="O47201" s="28"/>
      <c r="U47201" s="28"/>
    </row>
    <row r="47202">
      <c r="N47202" s="28"/>
      <c r="O47202" s="28"/>
      <c r="U47202" s="28"/>
    </row>
    <row r="47203">
      <c r="N47203" s="28"/>
      <c r="O47203" s="28"/>
      <c r="U47203" s="28"/>
    </row>
    <row r="47204">
      <c r="N47204" s="28"/>
      <c r="O47204" s="28"/>
      <c r="U47204" s="28"/>
    </row>
    <row r="47205">
      <c r="N47205" s="28"/>
      <c r="O47205" s="28"/>
      <c r="U47205" s="28"/>
    </row>
    <row r="47206">
      <c r="N47206" s="28"/>
      <c r="O47206" s="28"/>
      <c r="U47206" s="28"/>
    </row>
    <row r="47207">
      <c r="N47207" s="28"/>
      <c r="O47207" s="28"/>
      <c r="U47207" s="28"/>
    </row>
    <row r="47208">
      <c r="N47208" s="28"/>
      <c r="O47208" s="28"/>
      <c r="U47208" s="28"/>
    </row>
    <row r="47209">
      <c r="N47209" s="28"/>
      <c r="O47209" s="28"/>
      <c r="U47209" s="28"/>
    </row>
    <row r="47210">
      <c r="N47210" s="28"/>
      <c r="O47210" s="28"/>
      <c r="U47210" s="28"/>
    </row>
    <row r="47211">
      <c r="N47211" s="28"/>
      <c r="O47211" s="28"/>
      <c r="U47211" s="28"/>
    </row>
    <row r="47212">
      <c r="N47212" s="28"/>
      <c r="O47212" s="28"/>
      <c r="U47212" s="28"/>
    </row>
    <row r="47213">
      <c r="N47213" s="28"/>
      <c r="O47213" s="28"/>
      <c r="U47213" s="28"/>
    </row>
    <row r="47214">
      <c r="N47214" s="28"/>
      <c r="O47214" s="28"/>
      <c r="U47214" s="28"/>
    </row>
    <row r="47215">
      <c r="N47215" s="28"/>
      <c r="O47215" s="28"/>
      <c r="U47215" s="28"/>
    </row>
    <row r="47216">
      <c r="N47216" s="28"/>
      <c r="O47216" s="28"/>
      <c r="U47216" s="28"/>
    </row>
    <row r="47217">
      <c r="N47217" s="28"/>
      <c r="O47217" s="28"/>
      <c r="U47217" s="28"/>
    </row>
    <row r="47218">
      <c r="N47218" s="28"/>
      <c r="O47218" s="28"/>
      <c r="U47218" s="28"/>
    </row>
    <row r="47219">
      <c r="N47219" s="28"/>
      <c r="O47219" s="28"/>
      <c r="U47219" s="28"/>
    </row>
    <row r="47220">
      <c r="N47220" s="28"/>
      <c r="O47220" s="28"/>
      <c r="U47220" s="28"/>
    </row>
    <row r="47221">
      <c r="N47221" s="28"/>
      <c r="O47221" s="28"/>
      <c r="U47221" s="28"/>
    </row>
    <row r="47222">
      <c r="N47222" s="28"/>
      <c r="O47222" s="28"/>
      <c r="U47222" s="28"/>
    </row>
    <row r="47223">
      <c r="N47223" s="28"/>
      <c r="O47223" s="28"/>
      <c r="U47223" s="28"/>
    </row>
    <row r="47224">
      <c r="N47224" s="28"/>
      <c r="O47224" s="28"/>
      <c r="U47224" s="28"/>
    </row>
    <row r="47225">
      <c r="N47225" s="28"/>
      <c r="O47225" s="28"/>
      <c r="U47225" s="28"/>
    </row>
    <row r="47226">
      <c r="N47226" s="28"/>
      <c r="O47226" s="28"/>
      <c r="U47226" s="28"/>
    </row>
    <row r="47227">
      <c r="N47227" s="28"/>
      <c r="O47227" s="28"/>
      <c r="U47227" s="28"/>
    </row>
    <row r="47228">
      <c r="N47228" s="28"/>
      <c r="O47228" s="28"/>
      <c r="U47228" s="28"/>
    </row>
    <row r="47229">
      <c r="N47229" s="28"/>
      <c r="O47229" s="28"/>
      <c r="U47229" s="28"/>
    </row>
    <row r="47230">
      <c r="N47230" s="28"/>
      <c r="O47230" s="28"/>
      <c r="U47230" s="28"/>
    </row>
    <row r="47231">
      <c r="N47231" s="28"/>
      <c r="O47231" s="28"/>
      <c r="U47231" s="28"/>
    </row>
    <row r="47232">
      <c r="N47232" s="28"/>
      <c r="O47232" s="28"/>
      <c r="U47232" s="28"/>
    </row>
    <row r="47233">
      <c r="N47233" s="28"/>
      <c r="O47233" s="28"/>
      <c r="U47233" s="28"/>
    </row>
    <row r="47234">
      <c r="N47234" s="28"/>
      <c r="O47234" s="28"/>
      <c r="U47234" s="28"/>
    </row>
    <row r="47235">
      <c r="N47235" s="28"/>
      <c r="O47235" s="28"/>
      <c r="U47235" s="28"/>
    </row>
    <row r="47236">
      <c r="N47236" s="28"/>
      <c r="O47236" s="28"/>
      <c r="U47236" s="28"/>
    </row>
    <row r="47237">
      <c r="N47237" s="28"/>
      <c r="O47237" s="28"/>
      <c r="U47237" s="28"/>
    </row>
    <row r="47238">
      <c r="N47238" s="28"/>
      <c r="O47238" s="28"/>
      <c r="U47238" s="28"/>
    </row>
    <row r="47239">
      <c r="N47239" s="28"/>
      <c r="O47239" s="28"/>
      <c r="U47239" s="28"/>
    </row>
    <row r="47240">
      <c r="N47240" s="28"/>
      <c r="O47240" s="28"/>
      <c r="U47240" s="28"/>
    </row>
    <row r="47241">
      <c r="N47241" s="28"/>
      <c r="O47241" s="28"/>
      <c r="U47241" s="28"/>
    </row>
    <row r="47242">
      <c r="N47242" s="28"/>
      <c r="O47242" s="28"/>
      <c r="U47242" s="28"/>
    </row>
    <row r="47243">
      <c r="N47243" s="28"/>
      <c r="O47243" s="28"/>
      <c r="U47243" s="28"/>
    </row>
    <row r="47244">
      <c r="N47244" s="28"/>
      <c r="O47244" s="28"/>
      <c r="U47244" s="28"/>
    </row>
    <row r="47245">
      <c r="N47245" s="28"/>
      <c r="O47245" s="28"/>
      <c r="U47245" s="28"/>
    </row>
    <row r="47246">
      <c r="N47246" s="28"/>
      <c r="O47246" s="28"/>
      <c r="U47246" s="28"/>
    </row>
    <row r="47247">
      <c r="N47247" s="28"/>
      <c r="O47247" s="28"/>
      <c r="U47247" s="28"/>
    </row>
    <row r="47248">
      <c r="N47248" s="28"/>
      <c r="O47248" s="28"/>
      <c r="U47248" s="28"/>
    </row>
    <row r="47249">
      <c r="N47249" s="28"/>
      <c r="O47249" s="28"/>
      <c r="U47249" s="28"/>
    </row>
    <row r="47250">
      <c r="N47250" s="28"/>
      <c r="O47250" s="28"/>
      <c r="U47250" s="28"/>
    </row>
    <row r="47251">
      <c r="N47251" s="28"/>
      <c r="O47251" s="28"/>
      <c r="U47251" s="28"/>
    </row>
    <row r="47252">
      <c r="N47252" s="28"/>
      <c r="O47252" s="28"/>
      <c r="U47252" s="28"/>
    </row>
    <row r="47253">
      <c r="N47253" s="28"/>
      <c r="O47253" s="28"/>
      <c r="U47253" s="28"/>
    </row>
    <row r="47254">
      <c r="N47254" s="28"/>
      <c r="O47254" s="28"/>
      <c r="U47254" s="28"/>
    </row>
    <row r="47255">
      <c r="N47255" s="28"/>
      <c r="O47255" s="28"/>
      <c r="U47255" s="28"/>
    </row>
    <row r="47256">
      <c r="N47256" s="28"/>
      <c r="O47256" s="28"/>
      <c r="U47256" s="28"/>
    </row>
    <row r="47257">
      <c r="N47257" s="28"/>
      <c r="O47257" s="28"/>
      <c r="U47257" s="28"/>
    </row>
    <row r="47258">
      <c r="N47258" s="28"/>
      <c r="O47258" s="28"/>
      <c r="U47258" s="28"/>
    </row>
    <row r="47259">
      <c r="N47259" s="28"/>
      <c r="O47259" s="28"/>
      <c r="U47259" s="28"/>
    </row>
    <row r="47260">
      <c r="N47260" s="28"/>
      <c r="O47260" s="28"/>
      <c r="U47260" s="28"/>
    </row>
    <row r="47261">
      <c r="N47261" s="28"/>
      <c r="O47261" s="28"/>
      <c r="U47261" s="28"/>
    </row>
    <row r="47262">
      <c r="N47262" s="28"/>
      <c r="O47262" s="28"/>
      <c r="U47262" s="28"/>
    </row>
    <row r="47263">
      <c r="N47263" s="28"/>
      <c r="O47263" s="28"/>
      <c r="U47263" s="28"/>
    </row>
    <row r="47264">
      <c r="N47264" s="28"/>
      <c r="O47264" s="28"/>
      <c r="U47264" s="28"/>
    </row>
    <row r="47265">
      <c r="N47265" s="28"/>
      <c r="O47265" s="28"/>
      <c r="U47265" s="28"/>
    </row>
    <row r="47266">
      <c r="N47266" s="28"/>
      <c r="O47266" s="28"/>
      <c r="U47266" s="28"/>
    </row>
    <row r="47267">
      <c r="N47267" s="28"/>
      <c r="O47267" s="28"/>
      <c r="U47267" s="28"/>
    </row>
    <row r="47268">
      <c r="N47268" s="28"/>
      <c r="O47268" s="28"/>
      <c r="U47268" s="28"/>
    </row>
    <row r="47269">
      <c r="N47269" s="28"/>
      <c r="O47269" s="28"/>
      <c r="U47269" s="28"/>
    </row>
    <row r="47270">
      <c r="N47270" s="28"/>
      <c r="O47270" s="28"/>
      <c r="U47270" s="28"/>
    </row>
    <row r="47271">
      <c r="N47271" s="28"/>
      <c r="O47271" s="28"/>
      <c r="U47271" s="28"/>
    </row>
    <row r="47272">
      <c r="N47272" s="28"/>
      <c r="O47272" s="28"/>
      <c r="U47272" s="28"/>
    </row>
    <row r="47273">
      <c r="N47273" s="28"/>
      <c r="O47273" s="28"/>
      <c r="U47273" s="28"/>
    </row>
    <row r="47274">
      <c r="N47274" s="28"/>
      <c r="O47274" s="28"/>
      <c r="U47274" s="28"/>
    </row>
    <row r="47275">
      <c r="N47275" s="28"/>
      <c r="O47275" s="28"/>
      <c r="U47275" s="28"/>
    </row>
    <row r="47276">
      <c r="N47276" s="28"/>
      <c r="O47276" s="28"/>
      <c r="U47276" s="28"/>
    </row>
    <row r="47277">
      <c r="N47277" s="28"/>
      <c r="O47277" s="28"/>
      <c r="U47277" s="28"/>
    </row>
    <row r="47278">
      <c r="N47278" s="28"/>
      <c r="O47278" s="28"/>
      <c r="U47278" s="28"/>
    </row>
    <row r="47279">
      <c r="N47279" s="28"/>
      <c r="O47279" s="28"/>
      <c r="U47279" s="28"/>
    </row>
    <row r="47280">
      <c r="N47280" s="28"/>
      <c r="O47280" s="28"/>
      <c r="U47280" s="28"/>
    </row>
    <row r="47281">
      <c r="N47281" s="28"/>
      <c r="O47281" s="28"/>
      <c r="U47281" s="28"/>
    </row>
    <row r="47282">
      <c r="N47282" s="28"/>
      <c r="O47282" s="28"/>
      <c r="U47282" s="28"/>
    </row>
    <row r="47283">
      <c r="N47283" s="28"/>
      <c r="O47283" s="28"/>
      <c r="U47283" s="28"/>
    </row>
    <row r="47284">
      <c r="N47284" s="28"/>
      <c r="O47284" s="28"/>
      <c r="U47284" s="28"/>
    </row>
    <row r="47285">
      <c r="N47285" s="28"/>
      <c r="O47285" s="28"/>
      <c r="U47285" s="28"/>
    </row>
    <row r="47286">
      <c r="N47286" s="28"/>
      <c r="O47286" s="28"/>
      <c r="U47286" s="28"/>
    </row>
    <row r="47287">
      <c r="N47287" s="28"/>
      <c r="O47287" s="28"/>
      <c r="U47287" s="28"/>
    </row>
    <row r="47288">
      <c r="N47288" s="28"/>
      <c r="O47288" s="28"/>
      <c r="U47288" s="28"/>
    </row>
    <row r="47289">
      <c r="N47289" s="28"/>
      <c r="O47289" s="28"/>
      <c r="U47289" s="28"/>
    </row>
    <row r="47290">
      <c r="N47290" s="28"/>
      <c r="O47290" s="28"/>
      <c r="U47290" s="28"/>
    </row>
    <row r="47291">
      <c r="N47291" s="28"/>
      <c r="O47291" s="28"/>
      <c r="U47291" s="28"/>
    </row>
    <row r="47292">
      <c r="N47292" s="28"/>
      <c r="O47292" s="28"/>
      <c r="U47292" s="28"/>
    </row>
    <row r="47293">
      <c r="N47293" s="28"/>
      <c r="O47293" s="28"/>
      <c r="U47293" s="28"/>
    </row>
    <row r="47294">
      <c r="N47294" s="28"/>
      <c r="O47294" s="28"/>
      <c r="U47294" s="28"/>
    </row>
    <row r="47295">
      <c r="N47295" s="28"/>
      <c r="O47295" s="28"/>
      <c r="U47295" s="28"/>
    </row>
    <row r="47296">
      <c r="N47296" s="28"/>
      <c r="O47296" s="28"/>
      <c r="U47296" s="28"/>
    </row>
    <row r="47297">
      <c r="N47297" s="28"/>
      <c r="O47297" s="28"/>
      <c r="U47297" s="28"/>
    </row>
    <row r="47298">
      <c r="N47298" s="28"/>
      <c r="O47298" s="28"/>
      <c r="U47298" s="28"/>
    </row>
    <row r="47299">
      <c r="N47299" s="28"/>
      <c r="O47299" s="28"/>
      <c r="U47299" s="28"/>
    </row>
    <row r="47300">
      <c r="N47300" s="28"/>
      <c r="O47300" s="28"/>
      <c r="U47300" s="28"/>
    </row>
    <row r="47301">
      <c r="N47301" s="28"/>
      <c r="O47301" s="28"/>
      <c r="U47301" s="28"/>
    </row>
    <row r="47302">
      <c r="N47302" s="28"/>
      <c r="O47302" s="28"/>
      <c r="U47302" s="28"/>
    </row>
    <row r="47303">
      <c r="N47303" s="28"/>
      <c r="O47303" s="28"/>
      <c r="U47303" s="28"/>
    </row>
    <row r="47304">
      <c r="N47304" s="28"/>
      <c r="O47304" s="28"/>
      <c r="U47304" s="28"/>
    </row>
    <row r="47305">
      <c r="N47305" s="28"/>
      <c r="O47305" s="28"/>
      <c r="U47305" s="28"/>
    </row>
    <row r="47306">
      <c r="N47306" s="28"/>
      <c r="O47306" s="28"/>
      <c r="U47306" s="28"/>
    </row>
    <row r="47307">
      <c r="N47307" s="28"/>
      <c r="O47307" s="28"/>
      <c r="U47307" s="28"/>
    </row>
    <row r="47308">
      <c r="N47308" s="28"/>
      <c r="O47308" s="28"/>
      <c r="U47308" s="28"/>
    </row>
    <row r="47309">
      <c r="N47309" s="28"/>
      <c r="O47309" s="28"/>
      <c r="U47309" s="28"/>
    </row>
    <row r="47310">
      <c r="N47310" s="28"/>
      <c r="O47310" s="28"/>
      <c r="U47310" s="28"/>
    </row>
    <row r="47311">
      <c r="N47311" s="28"/>
      <c r="O47311" s="28"/>
      <c r="U47311" s="28"/>
    </row>
    <row r="47312">
      <c r="N47312" s="28"/>
      <c r="O47312" s="28"/>
      <c r="U47312" s="28"/>
    </row>
    <row r="47313">
      <c r="N47313" s="28"/>
      <c r="O47313" s="28"/>
      <c r="U47313" s="28"/>
    </row>
    <row r="47314">
      <c r="N47314" s="28"/>
      <c r="O47314" s="28"/>
      <c r="U47314" s="28"/>
    </row>
    <row r="47315">
      <c r="N47315" s="28"/>
      <c r="O47315" s="28"/>
      <c r="U47315" s="28"/>
    </row>
    <row r="47316">
      <c r="N47316" s="28"/>
      <c r="O47316" s="28"/>
      <c r="U47316" s="28"/>
    </row>
    <row r="47317">
      <c r="N47317" s="28"/>
      <c r="O47317" s="28"/>
      <c r="U47317" s="28"/>
    </row>
    <row r="47318">
      <c r="N47318" s="28"/>
      <c r="O47318" s="28"/>
      <c r="U47318" s="28"/>
    </row>
    <row r="47319">
      <c r="N47319" s="28"/>
      <c r="O47319" s="28"/>
      <c r="U47319" s="28"/>
    </row>
    <row r="47320">
      <c r="N47320" s="28"/>
      <c r="O47320" s="28"/>
      <c r="U47320" s="28"/>
    </row>
    <row r="47321">
      <c r="N47321" s="28"/>
      <c r="O47321" s="28"/>
      <c r="U47321" s="28"/>
    </row>
    <row r="47322">
      <c r="N47322" s="28"/>
      <c r="O47322" s="28"/>
      <c r="U47322" s="28"/>
    </row>
    <row r="47323">
      <c r="N47323" s="28"/>
      <c r="O47323" s="28"/>
      <c r="U47323" s="28"/>
    </row>
    <row r="47324">
      <c r="N47324" s="28"/>
      <c r="O47324" s="28"/>
      <c r="U47324" s="28"/>
    </row>
    <row r="47325">
      <c r="N47325" s="28"/>
      <c r="O47325" s="28"/>
      <c r="U47325" s="28"/>
    </row>
    <row r="47326">
      <c r="N47326" s="28"/>
      <c r="O47326" s="28"/>
      <c r="U47326" s="28"/>
    </row>
    <row r="47327">
      <c r="N47327" s="28"/>
      <c r="O47327" s="28"/>
      <c r="U47327" s="28"/>
    </row>
    <row r="47328">
      <c r="N47328" s="28"/>
      <c r="O47328" s="28"/>
      <c r="U47328" s="28"/>
    </row>
    <row r="47329">
      <c r="N47329" s="28"/>
      <c r="O47329" s="28"/>
      <c r="U47329" s="28"/>
    </row>
    <row r="47330">
      <c r="N47330" s="28"/>
      <c r="O47330" s="28"/>
      <c r="U47330" s="28"/>
    </row>
    <row r="47331">
      <c r="N47331" s="28"/>
      <c r="O47331" s="28"/>
      <c r="U47331" s="28"/>
    </row>
    <row r="47332">
      <c r="N47332" s="28"/>
      <c r="O47332" s="28"/>
      <c r="U47332" s="28"/>
    </row>
    <row r="47333">
      <c r="N47333" s="28"/>
      <c r="O47333" s="28"/>
      <c r="U47333" s="28"/>
    </row>
    <row r="47334">
      <c r="N47334" s="28"/>
      <c r="O47334" s="28"/>
      <c r="U47334" s="28"/>
    </row>
    <row r="47335">
      <c r="N47335" s="28"/>
      <c r="O47335" s="28"/>
      <c r="U47335" s="28"/>
    </row>
    <row r="47336">
      <c r="N47336" s="28"/>
      <c r="O47336" s="28"/>
      <c r="U47336" s="28"/>
    </row>
    <row r="47337">
      <c r="N47337" s="28"/>
      <c r="O47337" s="28"/>
      <c r="U47337" s="28"/>
    </row>
    <row r="47338">
      <c r="N47338" s="28"/>
      <c r="O47338" s="28"/>
      <c r="U47338" s="28"/>
    </row>
    <row r="47339">
      <c r="N47339" s="28"/>
      <c r="O47339" s="28"/>
      <c r="U47339" s="28"/>
    </row>
    <row r="47340">
      <c r="N47340" s="28"/>
      <c r="O47340" s="28"/>
      <c r="U47340" s="28"/>
    </row>
    <row r="47341">
      <c r="N47341" s="28"/>
      <c r="O47341" s="28"/>
      <c r="U47341" s="28"/>
    </row>
    <row r="47342">
      <c r="N47342" s="28"/>
      <c r="O47342" s="28"/>
      <c r="U47342" s="28"/>
    </row>
    <row r="47343">
      <c r="N47343" s="28"/>
      <c r="O47343" s="28"/>
      <c r="U47343" s="28"/>
    </row>
    <row r="47344">
      <c r="N47344" s="28"/>
      <c r="O47344" s="28"/>
      <c r="U47344" s="28"/>
    </row>
    <row r="47345">
      <c r="N47345" s="28"/>
      <c r="O47345" s="28"/>
      <c r="U47345" s="28"/>
    </row>
    <row r="47346">
      <c r="N47346" s="28"/>
      <c r="O47346" s="28"/>
      <c r="U47346" s="28"/>
    </row>
    <row r="47347">
      <c r="N47347" s="28"/>
      <c r="O47347" s="28"/>
      <c r="U47347" s="28"/>
    </row>
    <row r="47348">
      <c r="N47348" s="28"/>
      <c r="O47348" s="28"/>
      <c r="U47348" s="28"/>
    </row>
    <row r="47349">
      <c r="N47349" s="28"/>
      <c r="O47349" s="28"/>
      <c r="U47349" s="28"/>
    </row>
    <row r="47350">
      <c r="N47350" s="28"/>
      <c r="O47350" s="28"/>
      <c r="U47350" s="28"/>
    </row>
    <row r="47351">
      <c r="N47351" s="28"/>
      <c r="O47351" s="28"/>
      <c r="U47351" s="28"/>
    </row>
    <row r="47352">
      <c r="N47352" s="28"/>
      <c r="O47352" s="28"/>
      <c r="U47352" s="28"/>
    </row>
    <row r="47353">
      <c r="N47353" s="28"/>
      <c r="O47353" s="28"/>
      <c r="U47353" s="28"/>
    </row>
    <row r="47354">
      <c r="N47354" s="28"/>
      <c r="O47354" s="28"/>
      <c r="U47354" s="28"/>
    </row>
    <row r="47355">
      <c r="N47355" s="28"/>
      <c r="O47355" s="28"/>
      <c r="U47355" s="28"/>
    </row>
    <row r="47356">
      <c r="N47356" s="28"/>
      <c r="O47356" s="28"/>
      <c r="U47356" s="28"/>
    </row>
    <row r="47357">
      <c r="N47357" s="28"/>
      <c r="O47357" s="28"/>
      <c r="U47357" s="28"/>
    </row>
    <row r="47358">
      <c r="N47358" s="28"/>
      <c r="O47358" s="28"/>
      <c r="U47358" s="28"/>
    </row>
    <row r="47359">
      <c r="N47359" s="28"/>
      <c r="O47359" s="28"/>
      <c r="U47359" s="28"/>
    </row>
    <row r="47360">
      <c r="N47360" s="28"/>
      <c r="O47360" s="28"/>
      <c r="U47360" s="28"/>
    </row>
    <row r="47361">
      <c r="N47361" s="28"/>
      <c r="O47361" s="28"/>
      <c r="U47361" s="28"/>
    </row>
    <row r="47362">
      <c r="N47362" s="28"/>
      <c r="O47362" s="28"/>
      <c r="U47362" s="28"/>
    </row>
    <row r="47363">
      <c r="N47363" s="28"/>
      <c r="O47363" s="28"/>
      <c r="U47363" s="28"/>
    </row>
    <row r="47364">
      <c r="N47364" s="28"/>
      <c r="O47364" s="28"/>
      <c r="U47364" s="28"/>
    </row>
    <row r="47365">
      <c r="N47365" s="28"/>
      <c r="O47365" s="28"/>
      <c r="U47365" s="28"/>
    </row>
    <row r="47366">
      <c r="N47366" s="28"/>
      <c r="O47366" s="28"/>
      <c r="U47366" s="28"/>
    </row>
    <row r="47367">
      <c r="N47367" s="28"/>
      <c r="O47367" s="28"/>
      <c r="U47367" s="28"/>
    </row>
    <row r="47368">
      <c r="N47368" s="28"/>
      <c r="O47368" s="28"/>
      <c r="U47368" s="28"/>
    </row>
    <row r="47369">
      <c r="N47369" s="28"/>
      <c r="O47369" s="28"/>
      <c r="U47369" s="28"/>
    </row>
    <row r="47370">
      <c r="N47370" s="28"/>
      <c r="O47370" s="28"/>
      <c r="U47370" s="28"/>
    </row>
    <row r="47371">
      <c r="N47371" s="28"/>
      <c r="O47371" s="28"/>
      <c r="U47371" s="28"/>
    </row>
    <row r="47372">
      <c r="N47372" s="28"/>
      <c r="O47372" s="28"/>
      <c r="U47372" s="28"/>
    </row>
    <row r="47373">
      <c r="N47373" s="28"/>
      <c r="O47373" s="28"/>
      <c r="U47373" s="28"/>
    </row>
    <row r="47374">
      <c r="N47374" s="28"/>
      <c r="O47374" s="28"/>
      <c r="U47374" s="28"/>
    </row>
    <row r="47375">
      <c r="N47375" s="28"/>
      <c r="O47375" s="28"/>
      <c r="U47375" s="28"/>
    </row>
    <row r="47376">
      <c r="N47376" s="28"/>
      <c r="O47376" s="28"/>
      <c r="U47376" s="28"/>
    </row>
    <row r="47377">
      <c r="N47377" s="28"/>
      <c r="O47377" s="28"/>
      <c r="U47377" s="28"/>
    </row>
    <row r="47378">
      <c r="N47378" s="28"/>
      <c r="O47378" s="28"/>
      <c r="U47378" s="28"/>
    </row>
    <row r="47379">
      <c r="N47379" s="28"/>
      <c r="O47379" s="28"/>
      <c r="U47379" s="28"/>
    </row>
    <row r="47380">
      <c r="N47380" s="28"/>
      <c r="O47380" s="28"/>
      <c r="U47380" s="28"/>
    </row>
    <row r="47381">
      <c r="N47381" s="28"/>
      <c r="O47381" s="28"/>
      <c r="U47381" s="28"/>
    </row>
    <row r="47382">
      <c r="N47382" s="28"/>
      <c r="O47382" s="28"/>
      <c r="U47382" s="28"/>
    </row>
    <row r="47383">
      <c r="N47383" s="28"/>
      <c r="O47383" s="28"/>
      <c r="U47383" s="28"/>
    </row>
    <row r="47384">
      <c r="N47384" s="28"/>
      <c r="O47384" s="28"/>
      <c r="U47384" s="28"/>
    </row>
    <row r="47385">
      <c r="N47385" s="28"/>
      <c r="O47385" s="28"/>
      <c r="U47385" s="28"/>
    </row>
    <row r="47386">
      <c r="N47386" s="28"/>
      <c r="O47386" s="28"/>
      <c r="U47386" s="28"/>
    </row>
    <row r="47387">
      <c r="N47387" s="28"/>
      <c r="O47387" s="28"/>
      <c r="U47387" s="28"/>
    </row>
    <row r="47388">
      <c r="N47388" s="28"/>
      <c r="O47388" s="28"/>
      <c r="U47388" s="28"/>
    </row>
    <row r="47389">
      <c r="N47389" s="28"/>
      <c r="O47389" s="28"/>
      <c r="U47389" s="28"/>
    </row>
    <row r="47390">
      <c r="N47390" s="28"/>
      <c r="O47390" s="28"/>
      <c r="U47390" s="28"/>
    </row>
    <row r="47391">
      <c r="N47391" s="28"/>
      <c r="O47391" s="28"/>
      <c r="U47391" s="28"/>
    </row>
    <row r="47392">
      <c r="N47392" s="28"/>
      <c r="O47392" s="28"/>
      <c r="U47392" s="28"/>
    </row>
    <row r="47393">
      <c r="N47393" s="28"/>
      <c r="O47393" s="28"/>
      <c r="U47393" s="28"/>
    </row>
    <row r="47394">
      <c r="N47394" s="28"/>
      <c r="O47394" s="28"/>
      <c r="U47394" s="28"/>
    </row>
    <row r="47395">
      <c r="N47395" s="28"/>
      <c r="O47395" s="28"/>
      <c r="U47395" s="28"/>
    </row>
    <row r="47396">
      <c r="N47396" s="28"/>
      <c r="O47396" s="28"/>
      <c r="U47396" s="28"/>
    </row>
    <row r="47397">
      <c r="N47397" s="28"/>
      <c r="O47397" s="28"/>
      <c r="U47397" s="28"/>
    </row>
    <row r="47398">
      <c r="N47398" s="28"/>
      <c r="O47398" s="28"/>
      <c r="U47398" s="28"/>
    </row>
    <row r="47399">
      <c r="N47399" s="28"/>
      <c r="O47399" s="28"/>
      <c r="U47399" s="28"/>
    </row>
    <row r="47400">
      <c r="N47400" s="28"/>
      <c r="O47400" s="28"/>
      <c r="U47400" s="28"/>
    </row>
    <row r="47401">
      <c r="N47401" s="28"/>
      <c r="O47401" s="28"/>
      <c r="U47401" s="28"/>
    </row>
    <row r="47402">
      <c r="N47402" s="28"/>
      <c r="O47402" s="28"/>
      <c r="U47402" s="28"/>
    </row>
    <row r="47403">
      <c r="N47403" s="28"/>
      <c r="O47403" s="28"/>
      <c r="U47403" s="28"/>
    </row>
    <row r="47404">
      <c r="N47404" s="28"/>
      <c r="O47404" s="28"/>
      <c r="U47404" s="28"/>
    </row>
    <row r="47405">
      <c r="N47405" s="28"/>
      <c r="O47405" s="28"/>
      <c r="U47405" s="28"/>
    </row>
    <row r="47406">
      <c r="N47406" s="28"/>
      <c r="O47406" s="28"/>
      <c r="U47406" s="28"/>
    </row>
    <row r="47407">
      <c r="N47407" s="28"/>
      <c r="O47407" s="28"/>
      <c r="U47407" s="28"/>
    </row>
    <row r="47408">
      <c r="N47408" s="28"/>
      <c r="O47408" s="28"/>
      <c r="U47408" s="28"/>
    </row>
    <row r="47409">
      <c r="N47409" s="28"/>
      <c r="O47409" s="28"/>
      <c r="U47409" s="28"/>
    </row>
    <row r="47410">
      <c r="N47410" s="28"/>
      <c r="O47410" s="28"/>
      <c r="U47410" s="28"/>
    </row>
    <row r="47411">
      <c r="N47411" s="28"/>
      <c r="O47411" s="28"/>
      <c r="U47411" s="28"/>
    </row>
    <row r="47412">
      <c r="N47412" s="28"/>
      <c r="O47412" s="28"/>
      <c r="U47412" s="28"/>
    </row>
    <row r="47413">
      <c r="N47413" s="28"/>
      <c r="O47413" s="28"/>
      <c r="U47413" s="28"/>
    </row>
    <row r="47414">
      <c r="N47414" s="28"/>
      <c r="O47414" s="28"/>
      <c r="U47414" s="28"/>
    </row>
    <row r="47415">
      <c r="N47415" s="28"/>
      <c r="O47415" s="28"/>
      <c r="U47415" s="28"/>
    </row>
    <row r="47416">
      <c r="N47416" s="28"/>
      <c r="O47416" s="28"/>
      <c r="U47416" s="28"/>
    </row>
    <row r="47417">
      <c r="N47417" s="28"/>
      <c r="O47417" s="28"/>
      <c r="U47417" s="28"/>
    </row>
    <row r="47418">
      <c r="N47418" s="28"/>
      <c r="O47418" s="28"/>
      <c r="U47418" s="28"/>
    </row>
    <row r="47419">
      <c r="N47419" s="28"/>
      <c r="O47419" s="28"/>
      <c r="U47419" s="28"/>
    </row>
    <row r="47420">
      <c r="N47420" s="28"/>
      <c r="O47420" s="28"/>
      <c r="U47420" s="28"/>
    </row>
    <row r="47421">
      <c r="N47421" s="28"/>
      <c r="O47421" s="28"/>
      <c r="U47421" s="28"/>
    </row>
    <row r="47422">
      <c r="N47422" s="28"/>
      <c r="O47422" s="28"/>
      <c r="U47422" s="28"/>
    </row>
    <row r="47423">
      <c r="N47423" s="28"/>
      <c r="O47423" s="28"/>
      <c r="U47423" s="28"/>
    </row>
    <row r="47424">
      <c r="N47424" s="28"/>
      <c r="O47424" s="28"/>
      <c r="U47424" s="28"/>
    </row>
    <row r="47425">
      <c r="N47425" s="28"/>
      <c r="O47425" s="28"/>
      <c r="U47425" s="28"/>
    </row>
    <row r="47426">
      <c r="N47426" s="28"/>
      <c r="O47426" s="28"/>
      <c r="U47426" s="28"/>
    </row>
    <row r="47427">
      <c r="N47427" s="28"/>
      <c r="O47427" s="28"/>
      <c r="U47427" s="28"/>
    </row>
    <row r="47428">
      <c r="N47428" s="28"/>
      <c r="O47428" s="28"/>
      <c r="U47428" s="28"/>
    </row>
    <row r="47429">
      <c r="N47429" s="28"/>
      <c r="O47429" s="28"/>
      <c r="U47429" s="28"/>
    </row>
    <row r="47430">
      <c r="N47430" s="28"/>
      <c r="O47430" s="28"/>
      <c r="U47430" s="28"/>
    </row>
    <row r="47431">
      <c r="N47431" s="28"/>
      <c r="O47431" s="28"/>
      <c r="U47431" s="28"/>
    </row>
    <row r="47432">
      <c r="N47432" s="28"/>
      <c r="O47432" s="28"/>
      <c r="U47432" s="28"/>
    </row>
    <row r="47433">
      <c r="N47433" s="28"/>
      <c r="O47433" s="28"/>
      <c r="U47433" s="28"/>
    </row>
    <row r="47434">
      <c r="N47434" s="28"/>
      <c r="O47434" s="28"/>
      <c r="U47434" s="28"/>
    </row>
    <row r="47435">
      <c r="N47435" s="28"/>
      <c r="O47435" s="28"/>
      <c r="U47435" s="28"/>
    </row>
    <row r="47436">
      <c r="N47436" s="28"/>
      <c r="O47436" s="28"/>
      <c r="U47436" s="28"/>
    </row>
    <row r="47437">
      <c r="N47437" s="28"/>
      <c r="O47437" s="28"/>
      <c r="U47437" s="28"/>
    </row>
    <row r="47438">
      <c r="N47438" s="28"/>
      <c r="O47438" s="28"/>
      <c r="U47438" s="28"/>
    </row>
    <row r="47439">
      <c r="N47439" s="28"/>
      <c r="O47439" s="28"/>
      <c r="U47439" s="28"/>
    </row>
    <row r="47440">
      <c r="N47440" s="28"/>
      <c r="O47440" s="28"/>
      <c r="U47440" s="28"/>
    </row>
    <row r="47441">
      <c r="N47441" s="28"/>
      <c r="O47441" s="28"/>
      <c r="U47441" s="28"/>
    </row>
    <row r="47442">
      <c r="N47442" s="28"/>
      <c r="O47442" s="28"/>
      <c r="U47442" s="28"/>
    </row>
    <row r="47443">
      <c r="N47443" s="28"/>
      <c r="O47443" s="28"/>
      <c r="U47443" s="28"/>
    </row>
    <row r="47444">
      <c r="N47444" s="28"/>
      <c r="O47444" s="28"/>
      <c r="U47444" s="28"/>
    </row>
    <row r="47445">
      <c r="N47445" s="28"/>
      <c r="O47445" s="28"/>
      <c r="U47445" s="28"/>
    </row>
    <row r="47446">
      <c r="N47446" s="28"/>
      <c r="O47446" s="28"/>
      <c r="U47446" s="28"/>
    </row>
    <row r="47447">
      <c r="N47447" s="28"/>
      <c r="O47447" s="28"/>
      <c r="U47447" s="28"/>
    </row>
    <row r="47448">
      <c r="N47448" s="28"/>
      <c r="O47448" s="28"/>
      <c r="U47448" s="28"/>
    </row>
    <row r="47449">
      <c r="N47449" s="28"/>
      <c r="O47449" s="28"/>
      <c r="U47449" s="28"/>
    </row>
    <row r="47450">
      <c r="N47450" s="28"/>
      <c r="O47450" s="28"/>
      <c r="U47450" s="28"/>
    </row>
    <row r="47451">
      <c r="N47451" s="28"/>
      <c r="O47451" s="28"/>
      <c r="U47451" s="28"/>
    </row>
    <row r="47452">
      <c r="N47452" s="28"/>
      <c r="O47452" s="28"/>
      <c r="U47452" s="28"/>
    </row>
    <row r="47453">
      <c r="N47453" s="28"/>
      <c r="O47453" s="28"/>
      <c r="U47453" s="28"/>
    </row>
    <row r="47454">
      <c r="N47454" s="28"/>
      <c r="O47454" s="28"/>
      <c r="U47454" s="28"/>
    </row>
    <row r="47455">
      <c r="N47455" s="28"/>
      <c r="O47455" s="28"/>
      <c r="U47455" s="28"/>
    </row>
    <row r="47456">
      <c r="N47456" s="28"/>
      <c r="O47456" s="28"/>
      <c r="U47456" s="28"/>
    </row>
    <row r="47457">
      <c r="N47457" s="28"/>
      <c r="O47457" s="28"/>
      <c r="U47457" s="28"/>
    </row>
    <row r="47458">
      <c r="N47458" s="28"/>
      <c r="O47458" s="28"/>
      <c r="U47458" s="28"/>
    </row>
    <row r="47459">
      <c r="N47459" s="28"/>
      <c r="O47459" s="28"/>
      <c r="U47459" s="28"/>
    </row>
    <row r="47460">
      <c r="N47460" s="28"/>
      <c r="O47460" s="28"/>
      <c r="U47460" s="28"/>
    </row>
    <row r="47461">
      <c r="N47461" s="28"/>
      <c r="O47461" s="28"/>
      <c r="U47461" s="28"/>
    </row>
    <row r="47462">
      <c r="N47462" s="28"/>
      <c r="O47462" s="28"/>
      <c r="U47462" s="28"/>
    </row>
    <row r="47463">
      <c r="N47463" s="28"/>
      <c r="O47463" s="28"/>
      <c r="U47463" s="28"/>
    </row>
    <row r="47464">
      <c r="N47464" s="28"/>
      <c r="O47464" s="28"/>
      <c r="U47464" s="28"/>
    </row>
    <row r="47465">
      <c r="N47465" s="28"/>
      <c r="O47465" s="28"/>
      <c r="U47465" s="28"/>
    </row>
    <row r="47466">
      <c r="N47466" s="28"/>
      <c r="O47466" s="28"/>
      <c r="U47466" s="28"/>
    </row>
    <row r="47467">
      <c r="N47467" s="28"/>
      <c r="O47467" s="28"/>
      <c r="U47467" s="28"/>
    </row>
    <row r="47468">
      <c r="N47468" s="28"/>
      <c r="O47468" s="28"/>
      <c r="U47468" s="28"/>
    </row>
    <row r="47469">
      <c r="N47469" s="28"/>
      <c r="O47469" s="28"/>
      <c r="U47469" s="28"/>
    </row>
    <row r="47470">
      <c r="N47470" s="28"/>
      <c r="O47470" s="28"/>
      <c r="U47470" s="28"/>
    </row>
    <row r="47471">
      <c r="N47471" s="28"/>
      <c r="O47471" s="28"/>
      <c r="U47471" s="28"/>
    </row>
    <row r="47472">
      <c r="N47472" s="28"/>
      <c r="O47472" s="28"/>
      <c r="U47472" s="28"/>
    </row>
    <row r="47473">
      <c r="N47473" s="28"/>
      <c r="O47473" s="28"/>
      <c r="U47473" s="28"/>
    </row>
    <row r="47474">
      <c r="N47474" s="28"/>
      <c r="O47474" s="28"/>
      <c r="U47474" s="28"/>
    </row>
    <row r="47475">
      <c r="N47475" s="28"/>
      <c r="O47475" s="28"/>
      <c r="U47475" s="28"/>
    </row>
    <row r="47476">
      <c r="N47476" s="28"/>
      <c r="O47476" s="28"/>
      <c r="U47476" s="28"/>
    </row>
    <row r="47477">
      <c r="N47477" s="28"/>
      <c r="O47477" s="28"/>
      <c r="U47477" s="28"/>
    </row>
    <row r="47478">
      <c r="N47478" s="28"/>
      <c r="O47478" s="28"/>
      <c r="U47478" s="28"/>
    </row>
    <row r="47479">
      <c r="N47479" s="28"/>
      <c r="O47479" s="28"/>
      <c r="U47479" s="28"/>
    </row>
    <row r="47480">
      <c r="N47480" s="28"/>
      <c r="O47480" s="28"/>
      <c r="U47480" s="28"/>
    </row>
    <row r="47481">
      <c r="N47481" s="28"/>
      <c r="O47481" s="28"/>
      <c r="U47481" s="28"/>
    </row>
    <row r="47482">
      <c r="N47482" s="28"/>
      <c r="O47482" s="28"/>
      <c r="U47482" s="28"/>
    </row>
    <row r="47483">
      <c r="N47483" s="28"/>
      <c r="O47483" s="28"/>
      <c r="U47483" s="28"/>
    </row>
    <row r="47484">
      <c r="N47484" s="28"/>
      <c r="O47484" s="28"/>
      <c r="U47484" s="28"/>
    </row>
    <row r="47485">
      <c r="N47485" s="28"/>
      <c r="O47485" s="28"/>
      <c r="U47485" s="28"/>
    </row>
    <row r="47486">
      <c r="N47486" s="28"/>
      <c r="O47486" s="28"/>
      <c r="U47486" s="28"/>
    </row>
    <row r="47487">
      <c r="N47487" s="28"/>
      <c r="O47487" s="28"/>
      <c r="U47487" s="28"/>
    </row>
    <row r="47488">
      <c r="N47488" s="28"/>
      <c r="O47488" s="28"/>
      <c r="U47488" s="28"/>
    </row>
    <row r="47489">
      <c r="N47489" s="28"/>
      <c r="O47489" s="28"/>
      <c r="U47489" s="28"/>
    </row>
    <row r="47490">
      <c r="N47490" s="28"/>
      <c r="O47490" s="28"/>
      <c r="U47490" s="28"/>
    </row>
    <row r="47491">
      <c r="N47491" s="28"/>
      <c r="O47491" s="28"/>
      <c r="U47491" s="28"/>
    </row>
    <row r="47492">
      <c r="N47492" s="28"/>
      <c r="O47492" s="28"/>
      <c r="U47492" s="28"/>
    </row>
    <row r="47493">
      <c r="N47493" s="28"/>
      <c r="O47493" s="28"/>
      <c r="U47493" s="28"/>
    </row>
    <row r="47494">
      <c r="N47494" s="28"/>
      <c r="O47494" s="28"/>
      <c r="U47494" s="28"/>
    </row>
    <row r="47495">
      <c r="N47495" s="28"/>
      <c r="O47495" s="28"/>
      <c r="U47495" s="28"/>
    </row>
    <row r="47496">
      <c r="N47496" s="28"/>
      <c r="O47496" s="28"/>
      <c r="U47496" s="28"/>
    </row>
    <row r="47497">
      <c r="N47497" s="28"/>
      <c r="O47497" s="28"/>
      <c r="U47497" s="28"/>
    </row>
    <row r="47498">
      <c r="N47498" s="28"/>
      <c r="O47498" s="28"/>
      <c r="U47498" s="28"/>
    </row>
    <row r="47499">
      <c r="N47499" s="28"/>
      <c r="O47499" s="28"/>
      <c r="U47499" s="28"/>
    </row>
    <row r="47500">
      <c r="N47500" s="28"/>
      <c r="O47500" s="28"/>
      <c r="U47500" s="28"/>
    </row>
    <row r="47501">
      <c r="N47501" s="28"/>
      <c r="O47501" s="28"/>
      <c r="U47501" s="28"/>
    </row>
    <row r="47502">
      <c r="N47502" s="28"/>
      <c r="O47502" s="28"/>
      <c r="U47502" s="28"/>
    </row>
    <row r="47503">
      <c r="N47503" s="28"/>
      <c r="O47503" s="28"/>
      <c r="U47503" s="28"/>
    </row>
    <row r="47504">
      <c r="N47504" s="28"/>
      <c r="O47504" s="28"/>
      <c r="U47504" s="28"/>
    </row>
    <row r="47505">
      <c r="N47505" s="28"/>
      <c r="O47505" s="28"/>
      <c r="U47505" s="28"/>
    </row>
    <row r="47506">
      <c r="N47506" s="28"/>
      <c r="O47506" s="28"/>
      <c r="U47506" s="28"/>
    </row>
    <row r="47507">
      <c r="N47507" s="28"/>
      <c r="O47507" s="28"/>
      <c r="U47507" s="28"/>
    </row>
    <row r="47508">
      <c r="N47508" s="28"/>
      <c r="O47508" s="28"/>
      <c r="U47508" s="28"/>
    </row>
    <row r="47509">
      <c r="N47509" s="28"/>
      <c r="O47509" s="28"/>
      <c r="U47509" s="28"/>
    </row>
    <row r="47510">
      <c r="N47510" s="28"/>
      <c r="O47510" s="28"/>
      <c r="U47510" s="28"/>
    </row>
    <row r="47511">
      <c r="N47511" s="28"/>
      <c r="O47511" s="28"/>
      <c r="U47511" s="28"/>
    </row>
    <row r="47512">
      <c r="N47512" s="28"/>
      <c r="O47512" s="28"/>
      <c r="U47512" s="28"/>
    </row>
    <row r="47513">
      <c r="N47513" s="28"/>
      <c r="O47513" s="28"/>
      <c r="U47513" s="28"/>
    </row>
    <row r="47514">
      <c r="N47514" s="28"/>
      <c r="O47514" s="28"/>
      <c r="U47514" s="28"/>
    </row>
    <row r="47515">
      <c r="N47515" s="28"/>
      <c r="O47515" s="28"/>
      <c r="U47515" s="28"/>
    </row>
    <row r="47516">
      <c r="N47516" s="28"/>
      <c r="O47516" s="28"/>
      <c r="U47516" s="28"/>
    </row>
    <row r="47517">
      <c r="N47517" s="28"/>
      <c r="O47517" s="28"/>
      <c r="U47517" s="28"/>
    </row>
    <row r="47518">
      <c r="N47518" s="28"/>
      <c r="O47518" s="28"/>
      <c r="U47518" s="28"/>
    </row>
    <row r="47519">
      <c r="N47519" s="28"/>
      <c r="O47519" s="28"/>
      <c r="U47519" s="28"/>
    </row>
    <row r="47520">
      <c r="N47520" s="28"/>
      <c r="O47520" s="28"/>
      <c r="U47520" s="28"/>
    </row>
    <row r="47521">
      <c r="N47521" s="28"/>
      <c r="O47521" s="28"/>
      <c r="U47521" s="28"/>
    </row>
    <row r="47522">
      <c r="N47522" s="28"/>
      <c r="O47522" s="28"/>
      <c r="U47522" s="28"/>
    </row>
    <row r="47523">
      <c r="N47523" s="28"/>
      <c r="O47523" s="28"/>
      <c r="U47523" s="28"/>
    </row>
    <row r="47524">
      <c r="N47524" s="28"/>
      <c r="O47524" s="28"/>
      <c r="U47524" s="28"/>
    </row>
    <row r="47525">
      <c r="N47525" s="28"/>
      <c r="O47525" s="28"/>
      <c r="U47525" s="28"/>
    </row>
    <row r="47526">
      <c r="N47526" s="28"/>
      <c r="O47526" s="28"/>
      <c r="U47526" s="28"/>
    </row>
    <row r="47527">
      <c r="N47527" s="28"/>
      <c r="O47527" s="28"/>
      <c r="U47527" s="28"/>
    </row>
    <row r="47528">
      <c r="N47528" s="28"/>
      <c r="O47528" s="28"/>
      <c r="U47528" s="28"/>
    </row>
    <row r="47529">
      <c r="N47529" s="28"/>
      <c r="O47529" s="28"/>
      <c r="U47529" s="28"/>
    </row>
    <row r="47530">
      <c r="N47530" s="28"/>
      <c r="O47530" s="28"/>
      <c r="U47530" s="28"/>
    </row>
    <row r="47531">
      <c r="N47531" s="28"/>
      <c r="O47531" s="28"/>
      <c r="U47531" s="28"/>
    </row>
    <row r="47532">
      <c r="N47532" s="28"/>
      <c r="O47532" s="28"/>
      <c r="U47532" s="28"/>
    </row>
    <row r="47533">
      <c r="N47533" s="28"/>
      <c r="O47533" s="28"/>
      <c r="U47533" s="28"/>
    </row>
    <row r="47534">
      <c r="N47534" s="28"/>
      <c r="O47534" s="28"/>
      <c r="U47534" s="28"/>
    </row>
    <row r="47535">
      <c r="N47535" s="28"/>
      <c r="O47535" s="28"/>
      <c r="U47535" s="28"/>
    </row>
    <row r="47536">
      <c r="N47536" s="28"/>
      <c r="O47536" s="28"/>
      <c r="U47536" s="28"/>
    </row>
    <row r="47537">
      <c r="N47537" s="28"/>
      <c r="O47537" s="28"/>
      <c r="U47537" s="28"/>
    </row>
    <row r="47538">
      <c r="N47538" s="28"/>
      <c r="O47538" s="28"/>
      <c r="U47538" s="28"/>
    </row>
    <row r="47539">
      <c r="N47539" s="28"/>
      <c r="O47539" s="28"/>
      <c r="U47539" s="28"/>
    </row>
    <row r="47540">
      <c r="N47540" s="28"/>
      <c r="O47540" s="28"/>
      <c r="U47540" s="28"/>
    </row>
    <row r="47541">
      <c r="N47541" s="28"/>
      <c r="O47541" s="28"/>
      <c r="U47541" s="28"/>
    </row>
    <row r="47542">
      <c r="N47542" s="28"/>
      <c r="O47542" s="28"/>
      <c r="U47542" s="28"/>
    </row>
    <row r="47543">
      <c r="N47543" s="28"/>
      <c r="O47543" s="28"/>
      <c r="U47543" s="28"/>
    </row>
    <row r="47544">
      <c r="N47544" s="28"/>
      <c r="O47544" s="28"/>
      <c r="U47544" s="28"/>
    </row>
    <row r="47545">
      <c r="N47545" s="28"/>
      <c r="O47545" s="28"/>
      <c r="U47545" s="28"/>
    </row>
    <row r="47546">
      <c r="N47546" s="28"/>
      <c r="O47546" s="28"/>
      <c r="U47546" s="28"/>
    </row>
    <row r="47547">
      <c r="N47547" s="28"/>
      <c r="O47547" s="28"/>
      <c r="U47547" s="28"/>
    </row>
    <row r="47548">
      <c r="N47548" s="28"/>
      <c r="O47548" s="28"/>
      <c r="U47548" s="28"/>
    </row>
    <row r="47549">
      <c r="N47549" s="28"/>
      <c r="O47549" s="28"/>
      <c r="U47549" s="28"/>
    </row>
    <row r="47550">
      <c r="N47550" s="28"/>
      <c r="O47550" s="28"/>
      <c r="U47550" s="28"/>
    </row>
    <row r="47551">
      <c r="N47551" s="28"/>
      <c r="O47551" s="28"/>
      <c r="U47551" s="28"/>
    </row>
    <row r="47552">
      <c r="N47552" s="28"/>
      <c r="O47552" s="28"/>
      <c r="U47552" s="28"/>
    </row>
    <row r="47553">
      <c r="N47553" s="28"/>
      <c r="O47553" s="28"/>
      <c r="U47553" s="28"/>
    </row>
    <row r="47554">
      <c r="N47554" s="28"/>
      <c r="O47554" s="28"/>
      <c r="U47554" s="28"/>
    </row>
    <row r="47555">
      <c r="N47555" s="28"/>
      <c r="O47555" s="28"/>
      <c r="U47555" s="28"/>
    </row>
    <row r="47556">
      <c r="N47556" s="28"/>
      <c r="O47556" s="28"/>
      <c r="U47556" s="28"/>
    </row>
    <row r="47557">
      <c r="N47557" s="28"/>
      <c r="O47557" s="28"/>
      <c r="U47557" s="28"/>
    </row>
    <row r="47558">
      <c r="N47558" s="28"/>
      <c r="O47558" s="28"/>
      <c r="U47558" s="28"/>
    </row>
    <row r="47559">
      <c r="N47559" s="28"/>
      <c r="O47559" s="28"/>
      <c r="U47559" s="28"/>
    </row>
    <row r="47560">
      <c r="N47560" s="28"/>
      <c r="O47560" s="28"/>
      <c r="U47560" s="28"/>
    </row>
    <row r="47561">
      <c r="N47561" s="28"/>
      <c r="O47561" s="28"/>
      <c r="U47561" s="28"/>
    </row>
    <row r="47562">
      <c r="N47562" s="28"/>
      <c r="O47562" s="28"/>
      <c r="U47562" s="28"/>
    </row>
    <row r="47563">
      <c r="N47563" s="28"/>
      <c r="O47563" s="28"/>
      <c r="U47563" s="28"/>
    </row>
    <row r="47564">
      <c r="N47564" s="28"/>
      <c r="O47564" s="28"/>
      <c r="U47564" s="28"/>
    </row>
    <row r="47565">
      <c r="N47565" s="28"/>
      <c r="O47565" s="28"/>
      <c r="U47565" s="28"/>
    </row>
    <row r="47566">
      <c r="N47566" s="28"/>
      <c r="O47566" s="28"/>
      <c r="U47566" s="28"/>
    </row>
    <row r="47567">
      <c r="N47567" s="28"/>
      <c r="O47567" s="28"/>
      <c r="U47567" s="28"/>
    </row>
    <row r="47568">
      <c r="N47568" s="28"/>
      <c r="O47568" s="28"/>
      <c r="U47568" s="28"/>
    </row>
    <row r="47569">
      <c r="N47569" s="28"/>
      <c r="O47569" s="28"/>
      <c r="U47569" s="28"/>
    </row>
    <row r="47570">
      <c r="N47570" s="28"/>
      <c r="O47570" s="28"/>
      <c r="U47570" s="28"/>
    </row>
    <row r="47571">
      <c r="N47571" s="28"/>
      <c r="O47571" s="28"/>
      <c r="U47571" s="28"/>
    </row>
    <row r="47572">
      <c r="N47572" s="28"/>
      <c r="O47572" s="28"/>
      <c r="U47572" s="28"/>
    </row>
    <row r="47573">
      <c r="N47573" s="28"/>
      <c r="O47573" s="28"/>
      <c r="U47573" s="28"/>
    </row>
    <row r="47574">
      <c r="N47574" s="28"/>
      <c r="O47574" s="28"/>
      <c r="U47574" s="28"/>
    </row>
    <row r="47575">
      <c r="N47575" s="28"/>
      <c r="O47575" s="28"/>
      <c r="U47575" s="28"/>
    </row>
    <row r="47576">
      <c r="N47576" s="28"/>
      <c r="O47576" s="28"/>
      <c r="U47576" s="28"/>
    </row>
    <row r="47577">
      <c r="N47577" s="28"/>
      <c r="O47577" s="28"/>
      <c r="U47577" s="28"/>
    </row>
    <row r="47578">
      <c r="N47578" s="28"/>
      <c r="O47578" s="28"/>
      <c r="U47578" s="28"/>
    </row>
    <row r="47579">
      <c r="N47579" s="28"/>
      <c r="O47579" s="28"/>
      <c r="U47579" s="28"/>
    </row>
    <row r="47580">
      <c r="N47580" s="28"/>
      <c r="O47580" s="28"/>
      <c r="U47580" s="28"/>
    </row>
    <row r="47581">
      <c r="N47581" s="28"/>
      <c r="O47581" s="28"/>
      <c r="U47581" s="28"/>
    </row>
    <row r="47582">
      <c r="N47582" s="28"/>
      <c r="O47582" s="28"/>
      <c r="U47582" s="28"/>
    </row>
    <row r="47583">
      <c r="N47583" s="28"/>
      <c r="O47583" s="28"/>
      <c r="U47583" s="28"/>
    </row>
    <row r="47584">
      <c r="N47584" s="28"/>
      <c r="O47584" s="28"/>
      <c r="U47584" s="28"/>
    </row>
    <row r="47585">
      <c r="N47585" s="28"/>
      <c r="O47585" s="28"/>
      <c r="U47585" s="28"/>
    </row>
    <row r="47586">
      <c r="N47586" s="28"/>
      <c r="O47586" s="28"/>
      <c r="U47586" s="28"/>
    </row>
    <row r="47587">
      <c r="N47587" s="28"/>
      <c r="O47587" s="28"/>
      <c r="U47587" s="28"/>
    </row>
    <row r="47588">
      <c r="N47588" s="28"/>
      <c r="O47588" s="28"/>
      <c r="U47588" s="28"/>
    </row>
    <row r="47589">
      <c r="N47589" s="28"/>
      <c r="O47589" s="28"/>
      <c r="U47589" s="28"/>
    </row>
    <row r="47590">
      <c r="N47590" s="28"/>
      <c r="O47590" s="28"/>
      <c r="U47590" s="28"/>
    </row>
    <row r="47591">
      <c r="N47591" s="28"/>
      <c r="O47591" s="28"/>
      <c r="U47591" s="28"/>
    </row>
    <row r="47592">
      <c r="N47592" s="28"/>
      <c r="O47592" s="28"/>
      <c r="U47592" s="28"/>
    </row>
    <row r="47593">
      <c r="N47593" s="28"/>
      <c r="O47593" s="28"/>
      <c r="U47593" s="28"/>
    </row>
    <row r="47594">
      <c r="N47594" s="28"/>
      <c r="O47594" s="28"/>
      <c r="U47594" s="28"/>
    </row>
    <row r="47595">
      <c r="N47595" s="28"/>
      <c r="O47595" s="28"/>
      <c r="U47595" s="28"/>
    </row>
    <row r="47596">
      <c r="N47596" s="28"/>
      <c r="O47596" s="28"/>
      <c r="U47596" s="28"/>
    </row>
    <row r="47597">
      <c r="N47597" s="28"/>
      <c r="O47597" s="28"/>
      <c r="U47597" s="28"/>
    </row>
    <row r="47598">
      <c r="N47598" s="28"/>
      <c r="O47598" s="28"/>
      <c r="U47598" s="28"/>
    </row>
    <row r="47599">
      <c r="N47599" s="28"/>
      <c r="O47599" s="28"/>
      <c r="U47599" s="28"/>
    </row>
    <row r="47600">
      <c r="N47600" s="28"/>
      <c r="O47600" s="28"/>
      <c r="U47600" s="28"/>
    </row>
    <row r="47601">
      <c r="N47601" s="28"/>
      <c r="O47601" s="28"/>
      <c r="U47601" s="28"/>
    </row>
    <row r="47602">
      <c r="N47602" s="28"/>
      <c r="O47602" s="28"/>
      <c r="U47602" s="28"/>
    </row>
    <row r="47603">
      <c r="N47603" s="28"/>
      <c r="O47603" s="28"/>
      <c r="U47603" s="28"/>
    </row>
    <row r="47604">
      <c r="N47604" s="28"/>
      <c r="O47604" s="28"/>
      <c r="U47604" s="28"/>
    </row>
    <row r="47605">
      <c r="N47605" s="28"/>
      <c r="O47605" s="28"/>
      <c r="U47605" s="28"/>
    </row>
    <row r="47606">
      <c r="N47606" s="28"/>
      <c r="O47606" s="28"/>
      <c r="U47606" s="28"/>
    </row>
    <row r="47607">
      <c r="N47607" s="28"/>
      <c r="O47607" s="28"/>
      <c r="U47607" s="28"/>
    </row>
    <row r="47608">
      <c r="N47608" s="28"/>
      <c r="O47608" s="28"/>
      <c r="U47608" s="28"/>
    </row>
    <row r="47609">
      <c r="N47609" s="28"/>
      <c r="O47609" s="28"/>
      <c r="U47609" s="28"/>
    </row>
    <row r="47610">
      <c r="N47610" s="28"/>
      <c r="O47610" s="28"/>
      <c r="U47610" s="28"/>
    </row>
    <row r="47611">
      <c r="N47611" s="28"/>
      <c r="O47611" s="28"/>
      <c r="U47611" s="28"/>
    </row>
    <row r="47612">
      <c r="N47612" s="28"/>
      <c r="O47612" s="28"/>
      <c r="U47612" s="28"/>
    </row>
    <row r="47613">
      <c r="N47613" s="28"/>
      <c r="O47613" s="28"/>
      <c r="U47613" s="28"/>
    </row>
    <row r="47614">
      <c r="N47614" s="28"/>
      <c r="O47614" s="28"/>
      <c r="U47614" s="28"/>
    </row>
    <row r="47615">
      <c r="N47615" s="28"/>
      <c r="O47615" s="28"/>
      <c r="U47615" s="28"/>
    </row>
    <row r="47616">
      <c r="N47616" s="28"/>
      <c r="O47616" s="28"/>
      <c r="U47616" s="28"/>
    </row>
    <row r="47617">
      <c r="N47617" s="28"/>
      <c r="O47617" s="28"/>
      <c r="U47617" s="28"/>
    </row>
    <row r="47618">
      <c r="N47618" s="28"/>
      <c r="O47618" s="28"/>
      <c r="U47618" s="28"/>
    </row>
    <row r="47619">
      <c r="N47619" s="28"/>
      <c r="O47619" s="28"/>
      <c r="U47619" s="28"/>
    </row>
    <row r="47620">
      <c r="N47620" s="28"/>
      <c r="O47620" s="28"/>
      <c r="U47620" s="28"/>
    </row>
    <row r="47621">
      <c r="N47621" s="28"/>
      <c r="O47621" s="28"/>
      <c r="U47621" s="28"/>
    </row>
    <row r="47622">
      <c r="N47622" s="28"/>
      <c r="O47622" s="28"/>
      <c r="U47622" s="28"/>
    </row>
    <row r="47623">
      <c r="N47623" s="28"/>
      <c r="O47623" s="28"/>
      <c r="U47623" s="28"/>
    </row>
    <row r="47624">
      <c r="N47624" s="28"/>
      <c r="O47624" s="28"/>
      <c r="U47624" s="28"/>
    </row>
    <row r="47625">
      <c r="N47625" s="28"/>
      <c r="O47625" s="28"/>
      <c r="U47625" s="28"/>
    </row>
    <row r="47626">
      <c r="N47626" s="28"/>
      <c r="O47626" s="28"/>
      <c r="U47626" s="28"/>
    </row>
    <row r="47627">
      <c r="N47627" s="28"/>
      <c r="O47627" s="28"/>
      <c r="U47627" s="28"/>
    </row>
    <row r="47628">
      <c r="N47628" s="28"/>
      <c r="O47628" s="28"/>
      <c r="U47628" s="28"/>
    </row>
    <row r="47629">
      <c r="N47629" s="28"/>
      <c r="O47629" s="28"/>
      <c r="U47629" s="28"/>
    </row>
    <row r="47630">
      <c r="N47630" s="28"/>
      <c r="O47630" s="28"/>
      <c r="U47630" s="28"/>
    </row>
    <row r="47631">
      <c r="N47631" s="28"/>
      <c r="O47631" s="28"/>
      <c r="U47631" s="28"/>
    </row>
    <row r="47632">
      <c r="N47632" s="28"/>
      <c r="O47632" s="28"/>
      <c r="U47632" s="28"/>
    </row>
    <row r="47633">
      <c r="N47633" s="28"/>
      <c r="O47633" s="28"/>
      <c r="U47633" s="28"/>
    </row>
    <row r="47634">
      <c r="N47634" s="28"/>
      <c r="O47634" s="28"/>
      <c r="U47634" s="28"/>
    </row>
    <row r="47635">
      <c r="N47635" s="28"/>
      <c r="O47635" s="28"/>
      <c r="U47635" s="28"/>
    </row>
    <row r="47636">
      <c r="N47636" s="28"/>
      <c r="O47636" s="28"/>
      <c r="U47636" s="28"/>
    </row>
    <row r="47637">
      <c r="N47637" s="28"/>
      <c r="O47637" s="28"/>
      <c r="U47637" s="28"/>
    </row>
    <row r="47638">
      <c r="N47638" s="28"/>
      <c r="O47638" s="28"/>
      <c r="U47638" s="28"/>
    </row>
    <row r="47639">
      <c r="N47639" s="28"/>
      <c r="O47639" s="28"/>
      <c r="U47639" s="28"/>
    </row>
    <row r="47640">
      <c r="N47640" s="28"/>
      <c r="O47640" s="28"/>
      <c r="U47640" s="28"/>
    </row>
    <row r="47641">
      <c r="N47641" s="28"/>
      <c r="O47641" s="28"/>
      <c r="U47641" s="28"/>
    </row>
    <row r="47642">
      <c r="N47642" s="28"/>
      <c r="O47642" s="28"/>
      <c r="U47642" s="28"/>
    </row>
    <row r="47643">
      <c r="N47643" s="28"/>
      <c r="O47643" s="28"/>
      <c r="U47643" s="28"/>
    </row>
    <row r="47644">
      <c r="N47644" s="28"/>
      <c r="O47644" s="28"/>
      <c r="U47644" s="28"/>
    </row>
    <row r="47645">
      <c r="N47645" s="28"/>
      <c r="O47645" s="28"/>
      <c r="U47645" s="28"/>
    </row>
    <row r="47646">
      <c r="N47646" s="28"/>
      <c r="O47646" s="28"/>
      <c r="U47646" s="28"/>
    </row>
    <row r="47647">
      <c r="N47647" s="28"/>
      <c r="O47647" s="28"/>
      <c r="U47647" s="28"/>
    </row>
    <row r="47648">
      <c r="N47648" s="28"/>
      <c r="O47648" s="28"/>
      <c r="U47648" s="28"/>
    </row>
    <row r="47649">
      <c r="N47649" s="28"/>
      <c r="O47649" s="28"/>
      <c r="U47649" s="28"/>
    </row>
    <row r="47650">
      <c r="N47650" s="28"/>
      <c r="O47650" s="28"/>
      <c r="U47650" s="28"/>
    </row>
    <row r="47651">
      <c r="N47651" s="28"/>
      <c r="O47651" s="28"/>
      <c r="U47651" s="28"/>
    </row>
    <row r="47652">
      <c r="N47652" s="28"/>
      <c r="O47652" s="28"/>
      <c r="U47652" s="28"/>
    </row>
    <row r="47653">
      <c r="N47653" s="28"/>
      <c r="O47653" s="28"/>
      <c r="U47653" s="28"/>
    </row>
    <row r="47654">
      <c r="N47654" s="28"/>
      <c r="O47654" s="28"/>
      <c r="U47654" s="28"/>
    </row>
    <row r="47655">
      <c r="N47655" s="28"/>
      <c r="O47655" s="28"/>
      <c r="U47655" s="28"/>
    </row>
    <row r="47656">
      <c r="N47656" s="28"/>
      <c r="O47656" s="28"/>
      <c r="U47656" s="28"/>
    </row>
    <row r="47657">
      <c r="N47657" s="28"/>
      <c r="O47657" s="28"/>
      <c r="U47657" s="28"/>
    </row>
    <row r="47658">
      <c r="N47658" s="28"/>
      <c r="O47658" s="28"/>
      <c r="U47658" s="28"/>
    </row>
    <row r="47659">
      <c r="N47659" s="28"/>
      <c r="O47659" s="28"/>
      <c r="U47659" s="28"/>
    </row>
    <row r="47660">
      <c r="N47660" s="28"/>
      <c r="O47660" s="28"/>
      <c r="U47660" s="28"/>
    </row>
    <row r="47661">
      <c r="N47661" s="28"/>
      <c r="O47661" s="28"/>
      <c r="U47661" s="28"/>
    </row>
    <row r="47662">
      <c r="N47662" s="28"/>
      <c r="O47662" s="28"/>
      <c r="U47662" s="28"/>
    </row>
    <row r="47663">
      <c r="N47663" s="28"/>
      <c r="O47663" s="28"/>
      <c r="U47663" s="28"/>
    </row>
    <row r="47664">
      <c r="N47664" s="28"/>
      <c r="O47664" s="28"/>
      <c r="U47664" s="28"/>
    </row>
    <row r="47665">
      <c r="N47665" s="28"/>
      <c r="O47665" s="28"/>
      <c r="U47665" s="28"/>
    </row>
    <row r="47666">
      <c r="N47666" s="28"/>
      <c r="O47666" s="28"/>
      <c r="U47666" s="28"/>
    </row>
    <row r="47667">
      <c r="N47667" s="28"/>
      <c r="O47667" s="28"/>
      <c r="U47667" s="28"/>
    </row>
    <row r="47668">
      <c r="N47668" s="28"/>
      <c r="O47668" s="28"/>
      <c r="U47668" s="28"/>
    </row>
    <row r="47669">
      <c r="N47669" s="28"/>
      <c r="O47669" s="28"/>
      <c r="U47669" s="28"/>
    </row>
    <row r="47670">
      <c r="N47670" s="28"/>
      <c r="O47670" s="28"/>
      <c r="U47670" s="28"/>
    </row>
    <row r="47671">
      <c r="N47671" s="28"/>
      <c r="O47671" s="28"/>
      <c r="U47671" s="28"/>
    </row>
    <row r="47672">
      <c r="N47672" s="28"/>
      <c r="O47672" s="28"/>
      <c r="U47672" s="28"/>
    </row>
    <row r="47673">
      <c r="N47673" s="28"/>
      <c r="O47673" s="28"/>
      <c r="U47673" s="28"/>
    </row>
    <row r="47674">
      <c r="N47674" s="28"/>
      <c r="O47674" s="28"/>
      <c r="U47674" s="28"/>
    </row>
    <row r="47675">
      <c r="N47675" s="28"/>
      <c r="O47675" s="28"/>
      <c r="U47675" s="28"/>
    </row>
    <row r="47676">
      <c r="N47676" s="28"/>
      <c r="O47676" s="28"/>
      <c r="U47676" s="28"/>
    </row>
    <row r="47677">
      <c r="N47677" s="28"/>
      <c r="O47677" s="28"/>
      <c r="U47677" s="28"/>
    </row>
    <row r="47678">
      <c r="N47678" s="28"/>
      <c r="O47678" s="28"/>
      <c r="U47678" s="28"/>
    </row>
    <row r="47679">
      <c r="N47679" s="28"/>
      <c r="O47679" s="28"/>
      <c r="U47679" s="28"/>
    </row>
    <row r="47680">
      <c r="N47680" s="28"/>
      <c r="O47680" s="28"/>
      <c r="U47680" s="28"/>
    </row>
    <row r="47681">
      <c r="N47681" s="28"/>
      <c r="O47681" s="28"/>
      <c r="U47681" s="28"/>
    </row>
    <row r="47682">
      <c r="N47682" s="28"/>
      <c r="O47682" s="28"/>
      <c r="U47682" s="28"/>
    </row>
    <row r="47683">
      <c r="N47683" s="28"/>
      <c r="O47683" s="28"/>
      <c r="U47683" s="28"/>
    </row>
    <row r="47684">
      <c r="N47684" s="28"/>
      <c r="O47684" s="28"/>
      <c r="U47684" s="28"/>
    </row>
    <row r="47685">
      <c r="N47685" s="28"/>
      <c r="O47685" s="28"/>
      <c r="U47685" s="28"/>
    </row>
    <row r="47686">
      <c r="N47686" s="28"/>
      <c r="O47686" s="28"/>
      <c r="U47686" s="28"/>
    </row>
    <row r="47687">
      <c r="N47687" s="28"/>
      <c r="O47687" s="28"/>
      <c r="U47687" s="28"/>
    </row>
    <row r="47688">
      <c r="N47688" s="28"/>
      <c r="O47688" s="28"/>
      <c r="U47688" s="28"/>
    </row>
    <row r="47689">
      <c r="N47689" s="28"/>
      <c r="O47689" s="28"/>
      <c r="U47689" s="28"/>
    </row>
    <row r="47690">
      <c r="N47690" s="28"/>
      <c r="O47690" s="28"/>
      <c r="U47690" s="28"/>
    </row>
    <row r="47691">
      <c r="N47691" s="28"/>
      <c r="O47691" s="28"/>
      <c r="U47691" s="28"/>
    </row>
    <row r="47692">
      <c r="N47692" s="28"/>
      <c r="O47692" s="28"/>
      <c r="U47692" s="28"/>
    </row>
    <row r="47693">
      <c r="N47693" s="28"/>
      <c r="O47693" s="28"/>
      <c r="U47693" s="28"/>
    </row>
    <row r="47694">
      <c r="N47694" s="28"/>
      <c r="O47694" s="28"/>
      <c r="U47694" s="28"/>
    </row>
    <row r="47695">
      <c r="N47695" s="28"/>
      <c r="O47695" s="28"/>
      <c r="U47695" s="28"/>
    </row>
    <row r="47696">
      <c r="N47696" s="28"/>
      <c r="O47696" s="28"/>
      <c r="U47696" s="28"/>
    </row>
    <row r="47697">
      <c r="N47697" s="28"/>
      <c r="O47697" s="28"/>
      <c r="U47697" s="28"/>
    </row>
    <row r="47698">
      <c r="N47698" s="28"/>
      <c r="O47698" s="28"/>
      <c r="U47698" s="28"/>
    </row>
    <row r="47699">
      <c r="N47699" s="28"/>
      <c r="O47699" s="28"/>
      <c r="U47699" s="28"/>
    </row>
    <row r="47700">
      <c r="N47700" s="28"/>
      <c r="O47700" s="28"/>
      <c r="U47700" s="28"/>
    </row>
    <row r="47701">
      <c r="N47701" s="28"/>
      <c r="O47701" s="28"/>
      <c r="U47701" s="28"/>
    </row>
    <row r="47702">
      <c r="N47702" s="28"/>
      <c r="O47702" s="28"/>
      <c r="U47702" s="28"/>
    </row>
    <row r="47703">
      <c r="N47703" s="28"/>
      <c r="O47703" s="28"/>
      <c r="U47703" s="28"/>
    </row>
    <row r="47704">
      <c r="N47704" s="28"/>
      <c r="O47704" s="28"/>
      <c r="U47704" s="28"/>
    </row>
    <row r="47705">
      <c r="N47705" s="28"/>
      <c r="O47705" s="28"/>
      <c r="U47705" s="28"/>
    </row>
    <row r="47706">
      <c r="N47706" s="28"/>
      <c r="O47706" s="28"/>
      <c r="U47706" s="28"/>
    </row>
    <row r="47707">
      <c r="N47707" s="28"/>
      <c r="O47707" s="28"/>
      <c r="U47707" s="28"/>
    </row>
    <row r="47708">
      <c r="N47708" s="28"/>
      <c r="O47708" s="28"/>
      <c r="U47708" s="28"/>
    </row>
    <row r="47709">
      <c r="N47709" s="28"/>
      <c r="O47709" s="28"/>
      <c r="U47709" s="28"/>
    </row>
    <row r="47710">
      <c r="N47710" s="28"/>
      <c r="O47710" s="28"/>
      <c r="U47710" s="28"/>
    </row>
    <row r="47711">
      <c r="N47711" s="28"/>
      <c r="O47711" s="28"/>
      <c r="U47711" s="28"/>
    </row>
    <row r="47712">
      <c r="N47712" s="28"/>
      <c r="O47712" s="28"/>
      <c r="U47712" s="28"/>
    </row>
    <row r="47713">
      <c r="N47713" s="28"/>
      <c r="O47713" s="28"/>
      <c r="U47713" s="28"/>
    </row>
    <row r="47714">
      <c r="N47714" s="28"/>
      <c r="O47714" s="28"/>
      <c r="U47714" s="28"/>
    </row>
    <row r="47715">
      <c r="N47715" s="28"/>
      <c r="O47715" s="28"/>
      <c r="U47715" s="28"/>
    </row>
    <row r="47716">
      <c r="N47716" s="28"/>
      <c r="O47716" s="28"/>
      <c r="U47716" s="28"/>
    </row>
    <row r="47717">
      <c r="N47717" s="28"/>
      <c r="O47717" s="28"/>
      <c r="U47717" s="28"/>
    </row>
    <row r="47718">
      <c r="N47718" s="28"/>
      <c r="O47718" s="28"/>
      <c r="U47718" s="28"/>
    </row>
    <row r="47719">
      <c r="N47719" s="28"/>
      <c r="O47719" s="28"/>
      <c r="U47719" s="28"/>
    </row>
    <row r="47720">
      <c r="N47720" s="28"/>
      <c r="O47720" s="28"/>
      <c r="U47720" s="28"/>
    </row>
    <row r="47721">
      <c r="N47721" s="28"/>
      <c r="O47721" s="28"/>
      <c r="U47721" s="28"/>
    </row>
    <row r="47722">
      <c r="N47722" s="28"/>
      <c r="O47722" s="28"/>
      <c r="U47722" s="28"/>
    </row>
    <row r="47723">
      <c r="N47723" s="28"/>
      <c r="O47723" s="28"/>
      <c r="U47723" s="28"/>
    </row>
    <row r="47724">
      <c r="N47724" s="28"/>
      <c r="O47724" s="28"/>
      <c r="U47724" s="28"/>
    </row>
    <row r="47725">
      <c r="N47725" s="28"/>
      <c r="O47725" s="28"/>
      <c r="U47725" s="28"/>
    </row>
    <row r="47726">
      <c r="N47726" s="28"/>
      <c r="O47726" s="28"/>
      <c r="U47726" s="28"/>
    </row>
    <row r="47727">
      <c r="N47727" s="28"/>
      <c r="O47727" s="28"/>
      <c r="U47727" s="28"/>
    </row>
    <row r="47728">
      <c r="N47728" s="28"/>
      <c r="O47728" s="28"/>
      <c r="U47728" s="28"/>
    </row>
    <row r="47729">
      <c r="N47729" s="28"/>
      <c r="O47729" s="28"/>
      <c r="U47729" s="28"/>
    </row>
    <row r="47730">
      <c r="N47730" s="28"/>
      <c r="O47730" s="28"/>
      <c r="U47730" s="28"/>
    </row>
    <row r="47731">
      <c r="N47731" s="28"/>
      <c r="O47731" s="28"/>
      <c r="U47731" s="28"/>
    </row>
    <row r="47732">
      <c r="N47732" s="28"/>
      <c r="O47732" s="28"/>
      <c r="U47732" s="28"/>
    </row>
    <row r="47733">
      <c r="N47733" s="28"/>
      <c r="O47733" s="28"/>
      <c r="U47733" s="28"/>
    </row>
    <row r="47734">
      <c r="N47734" s="28"/>
      <c r="O47734" s="28"/>
      <c r="U47734" s="28"/>
    </row>
    <row r="47735">
      <c r="N47735" s="28"/>
      <c r="O47735" s="28"/>
      <c r="U47735" s="28"/>
    </row>
    <row r="47736">
      <c r="N47736" s="28"/>
      <c r="O47736" s="28"/>
      <c r="U47736" s="28"/>
    </row>
    <row r="47737">
      <c r="N47737" s="28"/>
      <c r="O47737" s="28"/>
      <c r="U47737" s="28"/>
    </row>
    <row r="47738">
      <c r="N47738" s="28"/>
      <c r="O47738" s="28"/>
      <c r="U47738" s="28"/>
    </row>
    <row r="47739">
      <c r="N47739" s="28"/>
      <c r="O47739" s="28"/>
      <c r="U47739" s="28"/>
    </row>
    <row r="47740">
      <c r="N47740" s="28"/>
      <c r="O47740" s="28"/>
      <c r="U47740" s="28"/>
    </row>
    <row r="47741">
      <c r="N47741" s="28"/>
      <c r="O47741" s="28"/>
      <c r="U47741" s="28"/>
    </row>
    <row r="47742">
      <c r="N47742" s="28"/>
      <c r="O47742" s="28"/>
      <c r="U47742" s="28"/>
    </row>
    <row r="47743">
      <c r="N47743" s="28"/>
      <c r="O47743" s="28"/>
      <c r="U47743" s="28"/>
    </row>
    <row r="47744">
      <c r="N47744" s="28"/>
      <c r="O47744" s="28"/>
      <c r="U47744" s="28"/>
    </row>
    <row r="47745">
      <c r="N47745" s="28"/>
      <c r="O47745" s="28"/>
      <c r="U47745" s="28"/>
    </row>
    <row r="47746">
      <c r="N47746" s="28"/>
      <c r="O47746" s="28"/>
      <c r="U47746" s="28"/>
    </row>
    <row r="47747">
      <c r="N47747" s="28"/>
      <c r="O47747" s="28"/>
      <c r="U47747" s="28"/>
    </row>
    <row r="47748">
      <c r="N47748" s="28"/>
      <c r="O47748" s="28"/>
      <c r="U47748" s="28"/>
    </row>
    <row r="47749">
      <c r="N47749" s="28"/>
      <c r="O47749" s="28"/>
      <c r="U47749" s="28"/>
    </row>
    <row r="47750">
      <c r="N47750" s="28"/>
      <c r="O47750" s="28"/>
      <c r="U47750" s="28"/>
    </row>
    <row r="47751">
      <c r="N47751" s="28"/>
      <c r="O47751" s="28"/>
      <c r="U47751" s="28"/>
    </row>
    <row r="47752">
      <c r="N47752" s="28"/>
      <c r="O47752" s="28"/>
      <c r="U47752" s="28"/>
    </row>
    <row r="47753">
      <c r="N47753" s="28"/>
      <c r="O47753" s="28"/>
      <c r="U47753" s="28"/>
    </row>
    <row r="47754">
      <c r="N47754" s="28"/>
      <c r="O47754" s="28"/>
      <c r="U47754" s="28"/>
    </row>
    <row r="47755">
      <c r="N47755" s="28"/>
      <c r="O47755" s="28"/>
      <c r="U47755" s="28"/>
    </row>
    <row r="47756">
      <c r="N47756" s="28"/>
      <c r="O47756" s="28"/>
      <c r="U47756" s="28"/>
    </row>
    <row r="47757">
      <c r="N47757" s="28"/>
      <c r="O47757" s="28"/>
      <c r="U47757" s="28"/>
    </row>
    <row r="47758">
      <c r="N47758" s="28"/>
      <c r="O47758" s="28"/>
      <c r="U47758" s="28"/>
    </row>
    <row r="47759">
      <c r="N47759" s="28"/>
      <c r="O47759" s="28"/>
      <c r="U47759" s="28"/>
    </row>
    <row r="47760">
      <c r="N47760" s="28"/>
      <c r="O47760" s="28"/>
      <c r="U47760" s="28"/>
    </row>
    <row r="47761">
      <c r="N47761" s="28"/>
      <c r="O47761" s="28"/>
      <c r="U47761" s="28"/>
    </row>
    <row r="47762">
      <c r="N47762" s="28"/>
      <c r="O47762" s="28"/>
      <c r="U47762" s="28"/>
    </row>
    <row r="47763">
      <c r="N47763" s="28"/>
      <c r="O47763" s="28"/>
      <c r="U47763" s="28"/>
    </row>
    <row r="47764">
      <c r="N47764" s="28"/>
      <c r="O47764" s="28"/>
      <c r="U47764" s="28"/>
    </row>
    <row r="47765">
      <c r="N47765" s="28"/>
      <c r="O47765" s="28"/>
      <c r="U47765" s="28"/>
    </row>
    <row r="47766">
      <c r="N47766" s="28"/>
      <c r="O47766" s="28"/>
      <c r="U47766" s="28"/>
    </row>
    <row r="47767">
      <c r="N47767" s="28"/>
      <c r="O47767" s="28"/>
      <c r="U47767" s="28"/>
    </row>
    <row r="47768">
      <c r="N47768" s="28"/>
      <c r="O47768" s="28"/>
      <c r="U47768" s="28"/>
    </row>
    <row r="47769">
      <c r="N47769" s="28"/>
      <c r="O47769" s="28"/>
      <c r="U47769" s="28"/>
    </row>
    <row r="47770">
      <c r="N47770" s="28"/>
      <c r="O47770" s="28"/>
      <c r="U47770" s="28"/>
    </row>
    <row r="47771">
      <c r="N47771" s="28"/>
      <c r="O47771" s="28"/>
      <c r="U47771" s="28"/>
    </row>
    <row r="47772">
      <c r="N47772" s="28"/>
      <c r="O47772" s="28"/>
      <c r="U47772" s="28"/>
    </row>
    <row r="47773">
      <c r="N47773" s="28"/>
      <c r="O47773" s="28"/>
      <c r="U47773" s="28"/>
    </row>
    <row r="47774">
      <c r="N47774" s="28"/>
      <c r="O47774" s="28"/>
      <c r="U47774" s="28"/>
    </row>
    <row r="47775">
      <c r="N47775" s="28"/>
      <c r="O47775" s="28"/>
      <c r="U47775" s="28"/>
    </row>
    <row r="47776">
      <c r="N47776" s="28"/>
      <c r="O47776" s="28"/>
      <c r="U47776" s="28"/>
    </row>
    <row r="47777">
      <c r="N47777" s="28"/>
      <c r="O47777" s="28"/>
      <c r="U47777" s="28"/>
    </row>
    <row r="47778">
      <c r="N47778" s="28"/>
      <c r="O47778" s="28"/>
      <c r="U47778" s="28"/>
    </row>
    <row r="47779">
      <c r="N47779" s="28"/>
      <c r="O47779" s="28"/>
      <c r="U47779" s="28"/>
    </row>
    <row r="47780">
      <c r="N47780" s="28"/>
      <c r="O47780" s="28"/>
      <c r="U47780" s="28"/>
    </row>
    <row r="47781">
      <c r="N47781" s="28"/>
      <c r="O47781" s="28"/>
      <c r="U47781" s="28"/>
    </row>
    <row r="47782">
      <c r="N47782" s="28"/>
      <c r="O47782" s="28"/>
      <c r="U47782" s="28"/>
    </row>
    <row r="47783">
      <c r="N47783" s="28"/>
      <c r="O47783" s="28"/>
      <c r="U47783" s="28"/>
    </row>
    <row r="47784">
      <c r="N47784" s="28"/>
      <c r="O47784" s="28"/>
      <c r="U47784" s="28"/>
    </row>
    <row r="47785">
      <c r="N47785" s="28"/>
      <c r="O47785" s="28"/>
      <c r="U47785" s="28"/>
    </row>
    <row r="47786">
      <c r="N47786" s="28"/>
      <c r="O47786" s="28"/>
      <c r="U47786" s="28"/>
    </row>
    <row r="47787">
      <c r="N47787" s="28"/>
      <c r="O47787" s="28"/>
      <c r="U47787" s="28"/>
    </row>
    <row r="47788">
      <c r="N47788" s="28"/>
      <c r="O47788" s="28"/>
      <c r="U47788" s="28"/>
    </row>
    <row r="47789">
      <c r="N47789" s="28"/>
      <c r="O47789" s="28"/>
      <c r="U47789" s="28"/>
    </row>
    <row r="47790">
      <c r="N47790" s="28"/>
      <c r="O47790" s="28"/>
      <c r="U47790" s="28"/>
    </row>
    <row r="47791">
      <c r="N47791" s="28"/>
      <c r="O47791" s="28"/>
      <c r="U47791" s="28"/>
    </row>
    <row r="47792">
      <c r="N47792" s="28"/>
      <c r="O47792" s="28"/>
      <c r="U47792" s="28"/>
    </row>
    <row r="47793">
      <c r="N47793" s="28"/>
      <c r="O47793" s="28"/>
      <c r="U47793" s="28"/>
    </row>
    <row r="47794">
      <c r="N47794" s="28"/>
      <c r="O47794" s="28"/>
      <c r="U47794" s="28"/>
    </row>
    <row r="47795">
      <c r="N47795" s="28"/>
      <c r="O47795" s="28"/>
      <c r="U47795" s="28"/>
    </row>
    <row r="47796">
      <c r="N47796" s="28"/>
      <c r="O47796" s="28"/>
      <c r="U47796" s="28"/>
    </row>
    <row r="47797">
      <c r="N47797" s="28"/>
      <c r="O47797" s="28"/>
      <c r="U47797" s="28"/>
    </row>
    <row r="47798">
      <c r="N47798" s="28"/>
      <c r="O47798" s="28"/>
      <c r="U47798" s="28"/>
    </row>
    <row r="47799">
      <c r="N47799" s="28"/>
      <c r="O47799" s="28"/>
      <c r="U47799" s="28"/>
    </row>
    <row r="47800">
      <c r="N47800" s="28"/>
      <c r="O47800" s="28"/>
      <c r="U47800" s="28"/>
    </row>
    <row r="47801">
      <c r="N47801" s="28"/>
      <c r="O47801" s="28"/>
      <c r="U47801" s="28"/>
    </row>
    <row r="47802">
      <c r="N47802" s="28"/>
      <c r="O47802" s="28"/>
      <c r="U47802" s="28"/>
    </row>
    <row r="47803">
      <c r="N47803" s="28"/>
      <c r="O47803" s="28"/>
      <c r="U47803" s="28"/>
    </row>
    <row r="47804">
      <c r="N47804" s="28"/>
      <c r="O47804" s="28"/>
      <c r="U47804" s="28"/>
    </row>
    <row r="47805">
      <c r="N47805" s="28"/>
      <c r="O47805" s="28"/>
      <c r="U47805" s="28"/>
    </row>
    <row r="47806">
      <c r="N47806" s="28"/>
      <c r="O47806" s="28"/>
      <c r="U47806" s="28"/>
    </row>
    <row r="47807">
      <c r="N47807" s="28"/>
      <c r="O47807" s="28"/>
      <c r="U47807" s="28"/>
    </row>
    <row r="47808">
      <c r="N47808" s="28"/>
      <c r="O47808" s="28"/>
      <c r="U47808" s="28"/>
    </row>
    <row r="47809">
      <c r="N47809" s="28"/>
      <c r="O47809" s="28"/>
      <c r="U47809" s="28"/>
    </row>
    <row r="47810">
      <c r="N47810" s="28"/>
      <c r="O47810" s="28"/>
      <c r="U47810" s="28"/>
    </row>
    <row r="47811">
      <c r="N47811" s="28"/>
      <c r="O47811" s="28"/>
      <c r="U47811" s="28"/>
    </row>
    <row r="47812">
      <c r="N47812" s="28"/>
      <c r="O47812" s="28"/>
      <c r="U47812" s="28"/>
    </row>
    <row r="47813">
      <c r="N47813" s="28"/>
      <c r="O47813" s="28"/>
      <c r="U47813" s="28"/>
    </row>
    <row r="47814">
      <c r="N47814" s="28"/>
      <c r="O47814" s="28"/>
      <c r="U47814" s="28"/>
    </row>
    <row r="47815">
      <c r="N47815" s="28"/>
      <c r="O47815" s="28"/>
      <c r="U47815" s="28"/>
    </row>
    <row r="47816">
      <c r="N47816" s="28"/>
      <c r="O47816" s="28"/>
      <c r="U47816" s="28"/>
    </row>
    <row r="47817">
      <c r="N47817" s="28"/>
      <c r="O47817" s="28"/>
      <c r="U47817" s="28"/>
    </row>
    <row r="47818">
      <c r="N47818" s="28"/>
      <c r="O47818" s="28"/>
      <c r="U47818" s="28"/>
    </row>
    <row r="47819">
      <c r="N47819" s="28"/>
      <c r="O47819" s="28"/>
      <c r="U47819" s="28"/>
    </row>
    <row r="47820">
      <c r="N47820" s="28"/>
      <c r="O47820" s="28"/>
      <c r="U47820" s="28"/>
    </row>
    <row r="47821">
      <c r="N47821" s="28"/>
      <c r="O47821" s="28"/>
      <c r="U47821" s="28"/>
    </row>
    <row r="47822">
      <c r="N47822" s="28"/>
      <c r="O47822" s="28"/>
      <c r="U47822" s="28"/>
    </row>
    <row r="47823">
      <c r="N47823" s="28"/>
      <c r="O47823" s="28"/>
      <c r="U47823" s="28"/>
    </row>
    <row r="47824">
      <c r="N47824" s="28"/>
      <c r="O47824" s="28"/>
      <c r="U47824" s="28"/>
    </row>
    <row r="47825">
      <c r="N47825" s="28"/>
      <c r="O47825" s="28"/>
      <c r="U47825" s="28"/>
    </row>
    <row r="47826">
      <c r="N47826" s="28"/>
      <c r="O47826" s="28"/>
      <c r="U47826" s="28"/>
    </row>
    <row r="47827">
      <c r="N47827" s="28"/>
      <c r="O47827" s="28"/>
      <c r="U47827" s="28"/>
    </row>
    <row r="47828">
      <c r="N47828" s="28"/>
      <c r="O47828" s="28"/>
      <c r="U47828" s="28"/>
    </row>
    <row r="47829">
      <c r="N47829" s="28"/>
      <c r="O47829" s="28"/>
      <c r="U47829" s="28"/>
    </row>
    <row r="47830">
      <c r="N47830" s="28"/>
      <c r="O47830" s="28"/>
      <c r="U47830" s="28"/>
    </row>
    <row r="47831">
      <c r="N47831" s="28"/>
      <c r="O47831" s="28"/>
      <c r="U47831" s="28"/>
    </row>
    <row r="47832">
      <c r="N47832" s="28"/>
      <c r="O47832" s="28"/>
      <c r="U47832" s="28"/>
    </row>
    <row r="47833">
      <c r="N47833" s="28"/>
      <c r="O47833" s="28"/>
      <c r="U47833" s="28"/>
    </row>
    <row r="47834">
      <c r="N47834" s="28"/>
      <c r="O47834" s="28"/>
      <c r="U47834" s="28"/>
    </row>
    <row r="47835">
      <c r="N47835" s="28"/>
      <c r="O47835" s="28"/>
      <c r="U47835" s="28"/>
    </row>
    <row r="47836">
      <c r="N47836" s="28"/>
      <c r="O47836" s="28"/>
      <c r="U47836" s="28"/>
    </row>
    <row r="47837">
      <c r="N47837" s="28"/>
      <c r="O47837" s="28"/>
      <c r="U47837" s="28"/>
    </row>
    <row r="47838">
      <c r="N47838" s="28"/>
      <c r="O47838" s="28"/>
      <c r="U47838" s="28"/>
    </row>
    <row r="47839">
      <c r="N47839" s="28"/>
      <c r="O47839" s="28"/>
      <c r="U47839" s="28"/>
    </row>
    <row r="47840">
      <c r="N47840" s="28"/>
      <c r="O47840" s="28"/>
      <c r="U47840" s="28"/>
    </row>
    <row r="47841">
      <c r="N47841" s="28"/>
      <c r="O47841" s="28"/>
      <c r="U47841" s="28"/>
    </row>
    <row r="47842">
      <c r="N47842" s="28"/>
      <c r="O47842" s="28"/>
      <c r="U47842" s="28"/>
    </row>
    <row r="47843">
      <c r="N47843" s="28"/>
      <c r="O47843" s="28"/>
      <c r="U47843" s="28"/>
    </row>
    <row r="47844">
      <c r="N47844" s="28"/>
      <c r="O47844" s="28"/>
      <c r="U47844" s="28"/>
    </row>
    <row r="47845">
      <c r="N47845" s="28"/>
      <c r="O47845" s="28"/>
      <c r="U47845" s="28"/>
    </row>
    <row r="47846">
      <c r="N47846" s="28"/>
      <c r="O47846" s="28"/>
      <c r="U47846" s="28"/>
    </row>
    <row r="47847">
      <c r="N47847" s="28"/>
      <c r="O47847" s="28"/>
      <c r="U47847" s="28"/>
    </row>
    <row r="47848">
      <c r="N47848" s="28"/>
      <c r="O47848" s="28"/>
      <c r="U47848" s="28"/>
    </row>
    <row r="47849">
      <c r="N47849" s="28"/>
      <c r="O47849" s="28"/>
      <c r="U47849" s="28"/>
    </row>
    <row r="47850">
      <c r="N47850" s="28"/>
      <c r="O47850" s="28"/>
      <c r="U47850" s="28"/>
    </row>
    <row r="47851">
      <c r="N47851" s="28"/>
      <c r="O47851" s="28"/>
      <c r="U47851" s="28"/>
    </row>
    <row r="47852">
      <c r="N47852" s="28"/>
      <c r="O47852" s="28"/>
      <c r="U47852" s="28"/>
    </row>
    <row r="47853">
      <c r="N47853" s="28"/>
      <c r="O47853" s="28"/>
      <c r="U47853" s="28"/>
    </row>
    <row r="47854">
      <c r="N47854" s="28"/>
      <c r="O47854" s="28"/>
      <c r="U47854" s="28"/>
    </row>
    <row r="47855">
      <c r="N47855" s="28"/>
      <c r="O47855" s="28"/>
      <c r="U47855" s="28"/>
    </row>
    <row r="47856">
      <c r="N47856" s="28"/>
      <c r="O47856" s="28"/>
      <c r="U47856" s="28"/>
    </row>
    <row r="47857">
      <c r="N47857" s="28"/>
      <c r="O47857" s="28"/>
      <c r="U47857" s="28"/>
    </row>
    <row r="47858">
      <c r="N47858" s="28"/>
      <c r="O47858" s="28"/>
      <c r="U47858" s="28"/>
    </row>
    <row r="47859">
      <c r="N47859" s="28"/>
      <c r="O47859" s="28"/>
      <c r="U47859" s="28"/>
    </row>
    <row r="47860">
      <c r="N47860" s="28"/>
      <c r="O47860" s="28"/>
      <c r="U47860" s="28"/>
    </row>
    <row r="47861">
      <c r="N47861" s="28"/>
      <c r="O47861" s="28"/>
      <c r="U47861" s="28"/>
    </row>
    <row r="47862">
      <c r="N47862" s="28"/>
      <c r="O47862" s="28"/>
      <c r="U47862" s="28"/>
    </row>
    <row r="47863">
      <c r="N47863" s="28"/>
      <c r="O47863" s="28"/>
      <c r="U47863" s="28"/>
    </row>
    <row r="47864">
      <c r="N47864" s="28"/>
      <c r="O47864" s="28"/>
      <c r="U47864" s="28"/>
    </row>
    <row r="47865">
      <c r="N47865" s="28"/>
      <c r="O47865" s="28"/>
      <c r="U47865" s="28"/>
    </row>
    <row r="47866">
      <c r="N47866" s="28"/>
      <c r="O47866" s="28"/>
      <c r="U47866" s="28"/>
    </row>
    <row r="47867">
      <c r="N47867" s="28"/>
      <c r="O47867" s="28"/>
      <c r="U47867" s="28"/>
    </row>
    <row r="47868">
      <c r="N47868" s="28"/>
      <c r="O47868" s="28"/>
      <c r="U47868" s="28"/>
    </row>
    <row r="47869">
      <c r="N47869" s="28"/>
      <c r="O47869" s="28"/>
      <c r="U47869" s="28"/>
    </row>
    <row r="47870">
      <c r="N47870" s="28"/>
      <c r="O47870" s="28"/>
      <c r="U47870" s="28"/>
    </row>
    <row r="47871">
      <c r="N47871" s="28"/>
      <c r="O47871" s="28"/>
      <c r="U47871" s="28"/>
    </row>
    <row r="47872">
      <c r="N47872" s="28"/>
      <c r="O47872" s="28"/>
      <c r="U47872" s="28"/>
    </row>
    <row r="47873">
      <c r="N47873" s="28"/>
      <c r="O47873" s="28"/>
      <c r="U47873" s="28"/>
    </row>
    <row r="47874">
      <c r="N47874" s="28"/>
      <c r="O47874" s="28"/>
      <c r="U47874" s="28"/>
    </row>
    <row r="47875">
      <c r="N47875" s="28"/>
      <c r="O47875" s="28"/>
      <c r="U47875" s="28"/>
    </row>
    <row r="47876">
      <c r="N47876" s="28"/>
      <c r="O47876" s="28"/>
      <c r="U47876" s="28"/>
    </row>
    <row r="47877">
      <c r="N47877" s="28"/>
      <c r="O47877" s="28"/>
      <c r="U47877" s="28"/>
    </row>
    <row r="47878">
      <c r="N47878" s="28"/>
      <c r="O47878" s="28"/>
      <c r="U47878" s="28"/>
    </row>
    <row r="47879">
      <c r="N47879" s="28"/>
      <c r="O47879" s="28"/>
      <c r="U47879" s="28"/>
    </row>
    <row r="47880">
      <c r="N47880" s="28"/>
      <c r="O47880" s="28"/>
      <c r="U47880" s="28"/>
    </row>
    <row r="47881">
      <c r="N47881" s="28"/>
      <c r="O47881" s="28"/>
      <c r="U47881" s="28"/>
    </row>
    <row r="47882">
      <c r="N47882" s="28"/>
      <c r="O47882" s="28"/>
      <c r="U47882" s="28"/>
    </row>
    <row r="47883">
      <c r="N47883" s="28"/>
      <c r="O47883" s="28"/>
      <c r="U47883" s="28"/>
    </row>
    <row r="47884">
      <c r="N47884" s="28"/>
      <c r="O47884" s="28"/>
      <c r="U47884" s="28"/>
    </row>
    <row r="47885">
      <c r="N47885" s="28"/>
      <c r="O47885" s="28"/>
      <c r="U47885" s="28"/>
    </row>
    <row r="47886">
      <c r="N47886" s="28"/>
      <c r="O47886" s="28"/>
      <c r="U47886" s="28"/>
    </row>
    <row r="47887">
      <c r="N47887" s="28"/>
      <c r="O47887" s="28"/>
      <c r="U47887" s="28"/>
    </row>
    <row r="47888">
      <c r="N47888" s="28"/>
      <c r="O47888" s="28"/>
      <c r="U47888" s="28"/>
    </row>
    <row r="47889">
      <c r="N47889" s="28"/>
      <c r="O47889" s="28"/>
      <c r="U47889" s="28"/>
    </row>
    <row r="47890">
      <c r="N47890" s="28"/>
      <c r="O47890" s="28"/>
      <c r="U47890" s="28"/>
    </row>
    <row r="47891">
      <c r="N47891" s="28"/>
      <c r="O47891" s="28"/>
      <c r="U47891" s="28"/>
    </row>
    <row r="47892">
      <c r="N47892" s="28"/>
      <c r="O47892" s="28"/>
      <c r="U47892" s="28"/>
    </row>
    <row r="47893">
      <c r="N47893" s="28"/>
      <c r="O47893" s="28"/>
      <c r="U47893" s="28"/>
    </row>
    <row r="47894">
      <c r="N47894" s="28"/>
      <c r="O47894" s="28"/>
      <c r="U47894" s="28"/>
    </row>
    <row r="47895">
      <c r="N47895" s="28"/>
      <c r="O47895" s="28"/>
      <c r="U47895" s="28"/>
    </row>
    <row r="47896">
      <c r="N47896" s="28"/>
      <c r="O47896" s="28"/>
      <c r="U47896" s="28"/>
    </row>
    <row r="47897">
      <c r="N47897" s="28"/>
      <c r="O47897" s="28"/>
      <c r="U47897" s="28"/>
    </row>
    <row r="47898">
      <c r="N47898" s="28"/>
      <c r="O47898" s="28"/>
      <c r="U47898" s="28"/>
    </row>
    <row r="47899">
      <c r="N47899" s="28"/>
      <c r="O47899" s="28"/>
      <c r="U47899" s="28"/>
    </row>
    <row r="47900">
      <c r="N47900" s="28"/>
      <c r="O47900" s="28"/>
      <c r="U47900" s="28"/>
    </row>
    <row r="47901">
      <c r="N47901" s="28"/>
      <c r="O47901" s="28"/>
      <c r="U47901" s="28"/>
    </row>
    <row r="47902">
      <c r="N47902" s="28"/>
      <c r="O47902" s="28"/>
      <c r="U47902" s="28"/>
    </row>
    <row r="47903">
      <c r="N47903" s="28"/>
      <c r="O47903" s="28"/>
      <c r="U47903" s="28"/>
    </row>
    <row r="47904">
      <c r="N47904" s="28"/>
      <c r="O47904" s="28"/>
      <c r="U47904" s="28"/>
    </row>
    <row r="47905">
      <c r="N47905" s="28"/>
      <c r="O47905" s="28"/>
      <c r="U47905" s="28"/>
    </row>
    <row r="47906">
      <c r="N47906" s="28"/>
      <c r="O47906" s="28"/>
      <c r="U47906" s="28"/>
    </row>
    <row r="47907">
      <c r="N47907" s="28"/>
      <c r="O47907" s="28"/>
      <c r="U47907" s="28"/>
    </row>
    <row r="47908">
      <c r="N47908" s="28"/>
      <c r="O47908" s="28"/>
      <c r="U47908" s="28"/>
    </row>
    <row r="47909">
      <c r="N47909" s="28"/>
      <c r="O47909" s="28"/>
      <c r="U47909" s="28"/>
    </row>
    <row r="47910">
      <c r="N47910" s="28"/>
      <c r="O47910" s="28"/>
      <c r="U47910" s="28"/>
    </row>
    <row r="47911">
      <c r="N47911" s="28"/>
      <c r="O47911" s="28"/>
      <c r="U47911" s="28"/>
    </row>
    <row r="47912">
      <c r="N47912" s="28"/>
      <c r="O47912" s="28"/>
      <c r="U47912" s="28"/>
    </row>
    <row r="47913">
      <c r="N47913" s="28"/>
      <c r="O47913" s="28"/>
      <c r="U47913" s="28"/>
    </row>
    <row r="47914">
      <c r="N47914" s="28"/>
      <c r="O47914" s="28"/>
      <c r="U47914" s="28"/>
    </row>
    <row r="47915">
      <c r="N47915" s="28"/>
      <c r="O47915" s="28"/>
      <c r="U47915" s="28"/>
    </row>
    <row r="47916">
      <c r="N47916" s="28"/>
      <c r="O47916" s="28"/>
      <c r="U47916" s="28"/>
    </row>
    <row r="47917">
      <c r="N47917" s="28"/>
      <c r="O47917" s="28"/>
      <c r="U47917" s="28"/>
    </row>
    <row r="47918">
      <c r="N47918" s="28"/>
      <c r="O47918" s="28"/>
      <c r="U47918" s="28"/>
    </row>
    <row r="47919">
      <c r="N47919" s="28"/>
      <c r="O47919" s="28"/>
      <c r="U47919" s="28"/>
    </row>
    <row r="47920">
      <c r="N47920" s="28"/>
      <c r="O47920" s="28"/>
      <c r="U47920" s="28"/>
    </row>
    <row r="47921">
      <c r="N47921" s="28"/>
      <c r="O47921" s="28"/>
      <c r="U47921" s="28"/>
    </row>
    <row r="47922">
      <c r="N47922" s="28"/>
      <c r="O47922" s="28"/>
      <c r="U47922" s="28"/>
    </row>
    <row r="47923">
      <c r="N47923" s="28"/>
      <c r="O47923" s="28"/>
      <c r="U47923" s="28"/>
    </row>
    <row r="47924">
      <c r="N47924" s="28"/>
      <c r="O47924" s="28"/>
      <c r="U47924" s="28"/>
    </row>
    <row r="47925">
      <c r="N47925" s="28"/>
      <c r="O47925" s="28"/>
      <c r="U47925" s="28"/>
    </row>
    <row r="47926">
      <c r="N47926" s="28"/>
      <c r="O47926" s="28"/>
      <c r="U47926" s="28"/>
    </row>
    <row r="47927">
      <c r="N47927" s="28"/>
      <c r="O47927" s="28"/>
      <c r="U47927" s="28"/>
    </row>
    <row r="47928">
      <c r="N47928" s="28"/>
      <c r="O47928" s="28"/>
      <c r="U47928" s="28"/>
    </row>
    <row r="47929">
      <c r="N47929" s="28"/>
      <c r="O47929" s="28"/>
      <c r="U47929" s="28"/>
    </row>
    <row r="47930">
      <c r="N47930" s="28"/>
      <c r="O47930" s="28"/>
      <c r="U47930" s="28"/>
    </row>
    <row r="47931">
      <c r="N47931" s="28"/>
      <c r="O47931" s="28"/>
      <c r="U47931" s="28"/>
    </row>
    <row r="47932">
      <c r="N47932" s="28"/>
      <c r="O47932" s="28"/>
      <c r="U47932" s="28"/>
    </row>
    <row r="47933">
      <c r="N47933" s="28"/>
      <c r="O47933" s="28"/>
      <c r="U47933" s="28"/>
    </row>
    <row r="47934">
      <c r="N47934" s="28"/>
      <c r="O47934" s="28"/>
      <c r="U47934" s="28"/>
    </row>
    <row r="47935">
      <c r="N47935" s="28"/>
      <c r="O47935" s="28"/>
      <c r="U47935" s="28"/>
    </row>
    <row r="47936">
      <c r="N47936" s="28"/>
      <c r="O47936" s="28"/>
      <c r="U47936" s="28"/>
    </row>
    <row r="47937">
      <c r="N47937" s="28"/>
      <c r="O47937" s="28"/>
      <c r="U47937" s="28"/>
    </row>
    <row r="47938">
      <c r="N47938" s="28"/>
      <c r="O47938" s="28"/>
      <c r="U47938" s="28"/>
    </row>
    <row r="47939">
      <c r="N47939" s="28"/>
      <c r="O47939" s="28"/>
      <c r="U47939" s="28"/>
    </row>
    <row r="47940">
      <c r="N47940" s="28"/>
      <c r="O47940" s="28"/>
      <c r="U47940" s="28"/>
    </row>
    <row r="47941">
      <c r="N47941" s="28"/>
      <c r="O47941" s="28"/>
      <c r="U47941" s="28"/>
    </row>
    <row r="47942">
      <c r="N47942" s="28"/>
      <c r="O47942" s="28"/>
      <c r="U47942" s="28"/>
    </row>
    <row r="47943">
      <c r="N47943" s="28"/>
      <c r="O47943" s="28"/>
      <c r="U47943" s="28"/>
    </row>
    <row r="47944">
      <c r="N47944" s="28"/>
      <c r="O47944" s="28"/>
      <c r="U47944" s="28"/>
    </row>
    <row r="47945">
      <c r="N47945" s="28"/>
      <c r="O47945" s="28"/>
      <c r="U47945" s="28"/>
    </row>
    <row r="47946">
      <c r="N47946" s="28"/>
      <c r="O47946" s="28"/>
      <c r="U47946" s="28"/>
    </row>
    <row r="47947">
      <c r="N47947" s="28"/>
      <c r="O47947" s="28"/>
      <c r="U47947" s="28"/>
    </row>
    <row r="47948">
      <c r="N47948" s="28"/>
      <c r="O47948" s="28"/>
      <c r="U47948" s="28"/>
    </row>
    <row r="47949">
      <c r="N47949" s="28"/>
      <c r="O47949" s="28"/>
      <c r="U47949" s="28"/>
    </row>
    <row r="47950">
      <c r="N47950" s="28"/>
      <c r="O47950" s="28"/>
      <c r="U47950" s="28"/>
    </row>
    <row r="47951">
      <c r="N47951" s="28"/>
      <c r="O47951" s="28"/>
      <c r="U47951" s="28"/>
    </row>
    <row r="47952">
      <c r="N47952" s="28"/>
      <c r="O47952" s="28"/>
      <c r="U47952" s="28"/>
    </row>
    <row r="47953">
      <c r="N47953" s="28"/>
      <c r="O47953" s="28"/>
      <c r="U47953" s="28"/>
    </row>
    <row r="47954">
      <c r="N47954" s="28"/>
      <c r="O47954" s="28"/>
      <c r="U47954" s="28"/>
    </row>
    <row r="47955">
      <c r="N47955" s="28"/>
      <c r="O47955" s="28"/>
      <c r="U47955" s="28"/>
    </row>
    <row r="47956">
      <c r="N47956" s="28"/>
      <c r="O47956" s="28"/>
      <c r="U47956" s="28"/>
    </row>
    <row r="47957">
      <c r="N47957" s="28"/>
      <c r="O47957" s="28"/>
      <c r="U47957" s="28"/>
    </row>
    <row r="47958">
      <c r="N47958" s="28"/>
      <c r="O47958" s="28"/>
      <c r="U47958" s="28"/>
    </row>
    <row r="47959">
      <c r="N47959" s="28"/>
      <c r="O47959" s="28"/>
      <c r="U47959" s="28"/>
    </row>
    <row r="47960">
      <c r="N47960" s="28"/>
      <c r="O47960" s="28"/>
      <c r="U47960" s="28"/>
    </row>
    <row r="47961">
      <c r="N47961" s="28"/>
      <c r="O47961" s="28"/>
      <c r="U47961" s="28"/>
    </row>
    <row r="47962">
      <c r="N47962" s="28"/>
      <c r="O47962" s="28"/>
      <c r="U47962" s="28"/>
    </row>
    <row r="47963">
      <c r="N47963" s="28"/>
      <c r="O47963" s="28"/>
      <c r="U47963" s="28"/>
    </row>
    <row r="47964">
      <c r="N47964" s="28"/>
      <c r="O47964" s="28"/>
      <c r="U47964" s="28"/>
    </row>
    <row r="47965">
      <c r="N47965" s="28"/>
      <c r="O47965" s="28"/>
      <c r="U47965" s="28"/>
    </row>
    <row r="47966">
      <c r="N47966" s="28"/>
      <c r="O47966" s="28"/>
      <c r="U47966" s="28"/>
    </row>
    <row r="47967">
      <c r="N47967" s="28"/>
      <c r="O47967" s="28"/>
      <c r="U47967" s="28"/>
    </row>
    <row r="47968">
      <c r="N47968" s="28"/>
      <c r="O47968" s="28"/>
      <c r="U47968" s="28"/>
    </row>
    <row r="47969">
      <c r="N47969" s="28"/>
      <c r="O47969" s="28"/>
      <c r="U47969" s="28"/>
    </row>
    <row r="47970">
      <c r="N47970" s="28"/>
      <c r="O47970" s="28"/>
      <c r="U47970" s="28"/>
    </row>
    <row r="47971">
      <c r="N47971" s="28"/>
      <c r="O47971" s="28"/>
      <c r="U47971" s="28"/>
    </row>
    <row r="47972">
      <c r="N47972" s="28"/>
      <c r="O47972" s="28"/>
      <c r="U47972" s="28"/>
    </row>
    <row r="47973">
      <c r="N47973" s="28"/>
      <c r="O47973" s="28"/>
      <c r="U47973" s="28"/>
    </row>
    <row r="47974">
      <c r="N47974" s="28"/>
      <c r="O47974" s="28"/>
      <c r="U47974" s="28"/>
    </row>
    <row r="47975">
      <c r="N47975" s="28"/>
      <c r="O47975" s="28"/>
      <c r="U47975" s="28"/>
    </row>
    <row r="47976">
      <c r="N47976" s="28"/>
      <c r="O47976" s="28"/>
      <c r="U47976" s="28"/>
    </row>
    <row r="47977">
      <c r="N47977" s="28"/>
      <c r="O47977" s="28"/>
      <c r="U47977" s="28"/>
    </row>
    <row r="47978">
      <c r="N47978" s="28"/>
      <c r="O47978" s="28"/>
      <c r="U47978" s="28"/>
    </row>
    <row r="47979">
      <c r="N47979" s="28"/>
      <c r="O47979" s="28"/>
      <c r="U47979" s="28"/>
    </row>
    <row r="47980">
      <c r="N47980" s="28"/>
      <c r="O47980" s="28"/>
      <c r="U47980" s="28"/>
    </row>
    <row r="47981">
      <c r="N47981" s="28"/>
      <c r="O47981" s="28"/>
      <c r="U47981" s="28"/>
    </row>
    <row r="47982">
      <c r="N47982" s="28"/>
      <c r="O47982" s="28"/>
      <c r="U47982" s="28"/>
    </row>
    <row r="47983">
      <c r="N47983" s="28"/>
      <c r="O47983" s="28"/>
      <c r="U47983" s="28"/>
    </row>
    <row r="47984">
      <c r="N47984" s="28"/>
      <c r="O47984" s="28"/>
      <c r="U47984" s="28"/>
    </row>
    <row r="47985">
      <c r="N47985" s="28"/>
      <c r="O47985" s="28"/>
      <c r="U47985" s="28"/>
    </row>
    <row r="47986">
      <c r="N47986" s="28"/>
      <c r="O47986" s="28"/>
      <c r="U47986" s="28"/>
    </row>
    <row r="47987">
      <c r="N47987" s="28"/>
      <c r="O47987" s="28"/>
      <c r="U47987" s="28"/>
    </row>
    <row r="47988">
      <c r="N47988" s="28"/>
      <c r="O47988" s="28"/>
      <c r="U47988" s="28"/>
    </row>
    <row r="47989">
      <c r="N47989" s="28"/>
      <c r="O47989" s="28"/>
      <c r="U47989" s="28"/>
    </row>
    <row r="47990">
      <c r="N47990" s="28"/>
      <c r="O47990" s="28"/>
      <c r="U47990" s="28"/>
    </row>
    <row r="47991">
      <c r="N47991" s="28"/>
      <c r="O47991" s="28"/>
      <c r="U47991" s="28"/>
    </row>
    <row r="47992">
      <c r="N47992" s="28"/>
      <c r="O47992" s="28"/>
      <c r="U47992" s="28"/>
    </row>
    <row r="47993">
      <c r="N47993" s="28"/>
      <c r="O47993" s="28"/>
      <c r="U47993" s="28"/>
    </row>
    <row r="47994">
      <c r="N47994" s="28"/>
      <c r="O47994" s="28"/>
      <c r="U47994" s="28"/>
    </row>
    <row r="47995">
      <c r="N47995" s="28"/>
      <c r="O47995" s="28"/>
      <c r="U47995" s="28"/>
    </row>
    <row r="47996">
      <c r="N47996" s="28"/>
      <c r="O47996" s="28"/>
      <c r="U47996" s="28"/>
    </row>
    <row r="47997">
      <c r="N47997" s="28"/>
      <c r="O47997" s="28"/>
      <c r="U47997" s="28"/>
    </row>
    <row r="47998">
      <c r="N47998" s="28"/>
      <c r="O47998" s="28"/>
      <c r="U47998" s="28"/>
    </row>
    <row r="47999">
      <c r="N47999" s="28"/>
      <c r="O47999" s="28"/>
      <c r="U47999" s="28"/>
    </row>
    <row r="48000">
      <c r="N48000" s="28"/>
      <c r="O48000" s="28"/>
      <c r="U48000" s="28"/>
    </row>
    <row r="48001">
      <c r="N48001" s="28"/>
      <c r="O48001" s="28"/>
      <c r="U48001" s="28"/>
    </row>
    <row r="48002">
      <c r="N48002" s="28"/>
      <c r="O48002" s="28"/>
      <c r="U48002" s="28"/>
    </row>
    <row r="48003">
      <c r="N48003" s="28"/>
      <c r="O48003" s="28"/>
      <c r="U48003" s="28"/>
    </row>
    <row r="48004">
      <c r="N48004" s="28"/>
      <c r="O48004" s="28"/>
      <c r="U48004" s="28"/>
    </row>
    <row r="48005">
      <c r="N48005" s="28"/>
      <c r="O48005" s="28"/>
      <c r="U48005" s="28"/>
    </row>
    <row r="48006">
      <c r="N48006" s="28"/>
      <c r="O48006" s="28"/>
      <c r="U48006" s="28"/>
    </row>
    <row r="48007">
      <c r="N48007" s="28"/>
      <c r="O48007" s="28"/>
      <c r="U48007" s="28"/>
    </row>
    <row r="48008">
      <c r="N48008" s="28"/>
      <c r="O48008" s="28"/>
      <c r="U48008" s="28"/>
    </row>
    <row r="48009">
      <c r="N48009" s="28"/>
      <c r="O48009" s="28"/>
      <c r="U48009" s="28"/>
    </row>
    <row r="48010">
      <c r="N48010" s="28"/>
      <c r="O48010" s="28"/>
      <c r="U48010" s="28"/>
    </row>
    <row r="48011">
      <c r="N48011" s="28"/>
      <c r="O48011" s="28"/>
      <c r="U48011" s="28"/>
    </row>
    <row r="48012">
      <c r="N48012" s="28"/>
      <c r="O48012" s="28"/>
      <c r="U48012" s="28"/>
    </row>
    <row r="48013">
      <c r="N48013" s="28"/>
      <c r="O48013" s="28"/>
      <c r="U48013" s="28"/>
    </row>
    <row r="48014">
      <c r="N48014" s="28"/>
      <c r="O48014" s="28"/>
      <c r="U48014" s="28"/>
    </row>
    <row r="48015">
      <c r="N48015" s="28"/>
      <c r="O48015" s="28"/>
      <c r="U48015" s="28"/>
    </row>
    <row r="48016">
      <c r="N48016" s="28"/>
      <c r="O48016" s="28"/>
      <c r="U48016" s="28"/>
    </row>
    <row r="48017">
      <c r="N48017" s="28"/>
      <c r="O48017" s="28"/>
      <c r="U48017" s="28"/>
    </row>
    <row r="48018">
      <c r="N48018" s="28"/>
      <c r="O48018" s="28"/>
      <c r="U48018" s="28"/>
    </row>
    <row r="48019">
      <c r="N48019" s="28"/>
      <c r="O48019" s="28"/>
      <c r="U48019" s="28"/>
    </row>
    <row r="48020">
      <c r="N48020" s="28"/>
      <c r="O48020" s="28"/>
      <c r="U48020" s="28"/>
    </row>
    <row r="48021">
      <c r="N48021" s="28"/>
      <c r="O48021" s="28"/>
      <c r="U48021" s="28"/>
    </row>
    <row r="48022">
      <c r="N48022" s="28"/>
      <c r="O48022" s="28"/>
      <c r="U48022" s="28"/>
    </row>
    <row r="48023">
      <c r="N48023" s="28"/>
      <c r="O48023" s="28"/>
      <c r="U48023" s="28"/>
    </row>
    <row r="48024">
      <c r="N48024" s="28"/>
      <c r="O48024" s="28"/>
      <c r="U48024" s="28"/>
    </row>
    <row r="48025">
      <c r="N48025" s="28"/>
      <c r="O48025" s="28"/>
      <c r="U48025" s="28"/>
    </row>
    <row r="48026">
      <c r="N48026" s="28"/>
      <c r="O48026" s="28"/>
      <c r="U48026" s="28"/>
    </row>
    <row r="48027">
      <c r="N48027" s="28"/>
      <c r="O48027" s="28"/>
      <c r="U48027" s="28"/>
    </row>
    <row r="48028">
      <c r="N48028" s="28"/>
      <c r="O48028" s="28"/>
      <c r="U48028" s="28"/>
    </row>
    <row r="48029">
      <c r="N48029" s="28"/>
      <c r="O48029" s="28"/>
      <c r="U48029" s="28"/>
    </row>
    <row r="48030">
      <c r="N48030" s="28"/>
      <c r="O48030" s="28"/>
      <c r="U48030" s="28"/>
    </row>
    <row r="48031">
      <c r="N48031" s="28"/>
      <c r="O48031" s="28"/>
      <c r="U48031" s="28"/>
    </row>
    <row r="48032">
      <c r="N48032" s="28"/>
      <c r="O48032" s="28"/>
      <c r="U48032" s="28"/>
    </row>
    <row r="48033">
      <c r="N48033" s="28"/>
      <c r="O48033" s="28"/>
      <c r="U48033" s="28"/>
    </row>
    <row r="48034">
      <c r="N48034" s="28"/>
      <c r="O48034" s="28"/>
      <c r="U48034" s="28"/>
    </row>
    <row r="48035">
      <c r="N48035" s="28"/>
      <c r="O48035" s="28"/>
      <c r="U48035" s="28"/>
    </row>
    <row r="48036">
      <c r="N48036" s="28"/>
      <c r="O48036" s="28"/>
      <c r="U48036" s="28"/>
    </row>
    <row r="48037">
      <c r="N48037" s="28"/>
      <c r="O48037" s="28"/>
      <c r="U48037" s="28"/>
    </row>
    <row r="48038">
      <c r="N48038" s="28"/>
      <c r="O48038" s="28"/>
      <c r="U48038" s="28"/>
    </row>
    <row r="48039">
      <c r="N48039" s="28"/>
      <c r="O48039" s="28"/>
      <c r="U48039" s="28"/>
    </row>
    <row r="48040">
      <c r="N48040" s="28"/>
      <c r="O48040" s="28"/>
      <c r="U48040" s="28"/>
    </row>
    <row r="48041">
      <c r="N48041" s="28"/>
      <c r="O48041" s="28"/>
      <c r="U48041" s="28"/>
    </row>
    <row r="48042">
      <c r="N48042" s="28"/>
      <c r="O48042" s="28"/>
      <c r="U48042" s="28"/>
    </row>
    <row r="48043">
      <c r="N48043" s="28"/>
      <c r="O48043" s="28"/>
      <c r="U48043" s="28"/>
    </row>
    <row r="48044">
      <c r="N48044" s="28"/>
      <c r="O48044" s="28"/>
      <c r="U48044" s="28"/>
    </row>
    <row r="48045">
      <c r="N48045" s="28"/>
      <c r="O48045" s="28"/>
      <c r="U48045" s="28"/>
    </row>
    <row r="48046">
      <c r="N48046" s="28"/>
      <c r="O48046" s="28"/>
      <c r="U48046" s="28"/>
    </row>
    <row r="48047">
      <c r="N48047" s="28"/>
      <c r="O48047" s="28"/>
      <c r="U48047" s="28"/>
    </row>
    <row r="48048">
      <c r="N48048" s="28"/>
      <c r="O48048" s="28"/>
      <c r="U48048" s="28"/>
    </row>
    <row r="48049">
      <c r="N48049" s="28"/>
      <c r="O48049" s="28"/>
      <c r="U48049" s="28"/>
    </row>
    <row r="48050">
      <c r="N48050" s="28"/>
      <c r="O48050" s="28"/>
      <c r="U48050" s="28"/>
    </row>
    <row r="48051">
      <c r="N48051" s="28"/>
      <c r="O48051" s="28"/>
      <c r="U48051" s="28"/>
    </row>
    <row r="48052">
      <c r="N48052" s="28"/>
      <c r="O48052" s="28"/>
      <c r="U48052" s="28"/>
    </row>
    <row r="48053">
      <c r="N48053" s="28"/>
      <c r="O48053" s="28"/>
      <c r="U48053" s="28"/>
    </row>
    <row r="48054">
      <c r="N48054" s="28"/>
      <c r="O48054" s="28"/>
      <c r="U48054" s="28"/>
    </row>
    <row r="48055">
      <c r="N48055" s="28"/>
      <c r="O48055" s="28"/>
      <c r="U48055" s="28"/>
    </row>
    <row r="48056">
      <c r="N48056" s="28"/>
      <c r="O48056" s="28"/>
      <c r="U48056" s="28"/>
    </row>
    <row r="48057">
      <c r="N48057" s="28"/>
      <c r="O48057" s="28"/>
      <c r="U48057" s="28"/>
    </row>
    <row r="48058">
      <c r="N48058" s="28"/>
      <c r="O48058" s="28"/>
      <c r="U48058" s="28"/>
    </row>
    <row r="48059">
      <c r="N48059" s="28"/>
      <c r="O48059" s="28"/>
      <c r="U48059" s="28"/>
    </row>
    <row r="48060">
      <c r="N48060" s="28"/>
      <c r="O48060" s="28"/>
      <c r="U48060" s="28"/>
    </row>
    <row r="48061">
      <c r="N48061" s="28"/>
      <c r="O48061" s="28"/>
      <c r="U48061" s="28"/>
    </row>
    <row r="48062">
      <c r="N48062" s="28"/>
      <c r="O48062" s="28"/>
      <c r="U48062" s="28"/>
    </row>
    <row r="48063">
      <c r="N48063" s="28"/>
      <c r="O48063" s="28"/>
      <c r="U48063" s="28"/>
    </row>
    <row r="48064">
      <c r="N48064" s="28"/>
      <c r="O48064" s="28"/>
      <c r="U48064" s="28"/>
    </row>
    <row r="48065">
      <c r="N48065" s="28"/>
      <c r="O48065" s="28"/>
      <c r="U48065" s="28"/>
    </row>
    <row r="48066">
      <c r="N48066" s="28"/>
      <c r="O48066" s="28"/>
      <c r="U48066" s="28"/>
    </row>
    <row r="48067">
      <c r="N48067" s="28"/>
      <c r="O48067" s="28"/>
      <c r="U48067" s="28"/>
    </row>
    <row r="48068">
      <c r="N48068" s="28"/>
      <c r="O48068" s="28"/>
      <c r="U48068" s="28"/>
    </row>
    <row r="48069">
      <c r="N48069" s="28"/>
      <c r="O48069" s="28"/>
      <c r="U48069" s="28"/>
    </row>
    <row r="48070">
      <c r="N48070" s="28"/>
      <c r="O48070" s="28"/>
      <c r="U48070" s="28"/>
    </row>
    <row r="48071">
      <c r="N48071" s="28"/>
      <c r="O48071" s="28"/>
      <c r="U48071" s="28"/>
    </row>
    <row r="48072">
      <c r="N48072" s="28"/>
      <c r="O48072" s="28"/>
      <c r="U48072" s="28"/>
    </row>
    <row r="48073">
      <c r="N48073" s="28"/>
      <c r="O48073" s="28"/>
      <c r="U48073" s="28"/>
    </row>
    <row r="48074">
      <c r="N48074" s="28"/>
      <c r="O48074" s="28"/>
      <c r="U48074" s="28"/>
    </row>
    <row r="48075">
      <c r="N48075" s="28"/>
      <c r="O48075" s="28"/>
      <c r="U48075" s="28"/>
    </row>
    <row r="48076">
      <c r="N48076" s="28"/>
      <c r="O48076" s="28"/>
      <c r="U48076" s="28"/>
    </row>
    <row r="48077">
      <c r="N48077" s="28"/>
      <c r="O48077" s="28"/>
      <c r="U48077" s="28"/>
    </row>
    <row r="48078">
      <c r="N48078" s="28"/>
      <c r="O48078" s="28"/>
      <c r="U48078" s="28"/>
    </row>
    <row r="48079">
      <c r="N48079" s="28"/>
      <c r="O48079" s="28"/>
      <c r="U48079" s="28"/>
    </row>
    <row r="48080">
      <c r="N48080" s="28"/>
      <c r="O48080" s="28"/>
      <c r="U48080" s="28"/>
    </row>
    <row r="48081">
      <c r="N48081" s="28"/>
      <c r="O48081" s="28"/>
      <c r="U48081" s="28"/>
    </row>
    <row r="48082">
      <c r="N48082" s="28"/>
      <c r="O48082" s="28"/>
      <c r="U48082" s="28"/>
    </row>
    <row r="48083">
      <c r="N48083" s="28"/>
      <c r="O48083" s="28"/>
      <c r="U48083" s="28"/>
    </row>
    <row r="48084">
      <c r="N48084" s="28"/>
      <c r="O48084" s="28"/>
      <c r="U48084" s="28"/>
    </row>
    <row r="48085">
      <c r="N48085" s="28"/>
      <c r="O48085" s="28"/>
      <c r="U48085" s="28"/>
    </row>
    <row r="48086">
      <c r="N48086" s="28"/>
      <c r="O48086" s="28"/>
      <c r="U48086" s="28"/>
    </row>
    <row r="48087">
      <c r="N48087" s="28"/>
      <c r="O48087" s="28"/>
      <c r="U48087" s="28"/>
    </row>
    <row r="48088">
      <c r="N48088" s="28"/>
      <c r="O48088" s="28"/>
      <c r="U48088" s="28"/>
    </row>
    <row r="48089">
      <c r="N48089" s="28"/>
      <c r="O48089" s="28"/>
      <c r="U48089" s="28"/>
    </row>
    <row r="48090">
      <c r="N48090" s="28"/>
      <c r="O48090" s="28"/>
      <c r="U48090" s="28"/>
    </row>
    <row r="48091">
      <c r="N48091" s="28"/>
      <c r="O48091" s="28"/>
      <c r="U48091" s="28"/>
    </row>
    <row r="48092">
      <c r="N48092" s="28"/>
      <c r="O48092" s="28"/>
      <c r="U48092" s="28"/>
    </row>
    <row r="48093">
      <c r="N48093" s="28"/>
      <c r="O48093" s="28"/>
      <c r="U48093" s="28"/>
    </row>
    <row r="48094">
      <c r="N48094" s="28"/>
      <c r="O48094" s="28"/>
      <c r="U48094" s="28"/>
    </row>
    <row r="48095">
      <c r="N48095" s="28"/>
      <c r="O48095" s="28"/>
      <c r="U48095" s="28"/>
    </row>
    <row r="48096">
      <c r="N48096" s="28"/>
      <c r="O48096" s="28"/>
      <c r="U48096" s="28"/>
    </row>
    <row r="48097">
      <c r="N48097" s="28"/>
      <c r="O48097" s="28"/>
      <c r="U48097" s="28"/>
    </row>
    <row r="48098">
      <c r="N48098" s="28"/>
      <c r="O48098" s="28"/>
      <c r="U48098" s="28"/>
    </row>
    <row r="48099">
      <c r="N48099" s="28"/>
      <c r="O48099" s="28"/>
      <c r="U48099" s="28"/>
    </row>
    <row r="48100">
      <c r="N48100" s="28"/>
      <c r="O48100" s="28"/>
      <c r="U48100" s="28"/>
    </row>
    <row r="48101">
      <c r="N48101" s="28"/>
      <c r="O48101" s="28"/>
      <c r="U48101" s="28"/>
    </row>
    <row r="48102">
      <c r="N48102" s="28"/>
      <c r="O48102" s="28"/>
      <c r="U48102" s="28"/>
    </row>
    <row r="48103">
      <c r="N48103" s="28"/>
      <c r="O48103" s="28"/>
      <c r="U48103" s="28"/>
    </row>
    <row r="48104">
      <c r="N48104" s="28"/>
      <c r="O48104" s="28"/>
      <c r="U48104" s="28"/>
    </row>
    <row r="48105">
      <c r="N48105" s="28"/>
      <c r="O48105" s="28"/>
      <c r="U48105" s="28"/>
    </row>
    <row r="48106">
      <c r="N48106" s="28"/>
      <c r="O48106" s="28"/>
      <c r="U48106" s="28"/>
    </row>
    <row r="48107">
      <c r="N48107" s="28"/>
      <c r="O48107" s="28"/>
      <c r="U48107" s="28"/>
    </row>
    <row r="48108">
      <c r="N48108" s="28"/>
      <c r="O48108" s="28"/>
      <c r="U48108" s="28"/>
    </row>
    <row r="48109">
      <c r="N48109" s="28"/>
      <c r="O48109" s="28"/>
      <c r="U48109" s="28"/>
    </row>
    <row r="48110">
      <c r="N48110" s="28"/>
      <c r="O48110" s="28"/>
      <c r="U48110" s="28"/>
    </row>
    <row r="48111">
      <c r="N48111" s="28"/>
      <c r="O48111" s="28"/>
      <c r="U48111" s="28"/>
    </row>
    <row r="48112">
      <c r="N48112" s="28"/>
      <c r="O48112" s="28"/>
      <c r="U48112" s="28"/>
    </row>
    <row r="48113">
      <c r="N48113" s="28"/>
      <c r="O48113" s="28"/>
      <c r="U48113" s="28"/>
    </row>
    <row r="48114">
      <c r="N48114" s="28"/>
      <c r="O48114" s="28"/>
      <c r="U48114" s="28"/>
    </row>
    <row r="48115">
      <c r="N48115" s="28"/>
      <c r="O48115" s="28"/>
      <c r="U48115" s="28"/>
    </row>
    <row r="48116">
      <c r="N48116" s="28"/>
      <c r="O48116" s="28"/>
      <c r="U48116" s="28"/>
    </row>
    <row r="48117">
      <c r="N48117" s="28"/>
      <c r="O48117" s="28"/>
      <c r="U48117" s="28"/>
    </row>
    <row r="48118">
      <c r="N48118" s="28"/>
      <c r="O48118" s="28"/>
      <c r="U48118" s="28"/>
    </row>
    <row r="48119">
      <c r="N48119" s="28"/>
      <c r="O48119" s="28"/>
      <c r="U48119" s="28"/>
    </row>
    <row r="48120">
      <c r="N48120" s="28"/>
      <c r="O48120" s="28"/>
      <c r="U48120" s="28"/>
    </row>
    <row r="48121">
      <c r="N48121" s="28"/>
      <c r="O48121" s="28"/>
      <c r="U48121" s="28"/>
    </row>
    <row r="48122">
      <c r="N48122" s="28"/>
      <c r="O48122" s="28"/>
      <c r="U48122" s="28"/>
    </row>
    <row r="48123">
      <c r="N48123" s="28"/>
      <c r="O48123" s="28"/>
      <c r="U48123" s="28"/>
    </row>
    <row r="48124">
      <c r="N48124" s="28"/>
      <c r="O48124" s="28"/>
      <c r="U48124" s="28"/>
    </row>
    <row r="48125">
      <c r="N48125" s="28"/>
      <c r="O48125" s="28"/>
      <c r="U48125" s="28"/>
    </row>
    <row r="48126">
      <c r="N48126" s="28"/>
      <c r="O48126" s="28"/>
      <c r="U48126" s="28"/>
    </row>
    <row r="48127">
      <c r="N48127" s="28"/>
      <c r="O48127" s="28"/>
      <c r="U48127" s="28"/>
    </row>
    <row r="48128">
      <c r="N48128" s="28"/>
      <c r="O48128" s="28"/>
      <c r="U48128" s="28"/>
    </row>
    <row r="48129">
      <c r="N48129" s="28"/>
      <c r="O48129" s="28"/>
      <c r="U48129" s="28"/>
    </row>
    <row r="48130">
      <c r="N48130" s="28"/>
      <c r="O48130" s="28"/>
      <c r="U48130" s="28"/>
    </row>
    <row r="48131">
      <c r="N48131" s="28"/>
      <c r="O48131" s="28"/>
      <c r="U48131" s="28"/>
    </row>
    <row r="48132">
      <c r="N48132" s="28"/>
      <c r="O48132" s="28"/>
      <c r="U48132" s="28"/>
    </row>
    <row r="48133">
      <c r="N48133" s="28"/>
      <c r="O48133" s="28"/>
      <c r="U48133" s="28"/>
    </row>
    <row r="48134">
      <c r="N48134" s="28"/>
      <c r="O48134" s="28"/>
      <c r="U48134" s="28"/>
    </row>
    <row r="48135">
      <c r="N48135" s="28"/>
      <c r="O48135" s="28"/>
      <c r="U48135" s="28"/>
    </row>
    <row r="48136">
      <c r="N48136" s="28"/>
      <c r="O48136" s="28"/>
      <c r="U48136" s="28"/>
    </row>
    <row r="48137">
      <c r="N48137" s="28"/>
      <c r="O48137" s="28"/>
      <c r="U48137" s="28"/>
    </row>
    <row r="48138">
      <c r="N48138" s="28"/>
      <c r="O48138" s="28"/>
      <c r="U48138" s="28"/>
    </row>
    <row r="48139">
      <c r="N48139" s="28"/>
      <c r="O48139" s="28"/>
      <c r="U48139" s="28"/>
    </row>
    <row r="48140">
      <c r="N48140" s="28"/>
      <c r="O48140" s="28"/>
      <c r="U48140" s="28"/>
    </row>
    <row r="48141">
      <c r="N48141" s="28"/>
      <c r="O48141" s="28"/>
      <c r="U48141" s="28"/>
    </row>
    <row r="48142">
      <c r="N48142" s="28"/>
      <c r="O48142" s="28"/>
      <c r="U48142" s="28"/>
    </row>
    <row r="48143">
      <c r="N48143" s="28"/>
      <c r="O48143" s="28"/>
      <c r="U48143" s="28"/>
    </row>
    <row r="48144">
      <c r="N48144" s="28"/>
      <c r="O48144" s="28"/>
      <c r="U48144" s="28"/>
    </row>
    <row r="48145">
      <c r="N48145" s="28"/>
      <c r="O48145" s="28"/>
      <c r="U48145" s="28"/>
    </row>
    <row r="48146">
      <c r="N48146" s="28"/>
      <c r="O48146" s="28"/>
      <c r="U48146" s="28"/>
    </row>
    <row r="48147">
      <c r="N48147" s="28"/>
      <c r="O48147" s="28"/>
      <c r="U48147" s="28"/>
    </row>
    <row r="48148">
      <c r="N48148" s="28"/>
      <c r="O48148" s="28"/>
      <c r="U48148" s="28"/>
    </row>
    <row r="48149">
      <c r="N48149" s="28"/>
      <c r="O48149" s="28"/>
      <c r="U48149" s="28"/>
    </row>
    <row r="48150">
      <c r="N48150" s="28"/>
      <c r="O48150" s="28"/>
      <c r="U48150" s="28"/>
    </row>
    <row r="48151">
      <c r="N48151" s="28"/>
      <c r="O48151" s="28"/>
      <c r="U48151" s="28"/>
    </row>
    <row r="48152">
      <c r="N48152" s="28"/>
      <c r="O48152" s="28"/>
      <c r="U48152" s="28"/>
    </row>
    <row r="48153">
      <c r="N48153" s="28"/>
      <c r="O48153" s="28"/>
      <c r="U48153" s="28"/>
    </row>
    <row r="48154">
      <c r="N48154" s="28"/>
      <c r="O48154" s="28"/>
      <c r="U48154" s="28"/>
    </row>
    <row r="48155">
      <c r="N48155" s="28"/>
      <c r="O48155" s="28"/>
      <c r="U48155" s="28"/>
    </row>
    <row r="48156">
      <c r="N48156" s="28"/>
      <c r="O48156" s="28"/>
      <c r="U48156" s="28"/>
    </row>
    <row r="48157">
      <c r="N48157" s="28"/>
      <c r="O48157" s="28"/>
      <c r="U48157" s="28"/>
    </row>
    <row r="48158">
      <c r="N48158" s="28"/>
      <c r="O48158" s="28"/>
      <c r="U48158" s="28"/>
    </row>
    <row r="48159">
      <c r="N48159" s="28"/>
      <c r="O48159" s="28"/>
      <c r="U48159" s="28"/>
    </row>
    <row r="48160">
      <c r="N48160" s="28"/>
      <c r="O48160" s="28"/>
      <c r="U48160" s="28"/>
    </row>
    <row r="48161">
      <c r="N48161" s="28"/>
      <c r="O48161" s="28"/>
      <c r="U48161" s="28"/>
    </row>
    <row r="48162">
      <c r="N48162" s="28"/>
      <c r="O48162" s="28"/>
      <c r="U48162" s="28"/>
    </row>
    <row r="48163">
      <c r="N48163" s="28"/>
      <c r="O48163" s="28"/>
      <c r="U48163" s="28"/>
    </row>
    <row r="48164">
      <c r="N48164" s="28"/>
      <c r="O48164" s="28"/>
      <c r="U48164" s="28"/>
    </row>
    <row r="48165">
      <c r="N48165" s="28"/>
      <c r="O48165" s="28"/>
      <c r="U48165" s="28"/>
    </row>
    <row r="48166">
      <c r="N48166" s="28"/>
      <c r="O48166" s="28"/>
      <c r="U48166" s="28"/>
    </row>
    <row r="48167">
      <c r="N48167" s="28"/>
      <c r="O48167" s="28"/>
      <c r="U48167" s="28"/>
    </row>
    <row r="48168">
      <c r="N48168" s="28"/>
      <c r="O48168" s="28"/>
      <c r="U48168" s="28"/>
    </row>
    <row r="48169">
      <c r="N48169" s="28"/>
      <c r="O48169" s="28"/>
      <c r="U48169" s="28"/>
    </row>
    <row r="48170">
      <c r="N48170" s="28"/>
      <c r="O48170" s="28"/>
      <c r="U48170" s="28"/>
    </row>
    <row r="48171">
      <c r="N48171" s="28"/>
      <c r="O48171" s="28"/>
      <c r="U48171" s="28"/>
    </row>
    <row r="48172">
      <c r="N48172" s="28"/>
      <c r="O48172" s="28"/>
      <c r="U48172" s="28"/>
    </row>
    <row r="48173">
      <c r="N48173" s="28"/>
      <c r="O48173" s="28"/>
      <c r="U48173" s="28"/>
    </row>
    <row r="48174">
      <c r="N48174" s="28"/>
      <c r="O48174" s="28"/>
      <c r="U48174" s="28"/>
    </row>
    <row r="48175">
      <c r="N48175" s="28"/>
      <c r="O48175" s="28"/>
      <c r="U48175" s="28"/>
    </row>
    <row r="48176">
      <c r="N48176" s="28"/>
      <c r="O48176" s="28"/>
      <c r="U48176" s="28"/>
    </row>
    <row r="48177">
      <c r="N48177" s="28"/>
      <c r="O48177" s="28"/>
      <c r="U48177" s="28"/>
    </row>
    <row r="48178">
      <c r="N48178" s="28"/>
      <c r="O48178" s="28"/>
      <c r="U48178" s="28"/>
    </row>
    <row r="48179">
      <c r="N48179" s="28"/>
      <c r="O48179" s="28"/>
      <c r="U48179" s="28"/>
    </row>
    <row r="48180">
      <c r="N48180" s="28"/>
      <c r="O48180" s="28"/>
      <c r="U48180" s="28"/>
    </row>
    <row r="48181">
      <c r="N48181" s="28"/>
      <c r="O48181" s="28"/>
      <c r="U48181" s="28"/>
    </row>
    <row r="48182">
      <c r="N48182" s="28"/>
      <c r="O48182" s="28"/>
      <c r="U48182" s="28"/>
    </row>
    <row r="48183">
      <c r="N48183" s="28"/>
      <c r="O48183" s="28"/>
      <c r="U48183" s="28"/>
    </row>
    <row r="48184">
      <c r="N48184" s="28"/>
      <c r="O48184" s="28"/>
      <c r="U48184" s="28"/>
    </row>
    <row r="48185">
      <c r="N48185" s="28"/>
      <c r="O48185" s="28"/>
      <c r="U48185" s="28"/>
    </row>
    <row r="48186">
      <c r="N48186" s="28"/>
      <c r="O48186" s="28"/>
      <c r="U48186" s="28"/>
    </row>
    <row r="48187">
      <c r="N48187" s="28"/>
      <c r="O48187" s="28"/>
      <c r="U48187" s="28"/>
    </row>
    <row r="48188">
      <c r="N48188" s="28"/>
      <c r="O48188" s="28"/>
      <c r="U48188" s="28"/>
    </row>
    <row r="48189">
      <c r="N48189" s="28"/>
      <c r="O48189" s="28"/>
      <c r="U48189" s="28"/>
    </row>
    <row r="48190">
      <c r="N48190" s="28"/>
      <c r="O48190" s="28"/>
      <c r="U48190" s="28"/>
    </row>
    <row r="48191">
      <c r="N48191" s="28"/>
      <c r="O48191" s="28"/>
      <c r="U48191" s="28"/>
    </row>
    <row r="48192">
      <c r="N48192" s="28"/>
      <c r="O48192" s="28"/>
      <c r="U48192" s="28"/>
    </row>
    <row r="48193">
      <c r="N48193" s="28"/>
      <c r="O48193" s="28"/>
      <c r="U48193" s="28"/>
    </row>
    <row r="48194">
      <c r="N48194" s="28"/>
      <c r="O48194" s="28"/>
      <c r="U48194" s="28"/>
    </row>
    <row r="48195">
      <c r="N48195" s="28"/>
      <c r="O48195" s="28"/>
      <c r="U48195" s="28"/>
    </row>
    <row r="48196">
      <c r="N48196" s="28"/>
      <c r="O48196" s="28"/>
      <c r="U48196" s="28"/>
    </row>
    <row r="48197">
      <c r="N48197" s="28"/>
      <c r="O48197" s="28"/>
      <c r="U48197" s="28"/>
    </row>
    <row r="48198">
      <c r="N48198" s="28"/>
      <c r="O48198" s="28"/>
      <c r="U48198" s="28"/>
    </row>
    <row r="48199">
      <c r="N48199" s="28"/>
      <c r="O48199" s="28"/>
      <c r="U48199" s="28"/>
    </row>
    <row r="48200">
      <c r="N48200" s="28"/>
      <c r="O48200" s="28"/>
      <c r="U48200" s="28"/>
    </row>
    <row r="48201">
      <c r="N48201" s="28"/>
      <c r="O48201" s="28"/>
      <c r="U48201" s="28"/>
    </row>
    <row r="48202">
      <c r="N48202" s="28"/>
      <c r="O48202" s="28"/>
      <c r="U48202" s="28"/>
    </row>
    <row r="48203">
      <c r="N48203" s="28"/>
      <c r="O48203" s="28"/>
      <c r="U48203" s="28"/>
    </row>
    <row r="48204">
      <c r="N48204" s="28"/>
      <c r="O48204" s="28"/>
      <c r="U48204" s="28"/>
    </row>
    <row r="48205">
      <c r="N48205" s="28"/>
      <c r="O48205" s="28"/>
      <c r="U48205" s="28"/>
    </row>
    <row r="48206">
      <c r="N48206" s="28"/>
      <c r="O48206" s="28"/>
      <c r="U48206" s="28"/>
    </row>
    <row r="48207">
      <c r="N48207" s="28"/>
      <c r="O48207" s="28"/>
      <c r="U48207" s="28"/>
    </row>
    <row r="48208">
      <c r="N48208" s="28"/>
      <c r="O48208" s="28"/>
      <c r="U48208" s="28"/>
    </row>
    <row r="48209">
      <c r="N48209" s="28"/>
      <c r="O48209" s="28"/>
      <c r="U48209" s="28"/>
    </row>
    <row r="48210">
      <c r="N48210" s="28"/>
      <c r="O48210" s="28"/>
      <c r="U48210" s="28"/>
    </row>
    <row r="48211">
      <c r="N48211" s="28"/>
      <c r="O48211" s="28"/>
      <c r="U48211" s="28"/>
    </row>
    <row r="48212">
      <c r="N48212" s="28"/>
      <c r="O48212" s="28"/>
      <c r="U48212" s="28"/>
    </row>
    <row r="48213">
      <c r="N48213" s="28"/>
      <c r="O48213" s="28"/>
      <c r="U48213" s="28"/>
    </row>
    <row r="48214">
      <c r="N48214" s="28"/>
      <c r="O48214" s="28"/>
      <c r="U48214" s="28"/>
    </row>
    <row r="48215">
      <c r="N48215" s="28"/>
      <c r="O48215" s="28"/>
      <c r="U48215" s="28"/>
    </row>
    <row r="48216">
      <c r="N48216" s="28"/>
      <c r="O48216" s="28"/>
      <c r="U48216" s="28"/>
    </row>
    <row r="48217">
      <c r="N48217" s="28"/>
      <c r="O48217" s="28"/>
      <c r="U48217" s="28"/>
    </row>
    <row r="48218">
      <c r="N48218" s="28"/>
      <c r="O48218" s="28"/>
      <c r="U48218" s="28"/>
    </row>
    <row r="48219">
      <c r="N48219" s="28"/>
      <c r="O48219" s="28"/>
      <c r="U48219" s="28"/>
    </row>
    <row r="48220">
      <c r="N48220" s="28"/>
      <c r="O48220" s="28"/>
      <c r="U48220" s="28"/>
    </row>
    <row r="48221">
      <c r="N48221" s="28"/>
      <c r="O48221" s="28"/>
      <c r="U48221" s="28"/>
    </row>
    <row r="48222">
      <c r="N48222" s="28"/>
      <c r="O48222" s="28"/>
      <c r="U48222" s="28"/>
    </row>
    <row r="48223">
      <c r="N48223" s="28"/>
      <c r="O48223" s="28"/>
      <c r="U48223" s="28"/>
    </row>
    <row r="48224">
      <c r="N48224" s="28"/>
      <c r="O48224" s="28"/>
      <c r="U48224" s="28"/>
    </row>
    <row r="48225">
      <c r="N48225" s="28"/>
      <c r="O48225" s="28"/>
      <c r="U48225" s="28"/>
    </row>
    <row r="48226">
      <c r="N48226" s="28"/>
      <c r="O48226" s="28"/>
      <c r="U48226" s="28"/>
    </row>
    <row r="48227">
      <c r="N48227" s="28"/>
      <c r="O48227" s="28"/>
      <c r="U48227" s="28"/>
    </row>
    <row r="48228">
      <c r="N48228" s="28"/>
      <c r="O48228" s="28"/>
      <c r="U48228" s="28"/>
    </row>
    <row r="48229">
      <c r="N48229" s="28"/>
      <c r="O48229" s="28"/>
      <c r="U48229" s="28"/>
    </row>
    <row r="48230">
      <c r="N48230" s="28"/>
      <c r="O48230" s="28"/>
      <c r="U48230" s="28"/>
    </row>
    <row r="48231">
      <c r="N48231" s="28"/>
      <c r="O48231" s="28"/>
      <c r="U48231" s="28"/>
    </row>
    <row r="48232">
      <c r="N48232" s="28"/>
      <c r="O48232" s="28"/>
      <c r="U48232" s="28"/>
    </row>
    <row r="48233">
      <c r="N48233" s="28"/>
      <c r="O48233" s="28"/>
      <c r="U48233" s="28"/>
    </row>
    <row r="48234">
      <c r="N48234" s="28"/>
      <c r="O48234" s="28"/>
      <c r="U48234" s="28"/>
    </row>
    <row r="48235">
      <c r="N48235" s="28"/>
      <c r="O48235" s="28"/>
      <c r="U48235" s="28"/>
    </row>
    <row r="48236">
      <c r="N48236" s="28"/>
      <c r="O48236" s="28"/>
      <c r="U48236" s="28"/>
    </row>
    <row r="48237">
      <c r="N48237" s="28"/>
      <c r="O48237" s="28"/>
      <c r="U48237" s="28"/>
    </row>
    <row r="48238">
      <c r="N48238" s="28"/>
      <c r="O48238" s="28"/>
      <c r="U48238" s="28"/>
    </row>
    <row r="48239">
      <c r="N48239" s="28"/>
      <c r="O48239" s="28"/>
      <c r="U48239" s="28"/>
    </row>
    <row r="48240">
      <c r="N48240" s="28"/>
      <c r="O48240" s="28"/>
      <c r="U48240" s="28"/>
    </row>
    <row r="48241">
      <c r="N48241" s="28"/>
      <c r="O48241" s="28"/>
      <c r="U48241" s="28"/>
    </row>
    <row r="48242">
      <c r="N48242" s="28"/>
      <c r="O48242" s="28"/>
      <c r="U48242" s="28"/>
    </row>
    <row r="48243">
      <c r="N48243" s="28"/>
      <c r="O48243" s="28"/>
      <c r="U48243" s="28"/>
    </row>
    <row r="48244">
      <c r="N48244" s="28"/>
      <c r="O48244" s="28"/>
      <c r="U48244" s="28"/>
    </row>
    <row r="48245">
      <c r="N48245" s="28"/>
      <c r="O48245" s="28"/>
      <c r="U48245" s="28"/>
    </row>
    <row r="48246">
      <c r="N48246" s="28"/>
      <c r="O48246" s="28"/>
      <c r="U48246" s="28"/>
    </row>
    <row r="48247">
      <c r="N48247" s="28"/>
      <c r="O48247" s="28"/>
      <c r="U48247" s="28"/>
    </row>
    <row r="48248">
      <c r="N48248" s="28"/>
      <c r="O48248" s="28"/>
      <c r="U48248" s="28"/>
    </row>
    <row r="48249">
      <c r="N48249" s="28"/>
      <c r="O48249" s="28"/>
      <c r="U48249" s="28"/>
    </row>
    <row r="48250">
      <c r="N48250" s="28"/>
      <c r="O48250" s="28"/>
      <c r="U48250" s="28"/>
    </row>
    <row r="48251">
      <c r="N48251" s="28"/>
      <c r="O48251" s="28"/>
      <c r="U48251" s="28"/>
    </row>
    <row r="48252">
      <c r="N48252" s="28"/>
      <c r="O48252" s="28"/>
      <c r="U48252" s="28"/>
    </row>
    <row r="48253">
      <c r="N48253" s="28"/>
      <c r="O48253" s="28"/>
      <c r="U48253" s="28"/>
    </row>
    <row r="48254">
      <c r="N48254" s="28"/>
      <c r="O48254" s="28"/>
      <c r="U48254" s="28"/>
    </row>
    <row r="48255">
      <c r="N48255" s="28"/>
      <c r="O48255" s="28"/>
      <c r="U48255" s="28"/>
    </row>
    <row r="48256">
      <c r="N48256" s="28"/>
      <c r="O48256" s="28"/>
      <c r="U48256" s="28"/>
    </row>
    <row r="48257">
      <c r="N48257" s="28"/>
      <c r="O48257" s="28"/>
      <c r="U48257" s="28"/>
    </row>
    <row r="48258">
      <c r="N48258" s="28"/>
      <c r="O48258" s="28"/>
      <c r="U48258" s="28"/>
    </row>
    <row r="48259">
      <c r="N48259" s="28"/>
      <c r="O48259" s="28"/>
      <c r="U48259" s="28"/>
    </row>
    <row r="48260">
      <c r="N48260" s="28"/>
      <c r="O48260" s="28"/>
      <c r="U48260" s="28"/>
    </row>
    <row r="48261">
      <c r="N48261" s="28"/>
      <c r="O48261" s="28"/>
      <c r="U48261" s="28"/>
    </row>
    <row r="48262">
      <c r="N48262" s="28"/>
      <c r="O48262" s="28"/>
      <c r="U48262" s="28"/>
    </row>
    <row r="48263">
      <c r="N48263" s="28"/>
      <c r="O48263" s="28"/>
      <c r="U48263" s="28"/>
    </row>
    <row r="48264">
      <c r="N48264" s="28"/>
      <c r="O48264" s="28"/>
      <c r="U48264" s="28"/>
    </row>
    <row r="48265">
      <c r="N48265" s="28"/>
      <c r="O48265" s="28"/>
      <c r="U48265" s="28"/>
    </row>
    <row r="48266">
      <c r="N48266" s="28"/>
      <c r="O48266" s="28"/>
      <c r="U48266" s="28"/>
    </row>
    <row r="48267">
      <c r="N48267" s="28"/>
      <c r="O48267" s="28"/>
      <c r="U48267" s="28"/>
    </row>
    <row r="48268">
      <c r="N48268" s="28"/>
      <c r="O48268" s="28"/>
      <c r="U48268" s="28"/>
    </row>
    <row r="48269">
      <c r="N48269" s="28"/>
      <c r="O48269" s="28"/>
      <c r="U48269" s="28"/>
    </row>
    <row r="48270">
      <c r="N48270" s="28"/>
      <c r="O48270" s="28"/>
      <c r="U48270" s="28"/>
    </row>
    <row r="48271">
      <c r="N48271" s="28"/>
      <c r="O48271" s="28"/>
      <c r="U48271" s="28"/>
    </row>
    <row r="48272">
      <c r="N48272" s="28"/>
      <c r="O48272" s="28"/>
      <c r="U48272" s="28"/>
    </row>
    <row r="48273">
      <c r="N48273" s="28"/>
      <c r="O48273" s="28"/>
      <c r="U48273" s="28"/>
    </row>
    <row r="48274">
      <c r="N48274" s="28"/>
      <c r="O48274" s="28"/>
      <c r="U48274" s="28"/>
    </row>
    <row r="48275">
      <c r="N48275" s="28"/>
      <c r="O48275" s="28"/>
      <c r="U48275" s="28"/>
    </row>
    <row r="48276">
      <c r="N48276" s="28"/>
      <c r="O48276" s="28"/>
      <c r="U48276" s="28"/>
    </row>
    <row r="48277">
      <c r="N48277" s="28"/>
      <c r="O48277" s="28"/>
      <c r="U48277" s="28"/>
    </row>
    <row r="48278">
      <c r="N48278" s="28"/>
      <c r="O48278" s="28"/>
      <c r="U48278" s="28"/>
    </row>
    <row r="48279">
      <c r="N48279" s="28"/>
      <c r="O48279" s="28"/>
      <c r="U48279" s="28"/>
    </row>
    <row r="48280">
      <c r="N48280" s="28"/>
      <c r="O48280" s="28"/>
      <c r="U48280" s="28"/>
    </row>
    <row r="48281">
      <c r="N48281" s="28"/>
      <c r="O48281" s="28"/>
      <c r="U48281" s="28"/>
    </row>
    <row r="48282">
      <c r="N48282" s="28"/>
      <c r="O48282" s="28"/>
      <c r="U48282" s="28"/>
    </row>
    <row r="48283">
      <c r="N48283" s="28"/>
      <c r="O48283" s="28"/>
      <c r="U48283" s="28"/>
    </row>
    <row r="48284">
      <c r="N48284" s="28"/>
      <c r="O48284" s="28"/>
      <c r="U48284" s="28"/>
    </row>
    <row r="48285">
      <c r="N48285" s="28"/>
      <c r="O48285" s="28"/>
      <c r="U48285" s="28"/>
    </row>
    <row r="48286">
      <c r="N48286" s="28"/>
      <c r="O48286" s="28"/>
      <c r="U48286" s="28"/>
    </row>
    <row r="48287">
      <c r="N48287" s="28"/>
      <c r="O48287" s="28"/>
      <c r="U48287" s="28"/>
    </row>
    <row r="48288">
      <c r="N48288" s="28"/>
      <c r="O48288" s="28"/>
      <c r="U48288" s="28"/>
    </row>
    <row r="48289">
      <c r="N48289" s="28"/>
      <c r="O48289" s="28"/>
      <c r="U48289" s="28"/>
    </row>
    <row r="48290">
      <c r="N48290" s="28"/>
      <c r="O48290" s="28"/>
      <c r="U48290" s="28"/>
    </row>
    <row r="48291">
      <c r="N48291" s="28"/>
      <c r="O48291" s="28"/>
      <c r="U48291" s="28"/>
    </row>
    <row r="48292">
      <c r="N48292" s="28"/>
      <c r="O48292" s="28"/>
      <c r="U48292" s="28"/>
    </row>
    <row r="48293">
      <c r="N48293" s="28"/>
      <c r="O48293" s="28"/>
      <c r="U48293" s="28"/>
    </row>
    <row r="48294">
      <c r="N48294" s="28"/>
      <c r="O48294" s="28"/>
      <c r="U48294" s="28"/>
    </row>
    <row r="48295">
      <c r="N48295" s="28"/>
      <c r="O48295" s="28"/>
      <c r="U48295" s="28"/>
    </row>
    <row r="48296">
      <c r="N48296" s="28"/>
      <c r="O48296" s="28"/>
      <c r="U48296" s="28"/>
    </row>
    <row r="48297">
      <c r="N48297" s="28"/>
      <c r="O48297" s="28"/>
      <c r="U48297" s="28"/>
    </row>
    <row r="48298">
      <c r="N48298" s="28"/>
      <c r="O48298" s="28"/>
      <c r="U48298" s="28"/>
    </row>
    <row r="48299">
      <c r="N48299" s="28"/>
      <c r="O48299" s="28"/>
      <c r="U48299" s="28"/>
    </row>
    <row r="48300">
      <c r="N48300" s="28"/>
      <c r="O48300" s="28"/>
      <c r="U48300" s="28"/>
    </row>
    <row r="48301">
      <c r="N48301" s="28"/>
      <c r="O48301" s="28"/>
      <c r="U48301" s="28"/>
    </row>
    <row r="48302">
      <c r="N48302" s="28"/>
      <c r="O48302" s="28"/>
      <c r="U48302" s="28"/>
    </row>
    <row r="48303">
      <c r="N48303" s="28"/>
      <c r="O48303" s="28"/>
      <c r="U48303" s="28"/>
    </row>
    <row r="48304">
      <c r="N48304" s="28"/>
      <c r="O48304" s="28"/>
      <c r="U48304" s="28"/>
    </row>
    <row r="48305">
      <c r="N48305" s="28"/>
      <c r="O48305" s="28"/>
      <c r="U48305" s="28"/>
    </row>
    <row r="48306">
      <c r="N48306" s="28"/>
      <c r="O48306" s="28"/>
      <c r="U48306" s="28"/>
    </row>
    <row r="48307">
      <c r="N48307" s="28"/>
      <c r="O48307" s="28"/>
      <c r="U48307" s="28"/>
    </row>
    <row r="48308">
      <c r="N48308" s="28"/>
      <c r="O48308" s="28"/>
      <c r="U48308" s="28"/>
    </row>
    <row r="48309">
      <c r="N48309" s="28"/>
      <c r="O48309" s="28"/>
      <c r="U48309" s="28"/>
    </row>
    <row r="48310">
      <c r="N48310" s="28"/>
      <c r="O48310" s="28"/>
      <c r="U48310" s="28"/>
    </row>
    <row r="48311">
      <c r="N48311" s="28"/>
      <c r="O48311" s="28"/>
      <c r="U48311" s="28"/>
    </row>
    <row r="48312">
      <c r="N48312" s="28"/>
      <c r="O48312" s="28"/>
      <c r="U48312" s="28"/>
    </row>
    <row r="48313">
      <c r="N48313" s="28"/>
      <c r="O48313" s="28"/>
      <c r="U48313" s="28"/>
    </row>
    <row r="48314">
      <c r="N48314" s="28"/>
      <c r="O48314" s="28"/>
      <c r="U48314" s="28"/>
    </row>
    <row r="48315">
      <c r="N48315" s="28"/>
      <c r="O48315" s="28"/>
      <c r="U48315" s="28"/>
    </row>
    <row r="48316">
      <c r="N48316" s="28"/>
      <c r="O48316" s="28"/>
      <c r="U48316" s="28"/>
    </row>
    <row r="48317">
      <c r="N48317" s="28"/>
      <c r="O48317" s="28"/>
      <c r="U48317" s="28"/>
    </row>
    <row r="48318">
      <c r="N48318" s="28"/>
      <c r="O48318" s="28"/>
      <c r="U48318" s="28"/>
    </row>
    <row r="48319">
      <c r="N48319" s="28"/>
      <c r="O48319" s="28"/>
      <c r="U48319" s="28"/>
    </row>
    <row r="48320">
      <c r="N48320" s="28"/>
      <c r="O48320" s="28"/>
      <c r="U48320" s="28"/>
    </row>
    <row r="48321">
      <c r="N48321" s="28"/>
      <c r="O48321" s="28"/>
      <c r="U48321" s="28"/>
    </row>
    <row r="48322">
      <c r="N48322" s="28"/>
      <c r="O48322" s="28"/>
      <c r="U48322" s="28"/>
    </row>
    <row r="48323">
      <c r="N48323" s="28"/>
      <c r="O48323" s="28"/>
      <c r="U48323" s="28"/>
    </row>
    <row r="48324">
      <c r="N48324" s="28"/>
      <c r="O48324" s="28"/>
      <c r="U48324" s="28"/>
    </row>
    <row r="48325">
      <c r="N48325" s="28"/>
      <c r="O48325" s="28"/>
      <c r="U48325" s="28"/>
    </row>
    <row r="48326">
      <c r="N48326" s="28"/>
      <c r="O48326" s="28"/>
      <c r="U48326" s="28"/>
    </row>
    <row r="48327">
      <c r="N48327" s="28"/>
      <c r="O48327" s="28"/>
      <c r="U48327" s="28"/>
    </row>
    <row r="48328">
      <c r="N48328" s="28"/>
      <c r="O48328" s="28"/>
      <c r="U48328" s="28"/>
    </row>
    <row r="48329">
      <c r="N48329" s="28"/>
      <c r="O48329" s="28"/>
      <c r="U48329" s="28"/>
    </row>
    <row r="48330">
      <c r="N48330" s="28"/>
      <c r="O48330" s="28"/>
      <c r="U48330" s="28"/>
    </row>
    <row r="48331">
      <c r="N48331" s="28"/>
      <c r="O48331" s="28"/>
      <c r="U48331" s="28"/>
    </row>
    <row r="48332">
      <c r="N48332" s="28"/>
      <c r="O48332" s="28"/>
      <c r="U48332" s="28"/>
    </row>
    <row r="48333">
      <c r="N48333" s="28"/>
      <c r="O48333" s="28"/>
      <c r="U48333" s="28"/>
    </row>
    <row r="48334">
      <c r="N48334" s="28"/>
      <c r="O48334" s="28"/>
      <c r="U48334" s="28"/>
    </row>
    <row r="48335">
      <c r="N48335" s="28"/>
      <c r="O48335" s="28"/>
      <c r="U48335" s="28"/>
    </row>
    <row r="48336">
      <c r="N48336" s="28"/>
      <c r="O48336" s="28"/>
      <c r="U48336" s="28"/>
    </row>
    <row r="48337">
      <c r="N48337" s="28"/>
      <c r="O48337" s="28"/>
      <c r="U48337" s="28"/>
    </row>
    <row r="48338">
      <c r="N48338" s="28"/>
      <c r="O48338" s="28"/>
      <c r="U48338" s="28"/>
    </row>
    <row r="48339">
      <c r="N48339" s="28"/>
      <c r="O48339" s="28"/>
      <c r="U48339" s="28"/>
    </row>
    <row r="48340">
      <c r="N48340" s="28"/>
      <c r="O48340" s="28"/>
      <c r="U48340" s="28"/>
    </row>
    <row r="48341">
      <c r="N48341" s="28"/>
      <c r="O48341" s="28"/>
      <c r="U48341" s="28"/>
    </row>
    <row r="48342">
      <c r="N48342" s="28"/>
      <c r="O48342" s="28"/>
      <c r="U48342" s="28"/>
    </row>
    <row r="48343">
      <c r="N48343" s="28"/>
      <c r="O48343" s="28"/>
      <c r="U48343" s="28"/>
    </row>
    <row r="48344">
      <c r="N48344" s="28"/>
      <c r="O48344" s="28"/>
      <c r="U48344" s="28"/>
    </row>
    <row r="48345">
      <c r="N48345" s="28"/>
      <c r="O48345" s="28"/>
      <c r="U48345" s="28"/>
    </row>
    <row r="48346">
      <c r="N48346" s="28"/>
      <c r="O48346" s="28"/>
      <c r="U48346" s="28"/>
    </row>
    <row r="48347">
      <c r="N48347" s="28"/>
      <c r="O48347" s="28"/>
      <c r="U48347" s="28"/>
    </row>
    <row r="48348">
      <c r="N48348" s="28"/>
      <c r="O48348" s="28"/>
      <c r="U48348" s="28"/>
    </row>
    <row r="48349">
      <c r="N48349" s="28"/>
      <c r="O48349" s="28"/>
      <c r="U48349" s="28"/>
    </row>
    <row r="48350">
      <c r="N48350" s="28"/>
      <c r="O48350" s="28"/>
      <c r="U48350" s="28"/>
    </row>
    <row r="48351">
      <c r="N48351" s="28"/>
      <c r="O48351" s="28"/>
      <c r="U48351" s="28"/>
    </row>
    <row r="48352">
      <c r="N48352" s="28"/>
      <c r="O48352" s="28"/>
      <c r="U48352" s="28"/>
    </row>
    <row r="48353">
      <c r="N48353" s="28"/>
      <c r="O48353" s="28"/>
      <c r="U48353" s="28"/>
    </row>
    <row r="48354">
      <c r="N48354" s="28"/>
      <c r="O48354" s="28"/>
      <c r="U48354" s="28"/>
    </row>
    <row r="48355">
      <c r="N48355" s="28"/>
      <c r="O48355" s="28"/>
      <c r="U48355" s="28"/>
    </row>
    <row r="48356">
      <c r="N48356" s="28"/>
      <c r="O48356" s="28"/>
      <c r="U48356" s="28"/>
    </row>
    <row r="48357">
      <c r="N48357" s="28"/>
      <c r="O48357" s="28"/>
      <c r="U48357" s="28"/>
    </row>
    <row r="48358">
      <c r="N48358" s="28"/>
      <c r="O48358" s="28"/>
      <c r="U48358" s="28"/>
    </row>
    <row r="48359">
      <c r="N48359" s="28"/>
      <c r="O48359" s="28"/>
      <c r="U48359" s="28"/>
    </row>
    <row r="48360">
      <c r="N48360" s="28"/>
      <c r="O48360" s="28"/>
      <c r="U48360" s="28"/>
    </row>
    <row r="48361">
      <c r="N48361" s="28"/>
      <c r="O48361" s="28"/>
      <c r="U48361" s="28"/>
    </row>
    <row r="48362">
      <c r="N48362" s="28"/>
      <c r="O48362" s="28"/>
      <c r="U48362" s="28"/>
    </row>
    <row r="48363">
      <c r="N48363" s="28"/>
      <c r="O48363" s="28"/>
      <c r="U48363" s="28"/>
    </row>
    <row r="48364">
      <c r="N48364" s="28"/>
      <c r="O48364" s="28"/>
      <c r="U48364" s="28"/>
    </row>
    <row r="48365">
      <c r="N48365" s="28"/>
      <c r="O48365" s="28"/>
      <c r="U48365" s="28"/>
    </row>
    <row r="48366">
      <c r="N48366" s="28"/>
      <c r="O48366" s="28"/>
      <c r="U48366" s="28"/>
    </row>
    <row r="48367">
      <c r="N48367" s="28"/>
      <c r="O48367" s="28"/>
      <c r="U48367" s="28"/>
    </row>
    <row r="48368">
      <c r="N48368" s="28"/>
      <c r="O48368" s="28"/>
      <c r="U48368" s="28"/>
    </row>
    <row r="48369">
      <c r="N48369" s="28"/>
      <c r="O48369" s="28"/>
      <c r="U48369" s="28"/>
    </row>
    <row r="48370">
      <c r="N48370" s="28"/>
      <c r="O48370" s="28"/>
      <c r="U48370" s="28"/>
    </row>
    <row r="48371">
      <c r="N48371" s="28"/>
      <c r="O48371" s="28"/>
      <c r="U48371" s="28"/>
    </row>
    <row r="48372">
      <c r="N48372" s="28"/>
      <c r="O48372" s="28"/>
      <c r="U48372" s="28"/>
    </row>
    <row r="48373">
      <c r="N48373" s="28"/>
      <c r="O48373" s="28"/>
      <c r="U48373" s="28"/>
    </row>
    <row r="48374">
      <c r="N48374" s="28"/>
      <c r="O48374" s="28"/>
      <c r="U48374" s="28"/>
    </row>
    <row r="48375">
      <c r="N48375" s="28"/>
      <c r="O48375" s="28"/>
      <c r="U48375" s="28"/>
    </row>
    <row r="48376">
      <c r="N48376" s="28"/>
      <c r="O48376" s="28"/>
      <c r="U48376" s="28"/>
    </row>
    <row r="48377">
      <c r="N48377" s="28"/>
      <c r="O48377" s="28"/>
      <c r="U48377" s="28"/>
    </row>
    <row r="48378">
      <c r="N48378" s="28"/>
      <c r="O48378" s="28"/>
      <c r="U48378" s="28"/>
    </row>
    <row r="48379">
      <c r="N48379" s="28"/>
      <c r="O48379" s="28"/>
      <c r="U48379" s="28"/>
    </row>
    <row r="48380">
      <c r="N48380" s="28"/>
      <c r="O48380" s="28"/>
      <c r="U48380" s="28"/>
    </row>
    <row r="48381">
      <c r="N48381" s="28"/>
      <c r="O48381" s="28"/>
      <c r="U48381" s="28"/>
    </row>
    <row r="48382">
      <c r="N48382" s="28"/>
      <c r="O48382" s="28"/>
      <c r="U48382" s="28"/>
    </row>
    <row r="48383">
      <c r="N48383" s="28"/>
      <c r="O48383" s="28"/>
      <c r="U48383" s="28"/>
    </row>
    <row r="48384">
      <c r="N48384" s="28"/>
      <c r="O48384" s="28"/>
      <c r="U48384" s="28"/>
    </row>
    <row r="48385">
      <c r="N48385" s="28"/>
      <c r="O48385" s="28"/>
      <c r="U48385" s="28"/>
    </row>
    <row r="48386">
      <c r="N48386" s="28"/>
      <c r="O48386" s="28"/>
      <c r="U48386" s="28"/>
    </row>
    <row r="48387">
      <c r="N48387" s="28"/>
      <c r="O48387" s="28"/>
      <c r="U48387" s="28"/>
    </row>
    <row r="48388">
      <c r="N48388" s="28"/>
      <c r="O48388" s="28"/>
      <c r="U48388" s="28"/>
    </row>
    <row r="48389">
      <c r="N48389" s="28"/>
      <c r="O48389" s="28"/>
      <c r="U48389" s="28"/>
    </row>
    <row r="48390">
      <c r="N48390" s="28"/>
      <c r="O48390" s="28"/>
      <c r="U48390" s="28"/>
    </row>
    <row r="48391">
      <c r="N48391" s="28"/>
      <c r="O48391" s="28"/>
      <c r="U48391" s="28"/>
    </row>
    <row r="48392">
      <c r="N48392" s="28"/>
      <c r="O48392" s="28"/>
      <c r="U48392" s="28"/>
    </row>
    <row r="48393">
      <c r="N48393" s="28"/>
      <c r="O48393" s="28"/>
      <c r="U48393" s="28"/>
    </row>
    <row r="48394">
      <c r="N48394" s="28"/>
      <c r="O48394" s="28"/>
      <c r="U48394" s="28"/>
    </row>
    <row r="48395">
      <c r="N48395" s="28"/>
      <c r="O48395" s="28"/>
      <c r="U48395" s="28"/>
    </row>
    <row r="48396">
      <c r="N48396" s="28"/>
      <c r="O48396" s="28"/>
      <c r="U48396" s="28"/>
    </row>
    <row r="48397">
      <c r="N48397" s="28"/>
      <c r="O48397" s="28"/>
      <c r="U48397" s="28"/>
    </row>
    <row r="48398">
      <c r="N48398" s="28"/>
      <c r="O48398" s="28"/>
      <c r="U48398" s="28"/>
    </row>
    <row r="48399">
      <c r="N48399" s="28"/>
      <c r="O48399" s="28"/>
      <c r="U48399" s="28"/>
    </row>
    <row r="48400">
      <c r="N48400" s="28"/>
      <c r="O48400" s="28"/>
      <c r="U48400" s="28"/>
    </row>
    <row r="48401">
      <c r="N48401" s="28"/>
      <c r="O48401" s="28"/>
      <c r="U48401" s="28"/>
    </row>
    <row r="48402">
      <c r="N48402" s="28"/>
      <c r="O48402" s="28"/>
      <c r="U48402" s="28"/>
    </row>
    <row r="48403">
      <c r="N48403" s="28"/>
      <c r="O48403" s="28"/>
      <c r="U48403" s="28"/>
    </row>
    <row r="48404">
      <c r="N48404" s="28"/>
      <c r="O48404" s="28"/>
      <c r="U48404" s="28"/>
    </row>
    <row r="48405">
      <c r="N48405" s="28"/>
      <c r="O48405" s="28"/>
      <c r="U48405" s="28"/>
    </row>
    <row r="48406">
      <c r="N48406" s="28"/>
      <c r="O48406" s="28"/>
      <c r="U48406" s="28"/>
    </row>
    <row r="48407">
      <c r="N48407" s="28"/>
      <c r="O48407" s="28"/>
      <c r="U48407" s="28"/>
    </row>
    <row r="48408">
      <c r="N48408" s="28"/>
      <c r="O48408" s="28"/>
      <c r="U48408" s="28"/>
    </row>
    <row r="48409">
      <c r="N48409" s="28"/>
      <c r="O48409" s="28"/>
      <c r="U48409" s="28"/>
    </row>
    <row r="48410">
      <c r="N48410" s="28"/>
      <c r="O48410" s="28"/>
      <c r="U48410" s="28"/>
    </row>
    <row r="48411">
      <c r="N48411" s="28"/>
      <c r="O48411" s="28"/>
      <c r="U48411" s="28"/>
    </row>
    <row r="48412">
      <c r="N48412" s="28"/>
      <c r="O48412" s="28"/>
      <c r="U48412" s="28"/>
    </row>
    <row r="48413">
      <c r="N48413" s="28"/>
      <c r="O48413" s="28"/>
      <c r="U48413" s="28"/>
    </row>
    <row r="48414">
      <c r="N48414" s="28"/>
      <c r="O48414" s="28"/>
      <c r="U48414" s="28"/>
    </row>
    <row r="48415">
      <c r="N48415" s="28"/>
      <c r="O48415" s="28"/>
      <c r="U48415" s="28"/>
    </row>
    <row r="48416">
      <c r="N48416" s="28"/>
      <c r="O48416" s="28"/>
      <c r="U48416" s="28"/>
    </row>
    <row r="48417">
      <c r="N48417" s="28"/>
      <c r="O48417" s="28"/>
      <c r="U48417" s="28"/>
    </row>
    <row r="48418">
      <c r="N48418" s="28"/>
      <c r="O48418" s="28"/>
      <c r="U48418" s="28"/>
    </row>
    <row r="48419">
      <c r="N48419" s="28"/>
      <c r="O48419" s="28"/>
      <c r="U48419" s="28"/>
    </row>
    <row r="48420">
      <c r="N48420" s="28"/>
      <c r="O48420" s="28"/>
      <c r="U48420" s="28"/>
    </row>
    <row r="48421">
      <c r="N48421" s="28"/>
      <c r="O48421" s="28"/>
      <c r="U48421" s="28"/>
    </row>
    <row r="48422">
      <c r="N48422" s="28"/>
      <c r="O48422" s="28"/>
      <c r="U48422" s="28"/>
    </row>
    <row r="48423">
      <c r="N48423" s="28"/>
      <c r="O48423" s="28"/>
      <c r="U48423" s="28"/>
    </row>
    <row r="48424">
      <c r="N48424" s="28"/>
      <c r="O48424" s="28"/>
      <c r="U48424" s="28"/>
    </row>
    <row r="48425">
      <c r="N48425" s="28"/>
      <c r="O48425" s="28"/>
      <c r="U48425" s="28"/>
    </row>
    <row r="48426">
      <c r="N48426" s="28"/>
      <c r="O48426" s="28"/>
      <c r="U48426" s="28"/>
    </row>
    <row r="48427">
      <c r="N48427" s="28"/>
      <c r="O48427" s="28"/>
      <c r="U48427" s="28"/>
    </row>
    <row r="48428">
      <c r="N48428" s="28"/>
      <c r="O48428" s="28"/>
      <c r="U48428" s="28"/>
    </row>
    <row r="48429">
      <c r="N48429" s="28"/>
      <c r="O48429" s="28"/>
      <c r="U48429" s="28"/>
    </row>
    <row r="48430">
      <c r="N48430" s="28"/>
      <c r="O48430" s="28"/>
      <c r="U48430" s="28"/>
    </row>
    <row r="48431">
      <c r="N48431" s="28"/>
      <c r="O48431" s="28"/>
      <c r="U48431" s="28"/>
    </row>
    <row r="48432">
      <c r="N48432" s="28"/>
      <c r="O48432" s="28"/>
      <c r="U48432" s="28"/>
    </row>
    <row r="48433">
      <c r="N48433" s="28"/>
      <c r="O48433" s="28"/>
      <c r="U48433" s="28"/>
    </row>
    <row r="48434">
      <c r="N48434" s="28"/>
      <c r="O48434" s="28"/>
      <c r="U48434" s="28"/>
    </row>
    <row r="48435">
      <c r="N48435" s="28"/>
      <c r="O48435" s="28"/>
      <c r="U48435" s="28"/>
    </row>
    <row r="48436">
      <c r="N48436" s="28"/>
      <c r="O48436" s="28"/>
      <c r="U48436" s="28"/>
    </row>
    <row r="48437">
      <c r="N48437" s="28"/>
      <c r="O48437" s="28"/>
      <c r="U48437" s="28"/>
    </row>
    <row r="48438">
      <c r="N48438" s="28"/>
      <c r="O48438" s="28"/>
      <c r="U48438" s="28"/>
    </row>
    <row r="48439">
      <c r="N48439" s="28"/>
      <c r="O48439" s="28"/>
      <c r="U48439" s="28"/>
    </row>
    <row r="48440">
      <c r="N48440" s="28"/>
      <c r="O48440" s="28"/>
      <c r="U48440" s="28"/>
    </row>
    <row r="48441">
      <c r="N48441" s="28"/>
      <c r="O48441" s="28"/>
      <c r="U48441" s="28"/>
    </row>
    <row r="48442">
      <c r="N48442" s="28"/>
      <c r="O48442" s="28"/>
      <c r="U48442" s="28"/>
    </row>
    <row r="48443">
      <c r="N48443" s="28"/>
      <c r="O48443" s="28"/>
      <c r="U48443" s="28"/>
    </row>
    <row r="48444">
      <c r="N48444" s="28"/>
      <c r="O48444" s="28"/>
      <c r="U48444" s="28"/>
    </row>
    <row r="48445">
      <c r="N48445" s="28"/>
      <c r="O48445" s="28"/>
      <c r="U48445" s="28"/>
    </row>
    <row r="48446">
      <c r="N48446" s="28"/>
      <c r="O48446" s="28"/>
      <c r="U48446" s="28"/>
    </row>
    <row r="48447">
      <c r="N48447" s="28"/>
      <c r="O48447" s="28"/>
      <c r="U48447" s="28"/>
    </row>
    <row r="48448">
      <c r="N48448" s="28"/>
      <c r="O48448" s="28"/>
      <c r="U48448" s="28"/>
    </row>
    <row r="48449">
      <c r="N48449" s="28"/>
      <c r="O48449" s="28"/>
      <c r="U48449" s="28"/>
    </row>
    <row r="48450">
      <c r="N48450" s="28"/>
      <c r="O48450" s="28"/>
      <c r="U48450" s="28"/>
    </row>
    <row r="48451">
      <c r="N48451" s="28"/>
      <c r="O48451" s="28"/>
      <c r="U48451" s="28"/>
    </row>
    <row r="48452">
      <c r="N48452" s="28"/>
      <c r="O48452" s="28"/>
      <c r="U48452" s="28"/>
    </row>
    <row r="48453">
      <c r="N48453" s="28"/>
      <c r="O48453" s="28"/>
      <c r="U48453" s="28"/>
    </row>
    <row r="48454">
      <c r="N48454" s="28"/>
      <c r="O48454" s="28"/>
      <c r="U48454" s="28"/>
    </row>
    <row r="48455">
      <c r="N48455" s="28"/>
      <c r="O48455" s="28"/>
      <c r="U48455" s="28"/>
    </row>
    <row r="48456">
      <c r="N48456" s="28"/>
      <c r="O48456" s="28"/>
      <c r="U48456" s="28"/>
    </row>
    <row r="48457">
      <c r="N48457" s="28"/>
      <c r="O48457" s="28"/>
      <c r="U48457" s="28"/>
    </row>
    <row r="48458">
      <c r="N48458" s="28"/>
      <c r="O48458" s="28"/>
      <c r="U48458" s="28"/>
    </row>
    <row r="48459">
      <c r="N48459" s="28"/>
      <c r="O48459" s="28"/>
      <c r="U48459" s="28"/>
    </row>
    <row r="48460">
      <c r="N48460" s="28"/>
      <c r="O48460" s="28"/>
      <c r="U48460" s="28"/>
    </row>
    <row r="48461">
      <c r="N48461" s="28"/>
      <c r="O48461" s="28"/>
      <c r="U48461" s="28"/>
    </row>
    <row r="48462">
      <c r="N48462" s="28"/>
      <c r="O48462" s="28"/>
      <c r="U48462" s="28"/>
    </row>
    <row r="48463">
      <c r="N48463" s="28"/>
      <c r="O48463" s="28"/>
      <c r="U48463" s="28"/>
    </row>
    <row r="48464">
      <c r="N48464" s="28"/>
      <c r="O48464" s="28"/>
      <c r="U48464" s="28"/>
    </row>
    <row r="48465">
      <c r="N48465" s="28"/>
      <c r="O48465" s="28"/>
      <c r="U48465" s="28"/>
    </row>
    <row r="48466">
      <c r="N48466" s="28"/>
      <c r="O48466" s="28"/>
      <c r="U48466" s="28"/>
    </row>
    <row r="48467">
      <c r="N48467" s="28"/>
      <c r="O48467" s="28"/>
      <c r="U48467" s="28"/>
    </row>
    <row r="48468">
      <c r="N48468" s="28"/>
      <c r="O48468" s="28"/>
      <c r="U48468" s="28"/>
    </row>
    <row r="48469">
      <c r="N48469" s="28"/>
      <c r="O48469" s="28"/>
      <c r="U48469" s="28"/>
    </row>
    <row r="48470">
      <c r="N48470" s="28"/>
      <c r="O48470" s="28"/>
      <c r="U48470" s="28"/>
    </row>
    <row r="48471">
      <c r="N48471" s="28"/>
      <c r="O48471" s="28"/>
      <c r="U48471" s="28"/>
    </row>
    <row r="48472">
      <c r="N48472" s="28"/>
      <c r="O48472" s="28"/>
      <c r="U48472" s="28"/>
    </row>
    <row r="48473">
      <c r="N48473" s="28"/>
      <c r="O48473" s="28"/>
      <c r="U48473" s="28"/>
    </row>
    <row r="48474">
      <c r="N48474" s="28"/>
      <c r="O48474" s="28"/>
      <c r="U48474" s="28"/>
    </row>
    <row r="48475">
      <c r="N48475" s="28"/>
      <c r="O48475" s="28"/>
      <c r="U48475" s="28"/>
    </row>
    <row r="48476">
      <c r="N48476" s="28"/>
      <c r="O48476" s="28"/>
      <c r="U48476" s="28"/>
    </row>
    <row r="48477">
      <c r="N48477" s="28"/>
      <c r="O48477" s="28"/>
      <c r="U48477" s="28"/>
    </row>
    <row r="48478">
      <c r="N48478" s="28"/>
      <c r="O48478" s="28"/>
      <c r="U48478" s="28"/>
    </row>
    <row r="48479">
      <c r="N48479" s="28"/>
      <c r="O48479" s="28"/>
      <c r="U48479" s="28"/>
    </row>
    <row r="48480">
      <c r="N48480" s="28"/>
      <c r="O48480" s="28"/>
      <c r="U48480" s="28"/>
    </row>
    <row r="48481">
      <c r="N48481" s="28"/>
      <c r="O48481" s="28"/>
      <c r="U48481" s="28"/>
    </row>
    <row r="48482">
      <c r="N48482" s="28"/>
      <c r="O48482" s="28"/>
      <c r="U48482" s="28"/>
    </row>
    <row r="48483">
      <c r="N48483" s="28"/>
      <c r="O48483" s="28"/>
      <c r="U48483" s="28"/>
    </row>
    <row r="48484">
      <c r="N48484" s="28"/>
      <c r="O48484" s="28"/>
      <c r="U48484" s="28"/>
    </row>
    <row r="48485">
      <c r="N48485" s="28"/>
      <c r="O48485" s="28"/>
      <c r="U48485" s="28"/>
    </row>
    <row r="48486">
      <c r="N48486" s="28"/>
      <c r="O48486" s="28"/>
      <c r="U48486" s="28"/>
    </row>
    <row r="48487">
      <c r="N48487" s="28"/>
      <c r="O48487" s="28"/>
      <c r="U48487" s="28"/>
    </row>
    <row r="48488">
      <c r="N48488" s="28"/>
      <c r="O48488" s="28"/>
      <c r="U48488" s="28"/>
    </row>
    <row r="48489">
      <c r="N48489" s="28"/>
      <c r="O48489" s="28"/>
      <c r="U48489" s="28"/>
    </row>
    <row r="48490">
      <c r="N48490" s="28"/>
      <c r="O48490" s="28"/>
      <c r="U48490" s="28"/>
    </row>
    <row r="48491">
      <c r="N48491" s="28"/>
      <c r="O48491" s="28"/>
      <c r="U48491" s="28"/>
    </row>
    <row r="48492">
      <c r="N48492" s="28"/>
      <c r="O48492" s="28"/>
      <c r="U48492" s="28"/>
    </row>
    <row r="48493">
      <c r="N48493" s="28"/>
      <c r="O48493" s="28"/>
      <c r="U48493" s="28"/>
    </row>
    <row r="48494">
      <c r="N48494" s="28"/>
      <c r="O48494" s="28"/>
      <c r="U48494" s="28"/>
    </row>
    <row r="48495">
      <c r="N48495" s="28"/>
      <c r="O48495" s="28"/>
      <c r="U48495" s="28"/>
    </row>
    <row r="48496">
      <c r="N48496" s="28"/>
      <c r="O48496" s="28"/>
      <c r="U48496" s="28"/>
    </row>
    <row r="48497">
      <c r="N48497" s="28"/>
      <c r="O48497" s="28"/>
      <c r="U48497" s="28"/>
    </row>
    <row r="48498">
      <c r="N48498" s="28"/>
      <c r="O48498" s="28"/>
      <c r="U48498" s="28"/>
    </row>
    <row r="48499">
      <c r="N48499" s="28"/>
      <c r="O48499" s="28"/>
      <c r="U48499" s="28"/>
    </row>
    <row r="48500">
      <c r="N48500" s="28"/>
      <c r="O48500" s="28"/>
      <c r="U48500" s="28"/>
    </row>
    <row r="48501">
      <c r="N48501" s="28"/>
      <c r="O48501" s="28"/>
      <c r="U48501" s="28"/>
    </row>
    <row r="48502">
      <c r="N48502" s="28"/>
      <c r="O48502" s="28"/>
      <c r="U48502" s="28"/>
    </row>
    <row r="48503">
      <c r="N48503" s="28"/>
      <c r="O48503" s="28"/>
      <c r="U48503" s="28"/>
    </row>
    <row r="48504">
      <c r="N48504" s="28"/>
      <c r="O48504" s="28"/>
      <c r="U48504" s="28"/>
    </row>
    <row r="48505">
      <c r="N48505" s="28"/>
      <c r="O48505" s="28"/>
      <c r="U48505" s="28"/>
    </row>
    <row r="48506">
      <c r="N48506" s="28"/>
      <c r="O48506" s="28"/>
      <c r="U48506" s="28"/>
    </row>
    <row r="48507">
      <c r="N48507" s="28"/>
      <c r="O48507" s="28"/>
      <c r="U48507" s="28"/>
    </row>
    <row r="48508">
      <c r="N48508" s="28"/>
      <c r="O48508" s="28"/>
      <c r="U48508" s="28"/>
    </row>
    <row r="48509">
      <c r="N48509" s="28"/>
      <c r="O48509" s="28"/>
      <c r="U48509" s="28"/>
    </row>
    <row r="48510">
      <c r="N48510" s="28"/>
      <c r="O48510" s="28"/>
      <c r="U48510" s="28"/>
    </row>
    <row r="48511">
      <c r="N48511" s="28"/>
      <c r="O48511" s="28"/>
      <c r="U48511" s="28"/>
    </row>
    <row r="48512">
      <c r="N48512" s="28"/>
      <c r="O48512" s="28"/>
      <c r="U48512" s="28"/>
    </row>
    <row r="48513">
      <c r="N48513" s="28"/>
      <c r="O48513" s="28"/>
      <c r="U48513" s="28"/>
    </row>
    <row r="48514">
      <c r="N48514" s="28"/>
      <c r="O48514" s="28"/>
      <c r="U48514" s="28"/>
    </row>
    <row r="48515">
      <c r="N48515" s="28"/>
      <c r="O48515" s="28"/>
      <c r="U48515" s="28"/>
    </row>
    <row r="48516">
      <c r="N48516" s="28"/>
      <c r="O48516" s="28"/>
      <c r="U48516" s="28"/>
    </row>
    <row r="48517">
      <c r="N48517" s="28"/>
      <c r="O48517" s="28"/>
      <c r="U48517" s="28"/>
    </row>
    <row r="48518">
      <c r="N48518" s="28"/>
      <c r="O48518" s="28"/>
      <c r="U48518" s="28"/>
    </row>
    <row r="48519">
      <c r="N48519" s="28"/>
      <c r="O48519" s="28"/>
      <c r="U48519" s="28"/>
    </row>
    <row r="48520">
      <c r="N48520" s="28"/>
      <c r="O48520" s="28"/>
      <c r="U48520" s="28"/>
    </row>
    <row r="48521">
      <c r="N48521" s="28"/>
      <c r="O48521" s="28"/>
      <c r="U48521" s="28"/>
    </row>
    <row r="48522">
      <c r="N48522" s="28"/>
      <c r="O48522" s="28"/>
      <c r="U48522" s="28"/>
    </row>
    <row r="48523">
      <c r="N48523" s="28"/>
      <c r="O48523" s="28"/>
      <c r="U48523" s="28"/>
    </row>
    <row r="48524">
      <c r="N48524" s="28"/>
      <c r="O48524" s="28"/>
      <c r="U48524" s="28"/>
    </row>
    <row r="48525">
      <c r="N48525" s="28"/>
      <c r="O48525" s="28"/>
      <c r="U48525" s="28"/>
    </row>
    <row r="48526">
      <c r="N48526" s="28"/>
      <c r="O48526" s="28"/>
      <c r="U48526" s="28"/>
    </row>
    <row r="48527">
      <c r="N48527" s="28"/>
      <c r="O48527" s="28"/>
      <c r="U48527" s="28"/>
    </row>
    <row r="48528">
      <c r="N48528" s="28"/>
      <c r="O48528" s="28"/>
      <c r="U48528" s="28"/>
    </row>
    <row r="48529">
      <c r="N48529" s="28"/>
      <c r="O48529" s="28"/>
      <c r="U48529" s="28"/>
    </row>
    <row r="48530">
      <c r="N48530" s="28"/>
      <c r="O48530" s="28"/>
      <c r="U48530" s="28"/>
    </row>
    <row r="48531">
      <c r="N48531" s="28"/>
      <c r="O48531" s="28"/>
      <c r="U48531" s="28"/>
    </row>
    <row r="48532">
      <c r="N48532" s="28"/>
      <c r="O48532" s="28"/>
      <c r="U48532" s="28"/>
    </row>
    <row r="48533">
      <c r="N48533" s="28"/>
      <c r="O48533" s="28"/>
      <c r="U48533" s="28"/>
    </row>
    <row r="48534">
      <c r="N48534" s="28"/>
      <c r="O48534" s="28"/>
      <c r="U48534" s="28"/>
    </row>
    <row r="48535">
      <c r="N48535" s="28"/>
      <c r="O48535" s="28"/>
      <c r="U48535" s="28"/>
    </row>
    <row r="48536">
      <c r="N48536" s="28"/>
      <c r="O48536" s="28"/>
      <c r="U48536" s="28"/>
    </row>
    <row r="48537">
      <c r="N48537" s="28"/>
      <c r="O48537" s="28"/>
      <c r="U48537" s="28"/>
    </row>
    <row r="48538">
      <c r="N48538" s="28"/>
      <c r="O48538" s="28"/>
      <c r="U48538" s="28"/>
    </row>
    <row r="48539">
      <c r="N48539" s="28"/>
      <c r="O48539" s="28"/>
      <c r="U48539" s="28"/>
    </row>
    <row r="48540">
      <c r="N48540" s="28"/>
      <c r="O48540" s="28"/>
      <c r="U48540" s="28"/>
    </row>
    <row r="48541">
      <c r="N48541" s="28"/>
      <c r="O48541" s="28"/>
      <c r="U48541" s="28"/>
    </row>
    <row r="48542">
      <c r="N48542" s="28"/>
      <c r="O48542" s="28"/>
      <c r="U48542" s="28"/>
    </row>
    <row r="48543">
      <c r="N48543" s="28"/>
      <c r="O48543" s="28"/>
      <c r="U48543" s="28"/>
    </row>
    <row r="48544">
      <c r="N48544" s="28"/>
      <c r="O48544" s="28"/>
      <c r="U48544" s="28"/>
    </row>
    <row r="48545">
      <c r="N48545" s="28"/>
      <c r="O48545" s="28"/>
      <c r="U48545" s="28"/>
    </row>
    <row r="48546">
      <c r="N48546" s="28"/>
      <c r="O48546" s="28"/>
      <c r="U48546" s="28"/>
    </row>
    <row r="48547">
      <c r="N48547" s="28"/>
      <c r="O48547" s="28"/>
      <c r="U48547" s="28"/>
    </row>
    <row r="48548">
      <c r="N48548" s="28"/>
      <c r="O48548" s="28"/>
      <c r="U48548" s="28"/>
    </row>
    <row r="48549">
      <c r="N48549" s="28"/>
      <c r="O48549" s="28"/>
      <c r="U48549" s="28"/>
    </row>
    <row r="48550">
      <c r="N48550" s="28"/>
      <c r="O48550" s="28"/>
      <c r="U48550" s="28"/>
    </row>
    <row r="48551">
      <c r="N48551" s="28"/>
      <c r="O48551" s="28"/>
      <c r="U48551" s="28"/>
    </row>
    <row r="48552">
      <c r="N48552" s="28"/>
      <c r="O48552" s="28"/>
      <c r="U48552" s="28"/>
    </row>
    <row r="48553">
      <c r="N48553" s="28"/>
      <c r="O48553" s="28"/>
      <c r="U48553" s="28"/>
    </row>
    <row r="48554">
      <c r="N48554" s="28"/>
      <c r="O48554" s="28"/>
      <c r="U48554" s="28"/>
    </row>
    <row r="48555">
      <c r="N48555" s="28"/>
      <c r="O48555" s="28"/>
      <c r="U48555" s="28"/>
    </row>
    <row r="48556">
      <c r="N48556" s="28"/>
      <c r="O48556" s="28"/>
      <c r="U48556" s="28"/>
    </row>
    <row r="48557">
      <c r="N48557" s="28"/>
      <c r="O48557" s="28"/>
      <c r="U48557" s="28"/>
    </row>
    <row r="48558">
      <c r="N48558" s="28"/>
      <c r="O48558" s="28"/>
      <c r="U48558" s="28"/>
    </row>
    <row r="48559">
      <c r="N48559" s="28"/>
      <c r="O48559" s="28"/>
      <c r="U48559" s="28"/>
    </row>
    <row r="48560">
      <c r="N48560" s="28"/>
      <c r="O48560" s="28"/>
      <c r="U48560" s="28"/>
    </row>
    <row r="48561">
      <c r="N48561" s="28"/>
      <c r="O48561" s="28"/>
      <c r="U48561" s="28"/>
    </row>
    <row r="48562">
      <c r="N48562" s="28"/>
      <c r="O48562" s="28"/>
      <c r="U48562" s="28"/>
    </row>
    <row r="48563">
      <c r="N48563" s="28"/>
      <c r="O48563" s="28"/>
      <c r="U48563" s="28"/>
    </row>
    <row r="48564">
      <c r="N48564" s="28"/>
      <c r="O48564" s="28"/>
      <c r="U48564" s="28"/>
    </row>
    <row r="48565">
      <c r="N48565" s="28"/>
      <c r="O48565" s="28"/>
      <c r="U48565" s="28"/>
    </row>
    <row r="48566">
      <c r="N48566" s="28"/>
      <c r="O48566" s="28"/>
      <c r="U48566" s="28"/>
    </row>
    <row r="48567">
      <c r="N48567" s="28"/>
      <c r="O48567" s="28"/>
      <c r="U48567" s="28"/>
    </row>
    <row r="48568">
      <c r="N48568" s="28"/>
      <c r="O48568" s="28"/>
      <c r="U48568" s="28"/>
    </row>
    <row r="48569">
      <c r="N48569" s="28"/>
      <c r="O48569" s="28"/>
      <c r="U48569" s="28"/>
    </row>
    <row r="48570">
      <c r="N48570" s="28"/>
      <c r="O48570" s="28"/>
      <c r="U48570" s="28"/>
    </row>
    <row r="48571">
      <c r="N48571" s="28"/>
      <c r="O48571" s="28"/>
      <c r="U48571" s="28"/>
    </row>
    <row r="48572">
      <c r="N48572" s="28"/>
      <c r="O48572" s="28"/>
      <c r="U48572" s="28"/>
    </row>
    <row r="48573">
      <c r="N48573" s="28"/>
      <c r="O48573" s="28"/>
      <c r="U48573" s="28"/>
    </row>
    <row r="48574">
      <c r="N48574" s="28"/>
      <c r="O48574" s="28"/>
      <c r="U48574" s="28"/>
    </row>
    <row r="48575">
      <c r="N48575" s="28"/>
      <c r="O48575" s="28"/>
      <c r="U48575" s="28"/>
    </row>
    <row r="48576">
      <c r="N48576" s="28"/>
      <c r="O48576" s="28"/>
      <c r="U48576" s="28"/>
    </row>
    <row r="48577">
      <c r="N48577" s="28"/>
      <c r="O48577" s="28"/>
      <c r="U48577" s="28"/>
    </row>
    <row r="48578">
      <c r="N48578" s="28"/>
      <c r="O48578" s="28"/>
      <c r="U48578" s="28"/>
    </row>
    <row r="48579">
      <c r="N48579" s="28"/>
      <c r="O48579" s="28"/>
      <c r="U48579" s="28"/>
    </row>
    <row r="48580">
      <c r="N48580" s="28"/>
      <c r="O48580" s="28"/>
      <c r="U48580" s="28"/>
    </row>
    <row r="48581">
      <c r="N48581" s="28"/>
      <c r="O48581" s="28"/>
      <c r="U48581" s="28"/>
    </row>
    <row r="48582">
      <c r="N48582" s="28"/>
      <c r="O48582" s="28"/>
      <c r="U48582" s="28"/>
    </row>
    <row r="48583">
      <c r="N48583" s="28"/>
      <c r="O48583" s="28"/>
      <c r="U48583" s="28"/>
    </row>
    <row r="48584">
      <c r="N48584" s="28"/>
      <c r="O48584" s="28"/>
      <c r="U48584" s="28"/>
    </row>
    <row r="48585">
      <c r="N48585" s="28"/>
      <c r="O48585" s="28"/>
      <c r="U48585" s="28"/>
    </row>
    <row r="48586">
      <c r="N48586" s="28"/>
      <c r="O48586" s="28"/>
      <c r="U48586" s="28"/>
    </row>
    <row r="48587">
      <c r="N48587" s="28"/>
      <c r="O48587" s="28"/>
      <c r="U48587" s="28"/>
    </row>
    <row r="48588">
      <c r="N48588" s="28"/>
      <c r="O48588" s="28"/>
      <c r="U48588" s="28"/>
    </row>
    <row r="48589">
      <c r="N48589" s="28"/>
      <c r="O48589" s="28"/>
      <c r="U48589" s="28"/>
    </row>
    <row r="48590">
      <c r="N48590" s="28"/>
      <c r="O48590" s="28"/>
      <c r="U48590" s="28"/>
    </row>
    <row r="48591">
      <c r="N48591" s="28"/>
      <c r="O48591" s="28"/>
      <c r="U48591" s="28"/>
    </row>
    <row r="48592">
      <c r="N48592" s="28"/>
      <c r="O48592" s="28"/>
      <c r="U48592" s="28"/>
    </row>
    <row r="48593">
      <c r="N48593" s="28"/>
      <c r="O48593" s="28"/>
      <c r="U48593" s="28"/>
    </row>
    <row r="48594">
      <c r="N48594" s="28"/>
      <c r="O48594" s="28"/>
      <c r="U48594" s="28"/>
    </row>
    <row r="48595">
      <c r="N48595" s="28"/>
      <c r="O48595" s="28"/>
      <c r="U48595" s="28"/>
    </row>
    <row r="48596">
      <c r="N48596" s="28"/>
      <c r="O48596" s="28"/>
      <c r="U48596" s="28"/>
    </row>
    <row r="48597">
      <c r="N48597" s="28"/>
      <c r="O48597" s="28"/>
      <c r="U48597" s="28"/>
    </row>
    <row r="48598">
      <c r="N48598" s="28"/>
      <c r="O48598" s="28"/>
      <c r="U48598" s="28"/>
    </row>
    <row r="48599">
      <c r="N48599" s="28"/>
      <c r="O48599" s="28"/>
      <c r="U48599" s="28"/>
    </row>
    <row r="48600">
      <c r="N48600" s="28"/>
      <c r="O48600" s="28"/>
      <c r="U48600" s="28"/>
    </row>
    <row r="48601">
      <c r="N48601" s="28"/>
      <c r="O48601" s="28"/>
      <c r="U48601" s="28"/>
    </row>
    <row r="48602">
      <c r="N48602" s="28"/>
      <c r="O48602" s="28"/>
      <c r="U48602" s="28"/>
    </row>
    <row r="48603">
      <c r="N48603" s="28"/>
      <c r="O48603" s="28"/>
      <c r="U48603" s="28"/>
    </row>
    <row r="48604">
      <c r="N48604" s="28"/>
      <c r="O48604" s="28"/>
      <c r="U48604" s="28"/>
    </row>
    <row r="48605">
      <c r="N48605" s="28"/>
      <c r="O48605" s="28"/>
      <c r="U48605" s="28"/>
    </row>
    <row r="48606">
      <c r="N48606" s="28"/>
      <c r="O48606" s="28"/>
      <c r="U48606" s="28"/>
    </row>
    <row r="48607">
      <c r="N48607" s="28"/>
      <c r="O48607" s="28"/>
      <c r="U48607" s="28"/>
    </row>
    <row r="48608">
      <c r="N48608" s="28"/>
      <c r="O48608" s="28"/>
      <c r="U48608" s="28"/>
    </row>
    <row r="48609">
      <c r="N48609" s="28"/>
      <c r="O48609" s="28"/>
      <c r="U48609" s="28"/>
    </row>
    <row r="48610">
      <c r="N48610" s="28"/>
      <c r="O48610" s="28"/>
      <c r="U48610" s="28"/>
    </row>
    <row r="48611">
      <c r="N48611" s="28"/>
      <c r="O48611" s="28"/>
      <c r="U48611" s="28"/>
    </row>
    <row r="48612">
      <c r="N48612" s="28"/>
      <c r="O48612" s="28"/>
      <c r="U48612" s="28"/>
    </row>
    <row r="48613">
      <c r="N48613" s="28"/>
      <c r="O48613" s="28"/>
      <c r="U48613" s="28"/>
    </row>
    <row r="48614">
      <c r="N48614" s="28"/>
      <c r="O48614" s="28"/>
      <c r="U48614" s="28"/>
    </row>
    <row r="48615">
      <c r="N48615" s="28"/>
      <c r="O48615" s="28"/>
      <c r="U48615" s="28"/>
    </row>
    <row r="48616">
      <c r="N48616" s="28"/>
      <c r="O48616" s="28"/>
      <c r="U48616" s="28"/>
    </row>
    <row r="48617">
      <c r="N48617" s="28"/>
      <c r="O48617" s="28"/>
      <c r="U48617" s="28"/>
    </row>
    <row r="48618">
      <c r="N48618" s="28"/>
      <c r="O48618" s="28"/>
      <c r="U48618" s="28"/>
    </row>
    <row r="48619">
      <c r="N48619" s="28"/>
      <c r="O48619" s="28"/>
      <c r="U48619" s="28"/>
    </row>
    <row r="48620">
      <c r="N48620" s="28"/>
      <c r="O48620" s="28"/>
      <c r="U48620" s="28"/>
    </row>
    <row r="48621">
      <c r="N48621" s="28"/>
      <c r="O48621" s="28"/>
      <c r="U48621" s="28"/>
    </row>
    <row r="48622">
      <c r="N48622" s="28"/>
      <c r="O48622" s="28"/>
      <c r="U48622" s="28"/>
    </row>
    <row r="48623">
      <c r="N48623" s="28"/>
      <c r="O48623" s="28"/>
      <c r="U48623" s="28"/>
    </row>
    <row r="48624">
      <c r="N48624" s="28"/>
      <c r="O48624" s="28"/>
      <c r="U48624" s="28"/>
    </row>
    <row r="48625">
      <c r="N48625" s="28"/>
      <c r="O48625" s="28"/>
      <c r="U48625" s="28"/>
    </row>
    <row r="48626">
      <c r="N48626" s="28"/>
      <c r="O48626" s="28"/>
      <c r="U48626" s="28"/>
    </row>
    <row r="48627">
      <c r="N48627" s="28"/>
      <c r="O48627" s="28"/>
      <c r="U48627" s="28"/>
    </row>
    <row r="48628">
      <c r="N48628" s="28"/>
      <c r="O48628" s="28"/>
      <c r="U48628" s="28"/>
    </row>
    <row r="48629">
      <c r="N48629" s="28"/>
      <c r="O48629" s="28"/>
      <c r="U48629" s="28"/>
    </row>
    <row r="48630">
      <c r="N48630" s="28"/>
      <c r="O48630" s="28"/>
      <c r="U48630" s="28"/>
    </row>
    <row r="48631">
      <c r="N48631" s="28"/>
      <c r="O48631" s="28"/>
      <c r="U48631" s="28"/>
    </row>
    <row r="48632">
      <c r="N48632" s="28"/>
      <c r="O48632" s="28"/>
      <c r="U48632" s="28"/>
    </row>
    <row r="48633">
      <c r="N48633" s="28"/>
      <c r="O48633" s="28"/>
      <c r="U48633" s="28"/>
    </row>
    <row r="48634">
      <c r="N48634" s="28"/>
      <c r="O48634" s="28"/>
      <c r="U48634" s="28"/>
    </row>
    <row r="48635">
      <c r="N48635" s="28"/>
      <c r="O48635" s="28"/>
      <c r="U48635" s="28"/>
    </row>
    <row r="48636">
      <c r="N48636" s="28"/>
      <c r="O48636" s="28"/>
      <c r="U48636" s="28"/>
    </row>
    <row r="48637">
      <c r="N48637" s="28"/>
      <c r="O48637" s="28"/>
      <c r="U48637" s="28"/>
    </row>
    <row r="48638">
      <c r="N48638" s="28"/>
      <c r="O48638" s="28"/>
      <c r="U48638" s="28"/>
    </row>
    <row r="48639">
      <c r="N48639" s="28"/>
      <c r="O48639" s="28"/>
      <c r="U48639" s="28"/>
    </row>
    <row r="48640">
      <c r="N48640" s="28"/>
      <c r="O48640" s="28"/>
      <c r="U48640" s="28"/>
    </row>
    <row r="48641">
      <c r="N48641" s="28"/>
      <c r="O48641" s="28"/>
      <c r="U48641" s="28"/>
    </row>
    <row r="48642">
      <c r="N48642" s="28"/>
      <c r="O48642" s="28"/>
      <c r="U48642" s="28"/>
    </row>
    <row r="48643">
      <c r="N48643" s="28"/>
      <c r="O48643" s="28"/>
      <c r="U48643" s="28"/>
    </row>
    <row r="48644">
      <c r="N48644" s="28"/>
      <c r="O48644" s="28"/>
      <c r="U48644" s="28"/>
    </row>
    <row r="48645">
      <c r="N48645" s="28"/>
      <c r="O48645" s="28"/>
      <c r="U48645" s="28"/>
    </row>
    <row r="48646">
      <c r="N48646" s="28"/>
      <c r="O48646" s="28"/>
      <c r="U48646" s="28"/>
    </row>
    <row r="48647">
      <c r="N48647" s="28"/>
      <c r="O48647" s="28"/>
      <c r="U48647" s="28"/>
    </row>
    <row r="48648">
      <c r="N48648" s="28"/>
      <c r="O48648" s="28"/>
      <c r="U48648" s="28"/>
    </row>
    <row r="48649">
      <c r="N48649" s="28"/>
      <c r="O48649" s="28"/>
      <c r="U48649" s="28"/>
    </row>
    <row r="48650">
      <c r="N48650" s="28"/>
      <c r="O48650" s="28"/>
      <c r="U48650" s="28"/>
    </row>
    <row r="48651">
      <c r="N48651" s="28"/>
      <c r="O48651" s="28"/>
      <c r="U48651" s="28"/>
    </row>
    <row r="48652">
      <c r="N48652" s="28"/>
      <c r="O48652" s="28"/>
      <c r="U48652" s="28"/>
    </row>
    <row r="48653">
      <c r="N48653" s="28"/>
      <c r="O48653" s="28"/>
      <c r="U48653" s="28"/>
    </row>
    <row r="48654">
      <c r="N48654" s="28"/>
      <c r="O48654" s="28"/>
      <c r="U48654" s="28"/>
    </row>
    <row r="48655">
      <c r="N48655" s="28"/>
      <c r="O48655" s="28"/>
      <c r="U48655" s="28"/>
    </row>
    <row r="48656">
      <c r="N48656" s="28"/>
      <c r="O48656" s="28"/>
      <c r="U48656" s="28"/>
    </row>
    <row r="48657">
      <c r="N48657" s="28"/>
      <c r="O48657" s="28"/>
      <c r="U48657" s="28"/>
    </row>
    <row r="48658">
      <c r="N48658" s="28"/>
      <c r="O48658" s="28"/>
      <c r="U48658" s="28"/>
    </row>
    <row r="48659">
      <c r="N48659" s="28"/>
      <c r="O48659" s="28"/>
      <c r="U48659" s="28"/>
    </row>
    <row r="48660">
      <c r="N48660" s="28"/>
      <c r="O48660" s="28"/>
      <c r="U48660" s="28"/>
    </row>
    <row r="48661">
      <c r="N48661" s="28"/>
      <c r="O48661" s="28"/>
      <c r="U48661" s="28"/>
    </row>
    <row r="48662">
      <c r="N48662" s="28"/>
      <c r="O48662" s="28"/>
      <c r="U48662" s="28"/>
    </row>
    <row r="48663">
      <c r="N48663" s="28"/>
      <c r="O48663" s="28"/>
      <c r="U48663" s="28"/>
    </row>
    <row r="48664">
      <c r="N48664" s="28"/>
      <c r="O48664" s="28"/>
      <c r="U48664" s="28"/>
    </row>
    <row r="48665">
      <c r="N48665" s="28"/>
      <c r="O48665" s="28"/>
      <c r="U48665" s="28"/>
    </row>
    <row r="48666">
      <c r="N48666" s="28"/>
      <c r="O48666" s="28"/>
      <c r="U48666" s="28"/>
    </row>
    <row r="48667">
      <c r="N48667" s="28"/>
      <c r="O48667" s="28"/>
      <c r="U48667" s="28"/>
    </row>
    <row r="48668">
      <c r="N48668" s="28"/>
      <c r="O48668" s="28"/>
      <c r="U48668" s="28"/>
    </row>
    <row r="48669">
      <c r="N48669" s="28"/>
      <c r="O48669" s="28"/>
      <c r="U48669" s="28"/>
    </row>
    <row r="48670">
      <c r="N48670" s="28"/>
      <c r="O48670" s="28"/>
      <c r="U48670" s="28"/>
    </row>
    <row r="48671">
      <c r="N48671" s="28"/>
      <c r="O48671" s="28"/>
      <c r="U48671" s="28"/>
    </row>
    <row r="48672">
      <c r="N48672" s="28"/>
      <c r="O48672" s="28"/>
      <c r="U48672" s="28"/>
    </row>
    <row r="48673">
      <c r="N48673" s="28"/>
      <c r="O48673" s="28"/>
      <c r="U48673" s="28"/>
    </row>
    <row r="48674">
      <c r="N48674" s="28"/>
      <c r="O48674" s="28"/>
      <c r="U48674" s="28"/>
    </row>
    <row r="48675">
      <c r="N48675" s="28"/>
      <c r="O48675" s="28"/>
      <c r="U48675" s="28"/>
    </row>
    <row r="48676">
      <c r="N48676" s="28"/>
      <c r="O48676" s="28"/>
      <c r="U48676" s="28"/>
    </row>
    <row r="48677">
      <c r="N48677" s="28"/>
      <c r="O48677" s="28"/>
      <c r="U48677" s="28"/>
    </row>
    <row r="48678">
      <c r="N48678" s="28"/>
      <c r="O48678" s="28"/>
      <c r="U48678" s="28"/>
    </row>
    <row r="48679">
      <c r="N48679" s="28"/>
      <c r="O48679" s="28"/>
      <c r="U48679" s="28"/>
    </row>
    <row r="48680">
      <c r="N48680" s="28"/>
      <c r="O48680" s="28"/>
      <c r="U48680" s="28"/>
    </row>
    <row r="48681">
      <c r="N48681" s="28"/>
      <c r="O48681" s="28"/>
      <c r="U48681" s="28"/>
    </row>
    <row r="48682">
      <c r="N48682" s="28"/>
      <c r="O48682" s="28"/>
      <c r="U48682" s="28"/>
    </row>
    <row r="48683">
      <c r="N48683" s="28"/>
      <c r="O48683" s="28"/>
      <c r="U48683" s="28"/>
    </row>
    <row r="48684">
      <c r="N48684" s="28"/>
      <c r="O48684" s="28"/>
      <c r="U48684" s="28"/>
    </row>
    <row r="48685">
      <c r="N48685" s="28"/>
      <c r="O48685" s="28"/>
      <c r="U48685" s="28"/>
    </row>
    <row r="48686">
      <c r="N48686" s="28"/>
      <c r="O48686" s="28"/>
      <c r="U48686" s="28"/>
    </row>
    <row r="48687">
      <c r="N48687" s="28"/>
      <c r="O48687" s="28"/>
      <c r="U48687" s="28"/>
    </row>
    <row r="48688">
      <c r="N48688" s="28"/>
      <c r="O48688" s="28"/>
      <c r="U48688" s="28"/>
    </row>
    <row r="48689">
      <c r="N48689" s="28"/>
      <c r="O48689" s="28"/>
      <c r="U48689" s="28"/>
    </row>
    <row r="48690">
      <c r="N48690" s="28"/>
      <c r="O48690" s="28"/>
      <c r="U48690" s="28"/>
    </row>
    <row r="48691">
      <c r="N48691" s="28"/>
      <c r="O48691" s="28"/>
      <c r="U48691" s="28"/>
    </row>
    <row r="48692">
      <c r="N48692" s="28"/>
      <c r="O48692" s="28"/>
      <c r="U48692" s="28"/>
    </row>
    <row r="48693">
      <c r="N48693" s="28"/>
      <c r="O48693" s="28"/>
      <c r="U48693" s="28"/>
    </row>
    <row r="48694">
      <c r="N48694" s="28"/>
      <c r="O48694" s="28"/>
      <c r="U48694" s="28"/>
    </row>
    <row r="48695">
      <c r="N48695" s="28"/>
      <c r="O48695" s="28"/>
      <c r="U48695" s="28"/>
    </row>
    <row r="48696">
      <c r="N48696" s="28"/>
      <c r="O48696" s="28"/>
      <c r="U48696" s="28"/>
    </row>
    <row r="48697">
      <c r="N48697" s="28"/>
      <c r="O48697" s="28"/>
      <c r="U48697" s="28"/>
    </row>
    <row r="48698">
      <c r="N48698" s="28"/>
      <c r="O48698" s="28"/>
      <c r="U48698" s="28"/>
    </row>
    <row r="48699">
      <c r="N48699" s="28"/>
      <c r="O48699" s="28"/>
      <c r="U48699" s="28"/>
    </row>
    <row r="48700">
      <c r="N48700" s="28"/>
      <c r="O48700" s="28"/>
      <c r="U48700" s="28"/>
    </row>
    <row r="48701">
      <c r="N48701" s="28"/>
      <c r="O48701" s="28"/>
      <c r="U48701" s="28"/>
    </row>
    <row r="48702">
      <c r="N48702" s="28"/>
      <c r="O48702" s="28"/>
      <c r="U48702" s="28"/>
    </row>
    <row r="48703">
      <c r="N48703" s="28"/>
      <c r="O48703" s="28"/>
      <c r="U48703" s="28"/>
    </row>
    <row r="48704">
      <c r="N48704" s="28"/>
      <c r="O48704" s="28"/>
      <c r="U48704" s="28"/>
    </row>
    <row r="48705">
      <c r="N48705" s="28"/>
      <c r="O48705" s="28"/>
      <c r="U48705" s="28"/>
    </row>
    <row r="48706">
      <c r="N48706" s="28"/>
      <c r="O48706" s="28"/>
      <c r="U48706" s="28"/>
    </row>
    <row r="48707">
      <c r="N48707" s="28"/>
      <c r="O48707" s="28"/>
      <c r="U48707" s="28"/>
    </row>
    <row r="48708">
      <c r="N48708" s="28"/>
      <c r="O48708" s="28"/>
      <c r="U48708" s="28"/>
    </row>
    <row r="48709">
      <c r="N48709" s="28"/>
      <c r="O48709" s="28"/>
      <c r="U48709" s="28"/>
    </row>
    <row r="48710">
      <c r="N48710" s="28"/>
      <c r="O48710" s="28"/>
      <c r="U48710" s="28"/>
    </row>
    <row r="48711">
      <c r="N48711" s="28"/>
      <c r="O48711" s="28"/>
      <c r="U48711" s="28"/>
    </row>
    <row r="48712">
      <c r="N48712" s="28"/>
      <c r="O48712" s="28"/>
      <c r="U48712" s="28"/>
    </row>
    <row r="48713">
      <c r="N48713" s="28"/>
      <c r="O48713" s="28"/>
      <c r="U48713" s="28"/>
    </row>
    <row r="48714">
      <c r="N48714" s="28"/>
      <c r="O48714" s="28"/>
      <c r="U48714" s="28"/>
    </row>
    <row r="48715">
      <c r="N48715" s="28"/>
      <c r="O48715" s="28"/>
      <c r="U48715" s="28"/>
    </row>
    <row r="48716">
      <c r="N48716" s="28"/>
      <c r="O48716" s="28"/>
      <c r="U48716" s="28"/>
    </row>
    <row r="48717">
      <c r="N48717" s="28"/>
      <c r="O48717" s="28"/>
      <c r="U48717" s="28"/>
    </row>
    <row r="48718">
      <c r="N48718" s="28"/>
      <c r="O48718" s="28"/>
      <c r="U48718" s="28"/>
    </row>
    <row r="48719">
      <c r="N48719" s="28"/>
      <c r="O48719" s="28"/>
      <c r="U48719" s="28"/>
    </row>
    <row r="48720">
      <c r="N48720" s="28"/>
      <c r="O48720" s="28"/>
      <c r="U48720" s="28"/>
    </row>
    <row r="48721">
      <c r="N48721" s="28"/>
      <c r="O48721" s="28"/>
      <c r="U48721" s="28"/>
    </row>
    <row r="48722">
      <c r="N48722" s="28"/>
      <c r="O48722" s="28"/>
      <c r="U48722" s="28"/>
    </row>
    <row r="48723">
      <c r="N48723" s="28"/>
      <c r="O48723" s="28"/>
      <c r="U48723" s="28"/>
    </row>
    <row r="48724">
      <c r="N48724" s="28"/>
      <c r="O48724" s="28"/>
      <c r="U48724" s="28"/>
    </row>
    <row r="48725">
      <c r="N48725" s="28"/>
      <c r="O48725" s="28"/>
      <c r="U48725" s="28"/>
    </row>
    <row r="48726">
      <c r="N48726" s="28"/>
      <c r="O48726" s="28"/>
      <c r="U48726" s="28"/>
    </row>
    <row r="48727">
      <c r="N48727" s="28"/>
      <c r="O48727" s="28"/>
      <c r="U48727" s="28"/>
    </row>
    <row r="48728">
      <c r="N48728" s="28"/>
      <c r="O48728" s="28"/>
      <c r="U48728" s="28"/>
    </row>
    <row r="48729">
      <c r="N48729" s="28"/>
      <c r="O48729" s="28"/>
      <c r="U48729" s="28"/>
    </row>
    <row r="48730">
      <c r="N48730" s="28"/>
      <c r="O48730" s="28"/>
      <c r="U48730" s="28"/>
    </row>
    <row r="48731">
      <c r="N48731" s="28"/>
      <c r="O48731" s="28"/>
      <c r="U48731" s="28"/>
    </row>
    <row r="48732">
      <c r="N48732" s="28"/>
      <c r="O48732" s="28"/>
      <c r="U48732" s="28"/>
    </row>
    <row r="48733">
      <c r="N48733" s="28"/>
      <c r="O48733" s="28"/>
      <c r="U48733" s="28"/>
    </row>
    <row r="48734">
      <c r="N48734" s="28"/>
      <c r="O48734" s="28"/>
      <c r="U48734" s="28"/>
    </row>
    <row r="48735">
      <c r="N48735" s="28"/>
      <c r="O48735" s="28"/>
      <c r="U48735" s="28"/>
    </row>
    <row r="48736">
      <c r="N48736" s="28"/>
      <c r="O48736" s="28"/>
      <c r="U48736" s="28"/>
    </row>
    <row r="48737">
      <c r="N48737" s="28"/>
      <c r="O48737" s="28"/>
      <c r="U48737" s="28"/>
    </row>
    <row r="48738">
      <c r="N48738" s="28"/>
      <c r="O48738" s="28"/>
      <c r="U48738" s="28"/>
    </row>
    <row r="48739">
      <c r="N48739" s="28"/>
      <c r="O48739" s="28"/>
      <c r="U48739" s="28"/>
    </row>
    <row r="48740">
      <c r="N48740" s="28"/>
      <c r="O48740" s="28"/>
      <c r="U48740" s="28"/>
    </row>
    <row r="48741">
      <c r="N48741" s="28"/>
      <c r="O48741" s="28"/>
      <c r="U48741" s="28"/>
    </row>
    <row r="48742">
      <c r="N48742" s="28"/>
      <c r="O48742" s="28"/>
      <c r="U48742" s="28"/>
    </row>
    <row r="48743">
      <c r="N48743" s="28"/>
      <c r="O48743" s="28"/>
      <c r="U48743" s="28"/>
    </row>
    <row r="48744">
      <c r="N48744" s="28"/>
      <c r="O48744" s="28"/>
      <c r="U48744" s="28"/>
    </row>
    <row r="48745">
      <c r="N48745" s="28"/>
      <c r="O48745" s="28"/>
      <c r="U48745" s="28"/>
    </row>
    <row r="48746">
      <c r="N48746" s="28"/>
      <c r="O48746" s="28"/>
      <c r="U48746" s="28"/>
    </row>
    <row r="48747">
      <c r="N48747" s="28"/>
      <c r="O48747" s="28"/>
      <c r="U48747" s="28"/>
    </row>
    <row r="48748">
      <c r="N48748" s="28"/>
      <c r="O48748" s="28"/>
      <c r="U48748" s="28"/>
    </row>
    <row r="48749">
      <c r="N48749" s="28"/>
      <c r="O48749" s="28"/>
      <c r="U48749" s="28"/>
    </row>
    <row r="48750">
      <c r="N48750" s="28"/>
      <c r="O48750" s="28"/>
      <c r="U48750" s="28"/>
    </row>
    <row r="48751">
      <c r="N48751" s="28"/>
      <c r="O48751" s="28"/>
      <c r="U48751" s="28"/>
    </row>
    <row r="48752">
      <c r="N48752" s="28"/>
      <c r="O48752" s="28"/>
      <c r="U48752" s="28"/>
    </row>
    <row r="48753">
      <c r="N48753" s="28"/>
      <c r="O48753" s="28"/>
      <c r="U48753" s="28"/>
    </row>
    <row r="48754">
      <c r="N48754" s="28"/>
      <c r="O48754" s="28"/>
      <c r="U48754" s="28"/>
    </row>
    <row r="48755">
      <c r="N48755" s="28"/>
      <c r="O48755" s="28"/>
      <c r="U48755" s="28"/>
    </row>
    <row r="48756">
      <c r="N48756" s="28"/>
      <c r="O48756" s="28"/>
      <c r="U48756" s="28"/>
    </row>
    <row r="48757">
      <c r="N48757" s="28"/>
      <c r="O48757" s="28"/>
      <c r="U48757" s="28"/>
    </row>
    <row r="48758">
      <c r="N48758" s="28"/>
      <c r="O48758" s="28"/>
      <c r="U48758" s="28"/>
    </row>
    <row r="48759">
      <c r="N48759" s="28"/>
      <c r="O48759" s="28"/>
      <c r="U48759" s="28"/>
    </row>
    <row r="48760">
      <c r="N48760" s="28"/>
      <c r="O48760" s="28"/>
      <c r="U48760" s="28"/>
    </row>
    <row r="48761">
      <c r="N48761" s="28"/>
      <c r="O48761" s="28"/>
      <c r="U48761" s="28"/>
    </row>
    <row r="48762">
      <c r="N48762" s="28"/>
      <c r="O48762" s="28"/>
      <c r="U48762" s="28"/>
    </row>
    <row r="48763">
      <c r="N48763" s="28"/>
      <c r="O48763" s="28"/>
      <c r="U48763" s="28"/>
    </row>
    <row r="48764">
      <c r="N48764" s="28"/>
      <c r="O48764" s="28"/>
      <c r="U48764" s="28"/>
    </row>
    <row r="48765">
      <c r="N48765" s="28"/>
      <c r="O48765" s="28"/>
      <c r="U48765" s="28"/>
    </row>
    <row r="48766">
      <c r="N48766" s="28"/>
      <c r="O48766" s="28"/>
      <c r="U48766" s="28"/>
    </row>
    <row r="48767">
      <c r="N48767" s="28"/>
      <c r="O48767" s="28"/>
      <c r="U48767" s="28"/>
    </row>
    <row r="48768">
      <c r="N48768" s="28"/>
      <c r="O48768" s="28"/>
      <c r="U48768" s="28"/>
    </row>
    <row r="48769">
      <c r="N48769" s="28"/>
      <c r="O48769" s="28"/>
      <c r="U48769" s="28"/>
    </row>
    <row r="48770">
      <c r="N48770" s="28"/>
      <c r="O48770" s="28"/>
      <c r="U48770" s="28"/>
    </row>
    <row r="48771">
      <c r="N48771" s="28"/>
      <c r="O48771" s="28"/>
      <c r="U48771" s="28"/>
    </row>
    <row r="48772">
      <c r="N48772" s="28"/>
      <c r="O48772" s="28"/>
      <c r="U48772" s="28"/>
    </row>
    <row r="48773">
      <c r="N48773" s="28"/>
      <c r="O48773" s="28"/>
      <c r="U48773" s="28"/>
    </row>
    <row r="48774">
      <c r="N48774" s="28"/>
      <c r="O48774" s="28"/>
      <c r="U48774" s="28"/>
    </row>
    <row r="48775">
      <c r="N48775" s="28"/>
      <c r="O48775" s="28"/>
      <c r="U48775" s="28"/>
    </row>
    <row r="48776">
      <c r="N48776" s="28"/>
      <c r="O48776" s="28"/>
      <c r="U48776" s="28"/>
    </row>
    <row r="48777">
      <c r="N48777" s="28"/>
      <c r="O48777" s="28"/>
      <c r="U48777" s="28"/>
    </row>
    <row r="48778">
      <c r="N48778" s="28"/>
      <c r="O48778" s="28"/>
      <c r="U48778" s="28"/>
    </row>
    <row r="48779">
      <c r="N48779" s="28"/>
      <c r="O48779" s="28"/>
      <c r="U48779" s="28"/>
    </row>
    <row r="48780">
      <c r="N48780" s="28"/>
      <c r="O48780" s="28"/>
      <c r="U48780" s="28"/>
    </row>
    <row r="48781">
      <c r="N48781" s="28"/>
      <c r="O48781" s="28"/>
      <c r="U48781" s="28"/>
    </row>
    <row r="48782">
      <c r="N48782" s="28"/>
      <c r="O48782" s="28"/>
      <c r="U48782" s="28"/>
    </row>
    <row r="48783">
      <c r="N48783" s="28"/>
      <c r="O48783" s="28"/>
      <c r="U48783" s="28"/>
    </row>
    <row r="48784">
      <c r="N48784" s="28"/>
      <c r="O48784" s="28"/>
      <c r="U48784" s="28"/>
    </row>
    <row r="48785">
      <c r="N48785" s="28"/>
      <c r="O48785" s="28"/>
      <c r="U48785" s="28"/>
    </row>
    <row r="48786">
      <c r="N48786" s="28"/>
      <c r="O48786" s="28"/>
      <c r="U48786" s="28"/>
    </row>
    <row r="48787">
      <c r="N48787" s="28"/>
      <c r="O48787" s="28"/>
      <c r="U48787" s="28"/>
    </row>
    <row r="48788">
      <c r="N48788" s="28"/>
      <c r="O48788" s="28"/>
      <c r="U48788" s="28"/>
    </row>
    <row r="48789">
      <c r="N48789" s="28"/>
      <c r="O48789" s="28"/>
      <c r="U48789" s="28"/>
    </row>
    <row r="48790">
      <c r="N48790" s="28"/>
      <c r="O48790" s="28"/>
      <c r="U48790" s="28"/>
    </row>
    <row r="48791">
      <c r="N48791" s="28"/>
      <c r="O48791" s="28"/>
      <c r="U48791" s="28"/>
    </row>
    <row r="48792">
      <c r="N48792" s="28"/>
      <c r="O48792" s="28"/>
      <c r="U48792" s="28"/>
    </row>
    <row r="48793">
      <c r="N48793" s="28"/>
      <c r="O48793" s="28"/>
      <c r="U48793" s="28"/>
    </row>
    <row r="48794">
      <c r="N48794" s="28"/>
      <c r="O48794" s="28"/>
      <c r="U48794" s="28"/>
    </row>
    <row r="48795">
      <c r="N48795" s="28"/>
      <c r="O48795" s="28"/>
      <c r="U48795" s="28"/>
    </row>
    <row r="48796">
      <c r="N48796" s="28"/>
      <c r="O48796" s="28"/>
      <c r="U48796" s="28"/>
    </row>
    <row r="48797">
      <c r="N48797" s="28"/>
      <c r="O48797" s="28"/>
      <c r="U48797" s="28"/>
    </row>
    <row r="48798">
      <c r="N48798" s="28"/>
      <c r="O48798" s="28"/>
      <c r="U48798" s="28"/>
    </row>
    <row r="48799">
      <c r="N48799" s="28"/>
      <c r="O48799" s="28"/>
      <c r="U48799" s="28"/>
    </row>
    <row r="48800">
      <c r="N48800" s="28"/>
      <c r="O48800" s="28"/>
      <c r="U48800" s="28"/>
    </row>
    <row r="48801">
      <c r="N48801" s="28"/>
      <c r="O48801" s="28"/>
      <c r="U48801" s="28"/>
    </row>
    <row r="48802">
      <c r="N48802" s="28"/>
      <c r="O48802" s="28"/>
      <c r="U48802" s="28"/>
    </row>
    <row r="48803">
      <c r="N48803" s="28"/>
      <c r="O48803" s="28"/>
      <c r="U48803" s="28"/>
    </row>
    <row r="48804">
      <c r="N48804" s="28"/>
      <c r="O48804" s="28"/>
      <c r="U48804" s="28"/>
    </row>
    <row r="48805">
      <c r="N48805" s="28"/>
      <c r="O48805" s="28"/>
      <c r="U48805" s="28"/>
    </row>
    <row r="48806">
      <c r="N48806" s="28"/>
      <c r="O48806" s="28"/>
      <c r="U48806" s="28"/>
    </row>
    <row r="48807">
      <c r="N48807" s="28"/>
      <c r="O48807" s="28"/>
      <c r="U48807" s="28"/>
    </row>
    <row r="48808">
      <c r="N48808" s="28"/>
      <c r="O48808" s="28"/>
      <c r="U48808" s="28"/>
    </row>
    <row r="48809">
      <c r="N48809" s="28"/>
      <c r="O48809" s="28"/>
      <c r="U48809" s="28"/>
    </row>
    <row r="48810">
      <c r="N48810" s="28"/>
      <c r="O48810" s="28"/>
      <c r="U48810" s="28"/>
    </row>
    <row r="48811">
      <c r="N48811" s="28"/>
      <c r="O48811" s="28"/>
      <c r="U48811" s="28"/>
    </row>
    <row r="48812">
      <c r="N48812" s="28"/>
      <c r="O48812" s="28"/>
      <c r="U48812" s="28"/>
    </row>
    <row r="48813">
      <c r="N48813" s="28"/>
      <c r="O48813" s="28"/>
      <c r="U48813" s="28"/>
    </row>
    <row r="48814">
      <c r="N48814" s="28"/>
      <c r="O48814" s="28"/>
      <c r="U48814" s="28"/>
    </row>
    <row r="48815">
      <c r="N48815" s="28"/>
      <c r="O48815" s="28"/>
      <c r="U48815" s="28"/>
    </row>
    <row r="48816">
      <c r="N48816" s="28"/>
      <c r="O48816" s="28"/>
      <c r="U48816" s="28"/>
    </row>
    <row r="48817">
      <c r="N48817" s="28"/>
      <c r="O48817" s="28"/>
      <c r="U48817" s="28"/>
    </row>
    <row r="48818">
      <c r="N48818" s="28"/>
      <c r="O48818" s="28"/>
      <c r="U48818" s="28"/>
    </row>
    <row r="48819">
      <c r="N48819" s="28"/>
      <c r="O48819" s="28"/>
      <c r="U48819" s="28"/>
    </row>
    <row r="48820">
      <c r="N48820" s="28"/>
      <c r="O48820" s="28"/>
      <c r="U48820" s="28"/>
    </row>
    <row r="48821">
      <c r="N48821" s="28"/>
      <c r="O48821" s="28"/>
      <c r="U48821" s="28"/>
    </row>
    <row r="48822">
      <c r="N48822" s="28"/>
      <c r="O48822" s="28"/>
      <c r="U48822" s="28"/>
    </row>
    <row r="48823">
      <c r="N48823" s="28"/>
      <c r="O48823" s="28"/>
      <c r="U48823" s="28"/>
    </row>
    <row r="48824">
      <c r="N48824" s="28"/>
      <c r="O48824" s="28"/>
      <c r="U48824" s="28"/>
    </row>
    <row r="48825">
      <c r="N48825" s="28"/>
      <c r="O48825" s="28"/>
      <c r="U48825" s="28"/>
    </row>
    <row r="48826">
      <c r="N48826" s="28"/>
      <c r="O48826" s="28"/>
      <c r="U48826" s="28"/>
    </row>
    <row r="48827">
      <c r="N48827" s="28"/>
      <c r="O48827" s="28"/>
      <c r="U48827" s="28"/>
    </row>
    <row r="48828">
      <c r="N48828" s="28"/>
      <c r="O48828" s="28"/>
      <c r="U48828" s="28"/>
    </row>
    <row r="48829">
      <c r="N48829" s="28"/>
      <c r="O48829" s="28"/>
      <c r="U48829" s="28"/>
    </row>
    <row r="48830">
      <c r="N48830" s="28"/>
      <c r="O48830" s="28"/>
      <c r="U48830" s="28"/>
    </row>
    <row r="48831">
      <c r="N48831" s="28"/>
      <c r="O48831" s="28"/>
      <c r="U48831" s="28"/>
    </row>
    <row r="48832">
      <c r="N48832" s="28"/>
      <c r="O48832" s="28"/>
      <c r="U48832" s="28"/>
    </row>
    <row r="48833">
      <c r="N48833" s="28"/>
      <c r="O48833" s="28"/>
      <c r="U48833" s="28"/>
    </row>
    <row r="48834">
      <c r="N48834" s="28"/>
      <c r="O48834" s="28"/>
      <c r="U48834" s="28"/>
    </row>
    <row r="48835">
      <c r="N48835" s="28"/>
      <c r="O48835" s="28"/>
      <c r="U48835" s="28"/>
    </row>
    <row r="48836">
      <c r="N48836" s="28"/>
      <c r="O48836" s="28"/>
      <c r="U48836" s="28"/>
    </row>
    <row r="48837">
      <c r="N48837" s="28"/>
      <c r="O48837" s="28"/>
      <c r="U48837" s="28"/>
    </row>
    <row r="48838">
      <c r="N48838" s="28"/>
      <c r="O48838" s="28"/>
      <c r="U48838" s="28"/>
    </row>
    <row r="48839">
      <c r="N48839" s="28"/>
      <c r="O48839" s="28"/>
      <c r="U48839" s="28"/>
    </row>
    <row r="48840">
      <c r="N48840" s="28"/>
      <c r="O48840" s="28"/>
      <c r="U48840" s="28"/>
    </row>
    <row r="48841">
      <c r="N48841" s="28"/>
      <c r="O48841" s="28"/>
      <c r="U48841" s="28"/>
    </row>
    <row r="48842">
      <c r="N48842" s="28"/>
      <c r="O48842" s="28"/>
      <c r="U48842" s="28"/>
    </row>
    <row r="48843">
      <c r="N48843" s="28"/>
      <c r="O48843" s="28"/>
      <c r="U48843" s="28"/>
    </row>
    <row r="48844">
      <c r="N48844" s="28"/>
      <c r="O48844" s="28"/>
      <c r="U48844" s="28"/>
    </row>
    <row r="48845">
      <c r="N48845" s="28"/>
      <c r="O48845" s="28"/>
      <c r="U48845" s="28"/>
    </row>
    <row r="48846">
      <c r="N48846" s="28"/>
      <c r="O48846" s="28"/>
      <c r="U48846" s="28"/>
    </row>
    <row r="48847">
      <c r="N48847" s="28"/>
      <c r="O48847" s="28"/>
      <c r="U48847" s="28"/>
    </row>
    <row r="48848">
      <c r="N48848" s="28"/>
      <c r="O48848" s="28"/>
      <c r="U48848" s="28"/>
    </row>
    <row r="48849">
      <c r="N48849" s="28"/>
      <c r="O48849" s="28"/>
      <c r="U48849" s="28"/>
    </row>
    <row r="48850">
      <c r="N48850" s="28"/>
      <c r="O48850" s="28"/>
      <c r="U48850" s="28"/>
    </row>
    <row r="48851">
      <c r="N48851" s="28"/>
      <c r="O48851" s="28"/>
      <c r="U48851" s="28"/>
    </row>
    <row r="48852">
      <c r="N48852" s="28"/>
      <c r="O48852" s="28"/>
      <c r="U48852" s="28"/>
    </row>
    <row r="48853">
      <c r="N48853" s="28"/>
      <c r="O48853" s="28"/>
      <c r="U48853" s="28"/>
    </row>
    <row r="48854">
      <c r="N48854" s="28"/>
      <c r="O48854" s="28"/>
      <c r="U48854" s="28"/>
    </row>
    <row r="48855">
      <c r="N48855" s="28"/>
      <c r="O48855" s="28"/>
      <c r="U48855" s="28"/>
    </row>
    <row r="48856">
      <c r="N48856" s="28"/>
      <c r="O48856" s="28"/>
      <c r="U48856" s="28"/>
    </row>
    <row r="48857">
      <c r="N48857" s="28"/>
      <c r="O48857" s="28"/>
      <c r="U48857" s="28"/>
    </row>
    <row r="48858">
      <c r="N48858" s="28"/>
      <c r="O48858" s="28"/>
      <c r="U48858" s="28"/>
    </row>
    <row r="48859">
      <c r="N48859" s="28"/>
      <c r="O48859" s="28"/>
      <c r="U48859" s="28"/>
    </row>
    <row r="48860">
      <c r="N48860" s="28"/>
      <c r="O48860" s="28"/>
      <c r="U48860" s="28"/>
    </row>
    <row r="48861">
      <c r="N48861" s="28"/>
      <c r="O48861" s="28"/>
      <c r="U48861" s="28"/>
    </row>
    <row r="48862">
      <c r="N48862" s="28"/>
      <c r="O48862" s="28"/>
      <c r="U48862" s="28"/>
    </row>
    <row r="48863">
      <c r="N48863" s="28"/>
      <c r="O48863" s="28"/>
      <c r="U48863" s="28"/>
    </row>
    <row r="48864">
      <c r="N48864" s="28"/>
      <c r="O48864" s="28"/>
      <c r="U48864" s="28"/>
    </row>
    <row r="48865">
      <c r="N48865" s="28"/>
      <c r="O48865" s="28"/>
      <c r="U48865" s="28"/>
    </row>
    <row r="48866">
      <c r="N48866" s="28"/>
      <c r="O48866" s="28"/>
      <c r="U48866" s="28"/>
    </row>
    <row r="48867">
      <c r="N48867" s="28"/>
      <c r="O48867" s="28"/>
      <c r="U48867" s="28"/>
    </row>
    <row r="48868">
      <c r="N48868" s="28"/>
      <c r="O48868" s="28"/>
      <c r="U48868" s="28"/>
    </row>
    <row r="48869">
      <c r="N48869" s="28"/>
      <c r="O48869" s="28"/>
      <c r="U48869" s="28"/>
    </row>
    <row r="48870">
      <c r="N48870" s="28"/>
      <c r="O48870" s="28"/>
      <c r="U48870" s="28"/>
    </row>
    <row r="48871">
      <c r="N48871" s="28"/>
      <c r="O48871" s="28"/>
      <c r="U48871" s="28"/>
    </row>
    <row r="48872">
      <c r="N48872" s="28"/>
      <c r="O48872" s="28"/>
      <c r="U48872" s="28"/>
    </row>
    <row r="48873">
      <c r="N48873" s="28"/>
      <c r="O48873" s="28"/>
      <c r="U48873" s="28"/>
    </row>
    <row r="48874">
      <c r="N48874" s="28"/>
      <c r="O48874" s="28"/>
      <c r="U48874" s="28"/>
    </row>
    <row r="48875">
      <c r="N48875" s="28"/>
      <c r="O48875" s="28"/>
      <c r="U48875" s="28"/>
    </row>
    <row r="48876">
      <c r="N48876" s="28"/>
      <c r="O48876" s="28"/>
      <c r="U48876" s="28"/>
    </row>
    <row r="48877">
      <c r="N48877" s="28"/>
      <c r="O48877" s="28"/>
      <c r="U48877" s="28"/>
    </row>
    <row r="48878">
      <c r="N48878" s="28"/>
      <c r="O48878" s="28"/>
      <c r="U48878" s="28"/>
    </row>
    <row r="48879">
      <c r="N48879" s="28"/>
      <c r="O48879" s="28"/>
      <c r="U48879" s="28"/>
    </row>
    <row r="48880">
      <c r="N48880" s="28"/>
      <c r="O48880" s="28"/>
      <c r="U48880" s="28"/>
    </row>
    <row r="48881">
      <c r="N48881" s="28"/>
      <c r="O48881" s="28"/>
      <c r="U48881" s="28"/>
    </row>
    <row r="48882">
      <c r="N48882" s="28"/>
      <c r="O48882" s="28"/>
      <c r="U48882" s="28"/>
    </row>
    <row r="48883">
      <c r="N48883" s="28"/>
      <c r="O48883" s="28"/>
      <c r="U48883" s="28"/>
    </row>
    <row r="48884">
      <c r="N48884" s="28"/>
      <c r="O48884" s="28"/>
      <c r="U48884" s="28"/>
    </row>
    <row r="48885">
      <c r="N48885" s="28"/>
      <c r="O48885" s="28"/>
      <c r="U48885" s="28"/>
    </row>
    <row r="48886">
      <c r="N48886" s="28"/>
      <c r="O48886" s="28"/>
      <c r="U48886" s="28"/>
    </row>
    <row r="48887">
      <c r="N48887" s="28"/>
      <c r="O48887" s="28"/>
      <c r="U48887" s="28"/>
    </row>
    <row r="48888">
      <c r="N48888" s="28"/>
      <c r="O48888" s="28"/>
      <c r="U48888" s="28"/>
    </row>
    <row r="48889">
      <c r="N48889" s="28"/>
      <c r="O48889" s="28"/>
      <c r="U48889" s="28"/>
    </row>
    <row r="48890">
      <c r="N48890" s="28"/>
      <c r="O48890" s="28"/>
      <c r="U48890" s="28"/>
    </row>
    <row r="48891">
      <c r="N48891" s="28"/>
      <c r="O48891" s="28"/>
      <c r="U48891" s="28"/>
    </row>
    <row r="48892">
      <c r="N48892" s="28"/>
      <c r="O48892" s="28"/>
      <c r="U48892" s="28"/>
    </row>
    <row r="48893">
      <c r="N48893" s="28"/>
      <c r="O48893" s="28"/>
      <c r="U48893" s="28"/>
    </row>
    <row r="48894">
      <c r="N48894" s="28"/>
      <c r="O48894" s="28"/>
      <c r="U48894" s="28"/>
    </row>
    <row r="48895">
      <c r="N48895" s="28"/>
      <c r="O48895" s="28"/>
      <c r="U48895" s="28"/>
    </row>
    <row r="48896">
      <c r="N48896" s="28"/>
      <c r="O48896" s="28"/>
      <c r="U48896" s="28"/>
    </row>
    <row r="48897">
      <c r="N48897" s="28"/>
      <c r="O48897" s="28"/>
      <c r="U48897" s="28"/>
    </row>
    <row r="48898">
      <c r="N48898" s="28"/>
      <c r="O48898" s="28"/>
      <c r="U48898" s="28"/>
    </row>
    <row r="48899">
      <c r="N48899" s="28"/>
      <c r="O48899" s="28"/>
      <c r="U48899" s="28"/>
    </row>
    <row r="48900">
      <c r="N48900" s="28"/>
      <c r="O48900" s="28"/>
      <c r="U48900" s="28"/>
    </row>
    <row r="48901">
      <c r="N48901" s="28"/>
      <c r="O48901" s="28"/>
      <c r="U48901" s="28"/>
    </row>
    <row r="48902">
      <c r="N48902" s="28"/>
      <c r="O48902" s="28"/>
      <c r="U48902" s="28"/>
    </row>
    <row r="48903">
      <c r="N48903" s="28"/>
      <c r="O48903" s="28"/>
      <c r="U48903" s="28"/>
    </row>
    <row r="48904">
      <c r="N48904" s="28"/>
      <c r="O48904" s="28"/>
      <c r="U48904" s="28"/>
    </row>
    <row r="48905">
      <c r="N48905" s="28"/>
      <c r="O48905" s="28"/>
      <c r="U48905" s="28"/>
    </row>
    <row r="48906">
      <c r="N48906" s="28"/>
      <c r="O48906" s="28"/>
      <c r="U48906" s="28"/>
    </row>
    <row r="48907">
      <c r="N48907" s="28"/>
      <c r="O48907" s="28"/>
      <c r="U48907" s="28"/>
    </row>
    <row r="48908">
      <c r="N48908" s="28"/>
      <c r="O48908" s="28"/>
      <c r="U48908" s="28"/>
    </row>
    <row r="48909">
      <c r="N48909" s="28"/>
      <c r="O48909" s="28"/>
      <c r="U48909" s="28"/>
    </row>
    <row r="48910">
      <c r="N48910" s="28"/>
      <c r="O48910" s="28"/>
      <c r="U48910" s="28"/>
    </row>
    <row r="48911">
      <c r="N48911" s="28"/>
      <c r="O48911" s="28"/>
      <c r="U48911" s="28"/>
    </row>
    <row r="48912">
      <c r="N48912" s="28"/>
      <c r="O48912" s="28"/>
      <c r="U48912" s="28"/>
    </row>
    <row r="48913">
      <c r="N48913" s="28"/>
      <c r="O48913" s="28"/>
      <c r="U48913" s="28"/>
    </row>
    <row r="48914">
      <c r="N48914" s="28"/>
      <c r="O48914" s="28"/>
      <c r="U48914" s="28"/>
    </row>
    <row r="48915">
      <c r="N48915" s="28"/>
      <c r="O48915" s="28"/>
      <c r="U48915" s="28"/>
    </row>
    <row r="48916">
      <c r="N48916" s="28"/>
      <c r="O48916" s="28"/>
      <c r="U48916" s="28"/>
    </row>
    <row r="48917">
      <c r="N48917" s="28"/>
      <c r="O48917" s="28"/>
      <c r="U48917" s="28"/>
    </row>
    <row r="48918">
      <c r="N48918" s="28"/>
      <c r="O48918" s="28"/>
      <c r="U48918" s="28"/>
    </row>
    <row r="48919">
      <c r="N48919" s="28"/>
      <c r="O48919" s="28"/>
      <c r="U48919" s="28"/>
    </row>
    <row r="48920">
      <c r="N48920" s="28"/>
      <c r="O48920" s="28"/>
      <c r="U48920" s="28"/>
    </row>
    <row r="48921">
      <c r="N48921" s="28"/>
      <c r="O48921" s="28"/>
      <c r="U48921" s="28"/>
    </row>
    <row r="48922">
      <c r="N48922" s="28"/>
      <c r="O48922" s="28"/>
      <c r="U48922" s="28"/>
    </row>
    <row r="48923">
      <c r="N48923" s="28"/>
      <c r="O48923" s="28"/>
      <c r="U48923" s="28"/>
    </row>
    <row r="48924">
      <c r="N48924" s="28"/>
      <c r="O48924" s="28"/>
      <c r="U48924" s="28"/>
    </row>
    <row r="48925">
      <c r="N48925" s="28"/>
      <c r="O48925" s="28"/>
      <c r="U48925" s="28"/>
    </row>
    <row r="48926">
      <c r="N48926" s="28"/>
      <c r="O48926" s="28"/>
      <c r="U48926" s="28"/>
    </row>
    <row r="48927">
      <c r="N48927" s="28"/>
      <c r="O48927" s="28"/>
      <c r="U48927" s="28"/>
    </row>
    <row r="48928">
      <c r="N48928" s="28"/>
      <c r="O48928" s="28"/>
      <c r="U48928" s="28"/>
    </row>
    <row r="48929">
      <c r="N48929" s="28"/>
      <c r="O48929" s="28"/>
      <c r="U48929" s="28"/>
    </row>
    <row r="48930">
      <c r="N48930" s="28"/>
      <c r="O48930" s="28"/>
      <c r="U48930" s="28"/>
    </row>
    <row r="48931">
      <c r="N48931" s="28"/>
      <c r="O48931" s="28"/>
      <c r="U48931" s="28"/>
    </row>
    <row r="48932">
      <c r="N48932" s="28"/>
      <c r="O48932" s="28"/>
      <c r="U48932" s="28"/>
    </row>
    <row r="48933">
      <c r="N48933" s="28"/>
      <c r="O48933" s="28"/>
      <c r="U48933" s="28"/>
    </row>
    <row r="48934">
      <c r="N48934" s="28"/>
      <c r="O48934" s="28"/>
      <c r="U48934" s="28"/>
    </row>
    <row r="48935">
      <c r="N48935" s="28"/>
      <c r="O48935" s="28"/>
      <c r="U48935" s="28"/>
    </row>
    <row r="48936">
      <c r="N48936" s="28"/>
      <c r="O48936" s="28"/>
      <c r="U48936" s="28"/>
    </row>
    <row r="48937">
      <c r="N48937" s="28"/>
      <c r="O48937" s="28"/>
      <c r="U48937" s="28"/>
    </row>
    <row r="48938">
      <c r="N48938" s="28"/>
      <c r="O48938" s="28"/>
      <c r="U48938" s="28"/>
    </row>
    <row r="48939">
      <c r="N48939" s="28"/>
      <c r="O48939" s="28"/>
      <c r="U48939" s="28"/>
    </row>
    <row r="48940">
      <c r="N48940" s="28"/>
      <c r="O48940" s="28"/>
      <c r="U48940" s="28"/>
    </row>
    <row r="48941">
      <c r="N48941" s="28"/>
      <c r="O48941" s="28"/>
      <c r="U48941" s="28"/>
    </row>
    <row r="48942">
      <c r="N48942" s="28"/>
      <c r="O48942" s="28"/>
      <c r="U48942" s="28"/>
    </row>
    <row r="48943">
      <c r="N48943" s="28"/>
      <c r="O48943" s="28"/>
      <c r="U48943" s="28"/>
    </row>
    <row r="48944">
      <c r="N48944" s="28"/>
      <c r="O48944" s="28"/>
      <c r="U48944" s="28"/>
    </row>
    <row r="48945">
      <c r="N48945" s="28"/>
      <c r="O48945" s="28"/>
      <c r="U48945" s="28"/>
    </row>
    <row r="48946">
      <c r="N48946" s="28"/>
      <c r="O48946" s="28"/>
      <c r="U48946" s="28"/>
    </row>
    <row r="48947">
      <c r="N48947" s="28"/>
      <c r="O48947" s="28"/>
      <c r="U48947" s="28"/>
    </row>
    <row r="48948">
      <c r="N48948" s="28"/>
      <c r="O48948" s="28"/>
      <c r="U48948" s="28"/>
    </row>
    <row r="48949">
      <c r="N48949" s="28"/>
      <c r="O48949" s="28"/>
      <c r="U48949" s="28"/>
    </row>
    <row r="48950">
      <c r="N48950" s="28"/>
      <c r="O48950" s="28"/>
      <c r="U48950" s="28"/>
    </row>
    <row r="48951">
      <c r="N48951" s="28"/>
      <c r="O48951" s="28"/>
      <c r="U48951" s="28"/>
    </row>
    <row r="48952">
      <c r="N48952" s="28"/>
      <c r="O48952" s="28"/>
      <c r="U48952" s="28"/>
    </row>
    <row r="48953">
      <c r="N48953" s="28"/>
      <c r="O48953" s="28"/>
      <c r="U48953" s="28"/>
    </row>
    <row r="48954">
      <c r="N48954" s="28"/>
      <c r="O48954" s="28"/>
      <c r="U48954" s="28"/>
    </row>
    <row r="48955">
      <c r="N48955" s="28"/>
      <c r="O48955" s="28"/>
      <c r="U48955" s="28"/>
    </row>
    <row r="48956">
      <c r="N48956" s="28"/>
      <c r="O48956" s="28"/>
      <c r="U48956" s="28"/>
    </row>
    <row r="48957">
      <c r="N48957" s="28"/>
      <c r="O48957" s="28"/>
      <c r="U48957" s="28"/>
    </row>
    <row r="48958">
      <c r="N48958" s="28"/>
      <c r="O48958" s="28"/>
      <c r="U48958" s="28"/>
    </row>
    <row r="48959">
      <c r="N48959" s="28"/>
      <c r="O48959" s="28"/>
      <c r="U48959" s="28"/>
    </row>
    <row r="48960">
      <c r="N48960" s="28"/>
      <c r="O48960" s="28"/>
      <c r="U48960" s="28"/>
    </row>
    <row r="48961">
      <c r="N48961" s="28"/>
      <c r="O48961" s="28"/>
      <c r="U48961" s="28"/>
    </row>
    <row r="48962">
      <c r="N48962" s="28"/>
      <c r="O48962" s="28"/>
      <c r="U48962" s="28"/>
    </row>
    <row r="48963">
      <c r="N48963" s="28"/>
      <c r="O48963" s="28"/>
      <c r="U48963" s="28"/>
    </row>
    <row r="48964">
      <c r="N48964" s="28"/>
      <c r="O48964" s="28"/>
      <c r="U48964" s="28"/>
    </row>
    <row r="48965">
      <c r="N48965" s="28"/>
      <c r="O48965" s="28"/>
      <c r="U48965" s="28"/>
    </row>
    <row r="48966">
      <c r="N48966" s="28"/>
      <c r="O48966" s="28"/>
      <c r="U48966" s="28"/>
    </row>
    <row r="48967">
      <c r="N48967" s="28"/>
      <c r="O48967" s="28"/>
      <c r="U48967" s="28"/>
    </row>
    <row r="48968">
      <c r="N48968" s="28"/>
      <c r="O48968" s="28"/>
      <c r="U48968" s="28"/>
    </row>
    <row r="48969">
      <c r="N48969" s="28"/>
      <c r="O48969" s="28"/>
      <c r="U48969" s="28"/>
    </row>
    <row r="48970">
      <c r="N48970" s="28"/>
      <c r="O48970" s="28"/>
      <c r="U48970" s="28"/>
    </row>
    <row r="48971">
      <c r="N48971" s="28"/>
      <c r="O48971" s="28"/>
      <c r="U48971" s="28"/>
    </row>
    <row r="48972">
      <c r="N48972" s="28"/>
      <c r="O48972" s="28"/>
      <c r="U48972" s="28"/>
    </row>
    <row r="48973">
      <c r="N48973" s="28"/>
      <c r="O48973" s="28"/>
      <c r="U48973" s="28"/>
    </row>
    <row r="48974">
      <c r="N48974" s="28"/>
      <c r="O48974" s="28"/>
      <c r="U48974" s="28"/>
    </row>
    <row r="48975">
      <c r="N48975" s="28"/>
      <c r="O48975" s="28"/>
      <c r="U48975" s="28"/>
    </row>
    <row r="48976">
      <c r="N48976" s="28"/>
      <c r="O48976" s="28"/>
      <c r="U48976" s="28"/>
    </row>
    <row r="48977">
      <c r="N48977" s="28"/>
      <c r="O48977" s="28"/>
      <c r="U48977" s="28"/>
    </row>
    <row r="48978">
      <c r="N48978" s="28"/>
      <c r="O48978" s="28"/>
      <c r="U48978" s="28"/>
    </row>
    <row r="48979">
      <c r="N48979" s="28"/>
      <c r="O48979" s="28"/>
      <c r="U48979" s="28"/>
    </row>
    <row r="48980">
      <c r="N48980" s="28"/>
      <c r="O48980" s="28"/>
      <c r="U48980" s="28"/>
    </row>
    <row r="48981">
      <c r="N48981" s="28"/>
      <c r="O48981" s="28"/>
      <c r="U48981" s="28"/>
    </row>
    <row r="48982">
      <c r="N48982" s="28"/>
      <c r="O48982" s="28"/>
      <c r="U48982" s="28"/>
    </row>
    <row r="48983">
      <c r="N48983" s="28"/>
      <c r="O48983" s="28"/>
      <c r="U48983" s="28"/>
    </row>
    <row r="48984">
      <c r="N48984" s="28"/>
      <c r="O48984" s="28"/>
      <c r="U48984" s="28"/>
    </row>
    <row r="48985">
      <c r="N48985" s="28"/>
      <c r="O48985" s="28"/>
      <c r="U48985" s="28"/>
    </row>
    <row r="48986">
      <c r="N48986" s="28"/>
      <c r="O48986" s="28"/>
      <c r="U48986" s="28"/>
    </row>
    <row r="48987">
      <c r="N48987" s="28"/>
      <c r="O48987" s="28"/>
      <c r="U48987" s="28"/>
    </row>
    <row r="48988">
      <c r="N48988" s="28"/>
      <c r="O48988" s="28"/>
      <c r="U48988" s="28"/>
    </row>
    <row r="48989">
      <c r="N48989" s="28"/>
      <c r="O48989" s="28"/>
      <c r="U48989" s="28"/>
    </row>
    <row r="48990">
      <c r="N48990" s="28"/>
      <c r="O48990" s="28"/>
      <c r="U48990" s="28"/>
    </row>
    <row r="48991">
      <c r="N48991" s="28"/>
      <c r="O48991" s="28"/>
      <c r="U48991" s="28"/>
    </row>
    <row r="48992">
      <c r="N48992" s="28"/>
      <c r="O48992" s="28"/>
      <c r="U48992" s="28"/>
    </row>
    <row r="48993">
      <c r="N48993" s="28"/>
      <c r="O48993" s="28"/>
      <c r="U48993" s="28"/>
    </row>
    <row r="48994">
      <c r="N48994" s="28"/>
      <c r="O48994" s="28"/>
      <c r="U48994" s="28"/>
    </row>
    <row r="48995">
      <c r="N48995" s="28"/>
      <c r="O48995" s="28"/>
      <c r="U48995" s="28"/>
    </row>
    <row r="48996">
      <c r="N48996" s="28"/>
      <c r="O48996" s="28"/>
      <c r="U48996" s="28"/>
    </row>
    <row r="48997">
      <c r="N48997" s="28"/>
      <c r="O48997" s="28"/>
      <c r="U48997" s="28"/>
    </row>
    <row r="48998">
      <c r="N48998" s="28"/>
      <c r="O48998" s="28"/>
      <c r="U48998" s="28"/>
    </row>
    <row r="48999">
      <c r="N48999" s="28"/>
      <c r="O48999" s="28"/>
      <c r="U48999" s="28"/>
    </row>
    <row r="49000">
      <c r="N49000" s="28"/>
      <c r="O49000" s="28"/>
      <c r="U49000" s="28"/>
    </row>
    <row r="49001">
      <c r="N49001" s="28"/>
      <c r="O49001" s="28"/>
      <c r="U49001" s="28"/>
    </row>
    <row r="49002">
      <c r="N49002" s="28"/>
      <c r="O49002" s="28"/>
      <c r="U49002" s="28"/>
    </row>
    <row r="49003">
      <c r="N49003" s="28"/>
      <c r="O49003" s="28"/>
      <c r="U49003" s="28"/>
    </row>
    <row r="49004">
      <c r="N49004" s="28"/>
      <c r="O49004" s="28"/>
      <c r="U49004" s="28"/>
    </row>
    <row r="49005">
      <c r="N49005" s="28"/>
      <c r="O49005" s="28"/>
      <c r="U49005" s="28"/>
    </row>
    <row r="49006">
      <c r="N49006" s="28"/>
      <c r="O49006" s="28"/>
      <c r="U49006" s="28"/>
    </row>
    <row r="49007">
      <c r="N49007" s="28"/>
      <c r="O49007" s="28"/>
      <c r="U49007" s="28"/>
    </row>
    <row r="49008">
      <c r="N49008" s="28"/>
      <c r="O49008" s="28"/>
      <c r="U49008" s="28"/>
    </row>
    <row r="49009">
      <c r="N49009" s="28"/>
      <c r="O49009" s="28"/>
      <c r="U49009" s="28"/>
    </row>
    <row r="49010">
      <c r="N49010" s="28"/>
      <c r="O49010" s="28"/>
      <c r="U49010" s="28"/>
    </row>
    <row r="49011">
      <c r="N49011" s="28"/>
      <c r="O49011" s="28"/>
      <c r="U49011" s="28"/>
    </row>
    <row r="49012">
      <c r="N49012" s="28"/>
      <c r="O49012" s="28"/>
      <c r="U49012" s="28"/>
    </row>
    <row r="49013">
      <c r="N49013" s="28"/>
      <c r="O49013" s="28"/>
      <c r="U49013" s="28"/>
    </row>
    <row r="49014">
      <c r="N49014" s="28"/>
      <c r="O49014" s="28"/>
      <c r="U49014" s="28"/>
    </row>
    <row r="49015">
      <c r="N49015" s="28"/>
      <c r="O49015" s="28"/>
      <c r="U49015" s="28"/>
    </row>
    <row r="49016">
      <c r="N49016" s="28"/>
      <c r="O49016" s="28"/>
      <c r="U49016" s="28"/>
    </row>
    <row r="49017">
      <c r="N49017" s="28"/>
      <c r="O49017" s="28"/>
      <c r="U49017" s="28"/>
    </row>
    <row r="49018">
      <c r="N49018" s="28"/>
      <c r="O49018" s="28"/>
      <c r="U49018" s="28"/>
    </row>
    <row r="49019">
      <c r="N49019" s="28"/>
      <c r="O49019" s="28"/>
      <c r="U49019" s="28"/>
    </row>
    <row r="49020">
      <c r="N49020" s="28"/>
      <c r="O49020" s="28"/>
      <c r="U49020" s="28"/>
    </row>
    <row r="49021">
      <c r="N49021" s="28"/>
      <c r="O49021" s="28"/>
      <c r="U49021" s="28"/>
    </row>
    <row r="49022">
      <c r="N49022" s="28"/>
      <c r="O49022" s="28"/>
      <c r="U49022" s="28"/>
    </row>
    <row r="49023">
      <c r="N49023" s="28"/>
      <c r="O49023" s="28"/>
      <c r="U49023" s="28"/>
    </row>
    <row r="49024">
      <c r="N49024" s="28"/>
      <c r="O49024" s="28"/>
      <c r="U49024" s="28"/>
    </row>
    <row r="49025">
      <c r="N49025" s="28"/>
      <c r="O49025" s="28"/>
      <c r="U49025" s="28"/>
    </row>
    <row r="49026">
      <c r="N49026" s="28"/>
      <c r="O49026" s="28"/>
      <c r="U49026" s="28"/>
    </row>
    <row r="49027">
      <c r="N49027" s="28"/>
      <c r="O49027" s="28"/>
      <c r="U49027" s="28"/>
    </row>
    <row r="49028">
      <c r="N49028" s="28"/>
      <c r="O49028" s="28"/>
      <c r="U49028" s="28"/>
    </row>
    <row r="49029">
      <c r="N49029" s="28"/>
      <c r="O49029" s="28"/>
      <c r="U49029" s="28"/>
    </row>
    <row r="49030">
      <c r="N49030" s="28"/>
      <c r="O49030" s="28"/>
      <c r="U49030" s="28"/>
    </row>
    <row r="49031">
      <c r="N49031" s="28"/>
      <c r="O49031" s="28"/>
      <c r="U49031" s="28"/>
    </row>
    <row r="49032">
      <c r="N49032" s="28"/>
      <c r="O49032" s="28"/>
      <c r="U49032" s="28"/>
    </row>
    <row r="49033">
      <c r="N49033" s="28"/>
      <c r="O49033" s="28"/>
      <c r="U49033" s="28"/>
    </row>
    <row r="49034">
      <c r="N49034" s="28"/>
      <c r="O49034" s="28"/>
      <c r="U49034" s="28"/>
    </row>
    <row r="49035">
      <c r="N49035" s="28"/>
      <c r="O49035" s="28"/>
      <c r="U49035" s="28"/>
    </row>
    <row r="49036">
      <c r="N49036" s="28"/>
      <c r="O49036" s="28"/>
      <c r="U49036" s="28"/>
    </row>
    <row r="49037">
      <c r="N49037" s="28"/>
      <c r="O49037" s="28"/>
      <c r="U49037" s="28"/>
    </row>
    <row r="49038">
      <c r="N49038" s="28"/>
      <c r="O49038" s="28"/>
      <c r="U49038" s="28"/>
    </row>
    <row r="49039">
      <c r="N49039" s="28"/>
      <c r="O49039" s="28"/>
      <c r="U49039" s="28"/>
    </row>
    <row r="49040">
      <c r="N49040" s="28"/>
      <c r="O49040" s="28"/>
      <c r="U49040" s="28"/>
    </row>
    <row r="49041">
      <c r="N49041" s="28"/>
      <c r="O49041" s="28"/>
      <c r="U49041" s="28"/>
    </row>
    <row r="49042">
      <c r="N49042" s="28"/>
      <c r="O49042" s="28"/>
      <c r="U49042" s="28"/>
    </row>
    <row r="49043">
      <c r="N49043" s="28"/>
      <c r="O49043" s="28"/>
      <c r="U49043" s="28"/>
    </row>
    <row r="49044">
      <c r="N49044" s="28"/>
      <c r="O49044" s="28"/>
      <c r="U49044" s="28"/>
    </row>
    <row r="49045">
      <c r="N49045" s="28"/>
      <c r="O49045" s="28"/>
      <c r="U49045" s="28"/>
    </row>
    <row r="49046">
      <c r="N49046" s="28"/>
      <c r="O49046" s="28"/>
      <c r="U49046" s="28"/>
    </row>
    <row r="49047">
      <c r="N49047" s="28"/>
      <c r="O49047" s="28"/>
      <c r="U49047" s="28"/>
    </row>
    <row r="49048">
      <c r="N49048" s="28"/>
      <c r="O49048" s="28"/>
      <c r="U49048" s="28"/>
    </row>
    <row r="49049">
      <c r="N49049" s="28"/>
      <c r="O49049" s="28"/>
      <c r="U49049" s="28"/>
    </row>
    <row r="49050">
      <c r="N49050" s="28"/>
      <c r="O49050" s="28"/>
      <c r="U49050" s="28"/>
    </row>
    <row r="49051">
      <c r="N49051" s="28"/>
      <c r="O49051" s="28"/>
      <c r="U49051" s="28"/>
    </row>
    <row r="49052">
      <c r="N49052" s="28"/>
      <c r="O49052" s="28"/>
      <c r="U49052" s="28"/>
    </row>
    <row r="49053">
      <c r="N49053" s="28"/>
      <c r="O49053" s="28"/>
      <c r="U49053" s="28"/>
    </row>
    <row r="49054">
      <c r="N49054" s="28"/>
      <c r="O49054" s="28"/>
      <c r="U49054" s="28"/>
    </row>
    <row r="49055">
      <c r="N49055" s="28"/>
      <c r="O49055" s="28"/>
      <c r="U49055" s="28"/>
    </row>
    <row r="49056">
      <c r="N49056" s="28"/>
      <c r="O49056" s="28"/>
      <c r="U49056" s="28"/>
    </row>
    <row r="49057">
      <c r="N49057" s="28"/>
      <c r="O49057" s="28"/>
      <c r="U49057" s="28"/>
    </row>
    <row r="49058">
      <c r="N49058" s="28"/>
      <c r="O49058" s="28"/>
      <c r="U49058" s="28"/>
    </row>
    <row r="49059">
      <c r="N49059" s="28"/>
      <c r="O49059" s="28"/>
      <c r="U49059" s="28"/>
    </row>
    <row r="49060">
      <c r="N49060" s="28"/>
      <c r="O49060" s="28"/>
      <c r="U49060" s="28"/>
    </row>
    <row r="49061">
      <c r="N49061" s="28"/>
      <c r="O49061" s="28"/>
      <c r="U49061" s="28"/>
    </row>
    <row r="49062">
      <c r="N49062" s="28"/>
      <c r="O49062" s="28"/>
      <c r="U49062" s="28"/>
    </row>
    <row r="49063">
      <c r="N49063" s="28"/>
      <c r="O49063" s="28"/>
      <c r="U49063" s="28"/>
    </row>
    <row r="49064">
      <c r="N49064" s="28"/>
      <c r="O49064" s="28"/>
      <c r="U49064" s="28"/>
    </row>
    <row r="49065">
      <c r="N49065" s="28"/>
      <c r="O49065" s="28"/>
      <c r="U49065" s="28"/>
    </row>
    <row r="49066">
      <c r="N49066" s="28"/>
      <c r="O49066" s="28"/>
      <c r="U49066" s="28"/>
    </row>
    <row r="49067">
      <c r="N49067" s="28"/>
      <c r="O49067" s="28"/>
      <c r="U49067" s="28"/>
    </row>
    <row r="49068">
      <c r="N49068" s="28"/>
      <c r="O49068" s="28"/>
      <c r="U49068" s="28"/>
    </row>
    <row r="49069">
      <c r="N49069" s="28"/>
      <c r="O49069" s="28"/>
      <c r="U49069" s="28"/>
    </row>
    <row r="49070">
      <c r="N49070" s="28"/>
      <c r="O49070" s="28"/>
      <c r="U49070" s="28"/>
    </row>
    <row r="49071">
      <c r="N49071" s="28"/>
      <c r="O49071" s="28"/>
      <c r="U49071" s="28"/>
    </row>
    <row r="49072">
      <c r="N49072" s="28"/>
      <c r="O49072" s="28"/>
      <c r="U49072" s="28"/>
    </row>
    <row r="49073">
      <c r="N49073" s="28"/>
      <c r="O49073" s="28"/>
      <c r="U49073" s="28"/>
    </row>
    <row r="49074">
      <c r="N49074" s="28"/>
      <c r="O49074" s="28"/>
      <c r="U49074" s="28"/>
    </row>
    <row r="49075">
      <c r="N49075" s="28"/>
      <c r="O49075" s="28"/>
      <c r="U49075" s="28"/>
    </row>
    <row r="49076">
      <c r="N49076" s="28"/>
      <c r="O49076" s="28"/>
      <c r="U49076" s="28"/>
    </row>
    <row r="49077">
      <c r="N49077" s="28"/>
      <c r="O49077" s="28"/>
      <c r="U49077" s="28"/>
    </row>
    <row r="49078">
      <c r="N49078" s="28"/>
      <c r="O49078" s="28"/>
      <c r="U49078" s="28"/>
    </row>
    <row r="49079">
      <c r="N49079" s="28"/>
      <c r="O49079" s="28"/>
      <c r="U49079" s="28"/>
    </row>
    <row r="49080">
      <c r="N49080" s="28"/>
      <c r="O49080" s="28"/>
      <c r="U49080" s="28"/>
    </row>
    <row r="49081">
      <c r="N49081" s="28"/>
      <c r="O49081" s="28"/>
      <c r="U49081" s="28"/>
    </row>
    <row r="49082">
      <c r="N49082" s="28"/>
      <c r="O49082" s="28"/>
      <c r="U49082" s="28"/>
    </row>
    <row r="49083">
      <c r="N49083" s="28"/>
      <c r="O49083" s="28"/>
      <c r="U49083" s="28"/>
    </row>
    <row r="49084">
      <c r="N49084" s="28"/>
      <c r="O49084" s="28"/>
      <c r="U49084" s="28"/>
    </row>
    <row r="49085">
      <c r="N49085" s="28"/>
      <c r="O49085" s="28"/>
      <c r="U49085" s="28"/>
    </row>
    <row r="49086">
      <c r="N49086" s="28"/>
      <c r="O49086" s="28"/>
      <c r="U49086" s="28"/>
    </row>
    <row r="49087">
      <c r="N49087" s="28"/>
      <c r="O49087" s="28"/>
      <c r="U49087" s="28"/>
    </row>
    <row r="49088">
      <c r="N49088" s="28"/>
      <c r="O49088" s="28"/>
      <c r="U49088" s="28"/>
    </row>
    <row r="49089">
      <c r="N49089" s="28"/>
      <c r="O49089" s="28"/>
      <c r="U49089" s="28"/>
    </row>
    <row r="49090">
      <c r="N49090" s="28"/>
      <c r="O49090" s="28"/>
      <c r="U49090" s="28"/>
    </row>
    <row r="49091">
      <c r="N49091" s="28"/>
      <c r="O49091" s="28"/>
      <c r="U49091" s="28"/>
    </row>
    <row r="49092">
      <c r="N49092" s="28"/>
      <c r="O49092" s="28"/>
      <c r="U49092" s="28"/>
    </row>
    <row r="49093">
      <c r="N49093" s="28"/>
      <c r="O49093" s="28"/>
      <c r="U49093" s="28"/>
    </row>
    <row r="49094">
      <c r="N49094" s="28"/>
      <c r="O49094" s="28"/>
      <c r="U49094" s="28"/>
    </row>
    <row r="49095">
      <c r="N49095" s="28"/>
      <c r="O49095" s="28"/>
      <c r="U49095" s="28"/>
    </row>
    <row r="49096">
      <c r="N49096" s="28"/>
      <c r="O49096" s="28"/>
      <c r="U49096" s="28"/>
    </row>
    <row r="49097">
      <c r="N49097" s="28"/>
      <c r="O49097" s="28"/>
      <c r="U49097" s="28"/>
    </row>
    <row r="49098">
      <c r="N49098" s="28"/>
      <c r="O49098" s="28"/>
      <c r="U49098" s="28"/>
    </row>
    <row r="49099">
      <c r="N49099" s="28"/>
      <c r="O49099" s="28"/>
      <c r="U49099" s="28"/>
    </row>
    <row r="49100">
      <c r="N49100" s="28"/>
      <c r="O49100" s="28"/>
      <c r="U49100" s="28"/>
    </row>
    <row r="49101">
      <c r="N49101" s="28"/>
      <c r="O49101" s="28"/>
      <c r="U49101" s="28"/>
    </row>
    <row r="49102">
      <c r="N49102" s="28"/>
      <c r="O49102" s="28"/>
      <c r="U49102" s="28"/>
    </row>
    <row r="49103">
      <c r="N49103" s="28"/>
      <c r="O49103" s="28"/>
      <c r="U49103" s="28"/>
    </row>
    <row r="49104">
      <c r="N49104" s="28"/>
      <c r="O49104" s="28"/>
      <c r="U49104" s="28"/>
    </row>
    <row r="49105">
      <c r="N49105" s="28"/>
      <c r="O49105" s="28"/>
      <c r="U49105" s="28"/>
    </row>
    <row r="49106">
      <c r="N49106" s="28"/>
      <c r="O49106" s="28"/>
      <c r="U49106" s="28"/>
    </row>
    <row r="49107">
      <c r="N49107" s="28"/>
      <c r="O49107" s="28"/>
      <c r="U49107" s="28"/>
    </row>
    <row r="49108">
      <c r="N49108" s="28"/>
      <c r="O49108" s="28"/>
      <c r="U49108" s="28"/>
    </row>
    <row r="49109">
      <c r="N49109" s="28"/>
      <c r="O49109" s="28"/>
      <c r="U49109" s="28"/>
    </row>
    <row r="49110">
      <c r="N49110" s="28"/>
      <c r="O49110" s="28"/>
      <c r="U49110" s="28"/>
    </row>
    <row r="49111">
      <c r="N49111" s="28"/>
      <c r="O49111" s="28"/>
      <c r="U49111" s="28"/>
    </row>
    <row r="49112">
      <c r="N49112" s="28"/>
      <c r="O49112" s="28"/>
      <c r="U49112" s="28"/>
    </row>
    <row r="49113">
      <c r="N49113" s="28"/>
      <c r="O49113" s="28"/>
      <c r="U49113" s="28"/>
    </row>
    <row r="49114">
      <c r="N49114" s="28"/>
      <c r="O49114" s="28"/>
      <c r="U49114" s="28"/>
    </row>
    <row r="49115">
      <c r="N49115" s="28"/>
      <c r="O49115" s="28"/>
      <c r="U49115" s="28"/>
    </row>
    <row r="49116">
      <c r="N49116" s="28"/>
      <c r="O49116" s="28"/>
      <c r="U49116" s="28"/>
    </row>
    <row r="49117">
      <c r="N49117" s="28"/>
      <c r="O49117" s="28"/>
      <c r="U49117" s="28"/>
    </row>
    <row r="49118">
      <c r="N49118" s="28"/>
      <c r="O49118" s="28"/>
      <c r="U49118" s="28"/>
    </row>
    <row r="49119">
      <c r="N49119" s="28"/>
      <c r="O49119" s="28"/>
      <c r="U49119" s="28"/>
    </row>
    <row r="49120">
      <c r="N49120" s="28"/>
      <c r="O49120" s="28"/>
      <c r="U49120" s="28"/>
    </row>
    <row r="49121">
      <c r="N49121" s="28"/>
      <c r="O49121" s="28"/>
      <c r="U49121" s="28"/>
    </row>
    <row r="49122">
      <c r="N49122" s="28"/>
      <c r="O49122" s="28"/>
      <c r="U49122" s="28"/>
    </row>
    <row r="49123">
      <c r="N49123" s="28"/>
      <c r="O49123" s="28"/>
      <c r="U49123" s="28"/>
    </row>
    <row r="49124">
      <c r="N49124" s="28"/>
      <c r="O49124" s="28"/>
      <c r="U49124" s="28"/>
    </row>
    <row r="49125">
      <c r="N49125" s="28"/>
      <c r="O49125" s="28"/>
      <c r="U49125" s="28"/>
    </row>
    <row r="49126">
      <c r="N49126" s="28"/>
      <c r="O49126" s="28"/>
      <c r="U49126" s="28"/>
    </row>
    <row r="49127">
      <c r="N49127" s="28"/>
      <c r="O49127" s="28"/>
      <c r="U49127" s="28"/>
    </row>
    <row r="49128">
      <c r="N49128" s="28"/>
      <c r="O49128" s="28"/>
      <c r="U49128" s="28"/>
    </row>
    <row r="49129">
      <c r="N49129" s="28"/>
      <c r="O49129" s="28"/>
      <c r="U49129" s="28"/>
    </row>
    <row r="49130">
      <c r="N49130" s="28"/>
      <c r="O49130" s="28"/>
      <c r="U49130" s="28"/>
    </row>
    <row r="49131">
      <c r="N49131" s="28"/>
      <c r="O49131" s="28"/>
      <c r="U49131" s="28"/>
    </row>
    <row r="49132">
      <c r="N49132" s="28"/>
      <c r="O49132" s="28"/>
      <c r="U49132" s="28"/>
    </row>
    <row r="49133">
      <c r="N49133" s="28"/>
      <c r="O49133" s="28"/>
      <c r="U49133" s="28"/>
    </row>
    <row r="49134">
      <c r="N49134" s="28"/>
      <c r="O49134" s="28"/>
      <c r="U49134" s="28"/>
    </row>
    <row r="49135">
      <c r="N49135" s="28"/>
      <c r="O49135" s="28"/>
      <c r="U49135" s="28"/>
    </row>
    <row r="49136">
      <c r="N49136" s="28"/>
      <c r="O49136" s="28"/>
      <c r="U49136" s="28"/>
    </row>
    <row r="49137">
      <c r="N49137" s="28"/>
      <c r="O49137" s="28"/>
      <c r="U49137" s="28"/>
    </row>
    <row r="49138">
      <c r="N49138" s="28"/>
      <c r="O49138" s="28"/>
      <c r="U49138" s="28"/>
    </row>
    <row r="49139">
      <c r="N49139" s="28"/>
      <c r="O49139" s="28"/>
      <c r="U49139" s="28"/>
    </row>
    <row r="49140">
      <c r="N49140" s="28"/>
      <c r="O49140" s="28"/>
      <c r="U49140" s="28"/>
    </row>
    <row r="49141">
      <c r="N49141" s="28"/>
      <c r="O49141" s="28"/>
      <c r="U49141" s="28"/>
    </row>
    <row r="49142">
      <c r="N49142" s="28"/>
      <c r="O49142" s="28"/>
      <c r="U49142" s="28"/>
    </row>
    <row r="49143">
      <c r="N49143" s="28"/>
      <c r="O49143" s="28"/>
      <c r="U49143" s="28"/>
    </row>
    <row r="49144">
      <c r="N49144" s="28"/>
      <c r="O49144" s="28"/>
      <c r="U49144" s="28"/>
    </row>
    <row r="49145">
      <c r="N49145" s="28"/>
      <c r="O49145" s="28"/>
      <c r="U49145" s="28"/>
    </row>
    <row r="49146">
      <c r="N49146" s="28"/>
      <c r="O49146" s="28"/>
      <c r="U49146" s="28"/>
    </row>
    <row r="49147">
      <c r="N49147" s="28"/>
      <c r="O49147" s="28"/>
      <c r="U49147" s="28"/>
    </row>
    <row r="49148">
      <c r="N49148" s="28"/>
      <c r="O49148" s="28"/>
      <c r="U49148" s="28"/>
    </row>
    <row r="49149">
      <c r="N49149" s="28"/>
      <c r="O49149" s="28"/>
      <c r="U49149" s="28"/>
    </row>
    <row r="49150">
      <c r="N49150" s="28"/>
      <c r="O49150" s="28"/>
      <c r="U49150" s="28"/>
    </row>
    <row r="49151">
      <c r="N49151" s="28"/>
      <c r="O49151" s="28"/>
      <c r="U49151" s="28"/>
    </row>
    <row r="49152">
      <c r="N49152" s="28"/>
      <c r="O49152" s="28"/>
      <c r="U49152" s="28"/>
    </row>
    <row r="49153">
      <c r="N49153" s="28"/>
      <c r="O49153" s="28"/>
      <c r="U49153" s="28"/>
    </row>
    <row r="49154">
      <c r="N49154" s="28"/>
      <c r="O49154" s="28"/>
      <c r="U49154" s="28"/>
    </row>
    <row r="49155">
      <c r="N49155" s="28"/>
      <c r="O49155" s="28"/>
      <c r="U49155" s="28"/>
    </row>
    <row r="49156">
      <c r="N49156" s="28"/>
      <c r="O49156" s="28"/>
      <c r="U49156" s="28"/>
    </row>
    <row r="49157">
      <c r="N49157" s="28"/>
      <c r="O49157" s="28"/>
      <c r="U49157" s="28"/>
    </row>
    <row r="49158">
      <c r="N49158" s="28"/>
      <c r="O49158" s="28"/>
      <c r="U49158" s="28"/>
    </row>
    <row r="49159">
      <c r="N49159" s="28"/>
      <c r="O49159" s="28"/>
      <c r="U49159" s="28"/>
    </row>
    <row r="49160">
      <c r="N49160" s="28"/>
      <c r="O49160" s="28"/>
      <c r="U49160" s="28"/>
    </row>
    <row r="49161">
      <c r="N49161" s="28"/>
      <c r="O49161" s="28"/>
      <c r="U49161" s="28"/>
    </row>
    <row r="49162">
      <c r="N49162" s="28"/>
      <c r="O49162" s="28"/>
      <c r="U49162" s="28"/>
    </row>
    <row r="49163">
      <c r="N49163" s="28"/>
      <c r="O49163" s="28"/>
      <c r="U49163" s="28"/>
    </row>
    <row r="49164">
      <c r="N49164" s="28"/>
      <c r="O49164" s="28"/>
      <c r="U49164" s="28"/>
    </row>
    <row r="49165">
      <c r="N49165" s="28"/>
      <c r="O49165" s="28"/>
      <c r="U49165" s="28"/>
    </row>
    <row r="49166">
      <c r="N49166" s="28"/>
      <c r="O49166" s="28"/>
      <c r="U49166" s="28"/>
    </row>
    <row r="49167">
      <c r="N49167" s="28"/>
      <c r="O49167" s="28"/>
      <c r="U49167" s="28"/>
    </row>
    <row r="49168">
      <c r="N49168" s="28"/>
      <c r="O49168" s="28"/>
      <c r="U49168" s="28"/>
    </row>
    <row r="49169">
      <c r="N49169" s="28"/>
      <c r="O49169" s="28"/>
      <c r="U49169" s="28"/>
    </row>
    <row r="49170">
      <c r="N49170" s="28"/>
      <c r="O49170" s="28"/>
      <c r="U49170" s="28"/>
    </row>
    <row r="49171">
      <c r="N49171" s="28"/>
      <c r="O49171" s="28"/>
      <c r="U49171" s="28"/>
    </row>
    <row r="49172">
      <c r="N49172" s="28"/>
      <c r="O49172" s="28"/>
      <c r="U49172" s="28"/>
    </row>
    <row r="49173">
      <c r="N49173" s="28"/>
      <c r="O49173" s="28"/>
      <c r="U49173" s="28"/>
    </row>
    <row r="49174">
      <c r="N49174" s="28"/>
      <c r="O49174" s="28"/>
      <c r="U49174" s="28"/>
    </row>
    <row r="49175">
      <c r="N49175" s="28"/>
      <c r="O49175" s="28"/>
      <c r="U49175" s="28"/>
    </row>
    <row r="49176">
      <c r="N49176" s="28"/>
      <c r="O49176" s="28"/>
      <c r="U49176" s="28"/>
    </row>
    <row r="49177">
      <c r="N49177" s="28"/>
      <c r="O49177" s="28"/>
      <c r="U49177" s="28"/>
    </row>
    <row r="49178">
      <c r="N49178" s="28"/>
      <c r="O49178" s="28"/>
      <c r="U49178" s="28"/>
    </row>
    <row r="49179">
      <c r="N49179" s="28"/>
      <c r="O49179" s="28"/>
      <c r="U49179" s="28"/>
    </row>
    <row r="49180">
      <c r="N49180" s="28"/>
      <c r="O49180" s="28"/>
      <c r="U49180" s="28"/>
    </row>
    <row r="49181">
      <c r="N49181" s="28"/>
      <c r="O49181" s="28"/>
      <c r="U49181" s="28"/>
    </row>
    <row r="49182">
      <c r="N49182" s="28"/>
      <c r="O49182" s="28"/>
      <c r="U49182" s="28"/>
    </row>
    <row r="49183">
      <c r="N49183" s="28"/>
      <c r="O49183" s="28"/>
      <c r="U49183" s="28"/>
    </row>
    <row r="49184">
      <c r="N49184" s="28"/>
      <c r="O49184" s="28"/>
      <c r="U49184" s="28"/>
    </row>
    <row r="49185">
      <c r="N49185" s="28"/>
      <c r="O49185" s="28"/>
      <c r="U49185" s="28"/>
    </row>
    <row r="49186">
      <c r="N49186" s="28"/>
      <c r="O49186" s="28"/>
      <c r="U49186" s="28"/>
    </row>
    <row r="49187">
      <c r="N49187" s="28"/>
      <c r="O49187" s="28"/>
      <c r="U49187" s="28"/>
    </row>
    <row r="49188">
      <c r="N49188" s="28"/>
      <c r="O49188" s="28"/>
      <c r="U49188" s="28"/>
    </row>
    <row r="49189">
      <c r="N49189" s="28"/>
      <c r="O49189" s="28"/>
      <c r="U49189" s="28"/>
    </row>
    <row r="49190">
      <c r="N49190" s="28"/>
      <c r="O49190" s="28"/>
      <c r="U49190" s="28"/>
    </row>
    <row r="49191">
      <c r="N49191" s="28"/>
      <c r="O49191" s="28"/>
      <c r="U49191" s="28"/>
    </row>
    <row r="49192">
      <c r="N49192" s="28"/>
      <c r="O49192" s="28"/>
      <c r="U49192" s="28"/>
    </row>
    <row r="49193">
      <c r="N49193" s="28"/>
      <c r="O49193" s="28"/>
      <c r="U49193" s="28"/>
    </row>
    <row r="49194">
      <c r="N49194" s="28"/>
      <c r="O49194" s="28"/>
      <c r="U49194" s="28"/>
    </row>
    <row r="49195">
      <c r="N49195" s="28"/>
      <c r="O49195" s="28"/>
      <c r="U49195" s="28"/>
    </row>
    <row r="49196">
      <c r="N49196" s="28"/>
      <c r="O49196" s="28"/>
      <c r="U49196" s="28"/>
    </row>
    <row r="49197">
      <c r="N49197" s="28"/>
      <c r="O49197" s="28"/>
      <c r="U49197" s="28"/>
    </row>
    <row r="49198">
      <c r="N49198" s="28"/>
      <c r="O49198" s="28"/>
      <c r="U49198" s="28"/>
    </row>
    <row r="49199">
      <c r="N49199" s="28"/>
      <c r="O49199" s="28"/>
      <c r="U49199" s="28"/>
    </row>
    <row r="49200">
      <c r="N49200" s="28"/>
      <c r="O49200" s="28"/>
      <c r="U49200" s="28"/>
    </row>
    <row r="49201">
      <c r="N49201" s="28"/>
      <c r="O49201" s="28"/>
      <c r="U49201" s="28"/>
    </row>
    <row r="49202">
      <c r="N49202" s="28"/>
      <c r="O49202" s="28"/>
      <c r="U49202" s="28"/>
    </row>
    <row r="49203">
      <c r="N49203" s="28"/>
      <c r="O49203" s="28"/>
      <c r="U49203" s="28"/>
    </row>
    <row r="49204">
      <c r="N49204" s="28"/>
      <c r="O49204" s="28"/>
      <c r="U49204" s="28"/>
    </row>
    <row r="49205">
      <c r="N49205" s="28"/>
      <c r="O49205" s="28"/>
      <c r="U49205" s="28"/>
    </row>
    <row r="49206">
      <c r="N49206" s="28"/>
      <c r="O49206" s="28"/>
      <c r="U49206" s="28"/>
    </row>
    <row r="49207">
      <c r="N49207" s="28"/>
      <c r="O49207" s="28"/>
      <c r="U49207" s="28"/>
    </row>
    <row r="49208">
      <c r="N49208" s="28"/>
      <c r="O49208" s="28"/>
      <c r="U49208" s="28"/>
    </row>
    <row r="49209">
      <c r="N49209" s="28"/>
      <c r="O49209" s="28"/>
      <c r="U49209" s="28"/>
    </row>
    <row r="49210">
      <c r="N49210" s="28"/>
      <c r="O49210" s="28"/>
      <c r="U49210" s="28"/>
    </row>
    <row r="49211">
      <c r="N49211" s="28"/>
      <c r="O49211" s="28"/>
      <c r="U49211" s="28"/>
    </row>
    <row r="49212">
      <c r="N49212" s="28"/>
      <c r="O49212" s="28"/>
      <c r="U49212" s="28"/>
    </row>
    <row r="49213">
      <c r="N49213" s="28"/>
      <c r="O49213" s="28"/>
      <c r="U49213" s="28"/>
    </row>
    <row r="49214">
      <c r="N49214" s="28"/>
      <c r="O49214" s="28"/>
      <c r="U49214" s="28"/>
    </row>
    <row r="49215">
      <c r="N49215" s="28"/>
      <c r="O49215" s="28"/>
      <c r="U49215" s="28"/>
    </row>
    <row r="49216">
      <c r="N49216" s="28"/>
      <c r="O49216" s="28"/>
      <c r="U49216" s="28"/>
    </row>
    <row r="49217">
      <c r="N49217" s="28"/>
      <c r="O49217" s="28"/>
      <c r="U49217" s="28"/>
    </row>
    <row r="49218">
      <c r="N49218" s="28"/>
      <c r="O49218" s="28"/>
      <c r="U49218" s="28"/>
    </row>
    <row r="49219">
      <c r="N49219" s="28"/>
      <c r="O49219" s="28"/>
      <c r="U49219" s="28"/>
    </row>
    <row r="49220">
      <c r="N49220" s="28"/>
      <c r="O49220" s="28"/>
      <c r="U49220" s="28"/>
    </row>
    <row r="49221">
      <c r="N49221" s="28"/>
      <c r="O49221" s="28"/>
      <c r="U49221" s="28"/>
    </row>
    <row r="49222">
      <c r="N49222" s="28"/>
      <c r="O49222" s="28"/>
      <c r="U49222" s="28"/>
    </row>
    <row r="49223">
      <c r="N49223" s="28"/>
      <c r="O49223" s="28"/>
      <c r="U49223" s="28"/>
    </row>
    <row r="49224">
      <c r="N49224" s="28"/>
      <c r="O49224" s="28"/>
      <c r="U49224" s="28"/>
    </row>
    <row r="49225">
      <c r="N49225" s="28"/>
      <c r="O49225" s="28"/>
      <c r="U49225" s="28"/>
    </row>
    <row r="49226">
      <c r="N49226" s="28"/>
      <c r="O49226" s="28"/>
      <c r="U49226" s="28"/>
    </row>
    <row r="49227">
      <c r="N49227" s="28"/>
      <c r="O49227" s="28"/>
      <c r="U49227" s="28"/>
    </row>
    <row r="49228">
      <c r="N49228" s="28"/>
      <c r="O49228" s="28"/>
      <c r="U49228" s="28"/>
    </row>
    <row r="49229">
      <c r="N49229" s="28"/>
      <c r="O49229" s="28"/>
      <c r="U49229" s="28"/>
    </row>
    <row r="49230">
      <c r="N49230" s="28"/>
      <c r="O49230" s="28"/>
      <c r="U49230" s="28"/>
    </row>
    <row r="49231">
      <c r="N49231" s="28"/>
      <c r="O49231" s="28"/>
      <c r="U49231" s="28"/>
    </row>
    <row r="49232">
      <c r="N49232" s="28"/>
      <c r="O49232" s="28"/>
      <c r="U49232" s="28"/>
    </row>
    <row r="49233">
      <c r="N49233" s="28"/>
      <c r="O49233" s="28"/>
      <c r="U49233" s="28"/>
    </row>
    <row r="49234">
      <c r="N49234" s="28"/>
      <c r="O49234" s="28"/>
      <c r="U49234" s="28"/>
    </row>
    <row r="49235">
      <c r="N49235" s="28"/>
      <c r="O49235" s="28"/>
      <c r="U49235" s="28"/>
    </row>
    <row r="49236">
      <c r="N49236" s="28"/>
      <c r="O49236" s="28"/>
      <c r="U49236" s="28"/>
    </row>
    <row r="49237">
      <c r="N49237" s="28"/>
      <c r="O49237" s="28"/>
      <c r="U49237" s="28"/>
    </row>
    <row r="49238">
      <c r="N49238" s="28"/>
      <c r="O49238" s="28"/>
      <c r="U49238" s="28"/>
    </row>
    <row r="49239">
      <c r="N49239" s="28"/>
      <c r="O49239" s="28"/>
      <c r="U49239" s="28"/>
    </row>
    <row r="49240">
      <c r="N49240" s="28"/>
      <c r="O49240" s="28"/>
      <c r="U49240" s="28"/>
    </row>
    <row r="49241">
      <c r="N49241" s="28"/>
      <c r="O49241" s="28"/>
      <c r="U49241" s="28"/>
    </row>
    <row r="49242">
      <c r="N49242" s="28"/>
      <c r="O49242" s="28"/>
      <c r="U49242" s="28"/>
    </row>
    <row r="49243">
      <c r="N49243" s="28"/>
      <c r="O49243" s="28"/>
      <c r="U49243" s="28"/>
    </row>
    <row r="49244">
      <c r="N49244" s="28"/>
      <c r="O49244" s="28"/>
      <c r="U49244" s="28"/>
    </row>
    <row r="49245">
      <c r="N49245" s="28"/>
      <c r="O49245" s="28"/>
      <c r="U49245" s="28"/>
    </row>
    <row r="49246">
      <c r="N49246" s="28"/>
      <c r="O49246" s="28"/>
      <c r="U49246" s="28"/>
    </row>
    <row r="49247">
      <c r="N49247" s="28"/>
      <c r="O49247" s="28"/>
      <c r="U49247" s="28"/>
    </row>
    <row r="49248">
      <c r="N49248" s="28"/>
      <c r="O49248" s="28"/>
      <c r="U49248" s="28"/>
    </row>
    <row r="49249">
      <c r="N49249" s="28"/>
      <c r="O49249" s="28"/>
      <c r="U49249" s="28"/>
    </row>
    <row r="49250">
      <c r="N49250" s="28"/>
      <c r="O49250" s="28"/>
      <c r="U49250" s="28"/>
    </row>
    <row r="49251">
      <c r="N49251" s="28"/>
      <c r="O49251" s="28"/>
      <c r="U49251" s="28"/>
    </row>
    <row r="49252">
      <c r="N49252" s="28"/>
      <c r="O49252" s="28"/>
      <c r="U49252" s="28"/>
    </row>
    <row r="49253">
      <c r="N49253" s="28"/>
      <c r="O49253" s="28"/>
      <c r="U49253" s="28"/>
    </row>
    <row r="49254">
      <c r="N49254" s="28"/>
      <c r="O49254" s="28"/>
      <c r="U49254" s="28"/>
    </row>
    <row r="49255">
      <c r="N49255" s="28"/>
      <c r="O49255" s="28"/>
      <c r="U49255" s="28"/>
    </row>
    <row r="49256">
      <c r="N49256" s="28"/>
      <c r="O49256" s="28"/>
      <c r="U49256" s="28"/>
    </row>
    <row r="49257">
      <c r="N49257" s="28"/>
      <c r="O49257" s="28"/>
      <c r="U49257" s="28"/>
    </row>
    <row r="49258">
      <c r="N49258" s="28"/>
      <c r="O49258" s="28"/>
      <c r="U49258" s="28"/>
    </row>
    <row r="49259">
      <c r="N49259" s="28"/>
      <c r="O49259" s="28"/>
      <c r="U49259" s="28"/>
    </row>
    <row r="49260">
      <c r="N49260" s="28"/>
      <c r="O49260" s="28"/>
      <c r="U49260" s="28"/>
    </row>
    <row r="49261">
      <c r="N49261" s="28"/>
      <c r="O49261" s="28"/>
      <c r="U49261" s="28"/>
    </row>
    <row r="49262">
      <c r="N49262" s="28"/>
      <c r="O49262" s="28"/>
      <c r="U49262" s="28"/>
    </row>
    <row r="49263">
      <c r="N49263" s="28"/>
      <c r="O49263" s="28"/>
      <c r="U49263" s="28"/>
    </row>
    <row r="49264">
      <c r="N49264" s="28"/>
      <c r="O49264" s="28"/>
      <c r="U49264" s="28"/>
    </row>
    <row r="49265">
      <c r="N49265" s="28"/>
      <c r="O49265" s="28"/>
      <c r="U49265" s="28"/>
    </row>
    <row r="49266">
      <c r="N49266" s="28"/>
      <c r="O49266" s="28"/>
      <c r="U49266" s="28"/>
    </row>
    <row r="49267">
      <c r="N49267" s="28"/>
      <c r="O49267" s="28"/>
      <c r="U49267" s="28"/>
    </row>
    <row r="49268">
      <c r="N49268" s="28"/>
      <c r="O49268" s="28"/>
      <c r="U49268" s="28"/>
    </row>
    <row r="49269">
      <c r="N49269" s="28"/>
      <c r="O49269" s="28"/>
      <c r="U49269" s="28"/>
    </row>
    <row r="49270">
      <c r="N49270" s="28"/>
      <c r="O49270" s="28"/>
      <c r="U49270" s="28"/>
    </row>
    <row r="49271">
      <c r="N49271" s="28"/>
      <c r="O49271" s="28"/>
      <c r="U49271" s="28"/>
    </row>
    <row r="49272">
      <c r="N49272" s="28"/>
      <c r="O49272" s="28"/>
      <c r="U49272" s="28"/>
    </row>
    <row r="49273">
      <c r="N49273" s="28"/>
      <c r="O49273" s="28"/>
      <c r="U49273" s="28"/>
    </row>
    <row r="49274">
      <c r="N49274" s="28"/>
      <c r="O49274" s="28"/>
      <c r="U49274" s="28"/>
    </row>
    <row r="49275">
      <c r="N49275" s="28"/>
      <c r="O49275" s="28"/>
      <c r="U49275" s="28"/>
    </row>
    <row r="49276">
      <c r="N49276" s="28"/>
      <c r="O49276" s="28"/>
      <c r="U49276" s="28"/>
    </row>
    <row r="49277">
      <c r="N49277" s="28"/>
      <c r="O49277" s="28"/>
      <c r="U49277" s="28"/>
    </row>
    <row r="49278">
      <c r="N49278" s="28"/>
      <c r="O49278" s="28"/>
      <c r="U49278" s="28"/>
    </row>
    <row r="49279">
      <c r="N49279" s="28"/>
      <c r="O49279" s="28"/>
      <c r="U49279" s="28"/>
    </row>
    <row r="49280">
      <c r="N49280" s="28"/>
      <c r="O49280" s="28"/>
      <c r="U49280" s="28"/>
    </row>
    <row r="49281">
      <c r="N49281" s="28"/>
      <c r="O49281" s="28"/>
      <c r="U49281" s="28"/>
    </row>
    <row r="49282">
      <c r="N49282" s="28"/>
      <c r="O49282" s="28"/>
      <c r="U49282" s="28"/>
    </row>
    <row r="49283">
      <c r="N49283" s="28"/>
      <c r="O49283" s="28"/>
      <c r="U49283" s="28"/>
    </row>
    <row r="49284">
      <c r="N49284" s="28"/>
      <c r="O49284" s="28"/>
      <c r="U49284" s="28"/>
    </row>
    <row r="49285">
      <c r="N49285" s="28"/>
      <c r="O49285" s="28"/>
      <c r="U49285" s="28"/>
    </row>
    <row r="49286">
      <c r="N49286" s="28"/>
      <c r="O49286" s="28"/>
      <c r="U49286" s="28"/>
    </row>
    <row r="49287">
      <c r="N49287" s="28"/>
      <c r="O49287" s="28"/>
      <c r="U49287" s="28"/>
    </row>
    <row r="49288">
      <c r="N49288" s="28"/>
      <c r="O49288" s="28"/>
      <c r="U49288" s="28"/>
    </row>
    <row r="49289">
      <c r="N49289" s="28"/>
      <c r="O49289" s="28"/>
      <c r="U49289" s="28"/>
    </row>
    <row r="49290">
      <c r="N49290" s="28"/>
      <c r="O49290" s="28"/>
      <c r="U49290" s="28"/>
    </row>
    <row r="49291">
      <c r="N49291" s="28"/>
      <c r="O49291" s="28"/>
      <c r="U49291" s="28"/>
    </row>
    <row r="49292">
      <c r="N49292" s="28"/>
      <c r="O49292" s="28"/>
      <c r="U49292" s="28"/>
    </row>
    <row r="49293">
      <c r="N49293" s="28"/>
      <c r="O49293" s="28"/>
      <c r="U49293" s="28"/>
    </row>
    <row r="49294">
      <c r="N49294" s="28"/>
      <c r="O49294" s="28"/>
      <c r="U49294" s="28"/>
    </row>
    <row r="49295">
      <c r="N49295" s="28"/>
      <c r="O49295" s="28"/>
      <c r="U49295" s="28"/>
    </row>
    <row r="49296">
      <c r="N49296" s="28"/>
      <c r="O49296" s="28"/>
      <c r="U49296" s="28"/>
    </row>
    <row r="49297">
      <c r="N49297" s="28"/>
      <c r="O49297" s="28"/>
      <c r="U49297" s="28"/>
    </row>
    <row r="49298">
      <c r="N49298" s="28"/>
      <c r="O49298" s="28"/>
      <c r="U49298" s="28"/>
    </row>
    <row r="49299">
      <c r="N49299" s="28"/>
      <c r="O49299" s="28"/>
      <c r="U49299" s="28"/>
    </row>
    <row r="49300">
      <c r="N49300" s="28"/>
      <c r="O49300" s="28"/>
      <c r="U49300" s="28"/>
    </row>
    <row r="49301">
      <c r="N49301" s="28"/>
      <c r="O49301" s="28"/>
      <c r="U49301" s="28"/>
    </row>
    <row r="49302">
      <c r="N49302" s="28"/>
      <c r="O49302" s="28"/>
      <c r="U49302" s="28"/>
    </row>
    <row r="49303">
      <c r="N49303" s="28"/>
      <c r="O49303" s="28"/>
      <c r="U49303" s="28"/>
    </row>
    <row r="49304">
      <c r="N49304" s="28"/>
      <c r="O49304" s="28"/>
      <c r="U49304" s="28"/>
    </row>
    <row r="49305">
      <c r="N49305" s="28"/>
      <c r="O49305" s="28"/>
      <c r="U49305" s="28"/>
    </row>
    <row r="49306">
      <c r="N49306" s="28"/>
      <c r="O49306" s="28"/>
      <c r="U49306" s="28"/>
    </row>
    <row r="49307">
      <c r="N49307" s="28"/>
      <c r="O49307" s="28"/>
      <c r="U49307" s="28"/>
    </row>
    <row r="49308">
      <c r="N49308" s="28"/>
      <c r="O49308" s="28"/>
      <c r="U49308" s="28"/>
    </row>
    <row r="49309">
      <c r="N49309" s="28"/>
      <c r="O49309" s="28"/>
      <c r="U49309" s="28"/>
    </row>
    <row r="49310">
      <c r="N49310" s="28"/>
      <c r="O49310" s="28"/>
      <c r="U49310" s="28"/>
    </row>
    <row r="49311">
      <c r="N49311" s="28"/>
      <c r="O49311" s="28"/>
      <c r="U49311" s="28"/>
    </row>
    <row r="49312">
      <c r="N49312" s="28"/>
      <c r="O49312" s="28"/>
      <c r="U49312" s="28"/>
    </row>
    <row r="49313">
      <c r="N49313" s="28"/>
      <c r="O49313" s="28"/>
      <c r="U49313" s="28"/>
    </row>
    <row r="49314">
      <c r="N49314" s="28"/>
      <c r="O49314" s="28"/>
      <c r="U49314" s="28"/>
    </row>
    <row r="49315">
      <c r="N49315" s="28"/>
      <c r="O49315" s="28"/>
      <c r="U49315" s="28"/>
    </row>
    <row r="49316">
      <c r="N49316" s="28"/>
      <c r="O49316" s="28"/>
      <c r="U49316" s="28"/>
    </row>
    <row r="49317">
      <c r="N49317" s="28"/>
      <c r="O49317" s="28"/>
      <c r="U49317" s="28"/>
    </row>
    <row r="49318">
      <c r="N49318" s="28"/>
      <c r="O49318" s="28"/>
      <c r="U49318" s="28"/>
    </row>
    <row r="49319">
      <c r="N49319" s="28"/>
      <c r="O49319" s="28"/>
      <c r="U49319" s="28"/>
    </row>
    <row r="49320">
      <c r="N49320" s="28"/>
      <c r="O49320" s="28"/>
      <c r="U49320" s="28"/>
    </row>
    <row r="49321">
      <c r="N49321" s="28"/>
      <c r="O49321" s="28"/>
      <c r="U49321" s="28"/>
    </row>
    <row r="49322">
      <c r="N49322" s="28"/>
      <c r="O49322" s="28"/>
      <c r="U49322" s="28"/>
    </row>
    <row r="49323">
      <c r="N49323" s="28"/>
      <c r="O49323" s="28"/>
      <c r="U49323" s="28"/>
    </row>
    <row r="49324">
      <c r="N49324" s="28"/>
      <c r="O49324" s="28"/>
      <c r="U49324" s="28"/>
    </row>
    <row r="49325">
      <c r="N49325" s="28"/>
      <c r="O49325" s="28"/>
      <c r="U49325" s="28"/>
    </row>
    <row r="49326">
      <c r="N49326" s="28"/>
      <c r="O49326" s="28"/>
      <c r="U49326" s="28"/>
    </row>
    <row r="49327">
      <c r="N49327" s="28"/>
      <c r="O49327" s="28"/>
      <c r="U49327" s="28"/>
    </row>
    <row r="49328">
      <c r="N49328" s="28"/>
      <c r="O49328" s="28"/>
      <c r="U49328" s="28"/>
    </row>
    <row r="49329">
      <c r="N49329" s="28"/>
      <c r="O49329" s="28"/>
      <c r="U49329" s="28"/>
    </row>
    <row r="49330">
      <c r="N49330" s="28"/>
      <c r="O49330" s="28"/>
      <c r="U49330" s="28"/>
    </row>
    <row r="49331">
      <c r="N49331" s="28"/>
      <c r="O49331" s="28"/>
      <c r="U49331" s="28"/>
    </row>
    <row r="49332">
      <c r="N49332" s="28"/>
      <c r="O49332" s="28"/>
      <c r="U49332" s="28"/>
    </row>
    <row r="49333">
      <c r="N49333" s="28"/>
      <c r="O49333" s="28"/>
      <c r="U49333" s="28"/>
    </row>
    <row r="49334">
      <c r="N49334" s="28"/>
      <c r="O49334" s="28"/>
      <c r="U49334" s="28"/>
    </row>
    <row r="49335">
      <c r="N49335" s="28"/>
      <c r="O49335" s="28"/>
      <c r="U49335" s="28"/>
    </row>
    <row r="49336">
      <c r="N49336" s="28"/>
      <c r="O49336" s="28"/>
      <c r="U49336" s="28"/>
    </row>
    <row r="49337">
      <c r="N49337" s="28"/>
      <c r="O49337" s="28"/>
      <c r="U49337" s="28"/>
    </row>
    <row r="49338">
      <c r="N49338" s="28"/>
      <c r="O49338" s="28"/>
      <c r="U49338" s="28"/>
    </row>
    <row r="49339">
      <c r="N49339" s="28"/>
      <c r="O49339" s="28"/>
      <c r="U49339" s="28"/>
    </row>
    <row r="49340">
      <c r="N49340" s="28"/>
      <c r="O49340" s="28"/>
      <c r="U49340" s="28"/>
    </row>
    <row r="49341">
      <c r="N49341" s="28"/>
      <c r="O49341" s="28"/>
      <c r="U49341" s="28"/>
    </row>
    <row r="49342">
      <c r="N49342" s="28"/>
      <c r="O49342" s="28"/>
      <c r="U49342" s="28"/>
    </row>
    <row r="49343">
      <c r="N49343" s="28"/>
      <c r="O49343" s="28"/>
      <c r="U49343" s="28"/>
    </row>
    <row r="49344">
      <c r="N49344" s="28"/>
      <c r="O49344" s="28"/>
      <c r="U49344" s="28"/>
    </row>
    <row r="49345">
      <c r="N49345" s="28"/>
      <c r="O49345" s="28"/>
      <c r="U49345" s="28"/>
    </row>
    <row r="49346">
      <c r="N49346" s="28"/>
      <c r="O49346" s="28"/>
      <c r="U49346" s="28"/>
    </row>
    <row r="49347">
      <c r="N49347" s="28"/>
      <c r="O49347" s="28"/>
      <c r="U49347" s="28"/>
    </row>
    <row r="49348">
      <c r="N49348" s="28"/>
      <c r="O49348" s="28"/>
      <c r="U49348" s="28"/>
    </row>
    <row r="49349">
      <c r="N49349" s="28"/>
      <c r="O49349" s="28"/>
      <c r="U49349" s="28"/>
    </row>
    <row r="49350">
      <c r="N49350" s="28"/>
      <c r="O49350" s="28"/>
      <c r="U49350" s="28"/>
    </row>
    <row r="49351">
      <c r="N49351" s="28"/>
      <c r="O49351" s="28"/>
      <c r="U49351" s="28"/>
    </row>
    <row r="49352">
      <c r="N49352" s="28"/>
      <c r="O49352" s="28"/>
      <c r="U49352" s="28"/>
    </row>
    <row r="49353">
      <c r="N49353" s="28"/>
      <c r="O49353" s="28"/>
      <c r="U49353" s="28"/>
    </row>
    <row r="49354">
      <c r="N49354" s="28"/>
      <c r="O49354" s="28"/>
      <c r="U49354" s="28"/>
    </row>
    <row r="49355">
      <c r="N49355" s="28"/>
      <c r="O49355" s="28"/>
      <c r="U49355" s="28"/>
    </row>
    <row r="49356">
      <c r="N49356" s="28"/>
      <c r="O49356" s="28"/>
      <c r="U49356" s="28"/>
    </row>
    <row r="49357">
      <c r="N49357" s="28"/>
      <c r="O49357" s="28"/>
      <c r="U49357" s="28"/>
    </row>
    <row r="49358">
      <c r="N49358" s="28"/>
      <c r="O49358" s="28"/>
      <c r="U49358" s="28"/>
    </row>
    <row r="49359">
      <c r="N49359" s="28"/>
      <c r="O49359" s="28"/>
      <c r="U49359" s="28"/>
    </row>
    <row r="49360">
      <c r="N49360" s="28"/>
      <c r="O49360" s="28"/>
      <c r="U49360" s="28"/>
    </row>
    <row r="49361">
      <c r="N49361" s="28"/>
      <c r="O49361" s="28"/>
      <c r="U49361" s="28"/>
    </row>
    <row r="49362">
      <c r="N49362" s="28"/>
      <c r="O49362" s="28"/>
      <c r="U49362" s="28"/>
    </row>
    <row r="49363">
      <c r="N49363" s="28"/>
      <c r="O49363" s="28"/>
      <c r="U49363" s="28"/>
    </row>
    <row r="49364">
      <c r="N49364" s="28"/>
      <c r="O49364" s="28"/>
      <c r="U49364" s="28"/>
    </row>
    <row r="49365">
      <c r="N49365" s="28"/>
      <c r="O49365" s="28"/>
      <c r="U49365" s="28"/>
    </row>
    <row r="49366">
      <c r="N49366" s="28"/>
      <c r="O49366" s="28"/>
      <c r="U49366" s="28"/>
    </row>
    <row r="49367">
      <c r="N49367" s="28"/>
      <c r="O49367" s="28"/>
      <c r="U49367" s="28"/>
    </row>
    <row r="49368">
      <c r="N49368" s="28"/>
      <c r="O49368" s="28"/>
      <c r="U49368" s="28"/>
    </row>
    <row r="49369">
      <c r="N49369" s="28"/>
      <c r="O49369" s="28"/>
      <c r="U49369" s="28"/>
    </row>
    <row r="49370">
      <c r="N49370" s="28"/>
      <c r="O49370" s="28"/>
      <c r="U49370" s="28"/>
    </row>
    <row r="49371">
      <c r="N49371" s="28"/>
      <c r="O49371" s="28"/>
      <c r="U49371" s="28"/>
    </row>
    <row r="49372">
      <c r="N49372" s="28"/>
      <c r="O49372" s="28"/>
      <c r="U49372" s="28"/>
    </row>
    <row r="49373">
      <c r="N49373" s="28"/>
      <c r="O49373" s="28"/>
      <c r="U49373" s="28"/>
    </row>
    <row r="49374">
      <c r="N49374" s="28"/>
      <c r="O49374" s="28"/>
      <c r="U49374" s="28"/>
    </row>
    <row r="49375">
      <c r="N49375" s="28"/>
      <c r="O49375" s="28"/>
      <c r="U49375" s="28"/>
    </row>
    <row r="49376">
      <c r="N49376" s="28"/>
      <c r="O49376" s="28"/>
      <c r="U49376" s="28"/>
    </row>
    <row r="49377">
      <c r="N49377" s="28"/>
      <c r="O49377" s="28"/>
      <c r="U49377" s="28"/>
    </row>
    <row r="49378">
      <c r="N49378" s="28"/>
      <c r="O49378" s="28"/>
      <c r="U49378" s="28"/>
    </row>
    <row r="49379">
      <c r="N49379" s="28"/>
      <c r="O49379" s="28"/>
      <c r="U49379" s="28"/>
    </row>
    <row r="49380">
      <c r="N49380" s="28"/>
      <c r="O49380" s="28"/>
      <c r="U49380" s="28"/>
    </row>
    <row r="49381">
      <c r="N49381" s="28"/>
      <c r="O49381" s="28"/>
      <c r="U49381" s="28"/>
    </row>
    <row r="49382">
      <c r="N49382" s="28"/>
      <c r="O49382" s="28"/>
      <c r="U49382" s="28"/>
    </row>
    <row r="49383">
      <c r="N49383" s="28"/>
      <c r="O49383" s="28"/>
      <c r="U49383" s="28"/>
    </row>
    <row r="49384">
      <c r="N49384" s="28"/>
      <c r="O49384" s="28"/>
      <c r="U49384" s="28"/>
    </row>
    <row r="49385">
      <c r="N49385" s="28"/>
      <c r="O49385" s="28"/>
      <c r="U49385" s="28"/>
    </row>
    <row r="49386">
      <c r="N49386" s="28"/>
      <c r="O49386" s="28"/>
      <c r="U49386" s="28"/>
    </row>
    <row r="49387">
      <c r="N49387" s="28"/>
      <c r="O49387" s="28"/>
      <c r="U49387" s="28"/>
    </row>
    <row r="49388">
      <c r="N49388" s="28"/>
      <c r="O49388" s="28"/>
      <c r="U49388" s="28"/>
    </row>
    <row r="49389">
      <c r="N49389" s="28"/>
      <c r="O49389" s="28"/>
      <c r="U49389" s="28"/>
    </row>
    <row r="49390">
      <c r="N49390" s="28"/>
      <c r="O49390" s="28"/>
      <c r="U49390" s="28"/>
    </row>
    <row r="49391">
      <c r="N49391" s="28"/>
      <c r="O49391" s="28"/>
      <c r="U49391" s="28"/>
    </row>
    <row r="49392">
      <c r="N49392" s="28"/>
      <c r="O49392" s="28"/>
      <c r="U49392" s="28"/>
    </row>
    <row r="49393">
      <c r="N49393" s="28"/>
      <c r="O49393" s="28"/>
      <c r="U49393" s="28"/>
    </row>
    <row r="49394">
      <c r="N49394" s="28"/>
      <c r="O49394" s="28"/>
      <c r="U49394" s="28"/>
    </row>
    <row r="49395">
      <c r="N49395" s="28"/>
      <c r="O49395" s="28"/>
      <c r="U49395" s="28"/>
    </row>
    <row r="49396">
      <c r="N49396" s="28"/>
      <c r="O49396" s="28"/>
      <c r="U49396" s="28"/>
    </row>
    <row r="49397">
      <c r="N49397" s="28"/>
      <c r="O49397" s="28"/>
      <c r="U49397" s="28"/>
    </row>
    <row r="49398">
      <c r="N49398" s="28"/>
      <c r="O49398" s="28"/>
      <c r="U49398" s="28"/>
    </row>
    <row r="49399">
      <c r="N49399" s="28"/>
      <c r="O49399" s="28"/>
      <c r="U49399" s="28"/>
    </row>
    <row r="49400">
      <c r="N49400" s="28"/>
      <c r="O49400" s="28"/>
      <c r="U49400" s="28"/>
    </row>
    <row r="49401">
      <c r="N49401" s="28"/>
      <c r="O49401" s="28"/>
      <c r="U49401" s="28"/>
    </row>
    <row r="49402">
      <c r="N49402" s="28"/>
      <c r="O49402" s="28"/>
      <c r="U49402" s="28"/>
    </row>
    <row r="49403">
      <c r="N49403" s="28"/>
      <c r="O49403" s="28"/>
      <c r="U49403" s="28"/>
    </row>
    <row r="49404">
      <c r="N49404" s="28"/>
      <c r="O49404" s="28"/>
      <c r="U49404" s="28"/>
    </row>
    <row r="49405">
      <c r="N49405" s="28"/>
      <c r="O49405" s="28"/>
      <c r="U49405" s="28"/>
    </row>
    <row r="49406">
      <c r="N49406" s="28"/>
      <c r="O49406" s="28"/>
      <c r="U49406" s="28"/>
    </row>
    <row r="49407">
      <c r="N49407" s="28"/>
      <c r="O49407" s="28"/>
      <c r="U49407" s="28"/>
    </row>
    <row r="49408">
      <c r="N49408" s="28"/>
      <c r="O49408" s="28"/>
      <c r="U49408" s="28"/>
    </row>
    <row r="49409">
      <c r="N49409" s="28"/>
      <c r="O49409" s="28"/>
      <c r="U49409" s="28"/>
    </row>
    <row r="49410">
      <c r="N49410" s="28"/>
      <c r="O49410" s="28"/>
      <c r="U49410" s="28"/>
    </row>
    <row r="49411">
      <c r="N49411" s="28"/>
      <c r="O49411" s="28"/>
      <c r="U49411" s="28"/>
    </row>
    <row r="49412">
      <c r="N49412" s="28"/>
      <c r="O49412" s="28"/>
      <c r="U49412" s="28"/>
    </row>
    <row r="49413">
      <c r="N49413" s="28"/>
      <c r="O49413" s="28"/>
      <c r="U49413" s="28"/>
    </row>
    <row r="49414">
      <c r="N49414" s="28"/>
      <c r="O49414" s="28"/>
      <c r="U49414" s="28"/>
    </row>
    <row r="49415">
      <c r="N49415" s="28"/>
      <c r="O49415" s="28"/>
      <c r="U49415" s="28"/>
    </row>
    <row r="49416">
      <c r="N49416" s="28"/>
      <c r="O49416" s="28"/>
      <c r="U49416" s="28"/>
    </row>
    <row r="49417">
      <c r="N49417" s="28"/>
      <c r="O49417" s="28"/>
      <c r="U49417" s="28"/>
    </row>
    <row r="49418">
      <c r="N49418" s="28"/>
      <c r="O49418" s="28"/>
      <c r="U49418" s="28"/>
    </row>
    <row r="49419">
      <c r="N49419" s="28"/>
      <c r="O49419" s="28"/>
      <c r="U49419" s="28"/>
    </row>
    <row r="49420">
      <c r="N49420" s="28"/>
      <c r="O49420" s="28"/>
      <c r="U49420" s="28"/>
    </row>
    <row r="49421">
      <c r="N49421" s="28"/>
      <c r="O49421" s="28"/>
      <c r="U49421" s="28"/>
    </row>
    <row r="49422">
      <c r="N49422" s="28"/>
      <c r="O49422" s="28"/>
      <c r="U49422" s="28"/>
    </row>
    <row r="49423">
      <c r="N49423" s="28"/>
      <c r="O49423" s="28"/>
      <c r="U49423" s="28"/>
    </row>
    <row r="49424">
      <c r="N49424" s="28"/>
      <c r="O49424" s="28"/>
      <c r="U49424" s="28"/>
    </row>
    <row r="49425">
      <c r="N49425" s="28"/>
      <c r="O49425" s="28"/>
      <c r="U49425" s="28"/>
    </row>
    <row r="49426">
      <c r="N49426" s="28"/>
      <c r="O49426" s="28"/>
      <c r="U49426" s="28"/>
    </row>
    <row r="49427">
      <c r="N49427" s="28"/>
      <c r="O49427" s="28"/>
      <c r="U49427" s="28"/>
    </row>
    <row r="49428">
      <c r="N49428" s="28"/>
      <c r="O49428" s="28"/>
      <c r="U49428" s="28"/>
    </row>
    <row r="49429">
      <c r="N49429" s="28"/>
      <c r="O49429" s="28"/>
      <c r="U49429" s="28"/>
    </row>
    <row r="49430">
      <c r="N49430" s="28"/>
      <c r="O49430" s="28"/>
      <c r="U49430" s="28"/>
    </row>
    <row r="49431">
      <c r="N49431" s="28"/>
      <c r="O49431" s="28"/>
      <c r="U49431" s="28"/>
    </row>
    <row r="49432">
      <c r="N49432" s="28"/>
      <c r="O49432" s="28"/>
      <c r="U49432" s="28"/>
    </row>
    <row r="49433">
      <c r="N49433" s="28"/>
      <c r="O49433" s="28"/>
      <c r="U49433" s="28"/>
    </row>
    <row r="49434">
      <c r="N49434" s="28"/>
      <c r="O49434" s="28"/>
      <c r="U49434" s="28"/>
    </row>
    <row r="49435">
      <c r="N49435" s="28"/>
      <c r="O49435" s="28"/>
      <c r="U49435" s="28"/>
    </row>
    <row r="49436">
      <c r="N49436" s="28"/>
      <c r="O49436" s="28"/>
      <c r="U49436" s="28"/>
    </row>
    <row r="49437">
      <c r="N49437" s="28"/>
      <c r="O49437" s="28"/>
      <c r="U49437" s="28"/>
    </row>
    <row r="49438">
      <c r="N49438" s="28"/>
      <c r="O49438" s="28"/>
      <c r="U49438" s="28"/>
    </row>
    <row r="49439">
      <c r="N49439" s="28"/>
      <c r="O49439" s="28"/>
      <c r="U49439" s="28"/>
    </row>
    <row r="49440">
      <c r="N49440" s="28"/>
      <c r="O49440" s="28"/>
      <c r="U49440" s="28"/>
    </row>
    <row r="49441">
      <c r="N49441" s="28"/>
      <c r="O49441" s="28"/>
      <c r="U49441" s="28"/>
    </row>
    <row r="49442">
      <c r="N49442" s="28"/>
      <c r="O49442" s="28"/>
      <c r="U49442" s="28"/>
    </row>
    <row r="49443">
      <c r="N49443" s="28"/>
      <c r="O49443" s="28"/>
      <c r="U49443" s="28"/>
    </row>
    <row r="49444">
      <c r="N49444" s="28"/>
      <c r="O49444" s="28"/>
      <c r="U49444" s="28"/>
    </row>
    <row r="49445">
      <c r="N49445" s="28"/>
      <c r="O49445" s="28"/>
      <c r="U49445" s="28"/>
    </row>
    <row r="49446">
      <c r="N49446" s="28"/>
      <c r="O49446" s="28"/>
      <c r="U49446" s="28"/>
    </row>
    <row r="49447">
      <c r="N49447" s="28"/>
      <c r="O49447" s="28"/>
      <c r="U49447" s="28"/>
    </row>
    <row r="49448">
      <c r="N49448" s="28"/>
      <c r="O49448" s="28"/>
      <c r="U49448" s="28"/>
    </row>
    <row r="49449">
      <c r="N49449" s="28"/>
      <c r="O49449" s="28"/>
      <c r="U49449" s="28"/>
    </row>
    <row r="49450">
      <c r="N49450" s="28"/>
      <c r="O49450" s="28"/>
      <c r="U49450" s="28"/>
    </row>
    <row r="49451">
      <c r="N49451" s="28"/>
      <c r="O49451" s="28"/>
      <c r="U49451" s="28"/>
    </row>
    <row r="49452">
      <c r="N49452" s="28"/>
      <c r="O49452" s="28"/>
      <c r="U49452" s="28"/>
    </row>
    <row r="49453">
      <c r="N49453" s="28"/>
      <c r="O49453" s="28"/>
      <c r="U49453" s="28"/>
    </row>
    <row r="49454">
      <c r="N49454" s="28"/>
      <c r="O49454" s="28"/>
      <c r="U49454" s="28"/>
    </row>
    <row r="49455">
      <c r="N49455" s="28"/>
      <c r="O49455" s="28"/>
      <c r="U49455" s="28"/>
    </row>
    <row r="49456">
      <c r="N49456" s="28"/>
      <c r="O49456" s="28"/>
      <c r="U49456" s="28"/>
    </row>
    <row r="49457">
      <c r="N49457" s="28"/>
      <c r="O49457" s="28"/>
      <c r="U49457" s="28"/>
    </row>
    <row r="49458">
      <c r="N49458" s="28"/>
      <c r="O49458" s="28"/>
      <c r="U49458" s="28"/>
    </row>
    <row r="49459">
      <c r="N49459" s="28"/>
      <c r="O49459" s="28"/>
      <c r="U49459" s="28"/>
    </row>
    <row r="49460">
      <c r="N49460" s="28"/>
      <c r="O49460" s="28"/>
      <c r="U49460" s="28"/>
    </row>
    <row r="49461">
      <c r="N49461" s="28"/>
      <c r="O49461" s="28"/>
      <c r="U49461" s="28"/>
    </row>
    <row r="49462">
      <c r="N49462" s="28"/>
      <c r="O49462" s="28"/>
      <c r="U49462" s="28"/>
    </row>
    <row r="49463">
      <c r="N49463" s="28"/>
      <c r="O49463" s="28"/>
      <c r="U49463" s="28"/>
    </row>
    <row r="49464">
      <c r="N49464" s="28"/>
      <c r="O49464" s="28"/>
      <c r="U49464" s="28"/>
    </row>
    <row r="49465">
      <c r="N49465" s="28"/>
      <c r="O49465" s="28"/>
      <c r="U49465" s="28"/>
    </row>
    <row r="49466">
      <c r="N49466" s="28"/>
      <c r="O49466" s="28"/>
      <c r="U49466" s="28"/>
    </row>
    <row r="49467">
      <c r="N49467" s="28"/>
      <c r="O49467" s="28"/>
      <c r="U49467" s="28"/>
    </row>
    <row r="49468">
      <c r="N49468" s="28"/>
      <c r="O49468" s="28"/>
      <c r="U49468" s="28"/>
    </row>
    <row r="49469">
      <c r="N49469" s="28"/>
      <c r="O49469" s="28"/>
      <c r="U49469" s="28"/>
    </row>
    <row r="49470">
      <c r="N49470" s="28"/>
      <c r="O49470" s="28"/>
      <c r="U49470" s="28"/>
    </row>
    <row r="49471">
      <c r="N49471" s="28"/>
      <c r="O49471" s="28"/>
      <c r="U49471" s="28"/>
    </row>
    <row r="49472">
      <c r="N49472" s="28"/>
      <c r="O49472" s="28"/>
      <c r="U49472" s="28"/>
    </row>
    <row r="49473">
      <c r="N49473" s="28"/>
      <c r="O49473" s="28"/>
      <c r="U49473" s="28"/>
    </row>
    <row r="49474">
      <c r="N49474" s="28"/>
      <c r="O49474" s="28"/>
      <c r="U49474" s="28"/>
    </row>
    <row r="49475">
      <c r="N49475" s="28"/>
      <c r="O49475" s="28"/>
      <c r="U49475" s="28"/>
    </row>
    <row r="49476">
      <c r="N49476" s="28"/>
      <c r="O49476" s="28"/>
      <c r="U49476" s="28"/>
    </row>
    <row r="49477">
      <c r="N49477" s="28"/>
      <c r="O49477" s="28"/>
      <c r="U49477" s="28"/>
    </row>
    <row r="49478">
      <c r="N49478" s="28"/>
      <c r="O49478" s="28"/>
      <c r="U49478" s="28"/>
    </row>
    <row r="49479">
      <c r="N49479" s="28"/>
      <c r="O49479" s="28"/>
      <c r="U49479" s="28"/>
    </row>
    <row r="49480">
      <c r="N49480" s="28"/>
      <c r="O49480" s="28"/>
      <c r="U49480" s="28"/>
    </row>
    <row r="49481">
      <c r="N49481" s="28"/>
      <c r="O49481" s="28"/>
      <c r="U49481" s="28"/>
    </row>
    <row r="49482">
      <c r="N49482" s="28"/>
      <c r="O49482" s="28"/>
      <c r="U49482" s="28"/>
    </row>
    <row r="49483">
      <c r="N49483" s="28"/>
      <c r="O49483" s="28"/>
      <c r="U49483" s="28"/>
    </row>
    <row r="49484">
      <c r="N49484" s="28"/>
      <c r="O49484" s="28"/>
      <c r="U49484" s="28"/>
    </row>
    <row r="49485">
      <c r="N49485" s="28"/>
      <c r="O49485" s="28"/>
      <c r="U49485" s="28"/>
    </row>
    <row r="49486">
      <c r="N49486" s="28"/>
      <c r="O49486" s="28"/>
      <c r="U49486" s="28"/>
    </row>
    <row r="49487">
      <c r="N49487" s="28"/>
      <c r="O49487" s="28"/>
      <c r="U49487" s="28"/>
    </row>
    <row r="49488">
      <c r="N49488" s="28"/>
      <c r="O49488" s="28"/>
      <c r="U49488" s="28"/>
    </row>
    <row r="49489">
      <c r="N49489" s="28"/>
      <c r="O49489" s="28"/>
      <c r="U49489" s="28"/>
    </row>
    <row r="49490">
      <c r="N49490" s="28"/>
      <c r="O49490" s="28"/>
      <c r="U49490" s="28"/>
    </row>
    <row r="49491">
      <c r="N49491" s="28"/>
      <c r="O49491" s="28"/>
      <c r="U49491" s="28"/>
    </row>
    <row r="49492">
      <c r="N49492" s="28"/>
      <c r="O49492" s="28"/>
      <c r="U49492" s="28"/>
    </row>
    <row r="49493">
      <c r="N49493" s="28"/>
      <c r="O49493" s="28"/>
      <c r="U49493" s="28"/>
    </row>
    <row r="49494">
      <c r="N49494" s="28"/>
      <c r="O49494" s="28"/>
      <c r="U49494" s="28"/>
    </row>
    <row r="49495">
      <c r="N49495" s="28"/>
      <c r="O49495" s="28"/>
      <c r="U49495" s="28"/>
    </row>
    <row r="49496">
      <c r="N49496" s="28"/>
      <c r="O49496" s="28"/>
      <c r="U49496" s="28"/>
    </row>
    <row r="49497">
      <c r="N49497" s="28"/>
      <c r="O49497" s="28"/>
      <c r="U49497" s="28"/>
    </row>
    <row r="49498">
      <c r="N49498" s="28"/>
      <c r="O49498" s="28"/>
      <c r="U49498" s="28"/>
    </row>
    <row r="49499">
      <c r="N49499" s="28"/>
      <c r="O49499" s="28"/>
      <c r="U49499" s="28"/>
    </row>
    <row r="49500">
      <c r="N49500" s="28"/>
      <c r="O49500" s="28"/>
      <c r="U49500" s="28"/>
    </row>
    <row r="49501">
      <c r="N49501" s="28"/>
      <c r="O49501" s="28"/>
      <c r="U49501" s="28"/>
    </row>
    <row r="49502">
      <c r="N49502" s="28"/>
      <c r="O49502" s="28"/>
      <c r="U49502" s="28"/>
    </row>
    <row r="49503">
      <c r="N49503" s="28"/>
      <c r="O49503" s="28"/>
      <c r="U49503" s="28"/>
    </row>
    <row r="49504">
      <c r="N49504" s="28"/>
      <c r="O49504" s="28"/>
      <c r="U49504" s="28"/>
    </row>
    <row r="49505">
      <c r="N49505" s="28"/>
      <c r="O49505" s="28"/>
      <c r="U49505" s="28"/>
    </row>
    <row r="49506">
      <c r="N49506" s="28"/>
      <c r="O49506" s="28"/>
      <c r="U49506" s="28"/>
    </row>
    <row r="49507">
      <c r="N49507" s="28"/>
      <c r="O49507" s="28"/>
      <c r="U49507" s="28"/>
    </row>
    <row r="49508">
      <c r="N49508" s="28"/>
      <c r="O49508" s="28"/>
      <c r="U49508" s="28"/>
    </row>
    <row r="49509">
      <c r="N49509" s="28"/>
      <c r="O49509" s="28"/>
      <c r="U49509" s="28"/>
    </row>
    <row r="49510">
      <c r="N49510" s="28"/>
      <c r="O49510" s="28"/>
      <c r="U49510" s="28"/>
    </row>
    <row r="49511">
      <c r="N49511" s="28"/>
      <c r="O49511" s="28"/>
      <c r="U49511" s="28"/>
    </row>
    <row r="49512">
      <c r="N49512" s="28"/>
      <c r="O49512" s="28"/>
      <c r="U49512" s="28"/>
    </row>
    <row r="49513">
      <c r="N49513" s="28"/>
      <c r="O49513" s="28"/>
      <c r="U49513" s="28"/>
    </row>
    <row r="49514">
      <c r="N49514" s="28"/>
      <c r="O49514" s="28"/>
      <c r="U49514" s="28"/>
    </row>
    <row r="49515">
      <c r="N49515" s="28"/>
      <c r="O49515" s="28"/>
      <c r="U49515" s="28"/>
    </row>
    <row r="49516">
      <c r="N49516" s="28"/>
      <c r="O49516" s="28"/>
      <c r="U49516" s="28"/>
    </row>
    <row r="49517">
      <c r="N49517" s="28"/>
      <c r="O49517" s="28"/>
      <c r="U49517" s="28"/>
    </row>
    <row r="49518">
      <c r="N49518" s="28"/>
      <c r="O49518" s="28"/>
      <c r="U49518" s="28"/>
    </row>
    <row r="49519">
      <c r="N49519" s="28"/>
      <c r="O49519" s="28"/>
      <c r="U49519" s="28"/>
    </row>
    <row r="49520">
      <c r="N49520" s="28"/>
      <c r="O49520" s="28"/>
      <c r="U49520" s="28"/>
    </row>
    <row r="49521">
      <c r="N49521" s="28"/>
      <c r="O49521" s="28"/>
      <c r="U49521" s="28"/>
    </row>
    <row r="49522">
      <c r="N49522" s="28"/>
      <c r="O49522" s="28"/>
      <c r="U49522" s="28"/>
    </row>
    <row r="49523">
      <c r="N49523" s="28"/>
      <c r="O49523" s="28"/>
      <c r="U49523" s="28"/>
    </row>
    <row r="49524">
      <c r="N49524" s="28"/>
      <c r="O49524" s="28"/>
      <c r="U49524" s="28"/>
    </row>
    <row r="49525">
      <c r="N49525" s="28"/>
      <c r="O49525" s="28"/>
      <c r="U49525" s="28"/>
    </row>
    <row r="49526">
      <c r="N49526" s="28"/>
      <c r="O49526" s="28"/>
      <c r="U49526" s="28"/>
    </row>
    <row r="49527">
      <c r="N49527" s="28"/>
      <c r="O49527" s="28"/>
      <c r="U49527" s="28"/>
    </row>
    <row r="49528">
      <c r="N49528" s="28"/>
      <c r="O49528" s="28"/>
      <c r="U49528" s="28"/>
    </row>
    <row r="49529">
      <c r="N49529" s="28"/>
      <c r="O49529" s="28"/>
      <c r="U49529" s="28"/>
    </row>
    <row r="49530">
      <c r="N49530" s="28"/>
      <c r="O49530" s="28"/>
      <c r="U49530" s="28"/>
    </row>
    <row r="49531">
      <c r="N49531" s="28"/>
      <c r="O49531" s="28"/>
      <c r="U49531" s="28"/>
    </row>
    <row r="49532">
      <c r="N49532" s="28"/>
      <c r="O49532" s="28"/>
      <c r="U49532" s="28"/>
    </row>
    <row r="49533">
      <c r="N49533" s="28"/>
      <c r="O49533" s="28"/>
      <c r="U49533" s="28"/>
    </row>
    <row r="49534">
      <c r="N49534" s="28"/>
      <c r="O49534" s="28"/>
      <c r="U49534" s="28"/>
    </row>
    <row r="49535">
      <c r="N49535" s="28"/>
      <c r="O49535" s="28"/>
      <c r="U49535" s="28"/>
    </row>
    <row r="49536">
      <c r="N49536" s="28"/>
      <c r="O49536" s="28"/>
      <c r="U49536" s="28"/>
    </row>
    <row r="49537">
      <c r="N49537" s="28"/>
      <c r="O49537" s="28"/>
      <c r="U49537" s="28"/>
    </row>
    <row r="49538">
      <c r="N49538" s="28"/>
      <c r="O49538" s="28"/>
      <c r="U49538" s="28"/>
    </row>
    <row r="49539">
      <c r="N49539" s="28"/>
      <c r="O49539" s="28"/>
      <c r="U49539" s="28"/>
    </row>
    <row r="49540">
      <c r="N49540" s="28"/>
      <c r="O49540" s="28"/>
      <c r="U49540" s="28"/>
    </row>
    <row r="49541">
      <c r="N49541" s="28"/>
      <c r="O49541" s="28"/>
      <c r="U49541" s="28"/>
    </row>
    <row r="49542">
      <c r="N49542" s="28"/>
      <c r="O49542" s="28"/>
      <c r="U49542" s="28"/>
    </row>
    <row r="49543">
      <c r="N49543" s="28"/>
      <c r="O49543" s="28"/>
      <c r="U49543" s="28"/>
    </row>
    <row r="49544">
      <c r="N49544" s="28"/>
      <c r="O49544" s="28"/>
      <c r="U49544" s="28"/>
    </row>
    <row r="49545">
      <c r="N49545" s="28"/>
      <c r="O49545" s="28"/>
      <c r="U49545" s="28"/>
    </row>
    <row r="49546">
      <c r="N49546" s="28"/>
      <c r="O49546" s="28"/>
      <c r="U49546" s="28"/>
    </row>
    <row r="49547">
      <c r="N49547" s="28"/>
      <c r="O49547" s="28"/>
      <c r="U49547" s="28"/>
    </row>
    <row r="49548">
      <c r="N49548" s="28"/>
      <c r="O49548" s="28"/>
      <c r="U49548" s="28"/>
    </row>
    <row r="49549">
      <c r="N49549" s="28"/>
      <c r="O49549" s="28"/>
      <c r="U49549" s="28"/>
    </row>
    <row r="49550">
      <c r="N49550" s="28"/>
      <c r="O49550" s="28"/>
      <c r="U49550" s="28"/>
    </row>
    <row r="49551">
      <c r="N49551" s="28"/>
      <c r="O49551" s="28"/>
      <c r="U49551" s="28"/>
    </row>
    <row r="49552">
      <c r="N49552" s="28"/>
      <c r="O49552" s="28"/>
      <c r="U49552" s="28"/>
    </row>
    <row r="49553">
      <c r="N49553" s="28"/>
      <c r="O49553" s="28"/>
      <c r="U49553" s="28"/>
    </row>
    <row r="49554">
      <c r="N49554" s="28"/>
      <c r="O49554" s="28"/>
      <c r="U49554" s="28"/>
    </row>
    <row r="49555">
      <c r="N49555" s="28"/>
      <c r="O49555" s="28"/>
      <c r="U49555" s="28"/>
    </row>
    <row r="49556">
      <c r="N49556" s="28"/>
      <c r="O49556" s="28"/>
      <c r="U49556" s="28"/>
    </row>
    <row r="49557">
      <c r="N49557" s="28"/>
      <c r="O49557" s="28"/>
      <c r="U49557" s="28"/>
    </row>
    <row r="49558">
      <c r="N49558" s="28"/>
      <c r="O49558" s="28"/>
      <c r="U49558" s="28"/>
    </row>
    <row r="49559">
      <c r="N49559" s="28"/>
      <c r="O49559" s="28"/>
      <c r="U49559" s="28"/>
    </row>
    <row r="49560">
      <c r="N49560" s="28"/>
      <c r="O49560" s="28"/>
      <c r="U49560" s="28"/>
    </row>
    <row r="49561">
      <c r="N49561" s="28"/>
      <c r="O49561" s="28"/>
      <c r="U49561" s="28"/>
    </row>
    <row r="49562">
      <c r="N49562" s="28"/>
      <c r="O49562" s="28"/>
      <c r="U49562" s="28"/>
    </row>
    <row r="49563">
      <c r="N49563" s="28"/>
      <c r="O49563" s="28"/>
      <c r="U49563" s="28"/>
    </row>
    <row r="49564">
      <c r="N49564" s="28"/>
      <c r="O49564" s="28"/>
      <c r="U49564" s="28"/>
    </row>
    <row r="49565">
      <c r="N49565" s="28"/>
      <c r="O49565" s="28"/>
      <c r="U49565" s="28"/>
    </row>
    <row r="49566">
      <c r="N49566" s="28"/>
      <c r="O49566" s="28"/>
      <c r="U49566" s="28"/>
    </row>
    <row r="49567">
      <c r="N49567" s="28"/>
      <c r="O49567" s="28"/>
      <c r="U49567" s="28"/>
    </row>
    <row r="49568">
      <c r="N49568" s="28"/>
      <c r="O49568" s="28"/>
      <c r="U49568" s="28"/>
    </row>
    <row r="49569">
      <c r="N49569" s="28"/>
      <c r="O49569" s="28"/>
      <c r="U49569" s="28"/>
    </row>
    <row r="49570">
      <c r="N49570" s="28"/>
      <c r="O49570" s="28"/>
      <c r="U49570" s="28"/>
    </row>
    <row r="49571">
      <c r="N49571" s="28"/>
      <c r="O49571" s="28"/>
      <c r="U49571" s="28"/>
    </row>
    <row r="49572">
      <c r="N49572" s="28"/>
      <c r="O49572" s="28"/>
      <c r="U49572" s="28"/>
    </row>
    <row r="49573">
      <c r="N49573" s="28"/>
      <c r="O49573" s="28"/>
      <c r="U49573" s="28"/>
    </row>
    <row r="49574">
      <c r="N49574" s="28"/>
      <c r="O49574" s="28"/>
      <c r="U49574" s="28"/>
    </row>
    <row r="49575">
      <c r="N49575" s="28"/>
      <c r="O49575" s="28"/>
      <c r="U49575" s="28"/>
    </row>
    <row r="49576">
      <c r="N49576" s="28"/>
      <c r="O49576" s="28"/>
      <c r="U49576" s="28"/>
    </row>
    <row r="49577">
      <c r="N49577" s="28"/>
      <c r="O49577" s="28"/>
      <c r="U49577" s="28"/>
    </row>
    <row r="49578">
      <c r="N49578" s="28"/>
      <c r="O49578" s="28"/>
      <c r="U49578" s="28"/>
    </row>
    <row r="49579">
      <c r="N49579" s="28"/>
      <c r="O49579" s="28"/>
      <c r="U49579" s="28"/>
    </row>
    <row r="49580">
      <c r="N49580" s="28"/>
      <c r="O49580" s="28"/>
      <c r="U49580" s="28"/>
    </row>
    <row r="49581">
      <c r="N49581" s="28"/>
      <c r="O49581" s="28"/>
      <c r="U49581" s="28"/>
    </row>
    <row r="49582">
      <c r="N49582" s="28"/>
      <c r="O49582" s="28"/>
      <c r="U49582" s="28"/>
    </row>
    <row r="49583">
      <c r="N49583" s="28"/>
      <c r="O49583" s="28"/>
      <c r="U49583" s="28"/>
    </row>
    <row r="49584">
      <c r="N49584" s="28"/>
      <c r="O49584" s="28"/>
      <c r="U49584" s="28"/>
    </row>
    <row r="49585">
      <c r="N49585" s="28"/>
      <c r="O49585" s="28"/>
      <c r="U49585" s="28"/>
    </row>
    <row r="49586">
      <c r="N49586" s="28"/>
      <c r="O49586" s="28"/>
      <c r="U49586" s="28"/>
    </row>
    <row r="49587">
      <c r="N49587" s="28"/>
      <c r="O49587" s="28"/>
      <c r="U49587" s="28"/>
    </row>
    <row r="49588">
      <c r="N49588" s="28"/>
      <c r="O49588" s="28"/>
      <c r="U49588" s="28"/>
    </row>
    <row r="49589">
      <c r="N49589" s="28"/>
      <c r="O49589" s="28"/>
      <c r="U49589" s="28"/>
    </row>
    <row r="49590">
      <c r="N49590" s="28"/>
      <c r="O49590" s="28"/>
      <c r="U49590" s="28"/>
    </row>
    <row r="49591">
      <c r="N49591" s="28"/>
      <c r="O49591" s="28"/>
      <c r="U49591" s="28"/>
    </row>
    <row r="49592">
      <c r="N49592" s="28"/>
      <c r="O49592" s="28"/>
      <c r="U49592" s="28"/>
    </row>
    <row r="49593">
      <c r="N49593" s="28"/>
      <c r="O49593" s="28"/>
      <c r="U49593" s="28"/>
    </row>
    <row r="49594">
      <c r="N49594" s="28"/>
      <c r="O49594" s="28"/>
      <c r="U49594" s="28"/>
    </row>
    <row r="49595">
      <c r="N49595" s="28"/>
      <c r="O49595" s="28"/>
      <c r="U49595" s="28"/>
    </row>
    <row r="49596">
      <c r="N49596" s="28"/>
      <c r="O49596" s="28"/>
      <c r="U49596" s="28"/>
    </row>
    <row r="49597">
      <c r="N49597" s="28"/>
      <c r="O49597" s="28"/>
      <c r="U49597" s="28"/>
    </row>
    <row r="49598">
      <c r="N49598" s="28"/>
      <c r="O49598" s="28"/>
      <c r="U49598" s="28"/>
    </row>
    <row r="49599">
      <c r="N49599" s="28"/>
      <c r="O49599" s="28"/>
      <c r="U49599" s="28"/>
    </row>
    <row r="49600">
      <c r="N49600" s="28"/>
      <c r="O49600" s="28"/>
      <c r="U49600" s="28"/>
    </row>
    <row r="49601">
      <c r="N49601" s="28"/>
      <c r="O49601" s="28"/>
      <c r="U49601" s="28"/>
    </row>
    <row r="49602">
      <c r="N49602" s="28"/>
      <c r="O49602" s="28"/>
      <c r="U49602" s="28"/>
    </row>
    <row r="49603">
      <c r="N49603" s="28"/>
      <c r="O49603" s="28"/>
      <c r="U49603" s="28"/>
    </row>
    <row r="49604">
      <c r="N49604" s="28"/>
      <c r="O49604" s="28"/>
      <c r="U49604" s="28"/>
    </row>
    <row r="49605">
      <c r="N49605" s="28"/>
      <c r="O49605" s="28"/>
      <c r="U49605" s="28"/>
    </row>
    <row r="49606">
      <c r="N49606" s="28"/>
      <c r="O49606" s="28"/>
      <c r="U49606" s="28"/>
    </row>
    <row r="49607">
      <c r="N49607" s="28"/>
      <c r="O49607" s="28"/>
      <c r="U49607" s="28"/>
    </row>
    <row r="49608">
      <c r="N49608" s="28"/>
      <c r="O49608" s="28"/>
      <c r="U49608" s="28"/>
    </row>
    <row r="49609">
      <c r="N49609" s="28"/>
      <c r="O49609" s="28"/>
      <c r="U49609" s="28"/>
    </row>
    <row r="49610">
      <c r="N49610" s="28"/>
      <c r="O49610" s="28"/>
      <c r="U49610" s="28"/>
    </row>
    <row r="49611">
      <c r="N49611" s="28"/>
      <c r="O49611" s="28"/>
      <c r="U49611" s="28"/>
    </row>
    <row r="49612">
      <c r="N49612" s="28"/>
      <c r="O49612" s="28"/>
      <c r="U49612" s="28"/>
    </row>
    <row r="49613">
      <c r="N49613" s="28"/>
      <c r="O49613" s="28"/>
      <c r="U49613" s="28"/>
    </row>
    <row r="49614">
      <c r="N49614" s="28"/>
      <c r="O49614" s="28"/>
      <c r="U49614" s="28"/>
    </row>
    <row r="49615">
      <c r="N49615" s="28"/>
      <c r="O49615" s="28"/>
      <c r="U49615" s="28"/>
    </row>
    <row r="49616">
      <c r="N49616" s="28"/>
      <c r="O49616" s="28"/>
      <c r="U49616" s="28"/>
    </row>
    <row r="49617">
      <c r="N49617" s="28"/>
      <c r="O49617" s="28"/>
      <c r="U49617" s="28"/>
    </row>
    <row r="49618">
      <c r="N49618" s="28"/>
      <c r="O49618" s="28"/>
      <c r="U49618" s="28"/>
    </row>
    <row r="49619">
      <c r="N49619" s="28"/>
      <c r="O49619" s="28"/>
      <c r="U49619" s="28"/>
    </row>
    <row r="49620">
      <c r="N49620" s="28"/>
      <c r="O49620" s="28"/>
      <c r="U49620" s="28"/>
    </row>
    <row r="49621">
      <c r="N49621" s="28"/>
      <c r="O49621" s="28"/>
      <c r="U49621" s="28"/>
    </row>
    <row r="49622">
      <c r="N49622" s="28"/>
      <c r="O49622" s="28"/>
      <c r="U49622" s="28"/>
    </row>
    <row r="49623">
      <c r="N49623" s="28"/>
      <c r="O49623" s="28"/>
      <c r="U49623" s="28"/>
    </row>
    <row r="49624">
      <c r="N49624" s="28"/>
      <c r="O49624" s="28"/>
      <c r="U49624" s="28"/>
    </row>
    <row r="49625">
      <c r="N49625" s="28"/>
      <c r="O49625" s="28"/>
      <c r="U49625" s="28"/>
    </row>
    <row r="49626">
      <c r="N49626" s="28"/>
      <c r="O49626" s="28"/>
      <c r="U49626" s="28"/>
    </row>
    <row r="49627">
      <c r="N49627" s="28"/>
      <c r="O49627" s="28"/>
      <c r="U49627" s="28"/>
    </row>
    <row r="49628">
      <c r="N49628" s="28"/>
      <c r="O49628" s="28"/>
      <c r="U49628" s="28"/>
    </row>
    <row r="49629">
      <c r="N49629" s="28"/>
      <c r="O49629" s="28"/>
      <c r="U49629" s="28"/>
    </row>
    <row r="49630">
      <c r="N49630" s="28"/>
      <c r="O49630" s="28"/>
      <c r="U49630" s="28"/>
    </row>
    <row r="49631">
      <c r="N49631" s="28"/>
      <c r="O49631" s="28"/>
      <c r="U49631" s="28"/>
    </row>
    <row r="49632">
      <c r="N49632" s="28"/>
      <c r="O49632" s="28"/>
      <c r="U49632" s="28"/>
    </row>
    <row r="49633">
      <c r="N49633" s="28"/>
      <c r="O49633" s="28"/>
      <c r="U49633" s="28"/>
    </row>
    <row r="49634">
      <c r="N49634" s="28"/>
      <c r="O49634" s="28"/>
      <c r="U49634" s="28"/>
    </row>
    <row r="49635">
      <c r="N49635" s="28"/>
      <c r="O49635" s="28"/>
      <c r="U49635" s="28"/>
    </row>
    <row r="49636">
      <c r="N49636" s="28"/>
      <c r="O49636" s="28"/>
      <c r="U49636" s="28"/>
    </row>
    <row r="49637">
      <c r="N49637" s="28"/>
      <c r="O49637" s="28"/>
      <c r="U49637" s="28"/>
    </row>
    <row r="49638">
      <c r="N49638" s="28"/>
      <c r="O49638" s="28"/>
      <c r="U49638" s="28"/>
    </row>
    <row r="49639">
      <c r="N49639" s="28"/>
      <c r="O49639" s="28"/>
      <c r="U49639" s="28"/>
    </row>
    <row r="49640">
      <c r="N49640" s="28"/>
      <c r="O49640" s="28"/>
      <c r="U49640" s="28"/>
    </row>
    <row r="49641">
      <c r="N49641" s="28"/>
      <c r="O49641" s="28"/>
      <c r="U49641" s="28"/>
    </row>
    <row r="49642">
      <c r="N49642" s="28"/>
      <c r="O49642" s="28"/>
      <c r="U49642" s="28"/>
    </row>
    <row r="49643">
      <c r="N49643" s="28"/>
      <c r="O49643" s="28"/>
      <c r="U49643" s="28"/>
    </row>
    <row r="49644">
      <c r="N49644" s="28"/>
      <c r="O49644" s="28"/>
      <c r="U49644" s="28"/>
    </row>
    <row r="49645">
      <c r="N49645" s="28"/>
      <c r="O49645" s="28"/>
      <c r="U49645" s="28"/>
    </row>
    <row r="49646">
      <c r="N49646" s="28"/>
      <c r="O49646" s="28"/>
      <c r="U49646" s="28"/>
    </row>
    <row r="49647">
      <c r="N49647" s="28"/>
      <c r="O49647" s="28"/>
      <c r="U49647" s="28"/>
    </row>
    <row r="49648">
      <c r="N49648" s="28"/>
      <c r="O49648" s="28"/>
      <c r="U49648" s="28"/>
    </row>
    <row r="49649">
      <c r="N49649" s="28"/>
      <c r="O49649" s="28"/>
      <c r="U49649" s="28"/>
    </row>
    <row r="49650">
      <c r="N49650" s="28"/>
      <c r="O49650" s="28"/>
      <c r="U49650" s="28"/>
    </row>
    <row r="49651">
      <c r="N49651" s="28"/>
      <c r="O49651" s="28"/>
      <c r="U49651" s="28"/>
    </row>
    <row r="49652">
      <c r="N49652" s="28"/>
      <c r="O49652" s="28"/>
      <c r="U49652" s="28"/>
    </row>
    <row r="49653">
      <c r="N49653" s="28"/>
      <c r="O49653" s="28"/>
      <c r="U49653" s="28"/>
    </row>
    <row r="49654">
      <c r="N49654" s="28"/>
      <c r="O49654" s="28"/>
      <c r="U49654" s="28"/>
    </row>
    <row r="49655">
      <c r="N49655" s="28"/>
      <c r="O49655" s="28"/>
      <c r="U49655" s="28"/>
    </row>
    <row r="49656">
      <c r="N49656" s="28"/>
      <c r="O49656" s="28"/>
      <c r="U49656" s="28"/>
    </row>
    <row r="49657">
      <c r="N49657" s="28"/>
      <c r="O49657" s="28"/>
      <c r="U49657" s="28"/>
    </row>
    <row r="49658">
      <c r="N49658" s="28"/>
      <c r="O49658" s="28"/>
      <c r="U49658" s="28"/>
    </row>
    <row r="49659">
      <c r="N49659" s="28"/>
      <c r="O49659" s="28"/>
      <c r="U49659" s="28"/>
    </row>
    <row r="49660">
      <c r="N49660" s="28"/>
      <c r="O49660" s="28"/>
      <c r="U49660" s="28"/>
    </row>
    <row r="49661">
      <c r="N49661" s="28"/>
      <c r="O49661" s="28"/>
      <c r="U49661" s="28"/>
    </row>
    <row r="49662">
      <c r="N49662" s="28"/>
      <c r="O49662" s="28"/>
      <c r="U49662" s="28"/>
    </row>
    <row r="49663">
      <c r="N49663" s="28"/>
      <c r="O49663" s="28"/>
      <c r="U49663" s="28"/>
    </row>
    <row r="49664">
      <c r="N49664" s="28"/>
      <c r="O49664" s="28"/>
      <c r="U49664" s="28"/>
    </row>
    <row r="49665">
      <c r="N49665" s="28"/>
      <c r="O49665" s="28"/>
      <c r="U49665" s="28"/>
    </row>
    <row r="49666">
      <c r="N49666" s="28"/>
      <c r="O49666" s="28"/>
      <c r="U49666" s="28"/>
    </row>
    <row r="49667">
      <c r="N49667" s="28"/>
      <c r="O49667" s="28"/>
      <c r="U49667" s="28"/>
    </row>
    <row r="49668">
      <c r="N49668" s="28"/>
      <c r="O49668" s="28"/>
      <c r="U49668" s="28"/>
    </row>
    <row r="49669">
      <c r="N49669" s="28"/>
      <c r="O49669" s="28"/>
      <c r="U49669" s="28"/>
    </row>
    <row r="49670">
      <c r="N49670" s="28"/>
      <c r="O49670" s="28"/>
      <c r="U49670" s="28"/>
    </row>
    <row r="49671">
      <c r="N49671" s="28"/>
      <c r="O49671" s="28"/>
      <c r="U49671" s="28"/>
    </row>
    <row r="49672">
      <c r="N49672" s="28"/>
      <c r="O49672" s="28"/>
      <c r="U49672" s="28"/>
    </row>
    <row r="49673">
      <c r="N49673" s="28"/>
      <c r="O49673" s="28"/>
      <c r="U49673" s="28"/>
    </row>
    <row r="49674">
      <c r="N49674" s="28"/>
      <c r="O49674" s="28"/>
      <c r="U49674" s="28"/>
    </row>
    <row r="49675">
      <c r="N49675" s="28"/>
      <c r="O49675" s="28"/>
      <c r="U49675" s="28"/>
    </row>
    <row r="49676">
      <c r="N49676" s="28"/>
      <c r="O49676" s="28"/>
      <c r="U49676" s="28"/>
    </row>
    <row r="49677">
      <c r="N49677" s="28"/>
      <c r="O49677" s="28"/>
      <c r="U49677" s="28"/>
    </row>
    <row r="49678">
      <c r="N49678" s="28"/>
      <c r="O49678" s="28"/>
      <c r="U49678" s="28"/>
    </row>
    <row r="49679">
      <c r="N49679" s="28"/>
      <c r="O49679" s="28"/>
      <c r="U49679" s="28"/>
    </row>
    <row r="49680">
      <c r="N49680" s="28"/>
      <c r="O49680" s="28"/>
      <c r="U49680" s="28"/>
    </row>
    <row r="49681">
      <c r="N49681" s="28"/>
      <c r="O49681" s="28"/>
      <c r="U49681" s="28"/>
    </row>
    <row r="49682">
      <c r="N49682" s="28"/>
      <c r="O49682" s="28"/>
      <c r="U49682" s="28"/>
    </row>
    <row r="49683">
      <c r="N49683" s="28"/>
      <c r="O49683" s="28"/>
      <c r="U49683" s="28"/>
    </row>
    <row r="49684">
      <c r="N49684" s="28"/>
      <c r="O49684" s="28"/>
      <c r="U49684" s="28"/>
    </row>
    <row r="49685">
      <c r="N49685" s="28"/>
      <c r="O49685" s="28"/>
      <c r="U49685" s="28"/>
    </row>
    <row r="49686">
      <c r="N49686" s="28"/>
      <c r="O49686" s="28"/>
      <c r="U49686" s="28"/>
    </row>
    <row r="49687">
      <c r="N49687" s="28"/>
      <c r="O49687" s="28"/>
      <c r="U49687" s="28"/>
    </row>
    <row r="49688">
      <c r="N49688" s="28"/>
      <c r="O49688" s="28"/>
      <c r="U49688" s="28"/>
    </row>
    <row r="49689">
      <c r="N49689" s="28"/>
      <c r="O49689" s="28"/>
      <c r="U49689" s="28"/>
    </row>
    <row r="49690">
      <c r="N49690" s="28"/>
      <c r="O49690" s="28"/>
      <c r="U49690" s="28"/>
    </row>
    <row r="49691">
      <c r="N49691" s="28"/>
      <c r="O49691" s="28"/>
      <c r="U49691" s="28"/>
    </row>
    <row r="49692">
      <c r="N49692" s="28"/>
      <c r="O49692" s="28"/>
      <c r="U49692" s="28"/>
    </row>
    <row r="49693">
      <c r="N49693" s="28"/>
      <c r="O49693" s="28"/>
      <c r="U49693" s="28"/>
    </row>
    <row r="49694">
      <c r="N49694" s="28"/>
      <c r="O49694" s="28"/>
      <c r="U49694" s="28"/>
    </row>
    <row r="49695">
      <c r="N49695" s="28"/>
      <c r="O49695" s="28"/>
      <c r="U49695" s="28"/>
    </row>
    <row r="49696">
      <c r="N49696" s="28"/>
      <c r="O49696" s="28"/>
      <c r="U49696" s="28"/>
    </row>
    <row r="49697">
      <c r="N49697" s="28"/>
      <c r="O49697" s="28"/>
      <c r="U49697" s="28"/>
    </row>
    <row r="49698">
      <c r="N49698" s="28"/>
      <c r="O49698" s="28"/>
      <c r="U49698" s="28"/>
    </row>
    <row r="49699">
      <c r="N49699" s="28"/>
      <c r="O49699" s="28"/>
      <c r="U49699" s="28"/>
    </row>
    <row r="49700">
      <c r="N49700" s="28"/>
      <c r="O49700" s="28"/>
      <c r="U49700" s="28"/>
    </row>
    <row r="49701">
      <c r="N49701" s="28"/>
      <c r="O49701" s="28"/>
      <c r="U49701" s="28"/>
    </row>
    <row r="49702">
      <c r="N49702" s="28"/>
      <c r="O49702" s="28"/>
      <c r="U49702" s="28"/>
    </row>
    <row r="49703">
      <c r="N49703" s="28"/>
      <c r="O49703" s="28"/>
      <c r="U49703" s="28"/>
    </row>
    <row r="49704">
      <c r="N49704" s="28"/>
      <c r="O49704" s="28"/>
      <c r="U49704" s="28"/>
    </row>
    <row r="49705">
      <c r="N49705" s="28"/>
      <c r="O49705" s="28"/>
      <c r="U49705" s="28"/>
    </row>
    <row r="49706">
      <c r="N49706" s="28"/>
      <c r="O49706" s="28"/>
      <c r="U49706" s="28"/>
    </row>
    <row r="49707">
      <c r="N49707" s="28"/>
      <c r="O49707" s="28"/>
      <c r="U49707" s="28"/>
    </row>
    <row r="49708">
      <c r="N49708" s="28"/>
      <c r="O49708" s="28"/>
      <c r="U49708" s="28"/>
    </row>
    <row r="49709">
      <c r="N49709" s="28"/>
      <c r="O49709" s="28"/>
      <c r="U49709" s="28"/>
    </row>
    <row r="49710">
      <c r="N49710" s="28"/>
      <c r="O49710" s="28"/>
      <c r="U49710" s="28"/>
    </row>
    <row r="49711">
      <c r="N49711" s="28"/>
      <c r="O49711" s="28"/>
      <c r="U49711" s="28"/>
    </row>
    <row r="49712">
      <c r="N49712" s="28"/>
      <c r="O49712" s="28"/>
      <c r="U49712" s="28"/>
    </row>
    <row r="49713">
      <c r="N49713" s="28"/>
      <c r="O49713" s="28"/>
      <c r="U49713" s="28"/>
    </row>
    <row r="49714">
      <c r="N49714" s="28"/>
      <c r="O49714" s="28"/>
      <c r="U49714" s="28"/>
    </row>
    <row r="49715">
      <c r="N49715" s="28"/>
      <c r="O49715" s="28"/>
      <c r="U49715" s="28"/>
    </row>
    <row r="49716">
      <c r="N49716" s="28"/>
      <c r="O49716" s="28"/>
      <c r="U49716" s="28"/>
    </row>
    <row r="49717">
      <c r="N49717" s="28"/>
      <c r="O49717" s="28"/>
      <c r="U49717" s="28"/>
    </row>
    <row r="49718">
      <c r="N49718" s="28"/>
      <c r="O49718" s="28"/>
      <c r="U49718" s="28"/>
    </row>
    <row r="49719">
      <c r="N49719" s="28"/>
      <c r="O49719" s="28"/>
      <c r="U49719" s="28"/>
    </row>
    <row r="49720">
      <c r="N49720" s="28"/>
      <c r="O49720" s="28"/>
      <c r="U49720" s="28"/>
    </row>
    <row r="49721">
      <c r="N49721" s="28"/>
      <c r="O49721" s="28"/>
      <c r="U49721" s="28"/>
    </row>
    <row r="49722">
      <c r="N49722" s="28"/>
      <c r="O49722" s="28"/>
      <c r="U49722" s="28"/>
    </row>
    <row r="49723">
      <c r="N49723" s="28"/>
      <c r="O49723" s="28"/>
      <c r="U49723" s="28"/>
    </row>
    <row r="49724">
      <c r="N49724" s="28"/>
      <c r="O49724" s="28"/>
      <c r="U49724" s="28"/>
    </row>
    <row r="49725">
      <c r="N49725" s="28"/>
      <c r="O49725" s="28"/>
      <c r="U49725" s="28"/>
    </row>
    <row r="49726">
      <c r="N49726" s="28"/>
      <c r="O49726" s="28"/>
      <c r="U49726" s="28"/>
    </row>
    <row r="49727">
      <c r="N49727" s="28"/>
      <c r="O49727" s="28"/>
      <c r="U49727" s="28"/>
    </row>
    <row r="49728">
      <c r="N49728" s="28"/>
      <c r="O49728" s="28"/>
      <c r="U49728" s="28"/>
    </row>
    <row r="49729">
      <c r="N49729" s="28"/>
      <c r="O49729" s="28"/>
      <c r="U49729" s="28"/>
    </row>
    <row r="49730">
      <c r="N49730" s="28"/>
      <c r="O49730" s="28"/>
      <c r="U49730" s="28"/>
    </row>
    <row r="49731">
      <c r="N49731" s="28"/>
      <c r="O49731" s="28"/>
      <c r="U49731" s="28"/>
    </row>
    <row r="49732">
      <c r="N49732" s="28"/>
      <c r="O49732" s="28"/>
      <c r="U49732" s="28"/>
    </row>
    <row r="49733">
      <c r="N49733" s="28"/>
      <c r="O49733" s="28"/>
      <c r="U49733" s="28"/>
    </row>
    <row r="49734">
      <c r="N49734" s="28"/>
      <c r="O49734" s="28"/>
      <c r="U49734" s="28"/>
    </row>
    <row r="49735">
      <c r="N49735" s="28"/>
      <c r="O49735" s="28"/>
      <c r="U49735" s="28"/>
    </row>
    <row r="49736">
      <c r="N49736" s="28"/>
      <c r="O49736" s="28"/>
      <c r="U49736" s="28"/>
    </row>
    <row r="49737">
      <c r="N49737" s="28"/>
      <c r="O49737" s="28"/>
      <c r="U49737" s="28"/>
    </row>
    <row r="49738">
      <c r="N49738" s="28"/>
      <c r="O49738" s="28"/>
      <c r="U49738" s="28"/>
    </row>
    <row r="49739">
      <c r="N49739" s="28"/>
      <c r="O49739" s="28"/>
      <c r="U49739" s="28"/>
    </row>
    <row r="49740">
      <c r="N49740" s="28"/>
      <c r="O49740" s="28"/>
      <c r="U49740" s="28"/>
    </row>
    <row r="49741">
      <c r="N49741" s="28"/>
      <c r="O49741" s="28"/>
      <c r="U49741" s="28"/>
    </row>
    <row r="49742">
      <c r="N49742" s="28"/>
      <c r="O49742" s="28"/>
      <c r="U49742" s="28"/>
    </row>
    <row r="49743">
      <c r="N49743" s="28"/>
      <c r="O49743" s="28"/>
      <c r="U49743" s="28"/>
    </row>
    <row r="49744">
      <c r="N49744" s="28"/>
      <c r="O49744" s="28"/>
      <c r="U49744" s="28"/>
    </row>
    <row r="49745">
      <c r="N49745" s="28"/>
      <c r="O49745" s="28"/>
      <c r="U49745" s="28"/>
    </row>
    <row r="49746">
      <c r="N49746" s="28"/>
      <c r="O49746" s="28"/>
      <c r="U49746" s="28"/>
    </row>
    <row r="49747">
      <c r="N49747" s="28"/>
      <c r="O49747" s="28"/>
      <c r="U49747" s="28"/>
    </row>
    <row r="49748">
      <c r="N49748" s="28"/>
      <c r="O49748" s="28"/>
      <c r="U49748" s="28"/>
    </row>
    <row r="49749">
      <c r="N49749" s="28"/>
      <c r="O49749" s="28"/>
      <c r="U49749" s="28"/>
    </row>
    <row r="49750">
      <c r="N49750" s="28"/>
      <c r="O49750" s="28"/>
      <c r="U49750" s="28"/>
    </row>
    <row r="49751">
      <c r="N49751" s="28"/>
      <c r="O49751" s="28"/>
      <c r="U49751" s="28"/>
    </row>
    <row r="49752">
      <c r="N49752" s="28"/>
      <c r="O49752" s="28"/>
      <c r="U49752" s="28"/>
    </row>
    <row r="49753">
      <c r="N49753" s="28"/>
      <c r="O49753" s="28"/>
      <c r="U49753" s="28"/>
    </row>
    <row r="49754">
      <c r="N49754" s="28"/>
      <c r="O49754" s="28"/>
      <c r="U49754" s="28"/>
    </row>
    <row r="49755">
      <c r="N49755" s="28"/>
      <c r="O49755" s="28"/>
      <c r="U49755" s="28"/>
    </row>
    <row r="49756">
      <c r="N49756" s="28"/>
      <c r="O49756" s="28"/>
      <c r="U49756" s="28"/>
    </row>
    <row r="49757">
      <c r="N49757" s="28"/>
      <c r="O49757" s="28"/>
      <c r="U49757" s="28"/>
    </row>
    <row r="49758">
      <c r="N49758" s="28"/>
      <c r="O49758" s="28"/>
      <c r="U49758" s="28"/>
    </row>
    <row r="49759">
      <c r="N49759" s="28"/>
      <c r="O49759" s="28"/>
      <c r="U49759" s="28"/>
    </row>
    <row r="49760">
      <c r="N49760" s="28"/>
      <c r="O49760" s="28"/>
      <c r="U49760" s="28"/>
    </row>
    <row r="49761">
      <c r="N49761" s="28"/>
      <c r="O49761" s="28"/>
      <c r="U49761" s="28"/>
    </row>
    <row r="49762">
      <c r="N49762" s="28"/>
      <c r="O49762" s="28"/>
      <c r="U49762" s="28"/>
    </row>
    <row r="49763">
      <c r="N49763" s="28"/>
      <c r="O49763" s="28"/>
      <c r="U49763" s="28"/>
    </row>
    <row r="49764">
      <c r="N49764" s="28"/>
      <c r="O49764" s="28"/>
      <c r="U49764" s="28"/>
    </row>
    <row r="49765">
      <c r="N49765" s="28"/>
      <c r="O49765" s="28"/>
      <c r="U49765" s="28"/>
    </row>
    <row r="49766">
      <c r="N49766" s="28"/>
      <c r="O49766" s="28"/>
      <c r="U49766" s="28"/>
    </row>
    <row r="49767">
      <c r="N49767" s="28"/>
      <c r="O49767" s="28"/>
      <c r="U49767" s="28"/>
    </row>
    <row r="49768">
      <c r="N49768" s="28"/>
      <c r="O49768" s="28"/>
      <c r="U49768" s="28"/>
    </row>
    <row r="49769">
      <c r="N49769" s="28"/>
      <c r="O49769" s="28"/>
      <c r="U49769" s="28"/>
    </row>
    <row r="49770">
      <c r="N49770" s="28"/>
      <c r="O49770" s="28"/>
      <c r="U49770" s="28"/>
    </row>
    <row r="49771">
      <c r="N49771" s="28"/>
      <c r="O49771" s="28"/>
      <c r="U49771" s="28"/>
    </row>
    <row r="49772">
      <c r="N49772" s="28"/>
      <c r="O49772" s="28"/>
      <c r="U49772" s="28"/>
    </row>
    <row r="49773">
      <c r="N49773" s="28"/>
      <c r="O49773" s="28"/>
      <c r="U49773" s="28"/>
    </row>
    <row r="49774">
      <c r="N49774" s="28"/>
      <c r="O49774" s="28"/>
      <c r="U49774" s="28"/>
    </row>
    <row r="49775">
      <c r="N49775" s="28"/>
      <c r="O49775" s="28"/>
      <c r="U49775" s="28"/>
    </row>
    <row r="49776">
      <c r="N49776" s="28"/>
      <c r="O49776" s="28"/>
      <c r="U49776" s="28"/>
    </row>
    <row r="49777">
      <c r="N49777" s="28"/>
      <c r="O49777" s="28"/>
      <c r="U49777" s="28"/>
    </row>
    <row r="49778">
      <c r="N49778" s="28"/>
      <c r="O49778" s="28"/>
      <c r="U49778" s="28"/>
    </row>
    <row r="49779">
      <c r="N49779" s="28"/>
      <c r="O49779" s="28"/>
      <c r="U49779" s="28"/>
    </row>
    <row r="49780">
      <c r="N49780" s="28"/>
      <c r="O49780" s="28"/>
      <c r="U49780" s="28"/>
    </row>
    <row r="49781">
      <c r="N49781" s="28"/>
      <c r="O49781" s="28"/>
      <c r="U49781" s="28"/>
    </row>
    <row r="49782">
      <c r="N49782" s="28"/>
      <c r="O49782" s="28"/>
      <c r="U49782" s="28"/>
    </row>
    <row r="49783">
      <c r="N49783" s="28"/>
      <c r="O49783" s="28"/>
      <c r="U49783" s="28"/>
    </row>
    <row r="49784">
      <c r="N49784" s="28"/>
      <c r="O49784" s="28"/>
      <c r="U49784" s="28"/>
    </row>
    <row r="49785">
      <c r="N49785" s="28"/>
      <c r="O49785" s="28"/>
      <c r="U49785" s="28"/>
    </row>
    <row r="49786">
      <c r="N49786" s="28"/>
      <c r="O49786" s="28"/>
      <c r="U49786" s="28"/>
    </row>
    <row r="49787">
      <c r="N49787" s="28"/>
      <c r="O49787" s="28"/>
      <c r="U49787" s="28"/>
    </row>
    <row r="49788">
      <c r="N49788" s="28"/>
      <c r="O49788" s="28"/>
      <c r="U49788" s="28"/>
    </row>
    <row r="49789">
      <c r="N49789" s="28"/>
      <c r="O49789" s="28"/>
      <c r="U49789" s="28"/>
    </row>
    <row r="49790">
      <c r="N49790" s="28"/>
      <c r="O49790" s="28"/>
      <c r="U49790" s="28"/>
    </row>
    <row r="49791">
      <c r="N49791" s="28"/>
      <c r="O49791" s="28"/>
      <c r="U49791" s="28"/>
    </row>
    <row r="49792">
      <c r="N49792" s="28"/>
      <c r="O49792" s="28"/>
      <c r="U49792" s="28"/>
    </row>
    <row r="49793">
      <c r="N49793" s="28"/>
      <c r="O49793" s="28"/>
      <c r="U49793" s="28"/>
    </row>
    <row r="49794">
      <c r="N49794" s="28"/>
      <c r="O49794" s="28"/>
      <c r="U49794" s="28"/>
    </row>
    <row r="49795">
      <c r="N49795" s="28"/>
      <c r="O49795" s="28"/>
      <c r="U49795" s="28"/>
    </row>
    <row r="49796">
      <c r="N49796" s="28"/>
      <c r="O49796" s="28"/>
      <c r="U49796" s="28"/>
    </row>
    <row r="49797">
      <c r="N49797" s="28"/>
      <c r="O49797" s="28"/>
      <c r="U49797" s="28"/>
    </row>
    <row r="49798">
      <c r="N49798" s="28"/>
      <c r="O49798" s="28"/>
      <c r="U49798" s="28"/>
    </row>
    <row r="49799">
      <c r="N49799" s="28"/>
      <c r="O49799" s="28"/>
      <c r="U49799" s="28"/>
    </row>
    <row r="49800">
      <c r="N49800" s="28"/>
      <c r="O49800" s="28"/>
      <c r="U49800" s="28"/>
    </row>
    <row r="49801">
      <c r="N49801" s="28"/>
      <c r="O49801" s="28"/>
      <c r="U49801" s="28"/>
    </row>
    <row r="49802">
      <c r="N49802" s="28"/>
      <c r="O49802" s="28"/>
      <c r="U49802" s="28"/>
    </row>
    <row r="49803">
      <c r="N49803" s="28"/>
      <c r="O49803" s="28"/>
      <c r="U49803" s="28"/>
    </row>
    <row r="49804">
      <c r="N49804" s="28"/>
      <c r="O49804" s="28"/>
      <c r="U49804" s="28"/>
    </row>
    <row r="49805">
      <c r="N49805" s="28"/>
      <c r="O49805" s="28"/>
      <c r="U49805" s="28"/>
    </row>
    <row r="49806">
      <c r="N49806" s="28"/>
      <c r="O49806" s="28"/>
      <c r="U49806" s="28"/>
    </row>
    <row r="49807">
      <c r="N49807" s="28"/>
      <c r="O49807" s="28"/>
      <c r="U49807" s="28"/>
    </row>
    <row r="49808">
      <c r="N49808" s="28"/>
      <c r="O49808" s="28"/>
      <c r="U49808" s="28"/>
    </row>
    <row r="49809">
      <c r="N49809" s="28"/>
      <c r="O49809" s="28"/>
      <c r="U49809" s="28"/>
    </row>
    <row r="49810">
      <c r="N49810" s="28"/>
      <c r="O49810" s="28"/>
      <c r="U49810" s="28"/>
    </row>
    <row r="49811">
      <c r="N49811" s="28"/>
      <c r="O49811" s="28"/>
      <c r="U49811" s="28"/>
    </row>
    <row r="49812">
      <c r="N49812" s="28"/>
      <c r="O49812" s="28"/>
      <c r="U49812" s="28"/>
    </row>
    <row r="49813">
      <c r="N49813" s="28"/>
      <c r="O49813" s="28"/>
      <c r="U49813" s="28"/>
    </row>
    <row r="49814">
      <c r="N49814" s="28"/>
      <c r="O49814" s="28"/>
      <c r="U49814" s="28"/>
    </row>
    <row r="49815">
      <c r="N49815" s="28"/>
      <c r="O49815" s="28"/>
      <c r="U49815" s="28"/>
    </row>
    <row r="49816">
      <c r="N49816" s="28"/>
      <c r="O49816" s="28"/>
      <c r="U49816" s="28"/>
    </row>
    <row r="49817">
      <c r="N49817" s="28"/>
      <c r="O49817" s="28"/>
      <c r="U49817" s="28"/>
    </row>
    <row r="49818">
      <c r="N49818" s="28"/>
      <c r="O49818" s="28"/>
      <c r="U49818" s="28"/>
    </row>
    <row r="49819">
      <c r="N49819" s="28"/>
      <c r="O49819" s="28"/>
      <c r="U49819" s="28"/>
    </row>
    <row r="49820">
      <c r="N49820" s="28"/>
      <c r="O49820" s="28"/>
      <c r="U49820" s="28"/>
    </row>
    <row r="49821">
      <c r="N49821" s="28"/>
      <c r="O49821" s="28"/>
      <c r="U49821" s="28"/>
    </row>
    <row r="49822">
      <c r="N49822" s="28"/>
      <c r="O49822" s="28"/>
      <c r="U49822" s="28"/>
    </row>
    <row r="49823">
      <c r="N49823" s="28"/>
      <c r="O49823" s="28"/>
      <c r="U49823" s="28"/>
    </row>
    <row r="49824">
      <c r="N49824" s="28"/>
      <c r="O49824" s="28"/>
      <c r="U49824" s="28"/>
    </row>
    <row r="49825">
      <c r="N49825" s="28"/>
      <c r="O49825" s="28"/>
      <c r="U49825" s="28"/>
    </row>
    <row r="49826">
      <c r="N49826" s="28"/>
      <c r="O49826" s="28"/>
      <c r="U49826" s="28"/>
    </row>
    <row r="49827">
      <c r="N49827" s="28"/>
      <c r="O49827" s="28"/>
      <c r="U49827" s="28"/>
    </row>
    <row r="49828">
      <c r="N49828" s="28"/>
      <c r="O49828" s="28"/>
      <c r="U49828" s="28"/>
    </row>
    <row r="49829">
      <c r="N49829" s="28"/>
      <c r="O49829" s="28"/>
      <c r="U49829" s="28"/>
    </row>
    <row r="49830">
      <c r="N49830" s="28"/>
      <c r="O49830" s="28"/>
      <c r="U49830" s="28"/>
    </row>
    <row r="49831">
      <c r="N49831" s="28"/>
      <c r="O49831" s="28"/>
      <c r="U49831" s="28"/>
    </row>
    <row r="49832">
      <c r="N49832" s="28"/>
      <c r="O49832" s="28"/>
      <c r="U49832" s="28"/>
    </row>
    <row r="49833">
      <c r="N49833" s="28"/>
      <c r="O49833" s="28"/>
      <c r="U49833" s="28"/>
    </row>
    <row r="49834">
      <c r="N49834" s="28"/>
      <c r="O49834" s="28"/>
      <c r="U49834" s="28"/>
    </row>
    <row r="49835">
      <c r="N49835" s="28"/>
      <c r="O49835" s="28"/>
      <c r="U49835" s="28"/>
    </row>
    <row r="49836">
      <c r="N49836" s="28"/>
      <c r="O49836" s="28"/>
      <c r="U49836" s="28"/>
    </row>
    <row r="49837">
      <c r="N49837" s="28"/>
      <c r="O49837" s="28"/>
      <c r="U49837" s="28"/>
    </row>
    <row r="49838">
      <c r="N49838" s="28"/>
      <c r="O49838" s="28"/>
      <c r="U49838" s="28"/>
    </row>
    <row r="49839">
      <c r="N49839" s="28"/>
      <c r="O49839" s="28"/>
      <c r="U49839" s="28"/>
    </row>
    <row r="49840">
      <c r="N49840" s="28"/>
      <c r="O49840" s="28"/>
      <c r="U49840" s="28"/>
    </row>
    <row r="49841">
      <c r="N49841" s="28"/>
      <c r="O49841" s="28"/>
      <c r="U49841" s="28"/>
    </row>
    <row r="49842">
      <c r="N49842" s="28"/>
      <c r="O49842" s="28"/>
      <c r="U49842" s="28"/>
    </row>
    <row r="49843">
      <c r="N49843" s="28"/>
      <c r="O49843" s="28"/>
      <c r="U49843" s="28"/>
    </row>
    <row r="49844">
      <c r="N49844" s="28"/>
      <c r="O49844" s="28"/>
      <c r="U49844" s="28"/>
    </row>
    <row r="49845">
      <c r="N49845" s="28"/>
      <c r="O49845" s="28"/>
      <c r="U49845" s="28"/>
    </row>
    <row r="49846">
      <c r="N49846" s="28"/>
      <c r="O49846" s="28"/>
      <c r="U49846" s="28"/>
    </row>
    <row r="49847">
      <c r="N49847" s="28"/>
      <c r="O49847" s="28"/>
      <c r="U49847" s="28"/>
    </row>
    <row r="49848">
      <c r="N49848" s="28"/>
      <c r="O49848" s="28"/>
      <c r="U49848" s="28"/>
    </row>
    <row r="49849">
      <c r="N49849" s="28"/>
      <c r="O49849" s="28"/>
      <c r="U49849" s="28"/>
    </row>
    <row r="49850">
      <c r="N49850" s="28"/>
      <c r="O49850" s="28"/>
      <c r="U49850" s="28"/>
    </row>
    <row r="49851">
      <c r="N49851" s="28"/>
      <c r="O49851" s="28"/>
      <c r="U49851" s="28"/>
    </row>
    <row r="49852">
      <c r="N49852" s="28"/>
      <c r="O49852" s="28"/>
      <c r="U49852" s="28"/>
    </row>
    <row r="49853">
      <c r="N49853" s="28"/>
      <c r="O49853" s="28"/>
      <c r="U49853" s="28"/>
    </row>
    <row r="49854">
      <c r="N49854" s="28"/>
      <c r="O49854" s="28"/>
      <c r="U49854" s="28"/>
    </row>
    <row r="49855">
      <c r="N49855" s="28"/>
      <c r="O49855" s="28"/>
      <c r="U49855" s="28"/>
    </row>
    <row r="49856">
      <c r="N49856" s="28"/>
      <c r="O49856" s="28"/>
      <c r="U49856" s="28"/>
    </row>
    <row r="49857">
      <c r="N49857" s="28"/>
      <c r="O49857" s="28"/>
      <c r="U49857" s="28"/>
    </row>
    <row r="49858">
      <c r="N49858" s="28"/>
      <c r="O49858" s="28"/>
      <c r="U49858" s="28"/>
    </row>
    <row r="49859">
      <c r="N49859" s="28"/>
      <c r="O49859" s="28"/>
      <c r="U49859" s="28"/>
    </row>
    <row r="49860">
      <c r="N49860" s="28"/>
      <c r="O49860" s="28"/>
      <c r="U49860" s="28"/>
    </row>
    <row r="49861">
      <c r="N49861" s="28"/>
      <c r="O49861" s="28"/>
      <c r="U49861" s="28"/>
    </row>
    <row r="49862">
      <c r="N49862" s="28"/>
      <c r="O49862" s="28"/>
      <c r="U49862" s="28"/>
    </row>
    <row r="49863">
      <c r="N49863" s="28"/>
      <c r="O49863" s="28"/>
      <c r="U49863" s="28"/>
    </row>
    <row r="49864">
      <c r="N49864" s="28"/>
      <c r="O49864" s="28"/>
      <c r="U49864" s="28"/>
    </row>
    <row r="49865">
      <c r="N49865" s="28"/>
      <c r="O49865" s="28"/>
      <c r="U49865" s="28"/>
    </row>
    <row r="49866">
      <c r="N49866" s="28"/>
      <c r="O49866" s="28"/>
      <c r="U49866" s="28"/>
    </row>
    <row r="49867">
      <c r="N49867" s="28"/>
      <c r="O49867" s="28"/>
      <c r="U49867" s="28"/>
    </row>
    <row r="49868">
      <c r="N49868" s="28"/>
      <c r="O49868" s="28"/>
      <c r="U49868" s="28"/>
    </row>
    <row r="49869">
      <c r="N49869" s="28"/>
      <c r="O49869" s="28"/>
      <c r="U49869" s="28"/>
    </row>
    <row r="49870">
      <c r="N49870" s="28"/>
      <c r="O49870" s="28"/>
      <c r="U49870" s="28"/>
    </row>
    <row r="49871">
      <c r="N49871" s="28"/>
      <c r="O49871" s="28"/>
      <c r="U49871" s="28"/>
    </row>
    <row r="49872">
      <c r="N49872" s="28"/>
      <c r="O49872" s="28"/>
      <c r="U49872" s="28"/>
    </row>
    <row r="49873">
      <c r="N49873" s="28"/>
      <c r="O49873" s="28"/>
      <c r="U49873" s="28"/>
    </row>
    <row r="49874">
      <c r="N49874" s="28"/>
      <c r="O49874" s="28"/>
      <c r="U49874" s="28"/>
    </row>
    <row r="49875">
      <c r="N49875" s="28"/>
      <c r="O49875" s="28"/>
      <c r="U49875" s="28"/>
    </row>
    <row r="49876">
      <c r="N49876" s="28"/>
      <c r="O49876" s="28"/>
      <c r="U49876" s="28"/>
    </row>
    <row r="49877">
      <c r="N49877" s="28"/>
      <c r="O49877" s="28"/>
      <c r="U49877" s="28"/>
    </row>
    <row r="49878">
      <c r="N49878" s="28"/>
      <c r="O49878" s="28"/>
      <c r="U49878" s="28"/>
    </row>
    <row r="49879">
      <c r="N49879" s="28"/>
      <c r="O49879" s="28"/>
      <c r="U49879" s="28"/>
    </row>
    <row r="49880">
      <c r="N49880" s="28"/>
      <c r="O49880" s="28"/>
      <c r="U49880" s="28"/>
    </row>
    <row r="49881">
      <c r="N49881" s="28"/>
      <c r="O49881" s="28"/>
      <c r="U49881" s="28"/>
    </row>
    <row r="49882">
      <c r="N49882" s="28"/>
      <c r="O49882" s="28"/>
      <c r="U49882" s="28"/>
    </row>
    <row r="49883">
      <c r="N49883" s="28"/>
      <c r="O49883" s="28"/>
      <c r="U49883" s="28"/>
    </row>
    <row r="49884">
      <c r="N49884" s="28"/>
      <c r="O49884" s="28"/>
      <c r="U49884" s="28"/>
    </row>
    <row r="49885">
      <c r="N49885" s="28"/>
      <c r="O49885" s="28"/>
      <c r="U49885" s="28"/>
    </row>
    <row r="49886">
      <c r="N49886" s="28"/>
      <c r="O49886" s="28"/>
      <c r="U49886" s="28"/>
    </row>
    <row r="49887">
      <c r="N49887" s="28"/>
      <c r="O49887" s="28"/>
      <c r="U49887" s="28"/>
    </row>
    <row r="49888">
      <c r="N49888" s="28"/>
      <c r="O49888" s="28"/>
      <c r="U49888" s="28"/>
    </row>
    <row r="49889">
      <c r="N49889" s="28"/>
      <c r="O49889" s="28"/>
      <c r="U49889" s="28"/>
    </row>
    <row r="49890">
      <c r="N49890" s="28"/>
      <c r="O49890" s="28"/>
      <c r="U49890" s="28"/>
    </row>
    <row r="49891">
      <c r="N49891" s="28"/>
      <c r="O49891" s="28"/>
      <c r="U49891" s="28"/>
    </row>
    <row r="49892">
      <c r="N49892" s="28"/>
      <c r="O49892" s="28"/>
      <c r="U49892" s="28"/>
    </row>
    <row r="49893">
      <c r="N49893" s="28"/>
      <c r="O49893" s="28"/>
      <c r="U49893" s="28"/>
    </row>
    <row r="49894">
      <c r="N49894" s="28"/>
      <c r="O49894" s="28"/>
      <c r="U49894" s="28"/>
    </row>
    <row r="49895">
      <c r="N49895" s="28"/>
      <c r="O49895" s="28"/>
      <c r="U49895" s="28"/>
    </row>
    <row r="49896">
      <c r="N49896" s="28"/>
      <c r="O49896" s="28"/>
      <c r="U49896" s="28"/>
    </row>
    <row r="49897">
      <c r="N49897" s="28"/>
      <c r="O49897" s="28"/>
      <c r="U49897" s="28"/>
    </row>
    <row r="49898">
      <c r="N49898" s="28"/>
      <c r="O49898" s="28"/>
      <c r="U49898" s="28"/>
    </row>
    <row r="49899">
      <c r="N49899" s="28"/>
      <c r="O49899" s="28"/>
      <c r="U49899" s="28"/>
    </row>
    <row r="49900">
      <c r="N49900" s="28"/>
      <c r="O49900" s="28"/>
      <c r="U49900" s="28"/>
    </row>
    <row r="49901">
      <c r="N49901" s="28"/>
      <c r="O49901" s="28"/>
      <c r="U49901" s="28"/>
    </row>
    <row r="49902">
      <c r="N49902" s="28"/>
      <c r="O49902" s="28"/>
      <c r="U49902" s="28"/>
    </row>
    <row r="49903">
      <c r="N49903" s="28"/>
      <c r="O49903" s="28"/>
      <c r="U49903" s="28"/>
    </row>
    <row r="49904">
      <c r="N49904" s="28"/>
      <c r="O49904" s="28"/>
      <c r="U49904" s="28"/>
    </row>
    <row r="49905">
      <c r="N49905" s="28"/>
      <c r="O49905" s="28"/>
      <c r="U49905" s="28"/>
    </row>
    <row r="49906">
      <c r="N49906" s="28"/>
      <c r="O49906" s="28"/>
      <c r="U49906" s="28"/>
    </row>
    <row r="49907">
      <c r="N49907" s="28"/>
      <c r="O49907" s="28"/>
      <c r="U49907" s="28"/>
    </row>
    <row r="49908">
      <c r="N49908" s="28"/>
      <c r="O49908" s="28"/>
      <c r="U49908" s="28"/>
    </row>
    <row r="49909">
      <c r="N49909" s="28"/>
      <c r="O49909" s="28"/>
      <c r="U49909" s="28"/>
    </row>
    <row r="49910">
      <c r="N49910" s="28"/>
      <c r="O49910" s="28"/>
      <c r="U49910" s="28"/>
    </row>
    <row r="49911">
      <c r="N49911" s="28"/>
      <c r="O49911" s="28"/>
      <c r="U49911" s="28"/>
    </row>
    <row r="49912">
      <c r="N49912" s="28"/>
      <c r="O49912" s="28"/>
      <c r="U49912" s="28"/>
    </row>
    <row r="49913">
      <c r="N49913" s="28"/>
      <c r="O49913" s="28"/>
      <c r="U49913" s="28"/>
    </row>
    <row r="49914">
      <c r="N49914" s="28"/>
      <c r="O49914" s="28"/>
      <c r="U49914" s="28"/>
    </row>
    <row r="49915">
      <c r="N49915" s="28"/>
      <c r="O49915" s="28"/>
      <c r="U49915" s="28"/>
    </row>
    <row r="49916">
      <c r="N49916" s="28"/>
      <c r="O49916" s="28"/>
      <c r="U49916" s="28"/>
    </row>
    <row r="49917">
      <c r="N49917" s="28"/>
      <c r="O49917" s="28"/>
      <c r="U49917" s="28"/>
    </row>
    <row r="49918">
      <c r="N49918" s="28"/>
      <c r="O49918" s="28"/>
      <c r="U49918" s="28"/>
    </row>
    <row r="49919">
      <c r="N49919" s="28"/>
      <c r="O49919" s="28"/>
      <c r="U49919" s="28"/>
    </row>
    <row r="49920">
      <c r="N49920" s="28"/>
      <c r="O49920" s="28"/>
      <c r="U49920" s="28"/>
    </row>
    <row r="49921">
      <c r="N49921" s="28"/>
      <c r="O49921" s="28"/>
      <c r="U49921" s="28"/>
    </row>
    <row r="49922">
      <c r="N49922" s="28"/>
      <c r="O49922" s="28"/>
      <c r="U49922" s="28"/>
    </row>
    <row r="49923">
      <c r="N49923" s="28"/>
      <c r="O49923" s="28"/>
      <c r="U49923" s="28"/>
    </row>
    <row r="49924">
      <c r="N49924" s="28"/>
      <c r="O49924" s="28"/>
      <c r="U49924" s="28"/>
    </row>
    <row r="49925">
      <c r="N49925" s="28"/>
      <c r="O49925" s="28"/>
      <c r="U49925" s="28"/>
    </row>
    <row r="49926">
      <c r="N49926" s="28"/>
      <c r="O49926" s="28"/>
      <c r="U49926" s="28"/>
    </row>
    <row r="49927">
      <c r="N49927" s="28"/>
      <c r="O49927" s="28"/>
      <c r="U49927" s="28"/>
    </row>
    <row r="49928">
      <c r="N49928" s="28"/>
      <c r="O49928" s="28"/>
      <c r="U49928" s="28"/>
    </row>
    <row r="49929">
      <c r="N49929" s="28"/>
      <c r="O49929" s="28"/>
      <c r="U49929" s="28"/>
    </row>
    <row r="49930">
      <c r="N49930" s="28"/>
      <c r="O49930" s="28"/>
      <c r="U49930" s="28"/>
    </row>
    <row r="49931">
      <c r="N49931" s="28"/>
      <c r="O49931" s="28"/>
      <c r="U49931" s="28"/>
    </row>
    <row r="49932">
      <c r="N49932" s="28"/>
      <c r="O49932" s="28"/>
      <c r="U49932" s="28"/>
    </row>
    <row r="49933">
      <c r="N49933" s="28"/>
      <c r="O49933" s="28"/>
      <c r="U49933" s="28"/>
    </row>
    <row r="49934">
      <c r="N49934" s="28"/>
      <c r="O49934" s="28"/>
      <c r="U49934" s="28"/>
    </row>
    <row r="49935">
      <c r="N49935" s="28"/>
      <c r="O49935" s="28"/>
      <c r="U49935" s="28"/>
    </row>
    <row r="49936">
      <c r="N49936" s="28"/>
      <c r="O49936" s="28"/>
      <c r="U49936" s="28"/>
    </row>
    <row r="49937">
      <c r="N49937" s="28"/>
      <c r="O49937" s="28"/>
      <c r="U49937" s="28"/>
    </row>
    <row r="49938">
      <c r="N49938" s="28"/>
      <c r="O49938" s="28"/>
      <c r="U49938" s="28"/>
    </row>
    <row r="49939">
      <c r="N49939" s="28"/>
      <c r="O49939" s="28"/>
      <c r="U49939" s="28"/>
    </row>
    <row r="49940">
      <c r="N49940" s="28"/>
      <c r="O49940" s="28"/>
      <c r="U49940" s="28"/>
    </row>
    <row r="49941">
      <c r="N49941" s="28"/>
      <c r="O49941" s="28"/>
      <c r="U49941" s="28"/>
    </row>
    <row r="49942">
      <c r="N49942" s="28"/>
      <c r="O49942" s="28"/>
      <c r="U49942" s="28"/>
    </row>
    <row r="49943">
      <c r="N49943" s="28"/>
      <c r="O49943" s="28"/>
      <c r="U49943" s="28"/>
    </row>
    <row r="49944">
      <c r="N49944" s="28"/>
      <c r="O49944" s="28"/>
      <c r="U49944" s="28"/>
    </row>
    <row r="49945">
      <c r="N49945" s="28"/>
      <c r="O49945" s="28"/>
      <c r="U49945" s="28"/>
    </row>
    <row r="49946">
      <c r="N49946" s="28"/>
      <c r="O49946" s="28"/>
      <c r="U49946" s="28"/>
    </row>
    <row r="49947">
      <c r="N49947" s="28"/>
      <c r="O49947" s="28"/>
      <c r="U49947" s="28"/>
    </row>
    <row r="49948">
      <c r="N49948" s="28"/>
      <c r="O49948" s="28"/>
      <c r="U49948" s="28"/>
    </row>
    <row r="49949">
      <c r="N49949" s="28"/>
      <c r="O49949" s="28"/>
      <c r="U49949" s="28"/>
    </row>
    <row r="49950">
      <c r="N49950" s="28"/>
      <c r="O49950" s="28"/>
      <c r="U49950" s="28"/>
    </row>
    <row r="49951">
      <c r="N49951" s="28"/>
      <c r="O49951" s="28"/>
      <c r="U49951" s="28"/>
    </row>
    <row r="49952">
      <c r="N49952" s="28"/>
      <c r="O49952" s="28"/>
      <c r="U49952" s="28"/>
    </row>
    <row r="49953">
      <c r="N49953" s="28"/>
      <c r="O49953" s="28"/>
      <c r="U49953" s="28"/>
    </row>
    <row r="49954">
      <c r="N49954" s="28"/>
      <c r="O49954" s="28"/>
      <c r="U49954" s="28"/>
    </row>
    <row r="49955">
      <c r="N49955" s="28"/>
      <c r="O49955" s="28"/>
      <c r="U49955" s="28"/>
    </row>
    <row r="49956">
      <c r="N49956" s="28"/>
      <c r="O49956" s="28"/>
      <c r="U49956" s="28"/>
    </row>
    <row r="49957">
      <c r="N49957" s="28"/>
      <c r="O49957" s="28"/>
      <c r="U49957" s="28"/>
    </row>
    <row r="49958">
      <c r="N49958" s="28"/>
      <c r="O49958" s="28"/>
      <c r="U49958" s="28"/>
    </row>
    <row r="49959">
      <c r="N49959" s="28"/>
      <c r="O49959" s="28"/>
      <c r="U49959" s="28"/>
    </row>
    <row r="49960">
      <c r="N49960" s="28"/>
      <c r="O49960" s="28"/>
      <c r="U49960" s="28"/>
    </row>
    <row r="49961">
      <c r="N49961" s="28"/>
      <c r="O49961" s="28"/>
      <c r="U49961" s="28"/>
    </row>
    <row r="49962">
      <c r="N49962" s="28"/>
      <c r="O49962" s="28"/>
      <c r="U49962" s="28"/>
    </row>
    <row r="49963">
      <c r="N49963" s="28"/>
      <c r="O49963" s="28"/>
      <c r="U49963" s="28"/>
    </row>
    <row r="49964">
      <c r="N49964" s="28"/>
      <c r="O49964" s="28"/>
      <c r="U49964" s="28"/>
    </row>
    <row r="49965">
      <c r="N49965" s="28"/>
      <c r="O49965" s="28"/>
      <c r="U49965" s="28"/>
    </row>
    <row r="49966">
      <c r="N49966" s="28"/>
      <c r="O49966" s="28"/>
      <c r="U49966" s="28"/>
    </row>
    <row r="49967">
      <c r="N49967" s="28"/>
      <c r="O49967" s="28"/>
      <c r="U49967" s="28"/>
    </row>
    <row r="49968">
      <c r="N49968" s="28"/>
      <c r="O49968" s="28"/>
      <c r="U49968" s="28"/>
    </row>
    <row r="49969">
      <c r="N49969" s="28"/>
      <c r="O49969" s="28"/>
      <c r="U49969" s="28"/>
    </row>
    <row r="49970">
      <c r="N49970" s="28"/>
      <c r="O49970" s="28"/>
      <c r="U49970" s="28"/>
    </row>
    <row r="49971">
      <c r="N49971" s="28"/>
      <c r="O49971" s="28"/>
      <c r="U49971" s="28"/>
    </row>
    <row r="49972">
      <c r="N49972" s="28"/>
      <c r="O49972" s="28"/>
      <c r="U49972" s="28"/>
    </row>
    <row r="49973">
      <c r="N49973" s="28"/>
      <c r="O49973" s="28"/>
      <c r="U49973" s="28"/>
    </row>
    <row r="49974">
      <c r="N49974" s="28"/>
      <c r="O49974" s="28"/>
      <c r="U49974" s="28"/>
    </row>
    <row r="49975">
      <c r="N49975" s="28"/>
      <c r="O49975" s="28"/>
      <c r="U49975" s="28"/>
    </row>
    <row r="49976">
      <c r="N49976" s="28"/>
      <c r="O49976" s="28"/>
      <c r="U49976" s="28"/>
    </row>
    <row r="49977">
      <c r="N49977" s="28"/>
      <c r="O49977" s="28"/>
      <c r="U49977" s="28"/>
    </row>
    <row r="49978">
      <c r="N49978" s="28"/>
      <c r="O49978" s="28"/>
      <c r="U49978" s="28"/>
    </row>
    <row r="49979">
      <c r="N49979" s="28"/>
      <c r="O49979" s="28"/>
      <c r="U49979" s="28"/>
    </row>
    <row r="49980">
      <c r="N49980" s="28"/>
      <c r="O49980" s="28"/>
      <c r="U49980" s="28"/>
    </row>
    <row r="49981">
      <c r="N49981" s="28"/>
      <c r="O49981" s="28"/>
      <c r="U49981" s="28"/>
    </row>
    <row r="49982">
      <c r="N49982" s="28"/>
      <c r="O49982" s="28"/>
      <c r="U49982" s="28"/>
    </row>
    <row r="49983">
      <c r="N49983" s="28"/>
      <c r="O49983" s="28"/>
      <c r="U49983" s="28"/>
    </row>
    <row r="49984">
      <c r="N49984" s="28"/>
      <c r="O49984" s="28"/>
      <c r="U49984" s="28"/>
    </row>
    <row r="49985">
      <c r="N49985" s="28"/>
      <c r="O49985" s="28"/>
      <c r="U49985" s="28"/>
    </row>
    <row r="49986">
      <c r="N49986" s="28"/>
      <c r="O49986" s="28"/>
      <c r="U49986" s="28"/>
    </row>
    <row r="49987">
      <c r="N49987" s="28"/>
      <c r="O49987" s="28"/>
      <c r="U49987" s="28"/>
    </row>
    <row r="49988">
      <c r="N49988" s="28"/>
      <c r="O49988" s="28"/>
      <c r="U49988" s="28"/>
    </row>
    <row r="49989">
      <c r="N49989" s="28"/>
      <c r="O49989" s="28"/>
      <c r="U49989" s="28"/>
    </row>
    <row r="49990">
      <c r="N49990" s="28"/>
      <c r="O49990" s="28"/>
      <c r="U49990" s="28"/>
    </row>
    <row r="49991">
      <c r="N49991" s="28"/>
      <c r="O49991" s="28"/>
      <c r="U49991" s="28"/>
    </row>
    <row r="49992">
      <c r="N49992" s="28"/>
      <c r="O49992" s="28"/>
      <c r="U49992" s="28"/>
    </row>
    <row r="49993">
      <c r="N49993" s="28"/>
      <c r="O49993" s="28"/>
      <c r="U49993" s="28"/>
    </row>
    <row r="49994">
      <c r="N49994" s="28"/>
      <c r="O49994" s="28"/>
      <c r="U49994" s="28"/>
    </row>
    <row r="49995">
      <c r="N49995" s="28"/>
      <c r="O49995" s="28"/>
      <c r="U49995" s="28"/>
    </row>
    <row r="49996">
      <c r="N49996" s="28"/>
      <c r="O49996" s="28"/>
      <c r="U49996" s="28"/>
    </row>
    <row r="49997">
      <c r="N49997" s="28"/>
      <c r="O49997" s="28"/>
      <c r="U49997" s="28"/>
    </row>
    <row r="49998">
      <c r="N49998" s="28"/>
      <c r="O49998" s="28"/>
      <c r="U49998" s="28"/>
    </row>
    <row r="49999">
      <c r="N49999" s="28"/>
      <c r="O49999" s="28"/>
      <c r="U49999" s="28"/>
    </row>
    <row r="50000">
      <c r="N50000" s="28"/>
      <c r="O50000" s="28"/>
      <c r="U50000" s="28"/>
    </row>
    <row r="50001">
      <c r="N50001" s="28"/>
      <c r="O50001" s="28"/>
      <c r="U50001" s="28"/>
    </row>
    <row r="50002">
      <c r="N50002" s="28"/>
      <c r="O50002" s="28"/>
      <c r="U50002" s="28"/>
    </row>
    <row r="50003">
      <c r="N50003" s="28"/>
      <c r="O50003" s="28"/>
      <c r="U50003" s="28"/>
    </row>
    <row r="50004">
      <c r="N50004" s="28"/>
      <c r="O50004" s="28"/>
      <c r="U50004" s="28"/>
    </row>
    <row r="50005">
      <c r="N50005" s="28"/>
      <c r="O50005" s="28"/>
      <c r="U50005" s="28"/>
    </row>
    <row r="50006">
      <c r="N50006" s="28"/>
      <c r="O50006" s="28"/>
      <c r="U50006" s="28"/>
    </row>
    <row r="50007">
      <c r="N50007" s="28"/>
      <c r="O50007" s="28"/>
      <c r="U50007" s="28"/>
    </row>
    <row r="50008">
      <c r="N50008" s="28"/>
      <c r="O50008" s="28"/>
      <c r="U50008" s="28"/>
    </row>
    <row r="50009">
      <c r="N50009" s="28"/>
      <c r="O50009" s="28"/>
      <c r="U50009" s="28"/>
    </row>
    <row r="50010">
      <c r="N50010" s="28"/>
      <c r="O50010" s="28"/>
      <c r="U50010" s="28"/>
    </row>
    <row r="50011">
      <c r="N50011" s="28"/>
      <c r="O50011" s="28"/>
      <c r="U50011" s="28"/>
    </row>
    <row r="50012">
      <c r="N50012" s="28"/>
      <c r="O50012" s="28"/>
      <c r="U50012" s="28"/>
    </row>
    <row r="50013">
      <c r="N50013" s="28"/>
      <c r="O50013" s="28"/>
      <c r="U50013" s="28"/>
    </row>
    <row r="50014">
      <c r="N50014" s="28"/>
      <c r="O50014" s="28"/>
      <c r="U50014" s="28"/>
    </row>
    <row r="50015">
      <c r="N50015" s="28"/>
      <c r="O50015" s="28"/>
      <c r="U50015" s="28"/>
    </row>
    <row r="50016">
      <c r="N50016" s="28"/>
      <c r="O50016" s="28"/>
      <c r="U50016" s="28"/>
    </row>
    <row r="50017">
      <c r="N50017" s="28"/>
      <c r="O50017" s="28"/>
      <c r="U50017" s="28"/>
    </row>
    <row r="50018">
      <c r="N50018" s="28"/>
      <c r="O50018" s="28"/>
      <c r="U50018" s="28"/>
    </row>
    <row r="50019">
      <c r="N50019" s="28"/>
      <c r="O50019" s="28"/>
      <c r="U50019" s="28"/>
    </row>
    <row r="50020">
      <c r="N50020" s="28"/>
      <c r="O50020" s="28"/>
      <c r="U50020" s="28"/>
    </row>
    <row r="50021">
      <c r="N50021" s="28"/>
      <c r="O50021" s="28"/>
      <c r="U50021" s="28"/>
    </row>
    <row r="50022">
      <c r="N50022" s="28"/>
      <c r="O50022" s="28"/>
      <c r="U50022" s="28"/>
    </row>
    <row r="50023">
      <c r="N50023" s="28"/>
      <c r="O50023" s="28"/>
      <c r="U50023" s="28"/>
    </row>
    <row r="50024">
      <c r="N50024" s="28"/>
      <c r="O50024" s="28"/>
      <c r="U50024" s="28"/>
    </row>
    <row r="50025">
      <c r="N50025" s="28"/>
      <c r="O50025" s="28"/>
      <c r="U50025" s="28"/>
    </row>
    <row r="50026">
      <c r="N50026" s="28"/>
      <c r="O50026" s="28"/>
      <c r="U50026" s="28"/>
    </row>
    <row r="50027">
      <c r="N50027" s="28"/>
      <c r="O50027" s="28"/>
      <c r="U50027" s="28"/>
    </row>
    <row r="50028">
      <c r="N50028" s="28"/>
      <c r="O50028" s="28"/>
      <c r="U50028" s="28"/>
    </row>
    <row r="50029">
      <c r="N50029" s="28"/>
      <c r="O50029" s="28"/>
      <c r="U50029" s="28"/>
    </row>
    <row r="50030">
      <c r="N50030" s="28"/>
      <c r="O50030" s="28"/>
      <c r="U50030" s="28"/>
    </row>
    <row r="50031">
      <c r="N50031" s="28"/>
      <c r="O50031" s="28"/>
      <c r="U50031" s="28"/>
    </row>
    <row r="50032">
      <c r="N50032" s="28"/>
      <c r="O50032" s="28"/>
      <c r="U50032" s="28"/>
    </row>
    <row r="50033">
      <c r="N50033" s="28"/>
      <c r="O50033" s="28"/>
      <c r="U50033" s="28"/>
    </row>
    <row r="50034">
      <c r="N50034" s="28"/>
      <c r="O50034" s="28"/>
      <c r="U50034" s="28"/>
    </row>
    <row r="50035">
      <c r="N50035" s="28"/>
      <c r="O50035" s="28"/>
      <c r="U50035" s="28"/>
    </row>
    <row r="50036">
      <c r="N50036" s="28"/>
      <c r="O50036" s="28"/>
      <c r="U50036" s="28"/>
    </row>
    <row r="50037">
      <c r="N50037" s="28"/>
      <c r="O50037" s="28"/>
      <c r="U50037" s="28"/>
    </row>
    <row r="50038">
      <c r="N50038" s="28"/>
      <c r="O50038" s="28"/>
      <c r="U50038" s="28"/>
    </row>
    <row r="50039">
      <c r="N50039" s="28"/>
      <c r="O50039" s="28"/>
      <c r="U50039" s="28"/>
    </row>
    <row r="50040">
      <c r="N50040" s="28"/>
      <c r="O50040" s="28"/>
      <c r="U50040" s="28"/>
    </row>
    <row r="50041">
      <c r="N50041" s="28"/>
      <c r="O50041" s="28"/>
      <c r="U50041" s="28"/>
    </row>
    <row r="50042">
      <c r="N50042" s="28"/>
      <c r="O50042" s="28"/>
      <c r="U50042" s="28"/>
    </row>
    <row r="50043">
      <c r="N50043" s="28"/>
      <c r="O50043" s="28"/>
      <c r="U50043" s="28"/>
    </row>
    <row r="50044">
      <c r="N50044" s="28"/>
      <c r="O50044" s="28"/>
      <c r="U50044" s="28"/>
    </row>
    <row r="50045">
      <c r="N50045" s="28"/>
      <c r="O50045" s="28"/>
      <c r="U50045" s="28"/>
    </row>
    <row r="50046">
      <c r="N50046" s="28"/>
      <c r="O50046" s="28"/>
      <c r="U50046" s="28"/>
    </row>
    <row r="50047">
      <c r="N50047" s="28"/>
      <c r="O50047" s="28"/>
      <c r="U50047" s="28"/>
    </row>
    <row r="50048">
      <c r="N50048" s="28"/>
      <c r="O50048" s="28"/>
      <c r="U50048" s="28"/>
    </row>
    <row r="50049">
      <c r="N50049" s="28"/>
      <c r="O50049" s="28"/>
      <c r="U50049" s="28"/>
    </row>
    <row r="50050">
      <c r="N50050" s="28"/>
      <c r="O50050" s="28"/>
      <c r="U50050" s="28"/>
    </row>
    <row r="50051">
      <c r="N50051" s="28"/>
      <c r="O50051" s="28"/>
      <c r="U50051" s="28"/>
    </row>
    <row r="50052">
      <c r="N50052" s="28"/>
      <c r="O50052" s="28"/>
      <c r="U50052" s="28"/>
    </row>
    <row r="50053">
      <c r="N50053" s="28"/>
      <c r="O50053" s="28"/>
      <c r="U50053" s="28"/>
    </row>
    <row r="50054">
      <c r="N50054" s="28"/>
      <c r="O50054" s="28"/>
      <c r="U50054" s="28"/>
    </row>
    <row r="50055">
      <c r="N50055" s="28"/>
      <c r="O50055" s="28"/>
      <c r="U50055" s="28"/>
    </row>
    <row r="50056">
      <c r="N50056" s="28"/>
      <c r="O50056" s="28"/>
      <c r="U50056" s="28"/>
    </row>
    <row r="50057">
      <c r="N50057" s="28"/>
      <c r="O50057" s="28"/>
      <c r="U50057" s="28"/>
    </row>
    <row r="50058">
      <c r="N50058" s="28"/>
      <c r="O50058" s="28"/>
      <c r="U50058" s="28"/>
    </row>
    <row r="50059">
      <c r="N50059" s="28"/>
      <c r="O50059" s="28"/>
      <c r="U50059" s="28"/>
    </row>
    <row r="50060">
      <c r="N50060" s="28"/>
      <c r="O50060" s="28"/>
      <c r="U50060" s="28"/>
    </row>
    <row r="50061">
      <c r="N50061" s="28"/>
      <c r="O50061" s="28"/>
      <c r="U50061" s="28"/>
    </row>
    <row r="50062">
      <c r="N50062" s="28"/>
      <c r="O50062" s="28"/>
      <c r="U50062" s="28"/>
    </row>
    <row r="50063">
      <c r="N50063" s="28"/>
      <c r="O50063" s="28"/>
      <c r="U50063" s="28"/>
    </row>
    <row r="50064">
      <c r="N50064" s="28"/>
      <c r="O50064" s="28"/>
      <c r="U50064" s="28"/>
    </row>
    <row r="50065">
      <c r="N50065" s="28"/>
      <c r="O50065" s="28"/>
      <c r="U50065" s="28"/>
    </row>
    <row r="50066">
      <c r="N50066" s="28"/>
      <c r="O50066" s="28"/>
      <c r="U50066" s="28"/>
    </row>
    <row r="50067">
      <c r="N50067" s="28"/>
      <c r="O50067" s="28"/>
      <c r="U50067" s="28"/>
    </row>
    <row r="50068">
      <c r="N50068" s="28"/>
      <c r="O50068" s="28"/>
      <c r="U50068" s="28"/>
    </row>
    <row r="50069">
      <c r="N50069" s="28"/>
      <c r="O50069" s="28"/>
      <c r="U50069" s="28"/>
    </row>
    <row r="50070">
      <c r="N50070" s="28"/>
      <c r="O50070" s="28"/>
      <c r="U50070" s="28"/>
    </row>
    <row r="50071">
      <c r="N50071" s="28"/>
      <c r="O50071" s="28"/>
      <c r="U50071" s="28"/>
    </row>
    <row r="50072">
      <c r="N50072" s="28"/>
      <c r="O50072" s="28"/>
      <c r="U50072" s="28"/>
    </row>
    <row r="50073">
      <c r="N50073" s="28"/>
      <c r="O50073" s="28"/>
      <c r="U50073" s="28"/>
    </row>
    <row r="50074">
      <c r="N50074" s="28"/>
      <c r="O50074" s="28"/>
      <c r="U50074" s="28"/>
    </row>
    <row r="50075">
      <c r="N50075" s="28"/>
      <c r="O50075" s="28"/>
      <c r="U50075" s="28"/>
    </row>
    <row r="50076">
      <c r="N50076" s="28"/>
      <c r="O50076" s="28"/>
      <c r="U50076" s="28"/>
    </row>
    <row r="50077">
      <c r="N50077" s="28"/>
      <c r="O50077" s="28"/>
      <c r="U50077" s="28"/>
    </row>
    <row r="50078">
      <c r="N50078" s="28"/>
      <c r="O50078" s="28"/>
      <c r="U50078" s="28"/>
    </row>
    <row r="50079">
      <c r="N50079" s="28"/>
      <c r="O50079" s="28"/>
      <c r="U50079" s="28"/>
    </row>
    <row r="50080">
      <c r="N50080" s="28"/>
      <c r="O50080" s="28"/>
      <c r="U50080" s="28"/>
    </row>
    <row r="50081">
      <c r="N50081" s="28"/>
      <c r="O50081" s="28"/>
      <c r="U50081" s="28"/>
    </row>
    <row r="50082">
      <c r="N50082" s="28"/>
      <c r="O50082" s="28"/>
      <c r="U50082" s="28"/>
    </row>
    <row r="50083">
      <c r="N50083" s="28"/>
      <c r="O50083" s="28"/>
      <c r="U50083" s="28"/>
    </row>
    <row r="50084">
      <c r="N50084" s="28"/>
      <c r="O50084" s="28"/>
      <c r="U50084" s="28"/>
    </row>
    <row r="50085">
      <c r="N50085" s="28"/>
      <c r="O50085" s="28"/>
      <c r="U50085" s="28"/>
    </row>
    <row r="50086">
      <c r="N50086" s="28"/>
      <c r="O50086" s="28"/>
      <c r="U50086" s="28"/>
    </row>
    <row r="50087">
      <c r="N50087" s="28"/>
      <c r="O50087" s="28"/>
      <c r="U50087" s="28"/>
    </row>
    <row r="50088">
      <c r="N50088" s="28"/>
      <c r="O50088" s="28"/>
      <c r="U50088" s="28"/>
    </row>
    <row r="50089">
      <c r="N50089" s="28"/>
      <c r="O50089" s="28"/>
      <c r="U50089" s="28"/>
    </row>
    <row r="50090">
      <c r="N50090" s="28"/>
      <c r="O50090" s="28"/>
      <c r="U50090" s="28"/>
    </row>
    <row r="50091">
      <c r="N50091" s="28"/>
      <c r="O50091" s="28"/>
      <c r="U50091" s="28"/>
    </row>
    <row r="50092">
      <c r="N50092" s="28"/>
      <c r="O50092" s="28"/>
      <c r="U50092" s="28"/>
    </row>
    <row r="50093">
      <c r="N50093" s="28"/>
      <c r="O50093" s="28"/>
      <c r="U50093" s="28"/>
    </row>
    <row r="50094">
      <c r="N50094" s="28"/>
      <c r="O50094" s="28"/>
      <c r="U50094" s="28"/>
    </row>
    <row r="50095">
      <c r="N50095" s="28"/>
      <c r="O50095" s="28"/>
      <c r="U50095" s="28"/>
    </row>
    <row r="50096">
      <c r="N50096" s="28"/>
      <c r="O50096" s="28"/>
      <c r="U50096" s="28"/>
    </row>
    <row r="50097">
      <c r="N50097" s="28"/>
      <c r="O50097" s="28"/>
      <c r="U50097" s="28"/>
    </row>
    <row r="50098">
      <c r="N50098" s="28"/>
      <c r="O50098" s="28"/>
      <c r="U50098" s="28"/>
    </row>
    <row r="50099">
      <c r="N50099" s="28"/>
      <c r="O50099" s="28"/>
      <c r="U50099" s="28"/>
    </row>
    <row r="50100">
      <c r="N50100" s="28"/>
      <c r="O50100" s="28"/>
      <c r="U50100" s="28"/>
    </row>
    <row r="50101">
      <c r="N50101" s="28"/>
      <c r="O50101" s="28"/>
      <c r="U50101" s="28"/>
    </row>
    <row r="50102">
      <c r="N50102" s="28"/>
      <c r="O50102" s="28"/>
      <c r="U50102" s="28"/>
    </row>
    <row r="50103">
      <c r="N50103" s="28"/>
      <c r="O50103" s="28"/>
      <c r="U50103" s="28"/>
    </row>
    <row r="50104">
      <c r="N50104" s="28"/>
      <c r="O50104" s="28"/>
      <c r="U50104" s="28"/>
    </row>
    <row r="50105">
      <c r="N50105" s="28"/>
      <c r="O50105" s="28"/>
      <c r="U50105" s="28"/>
    </row>
    <row r="50106">
      <c r="N50106" s="28"/>
      <c r="O50106" s="28"/>
      <c r="U50106" s="28"/>
    </row>
    <row r="50107">
      <c r="N50107" s="28"/>
      <c r="O50107" s="28"/>
      <c r="U50107" s="28"/>
    </row>
    <row r="50108">
      <c r="N50108" s="28"/>
      <c r="O50108" s="28"/>
      <c r="U50108" s="28"/>
    </row>
    <row r="50109">
      <c r="N50109" s="28"/>
      <c r="O50109" s="28"/>
      <c r="U50109" s="28"/>
    </row>
    <row r="50110">
      <c r="N50110" s="28"/>
      <c r="O50110" s="28"/>
      <c r="U50110" s="28"/>
    </row>
    <row r="50111">
      <c r="N50111" s="28"/>
      <c r="O50111" s="28"/>
      <c r="U50111" s="28"/>
    </row>
    <row r="50112">
      <c r="N50112" s="28"/>
      <c r="O50112" s="28"/>
      <c r="U50112" s="28"/>
    </row>
    <row r="50113">
      <c r="N50113" s="28"/>
      <c r="O50113" s="28"/>
      <c r="U50113" s="28"/>
    </row>
    <row r="50114">
      <c r="N50114" s="28"/>
      <c r="O50114" s="28"/>
      <c r="U50114" s="28"/>
    </row>
    <row r="50115">
      <c r="N50115" s="28"/>
      <c r="O50115" s="28"/>
      <c r="U50115" s="28"/>
    </row>
    <row r="50116">
      <c r="N50116" s="28"/>
      <c r="O50116" s="28"/>
      <c r="U50116" s="28"/>
    </row>
    <row r="50117">
      <c r="N50117" s="28"/>
      <c r="O50117" s="28"/>
      <c r="U50117" s="28"/>
    </row>
    <row r="50118">
      <c r="N50118" s="28"/>
      <c r="O50118" s="28"/>
      <c r="U50118" s="28"/>
    </row>
    <row r="50119">
      <c r="N50119" s="28"/>
      <c r="O50119" s="28"/>
      <c r="U50119" s="28"/>
    </row>
    <row r="50120">
      <c r="N50120" s="28"/>
      <c r="O50120" s="28"/>
      <c r="U50120" s="28"/>
    </row>
    <row r="50121">
      <c r="N50121" s="28"/>
      <c r="O50121" s="28"/>
      <c r="U50121" s="28"/>
    </row>
    <row r="50122">
      <c r="N50122" s="28"/>
      <c r="O50122" s="28"/>
      <c r="U50122" s="28"/>
    </row>
    <row r="50123">
      <c r="N50123" s="28"/>
      <c r="O50123" s="28"/>
      <c r="U50123" s="28"/>
    </row>
    <row r="50124">
      <c r="N50124" s="28"/>
      <c r="O50124" s="28"/>
      <c r="U50124" s="28"/>
    </row>
    <row r="50125">
      <c r="N50125" s="28"/>
      <c r="O50125" s="28"/>
      <c r="U50125" s="28"/>
    </row>
    <row r="50126">
      <c r="N50126" s="28"/>
      <c r="O50126" s="28"/>
      <c r="U50126" s="28"/>
    </row>
    <row r="50127">
      <c r="N50127" s="28"/>
      <c r="O50127" s="28"/>
      <c r="U50127" s="28"/>
    </row>
    <row r="50128">
      <c r="N50128" s="28"/>
      <c r="O50128" s="28"/>
      <c r="U50128" s="28"/>
    </row>
    <row r="50129">
      <c r="N50129" s="28"/>
      <c r="O50129" s="28"/>
      <c r="U50129" s="28"/>
    </row>
    <row r="50130">
      <c r="N50130" s="28"/>
      <c r="O50130" s="28"/>
      <c r="U50130" s="28"/>
    </row>
    <row r="50131">
      <c r="N50131" s="28"/>
      <c r="O50131" s="28"/>
      <c r="U50131" s="28"/>
    </row>
    <row r="50132">
      <c r="N50132" s="28"/>
      <c r="O50132" s="28"/>
      <c r="U50132" s="28"/>
    </row>
    <row r="50133">
      <c r="N50133" s="28"/>
      <c r="O50133" s="28"/>
      <c r="U50133" s="28"/>
    </row>
    <row r="50134">
      <c r="N50134" s="28"/>
      <c r="O50134" s="28"/>
      <c r="U50134" s="28"/>
    </row>
    <row r="50135">
      <c r="N50135" s="28"/>
      <c r="O50135" s="28"/>
      <c r="U50135" s="28"/>
    </row>
    <row r="50136">
      <c r="N50136" s="28"/>
      <c r="O50136" s="28"/>
      <c r="U50136" s="28"/>
    </row>
    <row r="50137">
      <c r="N50137" s="28"/>
      <c r="O50137" s="28"/>
      <c r="U50137" s="28"/>
    </row>
    <row r="50138">
      <c r="N50138" s="28"/>
      <c r="O50138" s="28"/>
      <c r="U50138" s="28"/>
    </row>
    <row r="50139">
      <c r="N50139" s="28"/>
      <c r="O50139" s="28"/>
      <c r="U50139" s="28"/>
    </row>
    <row r="50140">
      <c r="N50140" s="28"/>
      <c r="O50140" s="28"/>
      <c r="U50140" s="28"/>
    </row>
    <row r="50141">
      <c r="N50141" s="28"/>
      <c r="O50141" s="28"/>
      <c r="U50141" s="28"/>
    </row>
    <row r="50142">
      <c r="N50142" s="28"/>
      <c r="O50142" s="28"/>
      <c r="U50142" s="28"/>
    </row>
    <row r="50143">
      <c r="N50143" s="28"/>
      <c r="O50143" s="28"/>
      <c r="U50143" s="28"/>
    </row>
    <row r="50144">
      <c r="N50144" s="28"/>
      <c r="O50144" s="28"/>
      <c r="U50144" s="28"/>
    </row>
    <row r="50145">
      <c r="N50145" s="28"/>
      <c r="O50145" s="28"/>
      <c r="U50145" s="28"/>
    </row>
    <row r="50146">
      <c r="N50146" s="28"/>
      <c r="O50146" s="28"/>
      <c r="U50146" s="28"/>
    </row>
    <row r="50147">
      <c r="N50147" s="28"/>
      <c r="O50147" s="28"/>
      <c r="U50147" s="28"/>
    </row>
    <row r="50148">
      <c r="N50148" s="28"/>
      <c r="O50148" s="28"/>
      <c r="U50148" s="28"/>
    </row>
    <row r="50149">
      <c r="N50149" s="28"/>
      <c r="O50149" s="28"/>
      <c r="U50149" s="28"/>
    </row>
    <row r="50150">
      <c r="N50150" s="28"/>
      <c r="O50150" s="28"/>
      <c r="U50150" s="28"/>
    </row>
    <row r="50151">
      <c r="N50151" s="28"/>
      <c r="O50151" s="28"/>
      <c r="U50151" s="28"/>
    </row>
    <row r="50152">
      <c r="N50152" s="28"/>
      <c r="O50152" s="28"/>
      <c r="U50152" s="28"/>
    </row>
    <row r="50153">
      <c r="N50153" s="28"/>
      <c r="O50153" s="28"/>
      <c r="U50153" s="28"/>
    </row>
    <row r="50154">
      <c r="N50154" s="28"/>
      <c r="O50154" s="28"/>
      <c r="U50154" s="28"/>
    </row>
    <row r="50155">
      <c r="N50155" s="28"/>
      <c r="O50155" s="28"/>
      <c r="U50155" s="28"/>
    </row>
    <row r="50156">
      <c r="N50156" s="28"/>
      <c r="O50156" s="28"/>
      <c r="U50156" s="28"/>
    </row>
    <row r="50157">
      <c r="N50157" s="28"/>
      <c r="O50157" s="28"/>
      <c r="U50157" s="28"/>
    </row>
    <row r="50158">
      <c r="N50158" s="28"/>
      <c r="O50158" s="28"/>
      <c r="U50158" s="28"/>
    </row>
    <row r="50159">
      <c r="N50159" s="28"/>
      <c r="O50159" s="28"/>
      <c r="U50159" s="28"/>
    </row>
    <row r="50160">
      <c r="N50160" s="28"/>
      <c r="O50160" s="28"/>
      <c r="U50160" s="28"/>
    </row>
    <row r="50161">
      <c r="N50161" s="28"/>
      <c r="O50161" s="28"/>
      <c r="U50161" s="28"/>
    </row>
    <row r="50162">
      <c r="N50162" s="28"/>
      <c r="O50162" s="28"/>
      <c r="U50162" s="28"/>
    </row>
    <row r="50163">
      <c r="N50163" s="28"/>
      <c r="O50163" s="28"/>
      <c r="U50163" s="28"/>
    </row>
    <row r="50164">
      <c r="N50164" s="28"/>
      <c r="O50164" s="28"/>
      <c r="U50164" s="28"/>
    </row>
    <row r="50165">
      <c r="N50165" s="28"/>
      <c r="O50165" s="28"/>
      <c r="U50165" s="28"/>
    </row>
    <row r="50166">
      <c r="N50166" s="28"/>
      <c r="O50166" s="28"/>
      <c r="U50166" s="28"/>
    </row>
    <row r="50167">
      <c r="N50167" s="28"/>
      <c r="O50167" s="28"/>
      <c r="U50167" s="28"/>
    </row>
    <row r="50168">
      <c r="N50168" s="28"/>
      <c r="O50168" s="28"/>
      <c r="U50168" s="28"/>
    </row>
    <row r="50169">
      <c r="N50169" s="28"/>
      <c r="O50169" s="28"/>
      <c r="U50169" s="28"/>
    </row>
    <row r="50170">
      <c r="N50170" s="28"/>
      <c r="O50170" s="28"/>
      <c r="U50170" s="28"/>
    </row>
    <row r="50171">
      <c r="N50171" s="28"/>
      <c r="O50171" s="28"/>
      <c r="U50171" s="28"/>
    </row>
    <row r="50172">
      <c r="N50172" s="28"/>
      <c r="O50172" s="28"/>
      <c r="U50172" s="28"/>
    </row>
    <row r="50173">
      <c r="N50173" s="28"/>
      <c r="O50173" s="28"/>
      <c r="U50173" s="28"/>
    </row>
    <row r="50174">
      <c r="N50174" s="28"/>
      <c r="O50174" s="28"/>
      <c r="U50174" s="28"/>
    </row>
    <row r="50175">
      <c r="N50175" s="28"/>
      <c r="O50175" s="28"/>
      <c r="U50175" s="28"/>
    </row>
    <row r="50176">
      <c r="N50176" s="28"/>
      <c r="O50176" s="28"/>
      <c r="U50176" s="28"/>
    </row>
    <row r="50177">
      <c r="N50177" s="28"/>
      <c r="O50177" s="28"/>
      <c r="U50177" s="28"/>
    </row>
    <row r="50178">
      <c r="N50178" s="28"/>
      <c r="O50178" s="28"/>
      <c r="U50178" s="28"/>
    </row>
    <row r="50179">
      <c r="N50179" s="28"/>
      <c r="O50179" s="28"/>
      <c r="U50179" s="28"/>
    </row>
    <row r="50180">
      <c r="N50180" s="28"/>
      <c r="O50180" s="28"/>
      <c r="U50180" s="28"/>
    </row>
    <row r="50181">
      <c r="N50181" s="28"/>
      <c r="O50181" s="28"/>
      <c r="U50181" s="28"/>
    </row>
    <row r="50182">
      <c r="N50182" s="28"/>
      <c r="O50182" s="28"/>
      <c r="U50182" s="28"/>
    </row>
    <row r="50183">
      <c r="N50183" s="28"/>
      <c r="O50183" s="28"/>
      <c r="U50183" s="28"/>
    </row>
    <row r="50184">
      <c r="N50184" s="28"/>
      <c r="O50184" s="28"/>
      <c r="U50184" s="28"/>
    </row>
    <row r="50185">
      <c r="N50185" s="28"/>
      <c r="O50185" s="28"/>
      <c r="U50185" s="28"/>
    </row>
    <row r="50186">
      <c r="N50186" s="28"/>
      <c r="O50186" s="28"/>
      <c r="U50186" s="28"/>
    </row>
    <row r="50187">
      <c r="N50187" s="28"/>
      <c r="O50187" s="28"/>
      <c r="U50187" s="28"/>
    </row>
    <row r="50188">
      <c r="N50188" s="28"/>
      <c r="O50188" s="28"/>
      <c r="U50188" s="28"/>
    </row>
    <row r="50189">
      <c r="N50189" s="28"/>
      <c r="O50189" s="28"/>
      <c r="U50189" s="28"/>
    </row>
    <row r="50190">
      <c r="N50190" s="28"/>
      <c r="O50190" s="28"/>
      <c r="U50190" s="28"/>
    </row>
    <row r="50191">
      <c r="N50191" s="28"/>
      <c r="O50191" s="28"/>
      <c r="U50191" s="28"/>
    </row>
    <row r="50192">
      <c r="N50192" s="28"/>
      <c r="O50192" s="28"/>
      <c r="U50192" s="28"/>
    </row>
    <row r="50193">
      <c r="N50193" s="28"/>
      <c r="O50193" s="28"/>
      <c r="U50193" s="28"/>
    </row>
    <row r="50194">
      <c r="N50194" s="28"/>
      <c r="O50194" s="28"/>
      <c r="U50194" s="28"/>
    </row>
    <row r="50195">
      <c r="N50195" s="28"/>
      <c r="O50195" s="28"/>
      <c r="U50195" s="28"/>
    </row>
    <row r="50196">
      <c r="N50196" s="28"/>
      <c r="O50196" s="28"/>
      <c r="U50196" s="28"/>
    </row>
    <row r="50197">
      <c r="N50197" s="28"/>
      <c r="O50197" s="28"/>
      <c r="U50197" s="28"/>
    </row>
    <row r="50198">
      <c r="N50198" s="28"/>
      <c r="O50198" s="28"/>
      <c r="U50198" s="28"/>
    </row>
    <row r="50199">
      <c r="N50199" s="28"/>
      <c r="O50199" s="28"/>
      <c r="U50199" s="28"/>
    </row>
    <row r="50200">
      <c r="N50200" s="28"/>
      <c r="O50200" s="28"/>
      <c r="U50200" s="28"/>
    </row>
    <row r="50201">
      <c r="N50201" s="28"/>
      <c r="O50201" s="28"/>
      <c r="U50201" s="28"/>
    </row>
    <row r="50202">
      <c r="N50202" s="28"/>
      <c r="O50202" s="28"/>
      <c r="U50202" s="28"/>
    </row>
    <row r="50203">
      <c r="N50203" s="28"/>
      <c r="O50203" s="28"/>
      <c r="U50203" s="28"/>
    </row>
    <row r="50204">
      <c r="N50204" s="28"/>
      <c r="O50204" s="28"/>
      <c r="U50204" s="28"/>
    </row>
    <row r="50205">
      <c r="N50205" s="28"/>
      <c r="O50205" s="28"/>
      <c r="U50205" s="28"/>
    </row>
    <row r="50206">
      <c r="N50206" s="28"/>
      <c r="O50206" s="28"/>
      <c r="U50206" s="28"/>
    </row>
    <row r="50207">
      <c r="N50207" s="28"/>
      <c r="O50207" s="28"/>
      <c r="U50207" s="28"/>
    </row>
    <row r="50208">
      <c r="N50208" s="28"/>
      <c r="O50208" s="28"/>
      <c r="U50208" s="28"/>
    </row>
    <row r="50209">
      <c r="N50209" s="28"/>
      <c r="O50209" s="28"/>
      <c r="U50209" s="28"/>
    </row>
    <row r="50210">
      <c r="N50210" s="28"/>
      <c r="O50210" s="28"/>
      <c r="U50210" s="28"/>
    </row>
    <row r="50211">
      <c r="N50211" s="28"/>
      <c r="O50211" s="28"/>
      <c r="U50211" s="28"/>
    </row>
    <row r="50212">
      <c r="N50212" s="28"/>
      <c r="O50212" s="28"/>
      <c r="U50212" s="28"/>
    </row>
    <row r="50213">
      <c r="N50213" s="28"/>
      <c r="O50213" s="28"/>
      <c r="U50213" s="28"/>
    </row>
    <row r="50214">
      <c r="N50214" s="28"/>
      <c r="O50214" s="28"/>
      <c r="U50214" s="28"/>
    </row>
    <row r="50215">
      <c r="N50215" s="28"/>
      <c r="O50215" s="28"/>
      <c r="U50215" s="28"/>
    </row>
    <row r="50216">
      <c r="N50216" s="28"/>
      <c r="O50216" s="28"/>
      <c r="U50216" s="28"/>
    </row>
    <row r="50217">
      <c r="N50217" s="28"/>
      <c r="O50217" s="28"/>
      <c r="U50217" s="28"/>
    </row>
    <row r="50218">
      <c r="N50218" s="28"/>
      <c r="O50218" s="28"/>
      <c r="U50218" s="28"/>
    </row>
    <row r="50219">
      <c r="N50219" s="28"/>
      <c r="O50219" s="28"/>
      <c r="U50219" s="28"/>
    </row>
    <row r="50220">
      <c r="N50220" s="28"/>
      <c r="O50220" s="28"/>
      <c r="U50220" s="28"/>
    </row>
    <row r="50221">
      <c r="N50221" s="28"/>
      <c r="O50221" s="28"/>
      <c r="U50221" s="28"/>
    </row>
    <row r="50222">
      <c r="N50222" s="28"/>
      <c r="O50222" s="28"/>
      <c r="U50222" s="28"/>
    </row>
    <row r="50223">
      <c r="N50223" s="28"/>
      <c r="O50223" s="28"/>
      <c r="U50223" s="28"/>
    </row>
    <row r="50224">
      <c r="N50224" s="28"/>
      <c r="O50224" s="28"/>
      <c r="U50224" s="28"/>
    </row>
    <row r="50225">
      <c r="N50225" s="28"/>
      <c r="O50225" s="28"/>
      <c r="U50225" s="28"/>
    </row>
    <row r="50226">
      <c r="N50226" s="28"/>
      <c r="O50226" s="28"/>
      <c r="U50226" s="28"/>
    </row>
    <row r="50227">
      <c r="N50227" s="28"/>
      <c r="O50227" s="28"/>
      <c r="U50227" s="28"/>
    </row>
    <row r="50228">
      <c r="N50228" s="28"/>
      <c r="O50228" s="28"/>
      <c r="U50228" s="28"/>
    </row>
    <row r="50229">
      <c r="N50229" s="28"/>
      <c r="O50229" s="28"/>
      <c r="U50229" s="28"/>
    </row>
    <row r="50230">
      <c r="N50230" s="28"/>
      <c r="O50230" s="28"/>
      <c r="U50230" s="28"/>
    </row>
    <row r="50231">
      <c r="N50231" s="28"/>
      <c r="O50231" s="28"/>
      <c r="U50231" s="28"/>
    </row>
    <row r="50232">
      <c r="N50232" s="28"/>
      <c r="O50232" s="28"/>
      <c r="U50232" s="28"/>
    </row>
    <row r="50233">
      <c r="N50233" s="28"/>
      <c r="O50233" s="28"/>
      <c r="U50233" s="28"/>
    </row>
    <row r="50234">
      <c r="N50234" s="28"/>
      <c r="O50234" s="28"/>
      <c r="U50234" s="28"/>
    </row>
    <row r="50235">
      <c r="N50235" s="28"/>
      <c r="O50235" s="28"/>
      <c r="U50235" s="28"/>
    </row>
    <row r="50236">
      <c r="N50236" s="28"/>
      <c r="O50236" s="28"/>
      <c r="U50236" s="28"/>
    </row>
    <row r="50237">
      <c r="N50237" s="28"/>
      <c r="O50237" s="28"/>
      <c r="U50237" s="28"/>
    </row>
    <row r="50238">
      <c r="N50238" s="28"/>
      <c r="O50238" s="28"/>
      <c r="U50238" s="28"/>
    </row>
    <row r="50239">
      <c r="N50239" s="28"/>
      <c r="O50239" s="28"/>
      <c r="U50239" s="28"/>
    </row>
    <row r="50240">
      <c r="N50240" s="28"/>
      <c r="O50240" s="28"/>
      <c r="U50240" s="28"/>
    </row>
    <row r="50241">
      <c r="N50241" s="28"/>
      <c r="O50241" s="28"/>
      <c r="U50241" s="28"/>
    </row>
    <row r="50242">
      <c r="N50242" s="28"/>
      <c r="O50242" s="28"/>
      <c r="U50242" s="28"/>
    </row>
    <row r="50243">
      <c r="N50243" s="28"/>
      <c r="O50243" s="28"/>
      <c r="U50243" s="28"/>
    </row>
    <row r="50244">
      <c r="N50244" s="28"/>
      <c r="O50244" s="28"/>
      <c r="U50244" s="28"/>
    </row>
    <row r="50245">
      <c r="N50245" s="28"/>
      <c r="O50245" s="28"/>
      <c r="U50245" s="28"/>
    </row>
    <row r="50246">
      <c r="N50246" s="28"/>
      <c r="O50246" s="28"/>
      <c r="U50246" s="28"/>
    </row>
    <row r="50247">
      <c r="N50247" s="28"/>
      <c r="O50247" s="28"/>
      <c r="U50247" s="28"/>
    </row>
    <row r="50248">
      <c r="N50248" s="28"/>
      <c r="O50248" s="28"/>
      <c r="U50248" s="28"/>
    </row>
    <row r="50249">
      <c r="N50249" s="28"/>
      <c r="O50249" s="28"/>
      <c r="U50249" s="28"/>
    </row>
    <row r="50250">
      <c r="N50250" s="28"/>
      <c r="O50250" s="28"/>
      <c r="U50250" s="28"/>
    </row>
    <row r="50251">
      <c r="N50251" s="28"/>
      <c r="O50251" s="28"/>
      <c r="U50251" s="28"/>
    </row>
    <row r="50252">
      <c r="N50252" s="28"/>
      <c r="O50252" s="28"/>
      <c r="U50252" s="28"/>
    </row>
    <row r="50253">
      <c r="N50253" s="28"/>
      <c r="O50253" s="28"/>
      <c r="U50253" s="28"/>
    </row>
    <row r="50254">
      <c r="N50254" s="28"/>
      <c r="O50254" s="28"/>
      <c r="U50254" s="28"/>
    </row>
    <row r="50255">
      <c r="N50255" s="28"/>
      <c r="O50255" s="28"/>
      <c r="U50255" s="28"/>
    </row>
    <row r="50256">
      <c r="N50256" s="28"/>
      <c r="O50256" s="28"/>
      <c r="U50256" s="28"/>
    </row>
    <row r="50257">
      <c r="N50257" s="28"/>
      <c r="O50257" s="28"/>
      <c r="U50257" s="28"/>
    </row>
    <row r="50258">
      <c r="N50258" s="28"/>
      <c r="O50258" s="28"/>
      <c r="U50258" s="28"/>
    </row>
    <row r="50259">
      <c r="N50259" s="28"/>
      <c r="O50259" s="28"/>
      <c r="U50259" s="28"/>
    </row>
    <row r="50260">
      <c r="N50260" s="28"/>
      <c r="O50260" s="28"/>
      <c r="U50260" s="28"/>
    </row>
    <row r="50261">
      <c r="N50261" s="28"/>
      <c r="O50261" s="28"/>
      <c r="U50261" s="28"/>
    </row>
    <row r="50262">
      <c r="N50262" s="28"/>
      <c r="O50262" s="28"/>
      <c r="U50262" s="28"/>
    </row>
    <row r="50263">
      <c r="N50263" s="28"/>
      <c r="O50263" s="28"/>
      <c r="U50263" s="28"/>
    </row>
    <row r="50264">
      <c r="N50264" s="28"/>
      <c r="O50264" s="28"/>
      <c r="U50264" s="28"/>
    </row>
    <row r="50265">
      <c r="N50265" s="28"/>
      <c r="O50265" s="28"/>
      <c r="U50265" s="28"/>
    </row>
    <row r="50266">
      <c r="N50266" s="28"/>
      <c r="O50266" s="28"/>
      <c r="U50266" s="28"/>
    </row>
    <row r="50267">
      <c r="N50267" s="28"/>
      <c r="O50267" s="28"/>
      <c r="U50267" s="28"/>
    </row>
    <row r="50268">
      <c r="N50268" s="28"/>
      <c r="O50268" s="28"/>
      <c r="U50268" s="28"/>
    </row>
    <row r="50269">
      <c r="N50269" s="28"/>
      <c r="O50269" s="28"/>
      <c r="U50269" s="28"/>
    </row>
    <row r="50270">
      <c r="N50270" s="28"/>
      <c r="O50270" s="28"/>
      <c r="U50270" s="28"/>
    </row>
    <row r="50271">
      <c r="N50271" s="28"/>
      <c r="O50271" s="28"/>
      <c r="U50271" s="28"/>
    </row>
    <row r="50272">
      <c r="N50272" s="28"/>
      <c r="O50272" s="28"/>
      <c r="U50272" s="28"/>
    </row>
    <row r="50273">
      <c r="N50273" s="28"/>
      <c r="O50273" s="28"/>
      <c r="U50273" s="28"/>
    </row>
    <row r="50274">
      <c r="N50274" s="28"/>
      <c r="O50274" s="28"/>
      <c r="U50274" s="28"/>
    </row>
    <row r="50275">
      <c r="N50275" s="28"/>
      <c r="O50275" s="28"/>
      <c r="U50275" s="28"/>
    </row>
    <row r="50276">
      <c r="N50276" s="28"/>
      <c r="O50276" s="28"/>
      <c r="U50276" s="28"/>
    </row>
    <row r="50277">
      <c r="N50277" s="28"/>
      <c r="O50277" s="28"/>
      <c r="U50277" s="28"/>
    </row>
    <row r="50278">
      <c r="N50278" s="28"/>
      <c r="O50278" s="28"/>
      <c r="U50278" s="28"/>
    </row>
    <row r="50279">
      <c r="N50279" s="28"/>
      <c r="O50279" s="28"/>
      <c r="U50279" s="28"/>
    </row>
    <row r="50280">
      <c r="N50280" s="28"/>
      <c r="O50280" s="28"/>
      <c r="U50280" s="28"/>
    </row>
    <row r="50281">
      <c r="N50281" s="28"/>
      <c r="O50281" s="28"/>
      <c r="U50281" s="28"/>
    </row>
    <row r="50282">
      <c r="N50282" s="28"/>
      <c r="O50282" s="28"/>
      <c r="U50282" s="28"/>
    </row>
    <row r="50283">
      <c r="N50283" s="28"/>
      <c r="O50283" s="28"/>
      <c r="U50283" s="28"/>
    </row>
    <row r="50284">
      <c r="N50284" s="28"/>
      <c r="O50284" s="28"/>
      <c r="U50284" s="28"/>
    </row>
    <row r="50285">
      <c r="N50285" s="28"/>
      <c r="O50285" s="28"/>
      <c r="U50285" s="28"/>
    </row>
    <row r="50286">
      <c r="N50286" s="28"/>
      <c r="O50286" s="28"/>
      <c r="U50286" s="28"/>
    </row>
    <row r="50287">
      <c r="N50287" s="28"/>
      <c r="O50287" s="28"/>
      <c r="U50287" s="28"/>
    </row>
    <row r="50288">
      <c r="N50288" s="28"/>
      <c r="O50288" s="28"/>
      <c r="U50288" s="28"/>
    </row>
    <row r="50289">
      <c r="N50289" s="28"/>
      <c r="O50289" s="28"/>
      <c r="U50289" s="28"/>
    </row>
    <row r="50290">
      <c r="N50290" s="28"/>
      <c r="O50290" s="28"/>
      <c r="U50290" s="28"/>
    </row>
    <row r="50291">
      <c r="N50291" s="28"/>
      <c r="O50291" s="28"/>
      <c r="U50291" s="28"/>
    </row>
    <row r="50292">
      <c r="N50292" s="28"/>
      <c r="O50292" s="28"/>
      <c r="U50292" s="28"/>
    </row>
    <row r="50293">
      <c r="N50293" s="28"/>
      <c r="O50293" s="28"/>
      <c r="U50293" s="28"/>
    </row>
    <row r="50294">
      <c r="N50294" s="28"/>
      <c r="O50294" s="28"/>
      <c r="U50294" s="28"/>
    </row>
    <row r="50295">
      <c r="N50295" s="28"/>
      <c r="O50295" s="28"/>
      <c r="U50295" s="28"/>
    </row>
    <row r="50296">
      <c r="N50296" s="28"/>
      <c r="O50296" s="28"/>
      <c r="U50296" s="28"/>
    </row>
    <row r="50297">
      <c r="N50297" s="28"/>
      <c r="O50297" s="28"/>
      <c r="U50297" s="28"/>
    </row>
    <row r="50298">
      <c r="N50298" s="28"/>
      <c r="O50298" s="28"/>
      <c r="U50298" s="28"/>
    </row>
    <row r="50299">
      <c r="N50299" s="28"/>
      <c r="O50299" s="28"/>
      <c r="U50299" s="28"/>
    </row>
    <row r="50300">
      <c r="N50300" s="28"/>
      <c r="O50300" s="28"/>
      <c r="U50300" s="28"/>
    </row>
    <row r="50301">
      <c r="N50301" s="28"/>
      <c r="O50301" s="28"/>
      <c r="U50301" s="28"/>
    </row>
    <row r="50302">
      <c r="N50302" s="28"/>
      <c r="O50302" s="28"/>
      <c r="U50302" s="28"/>
    </row>
    <row r="50303">
      <c r="N50303" s="28"/>
      <c r="O50303" s="28"/>
      <c r="U50303" s="28"/>
    </row>
    <row r="50304">
      <c r="N50304" s="28"/>
      <c r="O50304" s="28"/>
      <c r="U50304" s="28"/>
    </row>
    <row r="50305">
      <c r="N50305" s="28"/>
      <c r="O50305" s="28"/>
      <c r="U50305" s="28"/>
    </row>
    <row r="50306">
      <c r="N50306" s="28"/>
      <c r="O50306" s="28"/>
      <c r="U50306" s="28"/>
    </row>
    <row r="50307">
      <c r="N50307" s="28"/>
      <c r="O50307" s="28"/>
      <c r="U50307" s="28"/>
    </row>
    <row r="50308">
      <c r="N50308" s="28"/>
      <c r="O50308" s="28"/>
      <c r="U50308" s="28"/>
    </row>
    <row r="50309">
      <c r="N50309" s="28"/>
      <c r="O50309" s="28"/>
      <c r="U50309" s="28"/>
    </row>
    <row r="50310">
      <c r="N50310" s="28"/>
      <c r="O50310" s="28"/>
      <c r="U50310" s="28"/>
    </row>
    <row r="50311">
      <c r="N50311" s="28"/>
      <c r="O50311" s="28"/>
      <c r="U50311" s="28"/>
    </row>
    <row r="50312">
      <c r="N50312" s="28"/>
      <c r="O50312" s="28"/>
      <c r="U50312" s="28"/>
    </row>
    <row r="50313">
      <c r="N50313" s="28"/>
      <c r="O50313" s="28"/>
      <c r="U50313" s="28"/>
    </row>
    <row r="50314">
      <c r="N50314" s="28"/>
      <c r="O50314" s="28"/>
      <c r="U50314" s="28"/>
    </row>
    <row r="50315">
      <c r="N50315" s="28"/>
      <c r="O50315" s="28"/>
      <c r="U50315" s="28"/>
    </row>
    <row r="50316">
      <c r="N50316" s="28"/>
      <c r="O50316" s="28"/>
      <c r="U50316" s="28"/>
    </row>
    <row r="50317">
      <c r="N50317" s="28"/>
      <c r="O50317" s="28"/>
      <c r="U50317" s="28"/>
    </row>
    <row r="50318">
      <c r="N50318" s="28"/>
      <c r="O50318" s="28"/>
      <c r="U50318" s="28"/>
    </row>
    <row r="50319">
      <c r="N50319" s="28"/>
      <c r="O50319" s="28"/>
      <c r="U50319" s="28"/>
    </row>
    <row r="50320">
      <c r="N50320" s="28"/>
      <c r="O50320" s="28"/>
      <c r="U50320" s="28"/>
    </row>
    <row r="50321">
      <c r="N50321" s="28"/>
      <c r="O50321" s="28"/>
      <c r="U50321" s="28"/>
    </row>
    <row r="50322">
      <c r="N50322" s="28"/>
      <c r="O50322" s="28"/>
      <c r="U50322" s="28"/>
    </row>
    <row r="50323">
      <c r="N50323" s="28"/>
      <c r="O50323" s="28"/>
      <c r="U50323" s="28"/>
    </row>
    <row r="50324">
      <c r="N50324" s="28"/>
      <c r="O50324" s="28"/>
      <c r="U50324" s="28"/>
    </row>
    <row r="50325">
      <c r="N50325" s="28"/>
      <c r="O50325" s="28"/>
      <c r="U50325" s="28"/>
    </row>
    <row r="50326">
      <c r="N50326" s="28"/>
      <c r="O50326" s="28"/>
      <c r="U50326" s="28"/>
    </row>
    <row r="50327">
      <c r="N50327" s="28"/>
      <c r="O50327" s="28"/>
      <c r="U50327" s="28"/>
    </row>
    <row r="50328">
      <c r="N50328" s="28"/>
      <c r="O50328" s="28"/>
      <c r="U50328" s="28"/>
    </row>
    <row r="50329">
      <c r="N50329" s="28"/>
      <c r="O50329" s="28"/>
      <c r="U50329" s="28"/>
    </row>
    <row r="50330">
      <c r="N50330" s="28"/>
      <c r="O50330" s="28"/>
      <c r="U50330" s="28"/>
    </row>
    <row r="50331">
      <c r="N50331" s="28"/>
      <c r="O50331" s="28"/>
      <c r="U50331" s="28"/>
    </row>
    <row r="50332">
      <c r="N50332" s="28"/>
      <c r="O50332" s="28"/>
      <c r="U50332" s="28"/>
    </row>
    <row r="50333">
      <c r="N50333" s="28"/>
      <c r="O50333" s="28"/>
      <c r="U50333" s="28"/>
    </row>
    <row r="50334">
      <c r="N50334" s="28"/>
      <c r="O50334" s="28"/>
      <c r="U50334" s="28"/>
    </row>
    <row r="50335">
      <c r="N50335" s="28"/>
      <c r="O50335" s="28"/>
      <c r="U50335" s="28"/>
    </row>
    <row r="50336">
      <c r="N50336" s="28"/>
      <c r="O50336" s="28"/>
      <c r="U50336" s="28"/>
    </row>
    <row r="50337">
      <c r="N50337" s="28"/>
      <c r="O50337" s="28"/>
      <c r="U50337" s="28"/>
    </row>
    <row r="50338">
      <c r="N50338" s="28"/>
      <c r="O50338" s="28"/>
      <c r="U50338" s="28"/>
    </row>
    <row r="50339">
      <c r="N50339" s="28"/>
      <c r="O50339" s="28"/>
      <c r="U50339" s="28"/>
    </row>
    <row r="50340">
      <c r="N50340" s="28"/>
      <c r="O50340" s="28"/>
      <c r="U50340" s="28"/>
    </row>
    <row r="50341">
      <c r="N50341" s="28"/>
      <c r="O50341" s="28"/>
      <c r="U50341" s="28"/>
    </row>
    <row r="50342">
      <c r="N50342" s="28"/>
      <c r="O50342" s="28"/>
      <c r="U50342" s="28"/>
    </row>
    <row r="50343">
      <c r="N50343" s="28"/>
      <c r="O50343" s="28"/>
      <c r="U50343" s="28"/>
    </row>
    <row r="50344">
      <c r="N50344" s="28"/>
      <c r="O50344" s="28"/>
      <c r="U50344" s="28"/>
    </row>
    <row r="50345">
      <c r="N50345" s="28"/>
      <c r="O50345" s="28"/>
      <c r="U50345" s="28"/>
    </row>
    <row r="50346">
      <c r="N50346" s="28"/>
      <c r="O50346" s="28"/>
      <c r="U50346" s="28"/>
    </row>
    <row r="50347">
      <c r="N50347" s="28"/>
      <c r="O50347" s="28"/>
      <c r="U50347" s="28"/>
    </row>
    <row r="50348">
      <c r="N50348" s="28"/>
      <c r="O50348" s="28"/>
      <c r="U50348" s="28"/>
    </row>
    <row r="50349">
      <c r="N50349" s="28"/>
      <c r="O50349" s="28"/>
      <c r="U50349" s="28"/>
    </row>
    <row r="50350">
      <c r="N50350" s="28"/>
      <c r="O50350" s="28"/>
      <c r="U50350" s="28"/>
    </row>
    <row r="50351">
      <c r="N50351" s="28"/>
      <c r="O50351" s="28"/>
      <c r="U50351" s="28"/>
    </row>
    <row r="50352">
      <c r="N50352" s="28"/>
      <c r="O50352" s="28"/>
      <c r="U50352" s="28"/>
    </row>
    <row r="50353">
      <c r="N50353" s="28"/>
      <c r="O50353" s="28"/>
      <c r="U50353" s="28"/>
    </row>
    <row r="50354">
      <c r="N50354" s="28"/>
      <c r="O50354" s="28"/>
      <c r="U50354" s="28"/>
    </row>
    <row r="50355">
      <c r="N50355" s="28"/>
      <c r="O50355" s="28"/>
      <c r="U50355" s="28"/>
    </row>
    <row r="50356">
      <c r="N50356" s="28"/>
      <c r="O50356" s="28"/>
      <c r="U50356" s="28"/>
    </row>
    <row r="50357">
      <c r="N50357" s="28"/>
      <c r="O50357" s="28"/>
      <c r="U50357" s="28"/>
    </row>
    <row r="50358">
      <c r="N50358" s="28"/>
      <c r="O50358" s="28"/>
      <c r="U50358" s="28"/>
    </row>
    <row r="50359">
      <c r="N50359" s="28"/>
      <c r="O50359" s="28"/>
      <c r="U50359" s="28"/>
    </row>
    <row r="50360">
      <c r="N50360" s="28"/>
      <c r="O50360" s="28"/>
      <c r="U50360" s="28"/>
    </row>
    <row r="50361">
      <c r="N50361" s="28"/>
      <c r="O50361" s="28"/>
      <c r="U50361" s="28"/>
    </row>
    <row r="50362">
      <c r="N50362" s="28"/>
      <c r="O50362" s="28"/>
      <c r="U50362" s="28"/>
    </row>
    <row r="50363">
      <c r="N50363" s="28"/>
      <c r="O50363" s="28"/>
      <c r="U50363" s="28"/>
    </row>
    <row r="50364">
      <c r="N50364" s="28"/>
      <c r="O50364" s="28"/>
      <c r="U50364" s="28"/>
    </row>
    <row r="50365">
      <c r="N50365" s="28"/>
      <c r="O50365" s="28"/>
      <c r="U50365" s="28"/>
    </row>
    <row r="50366">
      <c r="N50366" s="28"/>
      <c r="O50366" s="28"/>
      <c r="U50366" s="28"/>
    </row>
    <row r="50367">
      <c r="N50367" s="28"/>
      <c r="O50367" s="28"/>
      <c r="U50367" s="28"/>
    </row>
    <row r="50368">
      <c r="N50368" s="28"/>
      <c r="O50368" s="28"/>
      <c r="U50368" s="28"/>
    </row>
    <row r="50369">
      <c r="N50369" s="28"/>
      <c r="O50369" s="28"/>
      <c r="U50369" s="28"/>
    </row>
    <row r="50370">
      <c r="N50370" s="28"/>
      <c r="O50370" s="28"/>
      <c r="U50370" s="28"/>
    </row>
    <row r="50371">
      <c r="N50371" s="28"/>
      <c r="O50371" s="28"/>
      <c r="U50371" s="28"/>
    </row>
    <row r="50372">
      <c r="N50372" s="28"/>
      <c r="O50372" s="28"/>
      <c r="U50372" s="28"/>
    </row>
    <row r="50373">
      <c r="N50373" s="28"/>
      <c r="O50373" s="28"/>
      <c r="U50373" s="28"/>
    </row>
    <row r="50374">
      <c r="N50374" s="28"/>
      <c r="O50374" s="28"/>
      <c r="U50374" s="28"/>
    </row>
    <row r="50375">
      <c r="N50375" s="28"/>
      <c r="O50375" s="28"/>
      <c r="U50375" s="28"/>
    </row>
    <row r="50376">
      <c r="N50376" s="28"/>
      <c r="O50376" s="28"/>
      <c r="U50376" s="28"/>
    </row>
    <row r="50377">
      <c r="N50377" s="28"/>
      <c r="O50377" s="28"/>
      <c r="U50377" s="28"/>
    </row>
    <row r="50378">
      <c r="N50378" s="28"/>
      <c r="O50378" s="28"/>
      <c r="U50378" s="28"/>
    </row>
    <row r="50379">
      <c r="N50379" s="28"/>
      <c r="O50379" s="28"/>
      <c r="U50379" s="28"/>
    </row>
    <row r="50380">
      <c r="N50380" s="28"/>
      <c r="O50380" s="28"/>
      <c r="U50380" s="28"/>
    </row>
    <row r="50381">
      <c r="N50381" s="28"/>
      <c r="O50381" s="28"/>
      <c r="U50381" s="28"/>
    </row>
    <row r="50382">
      <c r="N50382" s="28"/>
      <c r="O50382" s="28"/>
      <c r="U50382" s="28"/>
    </row>
    <row r="50383">
      <c r="N50383" s="28"/>
      <c r="O50383" s="28"/>
      <c r="U50383" s="28"/>
    </row>
    <row r="50384">
      <c r="N50384" s="28"/>
      <c r="O50384" s="28"/>
      <c r="U50384" s="28"/>
    </row>
    <row r="50385">
      <c r="N50385" s="28"/>
      <c r="O50385" s="28"/>
      <c r="U50385" s="28"/>
    </row>
    <row r="50386">
      <c r="N50386" s="28"/>
      <c r="O50386" s="28"/>
      <c r="U50386" s="28"/>
    </row>
    <row r="50387">
      <c r="N50387" s="28"/>
      <c r="O50387" s="28"/>
      <c r="U50387" s="28"/>
    </row>
    <row r="50388">
      <c r="N50388" s="28"/>
      <c r="O50388" s="28"/>
      <c r="U50388" s="28"/>
    </row>
    <row r="50389">
      <c r="N50389" s="28"/>
      <c r="O50389" s="28"/>
      <c r="U50389" s="28"/>
    </row>
    <row r="50390">
      <c r="N50390" s="28"/>
      <c r="O50390" s="28"/>
      <c r="U50390" s="28"/>
    </row>
    <row r="50391">
      <c r="N50391" s="28"/>
      <c r="O50391" s="28"/>
      <c r="U50391" s="28"/>
    </row>
    <row r="50392">
      <c r="N50392" s="28"/>
      <c r="O50392" s="28"/>
      <c r="U50392" s="28"/>
    </row>
    <row r="50393">
      <c r="N50393" s="28"/>
      <c r="O50393" s="28"/>
      <c r="U50393" s="28"/>
    </row>
    <row r="50394">
      <c r="N50394" s="28"/>
      <c r="O50394" s="28"/>
      <c r="U50394" s="28"/>
    </row>
    <row r="50395">
      <c r="N50395" s="28"/>
      <c r="O50395" s="28"/>
      <c r="U50395" s="28"/>
    </row>
    <row r="50396">
      <c r="N50396" s="28"/>
      <c r="O50396" s="28"/>
      <c r="U50396" s="28"/>
    </row>
    <row r="50397">
      <c r="N50397" s="28"/>
      <c r="O50397" s="28"/>
      <c r="U50397" s="28"/>
    </row>
    <row r="50398">
      <c r="N50398" s="28"/>
      <c r="O50398" s="28"/>
      <c r="U50398" s="28"/>
    </row>
    <row r="50399">
      <c r="N50399" s="28"/>
      <c r="O50399" s="28"/>
      <c r="U50399" s="28"/>
    </row>
    <row r="50400">
      <c r="N50400" s="28"/>
      <c r="O50400" s="28"/>
      <c r="U50400" s="28"/>
    </row>
    <row r="50401">
      <c r="N50401" s="28"/>
      <c r="O50401" s="28"/>
      <c r="U50401" s="28"/>
    </row>
    <row r="50402">
      <c r="N50402" s="28"/>
      <c r="O50402" s="28"/>
      <c r="U50402" s="28"/>
    </row>
    <row r="50403">
      <c r="N50403" s="28"/>
      <c r="O50403" s="28"/>
      <c r="U50403" s="28"/>
    </row>
    <row r="50404">
      <c r="N50404" s="28"/>
      <c r="O50404" s="28"/>
      <c r="U50404" s="28"/>
    </row>
    <row r="50405">
      <c r="N50405" s="28"/>
      <c r="O50405" s="28"/>
      <c r="U50405" s="28"/>
    </row>
    <row r="50406">
      <c r="N50406" s="28"/>
      <c r="O50406" s="28"/>
      <c r="U50406" s="28"/>
    </row>
    <row r="50407">
      <c r="N50407" s="28"/>
      <c r="O50407" s="28"/>
      <c r="U50407" s="28"/>
    </row>
    <row r="50408">
      <c r="N50408" s="28"/>
      <c r="O50408" s="28"/>
      <c r="U50408" s="28"/>
    </row>
    <row r="50409">
      <c r="N50409" s="28"/>
      <c r="O50409" s="28"/>
      <c r="U50409" s="28"/>
    </row>
    <row r="50410">
      <c r="N50410" s="28"/>
      <c r="O50410" s="28"/>
      <c r="U50410" s="28"/>
    </row>
    <row r="50411">
      <c r="N50411" s="28"/>
      <c r="O50411" s="28"/>
      <c r="U50411" s="28"/>
    </row>
    <row r="50412">
      <c r="N50412" s="28"/>
      <c r="O50412" s="28"/>
      <c r="U50412" s="28"/>
    </row>
    <row r="50413">
      <c r="N50413" s="28"/>
      <c r="O50413" s="28"/>
      <c r="U50413" s="28"/>
    </row>
    <row r="50414">
      <c r="N50414" s="28"/>
      <c r="O50414" s="28"/>
      <c r="U50414" s="28"/>
    </row>
    <row r="50415">
      <c r="N50415" s="28"/>
      <c r="O50415" s="28"/>
      <c r="U50415" s="28"/>
    </row>
    <row r="50416">
      <c r="N50416" s="28"/>
      <c r="O50416" s="28"/>
      <c r="U50416" s="28"/>
    </row>
    <row r="50417">
      <c r="N50417" s="28"/>
      <c r="O50417" s="28"/>
      <c r="U50417" s="28"/>
    </row>
    <row r="50418">
      <c r="N50418" s="28"/>
      <c r="O50418" s="28"/>
      <c r="U50418" s="28"/>
    </row>
    <row r="50419">
      <c r="N50419" s="28"/>
      <c r="O50419" s="28"/>
      <c r="U50419" s="28"/>
    </row>
    <row r="50420">
      <c r="N50420" s="28"/>
      <c r="O50420" s="28"/>
      <c r="U50420" s="28"/>
    </row>
    <row r="50421">
      <c r="N50421" s="28"/>
      <c r="O50421" s="28"/>
      <c r="U50421" s="28"/>
    </row>
    <row r="50422">
      <c r="N50422" s="28"/>
      <c r="O50422" s="28"/>
      <c r="U50422" s="28"/>
    </row>
    <row r="50423">
      <c r="N50423" s="28"/>
      <c r="O50423" s="28"/>
      <c r="U50423" s="28"/>
    </row>
    <row r="50424">
      <c r="N50424" s="28"/>
      <c r="O50424" s="28"/>
      <c r="U50424" s="28"/>
    </row>
    <row r="50425">
      <c r="N50425" s="28"/>
      <c r="O50425" s="28"/>
      <c r="U50425" s="28"/>
    </row>
    <row r="50426">
      <c r="N50426" s="28"/>
      <c r="O50426" s="28"/>
      <c r="U50426" s="28"/>
    </row>
    <row r="50427">
      <c r="N50427" s="28"/>
      <c r="O50427" s="28"/>
      <c r="U50427" s="28"/>
    </row>
    <row r="50428">
      <c r="N50428" s="28"/>
      <c r="O50428" s="28"/>
      <c r="U50428" s="28"/>
    </row>
    <row r="50429">
      <c r="N50429" s="28"/>
      <c r="O50429" s="28"/>
      <c r="U50429" s="28"/>
    </row>
    <row r="50430">
      <c r="N50430" s="28"/>
      <c r="O50430" s="28"/>
      <c r="U50430" s="28"/>
    </row>
    <row r="50431">
      <c r="N50431" s="28"/>
      <c r="O50431" s="28"/>
      <c r="U50431" s="28"/>
    </row>
    <row r="50432">
      <c r="N50432" s="28"/>
      <c r="O50432" s="28"/>
      <c r="U50432" s="28"/>
    </row>
    <row r="50433">
      <c r="N50433" s="28"/>
      <c r="O50433" s="28"/>
      <c r="U50433" s="28"/>
    </row>
    <row r="50434">
      <c r="N50434" s="28"/>
      <c r="O50434" s="28"/>
      <c r="U50434" s="28"/>
    </row>
    <row r="50435">
      <c r="N50435" s="28"/>
      <c r="O50435" s="28"/>
      <c r="U50435" s="28"/>
    </row>
    <row r="50436">
      <c r="N50436" s="28"/>
      <c r="O50436" s="28"/>
      <c r="U50436" s="28"/>
    </row>
    <row r="50437">
      <c r="N50437" s="28"/>
      <c r="O50437" s="28"/>
      <c r="U50437" s="28"/>
    </row>
    <row r="50438">
      <c r="N50438" s="28"/>
      <c r="O50438" s="28"/>
      <c r="U50438" s="28"/>
    </row>
    <row r="50439">
      <c r="N50439" s="28"/>
      <c r="O50439" s="28"/>
      <c r="U50439" s="28"/>
    </row>
    <row r="50440">
      <c r="N50440" s="28"/>
      <c r="O50440" s="28"/>
      <c r="U50440" s="28"/>
    </row>
    <row r="50441">
      <c r="N50441" s="28"/>
      <c r="O50441" s="28"/>
      <c r="U50441" s="28"/>
    </row>
    <row r="50442">
      <c r="N50442" s="28"/>
      <c r="O50442" s="28"/>
      <c r="U50442" s="28"/>
    </row>
    <row r="50443">
      <c r="N50443" s="28"/>
      <c r="O50443" s="28"/>
      <c r="U50443" s="28"/>
    </row>
    <row r="50444">
      <c r="N50444" s="28"/>
      <c r="O50444" s="28"/>
      <c r="U50444" s="28"/>
    </row>
    <row r="50445">
      <c r="N50445" s="28"/>
      <c r="O50445" s="28"/>
      <c r="U50445" s="28"/>
    </row>
    <row r="50446">
      <c r="N50446" s="28"/>
      <c r="O50446" s="28"/>
      <c r="U50446" s="28"/>
    </row>
    <row r="50447">
      <c r="N50447" s="28"/>
      <c r="O50447" s="28"/>
      <c r="U50447" s="28"/>
    </row>
    <row r="50448">
      <c r="N50448" s="28"/>
      <c r="O50448" s="28"/>
      <c r="U50448" s="28"/>
    </row>
    <row r="50449">
      <c r="N50449" s="28"/>
      <c r="O50449" s="28"/>
      <c r="U50449" s="28"/>
    </row>
    <row r="50450">
      <c r="N50450" s="28"/>
      <c r="O50450" s="28"/>
      <c r="U50450" s="28"/>
    </row>
    <row r="50451">
      <c r="N50451" s="28"/>
      <c r="O50451" s="28"/>
      <c r="U50451" s="28"/>
    </row>
    <row r="50452">
      <c r="N50452" s="28"/>
      <c r="O50452" s="28"/>
      <c r="U50452" s="28"/>
    </row>
    <row r="50453">
      <c r="N50453" s="28"/>
      <c r="O50453" s="28"/>
      <c r="U50453" s="28"/>
    </row>
    <row r="50454">
      <c r="N50454" s="28"/>
      <c r="O50454" s="28"/>
      <c r="U50454" s="28"/>
    </row>
    <row r="50455">
      <c r="N50455" s="28"/>
      <c r="O50455" s="28"/>
      <c r="U50455" s="28"/>
    </row>
    <row r="50456">
      <c r="N50456" s="28"/>
      <c r="O50456" s="28"/>
      <c r="U50456" s="28"/>
    </row>
    <row r="50457">
      <c r="N50457" s="28"/>
      <c r="O50457" s="28"/>
      <c r="U50457" s="28"/>
    </row>
    <row r="50458">
      <c r="N50458" s="28"/>
      <c r="O50458" s="28"/>
      <c r="U50458" s="28"/>
    </row>
    <row r="50459">
      <c r="N50459" s="28"/>
      <c r="O50459" s="28"/>
      <c r="U50459" s="28"/>
    </row>
    <row r="50460">
      <c r="N50460" s="28"/>
      <c r="O50460" s="28"/>
      <c r="U50460" s="28"/>
    </row>
    <row r="50461">
      <c r="N50461" s="28"/>
      <c r="O50461" s="28"/>
      <c r="U50461" s="28"/>
    </row>
    <row r="50462">
      <c r="N50462" s="28"/>
      <c r="O50462" s="28"/>
      <c r="U50462" s="28"/>
    </row>
    <row r="50463">
      <c r="N50463" s="28"/>
      <c r="O50463" s="28"/>
      <c r="U50463" s="28"/>
    </row>
    <row r="50464">
      <c r="N50464" s="28"/>
      <c r="O50464" s="28"/>
      <c r="U50464" s="28"/>
    </row>
    <row r="50465">
      <c r="N50465" s="28"/>
      <c r="O50465" s="28"/>
      <c r="U50465" s="28"/>
    </row>
    <row r="50466">
      <c r="N50466" s="28"/>
      <c r="O50466" s="28"/>
      <c r="U50466" s="28"/>
    </row>
    <row r="50467">
      <c r="N50467" s="28"/>
      <c r="O50467" s="28"/>
      <c r="U50467" s="28"/>
    </row>
    <row r="50468">
      <c r="N50468" s="28"/>
      <c r="O50468" s="28"/>
      <c r="U50468" s="28"/>
    </row>
    <row r="50469">
      <c r="N50469" s="28"/>
      <c r="O50469" s="28"/>
      <c r="U50469" s="28"/>
    </row>
    <row r="50470">
      <c r="N50470" s="28"/>
      <c r="O50470" s="28"/>
      <c r="U50470" s="28"/>
    </row>
    <row r="50471">
      <c r="N50471" s="28"/>
      <c r="O50471" s="28"/>
      <c r="U50471" s="28"/>
    </row>
    <row r="50472">
      <c r="N50472" s="28"/>
      <c r="O50472" s="28"/>
      <c r="U50472" s="28"/>
    </row>
    <row r="50473">
      <c r="N50473" s="28"/>
      <c r="O50473" s="28"/>
      <c r="U50473" s="28"/>
    </row>
    <row r="50474">
      <c r="N50474" s="28"/>
      <c r="O50474" s="28"/>
      <c r="U50474" s="28"/>
    </row>
    <row r="50475">
      <c r="N50475" s="28"/>
      <c r="O50475" s="28"/>
      <c r="U50475" s="28"/>
    </row>
    <row r="50476">
      <c r="N50476" s="28"/>
      <c r="O50476" s="28"/>
      <c r="U50476" s="28"/>
    </row>
    <row r="50477">
      <c r="N50477" s="28"/>
      <c r="O50477" s="28"/>
      <c r="U50477" s="28"/>
    </row>
    <row r="50478">
      <c r="N50478" s="28"/>
      <c r="O50478" s="28"/>
      <c r="U50478" s="28"/>
    </row>
    <row r="50479">
      <c r="N50479" s="28"/>
      <c r="O50479" s="28"/>
      <c r="U50479" s="28"/>
    </row>
    <row r="50480">
      <c r="N50480" s="28"/>
      <c r="O50480" s="28"/>
      <c r="U50480" s="28"/>
    </row>
    <row r="50481">
      <c r="N50481" s="28"/>
      <c r="O50481" s="28"/>
      <c r="U50481" s="28"/>
    </row>
    <row r="50482">
      <c r="N50482" s="28"/>
      <c r="O50482" s="28"/>
      <c r="U50482" s="28"/>
    </row>
    <row r="50483">
      <c r="N50483" s="28"/>
      <c r="O50483" s="28"/>
      <c r="U50483" s="28"/>
    </row>
    <row r="50484">
      <c r="N50484" s="28"/>
      <c r="O50484" s="28"/>
      <c r="U50484" s="28"/>
    </row>
    <row r="50485">
      <c r="N50485" s="28"/>
      <c r="O50485" s="28"/>
      <c r="U50485" s="28"/>
    </row>
    <row r="50486">
      <c r="N50486" s="28"/>
      <c r="O50486" s="28"/>
      <c r="U50486" s="28"/>
    </row>
    <row r="50487">
      <c r="N50487" s="28"/>
      <c r="O50487" s="28"/>
      <c r="U50487" s="28"/>
    </row>
    <row r="50488">
      <c r="N50488" s="28"/>
      <c r="O50488" s="28"/>
      <c r="U50488" s="28"/>
    </row>
    <row r="50489">
      <c r="N50489" s="28"/>
      <c r="O50489" s="28"/>
      <c r="U50489" s="28"/>
    </row>
    <row r="50490">
      <c r="N50490" s="28"/>
      <c r="O50490" s="28"/>
      <c r="U50490" s="28"/>
    </row>
    <row r="50491">
      <c r="N50491" s="28"/>
      <c r="O50491" s="28"/>
      <c r="U50491" s="28"/>
    </row>
    <row r="50492">
      <c r="N50492" s="28"/>
      <c r="O50492" s="28"/>
      <c r="U50492" s="28"/>
    </row>
    <row r="50493">
      <c r="N50493" s="28"/>
      <c r="O50493" s="28"/>
      <c r="U50493" s="28"/>
    </row>
    <row r="50494">
      <c r="N50494" s="28"/>
      <c r="O50494" s="28"/>
      <c r="U50494" s="28"/>
    </row>
    <row r="50495">
      <c r="N50495" s="28"/>
      <c r="O50495" s="28"/>
      <c r="U50495" s="28"/>
    </row>
    <row r="50496">
      <c r="N50496" s="28"/>
      <c r="O50496" s="28"/>
      <c r="U50496" s="28"/>
    </row>
    <row r="50497">
      <c r="N50497" s="28"/>
      <c r="O50497" s="28"/>
      <c r="U50497" s="28"/>
    </row>
    <row r="50498">
      <c r="N50498" s="28"/>
      <c r="O50498" s="28"/>
      <c r="U50498" s="28"/>
    </row>
    <row r="50499">
      <c r="N50499" s="28"/>
      <c r="O50499" s="28"/>
      <c r="U50499" s="28"/>
    </row>
    <row r="50500">
      <c r="N50500" s="28"/>
      <c r="O50500" s="28"/>
      <c r="U50500" s="28"/>
    </row>
  </sheetData>
  <mergeCells count="7">
    <mergeCell ref="A1:A2"/>
    <mergeCell ref="B1:B2"/>
    <mergeCell ref="C1:G1"/>
    <mergeCell ref="H1:I1"/>
    <mergeCell ref="J1:J2"/>
    <mergeCell ref="K1:O1"/>
    <mergeCell ref="P1:U1"/>
  </mergeCells>
  <conditionalFormatting sqref="G3:G9">
    <cfRule type="colorScale" priority="1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3:H9">
    <cfRule type="colorScale" priority="2">
      <colorScale>
        <cfvo type="formula" val="0"/>
        <cfvo type="max"/>
        <color rgb="FFFFFFFF"/>
        <color rgb="FF57BB8A"/>
      </colorScale>
    </cfRule>
  </conditionalFormatting>
  <conditionalFormatting sqref="I3:I9">
    <cfRule type="colorScale" priority="3">
      <colorScale>
        <cfvo type="formula" val="0"/>
        <cfvo type="max"/>
        <color rgb="FFFFFFFF"/>
        <color rgb="FF57BB8A"/>
      </colorScale>
    </cfRule>
  </conditionalFormatting>
  <conditionalFormatting sqref="J3:J9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K3:K9">
    <cfRule type="colorScale" priority="5">
      <colorScale>
        <cfvo type="formula" val="0"/>
        <cfvo type="max"/>
        <color rgb="FFFFFFFF"/>
        <color rgb="FF57BB8A"/>
      </colorScale>
    </cfRule>
  </conditionalFormatting>
  <conditionalFormatting sqref="L3:L9">
    <cfRule type="colorScale" priority="6">
      <colorScale>
        <cfvo type="formula" val="0"/>
        <cfvo type="max"/>
        <color rgb="FFFFFFFF"/>
        <color rgb="FFE67C73"/>
      </colorScale>
    </cfRule>
  </conditionalFormatting>
  <conditionalFormatting sqref="C3:C9 C16">
    <cfRule type="colorScale" priority="7">
      <colorScale>
        <cfvo type="formula" val="0"/>
        <cfvo type="max"/>
        <color rgb="FFFFFFFF"/>
        <color rgb="FFFFD666"/>
      </colorScale>
    </cfRule>
  </conditionalFormatting>
  <conditionalFormatting sqref="D3:D9 E15:E21">
    <cfRule type="colorScale" priority="8">
      <colorScale>
        <cfvo type="formula" val="0"/>
        <cfvo type="max"/>
        <color rgb="FFFFFFFF"/>
        <color rgb="FF57BB8A"/>
      </colorScale>
    </cfRule>
  </conditionalFormatting>
  <conditionalFormatting sqref="E3:E9">
    <cfRule type="colorScale" priority="9">
      <colorScale>
        <cfvo type="formula" val="0"/>
        <cfvo type="max"/>
        <color rgb="FFFFFFFF"/>
        <color rgb="FFE67C73"/>
      </colorScale>
    </cfRule>
  </conditionalFormatting>
  <conditionalFormatting sqref="F3:F10">
    <cfRule type="colorScale" priority="10">
      <colorScale>
        <cfvo type="formula" val="0"/>
        <cfvo type="max"/>
        <color rgb="FFFFFFFF"/>
        <color rgb="FF57BB8A"/>
      </colorScale>
    </cfRule>
  </conditionalFormatting>
  <conditionalFormatting sqref="M3:M9">
    <cfRule type="colorScale" priority="11">
      <colorScale>
        <cfvo type="formula" val="0"/>
        <cfvo type="max"/>
        <color rgb="FFFFFFFF"/>
        <color rgb="FFFFD666"/>
      </colorScale>
    </cfRule>
  </conditionalFormatting>
  <conditionalFormatting sqref="N3:N9">
    <cfRule type="colorScale" priority="12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O3:O9">
    <cfRule type="colorScale" priority="13">
      <colorScale>
        <cfvo type="formula" val="0"/>
        <cfvo type="formula" val="1"/>
        <color rgb="FFFFFFFF"/>
        <color rgb="FF57BB8A"/>
      </colorScale>
    </cfRule>
  </conditionalFormatting>
  <conditionalFormatting sqref="P3:P9">
    <cfRule type="colorScale" priority="14">
      <colorScale>
        <cfvo type="formula" val="0"/>
        <cfvo type="max"/>
        <color rgb="FFFFFFFF"/>
        <color rgb="FFFFD666"/>
      </colorScale>
    </cfRule>
  </conditionalFormatting>
  <conditionalFormatting sqref="U3:U9">
    <cfRule type="colorScale" priority="15">
      <colorScale>
        <cfvo type="formula" val="0"/>
        <cfvo type="formula" val="2"/>
        <cfvo type="formula" val="3"/>
        <color rgb="FFE67C73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6" max="6" width="11.88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1" t="s">
        <v>4</v>
      </c>
      <c r="K1" s="6" t="s">
        <v>5</v>
      </c>
      <c r="L1" s="4"/>
      <c r="M1" s="4"/>
      <c r="N1" s="4"/>
      <c r="O1" s="5"/>
      <c r="P1" s="30" t="s">
        <v>6</v>
      </c>
      <c r="Q1" s="4"/>
      <c r="R1" s="4"/>
      <c r="S1" s="4"/>
      <c r="T1" s="4"/>
      <c r="U1" s="5"/>
      <c r="Z1" s="17" t="s">
        <v>37</v>
      </c>
    </row>
    <row r="2">
      <c r="A2" s="9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2" t="s">
        <v>13</v>
      </c>
      <c r="I2" s="12" t="s">
        <v>14</v>
      </c>
      <c r="J2" s="9"/>
      <c r="K2" s="10" t="s">
        <v>15</v>
      </c>
      <c r="L2" s="12" t="s">
        <v>10</v>
      </c>
      <c r="M2" s="10" t="s">
        <v>16</v>
      </c>
      <c r="N2" s="10" t="s">
        <v>17</v>
      </c>
      <c r="O2" s="10" t="s">
        <v>18</v>
      </c>
      <c r="P2" s="15" t="s">
        <v>8</v>
      </c>
      <c r="Q2" s="15">
        <v>0.0</v>
      </c>
      <c r="R2" s="15">
        <v>1.0</v>
      </c>
      <c r="S2" s="15">
        <v>2.0</v>
      </c>
      <c r="T2" s="15">
        <v>3.0</v>
      </c>
      <c r="U2" s="15" t="s">
        <v>19</v>
      </c>
      <c r="Z2" s="17" t="s">
        <v>38</v>
      </c>
    </row>
    <row r="3">
      <c r="A3" s="18" t="s">
        <v>21</v>
      </c>
      <c r="B3" s="18" t="s">
        <v>39</v>
      </c>
      <c r="C3" s="31">
        <f>IFERROR(__xludf.DUMMYFUNCTION("SUM(MAP(FILTER(Z1:Z100, Z1:Z100 &lt;&gt; """"), LAMBDA(sheet, IFERROR(VALUE(INDIRECT(""'"" &amp; sheet &amp; ""'!C3"")), 0))))"),0.0)</f>
        <v>0</v>
      </c>
      <c r="D3" s="32">
        <f>IFERROR(__xludf.DUMMYFUNCTION("SUM(MAP(FILTER(Z1:Z100, Z1:Z100 &lt;&gt; """"), LAMBDA(sheet, IFERROR(VALUE(INDIRECT(""'"" &amp; sheet &amp; ""'!d3"")), 0))))"),0.0)</f>
        <v>0</v>
      </c>
      <c r="E3" s="33">
        <f>IFERROR(__xludf.DUMMYFUNCTION("SUM(MAP(FILTER(Z1:Z100, Z1:Z100 &lt;&gt; """"), LAMBDA(sheet, IFERROR(VALUE(INDIRECT(""'"" &amp; sheet &amp; ""'!e3"")), 0))))"),0.0)</f>
        <v>0</v>
      </c>
      <c r="F3" s="34">
        <f>IFERROR(__xludf.DUMMYFUNCTION("SUM(MAP(FILTER(Z1:Z100, Z1:Z100 &lt;&gt; """"), LAMBDA(sheet, IFERROR(VALUE(INDIRECT(""'"" &amp; sheet &amp; ""'!f3"")), 0))))"),2.0)</f>
        <v>2</v>
      </c>
      <c r="G3" s="35" t="str">
        <f t="shared" ref="G3:G9" si="1">IFS(C3=0, "N/A", C3&lt;&gt;0,(D3-E3)/C3 )</f>
        <v>N/A</v>
      </c>
      <c r="H3" s="10">
        <f>IFERROR(__xludf.DUMMYFUNCTION("SUM(MAP(FILTER(Z1:Z100, Z1:Z100 &lt;&gt; """"), LAMBDA(sheet, IFERROR(VALUE(INDIRECT(""'"" &amp; sheet &amp; ""'!h3"")), 0))))"),0.0)</f>
        <v>0</v>
      </c>
      <c r="I3" s="10">
        <f>IFERROR(__xludf.DUMMYFUNCTION("SUM(MAP(FILTER(Z1:Z100, Z1:Z100 &lt;&gt; """"), LAMBDA(sheet, IFERROR(VALUE(INDIRECT(""'"" &amp; sheet &amp; ""'!i73"")), 0))))"),0.0)</f>
        <v>0</v>
      </c>
      <c r="J3" s="10">
        <f>IFERROR(__xludf.DUMMYFUNCTION("SUM(MAP(FILTER(Z1:Z100, Z1:Z100 &lt;&gt; """"), LAMBDA(sheet, IFERROR(VALUE(INDIRECT(""'"" &amp; sheet &amp; ""'!j3"")), 0))))"),5.0)</f>
        <v>5</v>
      </c>
      <c r="K3" s="10">
        <f>IFERROR(__xludf.DUMMYFUNCTION("SUM(MAP(FILTER(Z1:Z100, Z1:Z100 &lt;&gt; """"), LAMBDA(sheet, IFERROR(VALUE(INDIRECT(""'"" &amp; sheet &amp; ""'!k3"")), 0))))"),0.0)</f>
        <v>0</v>
      </c>
      <c r="L3" s="10">
        <f>IFERROR(__xludf.DUMMYFUNCTION("SUM(MAP(FILTER(Z1:Z100, Z1:Z100 &lt;&gt; """"), LAMBDA(sheet, IFERROR(VALUE(INDIRECT(""'"" &amp; sheet &amp; ""'!l3"")), 0))))"),1.0)</f>
        <v>1</v>
      </c>
      <c r="M3" s="10">
        <f>IFERROR(__xludf.DUMMYFUNCTION("SUM(MAP(FILTER(Z1:Z100, Z1:Z100 &lt;&gt; """"), LAMBDA(sheet, IFERROR(VALUE(INDIRECT(""'"" &amp; sheet &amp; ""'!m3"")), 0))))"),10.0)</f>
        <v>10</v>
      </c>
      <c r="N3" s="35">
        <f t="shared" ref="N3:N9" si="2">ifs(M3=0,"N/A",M3&lt;&gt;0,(M3-L3) /M3)</f>
        <v>0.9</v>
      </c>
      <c r="O3" s="35">
        <f t="shared" ref="O3:O9" si="3">IFS(M3=0, "N/A", M3&lt;&gt;0, K3/M3)</f>
        <v>0</v>
      </c>
      <c r="P3" s="10">
        <f>IFERROR(__xludf.DUMMYFUNCTION("SUM(MAP(FILTER(Z1:Z100, Z1:Z100 &lt;&gt; """"), LAMBDA(sheet, IFERROR(VALUE(INDIRECT(""'"" &amp; sheet &amp; ""'!p3"")), 0))))"),16.0)</f>
        <v>16</v>
      </c>
      <c r="Q3" s="10">
        <f>IFERROR(__xludf.DUMMYFUNCTION("SUM(MAP(FILTER(Z1:Z100, Z1:Z100 &lt;&gt; """"), LAMBDA(sheet, IFERROR(VALUE(INDIRECT(""'"" &amp; sheet &amp; ""'!q3"")), 0))))"),0.0)</f>
        <v>0</v>
      </c>
      <c r="R3" s="10">
        <f>IFERROR(__xludf.DUMMYFUNCTION("SUM(MAP(FILTER(Z1:Z100, Z1:Z100 &lt;&gt; """"), LAMBDA(sheet, IFERROR(VALUE(INDIRECT(""'"" &amp; sheet &amp; ""'!r3"")), 0))))"),2.0)</f>
        <v>2</v>
      </c>
      <c r="S3" s="10">
        <f>IFERROR(__xludf.DUMMYFUNCTION("SUM(MAP(FILTER(Z1:Z100, Z1:Z100 &lt;&gt; """"), LAMBDA(sheet, IFERROR(VALUE(INDIRECT(""'"" &amp; sheet &amp; ""'!s3"")), 0))))"),7.0)</f>
        <v>7</v>
      </c>
      <c r="T3" s="10">
        <f>IFERROR(__xludf.DUMMYFUNCTION("SUM(MAP(FILTER(Z1:Z100, Z1:Z100 &lt;&gt; """"), LAMBDA(sheet, IFERROR(VALUE(INDIRECT(""'"" &amp; sheet &amp; ""'!t3"")), 0))))"),7.0)</f>
        <v>7</v>
      </c>
      <c r="U3" s="10">
        <f t="shared" ref="U3:U9" si="4">ifs(P3=0, "N/A",P3&lt;&gt;0,(R3 + S3*2 +T3*3)/P3)</f>
        <v>2.3125</v>
      </c>
      <c r="Z3" s="17" t="s">
        <v>40</v>
      </c>
    </row>
    <row r="4">
      <c r="A4" s="21" t="s">
        <v>24</v>
      </c>
      <c r="B4" s="21" t="s">
        <v>41</v>
      </c>
      <c r="C4" s="36">
        <f>IFERROR(__xludf.DUMMYFUNCTION("SUM(MAP(FILTER(Z1:Z100, Z1:Z100 &lt;&gt; """"), LAMBDA(sheet, IFERROR(VALUE(INDIRECT(""'"" &amp; sheet &amp; ""'!C4"")), 0))))"),9.0)</f>
        <v>9</v>
      </c>
      <c r="D4" s="37">
        <f>IFERROR(__xludf.DUMMYFUNCTION("SUM(MAP(FILTER(Z1:Z100, Z1:Z100 &lt;&gt; """"), LAMBDA(sheet, IFERROR(VALUE(INDIRECT(""'"" &amp; sheet &amp; ""'!d4"")), 0))))"),2.0)</f>
        <v>2</v>
      </c>
      <c r="E4" s="38">
        <f>IFERROR(__xludf.DUMMYFUNCTION("SUM(MAP(FILTER(Z1:Z100, Z1:Z100 &lt;&gt; """"), LAMBDA(sheet, IFERROR(VALUE(INDIRECT(""'"" &amp; sheet &amp; ""'!e4"")), 0))))"),0.0)</f>
        <v>0</v>
      </c>
      <c r="F4" s="39">
        <f>IFERROR(__xludf.DUMMYFUNCTION("SUM(MAP(FILTER(Z1:Z100, Z1:Z100 &lt;&gt; """"), LAMBDA(sheet, IFERROR(VALUE(INDIRECT(""'"" &amp; sheet &amp; ""'!f4"")), 0))))"),0.0)</f>
        <v>0</v>
      </c>
      <c r="G4" s="35">
        <f t="shared" si="1"/>
        <v>0.2222222222</v>
      </c>
      <c r="H4" s="10">
        <f>IFERROR(__xludf.DUMMYFUNCTION("SUM(MAP(FILTER(Z1:Z100, Z1:Z100 &lt;&gt; """"), LAMBDA(sheet, IFERROR(VALUE(INDIRECT(""'"" &amp; sheet &amp; ""'!h4"")), 0))))"),1.0)</f>
        <v>1</v>
      </c>
      <c r="I4" s="10">
        <f>IFERROR(__xludf.DUMMYFUNCTION("SUM(MAP(FILTER(Z1:Z100, Z1:Z100 &lt;&gt; """"), LAMBDA(sheet, IFERROR(VALUE(INDIRECT(""'"" &amp; sheet &amp; ""'!i4"")), 0))))"),5.0)</f>
        <v>5</v>
      </c>
      <c r="J4" s="10">
        <f>IFERROR(__xludf.DUMMYFUNCTION("SUM(MAP(FILTER(Z1:Z100, Z1:Z100 &lt;&gt; """"), LAMBDA(sheet, IFERROR(VALUE(INDIRECT(""'"" &amp; sheet &amp; ""'!j4"")), 0))))"),0.0)</f>
        <v>0</v>
      </c>
      <c r="K4" s="10">
        <f>IFERROR(__xludf.DUMMYFUNCTION("SUM(MAP(FILTER(Z1:Z100, Z1:Z100 &lt;&gt; """"), LAMBDA(sheet, IFERROR(VALUE(INDIRECT(""'"" &amp; sheet &amp; ""'!k4"")), 0))))"),0.0)</f>
        <v>0</v>
      </c>
      <c r="L4" s="10">
        <f>IFERROR(__xludf.DUMMYFUNCTION("SUM(MAP(FILTER(Z1:Z100, Z1:Z100 &lt;&gt; """"), LAMBDA(sheet, IFERROR(VALUE(INDIRECT(""'"" &amp; sheet &amp; ""'!l4"")), 0))))"),0.0)</f>
        <v>0</v>
      </c>
      <c r="M4" s="10">
        <f>IFERROR(__xludf.DUMMYFUNCTION("SUM(MAP(FILTER(Z1:Z100, Z1:Z100 &lt;&gt; """"), LAMBDA(sheet, IFERROR(VALUE(INDIRECT(""'"" &amp; sheet &amp; ""'!m4"")), 0))))"),1.0)</f>
        <v>1</v>
      </c>
      <c r="N4" s="35">
        <f t="shared" si="2"/>
        <v>1</v>
      </c>
      <c r="O4" s="35">
        <f t="shared" si="3"/>
        <v>0</v>
      </c>
      <c r="P4" s="10">
        <f>IFERROR(__xludf.DUMMYFUNCTION("SUM(MAP(FILTER(Z1:Z100, Z1:Z100 &lt;&gt; """"), LAMBDA(sheet, IFERROR(VALUE(INDIRECT(""'"" &amp; sheet &amp; ""'!p4"")), 0))))"),0.0)</f>
        <v>0</v>
      </c>
      <c r="Q4" s="10">
        <f>IFERROR(__xludf.DUMMYFUNCTION("SUM(MAP(FILTER(Z1:Z100, Z1:Z100 &lt;&gt; """"), LAMBDA(sheet, IFERROR(VALUE(INDIRECT(""'"" &amp; sheet &amp; ""'!q4"")), 0))))"),0.0)</f>
        <v>0</v>
      </c>
      <c r="R4" s="10">
        <f>IFERROR(__xludf.DUMMYFUNCTION("SUM(MAP(FILTER(Z1:Z100, Z1:Z100 &lt;&gt; """"), LAMBDA(sheet, IFERROR(VALUE(INDIRECT(""'"" &amp; sheet &amp; ""'!r4"")), 0))))"),0.0)</f>
        <v>0</v>
      </c>
      <c r="S4" s="10">
        <f>IFERROR(__xludf.DUMMYFUNCTION("SUM(MAP(FILTER(Z1:Z100, Z1:Z100 &lt;&gt; """"), LAMBDA(sheet, IFERROR(VALUE(INDIRECT(""'"" &amp; sheet &amp; ""'!s4"")), 0))))"),0.0)</f>
        <v>0</v>
      </c>
      <c r="T4" s="10">
        <f>IFERROR(__xludf.DUMMYFUNCTION("SUM(MAP(FILTER(Z1:Z100, Z1:Z100 &lt;&gt; """"), LAMBDA(sheet, IFERROR(VALUE(INDIRECT(""'"" &amp; sheet &amp; ""'!t4"")), 0))))"),0.0)</f>
        <v>0</v>
      </c>
      <c r="U4" s="10" t="str">
        <f t="shared" si="4"/>
        <v>N/A</v>
      </c>
    </row>
    <row r="5">
      <c r="A5" s="22" t="s">
        <v>26</v>
      </c>
      <c r="B5" s="22" t="s">
        <v>42</v>
      </c>
      <c r="C5" s="40">
        <f>IFERROR(__xludf.DUMMYFUNCTION("SUM(MAP(FILTER(Z1:Z100, Z1:Z100 &lt;&gt; """"), LAMBDA(sheet, IFERROR(VALUE(INDIRECT(""'"" &amp; sheet &amp; ""'!C5"")), 0))))"),1.0)</f>
        <v>1</v>
      </c>
      <c r="D5" s="41">
        <f>IFERROR(__xludf.DUMMYFUNCTION("SUM(MAP(FILTER(Z1:Z101, Z1:Z101 &lt;&gt; """"), LAMBDA(sheet, IFERROR(VALUE(INDIRECT(""'"" &amp; sheet &amp; ""'!d5"")), 0))))"),1.0)</f>
        <v>1</v>
      </c>
      <c r="E5" s="39">
        <f>IFERROR(__xludf.DUMMYFUNCTION("SUM(MAP(FILTER(Z1:Z100, Z1:Z100 &lt;&gt; """"), LAMBDA(sheet, IFERROR(VALUE(INDIRECT(""'"" &amp; sheet &amp; ""'!e5"")), 0))))"),0.0)</f>
        <v>0</v>
      </c>
      <c r="F5" s="42">
        <f>IFERROR(__xludf.DUMMYFUNCTION("SUM(MAP(FILTER(Z1:Z100, Z1:Z100 &lt;&gt; """"), LAMBDA(sheet, IFERROR(VALUE(INDIRECT(""'"" &amp; sheet &amp; ""'!f5"")), 0))))"),17.0)</f>
        <v>17</v>
      </c>
      <c r="G5" s="35">
        <f t="shared" si="1"/>
        <v>1</v>
      </c>
      <c r="H5" s="10">
        <f>IFERROR(__xludf.DUMMYFUNCTION("SUM(MAP(FILTER(Z1:Z100, Z1:Z100 &lt;&gt; """"), LAMBDA(sheet, IFERROR(VALUE(INDIRECT(""'"" &amp; sheet &amp; ""'!h5"")), 0))))"),0.0)</f>
        <v>0</v>
      </c>
      <c r="I5" s="10">
        <f>IFERROR(__xludf.DUMMYFUNCTION("SUM(MAP(FILTER(Z1:Z100, Z1:Z100 &lt;&gt; """"), LAMBDA(sheet, IFERROR(VALUE(INDIRECT(""'"" &amp; sheet &amp; ""'!i5"")), 0))))"),4.0)</f>
        <v>4</v>
      </c>
      <c r="J5" s="10">
        <f>IFERROR(__xludf.DUMMYFUNCTION("SUM(MAP(FILTER(Z1:Z100, Z1:Z100 &lt;&gt; """"), LAMBDA(sheet, IFERROR(VALUE(INDIRECT(""'"" &amp; sheet &amp; ""'!j5"")), 0))))"),4.0)</f>
        <v>4</v>
      </c>
      <c r="K5" s="10">
        <f>IFERROR(__xludf.DUMMYFUNCTION("SUM(MAP(FILTER(Z1:Z100, Z1:Z100 &lt;&gt; """"), LAMBDA(sheet, IFERROR(VALUE(INDIRECT(""'"" &amp; sheet &amp; ""'!k5"")), 0))))"),2.0)</f>
        <v>2</v>
      </c>
      <c r="L5" s="10">
        <f>IFERROR(__xludf.DUMMYFUNCTION("SUM(MAP(FILTER(Z1:Z100, Z1:Z100 &lt;&gt; """"), LAMBDA(sheet, IFERROR(VALUE(INDIRECT(""'"" &amp; sheet &amp; ""'!l5"")), 0))))"),0.0)</f>
        <v>0</v>
      </c>
      <c r="M5" s="10">
        <f>IFERROR(__xludf.DUMMYFUNCTION("SUM(MAP(FILTER(Z1:Z100, Z1:Z100 &lt;&gt; """"), LAMBDA(sheet, IFERROR(VALUE(INDIRECT(""'"" &amp; sheet &amp; ""'!m5"")), 0))))"),9.0)</f>
        <v>9</v>
      </c>
      <c r="N5" s="35">
        <f t="shared" si="2"/>
        <v>1</v>
      </c>
      <c r="O5" s="35">
        <f t="shared" si="3"/>
        <v>0.2222222222</v>
      </c>
      <c r="P5" s="10">
        <f>IFERROR(__xludf.DUMMYFUNCTION("SUM(MAP(FILTER(Z1:Z100, Z1:Z100 &lt;&gt; """"), LAMBDA(sheet, IFERROR(VALUE(INDIRECT(""'"" &amp; sheet &amp; ""'!p5"")), 0))))"),1.0)</f>
        <v>1</v>
      </c>
      <c r="Q5" s="10">
        <f>IFERROR(__xludf.DUMMYFUNCTION("SUM(MAP(FILTER(Z1:Z100, Z1:Z100 &lt;&gt; """"), LAMBDA(sheet, IFERROR(VALUE(INDIRECT(""'"" &amp; sheet &amp; ""'!q5"")), 0))))"),0.0)</f>
        <v>0</v>
      </c>
      <c r="R5" s="10">
        <f>IFERROR(__xludf.DUMMYFUNCTION("SUM(MAP(FILTER(Z1:Z100, Z1:Z100 &lt;&gt; """"), LAMBDA(sheet, IFERROR(VALUE(INDIRECT(""'"" &amp; sheet &amp; ""'!r5"")), 0))))"),0.0)</f>
        <v>0</v>
      </c>
      <c r="S5" s="10">
        <f>IFERROR(__xludf.DUMMYFUNCTION("SUM(MAP(FILTER(Z1:Z100, Z1:Z100 &lt;&gt; """"), LAMBDA(sheet, IFERROR(VALUE(INDIRECT(""'"" &amp; sheet &amp; ""'!s5"")), 0))))"),0.0)</f>
        <v>0</v>
      </c>
      <c r="T5" s="10">
        <f>IFERROR(__xludf.DUMMYFUNCTION("SUM(MAP(FILTER(Z1:Z100, Z1:Z100 &lt;&gt; """"), LAMBDA(sheet, IFERROR(VALUE(INDIRECT(""'"" &amp; sheet &amp; ""'!t5"")), 0))))"),1.0)</f>
        <v>1</v>
      </c>
      <c r="U5" s="10">
        <f t="shared" si="4"/>
        <v>3</v>
      </c>
    </row>
    <row r="6">
      <c r="A6" s="23" t="s">
        <v>28</v>
      </c>
      <c r="B6" s="23" t="s">
        <v>43</v>
      </c>
      <c r="C6" s="43">
        <f>IFERROR(__xludf.DUMMYFUNCTION("SUM(MAP(FILTER(Z1:Z100, Z1:Z100 &lt;&gt; """"), LAMBDA(sheet, IFERROR(VALUE(INDIRECT(""'"" &amp; sheet &amp; ""'!C6"")), 0))))"),22.0)</f>
        <v>22</v>
      </c>
      <c r="D6" s="42">
        <f>IFERROR(__xludf.DUMMYFUNCTION("SUM(MAP(FILTER(Z1:Z102, Z1:Z102 &lt;&gt; """"), LAMBDA(sheet, IFERROR(VALUE(INDIRECT(""'"" &amp; sheet &amp; ""'!d6"")), 0))))"),8.0)</f>
        <v>8</v>
      </c>
      <c r="E6" s="44">
        <f>IFERROR(__xludf.DUMMYFUNCTION("SUM(MAP(FILTER(Z1:Z100, Z1:Z100 &lt;&gt; """"), LAMBDA(sheet, IFERROR(VALUE(INDIRECT(""'"" &amp; sheet &amp; ""'!e6"")), 0))))"),5.0)</f>
        <v>5</v>
      </c>
      <c r="F6" s="45">
        <f>IFERROR(__xludf.DUMMYFUNCTION("SUM(MAP(FILTER(Z1:Z100, Z1:Z100 &lt;&gt; """"), LAMBDA(sheet, IFERROR(VALUE(INDIRECT(""'"" &amp; sheet &amp; ""'!f6"")), 0))))"),0.0)</f>
        <v>0</v>
      </c>
      <c r="G6" s="35">
        <f t="shared" si="1"/>
        <v>0.1363636364</v>
      </c>
      <c r="H6" s="10">
        <f>IFERROR(__xludf.DUMMYFUNCTION("SUM(MAP(FILTER(Z1:Z100, Z1:Z100 &lt;&gt; """"), LAMBDA(sheet, IFERROR(VALUE(INDIRECT(""'"" &amp; sheet &amp; ""'!h6"")), 0))))"),0.0)</f>
        <v>0</v>
      </c>
      <c r="I6" s="10">
        <f>IFERROR(__xludf.DUMMYFUNCTION("SUM(MAP(FILTER(Z1:Z100, Z1:Z100 &lt;&gt; """"), LAMBDA(sheet, IFERROR(VALUE(INDIRECT(""'"" &amp; sheet &amp; ""'!i6"")), 0))))"),0.0)</f>
        <v>0</v>
      </c>
      <c r="J6" s="10">
        <f>IFERROR(__xludf.DUMMYFUNCTION("SUM(MAP(FILTER(Z1:Z100, Z1:Z100 &lt;&gt; """"), LAMBDA(sheet, IFERROR(VALUE(INDIRECT(""'"" &amp; sheet &amp; ""'!j6"")), 0))))"),4.0)</f>
        <v>4</v>
      </c>
      <c r="K6" s="10">
        <f>IFERROR(__xludf.DUMMYFUNCTION("SUM(MAP(FILTER(Z1:Z100, Z1:Z100 &lt;&gt; """"), LAMBDA(sheet, IFERROR(VALUE(INDIRECT(""'"" &amp; sheet &amp; ""'!k6"")), 0))))"),1.0)</f>
        <v>1</v>
      </c>
      <c r="L6" s="10">
        <f>IFERROR(__xludf.DUMMYFUNCTION("SUM(MAP(FILTER(Z1:Z100, Z1:Z100 &lt;&gt; """"), LAMBDA(sheet, IFERROR(VALUE(INDIRECT(""'"" &amp; sheet &amp; ""'!l6"")), 0))))"),1.0)</f>
        <v>1</v>
      </c>
      <c r="M6" s="10">
        <f>IFERROR(__xludf.DUMMYFUNCTION("SUM(MAP(FILTER(Z1:Z100, Z1:Z100 &lt;&gt; """"), LAMBDA(sheet, IFERROR(VALUE(INDIRECT(""'"" &amp; sheet &amp; ""'!m6"")), 0))))"),9.0)</f>
        <v>9</v>
      </c>
      <c r="N6" s="35">
        <f t="shared" si="2"/>
        <v>0.8888888889</v>
      </c>
      <c r="O6" s="35">
        <f t="shared" si="3"/>
        <v>0.1111111111</v>
      </c>
      <c r="P6" s="10">
        <f>IFERROR(__xludf.DUMMYFUNCTION("SUM(MAP(FILTER(Z1:Z100, Z1:Z100 &lt;&gt; """"), LAMBDA(sheet, IFERROR(VALUE(INDIRECT(""'"" &amp; sheet &amp; ""'!p6"")), 0))))"),19.0)</f>
        <v>19</v>
      </c>
      <c r="Q6" s="10">
        <f>IFERROR(__xludf.DUMMYFUNCTION("SUM(MAP(FILTER(Z1:Z100, Z1:Z100 &lt;&gt; """"), LAMBDA(sheet, IFERROR(VALUE(INDIRECT(""'"" &amp; sheet &amp; ""'!q6"")), 0))))"),5.0)</f>
        <v>5</v>
      </c>
      <c r="R6" s="10">
        <f>IFERROR(__xludf.DUMMYFUNCTION("SUM(MAP(FILTER(Z1:Z100, Z1:Z100 &lt;&gt; """"), LAMBDA(sheet, IFERROR(VALUE(INDIRECT(""'"" &amp; sheet &amp; ""'!r6"")), 0))))"),4.0)</f>
        <v>4</v>
      </c>
      <c r="S6" s="10">
        <f>IFERROR(__xludf.DUMMYFUNCTION("SUM(MAP(FILTER(Z1:Z100, Z1:Z100 &lt;&gt; """"), LAMBDA(sheet, IFERROR(VALUE(INDIRECT(""'"" &amp; sheet &amp; ""'!s6"")), 0))))"),5.0)</f>
        <v>5</v>
      </c>
      <c r="T6" s="10">
        <f>IFERROR(__xludf.DUMMYFUNCTION("SUM(MAP(FILTER(Z1:Z100, Z1:Z100 &lt;&gt; """"), LAMBDA(sheet, IFERROR(VALUE(INDIRECT(""'"" &amp; sheet &amp; ""'!t6"")), 0))))"),5.0)</f>
        <v>5</v>
      </c>
      <c r="U6" s="10">
        <f t="shared" si="4"/>
        <v>1.526315789</v>
      </c>
    </row>
    <row r="7">
      <c r="A7" s="24" t="s">
        <v>30</v>
      </c>
      <c r="B7" s="24" t="s">
        <v>44</v>
      </c>
      <c r="C7" s="46">
        <f>IFERROR(__xludf.DUMMYFUNCTION("SUM(MAP(FILTER(Z1:Z100, Z1:Z100 &lt;&gt; """"), LAMBDA(sheet, IFERROR(VALUE(INDIRECT(""'"" &amp; sheet &amp; ""'!C7"")), 0))))"),13.0)</f>
        <v>13</v>
      </c>
      <c r="D7" s="47">
        <f>IFERROR(__xludf.DUMMYFUNCTION("SUM(MAP(FILTER(Z1:Z104, Z1:Z104 &lt;&gt; """"), LAMBDA(sheet, IFERROR(VALUE(INDIRECT(""'"" &amp; sheet &amp; ""'!d7"")), 0))))"),3.0)</f>
        <v>3</v>
      </c>
      <c r="E7" s="44">
        <f>IFERROR(__xludf.DUMMYFUNCTION("SUM(MAP(FILTER(Z1:Z100, Z1:Z100 &lt;&gt; """"), LAMBDA(sheet, IFERROR(VALUE(INDIRECT(""'"" &amp; sheet &amp; ""'!e7"")), 0))))"),2.0)</f>
        <v>2</v>
      </c>
      <c r="F7" s="39">
        <f>IFERROR(__xludf.DUMMYFUNCTION("SUM(MAP(FILTER(Z1:Z100, Z1:Z100 &lt;&gt; """"), LAMBDA(sheet, IFERROR(VALUE(INDIRECT(""'"" &amp; sheet &amp; ""'!f7""), 0)))))"),0.0)</f>
        <v>0</v>
      </c>
      <c r="G7" s="35">
        <f t="shared" si="1"/>
        <v>0.07692307692</v>
      </c>
      <c r="H7" s="10">
        <f>IFERROR(__xludf.DUMMYFUNCTION("SUM(MAP(FILTER(Z1:Z100, Z1:Z100 &lt;&gt; """"), LAMBDA(sheet, IFERROR(VALUE(INDIRECT(""'"" &amp; sheet &amp; ""'!h7"")), 0))))"),0.0)</f>
        <v>0</v>
      </c>
      <c r="I7" s="10">
        <f>IFERROR(__xludf.DUMMYFUNCTION("SUM(MAP(FILTER(Z1:Z100, Z1:Z100 &lt;&gt; """"), LAMBDA(sheet, IFERROR(VALUE(INDIRECT(""'"" &amp; sheet &amp; ""'!i7"")), 0))))"),0.0)</f>
        <v>0</v>
      </c>
      <c r="J7" s="10">
        <f>IFERROR(__xludf.DUMMYFUNCTION("SUM(MAP(FILTER(Z1:Z100, Z1:Z100 &lt;&gt; """"), LAMBDA(sheet, IFERROR(VALUE(INDIRECT(""'"" &amp; sheet &amp; ""'!j7"")), 0))))"),6.0)</f>
        <v>6</v>
      </c>
      <c r="K7" s="10">
        <f>IFERROR(__xludf.DUMMYFUNCTION("SUM(MAP(FILTER(Z1:Z100, Z1:Z100 &lt;&gt; """"), LAMBDA(sheet, IFERROR(VALUE(INDIRECT(""'"" &amp; sheet &amp; ""'!k7"")), 0))))"),0.0)</f>
        <v>0</v>
      </c>
      <c r="L7" s="10">
        <f>IFERROR(__xludf.DUMMYFUNCTION("SUM(MAP(FILTER(Z1:Z100, Z1:Z100 &lt;&gt; """"), LAMBDA(sheet, IFERROR(VALUE(INDIRECT(""'"" &amp; sheet &amp; ""'!l7"")), 0))))"),1.0)</f>
        <v>1</v>
      </c>
      <c r="M7" s="10">
        <f>IFERROR(__xludf.DUMMYFUNCTION("SUM(MAP(FILTER(Z1:Z100, Z1:Z100 &lt;&gt; """"), LAMBDA(sheet, IFERROR(VALUE(INDIRECT(""'"" &amp; sheet &amp; ""'!m7"")), 0))))"),7.0)</f>
        <v>7</v>
      </c>
      <c r="N7" s="35">
        <f t="shared" si="2"/>
        <v>0.8571428571</v>
      </c>
      <c r="O7" s="35">
        <f t="shared" si="3"/>
        <v>0</v>
      </c>
      <c r="P7" s="10">
        <f>IFERROR(__xludf.DUMMYFUNCTION("SUM(MAP(FILTER(Z1:Z100, Z1:Z100 &lt;&gt; """"), LAMBDA(sheet, IFERROR(VALUE(INDIRECT(""'"" &amp; sheet &amp; ""'!p7"")), 0))))"),1.0)</f>
        <v>1</v>
      </c>
      <c r="Q7" s="10">
        <f>IFERROR(__xludf.DUMMYFUNCTION("SUM(MAP(FILTER(Z1:Z100, Z1:Z100 &lt;&gt; """"), LAMBDA(sheet, IFERROR(VALUE(INDIRECT(""'"" &amp; sheet &amp; ""'!q7"")), 0))))"),0.0)</f>
        <v>0</v>
      </c>
      <c r="R7" s="10">
        <f>IFERROR(__xludf.DUMMYFUNCTION("SUM(MAP(FILTER(Z1:Z100, Z1:Z100 &lt;&gt; """"), LAMBDA(sheet, IFERROR(VALUE(INDIRECT(""'"" &amp; sheet &amp; ""'!r7"")), 0))))"),0.0)</f>
        <v>0</v>
      </c>
      <c r="S7" s="10">
        <f>IFERROR(__xludf.DUMMYFUNCTION("SUM(MAP(FILTER(Z1:Z100, Z1:Z100 &lt;&gt; """"), LAMBDA(sheet, IFERROR(VALUE(INDIRECT(""'"" &amp; sheet &amp; ""'!s7"")), 0))))"),1.0)</f>
        <v>1</v>
      </c>
      <c r="T7" s="10">
        <f>IFERROR(__xludf.DUMMYFUNCTION("SUM(MAP(FILTER(Z1:Z100, Z1:Z100 &lt;&gt; """"), LAMBDA(sheet, IFERROR(VALUE(INDIRECT(""'"" &amp; sheet &amp; ""'!t7"")), 0))))"),0.0)</f>
        <v>0</v>
      </c>
      <c r="U7" s="10">
        <f t="shared" si="4"/>
        <v>2</v>
      </c>
    </row>
    <row r="8">
      <c r="A8" s="25" t="s">
        <v>32</v>
      </c>
      <c r="B8" s="25" t="s">
        <v>45</v>
      </c>
      <c r="C8" s="48">
        <f>IFERROR(__xludf.DUMMYFUNCTION("SUM(MAP(FILTER(Z1:Z100, Z1:Z100 &lt;&gt; """"), LAMBDA(sheet, IFERROR(VALUE(INDIRECT(""'"" &amp; sheet &amp; ""'!C8"")), 0))))"),16.0)</f>
        <v>16</v>
      </c>
      <c r="D8" s="47">
        <f>IFERROR(__xludf.DUMMYFUNCTION("SUM(MAP(FILTER(Z1:Z104, Z1:Z104 &lt;&gt; """"), LAMBDA(sheet, IFERROR(VALUE(INDIRECT(""'"" &amp; sheet &amp; ""'!d8"")), 0))))"),3.0)</f>
        <v>3</v>
      </c>
      <c r="E8" s="49">
        <f>IFERROR(__xludf.DUMMYFUNCTION("SUM(MAP(FILTER(Z1:Z100, Z1:Z100 &lt;&gt; """"), LAMBDA(sheet, IFERROR(VALUE(INDIRECT(""'"" &amp; sheet &amp; ""'!e8"")), 0))))"),9.0)</f>
        <v>9</v>
      </c>
      <c r="F8" s="39">
        <f>IFERROR(__xludf.DUMMYFUNCTION("SUM(MAP(FILTER(Z1:Z100, Z1:Z100 &lt;&gt; """"), LAMBDA(sheet, IFERROR(VALUE(INDIRECT(""'"" &amp; sheet &amp; ""'!f8"")), 0))))"),0.0)</f>
        <v>0</v>
      </c>
      <c r="G8" s="35">
        <f t="shared" si="1"/>
        <v>-0.375</v>
      </c>
      <c r="H8" s="10">
        <f>IFERROR(__xludf.DUMMYFUNCTION("SUM(MAP(FILTER(Z1:Z100, Z1:Z100 &lt;&gt; """"), LAMBDA(sheet, IFERROR(VALUE(INDIRECT(""'"" &amp; sheet &amp; ""'!h8"")), 0))))"),0.0)</f>
        <v>0</v>
      </c>
      <c r="I8" s="10">
        <f>IFERROR(__xludf.DUMMYFUNCTION("SUM(MAP(FILTER(Z1:Z100, Z1:Z100 &lt;&gt; """"), LAMBDA(sheet, IFERROR(VALUE(INDIRECT(""'"" &amp; sheet &amp; ""'!i8"")), 0))))"),1.0)</f>
        <v>1</v>
      </c>
      <c r="J8" s="10">
        <f>IFERROR(__xludf.DUMMYFUNCTION("SUM(MAP(FILTER(Z1:Z100, Z1:Z100 &lt;&gt; """"), LAMBDA(sheet, IFERROR(VALUE(INDIRECT(""'"" &amp; sheet &amp; ""'!j8"")), 0))))"),7.0)</f>
        <v>7</v>
      </c>
      <c r="K8" s="10">
        <f>IFERROR(__xludf.DUMMYFUNCTION("SUM(MAP(FILTER(Z1:Z100, Z1:Z100 &lt;&gt; """"), LAMBDA(sheet, IFERROR(VALUE(INDIRECT(""'"" &amp; sheet &amp; ""'!k8"")), 0))))"),0.0)</f>
        <v>0</v>
      </c>
      <c r="L8" s="10">
        <f>IFERROR(__xludf.DUMMYFUNCTION("SUM(MAP(FILTER(Z1:Z100, Z1:Z100 &lt;&gt; """"), LAMBDA(sheet, IFERROR(VALUE(INDIRECT(""'"" &amp; sheet &amp; ""'!l8"")), 0))))"),1.0)</f>
        <v>1</v>
      </c>
      <c r="M8" s="10">
        <f>IFERROR(__xludf.DUMMYFUNCTION("SUM(MAP(FILTER(Z1:Z100, Z1:Z100 &lt;&gt; """"), LAMBDA(sheet, IFERROR(VALUE(INDIRECT(""'"" &amp; sheet &amp; ""'!m8"")), 0))))"),10.0)</f>
        <v>10</v>
      </c>
      <c r="N8" s="35">
        <f t="shared" si="2"/>
        <v>0.9</v>
      </c>
      <c r="O8" s="35">
        <f t="shared" si="3"/>
        <v>0</v>
      </c>
      <c r="P8" s="10">
        <f>IFERROR(__xludf.DUMMYFUNCTION("SUM(MAP(FILTER(Z1:Z100, Z1:Z100 &lt;&gt; """"), LAMBDA(sheet, IFERROR(VALUE(INDIRECT(""'"" &amp; sheet &amp; ""'!p8"")), 0))))"),3.0)</f>
        <v>3</v>
      </c>
      <c r="Q8" s="10">
        <f>IFERROR(__xludf.DUMMYFUNCTION("SUM(MAP(FILTER(Z1:Z100, Z1:Z100 &lt;&gt; """"), LAMBDA(sheet, IFERROR(VALUE(INDIRECT(""'"" &amp; sheet &amp; ""'!q8"")), 0))))"),0.0)</f>
        <v>0</v>
      </c>
      <c r="R8" s="10">
        <f>IFERROR(__xludf.DUMMYFUNCTION("SUM(MAP(FILTER(Z1:Z100, Z1:Z100 &lt;&gt; """"), LAMBDA(sheet, IFERROR(VALUE(INDIRECT(""'"" &amp; sheet &amp; ""'!r8"")), 0))))"),3.0)</f>
        <v>3</v>
      </c>
      <c r="S8" s="10">
        <f>IFERROR(__xludf.DUMMYFUNCTION("SUM(MAP(FILTER(Z1:Z100, Z1:Z100 &lt;&gt; """"), LAMBDA(sheet, IFERROR(VALUE(INDIRECT(""'"" &amp; sheet &amp; ""'!s8"")), 0))))"),0.0)</f>
        <v>0</v>
      </c>
      <c r="T8" s="10">
        <f>IFERROR(__xludf.DUMMYFUNCTION("SUM(MAP(FILTER(Z1:Z100, Z1:Z100 &lt;&gt; """"), LAMBDA(sheet, IFERROR(VALUE(INDIRECT(""'"" &amp; sheet &amp; ""'!t8"")), 0))))"),0.0)</f>
        <v>0</v>
      </c>
      <c r="U8" s="10">
        <f t="shared" si="4"/>
        <v>1</v>
      </c>
    </row>
    <row r="9">
      <c r="A9" s="26" t="s">
        <v>34</v>
      </c>
      <c r="B9" s="26" t="s">
        <v>46</v>
      </c>
      <c r="C9" s="50">
        <f>IFERROR(__xludf.DUMMYFUNCTION("SUM(MAP(FILTER(Z1:Z100, Z1:Z100 &lt;&gt; """"), LAMBDA(sheet, IFERROR(VALUE(INDIRECT(""'"" &amp; sheet &amp; ""'!C9"")), 0))))"),5.0)</f>
        <v>5</v>
      </c>
      <c r="D9" s="51">
        <f>IFERROR(__xludf.DUMMYFUNCTION("SUM(MAP(FILTER(Z1:Z104, Z1:Z104 &lt;&gt; """"), LAMBDA(sheet, IFERROR(VALUE(INDIRECT(""'"" &amp; sheet &amp; ""'!d9"")), 0))))"),2.0)</f>
        <v>2</v>
      </c>
      <c r="E9" s="38">
        <f>IFERROR(__xludf.DUMMYFUNCTION("SUM(MAP(FILTER(Z1:Z100, Z1:Z100 &lt;&gt; """"), LAMBDA(sheet, IFERROR(VALUE(INDIRECT(""'"" &amp; sheet &amp; ""'!e9"")), 0))))"),0.0)</f>
        <v>0</v>
      </c>
      <c r="F9" s="45">
        <f>IFERROR(__xludf.DUMMYFUNCTION("SUM(MAP(FILTER(Z1:Z100, Z1:Z100 &lt;&gt; """"), LAMBDA(sheet, IFERROR(VALUE(INDIRECT(""'"" &amp; sheet &amp; ""'!f9"")), 0))))"),0.0)</f>
        <v>0</v>
      </c>
      <c r="G9" s="35">
        <f t="shared" si="1"/>
        <v>0.4</v>
      </c>
      <c r="H9" s="10">
        <f>IFERROR(__xludf.DUMMYFUNCTION("SUM(MAP(FILTER(Z1:Z100, Z1:Z100 &lt;&gt; """"), LAMBDA(sheet, IFERROR(VALUE(INDIRECT(""'"" &amp; sheet &amp; ""'!h9"")), 0))))"),0.0)</f>
        <v>0</v>
      </c>
      <c r="I9" s="10">
        <f>IFERROR(__xludf.DUMMYFUNCTION("SUM(MAP(FILTER(Z1:Z100, Z1:Z100 &lt;&gt; """"), LAMBDA(sheet, IFERROR(VALUE(INDIRECT(""'"" &amp; sheet &amp; ""'!i9"")), 0))))"),0.0)</f>
        <v>0</v>
      </c>
      <c r="J9" s="10">
        <f>IFERROR(__xludf.DUMMYFUNCTION("SUM(MAP(FILTER(Z1:Z100, Z1:Z100 &lt;&gt; """"), LAMBDA(sheet, IFERROR(VALUE(INDIRECT(""'"" &amp; sheet &amp; ""'!j9"")), 0))))"),1.0)</f>
        <v>1</v>
      </c>
      <c r="K9" s="10">
        <f>IFERROR(__xludf.DUMMYFUNCTION("SUM(MAP(FILTER(Z1:Z100, Z1:Z100 &lt;&gt; """"), LAMBDA(sheet, IFERROR(VALUE(INDIRECT(""'"" &amp; sheet &amp; ""'!k9"")), 0))))"),0.0)</f>
        <v>0</v>
      </c>
      <c r="L9" s="10">
        <f>IFERROR(__xludf.DUMMYFUNCTION("SUM(MAP(FILTER(Z1:Z100, Z1:Z100 &lt;&gt; """"), LAMBDA(sheet, IFERROR(VALUE(INDIRECT(""'"" &amp; sheet &amp; ""'!l9"")), 0))))"),1.0)</f>
        <v>1</v>
      </c>
      <c r="M9" s="10">
        <f>IFERROR(__xludf.DUMMYFUNCTION("SUM(MAP(FILTER(Z1:Z100, Z1:Z100 &lt;&gt; """"), LAMBDA(sheet, IFERROR(VALUE(INDIRECT(""'"" &amp; sheet &amp; ""'!m9"")), 0))))"),2.0)</f>
        <v>2</v>
      </c>
      <c r="N9" s="35">
        <f t="shared" si="2"/>
        <v>0.5</v>
      </c>
      <c r="O9" s="35">
        <f t="shared" si="3"/>
        <v>0</v>
      </c>
      <c r="P9" s="10">
        <f>IFERROR(__xludf.DUMMYFUNCTION("SUM(MAP(FILTER(Z1:Z100, Z1:Z100 &lt;&gt; """"), LAMBDA(sheet, IFERROR(VALUE(INDIRECT(""'"" &amp; sheet &amp; ""'!p9"")), 0))))"),2.0)</f>
        <v>2</v>
      </c>
      <c r="Q9" s="10">
        <f>IFERROR(__xludf.DUMMYFUNCTION("SUM(MAP(FILTER(Z1:Z100, Z1:Z100 &lt;&gt; """"), LAMBDA(sheet, IFERROR(VALUE(INDIRECT(""'"" &amp; sheet &amp; ""'!q9"")), 0))))"),0.0)</f>
        <v>0</v>
      </c>
      <c r="R9" s="10">
        <f>IFERROR(__xludf.DUMMYFUNCTION("SUM(MAP(FILTER(Z1:Z100, Z1:Z100 &lt;&gt; """"), LAMBDA(sheet, IFERROR(VALUE(INDIRECT(""'"" &amp; sheet &amp; ""'!r9"")), 0))))"),1.0)</f>
        <v>1</v>
      </c>
      <c r="S9" s="10">
        <f>IFERROR(__xludf.DUMMYFUNCTION("SUM(MAP(FILTER(Z1:Z100, Z1:Z100 &lt;&gt; """"), LAMBDA(sheet, IFERROR(VALUE(INDIRECT(""'"" &amp; sheet &amp; ""'!s9"")), 0))))"),1.0)</f>
        <v>1</v>
      </c>
      <c r="T9" s="10">
        <f>IFERROR(__xludf.DUMMYFUNCTION("SUM(MAP(FILTER(Z1:Z100, Z1:Z100 &lt;&gt; """"), LAMBDA(sheet, IFERROR(VALUE(INDIRECT(""'"" &amp; sheet &amp; ""'!t9"")), 0))))"),0.0)</f>
        <v>0</v>
      </c>
      <c r="U9" s="10">
        <f t="shared" si="4"/>
        <v>1.5</v>
      </c>
    </row>
    <row r="10">
      <c r="C10" s="27"/>
      <c r="D10" s="27"/>
      <c r="E10" s="27"/>
      <c r="M10" s="52"/>
      <c r="N10" s="52"/>
      <c r="O10" s="52"/>
    </row>
    <row r="11">
      <c r="M11" s="52"/>
      <c r="N11" s="52"/>
      <c r="O11" s="52"/>
    </row>
    <row r="12">
      <c r="M12" s="52"/>
      <c r="N12" s="52"/>
      <c r="O12" s="52"/>
    </row>
    <row r="13">
      <c r="M13" s="52"/>
      <c r="N13" s="52"/>
      <c r="O13" s="52"/>
    </row>
    <row r="14">
      <c r="M14" s="52"/>
      <c r="N14" s="52"/>
      <c r="O14" s="52"/>
    </row>
    <row r="15">
      <c r="M15" s="52"/>
      <c r="N15" s="52"/>
      <c r="O15" s="52"/>
    </row>
    <row r="16">
      <c r="M16" s="52"/>
      <c r="N16" s="52"/>
      <c r="O16" s="52"/>
    </row>
    <row r="17">
      <c r="M17" s="52"/>
      <c r="N17" s="52"/>
      <c r="O17" s="52"/>
    </row>
    <row r="18">
      <c r="M18" s="52"/>
      <c r="N18" s="52"/>
      <c r="O18" s="52"/>
    </row>
    <row r="19">
      <c r="C19" s="27"/>
      <c r="M19" s="52"/>
      <c r="N19" s="52"/>
      <c r="O19" s="52"/>
    </row>
    <row r="20">
      <c r="M20" s="52"/>
      <c r="N20" s="52"/>
      <c r="O20" s="52"/>
    </row>
    <row r="21">
      <c r="M21" s="52"/>
      <c r="N21" s="52"/>
      <c r="O21" s="52"/>
    </row>
    <row r="22">
      <c r="M22" s="52"/>
      <c r="N22" s="52"/>
      <c r="O22" s="52"/>
    </row>
    <row r="23">
      <c r="M23" s="52"/>
      <c r="N23" s="52"/>
      <c r="O23" s="52"/>
    </row>
    <row r="24">
      <c r="M24" s="52"/>
      <c r="N24" s="52"/>
      <c r="O24" s="52"/>
    </row>
    <row r="25">
      <c r="M25" s="52"/>
      <c r="N25" s="52"/>
      <c r="O25" s="52"/>
    </row>
    <row r="26">
      <c r="M26" s="52"/>
      <c r="N26" s="52"/>
      <c r="O26" s="52"/>
    </row>
    <row r="27">
      <c r="M27" s="52"/>
      <c r="N27" s="52"/>
      <c r="O27" s="52"/>
    </row>
    <row r="28">
      <c r="M28" s="52"/>
      <c r="N28" s="52"/>
      <c r="O28" s="52"/>
    </row>
    <row r="29">
      <c r="M29" s="52"/>
      <c r="N29" s="52"/>
      <c r="O29" s="52"/>
    </row>
    <row r="30">
      <c r="M30" s="52"/>
      <c r="N30" s="52"/>
      <c r="O30" s="52"/>
    </row>
    <row r="31">
      <c r="M31" s="52"/>
      <c r="N31" s="52"/>
      <c r="O31" s="52"/>
    </row>
    <row r="32">
      <c r="M32" s="52"/>
      <c r="N32" s="52"/>
      <c r="O32" s="52"/>
    </row>
    <row r="33">
      <c r="M33" s="52"/>
      <c r="N33" s="52"/>
      <c r="O33" s="52"/>
    </row>
    <row r="34">
      <c r="M34" s="52"/>
      <c r="N34" s="52"/>
      <c r="O34" s="52"/>
    </row>
    <row r="35">
      <c r="M35" s="52"/>
      <c r="N35" s="52"/>
      <c r="O35" s="52"/>
    </row>
    <row r="36">
      <c r="M36" s="52"/>
      <c r="N36" s="52"/>
      <c r="O36" s="52"/>
    </row>
    <row r="37">
      <c r="M37" s="52"/>
      <c r="N37" s="52"/>
      <c r="O37" s="52"/>
    </row>
    <row r="38">
      <c r="M38" s="52"/>
      <c r="N38" s="52"/>
      <c r="O38" s="52"/>
    </row>
    <row r="39">
      <c r="M39" s="52"/>
      <c r="N39" s="52"/>
      <c r="O39" s="52"/>
    </row>
    <row r="40">
      <c r="M40" s="52"/>
      <c r="N40" s="52"/>
      <c r="O40" s="52"/>
    </row>
    <row r="41">
      <c r="M41" s="52"/>
      <c r="N41" s="52"/>
      <c r="O41" s="52"/>
    </row>
    <row r="42">
      <c r="M42" s="52"/>
      <c r="N42" s="52"/>
      <c r="O42" s="52"/>
    </row>
    <row r="43">
      <c r="M43" s="52"/>
      <c r="N43" s="52"/>
      <c r="O43" s="52"/>
    </row>
    <row r="44">
      <c r="M44" s="52"/>
      <c r="N44" s="52"/>
      <c r="O44" s="52"/>
    </row>
    <row r="45">
      <c r="M45" s="52"/>
      <c r="N45" s="52"/>
      <c r="O45" s="52"/>
    </row>
    <row r="46">
      <c r="M46" s="52"/>
      <c r="N46" s="52"/>
      <c r="O46" s="52"/>
    </row>
    <row r="47">
      <c r="M47" s="52"/>
      <c r="N47" s="52"/>
      <c r="O47" s="52"/>
    </row>
    <row r="48">
      <c r="M48" s="52"/>
      <c r="N48" s="52"/>
      <c r="O48" s="52"/>
    </row>
    <row r="49">
      <c r="M49" s="52"/>
      <c r="N49" s="52"/>
      <c r="O49" s="52"/>
    </row>
    <row r="50">
      <c r="M50" s="52"/>
      <c r="N50" s="52"/>
      <c r="O50" s="52"/>
    </row>
    <row r="51">
      <c r="M51" s="52"/>
      <c r="N51" s="52"/>
      <c r="O51" s="52"/>
    </row>
    <row r="52">
      <c r="M52" s="52"/>
      <c r="N52" s="52"/>
      <c r="O52" s="52"/>
    </row>
    <row r="53">
      <c r="M53" s="52"/>
      <c r="N53" s="52"/>
      <c r="O53" s="52"/>
    </row>
    <row r="54">
      <c r="M54" s="52"/>
      <c r="N54" s="52"/>
      <c r="O54" s="52"/>
    </row>
    <row r="55">
      <c r="M55" s="52"/>
      <c r="N55" s="52"/>
      <c r="O55" s="52"/>
    </row>
    <row r="56">
      <c r="M56" s="52"/>
      <c r="N56" s="52"/>
      <c r="O56" s="52"/>
    </row>
    <row r="57">
      <c r="M57" s="52"/>
      <c r="N57" s="52"/>
      <c r="O57" s="52"/>
    </row>
    <row r="58">
      <c r="M58" s="52"/>
      <c r="N58" s="52"/>
      <c r="O58" s="52"/>
    </row>
    <row r="59">
      <c r="M59" s="52"/>
      <c r="N59" s="52"/>
      <c r="O59" s="52"/>
    </row>
    <row r="60">
      <c r="M60" s="52"/>
      <c r="N60" s="52"/>
      <c r="O60" s="52"/>
    </row>
    <row r="61">
      <c r="M61" s="52"/>
      <c r="N61" s="52"/>
      <c r="O61" s="52"/>
    </row>
    <row r="62">
      <c r="M62" s="52"/>
      <c r="N62" s="52"/>
      <c r="O62" s="52"/>
    </row>
    <row r="63">
      <c r="M63" s="52"/>
      <c r="N63" s="52"/>
      <c r="O63" s="52"/>
    </row>
    <row r="64">
      <c r="M64" s="52"/>
      <c r="N64" s="52"/>
      <c r="O64" s="52"/>
    </row>
    <row r="65">
      <c r="M65" s="52"/>
      <c r="N65" s="52"/>
      <c r="O65" s="52"/>
    </row>
    <row r="66">
      <c r="M66" s="52"/>
      <c r="N66" s="52"/>
      <c r="O66" s="52"/>
    </row>
    <row r="67">
      <c r="M67" s="52"/>
      <c r="N67" s="52"/>
      <c r="O67" s="52"/>
    </row>
    <row r="68">
      <c r="M68" s="52"/>
      <c r="N68" s="52"/>
      <c r="O68" s="52"/>
    </row>
    <row r="69">
      <c r="M69" s="52"/>
      <c r="N69" s="52"/>
      <c r="O69" s="52"/>
    </row>
    <row r="70">
      <c r="M70" s="52"/>
      <c r="N70" s="52"/>
      <c r="O70" s="52"/>
    </row>
    <row r="71">
      <c r="M71" s="52"/>
      <c r="N71" s="52"/>
      <c r="O71" s="52"/>
    </row>
    <row r="72">
      <c r="M72" s="52"/>
      <c r="N72" s="52"/>
      <c r="O72" s="52"/>
    </row>
    <row r="73">
      <c r="M73" s="52"/>
      <c r="N73" s="52"/>
      <c r="O73" s="52"/>
    </row>
    <row r="74">
      <c r="M74" s="52"/>
      <c r="N74" s="52"/>
      <c r="O74" s="52"/>
    </row>
    <row r="75">
      <c r="M75" s="52"/>
      <c r="N75" s="52"/>
      <c r="O75" s="52"/>
    </row>
    <row r="76">
      <c r="M76" s="52"/>
      <c r="N76" s="52"/>
      <c r="O76" s="52"/>
    </row>
    <row r="77">
      <c r="M77" s="52"/>
      <c r="N77" s="52"/>
      <c r="O77" s="52"/>
    </row>
    <row r="78">
      <c r="M78" s="52"/>
      <c r="N78" s="52"/>
      <c r="O78" s="52"/>
    </row>
    <row r="79">
      <c r="M79" s="52"/>
      <c r="N79" s="52"/>
      <c r="O79" s="52"/>
    </row>
    <row r="80">
      <c r="M80" s="52"/>
      <c r="N80" s="52"/>
      <c r="O80" s="52"/>
    </row>
    <row r="81">
      <c r="M81" s="52"/>
      <c r="N81" s="52"/>
      <c r="O81" s="52"/>
    </row>
    <row r="82">
      <c r="M82" s="52"/>
      <c r="N82" s="52"/>
      <c r="O82" s="52"/>
    </row>
    <row r="83">
      <c r="M83" s="52"/>
      <c r="N83" s="52"/>
      <c r="O83" s="52"/>
    </row>
    <row r="84">
      <c r="M84" s="52"/>
      <c r="N84" s="52"/>
      <c r="O84" s="52"/>
    </row>
    <row r="85">
      <c r="M85" s="52"/>
      <c r="N85" s="52"/>
      <c r="O85" s="52"/>
    </row>
    <row r="86">
      <c r="M86" s="52"/>
      <c r="N86" s="52"/>
      <c r="O86" s="52"/>
    </row>
    <row r="87">
      <c r="M87" s="52"/>
      <c r="N87" s="52"/>
      <c r="O87" s="52"/>
    </row>
    <row r="88">
      <c r="M88" s="52"/>
      <c r="N88" s="52"/>
      <c r="O88" s="52"/>
    </row>
    <row r="89">
      <c r="M89" s="52"/>
      <c r="N89" s="52"/>
      <c r="O89" s="52"/>
    </row>
    <row r="90">
      <c r="M90" s="52"/>
      <c r="N90" s="52"/>
      <c r="O90" s="52"/>
    </row>
    <row r="91">
      <c r="M91" s="52"/>
      <c r="N91" s="52"/>
      <c r="O91" s="52"/>
    </row>
    <row r="92">
      <c r="M92" s="52"/>
      <c r="N92" s="52"/>
      <c r="O92" s="52"/>
    </row>
    <row r="93">
      <c r="M93" s="52"/>
      <c r="N93" s="52"/>
      <c r="O93" s="52"/>
    </row>
    <row r="94">
      <c r="M94" s="52"/>
      <c r="N94" s="52"/>
      <c r="O94" s="52"/>
    </row>
    <row r="95">
      <c r="M95" s="52"/>
      <c r="N95" s="52"/>
      <c r="O95" s="52"/>
    </row>
    <row r="96">
      <c r="M96" s="52"/>
      <c r="N96" s="52"/>
      <c r="O96" s="52"/>
    </row>
    <row r="97">
      <c r="M97" s="52"/>
      <c r="N97" s="52"/>
      <c r="O97" s="52"/>
    </row>
    <row r="98">
      <c r="M98" s="52"/>
      <c r="N98" s="52"/>
      <c r="O98" s="52"/>
    </row>
    <row r="99">
      <c r="M99" s="52"/>
      <c r="N99" s="52"/>
      <c r="O99" s="52"/>
    </row>
    <row r="100">
      <c r="M100" s="52"/>
      <c r="N100" s="52"/>
      <c r="O100" s="52"/>
    </row>
    <row r="101">
      <c r="M101" s="52"/>
      <c r="N101" s="52"/>
      <c r="O101" s="52"/>
    </row>
    <row r="102">
      <c r="M102" s="52"/>
      <c r="N102" s="52"/>
      <c r="O102" s="52"/>
    </row>
    <row r="103">
      <c r="M103" s="52"/>
      <c r="N103" s="52"/>
      <c r="O103" s="52"/>
    </row>
    <row r="104">
      <c r="M104" s="52"/>
      <c r="N104" s="52"/>
      <c r="O104" s="52"/>
    </row>
    <row r="105">
      <c r="M105" s="52"/>
      <c r="N105" s="52"/>
      <c r="O105" s="52"/>
    </row>
    <row r="106">
      <c r="M106" s="52"/>
      <c r="N106" s="52"/>
      <c r="O106" s="52"/>
    </row>
    <row r="107">
      <c r="M107" s="52"/>
      <c r="N107" s="52"/>
      <c r="O107" s="52"/>
    </row>
    <row r="108">
      <c r="M108" s="52"/>
      <c r="N108" s="52"/>
      <c r="O108" s="52"/>
    </row>
    <row r="109">
      <c r="M109" s="52"/>
      <c r="N109" s="52"/>
      <c r="O109" s="52"/>
    </row>
    <row r="110">
      <c r="M110" s="52"/>
      <c r="N110" s="52"/>
      <c r="O110" s="52"/>
    </row>
    <row r="111">
      <c r="M111" s="52"/>
      <c r="N111" s="52"/>
      <c r="O111" s="52"/>
    </row>
    <row r="112">
      <c r="M112" s="52"/>
      <c r="N112" s="52"/>
      <c r="O112" s="52"/>
    </row>
    <row r="113">
      <c r="M113" s="52"/>
      <c r="N113" s="52"/>
      <c r="O113" s="52"/>
    </row>
    <row r="114">
      <c r="M114" s="52"/>
      <c r="N114" s="52"/>
      <c r="O114" s="52"/>
    </row>
    <row r="115">
      <c r="M115" s="52"/>
      <c r="N115" s="52"/>
      <c r="O115" s="52"/>
    </row>
    <row r="116">
      <c r="M116" s="52"/>
      <c r="N116" s="52"/>
      <c r="O116" s="52"/>
    </row>
    <row r="117">
      <c r="M117" s="52"/>
      <c r="N117" s="52"/>
      <c r="O117" s="52"/>
    </row>
    <row r="118">
      <c r="M118" s="52"/>
      <c r="N118" s="52"/>
      <c r="O118" s="52"/>
    </row>
    <row r="119">
      <c r="M119" s="52"/>
      <c r="N119" s="52"/>
      <c r="O119" s="52"/>
    </row>
    <row r="120">
      <c r="M120" s="52"/>
      <c r="N120" s="52"/>
      <c r="O120" s="52"/>
    </row>
    <row r="121">
      <c r="M121" s="52"/>
      <c r="N121" s="52"/>
      <c r="O121" s="52"/>
    </row>
    <row r="122">
      <c r="M122" s="52"/>
      <c r="N122" s="52"/>
      <c r="O122" s="52"/>
    </row>
    <row r="123">
      <c r="M123" s="52"/>
      <c r="N123" s="52"/>
      <c r="O123" s="52"/>
    </row>
    <row r="124">
      <c r="M124" s="52"/>
      <c r="N124" s="52"/>
      <c r="O124" s="52"/>
    </row>
    <row r="125">
      <c r="M125" s="52"/>
      <c r="N125" s="52"/>
      <c r="O125" s="52"/>
    </row>
    <row r="126">
      <c r="M126" s="52"/>
      <c r="N126" s="52"/>
      <c r="O126" s="52"/>
    </row>
    <row r="127">
      <c r="M127" s="52"/>
      <c r="N127" s="52"/>
      <c r="O127" s="52"/>
    </row>
    <row r="128">
      <c r="M128" s="52"/>
      <c r="N128" s="52"/>
      <c r="O128" s="52"/>
    </row>
    <row r="129">
      <c r="M129" s="52"/>
      <c r="N129" s="52"/>
      <c r="O129" s="52"/>
    </row>
    <row r="130">
      <c r="M130" s="52"/>
      <c r="N130" s="52"/>
      <c r="O130" s="52"/>
    </row>
    <row r="131">
      <c r="M131" s="52"/>
      <c r="N131" s="52"/>
      <c r="O131" s="52"/>
    </row>
    <row r="132">
      <c r="M132" s="52"/>
      <c r="N132" s="52"/>
      <c r="O132" s="52"/>
    </row>
    <row r="133">
      <c r="M133" s="52"/>
      <c r="N133" s="52"/>
      <c r="O133" s="52"/>
    </row>
    <row r="134">
      <c r="M134" s="52"/>
      <c r="N134" s="52"/>
      <c r="O134" s="52"/>
    </row>
    <row r="135">
      <c r="M135" s="52"/>
      <c r="N135" s="52"/>
      <c r="O135" s="52"/>
    </row>
    <row r="136">
      <c r="M136" s="52"/>
      <c r="N136" s="52"/>
      <c r="O136" s="52"/>
    </row>
    <row r="137">
      <c r="M137" s="52"/>
      <c r="N137" s="52"/>
      <c r="O137" s="52"/>
    </row>
    <row r="138">
      <c r="M138" s="52"/>
      <c r="N138" s="52"/>
      <c r="O138" s="52"/>
    </row>
    <row r="139">
      <c r="M139" s="52"/>
      <c r="N139" s="52"/>
      <c r="O139" s="52"/>
    </row>
    <row r="140">
      <c r="M140" s="52"/>
      <c r="N140" s="52"/>
      <c r="O140" s="52"/>
    </row>
    <row r="141">
      <c r="M141" s="52"/>
      <c r="N141" s="52"/>
      <c r="O141" s="52"/>
    </row>
    <row r="142">
      <c r="M142" s="52"/>
      <c r="N142" s="52"/>
      <c r="O142" s="52"/>
    </row>
    <row r="143">
      <c r="M143" s="52"/>
      <c r="N143" s="52"/>
      <c r="O143" s="52"/>
    </row>
    <row r="144">
      <c r="M144" s="52"/>
      <c r="N144" s="52"/>
      <c r="O144" s="52"/>
    </row>
    <row r="145">
      <c r="M145" s="52"/>
      <c r="N145" s="52"/>
      <c r="O145" s="52"/>
    </row>
    <row r="146">
      <c r="M146" s="52"/>
      <c r="N146" s="52"/>
      <c r="O146" s="52"/>
    </row>
    <row r="147">
      <c r="M147" s="52"/>
      <c r="N147" s="52"/>
      <c r="O147" s="52"/>
    </row>
    <row r="148">
      <c r="M148" s="52"/>
      <c r="N148" s="52"/>
      <c r="O148" s="52"/>
    </row>
    <row r="149">
      <c r="M149" s="52"/>
      <c r="N149" s="52"/>
      <c r="O149" s="52"/>
    </row>
    <row r="150">
      <c r="M150" s="52"/>
      <c r="N150" s="52"/>
      <c r="O150" s="52"/>
    </row>
    <row r="151">
      <c r="M151" s="52"/>
      <c r="N151" s="52"/>
      <c r="O151" s="52"/>
    </row>
    <row r="152">
      <c r="M152" s="52"/>
      <c r="N152" s="52"/>
      <c r="O152" s="52"/>
    </row>
    <row r="153">
      <c r="M153" s="52"/>
      <c r="N153" s="52"/>
      <c r="O153" s="52"/>
    </row>
    <row r="154">
      <c r="M154" s="52"/>
      <c r="N154" s="52"/>
      <c r="O154" s="52"/>
    </row>
    <row r="155">
      <c r="M155" s="52"/>
      <c r="N155" s="52"/>
      <c r="O155" s="52"/>
    </row>
    <row r="156">
      <c r="M156" s="52"/>
      <c r="N156" s="52"/>
      <c r="O156" s="52"/>
    </row>
    <row r="157">
      <c r="M157" s="52"/>
      <c r="N157" s="52"/>
      <c r="O157" s="52"/>
    </row>
    <row r="158">
      <c r="M158" s="52"/>
      <c r="N158" s="52"/>
      <c r="O158" s="52"/>
    </row>
    <row r="159">
      <c r="M159" s="52"/>
      <c r="N159" s="52"/>
      <c r="O159" s="52"/>
    </row>
    <row r="160">
      <c r="M160" s="52"/>
      <c r="N160" s="52"/>
      <c r="O160" s="52"/>
    </row>
    <row r="161">
      <c r="M161" s="52"/>
      <c r="N161" s="52"/>
      <c r="O161" s="52"/>
    </row>
    <row r="162">
      <c r="M162" s="52"/>
      <c r="N162" s="52"/>
      <c r="O162" s="52"/>
    </row>
    <row r="163">
      <c r="M163" s="52"/>
      <c r="N163" s="52"/>
      <c r="O163" s="52"/>
    </row>
    <row r="164">
      <c r="M164" s="52"/>
      <c r="N164" s="52"/>
      <c r="O164" s="52"/>
    </row>
    <row r="165">
      <c r="M165" s="52"/>
      <c r="N165" s="52"/>
      <c r="O165" s="52"/>
    </row>
    <row r="166">
      <c r="M166" s="52"/>
      <c r="N166" s="52"/>
      <c r="O166" s="52"/>
    </row>
    <row r="167">
      <c r="M167" s="52"/>
      <c r="N167" s="52"/>
      <c r="O167" s="52"/>
    </row>
    <row r="168">
      <c r="M168" s="52"/>
      <c r="N168" s="52"/>
      <c r="O168" s="52"/>
    </row>
    <row r="169">
      <c r="M169" s="52"/>
      <c r="N169" s="52"/>
      <c r="O169" s="52"/>
    </row>
    <row r="170">
      <c r="M170" s="52"/>
      <c r="N170" s="52"/>
      <c r="O170" s="52"/>
    </row>
    <row r="171">
      <c r="M171" s="52"/>
      <c r="N171" s="52"/>
      <c r="O171" s="52"/>
    </row>
    <row r="172">
      <c r="M172" s="52"/>
      <c r="N172" s="52"/>
      <c r="O172" s="52"/>
    </row>
    <row r="173">
      <c r="M173" s="52"/>
      <c r="N173" s="52"/>
      <c r="O173" s="52"/>
    </row>
    <row r="174">
      <c r="M174" s="52"/>
      <c r="N174" s="52"/>
      <c r="O174" s="52"/>
    </row>
    <row r="175">
      <c r="M175" s="52"/>
      <c r="N175" s="52"/>
      <c r="O175" s="52"/>
    </row>
    <row r="176">
      <c r="M176" s="52"/>
      <c r="N176" s="52"/>
      <c r="O176" s="52"/>
    </row>
    <row r="177">
      <c r="M177" s="52"/>
      <c r="N177" s="52"/>
      <c r="O177" s="52"/>
    </row>
    <row r="178">
      <c r="M178" s="52"/>
      <c r="N178" s="52"/>
      <c r="O178" s="52"/>
    </row>
    <row r="179">
      <c r="M179" s="52"/>
      <c r="N179" s="52"/>
      <c r="O179" s="52"/>
    </row>
    <row r="180">
      <c r="M180" s="52"/>
      <c r="N180" s="52"/>
      <c r="O180" s="52"/>
    </row>
    <row r="181">
      <c r="M181" s="52"/>
      <c r="N181" s="52"/>
      <c r="O181" s="52"/>
    </row>
    <row r="182">
      <c r="M182" s="52"/>
      <c r="N182" s="52"/>
      <c r="O182" s="52"/>
    </row>
    <row r="183">
      <c r="M183" s="52"/>
      <c r="N183" s="52"/>
      <c r="O183" s="52"/>
    </row>
    <row r="184">
      <c r="M184" s="52"/>
      <c r="N184" s="52"/>
      <c r="O184" s="52"/>
    </row>
    <row r="185">
      <c r="M185" s="52"/>
      <c r="N185" s="52"/>
      <c r="O185" s="52"/>
    </row>
    <row r="186">
      <c r="M186" s="52"/>
      <c r="N186" s="52"/>
      <c r="O186" s="52"/>
    </row>
    <row r="187">
      <c r="M187" s="52"/>
      <c r="N187" s="52"/>
      <c r="O187" s="52"/>
    </row>
    <row r="188">
      <c r="M188" s="52"/>
      <c r="N188" s="52"/>
      <c r="O188" s="52"/>
    </row>
    <row r="189">
      <c r="M189" s="52"/>
      <c r="N189" s="52"/>
      <c r="O189" s="52"/>
    </row>
    <row r="190">
      <c r="M190" s="52"/>
      <c r="N190" s="52"/>
      <c r="O190" s="52"/>
    </row>
    <row r="191">
      <c r="M191" s="52"/>
      <c r="N191" s="52"/>
      <c r="O191" s="52"/>
    </row>
    <row r="192">
      <c r="M192" s="52"/>
      <c r="N192" s="52"/>
      <c r="O192" s="52"/>
    </row>
    <row r="193">
      <c r="M193" s="52"/>
      <c r="N193" s="52"/>
      <c r="O193" s="52"/>
    </row>
    <row r="194">
      <c r="M194" s="52"/>
      <c r="N194" s="52"/>
      <c r="O194" s="52"/>
    </row>
    <row r="195">
      <c r="M195" s="52"/>
      <c r="N195" s="52"/>
      <c r="O195" s="52"/>
    </row>
    <row r="196">
      <c r="M196" s="52"/>
      <c r="N196" s="52"/>
      <c r="O196" s="52"/>
    </row>
    <row r="197">
      <c r="M197" s="52"/>
      <c r="N197" s="52"/>
      <c r="O197" s="52"/>
    </row>
    <row r="198">
      <c r="M198" s="52"/>
      <c r="N198" s="52"/>
      <c r="O198" s="52"/>
    </row>
    <row r="199">
      <c r="M199" s="52"/>
      <c r="N199" s="52"/>
      <c r="O199" s="52"/>
    </row>
    <row r="200">
      <c r="M200" s="52"/>
      <c r="N200" s="52"/>
      <c r="O200" s="52"/>
    </row>
    <row r="201">
      <c r="M201" s="52"/>
      <c r="N201" s="52"/>
      <c r="O201" s="52"/>
    </row>
    <row r="202">
      <c r="M202" s="52"/>
      <c r="N202" s="52"/>
      <c r="O202" s="52"/>
    </row>
    <row r="203">
      <c r="M203" s="52"/>
      <c r="N203" s="52"/>
      <c r="O203" s="52"/>
    </row>
    <row r="204">
      <c r="M204" s="52"/>
      <c r="N204" s="52"/>
      <c r="O204" s="52"/>
    </row>
    <row r="205">
      <c r="M205" s="52"/>
      <c r="N205" s="52"/>
      <c r="O205" s="52"/>
    </row>
    <row r="206">
      <c r="M206" s="52"/>
      <c r="N206" s="52"/>
      <c r="O206" s="52"/>
    </row>
    <row r="207">
      <c r="M207" s="52"/>
      <c r="N207" s="52"/>
      <c r="O207" s="52"/>
    </row>
    <row r="208">
      <c r="M208" s="52"/>
      <c r="N208" s="52"/>
      <c r="O208" s="52"/>
    </row>
    <row r="209">
      <c r="M209" s="52"/>
      <c r="N209" s="52"/>
      <c r="O209" s="52"/>
    </row>
    <row r="210">
      <c r="M210" s="52"/>
      <c r="N210" s="52"/>
      <c r="O210" s="52"/>
    </row>
    <row r="211">
      <c r="M211" s="52"/>
      <c r="N211" s="52"/>
      <c r="O211" s="52"/>
    </row>
    <row r="212">
      <c r="M212" s="52"/>
      <c r="N212" s="52"/>
      <c r="O212" s="52"/>
    </row>
    <row r="213">
      <c r="M213" s="52"/>
      <c r="N213" s="52"/>
      <c r="O213" s="52"/>
    </row>
    <row r="214">
      <c r="M214" s="52"/>
      <c r="N214" s="52"/>
      <c r="O214" s="52"/>
    </row>
    <row r="215">
      <c r="M215" s="52"/>
      <c r="N215" s="52"/>
      <c r="O215" s="52"/>
    </row>
    <row r="216">
      <c r="M216" s="52"/>
      <c r="N216" s="52"/>
      <c r="O216" s="52"/>
    </row>
    <row r="217">
      <c r="M217" s="52"/>
      <c r="N217" s="52"/>
      <c r="O217" s="52"/>
    </row>
    <row r="218">
      <c r="M218" s="52"/>
      <c r="N218" s="52"/>
      <c r="O218" s="52"/>
    </row>
    <row r="219">
      <c r="M219" s="52"/>
      <c r="N219" s="52"/>
      <c r="O219" s="52"/>
    </row>
    <row r="220">
      <c r="M220" s="52"/>
      <c r="N220" s="52"/>
      <c r="O220" s="52"/>
    </row>
    <row r="221">
      <c r="M221" s="52"/>
      <c r="N221" s="52"/>
      <c r="O221" s="52"/>
    </row>
    <row r="222">
      <c r="M222" s="52"/>
      <c r="N222" s="52"/>
      <c r="O222" s="52"/>
    </row>
    <row r="223">
      <c r="M223" s="52"/>
      <c r="N223" s="52"/>
      <c r="O223" s="52"/>
    </row>
    <row r="224">
      <c r="M224" s="52"/>
      <c r="N224" s="52"/>
      <c r="O224" s="52"/>
    </row>
    <row r="225">
      <c r="M225" s="52"/>
      <c r="N225" s="52"/>
      <c r="O225" s="52"/>
    </row>
    <row r="226">
      <c r="M226" s="52"/>
      <c r="N226" s="52"/>
      <c r="O226" s="52"/>
    </row>
    <row r="227">
      <c r="M227" s="52"/>
      <c r="N227" s="52"/>
      <c r="O227" s="52"/>
    </row>
    <row r="228">
      <c r="M228" s="52"/>
      <c r="N228" s="52"/>
      <c r="O228" s="52"/>
    </row>
    <row r="229">
      <c r="M229" s="52"/>
      <c r="N229" s="52"/>
      <c r="O229" s="52"/>
    </row>
    <row r="230">
      <c r="M230" s="52"/>
      <c r="N230" s="52"/>
      <c r="O230" s="52"/>
    </row>
    <row r="231">
      <c r="M231" s="52"/>
      <c r="N231" s="52"/>
      <c r="O231" s="52"/>
    </row>
    <row r="232">
      <c r="M232" s="52"/>
      <c r="N232" s="52"/>
      <c r="O232" s="52"/>
    </row>
    <row r="233">
      <c r="M233" s="52"/>
      <c r="N233" s="52"/>
      <c r="O233" s="52"/>
    </row>
    <row r="234">
      <c r="M234" s="52"/>
      <c r="N234" s="52"/>
      <c r="O234" s="52"/>
    </row>
    <row r="235">
      <c r="M235" s="52"/>
      <c r="N235" s="52"/>
      <c r="O235" s="52"/>
    </row>
    <row r="236">
      <c r="M236" s="52"/>
      <c r="N236" s="52"/>
      <c r="O236" s="52"/>
    </row>
    <row r="237">
      <c r="M237" s="52"/>
      <c r="N237" s="52"/>
      <c r="O237" s="52"/>
    </row>
    <row r="238">
      <c r="M238" s="52"/>
      <c r="N238" s="52"/>
      <c r="O238" s="52"/>
    </row>
    <row r="239">
      <c r="M239" s="52"/>
      <c r="N239" s="52"/>
      <c r="O239" s="52"/>
    </row>
    <row r="240">
      <c r="M240" s="52"/>
      <c r="N240" s="52"/>
      <c r="O240" s="52"/>
    </row>
    <row r="241">
      <c r="M241" s="52"/>
      <c r="N241" s="52"/>
      <c r="O241" s="52"/>
    </row>
    <row r="242">
      <c r="M242" s="52"/>
      <c r="N242" s="52"/>
      <c r="O242" s="52"/>
    </row>
    <row r="243">
      <c r="M243" s="52"/>
      <c r="N243" s="52"/>
      <c r="O243" s="52"/>
    </row>
    <row r="244">
      <c r="M244" s="52"/>
      <c r="N244" s="52"/>
      <c r="O244" s="52"/>
    </row>
    <row r="245">
      <c r="M245" s="52"/>
      <c r="N245" s="52"/>
      <c r="O245" s="52"/>
    </row>
    <row r="246">
      <c r="M246" s="52"/>
      <c r="N246" s="52"/>
      <c r="O246" s="52"/>
    </row>
    <row r="247">
      <c r="M247" s="52"/>
      <c r="N247" s="52"/>
      <c r="O247" s="52"/>
    </row>
    <row r="248">
      <c r="M248" s="52"/>
      <c r="N248" s="52"/>
      <c r="O248" s="52"/>
    </row>
    <row r="249">
      <c r="M249" s="52"/>
      <c r="N249" s="52"/>
      <c r="O249" s="52"/>
    </row>
    <row r="250">
      <c r="M250" s="52"/>
      <c r="N250" s="52"/>
      <c r="O250" s="52"/>
    </row>
    <row r="251">
      <c r="M251" s="52"/>
      <c r="N251" s="52"/>
      <c r="O251" s="52"/>
    </row>
    <row r="252">
      <c r="M252" s="52"/>
      <c r="N252" s="52"/>
      <c r="O252" s="52"/>
    </row>
    <row r="253">
      <c r="M253" s="52"/>
      <c r="N253" s="52"/>
      <c r="O253" s="52"/>
    </row>
    <row r="254">
      <c r="M254" s="52"/>
      <c r="N254" s="52"/>
      <c r="O254" s="52"/>
    </row>
    <row r="255">
      <c r="M255" s="52"/>
      <c r="N255" s="52"/>
      <c r="O255" s="52"/>
    </row>
    <row r="256">
      <c r="M256" s="52"/>
      <c r="N256" s="52"/>
      <c r="O256" s="52"/>
    </row>
    <row r="257">
      <c r="M257" s="52"/>
      <c r="N257" s="52"/>
      <c r="O257" s="52"/>
    </row>
    <row r="258">
      <c r="M258" s="52"/>
      <c r="N258" s="52"/>
      <c r="O258" s="52"/>
    </row>
    <row r="259">
      <c r="M259" s="52"/>
      <c r="N259" s="52"/>
      <c r="O259" s="52"/>
    </row>
    <row r="260">
      <c r="M260" s="52"/>
      <c r="N260" s="52"/>
      <c r="O260" s="52"/>
    </row>
    <row r="261">
      <c r="M261" s="52"/>
      <c r="N261" s="52"/>
      <c r="O261" s="52"/>
    </row>
    <row r="262">
      <c r="M262" s="52"/>
      <c r="N262" s="52"/>
      <c r="O262" s="52"/>
    </row>
    <row r="263">
      <c r="M263" s="52"/>
      <c r="N263" s="52"/>
      <c r="O263" s="52"/>
    </row>
    <row r="264">
      <c r="M264" s="52"/>
      <c r="N264" s="52"/>
      <c r="O264" s="52"/>
    </row>
    <row r="265">
      <c r="M265" s="52"/>
      <c r="N265" s="52"/>
      <c r="O265" s="52"/>
    </row>
    <row r="266">
      <c r="M266" s="52"/>
      <c r="N266" s="52"/>
      <c r="O266" s="52"/>
    </row>
    <row r="267">
      <c r="M267" s="52"/>
      <c r="N267" s="52"/>
      <c r="O267" s="52"/>
    </row>
    <row r="268">
      <c r="M268" s="52"/>
      <c r="N268" s="52"/>
      <c r="O268" s="52"/>
    </row>
    <row r="269">
      <c r="M269" s="52"/>
      <c r="N269" s="52"/>
      <c r="O269" s="52"/>
    </row>
    <row r="270">
      <c r="M270" s="52"/>
      <c r="N270" s="52"/>
      <c r="O270" s="52"/>
    </row>
    <row r="271">
      <c r="M271" s="52"/>
      <c r="N271" s="52"/>
      <c r="O271" s="52"/>
    </row>
    <row r="272">
      <c r="M272" s="52"/>
      <c r="N272" s="52"/>
      <c r="O272" s="52"/>
    </row>
    <row r="273">
      <c r="M273" s="52"/>
      <c r="N273" s="52"/>
      <c r="O273" s="52"/>
    </row>
    <row r="274">
      <c r="M274" s="52"/>
      <c r="N274" s="52"/>
      <c r="O274" s="52"/>
    </row>
    <row r="275">
      <c r="M275" s="52"/>
      <c r="N275" s="52"/>
      <c r="O275" s="52"/>
    </row>
    <row r="276">
      <c r="M276" s="52"/>
      <c r="N276" s="52"/>
      <c r="O276" s="52"/>
    </row>
    <row r="277">
      <c r="M277" s="52"/>
      <c r="N277" s="52"/>
      <c r="O277" s="52"/>
    </row>
    <row r="278">
      <c r="M278" s="52"/>
      <c r="N278" s="52"/>
      <c r="O278" s="52"/>
    </row>
    <row r="279">
      <c r="M279" s="52"/>
      <c r="N279" s="52"/>
      <c r="O279" s="52"/>
    </row>
    <row r="280">
      <c r="M280" s="52"/>
      <c r="N280" s="52"/>
      <c r="O280" s="52"/>
    </row>
    <row r="281">
      <c r="M281" s="52"/>
      <c r="N281" s="52"/>
      <c r="O281" s="52"/>
    </row>
    <row r="282">
      <c r="M282" s="52"/>
      <c r="N282" s="52"/>
      <c r="O282" s="52"/>
    </row>
    <row r="283">
      <c r="M283" s="52"/>
      <c r="N283" s="52"/>
      <c r="O283" s="52"/>
    </row>
    <row r="284">
      <c r="M284" s="52"/>
      <c r="N284" s="52"/>
      <c r="O284" s="52"/>
    </row>
    <row r="285">
      <c r="M285" s="52"/>
      <c r="N285" s="52"/>
      <c r="O285" s="52"/>
    </row>
    <row r="286">
      <c r="M286" s="52"/>
      <c r="N286" s="52"/>
      <c r="O286" s="52"/>
    </row>
    <row r="287">
      <c r="M287" s="52"/>
      <c r="N287" s="52"/>
      <c r="O287" s="52"/>
    </row>
    <row r="288">
      <c r="M288" s="52"/>
      <c r="N288" s="52"/>
      <c r="O288" s="52"/>
    </row>
    <row r="289">
      <c r="M289" s="52"/>
      <c r="N289" s="52"/>
      <c r="O289" s="52"/>
    </row>
    <row r="290">
      <c r="M290" s="52"/>
      <c r="N290" s="52"/>
      <c r="O290" s="52"/>
    </row>
    <row r="291">
      <c r="M291" s="52"/>
      <c r="N291" s="52"/>
      <c r="O291" s="52"/>
    </row>
    <row r="292">
      <c r="M292" s="52"/>
      <c r="N292" s="52"/>
      <c r="O292" s="52"/>
    </row>
    <row r="293">
      <c r="M293" s="52"/>
      <c r="N293" s="52"/>
      <c r="O293" s="52"/>
    </row>
    <row r="294">
      <c r="M294" s="52"/>
      <c r="N294" s="52"/>
      <c r="O294" s="52"/>
    </row>
    <row r="295">
      <c r="M295" s="52"/>
      <c r="N295" s="52"/>
      <c r="O295" s="52"/>
    </row>
    <row r="296">
      <c r="M296" s="52"/>
      <c r="N296" s="52"/>
      <c r="O296" s="52"/>
    </row>
    <row r="297">
      <c r="M297" s="52"/>
      <c r="N297" s="52"/>
      <c r="O297" s="52"/>
    </row>
    <row r="298">
      <c r="M298" s="52"/>
      <c r="N298" s="52"/>
      <c r="O298" s="52"/>
    </row>
    <row r="299">
      <c r="M299" s="52"/>
      <c r="N299" s="52"/>
      <c r="O299" s="52"/>
    </row>
    <row r="300">
      <c r="M300" s="52"/>
      <c r="N300" s="52"/>
      <c r="O300" s="52"/>
    </row>
    <row r="301">
      <c r="M301" s="52"/>
      <c r="N301" s="52"/>
      <c r="O301" s="52"/>
    </row>
    <row r="302">
      <c r="M302" s="52"/>
      <c r="N302" s="52"/>
      <c r="O302" s="52"/>
    </row>
    <row r="303">
      <c r="M303" s="52"/>
      <c r="N303" s="52"/>
      <c r="O303" s="52"/>
    </row>
    <row r="304">
      <c r="M304" s="52"/>
      <c r="N304" s="52"/>
      <c r="O304" s="52"/>
    </row>
    <row r="305">
      <c r="M305" s="52"/>
      <c r="N305" s="52"/>
      <c r="O305" s="52"/>
    </row>
    <row r="306">
      <c r="M306" s="52"/>
      <c r="N306" s="52"/>
      <c r="O306" s="52"/>
    </row>
    <row r="307">
      <c r="M307" s="52"/>
      <c r="N307" s="52"/>
      <c r="O307" s="52"/>
    </row>
    <row r="308">
      <c r="M308" s="52"/>
      <c r="N308" s="52"/>
      <c r="O308" s="52"/>
    </row>
    <row r="309">
      <c r="M309" s="52"/>
      <c r="N309" s="52"/>
      <c r="O309" s="52"/>
    </row>
    <row r="310">
      <c r="M310" s="52"/>
      <c r="N310" s="52"/>
      <c r="O310" s="52"/>
    </row>
    <row r="311">
      <c r="M311" s="52"/>
      <c r="N311" s="52"/>
      <c r="O311" s="52"/>
    </row>
    <row r="312">
      <c r="M312" s="52"/>
      <c r="N312" s="52"/>
      <c r="O312" s="52"/>
    </row>
    <row r="313">
      <c r="M313" s="52"/>
      <c r="N313" s="52"/>
      <c r="O313" s="52"/>
    </row>
    <row r="314">
      <c r="M314" s="52"/>
      <c r="N314" s="52"/>
      <c r="O314" s="52"/>
    </row>
    <row r="315">
      <c r="M315" s="52"/>
      <c r="N315" s="52"/>
      <c r="O315" s="52"/>
    </row>
    <row r="316">
      <c r="M316" s="52"/>
      <c r="N316" s="52"/>
      <c r="O316" s="52"/>
    </row>
    <row r="317">
      <c r="M317" s="52"/>
      <c r="N317" s="52"/>
      <c r="O317" s="52"/>
    </row>
    <row r="318">
      <c r="M318" s="52"/>
      <c r="N318" s="52"/>
      <c r="O318" s="52"/>
    </row>
    <row r="319">
      <c r="M319" s="52"/>
      <c r="N319" s="52"/>
      <c r="O319" s="52"/>
    </row>
    <row r="320">
      <c r="M320" s="52"/>
      <c r="N320" s="52"/>
      <c r="O320" s="52"/>
    </row>
    <row r="321">
      <c r="M321" s="52"/>
      <c r="N321" s="52"/>
      <c r="O321" s="52"/>
    </row>
    <row r="322">
      <c r="M322" s="52"/>
      <c r="N322" s="52"/>
      <c r="O322" s="52"/>
    </row>
    <row r="323">
      <c r="M323" s="52"/>
      <c r="N323" s="52"/>
      <c r="O323" s="52"/>
    </row>
    <row r="324">
      <c r="M324" s="52"/>
      <c r="N324" s="52"/>
      <c r="O324" s="52"/>
    </row>
    <row r="325">
      <c r="M325" s="52"/>
      <c r="N325" s="52"/>
      <c r="O325" s="52"/>
    </row>
    <row r="326">
      <c r="M326" s="52"/>
      <c r="N326" s="52"/>
      <c r="O326" s="52"/>
    </row>
    <row r="327">
      <c r="M327" s="52"/>
      <c r="N327" s="52"/>
      <c r="O327" s="52"/>
    </row>
    <row r="328">
      <c r="M328" s="52"/>
      <c r="N328" s="52"/>
      <c r="O328" s="52"/>
    </row>
    <row r="329">
      <c r="M329" s="52"/>
      <c r="N329" s="52"/>
      <c r="O329" s="52"/>
    </row>
    <row r="330">
      <c r="M330" s="52"/>
      <c r="N330" s="52"/>
      <c r="O330" s="52"/>
    </row>
    <row r="331">
      <c r="M331" s="52"/>
      <c r="N331" s="52"/>
      <c r="O331" s="52"/>
    </row>
    <row r="332">
      <c r="M332" s="52"/>
      <c r="N332" s="52"/>
      <c r="O332" s="52"/>
    </row>
    <row r="333">
      <c r="M333" s="52"/>
      <c r="N333" s="52"/>
      <c r="O333" s="52"/>
    </row>
    <row r="334">
      <c r="M334" s="52"/>
      <c r="N334" s="52"/>
      <c r="O334" s="52"/>
    </row>
    <row r="335">
      <c r="M335" s="52"/>
      <c r="N335" s="52"/>
      <c r="O335" s="52"/>
    </row>
    <row r="336">
      <c r="M336" s="52"/>
      <c r="N336" s="52"/>
      <c r="O336" s="52"/>
    </row>
    <row r="337">
      <c r="M337" s="52"/>
      <c r="N337" s="52"/>
      <c r="O337" s="52"/>
    </row>
    <row r="338">
      <c r="M338" s="52"/>
      <c r="N338" s="52"/>
      <c r="O338" s="52"/>
    </row>
    <row r="339">
      <c r="M339" s="52"/>
      <c r="N339" s="52"/>
      <c r="O339" s="52"/>
    </row>
    <row r="340">
      <c r="M340" s="52"/>
      <c r="N340" s="52"/>
      <c r="O340" s="52"/>
    </row>
    <row r="341">
      <c r="M341" s="52"/>
      <c r="N341" s="52"/>
      <c r="O341" s="52"/>
    </row>
    <row r="342">
      <c r="M342" s="52"/>
      <c r="N342" s="52"/>
      <c r="O342" s="52"/>
    </row>
    <row r="343">
      <c r="M343" s="52"/>
      <c r="N343" s="52"/>
      <c r="O343" s="52"/>
    </row>
    <row r="344">
      <c r="M344" s="52"/>
      <c r="N344" s="52"/>
      <c r="O344" s="52"/>
    </row>
    <row r="345">
      <c r="M345" s="52"/>
      <c r="N345" s="52"/>
      <c r="O345" s="52"/>
    </row>
    <row r="346">
      <c r="M346" s="52"/>
      <c r="N346" s="52"/>
      <c r="O346" s="52"/>
    </row>
    <row r="347">
      <c r="M347" s="52"/>
      <c r="N347" s="52"/>
      <c r="O347" s="52"/>
    </row>
    <row r="348">
      <c r="M348" s="52"/>
      <c r="N348" s="52"/>
      <c r="O348" s="52"/>
    </row>
    <row r="349">
      <c r="M349" s="52"/>
      <c r="N349" s="52"/>
      <c r="O349" s="52"/>
    </row>
    <row r="350">
      <c r="M350" s="52"/>
      <c r="N350" s="52"/>
      <c r="O350" s="52"/>
    </row>
    <row r="351">
      <c r="M351" s="52"/>
      <c r="N351" s="52"/>
      <c r="O351" s="52"/>
    </row>
    <row r="352">
      <c r="M352" s="52"/>
      <c r="N352" s="52"/>
      <c r="O352" s="52"/>
    </row>
    <row r="353">
      <c r="M353" s="52"/>
      <c r="N353" s="52"/>
      <c r="O353" s="52"/>
    </row>
    <row r="354">
      <c r="M354" s="52"/>
      <c r="N354" s="52"/>
      <c r="O354" s="52"/>
    </row>
    <row r="355">
      <c r="M355" s="52"/>
      <c r="N355" s="52"/>
      <c r="O355" s="52"/>
    </row>
    <row r="356">
      <c r="M356" s="52"/>
      <c r="N356" s="52"/>
      <c r="O356" s="52"/>
    </row>
    <row r="357">
      <c r="M357" s="52"/>
      <c r="N357" s="52"/>
      <c r="O357" s="52"/>
    </row>
    <row r="358">
      <c r="M358" s="52"/>
      <c r="N358" s="52"/>
      <c r="O358" s="52"/>
    </row>
    <row r="359">
      <c r="M359" s="52"/>
      <c r="N359" s="52"/>
      <c r="O359" s="52"/>
    </row>
    <row r="360">
      <c r="M360" s="52"/>
      <c r="N360" s="52"/>
      <c r="O360" s="52"/>
    </row>
    <row r="361">
      <c r="M361" s="52"/>
      <c r="N361" s="52"/>
      <c r="O361" s="52"/>
    </row>
    <row r="362">
      <c r="M362" s="52"/>
      <c r="N362" s="52"/>
      <c r="O362" s="52"/>
    </row>
    <row r="363">
      <c r="M363" s="52"/>
      <c r="N363" s="52"/>
      <c r="O363" s="52"/>
    </row>
    <row r="364">
      <c r="M364" s="52"/>
      <c r="N364" s="52"/>
      <c r="O364" s="52"/>
    </row>
    <row r="365">
      <c r="M365" s="52"/>
      <c r="N365" s="52"/>
      <c r="O365" s="52"/>
    </row>
    <row r="366">
      <c r="M366" s="52"/>
      <c r="N366" s="52"/>
      <c r="O366" s="52"/>
    </row>
    <row r="367">
      <c r="M367" s="52"/>
      <c r="N367" s="52"/>
      <c r="O367" s="52"/>
    </row>
    <row r="368">
      <c r="M368" s="52"/>
      <c r="N368" s="52"/>
      <c r="O368" s="52"/>
    </row>
    <row r="369">
      <c r="M369" s="52"/>
      <c r="N369" s="52"/>
      <c r="O369" s="52"/>
    </row>
    <row r="370">
      <c r="M370" s="52"/>
      <c r="N370" s="52"/>
      <c r="O370" s="52"/>
    </row>
    <row r="371">
      <c r="M371" s="52"/>
      <c r="N371" s="52"/>
      <c r="O371" s="52"/>
    </row>
    <row r="372">
      <c r="M372" s="52"/>
      <c r="N372" s="52"/>
      <c r="O372" s="52"/>
    </row>
    <row r="373">
      <c r="M373" s="52"/>
      <c r="N373" s="52"/>
      <c r="O373" s="52"/>
    </row>
    <row r="374">
      <c r="M374" s="52"/>
      <c r="N374" s="52"/>
      <c r="O374" s="52"/>
    </row>
    <row r="375">
      <c r="M375" s="52"/>
      <c r="N375" s="52"/>
      <c r="O375" s="52"/>
    </row>
    <row r="376">
      <c r="M376" s="52"/>
      <c r="N376" s="52"/>
      <c r="O376" s="52"/>
    </row>
    <row r="377">
      <c r="M377" s="52"/>
      <c r="N377" s="52"/>
      <c r="O377" s="52"/>
    </row>
    <row r="378">
      <c r="M378" s="52"/>
      <c r="N378" s="52"/>
      <c r="O378" s="52"/>
    </row>
    <row r="379">
      <c r="M379" s="52"/>
      <c r="N379" s="52"/>
      <c r="O379" s="52"/>
    </row>
    <row r="380">
      <c r="M380" s="52"/>
      <c r="N380" s="52"/>
      <c r="O380" s="52"/>
    </row>
    <row r="381">
      <c r="M381" s="52"/>
      <c r="N381" s="52"/>
      <c r="O381" s="52"/>
    </row>
    <row r="382">
      <c r="M382" s="52"/>
      <c r="N382" s="52"/>
      <c r="O382" s="52"/>
    </row>
    <row r="383">
      <c r="M383" s="52"/>
      <c r="N383" s="52"/>
      <c r="O383" s="52"/>
    </row>
    <row r="384">
      <c r="M384" s="52"/>
      <c r="N384" s="52"/>
      <c r="O384" s="52"/>
    </row>
    <row r="385">
      <c r="M385" s="52"/>
      <c r="N385" s="52"/>
      <c r="O385" s="52"/>
    </row>
    <row r="386">
      <c r="M386" s="52"/>
      <c r="N386" s="52"/>
      <c r="O386" s="52"/>
    </row>
    <row r="387">
      <c r="M387" s="52"/>
      <c r="N387" s="52"/>
      <c r="O387" s="52"/>
    </row>
    <row r="388">
      <c r="M388" s="52"/>
      <c r="N388" s="52"/>
      <c r="O388" s="52"/>
    </row>
    <row r="389">
      <c r="M389" s="52"/>
      <c r="N389" s="52"/>
      <c r="O389" s="52"/>
    </row>
    <row r="390">
      <c r="M390" s="52"/>
      <c r="N390" s="52"/>
      <c r="O390" s="52"/>
    </row>
    <row r="391">
      <c r="M391" s="52"/>
      <c r="N391" s="52"/>
      <c r="O391" s="52"/>
    </row>
    <row r="392">
      <c r="M392" s="52"/>
      <c r="N392" s="52"/>
      <c r="O392" s="52"/>
    </row>
    <row r="393">
      <c r="M393" s="52"/>
      <c r="N393" s="52"/>
      <c r="O393" s="52"/>
    </row>
    <row r="394">
      <c r="M394" s="52"/>
      <c r="N394" s="52"/>
      <c r="O394" s="52"/>
    </row>
    <row r="395">
      <c r="M395" s="52"/>
      <c r="N395" s="52"/>
      <c r="O395" s="52"/>
    </row>
    <row r="396">
      <c r="M396" s="52"/>
      <c r="N396" s="52"/>
      <c r="O396" s="52"/>
    </row>
    <row r="397">
      <c r="M397" s="52"/>
      <c r="N397" s="52"/>
      <c r="O397" s="52"/>
    </row>
    <row r="398">
      <c r="M398" s="52"/>
      <c r="N398" s="52"/>
      <c r="O398" s="52"/>
    </row>
    <row r="399">
      <c r="M399" s="52"/>
      <c r="N399" s="52"/>
      <c r="O399" s="52"/>
    </row>
    <row r="400">
      <c r="M400" s="52"/>
      <c r="N400" s="52"/>
      <c r="O400" s="52"/>
    </row>
    <row r="401">
      <c r="M401" s="52"/>
      <c r="N401" s="52"/>
      <c r="O401" s="52"/>
    </row>
    <row r="402">
      <c r="M402" s="52"/>
      <c r="N402" s="52"/>
      <c r="O402" s="52"/>
    </row>
    <row r="403">
      <c r="M403" s="52"/>
      <c r="N403" s="52"/>
      <c r="O403" s="52"/>
    </row>
    <row r="404">
      <c r="M404" s="52"/>
      <c r="N404" s="52"/>
      <c r="O404" s="52"/>
    </row>
    <row r="405">
      <c r="M405" s="52"/>
      <c r="N405" s="52"/>
      <c r="O405" s="52"/>
    </row>
    <row r="406">
      <c r="M406" s="52"/>
      <c r="N406" s="52"/>
      <c r="O406" s="52"/>
    </row>
    <row r="407">
      <c r="M407" s="52"/>
      <c r="N407" s="52"/>
      <c r="O407" s="52"/>
    </row>
    <row r="408">
      <c r="M408" s="52"/>
      <c r="N408" s="52"/>
      <c r="O408" s="52"/>
    </row>
    <row r="409">
      <c r="M409" s="52"/>
      <c r="N409" s="52"/>
      <c r="O409" s="52"/>
    </row>
    <row r="410">
      <c r="M410" s="52"/>
      <c r="N410" s="52"/>
      <c r="O410" s="52"/>
    </row>
    <row r="411">
      <c r="M411" s="52"/>
      <c r="N411" s="52"/>
      <c r="O411" s="52"/>
    </row>
    <row r="412">
      <c r="M412" s="52"/>
      <c r="N412" s="52"/>
      <c r="O412" s="52"/>
    </row>
    <row r="413">
      <c r="M413" s="52"/>
      <c r="N413" s="52"/>
      <c r="O413" s="52"/>
    </row>
    <row r="414">
      <c r="M414" s="52"/>
      <c r="N414" s="52"/>
      <c r="O414" s="52"/>
    </row>
    <row r="415">
      <c r="M415" s="52"/>
      <c r="N415" s="52"/>
      <c r="O415" s="52"/>
    </row>
    <row r="416">
      <c r="M416" s="52"/>
      <c r="N416" s="52"/>
      <c r="O416" s="52"/>
    </row>
    <row r="417">
      <c r="M417" s="52"/>
      <c r="N417" s="52"/>
      <c r="O417" s="52"/>
    </row>
    <row r="418">
      <c r="M418" s="52"/>
      <c r="N418" s="52"/>
      <c r="O418" s="52"/>
    </row>
    <row r="419">
      <c r="M419" s="52"/>
      <c r="N419" s="52"/>
      <c r="O419" s="52"/>
    </row>
    <row r="420">
      <c r="M420" s="52"/>
      <c r="N420" s="52"/>
      <c r="O420" s="52"/>
    </row>
    <row r="421">
      <c r="M421" s="52"/>
      <c r="N421" s="52"/>
      <c r="O421" s="52"/>
    </row>
    <row r="422">
      <c r="M422" s="52"/>
      <c r="N422" s="52"/>
      <c r="O422" s="52"/>
    </row>
    <row r="423">
      <c r="M423" s="52"/>
      <c r="N423" s="52"/>
      <c r="O423" s="52"/>
    </row>
    <row r="424">
      <c r="M424" s="52"/>
      <c r="N424" s="52"/>
      <c r="O424" s="52"/>
    </row>
    <row r="425">
      <c r="M425" s="52"/>
      <c r="N425" s="52"/>
      <c r="O425" s="52"/>
    </row>
    <row r="426">
      <c r="M426" s="52"/>
      <c r="N426" s="52"/>
      <c r="O426" s="52"/>
    </row>
    <row r="427">
      <c r="M427" s="52"/>
      <c r="N427" s="52"/>
      <c r="O427" s="52"/>
    </row>
    <row r="428">
      <c r="M428" s="52"/>
      <c r="N428" s="52"/>
      <c r="O428" s="52"/>
    </row>
    <row r="429">
      <c r="M429" s="52"/>
      <c r="N429" s="52"/>
      <c r="O429" s="52"/>
    </row>
    <row r="430">
      <c r="M430" s="52"/>
      <c r="N430" s="52"/>
      <c r="O430" s="52"/>
    </row>
    <row r="431">
      <c r="M431" s="52"/>
      <c r="N431" s="52"/>
      <c r="O431" s="52"/>
    </row>
    <row r="432">
      <c r="M432" s="52"/>
      <c r="N432" s="52"/>
      <c r="O432" s="52"/>
    </row>
    <row r="433">
      <c r="M433" s="52"/>
      <c r="N433" s="52"/>
      <c r="O433" s="52"/>
    </row>
    <row r="434">
      <c r="M434" s="52"/>
      <c r="N434" s="52"/>
      <c r="O434" s="52"/>
    </row>
    <row r="435">
      <c r="M435" s="52"/>
      <c r="N435" s="52"/>
      <c r="O435" s="52"/>
    </row>
    <row r="436">
      <c r="M436" s="52"/>
      <c r="N436" s="52"/>
      <c r="O436" s="52"/>
    </row>
    <row r="437">
      <c r="M437" s="52"/>
      <c r="N437" s="52"/>
      <c r="O437" s="52"/>
    </row>
    <row r="438">
      <c r="M438" s="52"/>
      <c r="N438" s="52"/>
      <c r="O438" s="52"/>
    </row>
    <row r="439">
      <c r="M439" s="52"/>
      <c r="N439" s="52"/>
      <c r="O439" s="52"/>
    </row>
    <row r="440">
      <c r="M440" s="52"/>
      <c r="N440" s="52"/>
      <c r="O440" s="52"/>
    </row>
    <row r="441">
      <c r="M441" s="52"/>
      <c r="N441" s="52"/>
      <c r="O441" s="52"/>
    </row>
    <row r="442">
      <c r="M442" s="52"/>
      <c r="N442" s="52"/>
      <c r="O442" s="52"/>
    </row>
    <row r="443">
      <c r="M443" s="52"/>
      <c r="N443" s="52"/>
      <c r="O443" s="52"/>
    </row>
    <row r="444">
      <c r="M444" s="52"/>
      <c r="N444" s="52"/>
      <c r="O444" s="52"/>
    </row>
    <row r="445">
      <c r="M445" s="52"/>
      <c r="N445" s="52"/>
      <c r="O445" s="52"/>
    </row>
    <row r="446">
      <c r="M446" s="52"/>
      <c r="N446" s="52"/>
      <c r="O446" s="52"/>
    </row>
    <row r="447">
      <c r="M447" s="52"/>
      <c r="N447" s="52"/>
      <c r="O447" s="52"/>
    </row>
    <row r="448">
      <c r="M448" s="52"/>
      <c r="N448" s="52"/>
      <c r="O448" s="52"/>
    </row>
    <row r="449">
      <c r="M449" s="52"/>
      <c r="N449" s="52"/>
      <c r="O449" s="52"/>
    </row>
    <row r="450">
      <c r="M450" s="52"/>
      <c r="N450" s="52"/>
      <c r="O450" s="52"/>
    </row>
    <row r="451">
      <c r="M451" s="52"/>
      <c r="N451" s="52"/>
      <c r="O451" s="52"/>
    </row>
    <row r="452">
      <c r="M452" s="52"/>
      <c r="N452" s="52"/>
      <c r="O452" s="52"/>
    </row>
    <row r="453">
      <c r="M453" s="52"/>
      <c r="N453" s="52"/>
      <c r="O453" s="52"/>
    </row>
    <row r="454">
      <c r="M454" s="52"/>
      <c r="N454" s="52"/>
      <c r="O454" s="52"/>
    </row>
    <row r="455">
      <c r="M455" s="52"/>
      <c r="N455" s="52"/>
      <c r="O455" s="52"/>
    </row>
    <row r="456">
      <c r="M456" s="52"/>
      <c r="N456" s="52"/>
      <c r="O456" s="52"/>
    </row>
    <row r="457">
      <c r="M457" s="52"/>
      <c r="N457" s="52"/>
      <c r="O457" s="52"/>
    </row>
    <row r="458">
      <c r="M458" s="52"/>
      <c r="N458" s="52"/>
      <c r="O458" s="52"/>
    </row>
    <row r="459">
      <c r="M459" s="52"/>
      <c r="N459" s="52"/>
      <c r="O459" s="52"/>
    </row>
    <row r="460">
      <c r="M460" s="52"/>
      <c r="N460" s="52"/>
      <c r="O460" s="52"/>
    </row>
    <row r="461">
      <c r="M461" s="52"/>
      <c r="N461" s="52"/>
      <c r="O461" s="52"/>
    </row>
    <row r="462">
      <c r="M462" s="52"/>
      <c r="N462" s="52"/>
      <c r="O462" s="52"/>
    </row>
    <row r="463">
      <c r="M463" s="52"/>
      <c r="N463" s="52"/>
      <c r="O463" s="52"/>
    </row>
    <row r="464">
      <c r="M464" s="52"/>
      <c r="N464" s="52"/>
      <c r="O464" s="52"/>
    </row>
    <row r="465">
      <c r="M465" s="52"/>
      <c r="N465" s="52"/>
      <c r="O465" s="52"/>
    </row>
    <row r="466">
      <c r="M466" s="52"/>
      <c r="N466" s="52"/>
      <c r="O466" s="52"/>
    </row>
    <row r="467">
      <c r="M467" s="52"/>
      <c r="N467" s="52"/>
      <c r="O467" s="52"/>
    </row>
    <row r="468">
      <c r="M468" s="52"/>
      <c r="N468" s="52"/>
      <c r="O468" s="52"/>
    </row>
    <row r="469">
      <c r="M469" s="52"/>
      <c r="N469" s="52"/>
      <c r="O469" s="52"/>
    </row>
    <row r="470">
      <c r="M470" s="52"/>
      <c r="N470" s="52"/>
      <c r="O470" s="52"/>
    </row>
    <row r="471">
      <c r="M471" s="52"/>
      <c r="N471" s="52"/>
      <c r="O471" s="52"/>
    </row>
    <row r="472">
      <c r="M472" s="52"/>
      <c r="N472" s="52"/>
      <c r="O472" s="52"/>
    </row>
    <row r="473">
      <c r="M473" s="52"/>
      <c r="N473" s="52"/>
      <c r="O473" s="52"/>
    </row>
    <row r="474">
      <c r="M474" s="52"/>
      <c r="N474" s="52"/>
      <c r="O474" s="52"/>
    </row>
    <row r="475">
      <c r="M475" s="52"/>
      <c r="N475" s="52"/>
      <c r="O475" s="52"/>
    </row>
    <row r="476">
      <c r="M476" s="52"/>
      <c r="N476" s="52"/>
      <c r="O476" s="52"/>
    </row>
    <row r="477">
      <c r="M477" s="52"/>
      <c r="N477" s="52"/>
      <c r="O477" s="52"/>
    </row>
    <row r="478">
      <c r="M478" s="52"/>
      <c r="N478" s="52"/>
      <c r="O478" s="52"/>
    </row>
    <row r="479">
      <c r="M479" s="52"/>
      <c r="N479" s="52"/>
      <c r="O479" s="52"/>
    </row>
    <row r="480">
      <c r="M480" s="52"/>
      <c r="N480" s="52"/>
      <c r="O480" s="52"/>
    </row>
    <row r="481">
      <c r="M481" s="52"/>
      <c r="N481" s="52"/>
      <c r="O481" s="52"/>
    </row>
    <row r="482">
      <c r="M482" s="52"/>
      <c r="N482" s="52"/>
      <c r="O482" s="52"/>
    </row>
    <row r="483">
      <c r="M483" s="52"/>
      <c r="N483" s="52"/>
      <c r="O483" s="52"/>
    </row>
    <row r="484">
      <c r="M484" s="52"/>
      <c r="N484" s="52"/>
      <c r="O484" s="52"/>
    </row>
    <row r="485">
      <c r="M485" s="52"/>
      <c r="N485" s="52"/>
      <c r="O485" s="52"/>
    </row>
    <row r="486">
      <c r="M486" s="52"/>
      <c r="N486" s="52"/>
      <c r="O486" s="52"/>
    </row>
    <row r="487">
      <c r="M487" s="52"/>
      <c r="N487" s="52"/>
      <c r="O487" s="52"/>
    </row>
    <row r="488">
      <c r="M488" s="52"/>
      <c r="N488" s="52"/>
      <c r="O488" s="52"/>
    </row>
    <row r="489">
      <c r="M489" s="52"/>
      <c r="N489" s="52"/>
      <c r="O489" s="52"/>
    </row>
    <row r="490">
      <c r="M490" s="52"/>
      <c r="N490" s="52"/>
      <c r="O490" s="52"/>
    </row>
    <row r="491">
      <c r="M491" s="52"/>
      <c r="N491" s="52"/>
      <c r="O491" s="52"/>
    </row>
    <row r="492">
      <c r="M492" s="52"/>
      <c r="N492" s="52"/>
      <c r="O492" s="52"/>
    </row>
    <row r="493">
      <c r="M493" s="52"/>
      <c r="N493" s="52"/>
      <c r="O493" s="52"/>
    </row>
    <row r="494">
      <c r="M494" s="52"/>
      <c r="N494" s="52"/>
      <c r="O494" s="52"/>
    </row>
    <row r="495">
      <c r="M495" s="52"/>
      <c r="N495" s="52"/>
      <c r="O495" s="52"/>
    </row>
    <row r="496">
      <c r="M496" s="52"/>
      <c r="N496" s="52"/>
      <c r="O496" s="52"/>
    </row>
    <row r="497">
      <c r="M497" s="52"/>
      <c r="N497" s="52"/>
      <c r="O497" s="52"/>
    </row>
    <row r="498">
      <c r="M498" s="52"/>
      <c r="N498" s="52"/>
      <c r="O498" s="52"/>
    </row>
    <row r="499">
      <c r="M499" s="52"/>
      <c r="N499" s="52"/>
      <c r="O499" s="52"/>
    </row>
    <row r="500">
      <c r="M500" s="52"/>
      <c r="N500" s="52"/>
      <c r="O500" s="52"/>
    </row>
    <row r="501">
      <c r="M501" s="52"/>
      <c r="N501" s="52"/>
      <c r="O501" s="52"/>
    </row>
    <row r="502">
      <c r="M502" s="52"/>
      <c r="N502" s="52"/>
      <c r="O502" s="52"/>
    </row>
    <row r="503">
      <c r="M503" s="52"/>
      <c r="N503" s="52"/>
      <c r="O503" s="52"/>
    </row>
    <row r="504">
      <c r="M504" s="52"/>
      <c r="N504" s="52"/>
      <c r="O504" s="52"/>
    </row>
    <row r="505">
      <c r="M505" s="52"/>
      <c r="N505" s="52"/>
      <c r="O505" s="52"/>
    </row>
    <row r="506">
      <c r="M506" s="52"/>
      <c r="N506" s="52"/>
      <c r="O506" s="52"/>
    </row>
    <row r="507">
      <c r="M507" s="52"/>
      <c r="N507" s="52"/>
      <c r="O507" s="52"/>
    </row>
    <row r="508">
      <c r="M508" s="52"/>
      <c r="N508" s="52"/>
      <c r="O508" s="52"/>
    </row>
    <row r="509">
      <c r="M509" s="52"/>
      <c r="N509" s="52"/>
      <c r="O509" s="52"/>
    </row>
    <row r="510">
      <c r="M510" s="52"/>
      <c r="N510" s="52"/>
      <c r="O510" s="52"/>
    </row>
    <row r="511">
      <c r="M511" s="52"/>
      <c r="N511" s="52"/>
      <c r="O511" s="52"/>
    </row>
    <row r="512">
      <c r="M512" s="52"/>
      <c r="N512" s="52"/>
      <c r="O512" s="52"/>
    </row>
    <row r="513">
      <c r="M513" s="52"/>
      <c r="N513" s="52"/>
      <c r="O513" s="52"/>
    </row>
    <row r="514">
      <c r="M514" s="52"/>
      <c r="N514" s="52"/>
      <c r="O514" s="52"/>
    </row>
    <row r="515">
      <c r="M515" s="52"/>
      <c r="N515" s="52"/>
      <c r="O515" s="52"/>
    </row>
    <row r="516">
      <c r="M516" s="52"/>
      <c r="N516" s="52"/>
      <c r="O516" s="52"/>
    </row>
    <row r="517">
      <c r="M517" s="52"/>
      <c r="N517" s="52"/>
      <c r="O517" s="52"/>
    </row>
    <row r="518">
      <c r="M518" s="52"/>
      <c r="N518" s="52"/>
      <c r="O518" s="52"/>
    </row>
    <row r="519">
      <c r="M519" s="52"/>
      <c r="N519" s="52"/>
      <c r="O519" s="52"/>
    </row>
    <row r="520">
      <c r="M520" s="52"/>
      <c r="N520" s="52"/>
      <c r="O520" s="52"/>
    </row>
    <row r="521">
      <c r="M521" s="52"/>
      <c r="N521" s="52"/>
      <c r="O521" s="52"/>
    </row>
    <row r="522">
      <c r="M522" s="52"/>
      <c r="N522" s="52"/>
      <c r="O522" s="52"/>
    </row>
    <row r="523">
      <c r="M523" s="52"/>
      <c r="N523" s="52"/>
      <c r="O523" s="52"/>
    </row>
    <row r="524">
      <c r="M524" s="52"/>
      <c r="N524" s="52"/>
      <c r="O524" s="52"/>
    </row>
    <row r="525">
      <c r="M525" s="52"/>
      <c r="N525" s="52"/>
      <c r="O525" s="52"/>
    </row>
    <row r="526">
      <c r="M526" s="52"/>
      <c r="N526" s="52"/>
      <c r="O526" s="52"/>
    </row>
    <row r="527">
      <c r="M527" s="52"/>
      <c r="N527" s="52"/>
      <c r="O527" s="52"/>
    </row>
    <row r="528">
      <c r="M528" s="52"/>
      <c r="N528" s="52"/>
      <c r="O528" s="52"/>
    </row>
    <row r="529">
      <c r="M529" s="52"/>
      <c r="N529" s="52"/>
      <c r="O529" s="52"/>
    </row>
    <row r="530">
      <c r="M530" s="52"/>
      <c r="N530" s="52"/>
      <c r="O530" s="52"/>
    </row>
    <row r="531">
      <c r="M531" s="52"/>
      <c r="N531" s="52"/>
      <c r="O531" s="52"/>
    </row>
    <row r="532">
      <c r="M532" s="52"/>
      <c r="N532" s="52"/>
      <c r="O532" s="52"/>
    </row>
    <row r="533">
      <c r="M533" s="52"/>
      <c r="N533" s="52"/>
      <c r="O533" s="52"/>
    </row>
    <row r="534">
      <c r="M534" s="52"/>
      <c r="N534" s="52"/>
      <c r="O534" s="52"/>
    </row>
    <row r="535">
      <c r="M535" s="52"/>
      <c r="N535" s="52"/>
      <c r="O535" s="52"/>
    </row>
    <row r="536">
      <c r="M536" s="52"/>
      <c r="N536" s="52"/>
      <c r="O536" s="52"/>
    </row>
    <row r="537">
      <c r="M537" s="52"/>
      <c r="N537" s="52"/>
      <c r="O537" s="52"/>
    </row>
    <row r="538">
      <c r="M538" s="52"/>
      <c r="N538" s="52"/>
      <c r="O538" s="52"/>
    </row>
    <row r="539">
      <c r="M539" s="52"/>
      <c r="N539" s="52"/>
      <c r="O539" s="52"/>
    </row>
    <row r="540">
      <c r="M540" s="52"/>
      <c r="N540" s="52"/>
      <c r="O540" s="52"/>
    </row>
    <row r="541">
      <c r="M541" s="52"/>
      <c r="N541" s="52"/>
      <c r="O541" s="52"/>
    </row>
    <row r="542">
      <c r="M542" s="52"/>
      <c r="N542" s="52"/>
      <c r="O542" s="52"/>
    </row>
    <row r="543">
      <c r="M543" s="52"/>
      <c r="N543" s="52"/>
      <c r="O543" s="52"/>
    </row>
    <row r="544">
      <c r="M544" s="52"/>
      <c r="N544" s="52"/>
      <c r="O544" s="52"/>
    </row>
    <row r="545">
      <c r="M545" s="52"/>
      <c r="N545" s="52"/>
      <c r="O545" s="52"/>
    </row>
    <row r="546">
      <c r="M546" s="52"/>
      <c r="N546" s="52"/>
      <c r="O546" s="52"/>
    </row>
    <row r="547">
      <c r="M547" s="52"/>
      <c r="N547" s="52"/>
      <c r="O547" s="52"/>
    </row>
    <row r="548">
      <c r="M548" s="52"/>
      <c r="N548" s="52"/>
      <c r="O548" s="52"/>
    </row>
    <row r="549">
      <c r="M549" s="52"/>
      <c r="N549" s="52"/>
      <c r="O549" s="52"/>
    </row>
    <row r="550">
      <c r="M550" s="52"/>
      <c r="N550" s="52"/>
      <c r="O550" s="52"/>
    </row>
    <row r="551">
      <c r="M551" s="52"/>
      <c r="N551" s="52"/>
      <c r="O551" s="52"/>
    </row>
    <row r="552">
      <c r="M552" s="52"/>
      <c r="N552" s="52"/>
      <c r="O552" s="52"/>
    </row>
    <row r="553">
      <c r="M553" s="52"/>
      <c r="N553" s="52"/>
      <c r="O553" s="52"/>
    </row>
    <row r="554">
      <c r="M554" s="52"/>
      <c r="N554" s="52"/>
      <c r="O554" s="52"/>
    </row>
    <row r="555">
      <c r="M555" s="52"/>
      <c r="N555" s="52"/>
      <c r="O555" s="52"/>
    </row>
    <row r="556">
      <c r="M556" s="52"/>
      <c r="N556" s="52"/>
      <c r="O556" s="52"/>
    </row>
    <row r="557">
      <c r="M557" s="52"/>
      <c r="N557" s="52"/>
      <c r="O557" s="52"/>
    </row>
    <row r="558">
      <c r="M558" s="52"/>
      <c r="N558" s="52"/>
      <c r="O558" s="52"/>
    </row>
    <row r="559">
      <c r="M559" s="52"/>
      <c r="N559" s="52"/>
      <c r="O559" s="52"/>
    </row>
    <row r="560">
      <c r="M560" s="52"/>
      <c r="N560" s="52"/>
      <c r="O560" s="52"/>
    </row>
    <row r="561">
      <c r="M561" s="52"/>
      <c r="N561" s="52"/>
      <c r="O561" s="52"/>
    </row>
    <row r="562">
      <c r="M562" s="52"/>
      <c r="N562" s="52"/>
      <c r="O562" s="52"/>
    </row>
    <row r="563">
      <c r="M563" s="52"/>
      <c r="N563" s="52"/>
      <c r="O563" s="52"/>
    </row>
    <row r="564">
      <c r="M564" s="52"/>
      <c r="N564" s="52"/>
      <c r="O564" s="52"/>
    </row>
    <row r="565">
      <c r="M565" s="52"/>
      <c r="N565" s="52"/>
      <c r="O565" s="52"/>
    </row>
    <row r="566">
      <c r="M566" s="52"/>
      <c r="N566" s="52"/>
      <c r="O566" s="52"/>
    </row>
    <row r="567">
      <c r="M567" s="52"/>
      <c r="N567" s="52"/>
      <c r="O567" s="52"/>
    </row>
    <row r="568">
      <c r="M568" s="52"/>
      <c r="N568" s="52"/>
      <c r="O568" s="52"/>
    </row>
    <row r="569">
      <c r="M569" s="52"/>
      <c r="N569" s="52"/>
      <c r="O569" s="52"/>
    </row>
    <row r="570">
      <c r="M570" s="52"/>
      <c r="N570" s="52"/>
      <c r="O570" s="52"/>
    </row>
    <row r="571">
      <c r="M571" s="52"/>
      <c r="N571" s="52"/>
      <c r="O571" s="52"/>
    </row>
    <row r="572">
      <c r="M572" s="52"/>
      <c r="N572" s="52"/>
      <c r="O572" s="52"/>
    </row>
    <row r="573">
      <c r="M573" s="52"/>
      <c r="N573" s="52"/>
      <c r="O573" s="52"/>
    </row>
    <row r="574">
      <c r="M574" s="52"/>
      <c r="N574" s="52"/>
      <c r="O574" s="52"/>
    </row>
    <row r="575">
      <c r="M575" s="52"/>
      <c r="N575" s="52"/>
      <c r="O575" s="52"/>
    </row>
    <row r="576">
      <c r="M576" s="52"/>
      <c r="N576" s="52"/>
      <c r="O576" s="52"/>
    </row>
    <row r="577">
      <c r="M577" s="52"/>
      <c r="N577" s="52"/>
      <c r="O577" s="52"/>
    </row>
    <row r="578">
      <c r="M578" s="52"/>
      <c r="N578" s="52"/>
      <c r="O578" s="52"/>
    </row>
    <row r="579">
      <c r="M579" s="52"/>
      <c r="N579" s="52"/>
      <c r="O579" s="52"/>
    </row>
    <row r="580">
      <c r="M580" s="52"/>
      <c r="N580" s="52"/>
      <c r="O580" s="52"/>
    </row>
    <row r="581">
      <c r="M581" s="52"/>
      <c r="N581" s="52"/>
      <c r="O581" s="52"/>
    </row>
    <row r="582">
      <c r="M582" s="52"/>
      <c r="N582" s="52"/>
      <c r="O582" s="52"/>
    </row>
    <row r="583">
      <c r="M583" s="52"/>
      <c r="N583" s="52"/>
      <c r="O583" s="52"/>
    </row>
    <row r="584">
      <c r="M584" s="52"/>
      <c r="N584" s="52"/>
      <c r="O584" s="52"/>
    </row>
    <row r="585">
      <c r="M585" s="52"/>
      <c r="N585" s="52"/>
      <c r="O585" s="52"/>
    </row>
    <row r="586">
      <c r="M586" s="52"/>
      <c r="N586" s="52"/>
      <c r="O586" s="52"/>
    </row>
    <row r="587">
      <c r="M587" s="52"/>
      <c r="N587" s="52"/>
      <c r="O587" s="52"/>
    </row>
    <row r="588">
      <c r="M588" s="52"/>
      <c r="N588" s="52"/>
      <c r="O588" s="52"/>
    </row>
    <row r="589">
      <c r="M589" s="52"/>
      <c r="N589" s="52"/>
      <c r="O589" s="52"/>
    </row>
    <row r="590">
      <c r="M590" s="52"/>
      <c r="N590" s="52"/>
      <c r="O590" s="52"/>
    </row>
    <row r="591">
      <c r="M591" s="52"/>
      <c r="N591" s="52"/>
      <c r="O591" s="52"/>
    </row>
    <row r="592">
      <c r="M592" s="52"/>
      <c r="N592" s="52"/>
      <c r="O592" s="52"/>
    </row>
    <row r="593">
      <c r="M593" s="52"/>
      <c r="N593" s="52"/>
      <c r="O593" s="52"/>
    </row>
    <row r="594">
      <c r="M594" s="52"/>
      <c r="N594" s="52"/>
      <c r="O594" s="52"/>
    </row>
    <row r="595">
      <c r="M595" s="52"/>
      <c r="N595" s="52"/>
      <c r="O595" s="52"/>
    </row>
    <row r="596">
      <c r="M596" s="52"/>
      <c r="N596" s="52"/>
      <c r="O596" s="52"/>
    </row>
    <row r="597">
      <c r="M597" s="52"/>
      <c r="N597" s="52"/>
      <c r="O597" s="52"/>
    </row>
    <row r="598">
      <c r="M598" s="52"/>
      <c r="N598" s="52"/>
      <c r="O598" s="52"/>
    </row>
    <row r="599">
      <c r="M599" s="52"/>
      <c r="N599" s="52"/>
      <c r="O599" s="52"/>
    </row>
    <row r="600">
      <c r="M600" s="52"/>
      <c r="N600" s="52"/>
      <c r="O600" s="52"/>
    </row>
    <row r="601">
      <c r="M601" s="52"/>
      <c r="N601" s="52"/>
      <c r="O601" s="52"/>
    </row>
    <row r="602">
      <c r="M602" s="52"/>
      <c r="N602" s="52"/>
      <c r="O602" s="52"/>
    </row>
    <row r="603">
      <c r="M603" s="52"/>
      <c r="N603" s="52"/>
      <c r="O603" s="52"/>
    </row>
    <row r="604">
      <c r="M604" s="52"/>
      <c r="N604" s="52"/>
      <c r="O604" s="52"/>
    </row>
    <row r="605">
      <c r="M605" s="52"/>
      <c r="N605" s="52"/>
      <c r="O605" s="52"/>
    </row>
    <row r="606">
      <c r="M606" s="52"/>
      <c r="N606" s="52"/>
      <c r="O606" s="52"/>
    </row>
    <row r="607">
      <c r="M607" s="52"/>
      <c r="N607" s="52"/>
      <c r="O607" s="52"/>
    </row>
    <row r="608">
      <c r="M608" s="52"/>
      <c r="N608" s="52"/>
      <c r="O608" s="52"/>
    </row>
    <row r="609">
      <c r="M609" s="52"/>
      <c r="N609" s="52"/>
      <c r="O609" s="52"/>
    </row>
    <row r="610">
      <c r="M610" s="52"/>
      <c r="N610" s="52"/>
      <c r="O610" s="52"/>
    </row>
    <row r="611">
      <c r="M611" s="52"/>
      <c r="N611" s="52"/>
      <c r="O611" s="52"/>
    </row>
    <row r="612">
      <c r="M612" s="52"/>
      <c r="N612" s="52"/>
      <c r="O612" s="52"/>
    </row>
    <row r="613">
      <c r="M613" s="52"/>
      <c r="N613" s="52"/>
      <c r="O613" s="52"/>
    </row>
    <row r="614">
      <c r="M614" s="52"/>
      <c r="N614" s="52"/>
      <c r="O614" s="52"/>
    </row>
    <row r="615">
      <c r="M615" s="52"/>
      <c r="N615" s="52"/>
      <c r="O615" s="52"/>
    </row>
    <row r="616">
      <c r="M616" s="52"/>
      <c r="N616" s="52"/>
      <c r="O616" s="52"/>
    </row>
    <row r="617">
      <c r="M617" s="52"/>
      <c r="N617" s="52"/>
      <c r="O617" s="52"/>
    </row>
    <row r="618">
      <c r="M618" s="52"/>
      <c r="N618" s="52"/>
      <c r="O618" s="52"/>
    </row>
    <row r="619">
      <c r="M619" s="52"/>
      <c r="N619" s="52"/>
      <c r="O619" s="52"/>
    </row>
    <row r="620">
      <c r="M620" s="52"/>
      <c r="N620" s="52"/>
      <c r="O620" s="52"/>
    </row>
    <row r="621">
      <c r="M621" s="52"/>
      <c r="N621" s="52"/>
      <c r="O621" s="52"/>
    </row>
    <row r="622">
      <c r="M622" s="52"/>
      <c r="N622" s="52"/>
      <c r="O622" s="52"/>
    </row>
    <row r="623">
      <c r="M623" s="52"/>
      <c r="N623" s="52"/>
      <c r="O623" s="52"/>
    </row>
    <row r="624">
      <c r="M624" s="52"/>
      <c r="N624" s="52"/>
      <c r="O624" s="52"/>
    </row>
    <row r="625">
      <c r="M625" s="52"/>
      <c r="N625" s="52"/>
      <c r="O625" s="52"/>
    </row>
    <row r="626">
      <c r="M626" s="52"/>
      <c r="N626" s="52"/>
      <c r="O626" s="52"/>
    </row>
    <row r="627">
      <c r="M627" s="52"/>
      <c r="N627" s="52"/>
      <c r="O627" s="52"/>
    </row>
    <row r="628">
      <c r="M628" s="52"/>
      <c r="N628" s="52"/>
      <c r="O628" s="52"/>
    </row>
    <row r="629">
      <c r="M629" s="52"/>
      <c r="N629" s="52"/>
      <c r="O629" s="52"/>
    </row>
    <row r="630">
      <c r="M630" s="52"/>
      <c r="N630" s="52"/>
      <c r="O630" s="52"/>
    </row>
    <row r="631">
      <c r="M631" s="52"/>
      <c r="N631" s="52"/>
      <c r="O631" s="52"/>
    </row>
    <row r="632">
      <c r="M632" s="52"/>
      <c r="N632" s="52"/>
      <c r="O632" s="52"/>
    </row>
    <row r="633">
      <c r="M633" s="52"/>
      <c r="N633" s="52"/>
      <c r="O633" s="52"/>
    </row>
    <row r="634">
      <c r="M634" s="52"/>
      <c r="N634" s="52"/>
      <c r="O634" s="52"/>
    </row>
    <row r="635">
      <c r="M635" s="52"/>
      <c r="N635" s="52"/>
      <c r="O635" s="52"/>
    </row>
    <row r="636">
      <c r="M636" s="52"/>
      <c r="N636" s="52"/>
      <c r="O636" s="52"/>
    </row>
    <row r="637">
      <c r="M637" s="52"/>
      <c r="N637" s="52"/>
      <c r="O637" s="52"/>
    </row>
    <row r="638">
      <c r="M638" s="52"/>
      <c r="N638" s="52"/>
      <c r="O638" s="52"/>
    </row>
    <row r="639">
      <c r="M639" s="52"/>
      <c r="N639" s="52"/>
      <c r="O639" s="52"/>
    </row>
    <row r="640">
      <c r="M640" s="52"/>
      <c r="N640" s="52"/>
      <c r="O640" s="52"/>
    </row>
    <row r="641">
      <c r="M641" s="52"/>
      <c r="N641" s="52"/>
      <c r="O641" s="52"/>
    </row>
    <row r="642">
      <c r="M642" s="52"/>
      <c r="N642" s="52"/>
      <c r="O642" s="52"/>
    </row>
    <row r="643">
      <c r="M643" s="52"/>
      <c r="N643" s="52"/>
      <c r="O643" s="52"/>
    </row>
    <row r="644">
      <c r="M644" s="52"/>
      <c r="N644" s="52"/>
      <c r="O644" s="52"/>
    </row>
    <row r="645">
      <c r="M645" s="52"/>
      <c r="N645" s="52"/>
      <c r="O645" s="52"/>
    </row>
    <row r="646">
      <c r="M646" s="52"/>
      <c r="N646" s="52"/>
      <c r="O646" s="52"/>
    </row>
    <row r="647">
      <c r="M647" s="52"/>
      <c r="N647" s="52"/>
      <c r="O647" s="52"/>
    </row>
    <row r="648">
      <c r="M648" s="52"/>
      <c r="N648" s="52"/>
      <c r="O648" s="52"/>
    </row>
    <row r="649">
      <c r="M649" s="52"/>
      <c r="N649" s="52"/>
      <c r="O649" s="52"/>
    </row>
    <row r="650">
      <c r="M650" s="52"/>
      <c r="N650" s="52"/>
      <c r="O650" s="52"/>
    </row>
    <row r="651">
      <c r="M651" s="52"/>
      <c r="N651" s="52"/>
      <c r="O651" s="52"/>
    </row>
    <row r="652">
      <c r="M652" s="52"/>
      <c r="N652" s="52"/>
      <c r="O652" s="52"/>
    </row>
    <row r="653">
      <c r="M653" s="52"/>
      <c r="N653" s="52"/>
      <c r="O653" s="52"/>
    </row>
    <row r="654">
      <c r="M654" s="52"/>
      <c r="N654" s="52"/>
      <c r="O654" s="52"/>
    </row>
    <row r="655">
      <c r="M655" s="52"/>
      <c r="N655" s="52"/>
      <c r="O655" s="52"/>
    </row>
    <row r="656">
      <c r="M656" s="52"/>
      <c r="N656" s="52"/>
      <c r="O656" s="52"/>
    </row>
    <row r="657">
      <c r="M657" s="52"/>
      <c r="N657" s="52"/>
      <c r="O657" s="52"/>
    </row>
    <row r="658">
      <c r="M658" s="52"/>
      <c r="N658" s="52"/>
      <c r="O658" s="52"/>
    </row>
    <row r="659">
      <c r="M659" s="52"/>
      <c r="N659" s="52"/>
      <c r="O659" s="52"/>
    </row>
    <row r="660">
      <c r="M660" s="52"/>
      <c r="N660" s="52"/>
      <c r="O660" s="52"/>
    </row>
    <row r="661">
      <c r="M661" s="52"/>
      <c r="N661" s="52"/>
      <c r="O661" s="52"/>
    </row>
    <row r="662">
      <c r="M662" s="52"/>
      <c r="N662" s="52"/>
      <c r="O662" s="52"/>
    </row>
    <row r="663">
      <c r="M663" s="52"/>
      <c r="N663" s="52"/>
      <c r="O663" s="52"/>
    </row>
    <row r="664">
      <c r="M664" s="52"/>
      <c r="N664" s="52"/>
      <c r="O664" s="52"/>
    </row>
    <row r="665">
      <c r="M665" s="52"/>
      <c r="N665" s="52"/>
      <c r="O665" s="52"/>
    </row>
    <row r="666">
      <c r="M666" s="52"/>
      <c r="N666" s="52"/>
      <c r="O666" s="52"/>
    </row>
    <row r="667">
      <c r="M667" s="52"/>
      <c r="N667" s="52"/>
      <c r="O667" s="52"/>
    </row>
    <row r="668">
      <c r="M668" s="52"/>
      <c r="N668" s="52"/>
      <c r="O668" s="52"/>
    </row>
    <row r="669">
      <c r="M669" s="52"/>
      <c r="N669" s="52"/>
      <c r="O669" s="52"/>
    </row>
    <row r="670">
      <c r="M670" s="52"/>
      <c r="N670" s="52"/>
      <c r="O670" s="52"/>
    </row>
    <row r="671">
      <c r="M671" s="52"/>
      <c r="N671" s="52"/>
      <c r="O671" s="52"/>
    </row>
    <row r="672">
      <c r="M672" s="52"/>
      <c r="N672" s="52"/>
      <c r="O672" s="52"/>
    </row>
    <row r="673">
      <c r="M673" s="52"/>
      <c r="N673" s="52"/>
      <c r="O673" s="52"/>
    </row>
    <row r="674">
      <c r="M674" s="52"/>
      <c r="N674" s="52"/>
      <c r="O674" s="52"/>
    </row>
    <row r="675">
      <c r="M675" s="52"/>
      <c r="N675" s="52"/>
      <c r="O675" s="52"/>
    </row>
    <row r="676">
      <c r="M676" s="52"/>
      <c r="N676" s="52"/>
      <c r="O676" s="52"/>
    </row>
    <row r="677">
      <c r="M677" s="52"/>
      <c r="N677" s="52"/>
      <c r="O677" s="52"/>
    </row>
    <row r="678">
      <c r="M678" s="52"/>
      <c r="N678" s="52"/>
      <c r="O678" s="52"/>
    </row>
    <row r="679">
      <c r="M679" s="52"/>
      <c r="N679" s="52"/>
      <c r="O679" s="52"/>
    </row>
    <row r="680">
      <c r="M680" s="52"/>
      <c r="N680" s="52"/>
      <c r="O680" s="52"/>
    </row>
    <row r="681">
      <c r="M681" s="52"/>
      <c r="N681" s="52"/>
      <c r="O681" s="52"/>
    </row>
    <row r="682">
      <c r="M682" s="52"/>
      <c r="N682" s="52"/>
      <c r="O682" s="52"/>
    </row>
    <row r="683">
      <c r="M683" s="52"/>
      <c r="N683" s="52"/>
      <c r="O683" s="52"/>
    </row>
    <row r="684">
      <c r="M684" s="52"/>
      <c r="N684" s="52"/>
      <c r="O684" s="52"/>
    </row>
    <row r="685">
      <c r="M685" s="52"/>
      <c r="N685" s="52"/>
      <c r="O685" s="52"/>
    </row>
    <row r="686">
      <c r="M686" s="52"/>
      <c r="N686" s="52"/>
      <c r="O686" s="52"/>
    </row>
    <row r="687">
      <c r="M687" s="52"/>
      <c r="N687" s="52"/>
      <c r="O687" s="52"/>
    </row>
    <row r="688">
      <c r="M688" s="52"/>
      <c r="N688" s="52"/>
      <c r="O688" s="52"/>
    </row>
    <row r="689">
      <c r="M689" s="52"/>
      <c r="N689" s="52"/>
      <c r="O689" s="52"/>
    </row>
    <row r="690">
      <c r="M690" s="52"/>
      <c r="N690" s="52"/>
      <c r="O690" s="52"/>
    </row>
    <row r="691">
      <c r="M691" s="52"/>
      <c r="N691" s="52"/>
      <c r="O691" s="52"/>
    </row>
    <row r="692">
      <c r="M692" s="52"/>
      <c r="N692" s="52"/>
      <c r="O692" s="52"/>
    </row>
    <row r="693">
      <c r="M693" s="52"/>
      <c r="N693" s="52"/>
      <c r="O693" s="52"/>
    </row>
    <row r="694">
      <c r="M694" s="52"/>
      <c r="N694" s="52"/>
      <c r="O694" s="52"/>
    </row>
    <row r="695">
      <c r="M695" s="52"/>
      <c r="N695" s="52"/>
      <c r="O695" s="52"/>
    </row>
    <row r="696">
      <c r="M696" s="52"/>
      <c r="N696" s="52"/>
      <c r="O696" s="52"/>
    </row>
    <row r="697">
      <c r="M697" s="52"/>
      <c r="N697" s="52"/>
      <c r="O697" s="52"/>
    </row>
    <row r="698">
      <c r="M698" s="52"/>
      <c r="N698" s="52"/>
      <c r="O698" s="52"/>
    </row>
    <row r="699">
      <c r="M699" s="52"/>
      <c r="N699" s="52"/>
      <c r="O699" s="52"/>
    </row>
    <row r="700">
      <c r="M700" s="52"/>
      <c r="N700" s="52"/>
      <c r="O700" s="52"/>
    </row>
    <row r="701">
      <c r="M701" s="52"/>
      <c r="N701" s="52"/>
      <c r="O701" s="52"/>
    </row>
    <row r="702">
      <c r="M702" s="52"/>
      <c r="N702" s="52"/>
      <c r="O702" s="52"/>
    </row>
    <row r="703">
      <c r="M703" s="52"/>
      <c r="N703" s="52"/>
      <c r="O703" s="52"/>
    </row>
    <row r="704">
      <c r="M704" s="52"/>
      <c r="N704" s="52"/>
      <c r="O704" s="52"/>
    </row>
    <row r="705">
      <c r="M705" s="52"/>
      <c r="N705" s="52"/>
      <c r="O705" s="52"/>
    </row>
    <row r="706">
      <c r="M706" s="52"/>
      <c r="N706" s="52"/>
      <c r="O706" s="52"/>
    </row>
    <row r="707">
      <c r="M707" s="52"/>
      <c r="N707" s="52"/>
      <c r="O707" s="52"/>
    </row>
    <row r="708">
      <c r="M708" s="52"/>
      <c r="N708" s="52"/>
      <c r="O708" s="52"/>
    </row>
    <row r="709">
      <c r="M709" s="52"/>
      <c r="N709" s="52"/>
      <c r="O709" s="52"/>
    </row>
    <row r="710">
      <c r="M710" s="52"/>
      <c r="N710" s="52"/>
      <c r="O710" s="52"/>
    </row>
    <row r="711">
      <c r="M711" s="52"/>
      <c r="N711" s="52"/>
      <c r="O711" s="52"/>
    </row>
    <row r="712">
      <c r="M712" s="52"/>
      <c r="N712" s="52"/>
      <c r="O712" s="52"/>
    </row>
    <row r="713">
      <c r="M713" s="52"/>
      <c r="N713" s="52"/>
      <c r="O713" s="52"/>
    </row>
    <row r="714">
      <c r="M714" s="52"/>
      <c r="N714" s="52"/>
      <c r="O714" s="52"/>
    </row>
    <row r="715">
      <c r="M715" s="52"/>
      <c r="N715" s="52"/>
      <c r="O715" s="52"/>
    </row>
    <row r="716">
      <c r="M716" s="52"/>
      <c r="N716" s="52"/>
      <c r="O716" s="52"/>
    </row>
    <row r="717">
      <c r="M717" s="52"/>
      <c r="N717" s="52"/>
      <c r="O717" s="52"/>
    </row>
    <row r="718">
      <c r="M718" s="52"/>
      <c r="N718" s="52"/>
      <c r="O718" s="52"/>
    </row>
    <row r="719">
      <c r="M719" s="52"/>
      <c r="N719" s="52"/>
      <c r="O719" s="52"/>
    </row>
    <row r="720">
      <c r="M720" s="52"/>
      <c r="N720" s="52"/>
      <c r="O720" s="52"/>
    </row>
    <row r="721">
      <c r="M721" s="52"/>
      <c r="N721" s="52"/>
      <c r="O721" s="52"/>
    </row>
    <row r="722">
      <c r="M722" s="52"/>
      <c r="N722" s="52"/>
      <c r="O722" s="52"/>
    </row>
    <row r="723">
      <c r="M723" s="52"/>
      <c r="N723" s="52"/>
      <c r="O723" s="52"/>
    </row>
    <row r="724">
      <c r="M724" s="52"/>
      <c r="N724" s="52"/>
      <c r="O724" s="52"/>
    </row>
    <row r="725">
      <c r="M725" s="52"/>
      <c r="N725" s="52"/>
      <c r="O725" s="52"/>
    </row>
    <row r="726">
      <c r="M726" s="52"/>
      <c r="N726" s="52"/>
      <c r="O726" s="52"/>
    </row>
    <row r="727">
      <c r="M727" s="52"/>
      <c r="N727" s="52"/>
      <c r="O727" s="52"/>
    </row>
    <row r="728">
      <c r="M728" s="52"/>
      <c r="N728" s="52"/>
      <c r="O728" s="52"/>
    </row>
    <row r="729">
      <c r="M729" s="52"/>
      <c r="N729" s="52"/>
      <c r="O729" s="52"/>
    </row>
    <row r="730">
      <c r="M730" s="52"/>
      <c r="N730" s="52"/>
      <c r="O730" s="52"/>
    </row>
    <row r="731">
      <c r="M731" s="52"/>
      <c r="N731" s="52"/>
      <c r="O731" s="52"/>
    </row>
    <row r="732">
      <c r="M732" s="52"/>
      <c r="N732" s="52"/>
      <c r="O732" s="52"/>
    </row>
    <row r="733">
      <c r="M733" s="52"/>
      <c r="N733" s="52"/>
      <c r="O733" s="52"/>
    </row>
    <row r="734">
      <c r="M734" s="52"/>
      <c r="N734" s="52"/>
      <c r="O734" s="52"/>
    </row>
    <row r="735">
      <c r="M735" s="52"/>
      <c r="N735" s="52"/>
      <c r="O735" s="52"/>
    </row>
    <row r="736">
      <c r="M736" s="52"/>
      <c r="N736" s="52"/>
      <c r="O736" s="52"/>
    </row>
    <row r="737">
      <c r="M737" s="52"/>
      <c r="N737" s="52"/>
      <c r="O737" s="52"/>
    </row>
    <row r="738">
      <c r="M738" s="52"/>
      <c r="N738" s="52"/>
      <c r="O738" s="52"/>
    </row>
    <row r="739">
      <c r="M739" s="52"/>
      <c r="N739" s="52"/>
      <c r="O739" s="52"/>
    </row>
    <row r="740">
      <c r="M740" s="52"/>
      <c r="N740" s="52"/>
      <c r="O740" s="52"/>
    </row>
    <row r="741">
      <c r="M741" s="52"/>
      <c r="N741" s="52"/>
      <c r="O741" s="52"/>
    </row>
    <row r="742">
      <c r="M742" s="52"/>
      <c r="N742" s="52"/>
      <c r="O742" s="52"/>
    </row>
    <row r="743">
      <c r="M743" s="52"/>
      <c r="N743" s="52"/>
      <c r="O743" s="52"/>
    </row>
    <row r="744">
      <c r="M744" s="52"/>
      <c r="N744" s="52"/>
      <c r="O744" s="52"/>
    </row>
    <row r="745">
      <c r="M745" s="52"/>
      <c r="N745" s="52"/>
      <c r="O745" s="52"/>
    </row>
    <row r="746">
      <c r="M746" s="52"/>
      <c r="N746" s="52"/>
      <c r="O746" s="52"/>
    </row>
    <row r="747">
      <c r="M747" s="52"/>
      <c r="N747" s="52"/>
      <c r="O747" s="52"/>
    </row>
    <row r="748">
      <c r="M748" s="52"/>
      <c r="N748" s="52"/>
      <c r="O748" s="52"/>
    </row>
    <row r="749">
      <c r="M749" s="52"/>
      <c r="N749" s="52"/>
      <c r="O749" s="52"/>
    </row>
    <row r="750">
      <c r="M750" s="52"/>
      <c r="N750" s="52"/>
      <c r="O750" s="52"/>
    </row>
    <row r="751">
      <c r="M751" s="52"/>
      <c r="N751" s="52"/>
      <c r="O751" s="52"/>
    </row>
    <row r="752">
      <c r="M752" s="52"/>
      <c r="N752" s="52"/>
      <c r="O752" s="52"/>
    </row>
    <row r="753">
      <c r="M753" s="52"/>
      <c r="N753" s="52"/>
      <c r="O753" s="52"/>
    </row>
    <row r="754">
      <c r="M754" s="52"/>
      <c r="N754" s="52"/>
      <c r="O754" s="52"/>
    </row>
    <row r="755">
      <c r="M755" s="52"/>
      <c r="N755" s="52"/>
      <c r="O755" s="52"/>
    </row>
    <row r="756">
      <c r="M756" s="52"/>
      <c r="N756" s="52"/>
      <c r="O756" s="52"/>
    </row>
    <row r="757">
      <c r="M757" s="52"/>
      <c r="N757" s="52"/>
      <c r="O757" s="52"/>
    </row>
    <row r="758">
      <c r="M758" s="52"/>
      <c r="N758" s="52"/>
      <c r="O758" s="52"/>
    </row>
    <row r="759">
      <c r="M759" s="52"/>
      <c r="N759" s="52"/>
      <c r="O759" s="52"/>
    </row>
    <row r="760">
      <c r="M760" s="52"/>
      <c r="N760" s="52"/>
      <c r="O760" s="52"/>
    </row>
    <row r="761">
      <c r="M761" s="52"/>
      <c r="N761" s="52"/>
      <c r="O761" s="52"/>
    </row>
    <row r="762">
      <c r="M762" s="52"/>
      <c r="N762" s="52"/>
      <c r="O762" s="52"/>
    </row>
    <row r="763">
      <c r="M763" s="52"/>
      <c r="N763" s="52"/>
      <c r="O763" s="52"/>
    </row>
    <row r="764">
      <c r="M764" s="52"/>
      <c r="N764" s="52"/>
      <c r="O764" s="52"/>
    </row>
    <row r="765">
      <c r="M765" s="52"/>
      <c r="N765" s="52"/>
      <c r="O765" s="52"/>
    </row>
    <row r="766">
      <c r="M766" s="52"/>
      <c r="N766" s="52"/>
      <c r="O766" s="52"/>
    </row>
    <row r="767">
      <c r="M767" s="52"/>
      <c r="N767" s="52"/>
      <c r="O767" s="52"/>
    </row>
    <row r="768">
      <c r="M768" s="52"/>
      <c r="N768" s="52"/>
      <c r="O768" s="52"/>
    </row>
    <row r="769">
      <c r="M769" s="52"/>
      <c r="N769" s="52"/>
      <c r="O769" s="52"/>
    </row>
    <row r="770">
      <c r="M770" s="52"/>
      <c r="N770" s="52"/>
      <c r="O770" s="52"/>
    </row>
    <row r="771">
      <c r="M771" s="52"/>
      <c r="N771" s="52"/>
      <c r="O771" s="52"/>
    </row>
    <row r="772">
      <c r="M772" s="52"/>
      <c r="N772" s="52"/>
      <c r="O772" s="52"/>
    </row>
    <row r="773">
      <c r="M773" s="52"/>
      <c r="N773" s="52"/>
      <c r="O773" s="52"/>
    </row>
    <row r="774">
      <c r="M774" s="52"/>
      <c r="N774" s="52"/>
      <c r="O774" s="52"/>
    </row>
    <row r="775">
      <c r="M775" s="52"/>
      <c r="N775" s="52"/>
      <c r="O775" s="52"/>
    </row>
    <row r="776">
      <c r="M776" s="52"/>
      <c r="N776" s="52"/>
      <c r="O776" s="52"/>
    </row>
    <row r="777">
      <c r="M777" s="52"/>
      <c r="N777" s="52"/>
      <c r="O777" s="52"/>
    </row>
    <row r="778">
      <c r="M778" s="52"/>
      <c r="N778" s="52"/>
      <c r="O778" s="52"/>
    </row>
    <row r="779">
      <c r="M779" s="52"/>
      <c r="N779" s="52"/>
      <c r="O779" s="52"/>
    </row>
    <row r="780">
      <c r="M780" s="52"/>
      <c r="N780" s="52"/>
      <c r="O780" s="52"/>
    </row>
    <row r="781">
      <c r="M781" s="52"/>
      <c r="N781" s="52"/>
      <c r="O781" s="52"/>
    </row>
    <row r="782">
      <c r="M782" s="52"/>
      <c r="N782" s="52"/>
      <c r="O782" s="52"/>
    </row>
    <row r="783">
      <c r="M783" s="52"/>
      <c r="N783" s="52"/>
      <c r="O783" s="52"/>
    </row>
    <row r="784">
      <c r="M784" s="52"/>
      <c r="N784" s="52"/>
      <c r="O784" s="52"/>
    </row>
    <row r="785">
      <c r="M785" s="52"/>
      <c r="N785" s="52"/>
      <c r="O785" s="52"/>
    </row>
    <row r="786">
      <c r="M786" s="52"/>
      <c r="N786" s="52"/>
      <c r="O786" s="52"/>
    </row>
    <row r="787">
      <c r="M787" s="52"/>
      <c r="N787" s="52"/>
      <c r="O787" s="52"/>
    </row>
    <row r="788">
      <c r="M788" s="52"/>
      <c r="N788" s="52"/>
      <c r="O788" s="52"/>
    </row>
    <row r="789">
      <c r="M789" s="52"/>
      <c r="N789" s="52"/>
      <c r="O789" s="52"/>
    </row>
    <row r="790">
      <c r="M790" s="52"/>
      <c r="N790" s="52"/>
      <c r="O790" s="52"/>
    </row>
    <row r="791">
      <c r="M791" s="52"/>
      <c r="N791" s="52"/>
      <c r="O791" s="52"/>
    </row>
    <row r="792">
      <c r="M792" s="52"/>
      <c r="N792" s="52"/>
      <c r="O792" s="52"/>
    </row>
    <row r="793">
      <c r="M793" s="52"/>
      <c r="N793" s="52"/>
      <c r="O793" s="52"/>
    </row>
    <row r="794">
      <c r="M794" s="52"/>
      <c r="N794" s="52"/>
      <c r="O794" s="52"/>
    </row>
    <row r="795">
      <c r="M795" s="52"/>
      <c r="N795" s="52"/>
      <c r="O795" s="52"/>
    </row>
    <row r="796">
      <c r="M796" s="52"/>
      <c r="N796" s="52"/>
      <c r="O796" s="52"/>
    </row>
    <row r="797">
      <c r="M797" s="52"/>
      <c r="N797" s="52"/>
      <c r="O797" s="52"/>
    </row>
    <row r="798">
      <c r="M798" s="52"/>
      <c r="N798" s="52"/>
      <c r="O798" s="52"/>
    </row>
    <row r="799">
      <c r="M799" s="52"/>
      <c r="N799" s="52"/>
      <c r="O799" s="52"/>
    </row>
    <row r="800">
      <c r="M800" s="52"/>
      <c r="N800" s="52"/>
      <c r="O800" s="52"/>
    </row>
    <row r="801">
      <c r="M801" s="52"/>
      <c r="N801" s="52"/>
      <c r="O801" s="52"/>
    </row>
    <row r="802">
      <c r="M802" s="52"/>
      <c r="N802" s="52"/>
      <c r="O802" s="52"/>
    </row>
    <row r="803">
      <c r="M803" s="52"/>
      <c r="N803" s="52"/>
      <c r="O803" s="52"/>
    </row>
    <row r="804">
      <c r="M804" s="52"/>
      <c r="N804" s="52"/>
      <c r="O804" s="52"/>
    </row>
    <row r="805">
      <c r="M805" s="52"/>
      <c r="N805" s="52"/>
      <c r="O805" s="52"/>
    </row>
    <row r="806">
      <c r="M806" s="52"/>
      <c r="N806" s="52"/>
      <c r="O806" s="52"/>
    </row>
    <row r="807">
      <c r="M807" s="52"/>
      <c r="N807" s="52"/>
      <c r="O807" s="52"/>
    </row>
    <row r="808">
      <c r="M808" s="52"/>
      <c r="N808" s="52"/>
      <c r="O808" s="52"/>
    </row>
    <row r="809">
      <c r="M809" s="52"/>
      <c r="N809" s="52"/>
      <c r="O809" s="52"/>
    </row>
    <row r="810">
      <c r="M810" s="52"/>
      <c r="N810" s="52"/>
      <c r="O810" s="52"/>
    </row>
    <row r="811">
      <c r="M811" s="52"/>
      <c r="N811" s="52"/>
      <c r="O811" s="52"/>
    </row>
    <row r="812">
      <c r="M812" s="52"/>
      <c r="N812" s="52"/>
      <c r="O812" s="52"/>
    </row>
    <row r="813">
      <c r="M813" s="52"/>
      <c r="N813" s="52"/>
      <c r="O813" s="52"/>
    </row>
    <row r="814">
      <c r="M814" s="52"/>
      <c r="N814" s="52"/>
      <c r="O814" s="52"/>
    </row>
    <row r="815">
      <c r="M815" s="52"/>
      <c r="N815" s="52"/>
      <c r="O815" s="52"/>
    </row>
    <row r="816">
      <c r="M816" s="52"/>
      <c r="N816" s="52"/>
      <c r="O816" s="52"/>
    </row>
    <row r="817">
      <c r="M817" s="52"/>
      <c r="N817" s="52"/>
      <c r="O817" s="52"/>
    </row>
    <row r="818">
      <c r="M818" s="52"/>
      <c r="N818" s="52"/>
      <c r="O818" s="52"/>
    </row>
    <row r="819">
      <c r="M819" s="52"/>
      <c r="N819" s="52"/>
      <c r="O819" s="52"/>
    </row>
    <row r="820">
      <c r="M820" s="52"/>
      <c r="N820" s="52"/>
      <c r="O820" s="52"/>
    </row>
    <row r="821">
      <c r="M821" s="52"/>
      <c r="N821" s="52"/>
      <c r="O821" s="52"/>
    </row>
    <row r="822">
      <c r="M822" s="52"/>
      <c r="N822" s="52"/>
      <c r="O822" s="52"/>
    </row>
    <row r="823">
      <c r="M823" s="52"/>
      <c r="N823" s="52"/>
      <c r="O823" s="52"/>
    </row>
    <row r="824">
      <c r="M824" s="52"/>
      <c r="N824" s="52"/>
      <c r="O824" s="52"/>
    </row>
    <row r="825">
      <c r="M825" s="52"/>
      <c r="N825" s="52"/>
      <c r="O825" s="52"/>
    </row>
    <row r="826">
      <c r="M826" s="52"/>
      <c r="N826" s="52"/>
      <c r="O826" s="52"/>
    </row>
    <row r="827">
      <c r="M827" s="52"/>
      <c r="N827" s="52"/>
      <c r="O827" s="52"/>
    </row>
    <row r="828">
      <c r="M828" s="52"/>
      <c r="N828" s="52"/>
      <c r="O828" s="52"/>
    </row>
    <row r="829">
      <c r="M829" s="52"/>
      <c r="N829" s="52"/>
      <c r="O829" s="52"/>
    </row>
    <row r="830">
      <c r="M830" s="52"/>
      <c r="N830" s="52"/>
      <c r="O830" s="52"/>
    </row>
    <row r="831">
      <c r="M831" s="52"/>
      <c r="N831" s="52"/>
      <c r="O831" s="52"/>
    </row>
    <row r="832">
      <c r="M832" s="52"/>
      <c r="N832" s="52"/>
      <c r="O832" s="52"/>
    </row>
    <row r="833">
      <c r="M833" s="52"/>
      <c r="N833" s="52"/>
      <c r="O833" s="52"/>
    </row>
    <row r="834">
      <c r="M834" s="52"/>
      <c r="N834" s="52"/>
      <c r="O834" s="52"/>
    </row>
    <row r="835">
      <c r="M835" s="52"/>
      <c r="N835" s="52"/>
      <c r="O835" s="52"/>
    </row>
    <row r="836">
      <c r="M836" s="52"/>
      <c r="N836" s="52"/>
      <c r="O836" s="52"/>
    </row>
    <row r="837">
      <c r="M837" s="52"/>
      <c r="N837" s="52"/>
      <c r="O837" s="52"/>
    </row>
    <row r="838">
      <c r="M838" s="52"/>
      <c r="N838" s="52"/>
      <c r="O838" s="52"/>
    </row>
    <row r="839">
      <c r="M839" s="52"/>
      <c r="N839" s="52"/>
      <c r="O839" s="52"/>
    </row>
    <row r="840">
      <c r="M840" s="52"/>
      <c r="N840" s="52"/>
      <c r="O840" s="52"/>
    </row>
    <row r="841">
      <c r="M841" s="52"/>
      <c r="N841" s="52"/>
      <c r="O841" s="52"/>
    </row>
    <row r="842">
      <c r="M842" s="52"/>
      <c r="N842" s="52"/>
      <c r="O842" s="52"/>
    </row>
    <row r="843">
      <c r="M843" s="52"/>
      <c r="N843" s="52"/>
      <c r="O843" s="52"/>
    </row>
    <row r="844">
      <c r="M844" s="52"/>
      <c r="N844" s="52"/>
      <c r="O844" s="52"/>
    </row>
    <row r="845">
      <c r="M845" s="52"/>
      <c r="N845" s="52"/>
      <c r="O845" s="52"/>
    </row>
    <row r="846">
      <c r="M846" s="52"/>
      <c r="N846" s="52"/>
      <c r="O846" s="52"/>
    </row>
    <row r="847">
      <c r="M847" s="52"/>
      <c r="N847" s="52"/>
      <c r="O847" s="52"/>
    </row>
    <row r="848">
      <c r="M848" s="52"/>
      <c r="N848" s="52"/>
      <c r="O848" s="52"/>
    </row>
    <row r="849">
      <c r="M849" s="52"/>
      <c r="N849" s="52"/>
      <c r="O849" s="52"/>
    </row>
    <row r="850">
      <c r="M850" s="52"/>
      <c r="N850" s="52"/>
      <c r="O850" s="52"/>
    </row>
    <row r="851">
      <c r="M851" s="52"/>
      <c r="N851" s="52"/>
      <c r="O851" s="52"/>
    </row>
    <row r="852">
      <c r="M852" s="52"/>
      <c r="N852" s="52"/>
      <c r="O852" s="52"/>
    </row>
    <row r="853">
      <c r="M853" s="52"/>
      <c r="N853" s="52"/>
      <c r="O853" s="52"/>
    </row>
    <row r="854">
      <c r="M854" s="52"/>
      <c r="N854" s="52"/>
      <c r="O854" s="52"/>
    </row>
    <row r="855">
      <c r="M855" s="52"/>
      <c r="N855" s="52"/>
      <c r="O855" s="52"/>
    </row>
    <row r="856">
      <c r="M856" s="52"/>
      <c r="N856" s="52"/>
      <c r="O856" s="52"/>
    </row>
    <row r="857">
      <c r="M857" s="52"/>
      <c r="N857" s="52"/>
      <c r="O857" s="52"/>
    </row>
    <row r="858">
      <c r="M858" s="52"/>
      <c r="N858" s="52"/>
      <c r="O858" s="52"/>
    </row>
    <row r="859">
      <c r="M859" s="52"/>
      <c r="N859" s="52"/>
      <c r="O859" s="52"/>
    </row>
    <row r="860">
      <c r="M860" s="52"/>
      <c r="N860" s="52"/>
      <c r="O860" s="52"/>
    </row>
    <row r="861">
      <c r="M861" s="52"/>
      <c r="N861" s="52"/>
      <c r="O861" s="52"/>
    </row>
    <row r="862">
      <c r="M862" s="52"/>
      <c r="N862" s="52"/>
      <c r="O862" s="52"/>
    </row>
    <row r="863">
      <c r="M863" s="52"/>
      <c r="N863" s="52"/>
      <c r="O863" s="52"/>
    </row>
    <row r="864">
      <c r="M864" s="52"/>
      <c r="N864" s="52"/>
      <c r="O864" s="52"/>
    </row>
    <row r="865">
      <c r="M865" s="52"/>
      <c r="N865" s="52"/>
      <c r="O865" s="52"/>
    </row>
    <row r="866">
      <c r="M866" s="52"/>
      <c r="N866" s="52"/>
      <c r="O866" s="52"/>
    </row>
    <row r="867">
      <c r="M867" s="52"/>
      <c r="N867" s="52"/>
      <c r="O867" s="52"/>
    </row>
    <row r="868">
      <c r="M868" s="52"/>
      <c r="N868" s="52"/>
      <c r="O868" s="52"/>
    </row>
    <row r="869">
      <c r="M869" s="52"/>
      <c r="N869" s="52"/>
      <c r="O869" s="52"/>
    </row>
    <row r="870">
      <c r="M870" s="52"/>
      <c r="N870" s="52"/>
      <c r="O870" s="52"/>
    </row>
    <row r="871">
      <c r="M871" s="52"/>
      <c r="N871" s="52"/>
      <c r="O871" s="52"/>
    </row>
    <row r="872">
      <c r="M872" s="52"/>
      <c r="N872" s="52"/>
      <c r="O872" s="52"/>
    </row>
    <row r="873">
      <c r="M873" s="52"/>
      <c r="N873" s="52"/>
      <c r="O873" s="52"/>
    </row>
    <row r="874">
      <c r="M874" s="52"/>
      <c r="N874" s="52"/>
      <c r="O874" s="52"/>
    </row>
    <row r="875">
      <c r="M875" s="52"/>
      <c r="N875" s="52"/>
      <c r="O875" s="52"/>
    </row>
    <row r="876">
      <c r="M876" s="52"/>
      <c r="N876" s="52"/>
      <c r="O876" s="52"/>
    </row>
    <row r="877">
      <c r="M877" s="52"/>
      <c r="N877" s="52"/>
      <c r="O877" s="52"/>
    </row>
    <row r="878">
      <c r="M878" s="52"/>
      <c r="N878" s="52"/>
      <c r="O878" s="52"/>
    </row>
    <row r="879">
      <c r="M879" s="52"/>
      <c r="N879" s="52"/>
      <c r="O879" s="52"/>
    </row>
    <row r="880">
      <c r="M880" s="52"/>
      <c r="N880" s="52"/>
      <c r="O880" s="52"/>
    </row>
    <row r="881">
      <c r="M881" s="52"/>
      <c r="N881" s="52"/>
      <c r="O881" s="52"/>
    </row>
    <row r="882">
      <c r="M882" s="52"/>
      <c r="N882" s="52"/>
      <c r="O882" s="52"/>
    </row>
    <row r="883">
      <c r="M883" s="52"/>
      <c r="N883" s="52"/>
      <c r="O883" s="52"/>
    </row>
    <row r="884">
      <c r="M884" s="52"/>
      <c r="N884" s="52"/>
      <c r="O884" s="52"/>
    </row>
    <row r="885">
      <c r="M885" s="52"/>
      <c r="N885" s="52"/>
      <c r="O885" s="52"/>
    </row>
    <row r="886">
      <c r="M886" s="52"/>
      <c r="N886" s="52"/>
      <c r="O886" s="52"/>
    </row>
    <row r="887">
      <c r="M887" s="52"/>
      <c r="N887" s="52"/>
      <c r="O887" s="52"/>
    </row>
    <row r="888">
      <c r="M888" s="52"/>
      <c r="N888" s="52"/>
      <c r="O888" s="52"/>
    </row>
    <row r="889">
      <c r="M889" s="52"/>
      <c r="N889" s="52"/>
      <c r="O889" s="52"/>
    </row>
    <row r="890">
      <c r="M890" s="52"/>
      <c r="N890" s="52"/>
      <c r="O890" s="52"/>
    </row>
    <row r="891">
      <c r="M891" s="52"/>
      <c r="N891" s="52"/>
      <c r="O891" s="52"/>
    </row>
    <row r="892">
      <c r="M892" s="52"/>
      <c r="N892" s="52"/>
      <c r="O892" s="52"/>
    </row>
    <row r="893">
      <c r="M893" s="52"/>
      <c r="N893" s="52"/>
      <c r="O893" s="52"/>
    </row>
    <row r="894">
      <c r="M894" s="52"/>
      <c r="N894" s="52"/>
      <c r="O894" s="52"/>
    </row>
    <row r="895">
      <c r="M895" s="52"/>
      <c r="N895" s="52"/>
      <c r="O895" s="52"/>
    </row>
    <row r="896">
      <c r="M896" s="52"/>
      <c r="N896" s="52"/>
      <c r="O896" s="52"/>
    </row>
    <row r="897">
      <c r="M897" s="52"/>
      <c r="N897" s="52"/>
      <c r="O897" s="52"/>
    </row>
    <row r="898">
      <c r="M898" s="52"/>
      <c r="N898" s="52"/>
      <c r="O898" s="52"/>
    </row>
    <row r="899">
      <c r="M899" s="52"/>
      <c r="N899" s="52"/>
      <c r="O899" s="52"/>
    </row>
    <row r="900">
      <c r="M900" s="52"/>
      <c r="N900" s="52"/>
      <c r="O900" s="52"/>
    </row>
    <row r="901">
      <c r="M901" s="52"/>
      <c r="N901" s="52"/>
      <c r="O901" s="52"/>
    </row>
    <row r="902">
      <c r="M902" s="52"/>
      <c r="N902" s="52"/>
      <c r="O902" s="52"/>
    </row>
    <row r="903">
      <c r="M903" s="52"/>
      <c r="N903" s="52"/>
      <c r="O903" s="52"/>
    </row>
    <row r="904">
      <c r="M904" s="52"/>
      <c r="N904" s="52"/>
      <c r="O904" s="52"/>
    </row>
    <row r="905">
      <c r="M905" s="52"/>
      <c r="N905" s="52"/>
      <c r="O905" s="52"/>
    </row>
    <row r="906">
      <c r="M906" s="52"/>
      <c r="N906" s="52"/>
      <c r="O906" s="52"/>
    </row>
    <row r="907">
      <c r="M907" s="52"/>
      <c r="N907" s="52"/>
      <c r="O907" s="52"/>
    </row>
    <row r="908">
      <c r="M908" s="52"/>
      <c r="N908" s="52"/>
      <c r="O908" s="52"/>
    </row>
    <row r="909">
      <c r="M909" s="52"/>
      <c r="N909" s="52"/>
      <c r="O909" s="52"/>
    </row>
    <row r="910">
      <c r="M910" s="52"/>
      <c r="N910" s="52"/>
      <c r="O910" s="52"/>
    </row>
    <row r="911">
      <c r="M911" s="52"/>
      <c r="N911" s="52"/>
      <c r="O911" s="52"/>
    </row>
    <row r="912">
      <c r="M912" s="52"/>
      <c r="N912" s="52"/>
      <c r="O912" s="52"/>
    </row>
    <row r="913">
      <c r="M913" s="52"/>
      <c r="N913" s="52"/>
      <c r="O913" s="52"/>
    </row>
    <row r="914">
      <c r="M914" s="52"/>
      <c r="N914" s="52"/>
      <c r="O914" s="52"/>
    </row>
    <row r="915">
      <c r="M915" s="52"/>
      <c r="N915" s="52"/>
      <c r="O915" s="52"/>
    </row>
    <row r="916">
      <c r="M916" s="52"/>
      <c r="N916" s="52"/>
      <c r="O916" s="52"/>
    </row>
    <row r="917">
      <c r="M917" s="52"/>
      <c r="N917" s="52"/>
      <c r="O917" s="52"/>
    </row>
    <row r="918">
      <c r="M918" s="52"/>
      <c r="N918" s="52"/>
      <c r="O918" s="52"/>
    </row>
    <row r="919">
      <c r="M919" s="52"/>
      <c r="N919" s="52"/>
      <c r="O919" s="52"/>
    </row>
    <row r="920">
      <c r="M920" s="52"/>
      <c r="N920" s="52"/>
      <c r="O920" s="52"/>
    </row>
    <row r="921">
      <c r="M921" s="52"/>
      <c r="N921" s="52"/>
      <c r="O921" s="52"/>
    </row>
    <row r="922">
      <c r="M922" s="52"/>
      <c r="N922" s="52"/>
      <c r="O922" s="52"/>
    </row>
    <row r="923">
      <c r="M923" s="52"/>
      <c r="N923" s="52"/>
      <c r="O923" s="52"/>
    </row>
    <row r="924">
      <c r="M924" s="52"/>
      <c r="N924" s="52"/>
      <c r="O924" s="52"/>
    </row>
    <row r="925">
      <c r="M925" s="52"/>
      <c r="N925" s="52"/>
      <c r="O925" s="52"/>
    </row>
    <row r="926">
      <c r="M926" s="52"/>
      <c r="N926" s="52"/>
      <c r="O926" s="52"/>
    </row>
    <row r="927">
      <c r="M927" s="52"/>
      <c r="N927" s="52"/>
      <c r="O927" s="52"/>
    </row>
    <row r="928">
      <c r="M928" s="52"/>
      <c r="N928" s="52"/>
      <c r="O928" s="52"/>
    </row>
    <row r="929">
      <c r="M929" s="52"/>
      <c r="N929" s="52"/>
      <c r="O929" s="52"/>
    </row>
    <row r="930">
      <c r="M930" s="52"/>
      <c r="N930" s="52"/>
      <c r="O930" s="52"/>
    </row>
    <row r="931">
      <c r="M931" s="52"/>
      <c r="N931" s="52"/>
      <c r="O931" s="52"/>
    </row>
    <row r="932">
      <c r="M932" s="52"/>
      <c r="N932" s="52"/>
      <c r="O932" s="52"/>
    </row>
    <row r="933">
      <c r="M933" s="52"/>
      <c r="N933" s="52"/>
      <c r="O933" s="52"/>
    </row>
    <row r="934">
      <c r="M934" s="52"/>
      <c r="N934" s="52"/>
      <c r="O934" s="52"/>
    </row>
    <row r="935">
      <c r="M935" s="52"/>
      <c r="N935" s="52"/>
      <c r="O935" s="52"/>
    </row>
    <row r="936">
      <c r="M936" s="52"/>
      <c r="N936" s="52"/>
      <c r="O936" s="52"/>
    </row>
    <row r="937">
      <c r="M937" s="52"/>
      <c r="N937" s="52"/>
      <c r="O937" s="52"/>
    </row>
    <row r="938">
      <c r="M938" s="52"/>
      <c r="N938" s="52"/>
      <c r="O938" s="52"/>
    </row>
    <row r="939">
      <c r="M939" s="52"/>
      <c r="N939" s="52"/>
      <c r="O939" s="52"/>
    </row>
    <row r="940">
      <c r="M940" s="52"/>
      <c r="N940" s="52"/>
      <c r="O940" s="52"/>
    </row>
    <row r="941">
      <c r="M941" s="52"/>
      <c r="N941" s="52"/>
      <c r="O941" s="52"/>
    </row>
    <row r="942">
      <c r="M942" s="52"/>
      <c r="N942" s="52"/>
      <c r="O942" s="52"/>
    </row>
    <row r="943">
      <c r="M943" s="52"/>
      <c r="N943" s="52"/>
      <c r="O943" s="52"/>
    </row>
    <row r="944">
      <c r="M944" s="52"/>
      <c r="N944" s="52"/>
      <c r="O944" s="52"/>
    </row>
    <row r="945">
      <c r="M945" s="52"/>
      <c r="N945" s="52"/>
      <c r="O945" s="52"/>
    </row>
    <row r="946">
      <c r="M946" s="52"/>
      <c r="N946" s="52"/>
      <c r="O946" s="52"/>
    </row>
    <row r="947">
      <c r="M947" s="52"/>
      <c r="N947" s="52"/>
      <c r="O947" s="52"/>
    </row>
    <row r="948">
      <c r="M948" s="52"/>
      <c r="N948" s="52"/>
      <c r="O948" s="52"/>
    </row>
    <row r="949">
      <c r="M949" s="52"/>
      <c r="N949" s="52"/>
      <c r="O949" s="52"/>
    </row>
    <row r="950">
      <c r="M950" s="52"/>
      <c r="N950" s="52"/>
      <c r="O950" s="52"/>
    </row>
    <row r="951">
      <c r="M951" s="52"/>
      <c r="N951" s="52"/>
      <c r="O951" s="52"/>
    </row>
    <row r="952">
      <c r="M952" s="52"/>
      <c r="N952" s="52"/>
      <c r="O952" s="52"/>
    </row>
    <row r="953">
      <c r="M953" s="52"/>
      <c r="N953" s="52"/>
      <c r="O953" s="52"/>
    </row>
    <row r="954">
      <c r="M954" s="52"/>
      <c r="N954" s="52"/>
      <c r="O954" s="52"/>
    </row>
    <row r="955">
      <c r="M955" s="52"/>
      <c r="N955" s="52"/>
      <c r="O955" s="52"/>
    </row>
    <row r="956">
      <c r="M956" s="52"/>
      <c r="N956" s="52"/>
      <c r="O956" s="52"/>
    </row>
    <row r="957">
      <c r="M957" s="52"/>
      <c r="N957" s="52"/>
      <c r="O957" s="52"/>
    </row>
    <row r="958">
      <c r="M958" s="52"/>
      <c r="N958" s="52"/>
      <c r="O958" s="52"/>
    </row>
    <row r="959">
      <c r="M959" s="52"/>
      <c r="N959" s="52"/>
      <c r="O959" s="52"/>
    </row>
    <row r="960">
      <c r="M960" s="52"/>
      <c r="N960" s="52"/>
      <c r="O960" s="52"/>
    </row>
    <row r="961">
      <c r="M961" s="52"/>
      <c r="N961" s="52"/>
      <c r="O961" s="52"/>
    </row>
    <row r="962">
      <c r="M962" s="52"/>
      <c r="N962" s="52"/>
      <c r="O962" s="52"/>
    </row>
    <row r="963">
      <c r="M963" s="52"/>
      <c r="N963" s="52"/>
      <c r="O963" s="52"/>
    </row>
    <row r="964">
      <c r="M964" s="52"/>
      <c r="N964" s="52"/>
      <c r="O964" s="52"/>
    </row>
    <row r="965">
      <c r="M965" s="52"/>
      <c r="N965" s="52"/>
      <c r="O965" s="52"/>
    </row>
    <row r="966">
      <c r="M966" s="52"/>
      <c r="N966" s="52"/>
      <c r="O966" s="52"/>
    </row>
    <row r="967">
      <c r="M967" s="52"/>
      <c r="N967" s="52"/>
      <c r="O967" s="52"/>
    </row>
    <row r="968">
      <c r="M968" s="52"/>
      <c r="N968" s="52"/>
      <c r="O968" s="52"/>
    </row>
    <row r="969">
      <c r="M969" s="52"/>
      <c r="N969" s="52"/>
      <c r="O969" s="52"/>
    </row>
    <row r="970">
      <c r="M970" s="52"/>
      <c r="N970" s="52"/>
      <c r="O970" s="52"/>
    </row>
    <row r="971">
      <c r="M971" s="52"/>
      <c r="N971" s="52"/>
      <c r="O971" s="52"/>
    </row>
    <row r="972">
      <c r="M972" s="52"/>
      <c r="N972" s="52"/>
      <c r="O972" s="52"/>
    </row>
    <row r="973">
      <c r="M973" s="52"/>
      <c r="N973" s="52"/>
      <c r="O973" s="52"/>
    </row>
    <row r="974">
      <c r="M974" s="52"/>
      <c r="N974" s="52"/>
      <c r="O974" s="52"/>
    </row>
    <row r="975">
      <c r="M975" s="52"/>
      <c r="N975" s="52"/>
      <c r="O975" s="52"/>
    </row>
    <row r="976">
      <c r="M976" s="52"/>
      <c r="N976" s="52"/>
      <c r="O976" s="52"/>
    </row>
    <row r="977">
      <c r="M977" s="52"/>
      <c r="N977" s="52"/>
      <c r="O977" s="52"/>
    </row>
    <row r="978">
      <c r="M978" s="52"/>
      <c r="N978" s="52"/>
      <c r="O978" s="52"/>
    </row>
    <row r="979">
      <c r="M979" s="52"/>
      <c r="N979" s="52"/>
      <c r="O979" s="52"/>
    </row>
    <row r="980">
      <c r="M980" s="52"/>
      <c r="N980" s="52"/>
      <c r="O980" s="52"/>
    </row>
    <row r="981">
      <c r="M981" s="52"/>
      <c r="N981" s="52"/>
      <c r="O981" s="52"/>
    </row>
    <row r="982">
      <c r="M982" s="52"/>
      <c r="N982" s="52"/>
      <c r="O982" s="52"/>
    </row>
    <row r="983">
      <c r="M983" s="52"/>
      <c r="N983" s="52"/>
      <c r="O983" s="52"/>
    </row>
    <row r="984">
      <c r="M984" s="52"/>
      <c r="N984" s="52"/>
      <c r="O984" s="52"/>
    </row>
    <row r="985">
      <c r="M985" s="52"/>
      <c r="N985" s="52"/>
      <c r="O985" s="52"/>
    </row>
    <row r="986">
      <c r="M986" s="52"/>
      <c r="N986" s="52"/>
      <c r="O986" s="52"/>
    </row>
    <row r="987">
      <c r="M987" s="52"/>
      <c r="N987" s="52"/>
      <c r="O987" s="52"/>
    </row>
    <row r="988">
      <c r="M988" s="52"/>
      <c r="N988" s="52"/>
      <c r="O988" s="52"/>
    </row>
    <row r="989">
      <c r="M989" s="52"/>
      <c r="N989" s="52"/>
      <c r="O989" s="52"/>
    </row>
    <row r="990">
      <c r="M990" s="52"/>
      <c r="N990" s="52"/>
      <c r="O990" s="52"/>
    </row>
    <row r="991">
      <c r="M991" s="52"/>
      <c r="N991" s="52"/>
      <c r="O991" s="52"/>
    </row>
    <row r="992">
      <c r="M992" s="52"/>
      <c r="N992" s="52"/>
      <c r="O992" s="52"/>
    </row>
    <row r="993">
      <c r="M993" s="52"/>
      <c r="N993" s="52"/>
      <c r="O993" s="52"/>
    </row>
    <row r="994">
      <c r="M994" s="52"/>
      <c r="N994" s="52"/>
      <c r="O994" s="52"/>
    </row>
    <row r="995">
      <c r="M995" s="52"/>
      <c r="N995" s="52"/>
      <c r="O995" s="52"/>
    </row>
    <row r="996">
      <c r="M996" s="52"/>
      <c r="N996" s="52"/>
      <c r="O996" s="52"/>
    </row>
    <row r="997">
      <c r="M997" s="52"/>
      <c r="N997" s="52"/>
      <c r="O997" s="52"/>
    </row>
    <row r="998">
      <c r="M998" s="52"/>
      <c r="N998" s="52"/>
      <c r="O998" s="52"/>
    </row>
    <row r="999">
      <c r="M999" s="52"/>
      <c r="N999" s="52"/>
      <c r="O999" s="52"/>
    </row>
    <row r="1000">
      <c r="M1000" s="52"/>
      <c r="N1000" s="52"/>
      <c r="O1000" s="52"/>
    </row>
  </sheetData>
  <mergeCells count="7">
    <mergeCell ref="A1:A2"/>
    <mergeCell ref="B1:B2"/>
    <mergeCell ref="C1:G1"/>
    <mergeCell ref="H1:I1"/>
    <mergeCell ref="J1:J2"/>
    <mergeCell ref="K1:O1"/>
    <mergeCell ref="P1:U1"/>
  </mergeCells>
  <conditionalFormatting sqref="N3:N9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G3:G9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3:H9 K3:K9">
    <cfRule type="colorScale" priority="3">
      <colorScale>
        <cfvo type="formula" val="0"/>
        <cfvo type="max"/>
        <color rgb="FFFFFFFF"/>
        <color rgb="FF57BB8A"/>
      </colorScale>
    </cfRule>
  </conditionalFormatting>
  <conditionalFormatting sqref="I3:I9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J3:J9">
    <cfRule type="colorScale" priority="5">
      <colorScale>
        <cfvo type="formula" val="0"/>
        <cfvo type="max"/>
        <color rgb="FFFFFFFF"/>
        <color rgb="FF57BB8A"/>
      </colorScale>
    </cfRule>
  </conditionalFormatting>
  <conditionalFormatting sqref="K3:K9">
    <cfRule type="colorScale" priority="6">
      <colorScale>
        <cfvo type="formula" val="0"/>
        <cfvo type="max"/>
        <color rgb="FFFFFFFF"/>
        <color rgb="FF57BB8A"/>
      </colorScale>
    </cfRule>
  </conditionalFormatting>
  <conditionalFormatting sqref="L3:L9">
    <cfRule type="colorScale" priority="7">
      <colorScale>
        <cfvo type="formula" val="0"/>
        <cfvo type="max"/>
        <color rgb="FFFFFFFF"/>
        <color rgb="FFE67C73"/>
      </colorScale>
    </cfRule>
  </conditionalFormatting>
  <conditionalFormatting sqref="C3:C9 C19">
    <cfRule type="colorScale" priority="8">
      <colorScale>
        <cfvo type="formula" val="0"/>
        <cfvo type="max"/>
        <color rgb="FFFFFFFF"/>
        <color rgb="FFFFD666"/>
      </colorScale>
    </cfRule>
  </conditionalFormatting>
  <conditionalFormatting sqref="D3:D9">
    <cfRule type="colorScale" priority="9">
      <colorScale>
        <cfvo type="formula" val="0"/>
        <cfvo type="max"/>
        <color rgb="FFFFFFFF"/>
        <color rgb="FF57BB8A"/>
      </colorScale>
    </cfRule>
  </conditionalFormatting>
  <conditionalFormatting sqref="E3:E9">
    <cfRule type="colorScale" priority="10">
      <colorScale>
        <cfvo type="formula" val="0"/>
        <cfvo type="max"/>
        <color rgb="FFFFFFFF"/>
        <color rgb="FFE67C73"/>
      </colorScale>
    </cfRule>
  </conditionalFormatting>
  <conditionalFormatting sqref="F3:F9">
    <cfRule type="colorScale" priority="11">
      <colorScale>
        <cfvo type="formula" val="0"/>
        <cfvo type="max"/>
        <color rgb="FFFFFFFF"/>
        <color rgb="FF57BB8A"/>
      </colorScale>
    </cfRule>
  </conditionalFormatting>
  <conditionalFormatting sqref="M3:M9">
    <cfRule type="colorScale" priority="12">
      <colorScale>
        <cfvo type="formula" val="0"/>
        <cfvo type="max"/>
        <color rgb="FFFFFFFF"/>
        <color rgb="FFFFD666"/>
      </colorScale>
    </cfRule>
  </conditionalFormatting>
  <conditionalFormatting sqref="O3:O9">
    <cfRule type="colorScale" priority="13">
      <colorScale>
        <cfvo type="formula" val="0"/>
        <cfvo type="formula" val="1"/>
        <color rgb="FFFFFFFF"/>
        <color rgb="FF57BB8A"/>
      </colorScale>
    </cfRule>
  </conditionalFormatting>
  <conditionalFormatting sqref="P3:P9">
    <cfRule type="colorScale" priority="14">
      <colorScale>
        <cfvo type="formula" val="0"/>
        <cfvo type="max"/>
        <color rgb="FFFFFFFF"/>
        <color rgb="FFFFD666"/>
      </colorScale>
    </cfRule>
  </conditionalFormatting>
  <conditionalFormatting sqref="U3:U9">
    <cfRule type="colorScale" priority="15">
      <colorScale>
        <cfvo type="formula" val="0"/>
        <cfvo type="formula" val="2"/>
        <cfvo type="formula" val="3"/>
        <color rgb="FFE67C73"/>
        <color rgb="FFFFFFFF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6" max="6" width="11.88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1" t="s">
        <v>4</v>
      </c>
      <c r="K1" s="6" t="s">
        <v>5</v>
      </c>
      <c r="L1" s="4"/>
      <c r="M1" s="4"/>
      <c r="N1" s="4"/>
      <c r="O1" s="5"/>
      <c r="P1" s="30" t="s">
        <v>6</v>
      </c>
      <c r="Q1" s="4"/>
      <c r="R1" s="4"/>
      <c r="S1" s="4"/>
      <c r="T1" s="4"/>
      <c r="U1" s="5"/>
      <c r="Z1" s="8" t="s">
        <v>47</v>
      </c>
    </row>
    <row r="2">
      <c r="A2" s="9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2" t="s">
        <v>13</v>
      </c>
      <c r="I2" s="12" t="s">
        <v>14</v>
      </c>
      <c r="J2" s="9"/>
      <c r="K2" s="10" t="s">
        <v>15</v>
      </c>
      <c r="L2" s="12" t="s">
        <v>10</v>
      </c>
      <c r="M2" s="10" t="s">
        <v>16</v>
      </c>
      <c r="N2" s="10" t="s">
        <v>17</v>
      </c>
      <c r="O2" s="10" t="s">
        <v>18</v>
      </c>
      <c r="P2" s="15" t="s">
        <v>8</v>
      </c>
      <c r="Q2" s="15">
        <v>0.0</v>
      </c>
      <c r="R2" s="15">
        <v>1.0</v>
      </c>
      <c r="S2" s="15">
        <v>2.0</v>
      </c>
      <c r="T2" s="15">
        <v>3.0</v>
      </c>
      <c r="U2" s="15" t="s">
        <v>19</v>
      </c>
      <c r="Z2" s="8" t="s">
        <v>48</v>
      </c>
    </row>
    <row r="3">
      <c r="A3" s="18" t="s">
        <v>21</v>
      </c>
      <c r="B3" s="18" t="s">
        <v>49</v>
      </c>
      <c r="C3" s="31">
        <f>IFERROR(__xludf.DUMMYFUNCTION("SUM(MAP(FILTER(Z1:Z100, Z1:Z100 &lt;&gt; """"), LAMBDA(sheet, IFERROR(VALUE(INDIRECT(""'"" &amp; sheet &amp; ""'!C3"")), 0))))"),20.0)</f>
        <v>20</v>
      </c>
      <c r="D3" s="32">
        <f>IFERROR(__xludf.DUMMYFUNCTION("SUM(MAP(FILTER(Z1:Z100, Z1:Z100 &lt;&gt; """"), LAMBDA(sheet, IFERROR(VALUE(INDIRECT(""'"" &amp; sheet &amp; ""'!d3"")), 0))))"),8.0)</f>
        <v>8</v>
      </c>
      <c r="E3" s="33">
        <f>IFERROR(__xludf.DUMMYFUNCTION("SUM(MAP(FILTER(Z1:Z100, Z1:Z100 &lt;&gt; """"), LAMBDA(sheet, IFERROR(VALUE(INDIRECT(""'"" &amp; sheet &amp; ""'!e3"")), 0))))"),4.0)</f>
        <v>4</v>
      </c>
      <c r="F3" s="34">
        <f>IFERROR(__xludf.DUMMYFUNCTION("SUM(MAP(FILTER(Z1:Z100, Z1:Z100 &lt;&gt; """"), LAMBDA(sheet, IFERROR(VALUE(INDIRECT(""'"" &amp; sheet &amp; ""'!f3"")), 0))))"),0.0)</f>
        <v>0</v>
      </c>
      <c r="G3" s="35">
        <f t="shared" ref="G3:G9" si="1">IFS(C3=0, "N/A", C3&lt;&gt;0,(D3-E3)/C3 )</f>
        <v>0.2</v>
      </c>
      <c r="H3" s="10">
        <f>IFERROR(__xludf.DUMMYFUNCTION("SUM(MAP(FILTER(Z1:Z100, Z1:Z100 &lt;&gt; """"), LAMBDA(sheet, IFERROR(VALUE(INDIRECT(""'"" &amp; sheet &amp; ""'!h3"")), 0))))"),0.0)</f>
        <v>0</v>
      </c>
      <c r="I3" s="10">
        <f>IFERROR(__xludf.DUMMYFUNCTION("SUM(MAP(FILTER(Z1:Z100, Z1:Z100 &lt;&gt; """"), LAMBDA(sheet, IFERROR(VALUE(INDIRECT(""'"" &amp; sheet &amp; ""'!i73"")), 0))))"),0.0)</f>
        <v>0</v>
      </c>
      <c r="J3" s="10">
        <f>IFERROR(__xludf.DUMMYFUNCTION("SUM(MAP(FILTER(Z1:Z100, Z1:Z100 &lt;&gt; """"), LAMBDA(sheet, IFERROR(VALUE(INDIRECT(""'"" &amp; sheet &amp; ""'!j3"")), 0))))"),5.0)</f>
        <v>5</v>
      </c>
      <c r="K3" s="10">
        <f>IFERROR(__xludf.DUMMYFUNCTION("SUM(MAP(FILTER(Z1:Z100, Z1:Z100 &lt;&gt; """"), LAMBDA(sheet, IFERROR(VALUE(INDIRECT(""'"" &amp; sheet &amp; ""'!k3"")), 0))))"),1.0)</f>
        <v>1</v>
      </c>
      <c r="L3" s="10">
        <f>IFERROR(__xludf.DUMMYFUNCTION("SUM(MAP(FILTER(Z1:Z100, Z1:Z100 &lt;&gt; """"), LAMBDA(sheet, IFERROR(VALUE(INDIRECT(""'"" &amp; sheet &amp; ""'!l3"")), 0))))"),0.0)</f>
        <v>0</v>
      </c>
      <c r="M3" s="10">
        <f>IFERROR(__xludf.DUMMYFUNCTION("SUM(MAP(FILTER(Z1:Z100, Z1:Z100 &lt;&gt; """"), LAMBDA(sheet, IFERROR(VALUE(INDIRECT(""'"" &amp; sheet &amp; ""'!m3"")), 0))))"),10.0)</f>
        <v>10</v>
      </c>
      <c r="N3" s="35">
        <f t="shared" ref="N3:N9" si="2">ifs(M3=0,"N/A",M3&lt;&gt;0,(M3-L3) /M3)</f>
        <v>1</v>
      </c>
      <c r="O3" s="35">
        <f t="shared" ref="O3:O9" si="3">IFS(M3=0, "N/A", M3&lt;&gt;0, K3/M3)</f>
        <v>0.1</v>
      </c>
      <c r="P3" s="10">
        <f>IFERROR(__xludf.DUMMYFUNCTION("SUM(MAP(FILTER(Z1:Z100, Z1:Z100 &lt;&gt; """"), LAMBDA(sheet, IFERROR(VALUE(INDIRECT(""'"" &amp; sheet &amp; ""'!p3"")), 0))))"),7.0)</f>
        <v>7</v>
      </c>
      <c r="Q3" s="10">
        <f>IFERROR(__xludf.DUMMYFUNCTION("SUM(MAP(FILTER(Z1:Z100, Z1:Z100 &lt;&gt; """"), LAMBDA(sheet, IFERROR(VALUE(INDIRECT(""'"" &amp; sheet &amp; ""'!q3"")), 0))))"),2.0)</f>
        <v>2</v>
      </c>
      <c r="R3" s="10">
        <f>IFERROR(__xludf.DUMMYFUNCTION("SUM(MAP(FILTER(Z1:Z100, Z1:Z100 &lt;&gt; """"), LAMBDA(sheet, IFERROR(VALUE(INDIRECT(""'"" &amp; sheet &amp; ""'!r3"")), 0))))"),2.0)</f>
        <v>2</v>
      </c>
      <c r="S3" s="10">
        <f>IFERROR(__xludf.DUMMYFUNCTION("SUM(MAP(FILTER(Z1:Z100, Z1:Z100 &lt;&gt; """"), LAMBDA(sheet, IFERROR(VALUE(INDIRECT(""'"" &amp; sheet &amp; ""'!s3"")), 0))))"),1.0)</f>
        <v>1</v>
      </c>
      <c r="T3" s="10">
        <f>IFERROR(__xludf.DUMMYFUNCTION("SUM(MAP(FILTER(Z1:Z100, Z1:Z100 &lt;&gt; """"), LAMBDA(sheet, IFERROR(VALUE(INDIRECT(""'"" &amp; sheet &amp; ""'!t3"")), 0))))"),2.0)</f>
        <v>2</v>
      </c>
      <c r="U3" s="10">
        <f t="shared" ref="U3:U9" si="4">ifs(P3=0, "N/A",P3&lt;&gt;0,(R3 + S3*2 +T3*3)/P3)</f>
        <v>1.428571429</v>
      </c>
      <c r="Z3" s="8" t="s">
        <v>50</v>
      </c>
    </row>
    <row r="4">
      <c r="A4" s="21" t="s">
        <v>24</v>
      </c>
      <c r="B4" s="21" t="s">
        <v>51</v>
      </c>
      <c r="C4" s="36">
        <f>IFERROR(__xludf.DUMMYFUNCTION("SUM(MAP(FILTER(Z1:Z100, Z1:Z100 &lt;&gt; """"), LAMBDA(sheet, IFERROR(VALUE(INDIRECT(""'"" &amp; sheet &amp; ""'!C4"")), 0))))"),9.0)</f>
        <v>9</v>
      </c>
      <c r="D4" s="37">
        <f>IFERROR(__xludf.DUMMYFUNCTION("SUM(MAP(FILTER(Z1:Z100, Z1:Z100 &lt;&gt; """"), LAMBDA(sheet, IFERROR(VALUE(INDIRECT(""'"" &amp; sheet &amp; ""'!d4"")), 0))))"),3.0)</f>
        <v>3</v>
      </c>
      <c r="E4" s="38">
        <f>IFERROR(__xludf.DUMMYFUNCTION("SUM(MAP(FILTER(Z1:Z100, Z1:Z100 &lt;&gt; """"), LAMBDA(sheet, IFERROR(VALUE(INDIRECT(""'"" &amp; sheet &amp; ""'!e4"")), 0))))"),2.0)</f>
        <v>2</v>
      </c>
      <c r="F4" s="39">
        <f>IFERROR(__xludf.DUMMYFUNCTION("SUM(MAP(FILTER(Z1:Z100, Z1:Z100 &lt;&gt; """"), LAMBDA(sheet, IFERROR(VALUE(INDIRECT(""'"" &amp; sheet &amp; ""'!f4"")), 0))))"),0.0)</f>
        <v>0</v>
      </c>
      <c r="G4" s="35">
        <f t="shared" si="1"/>
        <v>0.1111111111</v>
      </c>
      <c r="H4" s="10">
        <f>IFERROR(__xludf.DUMMYFUNCTION("SUM(MAP(FILTER(Z1:Z100, Z1:Z100 &lt;&gt; """"), LAMBDA(sheet, IFERROR(VALUE(INDIRECT(""'"" &amp; sheet &amp; ""'!h4"")), 0))))"),0.0)</f>
        <v>0</v>
      </c>
      <c r="I4" s="10">
        <f>IFERROR(__xludf.DUMMYFUNCTION("SUM(MAP(FILTER(Z1:Z100, Z1:Z100 &lt;&gt; """"), LAMBDA(sheet, IFERROR(VALUE(INDIRECT(""'"" &amp; sheet &amp; ""'!i4"")), 0))))"),3.0)</f>
        <v>3</v>
      </c>
      <c r="J4" s="10">
        <f>IFERROR(__xludf.DUMMYFUNCTION("SUM(MAP(FILTER(Z1:Z100, Z1:Z100 &lt;&gt; """"), LAMBDA(sheet, IFERROR(VALUE(INDIRECT(""'"" &amp; sheet &amp; ""'!j4"")), 0))))"),10.0)</f>
        <v>10</v>
      </c>
      <c r="K4" s="10">
        <f>IFERROR(__xludf.DUMMYFUNCTION("SUM(MAP(FILTER(Z1:Z100, Z1:Z100 &lt;&gt; """"), LAMBDA(sheet, IFERROR(VALUE(INDIRECT(""'"" &amp; sheet &amp; ""'!k4"")), 0))))"),0.0)</f>
        <v>0</v>
      </c>
      <c r="L4" s="10">
        <f>IFERROR(__xludf.DUMMYFUNCTION("SUM(MAP(FILTER(Z1:Z100, Z1:Z100 &lt;&gt; """"), LAMBDA(sheet, IFERROR(VALUE(INDIRECT(""'"" &amp; sheet &amp; ""'!l4"")), 0))))"),1.0)</f>
        <v>1</v>
      </c>
      <c r="M4" s="10">
        <f>IFERROR(__xludf.DUMMYFUNCTION("SUM(MAP(FILTER(Z1:Z100, Z1:Z100 &lt;&gt; """"), LAMBDA(sheet, IFERROR(VALUE(INDIRECT(""'"" &amp; sheet &amp; ""'!m4"")), 0))))"),3.0)</f>
        <v>3</v>
      </c>
      <c r="N4" s="35">
        <f t="shared" si="2"/>
        <v>0.6666666667</v>
      </c>
      <c r="O4" s="35">
        <f t="shared" si="3"/>
        <v>0</v>
      </c>
      <c r="P4" s="10">
        <f>IFERROR(__xludf.DUMMYFUNCTION("SUM(MAP(FILTER(Z1:Z100, Z1:Z100 &lt;&gt; """"), LAMBDA(sheet, IFERROR(VALUE(INDIRECT(""'"" &amp; sheet &amp; ""'!p4"")), 0))))"),10.0)</f>
        <v>10</v>
      </c>
      <c r="Q4" s="10">
        <f>IFERROR(__xludf.DUMMYFUNCTION("SUM(MAP(FILTER(Z1:Z100, Z1:Z100 &lt;&gt; """"), LAMBDA(sheet, IFERROR(VALUE(INDIRECT(""'"" &amp; sheet &amp; ""'!q4"")), 0))))"),5.0)</f>
        <v>5</v>
      </c>
      <c r="R4" s="10">
        <f>IFERROR(__xludf.DUMMYFUNCTION("SUM(MAP(FILTER(Z1:Z100, Z1:Z100 &lt;&gt; """"), LAMBDA(sheet, IFERROR(VALUE(INDIRECT(""'"" &amp; sheet &amp; ""'!r4"")), 0))))"),1.0)</f>
        <v>1</v>
      </c>
      <c r="S4" s="10">
        <f>IFERROR(__xludf.DUMMYFUNCTION("SUM(MAP(FILTER(Z1:Z100, Z1:Z100 &lt;&gt; """"), LAMBDA(sheet, IFERROR(VALUE(INDIRECT(""'"" &amp; sheet &amp; ""'!s4"")), 0))))"),1.0)</f>
        <v>1</v>
      </c>
      <c r="T4" s="10">
        <f>IFERROR(__xludf.DUMMYFUNCTION("SUM(MAP(FILTER(Z1:Z100, Z1:Z100 &lt;&gt; """"), LAMBDA(sheet, IFERROR(VALUE(INDIRECT(""'"" &amp; sheet &amp; ""'!t4"")), 0))))"),3.0)</f>
        <v>3</v>
      </c>
      <c r="U4" s="10">
        <f t="shared" si="4"/>
        <v>1.2</v>
      </c>
    </row>
    <row r="5">
      <c r="A5" s="22" t="s">
        <v>26</v>
      </c>
      <c r="B5" s="22" t="s">
        <v>42</v>
      </c>
      <c r="C5" s="40">
        <f>IFERROR(__xludf.DUMMYFUNCTION("SUM(MAP(FILTER(Z1:Z100, Z1:Z100 &lt;&gt; """"), LAMBDA(sheet, IFERROR(VALUE(INDIRECT(""'"" &amp; sheet &amp; ""'!C5"")), 0))))"),4.0)</f>
        <v>4</v>
      </c>
      <c r="D5" s="41">
        <f>IFERROR(__xludf.DUMMYFUNCTION("SUM(MAP(FILTER(Z1:Z101, Z1:Z101 &lt;&gt; """"), LAMBDA(sheet, IFERROR(VALUE(INDIRECT(""'"" &amp; sheet &amp; ""'!d5"")), 0))))"),1.0)</f>
        <v>1</v>
      </c>
      <c r="E5" s="39">
        <f>IFERROR(__xludf.DUMMYFUNCTION("SUM(MAP(FILTER(Z1:Z100, Z1:Z100 &lt;&gt; """"), LAMBDA(sheet, IFERROR(VALUE(INDIRECT(""'"" &amp; sheet &amp; ""'!e5"")), 0))))"),0.0)</f>
        <v>0</v>
      </c>
      <c r="F5" s="42">
        <f>IFERROR(__xludf.DUMMYFUNCTION("SUM(MAP(FILTER(Z1:Z100, Z1:Z100 &lt;&gt; """"), LAMBDA(sheet, IFERROR(VALUE(INDIRECT(""'"" &amp; sheet &amp; ""'!f5"")), 0))))"),20.0)</f>
        <v>20</v>
      </c>
      <c r="G5" s="35">
        <f t="shared" si="1"/>
        <v>0.25</v>
      </c>
      <c r="H5" s="10">
        <f>IFERROR(__xludf.DUMMYFUNCTION("SUM(MAP(FILTER(Z1:Z100, Z1:Z100 &lt;&gt; """"), LAMBDA(sheet, IFERROR(VALUE(INDIRECT(""'"" &amp; sheet &amp; ""'!h5"")), 0))))"),1.0)</f>
        <v>1</v>
      </c>
      <c r="I5" s="10">
        <f>IFERROR(__xludf.DUMMYFUNCTION("SUM(MAP(FILTER(Z1:Z100, Z1:Z100 &lt;&gt; """"), LAMBDA(sheet, IFERROR(VALUE(INDIRECT(""'"" &amp; sheet &amp; ""'!i5"")), 0))))"),2.0)</f>
        <v>2</v>
      </c>
      <c r="J5" s="10">
        <f>IFERROR(__xludf.DUMMYFUNCTION("SUM(MAP(FILTER(Z1:Z100, Z1:Z100 &lt;&gt; """"), LAMBDA(sheet, IFERROR(VALUE(INDIRECT(""'"" &amp; sheet &amp; ""'!j5"")), 0))))"),2.0)</f>
        <v>2</v>
      </c>
      <c r="K5" s="10">
        <f>IFERROR(__xludf.DUMMYFUNCTION("SUM(MAP(FILTER(Z1:Z100, Z1:Z100 &lt;&gt; """"), LAMBDA(sheet, IFERROR(VALUE(INDIRECT(""'"" &amp; sheet &amp; ""'!k5"")), 0))))"),3.0)</f>
        <v>3</v>
      </c>
      <c r="L5" s="10">
        <f>IFERROR(__xludf.DUMMYFUNCTION("SUM(MAP(FILTER(Z1:Z100, Z1:Z100 &lt;&gt; """"), LAMBDA(sheet, IFERROR(VALUE(INDIRECT(""'"" &amp; sheet &amp; ""'!l5"")), 0))))"),0.0)</f>
        <v>0</v>
      </c>
      <c r="M5" s="10">
        <f>IFERROR(__xludf.DUMMYFUNCTION("SUM(MAP(FILTER(Z1:Z100, Z1:Z100 &lt;&gt; """"), LAMBDA(sheet, IFERROR(VALUE(INDIRECT(""'"" &amp; sheet &amp; ""'!m5"")), 0))))"),21.0)</f>
        <v>21</v>
      </c>
      <c r="N5" s="35">
        <f t="shared" si="2"/>
        <v>1</v>
      </c>
      <c r="O5" s="35">
        <f t="shared" si="3"/>
        <v>0.1428571429</v>
      </c>
      <c r="P5" s="10">
        <f>IFERROR(__xludf.DUMMYFUNCTION("SUM(MAP(FILTER(Z1:Z100, Z1:Z100 &lt;&gt; """"), LAMBDA(sheet, IFERROR(VALUE(INDIRECT(""'"" &amp; sheet &amp; ""'!p5"")), 0))))"),0.0)</f>
        <v>0</v>
      </c>
      <c r="Q5" s="10">
        <f>IFERROR(__xludf.DUMMYFUNCTION("SUM(MAP(FILTER(Z1:Z100, Z1:Z100 &lt;&gt; """"), LAMBDA(sheet, IFERROR(VALUE(INDIRECT(""'"" &amp; sheet &amp; ""'!q5"")), 0))))"),0.0)</f>
        <v>0</v>
      </c>
      <c r="R5" s="10">
        <f>IFERROR(__xludf.DUMMYFUNCTION("SUM(MAP(FILTER(Z1:Z100, Z1:Z100 &lt;&gt; """"), LAMBDA(sheet, IFERROR(VALUE(INDIRECT(""'"" &amp; sheet &amp; ""'!r5"")), 0))))"),0.0)</f>
        <v>0</v>
      </c>
      <c r="S5" s="10">
        <f>IFERROR(__xludf.DUMMYFUNCTION("SUM(MAP(FILTER(Z1:Z100, Z1:Z100 &lt;&gt; """"), LAMBDA(sheet, IFERROR(VALUE(INDIRECT(""'"" &amp; sheet &amp; ""'!s5"")), 0))))"),0.0)</f>
        <v>0</v>
      </c>
      <c r="T5" s="10">
        <f>IFERROR(__xludf.DUMMYFUNCTION("SUM(MAP(FILTER(Z1:Z100, Z1:Z100 &lt;&gt; """"), LAMBDA(sheet, IFERROR(VALUE(INDIRECT(""'"" &amp; sheet &amp; ""'!t5"")), 0))))"),0.0)</f>
        <v>0</v>
      </c>
      <c r="U5" s="10" t="str">
        <f t="shared" si="4"/>
        <v>N/A</v>
      </c>
    </row>
    <row r="6">
      <c r="A6" s="23" t="s">
        <v>28</v>
      </c>
      <c r="B6" s="23" t="s">
        <v>43</v>
      </c>
      <c r="C6" s="43">
        <f>IFERROR(__xludf.DUMMYFUNCTION("SUM(MAP(FILTER(Z1:Z100, Z1:Z100 &lt;&gt; """"), LAMBDA(sheet, IFERROR(VALUE(INDIRECT(""'"" &amp; sheet &amp; ""'!C6"")), 0))))"),11.0)</f>
        <v>11</v>
      </c>
      <c r="D6" s="42">
        <f>IFERROR(__xludf.DUMMYFUNCTION("SUM(MAP(FILTER(Z1:Z102, Z1:Z102 &lt;&gt; """"), LAMBDA(sheet, IFERROR(VALUE(INDIRECT(""'"" &amp; sheet &amp; ""'!d6"")), 0))))"),5.0)</f>
        <v>5</v>
      </c>
      <c r="E6" s="44">
        <f>IFERROR(__xludf.DUMMYFUNCTION("SUM(MAP(FILTER(Z1:Z100, Z1:Z100 &lt;&gt; """"), LAMBDA(sheet, IFERROR(VALUE(INDIRECT(""'"" &amp; sheet &amp; ""'!e6"")), 0))))"),0.0)</f>
        <v>0</v>
      </c>
      <c r="F6" s="45">
        <f>IFERROR(__xludf.DUMMYFUNCTION("SUM(MAP(FILTER(Z1:Z100, Z1:Z100 &lt;&gt; """"), LAMBDA(sheet, IFERROR(VALUE(INDIRECT(""'"" &amp; sheet &amp; ""'!f6"")), 0))))"),1.0)</f>
        <v>1</v>
      </c>
      <c r="G6" s="35">
        <f t="shared" si="1"/>
        <v>0.4545454545</v>
      </c>
      <c r="H6" s="10">
        <f>IFERROR(__xludf.DUMMYFUNCTION("SUM(MAP(FILTER(Z1:Z100, Z1:Z100 &lt;&gt; """"), LAMBDA(sheet, IFERROR(VALUE(INDIRECT(""'"" &amp; sheet &amp; ""'!h6"")), 0))))"),0.0)</f>
        <v>0</v>
      </c>
      <c r="I6" s="10">
        <f>IFERROR(__xludf.DUMMYFUNCTION("SUM(MAP(FILTER(Z1:Z100, Z1:Z100 &lt;&gt; """"), LAMBDA(sheet, IFERROR(VALUE(INDIRECT(""'"" &amp; sheet &amp; ""'!i6"")), 0))))"),1.0)</f>
        <v>1</v>
      </c>
      <c r="J6" s="10">
        <f>IFERROR(__xludf.DUMMYFUNCTION("SUM(MAP(FILTER(Z1:Z100, Z1:Z100 &lt;&gt; """"), LAMBDA(sheet, IFERROR(VALUE(INDIRECT(""'"" &amp; sheet &amp; ""'!j6"")), 0))))"),3.0)</f>
        <v>3</v>
      </c>
      <c r="K6" s="10">
        <f>IFERROR(__xludf.DUMMYFUNCTION("SUM(MAP(FILTER(Z1:Z100, Z1:Z100 &lt;&gt; """"), LAMBDA(sheet, IFERROR(VALUE(INDIRECT(""'"" &amp; sheet &amp; ""'!k6"")), 0))))"),0.0)</f>
        <v>0</v>
      </c>
      <c r="L6" s="10">
        <f>IFERROR(__xludf.DUMMYFUNCTION("SUM(MAP(FILTER(Z1:Z100, Z1:Z100 &lt;&gt; """"), LAMBDA(sheet, IFERROR(VALUE(INDIRECT(""'"" &amp; sheet &amp; ""'!l6"")), 0))))"),0.0)</f>
        <v>0</v>
      </c>
      <c r="M6" s="10">
        <f>IFERROR(__xludf.DUMMYFUNCTION("SUM(MAP(FILTER(Z1:Z100, Z1:Z100 &lt;&gt; """"), LAMBDA(sheet, IFERROR(VALUE(INDIRECT(""'"" &amp; sheet &amp; ""'!m6"")), 0))))"),4.0)</f>
        <v>4</v>
      </c>
      <c r="N6" s="35">
        <f t="shared" si="2"/>
        <v>1</v>
      </c>
      <c r="O6" s="35">
        <f t="shared" si="3"/>
        <v>0</v>
      </c>
      <c r="P6" s="10">
        <f>IFERROR(__xludf.DUMMYFUNCTION("SUM(MAP(FILTER(Z1:Z100, Z1:Z100 &lt;&gt; """"), LAMBDA(sheet, IFERROR(VALUE(INDIRECT(""'"" &amp; sheet &amp; ""'!p6"")), 0))))"),12.0)</f>
        <v>12</v>
      </c>
      <c r="Q6" s="10">
        <f>IFERROR(__xludf.DUMMYFUNCTION("SUM(MAP(FILTER(Z1:Z100, Z1:Z100 &lt;&gt; """"), LAMBDA(sheet, IFERROR(VALUE(INDIRECT(""'"" &amp; sheet &amp; ""'!q6"")), 0))))"),3.0)</f>
        <v>3</v>
      </c>
      <c r="R6" s="10">
        <f>IFERROR(__xludf.DUMMYFUNCTION("SUM(MAP(FILTER(Z1:Z100, Z1:Z100 &lt;&gt; """"), LAMBDA(sheet, IFERROR(VALUE(INDIRECT(""'"" &amp; sheet &amp; ""'!r6"")), 0))))"),2.0)</f>
        <v>2</v>
      </c>
      <c r="S6" s="10">
        <f>IFERROR(__xludf.DUMMYFUNCTION("SUM(MAP(FILTER(Z1:Z100, Z1:Z100 &lt;&gt; """"), LAMBDA(sheet, IFERROR(VALUE(INDIRECT(""'"" &amp; sheet &amp; ""'!s6"")), 0))))"),4.0)</f>
        <v>4</v>
      </c>
      <c r="T6" s="10">
        <f>IFERROR(__xludf.DUMMYFUNCTION("SUM(MAP(FILTER(Z1:Z100, Z1:Z100 &lt;&gt; """"), LAMBDA(sheet, IFERROR(VALUE(INDIRECT(""'"" &amp; sheet &amp; ""'!t6"")), 0))))"),3.0)</f>
        <v>3</v>
      </c>
      <c r="U6" s="10">
        <f t="shared" si="4"/>
        <v>1.583333333</v>
      </c>
    </row>
    <row r="7">
      <c r="A7" s="24" t="s">
        <v>30</v>
      </c>
      <c r="B7" s="24" t="s">
        <v>52</v>
      </c>
      <c r="C7" s="46">
        <f>IFERROR(__xludf.DUMMYFUNCTION("SUM(MAP(FILTER(Z1:Z100, Z1:Z100 &lt;&gt; """"), LAMBDA(sheet, IFERROR(VALUE(INDIRECT(""'"" &amp; sheet &amp; ""'!C7"")), 0))))"),13.0)</f>
        <v>13</v>
      </c>
      <c r="D7" s="47">
        <f>IFERROR(__xludf.DUMMYFUNCTION("SUM(MAP(FILTER(Z1:Z104, Z1:Z104 &lt;&gt; """"), LAMBDA(sheet, IFERROR(VALUE(INDIRECT(""'"" &amp; sheet &amp; ""'!d7"")), 0))))"),4.0)</f>
        <v>4</v>
      </c>
      <c r="E7" s="44">
        <f>IFERROR(__xludf.DUMMYFUNCTION("SUM(MAP(FILTER(Z1:Z100, Z1:Z100 &lt;&gt; """"), LAMBDA(sheet, IFERROR(VALUE(INDIRECT(""'"" &amp; sheet &amp; ""'!e7"")), 0))))"),3.0)</f>
        <v>3</v>
      </c>
      <c r="F7" s="39">
        <f>IFERROR(__xludf.DUMMYFUNCTION("SUM(MAP(FILTER(Z1:Z100, Z1:Z100 &lt;&gt; """"), LAMBDA(sheet, IFERROR(VALUE(INDIRECT(""'"" &amp; sheet &amp; ""'!f7""), 0)))))"),0.0)</f>
        <v>0</v>
      </c>
      <c r="G7" s="35">
        <f t="shared" si="1"/>
        <v>0.07692307692</v>
      </c>
      <c r="H7" s="10">
        <f>IFERROR(__xludf.DUMMYFUNCTION("SUM(MAP(FILTER(Z1:Z100, Z1:Z100 &lt;&gt; """"), LAMBDA(sheet, IFERROR(VALUE(INDIRECT(""'"" &amp; sheet &amp; ""'!h7"")), 0))))"),0.0)</f>
        <v>0</v>
      </c>
      <c r="I7" s="10">
        <f>IFERROR(__xludf.DUMMYFUNCTION("SUM(MAP(FILTER(Z1:Z100, Z1:Z100 &lt;&gt; """"), LAMBDA(sheet, IFERROR(VALUE(INDIRECT(""'"" &amp; sheet &amp; ""'!i7"")), 0))))"),0.0)</f>
        <v>0</v>
      </c>
      <c r="J7" s="10">
        <f>IFERROR(__xludf.DUMMYFUNCTION("SUM(MAP(FILTER(Z1:Z100, Z1:Z100 &lt;&gt; """"), LAMBDA(sheet, IFERROR(VALUE(INDIRECT(""'"" &amp; sheet &amp; ""'!j7"")), 0))))"),2.0)</f>
        <v>2</v>
      </c>
      <c r="K7" s="10">
        <f>IFERROR(__xludf.DUMMYFUNCTION("SUM(MAP(FILTER(Z1:Z100, Z1:Z100 &lt;&gt; """"), LAMBDA(sheet, IFERROR(VALUE(INDIRECT(""'"" &amp; sheet &amp; ""'!k7"")), 0))))"),0.0)</f>
        <v>0</v>
      </c>
      <c r="L7" s="10">
        <f>IFERROR(__xludf.DUMMYFUNCTION("SUM(MAP(FILTER(Z1:Z100, Z1:Z100 &lt;&gt; """"), LAMBDA(sheet, IFERROR(VALUE(INDIRECT(""'"" &amp; sheet &amp; ""'!l7"")), 0))))"),1.0)</f>
        <v>1</v>
      </c>
      <c r="M7" s="10">
        <f>IFERROR(__xludf.DUMMYFUNCTION("SUM(MAP(FILTER(Z1:Z100, Z1:Z100 &lt;&gt; """"), LAMBDA(sheet, IFERROR(VALUE(INDIRECT(""'"" &amp; sheet &amp; ""'!m7"")), 0))))"),6.0)</f>
        <v>6</v>
      </c>
      <c r="N7" s="35">
        <f t="shared" si="2"/>
        <v>0.8333333333</v>
      </c>
      <c r="O7" s="35">
        <f t="shared" si="3"/>
        <v>0</v>
      </c>
      <c r="P7" s="10">
        <f>IFERROR(__xludf.DUMMYFUNCTION("SUM(MAP(FILTER(Z1:Z100, Z1:Z100 &lt;&gt; """"), LAMBDA(sheet, IFERROR(VALUE(INDIRECT(""'"" &amp; sheet &amp; ""'!p7"")), 0))))"),9.0)</f>
        <v>9</v>
      </c>
      <c r="Q7" s="10">
        <f>IFERROR(__xludf.DUMMYFUNCTION("SUM(MAP(FILTER(Z1:Z100, Z1:Z100 &lt;&gt; """"), LAMBDA(sheet, IFERROR(VALUE(INDIRECT(""'"" &amp; sheet &amp; ""'!q7"")), 0))))"),4.0)</f>
        <v>4</v>
      </c>
      <c r="R7" s="10">
        <f>IFERROR(__xludf.DUMMYFUNCTION("SUM(MAP(FILTER(Z1:Z100, Z1:Z100 &lt;&gt; """"), LAMBDA(sheet, IFERROR(VALUE(INDIRECT(""'"" &amp; sheet &amp; ""'!r7"")), 0))))"),2.0)</f>
        <v>2</v>
      </c>
      <c r="S7" s="10">
        <f>IFERROR(__xludf.DUMMYFUNCTION("SUM(MAP(FILTER(Z1:Z100, Z1:Z100 &lt;&gt; """"), LAMBDA(sheet, IFERROR(VALUE(INDIRECT(""'"" &amp; sheet &amp; ""'!s7"")), 0))))"),2.0)</f>
        <v>2</v>
      </c>
      <c r="T7" s="10">
        <f>IFERROR(__xludf.DUMMYFUNCTION("SUM(MAP(FILTER(Z1:Z100, Z1:Z100 &lt;&gt; """"), LAMBDA(sheet, IFERROR(VALUE(INDIRECT(""'"" &amp; sheet &amp; ""'!t7"")), 0))))"),1.0)</f>
        <v>1</v>
      </c>
      <c r="U7" s="10">
        <f t="shared" si="4"/>
        <v>1</v>
      </c>
    </row>
    <row r="8">
      <c r="A8" s="25" t="s">
        <v>32</v>
      </c>
      <c r="B8" s="25" t="s">
        <v>45</v>
      </c>
      <c r="C8" s="48">
        <f>IFERROR(__xludf.DUMMYFUNCTION("SUM(MAP(FILTER(Z1:Z100, Z1:Z100 &lt;&gt; """"), LAMBDA(sheet, IFERROR(VALUE(INDIRECT(""'"" &amp; sheet &amp; ""'!C8"")), 0))))"),16.0)</f>
        <v>16</v>
      </c>
      <c r="D8" s="47">
        <f>IFERROR(__xludf.DUMMYFUNCTION("SUM(MAP(FILTER(Z1:Z104, Z1:Z104 &lt;&gt; """"), LAMBDA(sheet, IFERROR(VALUE(INDIRECT(""'"" &amp; sheet &amp; ""'!d8"")), 0))))"),4.0)</f>
        <v>4</v>
      </c>
      <c r="E8" s="49">
        <f>IFERROR(__xludf.DUMMYFUNCTION("SUM(MAP(FILTER(Z1:Z100, Z1:Z100 &lt;&gt; """"), LAMBDA(sheet, IFERROR(VALUE(INDIRECT(""'"" &amp; sheet &amp; ""'!e8"")), 0))))"),4.0)</f>
        <v>4</v>
      </c>
      <c r="F8" s="39">
        <f>IFERROR(__xludf.DUMMYFUNCTION("SUM(MAP(FILTER(Z1:Z100, Z1:Z100 &lt;&gt; """"), LAMBDA(sheet, IFERROR(VALUE(INDIRECT(""'"" &amp; sheet &amp; ""'!f8"")), 0))))"),0.0)</f>
        <v>0</v>
      </c>
      <c r="G8" s="35">
        <f t="shared" si="1"/>
        <v>0</v>
      </c>
      <c r="H8" s="10">
        <f>IFERROR(__xludf.DUMMYFUNCTION("SUM(MAP(FILTER(Z1:Z100, Z1:Z100 &lt;&gt; """"), LAMBDA(sheet, IFERROR(VALUE(INDIRECT(""'"" &amp; sheet &amp; ""'!h8"")), 0))))"),0.0)</f>
        <v>0</v>
      </c>
      <c r="I8" s="10">
        <f>IFERROR(__xludf.DUMMYFUNCTION("SUM(MAP(FILTER(Z1:Z100, Z1:Z100 &lt;&gt; """"), LAMBDA(sheet, IFERROR(VALUE(INDIRECT(""'"" &amp; sheet &amp; ""'!i8"")), 0))))"),0.0)</f>
        <v>0</v>
      </c>
      <c r="J8" s="10">
        <f>IFERROR(__xludf.DUMMYFUNCTION("SUM(MAP(FILTER(Z1:Z100, Z1:Z100 &lt;&gt; """"), LAMBDA(sheet, IFERROR(VALUE(INDIRECT(""'"" &amp; sheet &amp; ""'!j8"")), 0))))"),3.0)</f>
        <v>3</v>
      </c>
      <c r="K8" s="10">
        <f>IFERROR(__xludf.DUMMYFUNCTION("SUM(MAP(FILTER(Z1:Z100, Z1:Z100 &lt;&gt; """"), LAMBDA(sheet, IFERROR(VALUE(INDIRECT(""'"" &amp; sheet &amp; ""'!k8"")), 0))))"),1.0)</f>
        <v>1</v>
      </c>
      <c r="L8" s="10">
        <f>IFERROR(__xludf.DUMMYFUNCTION("SUM(MAP(FILTER(Z1:Z100, Z1:Z100 &lt;&gt; """"), LAMBDA(sheet, IFERROR(VALUE(INDIRECT(""'"" &amp; sheet &amp; ""'!l8"")), 0))))"),3.0)</f>
        <v>3</v>
      </c>
      <c r="M8" s="10">
        <f>IFERROR(__xludf.DUMMYFUNCTION("SUM(MAP(FILTER(Z1:Z100, Z1:Z100 &lt;&gt; """"), LAMBDA(sheet, IFERROR(VALUE(INDIRECT(""'"" &amp; sheet &amp; ""'!m8"")), 0))))"),9.0)</f>
        <v>9</v>
      </c>
      <c r="N8" s="35">
        <f t="shared" si="2"/>
        <v>0.6666666667</v>
      </c>
      <c r="O8" s="35">
        <f t="shared" si="3"/>
        <v>0.1111111111</v>
      </c>
      <c r="P8" s="10">
        <f>IFERROR(__xludf.DUMMYFUNCTION("SUM(MAP(FILTER(Z1:Z100, Z1:Z100 &lt;&gt; """"), LAMBDA(sheet, IFERROR(VALUE(INDIRECT(""'"" &amp; sheet &amp; ""'!p8"")), 0))))"),5.0)</f>
        <v>5</v>
      </c>
      <c r="Q8" s="10">
        <f>IFERROR(__xludf.DUMMYFUNCTION("SUM(MAP(FILTER(Z1:Z100, Z1:Z100 &lt;&gt; """"), LAMBDA(sheet, IFERROR(VALUE(INDIRECT(""'"" &amp; sheet &amp; ""'!q8"")), 0))))"),1.0)</f>
        <v>1</v>
      </c>
      <c r="R8" s="10">
        <f>IFERROR(__xludf.DUMMYFUNCTION("SUM(MAP(FILTER(Z1:Z100, Z1:Z100 &lt;&gt; """"), LAMBDA(sheet, IFERROR(VALUE(INDIRECT(""'"" &amp; sheet &amp; ""'!r8"")), 0))))"),2.0)</f>
        <v>2</v>
      </c>
      <c r="S8" s="10">
        <f>IFERROR(__xludf.DUMMYFUNCTION("SUM(MAP(FILTER(Z1:Z100, Z1:Z100 &lt;&gt; """"), LAMBDA(sheet, IFERROR(VALUE(INDIRECT(""'"" &amp; sheet &amp; ""'!s8"")), 0))))"),1.0)</f>
        <v>1</v>
      </c>
      <c r="T8" s="10">
        <f>IFERROR(__xludf.DUMMYFUNCTION("SUM(MAP(FILTER(Z1:Z100, Z1:Z100 &lt;&gt; """"), LAMBDA(sheet, IFERROR(VALUE(INDIRECT(""'"" &amp; sheet &amp; ""'!t8"")), 0))))"),1.0)</f>
        <v>1</v>
      </c>
      <c r="U8" s="10">
        <f t="shared" si="4"/>
        <v>1.4</v>
      </c>
    </row>
    <row r="9">
      <c r="A9" s="26" t="s">
        <v>34</v>
      </c>
      <c r="B9" s="26" t="s">
        <v>41</v>
      </c>
      <c r="C9" s="50">
        <f>IFERROR(__xludf.DUMMYFUNCTION("SUM(MAP(FILTER(Z1:Z100, Z1:Z100 &lt;&gt; """"), LAMBDA(sheet, IFERROR(VALUE(INDIRECT(""'"" &amp; sheet &amp; ""'!C9"")), 0))))"),10.0)</f>
        <v>10</v>
      </c>
      <c r="D9" s="51">
        <f>IFERROR(__xludf.DUMMYFUNCTION("SUM(MAP(FILTER(Z1:Z104, Z1:Z104 &lt;&gt; """"), LAMBDA(sheet, IFERROR(VALUE(INDIRECT(""'"" &amp; sheet &amp; ""'!d9"")), 0))))"),1.0)</f>
        <v>1</v>
      </c>
      <c r="E9" s="38">
        <f>IFERROR(__xludf.DUMMYFUNCTION("SUM(MAP(FILTER(Z1:Z100, Z1:Z100 &lt;&gt; """"), LAMBDA(sheet, IFERROR(VALUE(INDIRECT(""'"" &amp; sheet &amp; ""'!e9"")), 0))))"),2.0)</f>
        <v>2</v>
      </c>
      <c r="F9" s="45">
        <f>IFERROR(__xludf.DUMMYFUNCTION("SUM(MAP(FILTER(Z1:Z100, Z1:Z100 &lt;&gt; """"), LAMBDA(sheet, IFERROR(VALUE(INDIRECT(""'"" &amp; sheet &amp; ""'!f9"")), 0))))"),1.0)</f>
        <v>1</v>
      </c>
      <c r="G9" s="35">
        <f t="shared" si="1"/>
        <v>-0.1</v>
      </c>
      <c r="H9" s="10">
        <f>IFERROR(__xludf.DUMMYFUNCTION("SUM(MAP(FILTER(Z1:Z100, Z1:Z100 &lt;&gt; """"), LAMBDA(sheet, IFERROR(VALUE(INDIRECT(""'"" &amp; sheet &amp; ""'!h9"")), 0))))"),0.0)</f>
        <v>0</v>
      </c>
      <c r="I9" s="10">
        <f>IFERROR(__xludf.DUMMYFUNCTION("SUM(MAP(FILTER(Z1:Z100, Z1:Z100 &lt;&gt; """"), LAMBDA(sheet, IFERROR(VALUE(INDIRECT(""'"" &amp; sheet &amp; ""'!i9"")), 0))))"),0.0)</f>
        <v>0</v>
      </c>
      <c r="J9" s="10">
        <f>IFERROR(__xludf.DUMMYFUNCTION("SUM(MAP(FILTER(Z1:Z100, Z1:Z100 &lt;&gt; """"), LAMBDA(sheet, IFERROR(VALUE(INDIRECT(""'"" &amp; sheet &amp; ""'!j9"")), 0))))"),7.0)</f>
        <v>7</v>
      </c>
      <c r="K9" s="10">
        <f>IFERROR(__xludf.DUMMYFUNCTION("SUM(MAP(FILTER(Z1:Z100, Z1:Z100 &lt;&gt; """"), LAMBDA(sheet, IFERROR(VALUE(INDIRECT(""'"" &amp; sheet &amp; ""'!k9"")), 0))))"),0.0)</f>
        <v>0</v>
      </c>
      <c r="L9" s="10">
        <f>IFERROR(__xludf.DUMMYFUNCTION("SUM(MAP(FILTER(Z1:Z100, Z1:Z100 &lt;&gt; """"), LAMBDA(sheet, IFERROR(VALUE(INDIRECT(""'"" &amp; sheet &amp; ""'!l9"")), 0))))"),1.0)</f>
        <v>1</v>
      </c>
      <c r="M9" s="10">
        <f>IFERROR(__xludf.DUMMYFUNCTION("SUM(MAP(FILTER(Z1:Z100, Z1:Z100 &lt;&gt; """"), LAMBDA(sheet, IFERROR(VALUE(INDIRECT(""'"" &amp; sheet &amp; ""'!m9"")), 0))))"),4.0)</f>
        <v>4</v>
      </c>
      <c r="N9" s="35">
        <f t="shared" si="2"/>
        <v>0.75</v>
      </c>
      <c r="O9" s="35">
        <f t="shared" si="3"/>
        <v>0</v>
      </c>
      <c r="P9" s="10">
        <f>IFERROR(__xludf.DUMMYFUNCTION("SUM(MAP(FILTER(Z1:Z100, Z1:Z100 &lt;&gt; """"), LAMBDA(sheet, IFERROR(VALUE(INDIRECT(""'"" &amp; sheet &amp; ""'!p9"")), 0))))"),8.0)</f>
        <v>8</v>
      </c>
      <c r="Q9" s="10">
        <f>IFERROR(__xludf.DUMMYFUNCTION("SUM(MAP(FILTER(Z1:Z100, Z1:Z100 &lt;&gt; """"), LAMBDA(sheet, IFERROR(VALUE(INDIRECT(""'"" &amp; sheet &amp; ""'!q9"")), 0))))"),5.0)</f>
        <v>5</v>
      </c>
      <c r="R9" s="10">
        <f>IFERROR(__xludf.DUMMYFUNCTION("SUM(MAP(FILTER(Z1:Z100, Z1:Z100 &lt;&gt; """"), LAMBDA(sheet, IFERROR(VALUE(INDIRECT(""'"" &amp; sheet &amp; ""'!r9"")), 0))))"),1.0)</f>
        <v>1</v>
      </c>
      <c r="S9" s="10">
        <f>IFERROR(__xludf.DUMMYFUNCTION("SUM(MAP(FILTER(Z1:Z100, Z1:Z100 &lt;&gt; """"), LAMBDA(sheet, IFERROR(VALUE(INDIRECT(""'"" &amp; sheet &amp; ""'!s9"")), 0))))"),2.0)</f>
        <v>2</v>
      </c>
      <c r="T9" s="10">
        <f>IFERROR(__xludf.DUMMYFUNCTION("SUM(MAP(FILTER(Z1:Z100, Z1:Z100 &lt;&gt; """"), LAMBDA(sheet, IFERROR(VALUE(INDIRECT(""'"" &amp; sheet &amp; ""'!t9"")), 0))))"),0.0)</f>
        <v>0</v>
      </c>
      <c r="U9" s="10">
        <f t="shared" si="4"/>
        <v>0.625</v>
      </c>
    </row>
    <row r="10">
      <c r="C10" s="27"/>
      <c r="D10" s="27"/>
      <c r="E10" s="27"/>
      <c r="M10" s="52"/>
      <c r="N10" s="52"/>
      <c r="O10" s="52"/>
    </row>
    <row r="11">
      <c r="M11" s="52"/>
      <c r="N11" s="52"/>
      <c r="O11" s="52"/>
    </row>
    <row r="12">
      <c r="M12" s="52"/>
      <c r="N12" s="52"/>
      <c r="O12" s="52"/>
    </row>
    <row r="13">
      <c r="M13" s="52"/>
      <c r="N13" s="52"/>
      <c r="O13" s="52"/>
    </row>
    <row r="14">
      <c r="M14" s="52"/>
      <c r="N14" s="52"/>
      <c r="O14" s="52"/>
    </row>
    <row r="15">
      <c r="M15" s="52"/>
      <c r="N15" s="52"/>
      <c r="O15" s="52"/>
    </row>
    <row r="16">
      <c r="M16" s="52"/>
      <c r="N16" s="52"/>
      <c r="O16" s="52"/>
    </row>
    <row r="17">
      <c r="M17" s="52"/>
      <c r="N17" s="52"/>
      <c r="O17" s="52"/>
    </row>
    <row r="18">
      <c r="M18" s="52"/>
      <c r="N18" s="52"/>
      <c r="O18" s="52"/>
    </row>
    <row r="19">
      <c r="M19" s="52"/>
      <c r="N19" s="52"/>
      <c r="O19" s="52"/>
    </row>
    <row r="20">
      <c r="M20" s="52"/>
      <c r="N20" s="52"/>
      <c r="O20" s="52"/>
    </row>
    <row r="21">
      <c r="M21" s="52"/>
      <c r="N21" s="52"/>
      <c r="O21" s="52"/>
    </row>
    <row r="22">
      <c r="M22" s="52"/>
      <c r="N22" s="52"/>
      <c r="O22" s="52"/>
    </row>
    <row r="23">
      <c r="M23" s="52"/>
      <c r="N23" s="52"/>
      <c r="O23" s="52"/>
    </row>
    <row r="24">
      <c r="M24" s="52"/>
      <c r="N24" s="52"/>
      <c r="O24" s="52"/>
    </row>
    <row r="25">
      <c r="M25" s="52"/>
      <c r="N25" s="52"/>
      <c r="O25" s="52"/>
    </row>
    <row r="26">
      <c r="M26" s="52"/>
      <c r="N26" s="52"/>
      <c r="O26" s="52"/>
    </row>
    <row r="27">
      <c r="M27" s="52"/>
      <c r="N27" s="52"/>
      <c r="O27" s="52"/>
    </row>
    <row r="28">
      <c r="M28" s="52"/>
      <c r="N28" s="52"/>
      <c r="O28" s="52"/>
    </row>
    <row r="29">
      <c r="M29" s="52"/>
      <c r="N29" s="52"/>
      <c r="O29" s="52"/>
    </row>
    <row r="30">
      <c r="M30" s="52"/>
      <c r="N30" s="52"/>
      <c r="O30" s="52"/>
    </row>
    <row r="31">
      <c r="M31" s="52"/>
      <c r="N31" s="52"/>
      <c r="O31" s="52"/>
    </row>
    <row r="32">
      <c r="M32" s="52"/>
      <c r="N32" s="52"/>
      <c r="O32" s="52"/>
    </row>
    <row r="33">
      <c r="M33" s="52"/>
      <c r="N33" s="52"/>
      <c r="O33" s="52"/>
    </row>
    <row r="34">
      <c r="M34" s="52"/>
      <c r="N34" s="52"/>
      <c r="O34" s="52"/>
    </row>
    <row r="35">
      <c r="M35" s="52"/>
      <c r="N35" s="52"/>
      <c r="O35" s="52"/>
    </row>
    <row r="36">
      <c r="M36" s="52"/>
      <c r="N36" s="52"/>
      <c r="O36" s="52"/>
    </row>
    <row r="37">
      <c r="M37" s="52"/>
      <c r="N37" s="52"/>
      <c r="O37" s="52"/>
    </row>
    <row r="38">
      <c r="M38" s="52"/>
      <c r="N38" s="52"/>
      <c r="O38" s="52"/>
    </row>
    <row r="39">
      <c r="M39" s="52"/>
      <c r="N39" s="52"/>
      <c r="O39" s="52"/>
    </row>
    <row r="40">
      <c r="M40" s="52"/>
      <c r="N40" s="52"/>
      <c r="O40" s="52"/>
    </row>
    <row r="41">
      <c r="M41" s="52"/>
      <c r="N41" s="52"/>
      <c r="O41" s="52"/>
    </row>
    <row r="42">
      <c r="M42" s="52"/>
      <c r="N42" s="52"/>
      <c r="O42" s="52"/>
    </row>
    <row r="43">
      <c r="M43" s="52"/>
      <c r="N43" s="52"/>
      <c r="O43" s="52"/>
    </row>
    <row r="44">
      <c r="M44" s="52"/>
      <c r="N44" s="52"/>
      <c r="O44" s="52"/>
    </row>
    <row r="45">
      <c r="M45" s="52"/>
      <c r="N45" s="52"/>
      <c r="O45" s="52"/>
    </row>
    <row r="46">
      <c r="M46" s="52"/>
      <c r="N46" s="52"/>
      <c r="O46" s="52"/>
    </row>
    <row r="47">
      <c r="M47" s="52"/>
      <c r="N47" s="52"/>
      <c r="O47" s="52"/>
    </row>
    <row r="48">
      <c r="M48" s="52"/>
      <c r="N48" s="52"/>
      <c r="O48" s="52"/>
    </row>
    <row r="49">
      <c r="M49" s="52"/>
      <c r="N49" s="52"/>
      <c r="O49" s="52"/>
    </row>
    <row r="50">
      <c r="M50" s="52"/>
      <c r="N50" s="52"/>
      <c r="O50" s="52"/>
    </row>
    <row r="51">
      <c r="M51" s="52"/>
      <c r="N51" s="52"/>
      <c r="O51" s="52"/>
    </row>
    <row r="52">
      <c r="M52" s="52"/>
      <c r="N52" s="52"/>
      <c r="O52" s="52"/>
    </row>
    <row r="53">
      <c r="M53" s="52"/>
      <c r="N53" s="52"/>
      <c r="O53" s="52"/>
    </row>
    <row r="54">
      <c r="M54" s="52"/>
      <c r="N54" s="52"/>
      <c r="O54" s="52"/>
    </row>
    <row r="55">
      <c r="M55" s="52"/>
      <c r="N55" s="52"/>
      <c r="O55" s="52"/>
    </row>
    <row r="56">
      <c r="M56" s="52"/>
      <c r="N56" s="52"/>
      <c r="O56" s="52"/>
    </row>
    <row r="57">
      <c r="M57" s="52"/>
      <c r="N57" s="52"/>
      <c r="O57" s="52"/>
    </row>
    <row r="58">
      <c r="M58" s="52"/>
      <c r="N58" s="52"/>
      <c r="O58" s="52"/>
    </row>
    <row r="59">
      <c r="M59" s="52"/>
      <c r="N59" s="52"/>
      <c r="O59" s="52"/>
    </row>
    <row r="60">
      <c r="M60" s="52"/>
      <c r="N60" s="52"/>
      <c r="O60" s="52"/>
    </row>
    <row r="61">
      <c r="M61" s="52"/>
      <c r="N61" s="52"/>
      <c r="O61" s="52"/>
    </row>
    <row r="62">
      <c r="M62" s="52"/>
      <c r="N62" s="52"/>
      <c r="O62" s="52"/>
    </row>
    <row r="63">
      <c r="M63" s="52"/>
      <c r="N63" s="52"/>
      <c r="O63" s="52"/>
    </row>
    <row r="64">
      <c r="M64" s="52"/>
      <c r="N64" s="52"/>
      <c r="O64" s="52"/>
    </row>
    <row r="65">
      <c r="M65" s="52"/>
      <c r="N65" s="52"/>
      <c r="O65" s="52"/>
    </row>
    <row r="66">
      <c r="M66" s="52"/>
      <c r="N66" s="52"/>
      <c r="O66" s="52"/>
    </row>
    <row r="67">
      <c r="M67" s="52"/>
      <c r="N67" s="52"/>
      <c r="O67" s="52"/>
    </row>
    <row r="68">
      <c r="M68" s="52"/>
      <c r="N68" s="52"/>
      <c r="O68" s="52"/>
    </row>
    <row r="69">
      <c r="M69" s="52"/>
      <c r="N69" s="52"/>
      <c r="O69" s="52"/>
    </row>
    <row r="70">
      <c r="M70" s="52"/>
      <c r="N70" s="52"/>
      <c r="O70" s="52"/>
    </row>
    <row r="71">
      <c r="M71" s="52"/>
      <c r="N71" s="52"/>
      <c r="O71" s="52"/>
    </row>
    <row r="72">
      <c r="M72" s="52"/>
      <c r="N72" s="52"/>
      <c r="O72" s="52"/>
    </row>
    <row r="73">
      <c r="M73" s="52"/>
      <c r="N73" s="52"/>
      <c r="O73" s="52"/>
    </row>
    <row r="74">
      <c r="M74" s="52"/>
      <c r="N74" s="52"/>
      <c r="O74" s="52"/>
    </row>
    <row r="75">
      <c r="M75" s="52"/>
      <c r="N75" s="52"/>
      <c r="O75" s="52"/>
    </row>
    <row r="76">
      <c r="M76" s="52"/>
      <c r="N76" s="52"/>
      <c r="O76" s="52"/>
    </row>
    <row r="77">
      <c r="M77" s="52"/>
      <c r="N77" s="52"/>
      <c r="O77" s="52"/>
    </row>
    <row r="78">
      <c r="M78" s="52"/>
      <c r="N78" s="52"/>
      <c r="O78" s="52"/>
    </row>
    <row r="79">
      <c r="M79" s="52"/>
      <c r="N79" s="52"/>
      <c r="O79" s="52"/>
    </row>
    <row r="80">
      <c r="M80" s="52"/>
      <c r="N80" s="52"/>
      <c r="O80" s="52"/>
    </row>
    <row r="81">
      <c r="M81" s="52"/>
      <c r="N81" s="52"/>
      <c r="O81" s="52"/>
    </row>
    <row r="82">
      <c r="M82" s="52"/>
      <c r="N82" s="52"/>
      <c r="O82" s="52"/>
    </row>
    <row r="83">
      <c r="M83" s="52"/>
      <c r="N83" s="52"/>
      <c r="O83" s="52"/>
    </row>
    <row r="84">
      <c r="M84" s="52"/>
      <c r="N84" s="52"/>
      <c r="O84" s="52"/>
    </row>
    <row r="85">
      <c r="M85" s="52"/>
      <c r="N85" s="52"/>
      <c r="O85" s="52"/>
    </row>
    <row r="86">
      <c r="M86" s="52"/>
      <c r="N86" s="52"/>
      <c r="O86" s="52"/>
    </row>
    <row r="87">
      <c r="M87" s="52"/>
      <c r="N87" s="52"/>
      <c r="O87" s="52"/>
    </row>
    <row r="88">
      <c r="M88" s="52"/>
      <c r="N88" s="52"/>
      <c r="O88" s="52"/>
    </row>
    <row r="89">
      <c r="M89" s="52"/>
      <c r="N89" s="52"/>
      <c r="O89" s="52"/>
    </row>
    <row r="90">
      <c r="M90" s="52"/>
      <c r="N90" s="52"/>
      <c r="O90" s="52"/>
    </row>
    <row r="91">
      <c r="M91" s="52"/>
      <c r="N91" s="52"/>
      <c r="O91" s="52"/>
    </row>
    <row r="92">
      <c r="M92" s="52"/>
      <c r="N92" s="52"/>
      <c r="O92" s="52"/>
    </row>
    <row r="93">
      <c r="M93" s="52"/>
      <c r="N93" s="52"/>
      <c r="O93" s="52"/>
    </row>
    <row r="94">
      <c r="M94" s="52"/>
      <c r="N94" s="52"/>
      <c r="O94" s="52"/>
    </row>
    <row r="95">
      <c r="M95" s="52"/>
      <c r="N95" s="52"/>
      <c r="O95" s="52"/>
    </row>
    <row r="96">
      <c r="M96" s="52"/>
      <c r="N96" s="52"/>
      <c r="O96" s="52"/>
    </row>
    <row r="97">
      <c r="M97" s="52"/>
      <c r="N97" s="52"/>
      <c r="O97" s="52"/>
    </row>
    <row r="98">
      <c r="M98" s="52"/>
      <c r="N98" s="52"/>
      <c r="O98" s="52"/>
    </row>
    <row r="99">
      <c r="M99" s="52"/>
      <c r="N99" s="52"/>
      <c r="O99" s="52"/>
    </row>
    <row r="100">
      <c r="M100" s="52"/>
      <c r="N100" s="52"/>
      <c r="O100" s="52"/>
    </row>
    <row r="101">
      <c r="M101" s="52"/>
      <c r="N101" s="52"/>
      <c r="O101" s="52"/>
    </row>
    <row r="102">
      <c r="M102" s="52"/>
      <c r="N102" s="52"/>
      <c r="O102" s="52"/>
    </row>
    <row r="103">
      <c r="M103" s="52"/>
      <c r="N103" s="52"/>
      <c r="O103" s="52"/>
    </row>
    <row r="104">
      <c r="M104" s="52"/>
      <c r="N104" s="52"/>
      <c r="O104" s="52"/>
    </row>
    <row r="105">
      <c r="M105" s="52"/>
      <c r="N105" s="52"/>
      <c r="O105" s="52"/>
    </row>
    <row r="106">
      <c r="M106" s="52"/>
      <c r="N106" s="52"/>
      <c r="O106" s="52"/>
    </row>
    <row r="107">
      <c r="M107" s="52"/>
      <c r="N107" s="52"/>
      <c r="O107" s="52"/>
    </row>
    <row r="108">
      <c r="M108" s="52"/>
      <c r="N108" s="52"/>
      <c r="O108" s="52"/>
    </row>
    <row r="109">
      <c r="M109" s="52"/>
      <c r="N109" s="52"/>
      <c r="O109" s="52"/>
    </row>
    <row r="110">
      <c r="M110" s="52"/>
      <c r="N110" s="52"/>
      <c r="O110" s="52"/>
    </row>
    <row r="111">
      <c r="M111" s="52"/>
      <c r="N111" s="52"/>
      <c r="O111" s="52"/>
    </row>
    <row r="112">
      <c r="M112" s="52"/>
      <c r="N112" s="52"/>
      <c r="O112" s="52"/>
    </row>
    <row r="113">
      <c r="M113" s="52"/>
      <c r="N113" s="52"/>
      <c r="O113" s="52"/>
    </row>
    <row r="114">
      <c r="M114" s="52"/>
      <c r="N114" s="52"/>
      <c r="O114" s="52"/>
    </row>
    <row r="115">
      <c r="M115" s="52"/>
      <c r="N115" s="52"/>
      <c r="O115" s="52"/>
    </row>
    <row r="116">
      <c r="M116" s="52"/>
      <c r="N116" s="52"/>
      <c r="O116" s="52"/>
    </row>
    <row r="117">
      <c r="M117" s="52"/>
      <c r="N117" s="52"/>
      <c r="O117" s="52"/>
    </row>
    <row r="118">
      <c r="M118" s="52"/>
      <c r="N118" s="52"/>
      <c r="O118" s="52"/>
    </row>
    <row r="119">
      <c r="M119" s="52"/>
      <c r="N119" s="52"/>
      <c r="O119" s="52"/>
    </row>
    <row r="120">
      <c r="M120" s="52"/>
      <c r="N120" s="52"/>
      <c r="O120" s="52"/>
    </row>
    <row r="121">
      <c r="M121" s="52"/>
      <c r="N121" s="52"/>
      <c r="O121" s="52"/>
    </row>
    <row r="122">
      <c r="M122" s="52"/>
      <c r="N122" s="52"/>
      <c r="O122" s="52"/>
    </row>
    <row r="123">
      <c r="M123" s="52"/>
      <c r="N123" s="52"/>
      <c r="O123" s="52"/>
    </row>
    <row r="124">
      <c r="M124" s="52"/>
      <c r="N124" s="52"/>
      <c r="O124" s="52"/>
    </row>
    <row r="125">
      <c r="M125" s="52"/>
      <c r="N125" s="52"/>
      <c r="O125" s="52"/>
    </row>
    <row r="126">
      <c r="M126" s="52"/>
      <c r="N126" s="52"/>
      <c r="O126" s="52"/>
    </row>
    <row r="127">
      <c r="M127" s="52"/>
      <c r="N127" s="52"/>
      <c r="O127" s="52"/>
    </row>
    <row r="128">
      <c r="M128" s="52"/>
      <c r="N128" s="52"/>
      <c r="O128" s="52"/>
    </row>
    <row r="129">
      <c r="M129" s="52"/>
      <c r="N129" s="52"/>
      <c r="O129" s="52"/>
    </row>
    <row r="130">
      <c r="M130" s="52"/>
      <c r="N130" s="52"/>
      <c r="O130" s="52"/>
    </row>
    <row r="131">
      <c r="M131" s="52"/>
      <c r="N131" s="52"/>
      <c r="O131" s="52"/>
    </row>
    <row r="132">
      <c r="M132" s="52"/>
      <c r="N132" s="52"/>
      <c r="O132" s="52"/>
    </row>
    <row r="133">
      <c r="M133" s="52"/>
      <c r="N133" s="52"/>
      <c r="O133" s="52"/>
    </row>
    <row r="134">
      <c r="M134" s="52"/>
      <c r="N134" s="52"/>
      <c r="O134" s="52"/>
    </row>
    <row r="135">
      <c r="M135" s="52"/>
      <c r="N135" s="52"/>
      <c r="O135" s="52"/>
    </row>
    <row r="136">
      <c r="M136" s="52"/>
      <c r="N136" s="52"/>
      <c r="O136" s="52"/>
    </row>
    <row r="137">
      <c r="M137" s="52"/>
      <c r="N137" s="52"/>
      <c r="O137" s="52"/>
    </row>
    <row r="138">
      <c r="M138" s="52"/>
      <c r="N138" s="52"/>
      <c r="O138" s="52"/>
    </row>
    <row r="139">
      <c r="M139" s="52"/>
      <c r="N139" s="52"/>
      <c r="O139" s="52"/>
    </row>
    <row r="140">
      <c r="M140" s="52"/>
      <c r="N140" s="52"/>
      <c r="O140" s="52"/>
    </row>
    <row r="141">
      <c r="M141" s="52"/>
      <c r="N141" s="52"/>
      <c r="O141" s="52"/>
    </row>
    <row r="142">
      <c r="M142" s="52"/>
      <c r="N142" s="52"/>
      <c r="O142" s="52"/>
    </row>
    <row r="143">
      <c r="M143" s="52"/>
      <c r="N143" s="52"/>
      <c r="O143" s="52"/>
    </row>
    <row r="144">
      <c r="M144" s="52"/>
      <c r="N144" s="52"/>
      <c r="O144" s="52"/>
    </row>
    <row r="145">
      <c r="M145" s="52"/>
      <c r="N145" s="52"/>
      <c r="O145" s="52"/>
    </row>
    <row r="146">
      <c r="M146" s="52"/>
      <c r="N146" s="52"/>
      <c r="O146" s="52"/>
    </row>
    <row r="147">
      <c r="M147" s="52"/>
      <c r="N147" s="52"/>
      <c r="O147" s="52"/>
    </row>
    <row r="148">
      <c r="M148" s="52"/>
      <c r="N148" s="52"/>
      <c r="O148" s="52"/>
    </row>
    <row r="149">
      <c r="M149" s="52"/>
      <c r="N149" s="52"/>
      <c r="O149" s="52"/>
    </row>
    <row r="150">
      <c r="M150" s="52"/>
      <c r="N150" s="52"/>
      <c r="O150" s="52"/>
    </row>
    <row r="151">
      <c r="M151" s="52"/>
      <c r="N151" s="52"/>
      <c r="O151" s="52"/>
    </row>
    <row r="152">
      <c r="M152" s="52"/>
      <c r="N152" s="52"/>
      <c r="O152" s="52"/>
    </row>
    <row r="153">
      <c r="M153" s="52"/>
      <c r="N153" s="52"/>
      <c r="O153" s="52"/>
    </row>
    <row r="154">
      <c r="M154" s="52"/>
      <c r="N154" s="52"/>
      <c r="O154" s="52"/>
    </row>
    <row r="155">
      <c r="M155" s="52"/>
      <c r="N155" s="52"/>
      <c r="O155" s="52"/>
    </row>
    <row r="156">
      <c r="M156" s="52"/>
      <c r="N156" s="52"/>
      <c r="O156" s="52"/>
    </row>
    <row r="157">
      <c r="M157" s="52"/>
      <c r="N157" s="52"/>
      <c r="O157" s="52"/>
    </row>
    <row r="158">
      <c r="M158" s="52"/>
      <c r="N158" s="52"/>
      <c r="O158" s="52"/>
    </row>
    <row r="159">
      <c r="M159" s="52"/>
      <c r="N159" s="52"/>
      <c r="O159" s="52"/>
    </row>
    <row r="160">
      <c r="M160" s="52"/>
      <c r="N160" s="52"/>
      <c r="O160" s="52"/>
    </row>
    <row r="161">
      <c r="M161" s="52"/>
      <c r="N161" s="52"/>
      <c r="O161" s="52"/>
    </row>
    <row r="162">
      <c r="M162" s="52"/>
      <c r="N162" s="52"/>
      <c r="O162" s="52"/>
    </row>
    <row r="163">
      <c r="M163" s="52"/>
      <c r="N163" s="52"/>
      <c r="O163" s="52"/>
    </row>
    <row r="164">
      <c r="M164" s="52"/>
      <c r="N164" s="52"/>
      <c r="O164" s="52"/>
    </row>
    <row r="165">
      <c r="M165" s="52"/>
      <c r="N165" s="52"/>
      <c r="O165" s="52"/>
    </row>
    <row r="166">
      <c r="M166" s="52"/>
      <c r="N166" s="52"/>
      <c r="O166" s="52"/>
    </row>
    <row r="167">
      <c r="M167" s="52"/>
      <c r="N167" s="52"/>
      <c r="O167" s="52"/>
    </row>
    <row r="168">
      <c r="M168" s="52"/>
      <c r="N168" s="52"/>
      <c r="O168" s="52"/>
    </row>
    <row r="169">
      <c r="M169" s="52"/>
      <c r="N169" s="52"/>
      <c r="O169" s="52"/>
    </row>
    <row r="170">
      <c r="M170" s="52"/>
      <c r="N170" s="52"/>
      <c r="O170" s="52"/>
    </row>
    <row r="171">
      <c r="M171" s="52"/>
      <c r="N171" s="52"/>
      <c r="O171" s="52"/>
    </row>
    <row r="172">
      <c r="M172" s="52"/>
      <c r="N172" s="52"/>
      <c r="O172" s="52"/>
    </row>
    <row r="173">
      <c r="M173" s="52"/>
      <c r="N173" s="52"/>
      <c r="O173" s="52"/>
    </row>
    <row r="174">
      <c r="M174" s="52"/>
      <c r="N174" s="52"/>
      <c r="O174" s="52"/>
    </row>
    <row r="175">
      <c r="M175" s="52"/>
      <c r="N175" s="52"/>
      <c r="O175" s="52"/>
    </row>
    <row r="176">
      <c r="M176" s="52"/>
      <c r="N176" s="52"/>
      <c r="O176" s="52"/>
    </row>
    <row r="177">
      <c r="M177" s="52"/>
      <c r="N177" s="52"/>
      <c r="O177" s="52"/>
    </row>
    <row r="178">
      <c r="M178" s="52"/>
      <c r="N178" s="52"/>
      <c r="O178" s="52"/>
    </row>
    <row r="179">
      <c r="M179" s="52"/>
      <c r="N179" s="52"/>
      <c r="O179" s="52"/>
    </row>
    <row r="180">
      <c r="M180" s="52"/>
      <c r="N180" s="52"/>
      <c r="O180" s="52"/>
    </row>
    <row r="181">
      <c r="M181" s="52"/>
      <c r="N181" s="52"/>
      <c r="O181" s="52"/>
    </row>
    <row r="182">
      <c r="M182" s="52"/>
      <c r="N182" s="52"/>
      <c r="O182" s="52"/>
    </row>
    <row r="183">
      <c r="M183" s="52"/>
      <c r="N183" s="52"/>
      <c r="O183" s="52"/>
    </row>
    <row r="184">
      <c r="M184" s="52"/>
      <c r="N184" s="52"/>
      <c r="O184" s="52"/>
    </row>
    <row r="185">
      <c r="M185" s="52"/>
      <c r="N185" s="52"/>
      <c r="O185" s="52"/>
    </row>
    <row r="186">
      <c r="M186" s="52"/>
      <c r="N186" s="52"/>
      <c r="O186" s="52"/>
    </row>
    <row r="187">
      <c r="M187" s="52"/>
      <c r="N187" s="52"/>
      <c r="O187" s="52"/>
    </row>
    <row r="188">
      <c r="M188" s="52"/>
      <c r="N188" s="52"/>
      <c r="O188" s="52"/>
    </row>
    <row r="189">
      <c r="M189" s="52"/>
      <c r="N189" s="52"/>
      <c r="O189" s="52"/>
    </row>
    <row r="190">
      <c r="M190" s="52"/>
      <c r="N190" s="52"/>
      <c r="O190" s="52"/>
    </row>
    <row r="191">
      <c r="M191" s="52"/>
      <c r="N191" s="52"/>
      <c r="O191" s="52"/>
    </row>
    <row r="192">
      <c r="M192" s="52"/>
      <c r="N192" s="52"/>
      <c r="O192" s="52"/>
    </row>
    <row r="193">
      <c r="M193" s="52"/>
      <c r="N193" s="52"/>
      <c r="O193" s="52"/>
    </row>
    <row r="194">
      <c r="M194" s="52"/>
      <c r="N194" s="52"/>
      <c r="O194" s="52"/>
    </row>
    <row r="195">
      <c r="M195" s="52"/>
      <c r="N195" s="52"/>
      <c r="O195" s="52"/>
    </row>
    <row r="196">
      <c r="M196" s="52"/>
      <c r="N196" s="52"/>
      <c r="O196" s="52"/>
    </row>
    <row r="197">
      <c r="M197" s="52"/>
      <c r="N197" s="52"/>
      <c r="O197" s="52"/>
    </row>
    <row r="198">
      <c r="M198" s="52"/>
      <c r="N198" s="52"/>
      <c r="O198" s="52"/>
    </row>
    <row r="199">
      <c r="M199" s="52"/>
      <c r="N199" s="52"/>
      <c r="O199" s="52"/>
    </row>
    <row r="200">
      <c r="M200" s="52"/>
      <c r="N200" s="52"/>
      <c r="O200" s="52"/>
    </row>
    <row r="201">
      <c r="M201" s="52"/>
      <c r="N201" s="52"/>
      <c r="O201" s="52"/>
    </row>
    <row r="202">
      <c r="M202" s="52"/>
      <c r="N202" s="52"/>
      <c r="O202" s="52"/>
    </row>
    <row r="203">
      <c r="M203" s="52"/>
      <c r="N203" s="52"/>
      <c r="O203" s="52"/>
    </row>
    <row r="204">
      <c r="M204" s="52"/>
      <c r="N204" s="52"/>
      <c r="O204" s="52"/>
    </row>
    <row r="205">
      <c r="M205" s="52"/>
      <c r="N205" s="52"/>
      <c r="O205" s="52"/>
    </row>
    <row r="206">
      <c r="M206" s="52"/>
      <c r="N206" s="52"/>
      <c r="O206" s="52"/>
    </row>
    <row r="207">
      <c r="M207" s="52"/>
      <c r="N207" s="52"/>
      <c r="O207" s="52"/>
    </row>
    <row r="208">
      <c r="M208" s="52"/>
      <c r="N208" s="52"/>
      <c r="O208" s="52"/>
    </row>
    <row r="209">
      <c r="M209" s="52"/>
      <c r="N209" s="52"/>
      <c r="O209" s="52"/>
    </row>
    <row r="210">
      <c r="M210" s="52"/>
      <c r="N210" s="52"/>
      <c r="O210" s="52"/>
    </row>
    <row r="211">
      <c r="M211" s="52"/>
      <c r="N211" s="52"/>
      <c r="O211" s="52"/>
    </row>
    <row r="212">
      <c r="M212" s="52"/>
      <c r="N212" s="52"/>
      <c r="O212" s="52"/>
    </row>
    <row r="213">
      <c r="M213" s="52"/>
      <c r="N213" s="52"/>
      <c r="O213" s="52"/>
    </row>
    <row r="214">
      <c r="M214" s="52"/>
      <c r="N214" s="52"/>
      <c r="O214" s="52"/>
    </row>
    <row r="215">
      <c r="M215" s="52"/>
      <c r="N215" s="52"/>
      <c r="O215" s="52"/>
    </row>
    <row r="216">
      <c r="M216" s="52"/>
      <c r="N216" s="52"/>
      <c r="O216" s="52"/>
    </row>
    <row r="217">
      <c r="M217" s="52"/>
      <c r="N217" s="52"/>
      <c r="O217" s="52"/>
    </row>
    <row r="218">
      <c r="M218" s="52"/>
      <c r="N218" s="52"/>
      <c r="O218" s="52"/>
    </row>
    <row r="219">
      <c r="M219" s="52"/>
      <c r="N219" s="52"/>
      <c r="O219" s="52"/>
    </row>
    <row r="220">
      <c r="M220" s="52"/>
      <c r="N220" s="52"/>
      <c r="O220" s="52"/>
    </row>
    <row r="221">
      <c r="M221" s="52"/>
      <c r="N221" s="52"/>
      <c r="O221" s="52"/>
    </row>
    <row r="222">
      <c r="M222" s="52"/>
      <c r="N222" s="52"/>
      <c r="O222" s="52"/>
    </row>
    <row r="223">
      <c r="M223" s="52"/>
      <c r="N223" s="52"/>
      <c r="O223" s="52"/>
    </row>
    <row r="224">
      <c r="M224" s="52"/>
      <c r="N224" s="52"/>
      <c r="O224" s="52"/>
    </row>
    <row r="225">
      <c r="M225" s="52"/>
      <c r="N225" s="52"/>
      <c r="O225" s="52"/>
    </row>
    <row r="226">
      <c r="M226" s="52"/>
      <c r="N226" s="52"/>
      <c r="O226" s="52"/>
    </row>
    <row r="227">
      <c r="M227" s="52"/>
      <c r="N227" s="52"/>
      <c r="O227" s="52"/>
    </row>
    <row r="228">
      <c r="M228" s="52"/>
      <c r="N228" s="52"/>
      <c r="O228" s="52"/>
    </row>
    <row r="229">
      <c r="M229" s="52"/>
      <c r="N229" s="52"/>
      <c r="O229" s="52"/>
    </row>
    <row r="230">
      <c r="M230" s="52"/>
      <c r="N230" s="52"/>
      <c r="O230" s="52"/>
    </row>
    <row r="231">
      <c r="M231" s="52"/>
      <c r="N231" s="52"/>
      <c r="O231" s="52"/>
    </row>
    <row r="232">
      <c r="M232" s="52"/>
      <c r="N232" s="52"/>
      <c r="O232" s="52"/>
    </row>
    <row r="233">
      <c r="M233" s="52"/>
      <c r="N233" s="52"/>
      <c r="O233" s="52"/>
    </row>
    <row r="234">
      <c r="M234" s="52"/>
      <c r="N234" s="52"/>
      <c r="O234" s="52"/>
    </row>
    <row r="235">
      <c r="M235" s="52"/>
      <c r="N235" s="52"/>
      <c r="O235" s="52"/>
    </row>
    <row r="236">
      <c r="M236" s="52"/>
      <c r="N236" s="52"/>
      <c r="O236" s="52"/>
    </row>
    <row r="237">
      <c r="M237" s="52"/>
      <c r="N237" s="52"/>
      <c r="O237" s="52"/>
    </row>
    <row r="238">
      <c r="M238" s="52"/>
      <c r="N238" s="52"/>
      <c r="O238" s="52"/>
    </row>
    <row r="239">
      <c r="M239" s="52"/>
      <c r="N239" s="52"/>
      <c r="O239" s="52"/>
    </row>
    <row r="240">
      <c r="M240" s="52"/>
      <c r="N240" s="52"/>
      <c r="O240" s="52"/>
    </row>
    <row r="241">
      <c r="M241" s="52"/>
      <c r="N241" s="52"/>
      <c r="O241" s="52"/>
    </row>
    <row r="242">
      <c r="M242" s="52"/>
      <c r="N242" s="52"/>
      <c r="O242" s="52"/>
    </row>
    <row r="243">
      <c r="M243" s="52"/>
      <c r="N243" s="52"/>
      <c r="O243" s="52"/>
    </row>
    <row r="244">
      <c r="M244" s="52"/>
      <c r="N244" s="52"/>
      <c r="O244" s="52"/>
    </row>
    <row r="245">
      <c r="M245" s="52"/>
      <c r="N245" s="52"/>
      <c r="O245" s="52"/>
    </row>
    <row r="246">
      <c r="M246" s="52"/>
      <c r="N246" s="52"/>
      <c r="O246" s="52"/>
    </row>
    <row r="247">
      <c r="M247" s="52"/>
      <c r="N247" s="52"/>
      <c r="O247" s="52"/>
    </row>
    <row r="248">
      <c r="M248" s="52"/>
      <c r="N248" s="52"/>
      <c r="O248" s="52"/>
    </row>
    <row r="249">
      <c r="M249" s="52"/>
      <c r="N249" s="52"/>
      <c r="O249" s="52"/>
    </row>
    <row r="250">
      <c r="M250" s="52"/>
      <c r="N250" s="52"/>
      <c r="O250" s="52"/>
    </row>
    <row r="251">
      <c r="M251" s="52"/>
      <c r="N251" s="52"/>
      <c r="O251" s="52"/>
    </row>
    <row r="252">
      <c r="M252" s="52"/>
      <c r="N252" s="52"/>
      <c r="O252" s="52"/>
    </row>
    <row r="253">
      <c r="M253" s="52"/>
      <c r="N253" s="52"/>
      <c r="O253" s="52"/>
    </row>
    <row r="254">
      <c r="M254" s="52"/>
      <c r="N254" s="52"/>
      <c r="O254" s="52"/>
    </row>
    <row r="255">
      <c r="M255" s="52"/>
      <c r="N255" s="52"/>
      <c r="O255" s="52"/>
    </row>
    <row r="256">
      <c r="M256" s="52"/>
      <c r="N256" s="52"/>
      <c r="O256" s="52"/>
    </row>
    <row r="257">
      <c r="M257" s="52"/>
      <c r="N257" s="52"/>
      <c r="O257" s="52"/>
    </row>
    <row r="258">
      <c r="M258" s="52"/>
      <c r="N258" s="52"/>
      <c r="O258" s="52"/>
    </row>
    <row r="259">
      <c r="M259" s="52"/>
      <c r="N259" s="52"/>
      <c r="O259" s="52"/>
    </row>
    <row r="260">
      <c r="M260" s="52"/>
      <c r="N260" s="52"/>
      <c r="O260" s="52"/>
    </row>
    <row r="261">
      <c r="M261" s="52"/>
      <c r="N261" s="52"/>
      <c r="O261" s="52"/>
    </row>
    <row r="262">
      <c r="M262" s="52"/>
      <c r="N262" s="52"/>
      <c r="O262" s="52"/>
    </row>
    <row r="263">
      <c r="M263" s="52"/>
      <c r="N263" s="52"/>
      <c r="O263" s="52"/>
    </row>
    <row r="264">
      <c r="M264" s="52"/>
      <c r="N264" s="52"/>
      <c r="O264" s="52"/>
    </row>
    <row r="265">
      <c r="M265" s="52"/>
      <c r="N265" s="52"/>
      <c r="O265" s="52"/>
    </row>
    <row r="266">
      <c r="M266" s="52"/>
      <c r="N266" s="52"/>
      <c r="O266" s="52"/>
    </row>
    <row r="267">
      <c r="M267" s="52"/>
      <c r="N267" s="52"/>
      <c r="O267" s="52"/>
    </row>
    <row r="268">
      <c r="M268" s="52"/>
      <c r="N268" s="52"/>
      <c r="O268" s="52"/>
    </row>
    <row r="269">
      <c r="M269" s="52"/>
      <c r="N269" s="52"/>
      <c r="O269" s="52"/>
    </row>
    <row r="270">
      <c r="M270" s="52"/>
      <c r="N270" s="52"/>
      <c r="O270" s="52"/>
    </row>
    <row r="271">
      <c r="M271" s="52"/>
      <c r="N271" s="52"/>
      <c r="O271" s="52"/>
    </row>
    <row r="272">
      <c r="M272" s="52"/>
      <c r="N272" s="52"/>
      <c r="O272" s="52"/>
    </row>
    <row r="273">
      <c r="M273" s="52"/>
      <c r="N273" s="52"/>
      <c r="O273" s="52"/>
    </row>
    <row r="274">
      <c r="M274" s="52"/>
      <c r="N274" s="52"/>
      <c r="O274" s="52"/>
    </row>
    <row r="275">
      <c r="M275" s="52"/>
      <c r="N275" s="52"/>
      <c r="O275" s="52"/>
    </row>
    <row r="276">
      <c r="M276" s="52"/>
      <c r="N276" s="52"/>
      <c r="O276" s="52"/>
    </row>
    <row r="277">
      <c r="M277" s="52"/>
      <c r="N277" s="52"/>
      <c r="O277" s="52"/>
    </row>
    <row r="278">
      <c r="M278" s="52"/>
      <c r="N278" s="52"/>
      <c r="O278" s="52"/>
    </row>
    <row r="279">
      <c r="M279" s="52"/>
      <c r="N279" s="52"/>
      <c r="O279" s="52"/>
    </row>
    <row r="280">
      <c r="M280" s="52"/>
      <c r="N280" s="52"/>
      <c r="O280" s="52"/>
    </row>
    <row r="281">
      <c r="M281" s="52"/>
      <c r="N281" s="52"/>
      <c r="O281" s="52"/>
    </row>
    <row r="282">
      <c r="M282" s="52"/>
      <c r="N282" s="52"/>
      <c r="O282" s="52"/>
    </row>
    <row r="283">
      <c r="M283" s="52"/>
      <c r="N283" s="52"/>
      <c r="O283" s="52"/>
    </row>
    <row r="284">
      <c r="M284" s="52"/>
      <c r="N284" s="52"/>
      <c r="O284" s="52"/>
    </row>
    <row r="285">
      <c r="M285" s="52"/>
      <c r="N285" s="52"/>
      <c r="O285" s="52"/>
    </row>
    <row r="286">
      <c r="M286" s="52"/>
      <c r="N286" s="52"/>
      <c r="O286" s="52"/>
    </row>
    <row r="287">
      <c r="M287" s="52"/>
      <c r="N287" s="52"/>
      <c r="O287" s="52"/>
    </row>
    <row r="288">
      <c r="M288" s="52"/>
      <c r="N288" s="52"/>
      <c r="O288" s="52"/>
    </row>
    <row r="289">
      <c r="M289" s="52"/>
      <c r="N289" s="52"/>
      <c r="O289" s="52"/>
    </row>
    <row r="290">
      <c r="M290" s="52"/>
      <c r="N290" s="52"/>
      <c r="O290" s="52"/>
    </row>
    <row r="291">
      <c r="M291" s="52"/>
      <c r="N291" s="52"/>
      <c r="O291" s="52"/>
    </row>
    <row r="292">
      <c r="M292" s="52"/>
      <c r="N292" s="52"/>
      <c r="O292" s="52"/>
    </row>
    <row r="293">
      <c r="M293" s="52"/>
      <c r="N293" s="52"/>
      <c r="O293" s="52"/>
    </row>
    <row r="294">
      <c r="M294" s="52"/>
      <c r="N294" s="52"/>
      <c r="O294" s="52"/>
    </row>
    <row r="295">
      <c r="M295" s="52"/>
      <c r="N295" s="52"/>
      <c r="O295" s="52"/>
    </row>
    <row r="296">
      <c r="M296" s="52"/>
      <c r="N296" s="52"/>
      <c r="O296" s="52"/>
    </row>
    <row r="297">
      <c r="M297" s="52"/>
      <c r="N297" s="52"/>
      <c r="O297" s="52"/>
    </row>
    <row r="298">
      <c r="M298" s="52"/>
      <c r="N298" s="52"/>
      <c r="O298" s="52"/>
    </row>
    <row r="299">
      <c r="M299" s="52"/>
      <c r="N299" s="52"/>
      <c r="O299" s="52"/>
    </row>
    <row r="300">
      <c r="M300" s="52"/>
      <c r="N300" s="52"/>
      <c r="O300" s="52"/>
    </row>
    <row r="301">
      <c r="M301" s="52"/>
      <c r="N301" s="52"/>
      <c r="O301" s="52"/>
    </row>
    <row r="302">
      <c r="M302" s="52"/>
      <c r="N302" s="52"/>
      <c r="O302" s="52"/>
    </row>
    <row r="303">
      <c r="M303" s="52"/>
      <c r="N303" s="52"/>
      <c r="O303" s="52"/>
    </row>
    <row r="304">
      <c r="M304" s="52"/>
      <c r="N304" s="52"/>
      <c r="O304" s="52"/>
    </row>
    <row r="305">
      <c r="M305" s="52"/>
      <c r="N305" s="52"/>
      <c r="O305" s="52"/>
    </row>
    <row r="306">
      <c r="M306" s="52"/>
      <c r="N306" s="52"/>
      <c r="O306" s="52"/>
    </row>
    <row r="307">
      <c r="M307" s="52"/>
      <c r="N307" s="52"/>
      <c r="O307" s="52"/>
    </row>
    <row r="308">
      <c r="M308" s="52"/>
      <c r="N308" s="52"/>
      <c r="O308" s="52"/>
    </row>
    <row r="309">
      <c r="M309" s="52"/>
      <c r="N309" s="52"/>
      <c r="O309" s="52"/>
    </row>
    <row r="310">
      <c r="M310" s="52"/>
      <c r="N310" s="52"/>
      <c r="O310" s="52"/>
    </row>
    <row r="311">
      <c r="M311" s="52"/>
      <c r="N311" s="52"/>
      <c r="O311" s="52"/>
    </row>
    <row r="312">
      <c r="M312" s="52"/>
      <c r="N312" s="52"/>
      <c r="O312" s="52"/>
    </row>
    <row r="313">
      <c r="M313" s="52"/>
      <c r="N313" s="52"/>
      <c r="O313" s="52"/>
    </row>
    <row r="314">
      <c r="M314" s="52"/>
      <c r="N314" s="52"/>
      <c r="O314" s="52"/>
    </row>
    <row r="315">
      <c r="M315" s="52"/>
      <c r="N315" s="52"/>
      <c r="O315" s="52"/>
    </row>
    <row r="316">
      <c r="M316" s="52"/>
      <c r="N316" s="52"/>
      <c r="O316" s="52"/>
    </row>
    <row r="317">
      <c r="M317" s="52"/>
      <c r="N317" s="52"/>
      <c r="O317" s="52"/>
    </row>
    <row r="318">
      <c r="M318" s="52"/>
      <c r="N318" s="52"/>
      <c r="O318" s="52"/>
    </row>
    <row r="319">
      <c r="M319" s="52"/>
      <c r="N319" s="52"/>
      <c r="O319" s="52"/>
    </row>
    <row r="320">
      <c r="M320" s="52"/>
      <c r="N320" s="52"/>
      <c r="O320" s="52"/>
    </row>
    <row r="321">
      <c r="M321" s="52"/>
      <c r="N321" s="52"/>
      <c r="O321" s="52"/>
    </row>
    <row r="322">
      <c r="M322" s="52"/>
      <c r="N322" s="52"/>
      <c r="O322" s="52"/>
    </row>
    <row r="323">
      <c r="M323" s="52"/>
      <c r="N323" s="52"/>
      <c r="O323" s="52"/>
    </row>
    <row r="324">
      <c r="M324" s="52"/>
      <c r="N324" s="52"/>
      <c r="O324" s="52"/>
    </row>
    <row r="325">
      <c r="M325" s="52"/>
      <c r="N325" s="52"/>
      <c r="O325" s="52"/>
    </row>
    <row r="326">
      <c r="M326" s="52"/>
      <c r="N326" s="52"/>
      <c r="O326" s="52"/>
    </row>
    <row r="327">
      <c r="M327" s="52"/>
      <c r="N327" s="52"/>
      <c r="O327" s="52"/>
    </row>
    <row r="328">
      <c r="M328" s="52"/>
      <c r="N328" s="52"/>
      <c r="O328" s="52"/>
    </row>
    <row r="329">
      <c r="M329" s="52"/>
      <c r="N329" s="52"/>
      <c r="O329" s="52"/>
    </row>
    <row r="330">
      <c r="M330" s="52"/>
      <c r="N330" s="52"/>
      <c r="O330" s="52"/>
    </row>
    <row r="331">
      <c r="M331" s="52"/>
      <c r="N331" s="52"/>
      <c r="O331" s="52"/>
    </row>
    <row r="332">
      <c r="M332" s="52"/>
      <c r="N332" s="52"/>
      <c r="O332" s="52"/>
    </row>
    <row r="333">
      <c r="M333" s="52"/>
      <c r="N333" s="52"/>
      <c r="O333" s="52"/>
    </row>
    <row r="334">
      <c r="M334" s="52"/>
      <c r="N334" s="52"/>
      <c r="O334" s="52"/>
    </row>
    <row r="335">
      <c r="M335" s="52"/>
      <c r="N335" s="52"/>
      <c r="O335" s="52"/>
    </row>
    <row r="336">
      <c r="M336" s="52"/>
      <c r="N336" s="52"/>
      <c r="O336" s="52"/>
    </row>
    <row r="337">
      <c r="M337" s="52"/>
      <c r="N337" s="52"/>
      <c r="O337" s="52"/>
    </row>
    <row r="338">
      <c r="M338" s="52"/>
      <c r="N338" s="52"/>
      <c r="O338" s="52"/>
    </row>
    <row r="339">
      <c r="M339" s="52"/>
      <c r="N339" s="52"/>
      <c r="O339" s="52"/>
    </row>
    <row r="340">
      <c r="M340" s="52"/>
      <c r="N340" s="52"/>
      <c r="O340" s="52"/>
    </row>
    <row r="341">
      <c r="M341" s="52"/>
      <c r="N341" s="52"/>
      <c r="O341" s="52"/>
    </row>
    <row r="342">
      <c r="M342" s="52"/>
      <c r="N342" s="52"/>
      <c r="O342" s="52"/>
    </row>
    <row r="343">
      <c r="M343" s="52"/>
      <c r="N343" s="52"/>
      <c r="O343" s="52"/>
    </row>
    <row r="344">
      <c r="M344" s="52"/>
      <c r="N344" s="52"/>
      <c r="O344" s="52"/>
    </row>
    <row r="345">
      <c r="M345" s="52"/>
      <c r="N345" s="52"/>
      <c r="O345" s="52"/>
    </row>
    <row r="346">
      <c r="M346" s="52"/>
      <c r="N346" s="52"/>
      <c r="O346" s="52"/>
    </row>
    <row r="347">
      <c r="M347" s="52"/>
      <c r="N347" s="52"/>
      <c r="O347" s="52"/>
    </row>
    <row r="348">
      <c r="M348" s="52"/>
      <c r="N348" s="52"/>
      <c r="O348" s="52"/>
    </row>
    <row r="349">
      <c r="M349" s="52"/>
      <c r="N349" s="52"/>
      <c r="O349" s="52"/>
    </row>
    <row r="350">
      <c r="M350" s="52"/>
      <c r="N350" s="52"/>
      <c r="O350" s="52"/>
    </row>
    <row r="351">
      <c r="M351" s="52"/>
      <c r="N351" s="52"/>
      <c r="O351" s="52"/>
    </row>
    <row r="352">
      <c r="M352" s="52"/>
      <c r="N352" s="52"/>
      <c r="O352" s="52"/>
    </row>
    <row r="353">
      <c r="M353" s="52"/>
      <c r="N353" s="52"/>
      <c r="O353" s="52"/>
    </row>
    <row r="354">
      <c r="M354" s="52"/>
      <c r="N354" s="52"/>
      <c r="O354" s="52"/>
    </row>
    <row r="355">
      <c r="M355" s="52"/>
      <c r="N355" s="52"/>
      <c r="O355" s="52"/>
    </row>
    <row r="356">
      <c r="M356" s="52"/>
      <c r="N356" s="52"/>
      <c r="O356" s="52"/>
    </row>
    <row r="357">
      <c r="M357" s="52"/>
      <c r="N357" s="52"/>
      <c r="O357" s="52"/>
    </row>
    <row r="358">
      <c r="M358" s="52"/>
      <c r="N358" s="52"/>
      <c r="O358" s="52"/>
    </row>
    <row r="359">
      <c r="M359" s="52"/>
      <c r="N359" s="52"/>
      <c r="O359" s="52"/>
    </row>
    <row r="360">
      <c r="M360" s="52"/>
      <c r="N360" s="52"/>
      <c r="O360" s="52"/>
    </row>
    <row r="361">
      <c r="M361" s="52"/>
      <c r="N361" s="52"/>
      <c r="O361" s="52"/>
    </row>
    <row r="362">
      <c r="M362" s="52"/>
      <c r="N362" s="52"/>
      <c r="O362" s="52"/>
    </row>
    <row r="363">
      <c r="M363" s="52"/>
      <c r="N363" s="52"/>
      <c r="O363" s="52"/>
    </row>
    <row r="364">
      <c r="M364" s="52"/>
      <c r="N364" s="52"/>
      <c r="O364" s="52"/>
    </row>
    <row r="365">
      <c r="M365" s="52"/>
      <c r="N365" s="52"/>
      <c r="O365" s="52"/>
    </row>
    <row r="366">
      <c r="M366" s="52"/>
      <c r="N366" s="52"/>
      <c r="O366" s="52"/>
    </row>
    <row r="367">
      <c r="M367" s="52"/>
      <c r="N367" s="52"/>
      <c r="O367" s="52"/>
    </row>
    <row r="368">
      <c r="M368" s="52"/>
      <c r="N368" s="52"/>
      <c r="O368" s="52"/>
    </row>
    <row r="369">
      <c r="M369" s="52"/>
      <c r="N369" s="52"/>
      <c r="O369" s="52"/>
    </row>
    <row r="370">
      <c r="M370" s="52"/>
      <c r="N370" s="52"/>
      <c r="O370" s="52"/>
    </row>
    <row r="371">
      <c r="M371" s="52"/>
      <c r="N371" s="52"/>
      <c r="O371" s="52"/>
    </row>
    <row r="372">
      <c r="M372" s="52"/>
      <c r="N372" s="52"/>
      <c r="O372" s="52"/>
    </row>
    <row r="373">
      <c r="M373" s="52"/>
      <c r="N373" s="52"/>
      <c r="O373" s="52"/>
    </row>
    <row r="374">
      <c r="M374" s="52"/>
      <c r="N374" s="52"/>
      <c r="O374" s="52"/>
    </row>
    <row r="375">
      <c r="M375" s="52"/>
      <c r="N375" s="52"/>
      <c r="O375" s="52"/>
    </row>
    <row r="376">
      <c r="M376" s="52"/>
      <c r="N376" s="52"/>
      <c r="O376" s="52"/>
    </row>
    <row r="377">
      <c r="M377" s="52"/>
      <c r="N377" s="52"/>
      <c r="O377" s="52"/>
    </row>
    <row r="378">
      <c r="M378" s="52"/>
      <c r="N378" s="52"/>
      <c r="O378" s="52"/>
    </row>
    <row r="379">
      <c r="M379" s="52"/>
      <c r="N379" s="52"/>
      <c r="O379" s="52"/>
    </row>
    <row r="380">
      <c r="M380" s="52"/>
      <c r="N380" s="52"/>
      <c r="O380" s="52"/>
    </row>
    <row r="381">
      <c r="M381" s="52"/>
      <c r="N381" s="52"/>
      <c r="O381" s="52"/>
    </row>
    <row r="382">
      <c r="M382" s="52"/>
      <c r="N382" s="52"/>
      <c r="O382" s="52"/>
    </row>
    <row r="383">
      <c r="M383" s="52"/>
      <c r="N383" s="52"/>
      <c r="O383" s="52"/>
    </row>
    <row r="384">
      <c r="M384" s="52"/>
      <c r="N384" s="52"/>
      <c r="O384" s="52"/>
    </row>
    <row r="385">
      <c r="M385" s="52"/>
      <c r="N385" s="52"/>
      <c r="O385" s="52"/>
    </row>
    <row r="386">
      <c r="M386" s="52"/>
      <c r="N386" s="52"/>
      <c r="O386" s="52"/>
    </row>
    <row r="387">
      <c r="M387" s="52"/>
      <c r="N387" s="52"/>
      <c r="O387" s="52"/>
    </row>
    <row r="388">
      <c r="M388" s="52"/>
      <c r="N388" s="52"/>
      <c r="O388" s="52"/>
    </row>
    <row r="389">
      <c r="M389" s="52"/>
      <c r="N389" s="52"/>
      <c r="O389" s="52"/>
    </row>
    <row r="390">
      <c r="M390" s="52"/>
      <c r="N390" s="52"/>
      <c r="O390" s="52"/>
    </row>
    <row r="391">
      <c r="M391" s="52"/>
      <c r="N391" s="52"/>
      <c r="O391" s="52"/>
    </row>
    <row r="392">
      <c r="M392" s="52"/>
      <c r="N392" s="52"/>
      <c r="O392" s="52"/>
    </row>
    <row r="393">
      <c r="M393" s="52"/>
      <c r="N393" s="52"/>
      <c r="O393" s="52"/>
    </row>
    <row r="394">
      <c r="M394" s="52"/>
      <c r="N394" s="52"/>
      <c r="O394" s="52"/>
    </row>
    <row r="395">
      <c r="M395" s="52"/>
      <c r="N395" s="52"/>
      <c r="O395" s="52"/>
    </row>
    <row r="396">
      <c r="M396" s="52"/>
      <c r="N396" s="52"/>
      <c r="O396" s="52"/>
    </row>
    <row r="397">
      <c r="M397" s="52"/>
      <c r="N397" s="52"/>
      <c r="O397" s="52"/>
    </row>
    <row r="398">
      <c r="M398" s="52"/>
      <c r="N398" s="52"/>
      <c r="O398" s="52"/>
    </row>
    <row r="399">
      <c r="M399" s="52"/>
      <c r="N399" s="52"/>
      <c r="O399" s="52"/>
    </row>
    <row r="400">
      <c r="M400" s="52"/>
      <c r="N400" s="52"/>
      <c r="O400" s="52"/>
    </row>
    <row r="401">
      <c r="M401" s="52"/>
      <c r="N401" s="52"/>
      <c r="O401" s="52"/>
    </row>
    <row r="402">
      <c r="M402" s="52"/>
      <c r="N402" s="52"/>
      <c r="O402" s="52"/>
    </row>
    <row r="403">
      <c r="M403" s="52"/>
      <c r="N403" s="52"/>
      <c r="O403" s="52"/>
    </row>
    <row r="404">
      <c r="M404" s="52"/>
      <c r="N404" s="52"/>
      <c r="O404" s="52"/>
    </row>
    <row r="405">
      <c r="M405" s="52"/>
      <c r="N405" s="52"/>
      <c r="O405" s="52"/>
    </row>
    <row r="406">
      <c r="M406" s="52"/>
      <c r="N406" s="52"/>
      <c r="O406" s="52"/>
    </row>
    <row r="407">
      <c r="M407" s="52"/>
      <c r="N407" s="52"/>
      <c r="O407" s="52"/>
    </row>
    <row r="408">
      <c r="M408" s="52"/>
      <c r="N408" s="52"/>
      <c r="O408" s="52"/>
    </row>
    <row r="409">
      <c r="M409" s="52"/>
      <c r="N409" s="52"/>
      <c r="O409" s="52"/>
    </row>
    <row r="410">
      <c r="M410" s="52"/>
      <c r="N410" s="52"/>
      <c r="O410" s="52"/>
    </row>
    <row r="411">
      <c r="M411" s="52"/>
      <c r="N411" s="52"/>
      <c r="O411" s="52"/>
    </row>
    <row r="412">
      <c r="M412" s="52"/>
      <c r="N412" s="52"/>
      <c r="O412" s="52"/>
    </row>
    <row r="413">
      <c r="M413" s="52"/>
      <c r="N413" s="52"/>
      <c r="O413" s="52"/>
    </row>
    <row r="414">
      <c r="M414" s="52"/>
      <c r="N414" s="52"/>
      <c r="O414" s="52"/>
    </row>
    <row r="415">
      <c r="M415" s="52"/>
      <c r="N415" s="52"/>
      <c r="O415" s="52"/>
    </row>
    <row r="416">
      <c r="M416" s="52"/>
      <c r="N416" s="52"/>
      <c r="O416" s="52"/>
    </row>
    <row r="417">
      <c r="M417" s="52"/>
      <c r="N417" s="52"/>
      <c r="O417" s="52"/>
    </row>
    <row r="418">
      <c r="M418" s="52"/>
      <c r="N418" s="52"/>
      <c r="O418" s="52"/>
    </row>
    <row r="419">
      <c r="M419" s="52"/>
      <c r="N419" s="52"/>
      <c r="O419" s="52"/>
    </row>
    <row r="420">
      <c r="M420" s="52"/>
      <c r="N420" s="52"/>
      <c r="O420" s="52"/>
    </row>
    <row r="421">
      <c r="M421" s="52"/>
      <c r="N421" s="52"/>
      <c r="O421" s="52"/>
    </row>
    <row r="422">
      <c r="M422" s="52"/>
      <c r="N422" s="52"/>
      <c r="O422" s="52"/>
    </row>
    <row r="423">
      <c r="M423" s="52"/>
      <c r="N423" s="52"/>
      <c r="O423" s="52"/>
    </row>
    <row r="424">
      <c r="M424" s="52"/>
      <c r="N424" s="52"/>
      <c r="O424" s="52"/>
    </row>
    <row r="425">
      <c r="M425" s="52"/>
      <c r="N425" s="52"/>
      <c r="O425" s="52"/>
    </row>
    <row r="426">
      <c r="M426" s="52"/>
      <c r="N426" s="52"/>
      <c r="O426" s="52"/>
    </row>
    <row r="427">
      <c r="M427" s="52"/>
      <c r="N427" s="52"/>
      <c r="O427" s="52"/>
    </row>
    <row r="428">
      <c r="M428" s="52"/>
      <c r="N428" s="52"/>
      <c r="O428" s="52"/>
    </row>
    <row r="429">
      <c r="M429" s="52"/>
      <c r="N429" s="52"/>
      <c r="O429" s="52"/>
    </row>
    <row r="430">
      <c r="M430" s="52"/>
      <c r="N430" s="52"/>
      <c r="O430" s="52"/>
    </row>
    <row r="431">
      <c r="M431" s="52"/>
      <c r="N431" s="52"/>
      <c r="O431" s="52"/>
    </row>
    <row r="432">
      <c r="M432" s="52"/>
      <c r="N432" s="52"/>
      <c r="O432" s="52"/>
    </row>
    <row r="433">
      <c r="M433" s="52"/>
      <c r="N433" s="52"/>
      <c r="O433" s="52"/>
    </row>
    <row r="434">
      <c r="M434" s="52"/>
      <c r="N434" s="52"/>
      <c r="O434" s="52"/>
    </row>
    <row r="435">
      <c r="M435" s="52"/>
      <c r="N435" s="52"/>
      <c r="O435" s="52"/>
    </row>
    <row r="436">
      <c r="M436" s="52"/>
      <c r="N436" s="52"/>
      <c r="O436" s="52"/>
    </row>
    <row r="437">
      <c r="M437" s="52"/>
      <c r="N437" s="52"/>
      <c r="O437" s="52"/>
    </row>
    <row r="438">
      <c r="M438" s="52"/>
      <c r="N438" s="52"/>
      <c r="O438" s="52"/>
    </row>
    <row r="439">
      <c r="M439" s="52"/>
      <c r="N439" s="52"/>
      <c r="O439" s="52"/>
    </row>
    <row r="440">
      <c r="M440" s="52"/>
      <c r="N440" s="52"/>
      <c r="O440" s="52"/>
    </row>
    <row r="441">
      <c r="M441" s="52"/>
      <c r="N441" s="52"/>
      <c r="O441" s="52"/>
    </row>
    <row r="442">
      <c r="M442" s="52"/>
      <c r="N442" s="52"/>
      <c r="O442" s="52"/>
    </row>
    <row r="443">
      <c r="M443" s="52"/>
      <c r="N443" s="52"/>
      <c r="O443" s="52"/>
    </row>
    <row r="444">
      <c r="M444" s="52"/>
      <c r="N444" s="52"/>
      <c r="O444" s="52"/>
    </row>
    <row r="445">
      <c r="M445" s="52"/>
      <c r="N445" s="52"/>
      <c r="O445" s="52"/>
    </row>
    <row r="446">
      <c r="M446" s="52"/>
      <c r="N446" s="52"/>
      <c r="O446" s="52"/>
    </row>
    <row r="447">
      <c r="M447" s="52"/>
      <c r="N447" s="52"/>
      <c r="O447" s="52"/>
    </row>
    <row r="448">
      <c r="M448" s="52"/>
      <c r="N448" s="52"/>
      <c r="O448" s="52"/>
    </row>
    <row r="449">
      <c r="M449" s="52"/>
      <c r="N449" s="52"/>
      <c r="O449" s="52"/>
    </row>
    <row r="450">
      <c r="M450" s="52"/>
      <c r="N450" s="52"/>
      <c r="O450" s="52"/>
    </row>
    <row r="451">
      <c r="M451" s="52"/>
      <c r="N451" s="52"/>
      <c r="O451" s="52"/>
    </row>
    <row r="452">
      <c r="M452" s="52"/>
      <c r="N452" s="52"/>
      <c r="O452" s="52"/>
    </row>
    <row r="453">
      <c r="M453" s="52"/>
      <c r="N453" s="52"/>
      <c r="O453" s="52"/>
    </row>
    <row r="454">
      <c r="M454" s="52"/>
      <c r="N454" s="52"/>
      <c r="O454" s="52"/>
    </row>
    <row r="455">
      <c r="M455" s="52"/>
      <c r="N455" s="52"/>
      <c r="O455" s="52"/>
    </row>
    <row r="456">
      <c r="M456" s="52"/>
      <c r="N456" s="52"/>
      <c r="O456" s="52"/>
    </row>
    <row r="457">
      <c r="M457" s="52"/>
      <c r="N457" s="52"/>
      <c r="O457" s="52"/>
    </row>
    <row r="458">
      <c r="M458" s="52"/>
      <c r="N458" s="52"/>
      <c r="O458" s="52"/>
    </row>
    <row r="459">
      <c r="M459" s="52"/>
      <c r="N459" s="52"/>
      <c r="O459" s="52"/>
    </row>
    <row r="460">
      <c r="M460" s="52"/>
      <c r="N460" s="52"/>
      <c r="O460" s="52"/>
    </row>
    <row r="461">
      <c r="M461" s="52"/>
      <c r="N461" s="52"/>
      <c r="O461" s="52"/>
    </row>
    <row r="462">
      <c r="M462" s="52"/>
      <c r="N462" s="52"/>
      <c r="O462" s="52"/>
    </row>
    <row r="463">
      <c r="M463" s="52"/>
      <c r="N463" s="52"/>
      <c r="O463" s="52"/>
    </row>
    <row r="464">
      <c r="M464" s="52"/>
      <c r="N464" s="52"/>
      <c r="O464" s="52"/>
    </row>
    <row r="465">
      <c r="M465" s="52"/>
      <c r="N465" s="52"/>
      <c r="O465" s="52"/>
    </row>
    <row r="466">
      <c r="M466" s="52"/>
      <c r="N466" s="52"/>
      <c r="O466" s="52"/>
    </row>
    <row r="467">
      <c r="M467" s="52"/>
      <c r="N467" s="52"/>
      <c r="O467" s="52"/>
    </row>
    <row r="468">
      <c r="M468" s="52"/>
      <c r="N468" s="52"/>
      <c r="O468" s="52"/>
    </row>
    <row r="469">
      <c r="M469" s="52"/>
      <c r="N469" s="52"/>
      <c r="O469" s="52"/>
    </row>
    <row r="470">
      <c r="M470" s="52"/>
      <c r="N470" s="52"/>
      <c r="O470" s="52"/>
    </row>
    <row r="471">
      <c r="M471" s="52"/>
      <c r="N471" s="52"/>
      <c r="O471" s="52"/>
    </row>
    <row r="472">
      <c r="M472" s="52"/>
      <c r="N472" s="52"/>
      <c r="O472" s="52"/>
    </row>
    <row r="473">
      <c r="M473" s="52"/>
      <c r="N473" s="52"/>
      <c r="O473" s="52"/>
    </row>
    <row r="474">
      <c r="M474" s="52"/>
      <c r="N474" s="52"/>
      <c r="O474" s="52"/>
    </row>
    <row r="475">
      <c r="M475" s="52"/>
      <c r="N475" s="52"/>
      <c r="O475" s="52"/>
    </row>
    <row r="476">
      <c r="M476" s="52"/>
      <c r="N476" s="52"/>
      <c r="O476" s="52"/>
    </row>
    <row r="477">
      <c r="M477" s="52"/>
      <c r="N477" s="52"/>
      <c r="O477" s="52"/>
    </row>
    <row r="478">
      <c r="M478" s="52"/>
      <c r="N478" s="52"/>
      <c r="O478" s="52"/>
    </row>
    <row r="479">
      <c r="M479" s="52"/>
      <c r="N479" s="52"/>
      <c r="O479" s="52"/>
    </row>
    <row r="480">
      <c r="M480" s="52"/>
      <c r="N480" s="52"/>
      <c r="O480" s="52"/>
    </row>
    <row r="481">
      <c r="M481" s="52"/>
      <c r="N481" s="52"/>
      <c r="O481" s="52"/>
    </row>
    <row r="482">
      <c r="M482" s="52"/>
      <c r="N482" s="52"/>
      <c r="O482" s="52"/>
    </row>
    <row r="483">
      <c r="M483" s="52"/>
      <c r="N483" s="52"/>
      <c r="O483" s="52"/>
    </row>
    <row r="484">
      <c r="M484" s="52"/>
      <c r="N484" s="52"/>
      <c r="O484" s="52"/>
    </row>
    <row r="485">
      <c r="M485" s="52"/>
      <c r="N485" s="52"/>
      <c r="O485" s="52"/>
    </row>
    <row r="486">
      <c r="M486" s="52"/>
      <c r="N486" s="52"/>
      <c r="O486" s="52"/>
    </row>
    <row r="487">
      <c r="M487" s="52"/>
      <c r="N487" s="52"/>
      <c r="O487" s="52"/>
    </row>
    <row r="488">
      <c r="M488" s="52"/>
      <c r="N488" s="52"/>
      <c r="O488" s="52"/>
    </row>
    <row r="489">
      <c r="M489" s="52"/>
      <c r="N489" s="52"/>
      <c r="O489" s="52"/>
    </row>
    <row r="490">
      <c r="M490" s="52"/>
      <c r="N490" s="52"/>
      <c r="O490" s="52"/>
    </row>
    <row r="491">
      <c r="M491" s="52"/>
      <c r="N491" s="52"/>
      <c r="O491" s="52"/>
    </row>
    <row r="492">
      <c r="M492" s="52"/>
      <c r="N492" s="52"/>
      <c r="O492" s="52"/>
    </row>
    <row r="493">
      <c r="M493" s="52"/>
      <c r="N493" s="52"/>
      <c r="O493" s="52"/>
    </row>
    <row r="494">
      <c r="M494" s="52"/>
      <c r="N494" s="52"/>
      <c r="O494" s="52"/>
    </row>
    <row r="495">
      <c r="M495" s="52"/>
      <c r="N495" s="52"/>
      <c r="O495" s="52"/>
    </row>
    <row r="496">
      <c r="M496" s="52"/>
      <c r="N496" s="52"/>
      <c r="O496" s="52"/>
    </row>
    <row r="497">
      <c r="M497" s="52"/>
      <c r="N497" s="52"/>
      <c r="O497" s="52"/>
    </row>
    <row r="498">
      <c r="M498" s="52"/>
      <c r="N498" s="52"/>
      <c r="O498" s="52"/>
    </row>
    <row r="499">
      <c r="M499" s="52"/>
      <c r="N499" s="52"/>
      <c r="O499" s="52"/>
    </row>
    <row r="500">
      <c r="M500" s="52"/>
      <c r="N500" s="52"/>
      <c r="O500" s="52"/>
    </row>
    <row r="501">
      <c r="M501" s="52"/>
      <c r="N501" s="52"/>
      <c r="O501" s="52"/>
    </row>
    <row r="502">
      <c r="M502" s="52"/>
      <c r="N502" s="52"/>
      <c r="O502" s="52"/>
    </row>
    <row r="503">
      <c r="M503" s="52"/>
      <c r="N503" s="52"/>
      <c r="O503" s="52"/>
    </row>
    <row r="504">
      <c r="M504" s="52"/>
      <c r="N504" s="52"/>
      <c r="O504" s="52"/>
    </row>
    <row r="505">
      <c r="M505" s="52"/>
      <c r="N505" s="52"/>
      <c r="O505" s="52"/>
    </row>
    <row r="506">
      <c r="M506" s="52"/>
      <c r="N506" s="52"/>
      <c r="O506" s="52"/>
    </row>
    <row r="507">
      <c r="M507" s="52"/>
      <c r="N507" s="52"/>
      <c r="O507" s="52"/>
    </row>
    <row r="508">
      <c r="M508" s="52"/>
      <c r="N508" s="52"/>
      <c r="O508" s="52"/>
    </row>
    <row r="509">
      <c r="M509" s="52"/>
      <c r="N509" s="52"/>
      <c r="O509" s="52"/>
    </row>
    <row r="510">
      <c r="M510" s="52"/>
      <c r="N510" s="52"/>
      <c r="O510" s="52"/>
    </row>
    <row r="511">
      <c r="M511" s="52"/>
      <c r="N511" s="52"/>
      <c r="O511" s="52"/>
    </row>
    <row r="512">
      <c r="M512" s="52"/>
      <c r="N512" s="52"/>
      <c r="O512" s="52"/>
    </row>
    <row r="513">
      <c r="M513" s="52"/>
      <c r="N513" s="52"/>
      <c r="O513" s="52"/>
    </row>
    <row r="514">
      <c r="M514" s="52"/>
      <c r="N514" s="52"/>
      <c r="O514" s="52"/>
    </row>
    <row r="515">
      <c r="M515" s="52"/>
      <c r="N515" s="52"/>
      <c r="O515" s="52"/>
    </row>
    <row r="516">
      <c r="M516" s="52"/>
      <c r="N516" s="52"/>
      <c r="O516" s="52"/>
    </row>
    <row r="517">
      <c r="M517" s="52"/>
      <c r="N517" s="52"/>
      <c r="O517" s="52"/>
    </row>
    <row r="518">
      <c r="M518" s="52"/>
      <c r="N518" s="52"/>
      <c r="O518" s="52"/>
    </row>
    <row r="519">
      <c r="M519" s="52"/>
      <c r="N519" s="52"/>
      <c r="O519" s="52"/>
    </row>
    <row r="520">
      <c r="M520" s="52"/>
      <c r="N520" s="52"/>
      <c r="O520" s="52"/>
    </row>
    <row r="521">
      <c r="M521" s="52"/>
      <c r="N521" s="52"/>
      <c r="O521" s="52"/>
    </row>
    <row r="522">
      <c r="M522" s="52"/>
      <c r="N522" s="52"/>
      <c r="O522" s="52"/>
    </row>
    <row r="523">
      <c r="M523" s="52"/>
      <c r="N523" s="52"/>
      <c r="O523" s="52"/>
    </row>
    <row r="524">
      <c r="M524" s="52"/>
      <c r="N524" s="52"/>
      <c r="O524" s="52"/>
    </row>
    <row r="525">
      <c r="M525" s="52"/>
      <c r="N525" s="52"/>
      <c r="O525" s="52"/>
    </row>
    <row r="526">
      <c r="M526" s="52"/>
      <c r="N526" s="52"/>
      <c r="O526" s="52"/>
    </row>
    <row r="527">
      <c r="M527" s="52"/>
      <c r="N527" s="52"/>
      <c r="O527" s="52"/>
    </row>
    <row r="528">
      <c r="M528" s="52"/>
      <c r="N528" s="52"/>
      <c r="O528" s="52"/>
    </row>
    <row r="529">
      <c r="M529" s="52"/>
      <c r="N529" s="52"/>
      <c r="O529" s="52"/>
    </row>
    <row r="530">
      <c r="M530" s="52"/>
      <c r="N530" s="52"/>
      <c r="O530" s="52"/>
    </row>
    <row r="531">
      <c r="M531" s="52"/>
      <c r="N531" s="52"/>
      <c r="O531" s="52"/>
    </row>
    <row r="532">
      <c r="M532" s="52"/>
      <c r="N532" s="52"/>
      <c r="O532" s="52"/>
    </row>
    <row r="533">
      <c r="M533" s="52"/>
      <c r="N533" s="52"/>
      <c r="O533" s="52"/>
    </row>
    <row r="534">
      <c r="M534" s="52"/>
      <c r="N534" s="52"/>
      <c r="O534" s="52"/>
    </row>
    <row r="535">
      <c r="M535" s="52"/>
      <c r="N535" s="52"/>
      <c r="O535" s="52"/>
    </row>
    <row r="536">
      <c r="M536" s="52"/>
      <c r="N536" s="52"/>
      <c r="O536" s="52"/>
    </row>
    <row r="537">
      <c r="M537" s="52"/>
      <c r="N537" s="52"/>
      <c r="O537" s="52"/>
    </row>
    <row r="538">
      <c r="M538" s="52"/>
      <c r="N538" s="52"/>
      <c r="O538" s="52"/>
    </row>
    <row r="539">
      <c r="M539" s="52"/>
      <c r="N539" s="52"/>
      <c r="O539" s="52"/>
    </row>
    <row r="540">
      <c r="M540" s="52"/>
      <c r="N540" s="52"/>
      <c r="O540" s="52"/>
    </row>
    <row r="541">
      <c r="M541" s="52"/>
      <c r="N541" s="52"/>
      <c r="O541" s="52"/>
    </row>
    <row r="542">
      <c r="M542" s="52"/>
      <c r="N542" s="52"/>
      <c r="O542" s="52"/>
    </row>
    <row r="543">
      <c r="M543" s="52"/>
      <c r="N543" s="52"/>
      <c r="O543" s="52"/>
    </row>
    <row r="544">
      <c r="M544" s="52"/>
      <c r="N544" s="52"/>
      <c r="O544" s="52"/>
    </row>
    <row r="545">
      <c r="M545" s="52"/>
      <c r="N545" s="52"/>
      <c r="O545" s="52"/>
    </row>
    <row r="546">
      <c r="M546" s="52"/>
      <c r="N546" s="52"/>
      <c r="O546" s="52"/>
    </row>
    <row r="547">
      <c r="M547" s="52"/>
      <c r="N547" s="52"/>
      <c r="O547" s="52"/>
    </row>
    <row r="548">
      <c r="M548" s="52"/>
      <c r="N548" s="52"/>
      <c r="O548" s="52"/>
    </row>
    <row r="549">
      <c r="M549" s="52"/>
      <c r="N549" s="52"/>
      <c r="O549" s="52"/>
    </row>
    <row r="550">
      <c r="M550" s="52"/>
      <c r="N550" s="52"/>
      <c r="O550" s="52"/>
    </row>
    <row r="551">
      <c r="M551" s="52"/>
      <c r="N551" s="52"/>
      <c r="O551" s="52"/>
    </row>
    <row r="552">
      <c r="M552" s="52"/>
      <c r="N552" s="52"/>
      <c r="O552" s="52"/>
    </row>
    <row r="553">
      <c r="M553" s="52"/>
      <c r="N553" s="52"/>
      <c r="O553" s="52"/>
    </row>
    <row r="554">
      <c r="M554" s="52"/>
      <c r="N554" s="52"/>
      <c r="O554" s="52"/>
    </row>
    <row r="555">
      <c r="M555" s="52"/>
      <c r="N555" s="52"/>
      <c r="O555" s="52"/>
    </row>
    <row r="556">
      <c r="M556" s="52"/>
      <c r="N556" s="52"/>
      <c r="O556" s="52"/>
    </row>
    <row r="557">
      <c r="M557" s="52"/>
      <c r="N557" s="52"/>
      <c r="O557" s="52"/>
    </row>
    <row r="558">
      <c r="M558" s="52"/>
      <c r="N558" s="52"/>
      <c r="O558" s="52"/>
    </row>
    <row r="559">
      <c r="M559" s="52"/>
      <c r="N559" s="52"/>
      <c r="O559" s="52"/>
    </row>
    <row r="560">
      <c r="M560" s="52"/>
      <c r="N560" s="52"/>
      <c r="O560" s="52"/>
    </row>
    <row r="561">
      <c r="M561" s="52"/>
      <c r="N561" s="52"/>
      <c r="O561" s="52"/>
    </row>
    <row r="562">
      <c r="M562" s="52"/>
      <c r="N562" s="52"/>
      <c r="O562" s="52"/>
    </row>
    <row r="563">
      <c r="M563" s="52"/>
      <c r="N563" s="52"/>
      <c r="O563" s="52"/>
    </row>
    <row r="564">
      <c r="M564" s="52"/>
      <c r="N564" s="52"/>
      <c r="O564" s="52"/>
    </row>
    <row r="565">
      <c r="M565" s="52"/>
      <c r="N565" s="52"/>
      <c r="O565" s="52"/>
    </row>
    <row r="566">
      <c r="M566" s="52"/>
      <c r="N566" s="52"/>
      <c r="O566" s="52"/>
    </row>
    <row r="567">
      <c r="M567" s="52"/>
      <c r="N567" s="52"/>
      <c r="O567" s="52"/>
    </row>
    <row r="568">
      <c r="M568" s="52"/>
      <c r="N568" s="52"/>
      <c r="O568" s="52"/>
    </row>
    <row r="569">
      <c r="M569" s="52"/>
      <c r="N569" s="52"/>
      <c r="O569" s="52"/>
    </row>
    <row r="570">
      <c r="M570" s="52"/>
      <c r="N570" s="52"/>
      <c r="O570" s="52"/>
    </row>
    <row r="571">
      <c r="M571" s="52"/>
      <c r="N571" s="52"/>
      <c r="O571" s="52"/>
    </row>
    <row r="572">
      <c r="M572" s="52"/>
      <c r="N572" s="52"/>
      <c r="O572" s="52"/>
    </row>
    <row r="573">
      <c r="M573" s="52"/>
      <c r="N573" s="52"/>
      <c r="O573" s="52"/>
    </row>
    <row r="574">
      <c r="M574" s="52"/>
      <c r="N574" s="52"/>
      <c r="O574" s="52"/>
    </row>
    <row r="575">
      <c r="M575" s="52"/>
      <c r="N575" s="52"/>
      <c r="O575" s="52"/>
    </row>
    <row r="576">
      <c r="M576" s="52"/>
      <c r="N576" s="52"/>
      <c r="O576" s="52"/>
    </row>
    <row r="577">
      <c r="M577" s="52"/>
      <c r="N577" s="52"/>
      <c r="O577" s="52"/>
    </row>
    <row r="578">
      <c r="M578" s="52"/>
      <c r="N578" s="52"/>
      <c r="O578" s="52"/>
    </row>
    <row r="579">
      <c r="M579" s="52"/>
      <c r="N579" s="52"/>
      <c r="O579" s="52"/>
    </row>
    <row r="580">
      <c r="M580" s="52"/>
      <c r="N580" s="52"/>
      <c r="O580" s="52"/>
    </row>
    <row r="581">
      <c r="M581" s="52"/>
      <c r="N581" s="52"/>
      <c r="O581" s="52"/>
    </row>
    <row r="582">
      <c r="M582" s="52"/>
      <c r="N582" s="52"/>
      <c r="O582" s="52"/>
    </row>
    <row r="583">
      <c r="M583" s="52"/>
      <c r="N583" s="52"/>
      <c r="O583" s="52"/>
    </row>
    <row r="584">
      <c r="M584" s="52"/>
      <c r="N584" s="52"/>
      <c r="O584" s="52"/>
    </row>
    <row r="585">
      <c r="M585" s="52"/>
      <c r="N585" s="52"/>
      <c r="O585" s="52"/>
    </row>
    <row r="586">
      <c r="M586" s="52"/>
      <c r="N586" s="52"/>
      <c r="O586" s="52"/>
    </row>
    <row r="587">
      <c r="M587" s="52"/>
      <c r="N587" s="52"/>
      <c r="O587" s="52"/>
    </row>
    <row r="588">
      <c r="M588" s="52"/>
      <c r="N588" s="52"/>
      <c r="O588" s="52"/>
    </row>
    <row r="589">
      <c r="M589" s="52"/>
      <c r="N589" s="52"/>
      <c r="O589" s="52"/>
    </row>
    <row r="590">
      <c r="M590" s="52"/>
      <c r="N590" s="52"/>
      <c r="O590" s="52"/>
    </row>
    <row r="591">
      <c r="M591" s="52"/>
      <c r="N591" s="52"/>
      <c r="O591" s="52"/>
    </row>
    <row r="592">
      <c r="M592" s="52"/>
      <c r="N592" s="52"/>
      <c r="O592" s="52"/>
    </row>
    <row r="593">
      <c r="M593" s="52"/>
      <c r="N593" s="52"/>
      <c r="O593" s="52"/>
    </row>
    <row r="594">
      <c r="M594" s="52"/>
      <c r="N594" s="52"/>
      <c r="O594" s="52"/>
    </row>
    <row r="595">
      <c r="M595" s="52"/>
      <c r="N595" s="52"/>
      <c r="O595" s="52"/>
    </row>
    <row r="596">
      <c r="M596" s="52"/>
      <c r="N596" s="52"/>
      <c r="O596" s="52"/>
    </row>
    <row r="597">
      <c r="M597" s="52"/>
      <c r="N597" s="52"/>
      <c r="O597" s="52"/>
    </row>
    <row r="598">
      <c r="M598" s="52"/>
      <c r="N598" s="52"/>
      <c r="O598" s="52"/>
    </row>
    <row r="599">
      <c r="M599" s="52"/>
      <c r="N599" s="52"/>
      <c r="O599" s="52"/>
    </row>
    <row r="600">
      <c r="M600" s="52"/>
      <c r="N600" s="52"/>
      <c r="O600" s="52"/>
    </row>
    <row r="601">
      <c r="M601" s="52"/>
      <c r="N601" s="52"/>
      <c r="O601" s="52"/>
    </row>
    <row r="602">
      <c r="M602" s="52"/>
      <c r="N602" s="52"/>
      <c r="O602" s="52"/>
    </row>
    <row r="603">
      <c r="M603" s="52"/>
      <c r="N603" s="52"/>
      <c r="O603" s="52"/>
    </row>
    <row r="604">
      <c r="M604" s="52"/>
      <c r="N604" s="52"/>
      <c r="O604" s="52"/>
    </row>
    <row r="605">
      <c r="M605" s="52"/>
      <c r="N605" s="52"/>
      <c r="O605" s="52"/>
    </row>
    <row r="606">
      <c r="M606" s="52"/>
      <c r="N606" s="52"/>
      <c r="O606" s="52"/>
    </row>
    <row r="607">
      <c r="M607" s="52"/>
      <c r="N607" s="52"/>
      <c r="O607" s="52"/>
    </row>
    <row r="608">
      <c r="M608" s="52"/>
      <c r="N608" s="52"/>
      <c r="O608" s="52"/>
    </row>
    <row r="609">
      <c r="M609" s="52"/>
      <c r="N609" s="52"/>
      <c r="O609" s="52"/>
    </row>
    <row r="610">
      <c r="M610" s="52"/>
      <c r="N610" s="52"/>
      <c r="O610" s="52"/>
    </row>
    <row r="611">
      <c r="M611" s="52"/>
      <c r="N611" s="52"/>
      <c r="O611" s="52"/>
    </row>
    <row r="612">
      <c r="M612" s="52"/>
      <c r="N612" s="52"/>
      <c r="O612" s="52"/>
    </row>
    <row r="613">
      <c r="M613" s="52"/>
      <c r="N613" s="52"/>
      <c r="O613" s="52"/>
    </row>
    <row r="614">
      <c r="M614" s="52"/>
      <c r="N614" s="52"/>
      <c r="O614" s="52"/>
    </row>
    <row r="615">
      <c r="M615" s="52"/>
      <c r="N615" s="52"/>
      <c r="O615" s="52"/>
    </row>
    <row r="616">
      <c r="M616" s="52"/>
      <c r="N616" s="52"/>
      <c r="O616" s="52"/>
    </row>
    <row r="617">
      <c r="M617" s="52"/>
      <c r="N617" s="52"/>
      <c r="O617" s="52"/>
    </row>
    <row r="618">
      <c r="M618" s="52"/>
      <c r="N618" s="52"/>
      <c r="O618" s="52"/>
    </row>
    <row r="619">
      <c r="M619" s="52"/>
      <c r="N619" s="52"/>
      <c r="O619" s="52"/>
    </row>
    <row r="620">
      <c r="M620" s="52"/>
      <c r="N620" s="52"/>
      <c r="O620" s="52"/>
    </row>
    <row r="621">
      <c r="M621" s="52"/>
      <c r="N621" s="52"/>
      <c r="O621" s="52"/>
    </row>
    <row r="622">
      <c r="M622" s="52"/>
      <c r="N622" s="52"/>
      <c r="O622" s="52"/>
    </row>
    <row r="623">
      <c r="M623" s="52"/>
      <c r="N623" s="52"/>
      <c r="O623" s="52"/>
    </row>
    <row r="624">
      <c r="M624" s="52"/>
      <c r="N624" s="52"/>
      <c r="O624" s="52"/>
    </row>
    <row r="625">
      <c r="M625" s="52"/>
      <c r="N625" s="52"/>
      <c r="O625" s="52"/>
    </row>
    <row r="626">
      <c r="M626" s="52"/>
      <c r="N626" s="52"/>
      <c r="O626" s="52"/>
    </row>
    <row r="627">
      <c r="M627" s="52"/>
      <c r="N627" s="52"/>
      <c r="O627" s="52"/>
    </row>
    <row r="628">
      <c r="M628" s="52"/>
      <c r="N628" s="52"/>
      <c r="O628" s="52"/>
    </row>
    <row r="629">
      <c r="M629" s="52"/>
      <c r="N629" s="52"/>
      <c r="O629" s="52"/>
    </row>
    <row r="630">
      <c r="M630" s="52"/>
      <c r="N630" s="52"/>
      <c r="O630" s="52"/>
    </row>
    <row r="631">
      <c r="M631" s="52"/>
      <c r="N631" s="52"/>
      <c r="O631" s="52"/>
    </row>
    <row r="632">
      <c r="M632" s="52"/>
      <c r="N632" s="52"/>
      <c r="O632" s="52"/>
    </row>
    <row r="633">
      <c r="M633" s="52"/>
      <c r="N633" s="52"/>
      <c r="O633" s="52"/>
    </row>
    <row r="634">
      <c r="M634" s="52"/>
      <c r="N634" s="52"/>
      <c r="O634" s="52"/>
    </row>
    <row r="635">
      <c r="M635" s="52"/>
      <c r="N635" s="52"/>
      <c r="O635" s="52"/>
    </row>
    <row r="636">
      <c r="M636" s="52"/>
      <c r="N636" s="52"/>
      <c r="O636" s="52"/>
    </row>
    <row r="637">
      <c r="M637" s="52"/>
      <c r="N637" s="52"/>
      <c r="O637" s="52"/>
    </row>
    <row r="638">
      <c r="M638" s="52"/>
      <c r="N638" s="52"/>
      <c r="O638" s="52"/>
    </row>
    <row r="639">
      <c r="M639" s="52"/>
      <c r="N639" s="52"/>
      <c r="O639" s="52"/>
    </row>
    <row r="640">
      <c r="M640" s="52"/>
      <c r="N640" s="52"/>
      <c r="O640" s="52"/>
    </row>
    <row r="641">
      <c r="M641" s="52"/>
      <c r="N641" s="52"/>
      <c r="O641" s="52"/>
    </row>
    <row r="642">
      <c r="M642" s="52"/>
      <c r="N642" s="52"/>
      <c r="O642" s="52"/>
    </row>
    <row r="643">
      <c r="M643" s="52"/>
      <c r="N643" s="52"/>
      <c r="O643" s="52"/>
    </row>
    <row r="644">
      <c r="M644" s="52"/>
      <c r="N644" s="52"/>
      <c r="O644" s="52"/>
    </row>
    <row r="645">
      <c r="M645" s="52"/>
      <c r="N645" s="52"/>
      <c r="O645" s="52"/>
    </row>
    <row r="646">
      <c r="M646" s="52"/>
      <c r="N646" s="52"/>
      <c r="O646" s="52"/>
    </row>
    <row r="647">
      <c r="M647" s="52"/>
      <c r="N647" s="52"/>
      <c r="O647" s="52"/>
    </row>
    <row r="648">
      <c r="M648" s="52"/>
      <c r="N648" s="52"/>
      <c r="O648" s="52"/>
    </row>
    <row r="649">
      <c r="M649" s="52"/>
      <c r="N649" s="52"/>
      <c r="O649" s="52"/>
    </row>
    <row r="650">
      <c r="M650" s="52"/>
      <c r="N650" s="52"/>
      <c r="O650" s="52"/>
    </row>
    <row r="651">
      <c r="M651" s="52"/>
      <c r="N651" s="52"/>
      <c r="O651" s="52"/>
    </row>
    <row r="652">
      <c r="M652" s="52"/>
      <c r="N652" s="52"/>
      <c r="O652" s="52"/>
    </row>
    <row r="653">
      <c r="M653" s="52"/>
      <c r="N653" s="52"/>
      <c r="O653" s="52"/>
    </row>
    <row r="654">
      <c r="M654" s="52"/>
      <c r="N654" s="52"/>
      <c r="O654" s="52"/>
    </row>
    <row r="655">
      <c r="M655" s="52"/>
      <c r="N655" s="52"/>
      <c r="O655" s="52"/>
    </row>
    <row r="656">
      <c r="M656" s="52"/>
      <c r="N656" s="52"/>
      <c r="O656" s="52"/>
    </row>
    <row r="657">
      <c r="M657" s="52"/>
      <c r="N657" s="52"/>
      <c r="O657" s="52"/>
    </row>
    <row r="658">
      <c r="M658" s="52"/>
      <c r="N658" s="52"/>
      <c r="O658" s="52"/>
    </row>
    <row r="659">
      <c r="M659" s="52"/>
      <c r="N659" s="52"/>
      <c r="O659" s="52"/>
    </row>
    <row r="660">
      <c r="M660" s="52"/>
      <c r="N660" s="52"/>
      <c r="O660" s="52"/>
    </row>
    <row r="661">
      <c r="M661" s="52"/>
      <c r="N661" s="52"/>
      <c r="O661" s="52"/>
    </row>
    <row r="662">
      <c r="M662" s="52"/>
      <c r="N662" s="52"/>
      <c r="O662" s="52"/>
    </row>
    <row r="663">
      <c r="M663" s="52"/>
      <c r="N663" s="52"/>
      <c r="O663" s="52"/>
    </row>
    <row r="664">
      <c r="M664" s="52"/>
      <c r="N664" s="52"/>
      <c r="O664" s="52"/>
    </row>
    <row r="665">
      <c r="M665" s="52"/>
      <c r="N665" s="52"/>
      <c r="O665" s="52"/>
    </row>
    <row r="666">
      <c r="M666" s="52"/>
      <c r="N666" s="52"/>
      <c r="O666" s="52"/>
    </row>
    <row r="667">
      <c r="M667" s="52"/>
      <c r="N667" s="52"/>
      <c r="O667" s="52"/>
    </row>
    <row r="668">
      <c r="M668" s="52"/>
      <c r="N668" s="52"/>
      <c r="O668" s="52"/>
    </row>
    <row r="669">
      <c r="M669" s="52"/>
      <c r="N669" s="52"/>
      <c r="O669" s="52"/>
    </row>
    <row r="670">
      <c r="M670" s="52"/>
      <c r="N670" s="52"/>
      <c r="O670" s="52"/>
    </row>
    <row r="671">
      <c r="M671" s="52"/>
      <c r="N671" s="52"/>
      <c r="O671" s="52"/>
    </row>
    <row r="672">
      <c r="M672" s="52"/>
      <c r="N672" s="52"/>
      <c r="O672" s="52"/>
    </row>
    <row r="673">
      <c r="M673" s="52"/>
      <c r="N673" s="52"/>
      <c r="O673" s="52"/>
    </row>
    <row r="674">
      <c r="M674" s="52"/>
      <c r="N674" s="52"/>
      <c r="O674" s="52"/>
    </row>
    <row r="675">
      <c r="M675" s="52"/>
      <c r="N675" s="52"/>
      <c r="O675" s="52"/>
    </row>
    <row r="676">
      <c r="M676" s="52"/>
      <c r="N676" s="52"/>
      <c r="O676" s="52"/>
    </row>
    <row r="677">
      <c r="M677" s="52"/>
      <c r="N677" s="52"/>
      <c r="O677" s="52"/>
    </row>
    <row r="678">
      <c r="M678" s="52"/>
      <c r="N678" s="52"/>
      <c r="O678" s="52"/>
    </row>
    <row r="679">
      <c r="M679" s="52"/>
      <c r="N679" s="52"/>
      <c r="O679" s="52"/>
    </row>
    <row r="680">
      <c r="M680" s="52"/>
      <c r="N680" s="52"/>
      <c r="O680" s="52"/>
    </row>
    <row r="681">
      <c r="M681" s="52"/>
      <c r="N681" s="52"/>
      <c r="O681" s="52"/>
    </row>
    <row r="682">
      <c r="M682" s="52"/>
      <c r="N682" s="52"/>
      <c r="O682" s="52"/>
    </row>
    <row r="683">
      <c r="M683" s="52"/>
      <c r="N683" s="52"/>
      <c r="O683" s="52"/>
    </row>
    <row r="684">
      <c r="M684" s="52"/>
      <c r="N684" s="52"/>
      <c r="O684" s="52"/>
    </row>
    <row r="685">
      <c r="M685" s="52"/>
      <c r="N685" s="52"/>
      <c r="O685" s="52"/>
    </row>
    <row r="686">
      <c r="M686" s="52"/>
      <c r="N686" s="52"/>
      <c r="O686" s="52"/>
    </row>
    <row r="687">
      <c r="M687" s="52"/>
      <c r="N687" s="52"/>
      <c r="O687" s="52"/>
    </row>
    <row r="688">
      <c r="M688" s="52"/>
      <c r="N688" s="52"/>
      <c r="O688" s="52"/>
    </row>
    <row r="689">
      <c r="M689" s="52"/>
      <c r="N689" s="52"/>
      <c r="O689" s="52"/>
    </row>
    <row r="690">
      <c r="M690" s="52"/>
      <c r="N690" s="52"/>
      <c r="O690" s="52"/>
    </row>
    <row r="691">
      <c r="M691" s="52"/>
      <c r="N691" s="52"/>
      <c r="O691" s="52"/>
    </row>
    <row r="692">
      <c r="M692" s="52"/>
      <c r="N692" s="52"/>
      <c r="O692" s="52"/>
    </row>
    <row r="693">
      <c r="M693" s="52"/>
      <c r="N693" s="52"/>
      <c r="O693" s="52"/>
    </row>
    <row r="694">
      <c r="M694" s="52"/>
      <c r="N694" s="52"/>
      <c r="O694" s="52"/>
    </row>
    <row r="695">
      <c r="M695" s="52"/>
      <c r="N695" s="52"/>
      <c r="O695" s="52"/>
    </row>
    <row r="696">
      <c r="M696" s="52"/>
      <c r="N696" s="52"/>
      <c r="O696" s="52"/>
    </row>
    <row r="697">
      <c r="M697" s="52"/>
      <c r="N697" s="52"/>
      <c r="O697" s="52"/>
    </row>
    <row r="698">
      <c r="M698" s="52"/>
      <c r="N698" s="52"/>
      <c r="O698" s="52"/>
    </row>
    <row r="699">
      <c r="M699" s="52"/>
      <c r="N699" s="52"/>
      <c r="O699" s="52"/>
    </row>
    <row r="700">
      <c r="M700" s="52"/>
      <c r="N700" s="52"/>
      <c r="O700" s="52"/>
    </row>
    <row r="701">
      <c r="M701" s="52"/>
      <c r="N701" s="52"/>
      <c r="O701" s="52"/>
    </row>
    <row r="702">
      <c r="M702" s="52"/>
      <c r="N702" s="52"/>
      <c r="O702" s="52"/>
    </row>
    <row r="703">
      <c r="M703" s="52"/>
      <c r="N703" s="52"/>
      <c r="O703" s="52"/>
    </row>
    <row r="704">
      <c r="M704" s="52"/>
      <c r="N704" s="52"/>
      <c r="O704" s="52"/>
    </row>
    <row r="705">
      <c r="M705" s="52"/>
      <c r="N705" s="52"/>
      <c r="O705" s="52"/>
    </row>
    <row r="706">
      <c r="M706" s="52"/>
      <c r="N706" s="52"/>
      <c r="O706" s="52"/>
    </row>
    <row r="707">
      <c r="M707" s="52"/>
      <c r="N707" s="52"/>
      <c r="O707" s="52"/>
    </row>
    <row r="708">
      <c r="M708" s="52"/>
      <c r="N708" s="52"/>
      <c r="O708" s="52"/>
    </row>
    <row r="709">
      <c r="M709" s="52"/>
      <c r="N709" s="52"/>
      <c r="O709" s="52"/>
    </row>
    <row r="710">
      <c r="M710" s="52"/>
      <c r="N710" s="52"/>
      <c r="O710" s="52"/>
    </row>
    <row r="711">
      <c r="M711" s="52"/>
      <c r="N711" s="52"/>
      <c r="O711" s="52"/>
    </row>
    <row r="712">
      <c r="M712" s="52"/>
      <c r="N712" s="52"/>
      <c r="O712" s="52"/>
    </row>
    <row r="713">
      <c r="M713" s="52"/>
      <c r="N713" s="52"/>
      <c r="O713" s="52"/>
    </row>
    <row r="714">
      <c r="M714" s="52"/>
      <c r="N714" s="52"/>
      <c r="O714" s="52"/>
    </row>
    <row r="715">
      <c r="M715" s="52"/>
      <c r="N715" s="52"/>
      <c r="O715" s="52"/>
    </row>
    <row r="716">
      <c r="M716" s="52"/>
      <c r="N716" s="52"/>
      <c r="O716" s="52"/>
    </row>
    <row r="717">
      <c r="M717" s="52"/>
      <c r="N717" s="52"/>
      <c r="O717" s="52"/>
    </row>
    <row r="718">
      <c r="M718" s="52"/>
      <c r="N718" s="52"/>
      <c r="O718" s="52"/>
    </row>
    <row r="719">
      <c r="M719" s="52"/>
      <c r="N719" s="52"/>
      <c r="O719" s="52"/>
    </row>
    <row r="720">
      <c r="M720" s="52"/>
      <c r="N720" s="52"/>
      <c r="O720" s="52"/>
    </row>
    <row r="721">
      <c r="M721" s="52"/>
      <c r="N721" s="52"/>
      <c r="O721" s="52"/>
    </row>
    <row r="722">
      <c r="M722" s="52"/>
      <c r="N722" s="52"/>
      <c r="O722" s="52"/>
    </row>
    <row r="723">
      <c r="M723" s="52"/>
      <c r="N723" s="52"/>
      <c r="O723" s="52"/>
    </row>
    <row r="724">
      <c r="M724" s="52"/>
      <c r="N724" s="52"/>
      <c r="O724" s="52"/>
    </row>
    <row r="725">
      <c r="M725" s="52"/>
      <c r="N725" s="52"/>
      <c r="O725" s="52"/>
    </row>
    <row r="726">
      <c r="M726" s="52"/>
      <c r="N726" s="52"/>
      <c r="O726" s="52"/>
    </row>
    <row r="727">
      <c r="M727" s="52"/>
      <c r="N727" s="52"/>
      <c r="O727" s="52"/>
    </row>
    <row r="728">
      <c r="M728" s="52"/>
      <c r="N728" s="52"/>
      <c r="O728" s="52"/>
    </row>
    <row r="729">
      <c r="M729" s="52"/>
      <c r="N729" s="52"/>
      <c r="O729" s="52"/>
    </row>
    <row r="730">
      <c r="M730" s="52"/>
      <c r="N730" s="52"/>
      <c r="O730" s="52"/>
    </row>
    <row r="731">
      <c r="M731" s="52"/>
      <c r="N731" s="52"/>
      <c r="O731" s="52"/>
    </row>
    <row r="732">
      <c r="M732" s="52"/>
      <c r="N732" s="52"/>
      <c r="O732" s="52"/>
    </row>
    <row r="733">
      <c r="M733" s="52"/>
      <c r="N733" s="52"/>
      <c r="O733" s="52"/>
    </row>
    <row r="734">
      <c r="M734" s="52"/>
      <c r="N734" s="52"/>
      <c r="O734" s="52"/>
    </row>
    <row r="735">
      <c r="M735" s="52"/>
      <c r="N735" s="52"/>
      <c r="O735" s="52"/>
    </row>
    <row r="736">
      <c r="M736" s="52"/>
      <c r="N736" s="52"/>
      <c r="O736" s="52"/>
    </row>
    <row r="737">
      <c r="M737" s="52"/>
      <c r="N737" s="52"/>
      <c r="O737" s="52"/>
    </row>
    <row r="738">
      <c r="M738" s="52"/>
      <c r="N738" s="52"/>
      <c r="O738" s="52"/>
    </row>
    <row r="739">
      <c r="M739" s="52"/>
      <c r="N739" s="52"/>
      <c r="O739" s="52"/>
    </row>
    <row r="740">
      <c r="M740" s="52"/>
      <c r="N740" s="52"/>
      <c r="O740" s="52"/>
    </row>
    <row r="741">
      <c r="M741" s="52"/>
      <c r="N741" s="52"/>
      <c r="O741" s="52"/>
    </row>
    <row r="742">
      <c r="M742" s="52"/>
      <c r="N742" s="52"/>
      <c r="O742" s="52"/>
    </row>
    <row r="743">
      <c r="M743" s="52"/>
      <c r="N743" s="52"/>
      <c r="O743" s="52"/>
    </row>
    <row r="744">
      <c r="M744" s="52"/>
      <c r="N744" s="52"/>
      <c r="O744" s="52"/>
    </row>
    <row r="745">
      <c r="M745" s="52"/>
      <c r="N745" s="52"/>
      <c r="O745" s="52"/>
    </row>
    <row r="746">
      <c r="M746" s="52"/>
      <c r="N746" s="52"/>
      <c r="O746" s="52"/>
    </row>
    <row r="747">
      <c r="M747" s="52"/>
      <c r="N747" s="52"/>
      <c r="O747" s="52"/>
    </row>
    <row r="748">
      <c r="M748" s="52"/>
      <c r="N748" s="52"/>
      <c r="O748" s="52"/>
    </row>
    <row r="749">
      <c r="M749" s="52"/>
      <c r="N749" s="52"/>
      <c r="O749" s="52"/>
    </row>
    <row r="750">
      <c r="M750" s="52"/>
      <c r="N750" s="52"/>
      <c r="O750" s="52"/>
    </row>
    <row r="751">
      <c r="M751" s="52"/>
      <c r="N751" s="52"/>
      <c r="O751" s="52"/>
    </row>
    <row r="752">
      <c r="M752" s="52"/>
      <c r="N752" s="52"/>
      <c r="O752" s="52"/>
    </row>
    <row r="753">
      <c r="M753" s="52"/>
      <c r="N753" s="52"/>
      <c r="O753" s="52"/>
    </row>
    <row r="754">
      <c r="M754" s="52"/>
      <c r="N754" s="52"/>
      <c r="O754" s="52"/>
    </row>
    <row r="755">
      <c r="M755" s="52"/>
      <c r="N755" s="52"/>
      <c r="O755" s="52"/>
    </row>
    <row r="756">
      <c r="M756" s="52"/>
      <c r="N756" s="52"/>
      <c r="O756" s="52"/>
    </row>
    <row r="757">
      <c r="M757" s="52"/>
      <c r="N757" s="52"/>
      <c r="O757" s="52"/>
    </row>
    <row r="758">
      <c r="M758" s="52"/>
      <c r="N758" s="52"/>
      <c r="O758" s="52"/>
    </row>
    <row r="759">
      <c r="M759" s="52"/>
      <c r="N759" s="52"/>
      <c r="O759" s="52"/>
    </row>
    <row r="760">
      <c r="M760" s="52"/>
      <c r="N760" s="52"/>
      <c r="O760" s="52"/>
    </row>
    <row r="761">
      <c r="M761" s="52"/>
      <c r="N761" s="52"/>
      <c r="O761" s="52"/>
    </row>
    <row r="762">
      <c r="M762" s="52"/>
      <c r="N762" s="52"/>
      <c r="O762" s="52"/>
    </row>
    <row r="763">
      <c r="M763" s="52"/>
      <c r="N763" s="52"/>
      <c r="O763" s="52"/>
    </row>
    <row r="764">
      <c r="M764" s="52"/>
      <c r="N764" s="52"/>
      <c r="O764" s="52"/>
    </row>
    <row r="765">
      <c r="M765" s="52"/>
      <c r="N765" s="52"/>
      <c r="O765" s="52"/>
    </row>
    <row r="766">
      <c r="M766" s="52"/>
      <c r="N766" s="52"/>
      <c r="O766" s="52"/>
    </row>
    <row r="767">
      <c r="M767" s="52"/>
      <c r="N767" s="52"/>
      <c r="O767" s="52"/>
    </row>
    <row r="768">
      <c r="M768" s="52"/>
      <c r="N768" s="52"/>
      <c r="O768" s="52"/>
    </row>
    <row r="769">
      <c r="M769" s="52"/>
      <c r="N769" s="52"/>
      <c r="O769" s="52"/>
    </row>
    <row r="770">
      <c r="M770" s="52"/>
      <c r="N770" s="52"/>
      <c r="O770" s="52"/>
    </row>
    <row r="771">
      <c r="M771" s="52"/>
      <c r="N771" s="52"/>
      <c r="O771" s="52"/>
    </row>
    <row r="772">
      <c r="M772" s="52"/>
      <c r="N772" s="52"/>
      <c r="O772" s="52"/>
    </row>
    <row r="773">
      <c r="M773" s="52"/>
      <c r="N773" s="52"/>
      <c r="O773" s="52"/>
    </row>
    <row r="774">
      <c r="M774" s="52"/>
      <c r="N774" s="52"/>
      <c r="O774" s="52"/>
    </row>
    <row r="775">
      <c r="M775" s="52"/>
      <c r="N775" s="52"/>
      <c r="O775" s="52"/>
    </row>
    <row r="776">
      <c r="M776" s="52"/>
      <c r="N776" s="52"/>
      <c r="O776" s="52"/>
    </row>
    <row r="777">
      <c r="M777" s="52"/>
      <c r="N777" s="52"/>
      <c r="O777" s="52"/>
    </row>
    <row r="778">
      <c r="M778" s="52"/>
      <c r="N778" s="52"/>
      <c r="O778" s="52"/>
    </row>
    <row r="779">
      <c r="M779" s="52"/>
      <c r="N779" s="52"/>
      <c r="O779" s="52"/>
    </row>
    <row r="780">
      <c r="M780" s="52"/>
      <c r="N780" s="52"/>
      <c r="O780" s="52"/>
    </row>
    <row r="781">
      <c r="M781" s="52"/>
      <c r="N781" s="52"/>
      <c r="O781" s="52"/>
    </row>
    <row r="782">
      <c r="M782" s="52"/>
      <c r="N782" s="52"/>
      <c r="O782" s="52"/>
    </row>
    <row r="783">
      <c r="M783" s="52"/>
      <c r="N783" s="52"/>
      <c r="O783" s="52"/>
    </row>
    <row r="784">
      <c r="M784" s="52"/>
      <c r="N784" s="52"/>
      <c r="O784" s="52"/>
    </row>
    <row r="785">
      <c r="M785" s="52"/>
      <c r="N785" s="52"/>
      <c r="O785" s="52"/>
    </row>
    <row r="786">
      <c r="M786" s="52"/>
      <c r="N786" s="52"/>
      <c r="O786" s="52"/>
    </row>
    <row r="787">
      <c r="M787" s="52"/>
      <c r="N787" s="52"/>
      <c r="O787" s="52"/>
    </row>
    <row r="788">
      <c r="M788" s="52"/>
      <c r="N788" s="52"/>
      <c r="O788" s="52"/>
    </row>
    <row r="789">
      <c r="M789" s="52"/>
      <c r="N789" s="52"/>
      <c r="O789" s="52"/>
    </row>
    <row r="790">
      <c r="M790" s="52"/>
      <c r="N790" s="52"/>
      <c r="O790" s="52"/>
    </row>
    <row r="791">
      <c r="M791" s="52"/>
      <c r="N791" s="52"/>
      <c r="O791" s="52"/>
    </row>
    <row r="792">
      <c r="M792" s="52"/>
      <c r="N792" s="52"/>
      <c r="O792" s="52"/>
    </row>
    <row r="793">
      <c r="M793" s="52"/>
      <c r="N793" s="52"/>
      <c r="O793" s="52"/>
    </row>
    <row r="794">
      <c r="M794" s="52"/>
      <c r="N794" s="52"/>
      <c r="O794" s="52"/>
    </row>
    <row r="795">
      <c r="M795" s="52"/>
      <c r="N795" s="52"/>
      <c r="O795" s="52"/>
    </row>
    <row r="796">
      <c r="M796" s="52"/>
      <c r="N796" s="52"/>
      <c r="O796" s="52"/>
    </row>
    <row r="797">
      <c r="M797" s="52"/>
      <c r="N797" s="52"/>
      <c r="O797" s="52"/>
    </row>
    <row r="798">
      <c r="M798" s="52"/>
      <c r="N798" s="52"/>
      <c r="O798" s="52"/>
    </row>
    <row r="799">
      <c r="M799" s="52"/>
      <c r="N799" s="52"/>
      <c r="O799" s="52"/>
    </row>
    <row r="800">
      <c r="M800" s="52"/>
      <c r="N800" s="52"/>
      <c r="O800" s="52"/>
    </row>
    <row r="801">
      <c r="M801" s="52"/>
      <c r="N801" s="52"/>
      <c r="O801" s="52"/>
    </row>
    <row r="802">
      <c r="M802" s="52"/>
      <c r="N802" s="52"/>
      <c r="O802" s="52"/>
    </row>
    <row r="803">
      <c r="M803" s="52"/>
      <c r="N803" s="52"/>
      <c r="O803" s="52"/>
    </row>
    <row r="804">
      <c r="M804" s="52"/>
      <c r="N804" s="52"/>
      <c r="O804" s="52"/>
    </row>
    <row r="805">
      <c r="M805" s="52"/>
      <c r="N805" s="52"/>
      <c r="O805" s="52"/>
    </row>
    <row r="806">
      <c r="M806" s="52"/>
      <c r="N806" s="52"/>
      <c r="O806" s="52"/>
    </row>
    <row r="807">
      <c r="M807" s="52"/>
      <c r="N807" s="52"/>
      <c r="O807" s="52"/>
    </row>
    <row r="808">
      <c r="M808" s="52"/>
      <c r="N808" s="52"/>
      <c r="O808" s="52"/>
    </row>
    <row r="809">
      <c r="M809" s="52"/>
      <c r="N809" s="52"/>
      <c r="O809" s="52"/>
    </row>
    <row r="810">
      <c r="M810" s="52"/>
      <c r="N810" s="52"/>
      <c r="O810" s="52"/>
    </row>
    <row r="811">
      <c r="M811" s="52"/>
      <c r="N811" s="52"/>
      <c r="O811" s="52"/>
    </row>
    <row r="812">
      <c r="M812" s="52"/>
      <c r="N812" s="52"/>
      <c r="O812" s="52"/>
    </row>
    <row r="813">
      <c r="M813" s="52"/>
      <c r="N813" s="52"/>
      <c r="O813" s="52"/>
    </row>
    <row r="814">
      <c r="M814" s="52"/>
      <c r="N814" s="52"/>
      <c r="O814" s="52"/>
    </row>
    <row r="815">
      <c r="M815" s="52"/>
      <c r="N815" s="52"/>
      <c r="O815" s="52"/>
    </row>
    <row r="816">
      <c r="M816" s="52"/>
      <c r="N816" s="52"/>
      <c r="O816" s="52"/>
    </row>
    <row r="817">
      <c r="M817" s="52"/>
      <c r="N817" s="52"/>
      <c r="O817" s="52"/>
    </row>
    <row r="818">
      <c r="M818" s="52"/>
      <c r="N818" s="52"/>
      <c r="O818" s="52"/>
    </row>
    <row r="819">
      <c r="M819" s="52"/>
      <c r="N819" s="52"/>
      <c r="O819" s="52"/>
    </row>
    <row r="820">
      <c r="M820" s="52"/>
      <c r="N820" s="52"/>
      <c r="O820" s="52"/>
    </row>
    <row r="821">
      <c r="M821" s="52"/>
      <c r="N821" s="52"/>
      <c r="O821" s="52"/>
    </row>
    <row r="822">
      <c r="M822" s="52"/>
      <c r="N822" s="52"/>
      <c r="O822" s="52"/>
    </row>
    <row r="823">
      <c r="M823" s="52"/>
      <c r="N823" s="52"/>
      <c r="O823" s="52"/>
    </row>
    <row r="824">
      <c r="M824" s="52"/>
      <c r="N824" s="52"/>
      <c r="O824" s="52"/>
    </row>
    <row r="825">
      <c r="M825" s="52"/>
      <c r="N825" s="52"/>
      <c r="O825" s="52"/>
    </row>
    <row r="826">
      <c r="M826" s="52"/>
      <c r="N826" s="52"/>
      <c r="O826" s="52"/>
    </row>
    <row r="827">
      <c r="M827" s="52"/>
      <c r="N827" s="52"/>
      <c r="O827" s="52"/>
    </row>
    <row r="828">
      <c r="M828" s="52"/>
      <c r="N828" s="52"/>
      <c r="O828" s="52"/>
    </row>
    <row r="829">
      <c r="M829" s="52"/>
      <c r="N829" s="52"/>
      <c r="O829" s="52"/>
    </row>
    <row r="830">
      <c r="M830" s="52"/>
      <c r="N830" s="52"/>
      <c r="O830" s="52"/>
    </row>
    <row r="831">
      <c r="M831" s="52"/>
      <c r="N831" s="52"/>
      <c r="O831" s="52"/>
    </row>
    <row r="832">
      <c r="M832" s="52"/>
      <c r="N832" s="52"/>
      <c r="O832" s="52"/>
    </row>
    <row r="833">
      <c r="M833" s="52"/>
      <c r="N833" s="52"/>
      <c r="O833" s="52"/>
    </row>
    <row r="834">
      <c r="M834" s="52"/>
      <c r="N834" s="52"/>
      <c r="O834" s="52"/>
    </row>
    <row r="835">
      <c r="M835" s="52"/>
      <c r="N835" s="52"/>
      <c r="O835" s="52"/>
    </row>
    <row r="836">
      <c r="M836" s="52"/>
      <c r="N836" s="52"/>
      <c r="O836" s="52"/>
    </row>
    <row r="837">
      <c r="M837" s="52"/>
      <c r="N837" s="52"/>
      <c r="O837" s="52"/>
    </row>
    <row r="838">
      <c r="M838" s="52"/>
      <c r="N838" s="52"/>
      <c r="O838" s="52"/>
    </row>
    <row r="839">
      <c r="M839" s="52"/>
      <c r="N839" s="52"/>
      <c r="O839" s="52"/>
    </row>
    <row r="840">
      <c r="M840" s="52"/>
      <c r="N840" s="52"/>
      <c r="O840" s="52"/>
    </row>
    <row r="841">
      <c r="M841" s="52"/>
      <c r="N841" s="52"/>
      <c r="O841" s="52"/>
    </row>
    <row r="842">
      <c r="M842" s="52"/>
      <c r="N842" s="52"/>
      <c r="O842" s="52"/>
    </row>
    <row r="843">
      <c r="M843" s="52"/>
      <c r="N843" s="52"/>
      <c r="O843" s="52"/>
    </row>
    <row r="844">
      <c r="M844" s="52"/>
      <c r="N844" s="52"/>
      <c r="O844" s="52"/>
    </row>
    <row r="845">
      <c r="M845" s="52"/>
      <c r="N845" s="52"/>
      <c r="O845" s="52"/>
    </row>
    <row r="846">
      <c r="M846" s="52"/>
      <c r="N846" s="52"/>
      <c r="O846" s="52"/>
    </row>
    <row r="847">
      <c r="M847" s="52"/>
      <c r="N847" s="52"/>
      <c r="O847" s="52"/>
    </row>
    <row r="848">
      <c r="M848" s="52"/>
      <c r="N848" s="52"/>
      <c r="O848" s="52"/>
    </row>
    <row r="849">
      <c r="M849" s="52"/>
      <c r="N849" s="52"/>
      <c r="O849" s="52"/>
    </row>
    <row r="850">
      <c r="M850" s="52"/>
      <c r="N850" s="52"/>
      <c r="O850" s="52"/>
    </row>
    <row r="851">
      <c r="M851" s="52"/>
      <c r="N851" s="52"/>
      <c r="O851" s="52"/>
    </row>
    <row r="852">
      <c r="M852" s="52"/>
      <c r="N852" s="52"/>
      <c r="O852" s="52"/>
    </row>
    <row r="853">
      <c r="M853" s="52"/>
      <c r="N853" s="52"/>
      <c r="O853" s="52"/>
    </row>
    <row r="854">
      <c r="M854" s="52"/>
      <c r="N854" s="52"/>
      <c r="O854" s="52"/>
    </row>
    <row r="855">
      <c r="M855" s="52"/>
      <c r="N855" s="52"/>
      <c r="O855" s="52"/>
    </row>
    <row r="856">
      <c r="M856" s="52"/>
      <c r="N856" s="52"/>
      <c r="O856" s="52"/>
    </row>
    <row r="857">
      <c r="M857" s="52"/>
      <c r="N857" s="52"/>
      <c r="O857" s="52"/>
    </row>
    <row r="858">
      <c r="M858" s="52"/>
      <c r="N858" s="52"/>
      <c r="O858" s="52"/>
    </row>
    <row r="859">
      <c r="M859" s="52"/>
      <c r="N859" s="52"/>
      <c r="O859" s="52"/>
    </row>
    <row r="860">
      <c r="M860" s="52"/>
      <c r="N860" s="52"/>
      <c r="O860" s="52"/>
    </row>
    <row r="861">
      <c r="M861" s="52"/>
      <c r="N861" s="52"/>
      <c r="O861" s="52"/>
    </row>
    <row r="862">
      <c r="M862" s="52"/>
      <c r="N862" s="52"/>
      <c r="O862" s="52"/>
    </row>
    <row r="863">
      <c r="M863" s="52"/>
      <c r="N863" s="52"/>
      <c r="O863" s="52"/>
    </row>
    <row r="864">
      <c r="M864" s="52"/>
      <c r="N864" s="52"/>
      <c r="O864" s="52"/>
    </row>
    <row r="865">
      <c r="M865" s="52"/>
      <c r="N865" s="52"/>
      <c r="O865" s="52"/>
    </row>
    <row r="866">
      <c r="M866" s="52"/>
      <c r="N866" s="52"/>
      <c r="O866" s="52"/>
    </row>
    <row r="867">
      <c r="M867" s="52"/>
      <c r="N867" s="52"/>
      <c r="O867" s="52"/>
    </row>
    <row r="868">
      <c r="M868" s="52"/>
      <c r="N868" s="52"/>
      <c r="O868" s="52"/>
    </row>
    <row r="869">
      <c r="M869" s="52"/>
      <c r="N869" s="52"/>
      <c r="O869" s="52"/>
    </row>
    <row r="870">
      <c r="M870" s="52"/>
      <c r="N870" s="52"/>
      <c r="O870" s="52"/>
    </row>
    <row r="871">
      <c r="M871" s="52"/>
      <c r="N871" s="52"/>
      <c r="O871" s="52"/>
    </row>
    <row r="872">
      <c r="M872" s="52"/>
      <c r="N872" s="52"/>
      <c r="O872" s="52"/>
    </row>
    <row r="873">
      <c r="M873" s="52"/>
      <c r="N873" s="52"/>
      <c r="O873" s="52"/>
    </row>
    <row r="874">
      <c r="M874" s="52"/>
      <c r="N874" s="52"/>
      <c r="O874" s="52"/>
    </row>
    <row r="875">
      <c r="M875" s="52"/>
      <c r="N875" s="52"/>
      <c r="O875" s="52"/>
    </row>
    <row r="876">
      <c r="M876" s="52"/>
      <c r="N876" s="52"/>
      <c r="O876" s="52"/>
    </row>
    <row r="877">
      <c r="M877" s="52"/>
      <c r="N877" s="52"/>
      <c r="O877" s="52"/>
    </row>
    <row r="878">
      <c r="M878" s="52"/>
      <c r="N878" s="52"/>
      <c r="O878" s="52"/>
    </row>
    <row r="879">
      <c r="M879" s="52"/>
      <c r="N879" s="52"/>
      <c r="O879" s="52"/>
    </row>
    <row r="880">
      <c r="M880" s="52"/>
      <c r="N880" s="52"/>
      <c r="O880" s="52"/>
    </row>
    <row r="881">
      <c r="M881" s="52"/>
      <c r="N881" s="52"/>
      <c r="O881" s="52"/>
    </row>
    <row r="882">
      <c r="M882" s="52"/>
      <c r="N882" s="52"/>
      <c r="O882" s="52"/>
    </row>
    <row r="883">
      <c r="M883" s="52"/>
      <c r="N883" s="52"/>
      <c r="O883" s="52"/>
    </row>
    <row r="884">
      <c r="M884" s="52"/>
      <c r="N884" s="52"/>
      <c r="O884" s="52"/>
    </row>
    <row r="885">
      <c r="M885" s="52"/>
      <c r="N885" s="52"/>
      <c r="O885" s="52"/>
    </row>
    <row r="886">
      <c r="M886" s="52"/>
      <c r="N886" s="52"/>
      <c r="O886" s="52"/>
    </row>
    <row r="887">
      <c r="M887" s="52"/>
      <c r="N887" s="52"/>
      <c r="O887" s="52"/>
    </row>
    <row r="888">
      <c r="M888" s="52"/>
      <c r="N888" s="52"/>
      <c r="O888" s="52"/>
    </row>
    <row r="889">
      <c r="M889" s="52"/>
      <c r="N889" s="52"/>
      <c r="O889" s="52"/>
    </row>
    <row r="890">
      <c r="M890" s="52"/>
      <c r="N890" s="52"/>
      <c r="O890" s="52"/>
    </row>
    <row r="891">
      <c r="M891" s="52"/>
      <c r="N891" s="52"/>
      <c r="O891" s="52"/>
    </row>
    <row r="892">
      <c r="M892" s="52"/>
      <c r="N892" s="52"/>
      <c r="O892" s="52"/>
    </row>
    <row r="893">
      <c r="M893" s="52"/>
      <c r="N893" s="52"/>
      <c r="O893" s="52"/>
    </row>
    <row r="894">
      <c r="M894" s="52"/>
      <c r="N894" s="52"/>
      <c r="O894" s="52"/>
    </row>
    <row r="895">
      <c r="M895" s="52"/>
      <c r="N895" s="52"/>
      <c r="O895" s="52"/>
    </row>
    <row r="896">
      <c r="M896" s="52"/>
      <c r="N896" s="52"/>
      <c r="O896" s="52"/>
    </row>
    <row r="897">
      <c r="M897" s="52"/>
      <c r="N897" s="52"/>
      <c r="O897" s="52"/>
    </row>
    <row r="898">
      <c r="M898" s="52"/>
      <c r="N898" s="52"/>
      <c r="O898" s="52"/>
    </row>
    <row r="899">
      <c r="M899" s="52"/>
      <c r="N899" s="52"/>
      <c r="O899" s="52"/>
    </row>
    <row r="900">
      <c r="M900" s="52"/>
      <c r="N900" s="52"/>
      <c r="O900" s="52"/>
    </row>
    <row r="901">
      <c r="M901" s="52"/>
      <c r="N901" s="52"/>
      <c r="O901" s="52"/>
    </row>
    <row r="902">
      <c r="M902" s="52"/>
      <c r="N902" s="52"/>
      <c r="O902" s="52"/>
    </row>
    <row r="903">
      <c r="M903" s="52"/>
      <c r="N903" s="52"/>
      <c r="O903" s="52"/>
    </row>
    <row r="904">
      <c r="M904" s="52"/>
      <c r="N904" s="52"/>
      <c r="O904" s="52"/>
    </row>
    <row r="905">
      <c r="M905" s="52"/>
      <c r="N905" s="52"/>
      <c r="O905" s="52"/>
    </row>
    <row r="906">
      <c r="M906" s="52"/>
      <c r="N906" s="52"/>
      <c r="O906" s="52"/>
    </row>
    <row r="907">
      <c r="M907" s="52"/>
      <c r="N907" s="52"/>
      <c r="O907" s="52"/>
    </row>
    <row r="908">
      <c r="M908" s="52"/>
      <c r="N908" s="52"/>
      <c r="O908" s="52"/>
    </row>
    <row r="909">
      <c r="M909" s="52"/>
      <c r="N909" s="52"/>
      <c r="O909" s="52"/>
    </row>
    <row r="910">
      <c r="M910" s="52"/>
      <c r="N910" s="52"/>
      <c r="O910" s="52"/>
    </row>
    <row r="911">
      <c r="M911" s="52"/>
      <c r="N911" s="52"/>
      <c r="O911" s="52"/>
    </row>
    <row r="912">
      <c r="M912" s="52"/>
      <c r="N912" s="52"/>
      <c r="O912" s="52"/>
    </row>
    <row r="913">
      <c r="M913" s="52"/>
      <c r="N913" s="52"/>
      <c r="O913" s="52"/>
    </row>
    <row r="914">
      <c r="M914" s="52"/>
      <c r="N914" s="52"/>
      <c r="O914" s="52"/>
    </row>
    <row r="915">
      <c r="M915" s="52"/>
      <c r="N915" s="52"/>
      <c r="O915" s="52"/>
    </row>
    <row r="916">
      <c r="M916" s="52"/>
      <c r="N916" s="52"/>
      <c r="O916" s="52"/>
    </row>
    <row r="917">
      <c r="M917" s="52"/>
      <c r="N917" s="52"/>
      <c r="O917" s="52"/>
    </row>
    <row r="918">
      <c r="M918" s="52"/>
      <c r="N918" s="52"/>
      <c r="O918" s="52"/>
    </row>
    <row r="919">
      <c r="M919" s="52"/>
      <c r="N919" s="52"/>
      <c r="O919" s="52"/>
    </row>
    <row r="920">
      <c r="M920" s="52"/>
      <c r="N920" s="52"/>
      <c r="O920" s="52"/>
    </row>
    <row r="921">
      <c r="M921" s="52"/>
      <c r="N921" s="52"/>
      <c r="O921" s="52"/>
    </row>
    <row r="922">
      <c r="M922" s="52"/>
      <c r="N922" s="52"/>
      <c r="O922" s="52"/>
    </row>
    <row r="923">
      <c r="M923" s="52"/>
      <c r="N923" s="52"/>
      <c r="O923" s="52"/>
    </row>
    <row r="924">
      <c r="M924" s="52"/>
      <c r="N924" s="52"/>
      <c r="O924" s="52"/>
    </row>
    <row r="925">
      <c r="M925" s="52"/>
      <c r="N925" s="52"/>
      <c r="O925" s="52"/>
    </row>
    <row r="926">
      <c r="M926" s="52"/>
      <c r="N926" s="52"/>
      <c r="O926" s="52"/>
    </row>
    <row r="927">
      <c r="M927" s="52"/>
      <c r="N927" s="52"/>
      <c r="O927" s="52"/>
    </row>
    <row r="928">
      <c r="M928" s="52"/>
      <c r="N928" s="52"/>
      <c r="O928" s="52"/>
    </row>
    <row r="929">
      <c r="M929" s="52"/>
      <c r="N929" s="52"/>
      <c r="O929" s="52"/>
    </row>
    <row r="930">
      <c r="M930" s="52"/>
      <c r="N930" s="52"/>
      <c r="O930" s="52"/>
    </row>
    <row r="931">
      <c r="M931" s="52"/>
      <c r="N931" s="52"/>
      <c r="O931" s="52"/>
    </row>
    <row r="932">
      <c r="M932" s="52"/>
      <c r="N932" s="52"/>
      <c r="O932" s="52"/>
    </row>
    <row r="933">
      <c r="M933" s="52"/>
      <c r="N933" s="52"/>
      <c r="O933" s="52"/>
    </row>
    <row r="934">
      <c r="M934" s="52"/>
      <c r="N934" s="52"/>
      <c r="O934" s="52"/>
    </row>
    <row r="935">
      <c r="M935" s="52"/>
      <c r="N935" s="52"/>
      <c r="O935" s="52"/>
    </row>
    <row r="936">
      <c r="M936" s="52"/>
      <c r="N936" s="52"/>
      <c r="O936" s="52"/>
    </row>
    <row r="937">
      <c r="M937" s="52"/>
      <c r="N937" s="52"/>
      <c r="O937" s="52"/>
    </row>
    <row r="938">
      <c r="M938" s="52"/>
      <c r="N938" s="52"/>
      <c r="O938" s="52"/>
    </row>
    <row r="939">
      <c r="M939" s="52"/>
      <c r="N939" s="52"/>
      <c r="O939" s="52"/>
    </row>
    <row r="940">
      <c r="M940" s="52"/>
      <c r="N940" s="52"/>
      <c r="O940" s="52"/>
    </row>
    <row r="941">
      <c r="M941" s="52"/>
      <c r="N941" s="52"/>
      <c r="O941" s="52"/>
    </row>
    <row r="942">
      <c r="M942" s="52"/>
      <c r="N942" s="52"/>
      <c r="O942" s="52"/>
    </row>
    <row r="943">
      <c r="M943" s="52"/>
      <c r="N943" s="52"/>
      <c r="O943" s="52"/>
    </row>
    <row r="944">
      <c r="M944" s="52"/>
      <c r="N944" s="52"/>
      <c r="O944" s="52"/>
    </row>
    <row r="945">
      <c r="M945" s="52"/>
      <c r="N945" s="52"/>
      <c r="O945" s="52"/>
    </row>
    <row r="946">
      <c r="M946" s="52"/>
      <c r="N946" s="52"/>
      <c r="O946" s="52"/>
    </row>
    <row r="947">
      <c r="M947" s="52"/>
      <c r="N947" s="52"/>
      <c r="O947" s="52"/>
    </row>
    <row r="948">
      <c r="M948" s="52"/>
      <c r="N948" s="52"/>
      <c r="O948" s="52"/>
    </row>
    <row r="949">
      <c r="M949" s="52"/>
      <c r="N949" s="52"/>
      <c r="O949" s="52"/>
    </row>
    <row r="950">
      <c r="M950" s="52"/>
      <c r="N950" s="52"/>
      <c r="O950" s="52"/>
    </row>
    <row r="951">
      <c r="M951" s="52"/>
      <c r="N951" s="52"/>
      <c r="O951" s="52"/>
    </row>
    <row r="952">
      <c r="M952" s="52"/>
      <c r="N952" s="52"/>
      <c r="O952" s="52"/>
    </row>
    <row r="953">
      <c r="M953" s="52"/>
      <c r="N953" s="52"/>
      <c r="O953" s="52"/>
    </row>
    <row r="954">
      <c r="M954" s="52"/>
      <c r="N954" s="52"/>
      <c r="O954" s="52"/>
    </row>
    <row r="955">
      <c r="M955" s="52"/>
      <c r="N955" s="52"/>
      <c r="O955" s="52"/>
    </row>
    <row r="956">
      <c r="M956" s="52"/>
      <c r="N956" s="52"/>
      <c r="O956" s="52"/>
    </row>
    <row r="957">
      <c r="M957" s="52"/>
      <c r="N957" s="52"/>
      <c r="O957" s="52"/>
    </row>
    <row r="958">
      <c r="M958" s="52"/>
      <c r="N958" s="52"/>
      <c r="O958" s="52"/>
    </row>
    <row r="959">
      <c r="M959" s="52"/>
      <c r="N959" s="52"/>
      <c r="O959" s="52"/>
    </row>
    <row r="960">
      <c r="M960" s="52"/>
      <c r="N960" s="52"/>
      <c r="O960" s="52"/>
    </row>
    <row r="961">
      <c r="M961" s="52"/>
      <c r="N961" s="52"/>
      <c r="O961" s="52"/>
    </row>
    <row r="962">
      <c r="M962" s="52"/>
      <c r="N962" s="52"/>
      <c r="O962" s="52"/>
    </row>
    <row r="963">
      <c r="M963" s="52"/>
      <c r="N963" s="52"/>
      <c r="O963" s="52"/>
    </row>
    <row r="964">
      <c r="M964" s="52"/>
      <c r="N964" s="52"/>
      <c r="O964" s="52"/>
    </row>
    <row r="965">
      <c r="M965" s="52"/>
      <c r="N965" s="52"/>
      <c r="O965" s="52"/>
    </row>
    <row r="966">
      <c r="M966" s="52"/>
      <c r="N966" s="52"/>
      <c r="O966" s="52"/>
    </row>
    <row r="967">
      <c r="M967" s="52"/>
      <c r="N967" s="52"/>
      <c r="O967" s="52"/>
    </row>
    <row r="968">
      <c r="M968" s="52"/>
      <c r="N968" s="52"/>
      <c r="O968" s="52"/>
    </row>
    <row r="969">
      <c r="M969" s="52"/>
      <c r="N969" s="52"/>
      <c r="O969" s="52"/>
    </row>
    <row r="970">
      <c r="M970" s="52"/>
      <c r="N970" s="52"/>
      <c r="O970" s="52"/>
    </row>
    <row r="971">
      <c r="M971" s="52"/>
      <c r="N971" s="52"/>
      <c r="O971" s="52"/>
    </row>
    <row r="972">
      <c r="M972" s="52"/>
      <c r="N972" s="52"/>
      <c r="O972" s="52"/>
    </row>
    <row r="973">
      <c r="M973" s="52"/>
      <c r="N973" s="52"/>
      <c r="O973" s="52"/>
    </row>
    <row r="974">
      <c r="M974" s="52"/>
      <c r="N974" s="52"/>
      <c r="O974" s="52"/>
    </row>
    <row r="975">
      <c r="M975" s="52"/>
      <c r="N975" s="52"/>
      <c r="O975" s="52"/>
    </row>
    <row r="976">
      <c r="M976" s="52"/>
      <c r="N976" s="52"/>
      <c r="O976" s="52"/>
    </row>
    <row r="977">
      <c r="M977" s="52"/>
      <c r="N977" s="52"/>
      <c r="O977" s="52"/>
    </row>
    <row r="978">
      <c r="M978" s="52"/>
      <c r="N978" s="52"/>
      <c r="O978" s="52"/>
    </row>
    <row r="979">
      <c r="M979" s="52"/>
      <c r="N979" s="52"/>
      <c r="O979" s="52"/>
    </row>
    <row r="980">
      <c r="M980" s="52"/>
      <c r="N980" s="52"/>
      <c r="O980" s="52"/>
    </row>
    <row r="981">
      <c r="M981" s="52"/>
      <c r="N981" s="52"/>
      <c r="O981" s="52"/>
    </row>
    <row r="982">
      <c r="M982" s="52"/>
      <c r="N982" s="52"/>
      <c r="O982" s="52"/>
    </row>
    <row r="983">
      <c r="M983" s="52"/>
      <c r="N983" s="52"/>
      <c r="O983" s="52"/>
    </row>
    <row r="984">
      <c r="M984" s="52"/>
      <c r="N984" s="52"/>
      <c r="O984" s="52"/>
    </row>
    <row r="985">
      <c r="M985" s="52"/>
      <c r="N985" s="52"/>
      <c r="O985" s="52"/>
    </row>
    <row r="986">
      <c r="M986" s="52"/>
      <c r="N986" s="52"/>
      <c r="O986" s="52"/>
    </row>
    <row r="987">
      <c r="M987" s="52"/>
      <c r="N987" s="52"/>
      <c r="O987" s="52"/>
    </row>
    <row r="988">
      <c r="M988" s="52"/>
      <c r="N988" s="52"/>
      <c r="O988" s="52"/>
    </row>
    <row r="989">
      <c r="M989" s="52"/>
      <c r="N989" s="52"/>
      <c r="O989" s="52"/>
    </row>
    <row r="990">
      <c r="M990" s="52"/>
      <c r="N990" s="52"/>
      <c r="O990" s="52"/>
    </row>
    <row r="991">
      <c r="M991" s="52"/>
      <c r="N991" s="52"/>
      <c r="O991" s="52"/>
    </row>
    <row r="992">
      <c r="M992" s="52"/>
      <c r="N992" s="52"/>
      <c r="O992" s="52"/>
    </row>
    <row r="993">
      <c r="M993" s="52"/>
      <c r="N993" s="52"/>
      <c r="O993" s="52"/>
    </row>
    <row r="994">
      <c r="M994" s="52"/>
      <c r="N994" s="52"/>
      <c r="O994" s="52"/>
    </row>
    <row r="995">
      <c r="M995" s="52"/>
      <c r="N995" s="52"/>
      <c r="O995" s="52"/>
    </row>
    <row r="996">
      <c r="M996" s="52"/>
      <c r="N996" s="52"/>
      <c r="O996" s="52"/>
    </row>
    <row r="997">
      <c r="M997" s="52"/>
      <c r="N997" s="52"/>
      <c r="O997" s="52"/>
    </row>
    <row r="998">
      <c r="M998" s="52"/>
      <c r="N998" s="52"/>
      <c r="O998" s="52"/>
    </row>
    <row r="999">
      <c r="M999" s="52"/>
      <c r="N999" s="52"/>
      <c r="O999" s="52"/>
    </row>
    <row r="1000">
      <c r="M1000" s="52"/>
      <c r="N1000" s="52"/>
      <c r="O1000" s="52"/>
    </row>
  </sheetData>
  <mergeCells count="7">
    <mergeCell ref="A1:A2"/>
    <mergeCell ref="B1:B2"/>
    <mergeCell ref="C1:G1"/>
    <mergeCell ref="H1:I1"/>
    <mergeCell ref="J1:J2"/>
    <mergeCell ref="K1:O1"/>
    <mergeCell ref="P1:U1"/>
  </mergeCells>
  <conditionalFormatting sqref="N3:N9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G3:G9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3:H9 K3:K9">
    <cfRule type="colorScale" priority="3">
      <colorScale>
        <cfvo type="formula" val="0"/>
        <cfvo type="max"/>
        <color rgb="FFFFFFFF"/>
        <color rgb="FF57BB8A"/>
      </colorScale>
    </cfRule>
  </conditionalFormatting>
  <conditionalFormatting sqref="I3:I9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J3:J9">
    <cfRule type="colorScale" priority="5">
      <colorScale>
        <cfvo type="formula" val="0"/>
        <cfvo type="max"/>
        <color rgb="FFFFFFFF"/>
        <color rgb="FF57BB8A"/>
      </colorScale>
    </cfRule>
  </conditionalFormatting>
  <conditionalFormatting sqref="K3:K9">
    <cfRule type="colorScale" priority="6">
      <colorScale>
        <cfvo type="formula" val="0"/>
        <cfvo type="max"/>
        <color rgb="FFFFFFFF"/>
        <color rgb="FF57BB8A"/>
      </colorScale>
    </cfRule>
  </conditionalFormatting>
  <conditionalFormatting sqref="L3:L9">
    <cfRule type="colorScale" priority="7">
      <colorScale>
        <cfvo type="formula" val="0"/>
        <cfvo type="max"/>
        <color rgb="FFFFFFFF"/>
        <color rgb="FFE67C73"/>
      </colorScale>
    </cfRule>
  </conditionalFormatting>
  <conditionalFormatting sqref="C3:C9">
    <cfRule type="colorScale" priority="8">
      <colorScale>
        <cfvo type="formula" val="0"/>
        <cfvo type="max"/>
        <color rgb="FFFFFFFF"/>
        <color rgb="FFFFD666"/>
      </colorScale>
    </cfRule>
  </conditionalFormatting>
  <conditionalFormatting sqref="D3:D9">
    <cfRule type="colorScale" priority="9">
      <colorScale>
        <cfvo type="formula" val="0"/>
        <cfvo type="max"/>
        <color rgb="FFFFFFFF"/>
        <color rgb="FF57BB8A"/>
      </colorScale>
    </cfRule>
  </conditionalFormatting>
  <conditionalFormatting sqref="E3:E9">
    <cfRule type="colorScale" priority="10">
      <colorScale>
        <cfvo type="formula" val="0"/>
        <cfvo type="max"/>
        <color rgb="FFFFFFFF"/>
        <color rgb="FFE67C73"/>
      </colorScale>
    </cfRule>
  </conditionalFormatting>
  <conditionalFormatting sqref="F3:F9">
    <cfRule type="colorScale" priority="11">
      <colorScale>
        <cfvo type="formula" val="0"/>
        <cfvo type="max"/>
        <color rgb="FFFFFFFF"/>
        <color rgb="FF57BB8A"/>
      </colorScale>
    </cfRule>
  </conditionalFormatting>
  <conditionalFormatting sqref="M3:M9">
    <cfRule type="colorScale" priority="12">
      <colorScale>
        <cfvo type="formula" val="0"/>
        <cfvo type="max"/>
        <color rgb="FFFFFFFF"/>
        <color rgb="FFFFD666"/>
      </colorScale>
    </cfRule>
  </conditionalFormatting>
  <conditionalFormatting sqref="O3:O9">
    <cfRule type="colorScale" priority="13">
      <colorScale>
        <cfvo type="formula" val="0"/>
        <cfvo type="formula" val="1"/>
        <color rgb="FFFFFFFF"/>
        <color rgb="FF57BB8A"/>
      </colorScale>
    </cfRule>
  </conditionalFormatting>
  <conditionalFormatting sqref="P3:P9">
    <cfRule type="colorScale" priority="14">
      <colorScale>
        <cfvo type="formula" val="0"/>
        <cfvo type="max"/>
        <color rgb="FFFFFFFF"/>
        <color rgb="FFFFD666"/>
      </colorScale>
    </cfRule>
  </conditionalFormatting>
  <conditionalFormatting sqref="U3:U9">
    <cfRule type="colorScale" priority="15">
      <colorScale>
        <cfvo type="formula" val="0"/>
        <cfvo type="formula" val="2"/>
        <cfvo type="formula" val="3"/>
        <color rgb="FFE67C73"/>
        <color rgb="FFFFFFFF"/>
        <color rgb="FF57BB8A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6" max="6" width="11.88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1" t="s">
        <v>4</v>
      </c>
      <c r="K1" s="6" t="s">
        <v>5</v>
      </c>
      <c r="L1" s="4"/>
      <c r="M1" s="4"/>
      <c r="N1" s="4"/>
      <c r="O1" s="5"/>
      <c r="P1" s="30" t="s">
        <v>6</v>
      </c>
      <c r="Q1" s="4"/>
      <c r="R1" s="4"/>
      <c r="S1" s="4"/>
      <c r="T1" s="4"/>
      <c r="U1" s="5"/>
      <c r="Z1" s="8" t="s">
        <v>53</v>
      </c>
    </row>
    <row r="2">
      <c r="A2" s="9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2" t="s">
        <v>13</v>
      </c>
      <c r="I2" s="12" t="s">
        <v>14</v>
      </c>
      <c r="J2" s="9"/>
      <c r="K2" s="10" t="s">
        <v>15</v>
      </c>
      <c r="L2" s="12" t="s">
        <v>10</v>
      </c>
      <c r="M2" s="10" t="s">
        <v>16</v>
      </c>
      <c r="N2" s="10" t="s">
        <v>17</v>
      </c>
      <c r="O2" s="10" t="s">
        <v>18</v>
      </c>
      <c r="P2" s="15" t="s">
        <v>8</v>
      </c>
      <c r="Q2" s="15">
        <v>0.0</v>
      </c>
      <c r="R2" s="15">
        <v>1.0</v>
      </c>
      <c r="S2" s="15">
        <v>2.0</v>
      </c>
      <c r="T2" s="15">
        <v>3.0</v>
      </c>
      <c r="U2" s="15" t="s">
        <v>19</v>
      </c>
      <c r="Z2" s="8" t="s">
        <v>54</v>
      </c>
    </row>
    <row r="3">
      <c r="A3" s="18" t="s">
        <v>21</v>
      </c>
      <c r="B3" s="18" t="s">
        <v>55</v>
      </c>
      <c r="C3" s="31">
        <f>IFERROR(__xludf.DUMMYFUNCTION("SUM(MAP(FILTER(Z1:Z100, Z1:Z100 &lt;&gt; """"), LAMBDA(sheet, IFERROR(VALUE(INDIRECT(""'"" &amp; sheet &amp; ""'!C3"")), 0))))"),17.0)</f>
        <v>17</v>
      </c>
      <c r="D3" s="32">
        <f>IFERROR(__xludf.DUMMYFUNCTION("SUM(MAP(FILTER(Z1:Z100, Z1:Z100 &lt;&gt; """"), LAMBDA(sheet, IFERROR(VALUE(INDIRECT(""'"" &amp; sheet &amp; ""'!d3"")), 0))))"),9.0)</f>
        <v>9</v>
      </c>
      <c r="E3" s="53">
        <f>IFERROR(__xludf.DUMMYFUNCTION("SUM(MAP(FILTER(Z1:Z100, Z1:Z100 &lt;&gt; """"), LAMBDA(sheet, IFERROR(VALUE(INDIRECT(""'"" &amp; sheet &amp; ""'!e3"")), 0))))"),2.0)</f>
        <v>2</v>
      </c>
      <c r="F3" s="34">
        <f>IFERROR(__xludf.DUMMYFUNCTION("SUM(MAP(FILTER(Z1:Z100, Z1:Z100 &lt;&gt; """"), LAMBDA(sheet, IFERROR(VALUE(INDIRECT(""'"" &amp; sheet &amp; ""'!f3"")), 0))))"),1.0)</f>
        <v>1</v>
      </c>
      <c r="G3" s="35">
        <f t="shared" ref="G3:G9" si="1">IFS(C3=0, "N/A", C3&lt;&gt;0,(D3-E3)/C3 )</f>
        <v>0.4117647059</v>
      </c>
      <c r="H3" s="10">
        <f>IFERROR(__xludf.DUMMYFUNCTION("SUM(MAP(FILTER(Z1:Z100, Z1:Z100 &lt;&gt; """"), LAMBDA(sheet, IFERROR(VALUE(INDIRECT(""'"" &amp; sheet &amp; ""'!h3"")), 0))))"),0.0)</f>
        <v>0</v>
      </c>
      <c r="I3" s="10">
        <f>IFERROR(__xludf.DUMMYFUNCTION("SUM(MAP(FILTER(Z1:Z100, Z1:Z100 &lt;&gt; """"), LAMBDA(sheet, IFERROR(VALUE(INDIRECT(""'"" &amp; sheet &amp; ""'!i73"")), 0))))"),0.0)</f>
        <v>0</v>
      </c>
      <c r="J3" s="10">
        <f>IFERROR(__xludf.DUMMYFUNCTION("SUM(MAP(FILTER(Z1:Z100, Z1:Z100 &lt;&gt; """"), LAMBDA(sheet, IFERROR(VALUE(INDIRECT(""'"" &amp; sheet &amp; ""'!j3"")), 0))))"),10.0)</f>
        <v>10</v>
      </c>
      <c r="K3" s="10">
        <f>IFERROR(__xludf.DUMMYFUNCTION("SUM(MAP(FILTER(Z1:Z100, Z1:Z100 &lt;&gt; """"), LAMBDA(sheet, IFERROR(VALUE(INDIRECT(""'"" &amp; sheet &amp; ""'!k3"")), 0))))"),1.0)</f>
        <v>1</v>
      </c>
      <c r="L3" s="10">
        <f>IFERROR(__xludf.DUMMYFUNCTION("SUM(MAP(FILTER(Z1:Z100, Z1:Z100 &lt;&gt; """"), LAMBDA(sheet, IFERROR(VALUE(INDIRECT(""'"" &amp; sheet &amp; ""'!l3"")), 0))))"),0.0)</f>
        <v>0</v>
      </c>
      <c r="M3" s="10">
        <f>IFERROR(__xludf.DUMMYFUNCTION("SUM(MAP(FILTER(Z1:Z100, Z1:Z100 &lt;&gt; """"), LAMBDA(sheet, IFERROR(VALUE(INDIRECT(""'"" &amp; sheet &amp; ""'!m3"")), 0))))"),4.0)</f>
        <v>4</v>
      </c>
      <c r="N3" s="35">
        <f t="shared" ref="N3:N9" si="2">ifs(M3=0,"N/A",M3&lt;&gt;0,(M3-L3) /M3)</f>
        <v>1</v>
      </c>
      <c r="O3" s="35">
        <f t="shared" ref="O3:O9" si="3">IFS(M3=0, "N/A", M3&lt;&gt;0, K3/M3)</f>
        <v>0.25</v>
      </c>
      <c r="P3" s="10">
        <f>IFERROR(__xludf.DUMMYFUNCTION("SUM(MAP(FILTER(Z1:Z100, Z1:Z100 &lt;&gt; """"), LAMBDA(sheet, IFERROR(VALUE(INDIRECT(""'"" &amp; sheet &amp; ""'!p3"")), 0))))"),16.0)</f>
        <v>16</v>
      </c>
      <c r="Q3" s="10">
        <f>IFERROR(__xludf.DUMMYFUNCTION("SUM(MAP(FILTER(Z1:Z100, Z1:Z100 &lt;&gt; """"), LAMBDA(sheet, IFERROR(VALUE(INDIRECT(""'"" &amp; sheet &amp; ""'!q3"")), 0))))"),4.0)</f>
        <v>4</v>
      </c>
      <c r="R3" s="10">
        <f>IFERROR(__xludf.DUMMYFUNCTION("SUM(MAP(FILTER(Z1:Z100, Z1:Z100 &lt;&gt; """"), LAMBDA(sheet, IFERROR(VALUE(INDIRECT(""'"" &amp; sheet &amp; ""'!r3"")), 0))))"),1.0)</f>
        <v>1</v>
      </c>
      <c r="S3" s="10">
        <f>IFERROR(__xludf.DUMMYFUNCTION("SUM(MAP(FILTER(Z1:Z100, Z1:Z100 &lt;&gt; """"), LAMBDA(sheet, IFERROR(VALUE(INDIRECT(""'"" &amp; sheet &amp; ""'!s3"")), 0))))"),4.0)</f>
        <v>4</v>
      </c>
      <c r="T3" s="10">
        <f>IFERROR(__xludf.DUMMYFUNCTION("SUM(MAP(FILTER(Z1:Z100, Z1:Z100 &lt;&gt; """"), LAMBDA(sheet, IFERROR(VALUE(INDIRECT(""'"" &amp; sheet &amp; ""'!t3"")), 0))))"),7.0)</f>
        <v>7</v>
      </c>
      <c r="U3" s="10">
        <f t="shared" ref="U3:U9" si="4">ifs(P3=0, "N/A",P3&lt;&gt;0,(R3 + S3*2 +T3*3)/P3)</f>
        <v>1.875</v>
      </c>
      <c r="Z3" s="8" t="s">
        <v>56</v>
      </c>
    </row>
    <row r="4">
      <c r="A4" s="21" t="s">
        <v>24</v>
      </c>
      <c r="B4" s="21" t="s">
        <v>57</v>
      </c>
      <c r="C4" s="36">
        <f>IFERROR(__xludf.DUMMYFUNCTION("SUM(MAP(FILTER(Z1:Z100, Z1:Z100 &lt;&gt; """"), LAMBDA(sheet, IFERROR(VALUE(INDIRECT(""'"" &amp; sheet &amp; ""'!C4"")), 0))))"),4.0)</f>
        <v>4</v>
      </c>
      <c r="D4" s="37">
        <f>IFERROR(__xludf.DUMMYFUNCTION("SUM(MAP(FILTER(Z1:Z100, Z1:Z100 &lt;&gt; """"), LAMBDA(sheet, IFERROR(VALUE(INDIRECT(""'"" &amp; sheet &amp; ""'!d4"")), 0))))"),0.0)</f>
        <v>0</v>
      </c>
      <c r="E4" s="38">
        <f>IFERROR(__xludf.DUMMYFUNCTION("SUM(MAP(FILTER(Z1:Z100, Z1:Z100 &lt;&gt; """"), LAMBDA(sheet, IFERROR(VALUE(INDIRECT(""'"" &amp; sheet &amp; ""'!e4"")), 0))))"),0.0)</f>
        <v>0</v>
      </c>
      <c r="F4" s="39">
        <f>IFERROR(__xludf.DUMMYFUNCTION("SUM(MAP(FILTER(Z1:Z100, Z1:Z100 &lt;&gt; """"), LAMBDA(sheet, IFERROR(VALUE(INDIRECT(""'"" &amp; sheet &amp; ""'!f4"")), 0))))"),0.0)</f>
        <v>0</v>
      </c>
      <c r="G4" s="35">
        <f t="shared" si="1"/>
        <v>0</v>
      </c>
      <c r="H4" s="10">
        <f>IFERROR(__xludf.DUMMYFUNCTION("SUM(MAP(FILTER(Z1:Z100, Z1:Z100 &lt;&gt; """"), LAMBDA(sheet, IFERROR(VALUE(INDIRECT(""'"" &amp; sheet &amp; ""'!h4"")), 0))))"),1.0)</f>
        <v>1</v>
      </c>
      <c r="I4" s="10">
        <f>IFERROR(__xludf.DUMMYFUNCTION("SUM(MAP(FILTER(Z1:Z100, Z1:Z100 &lt;&gt; """"), LAMBDA(sheet, IFERROR(VALUE(INDIRECT(""'"" &amp; sheet &amp; ""'!i4"")), 0))))"),1.0)</f>
        <v>1</v>
      </c>
      <c r="J4" s="10">
        <f>IFERROR(__xludf.DUMMYFUNCTION("SUM(MAP(FILTER(Z1:Z100, Z1:Z100 &lt;&gt; """"), LAMBDA(sheet, IFERROR(VALUE(INDIRECT(""'"" &amp; sheet &amp; ""'!j4"")), 0))))"),7.0)</f>
        <v>7</v>
      </c>
      <c r="K4" s="10">
        <f>IFERROR(__xludf.DUMMYFUNCTION("SUM(MAP(FILTER(Z1:Z100, Z1:Z100 &lt;&gt; """"), LAMBDA(sheet, IFERROR(VALUE(INDIRECT(""'"" &amp; sheet &amp; ""'!k4"")), 0))))"),0.0)</f>
        <v>0</v>
      </c>
      <c r="L4" s="10">
        <f>IFERROR(__xludf.DUMMYFUNCTION("SUM(MAP(FILTER(Z1:Z100, Z1:Z100 &lt;&gt; """"), LAMBDA(sheet, IFERROR(VALUE(INDIRECT(""'"" &amp; sheet &amp; ""'!l4"")), 0))))"),1.0)</f>
        <v>1</v>
      </c>
      <c r="M4" s="10">
        <f>IFERROR(__xludf.DUMMYFUNCTION("SUM(MAP(FILTER(Z1:Z100, Z1:Z100 &lt;&gt; """"), LAMBDA(sheet, IFERROR(VALUE(INDIRECT(""'"" &amp; sheet &amp; ""'!m4"")), 0))))"),6.0)</f>
        <v>6</v>
      </c>
      <c r="N4" s="35">
        <f t="shared" si="2"/>
        <v>0.8333333333</v>
      </c>
      <c r="O4" s="35">
        <f t="shared" si="3"/>
        <v>0</v>
      </c>
      <c r="P4" s="10">
        <f>IFERROR(__xludf.DUMMYFUNCTION("SUM(MAP(FILTER(Z1:Z100, Z1:Z100 &lt;&gt; """"), LAMBDA(sheet, IFERROR(VALUE(INDIRECT(""'"" &amp; sheet &amp; ""'!p4"")), 0))))"),8.0)</f>
        <v>8</v>
      </c>
      <c r="Q4" s="10">
        <f>IFERROR(__xludf.DUMMYFUNCTION("SUM(MAP(FILTER(Z1:Z100, Z1:Z100 &lt;&gt; """"), LAMBDA(sheet, IFERROR(VALUE(INDIRECT(""'"" &amp; sheet &amp; ""'!q4"")), 0))))"),0.0)</f>
        <v>0</v>
      </c>
      <c r="R4" s="10">
        <f>IFERROR(__xludf.DUMMYFUNCTION("SUM(MAP(FILTER(Z1:Z100, Z1:Z100 &lt;&gt; """"), LAMBDA(sheet, IFERROR(VALUE(INDIRECT(""'"" &amp; sheet &amp; ""'!r4"")), 0))))"),0.0)</f>
        <v>0</v>
      </c>
      <c r="S4" s="10">
        <f>IFERROR(__xludf.DUMMYFUNCTION("SUM(MAP(FILTER(Z1:Z100, Z1:Z100 &lt;&gt; """"), LAMBDA(sheet, IFERROR(VALUE(INDIRECT(""'"" &amp; sheet &amp; ""'!s4"")), 0))))"),3.0)</f>
        <v>3</v>
      </c>
      <c r="T4" s="10">
        <f>IFERROR(__xludf.DUMMYFUNCTION("SUM(MAP(FILTER(Z1:Z100, Z1:Z100 &lt;&gt; """"), LAMBDA(sheet, IFERROR(VALUE(INDIRECT(""'"" &amp; sheet &amp; ""'!t4"")), 0))))"),5.0)</f>
        <v>5</v>
      </c>
      <c r="U4" s="10">
        <f t="shared" si="4"/>
        <v>2.625</v>
      </c>
    </row>
    <row r="5">
      <c r="A5" s="22" t="s">
        <v>26</v>
      </c>
      <c r="B5" s="22" t="s">
        <v>42</v>
      </c>
      <c r="C5" s="40">
        <f>IFERROR(__xludf.DUMMYFUNCTION("SUM(MAP(FILTER(Z1:Z100, Z1:Z100 &lt;&gt; """"), LAMBDA(sheet, IFERROR(VALUE(INDIRECT(""'"" &amp; sheet &amp; ""'!C5"")), 0))))"),0.0)</f>
        <v>0</v>
      </c>
      <c r="D5" s="41">
        <f>IFERROR(__xludf.DUMMYFUNCTION("SUM(MAP(FILTER(Z1:Z101, Z1:Z101 &lt;&gt; """"), LAMBDA(sheet, IFERROR(VALUE(INDIRECT(""'"" &amp; sheet &amp; ""'!d5"")), 0))))"),0.0)</f>
        <v>0</v>
      </c>
      <c r="E5" s="39">
        <f>IFERROR(__xludf.DUMMYFUNCTION("SUM(MAP(FILTER(Z1:Z100, Z1:Z100 &lt;&gt; """"), LAMBDA(sheet, IFERROR(VALUE(INDIRECT(""'"" &amp; sheet &amp; ""'!e5"")), 0))))"),0.0)</f>
        <v>0</v>
      </c>
      <c r="F5" s="42">
        <f>IFERROR(__xludf.DUMMYFUNCTION("SUM(MAP(FILTER(Z1:Z100, Z1:Z100 &lt;&gt; """"), LAMBDA(sheet, IFERROR(VALUE(INDIRECT(""'"" &amp; sheet &amp; ""'!f5"")), 0))))"),18.0)</f>
        <v>18</v>
      </c>
      <c r="G5" s="35" t="str">
        <f t="shared" si="1"/>
        <v>N/A</v>
      </c>
      <c r="H5" s="10">
        <f>IFERROR(__xludf.DUMMYFUNCTION("SUM(MAP(FILTER(Z1:Z100, Z1:Z100 &lt;&gt; """"), LAMBDA(sheet, IFERROR(VALUE(INDIRECT(""'"" &amp; sheet &amp; ""'!h5"")), 0))))"),0.0)</f>
        <v>0</v>
      </c>
      <c r="I5" s="10">
        <f>IFERROR(__xludf.DUMMYFUNCTION("SUM(MAP(FILTER(Z1:Z100, Z1:Z100 &lt;&gt; """"), LAMBDA(sheet, IFERROR(VALUE(INDIRECT(""'"" &amp; sheet &amp; ""'!i5"")), 0))))"),0.0)</f>
        <v>0</v>
      </c>
      <c r="J5" s="10">
        <f>IFERROR(__xludf.DUMMYFUNCTION("SUM(MAP(FILTER(Z1:Z100, Z1:Z100 &lt;&gt; """"), LAMBDA(sheet, IFERROR(VALUE(INDIRECT(""'"" &amp; sheet &amp; ""'!j5"")), 0))))"),12.0)</f>
        <v>12</v>
      </c>
      <c r="K5" s="10">
        <f>IFERROR(__xludf.DUMMYFUNCTION("SUM(MAP(FILTER(Z1:Z100, Z1:Z100 &lt;&gt; """"), LAMBDA(sheet, IFERROR(VALUE(INDIRECT(""'"" &amp; sheet &amp; ""'!k5"")), 0))))"),2.0)</f>
        <v>2</v>
      </c>
      <c r="L5" s="10">
        <f>IFERROR(__xludf.DUMMYFUNCTION("SUM(MAP(FILTER(Z1:Z100, Z1:Z100 &lt;&gt; """"), LAMBDA(sheet, IFERROR(VALUE(INDIRECT(""'"" &amp; sheet &amp; ""'!l5"")), 0))))"),0.0)</f>
        <v>0</v>
      </c>
      <c r="M5" s="10">
        <f>IFERROR(__xludf.DUMMYFUNCTION("SUM(MAP(FILTER(Z1:Z100, Z1:Z100 &lt;&gt; """"), LAMBDA(sheet, IFERROR(VALUE(INDIRECT(""'"" &amp; sheet &amp; ""'!m5"")), 0))))"),9.0)</f>
        <v>9</v>
      </c>
      <c r="N5" s="35">
        <f t="shared" si="2"/>
        <v>1</v>
      </c>
      <c r="O5" s="35">
        <f t="shared" si="3"/>
        <v>0.2222222222</v>
      </c>
      <c r="P5" s="10">
        <f>IFERROR(__xludf.DUMMYFUNCTION("SUM(MAP(FILTER(Z1:Z100, Z1:Z100 &lt;&gt; """"), LAMBDA(sheet, IFERROR(VALUE(INDIRECT(""'"" &amp; sheet &amp; ""'!p5"")), 0))))"),0.0)</f>
        <v>0</v>
      </c>
      <c r="Q5" s="10">
        <f>IFERROR(__xludf.DUMMYFUNCTION("SUM(MAP(FILTER(Z1:Z100, Z1:Z100 &lt;&gt; """"), LAMBDA(sheet, IFERROR(VALUE(INDIRECT(""'"" &amp; sheet &amp; ""'!q5"")), 0))))"),0.0)</f>
        <v>0</v>
      </c>
      <c r="R5" s="10">
        <f>IFERROR(__xludf.DUMMYFUNCTION("SUM(MAP(FILTER(Z1:Z100, Z1:Z100 &lt;&gt; """"), LAMBDA(sheet, IFERROR(VALUE(INDIRECT(""'"" &amp; sheet &amp; ""'!r5"")), 0))))"),0.0)</f>
        <v>0</v>
      </c>
      <c r="S5" s="10">
        <f>IFERROR(__xludf.DUMMYFUNCTION("SUM(MAP(FILTER(Z1:Z100, Z1:Z100 &lt;&gt; """"), LAMBDA(sheet, IFERROR(VALUE(INDIRECT(""'"" &amp; sheet &amp; ""'!s5"")), 0))))"),0.0)</f>
        <v>0</v>
      </c>
      <c r="T5" s="10">
        <f>IFERROR(__xludf.DUMMYFUNCTION("SUM(MAP(FILTER(Z1:Z100, Z1:Z100 &lt;&gt; """"), LAMBDA(sheet, IFERROR(VALUE(INDIRECT(""'"" &amp; sheet &amp; ""'!t5"")), 0))))"),0.0)</f>
        <v>0</v>
      </c>
      <c r="U5" s="10" t="str">
        <f t="shared" si="4"/>
        <v>N/A</v>
      </c>
    </row>
    <row r="6">
      <c r="A6" s="23" t="s">
        <v>28</v>
      </c>
      <c r="B6" s="23" t="s">
        <v>58</v>
      </c>
      <c r="C6" s="43">
        <f>IFERROR(__xludf.DUMMYFUNCTION("SUM(MAP(FILTER(Z1:Z100, Z1:Z100 &lt;&gt; """"), LAMBDA(sheet, IFERROR(VALUE(INDIRECT(""'"" &amp; sheet &amp; ""'!C6"")), 0))))"),16.0)</f>
        <v>16</v>
      </c>
      <c r="D6" s="42">
        <f>IFERROR(__xludf.DUMMYFUNCTION("SUM(MAP(FILTER(Z1:Z102, Z1:Z102 &lt;&gt; """"), LAMBDA(sheet, IFERROR(VALUE(INDIRECT(""'"" &amp; sheet &amp; ""'!d6"")), 0))))"),5.0)</f>
        <v>5</v>
      </c>
      <c r="E6" s="44">
        <f>IFERROR(__xludf.DUMMYFUNCTION("SUM(MAP(FILTER(Z1:Z100, Z1:Z100 &lt;&gt; """"), LAMBDA(sheet, IFERROR(VALUE(INDIRECT(""'"" &amp; sheet &amp; ""'!e6"")), 0))))"),2.0)</f>
        <v>2</v>
      </c>
      <c r="F6" s="45">
        <f>IFERROR(__xludf.DUMMYFUNCTION("SUM(MAP(FILTER(Z1:Z100, Z1:Z100 &lt;&gt; """"), LAMBDA(sheet, IFERROR(VALUE(INDIRECT(""'"" &amp; sheet &amp; ""'!f6"")), 0))))"),0.0)</f>
        <v>0</v>
      </c>
      <c r="G6" s="35">
        <f t="shared" si="1"/>
        <v>0.1875</v>
      </c>
      <c r="H6" s="10">
        <f>IFERROR(__xludf.DUMMYFUNCTION("SUM(MAP(FILTER(Z1:Z100, Z1:Z100 &lt;&gt; """"), LAMBDA(sheet, IFERROR(VALUE(INDIRECT(""'"" &amp; sheet &amp; ""'!h6"")), 0))))"),0.0)</f>
        <v>0</v>
      </c>
      <c r="I6" s="10">
        <f>IFERROR(__xludf.DUMMYFUNCTION("SUM(MAP(FILTER(Z1:Z100, Z1:Z100 &lt;&gt; """"), LAMBDA(sheet, IFERROR(VALUE(INDIRECT(""'"" &amp; sheet &amp; ""'!i6"")), 0))))"),0.0)</f>
        <v>0</v>
      </c>
      <c r="J6" s="10">
        <f>IFERROR(__xludf.DUMMYFUNCTION("SUM(MAP(FILTER(Z1:Z100, Z1:Z100 &lt;&gt; """"), LAMBDA(sheet, IFERROR(VALUE(INDIRECT(""'"" &amp; sheet &amp; ""'!j6"")), 0))))"),9.0)</f>
        <v>9</v>
      </c>
      <c r="K6" s="10">
        <f>IFERROR(__xludf.DUMMYFUNCTION("SUM(MAP(FILTER(Z1:Z100, Z1:Z100 &lt;&gt; """"), LAMBDA(sheet, IFERROR(VALUE(INDIRECT(""'"" &amp; sheet &amp; ""'!k6"")), 0))))"),0.0)</f>
        <v>0</v>
      </c>
      <c r="L6" s="10">
        <f>IFERROR(__xludf.DUMMYFUNCTION("SUM(MAP(FILTER(Z1:Z100, Z1:Z100 &lt;&gt; """"), LAMBDA(sheet, IFERROR(VALUE(INDIRECT(""'"" &amp; sheet &amp; ""'!l6"")), 0))))"),0.0)</f>
        <v>0</v>
      </c>
      <c r="M6" s="10">
        <f>IFERROR(__xludf.DUMMYFUNCTION("SUM(MAP(FILTER(Z1:Z100, Z1:Z100 &lt;&gt; """"), LAMBDA(sheet, IFERROR(VALUE(INDIRECT(""'"" &amp; sheet &amp; ""'!m6"")), 0))))"),5.0)</f>
        <v>5</v>
      </c>
      <c r="N6" s="35">
        <f t="shared" si="2"/>
        <v>1</v>
      </c>
      <c r="O6" s="35">
        <f t="shared" si="3"/>
        <v>0</v>
      </c>
      <c r="P6" s="10">
        <f>IFERROR(__xludf.DUMMYFUNCTION("SUM(MAP(FILTER(Z1:Z100, Z1:Z100 &lt;&gt; """"), LAMBDA(sheet, IFERROR(VALUE(INDIRECT(""'"" &amp; sheet &amp; ""'!p6"")), 0))))"),11.0)</f>
        <v>11</v>
      </c>
      <c r="Q6" s="10">
        <f>IFERROR(__xludf.DUMMYFUNCTION("SUM(MAP(FILTER(Z1:Z100, Z1:Z100 &lt;&gt; """"), LAMBDA(sheet, IFERROR(VALUE(INDIRECT(""'"" &amp; sheet &amp; ""'!q6"")), 0))))"),1.0)</f>
        <v>1</v>
      </c>
      <c r="R6" s="10">
        <f>IFERROR(__xludf.DUMMYFUNCTION("SUM(MAP(FILTER(Z1:Z100, Z1:Z100 &lt;&gt; """"), LAMBDA(sheet, IFERROR(VALUE(INDIRECT(""'"" &amp; sheet &amp; ""'!r6"")), 0))))"),4.0)</f>
        <v>4</v>
      </c>
      <c r="S6" s="10">
        <f>IFERROR(__xludf.DUMMYFUNCTION("SUM(MAP(FILTER(Z1:Z100, Z1:Z100 &lt;&gt; """"), LAMBDA(sheet, IFERROR(VALUE(INDIRECT(""'"" &amp; sheet &amp; ""'!s6"")), 0))))"),2.0)</f>
        <v>2</v>
      </c>
      <c r="T6" s="10">
        <f>IFERROR(__xludf.DUMMYFUNCTION("SUM(MAP(FILTER(Z1:Z100, Z1:Z100 &lt;&gt; """"), LAMBDA(sheet, IFERROR(VALUE(INDIRECT(""'"" &amp; sheet &amp; ""'!t6"")), 0))))"),4.0)</f>
        <v>4</v>
      </c>
      <c r="U6" s="10">
        <f t="shared" si="4"/>
        <v>1.818181818</v>
      </c>
    </row>
    <row r="7">
      <c r="A7" s="24" t="s">
        <v>30</v>
      </c>
      <c r="B7" s="24" t="s">
        <v>59</v>
      </c>
      <c r="C7" s="46">
        <f>IFERROR(__xludf.DUMMYFUNCTION("SUM(MAP(FILTER(Z1:Z100, Z1:Z100 &lt;&gt; """"), LAMBDA(sheet, IFERROR(VALUE(INDIRECT(""'"" &amp; sheet &amp; ""'!C7"")), 0))))"),21.0)</f>
        <v>21</v>
      </c>
      <c r="D7" s="47">
        <f>IFERROR(__xludf.DUMMYFUNCTION("SUM(MAP(FILTER(Z1:Z104, Z1:Z104 &lt;&gt; """"), LAMBDA(sheet, IFERROR(VALUE(INDIRECT(""'"" &amp; sheet &amp; ""'!d7"")), 0))))"),6.0)</f>
        <v>6</v>
      </c>
      <c r="E7" s="44">
        <f>IFERROR(__xludf.DUMMYFUNCTION("SUM(MAP(FILTER(Z1:Z100, Z1:Z100 &lt;&gt; """"), LAMBDA(sheet, IFERROR(VALUE(INDIRECT(""'"" &amp; sheet &amp; ""'!e7"")), 0))))"),2.0)</f>
        <v>2</v>
      </c>
      <c r="F7" s="39">
        <f>IFERROR(__xludf.DUMMYFUNCTION("SUM(MAP(FILTER(Z1:Z100, Z1:Z100 &lt;&gt; """"), LAMBDA(sheet, IFERROR(VALUE(INDIRECT(""'"" &amp; sheet &amp; ""'!f7""), 0)))))"),0.0)</f>
        <v>0</v>
      </c>
      <c r="G7" s="35">
        <f t="shared" si="1"/>
        <v>0.1904761905</v>
      </c>
      <c r="H7" s="10">
        <f>IFERROR(__xludf.DUMMYFUNCTION("SUM(MAP(FILTER(Z1:Z100, Z1:Z100 &lt;&gt; """"), LAMBDA(sheet, IFERROR(VALUE(INDIRECT(""'"" &amp; sheet &amp; ""'!h7"")), 0))))"),0.0)</f>
        <v>0</v>
      </c>
      <c r="I7" s="10">
        <f>IFERROR(__xludf.DUMMYFUNCTION("SUM(MAP(FILTER(Z1:Z100, Z1:Z100 &lt;&gt; """"), LAMBDA(sheet, IFERROR(VALUE(INDIRECT(""'"" &amp; sheet &amp; ""'!i7"")), 0))))"),0.0)</f>
        <v>0</v>
      </c>
      <c r="J7" s="10">
        <f>IFERROR(__xludf.DUMMYFUNCTION("SUM(MAP(FILTER(Z1:Z100, Z1:Z100 &lt;&gt; """"), LAMBDA(sheet, IFERROR(VALUE(INDIRECT(""'"" &amp; sheet &amp; ""'!j7"")), 0))))"),4.0)</f>
        <v>4</v>
      </c>
      <c r="K7" s="10">
        <f>IFERROR(__xludf.DUMMYFUNCTION("SUM(MAP(FILTER(Z1:Z100, Z1:Z100 &lt;&gt; """"), LAMBDA(sheet, IFERROR(VALUE(INDIRECT(""'"" &amp; sheet &amp; ""'!k7"")), 0))))"),0.0)</f>
        <v>0</v>
      </c>
      <c r="L7" s="10">
        <f>IFERROR(__xludf.DUMMYFUNCTION("SUM(MAP(FILTER(Z1:Z100, Z1:Z100 &lt;&gt; """"), LAMBDA(sheet, IFERROR(VALUE(INDIRECT(""'"" &amp; sheet &amp; ""'!l7"")), 0))))"),1.0)</f>
        <v>1</v>
      </c>
      <c r="M7" s="10">
        <f>IFERROR(__xludf.DUMMYFUNCTION("SUM(MAP(FILTER(Z1:Z100, Z1:Z100 &lt;&gt; """"), LAMBDA(sheet, IFERROR(VALUE(INDIRECT(""'"" &amp; sheet &amp; ""'!m7"")), 0))))"),7.0)</f>
        <v>7</v>
      </c>
      <c r="N7" s="35">
        <f t="shared" si="2"/>
        <v>0.8571428571</v>
      </c>
      <c r="O7" s="35">
        <f t="shared" si="3"/>
        <v>0</v>
      </c>
      <c r="P7" s="10">
        <f>IFERROR(__xludf.DUMMYFUNCTION("SUM(MAP(FILTER(Z1:Z100, Z1:Z100 &lt;&gt; """"), LAMBDA(sheet, IFERROR(VALUE(INDIRECT(""'"" &amp; sheet &amp; ""'!p7"")), 0))))"),7.0)</f>
        <v>7</v>
      </c>
      <c r="Q7" s="10">
        <f>IFERROR(__xludf.DUMMYFUNCTION("SUM(MAP(FILTER(Z1:Z100, Z1:Z100 &lt;&gt; """"), LAMBDA(sheet, IFERROR(VALUE(INDIRECT(""'"" &amp; sheet &amp; ""'!q7"")), 0))))"),2.0)</f>
        <v>2</v>
      </c>
      <c r="R7" s="10">
        <f>IFERROR(__xludf.DUMMYFUNCTION("SUM(MAP(FILTER(Z1:Z100, Z1:Z100 &lt;&gt; """"), LAMBDA(sheet, IFERROR(VALUE(INDIRECT(""'"" &amp; sheet &amp; ""'!r7"")), 0))))"),1.0)</f>
        <v>1</v>
      </c>
      <c r="S7" s="10">
        <f>IFERROR(__xludf.DUMMYFUNCTION("SUM(MAP(FILTER(Z1:Z100, Z1:Z100 &lt;&gt; """"), LAMBDA(sheet, IFERROR(VALUE(INDIRECT(""'"" &amp; sheet &amp; ""'!s7"")), 0))))"),3.0)</f>
        <v>3</v>
      </c>
      <c r="T7" s="10">
        <f>IFERROR(__xludf.DUMMYFUNCTION("SUM(MAP(FILTER(Z1:Z100, Z1:Z100 &lt;&gt; """"), LAMBDA(sheet, IFERROR(VALUE(INDIRECT(""'"" &amp; sheet &amp; ""'!t7"")), 0))))"),1.0)</f>
        <v>1</v>
      </c>
      <c r="U7" s="10">
        <f t="shared" si="4"/>
        <v>1.428571429</v>
      </c>
    </row>
    <row r="8">
      <c r="A8" s="25" t="s">
        <v>32</v>
      </c>
      <c r="B8" s="25" t="s">
        <v>60</v>
      </c>
      <c r="C8" s="48">
        <f>IFERROR(__xludf.DUMMYFUNCTION("SUM(MAP(FILTER(Z1:Z100, Z1:Z100 &lt;&gt; """"), LAMBDA(sheet, IFERROR(VALUE(INDIRECT(""'"" &amp; sheet &amp; ""'!C8"")), 0))))"),27.0)</f>
        <v>27</v>
      </c>
      <c r="D8" s="47">
        <f>IFERROR(__xludf.DUMMYFUNCTION("SUM(MAP(FILTER(Z1:Z104, Z1:Z104 &lt;&gt; """"), LAMBDA(sheet, IFERROR(VALUE(INDIRECT(""'"" &amp; sheet &amp; ""'!d8"")), 0))))"),4.0)</f>
        <v>4</v>
      </c>
      <c r="E8" s="49">
        <f>IFERROR(__xludf.DUMMYFUNCTION("SUM(MAP(FILTER(Z1:Z100, Z1:Z100 &lt;&gt; """"), LAMBDA(sheet, IFERROR(VALUE(INDIRECT(""'"" &amp; sheet &amp; ""'!e8"")), 0))))"),5.0)</f>
        <v>5</v>
      </c>
      <c r="F8" s="39">
        <f>IFERROR(__xludf.DUMMYFUNCTION("SUM(MAP(FILTER(Z1:Z100, Z1:Z100 &lt;&gt; """"), LAMBDA(sheet, IFERROR(VALUE(INDIRECT(""'"" &amp; sheet &amp; ""'!f8"")), 0))))"),0.0)</f>
        <v>0</v>
      </c>
      <c r="G8" s="35">
        <f t="shared" si="1"/>
        <v>-0.03703703704</v>
      </c>
      <c r="H8" s="10">
        <f>IFERROR(__xludf.DUMMYFUNCTION("SUM(MAP(FILTER(Z1:Z100, Z1:Z100 &lt;&gt; """"), LAMBDA(sheet, IFERROR(VALUE(INDIRECT(""'"" &amp; sheet &amp; ""'!h8"")), 0))))"),0.0)</f>
        <v>0</v>
      </c>
      <c r="I8" s="10">
        <f>IFERROR(__xludf.DUMMYFUNCTION("SUM(MAP(FILTER(Z1:Z100, Z1:Z100 &lt;&gt; """"), LAMBDA(sheet, IFERROR(VALUE(INDIRECT(""'"" &amp; sheet &amp; ""'!i8"")), 0))))"),1.0)</f>
        <v>1</v>
      </c>
      <c r="J8" s="10">
        <f>IFERROR(__xludf.DUMMYFUNCTION("SUM(MAP(FILTER(Z1:Z100, Z1:Z100 &lt;&gt; """"), LAMBDA(sheet, IFERROR(VALUE(INDIRECT(""'"" &amp; sheet &amp; ""'!j8"")), 0))))"),3.0)</f>
        <v>3</v>
      </c>
      <c r="K8" s="10">
        <f>IFERROR(__xludf.DUMMYFUNCTION("SUM(MAP(FILTER(Z1:Z100, Z1:Z100 &lt;&gt; """"), LAMBDA(sheet, IFERROR(VALUE(INDIRECT(""'"" &amp; sheet &amp; ""'!k8"")), 0))))"),0.0)</f>
        <v>0</v>
      </c>
      <c r="L8" s="10">
        <f>IFERROR(__xludf.DUMMYFUNCTION("SUM(MAP(FILTER(Z1:Z100, Z1:Z100 &lt;&gt; """"), LAMBDA(sheet, IFERROR(VALUE(INDIRECT(""'"" &amp; sheet &amp; ""'!l8"")), 0))))"),1.0)</f>
        <v>1</v>
      </c>
      <c r="M8" s="10">
        <f>IFERROR(__xludf.DUMMYFUNCTION("SUM(MAP(FILTER(Z1:Z100, Z1:Z100 &lt;&gt; """"), LAMBDA(sheet, IFERROR(VALUE(INDIRECT(""'"" &amp; sheet &amp; ""'!m8"")), 0))))"),4.0)</f>
        <v>4</v>
      </c>
      <c r="N8" s="35">
        <f t="shared" si="2"/>
        <v>0.75</v>
      </c>
      <c r="O8" s="35">
        <f t="shared" si="3"/>
        <v>0</v>
      </c>
      <c r="P8" s="10">
        <f>IFERROR(__xludf.DUMMYFUNCTION("SUM(MAP(FILTER(Z1:Z100, Z1:Z100 &lt;&gt; """"), LAMBDA(sheet, IFERROR(VALUE(INDIRECT(""'"" &amp; sheet &amp; ""'!p8"")), 0))))"),9.0)</f>
        <v>9</v>
      </c>
      <c r="Q8" s="10">
        <f>IFERROR(__xludf.DUMMYFUNCTION("SUM(MAP(FILTER(Z1:Z100, Z1:Z100 &lt;&gt; """"), LAMBDA(sheet, IFERROR(VALUE(INDIRECT(""'"" &amp; sheet &amp; ""'!q8"")), 0))))"),3.0)</f>
        <v>3</v>
      </c>
      <c r="R8" s="10">
        <f>IFERROR(__xludf.DUMMYFUNCTION("SUM(MAP(FILTER(Z1:Z100, Z1:Z100 &lt;&gt; """"), LAMBDA(sheet, IFERROR(VALUE(INDIRECT(""'"" &amp; sheet &amp; ""'!r8"")), 0))))"),3.0)</f>
        <v>3</v>
      </c>
      <c r="S8" s="10">
        <f>IFERROR(__xludf.DUMMYFUNCTION("SUM(MAP(FILTER(Z1:Z100, Z1:Z100 &lt;&gt; """"), LAMBDA(sheet, IFERROR(VALUE(INDIRECT(""'"" &amp; sheet &amp; ""'!s8"")), 0))))"),1.0)</f>
        <v>1</v>
      </c>
      <c r="T8" s="10">
        <f>IFERROR(__xludf.DUMMYFUNCTION("SUM(MAP(FILTER(Z1:Z100, Z1:Z100 &lt;&gt; """"), LAMBDA(sheet, IFERROR(VALUE(INDIRECT(""'"" &amp; sheet &amp; ""'!t8"")), 0))))"),2.0)</f>
        <v>2</v>
      </c>
      <c r="U8" s="10">
        <f t="shared" si="4"/>
        <v>1.222222222</v>
      </c>
    </row>
    <row r="9">
      <c r="A9" s="26" t="s">
        <v>34</v>
      </c>
      <c r="B9" s="26" t="s">
        <v>61</v>
      </c>
      <c r="C9" s="50">
        <f>IFERROR(__xludf.DUMMYFUNCTION("SUM(MAP(FILTER(Z1:Z100, Z1:Z100 &lt;&gt; """"), LAMBDA(sheet, IFERROR(VALUE(INDIRECT(""'"" &amp; sheet &amp; ""'!C9"")), 0))))"),7.0)</f>
        <v>7</v>
      </c>
      <c r="D9" s="51">
        <f>IFERROR(__xludf.DUMMYFUNCTION("SUM(MAP(FILTER(Z1:Z104, Z1:Z104 &lt;&gt; """"), LAMBDA(sheet, IFERROR(VALUE(INDIRECT(""'"" &amp; sheet &amp; ""'!d9"")), 0))))"),3.0)</f>
        <v>3</v>
      </c>
      <c r="E9" s="38">
        <f>IFERROR(__xludf.DUMMYFUNCTION("SUM(MAP(FILTER(Z1:Z100, Z1:Z100 &lt;&gt; """"), LAMBDA(sheet, IFERROR(VALUE(INDIRECT(""'"" &amp; sheet &amp; ""'!e9"")), 0))))"),1.0)</f>
        <v>1</v>
      </c>
      <c r="F9" s="45">
        <f>IFERROR(__xludf.DUMMYFUNCTION("SUM(MAP(FILTER(Z1:Z100, Z1:Z100 &lt;&gt; """"), LAMBDA(sheet, IFERROR(VALUE(INDIRECT(""'"" &amp; sheet &amp; ""'!f9"")), 0))))"),1.0)</f>
        <v>1</v>
      </c>
      <c r="G9" s="35">
        <f t="shared" si="1"/>
        <v>0.2857142857</v>
      </c>
      <c r="H9" s="10">
        <f>IFERROR(__xludf.DUMMYFUNCTION("SUM(MAP(FILTER(Z1:Z100, Z1:Z100 &lt;&gt; """"), LAMBDA(sheet, IFERROR(VALUE(INDIRECT(""'"" &amp; sheet &amp; ""'!h9"")), 0))))"),0.0)</f>
        <v>0</v>
      </c>
      <c r="I9" s="10">
        <f>IFERROR(__xludf.DUMMYFUNCTION("SUM(MAP(FILTER(Z1:Z100, Z1:Z100 &lt;&gt; """"), LAMBDA(sheet, IFERROR(VALUE(INDIRECT(""'"" &amp; sheet &amp; ""'!i9"")), 0))))"),0.0)</f>
        <v>0</v>
      </c>
      <c r="J9" s="10">
        <f>IFERROR(__xludf.DUMMYFUNCTION("SUM(MAP(FILTER(Z1:Z100, Z1:Z100 &lt;&gt; """"), LAMBDA(sheet, IFERROR(VALUE(INDIRECT(""'"" &amp; sheet &amp; ""'!j9"")), 0))))"),4.0)</f>
        <v>4</v>
      </c>
      <c r="K9" s="10">
        <f>IFERROR(__xludf.DUMMYFUNCTION("SUM(MAP(FILTER(Z1:Z100, Z1:Z100 &lt;&gt; """"), LAMBDA(sheet, IFERROR(VALUE(INDIRECT(""'"" &amp; sheet &amp; ""'!k9"")), 0))))"),0.0)</f>
        <v>0</v>
      </c>
      <c r="L9" s="10">
        <f>IFERROR(__xludf.DUMMYFUNCTION("SUM(MAP(FILTER(Z1:Z100, Z1:Z100 &lt;&gt; """"), LAMBDA(sheet, IFERROR(VALUE(INDIRECT(""'"" &amp; sheet &amp; ""'!l9"")), 0))))"),1.0)</f>
        <v>1</v>
      </c>
      <c r="M9" s="10">
        <f>IFERROR(__xludf.DUMMYFUNCTION("SUM(MAP(FILTER(Z1:Z100, Z1:Z100 &lt;&gt; """"), LAMBDA(sheet, IFERROR(VALUE(INDIRECT(""'"" &amp; sheet &amp; ""'!m9"")), 0))))"),4.0)</f>
        <v>4</v>
      </c>
      <c r="N9" s="35">
        <f t="shared" si="2"/>
        <v>0.75</v>
      </c>
      <c r="O9" s="35">
        <f t="shared" si="3"/>
        <v>0</v>
      </c>
      <c r="P9" s="10">
        <f>IFERROR(__xludf.DUMMYFUNCTION("SUM(MAP(FILTER(Z1:Z100, Z1:Z100 &lt;&gt; """"), LAMBDA(sheet, IFERROR(VALUE(INDIRECT(""'"" &amp; sheet &amp; ""'!p9"")), 0))))"),8.0)</f>
        <v>8</v>
      </c>
      <c r="Q9" s="10">
        <f>IFERROR(__xludf.DUMMYFUNCTION("SUM(MAP(FILTER(Z1:Z100, Z1:Z100 &lt;&gt; """"), LAMBDA(sheet, IFERROR(VALUE(INDIRECT(""'"" &amp; sheet &amp; ""'!q9"")), 0))))"),3.0)</f>
        <v>3</v>
      </c>
      <c r="R9" s="10">
        <f>IFERROR(__xludf.DUMMYFUNCTION("SUM(MAP(FILTER(Z1:Z100, Z1:Z100 &lt;&gt; """"), LAMBDA(sheet, IFERROR(VALUE(INDIRECT(""'"" &amp; sheet &amp; ""'!r9"")), 0))))"),0.0)</f>
        <v>0</v>
      </c>
      <c r="S9" s="10">
        <f>IFERROR(__xludf.DUMMYFUNCTION("SUM(MAP(FILTER(Z1:Z100, Z1:Z100 &lt;&gt; """"), LAMBDA(sheet, IFERROR(VALUE(INDIRECT(""'"" &amp; sheet &amp; ""'!s9"")), 0))))"),3.0)</f>
        <v>3</v>
      </c>
      <c r="T9" s="10">
        <f>IFERROR(__xludf.DUMMYFUNCTION("SUM(MAP(FILTER(Z1:Z100, Z1:Z100 &lt;&gt; """"), LAMBDA(sheet, IFERROR(VALUE(INDIRECT(""'"" &amp; sheet &amp; ""'!t9"")), 0))))"),2.0)</f>
        <v>2</v>
      </c>
      <c r="U9" s="10">
        <f t="shared" si="4"/>
        <v>1.5</v>
      </c>
    </row>
    <row r="10">
      <c r="C10" s="27"/>
      <c r="D10" s="27"/>
      <c r="E10" s="27"/>
      <c r="M10" s="52"/>
      <c r="N10" s="52"/>
      <c r="O10" s="52"/>
    </row>
    <row r="11">
      <c r="M11" s="52"/>
      <c r="N11" s="52"/>
      <c r="O11" s="52"/>
    </row>
    <row r="12">
      <c r="M12" s="52"/>
      <c r="N12" s="52"/>
      <c r="O12" s="52"/>
    </row>
    <row r="13">
      <c r="M13" s="52"/>
      <c r="N13" s="52"/>
      <c r="O13" s="52"/>
    </row>
    <row r="14">
      <c r="M14" s="52"/>
      <c r="N14" s="52"/>
      <c r="O14" s="52"/>
    </row>
    <row r="15">
      <c r="M15" s="52"/>
      <c r="N15" s="52"/>
      <c r="O15" s="52"/>
    </row>
    <row r="16">
      <c r="M16" s="52"/>
      <c r="N16" s="52"/>
      <c r="O16" s="52"/>
    </row>
    <row r="17">
      <c r="M17" s="52"/>
      <c r="N17" s="52"/>
      <c r="O17" s="52"/>
    </row>
    <row r="18">
      <c r="M18" s="52"/>
      <c r="N18" s="52"/>
      <c r="O18" s="52"/>
    </row>
    <row r="19">
      <c r="M19" s="52"/>
      <c r="N19" s="52"/>
      <c r="O19" s="52"/>
    </row>
    <row r="20">
      <c r="M20" s="52"/>
      <c r="N20" s="52"/>
      <c r="O20" s="52"/>
    </row>
    <row r="21">
      <c r="M21" s="52"/>
      <c r="N21" s="52"/>
      <c r="O21" s="52"/>
    </row>
    <row r="22">
      <c r="M22" s="52"/>
      <c r="N22" s="52"/>
      <c r="O22" s="52"/>
    </row>
    <row r="23">
      <c r="M23" s="52"/>
      <c r="N23" s="52"/>
      <c r="O23" s="52"/>
    </row>
    <row r="24">
      <c r="M24" s="52"/>
      <c r="N24" s="52"/>
      <c r="O24" s="52"/>
    </row>
    <row r="25">
      <c r="M25" s="52"/>
      <c r="N25" s="52"/>
      <c r="O25" s="52"/>
    </row>
    <row r="26">
      <c r="M26" s="52"/>
      <c r="N26" s="52"/>
      <c r="O26" s="52"/>
    </row>
    <row r="27">
      <c r="M27" s="52"/>
      <c r="N27" s="52"/>
      <c r="O27" s="52"/>
    </row>
    <row r="28">
      <c r="M28" s="52"/>
      <c r="N28" s="52"/>
      <c r="O28" s="52"/>
    </row>
    <row r="29">
      <c r="M29" s="52"/>
      <c r="N29" s="52"/>
      <c r="O29" s="52"/>
    </row>
    <row r="30">
      <c r="M30" s="52"/>
      <c r="N30" s="52"/>
      <c r="O30" s="52"/>
    </row>
    <row r="31">
      <c r="M31" s="52"/>
      <c r="N31" s="52"/>
      <c r="O31" s="52"/>
    </row>
    <row r="32">
      <c r="M32" s="52"/>
      <c r="N32" s="52"/>
      <c r="O32" s="52"/>
    </row>
    <row r="33">
      <c r="M33" s="52"/>
      <c r="N33" s="52"/>
      <c r="O33" s="52"/>
    </row>
    <row r="34">
      <c r="M34" s="52"/>
      <c r="N34" s="52"/>
      <c r="O34" s="52"/>
    </row>
    <row r="35">
      <c r="M35" s="52"/>
      <c r="N35" s="52"/>
      <c r="O35" s="52"/>
    </row>
    <row r="36">
      <c r="M36" s="52"/>
      <c r="N36" s="52"/>
      <c r="O36" s="52"/>
    </row>
    <row r="37">
      <c r="M37" s="52"/>
      <c r="N37" s="52"/>
      <c r="O37" s="52"/>
    </row>
    <row r="38">
      <c r="M38" s="52"/>
      <c r="N38" s="52"/>
      <c r="O38" s="52"/>
    </row>
    <row r="39">
      <c r="M39" s="52"/>
      <c r="N39" s="52"/>
      <c r="O39" s="52"/>
    </row>
    <row r="40">
      <c r="M40" s="52"/>
      <c r="N40" s="52"/>
      <c r="O40" s="52"/>
    </row>
    <row r="41">
      <c r="M41" s="52"/>
      <c r="N41" s="52"/>
      <c r="O41" s="52"/>
    </row>
    <row r="42">
      <c r="M42" s="52"/>
      <c r="N42" s="52"/>
      <c r="O42" s="52"/>
    </row>
    <row r="43">
      <c r="M43" s="52"/>
      <c r="N43" s="52"/>
      <c r="O43" s="52"/>
    </row>
    <row r="44">
      <c r="M44" s="52"/>
      <c r="N44" s="52"/>
      <c r="O44" s="52"/>
    </row>
    <row r="45">
      <c r="M45" s="52"/>
      <c r="N45" s="52"/>
      <c r="O45" s="52"/>
    </row>
    <row r="46">
      <c r="M46" s="52"/>
      <c r="N46" s="52"/>
      <c r="O46" s="52"/>
    </row>
    <row r="47">
      <c r="M47" s="52"/>
      <c r="N47" s="52"/>
      <c r="O47" s="52"/>
    </row>
    <row r="48">
      <c r="M48" s="52"/>
      <c r="N48" s="52"/>
      <c r="O48" s="52"/>
    </row>
    <row r="49">
      <c r="M49" s="52"/>
      <c r="N49" s="52"/>
      <c r="O49" s="52"/>
    </row>
    <row r="50">
      <c r="M50" s="52"/>
      <c r="N50" s="52"/>
      <c r="O50" s="52"/>
    </row>
    <row r="51">
      <c r="M51" s="52"/>
      <c r="N51" s="52"/>
      <c r="O51" s="52"/>
    </row>
    <row r="52">
      <c r="M52" s="52"/>
      <c r="N52" s="52"/>
      <c r="O52" s="52"/>
    </row>
    <row r="53">
      <c r="M53" s="52"/>
      <c r="N53" s="52"/>
      <c r="O53" s="52"/>
    </row>
    <row r="54">
      <c r="M54" s="52"/>
      <c r="N54" s="52"/>
      <c r="O54" s="52"/>
    </row>
    <row r="55">
      <c r="M55" s="52"/>
      <c r="N55" s="52"/>
      <c r="O55" s="52"/>
    </row>
    <row r="56">
      <c r="M56" s="52"/>
      <c r="N56" s="52"/>
      <c r="O56" s="52"/>
    </row>
    <row r="57">
      <c r="M57" s="52"/>
      <c r="N57" s="52"/>
      <c r="O57" s="52"/>
    </row>
    <row r="58">
      <c r="M58" s="52"/>
      <c r="N58" s="52"/>
      <c r="O58" s="52"/>
    </row>
    <row r="59">
      <c r="M59" s="52"/>
      <c r="N59" s="52"/>
      <c r="O59" s="52"/>
    </row>
    <row r="60">
      <c r="M60" s="52"/>
      <c r="N60" s="52"/>
      <c r="O60" s="52"/>
    </row>
    <row r="61">
      <c r="M61" s="52"/>
      <c r="N61" s="52"/>
      <c r="O61" s="52"/>
    </row>
    <row r="62">
      <c r="M62" s="52"/>
      <c r="N62" s="52"/>
      <c r="O62" s="52"/>
    </row>
    <row r="63">
      <c r="M63" s="52"/>
      <c r="N63" s="52"/>
      <c r="O63" s="52"/>
    </row>
    <row r="64">
      <c r="M64" s="52"/>
      <c r="N64" s="52"/>
      <c r="O64" s="52"/>
    </row>
    <row r="65">
      <c r="M65" s="52"/>
      <c r="N65" s="52"/>
      <c r="O65" s="52"/>
    </row>
    <row r="66">
      <c r="M66" s="52"/>
      <c r="N66" s="52"/>
      <c r="O66" s="52"/>
    </row>
    <row r="67">
      <c r="M67" s="52"/>
      <c r="N67" s="52"/>
      <c r="O67" s="52"/>
    </row>
    <row r="68">
      <c r="M68" s="52"/>
      <c r="N68" s="52"/>
      <c r="O68" s="52"/>
    </row>
    <row r="69">
      <c r="M69" s="52"/>
      <c r="N69" s="52"/>
      <c r="O69" s="52"/>
    </row>
    <row r="70">
      <c r="M70" s="52"/>
      <c r="N70" s="52"/>
      <c r="O70" s="52"/>
    </row>
    <row r="71">
      <c r="M71" s="52"/>
      <c r="N71" s="52"/>
      <c r="O71" s="52"/>
    </row>
    <row r="72">
      <c r="M72" s="52"/>
      <c r="N72" s="52"/>
      <c r="O72" s="52"/>
    </row>
    <row r="73">
      <c r="M73" s="52"/>
      <c r="N73" s="52"/>
      <c r="O73" s="52"/>
    </row>
    <row r="74">
      <c r="M74" s="52"/>
      <c r="N74" s="52"/>
      <c r="O74" s="52"/>
    </row>
    <row r="75">
      <c r="M75" s="52"/>
      <c r="N75" s="52"/>
      <c r="O75" s="52"/>
    </row>
    <row r="76">
      <c r="M76" s="52"/>
      <c r="N76" s="52"/>
      <c r="O76" s="52"/>
    </row>
    <row r="77">
      <c r="M77" s="52"/>
      <c r="N77" s="52"/>
      <c r="O77" s="52"/>
    </row>
    <row r="78">
      <c r="M78" s="52"/>
      <c r="N78" s="52"/>
      <c r="O78" s="52"/>
    </row>
    <row r="79">
      <c r="M79" s="52"/>
      <c r="N79" s="52"/>
      <c r="O79" s="52"/>
    </row>
    <row r="80">
      <c r="M80" s="52"/>
      <c r="N80" s="52"/>
      <c r="O80" s="52"/>
    </row>
    <row r="81">
      <c r="M81" s="52"/>
      <c r="N81" s="52"/>
      <c r="O81" s="52"/>
    </row>
    <row r="82">
      <c r="M82" s="52"/>
      <c r="N82" s="52"/>
      <c r="O82" s="52"/>
    </row>
    <row r="83">
      <c r="M83" s="52"/>
      <c r="N83" s="52"/>
      <c r="O83" s="52"/>
    </row>
    <row r="84">
      <c r="M84" s="52"/>
      <c r="N84" s="52"/>
      <c r="O84" s="52"/>
    </row>
    <row r="85">
      <c r="M85" s="52"/>
      <c r="N85" s="52"/>
      <c r="O85" s="52"/>
    </row>
    <row r="86">
      <c r="M86" s="52"/>
      <c r="N86" s="52"/>
      <c r="O86" s="52"/>
    </row>
    <row r="87">
      <c r="M87" s="52"/>
      <c r="N87" s="52"/>
      <c r="O87" s="52"/>
    </row>
    <row r="88">
      <c r="M88" s="52"/>
      <c r="N88" s="52"/>
      <c r="O88" s="52"/>
    </row>
    <row r="89">
      <c r="M89" s="52"/>
      <c r="N89" s="52"/>
      <c r="O89" s="52"/>
    </row>
    <row r="90">
      <c r="M90" s="52"/>
      <c r="N90" s="52"/>
      <c r="O90" s="52"/>
    </row>
    <row r="91">
      <c r="M91" s="52"/>
      <c r="N91" s="52"/>
      <c r="O91" s="52"/>
    </row>
    <row r="92">
      <c r="M92" s="52"/>
      <c r="N92" s="52"/>
      <c r="O92" s="52"/>
    </row>
    <row r="93">
      <c r="M93" s="52"/>
      <c r="N93" s="52"/>
      <c r="O93" s="52"/>
    </row>
    <row r="94">
      <c r="M94" s="52"/>
      <c r="N94" s="52"/>
      <c r="O94" s="52"/>
    </row>
    <row r="95">
      <c r="M95" s="52"/>
      <c r="N95" s="52"/>
      <c r="O95" s="52"/>
    </row>
    <row r="96">
      <c r="M96" s="52"/>
      <c r="N96" s="52"/>
      <c r="O96" s="52"/>
    </row>
    <row r="97">
      <c r="M97" s="52"/>
      <c r="N97" s="52"/>
      <c r="O97" s="52"/>
    </row>
    <row r="98">
      <c r="M98" s="52"/>
      <c r="N98" s="52"/>
      <c r="O98" s="52"/>
    </row>
    <row r="99">
      <c r="M99" s="52"/>
      <c r="N99" s="52"/>
      <c r="O99" s="52"/>
    </row>
    <row r="100">
      <c r="M100" s="52"/>
      <c r="N100" s="52"/>
      <c r="O100" s="52"/>
    </row>
    <row r="101">
      <c r="M101" s="52"/>
      <c r="N101" s="52"/>
      <c r="O101" s="52"/>
    </row>
    <row r="102">
      <c r="M102" s="52"/>
      <c r="N102" s="52"/>
      <c r="O102" s="52"/>
    </row>
    <row r="103">
      <c r="M103" s="52"/>
      <c r="N103" s="52"/>
      <c r="O103" s="52"/>
    </row>
    <row r="104">
      <c r="M104" s="52"/>
      <c r="N104" s="52"/>
      <c r="O104" s="52"/>
    </row>
    <row r="105">
      <c r="M105" s="52"/>
      <c r="N105" s="52"/>
      <c r="O105" s="52"/>
    </row>
    <row r="106">
      <c r="M106" s="52"/>
      <c r="N106" s="52"/>
      <c r="O106" s="52"/>
    </row>
    <row r="107">
      <c r="M107" s="52"/>
      <c r="N107" s="52"/>
      <c r="O107" s="52"/>
    </row>
    <row r="108">
      <c r="M108" s="52"/>
      <c r="N108" s="52"/>
      <c r="O108" s="52"/>
    </row>
    <row r="109">
      <c r="M109" s="52"/>
      <c r="N109" s="52"/>
      <c r="O109" s="52"/>
    </row>
    <row r="110">
      <c r="M110" s="52"/>
      <c r="N110" s="52"/>
      <c r="O110" s="52"/>
    </row>
    <row r="111">
      <c r="M111" s="52"/>
      <c r="N111" s="52"/>
      <c r="O111" s="52"/>
    </row>
    <row r="112">
      <c r="M112" s="52"/>
      <c r="N112" s="52"/>
      <c r="O112" s="52"/>
    </row>
    <row r="113">
      <c r="M113" s="52"/>
      <c r="N113" s="52"/>
      <c r="O113" s="52"/>
    </row>
    <row r="114">
      <c r="M114" s="52"/>
      <c r="N114" s="52"/>
      <c r="O114" s="52"/>
    </row>
    <row r="115">
      <c r="M115" s="52"/>
      <c r="N115" s="52"/>
      <c r="O115" s="52"/>
    </row>
    <row r="116">
      <c r="M116" s="52"/>
      <c r="N116" s="52"/>
      <c r="O116" s="52"/>
    </row>
    <row r="117">
      <c r="M117" s="52"/>
      <c r="N117" s="52"/>
      <c r="O117" s="52"/>
    </row>
    <row r="118">
      <c r="M118" s="52"/>
      <c r="N118" s="52"/>
      <c r="O118" s="52"/>
    </row>
    <row r="119">
      <c r="M119" s="52"/>
      <c r="N119" s="52"/>
      <c r="O119" s="52"/>
    </row>
    <row r="120">
      <c r="M120" s="52"/>
      <c r="N120" s="52"/>
      <c r="O120" s="52"/>
    </row>
    <row r="121">
      <c r="M121" s="52"/>
      <c r="N121" s="52"/>
      <c r="O121" s="52"/>
    </row>
    <row r="122">
      <c r="M122" s="52"/>
      <c r="N122" s="52"/>
      <c r="O122" s="52"/>
    </row>
    <row r="123">
      <c r="M123" s="52"/>
      <c r="N123" s="52"/>
      <c r="O123" s="52"/>
    </row>
    <row r="124">
      <c r="M124" s="52"/>
      <c r="N124" s="52"/>
      <c r="O124" s="52"/>
    </row>
    <row r="125">
      <c r="M125" s="52"/>
      <c r="N125" s="52"/>
      <c r="O125" s="52"/>
    </row>
    <row r="126">
      <c r="M126" s="52"/>
      <c r="N126" s="52"/>
      <c r="O126" s="52"/>
    </row>
    <row r="127">
      <c r="M127" s="52"/>
      <c r="N127" s="52"/>
      <c r="O127" s="52"/>
    </row>
    <row r="128">
      <c r="M128" s="52"/>
      <c r="N128" s="52"/>
      <c r="O128" s="52"/>
    </row>
    <row r="129">
      <c r="M129" s="52"/>
      <c r="N129" s="52"/>
      <c r="O129" s="52"/>
    </row>
    <row r="130">
      <c r="M130" s="52"/>
      <c r="N130" s="52"/>
      <c r="O130" s="52"/>
    </row>
    <row r="131">
      <c r="M131" s="52"/>
      <c r="N131" s="52"/>
      <c r="O131" s="52"/>
    </row>
    <row r="132">
      <c r="M132" s="52"/>
      <c r="N132" s="52"/>
      <c r="O132" s="52"/>
    </row>
    <row r="133">
      <c r="M133" s="52"/>
      <c r="N133" s="52"/>
      <c r="O133" s="52"/>
    </row>
    <row r="134">
      <c r="M134" s="52"/>
      <c r="N134" s="52"/>
      <c r="O134" s="52"/>
    </row>
    <row r="135">
      <c r="M135" s="52"/>
      <c r="N135" s="52"/>
      <c r="O135" s="52"/>
    </row>
    <row r="136">
      <c r="M136" s="52"/>
      <c r="N136" s="52"/>
      <c r="O136" s="52"/>
    </row>
    <row r="137">
      <c r="M137" s="52"/>
      <c r="N137" s="52"/>
      <c r="O137" s="52"/>
    </row>
    <row r="138">
      <c r="M138" s="52"/>
      <c r="N138" s="52"/>
      <c r="O138" s="52"/>
    </row>
    <row r="139">
      <c r="M139" s="52"/>
      <c r="N139" s="52"/>
      <c r="O139" s="52"/>
    </row>
    <row r="140">
      <c r="M140" s="52"/>
      <c r="N140" s="52"/>
      <c r="O140" s="52"/>
    </row>
    <row r="141">
      <c r="M141" s="52"/>
      <c r="N141" s="52"/>
      <c r="O141" s="52"/>
    </row>
    <row r="142">
      <c r="M142" s="52"/>
      <c r="N142" s="52"/>
      <c r="O142" s="52"/>
    </row>
    <row r="143">
      <c r="M143" s="52"/>
      <c r="N143" s="52"/>
      <c r="O143" s="52"/>
    </row>
    <row r="144">
      <c r="M144" s="52"/>
      <c r="N144" s="52"/>
      <c r="O144" s="52"/>
    </row>
    <row r="145">
      <c r="M145" s="52"/>
      <c r="N145" s="52"/>
      <c r="O145" s="52"/>
    </row>
    <row r="146">
      <c r="M146" s="52"/>
      <c r="N146" s="52"/>
      <c r="O146" s="52"/>
    </row>
    <row r="147">
      <c r="M147" s="52"/>
      <c r="N147" s="52"/>
      <c r="O147" s="52"/>
    </row>
    <row r="148">
      <c r="M148" s="52"/>
      <c r="N148" s="52"/>
      <c r="O148" s="52"/>
    </row>
    <row r="149">
      <c r="M149" s="52"/>
      <c r="N149" s="52"/>
      <c r="O149" s="52"/>
    </row>
    <row r="150">
      <c r="M150" s="52"/>
      <c r="N150" s="52"/>
      <c r="O150" s="52"/>
    </row>
    <row r="151">
      <c r="M151" s="52"/>
      <c r="N151" s="52"/>
      <c r="O151" s="52"/>
    </row>
    <row r="152">
      <c r="M152" s="52"/>
      <c r="N152" s="52"/>
      <c r="O152" s="52"/>
    </row>
    <row r="153">
      <c r="M153" s="52"/>
      <c r="N153" s="52"/>
      <c r="O153" s="52"/>
    </row>
    <row r="154">
      <c r="M154" s="52"/>
      <c r="N154" s="52"/>
      <c r="O154" s="52"/>
    </row>
    <row r="155">
      <c r="M155" s="52"/>
      <c r="N155" s="52"/>
      <c r="O155" s="52"/>
    </row>
    <row r="156">
      <c r="M156" s="52"/>
      <c r="N156" s="52"/>
      <c r="O156" s="52"/>
    </row>
    <row r="157">
      <c r="M157" s="52"/>
      <c r="N157" s="52"/>
      <c r="O157" s="52"/>
    </row>
    <row r="158">
      <c r="M158" s="52"/>
      <c r="N158" s="52"/>
      <c r="O158" s="52"/>
    </row>
    <row r="159">
      <c r="M159" s="52"/>
      <c r="N159" s="52"/>
      <c r="O159" s="52"/>
    </row>
    <row r="160">
      <c r="M160" s="52"/>
      <c r="N160" s="52"/>
      <c r="O160" s="52"/>
    </row>
    <row r="161">
      <c r="M161" s="52"/>
      <c r="N161" s="52"/>
      <c r="O161" s="52"/>
    </row>
    <row r="162">
      <c r="M162" s="52"/>
      <c r="N162" s="52"/>
      <c r="O162" s="52"/>
    </row>
    <row r="163">
      <c r="M163" s="52"/>
      <c r="N163" s="52"/>
      <c r="O163" s="52"/>
    </row>
    <row r="164">
      <c r="M164" s="52"/>
      <c r="N164" s="52"/>
      <c r="O164" s="52"/>
    </row>
    <row r="165">
      <c r="M165" s="52"/>
      <c r="N165" s="52"/>
      <c r="O165" s="52"/>
    </row>
    <row r="166">
      <c r="M166" s="52"/>
      <c r="N166" s="52"/>
      <c r="O166" s="52"/>
    </row>
    <row r="167">
      <c r="M167" s="52"/>
      <c r="N167" s="52"/>
      <c r="O167" s="52"/>
    </row>
    <row r="168">
      <c r="M168" s="52"/>
      <c r="N168" s="52"/>
      <c r="O168" s="52"/>
    </row>
    <row r="169">
      <c r="M169" s="52"/>
      <c r="N169" s="52"/>
      <c r="O169" s="52"/>
    </row>
    <row r="170">
      <c r="M170" s="52"/>
      <c r="N170" s="52"/>
      <c r="O170" s="52"/>
    </row>
    <row r="171">
      <c r="M171" s="52"/>
      <c r="N171" s="52"/>
      <c r="O171" s="52"/>
    </row>
    <row r="172">
      <c r="M172" s="52"/>
      <c r="N172" s="52"/>
      <c r="O172" s="52"/>
    </row>
    <row r="173">
      <c r="M173" s="52"/>
      <c r="N173" s="52"/>
      <c r="O173" s="52"/>
    </row>
    <row r="174">
      <c r="M174" s="52"/>
      <c r="N174" s="52"/>
      <c r="O174" s="52"/>
    </row>
    <row r="175">
      <c r="M175" s="52"/>
      <c r="N175" s="52"/>
      <c r="O175" s="52"/>
    </row>
    <row r="176">
      <c r="M176" s="52"/>
      <c r="N176" s="52"/>
      <c r="O176" s="52"/>
    </row>
    <row r="177">
      <c r="M177" s="52"/>
      <c r="N177" s="52"/>
      <c r="O177" s="52"/>
    </row>
    <row r="178">
      <c r="M178" s="52"/>
      <c r="N178" s="52"/>
      <c r="O178" s="52"/>
    </row>
    <row r="179">
      <c r="M179" s="52"/>
      <c r="N179" s="52"/>
      <c r="O179" s="52"/>
    </row>
    <row r="180">
      <c r="M180" s="52"/>
      <c r="N180" s="52"/>
      <c r="O180" s="52"/>
    </row>
    <row r="181">
      <c r="M181" s="52"/>
      <c r="N181" s="52"/>
      <c r="O181" s="52"/>
    </row>
    <row r="182">
      <c r="M182" s="52"/>
      <c r="N182" s="52"/>
      <c r="O182" s="52"/>
    </row>
    <row r="183">
      <c r="M183" s="52"/>
      <c r="N183" s="52"/>
      <c r="O183" s="52"/>
    </row>
    <row r="184">
      <c r="M184" s="52"/>
      <c r="N184" s="52"/>
      <c r="O184" s="52"/>
    </row>
    <row r="185">
      <c r="M185" s="52"/>
      <c r="N185" s="52"/>
      <c r="O185" s="52"/>
    </row>
    <row r="186">
      <c r="M186" s="52"/>
      <c r="N186" s="52"/>
      <c r="O186" s="52"/>
    </row>
    <row r="187">
      <c r="M187" s="52"/>
      <c r="N187" s="52"/>
      <c r="O187" s="52"/>
    </row>
    <row r="188">
      <c r="M188" s="52"/>
      <c r="N188" s="52"/>
      <c r="O188" s="52"/>
    </row>
    <row r="189">
      <c r="M189" s="52"/>
      <c r="N189" s="52"/>
      <c r="O189" s="52"/>
    </row>
    <row r="190">
      <c r="M190" s="52"/>
      <c r="N190" s="52"/>
      <c r="O190" s="52"/>
    </row>
    <row r="191">
      <c r="M191" s="52"/>
      <c r="N191" s="52"/>
      <c r="O191" s="52"/>
    </row>
    <row r="192">
      <c r="M192" s="52"/>
      <c r="N192" s="52"/>
      <c r="O192" s="52"/>
    </row>
    <row r="193">
      <c r="M193" s="52"/>
      <c r="N193" s="52"/>
      <c r="O193" s="52"/>
    </row>
    <row r="194">
      <c r="M194" s="52"/>
      <c r="N194" s="52"/>
      <c r="O194" s="52"/>
    </row>
    <row r="195">
      <c r="M195" s="52"/>
      <c r="N195" s="52"/>
      <c r="O195" s="52"/>
    </row>
    <row r="196">
      <c r="M196" s="52"/>
      <c r="N196" s="52"/>
      <c r="O196" s="52"/>
    </row>
    <row r="197">
      <c r="M197" s="52"/>
      <c r="N197" s="52"/>
      <c r="O197" s="52"/>
    </row>
    <row r="198">
      <c r="M198" s="52"/>
      <c r="N198" s="52"/>
      <c r="O198" s="52"/>
    </row>
    <row r="199">
      <c r="M199" s="52"/>
      <c r="N199" s="52"/>
      <c r="O199" s="52"/>
    </row>
    <row r="200">
      <c r="M200" s="52"/>
      <c r="N200" s="52"/>
      <c r="O200" s="52"/>
    </row>
    <row r="201">
      <c r="M201" s="52"/>
      <c r="N201" s="52"/>
      <c r="O201" s="52"/>
    </row>
    <row r="202">
      <c r="M202" s="52"/>
      <c r="N202" s="52"/>
      <c r="O202" s="52"/>
    </row>
    <row r="203">
      <c r="M203" s="52"/>
      <c r="N203" s="52"/>
      <c r="O203" s="52"/>
    </row>
    <row r="204">
      <c r="M204" s="52"/>
      <c r="N204" s="52"/>
      <c r="O204" s="52"/>
    </row>
    <row r="205">
      <c r="M205" s="52"/>
      <c r="N205" s="52"/>
      <c r="O205" s="52"/>
    </row>
    <row r="206">
      <c r="M206" s="52"/>
      <c r="N206" s="52"/>
      <c r="O206" s="52"/>
    </row>
    <row r="207">
      <c r="M207" s="52"/>
      <c r="N207" s="52"/>
      <c r="O207" s="52"/>
    </row>
    <row r="208">
      <c r="M208" s="52"/>
      <c r="N208" s="52"/>
      <c r="O208" s="52"/>
    </row>
    <row r="209">
      <c r="M209" s="52"/>
      <c r="N209" s="52"/>
      <c r="O209" s="52"/>
    </row>
    <row r="210">
      <c r="M210" s="52"/>
      <c r="N210" s="52"/>
      <c r="O210" s="52"/>
    </row>
    <row r="211">
      <c r="M211" s="52"/>
      <c r="N211" s="52"/>
      <c r="O211" s="52"/>
    </row>
    <row r="212">
      <c r="M212" s="52"/>
      <c r="N212" s="52"/>
      <c r="O212" s="52"/>
    </row>
    <row r="213">
      <c r="M213" s="52"/>
      <c r="N213" s="52"/>
      <c r="O213" s="52"/>
    </row>
    <row r="214">
      <c r="M214" s="52"/>
      <c r="N214" s="52"/>
      <c r="O214" s="52"/>
    </row>
    <row r="215">
      <c r="M215" s="52"/>
      <c r="N215" s="52"/>
      <c r="O215" s="52"/>
    </row>
    <row r="216">
      <c r="M216" s="52"/>
      <c r="N216" s="52"/>
      <c r="O216" s="52"/>
    </row>
    <row r="217">
      <c r="M217" s="52"/>
      <c r="N217" s="52"/>
      <c r="O217" s="52"/>
    </row>
    <row r="218">
      <c r="M218" s="52"/>
      <c r="N218" s="52"/>
      <c r="O218" s="52"/>
    </row>
    <row r="219">
      <c r="M219" s="52"/>
      <c r="N219" s="52"/>
      <c r="O219" s="52"/>
    </row>
    <row r="220">
      <c r="M220" s="52"/>
      <c r="N220" s="52"/>
      <c r="O220" s="52"/>
    </row>
    <row r="221">
      <c r="M221" s="52"/>
      <c r="N221" s="52"/>
      <c r="O221" s="52"/>
    </row>
    <row r="222">
      <c r="M222" s="52"/>
      <c r="N222" s="52"/>
      <c r="O222" s="52"/>
    </row>
    <row r="223">
      <c r="M223" s="52"/>
      <c r="N223" s="52"/>
      <c r="O223" s="52"/>
    </row>
    <row r="224">
      <c r="M224" s="52"/>
      <c r="N224" s="52"/>
      <c r="O224" s="52"/>
    </row>
    <row r="225">
      <c r="M225" s="52"/>
      <c r="N225" s="52"/>
      <c r="O225" s="52"/>
    </row>
    <row r="226">
      <c r="M226" s="52"/>
      <c r="N226" s="52"/>
      <c r="O226" s="52"/>
    </row>
    <row r="227">
      <c r="M227" s="52"/>
      <c r="N227" s="52"/>
      <c r="O227" s="52"/>
    </row>
    <row r="228">
      <c r="M228" s="52"/>
      <c r="N228" s="52"/>
      <c r="O228" s="52"/>
    </row>
    <row r="229">
      <c r="M229" s="52"/>
      <c r="N229" s="52"/>
      <c r="O229" s="52"/>
    </row>
    <row r="230">
      <c r="M230" s="52"/>
      <c r="N230" s="52"/>
      <c r="O230" s="52"/>
    </row>
    <row r="231">
      <c r="M231" s="52"/>
      <c r="N231" s="52"/>
      <c r="O231" s="52"/>
    </row>
    <row r="232">
      <c r="M232" s="52"/>
      <c r="N232" s="52"/>
      <c r="O232" s="52"/>
    </row>
    <row r="233">
      <c r="M233" s="52"/>
      <c r="N233" s="52"/>
      <c r="O233" s="52"/>
    </row>
    <row r="234">
      <c r="M234" s="52"/>
      <c r="N234" s="52"/>
      <c r="O234" s="52"/>
    </row>
    <row r="235">
      <c r="M235" s="52"/>
      <c r="N235" s="52"/>
      <c r="O235" s="52"/>
    </row>
    <row r="236">
      <c r="M236" s="52"/>
      <c r="N236" s="52"/>
      <c r="O236" s="52"/>
    </row>
    <row r="237">
      <c r="M237" s="52"/>
      <c r="N237" s="52"/>
      <c r="O237" s="52"/>
    </row>
    <row r="238">
      <c r="M238" s="52"/>
      <c r="N238" s="52"/>
      <c r="O238" s="52"/>
    </row>
    <row r="239">
      <c r="M239" s="52"/>
      <c r="N239" s="52"/>
      <c r="O239" s="52"/>
    </row>
    <row r="240">
      <c r="M240" s="52"/>
      <c r="N240" s="52"/>
      <c r="O240" s="52"/>
    </row>
    <row r="241">
      <c r="M241" s="52"/>
      <c r="N241" s="52"/>
      <c r="O241" s="52"/>
    </row>
    <row r="242">
      <c r="M242" s="52"/>
      <c r="N242" s="52"/>
      <c r="O242" s="52"/>
    </row>
    <row r="243">
      <c r="M243" s="52"/>
      <c r="N243" s="52"/>
      <c r="O243" s="52"/>
    </row>
    <row r="244">
      <c r="M244" s="52"/>
      <c r="N244" s="52"/>
      <c r="O244" s="52"/>
    </row>
    <row r="245">
      <c r="M245" s="52"/>
      <c r="N245" s="52"/>
      <c r="O245" s="52"/>
    </row>
    <row r="246">
      <c r="M246" s="52"/>
      <c r="N246" s="52"/>
      <c r="O246" s="52"/>
    </row>
    <row r="247">
      <c r="M247" s="52"/>
      <c r="N247" s="52"/>
      <c r="O247" s="52"/>
    </row>
    <row r="248">
      <c r="M248" s="52"/>
      <c r="N248" s="52"/>
      <c r="O248" s="52"/>
    </row>
    <row r="249">
      <c r="M249" s="52"/>
      <c r="N249" s="52"/>
      <c r="O249" s="52"/>
    </row>
    <row r="250">
      <c r="M250" s="52"/>
      <c r="N250" s="52"/>
      <c r="O250" s="52"/>
    </row>
    <row r="251">
      <c r="M251" s="52"/>
      <c r="N251" s="52"/>
      <c r="O251" s="52"/>
    </row>
    <row r="252">
      <c r="M252" s="52"/>
      <c r="N252" s="52"/>
      <c r="O252" s="52"/>
    </row>
    <row r="253">
      <c r="M253" s="52"/>
      <c r="N253" s="52"/>
      <c r="O253" s="52"/>
    </row>
    <row r="254">
      <c r="M254" s="52"/>
      <c r="N254" s="52"/>
      <c r="O254" s="52"/>
    </row>
    <row r="255">
      <c r="M255" s="52"/>
      <c r="N255" s="52"/>
      <c r="O255" s="52"/>
    </row>
    <row r="256">
      <c r="M256" s="52"/>
      <c r="N256" s="52"/>
      <c r="O256" s="52"/>
    </row>
    <row r="257">
      <c r="M257" s="52"/>
      <c r="N257" s="52"/>
      <c r="O257" s="52"/>
    </row>
    <row r="258">
      <c r="M258" s="52"/>
      <c r="N258" s="52"/>
      <c r="O258" s="52"/>
    </row>
    <row r="259">
      <c r="M259" s="52"/>
      <c r="N259" s="52"/>
      <c r="O259" s="52"/>
    </row>
    <row r="260">
      <c r="M260" s="52"/>
      <c r="N260" s="52"/>
      <c r="O260" s="52"/>
    </row>
    <row r="261">
      <c r="M261" s="52"/>
      <c r="N261" s="52"/>
      <c r="O261" s="52"/>
    </row>
    <row r="262">
      <c r="M262" s="52"/>
      <c r="N262" s="52"/>
      <c r="O262" s="52"/>
    </row>
    <row r="263">
      <c r="M263" s="52"/>
      <c r="N263" s="52"/>
      <c r="O263" s="52"/>
    </row>
    <row r="264">
      <c r="M264" s="52"/>
      <c r="N264" s="52"/>
      <c r="O264" s="52"/>
    </row>
    <row r="265">
      <c r="M265" s="52"/>
      <c r="N265" s="52"/>
      <c r="O265" s="52"/>
    </row>
    <row r="266">
      <c r="M266" s="52"/>
      <c r="N266" s="52"/>
      <c r="O266" s="52"/>
    </row>
    <row r="267">
      <c r="M267" s="52"/>
      <c r="N267" s="52"/>
      <c r="O267" s="52"/>
    </row>
    <row r="268">
      <c r="M268" s="52"/>
      <c r="N268" s="52"/>
      <c r="O268" s="52"/>
    </row>
    <row r="269">
      <c r="M269" s="52"/>
      <c r="N269" s="52"/>
      <c r="O269" s="52"/>
    </row>
    <row r="270">
      <c r="M270" s="52"/>
      <c r="N270" s="52"/>
      <c r="O270" s="52"/>
    </row>
    <row r="271">
      <c r="M271" s="52"/>
      <c r="N271" s="52"/>
      <c r="O271" s="52"/>
    </row>
    <row r="272">
      <c r="M272" s="52"/>
      <c r="N272" s="52"/>
      <c r="O272" s="52"/>
    </row>
    <row r="273">
      <c r="M273" s="52"/>
      <c r="N273" s="52"/>
      <c r="O273" s="52"/>
    </row>
    <row r="274">
      <c r="M274" s="52"/>
      <c r="N274" s="52"/>
      <c r="O274" s="52"/>
    </row>
    <row r="275">
      <c r="M275" s="52"/>
      <c r="N275" s="52"/>
      <c r="O275" s="52"/>
    </row>
    <row r="276">
      <c r="M276" s="52"/>
      <c r="N276" s="52"/>
      <c r="O276" s="52"/>
    </row>
    <row r="277">
      <c r="M277" s="52"/>
      <c r="N277" s="52"/>
      <c r="O277" s="52"/>
    </row>
    <row r="278">
      <c r="M278" s="52"/>
      <c r="N278" s="52"/>
      <c r="O278" s="52"/>
    </row>
    <row r="279">
      <c r="M279" s="52"/>
      <c r="N279" s="52"/>
      <c r="O279" s="52"/>
    </row>
    <row r="280">
      <c r="M280" s="52"/>
      <c r="N280" s="52"/>
      <c r="O280" s="52"/>
    </row>
    <row r="281">
      <c r="M281" s="52"/>
      <c r="N281" s="52"/>
      <c r="O281" s="52"/>
    </row>
    <row r="282">
      <c r="M282" s="52"/>
      <c r="N282" s="52"/>
      <c r="O282" s="52"/>
    </row>
    <row r="283">
      <c r="M283" s="52"/>
      <c r="N283" s="52"/>
      <c r="O283" s="52"/>
    </row>
    <row r="284">
      <c r="M284" s="52"/>
      <c r="N284" s="52"/>
      <c r="O284" s="52"/>
    </row>
    <row r="285">
      <c r="M285" s="52"/>
      <c r="N285" s="52"/>
      <c r="O285" s="52"/>
    </row>
    <row r="286">
      <c r="M286" s="52"/>
      <c r="N286" s="52"/>
      <c r="O286" s="52"/>
    </row>
    <row r="287">
      <c r="M287" s="52"/>
      <c r="N287" s="52"/>
      <c r="O287" s="52"/>
    </row>
    <row r="288">
      <c r="M288" s="52"/>
      <c r="N288" s="52"/>
      <c r="O288" s="52"/>
    </row>
    <row r="289">
      <c r="M289" s="52"/>
      <c r="N289" s="52"/>
      <c r="O289" s="52"/>
    </row>
    <row r="290">
      <c r="M290" s="52"/>
      <c r="N290" s="52"/>
      <c r="O290" s="52"/>
    </row>
    <row r="291">
      <c r="M291" s="52"/>
      <c r="N291" s="52"/>
      <c r="O291" s="52"/>
    </row>
    <row r="292">
      <c r="M292" s="52"/>
      <c r="N292" s="52"/>
      <c r="O292" s="52"/>
    </row>
    <row r="293">
      <c r="M293" s="52"/>
      <c r="N293" s="52"/>
      <c r="O293" s="52"/>
    </row>
    <row r="294">
      <c r="M294" s="52"/>
      <c r="N294" s="52"/>
      <c r="O294" s="52"/>
    </row>
    <row r="295">
      <c r="M295" s="52"/>
      <c r="N295" s="52"/>
      <c r="O295" s="52"/>
    </row>
    <row r="296">
      <c r="M296" s="52"/>
      <c r="N296" s="52"/>
      <c r="O296" s="52"/>
    </row>
    <row r="297">
      <c r="M297" s="52"/>
      <c r="N297" s="52"/>
      <c r="O297" s="52"/>
    </row>
    <row r="298">
      <c r="M298" s="52"/>
      <c r="N298" s="52"/>
      <c r="O298" s="52"/>
    </row>
    <row r="299">
      <c r="M299" s="52"/>
      <c r="N299" s="52"/>
      <c r="O299" s="52"/>
    </row>
    <row r="300">
      <c r="M300" s="52"/>
      <c r="N300" s="52"/>
      <c r="O300" s="52"/>
    </row>
    <row r="301">
      <c r="M301" s="52"/>
      <c r="N301" s="52"/>
      <c r="O301" s="52"/>
    </row>
    <row r="302">
      <c r="M302" s="52"/>
      <c r="N302" s="52"/>
      <c r="O302" s="52"/>
    </row>
    <row r="303">
      <c r="M303" s="52"/>
      <c r="N303" s="52"/>
      <c r="O303" s="52"/>
    </row>
    <row r="304">
      <c r="M304" s="52"/>
      <c r="N304" s="52"/>
      <c r="O304" s="52"/>
    </row>
    <row r="305">
      <c r="M305" s="52"/>
      <c r="N305" s="52"/>
      <c r="O305" s="52"/>
    </row>
    <row r="306">
      <c r="M306" s="52"/>
      <c r="N306" s="52"/>
      <c r="O306" s="52"/>
    </row>
    <row r="307">
      <c r="M307" s="52"/>
      <c r="N307" s="52"/>
      <c r="O307" s="52"/>
    </row>
    <row r="308">
      <c r="M308" s="52"/>
      <c r="N308" s="52"/>
      <c r="O308" s="52"/>
    </row>
    <row r="309">
      <c r="M309" s="52"/>
      <c r="N309" s="52"/>
      <c r="O309" s="52"/>
    </row>
    <row r="310">
      <c r="M310" s="52"/>
      <c r="N310" s="52"/>
      <c r="O310" s="52"/>
    </row>
    <row r="311">
      <c r="M311" s="52"/>
      <c r="N311" s="52"/>
      <c r="O311" s="52"/>
    </row>
    <row r="312">
      <c r="M312" s="52"/>
      <c r="N312" s="52"/>
      <c r="O312" s="52"/>
    </row>
    <row r="313">
      <c r="M313" s="52"/>
      <c r="N313" s="52"/>
      <c r="O313" s="52"/>
    </row>
    <row r="314">
      <c r="M314" s="52"/>
      <c r="N314" s="52"/>
      <c r="O314" s="52"/>
    </row>
    <row r="315">
      <c r="M315" s="52"/>
      <c r="N315" s="52"/>
      <c r="O315" s="52"/>
    </row>
    <row r="316">
      <c r="M316" s="52"/>
      <c r="N316" s="52"/>
      <c r="O316" s="52"/>
    </row>
    <row r="317">
      <c r="M317" s="52"/>
      <c r="N317" s="52"/>
      <c r="O317" s="52"/>
    </row>
    <row r="318">
      <c r="M318" s="52"/>
      <c r="N318" s="52"/>
      <c r="O318" s="52"/>
    </row>
    <row r="319">
      <c r="M319" s="52"/>
      <c r="N319" s="52"/>
      <c r="O319" s="52"/>
    </row>
    <row r="320">
      <c r="M320" s="52"/>
      <c r="N320" s="52"/>
      <c r="O320" s="52"/>
    </row>
    <row r="321">
      <c r="M321" s="52"/>
      <c r="N321" s="52"/>
      <c r="O321" s="52"/>
    </row>
    <row r="322">
      <c r="M322" s="52"/>
      <c r="N322" s="52"/>
      <c r="O322" s="52"/>
    </row>
    <row r="323">
      <c r="M323" s="52"/>
      <c r="N323" s="52"/>
      <c r="O323" s="52"/>
    </row>
    <row r="324">
      <c r="M324" s="52"/>
      <c r="N324" s="52"/>
      <c r="O324" s="52"/>
    </row>
    <row r="325">
      <c r="M325" s="52"/>
      <c r="N325" s="52"/>
      <c r="O325" s="52"/>
    </row>
    <row r="326">
      <c r="M326" s="52"/>
      <c r="N326" s="52"/>
      <c r="O326" s="52"/>
    </row>
    <row r="327">
      <c r="M327" s="52"/>
      <c r="N327" s="52"/>
      <c r="O327" s="52"/>
    </row>
    <row r="328">
      <c r="M328" s="52"/>
      <c r="N328" s="52"/>
      <c r="O328" s="52"/>
    </row>
    <row r="329">
      <c r="M329" s="52"/>
      <c r="N329" s="52"/>
      <c r="O329" s="52"/>
    </row>
    <row r="330">
      <c r="M330" s="52"/>
      <c r="N330" s="52"/>
      <c r="O330" s="52"/>
    </row>
    <row r="331">
      <c r="M331" s="52"/>
      <c r="N331" s="52"/>
      <c r="O331" s="52"/>
    </row>
    <row r="332">
      <c r="M332" s="52"/>
      <c r="N332" s="52"/>
      <c r="O332" s="52"/>
    </row>
    <row r="333">
      <c r="M333" s="52"/>
      <c r="N333" s="52"/>
      <c r="O333" s="52"/>
    </row>
    <row r="334">
      <c r="M334" s="52"/>
      <c r="N334" s="52"/>
      <c r="O334" s="52"/>
    </row>
    <row r="335">
      <c r="M335" s="52"/>
      <c r="N335" s="52"/>
      <c r="O335" s="52"/>
    </row>
    <row r="336">
      <c r="M336" s="52"/>
      <c r="N336" s="52"/>
      <c r="O336" s="52"/>
    </row>
    <row r="337">
      <c r="M337" s="52"/>
      <c r="N337" s="52"/>
      <c r="O337" s="52"/>
    </row>
    <row r="338">
      <c r="M338" s="52"/>
      <c r="N338" s="52"/>
      <c r="O338" s="52"/>
    </row>
    <row r="339">
      <c r="M339" s="52"/>
      <c r="N339" s="52"/>
      <c r="O339" s="52"/>
    </row>
    <row r="340">
      <c r="M340" s="52"/>
      <c r="N340" s="52"/>
      <c r="O340" s="52"/>
    </row>
    <row r="341">
      <c r="M341" s="52"/>
      <c r="N341" s="52"/>
      <c r="O341" s="52"/>
    </row>
    <row r="342">
      <c r="M342" s="52"/>
      <c r="N342" s="52"/>
      <c r="O342" s="52"/>
    </row>
    <row r="343">
      <c r="M343" s="52"/>
      <c r="N343" s="52"/>
      <c r="O343" s="52"/>
    </row>
    <row r="344">
      <c r="M344" s="52"/>
      <c r="N344" s="52"/>
      <c r="O344" s="52"/>
    </row>
    <row r="345">
      <c r="M345" s="52"/>
      <c r="N345" s="52"/>
      <c r="O345" s="52"/>
    </row>
    <row r="346">
      <c r="M346" s="52"/>
      <c r="N346" s="52"/>
      <c r="O346" s="52"/>
    </row>
    <row r="347">
      <c r="M347" s="52"/>
      <c r="N347" s="52"/>
      <c r="O347" s="52"/>
    </row>
    <row r="348">
      <c r="M348" s="52"/>
      <c r="N348" s="52"/>
      <c r="O348" s="52"/>
    </row>
    <row r="349">
      <c r="M349" s="52"/>
      <c r="N349" s="52"/>
      <c r="O349" s="52"/>
    </row>
    <row r="350">
      <c r="M350" s="52"/>
      <c r="N350" s="52"/>
      <c r="O350" s="52"/>
    </row>
    <row r="351">
      <c r="M351" s="52"/>
      <c r="N351" s="52"/>
      <c r="O351" s="52"/>
    </row>
    <row r="352">
      <c r="M352" s="52"/>
      <c r="N352" s="52"/>
      <c r="O352" s="52"/>
    </row>
    <row r="353">
      <c r="M353" s="52"/>
      <c r="N353" s="52"/>
      <c r="O353" s="52"/>
    </row>
    <row r="354">
      <c r="M354" s="52"/>
      <c r="N354" s="52"/>
      <c r="O354" s="52"/>
    </row>
    <row r="355">
      <c r="M355" s="52"/>
      <c r="N355" s="52"/>
      <c r="O355" s="52"/>
    </row>
    <row r="356">
      <c r="M356" s="52"/>
      <c r="N356" s="52"/>
      <c r="O356" s="52"/>
    </row>
    <row r="357">
      <c r="M357" s="52"/>
      <c r="N357" s="52"/>
      <c r="O357" s="52"/>
    </row>
    <row r="358">
      <c r="M358" s="52"/>
      <c r="N358" s="52"/>
      <c r="O358" s="52"/>
    </row>
    <row r="359">
      <c r="M359" s="52"/>
      <c r="N359" s="52"/>
      <c r="O359" s="52"/>
    </row>
    <row r="360">
      <c r="M360" s="52"/>
      <c r="N360" s="52"/>
      <c r="O360" s="52"/>
    </row>
    <row r="361">
      <c r="M361" s="52"/>
      <c r="N361" s="52"/>
      <c r="O361" s="52"/>
    </row>
    <row r="362">
      <c r="M362" s="52"/>
      <c r="N362" s="52"/>
      <c r="O362" s="52"/>
    </row>
    <row r="363">
      <c r="M363" s="52"/>
      <c r="N363" s="52"/>
      <c r="O363" s="52"/>
    </row>
    <row r="364">
      <c r="M364" s="52"/>
      <c r="N364" s="52"/>
      <c r="O364" s="52"/>
    </row>
    <row r="365">
      <c r="M365" s="52"/>
      <c r="N365" s="52"/>
      <c r="O365" s="52"/>
    </row>
    <row r="366">
      <c r="M366" s="52"/>
      <c r="N366" s="52"/>
      <c r="O366" s="52"/>
    </row>
    <row r="367">
      <c r="M367" s="52"/>
      <c r="N367" s="52"/>
      <c r="O367" s="52"/>
    </row>
    <row r="368">
      <c r="M368" s="52"/>
      <c r="N368" s="52"/>
      <c r="O368" s="52"/>
    </row>
    <row r="369">
      <c r="M369" s="52"/>
      <c r="N369" s="52"/>
      <c r="O369" s="52"/>
    </row>
    <row r="370">
      <c r="M370" s="52"/>
      <c r="N370" s="52"/>
      <c r="O370" s="52"/>
    </row>
    <row r="371">
      <c r="M371" s="52"/>
      <c r="N371" s="52"/>
      <c r="O371" s="52"/>
    </row>
    <row r="372">
      <c r="M372" s="52"/>
      <c r="N372" s="52"/>
      <c r="O372" s="52"/>
    </row>
    <row r="373">
      <c r="M373" s="52"/>
      <c r="N373" s="52"/>
      <c r="O373" s="52"/>
    </row>
    <row r="374">
      <c r="M374" s="52"/>
      <c r="N374" s="52"/>
      <c r="O374" s="52"/>
    </row>
    <row r="375">
      <c r="M375" s="52"/>
      <c r="N375" s="52"/>
      <c r="O375" s="52"/>
    </row>
    <row r="376">
      <c r="M376" s="52"/>
      <c r="N376" s="52"/>
      <c r="O376" s="52"/>
    </row>
    <row r="377">
      <c r="M377" s="52"/>
      <c r="N377" s="52"/>
      <c r="O377" s="52"/>
    </row>
    <row r="378">
      <c r="M378" s="52"/>
      <c r="N378" s="52"/>
      <c r="O378" s="52"/>
    </row>
    <row r="379">
      <c r="M379" s="52"/>
      <c r="N379" s="52"/>
      <c r="O379" s="52"/>
    </row>
    <row r="380">
      <c r="M380" s="52"/>
      <c r="N380" s="52"/>
      <c r="O380" s="52"/>
    </row>
    <row r="381">
      <c r="M381" s="52"/>
      <c r="N381" s="52"/>
      <c r="O381" s="52"/>
    </row>
    <row r="382">
      <c r="M382" s="52"/>
      <c r="N382" s="52"/>
      <c r="O382" s="52"/>
    </row>
    <row r="383">
      <c r="M383" s="52"/>
      <c r="N383" s="52"/>
      <c r="O383" s="52"/>
    </row>
    <row r="384">
      <c r="M384" s="52"/>
      <c r="N384" s="52"/>
      <c r="O384" s="52"/>
    </row>
    <row r="385">
      <c r="M385" s="52"/>
      <c r="N385" s="52"/>
      <c r="O385" s="52"/>
    </row>
    <row r="386">
      <c r="M386" s="52"/>
      <c r="N386" s="52"/>
      <c r="O386" s="52"/>
    </row>
    <row r="387">
      <c r="M387" s="52"/>
      <c r="N387" s="52"/>
      <c r="O387" s="52"/>
    </row>
    <row r="388">
      <c r="M388" s="52"/>
      <c r="N388" s="52"/>
      <c r="O388" s="52"/>
    </row>
    <row r="389">
      <c r="M389" s="52"/>
      <c r="N389" s="52"/>
      <c r="O389" s="52"/>
    </row>
    <row r="390">
      <c r="M390" s="52"/>
      <c r="N390" s="52"/>
      <c r="O390" s="52"/>
    </row>
    <row r="391">
      <c r="M391" s="52"/>
      <c r="N391" s="52"/>
      <c r="O391" s="52"/>
    </row>
    <row r="392">
      <c r="M392" s="52"/>
      <c r="N392" s="52"/>
      <c r="O392" s="52"/>
    </row>
    <row r="393">
      <c r="M393" s="52"/>
      <c r="N393" s="52"/>
      <c r="O393" s="52"/>
    </row>
    <row r="394">
      <c r="M394" s="52"/>
      <c r="N394" s="52"/>
      <c r="O394" s="52"/>
    </row>
    <row r="395">
      <c r="M395" s="52"/>
      <c r="N395" s="52"/>
      <c r="O395" s="52"/>
    </row>
    <row r="396">
      <c r="M396" s="52"/>
      <c r="N396" s="52"/>
      <c r="O396" s="52"/>
    </row>
    <row r="397">
      <c r="M397" s="52"/>
      <c r="N397" s="52"/>
      <c r="O397" s="52"/>
    </row>
    <row r="398">
      <c r="M398" s="52"/>
      <c r="N398" s="52"/>
      <c r="O398" s="52"/>
    </row>
    <row r="399">
      <c r="M399" s="52"/>
      <c r="N399" s="52"/>
      <c r="O399" s="52"/>
    </row>
    <row r="400">
      <c r="M400" s="52"/>
      <c r="N400" s="52"/>
      <c r="O400" s="52"/>
    </row>
    <row r="401">
      <c r="M401" s="52"/>
      <c r="N401" s="52"/>
      <c r="O401" s="52"/>
    </row>
    <row r="402">
      <c r="M402" s="52"/>
      <c r="N402" s="52"/>
      <c r="O402" s="52"/>
    </row>
    <row r="403">
      <c r="M403" s="52"/>
      <c r="N403" s="52"/>
      <c r="O403" s="52"/>
    </row>
    <row r="404">
      <c r="M404" s="52"/>
      <c r="N404" s="52"/>
      <c r="O404" s="52"/>
    </row>
    <row r="405">
      <c r="M405" s="52"/>
      <c r="N405" s="52"/>
      <c r="O405" s="52"/>
    </row>
    <row r="406">
      <c r="M406" s="52"/>
      <c r="N406" s="52"/>
      <c r="O406" s="52"/>
    </row>
    <row r="407">
      <c r="M407" s="52"/>
      <c r="N407" s="52"/>
      <c r="O407" s="52"/>
    </row>
    <row r="408">
      <c r="M408" s="52"/>
      <c r="N408" s="52"/>
      <c r="O408" s="52"/>
    </row>
    <row r="409">
      <c r="M409" s="52"/>
      <c r="N409" s="52"/>
      <c r="O409" s="52"/>
    </row>
    <row r="410">
      <c r="M410" s="52"/>
      <c r="N410" s="52"/>
      <c r="O410" s="52"/>
    </row>
    <row r="411">
      <c r="M411" s="52"/>
      <c r="N411" s="52"/>
      <c r="O411" s="52"/>
    </row>
    <row r="412">
      <c r="M412" s="52"/>
      <c r="N412" s="52"/>
      <c r="O412" s="52"/>
    </row>
    <row r="413">
      <c r="M413" s="52"/>
      <c r="N413" s="52"/>
      <c r="O413" s="52"/>
    </row>
    <row r="414">
      <c r="M414" s="52"/>
      <c r="N414" s="52"/>
      <c r="O414" s="52"/>
    </row>
    <row r="415">
      <c r="M415" s="52"/>
      <c r="N415" s="52"/>
      <c r="O415" s="52"/>
    </row>
    <row r="416">
      <c r="M416" s="52"/>
      <c r="N416" s="52"/>
      <c r="O416" s="52"/>
    </row>
    <row r="417">
      <c r="M417" s="52"/>
      <c r="N417" s="52"/>
      <c r="O417" s="52"/>
    </row>
    <row r="418">
      <c r="M418" s="52"/>
      <c r="N418" s="52"/>
      <c r="O418" s="52"/>
    </row>
    <row r="419">
      <c r="M419" s="52"/>
      <c r="N419" s="52"/>
      <c r="O419" s="52"/>
    </row>
    <row r="420">
      <c r="M420" s="52"/>
      <c r="N420" s="52"/>
      <c r="O420" s="52"/>
    </row>
    <row r="421">
      <c r="M421" s="52"/>
      <c r="N421" s="52"/>
      <c r="O421" s="52"/>
    </row>
    <row r="422">
      <c r="M422" s="52"/>
      <c r="N422" s="52"/>
      <c r="O422" s="52"/>
    </row>
    <row r="423">
      <c r="M423" s="52"/>
      <c r="N423" s="52"/>
      <c r="O423" s="52"/>
    </row>
    <row r="424">
      <c r="M424" s="52"/>
      <c r="N424" s="52"/>
      <c r="O424" s="52"/>
    </row>
    <row r="425">
      <c r="M425" s="52"/>
      <c r="N425" s="52"/>
      <c r="O425" s="52"/>
    </row>
    <row r="426">
      <c r="M426" s="52"/>
      <c r="N426" s="52"/>
      <c r="O426" s="52"/>
    </row>
    <row r="427">
      <c r="M427" s="52"/>
      <c r="N427" s="52"/>
      <c r="O427" s="52"/>
    </row>
    <row r="428">
      <c r="M428" s="52"/>
      <c r="N428" s="52"/>
      <c r="O428" s="52"/>
    </row>
    <row r="429">
      <c r="M429" s="52"/>
      <c r="N429" s="52"/>
      <c r="O429" s="52"/>
    </row>
    <row r="430">
      <c r="M430" s="52"/>
      <c r="N430" s="52"/>
      <c r="O430" s="52"/>
    </row>
    <row r="431">
      <c r="M431" s="52"/>
      <c r="N431" s="52"/>
      <c r="O431" s="52"/>
    </row>
    <row r="432">
      <c r="M432" s="52"/>
      <c r="N432" s="52"/>
      <c r="O432" s="52"/>
    </row>
    <row r="433">
      <c r="M433" s="52"/>
      <c r="N433" s="52"/>
      <c r="O433" s="52"/>
    </row>
    <row r="434">
      <c r="M434" s="52"/>
      <c r="N434" s="52"/>
      <c r="O434" s="52"/>
    </row>
    <row r="435">
      <c r="M435" s="52"/>
      <c r="N435" s="52"/>
      <c r="O435" s="52"/>
    </row>
    <row r="436">
      <c r="M436" s="52"/>
      <c r="N436" s="52"/>
      <c r="O436" s="52"/>
    </row>
    <row r="437">
      <c r="M437" s="52"/>
      <c r="N437" s="52"/>
      <c r="O437" s="52"/>
    </row>
    <row r="438">
      <c r="M438" s="52"/>
      <c r="N438" s="52"/>
      <c r="O438" s="52"/>
    </row>
    <row r="439">
      <c r="M439" s="52"/>
      <c r="N439" s="52"/>
      <c r="O439" s="52"/>
    </row>
    <row r="440">
      <c r="M440" s="52"/>
      <c r="N440" s="52"/>
      <c r="O440" s="52"/>
    </row>
    <row r="441">
      <c r="M441" s="52"/>
      <c r="N441" s="52"/>
      <c r="O441" s="52"/>
    </row>
    <row r="442">
      <c r="M442" s="52"/>
      <c r="N442" s="52"/>
      <c r="O442" s="52"/>
    </row>
    <row r="443">
      <c r="M443" s="52"/>
      <c r="N443" s="52"/>
      <c r="O443" s="52"/>
    </row>
    <row r="444">
      <c r="M444" s="52"/>
      <c r="N444" s="52"/>
      <c r="O444" s="52"/>
    </row>
    <row r="445">
      <c r="M445" s="52"/>
      <c r="N445" s="52"/>
      <c r="O445" s="52"/>
    </row>
    <row r="446">
      <c r="M446" s="52"/>
      <c r="N446" s="52"/>
      <c r="O446" s="52"/>
    </row>
    <row r="447">
      <c r="M447" s="52"/>
      <c r="N447" s="52"/>
      <c r="O447" s="52"/>
    </row>
    <row r="448">
      <c r="M448" s="52"/>
      <c r="N448" s="52"/>
      <c r="O448" s="52"/>
    </row>
    <row r="449">
      <c r="M449" s="52"/>
      <c r="N449" s="52"/>
      <c r="O449" s="52"/>
    </row>
    <row r="450">
      <c r="M450" s="52"/>
      <c r="N450" s="52"/>
      <c r="O450" s="52"/>
    </row>
    <row r="451">
      <c r="M451" s="52"/>
      <c r="N451" s="52"/>
      <c r="O451" s="52"/>
    </row>
    <row r="452">
      <c r="M452" s="52"/>
      <c r="N452" s="52"/>
      <c r="O452" s="52"/>
    </row>
    <row r="453">
      <c r="M453" s="52"/>
      <c r="N453" s="52"/>
      <c r="O453" s="52"/>
    </row>
    <row r="454">
      <c r="M454" s="52"/>
      <c r="N454" s="52"/>
      <c r="O454" s="52"/>
    </row>
    <row r="455">
      <c r="M455" s="52"/>
      <c r="N455" s="52"/>
      <c r="O455" s="52"/>
    </row>
    <row r="456">
      <c r="M456" s="52"/>
      <c r="N456" s="52"/>
      <c r="O456" s="52"/>
    </row>
    <row r="457">
      <c r="M457" s="52"/>
      <c r="N457" s="52"/>
      <c r="O457" s="52"/>
    </row>
    <row r="458">
      <c r="M458" s="52"/>
      <c r="N458" s="52"/>
      <c r="O458" s="52"/>
    </row>
    <row r="459">
      <c r="M459" s="52"/>
      <c r="N459" s="52"/>
      <c r="O459" s="52"/>
    </row>
    <row r="460">
      <c r="M460" s="52"/>
      <c r="N460" s="52"/>
      <c r="O460" s="52"/>
    </row>
    <row r="461">
      <c r="M461" s="52"/>
      <c r="N461" s="52"/>
      <c r="O461" s="52"/>
    </row>
    <row r="462">
      <c r="M462" s="52"/>
      <c r="N462" s="52"/>
      <c r="O462" s="52"/>
    </row>
    <row r="463">
      <c r="M463" s="52"/>
      <c r="N463" s="52"/>
      <c r="O463" s="52"/>
    </row>
    <row r="464">
      <c r="M464" s="52"/>
      <c r="N464" s="52"/>
      <c r="O464" s="52"/>
    </row>
    <row r="465">
      <c r="M465" s="52"/>
      <c r="N465" s="52"/>
      <c r="O465" s="52"/>
    </row>
    <row r="466">
      <c r="M466" s="52"/>
      <c r="N466" s="52"/>
      <c r="O466" s="52"/>
    </row>
    <row r="467">
      <c r="M467" s="52"/>
      <c r="N467" s="52"/>
      <c r="O467" s="52"/>
    </row>
    <row r="468">
      <c r="M468" s="52"/>
      <c r="N468" s="52"/>
      <c r="O468" s="52"/>
    </row>
    <row r="469">
      <c r="M469" s="52"/>
      <c r="N469" s="52"/>
      <c r="O469" s="52"/>
    </row>
    <row r="470">
      <c r="M470" s="52"/>
      <c r="N470" s="52"/>
      <c r="O470" s="52"/>
    </row>
    <row r="471">
      <c r="M471" s="52"/>
      <c r="N471" s="52"/>
      <c r="O471" s="52"/>
    </row>
    <row r="472">
      <c r="M472" s="52"/>
      <c r="N472" s="52"/>
      <c r="O472" s="52"/>
    </row>
    <row r="473">
      <c r="M473" s="52"/>
      <c r="N473" s="52"/>
      <c r="O473" s="52"/>
    </row>
    <row r="474">
      <c r="M474" s="52"/>
      <c r="N474" s="52"/>
      <c r="O474" s="52"/>
    </row>
    <row r="475">
      <c r="M475" s="52"/>
      <c r="N475" s="52"/>
      <c r="O475" s="52"/>
    </row>
    <row r="476">
      <c r="M476" s="52"/>
      <c r="N476" s="52"/>
      <c r="O476" s="52"/>
    </row>
    <row r="477">
      <c r="M477" s="52"/>
      <c r="N477" s="52"/>
      <c r="O477" s="52"/>
    </row>
    <row r="478">
      <c r="M478" s="52"/>
      <c r="N478" s="52"/>
      <c r="O478" s="52"/>
    </row>
    <row r="479">
      <c r="M479" s="52"/>
      <c r="N479" s="52"/>
      <c r="O479" s="52"/>
    </row>
    <row r="480">
      <c r="M480" s="52"/>
      <c r="N480" s="52"/>
      <c r="O480" s="52"/>
    </row>
    <row r="481">
      <c r="M481" s="52"/>
      <c r="N481" s="52"/>
      <c r="O481" s="52"/>
    </row>
    <row r="482">
      <c r="M482" s="52"/>
      <c r="N482" s="52"/>
      <c r="O482" s="52"/>
    </row>
    <row r="483">
      <c r="M483" s="52"/>
      <c r="N483" s="52"/>
      <c r="O483" s="52"/>
    </row>
    <row r="484">
      <c r="M484" s="52"/>
      <c r="N484" s="52"/>
      <c r="O484" s="52"/>
    </row>
    <row r="485">
      <c r="M485" s="52"/>
      <c r="N485" s="52"/>
      <c r="O485" s="52"/>
    </row>
    <row r="486">
      <c r="M486" s="52"/>
      <c r="N486" s="52"/>
      <c r="O486" s="52"/>
    </row>
    <row r="487">
      <c r="M487" s="52"/>
      <c r="N487" s="52"/>
      <c r="O487" s="52"/>
    </row>
    <row r="488">
      <c r="M488" s="52"/>
      <c r="N488" s="52"/>
      <c r="O488" s="52"/>
    </row>
    <row r="489">
      <c r="M489" s="52"/>
      <c r="N489" s="52"/>
      <c r="O489" s="52"/>
    </row>
    <row r="490">
      <c r="M490" s="52"/>
      <c r="N490" s="52"/>
      <c r="O490" s="52"/>
    </row>
    <row r="491">
      <c r="M491" s="52"/>
      <c r="N491" s="52"/>
      <c r="O491" s="52"/>
    </row>
    <row r="492">
      <c r="M492" s="52"/>
      <c r="N492" s="52"/>
      <c r="O492" s="52"/>
    </row>
    <row r="493">
      <c r="M493" s="52"/>
      <c r="N493" s="52"/>
      <c r="O493" s="52"/>
    </row>
    <row r="494">
      <c r="M494" s="52"/>
      <c r="N494" s="52"/>
      <c r="O494" s="52"/>
    </row>
    <row r="495">
      <c r="M495" s="52"/>
      <c r="N495" s="52"/>
      <c r="O495" s="52"/>
    </row>
    <row r="496">
      <c r="M496" s="52"/>
      <c r="N496" s="52"/>
      <c r="O496" s="52"/>
    </row>
    <row r="497">
      <c r="M497" s="52"/>
      <c r="N497" s="52"/>
      <c r="O497" s="52"/>
    </row>
    <row r="498">
      <c r="M498" s="52"/>
      <c r="N498" s="52"/>
      <c r="O498" s="52"/>
    </row>
    <row r="499">
      <c r="M499" s="52"/>
      <c r="N499" s="52"/>
      <c r="O499" s="52"/>
    </row>
    <row r="500">
      <c r="M500" s="52"/>
      <c r="N500" s="52"/>
      <c r="O500" s="52"/>
    </row>
    <row r="501">
      <c r="M501" s="52"/>
      <c r="N501" s="52"/>
      <c r="O501" s="52"/>
    </row>
    <row r="502">
      <c r="M502" s="52"/>
      <c r="N502" s="52"/>
      <c r="O502" s="52"/>
    </row>
    <row r="503">
      <c r="M503" s="52"/>
      <c r="N503" s="52"/>
      <c r="O503" s="52"/>
    </row>
    <row r="504">
      <c r="M504" s="52"/>
      <c r="N504" s="52"/>
      <c r="O504" s="52"/>
    </row>
    <row r="505">
      <c r="M505" s="52"/>
      <c r="N505" s="52"/>
      <c r="O505" s="52"/>
    </row>
    <row r="506">
      <c r="M506" s="52"/>
      <c r="N506" s="52"/>
      <c r="O506" s="52"/>
    </row>
    <row r="507">
      <c r="M507" s="52"/>
      <c r="N507" s="52"/>
      <c r="O507" s="52"/>
    </row>
    <row r="508">
      <c r="M508" s="52"/>
      <c r="N508" s="52"/>
      <c r="O508" s="52"/>
    </row>
    <row r="509">
      <c r="M509" s="52"/>
      <c r="N509" s="52"/>
      <c r="O509" s="52"/>
    </row>
    <row r="510">
      <c r="M510" s="52"/>
      <c r="N510" s="52"/>
      <c r="O510" s="52"/>
    </row>
    <row r="511">
      <c r="M511" s="52"/>
      <c r="N511" s="52"/>
      <c r="O511" s="52"/>
    </row>
    <row r="512">
      <c r="M512" s="52"/>
      <c r="N512" s="52"/>
      <c r="O512" s="52"/>
    </row>
    <row r="513">
      <c r="M513" s="52"/>
      <c r="N513" s="52"/>
      <c r="O513" s="52"/>
    </row>
    <row r="514">
      <c r="M514" s="52"/>
      <c r="N514" s="52"/>
      <c r="O514" s="52"/>
    </row>
    <row r="515">
      <c r="M515" s="52"/>
      <c r="N515" s="52"/>
      <c r="O515" s="52"/>
    </row>
    <row r="516">
      <c r="M516" s="52"/>
      <c r="N516" s="52"/>
      <c r="O516" s="52"/>
    </row>
    <row r="517">
      <c r="M517" s="52"/>
      <c r="N517" s="52"/>
      <c r="O517" s="52"/>
    </row>
    <row r="518">
      <c r="M518" s="52"/>
      <c r="N518" s="52"/>
      <c r="O518" s="52"/>
    </row>
    <row r="519">
      <c r="M519" s="52"/>
      <c r="N519" s="52"/>
      <c r="O519" s="52"/>
    </row>
    <row r="520">
      <c r="M520" s="52"/>
      <c r="N520" s="52"/>
      <c r="O520" s="52"/>
    </row>
    <row r="521">
      <c r="M521" s="52"/>
      <c r="N521" s="52"/>
      <c r="O521" s="52"/>
    </row>
    <row r="522">
      <c r="M522" s="52"/>
      <c r="N522" s="52"/>
      <c r="O522" s="52"/>
    </row>
    <row r="523">
      <c r="M523" s="52"/>
      <c r="N523" s="52"/>
      <c r="O523" s="52"/>
    </row>
    <row r="524">
      <c r="M524" s="52"/>
      <c r="N524" s="52"/>
      <c r="O524" s="52"/>
    </row>
    <row r="525">
      <c r="M525" s="52"/>
      <c r="N525" s="52"/>
      <c r="O525" s="52"/>
    </row>
    <row r="526">
      <c r="M526" s="52"/>
      <c r="N526" s="52"/>
      <c r="O526" s="52"/>
    </row>
    <row r="527">
      <c r="M527" s="52"/>
      <c r="N527" s="52"/>
      <c r="O527" s="52"/>
    </row>
    <row r="528">
      <c r="M528" s="52"/>
      <c r="N528" s="52"/>
      <c r="O528" s="52"/>
    </row>
    <row r="529">
      <c r="M529" s="52"/>
      <c r="N529" s="52"/>
      <c r="O529" s="52"/>
    </row>
    <row r="530">
      <c r="M530" s="52"/>
      <c r="N530" s="52"/>
      <c r="O530" s="52"/>
    </row>
    <row r="531">
      <c r="M531" s="52"/>
      <c r="N531" s="52"/>
      <c r="O531" s="52"/>
    </row>
    <row r="532">
      <c r="M532" s="52"/>
      <c r="N532" s="52"/>
      <c r="O532" s="52"/>
    </row>
    <row r="533">
      <c r="M533" s="52"/>
      <c r="N533" s="52"/>
      <c r="O533" s="52"/>
    </row>
    <row r="534">
      <c r="M534" s="52"/>
      <c r="N534" s="52"/>
      <c r="O534" s="52"/>
    </row>
    <row r="535">
      <c r="M535" s="52"/>
      <c r="N535" s="52"/>
      <c r="O535" s="52"/>
    </row>
    <row r="536">
      <c r="M536" s="52"/>
      <c r="N536" s="52"/>
      <c r="O536" s="52"/>
    </row>
    <row r="537">
      <c r="M537" s="52"/>
      <c r="N537" s="52"/>
      <c r="O537" s="52"/>
    </row>
    <row r="538">
      <c r="M538" s="52"/>
      <c r="N538" s="52"/>
      <c r="O538" s="52"/>
    </row>
    <row r="539">
      <c r="M539" s="52"/>
      <c r="N539" s="52"/>
      <c r="O539" s="52"/>
    </row>
    <row r="540">
      <c r="M540" s="52"/>
      <c r="N540" s="52"/>
      <c r="O540" s="52"/>
    </row>
    <row r="541">
      <c r="M541" s="52"/>
      <c r="N541" s="52"/>
      <c r="O541" s="52"/>
    </row>
    <row r="542">
      <c r="M542" s="52"/>
      <c r="N542" s="52"/>
      <c r="O542" s="52"/>
    </row>
    <row r="543">
      <c r="M543" s="52"/>
      <c r="N543" s="52"/>
      <c r="O543" s="52"/>
    </row>
    <row r="544">
      <c r="M544" s="52"/>
      <c r="N544" s="52"/>
      <c r="O544" s="52"/>
    </row>
    <row r="545">
      <c r="M545" s="52"/>
      <c r="N545" s="52"/>
      <c r="O545" s="52"/>
    </row>
    <row r="546">
      <c r="M546" s="52"/>
      <c r="N546" s="52"/>
      <c r="O546" s="52"/>
    </row>
    <row r="547">
      <c r="M547" s="52"/>
      <c r="N547" s="52"/>
      <c r="O547" s="52"/>
    </row>
    <row r="548">
      <c r="M548" s="52"/>
      <c r="N548" s="52"/>
      <c r="O548" s="52"/>
    </row>
    <row r="549">
      <c r="M549" s="52"/>
      <c r="N549" s="52"/>
      <c r="O549" s="52"/>
    </row>
    <row r="550">
      <c r="M550" s="52"/>
      <c r="N550" s="52"/>
      <c r="O550" s="52"/>
    </row>
    <row r="551">
      <c r="M551" s="52"/>
      <c r="N551" s="52"/>
      <c r="O551" s="52"/>
    </row>
    <row r="552">
      <c r="M552" s="52"/>
      <c r="N552" s="52"/>
      <c r="O552" s="52"/>
    </row>
    <row r="553">
      <c r="M553" s="52"/>
      <c r="N553" s="52"/>
      <c r="O553" s="52"/>
    </row>
    <row r="554">
      <c r="M554" s="52"/>
      <c r="N554" s="52"/>
      <c r="O554" s="52"/>
    </row>
    <row r="555">
      <c r="M555" s="52"/>
      <c r="N555" s="52"/>
      <c r="O555" s="52"/>
    </row>
    <row r="556">
      <c r="M556" s="52"/>
      <c r="N556" s="52"/>
      <c r="O556" s="52"/>
    </row>
    <row r="557">
      <c r="M557" s="52"/>
      <c r="N557" s="52"/>
      <c r="O557" s="52"/>
    </row>
    <row r="558">
      <c r="M558" s="52"/>
      <c r="N558" s="52"/>
      <c r="O558" s="52"/>
    </row>
    <row r="559">
      <c r="M559" s="52"/>
      <c r="N559" s="52"/>
      <c r="O559" s="52"/>
    </row>
    <row r="560">
      <c r="M560" s="52"/>
      <c r="N560" s="52"/>
      <c r="O560" s="52"/>
    </row>
    <row r="561">
      <c r="M561" s="52"/>
      <c r="N561" s="52"/>
      <c r="O561" s="52"/>
    </row>
    <row r="562">
      <c r="M562" s="52"/>
      <c r="N562" s="52"/>
      <c r="O562" s="52"/>
    </row>
    <row r="563">
      <c r="M563" s="52"/>
      <c r="N563" s="52"/>
      <c r="O563" s="52"/>
    </row>
    <row r="564">
      <c r="M564" s="52"/>
      <c r="N564" s="52"/>
      <c r="O564" s="52"/>
    </row>
    <row r="565">
      <c r="M565" s="52"/>
      <c r="N565" s="52"/>
      <c r="O565" s="52"/>
    </row>
    <row r="566">
      <c r="M566" s="52"/>
      <c r="N566" s="52"/>
      <c r="O566" s="52"/>
    </row>
    <row r="567">
      <c r="M567" s="52"/>
      <c r="N567" s="52"/>
      <c r="O567" s="52"/>
    </row>
    <row r="568">
      <c r="M568" s="52"/>
      <c r="N568" s="52"/>
      <c r="O568" s="52"/>
    </row>
    <row r="569">
      <c r="M569" s="52"/>
      <c r="N569" s="52"/>
      <c r="O569" s="52"/>
    </row>
    <row r="570">
      <c r="M570" s="52"/>
      <c r="N570" s="52"/>
      <c r="O570" s="52"/>
    </row>
    <row r="571">
      <c r="M571" s="52"/>
      <c r="N571" s="52"/>
      <c r="O571" s="52"/>
    </row>
    <row r="572">
      <c r="M572" s="52"/>
      <c r="N572" s="52"/>
      <c r="O572" s="52"/>
    </row>
    <row r="573">
      <c r="M573" s="52"/>
      <c r="N573" s="52"/>
      <c r="O573" s="52"/>
    </row>
    <row r="574">
      <c r="M574" s="52"/>
      <c r="N574" s="52"/>
      <c r="O574" s="52"/>
    </row>
    <row r="575">
      <c r="M575" s="52"/>
      <c r="N575" s="52"/>
      <c r="O575" s="52"/>
    </row>
    <row r="576">
      <c r="M576" s="52"/>
      <c r="N576" s="52"/>
      <c r="O576" s="52"/>
    </row>
    <row r="577">
      <c r="M577" s="52"/>
      <c r="N577" s="52"/>
      <c r="O577" s="52"/>
    </row>
    <row r="578">
      <c r="M578" s="52"/>
      <c r="N578" s="52"/>
      <c r="O578" s="52"/>
    </row>
    <row r="579">
      <c r="M579" s="52"/>
      <c r="N579" s="52"/>
      <c r="O579" s="52"/>
    </row>
    <row r="580">
      <c r="M580" s="52"/>
      <c r="N580" s="52"/>
      <c r="O580" s="52"/>
    </row>
    <row r="581">
      <c r="M581" s="52"/>
      <c r="N581" s="52"/>
      <c r="O581" s="52"/>
    </row>
    <row r="582">
      <c r="M582" s="52"/>
      <c r="N582" s="52"/>
      <c r="O582" s="52"/>
    </row>
    <row r="583">
      <c r="M583" s="52"/>
      <c r="N583" s="52"/>
      <c r="O583" s="52"/>
    </row>
    <row r="584">
      <c r="M584" s="52"/>
      <c r="N584" s="52"/>
      <c r="O584" s="52"/>
    </row>
    <row r="585">
      <c r="M585" s="52"/>
      <c r="N585" s="52"/>
      <c r="O585" s="52"/>
    </row>
    <row r="586">
      <c r="M586" s="52"/>
      <c r="N586" s="52"/>
      <c r="O586" s="52"/>
    </row>
    <row r="587">
      <c r="M587" s="52"/>
      <c r="N587" s="52"/>
      <c r="O587" s="52"/>
    </row>
    <row r="588">
      <c r="M588" s="52"/>
      <c r="N588" s="52"/>
      <c r="O588" s="52"/>
    </row>
    <row r="589">
      <c r="M589" s="52"/>
      <c r="N589" s="52"/>
      <c r="O589" s="52"/>
    </row>
    <row r="590">
      <c r="M590" s="52"/>
      <c r="N590" s="52"/>
      <c r="O590" s="52"/>
    </row>
    <row r="591">
      <c r="M591" s="52"/>
      <c r="N591" s="52"/>
      <c r="O591" s="52"/>
    </row>
    <row r="592">
      <c r="M592" s="52"/>
      <c r="N592" s="52"/>
      <c r="O592" s="52"/>
    </row>
    <row r="593">
      <c r="M593" s="52"/>
      <c r="N593" s="52"/>
      <c r="O593" s="52"/>
    </row>
    <row r="594">
      <c r="M594" s="52"/>
      <c r="N594" s="52"/>
      <c r="O594" s="52"/>
    </row>
    <row r="595">
      <c r="M595" s="52"/>
      <c r="N595" s="52"/>
      <c r="O595" s="52"/>
    </row>
    <row r="596">
      <c r="M596" s="52"/>
      <c r="N596" s="52"/>
      <c r="O596" s="52"/>
    </row>
    <row r="597">
      <c r="M597" s="52"/>
      <c r="N597" s="52"/>
      <c r="O597" s="52"/>
    </row>
    <row r="598">
      <c r="M598" s="52"/>
      <c r="N598" s="52"/>
      <c r="O598" s="52"/>
    </row>
    <row r="599">
      <c r="M599" s="52"/>
      <c r="N599" s="52"/>
      <c r="O599" s="52"/>
    </row>
    <row r="600">
      <c r="M600" s="52"/>
      <c r="N600" s="52"/>
      <c r="O600" s="52"/>
    </row>
    <row r="601">
      <c r="M601" s="52"/>
      <c r="N601" s="52"/>
      <c r="O601" s="52"/>
    </row>
    <row r="602">
      <c r="M602" s="52"/>
      <c r="N602" s="52"/>
      <c r="O602" s="52"/>
    </row>
    <row r="603">
      <c r="M603" s="52"/>
      <c r="N603" s="52"/>
      <c r="O603" s="52"/>
    </row>
    <row r="604">
      <c r="M604" s="52"/>
      <c r="N604" s="52"/>
      <c r="O604" s="52"/>
    </row>
    <row r="605">
      <c r="M605" s="52"/>
      <c r="N605" s="52"/>
      <c r="O605" s="52"/>
    </row>
    <row r="606">
      <c r="M606" s="52"/>
      <c r="N606" s="52"/>
      <c r="O606" s="52"/>
    </row>
    <row r="607">
      <c r="M607" s="52"/>
      <c r="N607" s="52"/>
      <c r="O607" s="52"/>
    </row>
    <row r="608">
      <c r="M608" s="52"/>
      <c r="N608" s="52"/>
      <c r="O608" s="52"/>
    </row>
    <row r="609">
      <c r="M609" s="52"/>
      <c r="N609" s="52"/>
      <c r="O609" s="52"/>
    </row>
    <row r="610">
      <c r="M610" s="52"/>
      <c r="N610" s="52"/>
      <c r="O610" s="52"/>
    </row>
    <row r="611">
      <c r="M611" s="52"/>
      <c r="N611" s="52"/>
      <c r="O611" s="52"/>
    </row>
    <row r="612">
      <c r="M612" s="52"/>
      <c r="N612" s="52"/>
      <c r="O612" s="52"/>
    </row>
    <row r="613">
      <c r="M613" s="52"/>
      <c r="N613" s="52"/>
      <c r="O613" s="52"/>
    </row>
    <row r="614">
      <c r="M614" s="52"/>
      <c r="N614" s="52"/>
      <c r="O614" s="52"/>
    </row>
    <row r="615">
      <c r="M615" s="52"/>
      <c r="N615" s="52"/>
      <c r="O615" s="52"/>
    </row>
    <row r="616">
      <c r="M616" s="52"/>
      <c r="N616" s="52"/>
      <c r="O616" s="52"/>
    </row>
    <row r="617">
      <c r="M617" s="52"/>
      <c r="N617" s="52"/>
      <c r="O617" s="52"/>
    </row>
    <row r="618">
      <c r="M618" s="52"/>
      <c r="N618" s="52"/>
      <c r="O618" s="52"/>
    </row>
    <row r="619">
      <c r="M619" s="52"/>
      <c r="N619" s="52"/>
      <c r="O619" s="52"/>
    </row>
    <row r="620">
      <c r="M620" s="52"/>
      <c r="N620" s="52"/>
      <c r="O620" s="52"/>
    </row>
    <row r="621">
      <c r="M621" s="52"/>
      <c r="N621" s="52"/>
      <c r="O621" s="52"/>
    </row>
    <row r="622">
      <c r="M622" s="52"/>
      <c r="N622" s="52"/>
      <c r="O622" s="52"/>
    </row>
    <row r="623">
      <c r="M623" s="52"/>
      <c r="N623" s="52"/>
      <c r="O623" s="52"/>
    </row>
    <row r="624">
      <c r="M624" s="52"/>
      <c r="N624" s="52"/>
      <c r="O624" s="52"/>
    </row>
    <row r="625">
      <c r="M625" s="52"/>
      <c r="N625" s="52"/>
      <c r="O625" s="52"/>
    </row>
    <row r="626">
      <c r="M626" s="52"/>
      <c r="N626" s="52"/>
      <c r="O626" s="52"/>
    </row>
    <row r="627">
      <c r="M627" s="52"/>
      <c r="N627" s="52"/>
      <c r="O627" s="52"/>
    </row>
    <row r="628">
      <c r="M628" s="52"/>
      <c r="N628" s="52"/>
      <c r="O628" s="52"/>
    </row>
    <row r="629">
      <c r="M629" s="52"/>
      <c r="N629" s="52"/>
      <c r="O629" s="52"/>
    </row>
    <row r="630">
      <c r="M630" s="52"/>
      <c r="N630" s="52"/>
      <c r="O630" s="52"/>
    </row>
    <row r="631">
      <c r="M631" s="52"/>
      <c r="N631" s="52"/>
      <c r="O631" s="52"/>
    </row>
    <row r="632">
      <c r="M632" s="52"/>
      <c r="N632" s="52"/>
      <c r="O632" s="52"/>
    </row>
    <row r="633">
      <c r="M633" s="52"/>
      <c r="N633" s="52"/>
      <c r="O633" s="52"/>
    </row>
    <row r="634">
      <c r="M634" s="52"/>
      <c r="N634" s="52"/>
      <c r="O634" s="52"/>
    </row>
    <row r="635">
      <c r="M635" s="52"/>
      <c r="N635" s="52"/>
      <c r="O635" s="52"/>
    </row>
    <row r="636">
      <c r="M636" s="52"/>
      <c r="N636" s="52"/>
      <c r="O636" s="52"/>
    </row>
    <row r="637">
      <c r="M637" s="52"/>
      <c r="N637" s="52"/>
      <c r="O637" s="52"/>
    </row>
    <row r="638">
      <c r="M638" s="52"/>
      <c r="N638" s="52"/>
      <c r="O638" s="52"/>
    </row>
    <row r="639">
      <c r="M639" s="52"/>
      <c r="N639" s="52"/>
      <c r="O639" s="52"/>
    </row>
    <row r="640">
      <c r="M640" s="52"/>
      <c r="N640" s="52"/>
      <c r="O640" s="52"/>
    </row>
    <row r="641">
      <c r="M641" s="52"/>
      <c r="N641" s="52"/>
      <c r="O641" s="52"/>
    </row>
    <row r="642">
      <c r="M642" s="52"/>
      <c r="N642" s="52"/>
      <c r="O642" s="52"/>
    </row>
    <row r="643">
      <c r="M643" s="52"/>
      <c r="N643" s="52"/>
      <c r="O643" s="52"/>
    </row>
    <row r="644">
      <c r="M644" s="52"/>
      <c r="N644" s="52"/>
      <c r="O644" s="52"/>
    </row>
    <row r="645">
      <c r="M645" s="52"/>
      <c r="N645" s="52"/>
      <c r="O645" s="52"/>
    </row>
    <row r="646">
      <c r="M646" s="52"/>
      <c r="N646" s="52"/>
      <c r="O646" s="52"/>
    </row>
    <row r="647">
      <c r="M647" s="52"/>
      <c r="N647" s="52"/>
      <c r="O647" s="52"/>
    </row>
    <row r="648">
      <c r="M648" s="52"/>
      <c r="N648" s="52"/>
      <c r="O648" s="52"/>
    </row>
    <row r="649">
      <c r="M649" s="52"/>
      <c r="N649" s="52"/>
      <c r="O649" s="52"/>
    </row>
    <row r="650">
      <c r="M650" s="52"/>
      <c r="N650" s="52"/>
      <c r="O650" s="52"/>
    </row>
    <row r="651">
      <c r="M651" s="52"/>
      <c r="N651" s="52"/>
      <c r="O651" s="52"/>
    </row>
    <row r="652">
      <c r="M652" s="52"/>
      <c r="N652" s="52"/>
      <c r="O652" s="52"/>
    </row>
    <row r="653">
      <c r="M653" s="52"/>
      <c r="N653" s="52"/>
      <c r="O653" s="52"/>
    </row>
    <row r="654">
      <c r="M654" s="52"/>
      <c r="N654" s="52"/>
      <c r="O654" s="52"/>
    </row>
    <row r="655">
      <c r="M655" s="52"/>
      <c r="N655" s="52"/>
      <c r="O655" s="52"/>
    </row>
    <row r="656">
      <c r="M656" s="52"/>
      <c r="N656" s="52"/>
      <c r="O656" s="52"/>
    </row>
    <row r="657">
      <c r="M657" s="52"/>
      <c r="N657" s="52"/>
      <c r="O657" s="52"/>
    </row>
    <row r="658">
      <c r="M658" s="52"/>
      <c r="N658" s="52"/>
      <c r="O658" s="52"/>
    </row>
    <row r="659">
      <c r="M659" s="52"/>
      <c r="N659" s="52"/>
      <c r="O659" s="52"/>
    </row>
    <row r="660">
      <c r="M660" s="52"/>
      <c r="N660" s="52"/>
      <c r="O660" s="52"/>
    </row>
    <row r="661">
      <c r="M661" s="52"/>
      <c r="N661" s="52"/>
      <c r="O661" s="52"/>
    </row>
    <row r="662">
      <c r="M662" s="52"/>
      <c r="N662" s="52"/>
      <c r="O662" s="52"/>
    </row>
    <row r="663">
      <c r="M663" s="52"/>
      <c r="N663" s="52"/>
      <c r="O663" s="52"/>
    </row>
    <row r="664">
      <c r="M664" s="52"/>
      <c r="N664" s="52"/>
      <c r="O664" s="52"/>
    </row>
    <row r="665">
      <c r="M665" s="52"/>
      <c r="N665" s="52"/>
      <c r="O665" s="52"/>
    </row>
    <row r="666">
      <c r="M666" s="52"/>
      <c r="N666" s="52"/>
      <c r="O666" s="52"/>
    </row>
    <row r="667">
      <c r="M667" s="52"/>
      <c r="N667" s="52"/>
      <c r="O667" s="52"/>
    </row>
    <row r="668">
      <c r="M668" s="52"/>
      <c r="N668" s="52"/>
      <c r="O668" s="52"/>
    </row>
    <row r="669">
      <c r="M669" s="52"/>
      <c r="N669" s="52"/>
      <c r="O669" s="52"/>
    </row>
    <row r="670">
      <c r="M670" s="52"/>
      <c r="N670" s="52"/>
      <c r="O670" s="52"/>
    </row>
    <row r="671">
      <c r="M671" s="52"/>
      <c r="N671" s="52"/>
      <c r="O671" s="52"/>
    </row>
    <row r="672">
      <c r="M672" s="52"/>
      <c r="N672" s="52"/>
      <c r="O672" s="52"/>
    </row>
    <row r="673">
      <c r="M673" s="52"/>
      <c r="N673" s="52"/>
      <c r="O673" s="52"/>
    </row>
    <row r="674">
      <c r="M674" s="52"/>
      <c r="N674" s="52"/>
      <c r="O674" s="52"/>
    </row>
    <row r="675">
      <c r="M675" s="52"/>
      <c r="N675" s="52"/>
      <c r="O675" s="52"/>
    </row>
    <row r="676">
      <c r="M676" s="52"/>
      <c r="N676" s="52"/>
      <c r="O676" s="52"/>
    </row>
    <row r="677">
      <c r="M677" s="52"/>
      <c r="N677" s="52"/>
      <c r="O677" s="52"/>
    </row>
    <row r="678">
      <c r="M678" s="52"/>
      <c r="N678" s="52"/>
      <c r="O678" s="52"/>
    </row>
    <row r="679">
      <c r="M679" s="52"/>
      <c r="N679" s="52"/>
      <c r="O679" s="52"/>
    </row>
    <row r="680">
      <c r="M680" s="52"/>
      <c r="N680" s="52"/>
      <c r="O680" s="52"/>
    </row>
    <row r="681">
      <c r="M681" s="52"/>
      <c r="N681" s="52"/>
      <c r="O681" s="52"/>
    </row>
    <row r="682">
      <c r="M682" s="52"/>
      <c r="N682" s="52"/>
      <c r="O682" s="52"/>
    </row>
    <row r="683">
      <c r="M683" s="52"/>
      <c r="N683" s="52"/>
      <c r="O683" s="52"/>
    </row>
    <row r="684">
      <c r="M684" s="52"/>
      <c r="N684" s="52"/>
      <c r="O684" s="52"/>
    </row>
    <row r="685">
      <c r="M685" s="52"/>
      <c r="N685" s="52"/>
      <c r="O685" s="52"/>
    </row>
    <row r="686">
      <c r="M686" s="52"/>
      <c r="N686" s="52"/>
      <c r="O686" s="52"/>
    </row>
    <row r="687">
      <c r="M687" s="52"/>
      <c r="N687" s="52"/>
      <c r="O687" s="52"/>
    </row>
    <row r="688">
      <c r="M688" s="52"/>
      <c r="N688" s="52"/>
      <c r="O688" s="52"/>
    </row>
    <row r="689">
      <c r="M689" s="52"/>
      <c r="N689" s="52"/>
      <c r="O689" s="52"/>
    </row>
    <row r="690">
      <c r="M690" s="52"/>
      <c r="N690" s="52"/>
      <c r="O690" s="52"/>
    </row>
    <row r="691">
      <c r="M691" s="52"/>
      <c r="N691" s="52"/>
      <c r="O691" s="52"/>
    </row>
    <row r="692">
      <c r="M692" s="52"/>
      <c r="N692" s="52"/>
      <c r="O692" s="52"/>
    </row>
    <row r="693">
      <c r="M693" s="52"/>
      <c r="N693" s="52"/>
      <c r="O693" s="52"/>
    </row>
    <row r="694">
      <c r="M694" s="52"/>
      <c r="N694" s="52"/>
      <c r="O694" s="52"/>
    </row>
    <row r="695">
      <c r="M695" s="52"/>
      <c r="N695" s="52"/>
      <c r="O695" s="52"/>
    </row>
    <row r="696">
      <c r="M696" s="52"/>
      <c r="N696" s="52"/>
      <c r="O696" s="52"/>
    </row>
    <row r="697">
      <c r="M697" s="52"/>
      <c r="N697" s="52"/>
      <c r="O697" s="52"/>
    </row>
    <row r="698">
      <c r="M698" s="52"/>
      <c r="N698" s="52"/>
      <c r="O698" s="52"/>
    </row>
    <row r="699">
      <c r="M699" s="52"/>
      <c r="N699" s="52"/>
      <c r="O699" s="52"/>
    </row>
    <row r="700">
      <c r="M700" s="52"/>
      <c r="N700" s="52"/>
      <c r="O700" s="52"/>
    </row>
    <row r="701">
      <c r="M701" s="52"/>
      <c r="N701" s="52"/>
      <c r="O701" s="52"/>
    </row>
    <row r="702">
      <c r="M702" s="52"/>
      <c r="N702" s="52"/>
      <c r="O702" s="52"/>
    </row>
    <row r="703">
      <c r="M703" s="52"/>
      <c r="N703" s="52"/>
      <c r="O703" s="52"/>
    </row>
    <row r="704">
      <c r="M704" s="52"/>
      <c r="N704" s="52"/>
      <c r="O704" s="52"/>
    </row>
    <row r="705">
      <c r="M705" s="52"/>
      <c r="N705" s="52"/>
      <c r="O705" s="52"/>
    </row>
    <row r="706">
      <c r="M706" s="52"/>
      <c r="N706" s="52"/>
      <c r="O706" s="52"/>
    </row>
    <row r="707">
      <c r="M707" s="52"/>
      <c r="N707" s="52"/>
      <c r="O707" s="52"/>
    </row>
    <row r="708">
      <c r="M708" s="52"/>
      <c r="N708" s="52"/>
      <c r="O708" s="52"/>
    </row>
    <row r="709">
      <c r="M709" s="52"/>
      <c r="N709" s="52"/>
      <c r="O709" s="52"/>
    </row>
    <row r="710">
      <c r="M710" s="52"/>
      <c r="N710" s="52"/>
      <c r="O710" s="52"/>
    </row>
    <row r="711">
      <c r="M711" s="52"/>
      <c r="N711" s="52"/>
      <c r="O711" s="52"/>
    </row>
    <row r="712">
      <c r="M712" s="52"/>
      <c r="N712" s="52"/>
      <c r="O712" s="52"/>
    </row>
    <row r="713">
      <c r="M713" s="52"/>
      <c r="N713" s="52"/>
      <c r="O713" s="52"/>
    </row>
    <row r="714">
      <c r="M714" s="52"/>
      <c r="N714" s="52"/>
      <c r="O714" s="52"/>
    </row>
    <row r="715">
      <c r="M715" s="52"/>
      <c r="N715" s="52"/>
      <c r="O715" s="52"/>
    </row>
    <row r="716">
      <c r="M716" s="52"/>
      <c r="N716" s="52"/>
      <c r="O716" s="52"/>
    </row>
    <row r="717">
      <c r="M717" s="52"/>
      <c r="N717" s="52"/>
      <c r="O717" s="52"/>
    </row>
    <row r="718">
      <c r="M718" s="52"/>
      <c r="N718" s="52"/>
      <c r="O718" s="52"/>
    </row>
    <row r="719">
      <c r="M719" s="52"/>
      <c r="N719" s="52"/>
      <c r="O719" s="52"/>
    </row>
    <row r="720">
      <c r="M720" s="52"/>
      <c r="N720" s="52"/>
      <c r="O720" s="52"/>
    </row>
    <row r="721">
      <c r="M721" s="52"/>
      <c r="N721" s="52"/>
      <c r="O721" s="52"/>
    </row>
    <row r="722">
      <c r="M722" s="52"/>
      <c r="N722" s="52"/>
      <c r="O722" s="52"/>
    </row>
    <row r="723">
      <c r="M723" s="52"/>
      <c r="N723" s="52"/>
      <c r="O723" s="52"/>
    </row>
    <row r="724">
      <c r="M724" s="52"/>
      <c r="N724" s="52"/>
      <c r="O724" s="52"/>
    </row>
    <row r="725">
      <c r="M725" s="52"/>
      <c r="N725" s="52"/>
      <c r="O725" s="52"/>
    </row>
    <row r="726">
      <c r="M726" s="52"/>
      <c r="N726" s="52"/>
      <c r="O726" s="52"/>
    </row>
    <row r="727">
      <c r="M727" s="52"/>
      <c r="N727" s="52"/>
      <c r="O727" s="52"/>
    </row>
    <row r="728">
      <c r="M728" s="52"/>
      <c r="N728" s="52"/>
      <c r="O728" s="52"/>
    </row>
    <row r="729">
      <c r="M729" s="52"/>
      <c r="N729" s="52"/>
      <c r="O729" s="52"/>
    </row>
    <row r="730">
      <c r="M730" s="52"/>
      <c r="N730" s="52"/>
      <c r="O730" s="52"/>
    </row>
    <row r="731">
      <c r="M731" s="52"/>
      <c r="N731" s="52"/>
      <c r="O731" s="52"/>
    </row>
    <row r="732">
      <c r="M732" s="52"/>
      <c r="N732" s="52"/>
      <c r="O732" s="52"/>
    </row>
    <row r="733">
      <c r="M733" s="52"/>
      <c r="N733" s="52"/>
      <c r="O733" s="52"/>
    </row>
    <row r="734">
      <c r="M734" s="52"/>
      <c r="N734" s="52"/>
      <c r="O734" s="52"/>
    </row>
    <row r="735">
      <c r="M735" s="52"/>
      <c r="N735" s="52"/>
      <c r="O735" s="52"/>
    </row>
    <row r="736">
      <c r="M736" s="52"/>
      <c r="N736" s="52"/>
      <c r="O736" s="52"/>
    </row>
    <row r="737">
      <c r="M737" s="52"/>
      <c r="N737" s="52"/>
      <c r="O737" s="52"/>
    </row>
    <row r="738">
      <c r="M738" s="52"/>
      <c r="N738" s="52"/>
      <c r="O738" s="52"/>
    </row>
    <row r="739">
      <c r="M739" s="52"/>
      <c r="N739" s="52"/>
      <c r="O739" s="52"/>
    </row>
    <row r="740">
      <c r="M740" s="52"/>
      <c r="N740" s="52"/>
      <c r="O740" s="52"/>
    </row>
    <row r="741">
      <c r="M741" s="52"/>
      <c r="N741" s="52"/>
      <c r="O741" s="52"/>
    </row>
    <row r="742">
      <c r="M742" s="52"/>
      <c r="N742" s="52"/>
      <c r="O742" s="52"/>
    </row>
    <row r="743">
      <c r="M743" s="52"/>
      <c r="N743" s="52"/>
      <c r="O743" s="52"/>
    </row>
    <row r="744">
      <c r="M744" s="52"/>
      <c r="N744" s="52"/>
      <c r="O744" s="52"/>
    </row>
    <row r="745">
      <c r="M745" s="52"/>
      <c r="N745" s="52"/>
      <c r="O745" s="52"/>
    </row>
    <row r="746">
      <c r="M746" s="52"/>
      <c r="N746" s="52"/>
      <c r="O746" s="52"/>
    </row>
    <row r="747">
      <c r="M747" s="52"/>
      <c r="N747" s="52"/>
      <c r="O747" s="52"/>
    </row>
    <row r="748">
      <c r="M748" s="52"/>
      <c r="N748" s="52"/>
      <c r="O748" s="52"/>
    </row>
    <row r="749">
      <c r="M749" s="52"/>
      <c r="N749" s="52"/>
      <c r="O749" s="52"/>
    </row>
    <row r="750">
      <c r="M750" s="52"/>
      <c r="N750" s="52"/>
      <c r="O750" s="52"/>
    </row>
    <row r="751">
      <c r="M751" s="52"/>
      <c r="N751" s="52"/>
      <c r="O751" s="52"/>
    </row>
    <row r="752">
      <c r="M752" s="52"/>
      <c r="N752" s="52"/>
      <c r="O752" s="52"/>
    </row>
    <row r="753">
      <c r="M753" s="52"/>
      <c r="N753" s="52"/>
      <c r="O753" s="52"/>
    </row>
    <row r="754">
      <c r="M754" s="52"/>
      <c r="N754" s="52"/>
      <c r="O754" s="52"/>
    </row>
    <row r="755">
      <c r="M755" s="52"/>
      <c r="N755" s="52"/>
      <c r="O755" s="52"/>
    </row>
    <row r="756">
      <c r="M756" s="52"/>
      <c r="N756" s="52"/>
      <c r="O756" s="52"/>
    </row>
    <row r="757">
      <c r="M757" s="52"/>
      <c r="N757" s="52"/>
      <c r="O757" s="52"/>
    </row>
    <row r="758">
      <c r="M758" s="52"/>
      <c r="N758" s="52"/>
      <c r="O758" s="52"/>
    </row>
    <row r="759">
      <c r="M759" s="52"/>
      <c r="N759" s="52"/>
      <c r="O759" s="52"/>
    </row>
    <row r="760">
      <c r="M760" s="52"/>
      <c r="N760" s="52"/>
      <c r="O760" s="52"/>
    </row>
    <row r="761">
      <c r="M761" s="52"/>
      <c r="N761" s="52"/>
      <c r="O761" s="52"/>
    </row>
    <row r="762">
      <c r="M762" s="52"/>
      <c r="N762" s="52"/>
      <c r="O762" s="52"/>
    </row>
    <row r="763">
      <c r="M763" s="52"/>
      <c r="N763" s="52"/>
      <c r="O763" s="52"/>
    </row>
    <row r="764">
      <c r="M764" s="52"/>
      <c r="N764" s="52"/>
      <c r="O764" s="52"/>
    </row>
    <row r="765">
      <c r="M765" s="52"/>
      <c r="N765" s="52"/>
      <c r="O765" s="52"/>
    </row>
    <row r="766">
      <c r="M766" s="52"/>
      <c r="N766" s="52"/>
      <c r="O766" s="52"/>
    </row>
    <row r="767">
      <c r="M767" s="52"/>
      <c r="N767" s="52"/>
      <c r="O767" s="52"/>
    </row>
    <row r="768">
      <c r="M768" s="52"/>
      <c r="N768" s="52"/>
      <c r="O768" s="52"/>
    </row>
    <row r="769">
      <c r="M769" s="52"/>
      <c r="N769" s="52"/>
      <c r="O769" s="52"/>
    </row>
    <row r="770">
      <c r="M770" s="52"/>
      <c r="N770" s="52"/>
      <c r="O770" s="52"/>
    </row>
    <row r="771">
      <c r="M771" s="52"/>
      <c r="N771" s="52"/>
      <c r="O771" s="52"/>
    </row>
    <row r="772">
      <c r="M772" s="52"/>
      <c r="N772" s="52"/>
      <c r="O772" s="52"/>
    </row>
    <row r="773">
      <c r="M773" s="52"/>
      <c r="N773" s="52"/>
      <c r="O773" s="52"/>
    </row>
    <row r="774">
      <c r="M774" s="52"/>
      <c r="N774" s="52"/>
      <c r="O774" s="52"/>
    </row>
    <row r="775">
      <c r="M775" s="52"/>
      <c r="N775" s="52"/>
      <c r="O775" s="52"/>
    </row>
    <row r="776">
      <c r="M776" s="52"/>
      <c r="N776" s="52"/>
      <c r="O776" s="52"/>
    </row>
    <row r="777">
      <c r="M777" s="52"/>
      <c r="N777" s="52"/>
      <c r="O777" s="52"/>
    </row>
    <row r="778">
      <c r="M778" s="52"/>
      <c r="N778" s="52"/>
      <c r="O778" s="52"/>
    </row>
    <row r="779">
      <c r="M779" s="52"/>
      <c r="N779" s="52"/>
      <c r="O779" s="52"/>
    </row>
    <row r="780">
      <c r="M780" s="52"/>
      <c r="N780" s="52"/>
      <c r="O780" s="52"/>
    </row>
    <row r="781">
      <c r="M781" s="52"/>
      <c r="N781" s="52"/>
      <c r="O781" s="52"/>
    </row>
    <row r="782">
      <c r="M782" s="52"/>
      <c r="N782" s="52"/>
      <c r="O782" s="52"/>
    </row>
    <row r="783">
      <c r="M783" s="52"/>
      <c r="N783" s="52"/>
      <c r="O783" s="52"/>
    </row>
    <row r="784">
      <c r="M784" s="52"/>
      <c r="N784" s="52"/>
      <c r="O784" s="52"/>
    </row>
    <row r="785">
      <c r="M785" s="52"/>
      <c r="N785" s="52"/>
      <c r="O785" s="52"/>
    </row>
    <row r="786">
      <c r="M786" s="52"/>
      <c r="N786" s="52"/>
      <c r="O786" s="52"/>
    </row>
    <row r="787">
      <c r="M787" s="52"/>
      <c r="N787" s="52"/>
      <c r="O787" s="52"/>
    </row>
    <row r="788">
      <c r="M788" s="52"/>
      <c r="N788" s="52"/>
      <c r="O788" s="52"/>
    </row>
    <row r="789">
      <c r="M789" s="52"/>
      <c r="N789" s="52"/>
      <c r="O789" s="52"/>
    </row>
    <row r="790">
      <c r="M790" s="52"/>
      <c r="N790" s="52"/>
      <c r="O790" s="52"/>
    </row>
    <row r="791">
      <c r="M791" s="52"/>
      <c r="N791" s="52"/>
      <c r="O791" s="52"/>
    </row>
    <row r="792">
      <c r="M792" s="52"/>
      <c r="N792" s="52"/>
      <c r="O792" s="52"/>
    </row>
    <row r="793">
      <c r="M793" s="52"/>
      <c r="N793" s="52"/>
      <c r="O793" s="52"/>
    </row>
    <row r="794">
      <c r="M794" s="52"/>
      <c r="N794" s="52"/>
      <c r="O794" s="52"/>
    </row>
    <row r="795">
      <c r="M795" s="52"/>
      <c r="N795" s="52"/>
      <c r="O795" s="52"/>
    </row>
    <row r="796">
      <c r="M796" s="52"/>
      <c r="N796" s="52"/>
      <c r="O796" s="52"/>
    </row>
    <row r="797">
      <c r="M797" s="52"/>
      <c r="N797" s="52"/>
      <c r="O797" s="52"/>
    </row>
    <row r="798">
      <c r="M798" s="52"/>
      <c r="N798" s="52"/>
      <c r="O798" s="52"/>
    </row>
    <row r="799">
      <c r="M799" s="52"/>
      <c r="N799" s="52"/>
      <c r="O799" s="52"/>
    </row>
    <row r="800">
      <c r="M800" s="52"/>
      <c r="N800" s="52"/>
      <c r="O800" s="52"/>
    </row>
    <row r="801">
      <c r="M801" s="52"/>
      <c r="N801" s="52"/>
      <c r="O801" s="52"/>
    </row>
    <row r="802">
      <c r="M802" s="52"/>
      <c r="N802" s="52"/>
      <c r="O802" s="52"/>
    </row>
    <row r="803">
      <c r="M803" s="52"/>
      <c r="N803" s="52"/>
      <c r="O803" s="52"/>
    </row>
    <row r="804">
      <c r="M804" s="52"/>
      <c r="N804" s="52"/>
      <c r="O804" s="52"/>
    </row>
    <row r="805">
      <c r="M805" s="52"/>
      <c r="N805" s="52"/>
      <c r="O805" s="52"/>
    </row>
    <row r="806">
      <c r="M806" s="52"/>
      <c r="N806" s="52"/>
      <c r="O806" s="52"/>
    </row>
    <row r="807">
      <c r="M807" s="52"/>
      <c r="N807" s="52"/>
      <c r="O807" s="52"/>
    </row>
    <row r="808">
      <c r="M808" s="52"/>
      <c r="N808" s="52"/>
      <c r="O808" s="52"/>
    </row>
    <row r="809">
      <c r="M809" s="52"/>
      <c r="N809" s="52"/>
      <c r="O809" s="52"/>
    </row>
    <row r="810">
      <c r="M810" s="52"/>
      <c r="N810" s="52"/>
      <c r="O810" s="52"/>
    </row>
    <row r="811">
      <c r="M811" s="52"/>
      <c r="N811" s="52"/>
      <c r="O811" s="52"/>
    </row>
    <row r="812">
      <c r="M812" s="52"/>
      <c r="N812" s="52"/>
      <c r="O812" s="52"/>
    </row>
    <row r="813">
      <c r="M813" s="52"/>
      <c r="N813" s="52"/>
      <c r="O813" s="52"/>
    </row>
    <row r="814">
      <c r="M814" s="52"/>
      <c r="N814" s="52"/>
      <c r="O814" s="52"/>
    </row>
    <row r="815">
      <c r="M815" s="52"/>
      <c r="N815" s="52"/>
      <c r="O815" s="52"/>
    </row>
    <row r="816">
      <c r="M816" s="52"/>
      <c r="N816" s="52"/>
      <c r="O816" s="52"/>
    </row>
    <row r="817">
      <c r="M817" s="52"/>
      <c r="N817" s="52"/>
      <c r="O817" s="52"/>
    </row>
    <row r="818">
      <c r="M818" s="52"/>
      <c r="N818" s="52"/>
      <c r="O818" s="52"/>
    </row>
    <row r="819">
      <c r="M819" s="52"/>
      <c r="N819" s="52"/>
      <c r="O819" s="52"/>
    </row>
    <row r="820">
      <c r="M820" s="52"/>
      <c r="N820" s="52"/>
      <c r="O820" s="52"/>
    </row>
    <row r="821">
      <c r="M821" s="52"/>
      <c r="N821" s="52"/>
      <c r="O821" s="52"/>
    </row>
    <row r="822">
      <c r="M822" s="52"/>
      <c r="N822" s="52"/>
      <c r="O822" s="52"/>
    </row>
    <row r="823">
      <c r="M823" s="52"/>
      <c r="N823" s="52"/>
      <c r="O823" s="52"/>
    </row>
    <row r="824">
      <c r="M824" s="52"/>
      <c r="N824" s="52"/>
      <c r="O824" s="52"/>
    </row>
    <row r="825">
      <c r="M825" s="52"/>
      <c r="N825" s="52"/>
      <c r="O825" s="52"/>
    </row>
    <row r="826">
      <c r="M826" s="52"/>
      <c r="N826" s="52"/>
      <c r="O826" s="52"/>
    </row>
    <row r="827">
      <c r="M827" s="52"/>
      <c r="N827" s="52"/>
      <c r="O827" s="52"/>
    </row>
    <row r="828">
      <c r="M828" s="52"/>
      <c r="N828" s="52"/>
      <c r="O828" s="52"/>
    </row>
    <row r="829">
      <c r="M829" s="52"/>
      <c r="N829" s="52"/>
      <c r="O829" s="52"/>
    </row>
    <row r="830">
      <c r="M830" s="52"/>
      <c r="N830" s="52"/>
      <c r="O830" s="52"/>
    </row>
    <row r="831">
      <c r="M831" s="52"/>
      <c r="N831" s="52"/>
      <c r="O831" s="52"/>
    </row>
    <row r="832">
      <c r="M832" s="52"/>
      <c r="N832" s="52"/>
      <c r="O832" s="52"/>
    </row>
    <row r="833">
      <c r="M833" s="52"/>
      <c r="N833" s="52"/>
      <c r="O833" s="52"/>
    </row>
    <row r="834">
      <c r="M834" s="52"/>
      <c r="N834" s="52"/>
      <c r="O834" s="52"/>
    </row>
    <row r="835">
      <c r="M835" s="52"/>
      <c r="N835" s="52"/>
      <c r="O835" s="52"/>
    </row>
    <row r="836">
      <c r="M836" s="52"/>
      <c r="N836" s="52"/>
      <c r="O836" s="52"/>
    </row>
    <row r="837">
      <c r="M837" s="52"/>
      <c r="N837" s="52"/>
      <c r="O837" s="52"/>
    </row>
    <row r="838">
      <c r="M838" s="52"/>
      <c r="N838" s="52"/>
      <c r="O838" s="52"/>
    </row>
    <row r="839">
      <c r="M839" s="52"/>
      <c r="N839" s="52"/>
      <c r="O839" s="52"/>
    </row>
    <row r="840">
      <c r="M840" s="52"/>
      <c r="N840" s="52"/>
      <c r="O840" s="52"/>
    </row>
    <row r="841">
      <c r="M841" s="52"/>
      <c r="N841" s="52"/>
      <c r="O841" s="52"/>
    </row>
    <row r="842">
      <c r="M842" s="52"/>
      <c r="N842" s="52"/>
      <c r="O842" s="52"/>
    </row>
    <row r="843">
      <c r="M843" s="52"/>
      <c r="N843" s="52"/>
      <c r="O843" s="52"/>
    </row>
    <row r="844">
      <c r="M844" s="52"/>
      <c r="N844" s="52"/>
      <c r="O844" s="52"/>
    </row>
    <row r="845">
      <c r="M845" s="52"/>
      <c r="N845" s="52"/>
      <c r="O845" s="52"/>
    </row>
    <row r="846">
      <c r="M846" s="52"/>
      <c r="N846" s="52"/>
      <c r="O846" s="52"/>
    </row>
    <row r="847">
      <c r="M847" s="52"/>
      <c r="N847" s="52"/>
      <c r="O847" s="52"/>
    </row>
    <row r="848">
      <c r="M848" s="52"/>
      <c r="N848" s="52"/>
      <c r="O848" s="52"/>
    </row>
    <row r="849">
      <c r="M849" s="52"/>
      <c r="N849" s="52"/>
      <c r="O849" s="52"/>
    </row>
    <row r="850">
      <c r="M850" s="52"/>
      <c r="N850" s="52"/>
      <c r="O850" s="52"/>
    </row>
    <row r="851">
      <c r="M851" s="52"/>
      <c r="N851" s="52"/>
      <c r="O851" s="52"/>
    </row>
    <row r="852">
      <c r="M852" s="52"/>
      <c r="N852" s="52"/>
      <c r="O852" s="52"/>
    </row>
    <row r="853">
      <c r="M853" s="52"/>
      <c r="N853" s="52"/>
      <c r="O853" s="52"/>
    </row>
    <row r="854">
      <c r="M854" s="52"/>
      <c r="N854" s="52"/>
      <c r="O854" s="52"/>
    </row>
    <row r="855">
      <c r="M855" s="52"/>
      <c r="N855" s="52"/>
      <c r="O855" s="52"/>
    </row>
    <row r="856">
      <c r="M856" s="52"/>
      <c r="N856" s="52"/>
      <c r="O856" s="52"/>
    </row>
    <row r="857">
      <c r="M857" s="52"/>
      <c r="N857" s="52"/>
      <c r="O857" s="52"/>
    </row>
    <row r="858">
      <c r="M858" s="52"/>
      <c r="N858" s="52"/>
      <c r="O858" s="52"/>
    </row>
    <row r="859">
      <c r="M859" s="52"/>
      <c r="N859" s="52"/>
      <c r="O859" s="52"/>
    </row>
    <row r="860">
      <c r="M860" s="52"/>
      <c r="N860" s="52"/>
      <c r="O860" s="52"/>
    </row>
    <row r="861">
      <c r="M861" s="52"/>
      <c r="N861" s="52"/>
      <c r="O861" s="52"/>
    </row>
    <row r="862">
      <c r="M862" s="52"/>
      <c r="N862" s="52"/>
      <c r="O862" s="52"/>
    </row>
    <row r="863">
      <c r="M863" s="52"/>
      <c r="N863" s="52"/>
      <c r="O863" s="52"/>
    </row>
    <row r="864">
      <c r="M864" s="52"/>
      <c r="N864" s="52"/>
      <c r="O864" s="52"/>
    </row>
    <row r="865">
      <c r="M865" s="52"/>
      <c r="N865" s="52"/>
      <c r="O865" s="52"/>
    </row>
    <row r="866">
      <c r="M866" s="52"/>
      <c r="N866" s="52"/>
      <c r="O866" s="52"/>
    </row>
    <row r="867">
      <c r="M867" s="52"/>
      <c r="N867" s="52"/>
      <c r="O867" s="52"/>
    </row>
    <row r="868">
      <c r="M868" s="52"/>
      <c r="N868" s="52"/>
      <c r="O868" s="52"/>
    </row>
    <row r="869">
      <c r="M869" s="52"/>
      <c r="N869" s="52"/>
      <c r="O869" s="52"/>
    </row>
    <row r="870">
      <c r="M870" s="52"/>
      <c r="N870" s="52"/>
      <c r="O870" s="52"/>
    </row>
    <row r="871">
      <c r="M871" s="52"/>
      <c r="N871" s="52"/>
      <c r="O871" s="52"/>
    </row>
    <row r="872">
      <c r="M872" s="52"/>
      <c r="N872" s="52"/>
      <c r="O872" s="52"/>
    </row>
    <row r="873">
      <c r="M873" s="52"/>
      <c r="N873" s="52"/>
      <c r="O873" s="52"/>
    </row>
    <row r="874">
      <c r="M874" s="52"/>
      <c r="N874" s="52"/>
      <c r="O874" s="52"/>
    </row>
    <row r="875">
      <c r="M875" s="52"/>
      <c r="N875" s="52"/>
      <c r="O875" s="52"/>
    </row>
    <row r="876">
      <c r="M876" s="52"/>
      <c r="N876" s="52"/>
      <c r="O876" s="52"/>
    </row>
    <row r="877">
      <c r="M877" s="52"/>
      <c r="N877" s="52"/>
      <c r="O877" s="52"/>
    </row>
    <row r="878">
      <c r="M878" s="52"/>
      <c r="N878" s="52"/>
      <c r="O878" s="52"/>
    </row>
    <row r="879">
      <c r="M879" s="52"/>
      <c r="N879" s="52"/>
      <c r="O879" s="52"/>
    </row>
    <row r="880">
      <c r="M880" s="52"/>
      <c r="N880" s="52"/>
      <c r="O880" s="52"/>
    </row>
    <row r="881">
      <c r="M881" s="52"/>
      <c r="N881" s="52"/>
      <c r="O881" s="52"/>
    </row>
    <row r="882">
      <c r="M882" s="52"/>
      <c r="N882" s="52"/>
      <c r="O882" s="52"/>
    </row>
    <row r="883">
      <c r="M883" s="52"/>
      <c r="N883" s="52"/>
      <c r="O883" s="52"/>
    </row>
    <row r="884">
      <c r="M884" s="52"/>
      <c r="N884" s="52"/>
      <c r="O884" s="52"/>
    </row>
    <row r="885">
      <c r="M885" s="52"/>
      <c r="N885" s="52"/>
      <c r="O885" s="52"/>
    </row>
    <row r="886">
      <c r="M886" s="52"/>
      <c r="N886" s="52"/>
      <c r="O886" s="52"/>
    </row>
    <row r="887">
      <c r="M887" s="52"/>
      <c r="N887" s="52"/>
      <c r="O887" s="52"/>
    </row>
    <row r="888">
      <c r="M888" s="52"/>
      <c r="N888" s="52"/>
      <c r="O888" s="52"/>
    </row>
    <row r="889">
      <c r="M889" s="52"/>
      <c r="N889" s="52"/>
      <c r="O889" s="52"/>
    </row>
    <row r="890">
      <c r="M890" s="52"/>
      <c r="N890" s="52"/>
      <c r="O890" s="52"/>
    </row>
    <row r="891">
      <c r="M891" s="52"/>
      <c r="N891" s="52"/>
      <c r="O891" s="52"/>
    </row>
    <row r="892">
      <c r="M892" s="52"/>
      <c r="N892" s="52"/>
      <c r="O892" s="52"/>
    </row>
    <row r="893">
      <c r="M893" s="52"/>
      <c r="N893" s="52"/>
      <c r="O893" s="52"/>
    </row>
    <row r="894">
      <c r="M894" s="52"/>
      <c r="N894" s="52"/>
      <c r="O894" s="52"/>
    </row>
    <row r="895">
      <c r="M895" s="52"/>
      <c r="N895" s="52"/>
      <c r="O895" s="52"/>
    </row>
    <row r="896">
      <c r="M896" s="52"/>
      <c r="N896" s="52"/>
      <c r="O896" s="52"/>
    </row>
    <row r="897">
      <c r="M897" s="52"/>
      <c r="N897" s="52"/>
      <c r="O897" s="52"/>
    </row>
    <row r="898">
      <c r="M898" s="52"/>
      <c r="N898" s="52"/>
      <c r="O898" s="52"/>
    </row>
    <row r="899">
      <c r="M899" s="52"/>
      <c r="N899" s="52"/>
      <c r="O899" s="52"/>
    </row>
    <row r="900">
      <c r="M900" s="52"/>
      <c r="N900" s="52"/>
      <c r="O900" s="52"/>
    </row>
    <row r="901">
      <c r="M901" s="52"/>
      <c r="N901" s="52"/>
      <c r="O901" s="52"/>
    </row>
    <row r="902">
      <c r="M902" s="52"/>
      <c r="N902" s="52"/>
      <c r="O902" s="52"/>
    </row>
    <row r="903">
      <c r="M903" s="52"/>
      <c r="N903" s="52"/>
      <c r="O903" s="52"/>
    </row>
    <row r="904">
      <c r="M904" s="52"/>
      <c r="N904" s="52"/>
      <c r="O904" s="52"/>
    </row>
    <row r="905">
      <c r="M905" s="52"/>
      <c r="N905" s="52"/>
      <c r="O905" s="52"/>
    </row>
    <row r="906">
      <c r="M906" s="52"/>
      <c r="N906" s="52"/>
      <c r="O906" s="52"/>
    </row>
    <row r="907">
      <c r="M907" s="52"/>
      <c r="N907" s="52"/>
      <c r="O907" s="52"/>
    </row>
    <row r="908">
      <c r="M908" s="52"/>
      <c r="N908" s="52"/>
      <c r="O908" s="52"/>
    </row>
    <row r="909">
      <c r="M909" s="52"/>
      <c r="N909" s="52"/>
      <c r="O909" s="52"/>
    </row>
    <row r="910">
      <c r="M910" s="52"/>
      <c r="N910" s="52"/>
      <c r="O910" s="52"/>
    </row>
    <row r="911">
      <c r="M911" s="52"/>
      <c r="N911" s="52"/>
      <c r="O911" s="52"/>
    </row>
    <row r="912">
      <c r="M912" s="52"/>
      <c r="N912" s="52"/>
      <c r="O912" s="52"/>
    </row>
    <row r="913">
      <c r="M913" s="52"/>
      <c r="N913" s="52"/>
      <c r="O913" s="52"/>
    </row>
    <row r="914">
      <c r="M914" s="52"/>
      <c r="N914" s="52"/>
      <c r="O914" s="52"/>
    </row>
    <row r="915">
      <c r="M915" s="52"/>
      <c r="N915" s="52"/>
      <c r="O915" s="52"/>
    </row>
    <row r="916">
      <c r="M916" s="52"/>
      <c r="N916" s="52"/>
      <c r="O916" s="52"/>
    </row>
    <row r="917">
      <c r="M917" s="52"/>
      <c r="N917" s="52"/>
      <c r="O917" s="52"/>
    </row>
    <row r="918">
      <c r="M918" s="52"/>
      <c r="N918" s="52"/>
      <c r="O918" s="52"/>
    </row>
    <row r="919">
      <c r="M919" s="52"/>
      <c r="N919" s="52"/>
      <c r="O919" s="52"/>
    </row>
    <row r="920">
      <c r="M920" s="52"/>
      <c r="N920" s="52"/>
      <c r="O920" s="52"/>
    </row>
    <row r="921">
      <c r="M921" s="52"/>
      <c r="N921" s="52"/>
      <c r="O921" s="52"/>
    </row>
    <row r="922">
      <c r="M922" s="52"/>
      <c r="N922" s="52"/>
      <c r="O922" s="52"/>
    </row>
    <row r="923">
      <c r="M923" s="52"/>
      <c r="N923" s="52"/>
      <c r="O923" s="52"/>
    </row>
    <row r="924">
      <c r="M924" s="52"/>
      <c r="N924" s="52"/>
      <c r="O924" s="52"/>
    </row>
    <row r="925">
      <c r="M925" s="52"/>
      <c r="N925" s="52"/>
      <c r="O925" s="52"/>
    </row>
    <row r="926">
      <c r="M926" s="52"/>
      <c r="N926" s="52"/>
      <c r="O926" s="52"/>
    </row>
    <row r="927">
      <c r="M927" s="52"/>
      <c r="N927" s="52"/>
      <c r="O927" s="52"/>
    </row>
    <row r="928">
      <c r="M928" s="52"/>
      <c r="N928" s="52"/>
      <c r="O928" s="52"/>
    </row>
    <row r="929">
      <c r="M929" s="52"/>
      <c r="N929" s="52"/>
      <c r="O929" s="52"/>
    </row>
    <row r="930">
      <c r="M930" s="52"/>
      <c r="N930" s="52"/>
      <c r="O930" s="52"/>
    </row>
    <row r="931">
      <c r="M931" s="52"/>
      <c r="N931" s="52"/>
      <c r="O931" s="52"/>
    </row>
    <row r="932">
      <c r="M932" s="52"/>
      <c r="N932" s="52"/>
      <c r="O932" s="52"/>
    </row>
    <row r="933">
      <c r="M933" s="52"/>
      <c r="N933" s="52"/>
      <c r="O933" s="52"/>
    </row>
    <row r="934">
      <c r="M934" s="52"/>
      <c r="N934" s="52"/>
      <c r="O934" s="52"/>
    </row>
    <row r="935">
      <c r="M935" s="52"/>
      <c r="N935" s="52"/>
      <c r="O935" s="52"/>
    </row>
    <row r="936">
      <c r="M936" s="52"/>
      <c r="N936" s="52"/>
      <c r="O936" s="52"/>
    </row>
    <row r="937">
      <c r="M937" s="52"/>
      <c r="N937" s="52"/>
      <c r="O937" s="52"/>
    </row>
    <row r="938">
      <c r="M938" s="52"/>
      <c r="N938" s="52"/>
      <c r="O938" s="52"/>
    </row>
    <row r="939">
      <c r="M939" s="52"/>
      <c r="N939" s="52"/>
      <c r="O939" s="52"/>
    </row>
    <row r="940">
      <c r="M940" s="52"/>
      <c r="N940" s="52"/>
      <c r="O940" s="52"/>
    </row>
    <row r="941">
      <c r="M941" s="52"/>
      <c r="N941" s="52"/>
      <c r="O941" s="52"/>
    </row>
    <row r="942">
      <c r="M942" s="52"/>
      <c r="N942" s="52"/>
      <c r="O942" s="52"/>
    </row>
    <row r="943">
      <c r="M943" s="52"/>
      <c r="N943" s="52"/>
      <c r="O943" s="52"/>
    </row>
    <row r="944">
      <c r="M944" s="52"/>
      <c r="N944" s="52"/>
      <c r="O944" s="52"/>
    </row>
    <row r="945">
      <c r="M945" s="52"/>
      <c r="N945" s="52"/>
      <c r="O945" s="52"/>
    </row>
    <row r="946">
      <c r="M946" s="52"/>
      <c r="N946" s="52"/>
      <c r="O946" s="52"/>
    </row>
    <row r="947">
      <c r="M947" s="52"/>
      <c r="N947" s="52"/>
      <c r="O947" s="52"/>
    </row>
    <row r="948">
      <c r="M948" s="52"/>
      <c r="N948" s="52"/>
      <c r="O948" s="52"/>
    </row>
    <row r="949">
      <c r="M949" s="52"/>
      <c r="N949" s="52"/>
      <c r="O949" s="52"/>
    </row>
    <row r="950">
      <c r="M950" s="52"/>
      <c r="N950" s="52"/>
      <c r="O950" s="52"/>
    </row>
    <row r="951">
      <c r="M951" s="52"/>
      <c r="N951" s="52"/>
      <c r="O951" s="52"/>
    </row>
    <row r="952">
      <c r="M952" s="52"/>
      <c r="N952" s="52"/>
      <c r="O952" s="52"/>
    </row>
    <row r="953">
      <c r="M953" s="52"/>
      <c r="N953" s="52"/>
      <c r="O953" s="52"/>
    </row>
    <row r="954">
      <c r="M954" s="52"/>
      <c r="N954" s="52"/>
      <c r="O954" s="52"/>
    </row>
    <row r="955">
      <c r="M955" s="52"/>
      <c r="N955" s="52"/>
      <c r="O955" s="52"/>
    </row>
    <row r="956">
      <c r="M956" s="52"/>
      <c r="N956" s="52"/>
      <c r="O956" s="52"/>
    </row>
    <row r="957">
      <c r="M957" s="52"/>
      <c r="N957" s="52"/>
      <c r="O957" s="52"/>
    </row>
    <row r="958">
      <c r="M958" s="52"/>
      <c r="N958" s="52"/>
      <c r="O958" s="52"/>
    </row>
    <row r="959">
      <c r="M959" s="52"/>
      <c r="N959" s="52"/>
      <c r="O959" s="52"/>
    </row>
    <row r="960">
      <c r="M960" s="52"/>
      <c r="N960" s="52"/>
      <c r="O960" s="52"/>
    </row>
    <row r="961">
      <c r="M961" s="52"/>
      <c r="N961" s="52"/>
      <c r="O961" s="52"/>
    </row>
    <row r="962">
      <c r="M962" s="52"/>
      <c r="N962" s="52"/>
      <c r="O962" s="52"/>
    </row>
    <row r="963">
      <c r="M963" s="52"/>
      <c r="N963" s="52"/>
      <c r="O963" s="52"/>
    </row>
    <row r="964">
      <c r="M964" s="52"/>
      <c r="N964" s="52"/>
      <c r="O964" s="52"/>
    </row>
    <row r="965">
      <c r="M965" s="52"/>
      <c r="N965" s="52"/>
      <c r="O965" s="52"/>
    </row>
    <row r="966">
      <c r="M966" s="52"/>
      <c r="N966" s="52"/>
      <c r="O966" s="52"/>
    </row>
    <row r="967">
      <c r="M967" s="52"/>
      <c r="N967" s="52"/>
      <c r="O967" s="52"/>
    </row>
    <row r="968">
      <c r="M968" s="52"/>
      <c r="N968" s="52"/>
      <c r="O968" s="52"/>
    </row>
    <row r="969">
      <c r="M969" s="52"/>
      <c r="N969" s="52"/>
      <c r="O969" s="52"/>
    </row>
    <row r="970">
      <c r="M970" s="52"/>
      <c r="N970" s="52"/>
      <c r="O970" s="52"/>
    </row>
    <row r="971">
      <c r="M971" s="52"/>
      <c r="N971" s="52"/>
      <c r="O971" s="52"/>
    </row>
    <row r="972">
      <c r="M972" s="52"/>
      <c r="N972" s="52"/>
      <c r="O972" s="52"/>
    </row>
    <row r="973">
      <c r="M973" s="52"/>
      <c r="N973" s="52"/>
      <c r="O973" s="52"/>
    </row>
    <row r="974">
      <c r="M974" s="52"/>
      <c r="N974" s="52"/>
      <c r="O974" s="52"/>
    </row>
    <row r="975">
      <c r="M975" s="52"/>
      <c r="N975" s="52"/>
      <c r="O975" s="52"/>
    </row>
    <row r="976">
      <c r="M976" s="52"/>
      <c r="N976" s="52"/>
      <c r="O976" s="52"/>
    </row>
    <row r="977">
      <c r="M977" s="52"/>
      <c r="N977" s="52"/>
      <c r="O977" s="52"/>
    </row>
    <row r="978">
      <c r="M978" s="52"/>
      <c r="N978" s="52"/>
      <c r="O978" s="52"/>
    </row>
    <row r="979">
      <c r="M979" s="52"/>
      <c r="N979" s="52"/>
      <c r="O979" s="52"/>
    </row>
    <row r="980">
      <c r="M980" s="52"/>
      <c r="N980" s="52"/>
      <c r="O980" s="52"/>
    </row>
    <row r="981">
      <c r="M981" s="52"/>
      <c r="N981" s="52"/>
      <c r="O981" s="52"/>
    </row>
    <row r="982">
      <c r="M982" s="52"/>
      <c r="N982" s="52"/>
      <c r="O982" s="52"/>
    </row>
    <row r="983">
      <c r="M983" s="52"/>
      <c r="N983" s="52"/>
      <c r="O983" s="52"/>
    </row>
    <row r="984">
      <c r="M984" s="52"/>
      <c r="N984" s="52"/>
      <c r="O984" s="52"/>
    </row>
    <row r="985">
      <c r="M985" s="52"/>
      <c r="N985" s="52"/>
      <c r="O985" s="52"/>
    </row>
    <row r="986">
      <c r="M986" s="52"/>
      <c r="N986" s="52"/>
      <c r="O986" s="52"/>
    </row>
    <row r="987">
      <c r="M987" s="52"/>
      <c r="N987" s="52"/>
      <c r="O987" s="52"/>
    </row>
    <row r="988">
      <c r="M988" s="52"/>
      <c r="N988" s="52"/>
      <c r="O988" s="52"/>
    </row>
    <row r="989">
      <c r="M989" s="52"/>
      <c r="N989" s="52"/>
      <c r="O989" s="52"/>
    </row>
    <row r="990">
      <c r="M990" s="52"/>
      <c r="N990" s="52"/>
      <c r="O990" s="52"/>
    </row>
    <row r="991">
      <c r="M991" s="52"/>
      <c r="N991" s="52"/>
      <c r="O991" s="52"/>
    </row>
    <row r="992">
      <c r="M992" s="52"/>
      <c r="N992" s="52"/>
      <c r="O992" s="52"/>
    </row>
    <row r="993">
      <c r="M993" s="52"/>
      <c r="N993" s="52"/>
      <c r="O993" s="52"/>
    </row>
    <row r="994">
      <c r="M994" s="52"/>
      <c r="N994" s="52"/>
      <c r="O994" s="52"/>
    </row>
    <row r="995">
      <c r="M995" s="52"/>
      <c r="N995" s="52"/>
      <c r="O995" s="52"/>
    </row>
    <row r="996">
      <c r="M996" s="52"/>
      <c r="N996" s="52"/>
      <c r="O996" s="52"/>
    </row>
    <row r="997">
      <c r="M997" s="52"/>
      <c r="N997" s="52"/>
      <c r="O997" s="52"/>
    </row>
    <row r="998">
      <c r="M998" s="52"/>
      <c r="N998" s="52"/>
      <c r="O998" s="52"/>
    </row>
    <row r="999">
      <c r="M999" s="52"/>
      <c r="N999" s="52"/>
      <c r="O999" s="52"/>
    </row>
    <row r="1000">
      <c r="M1000" s="52"/>
      <c r="N1000" s="52"/>
      <c r="O1000" s="52"/>
    </row>
  </sheetData>
  <mergeCells count="7">
    <mergeCell ref="A1:A2"/>
    <mergeCell ref="B1:B2"/>
    <mergeCell ref="C1:G1"/>
    <mergeCell ref="H1:I1"/>
    <mergeCell ref="J1:J2"/>
    <mergeCell ref="K1:O1"/>
    <mergeCell ref="P1:U1"/>
  </mergeCells>
  <conditionalFormatting sqref="N3:N9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G3:G9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3:H9 K3:K9">
    <cfRule type="colorScale" priority="3">
      <colorScale>
        <cfvo type="formula" val="0"/>
        <cfvo type="max"/>
        <color rgb="FFFFFFFF"/>
        <color rgb="FF57BB8A"/>
      </colorScale>
    </cfRule>
  </conditionalFormatting>
  <conditionalFormatting sqref="I3:I9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J3:J9">
    <cfRule type="colorScale" priority="5">
      <colorScale>
        <cfvo type="formula" val="0"/>
        <cfvo type="max"/>
        <color rgb="FFFFFFFF"/>
        <color rgb="FF57BB8A"/>
      </colorScale>
    </cfRule>
  </conditionalFormatting>
  <conditionalFormatting sqref="K3:K9">
    <cfRule type="colorScale" priority="6">
      <colorScale>
        <cfvo type="formula" val="0"/>
        <cfvo type="max"/>
        <color rgb="FFFFFFFF"/>
        <color rgb="FF57BB8A"/>
      </colorScale>
    </cfRule>
  </conditionalFormatting>
  <conditionalFormatting sqref="L3:L9">
    <cfRule type="colorScale" priority="7">
      <colorScale>
        <cfvo type="formula" val="0"/>
        <cfvo type="max"/>
        <color rgb="FFFFFFFF"/>
        <color rgb="FFE67C73"/>
      </colorScale>
    </cfRule>
  </conditionalFormatting>
  <conditionalFormatting sqref="C3:C9">
    <cfRule type="colorScale" priority="8">
      <colorScale>
        <cfvo type="formula" val="0"/>
        <cfvo type="max"/>
        <color rgb="FFFFFFFF"/>
        <color rgb="FFFFD666"/>
      </colorScale>
    </cfRule>
  </conditionalFormatting>
  <conditionalFormatting sqref="D3:D9">
    <cfRule type="colorScale" priority="9">
      <colorScale>
        <cfvo type="formula" val="0"/>
        <cfvo type="max"/>
        <color rgb="FFFFFFFF"/>
        <color rgb="FF57BB8A"/>
      </colorScale>
    </cfRule>
  </conditionalFormatting>
  <conditionalFormatting sqref="E3:E9">
    <cfRule type="colorScale" priority="10">
      <colorScale>
        <cfvo type="formula" val="0"/>
        <cfvo type="max"/>
        <color rgb="FFFFFFFF"/>
        <color rgb="FFE67C73"/>
      </colorScale>
    </cfRule>
  </conditionalFormatting>
  <conditionalFormatting sqref="F3:F9">
    <cfRule type="colorScale" priority="11">
      <colorScale>
        <cfvo type="formula" val="0"/>
        <cfvo type="max"/>
        <color rgb="FFFFFFFF"/>
        <color rgb="FF57BB8A"/>
      </colorScale>
    </cfRule>
  </conditionalFormatting>
  <conditionalFormatting sqref="M3:M9">
    <cfRule type="colorScale" priority="12">
      <colorScale>
        <cfvo type="formula" val="0"/>
        <cfvo type="max"/>
        <color rgb="FFFFFFFF"/>
        <color rgb="FFFFD666"/>
      </colorScale>
    </cfRule>
  </conditionalFormatting>
  <conditionalFormatting sqref="O3:O9">
    <cfRule type="colorScale" priority="13">
      <colorScale>
        <cfvo type="formula" val="0"/>
        <cfvo type="formula" val="1"/>
        <color rgb="FFFFFFFF"/>
        <color rgb="FF57BB8A"/>
      </colorScale>
    </cfRule>
  </conditionalFormatting>
  <conditionalFormatting sqref="P3:P9">
    <cfRule type="colorScale" priority="14">
      <colorScale>
        <cfvo type="formula" val="0"/>
        <cfvo type="max"/>
        <color rgb="FFFFFFFF"/>
        <color rgb="FFFFD666"/>
      </colorScale>
    </cfRule>
  </conditionalFormatting>
  <conditionalFormatting sqref="U3:U9">
    <cfRule type="colorScale" priority="15">
      <colorScale>
        <cfvo type="formula" val="0"/>
        <cfvo type="formula" val="2"/>
        <cfvo type="formula" val="3"/>
        <color rgb="FFE67C73"/>
        <color rgb="FFFFFFFF"/>
        <color rgb="FF57BB8A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6" max="6" width="11.88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1" t="s">
        <v>4</v>
      </c>
      <c r="K1" s="6" t="s">
        <v>5</v>
      </c>
      <c r="L1" s="4"/>
      <c r="M1" s="4"/>
      <c r="N1" s="4"/>
      <c r="O1" s="5"/>
      <c r="P1" s="30" t="s">
        <v>6</v>
      </c>
      <c r="Q1" s="4"/>
      <c r="R1" s="4"/>
      <c r="S1" s="4"/>
      <c r="T1" s="4"/>
      <c r="U1" s="5"/>
      <c r="Z1" s="8" t="s">
        <v>62</v>
      </c>
    </row>
    <row r="2">
      <c r="A2" s="9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2" t="s">
        <v>13</v>
      </c>
      <c r="I2" s="12" t="s">
        <v>14</v>
      </c>
      <c r="J2" s="9"/>
      <c r="K2" s="10" t="s">
        <v>15</v>
      </c>
      <c r="L2" s="12" t="s">
        <v>10</v>
      </c>
      <c r="M2" s="10" t="s">
        <v>16</v>
      </c>
      <c r="N2" s="10" t="s">
        <v>17</v>
      </c>
      <c r="O2" s="10" t="s">
        <v>18</v>
      </c>
      <c r="P2" s="15" t="s">
        <v>8</v>
      </c>
      <c r="Q2" s="15">
        <v>0.0</v>
      </c>
      <c r="R2" s="15">
        <v>1.0</v>
      </c>
      <c r="S2" s="15">
        <v>2.0</v>
      </c>
      <c r="T2" s="15">
        <v>3.0</v>
      </c>
      <c r="U2" s="15" t="s">
        <v>19</v>
      </c>
      <c r="Z2" s="8" t="s">
        <v>63</v>
      </c>
    </row>
    <row r="3">
      <c r="A3" s="18" t="s">
        <v>21</v>
      </c>
      <c r="B3" s="18" t="s">
        <v>39</v>
      </c>
      <c r="C3" s="31">
        <f>IFERROR(__xludf.DUMMYFUNCTION("SUM(MAP(FILTER(Z1:Z100, Z1:Z100 &lt;&gt; """"), LAMBDA(sheet, IFERROR(VALUE(INDIRECT(""'"" &amp; sheet &amp; ""'!C3"")), 0))))"),0.0)</f>
        <v>0</v>
      </c>
      <c r="D3" s="32">
        <f>IFERROR(__xludf.DUMMYFUNCTION("SUM(MAP(FILTER(Z1:Z100, Z1:Z100 &lt;&gt; """"), LAMBDA(sheet, IFERROR(VALUE(INDIRECT(""'"" &amp; sheet &amp; ""'!d3"")), 0))))"),0.0)</f>
        <v>0</v>
      </c>
      <c r="E3" s="38">
        <f>IFERROR(__xludf.DUMMYFUNCTION("SUM(MAP(FILTER(Z1:Z100, Z1:Z100 &lt;&gt; """"), LAMBDA(sheet, IFERROR(VALUE(INDIRECT(""'"" &amp; sheet &amp; ""'!e3"")), 0))))"),0.0)</f>
        <v>0</v>
      </c>
      <c r="F3" s="34">
        <f>IFERROR(__xludf.DUMMYFUNCTION("SUM(MAP(FILTER(Z1:Z100, Z1:Z100 &lt;&gt; """"), LAMBDA(sheet, IFERROR(VALUE(INDIRECT(""'"" &amp; sheet &amp; ""'!f3"")), 0))))"),0.0)</f>
        <v>0</v>
      </c>
      <c r="G3" s="35" t="str">
        <f t="shared" ref="G3:G9" si="1">IFS(C3=0, "N/A", C3&lt;&gt;0,(D3-E3)/C3 )</f>
        <v>N/A</v>
      </c>
      <c r="H3" s="10">
        <f>IFERROR(__xludf.DUMMYFUNCTION("SUM(MAP(FILTER(Z1:Z100, Z1:Z100 &lt;&gt; """"), LAMBDA(sheet, IFERROR(VALUE(INDIRECT(""'"" &amp; sheet &amp; ""'!h3"")), 0))))"),0.0)</f>
        <v>0</v>
      </c>
      <c r="I3" s="10">
        <f>IFERROR(__xludf.DUMMYFUNCTION("SUM(MAP(FILTER(Z1:Z100, Z1:Z100 &lt;&gt; """"), LAMBDA(sheet, IFERROR(VALUE(INDIRECT(""'"" &amp; sheet &amp; ""'!i73"")), 0))))"),0.0)</f>
        <v>0</v>
      </c>
      <c r="J3" s="10">
        <f>IFERROR(__xludf.DUMMYFUNCTION("SUM(MAP(FILTER(Z1:Z100, Z1:Z100 &lt;&gt; """"), LAMBDA(sheet, IFERROR(VALUE(INDIRECT(""'"" &amp; sheet &amp; ""'!j3"")), 0))))"),4.0)</f>
        <v>4</v>
      </c>
      <c r="K3" s="10">
        <f>IFERROR(__xludf.DUMMYFUNCTION("SUM(MAP(FILTER(Z1:Z100, Z1:Z100 &lt;&gt; """"), LAMBDA(sheet, IFERROR(VALUE(INDIRECT(""'"" &amp; sheet &amp; ""'!k3"")), 0))))"),0.0)</f>
        <v>0</v>
      </c>
      <c r="L3" s="10">
        <f>IFERROR(__xludf.DUMMYFUNCTION("SUM(MAP(FILTER(Z1:Z100, Z1:Z100 &lt;&gt; """"), LAMBDA(sheet, IFERROR(VALUE(INDIRECT(""'"" &amp; sheet &amp; ""'!l3"")), 0))))"),0.0)</f>
        <v>0</v>
      </c>
      <c r="M3" s="10">
        <f>IFERROR(__xludf.DUMMYFUNCTION("SUM(MAP(FILTER(Z1:Z100, Z1:Z100 &lt;&gt; """"), LAMBDA(sheet, IFERROR(VALUE(INDIRECT(""'"" &amp; sheet &amp; ""'!m3"")), 0))))"),0.0)</f>
        <v>0</v>
      </c>
      <c r="N3" s="35" t="str">
        <f t="shared" ref="N3:N9" si="2">ifs(M3=0,"N/A",M3&lt;&gt;0,(M3-L3) /M3)</f>
        <v>N/A</v>
      </c>
      <c r="O3" s="35" t="str">
        <f t="shared" ref="O3:O9" si="3">IFS(M3=0, "N/A", M3&lt;&gt;0, K3/M3)</f>
        <v>N/A</v>
      </c>
      <c r="P3" s="10">
        <f>IFERROR(__xludf.DUMMYFUNCTION("SUM(MAP(FILTER(Z1:Z100, Z1:Z100 &lt;&gt; """"), LAMBDA(sheet, IFERROR(VALUE(INDIRECT(""'"" &amp; sheet &amp; ""'!p3"")), 0))))"),10.0)</f>
        <v>10</v>
      </c>
      <c r="Q3" s="10">
        <f>IFERROR(__xludf.DUMMYFUNCTION("SUM(MAP(FILTER(Z1:Z100, Z1:Z100 &lt;&gt; """"), LAMBDA(sheet, IFERROR(VALUE(INDIRECT(""'"" &amp; sheet &amp; ""'!q3"")), 0))))"),1.0)</f>
        <v>1</v>
      </c>
      <c r="R3" s="10">
        <f>IFERROR(__xludf.DUMMYFUNCTION("SUM(MAP(FILTER(Z1:Z100, Z1:Z100 &lt;&gt; """"), LAMBDA(sheet, IFERROR(VALUE(INDIRECT(""'"" &amp; sheet &amp; ""'!r3"")), 0))))"),1.0)</f>
        <v>1</v>
      </c>
      <c r="S3" s="10">
        <f>IFERROR(__xludf.DUMMYFUNCTION("SUM(MAP(FILTER(Z1:Z100, Z1:Z100 &lt;&gt; """"), LAMBDA(sheet, IFERROR(VALUE(INDIRECT(""'"" &amp; sheet &amp; ""'!s3"")), 0))))"),3.0)</f>
        <v>3</v>
      </c>
      <c r="T3" s="10">
        <f>IFERROR(__xludf.DUMMYFUNCTION("SUM(MAP(FILTER(Z1:Z100, Z1:Z100 &lt;&gt; """"), LAMBDA(sheet, IFERROR(VALUE(INDIRECT(""'"" &amp; sheet &amp; ""'!t3"")), 0))))"),5.0)</f>
        <v>5</v>
      </c>
      <c r="U3" s="10">
        <f t="shared" ref="U3:U9" si="4">ifs(P3=0, "N/A",P3&lt;&gt;0,(R3 + S3*2 +T3*3)/P3)</f>
        <v>2.2</v>
      </c>
      <c r="Z3" s="8" t="s">
        <v>64</v>
      </c>
    </row>
    <row r="4">
      <c r="A4" s="21" t="s">
        <v>24</v>
      </c>
      <c r="B4" s="21" t="s">
        <v>65</v>
      </c>
      <c r="C4" s="36">
        <f>IFERROR(__xludf.DUMMYFUNCTION("SUM(MAP(FILTER(Z1:Z100, Z1:Z100 &lt;&gt; """"), LAMBDA(sheet, IFERROR(VALUE(INDIRECT(""'"" &amp; sheet &amp; ""'!C4"")), 0))))"),10.0)</f>
        <v>10</v>
      </c>
      <c r="D4" s="37">
        <f>IFERROR(__xludf.DUMMYFUNCTION("SUM(MAP(FILTER(Z1:Z100, Z1:Z100 &lt;&gt; """"), LAMBDA(sheet, IFERROR(VALUE(INDIRECT(""'"" &amp; sheet &amp; ""'!d4"")), 0))))"),3.0)</f>
        <v>3</v>
      </c>
      <c r="E4" s="38">
        <f>IFERROR(__xludf.DUMMYFUNCTION("SUM(MAP(FILTER(Z1:Z100, Z1:Z100 &lt;&gt; """"), LAMBDA(sheet, IFERROR(VALUE(INDIRECT(""'"" &amp; sheet &amp; ""'!e4"")), 0))))"),3.0)</f>
        <v>3</v>
      </c>
      <c r="F4" s="39">
        <f>IFERROR(__xludf.DUMMYFUNCTION("SUM(MAP(FILTER(Z1:Z100, Z1:Z100 &lt;&gt; """"), LAMBDA(sheet, IFERROR(VALUE(INDIRECT(""'"" &amp; sheet &amp; ""'!f4"")), 0))))"),7.0)</f>
        <v>7</v>
      </c>
      <c r="G4" s="35">
        <f t="shared" si="1"/>
        <v>0</v>
      </c>
      <c r="H4" s="10">
        <f>IFERROR(__xludf.DUMMYFUNCTION("SUM(MAP(FILTER(Z1:Z100, Z1:Z100 &lt;&gt; """"), LAMBDA(sheet, IFERROR(VALUE(INDIRECT(""'"" &amp; sheet &amp; ""'!h4"")), 0))))"),0.0)</f>
        <v>0</v>
      </c>
      <c r="I4" s="10">
        <f>IFERROR(__xludf.DUMMYFUNCTION("SUM(MAP(FILTER(Z1:Z100, Z1:Z100 &lt;&gt; """"), LAMBDA(sheet, IFERROR(VALUE(INDIRECT(""'"" &amp; sheet &amp; ""'!i4"")), 0))))"),1.0)</f>
        <v>1</v>
      </c>
      <c r="J4" s="10">
        <f>IFERROR(__xludf.DUMMYFUNCTION("SUM(MAP(FILTER(Z1:Z100, Z1:Z100 &lt;&gt; """"), LAMBDA(sheet, IFERROR(VALUE(INDIRECT(""'"" &amp; sheet &amp; ""'!j4"")), 0))))"),4.0)</f>
        <v>4</v>
      </c>
      <c r="K4" s="10">
        <f>IFERROR(__xludf.DUMMYFUNCTION("SUM(MAP(FILTER(Z1:Z100, Z1:Z100 &lt;&gt; """"), LAMBDA(sheet, IFERROR(VALUE(INDIRECT(""'"" &amp; sheet &amp; ""'!k4"")), 0))))"),1.0)</f>
        <v>1</v>
      </c>
      <c r="L4" s="10">
        <f>IFERROR(__xludf.DUMMYFUNCTION("SUM(MAP(FILTER(Z1:Z100, Z1:Z100 &lt;&gt; """"), LAMBDA(sheet, IFERROR(VALUE(INDIRECT(""'"" &amp; sheet &amp; ""'!l4"")), 0))))"),0.0)</f>
        <v>0</v>
      </c>
      <c r="M4" s="10">
        <f>IFERROR(__xludf.DUMMYFUNCTION("SUM(MAP(FILTER(Z1:Z100, Z1:Z100 &lt;&gt; """"), LAMBDA(sheet, IFERROR(VALUE(INDIRECT(""'"" &amp; sheet &amp; ""'!m4"")), 0))))"),13.0)</f>
        <v>13</v>
      </c>
      <c r="N4" s="35">
        <f t="shared" si="2"/>
        <v>1</v>
      </c>
      <c r="O4" s="35">
        <f t="shared" si="3"/>
        <v>0.07692307692</v>
      </c>
      <c r="P4" s="10">
        <f>IFERROR(__xludf.DUMMYFUNCTION("SUM(MAP(FILTER(Z1:Z100, Z1:Z100 &lt;&gt; """"), LAMBDA(sheet, IFERROR(VALUE(INDIRECT(""'"" &amp; sheet &amp; ""'!p4"")), 0))))"),9.0)</f>
        <v>9</v>
      </c>
      <c r="Q4" s="10">
        <f>IFERROR(__xludf.DUMMYFUNCTION("SUM(MAP(FILTER(Z1:Z100, Z1:Z100 &lt;&gt; """"), LAMBDA(sheet, IFERROR(VALUE(INDIRECT(""'"" &amp; sheet &amp; ""'!q4"")), 0))))"),0.0)</f>
        <v>0</v>
      </c>
      <c r="R4" s="10">
        <f>IFERROR(__xludf.DUMMYFUNCTION("SUM(MAP(FILTER(Z1:Z100, Z1:Z100 &lt;&gt; """"), LAMBDA(sheet, IFERROR(VALUE(INDIRECT(""'"" &amp; sheet &amp; ""'!r4"")), 0))))"),1.0)</f>
        <v>1</v>
      </c>
      <c r="S4" s="10">
        <f>IFERROR(__xludf.DUMMYFUNCTION("SUM(MAP(FILTER(Z1:Z100, Z1:Z100 &lt;&gt; """"), LAMBDA(sheet, IFERROR(VALUE(INDIRECT(""'"" &amp; sheet &amp; ""'!s4"")), 0))))"),2.0)</f>
        <v>2</v>
      </c>
      <c r="T4" s="10">
        <f>IFERROR(__xludf.DUMMYFUNCTION("SUM(MAP(FILTER(Z1:Z100, Z1:Z100 &lt;&gt; """"), LAMBDA(sheet, IFERROR(VALUE(INDIRECT(""'"" &amp; sheet &amp; ""'!t4"")), 0))))"),6.0)</f>
        <v>6</v>
      </c>
      <c r="U4" s="10">
        <f t="shared" si="4"/>
        <v>2.555555556</v>
      </c>
    </row>
    <row r="5">
      <c r="A5" s="22" t="s">
        <v>26</v>
      </c>
      <c r="B5" s="22" t="s">
        <v>66</v>
      </c>
      <c r="C5" s="40">
        <f>IFERROR(__xludf.DUMMYFUNCTION("SUM(MAP(FILTER(Z1:Z100, Z1:Z100 &lt;&gt; """"), LAMBDA(sheet, IFERROR(VALUE(INDIRECT(""'"" &amp; sheet &amp; ""'!C5"")), 0))))"),5.0)</f>
        <v>5</v>
      </c>
      <c r="D5" s="41">
        <f>IFERROR(__xludf.DUMMYFUNCTION("SUM(MAP(FILTER(Z1:Z101, Z1:Z101 &lt;&gt; """"), LAMBDA(sheet, IFERROR(VALUE(INDIRECT(""'"" &amp; sheet &amp; ""'!d5"")), 0))))"),1.0)</f>
        <v>1</v>
      </c>
      <c r="E5" s="39">
        <f>IFERROR(__xludf.DUMMYFUNCTION("SUM(MAP(FILTER(Z1:Z100, Z1:Z100 &lt;&gt; """"), LAMBDA(sheet, IFERROR(VALUE(INDIRECT(""'"" &amp; sheet &amp; ""'!e5"")), 0))))"),0.0)</f>
        <v>0</v>
      </c>
      <c r="F5" s="42">
        <f>IFERROR(__xludf.DUMMYFUNCTION("SUM(MAP(FILTER(Z1:Z100, Z1:Z100 &lt;&gt; """"), LAMBDA(sheet, IFERROR(VALUE(INDIRECT(""'"" &amp; sheet &amp; ""'!f5"")), 0))))"),14.0)</f>
        <v>14</v>
      </c>
      <c r="G5" s="35">
        <f t="shared" si="1"/>
        <v>0.2</v>
      </c>
      <c r="H5" s="10">
        <f>IFERROR(__xludf.DUMMYFUNCTION("SUM(MAP(FILTER(Z1:Z100, Z1:Z100 &lt;&gt; """"), LAMBDA(sheet, IFERROR(VALUE(INDIRECT(""'"" &amp; sheet &amp; ""'!h5"")), 0))))"),0.0)</f>
        <v>0</v>
      </c>
      <c r="I5" s="10">
        <f>IFERROR(__xludf.DUMMYFUNCTION("SUM(MAP(FILTER(Z1:Z100, Z1:Z100 &lt;&gt; """"), LAMBDA(sheet, IFERROR(VALUE(INDIRECT(""'"" &amp; sheet &amp; ""'!i5"")), 0))))"),1.0)</f>
        <v>1</v>
      </c>
      <c r="J5" s="10">
        <f>IFERROR(__xludf.DUMMYFUNCTION("SUM(MAP(FILTER(Z1:Z100, Z1:Z100 &lt;&gt; """"), LAMBDA(sheet, IFERROR(VALUE(INDIRECT(""'"" &amp; sheet &amp; ""'!j5"")), 0))))"),2.0)</f>
        <v>2</v>
      </c>
      <c r="K5" s="10">
        <f>IFERROR(__xludf.DUMMYFUNCTION("SUM(MAP(FILTER(Z1:Z100, Z1:Z100 &lt;&gt; """"), LAMBDA(sheet, IFERROR(VALUE(INDIRECT(""'"" &amp; sheet &amp; ""'!k5"")), 0))))"),1.0)</f>
        <v>1</v>
      </c>
      <c r="L5" s="10">
        <f>IFERROR(__xludf.DUMMYFUNCTION("SUM(MAP(FILTER(Z1:Z100, Z1:Z100 &lt;&gt; """"), LAMBDA(sheet, IFERROR(VALUE(INDIRECT(""'"" &amp; sheet &amp; ""'!l5"")), 0))))"),1.0)</f>
        <v>1</v>
      </c>
      <c r="M5" s="10">
        <f>IFERROR(__xludf.DUMMYFUNCTION("SUM(MAP(FILTER(Z1:Z100, Z1:Z100 &lt;&gt; """"), LAMBDA(sheet, IFERROR(VALUE(INDIRECT(""'"" &amp; sheet &amp; ""'!m5"")), 0))))"),12.0)</f>
        <v>12</v>
      </c>
      <c r="N5" s="35">
        <f t="shared" si="2"/>
        <v>0.9166666667</v>
      </c>
      <c r="O5" s="35">
        <f t="shared" si="3"/>
        <v>0.08333333333</v>
      </c>
      <c r="P5" s="10">
        <f>IFERROR(__xludf.DUMMYFUNCTION("SUM(MAP(FILTER(Z1:Z100, Z1:Z100 &lt;&gt; """"), LAMBDA(sheet, IFERROR(VALUE(INDIRECT(""'"" &amp; sheet &amp; ""'!p5"")), 0))))"),0.0)</f>
        <v>0</v>
      </c>
      <c r="Q5" s="10">
        <f>IFERROR(__xludf.DUMMYFUNCTION("SUM(MAP(FILTER(Z1:Z100, Z1:Z100 &lt;&gt; """"), LAMBDA(sheet, IFERROR(VALUE(INDIRECT(""'"" &amp; sheet &amp; ""'!q5"")), 0))))"),0.0)</f>
        <v>0</v>
      </c>
      <c r="R5" s="10">
        <f>IFERROR(__xludf.DUMMYFUNCTION("SUM(MAP(FILTER(Z1:Z100, Z1:Z100 &lt;&gt; """"), LAMBDA(sheet, IFERROR(VALUE(INDIRECT(""'"" &amp; sheet &amp; ""'!r5"")), 0))))"),0.0)</f>
        <v>0</v>
      </c>
      <c r="S5" s="10">
        <f>IFERROR(__xludf.DUMMYFUNCTION("SUM(MAP(FILTER(Z1:Z100, Z1:Z100 &lt;&gt; """"), LAMBDA(sheet, IFERROR(VALUE(INDIRECT(""'"" &amp; sheet &amp; ""'!s5"")), 0))))"),0.0)</f>
        <v>0</v>
      </c>
      <c r="T5" s="10">
        <f>IFERROR(__xludf.DUMMYFUNCTION("SUM(MAP(FILTER(Z1:Z100, Z1:Z100 &lt;&gt; """"), LAMBDA(sheet, IFERROR(VALUE(INDIRECT(""'"" &amp; sheet &amp; ""'!t5"")), 0))))"),0.0)</f>
        <v>0</v>
      </c>
      <c r="U5" s="10" t="str">
        <f t="shared" si="4"/>
        <v>N/A</v>
      </c>
    </row>
    <row r="6">
      <c r="A6" s="23" t="s">
        <v>28</v>
      </c>
      <c r="B6" s="23" t="s">
        <v>67</v>
      </c>
      <c r="C6" s="43">
        <f>IFERROR(__xludf.DUMMYFUNCTION("SUM(MAP(FILTER(Z1:Z100, Z1:Z100 &lt;&gt; """"), LAMBDA(sheet, IFERROR(VALUE(INDIRECT(""'"" &amp; sheet &amp; ""'!C6"")), 0))))"),18.0)</f>
        <v>18</v>
      </c>
      <c r="D6" s="42">
        <f>IFERROR(__xludf.DUMMYFUNCTION("SUM(MAP(FILTER(Z1:Z102, Z1:Z102 &lt;&gt; """"), LAMBDA(sheet, IFERROR(VALUE(INDIRECT(""'"" &amp; sheet &amp; ""'!d6"")), 0))))"),5.0)</f>
        <v>5</v>
      </c>
      <c r="E6" s="44">
        <f>IFERROR(__xludf.DUMMYFUNCTION("SUM(MAP(FILTER(Z1:Z100, Z1:Z100 &lt;&gt; """"), LAMBDA(sheet, IFERROR(VALUE(INDIRECT(""'"" &amp; sheet &amp; ""'!e6"")), 0))))"),2.0)</f>
        <v>2</v>
      </c>
      <c r="F6" s="45">
        <f>IFERROR(__xludf.DUMMYFUNCTION("SUM(MAP(FILTER(Z1:Z100, Z1:Z100 &lt;&gt; """"), LAMBDA(sheet, IFERROR(VALUE(INDIRECT(""'"" &amp; sheet &amp; ""'!f6"")), 0))))"),0.0)</f>
        <v>0</v>
      </c>
      <c r="G6" s="35">
        <f t="shared" si="1"/>
        <v>0.1666666667</v>
      </c>
      <c r="H6" s="10">
        <f>IFERROR(__xludf.DUMMYFUNCTION("SUM(MAP(FILTER(Z1:Z100, Z1:Z100 &lt;&gt; """"), LAMBDA(sheet, IFERROR(VALUE(INDIRECT(""'"" &amp; sheet &amp; ""'!h6"")), 0))))"),0.0)</f>
        <v>0</v>
      </c>
      <c r="I6" s="10">
        <f>IFERROR(__xludf.DUMMYFUNCTION("SUM(MAP(FILTER(Z1:Z100, Z1:Z100 &lt;&gt; """"), LAMBDA(sheet, IFERROR(VALUE(INDIRECT(""'"" &amp; sheet &amp; ""'!i6"")), 0))))"),0.0)</f>
        <v>0</v>
      </c>
      <c r="J6" s="10">
        <f>IFERROR(__xludf.DUMMYFUNCTION("SUM(MAP(FILTER(Z1:Z100, Z1:Z100 &lt;&gt; """"), LAMBDA(sheet, IFERROR(VALUE(INDIRECT(""'"" &amp; sheet &amp; ""'!j6"")), 0))))"),4.0)</f>
        <v>4</v>
      </c>
      <c r="K6" s="10">
        <f>IFERROR(__xludf.DUMMYFUNCTION("SUM(MAP(FILTER(Z1:Z100, Z1:Z100 &lt;&gt; """"), LAMBDA(sheet, IFERROR(VALUE(INDIRECT(""'"" &amp; sheet &amp; ""'!k6"")), 0))))"),1.0)</f>
        <v>1</v>
      </c>
      <c r="L6" s="10">
        <f>IFERROR(__xludf.DUMMYFUNCTION("SUM(MAP(FILTER(Z1:Z100, Z1:Z100 &lt;&gt; """"), LAMBDA(sheet, IFERROR(VALUE(INDIRECT(""'"" &amp; sheet &amp; ""'!l6"")), 0))))"),2.0)</f>
        <v>2</v>
      </c>
      <c r="M6" s="10">
        <f>IFERROR(__xludf.DUMMYFUNCTION("SUM(MAP(FILTER(Z1:Z100, Z1:Z100 &lt;&gt; """"), LAMBDA(sheet, IFERROR(VALUE(INDIRECT(""'"" &amp; sheet &amp; ""'!m6"")), 0))))"),6.0)</f>
        <v>6</v>
      </c>
      <c r="N6" s="35">
        <f t="shared" si="2"/>
        <v>0.6666666667</v>
      </c>
      <c r="O6" s="35">
        <f t="shared" si="3"/>
        <v>0.1666666667</v>
      </c>
      <c r="P6" s="10">
        <f>IFERROR(__xludf.DUMMYFUNCTION("SUM(MAP(FILTER(Z1:Z100, Z1:Z100 &lt;&gt; """"), LAMBDA(sheet, IFERROR(VALUE(INDIRECT(""'"" &amp; sheet &amp; ""'!p6"")), 0))))"),12.0)</f>
        <v>12</v>
      </c>
      <c r="Q6" s="10">
        <f>IFERROR(__xludf.DUMMYFUNCTION("SUM(MAP(FILTER(Z1:Z100, Z1:Z100 &lt;&gt; """"), LAMBDA(sheet, IFERROR(VALUE(INDIRECT(""'"" &amp; sheet &amp; ""'!q6"")), 0))))"),3.0)</f>
        <v>3</v>
      </c>
      <c r="R6" s="10">
        <f>IFERROR(__xludf.DUMMYFUNCTION("SUM(MAP(FILTER(Z1:Z100, Z1:Z100 &lt;&gt; """"), LAMBDA(sheet, IFERROR(VALUE(INDIRECT(""'"" &amp; sheet &amp; ""'!r6"")), 0))))"),5.0)</f>
        <v>5</v>
      </c>
      <c r="S6" s="10">
        <f>IFERROR(__xludf.DUMMYFUNCTION("SUM(MAP(FILTER(Z1:Z100, Z1:Z100 &lt;&gt; """"), LAMBDA(sheet, IFERROR(VALUE(INDIRECT(""'"" &amp; sheet &amp; ""'!s6"")), 0))))"),2.0)</f>
        <v>2</v>
      </c>
      <c r="T6" s="10">
        <f>IFERROR(__xludf.DUMMYFUNCTION("SUM(MAP(FILTER(Z1:Z100, Z1:Z100 &lt;&gt; """"), LAMBDA(sheet, IFERROR(VALUE(INDIRECT(""'"" &amp; sheet &amp; ""'!t6"")), 0))))"),2.0)</f>
        <v>2</v>
      </c>
      <c r="U6" s="10">
        <f t="shared" si="4"/>
        <v>1.25</v>
      </c>
    </row>
    <row r="7">
      <c r="A7" s="24" t="s">
        <v>30</v>
      </c>
      <c r="B7" s="24" t="s">
        <v>68</v>
      </c>
      <c r="C7" s="46">
        <f>IFERROR(__xludf.DUMMYFUNCTION("SUM(MAP(FILTER(Z1:Z100, Z1:Z100 &lt;&gt; """"), LAMBDA(sheet, IFERROR(VALUE(INDIRECT(""'"" &amp; sheet &amp; ""'!C7"")), 0))))"),17.0)</f>
        <v>17</v>
      </c>
      <c r="D7" s="47">
        <f>IFERROR(__xludf.DUMMYFUNCTION("SUM(MAP(FILTER(Z1:Z104, Z1:Z104 &lt;&gt; """"), LAMBDA(sheet, IFERROR(VALUE(INDIRECT(""'"" &amp; sheet &amp; ""'!d7"")), 0))))"),11.0)</f>
        <v>11</v>
      </c>
      <c r="E7" s="44">
        <f>IFERROR(__xludf.DUMMYFUNCTION("SUM(MAP(FILTER(Z1:Z100, Z1:Z100 &lt;&gt; """"), LAMBDA(sheet, IFERROR(VALUE(INDIRECT(""'"" &amp; sheet &amp; ""'!e7"")), 0))))"),2.0)</f>
        <v>2</v>
      </c>
      <c r="F7" s="39">
        <f>IFERROR(__xludf.DUMMYFUNCTION("SUM(MAP(FILTER(Z1:Z100, Z1:Z100 &lt;&gt; """"), LAMBDA(sheet, IFERROR(VALUE(INDIRECT(""'"" &amp; sheet &amp; ""'!f7""), 0)))))"),0.0)</f>
        <v>0</v>
      </c>
      <c r="G7" s="35">
        <f t="shared" si="1"/>
        <v>0.5294117647</v>
      </c>
      <c r="H7" s="10">
        <f>IFERROR(__xludf.DUMMYFUNCTION("SUM(MAP(FILTER(Z1:Z100, Z1:Z100 &lt;&gt; """"), LAMBDA(sheet, IFERROR(VALUE(INDIRECT(""'"" &amp; sheet &amp; ""'!h7"")), 0))))"),0.0)</f>
        <v>0</v>
      </c>
      <c r="I7" s="10">
        <f>IFERROR(__xludf.DUMMYFUNCTION("SUM(MAP(FILTER(Z1:Z100, Z1:Z100 &lt;&gt; """"), LAMBDA(sheet, IFERROR(VALUE(INDIRECT(""'"" &amp; sheet &amp; ""'!i7"")), 0))))"),0.0)</f>
        <v>0</v>
      </c>
      <c r="J7" s="10">
        <f>IFERROR(__xludf.DUMMYFUNCTION("SUM(MAP(FILTER(Z1:Z100, Z1:Z100 &lt;&gt; """"), LAMBDA(sheet, IFERROR(VALUE(INDIRECT(""'"" &amp; sheet &amp; ""'!j7"")), 0))))"),5.0)</f>
        <v>5</v>
      </c>
      <c r="K7" s="10">
        <f>IFERROR(__xludf.DUMMYFUNCTION("SUM(MAP(FILTER(Z1:Z100, Z1:Z100 &lt;&gt; """"), LAMBDA(sheet, IFERROR(VALUE(INDIRECT(""'"" &amp; sheet &amp; ""'!k7"")), 0))))"),0.0)</f>
        <v>0</v>
      </c>
      <c r="L7" s="10">
        <f>IFERROR(__xludf.DUMMYFUNCTION("SUM(MAP(FILTER(Z1:Z100, Z1:Z100 &lt;&gt; """"), LAMBDA(sheet, IFERROR(VALUE(INDIRECT(""'"" &amp; sheet &amp; ""'!l7"")), 0))))"),1.0)</f>
        <v>1</v>
      </c>
      <c r="M7" s="10">
        <f>IFERROR(__xludf.DUMMYFUNCTION("SUM(MAP(FILTER(Z1:Z100, Z1:Z100 &lt;&gt; """"), LAMBDA(sheet, IFERROR(VALUE(INDIRECT(""'"" &amp; sheet &amp; ""'!m7"")), 0))))"),8.0)</f>
        <v>8</v>
      </c>
      <c r="N7" s="35">
        <f t="shared" si="2"/>
        <v>0.875</v>
      </c>
      <c r="O7" s="35">
        <f t="shared" si="3"/>
        <v>0</v>
      </c>
      <c r="P7" s="10">
        <f>IFERROR(__xludf.DUMMYFUNCTION("SUM(MAP(FILTER(Z1:Z100, Z1:Z100 &lt;&gt; """"), LAMBDA(sheet, IFERROR(VALUE(INDIRECT(""'"" &amp; sheet &amp; ""'!p7"")), 0))))"),10.0)</f>
        <v>10</v>
      </c>
      <c r="Q7" s="10">
        <f>IFERROR(__xludf.DUMMYFUNCTION("SUM(MAP(FILTER(Z1:Z100, Z1:Z100 &lt;&gt; """"), LAMBDA(sheet, IFERROR(VALUE(INDIRECT(""'"" &amp; sheet &amp; ""'!q7"")), 0))))"),3.0)</f>
        <v>3</v>
      </c>
      <c r="R7" s="10">
        <f>IFERROR(__xludf.DUMMYFUNCTION("SUM(MAP(FILTER(Z1:Z100, Z1:Z100 &lt;&gt; """"), LAMBDA(sheet, IFERROR(VALUE(INDIRECT(""'"" &amp; sheet &amp; ""'!r7"")), 0))))"),2.0)</f>
        <v>2</v>
      </c>
      <c r="S7" s="10">
        <f>IFERROR(__xludf.DUMMYFUNCTION("SUM(MAP(FILTER(Z1:Z100, Z1:Z100 &lt;&gt; """"), LAMBDA(sheet, IFERROR(VALUE(INDIRECT(""'"" &amp; sheet &amp; ""'!s7"")), 0))))"),2.0)</f>
        <v>2</v>
      </c>
      <c r="T7" s="10">
        <f>IFERROR(__xludf.DUMMYFUNCTION("SUM(MAP(FILTER(Z1:Z100, Z1:Z100 &lt;&gt; """"), LAMBDA(sheet, IFERROR(VALUE(INDIRECT(""'"" &amp; sheet &amp; ""'!t7"")), 0))))"),3.0)</f>
        <v>3</v>
      </c>
      <c r="U7" s="10">
        <f t="shared" si="4"/>
        <v>1.5</v>
      </c>
    </row>
    <row r="8">
      <c r="A8" s="25" t="s">
        <v>32</v>
      </c>
      <c r="B8" s="25" t="s">
        <v>69</v>
      </c>
      <c r="C8" s="48">
        <f>IFERROR(__xludf.DUMMYFUNCTION("SUM(MAP(FILTER(Z1:Z100, Z1:Z100 &lt;&gt; """"), LAMBDA(sheet, IFERROR(VALUE(INDIRECT(""'"" &amp; sheet &amp; ""'!C8"")), 0))))"),8.0)</f>
        <v>8</v>
      </c>
      <c r="D8" s="47">
        <f>IFERROR(__xludf.DUMMYFUNCTION("SUM(MAP(FILTER(Z1:Z104, Z1:Z104 &lt;&gt; """"), LAMBDA(sheet, IFERROR(VALUE(INDIRECT(""'"" &amp; sheet &amp; ""'!d8"")), 0))))"),3.0)</f>
        <v>3</v>
      </c>
      <c r="E8" s="49">
        <f>IFERROR(__xludf.DUMMYFUNCTION("SUM(MAP(FILTER(Z1:Z100, Z1:Z100 &lt;&gt; """"), LAMBDA(sheet, IFERROR(VALUE(INDIRECT(""'"" &amp; sheet &amp; ""'!e8"")), 0))))"),4.0)</f>
        <v>4</v>
      </c>
      <c r="F8" s="39">
        <f>IFERROR(__xludf.DUMMYFUNCTION("SUM(MAP(FILTER(Z1:Z100, Z1:Z100 &lt;&gt; """"), LAMBDA(sheet, IFERROR(VALUE(INDIRECT(""'"" &amp; sheet &amp; ""'!f8"")), 0))))"),0.0)</f>
        <v>0</v>
      </c>
      <c r="G8" s="35">
        <f t="shared" si="1"/>
        <v>-0.125</v>
      </c>
      <c r="H8" s="10">
        <f>IFERROR(__xludf.DUMMYFUNCTION("SUM(MAP(FILTER(Z1:Z100, Z1:Z100 &lt;&gt; """"), LAMBDA(sheet, IFERROR(VALUE(INDIRECT(""'"" &amp; sheet &amp; ""'!h8"")), 0))))"),0.0)</f>
        <v>0</v>
      </c>
      <c r="I8" s="10">
        <f>IFERROR(__xludf.DUMMYFUNCTION("SUM(MAP(FILTER(Z1:Z100, Z1:Z100 &lt;&gt; """"), LAMBDA(sheet, IFERROR(VALUE(INDIRECT(""'"" &amp; sheet &amp; ""'!i8"")), 0))))"),1.0)</f>
        <v>1</v>
      </c>
      <c r="J8" s="10">
        <f>IFERROR(__xludf.DUMMYFUNCTION("SUM(MAP(FILTER(Z1:Z100, Z1:Z100 &lt;&gt; """"), LAMBDA(sheet, IFERROR(VALUE(INDIRECT(""'"" &amp; sheet &amp; ""'!j8"")), 0))))"),3.0)</f>
        <v>3</v>
      </c>
      <c r="K8" s="10">
        <f>IFERROR(__xludf.DUMMYFUNCTION("SUM(MAP(FILTER(Z1:Z100, Z1:Z100 &lt;&gt; """"), LAMBDA(sheet, IFERROR(VALUE(INDIRECT(""'"" &amp; sheet &amp; ""'!k8"")), 0))))"),0.0)</f>
        <v>0</v>
      </c>
      <c r="L8" s="10">
        <f>IFERROR(__xludf.DUMMYFUNCTION("SUM(MAP(FILTER(Z1:Z100, Z1:Z100 &lt;&gt; """"), LAMBDA(sheet, IFERROR(VALUE(INDIRECT(""'"" &amp; sheet &amp; ""'!l8"")), 0))))"),2.0)</f>
        <v>2</v>
      </c>
      <c r="M8" s="10">
        <f>IFERROR(__xludf.DUMMYFUNCTION("SUM(MAP(FILTER(Z1:Z100, Z1:Z100 &lt;&gt; """"), LAMBDA(sheet, IFERROR(VALUE(INDIRECT(""'"" &amp; sheet &amp; ""'!m8"")), 0))))"),14.0)</f>
        <v>14</v>
      </c>
      <c r="N8" s="35">
        <f t="shared" si="2"/>
        <v>0.8571428571</v>
      </c>
      <c r="O8" s="35">
        <f t="shared" si="3"/>
        <v>0</v>
      </c>
      <c r="P8" s="10">
        <f>IFERROR(__xludf.DUMMYFUNCTION("SUM(MAP(FILTER(Z1:Z100, Z1:Z100 &lt;&gt; """"), LAMBDA(sheet, IFERROR(VALUE(INDIRECT(""'"" &amp; sheet &amp; ""'!p8"")), 0))))"),2.0)</f>
        <v>2</v>
      </c>
      <c r="Q8" s="10">
        <f>IFERROR(__xludf.DUMMYFUNCTION("SUM(MAP(FILTER(Z1:Z100, Z1:Z100 &lt;&gt; """"), LAMBDA(sheet, IFERROR(VALUE(INDIRECT(""'"" &amp; sheet &amp; ""'!q8"")), 0))))"),1.0)</f>
        <v>1</v>
      </c>
      <c r="R8" s="10">
        <f>IFERROR(__xludf.DUMMYFUNCTION("SUM(MAP(FILTER(Z1:Z100, Z1:Z100 &lt;&gt; """"), LAMBDA(sheet, IFERROR(VALUE(INDIRECT(""'"" &amp; sheet &amp; ""'!r8"")), 0))))"),0.0)</f>
        <v>0</v>
      </c>
      <c r="S8" s="10">
        <f>IFERROR(__xludf.DUMMYFUNCTION("SUM(MAP(FILTER(Z1:Z100, Z1:Z100 &lt;&gt; """"), LAMBDA(sheet, IFERROR(VALUE(INDIRECT(""'"" &amp; sheet &amp; ""'!s8"")), 0))))"),0.0)</f>
        <v>0</v>
      </c>
      <c r="T8" s="10">
        <f>IFERROR(__xludf.DUMMYFUNCTION("SUM(MAP(FILTER(Z1:Z100, Z1:Z100 &lt;&gt; """"), LAMBDA(sheet, IFERROR(VALUE(INDIRECT(""'"" &amp; sheet &amp; ""'!t8"")), 0))))"),1.0)</f>
        <v>1</v>
      </c>
      <c r="U8" s="10">
        <f t="shared" si="4"/>
        <v>1.5</v>
      </c>
    </row>
    <row r="9">
      <c r="A9" s="26" t="s">
        <v>34</v>
      </c>
      <c r="B9" s="26" t="s">
        <v>70</v>
      </c>
      <c r="C9" s="50">
        <f>IFERROR(__xludf.DUMMYFUNCTION("SUM(MAP(FILTER(Z1:Z100, Z1:Z100 &lt;&gt; """"), LAMBDA(sheet, IFERROR(VALUE(INDIRECT(""'"" &amp; sheet &amp; ""'!C9"")), 0))))"),4.0)</f>
        <v>4</v>
      </c>
      <c r="D9" s="51">
        <f>IFERROR(__xludf.DUMMYFUNCTION("SUM(MAP(FILTER(Z1:Z104, Z1:Z104 &lt;&gt; """"), LAMBDA(sheet, IFERROR(VALUE(INDIRECT(""'"" &amp; sheet &amp; ""'!d9"")), 0))))"),0.0)</f>
        <v>0</v>
      </c>
      <c r="E9" s="38">
        <f>IFERROR(__xludf.DUMMYFUNCTION("SUM(MAP(FILTER(Z1:Z100, Z1:Z100 &lt;&gt; """"), LAMBDA(sheet, IFERROR(VALUE(INDIRECT(""'"" &amp; sheet &amp; ""'!e9"")), 0))))"),1.0)</f>
        <v>1</v>
      </c>
      <c r="F9" s="45">
        <f>IFERROR(__xludf.DUMMYFUNCTION("SUM(MAP(FILTER(Z1:Z100, Z1:Z100 &lt;&gt; """"), LAMBDA(sheet, IFERROR(VALUE(INDIRECT(""'"" &amp; sheet &amp; ""'!f9"")), 0))))"),0.0)</f>
        <v>0</v>
      </c>
      <c r="G9" s="35">
        <f t="shared" si="1"/>
        <v>-0.25</v>
      </c>
      <c r="H9" s="10">
        <f>IFERROR(__xludf.DUMMYFUNCTION("SUM(MAP(FILTER(Z1:Z100, Z1:Z100 &lt;&gt; """"), LAMBDA(sheet, IFERROR(VALUE(INDIRECT(""'"" &amp; sheet &amp; ""'!h9"")), 0))))"),0.0)</f>
        <v>0</v>
      </c>
      <c r="I9" s="10">
        <f>IFERROR(__xludf.DUMMYFUNCTION("SUM(MAP(FILTER(Z1:Z100, Z1:Z100 &lt;&gt; """"), LAMBDA(sheet, IFERROR(VALUE(INDIRECT(""'"" &amp; sheet &amp; ""'!i9"")), 0))))"),1.0)</f>
        <v>1</v>
      </c>
      <c r="J9" s="10">
        <f>IFERROR(__xludf.DUMMYFUNCTION("SUM(MAP(FILTER(Z1:Z100, Z1:Z100 &lt;&gt; """"), LAMBDA(sheet, IFERROR(VALUE(INDIRECT(""'"" &amp; sheet &amp; ""'!j9"")), 0))))"),1.0)</f>
        <v>1</v>
      </c>
      <c r="K9" s="10">
        <f>IFERROR(__xludf.DUMMYFUNCTION("SUM(MAP(FILTER(Z1:Z100, Z1:Z100 &lt;&gt; """"), LAMBDA(sheet, IFERROR(VALUE(INDIRECT(""'"" &amp; sheet &amp; ""'!k9"")), 0))))"),1.0)</f>
        <v>1</v>
      </c>
      <c r="L9" s="10">
        <f>IFERROR(__xludf.DUMMYFUNCTION("SUM(MAP(FILTER(Z1:Z100, Z1:Z100 &lt;&gt; """"), LAMBDA(sheet, IFERROR(VALUE(INDIRECT(""'"" &amp; sheet &amp; ""'!l9"")), 0))))"),1.0)</f>
        <v>1</v>
      </c>
      <c r="M9" s="10">
        <f>IFERROR(__xludf.DUMMYFUNCTION("SUM(MAP(FILTER(Z1:Z100, Z1:Z100 &lt;&gt; """"), LAMBDA(sheet, IFERROR(VALUE(INDIRECT(""'"" &amp; sheet &amp; ""'!m9"")), 0))))"),6.0)</f>
        <v>6</v>
      </c>
      <c r="N9" s="35">
        <f t="shared" si="2"/>
        <v>0.8333333333</v>
      </c>
      <c r="O9" s="35">
        <f t="shared" si="3"/>
        <v>0.1666666667</v>
      </c>
      <c r="P9" s="10">
        <f>IFERROR(__xludf.DUMMYFUNCTION("SUM(MAP(FILTER(Z1:Z100, Z1:Z100 &lt;&gt; """"), LAMBDA(sheet, IFERROR(VALUE(INDIRECT(""'"" &amp; sheet &amp; ""'!p9"")), 0))))"),0.0)</f>
        <v>0</v>
      </c>
      <c r="Q9" s="10">
        <f>IFERROR(__xludf.DUMMYFUNCTION("SUM(MAP(FILTER(Z1:Z100, Z1:Z100 &lt;&gt; """"), LAMBDA(sheet, IFERROR(VALUE(INDIRECT(""'"" &amp; sheet &amp; ""'!q9"")), 0))))"),0.0)</f>
        <v>0</v>
      </c>
      <c r="R9" s="10">
        <f>IFERROR(__xludf.DUMMYFUNCTION("SUM(MAP(FILTER(Z1:Z100, Z1:Z100 &lt;&gt; """"), LAMBDA(sheet, IFERROR(VALUE(INDIRECT(""'"" &amp; sheet &amp; ""'!r9"")), 0))))"),0.0)</f>
        <v>0</v>
      </c>
      <c r="S9" s="10">
        <f>IFERROR(__xludf.DUMMYFUNCTION("SUM(MAP(FILTER(Z1:Z100, Z1:Z100 &lt;&gt; """"), LAMBDA(sheet, IFERROR(VALUE(INDIRECT(""'"" &amp; sheet &amp; ""'!s9"")), 0))))"),0.0)</f>
        <v>0</v>
      </c>
      <c r="T9" s="10">
        <f>IFERROR(__xludf.DUMMYFUNCTION("SUM(MAP(FILTER(Z1:Z100, Z1:Z100 &lt;&gt; """"), LAMBDA(sheet, IFERROR(VALUE(INDIRECT(""'"" &amp; sheet &amp; ""'!t9"")), 0))))"),0.0)</f>
        <v>0</v>
      </c>
      <c r="U9" s="10" t="str">
        <f t="shared" si="4"/>
        <v>N/A</v>
      </c>
    </row>
    <row r="10">
      <c r="C10" s="27"/>
      <c r="D10" s="27"/>
      <c r="E10" s="27"/>
      <c r="M10" s="52"/>
      <c r="N10" s="52"/>
      <c r="O10" s="52"/>
    </row>
    <row r="11">
      <c r="M11" s="52"/>
      <c r="N11" s="52"/>
      <c r="O11" s="52"/>
    </row>
    <row r="12">
      <c r="M12" s="52"/>
      <c r="N12" s="52"/>
      <c r="O12" s="52"/>
    </row>
    <row r="13">
      <c r="M13" s="52"/>
      <c r="N13" s="52"/>
      <c r="O13" s="52"/>
    </row>
    <row r="14">
      <c r="M14" s="52"/>
      <c r="N14" s="52"/>
      <c r="O14" s="52"/>
    </row>
    <row r="15">
      <c r="M15" s="52"/>
      <c r="N15" s="52"/>
      <c r="O15" s="52"/>
    </row>
    <row r="16">
      <c r="M16" s="52"/>
      <c r="N16" s="52"/>
      <c r="O16" s="52"/>
    </row>
    <row r="17">
      <c r="M17" s="52"/>
      <c r="N17" s="52"/>
      <c r="O17" s="52"/>
    </row>
    <row r="18">
      <c r="M18" s="52"/>
      <c r="N18" s="52"/>
      <c r="O18" s="52"/>
    </row>
    <row r="19">
      <c r="M19" s="52"/>
      <c r="N19" s="52"/>
      <c r="O19" s="52"/>
    </row>
    <row r="20">
      <c r="M20" s="52"/>
      <c r="N20" s="52"/>
      <c r="O20" s="52"/>
    </row>
    <row r="21">
      <c r="M21" s="52"/>
      <c r="N21" s="52"/>
      <c r="O21" s="52"/>
    </row>
    <row r="22">
      <c r="M22" s="52"/>
      <c r="N22" s="52"/>
      <c r="O22" s="52"/>
    </row>
    <row r="23">
      <c r="M23" s="52"/>
      <c r="N23" s="52"/>
      <c r="O23" s="52"/>
    </row>
    <row r="24">
      <c r="M24" s="52"/>
      <c r="N24" s="52"/>
      <c r="O24" s="52"/>
    </row>
    <row r="25">
      <c r="M25" s="52"/>
      <c r="N25" s="52"/>
      <c r="O25" s="52"/>
    </row>
    <row r="26">
      <c r="M26" s="52"/>
      <c r="N26" s="52"/>
      <c r="O26" s="52"/>
    </row>
    <row r="27">
      <c r="M27" s="52"/>
      <c r="N27" s="52"/>
      <c r="O27" s="52"/>
    </row>
    <row r="28">
      <c r="M28" s="52"/>
      <c r="N28" s="52"/>
      <c r="O28" s="52"/>
    </row>
    <row r="29">
      <c r="M29" s="52"/>
      <c r="N29" s="52"/>
      <c r="O29" s="52"/>
    </row>
    <row r="30">
      <c r="M30" s="52"/>
      <c r="N30" s="52"/>
      <c r="O30" s="52"/>
    </row>
    <row r="31">
      <c r="M31" s="52"/>
      <c r="N31" s="52"/>
      <c r="O31" s="52"/>
    </row>
    <row r="32">
      <c r="M32" s="52"/>
      <c r="N32" s="52"/>
      <c r="O32" s="52"/>
    </row>
    <row r="33">
      <c r="M33" s="52"/>
      <c r="N33" s="52"/>
      <c r="O33" s="52"/>
    </row>
    <row r="34">
      <c r="M34" s="52"/>
      <c r="N34" s="52"/>
      <c r="O34" s="52"/>
    </row>
    <row r="35">
      <c r="M35" s="52"/>
      <c r="N35" s="52"/>
      <c r="O35" s="52"/>
    </row>
    <row r="36">
      <c r="M36" s="52"/>
      <c r="N36" s="52"/>
      <c r="O36" s="52"/>
    </row>
    <row r="37">
      <c r="M37" s="52"/>
      <c r="N37" s="52"/>
      <c r="O37" s="52"/>
    </row>
    <row r="38">
      <c r="M38" s="52"/>
      <c r="N38" s="52"/>
      <c r="O38" s="52"/>
    </row>
    <row r="39">
      <c r="M39" s="52"/>
      <c r="N39" s="52"/>
      <c r="O39" s="52"/>
    </row>
    <row r="40">
      <c r="M40" s="52"/>
      <c r="N40" s="52"/>
      <c r="O40" s="52"/>
    </row>
    <row r="41">
      <c r="M41" s="52"/>
      <c r="N41" s="52"/>
      <c r="O41" s="52"/>
    </row>
    <row r="42">
      <c r="M42" s="52"/>
      <c r="N42" s="52"/>
      <c r="O42" s="52"/>
    </row>
    <row r="43">
      <c r="M43" s="52"/>
      <c r="N43" s="52"/>
      <c r="O43" s="52"/>
    </row>
    <row r="44">
      <c r="M44" s="52"/>
      <c r="N44" s="52"/>
      <c r="O44" s="52"/>
    </row>
    <row r="45">
      <c r="M45" s="52"/>
      <c r="N45" s="52"/>
      <c r="O45" s="52"/>
    </row>
    <row r="46">
      <c r="M46" s="52"/>
      <c r="N46" s="52"/>
      <c r="O46" s="52"/>
    </row>
    <row r="47">
      <c r="M47" s="52"/>
      <c r="N47" s="52"/>
      <c r="O47" s="52"/>
    </row>
    <row r="48">
      <c r="M48" s="52"/>
      <c r="N48" s="52"/>
      <c r="O48" s="52"/>
    </row>
    <row r="49">
      <c r="M49" s="52"/>
      <c r="N49" s="52"/>
      <c r="O49" s="52"/>
    </row>
    <row r="50">
      <c r="M50" s="52"/>
      <c r="N50" s="52"/>
      <c r="O50" s="52"/>
    </row>
    <row r="51">
      <c r="M51" s="52"/>
      <c r="N51" s="52"/>
      <c r="O51" s="52"/>
    </row>
    <row r="52">
      <c r="M52" s="52"/>
      <c r="N52" s="52"/>
      <c r="O52" s="52"/>
    </row>
    <row r="53">
      <c r="M53" s="52"/>
      <c r="N53" s="52"/>
      <c r="O53" s="52"/>
    </row>
    <row r="54">
      <c r="M54" s="52"/>
      <c r="N54" s="52"/>
      <c r="O54" s="52"/>
    </row>
    <row r="55">
      <c r="M55" s="52"/>
      <c r="N55" s="52"/>
      <c r="O55" s="52"/>
    </row>
    <row r="56">
      <c r="M56" s="52"/>
      <c r="N56" s="52"/>
      <c r="O56" s="52"/>
    </row>
    <row r="57">
      <c r="M57" s="52"/>
      <c r="N57" s="52"/>
      <c r="O57" s="52"/>
    </row>
    <row r="58">
      <c r="M58" s="52"/>
      <c r="N58" s="52"/>
      <c r="O58" s="52"/>
    </row>
    <row r="59">
      <c r="M59" s="52"/>
      <c r="N59" s="52"/>
      <c r="O59" s="52"/>
    </row>
    <row r="60">
      <c r="M60" s="52"/>
      <c r="N60" s="52"/>
      <c r="O60" s="52"/>
    </row>
    <row r="61">
      <c r="M61" s="52"/>
      <c r="N61" s="52"/>
      <c r="O61" s="52"/>
    </row>
    <row r="62">
      <c r="M62" s="52"/>
      <c r="N62" s="52"/>
      <c r="O62" s="52"/>
    </row>
    <row r="63">
      <c r="M63" s="52"/>
      <c r="N63" s="52"/>
      <c r="O63" s="52"/>
    </row>
    <row r="64">
      <c r="M64" s="52"/>
      <c r="N64" s="52"/>
      <c r="O64" s="52"/>
    </row>
    <row r="65">
      <c r="M65" s="52"/>
      <c r="N65" s="52"/>
      <c r="O65" s="52"/>
    </row>
    <row r="66">
      <c r="M66" s="52"/>
      <c r="N66" s="52"/>
      <c r="O66" s="52"/>
    </row>
    <row r="67">
      <c r="M67" s="52"/>
      <c r="N67" s="52"/>
      <c r="O67" s="52"/>
    </row>
    <row r="68">
      <c r="M68" s="52"/>
      <c r="N68" s="52"/>
      <c r="O68" s="52"/>
    </row>
    <row r="69">
      <c r="M69" s="52"/>
      <c r="N69" s="52"/>
      <c r="O69" s="52"/>
    </row>
    <row r="70">
      <c r="M70" s="52"/>
      <c r="N70" s="52"/>
      <c r="O70" s="52"/>
    </row>
    <row r="71">
      <c r="M71" s="52"/>
      <c r="N71" s="52"/>
      <c r="O71" s="52"/>
    </row>
    <row r="72">
      <c r="M72" s="52"/>
      <c r="N72" s="52"/>
      <c r="O72" s="52"/>
    </row>
    <row r="73">
      <c r="M73" s="52"/>
      <c r="N73" s="52"/>
      <c r="O73" s="52"/>
    </row>
    <row r="74">
      <c r="M74" s="52"/>
      <c r="N74" s="52"/>
      <c r="O74" s="52"/>
    </row>
    <row r="75">
      <c r="M75" s="52"/>
      <c r="N75" s="52"/>
      <c r="O75" s="52"/>
    </row>
    <row r="76">
      <c r="M76" s="52"/>
      <c r="N76" s="52"/>
      <c r="O76" s="52"/>
    </row>
    <row r="77">
      <c r="M77" s="52"/>
      <c r="N77" s="52"/>
      <c r="O77" s="52"/>
    </row>
    <row r="78">
      <c r="M78" s="52"/>
      <c r="N78" s="52"/>
      <c r="O78" s="52"/>
    </row>
    <row r="79">
      <c r="M79" s="52"/>
      <c r="N79" s="52"/>
      <c r="O79" s="52"/>
    </row>
    <row r="80">
      <c r="M80" s="52"/>
      <c r="N80" s="52"/>
      <c r="O80" s="52"/>
    </row>
    <row r="81">
      <c r="M81" s="52"/>
      <c r="N81" s="52"/>
      <c r="O81" s="52"/>
    </row>
    <row r="82">
      <c r="M82" s="52"/>
      <c r="N82" s="52"/>
      <c r="O82" s="52"/>
    </row>
    <row r="83">
      <c r="M83" s="52"/>
      <c r="N83" s="52"/>
      <c r="O83" s="52"/>
    </row>
    <row r="84">
      <c r="M84" s="52"/>
      <c r="N84" s="52"/>
      <c r="O84" s="52"/>
    </row>
    <row r="85">
      <c r="M85" s="52"/>
      <c r="N85" s="52"/>
      <c r="O85" s="52"/>
    </row>
    <row r="86">
      <c r="M86" s="52"/>
      <c r="N86" s="52"/>
      <c r="O86" s="52"/>
    </row>
    <row r="87">
      <c r="M87" s="52"/>
      <c r="N87" s="52"/>
      <c r="O87" s="52"/>
    </row>
    <row r="88">
      <c r="M88" s="52"/>
      <c r="N88" s="52"/>
      <c r="O88" s="52"/>
    </row>
    <row r="89">
      <c r="M89" s="52"/>
      <c r="N89" s="52"/>
      <c r="O89" s="52"/>
    </row>
    <row r="90">
      <c r="M90" s="52"/>
      <c r="N90" s="52"/>
      <c r="O90" s="52"/>
    </row>
    <row r="91">
      <c r="M91" s="52"/>
      <c r="N91" s="52"/>
      <c r="O91" s="52"/>
    </row>
    <row r="92">
      <c r="M92" s="52"/>
      <c r="N92" s="52"/>
      <c r="O92" s="52"/>
    </row>
    <row r="93">
      <c r="M93" s="52"/>
      <c r="N93" s="52"/>
      <c r="O93" s="52"/>
    </row>
    <row r="94">
      <c r="M94" s="52"/>
      <c r="N94" s="52"/>
      <c r="O94" s="52"/>
    </row>
    <row r="95">
      <c r="M95" s="52"/>
      <c r="N95" s="52"/>
      <c r="O95" s="52"/>
    </row>
    <row r="96">
      <c r="M96" s="52"/>
      <c r="N96" s="52"/>
      <c r="O96" s="52"/>
    </row>
    <row r="97">
      <c r="M97" s="52"/>
      <c r="N97" s="52"/>
      <c r="O97" s="52"/>
    </row>
    <row r="98">
      <c r="M98" s="52"/>
      <c r="N98" s="52"/>
      <c r="O98" s="52"/>
    </row>
    <row r="99">
      <c r="M99" s="52"/>
      <c r="N99" s="52"/>
      <c r="O99" s="52"/>
    </row>
    <row r="100">
      <c r="M100" s="52"/>
      <c r="N100" s="52"/>
      <c r="O100" s="52"/>
    </row>
    <row r="101">
      <c r="M101" s="52"/>
      <c r="N101" s="52"/>
      <c r="O101" s="52"/>
    </row>
    <row r="102">
      <c r="M102" s="52"/>
      <c r="N102" s="52"/>
      <c r="O102" s="52"/>
    </row>
    <row r="103">
      <c r="M103" s="52"/>
      <c r="N103" s="52"/>
      <c r="O103" s="52"/>
    </row>
    <row r="104">
      <c r="M104" s="52"/>
      <c r="N104" s="52"/>
      <c r="O104" s="52"/>
    </row>
    <row r="105">
      <c r="M105" s="52"/>
      <c r="N105" s="52"/>
      <c r="O105" s="52"/>
    </row>
    <row r="106">
      <c r="M106" s="52"/>
      <c r="N106" s="52"/>
      <c r="O106" s="52"/>
    </row>
    <row r="107">
      <c r="M107" s="52"/>
      <c r="N107" s="52"/>
      <c r="O107" s="52"/>
    </row>
    <row r="108">
      <c r="M108" s="52"/>
      <c r="N108" s="52"/>
      <c r="O108" s="52"/>
    </row>
    <row r="109">
      <c r="M109" s="52"/>
      <c r="N109" s="52"/>
      <c r="O109" s="52"/>
    </row>
    <row r="110">
      <c r="M110" s="52"/>
      <c r="N110" s="52"/>
      <c r="O110" s="52"/>
    </row>
    <row r="111">
      <c r="M111" s="52"/>
      <c r="N111" s="52"/>
      <c r="O111" s="52"/>
    </row>
    <row r="112">
      <c r="M112" s="52"/>
      <c r="N112" s="52"/>
      <c r="O112" s="52"/>
    </row>
    <row r="113">
      <c r="M113" s="52"/>
      <c r="N113" s="52"/>
      <c r="O113" s="52"/>
    </row>
    <row r="114">
      <c r="M114" s="52"/>
      <c r="N114" s="52"/>
      <c r="O114" s="52"/>
    </row>
    <row r="115">
      <c r="M115" s="52"/>
      <c r="N115" s="52"/>
      <c r="O115" s="52"/>
    </row>
    <row r="116">
      <c r="M116" s="52"/>
      <c r="N116" s="52"/>
      <c r="O116" s="52"/>
    </row>
    <row r="117">
      <c r="M117" s="52"/>
      <c r="N117" s="52"/>
      <c r="O117" s="52"/>
    </row>
    <row r="118">
      <c r="M118" s="52"/>
      <c r="N118" s="52"/>
      <c r="O118" s="52"/>
    </row>
    <row r="119">
      <c r="M119" s="52"/>
      <c r="N119" s="52"/>
      <c r="O119" s="52"/>
    </row>
    <row r="120">
      <c r="M120" s="52"/>
      <c r="N120" s="52"/>
      <c r="O120" s="52"/>
    </row>
    <row r="121">
      <c r="M121" s="52"/>
      <c r="N121" s="52"/>
      <c r="O121" s="52"/>
    </row>
    <row r="122">
      <c r="M122" s="52"/>
      <c r="N122" s="52"/>
      <c r="O122" s="52"/>
    </row>
    <row r="123">
      <c r="M123" s="52"/>
      <c r="N123" s="52"/>
      <c r="O123" s="52"/>
    </row>
    <row r="124">
      <c r="M124" s="52"/>
      <c r="N124" s="52"/>
      <c r="O124" s="52"/>
    </row>
    <row r="125">
      <c r="M125" s="52"/>
      <c r="N125" s="52"/>
      <c r="O125" s="52"/>
    </row>
    <row r="126">
      <c r="M126" s="52"/>
      <c r="N126" s="52"/>
      <c r="O126" s="52"/>
    </row>
    <row r="127">
      <c r="M127" s="52"/>
      <c r="N127" s="52"/>
      <c r="O127" s="52"/>
    </row>
    <row r="128">
      <c r="M128" s="52"/>
      <c r="N128" s="52"/>
      <c r="O128" s="52"/>
    </row>
    <row r="129">
      <c r="M129" s="52"/>
      <c r="N129" s="52"/>
      <c r="O129" s="52"/>
    </row>
    <row r="130">
      <c r="M130" s="52"/>
      <c r="N130" s="52"/>
      <c r="O130" s="52"/>
    </row>
    <row r="131">
      <c r="M131" s="52"/>
      <c r="N131" s="52"/>
      <c r="O131" s="52"/>
    </row>
    <row r="132">
      <c r="M132" s="52"/>
      <c r="N132" s="52"/>
      <c r="O132" s="52"/>
    </row>
    <row r="133">
      <c r="M133" s="52"/>
      <c r="N133" s="52"/>
      <c r="O133" s="52"/>
    </row>
    <row r="134">
      <c r="M134" s="52"/>
      <c r="N134" s="52"/>
      <c r="O134" s="52"/>
    </row>
    <row r="135">
      <c r="M135" s="52"/>
      <c r="N135" s="52"/>
      <c r="O135" s="52"/>
    </row>
    <row r="136">
      <c r="M136" s="52"/>
      <c r="N136" s="52"/>
      <c r="O136" s="52"/>
    </row>
    <row r="137">
      <c r="M137" s="52"/>
      <c r="N137" s="52"/>
      <c r="O137" s="52"/>
    </row>
    <row r="138">
      <c r="M138" s="52"/>
      <c r="N138" s="52"/>
      <c r="O138" s="52"/>
    </row>
    <row r="139">
      <c r="M139" s="52"/>
      <c r="N139" s="52"/>
      <c r="O139" s="52"/>
    </row>
    <row r="140">
      <c r="M140" s="52"/>
      <c r="N140" s="52"/>
      <c r="O140" s="52"/>
    </row>
    <row r="141">
      <c r="M141" s="52"/>
      <c r="N141" s="52"/>
      <c r="O141" s="52"/>
    </row>
    <row r="142">
      <c r="M142" s="52"/>
      <c r="N142" s="52"/>
      <c r="O142" s="52"/>
    </row>
    <row r="143">
      <c r="M143" s="52"/>
      <c r="N143" s="52"/>
      <c r="O143" s="52"/>
    </row>
    <row r="144">
      <c r="M144" s="52"/>
      <c r="N144" s="52"/>
      <c r="O144" s="52"/>
    </row>
    <row r="145">
      <c r="M145" s="52"/>
      <c r="N145" s="52"/>
      <c r="O145" s="52"/>
    </row>
    <row r="146">
      <c r="M146" s="52"/>
      <c r="N146" s="52"/>
      <c r="O146" s="52"/>
    </row>
    <row r="147">
      <c r="M147" s="52"/>
      <c r="N147" s="52"/>
      <c r="O147" s="52"/>
    </row>
    <row r="148">
      <c r="M148" s="52"/>
      <c r="N148" s="52"/>
      <c r="O148" s="52"/>
    </row>
    <row r="149">
      <c r="M149" s="52"/>
      <c r="N149" s="52"/>
      <c r="O149" s="52"/>
    </row>
    <row r="150">
      <c r="M150" s="52"/>
      <c r="N150" s="52"/>
      <c r="O150" s="52"/>
    </row>
    <row r="151">
      <c r="M151" s="52"/>
      <c r="N151" s="52"/>
      <c r="O151" s="52"/>
    </row>
    <row r="152">
      <c r="M152" s="52"/>
      <c r="N152" s="52"/>
      <c r="O152" s="52"/>
    </row>
    <row r="153">
      <c r="M153" s="52"/>
      <c r="N153" s="52"/>
      <c r="O153" s="52"/>
    </row>
    <row r="154">
      <c r="M154" s="52"/>
      <c r="N154" s="52"/>
      <c r="O154" s="52"/>
    </row>
    <row r="155">
      <c r="M155" s="52"/>
      <c r="N155" s="52"/>
      <c r="O155" s="52"/>
    </row>
    <row r="156">
      <c r="M156" s="52"/>
      <c r="N156" s="52"/>
      <c r="O156" s="52"/>
    </row>
    <row r="157">
      <c r="M157" s="52"/>
      <c r="N157" s="52"/>
      <c r="O157" s="52"/>
    </row>
    <row r="158">
      <c r="M158" s="52"/>
      <c r="N158" s="52"/>
      <c r="O158" s="52"/>
    </row>
    <row r="159">
      <c r="M159" s="52"/>
      <c r="N159" s="52"/>
      <c r="O159" s="52"/>
    </row>
    <row r="160">
      <c r="M160" s="52"/>
      <c r="N160" s="52"/>
      <c r="O160" s="52"/>
    </row>
    <row r="161">
      <c r="M161" s="52"/>
      <c r="N161" s="52"/>
      <c r="O161" s="52"/>
    </row>
    <row r="162">
      <c r="M162" s="52"/>
      <c r="N162" s="52"/>
      <c r="O162" s="52"/>
    </row>
    <row r="163">
      <c r="M163" s="52"/>
      <c r="N163" s="52"/>
      <c r="O163" s="52"/>
    </row>
    <row r="164">
      <c r="M164" s="52"/>
      <c r="N164" s="52"/>
      <c r="O164" s="52"/>
    </row>
    <row r="165">
      <c r="M165" s="52"/>
      <c r="N165" s="52"/>
      <c r="O165" s="52"/>
    </row>
    <row r="166">
      <c r="M166" s="52"/>
      <c r="N166" s="52"/>
      <c r="O166" s="52"/>
    </row>
    <row r="167">
      <c r="M167" s="52"/>
      <c r="N167" s="52"/>
      <c r="O167" s="52"/>
    </row>
    <row r="168">
      <c r="M168" s="52"/>
      <c r="N168" s="52"/>
      <c r="O168" s="52"/>
    </row>
    <row r="169">
      <c r="M169" s="52"/>
      <c r="N169" s="52"/>
      <c r="O169" s="52"/>
    </row>
    <row r="170">
      <c r="M170" s="52"/>
      <c r="N170" s="52"/>
      <c r="O170" s="52"/>
    </row>
    <row r="171">
      <c r="M171" s="52"/>
      <c r="N171" s="52"/>
      <c r="O171" s="52"/>
    </row>
    <row r="172">
      <c r="M172" s="52"/>
      <c r="N172" s="52"/>
      <c r="O172" s="52"/>
    </row>
    <row r="173">
      <c r="M173" s="52"/>
      <c r="N173" s="52"/>
      <c r="O173" s="52"/>
    </row>
    <row r="174">
      <c r="M174" s="52"/>
      <c r="N174" s="52"/>
      <c r="O174" s="52"/>
    </row>
    <row r="175">
      <c r="M175" s="52"/>
      <c r="N175" s="52"/>
      <c r="O175" s="52"/>
    </row>
    <row r="176">
      <c r="M176" s="52"/>
      <c r="N176" s="52"/>
      <c r="O176" s="52"/>
    </row>
    <row r="177">
      <c r="M177" s="52"/>
      <c r="N177" s="52"/>
      <c r="O177" s="52"/>
    </row>
    <row r="178">
      <c r="M178" s="52"/>
      <c r="N178" s="52"/>
      <c r="O178" s="52"/>
    </row>
    <row r="179">
      <c r="M179" s="52"/>
      <c r="N179" s="52"/>
      <c r="O179" s="52"/>
    </row>
    <row r="180">
      <c r="M180" s="52"/>
      <c r="N180" s="52"/>
      <c r="O180" s="52"/>
    </row>
    <row r="181">
      <c r="M181" s="52"/>
      <c r="N181" s="52"/>
      <c r="O181" s="52"/>
    </row>
    <row r="182">
      <c r="M182" s="52"/>
      <c r="N182" s="52"/>
      <c r="O182" s="52"/>
    </row>
    <row r="183">
      <c r="M183" s="52"/>
      <c r="N183" s="52"/>
      <c r="O183" s="52"/>
    </row>
    <row r="184">
      <c r="M184" s="52"/>
      <c r="N184" s="52"/>
      <c r="O184" s="52"/>
    </row>
    <row r="185">
      <c r="M185" s="52"/>
      <c r="N185" s="52"/>
      <c r="O185" s="52"/>
    </row>
    <row r="186">
      <c r="M186" s="52"/>
      <c r="N186" s="52"/>
      <c r="O186" s="52"/>
    </row>
    <row r="187">
      <c r="M187" s="52"/>
      <c r="N187" s="52"/>
      <c r="O187" s="52"/>
    </row>
    <row r="188">
      <c r="M188" s="52"/>
      <c r="N188" s="52"/>
      <c r="O188" s="52"/>
    </row>
    <row r="189">
      <c r="M189" s="52"/>
      <c r="N189" s="52"/>
      <c r="O189" s="52"/>
    </row>
    <row r="190">
      <c r="M190" s="52"/>
      <c r="N190" s="52"/>
      <c r="O190" s="52"/>
    </row>
    <row r="191">
      <c r="M191" s="52"/>
      <c r="N191" s="52"/>
      <c r="O191" s="52"/>
    </row>
    <row r="192">
      <c r="M192" s="52"/>
      <c r="N192" s="52"/>
      <c r="O192" s="52"/>
    </row>
    <row r="193">
      <c r="M193" s="52"/>
      <c r="N193" s="52"/>
      <c r="O193" s="52"/>
    </row>
    <row r="194">
      <c r="M194" s="52"/>
      <c r="N194" s="52"/>
      <c r="O194" s="52"/>
    </row>
    <row r="195">
      <c r="M195" s="52"/>
      <c r="N195" s="52"/>
      <c r="O195" s="52"/>
    </row>
    <row r="196">
      <c r="M196" s="52"/>
      <c r="N196" s="52"/>
      <c r="O196" s="52"/>
    </row>
    <row r="197">
      <c r="M197" s="52"/>
      <c r="N197" s="52"/>
      <c r="O197" s="52"/>
    </row>
    <row r="198">
      <c r="M198" s="52"/>
      <c r="N198" s="52"/>
      <c r="O198" s="52"/>
    </row>
    <row r="199">
      <c r="M199" s="52"/>
      <c r="N199" s="52"/>
      <c r="O199" s="52"/>
    </row>
    <row r="200">
      <c r="M200" s="52"/>
      <c r="N200" s="52"/>
      <c r="O200" s="52"/>
    </row>
    <row r="201">
      <c r="M201" s="52"/>
      <c r="N201" s="52"/>
      <c r="O201" s="52"/>
    </row>
    <row r="202">
      <c r="M202" s="52"/>
      <c r="N202" s="52"/>
      <c r="O202" s="52"/>
    </row>
    <row r="203">
      <c r="M203" s="52"/>
      <c r="N203" s="52"/>
      <c r="O203" s="52"/>
    </row>
    <row r="204">
      <c r="M204" s="52"/>
      <c r="N204" s="52"/>
      <c r="O204" s="52"/>
    </row>
    <row r="205">
      <c r="M205" s="52"/>
      <c r="N205" s="52"/>
      <c r="O205" s="52"/>
    </row>
    <row r="206">
      <c r="M206" s="52"/>
      <c r="N206" s="52"/>
      <c r="O206" s="52"/>
    </row>
    <row r="207">
      <c r="M207" s="52"/>
      <c r="N207" s="52"/>
      <c r="O207" s="52"/>
    </row>
    <row r="208">
      <c r="M208" s="52"/>
      <c r="N208" s="52"/>
      <c r="O208" s="52"/>
    </row>
    <row r="209">
      <c r="M209" s="52"/>
      <c r="N209" s="52"/>
      <c r="O209" s="52"/>
    </row>
    <row r="210">
      <c r="M210" s="52"/>
      <c r="N210" s="52"/>
      <c r="O210" s="52"/>
    </row>
    <row r="211">
      <c r="M211" s="52"/>
      <c r="N211" s="52"/>
      <c r="O211" s="52"/>
    </row>
    <row r="212">
      <c r="M212" s="52"/>
      <c r="N212" s="52"/>
      <c r="O212" s="52"/>
    </row>
    <row r="213">
      <c r="M213" s="52"/>
      <c r="N213" s="52"/>
      <c r="O213" s="52"/>
    </row>
    <row r="214">
      <c r="M214" s="52"/>
      <c r="N214" s="52"/>
      <c r="O214" s="52"/>
    </row>
    <row r="215">
      <c r="M215" s="52"/>
      <c r="N215" s="52"/>
      <c r="O215" s="52"/>
    </row>
    <row r="216">
      <c r="M216" s="52"/>
      <c r="N216" s="52"/>
      <c r="O216" s="52"/>
    </row>
    <row r="217">
      <c r="M217" s="52"/>
      <c r="N217" s="52"/>
      <c r="O217" s="52"/>
    </row>
    <row r="218">
      <c r="M218" s="52"/>
      <c r="N218" s="52"/>
      <c r="O218" s="52"/>
    </row>
    <row r="219">
      <c r="M219" s="52"/>
      <c r="N219" s="52"/>
      <c r="O219" s="52"/>
    </row>
    <row r="220">
      <c r="M220" s="52"/>
      <c r="N220" s="52"/>
      <c r="O220" s="52"/>
    </row>
    <row r="221">
      <c r="M221" s="52"/>
      <c r="N221" s="52"/>
      <c r="O221" s="52"/>
    </row>
    <row r="222">
      <c r="M222" s="52"/>
      <c r="N222" s="52"/>
      <c r="O222" s="52"/>
    </row>
    <row r="223">
      <c r="M223" s="52"/>
      <c r="N223" s="52"/>
      <c r="O223" s="52"/>
    </row>
    <row r="224">
      <c r="M224" s="52"/>
      <c r="N224" s="52"/>
      <c r="O224" s="52"/>
    </row>
    <row r="225">
      <c r="M225" s="52"/>
      <c r="N225" s="52"/>
      <c r="O225" s="52"/>
    </row>
    <row r="226">
      <c r="M226" s="52"/>
      <c r="N226" s="52"/>
      <c r="O226" s="52"/>
    </row>
    <row r="227">
      <c r="M227" s="52"/>
      <c r="N227" s="52"/>
      <c r="O227" s="52"/>
    </row>
    <row r="228">
      <c r="M228" s="52"/>
      <c r="N228" s="52"/>
      <c r="O228" s="52"/>
    </row>
    <row r="229">
      <c r="M229" s="52"/>
      <c r="N229" s="52"/>
      <c r="O229" s="52"/>
    </row>
    <row r="230">
      <c r="M230" s="52"/>
      <c r="N230" s="52"/>
      <c r="O230" s="52"/>
    </row>
    <row r="231">
      <c r="M231" s="52"/>
      <c r="N231" s="52"/>
      <c r="O231" s="52"/>
    </row>
    <row r="232">
      <c r="M232" s="52"/>
      <c r="N232" s="52"/>
      <c r="O232" s="52"/>
    </row>
    <row r="233">
      <c r="M233" s="52"/>
      <c r="N233" s="52"/>
      <c r="O233" s="52"/>
    </row>
    <row r="234">
      <c r="M234" s="52"/>
      <c r="N234" s="52"/>
      <c r="O234" s="52"/>
    </row>
    <row r="235">
      <c r="M235" s="52"/>
      <c r="N235" s="52"/>
      <c r="O235" s="52"/>
    </row>
    <row r="236">
      <c r="M236" s="52"/>
      <c r="N236" s="52"/>
      <c r="O236" s="52"/>
    </row>
    <row r="237">
      <c r="M237" s="52"/>
      <c r="N237" s="52"/>
      <c r="O237" s="52"/>
    </row>
    <row r="238">
      <c r="M238" s="52"/>
      <c r="N238" s="52"/>
      <c r="O238" s="52"/>
    </row>
    <row r="239">
      <c r="M239" s="52"/>
      <c r="N239" s="52"/>
      <c r="O239" s="52"/>
    </row>
    <row r="240">
      <c r="M240" s="52"/>
      <c r="N240" s="52"/>
      <c r="O240" s="52"/>
    </row>
    <row r="241">
      <c r="M241" s="52"/>
      <c r="N241" s="52"/>
      <c r="O241" s="52"/>
    </row>
    <row r="242">
      <c r="M242" s="52"/>
      <c r="N242" s="52"/>
      <c r="O242" s="52"/>
    </row>
    <row r="243">
      <c r="M243" s="52"/>
      <c r="N243" s="52"/>
      <c r="O243" s="52"/>
    </row>
    <row r="244">
      <c r="M244" s="52"/>
      <c r="N244" s="52"/>
      <c r="O244" s="52"/>
    </row>
    <row r="245">
      <c r="M245" s="52"/>
      <c r="N245" s="52"/>
      <c r="O245" s="52"/>
    </row>
    <row r="246">
      <c r="M246" s="52"/>
      <c r="N246" s="52"/>
      <c r="O246" s="52"/>
    </row>
    <row r="247">
      <c r="M247" s="52"/>
      <c r="N247" s="52"/>
      <c r="O247" s="52"/>
    </row>
    <row r="248">
      <c r="M248" s="52"/>
      <c r="N248" s="52"/>
      <c r="O248" s="52"/>
    </row>
    <row r="249">
      <c r="M249" s="52"/>
      <c r="N249" s="52"/>
      <c r="O249" s="52"/>
    </row>
    <row r="250">
      <c r="M250" s="52"/>
      <c r="N250" s="52"/>
      <c r="O250" s="52"/>
    </row>
    <row r="251">
      <c r="M251" s="52"/>
      <c r="N251" s="52"/>
      <c r="O251" s="52"/>
    </row>
    <row r="252">
      <c r="M252" s="52"/>
      <c r="N252" s="52"/>
      <c r="O252" s="52"/>
    </row>
    <row r="253">
      <c r="M253" s="52"/>
      <c r="N253" s="52"/>
      <c r="O253" s="52"/>
    </row>
    <row r="254">
      <c r="M254" s="52"/>
      <c r="N254" s="52"/>
      <c r="O254" s="52"/>
    </row>
    <row r="255">
      <c r="M255" s="52"/>
      <c r="N255" s="52"/>
      <c r="O255" s="52"/>
    </row>
    <row r="256">
      <c r="M256" s="52"/>
      <c r="N256" s="52"/>
      <c r="O256" s="52"/>
    </row>
    <row r="257">
      <c r="M257" s="52"/>
      <c r="N257" s="52"/>
      <c r="O257" s="52"/>
    </row>
    <row r="258">
      <c r="M258" s="52"/>
      <c r="N258" s="52"/>
      <c r="O258" s="52"/>
    </row>
    <row r="259">
      <c r="M259" s="52"/>
      <c r="N259" s="52"/>
      <c r="O259" s="52"/>
    </row>
    <row r="260">
      <c r="M260" s="52"/>
      <c r="N260" s="52"/>
      <c r="O260" s="52"/>
    </row>
    <row r="261">
      <c r="M261" s="52"/>
      <c r="N261" s="52"/>
      <c r="O261" s="52"/>
    </row>
    <row r="262">
      <c r="M262" s="52"/>
      <c r="N262" s="52"/>
      <c r="O262" s="52"/>
    </row>
    <row r="263">
      <c r="M263" s="52"/>
      <c r="N263" s="52"/>
      <c r="O263" s="52"/>
    </row>
    <row r="264">
      <c r="M264" s="52"/>
      <c r="N264" s="52"/>
      <c r="O264" s="52"/>
    </row>
    <row r="265">
      <c r="M265" s="52"/>
      <c r="N265" s="52"/>
      <c r="O265" s="52"/>
    </row>
    <row r="266">
      <c r="M266" s="52"/>
      <c r="N266" s="52"/>
      <c r="O266" s="52"/>
    </row>
    <row r="267">
      <c r="M267" s="52"/>
      <c r="N267" s="52"/>
      <c r="O267" s="52"/>
    </row>
    <row r="268">
      <c r="M268" s="52"/>
      <c r="N268" s="52"/>
      <c r="O268" s="52"/>
    </row>
    <row r="269">
      <c r="M269" s="52"/>
      <c r="N269" s="52"/>
      <c r="O269" s="52"/>
    </row>
    <row r="270">
      <c r="M270" s="52"/>
      <c r="N270" s="52"/>
      <c r="O270" s="52"/>
    </row>
    <row r="271">
      <c r="M271" s="52"/>
      <c r="N271" s="52"/>
      <c r="O271" s="52"/>
    </row>
    <row r="272">
      <c r="M272" s="52"/>
      <c r="N272" s="52"/>
      <c r="O272" s="52"/>
    </row>
    <row r="273">
      <c r="M273" s="52"/>
      <c r="N273" s="52"/>
      <c r="O273" s="52"/>
    </row>
    <row r="274">
      <c r="M274" s="52"/>
      <c r="N274" s="52"/>
      <c r="O274" s="52"/>
    </row>
    <row r="275">
      <c r="M275" s="52"/>
      <c r="N275" s="52"/>
      <c r="O275" s="52"/>
    </row>
    <row r="276">
      <c r="M276" s="52"/>
      <c r="N276" s="52"/>
      <c r="O276" s="52"/>
    </row>
    <row r="277">
      <c r="M277" s="52"/>
      <c r="N277" s="52"/>
      <c r="O277" s="52"/>
    </row>
    <row r="278">
      <c r="M278" s="52"/>
      <c r="N278" s="52"/>
      <c r="O278" s="52"/>
    </row>
    <row r="279">
      <c r="M279" s="52"/>
      <c r="N279" s="52"/>
      <c r="O279" s="52"/>
    </row>
    <row r="280">
      <c r="M280" s="52"/>
      <c r="N280" s="52"/>
      <c r="O280" s="52"/>
    </row>
    <row r="281">
      <c r="M281" s="52"/>
      <c r="N281" s="52"/>
      <c r="O281" s="52"/>
    </row>
    <row r="282">
      <c r="M282" s="52"/>
      <c r="N282" s="52"/>
      <c r="O282" s="52"/>
    </row>
    <row r="283">
      <c r="M283" s="52"/>
      <c r="N283" s="52"/>
      <c r="O283" s="52"/>
    </row>
    <row r="284">
      <c r="M284" s="52"/>
      <c r="N284" s="52"/>
      <c r="O284" s="52"/>
    </row>
    <row r="285">
      <c r="M285" s="52"/>
      <c r="N285" s="52"/>
      <c r="O285" s="52"/>
    </row>
    <row r="286">
      <c r="M286" s="52"/>
      <c r="N286" s="52"/>
      <c r="O286" s="52"/>
    </row>
    <row r="287">
      <c r="M287" s="52"/>
      <c r="N287" s="52"/>
      <c r="O287" s="52"/>
    </row>
    <row r="288">
      <c r="M288" s="52"/>
      <c r="N288" s="52"/>
      <c r="O288" s="52"/>
    </row>
    <row r="289">
      <c r="M289" s="52"/>
      <c r="N289" s="52"/>
      <c r="O289" s="52"/>
    </row>
    <row r="290">
      <c r="M290" s="52"/>
      <c r="N290" s="52"/>
      <c r="O290" s="52"/>
    </row>
    <row r="291">
      <c r="M291" s="52"/>
      <c r="N291" s="52"/>
      <c r="O291" s="52"/>
    </row>
    <row r="292">
      <c r="M292" s="52"/>
      <c r="N292" s="52"/>
      <c r="O292" s="52"/>
    </row>
    <row r="293">
      <c r="M293" s="52"/>
      <c r="N293" s="52"/>
      <c r="O293" s="52"/>
    </row>
    <row r="294">
      <c r="M294" s="52"/>
      <c r="N294" s="52"/>
      <c r="O294" s="52"/>
    </row>
    <row r="295">
      <c r="M295" s="52"/>
      <c r="N295" s="52"/>
      <c r="O295" s="52"/>
    </row>
    <row r="296">
      <c r="M296" s="52"/>
      <c r="N296" s="52"/>
      <c r="O296" s="52"/>
    </row>
    <row r="297">
      <c r="M297" s="52"/>
      <c r="N297" s="52"/>
      <c r="O297" s="52"/>
    </row>
    <row r="298">
      <c r="M298" s="52"/>
      <c r="N298" s="52"/>
      <c r="O298" s="52"/>
    </row>
    <row r="299">
      <c r="M299" s="52"/>
      <c r="N299" s="52"/>
      <c r="O299" s="52"/>
    </row>
    <row r="300">
      <c r="M300" s="52"/>
      <c r="N300" s="52"/>
      <c r="O300" s="52"/>
    </row>
    <row r="301">
      <c r="M301" s="52"/>
      <c r="N301" s="52"/>
      <c r="O301" s="52"/>
    </row>
    <row r="302">
      <c r="M302" s="52"/>
      <c r="N302" s="52"/>
      <c r="O302" s="52"/>
    </row>
    <row r="303">
      <c r="M303" s="52"/>
      <c r="N303" s="52"/>
      <c r="O303" s="52"/>
    </row>
    <row r="304">
      <c r="M304" s="52"/>
      <c r="N304" s="52"/>
      <c r="O304" s="52"/>
    </row>
    <row r="305">
      <c r="M305" s="52"/>
      <c r="N305" s="52"/>
      <c r="O305" s="52"/>
    </row>
    <row r="306">
      <c r="M306" s="52"/>
      <c r="N306" s="52"/>
      <c r="O306" s="52"/>
    </row>
    <row r="307">
      <c r="M307" s="52"/>
      <c r="N307" s="52"/>
      <c r="O307" s="52"/>
    </row>
    <row r="308">
      <c r="M308" s="52"/>
      <c r="N308" s="52"/>
      <c r="O308" s="52"/>
    </row>
    <row r="309">
      <c r="M309" s="52"/>
      <c r="N309" s="52"/>
      <c r="O309" s="52"/>
    </row>
    <row r="310">
      <c r="M310" s="52"/>
      <c r="N310" s="52"/>
      <c r="O310" s="52"/>
    </row>
    <row r="311">
      <c r="M311" s="52"/>
      <c r="N311" s="52"/>
      <c r="O311" s="52"/>
    </row>
    <row r="312">
      <c r="M312" s="52"/>
      <c r="N312" s="52"/>
      <c r="O312" s="52"/>
    </row>
    <row r="313">
      <c r="M313" s="52"/>
      <c r="N313" s="52"/>
      <c r="O313" s="52"/>
    </row>
    <row r="314">
      <c r="M314" s="52"/>
      <c r="N314" s="52"/>
      <c r="O314" s="52"/>
    </row>
    <row r="315">
      <c r="M315" s="52"/>
      <c r="N315" s="52"/>
      <c r="O315" s="52"/>
    </row>
    <row r="316">
      <c r="M316" s="52"/>
      <c r="N316" s="52"/>
      <c r="O316" s="52"/>
    </row>
    <row r="317">
      <c r="M317" s="52"/>
      <c r="N317" s="52"/>
      <c r="O317" s="52"/>
    </row>
    <row r="318">
      <c r="M318" s="52"/>
      <c r="N318" s="52"/>
      <c r="O318" s="52"/>
    </row>
    <row r="319">
      <c r="M319" s="52"/>
      <c r="N319" s="52"/>
      <c r="O319" s="52"/>
    </row>
    <row r="320">
      <c r="M320" s="52"/>
      <c r="N320" s="52"/>
      <c r="O320" s="52"/>
    </row>
    <row r="321">
      <c r="M321" s="52"/>
      <c r="N321" s="52"/>
      <c r="O321" s="52"/>
    </row>
    <row r="322">
      <c r="M322" s="52"/>
      <c r="N322" s="52"/>
      <c r="O322" s="52"/>
    </row>
    <row r="323">
      <c r="M323" s="52"/>
      <c r="N323" s="52"/>
      <c r="O323" s="52"/>
    </row>
    <row r="324">
      <c r="M324" s="52"/>
      <c r="N324" s="52"/>
      <c r="O324" s="52"/>
    </row>
    <row r="325">
      <c r="M325" s="52"/>
      <c r="N325" s="52"/>
      <c r="O325" s="52"/>
    </row>
    <row r="326">
      <c r="M326" s="52"/>
      <c r="N326" s="52"/>
      <c r="O326" s="52"/>
    </row>
    <row r="327">
      <c r="M327" s="52"/>
      <c r="N327" s="52"/>
      <c r="O327" s="52"/>
    </row>
    <row r="328">
      <c r="M328" s="52"/>
      <c r="N328" s="52"/>
      <c r="O328" s="52"/>
    </row>
    <row r="329">
      <c r="M329" s="52"/>
      <c r="N329" s="52"/>
      <c r="O329" s="52"/>
    </row>
    <row r="330">
      <c r="M330" s="52"/>
      <c r="N330" s="52"/>
      <c r="O330" s="52"/>
    </row>
    <row r="331">
      <c r="M331" s="52"/>
      <c r="N331" s="52"/>
      <c r="O331" s="52"/>
    </row>
    <row r="332">
      <c r="M332" s="52"/>
      <c r="N332" s="52"/>
      <c r="O332" s="52"/>
    </row>
    <row r="333">
      <c r="M333" s="52"/>
      <c r="N333" s="52"/>
      <c r="O333" s="52"/>
    </row>
    <row r="334">
      <c r="M334" s="52"/>
      <c r="N334" s="52"/>
      <c r="O334" s="52"/>
    </row>
    <row r="335">
      <c r="M335" s="52"/>
      <c r="N335" s="52"/>
      <c r="O335" s="52"/>
    </row>
    <row r="336">
      <c r="M336" s="52"/>
      <c r="N336" s="52"/>
      <c r="O336" s="52"/>
    </row>
    <row r="337">
      <c r="M337" s="52"/>
      <c r="N337" s="52"/>
      <c r="O337" s="52"/>
    </row>
    <row r="338">
      <c r="M338" s="52"/>
      <c r="N338" s="52"/>
      <c r="O338" s="52"/>
    </row>
    <row r="339">
      <c r="M339" s="52"/>
      <c r="N339" s="52"/>
      <c r="O339" s="52"/>
    </row>
    <row r="340">
      <c r="M340" s="52"/>
      <c r="N340" s="52"/>
      <c r="O340" s="52"/>
    </row>
    <row r="341">
      <c r="M341" s="52"/>
      <c r="N341" s="52"/>
      <c r="O341" s="52"/>
    </row>
    <row r="342">
      <c r="M342" s="52"/>
      <c r="N342" s="52"/>
      <c r="O342" s="52"/>
    </row>
    <row r="343">
      <c r="M343" s="52"/>
      <c r="N343" s="52"/>
      <c r="O343" s="52"/>
    </row>
    <row r="344">
      <c r="M344" s="52"/>
      <c r="N344" s="52"/>
      <c r="O344" s="52"/>
    </row>
    <row r="345">
      <c r="M345" s="52"/>
      <c r="N345" s="52"/>
      <c r="O345" s="52"/>
    </row>
    <row r="346">
      <c r="M346" s="52"/>
      <c r="N346" s="52"/>
      <c r="O346" s="52"/>
    </row>
    <row r="347">
      <c r="M347" s="52"/>
      <c r="N347" s="52"/>
      <c r="O347" s="52"/>
    </row>
    <row r="348">
      <c r="M348" s="52"/>
      <c r="N348" s="52"/>
      <c r="O348" s="52"/>
    </row>
    <row r="349">
      <c r="M349" s="52"/>
      <c r="N349" s="52"/>
      <c r="O349" s="52"/>
    </row>
    <row r="350">
      <c r="M350" s="52"/>
      <c r="N350" s="52"/>
      <c r="O350" s="52"/>
    </row>
    <row r="351">
      <c r="M351" s="52"/>
      <c r="N351" s="52"/>
      <c r="O351" s="52"/>
    </row>
    <row r="352">
      <c r="M352" s="52"/>
      <c r="N352" s="52"/>
      <c r="O352" s="52"/>
    </row>
    <row r="353">
      <c r="M353" s="52"/>
      <c r="N353" s="52"/>
      <c r="O353" s="52"/>
    </row>
    <row r="354">
      <c r="M354" s="52"/>
      <c r="N354" s="52"/>
      <c r="O354" s="52"/>
    </row>
    <row r="355">
      <c r="M355" s="52"/>
      <c r="N355" s="52"/>
      <c r="O355" s="52"/>
    </row>
    <row r="356">
      <c r="M356" s="52"/>
      <c r="N356" s="52"/>
      <c r="O356" s="52"/>
    </row>
    <row r="357">
      <c r="M357" s="52"/>
      <c r="N357" s="52"/>
      <c r="O357" s="52"/>
    </row>
    <row r="358">
      <c r="M358" s="52"/>
      <c r="N358" s="52"/>
      <c r="O358" s="52"/>
    </row>
    <row r="359">
      <c r="M359" s="52"/>
      <c r="N359" s="52"/>
      <c r="O359" s="52"/>
    </row>
    <row r="360">
      <c r="M360" s="52"/>
      <c r="N360" s="52"/>
      <c r="O360" s="52"/>
    </row>
    <row r="361">
      <c r="M361" s="52"/>
      <c r="N361" s="52"/>
      <c r="O361" s="52"/>
    </row>
    <row r="362">
      <c r="M362" s="52"/>
      <c r="N362" s="52"/>
      <c r="O362" s="52"/>
    </row>
    <row r="363">
      <c r="M363" s="52"/>
      <c r="N363" s="52"/>
      <c r="O363" s="52"/>
    </row>
    <row r="364">
      <c r="M364" s="52"/>
      <c r="N364" s="52"/>
      <c r="O364" s="52"/>
    </row>
    <row r="365">
      <c r="M365" s="52"/>
      <c r="N365" s="52"/>
      <c r="O365" s="52"/>
    </row>
    <row r="366">
      <c r="M366" s="52"/>
      <c r="N366" s="52"/>
      <c r="O366" s="52"/>
    </row>
    <row r="367">
      <c r="M367" s="52"/>
      <c r="N367" s="52"/>
      <c r="O367" s="52"/>
    </row>
    <row r="368">
      <c r="M368" s="52"/>
      <c r="N368" s="52"/>
      <c r="O368" s="52"/>
    </row>
    <row r="369">
      <c r="M369" s="52"/>
      <c r="N369" s="52"/>
      <c r="O369" s="52"/>
    </row>
    <row r="370">
      <c r="M370" s="52"/>
      <c r="N370" s="52"/>
      <c r="O370" s="52"/>
    </row>
    <row r="371">
      <c r="M371" s="52"/>
      <c r="N371" s="52"/>
      <c r="O371" s="52"/>
    </row>
    <row r="372">
      <c r="M372" s="52"/>
      <c r="N372" s="52"/>
      <c r="O372" s="52"/>
    </row>
    <row r="373">
      <c r="M373" s="52"/>
      <c r="N373" s="52"/>
      <c r="O373" s="52"/>
    </row>
    <row r="374">
      <c r="M374" s="52"/>
      <c r="N374" s="52"/>
      <c r="O374" s="52"/>
    </row>
    <row r="375">
      <c r="M375" s="52"/>
      <c r="N375" s="52"/>
      <c r="O375" s="52"/>
    </row>
    <row r="376">
      <c r="M376" s="52"/>
      <c r="N376" s="52"/>
      <c r="O376" s="52"/>
    </row>
    <row r="377">
      <c r="M377" s="52"/>
      <c r="N377" s="52"/>
      <c r="O377" s="52"/>
    </row>
    <row r="378">
      <c r="M378" s="52"/>
      <c r="N378" s="52"/>
      <c r="O378" s="52"/>
    </row>
    <row r="379">
      <c r="M379" s="52"/>
      <c r="N379" s="52"/>
      <c r="O379" s="52"/>
    </row>
    <row r="380">
      <c r="M380" s="52"/>
      <c r="N380" s="52"/>
      <c r="O380" s="52"/>
    </row>
    <row r="381">
      <c r="M381" s="52"/>
      <c r="N381" s="52"/>
      <c r="O381" s="52"/>
    </row>
    <row r="382">
      <c r="M382" s="52"/>
      <c r="N382" s="52"/>
      <c r="O382" s="52"/>
    </row>
    <row r="383">
      <c r="M383" s="52"/>
      <c r="N383" s="52"/>
      <c r="O383" s="52"/>
    </row>
    <row r="384">
      <c r="M384" s="52"/>
      <c r="N384" s="52"/>
      <c r="O384" s="52"/>
    </row>
    <row r="385">
      <c r="M385" s="52"/>
      <c r="N385" s="52"/>
      <c r="O385" s="52"/>
    </row>
    <row r="386">
      <c r="M386" s="52"/>
      <c r="N386" s="52"/>
      <c r="O386" s="52"/>
    </row>
    <row r="387">
      <c r="M387" s="52"/>
      <c r="N387" s="52"/>
      <c r="O387" s="52"/>
    </row>
    <row r="388">
      <c r="M388" s="52"/>
      <c r="N388" s="52"/>
      <c r="O388" s="52"/>
    </row>
    <row r="389">
      <c r="M389" s="52"/>
      <c r="N389" s="52"/>
      <c r="O389" s="52"/>
    </row>
    <row r="390">
      <c r="M390" s="52"/>
      <c r="N390" s="52"/>
      <c r="O390" s="52"/>
    </row>
    <row r="391">
      <c r="M391" s="52"/>
      <c r="N391" s="52"/>
      <c r="O391" s="52"/>
    </row>
    <row r="392">
      <c r="M392" s="52"/>
      <c r="N392" s="52"/>
      <c r="O392" s="52"/>
    </row>
    <row r="393">
      <c r="M393" s="52"/>
      <c r="N393" s="52"/>
      <c r="O393" s="52"/>
    </row>
    <row r="394">
      <c r="M394" s="52"/>
      <c r="N394" s="52"/>
      <c r="O394" s="52"/>
    </row>
    <row r="395">
      <c r="M395" s="52"/>
      <c r="N395" s="52"/>
      <c r="O395" s="52"/>
    </row>
    <row r="396">
      <c r="M396" s="52"/>
      <c r="N396" s="52"/>
      <c r="O396" s="52"/>
    </row>
    <row r="397">
      <c r="M397" s="52"/>
      <c r="N397" s="52"/>
      <c r="O397" s="52"/>
    </row>
    <row r="398">
      <c r="M398" s="52"/>
      <c r="N398" s="52"/>
      <c r="O398" s="52"/>
    </row>
    <row r="399">
      <c r="M399" s="52"/>
      <c r="N399" s="52"/>
      <c r="O399" s="52"/>
    </row>
    <row r="400">
      <c r="M400" s="52"/>
      <c r="N400" s="52"/>
      <c r="O400" s="52"/>
    </row>
    <row r="401">
      <c r="M401" s="52"/>
      <c r="N401" s="52"/>
      <c r="O401" s="52"/>
    </row>
    <row r="402">
      <c r="M402" s="52"/>
      <c r="N402" s="52"/>
      <c r="O402" s="52"/>
    </row>
    <row r="403">
      <c r="M403" s="52"/>
      <c r="N403" s="52"/>
      <c r="O403" s="52"/>
    </row>
    <row r="404">
      <c r="M404" s="52"/>
      <c r="N404" s="52"/>
      <c r="O404" s="52"/>
    </row>
    <row r="405">
      <c r="M405" s="52"/>
      <c r="N405" s="52"/>
      <c r="O405" s="52"/>
    </row>
    <row r="406">
      <c r="M406" s="52"/>
      <c r="N406" s="52"/>
      <c r="O406" s="52"/>
    </row>
    <row r="407">
      <c r="M407" s="52"/>
      <c r="N407" s="52"/>
      <c r="O407" s="52"/>
    </row>
    <row r="408">
      <c r="M408" s="52"/>
      <c r="N408" s="52"/>
      <c r="O408" s="52"/>
    </row>
    <row r="409">
      <c r="M409" s="52"/>
      <c r="N409" s="52"/>
      <c r="O409" s="52"/>
    </row>
    <row r="410">
      <c r="M410" s="52"/>
      <c r="N410" s="52"/>
      <c r="O410" s="52"/>
    </row>
    <row r="411">
      <c r="M411" s="52"/>
      <c r="N411" s="52"/>
      <c r="O411" s="52"/>
    </row>
    <row r="412">
      <c r="M412" s="52"/>
      <c r="N412" s="52"/>
      <c r="O412" s="52"/>
    </row>
    <row r="413">
      <c r="M413" s="52"/>
      <c r="N413" s="52"/>
      <c r="O413" s="52"/>
    </row>
    <row r="414">
      <c r="M414" s="52"/>
      <c r="N414" s="52"/>
      <c r="O414" s="52"/>
    </row>
    <row r="415">
      <c r="M415" s="52"/>
      <c r="N415" s="52"/>
      <c r="O415" s="52"/>
    </row>
    <row r="416">
      <c r="M416" s="52"/>
      <c r="N416" s="52"/>
      <c r="O416" s="52"/>
    </row>
    <row r="417">
      <c r="M417" s="52"/>
      <c r="N417" s="52"/>
      <c r="O417" s="52"/>
    </row>
    <row r="418">
      <c r="M418" s="52"/>
      <c r="N418" s="52"/>
      <c r="O418" s="52"/>
    </row>
    <row r="419">
      <c r="M419" s="52"/>
      <c r="N419" s="52"/>
      <c r="O419" s="52"/>
    </row>
    <row r="420">
      <c r="M420" s="52"/>
      <c r="N420" s="52"/>
      <c r="O420" s="52"/>
    </row>
    <row r="421">
      <c r="M421" s="52"/>
      <c r="N421" s="52"/>
      <c r="O421" s="52"/>
    </row>
    <row r="422">
      <c r="M422" s="52"/>
      <c r="N422" s="52"/>
      <c r="O422" s="52"/>
    </row>
    <row r="423">
      <c r="M423" s="52"/>
      <c r="N423" s="52"/>
      <c r="O423" s="52"/>
    </row>
    <row r="424">
      <c r="M424" s="52"/>
      <c r="N424" s="52"/>
      <c r="O424" s="52"/>
    </row>
    <row r="425">
      <c r="M425" s="52"/>
      <c r="N425" s="52"/>
      <c r="O425" s="52"/>
    </row>
    <row r="426">
      <c r="M426" s="52"/>
      <c r="N426" s="52"/>
      <c r="O426" s="52"/>
    </row>
    <row r="427">
      <c r="M427" s="52"/>
      <c r="N427" s="52"/>
      <c r="O427" s="52"/>
    </row>
    <row r="428">
      <c r="M428" s="52"/>
      <c r="N428" s="52"/>
      <c r="O428" s="52"/>
    </row>
    <row r="429">
      <c r="M429" s="52"/>
      <c r="N429" s="52"/>
      <c r="O429" s="52"/>
    </row>
    <row r="430">
      <c r="M430" s="52"/>
      <c r="N430" s="52"/>
      <c r="O430" s="52"/>
    </row>
    <row r="431">
      <c r="M431" s="52"/>
      <c r="N431" s="52"/>
      <c r="O431" s="52"/>
    </row>
    <row r="432">
      <c r="M432" s="52"/>
      <c r="N432" s="52"/>
      <c r="O432" s="52"/>
    </row>
    <row r="433">
      <c r="M433" s="52"/>
      <c r="N433" s="52"/>
      <c r="O433" s="52"/>
    </row>
    <row r="434">
      <c r="M434" s="52"/>
      <c r="N434" s="52"/>
      <c r="O434" s="52"/>
    </row>
    <row r="435">
      <c r="M435" s="52"/>
      <c r="N435" s="52"/>
      <c r="O435" s="52"/>
    </row>
    <row r="436">
      <c r="M436" s="52"/>
      <c r="N436" s="52"/>
      <c r="O436" s="52"/>
    </row>
    <row r="437">
      <c r="M437" s="52"/>
      <c r="N437" s="52"/>
      <c r="O437" s="52"/>
    </row>
    <row r="438">
      <c r="M438" s="52"/>
      <c r="N438" s="52"/>
      <c r="O438" s="52"/>
    </row>
    <row r="439">
      <c r="M439" s="52"/>
      <c r="N439" s="52"/>
      <c r="O439" s="52"/>
    </row>
    <row r="440">
      <c r="M440" s="52"/>
      <c r="N440" s="52"/>
      <c r="O440" s="52"/>
    </row>
    <row r="441">
      <c r="M441" s="52"/>
      <c r="N441" s="52"/>
      <c r="O441" s="52"/>
    </row>
    <row r="442">
      <c r="M442" s="52"/>
      <c r="N442" s="52"/>
      <c r="O442" s="52"/>
    </row>
    <row r="443">
      <c r="M443" s="52"/>
      <c r="N443" s="52"/>
      <c r="O443" s="52"/>
    </row>
    <row r="444">
      <c r="M444" s="52"/>
      <c r="N444" s="52"/>
      <c r="O444" s="52"/>
    </row>
    <row r="445">
      <c r="M445" s="52"/>
      <c r="N445" s="52"/>
      <c r="O445" s="52"/>
    </row>
    <row r="446">
      <c r="M446" s="52"/>
      <c r="N446" s="52"/>
      <c r="O446" s="52"/>
    </row>
    <row r="447">
      <c r="M447" s="52"/>
      <c r="N447" s="52"/>
      <c r="O447" s="52"/>
    </row>
    <row r="448">
      <c r="M448" s="52"/>
      <c r="N448" s="52"/>
      <c r="O448" s="52"/>
    </row>
    <row r="449">
      <c r="M449" s="52"/>
      <c r="N449" s="52"/>
      <c r="O449" s="52"/>
    </row>
    <row r="450">
      <c r="M450" s="52"/>
      <c r="N450" s="52"/>
      <c r="O450" s="52"/>
    </row>
    <row r="451">
      <c r="M451" s="52"/>
      <c r="N451" s="52"/>
      <c r="O451" s="52"/>
    </row>
    <row r="452">
      <c r="M452" s="52"/>
      <c r="N452" s="52"/>
      <c r="O452" s="52"/>
    </row>
    <row r="453">
      <c r="M453" s="52"/>
      <c r="N453" s="52"/>
      <c r="O453" s="52"/>
    </row>
    <row r="454">
      <c r="M454" s="52"/>
      <c r="N454" s="52"/>
      <c r="O454" s="52"/>
    </row>
    <row r="455">
      <c r="M455" s="52"/>
      <c r="N455" s="52"/>
      <c r="O455" s="52"/>
    </row>
    <row r="456">
      <c r="M456" s="52"/>
      <c r="N456" s="52"/>
      <c r="O456" s="52"/>
    </row>
    <row r="457">
      <c r="M457" s="52"/>
      <c r="N457" s="52"/>
      <c r="O457" s="52"/>
    </row>
    <row r="458">
      <c r="M458" s="52"/>
      <c r="N458" s="52"/>
      <c r="O458" s="52"/>
    </row>
    <row r="459">
      <c r="M459" s="52"/>
      <c r="N459" s="52"/>
      <c r="O459" s="52"/>
    </row>
    <row r="460">
      <c r="M460" s="52"/>
      <c r="N460" s="52"/>
      <c r="O460" s="52"/>
    </row>
    <row r="461">
      <c r="M461" s="52"/>
      <c r="N461" s="52"/>
      <c r="O461" s="52"/>
    </row>
    <row r="462">
      <c r="M462" s="52"/>
      <c r="N462" s="52"/>
      <c r="O462" s="52"/>
    </row>
    <row r="463">
      <c r="M463" s="52"/>
      <c r="N463" s="52"/>
      <c r="O463" s="52"/>
    </row>
    <row r="464">
      <c r="M464" s="52"/>
      <c r="N464" s="52"/>
      <c r="O464" s="52"/>
    </row>
    <row r="465">
      <c r="M465" s="52"/>
      <c r="N465" s="52"/>
      <c r="O465" s="52"/>
    </row>
    <row r="466">
      <c r="M466" s="52"/>
      <c r="N466" s="52"/>
      <c r="O466" s="52"/>
    </row>
    <row r="467">
      <c r="M467" s="52"/>
      <c r="N467" s="52"/>
      <c r="O467" s="52"/>
    </row>
    <row r="468">
      <c r="M468" s="52"/>
      <c r="N468" s="52"/>
      <c r="O468" s="52"/>
    </row>
    <row r="469">
      <c r="M469" s="52"/>
      <c r="N469" s="52"/>
      <c r="O469" s="52"/>
    </row>
    <row r="470">
      <c r="M470" s="52"/>
      <c r="N470" s="52"/>
      <c r="O470" s="52"/>
    </row>
    <row r="471">
      <c r="M471" s="52"/>
      <c r="N471" s="52"/>
      <c r="O471" s="52"/>
    </row>
    <row r="472">
      <c r="M472" s="52"/>
      <c r="N472" s="52"/>
      <c r="O472" s="52"/>
    </row>
    <row r="473">
      <c r="M473" s="52"/>
      <c r="N473" s="52"/>
      <c r="O473" s="52"/>
    </row>
    <row r="474">
      <c r="M474" s="52"/>
      <c r="N474" s="52"/>
      <c r="O474" s="52"/>
    </row>
    <row r="475">
      <c r="M475" s="52"/>
      <c r="N475" s="52"/>
      <c r="O475" s="52"/>
    </row>
    <row r="476">
      <c r="M476" s="52"/>
      <c r="N476" s="52"/>
      <c r="O476" s="52"/>
    </row>
    <row r="477">
      <c r="M477" s="52"/>
      <c r="N477" s="52"/>
      <c r="O477" s="52"/>
    </row>
    <row r="478">
      <c r="M478" s="52"/>
      <c r="N478" s="52"/>
      <c r="O478" s="52"/>
    </row>
    <row r="479">
      <c r="M479" s="52"/>
      <c r="N479" s="52"/>
      <c r="O479" s="52"/>
    </row>
    <row r="480">
      <c r="M480" s="52"/>
      <c r="N480" s="52"/>
      <c r="O480" s="52"/>
    </row>
    <row r="481">
      <c r="M481" s="52"/>
      <c r="N481" s="52"/>
      <c r="O481" s="52"/>
    </row>
    <row r="482">
      <c r="M482" s="52"/>
      <c r="N482" s="52"/>
      <c r="O482" s="52"/>
    </row>
    <row r="483">
      <c r="M483" s="52"/>
      <c r="N483" s="52"/>
      <c r="O483" s="52"/>
    </row>
    <row r="484">
      <c r="M484" s="52"/>
      <c r="N484" s="52"/>
      <c r="O484" s="52"/>
    </row>
    <row r="485">
      <c r="M485" s="52"/>
      <c r="N485" s="52"/>
      <c r="O485" s="52"/>
    </row>
    <row r="486">
      <c r="M486" s="52"/>
      <c r="N486" s="52"/>
      <c r="O486" s="52"/>
    </row>
    <row r="487">
      <c r="M487" s="52"/>
      <c r="N487" s="52"/>
      <c r="O487" s="52"/>
    </row>
    <row r="488">
      <c r="M488" s="52"/>
      <c r="N488" s="52"/>
      <c r="O488" s="52"/>
    </row>
    <row r="489">
      <c r="M489" s="52"/>
      <c r="N489" s="52"/>
      <c r="O489" s="52"/>
    </row>
    <row r="490">
      <c r="M490" s="52"/>
      <c r="N490" s="52"/>
      <c r="O490" s="52"/>
    </row>
    <row r="491">
      <c r="M491" s="52"/>
      <c r="N491" s="52"/>
      <c r="O491" s="52"/>
    </row>
    <row r="492">
      <c r="M492" s="52"/>
      <c r="N492" s="52"/>
      <c r="O492" s="52"/>
    </row>
    <row r="493">
      <c r="M493" s="52"/>
      <c r="N493" s="52"/>
      <c r="O493" s="52"/>
    </row>
    <row r="494">
      <c r="M494" s="52"/>
      <c r="N494" s="52"/>
      <c r="O494" s="52"/>
    </row>
    <row r="495">
      <c r="M495" s="52"/>
      <c r="N495" s="52"/>
      <c r="O495" s="52"/>
    </row>
    <row r="496">
      <c r="M496" s="52"/>
      <c r="N496" s="52"/>
      <c r="O496" s="52"/>
    </row>
    <row r="497">
      <c r="M497" s="52"/>
      <c r="N497" s="52"/>
      <c r="O497" s="52"/>
    </row>
    <row r="498">
      <c r="M498" s="52"/>
      <c r="N498" s="52"/>
      <c r="O498" s="52"/>
    </row>
    <row r="499">
      <c r="M499" s="52"/>
      <c r="N499" s="52"/>
      <c r="O499" s="52"/>
    </row>
    <row r="500">
      <c r="M500" s="52"/>
      <c r="N500" s="52"/>
      <c r="O500" s="52"/>
    </row>
    <row r="501">
      <c r="M501" s="52"/>
      <c r="N501" s="52"/>
      <c r="O501" s="52"/>
    </row>
    <row r="502">
      <c r="M502" s="52"/>
      <c r="N502" s="52"/>
      <c r="O502" s="52"/>
    </row>
    <row r="503">
      <c r="M503" s="52"/>
      <c r="N503" s="52"/>
      <c r="O503" s="52"/>
    </row>
    <row r="504">
      <c r="M504" s="52"/>
      <c r="N504" s="52"/>
      <c r="O504" s="52"/>
    </row>
    <row r="505">
      <c r="M505" s="52"/>
      <c r="N505" s="52"/>
      <c r="O505" s="52"/>
    </row>
    <row r="506">
      <c r="M506" s="52"/>
      <c r="N506" s="52"/>
      <c r="O506" s="52"/>
    </row>
    <row r="507">
      <c r="M507" s="52"/>
      <c r="N507" s="52"/>
      <c r="O507" s="52"/>
    </row>
    <row r="508">
      <c r="M508" s="52"/>
      <c r="N508" s="52"/>
      <c r="O508" s="52"/>
    </row>
    <row r="509">
      <c r="M509" s="52"/>
      <c r="N509" s="52"/>
      <c r="O509" s="52"/>
    </row>
    <row r="510">
      <c r="M510" s="52"/>
      <c r="N510" s="52"/>
      <c r="O510" s="52"/>
    </row>
    <row r="511">
      <c r="M511" s="52"/>
      <c r="N511" s="52"/>
      <c r="O511" s="52"/>
    </row>
    <row r="512">
      <c r="M512" s="52"/>
      <c r="N512" s="52"/>
      <c r="O512" s="52"/>
    </row>
    <row r="513">
      <c r="M513" s="52"/>
      <c r="N513" s="52"/>
      <c r="O513" s="52"/>
    </row>
    <row r="514">
      <c r="M514" s="52"/>
      <c r="N514" s="52"/>
      <c r="O514" s="52"/>
    </row>
    <row r="515">
      <c r="M515" s="52"/>
      <c r="N515" s="52"/>
      <c r="O515" s="52"/>
    </row>
    <row r="516">
      <c r="M516" s="52"/>
      <c r="N516" s="52"/>
      <c r="O516" s="52"/>
    </row>
    <row r="517">
      <c r="M517" s="52"/>
      <c r="N517" s="52"/>
      <c r="O517" s="52"/>
    </row>
    <row r="518">
      <c r="M518" s="52"/>
      <c r="N518" s="52"/>
      <c r="O518" s="52"/>
    </row>
    <row r="519">
      <c r="M519" s="52"/>
      <c r="N519" s="52"/>
      <c r="O519" s="52"/>
    </row>
    <row r="520">
      <c r="M520" s="52"/>
      <c r="N520" s="52"/>
      <c r="O520" s="52"/>
    </row>
    <row r="521">
      <c r="M521" s="52"/>
      <c r="N521" s="52"/>
      <c r="O521" s="52"/>
    </row>
    <row r="522">
      <c r="M522" s="52"/>
      <c r="N522" s="52"/>
      <c r="O522" s="52"/>
    </row>
    <row r="523">
      <c r="M523" s="52"/>
      <c r="N523" s="52"/>
      <c r="O523" s="52"/>
    </row>
    <row r="524">
      <c r="M524" s="52"/>
      <c r="N524" s="52"/>
      <c r="O524" s="52"/>
    </row>
    <row r="525">
      <c r="M525" s="52"/>
      <c r="N525" s="52"/>
      <c r="O525" s="52"/>
    </row>
    <row r="526">
      <c r="M526" s="52"/>
      <c r="N526" s="52"/>
      <c r="O526" s="52"/>
    </row>
    <row r="527">
      <c r="M527" s="52"/>
      <c r="N527" s="52"/>
      <c r="O527" s="52"/>
    </row>
    <row r="528">
      <c r="M528" s="52"/>
      <c r="N528" s="52"/>
      <c r="O528" s="52"/>
    </row>
    <row r="529">
      <c r="M529" s="52"/>
      <c r="N529" s="52"/>
      <c r="O529" s="52"/>
    </row>
    <row r="530">
      <c r="M530" s="52"/>
      <c r="N530" s="52"/>
      <c r="O530" s="52"/>
    </row>
    <row r="531">
      <c r="M531" s="52"/>
      <c r="N531" s="52"/>
      <c r="O531" s="52"/>
    </row>
    <row r="532">
      <c r="M532" s="52"/>
      <c r="N532" s="52"/>
      <c r="O532" s="52"/>
    </row>
    <row r="533">
      <c r="M533" s="52"/>
      <c r="N533" s="52"/>
      <c r="O533" s="52"/>
    </row>
    <row r="534">
      <c r="M534" s="52"/>
      <c r="N534" s="52"/>
      <c r="O534" s="52"/>
    </row>
    <row r="535">
      <c r="M535" s="52"/>
      <c r="N535" s="52"/>
      <c r="O535" s="52"/>
    </row>
    <row r="536">
      <c r="M536" s="52"/>
      <c r="N536" s="52"/>
      <c r="O536" s="52"/>
    </row>
    <row r="537">
      <c r="M537" s="52"/>
      <c r="N537" s="52"/>
      <c r="O537" s="52"/>
    </row>
    <row r="538">
      <c r="M538" s="52"/>
      <c r="N538" s="52"/>
      <c r="O538" s="52"/>
    </row>
    <row r="539">
      <c r="M539" s="52"/>
      <c r="N539" s="52"/>
      <c r="O539" s="52"/>
    </row>
    <row r="540">
      <c r="M540" s="52"/>
      <c r="N540" s="52"/>
      <c r="O540" s="52"/>
    </row>
    <row r="541">
      <c r="M541" s="52"/>
      <c r="N541" s="52"/>
      <c r="O541" s="52"/>
    </row>
    <row r="542">
      <c r="M542" s="52"/>
      <c r="N542" s="52"/>
      <c r="O542" s="52"/>
    </row>
    <row r="543">
      <c r="M543" s="52"/>
      <c r="N543" s="52"/>
      <c r="O543" s="52"/>
    </row>
    <row r="544">
      <c r="M544" s="52"/>
      <c r="N544" s="52"/>
      <c r="O544" s="52"/>
    </row>
    <row r="545">
      <c r="M545" s="52"/>
      <c r="N545" s="52"/>
      <c r="O545" s="52"/>
    </row>
    <row r="546">
      <c r="M546" s="52"/>
      <c r="N546" s="52"/>
      <c r="O546" s="52"/>
    </row>
    <row r="547">
      <c r="M547" s="52"/>
      <c r="N547" s="52"/>
      <c r="O547" s="52"/>
    </row>
    <row r="548">
      <c r="M548" s="52"/>
      <c r="N548" s="52"/>
      <c r="O548" s="52"/>
    </row>
    <row r="549">
      <c r="M549" s="52"/>
      <c r="N549" s="52"/>
      <c r="O549" s="52"/>
    </row>
    <row r="550">
      <c r="M550" s="52"/>
      <c r="N550" s="52"/>
      <c r="O550" s="52"/>
    </row>
    <row r="551">
      <c r="M551" s="52"/>
      <c r="N551" s="52"/>
      <c r="O551" s="52"/>
    </row>
    <row r="552">
      <c r="M552" s="52"/>
      <c r="N552" s="52"/>
      <c r="O552" s="52"/>
    </row>
    <row r="553">
      <c r="M553" s="52"/>
      <c r="N553" s="52"/>
      <c r="O553" s="52"/>
    </row>
    <row r="554">
      <c r="M554" s="52"/>
      <c r="N554" s="52"/>
      <c r="O554" s="52"/>
    </row>
    <row r="555">
      <c r="M555" s="52"/>
      <c r="N555" s="52"/>
      <c r="O555" s="52"/>
    </row>
    <row r="556">
      <c r="M556" s="52"/>
      <c r="N556" s="52"/>
      <c r="O556" s="52"/>
    </row>
    <row r="557">
      <c r="M557" s="52"/>
      <c r="N557" s="52"/>
      <c r="O557" s="52"/>
    </row>
    <row r="558">
      <c r="M558" s="52"/>
      <c r="N558" s="52"/>
      <c r="O558" s="52"/>
    </row>
    <row r="559">
      <c r="M559" s="52"/>
      <c r="N559" s="52"/>
      <c r="O559" s="52"/>
    </row>
    <row r="560">
      <c r="M560" s="52"/>
      <c r="N560" s="52"/>
      <c r="O560" s="52"/>
    </row>
    <row r="561">
      <c r="M561" s="52"/>
      <c r="N561" s="52"/>
      <c r="O561" s="52"/>
    </row>
    <row r="562">
      <c r="M562" s="52"/>
      <c r="N562" s="52"/>
      <c r="O562" s="52"/>
    </row>
    <row r="563">
      <c r="M563" s="52"/>
      <c r="N563" s="52"/>
      <c r="O563" s="52"/>
    </row>
    <row r="564">
      <c r="M564" s="52"/>
      <c r="N564" s="52"/>
      <c r="O564" s="52"/>
    </row>
    <row r="565">
      <c r="M565" s="52"/>
      <c r="N565" s="52"/>
      <c r="O565" s="52"/>
    </row>
    <row r="566">
      <c r="M566" s="52"/>
      <c r="N566" s="52"/>
      <c r="O566" s="52"/>
    </row>
    <row r="567">
      <c r="M567" s="52"/>
      <c r="N567" s="52"/>
      <c r="O567" s="52"/>
    </row>
    <row r="568">
      <c r="M568" s="52"/>
      <c r="N568" s="52"/>
      <c r="O568" s="52"/>
    </row>
    <row r="569">
      <c r="M569" s="52"/>
      <c r="N569" s="52"/>
      <c r="O569" s="52"/>
    </row>
    <row r="570">
      <c r="M570" s="52"/>
      <c r="N570" s="52"/>
      <c r="O570" s="52"/>
    </row>
    <row r="571">
      <c r="M571" s="52"/>
      <c r="N571" s="52"/>
      <c r="O571" s="52"/>
    </row>
    <row r="572">
      <c r="M572" s="52"/>
      <c r="N572" s="52"/>
      <c r="O572" s="52"/>
    </row>
    <row r="573">
      <c r="M573" s="52"/>
      <c r="N573" s="52"/>
      <c r="O573" s="52"/>
    </row>
    <row r="574">
      <c r="M574" s="52"/>
      <c r="N574" s="52"/>
      <c r="O574" s="52"/>
    </row>
    <row r="575">
      <c r="M575" s="52"/>
      <c r="N575" s="52"/>
      <c r="O575" s="52"/>
    </row>
    <row r="576">
      <c r="M576" s="52"/>
      <c r="N576" s="52"/>
      <c r="O576" s="52"/>
    </row>
    <row r="577">
      <c r="M577" s="52"/>
      <c r="N577" s="52"/>
      <c r="O577" s="52"/>
    </row>
    <row r="578">
      <c r="M578" s="52"/>
      <c r="N578" s="52"/>
      <c r="O578" s="52"/>
    </row>
    <row r="579">
      <c r="M579" s="52"/>
      <c r="N579" s="52"/>
      <c r="O579" s="52"/>
    </row>
    <row r="580">
      <c r="M580" s="52"/>
      <c r="N580" s="52"/>
      <c r="O580" s="52"/>
    </row>
    <row r="581">
      <c r="M581" s="52"/>
      <c r="N581" s="52"/>
      <c r="O581" s="52"/>
    </row>
    <row r="582">
      <c r="M582" s="52"/>
      <c r="N582" s="52"/>
      <c r="O582" s="52"/>
    </row>
    <row r="583">
      <c r="M583" s="52"/>
      <c r="N583" s="52"/>
      <c r="O583" s="52"/>
    </row>
    <row r="584">
      <c r="M584" s="52"/>
      <c r="N584" s="52"/>
      <c r="O584" s="52"/>
    </row>
    <row r="585">
      <c r="M585" s="52"/>
      <c r="N585" s="52"/>
      <c r="O585" s="52"/>
    </row>
    <row r="586">
      <c r="M586" s="52"/>
      <c r="N586" s="52"/>
      <c r="O586" s="52"/>
    </row>
    <row r="587">
      <c r="M587" s="52"/>
      <c r="N587" s="52"/>
      <c r="O587" s="52"/>
    </row>
    <row r="588">
      <c r="M588" s="52"/>
      <c r="N588" s="52"/>
      <c r="O588" s="52"/>
    </row>
    <row r="589">
      <c r="M589" s="52"/>
      <c r="N589" s="52"/>
      <c r="O589" s="52"/>
    </row>
    <row r="590">
      <c r="M590" s="52"/>
      <c r="N590" s="52"/>
      <c r="O590" s="52"/>
    </row>
    <row r="591">
      <c r="M591" s="52"/>
      <c r="N591" s="52"/>
      <c r="O591" s="52"/>
    </row>
    <row r="592">
      <c r="M592" s="52"/>
      <c r="N592" s="52"/>
      <c r="O592" s="52"/>
    </row>
    <row r="593">
      <c r="M593" s="52"/>
      <c r="N593" s="52"/>
      <c r="O593" s="52"/>
    </row>
    <row r="594">
      <c r="M594" s="52"/>
      <c r="N594" s="52"/>
      <c r="O594" s="52"/>
    </row>
    <row r="595">
      <c r="M595" s="52"/>
      <c r="N595" s="52"/>
      <c r="O595" s="52"/>
    </row>
    <row r="596">
      <c r="M596" s="52"/>
      <c r="N596" s="52"/>
      <c r="O596" s="52"/>
    </row>
    <row r="597">
      <c r="M597" s="52"/>
      <c r="N597" s="52"/>
      <c r="O597" s="52"/>
    </row>
    <row r="598">
      <c r="M598" s="52"/>
      <c r="N598" s="52"/>
      <c r="O598" s="52"/>
    </row>
    <row r="599">
      <c r="M599" s="52"/>
      <c r="N599" s="52"/>
      <c r="O599" s="52"/>
    </row>
    <row r="600">
      <c r="M600" s="52"/>
      <c r="N600" s="52"/>
      <c r="O600" s="52"/>
    </row>
    <row r="601">
      <c r="M601" s="52"/>
      <c r="N601" s="52"/>
      <c r="O601" s="52"/>
    </row>
    <row r="602">
      <c r="M602" s="52"/>
      <c r="N602" s="52"/>
      <c r="O602" s="52"/>
    </row>
    <row r="603">
      <c r="M603" s="52"/>
      <c r="N603" s="52"/>
      <c r="O603" s="52"/>
    </row>
    <row r="604">
      <c r="M604" s="52"/>
      <c r="N604" s="52"/>
      <c r="O604" s="52"/>
    </row>
    <row r="605">
      <c r="M605" s="52"/>
      <c r="N605" s="52"/>
      <c r="O605" s="52"/>
    </row>
    <row r="606">
      <c r="M606" s="52"/>
      <c r="N606" s="52"/>
      <c r="O606" s="52"/>
    </row>
    <row r="607">
      <c r="M607" s="52"/>
      <c r="N607" s="52"/>
      <c r="O607" s="52"/>
    </row>
    <row r="608">
      <c r="M608" s="52"/>
      <c r="N608" s="52"/>
      <c r="O608" s="52"/>
    </row>
    <row r="609">
      <c r="M609" s="52"/>
      <c r="N609" s="52"/>
      <c r="O609" s="52"/>
    </row>
    <row r="610">
      <c r="M610" s="52"/>
      <c r="N610" s="52"/>
      <c r="O610" s="52"/>
    </row>
    <row r="611">
      <c r="M611" s="52"/>
      <c r="N611" s="52"/>
      <c r="O611" s="52"/>
    </row>
    <row r="612">
      <c r="M612" s="52"/>
      <c r="N612" s="52"/>
      <c r="O612" s="52"/>
    </row>
    <row r="613">
      <c r="M613" s="52"/>
      <c r="N613" s="52"/>
      <c r="O613" s="52"/>
    </row>
    <row r="614">
      <c r="M614" s="52"/>
      <c r="N614" s="52"/>
      <c r="O614" s="52"/>
    </row>
    <row r="615">
      <c r="M615" s="52"/>
      <c r="N615" s="52"/>
      <c r="O615" s="52"/>
    </row>
    <row r="616">
      <c r="M616" s="52"/>
      <c r="N616" s="52"/>
      <c r="O616" s="52"/>
    </row>
    <row r="617">
      <c r="M617" s="52"/>
      <c r="N617" s="52"/>
      <c r="O617" s="52"/>
    </row>
    <row r="618">
      <c r="M618" s="52"/>
      <c r="N618" s="52"/>
      <c r="O618" s="52"/>
    </row>
    <row r="619">
      <c r="M619" s="52"/>
      <c r="N619" s="52"/>
      <c r="O619" s="52"/>
    </row>
    <row r="620">
      <c r="M620" s="52"/>
      <c r="N620" s="52"/>
      <c r="O620" s="52"/>
    </row>
    <row r="621">
      <c r="M621" s="52"/>
      <c r="N621" s="52"/>
      <c r="O621" s="52"/>
    </row>
    <row r="622">
      <c r="M622" s="52"/>
      <c r="N622" s="52"/>
      <c r="O622" s="52"/>
    </row>
    <row r="623">
      <c r="M623" s="52"/>
      <c r="N623" s="52"/>
      <c r="O623" s="52"/>
    </row>
    <row r="624">
      <c r="M624" s="52"/>
      <c r="N624" s="52"/>
      <c r="O624" s="52"/>
    </row>
    <row r="625">
      <c r="M625" s="52"/>
      <c r="N625" s="52"/>
      <c r="O625" s="52"/>
    </row>
    <row r="626">
      <c r="M626" s="52"/>
      <c r="N626" s="52"/>
      <c r="O626" s="52"/>
    </row>
    <row r="627">
      <c r="M627" s="52"/>
      <c r="N627" s="52"/>
      <c r="O627" s="52"/>
    </row>
    <row r="628">
      <c r="M628" s="52"/>
      <c r="N628" s="52"/>
      <c r="O628" s="52"/>
    </row>
    <row r="629">
      <c r="M629" s="52"/>
      <c r="N629" s="52"/>
      <c r="O629" s="52"/>
    </row>
    <row r="630">
      <c r="M630" s="52"/>
      <c r="N630" s="52"/>
      <c r="O630" s="52"/>
    </row>
    <row r="631">
      <c r="M631" s="52"/>
      <c r="N631" s="52"/>
      <c r="O631" s="52"/>
    </row>
    <row r="632">
      <c r="M632" s="52"/>
      <c r="N632" s="52"/>
      <c r="O632" s="52"/>
    </row>
    <row r="633">
      <c r="M633" s="52"/>
      <c r="N633" s="52"/>
      <c r="O633" s="52"/>
    </row>
    <row r="634">
      <c r="M634" s="52"/>
      <c r="N634" s="52"/>
      <c r="O634" s="52"/>
    </row>
    <row r="635">
      <c r="M635" s="52"/>
      <c r="N635" s="52"/>
      <c r="O635" s="52"/>
    </row>
    <row r="636">
      <c r="M636" s="52"/>
      <c r="N636" s="52"/>
      <c r="O636" s="52"/>
    </row>
    <row r="637">
      <c r="M637" s="52"/>
      <c r="N637" s="52"/>
      <c r="O637" s="52"/>
    </row>
    <row r="638">
      <c r="M638" s="52"/>
      <c r="N638" s="52"/>
      <c r="O638" s="52"/>
    </row>
    <row r="639">
      <c r="M639" s="52"/>
      <c r="N639" s="52"/>
      <c r="O639" s="52"/>
    </row>
    <row r="640">
      <c r="M640" s="52"/>
      <c r="N640" s="52"/>
      <c r="O640" s="52"/>
    </row>
    <row r="641">
      <c r="M641" s="52"/>
      <c r="N641" s="52"/>
      <c r="O641" s="52"/>
    </row>
    <row r="642">
      <c r="M642" s="52"/>
      <c r="N642" s="52"/>
      <c r="O642" s="52"/>
    </row>
    <row r="643">
      <c r="M643" s="52"/>
      <c r="N643" s="52"/>
      <c r="O643" s="52"/>
    </row>
    <row r="644">
      <c r="M644" s="52"/>
      <c r="N644" s="52"/>
      <c r="O644" s="52"/>
    </row>
    <row r="645">
      <c r="M645" s="52"/>
      <c r="N645" s="52"/>
      <c r="O645" s="52"/>
    </row>
    <row r="646">
      <c r="M646" s="52"/>
      <c r="N646" s="52"/>
      <c r="O646" s="52"/>
    </row>
    <row r="647">
      <c r="M647" s="52"/>
      <c r="N647" s="52"/>
      <c r="O647" s="52"/>
    </row>
    <row r="648">
      <c r="M648" s="52"/>
      <c r="N648" s="52"/>
      <c r="O648" s="52"/>
    </row>
    <row r="649">
      <c r="M649" s="52"/>
      <c r="N649" s="52"/>
      <c r="O649" s="52"/>
    </row>
    <row r="650">
      <c r="M650" s="52"/>
      <c r="N650" s="52"/>
      <c r="O650" s="52"/>
    </row>
    <row r="651">
      <c r="M651" s="52"/>
      <c r="N651" s="52"/>
      <c r="O651" s="52"/>
    </row>
    <row r="652">
      <c r="M652" s="52"/>
      <c r="N652" s="52"/>
      <c r="O652" s="52"/>
    </row>
    <row r="653">
      <c r="M653" s="52"/>
      <c r="N653" s="52"/>
      <c r="O653" s="52"/>
    </row>
    <row r="654">
      <c r="M654" s="52"/>
      <c r="N654" s="52"/>
      <c r="O654" s="52"/>
    </row>
    <row r="655">
      <c r="M655" s="52"/>
      <c r="N655" s="52"/>
      <c r="O655" s="52"/>
    </row>
    <row r="656">
      <c r="M656" s="52"/>
      <c r="N656" s="52"/>
      <c r="O656" s="52"/>
    </row>
    <row r="657">
      <c r="M657" s="52"/>
      <c r="N657" s="52"/>
      <c r="O657" s="52"/>
    </row>
    <row r="658">
      <c r="M658" s="52"/>
      <c r="N658" s="52"/>
      <c r="O658" s="52"/>
    </row>
    <row r="659">
      <c r="M659" s="52"/>
      <c r="N659" s="52"/>
      <c r="O659" s="52"/>
    </row>
    <row r="660">
      <c r="M660" s="52"/>
      <c r="N660" s="52"/>
      <c r="O660" s="52"/>
    </row>
    <row r="661">
      <c r="M661" s="52"/>
      <c r="N661" s="52"/>
      <c r="O661" s="52"/>
    </row>
    <row r="662">
      <c r="M662" s="52"/>
      <c r="N662" s="52"/>
      <c r="O662" s="52"/>
    </row>
    <row r="663">
      <c r="M663" s="52"/>
      <c r="N663" s="52"/>
      <c r="O663" s="52"/>
    </row>
    <row r="664">
      <c r="M664" s="52"/>
      <c r="N664" s="52"/>
      <c r="O664" s="52"/>
    </row>
    <row r="665">
      <c r="M665" s="52"/>
      <c r="N665" s="52"/>
      <c r="O665" s="52"/>
    </row>
    <row r="666">
      <c r="M666" s="52"/>
      <c r="N666" s="52"/>
      <c r="O666" s="52"/>
    </row>
    <row r="667">
      <c r="M667" s="52"/>
      <c r="N667" s="52"/>
      <c r="O667" s="52"/>
    </row>
    <row r="668">
      <c r="M668" s="52"/>
      <c r="N668" s="52"/>
      <c r="O668" s="52"/>
    </row>
    <row r="669">
      <c r="M669" s="52"/>
      <c r="N669" s="52"/>
      <c r="O669" s="52"/>
    </row>
    <row r="670">
      <c r="M670" s="52"/>
      <c r="N670" s="52"/>
      <c r="O670" s="52"/>
    </row>
    <row r="671">
      <c r="M671" s="52"/>
      <c r="N671" s="52"/>
      <c r="O671" s="52"/>
    </row>
    <row r="672">
      <c r="M672" s="52"/>
      <c r="N672" s="52"/>
      <c r="O672" s="52"/>
    </row>
    <row r="673">
      <c r="M673" s="52"/>
      <c r="N673" s="52"/>
      <c r="O673" s="52"/>
    </row>
    <row r="674">
      <c r="M674" s="52"/>
      <c r="N674" s="52"/>
      <c r="O674" s="52"/>
    </row>
    <row r="675">
      <c r="M675" s="52"/>
      <c r="N675" s="52"/>
      <c r="O675" s="52"/>
    </row>
    <row r="676">
      <c r="M676" s="52"/>
      <c r="N676" s="52"/>
      <c r="O676" s="52"/>
    </row>
    <row r="677">
      <c r="M677" s="52"/>
      <c r="N677" s="52"/>
      <c r="O677" s="52"/>
    </row>
    <row r="678">
      <c r="M678" s="52"/>
      <c r="N678" s="52"/>
      <c r="O678" s="52"/>
    </row>
    <row r="679">
      <c r="M679" s="52"/>
      <c r="N679" s="52"/>
      <c r="O679" s="52"/>
    </row>
    <row r="680">
      <c r="M680" s="52"/>
      <c r="N680" s="52"/>
      <c r="O680" s="52"/>
    </row>
    <row r="681">
      <c r="M681" s="52"/>
      <c r="N681" s="52"/>
      <c r="O681" s="52"/>
    </row>
    <row r="682">
      <c r="M682" s="52"/>
      <c r="N682" s="52"/>
      <c r="O682" s="52"/>
    </row>
    <row r="683">
      <c r="M683" s="52"/>
      <c r="N683" s="52"/>
      <c r="O683" s="52"/>
    </row>
    <row r="684">
      <c r="M684" s="52"/>
      <c r="N684" s="52"/>
      <c r="O684" s="52"/>
    </row>
    <row r="685">
      <c r="M685" s="52"/>
      <c r="N685" s="52"/>
      <c r="O685" s="52"/>
    </row>
    <row r="686">
      <c r="M686" s="52"/>
      <c r="N686" s="52"/>
      <c r="O686" s="52"/>
    </row>
    <row r="687">
      <c r="M687" s="52"/>
      <c r="N687" s="52"/>
      <c r="O687" s="52"/>
    </row>
    <row r="688">
      <c r="M688" s="52"/>
      <c r="N688" s="52"/>
      <c r="O688" s="52"/>
    </row>
    <row r="689">
      <c r="M689" s="52"/>
      <c r="N689" s="52"/>
      <c r="O689" s="52"/>
    </row>
    <row r="690">
      <c r="M690" s="52"/>
      <c r="N690" s="52"/>
      <c r="O690" s="52"/>
    </row>
    <row r="691">
      <c r="M691" s="52"/>
      <c r="N691" s="52"/>
      <c r="O691" s="52"/>
    </row>
    <row r="692">
      <c r="M692" s="52"/>
      <c r="N692" s="52"/>
      <c r="O692" s="52"/>
    </row>
    <row r="693">
      <c r="M693" s="52"/>
      <c r="N693" s="52"/>
      <c r="O693" s="52"/>
    </row>
    <row r="694">
      <c r="M694" s="52"/>
      <c r="N694" s="52"/>
      <c r="O694" s="52"/>
    </row>
    <row r="695">
      <c r="M695" s="52"/>
      <c r="N695" s="52"/>
      <c r="O695" s="52"/>
    </row>
    <row r="696">
      <c r="M696" s="52"/>
      <c r="N696" s="52"/>
      <c r="O696" s="52"/>
    </row>
    <row r="697">
      <c r="M697" s="52"/>
      <c r="N697" s="52"/>
      <c r="O697" s="52"/>
    </row>
    <row r="698">
      <c r="M698" s="52"/>
      <c r="N698" s="52"/>
      <c r="O698" s="52"/>
    </row>
    <row r="699">
      <c r="M699" s="52"/>
      <c r="N699" s="52"/>
      <c r="O699" s="52"/>
    </row>
    <row r="700">
      <c r="M700" s="52"/>
      <c r="N700" s="52"/>
      <c r="O700" s="52"/>
    </row>
    <row r="701">
      <c r="M701" s="52"/>
      <c r="N701" s="52"/>
      <c r="O701" s="52"/>
    </row>
    <row r="702">
      <c r="M702" s="52"/>
      <c r="N702" s="52"/>
      <c r="O702" s="52"/>
    </row>
    <row r="703">
      <c r="M703" s="52"/>
      <c r="N703" s="52"/>
      <c r="O703" s="52"/>
    </row>
    <row r="704">
      <c r="M704" s="52"/>
      <c r="N704" s="52"/>
      <c r="O704" s="52"/>
    </row>
    <row r="705">
      <c r="M705" s="52"/>
      <c r="N705" s="52"/>
      <c r="O705" s="52"/>
    </row>
    <row r="706">
      <c r="M706" s="52"/>
      <c r="N706" s="52"/>
      <c r="O706" s="52"/>
    </row>
    <row r="707">
      <c r="M707" s="52"/>
      <c r="N707" s="52"/>
      <c r="O707" s="52"/>
    </row>
    <row r="708">
      <c r="M708" s="52"/>
      <c r="N708" s="52"/>
      <c r="O708" s="52"/>
    </row>
    <row r="709">
      <c r="M709" s="52"/>
      <c r="N709" s="52"/>
      <c r="O709" s="52"/>
    </row>
    <row r="710">
      <c r="M710" s="52"/>
      <c r="N710" s="52"/>
      <c r="O710" s="52"/>
    </row>
    <row r="711">
      <c r="M711" s="52"/>
      <c r="N711" s="52"/>
      <c r="O711" s="52"/>
    </row>
    <row r="712">
      <c r="M712" s="52"/>
      <c r="N712" s="52"/>
      <c r="O712" s="52"/>
    </row>
    <row r="713">
      <c r="M713" s="52"/>
      <c r="N713" s="52"/>
      <c r="O713" s="52"/>
    </row>
    <row r="714">
      <c r="M714" s="52"/>
      <c r="N714" s="52"/>
      <c r="O714" s="52"/>
    </row>
    <row r="715">
      <c r="M715" s="52"/>
      <c r="N715" s="52"/>
      <c r="O715" s="52"/>
    </row>
    <row r="716">
      <c r="M716" s="52"/>
      <c r="N716" s="52"/>
      <c r="O716" s="52"/>
    </row>
    <row r="717">
      <c r="M717" s="52"/>
      <c r="N717" s="52"/>
      <c r="O717" s="52"/>
    </row>
    <row r="718">
      <c r="M718" s="52"/>
      <c r="N718" s="52"/>
      <c r="O718" s="52"/>
    </row>
    <row r="719">
      <c r="M719" s="52"/>
      <c r="N719" s="52"/>
      <c r="O719" s="52"/>
    </row>
    <row r="720">
      <c r="M720" s="52"/>
      <c r="N720" s="52"/>
      <c r="O720" s="52"/>
    </row>
    <row r="721">
      <c r="M721" s="52"/>
      <c r="N721" s="52"/>
      <c r="O721" s="52"/>
    </row>
    <row r="722">
      <c r="M722" s="52"/>
      <c r="N722" s="52"/>
      <c r="O722" s="52"/>
    </row>
    <row r="723">
      <c r="M723" s="52"/>
      <c r="N723" s="52"/>
      <c r="O723" s="52"/>
    </row>
    <row r="724">
      <c r="M724" s="52"/>
      <c r="N724" s="52"/>
      <c r="O724" s="52"/>
    </row>
    <row r="725">
      <c r="M725" s="52"/>
      <c r="N725" s="52"/>
      <c r="O725" s="52"/>
    </row>
    <row r="726">
      <c r="M726" s="52"/>
      <c r="N726" s="52"/>
      <c r="O726" s="52"/>
    </row>
    <row r="727">
      <c r="M727" s="52"/>
      <c r="N727" s="52"/>
      <c r="O727" s="52"/>
    </row>
    <row r="728">
      <c r="M728" s="52"/>
      <c r="N728" s="52"/>
      <c r="O728" s="52"/>
    </row>
    <row r="729">
      <c r="M729" s="52"/>
      <c r="N729" s="52"/>
      <c r="O729" s="52"/>
    </row>
    <row r="730">
      <c r="M730" s="52"/>
      <c r="N730" s="52"/>
      <c r="O730" s="52"/>
    </row>
    <row r="731">
      <c r="M731" s="52"/>
      <c r="N731" s="52"/>
      <c r="O731" s="52"/>
    </row>
    <row r="732">
      <c r="M732" s="52"/>
      <c r="N732" s="52"/>
      <c r="O732" s="52"/>
    </row>
    <row r="733">
      <c r="M733" s="52"/>
      <c r="N733" s="52"/>
      <c r="O733" s="52"/>
    </row>
    <row r="734">
      <c r="M734" s="52"/>
      <c r="N734" s="52"/>
      <c r="O734" s="52"/>
    </row>
    <row r="735">
      <c r="M735" s="52"/>
      <c r="N735" s="52"/>
      <c r="O735" s="52"/>
    </row>
    <row r="736">
      <c r="M736" s="52"/>
      <c r="N736" s="52"/>
      <c r="O736" s="52"/>
    </row>
    <row r="737">
      <c r="M737" s="52"/>
      <c r="N737" s="52"/>
      <c r="O737" s="52"/>
    </row>
    <row r="738">
      <c r="M738" s="52"/>
      <c r="N738" s="52"/>
      <c r="O738" s="52"/>
    </row>
    <row r="739">
      <c r="M739" s="52"/>
      <c r="N739" s="52"/>
      <c r="O739" s="52"/>
    </row>
    <row r="740">
      <c r="M740" s="52"/>
      <c r="N740" s="52"/>
      <c r="O740" s="52"/>
    </row>
    <row r="741">
      <c r="M741" s="52"/>
      <c r="N741" s="52"/>
      <c r="O741" s="52"/>
    </row>
    <row r="742">
      <c r="M742" s="52"/>
      <c r="N742" s="52"/>
      <c r="O742" s="52"/>
    </row>
    <row r="743">
      <c r="M743" s="52"/>
      <c r="N743" s="52"/>
      <c r="O743" s="52"/>
    </row>
    <row r="744">
      <c r="M744" s="52"/>
      <c r="N744" s="52"/>
      <c r="O744" s="52"/>
    </row>
    <row r="745">
      <c r="M745" s="52"/>
      <c r="N745" s="52"/>
      <c r="O745" s="52"/>
    </row>
    <row r="746">
      <c r="M746" s="52"/>
      <c r="N746" s="52"/>
      <c r="O746" s="52"/>
    </row>
    <row r="747">
      <c r="M747" s="52"/>
      <c r="N747" s="52"/>
      <c r="O747" s="52"/>
    </row>
    <row r="748">
      <c r="M748" s="52"/>
      <c r="N748" s="52"/>
      <c r="O748" s="52"/>
    </row>
    <row r="749">
      <c r="M749" s="52"/>
      <c r="N749" s="52"/>
      <c r="O749" s="52"/>
    </row>
    <row r="750">
      <c r="M750" s="52"/>
      <c r="N750" s="52"/>
      <c r="O750" s="52"/>
    </row>
    <row r="751">
      <c r="M751" s="52"/>
      <c r="N751" s="52"/>
      <c r="O751" s="52"/>
    </row>
    <row r="752">
      <c r="M752" s="52"/>
      <c r="N752" s="52"/>
      <c r="O752" s="52"/>
    </row>
    <row r="753">
      <c r="M753" s="52"/>
      <c r="N753" s="52"/>
      <c r="O753" s="52"/>
    </row>
    <row r="754">
      <c r="M754" s="52"/>
      <c r="N754" s="52"/>
      <c r="O754" s="52"/>
    </row>
    <row r="755">
      <c r="M755" s="52"/>
      <c r="N755" s="52"/>
      <c r="O755" s="52"/>
    </row>
    <row r="756">
      <c r="M756" s="52"/>
      <c r="N756" s="52"/>
      <c r="O756" s="52"/>
    </row>
    <row r="757">
      <c r="M757" s="52"/>
      <c r="N757" s="52"/>
      <c r="O757" s="52"/>
    </row>
    <row r="758">
      <c r="M758" s="52"/>
      <c r="N758" s="52"/>
      <c r="O758" s="52"/>
    </row>
    <row r="759">
      <c r="M759" s="52"/>
      <c r="N759" s="52"/>
      <c r="O759" s="52"/>
    </row>
    <row r="760">
      <c r="M760" s="52"/>
      <c r="N760" s="52"/>
      <c r="O760" s="52"/>
    </row>
    <row r="761">
      <c r="M761" s="52"/>
      <c r="N761" s="52"/>
      <c r="O761" s="52"/>
    </row>
    <row r="762">
      <c r="M762" s="52"/>
      <c r="N762" s="52"/>
      <c r="O762" s="52"/>
    </row>
    <row r="763">
      <c r="M763" s="52"/>
      <c r="N763" s="52"/>
      <c r="O763" s="52"/>
    </row>
    <row r="764">
      <c r="M764" s="52"/>
      <c r="N764" s="52"/>
      <c r="O764" s="52"/>
    </row>
    <row r="765">
      <c r="M765" s="52"/>
      <c r="N765" s="52"/>
      <c r="O765" s="52"/>
    </row>
    <row r="766">
      <c r="M766" s="52"/>
      <c r="N766" s="52"/>
      <c r="O766" s="52"/>
    </row>
    <row r="767">
      <c r="M767" s="52"/>
      <c r="N767" s="52"/>
      <c r="O767" s="52"/>
    </row>
    <row r="768">
      <c r="M768" s="52"/>
      <c r="N768" s="52"/>
      <c r="O768" s="52"/>
    </row>
    <row r="769">
      <c r="M769" s="52"/>
      <c r="N769" s="52"/>
      <c r="O769" s="52"/>
    </row>
    <row r="770">
      <c r="M770" s="52"/>
      <c r="N770" s="52"/>
      <c r="O770" s="52"/>
    </row>
    <row r="771">
      <c r="M771" s="52"/>
      <c r="N771" s="52"/>
      <c r="O771" s="52"/>
    </row>
    <row r="772">
      <c r="M772" s="52"/>
      <c r="N772" s="52"/>
      <c r="O772" s="52"/>
    </row>
    <row r="773">
      <c r="M773" s="52"/>
      <c r="N773" s="52"/>
      <c r="O773" s="52"/>
    </row>
    <row r="774">
      <c r="M774" s="52"/>
      <c r="N774" s="52"/>
      <c r="O774" s="52"/>
    </row>
    <row r="775">
      <c r="M775" s="52"/>
      <c r="N775" s="52"/>
      <c r="O775" s="52"/>
    </row>
    <row r="776">
      <c r="M776" s="52"/>
      <c r="N776" s="52"/>
      <c r="O776" s="52"/>
    </row>
    <row r="777">
      <c r="M777" s="52"/>
      <c r="N777" s="52"/>
      <c r="O777" s="52"/>
    </row>
    <row r="778">
      <c r="M778" s="52"/>
      <c r="N778" s="52"/>
      <c r="O778" s="52"/>
    </row>
    <row r="779">
      <c r="M779" s="52"/>
      <c r="N779" s="52"/>
      <c r="O779" s="52"/>
    </row>
    <row r="780">
      <c r="M780" s="52"/>
      <c r="N780" s="52"/>
      <c r="O780" s="52"/>
    </row>
    <row r="781">
      <c r="M781" s="52"/>
      <c r="N781" s="52"/>
      <c r="O781" s="52"/>
    </row>
    <row r="782">
      <c r="M782" s="52"/>
      <c r="N782" s="52"/>
      <c r="O782" s="52"/>
    </row>
    <row r="783">
      <c r="M783" s="52"/>
      <c r="N783" s="52"/>
      <c r="O783" s="52"/>
    </row>
    <row r="784">
      <c r="M784" s="52"/>
      <c r="N784" s="52"/>
      <c r="O784" s="52"/>
    </row>
    <row r="785">
      <c r="M785" s="52"/>
      <c r="N785" s="52"/>
      <c r="O785" s="52"/>
    </row>
    <row r="786">
      <c r="M786" s="52"/>
      <c r="N786" s="52"/>
      <c r="O786" s="52"/>
    </row>
    <row r="787">
      <c r="M787" s="52"/>
      <c r="N787" s="52"/>
      <c r="O787" s="52"/>
    </row>
    <row r="788">
      <c r="M788" s="52"/>
      <c r="N788" s="52"/>
      <c r="O788" s="52"/>
    </row>
    <row r="789">
      <c r="M789" s="52"/>
      <c r="N789" s="52"/>
      <c r="O789" s="52"/>
    </row>
    <row r="790">
      <c r="M790" s="52"/>
      <c r="N790" s="52"/>
      <c r="O790" s="52"/>
    </row>
    <row r="791">
      <c r="M791" s="52"/>
      <c r="N791" s="52"/>
      <c r="O791" s="52"/>
    </row>
    <row r="792">
      <c r="M792" s="52"/>
      <c r="N792" s="52"/>
      <c r="O792" s="52"/>
    </row>
    <row r="793">
      <c r="M793" s="52"/>
      <c r="N793" s="52"/>
      <c r="O793" s="52"/>
    </row>
    <row r="794">
      <c r="M794" s="52"/>
      <c r="N794" s="52"/>
      <c r="O794" s="52"/>
    </row>
    <row r="795">
      <c r="M795" s="52"/>
      <c r="N795" s="52"/>
      <c r="O795" s="52"/>
    </row>
    <row r="796">
      <c r="M796" s="52"/>
      <c r="N796" s="52"/>
      <c r="O796" s="52"/>
    </row>
    <row r="797">
      <c r="M797" s="52"/>
      <c r="N797" s="52"/>
      <c r="O797" s="52"/>
    </row>
    <row r="798">
      <c r="M798" s="52"/>
      <c r="N798" s="52"/>
      <c r="O798" s="52"/>
    </row>
    <row r="799">
      <c r="M799" s="52"/>
      <c r="N799" s="52"/>
      <c r="O799" s="52"/>
    </row>
    <row r="800">
      <c r="M800" s="52"/>
      <c r="N800" s="52"/>
      <c r="O800" s="52"/>
    </row>
    <row r="801">
      <c r="M801" s="52"/>
      <c r="N801" s="52"/>
      <c r="O801" s="52"/>
    </row>
    <row r="802">
      <c r="M802" s="52"/>
      <c r="N802" s="52"/>
      <c r="O802" s="52"/>
    </row>
    <row r="803">
      <c r="M803" s="52"/>
      <c r="N803" s="52"/>
      <c r="O803" s="52"/>
    </row>
    <row r="804">
      <c r="M804" s="52"/>
      <c r="N804" s="52"/>
      <c r="O804" s="52"/>
    </row>
    <row r="805">
      <c r="M805" s="52"/>
      <c r="N805" s="52"/>
      <c r="O805" s="52"/>
    </row>
    <row r="806">
      <c r="M806" s="52"/>
      <c r="N806" s="52"/>
      <c r="O806" s="52"/>
    </row>
    <row r="807">
      <c r="M807" s="52"/>
      <c r="N807" s="52"/>
      <c r="O807" s="52"/>
    </row>
    <row r="808">
      <c r="M808" s="52"/>
      <c r="N808" s="52"/>
      <c r="O808" s="52"/>
    </row>
    <row r="809">
      <c r="M809" s="52"/>
      <c r="N809" s="52"/>
      <c r="O809" s="52"/>
    </row>
    <row r="810">
      <c r="M810" s="52"/>
      <c r="N810" s="52"/>
      <c r="O810" s="52"/>
    </row>
    <row r="811">
      <c r="M811" s="52"/>
      <c r="N811" s="52"/>
      <c r="O811" s="52"/>
    </row>
    <row r="812">
      <c r="M812" s="52"/>
      <c r="N812" s="52"/>
      <c r="O812" s="52"/>
    </row>
    <row r="813">
      <c r="M813" s="52"/>
      <c r="N813" s="52"/>
      <c r="O813" s="52"/>
    </row>
    <row r="814">
      <c r="M814" s="52"/>
      <c r="N814" s="52"/>
      <c r="O814" s="52"/>
    </row>
    <row r="815">
      <c r="M815" s="52"/>
      <c r="N815" s="52"/>
      <c r="O815" s="52"/>
    </row>
    <row r="816">
      <c r="M816" s="52"/>
      <c r="N816" s="52"/>
      <c r="O816" s="52"/>
    </row>
    <row r="817">
      <c r="M817" s="52"/>
      <c r="N817" s="52"/>
      <c r="O817" s="52"/>
    </row>
    <row r="818">
      <c r="M818" s="52"/>
      <c r="N818" s="52"/>
      <c r="O818" s="52"/>
    </row>
    <row r="819">
      <c r="M819" s="52"/>
      <c r="N819" s="52"/>
      <c r="O819" s="52"/>
    </row>
    <row r="820">
      <c r="M820" s="52"/>
      <c r="N820" s="52"/>
      <c r="O820" s="52"/>
    </row>
    <row r="821">
      <c r="M821" s="52"/>
      <c r="N821" s="52"/>
      <c r="O821" s="52"/>
    </row>
    <row r="822">
      <c r="M822" s="52"/>
      <c r="N822" s="52"/>
      <c r="O822" s="52"/>
    </row>
    <row r="823">
      <c r="M823" s="52"/>
      <c r="N823" s="52"/>
      <c r="O823" s="52"/>
    </row>
    <row r="824">
      <c r="M824" s="52"/>
      <c r="N824" s="52"/>
      <c r="O824" s="52"/>
    </row>
    <row r="825">
      <c r="M825" s="52"/>
      <c r="N825" s="52"/>
      <c r="O825" s="52"/>
    </row>
    <row r="826">
      <c r="M826" s="52"/>
      <c r="N826" s="52"/>
      <c r="O826" s="52"/>
    </row>
    <row r="827">
      <c r="M827" s="52"/>
      <c r="N827" s="52"/>
      <c r="O827" s="52"/>
    </row>
    <row r="828">
      <c r="M828" s="52"/>
      <c r="N828" s="52"/>
      <c r="O828" s="52"/>
    </row>
    <row r="829">
      <c r="M829" s="52"/>
      <c r="N829" s="52"/>
      <c r="O829" s="52"/>
    </row>
    <row r="830">
      <c r="M830" s="52"/>
      <c r="N830" s="52"/>
      <c r="O830" s="52"/>
    </row>
    <row r="831">
      <c r="M831" s="52"/>
      <c r="N831" s="52"/>
      <c r="O831" s="52"/>
    </row>
    <row r="832">
      <c r="M832" s="52"/>
      <c r="N832" s="52"/>
      <c r="O832" s="52"/>
    </row>
    <row r="833">
      <c r="M833" s="52"/>
      <c r="N833" s="52"/>
      <c r="O833" s="52"/>
    </row>
    <row r="834">
      <c r="M834" s="52"/>
      <c r="N834" s="52"/>
      <c r="O834" s="52"/>
    </row>
    <row r="835">
      <c r="M835" s="52"/>
      <c r="N835" s="52"/>
      <c r="O835" s="52"/>
    </row>
    <row r="836">
      <c r="M836" s="52"/>
      <c r="N836" s="52"/>
      <c r="O836" s="52"/>
    </row>
    <row r="837">
      <c r="M837" s="52"/>
      <c r="N837" s="52"/>
      <c r="O837" s="52"/>
    </row>
    <row r="838">
      <c r="M838" s="52"/>
      <c r="N838" s="52"/>
      <c r="O838" s="52"/>
    </row>
    <row r="839">
      <c r="M839" s="52"/>
      <c r="N839" s="52"/>
      <c r="O839" s="52"/>
    </row>
    <row r="840">
      <c r="M840" s="52"/>
      <c r="N840" s="52"/>
      <c r="O840" s="52"/>
    </row>
    <row r="841">
      <c r="M841" s="52"/>
      <c r="N841" s="52"/>
      <c r="O841" s="52"/>
    </row>
    <row r="842">
      <c r="M842" s="52"/>
      <c r="N842" s="52"/>
      <c r="O842" s="52"/>
    </row>
    <row r="843">
      <c r="M843" s="52"/>
      <c r="N843" s="52"/>
      <c r="O843" s="52"/>
    </row>
    <row r="844">
      <c r="M844" s="52"/>
      <c r="N844" s="52"/>
      <c r="O844" s="52"/>
    </row>
    <row r="845">
      <c r="M845" s="52"/>
      <c r="N845" s="52"/>
      <c r="O845" s="52"/>
    </row>
    <row r="846">
      <c r="M846" s="52"/>
      <c r="N846" s="52"/>
      <c r="O846" s="52"/>
    </row>
    <row r="847">
      <c r="M847" s="52"/>
      <c r="N847" s="52"/>
      <c r="O847" s="52"/>
    </row>
    <row r="848">
      <c r="M848" s="52"/>
      <c r="N848" s="52"/>
      <c r="O848" s="52"/>
    </row>
    <row r="849">
      <c r="M849" s="52"/>
      <c r="N849" s="52"/>
      <c r="O849" s="52"/>
    </row>
    <row r="850">
      <c r="M850" s="52"/>
      <c r="N850" s="52"/>
      <c r="O850" s="52"/>
    </row>
    <row r="851">
      <c r="M851" s="52"/>
      <c r="N851" s="52"/>
      <c r="O851" s="52"/>
    </row>
    <row r="852">
      <c r="M852" s="52"/>
      <c r="N852" s="52"/>
      <c r="O852" s="52"/>
    </row>
    <row r="853">
      <c r="M853" s="52"/>
      <c r="N853" s="52"/>
      <c r="O853" s="52"/>
    </row>
    <row r="854">
      <c r="M854" s="52"/>
      <c r="N854" s="52"/>
      <c r="O854" s="52"/>
    </row>
    <row r="855">
      <c r="M855" s="52"/>
      <c r="N855" s="52"/>
      <c r="O855" s="52"/>
    </row>
    <row r="856">
      <c r="M856" s="52"/>
      <c r="N856" s="52"/>
      <c r="O856" s="52"/>
    </row>
    <row r="857">
      <c r="M857" s="52"/>
      <c r="N857" s="52"/>
      <c r="O857" s="52"/>
    </row>
    <row r="858">
      <c r="M858" s="52"/>
      <c r="N858" s="52"/>
      <c r="O858" s="52"/>
    </row>
    <row r="859">
      <c r="M859" s="52"/>
      <c r="N859" s="52"/>
      <c r="O859" s="52"/>
    </row>
    <row r="860">
      <c r="M860" s="52"/>
      <c r="N860" s="52"/>
      <c r="O860" s="52"/>
    </row>
    <row r="861">
      <c r="M861" s="52"/>
      <c r="N861" s="52"/>
      <c r="O861" s="52"/>
    </row>
    <row r="862">
      <c r="M862" s="52"/>
      <c r="N862" s="52"/>
      <c r="O862" s="52"/>
    </row>
    <row r="863">
      <c r="M863" s="52"/>
      <c r="N863" s="52"/>
      <c r="O863" s="52"/>
    </row>
    <row r="864">
      <c r="M864" s="52"/>
      <c r="N864" s="52"/>
      <c r="O864" s="52"/>
    </row>
    <row r="865">
      <c r="M865" s="52"/>
      <c r="N865" s="52"/>
      <c r="O865" s="52"/>
    </row>
    <row r="866">
      <c r="M866" s="52"/>
      <c r="N866" s="52"/>
      <c r="O866" s="52"/>
    </row>
    <row r="867">
      <c r="M867" s="52"/>
      <c r="N867" s="52"/>
      <c r="O867" s="52"/>
    </row>
    <row r="868">
      <c r="M868" s="52"/>
      <c r="N868" s="52"/>
      <c r="O868" s="52"/>
    </row>
    <row r="869">
      <c r="M869" s="52"/>
      <c r="N869" s="52"/>
      <c r="O869" s="52"/>
    </row>
    <row r="870">
      <c r="M870" s="52"/>
      <c r="N870" s="52"/>
      <c r="O870" s="52"/>
    </row>
    <row r="871">
      <c r="M871" s="52"/>
      <c r="N871" s="52"/>
      <c r="O871" s="52"/>
    </row>
    <row r="872">
      <c r="M872" s="52"/>
      <c r="N872" s="52"/>
      <c r="O872" s="52"/>
    </row>
    <row r="873">
      <c r="M873" s="52"/>
      <c r="N873" s="52"/>
      <c r="O873" s="52"/>
    </row>
    <row r="874">
      <c r="M874" s="52"/>
      <c r="N874" s="52"/>
      <c r="O874" s="52"/>
    </row>
    <row r="875">
      <c r="M875" s="52"/>
      <c r="N875" s="52"/>
      <c r="O875" s="52"/>
    </row>
    <row r="876">
      <c r="M876" s="52"/>
      <c r="N876" s="52"/>
      <c r="O876" s="52"/>
    </row>
    <row r="877">
      <c r="M877" s="52"/>
      <c r="N877" s="52"/>
      <c r="O877" s="52"/>
    </row>
    <row r="878">
      <c r="M878" s="52"/>
      <c r="N878" s="52"/>
      <c r="O878" s="52"/>
    </row>
    <row r="879">
      <c r="M879" s="52"/>
      <c r="N879" s="52"/>
      <c r="O879" s="52"/>
    </row>
    <row r="880">
      <c r="M880" s="52"/>
      <c r="N880" s="52"/>
      <c r="O880" s="52"/>
    </row>
    <row r="881">
      <c r="M881" s="52"/>
      <c r="N881" s="52"/>
      <c r="O881" s="52"/>
    </row>
    <row r="882">
      <c r="M882" s="52"/>
      <c r="N882" s="52"/>
      <c r="O882" s="52"/>
    </row>
    <row r="883">
      <c r="M883" s="52"/>
      <c r="N883" s="52"/>
      <c r="O883" s="52"/>
    </row>
    <row r="884">
      <c r="M884" s="52"/>
      <c r="N884" s="52"/>
      <c r="O884" s="52"/>
    </row>
    <row r="885">
      <c r="M885" s="52"/>
      <c r="N885" s="52"/>
      <c r="O885" s="52"/>
    </row>
    <row r="886">
      <c r="M886" s="52"/>
      <c r="N886" s="52"/>
      <c r="O886" s="52"/>
    </row>
    <row r="887">
      <c r="M887" s="52"/>
      <c r="N887" s="52"/>
      <c r="O887" s="52"/>
    </row>
    <row r="888">
      <c r="M888" s="52"/>
      <c r="N888" s="52"/>
      <c r="O888" s="52"/>
    </row>
    <row r="889">
      <c r="M889" s="52"/>
      <c r="N889" s="52"/>
      <c r="O889" s="52"/>
    </row>
    <row r="890">
      <c r="M890" s="52"/>
      <c r="N890" s="52"/>
      <c r="O890" s="52"/>
    </row>
    <row r="891">
      <c r="M891" s="52"/>
      <c r="N891" s="52"/>
      <c r="O891" s="52"/>
    </row>
    <row r="892">
      <c r="M892" s="52"/>
      <c r="N892" s="52"/>
      <c r="O892" s="52"/>
    </row>
    <row r="893">
      <c r="M893" s="52"/>
      <c r="N893" s="52"/>
      <c r="O893" s="52"/>
    </row>
    <row r="894">
      <c r="M894" s="52"/>
      <c r="N894" s="52"/>
      <c r="O894" s="52"/>
    </row>
    <row r="895">
      <c r="M895" s="52"/>
      <c r="N895" s="52"/>
      <c r="O895" s="52"/>
    </row>
    <row r="896">
      <c r="M896" s="52"/>
      <c r="N896" s="52"/>
      <c r="O896" s="52"/>
    </row>
    <row r="897">
      <c r="M897" s="52"/>
      <c r="N897" s="52"/>
      <c r="O897" s="52"/>
    </row>
    <row r="898">
      <c r="M898" s="52"/>
      <c r="N898" s="52"/>
      <c r="O898" s="52"/>
    </row>
    <row r="899">
      <c r="M899" s="52"/>
      <c r="N899" s="52"/>
      <c r="O899" s="52"/>
    </row>
    <row r="900">
      <c r="M900" s="52"/>
      <c r="N900" s="52"/>
      <c r="O900" s="52"/>
    </row>
    <row r="901">
      <c r="M901" s="52"/>
      <c r="N901" s="52"/>
      <c r="O901" s="52"/>
    </row>
    <row r="902">
      <c r="M902" s="52"/>
      <c r="N902" s="52"/>
      <c r="O902" s="52"/>
    </row>
    <row r="903">
      <c r="M903" s="52"/>
      <c r="N903" s="52"/>
      <c r="O903" s="52"/>
    </row>
    <row r="904">
      <c r="M904" s="52"/>
      <c r="N904" s="52"/>
      <c r="O904" s="52"/>
    </row>
    <row r="905">
      <c r="M905" s="52"/>
      <c r="N905" s="52"/>
      <c r="O905" s="52"/>
    </row>
    <row r="906">
      <c r="M906" s="52"/>
      <c r="N906" s="52"/>
      <c r="O906" s="52"/>
    </row>
    <row r="907">
      <c r="M907" s="52"/>
      <c r="N907" s="52"/>
      <c r="O907" s="52"/>
    </row>
    <row r="908">
      <c r="M908" s="52"/>
      <c r="N908" s="52"/>
      <c r="O908" s="52"/>
    </row>
    <row r="909">
      <c r="M909" s="52"/>
      <c r="N909" s="52"/>
      <c r="O909" s="52"/>
    </row>
    <row r="910">
      <c r="M910" s="52"/>
      <c r="N910" s="52"/>
      <c r="O910" s="52"/>
    </row>
    <row r="911">
      <c r="M911" s="52"/>
      <c r="N911" s="52"/>
      <c r="O911" s="52"/>
    </row>
    <row r="912">
      <c r="M912" s="52"/>
      <c r="N912" s="52"/>
      <c r="O912" s="52"/>
    </row>
    <row r="913">
      <c r="M913" s="52"/>
      <c r="N913" s="52"/>
      <c r="O913" s="52"/>
    </row>
    <row r="914">
      <c r="M914" s="52"/>
      <c r="N914" s="52"/>
      <c r="O914" s="52"/>
    </row>
    <row r="915">
      <c r="M915" s="52"/>
      <c r="N915" s="52"/>
      <c r="O915" s="52"/>
    </row>
    <row r="916">
      <c r="M916" s="52"/>
      <c r="N916" s="52"/>
      <c r="O916" s="52"/>
    </row>
    <row r="917">
      <c r="M917" s="52"/>
      <c r="N917" s="52"/>
      <c r="O917" s="52"/>
    </row>
    <row r="918">
      <c r="M918" s="52"/>
      <c r="N918" s="52"/>
      <c r="O918" s="52"/>
    </row>
    <row r="919">
      <c r="M919" s="52"/>
      <c r="N919" s="52"/>
      <c r="O919" s="52"/>
    </row>
    <row r="920">
      <c r="M920" s="52"/>
      <c r="N920" s="52"/>
      <c r="O920" s="52"/>
    </row>
    <row r="921">
      <c r="M921" s="52"/>
      <c r="N921" s="52"/>
      <c r="O921" s="52"/>
    </row>
    <row r="922">
      <c r="M922" s="52"/>
      <c r="N922" s="52"/>
      <c r="O922" s="52"/>
    </row>
    <row r="923">
      <c r="M923" s="52"/>
      <c r="N923" s="52"/>
      <c r="O923" s="52"/>
    </row>
    <row r="924">
      <c r="M924" s="52"/>
      <c r="N924" s="52"/>
      <c r="O924" s="52"/>
    </row>
    <row r="925">
      <c r="M925" s="52"/>
      <c r="N925" s="52"/>
      <c r="O925" s="52"/>
    </row>
    <row r="926">
      <c r="M926" s="52"/>
      <c r="N926" s="52"/>
      <c r="O926" s="52"/>
    </row>
    <row r="927">
      <c r="M927" s="52"/>
      <c r="N927" s="52"/>
      <c r="O927" s="52"/>
    </row>
    <row r="928">
      <c r="M928" s="52"/>
      <c r="N928" s="52"/>
      <c r="O928" s="52"/>
    </row>
    <row r="929">
      <c r="M929" s="52"/>
      <c r="N929" s="52"/>
      <c r="O929" s="52"/>
    </row>
    <row r="930">
      <c r="M930" s="52"/>
      <c r="N930" s="52"/>
      <c r="O930" s="52"/>
    </row>
    <row r="931">
      <c r="M931" s="52"/>
      <c r="N931" s="52"/>
      <c r="O931" s="52"/>
    </row>
    <row r="932">
      <c r="M932" s="52"/>
      <c r="N932" s="52"/>
      <c r="O932" s="52"/>
    </row>
    <row r="933">
      <c r="M933" s="52"/>
      <c r="N933" s="52"/>
      <c r="O933" s="52"/>
    </row>
    <row r="934">
      <c r="M934" s="52"/>
      <c r="N934" s="52"/>
      <c r="O934" s="52"/>
    </row>
    <row r="935">
      <c r="M935" s="52"/>
      <c r="N935" s="52"/>
      <c r="O935" s="52"/>
    </row>
    <row r="936">
      <c r="M936" s="52"/>
      <c r="N936" s="52"/>
      <c r="O936" s="52"/>
    </row>
    <row r="937">
      <c r="M937" s="52"/>
      <c r="N937" s="52"/>
      <c r="O937" s="52"/>
    </row>
    <row r="938">
      <c r="M938" s="52"/>
      <c r="N938" s="52"/>
      <c r="O938" s="52"/>
    </row>
    <row r="939">
      <c r="M939" s="52"/>
      <c r="N939" s="52"/>
      <c r="O939" s="52"/>
    </row>
    <row r="940">
      <c r="M940" s="52"/>
      <c r="N940" s="52"/>
      <c r="O940" s="52"/>
    </row>
    <row r="941">
      <c r="M941" s="52"/>
      <c r="N941" s="52"/>
      <c r="O941" s="52"/>
    </row>
    <row r="942">
      <c r="M942" s="52"/>
      <c r="N942" s="52"/>
      <c r="O942" s="52"/>
    </row>
    <row r="943">
      <c r="M943" s="52"/>
      <c r="N943" s="52"/>
      <c r="O943" s="52"/>
    </row>
    <row r="944">
      <c r="M944" s="52"/>
      <c r="N944" s="52"/>
      <c r="O944" s="52"/>
    </row>
    <row r="945">
      <c r="M945" s="52"/>
      <c r="N945" s="52"/>
      <c r="O945" s="52"/>
    </row>
    <row r="946">
      <c r="M946" s="52"/>
      <c r="N946" s="52"/>
      <c r="O946" s="52"/>
    </row>
    <row r="947">
      <c r="M947" s="52"/>
      <c r="N947" s="52"/>
      <c r="O947" s="52"/>
    </row>
    <row r="948">
      <c r="M948" s="52"/>
      <c r="N948" s="52"/>
      <c r="O948" s="52"/>
    </row>
    <row r="949">
      <c r="M949" s="52"/>
      <c r="N949" s="52"/>
      <c r="O949" s="52"/>
    </row>
    <row r="950">
      <c r="M950" s="52"/>
      <c r="N950" s="52"/>
      <c r="O950" s="52"/>
    </row>
    <row r="951">
      <c r="M951" s="52"/>
      <c r="N951" s="52"/>
      <c r="O951" s="52"/>
    </row>
    <row r="952">
      <c r="M952" s="52"/>
      <c r="N952" s="52"/>
      <c r="O952" s="52"/>
    </row>
    <row r="953">
      <c r="M953" s="52"/>
      <c r="N953" s="52"/>
      <c r="O953" s="52"/>
    </row>
    <row r="954">
      <c r="M954" s="52"/>
      <c r="N954" s="52"/>
      <c r="O954" s="52"/>
    </row>
    <row r="955">
      <c r="M955" s="52"/>
      <c r="N955" s="52"/>
      <c r="O955" s="52"/>
    </row>
    <row r="956">
      <c r="M956" s="52"/>
      <c r="N956" s="52"/>
      <c r="O956" s="52"/>
    </row>
    <row r="957">
      <c r="M957" s="52"/>
      <c r="N957" s="52"/>
      <c r="O957" s="52"/>
    </row>
    <row r="958">
      <c r="M958" s="52"/>
      <c r="N958" s="52"/>
      <c r="O958" s="52"/>
    </row>
    <row r="959">
      <c r="M959" s="52"/>
      <c r="N959" s="52"/>
      <c r="O959" s="52"/>
    </row>
    <row r="960">
      <c r="M960" s="52"/>
      <c r="N960" s="52"/>
      <c r="O960" s="52"/>
    </row>
    <row r="961">
      <c r="M961" s="52"/>
      <c r="N961" s="52"/>
      <c r="O961" s="52"/>
    </row>
    <row r="962">
      <c r="M962" s="52"/>
      <c r="N962" s="52"/>
      <c r="O962" s="52"/>
    </row>
    <row r="963">
      <c r="M963" s="52"/>
      <c r="N963" s="52"/>
      <c r="O963" s="52"/>
    </row>
    <row r="964">
      <c r="M964" s="52"/>
      <c r="N964" s="52"/>
      <c r="O964" s="52"/>
    </row>
    <row r="965">
      <c r="M965" s="52"/>
      <c r="N965" s="52"/>
      <c r="O965" s="52"/>
    </row>
    <row r="966">
      <c r="M966" s="52"/>
      <c r="N966" s="52"/>
      <c r="O966" s="52"/>
    </row>
    <row r="967">
      <c r="M967" s="52"/>
      <c r="N967" s="52"/>
      <c r="O967" s="52"/>
    </row>
    <row r="968">
      <c r="M968" s="52"/>
      <c r="N968" s="52"/>
      <c r="O968" s="52"/>
    </row>
    <row r="969">
      <c r="M969" s="52"/>
      <c r="N969" s="52"/>
      <c r="O969" s="52"/>
    </row>
    <row r="970">
      <c r="M970" s="52"/>
      <c r="N970" s="52"/>
      <c r="O970" s="52"/>
    </row>
    <row r="971">
      <c r="M971" s="52"/>
      <c r="N971" s="52"/>
      <c r="O971" s="52"/>
    </row>
    <row r="972">
      <c r="M972" s="52"/>
      <c r="N972" s="52"/>
      <c r="O972" s="52"/>
    </row>
    <row r="973">
      <c r="M973" s="52"/>
      <c r="N973" s="52"/>
      <c r="O973" s="52"/>
    </row>
    <row r="974">
      <c r="M974" s="52"/>
      <c r="N974" s="52"/>
      <c r="O974" s="52"/>
    </row>
    <row r="975">
      <c r="M975" s="52"/>
      <c r="N975" s="52"/>
      <c r="O975" s="52"/>
    </row>
    <row r="976">
      <c r="M976" s="52"/>
      <c r="N976" s="52"/>
      <c r="O976" s="52"/>
    </row>
    <row r="977">
      <c r="M977" s="52"/>
      <c r="N977" s="52"/>
      <c r="O977" s="52"/>
    </row>
    <row r="978">
      <c r="M978" s="52"/>
      <c r="N978" s="52"/>
      <c r="O978" s="52"/>
    </row>
    <row r="979">
      <c r="M979" s="52"/>
      <c r="N979" s="52"/>
      <c r="O979" s="52"/>
    </row>
    <row r="980">
      <c r="M980" s="52"/>
      <c r="N980" s="52"/>
      <c r="O980" s="52"/>
    </row>
    <row r="981">
      <c r="M981" s="52"/>
      <c r="N981" s="52"/>
      <c r="O981" s="52"/>
    </row>
    <row r="982">
      <c r="M982" s="52"/>
      <c r="N982" s="52"/>
      <c r="O982" s="52"/>
    </row>
    <row r="983">
      <c r="M983" s="52"/>
      <c r="N983" s="52"/>
      <c r="O983" s="52"/>
    </row>
    <row r="984">
      <c r="M984" s="52"/>
      <c r="N984" s="52"/>
      <c r="O984" s="52"/>
    </row>
    <row r="985">
      <c r="M985" s="52"/>
      <c r="N985" s="52"/>
      <c r="O985" s="52"/>
    </row>
    <row r="986">
      <c r="M986" s="52"/>
      <c r="N986" s="52"/>
      <c r="O986" s="52"/>
    </row>
    <row r="987">
      <c r="M987" s="52"/>
      <c r="N987" s="52"/>
      <c r="O987" s="52"/>
    </row>
    <row r="988">
      <c r="M988" s="52"/>
      <c r="N988" s="52"/>
      <c r="O988" s="52"/>
    </row>
    <row r="989">
      <c r="M989" s="52"/>
      <c r="N989" s="52"/>
      <c r="O989" s="52"/>
    </row>
    <row r="990">
      <c r="M990" s="52"/>
      <c r="N990" s="52"/>
      <c r="O990" s="52"/>
    </row>
    <row r="991">
      <c r="M991" s="52"/>
      <c r="N991" s="52"/>
      <c r="O991" s="52"/>
    </row>
    <row r="992">
      <c r="M992" s="52"/>
      <c r="N992" s="52"/>
      <c r="O992" s="52"/>
    </row>
    <row r="993">
      <c r="M993" s="52"/>
      <c r="N993" s="52"/>
      <c r="O993" s="52"/>
    </row>
    <row r="994">
      <c r="M994" s="52"/>
      <c r="N994" s="52"/>
      <c r="O994" s="52"/>
    </row>
    <row r="995">
      <c r="M995" s="52"/>
      <c r="N995" s="52"/>
      <c r="O995" s="52"/>
    </row>
    <row r="996">
      <c r="M996" s="52"/>
      <c r="N996" s="52"/>
      <c r="O996" s="52"/>
    </row>
    <row r="997">
      <c r="M997" s="52"/>
      <c r="N997" s="52"/>
      <c r="O997" s="52"/>
    </row>
    <row r="998">
      <c r="M998" s="52"/>
      <c r="N998" s="52"/>
      <c r="O998" s="52"/>
    </row>
    <row r="999">
      <c r="M999" s="52"/>
      <c r="N999" s="52"/>
      <c r="O999" s="52"/>
    </row>
    <row r="1000">
      <c r="M1000" s="52"/>
      <c r="N1000" s="52"/>
      <c r="O1000" s="52"/>
    </row>
  </sheetData>
  <mergeCells count="7">
    <mergeCell ref="A1:A2"/>
    <mergeCell ref="B1:B2"/>
    <mergeCell ref="C1:G1"/>
    <mergeCell ref="H1:I1"/>
    <mergeCell ref="J1:J2"/>
    <mergeCell ref="K1:O1"/>
    <mergeCell ref="P1:U1"/>
  </mergeCells>
  <conditionalFormatting sqref="N3:N9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G3:G9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3:H9 K3:K9">
    <cfRule type="colorScale" priority="3">
      <colorScale>
        <cfvo type="formula" val="0"/>
        <cfvo type="max"/>
        <color rgb="FFFFFFFF"/>
        <color rgb="FF57BB8A"/>
      </colorScale>
    </cfRule>
  </conditionalFormatting>
  <conditionalFormatting sqref="I3:I9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J3:J9">
    <cfRule type="colorScale" priority="5">
      <colorScale>
        <cfvo type="formula" val="0"/>
        <cfvo type="max"/>
        <color rgb="FFFFFFFF"/>
        <color rgb="FF57BB8A"/>
      </colorScale>
    </cfRule>
  </conditionalFormatting>
  <conditionalFormatting sqref="K3:K9">
    <cfRule type="colorScale" priority="6">
      <colorScale>
        <cfvo type="formula" val="0"/>
        <cfvo type="max"/>
        <color rgb="FFFFFFFF"/>
        <color rgb="FF57BB8A"/>
      </colorScale>
    </cfRule>
  </conditionalFormatting>
  <conditionalFormatting sqref="L3:L9">
    <cfRule type="colorScale" priority="7">
      <colorScale>
        <cfvo type="formula" val="0"/>
        <cfvo type="max"/>
        <color rgb="FFFFFFFF"/>
        <color rgb="FFE67C73"/>
      </colorScale>
    </cfRule>
  </conditionalFormatting>
  <conditionalFormatting sqref="C3:C9">
    <cfRule type="colorScale" priority="8">
      <colorScale>
        <cfvo type="formula" val="0"/>
        <cfvo type="max"/>
        <color rgb="FFFFFFFF"/>
        <color rgb="FFFFD666"/>
      </colorScale>
    </cfRule>
  </conditionalFormatting>
  <conditionalFormatting sqref="D3:D9">
    <cfRule type="colorScale" priority="9">
      <colorScale>
        <cfvo type="formula" val="0"/>
        <cfvo type="max"/>
        <color rgb="FFFFFFFF"/>
        <color rgb="FF57BB8A"/>
      </colorScale>
    </cfRule>
  </conditionalFormatting>
  <conditionalFormatting sqref="E3:E9">
    <cfRule type="colorScale" priority="10">
      <colorScale>
        <cfvo type="formula" val="0"/>
        <cfvo type="max"/>
        <color rgb="FFFFFFFF"/>
        <color rgb="FFE67C73"/>
      </colorScale>
    </cfRule>
  </conditionalFormatting>
  <conditionalFormatting sqref="F3:F9">
    <cfRule type="colorScale" priority="11">
      <colorScale>
        <cfvo type="formula" val="0"/>
        <cfvo type="max"/>
        <color rgb="FFFFFFFF"/>
        <color rgb="FF57BB8A"/>
      </colorScale>
    </cfRule>
  </conditionalFormatting>
  <conditionalFormatting sqref="M3:M9">
    <cfRule type="colorScale" priority="12">
      <colorScale>
        <cfvo type="formula" val="0"/>
        <cfvo type="max"/>
        <color rgb="FFFFFFFF"/>
        <color rgb="FFFFD666"/>
      </colorScale>
    </cfRule>
  </conditionalFormatting>
  <conditionalFormatting sqref="O3:O9">
    <cfRule type="colorScale" priority="13">
      <colorScale>
        <cfvo type="formula" val="0"/>
        <cfvo type="formula" val="1"/>
        <color rgb="FFFFFFFF"/>
        <color rgb="FF57BB8A"/>
      </colorScale>
    </cfRule>
  </conditionalFormatting>
  <conditionalFormatting sqref="P3:P9">
    <cfRule type="colorScale" priority="14">
      <colorScale>
        <cfvo type="formula" val="0"/>
        <cfvo type="max"/>
        <color rgb="FFFFFFFF"/>
        <color rgb="FFFFD666"/>
      </colorScale>
    </cfRule>
  </conditionalFormatting>
  <conditionalFormatting sqref="U3:U9">
    <cfRule type="colorScale" priority="15">
      <colorScale>
        <cfvo type="formula" val="0"/>
        <cfvo type="formula" val="2"/>
        <cfvo type="formula" val="3"/>
        <color rgb="FFE67C73"/>
        <color rgb="FFFFFFFF"/>
        <color rgb="FF57BB8A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6" max="6" width="11.88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1" t="s">
        <v>4</v>
      </c>
      <c r="K1" s="6" t="s">
        <v>5</v>
      </c>
      <c r="L1" s="4"/>
      <c r="M1" s="4"/>
      <c r="N1" s="4"/>
      <c r="O1" s="5"/>
      <c r="P1" s="30" t="s">
        <v>6</v>
      </c>
      <c r="Q1" s="4"/>
      <c r="R1" s="4"/>
      <c r="S1" s="4"/>
      <c r="T1" s="4"/>
      <c r="U1" s="5"/>
      <c r="Z1" s="54" t="s">
        <v>71</v>
      </c>
    </row>
    <row r="2">
      <c r="A2" s="9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2" t="s">
        <v>13</v>
      </c>
      <c r="I2" s="12" t="s">
        <v>14</v>
      </c>
      <c r="J2" s="9"/>
      <c r="K2" s="10" t="s">
        <v>15</v>
      </c>
      <c r="L2" s="12" t="s">
        <v>10</v>
      </c>
      <c r="M2" s="10" t="s">
        <v>16</v>
      </c>
      <c r="N2" s="10" t="s">
        <v>17</v>
      </c>
      <c r="O2" s="10" t="s">
        <v>18</v>
      </c>
      <c r="P2" s="15" t="s">
        <v>8</v>
      </c>
      <c r="Q2" s="15">
        <v>0.0</v>
      </c>
      <c r="R2" s="15">
        <v>1.0</v>
      </c>
      <c r="S2" s="15">
        <v>2.0</v>
      </c>
      <c r="T2" s="15">
        <v>3.0</v>
      </c>
      <c r="U2" s="15" t="s">
        <v>19</v>
      </c>
      <c r="Z2" s="54" t="s">
        <v>72</v>
      </c>
    </row>
    <row r="3">
      <c r="A3" s="18" t="s">
        <v>21</v>
      </c>
      <c r="B3" s="18" t="s">
        <v>73</v>
      </c>
      <c r="C3" s="31">
        <f>IFERROR(__xludf.DUMMYFUNCTION("SUM(MAP(FILTER(Z1:Z100, Z1:Z100 &lt;&gt; """"), LAMBDA(sheet, IFERROR(VALUE(INDIRECT(""'"" &amp; sheet &amp; ""'!C3"")), 0))))"),11.0)</f>
        <v>11</v>
      </c>
      <c r="D3" s="32">
        <f>IFERROR(__xludf.DUMMYFUNCTION("SUM(MAP(FILTER(Z1:Z100, Z1:Z100 &lt;&gt; """"), LAMBDA(sheet, IFERROR(VALUE(INDIRECT(""'"" &amp; sheet &amp; ""'!d3"")), 0))))"),3.0)</f>
        <v>3</v>
      </c>
      <c r="E3" s="38">
        <f>IFERROR(__xludf.DUMMYFUNCTION("SUM(MAP(FILTER(Z1:Z100, Z1:Z100 &lt;&gt; """"), LAMBDA(sheet, IFERROR(VALUE(INDIRECT(""'"" &amp; sheet &amp; ""'!e3"")), 0))))"),3.0)</f>
        <v>3</v>
      </c>
      <c r="F3" s="34">
        <f>IFERROR(__xludf.DUMMYFUNCTION("SUM(MAP(FILTER(Z1:Z100, Z1:Z100 &lt;&gt; """"), LAMBDA(sheet, IFERROR(VALUE(INDIRECT(""'"" &amp; sheet &amp; ""'!f3"")), 0))))"),0.0)</f>
        <v>0</v>
      </c>
      <c r="G3" s="35">
        <f t="shared" ref="G3:G9" si="1">IFS(C3=0, "N/A", C3&lt;&gt;0,(D3-E3)/C3 )</f>
        <v>0</v>
      </c>
      <c r="H3" s="10">
        <f>IFERROR(__xludf.DUMMYFUNCTION("SUM(MAP(FILTER(Z1:Z100, Z1:Z100 &lt;&gt; """"), LAMBDA(sheet, IFERROR(VALUE(INDIRECT(""'"" &amp; sheet &amp; ""'!h3"")), 0))))"),0.0)</f>
        <v>0</v>
      </c>
      <c r="I3" s="10">
        <f>IFERROR(__xludf.DUMMYFUNCTION("SUM(MAP(FILTER(Z1:Z100, Z1:Z100 &lt;&gt; """"), LAMBDA(sheet, IFERROR(VALUE(INDIRECT(""'"" &amp; sheet &amp; ""'!i73"")), 0))))"),0.0)</f>
        <v>0</v>
      </c>
      <c r="J3" s="10">
        <f>IFERROR(__xludf.DUMMYFUNCTION("SUM(MAP(FILTER(Z1:Z100, Z1:Z100 &lt;&gt; """"), LAMBDA(sheet, IFERROR(VALUE(INDIRECT(""'"" &amp; sheet &amp; ""'!j3"")), 0))))"),4.0)</f>
        <v>4</v>
      </c>
      <c r="K3" s="10">
        <f>IFERROR(__xludf.DUMMYFUNCTION("SUM(MAP(FILTER(Z1:Z100, Z1:Z100 &lt;&gt; """"), LAMBDA(sheet, IFERROR(VALUE(INDIRECT(""'"" &amp; sheet &amp; ""'!k3"")), 0))))"),0.0)</f>
        <v>0</v>
      </c>
      <c r="L3" s="10">
        <f>IFERROR(__xludf.DUMMYFUNCTION("SUM(MAP(FILTER(Z1:Z100, Z1:Z100 &lt;&gt; """"), LAMBDA(sheet, IFERROR(VALUE(INDIRECT(""'"" &amp; sheet &amp; ""'!l3"")), 0))))"),0.0)</f>
        <v>0</v>
      </c>
      <c r="M3" s="10">
        <f>IFERROR(__xludf.DUMMYFUNCTION("SUM(MAP(FILTER(Z1:Z100, Z1:Z100 &lt;&gt; """"), LAMBDA(sheet, IFERROR(VALUE(INDIRECT(""'"" &amp; sheet &amp; ""'!m3"")), 0))))"),8.0)</f>
        <v>8</v>
      </c>
      <c r="N3" s="35">
        <f t="shared" ref="N3:N9" si="2">ifs(M3=0,"N/A",M3&lt;&gt;0,(M3-L3) /M3)</f>
        <v>1</v>
      </c>
      <c r="O3" s="35">
        <f t="shared" ref="O3:O9" si="3">IFS(M3=0, "N/A", M3&lt;&gt;0, K3/M3)</f>
        <v>0</v>
      </c>
      <c r="P3" s="10">
        <f>IFERROR(__xludf.DUMMYFUNCTION("SUM(MAP(FILTER(Z1:Z100, Z1:Z100 &lt;&gt; """"), LAMBDA(sheet, IFERROR(VALUE(INDIRECT(""'"" &amp; sheet &amp; ""'!p3"")), 0))))"),8.0)</f>
        <v>8</v>
      </c>
      <c r="Q3" s="10">
        <f>IFERROR(__xludf.DUMMYFUNCTION("SUM(MAP(FILTER(Z1:Z100, Z1:Z100 &lt;&gt; """"), LAMBDA(sheet, IFERROR(VALUE(INDIRECT(""'"" &amp; sheet &amp; ""'!q3"")), 0))))"),3.0)</f>
        <v>3</v>
      </c>
      <c r="R3" s="10">
        <f>IFERROR(__xludf.DUMMYFUNCTION("SUM(MAP(FILTER(Z1:Z100, Z1:Z100 &lt;&gt; """"), LAMBDA(sheet, IFERROR(VALUE(INDIRECT(""'"" &amp; sheet &amp; ""'!r3"")), 0))))"),0.0)</f>
        <v>0</v>
      </c>
      <c r="S3" s="10">
        <f>IFERROR(__xludf.DUMMYFUNCTION("SUM(MAP(FILTER(Z1:Z100, Z1:Z100 &lt;&gt; """"), LAMBDA(sheet, IFERROR(VALUE(INDIRECT(""'"" &amp; sheet &amp; ""'!s3"")), 0))))"),3.0)</f>
        <v>3</v>
      </c>
      <c r="T3" s="10">
        <f>IFERROR(__xludf.DUMMYFUNCTION("SUM(MAP(FILTER(Z1:Z100, Z1:Z100 &lt;&gt; """"), LAMBDA(sheet, IFERROR(VALUE(INDIRECT(""'"" &amp; sheet &amp; ""'!t3"")), 0))))"),2.0)</f>
        <v>2</v>
      </c>
      <c r="U3" s="10">
        <f t="shared" ref="U3:U9" si="4">ifs(P3=0, "N/A",P3&lt;&gt;0,(R3 + S3*2 +T3*3)/P3)</f>
        <v>1.5</v>
      </c>
      <c r="Z3" s="54" t="s">
        <v>74</v>
      </c>
    </row>
    <row r="4">
      <c r="A4" s="21" t="s">
        <v>24</v>
      </c>
      <c r="B4" s="21" t="s">
        <v>75</v>
      </c>
      <c r="C4" s="36">
        <f>IFERROR(__xludf.DUMMYFUNCTION("SUM(MAP(FILTER(Z1:Z100, Z1:Z100 &lt;&gt; """"), LAMBDA(sheet, IFERROR(VALUE(INDIRECT(""'"" &amp; sheet &amp; ""'!C4"")), 0))))"),9.0)</f>
        <v>9</v>
      </c>
      <c r="D4" s="37">
        <f>IFERROR(__xludf.DUMMYFUNCTION("SUM(MAP(FILTER(Z1:Z100, Z1:Z100 &lt;&gt; """"), LAMBDA(sheet, IFERROR(VALUE(INDIRECT(""'"" &amp; sheet &amp; ""'!d4"")), 0))))"),2.0)</f>
        <v>2</v>
      </c>
      <c r="E4" s="38">
        <f>IFERROR(__xludf.DUMMYFUNCTION("SUM(MAP(FILTER(Z1:Z100, Z1:Z100 &lt;&gt; """"), LAMBDA(sheet, IFERROR(VALUE(INDIRECT(""'"" &amp; sheet &amp; ""'!e4"")), 0))))"),3.0)</f>
        <v>3</v>
      </c>
      <c r="F4" s="39">
        <f>IFERROR(__xludf.DUMMYFUNCTION("SUM(MAP(FILTER(Z1:Z100, Z1:Z100 &lt;&gt; """"), LAMBDA(sheet, IFERROR(VALUE(INDIRECT(""'"" &amp; sheet &amp; ""'!f4"")), 0))))"),7.0)</f>
        <v>7</v>
      </c>
      <c r="G4" s="35">
        <f t="shared" si="1"/>
        <v>-0.1111111111</v>
      </c>
      <c r="H4" s="10">
        <f>IFERROR(__xludf.DUMMYFUNCTION("SUM(MAP(FILTER(Z1:Z100, Z1:Z100 &lt;&gt; """"), LAMBDA(sheet, IFERROR(VALUE(INDIRECT(""'"" &amp; sheet &amp; ""'!h4"")), 0))))"),0.0)</f>
        <v>0</v>
      </c>
      <c r="I4" s="10">
        <f>IFERROR(__xludf.DUMMYFUNCTION("SUM(MAP(FILTER(Z1:Z100, Z1:Z100 &lt;&gt; """"), LAMBDA(sheet, IFERROR(VALUE(INDIRECT(""'"" &amp; sheet &amp; ""'!i4"")), 0))))"),1.0)</f>
        <v>1</v>
      </c>
      <c r="J4" s="10">
        <f>IFERROR(__xludf.DUMMYFUNCTION("SUM(MAP(FILTER(Z1:Z100, Z1:Z100 &lt;&gt; """"), LAMBDA(sheet, IFERROR(VALUE(INDIRECT(""'"" &amp; sheet &amp; ""'!j4"")), 0))))"),6.0)</f>
        <v>6</v>
      </c>
      <c r="K4" s="10">
        <f>IFERROR(__xludf.DUMMYFUNCTION("SUM(MAP(FILTER(Z1:Z100, Z1:Z100 &lt;&gt; """"), LAMBDA(sheet, IFERROR(VALUE(INDIRECT(""'"" &amp; sheet &amp; ""'!k4"")), 0))))"),1.0)</f>
        <v>1</v>
      </c>
      <c r="L4" s="10">
        <f>IFERROR(__xludf.DUMMYFUNCTION("SUM(MAP(FILTER(Z1:Z100, Z1:Z100 &lt;&gt; """"), LAMBDA(sheet, IFERROR(VALUE(INDIRECT(""'"" &amp; sheet &amp; ""'!l4"")), 0))))"),1.0)</f>
        <v>1</v>
      </c>
      <c r="M4" s="10">
        <f>IFERROR(__xludf.DUMMYFUNCTION("SUM(MAP(FILTER(Z1:Z100, Z1:Z100 &lt;&gt; """"), LAMBDA(sheet, IFERROR(VALUE(INDIRECT(""'"" &amp; sheet &amp; ""'!m4"")), 0))))"),8.0)</f>
        <v>8</v>
      </c>
      <c r="N4" s="35">
        <f t="shared" si="2"/>
        <v>0.875</v>
      </c>
      <c r="O4" s="35">
        <f t="shared" si="3"/>
        <v>0.125</v>
      </c>
      <c r="P4" s="10">
        <f>IFERROR(__xludf.DUMMYFUNCTION("SUM(MAP(FILTER(Z1:Z100, Z1:Z100 &lt;&gt; """"), LAMBDA(sheet, IFERROR(VALUE(INDIRECT(""'"" &amp; sheet &amp; ""'!p4"")), 0))))"),2.0)</f>
        <v>2</v>
      </c>
      <c r="Q4" s="10">
        <f>IFERROR(__xludf.DUMMYFUNCTION("SUM(MAP(FILTER(Z1:Z100, Z1:Z100 &lt;&gt; """"), LAMBDA(sheet, IFERROR(VALUE(INDIRECT(""'"" &amp; sheet &amp; ""'!q4"")), 0))))"),0.0)</f>
        <v>0</v>
      </c>
      <c r="R4" s="10">
        <f>IFERROR(__xludf.DUMMYFUNCTION("SUM(MAP(FILTER(Z1:Z100, Z1:Z100 &lt;&gt; """"), LAMBDA(sheet, IFERROR(VALUE(INDIRECT(""'"" &amp; sheet &amp; ""'!r4"")), 0))))"),0.0)</f>
        <v>0</v>
      </c>
      <c r="S4" s="10">
        <f>IFERROR(__xludf.DUMMYFUNCTION("SUM(MAP(FILTER(Z1:Z100, Z1:Z100 &lt;&gt; """"), LAMBDA(sheet, IFERROR(VALUE(INDIRECT(""'"" &amp; sheet &amp; ""'!s4"")), 0))))"),1.0)</f>
        <v>1</v>
      </c>
      <c r="T4" s="10">
        <f>IFERROR(__xludf.DUMMYFUNCTION("SUM(MAP(FILTER(Z1:Z100, Z1:Z100 &lt;&gt; """"), LAMBDA(sheet, IFERROR(VALUE(INDIRECT(""'"" &amp; sheet &amp; ""'!t4"")), 0))))"),1.0)</f>
        <v>1</v>
      </c>
      <c r="U4" s="10">
        <f t="shared" si="4"/>
        <v>2.5</v>
      </c>
    </row>
    <row r="5">
      <c r="A5" s="22" t="s">
        <v>26</v>
      </c>
      <c r="B5" s="22" t="s">
        <v>76</v>
      </c>
      <c r="C5" s="40">
        <f>IFERROR(__xludf.DUMMYFUNCTION("SUM(MAP(FILTER(Z1:Z100, Z1:Z100 &lt;&gt; """"), LAMBDA(sheet, IFERROR(VALUE(INDIRECT(""'"" &amp; sheet &amp; ""'!C5"")), 0))))"),3.0)</f>
        <v>3</v>
      </c>
      <c r="D5" s="41">
        <f>IFERROR(__xludf.DUMMYFUNCTION("SUM(MAP(FILTER(Z1:Z101, Z1:Z101 &lt;&gt; """"), LAMBDA(sheet, IFERROR(VALUE(INDIRECT(""'"" &amp; sheet &amp; ""'!d5"")), 0))))"),1.0)</f>
        <v>1</v>
      </c>
      <c r="E5" s="39">
        <f>IFERROR(__xludf.DUMMYFUNCTION("SUM(MAP(FILTER(Z1:Z100, Z1:Z100 &lt;&gt; """"), LAMBDA(sheet, IFERROR(VALUE(INDIRECT(""'"" &amp; sheet &amp; ""'!e5"")), 0))))"),0.0)</f>
        <v>0</v>
      </c>
      <c r="F5" s="42">
        <f>IFERROR(__xludf.DUMMYFUNCTION("SUM(MAP(FILTER(Z1:Z100, Z1:Z100 &lt;&gt; """"), LAMBDA(sheet, IFERROR(VALUE(INDIRECT(""'"" &amp; sheet &amp; ""'!f5"")), 0))))"),12.0)</f>
        <v>12</v>
      </c>
      <c r="G5" s="35">
        <f t="shared" si="1"/>
        <v>0.3333333333</v>
      </c>
      <c r="H5" s="10">
        <f>IFERROR(__xludf.DUMMYFUNCTION("SUM(MAP(FILTER(Z1:Z100, Z1:Z100 &lt;&gt; """"), LAMBDA(sheet, IFERROR(VALUE(INDIRECT(""'"" &amp; sheet &amp; ""'!h5"")), 0))))"),1.0)</f>
        <v>1</v>
      </c>
      <c r="I5" s="10">
        <f>IFERROR(__xludf.DUMMYFUNCTION("SUM(MAP(FILTER(Z1:Z100, Z1:Z100 &lt;&gt; """"), LAMBDA(sheet, IFERROR(VALUE(INDIRECT(""'"" &amp; sheet &amp; ""'!i5"")), 0))))"),0.0)</f>
        <v>0</v>
      </c>
      <c r="J5" s="10">
        <f>IFERROR(__xludf.DUMMYFUNCTION("SUM(MAP(FILTER(Z1:Z100, Z1:Z100 &lt;&gt; """"), LAMBDA(sheet, IFERROR(VALUE(INDIRECT(""'"" &amp; sheet &amp; ""'!j5"")), 0))))"),3.0)</f>
        <v>3</v>
      </c>
      <c r="K5" s="10">
        <f>IFERROR(__xludf.DUMMYFUNCTION("SUM(MAP(FILTER(Z1:Z100, Z1:Z100 &lt;&gt; """"), LAMBDA(sheet, IFERROR(VALUE(INDIRECT(""'"" &amp; sheet &amp; ""'!k5"")), 0))))"),2.0)</f>
        <v>2</v>
      </c>
      <c r="L5" s="10">
        <f>IFERROR(__xludf.DUMMYFUNCTION("SUM(MAP(FILTER(Z1:Z100, Z1:Z100 &lt;&gt; """"), LAMBDA(sheet, IFERROR(VALUE(INDIRECT(""'"" &amp; sheet &amp; ""'!l5"")), 0))))"),0.0)</f>
        <v>0</v>
      </c>
      <c r="M5" s="10">
        <f>IFERROR(__xludf.DUMMYFUNCTION("SUM(MAP(FILTER(Z1:Z100, Z1:Z100 &lt;&gt; """"), LAMBDA(sheet, IFERROR(VALUE(INDIRECT(""'"" &amp; sheet &amp; ""'!m5"")), 0))))"),8.0)</f>
        <v>8</v>
      </c>
      <c r="N5" s="35">
        <f t="shared" si="2"/>
        <v>1</v>
      </c>
      <c r="O5" s="35">
        <f t="shared" si="3"/>
        <v>0.25</v>
      </c>
      <c r="P5" s="10">
        <f>IFERROR(__xludf.DUMMYFUNCTION("SUM(MAP(FILTER(Z1:Z100, Z1:Z100 &lt;&gt; """"), LAMBDA(sheet, IFERROR(VALUE(INDIRECT(""'"" &amp; sheet &amp; ""'!p5"")), 0))))"),6.0)</f>
        <v>6</v>
      </c>
      <c r="Q5" s="10">
        <f>IFERROR(__xludf.DUMMYFUNCTION("SUM(MAP(FILTER(Z1:Z100, Z1:Z100 &lt;&gt; """"), LAMBDA(sheet, IFERROR(VALUE(INDIRECT(""'"" &amp; sheet &amp; ""'!q5"")), 0))))"),1.0)</f>
        <v>1</v>
      </c>
      <c r="R5" s="10">
        <f>IFERROR(__xludf.DUMMYFUNCTION("SUM(MAP(FILTER(Z1:Z100, Z1:Z100 &lt;&gt; """"), LAMBDA(sheet, IFERROR(VALUE(INDIRECT(""'"" &amp; sheet &amp; ""'!r5"")), 0))))"),2.0)</f>
        <v>2</v>
      </c>
      <c r="S5" s="10">
        <f>IFERROR(__xludf.DUMMYFUNCTION("SUM(MAP(FILTER(Z1:Z100, Z1:Z100 &lt;&gt; """"), LAMBDA(sheet, IFERROR(VALUE(INDIRECT(""'"" &amp; sheet &amp; ""'!s5"")), 0))))"),3.0)</f>
        <v>3</v>
      </c>
      <c r="T5" s="10">
        <f>IFERROR(__xludf.DUMMYFUNCTION("SUM(MAP(FILTER(Z1:Z100, Z1:Z100 &lt;&gt; """"), LAMBDA(sheet, IFERROR(VALUE(INDIRECT(""'"" &amp; sheet &amp; ""'!t5"")), 0))))"),0.0)</f>
        <v>0</v>
      </c>
      <c r="U5" s="10">
        <f t="shared" si="4"/>
        <v>1.333333333</v>
      </c>
    </row>
    <row r="6">
      <c r="A6" s="23" t="s">
        <v>28</v>
      </c>
      <c r="B6" s="23" t="s">
        <v>77</v>
      </c>
      <c r="C6" s="43">
        <f>IFERROR(__xludf.DUMMYFUNCTION("SUM(MAP(FILTER(Z1:Z100, Z1:Z100 &lt;&gt; """"), LAMBDA(sheet, IFERROR(VALUE(INDIRECT(""'"" &amp; sheet &amp; ""'!C6"")), 0))))"),15.0)</f>
        <v>15</v>
      </c>
      <c r="D6" s="42">
        <f>IFERROR(__xludf.DUMMYFUNCTION("SUM(MAP(FILTER(Z1:Z102, Z1:Z102 &lt;&gt; """"), LAMBDA(sheet, IFERROR(VALUE(INDIRECT(""'"" &amp; sheet &amp; ""'!d6"")), 0))))"),5.0)</f>
        <v>5</v>
      </c>
      <c r="E6" s="44">
        <f>IFERROR(__xludf.DUMMYFUNCTION("SUM(MAP(FILTER(Z1:Z100, Z1:Z100 &lt;&gt; """"), LAMBDA(sheet, IFERROR(VALUE(INDIRECT(""'"" &amp; sheet &amp; ""'!e6"")), 0))))"),3.0)</f>
        <v>3</v>
      </c>
      <c r="F6" s="45">
        <f>IFERROR(__xludf.DUMMYFUNCTION("SUM(MAP(FILTER(Z1:Z100, Z1:Z100 &lt;&gt; """"), LAMBDA(sheet, IFERROR(VALUE(INDIRECT(""'"" &amp; sheet &amp; ""'!f6"")), 0))))"),1.0)</f>
        <v>1</v>
      </c>
      <c r="G6" s="35">
        <f t="shared" si="1"/>
        <v>0.1333333333</v>
      </c>
      <c r="H6" s="10">
        <f>IFERROR(__xludf.DUMMYFUNCTION("SUM(MAP(FILTER(Z1:Z100, Z1:Z100 &lt;&gt; """"), LAMBDA(sheet, IFERROR(VALUE(INDIRECT(""'"" &amp; sheet &amp; ""'!h6"")), 0))))"),0.0)</f>
        <v>0</v>
      </c>
      <c r="I6" s="10">
        <f>IFERROR(__xludf.DUMMYFUNCTION("SUM(MAP(FILTER(Z1:Z100, Z1:Z100 &lt;&gt; """"), LAMBDA(sheet, IFERROR(VALUE(INDIRECT(""'"" &amp; sheet &amp; ""'!i6"")), 0))))"),1.0)</f>
        <v>1</v>
      </c>
      <c r="J6" s="10">
        <f>IFERROR(__xludf.DUMMYFUNCTION("SUM(MAP(FILTER(Z1:Z100, Z1:Z100 &lt;&gt; """"), LAMBDA(sheet, IFERROR(VALUE(INDIRECT(""'"" &amp; sheet &amp; ""'!j6"")), 0))))"),5.0)</f>
        <v>5</v>
      </c>
      <c r="K6" s="10">
        <f>IFERROR(__xludf.DUMMYFUNCTION("SUM(MAP(FILTER(Z1:Z100, Z1:Z100 &lt;&gt; """"), LAMBDA(sheet, IFERROR(VALUE(INDIRECT(""'"" &amp; sheet &amp; ""'!k6"")), 0))))"),1.0)</f>
        <v>1</v>
      </c>
      <c r="L6" s="10">
        <f>IFERROR(__xludf.DUMMYFUNCTION("SUM(MAP(FILTER(Z1:Z100, Z1:Z100 &lt;&gt; """"), LAMBDA(sheet, IFERROR(VALUE(INDIRECT(""'"" &amp; sheet &amp; ""'!l6"")), 0))))"),0.0)</f>
        <v>0</v>
      </c>
      <c r="M6" s="10">
        <f>IFERROR(__xludf.DUMMYFUNCTION("SUM(MAP(FILTER(Z1:Z100, Z1:Z100 &lt;&gt; """"), LAMBDA(sheet, IFERROR(VALUE(INDIRECT(""'"" &amp; sheet &amp; ""'!m6"")), 0))))"),11.0)</f>
        <v>11</v>
      </c>
      <c r="N6" s="35">
        <f t="shared" si="2"/>
        <v>1</v>
      </c>
      <c r="O6" s="35">
        <f t="shared" si="3"/>
        <v>0.09090909091</v>
      </c>
      <c r="P6" s="10">
        <f>IFERROR(__xludf.DUMMYFUNCTION("SUM(MAP(FILTER(Z1:Z100, Z1:Z100 &lt;&gt; """"), LAMBDA(sheet, IFERROR(VALUE(INDIRECT(""'"" &amp; sheet &amp; ""'!p6"")), 0))))"),10.0)</f>
        <v>10</v>
      </c>
      <c r="Q6" s="10">
        <f>IFERROR(__xludf.DUMMYFUNCTION("SUM(MAP(FILTER(Z1:Z100, Z1:Z100 &lt;&gt; """"), LAMBDA(sheet, IFERROR(VALUE(INDIRECT(""'"" &amp; sheet &amp; ""'!q6"")), 0))))"),4.0)</f>
        <v>4</v>
      </c>
      <c r="R6" s="10">
        <f>IFERROR(__xludf.DUMMYFUNCTION("SUM(MAP(FILTER(Z1:Z100, Z1:Z100 &lt;&gt; """"), LAMBDA(sheet, IFERROR(VALUE(INDIRECT(""'"" &amp; sheet &amp; ""'!r6"")), 0))))"),3.0)</f>
        <v>3</v>
      </c>
      <c r="S6" s="10">
        <f>IFERROR(__xludf.DUMMYFUNCTION("SUM(MAP(FILTER(Z1:Z100, Z1:Z100 &lt;&gt; """"), LAMBDA(sheet, IFERROR(VALUE(INDIRECT(""'"" &amp; sheet &amp; ""'!s6"")), 0))))"),1.0)</f>
        <v>1</v>
      </c>
      <c r="T6" s="10">
        <f>IFERROR(__xludf.DUMMYFUNCTION("SUM(MAP(FILTER(Z1:Z100, Z1:Z100 &lt;&gt; """"), LAMBDA(sheet, IFERROR(VALUE(INDIRECT(""'"" &amp; sheet &amp; ""'!t6"")), 0))))"),2.0)</f>
        <v>2</v>
      </c>
      <c r="U6" s="10">
        <f t="shared" si="4"/>
        <v>1.1</v>
      </c>
    </row>
    <row r="7">
      <c r="A7" s="24" t="s">
        <v>30</v>
      </c>
      <c r="B7" s="24" t="s">
        <v>78</v>
      </c>
      <c r="C7" s="46">
        <f>IFERROR(__xludf.DUMMYFUNCTION("SUM(MAP(FILTER(Z1:Z100, Z1:Z100 &lt;&gt; """"), LAMBDA(sheet, IFERROR(VALUE(INDIRECT(""'"" &amp; sheet &amp; ""'!C7"")), 0))))"),21.0)</f>
        <v>21</v>
      </c>
      <c r="D7" s="47">
        <f>IFERROR(__xludf.DUMMYFUNCTION("SUM(MAP(FILTER(Z1:Z104, Z1:Z104 &lt;&gt; """"), LAMBDA(sheet, IFERROR(VALUE(INDIRECT(""'"" &amp; sheet &amp; ""'!d7"")), 0))))"),10.0)</f>
        <v>10</v>
      </c>
      <c r="E7" s="44">
        <f>IFERROR(__xludf.DUMMYFUNCTION("SUM(MAP(FILTER(Z1:Z100, Z1:Z100 &lt;&gt; """"), LAMBDA(sheet, IFERROR(VALUE(INDIRECT(""'"" &amp; sheet &amp; ""'!e7"")), 0))))"),2.0)</f>
        <v>2</v>
      </c>
      <c r="F7" s="39">
        <f>IFERROR(__xludf.DUMMYFUNCTION("SUM(MAP(FILTER(Z1:Z100, Z1:Z100 &lt;&gt; """"), LAMBDA(sheet, IFERROR(VALUE(INDIRECT(""'"" &amp; sheet &amp; ""'!f7""), 0)))))"),0.0)</f>
        <v>0</v>
      </c>
      <c r="G7" s="35">
        <f t="shared" si="1"/>
        <v>0.380952381</v>
      </c>
      <c r="H7" s="10">
        <f>IFERROR(__xludf.DUMMYFUNCTION("SUM(MAP(FILTER(Z1:Z100, Z1:Z100 &lt;&gt; """"), LAMBDA(sheet, IFERROR(VALUE(INDIRECT(""'"" &amp; sheet &amp; ""'!h7"")), 0))))"),0.0)</f>
        <v>0</v>
      </c>
      <c r="I7" s="10">
        <f>IFERROR(__xludf.DUMMYFUNCTION("SUM(MAP(FILTER(Z1:Z100, Z1:Z100 &lt;&gt; """"), LAMBDA(sheet, IFERROR(VALUE(INDIRECT(""'"" &amp; sheet &amp; ""'!i7"")), 0))))"),0.0)</f>
        <v>0</v>
      </c>
      <c r="J7" s="10">
        <f>IFERROR(__xludf.DUMMYFUNCTION("SUM(MAP(FILTER(Z1:Z100, Z1:Z100 &lt;&gt; """"), LAMBDA(sheet, IFERROR(VALUE(INDIRECT(""'"" &amp; sheet &amp; ""'!j7"")), 0))))"),7.0)</f>
        <v>7</v>
      </c>
      <c r="K7" s="10">
        <f>IFERROR(__xludf.DUMMYFUNCTION("SUM(MAP(FILTER(Z1:Z100, Z1:Z100 &lt;&gt; """"), LAMBDA(sheet, IFERROR(VALUE(INDIRECT(""'"" &amp; sheet &amp; ""'!k7"")), 0))))"),0.0)</f>
        <v>0</v>
      </c>
      <c r="L7" s="10">
        <f>IFERROR(__xludf.DUMMYFUNCTION("SUM(MAP(FILTER(Z1:Z100, Z1:Z100 &lt;&gt; """"), LAMBDA(sheet, IFERROR(VALUE(INDIRECT(""'"" &amp; sheet &amp; ""'!l7"")), 0))))"),2.0)</f>
        <v>2</v>
      </c>
      <c r="M7" s="10">
        <f>IFERROR(__xludf.DUMMYFUNCTION("SUM(MAP(FILTER(Z1:Z100, Z1:Z100 &lt;&gt; """"), LAMBDA(sheet, IFERROR(VALUE(INDIRECT(""'"" &amp; sheet &amp; ""'!m7"")), 0))))"),7.0)</f>
        <v>7</v>
      </c>
      <c r="N7" s="35">
        <f t="shared" si="2"/>
        <v>0.7142857143</v>
      </c>
      <c r="O7" s="35">
        <f t="shared" si="3"/>
        <v>0</v>
      </c>
      <c r="P7" s="10">
        <f>IFERROR(__xludf.DUMMYFUNCTION("SUM(MAP(FILTER(Z1:Z100, Z1:Z100 &lt;&gt; """"), LAMBDA(sheet, IFERROR(VALUE(INDIRECT(""'"" &amp; sheet &amp; ""'!p7"")), 0))))"),10.0)</f>
        <v>10</v>
      </c>
      <c r="Q7" s="10">
        <f>IFERROR(__xludf.DUMMYFUNCTION("SUM(MAP(FILTER(Z1:Z100, Z1:Z100 &lt;&gt; """"), LAMBDA(sheet, IFERROR(VALUE(INDIRECT(""'"" &amp; sheet &amp; ""'!q7"")), 0))))"),2.0)</f>
        <v>2</v>
      </c>
      <c r="R7" s="10">
        <f>IFERROR(__xludf.DUMMYFUNCTION("SUM(MAP(FILTER(Z1:Z100, Z1:Z100 &lt;&gt; """"), LAMBDA(sheet, IFERROR(VALUE(INDIRECT(""'"" &amp; sheet &amp; ""'!r7"")), 0))))"),4.0)</f>
        <v>4</v>
      </c>
      <c r="S7" s="10">
        <f>IFERROR(__xludf.DUMMYFUNCTION("SUM(MAP(FILTER(Z1:Z100, Z1:Z100 &lt;&gt; """"), LAMBDA(sheet, IFERROR(VALUE(INDIRECT(""'"" &amp; sheet &amp; ""'!s7"")), 0))))"),3.0)</f>
        <v>3</v>
      </c>
      <c r="T7" s="10">
        <f>IFERROR(__xludf.DUMMYFUNCTION("SUM(MAP(FILTER(Z1:Z100, Z1:Z100 &lt;&gt; """"), LAMBDA(sheet, IFERROR(VALUE(INDIRECT(""'"" &amp; sheet &amp; ""'!t7"")), 0))))"),1.0)</f>
        <v>1</v>
      </c>
      <c r="U7" s="10">
        <f t="shared" si="4"/>
        <v>1.3</v>
      </c>
    </row>
    <row r="8">
      <c r="A8" s="25" t="s">
        <v>32</v>
      </c>
      <c r="B8" s="25" t="s">
        <v>79</v>
      </c>
      <c r="C8" s="48">
        <f>IFERROR(__xludf.DUMMYFUNCTION("SUM(MAP(FILTER(Z1:Z100, Z1:Z100 &lt;&gt; """"), LAMBDA(sheet, IFERROR(VALUE(INDIRECT(""'"" &amp; sheet &amp; ""'!C8"")), 0))))"),9.0)</f>
        <v>9</v>
      </c>
      <c r="D8" s="47">
        <f>IFERROR(__xludf.DUMMYFUNCTION("SUM(MAP(FILTER(Z1:Z104, Z1:Z104 &lt;&gt; """"), LAMBDA(sheet, IFERROR(VALUE(INDIRECT(""'"" &amp; sheet &amp; ""'!d8"")), 0))))"),2.0)</f>
        <v>2</v>
      </c>
      <c r="E8" s="49">
        <f>IFERROR(__xludf.DUMMYFUNCTION("SUM(MAP(FILTER(Z1:Z100, Z1:Z100 &lt;&gt; """"), LAMBDA(sheet, IFERROR(VALUE(INDIRECT(""'"" &amp; sheet &amp; ""'!e8"")), 0))))"),3.0)</f>
        <v>3</v>
      </c>
      <c r="F8" s="39">
        <f>IFERROR(__xludf.DUMMYFUNCTION("SUM(MAP(FILTER(Z1:Z100, Z1:Z100 &lt;&gt; """"), LAMBDA(sheet, IFERROR(VALUE(INDIRECT(""'"" &amp; sheet &amp; ""'!f8"")), 0))))"),0.0)</f>
        <v>0</v>
      </c>
      <c r="G8" s="35">
        <f t="shared" si="1"/>
        <v>-0.1111111111</v>
      </c>
      <c r="H8" s="10">
        <f>IFERROR(__xludf.DUMMYFUNCTION("SUM(MAP(FILTER(Z1:Z100, Z1:Z100 &lt;&gt; """"), LAMBDA(sheet, IFERROR(VALUE(INDIRECT(""'"" &amp; sheet &amp; ""'!h8"")), 0))))"),0.0)</f>
        <v>0</v>
      </c>
      <c r="I8" s="10">
        <f>IFERROR(__xludf.DUMMYFUNCTION("SUM(MAP(FILTER(Z1:Z100, Z1:Z100 &lt;&gt; """"), LAMBDA(sheet, IFERROR(VALUE(INDIRECT(""'"" &amp; sheet &amp; ""'!i8"")), 0))))"),0.0)</f>
        <v>0</v>
      </c>
      <c r="J8" s="10">
        <f>IFERROR(__xludf.DUMMYFUNCTION("SUM(MAP(FILTER(Z1:Z100, Z1:Z100 &lt;&gt; """"), LAMBDA(sheet, IFERROR(VALUE(INDIRECT(""'"" &amp; sheet &amp; ""'!j8"")), 0))))"),4.0)</f>
        <v>4</v>
      </c>
      <c r="K8" s="10">
        <f>IFERROR(__xludf.DUMMYFUNCTION("SUM(MAP(FILTER(Z1:Z100, Z1:Z100 &lt;&gt; """"), LAMBDA(sheet, IFERROR(VALUE(INDIRECT(""'"" &amp; sheet &amp; ""'!k8"")), 0))))"),0.0)</f>
        <v>0</v>
      </c>
      <c r="L8" s="10">
        <f>IFERROR(__xludf.DUMMYFUNCTION("SUM(MAP(FILTER(Z1:Z100, Z1:Z100 &lt;&gt; """"), LAMBDA(sheet, IFERROR(VALUE(INDIRECT(""'"" &amp; sheet &amp; ""'!l8"")), 0))))"),0.0)</f>
        <v>0</v>
      </c>
      <c r="M8" s="10">
        <f>IFERROR(__xludf.DUMMYFUNCTION("SUM(MAP(FILTER(Z1:Z100, Z1:Z100 &lt;&gt; """"), LAMBDA(sheet, IFERROR(VALUE(INDIRECT(""'"" &amp; sheet &amp; ""'!m8"")), 0))))"),9.0)</f>
        <v>9</v>
      </c>
      <c r="N8" s="35">
        <f t="shared" si="2"/>
        <v>1</v>
      </c>
      <c r="O8" s="35">
        <f t="shared" si="3"/>
        <v>0</v>
      </c>
      <c r="P8" s="10">
        <f>IFERROR(__xludf.DUMMYFUNCTION("SUM(MAP(FILTER(Z1:Z100, Z1:Z100 &lt;&gt; """"), LAMBDA(sheet, IFERROR(VALUE(INDIRECT(""'"" &amp; sheet &amp; ""'!p8"")), 0))))"),10.0)</f>
        <v>10</v>
      </c>
      <c r="Q8" s="10">
        <f>IFERROR(__xludf.DUMMYFUNCTION("SUM(MAP(FILTER(Z1:Z100, Z1:Z100 &lt;&gt; """"), LAMBDA(sheet, IFERROR(VALUE(INDIRECT(""'"" &amp; sheet &amp; ""'!q8"")), 0))))"),2.0)</f>
        <v>2</v>
      </c>
      <c r="R8" s="10">
        <f>IFERROR(__xludf.DUMMYFUNCTION("SUM(MAP(FILTER(Z1:Z100, Z1:Z100 &lt;&gt; """"), LAMBDA(sheet, IFERROR(VALUE(INDIRECT(""'"" &amp; sheet &amp; ""'!r8"")), 0))))"),0.0)</f>
        <v>0</v>
      </c>
      <c r="S8" s="10">
        <f>IFERROR(__xludf.DUMMYFUNCTION("SUM(MAP(FILTER(Z1:Z100, Z1:Z100 &lt;&gt; """"), LAMBDA(sheet, IFERROR(VALUE(INDIRECT(""'"" &amp; sheet &amp; ""'!s8"")), 0))))"),4.0)</f>
        <v>4</v>
      </c>
      <c r="T8" s="10">
        <f>IFERROR(__xludf.DUMMYFUNCTION("SUM(MAP(FILTER(Z1:Z100, Z1:Z100 &lt;&gt; """"), LAMBDA(sheet, IFERROR(VALUE(INDIRECT(""'"" &amp; sheet &amp; ""'!t8"")), 0))))"),4.0)</f>
        <v>4</v>
      </c>
      <c r="U8" s="10">
        <f t="shared" si="4"/>
        <v>2</v>
      </c>
    </row>
    <row r="9">
      <c r="A9" s="26" t="s">
        <v>34</v>
      </c>
      <c r="B9" s="26" t="s">
        <v>80</v>
      </c>
      <c r="C9" s="50">
        <f>IFERROR(__xludf.DUMMYFUNCTION("SUM(MAP(FILTER(Z1:Z100, Z1:Z100 &lt;&gt; """"), LAMBDA(sheet, IFERROR(VALUE(INDIRECT(""'"" &amp; sheet &amp; ""'!C9"")), 0))))"),13.0)</f>
        <v>13</v>
      </c>
      <c r="D9" s="51">
        <f>IFERROR(__xludf.DUMMYFUNCTION("SUM(MAP(FILTER(Z1:Z104, Z1:Z104 &lt;&gt; """"), LAMBDA(sheet, IFERROR(VALUE(INDIRECT(""'"" &amp; sheet &amp; ""'!d9"")), 0))))"),3.0)</f>
        <v>3</v>
      </c>
      <c r="E9" s="38">
        <f>IFERROR(__xludf.DUMMYFUNCTION("SUM(MAP(FILTER(Z1:Z100, Z1:Z100 &lt;&gt; """"), LAMBDA(sheet, IFERROR(VALUE(INDIRECT(""'"" &amp; sheet &amp; ""'!e9"")), 0))))"),1.0)</f>
        <v>1</v>
      </c>
      <c r="F9" s="45">
        <f>IFERROR(__xludf.DUMMYFUNCTION("SUM(MAP(FILTER(Z1:Z100, Z1:Z100 &lt;&gt; """"), LAMBDA(sheet, IFERROR(VALUE(INDIRECT(""'"" &amp; sheet &amp; ""'!f9"")), 0))))"),0.0)</f>
        <v>0</v>
      </c>
      <c r="G9" s="35">
        <f t="shared" si="1"/>
        <v>0.1538461538</v>
      </c>
      <c r="H9" s="10">
        <f>IFERROR(__xludf.DUMMYFUNCTION("SUM(MAP(FILTER(Z1:Z100, Z1:Z100 &lt;&gt; """"), LAMBDA(sheet, IFERROR(VALUE(INDIRECT(""'"" &amp; sheet &amp; ""'!h9"")), 0))))"),0.0)</f>
        <v>0</v>
      </c>
      <c r="I9" s="10">
        <f>IFERROR(__xludf.DUMMYFUNCTION("SUM(MAP(FILTER(Z1:Z100, Z1:Z100 &lt;&gt; """"), LAMBDA(sheet, IFERROR(VALUE(INDIRECT(""'"" &amp; sheet &amp; ""'!i9"")), 0))))"),0.0)</f>
        <v>0</v>
      </c>
      <c r="J9" s="10">
        <f>IFERROR(__xludf.DUMMYFUNCTION("SUM(MAP(FILTER(Z1:Z100, Z1:Z100 &lt;&gt; """"), LAMBDA(sheet, IFERROR(VALUE(INDIRECT(""'"" &amp; sheet &amp; ""'!j9"")), 0))))"),3.0)</f>
        <v>3</v>
      </c>
      <c r="K9" s="10">
        <f>IFERROR(__xludf.DUMMYFUNCTION("SUM(MAP(FILTER(Z1:Z100, Z1:Z100 &lt;&gt; """"), LAMBDA(sheet, IFERROR(VALUE(INDIRECT(""'"" &amp; sheet &amp; ""'!k9"")), 0))))"),1.0)</f>
        <v>1</v>
      </c>
      <c r="L9" s="10">
        <f>IFERROR(__xludf.DUMMYFUNCTION("SUM(MAP(FILTER(Z1:Z100, Z1:Z100 &lt;&gt; """"), LAMBDA(sheet, IFERROR(VALUE(INDIRECT(""'"" &amp; sheet &amp; ""'!l9"")), 0))))"),1.0)</f>
        <v>1</v>
      </c>
      <c r="M9" s="10">
        <f>IFERROR(__xludf.DUMMYFUNCTION("SUM(MAP(FILTER(Z1:Z100, Z1:Z100 &lt;&gt; """"), LAMBDA(sheet, IFERROR(VALUE(INDIRECT(""'"" &amp; sheet &amp; ""'!m9"")), 0))))"),6.0)</f>
        <v>6</v>
      </c>
      <c r="N9" s="35">
        <f t="shared" si="2"/>
        <v>0.8333333333</v>
      </c>
      <c r="O9" s="35">
        <f t="shared" si="3"/>
        <v>0.1666666667</v>
      </c>
      <c r="P9" s="10">
        <f>IFERROR(__xludf.DUMMYFUNCTION("SUM(MAP(FILTER(Z1:Z100, Z1:Z100 &lt;&gt; """"), LAMBDA(sheet, IFERROR(VALUE(INDIRECT(""'"" &amp; sheet &amp; ""'!p9"")), 0))))"),2.0)</f>
        <v>2</v>
      </c>
      <c r="Q9" s="10">
        <f>IFERROR(__xludf.DUMMYFUNCTION("SUM(MAP(FILTER(Z1:Z100, Z1:Z100 &lt;&gt; """"), LAMBDA(sheet, IFERROR(VALUE(INDIRECT(""'"" &amp; sheet &amp; ""'!q9"")), 0))))"),0.0)</f>
        <v>0</v>
      </c>
      <c r="R9" s="10">
        <f>IFERROR(__xludf.DUMMYFUNCTION("SUM(MAP(FILTER(Z1:Z100, Z1:Z100 &lt;&gt; """"), LAMBDA(sheet, IFERROR(VALUE(INDIRECT(""'"" &amp; sheet &amp; ""'!r9"")), 0))))"),1.0)</f>
        <v>1</v>
      </c>
      <c r="S9" s="10">
        <f>IFERROR(__xludf.DUMMYFUNCTION("SUM(MAP(FILTER(Z1:Z100, Z1:Z100 &lt;&gt; """"), LAMBDA(sheet, IFERROR(VALUE(INDIRECT(""'"" &amp; sheet &amp; ""'!s9"")), 0))))"),0.0)</f>
        <v>0</v>
      </c>
      <c r="T9" s="10">
        <f>IFERROR(__xludf.DUMMYFUNCTION("SUM(MAP(FILTER(Z1:Z100, Z1:Z100 &lt;&gt; """"), LAMBDA(sheet, IFERROR(VALUE(INDIRECT(""'"" &amp; sheet &amp; ""'!t9"")), 0))))"),1.0)</f>
        <v>1</v>
      </c>
      <c r="U9" s="10">
        <f t="shared" si="4"/>
        <v>2</v>
      </c>
    </row>
    <row r="10">
      <c r="C10" s="27"/>
      <c r="D10" s="27"/>
      <c r="E10" s="27"/>
      <c r="M10" s="52"/>
      <c r="N10" s="52"/>
      <c r="O10" s="52"/>
    </row>
    <row r="11">
      <c r="M11" s="52"/>
      <c r="N11" s="52"/>
      <c r="O11" s="52"/>
    </row>
    <row r="12">
      <c r="M12" s="52"/>
      <c r="N12" s="52"/>
      <c r="O12" s="52"/>
    </row>
    <row r="13">
      <c r="M13" s="52"/>
      <c r="N13" s="52"/>
      <c r="O13" s="52"/>
    </row>
    <row r="14">
      <c r="M14" s="52"/>
      <c r="N14" s="52"/>
      <c r="O14" s="52"/>
    </row>
    <row r="15">
      <c r="M15" s="52"/>
      <c r="N15" s="52"/>
      <c r="O15" s="52"/>
    </row>
    <row r="16">
      <c r="M16" s="52"/>
      <c r="N16" s="52"/>
      <c r="O16" s="52"/>
    </row>
    <row r="17">
      <c r="M17" s="52"/>
      <c r="N17" s="52"/>
      <c r="O17" s="52"/>
    </row>
    <row r="18">
      <c r="M18" s="52"/>
      <c r="N18" s="52"/>
      <c r="O18" s="52"/>
    </row>
    <row r="19">
      <c r="M19" s="52"/>
      <c r="N19" s="52"/>
      <c r="O19" s="52"/>
    </row>
    <row r="20">
      <c r="M20" s="52"/>
      <c r="N20" s="52"/>
      <c r="O20" s="52"/>
    </row>
    <row r="21">
      <c r="M21" s="52"/>
      <c r="N21" s="52"/>
      <c r="O21" s="52"/>
    </row>
    <row r="22">
      <c r="M22" s="52"/>
      <c r="N22" s="52"/>
      <c r="O22" s="52"/>
    </row>
    <row r="23">
      <c r="M23" s="52"/>
      <c r="N23" s="52"/>
      <c r="O23" s="52"/>
    </row>
    <row r="24">
      <c r="M24" s="52"/>
      <c r="N24" s="52"/>
      <c r="O24" s="52"/>
    </row>
    <row r="25">
      <c r="M25" s="52"/>
      <c r="N25" s="52"/>
      <c r="O25" s="52"/>
    </row>
    <row r="26">
      <c r="M26" s="52"/>
      <c r="N26" s="52"/>
      <c r="O26" s="52"/>
    </row>
    <row r="27">
      <c r="M27" s="52"/>
      <c r="N27" s="52"/>
      <c r="O27" s="52"/>
    </row>
    <row r="28">
      <c r="M28" s="52"/>
      <c r="N28" s="52"/>
      <c r="O28" s="52"/>
    </row>
    <row r="29">
      <c r="M29" s="52"/>
      <c r="N29" s="52"/>
      <c r="O29" s="52"/>
    </row>
    <row r="30">
      <c r="M30" s="52"/>
      <c r="N30" s="52"/>
      <c r="O30" s="52"/>
    </row>
    <row r="31">
      <c r="M31" s="52"/>
      <c r="N31" s="52"/>
      <c r="O31" s="52"/>
    </row>
    <row r="32">
      <c r="M32" s="52"/>
      <c r="N32" s="52"/>
      <c r="O32" s="52"/>
    </row>
    <row r="33">
      <c r="M33" s="52"/>
      <c r="N33" s="52"/>
      <c r="O33" s="52"/>
    </row>
    <row r="34">
      <c r="M34" s="52"/>
      <c r="N34" s="52"/>
      <c r="O34" s="52"/>
    </row>
    <row r="35">
      <c r="M35" s="52"/>
      <c r="N35" s="52"/>
      <c r="O35" s="52"/>
    </row>
    <row r="36">
      <c r="M36" s="52"/>
      <c r="N36" s="52"/>
      <c r="O36" s="52"/>
    </row>
    <row r="37">
      <c r="M37" s="52"/>
      <c r="N37" s="52"/>
      <c r="O37" s="52"/>
    </row>
    <row r="38">
      <c r="M38" s="52"/>
      <c r="N38" s="52"/>
      <c r="O38" s="52"/>
    </row>
    <row r="39">
      <c r="M39" s="52"/>
      <c r="N39" s="52"/>
      <c r="O39" s="52"/>
    </row>
    <row r="40">
      <c r="M40" s="52"/>
      <c r="N40" s="52"/>
      <c r="O40" s="52"/>
    </row>
    <row r="41">
      <c r="M41" s="52"/>
      <c r="N41" s="52"/>
      <c r="O41" s="52"/>
    </row>
    <row r="42">
      <c r="M42" s="52"/>
      <c r="N42" s="52"/>
      <c r="O42" s="52"/>
    </row>
    <row r="43">
      <c r="M43" s="52"/>
      <c r="N43" s="52"/>
      <c r="O43" s="52"/>
    </row>
    <row r="44">
      <c r="M44" s="52"/>
      <c r="N44" s="52"/>
      <c r="O44" s="52"/>
    </row>
    <row r="45">
      <c r="M45" s="52"/>
      <c r="N45" s="52"/>
      <c r="O45" s="52"/>
    </row>
    <row r="46">
      <c r="M46" s="52"/>
      <c r="N46" s="52"/>
      <c r="O46" s="52"/>
    </row>
    <row r="47">
      <c r="M47" s="52"/>
      <c r="N47" s="52"/>
      <c r="O47" s="52"/>
    </row>
    <row r="48">
      <c r="M48" s="52"/>
      <c r="N48" s="52"/>
      <c r="O48" s="52"/>
    </row>
    <row r="49">
      <c r="M49" s="52"/>
      <c r="N49" s="52"/>
      <c r="O49" s="52"/>
    </row>
    <row r="50">
      <c r="M50" s="52"/>
      <c r="N50" s="52"/>
      <c r="O50" s="52"/>
    </row>
    <row r="51">
      <c r="M51" s="52"/>
      <c r="N51" s="52"/>
      <c r="O51" s="52"/>
    </row>
    <row r="52">
      <c r="M52" s="52"/>
      <c r="N52" s="52"/>
      <c r="O52" s="52"/>
    </row>
    <row r="53">
      <c r="M53" s="52"/>
      <c r="N53" s="52"/>
      <c r="O53" s="52"/>
    </row>
    <row r="54">
      <c r="M54" s="52"/>
      <c r="N54" s="52"/>
      <c r="O54" s="52"/>
    </row>
    <row r="55">
      <c r="M55" s="52"/>
      <c r="N55" s="52"/>
      <c r="O55" s="52"/>
    </row>
    <row r="56">
      <c r="M56" s="52"/>
      <c r="N56" s="52"/>
      <c r="O56" s="52"/>
    </row>
    <row r="57">
      <c r="M57" s="52"/>
      <c r="N57" s="52"/>
      <c r="O57" s="52"/>
    </row>
    <row r="58">
      <c r="M58" s="52"/>
      <c r="N58" s="52"/>
      <c r="O58" s="52"/>
    </row>
    <row r="59">
      <c r="M59" s="52"/>
      <c r="N59" s="52"/>
      <c r="O59" s="52"/>
    </row>
    <row r="60">
      <c r="M60" s="52"/>
      <c r="N60" s="52"/>
      <c r="O60" s="52"/>
    </row>
    <row r="61">
      <c r="M61" s="52"/>
      <c r="N61" s="52"/>
      <c r="O61" s="52"/>
    </row>
    <row r="62">
      <c r="M62" s="52"/>
      <c r="N62" s="52"/>
      <c r="O62" s="52"/>
    </row>
    <row r="63">
      <c r="M63" s="52"/>
      <c r="N63" s="52"/>
      <c r="O63" s="52"/>
    </row>
    <row r="64">
      <c r="M64" s="52"/>
      <c r="N64" s="52"/>
      <c r="O64" s="52"/>
    </row>
    <row r="65">
      <c r="M65" s="52"/>
      <c r="N65" s="52"/>
      <c r="O65" s="52"/>
    </row>
    <row r="66">
      <c r="M66" s="52"/>
      <c r="N66" s="52"/>
      <c r="O66" s="52"/>
    </row>
    <row r="67">
      <c r="M67" s="52"/>
      <c r="N67" s="52"/>
      <c r="O67" s="52"/>
    </row>
    <row r="68">
      <c r="M68" s="52"/>
      <c r="N68" s="52"/>
      <c r="O68" s="52"/>
    </row>
    <row r="69">
      <c r="M69" s="52"/>
      <c r="N69" s="52"/>
      <c r="O69" s="52"/>
    </row>
    <row r="70">
      <c r="M70" s="52"/>
      <c r="N70" s="52"/>
      <c r="O70" s="52"/>
    </row>
    <row r="71">
      <c r="M71" s="52"/>
      <c r="N71" s="52"/>
      <c r="O71" s="52"/>
    </row>
    <row r="72">
      <c r="M72" s="52"/>
      <c r="N72" s="52"/>
      <c r="O72" s="52"/>
    </row>
    <row r="73">
      <c r="M73" s="52"/>
      <c r="N73" s="52"/>
      <c r="O73" s="52"/>
    </row>
    <row r="74">
      <c r="M74" s="52"/>
      <c r="N74" s="52"/>
      <c r="O74" s="52"/>
    </row>
    <row r="75">
      <c r="M75" s="52"/>
      <c r="N75" s="52"/>
      <c r="O75" s="52"/>
    </row>
    <row r="76">
      <c r="M76" s="52"/>
      <c r="N76" s="52"/>
      <c r="O76" s="52"/>
    </row>
    <row r="77">
      <c r="M77" s="52"/>
      <c r="N77" s="52"/>
      <c r="O77" s="52"/>
    </row>
    <row r="78">
      <c r="M78" s="52"/>
      <c r="N78" s="52"/>
      <c r="O78" s="52"/>
    </row>
    <row r="79">
      <c r="M79" s="52"/>
      <c r="N79" s="52"/>
      <c r="O79" s="52"/>
    </row>
    <row r="80">
      <c r="M80" s="52"/>
      <c r="N80" s="52"/>
      <c r="O80" s="52"/>
    </row>
    <row r="81">
      <c r="M81" s="52"/>
      <c r="N81" s="52"/>
      <c r="O81" s="52"/>
    </row>
    <row r="82">
      <c r="M82" s="52"/>
      <c r="N82" s="52"/>
      <c r="O82" s="52"/>
    </row>
    <row r="83">
      <c r="M83" s="52"/>
      <c r="N83" s="52"/>
      <c r="O83" s="52"/>
    </row>
    <row r="84">
      <c r="M84" s="52"/>
      <c r="N84" s="52"/>
      <c r="O84" s="52"/>
    </row>
    <row r="85">
      <c r="M85" s="52"/>
      <c r="N85" s="52"/>
      <c r="O85" s="52"/>
    </row>
    <row r="86">
      <c r="M86" s="52"/>
      <c r="N86" s="52"/>
      <c r="O86" s="52"/>
    </row>
    <row r="87">
      <c r="M87" s="52"/>
      <c r="N87" s="52"/>
      <c r="O87" s="52"/>
    </row>
    <row r="88">
      <c r="M88" s="52"/>
      <c r="N88" s="52"/>
      <c r="O88" s="52"/>
    </row>
    <row r="89">
      <c r="M89" s="52"/>
      <c r="N89" s="52"/>
      <c r="O89" s="52"/>
    </row>
    <row r="90">
      <c r="M90" s="52"/>
      <c r="N90" s="52"/>
      <c r="O90" s="52"/>
    </row>
    <row r="91">
      <c r="M91" s="52"/>
      <c r="N91" s="52"/>
      <c r="O91" s="52"/>
    </row>
    <row r="92">
      <c r="M92" s="52"/>
      <c r="N92" s="52"/>
      <c r="O92" s="52"/>
    </row>
    <row r="93">
      <c r="M93" s="52"/>
      <c r="N93" s="52"/>
      <c r="O93" s="52"/>
    </row>
    <row r="94">
      <c r="M94" s="52"/>
      <c r="N94" s="52"/>
      <c r="O94" s="52"/>
    </row>
    <row r="95">
      <c r="M95" s="52"/>
      <c r="N95" s="52"/>
      <c r="O95" s="52"/>
    </row>
    <row r="96">
      <c r="M96" s="52"/>
      <c r="N96" s="52"/>
      <c r="O96" s="52"/>
    </row>
    <row r="97">
      <c r="M97" s="52"/>
      <c r="N97" s="52"/>
      <c r="O97" s="52"/>
    </row>
    <row r="98">
      <c r="M98" s="52"/>
      <c r="N98" s="52"/>
      <c r="O98" s="52"/>
    </row>
    <row r="99">
      <c r="M99" s="52"/>
      <c r="N99" s="52"/>
      <c r="O99" s="52"/>
    </row>
    <row r="100">
      <c r="M100" s="52"/>
      <c r="N100" s="52"/>
      <c r="O100" s="52"/>
    </row>
    <row r="101">
      <c r="M101" s="52"/>
      <c r="N101" s="52"/>
      <c r="O101" s="52"/>
    </row>
    <row r="102">
      <c r="M102" s="52"/>
      <c r="N102" s="52"/>
      <c r="O102" s="52"/>
    </row>
    <row r="103">
      <c r="M103" s="52"/>
      <c r="N103" s="52"/>
      <c r="O103" s="52"/>
    </row>
    <row r="104">
      <c r="M104" s="52"/>
      <c r="N104" s="52"/>
      <c r="O104" s="52"/>
    </row>
    <row r="105">
      <c r="M105" s="52"/>
      <c r="N105" s="52"/>
      <c r="O105" s="52"/>
    </row>
    <row r="106">
      <c r="M106" s="52"/>
      <c r="N106" s="52"/>
      <c r="O106" s="52"/>
    </row>
    <row r="107">
      <c r="M107" s="52"/>
      <c r="N107" s="52"/>
      <c r="O107" s="52"/>
    </row>
    <row r="108">
      <c r="M108" s="52"/>
      <c r="N108" s="52"/>
      <c r="O108" s="52"/>
    </row>
    <row r="109">
      <c r="M109" s="52"/>
      <c r="N109" s="52"/>
      <c r="O109" s="52"/>
    </row>
    <row r="110">
      <c r="M110" s="52"/>
      <c r="N110" s="52"/>
      <c r="O110" s="52"/>
    </row>
    <row r="111">
      <c r="M111" s="52"/>
      <c r="N111" s="52"/>
      <c r="O111" s="52"/>
    </row>
    <row r="112">
      <c r="M112" s="52"/>
      <c r="N112" s="52"/>
      <c r="O112" s="52"/>
    </row>
    <row r="113">
      <c r="M113" s="52"/>
      <c r="N113" s="52"/>
      <c r="O113" s="52"/>
    </row>
    <row r="114">
      <c r="M114" s="52"/>
      <c r="N114" s="52"/>
      <c r="O114" s="52"/>
    </row>
    <row r="115">
      <c r="M115" s="52"/>
      <c r="N115" s="52"/>
      <c r="O115" s="52"/>
    </row>
    <row r="116">
      <c r="M116" s="52"/>
      <c r="N116" s="52"/>
      <c r="O116" s="52"/>
    </row>
    <row r="117">
      <c r="M117" s="52"/>
      <c r="N117" s="52"/>
      <c r="O117" s="52"/>
    </row>
    <row r="118">
      <c r="M118" s="52"/>
      <c r="N118" s="52"/>
      <c r="O118" s="52"/>
    </row>
    <row r="119">
      <c r="M119" s="52"/>
      <c r="N119" s="52"/>
      <c r="O119" s="52"/>
    </row>
    <row r="120">
      <c r="M120" s="52"/>
      <c r="N120" s="52"/>
      <c r="O120" s="52"/>
    </row>
    <row r="121">
      <c r="M121" s="52"/>
      <c r="N121" s="52"/>
      <c r="O121" s="52"/>
    </row>
    <row r="122">
      <c r="M122" s="52"/>
      <c r="N122" s="52"/>
      <c r="O122" s="52"/>
    </row>
    <row r="123">
      <c r="M123" s="52"/>
      <c r="N123" s="52"/>
      <c r="O123" s="52"/>
    </row>
    <row r="124">
      <c r="M124" s="52"/>
      <c r="N124" s="52"/>
      <c r="O124" s="52"/>
    </row>
    <row r="125">
      <c r="M125" s="52"/>
      <c r="N125" s="52"/>
      <c r="O125" s="52"/>
    </row>
    <row r="126">
      <c r="M126" s="52"/>
      <c r="N126" s="52"/>
      <c r="O126" s="52"/>
    </row>
    <row r="127">
      <c r="M127" s="52"/>
      <c r="N127" s="52"/>
      <c r="O127" s="52"/>
    </row>
    <row r="128">
      <c r="M128" s="52"/>
      <c r="N128" s="52"/>
      <c r="O128" s="52"/>
    </row>
    <row r="129">
      <c r="M129" s="52"/>
      <c r="N129" s="52"/>
      <c r="O129" s="52"/>
    </row>
    <row r="130">
      <c r="M130" s="52"/>
      <c r="N130" s="52"/>
      <c r="O130" s="52"/>
    </row>
    <row r="131">
      <c r="M131" s="52"/>
      <c r="N131" s="52"/>
      <c r="O131" s="52"/>
    </row>
    <row r="132">
      <c r="M132" s="52"/>
      <c r="N132" s="52"/>
      <c r="O132" s="52"/>
    </row>
    <row r="133">
      <c r="M133" s="52"/>
      <c r="N133" s="52"/>
      <c r="O133" s="52"/>
    </row>
    <row r="134">
      <c r="M134" s="52"/>
      <c r="N134" s="52"/>
      <c r="O134" s="52"/>
    </row>
    <row r="135">
      <c r="M135" s="52"/>
      <c r="N135" s="52"/>
      <c r="O135" s="52"/>
    </row>
    <row r="136">
      <c r="M136" s="52"/>
      <c r="N136" s="52"/>
      <c r="O136" s="52"/>
    </row>
    <row r="137">
      <c r="M137" s="52"/>
      <c r="N137" s="52"/>
      <c r="O137" s="52"/>
    </row>
    <row r="138">
      <c r="M138" s="52"/>
      <c r="N138" s="52"/>
      <c r="O138" s="52"/>
    </row>
    <row r="139">
      <c r="M139" s="52"/>
      <c r="N139" s="52"/>
      <c r="O139" s="52"/>
    </row>
    <row r="140">
      <c r="M140" s="52"/>
      <c r="N140" s="52"/>
      <c r="O140" s="52"/>
    </row>
    <row r="141">
      <c r="M141" s="52"/>
      <c r="N141" s="52"/>
      <c r="O141" s="52"/>
    </row>
    <row r="142">
      <c r="M142" s="52"/>
      <c r="N142" s="52"/>
      <c r="O142" s="52"/>
    </row>
    <row r="143">
      <c r="M143" s="52"/>
      <c r="N143" s="52"/>
      <c r="O143" s="52"/>
    </row>
    <row r="144">
      <c r="M144" s="52"/>
      <c r="N144" s="52"/>
      <c r="O144" s="52"/>
    </row>
    <row r="145">
      <c r="M145" s="52"/>
      <c r="N145" s="52"/>
      <c r="O145" s="52"/>
    </row>
    <row r="146">
      <c r="M146" s="52"/>
      <c r="N146" s="52"/>
      <c r="O146" s="52"/>
    </row>
    <row r="147">
      <c r="M147" s="52"/>
      <c r="N147" s="52"/>
      <c r="O147" s="52"/>
    </row>
    <row r="148">
      <c r="M148" s="52"/>
      <c r="N148" s="52"/>
      <c r="O148" s="52"/>
    </row>
    <row r="149">
      <c r="M149" s="52"/>
      <c r="N149" s="52"/>
      <c r="O149" s="52"/>
    </row>
    <row r="150">
      <c r="M150" s="52"/>
      <c r="N150" s="52"/>
      <c r="O150" s="52"/>
    </row>
    <row r="151">
      <c r="M151" s="52"/>
      <c r="N151" s="52"/>
      <c r="O151" s="52"/>
    </row>
    <row r="152">
      <c r="M152" s="52"/>
      <c r="N152" s="52"/>
      <c r="O152" s="52"/>
    </row>
    <row r="153">
      <c r="M153" s="52"/>
      <c r="N153" s="52"/>
      <c r="O153" s="52"/>
    </row>
    <row r="154">
      <c r="M154" s="52"/>
      <c r="N154" s="52"/>
      <c r="O154" s="52"/>
    </row>
    <row r="155">
      <c r="M155" s="52"/>
      <c r="N155" s="52"/>
      <c r="O155" s="52"/>
    </row>
    <row r="156">
      <c r="M156" s="52"/>
      <c r="N156" s="52"/>
      <c r="O156" s="52"/>
    </row>
    <row r="157">
      <c r="M157" s="52"/>
      <c r="N157" s="52"/>
      <c r="O157" s="52"/>
    </row>
    <row r="158">
      <c r="M158" s="52"/>
      <c r="N158" s="52"/>
      <c r="O158" s="52"/>
    </row>
    <row r="159">
      <c r="M159" s="52"/>
      <c r="N159" s="52"/>
      <c r="O159" s="52"/>
    </row>
    <row r="160">
      <c r="M160" s="52"/>
      <c r="N160" s="52"/>
      <c r="O160" s="52"/>
    </row>
    <row r="161">
      <c r="M161" s="52"/>
      <c r="N161" s="52"/>
      <c r="O161" s="52"/>
    </row>
    <row r="162">
      <c r="M162" s="52"/>
      <c r="N162" s="52"/>
      <c r="O162" s="52"/>
    </row>
    <row r="163">
      <c r="M163" s="52"/>
      <c r="N163" s="52"/>
      <c r="O163" s="52"/>
    </row>
    <row r="164">
      <c r="M164" s="52"/>
      <c r="N164" s="52"/>
      <c r="O164" s="52"/>
    </row>
    <row r="165">
      <c r="M165" s="52"/>
      <c r="N165" s="52"/>
      <c r="O165" s="52"/>
    </row>
    <row r="166">
      <c r="M166" s="52"/>
      <c r="N166" s="52"/>
      <c r="O166" s="52"/>
    </row>
    <row r="167">
      <c r="M167" s="52"/>
      <c r="N167" s="52"/>
      <c r="O167" s="52"/>
    </row>
    <row r="168">
      <c r="M168" s="52"/>
      <c r="N168" s="52"/>
      <c r="O168" s="52"/>
    </row>
    <row r="169">
      <c r="M169" s="52"/>
      <c r="N169" s="52"/>
      <c r="O169" s="52"/>
    </row>
    <row r="170">
      <c r="M170" s="52"/>
      <c r="N170" s="52"/>
      <c r="O170" s="52"/>
    </row>
    <row r="171">
      <c r="M171" s="52"/>
      <c r="N171" s="52"/>
      <c r="O171" s="52"/>
    </row>
    <row r="172">
      <c r="M172" s="52"/>
      <c r="N172" s="52"/>
      <c r="O172" s="52"/>
    </row>
    <row r="173">
      <c r="M173" s="52"/>
      <c r="N173" s="52"/>
      <c r="O173" s="52"/>
    </row>
    <row r="174">
      <c r="M174" s="52"/>
      <c r="N174" s="52"/>
      <c r="O174" s="52"/>
    </row>
    <row r="175">
      <c r="M175" s="52"/>
      <c r="N175" s="52"/>
      <c r="O175" s="52"/>
    </row>
    <row r="176">
      <c r="M176" s="52"/>
      <c r="N176" s="52"/>
      <c r="O176" s="52"/>
    </row>
    <row r="177">
      <c r="M177" s="52"/>
      <c r="N177" s="52"/>
      <c r="O177" s="52"/>
    </row>
    <row r="178">
      <c r="M178" s="52"/>
      <c r="N178" s="52"/>
      <c r="O178" s="52"/>
    </row>
    <row r="179">
      <c r="M179" s="52"/>
      <c r="N179" s="52"/>
      <c r="O179" s="52"/>
    </row>
    <row r="180">
      <c r="M180" s="52"/>
      <c r="N180" s="52"/>
      <c r="O180" s="52"/>
    </row>
    <row r="181">
      <c r="M181" s="52"/>
      <c r="N181" s="52"/>
      <c r="O181" s="52"/>
    </row>
    <row r="182">
      <c r="M182" s="52"/>
      <c r="N182" s="52"/>
      <c r="O182" s="52"/>
    </row>
    <row r="183">
      <c r="M183" s="52"/>
      <c r="N183" s="52"/>
      <c r="O183" s="52"/>
    </row>
    <row r="184">
      <c r="M184" s="52"/>
      <c r="N184" s="52"/>
      <c r="O184" s="52"/>
    </row>
    <row r="185">
      <c r="M185" s="52"/>
      <c r="N185" s="52"/>
      <c r="O185" s="52"/>
    </row>
    <row r="186">
      <c r="M186" s="52"/>
      <c r="N186" s="52"/>
      <c r="O186" s="52"/>
    </row>
    <row r="187">
      <c r="M187" s="52"/>
      <c r="N187" s="52"/>
      <c r="O187" s="52"/>
    </row>
    <row r="188">
      <c r="M188" s="52"/>
      <c r="N188" s="52"/>
      <c r="O188" s="52"/>
    </row>
    <row r="189">
      <c r="M189" s="52"/>
      <c r="N189" s="52"/>
      <c r="O189" s="52"/>
    </row>
    <row r="190">
      <c r="M190" s="52"/>
      <c r="N190" s="52"/>
      <c r="O190" s="52"/>
    </row>
    <row r="191">
      <c r="M191" s="52"/>
      <c r="N191" s="52"/>
      <c r="O191" s="52"/>
    </row>
    <row r="192">
      <c r="M192" s="52"/>
      <c r="N192" s="52"/>
      <c r="O192" s="52"/>
    </row>
    <row r="193">
      <c r="M193" s="52"/>
      <c r="N193" s="52"/>
      <c r="O193" s="52"/>
    </row>
    <row r="194">
      <c r="M194" s="52"/>
      <c r="N194" s="52"/>
      <c r="O194" s="52"/>
    </row>
    <row r="195">
      <c r="M195" s="52"/>
      <c r="N195" s="52"/>
      <c r="O195" s="52"/>
    </row>
    <row r="196">
      <c r="M196" s="52"/>
      <c r="N196" s="52"/>
      <c r="O196" s="52"/>
    </row>
    <row r="197">
      <c r="M197" s="52"/>
      <c r="N197" s="52"/>
      <c r="O197" s="52"/>
    </row>
    <row r="198">
      <c r="M198" s="52"/>
      <c r="N198" s="52"/>
      <c r="O198" s="52"/>
    </row>
    <row r="199">
      <c r="M199" s="52"/>
      <c r="N199" s="52"/>
      <c r="O199" s="52"/>
    </row>
    <row r="200">
      <c r="M200" s="52"/>
      <c r="N200" s="52"/>
      <c r="O200" s="52"/>
    </row>
    <row r="201">
      <c r="M201" s="52"/>
      <c r="N201" s="52"/>
      <c r="O201" s="52"/>
    </row>
    <row r="202">
      <c r="M202" s="52"/>
      <c r="N202" s="52"/>
      <c r="O202" s="52"/>
    </row>
    <row r="203">
      <c r="M203" s="52"/>
      <c r="N203" s="52"/>
      <c r="O203" s="52"/>
    </row>
    <row r="204">
      <c r="M204" s="52"/>
      <c r="N204" s="52"/>
      <c r="O204" s="52"/>
    </row>
    <row r="205">
      <c r="M205" s="52"/>
      <c r="N205" s="52"/>
      <c r="O205" s="52"/>
    </row>
    <row r="206">
      <c r="M206" s="52"/>
      <c r="N206" s="52"/>
      <c r="O206" s="52"/>
    </row>
    <row r="207">
      <c r="M207" s="52"/>
      <c r="N207" s="52"/>
      <c r="O207" s="52"/>
    </row>
    <row r="208">
      <c r="M208" s="52"/>
      <c r="N208" s="52"/>
      <c r="O208" s="52"/>
    </row>
    <row r="209">
      <c r="M209" s="52"/>
      <c r="N209" s="52"/>
      <c r="O209" s="52"/>
    </row>
    <row r="210">
      <c r="M210" s="52"/>
      <c r="N210" s="52"/>
      <c r="O210" s="52"/>
    </row>
    <row r="211">
      <c r="M211" s="52"/>
      <c r="N211" s="52"/>
      <c r="O211" s="52"/>
    </row>
    <row r="212">
      <c r="M212" s="52"/>
      <c r="N212" s="52"/>
      <c r="O212" s="52"/>
    </row>
    <row r="213">
      <c r="M213" s="52"/>
      <c r="N213" s="52"/>
      <c r="O213" s="52"/>
    </row>
    <row r="214">
      <c r="M214" s="52"/>
      <c r="N214" s="52"/>
      <c r="O214" s="52"/>
    </row>
    <row r="215">
      <c r="M215" s="52"/>
      <c r="N215" s="52"/>
      <c r="O215" s="52"/>
    </row>
    <row r="216">
      <c r="M216" s="52"/>
      <c r="N216" s="52"/>
      <c r="O216" s="52"/>
    </row>
    <row r="217">
      <c r="M217" s="52"/>
      <c r="N217" s="52"/>
      <c r="O217" s="52"/>
    </row>
    <row r="218">
      <c r="M218" s="52"/>
      <c r="N218" s="52"/>
      <c r="O218" s="52"/>
    </row>
    <row r="219">
      <c r="M219" s="52"/>
      <c r="N219" s="52"/>
      <c r="O219" s="52"/>
    </row>
    <row r="220">
      <c r="M220" s="52"/>
      <c r="N220" s="52"/>
      <c r="O220" s="52"/>
    </row>
    <row r="221">
      <c r="M221" s="52"/>
      <c r="N221" s="52"/>
      <c r="O221" s="52"/>
    </row>
    <row r="222">
      <c r="M222" s="52"/>
      <c r="N222" s="52"/>
      <c r="O222" s="52"/>
    </row>
    <row r="223">
      <c r="M223" s="52"/>
      <c r="N223" s="52"/>
      <c r="O223" s="52"/>
    </row>
    <row r="224">
      <c r="M224" s="52"/>
      <c r="N224" s="52"/>
      <c r="O224" s="52"/>
    </row>
    <row r="225">
      <c r="M225" s="52"/>
      <c r="N225" s="52"/>
      <c r="O225" s="52"/>
    </row>
    <row r="226">
      <c r="M226" s="52"/>
      <c r="N226" s="52"/>
      <c r="O226" s="52"/>
    </row>
    <row r="227">
      <c r="M227" s="52"/>
      <c r="N227" s="52"/>
      <c r="O227" s="52"/>
    </row>
    <row r="228">
      <c r="M228" s="52"/>
      <c r="N228" s="52"/>
      <c r="O228" s="52"/>
    </row>
    <row r="229">
      <c r="M229" s="52"/>
      <c r="N229" s="52"/>
      <c r="O229" s="52"/>
    </row>
    <row r="230">
      <c r="M230" s="52"/>
      <c r="N230" s="52"/>
      <c r="O230" s="52"/>
    </row>
    <row r="231">
      <c r="M231" s="52"/>
      <c r="N231" s="52"/>
      <c r="O231" s="52"/>
    </row>
    <row r="232">
      <c r="M232" s="52"/>
      <c r="N232" s="52"/>
      <c r="O232" s="52"/>
    </row>
    <row r="233">
      <c r="M233" s="52"/>
      <c r="N233" s="52"/>
      <c r="O233" s="52"/>
    </row>
    <row r="234">
      <c r="M234" s="52"/>
      <c r="N234" s="52"/>
      <c r="O234" s="52"/>
    </row>
    <row r="235">
      <c r="M235" s="52"/>
      <c r="N235" s="52"/>
      <c r="O235" s="52"/>
    </row>
    <row r="236">
      <c r="M236" s="52"/>
      <c r="N236" s="52"/>
      <c r="O236" s="52"/>
    </row>
    <row r="237">
      <c r="M237" s="52"/>
      <c r="N237" s="52"/>
      <c r="O237" s="52"/>
    </row>
    <row r="238">
      <c r="M238" s="52"/>
      <c r="N238" s="52"/>
      <c r="O238" s="52"/>
    </row>
    <row r="239">
      <c r="M239" s="52"/>
      <c r="N239" s="52"/>
      <c r="O239" s="52"/>
    </row>
    <row r="240">
      <c r="M240" s="52"/>
      <c r="N240" s="52"/>
      <c r="O240" s="52"/>
    </row>
    <row r="241">
      <c r="M241" s="52"/>
      <c r="N241" s="52"/>
      <c r="O241" s="52"/>
    </row>
    <row r="242">
      <c r="M242" s="52"/>
      <c r="N242" s="52"/>
      <c r="O242" s="52"/>
    </row>
    <row r="243">
      <c r="M243" s="52"/>
      <c r="N243" s="52"/>
      <c r="O243" s="52"/>
    </row>
    <row r="244">
      <c r="M244" s="52"/>
      <c r="N244" s="52"/>
      <c r="O244" s="52"/>
    </row>
    <row r="245">
      <c r="M245" s="52"/>
      <c r="N245" s="52"/>
      <c r="O245" s="52"/>
    </row>
    <row r="246">
      <c r="M246" s="52"/>
      <c r="N246" s="52"/>
      <c r="O246" s="52"/>
    </row>
    <row r="247">
      <c r="M247" s="52"/>
      <c r="N247" s="52"/>
      <c r="O247" s="52"/>
    </row>
    <row r="248">
      <c r="M248" s="52"/>
      <c r="N248" s="52"/>
      <c r="O248" s="52"/>
    </row>
    <row r="249">
      <c r="M249" s="52"/>
      <c r="N249" s="52"/>
      <c r="O249" s="52"/>
    </row>
    <row r="250">
      <c r="M250" s="52"/>
      <c r="N250" s="52"/>
      <c r="O250" s="52"/>
    </row>
    <row r="251">
      <c r="M251" s="52"/>
      <c r="N251" s="52"/>
      <c r="O251" s="52"/>
    </row>
    <row r="252">
      <c r="M252" s="52"/>
      <c r="N252" s="52"/>
      <c r="O252" s="52"/>
    </row>
    <row r="253">
      <c r="M253" s="52"/>
      <c r="N253" s="52"/>
      <c r="O253" s="52"/>
    </row>
    <row r="254">
      <c r="M254" s="52"/>
      <c r="N254" s="52"/>
      <c r="O254" s="52"/>
    </row>
    <row r="255">
      <c r="M255" s="52"/>
      <c r="N255" s="52"/>
      <c r="O255" s="52"/>
    </row>
    <row r="256">
      <c r="M256" s="52"/>
      <c r="N256" s="52"/>
      <c r="O256" s="52"/>
    </row>
    <row r="257">
      <c r="M257" s="52"/>
      <c r="N257" s="52"/>
      <c r="O257" s="52"/>
    </row>
    <row r="258">
      <c r="M258" s="52"/>
      <c r="N258" s="52"/>
      <c r="O258" s="52"/>
    </row>
    <row r="259">
      <c r="M259" s="52"/>
      <c r="N259" s="52"/>
      <c r="O259" s="52"/>
    </row>
    <row r="260">
      <c r="M260" s="52"/>
      <c r="N260" s="52"/>
      <c r="O260" s="52"/>
    </row>
    <row r="261">
      <c r="M261" s="52"/>
      <c r="N261" s="52"/>
      <c r="O261" s="52"/>
    </row>
    <row r="262">
      <c r="M262" s="52"/>
      <c r="N262" s="52"/>
      <c r="O262" s="52"/>
    </row>
    <row r="263">
      <c r="M263" s="52"/>
      <c r="N263" s="52"/>
      <c r="O263" s="52"/>
    </row>
    <row r="264">
      <c r="M264" s="52"/>
      <c r="N264" s="52"/>
      <c r="O264" s="52"/>
    </row>
    <row r="265">
      <c r="M265" s="52"/>
      <c r="N265" s="52"/>
      <c r="O265" s="52"/>
    </row>
    <row r="266">
      <c r="M266" s="52"/>
      <c r="N266" s="52"/>
      <c r="O266" s="52"/>
    </row>
    <row r="267">
      <c r="M267" s="52"/>
      <c r="N267" s="52"/>
      <c r="O267" s="52"/>
    </row>
    <row r="268">
      <c r="M268" s="52"/>
      <c r="N268" s="52"/>
      <c r="O268" s="52"/>
    </row>
    <row r="269">
      <c r="M269" s="52"/>
      <c r="N269" s="52"/>
      <c r="O269" s="52"/>
    </row>
    <row r="270">
      <c r="M270" s="52"/>
      <c r="N270" s="52"/>
      <c r="O270" s="52"/>
    </row>
    <row r="271">
      <c r="M271" s="52"/>
      <c r="N271" s="52"/>
      <c r="O271" s="52"/>
    </row>
    <row r="272">
      <c r="M272" s="52"/>
      <c r="N272" s="52"/>
      <c r="O272" s="52"/>
    </row>
    <row r="273">
      <c r="M273" s="52"/>
      <c r="N273" s="52"/>
      <c r="O273" s="52"/>
    </row>
    <row r="274">
      <c r="M274" s="52"/>
      <c r="N274" s="52"/>
      <c r="O274" s="52"/>
    </row>
    <row r="275">
      <c r="M275" s="52"/>
      <c r="N275" s="52"/>
      <c r="O275" s="52"/>
    </row>
    <row r="276">
      <c r="M276" s="52"/>
      <c r="N276" s="52"/>
      <c r="O276" s="52"/>
    </row>
    <row r="277">
      <c r="M277" s="52"/>
      <c r="N277" s="52"/>
      <c r="O277" s="52"/>
    </row>
    <row r="278">
      <c r="M278" s="52"/>
      <c r="N278" s="52"/>
      <c r="O278" s="52"/>
    </row>
    <row r="279">
      <c r="M279" s="52"/>
      <c r="N279" s="52"/>
      <c r="O279" s="52"/>
    </row>
    <row r="280">
      <c r="M280" s="52"/>
      <c r="N280" s="52"/>
      <c r="O280" s="52"/>
    </row>
    <row r="281">
      <c r="M281" s="52"/>
      <c r="N281" s="52"/>
      <c r="O281" s="52"/>
    </row>
    <row r="282">
      <c r="M282" s="52"/>
      <c r="N282" s="52"/>
      <c r="O282" s="52"/>
    </row>
    <row r="283">
      <c r="M283" s="52"/>
      <c r="N283" s="52"/>
      <c r="O283" s="52"/>
    </row>
    <row r="284">
      <c r="M284" s="52"/>
      <c r="N284" s="52"/>
      <c r="O284" s="52"/>
    </row>
    <row r="285">
      <c r="M285" s="52"/>
      <c r="N285" s="52"/>
      <c r="O285" s="52"/>
    </row>
    <row r="286">
      <c r="M286" s="52"/>
      <c r="N286" s="52"/>
      <c r="O286" s="52"/>
    </row>
    <row r="287">
      <c r="M287" s="52"/>
      <c r="N287" s="52"/>
      <c r="O287" s="52"/>
    </row>
    <row r="288">
      <c r="M288" s="52"/>
      <c r="N288" s="52"/>
      <c r="O288" s="52"/>
    </row>
    <row r="289">
      <c r="M289" s="52"/>
      <c r="N289" s="52"/>
      <c r="O289" s="52"/>
    </row>
    <row r="290">
      <c r="M290" s="52"/>
      <c r="N290" s="52"/>
      <c r="O290" s="52"/>
    </row>
    <row r="291">
      <c r="M291" s="52"/>
      <c r="N291" s="52"/>
      <c r="O291" s="52"/>
    </row>
    <row r="292">
      <c r="M292" s="52"/>
      <c r="N292" s="52"/>
      <c r="O292" s="52"/>
    </row>
    <row r="293">
      <c r="M293" s="52"/>
      <c r="N293" s="52"/>
      <c r="O293" s="52"/>
    </row>
    <row r="294">
      <c r="M294" s="52"/>
      <c r="N294" s="52"/>
      <c r="O294" s="52"/>
    </row>
    <row r="295">
      <c r="M295" s="52"/>
      <c r="N295" s="52"/>
      <c r="O295" s="52"/>
    </row>
    <row r="296">
      <c r="M296" s="52"/>
      <c r="N296" s="52"/>
      <c r="O296" s="52"/>
    </row>
    <row r="297">
      <c r="M297" s="52"/>
      <c r="N297" s="52"/>
      <c r="O297" s="52"/>
    </row>
    <row r="298">
      <c r="M298" s="52"/>
      <c r="N298" s="52"/>
      <c r="O298" s="52"/>
    </row>
    <row r="299">
      <c r="M299" s="52"/>
      <c r="N299" s="52"/>
      <c r="O299" s="52"/>
    </row>
    <row r="300">
      <c r="M300" s="52"/>
      <c r="N300" s="52"/>
      <c r="O300" s="52"/>
    </row>
    <row r="301">
      <c r="M301" s="52"/>
      <c r="N301" s="52"/>
      <c r="O301" s="52"/>
    </row>
    <row r="302">
      <c r="M302" s="52"/>
      <c r="N302" s="52"/>
      <c r="O302" s="52"/>
    </row>
    <row r="303">
      <c r="M303" s="52"/>
      <c r="N303" s="52"/>
      <c r="O303" s="52"/>
    </row>
    <row r="304">
      <c r="M304" s="52"/>
      <c r="N304" s="52"/>
      <c r="O304" s="52"/>
    </row>
    <row r="305">
      <c r="M305" s="52"/>
      <c r="N305" s="52"/>
      <c r="O305" s="52"/>
    </row>
    <row r="306">
      <c r="M306" s="52"/>
      <c r="N306" s="52"/>
      <c r="O306" s="52"/>
    </row>
    <row r="307">
      <c r="M307" s="52"/>
      <c r="N307" s="52"/>
      <c r="O307" s="52"/>
    </row>
    <row r="308">
      <c r="M308" s="52"/>
      <c r="N308" s="52"/>
      <c r="O308" s="52"/>
    </row>
    <row r="309">
      <c r="M309" s="52"/>
      <c r="N309" s="52"/>
      <c r="O309" s="52"/>
    </row>
    <row r="310">
      <c r="M310" s="52"/>
      <c r="N310" s="52"/>
      <c r="O310" s="52"/>
    </row>
    <row r="311">
      <c r="M311" s="52"/>
      <c r="N311" s="52"/>
      <c r="O311" s="52"/>
    </row>
    <row r="312">
      <c r="M312" s="52"/>
      <c r="N312" s="52"/>
      <c r="O312" s="52"/>
    </row>
    <row r="313">
      <c r="M313" s="52"/>
      <c r="N313" s="52"/>
      <c r="O313" s="52"/>
    </row>
    <row r="314">
      <c r="M314" s="52"/>
      <c r="N314" s="52"/>
      <c r="O314" s="52"/>
    </row>
    <row r="315">
      <c r="M315" s="52"/>
      <c r="N315" s="52"/>
      <c r="O315" s="52"/>
    </row>
    <row r="316">
      <c r="M316" s="52"/>
      <c r="N316" s="52"/>
      <c r="O316" s="52"/>
    </row>
    <row r="317">
      <c r="M317" s="52"/>
      <c r="N317" s="52"/>
      <c r="O317" s="52"/>
    </row>
    <row r="318">
      <c r="M318" s="52"/>
      <c r="N318" s="52"/>
      <c r="O318" s="52"/>
    </row>
    <row r="319">
      <c r="M319" s="52"/>
      <c r="N319" s="52"/>
      <c r="O319" s="52"/>
    </row>
    <row r="320">
      <c r="M320" s="52"/>
      <c r="N320" s="52"/>
      <c r="O320" s="52"/>
    </row>
    <row r="321">
      <c r="M321" s="52"/>
      <c r="N321" s="52"/>
      <c r="O321" s="52"/>
    </row>
    <row r="322">
      <c r="M322" s="52"/>
      <c r="N322" s="52"/>
      <c r="O322" s="52"/>
    </row>
    <row r="323">
      <c r="M323" s="52"/>
      <c r="N323" s="52"/>
      <c r="O323" s="52"/>
    </row>
    <row r="324">
      <c r="M324" s="52"/>
      <c r="N324" s="52"/>
      <c r="O324" s="52"/>
    </row>
    <row r="325">
      <c r="M325" s="52"/>
      <c r="N325" s="52"/>
      <c r="O325" s="52"/>
    </row>
    <row r="326">
      <c r="M326" s="52"/>
      <c r="N326" s="52"/>
      <c r="O326" s="52"/>
    </row>
    <row r="327">
      <c r="M327" s="52"/>
      <c r="N327" s="52"/>
      <c r="O327" s="52"/>
    </row>
    <row r="328">
      <c r="M328" s="52"/>
      <c r="N328" s="52"/>
      <c r="O328" s="52"/>
    </row>
    <row r="329">
      <c r="M329" s="52"/>
      <c r="N329" s="52"/>
      <c r="O329" s="52"/>
    </row>
    <row r="330">
      <c r="M330" s="52"/>
      <c r="N330" s="52"/>
      <c r="O330" s="52"/>
    </row>
    <row r="331">
      <c r="M331" s="52"/>
      <c r="N331" s="52"/>
      <c r="O331" s="52"/>
    </row>
    <row r="332">
      <c r="M332" s="52"/>
      <c r="N332" s="52"/>
      <c r="O332" s="52"/>
    </row>
    <row r="333">
      <c r="M333" s="52"/>
      <c r="N333" s="52"/>
      <c r="O333" s="52"/>
    </row>
    <row r="334">
      <c r="M334" s="52"/>
      <c r="N334" s="52"/>
      <c r="O334" s="52"/>
    </row>
    <row r="335">
      <c r="M335" s="52"/>
      <c r="N335" s="52"/>
      <c r="O335" s="52"/>
    </row>
    <row r="336">
      <c r="M336" s="52"/>
      <c r="N336" s="52"/>
      <c r="O336" s="52"/>
    </row>
    <row r="337">
      <c r="M337" s="52"/>
      <c r="N337" s="52"/>
      <c r="O337" s="52"/>
    </row>
    <row r="338">
      <c r="M338" s="52"/>
      <c r="N338" s="52"/>
      <c r="O338" s="52"/>
    </row>
    <row r="339">
      <c r="M339" s="52"/>
      <c r="N339" s="52"/>
      <c r="O339" s="52"/>
    </row>
    <row r="340">
      <c r="M340" s="52"/>
      <c r="N340" s="52"/>
      <c r="O340" s="52"/>
    </row>
    <row r="341">
      <c r="M341" s="52"/>
      <c r="N341" s="52"/>
      <c r="O341" s="52"/>
    </row>
    <row r="342">
      <c r="M342" s="52"/>
      <c r="N342" s="52"/>
      <c r="O342" s="52"/>
    </row>
    <row r="343">
      <c r="M343" s="52"/>
      <c r="N343" s="52"/>
      <c r="O343" s="52"/>
    </row>
    <row r="344">
      <c r="M344" s="52"/>
      <c r="N344" s="52"/>
      <c r="O344" s="52"/>
    </row>
    <row r="345">
      <c r="M345" s="52"/>
      <c r="N345" s="52"/>
      <c r="O345" s="52"/>
    </row>
    <row r="346">
      <c r="M346" s="52"/>
      <c r="N346" s="52"/>
      <c r="O346" s="52"/>
    </row>
    <row r="347">
      <c r="M347" s="52"/>
      <c r="N347" s="52"/>
      <c r="O347" s="52"/>
    </row>
    <row r="348">
      <c r="M348" s="52"/>
      <c r="N348" s="52"/>
      <c r="O348" s="52"/>
    </row>
    <row r="349">
      <c r="M349" s="52"/>
      <c r="N349" s="52"/>
      <c r="O349" s="52"/>
    </row>
    <row r="350">
      <c r="M350" s="52"/>
      <c r="N350" s="52"/>
      <c r="O350" s="52"/>
    </row>
    <row r="351">
      <c r="M351" s="52"/>
      <c r="N351" s="52"/>
      <c r="O351" s="52"/>
    </row>
    <row r="352">
      <c r="M352" s="52"/>
      <c r="N352" s="52"/>
      <c r="O352" s="52"/>
    </row>
    <row r="353">
      <c r="M353" s="52"/>
      <c r="N353" s="52"/>
      <c r="O353" s="52"/>
    </row>
    <row r="354">
      <c r="M354" s="52"/>
      <c r="N354" s="52"/>
      <c r="O354" s="52"/>
    </row>
    <row r="355">
      <c r="M355" s="52"/>
      <c r="N355" s="52"/>
      <c r="O355" s="52"/>
    </row>
    <row r="356">
      <c r="M356" s="52"/>
      <c r="N356" s="52"/>
      <c r="O356" s="52"/>
    </row>
    <row r="357">
      <c r="M357" s="52"/>
      <c r="N357" s="52"/>
      <c r="O357" s="52"/>
    </row>
    <row r="358">
      <c r="M358" s="52"/>
      <c r="N358" s="52"/>
      <c r="O358" s="52"/>
    </row>
    <row r="359">
      <c r="M359" s="52"/>
      <c r="N359" s="52"/>
      <c r="O359" s="52"/>
    </row>
    <row r="360">
      <c r="M360" s="52"/>
      <c r="N360" s="52"/>
      <c r="O360" s="52"/>
    </row>
    <row r="361">
      <c r="M361" s="52"/>
      <c r="N361" s="52"/>
      <c r="O361" s="52"/>
    </row>
    <row r="362">
      <c r="M362" s="52"/>
      <c r="N362" s="52"/>
      <c r="O362" s="52"/>
    </row>
    <row r="363">
      <c r="M363" s="52"/>
      <c r="N363" s="52"/>
      <c r="O363" s="52"/>
    </row>
    <row r="364">
      <c r="M364" s="52"/>
      <c r="N364" s="52"/>
      <c r="O364" s="52"/>
    </row>
    <row r="365">
      <c r="M365" s="52"/>
      <c r="N365" s="52"/>
      <c r="O365" s="52"/>
    </row>
    <row r="366">
      <c r="M366" s="52"/>
      <c r="N366" s="52"/>
      <c r="O366" s="52"/>
    </row>
    <row r="367">
      <c r="M367" s="52"/>
      <c r="N367" s="52"/>
      <c r="O367" s="52"/>
    </row>
    <row r="368">
      <c r="M368" s="52"/>
      <c r="N368" s="52"/>
      <c r="O368" s="52"/>
    </row>
    <row r="369">
      <c r="M369" s="52"/>
      <c r="N369" s="52"/>
      <c r="O369" s="52"/>
    </row>
    <row r="370">
      <c r="M370" s="52"/>
      <c r="N370" s="52"/>
      <c r="O370" s="52"/>
    </row>
    <row r="371">
      <c r="M371" s="52"/>
      <c r="N371" s="52"/>
      <c r="O371" s="52"/>
    </row>
    <row r="372">
      <c r="M372" s="52"/>
      <c r="N372" s="52"/>
      <c r="O372" s="52"/>
    </row>
    <row r="373">
      <c r="M373" s="52"/>
      <c r="N373" s="52"/>
      <c r="O373" s="52"/>
    </row>
    <row r="374">
      <c r="M374" s="52"/>
      <c r="N374" s="52"/>
      <c r="O374" s="52"/>
    </row>
    <row r="375">
      <c r="M375" s="52"/>
      <c r="N375" s="52"/>
      <c r="O375" s="52"/>
    </row>
    <row r="376">
      <c r="M376" s="52"/>
      <c r="N376" s="52"/>
      <c r="O376" s="52"/>
    </row>
    <row r="377">
      <c r="M377" s="52"/>
      <c r="N377" s="52"/>
      <c r="O377" s="52"/>
    </row>
    <row r="378">
      <c r="M378" s="52"/>
      <c r="N378" s="52"/>
      <c r="O378" s="52"/>
    </row>
    <row r="379">
      <c r="M379" s="52"/>
      <c r="N379" s="52"/>
      <c r="O379" s="52"/>
    </row>
    <row r="380">
      <c r="M380" s="52"/>
      <c r="N380" s="52"/>
      <c r="O380" s="52"/>
    </row>
    <row r="381">
      <c r="M381" s="52"/>
      <c r="N381" s="52"/>
      <c r="O381" s="52"/>
    </row>
    <row r="382">
      <c r="M382" s="52"/>
      <c r="N382" s="52"/>
      <c r="O382" s="52"/>
    </row>
    <row r="383">
      <c r="M383" s="52"/>
      <c r="N383" s="52"/>
      <c r="O383" s="52"/>
    </row>
    <row r="384">
      <c r="M384" s="52"/>
      <c r="N384" s="52"/>
      <c r="O384" s="52"/>
    </row>
    <row r="385">
      <c r="M385" s="52"/>
      <c r="N385" s="52"/>
      <c r="O385" s="52"/>
    </row>
    <row r="386">
      <c r="M386" s="52"/>
      <c r="N386" s="52"/>
      <c r="O386" s="52"/>
    </row>
    <row r="387">
      <c r="M387" s="52"/>
      <c r="N387" s="52"/>
      <c r="O387" s="52"/>
    </row>
    <row r="388">
      <c r="M388" s="52"/>
      <c r="N388" s="52"/>
      <c r="O388" s="52"/>
    </row>
    <row r="389">
      <c r="M389" s="52"/>
      <c r="N389" s="52"/>
      <c r="O389" s="52"/>
    </row>
    <row r="390">
      <c r="M390" s="52"/>
      <c r="N390" s="52"/>
      <c r="O390" s="52"/>
    </row>
    <row r="391">
      <c r="M391" s="52"/>
      <c r="N391" s="52"/>
      <c r="O391" s="52"/>
    </row>
    <row r="392">
      <c r="M392" s="52"/>
      <c r="N392" s="52"/>
      <c r="O392" s="52"/>
    </row>
    <row r="393">
      <c r="M393" s="52"/>
      <c r="N393" s="52"/>
      <c r="O393" s="52"/>
    </row>
    <row r="394">
      <c r="M394" s="52"/>
      <c r="N394" s="52"/>
      <c r="O394" s="52"/>
    </row>
    <row r="395">
      <c r="M395" s="52"/>
      <c r="N395" s="52"/>
      <c r="O395" s="52"/>
    </row>
    <row r="396">
      <c r="M396" s="52"/>
      <c r="N396" s="52"/>
      <c r="O396" s="52"/>
    </row>
    <row r="397">
      <c r="M397" s="52"/>
      <c r="N397" s="52"/>
      <c r="O397" s="52"/>
    </row>
    <row r="398">
      <c r="M398" s="52"/>
      <c r="N398" s="52"/>
      <c r="O398" s="52"/>
    </row>
    <row r="399">
      <c r="M399" s="52"/>
      <c r="N399" s="52"/>
      <c r="O399" s="52"/>
    </row>
    <row r="400">
      <c r="M400" s="52"/>
      <c r="N400" s="52"/>
      <c r="O400" s="52"/>
    </row>
    <row r="401">
      <c r="M401" s="52"/>
      <c r="N401" s="52"/>
      <c r="O401" s="52"/>
    </row>
    <row r="402">
      <c r="M402" s="52"/>
      <c r="N402" s="52"/>
      <c r="O402" s="52"/>
    </row>
    <row r="403">
      <c r="M403" s="52"/>
      <c r="N403" s="52"/>
      <c r="O403" s="52"/>
    </row>
    <row r="404">
      <c r="M404" s="52"/>
      <c r="N404" s="52"/>
      <c r="O404" s="52"/>
    </row>
    <row r="405">
      <c r="M405" s="52"/>
      <c r="N405" s="52"/>
      <c r="O405" s="52"/>
    </row>
    <row r="406">
      <c r="M406" s="52"/>
      <c r="N406" s="52"/>
      <c r="O406" s="52"/>
    </row>
    <row r="407">
      <c r="M407" s="52"/>
      <c r="N407" s="52"/>
      <c r="O407" s="52"/>
    </row>
    <row r="408">
      <c r="M408" s="52"/>
      <c r="N408" s="52"/>
      <c r="O408" s="52"/>
    </row>
    <row r="409">
      <c r="M409" s="52"/>
      <c r="N409" s="52"/>
      <c r="O409" s="52"/>
    </row>
    <row r="410">
      <c r="M410" s="52"/>
      <c r="N410" s="52"/>
      <c r="O410" s="52"/>
    </row>
    <row r="411">
      <c r="M411" s="52"/>
      <c r="N411" s="52"/>
      <c r="O411" s="52"/>
    </row>
    <row r="412">
      <c r="M412" s="52"/>
      <c r="N412" s="52"/>
      <c r="O412" s="52"/>
    </row>
    <row r="413">
      <c r="M413" s="52"/>
      <c r="N413" s="52"/>
      <c r="O413" s="52"/>
    </row>
    <row r="414">
      <c r="M414" s="52"/>
      <c r="N414" s="52"/>
      <c r="O414" s="52"/>
    </row>
    <row r="415">
      <c r="M415" s="52"/>
      <c r="N415" s="52"/>
      <c r="O415" s="52"/>
    </row>
    <row r="416">
      <c r="M416" s="52"/>
      <c r="N416" s="52"/>
      <c r="O416" s="52"/>
    </row>
    <row r="417">
      <c r="M417" s="52"/>
      <c r="N417" s="52"/>
      <c r="O417" s="52"/>
    </row>
    <row r="418">
      <c r="M418" s="52"/>
      <c r="N418" s="52"/>
      <c r="O418" s="52"/>
    </row>
    <row r="419">
      <c r="M419" s="52"/>
      <c r="N419" s="52"/>
      <c r="O419" s="52"/>
    </row>
    <row r="420">
      <c r="M420" s="52"/>
      <c r="N420" s="52"/>
      <c r="O420" s="52"/>
    </row>
    <row r="421">
      <c r="M421" s="52"/>
      <c r="N421" s="52"/>
      <c r="O421" s="52"/>
    </row>
    <row r="422">
      <c r="M422" s="52"/>
      <c r="N422" s="52"/>
      <c r="O422" s="52"/>
    </row>
    <row r="423">
      <c r="M423" s="52"/>
      <c r="N423" s="52"/>
      <c r="O423" s="52"/>
    </row>
    <row r="424">
      <c r="M424" s="52"/>
      <c r="N424" s="52"/>
      <c r="O424" s="52"/>
    </row>
    <row r="425">
      <c r="M425" s="52"/>
      <c r="N425" s="52"/>
      <c r="O425" s="52"/>
    </row>
    <row r="426">
      <c r="M426" s="52"/>
      <c r="N426" s="52"/>
      <c r="O426" s="52"/>
    </row>
    <row r="427">
      <c r="M427" s="52"/>
      <c r="N427" s="52"/>
      <c r="O427" s="52"/>
    </row>
    <row r="428">
      <c r="M428" s="52"/>
      <c r="N428" s="52"/>
      <c r="O428" s="52"/>
    </row>
    <row r="429">
      <c r="M429" s="52"/>
      <c r="N429" s="52"/>
      <c r="O429" s="52"/>
    </row>
    <row r="430">
      <c r="M430" s="52"/>
      <c r="N430" s="52"/>
      <c r="O430" s="52"/>
    </row>
    <row r="431">
      <c r="M431" s="52"/>
      <c r="N431" s="52"/>
      <c r="O431" s="52"/>
    </row>
    <row r="432">
      <c r="M432" s="52"/>
      <c r="N432" s="52"/>
      <c r="O432" s="52"/>
    </row>
    <row r="433">
      <c r="M433" s="52"/>
      <c r="N433" s="52"/>
      <c r="O433" s="52"/>
    </row>
    <row r="434">
      <c r="M434" s="52"/>
      <c r="N434" s="52"/>
      <c r="O434" s="52"/>
    </row>
    <row r="435">
      <c r="M435" s="52"/>
      <c r="N435" s="52"/>
      <c r="O435" s="52"/>
    </row>
    <row r="436">
      <c r="M436" s="52"/>
      <c r="N436" s="52"/>
      <c r="O436" s="52"/>
    </row>
    <row r="437">
      <c r="M437" s="52"/>
      <c r="N437" s="52"/>
      <c r="O437" s="52"/>
    </row>
    <row r="438">
      <c r="M438" s="52"/>
      <c r="N438" s="52"/>
      <c r="O438" s="52"/>
    </row>
    <row r="439">
      <c r="M439" s="52"/>
      <c r="N439" s="52"/>
      <c r="O439" s="52"/>
    </row>
    <row r="440">
      <c r="M440" s="52"/>
      <c r="N440" s="52"/>
      <c r="O440" s="52"/>
    </row>
    <row r="441">
      <c r="M441" s="52"/>
      <c r="N441" s="52"/>
      <c r="O441" s="52"/>
    </row>
    <row r="442">
      <c r="M442" s="52"/>
      <c r="N442" s="52"/>
      <c r="O442" s="52"/>
    </row>
    <row r="443">
      <c r="M443" s="52"/>
      <c r="N443" s="52"/>
      <c r="O443" s="52"/>
    </row>
    <row r="444">
      <c r="M444" s="52"/>
      <c r="N444" s="52"/>
      <c r="O444" s="52"/>
    </row>
    <row r="445">
      <c r="M445" s="52"/>
      <c r="N445" s="52"/>
      <c r="O445" s="52"/>
    </row>
    <row r="446">
      <c r="M446" s="52"/>
      <c r="N446" s="52"/>
      <c r="O446" s="52"/>
    </row>
    <row r="447">
      <c r="M447" s="52"/>
      <c r="N447" s="52"/>
      <c r="O447" s="52"/>
    </row>
    <row r="448">
      <c r="M448" s="52"/>
      <c r="N448" s="52"/>
      <c r="O448" s="52"/>
    </row>
    <row r="449">
      <c r="M449" s="52"/>
      <c r="N449" s="52"/>
      <c r="O449" s="52"/>
    </row>
    <row r="450">
      <c r="M450" s="52"/>
      <c r="N450" s="52"/>
      <c r="O450" s="52"/>
    </row>
    <row r="451">
      <c r="M451" s="52"/>
      <c r="N451" s="52"/>
      <c r="O451" s="52"/>
    </row>
    <row r="452">
      <c r="M452" s="52"/>
      <c r="N452" s="52"/>
      <c r="O452" s="52"/>
    </row>
    <row r="453">
      <c r="M453" s="52"/>
      <c r="N453" s="52"/>
      <c r="O453" s="52"/>
    </row>
    <row r="454">
      <c r="M454" s="52"/>
      <c r="N454" s="52"/>
      <c r="O454" s="52"/>
    </row>
    <row r="455">
      <c r="M455" s="52"/>
      <c r="N455" s="52"/>
      <c r="O455" s="52"/>
    </row>
    <row r="456">
      <c r="M456" s="52"/>
      <c r="N456" s="52"/>
      <c r="O456" s="52"/>
    </row>
    <row r="457">
      <c r="M457" s="52"/>
      <c r="N457" s="52"/>
      <c r="O457" s="52"/>
    </row>
    <row r="458">
      <c r="M458" s="52"/>
      <c r="N458" s="52"/>
      <c r="O458" s="52"/>
    </row>
    <row r="459">
      <c r="M459" s="52"/>
      <c r="N459" s="52"/>
      <c r="O459" s="52"/>
    </row>
    <row r="460">
      <c r="M460" s="52"/>
      <c r="N460" s="52"/>
      <c r="O460" s="52"/>
    </row>
    <row r="461">
      <c r="M461" s="52"/>
      <c r="N461" s="52"/>
      <c r="O461" s="52"/>
    </row>
    <row r="462">
      <c r="M462" s="52"/>
      <c r="N462" s="52"/>
      <c r="O462" s="52"/>
    </row>
    <row r="463">
      <c r="M463" s="52"/>
      <c r="N463" s="52"/>
      <c r="O463" s="52"/>
    </row>
    <row r="464">
      <c r="M464" s="52"/>
      <c r="N464" s="52"/>
      <c r="O464" s="52"/>
    </row>
    <row r="465">
      <c r="M465" s="52"/>
      <c r="N465" s="52"/>
      <c r="O465" s="52"/>
    </row>
    <row r="466">
      <c r="M466" s="52"/>
      <c r="N466" s="52"/>
      <c r="O466" s="52"/>
    </row>
    <row r="467">
      <c r="M467" s="52"/>
      <c r="N467" s="52"/>
      <c r="O467" s="52"/>
    </row>
    <row r="468">
      <c r="M468" s="52"/>
      <c r="N468" s="52"/>
      <c r="O468" s="52"/>
    </row>
    <row r="469">
      <c r="M469" s="52"/>
      <c r="N469" s="52"/>
      <c r="O469" s="52"/>
    </row>
    <row r="470">
      <c r="M470" s="52"/>
      <c r="N470" s="52"/>
      <c r="O470" s="52"/>
    </row>
    <row r="471">
      <c r="M471" s="52"/>
      <c r="N471" s="52"/>
      <c r="O471" s="52"/>
    </row>
    <row r="472">
      <c r="M472" s="52"/>
      <c r="N472" s="52"/>
      <c r="O472" s="52"/>
    </row>
    <row r="473">
      <c r="M473" s="52"/>
      <c r="N473" s="52"/>
      <c r="O473" s="52"/>
    </row>
    <row r="474">
      <c r="M474" s="52"/>
      <c r="N474" s="52"/>
      <c r="O474" s="52"/>
    </row>
    <row r="475">
      <c r="M475" s="52"/>
      <c r="N475" s="52"/>
      <c r="O475" s="52"/>
    </row>
    <row r="476">
      <c r="M476" s="52"/>
      <c r="N476" s="52"/>
      <c r="O476" s="52"/>
    </row>
    <row r="477">
      <c r="M477" s="52"/>
      <c r="N477" s="52"/>
      <c r="O477" s="52"/>
    </row>
    <row r="478">
      <c r="M478" s="52"/>
      <c r="N478" s="52"/>
      <c r="O478" s="52"/>
    </row>
    <row r="479">
      <c r="M479" s="52"/>
      <c r="N479" s="52"/>
      <c r="O479" s="52"/>
    </row>
    <row r="480">
      <c r="M480" s="52"/>
      <c r="N480" s="52"/>
      <c r="O480" s="52"/>
    </row>
    <row r="481">
      <c r="M481" s="52"/>
      <c r="N481" s="52"/>
      <c r="O481" s="52"/>
    </row>
    <row r="482">
      <c r="M482" s="52"/>
      <c r="N482" s="52"/>
      <c r="O482" s="52"/>
    </row>
    <row r="483">
      <c r="M483" s="52"/>
      <c r="N483" s="52"/>
      <c r="O483" s="52"/>
    </row>
    <row r="484">
      <c r="M484" s="52"/>
      <c r="N484" s="52"/>
      <c r="O484" s="52"/>
    </row>
    <row r="485">
      <c r="M485" s="52"/>
      <c r="N485" s="52"/>
      <c r="O485" s="52"/>
    </row>
    <row r="486">
      <c r="M486" s="52"/>
      <c r="N486" s="52"/>
      <c r="O486" s="52"/>
    </row>
    <row r="487">
      <c r="M487" s="52"/>
      <c r="N487" s="52"/>
      <c r="O487" s="52"/>
    </row>
    <row r="488">
      <c r="M488" s="52"/>
      <c r="N488" s="52"/>
      <c r="O488" s="52"/>
    </row>
    <row r="489">
      <c r="M489" s="52"/>
      <c r="N489" s="52"/>
      <c r="O489" s="52"/>
    </row>
    <row r="490">
      <c r="M490" s="52"/>
      <c r="N490" s="52"/>
      <c r="O490" s="52"/>
    </row>
    <row r="491">
      <c r="M491" s="52"/>
      <c r="N491" s="52"/>
      <c r="O491" s="52"/>
    </row>
    <row r="492">
      <c r="M492" s="52"/>
      <c r="N492" s="52"/>
      <c r="O492" s="52"/>
    </row>
    <row r="493">
      <c r="M493" s="52"/>
      <c r="N493" s="52"/>
      <c r="O493" s="52"/>
    </row>
    <row r="494">
      <c r="M494" s="52"/>
      <c r="N494" s="52"/>
      <c r="O494" s="52"/>
    </row>
    <row r="495">
      <c r="M495" s="52"/>
      <c r="N495" s="52"/>
      <c r="O495" s="52"/>
    </row>
    <row r="496">
      <c r="M496" s="52"/>
      <c r="N496" s="52"/>
      <c r="O496" s="52"/>
    </row>
    <row r="497">
      <c r="M497" s="52"/>
      <c r="N497" s="52"/>
      <c r="O497" s="52"/>
    </row>
    <row r="498">
      <c r="M498" s="52"/>
      <c r="N498" s="52"/>
      <c r="O498" s="52"/>
    </row>
    <row r="499">
      <c r="M499" s="52"/>
      <c r="N499" s="52"/>
      <c r="O499" s="52"/>
    </row>
    <row r="500">
      <c r="M500" s="52"/>
      <c r="N500" s="52"/>
      <c r="O500" s="52"/>
    </row>
    <row r="501">
      <c r="M501" s="52"/>
      <c r="N501" s="52"/>
      <c r="O501" s="52"/>
    </row>
    <row r="502">
      <c r="M502" s="52"/>
      <c r="N502" s="52"/>
      <c r="O502" s="52"/>
    </row>
    <row r="503">
      <c r="M503" s="52"/>
      <c r="N503" s="52"/>
      <c r="O503" s="52"/>
    </row>
    <row r="504">
      <c r="M504" s="52"/>
      <c r="N504" s="52"/>
      <c r="O504" s="52"/>
    </row>
    <row r="505">
      <c r="M505" s="52"/>
      <c r="N505" s="52"/>
      <c r="O505" s="52"/>
    </row>
    <row r="506">
      <c r="M506" s="52"/>
      <c r="N506" s="52"/>
      <c r="O506" s="52"/>
    </row>
    <row r="507">
      <c r="M507" s="52"/>
      <c r="N507" s="52"/>
      <c r="O507" s="52"/>
    </row>
    <row r="508">
      <c r="M508" s="52"/>
      <c r="N508" s="52"/>
      <c r="O508" s="52"/>
    </row>
    <row r="509">
      <c r="M509" s="52"/>
      <c r="N509" s="52"/>
      <c r="O509" s="52"/>
    </row>
    <row r="510">
      <c r="M510" s="52"/>
      <c r="N510" s="52"/>
      <c r="O510" s="52"/>
    </row>
    <row r="511">
      <c r="M511" s="52"/>
      <c r="N511" s="52"/>
      <c r="O511" s="52"/>
    </row>
    <row r="512">
      <c r="M512" s="52"/>
      <c r="N512" s="52"/>
      <c r="O512" s="52"/>
    </row>
    <row r="513">
      <c r="M513" s="52"/>
      <c r="N513" s="52"/>
      <c r="O513" s="52"/>
    </row>
    <row r="514">
      <c r="M514" s="52"/>
      <c r="N514" s="52"/>
      <c r="O514" s="52"/>
    </row>
    <row r="515">
      <c r="M515" s="52"/>
      <c r="N515" s="52"/>
      <c r="O515" s="52"/>
    </row>
    <row r="516">
      <c r="M516" s="52"/>
      <c r="N516" s="52"/>
      <c r="O516" s="52"/>
    </row>
    <row r="517">
      <c r="M517" s="52"/>
      <c r="N517" s="52"/>
      <c r="O517" s="52"/>
    </row>
    <row r="518">
      <c r="M518" s="52"/>
      <c r="N518" s="52"/>
      <c r="O518" s="52"/>
    </row>
    <row r="519">
      <c r="M519" s="52"/>
      <c r="N519" s="52"/>
      <c r="O519" s="52"/>
    </row>
    <row r="520">
      <c r="M520" s="52"/>
      <c r="N520" s="52"/>
      <c r="O520" s="52"/>
    </row>
    <row r="521">
      <c r="M521" s="52"/>
      <c r="N521" s="52"/>
      <c r="O521" s="52"/>
    </row>
    <row r="522">
      <c r="M522" s="52"/>
      <c r="N522" s="52"/>
      <c r="O522" s="52"/>
    </row>
    <row r="523">
      <c r="M523" s="52"/>
      <c r="N523" s="52"/>
      <c r="O523" s="52"/>
    </row>
    <row r="524">
      <c r="M524" s="52"/>
      <c r="N524" s="52"/>
      <c r="O524" s="52"/>
    </row>
    <row r="525">
      <c r="M525" s="52"/>
      <c r="N525" s="52"/>
      <c r="O525" s="52"/>
    </row>
    <row r="526">
      <c r="M526" s="52"/>
      <c r="N526" s="52"/>
      <c r="O526" s="52"/>
    </row>
    <row r="527">
      <c r="M527" s="52"/>
      <c r="N527" s="52"/>
      <c r="O527" s="52"/>
    </row>
    <row r="528">
      <c r="M528" s="52"/>
      <c r="N528" s="52"/>
      <c r="O528" s="52"/>
    </row>
    <row r="529">
      <c r="M529" s="52"/>
      <c r="N529" s="52"/>
      <c r="O529" s="52"/>
    </row>
    <row r="530">
      <c r="M530" s="52"/>
      <c r="N530" s="52"/>
      <c r="O530" s="52"/>
    </row>
    <row r="531">
      <c r="M531" s="52"/>
      <c r="N531" s="52"/>
      <c r="O531" s="52"/>
    </row>
    <row r="532">
      <c r="M532" s="52"/>
      <c r="N532" s="52"/>
      <c r="O532" s="52"/>
    </row>
    <row r="533">
      <c r="M533" s="52"/>
      <c r="N533" s="52"/>
      <c r="O533" s="52"/>
    </row>
    <row r="534">
      <c r="M534" s="52"/>
      <c r="N534" s="52"/>
      <c r="O534" s="52"/>
    </row>
    <row r="535">
      <c r="M535" s="52"/>
      <c r="N535" s="52"/>
      <c r="O535" s="52"/>
    </row>
    <row r="536">
      <c r="M536" s="52"/>
      <c r="N536" s="52"/>
      <c r="O536" s="52"/>
    </row>
    <row r="537">
      <c r="M537" s="52"/>
      <c r="N537" s="52"/>
      <c r="O537" s="52"/>
    </row>
    <row r="538">
      <c r="M538" s="52"/>
      <c r="N538" s="52"/>
      <c r="O538" s="52"/>
    </row>
    <row r="539">
      <c r="M539" s="52"/>
      <c r="N539" s="52"/>
      <c r="O539" s="52"/>
    </row>
    <row r="540">
      <c r="M540" s="52"/>
      <c r="N540" s="52"/>
      <c r="O540" s="52"/>
    </row>
    <row r="541">
      <c r="M541" s="52"/>
      <c r="N541" s="52"/>
      <c r="O541" s="52"/>
    </row>
    <row r="542">
      <c r="M542" s="52"/>
      <c r="N542" s="52"/>
      <c r="O542" s="52"/>
    </row>
    <row r="543">
      <c r="M543" s="52"/>
      <c r="N543" s="52"/>
      <c r="O543" s="52"/>
    </row>
    <row r="544">
      <c r="M544" s="52"/>
      <c r="N544" s="52"/>
      <c r="O544" s="52"/>
    </row>
    <row r="545">
      <c r="M545" s="52"/>
      <c r="N545" s="52"/>
      <c r="O545" s="52"/>
    </row>
    <row r="546">
      <c r="M546" s="52"/>
      <c r="N546" s="52"/>
      <c r="O546" s="52"/>
    </row>
    <row r="547">
      <c r="M547" s="52"/>
      <c r="N547" s="52"/>
      <c r="O547" s="52"/>
    </row>
    <row r="548">
      <c r="M548" s="52"/>
      <c r="N548" s="52"/>
      <c r="O548" s="52"/>
    </row>
    <row r="549">
      <c r="M549" s="52"/>
      <c r="N549" s="52"/>
      <c r="O549" s="52"/>
    </row>
    <row r="550">
      <c r="M550" s="52"/>
      <c r="N550" s="52"/>
      <c r="O550" s="52"/>
    </row>
    <row r="551">
      <c r="M551" s="52"/>
      <c r="N551" s="52"/>
      <c r="O551" s="52"/>
    </row>
    <row r="552">
      <c r="M552" s="52"/>
      <c r="N552" s="52"/>
      <c r="O552" s="52"/>
    </row>
    <row r="553">
      <c r="M553" s="52"/>
      <c r="N553" s="52"/>
      <c r="O553" s="52"/>
    </row>
    <row r="554">
      <c r="M554" s="52"/>
      <c r="N554" s="52"/>
      <c r="O554" s="52"/>
    </row>
    <row r="555">
      <c r="M555" s="52"/>
      <c r="N555" s="52"/>
      <c r="O555" s="52"/>
    </row>
    <row r="556">
      <c r="M556" s="52"/>
      <c r="N556" s="52"/>
      <c r="O556" s="52"/>
    </row>
    <row r="557">
      <c r="M557" s="52"/>
      <c r="N557" s="52"/>
      <c r="O557" s="52"/>
    </row>
    <row r="558">
      <c r="M558" s="52"/>
      <c r="N558" s="52"/>
      <c r="O558" s="52"/>
    </row>
    <row r="559">
      <c r="M559" s="52"/>
      <c r="N559" s="52"/>
      <c r="O559" s="52"/>
    </row>
    <row r="560">
      <c r="M560" s="52"/>
      <c r="N560" s="52"/>
      <c r="O560" s="52"/>
    </row>
    <row r="561">
      <c r="M561" s="52"/>
      <c r="N561" s="52"/>
      <c r="O561" s="52"/>
    </row>
    <row r="562">
      <c r="M562" s="52"/>
      <c r="N562" s="52"/>
      <c r="O562" s="52"/>
    </row>
    <row r="563">
      <c r="M563" s="52"/>
      <c r="N563" s="52"/>
      <c r="O563" s="52"/>
    </row>
    <row r="564">
      <c r="M564" s="52"/>
      <c r="N564" s="52"/>
      <c r="O564" s="52"/>
    </row>
    <row r="565">
      <c r="M565" s="52"/>
      <c r="N565" s="52"/>
      <c r="O565" s="52"/>
    </row>
    <row r="566">
      <c r="M566" s="52"/>
      <c r="N566" s="52"/>
      <c r="O566" s="52"/>
    </row>
    <row r="567">
      <c r="M567" s="52"/>
      <c r="N567" s="52"/>
      <c r="O567" s="52"/>
    </row>
    <row r="568">
      <c r="M568" s="52"/>
      <c r="N568" s="52"/>
      <c r="O568" s="52"/>
    </row>
    <row r="569">
      <c r="M569" s="52"/>
      <c r="N569" s="52"/>
      <c r="O569" s="52"/>
    </row>
    <row r="570">
      <c r="M570" s="52"/>
      <c r="N570" s="52"/>
      <c r="O570" s="52"/>
    </row>
    <row r="571">
      <c r="M571" s="52"/>
      <c r="N571" s="52"/>
      <c r="O571" s="52"/>
    </row>
    <row r="572">
      <c r="M572" s="52"/>
      <c r="N572" s="52"/>
      <c r="O572" s="52"/>
    </row>
    <row r="573">
      <c r="M573" s="52"/>
      <c r="N573" s="52"/>
      <c r="O573" s="52"/>
    </row>
    <row r="574">
      <c r="M574" s="52"/>
      <c r="N574" s="52"/>
      <c r="O574" s="52"/>
    </row>
    <row r="575">
      <c r="M575" s="52"/>
      <c r="N575" s="52"/>
      <c r="O575" s="52"/>
    </row>
    <row r="576">
      <c r="M576" s="52"/>
      <c r="N576" s="52"/>
      <c r="O576" s="52"/>
    </row>
    <row r="577">
      <c r="M577" s="52"/>
      <c r="N577" s="52"/>
      <c r="O577" s="52"/>
    </row>
    <row r="578">
      <c r="M578" s="52"/>
      <c r="N578" s="52"/>
      <c r="O578" s="52"/>
    </row>
    <row r="579">
      <c r="M579" s="52"/>
      <c r="N579" s="52"/>
      <c r="O579" s="52"/>
    </row>
    <row r="580">
      <c r="M580" s="52"/>
      <c r="N580" s="52"/>
      <c r="O580" s="52"/>
    </row>
    <row r="581">
      <c r="M581" s="52"/>
      <c r="N581" s="52"/>
      <c r="O581" s="52"/>
    </row>
    <row r="582">
      <c r="M582" s="52"/>
      <c r="N582" s="52"/>
      <c r="O582" s="52"/>
    </row>
    <row r="583">
      <c r="M583" s="52"/>
      <c r="N583" s="52"/>
      <c r="O583" s="52"/>
    </row>
    <row r="584">
      <c r="M584" s="52"/>
      <c r="N584" s="52"/>
      <c r="O584" s="52"/>
    </row>
    <row r="585">
      <c r="M585" s="52"/>
      <c r="N585" s="52"/>
      <c r="O585" s="52"/>
    </row>
    <row r="586">
      <c r="M586" s="52"/>
      <c r="N586" s="52"/>
      <c r="O586" s="52"/>
    </row>
    <row r="587">
      <c r="M587" s="52"/>
      <c r="N587" s="52"/>
      <c r="O587" s="52"/>
    </row>
    <row r="588">
      <c r="M588" s="52"/>
      <c r="N588" s="52"/>
      <c r="O588" s="52"/>
    </row>
    <row r="589">
      <c r="M589" s="52"/>
      <c r="N589" s="52"/>
      <c r="O589" s="52"/>
    </row>
    <row r="590">
      <c r="M590" s="52"/>
      <c r="N590" s="52"/>
      <c r="O590" s="52"/>
    </row>
    <row r="591">
      <c r="M591" s="52"/>
      <c r="N591" s="52"/>
      <c r="O591" s="52"/>
    </row>
    <row r="592">
      <c r="M592" s="52"/>
      <c r="N592" s="52"/>
      <c r="O592" s="52"/>
    </row>
    <row r="593">
      <c r="M593" s="52"/>
      <c r="N593" s="52"/>
      <c r="O593" s="52"/>
    </row>
    <row r="594">
      <c r="M594" s="52"/>
      <c r="N594" s="52"/>
      <c r="O594" s="52"/>
    </row>
    <row r="595">
      <c r="M595" s="52"/>
      <c r="N595" s="52"/>
      <c r="O595" s="52"/>
    </row>
    <row r="596">
      <c r="M596" s="52"/>
      <c r="N596" s="52"/>
      <c r="O596" s="52"/>
    </row>
    <row r="597">
      <c r="M597" s="52"/>
      <c r="N597" s="52"/>
      <c r="O597" s="52"/>
    </row>
    <row r="598">
      <c r="M598" s="52"/>
      <c r="N598" s="52"/>
      <c r="O598" s="52"/>
    </row>
    <row r="599">
      <c r="M599" s="52"/>
      <c r="N599" s="52"/>
      <c r="O599" s="52"/>
    </row>
    <row r="600">
      <c r="M600" s="52"/>
      <c r="N600" s="52"/>
      <c r="O600" s="52"/>
    </row>
    <row r="601">
      <c r="M601" s="52"/>
      <c r="N601" s="52"/>
      <c r="O601" s="52"/>
    </row>
    <row r="602">
      <c r="M602" s="52"/>
      <c r="N602" s="52"/>
      <c r="O602" s="52"/>
    </row>
    <row r="603">
      <c r="M603" s="52"/>
      <c r="N603" s="52"/>
      <c r="O603" s="52"/>
    </row>
    <row r="604">
      <c r="M604" s="52"/>
      <c r="N604" s="52"/>
      <c r="O604" s="52"/>
    </row>
    <row r="605">
      <c r="M605" s="52"/>
      <c r="N605" s="52"/>
      <c r="O605" s="52"/>
    </row>
    <row r="606">
      <c r="M606" s="52"/>
      <c r="N606" s="52"/>
      <c r="O606" s="52"/>
    </row>
    <row r="607">
      <c r="M607" s="52"/>
      <c r="N607" s="52"/>
      <c r="O607" s="52"/>
    </row>
    <row r="608">
      <c r="M608" s="52"/>
      <c r="N608" s="52"/>
      <c r="O608" s="52"/>
    </row>
    <row r="609">
      <c r="M609" s="52"/>
      <c r="N609" s="52"/>
      <c r="O609" s="52"/>
    </row>
    <row r="610">
      <c r="M610" s="52"/>
      <c r="N610" s="52"/>
      <c r="O610" s="52"/>
    </row>
    <row r="611">
      <c r="M611" s="52"/>
      <c r="N611" s="52"/>
      <c r="O611" s="52"/>
    </row>
    <row r="612">
      <c r="M612" s="52"/>
      <c r="N612" s="52"/>
      <c r="O612" s="52"/>
    </row>
    <row r="613">
      <c r="M613" s="52"/>
      <c r="N613" s="52"/>
      <c r="O613" s="52"/>
    </row>
    <row r="614">
      <c r="M614" s="52"/>
      <c r="N614" s="52"/>
      <c r="O614" s="52"/>
    </row>
    <row r="615">
      <c r="M615" s="52"/>
      <c r="N615" s="52"/>
      <c r="O615" s="52"/>
    </row>
    <row r="616">
      <c r="M616" s="52"/>
      <c r="N616" s="52"/>
      <c r="O616" s="52"/>
    </row>
    <row r="617">
      <c r="M617" s="52"/>
      <c r="N617" s="52"/>
      <c r="O617" s="52"/>
    </row>
    <row r="618">
      <c r="M618" s="52"/>
      <c r="N618" s="52"/>
      <c r="O618" s="52"/>
    </row>
    <row r="619">
      <c r="M619" s="52"/>
      <c r="N619" s="52"/>
      <c r="O619" s="52"/>
    </row>
    <row r="620">
      <c r="M620" s="52"/>
      <c r="N620" s="52"/>
      <c r="O620" s="52"/>
    </row>
    <row r="621">
      <c r="M621" s="52"/>
      <c r="N621" s="52"/>
      <c r="O621" s="52"/>
    </row>
    <row r="622">
      <c r="M622" s="52"/>
      <c r="N622" s="52"/>
      <c r="O622" s="52"/>
    </row>
    <row r="623">
      <c r="M623" s="52"/>
      <c r="N623" s="52"/>
      <c r="O623" s="52"/>
    </row>
    <row r="624">
      <c r="M624" s="52"/>
      <c r="N624" s="52"/>
      <c r="O624" s="52"/>
    </row>
    <row r="625">
      <c r="M625" s="52"/>
      <c r="N625" s="52"/>
      <c r="O625" s="52"/>
    </row>
    <row r="626">
      <c r="M626" s="52"/>
      <c r="N626" s="52"/>
      <c r="O626" s="52"/>
    </row>
    <row r="627">
      <c r="M627" s="52"/>
      <c r="N627" s="52"/>
      <c r="O627" s="52"/>
    </row>
    <row r="628">
      <c r="M628" s="52"/>
      <c r="N628" s="52"/>
      <c r="O628" s="52"/>
    </row>
    <row r="629">
      <c r="M629" s="52"/>
      <c r="N629" s="52"/>
      <c r="O629" s="52"/>
    </row>
    <row r="630">
      <c r="M630" s="52"/>
      <c r="N630" s="52"/>
      <c r="O630" s="52"/>
    </row>
    <row r="631">
      <c r="M631" s="52"/>
      <c r="N631" s="52"/>
      <c r="O631" s="52"/>
    </row>
    <row r="632">
      <c r="M632" s="52"/>
      <c r="N632" s="52"/>
      <c r="O632" s="52"/>
    </row>
    <row r="633">
      <c r="M633" s="52"/>
      <c r="N633" s="52"/>
      <c r="O633" s="52"/>
    </row>
    <row r="634">
      <c r="M634" s="52"/>
      <c r="N634" s="52"/>
      <c r="O634" s="52"/>
    </row>
    <row r="635">
      <c r="M635" s="52"/>
      <c r="N635" s="52"/>
      <c r="O635" s="52"/>
    </row>
    <row r="636">
      <c r="M636" s="52"/>
      <c r="N636" s="52"/>
      <c r="O636" s="52"/>
    </row>
    <row r="637">
      <c r="M637" s="52"/>
      <c r="N637" s="52"/>
      <c r="O637" s="52"/>
    </row>
    <row r="638">
      <c r="M638" s="52"/>
      <c r="N638" s="52"/>
      <c r="O638" s="52"/>
    </row>
    <row r="639">
      <c r="M639" s="52"/>
      <c r="N639" s="52"/>
      <c r="O639" s="52"/>
    </row>
    <row r="640">
      <c r="M640" s="52"/>
      <c r="N640" s="52"/>
      <c r="O640" s="52"/>
    </row>
    <row r="641">
      <c r="M641" s="52"/>
      <c r="N641" s="52"/>
      <c r="O641" s="52"/>
    </row>
    <row r="642">
      <c r="M642" s="52"/>
      <c r="N642" s="52"/>
      <c r="O642" s="52"/>
    </row>
    <row r="643">
      <c r="M643" s="52"/>
      <c r="N643" s="52"/>
      <c r="O643" s="52"/>
    </row>
    <row r="644">
      <c r="M644" s="52"/>
      <c r="N644" s="52"/>
      <c r="O644" s="52"/>
    </row>
    <row r="645">
      <c r="M645" s="52"/>
      <c r="N645" s="52"/>
      <c r="O645" s="52"/>
    </row>
    <row r="646">
      <c r="M646" s="52"/>
      <c r="N646" s="52"/>
      <c r="O646" s="52"/>
    </row>
    <row r="647">
      <c r="M647" s="52"/>
      <c r="N647" s="52"/>
      <c r="O647" s="52"/>
    </row>
    <row r="648">
      <c r="M648" s="52"/>
      <c r="N648" s="52"/>
      <c r="O648" s="52"/>
    </row>
    <row r="649">
      <c r="M649" s="52"/>
      <c r="N649" s="52"/>
      <c r="O649" s="52"/>
    </row>
    <row r="650">
      <c r="M650" s="52"/>
      <c r="N650" s="52"/>
      <c r="O650" s="52"/>
    </row>
    <row r="651">
      <c r="M651" s="52"/>
      <c r="N651" s="52"/>
      <c r="O651" s="52"/>
    </row>
    <row r="652">
      <c r="M652" s="52"/>
      <c r="N652" s="52"/>
      <c r="O652" s="52"/>
    </row>
    <row r="653">
      <c r="M653" s="52"/>
      <c r="N653" s="52"/>
      <c r="O653" s="52"/>
    </row>
    <row r="654">
      <c r="M654" s="52"/>
      <c r="N654" s="52"/>
      <c r="O654" s="52"/>
    </row>
    <row r="655">
      <c r="M655" s="52"/>
      <c r="N655" s="52"/>
      <c r="O655" s="52"/>
    </row>
    <row r="656">
      <c r="M656" s="52"/>
      <c r="N656" s="52"/>
      <c r="O656" s="52"/>
    </row>
    <row r="657">
      <c r="M657" s="52"/>
      <c r="N657" s="52"/>
      <c r="O657" s="52"/>
    </row>
    <row r="658">
      <c r="M658" s="52"/>
      <c r="N658" s="52"/>
      <c r="O658" s="52"/>
    </row>
    <row r="659">
      <c r="M659" s="52"/>
      <c r="N659" s="52"/>
      <c r="O659" s="52"/>
    </row>
    <row r="660">
      <c r="M660" s="52"/>
      <c r="N660" s="52"/>
      <c r="O660" s="52"/>
    </row>
    <row r="661">
      <c r="M661" s="52"/>
      <c r="N661" s="52"/>
      <c r="O661" s="52"/>
    </row>
    <row r="662">
      <c r="M662" s="52"/>
      <c r="N662" s="52"/>
      <c r="O662" s="52"/>
    </row>
    <row r="663">
      <c r="M663" s="52"/>
      <c r="N663" s="52"/>
      <c r="O663" s="52"/>
    </row>
    <row r="664">
      <c r="M664" s="52"/>
      <c r="N664" s="52"/>
      <c r="O664" s="52"/>
    </row>
    <row r="665">
      <c r="M665" s="52"/>
      <c r="N665" s="52"/>
      <c r="O665" s="52"/>
    </row>
    <row r="666">
      <c r="M666" s="52"/>
      <c r="N666" s="52"/>
      <c r="O666" s="52"/>
    </row>
    <row r="667">
      <c r="M667" s="52"/>
      <c r="N667" s="52"/>
      <c r="O667" s="52"/>
    </row>
    <row r="668">
      <c r="M668" s="52"/>
      <c r="N668" s="52"/>
      <c r="O668" s="52"/>
    </row>
    <row r="669">
      <c r="M669" s="52"/>
      <c r="N669" s="52"/>
      <c r="O669" s="52"/>
    </row>
    <row r="670">
      <c r="M670" s="52"/>
      <c r="N670" s="52"/>
      <c r="O670" s="52"/>
    </row>
    <row r="671">
      <c r="M671" s="52"/>
      <c r="N671" s="52"/>
      <c r="O671" s="52"/>
    </row>
    <row r="672">
      <c r="M672" s="52"/>
      <c r="N672" s="52"/>
      <c r="O672" s="52"/>
    </row>
    <row r="673">
      <c r="M673" s="52"/>
      <c r="N673" s="52"/>
      <c r="O673" s="52"/>
    </row>
    <row r="674">
      <c r="M674" s="52"/>
      <c r="N674" s="52"/>
      <c r="O674" s="52"/>
    </row>
    <row r="675">
      <c r="M675" s="52"/>
      <c r="N675" s="52"/>
      <c r="O675" s="52"/>
    </row>
    <row r="676">
      <c r="M676" s="52"/>
      <c r="N676" s="52"/>
      <c r="O676" s="52"/>
    </row>
    <row r="677">
      <c r="M677" s="52"/>
      <c r="N677" s="52"/>
      <c r="O677" s="52"/>
    </row>
    <row r="678">
      <c r="M678" s="52"/>
      <c r="N678" s="52"/>
      <c r="O678" s="52"/>
    </row>
    <row r="679">
      <c r="M679" s="52"/>
      <c r="N679" s="52"/>
      <c r="O679" s="52"/>
    </row>
    <row r="680">
      <c r="M680" s="52"/>
      <c r="N680" s="52"/>
      <c r="O680" s="52"/>
    </row>
    <row r="681">
      <c r="M681" s="52"/>
      <c r="N681" s="52"/>
      <c r="O681" s="52"/>
    </row>
    <row r="682">
      <c r="M682" s="52"/>
      <c r="N682" s="52"/>
      <c r="O682" s="52"/>
    </row>
    <row r="683">
      <c r="M683" s="52"/>
      <c r="N683" s="52"/>
      <c r="O683" s="52"/>
    </row>
    <row r="684">
      <c r="M684" s="52"/>
      <c r="N684" s="52"/>
      <c r="O684" s="52"/>
    </row>
    <row r="685">
      <c r="M685" s="52"/>
      <c r="N685" s="52"/>
      <c r="O685" s="52"/>
    </row>
    <row r="686">
      <c r="M686" s="52"/>
      <c r="N686" s="52"/>
      <c r="O686" s="52"/>
    </row>
    <row r="687">
      <c r="M687" s="52"/>
      <c r="N687" s="52"/>
      <c r="O687" s="52"/>
    </row>
    <row r="688">
      <c r="M688" s="52"/>
      <c r="N688" s="52"/>
      <c r="O688" s="52"/>
    </row>
    <row r="689">
      <c r="M689" s="52"/>
      <c r="N689" s="52"/>
      <c r="O689" s="52"/>
    </row>
    <row r="690">
      <c r="M690" s="52"/>
      <c r="N690" s="52"/>
      <c r="O690" s="52"/>
    </row>
    <row r="691">
      <c r="M691" s="52"/>
      <c r="N691" s="52"/>
      <c r="O691" s="52"/>
    </row>
    <row r="692">
      <c r="M692" s="52"/>
      <c r="N692" s="52"/>
      <c r="O692" s="52"/>
    </row>
    <row r="693">
      <c r="M693" s="52"/>
      <c r="N693" s="52"/>
      <c r="O693" s="52"/>
    </row>
    <row r="694">
      <c r="M694" s="52"/>
      <c r="N694" s="52"/>
      <c r="O694" s="52"/>
    </row>
    <row r="695">
      <c r="M695" s="52"/>
      <c r="N695" s="52"/>
      <c r="O695" s="52"/>
    </row>
    <row r="696">
      <c r="M696" s="52"/>
      <c r="N696" s="52"/>
      <c r="O696" s="52"/>
    </row>
    <row r="697">
      <c r="M697" s="52"/>
      <c r="N697" s="52"/>
      <c r="O697" s="52"/>
    </row>
    <row r="698">
      <c r="M698" s="52"/>
      <c r="N698" s="52"/>
      <c r="O698" s="52"/>
    </row>
    <row r="699">
      <c r="M699" s="52"/>
      <c r="N699" s="52"/>
      <c r="O699" s="52"/>
    </row>
    <row r="700">
      <c r="M700" s="52"/>
      <c r="N700" s="52"/>
      <c r="O700" s="52"/>
    </row>
    <row r="701">
      <c r="M701" s="52"/>
      <c r="N701" s="52"/>
      <c r="O701" s="52"/>
    </row>
    <row r="702">
      <c r="M702" s="52"/>
      <c r="N702" s="52"/>
      <c r="O702" s="52"/>
    </row>
    <row r="703">
      <c r="M703" s="52"/>
      <c r="N703" s="52"/>
      <c r="O703" s="52"/>
    </row>
    <row r="704">
      <c r="M704" s="52"/>
      <c r="N704" s="52"/>
      <c r="O704" s="52"/>
    </row>
    <row r="705">
      <c r="M705" s="52"/>
      <c r="N705" s="52"/>
      <c r="O705" s="52"/>
    </row>
    <row r="706">
      <c r="M706" s="52"/>
      <c r="N706" s="52"/>
      <c r="O706" s="52"/>
    </row>
    <row r="707">
      <c r="M707" s="52"/>
      <c r="N707" s="52"/>
      <c r="O707" s="52"/>
    </row>
    <row r="708">
      <c r="M708" s="52"/>
      <c r="N708" s="52"/>
      <c r="O708" s="52"/>
    </row>
    <row r="709">
      <c r="M709" s="52"/>
      <c r="N709" s="52"/>
      <c r="O709" s="52"/>
    </row>
    <row r="710">
      <c r="M710" s="52"/>
      <c r="N710" s="52"/>
      <c r="O710" s="52"/>
    </row>
    <row r="711">
      <c r="M711" s="52"/>
      <c r="N711" s="52"/>
      <c r="O711" s="52"/>
    </row>
    <row r="712">
      <c r="M712" s="52"/>
      <c r="N712" s="52"/>
      <c r="O712" s="52"/>
    </row>
    <row r="713">
      <c r="M713" s="52"/>
      <c r="N713" s="52"/>
      <c r="O713" s="52"/>
    </row>
    <row r="714">
      <c r="M714" s="52"/>
      <c r="N714" s="52"/>
      <c r="O714" s="52"/>
    </row>
    <row r="715">
      <c r="M715" s="52"/>
      <c r="N715" s="52"/>
      <c r="O715" s="52"/>
    </row>
    <row r="716">
      <c r="M716" s="52"/>
      <c r="N716" s="52"/>
      <c r="O716" s="52"/>
    </row>
    <row r="717">
      <c r="M717" s="52"/>
      <c r="N717" s="52"/>
      <c r="O717" s="52"/>
    </row>
    <row r="718">
      <c r="M718" s="52"/>
      <c r="N718" s="52"/>
      <c r="O718" s="52"/>
    </row>
    <row r="719">
      <c r="M719" s="52"/>
      <c r="N719" s="52"/>
      <c r="O719" s="52"/>
    </row>
    <row r="720">
      <c r="M720" s="52"/>
      <c r="N720" s="52"/>
      <c r="O720" s="52"/>
    </row>
    <row r="721">
      <c r="M721" s="52"/>
      <c r="N721" s="52"/>
      <c r="O721" s="52"/>
    </row>
    <row r="722">
      <c r="M722" s="52"/>
      <c r="N722" s="52"/>
      <c r="O722" s="52"/>
    </row>
    <row r="723">
      <c r="M723" s="52"/>
      <c r="N723" s="52"/>
      <c r="O723" s="52"/>
    </row>
    <row r="724">
      <c r="M724" s="52"/>
      <c r="N724" s="52"/>
      <c r="O724" s="52"/>
    </row>
    <row r="725">
      <c r="M725" s="52"/>
      <c r="N725" s="52"/>
      <c r="O725" s="52"/>
    </row>
    <row r="726">
      <c r="M726" s="52"/>
      <c r="N726" s="52"/>
      <c r="O726" s="52"/>
    </row>
    <row r="727">
      <c r="M727" s="52"/>
      <c r="N727" s="52"/>
      <c r="O727" s="52"/>
    </row>
    <row r="728">
      <c r="M728" s="52"/>
      <c r="N728" s="52"/>
      <c r="O728" s="52"/>
    </row>
    <row r="729">
      <c r="M729" s="52"/>
      <c r="N729" s="52"/>
      <c r="O729" s="52"/>
    </row>
    <row r="730">
      <c r="M730" s="52"/>
      <c r="N730" s="52"/>
      <c r="O730" s="52"/>
    </row>
    <row r="731">
      <c r="M731" s="52"/>
      <c r="N731" s="52"/>
      <c r="O731" s="52"/>
    </row>
    <row r="732">
      <c r="M732" s="52"/>
      <c r="N732" s="52"/>
      <c r="O732" s="52"/>
    </row>
    <row r="733">
      <c r="M733" s="52"/>
      <c r="N733" s="52"/>
      <c r="O733" s="52"/>
    </row>
    <row r="734">
      <c r="M734" s="52"/>
      <c r="N734" s="52"/>
      <c r="O734" s="52"/>
    </row>
    <row r="735">
      <c r="M735" s="52"/>
      <c r="N735" s="52"/>
      <c r="O735" s="52"/>
    </row>
    <row r="736">
      <c r="M736" s="52"/>
      <c r="N736" s="52"/>
      <c r="O736" s="52"/>
    </row>
    <row r="737">
      <c r="M737" s="52"/>
      <c r="N737" s="52"/>
      <c r="O737" s="52"/>
    </row>
    <row r="738">
      <c r="M738" s="52"/>
      <c r="N738" s="52"/>
      <c r="O738" s="52"/>
    </row>
    <row r="739">
      <c r="M739" s="52"/>
      <c r="N739" s="52"/>
      <c r="O739" s="52"/>
    </row>
    <row r="740">
      <c r="M740" s="52"/>
      <c r="N740" s="52"/>
      <c r="O740" s="52"/>
    </row>
    <row r="741">
      <c r="M741" s="52"/>
      <c r="N741" s="52"/>
      <c r="O741" s="52"/>
    </row>
    <row r="742">
      <c r="M742" s="52"/>
      <c r="N742" s="52"/>
      <c r="O742" s="52"/>
    </row>
    <row r="743">
      <c r="M743" s="52"/>
      <c r="N743" s="52"/>
      <c r="O743" s="52"/>
    </row>
    <row r="744">
      <c r="M744" s="52"/>
      <c r="N744" s="52"/>
      <c r="O744" s="52"/>
    </row>
    <row r="745">
      <c r="M745" s="52"/>
      <c r="N745" s="52"/>
      <c r="O745" s="52"/>
    </row>
    <row r="746">
      <c r="M746" s="52"/>
      <c r="N746" s="52"/>
      <c r="O746" s="52"/>
    </row>
    <row r="747">
      <c r="M747" s="52"/>
      <c r="N747" s="52"/>
      <c r="O747" s="52"/>
    </row>
    <row r="748">
      <c r="M748" s="52"/>
      <c r="N748" s="52"/>
      <c r="O748" s="52"/>
    </row>
    <row r="749">
      <c r="M749" s="52"/>
      <c r="N749" s="52"/>
      <c r="O749" s="52"/>
    </row>
    <row r="750">
      <c r="M750" s="52"/>
      <c r="N750" s="52"/>
      <c r="O750" s="52"/>
    </row>
    <row r="751">
      <c r="M751" s="52"/>
      <c r="N751" s="52"/>
      <c r="O751" s="52"/>
    </row>
    <row r="752">
      <c r="M752" s="52"/>
      <c r="N752" s="52"/>
      <c r="O752" s="52"/>
    </row>
    <row r="753">
      <c r="M753" s="52"/>
      <c r="N753" s="52"/>
      <c r="O753" s="52"/>
    </row>
    <row r="754">
      <c r="M754" s="52"/>
      <c r="N754" s="52"/>
      <c r="O754" s="52"/>
    </row>
    <row r="755">
      <c r="M755" s="52"/>
      <c r="N755" s="52"/>
      <c r="O755" s="52"/>
    </row>
    <row r="756">
      <c r="M756" s="52"/>
      <c r="N756" s="52"/>
      <c r="O756" s="52"/>
    </row>
    <row r="757">
      <c r="M757" s="52"/>
      <c r="N757" s="52"/>
      <c r="O757" s="52"/>
    </row>
    <row r="758">
      <c r="M758" s="52"/>
      <c r="N758" s="52"/>
      <c r="O758" s="52"/>
    </row>
    <row r="759">
      <c r="M759" s="52"/>
      <c r="N759" s="52"/>
      <c r="O759" s="52"/>
    </row>
    <row r="760">
      <c r="M760" s="52"/>
      <c r="N760" s="52"/>
      <c r="O760" s="52"/>
    </row>
    <row r="761">
      <c r="M761" s="52"/>
      <c r="N761" s="52"/>
      <c r="O761" s="52"/>
    </row>
    <row r="762">
      <c r="M762" s="52"/>
      <c r="N762" s="52"/>
      <c r="O762" s="52"/>
    </row>
    <row r="763">
      <c r="M763" s="52"/>
      <c r="N763" s="52"/>
      <c r="O763" s="52"/>
    </row>
    <row r="764">
      <c r="M764" s="52"/>
      <c r="N764" s="52"/>
      <c r="O764" s="52"/>
    </row>
    <row r="765">
      <c r="M765" s="52"/>
      <c r="N765" s="52"/>
      <c r="O765" s="52"/>
    </row>
    <row r="766">
      <c r="M766" s="52"/>
      <c r="N766" s="52"/>
      <c r="O766" s="52"/>
    </row>
    <row r="767">
      <c r="M767" s="52"/>
      <c r="N767" s="52"/>
      <c r="O767" s="52"/>
    </row>
    <row r="768">
      <c r="M768" s="52"/>
      <c r="N768" s="52"/>
      <c r="O768" s="52"/>
    </row>
    <row r="769">
      <c r="M769" s="52"/>
      <c r="N769" s="52"/>
      <c r="O769" s="52"/>
    </row>
    <row r="770">
      <c r="M770" s="52"/>
      <c r="N770" s="52"/>
      <c r="O770" s="52"/>
    </row>
    <row r="771">
      <c r="M771" s="52"/>
      <c r="N771" s="52"/>
      <c r="O771" s="52"/>
    </row>
    <row r="772">
      <c r="M772" s="52"/>
      <c r="N772" s="52"/>
      <c r="O772" s="52"/>
    </row>
    <row r="773">
      <c r="M773" s="52"/>
      <c r="N773" s="52"/>
      <c r="O773" s="52"/>
    </row>
    <row r="774">
      <c r="M774" s="52"/>
      <c r="N774" s="52"/>
      <c r="O774" s="52"/>
    </row>
    <row r="775">
      <c r="M775" s="52"/>
      <c r="N775" s="52"/>
      <c r="O775" s="52"/>
    </row>
    <row r="776">
      <c r="M776" s="52"/>
      <c r="N776" s="52"/>
      <c r="O776" s="52"/>
    </row>
    <row r="777">
      <c r="M777" s="52"/>
      <c r="N777" s="52"/>
      <c r="O777" s="52"/>
    </row>
    <row r="778">
      <c r="M778" s="52"/>
      <c r="N778" s="52"/>
      <c r="O778" s="52"/>
    </row>
    <row r="779">
      <c r="M779" s="52"/>
      <c r="N779" s="52"/>
      <c r="O779" s="52"/>
    </row>
    <row r="780">
      <c r="M780" s="52"/>
      <c r="N780" s="52"/>
      <c r="O780" s="52"/>
    </row>
    <row r="781">
      <c r="M781" s="52"/>
      <c r="N781" s="52"/>
      <c r="O781" s="52"/>
    </row>
    <row r="782">
      <c r="M782" s="52"/>
      <c r="N782" s="52"/>
      <c r="O782" s="52"/>
    </row>
    <row r="783">
      <c r="M783" s="52"/>
      <c r="N783" s="52"/>
      <c r="O783" s="52"/>
    </row>
    <row r="784">
      <c r="M784" s="52"/>
      <c r="N784" s="52"/>
      <c r="O784" s="52"/>
    </row>
    <row r="785">
      <c r="M785" s="52"/>
      <c r="N785" s="52"/>
      <c r="O785" s="52"/>
    </row>
    <row r="786">
      <c r="M786" s="52"/>
      <c r="N786" s="52"/>
      <c r="O786" s="52"/>
    </row>
    <row r="787">
      <c r="M787" s="52"/>
      <c r="N787" s="52"/>
      <c r="O787" s="52"/>
    </row>
    <row r="788">
      <c r="M788" s="52"/>
      <c r="N788" s="52"/>
      <c r="O788" s="52"/>
    </row>
    <row r="789">
      <c r="M789" s="52"/>
      <c r="N789" s="52"/>
      <c r="O789" s="52"/>
    </row>
    <row r="790">
      <c r="M790" s="52"/>
      <c r="N790" s="52"/>
      <c r="O790" s="52"/>
    </row>
    <row r="791">
      <c r="M791" s="52"/>
      <c r="N791" s="52"/>
      <c r="O791" s="52"/>
    </row>
    <row r="792">
      <c r="M792" s="52"/>
      <c r="N792" s="52"/>
      <c r="O792" s="52"/>
    </row>
    <row r="793">
      <c r="M793" s="52"/>
      <c r="N793" s="52"/>
      <c r="O793" s="52"/>
    </row>
    <row r="794">
      <c r="M794" s="52"/>
      <c r="N794" s="52"/>
      <c r="O794" s="52"/>
    </row>
    <row r="795">
      <c r="M795" s="52"/>
      <c r="N795" s="52"/>
      <c r="O795" s="52"/>
    </row>
    <row r="796">
      <c r="M796" s="52"/>
      <c r="N796" s="52"/>
      <c r="O796" s="52"/>
    </row>
    <row r="797">
      <c r="M797" s="52"/>
      <c r="N797" s="52"/>
      <c r="O797" s="52"/>
    </row>
    <row r="798">
      <c r="M798" s="52"/>
      <c r="N798" s="52"/>
      <c r="O798" s="52"/>
    </row>
    <row r="799">
      <c r="M799" s="52"/>
      <c r="N799" s="52"/>
      <c r="O799" s="52"/>
    </row>
    <row r="800">
      <c r="M800" s="52"/>
      <c r="N800" s="52"/>
      <c r="O800" s="52"/>
    </row>
    <row r="801">
      <c r="M801" s="52"/>
      <c r="N801" s="52"/>
      <c r="O801" s="52"/>
    </row>
    <row r="802">
      <c r="M802" s="52"/>
      <c r="N802" s="52"/>
      <c r="O802" s="52"/>
    </row>
    <row r="803">
      <c r="M803" s="52"/>
      <c r="N803" s="52"/>
      <c r="O803" s="52"/>
    </row>
    <row r="804">
      <c r="M804" s="52"/>
      <c r="N804" s="52"/>
      <c r="O804" s="52"/>
    </row>
    <row r="805">
      <c r="M805" s="52"/>
      <c r="N805" s="52"/>
      <c r="O805" s="52"/>
    </row>
    <row r="806">
      <c r="M806" s="52"/>
      <c r="N806" s="52"/>
      <c r="O806" s="52"/>
    </row>
    <row r="807">
      <c r="M807" s="52"/>
      <c r="N807" s="52"/>
      <c r="O807" s="52"/>
    </row>
    <row r="808">
      <c r="M808" s="52"/>
      <c r="N808" s="52"/>
      <c r="O808" s="52"/>
    </row>
    <row r="809">
      <c r="M809" s="52"/>
      <c r="N809" s="52"/>
      <c r="O809" s="52"/>
    </row>
    <row r="810">
      <c r="M810" s="52"/>
      <c r="N810" s="52"/>
      <c r="O810" s="52"/>
    </row>
    <row r="811">
      <c r="M811" s="52"/>
      <c r="N811" s="52"/>
      <c r="O811" s="52"/>
    </row>
    <row r="812">
      <c r="M812" s="52"/>
      <c r="N812" s="52"/>
      <c r="O812" s="52"/>
    </row>
    <row r="813">
      <c r="M813" s="52"/>
      <c r="N813" s="52"/>
      <c r="O813" s="52"/>
    </row>
    <row r="814">
      <c r="M814" s="52"/>
      <c r="N814" s="52"/>
      <c r="O814" s="52"/>
    </row>
    <row r="815">
      <c r="M815" s="52"/>
      <c r="N815" s="52"/>
      <c r="O815" s="52"/>
    </row>
    <row r="816">
      <c r="M816" s="52"/>
      <c r="N816" s="52"/>
      <c r="O816" s="52"/>
    </row>
    <row r="817">
      <c r="M817" s="52"/>
      <c r="N817" s="52"/>
      <c r="O817" s="52"/>
    </row>
    <row r="818">
      <c r="M818" s="52"/>
      <c r="N818" s="52"/>
      <c r="O818" s="52"/>
    </row>
    <row r="819">
      <c r="M819" s="52"/>
      <c r="N819" s="52"/>
      <c r="O819" s="52"/>
    </row>
    <row r="820">
      <c r="M820" s="52"/>
      <c r="N820" s="52"/>
      <c r="O820" s="52"/>
    </row>
    <row r="821">
      <c r="M821" s="52"/>
      <c r="N821" s="52"/>
      <c r="O821" s="52"/>
    </row>
    <row r="822">
      <c r="M822" s="52"/>
      <c r="N822" s="52"/>
      <c r="O822" s="52"/>
    </row>
    <row r="823">
      <c r="M823" s="52"/>
      <c r="N823" s="52"/>
      <c r="O823" s="52"/>
    </row>
    <row r="824">
      <c r="M824" s="52"/>
      <c r="N824" s="52"/>
      <c r="O824" s="52"/>
    </row>
    <row r="825">
      <c r="M825" s="52"/>
      <c r="N825" s="52"/>
      <c r="O825" s="52"/>
    </row>
    <row r="826">
      <c r="M826" s="52"/>
      <c r="N826" s="52"/>
      <c r="O826" s="52"/>
    </row>
    <row r="827">
      <c r="M827" s="52"/>
      <c r="N827" s="52"/>
      <c r="O827" s="52"/>
    </row>
    <row r="828">
      <c r="M828" s="52"/>
      <c r="N828" s="52"/>
      <c r="O828" s="52"/>
    </row>
    <row r="829">
      <c r="M829" s="52"/>
      <c r="N829" s="52"/>
      <c r="O829" s="52"/>
    </row>
    <row r="830">
      <c r="M830" s="52"/>
      <c r="N830" s="52"/>
      <c r="O830" s="52"/>
    </row>
    <row r="831">
      <c r="M831" s="52"/>
      <c r="N831" s="52"/>
      <c r="O831" s="52"/>
    </row>
    <row r="832">
      <c r="M832" s="52"/>
      <c r="N832" s="52"/>
      <c r="O832" s="52"/>
    </row>
    <row r="833">
      <c r="M833" s="52"/>
      <c r="N833" s="52"/>
      <c r="O833" s="52"/>
    </row>
    <row r="834">
      <c r="M834" s="52"/>
      <c r="N834" s="52"/>
      <c r="O834" s="52"/>
    </row>
    <row r="835">
      <c r="M835" s="52"/>
      <c r="N835" s="52"/>
      <c r="O835" s="52"/>
    </row>
    <row r="836">
      <c r="M836" s="52"/>
      <c r="N836" s="52"/>
      <c r="O836" s="52"/>
    </row>
    <row r="837">
      <c r="M837" s="52"/>
      <c r="N837" s="52"/>
      <c r="O837" s="52"/>
    </row>
    <row r="838">
      <c r="M838" s="52"/>
      <c r="N838" s="52"/>
      <c r="O838" s="52"/>
    </row>
    <row r="839">
      <c r="M839" s="52"/>
      <c r="N839" s="52"/>
      <c r="O839" s="52"/>
    </row>
    <row r="840">
      <c r="M840" s="52"/>
      <c r="N840" s="52"/>
      <c r="O840" s="52"/>
    </row>
    <row r="841">
      <c r="M841" s="52"/>
      <c r="N841" s="52"/>
      <c r="O841" s="52"/>
    </row>
    <row r="842">
      <c r="M842" s="52"/>
      <c r="N842" s="52"/>
      <c r="O842" s="52"/>
    </row>
    <row r="843">
      <c r="M843" s="52"/>
      <c r="N843" s="52"/>
      <c r="O843" s="52"/>
    </row>
    <row r="844">
      <c r="M844" s="52"/>
      <c r="N844" s="52"/>
      <c r="O844" s="52"/>
    </row>
    <row r="845">
      <c r="M845" s="52"/>
      <c r="N845" s="52"/>
      <c r="O845" s="52"/>
    </row>
    <row r="846">
      <c r="M846" s="52"/>
      <c r="N846" s="52"/>
      <c r="O846" s="52"/>
    </row>
    <row r="847">
      <c r="M847" s="52"/>
      <c r="N847" s="52"/>
      <c r="O847" s="52"/>
    </row>
    <row r="848">
      <c r="M848" s="52"/>
      <c r="N848" s="52"/>
      <c r="O848" s="52"/>
    </row>
    <row r="849">
      <c r="M849" s="52"/>
      <c r="N849" s="52"/>
      <c r="O849" s="52"/>
    </row>
    <row r="850">
      <c r="M850" s="52"/>
      <c r="N850" s="52"/>
      <c r="O850" s="52"/>
    </row>
    <row r="851">
      <c r="M851" s="52"/>
      <c r="N851" s="52"/>
      <c r="O851" s="52"/>
    </row>
    <row r="852">
      <c r="M852" s="52"/>
      <c r="N852" s="52"/>
      <c r="O852" s="52"/>
    </row>
    <row r="853">
      <c r="M853" s="52"/>
      <c r="N853" s="52"/>
      <c r="O853" s="52"/>
    </row>
    <row r="854">
      <c r="M854" s="52"/>
      <c r="N854" s="52"/>
      <c r="O854" s="52"/>
    </row>
    <row r="855">
      <c r="M855" s="52"/>
      <c r="N855" s="52"/>
      <c r="O855" s="52"/>
    </row>
    <row r="856">
      <c r="M856" s="52"/>
      <c r="N856" s="52"/>
      <c r="O856" s="52"/>
    </row>
    <row r="857">
      <c r="M857" s="52"/>
      <c r="N857" s="52"/>
      <c r="O857" s="52"/>
    </row>
    <row r="858">
      <c r="M858" s="52"/>
      <c r="N858" s="52"/>
      <c r="O858" s="52"/>
    </row>
    <row r="859">
      <c r="M859" s="52"/>
      <c r="N859" s="52"/>
      <c r="O859" s="52"/>
    </row>
    <row r="860">
      <c r="M860" s="52"/>
      <c r="N860" s="52"/>
      <c r="O860" s="52"/>
    </row>
    <row r="861">
      <c r="M861" s="52"/>
      <c r="N861" s="52"/>
      <c r="O861" s="52"/>
    </row>
    <row r="862">
      <c r="M862" s="52"/>
      <c r="N862" s="52"/>
      <c r="O862" s="52"/>
    </row>
    <row r="863">
      <c r="M863" s="52"/>
      <c r="N863" s="52"/>
      <c r="O863" s="52"/>
    </row>
    <row r="864">
      <c r="M864" s="52"/>
      <c r="N864" s="52"/>
      <c r="O864" s="52"/>
    </row>
    <row r="865">
      <c r="M865" s="52"/>
      <c r="N865" s="52"/>
      <c r="O865" s="52"/>
    </row>
    <row r="866">
      <c r="M866" s="52"/>
      <c r="N866" s="52"/>
      <c r="O866" s="52"/>
    </row>
    <row r="867">
      <c r="M867" s="52"/>
      <c r="N867" s="52"/>
      <c r="O867" s="52"/>
    </row>
    <row r="868">
      <c r="M868" s="52"/>
      <c r="N868" s="52"/>
      <c r="O868" s="52"/>
    </row>
    <row r="869">
      <c r="M869" s="52"/>
      <c r="N869" s="52"/>
      <c r="O869" s="52"/>
    </row>
    <row r="870">
      <c r="M870" s="52"/>
      <c r="N870" s="52"/>
      <c r="O870" s="52"/>
    </row>
    <row r="871">
      <c r="M871" s="52"/>
      <c r="N871" s="52"/>
      <c r="O871" s="52"/>
    </row>
    <row r="872">
      <c r="M872" s="52"/>
      <c r="N872" s="52"/>
      <c r="O872" s="52"/>
    </row>
    <row r="873">
      <c r="M873" s="52"/>
      <c r="N873" s="52"/>
      <c r="O873" s="52"/>
    </row>
    <row r="874">
      <c r="M874" s="52"/>
      <c r="N874" s="52"/>
      <c r="O874" s="52"/>
    </row>
    <row r="875">
      <c r="M875" s="52"/>
      <c r="N875" s="52"/>
      <c r="O875" s="52"/>
    </row>
    <row r="876">
      <c r="M876" s="52"/>
      <c r="N876" s="52"/>
      <c r="O876" s="52"/>
    </row>
    <row r="877">
      <c r="M877" s="52"/>
      <c r="N877" s="52"/>
      <c r="O877" s="52"/>
    </row>
    <row r="878">
      <c r="M878" s="52"/>
      <c r="N878" s="52"/>
      <c r="O878" s="52"/>
    </row>
    <row r="879">
      <c r="M879" s="52"/>
      <c r="N879" s="52"/>
      <c r="O879" s="52"/>
    </row>
    <row r="880">
      <c r="M880" s="52"/>
      <c r="N880" s="52"/>
      <c r="O880" s="52"/>
    </row>
    <row r="881">
      <c r="M881" s="52"/>
      <c r="N881" s="52"/>
      <c r="O881" s="52"/>
    </row>
    <row r="882">
      <c r="M882" s="52"/>
      <c r="N882" s="52"/>
      <c r="O882" s="52"/>
    </row>
    <row r="883">
      <c r="M883" s="52"/>
      <c r="N883" s="52"/>
      <c r="O883" s="52"/>
    </row>
    <row r="884">
      <c r="M884" s="52"/>
      <c r="N884" s="52"/>
      <c r="O884" s="52"/>
    </row>
    <row r="885">
      <c r="M885" s="52"/>
      <c r="N885" s="52"/>
      <c r="O885" s="52"/>
    </row>
    <row r="886">
      <c r="M886" s="52"/>
      <c r="N886" s="52"/>
      <c r="O886" s="52"/>
    </row>
    <row r="887">
      <c r="M887" s="52"/>
      <c r="N887" s="52"/>
      <c r="O887" s="52"/>
    </row>
    <row r="888">
      <c r="M888" s="52"/>
      <c r="N888" s="52"/>
      <c r="O888" s="52"/>
    </row>
    <row r="889">
      <c r="M889" s="52"/>
      <c r="N889" s="52"/>
      <c r="O889" s="52"/>
    </row>
    <row r="890">
      <c r="M890" s="52"/>
      <c r="N890" s="52"/>
      <c r="O890" s="52"/>
    </row>
    <row r="891">
      <c r="M891" s="52"/>
      <c r="N891" s="52"/>
      <c r="O891" s="52"/>
    </row>
    <row r="892">
      <c r="M892" s="52"/>
      <c r="N892" s="52"/>
      <c r="O892" s="52"/>
    </row>
    <row r="893">
      <c r="M893" s="52"/>
      <c r="N893" s="52"/>
      <c r="O893" s="52"/>
    </row>
    <row r="894">
      <c r="M894" s="52"/>
      <c r="N894" s="52"/>
      <c r="O894" s="52"/>
    </row>
    <row r="895">
      <c r="M895" s="52"/>
      <c r="N895" s="52"/>
      <c r="O895" s="52"/>
    </row>
    <row r="896">
      <c r="M896" s="52"/>
      <c r="N896" s="52"/>
      <c r="O896" s="52"/>
    </row>
    <row r="897">
      <c r="M897" s="52"/>
      <c r="N897" s="52"/>
      <c r="O897" s="52"/>
    </row>
    <row r="898">
      <c r="M898" s="52"/>
      <c r="N898" s="52"/>
      <c r="O898" s="52"/>
    </row>
    <row r="899">
      <c r="M899" s="52"/>
      <c r="N899" s="52"/>
      <c r="O899" s="52"/>
    </row>
    <row r="900">
      <c r="M900" s="52"/>
      <c r="N900" s="52"/>
      <c r="O900" s="52"/>
    </row>
    <row r="901">
      <c r="M901" s="52"/>
      <c r="N901" s="52"/>
      <c r="O901" s="52"/>
    </row>
    <row r="902">
      <c r="M902" s="52"/>
      <c r="N902" s="52"/>
      <c r="O902" s="52"/>
    </row>
    <row r="903">
      <c r="M903" s="52"/>
      <c r="N903" s="52"/>
      <c r="O903" s="52"/>
    </row>
    <row r="904">
      <c r="M904" s="52"/>
      <c r="N904" s="52"/>
      <c r="O904" s="52"/>
    </row>
    <row r="905">
      <c r="M905" s="52"/>
      <c r="N905" s="52"/>
      <c r="O905" s="52"/>
    </row>
    <row r="906">
      <c r="M906" s="52"/>
      <c r="N906" s="52"/>
      <c r="O906" s="52"/>
    </row>
    <row r="907">
      <c r="M907" s="52"/>
      <c r="N907" s="52"/>
      <c r="O907" s="52"/>
    </row>
    <row r="908">
      <c r="M908" s="52"/>
      <c r="N908" s="52"/>
      <c r="O908" s="52"/>
    </row>
    <row r="909">
      <c r="M909" s="52"/>
      <c r="N909" s="52"/>
      <c r="O909" s="52"/>
    </row>
    <row r="910">
      <c r="M910" s="52"/>
      <c r="N910" s="52"/>
      <c r="O910" s="52"/>
    </row>
    <row r="911">
      <c r="M911" s="52"/>
      <c r="N911" s="52"/>
      <c r="O911" s="52"/>
    </row>
    <row r="912">
      <c r="M912" s="52"/>
      <c r="N912" s="52"/>
      <c r="O912" s="52"/>
    </row>
    <row r="913">
      <c r="M913" s="52"/>
      <c r="N913" s="52"/>
      <c r="O913" s="52"/>
    </row>
    <row r="914">
      <c r="M914" s="52"/>
      <c r="N914" s="52"/>
      <c r="O914" s="52"/>
    </row>
    <row r="915">
      <c r="M915" s="52"/>
      <c r="N915" s="52"/>
      <c r="O915" s="52"/>
    </row>
    <row r="916">
      <c r="M916" s="52"/>
      <c r="N916" s="52"/>
      <c r="O916" s="52"/>
    </row>
    <row r="917">
      <c r="M917" s="52"/>
      <c r="N917" s="52"/>
      <c r="O917" s="52"/>
    </row>
    <row r="918">
      <c r="M918" s="52"/>
      <c r="N918" s="52"/>
      <c r="O918" s="52"/>
    </row>
    <row r="919">
      <c r="M919" s="52"/>
      <c r="N919" s="52"/>
      <c r="O919" s="52"/>
    </row>
    <row r="920">
      <c r="M920" s="52"/>
      <c r="N920" s="52"/>
      <c r="O920" s="52"/>
    </row>
    <row r="921">
      <c r="M921" s="52"/>
      <c r="N921" s="52"/>
      <c r="O921" s="52"/>
    </row>
    <row r="922">
      <c r="M922" s="52"/>
      <c r="N922" s="52"/>
      <c r="O922" s="52"/>
    </row>
    <row r="923">
      <c r="M923" s="52"/>
      <c r="N923" s="52"/>
      <c r="O923" s="52"/>
    </row>
    <row r="924">
      <c r="M924" s="52"/>
      <c r="N924" s="52"/>
      <c r="O924" s="52"/>
    </row>
    <row r="925">
      <c r="M925" s="52"/>
      <c r="N925" s="52"/>
      <c r="O925" s="52"/>
    </row>
    <row r="926">
      <c r="M926" s="52"/>
      <c r="N926" s="52"/>
      <c r="O926" s="52"/>
    </row>
    <row r="927">
      <c r="M927" s="52"/>
      <c r="N927" s="52"/>
      <c r="O927" s="52"/>
    </row>
    <row r="928">
      <c r="M928" s="52"/>
      <c r="N928" s="52"/>
      <c r="O928" s="52"/>
    </row>
    <row r="929">
      <c r="M929" s="52"/>
      <c r="N929" s="52"/>
      <c r="O929" s="52"/>
    </row>
    <row r="930">
      <c r="M930" s="52"/>
      <c r="N930" s="52"/>
      <c r="O930" s="52"/>
    </row>
    <row r="931">
      <c r="M931" s="52"/>
      <c r="N931" s="52"/>
      <c r="O931" s="52"/>
    </row>
    <row r="932">
      <c r="M932" s="52"/>
      <c r="N932" s="52"/>
      <c r="O932" s="52"/>
    </row>
    <row r="933">
      <c r="M933" s="52"/>
      <c r="N933" s="52"/>
      <c r="O933" s="52"/>
    </row>
    <row r="934">
      <c r="M934" s="52"/>
      <c r="N934" s="52"/>
      <c r="O934" s="52"/>
    </row>
    <row r="935">
      <c r="M935" s="52"/>
      <c r="N935" s="52"/>
      <c r="O935" s="52"/>
    </row>
    <row r="936">
      <c r="M936" s="52"/>
      <c r="N936" s="52"/>
      <c r="O936" s="52"/>
    </row>
    <row r="937">
      <c r="M937" s="52"/>
      <c r="N937" s="52"/>
      <c r="O937" s="52"/>
    </row>
    <row r="938">
      <c r="M938" s="52"/>
      <c r="N938" s="52"/>
      <c r="O938" s="52"/>
    </row>
    <row r="939">
      <c r="M939" s="52"/>
      <c r="N939" s="52"/>
      <c r="O939" s="52"/>
    </row>
    <row r="940">
      <c r="M940" s="52"/>
      <c r="N940" s="52"/>
      <c r="O940" s="52"/>
    </row>
    <row r="941">
      <c r="M941" s="52"/>
      <c r="N941" s="52"/>
      <c r="O941" s="52"/>
    </row>
    <row r="942">
      <c r="M942" s="52"/>
      <c r="N942" s="52"/>
      <c r="O942" s="52"/>
    </row>
    <row r="943">
      <c r="M943" s="52"/>
      <c r="N943" s="52"/>
      <c r="O943" s="52"/>
    </row>
    <row r="944">
      <c r="M944" s="52"/>
      <c r="N944" s="52"/>
      <c r="O944" s="52"/>
    </row>
    <row r="945">
      <c r="M945" s="52"/>
      <c r="N945" s="52"/>
      <c r="O945" s="52"/>
    </row>
    <row r="946">
      <c r="M946" s="52"/>
      <c r="N946" s="52"/>
      <c r="O946" s="52"/>
    </row>
    <row r="947">
      <c r="M947" s="52"/>
      <c r="N947" s="52"/>
      <c r="O947" s="52"/>
    </row>
    <row r="948">
      <c r="M948" s="52"/>
      <c r="N948" s="52"/>
      <c r="O948" s="52"/>
    </row>
    <row r="949">
      <c r="M949" s="52"/>
      <c r="N949" s="52"/>
      <c r="O949" s="52"/>
    </row>
    <row r="950">
      <c r="M950" s="52"/>
      <c r="N950" s="52"/>
      <c r="O950" s="52"/>
    </row>
    <row r="951">
      <c r="M951" s="52"/>
      <c r="N951" s="52"/>
      <c r="O951" s="52"/>
    </row>
    <row r="952">
      <c r="M952" s="52"/>
      <c r="N952" s="52"/>
      <c r="O952" s="52"/>
    </row>
    <row r="953">
      <c r="M953" s="52"/>
      <c r="N953" s="52"/>
      <c r="O953" s="52"/>
    </row>
    <row r="954">
      <c r="M954" s="52"/>
      <c r="N954" s="52"/>
      <c r="O954" s="52"/>
    </row>
    <row r="955">
      <c r="M955" s="52"/>
      <c r="N955" s="52"/>
      <c r="O955" s="52"/>
    </row>
    <row r="956">
      <c r="M956" s="52"/>
      <c r="N956" s="52"/>
      <c r="O956" s="52"/>
    </row>
    <row r="957">
      <c r="M957" s="52"/>
      <c r="N957" s="52"/>
      <c r="O957" s="52"/>
    </row>
    <row r="958">
      <c r="M958" s="52"/>
      <c r="N958" s="52"/>
      <c r="O958" s="52"/>
    </row>
    <row r="959">
      <c r="M959" s="52"/>
      <c r="N959" s="52"/>
      <c r="O959" s="52"/>
    </row>
    <row r="960">
      <c r="M960" s="52"/>
      <c r="N960" s="52"/>
      <c r="O960" s="52"/>
    </row>
    <row r="961">
      <c r="M961" s="52"/>
      <c r="N961" s="52"/>
      <c r="O961" s="52"/>
    </row>
    <row r="962">
      <c r="M962" s="52"/>
      <c r="N962" s="52"/>
      <c r="O962" s="52"/>
    </row>
    <row r="963">
      <c r="M963" s="52"/>
      <c r="N963" s="52"/>
      <c r="O963" s="52"/>
    </row>
    <row r="964">
      <c r="M964" s="52"/>
      <c r="N964" s="52"/>
      <c r="O964" s="52"/>
    </row>
    <row r="965">
      <c r="M965" s="52"/>
      <c r="N965" s="52"/>
      <c r="O965" s="52"/>
    </row>
    <row r="966">
      <c r="M966" s="52"/>
      <c r="N966" s="52"/>
      <c r="O966" s="52"/>
    </row>
    <row r="967">
      <c r="M967" s="52"/>
      <c r="N967" s="52"/>
      <c r="O967" s="52"/>
    </row>
    <row r="968">
      <c r="M968" s="52"/>
      <c r="N968" s="52"/>
      <c r="O968" s="52"/>
    </row>
    <row r="969">
      <c r="M969" s="52"/>
      <c r="N969" s="52"/>
      <c r="O969" s="52"/>
    </row>
    <row r="970">
      <c r="M970" s="52"/>
      <c r="N970" s="52"/>
      <c r="O970" s="52"/>
    </row>
    <row r="971">
      <c r="M971" s="52"/>
      <c r="N971" s="52"/>
      <c r="O971" s="52"/>
    </row>
    <row r="972">
      <c r="M972" s="52"/>
      <c r="N972" s="52"/>
      <c r="O972" s="52"/>
    </row>
    <row r="973">
      <c r="M973" s="52"/>
      <c r="N973" s="52"/>
      <c r="O973" s="52"/>
    </row>
    <row r="974">
      <c r="M974" s="52"/>
      <c r="N974" s="52"/>
      <c r="O974" s="52"/>
    </row>
    <row r="975">
      <c r="M975" s="52"/>
      <c r="N975" s="52"/>
      <c r="O975" s="52"/>
    </row>
    <row r="976">
      <c r="M976" s="52"/>
      <c r="N976" s="52"/>
      <c r="O976" s="52"/>
    </row>
    <row r="977">
      <c r="M977" s="52"/>
      <c r="N977" s="52"/>
      <c r="O977" s="52"/>
    </row>
    <row r="978">
      <c r="M978" s="52"/>
      <c r="N978" s="52"/>
      <c r="O978" s="52"/>
    </row>
    <row r="979">
      <c r="M979" s="52"/>
      <c r="N979" s="52"/>
      <c r="O979" s="52"/>
    </row>
    <row r="980">
      <c r="M980" s="52"/>
      <c r="N980" s="52"/>
      <c r="O980" s="52"/>
    </row>
    <row r="981">
      <c r="M981" s="52"/>
      <c r="N981" s="52"/>
      <c r="O981" s="52"/>
    </row>
    <row r="982">
      <c r="M982" s="52"/>
      <c r="N982" s="52"/>
      <c r="O982" s="52"/>
    </row>
    <row r="983">
      <c r="M983" s="52"/>
      <c r="N983" s="52"/>
      <c r="O983" s="52"/>
    </row>
    <row r="984">
      <c r="M984" s="52"/>
      <c r="N984" s="52"/>
      <c r="O984" s="52"/>
    </row>
    <row r="985">
      <c r="M985" s="52"/>
      <c r="N985" s="52"/>
      <c r="O985" s="52"/>
    </row>
    <row r="986">
      <c r="M986" s="52"/>
      <c r="N986" s="52"/>
      <c r="O986" s="52"/>
    </row>
    <row r="987">
      <c r="M987" s="52"/>
      <c r="N987" s="52"/>
      <c r="O987" s="52"/>
    </row>
    <row r="988">
      <c r="M988" s="52"/>
      <c r="N988" s="52"/>
      <c r="O988" s="52"/>
    </row>
    <row r="989">
      <c r="M989" s="52"/>
      <c r="N989" s="52"/>
      <c r="O989" s="52"/>
    </row>
    <row r="990">
      <c r="M990" s="52"/>
      <c r="N990" s="52"/>
      <c r="O990" s="52"/>
    </row>
    <row r="991">
      <c r="M991" s="52"/>
      <c r="N991" s="52"/>
      <c r="O991" s="52"/>
    </row>
    <row r="992">
      <c r="M992" s="52"/>
      <c r="N992" s="52"/>
      <c r="O992" s="52"/>
    </row>
    <row r="993">
      <c r="M993" s="52"/>
      <c r="N993" s="52"/>
      <c r="O993" s="52"/>
    </row>
    <row r="994">
      <c r="M994" s="52"/>
      <c r="N994" s="52"/>
      <c r="O994" s="52"/>
    </row>
    <row r="995">
      <c r="M995" s="52"/>
      <c r="N995" s="52"/>
      <c r="O995" s="52"/>
    </row>
    <row r="996">
      <c r="M996" s="52"/>
      <c r="N996" s="52"/>
      <c r="O996" s="52"/>
    </row>
    <row r="997">
      <c r="M997" s="52"/>
      <c r="N997" s="52"/>
      <c r="O997" s="52"/>
    </row>
    <row r="998">
      <c r="M998" s="52"/>
      <c r="N998" s="52"/>
      <c r="O998" s="52"/>
    </row>
    <row r="999">
      <c r="M999" s="52"/>
      <c r="N999" s="52"/>
      <c r="O999" s="52"/>
    </row>
    <row r="1000">
      <c r="M1000" s="52"/>
      <c r="N1000" s="52"/>
      <c r="O1000" s="52"/>
    </row>
  </sheetData>
  <mergeCells count="7">
    <mergeCell ref="A1:A2"/>
    <mergeCell ref="B1:B2"/>
    <mergeCell ref="C1:G1"/>
    <mergeCell ref="H1:I1"/>
    <mergeCell ref="J1:J2"/>
    <mergeCell ref="K1:O1"/>
    <mergeCell ref="P1:U1"/>
  </mergeCells>
  <conditionalFormatting sqref="N3:N9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G3:G9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3:H9 K3:K9">
    <cfRule type="colorScale" priority="3">
      <colorScale>
        <cfvo type="formula" val="0"/>
        <cfvo type="max"/>
        <color rgb="FFFFFFFF"/>
        <color rgb="FF57BB8A"/>
      </colorScale>
    </cfRule>
  </conditionalFormatting>
  <conditionalFormatting sqref="I3:I9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J3:J9">
    <cfRule type="colorScale" priority="5">
      <colorScale>
        <cfvo type="formula" val="0"/>
        <cfvo type="max"/>
        <color rgb="FFFFFFFF"/>
        <color rgb="FF57BB8A"/>
      </colorScale>
    </cfRule>
  </conditionalFormatting>
  <conditionalFormatting sqref="K3:K9">
    <cfRule type="colorScale" priority="6">
      <colorScale>
        <cfvo type="formula" val="0"/>
        <cfvo type="max"/>
        <color rgb="FFFFFFFF"/>
        <color rgb="FF57BB8A"/>
      </colorScale>
    </cfRule>
  </conditionalFormatting>
  <conditionalFormatting sqref="L3:L9">
    <cfRule type="colorScale" priority="7">
      <colorScale>
        <cfvo type="formula" val="0"/>
        <cfvo type="max"/>
        <color rgb="FFFFFFFF"/>
        <color rgb="FFE67C73"/>
      </colorScale>
    </cfRule>
  </conditionalFormatting>
  <conditionalFormatting sqref="C3:C9">
    <cfRule type="colorScale" priority="8">
      <colorScale>
        <cfvo type="formula" val="0"/>
        <cfvo type="max"/>
        <color rgb="FFFFFFFF"/>
        <color rgb="FFFFD666"/>
      </colorScale>
    </cfRule>
  </conditionalFormatting>
  <conditionalFormatting sqref="D3:D9">
    <cfRule type="colorScale" priority="9">
      <colorScale>
        <cfvo type="formula" val="0"/>
        <cfvo type="max"/>
        <color rgb="FFFFFFFF"/>
        <color rgb="FF57BB8A"/>
      </colorScale>
    </cfRule>
  </conditionalFormatting>
  <conditionalFormatting sqref="E3:E9">
    <cfRule type="colorScale" priority="10">
      <colorScale>
        <cfvo type="formula" val="0"/>
        <cfvo type="max"/>
        <color rgb="FFFFFFFF"/>
        <color rgb="FFE67C73"/>
      </colorScale>
    </cfRule>
  </conditionalFormatting>
  <conditionalFormatting sqref="F3:F9">
    <cfRule type="colorScale" priority="11">
      <colorScale>
        <cfvo type="formula" val="0"/>
        <cfvo type="max"/>
        <color rgb="FFFFFFFF"/>
        <color rgb="FF57BB8A"/>
      </colorScale>
    </cfRule>
  </conditionalFormatting>
  <conditionalFormatting sqref="M3:M9">
    <cfRule type="colorScale" priority="12">
      <colorScale>
        <cfvo type="formula" val="0"/>
        <cfvo type="max"/>
        <color rgb="FFFFFFFF"/>
        <color rgb="FFFFD666"/>
      </colorScale>
    </cfRule>
  </conditionalFormatting>
  <conditionalFormatting sqref="O3:O9">
    <cfRule type="colorScale" priority="13">
      <colorScale>
        <cfvo type="formula" val="0"/>
        <cfvo type="formula" val="1"/>
        <color rgb="FFFFFFFF"/>
        <color rgb="FF57BB8A"/>
      </colorScale>
    </cfRule>
  </conditionalFormatting>
  <conditionalFormatting sqref="P3:P9">
    <cfRule type="colorScale" priority="14">
      <colorScale>
        <cfvo type="formula" val="0"/>
        <cfvo type="max"/>
        <color rgb="FFFFFFFF"/>
        <color rgb="FFFFD666"/>
      </colorScale>
    </cfRule>
  </conditionalFormatting>
  <conditionalFormatting sqref="U3:U9">
    <cfRule type="colorScale" priority="15">
      <colorScale>
        <cfvo type="formula" val="0"/>
        <cfvo type="formula" val="2"/>
        <cfvo type="formula" val="3"/>
        <color rgb="FFE67C73"/>
        <color rgb="FFFFFFFF"/>
        <color rgb="FF57BB8A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6" max="6" width="11.88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1" t="s">
        <v>4</v>
      </c>
      <c r="K1" s="6" t="s">
        <v>5</v>
      </c>
      <c r="L1" s="4"/>
      <c r="M1" s="4"/>
      <c r="N1" s="4"/>
      <c r="O1" s="5"/>
      <c r="P1" s="30" t="s">
        <v>6</v>
      </c>
      <c r="Q1" s="4"/>
      <c r="R1" s="4"/>
      <c r="S1" s="4"/>
      <c r="T1" s="4"/>
      <c r="U1" s="5"/>
      <c r="Z1" s="54" t="s">
        <v>81</v>
      </c>
    </row>
    <row r="2">
      <c r="A2" s="9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2" t="s">
        <v>13</v>
      </c>
      <c r="I2" s="12" t="s">
        <v>14</v>
      </c>
      <c r="J2" s="9"/>
      <c r="K2" s="10" t="s">
        <v>15</v>
      </c>
      <c r="L2" s="12" t="s">
        <v>10</v>
      </c>
      <c r="M2" s="10" t="s">
        <v>16</v>
      </c>
      <c r="N2" s="10" t="s">
        <v>17</v>
      </c>
      <c r="O2" s="10" t="s">
        <v>18</v>
      </c>
      <c r="P2" s="15" t="s">
        <v>8</v>
      </c>
      <c r="Q2" s="15">
        <v>0.0</v>
      </c>
      <c r="R2" s="15">
        <v>1.0</v>
      </c>
      <c r="S2" s="15">
        <v>2.0</v>
      </c>
      <c r="T2" s="15">
        <v>3.0</v>
      </c>
      <c r="U2" s="15" t="s">
        <v>19</v>
      </c>
      <c r="Z2" s="54" t="s">
        <v>82</v>
      </c>
    </row>
    <row r="3">
      <c r="A3" s="18" t="s">
        <v>21</v>
      </c>
      <c r="B3" s="18" t="s">
        <v>83</v>
      </c>
      <c r="C3" s="31">
        <f>IFERROR(__xludf.DUMMYFUNCTION("SUM(MAP(FILTER(Z1:Z100, Z1:Z100 &lt;&gt; """"), LAMBDA(sheet, IFERROR(VALUE(INDIRECT(""'"" &amp; sheet &amp; ""'!C3"")), 0))))"),13.0)</f>
        <v>13</v>
      </c>
      <c r="D3" s="32">
        <f>IFERROR(__xludf.DUMMYFUNCTION("SUM(MAP(FILTER(Z1:Z100, Z1:Z100 &lt;&gt; """"), LAMBDA(sheet, IFERROR(VALUE(INDIRECT(""'"" &amp; sheet &amp; ""'!d3"")), 0))))"),2.0)</f>
        <v>2</v>
      </c>
      <c r="E3" s="38">
        <f>IFERROR(__xludf.DUMMYFUNCTION("SUM(MAP(FILTER(Z1:Z100, Z1:Z100 &lt;&gt; """"), LAMBDA(sheet, IFERROR(VALUE(INDIRECT(""'"" &amp; sheet &amp; ""'!e3"")), 0))))"),0.0)</f>
        <v>0</v>
      </c>
      <c r="F3" s="34">
        <f>IFERROR(__xludf.DUMMYFUNCTION("SUM(MAP(FILTER(Z1:Z100, Z1:Z100 &lt;&gt; """"), LAMBDA(sheet, IFERROR(VALUE(INDIRECT(""'"" &amp; sheet &amp; ""'!f3"")), 0))))"),0.0)</f>
        <v>0</v>
      </c>
      <c r="G3" s="35">
        <f t="shared" ref="G3:G9" si="1">IFS(C3=0, "N/A", C3&lt;&gt;0,(D3-E3)/C3 )</f>
        <v>0.1538461538</v>
      </c>
      <c r="H3" s="10">
        <f>IFERROR(__xludf.DUMMYFUNCTION("SUM(MAP(FILTER(Z1:Z100, Z1:Z100 &lt;&gt; """"), LAMBDA(sheet, IFERROR(VALUE(INDIRECT(""'"" &amp; sheet &amp; ""'!h3"")), 0))))"),0.0)</f>
        <v>0</v>
      </c>
      <c r="I3" s="10">
        <f>IFERROR(__xludf.DUMMYFUNCTION("SUM(MAP(FILTER(Z1:Z100, Z1:Z100 &lt;&gt; """"), LAMBDA(sheet, IFERROR(VALUE(INDIRECT(""'"" &amp; sheet &amp; ""'!i73"")), 0))))"),0.0)</f>
        <v>0</v>
      </c>
      <c r="J3" s="10">
        <f>IFERROR(__xludf.DUMMYFUNCTION("SUM(MAP(FILTER(Z1:Z100, Z1:Z100 &lt;&gt; """"), LAMBDA(sheet, IFERROR(VALUE(INDIRECT(""'"" &amp; sheet &amp; ""'!j3"")), 0))))"),7.0)</f>
        <v>7</v>
      </c>
      <c r="K3" s="10">
        <f>IFERROR(__xludf.DUMMYFUNCTION("SUM(MAP(FILTER(Z1:Z100, Z1:Z100 &lt;&gt; """"), LAMBDA(sheet, IFERROR(VALUE(INDIRECT(""'"" &amp; sheet &amp; ""'!k3"")), 0))))"),0.0)</f>
        <v>0</v>
      </c>
      <c r="L3" s="10">
        <f>IFERROR(__xludf.DUMMYFUNCTION("SUM(MAP(FILTER(Z1:Z100, Z1:Z100 &lt;&gt; """"), LAMBDA(sheet, IFERROR(VALUE(INDIRECT(""'"" &amp; sheet &amp; ""'!l3"")), 0))))"),0.0)</f>
        <v>0</v>
      </c>
      <c r="M3" s="10">
        <f>IFERROR(__xludf.DUMMYFUNCTION("SUM(MAP(FILTER(Z1:Z100, Z1:Z100 &lt;&gt; """"), LAMBDA(sheet, IFERROR(VALUE(INDIRECT(""'"" &amp; sheet &amp; ""'!m3"")), 0))))"),8.0)</f>
        <v>8</v>
      </c>
      <c r="N3" s="35">
        <f t="shared" ref="N3:N9" si="2">ifs(M3=0,"N/A",M3&lt;&gt;0,(M3-L3) /M3)</f>
        <v>1</v>
      </c>
      <c r="O3" s="35">
        <f t="shared" ref="O3:O9" si="3">IFS(M3=0, "N/A", M3&lt;&gt;0, K3/M3)</f>
        <v>0</v>
      </c>
      <c r="P3" s="10">
        <f>IFERROR(__xludf.DUMMYFUNCTION("SUM(MAP(FILTER(Z1:Z100, Z1:Z100 &lt;&gt; """"), LAMBDA(sheet, IFERROR(VALUE(INDIRECT(""'"" &amp; sheet &amp; ""'!p3"")), 0))))"),12.0)</f>
        <v>12</v>
      </c>
      <c r="Q3" s="10">
        <f>IFERROR(__xludf.DUMMYFUNCTION("SUM(MAP(FILTER(Z1:Z100, Z1:Z100 &lt;&gt; """"), LAMBDA(sheet, IFERROR(VALUE(INDIRECT(""'"" &amp; sheet &amp; ""'!q3"")), 0))))"),1.0)</f>
        <v>1</v>
      </c>
      <c r="R3" s="10">
        <f>IFERROR(__xludf.DUMMYFUNCTION("SUM(MAP(FILTER(Z1:Z100, Z1:Z100 &lt;&gt; """"), LAMBDA(sheet, IFERROR(VALUE(INDIRECT(""'"" &amp; sheet &amp; ""'!r3"")), 0))))"),1.0)</f>
        <v>1</v>
      </c>
      <c r="S3" s="10">
        <f>IFERROR(__xludf.DUMMYFUNCTION("SUM(MAP(FILTER(Z1:Z100, Z1:Z100 &lt;&gt; """"), LAMBDA(sheet, IFERROR(VALUE(INDIRECT(""'"" &amp; sheet &amp; ""'!s3"")), 0))))"),2.0)</f>
        <v>2</v>
      </c>
      <c r="T3" s="10">
        <f>IFERROR(__xludf.DUMMYFUNCTION("SUM(MAP(FILTER(Z1:Z100, Z1:Z100 &lt;&gt; """"), LAMBDA(sheet, IFERROR(VALUE(INDIRECT(""'"" &amp; sheet &amp; ""'!t3"")), 0))))"),8.0)</f>
        <v>8</v>
      </c>
      <c r="U3" s="10">
        <f t="shared" ref="U3:U9" si="4">ifs(P3=0, "N/A",P3&lt;&gt;0,(R3 + S3*2 +T3*3)/P3)</f>
        <v>2.416666667</v>
      </c>
      <c r="Z3" s="54"/>
    </row>
    <row r="4">
      <c r="A4" s="21" t="s">
        <v>24</v>
      </c>
      <c r="B4" s="21" t="s">
        <v>84</v>
      </c>
      <c r="C4" s="36">
        <f>IFERROR(__xludf.DUMMYFUNCTION("SUM(MAP(FILTER(Z1:Z100, Z1:Z100 &lt;&gt; """"), LAMBDA(sheet, IFERROR(VALUE(INDIRECT(""'"" &amp; sheet &amp; ""'!C4"")), 0))))"),8.0)</f>
        <v>8</v>
      </c>
      <c r="D4" s="37">
        <f>IFERROR(__xludf.DUMMYFUNCTION("SUM(MAP(FILTER(Z1:Z100, Z1:Z100 &lt;&gt; """"), LAMBDA(sheet, IFERROR(VALUE(INDIRECT(""'"" &amp; sheet &amp; ""'!d4"")), 0))))"),3.0)</f>
        <v>3</v>
      </c>
      <c r="E4" s="38">
        <f>IFERROR(__xludf.DUMMYFUNCTION("SUM(MAP(FILTER(Z1:Z100, Z1:Z100 &lt;&gt; """"), LAMBDA(sheet, IFERROR(VALUE(INDIRECT(""'"" &amp; sheet &amp; ""'!e4"")), 0))))"),1.0)</f>
        <v>1</v>
      </c>
      <c r="F4" s="39">
        <f>IFERROR(__xludf.DUMMYFUNCTION("SUM(MAP(FILTER(Z1:Z100, Z1:Z100 &lt;&gt; """"), LAMBDA(sheet, IFERROR(VALUE(INDIRECT(""'"" &amp; sheet &amp; ""'!f4"")), 0))))"),0.0)</f>
        <v>0</v>
      </c>
      <c r="G4" s="35">
        <f t="shared" si="1"/>
        <v>0.25</v>
      </c>
      <c r="H4" s="10">
        <f>IFERROR(__xludf.DUMMYFUNCTION("SUM(MAP(FILTER(Z1:Z100, Z1:Z100 &lt;&gt; """"), LAMBDA(sheet, IFERROR(VALUE(INDIRECT(""'"" &amp; sheet &amp; ""'!h4"")), 0))))"),0.0)</f>
        <v>0</v>
      </c>
      <c r="I4" s="10">
        <f>IFERROR(__xludf.DUMMYFUNCTION("SUM(MAP(FILTER(Z1:Z100, Z1:Z100 &lt;&gt; """"), LAMBDA(sheet, IFERROR(VALUE(INDIRECT(""'"" &amp; sheet &amp; ""'!i4"")), 0))))"),0.0)</f>
        <v>0</v>
      </c>
      <c r="J4" s="10">
        <f>IFERROR(__xludf.DUMMYFUNCTION("SUM(MAP(FILTER(Z1:Z100, Z1:Z100 &lt;&gt; """"), LAMBDA(sheet, IFERROR(VALUE(INDIRECT(""'"" &amp; sheet &amp; ""'!j4"")), 0))))"),6.0)</f>
        <v>6</v>
      </c>
      <c r="K4" s="10">
        <f>IFERROR(__xludf.DUMMYFUNCTION("SUM(MAP(FILTER(Z1:Z100, Z1:Z100 &lt;&gt; """"), LAMBDA(sheet, IFERROR(VALUE(INDIRECT(""'"" &amp; sheet &amp; ""'!k4"")), 0))))"),0.0)</f>
        <v>0</v>
      </c>
      <c r="L4" s="10">
        <f>IFERROR(__xludf.DUMMYFUNCTION("SUM(MAP(FILTER(Z1:Z100, Z1:Z100 &lt;&gt; """"), LAMBDA(sheet, IFERROR(VALUE(INDIRECT(""'"" &amp; sheet &amp; ""'!l4"")), 0))))"),0.0)</f>
        <v>0</v>
      </c>
      <c r="M4" s="10">
        <f>IFERROR(__xludf.DUMMYFUNCTION("SUM(MAP(FILTER(Z1:Z100, Z1:Z100 &lt;&gt; """"), LAMBDA(sheet, IFERROR(VALUE(INDIRECT(""'"" &amp; sheet &amp; ""'!m4"")), 0))))"),5.0)</f>
        <v>5</v>
      </c>
      <c r="N4" s="35">
        <f t="shared" si="2"/>
        <v>1</v>
      </c>
      <c r="O4" s="35">
        <f t="shared" si="3"/>
        <v>0</v>
      </c>
      <c r="P4" s="10">
        <f>IFERROR(__xludf.DUMMYFUNCTION("SUM(MAP(FILTER(Z1:Z100, Z1:Z100 &lt;&gt; """"), LAMBDA(sheet, IFERROR(VALUE(INDIRECT(""'"" &amp; sheet &amp; ""'!p4"")), 0))))"),10.0)</f>
        <v>10</v>
      </c>
      <c r="Q4" s="10">
        <f>IFERROR(__xludf.DUMMYFUNCTION("SUM(MAP(FILTER(Z1:Z100, Z1:Z100 &lt;&gt; """"), LAMBDA(sheet, IFERROR(VALUE(INDIRECT(""'"" &amp; sheet &amp; ""'!q4"")), 0))))"),1.0)</f>
        <v>1</v>
      </c>
      <c r="R4" s="10">
        <f>IFERROR(__xludf.DUMMYFUNCTION("SUM(MAP(FILTER(Z1:Z100, Z1:Z100 &lt;&gt; """"), LAMBDA(sheet, IFERROR(VALUE(INDIRECT(""'"" &amp; sheet &amp; ""'!r4"")), 0))))"),2.0)</f>
        <v>2</v>
      </c>
      <c r="S4" s="10">
        <f>IFERROR(__xludf.DUMMYFUNCTION("SUM(MAP(FILTER(Z1:Z100, Z1:Z100 &lt;&gt; """"), LAMBDA(sheet, IFERROR(VALUE(INDIRECT(""'"" &amp; sheet &amp; ""'!s4"")), 0))))"),1.0)</f>
        <v>1</v>
      </c>
      <c r="T4" s="10">
        <f>IFERROR(__xludf.DUMMYFUNCTION("SUM(MAP(FILTER(Z1:Z100, Z1:Z100 &lt;&gt; """"), LAMBDA(sheet, IFERROR(VALUE(INDIRECT(""'"" &amp; sheet &amp; ""'!t4"")), 0))))"),6.0)</f>
        <v>6</v>
      </c>
      <c r="U4" s="10">
        <f t="shared" si="4"/>
        <v>2.2</v>
      </c>
    </row>
    <row r="5">
      <c r="A5" s="22" t="s">
        <v>26</v>
      </c>
      <c r="B5" s="22" t="s">
        <v>42</v>
      </c>
      <c r="C5" s="40">
        <f>IFERROR(__xludf.DUMMYFUNCTION("SUM(MAP(FILTER(Z1:Z100, Z1:Z100 &lt;&gt; """"), LAMBDA(sheet, IFERROR(VALUE(INDIRECT(""'"" &amp; sheet &amp; ""'!C5"")), 0))))"),1.0)</f>
        <v>1</v>
      </c>
      <c r="D5" s="41">
        <f>IFERROR(__xludf.DUMMYFUNCTION("SUM(MAP(FILTER(Z1:Z101, Z1:Z101 &lt;&gt; """"), LAMBDA(sheet, IFERROR(VALUE(INDIRECT(""'"" &amp; sheet &amp; ""'!d5"")), 0))))"),0.0)</f>
        <v>0</v>
      </c>
      <c r="E5" s="39">
        <f>IFERROR(__xludf.DUMMYFUNCTION("SUM(MAP(FILTER(Z1:Z100, Z1:Z100 &lt;&gt; """"), LAMBDA(sheet, IFERROR(VALUE(INDIRECT(""'"" &amp; sheet &amp; ""'!e5"")), 0))))"),0.0)</f>
        <v>0</v>
      </c>
      <c r="F5" s="42">
        <f>IFERROR(__xludf.DUMMYFUNCTION("SUM(MAP(FILTER(Z1:Z100, Z1:Z100 &lt;&gt; """"), LAMBDA(sheet, IFERROR(VALUE(INDIRECT(""'"" &amp; sheet &amp; ""'!f5"")), 0))))"),11.0)</f>
        <v>11</v>
      </c>
      <c r="G5" s="35">
        <f t="shared" si="1"/>
        <v>0</v>
      </c>
      <c r="H5" s="10">
        <f>IFERROR(__xludf.DUMMYFUNCTION("SUM(MAP(FILTER(Z1:Z100, Z1:Z100 &lt;&gt; """"), LAMBDA(sheet, IFERROR(VALUE(INDIRECT(""'"" &amp; sheet &amp; ""'!h5"")), 0))))"),0.0)</f>
        <v>0</v>
      </c>
      <c r="I5" s="10">
        <f>IFERROR(__xludf.DUMMYFUNCTION("SUM(MAP(FILTER(Z1:Z100, Z1:Z100 &lt;&gt; """"), LAMBDA(sheet, IFERROR(VALUE(INDIRECT(""'"" &amp; sheet &amp; ""'!i5"")), 0))))"),0.0)</f>
        <v>0</v>
      </c>
      <c r="J5" s="10">
        <f>IFERROR(__xludf.DUMMYFUNCTION("SUM(MAP(FILTER(Z1:Z100, Z1:Z100 &lt;&gt; """"), LAMBDA(sheet, IFERROR(VALUE(INDIRECT(""'"" &amp; sheet &amp; ""'!j5"")), 0))))"),2.0)</f>
        <v>2</v>
      </c>
      <c r="K5" s="10">
        <f>IFERROR(__xludf.DUMMYFUNCTION("SUM(MAP(FILTER(Z1:Z100, Z1:Z100 &lt;&gt; """"), LAMBDA(sheet, IFERROR(VALUE(INDIRECT(""'"" &amp; sheet &amp; ""'!k5"")), 0))))"),0.0)</f>
        <v>0</v>
      </c>
      <c r="L5" s="10">
        <f>IFERROR(__xludf.DUMMYFUNCTION("SUM(MAP(FILTER(Z1:Z100, Z1:Z100 &lt;&gt; """"), LAMBDA(sheet, IFERROR(VALUE(INDIRECT(""'"" &amp; sheet &amp; ""'!l5"")), 0))))"),0.0)</f>
        <v>0</v>
      </c>
      <c r="M5" s="10">
        <f>IFERROR(__xludf.DUMMYFUNCTION("SUM(MAP(FILTER(Z1:Z100, Z1:Z100 &lt;&gt; """"), LAMBDA(sheet, IFERROR(VALUE(INDIRECT(""'"" &amp; sheet &amp; ""'!m5"")), 0))))"),7.0)</f>
        <v>7</v>
      </c>
      <c r="N5" s="35">
        <f t="shared" si="2"/>
        <v>1</v>
      </c>
      <c r="O5" s="35">
        <f t="shared" si="3"/>
        <v>0</v>
      </c>
      <c r="P5" s="10">
        <f>IFERROR(__xludf.DUMMYFUNCTION("SUM(MAP(FILTER(Z1:Z100, Z1:Z100 &lt;&gt; """"), LAMBDA(sheet, IFERROR(VALUE(INDIRECT(""'"" &amp; sheet &amp; ""'!p5"")), 0))))"),0.0)</f>
        <v>0</v>
      </c>
      <c r="Q5" s="10">
        <f>IFERROR(__xludf.DUMMYFUNCTION("SUM(MAP(FILTER(Z1:Z100, Z1:Z100 &lt;&gt; """"), LAMBDA(sheet, IFERROR(VALUE(INDIRECT(""'"" &amp; sheet &amp; ""'!q5"")), 0))))"),0.0)</f>
        <v>0</v>
      </c>
      <c r="R5" s="10">
        <f>IFERROR(__xludf.DUMMYFUNCTION("SUM(MAP(FILTER(Z1:Z100, Z1:Z100 &lt;&gt; """"), LAMBDA(sheet, IFERROR(VALUE(INDIRECT(""'"" &amp; sheet &amp; ""'!r5"")), 0))))"),0.0)</f>
        <v>0</v>
      </c>
      <c r="S5" s="10">
        <f>IFERROR(__xludf.DUMMYFUNCTION("SUM(MAP(FILTER(Z1:Z100, Z1:Z100 &lt;&gt; """"), LAMBDA(sheet, IFERROR(VALUE(INDIRECT(""'"" &amp; sheet &amp; ""'!s5"")), 0))))"),0.0)</f>
        <v>0</v>
      </c>
      <c r="T5" s="10">
        <f>IFERROR(__xludf.DUMMYFUNCTION("SUM(MAP(FILTER(Z1:Z100, Z1:Z100 &lt;&gt; """"), LAMBDA(sheet, IFERROR(VALUE(INDIRECT(""'"" &amp; sheet &amp; ""'!t5"")), 0))))"),0.0)</f>
        <v>0</v>
      </c>
      <c r="U5" s="10" t="str">
        <f t="shared" si="4"/>
        <v>N/A</v>
      </c>
    </row>
    <row r="6">
      <c r="A6" s="23" t="s">
        <v>28</v>
      </c>
      <c r="B6" s="23" t="s">
        <v>43</v>
      </c>
      <c r="C6" s="43">
        <f>IFERROR(__xludf.DUMMYFUNCTION("SUM(MAP(FILTER(Z1:Z100, Z1:Z100 &lt;&gt; """"), LAMBDA(sheet, IFERROR(VALUE(INDIRECT(""'"" &amp; sheet &amp; ""'!C6"")), 0))))"),17.0)</f>
        <v>17</v>
      </c>
      <c r="D6" s="42">
        <f>IFERROR(__xludf.DUMMYFUNCTION("SUM(MAP(FILTER(Z1:Z102, Z1:Z102 &lt;&gt; """"), LAMBDA(sheet, IFERROR(VALUE(INDIRECT(""'"" &amp; sheet &amp; ""'!d6"")), 0))))"),7.0)</f>
        <v>7</v>
      </c>
      <c r="E6" s="44">
        <f>IFERROR(__xludf.DUMMYFUNCTION("SUM(MAP(FILTER(Z1:Z100, Z1:Z100 &lt;&gt; """"), LAMBDA(sheet, IFERROR(VALUE(INDIRECT(""'"" &amp; sheet &amp; ""'!e6"")), 0))))"),4.0)</f>
        <v>4</v>
      </c>
      <c r="F6" s="45">
        <f>IFERROR(__xludf.DUMMYFUNCTION("SUM(MAP(FILTER(Z1:Z100, Z1:Z100 &lt;&gt; """"), LAMBDA(sheet, IFERROR(VALUE(INDIRECT(""'"" &amp; sheet &amp; ""'!f6"")), 0))))"),0.0)</f>
        <v>0</v>
      </c>
      <c r="G6" s="35">
        <f t="shared" si="1"/>
        <v>0.1764705882</v>
      </c>
      <c r="H6" s="10">
        <f>IFERROR(__xludf.DUMMYFUNCTION("SUM(MAP(FILTER(Z1:Z100, Z1:Z100 &lt;&gt; """"), LAMBDA(sheet, IFERROR(VALUE(INDIRECT(""'"" &amp; sheet &amp; ""'!h6"")), 0))))"),0.0)</f>
        <v>0</v>
      </c>
      <c r="I6" s="10">
        <f>IFERROR(__xludf.DUMMYFUNCTION("SUM(MAP(FILTER(Z1:Z100, Z1:Z100 &lt;&gt; """"), LAMBDA(sheet, IFERROR(VALUE(INDIRECT(""'"" &amp; sheet &amp; ""'!i6"")), 0))))"),0.0)</f>
        <v>0</v>
      </c>
      <c r="J6" s="10">
        <f>IFERROR(__xludf.DUMMYFUNCTION("SUM(MAP(FILTER(Z1:Z100, Z1:Z100 &lt;&gt; """"), LAMBDA(sheet, IFERROR(VALUE(INDIRECT(""'"" &amp; sheet &amp; ""'!j6"")), 0))))"),5.0)</f>
        <v>5</v>
      </c>
      <c r="K6" s="10">
        <f>IFERROR(__xludf.DUMMYFUNCTION("SUM(MAP(FILTER(Z1:Z100, Z1:Z100 &lt;&gt; """"), LAMBDA(sheet, IFERROR(VALUE(INDIRECT(""'"" &amp; sheet &amp; ""'!k6"")), 0))))"),0.0)</f>
        <v>0</v>
      </c>
      <c r="L6" s="10">
        <f>IFERROR(__xludf.DUMMYFUNCTION("SUM(MAP(FILTER(Z1:Z100, Z1:Z100 &lt;&gt; """"), LAMBDA(sheet, IFERROR(VALUE(INDIRECT(""'"" &amp; sheet &amp; ""'!l6"")), 0))))"),0.0)</f>
        <v>0</v>
      </c>
      <c r="M6" s="10">
        <f>IFERROR(__xludf.DUMMYFUNCTION("SUM(MAP(FILTER(Z1:Z100, Z1:Z100 &lt;&gt; """"), LAMBDA(sheet, IFERROR(VALUE(INDIRECT(""'"" &amp; sheet &amp; ""'!m6"")), 0))))"),3.0)</f>
        <v>3</v>
      </c>
      <c r="N6" s="35">
        <f t="shared" si="2"/>
        <v>1</v>
      </c>
      <c r="O6" s="35">
        <f t="shared" si="3"/>
        <v>0</v>
      </c>
      <c r="P6" s="10">
        <f>IFERROR(__xludf.DUMMYFUNCTION("SUM(MAP(FILTER(Z1:Z100, Z1:Z100 &lt;&gt; """"), LAMBDA(sheet, IFERROR(VALUE(INDIRECT(""'"" &amp; sheet &amp; ""'!p6"")), 0))))"),4.0)</f>
        <v>4</v>
      </c>
      <c r="Q6" s="10">
        <f>IFERROR(__xludf.DUMMYFUNCTION("SUM(MAP(FILTER(Z1:Z100, Z1:Z100 &lt;&gt; """"), LAMBDA(sheet, IFERROR(VALUE(INDIRECT(""'"" &amp; sheet &amp; ""'!q6"")), 0))))"),1.0)</f>
        <v>1</v>
      </c>
      <c r="R6" s="10">
        <f>IFERROR(__xludf.DUMMYFUNCTION("SUM(MAP(FILTER(Z1:Z100, Z1:Z100 &lt;&gt; """"), LAMBDA(sheet, IFERROR(VALUE(INDIRECT(""'"" &amp; sheet &amp; ""'!r6"")), 0))))"),1.0)</f>
        <v>1</v>
      </c>
      <c r="S6" s="10">
        <f>IFERROR(__xludf.DUMMYFUNCTION("SUM(MAP(FILTER(Z1:Z100, Z1:Z100 &lt;&gt; """"), LAMBDA(sheet, IFERROR(VALUE(INDIRECT(""'"" &amp; sheet &amp; ""'!s6"")), 0))))"),2.0)</f>
        <v>2</v>
      </c>
      <c r="T6" s="10">
        <f>IFERROR(__xludf.DUMMYFUNCTION("SUM(MAP(FILTER(Z1:Z100, Z1:Z100 &lt;&gt; """"), LAMBDA(sheet, IFERROR(VALUE(INDIRECT(""'"" &amp; sheet &amp; ""'!t6"")), 0))))"),0.0)</f>
        <v>0</v>
      </c>
      <c r="U6" s="10">
        <f t="shared" si="4"/>
        <v>1.25</v>
      </c>
    </row>
    <row r="7">
      <c r="A7" s="24" t="s">
        <v>30</v>
      </c>
      <c r="B7" s="24" t="s">
        <v>85</v>
      </c>
      <c r="C7" s="46">
        <f>IFERROR(__xludf.DUMMYFUNCTION("SUM(MAP(FILTER(Z1:Z100, Z1:Z100 &lt;&gt; """"), LAMBDA(sheet, IFERROR(VALUE(INDIRECT(""'"" &amp; sheet &amp; ""'!C7"")), 0))))"),12.0)</f>
        <v>12</v>
      </c>
      <c r="D7" s="47">
        <f>IFERROR(__xludf.DUMMYFUNCTION("SUM(MAP(FILTER(Z1:Z104, Z1:Z104 &lt;&gt; """"), LAMBDA(sheet, IFERROR(VALUE(INDIRECT(""'"" &amp; sheet &amp; ""'!d7"")), 0))))"),2.0)</f>
        <v>2</v>
      </c>
      <c r="E7" s="44">
        <f>IFERROR(__xludf.DUMMYFUNCTION("SUM(MAP(FILTER(Z1:Z100, Z1:Z100 &lt;&gt; """"), LAMBDA(sheet, IFERROR(VALUE(INDIRECT(""'"" &amp; sheet &amp; ""'!e7"")), 0))))"),0.0)</f>
        <v>0</v>
      </c>
      <c r="F7" s="39">
        <f>IFERROR(__xludf.DUMMYFUNCTION("SUM(MAP(FILTER(Z1:Z100, Z1:Z100 &lt;&gt; """"), LAMBDA(sheet, IFERROR(VALUE(INDIRECT(""'"" &amp; sheet &amp; ""'!f7""), 0)))))"),0.0)</f>
        <v>0</v>
      </c>
      <c r="G7" s="35">
        <f t="shared" si="1"/>
        <v>0.1666666667</v>
      </c>
      <c r="H7" s="10">
        <f>IFERROR(__xludf.DUMMYFUNCTION("SUM(MAP(FILTER(Z1:Z100, Z1:Z100 &lt;&gt; """"), LAMBDA(sheet, IFERROR(VALUE(INDIRECT(""'"" &amp; sheet &amp; ""'!h7"")), 0))))"),0.0)</f>
        <v>0</v>
      </c>
      <c r="I7" s="10">
        <f>IFERROR(__xludf.DUMMYFUNCTION("SUM(MAP(FILTER(Z1:Z100, Z1:Z100 &lt;&gt; """"), LAMBDA(sheet, IFERROR(VALUE(INDIRECT(""'"" &amp; sheet &amp; ""'!i7"")), 0))))"),0.0)</f>
        <v>0</v>
      </c>
      <c r="J7" s="10">
        <f>IFERROR(__xludf.DUMMYFUNCTION("SUM(MAP(FILTER(Z1:Z100, Z1:Z100 &lt;&gt; """"), LAMBDA(sheet, IFERROR(VALUE(INDIRECT(""'"" &amp; sheet &amp; ""'!j7"")), 0))))"),2.0)</f>
        <v>2</v>
      </c>
      <c r="K7" s="10">
        <f>IFERROR(__xludf.DUMMYFUNCTION("SUM(MAP(FILTER(Z1:Z100, Z1:Z100 &lt;&gt; """"), LAMBDA(sheet, IFERROR(VALUE(INDIRECT(""'"" &amp; sheet &amp; ""'!k7"")), 0))))"),0.0)</f>
        <v>0</v>
      </c>
      <c r="L7" s="10">
        <f>IFERROR(__xludf.DUMMYFUNCTION("SUM(MAP(FILTER(Z1:Z100, Z1:Z100 &lt;&gt; """"), LAMBDA(sheet, IFERROR(VALUE(INDIRECT(""'"" &amp; sheet &amp; ""'!l7"")), 0))))"),1.0)</f>
        <v>1</v>
      </c>
      <c r="M7" s="10">
        <f>IFERROR(__xludf.DUMMYFUNCTION("SUM(MAP(FILTER(Z1:Z100, Z1:Z100 &lt;&gt; """"), LAMBDA(sheet, IFERROR(VALUE(INDIRECT(""'"" &amp; sheet &amp; ""'!m7"")), 0))))"),7.0)</f>
        <v>7</v>
      </c>
      <c r="N7" s="35">
        <f t="shared" si="2"/>
        <v>0.8571428571</v>
      </c>
      <c r="O7" s="35">
        <f t="shared" si="3"/>
        <v>0</v>
      </c>
      <c r="P7" s="10">
        <f>IFERROR(__xludf.DUMMYFUNCTION("SUM(MAP(FILTER(Z1:Z100, Z1:Z100 &lt;&gt; """"), LAMBDA(sheet, IFERROR(VALUE(INDIRECT(""'"" &amp; sheet &amp; ""'!p7"")), 0))))"),4.0)</f>
        <v>4</v>
      </c>
      <c r="Q7" s="10">
        <f>IFERROR(__xludf.DUMMYFUNCTION("SUM(MAP(FILTER(Z1:Z100, Z1:Z100 &lt;&gt; """"), LAMBDA(sheet, IFERROR(VALUE(INDIRECT(""'"" &amp; sheet &amp; ""'!q7"")), 0))))"),0.0)</f>
        <v>0</v>
      </c>
      <c r="R7" s="10">
        <f>IFERROR(__xludf.DUMMYFUNCTION("SUM(MAP(FILTER(Z1:Z100, Z1:Z100 &lt;&gt; """"), LAMBDA(sheet, IFERROR(VALUE(INDIRECT(""'"" &amp; sheet &amp; ""'!r7"")), 0))))"),0.0)</f>
        <v>0</v>
      </c>
      <c r="S7" s="10">
        <f>IFERROR(__xludf.DUMMYFUNCTION("SUM(MAP(FILTER(Z1:Z100, Z1:Z100 &lt;&gt; """"), LAMBDA(sheet, IFERROR(VALUE(INDIRECT(""'"" &amp; sheet &amp; ""'!s7"")), 0))))"),0.0)</f>
        <v>0</v>
      </c>
      <c r="T7" s="10">
        <f>IFERROR(__xludf.DUMMYFUNCTION("SUM(MAP(FILTER(Z1:Z100, Z1:Z100 &lt;&gt; """"), LAMBDA(sheet, IFERROR(VALUE(INDIRECT(""'"" &amp; sheet &amp; ""'!t7"")), 0))))"),4.0)</f>
        <v>4</v>
      </c>
      <c r="U7" s="10">
        <f t="shared" si="4"/>
        <v>3</v>
      </c>
    </row>
    <row r="8">
      <c r="A8" s="25" t="s">
        <v>32</v>
      </c>
      <c r="B8" s="25" t="s">
        <v>45</v>
      </c>
      <c r="C8" s="48">
        <f>IFERROR(__xludf.DUMMYFUNCTION("SUM(MAP(FILTER(Z1:Z100, Z1:Z100 &lt;&gt; """"), LAMBDA(sheet, IFERROR(VALUE(INDIRECT(""'"" &amp; sheet &amp; ""'!C8"")), 0))))"),6.0)</f>
        <v>6</v>
      </c>
      <c r="D8" s="47">
        <f>IFERROR(__xludf.DUMMYFUNCTION("SUM(MAP(FILTER(Z1:Z104, Z1:Z104 &lt;&gt; """"), LAMBDA(sheet, IFERROR(VALUE(INDIRECT(""'"" &amp; sheet &amp; ""'!d8"")), 0))))"),1.0)</f>
        <v>1</v>
      </c>
      <c r="E8" s="49">
        <f>IFERROR(__xludf.DUMMYFUNCTION("SUM(MAP(FILTER(Z1:Z100, Z1:Z100 &lt;&gt; """"), LAMBDA(sheet, IFERROR(VALUE(INDIRECT(""'"" &amp; sheet &amp; ""'!e8"")), 0))))"),2.0)</f>
        <v>2</v>
      </c>
      <c r="F8" s="39">
        <f>IFERROR(__xludf.DUMMYFUNCTION("SUM(MAP(FILTER(Z1:Z100, Z1:Z100 &lt;&gt; """"), LAMBDA(sheet, IFERROR(VALUE(INDIRECT(""'"" &amp; sheet &amp; ""'!f8"")), 0))))"),0.0)</f>
        <v>0</v>
      </c>
      <c r="G8" s="35">
        <f t="shared" si="1"/>
        <v>-0.1666666667</v>
      </c>
      <c r="H8" s="10">
        <f>IFERROR(__xludf.DUMMYFUNCTION("SUM(MAP(FILTER(Z1:Z100, Z1:Z100 &lt;&gt; """"), LAMBDA(sheet, IFERROR(VALUE(INDIRECT(""'"" &amp; sheet &amp; ""'!h8"")), 0))))"),0.0)</f>
        <v>0</v>
      </c>
      <c r="I8" s="10">
        <f>IFERROR(__xludf.DUMMYFUNCTION("SUM(MAP(FILTER(Z1:Z100, Z1:Z100 &lt;&gt; """"), LAMBDA(sheet, IFERROR(VALUE(INDIRECT(""'"" &amp; sheet &amp; ""'!i8"")), 0))))"),0.0)</f>
        <v>0</v>
      </c>
      <c r="J8" s="10">
        <f>IFERROR(__xludf.DUMMYFUNCTION("SUM(MAP(FILTER(Z1:Z100, Z1:Z100 &lt;&gt; """"), LAMBDA(sheet, IFERROR(VALUE(INDIRECT(""'"" &amp; sheet &amp; ""'!j8"")), 0))))"),2.0)</f>
        <v>2</v>
      </c>
      <c r="K8" s="10">
        <f>IFERROR(__xludf.DUMMYFUNCTION("SUM(MAP(FILTER(Z1:Z100, Z1:Z100 &lt;&gt; """"), LAMBDA(sheet, IFERROR(VALUE(INDIRECT(""'"" &amp; sheet &amp; ""'!k8"")), 0))))"),0.0)</f>
        <v>0</v>
      </c>
      <c r="L8" s="10">
        <f>IFERROR(__xludf.DUMMYFUNCTION("SUM(MAP(FILTER(Z1:Z100, Z1:Z100 &lt;&gt; """"), LAMBDA(sheet, IFERROR(VALUE(INDIRECT(""'"" &amp; sheet &amp; ""'!l8"")), 0))))"),1.0)</f>
        <v>1</v>
      </c>
      <c r="M8" s="10">
        <f>IFERROR(__xludf.DUMMYFUNCTION("SUM(MAP(FILTER(Z1:Z100, Z1:Z100 &lt;&gt; """"), LAMBDA(sheet, IFERROR(VALUE(INDIRECT(""'"" &amp; sheet &amp; ""'!m8"")), 0))))"),9.0)</f>
        <v>9</v>
      </c>
      <c r="N8" s="35">
        <f t="shared" si="2"/>
        <v>0.8888888889</v>
      </c>
      <c r="O8" s="35">
        <f t="shared" si="3"/>
        <v>0</v>
      </c>
      <c r="P8" s="10">
        <f>IFERROR(__xludf.DUMMYFUNCTION("SUM(MAP(FILTER(Z1:Z100, Z1:Z100 &lt;&gt; """"), LAMBDA(sheet, IFERROR(VALUE(INDIRECT(""'"" &amp; sheet &amp; ""'!p8"")), 0))))"),12.0)</f>
        <v>12</v>
      </c>
      <c r="Q8" s="10">
        <f>IFERROR(__xludf.DUMMYFUNCTION("SUM(MAP(FILTER(Z1:Z100, Z1:Z100 &lt;&gt; """"), LAMBDA(sheet, IFERROR(VALUE(INDIRECT(""'"" &amp; sheet &amp; ""'!q8"")), 0))))"),4.0)</f>
        <v>4</v>
      </c>
      <c r="R8" s="10">
        <f>IFERROR(__xludf.DUMMYFUNCTION("SUM(MAP(FILTER(Z1:Z100, Z1:Z100 &lt;&gt; """"), LAMBDA(sheet, IFERROR(VALUE(INDIRECT(""'"" &amp; sheet &amp; ""'!r8"")), 0))))"),4.0)</f>
        <v>4</v>
      </c>
      <c r="S8" s="10">
        <f>IFERROR(__xludf.DUMMYFUNCTION("SUM(MAP(FILTER(Z1:Z100, Z1:Z100 &lt;&gt; """"), LAMBDA(sheet, IFERROR(VALUE(INDIRECT(""'"" &amp; sheet &amp; ""'!s8"")), 0))))"),1.0)</f>
        <v>1</v>
      </c>
      <c r="T8" s="10">
        <f>IFERROR(__xludf.DUMMYFUNCTION("SUM(MAP(FILTER(Z1:Z100, Z1:Z100 &lt;&gt; """"), LAMBDA(sheet, IFERROR(VALUE(INDIRECT(""'"" &amp; sheet &amp; ""'!t8"")), 0))))"),3.0)</f>
        <v>3</v>
      </c>
      <c r="U8" s="10">
        <f t="shared" si="4"/>
        <v>1.25</v>
      </c>
    </row>
    <row r="9">
      <c r="A9" s="26" t="s">
        <v>34</v>
      </c>
      <c r="B9" s="26" t="s">
        <v>41</v>
      </c>
      <c r="C9" s="50">
        <f>IFERROR(__xludf.DUMMYFUNCTION("SUM(MAP(FILTER(Z1:Z100, Z1:Z100 &lt;&gt; """"), LAMBDA(sheet, IFERROR(VALUE(INDIRECT(""'"" &amp; sheet &amp; ""'!C9"")), 0))))"),8.0)</f>
        <v>8</v>
      </c>
      <c r="D9" s="51">
        <f>IFERROR(__xludf.DUMMYFUNCTION("SUM(MAP(FILTER(Z1:Z104, Z1:Z104 &lt;&gt; """"), LAMBDA(sheet, IFERROR(VALUE(INDIRECT(""'"" &amp; sheet &amp; ""'!d9"")), 0))))"),1.0)</f>
        <v>1</v>
      </c>
      <c r="E9" s="38">
        <f>IFERROR(__xludf.DUMMYFUNCTION("SUM(MAP(FILTER(Z1:Z100, Z1:Z100 &lt;&gt; """"), LAMBDA(sheet, IFERROR(VALUE(INDIRECT(""'"" &amp; sheet &amp; ""'!e9"")), 0))))"),2.0)</f>
        <v>2</v>
      </c>
      <c r="F9" s="45">
        <f>IFERROR(__xludf.DUMMYFUNCTION("SUM(MAP(FILTER(Z1:Z100, Z1:Z100 &lt;&gt; """"), LAMBDA(sheet, IFERROR(VALUE(INDIRECT(""'"" &amp; sheet &amp; ""'!f9"")), 0))))"),1.0)</f>
        <v>1</v>
      </c>
      <c r="G9" s="35">
        <f t="shared" si="1"/>
        <v>-0.125</v>
      </c>
      <c r="H9" s="10">
        <f>IFERROR(__xludf.DUMMYFUNCTION("SUM(MAP(FILTER(Z1:Z100, Z1:Z100 &lt;&gt; """"), LAMBDA(sheet, IFERROR(VALUE(INDIRECT(""'"" &amp; sheet &amp; ""'!h9"")), 0))))"),0.0)</f>
        <v>0</v>
      </c>
      <c r="I9" s="10">
        <f>IFERROR(__xludf.DUMMYFUNCTION("SUM(MAP(FILTER(Z1:Z100, Z1:Z100 &lt;&gt; """"), LAMBDA(sheet, IFERROR(VALUE(INDIRECT(""'"" &amp; sheet &amp; ""'!i9"")), 0))))"),0.0)</f>
        <v>0</v>
      </c>
      <c r="J9" s="10">
        <f>IFERROR(__xludf.DUMMYFUNCTION("SUM(MAP(FILTER(Z1:Z100, Z1:Z100 &lt;&gt; """"), LAMBDA(sheet, IFERROR(VALUE(INDIRECT(""'"" &amp; sheet &amp; ""'!j9"")), 0))))"),1.0)</f>
        <v>1</v>
      </c>
      <c r="K9" s="10">
        <f>IFERROR(__xludf.DUMMYFUNCTION("SUM(MAP(FILTER(Z1:Z100, Z1:Z100 &lt;&gt; """"), LAMBDA(sheet, IFERROR(VALUE(INDIRECT(""'"" &amp; sheet &amp; ""'!k9"")), 0))))"),0.0)</f>
        <v>0</v>
      </c>
      <c r="L9" s="10">
        <f>IFERROR(__xludf.DUMMYFUNCTION("SUM(MAP(FILTER(Z1:Z100, Z1:Z100 &lt;&gt; """"), LAMBDA(sheet, IFERROR(VALUE(INDIRECT(""'"" &amp; sheet &amp; ""'!l9"")), 0))))"),2.0)</f>
        <v>2</v>
      </c>
      <c r="M9" s="10">
        <f>IFERROR(__xludf.DUMMYFUNCTION("SUM(MAP(FILTER(Z1:Z100, Z1:Z100 &lt;&gt; """"), LAMBDA(sheet, IFERROR(VALUE(INDIRECT(""'"" &amp; sheet &amp; ""'!m9"")), 0))))"),6.0)</f>
        <v>6</v>
      </c>
      <c r="N9" s="35">
        <f t="shared" si="2"/>
        <v>0.6666666667</v>
      </c>
      <c r="O9" s="35">
        <f t="shared" si="3"/>
        <v>0</v>
      </c>
      <c r="P9" s="10">
        <f>IFERROR(__xludf.DUMMYFUNCTION("SUM(MAP(FILTER(Z1:Z100, Z1:Z100 &lt;&gt; """"), LAMBDA(sheet, IFERROR(VALUE(INDIRECT(""'"" &amp; sheet &amp; ""'!p9"")), 0))))"),4.0)</f>
        <v>4</v>
      </c>
      <c r="Q9" s="10">
        <f>IFERROR(__xludf.DUMMYFUNCTION("SUM(MAP(FILTER(Z1:Z100, Z1:Z100 &lt;&gt; """"), LAMBDA(sheet, IFERROR(VALUE(INDIRECT(""'"" &amp; sheet &amp; ""'!q9"")), 0))))"),1.0)</f>
        <v>1</v>
      </c>
      <c r="R9" s="10">
        <f>IFERROR(__xludf.DUMMYFUNCTION("SUM(MAP(FILTER(Z1:Z100, Z1:Z100 &lt;&gt; """"), LAMBDA(sheet, IFERROR(VALUE(INDIRECT(""'"" &amp; sheet &amp; ""'!r9"")), 0))))"),2.0)</f>
        <v>2</v>
      </c>
      <c r="S9" s="10">
        <f>IFERROR(__xludf.DUMMYFUNCTION("SUM(MAP(FILTER(Z1:Z100, Z1:Z100 &lt;&gt; """"), LAMBDA(sheet, IFERROR(VALUE(INDIRECT(""'"" &amp; sheet &amp; ""'!s9"")), 0))))"),0.0)</f>
        <v>0</v>
      </c>
      <c r="T9" s="10">
        <f>IFERROR(__xludf.DUMMYFUNCTION("SUM(MAP(FILTER(Z1:Z100, Z1:Z100 &lt;&gt; """"), LAMBDA(sheet, IFERROR(VALUE(INDIRECT(""'"" &amp; sheet &amp; ""'!t9"")), 0))))"),1.0)</f>
        <v>1</v>
      </c>
      <c r="U9" s="10">
        <f t="shared" si="4"/>
        <v>1.25</v>
      </c>
    </row>
    <row r="10">
      <c r="C10" s="27"/>
      <c r="D10" s="27"/>
      <c r="E10" s="27"/>
      <c r="M10" s="52"/>
      <c r="N10" s="52"/>
      <c r="O10" s="52"/>
    </row>
    <row r="11">
      <c r="M11" s="52"/>
      <c r="N11" s="52"/>
      <c r="O11" s="52"/>
    </row>
    <row r="12">
      <c r="M12" s="52"/>
      <c r="N12" s="52"/>
      <c r="O12" s="52"/>
    </row>
    <row r="13">
      <c r="M13" s="52"/>
      <c r="N13" s="52"/>
      <c r="O13" s="52"/>
    </row>
    <row r="14">
      <c r="M14" s="52"/>
      <c r="N14" s="52"/>
      <c r="O14" s="52"/>
    </row>
    <row r="15">
      <c r="M15" s="52"/>
      <c r="N15" s="52"/>
      <c r="O15" s="52"/>
    </row>
    <row r="16">
      <c r="M16" s="52"/>
      <c r="N16" s="52"/>
      <c r="O16" s="52"/>
    </row>
    <row r="17">
      <c r="M17" s="52"/>
      <c r="N17" s="52"/>
      <c r="O17" s="52"/>
    </row>
    <row r="18">
      <c r="M18" s="52"/>
      <c r="N18" s="52"/>
      <c r="O18" s="52"/>
    </row>
    <row r="19">
      <c r="M19" s="52"/>
      <c r="N19" s="52"/>
      <c r="O19" s="52"/>
    </row>
    <row r="20">
      <c r="M20" s="52"/>
      <c r="N20" s="52"/>
      <c r="O20" s="52"/>
    </row>
    <row r="21">
      <c r="M21" s="52"/>
      <c r="N21" s="52"/>
      <c r="O21" s="52"/>
    </row>
    <row r="22">
      <c r="M22" s="52"/>
      <c r="N22" s="52"/>
      <c r="O22" s="52"/>
    </row>
    <row r="23">
      <c r="M23" s="52"/>
      <c r="N23" s="52"/>
      <c r="O23" s="52"/>
    </row>
    <row r="24">
      <c r="M24" s="52"/>
      <c r="N24" s="52"/>
      <c r="O24" s="52"/>
    </row>
    <row r="25">
      <c r="M25" s="52"/>
      <c r="N25" s="52"/>
      <c r="O25" s="52"/>
    </row>
    <row r="26">
      <c r="M26" s="52"/>
      <c r="N26" s="52"/>
      <c r="O26" s="52"/>
    </row>
    <row r="27">
      <c r="M27" s="52"/>
      <c r="N27" s="52"/>
      <c r="O27" s="52"/>
    </row>
    <row r="28">
      <c r="M28" s="52"/>
      <c r="N28" s="52"/>
      <c r="O28" s="52"/>
    </row>
    <row r="29">
      <c r="M29" s="52"/>
      <c r="N29" s="52"/>
      <c r="O29" s="52"/>
    </row>
    <row r="30">
      <c r="M30" s="52"/>
      <c r="N30" s="52"/>
      <c r="O30" s="52"/>
    </row>
    <row r="31">
      <c r="M31" s="52"/>
      <c r="N31" s="52"/>
      <c r="O31" s="52"/>
    </row>
    <row r="32">
      <c r="M32" s="52"/>
      <c r="N32" s="52"/>
      <c r="O32" s="52"/>
    </row>
    <row r="33">
      <c r="M33" s="52"/>
      <c r="N33" s="52"/>
      <c r="O33" s="52"/>
    </row>
    <row r="34">
      <c r="M34" s="52"/>
      <c r="N34" s="52"/>
      <c r="O34" s="52"/>
    </row>
    <row r="35">
      <c r="M35" s="52"/>
      <c r="N35" s="52"/>
      <c r="O35" s="52"/>
    </row>
    <row r="36">
      <c r="M36" s="52"/>
      <c r="N36" s="52"/>
      <c r="O36" s="52"/>
    </row>
    <row r="37">
      <c r="M37" s="52"/>
      <c r="N37" s="52"/>
      <c r="O37" s="52"/>
    </row>
    <row r="38">
      <c r="M38" s="52"/>
      <c r="N38" s="52"/>
      <c r="O38" s="52"/>
    </row>
    <row r="39">
      <c r="M39" s="52"/>
      <c r="N39" s="52"/>
      <c r="O39" s="52"/>
    </row>
    <row r="40">
      <c r="M40" s="52"/>
      <c r="N40" s="52"/>
      <c r="O40" s="52"/>
    </row>
    <row r="41">
      <c r="M41" s="52"/>
      <c r="N41" s="52"/>
      <c r="O41" s="52"/>
    </row>
    <row r="42">
      <c r="M42" s="52"/>
      <c r="N42" s="52"/>
      <c r="O42" s="52"/>
    </row>
    <row r="43">
      <c r="M43" s="52"/>
      <c r="N43" s="52"/>
      <c r="O43" s="52"/>
    </row>
    <row r="44">
      <c r="M44" s="52"/>
      <c r="N44" s="52"/>
      <c r="O44" s="52"/>
    </row>
    <row r="45">
      <c r="M45" s="52"/>
      <c r="N45" s="52"/>
      <c r="O45" s="52"/>
    </row>
    <row r="46">
      <c r="M46" s="52"/>
      <c r="N46" s="52"/>
      <c r="O46" s="52"/>
    </row>
    <row r="47">
      <c r="M47" s="52"/>
      <c r="N47" s="52"/>
      <c r="O47" s="52"/>
    </row>
    <row r="48">
      <c r="M48" s="52"/>
      <c r="N48" s="52"/>
      <c r="O48" s="52"/>
    </row>
    <row r="49">
      <c r="M49" s="52"/>
      <c r="N49" s="52"/>
      <c r="O49" s="52"/>
    </row>
    <row r="50">
      <c r="M50" s="52"/>
      <c r="N50" s="52"/>
      <c r="O50" s="52"/>
    </row>
    <row r="51">
      <c r="M51" s="52"/>
      <c r="N51" s="52"/>
      <c r="O51" s="52"/>
    </row>
    <row r="52">
      <c r="M52" s="52"/>
      <c r="N52" s="52"/>
      <c r="O52" s="52"/>
    </row>
    <row r="53">
      <c r="M53" s="52"/>
      <c r="N53" s="52"/>
      <c r="O53" s="52"/>
    </row>
    <row r="54">
      <c r="M54" s="52"/>
      <c r="N54" s="52"/>
      <c r="O54" s="52"/>
    </row>
    <row r="55">
      <c r="M55" s="52"/>
      <c r="N55" s="52"/>
      <c r="O55" s="52"/>
    </row>
    <row r="56">
      <c r="M56" s="52"/>
      <c r="N56" s="52"/>
      <c r="O56" s="52"/>
    </row>
    <row r="57">
      <c r="M57" s="52"/>
      <c r="N57" s="52"/>
      <c r="O57" s="52"/>
    </row>
    <row r="58">
      <c r="M58" s="52"/>
      <c r="N58" s="52"/>
      <c r="O58" s="52"/>
    </row>
    <row r="59">
      <c r="M59" s="52"/>
      <c r="N59" s="52"/>
      <c r="O59" s="52"/>
    </row>
    <row r="60">
      <c r="M60" s="52"/>
      <c r="N60" s="52"/>
      <c r="O60" s="52"/>
    </row>
    <row r="61">
      <c r="M61" s="52"/>
      <c r="N61" s="52"/>
      <c r="O61" s="52"/>
    </row>
    <row r="62">
      <c r="M62" s="52"/>
      <c r="N62" s="52"/>
      <c r="O62" s="52"/>
    </row>
    <row r="63">
      <c r="M63" s="52"/>
      <c r="N63" s="52"/>
      <c r="O63" s="52"/>
    </row>
    <row r="64">
      <c r="M64" s="52"/>
      <c r="N64" s="52"/>
      <c r="O64" s="52"/>
    </row>
    <row r="65">
      <c r="M65" s="52"/>
      <c r="N65" s="52"/>
      <c r="O65" s="52"/>
    </row>
    <row r="66">
      <c r="M66" s="52"/>
      <c r="N66" s="52"/>
      <c r="O66" s="52"/>
    </row>
    <row r="67">
      <c r="M67" s="52"/>
      <c r="N67" s="52"/>
      <c r="O67" s="52"/>
    </row>
    <row r="68">
      <c r="M68" s="52"/>
      <c r="N68" s="52"/>
      <c r="O68" s="52"/>
    </row>
    <row r="69">
      <c r="M69" s="52"/>
      <c r="N69" s="52"/>
      <c r="O69" s="52"/>
    </row>
    <row r="70">
      <c r="M70" s="52"/>
      <c r="N70" s="52"/>
      <c r="O70" s="52"/>
    </row>
    <row r="71">
      <c r="M71" s="52"/>
      <c r="N71" s="52"/>
      <c r="O71" s="52"/>
    </row>
    <row r="72">
      <c r="M72" s="52"/>
      <c r="N72" s="52"/>
      <c r="O72" s="52"/>
    </row>
    <row r="73">
      <c r="M73" s="52"/>
      <c r="N73" s="52"/>
      <c r="O73" s="52"/>
    </row>
    <row r="74">
      <c r="M74" s="52"/>
      <c r="N74" s="52"/>
      <c r="O74" s="52"/>
    </row>
    <row r="75">
      <c r="M75" s="52"/>
      <c r="N75" s="52"/>
      <c r="O75" s="52"/>
    </row>
    <row r="76">
      <c r="M76" s="52"/>
      <c r="N76" s="52"/>
      <c r="O76" s="52"/>
    </row>
    <row r="77">
      <c r="M77" s="52"/>
      <c r="N77" s="52"/>
      <c r="O77" s="52"/>
    </row>
    <row r="78">
      <c r="M78" s="52"/>
      <c r="N78" s="52"/>
      <c r="O78" s="52"/>
    </row>
    <row r="79">
      <c r="M79" s="52"/>
      <c r="N79" s="52"/>
      <c r="O79" s="52"/>
    </row>
    <row r="80">
      <c r="M80" s="52"/>
      <c r="N80" s="52"/>
      <c r="O80" s="52"/>
    </row>
    <row r="81">
      <c r="M81" s="52"/>
      <c r="N81" s="52"/>
      <c r="O81" s="52"/>
    </row>
    <row r="82">
      <c r="M82" s="52"/>
      <c r="N82" s="52"/>
      <c r="O82" s="52"/>
    </row>
    <row r="83">
      <c r="M83" s="52"/>
      <c r="N83" s="52"/>
      <c r="O83" s="52"/>
    </row>
    <row r="84">
      <c r="M84" s="52"/>
      <c r="N84" s="52"/>
      <c r="O84" s="52"/>
    </row>
    <row r="85">
      <c r="M85" s="52"/>
      <c r="N85" s="52"/>
      <c r="O85" s="52"/>
    </row>
    <row r="86">
      <c r="M86" s="52"/>
      <c r="N86" s="52"/>
      <c r="O86" s="52"/>
    </row>
    <row r="87">
      <c r="M87" s="52"/>
      <c r="N87" s="52"/>
      <c r="O87" s="52"/>
    </row>
    <row r="88">
      <c r="M88" s="52"/>
      <c r="N88" s="52"/>
      <c r="O88" s="52"/>
    </row>
    <row r="89">
      <c r="M89" s="52"/>
      <c r="N89" s="52"/>
      <c r="O89" s="52"/>
    </row>
    <row r="90">
      <c r="M90" s="52"/>
      <c r="N90" s="52"/>
      <c r="O90" s="52"/>
    </row>
    <row r="91">
      <c r="M91" s="52"/>
      <c r="N91" s="52"/>
      <c r="O91" s="52"/>
    </row>
    <row r="92">
      <c r="M92" s="52"/>
      <c r="N92" s="52"/>
      <c r="O92" s="52"/>
    </row>
    <row r="93">
      <c r="M93" s="52"/>
      <c r="N93" s="52"/>
      <c r="O93" s="52"/>
    </row>
    <row r="94">
      <c r="M94" s="52"/>
      <c r="N94" s="52"/>
      <c r="O94" s="52"/>
    </row>
    <row r="95">
      <c r="M95" s="52"/>
      <c r="N95" s="52"/>
      <c r="O95" s="52"/>
    </row>
    <row r="96">
      <c r="M96" s="52"/>
      <c r="N96" s="52"/>
      <c r="O96" s="52"/>
    </row>
    <row r="97">
      <c r="M97" s="52"/>
      <c r="N97" s="52"/>
      <c r="O97" s="52"/>
    </row>
    <row r="98">
      <c r="M98" s="52"/>
      <c r="N98" s="52"/>
      <c r="O98" s="52"/>
    </row>
    <row r="99">
      <c r="M99" s="52"/>
      <c r="N99" s="52"/>
      <c r="O99" s="52"/>
    </row>
    <row r="100">
      <c r="M100" s="52"/>
      <c r="N100" s="52"/>
      <c r="O100" s="52"/>
    </row>
    <row r="101">
      <c r="M101" s="52"/>
      <c r="N101" s="52"/>
      <c r="O101" s="52"/>
    </row>
    <row r="102">
      <c r="M102" s="52"/>
      <c r="N102" s="52"/>
      <c r="O102" s="52"/>
    </row>
    <row r="103">
      <c r="M103" s="52"/>
      <c r="N103" s="52"/>
      <c r="O103" s="52"/>
    </row>
    <row r="104">
      <c r="M104" s="52"/>
      <c r="N104" s="52"/>
      <c r="O104" s="52"/>
    </row>
    <row r="105">
      <c r="M105" s="52"/>
      <c r="N105" s="52"/>
      <c r="O105" s="52"/>
    </row>
    <row r="106">
      <c r="M106" s="52"/>
      <c r="N106" s="52"/>
      <c r="O106" s="52"/>
    </row>
    <row r="107">
      <c r="M107" s="52"/>
      <c r="N107" s="52"/>
      <c r="O107" s="52"/>
    </row>
    <row r="108">
      <c r="M108" s="52"/>
      <c r="N108" s="52"/>
      <c r="O108" s="52"/>
    </row>
    <row r="109">
      <c r="M109" s="52"/>
      <c r="N109" s="52"/>
      <c r="O109" s="52"/>
    </row>
    <row r="110">
      <c r="M110" s="52"/>
      <c r="N110" s="52"/>
      <c r="O110" s="52"/>
    </row>
    <row r="111">
      <c r="M111" s="52"/>
      <c r="N111" s="52"/>
      <c r="O111" s="52"/>
    </row>
    <row r="112">
      <c r="M112" s="52"/>
      <c r="N112" s="52"/>
      <c r="O112" s="52"/>
    </row>
    <row r="113">
      <c r="M113" s="52"/>
      <c r="N113" s="52"/>
      <c r="O113" s="52"/>
    </row>
    <row r="114">
      <c r="M114" s="52"/>
      <c r="N114" s="52"/>
      <c r="O114" s="52"/>
    </row>
    <row r="115">
      <c r="M115" s="52"/>
      <c r="N115" s="52"/>
      <c r="O115" s="52"/>
    </row>
    <row r="116">
      <c r="M116" s="52"/>
      <c r="N116" s="52"/>
      <c r="O116" s="52"/>
    </row>
    <row r="117">
      <c r="M117" s="52"/>
      <c r="N117" s="52"/>
      <c r="O117" s="52"/>
    </row>
    <row r="118">
      <c r="M118" s="52"/>
      <c r="N118" s="52"/>
      <c r="O118" s="52"/>
    </row>
    <row r="119">
      <c r="M119" s="52"/>
      <c r="N119" s="52"/>
      <c r="O119" s="52"/>
    </row>
    <row r="120">
      <c r="M120" s="52"/>
      <c r="N120" s="52"/>
      <c r="O120" s="52"/>
    </row>
    <row r="121">
      <c r="M121" s="52"/>
      <c r="N121" s="52"/>
      <c r="O121" s="52"/>
    </row>
    <row r="122">
      <c r="M122" s="52"/>
      <c r="N122" s="52"/>
      <c r="O122" s="52"/>
    </row>
    <row r="123">
      <c r="M123" s="52"/>
      <c r="N123" s="52"/>
      <c r="O123" s="52"/>
    </row>
    <row r="124">
      <c r="M124" s="52"/>
      <c r="N124" s="52"/>
      <c r="O124" s="52"/>
    </row>
    <row r="125">
      <c r="M125" s="52"/>
      <c r="N125" s="52"/>
      <c r="O125" s="52"/>
    </row>
    <row r="126">
      <c r="M126" s="52"/>
      <c r="N126" s="52"/>
      <c r="O126" s="52"/>
    </row>
    <row r="127">
      <c r="M127" s="52"/>
      <c r="N127" s="52"/>
      <c r="O127" s="52"/>
    </row>
    <row r="128">
      <c r="M128" s="52"/>
      <c r="N128" s="52"/>
      <c r="O128" s="52"/>
    </row>
    <row r="129">
      <c r="M129" s="52"/>
      <c r="N129" s="52"/>
      <c r="O129" s="52"/>
    </row>
    <row r="130">
      <c r="M130" s="52"/>
      <c r="N130" s="52"/>
      <c r="O130" s="52"/>
    </row>
    <row r="131">
      <c r="M131" s="52"/>
      <c r="N131" s="52"/>
      <c r="O131" s="52"/>
    </row>
    <row r="132">
      <c r="M132" s="52"/>
      <c r="N132" s="52"/>
      <c r="O132" s="52"/>
    </row>
    <row r="133">
      <c r="M133" s="52"/>
      <c r="N133" s="52"/>
      <c r="O133" s="52"/>
    </row>
    <row r="134">
      <c r="M134" s="52"/>
      <c r="N134" s="52"/>
      <c r="O134" s="52"/>
    </row>
    <row r="135">
      <c r="M135" s="52"/>
      <c r="N135" s="52"/>
      <c r="O135" s="52"/>
    </row>
    <row r="136">
      <c r="M136" s="52"/>
      <c r="N136" s="52"/>
      <c r="O136" s="52"/>
    </row>
    <row r="137">
      <c r="M137" s="52"/>
      <c r="N137" s="52"/>
      <c r="O137" s="52"/>
    </row>
    <row r="138">
      <c r="M138" s="52"/>
      <c r="N138" s="52"/>
      <c r="O138" s="52"/>
    </row>
    <row r="139">
      <c r="M139" s="52"/>
      <c r="N139" s="52"/>
      <c r="O139" s="52"/>
    </row>
    <row r="140">
      <c r="M140" s="52"/>
      <c r="N140" s="52"/>
      <c r="O140" s="52"/>
    </row>
    <row r="141">
      <c r="M141" s="52"/>
      <c r="N141" s="52"/>
      <c r="O141" s="52"/>
    </row>
    <row r="142">
      <c r="M142" s="52"/>
      <c r="N142" s="52"/>
      <c r="O142" s="52"/>
    </row>
    <row r="143">
      <c r="M143" s="52"/>
      <c r="N143" s="52"/>
      <c r="O143" s="52"/>
    </row>
    <row r="144">
      <c r="M144" s="52"/>
      <c r="N144" s="52"/>
      <c r="O144" s="52"/>
    </row>
    <row r="145">
      <c r="M145" s="52"/>
      <c r="N145" s="52"/>
      <c r="O145" s="52"/>
    </row>
    <row r="146">
      <c r="M146" s="52"/>
      <c r="N146" s="52"/>
      <c r="O146" s="52"/>
    </row>
    <row r="147">
      <c r="M147" s="52"/>
      <c r="N147" s="52"/>
      <c r="O147" s="52"/>
    </row>
    <row r="148">
      <c r="M148" s="52"/>
      <c r="N148" s="52"/>
      <c r="O148" s="52"/>
    </row>
    <row r="149">
      <c r="M149" s="52"/>
      <c r="N149" s="52"/>
      <c r="O149" s="52"/>
    </row>
    <row r="150">
      <c r="M150" s="52"/>
      <c r="N150" s="52"/>
      <c r="O150" s="52"/>
    </row>
    <row r="151">
      <c r="M151" s="52"/>
      <c r="N151" s="52"/>
      <c r="O151" s="52"/>
    </row>
    <row r="152">
      <c r="M152" s="52"/>
      <c r="N152" s="52"/>
      <c r="O152" s="52"/>
    </row>
    <row r="153">
      <c r="M153" s="52"/>
      <c r="N153" s="52"/>
      <c r="O153" s="52"/>
    </row>
    <row r="154">
      <c r="M154" s="52"/>
      <c r="N154" s="52"/>
      <c r="O154" s="52"/>
    </row>
    <row r="155">
      <c r="M155" s="52"/>
      <c r="N155" s="52"/>
      <c r="O155" s="52"/>
    </row>
    <row r="156">
      <c r="M156" s="52"/>
      <c r="N156" s="52"/>
      <c r="O156" s="52"/>
    </row>
    <row r="157">
      <c r="M157" s="52"/>
      <c r="N157" s="52"/>
      <c r="O157" s="52"/>
    </row>
    <row r="158">
      <c r="M158" s="52"/>
      <c r="N158" s="52"/>
      <c r="O158" s="52"/>
    </row>
    <row r="159">
      <c r="M159" s="52"/>
      <c r="N159" s="52"/>
      <c r="O159" s="52"/>
    </row>
    <row r="160">
      <c r="M160" s="52"/>
      <c r="N160" s="52"/>
      <c r="O160" s="52"/>
    </row>
    <row r="161">
      <c r="M161" s="52"/>
      <c r="N161" s="52"/>
      <c r="O161" s="52"/>
    </row>
    <row r="162">
      <c r="M162" s="52"/>
      <c r="N162" s="52"/>
      <c r="O162" s="52"/>
    </row>
    <row r="163">
      <c r="M163" s="52"/>
      <c r="N163" s="52"/>
      <c r="O163" s="52"/>
    </row>
    <row r="164">
      <c r="M164" s="52"/>
      <c r="N164" s="52"/>
      <c r="O164" s="52"/>
    </row>
    <row r="165">
      <c r="M165" s="52"/>
      <c r="N165" s="52"/>
      <c r="O165" s="52"/>
    </row>
    <row r="166">
      <c r="M166" s="52"/>
      <c r="N166" s="52"/>
      <c r="O166" s="52"/>
    </row>
    <row r="167">
      <c r="M167" s="52"/>
      <c r="N167" s="52"/>
      <c r="O167" s="52"/>
    </row>
    <row r="168">
      <c r="M168" s="52"/>
      <c r="N168" s="52"/>
      <c r="O168" s="52"/>
    </row>
    <row r="169">
      <c r="M169" s="52"/>
      <c r="N169" s="52"/>
      <c r="O169" s="52"/>
    </row>
    <row r="170">
      <c r="M170" s="52"/>
      <c r="N170" s="52"/>
      <c r="O170" s="52"/>
    </row>
    <row r="171">
      <c r="M171" s="52"/>
      <c r="N171" s="52"/>
      <c r="O171" s="52"/>
    </row>
    <row r="172">
      <c r="M172" s="52"/>
      <c r="N172" s="52"/>
      <c r="O172" s="52"/>
    </row>
    <row r="173">
      <c r="M173" s="52"/>
      <c r="N173" s="52"/>
      <c r="O173" s="52"/>
    </row>
    <row r="174">
      <c r="M174" s="52"/>
      <c r="N174" s="52"/>
      <c r="O174" s="52"/>
    </row>
    <row r="175">
      <c r="M175" s="52"/>
      <c r="N175" s="52"/>
      <c r="O175" s="52"/>
    </row>
    <row r="176">
      <c r="M176" s="52"/>
      <c r="N176" s="52"/>
      <c r="O176" s="52"/>
    </row>
    <row r="177">
      <c r="M177" s="52"/>
      <c r="N177" s="52"/>
      <c r="O177" s="52"/>
    </row>
    <row r="178">
      <c r="M178" s="52"/>
      <c r="N178" s="52"/>
      <c r="O178" s="52"/>
    </row>
    <row r="179">
      <c r="M179" s="52"/>
      <c r="N179" s="52"/>
      <c r="O179" s="52"/>
    </row>
    <row r="180">
      <c r="M180" s="52"/>
      <c r="N180" s="52"/>
      <c r="O180" s="52"/>
    </row>
    <row r="181">
      <c r="M181" s="52"/>
      <c r="N181" s="52"/>
      <c r="O181" s="52"/>
    </row>
    <row r="182">
      <c r="M182" s="52"/>
      <c r="N182" s="52"/>
      <c r="O182" s="52"/>
    </row>
    <row r="183">
      <c r="M183" s="52"/>
      <c r="N183" s="52"/>
      <c r="O183" s="52"/>
    </row>
    <row r="184">
      <c r="M184" s="52"/>
      <c r="N184" s="52"/>
      <c r="O184" s="52"/>
    </row>
    <row r="185">
      <c r="M185" s="52"/>
      <c r="N185" s="52"/>
      <c r="O185" s="52"/>
    </row>
    <row r="186">
      <c r="M186" s="52"/>
      <c r="N186" s="52"/>
      <c r="O186" s="52"/>
    </row>
    <row r="187">
      <c r="M187" s="52"/>
      <c r="N187" s="52"/>
      <c r="O187" s="52"/>
    </row>
    <row r="188">
      <c r="M188" s="52"/>
      <c r="N188" s="52"/>
      <c r="O188" s="52"/>
    </row>
    <row r="189">
      <c r="M189" s="52"/>
      <c r="N189" s="52"/>
      <c r="O189" s="52"/>
    </row>
    <row r="190">
      <c r="M190" s="52"/>
      <c r="N190" s="52"/>
      <c r="O190" s="52"/>
    </row>
    <row r="191">
      <c r="M191" s="52"/>
      <c r="N191" s="52"/>
      <c r="O191" s="52"/>
    </row>
    <row r="192">
      <c r="M192" s="52"/>
      <c r="N192" s="52"/>
      <c r="O192" s="52"/>
    </row>
    <row r="193">
      <c r="M193" s="52"/>
      <c r="N193" s="52"/>
      <c r="O193" s="52"/>
    </row>
    <row r="194">
      <c r="M194" s="52"/>
      <c r="N194" s="52"/>
      <c r="O194" s="52"/>
    </row>
    <row r="195">
      <c r="M195" s="52"/>
      <c r="N195" s="52"/>
      <c r="O195" s="52"/>
    </row>
    <row r="196">
      <c r="M196" s="52"/>
      <c r="N196" s="52"/>
      <c r="O196" s="52"/>
    </row>
    <row r="197">
      <c r="M197" s="52"/>
      <c r="N197" s="52"/>
      <c r="O197" s="52"/>
    </row>
    <row r="198">
      <c r="M198" s="52"/>
      <c r="N198" s="52"/>
      <c r="O198" s="52"/>
    </row>
    <row r="199">
      <c r="M199" s="52"/>
      <c r="N199" s="52"/>
      <c r="O199" s="52"/>
    </row>
    <row r="200">
      <c r="M200" s="52"/>
      <c r="N200" s="52"/>
      <c r="O200" s="52"/>
    </row>
    <row r="201">
      <c r="M201" s="52"/>
      <c r="N201" s="52"/>
      <c r="O201" s="52"/>
    </row>
    <row r="202">
      <c r="M202" s="52"/>
      <c r="N202" s="52"/>
      <c r="O202" s="52"/>
    </row>
    <row r="203">
      <c r="M203" s="52"/>
      <c r="N203" s="52"/>
      <c r="O203" s="52"/>
    </row>
    <row r="204">
      <c r="M204" s="52"/>
      <c r="N204" s="52"/>
      <c r="O204" s="52"/>
    </row>
    <row r="205">
      <c r="M205" s="52"/>
      <c r="N205" s="52"/>
      <c r="O205" s="52"/>
    </row>
    <row r="206">
      <c r="M206" s="52"/>
      <c r="N206" s="52"/>
      <c r="O206" s="52"/>
    </row>
    <row r="207">
      <c r="M207" s="52"/>
      <c r="N207" s="52"/>
      <c r="O207" s="52"/>
    </row>
    <row r="208">
      <c r="M208" s="52"/>
      <c r="N208" s="52"/>
      <c r="O208" s="52"/>
    </row>
    <row r="209">
      <c r="M209" s="52"/>
      <c r="N209" s="52"/>
      <c r="O209" s="52"/>
    </row>
    <row r="210">
      <c r="M210" s="52"/>
      <c r="N210" s="52"/>
      <c r="O210" s="52"/>
    </row>
    <row r="211">
      <c r="M211" s="52"/>
      <c r="N211" s="52"/>
      <c r="O211" s="52"/>
    </row>
    <row r="212">
      <c r="M212" s="52"/>
      <c r="N212" s="52"/>
      <c r="O212" s="52"/>
    </row>
    <row r="213">
      <c r="M213" s="52"/>
      <c r="N213" s="52"/>
      <c r="O213" s="52"/>
    </row>
    <row r="214">
      <c r="M214" s="52"/>
      <c r="N214" s="52"/>
      <c r="O214" s="52"/>
    </row>
    <row r="215">
      <c r="M215" s="52"/>
      <c r="N215" s="52"/>
      <c r="O215" s="52"/>
    </row>
    <row r="216">
      <c r="M216" s="52"/>
      <c r="N216" s="52"/>
      <c r="O216" s="52"/>
    </row>
    <row r="217">
      <c r="M217" s="52"/>
      <c r="N217" s="52"/>
      <c r="O217" s="52"/>
    </row>
    <row r="218">
      <c r="M218" s="52"/>
      <c r="N218" s="52"/>
      <c r="O218" s="52"/>
    </row>
    <row r="219">
      <c r="M219" s="52"/>
      <c r="N219" s="52"/>
      <c r="O219" s="52"/>
    </row>
    <row r="220">
      <c r="M220" s="52"/>
      <c r="N220" s="52"/>
      <c r="O220" s="52"/>
    </row>
    <row r="221">
      <c r="M221" s="52"/>
      <c r="N221" s="52"/>
      <c r="O221" s="52"/>
    </row>
    <row r="222">
      <c r="M222" s="52"/>
      <c r="N222" s="52"/>
      <c r="O222" s="52"/>
    </row>
    <row r="223">
      <c r="M223" s="52"/>
      <c r="N223" s="52"/>
      <c r="O223" s="52"/>
    </row>
    <row r="224">
      <c r="M224" s="52"/>
      <c r="N224" s="52"/>
      <c r="O224" s="52"/>
    </row>
    <row r="225">
      <c r="M225" s="52"/>
      <c r="N225" s="52"/>
      <c r="O225" s="52"/>
    </row>
    <row r="226">
      <c r="M226" s="52"/>
      <c r="N226" s="52"/>
      <c r="O226" s="52"/>
    </row>
    <row r="227">
      <c r="M227" s="52"/>
      <c r="N227" s="52"/>
      <c r="O227" s="52"/>
    </row>
    <row r="228">
      <c r="M228" s="52"/>
      <c r="N228" s="52"/>
      <c r="O228" s="52"/>
    </row>
    <row r="229">
      <c r="M229" s="52"/>
      <c r="N229" s="52"/>
      <c r="O229" s="52"/>
    </row>
    <row r="230">
      <c r="M230" s="52"/>
      <c r="N230" s="52"/>
      <c r="O230" s="52"/>
    </row>
    <row r="231">
      <c r="M231" s="52"/>
      <c r="N231" s="52"/>
      <c r="O231" s="52"/>
    </row>
    <row r="232">
      <c r="M232" s="52"/>
      <c r="N232" s="52"/>
      <c r="O232" s="52"/>
    </row>
    <row r="233">
      <c r="M233" s="52"/>
      <c r="N233" s="52"/>
      <c r="O233" s="52"/>
    </row>
    <row r="234">
      <c r="M234" s="52"/>
      <c r="N234" s="52"/>
      <c r="O234" s="52"/>
    </row>
    <row r="235">
      <c r="M235" s="52"/>
      <c r="N235" s="52"/>
      <c r="O235" s="52"/>
    </row>
    <row r="236">
      <c r="M236" s="52"/>
      <c r="N236" s="52"/>
      <c r="O236" s="52"/>
    </row>
    <row r="237">
      <c r="M237" s="52"/>
      <c r="N237" s="52"/>
      <c r="O237" s="52"/>
    </row>
    <row r="238">
      <c r="M238" s="52"/>
      <c r="N238" s="52"/>
      <c r="O238" s="52"/>
    </row>
    <row r="239">
      <c r="M239" s="52"/>
      <c r="N239" s="52"/>
      <c r="O239" s="52"/>
    </row>
    <row r="240">
      <c r="M240" s="52"/>
      <c r="N240" s="52"/>
      <c r="O240" s="52"/>
    </row>
    <row r="241">
      <c r="M241" s="52"/>
      <c r="N241" s="52"/>
      <c r="O241" s="52"/>
    </row>
    <row r="242">
      <c r="M242" s="52"/>
      <c r="N242" s="52"/>
      <c r="O242" s="52"/>
    </row>
    <row r="243">
      <c r="M243" s="52"/>
      <c r="N243" s="52"/>
      <c r="O243" s="52"/>
    </row>
    <row r="244">
      <c r="M244" s="52"/>
      <c r="N244" s="52"/>
      <c r="O244" s="52"/>
    </row>
    <row r="245">
      <c r="M245" s="52"/>
      <c r="N245" s="52"/>
      <c r="O245" s="52"/>
    </row>
    <row r="246">
      <c r="M246" s="52"/>
      <c r="N246" s="52"/>
      <c r="O246" s="52"/>
    </row>
    <row r="247">
      <c r="M247" s="52"/>
      <c r="N247" s="52"/>
      <c r="O247" s="52"/>
    </row>
    <row r="248">
      <c r="M248" s="52"/>
      <c r="N248" s="52"/>
      <c r="O248" s="52"/>
    </row>
    <row r="249">
      <c r="M249" s="52"/>
      <c r="N249" s="52"/>
      <c r="O249" s="52"/>
    </row>
    <row r="250">
      <c r="M250" s="52"/>
      <c r="N250" s="52"/>
      <c r="O250" s="52"/>
    </row>
    <row r="251">
      <c r="M251" s="52"/>
      <c r="N251" s="52"/>
      <c r="O251" s="52"/>
    </row>
    <row r="252">
      <c r="M252" s="52"/>
      <c r="N252" s="52"/>
      <c r="O252" s="52"/>
    </row>
    <row r="253">
      <c r="M253" s="52"/>
      <c r="N253" s="52"/>
      <c r="O253" s="52"/>
    </row>
    <row r="254">
      <c r="M254" s="52"/>
      <c r="N254" s="52"/>
      <c r="O254" s="52"/>
    </row>
    <row r="255">
      <c r="M255" s="52"/>
      <c r="N255" s="52"/>
      <c r="O255" s="52"/>
    </row>
    <row r="256">
      <c r="M256" s="52"/>
      <c r="N256" s="52"/>
      <c r="O256" s="52"/>
    </row>
    <row r="257">
      <c r="M257" s="52"/>
      <c r="N257" s="52"/>
      <c r="O257" s="52"/>
    </row>
    <row r="258">
      <c r="M258" s="52"/>
      <c r="N258" s="52"/>
      <c r="O258" s="52"/>
    </row>
    <row r="259">
      <c r="M259" s="52"/>
      <c r="N259" s="52"/>
      <c r="O259" s="52"/>
    </row>
    <row r="260">
      <c r="M260" s="52"/>
      <c r="N260" s="52"/>
      <c r="O260" s="52"/>
    </row>
    <row r="261">
      <c r="M261" s="52"/>
      <c r="N261" s="52"/>
      <c r="O261" s="52"/>
    </row>
    <row r="262">
      <c r="M262" s="52"/>
      <c r="N262" s="52"/>
      <c r="O262" s="52"/>
    </row>
    <row r="263">
      <c r="M263" s="52"/>
      <c r="N263" s="52"/>
      <c r="O263" s="52"/>
    </row>
    <row r="264">
      <c r="M264" s="52"/>
      <c r="N264" s="52"/>
      <c r="O264" s="52"/>
    </row>
    <row r="265">
      <c r="M265" s="52"/>
      <c r="N265" s="52"/>
      <c r="O265" s="52"/>
    </row>
    <row r="266">
      <c r="M266" s="52"/>
      <c r="N266" s="52"/>
      <c r="O266" s="52"/>
    </row>
    <row r="267">
      <c r="M267" s="52"/>
      <c r="N267" s="52"/>
      <c r="O267" s="52"/>
    </row>
    <row r="268">
      <c r="M268" s="52"/>
      <c r="N268" s="52"/>
      <c r="O268" s="52"/>
    </row>
    <row r="269">
      <c r="M269" s="52"/>
      <c r="N269" s="52"/>
      <c r="O269" s="52"/>
    </row>
    <row r="270">
      <c r="M270" s="52"/>
      <c r="N270" s="52"/>
      <c r="O270" s="52"/>
    </row>
    <row r="271">
      <c r="M271" s="52"/>
      <c r="N271" s="52"/>
      <c r="O271" s="52"/>
    </row>
    <row r="272">
      <c r="M272" s="52"/>
      <c r="N272" s="52"/>
      <c r="O272" s="52"/>
    </row>
    <row r="273">
      <c r="M273" s="52"/>
      <c r="N273" s="52"/>
      <c r="O273" s="52"/>
    </row>
    <row r="274">
      <c r="M274" s="52"/>
      <c r="N274" s="52"/>
      <c r="O274" s="52"/>
    </row>
    <row r="275">
      <c r="M275" s="52"/>
      <c r="N275" s="52"/>
      <c r="O275" s="52"/>
    </row>
    <row r="276">
      <c r="M276" s="52"/>
      <c r="N276" s="52"/>
      <c r="O276" s="52"/>
    </row>
    <row r="277">
      <c r="M277" s="52"/>
      <c r="N277" s="52"/>
      <c r="O277" s="52"/>
    </row>
    <row r="278">
      <c r="M278" s="52"/>
      <c r="N278" s="52"/>
      <c r="O278" s="52"/>
    </row>
    <row r="279">
      <c r="M279" s="52"/>
      <c r="N279" s="52"/>
      <c r="O279" s="52"/>
    </row>
    <row r="280">
      <c r="M280" s="52"/>
      <c r="N280" s="52"/>
      <c r="O280" s="52"/>
    </row>
    <row r="281">
      <c r="M281" s="52"/>
      <c r="N281" s="52"/>
      <c r="O281" s="52"/>
    </row>
    <row r="282">
      <c r="M282" s="52"/>
      <c r="N282" s="52"/>
      <c r="O282" s="52"/>
    </row>
    <row r="283">
      <c r="M283" s="52"/>
      <c r="N283" s="52"/>
      <c r="O283" s="52"/>
    </row>
    <row r="284">
      <c r="M284" s="52"/>
      <c r="N284" s="52"/>
      <c r="O284" s="52"/>
    </row>
    <row r="285">
      <c r="M285" s="52"/>
      <c r="N285" s="52"/>
      <c r="O285" s="52"/>
    </row>
    <row r="286">
      <c r="M286" s="52"/>
      <c r="N286" s="52"/>
      <c r="O286" s="52"/>
    </row>
    <row r="287">
      <c r="M287" s="52"/>
      <c r="N287" s="52"/>
      <c r="O287" s="52"/>
    </row>
    <row r="288">
      <c r="M288" s="52"/>
      <c r="N288" s="52"/>
      <c r="O288" s="52"/>
    </row>
    <row r="289">
      <c r="M289" s="52"/>
      <c r="N289" s="52"/>
      <c r="O289" s="52"/>
    </row>
    <row r="290">
      <c r="M290" s="52"/>
      <c r="N290" s="52"/>
      <c r="O290" s="52"/>
    </row>
    <row r="291">
      <c r="M291" s="52"/>
      <c r="N291" s="52"/>
      <c r="O291" s="52"/>
    </row>
    <row r="292">
      <c r="M292" s="52"/>
      <c r="N292" s="52"/>
      <c r="O292" s="52"/>
    </row>
    <row r="293">
      <c r="M293" s="52"/>
      <c r="N293" s="52"/>
      <c r="O293" s="52"/>
    </row>
    <row r="294">
      <c r="M294" s="52"/>
      <c r="N294" s="52"/>
      <c r="O294" s="52"/>
    </row>
    <row r="295">
      <c r="M295" s="52"/>
      <c r="N295" s="52"/>
      <c r="O295" s="52"/>
    </row>
    <row r="296">
      <c r="M296" s="52"/>
      <c r="N296" s="52"/>
      <c r="O296" s="52"/>
    </row>
    <row r="297">
      <c r="M297" s="52"/>
      <c r="N297" s="52"/>
      <c r="O297" s="52"/>
    </row>
    <row r="298">
      <c r="M298" s="52"/>
      <c r="N298" s="52"/>
      <c r="O298" s="52"/>
    </row>
    <row r="299">
      <c r="M299" s="52"/>
      <c r="N299" s="52"/>
      <c r="O299" s="52"/>
    </row>
    <row r="300">
      <c r="M300" s="52"/>
      <c r="N300" s="52"/>
      <c r="O300" s="52"/>
    </row>
    <row r="301">
      <c r="M301" s="52"/>
      <c r="N301" s="52"/>
      <c r="O301" s="52"/>
    </row>
    <row r="302">
      <c r="M302" s="52"/>
      <c r="N302" s="52"/>
      <c r="O302" s="52"/>
    </row>
    <row r="303">
      <c r="M303" s="52"/>
      <c r="N303" s="52"/>
      <c r="O303" s="52"/>
    </row>
    <row r="304">
      <c r="M304" s="52"/>
      <c r="N304" s="52"/>
      <c r="O304" s="52"/>
    </row>
    <row r="305">
      <c r="M305" s="52"/>
      <c r="N305" s="52"/>
      <c r="O305" s="52"/>
    </row>
    <row r="306">
      <c r="M306" s="52"/>
      <c r="N306" s="52"/>
      <c r="O306" s="52"/>
    </row>
    <row r="307">
      <c r="M307" s="52"/>
      <c r="N307" s="52"/>
      <c r="O307" s="52"/>
    </row>
    <row r="308">
      <c r="M308" s="52"/>
      <c r="N308" s="52"/>
      <c r="O308" s="52"/>
    </row>
    <row r="309">
      <c r="M309" s="52"/>
      <c r="N309" s="52"/>
      <c r="O309" s="52"/>
    </row>
    <row r="310">
      <c r="M310" s="52"/>
      <c r="N310" s="52"/>
      <c r="O310" s="52"/>
    </row>
    <row r="311">
      <c r="M311" s="52"/>
      <c r="N311" s="52"/>
      <c r="O311" s="52"/>
    </row>
    <row r="312">
      <c r="M312" s="52"/>
      <c r="N312" s="52"/>
      <c r="O312" s="52"/>
    </row>
    <row r="313">
      <c r="M313" s="52"/>
      <c r="N313" s="52"/>
      <c r="O313" s="52"/>
    </row>
    <row r="314">
      <c r="M314" s="52"/>
      <c r="N314" s="52"/>
      <c r="O314" s="52"/>
    </row>
    <row r="315">
      <c r="M315" s="52"/>
      <c r="N315" s="52"/>
      <c r="O315" s="52"/>
    </row>
    <row r="316">
      <c r="M316" s="52"/>
      <c r="N316" s="52"/>
      <c r="O316" s="52"/>
    </row>
    <row r="317">
      <c r="M317" s="52"/>
      <c r="N317" s="52"/>
      <c r="O317" s="52"/>
    </row>
    <row r="318">
      <c r="M318" s="52"/>
      <c r="N318" s="52"/>
      <c r="O318" s="52"/>
    </row>
    <row r="319">
      <c r="M319" s="52"/>
      <c r="N319" s="52"/>
      <c r="O319" s="52"/>
    </row>
    <row r="320">
      <c r="M320" s="52"/>
      <c r="N320" s="52"/>
      <c r="O320" s="52"/>
    </row>
    <row r="321">
      <c r="M321" s="52"/>
      <c r="N321" s="52"/>
      <c r="O321" s="52"/>
    </row>
    <row r="322">
      <c r="M322" s="52"/>
      <c r="N322" s="52"/>
      <c r="O322" s="52"/>
    </row>
    <row r="323">
      <c r="M323" s="52"/>
      <c r="N323" s="52"/>
      <c r="O323" s="52"/>
    </row>
    <row r="324">
      <c r="M324" s="52"/>
      <c r="N324" s="52"/>
      <c r="O324" s="52"/>
    </row>
    <row r="325">
      <c r="M325" s="52"/>
      <c r="N325" s="52"/>
      <c r="O325" s="52"/>
    </row>
    <row r="326">
      <c r="M326" s="52"/>
      <c r="N326" s="52"/>
      <c r="O326" s="52"/>
    </row>
    <row r="327">
      <c r="M327" s="52"/>
      <c r="N327" s="52"/>
      <c r="O327" s="52"/>
    </row>
    <row r="328">
      <c r="M328" s="52"/>
      <c r="N328" s="52"/>
      <c r="O328" s="52"/>
    </row>
    <row r="329">
      <c r="M329" s="52"/>
      <c r="N329" s="52"/>
      <c r="O329" s="52"/>
    </row>
    <row r="330">
      <c r="M330" s="52"/>
      <c r="N330" s="52"/>
      <c r="O330" s="52"/>
    </row>
    <row r="331">
      <c r="M331" s="52"/>
      <c r="N331" s="52"/>
      <c r="O331" s="52"/>
    </row>
    <row r="332">
      <c r="M332" s="52"/>
      <c r="N332" s="52"/>
      <c r="O332" s="52"/>
    </row>
    <row r="333">
      <c r="M333" s="52"/>
      <c r="N333" s="52"/>
      <c r="O333" s="52"/>
    </row>
    <row r="334">
      <c r="M334" s="52"/>
      <c r="N334" s="52"/>
      <c r="O334" s="52"/>
    </row>
    <row r="335">
      <c r="M335" s="52"/>
      <c r="N335" s="52"/>
      <c r="O335" s="52"/>
    </row>
    <row r="336">
      <c r="M336" s="52"/>
      <c r="N336" s="52"/>
      <c r="O336" s="52"/>
    </row>
    <row r="337">
      <c r="M337" s="52"/>
      <c r="N337" s="52"/>
      <c r="O337" s="52"/>
    </row>
    <row r="338">
      <c r="M338" s="52"/>
      <c r="N338" s="52"/>
      <c r="O338" s="52"/>
    </row>
    <row r="339">
      <c r="M339" s="52"/>
      <c r="N339" s="52"/>
      <c r="O339" s="52"/>
    </row>
    <row r="340">
      <c r="M340" s="52"/>
      <c r="N340" s="52"/>
      <c r="O340" s="52"/>
    </row>
    <row r="341">
      <c r="M341" s="52"/>
      <c r="N341" s="52"/>
      <c r="O341" s="52"/>
    </row>
    <row r="342">
      <c r="M342" s="52"/>
      <c r="N342" s="52"/>
      <c r="O342" s="52"/>
    </row>
    <row r="343">
      <c r="M343" s="52"/>
      <c r="N343" s="52"/>
      <c r="O343" s="52"/>
    </row>
    <row r="344">
      <c r="M344" s="52"/>
      <c r="N344" s="52"/>
      <c r="O344" s="52"/>
    </row>
    <row r="345">
      <c r="M345" s="52"/>
      <c r="N345" s="52"/>
      <c r="O345" s="52"/>
    </row>
    <row r="346">
      <c r="M346" s="52"/>
      <c r="N346" s="52"/>
      <c r="O346" s="52"/>
    </row>
    <row r="347">
      <c r="M347" s="52"/>
      <c r="N347" s="52"/>
      <c r="O347" s="52"/>
    </row>
    <row r="348">
      <c r="M348" s="52"/>
      <c r="N348" s="52"/>
      <c r="O348" s="52"/>
    </row>
    <row r="349">
      <c r="M349" s="52"/>
      <c r="N349" s="52"/>
      <c r="O349" s="52"/>
    </row>
    <row r="350">
      <c r="M350" s="52"/>
      <c r="N350" s="52"/>
      <c r="O350" s="52"/>
    </row>
    <row r="351">
      <c r="M351" s="52"/>
      <c r="N351" s="52"/>
      <c r="O351" s="52"/>
    </row>
    <row r="352">
      <c r="M352" s="52"/>
      <c r="N352" s="52"/>
      <c r="O352" s="52"/>
    </row>
    <row r="353">
      <c r="M353" s="52"/>
      <c r="N353" s="52"/>
      <c r="O353" s="52"/>
    </row>
    <row r="354">
      <c r="M354" s="52"/>
      <c r="N354" s="52"/>
      <c r="O354" s="52"/>
    </row>
    <row r="355">
      <c r="M355" s="52"/>
      <c r="N355" s="52"/>
      <c r="O355" s="52"/>
    </row>
    <row r="356">
      <c r="M356" s="52"/>
      <c r="N356" s="52"/>
      <c r="O356" s="52"/>
    </row>
    <row r="357">
      <c r="M357" s="52"/>
      <c r="N357" s="52"/>
      <c r="O357" s="52"/>
    </row>
    <row r="358">
      <c r="M358" s="52"/>
      <c r="N358" s="52"/>
      <c r="O358" s="52"/>
    </row>
    <row r="359">
      <c r="M359" s="52"/>
      <c r="N359" s="52"/>
      <c r="O359" s="52"/>
    </row>
    <row r="360">
      <c r="M360" s="52"/>
      <c r="N360" s="52"/>
      <c r="O360" s="52"/>
    </row>
    <row r="361">
      <c r="M361" s="52"/>
      <c r="N361" s="52"/>
      <c r="O361" s="52"/>
    </row>
    <row r="362">
      <c r="M362" s="52"/>
      <c r="N362" s="52"/>
      <c r="O362" s="52"/>
    </row>
    <row r="363">
      <c r="M363" s="52"/>
      <c r="N363" s="52"/>
      <c r="O363" s="52"/>
    </row>
    <row r="364">
      <c r="M364" s="52"/>
      <c r="N364" s="52"/>
      <c r="O364" s="52"/>
    </row>
    <row r="365">
      <c r="M365" s="52"/>
      <c r="N365" s="52"/>
      <c r="O365" s="52"/>
    </row>
    <row r="366">
      <c r="M366" s="52"/>
      <c r="N366" s="52"/>
      <c r="O366" s="52"/>
    </row>
    <row r="367">
      <c r="M367" s="52"/>
      <c r="N367" s="52"/>
      <c r="O367" s="52"/>
    </row>
    <row r="368">
      <c r="M368" s="52"/>
      <c r="N368" s="52"/>
      <c r="O368" s="52"/>
    </row>
    <row r="369">
      <c r="M369" s="52"/>
      <c r="N369" s="52"/>
      <c r="O369" s="52"/>
    </row>
    <row r="370">
      <c r="M370" s="52"/>
      <c r="N370" s="52"/>
      <c r="O370" s="52"/>
    </row>
    <row r="371">
      <c r="M371" s="52"/>
      <c r="N371" s="52"/>
      <c r="O371" s="52"/>
    </row>
    <row r="372">
      <c r="M372" s="52"/>
      <c r="N372" s="52"/>
      <c r="O372" s="52"/>
    </row>
    <row r="373">
      <c r="M373" s="52"/>
      <c r="N373" s="52"/>
      <c r="O373" s="52"/>
    </row>
    <row r="374">
      <c r="M374" s="52"/>
      <c r="N374" s="52"/>
      <c r="O374" s="52"/>
    </row>
    <row r="375">
      <c r="M375" s="52"/>
      <c r="N375" s="52"/>
      <c r="O375" s="52"/>
    </row>
    <row r="376">
      <c r="M376" s="52"/>
      <c r="N376" s="52"/>
      <c r="O376" s="52"/>
    </row>
    <row r="377">
      <c r="M377" s="52"/>
      <c r="N377" s="52"/>
      <c r="O377" s="52"/>
    </row>
    <row r="378">
      <c r="M378" s="52"/>
      <c r="N378" s="52"/>
      <c r="O378" s="52"/>
    </row>
    <row r="379">
      <c r="M379" s="52"/>
      <c r="N379" s="52"/>
      <c r="O379" s="52"/>
    </row>
    <row r="380">
      <c r="M380" s="52"/>
      <c r="N380" s="52"/>
      <c r="O380" s="52"/>
    </row>
    <row r="381">
      <c r="M381" s="52"/>
      <c r="N381" s="52"/>
      <c r="O381" s="52"/>
    </row>
    <row r="382">
      <c r="M382" s="52"/>
      <c r="N382" s="52"/>
      <c r="O382" s="52"/>
    </row>
    <row r="383">
      <c r="M383" s="52"/>
      <c r="N383" s="52"/>
      <c r="O383" s="52"/>
    </row>
    <row r="384">
      <c r="M384" s="52"/>
      <c r="N384" s="52"/>
      <c r="O384" s="52"/>
    </row>
    <row r="385">
      <c r="M385" s="52"/>
      <c r="N385" s="52"/>
      <c r="O385" s="52"/>
    </row>
    <row r="386">
      <c r="M386" s="52"/>
      <c r="N386" s="52"/>
      <c r="O386" s="52"/>
    </row>
    <row r="387">
      <c r="M387" s="52"/>
      <c r="N387" s="52"/>
      <c r="O387" s="52"/>
    </row>
    <row r="388">
      <c r="M388" s="52"/>
      <c r="N388" s="52"/>
      <c r="O388" s="52"/>
    </row>
    <row r="389">
      <c r="M389" s="52"/>
      <c r="N389" s="52"/>
      <c r="O389" s="52"/>
    </row>
    <row r="390">
      <c r="M390" s="52"/>
      <c r="N390" s="52"/>
      <c r="O390" s="52"/>
    </row>
    <row r="391">
      <c r="M391" s="52"/>
      <c r="N391" s="52"/>
      <c r="O391" s="52"/>
    </row>
    <row r="392">
      <c r="M392" s="52"/>
      <c r="N392" s="52"/>
      <c r="O392" s="52"/>
    </row>
    <row r="393">
      <c r="M393" s="52"/>
      <c r="N393" s="52"/>
      <c r="O393" s="52"/>
    </row>
    <row r="394">
      <c r="M394" s="52"/>
      <c r="N394" s="52"/>
      <c r="O394" s="52"/>
    </row>
    <row r="395">
      <c r="M395" s="52"/>
      <c r="N395" s="52"/>
      <c r="O395" s="52"/>
    </row>
    <row r="396">
      <c r="M396" s="52"/>
      <c r="N396" s="52"/>
      <c r="O396" s="52"/>
    </row>
    <row r="397">
      <c r="M397" s="52"/>
      <c r="N397" s="52"/>
      <c r="O397" s="52"/>
    </row>
    <row r="398">
      <c r="M398" s="52"/>
      <c r="N398" s="52"/>
      <c r="O398" s="52"/>
    </row>
    <row r="399">
      <c r="M399" s="52"/>
      <c r="N399" s="52"/>
      <c r="O399" s="52"/>
    </row>
    <row r="400">
      <c r="M400" s="52"/>
      <c r="N400" s="52"/>
      <c r="O400" s="52"/>
    </row>
    <row r="401">
      <c r="M401" s="52"/>
      <c r="N401" s="52"/>
      <c r="O401" s="52"/>
    </row>
    <row r="402">
      <c r="M402" s="52"/>
      <c r="N402" s="52"/>
      <c r="O402" s="52"/>
    </row>
    <row r="403">
      <c r="M403" s="52"/>
      <c r="N403" s="52"/>
      <c r="O403" s="52"/>
    </row>
    <row r="404">
      <c r="M404" s="52"/>
      <c r="N404" s="52"/>
      <c r="O404" s="52"/>
    </row>
    <row r="405">
      <c r="M405" s="52"/>
      <c r="N405" s="52"/>
      <c r="O405" s="52"/>
    </row>
    <row r="406">
      <c r="M406" s="52"/>
      <c r="N406" s="52"/>
      <c r="O406" s="52"/>
    </row>
    <row r="407">
      <c r="M407" s="52"/>
      <c r="N407" s="52"/>
      <c r="O407" s="52"/>
    </row>
    <row r="408">
      <c r="M408" s="52"/>
      <c r="N408" s="52"/>
      <c r="O408" s="52"/>
    </row>
    <row r="409">
      <c r="M409" s="52"/>
      <c r="N409" s="52"/>
      <c r="O409" s="52"/>
    </row>
    <row r="410">
      <c r="M410" s="52"/>
      <c r="N410" s="52"/>
      <c r="O410" s="52"/>
    </row>
    <row r="411">
      <c r="M411" s="52"/>
      <c r="N411" s="52"/>
      <c r="O411" s="52"/>
    </row>
    <row r="412">
      <c r="M412" s="52"/>
      <c r="N412" s="52"/>
      <c r="O412" s="52"/>
    </row>
    <row r="413">
      <c r="M413" s="52"/>
      <c r="N413" s="52"/>
      <c r="O413" s="52"/>
    </row>
    <row r="414">
      <c r="M414" s="52"/>
      <c r="N414" s="52"/>
      <c r="O414" s="52"/>
    </row>
    <row r="415">
      <c r="M415" s="52"/>
      <c r="N415" s="52"/>
      <c r="O415" s="52"/>
    </row>
    <row r="416">
      <c r="M416" s="52"/>
      <c r="N416" s="52"/>
      <c r="O416" s="52"/>
    </row>
    <row r="417">
      <c r="M417" s="52"/>
      <c r="N417" s="52"/>
      <c r="O417" s="52"/>
    </row>
    <row r="418">
      <c r="M418" s="52"/>
      <c r="N418" s="52"/>
      <c r="O418" s="52"/>
    </row>
    <row r="419">
      <c r="M419" s="52"/>
      <c r="N419" s="52"/>
      <c r="O419" s="52"/>
    </row>
    <row r="420">
      <c r="M420" s="52"/>
      <c r="N420" s="52"/>
      <c r="O420" s="52"/>
    </row>
    <row r="421">
      <c r="M421" s="52"/>
      <c r="N421" s="52"/>
      <c r="O421" s="52"/>
    </row>
    <row r="422">
      <c r="M422" s="52"/>
      <c r="N422" s="52"/>
      <c r="O422" s="52"/>
    </row>
    <row r="423">
      <c r="M423" s="52"/>
      <c r="N423" s="52"/>
      <c r="O423" s="52"/>
    </row>
    <row r="424">
      <c r="M424" s="52"/>
      <c r="N424" s="52"/>
      <c r="O424" s="52"/>
    </row>
    <row r="425">
      <c r="M425" s="52"/>
      <c r="N425" s="52"/>
      <c r="O425" s="52"/>
    </row>
    <row r="426">
      <c r="M426" s="52"/>
      <c r="N426" s="52"/>
      <c r="O426" s="52"/>
    </row>
    <row r="427">
      <c r="M427" s="52"/>
      <c r="N427" s="52"/>
      <c r="O427" s="52"/>
    </row>
    <row r="428">
      <c r="M428" s="52"/>
      <c r="N428" s="52"/>
      <c r="O428" s="52"/>
    </row>
    <row r="429">
      <c r="M429" s="52"/>
      <c r="N429" s="52"/>
      <c r="O429" s="52"/>
    </row>
    <row r="430">
      <c r="M430" s="52"/>
      <c r="N430" s="52"/>
      <c r="O430" s="52"/>
    </row>
    <row r="431">
      <c r="M431" s="52"/>
      <c r="N431" s="52"/>
      <c r="O431" s="52"/>
    </row>
    <row r="432">
      <c r="M432" s="52"/>
      <c r="N432" s="52"/>
      <c r="O432" s="52"/>
    </row>
    <row r="433">
      <c r="M433" s="52"/>
      <c r="N433" s="52"/>
      <c r="O433" s="52"/>
    </row>
    <row r="434">
      <c r="M434" s="52"/>
      <c r="N434" s="52"/>
      <c r="O434" s="52"/>
    </row>
    <row r="435">
      <c r="M435" s="52"/>
      <c r="N435" s="52"/>
      <c r="O435" s="52"/>
    </row>
    <row r="436">
      <c r="M436" s="52"/>
      <c r="N436" s="52"/>
      <c r="O436" s="52"/>
    </row>
    <row r="437">
      <c r="M437" s="52"/>
      <c r="N437" s="52"/>
      <c r="O437" s="52"/>
    </row>
    <row r="438">
      <c r="M438" s="52"/>
      <c r="N438" s="52"/>
      <c r="O438" s="52"/>
    </row>
    <row r="439">
      <c r="M439" s="52"/>
      <c r="N439" s="52"/>
      <c r="O439" s="52"/>
    </row>
    <row r="440">
      <c r="M440" s="52"/>
      <c r="N440" s="52"/>
      <c r="O440" s="52"/>
    </row>
    <row r="441">
      <c r="M441" s="52"/>
      <c r="N441" s="52"/>
      <c r="O441" s="52"/>
    </row>
    <row r="442">
      <c r="M442" s="52"/>
      <c r="N442" s="52"/>
      <c r="O442" s="52"/>
    </row>
    <row r="443">
      <c r="M443" s="52"/>
      <c r="N443" s="52"/>
      <c r="O443" s="52"/>
    </row>
    <row r="444">
      <c r="M444" s="52"/>
      <c r="N444" s="52"/>
      <c r="O444" s="52"/>
    </row>
    <row r="445">
      <c r="M445" s="52"/>
      <c r="N445" s="52"/>
      <c r="O445" s="52"/>
    </row>
    <row r="446">
      <c r="M446" s="52"/>
      <c r="N446" s="52"/>
      <c r="O446" s="52"/>
    </row>
    <row r="447">
      <c r="M447" s="52"/>
      <c r="N447" s="52"/>
      <c r="O447" s="52"/>
    </row>
    <row r="448">
      <c r="M448" s="52"/>
      <c r="N448" s="52"/>
      <c r="O448" s="52"/>
    </row>
    <row r="449">
      <c r="M449" s="52"/>
      <c r="N449" s="52"/>
      <c r="O449" s="52"/>
    </row>
    <row r="450">
      <c r="M450" s="52"/>
      <c r="N450" s="52"/>
      <c r="O450" s="52"/>
    </row>
    <row r="451">
      <c r="M451" s="52"/>
      <c r="N451" s="52"/>
      <c r="O451" s="52"/>
    </row>
    <row r="452">
      <c r="M452" s="52"/>
      <c r="N452" s="52"/>
      <c r="O452" s="52"/>
    </row>
    <row r="453">
      <c r="M453" s="52"/>
      <c r="N453" s="52"/>
      <c r="O453" s="52"/>
    </row>
    <row r="454">
      <c r="M454" s="52"/>
      <c r="N454" s="52"/>
      <c r="O454" s="52"/>
    </row>
    <row r="455">
      <c r="M455" s="52"/>
      <c r="N455" s="52"/>
      <c r="O455" s="52"/>
    </row>
    <row r="456">
      <c r="M456" s="52"/>
      <c r="N456" s="52"/>
      <c r="O456" s="52"/>
    </row>
    <row r="457">
      <c r="M457" s="52"/>
      <c r="N457" s="52"/>
      <c r="O457" s="52"/>
    </row>
    <row r="458">
      <c r="M458" s="52"/>
      <c r="N458" s="52"/>
      <c r="O458" s="52"/>
    </row>
    <row r="459">
      <c r="M459" s="52"/>
      <c r="N459" s="52"/>
      <c r="O459" s="52"/>
    </row>
    <row r="460">
      <c r="M460" s="52"/>
      <c r="N460" s="52"/>
      <c r="O460" s="52"/>
    </row>
    <row r="461">
      <c r="M461" s="52"/>
      <c r="N461" s="52"/>
      <c r="O461" s="52"/>
    </row>
    <row r="462">
      <c r="M462" s="52"/>
      <c r="N462" s="52"/>
      <c r="O462" s="52"/>
    </row>
    <row r="463">
      <c r="M463" s="52"/>
      <c r="N463" s="52"/>
      <c r="O463" s="52"/>
    </row>
    <row r="464">
      <c r="M464" s="52"/>
      <c r="N464" s="52"/>
      <c r="O464" s="52"/>
    </row>
    <row r="465">
      <c r="M465" s="52"/>
      <c r="N465" s="52"/>
      <c r="O465" s="52"/>
    </row>
    <row r="466">
      <c r="M466" s="52"/>
      <c r="N466" s="52"/>
      <c r="O466" s="52"/>
    </row>
    <row r="467">
      <c r="M467" s="52"/>
      <c r="N467" s="52"/>
      <c r="O467" s="52"/>
    </row>
    <row r="468">
      <c r="M468" s="52"/>
      <c r="N468" s="52"/>
      <c r="O468" s="52"/>
    </row>
    <row r="469">
      <c r="M469" s="52"/>
      <c r="N469" s="52"/>
      <c r="O469" s="52"/>
    </row>
    <row r="470">
      <c r="M470" s="52"/>
      <c r="N470" s="52"/>
      <c r="O470" s="52"/>
    </row>
    <row r="471">
      <c r="M471" s="52"/>
      <c r="N471" s="52"/>
      <c r="O471" s="52"/>
    </row>
    <row r="472">
      <c r="M472" s="52"/>
      <c r="N472" s="52"/>
      <c r="O472" s="52"/>
    </row>
    <row r="473">
      <c r="M473" s="52"/>
      <c r="N473" s="52"/>
      <c r="O473" s="52"/>
    </row>
    <row r="474">
      <c r="M474" s="52"/>
      <c r="N474" s="52"/>
      <c r="O474" s="52"/>
    </row>
    <row r="475">
      <c r="M475" s="52"/>
      <c r="N475" s="52"/>
      <c r="O475" s="52"/>
    </row>
    <row r="476">
      <c r="M476" s="52"/>
      <c r="N476" s="52"/>
      <c r="O476" s="52"/>
    </row>
    <row r="477">
      <c r="M477" s="52"/>
      <c r="N477" s="52"/>
      <c r="O477" s="52"/>
    </row>
    <row r="478">
      <c r="M478" s="52"/>
      <c r="N478" s="52"/>
      <c r="O478" s="52"/>
    </row>
    <row r="479">
      <c r="M479" s="52"/>
      <c r="N479" s="52"/>
      <c r="O479" s="52"/>
    </row>
    <row r="480">
      <c r="M480" s="52"/>
      <c r="N480" s="52"/>
      <c r="O480" s="52"/>
    </row>
    <row r="481">
      <c r="M481" s="52"/>
      <c r="N481" s="52"/>
      <c r="O481" s="52"/>
    </row>
    <row r="482">
      <c r="M482" s="52"/>
      <c r="N482" s="52"/>
      <c r="O482" s="52"/>
    </row>
    <row r="483">
      <c r="M483" s="52"/>
      <c r="N483" s="52"/>
      <c r="O483" s="52"/>
    </row>
    <row r="484">
      <c r="M484" s="52"/>
      <c r="N484" s="52"/>
      <c r="O484" s="52"/>
    </row>
    <row r="485">
      <c r="M485" s="52"/>
      <c r="N485" s="52"/>
      <c r="O485" s="52"/>
    </row>
    <row r="486">
      <c r="M486" s="52"/>
      <c r="N486" s="52"/>
      <c r="O486" s="52"/>
    </row>
    <row r="487">
      <c r="M487" s="52"/>
      <c r="N487" s="52"/>
      <c r="O487" s="52"/>
    </row>
    <row r="488">
      <c r="M488" s="52"/>
      <c r="N488" s="52"/>
      <c r="O488" s="52"/>
    </row>
    <row r="489">
      <c r="M489" s="52"/>
      <c r="N489" s="52"/>
      <c r="O489" s="52"/>
    </row>
    <row r="490">
      <c r="M490" s="52"/>
      <c r="N490" s="52"/>
      <c r="O490" s="52"/>
    </row>
    <row r="491">
      <c r="M491" s="52"/>
      <c r="N491" s="52"/>
      <c r="O491" s="52"/>
    </row>
    <row r="492">
      <c r="M492" s="52"/>
      <c r="N492" s="52"/>
      <c r="O492" s="52"/>
    </row>
    <row r="493">
      <c r="M493" s="52"/>
      <c r="N493" s="52"/>
      <c r="O493" s="52"/>
    </row>
    <row r="494">
      <c r="M494" s="52"/>
      <c r="N494" s="52"/>
      <c r="O494" s="52"/>
    </row>
    <row r="495">
      <c r="M495" s="52"/>
      <c r="N495" s="52"/>
      <c r="O495" s="52"/>
    </row>
    <row r="496">
      <c r="M496" s="52"/>
      <c r="N496" s="52"/>
      <c r="O496" s="52"/>
    </row>
    <row r="497">
      <c r="M497" s="52"/>
      <c r="N497" s="52"/>
      <c r="O497" s="52"/>
    </row>
    <row r="498">
      <c r="M498" s="52"/>
      <c r="N498" s="52"/>
      <c r="O498" s="52"/>
    </row>
    <row r="499">
      <c r="M499" s="52"/>
      <c r="N499" s="52"/>
      <c r="O499" s="52"/>
    </row>
    <row r="500">
      <c r="M500" s="52"/>
      <c r="N500" s="52"/>
      <c r="O500" s="52"/>
    </row>
    <row r="501">
      <c r="M501" s="52"/>
      <c r="N501" s="52"/>
      <c r="O501" s="52"/>
    </row>
    <row r="502">
      <c r="M502" s="52"/>
      <c r="N502" s="52"/>
      <c r="O502" s="52"/>
    </row>
    <row r="503">
      <c r="M503" s="52"/>
      <c r="N503" s="52"/>
      <c r="O503" s="52"/>
    </row>
    <row r="504">
      <c r="M504" s="52"/>
      <c r="N504" s="52"/>
      <c r="O504" s="52"/>
    </row>
    <row r="505">
      <c r="M505" s="52"/>
      <c r="N505" s="52"/>
      <c r="O505" s="52"/>
    </row>
    <row r="506">
      <c r="M506" s="52"/>
      <c r="N506" s="52"/>
      <c r="O506" s="52"/>
    </row>
    <row r="507">
      <c r="M507" s="52"/>
      <c r="N507" s="52"/>
      <c r="O507" s="52"/>
    </row>
    <row r="508">
      <c r="M508" s="52"/>
      <c r="N508" s="52"/>
      <c r="O508" s="52"/>
    </row>
    <row r="509">
      <c r="M509" s="52"/>
      <c r="N509" s="52"/>
      <c r="O509" s="52"/>
    </row>
    <row r="510">
      <c r="M510" s="52"/>
      <c r="N510" s="52"/>
      <c r="O510" s="52"/>
    </row>
    <row r="511">
      <c r="M511" s="52"/>
      <c r="N511" s="52"/>
      <c r="O511" s="52"/>
    </row>
    <row r="512">
      <c r="M512" s="52"/>
      <c r="N512" s="52"/>
      <c r="O512" s="52"/>
    </row>
    <row r="513">
      <c r="M513" s="52"/>
      <c r="N513" s="52"/>
      <c r="O513" s="52"/>
    </row>
    <row r="514">
      <c r="M514" s="52"/>
      <c r="N514" s="52"/>
      <c r="O514" s="52"/>
    </row>
    <row r="515">
      <c r="M515" s="52"/>
      <c r="N515" s="52"/>
      <c r="O515" s="52"/>
    </row>
    <row r="516">
      <c r="M516" s="52"/>
      <c r="N516" s="52"/>
      <c r="O516" s="52"/>
    </row>
    <row r="517">
      <c r="M517" s="52"/>
      <c r="N517" s="52"/>
      <c r="O517" s="52"/>
    </row>
    <row r="518">
      <c r="M518" s="52"/>
      <c r="N518" s="52"/>
      <c r="O518" s="52"/>
    </row>
    <row r="519">
      <c r="M519" s="52"/>
      <c r="N519" s="52"/>
      <c r="O519" s="52"/>
    </row>
    <row r="520">
      <c r="M520" s="52"/>
      <c r="N520" s="52"/>
      <c r="O520" s="52"/>
    </row>
    <row r="521">
      <c r="M521" s="52"/>
      <c r="N521" s="52"/>
      <c r="O521" s="52"/>
    </row>
    <row r="522">
      <c r="M522" s="52"/>
      <c r="N522" s="52"/>
      <c r="O522" s="52"/>
    </row>
    <row r="523">
      <c r="M523" s="52"/>
      <c r="N523" s="52"/>
      <c r="O523" s="52"/>
    </row>
    <row r="524">
      <c r="M524" s="52"/>
      <c r="N524" s="52"/>
      <c r="O524" s="52"/>
    </row>
    <row r="525">
      <c r="M525" s="52"/>
      <c r="N525" s="52"/>
      <c r="O525" s="52"/>
    </row>
    <row r="526">
      <c r="M526" s="52"/>
      <c r="N526" s="52"/>
      <c r="O526" s="52"/>
    </row>
    <row r="527">
      <c r="M527" s="52"/>
      <c r="N527" s="52"/>
      <c r="O527" s="52"/>
    </row>
    <row r="528">
      <c r="M528" s="52"/>
      <c r="N528" s="52"/>
      <c r="O528" s="52"/>
    </row>
    <row r="529">
      <c r="M529" s="52"/>
      <c r="N529" s="52"/>
      <c r="O529" s="52"/>
    </row>
    <row r="530">
      <c r="M530" s="52"/>
      <c r="N530" s="52"/>
      <c r="O530" s="52"/>
    </row>
    <row r="531">
      <c r="M531" s="52"/>
      <c r="N531" s="52"/>
      <c r="O531" s="52"/>
    </row>
    <row r="532">
      <c r="M532" s="52"/>
      <c r="N532" s="52"/>
      <c r="O532" s="52"/>
    </row>
    <row r="533">
      <c r="M533" s="52"/>
      <c r="N533" s="52"/>
      <c r="O533" s="52"/>
    </row>
    <row r="534">
      <c r="M534" s="52"/>
      <c r="N534" s="52"/>
      <c r="O534" s="52"/>
    </row>
    <row r="535">
      <c r="M535" s="52"/>
      <c r="N535" s="52"/>
      <c r="O535" s="52"/>
    </row>
    <row r="536">
      <c r="M536" s="52"/>
      <c r="N536" s="52"/>
      <c r="O536" s="52"/>
    </row>
    <row r="537">
      <c r="M537" s="52"/>
      <c r="N537" s="52"/>
      <c r="O537" s="52"/>
    </row>
    <row r="538">
      <c r="M538" s="52"/>
      <c r="N538" s="52"/>
      <c r="O538" s="52"/>
    </row>
    <row r="539">
      <c r="M539" s="52"/>
      <c r="N539" s="52"/>
      <c r="O539" s="52"/>
    </row>
    <row r="540">
      <c r="M540" s="52"/>
      <c r="N540" s="52"/>
      <c r="O540" s="52"/>
    </row>
    <row r="541">
      <c r="M541" s="52"/>
      <c r="N541" s="52"/>
      <c r="O541" s="52"/>
    </row>
    <row r="542">
      <c r="M542" s="52"/>
      <c r="N542" s="52"/>
      <c r="O542" s="52"/>
    </row>
    <row r="543">
      <c r="M543" s="52"/>
      <c r="N543" s="52"/>
      <c r="O543" s="52"/>
    </row>
    <row r="544">
      <c r="M544" s="52"/>
      <c r="N544" s="52"/>
      <c r="O544" s="52"/>
    </row>
    <row r="545">
      <c r="M545" s="52"/>
      <c r="N545" s="52"/>
      <c r="O545" s="52"/>
    </row>
    <row r="546">
      <c r="M546" s="52"/>
      <c r="N546" s="52"/>
      <c r="O546" s="52"/>
    </row>
    <row r="547">
      <c r="M547" s="52"/>
      <c r="N547" s="52"/>
      <c r="O547" s="52"/>
    </row>
    <row r="548">
      <c r="M548" s="52"/>
      <c r="N548" s="52"/>
      <c r="O548" s="52"/>
    </row>
    <row r="549">
      <c r="M549" s="52"/>
      <c r="N549" s="52"/>
      <c r="O549" s="52"/>
    </row>
    <row r="550">
      <c r="M550" s="52"/>
      <c r="N550" s="52"/>
      <c r="O550" s="52"/>
    </row>
    <row r="551">
      <c r="M551" s="52"/>
      <c r="N551" s="52"/>
      <c r="O551" s="52"/>
    </row>
    <row r="552">
      <c r="M552" s="52"/>
      <c r="N552" s="52"/>
      <c r="O552" s="52"/>
    </row>
    <row r="553">
      <c r="M553" s="52"/>
      <c r="N553" s="52"/>
      <c r="O553" s="52"/>
    </row>
    <row r="554">
      <c r="M554" s="52"/>
      <c r="N554" s="52"/>
      <c r="O554" s="52"/>
    </row>
    <row r="555">
      <c r="M555" s="52"/>
      <c r="N555" s="52"/>
      <c r="O555" s="52"/>
    </row>
    <row r="556">
      <c r="M556" s="52"/>
      <c r="N556" s="52"/>
      <c r="O556" s="52"/>
    </row>
    <row r="557">
      <c r="M557" s="52"/>
      <c r="N557" s="52"/>
      <c r="O557" s="52"/>
    </row>
    <row r="558">
      <c r="M558" s="52"/>
      <c r="N558" s="52"/>
      <c r="O558" s="52"/>
    </row>
    <row r="559">
      <c r="M559" s="52"/>
      <c r="N559" s="52"/>
      <c r="O559" s="52"/>
    </row>
    <row r="560">
      <c r="M560" s="52"/>
      <c r="N560" s="52"/>
      <c r="O560" s="52"/>
    </row>
    <row r="561">
      <c r="M561" s="52"/>
      <c r="N561" s="52"/>
      <c r="O561" s="52"/>
    </row>
    <row r="562">
      <c r="M562" s="52"/>
      <c r="N562" s="52"/>
      <c r="O562" s="52"/>
    </row>
    <row r="563">
      <c r="M563" s="52"/>
      <c r="N563" s="52"/>
      <c r="O563" s="52"/>
    </row>
    <row r="564">
      <c r="M564" s="52"/>
      <c r="N564" s="52"/>
      <c r="O564" s="52"/>
    </row>
    <row r="565">
      <c r="M565" s="52"/>
      <c r="N565" s="52"/>
      <c r="O565" s="52"/>
    </row>
    <row r="566">
      <c r="M566" s="52"/>
      <c r="N566" s="52"/>
      <c r="O566" s="52"/>
    </row>
    <row r="567">
      <c r="M567" s="52"/>
      <c r="N567" s="52"/>
      <c r="O567" s="52"/>
    </row>
    <row r="568">
      <c r="M568" s="52"/>
      <c r="N568" s="52"/>
      <c r="O568" s="52"/>
    </row>
    <row r="569">
      <c r="M569" s="52"/>
      <c r="N569" s="52"/>
      <c r="O569" s="52"/>
    </row>
    <row r="570">
      <c r="M570" s="52"/>
      <c r="N570" s="52"/>
      <c r="O570" s="52"/>
    </row>
    <row r="571">
      <c r="M571" s="52"/>
      <c r="N571" s="52"/>
      <c r="O571" s="52"/>
    </row>
    <row r="572">
      <c r="M572" s="52"/>
      <c r="N572" s="52"/>
      <c r="O572" s="52"/>
    </row>
    <row r="573">
      <c r="M573" s="52"/>
      <c r="N573" s="52"/>
      <c r="O573" s="52"/>
    </row>
    <row r="574">
      <c r="M574" s="52"/>
      <c r="N574" s="52"/>
      <c r="O574" s="52"/>
    </row>
    <row r="575">
      <c r="M575" s="52"/>
      <c r="N575" s="52"/>
      <c r="O575" s="52"/>
    </row>
    <row r="576">
      <c r="M576" s="52"/>
      <c r="N576" s="52"/>
      <c r="O576" s="52"/>
    </row>
    <row r="577">
      <c r="M577" s="52"/>
      <c r="N577" s="52"/>
      <c r="O577" s="52"/>
    </row>
    <row r="578">
      <c r="M578" s="52"/>
      <c r="N578" s="52"/>
      <c r="O578" s="52"/>
    </row>
    <row r="579">
      <c r="M579" s="52"/>
      <c r="N579" s="52"/>
      <c r="O579" s="52"/>
    </row>
    <row r="580">
      <c r="M580" s="52"/>
      <c r="N580" s="52"/>
      <c r="O580" s="52"/>
    </row>
    <row r="581">
      <c r="M581" s="52"/>
      <c r="N581" s="52"/>
      <c r="O581" s="52"/>
    </row>
    <row r="582">
      <c r="M582" s="52"/>
      <c r="N582" s="52"/>
      <c r="O582" s="52"/>
    </row>
    <row r="583">
      <c r="M583" s="52"/>
      <c r="N583" s="52"/>
      <c r="O583" s="52"/>
    </row>
    <row r="584">
      <c r="M584" s="52"/>
      <c r="N584" s="52"/>
      <c r="O584" s="52"/>
    </row>
    <row r="585">
      <c r="M585" s="52"/>
      <c r="N585" s="52"/>
      <c r="O585" s="52"/>
    </row>
    <row r="586">
      <c r="M586" s="52"/>
      <c r="N586" s="52"/>
      <c r="O586" s="52"/>
    </row>
    <row r="587">
      <c r="M587" s="52"/>
      <c r="N587" s="52"/>
      <c r="O587" s="52"/>
    </row>
    <row r="588">
      <c r="M588" s="52"/>
      <c r="N588" s="52"/>
      <c r="O588" s="52"/>
    </row>
    <row r="589">
      <c r="M589" s="52"/>
      <c r="N589" s="52"/>
      <c r="O589" s="52"/>
    </row>
    <row r="590">
      <c r="M590" s="52"/>
      <c r="N590" s="52"/>
      <c r="O590" s="52"/>
    </row>
    <row r="591">
      <c r="M591" s="52"/>
      <c r="N591" s="52"/>
      <c r="O591" s="52"/>
    </row>
    <row r="592">
      <c r="M592" s="52"/>
      <c r="N592" s="52"/>
      <c r="O592" s="52"/>
    </row>
    <row r="593">
      <c r="M593" s="52"/>
      <c r="N593" s="52"/>
      <c r="O593" s="52"/>
    </row>
    <row r="594">
      <c r="M594" s="52"/>
      <c r="N594" s="52"/>
      <c r="O594" s="52"/>
    </row>
    <row r="595">
      <c r="M595" s="52"/>
      <c r="N595" s="52"/>
      <c r="O595" s="52"/>
    </row>
    <row r="596">
      <c r="M596" s="52"/>
      <c r="N596" s="52"/>
      <c r="O596" s="52"/>
    </row>
    <row r="597">
      <c r="M597" s="52"/>
      <c r="N597" s="52"/>
      <c r="O597" s="52"/>
    </row>
    <row r="598">
      <c r="M598" s="52"/>
      <c r="N598" s="52"/>
      <c r="O598" s="52"/>
    </row>
    <row r="599">
      <c r="M599" s="52"/>
      <c r="N599" s="52"/>
      <c r="O599" s="52"/>
    </row>
    <row r="600">
      <c r="M600" s="52"/>
      <c r="N600" s="52"/>
      <c r="O600" s="52"/>
    </row>
    <row r="601">
      <c r="M601" s="52"/>
      <c r="N601" s="52"/>
      <c r="O601" s="52"/>
    </row>
    <row r="602">
      <c r="M602" s="52"/>
      <c r="N602" s="52"/>
      <c r="O602" s="52"/>
    </row>
    <row r="603">
      <c r="M603" s="52"/>
      <c r="N603" s="52"/>
      <c r="O603" s="52"/>
    </row>
    <row r="604">
      <c r="M604" s="52"/>
      <c r="N604" s="52"/>
      <c r="O604" s="52"/>
    </row>
    <row r="605">
      <c r="M605" s="52"/>
      <c r="N605" s="52"/>
      <c r="O605" s="52"/>
    </row>
    <row r="606">
      <c r="M606" s="52"/>
      <c r="N606" s="52"/>
      <c r="O606" s="52"/>
    </row>
    <row r="607">
      <c r="M607" s="52"/>
      <c r="N607" s="52"/>
      <c r="O607" s="52"/>
    </row>
    <row r="608">
      <c r="M608" s="52"/>
      <c r="N608" s="52"/>
      <c r="O608" s="52"/>
    </row>
    <row r="609">
      <c r="M609" s="52"/>
      <c r="N609" s="52"/>
      <c r="O609" s="52"/>
    </row>
    <row r="610">
      <c r="M610" s="52"/>
      <c r="N610" s="52"/>
      <c r="O610" s="52"/>
    </row>
    <row r="611">
      <c r="M611" s="52"/>
      <c r="N611" s="52"/>
      <c r="O611" s="52"/>
    </row>
    <row r="612">
      <c r="M612" s="52"/>
      <c r="N612" s="52"/>
      <c r="O612" s="52"/>
    </row>
    <row r="613">
      <c r="M613" s="52"/>
      <c r="N613" s="52"/>
      <c r="O613" s="52"/>
    </row>
    <row r="614">
      <c r="M614" s="52"/>
      <c r="N614" s="52"/>
      <c r="O614" s="52"/>
    </row>
    <row r="615">
      <c r="M615" s="52"/>
      <c r="N615" s="52"/>
      <c r="O615" s="52"/>
    </row>
    <row r="616">
      <c r="M616" s="52"/>
      <c r="N616" s="52"/>
      <c r="O616" s="52"/>
    </row>
    <row r="617">
      <c r="M617" s="52"/>
      <c r="N617" s="52"/>
      <c r="O617" s="52"/>
    </row>
    <row r="618">
      <c r="M618" s="52"/>
      <c r="N618" s="52"/>
      <c r="O618" s="52"/>
    </row>
    <row r="619">
      <c r="M619" s="52"/>
      <c r="N619" s="52"/>
      <c r="O619" s="52"/>
    </row>
    <row r="620">
      <c r="M620" s="52"/>
      <c r="N620" s="52"/>
      <c r="O620" s="52"/>
    </row>
    <row r="621">
      <c r="M621" s="52"/>
      <c r="N621" s="52"/>
      <c r="O621" s="52"/>
    </row>
    <row r="622">
      <c r="M622" s="52"/>
      <c r="N622" s="52"/>
      <c r="O622" s="52"/>
    </row>
    <row r="623">
      <c r="M623" s="52"/>
      <c r="N623" s="52"/>
      <c r="O623" s="52"/>
    </row>
    <row r="624">
      <c r="M624" s="52"/>
      <c r="N624" s="52"/>
      <c r="O624" s="52"/>
    </row>
    <row r="625">
      <c r="M625" s="52"/>
      <c r="N625" s="52"/>
      <c r="O625" s="52"/>
    </row>
    <row r="626">
      <c r="M626" s="52"/>
      <c r="N626" s="52"/>
      <c r="O626" s="52"/>
    </row>
    <row r="627">
      <c r="M627" s="52"/>
      <c r="N627" s="52"/>
      <c r="O627" s="52"/>
    </row>
    <row r="628">
      <c r="M628" s="52"/>
      <c r="N628" s="52"/>
      <c r="O628" s="52"/>
    </row>
    <row r="629">
      <c r="M629" s="52"/>
      <c r="N629" s="52"/>
      <c r="O629" s="52"/>
    </row>
    <row r="630">
      <c r="M630" s="52"/>
      <c r="N630" s="52"/>
      <c r="O630" s="52"/>
    </row>
    <row r="631">
      <c r="M631" s="52"/>
      <c r="N631" s="52"/>
      <c r="O631" s="52"/>
    </row>
    <row r="632">
      <c r="M632" s="52"/>
      <c r="N632" s="52"/>
      <c r="O632" s="52"/>
    </row>
    <row r="633">
      <c r="M633" s="52"/>
      <c r="N633" s="52"/>
      <c r="O633" s="52"/>
    </row>
    <row r="634">
      <c r="M634" s="52"/>
      <c r="N634" s="52"/>
      <c r="O634" s="52"/>
    </row>
    <row r="635">
      <c r="M635" s="52"/>
      <c r="N635" s="52"/>
      <c r="O635" s="52"/>
    </row>
    <row r="636">
      <c r="M636" s="52"/>
      <c r="N636" s="52"/>
      <c r="O636" s="52"/>
    </row>
    <row r="637">
      <c r="M637" s="52"/>
      <c r="N637" s="52"/>
      <c r="O637" s="52"/>
    </row>
    <row r="638">
      <c r="M638" s="52"/>
      <c r="N638" s="52"/>
      <c r="O638" s="52"/>
    </row>
    <row r="639">
      <c r="M639" s="52"/>
      <c r="N639" s="52"/>
      <c r="O639" s="52"/>
    </row>
    <row r="640">
      <c r="M640" s="52"/>
      <c r="N640" s="52"/>
      <c r="O640" s="52"/>
    </row>
    <row r="641">
      <c r="M641" s="52"/>
      <c r="N641" s="52"/>
      <c r="O641" s="52"/>
    </row>
    <row r="642">
      <c r="M642" s="52"/>
      <c r="N642" s="52"/>
      <c r="O642" s="52"/>
    </row>
    <row r="643">
      <c r="M643" s="52"/>
      <c r="N643" s="52"/>
      <c r="O643" s="52"/>
    </row>
    <row r="644">
      <c r="M644" s="52"/>
      <c r="N644" s="52"/>
      <c r="O644" s="52"/>
    </row>
    <row r="645">
      <c r="M645" s="52"/>
      <c r="N645" s="52"/>
      <c r="O645" s="52"/>
    </row>
    <row r="646">
      <c r="M646" s="52"/>
      <c r="N646" s="52"/>
      <c r="O646" s="52"/>
    </row>
    <row r="647">
      <c r="M647" s="52"/>
      <c r="N647" s="52"/>
      <c r="O647" s="52"/>
    </row>
    <row r="648">
      <c r="M648" s="52"/>
      <c r="N648" s="52"/>
      <c r="O648" s="52"/>
    </row>
    <row r="649">
      <c r="M649" s="52"/>
      <c r="N649" s="52"/>
      <c r="O649" s="52"/>
    </row>
    <row r="650">
      <c r="M650" s="52"/>
      <c r="N650" s="52"/>
      <c r="O650" s="52"/>
    </row>
    <row r="651">
      <c r="M651" s="52"/>
      <c r="N651" s="52"/>
      <c r="O651" s="52"/>
    </row>
    <row r="652">
      <c r="M652" s="52"/>
      <c r="N652" s="52"/>
      <c r="O652" s="52"/>
    </row>
    <row r="653">
      <c r="M653" s="52"/>
      <c r="N653" s="52"/>
      <c r="O653" s="52"/>
    </row>
    <row r="654">
      <c r="M654" s="52"/>
      <c r="N654" s="52"/>
      <c r="O654" s="52"/>
    </row>
    <row r="655">
      <c r="M655" s="52"/>
      <c r="N655" s="52"/>
      <c r="O655" s="52"/>
    </row>
    <row r="656">
      <c r="M656" s="52"/>
      <c r="N656" s="52"/>
      <c r="O656" s="52"/>
    </row>
    <row r="657">
      <c r="M657" s="52"/>
      <c r="N657" s="52"/>
      <c r="O657" s="52"/>
    </row>
    <row r="658">
      <c r="M658" s="52"/>
      <c r="N658" s="52"/>
      <c r="O658" s="52"/>
    </row>
    <row r="659">
      <c r="M659" s="52"/>
      <c r="N659" s="52"/>
      <c r="O659" s="52"/>
    </row>
    <row r="660">
      <c r="M660" s="52"/>
      <c r="N660" s="52"/>
      <c r="O660" s="52"/>
    </row>
    <row r="661">
      <c r="M661" s="52"/>
      <c r="N661" s="52"/>
      <c r="O661" s="52"/>
    </row>
    <row r="662">
      <c r="M662" s="52"/>
      <c r="N662" s="52"/>
      <c r="O662" s="52"/>
    </row>
    <row r="663">
      <c r="M663" s="52"/>
      <c r="N663" s="52"/>
      <c r="O663" s="52"/>
    </row>
    <row r="664">
      <c r="M664" s="52"/>
      <c r="N664" s="52"/>
      <c r="O664" s="52"/>
    </row>
    <row r="665">
      <c r="M665" s="52"/>
      <c r="N665" s="52"/>
      <c r="O665" s="52"/>
    </row>
    <row r="666">
      <c r="M666" s="52"/>
      <c r="N666" s="52"/>
      <c r="O666" s="52"/>
    </row>
    <row r="667">
      <c r="M667" s="52"/>
      <c r="N667" s="52"/>
      <c r="O667" s="52"/>
    </row>
    <row r="668">
      <c r="M668" s="52"/>
      <c r="N668" s="52"/>
      <c r="O668" s="52"/>
    </row>
    <row r="669">
      <c r="M669" s="52"/>
      <c r="N669" s="52"/>
      <c r="O669" s="52"/>
    </row>
    <row r="670">
      <c r="M670" s="52"/>
      <c r="N670" s="52"/>
      <c r="O670" s="52"/>
    </row>
    <row r="671">
      <c r="M671" s="52"/>
      <c r="N671" s="52"/>
      <c r="O671" s="52"/>
    </row>
    <row r="672">
      <c r="M672" s="52"/>
      <c r="N672" s="52"/>
      <c r="O672" s="52"/>
    </row>
    <row r="673">
      <c r="M673" s="52"/>
      <c r="N673" s="52"/>
      <c r="O673" s="52"/>
    </row>
    <row r="674">
      <c r="M674" s="52"/>
      <c r="N674" s="52"/>
      <c r="O674" s="52"/>
    </row>
    <row r="675">
      <c r="M675" s="52"/>
      <c r="N675" s="52"/>
      <c r="O675" s="52"/>
    </row>
    <row r="676">
      <c r="M676" s="52"/>
      <c r="N676" s="52"/>
      <c r="O676" s="52"/>
    </row>
    <row r="677">
      <c r="M677" s="52"/>
      <c r="N677" s="52"/>
      <c r="O677" s="52"/>
    </row>
    <row r="678">
      <c r="M678" s="52"/>
      <c r="N678" s="52"/>
      <c r="O678" s="52"/>
    </row>
    <row r="679">
      <c r="M679" s="52"/>
      <c r="N679" s="52"/>
      <c r="O679" s="52"/>
    </row>
    <row r="680">
      <c r="M680" s="52"/>
      <c r="N680" s="52"/>
      <c r="O680" s="52"/>
    </row>
    <row r="681">
      <c r="M681" s="52"/>
      <c r="N681" s="52"/>
      <c r="O681" s="52"/>
    </row>
    <row r="682">
      <c r="M682" s="52"/>
      <c r="N682" s="52"/>
      <c r="O682" s="52"/>
    </row>
    <row r="683">
      <c r="M683" s="52"/>
      <c r="N683" s="52"/>
      <c r="O683" s="52"/>
    </row>
    <row r="684">
      <c r="M684" s="52"/>
      <c r="N684" s="52"/>
      <c r="O684" s="52"/>
    </row>
    <row r="685">
      <c r="M685" s="52"/>
      <c r="N685" s="52"/>
      <c r="O685" s="52"/>
    </row>
    <row r="686">
      <c r="M686" s="52"/>
      <c r="N686" s="52"/>
      <c r="O686" s="52"/>
    </row>
    <row r="687">
      <c r="M687" s="52"/>
      <c r="N687" s="52"/>
      <c r="O687" s="52"/>
    </row>
    <row r="688">
      <c r="M688" s="52"/>
      <c r="N688" s="52"/>
      <c r="O688" s="52"/>
    </row>
    <row r="689">
      <c r="M689" s="52"/>
      <c r="N689" s="52"/>
      <c r="O689" s="52"/>
    </row>
    <row r="690">
      <c r="M690" s="52"/>
      <c r="N690" s="52"/>
      <c r="O690" s="52"/>
    </row>
    <row r="691">
      <c r="M691" s="52"/>
      <c r="N691" s="52"/>
      <c r="O691" s="52"/>
    </row>
    <row r="692">
      <c r="M692" s="52"/>
      <c r="N692" s="52"/>
      <c r="O692" s="52"/>
    </row>
    <row r="693">
      <c r="M693" s="52"/>
      <c r="N693" s="52"/>
      <c r="O693" s="52"/>
    </row>
    <row r="694">
      <c r="M694" s="52"/>
      <c r="N694" s="52"/>
      <c r="O694" s="52"/>
    </row>
    <row r="695">
      <c r="M695" s="52"/>
      <c r="N695" s="52"/>
      <c r="O695" s="52"/>
    </row>
    <row r="696">
      <c r="M696" s="52"/>
      <c r="N696" s="52"/>
      <c r="O696" s="52"/>
    </row>
    <row r="697">
      <c r="M697" s="52"/>
      <c r="N697" s="52"/>
      <c r="O697" s="52"/>
    </row>
    <row r="698">
      <c r="M698" s="52"/>
      <c r="N698" s="52"/>
      <c r="O698" s="52"/>
    </row>
    <row r="699">
      <c r="M699" s="52"/>
      <c r="N699" s="52"/>
      <c r="O699" s="52"/>
    </row>
    <row r="700">
      <c r="M700" s="52"/>
      <c r="N700" s="52"/>
      <c r="O700" s="52"/>
    </row>
    <row r="701">
      <c r="M701" s="52"/>
      <c r="N701" s="52"/>
      <c r="O701" s="52"/>
    </row>
    <row r="702">
      <c r="M702" s="52"/>
      <c r="N702" s="52"/>
      <c r="O702" s="52"/>
    </row>
    <row r="703">
      <c r="M703" s="52"/>
      <c r="N703" s="52"/>
      <c r="O703" s="52"/>
    </row>
    <row r="704">
      <c r="M704" s="52"/>
      <c r="N704" s="52"/>
      <c r="O704" s="52"/>
    </row>
    <row r="705">
      <c r="M705" s="52"/>
      <c r="N705" s="52"/>
      <c r="O705" s="52"/>
    </row>
    <row r="706">
      <c r="M706" s="52"/>
      <c r="N706" s="52"/>
      <c r="O706" s="52"/>
    </row>
    <row r="707">
      <c r="M707" s="52"/>
      <c r="N707" s="52"/>
      <c r="O707" s="52"/>
    </row>
    <row r="708">
      <c r="M708" s="52"/>
      <c r="N708" s="52"/>
      <c r="O708" s="52"/>
    </row>
    <row r="709">
      <c r="M709" s="52"/>
      <c r="N709" s="52"/>
      <c r="O709" s="52"/>
    </row>
    <row r="710">
      <c r="M710" s="52"/>
      <c r="N710" s="52"/>
      <c r="O710" s="52"/>
    </row>
    <row r="711">
      <c r="M711" s="52"/>
      <c r="N711" s="52"/>
      <c r="O711" s="52"/>
    </row>
    <row r="712">
      <c r="M712" s="52"/>
      <c r="N712" s="52"/>
      <c r="O712" s="52"/>
    </row>
    <row r="713">
      <c r="M713" s="52"/>
      <c r="N713" s="52"/>
      <c r="O713" s="52"/>
    </row>
    <row r="714">
      <c r="M714" s="52"/>
      <c r="N714" s="52"/>
      <c r="O714" s="52"/>
    </row>
    <row r="715">
      <c r="M715" s="52"/>
      <c r="N715" s="52"/>
      <c r="O715" s="52"/>
    </row>
    <row r="716">
      <c r="M716" s="52"/>
      <c r="N716" s="52"/>
      <c r="O716" s="52"/>
    </row>
    <row r="717">
      <c r="M717" s="52"/>
      <c r="N717" s="52"/>
      <c r="O717" s="52"/>
    </row>
    <row r="718">
      <c r="M718" s="52"/>
      <c r="N718" s="52"/>
      <c r="O718" s="52"/>
    </row>
    <row r="719">
      <c r="M719" s="52"/>
      <c r="N719" s="52"/>
      <c r="O719" s="52"/>
    </row>
    <row r="720">
      <c r="M720" s="52"/>
      <c r="N720" s="52"/>
      <c r="O720" s="52"/>
    </row>
    <row r="721">
      <c r="M721" s="52"/>
      <c r="N721" s="52"/>
      <c r="O721" s="52"/>
    </row>
    <row r="722">
      <c r="M722" s="52"/>
      <c r="N722" s="52"/>
      <c r="O722" s="52"/>
    </row>
    <row r="723">
      <c r="M723" s="52"/>
      <c r="N723" s="52"/>
      <c r="O723" s="52"/>
    </row>
    <row r="724">
      <c r="M724" s="52"/>
      <c r="N724" s="52"/>
      <c r="O724" s="52"/>
    </row>
    <row r="725">
      <c r="M725" s="52"/>
      <c r="N725" s="52"/>
      <c r="O725" s="52"/>
    </row>
    <row r="726">
      <c r="M726" s="52"/>
      <c r="N726" s="52"/>
      <c r="O726" s="52"/>
    </row>
    <row r="727">
      <c r="M727" s="52"/>
      <c r="N727" s="52"/>
      <c r="O727" s="52"/>
    </row>
    <row r="728">
      <c r="M728" s="52"/>
      <c r="N728" s="52"/>
      <c r="O728" s="52"/>
    </row>
    <row r="729">
      <c r="M729" s="52"/>
      <c r="N729" s="52"/>
      <c r="O729" s="52"/>
    </row>
    <row r="730">
      <c r="M730" s="52"/>
      <c r="N730" s="52"/>
      <c r="O730" s="52"/>
    </row>
    <row r="731">
      <c r="M731" s="52"/>
      <c r="N731" s="52"/>
      <c r="O731" s="52"/>
    </row>
    <row r="732">
      <c r="M732" s="52"/>
      <c r="N732" s="52"/>
      <c r="O732" s="52"/>
    </row>
    <row r="733">
      <c r="M733" s="52"/>
      <c r="N733" s="52"/>
      <c r="O733" s="52"/>
    </row>
    <row r="734">
      <c r="M734" s="52"/>
      <c r="N734" s="52"/>
      <c r="O734" s="52"/>
    </row>
    <row r="735">
      <c r="M735" s="52"/>
      <c r="N735" s="52"/>
      <c r="O735" s="52"/>
    </row>
    <row r="736">
      <c r="M736" s="52"/>
      <c r="N736" s="52"/>
      <c r="O736" s="52"/>
    </row>
    <row r="737">
      <c r="M737" s="52"/>
      <c r="N737" s="52"/>
      <c r="O737" s="52"/>
    </row>
    <row r="738">
      <c r="M738" s="52"/>
      <c r="N738" s="52"/>
      <c r="O738" s="52"/>
    </row>
    <row r="739">
      <c r="M739" s="52"/>
      <c r="N739" s="52"/>
      <c r="O739" s="52"/>
    </row>
    <row r="740">
      <c r="M740" s="52"/>
      <c r="N740" s="52"/>
      <c r="O740" s="52"/>
    </row>
    <row r="741">
      <c r="M741" s="52"/>
      <c r="N741" s="52"/>
      <c r="O741" s="52"/>
    </row>
    <row r="742">
      <c r="M742" s="52"/>
      <c r="N742" s="52"/>
      <c r="O742" s="52"/>
    </row>
    <row r="743">
      <c r="M743" s="52"/>
      <c r="N743" s="52"/>
      <c r="O743" s="52"/>
    </row>
    <row r="744">
      <c r="M744" s="52"/>
      <c r="N744" s="52"/>
      <c r="O744" s="52"/>
    </row>
    <row r="745">
      <c r="M745" s="52"/>
      <c r="N745" s="52"/>
      <c r="O745" s="52"/>
    </row>
    <row r="746">
      <c r="M746" s="52"/>
      <c r="N746" s="52"/>
      <c r="O746" s="52"/>
    </row>
    <row r="747">
      <c r="M747" s="52"/>
      <c r="N747" s="52"/>
      <c r="O747" s="52"/>
    </row>
    <row r="748">
      <c r="M748" s="52"/>
      <c r="N748" s="52"/>
      <c r="O748" s="52"/>
    </row>
    <row r="749">
      <c r="M749" s="52"/>
      <c r="N749" s="52"/>
      <c r="O749" s="52"/>
    </row>
    <row r="750">
      <c r="M750" s="52"/>
      <c r="N750" s="52"/>
      <c r="O750" s="52"/>
    </row>
    <row r="751">
      <c r="M751" s="52"/>
      <c r="N751" s="52"/>
      <c r="O751" s="52"/>
    </row>
    <row r="752">
      <c r="M752" s="52"/>
      <c r="N752" s="52"/>
      <c r="O752" s="52"/>
    </row>
    <row r="753">
      <c r="M753" s="52"/>
      <c r="N753" s="52"/>
      <c r="O753" s="52"/>
    </row>
    <row r="754">
      <c r="M754" s="52"/>
      <c r="N754" s="52"/>
      <c r="O754" s="52"/>
    </row>
    <row r="755">
      <c r="M755" s="52"/>
      <c r="N755" s="52"/>
      <c r="O755" s="52"/>
    </row>
    <row r="756">
      <c r="M756" s="52"/>
      <c r="N756" s="52"/>
      <c r="O756" s="52"/>
    </row>
    <row r="757">
      <c r="M757" s="52"/>
      <c r="N757" s="52"/>
      <c r="O757" s="52"/>
    </row>
    <row r="758">
      <c r="M758" s="52"/>
      <c r="N758" s="52"/>
      <c r="O758" s="52"/>
    </row>
    <row r="759">
      <c r="M759" s="52"/>
      <c r="N759" s="52"/>
      <c r="O759" s="52"/>
    </row>
    <row r="760">
      <c r="M760" s="52"/>
      <c r="N760" s="52"/>
      <c r="O760" s="52"/>
    </row>
    <row r="761">
      <c r="M761" s="52"/>
      <c r="N761" s="52"/>
      <c r="O761" s="52"/>
    </row>
    <row r="762">
      <c r="M762" s="52"/>
      <c r="N762" s="52"/>
      <c r="O762" s="52"/>
    </row>
    <row r="763">
      <c r="M763" s="52"/>
      <c r="N763" s="52"/>
      <c r="O763" s="52"/>
    </row>
    <row r="764">
      <c r="M764" s="52"/>
      <c r="N764" s="52"/>
      <c r="O764" s="52"/>
    </row>
    <row r="765">
      <c r="M765" s="52"/>
      <c r="N765" s="52"/>
      <c r="O765" s="52"/>
    </row>
    <row r="766">
      <c r="M766" s="52"/>
      <c r="N766" s="52"/>
      <c r="O766" s="52"/>
    </row>
    <row r="767">
      <c r="M767" s="52"/>
      <c r="N767" s="52"/>
      <c r="O767" s="52"/>
    </row>
    <row r="768">
      <c r="M768" s="52"/>
      <c r="N768" s="52"/>
      <c r="O768" s="52"/>
    </row>
    <row r="769">
      <c r="M769" s="52"/>
      <c r="N769" s="52"/>
      <c r="O769" s="52"/>
    </row>
    <row r="770">
      <c r="M770" s="52"/>
      <c r="N770" s="52"/>
      <c r="O770" s="52"/>
    </row>
    <row r="771">
      <c r="M771" s="52"/>
      <c r="N771" s="52"/>
      <c r="O771" s="52"/>
    </row>
    <row r="772">
      <c r="M772" s="52"/>
      <c r="N772" s="52"/>
      <c r="O772" s="52"/>
    </row>
    <row r="773">
      <c r="M773" s="52"/>
      <c r="N773" s="52"/>
      <c r="O773" s="52"/>
    </row>
    <row r="774">
      <c r="M774" s="52"/>
      <c r="N774" s="52"/>
      <c r="O774" s="52"/>
    </row>
    <row r="775">
      <c r="M775" s="52"/>
      <c r="N775" s="52"/>
      <c r="O775" s="52"/>
    </row>
    <row r="776">
      <c r="M776" s="52"/>
      <c r="N776" s="52"/>
      <c r="O776" s="52"/>
    </row>
    <row r="777">
      <c r="M777" s="52"/>
      <c r="N777" s="52"/>
      <c r="O777" s="52"/>
    </row>
    <row r="778">
      <c r="M778" s="52"/>
      <c r="N778" s="52"/>
      <c r="O778" s="52"/>
    </row>
    <row r="779">
      <c r="M779" s="52"/>
      <c r="N779" s="52"/>
      <c r="O779" s="52"/>
    </row>
    <row r="780">
      <c r="M780" s="52"/>
      <c r="N780" s="52"/>
      <c r="O780" s="52"/>
    </row>
    <row r="781">
      <c r="M781" s="52"/>
      <c r="N781" s="52"/>
      <c r="O781" s="52"/>
    </row>
    <row r="782">
      <c r="M782" s="52"/>
      <c r="N782" s="52"/>
      <c r="O782" s="52"/>
    </row>
    <row r="783">
      <c r="M783" s="52"/>
      <c r="N783" s="52"/>
      <c r="O783" s="52"/>
    </row>
    <row r="784">
      <c r="M784" s="52"/>
      <c r="N784" s="52"/>
      <c r="O784" s="52"/>
    </row>
    <row r="785">
      <c r="M785" s="52"/>
      <c r="N785" s="52"/>
      <c r="O785" s="52"/>
    </row>
    <row r="786">
      <c r="M786" s="52"/>
      <c r="N786" s="52"/>
      <c r="O786" s="52"/>
    </row>
    <row r="787">
      <c r="M787" s="52"/>
      <c r="N787" s="52"/>
      <c r="O787" s="52"/>
    </row>
    <row r="788">
      <c r="M788" s="52"/>
      <c r="N788" s="52"/>
      <c r="O788" s="52"/>
    </row>
    <row r="789">
      <c r="M789" s="52"/>
      <c r="N789" s="52"/>
      <c r="O789" s="52"/>
    </row>
    <row r="790">
      <c r="M790" s="52"/>
      <c r="N790" s="52"/>
      <c r="O790" s="52"/>
    </row>
    <row r="791">
      <c r="M791" s="52"/>
      <c r="N791" s="52"/>
      <c r="O791" s="52"/>
    </row>
    <row r="792">
      <c r="M792" s="52"/>
      <c r="N792" s="52"/>
      <c r="O792" s="52"/>
    </row>
    <row r="793">
      <c r="M793" s="52"/>
      <c r="N793" s="52"/>
      <c r="O793" s="52"/>
    </row>
    <row r="794">
      <c r="M794" s="52"/>
      <c r="N794" s="52"/>
      <c r="O794" s="52"/>
    </row>
    <row r="795">
      <c r="M795" s="52"/>
      <c r="N795" s="52"/>
      <c r="O795" s="52"/>
    </row>
    <row r="796">
      <c r="M796" s="52"/>
      <c r="N796" s="52"/>
      <c r="O796" s="52"/>
    </row>
    <row r="797">
      <c r="M797" s="52"/>
      <c r="N797" s="52"/>
      <c r="O797" s="52"/>
    </row>
    <row r="798">
      <c r="M798" s="52"/>
      <c r="N798" s="52"/>
      <c r="O798" s="52"/>
    </row>
    <row r="799">
      <c r="M799" s="52"/>
      <c r="N799" s="52"/>
      <c r="O799" s="52"/>
    </row>
    <row r="800">
      <c r="M800" s="52"/>
      <c r="N800" s="52"/>
      <c r="O800" s="52"/>
    </row>
    <row r="801">
      <c r="M801" s="52"/>
      <c r="N801" s="52"/>
      <c r="O801" s="52"/>
    </row>
    <row r="802">
      <c r="M802" s="52"/>
      <c r="N802" s="52"/>
      <c r="O802" s="52"/>
    </row>
    <row r="803">
      <c r="M803" s="52"/>
      <c r="N803" s="52"/>
      <c r="O803" s="52"/>
    </row>
    <row r="804">
      <c r="M804" s="52"/>
      <c r="N804" s="52"/>
      <c r="O804" s="52"/>
    </row>
    <row r="805">
      <c r="M805" s="52"/>
      <c r="N805" s="52"/>
      <c r="O805" s="52"/>
    </row>
    <row r="806">
      <c r="M806" s="52"/>
      <c r="N806" s="52"/>
      <c r="O806" s="52"/>
    </row>
    <row r="807">
      <c r="M807" s="52"/>
      <c r="N807" s="52"/>
      <c r="O807" s="52"/>
    </row>
    <row r="808">
      <c r="M808" s="52"/>
      <c r="N808" s="52"/>
      <c r="O808" s="52"/>
    </row>
    <row r="809">
      <c r="M809" s="52"/>
      <c r="N809" s="52"/>
      <c r="O809" s="52"/>
    </row>
    <row r="810">
      <c r="M810" s="52"/>
      <c r="N810" s="52"/>
      <c r="O810" s="52"/>
    </row>
    <row r="811">
      <c r="M811" s="52"/>
      <c r="N811" s="52"/>
      <c r="O811" s="52"/>
    </row>
    <row r="812">
      <c r="M812" s="52"/>
      <c r="N812" s="52"/>
      <c r="O812" s="52"/>
    </row>
    <row r="813">
      <c r="M813" s="52"/>
      <c r="N813" s="52"/>
      <c r="O813" s="52"/>
    </row>
    <row r="814">
      <c r="M814" s="52"/>
      <c r="N814" s="52"/>
      <c r="O814" s="52"/>
    </row>
    <row r="815">
      <c r="M815" s="52"/>
      <c r="N815" s="52"/>
      <c r="O815" s="52"/>
    </row>
    <row r="816">
      <c r="M816" s="52"/>
      <c r="N816" s="52"/>
      <c r="O816" s="52"/>
    </row>
    <row r="817">
      <c r="M817" s="52"/>
      <c r="N817" s="52"/>
      <c r="O817" s="52"/>
    </row>
    <row r="818">
      <c r="M818" s="52"/>
      <c r="N818" s="52"/>
      <c r="O818" s="52"/>
    </row>
    <row r="819">
      <c r="M819" s="52"/>
      <c r="N819" s="52"/>
      <c r="O819" s="52"/>
    </row>
    <row r="820">
      <c r="M820" s="52"/>
      <c r="N820" s="52"/>
      <c r="O820" s="52"/>
    </row>
    <row r="821">
      <c r="M821" s="52"/>
      <c r="N821" s="52"/>
      <c r="O821" s="52"/>
    </row>
    <row r="822">
      <c r="M822" s="52"/>
      <c r="N822" s="52"/>
      <c r="O822" s="52"/>
    </row>
    <row r="823">
      <c r="M823" s="52"/>
      <c r="N823" s="52"/>
      <c r="O823" s="52"/>
    </row>
    <row r="824">
      <c r="M824" s="52"/>
      <c r="N824" s="52"/>
      <c r="O824" s="52"/>
    </row>
    <row r="825">
      <c r="M825" s="52"/>
      <c r="N825" s="52"/>
      <c r="O825" s="52"/>
    </row>
    <row r="826">
      <c r="M826" s="52"/>
      <c r="N826" s="52"/>
      <c r="O826" s="52"/>
    </row>
    <row r="827">
      <c r="M827" s="52"/>
      <c r="N827" s="52"/>
      <c r="O827" s="52"/>
    </row>
    <row r="828">
      <c r="M828" s="52"/>
      <c r="N828" s="52"/>
      <c r="O828" s="52"/>
    </row>
    <row r="829">
      <c r="M829" s="52"/>
      <c r="N829" s="52"/>
      <c r="O829" s="52"/>
    </row>
    <row r="830">
      <c r="M830" s="52"/>
      <c r="N830" s="52"/>
      <c r="O830" s="52"/>
    </row>
    <row r="831">
      <c r="M831" s="52"/>
      <c r="N831" s="52"/>
      <c r="O831" s="52"/>
    </row>
    <row r="832">
      <c r="M832" s="52"/>
      <c r="N832" s="52"/>
      <c r="O832" s="52"/>
    </row>
    <row r="833">
      <c r="M833" s="52"/>
      <c r="N833" s="52"/>
      <c r="O833" s="52"/>
    </row>
    <row r="834">
      <c r="M834" s="52"/>
      <c r="N834" s="52"/>
      <c r="O834" s="52"/>
    </row>
    <row r="835">
      <c r="M835" s="52"/>
      <c r="N835" s="52"/>
      <c r="O835" s="52"/>
    </row>
    <row r="836">
      <c r="M836" s="52"/>
      <c r="N836" s="52"/>
      <c r="O836" s="52"/>
    </row>
    <row r="837">
      <c r="M837" s="52"/>
      <c r="N837" s="52"/>
      <c r="O837" s="52"/>
    </row>
    <row r="838">
      <c r="M838" s="52"/>
      <c r="N838" s="52"/>
      <c r="O838" s="52"/>
    </row>
    <row r="839">
      <c r="M839" s="52"/>
      <c r="N839" s="52"/>
      <c r="O839" s="52"/>
    </row>
    <row r="840">
      <c r="M840" s="52"/>
      <c r="N840" s="52"/>
      <c r="O840" s="52"/>
    </row>
    <row r="841">
      <c r="M841" s="52"/>
      <c r="N841" s="52"/>
      <c r="O841" s="52"/>
    </row>
    <row r="842">
      <c r="M842" s="52"/>
      <c r="N842" s="52"/>
      <c r="O842" s="52"/>
    </row>
    <row r="843">
      <c r="M843" s="52"/>
      <c r="N843" s="52"/>
      <c r="O843" s="52"/>
    </row>
    <row r="844">
      <c r="M844" s="52"/>
      <c r="N844" s="52"/>
      <c r="O844" s="52"/>
    </row>
    <row r="845">
      <c r="M845" s="52"/>
      <c r="N845" s="52"/>
      <c r="O845" s="52"/>
    </row>
    <row r="846">
      <c r="M846" s="52"/>
      <c r="N846" s="52"/>
      <c r="O846" s="52"/>
    </row>
    <row r="847">
      <c r="M847" s="52"/>
      <c r="N847" s="52"/>
      <c r="O847" s="52"/>
    </row>
    <row r="848">
      <c r="M848" s="52"/>
      <c r="N848" s="52"/>
      <c r="O848" s="52"/>
    </row>
    <row r="849">
      <c r="M849" s="52"/>
      <c r="N849" s="52"/>
      <c r="O849" s="52"/>
    </row>
    <row r="850">
      <c r="M850" s="52"/>
      <c r="N850" s="52"/>
      <c r="O850" s="52"/>
    </row>
    <row r="851">
      <c r="M851" s="52"/>
      <c r="N851" s="52"/>
      <c r="O851" s="52"/>
    </row>
    <row r="852">
      <c r="M852" s="52"/>
      <c r="N852" s="52"/>
      <c r="O852" s="52"/>
    </row>
    <row r="853">
      <c r="M853" s="52"/>
      <c r="N853" s="52"/>
      <c r="O853" s="52"/>
    </row>
    <row r="854">
      <c r="M854" s="52"/>
      <c r="N854" s="52"/>
      <c r="O854" s="52"/>
    </row>
    <row r="855">
      <c r="M855" s="52"/>
      <c r="N855" s="52"/>
      <c r="O855" s="52"/>
    </row>
    <row r="856">
      <c r="M856" s="52"/>
      <c r="N856" s="52"/>
      <c r="O856" s="52"/>
    </row>
    <row r="857">
      <c r="M857" s="52"/>
      <c r="N857" s="52"/>
      <c r="O857" s="52"/>
    </row>
    <row r="858">
      <c r="M858" s="52"/>
      <c r="N858" s="52"/>
      <c r="O858" s="52"/>
    </row>
    <row r="859">
      <c r="M859" s="52"/>
      <c r="N859" s="52"/>
      <c r="O859" s="52"/>
    </row>
    <row r="860">
      <c r="M860" s="52"/>
      <c r="N860" s="52"/>
      <c r="O860" s="52"/>
    </row>
    <row r="861">
      <c r="M861" s="52"/>
      <c r="N861" s="52"/>
      <c r="O861" s="52"/>
    </row>
    <row r="862">
      <c r="M862" s="52"/>
      <c r="N862" s="52"/>
      <c r="O862" s="52"/>
    </row>
    <row r="863">
      <c r="M863" s="52"/>
      <c r="N863" s="52"/>
      <c r="O863" s="52"/>
    </row>
    <row r="864">
      <c r="M864" s="52"/>
      <c r="N864" s="52"/>
      <c r="O864" s="52"/>
    </row>
    <row r="865">
      <c r="M865" s="52"/>
      <c r="N865" s="52"/>
      <c r="O865" s="52"/>
    </row>
    <row r="866">
      <c r="M866" s="52"/>
      <c r="N866" s="52"/>
      <c r="O866" s="52"/>
    </row>
    <row r="867">
      <c r="M867" s="52"/>
      <c r="N867" s="52"/>
      <c r="O867" s="52"/>
    </row>
    <row r="868">
      <c r="M868" s="52"/>
      <c r="N868" s="52"/>
      <c r="O868" s="52"/>
    </row>
    <row r="869">
      <c r="M869" s="52"/>
      <c r="N869" s="52"/>
      <c r="O869" s="52"/>
    </row>
    <row r="870">
      <c r="M870" s="52"/>
      <c r="N870" s="52"/>
      <c r="O870" s="52"/>
    </row>
    <row r="871">
      <c r="M871" s="52"/>
      <c r="N871" s="52"/>
      <c r="O871" s="52"/>
    </row>
    <row r="872">
      <c r="M872" s="52"/>
      <c r="N872" s="52"/>
      <c r="O872" s="52"/>
    </row>
    <row r="873">
      <c r="M873" s="52"/>
      <c r="N873" s="52"/>
      <c r="O873" s="52"/>
    </row>
    <row r="874">
      <c r="M874" s="52"/>
      <c r="N874" s="52"/>
      <c r="O874" s="52"/>
    </row>
    <row r="875">
      <c r="M875" s="52"/>
      <c r="N875" s="52"/>
      <c r="O875" s="52"/>
    </row>
    <row r="876">
      <c r="M876" s="52"/>
      <c r="N876" s="52"/>
      <c r="O876" s="52"/>
    </row>
    <row r="877">
      <c r="M877" s="52"/>
      <c r="N877" s="52"/>
      <c r="O877" s="52"/>
    </row>
    <row r="878">
      <c r="M878" s="52"/>
      <c r="N878" s="52"/>
      <c r="O878" s="52"/>
    </row>
    <row r="879">
      <c r="M879" s="52"/>
      <c r="N879" s="52"/>
      <c r="O879" s="52"/>
    </row>
    <row r="880">
      <c r="M880" s="52"/>
      <c r="N880" s="52"/>
      <c r="O880" s="52"/>
    </row>
    <row r="881">
      <c r="M881" s="52"/>
      <c r="N881" s="52"/>
      <c r="O881" s="52"/>
    </row>
    <row r="882">
      <c r="M882" s="52"/>
      <c r="N882" s="52"/>
      <c r="O882" s="52"/>
    </row>
    <row r="883">
      <c r="M883" s="52"/>
      <c r="N883" s="52"/>
      <c r="O883" s="52"/>
    </row>
    <row r="884">
      <c r="M884" s="52"/>
      <c r="N884" s="52"/>
      <c r="O884" s="52"/>
    </row>
    <row r="885">
      <c r="M885" s="52"/>
      <c r="N885" s="52"/>
      <c r="O885" s="52"/>
    </row>
    <row r="886">
      <c r="M886" s="52"/>
      <c r="N886" s="52"/>
      <c r="O886" s="52"/>
    </row>
    <row r="887">
      <c r="M887" s="52"/>
      <c r="N887" s="52"/>
      <c r="O887" s="52"/>
    </row>
    <row r="888">
      <c r="M888" s="52"/>
      <c r="N888" s="52"/>
      <c r="O888" s="52"/>
    </row>
    <row r="889">
      <c r="M889" s="52"/>
      <c r="N889" s="52"/>
      <c r="O889" s="52"/>
    </row>
    <row r="890">
      <c r="M890" s="52"/>
      <c r="N890" s="52"/>
      <c r="O890" s="52"/>
    </row>
    <row r="891">
      <c r="M891" s="52"/>
      <c r="N891" s="52"/>
      <c r="O891" s="52"/>
    </row>
    <row r="892">
      <c r="M892" s="52"/>
      <c r="N892" s="52"/>
      <c r="O892" s="52"/>
    </row>
    <row r="893">
      <c r="M893" s="52"/>
      <c r="N893" s="52"/>
      <c r="O893" s="52"/>
    </row>
    <row r="894">
      <c r="M894" s="52"/>
      <c r="N894" s="52"/>
      <c r="O894" s="52"/>
    </row>
    <row r="895">
      <c r="M895" s="52"/>
      <c r="N895" s="52"/>
      <c r="O895" s="52"/>
    </row>
    <row r="896">
      <c r="M896" s="52"/>
      <c r="N896" s="52"/>
      <c r="O896" s="52"/>
    </row>
    <row r="897">
      <c r="M897" s="52"/>
      <c r="N897" s="52"/>
      <c r="O897" s="52"/>
    </row>
    <row r="898">
      <c r="M898" s="52"/>
      <c r="N898" s="52"/>
      <c r="O898" s="52"/>
    </row>
    <row r="899">
      <c r="M899" s="52"/>
      <c r="N899" s="52"/>
      <c r="O899" s="52"/>
    </row>
    <row r="900">
      <c r="M900" s="52"/>
      <c r="N900" s="52"/>
      <c r="O900" s="52"/>
    </row>
    <row r="901">
      <c r="M901" s="52"/>
      <c r="N901" s="52"/>
      <c r="O901" s="52"/>
    </row>
    <row r="902">
      <c r="M902" s="52"/>
      <c r="N902" s="52"/>
      <c r="O902" s="52"/>
    </row>
    <row r="903">
      <c r="M903" s="52"/>
      <c r="N903" s="52"/>
      <c r="O903" s="52"/>
    </row>
    <row r="904">
      <c r="M904" s="52"/>
      <c r="N904" s="52"/>
      <c r="O904" s="52"/>
    </row>
    <row r="905">
      <c r="M905" s="52"/>
      <c r="N905" s="52"/>
      <c r="O905" s="52"/>
    </row>
    <row r="906">
      <c r="M906" s="52"/>
      <c r="N906" s="52"/>
      <c r="O906" s="52"/>
    </row>
    <row r="907">
      <c r="M907" s="52"/>
      <c r="N907" s="52"/>
      <c r="O907" s="52"/>
    </row>
    <row r="908">
      <c r="M908" s="52"/>
      <c r="N908" s="52"/>
      <c r="O908" s="52"/>
    </row>
    <row r="909">
      <c r="M909" s="52"/>
      <c r="N909" s="52"/>
      <c r="O909" s="52"/>
    </row>
    <row r="910">
      <c r="M910" s="52"/>
      <c r="N910" s="52"/>
      <c r="O910" s="52"/>
    </row>
    <row r="911">
      <c r="M911" s="52"/>
      <c r="N911" s="52"/>
      <c r="O911" s="52"/>
    </row>
    <row r="912">
      <c r="M912" s="52"/>
      <c r="N912" s="52"/>
      <c r="O912" s="52"/>
    </row>
    <row r="913">
      <c r="M913" s="52"/>
      <c r="N913" s="52"/>
      <c r="O913" s="52"/>
    </row>
    <row r="914">
      <c r="M914" s="52"/>
      <c r="N914" s="52"/>
      <c r="O914" s="52"/>
    </row>
    <row r="915">
      <c r="M915" s="52"/>
      <c r="N915" s="52"/>
      <c r="O915" s="52"/>
    </row>
    <row r="916">
      <c r="M916" s="52"/>
      <c r="N916" s="52"/>
      <c r="O916" s="52"/>
    </row>
    <row r="917">
      <c r="M917" s="52"/>
      <c r="N917" s="52"/>
      <c r="O917" s="52"/>
    </row>
    <row r="918">
      <c r="M918" s="52"/>
      <c r="N918" s="52"/>
      <c r="O918" s="52"/>
    </row>
    <row r="919">
      <c r="M919" s="52"/>
      <c r="N919" s="52"/>
      <c r="O919" s="52"/>
    </row>
    <row r="920">
      <c r="M920" s="52"/>
      <c r="N920" s="52"/>
      <c r="O920" s="52"/>
    </row>
    <row r="921">
      <c r="M921" s="52"/>
      <c r="N921" s="52"/>
      <c r="O921" s="52"/>
    </row>
    <row r="922">
      <c r="M922" s="52"/>
      <c r="N922" s="52"/>
      <c r="O922" s="52"/>
    </row>
    <row r="923">
      <c r="M923" s="52"/>
      <c r="N923" s="52"/>
      <c r="O923" s="52"/>
    </row>
    <row r="924">
      <c r="M924" s="52"/>
      <c r="N924" s="52"/>
      <c r="O924" s="52"/>
    </row>
    <row r="925">
      <c r="M925" s="52"/>
      <c r="N925" s="52"/>
      <c r="O925" s="52"/>
    </row>
    <row r="926">
      <c r="M926" s="52"/>
      <c r="N926" s="52"/>
      <c r="O926" s="52"/>
    </row>
    <row r="927">
      <c r="M927" s="52"/>
      <c r="N927" s="52"/>
      <c r="O927" s="52"/>
    </row>
    <row r="928">
      <c r="M928" s="52"/>
      <c r="N928" s="52"/>
      <c r="O928" s="52"/>
    </row>
    <row r="929">
      <c r="M929" s="52"/>
      <c r="N929" s="52"/>
      <c r="O929" s="52"/>
    </row>
    <row r="930">
      <c r="M930" s="52"/>
      <c r="N930" s="52"/>
      <c r="O930" s="52"/>
    </row>
    <row r="931">
      <c r="M931" s="52"/>
      <c r="N931" s="52"/>
      <c r="O931" s="52"/>
    </row>
    <row r="932">
      <c r="M932" s="52"/>
      <c r="N932" s="52"/>
      <c r="O932" s="52"/>
    </row>
    <row r="933">
      <c r="M933" s="52"/>
      <c r="N933" s="52"/>
      <c r="O933" s="52"/>
    </row>
    <row r="934">
      <c r="M934" s="52"/>
      <c r="N934" s="52"/>
      <c r="O934" s="52"/>
    </row>
    <row r="935">
      <c r="M935" s="52"/>
      <c r="N935" s="52"/>
      <c r="O935" s="52"/>
    </row>
    <row r="936">
      <c r="M936" s="52"/>
      <c r="N936" s="52"/>
      <c r="O936" s="52"/>
    </row>
    <row r="937">
      <c r="M937" s="52"/>
      <c r="N937" s="52"/>
      <c r="O937" s="52"/>
    </row>
    <row r="938">
      <c r="M938" s="52"/>
      <c r="N938" s="52"/>
      <c r="O938" s="52"/>
    </row>
    <row r="939">
      <c r="M939" s="52"/>
      <c r="N939" s="52"/>
      <c r="O939" s="52"/>
    </row>
    <row r="940">
      <c r="M940" s="52"/>
      <c r="N940" s="52"/>
      <c r="O940" s="52"/>
    </row>
    <row r="941">
      <c r="M941" s="52"/>
      <c r="N941" s="52"/>
      <c r="O941" s="52"/>
    </row>
    <row r="942">
      <c r="M942" s="52"/>
      <c r="N942" s="52"/>
      <c r="O942" s="52"/>
    </row>
    <row r="943">
      <c r="M943" s="52"/>
      <c r="N943" s="52"/>
      <c r="O943" s="52"/>
    </row>
    <row r="944">
      <c r="M944" s="52"/>
      <c r="N944" s="52"/>
      <c r="O944" s="52"/>
    </row>
    <row r="945">
      <c r="M945" s="52"/>
      <c r="N945" s="52"/>
      <c r="O945" s="52"/>
    </row>
    <row r="946">
      <c r="M946" s="52"/>
      <c r="N946" s="52"/>
      <c r="O946" s="52"/>
    </row>
    <row r="947">
      <c r="M947" s="52"/>
      <c r="N947" s="52"/>
      <c r="O947" s="52"/>
    </row>
    <row r="948">
      <c r="M948" s="52"/>
      <c r="N948" s="52"/>
      <c r="O948" s="52"/>
    </row>
    <row r="949">
      <c r="M949" s="52"/>
      <c r="N949" s="52"/>
      <c r="O949" s="52"/>
    </row>
    <row r="950">
      <c r="M950" s="52"/>
      <c r="N950" s="52"/>
      <c r="O950" s="52"/>
    </row>
    <row r="951">
      <c r="M951" s="52"/>
      <c r="N951" s="52"/>
      <c r="O951" s="52"/>
    </row>
    <row r="952">
      <c r="M952" s="52"/>
      <c r="N952" s="52"/>
      <c r="O952" s="52"/>
    </row>
    <row r="953">
      <c r="M953" s="52"/>
      <c r="N953" s="52"/>
      <c r="O953" s="52"/>
    </row>
    <row r="954">
      <c r="M954" s="52"/>
      <c r="N954" s="52"/>
      <c r="O954" s="52"/>
    </row>
    <row r="955">
      <c r="M955" s="52"/>
      <c r="N955" s="52"/>
      <c r="O955" s="52"/>
    </row>
    <row r="956">
      <c r="M956" s="52"/>
      <c r="N956" s="52"/>
      <c r="O956" s="52"/>
    </row>
    <row r="957">
      <c r="M957" s="52"/>
      <c r="N957" s="52"/>
      <c r="O957" s="52"/>
    </row>
    <row r="958">
      <c r="M958" s="52"/>
      <c r="N958" s="52"/>
      <c r="O958" s="52"/>
    </row>
    <row r="959">
      <c r="M959" s="52"/>
      <c r="N959" s="52"/>
      <c r="O959" s="52"/>
    </row>
    <row r="960">
      <c r="M960" s="52"/>
      <c r="N960" s="52"/>
      <c r="O960" s="52"/>
    </row>
    <row r="961">
      <c r="M961" s="52"/>
      <c r="N961" s="52"/>
      <c r="O961" s="52"/>
    </row>
    <row r="962">
      <c r="M962" s="52"/>
      <c r="N962" s="52"/>
      <c r="O962" s="52"/>
    </row>
    <row r="963">
      <c r="M963" s="52"/>
      <c r="N963" s="52"/>
      <c r="O963" s="52"/>
    </row>
    <row r="964">
      <c r="M964" s="52"/>
      <c r="N964" s="52"/>
      <c r="O964" s="52"/>
    </row>
    <row r="965">
      <c r="M965" s="52"/>
      <c r="N965" s="52"/>
      <c r="O965" s="52"/>
    </row>
    <row r="966">
      <c r="M966" s="52"/>
      <c r="N966" s="52"/>
      <c r="O966" s="52"/>
    </row>
    <row r="967">
      <c r="M967" s="52"/>
      <c r="N967" s="52"/>
      <c r="O967" s="52"/>
    </row>
    <row r="968">
      <c r="M968" s="52"/>
      <c r="N968" s="52"/>
      <c r="O968" s="52"/>
    </row>
    <row r="969">
      <c r="M969" s="52"/>
      <c r="N969" s="52"/>
      <c r="O969" s="52"/>
    </row>
    <row r="970">
      <c r="M970" s="52"/>
      <c r="N970" s="52"/>
      <c r="O970" s="52"/>
    </row>
    <row r="971">
      <c r="M971" s="52"/>
      <c r="N971" s="52"/>
      <c r="O971" s="52"/>
    </row>
    <row r="972">
      <c r="M972" s="52"/>
      <c r="N972" s="52"/>
      <c r="O972" s="52"/>
    </row>
    <row r="973">
      <c r="M973" s="52"/>
      <c r="N973" s="52"/>
      <c r="O973" s="52"/>
    </row>
    <row r="974">
      <c r="M974" s="52"/>
      <c r="N974" s="52"/>
      <c r="O974" s="52"/>
    </row>
    <row r="975">
      <c r="M975" s="52"/>
      <c r="N975" s="52"/>
      <c r="O975" s="52"/>
    </row>
    <row r="976">
      <c r="M976" s="52"/>
      <c r="N976" s="52"/>
      <c r="O976" s="52"/>
    </row>
    <row r="977">
      <c r="M977" s="52"/>
      <c r="N977" s="52"/>
      <c r="O977" s="52"/>
    </row>
    <row r="978">
      <c r="M978" s="52"/>
      <c r="N978" s="52"/>
      <c r="O978" s="52"/>
    </row>
    <row r="979">
      <c r="M979" s="52"/>
      <c r="N979" s="52"/>
      <c r="O979" s="52"/>
    </row>
    <row r="980">
      <c r="M980" s="52"/>
      <c r="N980" s="52"/>
      <c r="O980" s="52"/>
    </row>
    <row r="981">
      <c r="M981" s="52"/>
      <c r="N981" s="52"/>
      <c r="O981" s="52"/>
    </row>
    <row r="982">
      <c r="M982" s="52"/>
      <c r="N982" s="52"/>
      <c r="O982" s="52"/>
    </row>
    <row r="983">
      <c r="M983" s="52"/>
      <c r="N983" s="52"/>
      <c r="O983" s="52"/>
    </row>
    <row r="984">
      <c r="M984" s="52"/>
      <c r="N984" s="52"/>
      <c r="O984" s="52"/>
    </row>
    <row r="985">
      <c r="M985" s="52"/>
      <c r="N985" s="52"/>
      <c r="O985" s="52"/>
    </row>
    <row r="986">
      <c r="M986" s="52"/>
      <c r="N986" s="52"/>
      <c r="O986" s="52"/>
    </row>
    <row r="987">
      <c r="M987" s="52"/>
      <c r="N987" s="52"/>
      <c r="O987" s="52"/>
    </row>
    <row r="988">
      <c r="M988" s="52"/>
      <c r="N988" s="52"/>
      <c r="O988" s="52"/>
    </row>
    <row r="989">
      <c r="M989" s="52"/>
      <c r="N989" s="52"/>
      <c r="O989" s="52"/>
    </row>
    <row r="990">
      <c r="M990" s="52"/>
      <c r="N990" s="52"/>
      <c r="O990" s="52"/>
    </row>
    <row r="991">
      <c r="M991" s="52"/>
      <c r="N991" s="52"/>
      <c r="O991" s="52"/>
    </row>
    <row r="992">
      <c r="M992" s="52"/>
      <c r="N992" s="52"/>
      <c r="O992" s="52"/>
    </row>
    <row r="993">
      <c r="M993" s="52"/>
      <c r="N993" s="52"/>
      <c r="O993" s="52"/>
    </row>
    <row r="994">
      <c r="M994" s="52"/>
      <c r="N994" s="52"/>
      <c r="O994" s="52"/>
    </row>
    <row r="995">
      <c r="M995" s="52"/>
      <c r="N995" s="52"/>
      <c r="O995" s="52"/>
    </row>
    <row r="996">
      <c r="M996" s="52"/>
      <c r="N996" s="52"/>
      <c r="O996" s="52"/>
    </row>
    <row r="997">
      <c r="M997" s="52"/>
      <c r="N997" s="52"/>
      <c r="O997" s="52"/>
    </row>
    <row r="998">
      <c r="M998" s="52"/>
      <c r="N998" s="52"/>
      <c r="O998" s="52"/>
    </row>
    <row r="999">
      <c r="M999" s="52"/>
      <c r="N999" s="52"/>
      <c r="O999" s="52"/>
    </row>
    <row r="1000">
      <c r="M1000" s="52"/>
      <c r="N1000" s="52"/>
      <c r="O1000" s="52"/>
    </row>
  </sheetData>
  <mergeCells count="7">
    <mergeCell ref="A1:A2"/>
    <mergeCell ref="B1:B2"/>
    <mergeCell ref="C1:G1"/>
    <mergeCell ref="H1:I1"/>
    <mergeCell ref="J1:J2"/>
    <mergeCell ref="K1:O1"/>
    <mergeCell ref="P1:U1"/>
  </mergeCells>
  <conditionalFormatting sqref="N3:N9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G3:G9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3:H9 K3:K9">
    <cfRule type="colorScale" priority="3">
      <colorScale>
        <cfvo type="formula" val="0"/>
        <cfvo type="max"/>
        <color rgb="FFFFFFFF"/>
        <color rgb="FF57BB8A"/>
      </colorScale>
    </cfRule>
  </conditionalFormatting>
  <conditionalFormatting sqref="I3:I9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J3:J9">
    <cfRule type="colorScale" priority="5">
      <colorScale>
        <cfvo type="formula" val="0"/>
        <cfvo type="max"/>
        <color rgb="FFFFFFFF"/>
        <color rgb="FF57BB8A"/>
      </colorScale>
    </cfRule>
  </conditionalFormatting>
  <conditionalFormatting sqref="K3:K9">
    <cfRule type="colorScale" priority="6">
      <colorScale>
        <cfvo type="formula" val="0"/>
        <cfvo type="max"/>
        <color rgb="FFFFFFFF"/>
        <color rgb="FF57BB8A"/>
      </colorScale>
    </cfRule>
  </conditionalFormatting>
  <conditionalFormatting sqref="L3:L9">
    <cfRule type="colorScale" priority="7">
      <colorScale>
        <cfvo type="formula" val="0"/>
        <cfvo type="max"/>
        <color rgb="FFFFFFFF"/>
        <color rgb="FFE67C73"/>
      </colorScale>
    </cfRule>
  </conditionalFormatting>
  <conditionalFormatting sqref="C3:C9">
    <cfRule type="colorScale" priority="8">
      <colorScale>
        <cfvo type="formula" val="0"/>
        <cfvo type="max"/>
        <color rgb="FFFFFFFF"/>
        <color rgb="FFFFD666"/>
      </colorScale>
    </cfRule>
  </conditionalFormatting>
  <conditionalFormatting sqref="D3:D9">
    <cfRule type="colorScale" priority="9">
      <colorScale>
        <cfvo type="formula" val="0"/>
        <cfvo type="max"/>
        <color rgb="FFFFFFFF"/>
        <color rgb="FF57BB8A"/>
      </colorScale>
    </cfRule>
  </conditionalFormatting>
  <conditionalFormatting sqref="E3:E9">
    <cfRule type="colorScale" priority="10">
      <colorScale>
        <cfvo type="formula" val="0"/>
        <cfvo type="max"/>
        <color rgb="FFFFFFFF"/>
        <color rgb="FFE67C73"/>
      </colorScale>
    </cfRule>
  </conditionalFormatting>
  <conditionalFormatting sqref="F3:F9">
    <cfRule type="colorScale" priority="11">
      <colorScale>
        <cfvo type="formula" val="0"/>
        <cfvo type="max"/>
        <color rgb="FFFFFFFF"/>
        <color rgb="FF57BB8A"/>
      </colorScale>
    </cfRule>
  </conditionalFormatting>
  <conditionalFormatting sqref="M3:M9">
    <cfRule type="colorScale" priority="12">
      <colorScale>
        <cfvo type="formula" val="0"/>
        <cfvo type="max"/>
        <color rgb="FFFFFFFF"/>
        <color rgb="FFFFD666"/>
      </colorScale>
    </cfRule>
  </conditionalFormatting>
  <conditionalFormatting sqref="O3:O9">
    <cfRule type="colorScale" priority="13">
      <colorScale>
        <cfvo type="formula" val="0"/>
        <cfvo type="formula" val="1"/>
        <color rgb="FFFFFFFF"/>
        <color rgb="FF57BB8A"/>
      </colorScale>
    </cfRule>
  </conditionalFormatting>
  <conditionalFormatting sqref="P3:P9">
    <cfRule type="colorScale" priority="14">
      <colorScale>
        <cfvo type="formula" val="0"/>
        <cfvo type="max"/>
        <color rgb="FFFFFFFF"/>
        <color rgb="FFFFD666"/>
      </colorScale>
    </cfRule>
  </conditionalFormatting>
  <conditionalFormatting sqref="U3:U9">
    <cfRule type="colorScale" priority="15">
      <colorScale>
        <cfvo type="formula" val="0"/>
        <cfvo type="formula" val="2"/>
        <cfvo type="formula" val="3"/>
        <color rgb="FFE67C73"/>
        <color rgb="FFFFFFFF"/>
        <color rgb="FF57BB8A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6" max="6" width="11.88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1" t="s">
        <v>4</v>
      </c>
      <c r="K1" s="6" t="s">
        <v>5</v>
      </c>
      <c r="L1" s="4"/>
      <c r="M1" s="4"/>
      <c r="N1" s="4"/>
      <c r="O1" s="5"/>
      <c r="P1" s="30" t="s">
        <v>6</v>
      </c>
      <c r="Q1" s="4"/>
      <c r="R1" s="4"/>
      <c r="S1" s="4"/>
      <c r="T1" s="4"/>
      <c r="U1" s="5"/>
      <c r="Z1" s="54" t="s">
        <v>86</v>
      </c>
    </row>
    <row r="2">
      <c r="A2" s="9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2" t="s">
        <v>13</v>
      </c>
      <c r="I2" s="12" t="s">
        <v>14</v>
      </c>
      <c r="J2" s="9"/>
      <c r="K2" s="10" t="s">
        <v>15</v>
      </c>
      <c r="L2" s="12" t="s">
        <v>10</v>
      </c>
      <c r="M2" s="10" t="s">
        <v>16</v>
      </c>
      <c r="N2" s="10" t="s">
        <v>17</v>
      </c>
      <c r="O2" s="10" t="s">
        <v>18</v>
      </c>
      <c r="P2" s="15" t="s">
        <v>8</v>
      </c>
      <c r="Q2" s="15">
        <v>0.0</v>
      </c>
      <c r="R2" s="15">
        <v>1.0</v>
      </c>
      <c r="S2" s="15">
        <v>2.0</v>
      </c>
      <c r="T2" s="15">
        <v>3.0</v>
      </c>
      <c r="U2" s="15" t="s">
        <v>19</v>
      </c>
      <c r="Z2" s="54" t="s">
        <v>87</v>
      </c>
    </row>
    <row r="3">
      <c r="A3" s="18" t="s">
        <v>21</v>
      </c>
      <c r="B3" s="18" t="s">
        <v>83</v>
      </c>
      <c r="C3" s="31">
        <f>IFERROR(__xludf.DUMMYFUNCTION("SUM(MAP(FILTER(Z1:Z100, Z1:Z100 &lt;&gt; """"), LAMBDA(sheet, IFERROR(VALUE(INDIRECT(""'"" &amp; sheet &amp; ""'!C3"")), 0))))"),9.0)</f>
        <v>9</v>
      </c>
      <c r="D3" s="32">
        <f>IFERROR(__xludf.DUMMYFUNCTION("SUM(MAP(FILTER(Z1:Z100, Z1:Z100 &lt;&gt; """"), LAMBDA(sheet, IFERROR(VALUE(INDIRECT(""'"" &amp; sheet &amp; ""'!d3"")), 0))))"),5.0)</f>
        <v>5</v>
      </c>
      <c r="E3" s="38">
        <f>IFERROR(__xludf.DUMMYFUNCTION("SUM(MAP(FILTER(Z1:Z100, Z1:Z100 &lt;&gt; """"), LAMBDA(sheet, IFERROR(VALUE(INDIRECT(""'"" &amp; sheet &amp; ""'!e3"")), 0))))"),2.0)</f>
        <v>2</v>
      </c>
      <c r="F3" s="34">
        <f>IFERROR(__xludf.DUMMYFUNCTION("SUM(MAP(FILTER(Z1:Z100, Z1:Z100 &lt;&gt; """"), LAMBDA(sheet, IFERROR(VALUE(INDIRECT(""'"" &amp; sheet &amp; ""'!f3"")), 0))))"),0.0)</f>
        <v>0</v>
      </c>
      <c r="G3" s="35">
        <f t="shared" ref="G3:G9" si="1">IFS(C3=0, "N/A", C3&lt;&gt;0,(D3-E3)/C3 )</f>
        <v>0.3333333333</v>
      </c>
      <c r="H3" s="10">
        <f>IFERROR(__xludf.DUMMYFUNCTION("SUM(MAP(FILTER(Z1:Z100, Z1:Z100 &lt;&gt; """"), LAMBDA(sheet, IFERROR(VALUE(INDIRECT(""'"" &amp; sheet &amp; ""'!h3"")), 0))))"),0.0)</f>
        <v>0</v>
      </c>
      <c r="I3" s="10">
        <f>IFERROR(__xludf.DUMMYFUNCTION("SUM(MAP(FILTER(Z1:Z100, Z1:Z100 &lt;&gt; """"), LAMBDA(sheet, IFERROR(VALUE(INDIRECT(""'"" &amp; sheet &amp; ""'!i73"")), 0))))"),0.0)</f>
        <v>0</v>
      </c>
      <c r="J3" s="10">
        <f>IFERROR(__xludf.DUMMYFUNCTION("SUM(MAP(FILTER(Z1:Z100, Z1:Z100 &lt;&gt; """"), LAMBDA(sheet, IFERROR(VALUE(INDIRECT(""'"" &amp; sheet &amp; ""'!j3"")), 0))))"),6.0)</f>
        <v>6</v>
      </c>
      <c r="K3" s="10">
        <f>IFERROR(__xludf.DUMMYFUNCTION("SUM(MAP(FILTER(Z1:Z100, Z1:Z100 &lt;&gt; """"), LAMBDA(sheet, IFERROR(VALUE(INDIRECT(""'"" &amp; sheet &amp; ""'!k3"")), 0))))"),0.0)</f>
        <v>0</v>
      </c>
      <c r="L3" s="10">
        <f>IFERROR(__xludf.DUMMYFUNCTION("SUM(MAP(FILTER(Z1:Z100, Z1:Z100 &lt;&gt; """"), LAMBDA(sheet, IFERROR(VALUE(INDIRECT(""'"" &amp; sheet &amp; ""'!l3"")), 0))))"),0.0)</f>
        <v>0</v>
      </c>
      <c r="M3" s="10">
        <f>IFERROR(__xludf.DUMMYFUNCTION("SUM(MAP(FILTER(Z1:Z100, Z1:Z100 &lt;&gt; """"), LAMBDA(sheet, IFERROR(VALUE(INDIRECT(""'"" &amp; sheet &amp; ""'!m3"")), 0))))"),6.0)</f>
        <v>6</v>
      </c>
      <c r="N3" s="35">
        <f t="shared" ref="N3:N9" si="2">ifs(M3=0,"N/A",M3&lt;&gt;0,(M3-L3) /M3)</f>
        <v>1</v>
      </c>
      <c r="O3" s="35">
        <f t="shared" ref="O3:O9" si="3">IFS(M3=0, "N/A", M3&lt;&gt;0, K3/M3)</f>
        <v>0</v>
      </c>
      <c r="P3" s="10">
        <f>IFERROR(__xludf.DUMMYFUNCTION("SUM(MAP(FILTER(Z1:Z100, Z1:Z100 &lt;&gt; """"), LAMBDA(sheet, IFERROR(VALUE(INDIRECT(""'"" &amp; sheet &amp; ""'!p3"")), 0))))"),7.0)</f>
        <v>7</v>
      </c>
      <c r="Q3" s="10">
        <f>IFERROR(__xludf.DUMMYFUNCTION("SUM(MAP(FILTER(Z1:Z100, Z1:Z100 &lt;&gt; """"), LAMBDA(sheet, IFERROR(VALUE(INDIRECT(""'"" &amp; sheet &amp; ""'!q3"")), 0))))"),1.0)</f>
        <v>1</v>
      </c>
      <c r="R3" s="10">
        <f>IFERROR(__xludf.DUMMYFUNCTION("SUM(MAP(FILTER(Z1:Z100, Z1:Z100 &lt;&gt; """"), LAMBDA(sheet, IFERROR(VALUE(INDIRECT(""'"" &amp; sheet &amp; ""'!r3"")), 0))))"),1.0)</f>
        <v>1</v>
      </c>
      <c r="S3" s="10">
        <f>IFERROR(__xludf.DUMMYFUNCTION("SUM(MAP(FILTER(Z1:Z100, Z1:Z100 &lt;&gt; """"), LAMBDA(sheet, IFERROR(VALUE(INDIRECT(""'"" &amp; sheet &amp; ""'!s3"")), 0))))"),2.0)</f>
        <v>2</v>
      </c>
      <c r="T3" s="10">
        <f>IFERROR(__xludf.DUMMYFUNCTION("SUM(MAP(FILTER(Z1:Z100, Z1:Z100 &lt;&gt; """"), LAMBDA(sheet, IFERROR(VALUE(INDIRECT(""'"" &amp; sheet &amp; ""'!t3"")), 0))))"),3.0)</f>
        <v>3</v>
      </c>
      <c r="U3" s="10">
        <f t="shared" ref="U3:U9" si="4">ifs(P3=0, "N/A",P3&lt;&gt;0,(R3 + S3*2 +T3*3)/P3)</f>
        <v>2</v>
      </c>
      <c r="Z3" s="54" t="s">
        <v>88</v>
      </c>
    </row>
    <row r="4">
      <c r="A4" s="21" t="s">
        <v>24</v>
      </c>
      <c r="B4" s="21" t="s">
        <v>84</v>
      </c>
      <c r="C4" s="36">
        <f>IFERROR(__xludf.DUMMYFUNCTION("SUM(MAP(FILTER(Z1:Z100, Z1:Z100 &lt;&gt; """"), LAMBDA(sheet, IFERROR(VALUE(INDIRECT(""'"" &amp; sheet &amp; ""'!C4"")), 0))))"),1.0)</f>
        <v>1</v>
      </c>
      <c r="D4" s="37">
        <f>IFERROR(__xludf.DUMMYFUNCTION("SUM(MAP(FILTER(Z1:Z100, Z1:Z100 &lt;&gt; """"), LAMBDA(sheet, IFERROR(VALUE(INDIRECT(""'"" &amp; sheet &amp; ""'!d4"")), 0))))"),2.0)</f>
        <v>2</v>
      </c>
      <c r="E4" s="38">
        <f>IFERROR(__xludf.DUMMYFUNCTION("SUM(MAP(FILTER(Z1:Z100, Z1:Z100 &lt;&gt; """"), LAMBDA(sheet, IFERROR(VALUE(INDIRECT(""'"" &amp; sheet &amp; ""'!e4"")), 0))))"),0.0)</f>
        <v>0</v>
      </c>
      <c r="F4" s="39">
        <f>IFERROR(__xludf.DUMMYFUNCTION("SUM(MAP(FILTER(Z1:Z100, Z1:Z100 &lt;&gt; """"), LAMBDA(sheet, IFERROR(VALUE(INDIRECT(""'"" &amp; sheet &amp; ""'!f4"")), 0))))"),20.0)</f>
        <v>20</v>
      </c>
      <c r="G4" s="35">
        <f t="shared" si="1"/>
        <v>2</v>
      </c>
      <c r="H4" s="10">
        <f>IFERROR(__xludf.DUMMYFUNCTION("SUM(MAP(FILTER(Z1:Z100, Z1:Z100 &lt;&gt; """"), LAMBDA(sheet, IFERROR(VALUE(INDIRECT(""'"" &amp; sheet &amp; ""'!h4"")), 0))))"),0.0)</f>
        <v>0</v>
      </c>
      <c r="I4" s="10">
        <f>IFERROR(__xludf.DUMMYFUNCTION("SUM(MAP(FILTER(Z1:Z100, Z1:Z100 &lt;&gt; """"), LAMBDA(sheet, IFERROR(VALUE(INDIRECT(""'"" &amp; sheet &amp; ""'!i4"")), 0))))"),3.0)</f>
        <v>3</v>
      </c>
      <c r="J4" s="10">
        <f>IFERROR(__xludf.DUMMYFUNCTION("SUM(MAP(FILTER(Z1:Z100, Z1:Z100 &lt;&gt; """"), LAMBDA(sheet, IFERROR(VALUE(INDIRECT(""'"" &amp; sheet &amp; ""'!j4"")), 0))))"),10.0)</f>
        <v>10</v>
      </c>
      <c r="K4" s="10">
        <f>IFERROR(__xludf.DUMMYFUNCTION("SUM(MAP(FILTER(Z1:Z100, Z1:Z100 &lt;&gt; """"), LAMBDA(sheet, IFERROR(VALUE(INDIRECT(""'"" &amp; sheet &amp; ""'!k4"")), 0))))"),0.0)</f>
        <v>0</v>
      </c>
      <c r="L4" s="10">
        <f>IFERROR(__xludf.DUMMYFUNCTION("SUM(MAP(FILTER(Z1:Z100, Z1:Z100 &lt;&gt; """"), LAMBDA(sheet, IFERROR(VALUE(INDIRECT(""'"" &amp; sheet &amp; ""'!l4"")), 0))))"),0.0)</f>
        <v>0</v>
      </c>
      <c r="M4" s="10">
        <f>IFERROR(__xludf.DUMMYFUNCTION("SUM(MAP(FILTER(Z1:Z100, Z1:Z100 &lt;&gt; """"), LAMBDA(sheet, IFERROR(VALUE(INDIRECT(""'"" &amp; sheet &amp; ""'!m4"")), 0))))"),7.0)</f>
        <v>7</v>
      </c>
      <c r="N4" s="35">
        <f t="shared" si="2"/>
        <v>1</v>
      </c>
      <c r="O4" s="35">
        <f t="shared" si="3"/>
        <v>0</v>
      </c>
      <c r="P4" s="10">
        <f>IFERROR(__xludf.DUMMYFUNCTION("SUM(MAP(FILTER(Z1:Z100, Z1:Z100 &lt;&gt; """"), LAMBDA(sheet, IFERROR(VALUE(INDIRECT(""'"" &amp; sheet &amp; ""'!p4"")), 0))))"),0.0)</f>
        <v>0</v>
      </c>
      <c r="Q4" s="10">
        <f>IFERROR(__xludf.DUMMYFUNCTION("SUM(MAP(FILTER(Z1:Z100, Z1:Z100 &lt;&gt; """"), LAMBDA(sheet, IFERROR(VALUE(INDIRECT(""'"" &amp; sheet &amp; ""'!q4"")), 0))))"),0.0)</f>
        <v>0</v>
      </c>
      <c r="R4" s="10">
        <f>IFERROR(__xludf.DUMMYFUNCTION("SUM(MAP(FILTER(Z1:Z100, Z1:Z100 &lt;&gt; """"), LAMBDA(sheet, IFERROR(VALUE(INDIRECT(""'"" &amp; sheet &amp; ""'!r4"")), 0))))"),0.0)</f>
        <v>0</v>
      </c>
      <c r="S4" s="10">
        <f>IFERROR(__xludf.DUMMYFUNCTION("SUM(MAP(FILTER(Z1:Z100, Z1:Z100 &lt;&gt; """"), LAMBDA(sheet, IFERROR(VALUE(INDIRECT(""'"" &amp; sheet &amp; ""'!s4"")), 0))))"),0.0)</f>
        <v>0</v>
      </c>
      <c r="T4" s="10">
        <f>IFERROR(__xludf.DUMMYFUNCTION("SUM(MAP(FILTER(Z1:Z100, Z1:Z100 &lt;&gt; """"), LAMBDA(sheet, IFERROR(VALUE(INDIRECT(""'"" &amp; sheet &amp; ""'!t4"")), 0))))"),0.0)</f>
        <v>0</v>
      </c>
      <c r="U4" s="10" t="str">
        <f t="shared" si="4"/>
        <v>N/A</v>
      </c>
      <c r="Z4" s="54"/>
    </row>
    <row r="5">
      <c r="A5" s="22" t="s">
        <v>26</v>
      </c>
      <c r="B5" s="22" t="s">
        <v>42</v>
      </c>
      <c r="C5" s="40">
        <f>IFERROR(__xludf.DUMMYFUNCTION("SUM(MAP(FILTER(Z1:Z100, Z1:Z100 &lt;&gt; """"), LAMBDA(sheet, IFERROR(VALUE(INDIRECT(""'"" &amp; sheet &amp; ""'!C5"")), 0))))"),9.0)</f>
        <v>9</v>
      </c>
      <c r="D5" s="41">
        <f>IFERROR(__xludf.DUMMYFUNCTION("SUM(MAP(FILTER(Z1:Z101, Z1:Z101 &lt;&gt; """"), LAMBDA(sheet, IFERROR(VALUE(INDIRECT(""'"" &amp; sheet &amp; ""'!d5"")), 0))))"),1.0)</f>
        <v>1</v>
      </c>
      <c r="E5" s="39">
        <f>IFERROR(__xludf.DUMMYFUNCTION("SUM(MAP(FILTER(Z1:Z100, Z1:Z100 &lt;&gt; """"), LAMBDA(sheet, IFERROR(VALUE(INDIRECT(""'"" &amp; sheet &amp; ""'!e5"")), 0))))"),1.0)</f>
        <v>1</v>
      </c>
      <c r="F5" s="42">
        <f>IFERROR(__xludf.DUMMYFUNCTION("SUM(MAP(FILTER(Z1:Z100, Z1:Z100 &lt;&gt; """"), LAMBDA(sheet, IFERROR(VALUE(INDIRECT(""'"" &amp; sheet &amp; ""'!f5"")), 0))))"),0.0)</f>
        <v>0</v>
      </c>
      <c r="G5" s="35">
        <f t="shared" si="1"/>
        <v>0</v>
      </c>
      <c r="H5" s="10">
        <f>IFERROR(__xludf.DUMMYFUNCTION("SUM(MAP(FILTER(Z1:Z100, Z1:Z100 &lt;&gt; """"), LAMBDA(sheet, IFERROR(VALUE(INDIRECT(""'"" &amp; sheet &amp; ""'!h5"")), 0))))"),0.0)</f>
        <v>0</v>
      </c>
      <c r="I5" s="10">
        <f>IFERROR(__xludf.DUMMYFUNCTION("SUM(MAP(FILTER(Z1:Z100, Z1:Z100 &lt;&gt; """"), LAMBDA(sheet, IFERROR(VALUE(INDIRECT(""'"" &amp; sheet &amp; ""'!i5"")), 0))))"),6.0)</f>
        <v>6</v>
      </c>
      <c r="J5" s="10">
        <f>IFERROR(__xludf.DUMMYFUNCTION("SUM(MAP(FILTER(Z1:Z100, Z1:Z100 &lt;&gt; """"), LAMBDA(sheet, IFERROR(VALUE(INDIRECT(""'"" &amp; sheet &amp; ""'!j5"")), 0))))"),8.0)</f>
        <v>8</v>
      </c>
      <c r="K5" s="10">
        <f>IFERROR(__xludf.DUMMYFUNCTION("SUM(MAP(FILTER(Z1:Z100, Z1:Z100 &lt;&gt; """"), LAMBDA(sheet, IFERROR(VALUE(INDIRECT(""'"" &amp; sheet &amp; ""'!k5"")), 0))))"),1.0)</f>
        <v>1</v>
      </c>
      <c r="L5" s="10">
        <f>IFERROR(__xludf.DUMMYFUNCTION("SUM(MAP(FILTER(Z1:Z100, Z1:Z100 &lt;&gt; """"), LAMBDA(sheet, IFERROR(VALUE(INDIRECT(""'"" &amp; sheet &amp; ""'!l5"")), 0))))"),1.0)</f>
        <v>1</v>
      </c>
      <c r="M5" s="10">
        <f>IFERROR(__xludf.DUMMYFUNCTION("SUM(MAP(FILTER(Z1:Z100, Z1:Z100 &lt;&gt; """"), LAMBDA(sheet, IFERROR(VALUE(INDIRECT(""'"" &amp; sheet &amp; ""'!m5"")), 0))))"),10.0)</f>
        <v>10</v>
      </c>
      <c r="N5" s="35">
        <f t="shared" si="2"/>
        <v>0.9</v>
      </c>
      <c r="O5" s="35">
        <f t="shared" si="3"/>
        <v>0.1</v>
      </c>
      <c r="P5" s="10">
        <f>IFERROR(__xludf.DUMMYFUNCTION("SUM(MAP(FILTER(Z1:Z100, Z1:Z100 &lt;&gt; """"), LAMBDA(sheet, IFERROR(VALUE(INDIRECT(""'"" &amp; sheet &amp; ""'!p5"")), 0))))"),6.0)</f>
        <v>6</v>
      </c>
      <c r="Q5" s="10">
        <f>IFERROR(__xludf.DUMMYFUNCTION("SUM(MAP(FILTER(Z1:Z100, Z1:Z100 &lt;&gt; """"), LAMBDA(sheet, IFERROR(VALUE(INDIRECT(""'"" &amp; sheet &amp; ""'!q5"")), 0))))"),2.0)</f>
        <v>2</v>
      </c>
      <c r="R5" s="10">
        <f>IFERROR(__xludf.DUMMYFUNCTION("SUM(MAP(FILTER(Z1:Z100, Z1:Z100 &lt;&gt; """"), LAMBDA(sheet, IFERROR(VALUE(INDIRECT(""'"" &amp; sheet &amp; ""'!r5"")), 0))))"),3.0)</f>
        <v>3</v>
      </c>
      <c r="S5" s="10">
        <f>IFERROR(__xludf.DUMMYFUNCTION("SUM(MAP(FILTER(Z1:Z100, Z1:Z100 &lt;&gt; """"), LAMBDA(sheet, IFERROR(VALUE(INDIRECT(""'"" &amp; sheet &amp; ""'!s5"")), 0))))"),1.0)</f>
        <v>1</v>
      </c>
      <c r="T5" s="10">
        <f>IFERROR(__xludf.DUMMYFUNCTION("SUM(MAP(FILTER(Z1:Z100, Z1:Z100 &lt;&gt; """"), LAMBDA(sheet, IFERROR(VALUE(INDIRECT(""'"" &amp; sheet &amp; ""'!t5"")), 0))))"),0.0)</f>
        <v>0</v>
      </c>
      <c r="U5" s="10">
        <f t="shared" si="4"/>
        <v>0.8333333333</v>
      </c>
    </row>
    <row r="6">
      <c r="A6" s="23" t="s">
        <v>28</v>
      </c>
      <c r="B6" s="23" t="s">
        <v>43</v>
      </c>
      <c r="C6" s="43">
        <f>IFERROR(__xludf.DUMMYFUNCTION("SUM(MAP(FILTER(Z1:Z100, Z1:Z100 &lt;&gt; """"), LAMBDA(sheet, IFERROR(VALUE(INDIRECT(""'"" &amp; sheet &amp; ""'!C6"")), 0))))"),17.0)</f>
        <v>17</v>
      </c>
      <c r="D6" s="42">
        <f>IFERROR(__xludf.DUMMYFUNCTION("SUM(MAP(FILTER(Z1:Z102, Z1:Z102 &lt;&gt; """"), LAMBDA(sheet, IFERROR(VALUE(INDIRECT(""'"" &amp; sheet &amp; ""'!d6"")), 0))))"),7.0)</f>
        <v>7</v>
      </c>
      <c r="E6" s="44">
        <f>IFERROR(__xludf.DUMMYFUNCTION("SUM(MAP(FILTER(Z1:Z100, Z1:Z100 &lt;&gt; """"), LAMBDA(sheet, IFERROR(VALUE(INDIRECT(""'"" &amp; sheet &amp; ""'!e6"")), 0))))"),4.0)</f>
        <v>4</v>
      </c>
      <c r="F6" s="45">
        <f>IFERROR(__xludf.DUMMYFUNCTION("SUM(MAP(FILTER(Z1:Z100, Z1:Z100 &lt;&gt; """"), LAMBDA(sheet, IFERROR(VALUE(INDIRECT(""'"" &amp; sheet &amp; ""'!f6"")), 0))))"),0.0)</f>
        <v>0</v>
      </c>
      <c r="G6" s="35">
        <f t="shared" si="1"/>
        <v>0.1764705882</v>
      </c>
      <c r="H6" s="10">
        <f>IFERROR(__xludf.DUMMYFUNCTION("SUM(MAP(FILTER(Z1:Z100, Z1:Z100 &lt;&gt; """"), LAMBDA(sheet, IFERROR(VALUE(INDIRECT(""'"" &amp; sheet &amp; ""'!h6"")), 0))))"),0.0)</f>
        <v>0</v>
      </c>
      <c r="I6" s="10">
        <f>IFERROR(__xludf.DUMMYFUNCTION("SUM(MAP(FILTER(Z1:Z100, Z1:Z100 &lt;&gt; """"), LAMBDA(sheet, IFERROR(VALUE(INDIRECT(""'"" &amp; sheet &amp; ""'!i6"")), 0))))"),0.0)</f>
        <v>0</v>
      </c>
      <c r="J6" s="10">
        <f>IFERROR(__xludf.DUMMYFUNCTION("SUM(MAP(FILTER(Z1:Z100, Z1:Z100 &lt;&gt; """"), LAMBDA(sheet, IFERROR(VALUE(INDIRECT(""'"" &amp; sheet &amp; ""'!j6"")), 0))))"),7.0)</f>
        <v>7</v>
      </c>
      <c r="K6" s="10">
        <f>IFERROR(__xludf.DUMMYFUNCTION("SUM(MAP(FILTER(Z1:Z100, Z1:Z100 &lt;&gt; """"), LAMBDA(sheet, IFERROR(VALUE(INDIRECT(""'"" &amp; sheet &amp; ""'!k6"")), 0))))"),0.0)</f>
        <v>0</v>
      </c>
      <c r="L6" s="10">
        <f>IFERROR(__xludf.DUMMYFUNCTION("SUM(MAP(FILTER(Z1:Z100, Z1:Z100 &lt;&gt; """"), LAMBDA(sheet, IFERROR(VALUE(INDIRECT(""'"" &amp; sheet &amp; ""'!l6"")), 0))))"),3.0)</f>
        <v>3</v>
      </c>
      <c r="M6" s="10">
        <f>IFERROR(__xludf.DUMMYFUNCTION("SUM(MAP(FILTER(Z1:Z100, Z1:Z100 &lt;&gt; """"), LAMBDA(sheet, IFERROR(VALUE(INDIRECT(""'"" &amp; sheet &amp; ""'!m6"")), 0))))"),6.0)</f>
        <v>6</v>
      </c>
      <c r="N6" s="35">
        <f t="shared" si="2"/>
        <v>0.5</v>
      </c>
      <c r="O6" s="35">
        <f t="shared" si="3"/>
        <v>0</v>
      </c>
      <c r="P6" s="10">
        <f>IFERROR(__xludf.DUMMYFUNCTION("SUM(MAP(FILTER(Z1:Z100, Z1:Z100 &lt;&gt; """"), LAMBDA(sheet, IFERROR(VALUE(INDIRECT(""'"" &amp; sheet &amp; ""'!p6"")), 0))))"),14.0)</f>
        <v>14</v>
      </c>
      <c r="Q6" s="10">
        <f>IFERROR(__xludf.DUMMYFUNCTION("SUM(MAP(FILTER(Z1:Z100, Z1:Z100 &lt;&gt; """"), LAMBDA(sheet, IFERROR(VALUE(INDIRECT(""'"" &amp; sheet &amp; ""'!q6"")), 0))))"),3.0)</f>
        <v>3</v>
      </c>
      <c r="R6" s="10">
        <f>IFERROR(__xludf.DUMMYFUNCTION("SUM(MAP(FILTER(Z1:Z100, Z1:Z100 &lt;&gt; """"), LAMBDA(sheet, IFERROR(VALUE(INDIRECT(""'"" &amp; sheet &amp; ""'!r6"")), 0))))"),1.0)</f>
        <v>1</v>
      </c>
      <c r="S6" s="10">
        <f>IFERROR(__xludf.DUMMYFUNCTION("SUM(MAP(FILTER(Z1:Z100, Z1:Z100 &lt;&gt; """"), LAMBDA(sheet, IFERROR(VALUE(INDIRECT(""'"" &amp; sheet &amp; ""'!s6"")), 0))))"),2.0)</f>
        <v>2</v>
      </c>
      <c r="T6" s="10">
        <f>IFERROR(__xludf.DUMMYFUNCTION("SUM(MAP(FILTER(Z1:Z100, Z1:Z100 &lt;&gt; """"), LAMBDA(sheet, IFERROR(VALUE(INDIRECT(""'"" &amp; sheet &amp; ""'!t6"")), 0))))"),8.0)</f>
        <v>8</v>
      </c>
      <c r="U6" s="10">
        <f t="shared" si="4"/>
        <v>2.071428571</v>
      </c>
    </row>
    <row r="7">
      <c r="A7" s="24" t="s">
        <v>30</v>
      </c>
      <c r="B7" s="24" t="s">
        <v>89</v>
      </c>
      <c r="C7" s="46">
        <f>IFERROR(__xludf.DUMMYFUNCTION("SUM(MAP(FILTER(Z1:Z100, Z1:Z100 &lt;&gt; """"), LAMBDA(sheet, IFERROR(VALUE(INDIRECT(""'"" &amp; sheet &amp; ""'!C7"")), 0))))"),15.0)</f>
        <v>15</v>
      </c>
      <c r="D7" s="47">
        <f>IFERROR(__xludf.DUMMYFUNCTION("SUM(MAP(FILTER(Z1:Z104, Z1:Z104 &lt;&gt; """"), LAMBDA(sheet, IFERROR(VALUE(INDIRECT(""'"" &amp; sheet &amp; ""'!d7"")), 0))))"),5.0)</f>
        <v>5</v>
      </c>
      <c r="E7" s="44">
        <f>IFERROR(__xludf.DUMMYFUNCTION("SUM(MAP(FILTER(Z1:Z100, Z1:Z100 &lt;&gt; """"), LAMBDA(sheet, IFERROR(VALUE(INDIRECT(""'"" &amp; sheet &amp; ""'!e7"")), 0))))"),2.0)</f>
        <v>2</v>
      </c>
      <c r="F7" s="39">
        <f>IFERROR(__xludf.DUMMYFUNCTION("SUM(MAP(FILTER(Z1:Z100, Z1:Z100 &lt;&gt; """"), LAMBDA(sheet, IFERROR(VALUE(INDIRECT(""'"" &amp; sheet &amp; ""'!f7""), 0)))))"),0.0)</f>
        <v>0</v>
      </c>
      <c r="G7" s="35">
        <f t="shared" si="1"/>
        <v>0.2</v>
      </c>
      <c r="H7" s="10">
        <f>IFERROR(__xludf.DUMMYFUNCTION("SUM(MAP(FILTER(Z1:Z100, Z1:Z100 &lt;&gt; """"), LAMBDA(sheet, IFERROR(VALUE(INDIRECT(""'"" &amp; sheet &amp; ""'!h7"")), 0))))"),0.0)</f>
        <v>0</v>
      </c>
      <c r="I7" s="10">
        <f>IFERROR(__xludf.DUMMYFUNCTION("SUM(MAP(FILTER(Z1:Z100, Z1:Z100 &lt;&gt; """"), LAMBDA(sheet, IFERROR(VALUE(INDIRECT(""'"" &amp; sheet &amp; ""'!i7"")), 0))))"),0.0)</f>
        <v>0</v>
      </c>
      <c r="J7" s="10">
        <f>IFERROR(__xludf.DUMMYFUNCTION("SUM(MAP(FILTER(Z1:Z100, Z1:Z100 &lt;&gt; """"), LAMBDA(sheet, IFERROR(VALUE(INDIRECT(""'"" &amp; sheet &amp; ""'!j7"")), 0))))"),6.0)</f>
        <v>6</v>
      </c>
      <c r="K7" s="10">
        <f>IFERROR(__xludf.DUMMYFUNCTION("SUM(MAP(FILTER(Z1:Z100, Z1:Z100 &lt;&gt; """"), LAMBDA(sheet, IFERROR(VALUE(INDIRECT(""'"" &amp; sheet &amp; ""'!k7"")), 0))))"),3.0)</f>
        <v>3</v>
      </c>
      <c r="L7" s="10">
        <f>IFERROR(__xludf.DUMMYFUNCTION("SUM(MAP(FILTER(Z1:Z100, Z1:Z100 &lt;&gt; """"), LAMBDA(sheet, IFERROR(VALUE(INDIRECT(""'"" &amp; sheet &amp; ""'!l7"")), 0))))"),3.0)</f>
        <v>3</v>
      </c>
      <c r="M7" s="10">
        <f>IFERROR(__xludf.DUMMYFUNCTION("SUM(MAP(FILTER(Z1:Z100, Z1:Z100 &lt;&gt; """"), LAMBDA(sheet, IFERROR(VALUE(INDIRECT(""'"" &amp; sheet &amp; ""'!m7"")), 0))))"),9.0)</f>
        <v>9</v>
      </c>
      <c r="N7" s="35">
        <f t="shared" si="2"/>
        <v>0.6666666667</v>
      </c>
      <c r="O7" s="35">
        <f t="shared" si="3"/>
        <v>0.3333333333</v>
      </c>
      <c r="P7" s="10">
        <f>IFERROR(__xludf.DUMMYFUNCTION("SUM(MAP(FILTER(Z1:Z100, Z1:Z100 &lt;&gt; """"), LAMBDA(sheet, IFERROR(VALUE(INDIRECT(""'"" &amp; sheet &amp; ""'!p7"")), 0))))"),6.0)</f>
        <v>6</v>
      </c>
      <c r="Q7" s="10">
        <f>IFERROR(__xludf.DUMMYFUNCTION("SUM(MAP(FILTER(Z1:Z100, Z1:Z100 &lt;&gt; """"), LAMBDA(sheet, IFERROR(VALUE(INDIRECT(""'"" &amp; sheet &amp; ""'!q7"")), 0))))"),1.0)</f>
        <v>1</v>
      </c>
      <c r="R7" s="10">
        <f>IFERROR(__xludf.DUMMYFUNCTION("SUM(MAP(FILTER(Z1:Z100, Z1:Z100 &lt;&gt; """"), LAMBDA(sheet, IFERROR(VALUE(INDIRECT(""'"" &amp; sheet &amp; ""'!r7"")), 0))))"),3.0)</f>
        <v>3</v>
      </c>
      <c r="S7" s="10">
        <f>IFERROR(__xludf.DUMMYFUNCTION("SUM(MAP(FILTER(Z1:Z100, Z1:Z100 &lt;&gt; """"), LAMBDA(sheet, IFERROR(VALUE(INDIRECT(""'"" &amp; sheet &amp; ""'!s7"")), 0))))"),0.0)</f>
        <v>0</v>
      </c>
      <c r="T7" s="10">
        <f>IFERROR(__xludf.DUMMYFUNCTION("SUM(MAP(FILTER(Z1:Z100, Z1:Z100 &lt;&gt; """"), LAMBDA(sheet, IFERROR(VALUE(INDIRECT(""'"" &amp; sheet &amp; ""'!t7"")), 0))))"),2.0)</f>
        <v>2</v>
      </c>
      <c r="U7" s="10">
        <f t="shared" si="4"/>
        <v>1.5</v>
      </c>
    </row>
    <row r="8">
      <c r="A8" s="25" t="s">
        <v>32</v>
      </c>
      <c r="B8" s="25" t="s">
        <v>45</v>
      </c>
      <c r="C8" s="48">
        <f>IFERROR(__xludf.DUMMYFUNCTION("SUM(MAP(FILTER(Z1:Z100, Z1:Z100 &lt;&gt; """"), LAMBDA(sheet, IFERROR(VALUE(INDIRECT(""'"" &amp; sheet &amp; ""'!C8"")), 0))))"),16.0)</f>
        <v>16</v>
      </c>
      <c r="D8" s="47">
        <f>IFERROR(__xludf.DUMMYFUNCTION("SUM(MAP(FILTER(Z1:Z104, Z1:Z104 &lt;&gt; """"), LAMBDA(sheet, IFERROR(VALUE(INDIRECT(""'"" &amp; sheet &amp; ""'!d8"")), 0))))"),3.0)</f>
        <v>3</v>
      </c>
      <c r="E8" s="49">
        <f>IFERROR(__xludf.DUMMYFUNCTION("SUM(MAP(FILTER(Z1:Z100, Z1:Z100 &lt;&gt; """"), LAMBDA(sheet, IFERROR(VALUE(INDIRECT(""'"" &amp; sheet &amp; ""'!e8"")), 0))))"),3.0)</f>
        <v>3</v>
      </c>
      <c r="F8" s="39">
        <f>IFERROR(__xludf.DUMMYFUNCTION("SUM(MAP(FILTER(Z1:Z100, Z1:Z100 &lt;&gt; """"), LAMBDA(sheet, IFERROR(VALUE(INDIRECT(""'"" &amp; sheet &amp; ""'!f8"")), 0))))"),1.0)</f>
        <v>1</v>
      </c>
      <c r="G8" s="35">
        <f t="shared" si="1"/>
        <v>0</v>
      </c>
      <c r="H8" s="10">
        <f>IFERROR(__xludf.DUMMYFUNCTION("SUM(MAP(FILTER(Z1:Z100, Z1:Z100 &lt;&gt; """"), LAMBDA(sheet, IFERROR(VALUE(INDIRECT(""'"" &amp; sheet &amp; ""'!h8"")), 0))))"),0.0)</f>
        <v>0</v>
      </c>
      <c r="I8" s="10">
        <f>IFERROR(__xludf.DUMMYFUNCTION("SUM(MAP(FILTER(Z1:Z100, Z1:Z100 &lt;&gt; """"), LAMBDA(sheet, IFERROR(VALUE(INDIRECT(""'"" &amp; sheet &amp; ""'!i8"")), 0))))"),3.0)</f>
        <v>3</v>
      </c>
      <c r="J8" s="10">
        <f>IFERROR(__xludf.DUMMYFUNCTION("SUM(MAP(FILTER(Z1:Z100, Z1:Z100 &lt;&gt; """"), LAMBDA(sheet, IFERROR(VALUE(INDIRECT(""'"" &amp; sheet &amp; ""'!j8"")), 0))))"),5.0)</f>
        <v>5</v>
      </c>
      <c r="K8" s="10">
        <f>IFERROR(__xludf.DUMMYFUNCTION("SUM(MAP(FILTER(Z1:Z100, Z1:Z100 &lt;&gt; """"), LAMBDA(sheet, IFERROR(VALUE(INDIRECT(""'"" &amp; sheet &amp; ""'!k8"")), 0))))"),1.0)</f>
        <v>1</v>
      </c>
      <c r="L8" s="10">
        <f>IFERROR(__xludf.DUMMYFUNCTION("SUM(MAP(FILTER(Z1:Z100, Z1:Z100 &lt;&gt; """"), LAMBDA(sheet, IFERROR(VALUE(INDIRECT(""'"" &amp; sheet &amp; ""'!l8"")), 0))))"),1.0)</f>
        <v>1</v>
      </c>
      <c r="M8" s="10">
        <f>IFERROR(__xludf.DUMMYFUNCTION("SUM(MAP(FILTER(Z1:Z100, Z1:Z100 &lt;&gt; """"), LAMBDA(sheet, IFERROR(VALUE(INDIRECT(""'"" &amp; sheet &amp; ""'!m8"")), 0))))"),11.0)</f>
        <v>11</v>
      </c>
      <c r="N8" s="35">
        <f t="shared" si="2"/>
        <v>0.9090909091</v>
      </c>
      <c r="O8" s="35">
        <f t="shared" si="3"/>
        <v>0.09090909091</v>
      </c>
      <c r="P8" s="10">
        <f>IFERROR(__xludf.DUMMYFUNCTION("SUM(MAP(FILTER(Z1:Z100, Z1:Z100 &lt;&gt; """"), LAMBDA(sheet, IFERROR(VALUE(INDIRECT(""'"" &amp; sheet &amp; ""'!p8"")), 0))))"),6.0)</f>
        <v>6</v>
      </c>
      <c r="Q8" s="10">
        <f>IFERROR(__xludf.DUMMYFUNCTION("SUM(MAP(FILTER(Z1:Z100, Z1:Z100 &lt;&gt; """"), LAMBDA(sheet, IFERROR(VALUE(INDIRECT(""'"" &amp; sheet &amp; ""'!q8"")), 0))))"),2.0)</f>
        <v>2</v>
      </c>
      <c r="R8" s="10">
        <f>IFERROR(__xludf.DUMMYFUNCTION("SUM(MAP(FILTER(Z1:Z100, Z1:Z100 &lt;&gt; """"), LAMBDA(sheet, IFERROR(VALUE(INDIRECT(""'"" &amp; sheet &amp; ""'!r8"")), 0))))"),1.0)</f>
        <v>1</v>
      </c>
      <c r="S8" s="10">
        <f>IFERROR(__xludf.DUMMYFUNCTION("SUM(MAP(FILTER(Z1:Z100, Z1:Z100 &lt;&gt; """"), LAMBDA(sheet, IFERROR(VALUE(INDIRECT(""'"" &amp; sheet &amp; ""'!s8"")), 0))))"),1.0)</f>
        <v>1</v>
      </c>
      <c r="T8" s="10">
        <f>IFERROR(__xludf.DUMMYFUNCTION("SUM(MAP(FILTER(Z1:Z100, Z1:Z100 &lt;&gt; """"), LAMBDA(sheet, IFERROR(VALUE(INDIRECT(""'"" &amp; sheet &amp; ""'!t8"")), 0))))"),2.0)</f>
        <v>2</v>
      </c>
      <c r="U8" s="10">
        <f t="shared" si="4"/>
        <v>1.5</v>
      </c>
    </row>
    <row r="9">
      <c r="A9" s="26" t="s">
        <v>34</v>
      </c>
      <c r="B9" s="26" t="s">
        <v>90</v>
      </c>
      <c r="C9" s="50">
        <f>IFERROR(__xludf.DUMMYFUNCTION("SUM(MAP(FILTER(Z1:Z100, Z1:Z100 &lt;&gt; """"), LAMBDA(sheet, IFERROR(VALUE(INDIRECT(""'"" &amp; sheet &amp; ""'!C9"")), 0))))"),20.0)</f>
        <v>20</v>
      </c>
      <c r="D9" s="51">
        <f>IFERROR(__xludf.DUMMYFUNCTION("SUM(MAP(FILTER(Z1:Z104, Z1:Z104 &lt;&gt; """"), LAMBDA(sheet, IFERROR(VALUE(INDIRECT(""'"" &amp; sheet &amp; ""'!d9"")), 0))))"),3.0)</f>
        <v>3</v>
      </c>
      <c r="E9" s="38">
        <f>IFERROR(__xludf.DUMMYFUNCTION("SUM(MAP(FILTER(Z1:Z100, Z1:Z100 &lt;&gt; """"), LAMBDA(sheet, IFERROR(VALUE(INDIRECT(""'"" &amp; sheet &amp; ""'!e9"")), 0))))"),3.0)</f>
        <v>3</v>
      </c>
      <c r="F9" s="45">
        <f>IFERROR(__xludf.DUMMYFUNCTION("SUM(MAP(FILTER(Z1:Z100, Z1:Z100 &lt;&gt; """"), LAMBDA(sheet, IFERROR(VALUE(INDIRECT(""'"" &amp; sheet &amp; ""'!f9"")), 0))))"),0.0)</f>
        <v>0</v>
      </c>
      <c r="G9" s="35">
        <f t="shared" si="1"/>
        <v>0</v>
      </c>
      <c r="H9" s="10">
        <f>IFERROR(__xludf.DUMMYFUNCTION("SUM(MAP(FILTER(Z1:Z100, Z1:Z100 &lt;&gt; """"), LAMBDA(sheet, IFERROR(VALUE(INDIRECT(""'"" &amp; sheet &amp; ""'!h9"")), 0))))"),0.0)</f>
        <v>0</v>
      </c>
      <c r="I9" s="10">
        <f>IFERROR(__xludf.DUMMYFUNCTION("SUM(MAP(FILTER(Z1:Z100, Z1:Z100 &lt;&gt; """"), LAMBDA(sheet, IFERROR(VALUE(INDIRECT(""'"" &amp; sheet &amp; ""'!i9"")), 0))))"),0.0)</f>
        <v>0</v>
      </c>
      <c r="J9" s="10">
        <f>IFERROR(__xludf.DUMMYFUNCTION("SUM(MAP(FILTER(Z1:Z100, Z1:Z100 &lt;&gt; """"), LAMBDA(sheet, IFERROR(VALUE(INDIRECT(""'"" &amp; sheet &amp; ""'!j9"")), 0))))"),8.0)</f>
        <v>8</v>
      </c>
      <c r="K9" s="10">
        <f>IFERROR(__xludf.DUMMYFUNCTION("SUM(MAP(FILTER(Z1:Z100, Z1:Z100 &lt;&gt; """"), LAMBDA(sheet, IFERROR(VALUE(INDIRECT(""'"" &amp; sheet &amp; ""'!k9"")), 0))))"),0.0)</f>
        <v>0</v>
      </c>
      <c r="L9" s="10">
        <f>IFERROR(__xludf.DUMMYFUNCTION("SUM(MAP(FILTER(Z1:Z100, Z1:Z100 &lt;&gt; """"), LAMBDA(sheet, IFERROR(VALUE(INDIRECT(""'"" &amp; sheet &amp; ""'!l9"")), 0))))"),2.0)</f>
        <v>2</v>
      </c>
      <c r="M9" s="10">
        <f>IFERROR(__xludf.DUMMYFUNCTION("SUM(MAP(FILTER(Z1:Z100, Z1:Z100 &lt;&gt; """"), LAMBDA(sheet, IFERROR(VALUE(INDIRECT(""'"" &amp; sheet &amp; ""'!m9"")), 0))))"),10.0)</f>
        <v>10</v>
      </c>
      <c r="N9" s="35">
        <f t="shared" si="2"/>
        <v>0.8</v>
      </c>
      <c r="O9" s="35">
        <f t="shared" si="3"/>
        <v>0</v>
      </c>
      <c r="P9" s="10">
        <f>IFERROR(__xludf.DUMMYFUNCTION("SUM(MAP(FILTER(Z1:Z100, Z1:Z100 &lt;&gt; """"), LAMBDA(sheet, IFERROR(VALUE(INDIRECT(""'"" &amp; sheet &amp; ""'!p9"")), 0))))"),6.0)</f>
        <v>6</v>
      </c>
      <c r="Q9" s="10">
        <f>IFERROR(__xludf.DUMMYFUNCTION("SUM(MAP(FILTER(Z1:Z100, Z1:Z100 &lt;&gt; """"), LAMBDA(sheet, IFERROR(VALUE(INDIRECT(""'"" &amp; sheet &amp; ""'!q9"")), 0))))"),3.0)</f>
        <v>3</v>
      </c>
      <c r="R9" s="10">
        <f>IFERROR(__xludf.DUMMYFUNCTION("SUM(MAP(FILTER(Z1:Z100, Z1:Z100 &lt;&gt; """"), LAMBDA(sheet, IFERROR(VALUE(INDIRECT(""'"" &amp; sheet &amp; ""'!r9"")), 0))))"),2.0)</f>
        <v>2</v>
      </c>
      <c r="S9" s="10">
        <f>IFERROR(__xludf.DUMMYFUNCTION("SUM(MAP(FILTER(Z1:Z100, Z1:Z100 &lt;&gt; """"), LAMBDA(sheet, IFERROR(VALUE(INDIRECT(""'"" &amp; sheet &amp; ""'!s9"")), 0))))"),1.0)</f>
        <v>1</v>
      </c>
      <c r="T9" s="10">
        <f>IFERROR(__xludf.DUMMYFUNCTION("SUM(MAP(FILTER(Z1:Z100, Z1:Z100 &lt;&gt; """"), LAMBDA(sheet, IFERROR(VALUE(INDIRECT(""'"" &amp; sheet &amp; ""'!t9"")), 0))))"),0.0)</f>
        <v>0</v>
      </c>
      <c r="U9" s="10">
        <f t="shared" si="4"/>
        <v>0.6666666667</v>
      </c>
    </row>
    <row r="10">
      <c r="C10" s="27"/>
      <c r="D10" s="27"/>
      <c r="E10" s="27"/>
      <c r="M10" s="52"/>
      <c r="N10" s="52"/>
      <c r="O10" s="52"/>
    </row>
    <row r="11">
      <c r="M11" s="52"/>
      <c r="N11" s="52"/>
      <c r="O11" s="52"/>
    </row>
    <row r="12">
      <c r="M12" s="52"/>
      <c r="N12" s="52"/>
      <c r="O12" s="52"/>
    </row>
    <row r="13">
      <c r="M13" s="52"/>
      <c r="N13" s="52"/>
      <c r="O13" s="52"/>
    </row>
    <row r="14">
      <c r="M14" s="52"/>
      <c r="N14" s="52"/>
      <c r="O14" s="52"/>
    </row>
    <row r="15">
      <c r="M15" s="52"/>
      <c r="N15" s="52"/>
      <c r="O15" s="52"/>
    </row>
    <row r="16">
      <c r="M16" s="52"/>
      <c r="N16" s="52"/>
      <c r="O16" s="52"/>
    </row>
    <row r="17">
      <c r="M17" s="52"/>
      <c r="N17" s="52"/>
      <c r="O17" s="52"/>
    </row>
    <row r="18">
      <c r="M18" s="52"/>
      <c r="N18" s="52"/>
      <c r="O18" s="52"/>
    </row>
    <row r="19">
      <c r="M19" s="52"/>
      <c r="N19" s="52"/>
      <c r="O19" s="52"/>
    </row>
    <row r="20">
      <c r="M20" s="52"/>
      <c r="N20" s="52"/>
      <c r="O20" s="52"/>
    </row>
    <row r="21">
      <c r="M21" s="52"/>
      <c r="N21" s="52"/>
      <c r="O21" s="52"/>
    </row>
    <row r="22">
      <c r="M22" s="52"/>
      <c r="N22" s="52"/>
      <c r="O22" s="52"/>
    </row>
    <row r="23">
      <c r="M23" s="52"/>
      <c r="N23" s="52"/>
      <c r="O23" s="52"/>
    </row>
    <row r="24">
      <c r="M24" s="52"/>
      <c r="N24" s="52"/>
      <c r="O24" s="52"/>
    </row>
    <row r="25">
      <c r="M25" s="52"/>
      <c r="N25" s="52"/>
      <c r="O25" s="52"/>
    </row>
    <row r="26">
      <c r="M26" s="52"/>
      <c r="N26" s="52"/>
      <c r="O26" s="52"/>
    </row>
    <row r="27">
      <c r="M27" s="52"/>
      <c r="N27" s="52"/>
      <c r="O27" s="52"/>
    </row>
    <row r="28">
      <c r="M28" s="52"/>
      <c r="N28" s="52"/>
      <c r="O28" s="52"/>
    </row>
    <row r="29">
      <c r="M29" s="52"/>
      <c r="N29" s="52"/>
      <c r="O29" s="52"/>
    </row>
    <row r="30">
      <c r="M30" s="52"/>
      <c r="N30" s="52"/>
      <c r="O30" s="52"/>
    </row>
    <row r="31">
      <c r="M31" s="52"/>
      <c r="N31" s="52"/>
      <c r="O31" s="52"/>
    </row>
    <row r="32">
      <c r="M32" s="52"/>
      <c r="N32" s="52"/>
      <c r="O32" s="52"/>
    </row>
    <row r="33">
      <c r="M33" s="52"/>
      <c r="N33" s="52"/>
      <c r="O33" s="52"/>
    </row>
    <row r="34">
      <c r="M34" s="52"/>
      <c r="N34" s="52"/>
      <c r="O34" s="52"/>
    </row>
    <row r="35">
      <c r="M35" s="52"/>
      <c r="N35" s="52"/>
      <c r="O35" s="52"/>
    </row>
    <row r="36">
      <c r="M36" s="52"/>
      <c r="N36" s="52"/>
      <c r="O36" s="52"/>
    </row>
    <row r="37">
      <c r="M37" s="52"/>
      <c r="N37" s="52"/>
      <c r="O37" s="52"/>
    </row>
    <row r="38">
      <c r="M38" s="52"/>
      <c r="N38" s="52"/>
      <c r="O38" s="52"/>
    </row>
    <row r="39">
      <c r="M39" s="52"/>
      <c r="N39" s="52"/>
      <c r="O39" s="52"/>
    </row>
    <row r="40">
      <c r="M40" s="52"/>
      <c r="N40" s="52"/>
      <c r="O40" s="52"/>
    </row>
    <row r="41">
      <c r="M41" s="52"/>
      <c r="N41" s="52"/>
      <c r="O41" s="52"/>
    </row>
    <row r="42">
      <c r="M42" s="52"/>
      <c r="N42" s="52"/>
      <c r="O42" s="52"/>
    </row>
    <row r="43">
      <c r="M43" s="52"/>
      <c r="N43" s="52"/>
      <c r="O43" s="52"/>
    </row>
    <row r="44">
      <c r="M44" s="52"/>
      <c r="N44" s="52"/>
      <c r="O44" s="52"/>
    </row>
    <row r="45">
      <c r="M45" s="52"/>
      <c r="N45" s="52"/>
      <c r="O45" s="52"/>
    </row>
    <row r="46">
      <c r="M46" s="52"/>
      <c r="N46" s="52"/>
      <c r="O46" s="52"/>
    </row>
    <row r="47">
      <c r="M47" s="52"/>
      <c r="N47" s="52"/>
      <c r="O47" s="52"/>
    </row>
    <row r="48">
      <c r="M48" s="52"/>
      <c r="N48" s="52"/>
      <c r="O48" s="52"/>
    </row>
    <row r="49">
      <c r="M49" s="52"/>
      <c r="N49" s="52"/>
      <c r="O49" s="52"/>
    </row>
    <row r="50">
      <c r="M50" s="52"/>
      <c r="N50" s="52"/>
      <c r="O50" s="52"/>
    </row>
    <row r="51">
      <c r="M51" s="52"/>
      <c r="N51" s="52"/>
      <c r="O51" s="52"/>
    </row>
    <row r="52">
      <c r="M52" s="52"/>
      <c r="N52" s="52"/>
      <c r="O52" s="52"/>
    </row>
    <row r="53">
      <c r="M53" s="52"/>
      <c r="N53" s="52"/>
      <c r="O53" s="52"/>
    </row>
    <row r="54">
      <c r="M54" s="52"/>
      <c r="N54" s="52"/>
      <c r="O54" s="52"/>
    </row>
    <row r="55">
      <c r="M55" s="52"/>
      <c r="N55" s="52"/>
      <c r="O55" s="52"/>
    </row>
    <row r="56">
      <c r="M56" s="52"/>
      <c r="N56" s="52"/>
      <c r="O56" s="52"/>
    </row>
    <row r="57">
      <c r="M57" s="52"/>
      <c r="N57" s="52"/>
      <c r="O57" s="52"/>
    </row>
    <row r="58">
      <c r="M58" s="52"/>
      <c r="N58" s="52"/>
      <c r="O58" s="52"/>
    </row>
    <row r="59">
      <c r="M59" s="52"/>
      <c r="N59" s="52"/>
      <c r="O59" s="52"/>
    </row>
    <row r="60">
      <c r="M60" s="52"/>
      <c r="N60" s="52"/>
      <c r="O60" s="52"/>
    </row>
    <row r="61">
      <c r="M61" s="52"/>
      <c r="N61" s="52"/>
      <c r="O61" s="52"/>
    </row>
    <row r="62">
      <c r="M62" s="52"/>
      <c r="N62" s="52"/>
      <c r="O62" s="52"/>
    </row>
    <row r="63">
      <c r="M63" s="52"/>
      <c r="N63" s="52"/>
      <c r="O63" s="52"/>
    </row>
    <row r="64">
      <c r="M64" s="52"/>
      <c r="N64" s="52"/>
      <c r="O64" s="52"/>
    </row>
    <row r="65">
      <c r="M65" s="52"/>
      <c r="N65" s="52"/>
      <c r="O65" s="52"/>
    </row>
    <row r="66">
      <c r="M66" s="52"/>
      <c r="N66" s="52"/>
      <c r="O66" s="52"/>
    </row>
    <row r="67">
      <c r="M67" s="52"/>
      <c r="N67" s="52"/>
      <c r="O67" s="52"/>
    </row>
    <row r="68">
      <c r="M68" s="52"/>
      <c r="N68" s="52"/>
      <c r="O68" s="52"/>
    </row>
    <row r="69">
      <c r="M69" s="52"/>
      <c r="N69" s="52"/>
      <c r="O69" s="52"/>
    </row>
    <row r="70">
      <c r="M70" s="52"/>
      <c r="N70" s="52"/>
      <c r="O70" s="52"/>
    </row>
    <row r="71">
      <c r="M71" s="52"/>
      <c r="N71" s="52"/>
      <c r="O71" s="52"/>
    </row>
    <row r="72">
      <c r="M72" s="52"/>
      <c r="N72" s="52"/>
      <c r="O72" s="52"/>
    </row>
    <row r="73">
      <c r="M73" s="52"/>
      <c r="N73" s="52"/>
      <c r="O73" s="52"/>
    </row>
    <row r="74">
      <c r="M74" s="52"/>
      <c r="N74" s="52"/>
      <c r="O74" s="52"/>
    </row>
    <row r="75">
      <c r="M75" s="52"/>
      <c r="N75" s="52"/>
      <c r="O75" s="52"/>
    </row>
    <row r="76">
      <c r="M76" s="52"/>
      <c r="N76" s="52"/>
      <c r="O76" s="52"/>
    </row>
    <row r="77">
      <c r="M77" s="52"/>
      <c r="N77" s="52"/>
      <c r="O77" s="52"/>
    </row>
    <row r="78">
      <c r="M78" s="52"/>
      <c r="N78" s="52"/>
      <c r="O78" s="52"/>
    </row>
    <row r="79">
      <c r="M79" s="52"/>
      <c r="N79" s="52"/>
      <c r="O79" s="52"/>
    </row>
    <row r="80">
      <c r="M80" s="52"/>
      <c r="N80" s="52"/>
      <c r="O80" s="52"/>
    </row>
    <row r="81">
      <c r="M81" s="52"/>
      <c r="N81" s="52"/>
      <c r="O81" s="52"/>
    </row>
    <row r="82">
      <c r="M82" s="52"/>
      <c r="N82" s="52"/>
      <c r="O82" s="52"/>
    </row>
    <row r="83">
      <c r="M83" s="52"/>
      <c r="N83" s="52"/>
      <c r="O83" s="52"/>
    </row>
    <row r="84">
      <c r="M84" s="52"/>
      <c r="N84" s="52"/>
      <c r="O84" s="52"/>
    </row>
    <row r="85">
      <c r="M85" s="52"/>
      <c r="N85" s="52"/>
      <c r="O85" s="52"/>
    </row>
    <row r="86">
      <c r="M86" s="52"/>
      <c r="N86" s="52"/>
      <c r="O86" s="52"/>
    </row>
    <row r="87">
      <c r="M87" s="52"/>
      <c r="N87" s="52"/>
      <c r="O87" s="52"/>
    </row>
    <row r="88">
      <c r="M88" s="52"/>
      <c r="N88" s="52"/>
      <c r="O88" s="52"/>
    </row>
    <row r="89">
      <c r="M89" s="52"/>
      <c r="N89" s="52"/>
      <c r="O89" s="52"/>
    </row>
    <row r="90">
      <c r="M90" s="52"/>
      <c r="N90" s="52"/>
      <c r="O90" s="52"/>
    </row>
    <row r="91">
      <c r="M91" s="52"/>
      <c r="N91" s="52"/>
      <c r="O91" s="52"/>
    </row>
    <row r="92">
      <c r="M92" s="52"/>
      <c r="N92" s="52"/>
      <c r="O92" s="52"/>
    </row>
    <row r="93">
      <c r="M93" s="52"/>
      <c r="N93" s="52"/>
      <c r="O93" s="52"/>
    </row>
    <row r="94">
      <c r="M94" s="52"/>
      <c r="N94" s="52"/>
      <c r="O94" s="52"/>
    </row>
    <row r="95">
      <c r="M95" s="52"/>
      <c r="N95" s="52"/>
      <c r="O95" s="52"/>
    </row>
    <row r="96">
      <c r="M96" s="52"/>
      <c r="N96" s="52"/>
      <c r="O96" s="52"/>
    </row>
    <row r="97">
      <c r="M97" s="52"/>
      <c r="N97" s="52"/>
      <c r="O97" s="52"/>
    </row>
    <row r="98">
      <c r="M98" s="52"/>
      <c r="N98" s="52"/>
      <c r="O98" s="52"/>
    </row>
    <row r="99">
      <c r="M99" s="52"/>
      <c r="N99" s="52"/>
      <c r="O99" s="52"/>
    </row>
    <row r="100">
      <c r="M100" s="52"/>
      <c r="N100" s="52"/>
      <c r="O100" s="52"/>
    </row>
    <row r="101">
      <c r="M101" s="52"/>
      <c r="N101" s="52"/>
      <c r="O101" s="52"/>
    </row>
    <row r="102">
      <c r="M102" s="52"/>
      <c r="N102" s="52"/>
      <c r="O102" s="52"/>
    </row>
    <row r="103">
      <c r="M103" s="52"/>
      <c r="N103" s="52"/>
      <c r="O103" s="52"/>
    </row>
    <row r="104">
      <c r="M104" s="52"/>
      <c r="N104" s="52"/>
      <c r="O104" s="52"/>
    </row>
    <row r="105">
      <c r="M105" s="52"/>
      <c r="N105" s="52"/>
      <c r="O105" s="52"/>
    </row>
    <row r="106">
      <c r="M106" s="52"/>
      <c r="N106" s="52"/>
      <c r="O106" s="52"/>
    </row>
    <row r="107">
      <c r="M107" s="52"/>
      <c r="N107" s="52"/>
      <c r="O107" s="52"/>
    </row>
    <row r="108">
      <c r="M108" s="52"/>
      <c r="N108" s="52"/>
      <c r="O108" s="52"/>
    </row>
    <row r="109">
      <c r="M109" s="52"/>
      <c r="N109" s="52"/>
      <c r="O109" s="52"/>
    </row>
    <row r="110">
      <c r="M110" s="52"/>
      <c r="N110" s="52"/>
      <c r="O110" s="52"/>
    </row>
    <row r="111">
      <c r="M111" s="52"/>
      <c r="N111" s="52"/>
      <c r="O111" s="52"/>
    </row>
    <row r="112">
      <c r="M112" s="52"/>
      <c r="N112" s="52"/>
      <c r="O112" s="52"/>
    </row>
    <row r="113">
      <c r="M113" s="52"/>
      <c r="N113" s="52"/>
      <c r="O113" s="52"/>
    </row>
    <row r="114">
      <c r="M114" s="52"/>
      <c r="N114" s="52"/>
      <c r="O114" s="52"/>
    </row>
    <row r="115">
      <c r="M115" s="52"/>
      <c r="N115" s="52"/>
      <c r="O115" s="52"/>
    </row>
    <row r="116">
      <c r="M116" s="52"/>
      <c r="N116" s="52"/>
      <c r="O116" s="52"/>
    </row>
    <row r="117">
      <c r="M117" s="52"/>
      <c r="N117" s="52"/>
      <c r="O117" s="52"/>
    </row>
    <row r="118">
      <c r="M118" s="52"/>
      <c r="N118" s="52"/>
      <c r="O118" s="52"/>
    </row>
    <row r="119">
      <c r="M119" s="52"/>
      <c r="N119" s="52"/>
      <c r="O119" s="52"/>
    </row>
    <row r="120">
      <c r="M120" s="52"/>
      <c r="N120" s="52"/>
      <c r="O120" s="52"/>
    </row>
    <row r="121">
      <c r="M121" s="52"/>
      <c r="N121" s="52"/>
      <c r="O121" s="52"/>
    </row>
    <row r="122">
      <c r="M122" s="52"/>
      <c r="N122" s="52"/>
      <c r="O122" s="52"/>
    </row>
    <row r="123">
      <c r="M123" s="52"/>
      <c r="N123" s="52"/>
      <c r="O123" s="52"/>
    </row>
    <row r="124">
      <c r="M124" s="52"/>
      <c r="N124" s="52"/>
      <c r="O124" s="52"/>
    </row>
    <row r="125">
      <c r="M125" s="52"/>
      <c r="N125" s="52"/>
      <c r="O125" s="52"/>
    </row>
    <row r="126">
      <c r="M126" s="52"/>
      <c r="N126" s="52"/>
      <c r="O126" s="52"/>
    </row>
    <row r="127">
      <c r="M127" s="52"/>
      <c r="N127" s="52"/>
      <c r="O127" s="52"/>
    </row>
    <row r="128">
      <c r="M128" s="52"/>
      <c r="N128" s="52"/>
      <c r="O128" s="52"/>
    </row>
    <row r="129">
      <c r="M129" s="52"/>
      <c r="N129" s="52"/>
      <c r="O129" s="52"/>
    </row>
    <row r="130">
      <c r="M130" s="52"/>
      <c r="N130" s="52"/>
      <c r="O130" s="52"/>
    </row>
    <row r="131">
      <c r="M131" s="52"/>
      <c r="N131" s="52"/>
      <c r="O131" s="52"/>
    </row>
    <row r="132">
      <c r="M132" s="52"/>
      <c r="N132" s="52"/>
      <c r="O132" s="52"/>
    </row>
    <row r="133">
      <c r="M133" s="52"/>
      <c r="N133" s="52"/>
      <c r="O133" s="52"/>
    </row>
    <row r="134">
      <c r="M134" s="52"/>
      <c r="N134" s="52"/>
      <c r="O134" s="52"/>
    </row>
    <row r="135">
      <c r="M135" s="52"/>
      <c r="N135" s="52"/>
      <c r="O135" s="52"/>
    </row>
    <row r="136">
      <c r="M136" s="52"/>
      <c r="N136" s="52"/>
      <c r="O136" s="52"/>
    </row>
    <row r="137">
      <c r="M137" s="52"/>
      <c r="N137" s="52"/>
      <c r="O137" s="52"/>
    </row>
    <row r="138">
      <c r="M138" s="52"/>
      <c r="N138" s="52"/>
      <c r="O138" s="52"/>
    </row>
    <row r="139">
      <c r="M139" s="52"/>
      <c r="N139" s="52"/>
      <c r="O139" s="52"/>
    </row>
    <row r="140">
      <c r="M140" s="52"/>
      <c r="N140" s="52"/>
      <c r="O140" s="52"/>
    </row>
    <row r="141">
      <c r="M141" s="52"/>
      <c r="N141" s="52"/>
      <c r="O141" s="52"/>
    </row>
    <row r="142">
      <c r="M142" s="52"/>
      <c r="N142" s="52"/>
      <c r="O142" s="52"/>
    </row>
    <row r="143">
      <c r="M143" s="52"/>
      <c r="N143" s="52"/>
      <c r="O143" s="52"/>
    </row>
    <row r="144">
      <c r="M144" s="52"/>
      <c r="N144" s="52"/>
      <c r="O144" s="52"/>
    </row>
    <row r="145">
      <c r="M145" s="52"/>
      <c r="N145" s="52"/>
      <c r="O145" s="52"/>
    </row>
    <row r="146">
      <c r="M146" s="52"/>
      <c r="N146" s="52"/>
      <c r="O146" s="52"/>
    </row>
    <row r="147">
      <c r="M147" s="52"/>
      <c r="N147" s="52"/>
      <c r="O147" s="52"/>
    </row>
    <row r="148">
      <c r="M148" s="52"/>
      <c r="N148" s="52"/>
      <c r="O148" s="52"/>
    </row>
    <row r="149">
      <c r="M149" s="52"/>
      <c r="N149" s="52"/>
      <c r="O149" s="52"/>
    </row>
    <row r="150">
      <c r="M150" s="52"/>
      <c r="N150" s="52"/>
      <c r="O150" s="52"/>
    </row>
    <row r="151">
      <c r="M151" s="52"/>
      <c r="N151" s="52"/>
      <c r="O151" s="52"/>
    </row>
    <row r="152">
      <c r="M152" s="52"/>
      <c r="N152" s="52"/>
      <c r="O152" s="52"/>
    </row>
    <row r="153">
      <c r="M153" s="52"/>
      <c r="N153" s="52"/>
      <c r="O153" s="52"/>
    </row>
    <row r="154">
      <c r="M154" s="52"/>
      <c r="N154" s="52"/>
      <c r="O154" s="52"/>
    </row>
    <row r="155">
      <c r="M155" s="52"/>
      <c r="N155" s="52"/>
      <c r="O155" s="52"/>
    </row>
    <row r="156">
      <c r="M156" s="52"/>
      <c r="N156" s="52"/>
      <c r="O156" s="52"/>
    </row>
    <row r="157">
      <c r="M157" s="52"/>
      <c r="N157" s="52"/>
      <c r="O157" s="52"/>
    </row>
    <row r="158">
      <c r="M158" s="52"/>
      <c r="N158" s="52"/>
      <c r="O158" s="52"/>
    </row>
    <row r="159">
      <c r="M159" s="52"/>
      <c r="N159" s="52"/>
      <c r="O159" s="52"/>
    </row>
    <row r="160">
      <c r="M160" s="52"/>
      <c r="N160" s="52"/>
      <c r="O160" s="52"/>
    </row>
    <row r="161">
      <c r="M161" s="52"/>
      <c r="N161" s="52"/>
      <c r="O161" s="52"/>
    </row>
    <row r="162">
      <c r="M162" s="52"/>
      <c r="N162" s="52"/>
      <c r="O162" s="52"/>
    </row>
    <row r="163">
      <c r="M163" s="52"/>
      <c r="N163" s="52"/>
      <c r="O163" s="52"/>
    </row>
    <row r="164">
      <c r="M164" s="52"/>
      <c r="N164" s="52"/>
      <c r="O164" s="52"/>
    </row>
    <row r="165">
      <c r="M165" s="52"/>
      <c r="N165" s="52"/>
      <c r="O165" s="52"/>
    </row>
    <row r="166">
      <c r="M166" s="52"/>
      <c r="N166" s="52"/>
      <c r="O166" s="52"/>
    </row>
    <row r="167">
      <c r="M167" s="52"/>
      <c r="N167" s="52"/>
      <c r="O167" s="52"/>
    </row>
    <row r="168">
      <c r="M168" s="52"/>
      <c r="N168" s="52"/>
      <c r="O168" s="52"/>
    </row>
    <row r="169">
      <c r="M169" s="52"/>
      <c r="N169" s="52"/>
      <c r="O169" s="52"/>
    </row>
    <row r="170">
      <c r="M170" s="52"/>
      <c r="N170" s="52"/>
      <c r="O170" s="52"/>
    </row>
    <row r="171">
      <c r="M171" s="52"/>
      <c r="N171" s="52"/>
      <c r="O171" s="52"/>
    </row>
    <row r="172">
      <c r="M172" s="52"/>
      <c r="N172" s="52"/>
      <c r="O172" s="52"/>
    </row>
    <row r="173">
      <c r="M173" s="52"/>
      <c r="N173" s="52"/>
      <c r="O173" s="52"/>
    </row>
    <row r="174">
      <c r="M174" s="52"/>
      <c r="N174" s="52"/>
      <c r="O174" s="52"/>
    </row>
    <row r="175">
      <c r="M175" s="52"/>
      <c r="N175" s="52"/>
      <c r="O175" s="52"/>
    </row>
    <row r="176">
      <c r="M176" s="52"/>
      <c r="N176" s="52"/>
      <c r="O176" s="52"/>
    </row>
    <row r="177">
      <c r="M177" s="52"/>
      <c r="N177" s="52"/>
      <c r="O177" s="52"/>
    </row>
    <row r="178">
      <c r="M178" s="52"/>
      <c r="N178" s="52"/>
      <c r="O178" s="52"/>
    </row>
    <row r="179">
      <c r="M179" s="52"/>
      <c r="N179" s="52"/>
      <c r="O179" s="52"/>
    </row>
    <row r="180">
      <c r="M180" s="52"/>
      <c r="N180" s="52"/>
      <c r="O180" s="52"/>
    </row>
    <row r="181">
      <c r="M181" s="52"/>
      <c r="N181" s="52"/>
      <c r="O181" s="52"/>
    </row>
    <row r="182">
      <c r="M182" s="52"/>
      <c r="N182" s="52"/>
      <c r="O182" s="52"/>
    </row>
    <row r="183">
      <c r="M183" s="52"/>
      <c r="N183" s="52"/>
      <c r="O183" s="52"/>
    </row>
    <row r="184">
      <c r="M184" s="52"/>
      <c r="N184" s="52"/>
      <c r="O184" s="52"/>
    </row>
    <row r="185">
      <c r="M185" s="52"/>
      <c r="N185" s="52"/>
      <c r="O185" s="52"/>
    </row>
    <row r="186">
      <c r="M186" s="52"/>
      <c r="N186" s="52"/>
      <c r="O186" s="52"/>
    </row>
    <row r="187">
      <c r="M187" s="52"/>
      <c r="N187" s="52"/>
      <c r="O187" s="52"/>
    </row>
    <row r="188">
      <c r="M188" s="52"/>
      <c r="N188" s="52"/>
      <c r="O188" s="52"/>
    </row>
    <row r="189">
      <c r="M189" s="52"/>
      <c r="N189" s="52"/>
      <c r="O189" s="52"/>
    </row>
    <row r="190">
      <c r="M190" s="52"/>
      <c r="N190" s="52"/>
      <c r="O190" s="52"/>
    </row>
    <row r="191">
      <c r="M191" s="52"/>
      <c r="N191" s="52"/>
      <c r="O191" s="52"/>
    </row>
    <row r="192">
      <c r="M192" s="52"/>
      <c r="N192" s="52"/>
      <c r="O192" s="52"/>
    </row>
    <row r="193">
      <c r="M193" s="52"/>
      <c r="N193" s="52"/>
      <c r="O193" s="52"/>
    </row>
    <row r="194">
      <c r="M194" s="52"/>
      <c r="N194" s="52"/>
      <c r="O194" s="52"/>
    </row>
    <row r="195">
      <c r="M195" s="52"/>
      <c r="N195" s="52"/>
      <c r="O195" s="52"/>
    </row>
    <row r="196">
      <c r="M196" s="52"/>
      <c r="N196" s="52"/>
      <c r="O196" s="52"/>
    </row>
    <row r="197">
      <c r="M197" s="52"/>
      <c r="N197" s="52"/>
      <c r="O197" s="52"/>
    </row>
    <row r="198">
      <c r="M198" s="52"/>
      <c r="N198" s="52"/>
      <c r="O198" s="52"/>
    </row>
    <row r="199">
      <c r="M199" s="52"/>
      <c r="N199" s="52"/>
      <c r="O199" s="52"/>
    </row>
    <row r="200">
      <c r="M200" s="52"/>
      <c r="N200" s="52"/>
      <c r="O200" s="52"/>
    </row>
    <row r="201">
      <c r="M201" s="52"/>
      <c r="N201" s="52"/>
      <c r="O201" s="52"/>
    </row>
    <row r="202">
      <c r="M202" s="52"/>
      <c r="N202" s="52"/>
      <c r="O202" s="52"/>
    </row>
    <row r="203">
      <c r="M203" s="52"/>
      <c r="N203" s="52"/>
      <c r="O203" s="52"/>
    </row>
    <row r="204">
      <c r="M204" s="52"/>
      <c r="N204" s="52"/>
      <c r="O204" s="52"/>
    </row>
    <row r="205">
      <c r="M205" s="52"/>
      <c r="N205" s="52"/>
      <c r="O205" s="52"/>
    </row>
    <row r="206">
      <c r="M206" s="52"/>
      <c r="N206" s="52"/>
      <c r="O206" s="52"/>
    </row>
    <row r="207">
      <c r="M207" s="52"/>
      <c r="N207" s="52"/>
      <c r="O207" s="52"/>
    </row>
    <row r="208">
      <c r="M208" s="52"/>
      <c r="N208" s="52"/>
      <c r="O208" s="52"/>
    </row>
    <row r="209">
      <c r="M209" s="52"/>
      <c r="N209" s="52"/>
      <c r="O209" s="52"/>
    </row>
    <row r="210">
      <c r="M210" s="52"/>
      <c r="N210" s="52"/>
      <c r="O210" s="52"/>
    </row>
    <row r="211">
      <c r="M211" s="52"/>
      <c r="N211" s="52"/>
      <c r="O211" s="52"/>
    </row>
    <row r="212">
      <c r="M212" s="52"/>
      <c r="N212" s="52"/>
      <c r="O212" s="52"/>
    </row>
    <row r="213">
      <c r="M213" s="52"/>
      <c r="N213" s="52"/>
      <c r="O213" s="52"/>
    </row>
    <row r="214">
      <c r="M214" s="52"/>
      <c r="N214" s="52"/>
      <c r="O214" s="52"/>
    </row>
    <row r="215">
      <c r="M215" s="52"/>
      <c r="N215" s="52"/>
      <c r="O215" s="52"/>
    </row>
    <row r="216">
      <c r="M216" s="52"/>
      <c r="N216" s="52"/>
      <c r="O216" s="52"/>
    </row>
    <row r="217">
      <c r="M217" s="52"/>
      <c r="N217" s="52"/>
      <c r="O217" s="52"/>
    </row>
    <row r="218">
      <c r="M218" s="52"/>
      <c r="N218" s="52"/>
      <c r="O218" s="52"/>
    </row>
    <row r="219">
      <c r="M219" s="52"/>
      <c r="N219" s="52"/>
      <c r="O219" s="52"/>
    </row>
    <row r="220">
      <c r="M220" s="52"/>
      <c r="N220" s="52"/>
      <c r="O220" s="52"/>
    </row>
    <row r="221">
      <c r="M221" s="52"/>
      <c r="N221" s="52"/>
      <c r="O221" s="52"/>
    </row>
    <row r="222">
      <c r="M222" s="52"/>
      <c r="N222" s="52"/>
      <c r="O222" s="52"/>
    </row>
    <row r="223">
      <c r="M223" s="52"/>
      <c r="N223" s="52"/>
      <c r="O223" s="52"/>
    </row>
    <row r="224">
      <c r="M224" s="52"/>
      <c r="N224" s="52"/>
      <c r="O224" s="52"/>
    </row>
    <row r="225">
      <c r="M225" s="52"/>
      <c r="N225" s="52"/>
      <c r="O225" s="52"/>
    </row>
    <row r="226">
      <c r="M226" s="52"/>
      <c r="N226" s="52"/>
      <c r="O226" s="52"/>
    </row>
    <row r="227">
      <c r="M227" s="52"/>
      <c r="N227" s="52"/>
      <c r="O227" s="52"/>
    </row>
    <row r="228">
      <c r="M228" s="52"/>
      <c r="N228" s="52"/>
      <c r="O228" s="52"/>
    </row>
    <row r="229">
      <c r="M229" s="52"/>
      <c r="N229" s="52"/>
      <c r="O229" s="52"/>
    </row>
    <row r="230">
      <c r="M230" s="52"/>
      <c r="N230" s="52"/>
      <c r="O230" s="52"/>
    </row>
    <row r="231">
      <c r="M231" s="52"/>
      <c r="N231" s="52"/>
      <c r="O231" s="52"/>
    </row>
    <row r="232">
      <c r="M232" s="52"/>
      <c r="N232" s="52"/>
      <c r="O232" s="52"/>
    </row>
    <row r="233">
      <c r="M233" s="52"/>
      <c r="N233" s="52"/>
      <c r="O233" s="52"/>
    </row>
    <row r="234">
      <c r="M234" s="52"/>
      <c r="N234" s="52"/>
      <c r="O234" s="52"/>
    </row>
    <row r="235">
      <c r="M235" s="52"/>
      <c r="N235" s="52"/>
      <c r="O235" s="52"/>
    </row>
    <row r="236">
      <c r="M236" s="52"/>
      <c r="N236" s="52"/>
      <c r="O236" s="52"/>
    </row>
    <row r="237">
      <c r="M237" s="52"/>
      <c r="N237" s="52"/>
      <c r="O237" s="52"/>
    </row>
    <row r="238">
      <c r="M238" s="52"/>
      <c r="N238" s="52"/>
      <c r="O238" s="52"/>
    </row>
    <row r="239">
      <c r="M239" s="52"/>
      <c r="N239" s="52"/>
      <c r="O239" s="52"/>
    </row>
    <row r="240">
      <c r="M240" s="52"/>
      <c r="N240" s="52"/>
      <c r="O240" s="52"/>
    </row>
    <row r="241">
      <c r="M241" s="52"/>
      <c r="N241" s="52"/>
      <c r="O241" s="52"/>
    </row>
    <row r="242">
      <c r="M242" s="52"/>
      <c r="N242" s="52"/>
      <c r="O242" s="52"/>
    </row>
    <row r="243">
      <c r="M243" s="52"/>
      <c r="N243" s="52"/>
      <c r="O243" s="52"/>
    </row>
    <row r="244">
      <c r="M244" s="52"/>
      <c r="N244" s="52"/>
      <c r="O244" s="52"/>
    </row>
    <row r="245">
      <c r="M245" s="52"/>
      <c r="N245" s="52"/>
      <c r="O245" s="52"/>
    </row>
    <row r="246">
      <c r="M246" s="52"/>
      <c r="N246" s="52"/>
      <c r="O246" s="52"/>
    </row>
    <row r="247">
      <c r="M247" s="52"/>
      <c r="N247" s="52"/>
      <c r="O247" s="52"/>
    </row>
    <row r="248">
      <c r="M248" s="52"/>
      <c r="N248" s="52"/>
      <c r="O248" s="52"/>
    </row>
    <row r="249">
      <c r="M249" s="52"/>
      <c r="N249" s="52"/>
      <c r="O249" s="52"/>
    </row>
    <row r="250">
      <c r="M250" s="52"/>
      <c r="N250" s="52"/>
      <c r="O250" s="52"/>
    </row>
    <row r="251">
      <c r="M251" s="52"/>
      <c r="N251" s="52"/>
      <c r="O251" s="52"/>
    </row>
    <row r="252">
      <c r="M252" s="52"/>
      <c r="N252" s="52"/>
      <c r="O252" s="52"/>
    </row>
    <row r="253">
      <c r="M253" s="52"/>
      <c r="N253" s="52"/>
      <c r="O253" s="52"/>
    </row>
    <row r="254">
      <c r="M254" s="52"/>
      <c r="N254" s="52"/>
      <c r="O254" s="52"/>
    </row>
    <row r="255">
      <c r="M255" s="52"/>
      <c r="N255" s="52"/>
      <c r="O255" s="52"/>
    </row>
    <row r="256">
      <c r="M256" s="52"/>
      <c r="N256" s="52"/>
      <c r="O256" s="52"/>
    </row>
    <row r="257">
      <c r="M257" s="52"/>
      <c r="N257" s="52"/>
      <c r="O257" s="52"/>
    </row>
    <row r="258">
      <c r="M258" s="52"/>
      <c r="N258" s="52"/>
      <c r="O258" s="52"/>
    </row>
    <row r="259">
      <c r="M259" s="52"/>
      <c r="N259" s="52"/>
      <c r="O259" s="52"/>
    </row>
    <row r="260">
      <c r="M260" s="52"/>
      <c r="N260" s="52"/>
      <c r="O260" s="52"/>
    </row>
    <row r="261">
      <c r="M261" s="52"/>
      <c r="N261" s="52"/>
      <c r="O261" s="52"/>
    </row>
    <row r="262">
      <c r="M262" s="52"/>
      <c r="N262" s="52"/>
      <c r="O262" s="52"/>
    </row>
    <row r="263">
      <c r="M263" s="52"/>
      <c r="N263" s="52"/>
      <c r="O263" s="52"/>
    </row>
    <row r="264">
      <c r="M264" s="52"/>
      <c r="N264" s="52"/>
      <c r="O264" s="52"/>
    </row>
    <row r="265">
      <c r="M265" s="52"/>
      <c r="N265" s="52"/>
      <c r="O265" s="52"/>
    </row>
    <row r="266">
      <c r="M266" s="52"/>
      <c r="N266" s="52"/>
      <c r="O266" s="52"/>
    </row>
    <row r="267">
      <c r="M267" s="52"/>
      <c r="N267" s="52"/>
      <c r="O267" s="52"/>
    </row>
    <row r="268">
      <c r="M268" s="52"/>
      <c r="N268" s="52"/>
      <c r="O268" s="52"/>
    </row>
    <row r="269">
      <c r="M269" s="52"/>
      <c r="N269" s="52"/>
      <c r="O269" s="52"/>
    </row>
    <row r="270">
      <c r="M270" s="52"/>
      <c r="N270" s="52"/>
      <c r="O270" s="52"/>
    </row>
    <row r="271">
      <c r="M271" s="52"/>
      <c r="N271" s="52"/>
      <c r="O271" s="52"/>
    </row>
    <row r="272">
      <c r="M272" s="52"/>
      <c r="N272" s="52"/>
      <c r="O272" s="52"/>
    </row>
    <row r="273">
      <c r="M273" s="52"/>
      <c r="N273" s="52"/>
      <c r="O273" s="52"/>
    </row>
    <row r="274">
      <c r="M274" s="52"/>
      <c r="N274" s="52"/>
      <c r="O274" s="52"/>
    </row>
    <row r="275">
      <c r="M275" s="52"/>
      <c r="N275" s="52"/>
      <c r="O275" s="52"/>
    </row>
    <row r="276">
      <c r="M276" s="52"/>
      <c r="N276" s="52"/>
      <c r="O276" s="52"/>
    </row>
    <row r="277">
      <c r="M277" s="52"/>
      <c r="N277" s="52"/>
      <c r="O277" s="52"/>
    </row>
    <row r="278">
      <c r="M278" s="52"/>
      <c r="N278" s="52"/>
      <c r="O278" s="52"/>
    </row>
    <row r="279">
      <c r="M279" s="52"/>
      <c r="N279" s="52"/>
      <c r="O279" s="52"/>
    </row>
    <row r="280">
      <c r="M280" s="52"/>
      <c r="N280" s="52"/>
      <c r="O280" s="52"/>
    </row>
    <row r="281">
      <c r="M281" s="52"/>
      <c r="N281" s="52"/>
      <c r="O281" s="52"/>
    </row>
    <row r="282">
      <c r="M282" s="52"/>
      <c r="N282" s="52"/>
      <c r="O282" s="52"/>
    </row>
    <row r="283">
      <c r="M283" s="52"/>
      <c r="N283" s="52"/>
      <c r="O283" s="52"/>
    </row>
    <row r="284">
      <c r="M284" s="52"/>
      <c r="N284" s="52"/>
      <c r="O284" s="52"/>
    </row>
    <row r="285">
      <c r="M285" s="52"/>
      <c r="N285" s="52"/>
      <c r="O285" s="52"/>
    </row>
    <row r="286">
      <c r="M286" s="52"/>
      <c r="N286" s="52"/>
      <c r="O286" s="52"/>
    </row>
    <row r="287">
      <c r="M287" s="52"/>
      <c r="N287" s="52"/>
      <c r="O287" s="52"/>
    </row>
    <row r="288">
      <c r="M288" s="52"/>
      <c r="N288" s="52"/>
      <c r="O288" s="52"/>
    </row>
    <row r="289">
      <c r="M289" s="52"/>
      <c r="N289" s="52"/>
      <c r="O289" s="52"/>
    </row>
    <row r="290">
      <c r="M290" s="52"/>
      <c r="N290" s="52"/>
      <c r="O290" s="52"/>
    </row>
    <row r="291">
      <c r="M291" s="52"/>
      <c r="N291" s="52"/>
      <c r="O291" s="52"/>
    </row>
    <row r="292">
      <c r="M292" s="52"/>
      <c r="N292" s="52"/>
      <c r="O292" s="52"/>
    </row>
    <row r="293">
      <c r="M293" s="52"/>
      <c r="N293" s="52"/>
      <c r="O293" s="52"/>
    </row>
    <row r="294">
      <c r="M294" s="52"/>
      <c r="N294" s="52"/>
      <c r="O294" s="52"/>
    </row>
    <row r="295">
      <c r="M295" s="52"/>
      <c r="N295" s="52"/>
      <c r="O295" s="52"/>
    </row>
    <row r="296">
      <c r="M296" s="52"/>
      <c r="N296" s="52"/>
      <c r="O296" s="52"/>
    </row>
    <row r="297">
      <c r="M297" s="52"/>
      <c r="N297" s="52"/>
      <c r="O297" s="52"/>
    </row>
    <row r="298">
      <c r="M298" s="52"/>
      <c r="N298" s="52"/>
      <c r="O298" s="52"/>
    </row>
    <row r="299">
      <c r="M299" s="52"/>
      <c r="N299" s="52"/>
      <c r="O299" s="52"/>
    </row>
    <row r="300">
      <c r="M300" s="52"/>
      <c r="N300" s="52"/>
      <c r="O300" s="52"/>
    </row>
    <row r="301">
      <c r="M301" s="52"/>
      <c r="N301" s="52"/>
      <c r="O301" s="52"/>
    </row>
    <row r="302">
      <c r="M302" s="52"/>
      <c r="N302" s="52"/>
      <c r="O302" s="52"/>
    </row>
    <row r="303">
      <c r="M303" s="52"/>
      <c r="N303" s="52"/>
      <c r="O303" s="52"/>
    </row>
    <row r="304">
      <c r="M304" s="52"/>
      <c r="N304" s="52"/>
      <c r="O304" s="52"/>
    </row>
    <row r="305">
      <c r="M305" s="52"/>
      <c r="N305" s="52"/>
      <c r="O305" s="52"/>
    </row>
    <row r="306">
      <c r="M306" s="52"/>
      <c r="N306" s="52"/>
      <c r="O306" s="52"/>
    </row>
    <row r="307">
      <c r="M307" s="52"/>
      <c r="N307" s="52"/>
      <c r="O307" s="52"/>
    </row>
    <row r="308">
      <c r="M308" s="52"/>
      <c r="N308" s="52"/>
      <c r="O308" s="52"/>
    </row>
    <row r="309">
      <c r="M309" s="52"/>
      <c r="N309" s="52"/>
      <c r="O309" s="52"/>
    </row>
    <row r="310">
      <c r="M310" s="52"/>
      <c r="N310" s="52"/>
      <c r="O310" s="52"/>
    </row>
    <row r="311">
      <c r="M311" s="52"/>
      <c r="N311" s="52"/>
      <c r="O311" s="52"/>
    </row>
    <row r="312">
      <c r="M312" s="52"/>
      <c r="N312" s="52"/>
      <c r="O312" s="52"/>
    </row>
    <row r="313">
      <c r="M313" s="52"/>
      <c r="N313" s="52"/>
      <c r="O313" s="52"/>
    </row>
    <row r="314">
      <c r="M314" s="52"/>
      <c r="N314" s="52"/>
      <c r="O314" s="52"/>
    </row>
    <row r="315">
      <c r="M315" s="52"/>
      <c r="N315" s="52"/>
      <c r="O315" s="52"/>
    </row>
    <row r="316">
      <c r="M316" s="52"/>
      <c r="N316" s="52"/>
      <c r="O316" s="52"/>
    </row>
    <row r="317">
      <c r="M317" s="52"/>
      <c r="N317" s="52"/>
      <c r="O317" s="52"/>
    </row>
    <row r="318">
      <c r="M318" s="52"/>
      <c r="N318" s="52"/>
      <c r="O318" s="52"/>
    </row>
    <row r="319">
      <c r="M319" s="52"/>
      <c r="N319" s="52"/>
      <c r="O319" s="52"/>
    </row>
    <row r="320">
      <c r="M320" s="52"/>
      <c r="N320" s="52"/>
      <c r="O320" s="52"/>
    </row>
    <row r="321">
      <c r="M321" s="52"/>
      <c r="N321" s="52"/>
      <c r="O321" s="52"/>
    </row>
    <row r="322">
      <c r="M322" s="52"/>
      <c r="N322" s="52"/>
      <c r="O322" s="52"/>
    </row>
    <row r="323">
      <c r="M323" s="52"/>
      <c r="N323" s="52"/>
      <c r="O323" s="52"/>
    </row>
    <row r="324">
      <c r="M324" s="52"/>
      <c r="N324" s="52"/>
      <c r="O324" s="52"/>
    </row>
    <row r="325">
      <c r="M325" s="52"/>
      <c r="N325" s="52"/>
      <c r="O325" s="52"/>
    </row>
    <row r="326">
      <c r="M326" s="52"/>
      <c r="N326" s="52"/>
      <c r="O326" s="52"/>
    </row>
    <row r="327">
      <c r="M327" s="52"/>
      <c r="N327" s="52"/>
      <c r="O327" s="52"/>
    </row>
    <row r="328">
      <c r="M328" s="52"/>
      <c r="N328" s="52"/>
      <c r="O328" s="52"/>
    </row>
    <row r="329">
      <c r="M329" s="52"/>
      <c r="N329" s="52"/>
      <c r="O329" s="52"/>
    </row>
    <row r="330">
      <c r="M330" s="52"/>
      <c r="N330" s="52"/>
      <c r="O330" s="52"/>
    </row>
    <row r="331">
      <c r="M331" s="52"/>
      <c r="N331" s="52"/>
      <c r="O331" s="52"/>
    </row>
    <row r="332">
      <c r="M332" s="52"/>
      <c r="N332" s="52"/>
      <c r="O332" s="52"/>
    </row>
    <row r="333">
      <c r="M333" s="52"/>
      <c r="N333" s="52"/>
      <c r="O333" s="52"/>
    </row>
    <row r="334">
      <c r="M334" s="52"/>
      <c r="N334" s="52"/>
      <c r="O334" s="52"/>
    </row>
    <row r="335">
      <c r="M335" s="52"/>
      <c r="N335" s="52"/>
      <c r="O335" s="52"/>
    </row>
    <row r="336">
      <c r="M336" s="52"/>
      <c r="N336" s="52"/>
      <c r="O336" s="52"/>
    </row>
    <row r="337">
      <c r="M337" s="52"/>
      <c r="N337" s="52"/>
      <c r="O337" s="52"/>
    </row>
    <row r="338">
      <c r="M338" s="52"/>
      <c r="N338" s="52"/>
      <c r="O338" s="52"/>
    </row>
    <row r="339">
      <c r="M339" s="52"/>
      <c r="N339" s="52"/>
      <c r="O339" s="52"/>
    </row>
    <row r="340">
      <c r="M340" s="52"/>
      <c r="N340" s="52"/>
      <c r="O340" s="52"/>
    </row>
    <row r="341">
      <c r="M341" s="52"/>
      <c r="N341" s="52"/>
      <c r="O341" s="52"/>
    </row>
    <row r="342">
      <c r="M342" s="52"/>
      <c r="N342" s="52"/>
      <c r="O342" s="52"/>
    </row>
    <row r="343">
      <c r="M343" s="52"/>
      <c r="N343" s="52"/>
      <c r="O343" s="52"/>
    </row>
    <row r="344">
      <c r="M344" s="52"/>
      <c r="N344" s="52"/>
      <c r="O344" s="52"/>
    </row>
    <row r="345">
      <c r="M345" s="52"/>
      <c r="N345" s="52"/>
      <c r="O345" s="52"/>
    </row>
    <row r="346">
      <c r="M346" s="52"/>
      <c r="N346" s="52"/>
      <c r="O346" s="52"/>
    </row>
    <row r="347">
      <c r="M347" s="52"/>
      <c r="N347" s="52"/>
      <c r="O347" s="52"/>
    </row>
    <row r="348">
      <c r="M348" s="52"/>
      <c r="N348" s="52"/>
      <c r="O348" s="52"/>
    </row>
    <row r="349">
      <c r="M349" s="52"/>
      <c r="N349" s="52"/>
      <c r="O349" s="52"/>
    </row>
    <row r="350">
      <c r="M350" s="52"/>
      <c r="N350" s="52"/>
      <c r="O350" s="52"/>
    </row>
    <row r="351">
      <c r="M351" s="52"/>
      <c r="N351" s="52"/>
      <c r="O351" s="52"/>
    </row>
    <row r="352">
      <c r="M352" s="52"/>
      <c r="N352" s="52"/>
      <c r="O352" s="52"/>
    </row>
    <row r="353">
      <c r="M353" s="52"/>
      <c r="N353" s="52"/>
      <c r="O353" s="52"/>
    </row>
    <row r="354">
      <c r="M354" s="52"/>
      <c r="N354" s="52"/>
      <c r="O354" s="52"/>
    </row>
    <row r="355">
      <c r="M355" s="52"/>
      <c r="N355" s="52"/>
      <c r="O355" s="52"/>
    </row>
    <row r="356">
      <c r="M356" s="52"/>
      <c r="N356" s="52"/>
      <c r="O356" s="52"/>
    </row>
    <row r="357">
      <c r="M357" s="52"/>
      <c r="N357" s="52"/>
      <c r="O357" s="52"/>
    </row>
    <row r="358">
      <c r="M358" s="52"/>
      <c r="N358" s="52"/>
      <c r="O358" s="52"/>
    </row>
    <row r="359">
      <c r="M359" s="52"/>
      <c r="N359" s="52"/>
      <c r="O359" s="52"/>
    </row>
    <row r="360">
      <c r="M360" s="52"/>
      <c r="N360" s="52"/>
      <c r="O360" s="52"/>
    </row>
    <row r="361">
      <c r="M361" s="52"/>
      <c r="N361" s="52"/>
      <c r="O361" s="52"/>
    </row>
    <row r="362">
      <c r="M362" s="52"/>
      <c r="N362" s="52"/>
      <c r="O362" s="52"/>
    </row>
    <row r="363">
      <c r="M363" s="52"/>
      <c r="N363" s="52"/>
      <c r="O363" s="52"/>
    </row>
    <row r="364">
      <c r="M364" s="52"/>
      <c r="N364" s="52"/>
      <c r="O364" s="52"/>
    </row>
    <row r="365">
      <c r="M365" s="52"/>
      <c r="N365" s="52"/>
      <c r="O365" s="52"/>
    </row>
    <row r="366">
      <c r="M366" s="52"/>
      <c r="N366" s="52"/>
      <c r="O366" s="52"/>
    </row>
    <row r="367">
      <c r="M367" s="52"/>
      <c r="N367" s="52"/>
      <c r="O367" s="52"/>
    </row>
    <row r="368">
      <c r="M368" s="52"/>
      <c r="N368" s="52"/>
      <c r="O368" s="52"/>
    </row>
    <row r="369">
      <c r="M369" s="52"/>
      <c r="N369" s="52"/>
      <c r="O369" s="52"/>
    </row>
    <row r="370">
      <c r="M370" s="52"/>
      <c r="N370" s="52"/>
      <c r="O370" s="52"/>
    </row>
    <row r="371">
      <c r="M371" s="52"/>
      <c r="N371" s="52"/>
      <c r="O371" s="52"/>
    </row>
    <row r="372">
      <c r="M372" s="52"/>
      <c r="N372" s="52"/>
      <c r="O372" s="52"/>
    </row>
    <row r="373">
      <c r="M373" s="52"/>
      <c r="N373" s="52"/>
      <c r="O373" s="52"/>
    </row>
    <row r="374">
      <c r="M374" s="52"/>
      <c r="N374" s="52"/>
      <c r="O374" s="52"/>
    </row>
    <row r="375">
      <c r="M375" s="52"/>
      <c r="N375" s="52"/>
      <c r="O375" s="52"/>
    </row>
    <row r="376">
      <c r="M376" s="52"/>
      <c r="N376" s="52"/>
      <c r="O376" s="52"/>
    </row>
    <row r="377">
      <c r="M377" s="52"/>
      <c r="N377" s="52"/>
      <c r="O377" s="52"/>
    </row>
    <row r="378">
      <c r="M378" s="52"/>
      <c r="N378" s="52"/>
      <c r="O378" s="52"/>
    </row>
    <row r="379">
      <c r="M379" s="52"/>
      <c r="N379" s="52"/>
      <c r="O379" s="52"/>
    </row>
    <row r="380">
      <c r="M380" s="52"/>
      <c r="N380" s="52"/>
      <c r="O380" s="52"/>
    </row>
    <row r="381">
      <c r="M381" s="52"/>
      <c r="N381" s="52"/>
      <c r="O381" s="52"/>
    </row>
    <row r="382">
      <c r="M382" s="52"/>
      <c r="N382" s="52"/>
      <c r="O382" s="52"/>
    </row>
    <row r="383">
      <c r="M383" s="52"/>
      <c r="N383" s="52"/>
      <c r="O383" s="52"/>
    </row>
    <row r="384">
      <c r="M384" s="52"/>
      <c r="N384" s="52"/>
      <c r="O384" s="52"/>
    </row>
    <row r="385">
      <c r="M385" s="52"/>
      <c r="N385" s="52"/>
      <c r="O385" s="52"/>
    </row>
    <row r="386">
      <c r="M386" s="52"/>
      <c r="N386" s="52"/>
      <c r="O386" s="52"/>
    </row>
    <row r="387">
      <c r="M387" s="52"/>
      <c r="N387" s="52"/>
      <c r="O387" s="52"/>
    </row>
    <row r="388">
      <c r="M388" s="52"/>
      <c r="N388" s="52"/>
      <c r="O388" s="52"/>
    </row>
    <row r="389">
      <c r="M389" s="52"/>
      <c r="N389" s="52"/>
      <c r="O389" s="52"/>
    </row>
    <row r="390">
      <c r="M390" s="52"/>
      <c r="N390" s="52"/>
      <c r="O390" s="52"/>
    </row>
    <row r="391">
      <c r="M391" s="52"/>
      <c r="N391" s="52"/>
      <c r="O391" s="52"/>
    </row>
    <row r="392">
      <c r="M392" s="52"/>
      <c r="N392" s="52"/>
      <c r="O392" s="52"/>
    </row>
    <row r="393">
      <c r="M393" s="52"/>
      <c r="N393" s="52"/>
      <c r="O393" s="52"/>
    </row>
    <row r="394">
      <c r="M394" s="52"/>
      <c r="N394" s="52"/>
      <c r="O394" s="52"/>
    </row>
    <row r="395">
      <c r="M395" s="52"/>
      <c r="N395" s="52"/>
      <c r="O395" s="52"/>
    </row>
    <row r="396">
      <c r="M396" s="52"/>
      <c r="N396" s="52"/>
      <c r="O396" s="52"/>
    </row>
    <row r="397">
      <c r="M397" s="52"/>
      <c r="N397" s="52"/>
      <c r="O397" s="52"/>
    </row>
    <row r="398">
      <c r="M398" s="52"/>
      <c r="N398" s="52"/>
      <c r="O398" s="52"/>
    </row>
    <row r="399">
      <c r="M399" s="52"/>
      <c r="N399" s="52"/>
      <c r="O399" s="52"/>
    </row>
    <row r="400">
      <c r="M400" s="52"/>
      <c r="N400" s="52"/>
      <c r="O400" s="52"/>
    </row>
    <row r="401">
      <c r="M401" s="52"/>
      <c r="N401" s="52"/>
      <c r="O401" s="52"/>
    </row>
    <row r="402">
      <c r="M402" s="52"/>
      <c r="N402" s="52"/>
      <c r="O402" s="52"/>
    </row>
    <row r="403">
      <c r="M403" s="52"/>
      <c r="N403" s="52"/>
      <c r="O403" s="52"/>
    </row>
    <row r="404">
      <c r="M404" s="52"/>
      <c r="N404" s="52"/>
      <c r="O404" s="52"/>
    </row>
    <row r="405">
      <c r="M405" s="52"/>
      <c r="N405" s="52"/>
      <c r="O405" s="52"/>
    </row>
    <row r="406">
      <c r="M406" s="52"/>
      <c r="N406" s="52"/>
      <c r="O406" s="52"/>
    </row>
    <row r="407">
      <c r="M407" s="52"/>
      <c r="N407" s="52"/>
      <c r="O407" s="52"/>
    </row>
    <row r="408">
      <c r="M408" s="52"/>
      <c r="N408" s="52"/>
      <c r="O408" s="52"/>
    </row>
    <row r="409">
      <c r="M409" s="52"/>
      <c r="N409" s="52"/>
      <c r="O409" s="52"/>
    </row>
    <row r="410">
      <c r="M410" s="52"/>
      <c r="N410" s="52"/>
      <c r="O410" s="52"/>
    </row>
    <row r="411">
      <c r="M411" s="52"/>
      <c r="N411" s="52"/>
      <c r="O411" s="52"/>
    </row>
    <row r="412">
      <c r="M412" s="52"/>
      <c r="N412" s="52"/>
      <c r="O412" s="52"/>
    </row>
    <row r="413">
      <c r="M413" s="52"/>
      <c r="N413" s="52"/>
      <c r="O413" s="52"/>
    </row>
    <row r="414">
      <c r="M414" s="52"/>
      <c r="N414" s="52"/>
      <c r="O414" s="52"/>
    </row>
    <row r="415">
      <c r="M415" s="52"/>
      <c r="N415" s="52"/>
      <c r="O415" s="52"/>
    </row>
    <row r="416">
      <c r="M416" s="52"/>
      <c r="N416" s="52"/>
      <c r="O416" s="52"/>
    </row>
    <row r="417">
      <c r="M417" s="52"/>
      <c r="N417" s="52"/>
      <c r="O417" s="52"/>
    </row>
    <row r="418">
      <c r="M418" s="52"/>
      <c r="N418" s="52"/>
      <c r="O418" s="52"/>
    </row>
    <row r="419">
      <c r="M419" s="52"/>
      <c r="N419" s="52"/>
      <c r="O419" s="52"/>
    </row>
    <row r="420">
      <c r="M420" s="52"/>
      <c r="N420" s="52"/>
      <c r="O420" s="52"/>
    </row>
    <row r="421">
      <c r="M421" s="52"/>
      <c r="N421" s="52"/>
      <c r="O421" s="52"/>
    </row>
    <row r="422">
      <c r="M422" s="52"/>
      <c r="N422" s="52"/>
      <c r="O422" s="52"/>
    </row>
    <row r="423">
      <c r="M423" s="52"/>
      <c r="N423" s="52"/>
      <c r="O423" s="52"/>
    </row>
    <row r="424">
      <c r="M424" s="52"/>
      <c r="N424" s="52"/>
      <c r="O424" s="52"/>
    </row>
    <row r="425">
      <c r="M425" s="52"/>
      <c r="N425" s="52"/>
      <c r="O425" s="52"/>
    </row>
    <row r="426">
      <c r="M426" s="52"/>
      <c r="N426" s="52"/>
      <c r="O426" s="52"/>
    </row>
    <row r="427">
      <c r="M427" s="52"/>
      <c r="N427" s="52"/>
      <c r="O427" s="52"/>
    </row>
    <row r="428">
      <c r="M428" s="52"/>
      <c r="N428" s="52"/>
      <c r="O428" s="52"/>
    </row>
    <row r="429">
      <c r="M429" s="52"/>
      <c r="N429" s="52"/>
      <c r="O429" s="52"/>
    </row>
    <row r="430">
      <c r="M430" s="52"/>
      <c r="N430" s="52"/>
      <c r="O430" s="52"/>
    </row>
    <row r="431">
      <c r="M431" s="52"/>
      <c r="N431" s="52"/>
      <c r="O431" s="52"/>
    </row>
    <row r="432">
      <c r="M432" s="52"/>
      <c r="N432" s="52"/>
      <c r="O432" s="52"/>
    </row>
    <row r="433">
      <c r="M433" s="52"/>
      <c r="N433" s="52"/>
      <c r="O433" s="52"/>
    </row>
    <row r="434">
      <c r="M434" s="52"/>
      <c r="N434" s="52"/>
      <c r="O434" s="52"/>
    </row>
    <row r="435">
      <c r="M435" s="52"/>
      <c r="N435" s="52"/>
      <c r="O435" s="52"/>
    </row>
    <row r="436">
      <c r="M436" s="52"/>
      <c r="N436" s="52"/>
      <c r="O436" s="52"/>
    </row>
    <row r="437">
      <c r="M437" s="52"/>
      <c r="N437" s="52"/>
      <c r="O437" s="52"/>
    </row>
    <row r="438">
      <c r="M438" s="52"/>
      <c r="N438" s="52"/>
      <c r="O438" s="52"/>
    </row>
    <row r="439">
      <c r="M439" s="52"/>
      <c r="N439" s="52"/>
      <c r="O439" s="52"/>
    </row>
    <row r="440">
      <c r="M440" s="52"/>
      <c r="N440" s="52"/>
      <c r="O440" s="52"/>
    </row>
    <row r="441">
      <c r="M441" s="52"/>
      <c r="N441" s="52"/>
      <c r="O441" s="52"/>
    </row>
    <row r="442">
      <c r="M442" s="52"/>
      <c r="N442" s="52"/>
      <c r="O442" s="52"/>
    </row>
    <row r="443">
      <c r="M443" s="52"/>
      <c r="N443" s="52"/>
      <c r="O443" s="52"/>
    </row>
    <row r="444">
      <c r="M444" s="52"/>
      <c r="N444" s="52"/>
      <c r="O444" s="52"/>
    </row>
    <row r="445">
      <c r="M445" s="52"/>
      <c r="N445" s="52"/>
      <c r="O445" s="52"/>
    </row>
    <row r="446">
      <c r="M446" s="52"/>
      <c r="N446" s="52"/>
      <c r="O446" s="52"/>
    </row>
    <row r="447">
      <c r="M447" s="52"/>
      <c r="N447" s="52"/>
      <c r="O447" s="52"/>
    </row>
    <row r="448">
      <c r="M448" s="52"/>
      <c r="N448" s="52"/>
      <c r="O448" s="52"/>
    </row>
    <row r="449">
      <c r="M449" s="52"/>
      <c r="N449" s="52"/>
      <c r="O449" s="52"/>
    </row>
    <row r="450">
      <c r="M450" s="52"/>
      <c r="N450" s="52"/>
      <c r="O450" s="52"/>
    </row>
    <row r="451">
      <c r="M451" s="52"/>
      <c r="N451" s="52"/>
      <c r="O451" s="52"/>
    </row>
    <row r="452">
      <c r="M452" s="52"/>
      <c r="N452" s="52"/>
      <c r="O452" s="52"/>
    </row>
    <row r="453">
      <c r="M453" s="52"/>
      <c r="N453" s="52"/>
      <c r="O453" s="52"/>
    </row>
    <row r="454">
      <c r="M454" s="52"/>
      <c r="N454" s="52"/>
      <c r="O454" s="52"/>
    </row>
    <row r="455">
      <c r="M455" s="52"/>
      <c r="N455" s="52"/>
      <c r="O455" s="52"/>
    </row>
    <row r="456">
      <c r="M456" s="52"/>
      <c r="N456" s="52"/>
      <c r="O456" s="52"/>
    </row>
    <row r="457">
      <c r="M457" s="52"/>
      <c r="N457" s="52"/>
      <c r="O457" s="52"/>
    </row>
    <row r="458">
      <c r="M458" s="52"/>
      <c r="N458" s="52"/>
      <c r="O458" s="52"/>
    </row>
    <row r="459">
      <c r="M459" s="52"/>
      <c r="N459" s="52"/>
      <c r="O459" s="52"/>
    </row>
    <row r="460">
      <c r="M460" s="52"/>
      <c r="N460" s="52"/>
      <c r="O460" s="52"/>
    </row>
    <row r="461">
      <c r="M461" s="52"/>
      <c r="N461" s="52"/>
      <c r="O461" s="52"/>
    </row>
    <row r="462">
      <c r="M462" s="52"/>
      <c r="N462" s="52"/>
      <c r="O462" s="52"/>
    </row>
    <row r="463">
      <c r="M463" s="52"/>
      <c r="N463" s="52"/>
      <c r="O463" s="52"/>
    </row>
    <row r="464">
      <c r="M464" s="52"/>
      <c r="N464" s="52"/>
      <c r="O464" s="52"/>
    </row>
    <row r="465">
      <c r="M465" s="52"/>
      <c r="N465" s="52"/>
      <c r="O465" s="52"/>
    </row>
    <row r="466">
      <c r="M466" s="52"/>
      <c r="N466" s="52"/>
      <c r="O466" s="52"/>
    </row>
    <row r="467">
      <c r="M467" s="52"/>
      <c r="N467" s="52"/>
      <c r="O467" s="52"/>
    </row>
    <row r="468">
      <c r="M468" s="52"/>
      <c r="N468" s="52"/>
      <c r="O468" s="52"/>
    </row>
    <row r="469">
      <c r="M469" s="52"/>
      <c r="N469" s="52"/>
      <c r="O469" s="52"/>
    </row>
    <row r="470">
      <c r="M470" s="52"/>
      <c r="N470" s="52"/>
      <c r="O470" s="52"/>
    </row>
    <row r="471">
      <c r="M471" s="52"/>
      <c r="N471" s="52"/>
      <c r="O471" s="52"/>
    </row>
    <row r="472">
      <c r="M472" s="52"/>
      <c r="N472" s="52"/>
      <c r="O472" s="52"/>
    </row>
    <row r="473">
      <c r="M473" s="52"/>
      <c r="N473" s="52"/>
      <c r="O473" s="52"/>
    </row>
    <row r="474">
      <c r="M474" s="52"/>
      <c r="N474" s="52"/>
      <c r="O474" s="52"/>
    </row>
    <row r="475">
      <c r="M475" s="52"/>
      <c r="N475" s="52"/>
      <c r="O475" s="52"/>
    </row>
    <row r="476">
      <c r="M476" s="52"/>
      <c r="N476" s="52"/>
      <c r="O476" s="52"/>
    </row>
    <row r="477">
      <c r="M477" s="52"/>
      <c r="N477" s="52"/>
      <c r="O477" s="52"/>
    </row>
    <row r="478">
      <c r="M478" s="52"/>
      <c r="N478" s="52"/>
      <c r="O478" s="52"/>
    </row>
    <row r="479">
      <c r="M479" s="52"/>
      <c r="N479" s="52"/>
      <c r="O479" s="52"/>
    </row>
    <row r="480">
      <c r="M480" s="52"/>
      <c r="N480" s="52"/>
      <c r="O480" s="52"/>
    </row>
    <row r="481">
      <c r="M481" s="52"/>
      <c r="N481" s="52"/>
      <c r="O481" s="52"/>
    </row>
    <row r="482">
      <c r="M482" s="52"/>
      <c r="N482" s="52"/>
      <c r="O482" s="52"/>
    </row>
    <row r="483">
      <c r="M483" s="52"/>
      <c r="N483" s="52"/>
      <c r="O483" s="52"/>
    </row>
    <row r="484">
      <c r="M484" s="52"/>
      <c r="N484" s="52"/>
      <c r="O484" s="52"/>
    </row>
    <row r="485">
      <c r="M485" s="52"/>
      <c r="N485" s="52"/>
      <c r="O485" s="52"/>
    </row>
    <row r="486">
      <c r="M486" s="52"/>
      <c r="N486" s="52"/>
      <c r="O486" s="52"/>
    </row>
    <row r="487">
      <c r="M487" s="52"/>
      <c r="N487" s="52"/>
      <c r="O487" s="52"/>
    </row>
    <row r="488">
      <c r="M488" s="52"/>
      <c r="N488" s="52"/>
      <c r="O488" s="52"/>
    </row>
    <row r="489">
      <c r="M489" s="52"/>
      <c r="N489" s="52"/>
      <c r="O489" s="52"/>
    </row>
    <row r="490">
      <c r="M490" s="52"/>
      <c r="N490" s="52"/>
      <c r="O490" s="52"/>
    </row>
    <row r="491">
      <c r="M491" s="52"/>
      <c r="N491" s="52"/>
      <c r="O491" s="52"/>
    </row>
    <row r="492">
      <c r="M492" s="52"/>
      <c r="N492" s="52"/>
      <c r="O492" s="52"/>
    </row>
    <row r="493">
      <c r="M493" s="52"/>
      <c r="N493" s="52"/>
      <c r="O493" s="52"/>
    </row>
    <row r="494">
      <c r="M494" s="52"/>
      <c r="N494" s="52"/>
      <c r="O494" s="52"/>
    </row>
    <row r="495">
      <c r="M495" s="52"/>
      <c r="N495" s="52"/>
      <c r="O495" s="52"/>
    </row>
    <row r="496">
      <c r="M496" s="52"/>
      <c r="N496" s="52"/>
      <c r="O496" s="52"/>
    </row>
    <row r="497">
      <c r="M497" s="52"/>
      <c r="N497" s="52"/>
      <c r="O497" s="52"/>
    </row>
    <row r="498">
      <c r="M498" s="52"/>
      <c r="N498" s="52"/>
      <c r="O498" s="52"/>
    </row>
    <row r="499">
      <c r="M499" s="52"/>
      <c r="N499" s="52"/>
      <c r="O499" s="52"/>
    </row>
    <row r="500">
      <c r="M500" s="52"/>
      <c r="N500" s="52"/>
      <c r="O500" s="52"/>
    </row>
    <row r="501">
      <c r="M501" s="52"/>
      <c r="N501" s="52"/>
      <c r="O501" s="52"/>
    </row>
    <row r="502">
      <c r="M502" s="52"/>
      <c r="N502" s="52"/>
      <c r="O502" s="52"/>
    </row>
    <row r="503">
      <c r="M503" s="52"/>
      <c r="N503" s="52"/>
      <c r="O503" s="52"/>
    </row>
    <row r="504">
      <c r="M504" s="52"/>
      <c r="N504" s="52"/>
      <c r="O504" s="52"/>
    </row>
    <row r="505">
      <c r="M505" s="52"/>
      <c r="N505" s="52"/>
      <c r="O505" s="52"/>
    </row>
    <row r="506">
      <c r="M506" s="52"/>
      <c r="N506" s="52"/>
      <c r="O506" s="52"/>
    </row>
    <row r="507">
      <c r="M507" s="52"/>
      <c r="N507" s="52"/>
      <c r="O507" s="52"/>
    </row>
    <row r="508">
      <c r="M508" s="52"/>
      <c r="N508" s="52"/>
      <c r="O508" s="52"/>
    </row>
    <row r="509">
      <c r="M509" s="52"/>
      <c r="N509" s="52"/>
      <c r="O509" s="52"/>
    </row>
    <row r="510">
      <c r="M510" s="52"/>
      <c r="N510" s="52"/>
      <c r="O510" s="52"/>
    </row>
    <row r="511">
      <c r="M511" s="52"/>
      <c r="N511" s="52"/>
      <c r="O511" s="52"/>
    </row>
    <row r="512">
      <c r="M512" s="52"/>
      <c r="N512" s="52"/>
      <c r="O512" s="52"/>
    </row>
    <row r="513">
      <c r="M513" s="52"/>
      <c r="N513" s="52"/>
      <c r="O513" s="52"/>
    </row>
    <row r="514">
      <c r="M514" s="52"/>
      <c r="N514" s="52"/>
      <c r="O514" s="52"/>
    </row>
    <row r="515">
      <c r="M515" s="52"/>
      <c r="N515" s="52"/>
      <c r="O515" s="52"/>
    </row>
    <row r="516">
      <c r="M516" s="52"/>
      <c r="N516" s="52"/>
      <c r="O516" s="52"/>
    </row>
    <row r="517">
      <c r="M517" s="52"/>
      <c r="N517" s="52"/>
      <c r="O517" s="52"/>
    </row>
    <row r="518">
      <c r="M518" s="52"/>
      <c r="N518" s="52"/>
      <c r="O518" s="52"/>
    </row>
    <row r="519">
      <c r="M519" s="52"/>
      <c r="N519" s="52"/>
      <c r="O519" s="52"/>
    </row>
    <row r="520">
      <c r="M520" s="52"/>
      <c r="N520" s="52"/>
      <c r="O520" s="52"/>
    </row>
    <row r="521">
      <c r="M521" s="52"/>
      <c r="N521" s="52"/>
      <c r="O521" s="52"/>
    </row>
    <row r="522">
      <c r="M522" s="52"/>
      <c r="N522" s="52"/>
      <c r="O522" s="52"/>
    </row>
    <row r="523">
      <c r="M523" s="52"/>
      <c r="N523" s="52"/>
      <c r="O523" s="52"/>
    </row>
    <row r="524">
      <c r="M524" s="52"/>
      <c r="N524" s="52"/>
      <c r="O524" s="52"/>
    </row>
    <row r="525">
      <c r="M525" s="52"/>
      <c r="N525" s="52"/>
      <c r="O525" s="52"/>
    </row>
    <row r="526">
      <c r="M526" s="52"/>
      <c r="N526" s="52"/>
      <c r="O526" s="52"/>
    </row>
    <row r="527">
      <c r="M527" s="52"/>
      <c r="N527" s="52"/>
      <c r="O527" s="52"/>
    </row>
    <row r="528">
      <c r="M528" s="52"/>
      <c r="N528" s="52"/>
      <c r="O528" s="52"/>
    </row>
    <row r="529">
      <c r="M529" s="52"/>
      <c r="N529" s="52"/>
      <c r="O529" s="52"/>
    </row>
    <row r="530">
      <c r="M530" s="52"/>
      <c r="N530" s="52"/>
      <c r="O530" s="52"/>
    </row>
    <row r="531">
      <c r="M531" s="52"/>
      <c r="N531" s="52"/>
      <c r="O531" s="52"/>
    </row>
    <row r="532">
      <c r="M532" s="52"/>
      <c r="N532" s="52"/>
      <c r="O532" s="52"/>
    </row>
    <row r="533">
      <c r="M533" s="52"/>
      <c r="N533" s="52"/>
      <c r="O533" s="52"/>
    </row>
    <row r="534">
      <c r="M534" s="52"/>
      <c r="N534" s="52"/>
      <c r="O534" s="52"/>
    </row>
    <row r="535">
      <c r="M535" s="52"/>
      <c r="N535" s="52"/>
      <c r="O535" s="52"/>
    </row>
    <row r="536">
      <c r="M536" s="52"/>
      <c r="N536" s="52"/>
      <c r="O536" s="52"/>
    </row>
    <row r="537">
      <c r="M537" s="52"/>
      <c r="N537" s="52"/>
      <c r="O537" s="52"/>
    </row>
    <row r="538">
      <c r="M538" s="52"/>
      <c r="N538" s="52"/>
      <c r="O538" s="52"/>
    </row>
    <row r="539">
      <c r="M539" s="52"/>
      <c r="N539" s="52"/>
      <c r="O539" s="52"/>
    </row>
    <row r="540">
      <c r="M540" s="52"/>
      <c r="N540" s="52"/>
      <c r="O540" s="52"/>
    </row>
    <row r="541">
      <c r="M541" s="52"/>
      <c r="N541" s="52"/>
      <c r="O541" s="52"/>
    </row>
    <row r="542">
      <c r="M542" s="52"/>
      <c r="N542" s="52"/>
      <c r="O542" s="52"/>
    </row>
    <row r="543">
      <c r="M543" s="52"/>
      <c r="N543" s="52"/>
      <c r="O543" s="52"/>
    </row>
    <row r="544">
      <c r="M544" s="52"/>
      <c r="N544" s="52"/>
      <c r="O544" s="52"/>
    </row>
    <row r="545">
      <c r="M545" s="52"/>
      <c r="N545" s="52"/>
      <c r="O545" s="52"/>
    </row>
    <row r="546">
      <c r="M546" s="52"/>
      <c r="N546" s="52"/>
      <c r="O546" s="52"/>
    </row>
    <row r="547">
      <c r="M547" s="52"/>
      <c r="N547" s="52"/>
      <c r="O547" s="52"/>
    </row>
    <row r="548">
      <c r="M548" s="52"/>
      <c r="N548" s="52"/>
      <c r="O548" s="52"/>
    </row>
    <row r="549">
      <c r="M549" s="52"/>
      <c r="N549" s="52"/>
      <c r="O549" s="52"/>
    </row>
    <row r="550">
      <c r="M550" s="52"/>
      <c r="N550" s="52"/>
      <c r="O550" s="52"/>
    </row>
    <row r="551">
      <c r="M551" s="52"/>
      <c r="N551" s="52"/>
      <c r="O551" s="52"/>
    </row>
    <row r="552">
      <c r="M552" s="52"/>
      <c r="N552" s="52"/>
      <c r="O552" s="52"/>
    </row>
    <row r="553">
      <c r="M553" s="52"/>
      <c r="N553" s="52"/>
      <c r="O553" s="52"/>
    </row>
    <row r="554">
      <c r="M554" s="52"/>
      <c r="N554" s="52"/>
      <c r="O554" s="52"/>
    </row>
    <row r="555">
      <c r="M555" s="52"/>
      <c r="N555" s="52"/>
      <c r="O555" s="52"/>
    </row>
    <row r="556">
      <c r="M556" s="52"/>
      <c r="N556" s="52"/>
      <c r="O556" s="52"/>
    </row>
    <row r="557">
      <c r="M557" s="52"/>
      <c r="N557" s="52"/>
      <c r="O557" s="52"/>
    </row>
    <row r="558">
      <c r="M558" s="52"/>
      <c r="N558" s="52"/>
      <c r="O558" s="52"/>
    </row>
    <row r="559">
      <c r="M559" s="52"/>
      <c r="N559" s="52"/>
      <c r="O559" s="52"/>
    </row>
    <row r="560">
      <c r="M560" s="52"/>
      <c r="N560" s="52"/>
      <c r="O560" s="52"/>
    </row>
    <row r="561">
      <c r="M561" s="52"/>
      <c r="N561" s="52"/>
      <c r="O561" s="52"/>
    </row>
    <row r="562">
      <c r="M562" s="52"/>
      <c r="N562" s="52"/>
      <c r="O562" s="52"/>
    </row>
    <row r="563">
      <c r="M563" s="52"/>
      <c r="N563" s="52"/>
      <c r="O563" s="52"/>
    </row>
    <row r="564">
      <c r="M564" s="52"/>
      <c r="N564" s="52"/>
      <c r="O564" s="52"/>
    </row>
    <row r="565">
      <c r="M565" s="52"/>
      <c r="N565" s="52"/>
      <c r="O565" s="52"/>
    </row>
    <row r="566">
      <c r="M566" s="52"/>
      <c r="N566" s="52"/>
      <c r="O566" s="52"/>
    </row>
    <row r="567">
      <c r="M567" s="52"/>
      <c r="N567" s="52"/>
      <c r="O567" s="52"/>
    </row>
    <row r="568">
      <c r="M568" s="52"/>
      <c r="N568" s="52"/>
      <c r="O568" s="52"/>
    </row>
    <row r="569">
      <c r="M569" s="52"/>
      <c r="N569" s="52"/>
      <c r="O569" s="52"/>
    </row>
    <row r="570">
      <c r="M570" s="52"/>
      <c r="N570" s="52"/>
      <c r="O570" s="52"/>
    </row>
    <row r="571">
      <c r="M571" s="52"/>
      <c r="N571" s="52"/>
      <c r="O571" s="52"/>
    </row>
    <row r="572">
      <c r="M572" s="52"/>
      <c r="N572" s="52"/>
      <c r="O572" s="52"/>
    </row>
    <row r="573">
      <c r="M573" s="52"/>
      <c r="N573" s="52"/>
      <c r="O573" s="52"/>
    </row>
    <row r="574">
      <c r="M574" s="52"/>
      <c r="N574" s="52"/>
      <c r="O574" s="52"/>
    </row>
    <row r="575">
      <c r="M575" s="52"/>
      <c r="N575" s="52"/>
      <c r="O575" s="52"/>
    </row>
    <row r="576">
      <c r="M576" s="52"/>
      <c r="N576" s="52"/>
      <c r="O576" s="52"/>
    </row>
    <row r="577">
      <c r="M577" s="52"/>
      <c r="N577" s="52"/>
      <c r="O577" s="52"/>
    </row>
    <row r="578">
      <c r="M578" s="52"/>
      <c r="N578" s="52"/>
      <c r="O578" s="52"/>
    </row>
    <row r="579">
      <c r="M579" s="52"/>
      <c r="N579" s="52"/>
      <c r="O579" s="52"/>
    </row>
    <row r="580">
      <c r="M580" s="52"/>
      <c r="N580" s="52"/>
      <c r="O580" s="52"/>
    </row>
    <row r="581">
      <c r="M581" s="52"/>
      <c r="N581" s="52"/>
      <c r="O581" s="52"/>
    </row>
    <row r="582">
      <c r="M582" s="52"/>
      <c r="N582" s="52"/>
      <c r="O582" s="52"/>
    </row>
    <row r="583">
      <c r="M583" s="52"/>
      <c r="N583" s="52"/>
      <c r="O583" s="52"/>
    </row>
    <row r="584">
      <c r="M584" s="52"/>
      <c r="N584" s="52"/>
      <c r="O584" s="52"/>
    </row>
    <row r="585">
      <c r="M585" s="52"/>
      <c r="N585" s="52"/>
      <c r="O585" s="52"/>
    </row>
    <row r="586">
      <c r="M586" s="52"/>
      <c r="N586" s="52"/>
      <c r="O586" s="52"/>
    </row>
    <row r="587">
      <c r="M587" s="52"/>
      <c r="N587" s="52"/>
      <c r="O587" s="52"/>
    </row>
    <row r="588">
      <c r="M588" s="52"/>
      <c r="N588" s="52"/>
      <c r="O588" s="52"/>
    </row>
    <row r="589">
      <c r="M589" s="52"/>
      <c r="N589" s="52"/>
      <c r="O589" s="52"/>
    </row>
    <row r="590">
      <c r="M590" s="52"/>
      <c r="N590" s="52"/>
      <c r="O590" s="52"/>
    </row>
    <row r="591">
      <c r="M591" s="52"/>
      <c r="N591" s="52"/>
      <c r="O591" s="52"/>
    </row>
    <row r="592">
      <c r="M592" s="52"/>
      <c r="N592" s="52"/>
      <c r="O592" s="52"/>
    </row>
    <row r="593">
      <c r="M593" s="52"/>
      <c r="N593" s="52"/>
      <c r="O593" s="52"/>
    </row>
    <row r="594">
      <c r="M594" s="52"/>
      <c r="N594" s="52"/>
      <c r="O594" s="52"/>
    </row>
    <row r="595">
      <c r="M595" s="52"/>
      <c r="N595" s="52"/>
      <c r="O595" s="52"/>
    </row>
    <row r="596">
      <c r="M596" s="52"/>
      <c r="N596" s="52"/>
      <c r="O596" s="52"/>
    </row>
    <row r="597">
      <c r="M597" s="52"/>
      <c r="N597" s="52"/>
      <c r="O597" s="52"/>
    </row>
    <row r="598">
      <c r="M598" s="52"/>
      <c r="N598" s="52"/>
      <c r="O598" s="52"/>
    </row>
    <row r="599">
      <c r="M599" s="52"/>
      <c r="N599" s="52"/>
      <c r="O599" s="52"/>
    </row>
    <row r="600">
      <c r="M600" s="52"/>
      <c r="N600" s="52"/>
      <c r="O600" s="52"/>
    </row>
    <row r="601">
      <c r="M601" s="52"/>
      <c r="N601" s="52"/>
      <c r="O601" s="52"/>
    </row>
    <row r="602">
      <c r="M602" s="52"/>
      <c r="N602" s="52"/>
      <c r="O602" s="52"/>
    </row>
    <row r="603">
      <c r="M603" s="52"/>
      <c r="N603" s="52"/>
      <c r="O603" s="52"/>
    </row>
    <row r="604">
      <c r="M604" s="52"/>
      <c r="N604" s="52"/>
      <c r="O604" s="52"/>
    </row>
    <row r="605">
      <c r="M605" s="52"/>
      <c r="N605" s="52"/>
      <c r="O605" s="52"/>
    </row>
    <row r="606">
      <c r="M606" s="52"/>
      <c r="N606" s="52"/>
      <c r="O606" s="52"/>
    </row>
    <row r="607">
      <c r="M607" s="52"/>
      <c r="N607" s="52"/>
      <c r="O607" s="52"/>
    </row>
    <row r="608">
      <c r="M608" s="52"/>
      <c r="N608" s="52"/>
      <c r="O608" s="52"/>
    </row>
    <row r="609">
      <c r="M609" s="52"/>
      <c r="N609" s="52"/>
      <c r="O609" s="52"/>
    </row>
    <row r="610">
      <c r="M610" s="52"/>
      <c r="N610" s="52"/>
      <c r="O610" s="52"/>
    </row>
    <row r="611">
      <c r="M611" s="52"/>
      <c r="N611" s="52"/>
      <c r="O611" s="52"/>
    </row>
    <row r="612">
      <c r="M612" s="52"/>
      <c r="N612" s="52"/>
      <c r="O612" s="52"/>
    </row>
    <row r="613">
      <c r="M613" s="52"/>
      <c r="N613" s="52"/>
      <c r="O613" s="52"/>
    </row>
    <row r="614">
      <c r="M614" s="52"/>
      <c r="N614" s="52"/>
      <c r="O614" s="52"/>
    </row>
    <row r="615">
      <c r="M615" s="52"/>
      <c r="N615" s="52"/>
      <c r="O615" s="52"/>
    </row>
    <row r="616">
      <c r="M616" s="52"/>
      <c r="N616" s="52"/>
      <c r="O616" s="52"/>
    </row>
    <row r="617">
      <c r="M617" s="52"/>
      <c r="N617" s="52"/>
      <c r="O617" s="52"/>
    </row>
    <row r="618">
      <c r="M618" s="52"/>
      <c r="N618" s="52"/>
      <c r="O618" s="52"/>
    </row>
    <row r="619">
      <c r="M619" s="52"/>
      <c r="N619" s="52"/>
      <c r="O619" s="52"/>
    </row>
    <row r="620">
      <c r="M620" s="52"/>
      <c r="N620" s="52"/>
      <c r="O620" s="52"/>
    </row>
    <row r="621">
      <c r="M621" s="52"/>
      <c r="N621" s="52"/>
      <c r="O621" s="52"/>
    </row>
    <row r="622">
      <c r="M622" s="52"/>
      <c r="N622" s="52"/>
      <c r="O622" s="52"/>
    </row>
    <row r="623">
      <c r="M623" s="52"/>
      <c r="N623" s="52"/>
      <c r="O623" s="52"/>
    </row>
    <row r="624">
      <c r="M624" s="52"/>
      <c r="N624" s="52"/>
      <c r="O624" s="52"/>
    </row>
    <row r="625">
      <c r="M625" s="52"/>
      <c r="N625" s="52"/>
      <c r="O625" s="52"/>
    </row>
    <row r="626">
      <c r="M626" s="52"/>
      <c r="N626" s="52"/>
      <c r="O626" s="52"/>
    </row>
    <row r="627">
      <c r="M627" s="52"/>
      <c r="N627" s="52"/>
      <c r="O627" s="52"/>
    </row>
    <row r="628">
      <c r="M628" s="52"/>
      <c r="N628" s="52"/>
      <c r="O628" s="52"/>
    </row>
    <row r="629">
      <c r="M629" s="52"/>
      <c r="N629" s="52"/>
      <c r="O629" s="52"/>
    </row>
    <row r="630">
      <c r="M630" s="52"/>
      <c r="N630" s="52"/>
      <c r="O630" s="52"/>
    </row>
    <row r="631">
      <c r="M631" s="52"/>
      <c r="N631" s="52"/>
      <c r="O631" s="52"/>
    </row>
    <row r="632">
      <c r="M632" s="52"/>
      <c r="N632" s="52"/>
      <c r="O632" s="52"/>
    </row>
    <row r="633">
      <c r="M633" s="52"/>
      <c r="N633" s="52"/>
      <c r="O633" s="52"/>
    </row>
    <row r="634">
      <c r="M634" s="52"/>
      <c r="N634" s="52"/>
      <c r="O634" s="52"/>
    </row>
    <row r="635">
      <c r="M635" s="52"/>
      <c r="N635" s="52"/>
      <c r="O635" s="52"/>
    </row>
    <row r="636">
      <c r="M636" s="52"/>
      <c r="N636" s="52"/>
      <c r="O636" s="52"/>
    </row>
    <row r="637">
      <c r="M637" s="52"/>
      <c r="N637" s="52"/>
      <c r="O637" s="52"/>
    </row>
    <row r="638">
      <c r="M638" s="52"/>
      <c r="N638" s="52"/>
      <c r="O638" s="52"/>
    </row>
    <row r="639">
      <c r="M639" s="52"/>
      <c r="N639" s="52"/>
      <c r="O639" s="52"/>
    </row>
    <row r="640">
      <c r="M640" s="52"/>
      <c r="N640" s="52"/>
      <c r="O640" s="52"/>
    </row>
    <row r="641">
      <c r="M641" s="52"/>
      <c r="N641" s="52"/>
      <c r="O641" s="52"/>
    </row>
    <row r="642">
      <c r="M642" s="52"/>
      <c r="N642" s="52"/>
      <c r="O642" s="52"/>
    </row>
    <row r="643">
      <c r="M643" s="52"/>
      <c r="N643" s="52"/>
      <c r="O643" s="52"/>
    </row>
    <row r="644">
      <c r="M644" s="52"/>
      <c r="N644" s="52"/>
      <c r="O644" s="52"/>
    </row>
    <row r="645">
      <c r="M645" s="52"/>
      <c r="N645" s="52"/>
      <c r="O645" s="52"/>
    </row>
    <row r="646">
      <c r="M646" s="52"/>
      <c r="N646" s="52"/>
      <c r="O646" s="52"/>
    </row>
    <row r="647">
      <c r="M647" s="52"/>
      <c r="N647" s="52"/>
      <c r="O647" s="52"/>
    </row>
    <row r="648">
      <c r="M648" s="52"/>
      <c r="N648" s="52"/>
      <c r="O648" s="52"/>
    </row>
    <row r="649">
      <c r="M649" s="52"/>
      <c r="N649" s="52"/>
      <c r="O649" s="52"/>
    </row>
    <row r="650">
      <c r="M650" s="52"/>
      <c r="N650" s="52"/>
      <c r="O650" s="52"/>
    </row>
    <row r="651">
      <c r="M651" s="52"/>
      <c r="N651" s="52"/>
      <c r="O651" s="52"/>
    </row>
    <row r="652">
      <c r="M652" s="52"/>
      <c r="N652" s="52"/>
      <c r="O652" s="52"/>
    </row>
    <row r="653">
      <c r="M653" s="52"/>
      <c r="N653" s="52"/>
      <c r="O653" s="52"/>
    </row>
    <row r="654">
      <c r="M654" s="52"/>
      <c r="N654" s="52"/>
      <c r="O654" s="52"/>
    </row>
    <row r="655">
      <c r="M655" s="52"/>
      <c r="N655" s="52"/>
      <c r="O655" s="52"/>
    </row>
    <row r="656">
      <c r="M656" s="52"/>
      <c r="N656" s="52"/>
      <c r="O656" s="52"/>
    </row>
    <row r="657">
      <c r="M657" s="52"/>
      <c r="N657" s="52"/>
      <c r="O657" s="52"/>
    </row>
    <row r="658">
      <c r="M658" s="52"/>
      <c r="N658" s="52"/>
      <c r="O658" s="52"/>
    </row>
    <row r="659">
      <c r="M659" s="52"/>
      <c r="N659" s="52"/>
      <c r="O659" s="52"/>
    </row>
    <row r="660">
      <c r="M660" s="52"/>
      <c r="N660" s="52"/>
      <c r="O660" s="52"/>
    </row>
    <row r="661">
      <c r="M661" s="52"/>
      <c r="N661" s="52"/>
      <c r="O661" s="52"/>
    </row>
    <row r="662">
      <c r="M662" s="52"/>
      <c r="N662" s="52"/>
      <c r="O662" s="52"/>
    </row>
    <row r="663">
      <c r="M663" s="52"/>
      <c r="N663" s="52"/>
      <c r="O663" s="52"/>
    </row>
    <row r="664">
      <c r="M664" s="52"/>
      <c r="N664" s="52"/>
      <c r="O664" s="52"/>
    </row>
    <row r="665">
      <c r="M665" s="52"/>
      <c r="N665" s="52"/>
      <c r="O665" s="52"/>
    </row>
    <row r="666">
      <c r="M666" s="52"/>
      <c r="N666" s="52"/>
      <c r="O666" s="52"/>
    </row>
    <row r="667">
      <c r="M667" s="52"/>
      <c r="N667" s="52"/>
      <c r="O667" s="52"/>
    </row>
    <row r="668">
      <c r="M668" s="52"/>
      <c r="N668" s="52"/>
      <c r="O668" s="52"/>
    </row>
    <row r="669">
      <c r="M669" s="52"/>
      <c r="N669" s="52"/>
      <c r="O669" s="52"/>
    </row>
    <row r="670">
      <c r="M670" s="52"/>
      <c r="N670" s="52"/>
      <c r="O670" s="52"/>
    </row>
    <row r="671">
      <c r="M671" s="52"/>
      <c r="N671" s="52"/>
      <c r="O671" s="52"/>
    </row>
    <row r="672">
      <c r="M672" s="52"/>
      <c r="N672" s="52"/>
      <c r="O672" s="52"/>
    </row>
    <row r="673">
      <c r="M673" s="52"/>
      <c r="N673" s="52"/>
      <c r="O673" s="52"/>
    </row>
    <row r="674">
      <c r="M674" s="52"/>
      <c r="N674" s="52"/>
      <c r="O674" s="52"/>
    </row>
    <row r="675">
      <c r="M675" s="52"/>
      <c r="N675" s="52"/>
      <c r="O675" s="52"/>
    </row>
    <row r="676">
      <c r="M676" s="52"/>
      <c r="N676" s="52"/>
      <c r="O676" s="52"/>
    </row>
    <row r="677">
      <c r="M677" s="52"/>
      <c r="N677" s="52"/>
      <c r="O677" s="52"/>
    </row>
    <row r="678">
      <c r="M678" s="52"/>
      <c r="N678" s="52"/>
      <c r="O678" s="52"/>
    </row>
    <row r="679">
      <c r="M679" s="52"/>
      <c r="N679" s="52"/>
      <c r="O679" s="52"/>
    </row>
    <row r="680">
      <c r="M680" s="52"/>
      <c r="N680" s="52"/>
      <c r="O680" s="52"/>
    </row>
    <row r="681">
      <c r="M681" s="52"/>
      <c r="N681" s="52"/>
      <c r="O681" s="52"/>
    </row>
    <row r="682">
      <c r="M682" s="52"/>
      <c r="N682" s="52"/>
      <c r="O682" s="52"/>
    </row>
    <row r="683">
      <c r="M683" s="52"/>
      <c r="N683" s="52"/>
      <c r="O683" s="52"/>
    </row>
    <row r="684">
      <c r="M684" s="52"/>
      <c r="N684" s="52"/>
      <c r="O684" s="52"/>
    </row>
    <row r="685">
      <c r="M685" s="52"/>
      <c r="N685" s="52"/>
      <c r="O685" s="52"/>
    </row>
    <row r="686">
      <c r="M686" s="52"/>
      <c r="N686" s="52"/>
      <c r="O686" s="52"/>
    </row>
    <row r="687">
      <c r="M687" s="52"/>
      <c r="N687" s="52"/>
      <c r="O687" s="52"/>
    </row>
    <row r="688">
      <c r="M688" s="52"/>
      <c r="N688" s="52"/>
      <c r="O688" s="52"/>
    </row>
    <row r="689">
      <c r="M689" s="52"/>
      <c r="N689" s="52"/>
      <c r="O689" s="52"/>
    </row>
    <row r="690">
      <c r="M690" s="52"/>
      <c r="N690" s="52"/>
      <c r="O690" s="52"/>
    </row>
    <row r="691">
      <c r="M691" s="52"/>
      <c r="N691" s="52"/>
      <c r="O691" s="52"/>
    </row>
    <row r="692">
      <c r="M692" s="52"/>
      <c r="N692" s="52"/>
      <c r="O692" s="52"/>
    </row>
    <row r="693">
      <c r="M693" s="52"/>
      <c r="N693" s="52"/>
      <c r="O693" s="52"/>
    </row>
    <row r="694">
      <c r="M694" s="52"/>
      <c r="N694" s="52"/>
      <c r="O694" s="52"/>
    </row>
    <row r="695">
      <c r="M695" s="52"/>
      <c r="N695" s="52"/>
      <c r="O695" s="52"/>
    </row>
    <row r="696">
      <c r="M696" s="52"/>
      <c r="N696" s="52"/>
      <c r="O696" s="52"/>
    </row>
    <row r="697">
      <c r="M697" s="52"/>
      <c r="N697" s="52"/>
      <c r="O697" s="52"/>
    </row>
    <row r="698">
      <c r="M698" s="52"/>
      <c r="N698" s="52"/>
      <c r="O698" s="52"/>
    </row>
    <row r="699">
      <c r="M699" s="52"/>
      <c r="N699" s="52"/>
      <c r="O699" s="52"/>
    </row>
    <row r="700">
      <c r="M700" s="52"/>
      <c r="N700" s="52"/>
      <c r="O700" s="52"/>
    </row>
    <row r="701">
      <c r="M701" s="52"/>
      <c r="N701" s="52"/>
      <c r="O701" s="52"/>
    </row>
    <row r="702">
      <c r="M702" s="52"/>
      <c r="N702" s="52"/>
      <c r="O702" s="52"/>
    </row>
    <row r="703">
      <c r="M703" s="52"/>
      <c r="N703" s="52"/>
      <c r="O703" s="52"/>
    </row>
    <row r="704">
      <c r="M704" s="52"/>
      <c r="N704" s="52"/>
      <c r="O704" s="52"/>
    </row>
    <row r="705">
      <c r="M705" s="52"/>
      <c r="N705" s="52"/>
      <c r="O705" s="52"/>
    </row>
    <row r="706">
      <c r="M706" s="52"/>
      <c r="N706" s="52"/>
      <c r="O706" s="52"/>
    </row>
    <row r="707">
      <c r="M707" s="52"/>
      <c r="N707" s="52"/>
      <c r="O707" s="52"/>
    </row>
    <row r="708">
      <c r="M708" s="52"/>
      <c r="N708" s="52"/>
      <c r="O708" s="52"/>
    </row>
    <row r="709">
      <c r="M709" s="52"/>
      <c r="N709" s="52"/>
      <c r="O709" s="52"/>
    </row>
    <row r="710">
      <c r="M710" s="52"/>
      <c r="N710" s="52"/>
      <c r="O710" s="52"/>
    </row>
    <row r="711">
      <c r="M711" s="52"/>
      <c r="N711" s="52"/>
      <c r="O711" s="52"/>
    </row>
    <row r="712">
      <c r="M712" s="52"/>
      <c r="N712" s="52"/>
      <c r="O712" s="52"/>
    </row>
    <row r="713">
      <c r="M713" s="52"/>
      <c r="N713" s="52"/>
      <c r="O713" s="52"/>
    </row>
    <row r="714">
      <c r="M714" s="52"/>
      <c r="N714" s="52"/>
      <c r="O714" s="52"/>
    </row>
    <row r="715">
      <c r="M715" s="52"/>
      <c r="N715" s="52"/>
      <c r="O715" s="52"/>
    </row>
    <row r="716">
      <c r="M716" s="52"/>
      <c r="N716" s="52"/>
      <c r="O716" s="52"/>
    </row>
    <row r="717">
      <c r="M717" s="52"/>
      <c r="N717" s="52"/>
      <c r="O717" s="52"/>
    </row>
    <row r="718">
      <c r="M718" s="52"/>
      <c r="N718" s="52"/>
      <c r="O718" s="52"/>
    </row>
    <row r="719">
      <c r="M719" s="52"/>
      <c r="N719" s="52"/>
      <c r="O719" s="52"/>
    </row>
    <row r="720">
      <c r="M720" s="52"/>
      <c r="N720" s="52"/>
      <c r="O720" s="52"/>
    </row>
    <row r="721">
      <c r="M721" s="52"/>
      <c r="N721" s="52"/>
      <c r="O721" s="52"/>
    </row>
    <row r="722">
      <c r="M722" s="52"/>
      <c r="N722" s="52"/>
      <c r="O722" s="52"/>
    </row>
    <row r="723">
      <c r="M723" s="52"/>
      <c r="N723" s="52"/>
      <c r="O723" s="52"/>
    </row>
    <row r="724">
      <c r="M724" s="52"/>
      <c r="N724" s="52"/>
      <c r="O724" s="52"/>
    </row>
    <row r="725">
      <c r="M725" s="52"/>
      <c r="N725" s="52"/>
      <c r="O725" s="52"/>
    </row>
    <row r="726">
      <c r="M726" s="52"/>
      <c r="N726" s="52"/>
      <c r="O726" s="52"/>
    </row>
    <row r="727">
      <c r="M727" s="52"/>
      <c r="N727" s="52"/>
      <c r="O727" s="52"/>
    </row>
    <row r="728">
      <c r="M728" s="52"/>
      <c r="N728" s="52"/>
      <c r="O728" s="52"/>
    </row>
    <row r="729">
      <c r="M729" s="52"/>
      <c r="N729" s="52"/>
      <c r="O729" s="52"/>
    </row>
    <row r="730">
      <c r="M730" s="52"/>
      <c r="N730" s="52"/>
      <c r="O730" s="52"/>
    </row>
    <row r="731">
      <c r="M731" s="52"/>
      <c r="N731" s="52"/>
      <c r="O731" s="52"/>
    </row>
    <row r="732">
      <c r="M732" s="52"/>
      <c r="N732" s="52"/>
      <c r="O732" s="52"/>
    </row>
    <row r="733">
      <c r="M733" s="52"/>
      <c r="N733" s="52"/>
      <c r="O733" s="52"/>
    </row>
    <row r="734">
      <c r="M734" s="52"/>
      <c r="N734" s="52"/>
      <c r="O734" s="52"/>
    </row>
    <row r="735">
      <c r="M735" s="52"/>
      <c r="N735" s="52"/>
      <c r="O735" s="52"/>
    </row>
    <row r="736">
      <c r="M736" s="52"/>
      <c r="N736" s="52"/>
      <c r="O736" s="52"/>
    </row>
    <row r="737">
      <c r="M737" s="52"/>
      <c r="N737" s="52"/>
      <c r="O737" s="52"/>
    </row>
    <row r="738">
      <c r="M738" s="52"/>
      <c r="N738" s="52"/>
      <c r="O738" s="52"/>
    </row>
    <row r="739">
      <c r="M739" s="52"/>
      <c r="N739" s="52"/>
      <c r="O739" s="52"/>
    </row>
    <row r="740">
      <c r="M740" s="52"/>
      <c r="N740" s="52"/>
      <c r="O740" s="52"/>
    </row>
    <row r="741">
      <c r="M741" s="52"/>
      <c r="N741" s="52"/>
      <c r="O741" s="52"/>
    </row>
    <row r="742">
      <c r="M742" s="52"/>
      <c r="N742" s="52"/>
      <c r="O742" s="52"/>
    </row>
    <row r="743">
      <c r="M743" s="52"/>
      <c r="N743" s="52"/>
      <c r="O743" s="52"/>
    </row>
    <row r="744">
      <c r="M744" s="52"/>
      <c r="N744" s="52"/>
      <c r="O744" s="52"/>
    </row>
    <row r="745">
      <c r="M745" s="52"/>
      <c r="N745" s="52"/>
      <c r="O745" s="52"/>
    </row>
    <row r="746">
      <c r="M746" s="52"/>
      <c r="N746" s="52"/>
      <c r="O746" s="52"/>
    </row>
    <row r="747">
      <c r="M747" s="52"/>
      <c r="N747" s="52"/>
      <c r="O747" s="52"/>
    </row>
    <row r="748">
      <c r="M748" s="52"/>
      <c r="N748" s="52"/>
      <c r="O748" s="52"/>
    </row>
    <row r="749">
      <c r="M749" s="52"/>
      <c r="N749" s="52"/>
      <c r="O749" s="52"/>
    </row>
    <row r="750">
      <c r="M750" s="52"/>
      <c r="N750" s="52"/>
      <c r="O750" s="52"/>
    </row>
    <row r="751">
      <c r="M751" s="52"/>
      <c r="N751" s="52"/>
      <c r="O751" s="52"/>
    </row>
    <row r="752">
      <c r="M752" s="52"/>
      <c r="N752" s="52"/>
      <c r="O752" s="52"/>
    </row>
    <row r="753">
      <c r="M753" s="52"/>
      <c r="N753" s="52"/>
      <c r="O753" s="52"/>
    </row>
    <row r="754">
      <c r="M754" s="52"/>
      <c r="N754" s="52"/>
      <c r="O754" s="52"/>
    </row>
    <row r="755">
      <c r="M755" s="52"/>
      <c r="N755" s="52"/>
      <c r="O755" s="52"/>
    </row>
    <row r="756">
      <c r="M756" s="52"/>
      <c r="N756" s="52"/>
      <c r="O756" s="52"/>
    </row>
    <row r="757">
      <c r="M757" s="52"/>
      <c r="N757" s="52"/>
      <c r="O757" s="52"/>
    </row>
    <row r="758">
      <c r="M758" s="52"/>
      <c r="N758" s="52"/>
      <c r="O758" s="52"/>
    </row>
    <row r="759">
      <c r="M759" s="52"/>
      <c r="N759" s="52"/>
      <c r="O759" s="52"/>
    </row>
    <row r="760">
      <c r="M760" s="52"/>
      <c r="N760" s="52"/>
      <c r="O760" s="52"/>
    </row>
    <row r="761">
      <c r="M761" s="52"/>
      <c r="N761" s="52"/>
      <c r="O761" s="52"/>
    </row>
    <row r="762">
      <c r="M762" s="52"/>
      <c r="N762" s="52"/>
      <c r="O762" s="52"/>
    </row>
    <row r="763">
      <c r="M763" s="52"/>
      <c r="N763" s="52"/>
      <c r="O763" s="52"/>
    </row>
    <row r="764">
      <c r="M764" s="52"/>
      <c r="N764" s="52"/>
      <c r="O764" s="52"/>
    </row>
    <row r="765">
      <c r="M765" s="52"/>
      <c r="N765" s="52"/>
      <c r="O765" s="52"/>
    </row>
    <row r="766">
      <c r="M766" s="52"/>
      <c r="N766" s="52"/>
      <c r="O766" s="52"/>
    </row>
    <row r="767">
      <c r="M767" s="52"/>
      <c r="N767" s="52"/>
      <c r="O767" s="52"/>
    </row>
    <row r="768">
      <c r="M768" s="52"/>
      <c r="N768" s="52"/>
      <c r="O768" s="52"/>
    </row>
    <row r="769">
      <c r="M769" s="52"/>
      <c r="N769" s="52"/>
      <c r="O769" s="52"/>
    </row>
    <row r="770">
      <c r="M770" s="52"/>
      <c r="N770" s="52"/>
      <c r="O770" s="52"/>
    </row>
    <row r="771">
      <c r="M771" s="52"/>
      <c r="N771" s="52"/>
      <c r="O771" s="52"/>
    </row>
    <row r="772">
      <c r="M772" s="52"/>
      <c r="N772" s="52"/>
      <c r="O772" s="52"/>
    </row>
    <row r="773">
      <c r="M773" s="52"/>
      <c r="N773" s="52"/>
      <c r="O773" s="52"/>
    </row>
    <row r="774">
      <c r="M774" s="52"/>
      <c r="N774" s="52"/>
      <c r="O774" s="52"/>
    </row>
    <row r="775">
      <c r="M775" s="52"/>
      <c r="N775" s="52"/>
      <c r="O775" s="52"/>
    </row>
    <row r="776">
      <c r="M776" s="52"/>
      <c r="N776" s="52"/>
      <c r="O776" s="52"/>
    </row>
    <row r="777">
      <c r="M777" s="52"/>
      <c r="N777" s="52"/>
      <c r="O777" s="52"/>
    </row>
    <row r="778">
      <c r="M778" s="52"/>
      <c r="N778" s="52"/>
      <c r="O778" s="52"/>
    </row>
    <row r="779">
      <c r="M779" s="52"/>
      <c r="N779" s="52"/>
      <c r="O779" s="52"/>
    </row>
    <row r="780">
      <c r="M780" s="52"/>
      <c r="N780" s="52"/>
      <c r="O780" s="52"/>
    </row>
    <row r="781">
      <c r="M781" s="52"/>
      <c r="N781" s="52"/>
      <c r="O781" s="52"/>
    </row>
    <row r="782">
      <c r="M782" s="52"/>
      <c r="N782" s="52"/>
      <c r="O782" s="52"/>
    </row>
    <row r="783">
      <c r="M783" s="52"/>
      <c r="N783" s="52"/>
      <c r="O783" s="52"/>
    </row>
    <row r="784">
      <c r="M784" s="52"/>
      <c r="N784" s="52"/>
      <c r="O784" s="52"/>
    </row>
    <row r="785">
      <c r="M785" s="52"/>
      <c r="N785" s="52"/>
      <c r="O785" s="52"/>
    </row>
    <row r="786">
      <c r="M786" s="52"/>
      <c r="N786" s="52"/>
      <c r="O786" s="52"/>
    </row>
    <row r="787">
      <c r="M787" s="52"/>
      <c r="N787" s="52"/>
      <c r="O787" s="52"/>
    </row>
    <row r="788">
      <c r="M788" s="52"/>
      <c r="N788" s="52"/>
      <c r="O788" s="52"/>
    </row>
    <row r="789">
      <c r="M789" s="52"/>
      <c r="N789" s="52"/>
      <c r="O789" s="52"/>
    </row>
    <row r="790">
      <c r="M790" s="52"/>
      <c r="N790" s="52"/>
      <c r="O790" s="52"/>
    </row>
    <row r="791">
      <c r="M791" s="52"/>
      <c r="N791" s="52"/>
      <c r="O791" s="52"/>
    </row>
    <row r="792">
      <c r="M792" s="52"/>
      <c r="N792" s="52"/>
      <c r="O792" s="52"/>
    </row>
    <row r="793">
      <c r="M793" s="52"/>
      <c r="N793" s="52"/>
      <c r="O793" s="52"/>
    </row>
    <row r="794">
      <c r="M794" s="52"/>
      <c r="N794" s="52"/>
      <c r="O794" s="52"/>
    </row>
    <row r="795">
      <c r="M795" s="52"/>
      <c r="N795" s="52"/>
      <c r="O795" s="52"/>
    </row>
    <row r="796">
      <c r="M796" s="52"/>
      <c r="N796" s="52"/>
      <c r="O796" s="52"/>
    </row>
    <row r="797">
      <c r="M797" s="52"/>
      <c r="N797" s="52"/>
      <c r="O797" s="52"/>
    </row>
    <row r="798">
      <c r="M798" s="52"/>
      <c r="N798" s="52"/>
      <c r="O798" s="52"/>
    </row>
    <row r="799">
      <c r="M799" s="52"/>
      <c r="N799" s="52"/>
      <c r="O799" s="52"/>
    </row>
    <row r="800">
      <c r="M800" s="52"/>
      <c r="N800" s="52"/>
      <c r="O800" s="52"/>
    </row>
    <row r="801">
      <c r="M801" s="52"/>
      <c r="N801" s="52"/>
      <c r="O801" s="52"/>
    </row>
    <row r="802">
      <c r="M802" s="52"/>
      <c r="N802" s="52"/>
      <c r="O802" s="52"/>
    </row>
    <row r="803">
      <c r="M803" s="52"/>
      <c r="N803" s="52"/>
      <c r="O803" s="52"/>
    </row>
    <row r="804">
      <c r="M804" s="52"/>
      <c r="N804" s="52"/>
      <c r="O804" s="52"/>
    </row>
    <row r="805">
      <c r="M805" s="52"/>
      <c r="N805" s="52"/>
      <c r="O805" s="52"/>
    </row>
    <row r="806">
      <c r="M806" s="52"/>
      <c r="N806" s="52"/>
      <c r="O806" s="52"/>
    </row>
    <row r="807">
      <c r="M807" s="52"/>
      <c r="N807" s="52"/>
      <c r="O807" s="52"/>
    </row>
    <row r="808">
      <c r="M808" s="52"/>
      <c r="N808" s="52"/>
      <c r="O808" s="52"/>
    </row>
    <row r="809">
      <c r="M809" s="52"/>
      <c r="N809" s="52"/>
      <c r="O809" s="52"/>
    </row>
    <row r="810">
      <c r="M810" s="52"/>
      <c r="N810" s="52"/>
      <c r="O810" s="52"/>
    </row>
    <row r="811">
      <c r="M811" s="52"/>
      <c r="N811" s="52"/>
      <c r="O811" s="52"/>
    </row>
    <row r="812">
      <c r="M812" s="52"/>
      <c r="N812" s="52"/>
      <c r="O812" s="52"/>
    </row>
    <row r="813">
      <c r="M813" s="52"/>
      <c r="N813" s="52"/>
      <c r="O813" s="52"/>
    </row>
    <row r="814">
      <c r="M814" s="52"/>
      <c r="N814" s="52"/>
      <c r="O814" s="52"/>
    </row>
    <row r="815">
      <c r="M815" s="52"/>
      <c r="N815" s="52"/>
      <c r="O815" s="52"/>
    </row>
    <row r="816">
      <c r="M816" s="52"/>
      <c r="N816" s="52"/>
      <c r="O816" s="52"/>
    </row>
    <row r="817">
      <c r="M817" s="52"/>
      <c r="N817" s="52"/>
      <c r="O817" s="52"/>
    </row>
    <row r="818">
      <c r="M818" s="52"/>
      <c r="N818" s="52"/>
      <c r="O818" s="52"/>
    </row>
    <row r="819">
      <c r="M819" s="52"/>
      <c r="N819" s="52"/>
      <c r="O819" s="52"/>
    </row>
    <row r="820">
      <c r="M820" s="52"/>
      <c r="N820" s="52"/>
      <c r="O820" s="52"/>
    </row>
    <row r="821">
      <c r="M821" s="52"/>
      <c r="N821" s="52"/>
      <c r="O821" s="52"/>
    </row>
    <row r="822">
      <c r="M822" s="52"/>
      <c r="N822" s="52"/>
      <c r="O822" s="52"/>
    </row>
    <row r="823">
      <c r="M823" s="52"/>
      <c r="N823" s="52"/>
      <c r="O823" s="52"/>
    </row>
    <row r="824">
      <c r="M824" s="52"/>
      <c r="N824" s="52"/>
      <c r="O824" s="52"/>
    </row>
    <row r="825">
      <c r="M825" s="52"/>
      <c r="N825" s="52"/>
      <c r="O825" s="52"/>
    </row>
    <row r="826">
      <c r="M826" s="52"/>
      <c r="N826" s="52"/>
      <c r="O826" s="52"/>
    </row>
    <row r="827">
      <c r="M827" s="52"/>
      <c r="N827" s="52"/>
      <c r="O827" s="52"/>
    </row>
    <row r="828">
      <c r="M828" s="52"/>
      <c r="N828" s="52"/>
      <c r="O828" s="52"/>
    </row>
    <row r="829">
      <c r="M829" s="52"/>
      <c r="N829" s="52"/>
      <c r="O829" s="52"/>
    </row>
    <row r="830">
      <c r="M830" s="52"/>
      <c r="N830" s="52"/>
      <c r="O830" s="52"/>
    </row>
    <row r="831">
      <c r="M831" s="52"/>
      <c r="N831" s="52"/>
      <c r="O831" s="52"/>
    </row>
    <row r="832">
      <c r="M832" s="52"/>
      <c r="N832" s="52"/>
      <c r="O832" s="52"/>
    </row>
    <row r="833">
      <c r="M833" s="52"/>
      <c r="N833" s="52"/>
      <c r="O833" s="52"/>
    </row>
    <row r="834">
      <c r="M834" s="52"/>
      <c r="N834" s="52"/>
      <c r="O834" s="52"/>
    </row>
    <row r="835">
      <c r="M835" s="52"/>
      <c r="N835" s="52"/>
      <c r="O835" s="52"/>
    </row>
    <row r="836">
      <c r="M836" s="52"/>
      <c r="N836" s="52"/>
      <c r="O836" s="52"/>
    </row>
    <row r="837">
      <c r="M837" s="52"/>
      <c r="N837" s="52"/>
      <c r="O837" s="52"/>
    </row>
    <row r="838">
      <c r="M838" s="52"/>
      <c r="N838" s="52"/>
      <c r="O838" s="52"/>
    </row>
    <row r="839">
      <c r="M839" s="52"/>
      <c r="N839" s="52"/>
      <c r="O839" s="52"/>
    </row>
    <row r="840">
      <c r="M840" s="52"/>
      <c r="N840" s="52"/>
      <c r="O840" s="52"/>
    </row>
    <row r="841">
      <c r="M841" s="52"/>
      <c r="N841" s="52"/>
      <c r="O841" s="52"/>
    </row>
    <row r="842">
      <c r="M842" s="52"/>
      <c r="N842" s="52"/>
      <c r="O842" s="52"/>
    </row>
    <row r="843">
      <c r="M843" s="52"/>
      <c r="N843" s="52"/>
      <c r="O843" s="52"/>
    </row>
    <row r="844">
      <c r="M844" s="52"/>
      <c r="N844" s="52"/>
      <c r="O844" s="52"/>
    </row>
    <row r="845">
      <c r="M845" s="52"/>
      <c r="N845" s="52"/>
      <c r="O845" s="52"/>
    </row>
    <row r="846">
      <c r="M846" s="52"/>
      <c r="N846" s="52"/>
      <c r="O846" s="52"/>
    </row>
    <row r="847">
      <c r="M847" s="52"/>
      <c r="N847" s="52"/>
      <c r="O847" s="52"/>
    </row>
    <row r="848">
      <c r="M848" s="52"/>
      <c r="N848" s="52"/>
      <c r="O848" s="52"/>
    </row>
    <row r="849">
      <c r="M849" s="52"/>
      <c r="N849" s="52"/>
      <c r="O849" s="52"/>
    </row>
    <row r="850">
      <c r="M850" s="52"/>
      <c r="N850" s="52"/>
      <c r="O850" s="52"/>
    </row>
    <row r="851">
      <c r="M851" s="52"/>
      <c r="N851" s="52"/>
      <c r="O851" s="52"/>
    </row>
    <row r="852">
      <c r="M852" s="52"/>
      <c r="N852" s="52"/>
      <c r="O852" s="52"/>
    </row>
    <row r="853">
      <c r="M853" s="52"/>
      <c r="N853" s="52"/>
      <c r="O853" s="52"/>
    </row>
    <row r="854">
      <c r="M854" s="52"/>
      <c r="N854" s="52"/>
      <c r="O854" s="52"/>
    </row>
    <row r="855">
      <c r="M855" s="52"/>
      <c r="N855" s="52"/>
      <c r="O855" s="52"/>
    </row>
    <row r="856">
      <c r="M856" s="52"/>
      <c r="N856" s="52"/>
      <c r="O856" s="52"/>
    </row>
    <row r="857">
      <c r="M857" s="52"/>
      <c r="N857" s="52"/>
      <c r="O857" s="52"/>
    </row>
    <row r="858">
      <c r="M858" s="52"/>
      <c r="N858" s="52"/>
      <c r="O858" s="52"/>
    </row>
    <row r="859">
      <c r="M859" s="52"/>
      <c r="N859" s="52"/>
      <c r="O859" s="52"/>
    </row>
    <row r="860">
      <c r="M860" s="52"/>
      <c r="N860" s="52"/>
      <c r="O860" s="52"/>
    </row>
    <row r="861">
      <c r="M861" s="52"/>
      <c r="N861" s="52"/>
      <c r="O861" s="52"/>
    </row>
    <row r="862">
      <c r="M862" s="52"/>
      <c r="N862" s="52"/>
      <c r="O862" s="52"/>
    </row>
    <row r="863">
      <c r="M863" s="52"/>
      <c r="N863" s="52"/>
      <c r="O863" s="52"/>
    </row>
    <row r="864">
      <c r="M864" s="52"/>
      <c r="N864" s="52"/>
      <c r="O864" s="52"/>
    </row>
    <row r="865">
      <c r="M865" s="52"/>
      <c r="N865" s="52"/>
      <c r="O865" s="52"/>
    </row>
    <row r="866">
      <c r="M866" s="52"/>
      <c r="N866" s="52"/>
      <c r="O866" s="52"/>
    </row>
    <row r="867">
      <c r="M867" s="52"/>
      <c r="N867" s="52"/>
      <c r="O867" s="52"/>
    </row>
    <row r="868">
      <c r="M868" s="52"/>
      <c r="N868" s="52"/>
      <c r="O868" s="52"/>
    </row>
    <row r="869">
      <c r="M869" s="52"/>
      <c r="N869" s="52"/>
      <c r="O869" s="52"/>
    </row>
    <row r="870">
      <c r="M870" s="52"/>
      <c r="N870" s="52"/>
      <c r="O870" s="52"/>
    </row>
    <row r="871">
      <c r="M871" s="52"/>
      <c r="N871" s="52"/>
      <c r="O871" s="52"/>
    </row>
    <row r="872">
      <c r="M872" s="52"/>
      <c r="N872" s="52"/>
      <c r="O872" s="52"/>
    </row>
    <row r="873">
      <c r="M873" s="52"/>
      <c r="N873" s="52"/>
      <c r="O873" s="52"/>
    </row>
    <row r="874">
      <c r="M874" s="52"/>
      <c r="N874" s="52"/>
      <c r="O874" s="52"/>
    </row>
    <row r="875">
      <c r="M875" s="52"/>
      <c r="N875" s="52"/>
      <c r="O875" s="52"/>
    </row>
    <row r="876">
      <c r="M876" s="52"/>
      <c r="N876" s="52"/>
      <c r="O876" s="52"/>
    </row>
    <row r="877">
      <c r="M877" s="52"/>
      <c r="N877" s="52"/>
      <c r="O877" s="52"/>
    </row>
    <row r="878">
      <c r="M878" s="52"/>
      <c r="N878" s="52"/>
      <c r="O878" s="52"/>
    </row>
    <row r="879">
      <c r="M879" s="52"/>
      <c r="N879" s="52"/>
      <c r="O879" s="52"/>
    </row>
    <row r="880">
      <c r="M880" s="52"/>
      <c r="N880" s="52"/>
      <c r="O880" s="52"/>
    </row>
    <row r="881">
      <c r="M881" s="52"/>
      <c r="N881" s="52"/>
      <c r="O881" s="52"/>
    </row>
    <row r="882">
      <c r="M882" s="52"/>
      <c r="N882" s="52"/>
      <c r="O882" s="52"/>
    </row>
    <row r="883">
      <c r="M883" s="52"/>
      <c r="N883" s="52"/>
      <c r="O883" s="52"/>
    </row>
    <row r="884">
      <c r="M884" s="52"/>
      <c r="N884" s="52"/>
      <c r="O884" s="52"/>
    </row>
    <row r="885">
      <c r="M885" s="52"/>
      <c r="N885" s="52"/>
      <c r="O885" s="52"/>
    </row>
    <row r="886">
      <c r="M886" s="52"/>
      <c r="N886" s="52"/>
      <c r="O886" s="52"/>
    </row>
    <row r="887">
      <c r="M887" s="52"/>
      <c r="N887" s="52"/>
      <c r="O887" s="52"/>
    </row>
    <row r="888">
      <c r="M888" s="52"/>
      <c r="N888" s="52"/>
      <c r="O888" s="52"/>
    </row>
    <row r="889">
      <c r="M889" s="52"/>
      <c r="N889" s="52"/>
      <c r="O889" s="52"/>
    </row>
    <row r="890">
      <c r="M890" s="52"/>
      <c r="N890" s="52"/>
      <c r="O890" s="52"/>
    </row>
    <row r="891">
      <c r="M891" s="52"/>
      <c r="N891" s="52"/>
      <c r="O891" s="52"/>
    </row>
    <row r="892">
      <c r="M892" s="52"/>
      <c r="N892" s="52"/>
      <c r="O892" s="52"/>
    </row>
    <row r="893">
      <c r="M893" s="52"/>
      <c r="N893" s="52"/>
      <c r="O893" s="52"/>
    </row>
    <row r="894">
      <c r="M894" s="52"/>
      <c r="N894" s="52"/>
      <c r="O894" s="52"/>
    </row>
    <row r="895">
      <c r="M895" s="52"/>
      <c r="N895" s="52"/>
      <c r="O895" s="52"/>
    </row>
    <row r="896">
      <c r="M896" s="52"/>
      <c r="N896" s="52"/>
      <c r="O896" s="52"/>
    </row>
    <row r="897">
      <c r="M897" s="52"/>
      <c r="N897" s="52"/>
      <c r="O897" s="52"/>
    </row>
    <row r="898">
      <c r="M898" s="52"/>
      <c r="N898" s="52"/>
      <c r="O898" s="52"/>
    </row>
    <row r="899">
      <c r="M899" s="52"/>
      <c r="N899" s="52"/>
      <c r="O899" s="52"/>
    </row>
    <row r="900">
      <c r="M900" s="52"/>
      <c r="N900" s="52"/>
      <c r="O900" s="52"/>
    </row>
    <row r="901">
      <c r="M901" s="52"/>
      <c r="N901" s="52"/>
      <c r="O901" s="52"/>
    </row>
    <row r="902">
      <c r="M902" s="52"/>
      <c r="N902" s="52"/>
      <c r="O902" s="52"/>
    </row>
    <row r="903">
      <c r="M903" s="52"/>
      <c r="N903" s="52"/>
      <c r="O903" s="52"/>
    </row>
    <row r="904">
      <c r="M904" s="52"/>
      <c r="N904" s="52"/>
      <c r="O904" s="52"/>
    </row>
    <row r="905">
      <c r="M905" s="52"/>
      <c r="N905" s="52"/>
      <c r="O905" s="52"/>
    </row>
    <row r="906">
      <c r="M906" s="52"/>
      <c r="N906" s="52"/>
      <c r="O906" s="52"/>
    </row>
    <row r="907">
      <c r="M907" s="52"/>
      <c r="N907" s="52"/>
      <c r="O907" s="52"/>
    </row>
    <row r="908">
      <c r="M908" s="52"/>
      <c r="N908" s="52"/>
      <c r="O908" s="52"/>
    </row>
    <row r="909">
      <c r="M909" s="52"/>
      <c r="N909" s="52"/>
      <c r="O909" s="52"/>
    </row>
    <row r="910">
      <c r="M910" s="52"/>
      <c r="N910" s="52"/>
      <c r="O910" s="52"/>
    </row>
    <row r="911">
      <c r="M911" s="52"/>
      <c r="N911" s="52"/>
      <c r="O911" s="52"/>
    </row>
    <row r="912">
      <c r="M912" s="52"/>
      <c r="N912" s="52"/>
      <c r="O912" s="52"/>
    </row>
    <row r="913">
      <c r="M913" s="52"/>
      <c r="N913" s="52"/>
      <c r="O913" s="52"/>
    </row>
    <row r="914">
      <c r="M914" s="52"/>
      <c r="N914" s="52"/>
      <c r="O914" s="52"/>
    </row>
    <row r="915">
      <c r="M915" s="52"/>
      <c r="N915" s="52"/>
      <c r="O915" s="52"/>
    </row>
    <row r="916">
      <c r="M916" s="52"/>
      <c r="N916" s="52"/>
      <c r="O916" s="52"/>
    </row>
    <row r="917">
      <c r="M917" s="52"/>
      <c r="N917" s="52"/>
      <c r="O917" s="52"/>
    </row>
    <row r="918">
      <c r="M918" s="52"/>
      <c r="N918" s="52"/>
      <c r="O918" s="52"/>
    </row>
    <row r="919">
      <c r="M919" s="52"/>
      <c r="N919" s="52"/>
      <c r="O919" s="52"/>
    </row>
    <row r="920">
      <c r="M920" s="52"/>
      <c r="N920" s="52"/>
      <c r="O920" s="52"/>
    </row>
    <row r="921">
      <c r="M921" s="52"/>
      <c r="N921" s="52"/>
      <c r="O921" s="52"/>
    </row>
    <row r="922">
      <c r="M922" s="52"/>
      <c r="N922" s="52"/>
      <c r="O922" s="52"/>
    </row>
    <row r="923">
      <c r="M923" s="52"/>
      <c r="N923" s="52"/>
      <c r="O923" s="52"/>
    </row>
    <row r="924">
      <c r="M924" s="52"/>
      <c r="N924" s="52"/>
      <c r="O924" s="52"/>
    </row>
    <row r="925">
      <c r="M925" s="52"/>
      <c r="N925" s="52"/>
      <c r="O925" s="52"/>
    </row>
    <row r="926">
      <c r="M926" s="52"/>
      <c r="N926" s="52"/>
      <c r="O926" s="52"/>
    </row>
    <row r="927">
      <c r="M927" s="52"/>
      <c r="N927" s="52"/>
      <c r="O927" s="52"/>
    </row>
    <row r="928">
      <c r="M928" s="52"/>
      <c r="N928" s="52"/>
      <c r="O928" s="52"/>
    </row>
    <row r="929">
      <c r="M929" s="52"/>
      <c r="N929" s="52"/>
      <c r="O929" s="52"/>
    </row>
    <row r="930">
      <c r="M930" s="52"/>
      <c r="N930" s="52"/>
      <c r="O930" s="52"/>
    </row>
    <row r="931">
      <c r="M931" s="52"/>
      <c r="N931" s="52"/>
      <c r="O931" s="52"/>
    </row>
    <row r="932">
      <c r="M932" s="52"/>
      <c r="N932" s="52"/>
      <c r="O932" s="52"/>
    </row>
    <row r="933">
      <c r="M933" s="52"/>
      <c r="N933" s="52"/>
      <c r="O933" s="52"/>
    </row>
    <row r="934">
      <c r="M934" s="52"/>
      <c r="N934" s="52"/>
      <c r="O934" s="52"/>
    </row>
    <row r="935">
      <c r="M935" s="52"/>
      <c r="N935" s="52"/>
      <c r="O935" s="52"/>
    </row>
    <row r="936">
      <c r="M936" s="52"/>
      <c r="N936" s="52"/>
      <c r="O936" s="52"/>
    </row>
    <row r="937">
      <c r="M937" s="52"/>
      <c r="N937" s="52"/>
      <c r="O937" s="52"/>
    </row>
    <row r="938">
      <c r="M938" s="52"/>
      <c r="N938" s="52"/>
      <c r="O938" s="52"/>
    </row>
    <row r="939">
      <c r="M939" s="52"/>
      <c r="N939" s="52"/>
      <c r="O939" s="52"/>
    </row>
    <row r="940">
      <c r="M940" s="52"/>
      <c r="N940" s="52"/>
      <c r="O940" s="52"/>
    </row>
    <row r="941">
      <c r="M941" s="52"/>
      <c r="N941" s="52"/>
      <c r="O941" s="52"/>
    </row>
    <row r="942">
      <c r="M942" s="52"/>
      <c r="N942" s="52"/>
      <c r="O942" s="52"/>
    </row>
    <row r="943">
      <c r="M943" s="52"/>
      <c r="N943" s="52"/>
      <c r="O943" s="52"/>
    </row>
    <row r="944">
      <c r="M944" s="52"/>
      <c r="N944" s="52"/>
      <c r="O944" s="52"/>
    </row>
    <row r="945">
      <c r="M945" s="52"/>
      <c r="N945" s="52"/>
      <c r="O945" s="52"/>
    </row>
    <row r="946">
      <c r="M946" s="52"/>
      <c r="N946" s="52"/>
      <c r="O946" s="52"/>
    </row>
    <row r="947">
      <c r="M947" s="52"/>
      <c r="N947" s="52"/>
      <c r="O947" s="52"/>
    </row>
    <row r="948">
      <c r="M948" s="52"/>
      <c r="N948" s="52"/>
      <c r="O948" s="52"/>
    </row>
    <row r="949">
      <c r="M949" s="52"/>
      <c r="N949" s="52"/>
      <c r="O949" s="52"/>
    </row>
    <row r="950">
      <c r="M950" s="52"/>
      <c r="N950" s="52"/>
      <c r="O950" s="52"/>
    </row>
    <row r="951">
      <c r="M951" s="52"/>
      <c r="N951" s="52"/>
      <c r="O951" s="52"/>
    </row>
    <row r="952">
      <c r="M952" s="52"/>
      <c r="N952" s="52"/>
      <c r="O952" s="52"/>
    </row>
    <row r="953">
      <c r="M953" s="52"/>
      <c r="N953" s="52"/>
      <c r="O953" s="52"/>
    </row>
    <row r="954">
      <c r="M954" s="52"/>
      <c r="N954" s="52"/>
      <c r="O954" s="52"/>
    </row>
    <row r="955">
      <c r="M955" s="52"/>
      <c r="N955" s="52"/>
      <c r="O955" s="52"/>
    </row>
    <row r="956">
      <c r="M956" s="52"/>
      <c r="N956" s="52"/>
      <c r="O956" s="52"/>
    </row>
    <row r="957">
      <c r="M957" s="52"/>
      <c r="N957" s="52"/>
      <c r="O957" s="52"/>
    </row>
    <row r="958">
      <c r="M958" s="52"/>
      <c r="N958" s="52"/>
      <c r="O958" s="52"/>
    </row>
    <row r="959">
      <c r="M959" s="52"/>
      <c r="N959" s="52"/>
      <c r="O959" s="52"/>
    </row>
    <row r="960">
      <c r="M960" s="52"/>
      <c r="N960" s="52"/>
      <c r="O960" s="52"/>
    </row>
    <row r="961">
      <c r="M961" s="52"/>
      <c r="N961" s="52"/>
      <c r="O961" s="52"/>
    </row>
    <row r="962">
      <c r="M962" s="52"/>
      <c r="N962" s="52"/>
      <c r="O962" s="52"/>
    </row>
    <row r="963">
      <c r="M963" s="52"/>
      <c r="N963" s="52"/>
      <c r="O963" s="52"/>
    </row>
    <row r="964">
      <c r="M964" s="52"/>
      <c r="N964" s="52"/>
      <c r="O964" s="52"/>
    </row>
    <row r="965">
      <c r="M965" s="52"/>
      <c r="N965" s="52"/>
      <c r="O965" s="52"/>
    </row>
    <row r="966">
      <c r="M966" s="52"/>
      <c r="N966" s="52"/>
      <c r="O966" s="52"/>
    </row>
    <row r="967">
      <c r="M967" s="52"/>
      <c r="N967" s="52"/>
      <c r="O967" s="52"/>
    </row>
    <row r="968">
      <c r="M968" s="52"/>
      <c r="N968" s="52"/>
      <c r="O968" s="52"/>
    </row>
    <row r="969">
      <c r="M969" s="52"/>
      <c r="N969" s="52"/>
      <c r="O969" s="52"/>
    </row>
    <row r="970">
      <c r="M970" s="52"/>
      <c r="N970" s="52"/>
      <c r="O970" s="52"/>
    </row>
    <row r="971">
      <c r="M971" s="52"/>
      <c r="N971" s="52"/>
      <c r="O971" s="52"/>
    </row>
    <row r="972">
      <c r="M972" s="52"/>
      <c r="N972" s="52"/>
      <c r="O972" s="52"/>
    </row>
    <row r="973">
      <c r="M973" s="52"/>
      <c r="N973" s="52"/>
      <c r="O973" s="52"/>
    </row>
    <row r="974">
      <c r="M974" s="52"/>
      <c r="N974" s="52"/>
      <c r="O974" s="52"/>
    </row>
    <row r="975">
      <c r="M975" s="52"/>
      <c r="N975" s="52"/>
      <c r="O975" s="52"/>
    </row>
    <row r="976">
      <c r="M976" s="52"/>
      <c r="N976" s="52"/>
      <c r="O976" s="52"/>
    </row>
    <row r="977">
      <c r="M977" s="52"/>
      <c r="N977" s="52"/>
      <c r="O977" s="52"/>
    </row>
    <row r="978">
      <c r="M978" s="52"/>
      <c r="N978" s="52"/>
      <c r="O978" s="52"/>
    </row>
    <row r="979">
      <c r="M979" s="52"/>
      <c r="N979" s="52"/>
      <c r="O979" s="52"/>
    </row>
    <row r="980">
      <c r="M980" s="52"/>
      <c r="N980" s="52"/>
      <c r="O980" s="52"/>
    </row>
    <row r="981">
      <c r="M981" s="52"/>
      <c r="N981" s="52"/>
      <c r="O981" s="52"/>
    </row>
    <row r="982">
      <c r="M982" s="52"/>
      <c r="N982" s="52"/>
      <c r="O982" s="52"/>
    </row>
    <row r="983">
      <c r="M983" s="52"/>
      <c r="N983" s="52"/>
      <c r="O983" s="52"/>
    </row>
    <row r="984">
      <c r="M984" s="52"/>
      <c r="N984" s="52"/>
      <c r="O984" s="52"/>
    </row>
    <row r="985">
      <c r="M985" s="52"/>
      <c r="N985" s="52"/>
      <c r="O985" s="52"/>
    </row>
    <row r="986">
      <c r="M986" s="52"/>
      <c r="N986" s="52"/>
      <c r="O986" s="52"/>
    </row>
    <row r="987">
      <c r="M987" s="52"/>
      <c r="N987" s="52"/>
      <c r="O987" s="52"/>
    </row>
    <row r="988">
      <c r="M988" s="52"/>
      <c r="N988" s="52"/>
      <c r="O988" s="52"/>
    </row>
    <row r="989">
      <c r="M989" s="52"/>
      <c r="N989" s="52"/>
      <c r="O989" s="52"/>
    </row>
    <row r="990">
      <c r="M990" s="52"/>
      <c r="N990" s="52"/>
      <c r="O990" s="52"/>
    </row>
    <row r="991">
      <c r="M991" s="52"/>
      <c r="N991" s="52"/>
      <c r="O991" s="52"/>
    </row>
    <row r="992">
      <c r="M992" s="52"/>
      <c r="N992" s="52"/>
      <c r="O992" s="52"/>
    </row>
    <row r="993">
      <c r="M993" s="52"/>
      <c r="N993" s="52"/>
      <c r="O993" s="52"/>
    </row>
    <row r="994">
      <c r="M994" s="52"/>
      <c r="N994" s="52"/>
      <c r="O994" s="52"/>
    </row>
    <row r="995">
      <c r="M995" s="52"/>
      <c r="N995" s="52"/>
      <c r="O995" s="52"/>
    </row>
    <row r="996">
      <c r="M996" s="52"/>
      <c r="N996" s="52"/>
      <c r="O996" s="52"/>
    </row>
    <row r="997">
      <c r="M997" s="52"/>
      <c r="N997" s="52"/>
      <c r="O997" s="52"/>
    </row>
    <row r="998">
      <c r="M998" s="52"/>
      <c r="N998" s="52"/>
      <c r="O998" s="52"/>
    </row>
    <row r="999">
      <c r="M999" s="52"/>
      <c r="N999" s="52"/>
      <c r="O999" s="52"/>
    </row>
    <row r="1000">
      <c r="M1000" s="52"/>
      <c r="N1000" s="52"/>
      <c r="O1000" s="52"/>
    </row>
  </sheetData>
  <mergeCells count="7">
    <mergeCell ref="A1:A2"/>
    <mergeCell ref="B1:B2"/>
    <mergeCell ref="C1:G1"/>
    <mergeCell ref="H1:I1"/>
    <mergeCell ref="J1:J2"/>
    <mergeCell ref="K1:O1"/>
    <mergeCell ref="P1:U1"/>
  </mergeCells>
  <conditionalFormatting sqref="N3:N9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G3:G9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3:H9 K3:K9">
    <cfRule type="colorScale" priority="3">
      <colorScale>
        <cfvo type="formula" val="0"/>
        <cfvo type="max"/>
        <color rgb="FFFFFFFF"/>
        <color rgb="FF57BB8A"/>
      </colorScale>
    </cfRule>
  </conditionalFormatting>
  <conditionalFormatting sqref="I3:I9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J3:J9">
    <cfRule type="colorScale" priority="5">
      <colorScale>
        <cfvo type="formula" val="0"/>
        <cfvo type="max"/>
        <color rgb="FFFFFFFF"/>
        <color rgb="FF57BB8A"/>
      </colorScale>
    </cfRule>
  </conditionalFormatting>
  <conditionalFormatting sqref="K3:K9">
    <cfRule type="colorScale" priority="6">
      <colorScale>
        <cfvo type="formula" val="0"/>
        <cfvo type="max"/>
        <color rgb="FFFFFFFF"/>
        <color rgb="FF57BB8A"/>
      </colorScale>
    </cfRule>
  </conditionalFormatting>
  <conditionalFormatting sqref="L3:L9">
    <cfRule type="colorScale" priority="7">
      <colorScale>
        <cfvo type="formula" val="0"/>
        <cfvo type="max"/>
        <color rgb="FFFFFFFF"/>
        <color rgb="FFE67C73"/>
      </colorScale>
    </cfRule>
  </conditionalFormatting>
  <conditionalFormatting sqref="C3:C9">
    <cfRule type="colorScale" priority="8">
      <colorScale>
        <cfvo type="formula" val="0"/>
        <cfvo type="max"/>
        <color rgb="FFFFFFFF"/>
        <color rgb="FFFFD666"/>
      </colorScale>
    </cfRule>
  </conditionalFormatting>
  <conditionalFormatting sqref="D3:D9">
    <cfRule type="colorScale" priority="9">
      <colorScale>
        <cfvo type="formula" val="0"/>
        <cfvo type="max"/>
        <color rgb="FFFFFFFF"/>
        <color rgb="FF57BB8A"/>
      </colorScale>
    </cfRule>
  </conditionalFormatting>
  <conditionalFormatting sqref="E3:E9">
    <cfRule type="colorScale" priority="10">
      <colorScale>
        <cfvo type="formula" val="0"/>
        <cfvo type="max"/>
        <color rgb="FFFFFFFF"/>
        <color rgb="FFE67C73"/>
      </colorScale>
    </cfRule>
  </conditionalFormatting>
  <conditionalFormatting sqref="F3:F9">
    <cfRule type="colorScale" priority="11">
      <colorScale>
        <cfvo type="formula" val="0"/>
        <cfvo type="max"/>
        <color rgb="FFFFFFFF"/>
        <color rgb="FF57BB8A"/>
      </colorScale>
    </cfRule>
  </conditionalFormatting>
  <conditionalFormatting sqref="M3:M9">
    <cfRule type="colorScale" priority="12">
      <colorScale>
        <cfvo type="formula" val="0"/>
        <cfvo type="max"/>
        <color rgb="FFFFFFFF"/>
        <color rgb="FFFFD666"/>
      </colorScale>
    </cfRule>
  </conditionalFormatting>
  <conditionalFormatting sqref="O3:O9">
    <cfRule type="colorScale" priority="13">
      <colorScale>
        <cfvo type="formula" val="0"/>
        <cfvo type="formula" val="1"/>
        <color rgb="FFFFFFFF"/>
        <color rgb="FF57BB8A"/>
      </colorScale>
    </cfRule>
  </conditionalFormatting>
  <conditionalFormatting sqref="P3:P9">
    <cfRule type="colorScale" priority="14">
      <colorScale>
        <cfvo type="formula" val="0"/>
        <cfvo type="max"/>
        <color rgb="FFFFFFFF"/>
        <color rgb="FFFFD666"/>
      </colorScale>
    </cfRule>
  </conditionalFormatting>
  <conditionalFormatting sqref="U3:U9">
    <cfRule type="colorScale" priority="15">
      <colorScale>
        <cfvo type="formula" val="0"/>
        <cfvo type="formula" val="2"/>
        <cfvo type="formula" val="3"/>
        <color rgb="FFE67C73"/>
        <color rgb="FFFFFFFF"/>
        <color rgb="FF57BB8A"/>
      </colorScale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6" max="6" width="11.88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1" t="s">
        <v>4</v>
      </c>
      <c r="K1" s="6" t="s">
        <v>5</v>
      </c>
      <c r="L1" s="4"/>
      <c r="M1" s="4"/>
      <c r="N1" s="4"/>
      <c r="O1" s="5"/>
      <c r="P1" s="30" t="s">
        <v>6</v>
      </c>
      <c r="Q1" s="4"/>
      <c r="R1" s="4"/>
      <c r="S1" s="4"/>
      <c r="T1" s="4"/>
      <c r="U1" s="5"/>
      <c r="Z1" s="54" t="s">
        <v>91</v>
      </c>
    </row>
    <row r="2">
      <c r="A2" s="9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2" t="s">
        <v>13</v>
      </c>
      <c r="I2" s="12" t="s">
        <v>14</v>
      </c>
      <c r="J2" s="9"/>
      <c r="K2" s="10" t="s">
        <v>15</v>
      </c>
      <c r="L2" s="12" t="s">
        <v>10</v>
      </c>
      <c r="M2" s="10" t="s">
        <v>16</v>
      </c>
      <c r="N2" s="10" t="s">
        <v>17</v>
      </c>
      <c r="O2" s="10" t="s">
        <v>18</v>
      </c>
      <c r="P2" s="15" t="s">
        <v>8</v>
      </c>
      <c r="Q2" s="15">
        <v>0.0</v>
      </c>
      <c r="R2" s="15">
        <v>1.0</v>
      </c>
      <c r="S2" s="15">
        <v>2.0</v>
      </c>
      <c r="T2" s="15">
        <v>3.0</v>
      </c>
      <c r="U2" s="15" t="s">
        <v>19</v>
      </c>
      <c r="Z2" s="54" t="s">
        <v>92</v>
      </c>
    </row>
    <row r="3">
      <c r="A3" s="18" t="s">
        <v>21</v>
      </c>
      <c r="B3" s="18" t="s">
        <v>93</v>
      </c>
      <c r="C3" s="31">
        <f>IFERROR(__xludf.DUMMYFUNCTION("SUM(MAP(FILTER(Z1:Z100, Z1:Z100 &lt;&gt; """"), LAMBDA(sheet, IFERROR(VALUE(INDIRECT(""'"" &amp; sheet &amp; ""'!C3"")), 0))))"),18.0)</f>
        <v>18</v>
      </c>
      <c r="D3" s="32">
        <f>IFERROR(__xludf.DUMMYFUNCTION("SUM(MAP(FILTER(Z1:Z100, Z1:Z100 &lt;&gt; """"), LAMBDA(sheet, IFERROR(VALUE(INDIRECT(""'"" &amp; sheet &amp; ""'!d3"")), 0))))"),4.0)</f>
        <v>4</v>
      </c>
      <c r="E3" s="38">
        <f>IFERROR(__xludf.DUMMYFUNCTION("SUM(MAP(FILTER(Z1:Z100, Z1:Z100 &lt;&gt; """"), LAMBDA(sheet, IFERROR(VALUE(INDIRECT(""'"" &amp; sheet &amp; ""'!e3"")), 0))))"),3.0)</f>
        <v>3</v>
      </c>
      <c r="F3" s="34">
        <f>IFERROR(__xludf.DUMMYFUNCTION("SUM(MAP(FILTER(Z1:Z100, Z1:Z100 &lt;&gt; """"), LAMBDA(sheet, IFERROR(VALUE(INDIRECT(""'"" &amp; sheet &amp; ""'!f3"")), 0))))"),0.0)</f>
        <v>0</v>
      </c>
      <c r="G3" s="35">
        <f t="shared" ref="G3:G9" si="1">IFS(C3=0, "N/A", C3&lt;&gt;0,(D3-E3)/C3 )</f>
        <v>0.05555555556</v>
      </c>
      <c r="H3" s="10">
        <f>IFERROR(__xludf.DUMMYFUNCTION("SUM(MAP(FILTER(Z1:Z100, Z1:Z100 &lt;&gt; """"), LAMBDA(sheet, IFERROR(VALUE(INDIRECT(""'"" &amp; sheet &amp; ""'!h3"")), 0))))"),0.0)</f>
        <v>0</v>
      </c>
      <c r="I3" s="10">
        <f>IFERROR(__xludf.DUMMYFUNCTION("SUM(MAP(FILTER(Z1:Z100, Z1:Z100 &lt;&gt; """"), LAMBDA(sheet, IFERROR(VALUE(INDIRECT(""'"" &amp; sheet &amp; ""'!i73"")), 0))))"),0.0)</f>
        <v>0</v>
      </c>
      <c r="J3" s="10">
        <f>IFERROR(__xludf.DUMMYFUNCTION("SUM(MAP(FILTER(Z1:Z100, Z1:Z100 &lt;&gt; """"), LAMBDA(sheet, IFERROR(VALUE(INDIRECT(""'"" &amp; sheet &amp; ""'!j3"")), 0))))"),12.0)</f>
        <v>12</v>
      </c>
      <c r="K3" s="10">
        <f>IFERROR(__xludf.DUMMYFUNCTION("SUM(MAP(FILTER(Z1:Z100, Z1:Z100 &lt;&gt; """"), LAMBDA(sheet, IFERROR(VALUE(INDIRECT(""'"" &amp; sheet &amp; ""'!k3"")), 0))))"),3.0)</f>
        <v>3</v>
      </c>
      <c r="L3" s="10">
        <f>IFERROR(__xludf.DUMMYFUNCTION("SUM(MAP(FILTER(Z1:Z100, Z1:Z100 &lt;&gt; """"), LAMBDA(sheet, IFERROR(VALUE(INDIRECT(""'"" &amp; sheet &amp; ""'!l3"")), 0))))"),2.0)</f>
        <v>2</v>
      </c>
      <c r="M3" s="10">
        <f>IFERROR(__xludf.DUMMYFUNCTION("SUM(MAP(FILTER(Z1:Z100, Z1:Z100 &lt;&gt; """"), LAMBDA(sheet, IFERROR(VALUE(INDIRECT(""'"" &amp; sheet &amp; ""'!m3"")), 0))))"),13.0)</f>
        <v>13</v>
      </c>
      <c r="N3" s="35">
        <f t="shared" ref="N3:N9" si="2">ifs(M3=0,"N/A",M3&lt;&gt;0,(M3-L3) /M3)</f>
        <v>0.8461538462</v>
      </c>
      <c r="O3" s="35">
        <f t="shared" ref="O3:O9" si="3">IFS(M3=0, "N/A", M3&lt;&gt;0, K3/M3)</f>
        <v>0.2307692308</v>
      </c>
      <c r="P3" s="10">
        <f>IFERROR(__xludf.DUMMYFUNCTION("SUM(MAP(FILTER(Z1:Z100, Z1:Z100 &lt;&gt; """"), LAMBDA(sheet, IFERROR(VALUE(INDIRECT(""'"" &amp; sheet &amp; ""'!p3"")), 0))))"),7.0)</f>
        <v>7</v>
      </c>
      <c r="Q3" s="10">
        <f>IFERROR(__xludf.DUMMYFUNCTION("SUM(MAP(FILTER(Z1:Z100, Z1:Z100 &lt;&gt; """"), LAMBDA(sheet, IFERROR(VALUE(INDIRECT(""'"" &amp; sheet &amp; ""'!q3"")), 0))))"),0.0)</f>
        <v>0</v>
      </c>
      <c r="R3" s="10">
        <f>IFERROR(__xludf.DUMMYFUNCTION("SUM(MAP(FILTER(Z1:Z100, Z1:Z100 &lt;&gt; """"), LAMBDA(sheet, IFERROR(VALUE(INDIRECT(""'"" &amp; sheet &amp; ""'!r3"")), 0))))"),2.0)</f>
        <v>2</v>
      </c>
      <c r="S3" s="10">
        <f>IFERROR(__xludf.DUMMYFUNCTION("SUM(MAP(FILTER(Z1:Z100, Z1:Z100 &lt;&gt; """"), LAMBDA(sheet, IFERROR(VALUE(INDIRECT(""'"" &amp; sheet &amp; ""'!s3"")), 0))))"),1.0)</f>
        <v>1</v>
      </c>
      <c r="T3" s="10">
        <f>IFERROR(__xludf.DUMMYFUNCTION("SUM(MAP(FILTER(Z1:Z100, Z1:Z100 &lt;&gt; """"), LAMBDA(sheet, IFERROR(VALUE(INDIRECT(""'"" &amp; sheet &amp; ""'!t3"")), 0))))"),4.0)</f>
        <v>4</v>
      </c>
      <c r="U3" s="10">
        <f t="shared" ref="U3:U9" si="4">ifs(P3=0, "N/A",P3&lt;&gt;0,(R3 + S3*2 +T3*3)/P3)</f>
        <v>2.285714286</v>
      </c>
      <c r="Z3" s="54" t="s">
        <v>94</v>
      </c>
    </row>
    <row r="4">
      <c r="A4" s="21" t="s">
        <v>24</v>
      </c>
      <c r="B4" s="21" t="s">
        <v>41</v>
      </c>
      <c r="C4" s="36">
        <f>IFERROR(__xludf.DUMMYFUNCTION("SUM(MAP(FILTER(Z1:Z100, Z1:Z100 &lt;&gt; """"), LAMBDA(sheet, IFERROR(VALUE(INDIRECT(""'"" &amp; sheet &amp; ""'!C4"")), 0))))"),14.0)</f>
        <v>14</v>
      </c>
      <c r="D4" s="37">
        <f>IFERROR(__xludf.DUMMYFUNCTION("SUM(MAP(FILTER(Z1:Z100, Z1:Z100 &lt;&gt; """"), LAMBDA(sheet, IFERROR(VALUE(INDIRECT(""'"" &amp; sheet &amp; ""'!d4"")), 0))))"),3.0)</f>
        <v>3</v>
      </c>
      <c r="E4" s="38">
        <f>IFERROR(__xludf.DUMMYFUNCTION("SUM(MAP(FILTER(Z1:Z100, Z1:Z100 &lt;&gt; """"), LAMBDA(sheet, IFERROR(VALUE(INDIRECT(""'"" &amp; sheet &amp; ""'!e4"")), 0))))"),3.0)</f>
        <v>3</v>
      </c>
      <c r="F4" s="39">
        <f>IFERROR(__xludf.DUMMYFUNCTION("SUM(MAP(FILTER(Z1:Z100, Z1:Z100 &lt;&gt; """"), LAMBDA(sheet, IFERROR(VALUE(INDIRECT(""'"" &amp; sheet &amp; ""'!f4"")), 0))))"),0.0)</f>
        <v>0</v>
      </c>
      <c r="G4" s="35">
        <f t="shared" si="1"/>
        <v>0</v>
      </c>
      <c r="H4" s="10">
        <f>IFERROR(__xludf.DUMMYFUNCTION("SUM(MAP(FILTER(Z1:Z100, Z1:Z100 &lt;&gt; """"), LAMBDA(sheet, IFERROR(VALUE(INDIRECT(""'"" &amp; sheet &amp; ""'!h4"")), 0))))"),0.0)</f>
        <v>0</v>
      </c>
      <c r="I4" s="10">
        <f>IFERROR(__xludf.DUMMYFUNCTION("SUM(MAP(FILTER(Z1:Z100, Z1:Z100 &lt;&gt; """"), LAMBDA(sheet, IFERROR(VALUE(INDIRECT(""'"" &amp; sheet &amp; ""'!i4"")), 0))))"),1.0)</f>
        <v>1</v>
      </c>
      <c r="J4" s="10">
        <f>IFERROR(__xludf.DUMMYFUNCTION("SUM(MAP(FILTER(Z1:Z100, Z1:Z100 &lt;&gt; """"), LAMBDA(sheet, IFERROR(VALUE(INDIRECT(""'"" &amp; sheet &amp; ""'!j4"")), 0))))"),10.0)</f>
        <v>10</v>
      </c>
      <c r="K4" s="10">
        <f>IFERROR(__xludf.DUMMYFUNCTION("SUM(MAP(FILTER(Z1:Z100, Z1:Z100 &lt;&gt; """"), LAMBDA(sheet, IFERROR(VALUE(INDIRECT(""'"" &amp; sheet &amp; ""'!k4"")), 0))))"),2.0)</f>
        <v>2</v>
      </c>
      <c r="L4" s="10">
        <f>IFERROR(__xludf.DUMMYFUNCTION("SUM(MAP(FILTER(Z1:Z100, Z1:Z100 &lt;&gt; """"), LAMBDA(sheet, IFERROR(VALUE(INDIRECT(""'"" &amp; sheet &amp; ""'!l4"")), 0))))"),0.0)</f>
        <v>0</v>
      </c>
      <c r="M4" s="10">
        <f>IFERROR(__xludf.DUMMYFUNCTION("SUM(MAP(FILTER(Z1:Z100, Z1:Z100 &lt;&gt; """"), LAMBDA(sheet, IFERROR(VALUE(INDIRECT(""'"" &amp; sheet &amp; ""'!m4"")), 0))))"),10.0)</f>
        <v>10</v>
      </c>
      <c r="N4" s="35">
        <f t="shared" si="2"/>
        <v>1</v>
      </c>
      <c r="O4" s="35">
        <f t="shared" si="3"/>
        <v>0.2</v>
      </c>
      <c r="P4" s="10">
        <f>IFERROR(__xludf.DUMMYFUNCTION("SUM(MAP(FILTER(Z1:Z100, Z1:Z100 &lt;&gt; """"), LAMBDA(sheet, IFERROR(VALUE(INDIRECT(""'"" &amp; sheet &amp; ""'!p4"")), 0))))"),7.0)</f>
        <v>7</v>
      </c>
      <c r="Q4" s="10">
        <f>IFERROR(__xludf.DUMMYFUNCTION("SUM(MAP(FILTER(Z1:Z100, Z1:Z100 &lt;&gt; """"), LAMBDA(sheet, IFERROR(VALUE(INDIRECT(""'"" &amp; sheet &amp; ""'!q4"")), 0))))"),0.0)</f>
        <v>0</v>
      </c>
      <c r="R4" s="10">
        <f>IFERROR(__xludf.DUMMYFUNCTION("SUM(MAP(FILTER(Z1:Z100, Z1:Z100 &lt;&gt; """"), LAMBDA(sheet, IFERROR(VALUE(INDIRECT(""'"" &amp; sheet &amp; ""'!r4"")), 0))))"),0.0)</f>
        <v>0</v>
      </c>
      <c r="S4" s="10">
        <f>IFERROR(__xludf.DUMMYFUNCTION("SUM(MAP(FILTER(Z1:Z100, Z1:Z100 &lt;&gt; """"), LAMBDA(sheet, IFERROR(VALUE(INDIRECT(""'"" &amp; sheet &amp; ""'!s4"")), 0))))"),1.0)</f>
        <v>1</v>
      </c>
      <c r="T4" s="10">
        <f>IFERROR(__xludf.DUMMYFUNCTION("SUM(MAP(FILTER(Z1:Z100, Z1:Z100 &lt;&gt; """"), LAMBDA(sheet, IFERROR(VALUE(INDIRECT(""'"" &amp; sheet &amp; ""'!t4"")), 0))))"),6.0)</f>
        <v>6</v>
      </c>
      <c r="U4" s="10">
        <f t="shared" si="4"/>
        <v>2.857142857</v>
      </c>
      <c r="Z4" s="54"/>
    </row>
    <row r="5">
      <c r="A5" s="22" t="s">
        <v>26</v>
      </c>
      <c r="B5" s="22" t="s">
        <v>42</v>
      </c>
      <c r="C5" s="40">
        <f>IFERROR(__xludf.DUMMYFUNCTION("SUM(MAP(FILTER(Z1:Z100, Z1:Z100 &lt;&gt; """"), LAMBDA(sheet, IFERROR(VALUE(INDIRECT(""'"" &amp; sheet &amp; ""'!C5"")), 0))))"),2.0)</f>
        <v>2</v>
      </c>
      <c r="D5" s="41">
        <f>IFERROR(__xludf.DUMMYFUNCTION("SUM(MAP(FILTER(Z1:Z101, Z1:Z101 &lt;&gt; """"), LAMBDA(sheet, IFERROR(VALUE(INDIRECT(""'"" &amp; sheet &amp; ""'!d5"")), 0))))"),1.0)</f>
        <v>1</v>
      </c>
      <c r="E5" s="39">
        <f>IFERROR(__xludf.DUMMYFUNCTION("SUM(MAP(FILTER(Z1:Z100, Z1:Z100 &lt;&gt; """"), LAMBDA(sheet, IFERROR(VALUE(INDIRECT(""'"" &amp; sheet &amp; ""'!e5"")), 0))))"),0.0)</f>
        <v>0</v>
      </c>
      <c r="F5" s="42">
        <f>IFERROR(__xludf.DUMMYFUNCTION("SUM(MAP(FILTER(Z1:Z100, Z1:Z100 &lt;&gt; """"), LAMBDA(sheet, IFERROR(VALUE(INDIRECT(""'"" &amp; sheet &amp; ""'!f5"")), 0))))"),22.0)</f>
        <v>22</v>
      </c>
      <c r="G5" s="35">
        <f t="shared" si="1"/>
        <v>0.5</v>
      </c>
      <c r="H5" s="10">
        <f>IFERROR(__xludf.DUMMYFUNCTION("SUM(MAP(FILTER(Z1:Z100, Z1:Z100 &lt;&gt; """"), LAMBDA(sheet, IFERROR(VALUE(INDIRECT(""'"" &amp; sheet &amp; ""'!h5"")), 0))))"),0.0)</f>
        <v>0</v>
      </c>
      <c r="I5" s="10">
        <f>IFERROR(__xludf.DUMMYFUNCTION("SUM(MAP(FILTER(Z1:Z100, Z1:Z100 &lt;&gt; """"), LAMBDA(sheet, IFERROR(VALUE(INDIRECT(""'"" &amp; sheet &amp; ""'!i5"")), 0))))"),1.0)</f>
        <v>1</v>
      </c>
      <c r="J5" s="10">
        <f>IFERROR(__xludf.DUMMYFUNCTION("SUM(MAP(FILTER(Z1:Z100, Z1:Z100 &lt;&gt; """"), LAMBDA(sheet, IFERROR(VALUE(INDIRECT(""'"" &amp; sheet &amp; ""'!j5"")), 0))))"),6.0)</f>
        <v>6</v>
      </c>
      <c r="K5" s="10">
        <f>IFERROR(__xludf.DUMMYFUNCTION("SUM(MAP(FILTER(Z1:Z100, Z1:Z100 &lt;&gt; """"), LAMBDA(sheet, IFERROR(VALUE(INDIRECT(""'"" &amp; sheet &amp; ""'!k5"")), 0))))"),0.0)</f>
        <v>0</v>
      </c>
      <c r="L5" s="10">
        <f>IFERROR(__xludf.DUMMYFUNCTION("SUM(MAP(FILTER(Z1:Z100, Z1:Z100 &lt;&gt; """"), LAMBDA(sheet, IFERROR(VALUE(INDIRECT(""'"" &amp; sheet &amp; ""'!l5"")), 0))))"),1.0)</f>
        <v>1</v>
      </c>
      <c r="M5" s="10">
        <f>IFERROR(__xludf.DUMMYFUNCTION("SUM(MAP(FILTER(Z1:Z100, Z1:Z100 &lt;&gt; """"), LAMBDA(sheet, IFERROR(VALUE(INDIRECT(""'"" &amp; sheet &amp; ""'!m5"")), 0))))"),11.0)</f>
        <v>11</v>
      </c>
      <c r="N5" s="35">
        <f t="shared" si="2"/>
        <v>0.9090909091</v>
      </c>
      <c r="O5" s="35">
        <f t="shared" si="3"/>
        <v>0</v>
      </c>
      <c r="P5" s="10">
        <f>IFERROR(__xludf.DUMMYFUNCTION("SUM(MAP(FILTER(Z1:Z100, Z1:Z100 &lt;&gt; """"), LAMBDA(sheet, IFERROR(VALUE(INDIRECT(""'"" &amp; sheet &amp; ""'!p5"")), 0))))"),0.0)</f>
        <v>0</v>
      </c>
      <c r="Q5" s="10">
        <f>IFERROR(__xludf.DUMMYFUNCTION("SUM(MAP(FILTER(Z1:Z100, Z1:Z100 &lt;&gt; """"), LAMBDA(sheet, IFERROR(VALUE(INDIRECT(""'"" &amp; sheet &amp; ""'!q5"")), 0))))"),0.0)</f>
        <v>0</v>
      </c>
      <c r="R5" s="10">
        <f>IFERROR(__xludf.DUMMYFUNCTION("SUM(MAP(FILTER(Z1:Z100, Z1:Z100 &lt;&gt; """"), LAMBDA(sheet, IFERROR(VALUE(INDIRECT(""'"" &amp; sheet &amp; ""'!r5"")), 0))))"),0.0)</f>
        <v>0</v>
      </c>
      <c r="S5" s="10">
        <f>IFERROR(__xludf.DUMMYFUNCTION("SUM(MAP(FILTER(Z1:Z100, Z1:Z100 &lt;&gt; """"), LAMBDA(sheet, IFERROR(VALUE(INDIRECT(""'"" &amp; sheet &amp; ""'!s5"")), 0))))"),0.0)</f>
        <v>0</v>
      </c>
      <c r="T5" s="10">
        <f>IFERROR(__xludf.DUMMYFUNCTION("SUM(MAP(FILTER(Z1:Z100, Z1:Z100 &lt;&gt; """"), LAMBDA(sheet, IFERROR(VALUE(INDIRECT(""'"" &amp; sheet &amp; ""'!t5"")), 0))))"),0.0)</f>
        <v>0</v>
      </c>
      <c r="U5" s="10" t="str">
        <f t="shared" si="4"/>
        <v>N/A</v>
      </c>
    </row>
    <row r="6">
      <c r="A6" s="23" t="s">
        <v>28</v>
      </c>
      <c r="B6" s="23" t="s">
        <v>95</v>
      </c>
      <c r="C6" s="43">
        <f>IFERROR(__xludf.DUMMYFUNCTION("SUM(MAP(FILTER(Z1:Z100, Z1:Z100 &lt;&gt; """"), LAMBDA(sheet, IFERROR(VALUE(INDIRECT(""'"" &amp; sheet &amp; ""'!C6"")), 0))))"),20.0)</f>
        <v>20</v>
      </c>
      <c r="D6" s="42">
        <f>IFERROR(__xludf.DUMMYFUNCTION("SUM(MAP(FILTER(Z1:Z102, Z1:Z102 &lt;&gt; """"), LAMBDA(sheet, IFERROR(VALUE(INDIRECT(""'"" &amp; sheet &amp; ""'!d6"")), 0))))"),8.0)</f>
        <v>8</v>
      </c>
      <c r="E6" s="44">
        <f>IFERROR(__xludf.DUMMYFUNCTION("SUM(MAP(FILTER(Z1:Z100, Z1:Z100 &lt;&gt; """"), LAMBDA(sheet, IFERROR(VALUE(INDIRECT(""'"" &amp; sheet &amp; ""'!e6"")), 0))))"),3.0)</f>
        <v>3</v>
      </c>
      <c r="F6" s="45">
        <f>IFERROR(__xludf.DUMMYFUNCTION("SUM(MAP(FILTER(Z1:Z100, Z1:Z100 &lt;&gt; """"), LAMBDA(sheet, IFERROR(VALUE(INDIRECT(""'"" &amp; sheet &amp; ""'!f6"")), 0))))"),1.0)</f>
        <v>1</v>
      </c>
      <c r="G6" s="35">
        <f t="shared" si="1"/>
        <v>0.25</v>
      </c>
      <c r="H6" s="10">
        <f>IFERROR(__xludf.DUMMYFUNCTION("SUM(MAP(FILTER(Z1:Z100, Z1:Z100 &lt;&gt; """"), LAMBDA(sheet, IFERROR(VALUE(INDIRECT(""'"" &amp; sheet &amp; ""'!h6"")), 0))))"),1.0)</f>
        <v>1</v>
      </c>
      <c r="I6" s="10">
        <f>IFERROR(__xludf.DUMMYFUNCTION("SUM(MAP(FILTER(Z1:Z100, Z1:Z100 &lt;&gt; """"), LAMBDA(sheet, IFERROR(VALUE(INDIRECT(""'"" &amp; sheet &amp; ""'!i6"")), 0))))"),2.0)</f>
        <v>2</v>
      </c>
      <c r="J6" s="10">
        <f>IFERROR(__xludf.DUMMYFUNCTION("SUM(MAP(FILTER(Z1:Z100, Z1:Z100 &lt;&gt; """"), LAMBDA(sheet, IFERROR(VALUE(INDIRECT(""'"" &amp; sheet &amp; ""'!j6"")), 0))))"),7.0)</f>
        <v>7</v>
      </c>
      <c r="K6" s="10">
        <f>IFERROR(__xludf.DUMMYFUNCTION("SUM(MAP(FILTER(Z1:Z100, Z1:Z100 &lt;&gt; """"), LAMBDA(sheet, IFERROR(VALUE(INDIRECT(""'"" &amp; sheet &amp; ""'!k6"")), 0))))"),2.0)</f>
        <v>2</v>
      </c>
      <c r="L6" s="10">
        <f>IFERROR(__xludf.DUMMYFUNCTION("SUM(MAP(FILTER(Z1:Z100, Z1:Z100 &lt;&gt; """"), LAMBDA(sheet, IFERROR(VALUE(INDIRECT(""'"" &amp; sheet &amp; ""'!l6"")), 0))))"),2.0)</f>
        <v>2</v>
      </c>
      <c r="M6" s="10">
        <f>IFERROR(__xludf.DUMMYFUNCTION("SUM(MAP(FILTER(Z1:Z100, Z1:Z100 &lt;&gt; """"), LAMBDA(sheet, IFERROR(VALUE(INDIRECT(""'"" &amp; sheet &amp; ""'!m6"")), 0))))"),10.0)</f>
        <v>10</v>
      </c>
      <c r="N6" s="35">
        <f t="shared" si="2"/>
        <v>0.8</v>
      </c>
      <c r="O6" s="35">
        <f t="shared" si="3"/>
        <v>0.2</v>
      </c>
      <c r="P6" s="10">
        <f>IFERROR(__xludf.DUMMYFUNCTION("SUM(MAP(FILTER(Z1:Z100, Z1:Z100 &lt;&gt; """"), LAMBDA(sheet, IFERROR(VALUE(INDIRECT(""'"" &amp; sheet &amp; ""'!p6"")), 0))))"),10.0)</f>
        <v>10</v>
      </c>
      <c r="Q6" s="10">
        <f>IFERROR(__xludf.DUMMYFUNCTION("SUM(MAP(FILTER(Z1:Z100, Z1:Z100 &lt;&gt; """"), LAMBDA(sheet, IFERROR(VALUE(INDIRECT(""'"" &amp; sheet &amp; ""'!q6"")), 0))))"),1.0)</f>
        <v>1</v>
      </c>
      <c r="R6" s="10">
        <f>IFERROR(__xludf.DUMMYFUNCTION("SUM(MAP(FILTER(Z1:Z100, Z1:Z100 &lt;&gt; """"), LAMBDA(sheet, IFERROR(VALUE(INDIRECT(""'"" &amp; sheet &amp; ""'!r6"")), 0))))"),3.0)</f>
        <v>3</v>
      </c>
      <c r="S6" s="10">
        <f>IFERROR(__xludf.DUMMYFUNCTION("SUM(MAP(FILTER(Z1:Z100, Z1:Z100 &lt;&gt; """"), LAMBDA(sheet, IFERROR(VALUE(INDIRECT(""'"" &amp; sheet &amp; ""'!s6"")), 0))))"),1.0)</f>
        <v>1</v>
      </c>
      <c r="T6" s="10">
        <f>IFERROR(__xludf.DUMMYFUNCTION("SUM(MAP(FILTER(Z1:Z100, Z1:Z100 &lt;&gt; """"), LAMBDA(sheet, IFERROR(VALUE(INDIRECT(""'"" &amp; sheet &amp; ""'!t6"")), 0))))"),5.0)</f>
        <v>5</v>
      </c>
      <c r="U6" s="10">
        <f t="shared" si="4"/>
        <v>2</v>
      </c>
    </row>
    <row r="7">
      <c r="A7" s="24" t="s">
        <v>30</v>
      </c>
      <c r="B7" s="24" t="s">
        <v>96</v>
      </c>
      <c r="C7" s="46">
        <f>IFERROR(__xludf.DUMMYFUNCTION("SUM(MAP(FILTER(Z1:Z100, Z1:Z100 &lt;&gt; """"), LAMBDA(sheet, IFERROR(VALUE(INDIRECT(""'"" &amp; sheet &amp; ""'!C7"")), 0))))"),21.0)</f>
        <v>21</v>
      </c>
      <c r="D7" s="47">
        <f>IFERROR(__xludf.DUMMYFUNCTION("SUM(MAP(FILTER(Z1:Z104, Z1:Z104 &lt;&gt; """"), LAMBDA(sheet, IFERROR(VALUE(INDIRECT(""'"" &amp; sheet &amp; ""'!d7"")), 0))))"),8.0)</f>
        <v>8</v>
      </c>
      <c r="E7" s="44">
        <f>IFERROR(__xludf.DUMMYFUNCTION("SUM(MAP(FILTER(Z1:Z100, Z1:Z100 &lt;&gt; """"), LAMBDA(sheet, IFERROR(VALUE(INDIRECT(""'"" &amp; sheet &amp; ""'!e7"")), 0))))"),6.0)</f>
        <v>6</v>
      </c>
      <c r="F7" s="39">
        <f>IFERROR(__xludf.DUMMYFUNCTION("SUM(MAP(FILTER(Z1:Z100, Z1:Z100 &lt;&gt; """"), LAMBDA(sheet, IFERROR(VALUE(INDIRECT(""'"" &amp; sheet &amp; ""'!f7""), 0)))))"),0.0)</f>
        <v>0</v>
      </c>
      <c r="G7" s="35">
        <f t="shared" si="1"/>
        <v>0.09523809524</v>
      </c>
      <c r="H7" s="10">
        <f>IFERROR(__xludf.DUMMYFUNCTION("SUM(MAP(FILTER(Z1:Z100, Z1:Z100 &lt;&gt; """"), LAMBDA(sheet, IFERROR(VALUE(INDIRECT(""'"" &amp; sheet &amp; ""'!h7"")), 0))))"),0.0)</f>
        <v>0</v>
      </c>
      <c r="I7" s="10">
        <f>IFERROR(__xludf.DUMMYFUNCTION("SUM(MAP(FILTER(Z1:Z100, Z1:Z100 &lt;&gt; """"), LAMBDA(sheet, IFERROR(VALUE(INDIRECT(""'"" &amp; sheet &amp; ""'!i7"")), 0))))"),0.0)</f>
        <v>0</v>
      </c>
      <c r="J7" s="10">
        <f>IFERROR(__xludf.DUMMYFUNCTION("SUM(MAP(FILTER(Z1:Z100, Z1:Z100 &lt;&gt; """"), LAMBDA(sheet, IFERROR(VALUE(INDIRECT(""'"" &amp; sheet &amp; ""'!j7"")), 0))))"),14.0)</f>
        <v>14</v>
      </c>
      <c r="K7" s="10">
        <f>IFERROR(__xludf.DUMMYFUNCTION("SUM(MAP(FILTER(Z1:Z100, Z1:Z100 &lt;&gt; """"), LAMBDA(sheet, IFERROR(VALUE(INDIRECT(""'"" &amp; sheet &amp; ""'!k7"")), 0))))"),1.0)</f>
        <v>1</v>
      </c>
      <c r="L7" s="10">
        <f>IFERROR(__xludf.DUMMYFUNCTION("SUM(MAP(FILTER(Z1:Z100, Z1:Z100 &lt;&gt; """"), LAMBDA(sheet, IFERROR(VALUE(INDIRECT(""'"" &amp; sheet &amp; ""'!l7"")), 0))))"),3.0)</f>
        <v>3</v>
      </c>
      <c r="M7" s="10">
        <f>IFERROR(__xludf.DUMMYFUNCTION("SUM(MAP(FILTER(Z1:Z100, Z1:Z100 &lt;&gt; """"), LAMBDA(sheet, IFERROR(VALUE(INDIRECT(""'"" &amp; sheet &amp; ""'!m7"")), 0))))"),13.0)</f>
        <v>13</v>
      </c>
      <c r="N7" s="35">
        <f t="shared" si="2"/>
        <v>0.7692307692</v>
      </c>
      <c r="O7" s="35">
        <f t="shared" si="3"/>
        <v>0.07692307692</v>
      </c>
      <c r="P7" s="10">
        <f>IFERROR(__xludf.DUMMYFUNCTION("SUM(MAP(FILTER(Z1:Z100, Z1:Z100 &lt;&gt; """"), LAMBDA(sheet, IFERROR(VALUE(INDIRECT(""'"" &amp; sheet &amp; ""'!p7"")), 0))))"),11.0)</f>
        <v>11</v>
      </c>
      <c r="Q7" s="10">
        <f>IFERROR(__xludf.DUMMYFUNCTION("SUM(MAP(FILTER(Z1:Z100, Z1:Z100 &lt;&gt; """"), LAMBDA(sheet, IFERROR(VALUE(INDIRECT(""'"" &amp; sheet &amp; ""'!q7"")), 0))))"),1.0)</f>
        <v>1</v>
      </c>
      <c r="R7" s="10">
        <f>IFERROR(__xludf.DUMMYFUNCTION("SUM(MAP(FILTER(Z1:Z100, Z1:Z100 &lt;&gt; """"), LAMBDA(sheet, IFERROR(VALUE(INDIRECT(""'"" &amp; sheet &amp; ""'!r7"")), 0))))"),5.0)</f>
        <v>5</v>
      </c>
      <c r="S7" s="10">
        <f>IFERROR(__xludf.DUMMYFUNCTION("SUM(MAP(FILTER(Z1:Z100, Z1:Z100 &lt;&gt; """"), LAMBDA(sheet, IFERROR(VALUE(INDIRECT(""'"" &amp; sheet &amp; ""'!s7"")), 0))))"),3.0)</f>
        <v>3</v>
      </c>
      <c r="T7" s="10">
        <f>IFERROR(__xludf.DUMMYFUNCTION("SUM(MAP(FILTER(Z1:Z100, Z1:Z100 &lt;&gt; """"), LAMBDA(sheet, IFERROR(VALUE(INDIRECT(""'"" &amp; sheet &amp; ""'!t7"")), 0))))"),2.0)</f>
        <v>2</v>
      </c>
      <c r="U7" s="10">
        <f t="shared" si="4"/>
        <v>1.545454545</v>
      </c>
    </row>
    <row r="8">
      <c r="A8" s="25" t="s">
        <v>32</v>
      </c>
      <c r="B8" s="25" t="s">
        <v>97</v>
      </c>
      <c r="C8" s="48">
        <f>IFERROR(__xludf.DUMMYFUNCTION("SUM(MAP(FILTER(Z1:Z100, Z1:Z100 &lt;&gt; """"), LAMBDA(sheet, IFERROR(VALUE(INDIRECT(""'"" &amp; sheet &amp; ""'!C8"")), 0))))"),8.0)</f>
        <v>8</v>
      </c>
      <c r="D8" s="47">
        <f>IFERROR(__xludf.DUMMYFUNCTION("SUM(MAP(FILTER(Z1:Z104, Z1:Z104 &lt;&gt; """"), LAMBDA(sheet, IFERROR(VALUE(INDIRECT(""'"" &amp; sheet &amp; ""'!d8"")), 0))))"),1.0)</f>
        <v>1</v>
      </c>
      <c r="E8" s="49">
        <f>IFERROR(__xludf.DUMMYFUNCTION("SUM(MAP(FILTER(Z1:Z100, Z1:Z100 &lt;&gt; """"), LAMBDA(sheet, IFERROR(VALUE(INDIRECT(""'"" &amp; sheet &amp; ""'!e8"")), 0))))"),1.0)</f>
        <v>1</v>
      </c>
      <c r="F8" s="39">
        <f>IFERROR(__xludf.DUMMYFUNCTION("SUM(MAP(FILTER(Z1:Z100, Z1:Z100 &lt;&gt; """"), LAMBDA(sheet, IFERROR(VALUE(INDIRECT(""'"" &amp; sheet &amp; ""'!f8"")), 0))))"),0.0)</f>
        <v>0</v>
      </c>
      <c r="G8" s="35">
        <f t="shared" si="1"/>
        <v>0</v>
      </c>
      <c r="H8" s="10">
        <f>IFERROR(__xludf.DUMMYFUNCTION("SUM(MAP(FILTER(Z1:Z100, Z1:Z100 &lt;&gt; """"), LAMBDA(sheet, IFERROR(VALUE(INDIRECT(""'"" &amp; sheet &amp; ""'!h8"")), 0))))"),0.0)</f>
        <v>0</v>
      </c>
      <c r="I8" s="10">
        <f>IFERROR(__xludf.DUMMYFUNCTION("SUM(MAP(FILTER(Z1:Z100, Z1:Z100 &lt;&gt; """"), LAMBDA(sheet, IFERROR(VALUE(INDIRECT(""'"" &amp; sheet &amp; ""'!i8"")), 0))))"),0.0)</f>
        <v>0</v>
      </c>
      <c r="J8" s="10">
        <f>IFERROR(__xludf.DUMMYFUNCTION("SUM(MAP(FILTER(Z1:Z100, Z1:Z100 &lt;&gt; """"), LAMBDA(sheet, IFERROR(VALUE(INDIRECT(""'"" &amp; sheet &amp; ""'!j8"")), 0))))"),8.0)</f>
        <v>8</v>
      </c>
      <c r="K8" s="10">
        <f>IFERROR(__xludf.DUMMYFUNCTION("SUM(MAP(FILTER(Z1:Z100, Z1:Z100 &lt;&gt; """"), LAMBDA(sheet, IFERROR(VALUE(INDIRECT(""'"" &amp; sheet &amp; ""'!k8"")), 0))))"),3.0)</f>
        <v>3</v>
      </c>
      <c r="L8" s="10">
        <f>IFERROR(__xludf.DUMMYFUNCTION("SUM(MAP(FILTER(Z1:Z100, Z1:Z100 &lt;&gt; """"), LAMBDA(sheet, IFERROR(VALUE(INDIRECT(""'"" &amp; sheet &amp; ""'!l8"")), 0))))"),3.0)</f>
        <v>3</v>
      </c>
      <c r="M8" s="10">
        <f>IFERROR(__xludf.DUMMYFUNCTION("SUM(MAP(FILTER(Z1:Z100, Z1:Z100 &lt;&gt; """"), LAMBDA(sheet, IFERROR(VALUE(INDIRECT(""'"" &amp; sheet &amp; ""'!m8"")), 0))))"),13.0)</f>
        <v>13</v>
      </c>
      <c r="N8" s="35">
        <f t="shared" si="2"/>
        <v>0.7692307692</v>
      </c>
      <c r="O8" s="35">
        <f t="shared" si="3"/>
        <v>0.2307692308</v>
      </c>
      <c r="P8" s="10">
        <f>IFERROR(__xludf.DUMMYFUNCTION("SUM(MAP(FILTER(Z1:Z100, Z1:Z100 &lt;&gt; """"), LAMBDA(sheet, IFERROR(VALUE(INDIRECT(""'"" &amp; sheet &amp; ""'!p8"")), 0))))"),5.0)</f>
        <v>5</v>
      </c>
      <c r="Q8" s="10">
        <f>IFERROR(__xludf.DUMMYFUNCTION("SUM(MAP(FILTER(Z1:Z100, Z1:Z100 &lt;&gt; """"), LAMBDA(sheet, IFERROR(VALUE(INDIRECT(""'"" &amp; sheet &amp; ""'!q8"")), 0))))"),3.0)</f>
        <v>3</v>
      </c>
      <c r="R8" s="10">
        <f>IFERROR(__xludf.DUMMYFUNCTION("SUM(MAP(FILTER(Z1:Z100, Z1:Z100 &lt;&gt; """"), LAMBDA(sheet, IFERROR(VALUE(INDIRECT(""'"" &amp; sheet &amp; ""'!r8"")), 0))))"),1.0)</f>
        <v>1</v>
      </c>
      <c r="S8" s="10">
        <f>IFERROR(__xludf.DUMMYFUNCTION("SUM(MAP(FILTER(Z1:Z100, Z1:Z100 &lt;&gt; """"), LAMBDA(sheet, IFERROR(VALUE(INDIRECT(""'"" &amp; sheet &amp; ""'!s8"")), 0))))"),0.0)</f>
        <v>0</v>
      </c>
      <c r="T8" s="10">
        <f>IFERROR(__xludf.DUMMYFUNCTION("SUM(MAP(FILTER(Z1:Z100, Z1:Z100 &lt;&gt; """"), LAMBDA(sheet, IFERROR(VALUE(INDIRECT(""'"" &amp; sheet &amp; ""'!t8"")), 0))))"),1.0)</f>
        <v>1</v>
      </c>
      <c r="U8" s="10">
        <f t="shared" si="4"/>
        <v>0.8</v>
      </c>
    </row>
    <row r="9">
      <c r="A9" s="26" t="s">
        <v>34</v>
      </c>
      <c r="B9" s="26" t="s">
        <v>22</v>
      </c>
      <c r="C9" s="50">
        <f>IFERROR(__xludf.DUMMYFUNCTION("SUM(MAP(FILTER(Z1:Z100, Z1:Z100 &lt;&gt; """"), LAMBDA(sheet, IFERROR(VALUE(INDIRECT(""'"" &amp; sheet &amp; ""'!C9"")), 0))))"),0.0)</f>
        <v>0</v>
      </c>
      <c r="D9" s="51">
        <f>IFERROR(__xludf.DUMMYFUNCTION("SUM(MAP(FILTER(Z1:Z104, Z1:Z104 &lt;&gt; """"), LAMBDA(sheet, IFERROR(VALUE(INDIRECT(""'"" &amp; sheet &amp; ""'!d9"")), 0))))"),0.0)</f>
        <v>0</v>
      </c>
      <c r="E9" s="38">
        <f>IFERROR(__xludf.DUMMYFUNCTION("SUM(MAP(FILTER(Z1:Z100, Z1:Z100 &lt;&gt; """"), LAMBDA(sheet, IFERROR(VALUE(INDIRECT(""'"" &amp; sheet &amp; ""'!e9"")), 0))))"),0.0)</f>
        <v>0</v>
      </c>
      <c r="F9" s="45">
        <f>IFERROR(__xludf.DUMMYFUNCTION("SUM(MAP(FILTER(Z1:Z100, Z1:Z100 &lt;&gt; """"), LAMBDA(sheet, IFERROR(VALUE(INDIRECT(""'"" &amp; sheet &amp; ""'!f9"")), 0))))"),0.0)</f>
        <v>0</v>
      </c>
      <c r="G9" s="35" t="str">
        <f t="shared" si="1"/>
        <v>N/A</v>
      </c>
      <c r="H9" s="10">
        <f>IFERROR(__xludf.DUMMYFUNCTION("SUM(MAP(FILTER(Z1:Z100, Z1:Z100 &lt;&gt; """"), LAMBDA(sheet, IFERROR(VALUE(INDIRECT(""'"" &amp; sheet &amp; ""'!h9"")), 0))))"),0.0)</f>
        <v>0</v>
      </c>
      <c r="I9" s="10">
        <f>IFERROR(__xludf.DUMMYFUNCTION("SUM(MAP(FILTER(Z1:Z100, Z1:Z100 &lt;&gt; """"), LAMBDA(sheet, IFERROR(VALUE(INDIRECT(""'"" &amp; sheet &amp; ""'!i9"")), 0))))"),0.0)</f>
        <v>0</v>
      </c>
      <c r="J9" s="10">
        <f>IFERROR(__xludf.DUMMYFUNCTION("SUM(MAP(FILTER(Z1:Z100, Z1:Z100 &lt;&gt; """"), LAMBDA(sheet, IFERROR(VALUE(INDIRECT(""'"" &amp; sheet &amp; ""'!j9"")), 0))))"),0.0)</f>
        <v>0</v>
      </c>
      <c r="K9" s="10">
        <f>IFERROR(__xludf.DUMMYFUNCTION("SUM(MAP(FILTER(Z1:Z100, Z1:Z100 &lt;&gt; """"), LAMBDA(sheet, IFERROR(VALUE(INDIRECT(""'"" &amp; sheet &amp; ""'!k9"")), 0))))"),0.0)</f>
        <v>0</v>
      </c>
      <c r="L9" s="10">
        <f>IFERROR(__xludf.DUMMYFUNCTION("SUM(MAP(FILTER(Z1:Z100, Z1:Z100 &lt;&gt; """"), LAMBDA(sheet, IFERROR(VALUE(INDIRECT(""'"" &amp; sheet &amp; ""'!l9"")), 0))))"),0.0)</f>
        <v>0</v>
      </c>
      <c r="M9" s="10">
        <f>IFERROR(__xludf.DUMMYFUNCTION("SUM(MAP(FILTER(Z1:Z100, Z1:Z100 &lt;&gt; """"), LAMBDA(sheet, IFERROR(VALUE(INDIRECT(""'"" &amp; sheet &amp; ""'!m9"")), 0))))"),0.0)</f>
        <v>0</v>
      </c>
      <c r="N9" s="35" t="str">
        <f t="shared" si="2"/>
        <v>N/A</v>
      </c>
      <c r="O9" s="35" t="str">
        <f t="shared" si="3"/>
        <v>N/A</v>
      </c>
      <c r="P9" s="10">
        <f>IFERROR(__xludf.DUMMYFUNCTION("SUM(MAP(FILTER(Z1:Z100, Z1:Z100 &lt;&gt; """"), LAMBDA(sheet, IFERROR(VALUE(INDIRECT(""'"" &amp; sheet &amp; ""'!p9"")), 0))))"),0.0)</f>
        <v>0</v>
      </c>
      <c r="Q9" s="10">
        <f>IFERROR(__xludf.DUMMYFUNCTION("SUM(MAP(FILTER(Z1:Z100, Z1:Z100 &lt;&gt; """"), LAMBDA(sheet, IFERROR(VALUE(INDIRECT(""'"" &amp; sheet &amp; ""'!q9"")), 0))))"),0.0)</f>
        <v>0</v>
      </c>
      <c r="R9" s="10">
        <f>IFERROR(__xludf.DUMMYFUNCTION("SUM(MAP(FILTER(Z1:Z100, Z1:Z100 &lt;&gt; """"), LAMBDA(sheet, IFERROR(VALUE(INDIRECT(""'"" &amp; sheet &amp; ""'!r9"")), 0))))"),0.0)</f>
        <v>0</v>
      </c>
      <c r="S9" s="10">
        <f>IFERROR(__xludf.DUMMYFUNCTION("SUM(MAP(FILTER(Z1:Z100, Z1:Z100 &lt;&gt; """"), LAMBDA(sheet, IFERROR(VALUE(INDIRECT(""'"" &amp; sheet &amp; ""'!s9"")), 0))))"),0.0)</f>
        <v>0</v>
      </c>
      <c r="T9" s="10">
        <f>IFERROR(__xludf.DUMMYFUNCTION("SUM(MAP(FILTER(Z1:Z100, Z1:Z100 &lt;&gt; """"), LAMBDA(sheet, IFERROR(VALUE(INDIRECT(""'"" &amp; sheet &amp; ""'!t9"")), 0))))"),0.0)</f>
        <v>0</v>
      </c>
      <c r="U9" s="10" t="str">
        <f t="shared" si="4"/>
        <v>N/A</v>
      </c>
    </row>
    <row r="10">
      <c r="C10" s="27"/>
      <c r="D10" s="27"/>
      <c r="E10" s="27"/>
      <c r="M10" s="52"/>
      <c r="N10" s="52"/>
      <c r="O10" s="52"/>
    </row>
    <row r="11">
      <c r="M11" s="52"/>
      <c r="N11" s="52"/>
      <c r="O11" s="52"/>
    </row>
    <row r="12">
      <c r="M12" s="52"/>
      <c r="N12" s="52"/>
      <c r="O12" s="52"/>
    </row>
    <row r="13">
      <c r="M13" s="52"/>
      <c r="N13" s="52"/>
      <c r="O13" s="52"/>
    </row>
    <row r="14">
      <c r="M14" s="52"/>
      <c r="N14" s="52"/>
      <c r="O14" s="52"/>
    </row>
    <row r="15">
      <c r="M15" s="52"/>
      <c r="N15" s="52"/>
      <c r="O15" s="52"/>
    </row>
    <row r="16">
      <c r="M16" s="52"/>
      <c r="N16" s="52"/>
      <c r="O16" s="52"/>
    </row>
    <row r="17">
      <c r="M17" s="52"/>
      <c r="N17" s="52"/>
      <c r="O17" s="52"/>
    </row>
    <row r="18">
      <c r="M18" s="52"/>
      <c r="N18" s="52"/>
      <c r="O18" s="52"/>
    </row>
    <row r="19">
      <c r="M19" s="52"/>
      <c r="N19" s="52"/>
      <c r="O19" s="52"/>
    </row>
    <row r="20">
      <c r="M20" s="52"/>
      <c r="N20" s="52"/>
      <c r="O20" s="52"/>
    </row>
    <row r="21">
      <c r="M21" s="52"/>
      <c r="N21" s="52"/>
      <c r="O21" s="52"/>
    </row>
    <row r="22">
      <c r="M22" s="52"/>
      <c r="N22" s="52"/>
      <c r="O22" s="52"/>
    </row>
    <row r="23">
      <c r="M23" s="52"/>
      <c r="N23" s="52"/>
      <c r="O23" s="52"/>
    </row>
    <row r="24">
      <c r="M24" s="52"/>
      <c r="N24" s="52"/>
      <c r="O24" s="52"/>
    </row>
    <row r="25">
      <c r="M25" s="52"/>
      <c r="N25" s="52"/>
      <c r="O25" s="52"/>
    </row>
    <row r="26">
      <c r="M26" s="52"/>
      <c r="N26" s="52"/>
      <c r="O26" s="52"/>
    </row>
    <row r="27">
      <c r="M27" s="52"/>
      <c r="N27" s="52"/>
      <c r="O27" s="52"/>
    </row>
    <row r="28">
      <c r="M28" s="52"/>
      <c r="N28" s="52"/>
      <c r="O28" s="52"/>
    </row>
    <row r="29">
      <c r="M29" s="52"/>
      <c r="N29" s="52"/>
      <c r="O29" s="52"/>
    </row>
    <row r="30">
      <c r="M30" s="52"/>
      <c r="N30" s="52"/>
      <c r="O30" s="52"/>
    </row>
    <row r="31">
      <c r="M31" s="52"/>
      <c r="N31" s="52"/>
      <c r="O31" s="52"/>
    </row>
    <row r="32">
      <c r="M32" s="52"/>
      <c r="N32" s="52"/>
      <c r="O32" s="52"/>
    </row>
    <row r="33">
      <c r="M33" s="52"/>
      <c r="N33" s="52"/>
      <c r="O33" s="52"/>
    </row>
    <row r="34">
      <c r="M34" s="52"/>
      <c r="N34" s="52"/>
      <c r="O34" s="52"/>
    </row>
    <row r="35">
      <c r="M35" s="52"/>
      <c r="N35" s="52"/>
      <c r="O35" s="52"/>
    </row>
    <row r="36">
      <c r="M36" s="52"/>
      <c r="N36" s="52"/>
      <c r="O36" s="52"/>
    </row>
    <row r="37">
      <c r="M37" s="52"/>
      <c r="N37" s="52"/>
      <c r="O37" s="52"/>
    </row>
    <row r="38">
      <c r="M38" s="52"/>
      <c r="N38" s="52"/>
      <c r="O38" s="52"/>
    </row>
    <row r="39">
      <c r="M39" s="52"/>
      <c r="N39" s="52"/>
      <c r="O39" s="52"/>
    </row>
    <row r="40">
      <c r="M40" s="52"/>
      <c r="N40" s="52"/>
      <c r="O40" s="52"/>
    </row>
    <row r="41">
      <c r="M41" s="52"/>
      <c r="N41" s="52"/>
      <c r="O41" s="52"/>
    </row>
    <row r="42">
      <c r="M42" s="52"/>
      <c r="N42" s="52"/>
      <c r="O42" s="52"/>
    </row>
    <row r="43">
      <c r="M43" s="52"/>
      <c r="N43" s="52"/>
      <c r="O43" s="52"/>
    </row>
    <row r="44">
      <c r="M44" s="52"/>
      <c r="N44" s="52"/>
      <c r="O44" s="52"/>
    </row>
    <row r="45">
      <c r="M45" s="52"/>
      <c r="N45" s="52"/>
      <c r="O45" s="52"/>
    </row>
    <row r="46">
      <c r="M46" s="52"/>
      <c r="N46" s="52"/>
      <c r="O46" s="52"/>
    </row>
    <row r="47">
      <c r="M47" s="52"/>
      <c r="N47" s="52"/>
      <c r="O47" s="52"/>
    </row>
    <row r="48">
      <c r="M48" s="52"/>
      <c r="N48" s="52"/>
      <c r="O48" s="52"/>
    </row>
    <row r="49">
      <c r="M49" s="52"/>
      <c r="N49" s="52"/>
      <c r="O49" s="52"/>
    </row>
    <row r="50">
      <c r="M50" s="52"/>
      <c r="N50" s="52"/>
      <c r="O50" s="52"/>
    </row>
    <row r="51">
      <c r="M51" s="52"/>
      <c r="N51" s="52"/>
      <c r="O51" s="52"/>
    </row>
    <row r="52">
      <c r="M52" s="52"/>
      <c r="N52" s="52"/>
      <c r="O52" s="52"/>
    </row>
    <row r="53">
      <c r="M53" s="52"/>
      <c r="N53" s="52"/>
      <c r="O53" s="52"/>
    </row>
    <row r="54">
      <c r="M54" s="52"/>
      <c r="N54" s="52"/>
      <c r="O54" s="52"/>
    </row>
    <row r="55">
      <c r="M55" s="52"/>
      <c r="N55" s="52"/>
      <c r="O55" s="52"/>
    </row>
    <row r="56">
      <c r="M56" s="52"/>
      <c r="N56" s="52"/>
      <c r="O56" s="52"/>
    </row>
    <row r="57">
      <c r="M57" s="52"/>
      <c r="N57" s="52"/>
      <c r="O57" s="52"/>
    </row>
    <row r="58">
      <c r="M58" s="52"/>
      <c r="N58" s="52"/>
      <c r="O58" s="52"/>
    </row>
    <row r="59">
      <c r="M59" s="52"/>
      <c r="N59" s="52"/>
      <c r="O59" s="52"/>
    </row>
    <row r="60">
      <c r="M60" s="52"/>
      <c r="N60" s="52"/>
      <c r="O60" s="52"/>
    </row>
    <row r="61">
      <c r="M61" s="52"/>
      <c r="N61" s="52"/>
      <c r="O61" s="52"/>
    </row>
    <row r="62">
      <c r="M62" s="52"/>
      <c r="N62" s="52"/>
      <c r="O62" s="52"/>
    </row>
    <row r="63">
      <c r="M63" s="52"/>
      <c r="N63" s="52"/>
      <c r="O63" s="52"/>
    </row>
    <row r="64">
      <c r="M64" s="52"/>
      <c r="N64" s="52"/>
      <c r="O64" s="52"/>
    </row>
    <row r="65">
      <c r="M65" s="52"/>
      <c r="N65" s="52"/>
      <c r="O65" s="52"/>
    </row>
    <row r="66">
      <c r="M66" s="52"/>
      <c r="N66" s="52"/>
      <c r="O66" s="52"/>
    </row>
    <row r="67">
      <c r="M67" s="52"/>
      <c r="N67" s="52"/>
      <c r="O67" s="52"/>
    </row>
    <row r="68">
      <c r="M68" s="52"/>
      <c r="N68" s="52"/>
      <c r="O68" s="52"/>
    </row>
    <row r="69">
      <c r="M69" s="52"/>
      <c r="N69" s="52"/>
      <c r="O69" s="52"/>
    </row>
    <row r="70">
      <c r="M70" s="52"/>
      <c r="N70" s="52"/>
      <c r="O70" s="52"/>
    </row>
    <row r="71">
      <c r="M71" s="52"/>
      <c r="N71" s="52"/>
      <c r="O71" s="52"/>
    </row>
    <row r="72">
      <c r="M72" s="52"/>
      <c r="N72" s="52"/>
      <c r="O72" s="52"/>
    </row>
    <row r="73">
      <c r="M73" s="52"/>
      <c r="N73" s="52"/>
      <c r="O73" s="52"/>
    </row>
    <row r="74">
      <c r="M74" s="52"/>
      <c r="N74" s="52"/>
      <c r="O74" s="52"/>
    </row>
    <row r="75">
      <c r="M75" s="52"/>
      <c r="N75" s="52"/>
      <c r="O75" s="52"/>
    </row>
    <row r="76">
      <c r="M76" s="52"/>
      <c r="N76" s="52"/>
      <c r="O76" s="52"/>
    </row>
    <row r="77">
      <c r="M77" s="52"/>
      <c r="N77" s="52"/>
      <c r="O77" s="52"/>
    </row>
    <row r="78">
      <c r="M78" s="52"/>
      <c r="N78" s="52"/>
      <c r="O78" s="52"/>
    </row>
    <row r="79">
      <c r="M79" s="52"/>
      <c r="N79" s="52"/>
      <c r="O79" s="52"/>
    </row>
    <row r="80">
      <c r="M80" s="52"/>
      <c r="N80" s="52"/>
      <c r="O80" s="52"/>
    </row>
    <row r="81">
      <c r="M81" s="52"/>
      <c r="N81" s="52"/>
      <c r="O81" s="52"/>
    </row>
    <row r="82">
      <c r="M82" s="52"/>
      <c r="N82" s="52"/>
      <c r="O82" s="52"/>
    </row>
    <row r="83">
      <c r="M83" s="52"/>
      <c r="N83" s="52"/>
      <c r="O83" s="52"/>
    </row>
    <row r="84">
      <c r="M84" s="52"/>
      <c r="N84" s="52"/>
      <c r="O84" s="52"/>
    </row>
    <row r="85">
      <c r="M85" s="52"/>
      <c r="N85" s="52"/>
      <c r="O85" s="52"/>
    </row>
    <row r="86">
      <c r="M86" s="52"/>
      <c r="N86" s="52"/>
      <c r="O86" s="52"/>
    </row>
    <row r="87">
      <c r="M87" s="52"/>
      <c r="N87" s="52"/>
      <c r="O87" s="52"/>
    </row>
    <row r="88">
      <c r="M88" s="52"/>
      <c r="N88" s="52"/>
      <c r="O88" s="52"/>
    </row>
    <row r="89">
      <c r="M89" s="52"/>
      <c r="N89" s="52"/>
      <c r="O89" s="52"/>
    </row>
    <row r="90">
      <c r="M90" s="52"/>
      <c r="N90" s="52"/>
      <c r="O90" s="52"/>
    </row>
    <row r="91">
      <c r="M91" s="52"/>
      <c r="N91" s="52"/>
      <c r="O91" s="52"/>
    </row>
    <row r="92">
      <c r="M92" s="52"/>
      <c r="N92" s="52"/>
      <c r="O92" s="52"/>
    </row>
    <row r="93">
      <c r="M93" s="52"/>
      <c r="N93" s="52"/>
      <c r="O93" s="52"/>
    </row>
    <row r="94">
      <c r="M94" s="52"/>
      <c r="N94" s="52"/>
      <c r="O94" s="52"/>
    </row>
    <row r="95">
      <c r="M95" s="52"/>
      <c r="N95" s="52"/>
      <c r="O95" s="52"/>
    </row>
    <row r="96">
      <c r="M96" s="52"/>
      <c r="N96" s="52"/>
      <c r="O96" s="52"/>
    </row>
    <row r="97">
      <c r="M97" s="52"/>
      <c r="N97" s="52"/>
      <c r="O97" s="52"/>
    </row>
    <row r="98">
      <c r="M98" s="52"/>
      <c r="N98" s="52"/>
      <c r="O98" s="52"/>
    </row>
    <row r="99">
      <c r="M99" s="52"/>
      <c r="N99" s="52"/>
      <c r="O99" s="52"/>
    </row>
    <row r="100">
      <c r="M100" s="52"/>
      <c r="N100" s="52"/>
      <c r="O100" s="52"/>
    </row>
    <row r="101">
      <c r="M101" s="52"/>
      <c r="N101" s="52"/>
      <c r="O101" s="52"/>
    </row>
    <row r="102">
      <c r="M102" s="52"/>
      <c r="N102" s="52"/>
      <c r="O102" s="52"/>
    </row>
    <row r="103">
      <c r="M103" s="52"/>
      <c r="N103" s="52"/>
      <c r="O103" s="52"/>
    </row>
    <row r="104">
      <c r="M104" s="52"/>
      <c r="N104" s="52"/>
      <c r="O104" s="52"/>
    </row>
    <row r="105">
      <c r="M105" s="52"/>
      <c r="N105" s="52"/>
      <c r="O105" s="52"/>
    </row>
    <row r="106">
      <c r="M106" s="52"/>
      <c r="N106" s="52"/>
      <c r="O106" s="52"/>
    </row>
    <row r="107">
      <c r="M107" s="52"/>
      <c r="N107" s="52"/>
      <c r="O107" s="52"/>
    </row>
    <row r="108">
      <c r="M108" s="52"/>
      <c r="N108" s="52"/>
      <c r="O108" s="52"/>
    </row>
    <row r="109">
      <c r="M109" s="52"/>
      <c r="N109" s="52"/>
      <c r="O109" s="52"/>
    </row>
    <row r="110">
      <c r="M110" s="52"/>
      <c r="N110" s="52"/>
      <c r="O110" s="52"/>
    </row>
    <row r="111">
      <c r="M111" s="52"/>
      <c r="N111" s="52"/>
      <c r="O111" s="52"/>
    </row>
    <row r="112">
      <c r="M112" s="52"/>
      <c r="N112" s="52"/>
      <c r="O112" s="52"/>
    </row>
    <row r="113">
      <c r="M113" s="52"/>
      <c r="N113" s="52"/>
      <c r="O113" s="52"/>
    </row>
    <row r="114">
      <c r="M114" s="52"/>
      <c r="N114" s="52"/>
      <c r="O114" s="52"/>
    </row>
    <row r="115">
      <c r="M115" s="52"/>
      <c r="N115" s="52"/>
      <c r="O115" s="52"/>
    </row>
    <row r="116">
      <c r="M116" s="52"/>
      <c r="N116" s="52"/>
      <c r="O116" s="52"/>
    </row>
    <row r="117">
      <c r="M117" s="52"/>
      <c r="N117" s="52"/>
      <c r="O117" s="52"/>
    </row>
    <row r="118">
      <c r="M118" s="52"/>
      <c r="N118" s="52"/>
      <c r="O118" s="52"/>
    </row>
    <row r="119">
      <c r="M119" s="52"/>
      <c r="N119" s="52"/>
      <c r="O119" s="52"/>
    </row>
    <row r="120">
      <c r="M120" s="52"/>
      <c r="N120" s="52"/>
      <c r="O120" s="52"/>
    </row>
    <row r="121">
      <c r="M121" s="52"/>
      <c r="N121" s="52"/>
      <c r="O121" s="52"/>
    </row>
    <row r="122">
      <c r="M122" s="52"/>
      <c r="N122" s="52"/>
      <c r="O122" s="52"/>
    </row>
    <row r="123">
      <c r="M123" s="52"/>
      <c r="N123" s="52"/>
      <c r="O123" s="52"/>
    </row>
    <row r="124">
      <c r="M124" s="52"/>
      <c r="N124" s="52"/>
      <c r="O124" s="52"/>
    </row>
    <row r="125">
      <c r="M125" s="52"/>
      <c r="N125" s="52"/>
      <c r="O125" s="52"/>
    </row>
    <row r="126">
      <c r="M126" s="52"/>
      <c r="N126" s="52"/>
      <c r="O126" s="52"/>
    </row>
    <row r="127">
      <c r="M127" s="52"/>
      <c r="N127" s="52"/>
      <c r="O127" s="52"/>
    </row>
    <row r="128">
      <c r="M128" s="52"/>
      <c r="N128" s="52"/>
      <c r="O128" s="52"/>
    </row>
    <row r="129">
      <c r="M129" s="52"/>
      <c r="N129" s="52"/>
      <c r="O129" s="52"/>
    </row>
    <row r="130">
      <c r="M130" s="52"/>
      <c r="N130" s="52"/>
      <c r="O130" s="52"/>
    </row>
    <row r="131">
      <c r="M131" s="52"/>
      <c r="N131" s="52"/>
      <c r="O131" s="52"/>
    </row>
    <row r="132">
      <c r="M132" s="52"/>
      <c r="N132" s="52"/>
      <c r="O132" s="52"/>
    </row>
    <row r="133">
      <c r="M133" s="52"/>
      <c r="N133" s="52"/>
      <c r="O133" s="52"/>
    </row>
    <row r="134">
      <c r="M134" s="52"/>
      <c r="N134" s="52"/>
      <c r="O134" s="52"/>
    </row>
    <row r="135">
      <c r="M135" s="52"/>
      <c r="N135" s="52"/>
      <c r="O135" s="52"/>
    </row>
    <row r="136">
      <c r="M136" s="52"/>
      <c r="N136" s="52"/>
      <c r="O136" s="52"/>
    </row>
    <row r="137">
      <c r="M137" s="52"/>
      <c r="N137" s="52"/>
      <c r="O137" s="52"/>
    </row>
    <row r="138">
      <c r="M138" s="52"/>
      <c r="N138" s="52"/>
      <c r="O138" s="52"/>
    </row>
    <row r="139">
      <c r="M139" s="52"/>
      <c r="N139" s="52"/>
      <c r="O139" s="52"/>
    </row>
    <row r="140">
      <c r="M140" s="52"/>
      <c r="N140" s="52"/>
      <c r="O140" s="52"/>
    </row>
    <row r="141">
      <c r="M141" s="52"/>
      <c r="N141" s="52"/>
      <c r="O141" s="52"/>
    </row>
    <row r="142">
      <c r="M142" s="52"/>
      <c r="N142" s="52"/>
      <c r="O142" s="52"/>
    </row>
    <row r="143">
      <c r="M143" s="52"/>
      <c r="N143" s="52"/>
      <c r="O143" s="52"/>
    </row>
    <row r="144">
      <c r="M144" s="52"/>
      <c r="N144" s="52"/>
      <c r="O144" s="52"/>
    </row>
    <row r="145">
      <c r="M145" s="52"/>
      <c r="N145" s="52"/>
      <c r="O145" s="52"/>
    </row>
    <row r="146">
      <c r="M146" s="52"/>
      <c r="N146" s="52"/>
      <c r="O146" s="52"/>
    </row>
    <row r="147">
      <c r="M147" s="52"/>
      <c r="N147" s="52"/>
      <c r="O147" s="52"/>
    </row>
    <row r="148">
      <c r="M148" s="52"/>
      <c r="N148" s="52"/>
      <c r="O148" s="52"/>
    </row>
    <row r="149">
      <c r="M149" s="52"/>
      <c r="N149" s="52"/>
      <c r="O149" s="52"/>
    </row>
    <row r="150">
      <c r="M150" s="52"/>
      <c r="N150" s="52"/>
      <c r="O150" s="52"/>
    </row>
    <row r="151">
      <c r="M151" s="52"/>
      <c r="N151" s="52"/>
      <c r="O151" s="52"/>
    </row>
    <row r="152">
      <c r="M152" s="52"/>
      <c r="N152" s="52"/>
      <c r="O152" s="52"/>
    </row>
    <row r="153">
      <c r="M153" s="52"/>
      <c r="N153" s="52"/>
      <c r="O153" s="52"/>
    </row>
    <row r="154">
      <c r="M154" s="52"/>
      <c r="N154" s="52"/>
      <c r="O154" s="52"/>
    </row>
    <row r="155">
      <c r="M155" s="52"/>
      <c r="N155" s="52"/>
      <c r="O155" s="52"/>
    </row>
    <row r="156">
      <c r="M156" s="52"/>
      <c r="N156" s="52"/>
      <c r="O156" s="52"/>
    </row>
    <row r="157">
      <c r="M157" s="52"/>
      <c r="N157" s="52"/>
      <c r="O157" s="52"/>
    </row>
    <row r="158">
      <c r="M158" s="52"/>
      <c r="N158" s="52"/>
      <c r="O158" s="52"/>
    </row>
    <row r="159">
      <c r="M159" s="52"/>
      <c r="N159" s="52"/>
      <c r="O159" s="52"/>
    </row>
    <row r="160">
      <c r="M160" s="52"/>
      <c r="N160" s="52"/>
      <c r="O160" s="52"/>
    </row>
    <row r="161">
      <c r="M161" s="52"/>
      <c r="N161" s="52"/>
      <c r="O161" s="52"/>
    </row>
    <row r="162">
      <c r="M162" s="52"/>
      <c r="N162" s="52"/>
      <c r="O162" s="52"/>
    </row>
    <row r="163">
      <c r="M163" s="52"/>
      <c r="N163" s="52"/>
      <c r="O163" s="52"/>
    </row>
    <row r="164">
      <c r="M164" s="52"/>
      <c r="N164" s="52"/>
      <c r="O164" s="52"/>
    </row>
    <row r="165">
      <c r="M165" s="52"/>
      <c r="N165" s="52"/>
      <c r="O165" s="52"/>
    </row>
    <row r="166">
      <c r="M166" s="52"/>
      <c r="N166" s="52"/>
      <c r="O166" s="52"/>
    </row>
    <row r="167">
      <c r="M167" s="52"/>
      <c r="N167" s="52"/>
      <c r="O167" s="52"/>
    </row>
    <row r="168">
      <c r="M168" s="52"/>
      <c r="N168" s="52"/>
      <c r="O168" s="52"/>
    </row>
    <row r="169">
      <c r="M169" s="52"/>
      <c r="N169" s="52"/>
      <c r="O169" s="52"/>
    </row>
    <row r="170">
      <c r="M170" s="52"/>
      <c r="N170" s="52"/>
      <c r="O170" s="52"/>
    </row>
    <row r="171">
      <c r="M171" s="52"/>
      <c r="N171" s="52"/>
      <c r="O171" s="52"/>
    </row>
    <row r="172">
      <c r="M172" s="52"/>
      <c r="N172" s="52"/>
      <c r="O172" s="52"/>
    </row>
    <row r="173">
      <c r="M173" s="52"/>
      <c r="N173" s="52"/>
      <c r="O173" s="52"/>
    </row>
    <row r="174">
      <c r="M174" s="52"/>
      <c r="N174" s="52"/>
      <c r="O174" s="52"/>
    </row>
    <row r="175">
      <c r="M175" s="52"/>
      <c r="N175" s="52"/>
      <c r="O175" s="52"/>
    </row>
    <row r="176">
      <c r="M176" s="52"/>
      <c r="N176" s="52"/>
      <c r="O176" s="52"/>
    </row>
    <row r="177">
      <c r="M177" s="52"/>
      <c r="N177" s="52"/>
      <c r="O177" s="52"/>
    </row>
    <row r="178">
      <c r="M178" s="52"/>
      <c r="N178" s="52"/>
      <c r="O178" s="52"/>
    </row>
    <row r="179">
      <c r="M179" s="52"/>
      <c r="N179" s="52"/>
      <c r="O179" s="52"/>
    </row>
    <row r="180">
      <c r="M180" s="52"/>
      <c r="N180" s="52"/>
      <c r="O180" s="52"/>
    </row>
    <row r="181">
      <c r="M181" s="52"/>
      <c r="N181" s="52"/>
      <c r="O181" s="52"/>
    </row>
    <row r="182">
      <c r="M182" s="52"/>
      <c r="N182" s="52"/>
      <c r="O182" s="52"/>
    </row>
    <row r="183">
      <c r="M183" s="52"/>
      <c r="N183" s="52"/>
      <c r="O183" s="52"/>
    </row>
    <row r="184">
      <c r="M184" s="52"/>
      <c r="N184" s="52"/>
      <c r="O184" s="52"/>
    </row>
    <row r="185">
      <c r="M185" s="52"/>
      <c r="N185" s="52"/>
      <c r="O185" s="52"/>
    </row>
    <row r="186">
      <c r="M186" s="52"/>
      <c r="N186" s="52"/>
      <c r="O186" s="52"/>
    </row>
    <row r="187">
      <c r="M187" s="52"/>
      <c r="N187" s="52"/>
      <c r="O187" s="52"/>
    </row>
    <row r="188">
      <c r="M188" s="52"/>
      <c r="N188" s="52"/>
      <c r="O188" s="52"/>
    </row>
    <row r="189">
      <c r="M189" s="52"/>
      <c r="N189" s="52"/>
      <c r="O189" s="52"/>
    </row>
    <row r="190">
      <c r="M190" s="52"/>
      <c r="N190" s="52"/>
      <c r="O190" s="52"/>
    </row>
    <row r="191">
      <c r="M191" s="52"/>
      <c r="N191" s="52"/>
      <c r="O191" s="52"/>
    </row>
    <row r="192">
      <c r="M192" s="52"/>
      <c r="N192" s="52"/>
      <c r="O192" s="52"/>
    </row>
    <row r="193">
      <c r="M193" s="52"/>
      <c r="N193" s="52"/>
      <c r="O193" s="52"/>
    </row>
    <row r="194">
      <c r="M194" s="52"/>
      <c r="N194" s="52"/>
      <c r="O194" s="52"/>
    </row>
    <row r="195">
      <c r="M195" s="52"/>
      <c r="N195" s="52"/>
      <c r="O195" s="52"/>
    </row>
    <row r="196">
      <c r="M196" s="52"/>
      <c r="N196" s="52"/>
      <c r="O196" s="52"/>
    </row>
    <row r="197">
      <c r="M197" s="52"/>
      <c r="N197" s="52"/>
      <c r="O197" s="52"/>
    </row>
    <row r="198">
      <c r="M198" s="52"/>
      <c r="N198" s="52"/>
      <c r="O198" s="52"/>
    </row>
    <row r="199">
      <c r="M199" s="52"/>
      <c r="N199" s="52"/>
      <c r="O199" s="52"/>
    </row>
    <row r="200">
      <c r="M200" s="52"/>
      <c r="N200" s="52"/>
      <c r="O200" s="52"/>
    </row>
    <row r="201">
      <c r="M201" s="52"/>
      <c r="N201" s="52"/>
      <c r="O201" s="52"/>
    </row>
    <row r="202">
      <c r="M202" s="52"/>
      <c r="N202" s="52"/>
      <c r="O202" s="52"/>
    </row>
    <row r="203">
      <c r="M203" s="52"/>
      <c r="N203" s="52"/>
      <c r="O203" s="52"/>
    </row>
    <row r="204">
      <c r="M204" s="52"/>
      <c r="N204" s="52"/>
      <c r="O204" s="52"/>
    </row>
    <row r="205">
      <c r="M205" s="52"/>
      <c r="N205" s="52"/>
      <c r="O205" s="52"/>
    </row>
    <row r="206">
      <c r="M206" s="52"/>
      <c r="N206" s="52"/>
      <c r="O206" s="52"/>
    </row>
    <row r="207">
      <c r="M207" s="52"/>
      <c r="N207" s="52"/>
      <c r="O207" s="52"/>
    </row>
    <row r="208">
      <c r="M208" s="52"/>
      <c r="N208" s="52"/>
      <c r="O208" s="52"/>
    </row>
    <row r="209">
      <c r="M209" s="52"/>
      <c r="N209" s="52"/>
      <c r="O209" s="52"/>
    </row>
    <row r="210">
      <c r="M210" s="52"/>
      <c r="N210" s="52"/>
      <c r="O210" s="52"/>
    </row>
    <row r="211">
      <c r="M211" s="52"/>
      <c r="N211" s="52"/>
      <c r="O211" s="52"/>
    </row>
    <row r="212">
      <c r="M212" s="52"/>
      <c r="N212" s="52"/>
      <c r="O212" s="52"/>
    </row>
    <row r="213">
      <c r="M213" s="52"/>
      <c r="N213" s="52"/>
      <c r="O213" s="52"/>
    </row>
    <row r="214">
      <c r="M214" s="52"/>
      <c r="N214" s="52"/>
      <c r="O214" s="52"/>
    </row>
    <row r="215">
      <c r="M215" s="52"/>
      <c r="N215" s="52"/>
      <c r="O215" s="52"/>
    </row>
    <row r="216">
      <c r="M216" s="52"/>
      <c r="N216" s="52"/>
      <c r="O216" s="52"/>
    </row>
    <row r="217">
      <c r="M217" s="52"/>
      <c r="N217" s="52"/>
      <c r="O217" s="52"/>
    </row>
    <row r="218">
      <c r="M218" s="52"/>
      <c r="N218" s="52"/>
      <c r="O218" s="52"/>
    </row>
    <row r="219">
      <c r="M219" s="52"/>
      <c r="N219" s="52"/>
      <c r="O219" s="52"/>
    </row>
    <row r="220">
      <c r="M220" s="52"/>
      <c r="N220" s="52"/>
      <c r="O220" s="52"/>
    </row>
    <row r="221">
      <c r="M221" s="52"/>
      <c r="N221" s="52"/>
      <c r="O221" s="52"/>
    </row>
    <row r="222">
      <c r="M222" s="52"/>
      <c r="N222" s="52"/>
      <c r="O222" s="52"/>
    </row>
    <row r="223">
      <c r="M223" s="52"/>
      <c r="N223" s="52"/>
      <c r="O223" s="52"/>
    </row>
    <row r="224">
      <c r="M224" s="52"/>
      <c r="N224" s="52"/>
      <c r="O224" s="52"/>
    </row>
    <row r="225">
      <c r="M225" s="52"/>
      <c r="N225" s="52"/>
      <c r="O225" s="52"/>
    </row>
    <row r="226">
      <c r="M226" s="52"/>
      <c r="N226" s="52"/>
      <c r="O226" s="52"/>
    </row>
    <row r="227">
      <c r="M227" s="52"/>
      <c r="N227" s="52"/>
      <c r="O227" s="52"/>
    </row>
    <row r="228">
      <c r="M228" s="52"/>
      <c r="N228" s="52"/>
      <c r="O228" s="52"/>
    </row>
    <row r="229">
      <c r="M229" s="52"/>
      <c r="N229" s="52"/>
      <c r="O229" s="52"/>
    </row>
    <row r="230">
      <c r="M230" s="52"/>
      <c r="N230" s="52"/>
      <c r="O230" s="52"/>
    </row>
    <row r="231">
      <c r="M231" s="52"/>
      <c r="N231" s="52"/>
      <c r="O231" s="52"/>
    </row>
    <row r="232">
      <c r="M232" s="52"/>
      <c r="N232" s="52"/>
      <c r="O232" s="52"/>
    </row>
    <row r="233">
      <c r="M233" s="52"/>
      <c r="N233" s="52"/>
      <c r="O233" s="52"/>
    </row>
    <row r="234">
      <c r="M234" s="52"/>
      <c r="N234" s="52"/>
      <c r="O234" s="52"/>
    </row>
    <row r="235">
      <c r="M235" s="52"/>
      <c r="N235" s="52"/>
      <c r="O235" s="52"/>
    </row>
    <row r="236">
      <c r="M236" s="52"/>
      <c r="N236" s="52"/>
      <c r="O236" s="52"/>
    </row>
    <row r="237">
      <c r="M237" s="52"/>
      <c r="N237" s="52"/>
      <c r="O237" s="52"/>
    </row>
    <row r="238">
      <c r="M238" s="52"/>
      <c r="N238" s="52"/>
      <c r="O238" s="52"/>
    </row>
    <row r="239">
      <c r="M239" s="52"/>
      <c r="N239" s="52"/>
      <c r="O239" s="52"/>
    </row>
    <row r="240">
      <c r="M240" s="52"/>
      <c r="N240" s="52"/>
      <c r="O240" s="52"/>
    </row>
    <row r="241">
      <c r="M241" s="52"/>
      <c r="N241" s="52"/>
      <c r="O241" s="52"/>
    </row>
    <row r="242">
      <c r="M242" s="52"/>
      <c r="N242" s="52"/>
      <c r="O242" s="52"/>
    </row>
    <row r="243">
      <c r="M243" s="52"/>
      <c r="N243" s="52"/>
      <c r="O243" s="52"/>
    </row>
    <row r="244">
      <c r="M244" s="52"/>
      <c r="N244" s="52"/>
      <c r="O244" s="52"/>
    </row>
    <row r="245">
      <c r="M245" s="52"/>
      <c r="N245" s="52"/>
      <c r="O245" s="52"/>
    </row>
    <row r="246">
      <c r="M246" s="52"/>
      <c r="N246" s="52"/>
      <c r="O246" s="52"/>
    </row>
    <row r="247">
      <c r="M247" s="52"/>
      <c r="N247" s="52"/>
      <c r="O247" s="52"/>
    </row>
    <row r="248">
      <c r="M248" s="52"/>
      <c r="N248" s="52"/>
      <c r="O248" s="52"/>
    </row>
    <row r="249">
      <c r="M249" s="52"/>
      <c r="N249" s="52"/>
      <c r="O249" s="52"/>
    </row>
    <row r="250">
      <c r="M250" s="52"/>
      <c r="N250" s="52"/>
      <c r="O250" s="52"/>
    </row>
    <row r="251">
      <c r="M251" s="52"/>
      <c r="N251" s="52"/>
      <c r="O251" s="52"/>
    </row>
    <row r="252">
      <c r="M252" s="52"/>
      <c r="N252" s="52"/>
      <c r="O252" s="52"/>
    </row>
    <row r="253">
      <c r="M253" s="52"/>
      <c r="N253" s="52"/>
      <c r="O253" s="52"/>
    </row>
    <row r="254">
      <c r="M254" s="52"/>
      <c r="N254" s="52"/>
      <c r="O254" s="52"/>
    </row>
    <row r="255">
      <c r="M255" s="52"/>
      <c r="N255" s="52"/>
      <c r="O255" s="52"/>
    </row>
    <row r="256">
      <c r="M256" s="52"/>
      <c r="N256" s="52"/>
      <c r="O256" s="52"/>
    </row>
    <row r="257">
      <c r="M257" s="52"/>
      <c r="N257" s="52"/>
      <c r="O257" s="52"/>
    </row>
    <row r="258">
      <c r="M258" s="52"/>
      <c r="N258" s="52"/>
      <c r="O258" s="52"/>
    </row>
    <row r="259">
      <c r="M259" s="52"/>
      <c r="N259" s="52"/>
      <c r="O259" s="52"/>
    </row>
    <row r="260">
      <c r="M260" s="52"/>
      <c r="N260" s="52"/>
      <c r="O260" s="52"/>
    </row>
    <row r="261">
      <c r="M261" s="52"/>
      <c r="N261" s="52"/>
      <c r="O261" s="52"/>
    </row>
    <row r="262">
      <c r="M262" s="52"/>
      <c r="N262" s="52"/>
      <c r="O262" s="52"/>
    </row>
    <row r="263">
      <c r="M263" s="52"/>
      <c r="N263" s="52"/>
      <c r="O263" s="52"/>
    </row>
    <row r="264">
      <c r="M264" s="52"/>
      <c r="N264" s="52"/>
      <c r="O264" s="52"/>
    </row>
    <row r="265">
      <c r="M265" s="52"/>
      <c r="N265" s="52"/>
      <c r="O265" s="52"/>
    </row>
    <row r="266">
      <c r="M266" s="52"/>
      <c r="N266" s="52"/>
      <c r="O266" s="52"/>
    </row>
    <row r="267">
      <c r="M267" s="52"/>
      <c r="N267" s="52"/>
      <c r="O267" s="52"/>
    </row>
    <row r="268">
      <c r="M268" s="52"/>
      <c r="N268" s="52"/>
      <c r="O268" s="52"/>
    </row>
    <row r="269">
      <c r="M269" s="52"/>
      <c r="N269" s="52"/>
      <c r="O269" s="52"/>
    </row>
    <row r="270">
      <c r="M270" s="52"/>
      <c r="N270" s="52"/>
      <c r="O270" s="52"/>
    </row>
    <row r="271">
      <c r="M271" s="52"/>
      <c r="N271" s="52"/>
      <c r="O271" s="52"/>
    </row>
    <row r="272">
      <c r="M272" s="52"/>
      <c r="N272" s="52"/>
      <c r="O272" s="52"/>
    </row>
    <row r="273">
      <c r="M273" s="52"/>
      <c r="N273" s="52"/>
      <c r="O273" s="52"/>
    </row>
    <row r="274">
      <c r="M274" s="52"/>
      <c r="N274" s="52"/>
      <c r="O274" s="52"/>
    </row>
    <row r="275">
      <c r="M275" s="52"/>
      <c r="N275" s="52"/>
      <c r="O275" s="52"/>
    </row>
    <row r="276">
      <c r="M276" s="52"/>
      <c r="N276" s="52"/>
      <c r="O276" s="52"/>
    </row>
    <row r="277">
      <c r="M277" s="52"/>
      <c r="N277" s="52"/>
      <c r="O277" s="52"/>
    </row>
    <row r="278">
      <c r="M278" s="52"/>
      <c r="N278" s="52"/>
      <c r="O278" s="52"/>
    </row>
    <row r="279">
      <c r="M279" s="52"/>
      <c r="N279" s="52"/>
      <c r="O279" s="52"/>
    </row>
    <row r="280">
      <c r="M280" s="52"/>
      <c r="N280" s="52"/>
      <c r="O280" s="52"/>
    </row>
    <row r="281">
      <c r="M281" s="52"/>
      <c r="N281" s="52"/>
      <c r="O281" s="52"/>
    </row>
    <row r="282">
      <c r="M282" s="52"/>
      <c r="N282" s="52"/>
      <c r="O282" s="52"/>
    </row>
    <row r="283">
      <c r="M283" s="52"/>
      <c r="N283" s="52"/>
      <c r="O283" s="52"/>
    </row>
    <row r="284">
      <c r="M284" s="52"/>
      <c r="N284" s="52"/>
      <c r="O284" s="52"/>
    </row>
    <row r="285">
      <c r="M285" s="52"/>
      <c r="N285" s="52"/>
      <c r="O285" s="52"/>
    </row>
    <row r="286">
      <c r="M286" s="52"/>
      <c r="N286" s="52"/>
      <c r="O286" s="52"/>
    </row>
    <row r="287">
      <c r="M287" s="52"/>
      <c r="N287" s="52"/>
      <c r="O287" s="52"/>
    </row>
    <row r="288">
      <c r="M288" s="52"/>
      <c r="N288" s="52"/>
      <c r="O288" s="52"/>
    </row>
    <row r="289">
      <c r="M289" s="52"/>
      <c r="N289" s="52"/>
      <c r="O289" s="52"/>
    </row>
    <row r="290">
      <c r="M290" s="52"/>
      <c r="N290" s="52"/>
      <c r="O290" s="52"/>
    </row>
    <row r="291">
      <c r="M291" s="52"/>
      <c r="N291" s="52"/>
      <c r="O291" s="52"/>
    </row>
    <row r="292">
      <c r="M292" s="52"/>
      <c r="N292" s="52"/>
      <c r="O292" s="52"/>
    </row>
    <row r="293">
      <c r="M293" s="52"/>
      <c r="N293" s="52"/>
      <c r="O293" s="52"/>
    </row>
    <row r="294">
      <c r="M294" s="52"/>
      <c r="N294" s="52"/>
      <c r="O294" s="52"/>
    </row>
    <row r="295">
      <c r="M295" s="52"/>
      <c r="N295" s="52"/>
      <c r="O295" s="52"/>
    </row>
    <row r="296">
      <c r="M296" s="52"/>
      <c r="N296" s="52"/>
      <c r="O296" s="52"/>
    </row>
    <row r="297">
      <c r="M297" s="52"/>
      <c r="N297" s="52"/>
      <c r="O297" s="52"/>
    </row>
    <row r="298">
      <c r="M298" s="52"/>
      <c r="N298" s="52"/>
      <c r="O298" s="52"/>
    </row>
    <row r="299">
      <c r="M299" s="52"/>
      <c r="N299" s="52"/>
      <c r="O299" s="52"/>
    </row>
    <row r="300">
      <c r="M300" s="52"/>
      <c r="N300" s="52"/>
      <c r="O300" s="52"/>
    </row>
    <row r="301">
      <c r="M301" s="52"/>
      <c r="N301" s="52"/>
      <c r="O301" s="52"/>
    </row>
    <row r="302">
      <c r="M302" s="52"/>
      <c r="N302" s="52"/>
      <c r="O302" s="52"/>
    </row>
    <row r="303">
      <c r="M303" s="52"/>
      <c r="N303" s="52"/>
      <c r="O303" s="52"/>
    </row>
    <row r="304">
      <c r="M304" s="52"/>
      <c r="N304" s="52"/>
      <c r="O304" s="52"/>
    </row>
    <row r="305">
      <c r="M305" s="52"/>
      <c r="N305" s="52"/>
      <c r="O305" s="52"/>
    </row>
    <row r="306">
      <c r="M306" s="52"/>
      <c r="N306" s="52"/>
      <c r="O306" s="52"/>
    </row>
    <row r="307">
      <c r="M307" s="52"/>
      <c r="N307" s="52"/>
      <c r="O307" s="52"/>
    </row>
    <row r="308">
      <c r="M308" s="52"/>
      <c r="N308" s="52"/>
      <c r="O308" s="52"/>
    </row>
    <row r="309">
      <c r="M309" s="52"/>
      <c r="N309" s="52"/>
      <c r="O309" s="52"/>
    </row>
    <row r="310">
      <c r="M310" s="52"/>
      <c r="N310" s="52"/>
      <c r="O310" s="52"/>
    </row>
    <row r="311">
      <c r="M311" s="52"/>
      <c r="N311" s="52"/>
      <c r="O311" s="52"/>
    </row>
    <row r="312">
      <c r="M312" s="52"/>
      <c r="N312" s="52"/>
      <c r="O312" s="52"/>
    </row>
    <row r="313">
      <c r="M313" s="52"/>
      <c r="N313" s="52"/>
      <c r="O313" s="52"/>
    </row>
    <row r="314">
      <c r="M314" s="52"/>
      <c r="N314" s="52"/>
      <c r="O314" s="52"/>
    </row>
    <row r="315">
      <c r="M315" s="52"/>
      <c r="N315" s="52"/>
      <c r="O315" s="52"/>
    </row>
    <row r="316">
      <c r="M316" s="52"/>
      <c r="N316" s="52"/>
      <c r="O316" s="52"/>
    </row>
    <row r="317">
      <c r="M317" s="52"/>
      <c r="N317" s="52"/>
      <c r="O317" s="52"/>
    </row>
    <row r="318">
      <c r="M318" s="52"/>
      <c r="N318" s="52"/>
      <c r="O318" s="52"/>
    </row>
    <row r="319">
      <c r="M319" s="52"/>
      <c r="N319" s="52"/>
      <c r="O319" s="52"/>
    </row>
    <row r="320">
      <c r="M320" s="52"/>
      <c r="N320" s="52"/>
      <c r="O320" s="52"/>
    </row>
    <row r="321">
      <c r="M321" s="52"/>
      <c r="N321" s="52"/>
      <c r="O321" s="52"/>
    </row>
    <row r="322">
      <c r="M322" s="52"/>
      <c r="N322" s="52"/>
      <c r="O322" s="52"/>
    </row>
    <row r="323">
      <c r="M323" s="52"/>
      <c r="N323" s="52"/>
      <c r="O323" s="52"/>
    </row>
    <row r="324">
      <c r="M324" s="52"/>
      <c r="N324" s="52"/>
      <c r="O324" s="52"/>
    </row>
    <row r="325">
      <c r="M325" s="52"/>
      <c r="N325" s="52"/>
      <c r="O325" s="52"/>
    </row>
    <row r="326">
      <c r="M326" s="52"/>
      <c r="N326" s="52"/>
      <c r="O326" s="52"/>
    </row>
    <row r="327">
      <c r="M327" s="52"/>
      <c r="N327" s="52"/>
      <c r="O327" s="52"/>
    </row>
    <row r="328">
      <c r="M328" s="52"/>
      <c r="N328" s="52"/>
      <c r="O328" s="52"/>
    </row>
    <row r="329">
      <c r="M329" s="52"/>
      <c r="N329" s="52"/>
      <c r="O329" s="52"/>
    </row>
    <row r="330">
      <c r="M330" s="52"/>
      <c r="N330" s="52"/>
      <c r="O330" s="52"/>
    </row>
    <row r="331">
      <c r="M331" s="52"/>
      <c r="N331" s="52"/>
      <c r="O331" s="52"/>
    </row>
    <row r="332">
      <c r="M332" s="52"/>
      <c r="N332" s="52"/>
      <c r="O332" s="52"/>
    </row>
    <row r="333">
      <c r="M333" s="52"/>
      <c r="N333" s="52"/>
      <c r="O333" s="52"/>
    </row>
    <row r="334">
      <c r="M334" s="52"/>
      <c r="N334" s="52"/>
      <c r="O334" s="52"/>
    </row>
    <row r="335">
      <c r="M335" s="52"/>
      <c r="N335" s="52"/>
      <c r="O335" s="52"/>
    </row>
    <row r="336">
      <c r="M336" s="52"/>
      <c r="N336" s="52"/>
      <c r="O336" s="52"/>
    </row>
    <row r="337">
      <c r="M337" s="52"/>
      <c r="N337" s="52"/>
      <c r="O337" s="52"/>
    </row>
    <row r="338">
      <c r="M338" s="52"/>
      <c r="N338" s="52"/>
      <c r="O338" s="52"/>
    </row>
    <row r="339">
      <c r="M339" s="52"/>
      <c r="N339" s="52"/>
      <c r="O339" s="52"/>
    </row>
    <row r="340">
      <c r="M340" s="52"/>
      <c r="N340" s="52"/>
      <c r="O340" s="52"/>
    </row>
    <row r="341">
      <c r="M341" s="52"/>
      <c r="N341" s="52"/>
      <c r="O341" s="52"/>
    </row>
    <row r="342">
      <c r="M342" s="52"/>
      <c r="N342" s="52"/>
      <c r="O342" s="52"/>
    </row>
    <row r="343">
      <c r="M343" s="52"/>
      <c r="N343" s="52"/>
      <c r="O343" s="52"/>
    </row>
    <row r="344">
      <c r="M344" s="52"/>
      <c r="N344" s="52"/>
      <c r="O344" s="52"/>
    </row>
    <row r="345">
      <c r="M345" s="52"/>
      <c r="N345" s="52"/>
      <c r="O345" s="52"/>
    </row>
    <row r="346">
      <c r="M346" s="52"/>
      <c r="N346" s="52"/>
      <c r="O346" s="52"/>
    </row>
    <row r="347">
      <c r="M347" s="52"/>
      <c r="N347" s="52"/>
      <c r="O347" s="52"/>
    </row>
    <row r="348">
      <c r="M348" s="52"/>
      <c r="N348" s="52"/>
      <c r="O348" s="52"/>
    </row>
    <row r="349">
      <c r="M349" s="52"/>
      <c r="N349" s="52"/>
      <c r="O349" s="52"/>
    </row>
    <row r="350">
      <c r="M350" s="52"/>
      <c r="N350" s="52"/>
      <c r="O350" s="52"/>
    </row>
    <row r="351">
      <c r="M351" s="52"/>
      <c r="N351" s="52"/>
      <c r="O351" s="52"/>
    </row>
    <row r="352">
      <c r="M352" s="52"/>
      <c r="N352" s="52"/>
      <c r="O352" s="52"/>
    </row>
    <row r="353">
      <c r="M353" s="52"/>
      <c r="N353" s="52"/>
      <c r="O353" s="52"/>
    </row>
    <row r="354">
      <c r="M354" s="52"/>
      <c r="N354" s="52"/>
      <c r="O354" s="52"/>
    </row>
    <row r="355">
      <c r="M355" s="52"/>
      <c r="N355" s="52"/>
      <c r="O355" s="52"/>
    </row>
    <row r="356">
      <c r="M356" s="52"/>
      <c r="N356" s="52"/>
      <c r="O356" s="52"/>
    </row>
    <row r="357">
      <c r="M357" s="52"/>
      <c r="N357" s="52"/>
      <c r="O357" s="52"/>
    </row>
    <row r="358">
      <c r="M358" s="52"/>
      <c r="N358" s="52"/>
      <c r="O358" s="52"/>
    </row>
    <row r="359">
      <c r="M359" s="52"/>
      <c r="N359" s="52"/>
      <c r="O359" s="52"/>
    </row>
    <row r="360">
      <c r="M360" s="52"/>
      <c r="N360" s="52"/>
      <c r="O360" s="52"/>
    </row>
    <row r="361">
      <c r="M361" s="52"/>
      <c r="N361" s="52"/>
      <c r="O361" s="52"/>
    </row>
    <row r="362">
      <c r="M362" s="52"/>
      <c r="N362" s="52"/>
      <c r="O362" s="52"/>
    </row>
    <row r="363">
      <c r="M363" s="52"/>
      <c r="N363" s="52"/>
      <c r="O363" s="52"/>
    </row>
    <row r="364">
      <c r="M364" s="52"/>
      <c r="N364" s="52"/>
      <c r="O364" s="52"/>
    </row>
    <row r="365">
      <c r="M365" s="52"/>
      <c r="N365" s="52"/>
      <c r="O365" s="52"/>
    </row>
    <row r="366">
      <c r="M366" s="52"/>
      <c r="N366" s="52"/>
      <c r="O366" s="52"/>
    </row>
    <row r="367">
      <c r="M367" s="52"/>
      <c r="N367" s="52"/>
      <c r="O367" s="52"/>
    </row>
    <row r="368">
      <c r="M368" s="52"/>
      <c r="N368" s="52"/>
      <c r="O368" s="52"/>
    </row>
    <row r="369">
      <c r="M369" s="52"/>
      <c r="N369" s="52"/>
      <c r="O369" s="52"/>
    </row>
    <row r="370">
      <c r="M370" s="52"/>
      <c r="N370" s="52"/>
      <c r="O370" s="52"/>
    </row>
    <row r="371">
      <c r="M371" s="52"/>
      <c r="N371" s="52"/>
      <c r="O371" s="52"/>
    </row>
    <row r="372">
      <c r="M372" s="52"/>
      <c r="N372" s="52"/>
      <c r="O372" s="52"/>
    </row>
    <row r="373">
      <c r="M373" s="52"/>
      <c r="N373" s="52"/>
      <c r="O373" s="52"/>
    </row>
    <row r="374">
      <c r="M374" s="52"/>
      <c r="N374" s="52"/>
      <c r="O374" s="52"/>
    </row>
    <row r="375">
      <c r="M375" s="52"/>
      <c r="N375" s="52"/>
      <c r="O375" s="52"/>
    </row>
    <row r="376">
      <c r="M376" s="52"/>
      <c r="N376" s="52"/>
      <c r="O376" s="52"/>
    </row>
    <row r="377">
      <c r="M377" s="52"/>
      <c r="N377" s="52"/>
      <c r="O377" s="52"/>
    </row>
    <row r="378">
      <c r="M378" s="52"/>
      <c r="N378" s="52"/>
      <c r="O378" s="52"/>
    </row>
    <row r="379">
      <c r="M379" s="52"/>
      <c r="N379" s="52"/>
      <c r="O379" s="52"/>
    </row>
    <row r="380">
      <c r="M380" s="52"/>
      <c r="N380" s="52"/>
      <c r="O380" s="52"/>
    </row>
    <row r="381">
      <c r="M381" s="52"/>
      <c r="N381" s="52"/>
      <c r="O381" s="52"/>
    </row>
    <row r="382">
      <c r="M382" s="52"/>
      <c r="N382" s="52"/>
      <c r="O382" s="52"/>
    </row>
    <row r="383">
      <c r="M383" s="52"/>
      <c r="N383" s="52"/>
      <c r="O383" s="52"/>
    </row>
    <row r="384">
      <c r="M384" s="52"/>
      <c r="N384" s="52"/>
      <c r="O384" s="52"/>
    </row>
    <row r="385">
      <c r="M385" s="52"/>
      <c r="N385" s="52"/>
      <c r="O385" s="52"/>
    </row>
    <row r="386">
      <c r="M386" s="52"/>
      <c r="N386" s="52"/>
      <c r="O386" s="52"/>
    </row>
    <row r="387">
      <c r="M387" s="52"/>
      <c r="N387" s="52"/>
      <c r="O387" s="52"/>
    </row>
    <row r="388">
      <c r="M388" s="52"/>
      <c r="N388" s="52"/>
      <c r="O388" s="52"/>
    </row>
    <row r="389">
      <c r="M389" s="52"/>
      <c r="N389" s="52"/>
      <c r="O389" s="52"/>
    </row>
    <row r="390">
      <c r="M390" s="52"/>
      <c r="N390" s="52"/>
      <c r="O390" s="52"/>
    </row>
    <row r="391">
      <c r="M391" s="52"/>
      <c r="N391" s="52"/>
      <c r="O391" s="52"/>
    </row>
    <row r="392">
      <c r="M392" s="52"/>
      <c r="N392" s="52"/>
      <c r="O392" s="52"/>
    </row>
    <row r="393">
      <c r="M393" s="52"/>
      <c r="N393" s="52"/>
      <c r="O393" s="52"/>
    </row>
    <row r="394">
      <c r="M394" s="52"/>
      <c r="N394" s="52"/>
      <c r="O394" s="52"/>
    </row>
    <row r="395">
      <c r="M395" s="52"/>
      <c r="N395" s="52"/>
      <c r="O395" s="52"/>
    </row>
    <row r="396">
      <c r="M396" s="52"/>
      <c r="N396" s="52"/>
      <c r="O396" s="52"/>
    </row>
    <row r="397">
      <c r="M397" s="52"/>
      <c r="N397" s="52"/>
      <c r="O397" s="52"/>
    </row>
    <row r="398">
      <c r="M398" s="52"/>
      <c r="N398" s="52"/>
      <c r="O398" s="52"/>
    </row>
    <row r="399">
      <c r="M399" s="52"/>
      <c r="N399" s="52"/>
      <c r="O399" s="52"/>
    </row>
    <row r="400">
      <c r="M400" s="52"/>
      <c r="N400" s="52"/>
      <c r="O400" s="52"/>
    </row>
    <row r="401">
      <c r="M401" s="52"/>
      <c r="N401" s="52"/>
      <c r="O401" s="52"/>
    </row>
    <row r="402">
      <c r="M402" s="52"/>
      <c r="N402" s="52"/>
      <c r="O402" s="52"/>
    </row>
    <row r="403">
      <c r="M403" s="52"/>
      <c r="N403" s="52"/>
      <c r="O403" s="52"/>
    </row>
    <row r="404">
      <c r="M404" s="52"/>
      <c r="N404" s="52"/>
      <c r="O404" s="52"/>
    </row>
    <row r="405">
      <c r="M405" s="52"/>
      <c r="N405" s="52"/>
      <c r="O405" s="52"/>
    </row>
    <row r="406">
      <c r="M406" s="52"/>
      <c r="N406" s="52"/>
      <c r="O406" s="52"/>
    </row>
    <row r="407">
      <c r="M407" s="52"/>
      <c r="N407" s="52"/>
      <c r="O407" s="52"/>
    </row>
    <row r="408">
      <c r="M408" s="52"/>
      <c r="N408" s="52"/>
      <c r="O408" s="52"/>
    </row>
    <row r="409">
      <c r="M409" s="52"/>
      <c r="N409" s="52"/>
      <c r="O409" s="52"/>
    </row>
    <row r="410">
      <c r="M410" s="52"/>
      <c r="N410" s="52"/>
      <c r="O410" s="52"/>
    </row>
    <row r="411">
      <c r="M411" s="52"/>
      <c r="N411" s="52"/>
      <c r="O411" s="52"/>
    </row>
    <row r="412">
      <c r="M412" s="52"/>
      <c r="N412" s="52"/>
      <c r="O412" s="52"/>
    </row>
    <row r="413">
      <c r="M413" s="52"/>
      <c r="N413" s="52"/>
      <c r="O413" s="52"/>
    </row>
    <row r="414">
      <c r="M414" s="52"/>
      <c r="N414" s="52"/>
      <c r="O414" s="52"/>
    </row>
    <row r="415">
      <c r="M415" s="52"/>
      <c r="N415" s="52"/>
      <c r="O415" s="52"/>
    </row>
    <row r="416">
      <c r="M416" s="52"/>
      <c r="N416" s="52"/>
      <c r="O416" s="52"/>
    </row>
    <row r="417">
      <c r="M417" s="52"/>
      <c r="N417" s="52"/>
      <c r="O417" s="52"/>
    </row>
    <row r="418">
      <c r="M418" s="52"/>
      <c r="N418" s="52"/>
      <c r="O418" s="52"/>
    </row>
    <row r="419">
      <c r="M419" s="52"/>
      <c r="N419" s="52"/>
      <c r="O419" s="52"/>
    </row>
    <row r="420">
      <c r="M420" s="52"/>
      <c r="N420" s="52"/>
      <c r="O420" s="52"/>
    </row>
    <row r="421">
      <c r="M421" s="52"/>
      <c r="N421" s="52"/>
      <c r="O421" s="52"/>
    </row>
    <row r="422">
      <c r="M422" s="52"/>
      <c r="N422" s="52"/>
      <c r="O422" s="52"/>
    </row>
    <row r="423">
      <c r="M423" s="52"/>
      <c r="N423" s="52"/>
      <c r="O423" s="52"/>
    </row>
    <row r="424">
      <c r="M424" s="52"/>
      <c r="N424" s="52"/>
      <c r="O424" s="52"/>
    </row>
    <row r="425">
      <c r="M425" s="52"/>
      <c r="N425" s="52"/>
      <c r="O425" s="52"/>
    </row>
    <row r="426">
      <c r="M426" s="52"/>
      <c r="N426" s="52"/>
      <c r="O426" s="52"/>
    </row>
    <row r="427">
      <c r="M427" s="52"/>
      <c r="N427" s="52"/>
      <c r="O427" s="52"/>
    </row>
    <row r="428">
      <c r="M428" s="52"/>
      <c r="N428" s="52"/>
      <c r="O428" s="52"/>
    </row>
    <row r="429">
      <c r="M429" s="52"/>
      <c r="N429" s="52"/>
      <c r="O429" s="52"/>
    </row>
    <row r="430">
      <c r="M430" s="52"/>
      <c r="N430" s="52"/>
      <c r="O430" s="52"/>
    </row>
    <row r="431">
      <c r="M431" s="52"/>
      <c r="N431" s="52"/>
      <c r="O431" s="52"/>
    </row>
    <row r="432">
      <c r="M432" s="52"/>
      <c r="N432" s="52"/>
      <c r="O432" s="52"/>
    </row>
    <row r="433">
      <c r="M433" s="52"/>
      <c r="N433" s="52"/>
      <c r="O433" s="52"/>
    </row>
    <row r="434">
      <c r="M434" s="52"/>
      <c r="N434" s="52"/>
      <c r="O434" s="52"/>
    </row>
    <row r="435">
      <c r="M435" s="52"/>
      <c r="N435" s="52"/>
      <c r="O435" s="52"/>
    </row>
    <row r="436">
      <c r="M436" s="52"/>
      <c r="N436" s="52"/>
      <c r="O436" s="52"/>
    </row>
    <row r="437">
      <c r="M437" s="52"/>
      <c r="N437" s="52"/>
      <c r="O437" s="52"/>
    </row>
    <row r="438">
      <c r="M438" s="52"/>
      <c r="N438" s="52"/>
      <c r="O438" s="52"/>
    </row>
    <row r="439">
      <c r="M439" s="52"/>
      <c r="N439" s="52"/>
      <c r="O439" s="52"/>
    </row>
    <row r="440">
      <c r="M440" s="52"/>
      <c r="N440" s="52"/>
      <c r="O440" s="52"/>
    </row>
    <row r="441">
      <c r="M441" s="52"/>
      <c r="N441" s="52"/>
      <c r="O441" s="52"/>
    </row>
    <row r="442">
      <c r="M442" s="52"/>
      <c r="N442" s="52"/>
      <c r="O442" s="52"/>
    </row>
    <row r="443">
      <c r="M443" s="52"/>
      <c r="N443" s="52"/>
      <c r="O443" s="52"/>
    </row>
    <row r="444">
      <c r="M444" s="52"/>
      <c r="N444" s="52"/>
      <c r="O444" s="52"/>
    </row>
    <row r="445">
      <c r="M445" s="52"/>
      <c r="N445" s="52"/>
      <c r="O445" s="52"/>
    </row>
    <row r="446">
      <c r="M446" s="52"/>
      <c r="N446" s="52"/>
      <c r="O446" s="52"/>
    </row>
    <row r="447">
      <c r="M447" s="52"/>
      <c r="N447" s="52"/>
      <c r="O447" s="52"/>
    </row>
    <row r="448">
      <c r="M448" s="52"/>
      <c r="N448" s="52"/>
      <c r="O448" s="52"/>
    </row>
    <row r="449">
      <c r="M449" s="52"/>
      <c r="N449" s="52"/>
      <c r="O449" s="52"/>
    </row>
    <row r="450">
      <c r="M450" s="52"/>
      <c r="N450" s="52"/>
      <c r="O450" s="52"/>
    </row>
    <row r="451">
      <c r="M451" s="52"/>
      <c r="N451" s="52"/>
      <c r="O451" s="52"/>
    </row>
    <row r="452">
      <c r="M452" s="52"/>
      <c r="N452" s="52"/>
      <c r="O452" s="52"/>
    </row>
    <row r="453">
      <c r="M453" s="52"/>
      <c r="N453" s="52"/>
      <c r="O453" s="52"/>
    </row>
    <row r="454">
      <c r="M454" s="52"/>
      <c r="N454" s="52"/>
      <c r="O454" s="52"/>
    </row>
    <row r="455">
      <c r="M455" s="52"/>
      <c r="N455" s="52"/>
      <c r="O455" s="52"/>
    </row>
    <row r="456">
      <c r="M456" s="52"/>
      <c r="N456" s="52"/>
      <c r="O456" s="52"/>
    </row>
    <row r="457">
      <c r="M457" s="52"/>
      <c r="N457" s="52"/>
      <c r="O457" s="52"/>
    </row>
    <row r="458">
      <c r="M458" s="52"/>
      <c r="N458" s="52"/>
      <c r="O458" s="52"/>
    </row>
    <row r="459">
      <c r="M459" s="52"/>
      <c r="N459" s="52"/>
      <c r="O459" s="52"/>
    </row>
    <row r="460">
      <c r="M460" s="52"/>
      <c r="N460" s="52"/>
      <c r="O460" s="52"/>
    </row>
    <row r="461">
      <c r="M461" s="52"/>
      <c r="N461" s="52"/>
      <c r="O461" s="52"/>
    </row>
    <row r="462">
      <c r="M462" s="52"/>
      <c r="N462" s="52"/>
      <c r="O462" s="52"/>
    </row>
    <row r="463">
      <c r="M463" s="52"/>
      <c r="N463" s="52"/>
      <c r="O463" s="52"/>
    </row>
    <row r="464">
      <c r="M464" s="52"/>
      <c r="N464" s="52"/>
      <c r="O464" s="52"/>
    </row>
    <row r="465">
      <c r="M465" s="52"/>
      <c r="N465" s="52"/>
      <c r="O465" s="52"/>
    </row>
    <row r="466">
      <c r="M466" s="52"/>
      <c r="N466" s="52"/>
      <c r="O466" s="52"/>
    </row>
    <row r="467">
      <c r="M467" s="52"/>
      <c r="N467" s="52"/>
      <c r="O467" s="52"/>
    </row>
    <row r="468">
      <c r="M468" s="52"/>
      <c r="N468" s="52"/>
      <c r="O468" s="52"/>
    </row>
    <row r="469">
      <c r="M469" s="52"/>
      <c r="N469" s="52"/>
      <c r="O469" s="52"/>
    </row>
    <row r="470">
      <c r="M470" s="52"/>
      <c r="N470" s="52"/>
      <c r="O470" s="52"/>
    </row>
    <row r="471">
      <c r="M471" s="52"/>
      <c r="N471" s="52"/>
      <c r="O471" s="52"/>
    </row>
    <row r="472">
      <c r="M472" s="52"/>
      <c r="N472" s="52"/>
      <c r="O472" s="52"/>
    </row>
    <row r="473">
      <c r="M473" s="52"/>
      <c r="N473" s="52"/>
      <c r="O473" s="52"/>
    </row>
    <row r="474">
      <c r="M474" s="52"/>
      <c r="N474" s="52"/>
      <c r="O474" s="52"/>
    </row>
    <row r="475">
      <c r="M475" s="52"/>
      <c r="N475" s="52"/>
      <c r="O475" s="52"/>
    </row>
    <row r="476">
      <c r="M476" s="52"/>
      <c r="N476" s="52"/>
      <c r="O476" s="52"/>
    </row>
    <row r="477">
      <c r="M477" s="52"/>
      <c r="N477" s="52"/>
      <c r="O477" s="52"/>
    </row>
    <row r="478">
      <c r="M478" s="52"/>
      <c r="N478" s="52"/>
      <c r="O478" s="52"/>
    </row>
    <row r="479">
      <c r="M479" s="52"/>
      <c r="N479" s="52"/>
      <c r="O479" s="52"/>
    </row>
    <row r="480">
      <c r="M480" s="52"/>
      <c r="N480" s="52"/>
      <c r="O480" s="52"/>
    </row>
    <row r="481">
      <c r="M481" s="52"/>
      <c r="N481" s="52"/>
      <c r="O481" s="52"/>
    </row>
    <row r="482">
      <c r="M482" s="52"/>
      <c r="N482" s="52"/>
      <c r="O482" s="52"/>
    </row>
    <row r="483">
      <c r="M483" s="52"/>
      <c r="N483" s="52"/>
      <c r="O483" s="52"/>
    </row>
    <row r="484">
      <c r="M484" s="52"/>
      <c r="N484" s="52"/>
      <c r="O484" s="52"/>
    </row>
    <row r="485">
      <c r="M485" s="52"/>
      <c r="N485" s="52"/>
      <c r="O485" s="52"/>
    </row>
    <row r="486">
      <c r="M486" s="52"/>
      <c r="N486" s="52"/>
      <c r="O486" s="52"/>
    </row>
    <row r="487">
      <c r="M487" s="52"/>
      <c r="N487" s="52"/>
      <c r="O487" s="52"/>
    </row>
    <row r="488">
      <c r="M488" s="52"/>
      <c r="N488" s="52"/>
      <c r="O488" s="52"/>
    </row>
    <row r="489">
      <c r="M489" s="52"/>
      <c r="N489" s="52"/>
      <c r="O489" s="52"/>
    </row>
    <row r="490">
      <c r="M490" s="52"/>
      <c r="N490" s="52"/>
      <c r="O490" s="52"/>
    </row>
    <row r="491">
      <c r="M491" s="52"/>
      <c r="N491" s="52"/>
      <c r="O491" s="52"/>
    </row>
    <row r="492">
      <c r="M492" s="52"/>
      <c r="N492" s="52"/>
      <c r="O492" s="52"/>
    </row>
    <row r="493">
      <c r="M493" s="52"/>
      <c r="N493" s="52"/>
      <c r="O493" s="52"/>
    </row>
    <row r="494">
      <c r="M494" s="52"/>
      <c r="N494" s="52"/>
      <c r="O494" s="52"/>
    </row>
    <row r="495">
      <c r="M495" s="52"/>
      <c r="N495" s="52"/>
      <c r="O495" s="52"/>
    </row>
    <row r="496">
      <c r="M496" s="52"/>
      <c r="N496" s="52"/>
      <c r="O496" s="52"/>
    </row>
    <row r="497">
      <c r="M497" s="52"/>
      <c r="N497" s="52"/>
      <c r="O497" s="52"/>
    </row>
    <row r="498">
      <c r="M498" s="52"/>
      <c r="N498" s="52"/>
      <c r="O498" s="52"/>
    </row>
    <row r="499">
      <c r="M499" s="52"/>
      <c r="N499" s="52"/>
      <c r="O499" s="52"/>
    </row>
    <row r="500">
      <c r="M500" s="52"/>
      <c r="N500" s="52"/>
      <c r="O500" s="52"/>
    </row>
    <row r="501">
      <c r="M501" s="52"/>
      <c r="N501" s="52"/>
      <c r="O501" s="52"/>
    </row>
    <row r="502">
      <c r="M502" s="52"/>
      <c r="N502" s="52"/>
      <c r="O502" s="52"/>
    </row>
    <row r="503">
      <c r="M503" s="52"/>
      <c r="N503" s="52"/>
      <c r="O503" s="52"/>
    </row>
    <row r="504">
      <c r="M504" s="52"/>
      <c r="N504" s="52"/>
      <c r="O504" s="52"/>
    </row>
    <row r="505">
      <c r="M505" s="52"/>
      <c r="N505" s="52"/>
      <c r="O505" s="52"/>
    </row>
    <row r="506">
      <c r="M506" s="52"/>
      <c r="N506" s="52"/>
      <c r="O506" s="52"/>
    </row>
    <row r="507">
      <c r="M507" s="52"/>
      <c r="N507" s="52"/>
      <c r="O507" s="52"/>
    </row>
    <row r="508">
      <c r="M508" s="52"/>
      <c r="N508" s="52"/>
      <c r="O508" s="52"/>
    </row>
    <row r="509">
      <c r="M509" s="52"/>
      <c r="N509" s="52"/>
      <c r="O509" s="52"/>
    </row>
    <row r="510">
      <c r="M510" s="52"/>
      <c r="N510" s="52"/>
      <c r="O510" s="52"/>
    </row>
    <row r="511">
      <c r="M511" s="52"/>
      <c r="N511" s="52"/>
      <c r="O511" s="52"/>
    </row>
    <row r="512">
      <c r="M512" s="52"/>
      <c r="N512" s="52"/>
      <c r="O512" s="52"/>
    </row>
    <row r="513">
      <c r="M513" s="52"/>
      <c r="N513" s="52"/>
      <c r="O513" s="52"/>
    </row>
    <row r="514">
      <c r="M514" s="52"/>
      <c r="N514" s="52"/>
      <c r="O514" s="52"/>
    </row>
    <row r="515">
      <c r="M515" s="52"/>
      <c r="N515" s="52"/>
      <c r="O515" s="52"/>
    </row>
    <row r="516">
      <c r="M516" s="52"/>
      <c r="N516" s="52"/>
      <c r="O516" s="52"/>
    </row>
    <row r="517">
      <c r="M517" s="52"/>
      <c r="N517" s="52"/>
      <c r="O517" s="52"/>
    </row>
    <row r="518">
      <c r="M518" s="52"/>
      <c r="N518" s="52"/>
      <c r="O518" s="52"/>
    </row>
    <row r="519">
      <c r="M519" s="52"/>
      <c r="N519" s="52"/>
      <c r="O519" s="52"/>
    </row>
    <row r="520">
      <c r="M520" s="52"/>
      <c r="N520" s="52"/>
      <c r="O520" s="52"/>
    </row>
    <row r="521">
      <c r="M521" s="52"/>
      <c r="N521" s="52"/>
      <c r="O521" s="52"/>
    </row>
    <row r="522">
      <c r="M522" s="52"/>
      <c r="N522" s="52"/>
      <c r="O522" s="52"/>
    </row>
    <row r="523">
      <c r="M523" s="52"/>
      <c r="N523" s="52"/>
      <c r="O523" s="52"/>
    </row>
    <row r="524">
      <c r="M524" s="52"/>
      <c r="N524" s="52"/>
      <c r="O524" s="52"/>
    </row>
    <row r="525">
      <c r="M525" s="52"/>
      <c r="N525" s="52"/>
      <c r="O525" s="52"/>
    </row>
    <row r="526">
      <c r="M526" s="52"/>
      <c r="N526" s="52"/>
      <c r="O526" s="52"/>
    </row>
    <row r="527">
      <c r="M527" s="52"/>
      <c r="N527" s="52"/>
      <c r="O527" s="52"/>
    </row>
    <row r="528">
      <c r="M528" s="52"/>
      <c r="N528" s="52"/>
      <c r="O528" s="52"/>
    </row>
    <row r="529">
      <c r="M529" s="52"/>
      <c r="N529" s="52"/>
      <c r="O529" s="52"/>
    </row>
    <row r="530">
      <c r="M530" s="52"/>
      <c r="N530" s="52"/>
      <c r="O530" s="52"/>
    </row>
    <row r="531">
      <c r="M531" s="52"/>
      <c r="N531" s="52"/>
      <c r="O531" s="52"/>
    </row>
    <row r="532">
      <c r="M532" s="52"/>
      <c r="N532" s="52"/>
      <c r="O532" s="52"/>
    </row>
    <row r="533">
      <c r="M533" s="52"/>
      <c r="N533" s="52"/>
      <c r="O533" s="52"/>
    </row>
    <row r="534">
      <c r="M534" s="52"/>
      <c r="N534" s="52"/>
      <c r="O534" s="52"/>
    </row>
    <row r="535">
      <c r="M535" s="52"/>
      <c r="N535" s="52"/>
      <c r="O535" s="52"/>
    </row>
    <row r="536">
      <c r="M536" s="52"/>
      <c r="N536" s="52"/>
      <c r="O536" s="52"/>
    </row>
    <row r="537">
      <c r="M537" s="52"/>
      <c r="N537" s="52"/>
      <c r="O537" s="52"/>
    </row>
    <row r="538">
      <c r="M538" s="52"/>
      <c r="N538" s="52"/>
      <c r="O538" s="52"/>
    </row>
    <row r="539">
      <c r="M539" s="52"/>
      <c r="N539" s="52"/>
      <c r="O539" s="52"/>
    </row>
    <row r="540">
      <c r="M540" s="52"/>
      <c r="N540" s="52"/>
      <c r="O540" s="52"/>
    </row>
    <row r="541">
      <c r="M541" s="52"/>
      <c r="N541" s="52"/>
      <c r="O541" s="52"/>
    </row>
    <row r="542">
      <c r="M542" s="52"/>
      <c r="N542" s="52"/>
      <c r="O542" s="52"/>
    </row>
    <row r="543">
      <c r="M543" s="52"/>
      <c r="N543" s="52"/>
      <c r="O543" s="52"/>
    </row>
    <row r="544">
      <c r="M544" s="52"/>
      <c r="N544" s="52"/>
      <c r="O544" s="52"/>
    </row>
    <row r="545">
      <c r="M545" s="52"/>
      <c r="N545" s="52"/>
      <c r="O545" s="52"/>
    </row>
    <row r="546">
      <c r="M546" s="52"/>
      <c r="N546" s="52"/>
      <c r="O546" s="52"/>
    </row>
    <row r="547">
      <c r="M547" s="52"/>
      <c r="N547" s="52"/>
      <c r="O547" s="52"/>
    </row>
    <row r="548">
      <c r="M548" s="52"/>
      <c r="N548" s="52"/>
      <c r="O548" s="52"/>
    </row>
    <row r="549">
      <c r="M549" s="52"/>
      <c r="N549" s="52"/>
      <c r="O549" s="52"/>
    </row>
    <row r="550">
      <c r="M550" s="52"/>
      <c r="N550" s="52"/>
      <c r="O550" s="52"/>
    </row>
    <row r="551">
      <c r="M551" s="52"/>
      <c r="N551" s="52"/>
      <c r="O551" s="52"/>
    </row>
    <row r="552">
      <c r="M552" s="52"/>
      <c r="N552" s="52"/>
      <c r="O552" s="52"/>
    </row>
    <row r="553">
      <c r="M553" s="52"/>
      <c r="N553" s="52"/>
      <c r="O553" s="52"/>
    </row>
    <row r="554">
      <c r="M554" s="52"/>
      <c r="N554" s="52"/>
      <c r="O554" s="52"/>
    </row>
    <row r="555">
      <c r="M555" s="52"/>
      <c r="N555" s="52"/>
      <c r="O555" s="52"/>
    </row>
    <row r="556">
      <c r="M556" s="52"/>
      <c r="N556" s="52"/>
      <c r="O556" s="52"/>
    </row>
    <row r="557">
      <c r="M557" s="52"/>
      <c r="N557" s="52"/>
      <c r="O557" s="52"/>
    </row>
    <row r="558">
      <c r="M558" s="52"/>
      <c r="N558" s="52"/>
      <c r="O558" s="52"/>
    </row>
    <row r="559">
      <c r="M559" s="52"/>
      <c r="N559" s="52"/>
      <c r="O559" s="52"/>
    </row>
    <row r="560">
      <c r="M560" s="52"/>
      <c r="N560" s="52"/>
      <c r="O560" s="52"/>
    </row>
    <row r="561">
      <c r="M561" s="52"/>
      <c r="N561" s="52"/>
      <c r="O561" s="52"/>
    </row>
    <row r="562">
      <c r="M562" s="52"/>
      <c r="N562" s="52"/>
      <c r="O562" s="52"/>
    </row>
    <row r="563">
      <c r="M563" s="52"/>
      <c r="N563" s="52"/>
      <c r="O563" s="52"/>
    </row>
    <row r="564">
      <c r="M564" s="52"/>
      <c r="N564" s="52"/>
      <c r="O564" s="52"/>
    </row>
    <row r="565">
      <c r="M565" s="52"/>
      <c r="N565" s="52"/>
      <c r="O565" s="52"/>
    </row>
    <row r="566">
      <c r="M566" s="52"/>
      <c r="N566" s="52"/>
      <c r="O566" s="52"/>
    </row>
    <row r="567">
      <c r="M567" s="52"/>
      <c r="N567" s="52"/>
      <c r="O567" s="52"/>
    </row>
    <row r="568">
      <c r="M568" s="52"/>
      <c r="N568" s="52"/>
      <c r="O568" s="52"/>
    </row>
    <row r="569">
      <c r="M569" s="52"/>
      <c r="N569" s="52"/>
      <c r="O569" s="52"/>
    </row>
    <row r="570">
      <c r="M570" s="52"/>
      <c r="N570" s="52"/>
      <c r="O570" s="52"/>
    </row>
    <row r="571">
      <c r="M571" s="52"/>
      <c r="N571" s="52"/>
      <c r="O571" s="52"/>
    </row>
    <row r="572">
      <c r="M572" s="52"/>
      <c r="N572" s="52"/>
      <c r="O572" s="52"/>
    </row>
    <row r="573">
      <c r="M573" s="52"/>
      <c r="N573" s="52"/>
      <c r="O573" s="52"/>
    </row>
    <row r="574">
      <c r="M574" s="52"/>
      <c r="N574" s="52"/>
      <c r="O574" s="52"/>
    </row>
    <row r="575">
      <c r="M575" s="52"/>
      <c r="N575" s="52"/>
      <c r="O575" s="52"/>
    </row>
    <row r="576">
      <c r="M576" s="52"/>
      <c r="N576" s="52"/>
      <c r="O576" s="52"/>
    </row>
    <row r="577">
      <c r="M577" s="52"/>
      <c r="N577" s="52"/>
      <c r="O577" s="52"/>
    </row>
    <row r="578">
      <c r="M578" s="52"/>
      <c r="N578" s="52"/>
      <c r="O578" s="52"/>
    </row>
    <row r="579">
      <c r="M579" s="52"/>
      <c r="N579" s="52"/>
      <c r="O579" s="52"/>
    </row>
    <row r="580">
      <c r="M580" s="52"/>
      <c r="N580" s="52"/>
      <c r="O580" s="52"/>
    </row>
    <row r="581">
      <c r="M581" s="52"/>
      <c r="N581" s="52"/>
      <c r="O581" s="52"/>
    </row>
    <row r="582">
      <c r="M582" s="52"/>
      <c r="N582" s="52"/>
      <c r="O582" s="52"/>
    </row>
    <row r="583">
      <c r="M583" s="52"/>
      <c r="N583" s="52"/>
      <c r="O583" s="52"/>
    </row>
    <row r="584">
      <c r="M584" s="52"/>
      <c r="N584" s="52"/>
      <c r="O584" s="52"/>
    </row>
    <row r="585">
      <c r="M585" s="52"/>
      <c r="N585" s="52"/>
      <c r="O585" s="52"/>
    </row>
    <row r="586">
      <c r="M586" s="52"/>
      <c r="N586" s="52"/>
      <c r="O586" s="52"/>
    </row>
    <row r="587">
      <c r="M587" s="52"/>
      <c r="N587" s="52"/>
      <c r="O587" s="52"/>
    </row>
    <row r="588">
      <c r="M588" s="52"/>
      <c r="N588" s="52"/>
      <c r="O588" s="52"/>
    </row>
    <row r="589">
      <c r="M589" s="52"/>
      <c r="N589" s="52"/>
      <c r="O589" s="52"/>
    </row>
    <row r="590">
      <c r="M590" s="52"/>
      <c r="N590" s="52"/>
      <c r="O590" s="52"/>
    </row>
    <row r="591">
      <c r="M591" s="52"/>
      <c r="N591" s="52"/>
      <c r="O591" s="52"/>
    </row>
    <row r="592">
      <c r="M592" s="52"/>
      <c r="N592" s="52"/>
      <c r="O592" s="52"/>
    </row>
    <row r="593">
      <c r="M593" s="52"/>
      <c r="N593" s="52"/>
      <c r="O593" s="52"/>
    </row>
    <row r="594">
      <c r="M594" s="52"/>
      <c r="N594" s="52"/>
      <c r="O594" s="52"/>
    </row>
    <row r="595">
      <c r="M595" s="52"/>
      <c r="N595" s="52"/>
      <c r="O595" s="52"/>
    </row>
    <row r="596">
      <c r="M596" s="52"/>
      <c r="N596" s="52"/>
      <c r="O596" s="52"/>
    </row>
    <row r="597">
      <c r="M597" s="52"/>
      <c r="N597" s="52"/>
      <c r="O597" s="52"/>
    </row>
    <row r="598">
      <c r="M598" s="52"/>
      <c r="N598" s="52"/>
      <c r="O598" s="52"/>
    </row>
    <row r="599">
      <c r="M599" s="52"/>
      <c r="N599" s="52"/>
      <c r="O599" s="52"/>
    </row>
    <row r="600">
      <c r="M600" s="52"/>
      <c r="N600" s="52"/>
      <c r="O600" s="52"/>
    </row>
    <row r="601">
      <c r="M601" s="52"/>
      <c r="N601" s="52"/>
      <c r="O601" s="52"/>
    </row>
    <row r="602">
      <c r="M602" s="52"/>
      <c r="N602" s="52"/>
      <c r="O602" s="52"/>
    </row>
    <row r="603">
      <c r="M603" s="52"/>
      <c r="N603" s="52"/>
      <c r="O603" s="52"/>
    </row>
    <row r="604">
      <c r="M604" s="52"/>
      <c r="N604" s="52"/>
      <c r="O604" s="52"/>
    </row>
    <row r="605">
      <c r="M605" s="52"/>
      <c r="N605" s="52"/>
      <c r="O605" s="52"/>
    </row>
    <row r="606">
      <c r="M606" s="52"/>
      <c r="N606" s="52"/>
      <c r="O606" s="52"/>
    </row>
    <row r="607">
      <c r="M607" s="52"/>
      <c r="N607" s="52"/>
      <c r="O607" s="52"/>
    </row>
    <row r="608">
      <c r="M608" s="52"/>
      <c r="N608" s="52"/>
      <c r="O608" s="52"/>
    </row>
    <row r="609">
      <c r="M609" s="52"/>
      <c r="N609" s="52"/>
      <c r="O609" s="52"/>
    </row>
    <row r="610">
      <c r="M610" s="52"/>
      <c r="N610" s="52"/>
      <c r="O610" s="52"/>
    </row>
    <row r="611">
      <c r="M611" s="52"/>
      <c r="N611" s="52"/>
      <c r="O611" s="52"/>
    </row>
    <row r="612">
      <c r="M612" s="52"/>
      <c r="N612" s="52"/>
      <c r="O612" s="52"/>
    </row>
    <row r="613">
      <c r="M613" s="52"/>
      <c r="N613" s="52"/>
      <c r="O613" s="52"/>
    </row>
    <row r="614">
      <c r="M614" s="52"/>
      <c r="N614" s="52"/>
      <c r="O614" s="52"/>
    </row>
    <row r="615">
      <c r="M615" s="52"/>
      <c r="N615" s="52"/>
      <c r="O615" s="52"/>
    </row>
    <row r="616">
      <c r="M616" s="52"/>
      <c r="N616" s="52"/>
      <c r="O616" s="52"/>
    </row>
    <row r="617">
      <c r="M617" s="52"/>
      <c r="N617" s="52"/>
      <c r="O617" s="52"/>
    </row>
    <row r="618">
      <c r="M618" s="52"/>
      <c r="N618" s="52"/>
      <c r="O618" s="52"/>
    </row>
    <row r="619">
      <c r="M619" s="52"/>
      <c r="N619" s="52"/>
      <c r="O619" s="52"/>
    </row>
    <row r="620">
      <c r="M620" s="52"/>
      <c r="N620" s="52"/>
      <c r="O620" s="52"/>
    </row>
    <row r="621">
      <c r="M621" s="52"/>
      <c r="N621" s="52"/>
      <c r="O621" s="52"/>
    </row>
    <row r="622">
      <c r="M622" s="52"/>
      <c r="N622" s="52"/>
      <c r="O622" s="52"/>
    </row>
    <row r="623">
      <c r="M623" s="52"/>
      <c r="N623" s="52"/>
      <c r="O623" s="52"/>
    </row>
    <row r="624">
      <c r="M624" s="52"/>
      <c r="N624" s="52"/>
      <c r="O624" s="52"/>
    </row>
    <row r="625">
      <c r="M625" s="52"/>
      <c r="N625" s="52"/>
      <c r="O625" s="52"/>
    </row>
    <row r="626">
      <c r="M626" s="52"/>
      <c r="N626" s="52"/>
      <c r="O626" s="52"/>
    </row>
    <row r="627">
      <c r="M627" s="52"/>
      <c r="N627" s="52"/>
      <c r="O627" s="52"/>
    </row>
    <row r="628">
      <c r="M628" s="52"/>
      <c r="N628" s="52"/>
      <c r="O628" s="52"/>
    </row>
    <row r="629">
      <c r="M629" s="52"/>
      <c r="N629" s="52"/>
      <c r="O629" s="52"/>
    </row>
    <row r="630">
      <c r="M630" s="52"/>
      <c r="N630" s="52"/>
      <c r="O630" s="52"/>
    </row>
    <row r="631">
      <c r="M631" s="52"/>
      <c r="N631" s="52"/>
      <c r="O631" s="52"/>
    </row>
    <row r="632">
      <c r="M632" s="52"/>
      <c r="N632" s="52"/>
      <c r="O632" s="52"/>
    </row>
    <row r="633">
      <c r="M633" s="52"/>
      <c r="N633" s="52"/>
      <c r="O633" s="52"/>
    </row>
    <row r="634">
      <c r="M634" s="52"/>
      <c r="N634" s="52"/>
      <c r="O634" s="52"/>
    </row>
    <row r="635">
      <c r="M635" s="52"/>
      <c r="N635" s="52"/>
      <c r="O635" s="52"/>
    </row>
    <row r="636">
      <c r="M636" s="52"/>
      <c r="N636" s="52"/>
      <c r="O636" s="52"/>
    </row>
    <row r="637">
      <c r="M637" s="52"/>
      <c r="N637" s="52"/>
      <c r="O637" s="52"/>
    </row>
    <row r="638">
      <c r="M638" s="52"/>
      <c r="N638" s="52"/>
      <c r="O638" s="52"/>
    </row>
    <row r="639">
      <c r="M639" s="52"/>
      <c r="N639" s="52"/>
      <c r="O639" s="52"/>
    </row>
    <row r="640">
      <c r="M640" s="52"/>
      <c r="N640" s="52"/>
      <c r="O640" s="52"/>
    </row>
    <row r="641">
      <c r="M641" s="52"/>
      <c r="N641" s="52"/>
      <c r="O641" s="52"/>
    </row>
    <row r="642">
      <c r="M642" s="52"/>
      <c r="N642" s="52"/>
      <c r="O642" s="52"/>
    </row>
    <row r="643">
      <c r="M643" s="52"/>
      <c r="N643" s="52"/>
      <c r="O643" s="52"/>
    </row>
    <row r="644">
      <c r="M644" s="52"/>
      <c r="N644" s="52"/>
      <c r="O644" s="52"/>
    </row>
    <row r="645">
      <c r="M645" s="52"/>
      <c r="N645" s="52"/>
      <c r="O645" s="52"/>
    </row>
    <row r="646">
      <c r="M646" s="52"/>
      <c r="N646" s="52"/>
      <c r="O646" s="52"/>
    </row>
    <row r="647">
      <c r="M647" s="52"/>
      <c r="N647" s="52"/>
      <c r="O647" s="52"/>
    </row>
    <row r="648">
      <c r="M648" s="52"/>
      <c r="N648" s="52"/>
      <c r="O648" s="52"/>
    </row>
    <row r="649">
      <c r="M649" s="52"/>
      <c r="N649" s="52"/>
      <c r="O649" s="52"/>
    </row>
    <row r="650">
      <c r="M650" s="52"/>
      <c r="N650" s="52"/>
      <c r="O650" s="52"/>
    </row>
    <row r="651">
      <c r="M651" s="52"/>
      <c r="N651" s="52"/>
      <c r="O651" s="52"/>
    </row>
    <row r="652">
      <c r="M652" s="52"/>
      <c r="N652" s="52"/>
      <c r="O652" s="52"/>
    </row>
    <row r="653">
      <c r="M653" s="52"/>
      <c r="N653" s="52"/>
      <c r="O653" s="52"/>
    </row>
    <row r="654">
      <c r="M654" s="52"/>
      <c r="N654" s="52"/>
      <c r="O654" s="52"/>
    </row>
    <row r="655">
      <c r="M655" s="52"/>
      <c r="N655" s="52"/>
      <c r="O655" s="52"/>
    </row>
    <row r="656">
      <c r="M656" s="52"/>
      <c r="N656" s="52"/>
      <c r="O656" s="52"/>
    </row>
    <row r="657">
      <c r="M657" s="52"/>
      <c r="N657" s="52"/>
      <c r="O657" s="52"/>
    </row>
    <row r="658">
      <c r="M658" s="52"/>
      <c r="N658" s="52"/>
      <c r="O658" s="52"/>
    </row>
    <row r="659">
      <c r="M659" s="52"/>
      <c r="N659" s="52"/>
      <c r="O659" s="52"/>
    </row>
    <row r="660">
      <c r="M660" s="52"/>
      <c r="N660" s="52"/>
      <c r="O660" s="52"/>
    </row>
    <row r="661">
      <c r="M661" s="52"/>
      <c r="N661" s="52"/>
      <c r="O661" s="52"/>
    </row>
    <row r="662">
      <c r="M662" s="52"/>
      <c r="N662" s="52"/>
      <c r="O662" s="52"/>
    </row>
    <row r="663">
      <c r="M663" s="52"/>
      <c r="N663" s="52"/>
      <c r="O663" s="52"/>
    </row>
    <row r="664">
      <c r="M664" s="52"/>
      <c r="N664" s="52"/>
      <c r="O664" s="52"/>
    </row>
    <row r="665">
      <c r="M665" s="52"/>
      <c r="N665" s="52"/>
      <c r="O665" s="52"/>
    </row>
    <row r="666">
      <c r="M666" s="52"/>
      <c r="N666" s="52"/>
      <c r="O666" s="52"/>
    </row>
    <row r="667">
      <c r="M667" s="52"/>
      <c r="N667" s="52"/>
      <c r="O667" s="52"/>
    </row>
    <row r="668">
      <c r="M668" s="52"/>
      <c r="N668" s="52"/>
      <c r="O668" s="52"/>
    </row>
    <row r="669">
      <c r="M669" s="52"/>
      <c r="N669" s="52"/>
      <c r="O669" s="52"/>
    </row>
    <row r="670">
      <c r="M670" s="52"/>
      <c r="N670" s="52"/>
      <c r="O670" s="52"/>
    </row>
    <row r="671">
      <c r="M671" s="52"/>
      <c r="N671" s="52"/>
      <c r="O671" s="52"/>
    </row>
    <row r="672">
      <c r="M672" s="52"/>
      <c r="N672" s="52"/>
      <c r="O672" s="52"/>
    </row>
    <row r="673">
      <c r="M673" s="52"/>
      <c r="N673" s="52"/>
      <c r="O673" s="52"/>
    </row>
    <row r="674">
      <c r="M674" s="52"/>
      <c r="N674" s="52"/>
      <c r="O674" s="52"/>
    </row>
    <row r="675">
      <c r="M675" s="52"/>
      <c r="N675" s="52"/>
      <c r="O675" s="52"/>
    </row>
    <row r="676">
      <c r="M676" s="52"/>
      <c r="N676" s="52"/>
      <c r="O676" s="52"/>
    </row>
    <row r="677">
      <c r="M677" s="52"/>
      <c r="N677" s="52"/>
      <c r="O677" s="52"/>
    </row>
    <row r="678">
      <c r="M678" s="52"/>
      <c r="N678" s="52"/>
      <c r="O678" s="52"/>
    </row>
    <row r="679">
      <c r="M679" s="52"/>
      <c r="N679" s="52"/>
      <c r="O679" s="52"/>
    </row>
    <row r="680">
      <c r="M680" s="52"/>
      <c r="N680" s="52"/>
      <c r="O680" s="52"/>
    </row>
    <row r="681">
      <c r="M681" s="52"/>
      <c r="N681" s="52"/>
      <c r="O681" s="52"/>
    </row>
    <row r="682">
      <c r="M682" s="52"/>
      <c r="N682" s="52"/>
      <c r="O682" s="52"/>
    </row>
    <row r="683">
      <c r="M683" s="52"/>
      <c r="N683" s="52"/>
      <c r="O683" s="52"/>
    </row>
    <row r="684">
      <c r="M684" s="52"/>
      <c r="N684" s="52"/>
      <c r="O684" s="52"/>
    </row>
    <row r="685">
      <c r="M685" s="52"/>
      <c r="N685" s="52"/>
      <c r="O685" s="52"/>
    </row>
    <row r="686">
      <c r="M686" s="52"/>
      <c r="N686" s="52"/>
      <c r="O686" s="52"/>
    </row>
    <row r="687">
      <c r="M687" s="52"/>
      <c r="N687" s="52"/>
      <c r="O687" s="52"/>
    </row>
    <row r="688">
      <c r="M688" s="52"/>
      <c r="N688" s="52"/>
      <c r="O688" s="52"/>
    </row>
    <row r="689">
      <c r="M689" s="52"/>
      <c r="N689" s="52"/>
      <c r="O689" s="52"/>
    </row>
    <row r="690">
      <c r="M690" s="52"/>
      <c r="N690" s="52"/>
      <c r="O690" s="52"/>
    </row>
    <row r="691">
      <c r="M691" s="52"/>
      <c r="N691" s="52"/>
      <c r="O691" s="52"/>
    </row>
    <row r="692">
      <c r="M692" s="52"/>
      <c r="N692" s="52"/>
      <c r="O692" s="52"/>
    </row>
    <row r="693">
      <c r="M693" s="52"/>
      <c r="N693" s="52"/>
      <c r="O693" s="52"/>
    </row>
    <row r="694">
      <c r="M694" s="52"/>
      <c r="N694" s="52"/>
      <c r="O694" s="52"/>
    </row>
    <row r="695">
      <c r="M695" s="52"/>
      <c r="N695" s="52"/>
      <c r="O695" s="52"/>
    </row>
    <row r="696">
      <c r="M696" s="52"/>
      <c r="N696" s="52"/>
      <c r="O696" s="52"/>
    </row>
    <row r="697">
      <c r="M697" s="52"/>
      <c r="N697" s="52"/>
      <c r="O697" s="52"/>
    </row>
    <row r="698">
      <c r="M698" s="52"/>
      <c r="N698" s="52"/>
      <c r="O698" s="52"/>
    </row>
    <row r="699">
      <c r="M699" s="52"/>
      <c r="N699" s="52"/>
      <c r="O699" s="52"/>
    </row>
    <row r="700">
      <c r="M700" s="52"/>
      <c r="N700" s="52"/>
      <c r="O700" s="52"/>
    </row>
    <row r="701">
      <c r="M701" s="52"/>
      <c r="N701" s="52"/>
      <c r="O701" s="52"/>
    </row>
    <row r="702">
      <c r="M702" s="52"/>
      <c r="N702" s="52"/>
      <c r="O702" s="52"/>
    </row>
    <row r="703">
      <c r="M703" s="52"/>
      <c r="N703" s="52"/>
      <c r="O703" s="52"/>
    </row>
    <row r="704">
      <c r="M704" s="52"/>
      <c r="N704" s="52"/>
      <c r="O704" s="52"/>
    </row>
    <row r="705">
      <c r="M705" s="52"/>
      <c r="N705" s="52"/>
      <c r="O705" s="52"/>
    </row>
    <row r="706">
      <c r="M706" s="52"/>
      <c r="N706" s="52"/>
      <c r="O706" s="52"/>
    </row>
    <row r="707">
      <c r="M707" s="52"/>
      <c r="N707" s="52"/>
      <c r="O707" s="52"/>
    </row>
    <row r="708">
      <c r="M708" s="52"/>
      <c r="N708" s="52"/>
      <c r="O708" s="52"/>
    </row>
    <row r="709">
      <c r="M709" s="52"/>
      <c r="N709" s="52"/>
      <c r="O709" s="52"/>
    </row>
    <row r="710">
      <c r="M710" s="52"/>
      <c r="N710" s="52"/>
      <c r="O710" s="52"/>
    </row>
    <row r="711">
      <c r="M711" s="52"/>
      <c r="N711" s="52"/>
      <c r="O711" s="52"/>
    </row>
    <row r="712">
      <c r="M712" s="52"/>
      <c r="N712" s="52"/>
      <c r="O712" s="52"/>
    </row>
    <row r="713">
      <c r="M713" s="52"/>
      <c r="N713" s="52"/>
      <c r="O713" s="52"/>
    </row>
    <row r="714">
      <c r="M714" s="52"/>
      <c r="N714" s="52"/>
      <c r="O714" s="52"/>
    </row>
    <row r="715">
      <c r="M715" s="52"/>
      <c r="N715" s="52"/>
      <c r="O715" s="52"/>
    </row>
    <row r="716">
      <c r="M716" s="52"/>
      <c r="N716" s="52"/>
      <c r="O716" s="52"/>
    </row>
    <row r="717">
      <c r="M717" s="52"/>
      <c r="N717" s="52"/>
      <c r="O717" s="52"/>
    </row>
    <row r="718">
      <c r="M718" s="52"/>
      <c r="N718" s="52"/>
      <c r="O718" s="52"/>
    </row>
    <row r="719">
      <c r="M719" s="52"/>
      <c r="N719" s="52"/>
      <c r="O719" s="52"/>
    </row>
    <row r="720">
      <c r="M720" s="52"/>
      <c r="N720" s="52"/>
      <c r="O720" s="52"/>
    </row>
    <row r="721">
      <c r="M721" s="52"/>
      <c r="N721" s="52"/>
      <c r="O721" s="52"/>
    </row>
    <row r="722">
      <c r="M722" s="52"/>
      <c r="N722" s="52"/>
      <c r="O722" s="52"/>
    </row>
    <row r="723">
      <c r="M723" s="52"/>
      <c r="N723" s="52"/>
      <c r="O723" s="52"/>
    </row>
    <row r="724">
      <c r="M724" s="52"/>
      <c r="N724" s="52"/>
      <c r="O724" s="52"/>
    </row>
    <row r="725">
      <c r="M725" s="52"/>
      <c r="N725" s="52"/>
      <c r="O725" s="52"/>
    </row>
    <row r="726">
      <c r="M726" s="52"/>
      <c r="N726" s="52"/>
      <c r="O726" s="52"/>
    </row>
    <row r="727">
      <c r="M727" s="52"/>
      <c r="N727" s="52"/>
      <c r="O727" s="52"/>
    </row>
    <row r="728">
      <c r="M728" s="52"/>
      <c r="N728" s="52"/>
      <c r="O728" s="52"/>
    </row>
    <row r="729">
      <c r="M729" s="52"/>
      <c r="N729" s="52"/>
      <c r="O729" s="52"/>
    </row>
    <row r="730">
      <c r="M730" s="52"/>
      <c r="N730" s="52"/>
      <c r="O730" s="52"/>
    </row>
    <row r="731">
      <c r="M731" s="52"/>
      <c r="N731" s="52"/>
      <c r="O731" s="52"/>
    </row>
    <row r="732">
      <c r="M732" s="52"/>
      <c r="N732" s="52"/>
      <c r="O732" s="52"/>
    </row>
    <row r="733">
      <c r="M733" s="52"/>
      <c r="N733" s="52"/>
      <c r="O733" s="52"/>
    </row>
    <row r="734">
      <c r="M734" s="52"/>
      <c r="N734" s="52"/>
      <c r="O734" s="52"/>
    </row>
    <row r="735">
      <c r="M735" s="52"/>
      <c r="N735" s="52"/>
      <c r="O735" s="52"/>
    </row>
    <row r="736">
      <c r="M736" s="52"/>
      <c r="N736" s="52"/>
      <c r="O736" s="52"/>
    </row>
    <row r="737">
      <c r="M737" s="52"/>
      <c r="N737" s="52"/>
      <c r="O737" s="52"/>
    </row>
    <row r="738">
      <c r="M738" s="52"/>
      <c r="N738" s="52"/>
      <c r="O738" s="52"/>
    </row>
    <row r="739">
      <c r="M739" s="52"/>
      <c r="N739" s="52"/>
      <c r="O739" s="52"/>
    </row>
    <row r="740">
      <c r="M740" s="52"/>
      <c r="N740" s="52"/>
      <c r="O740" s="52"/>
    </row>
    <row r="741">
      <c r="M741" s="52"/>
      <c r="N741" s="52"/>
      <c r="O741" s="52"/>
    </row>
    <row r="742">
      <c r="M742" s="52"/>
      <c r="N742" s="52"/>
      <c r="O742" s="52"/>
    </row>
    <row r="743">
      <c r="M743" s="52"/>
      <c r="N743" s="52"/>
      <c r="O743" s="52"/>
    </row>
    <row r="744">
      <c r="M744" s="52"/>
      <c r="N744" s="52"/>
      <c r="O744" s="52"/>
    </row>
    <row r="745">
      <c r="M745" s="52"/>
      <c r="N745" s="52"/>
      <c r="O745" s="52"/>
    </row>
    <row r="746">
      <c r="M746" s="52"/>
      <c r="N746" s="52"/>
      <c r="O746" s="52"/>
    </row>
    <row r="747">
      <c r="M747" s="52"/>
      <c r="N747" s="52"/>
      <c r="O747" s="52"/>
    </row>
    <row r="748">
      <c r="M748" s="52"/>
      <c r="N748" s="52"/>
      <c r="O748" s="52"/>
    </row>
    <row r="749">
      <c r="M749" s="52"/>
      <c r="N749" s="52"/>
      <c r="O749" s="52"/>
    </row>
    <row r="750">
      <c r="M750" s="52"/>
      <c r="N750" s="52"/>
      <c r="O750" s="52"/>
    </row>
    <row r="751">
      <c r="M751" s="52"/>
      <c r="N751" s="52"/>
      <c r="O751" s="52"/>
    </row>
    <row r="752">
      <c r="M752" s="52"/>
      <c r="N752" s="52"/>
      <c r="O752" s="52"/>
    </row>
    <row r="753">
      <c r="M753" s="52"/>
      <c r="N753" s="52"/>
      <c r="O753" s="52"/>
    </row>
    <row r="754">
      <c r="M754" s="52"/>
      <c r="N754" s="52"/>
      <c r="O754" s="52"/>
    </row>
    <row r="755">
      <c r="M755" s="52"/>
      <c r="N755" s="52"/>
      <c r="O755" s="52"/>
    </row>
    <row r="756">
      <c r="M756" s="52"/>
      <c r="N756" s="52"/>
      <c r="O756" s="52"/>
    </row>
    <row r="757">
      <c r="M757" s="52"/>
      <c r="N757" s="52"/>
      <c r="O757" s="52"/>
    </row>
    <row r="758">
      <c r="M758" s="52"/>
      <c r="N758" s="52"/>
      <c r="O758" s="52"/>
    </row>
    <row r="759">
      <c r="M759" s="52"/>
      <c r="N759" s="52"/>
      <c r="O759" s="52"/>
    </row>
    <row r="760">
      <c r="M760" s="52"/>
      <c r="N760" s="52"/>
      <c r="O760" s="52"/>
    </row>
    <row r="761">
      <c r="M761" s="52"/>
      <c r="N761" s="52"/>
      <c r="O761" s="52"/>
    </row>
    <row r="762">
      <c r="M762" s="52"/>
      <c r="N762" s="52"/>
      <c r="O762" s="52"/>
    </row>
    <row r="763">
      <c r="M763" s="52"/>
      <c r="N763" s="52"/>
      <c r="O763" s="52"/>
    </row>
    <row r="764">
      <c r="M764" s="52"/>
      <c r="N764" s="52"/>
      <c r="O764" s="52"/>
    </row>
    <row r="765">
      <c r="M765" s="52"/>
      <c r="N765" s="52"/>
      <c r="O765" s="52"/>
    </row>
    <row r="766">
      <c r="M766" s="52"/>
      <c r="N766" s="52"/>
      <c r="O766" s="52"/>
    </row>
    <row r="767">
      <c r="M767" s="52"/>
      <c r="N767" s="52"/>
      <c r="O767" s="52"/>
    </row>
    <row r="768">
      <c r="M768" s="52"/>
      <c r="N768" s="52"/>
      <c r="O768" s="52"/>
    </row>
    <row r="769">
      <c r="M769" s="52"/>
      <c r="N769" s="52"/>
      <c r="O769" s="52"/>
    </row>
    <row r="770">
      <c r="M770" s="52"/>
      <c r="N770" s="52"/>
      <c r="O770" s="52"/>
    </row>
    <row r="771">
      <c r="M771" s="52"/>
      <c r="N771" s="52"/>
      <c r="O771" s="52"/>
    </row>
    <row r="772">
      <c r="M772" s="52"/>
      <c r="N772" s="52"/>
      <c r="O772" s="52"/>
    </row>
    <row r="773">
      <c r="M773" s="52"/>
      <c r="N773" s="52"/>
      <c r="O773" s="52"/>
    </row>
    <row r="774">
      <c r="M774" s="52"/>
      <c r="N774" s="52"/>
      <c r="O774" s="52"/>
    </row>
    <row r="775">
      <c r="M775" s="52"/>
      <c r="N775" s="52"/>
      <c r="O775" s="52"/>
    </row>
    <row r="776">
      <c r="M776" s="52"/>
      <c r="N776" s="52"/>
      <c r="O776" s="52"/>
    </row>
    <row r="777">
      <c r="M777" s="52"/>
      <c r="N777" s="52"/>
      <c r="O777" s="52"/>
    </row>
    <row r="778">
      <c r="M778" s="52"/>
      <c r="N778" s="52"/>
      <c r="O778" s="52"/>
    </row>
    <row r="779">
      <c r="M779" s="52"/>
      <c r="N779" s="52"/>
      <c r="O779" s="52"/>
    </row>
    <row r="780">
      <c r="M780" s="52"/>
      <c r="N780" s="52"/>
      <c r="O780" s="52"/>
    </row>
    <row r="781">
      <c r="M781" s="52"/>
      <c r="N781" s="52"/>
      <c r="O781" s="52"/>
    </row>
    <row r="782">
      <c r="M782" s="52"/>
      <c r="N782" s="52"/>
      <c r="O782" s="52"/>
    </row>
    <row r="783">
      <c r="M783" s="52"/>
      <c r="N783" s="52"/>
      <c r="O783" s="52"/>
    </row>
    <row r="784">
      <c r="M784" s="52"/>
      <c r="N784" s="52"/>
      <c r="O784" s="52"/>
    </row>
    <row r="785">
      <c r="M785" s="52"/>
      <c r="N785" s="52"/>
      <c r="O785" s="52"/>
    </row>
    <row r="786">
      <c r="M786" s="52"/>
      <c r="N786" s="52"/>
      <c r="O786" s="52"/>
    </row>
    <row r="787">
      <c r="M787" s="52"/>
      <c r="N787" s="52"/>
      <c r="O787" s="52"/>
    </row>
    <row r="788">
      <c r="M788" s="52"/>
      <c r="N788" s="52"/>
      <c r="O788" s="52"/>
    </row>
    <row r="789">
      <c r="M789" s="52"/>
      <c r="N789" s="52"/>
      <c r="O789" s="52"/>
    </row>
    <row r="790">
      <c r="M790" s="52"/>
      <c r="N790" s="52"/>
      <c r="O790" s="52"/>
    </row>
    <row r="791">
      <c r="M791" s="52"/>
      <c r="N791" s="52"/>
      <c r="O791" s="52"/>
    </row>
    <row r="792">
      <c r="M792" s="52"/>
      <c r="N792" s="52"/>
      <c r="O792" s="52"/>
    </row>
    <row r="793">
      <c r="M793" s="52"/>
      <c r="N793" s="52"/>
      <c r="O793" s="52"/>
    </row>
    <row r="794">
      <c r="M794" s="52"/>
      <c r="N794" s="52"/>
      <c r="O794" s="52"/>
    </row>
    <row r="795">
      <c r="M795" s="52"/>
      <c r="N795" s="52"/>
      <c r="O795" s="52"/>
    </row>
    <row r="796">
      <c r="M796" s="52"/>
      <c r="N796" s="52"/>
      <c r="O796" s="52"/>
    </row>
    <row r="797">
      <c r="M797" s="52"/>
      <c r="N797" s="52"/>
      <c r="O797" s="52"/>
    </row>
    <row r="798">
      <c r="M798" s="52"/>
      <c r="N798" s="52"/>
      <c r="O798" s="52"/>
    </row>
    <row r="799">
      <c r="M799" s="52"/>
      <c r="N799" s="52"/>
      <c r="O799" s="52"/>
    </row>
    <row r="800">
      <c r="M800" s="52"/>
      <c r="N800" s="52"/>
      <c r="O800" s="52"/>
    </row>
    <row r="801">
      <c r="M801" s="52"/>
      <c r="N801" s="52"/>
      <c r="O801" s="52"/>
    </row>
    <row r="802">
      <c r="M802" s="52"/>
      <c r="N802" s="52"/>
      <c r="O802" s="52"/>
    </row>
    <row r="803">
      <c r="M803" s="52"/>
      <c r="N803" s="52"/>
      <c r="O803" s="52"/>
    </row>
    <row r="804">
      <c r="M804" s="52"/>
      <c r="N804" s="52"/>
      <c r="O804" s="52"/>
    </row>
    <row r="805">
      <c r="M805" s="52"/>
      <c r="N805" s="52"/>
      <c r="O805" s="52"/>
    </row>
    <row r="806">
      <c r="M806" s="52"/>
      <c r="N806" s="52"/>
      <c r="O806" s="52"/>
    </row>
    <row r="807">
      <c r="M807" s="52"/>
      <c r="N807" s="52"/>
      <c r="O807" s="52"/>
    </row>
    <row r="808">
      <c r="M808" s="52"/>
      <c r="N808" s="52"/>
      <c r="O808" s="52"/>
    </row>
    <row r="809">
      <c r="M809" s="52"/>
      <c r="N809" s="52"/>
      <c r="O809" s="52"/>
    </row>
    <row r="810">
      <c r="M810" s="52"/>
      <c r="N810" s="52"/>
      <c r="O810" s="52"/>
    </row>
    <row r="811">
      <c r="M811" s="52"/>
      <c r="N811" s="52"/>
      <c r="O811" s="52"/>
    </row>
    <row r="812">
      <c r="M812" s="52"/>
      <c r="N812" s="52"/>
      <c r="O812" s="52"/>
    </row>
    <row r="813">
      <c r="M813" s="52"/>
      <c r="N813" s="52"/>
      <c r="O813" s="52"/>
    </row>
    <row r="814">
      <c r="M814" s="52"/>
      <c r="N814" s="52"/>
      <c r="O814" s="52"/>
    </row>
    <row r="815">
      <c r="M815" s="52"/>
      <c r="N815" s="52"/>
      <c r="O815" s="52"/>
    </row>
    <row r="816">
      <c r="M816" s="52"/>
      <c r="N816" s="52"/>
      <c r="O816" s="52"/>
    </row>
    <row r="817">
      <c r="M817" s="52"/>
      <c r="N817" s="52"/>
      <c r="O817" s="52"/>
    </row>
    <row r="818">
      <c r="M818" s="52"/>
      <c r="N818" s="52"/>
      <c r="O818" s="52"/>
    </row>
    <row r="819">
      <c r="M819" s="52"/>
      <c r="N819" s="52"/>
      <c r="O819" s="52"/>
    </row>
    <row r="820">
      <c r="M820" s="52"/>
      <c r="N820" s="52"/>
      <c r="O820" s="52"/>
    </row>
    <row r="821">
      <c r="M821" s="52"/>
      <c r="N821" s="52"/>
      <c r="O821" s="52"/>
    </row>
    <row r="822">
      <c r="M822" s="52"/>
      <c r="N822" s="52"/>
      <c r="O822" s="52"/>
    </row>
    <row r="823">
      <c r="M823" s="52"/>
      <c r="N823" s="52"/>
      <c r="O823" s="52"/>
    </row>
    <row r="824">
      <c r="M824" s="52"/>
      <c r="N824" s="52"/>
      <c r="O824" s="52"/>
    </row>
    <row r="825">
      <c r="M825" s="52"/>
      <c r="N825" s="52"/>
      <c r="O825" s="52"/>
    </row>
    <row r="826">
      <c r="M826" s="52"/>
      <c r="N826" s="52"/>
      <c r="O826" s="52"/>
    </row>
    <row r="827">
      <c r="M827" s="52"/>
      <c r="N827" s="52"/>
      <c r="O827" s="52"/>
    </row>
    <row r="828">
      <c r="M828" s="52"/>
      <c r="N828" s="52"/>
      <c r="O828" s="52"/>
    </row>
    <row r="829">
      <c r="M829" s="52"/>
      <c r="N829" s="52"/>
      <c r="O829" s="52"/>
    </row>
    <row r="830">
      <c r="M830" s="52"/>
      <c r="N830" s="52"/>
      <c r="O830" s="52"/>
    </row>
    <row r="831">
      <c r="M831" s="52"/>
      <c r="N831" s="52"/>
      <c r="O831" s="52"/>
    </row>
    <row r="832">
      <c r="M832" s="52"/>
      <c r="N832" s="52"/>
      <c r="O832" s="52"/>
    </row>
    <row r="833">
      <c r="M833" s="52"/>
      <c r="N833" s="52"/>
      <c r="O833" s="52"/>
    </row>
    <row r="834">
      <c r="M834" s="52"/>
      <c r="N834" s="52"/>
      <c r="O834" s="52"/>
    </row>
    <row r="835">
      <c r="M835" s="52"/>
      <c r="N835" s="52"/>
      <c r="O835" s="52"/>
    </row>
    <row r="836">
      <c r="M836" s="52"/>
      <c r="N836" s="52"/>
      <c r="O836" s="52"/>
    </row>
    <row r="837">
      <c r="M837" s="52"/>
      <c r="N837" s="52"/>
      <c r="O837" s="52"/>
    </row>
    <row r="838">
      <c r="M838" s="52"/>
      <c r="N838" s="52"/>
      <c r="O838" s="52"/>
    </row>
    <row r="839">
      <c r="M839" s="52"/>
      <c r="N839" s="52"/>
      <c r="O839" s="52"/>
    </row>
    <row r="840">
      <c r="M840" s="52"/>
      <c r="N840" s="52"/>
      <c r="O840" s="52"/>
    </row>
    <row r="841">
      <c r="M841" s="52"/>
      <c r="N841" s="52"/>
      <c r="O841" s="52"/>
    </row>
    <row r="842">
      <c r="M842" s="52"/>
      <c r="N842" s="52"/>
      <c r="O842" s="52"/>
    </row>
    <row r="843">
      <c r="M843" s="52"/>
      <c r="N843" s="52"/>
      <c r="O843" s="52"/>
    </row>
    <row r="844">
      <c r="M844" s="52"/>
      <c r="N844" s="52"/>
      <c r="O844" s="52"/>
    </row>
    <row r="845">
      <c r="M845" s="52"/>
      <c r="N845" s="52"/>
      <c r="O845" s="52"/>
    </row>
    <row r="846">
      <c r="M846" s="52"/>
      <c r="N846" s="52"/>
      <c r="O846" s="52"/>
    </row>
    <row r="847">
      <c r="M847" s="52"/>
      <c r="N847" s="52"/>
      <c r="O847" s="52"/>
    </row>
    <row r="848">
      <c r="M848" s="52"/>
      <c r="N848" s="52"/>
      <c r="O848" s="52"/>
    </row>
    <row r="849">
      <c r="M849" s="52"/>
      <c r="N849" s="52"/>
      <c r="O849" s="52"/>
    </row>
    <row r="850">
      <c r="M850" s="52"/>
      <c r="N850" s="52"/>
      <c r="O850" s="52"/>
    </row>
    <row r="851">
      <c r="M851" s="52"/>
      <c r="N851" s="52"/>
      <c r="O851" s="52"/>
    </row>
    <row r="852">
      <c r="M852" s="52"/>
      <c r="N852" s="52"/>
      <c r="O852" s="52"/>
    </row>
    <row r="853">
      <c r="M853" s="52"/>
      <c r="N853" s="52"/>
      <c r="O853" s="52"/>
    </row>
    <row r="854">
      <c r="M854" s="52"/>
      <c r="N854" s="52"/>
      <c r="O854" s="52"/>
    </row>
    <row r="855">
      <c r="M855" s="52"/>
      <c r="N855" s="52"/>
      <c r="O855" s="52"/>
    </row>
    <row r="856">
      <c r="M856" s="52"/>
      <c r="N856" s="52"/>
      <c r="O856" s="52"/>
    </row>
    <row r="857">
      <c r="M857" s="52"/>
      <c r="N857" s="52"/>
      <c r="O857" s="52"/>
    </row>
    <row r="858">
      <c r="M858" s="52"/>
      <c r="N858" s="52"/>
      <c r="O858" s="52"/>
    </row>
    <row r="859">
      <c r="M859" s="52"/>
      <c r="N859" s="52"/>
      <c r="O859" s="52"/>
    </row>
    <row r="860">
      <c r="M860" s="52"/>
      <c r="N860" s="52"/>
      <c r="O860" s="52"/>
    </row>
    <row r="861">
      <c r="M861" s="52"/>
      <c r="N861" s="52"/>
      <c r="O861" s="52"/>
    </row>
    <row r="862">
      <c r="M862" s="52"/>
      <c r="N862" s="52"/>
      <c r="O862" s="52"/>
    </row>
    <row r="863">
      <c r="M863" s="52"/>
      <c r="N863" s="52"/>
      <c r="O863" s="52"/>
    </row>
    <row r="864">
      <c r="M864" s="52"/>
      <c r="N864" s="52"/>
      <c r="O864" s="52"/>
    </row>
    <row r="865">
      <c r="M865" s="52"/>
      <c r="N865" s="52"/>
      <c r="O865" s="52"/>
    </row>
    <row r="866">
      <c r="M866" s="52"/>
      <c r="N866" s="52"/>
      <c r="O866" s="52"/>
    </row>
    <row r="867">
      <c r="M867" s="52"/>
      <c r="N867" s="52"/>
      <c r="O867" s="52"/>
    </row>
    <row r="868">
      <c r="M868" s="52"/>
      <c r="N868" s="52"/>
      <c r="O868" s="52"/>
    </row>
    <row r="869">
      <c r="M869" s="52"/>
      <c r="N869" s="52"/>
      <c r="O869" s="52"/>
    </row>
    <row r="870">
      <c r="M870" s="52"/>
      <c r="N870" s="52"/>
      <c r="O870" s="52"/>
    </row>
    <row r="871">
      <c r="M871" s="52"/>
      <c r="N871" s="52"/>
      <c r="O871" s="52"/>
    </row>
    <row r="872">
      <c r="M872" s="52"/>
      <c r="N872" s="52"/>
      <c r="O872" s="52"/>
    </row>
    <row r="873">
      <c r="M873" s="52"/>
      <c r="N873" s="52"/>
      <c r="O873" s="52"/>
    </row>
    <row r="874">
      <c r="M874" s="52"/>
      <c r="N874" s="52"/>
      <c r="O874" s="52"/>
    </row>
    <row r="875">
      <c r="M875" s="52"/>
      <c r="N875" s="52"/>
      <c r="O875" s="52"/>
    </row>
    <row r="876">
      <c r="M876" s="52"/>
      <c r="N876" s="52"/>
      <c r="O876" s="52"/>
    </row>
    <row r="877">
      <c r="M877" s="52"/>
      <c r="N877" s="52"/>
      <c r="O877" s="52"/>
    </row>
    <row r="878">
      <c r="M878" s="52"/>
      <c r="N878" s="52"/>
      <c r="O878" s="52"/>
    </row>
    <row r="879">
      <c r="M879" s="52"/>
      <c r="N879" s="52"/>
      <c r="O879" s="52"/>
    </row>
    <row r="880">
      <c r="M880" s="52"/>
      <c r="N880" s="52"/>
      <c r="O880" s="52"/>
    </row>
    <row r="881">
      <c r="M881" s="52"/>
      <c r="N881" s="52"/>
      <c r="O881" s="52"/>
    </row>
    <row r="882">
      <c r="M882" s="52"/>
      <c r="N882" s="52"/>
      <c r="O882" s="52"/>
    </row>
    <row r="883">
      <c r="M883" s="52"/>
      <c r="N883" s="52"/>
      <c r="O883" s="52"/>
    </row>
    <row r="884">
      <c r="M884" s="52"/>
      <c r="N884" s="52"/>
      <c r="O884" s="52"/>
    </row>
    <row r="885">
      <c r="M885" s="52"/>
      <c r="N885" s="52"/>
      <c r="O885" s="52"/>
    </row>
    <row r="886">
      <c r="M886" s="52"/>
      <c r="N886" s="52"/>
      <c r="O886" s="52"/>
    </row>
    <row r="887">
      <c r="M887" s="52"/>
      <c r="N887" s="52"/>
      <c r="O887" s="52"/>
    </row>
    <row r="888">
      <c r="M888" s="52"/>
      <c r="N888" s="52"/>
      <c r="O888" s="52"/>
    </row>
    <row r="889">
      <c r="M889" s="52"/>
      <c r="N889" s="52"/>
      <c r="O889" s="52"/>
    </row>
    <row r="890">
      <c r="M890" s="52"/>
      <c r="N890" s="52"/>
      <c r="O890" s="52"/>
    </row>
    <row r="891">
      <c r="M891" s="52"/>
      <c r="N891" s="52"/>
      <c r="O891" s="52"/>
    </row>
    <row r="892">
      <c r="M892" s="52"/>
      <c r="N892" s="52"/>
      <c r="O892" s="52"/>
    </row>
    <row r="893">
      <c r="M893" s="52"/>
      <c r="N893" s="52"/>
      <c r="O893" s="52"/>
    </row>
    <row r="894">
      <c r="M894" s="52"/>
      <c r="N894" s="52"/>
      <c r="O894" s="52"/>
    </row>
    <row r="895">
      <c r="M895" s="52"/>
      <c r="N895" s="52"/>
      <c r="O895" s="52"/>
    </row>
    <row r="896">
      <c r="M896" s="52"/>
      <c r="N896" s="52"/>
      <c r="O896" s="52"/>
    </row>
    <row r="897">
      <c r="M897" s="52"/>
      <c r="N897" s="52"/>
      <c r="O897" s="52"/>
    </row>
    <row r="898">
      <c r="M898" s="52"/>
      <c r="N898" s="52"/>
      <c r="O898" s="52"/>
    </row>
    <row r="899">
      <c r="M899" s="52"/>
      <c r="N899" s="52"/>
      <c r="O899" s="52"/>
    </row>
    <row r="900">
      <c r="M900" s="52"/>
      <c r="N900" s="52"/>
      <c r="O900" s="52"/>
    </row>
    <row r="901">
      <c r="M901" s="52"/>
      <c r="N901" s="52"/>
      <c r="O901" s="52"/>
    </row>
    <row r="902">
      <c r="M902" s="52"/>
      <c r="N902" s="52"/>
      <c r="O902" s="52"/>
    </row>
    <row r="903">
      <c r="M903" s="52"/>
      <c r="N903" s="52"/>
      <c r="O903" s="52"/>
    </row>
    <row r="904">
      <c r="M904" s="52"/>
      <c r="N904" s="52"/>
      <c r="O904" s="52"/>
    </row>
    <row r="905">
      <c r="M905" s="52"/>
      <c r="N905" s="52"/>
      <c r="O905" s="52"/>
    </row>
    <row r="906">
      <c r="M906" s="52"/>
      <c r="N906" s="52"/>
      <c r="O906" s="52"/>
    </row>
    <row r="907">
      <c r="M907" s="52"/>
      <c r="N907" s="52"/>
      <c r="O907" s="52"/>
    </row>
    <row r="908">
      <c r="M908" s="52"/>
      <c r="N908" s="52"/>
      <c r="O908" s="52"/>
    </row>
    <row r="909">
      <c r="M909" s="52"/>
      <c r="N909" s="52"/>
      <c r="O909" s="52"/>
    </row>
    <row r="910">
      <c r="M910" s="52"/>
      <c r="N910" s="52"/>
      <c r="O910" s="52"/>
    </row>
    <row r="911">
      <c r="M911" s="52"/>
      <c r="N911" s="52"/>
      <c r="O911" s="52"/>
    </row>
    <row r="912">
      <c r="M912" s="52"/>
      <c r="N912" s="52"/>
      <c r="O912" s="52"/>
    </row>
    <row r="913">
      <c r="M913" s="52"/>
      <c r="N913" s="52"/>
      <c r="O913" s="52"/>
    </row>
    <row r="914">
      <c r="M914" s="52"/>
      <c r="N914" s="52"/>
      <c r="O914" s="52"/>
    </row>
    <row r="915">
      <c r="M915" s="52"/>
      <c r="N915" s="52"/>
      <c r="O915" s="52"/>
    </row>
    <row r="916">
      <c r="M916" s="52"/>
      <c r="N916" s="52"/>
      <c r="O916" s="52"/>
    </row>
    <row r="917">
      <c r="M917" s="52"/>
      <c r="N917" s="52"/>
      <c r="O917" s="52"/>
    </row>
    <row r="918">
      <c r="M918" s="52"/>
      <c r="N918" s="52"/>
      <c r="O918" s="52"/>
    </row>
    <row r="919">
      <c r="M919" s="52"/>
      <c r="N919" s="52"/>
      <c r="O919" s="52"/>
    </row>
    <row r="920">
      <c r="M920" s="52"/>
      <c r="N920" s="52"/>
      <c r="O920" s="52"/>
    </row>
    <row r="921">
      <c r="M921" s="52"/>
      <c r="N921" s="52"/>
      <c r="O921" s="52"/>
    </row>
    <row r="922">
      <c r="M922" s="52"/>
      <c r="N922" s="52"/>
      <c r="O922" s="52"/>
    </row>
    <row r="923">
      <c r="M923" s="52"/>
      <c r="N923" s="52"/>
      <c r="O923" s="52"/>
    </row>
    <row r="924">
      <c r="M924" s="52"/>
      <c r="N924" s="52"/>
      <c r="O924" s="52"/>
    </row>
    <row r="925">
      <c r="M925" s="52"/>
      <c r="N925" s="52"/>
      <c r="O925" s="52"/>
    </row>
    <row r="926">
      <c r="M926" s="52"/>
      <c r="N926" s="52"/>
      <c r="O926" s="52"/>
    </row>
    <row r="927">
      <c r="M927" s="52"/>
      <c r="N927" s="52"/>
      <c r="O927" s="52"/>
    </row>
    <row r="928">
      <c r="M928" s="52"/>
      <c r="N928" s="52"/>
      <c r="O928" s="52"/>
    </row>
    <row r="929">
      <c r="M929" s="52"/>
      <c r="N929" s="52"/>
      <c r="O929" s="52"/>
    </row>
    <row r="930">
      <c r="M930" s="52"/>
      <c r="N930" s="52"/>
      <c r="O930" s="52"/>
    </row>
    <row r="931">
      <c r="M931" s="52"/>
      <c r="N931" s="52"/>
      <c r="O931" s="52"/>
    </row>
    <row r="932">
      <c r="M932" s="52"/>
      <c r="N932" s="52"/>
      <c r="O932" s="52"/>
    </row>
    <row r="933">
      <c r="M933" s="52"/>
      <c r="N933" s="52"/>
      <c r="O933" s="52"/>
    </row>
    <row r="934">
      <c r="M934" s="52"/>
      <c r="N934" s="52"/>
      <c r="O934" s="52"/>
    </row>
    <row r="935">
      <c r="M935" s="52"/>
      <c r="N935" s="52"/>
      <c r="O935" s="52"/>
    </row>
    <row r="936">
      <c r="M936" s="52"/>
      <c r="N936" s="52"/>
      <c r="O936" s="52"/>
    </row>
    <row r="937">
      <c r="M937" s="52"/>
      <c r="N937" s="52"/>
      <c r="O937" s="52"/>
    </row>
    <row r="938">
      <c r="M938" s="52"/>
      <c r="N938" s="52"/>
      <c r="O938" s="52"/>
    </row>
    <row r="939">
      <c r="M939" s="52"/>
      <c r="N939" s="52"/>
      <c r="O939" s="52"/>
    </row>
    <row r="940">
      <c r="M940" s="52"/>
      <c r="N940" s="52"/>
      <c r="O940" s="52"/>
    </row>
    <row r="941">
      <c r="M941" s="52"/>
      <c r="N941" s="52"/>
      <c r="O941" s="52"/>
    </row>
    <row r="942">
      <c r="M942" s="52"/>
      <c r="N942" s="52"/>
      <c r="O942" s="52"/>
    </row>
    <row r="943">
      <c r="M943" s="52"/>
      <c r="N943" s="52"/>
      <c r="O943" s="52"/>
    </row>
    <row r="944">
      <c r="M944" s="52"/>
      <c r="N944" s="52"/>
      <c r="O944" s="52"/>
    </row>
    <row r="945">
      <c r="M945" s="52"/>
      <c r="N945" s="52"/>
      <c r="O945" s="52"/>
    </row>
    <row r="946">
      <c r="M946" s="52"/>
      <c r="N946" s="52"/>
      <c r="O946" s="52"/>
    </row>
    <row r="947">
      <c r="M947" s="52"/>
      <c r="N947" s="52"/>
      <c r="O947" s="52"/>
    </row>
    <row r="948">
      <c r="M948" s="52"/>
      <c r="N948" s="52"/>
      <c r="O948" s="52"/>
    </row>
    <row r="949">
      <c r="M949" s="52"/>
      <c r="N949" s="52"/>
      <c r="O949" s="52"/>
    </row>
    <row r="950">
      <c r="M950" s="52"/>
      <c r="N950" s="52"/>
      <c r="O950" s="52"/>
    </row>
    <row r="951">
      <c r="M951" s="52"/>
      <c r="N951" s="52"/>
      <c r="O951" s="52"/>
    </row>
    <row r="952">
      <c r="M952" s="52"/>
      <c r="N952" s="52"/>
      <c r="O952" s="52"/>
    </row>
    <row r="953">
      <c r="M953" s="52"/>
      <c r="N953" s="52"/>
      <c r="O953" s="52"/>
    </row>
    <row r="954">
      <c r="M954" s="52"/>
      <c r="N954" s="52"/>
      <c r="O954" s="52"/>
    </row>
    <row r="955">
      <c r="M955" s="52"/>
      <c r="N955" s="52"/>
      <c r="O955" s="52"/>
    </row>
    <row r="956">
      <c r="M956" s="52"/>
      <c r="N956" s="52"/>
      <c r="O956" s="52"/>
    </row>
    <row r="957">
      <c r="M957" s="52"/>
      <c r="N957" s="52"/>
      <c r="O957" s="52"/>
    </row>
    <row r="958">
      <c r="M958" s="52"/>
      <c r="N958" s="52"/>
      <c r="O958" s="52"/>
    </row>
    <row r="959">
      <c r="M959" s="52"/>
      <c r="N959" s="52"/>
      <c r="O959" s="52"/>
    </row>
    <row r="960">
      <c r="M960" s="52"/>
      <c r="N960" s="52"/>
      <c r="O960" s="52"/>
    </row>
    <row r="961">
      <c r="M961" s="52"/>
      <c r="N961" s="52"/>
      <c r="O961" s="52"/>
    </row>
    <row r="962">
      <c r="M962" s="52"/>
      <c r="N962" s="52"/>
      <c r="O962" s="52"/>
    </row>
    <row r="963">
      <c r="M963" s="52"/>
      <c r="N963" s="52"/>
      <c r="O963" s="52"/>
    </row>
    <row r="964">
      <c r="M964" s="52"/>
      <c r="N964" s="52"/>
      <c r="O964" s="52"/>
    </row>
    <row r="965">
      <c r="M965" s="52"/>
      <c r="N965" s="52"/>
      <c r="O965" s="52"/>
    </row>
    <row r="966">
      <c r="M966" s="52"/>
      <c r="N966" s="52"/>
      <c r="O966" s="52"/>
    </row>
    <row r="967">
      <c r="M967" s="52"/>
      <c r="N967" s="52"/>
      <c r="O967" s="52"/>
    </row>
    <row r="968">
      <c r="M968" s="52"/>
      <c r="N968" s="52"/>
      <c r="O968" s="52"/>
    </row>
    <row r="969">
      <c r="M969" s="52"/>
      <c r="N969" s="52"/>
      <c r="O969" s="52"/>
    </row>
    <row r="970">
      <c r="M970" s="52"/>
      <c r="N970" s="52"/>
      <c r="O970" s="52"/>
    </row>
    <row r="971">
      <c r="M971" s="52"/>
      <c r="N971" s="52"/>
      <c r="O971" s="52"/>
    </row>
    <row r="972">
      <c r="M972" s="52"/>
      <c r="N972" s="52"/>
      <c r="O972" s="52"/>
    </row>
    <row r="973">
      <c r="M973" s="52"/>
      <c r="N973" s="52"/>
      <c r="O973" s="52"/>
    </row>
    <row r="974">
      <c r="M974" s="52"/>
      <c r="N974" s="52"/>
      <c r="O974" s="52"/>
    </row>
    <row r="975">
      <c r="M975" s="52"/>
      <c r="N975" s="52"/>
      <c r="O975" s="52"/>
    </row>
    <row r="976">
      <c r="M976" s="52"/>
      <c r="N976" s="52"/>
      <c r="O976" s="52"/>
    </row>
    <row r="977">
      <c r="M977" s="52"/>
      <c r="N977" s="52"/>
      <c r="O977" s="52"/>
    </row>
    <row r="978">
      <c r="M978" s="52"/>
      <c r="N978" s="52"/>
      <c r="O978" s="52"/>
    </row>
    <row r="979">
      <c r="M979" s="52"/>
      <c r="N979" s="52"/>
      <c r="O979" s="52"/>
    </row>
    <row r="980">
      <c r="M980" s="52"/>
      <c r="N980" s="52"/>
      <c r="O980" s="52"/>
    </row>
    <row r="981">
      <c r="M981" s="52"/>
      <c r="N981" s="52"/>
      <c r="O981" s="52"/>
    </row>
    <row r="982">
      <c r="M982" s="52"/>
      <c r="N982" s="52"/>
      <c r="O982" s="52"/>
    </row>
    <row r="983">
      <c r="M983" s="52"/>
      <c r="N983" s="52"/>
      <c r="O983" s="52"/>
    </row>
    <row r="984">
      <c r="M984" s="52"/>
      <c r="N984" s="52"/>
      <c r="O984" s="52"/>
    </row>
    <row r="985">
      <c r="M985" s="52"/>
      <c r="N985" s="52"/>
      <c r="O985" s="52"/>
    </row>
    <row r="986">
      <c r="M986" s="52"/>
      <c r="N986" s="52"/>
      <c r="O986" s="52"/>
    </row>
    <row r="987">
      <c r="M987" s="52"/>
      <c r="N987" s="52"/>
      <c r="O987" s="52"/>
    </row>
    <row r="988">
      <c r="M988" s="52"/>
      <c r="N988" s="52"/>
      <c r="O988" s="52"/>
    </row>
    <row r="989">
      <c r="M989" s="52"/>
      <c r="N989" s="52"/>
      <c r="O989" s="52"/>
    </row>
    <row r="990">
      <c r="M990" s="52"/>
      <c r="N990" s="52"/>
      <c r="O990" s="52"/>
    </row>
    <row r="991">
      <c r="M991" s="52"/>
      <c r="N991" s="52"/>
      <c r="O991" s="52"/>
    </row>
    <row r="992">
      <c r="M992" s="52"/>
      <c r="N992" s="52"/>
      <c r="O992" s="52"/>
    </row>
    <row r="993">
      <c r="M993" s="52"/>
      <c r="N993" s="52"/>
      <c r="O993" s="52"/>
    </row>
    <row r="994">
      <c r="M994" s="52"/>
      <c r="N994" s="52"/>
      <c r="O994" s="52"/>
    </row>
    <row r="995">
      <c r="M995" s="52"/>
      <c r="N995" s="52"/>
      <c r="O995" s="52"/>
    </row>
    <row r="996">
      <c r="M996" s="52"/>
      <c r="N996" s="52"/>
      <c r="O996" s="52"/>
    </row>
    <row r="997">
      <c r="M997" s="52"/>
      <c r="N997" s="52"/>
      <c r="O997" s="52"/>
    </row>
    <row r="998">
      <c r="M998" s="52"/>
      <c r="N998" s="52"/>
      <c r="O998" s="52"/>
    </row>
    <row r="999">
      <c r="M999" s="52"/>
      <c r="N999" s="52"/>
      <c r="O999" s="52"/>
    </row>
    <row r="1000">
      <c r="M1000" s="52"/>
      <c r="N1000" s="52"/>
      <c r="O1000" s="52"/>
    </row>
  </sheetData>
  <mergeCells count="7">
    <mergeCell ref="A1:A2"/>
    <mergeCell ref="B1:B2"/>
    <mergeCell ref="C1:G1"/>
    <mergeCell ref="H1:I1"/>
    <mergeCell ref="J1:J2"/>
    <mergeCell ref="K1:O1"/>
    <mergeCell ref="P1:U1"/>
  </mergeCells>
  <conditionalFormatting sqref="N3:N9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G3:G9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3:H9 K3:K9">
    <cfRule type="colorScale" priority="3">
      <colorScale>
        <cfvo type="formula" val="0"/>
        <cfvo type="max"/>
        <color rgb="FFFFFFFF"/>
        <color rgb="FF57BB8A"/>
      </colorScale>
    </cfRule>
  </conditionalFormatting>
  <conditionalFormatting sqref="I3:I9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J3:J9">
    <cfRule type="colorScale" priority="5">
      <colorScale>
        <cfvo type="formula" val="0"/>
        <cfvo type="max"/>
        <color rgb="FFFFFFFF"/>
        <color rgb="FF57BB8A"/>
      </colorScale>
    </cfRule>
  </conditionalFormatting>
  <conditionalFormatting sqref="K3:K9">
    <cfRule type="colorScale" priority="6">
      <colorScale>
        <cfvo type="formula" val="0"/>
        <cfvo type="max"/>
        <color rgb="FFFFFFFF"/>
        <color rgb="FF57BB8A"/>
      </colorScale>
    </cfRule>
  </conditionalFormatting>
  <conditionalFormatting sqref="L3:L9">
    <cfRule type="colorScale" priority="7">
      <colorScale>
        <cfvo type="formula" val="0"/>
        <cfvo type="max"/>
        <color rgb="FFFFFFFF"/>
        <color rgb="FFE67C73"/>
      </colorScale>
    </cfRule>
  </conditionalFormatting>
  <conditionalFormatting sqref="C3:C9">
    <cfRule type="colorScale" priority="8">
      <colorScale>
        <cfvo type="formula" val="0"/>
        <cfvo type="max"/>
        <color rgb="FFFFFFFF"/>
        <color rgb="FFFFD666"/>
      </colorScale>
    </cfRule>
  </conditionalFormatting>
  <conditionalFormatting sqref="D3:D9">
    <cfRule type="colorScale" priority="9">
      <colorScale>
        <cfvo type="formula" val="0"/>
        <cfvo type="max"/>
        <color rgb="FFFFFFFF"/>
        <color rgb="FF57BB8A"/>
      </colorScale>
    </cfRule>
  </conditionalFormatting>
  <conditionalFormatting sqref="E3:E9">
    <cfRule type="colorScale" priority="10">
      <colorScale>
        <cfvo type="formula" val="0"/>
        <cfvo type="max"/>
        <color rgb="FFFFFFFF"/>
        <color rgb="FFE67C73"/>
      </colorScale>
    </cfRule>
  </conditionalFormatting>
  <conditionalFormatting sqref="F3:F9">
    <cfRule type="colorScale" priority="11">
      <colorScale>
        <cfvo type="formula" val="0"/>
        <cfvo type="max"/>
        <color rgb="FFFFFFFF"/>
        <color rgb="FF57BB8A"/>
      </colorScale>
    </cfRule>
  </conditionalFormatting>
  <conditionalFormatting sqref="M3:M9">
    <cfRule type="colorScale" priority="12">
      <colorScale>
        <cfvo type="formula" val="0"/>
        <cfvo type="max"/>
        <color rgb="FFFFFFFF"/>
        <color rgb="FFFFD666"/>
      </colorScale>
    </cfRule>
  </conditionalFormatting>
  <conditionalFormatting sqref="O3:O9">
    <cfRule type="colorScale" priority="13">
      <colorScale>
        <cfvo type="formula" val="0"/>
        <cfvo type="formula" val="1"/>
        <color rgb="FFFFFFFF"/>
        <color rgb="FF57BB8A"/>
      </colorScale>
    </cfRule>
  </conditionalFormatting>
  <conditionalFormatting sqref="P3:P9">
    <cfRule type="colorScale" priority="14">
      <colorScale>
        <cfvo type="formula" val="0"/>
        <cfvo type="max"/>
        <color rgb="FFFFFFFF"/>
        <color rgb="FFFFD666"/>
      </colorScale>
    </cfRule>
  </conditionalFormatting>
  <conditionalFormatting sqref="U3:U9">
    <cfRule type="colorScale" priority="15">
      <colorScale>
        <cfvo type="formula" val="0"/>
        <cfvo type="formula" val="2"/>
        <cfvo type="formula" val="3"/>
        <color rgb="FFE67C73"/>
        <color rgb="FFFFFFFF"/>
        <color rgb="FF57BB8A"/>
      </colorScale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6" max="6" width="11.88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1" t="s">
        <v>4</v>
      </c>
      <c r="K1" s="6" t="s">
        <v>5</v>
      </c>
      <c r="L1" s="4"/>
      <c r="M1" s="4"/>
      <c r="N1" s="4"/>
      <c r="O1" s="5"/>
      <c r="P1" s="30" t="s">
        <v>6</v>
      </c>
      <c r="Q1" s="4"/>
      <c r="R1" s="4"/>
      <c r="S1" s="4"/>
      <c r="T1" s="4"/>
      <c r="U1" s="5"/>
      <c r="Z1" s="54" t="s">
        <v>98</v>
      </c>
    </row>
    <row r="2">
      <c r="A2" s="9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2" t="s">
        <v>13</v>
      </c>
      <c r="I2" s="12" t="s">
        <v>14</v>
      </c>
      <c r="J2" s="9"/>
      <c r="K2" s="10" t="s">
        <v>15</v>
      </c>
      <c r="L2" s="12" t="s">
        <v>10</v>
      </c>
      <c r="M2" s="10" t="s">
        <v>16</v>
      </c>
      <c r="N2" s="10" t="s">
        <v>17</v>
      </c>
      <c r="O2" s="10" t="s">
        <v>18</v>
      </c>
      <c r="P2" s="15" t="s">
        <v>8</v>
      </c>
      <c r="Q2" s="15">
        <v>0.0</v>
      </c>
      <c r="R2" s="15">
        <v>1.0</v>
      </c>
      <c r="S2" s="15">
        <v>2.0</v>
      </c>
      <c r="T2" s="15">
        <v>3.0</v>
      </c>
      <c r="U2" s="15" t="s">
        <v>19</v>
      </c>
      <c r="Z2" s="54" t="s">
        <v>99</v>
      </c>
    </row>
    <row r="3">
      <c r="A3" s="18" t="s">
        <v>21</v>
      </c>
      <c r="B3" s="18" t="s">
        <v>41</v>
      </c>
      <c r="C3" s="31">
        <f>IFERROR(__xludf.DUMMYFUNCTION("SUM(MAP(FILTER(Z1:Z100, Z1:Z100 &lt;&gt; """"), LAMBDA(sheet, IFERROR(VALUE(INDIRECT(""'"" &amp; sheet &amp; ""'!C3"")), 0))))"),4.0)</f>
        <v>4</v>
      </c>
      <c r="D3" s="32">
        <f>IFERROR(__xludf.DUMMYFUNCTION("SUM(MAP(FILTER(Z1:Z100, Z1:Z100 &lt;&gt; """"), LAMBDA(sheet, IFERROR(VALUE(INDIRECT(""'"" &amp; sheet &amp; ""'!d3"")), 0))))"),1.0)</f>
        <v>1</v>
      </c>
      <c r="E3" s="38">
        <f>IFERROR(__xludf.DUMMYFUNCTION("SUM(MAP(FILTER(Z1:Z100, Z1:Z100 &lt;&gt; """"), LAMBDA(sheet, IFERROR(VALUE(INDIRECT(""'"" &amp; sheet &amp; ""'!e3"")), 0))))"),1.0)</f>
        <v>1</v>
      </c>
      <c r="F3" s="34">
        <f>IFERROR(__xludf.DUMMYFUNCTION("SUM(MAP(FILTER(Z1:Z100, Z1:Z100 &lt;&gt; """"), LAMBDA(sheet, IFERROR(VALUE(INDIRECT(""'"" &amp; sheet &amp; ""'!f3"")), 0))))"),3.0)</f>
        <v>3</v>
      </c>
      <c r="G3" s="35">
        <f t="shared" ref="G3:G9" si="1">IFS(C3=0, "N/A", C3&lt;&gt;0,(D3-E3)/C3 )</f>
        <v>0</v>
      </c>
      <c r="H3" s="10">
        <f>IFERROR(__xludf.DUMMYFUNCTION("SUM(MAP(FILTER(Z1:Z100, Z1:Z100 &lt;&gt; """"), LAMBDA(sheet, IFERROR(VALUE(INDIRECT(""'"" &amp; sheet &amp; ""'!h3"")), 0))))"),0.0)</f>
        <v>0</v>
      </c>
      <c r="I3" s="10">
        <f>IFERROR(__xludf.DUMMYFUNCTION("SUM(MAP(FILTER(Z1:Z100, Z1:Z100 &lt;&gt; """"), LAMBDA(sheet, IFERROR(VALUE(INDIRECT(""'"" &amp; sheet &amp; ""'!i73"")), 0))))"),0.0)</f>
        <v>0</v>
      </c>
      <c r="J3" s="10">
        <f>IFERROR(__xludf.DUMMYFUNCTION("SUM(MAP(FILTER(Z1:Z100, Z1:Z100 &lt;&gt; """"), LAMBDA(sheet, IFERROR(VALUE(INDIRECT(""'"" &amp; sheet &amp; ""'!j3"")), 0))))"),8.0)</f>
        <v>8</v>
      </c>
      <c r="K3" s="10">
        <f>IFERROR(__xludf.DUMMYFUNCTION("SUM(MAP(FILTER(Z1:Z100, Z1:Z100 &lt;&gt; """"), LAMBDA(sheet, IFERROR(VALUE(INDIRECT(""'"" &amp; sheet &amp; ""'!k3"")), 0))))"),0.0)</f>
        <v>0</v>
      </c>
      <c r="L3" s="10">
        <f>IFERROR(__xludf.DUMMYFUNCTION("SUM(MAP(FILTER(Z1:Z100, Z1:Z100 &lt;&gt; """"), LAMBDA(sheet, IFERROR(VALUE(INDIRECT(""'"" &amp; sheet &amp; ""'!l3"")), 0))))"),2.0)</f>
        <v>2</v>
      </c>
      <c r="M3" s="10">
        <f>IFERROR(__xludf.DUMMYFUNCTION("SUM(MAP(FILTER(Z1:Z100, Z1:Z100 &lt;&gt; """"), LAMBDA(sheet, IFERROR(VALUE(INDIRECT(""'"" &amp; sheet &amp; ""'!m3"")), 0))))"),7.0)</f>
        <v>7</v>
      </c>
      <c r="N3" s="35">
        <f t="shared" ref="N3:N9" si="2">ifs(M3=0,"N/A",M3&lt;&gt;0,(M3-L3) /M3)</f>
        <v>0.7142857143</v>
      </c>
      <c r="O3" s="35">
        <f t="shared" ref="O3:O9" si="3">IFS(M3=0, "N/A", M3&lt;&gt;0, K3/M3)</f>
        <v>0</v>
      </c>
      <c r="P3" s="10">
        <f>IFERROR(__xludf.DUMMYFUNCTION("SUM(MAP(FILTER(Z1:Z100, Z1:Z100 &lt;&gt; """"), LAMBDA(sheet, IFERROR(VALUE(INDIRECT(""'"" &amp; sheet &amp; ""'!p3"")), 0))))"),7.0)</f>
        <v>7</v>
      </c>
      <c r="Q3" s="10">
        <f>IFERROR(__xludf.DUMMYFUNCTION("SUM(MAP(FILTER(Z1:Z100, Z1:Z100 &lt;&gt; """"), LAMBDA(sheet, IFERROR(VALUE(INDIRECT(""'"" &amp; sheet &amp; ""'!q3"")), 0))))"),3.0)</f>
        <v>3</v>
      </c>
      <c r="R3" s="10">
        <f>IFERROR(__xludf.DUMMYFUNCTION("SUM(MAP(FILTER(Z1:Z100, Z1:Z100 &lt;&gt; """"), LAMBDA(sheet, IFERROR(VALUE(INDIRECT(""'"" &amp; sheet &amp; ""'!r3"")), 0))))"),0.0)</f>
        <v>0</v>
      </c>
      <c r="S3" s="10">
        <f>IFERROR(__xludf.DUMMYFUNCTION("SUM(MAP(FILTER(Z1:Z100, Z1:Z100 &lt;&gt; """"), LAMBDA(sheet, IFERROR(VALUE(INDIRECT(""'"" &amp; sheet &amp; ""'!s3"")), 0))))"),1.0)</f>
        <v>1</v>
      </c>
      <c r="T3" s="10">
        <f>IFERROR(__xludf.DUMMYFUNCTION("SUM(MAP(FILTER(Z1:Z100, Z1:Z100 &lt;&gt; """"), LAMBDA(sheet, IFERROR(VALUE(INDIRECT(""'"" &amp; sheet &amp; ""'!t3"")), 0))))"),3.0)</f>
        <v>3</v>
      </c>
      <c r="U3" s="10">
        <f t="shared" ref="U3:U9" si="4">ifs(P3=0, "N/A",P3&lt;&gt;0,(R3 + S3*2 +T3*3)/P3)</f>
        <v>1.571428571</v>
      </c>
      <c r="Z3" s="54" t="s">
        <v>100</v>
      </c>
    </row>
    <row r="4">
      <c r="A4" s="21" t="s">
        <v>24</v>
      </c>
      <c r="B4" s="21" t="s">
        <v>84</v>
      </c>
      <c r="C4" s="36">
        <f>IFERROR(__xludf.DUMMYFUNCTION("SUM(MAP(FILTER(Z1:Z100, Z1:Z100 &lt;&gt; """"), LAMBDA(sheet, IFERROR(VALUE(INDIRECT(""'"" &amp; sheet &amp; ""'!C4"")), 0))))"),9.0)</f>
        <v>9</v>
      </c>
      <c r="D4" s="37">
        <f>IFERROR(__xludf.DUMMYFUNCTION("SUM(MAP(FILTER(Z1:Z100, Z1:Z100 &lt;&gt; """"), LAMBDA(sheet, IFERROR(VALUE(INDIRECT(""'"" &amp; sheet &amp; ""'!d4"")), 0))))"),7.0)</f>
        <v>7</v>
      </c>
      <c r="E4" s="38">
        <f>IFERROR(__xludf.DUMMYFUNCTION("SUM(MAP(FILTER(Z1:Z100, Z1:Z100 &lt;&gt; """"), LAMBDA(sheet, IFERROR(VALUE(INDIRECT(""'"" &amp; sheet &amp; ""'!e4"")), 0))))"),0.0)</f>
        <v>0</v>
      </c>
      <c r="F4" s="39">
        <f>IFERROR(__xludf.DUMMYFUNCTION("SUM(MAP(FILTER(Z1:Z100, Z1:Z100 &lt;&gt; """"), LAMBDA(sheet, IFERROR(VALUE(INDIRECT(""'"" &amp; sheet &amp; ""'!f4"")), 0))))"),0.0)</f>
        <v>0</v>
      </c>
      <c r="G4" s="35">
        <f t="shared" si="1"/>
        <v>0.7777777778</v>
      </c>
      <c r="H4" s="10">
        <f>IFERROR(__xludf.DUMMYFUNCTION("SUM(MAP(FILTER(Z1:Z100, Z1:Z100 &lt;&gt; """"), LAMBDA(sheet, IFERROR(VALUE(INDIRECT(""'"" &amp; sheet &amp; ""'!h4"")), 0))))"),0.0)</f>
        <v>0</v>
      </c>
      <c r="I4" s="10">
        <f>IFERROR(__xludf.DUMMYFUNCTION("SUM(MAP(FILTER(Z1:Z100, Z1:Z100 &lt;&gt; """"), LAMBDA(sheet, IFERROR(VALUE(INDIRECT(""'"" &amp; sheet &amp; ""'!i4"")), 0))))"),4.0)</f>
        <v>4</v>
      </c>
      <c r="J4" s="10">
        <f>IFERROR(__xludf.DUMMYFUNCTION("SUM(MAP(FILTER(Z1:Z100, Z1:Z100 &lt;&gt; """"), LAMBDA(sheet, IFERROR(VALUE(INDIRECT(""'"" &amp; sheet &amp; ""'!j4"")), 0))))"),6.0)</f>
        <v>6</v>
      </c>
      <c r="K4" s="10">
        <f>IFERROR(__xludf.DUMMYFUNCTION("SUM(MAP(FILTER(Z1:Z100, Z1:Z100 &lt;&gt; """"), LAMBDA(sheet, IFERROR(VALUE(INDIRECT(""'"" &amp; sheet &amp; ""'!k4"")), 0))))"),1.0)</f>
        <v>1</v>
      </c>
      <c r="L4" s="10">
        <f>IFERROR(__xludf.DUMMYFUNCTION("SUM(MAP(FILTER(Z1:Z100, Z1:Z100 &lt;&gt; """"), LAMBDA(sheet, IFERROR(VALUE(INDIRECT(""'"" &amp; sheet &amp; ""'!l4"")), 0))))"),1.0)</f>
        <v>1</v>
      </c>
      <c r="M4" s="10">
        <f>IFERROR(__xludf.DUMMYFUNCTION("SUM(MAP(FILTER(Z1:Z100, Z1:Z100 &lt;&gt; """"), LAMBDA(sheet, IFERROR(VALUE(INDIRECT(""'"" &amp; sheet &amp; ""'!m4"")), 0))))"),10.0)</f>
        <v>10</v>
      </c>
      <c r="N4" s="35">
        <f t="shared" si="2"/>
        <v>0.9</v>
      </c>
      <c r="O4" s="35">
        <f t="shared" si="3"/>
        <v>0.1</v>
      </c>
      <c r="P4" s="10">
        <f>IFERROR(__xludf.DUMMYFUNCTION("SUM(MAP(FILTER(Z1:Z100, Z1:Z100 &lt;&gt; """"), LAMBDA(sheet, IFERROR(VALUE(INDIRECT(""'"" &amp; sheet &amp; ""'!p4"")), 0))))"),8.0)</f>
        <v>8</v>
      </c>
      <c r="Q4" s="10">
        <f>IFERROR(__xludf.DUMMYFUNCTION("SUM(MAP(FILTER(Z1:Z100, Z1:Z100 &lt;&gt; """"), LAMBDA(sheet, IFERROR(VALUE(INDIRECT(""'"" &amp; sheet &amp; ""'!q4"")), 0))))"),2.0)</f>
        <v>2</v>
      </c>
      <c r="R4" s="10">
        <f>IFERROR(__xludf.DUMMYFUNCTION("SUM(MAP(FILTER(Z1:Z100, Z1:Z100 &lt;&gt; """"), LAMBDA(sheet, IFERROR(VALUE(INDIRECT(""'"" &amp; sheet &amp; ""'!r4"")), 0))))"),4.0)</f>
        <v>4</v>
      </c>
      <c r="S4" s="10">
        <f>IFERROR(__xludf.DUMMYFUNCTION("SUM(MAP(FILTER(Z1:Z100, Z1:Z100 &lt;&gt; """"), LAMBDA(sheet, IFERROR(VALUE(INDIRECT(""'"" &amp; sheet &amp; ""'!s4"")), 0))))"),1.0)</f>
        <v>1</v>
      </c>
      <c r="T4" s="10">
        <f>IFERROR(__xludf.DUMMYFUNCTION("SUM(MAP(FILTER(Z1:Z100, Z1:Z100 &lt;&gt; """"), LAMBDA(sheet, IFERROR(VALUE(INDIRECT(""'"" &amp; sheet &amp; ""'!t4"")), 0))))"),1.0)</f>
        <v>1</v>
      </c>
      <c r="U4" s="10">
        <f t="shared" si="4"/>
        <v>1.125</v>
      </c>
      <c r="Z4" s="54"/>
    </row>
    <row r="5">
      <c r="A5" s="22" t="s">
        <v>26</v>
      </c>
      <c r="B5" s="22" t="s">
        <v>42</v>
      </c>
      <c r="C5" s="40">
        <f>IFERROR(__xludf.DUMMYFUNCTION("SUM(MAP(FILTER(Z1:Z100, Z1:Z100 &lt;&gt; """"), LAMBDA(sheet, IFERROR(VALUE(INDIRECT(""'"" &amp; sheet &amp; ""'!C5"")), 0))))"),0.0)</f>
        <v>0</v>
      </c>
      <c r="D5" s="41">
        <f>IFERROR(__xludf.DUMMYFUNCTION("SUM(MAP(FILTER(Z1:Z101, Z1:Z101 &lt;&gt; """"), LAMBDA(sheet, IFERROR(VALUE(INDIRECT(""'"" &amp; sheet &amp; ""'!d5"")), 0))))"),0.0)</f>
        <v>0</v>
      </c>
      <c r="E5" s="39">
        <f>IFERROR(__xludf.DUMMYFUNCTION("SUM(MAP(FILTER(Z1:Z100, Z1:Z100 &lt;&gt; """"), LAMBDA(sheet, IFERROR(VALUE(INDIRECT(""'"" &amp; sheet &amp; ""'!e5"")), 0))))"),0.0)</f>
        <v>0</v>
      </c>
      <c r="F5" s="42">
        <f>IFERROR(__xludf.DUMMYFUNCTION("SUM(MAP(FILTER(Z1:Z100, Z1:Z100 &lt;&gt; """"), LAMBDA(sheet, IFERROR(VALUE(INDIRECT(""'"" &amp; sheet &amp; ""'!f5"")), 0))))"),24.0)</f>
        <v>24</v>
      </c>
      <c r="G5" s="35" t="str">
        <f t="shared" si="1"/>
        <v>N/A</v>
      </c>
      <c r="H5" s="10">
        <f>IFERROR(__xludf.DUMMYFUNCTION("SUM(MAP(FILTER(Z1:Z100, Z1:Z100 &lt;&gt; """"), LAMBDA(sheet, IFERROR(VALUE(INDIRECT(""'"" &amp; sheet &amp; ""'!h5"")), 0))))"),0.0)</f>
        <v>0</v>
      </c>
      <c r="I5" s="10">
        <f>IFERROR(__xludf.DUMMYFUNCTION("SUM(MAP(FILTER(Z1:Z100, Z1:Z100 &lt;&gt; """"), LAMBDA(sheet, IFERROR(VALUE(INDIRECT(""'"" &amp; sheet &amp; ""'!i5"")), 0))))"),1.0)</f>
        <v>1</v>
      </c>
      <c r="J5" s="10">
        <f>IFERROR(__xludf.DUMMYFUNCTION("SUM(MAP(FILTER(Z1:Z100, Z1:Z100 &lt;&gt; """"), LAMBDA(sheet, IFERROR(VALUE(INDIRECT(""'"" &amp; sheet &amp; ""'!j5"")), 0))))"),4.0)</f>
        <v>4</v>
      </c>
      <c r="K5" s="10">
        <f>IFERROR(__xludf.DUMMYFUNCTION("SUM(MAP(FILTER(Z1:Z100, Z1:Z100 &lt;&gt; """"), LAMBDA(sheet, IFERROR(VALUE(INDIRECT(""'"" &amp; sheet &amp; ""'!k5"")), 0))))"),1.0)</f>
        <v>1</v>
      </c>
      <c r="L5" s="10">
        <f>IFERROR(__xludf.DUMMYFUNCTION("SUM(MAP(FILTER(Z1:Z100, Z1:Z100 &lt;&gt; """"), LAMBDA(sheet, IFERROR(VALUE(INDIRECT(""'"" &amp; sheet &amp; ""'!l5"")), 0))))"),1.0)</f>
        <v>1</v>
      </c>
      <c r="M5" s="10">
        <f>IFERROR(__xludf.DUMMYFUNCTION("SUM(MAP(FILTER(Z1:Z100, Z1:Z100 &lt;&gt; """"), LAMBDA(sheet, IFERROR(VALUE(INDIRECT(""'"" &amp; sheet &amp; ""'!m5"")), 0))))"),15.0)</f>
        <v>15</v>
      </c>
      <c r="N5" s="35">
        <f t="shared" si="2"/>
        <v>0.9333333333</v>
      </c>
      <c r="O5" s="35">
        <f t="shared" si="3"/>
        <v>0.06666666667</v>
      </c>
      <c r="P5" s="10">
        <f>IFERROR(__xludf.DUMMYFUNCTION("SUM(MAP(FILTER(Z1:Z100, Z1:Z100 &lt;&gt; """"), LAMBDA(sheet, IFERROR(VALUE(INDIRECT(""'"" &amp; sheet &amp; ""'!p5"")), 0))))"),0.0)</f>
        <v>0</v>
      </c>
      <c r="Q5" s="10">
        <f>IFERROR(__xludf.DUMMYFUNCTION("SUM(MAP(FILTER(Z1:Z100, Z1:Z100 &lt;&gt; """"), LAMBDA(sheet, IFERROR(VALUE(INDIRECT(""'"" &amp; sheet &amp; ""'!q5"")), 0))))"),0.0)</f>
        <v>0</v>
      </c>
      <c r="R5" s="10">
        <f>IFERROR(__xludf.DUMMYFUNCTION("SUM(MAP(FILTER(Z1:Z100, Z1:Z100 &lt;&gt; """"), LAMBDA(sheet, IFERROR(VALUE(INDIRECT(""'"" &amp; sheet &amp; ""'!r5"")), 0))))"),0.0)</f>
        <v>0</v>
      </c>
      <c r="S5" s="10">
        <f>IFERROR(__xludf.DUMMYFUNCTION("SUM(MAP(FILTER(Z1:Z100, Z1:Z100 &lt;&gt; """"), LAMBDA(sheet, IFERROR(VALUE(INDIRECT(""'"" &amp; sheet &amp; ""'!s5"")), 0))))"),0.0)</f>
        <v>0</v>
      </c>
      <c r="T5" s="10">
        <f>IFERROR(__xludf.DUMMYFUNCTION("SUM(MAP(FILTER(Z1:Z100, Z1:Z100 &lt;&gt; """"), LAMBDA(sheet, IFERROR(VALUE(INDIRECT(""'"" &amp; sheet &amp; ""'!t5"")), 0))))"),0.0)</f>
        <v>0</v>
      </c>
      <c r="U5" s="10" t="str">
        <f t="shared" si="4"/>
        <v>N/A</v>
      </c>
    </row>
    <row r="6">
      <c r="A6" s="23" t="s">
        <v>28</v>
      </c>
      <c r="B6" s="23" t="s">
        <v>43</v>
      </c>
      <c r="C6" s="43">
        <f>IFERROR(__xludf.DUMMYFUNCTION("SUM(MAP(FILTER(Z1:Z100, Z1:Z100 &lt;&gt; """"), LAMBDA(sheet, IFERROR(VALUE(INDIRECT(""'"" &amp; sheet &amp; ""'!C6"")), 0))))"),17.0)</f>
        <v>17</v>
      </c>
      <c r="D6" s="42">
        <f>IFERROR(__xludf.DUMMYFUNCTION("SUM(MAP(FILTER(Z1:Z102, Z1:Z102 &lt;&gt; """"), LAMBDA(sheet, IFERROR(VALUE(INDIRECT(""'"" &amp; sheet &amp; ""'!d6"")), 0))))"),7.0)</f>
        <v>7</v>
      </c>
      <c r="E6" s="44">
        <f>IFERROR(__xludf.DUMMYFUNCTION("SUM(MAP(FILTER(Z1:Z100, Z1:Z100 &lt;&gt; """"), LAMBDA(sheet, IFERROR(VALUE(INDIRECT(""'"" &amp; sheet &amp; ""'!e6"")), 0))))"),3.0)</f>
        <v>3</v>
      </c>
      <c r="F6" s="45">
        <f>IFERROR(__xludf.DUMMYFUNCTION("SUM(MAP(FILTER(Z1:Z100, Z1:Z100 &lt;&gt; """"), LAMBDA(sheet, IFERROR(VALUE(INDIRECT(""'"" &amp; sheet &amp; ""'!f6"")), 0))))"),0.0)</f>
        <v>0</v>
      </c>
      <c r="G6" s="35">
        <f t="shared" si="1"/>
        <v>0.2352941176</v>
      </c>
      <c r="H6" s="10">
        <f>IFERROR(__xludf.DUMMYFUNCTION("SUM(MAP(FILTER(Z1:Z100, Z1:Z100 &lt;&gt; """"), LAMBDA(sheet, IFERROR(VALUE(INDIRECT(""'"" &amp; sheet &amp; ""'!h6"")), 0))))"),0.0)</f>
        <v>0</v>
      </c>
      <c r="I6" s="10">
        <f>IFERROR(__xludf.DUMMYFUNCTION("SUM(MAP(FILTER(Z1:Z100, Z1:Z100 &lt;&gt; """"), LAMBDA(sheet, IFERROR(VALUE(INDIRECT(""'"" &amp; sheet &amp; ""'!i6"")), 0))))"),1.0)</f>
        <v>1</v>
      </c>
      <c r="J6" s="10">
        <f>IFERROR(__xludf.DUMMYFUNCTION("SUM(MAP(FILTER(Z1:Z100, Z1:Z100 &lt;&gt; """"), LAMBDA(sheet, IFERROR(VALUE(INDIRECT(""'"" &amp; sheet &amp; ""'!j6"")), 0))))"),3.0)</f>
        <v>3</v>
      </c>
      <c r="K6" s="10">
        <f>IFERROR(__xludf.DUMMYFUNCTION("SUM(MAP(FILTER(Z1:Z100, Z1:Z100 &lt;&gt; """"), LAMBDA(sheet, IFERROR(VALUE(INDIRECT(""'"" &amp; sheet &amp; ""'!k6"")), 0))))"),1.0)</f>
        <v>1</v>
      </c>
      <c r="L6" s="10">
        <f>IFERROR(__xludf.DUMMYFUNCTION("SUM(MAP(FILTER(Z1:Z100, Z1:Z100 &lt;&gt; """"), LAMBDA(sheet, IFERROR(VALUE(INDIRECT(""'"" &amp; sheet &amp; ""'!l6"")), 0))))"),0.0)</f>
        <v>0</v>
      </c>
      <c r="M6" s="10">
        <f>IFERROR(__xludf.DUMMYFUNCTION("SUM(MAP(FILTER(Z1:Z100, Z1:Z100 &lt;&gt; """"), LAMBDA(sheet, IFERROR(VALUE(INDIRECT(""'"" &amp; sheet &amp; ""'!m6"")), 0))))"),5.0)</f>
        <v>5</v>
      </c>
      <c r="N6" s="35">
        <f t="shared" si="2"/>
        <v>1</v>
      </c>
      <c r="O6" s="35">
        <f t="shared" si="3"/>
        <v>0.2</v>
      </c>
      <c r="P6" s="10">
        <f>IFERROR(__xludf.DUMMYFUNCTION("SUM(MAP(FILTER(Z1:Z100, Z1:Z100 &lt;&gt; """"), LAMBDA(sheet, IFERROR(VALUE(INDIRECT(""'"" &amp; sheet &amp; ""'!p6"")), 0))))"),14.0)</f>
        <v>14</v>
      </c>
      <c r="Q6" s="10">
        <f>IFERROR(__xludf.DUMMYFUNCTION("SUM(MAP(FILTER(Z1:Z100, Z1:Z100 &lt;&gt; """"), LAMBDA(sheet, IFERROR(VALUE(INDIRECT(""'"" &amp; sheet &amp; ""'!q6"")), 0))))"),2.0)</f>
        <v>2</v>
      </c>
      <c r="R6" s="10">
        <f>IFERROR(__xludf.DUMMYFUNCTION("SUM(MAP(FILTER(Z1:Z100, Z1:Z100 &lt;&gt; """"), LAMBDA(sheet, IFERROR(VALUE(INDIRECT(""'"" &amp; sheet &amp; ""'!r6"")), 0))))"),3.0)</f>
        <v>3</v>
      </c>
      <c r="S6" s="10">
        <f>IFERROR(__xludf.DUMMYFUNCTION("SUM(MAP(FILTER(Z1:Z100, Z1:Z100 &lt;&gt; """"), LAMBDA(sheet, IFERROR(VALUE(INDIRECT(""'"" &amp; sheet &amp; ""'!s6"")), 0))))"),2.0)</f>
        <v>2</v>
      </c>
      <c r="T6" s="10">
        <f>IFERROR(__xludf.DUMMYFUNCTION("SUM(MAP(FILTER(Z1:Z100, Z1:Z100 &lt;&gt; """"), LAMBDA(sheet, IFERROR(VALUE(INDIRECT(""'"" &amp; sheet &amp; ""'!t6"")), 0))))"),7.0)</f>
        <v>7</v>
      </c>
      <c r="U6" s="10">
        <f t="shared" si="4"/>
        <v>2</v>
      </c>
    </row>
    <row r="7">
      <c r="A7" s="24" t="s">
        <v>30</v>
      </c>
      <c r="B7" s="24" t="s">
        <v>85</v>
      </c>
      <c r="C7" s="46">
        <f>IFERROR(__xludf.DUMMYFUNCTION("SUM(MAP(FILTER(Z1:Z100, Z1:Z100 &lt;&gt; """"), LAMBDA(sheet, IFERROR(VALUE(INDIRECT(""'"" &amp; sheet &amp; ""'!C7"")), 0))))"),20.0)</f>
        <v>20</v>
      </c>
      <c r="D7" s="47">
        <f>IFERROR(__xludf.DUMMYFUNCTION("SUM(MAP(FILTER(Z1:Z104, Z1:Z104 &lt;&gt; """"), LAMBDA(sheet, IFERROR(VALUE(INDIRECT(""'"" &amp; sheet &amp; ""'!d7"")), 0))))"),9.0)</f>
        <v>9</v>
      </c>
      <c r="E7" s="44">
        <f>IFERROR(__xludf.DUMMYFUNCTION("SUM(MAP(FILTER(Z1:Z100, Z1:Z100 &lt;&gt; """"), LAMBDA(sheet, IFERROR(VALUE(INDIRECT(""'"" &amp; sheet &amp; ""'!e7"")), 0))))"),5.0)</f>
        <v>5</v>
      </c>
      <c r="F7" s="39">
        <f>IFERROR(__xludf.DUMMYFUNCTION("SUM(MAP(FILTER(Z1:Z100, Z1:Z100 &lt;&gt; """"), LAMBDA(sheet, IFERROR(VALUE(INDIRECT(""'"" &amp; sheet &amp; ""'!f7""), 0)))))"),0.0)</f>
        <v>0</v>
      </c>
      <c r="G7" s="35">
        <f t="shared" si="1"/>
        <v>0.2</v>
      </c>
      <c r="H7" s="10">
        <f>IFERROR(__xludf.DUMMYFUNCTION("SUM(MAP(FILTER(Z1:Z100, Z1:Z100 &lt;&gt; """"), LAMBDA(sheet, IFERROR(VALUE(INDIRECT(""'"" &amp; sheet &amp; ""'!h7"")), 0))))"),0.0)</f>
        <v>0</v>
      </c>
      <c r="I7" s="10">
        <f>IFERROR(__xludf.DUMMYFUNCTION("SUM(MAP(FILTER(Z1:Z100, Z1:Z100 &lt;&gt; """"), LAMBDA(sheet, IFERROR(VALUE(INDIRECT(""'"" &amp; sheet &amp; ""'!i7"")), 0))))"),1.0)</f>
        <v>1</v>
      </c>
      <c r="J7" s="10">
        <f>IFERROR(__xludf.DUMMYFUNCTION("SUM(MAP(FILTER(Z1:Z100, Z1:Z100 &lt;&gt; """"), LAMBDA(sheet, IFERROR(VALUE(INDIRECT(""'"" &amp; sheet &amp; ""'!j7"")), 0))))"),6.0)</f>
        <v>6</v>
      </c>
      <c r="K7" s="10">
        <f>IFERROR(__xludf.DUMMYFUNCTION("SUM(MAP(FILTER(Z1:Z100, Z1:Z100 &lt;&gt; """"), LAMBDA(sheet, IFERROR(VALUE(INDIRECT(""'"" &amp; sheet &amp; ""'!k7"")), 0))))"),0.0)</f>
        <v>0</v>
      </c>
      <c r="L7" s="10">
        <f>IFERROR(__xludf.DUMMYFUNCTION("SUM(MAP(FILTER(Z1:Z100, Z1:Z100 &lt;&gt; """"), LAMBDA(sheet, IFERROR(VALUE(INDIRECT(""'"" &amp; sheet &amp; ""'!l7"")), 0))))"),1.0)</f>
        <v>1</v>
      </c>
      <c r="M7" s="10">
        <f>IFERROR(__xludf.DUMMYFUNCTION("SUM(MAP(FILTER(Z1:Z100, Z1:Z100 &lt;&gt; """"), LAMBDA(sheet, IFERROR(VALUE(INDIRECT(""'"" &amp; sheet &amp; ""'!m7"")), 0))))"),8.0)</f>
        <v>8</v>
      </c>
      <c r="N7" s="35">
        <f t="shared" si="2"/>
        <v>0.875</v>
      </c>
      <c r="O7" s="35">
        <f t="shared" si="3"/>
        <v>0</v>
      </c>
      <c r="P7" s="10">
        <f>IFERROR(__xludf.DUMMYFUNCTION("SUM(MAP(FILTER(Z1:Z100, Z1:Z100 &lt;&gt; """"), LAMBDA(sheet, IFERROR(VALUE(INDIRECT(""'"" &amp; sheet &amp; ""'!p7"")), 0))))"),6.0)</f>
        <v>6</v>
      </c>
      <c r="Q7" s="10">
        <f>IFERROR(__xludf.DUMMYFUNCTION("SUM(MAP(FILTER(Z1:Z100, Z1:Z100 &lt;&gt; """"), LAMBDA(sheet, IFERROR(VALUE(INDIRECT(""'"" &amp; sheet &amp; ""'!q7"")), 0))))"),2.0)</f>
        <v>2</v>
      </c>
      <c r="R7" s="10">
        <f>IFERROR(__xludf.DUMMYFUNCTION("SUM(MAP(FILTER(Z1:Z100, Z1:Z100 &lt;&gt; """"), LAMBDA(sheet, IFERROR(VALUE(INDIRECT(""'"" &amp; sheet &amp; ""'!r7"")), 0))))"),2.0)</f>
        <v>2</v>
      </c>
      <c r="S7" s="10">
        <f>IFERROR(__xludf.DUMMYFUNCTION("SUM(MAP(FILTER(Z1:Z100, Z1:Z100 &lt;&gt; """"), LAMBDA(sheet, IFERROR(VALUE(INDIRECT(""'"" &amp; sheet &amp; ""'!s7"")), 0))))"),0.0)</f>
        <v>0</v>
      </c>
      <c r="T7" s="10">
        <f>IFERROR(__xludf.DUMMYFUNCTION("SUM(MAP(FILTER(Z1:Z100, Z1:Z100 &lt;&gt; """"), LAMBDA(sheet, IFERROR(VALUE(INDIRECT(""'"" &amp; sheet &amp; ""'!t7"")), 0))))"),2.0)</f>
        <v>2</v>
      </c>
      <c r="U7" s="10">
        <f t="shared" si="4"/>
        <v>1.333333333</v>
      </c>
    </row>
    <row r="8">
      <c r="A8" s="25" t="s">
        <v>32</v>
      </c>
      <c r="B8" s="25" t="s">
        <v>97</v>
      </c>
      <c r="C8" s="48">
        <f>IFERROR(__xludf.DUMMYFUNCTION("SUM(MAP(FILTER(Z1:Z100, Z1:Z100 &lt;&gt; """"), LAMBDA(sheet, IFERROR(VALUE(INDIRECT(""'"" &amp; sheet &amp; ""'!C8"")), 0))))"),7.0)</f>
        <v>7</v>
      </c>
      <c r="D8" s="47">
        <f>IFERROR(__xludf.DUMMYFUNCTION("SUM(MAP(FILTER(Z1:Z104, Z1:Z104 &lt;&gt; """"), LAMBDA(sheet, IFERROR(VALUE(INDIRECT(""'"" &amp; sheet &amp; ""'!d8"")), 0))))"),4.0)</f>
        <v>4</v>
      </c>
      <c r="E8" s="49">
        <f>IFERROR(__xludf.DUMMYFUNCTION("SUM(MAP(FILTER(Z1:Z100, Z1:Z100 &lt;&gt; """"), LAMBDA(sheet, IFERROR(VALUE(INDIRECT(""'"" &amp; sheet &amp; ""'!e8"")), 0))))"),1.0)</f>
        <v>1</v>
      </c>
      <c r="F8" s="39">
        <f>IFERROR(__xludf.DUMMYFUNCTION("SUM(MAP(FILTER(Z1:Z100, Z1:Z100 &lt;&gt; """"), LAMBDA(sheet, IFERROR(VALUE(INDIRECT(""'"" &amp; sheet &amp; ""'!f8"")), 0))))"),0.0)</f>
        <v>0</v>
      </c>
      <c r="G8" s="35">
        <f t="shared" si="1"/>
        <v>0.4285714286</v>
      </c>
      <c r="H8" s="10">
        <f>IFERROR(__xludf.DUMMYFUNCTION("SUM(MAP(FILTER(Z1:Z100, Z1:Z100 &lt;&gt; """"), LAMBDA(sheet, IFERROR(VALUE(INDIRECT(""'"" &amp; sheet &amp; ""'!h8"")), 0))))"),0.0)</f>
        <v>0</v>
      </c>
      <c r="I8" s="10">
        <f>IFERROR(__xludf.DUMMYFUNCTION("SUM(MAP(FILTER(Z1:Z100, Z1:Z100 &lt;&gt; """"), LAMBDA(sheet, IFERROR(VALUE(INDIRECT(""'"" &amp; sheet &amp; ""'!i8"")), 0))))"),1.0)</f>
        <v>1</v>
      </c>
      <c r="J8" s="10">
        <f>IFERROR(__xludf.DUMMYFUNCTION("SUM(MAP(FILTER(Z1:Z100, Z1:Z100 &lt;&gt; """"), LAMBDA(sheet, IFERROR(VALUE(INDIRECT(""'"" &amp; sheet &amp; ""'!j8"")), 0))))"),6.0)</f>
        <v>6</v>
      </c>
      <c r="K8" s="10">
        <f>IFERROR(__xludf.DUMMYFUNCTION("SUM(MAP(FILTER(Z1:Z100, Z1:Z100 &lt;&gt; """"), LAMBDA(sheet, IFERROR(VALUE(INDIRECT(""'"" &amp; sheet &amp; ""'!k8"")), 0))))"),1.0)</f>
        <v>1</v>
      </c>
      <c r="L8" s="10">
        <f>IFERROR(__xludf.DUMMYFUNCTION("SUM(MAP(FILTER(Z1:Z100, Z1:Z100 &lt;&gt; """"), LAMBDA(sheet, IFERROR(VALUE(INDIRECT(""'"" &amp; sheet &amp; ""'!l8"")), 0))))"),1.0)</f>
        <v>1</v>
      </c>
      <c r="M8" s="10">
        <f>IFERROR(__xludf.DUMMYFUNCTION("SUM(MAP(FILTER(Z1:Z100, Z1:Z100 &lt;&gt; """"), LAMBDA(sheet, IFERROR(VALUE(INDIRECT(""'"" &amp; sheet &amp; ""'!m8"")), 0))))"),11.0)</f>
        <v>11</v>
      </c>
      <c r="N8" s="35">
        <f t="shared" si="2"/>
        <v>0.9090909091</v>
      </c>
      <c r="O8" s="35">
        <f t="shared" si="3"/>
        <v>0.09090909091</v>
      </c>
      <c r="P8" s="10">
        <f>IFERROR(__xludf.DUMMYFUNCTION("SUM(MAP(FILTER(Z1:Z100, Z1:Z100 &lt;&gt; """"), LAMBDA(sheet, IFERROR(VALUE(INDIRECT(""'"" &amp; sheet &amp; ""'!p8"")), 0))))"),11.0)</f>
        <v>11</v>
      </c>
      <c r="Q8" s="10">
        <f>IFERROR(__xludf.DUMMYFUNCTION("SUM(MAP(FILTER(Z1:Z100, Z1:Z100 &lt;&gt; """"), LAMBDA(sheet, IFERROR(VALUE(INDIRECT(""'"" &amp; sheet &amp; ""'!q8"")), 0))))"),4.0)</f>
        <v>4</v>
      </c>
      <c r="R8" s="10">
        <f>IFERROR(__xludf.DUMMYFUNCTION("SUM(MAP(FILTER(Z1:Z100, Z1:Z100 &lt;&gt; """"), LAMBDA(sheet, IFERROR(VALUE(INDIRECT(""'"" &amp; sheet &amp; ""'!r8"")), 0))))"),2.0)</f>
        <v>2</v>
      </c>
      <c r="S8" s="10">
        <f>IFERROR(__xludf.DUMMYFUNCTION("SUM(MAP(FILTER(Z1:Z100, Z1:Z100 &lt;&gt; """"), LAMBDA(sheet, IFERROR(VALUE(INDIRECT(""'"" &amp; sheet &amp; ""'!s8"")), 0))))"),1.0)</f>
        <v>1</v>
      </c>
      <c r="T8" s="10">
        <f>IFERROR(__xludf.DUMMYFUNCTION("SUM(MAP(FILTER(Z1:Z100, Z1:Z100 &lt;&gt; """"), LAMBDA(sheet, IFERROR(VALUE(INDIRECT(""'"" &amp; sheet &amp; ""'!t8"")), 0))))"),4.0)</f>
        <v>4</v>
      </c>
      <c r="U8" s="10">
        <f t="shared" si="4"/>
        <v>1.454545455</v>
      </c>
    </row>
    <row r="9">
      <c r="A9" s="26" t="s">
        <v>34</v>
      </c>
      <c r="B9" s="26" t="s">
        <v>22</v>
      </c>
      <c r="C9" s="50">
        <f>IFERROR(__xludf.DUMMYFUNCTION("SUM(MAP(FILTER(Z1:Z100, Z1:Z100 &lt;&gt; """"), LAMBDA(sheet, IFERROR(VALUE(INDIRECT(""'"" &amp; sheet &amp; ""'!C9"")), 0))))"),0.0)</f>
        <v>0</v>
      </c>
      <c r="D9" s="51">
        <f>IFERROR(__xludf.DUMMYFUNCTION("SUM(MAP(FILTER(Z1:Z104, Z1:Z104 &lt;&gt; """"), LAMBDA(sheet, IFERROR(VALUE(INDIRECT(""'"" &amp; sheet &amp; ""'!d9"")), 0))))"),0.0)</f>
        <v>0</v>
      </c>
      <c r="E9" s="38">
        <f>IFERROR(__xludf.DUMMYFUNCTION("SUM(MAP(FILTER(Z1:Z100, Z1:Z100 &lt;&gt; """"), LAMBDA(sheet, IFERROR(VALUE(INDIRECT(""'"" &amp; sheet &amp; ""'!e9"")), 0))))"),0.0)</f>
        <v>0</v>
      </c>
      <c r="F9" s="45">
        <f>IFERROR(__xludf.DUMMYFUNCTION("SUM(MAP(FILTER(Z1:Z100, Z1:Z100 &lt;&gt; """"), LAMBDA(sheet, IFERROR(VALUE(INDIRECT(""'"" &amp; sheet &amp; ""'!f9"")), 0))))"),0.0)</f>
        <v>0</v>
      </c>
      <c r="G9" s="35" t="str">
        <f t="shared" si="1"/>
        <v>N/A</v>
      </c>
      <c r="H9" s="10">
        <f>IFERROR(__xludf.DUMMYFUNCTION("SUM(MAP(FILTER(Z1:Z100, Z1:Z100 &lt;&gt; """"), LAMBDA(sheet, IFERROR(VALUE(INDIRECT(""'"" &amp; sheet &amp; ""'!h9"")), 0))))"),0.0)</f>
        <v>0</v>
      </c>
      <c r="I9" s="10">
        <f>IFERROR(__xludf.DUMMYFUNCTION("SUM(MAP(FILTER(Z1:Z100, Z1:Z100 &lt;&gt; """"), LAMBDA(sheet, IFERROR(VALUE(INDIRECT(""'"" &amp; sheet &amp; ""'!i9"")), 0))))"),0.0)</f>
        <v>0</v>
      </c>
      <c r="J9" s="10">
        <f>IFERROR(__xludf.DUMMYFUNCTION("SUM(MAP(FILTER(Z1:Z100, Z1:Z100 &lt;&gt; """"), LAMBDA(sheet, IFERROR(VALUE(INDIRECT(""'"" &amp; sheet &amp; ""'!j9"")), 0))))"),0.0)</f>
        <v>0</v>
      </c>
      <c r="K9" s="10">
        <f>IFERROR(__xludf.DUMMYFUNCTION("SUM(MAP(FILTER(Z1:Z100, Z1:Z100 &lt;&gt; """"), LAMBDA(sheet, IFERROR(VALUE(INDIRECT(""'"" &amp; sheet &amp; ""'!k9"")), 0))))"),0.0)</f>
        <v>0</v>
      </c>
      <c r="L9" s="10">
        <f>IFERROR(__xludf.DUMMYFUNCTION("SUM(MAP(FILTER(Z1:Z100, Z1:Z100 &lt;&gt; """"), LAMBDA(sheet, IFERROR(VALUE(INDIRECT(""'"" &amp; sheet &amp; ""'!l9"")), 0))))"),0.0)</f>
        <v>0</v>
      </c>
      <c r="M9" s="10">
        <f>IFERROR(__xludf.DUMMYFUNCTION("SUM(MAP(FILTER(Z1:Z100, Z1:Z100 &lt;&gt; """"), LAMBDA(sheet, IFERROR(VALUE(INDIRECT(""'"" &amp; sheet &amp; ""'!m9"")), 0))))"),0.0)</f>
        <v>0</v>
      </c>
      <c r="N9" s="35" t="str">
        <f t="shared" si="2"/>
        <v>N/A</v>
      </c>
      <c r="O9" s="35" t="str">
        <f t="shared" si="3"/>
        <v>N/A</v>
      </c>
      <c r="P9" s="10">
        <f>IFERROR(__xludf.DUMMYFUNCTION("SUM(MAP(FILTER(Z1:Z100, Z1:Z100 &lt;&gt; """"), LAMBDA(sheet, IFERROR(VALUE(INDIRECT(""'"" &amp; sheet &amp; ""'!p9"")), 0))))"),0.0)</f>
        <v>0</v>
      </c>
      <c r="Q9" s="10">
        <f>IFERROR(__xludf.DUMMYFUNCTION("SUM(MAP(FILTER(Z1:Z100, Z1:Z100 &lt;&gt; """"), LAMBDA(sheet, IFERROR(VALUE(INDIRECT(""'"" &amp; sheet &amp; ""'!q9"")), 0))))"),0.0)</f>
        <v>0</v>
      </c>
      <c r="R9" s="10">
        <f>IFERROR(__xludf.DUMMYFUNCTION("SUM(MAP(FILTER(Z1:Z100, Z1:Z100 &lt;&gt; """"), LAMBDA(sheet, IFERROR(VALUE(INDIRECT(""'"" &amp; sheet &amp; ""'!r9"")), 0))))"),0.0)</f>
        <v>0</v>
      </c>
      <c r="S9" s="10">
        <f>IFERROR(__xludf.DUMMYFUNCTION("SUM(MAP(FILTER(Z1:Z100, Z1:Z100 &lt;&gt; """"), LAMBDA(sheet, IFERROR(VALUE(INDIRECT(""'"" &amp; sheet &amp; ""'!s9"")), 0))))"),0.0)</f>
        <v>0</v>
      </c>
      <c r="T9" s="10">
        <f>IFERROR(__xludf.DUMMYFUNCTION("SUM(MAP(FILTER(Z1:Z100, Z1:Z100 &lt;&gt; """"), LAMBDA(sheet, IFERROR(VALUE(INDIRECT(""'"" &amp; sheet &amp; ""'!t9"")), 0))))"),0.0)</f>
        <v>0</v>
      </c>
      <c r="U9" s="10" t="str">
        <f t="shared" si="4"/>
        <v>N/A</v>
      </c>
    </row>
    <row r="10">
      <c r="C10" s="27"/>
      <c r="D10" s="27"/>
      <c r="E10" s="27"/>
      <c r="M10" s="52"/>
      <c r="N10" s="52"/>
      <c r="O10" s="52"/>
    </row>
    <row r="11">
      <c r="M11" s="52"/>
      <c r="N11" s="52"/>
      <c r="O11" s="52"/>
    </row>
    <row r="12">
      <c r="M12" s="52"/>
      <c r="N12" s="52"/>
      <c r="O12" s="52"/>
    </row>
    <row r="13">
      <c r="M13" s="52"/>
      <c r="N13" s="52"/>
      <c r="O13" s="52"/>
    </row>
    <row r="14">
      <c r="M14" s="52"/>
      <c r="N14" s="52"/>
      <c r="O14" s="52"/>
    </row>
    <row r="15">
      <c r="M15" s="52"/>
      <c r="N15" s="52"/>
      <c r="O15" s="52"/>
    </row>
    <row r="16">
      <c r="M16" s="52"/>
      <c r="N16" s="52"/>
      <c r="O16" s="52"/>
    </row>
    <row r="17">
      <c r="M17" s="52"/>
      <c r="N17" s="52"/>
      <c r="O17" s="52"/>
    </row>
    <row r="18">
      <c r="M18" s="52"/>
      <c r="N18" s="52"/>
      <c r="O18" s="52"/>
    </row>
    <row r="19">
      <c r="M19" s="52"/>
      <c r="N19" s="52"/>
      <c r="O19" s="52"/>
    </row>
    <row r="20">
      <c r="M20" s="52"/>
      <c r="N20" s="52"/>
      <c r="O20" s="52"/>
    </row>
    <row r="21">
      <c r="M21" s="52"/>
      <c r="N21" s="52"/>
      <c r="O21" s="52"/>
    </row>
    <row r="22">
      <c r="M22" s="52"/>
      <c r="N22" s="52"/>
      <c r="O22" s="52"/>
    </row>
    <row r="23">
      <c r="M23" s="52"/>
      <c r="N23" s="52"/>
      <c r="O23" s="52"/>
    </row>
    <row r="24">
      <c r="M24" s="52"/>
      <c r="N24" s="52"/>
      <c r="O24" s="52"/>
    </row>
    <row r="25">
      <c r="M25" s="52"/>
      <c r="N25" s="52"/>
      <c r="O25" s="52"/>
    </row>
    <row r="26">
      <c r="M26" s="52"/>
      <c r="N26" s="52"/>
      <c r="O26" s="52"/>
    </row>
    <row r="27">
      <c r="M27" s="52"/>
      <c r="N27" s="52"/>
      <c r="O27" s="52"/>
    </row>
    <row r="28">
      <c r="M28" s="52"/>
      <c r="N28" s="52"/>
      <c r="O28" s="52"/>
    </row>
    <row r="29">
      <c r="M29" s="52"/>
      <c r="N29" s="52"/>
      <c r="O29" s="52"/>
    </row>
    <row r="30">
      <c r="M30" s="52"/>
      <c r="N30" s="52"/>
      <c r="O30" s="52"/>
    </row>
    <row r="31">
      <c r="M31" s="52"/>
      <c r="N31" s="52"/>
      <c r="O31" s="52"/>
    </row>
    <row r="32">
      <c r="M32" s="52"/>
      <c r="N32" s="52"/>
      <c r="O32" s="52"/>
    </row>
    <row r="33">
      <c r="M33" s="52"/>
      <c r="N33" s="52"/>
      <c r="O33" s="52"/>
    </row>
    <row r="34">
      <c r="M34" s="52"/>
      <c r="N34" s="52"/>
      <c r="O34" s="52"/>
    </row>
    <row r="35">
      <c r="M35" s="52"/>
      <c r="N35" s="52"/>
      <c r="O35" s="52"/>
    </row>
    <row r="36">
      <c r="M36" s="52"/>
      <c r="N36" s="52"/>
      <c r="O36" s="52"/>
    </row>
    <row r="37">
      <c r="M37" s="52"/>
      <c r="N37" s="52"/>
      <c r="O37" s="52"/>
    </row>
    <row r="38">
      <c r="M38" s="52"/>
      <c r="N38" s="52"/>
      <c r="O38" s="52"/>
    </row>
    <row r="39">
      <c r="M39" s="52"/>
      <c r="N39" s="52"/>
      <c r="O39" s="52"/>
    </row>
    <row r="40">
      <c r="M40" s="52"/>
      <c r="N40" s="52"/>
      <c r="O40" s="52"/>
    </row>
    <row r="41">
      <c r="M41" s="52"/>
      <c r="N41" s="52"/>
      <c r="O41" s="52"/>
    </row>
    <row r="42">
      <c r="M42" s="52"/>
      <c r="N42" s="52"/>
      <c r="O42" s="52"/>
    </row>
    <row r="43">
      <c r="M43" s="52"/>
      <c r="N43" s="52"/>
      <c r="O43" s="52"/>
    </row>
    <row r="44">
      <c r="M44" s="52"/>
      <c r="N44" s="52"/>
      <c r="O44" s="52"/>
    </row>
    <row r="45">
      <c r="M45" s="52"/>
      <c r="N45" s="52"/>
      <c r="O45" s="52"/>
    </row>
    <row r="46">
      <c r="M46" s="52"/>
      <c r="N46" s="52"/>
      <c r="O46" s="52"/>
    </row>
    <row r="47">
      <c r="M47" s="52"/>
      <c r="N47" s="52"/>
      <c r="O47" s="52"/>
    </row>
    <row r="48">
      <c r="M48" s="52"/>
      <c r="N48" s="52"/>
      <c r="O48" s="52"/>
    </row>
    <row r="49">
      <c r="M49" s="52"/>
      <c r="N49" s="52"/>
      <c r="O49" s="52"/>
    </row>
    <row r="50">
      <c r="M50" s="52"/>
      <c r="N50" s="52"/>
      <c r="O50" s="52"/>
    </row>
    <row r="51">
      <c r="M51" s="52"/>
      <c r="N51" s="52"/>
      <c r="O51" s="52"/>
    </row>
    <row r="52">
      <c r="M52" s="52"/>
      <c r="N52" s="52"/>
      <c r="O52" s="52"/>
    </row>
    <row r="53">
      <c r="M53" s="52"/>
      <c r="N53" s="52"/>
      <c r="O53" s="52"/>
    </row>
    <row r="54">
      <c r="M54" s="52"/>
      <c r="N54" s="52"/>
      <c r="O54" s="52"/>
    </row>
    <row r="55">
      <c r="M55" s="52"/>
      <c r="N55" s="52"/>
      <c r="O55" s="52"/>
    </row>
    <row r="56">
      <c r="M56" s="52"/>
      <c r="N56" s="52"/>
      <c r="O56" s="52"/>
    </row>
    <row r="57">
      <c r="M57" s="52"/>
      <c r="N57" s="52"/>
      <c r="O57" s="52"/>
    </row>
    <row r="58">
      <c r="M58" s="52"/>
      <c r="N58" s="52"/>
      <c r="O58" s="52"/>
    </row>
    <row r="59">
      <c r="M59" s="52"/>
      <c r="N59" s="52"/>
      <c r="O59" s="52"/>
    </row>
    <row r="60">
      <c r="M60" s="52"/>
      <c r="N60" s="52"/>
      <c r="O60" s="52"/>
    </row>
    <row r="61">
      <c r="M61" s="52"/>
      <c r="N61" s="52"/>
      <c r="O61" s="52"/>
    </row>
    <row r="62">
      <c r="M62" s="52"/>
      <c r="N62" s="52"/>
      <c r="O62" s="52"/>
    </row>
    <row r="63">
      <c r="M63" s="52"/>
      <c r="N63" s="52"/>
      <c r="O63" s="52"/>
    </row>
    <row r="64">
      <c r="M64" s="52"/>
      <c r="N64" s="52"/>
      <c r="O64" s="52"/>
    </row>
    <row r="65">
      <c r="M65" s="52"/>
      <c r="N65" s="52"/>
      <c r="O65" s="52"/>
    </row>
    <row r="66">
      <c r="M66" s="52"/>
      <c r="N66" s="52"/>
      <c r="O66" s="52"/>
    </row>
    <row r="67">
      <c r="M67" s="52"/>
      <c r="N67" s="52"/>
      <c r="O67" s="52"/>
    </row>
    <row r="68">
      <c r="M68" s="52"/>
      <c r="N68" s="52"/>
      <c r="O68" s="52"/>
    </row>
    <row r="69">
      <c r="M69" s="52"/>
      <c r="N69" s="52"/>
      <c r="O69" s="52"/>
    </row>
    <row r="70">
      <c r="M70" s="52"/>
      <c r="N70" s="52"/>
      <c r="O70" s="52"/>
    </row>
    <row r="71">
      <c r="M71" s="52"/>
      <c r="N71" s="52"/>
      <c r="O71" s="52"/>
    </row>
    <row r="72">
      <c r="M72" s="52"/>
      <c r="N72" s="52"/>
      <c r="O72" s="52"/>
    </row>
    <row r="73">
      <c r="M73" s="52"/>
      <c r="N73" s="52"/>
      <c r="O73" s="52"/>
    </row>
    <row r="74">
      <c r="M74" s="52"/>
      <c r="N74" s="52"/>
      <c r="O74" s="52"/>
    </row>
    <row r="75">
      <c r="M75" s="52"/>
      <c r="N75" s="52"/>
      <c r="O75" s="52"/>
    </row>
    <row r="76">
      <c r="M76" s="52"/>
      <c r="N76" s="52"/>
      <c r="O76" s="52"/>
    </row>
    <row r="77">
      <c r="M77" s="52"/>
      <c r="N77" s="52"/>
      <c r="O77" s="52"/>
    </row>
    <row r="78">
      <c r="M78" s="52"/>
      <c r="N78" s="52"/>
      <c r="O78" s="52"/>
    </row>
    <row r="79">
      <c r="M79" s="52"/>
      <c r="N79" s="52"/>
      <c r="O79" s="52"/>
    </row>
    <row r="80">
      <c r="M80" s="52"/>
      <c r="N80" s="52"/>
      <c r="O80" s="52"/>
    </row>
    <row r="81">
      <c r="M81" s="52"/>
      <c r="N81" s="52"/>
      <c r="O81" s="52"/>
    </row>
    <row r="82">
      <c r="M82" s="52"/>
      <c r="N82" s="52"/>
      <c r="O82" s="52"/>
    </row>
    <row r="83">
      <c r="M83" s="52"/>
      <c r="N83" s="52"/>
      <c r="O83" s="52"/>
    </row>
    <row r="84">
      <c r="M84" s="52"/>
      <c r="N84" s="52"/>
      <c r="O84" s="52"/>
    </row>
    <row r="85">
      <c r="M85" s="52"/>
      <c r="N85" s="52"/>
      <c r="O85" s="52"/>
    </row>
    <row r="86">
      <c r="M86" s="52"/>
      <c r="N86" s="52"/>
      <c r="O86" s="52"/>
    </row>
    <row r="87">
      <c r="M87" s="52"/>
      <c r="N87" s="52"/>
      <c r="O87" s="52"/>
    </row>
    <row r="88">
      <c r="M88" s="52"/>
      <c r="N88" s="52"/>
      <c r="O88" s="52"/>
    </row>
    <row r="89">
      <c r="M89" s="52"/>
      <c r="N89" s="52"/>
      <c r="O89" s="52"/>
    </row>
    <row r="90">
      <c r="M90" s="52"/>
      <c r="N90" s="52"/>
      <c r="O90" s="52"/>
    </row>
    <row r="91">
      <c r="M91" s="52"/>
      <c r="N91" s="52"/>
      <c r="O91" s="52"/>
    </row>
    <row r="92">
      <c r="M92" s="52"/>
      <c r="N92" s="52"/>
      <c r="O92" s="52"/>
    </row>
    <row r="93">
      <c r="M93" s="52"/>
      <c r="N93" s="52"/>
      <c r="O93" s="52"/>
    </row>
    <row r="94">
      <c r="M94" s="52"/>
      <c r="N94" s="52"/>
      <c r="O94" s="52"/>
    </row>
    <row r="95">
      <c r="M95" s="52"/>
      <c r="N95" s="52"/>
      <c r="O95" s="52"/>
    </row>
    <row r="96">
      <c r="M96" s="52"/>
      <c r="N96" s="52"/>
      <c r="O96" s="52"/>
    </row>
    <row r="97">
      <c r="M97" s="52"/>
      <c r="N97" s="52"/>
      <c r="O97" s="52"/>
    </row>
    <row r="98">
      <c r="M98" s="52"/>
      <c r="N98" s="52"/>
      <c r="O98" s="52"/>
    </row>
    <row r="99">
      <c r="M99" s="52"/>
      <c r="N99" s="52"/>
      <c r="O99" s="52"/>
    </row>
    <row r="100">
      <c r="M100" s="52"/>
      <c r="N100" s="52"/>
      <c r="O100" s="52"/>
    </row>
    <row r="101">
      <c r="M101" s="52"/>
      <c r="N101" s="52"/>
      <c r="O101" s="52"/>
    </row>
    <row r="102">
      <c r="M102" s="52"/>
      <c r="N102" s="52"/>
      <c r="O102" s="52"/>
    </row>
    <row r="103">
      <c r="M103" s="52"/>
      <c r="N103" s="52"/>
      <c r="O103" s="52"/>
    </row>
    <row r="104">
      <c r="M104" s="52"/>
      <c r="N104" s="52"/>
      <c r="O104" s="52"/>
    </row>
    <row r="105">
      <c r="M105" s="52"/>
      <c r="N105" s="52"/>
      <c r="O105" s="52"/>
    </row>
    <row r="106">
      <c r="M106" s="52"/>
      <c r="N106" s="52"/>
      <c r="O106" s="52"/>
    </row>
    <row r="107">
      <c r="M107" s="52"/>
      <c r="N107" s="52"/>
      <c r="O107" s="52"/>
    </row>
    <row r="108">
      <c r="M108" s="52"/>
      <c r="N108" s="52"/>
      <c r="O108" s="52"/>
    </row>
    <row r="109">
      <c r="M109" s="52"/>
      <c r="N109" s="52"/>
      <c r="O109" s="52"/>
    </row>
    <row r="110">
      <c r="M110" s="52"/>
      <c r="N110" s="52"/>
      <c r="O110" s="52"/>
    </row>
    <row r="111">
      <c r="M111" s="52"/>
      <c r="N111" s="52"/>
      <c r="O111" s="52"/>
    </row>
    <row r="112">
      <c r="M112" s="52"/>
      <c r="N112" s="52"/>
      <c r="O112" s="52"/>
    </row>
    <row r="113">
      <c r="M113" s="52"/>
      <c r="N113" s="52"/>
      <c r="O113" s="52"/>
    </row>
    <row r="114">
      <c r="M114" s="52"/>
      <c r="N114" s="52"/>
      <c r="O114" s="52"/>
    </row>
    <row r="115">
      <c r="M115" s="52"/>
      <c r="N115" s="52"/>
      <c r="O115" s="52"/>
    </row>
    <row r="116">
      <c r="M116" s="52"/>
      <c r="N116" s="52"/>
      <c r="O116" s="52"/>
    </row>
    <row r="117">
      <c r="M117" s="52"/>
      <c r="N117" s="52"/>
      <c r="O117" s="52"/>
    </row>
    <row r="118">
      <c r="M118" s="52"/>
      <c r="N118" s="52"/>
      <c r="O118" s="52"/>
    </row>
    <row r="119">
      <c r="M119" s="52"/>
      <c r="N119" s="52"/>
      <c r="O119" s="52"/>
    </row>
    <row r="120">
      <c r="M120" s="52"/>
      <c r="N120" s="52"/>
      <c r="O120" s="52"/>
    </row>
    <row r="121">
      <c r="M121" s="52"/>
      <c r="N121" s="52"/>
      <c r="O121" s="52"/>
    </row>
    <row r="122">
      <c r="M122" s="52"/>
      <c r="N122" s="52"/>
      <c r="O122" s="52"/>
    </row>
    <row r="123">
      <c r="M123" s="52"/>
      <c r="N123" s="52"/>
      <c r="O123" s="52"/>
    </row>
    <row r="124">
      <c r="M124" s="52"/>
      <c r="N124" s="52"/>
      <c r="O124" s="52"/>
    </row>
    <row r="125">
      <c r="M125" s="52"/>
      <c r="N125" s="52"/>
      <c r="O125" s="52"/>
    </row>
    <row r="126">
      <c r="M126" s="52"/>
      <c r="N126" s="52"/>
      <c r="O126" s="52"/>
    </row>
    <row r="127">
      <c r="M127" s="52"/>
      <c r="N127" s="52"/>
      <c r="O127" s="52"/>
    </row>
    <row r="128">
      <c r="M128" s="52"/>
      <c r="N128" s="52"/>
      <c r="O128" s="52"/>
    </row>
    <row r="129">
      <c r="M129" s="52"/>
      <c r="N129" s="52"/>
      <c r="O129" s="52"/>
    </row>
    <row r="130">
      <c r="M130" s="52"/>
      <c r="N130" s="52"/>
      <c r="O130" s="52"/>
    </row>
    <row r="131">
      <c r="M131" s="52"/>
      <c r="N131" s="52"/>
      <c r="O131" s="52"/>
    </row>
    <row r="132">
      <c r="M132" s="52"/>
      <c r="N132" s="52"/>
      <c r="O132" s="52"/>
    </row>
    <row r="133">
      <c r="M133" s="52"/>
      <c r="N133" s="52"/>
      <c r="O133" s="52"/>
    </row>
    <row r="134">
      <c r="M134" s="52"/>
      <c r="N134" s="52"/>
      <c r="O134" s="52"/>
    </row>
    <row r="135">
      <c r="M135" s="52"/>
      <c r="N135" s="52"/>
      <c r="O135" s="52"/>
    </row>
    <row r="136">
      <c r="M136" s="52"/>
      <c r="N136" s="52"/>
      <c r="O136" s="52"/>
    </row>
    <row r="137">
      <c r="M137" s="52"/>
      <c r="N137" s="52"/>
      <c r="O137" s="52"/>
    </row>
    <row r="138">
      <c r="M138" s="52"/>
      <c r="N138" s="52"/>
      <c r="O138" s="52"/>
    </row>
    <row r="139">
      <c r="M139" s="52"/>
      <c r="N139" s="52"/>
      <c r="O139" s="52"/>
    </row>
    <row r="140">
      <c r="M140" s="52"/>
      <c r="N140" s="52"/>
      <c r="O140" s="52"/>
    </row>
    <row r="141">
      <c r="M141" s="52"/>
      <c r="N141" s="52"/>
      <c r="O141" s="52"/>
    </row>
    <row r="142">
      <c r="M142" s="52"/>
      <c r="N142" s="52"/>
      <c r="O142" s="52"/>
    </row>
    <row r="143">
      <c r="M143" s="52"/>
      <c r="N143" s="52"/>
      <c r="O143" s="52"/>
    </row>
    <row r="144">
      <c r="M144" s="52"/>
      <c r="N144" s="52"/>
      <c r="O144" s="52"/>
    </row>
    <row r="145">
      <c r="M145" s="52"/>
      <c r="N145" s="52"/>
      <c r="O145" s="52"/>
    </row>
    <row r="146">
      <c r="M146" s="52"/>
      <c r="N146" s="52"/>
      <c r="O146" s="52"/>
    </row>
    <row r="147">
      <c r="M147" s="52"/>
      <c r="N147" s="52"/>
      <c r="O147" s="52"/>
    </row>
    <row r="148">
      <c r="M148" s="52"/>
      <c r="N148" s="52"/>
      <c r="O148" s="52"/>
    </row>
    <row r="149">
      <c r="M149" s="52"/>
      <c r="N149" s="52"/>
      <c r="O149" s="52"/>
    </row>
    <row r="150">
      <c r="M150" s="52"/>
      <c r="N150" s="52"/>
      <c r="O150" s="52"/>
    </row>
    <row r="151">
      <c r="M151" s="52"/>
      <c r="N151" s="52"/>
      <c r="O151" s="52"/>
    </row>
    <row r="152">
      <c r="M152" s="52"/>
      <c r="N152" s="52"/>
      <c r="O152" s="52"/>
    </row>
    <row r="153">
      <c r="M153" s="52"/>
      <c r="N153" s="52"/>
      <c r="O153" s="52"/>
    </row>
    <row r="154">
      <c r="M154" s="52"/>
      <c r="N154" s="52"/>
      <c r="O154" s="52"/>
    </row>
    <row r="155">
      <c r="M155" s="52"/>
      <c r="N155" s="52"/>
      <c r="O155" s="52"/>
    </row>
    <row r="156">
      <c r="M156" s="52"/>
      <c r="N156" s="52"/>
      <c r="O156" s="52"/>
    </row>
    <row r="157">
      <c r="M157" s="52"/>
      <c r="N157" s="52"/>
      <c r="O157" s="52"/>
    </row>
    <row r="158">
      <c r="M158" s="52"/>
      <c r="N158" s="52"/>
      <c r="O158" s="52"/>
    </row>
    <row r="159">
      <c r="M159" s="52"/>
      <c r="N159" s="52"/>
      <c r="O159" s="52"/>
    </row>
    <row r="160">
      <c r="M160" s="52"/>
      <c r="N160" s="52"/>
      <c r="O160" s="52"/>
    </row>
    <row r="161">
      <c r="M161" s="52"/>
      <c r="N161" s="52"/>
      <c r="O161" s="52"/>
    </row>
    <row r="162">
      <c r="M162" s="52"/>
      <c r="N162" s="52"/>
      <c r="O162" s="52"/>
    </row>
    <row r="163">
      <c r="M163" s="52"/>
      <c r="N163" s="52"/>
      <c r="O163" s="52"/>
    </row>
    <row r="164">
      <c r="M164" s="52"/>
      <c r="N164" s="52"/>
      <c r="O164" s="52"/>
    </row>
    <row r="165">
      <c r="M165" s="52"/>
      <c r="N165" s="52"/>
      <c r="O165" s="52"/>
    </row>
    <row r="166">
      <c r="M166" s="52"/>
      <c r="N166" s="52"/>
      <c r="O166" s="52"/>
    </row>
    <row r="167">
      <c r="M167" s="52"/>
      <c r="N167" s="52"/>
      <c r="O167" s="52"/>
    </row>
    <row r="168">
      <c r="M168" s="52"/>
      <c r="N168" s="52"/>
      <c r="O168" s="52"/>
    </row>
    <row r="169">
      <c r="M169" s="52"/>
      <c r="N169" s="52"/>
      <c r="O169" s="52"/>
    </row>
    <row r="170">
      <c r="M170" s="52"/>
      <c r="N170" s="52"/>
      <c r="O170" s="52"/>
    </row>
    <row r="171">
      <c r="M171" s="52"/>
      <c r="N171" s="52"/>
      <c r="O171" s="52"/>
    </row>
    <row r="172">
      <c r="M172" s="52"/>
      <c r="N172" s="52"/>
      <c r="O172" s="52"/>
    </row>
    <row r="173">
      <c r="M173" s="52"/>
      <c r="N173" s="52"/>
      <c r="O173" s="52"/>
    </row>
    <row r="174">
      <c r="M174" s="52"/>
      <c r="N174" s="52"/>
      <c r="O174" s="52"/>
    </row>
    <row r="175">
      <c r="M175" s="52"/>
      <c r="N175" s="52"/>
      <c r="O175" s="52"/>
    </row>
    <row r="176">
      <c r="M176" s="52"/>
      <c r="N176" s="52"/>
      <c r="O176" s="52"/>
    </row>
    <row r="177">
      <c r="M177" s="52"/>
      <c r="N177" s="52"/>
      <c r="O177" s="52"/>
    </row>
    <row r="178">
      <c r="M178" s="52"/>
      <c r="N178" s="52"/>
      <c r="O178" s="52"/>
    </row>
    <row r="179">
      <c r="M179" s="52"/>
      <c r="N179" s="52"/>
      <c r="O179" s="52"/>
    </row>
    <row r="180">
      <c r="M180" s="52"/>
      <c r="N180" s="52"/>
      <c r="O180" s="52"/>
    </row>
    <row r="181">
      <c r="M181" s="52"/>
      <c r="N181" s="52"/>
      <c r="O181" s="52"/>
    </row>
    <row r="182">
      <c r="M182" s="52"/>
      <c r="N182" s="52"/>
      <c r="O182" s="52"/>
    </row>
    <row r="183">
      <c r="M183" s="52"/>
      <c r="N183" s="52"/>
      <c r="O183" s="52"/>
    </row>
    <row r="184">
      <c r="M184" s="52"/>
      <c r="N184" s="52"/>
      <c r="O184" s="52"/>
    </row>
    <row r="185">
      <c r="M185" s="52"/>
      <c r="N185" s="52"/>
      <c r="O185" s="52"/>
    </row>
    <row r="186">
      <c r="M186" s="52"/>
      <c r="N186" s="52"/>
      <c r="O186" s="52"/>
    </row>
    <row r="187">
      <c r="M187" s="52"/>
      <c r="N187" s="52"/>
      <c r="O187" s="52"/>
    </row>
    <row r="188">
      <c r="M188" s="52"/>
      <c r="N188" s="52"/>
      <c r="O188" s="52"/>
    </row>
    <row r="189">
      <c r="M189" s="52"/>
      <c r="N189" s="52"/>
      <c r="O189" s="52"/>
    </row>
    <row r="190">
      <c r="M190" s="52"/>
      <c r="N190" s="52"/>
      <c r="O190" s="52"/>
    </row>
    <row r="191">
      <c r="M191" s="52"/>
      <c r="N191" s="52"/>
      <c r="O191" s="52"/>
    </row>
    <row r="192">
      <c r="M192" s="52"/>
      <c r="N192" s="52"/>
      <c r="O192" s="52"/>
    </row>
    <row r="193">
      <c r="M193" s="52"/>
      <c r="N193" s="52"/>
      <c r="O193" s="52"/>
    </row>
    <row r="194">
      <c r="M194" s="52"/>
      <c r="N194" s="52"/>
      <c r="O194" s="52"/>
    </row>
    <row r="195">
      <c r="M195" s="52"/>
      <c r="N195" s="52"/>
      <c r="O195" s="52"/>
    </row>
    <row r="196">
      <c r="M196" s="52"/>
      <c r="N196" s="52"/>
      <c r="O196" s="52"/>
    </row>
    <row r="197">
      <c r="M197" s="52"/>
      <c r="N197" s="52"/>
      <c r="O197" s="52"/>
    </row>
    <row r="198">
      <c r="M198" s="52"/>
      <c r="N198" s="52"/>
      <c r="O198" s="52"/>
    </row>
    <row r="199">
      <c r="M199" s="52"/>
      <c r="N199" s="52"/>
      <c r="O199" s="52"/>
    </row>
    <row r="200">
      <c r="M200" s="52"/>
      <c r="N200" s="52"/>
      <c r="O200" s="52"/>
    </row>
    <row r="201">
      <c r="M201" s="52"/>
      <c r="N201" s="52"/>
      <c r="O201" s="52"/>
    </row>
    <row r="202">
      <c r="M202" s="52"/>
      <c r="N202" s="52"/>
      <c r="O202" s="52"/>
    </row>
    <row r="203">
      <c r="M203" s="52"/>
      <c r="N203" s="52"/>
      <c r="O203" s="52"/>
    </row>
    <row r="204">
      <c r="M204" s="52"/>
      <c r="N204" s="52"/>
      <c r="O204" s="52"/>
    </row>
    <row r="205">
      <c r="M205" s="52"/>
      <c r="N205" s="52"/>
      <c r="O205" s="52"/>
    </row>
    <row r="206">
      <c r="M206" s="52"/>
      <c r="N206" s="52"/>
      <c r="O206" s="52"/>
    </row>
    <row r="207">
      <c r="M207" s="52"/>
      <c r="N207" s="52"/>
      <c r="O207" s="52"/>
    </row>
    <row r="208">
      <c r="M208" s="52"/>
      <c r="N208" s="52"/>
      <c r="O208" s="52"/>
    </row>
    <row r="209">
      <c r="M209" s="52"/>
      <c r="N209" s="52"/>
      <c r="O209" s="52"/>
    </row>
    <row r="210">
      <c r="M210" s="52"/>
      <c r="N210" s="52"/>
      <c r="O210" s="52"/>
    </row>
    <row r="211">
      <c r="M211" s="52"/>
      <c r="N211" s="52"/>
      <c r="O211" s="52"/>
    </row>
    <row r="212">
      <c r="M212" s="52"/>
      <c r="N212" s="52"/>
      <c r="O212" s="52"/>
    </row>
    <row r="213">
      <c r="M213" s="52"/>
      <c r="N213" s="52"/>
      <c r="O213" s="52"/>
    </row>
    <row r="214">
      <c r="M214" s="52"/>
      <c r="N214" s="52"/>
      <c r="O214" s="52"/>
    </row>
    <row r="215">
      <c r="M215" s="52"/>
      <c r="N215" s="52"/>
      <c r="O215" s="52"/>
    </row>
    <row r="216">
      <c r="M216" s="52"/>
      <c r="N216" s="52"/>
      <c r="O216" s="52"/>
    </row>
    <row r="217">
      <c r="M217" s="52"/>
      <c r="N217" s="52"/>
      <c r="O217" s="52"/>
    </row>
    <row r="218">
      <c r="M218" s="52"/>
      <c r="N218" s="52"/>
      <c r="O218" s="52"/>
    </row>
    <row r="219">
      <c r="M219" s="52"/>
      <c r="N219" s="52"/>
      <c r="O219" s="52"/>
    </row>
    <row r="220">
      <c r="M220" s="52"/>
      <c r="N220" s="52"/>
      <c r="O220" s="52"/>
    </row>
    <row r="221">
      <c r="M221" s="52"/>
      <c r="N221" s="52"/>
      <c r="O221" s="52"/>
    </row>
    <row r="222">
      <c r="M222" s="52"/>
      <c r="N222" s="52"/>
      <c r="O222" s="52"/>
    </row>
    <row r="223">
      <c r="M223" s="52"/>
      <c r="N223" s="52"/>
      <c r="O223" s="52"/>
    </row>
    <row r="224">
      <c r="M224" s="52"/>
      <c r="N224" s="52"/>
      <c r="O224" s="52"/>
    </row>
    <row r="225">
      <c r="M225" s="52"/>
      <c r="N225" s="52"/>
      <c r="O225" s="52"/>
    </row>
    <row r="226">
      <c r="M226" s="52"/>
      <c r="N226" s="52"/>
      <c r="O226" s="52"/>
    </row>
    <row r="227">
      <c r="M227" s="52"/>
      <c r="N227" s="52"/>
      <c r="O227" s="52"/>
    </row>
    <row r="228">
      <c r="M228" s="52"/>
      <c r="N228" s="52"/>
      <c r="O228" s="52"/>
    </row>
    <row r="229">
      <c r="M229" s="52"/>
      <c r="N229" s="52"/>
      <c r="O229" s="52"/>
    </row>
    <row r="230">
      <c r="M230" s="52"/>
      <c r="N230" s="52"/>
      <c r="O230" s="52"/>
    </row>
    <row r="231">
      <c r="M231" s="52"/>
      <c r="N231" s="52"/>
      <c r="O231" s="52"/>
    </row>
    <row r="232">
      <c r="M232" s="52"/>
      <c r="N232" s="52"/>
      <c r="O232" s="52"/>
    </row>
    <row r="233">
      <c r="M233" s="52"/>
      <c r="N233" s="52"/>
      <c r="O233" s="52"/>
    </row>
    <row r="234">
      <c r="M234" s="52"/>
      <c r="N234" s="52"/>
      <c r="O234" s="52"/>
    </row>
    <row r="235">
      <c r="M235" s="52"/>
      <c r="N235" s="52"/>
      <c r="O235" s="52"/>
    </row>
    <row r="236">
      <c r="M236" s="52"/>
      <c r="N236" s="52"/>
      <c r="O236" s="52"/>
    </row>
    <row r="237">
      <c r="M237" s="52"/>
      <c r="N237" s="52"/>
      <c r="O237" s="52"/>
    </row>
    <row r="238">
      <c r="M238" s="52"/>
      <c r="N238" s="52"/>
      <c r="O238" s="52"/>
    </row>
    <row r="239">
      <c r="M239" s="52"/>
      <c r="N239" s="52"/>
      <c r="O239" s="52"/>
    </row>
    <row r="240">
      <c r="M240" s="52"/>
      <c r="N240" s="52"/>
      <c r="O240" s="52"/>
    </row>
    <row r="241">
      <c r="M241" s="52"/>
      <c r="N241" s="52"/>
      <c r="O241" s="52"/>
    </row>
    <row r="242">
      <c r="M242" s="52"/>
      <c r="N242" s="52"/>
      <c r="O242" s="52"/>
    </row>
    <row r="243">
      <c r="M243" s="52"/>
      <c r="N243" s="52"/>
      <c r="O243" s="52"/>
    </row>
    <row r="244">
      <c r="M244" s="52"/>
      <c r="N244" s="52"/>
      <c r="O244" s="52"/>
    </row>
    <row r="245">
      <c r="M245" s="52"/>
      <c r="N245" s="52"/>
      <c r="O245" s="52"/>
    </row>
    <row r="246">
      <c r="M246" s="52"/>
      <c r="N246" s="52"/>
      <c r="O246" s="52"/>
    </row>
    <row r="247">
      <c r="M247" s="52"/>
      <c r="N247" s="52"/>
      <c r="O247" s="52"/>
    </row>
    <row r="248">
      <c r="M248" s="52"/>
      <c r="N248" s="52"/>
      <c r="O248" s="52"/>
    </row>
    <row r="249">
      <c r="M249" s="52"/>
      <c r="N249" s="52"/>
      <c r="O249" s="52"/>
    </row>
    <row r="250">
      <c r="M250" s="52"/>
      <c r="N250" s="52"/>
      <c r="O250" s="52"/>
    </row>
    <row r="251">
      <c r="M251" s="52"/>
      <c r="N251" s="52"/>
      <c r="O251" s="52"/>
    </row>
    <row r="252">
      <c r="M252" s="52"/>
      <c r="N252" s="52"/>
      <c r="O252" s="52"/>
    </row>
    <row r="253">
      <c r="M253" s="52"/>
      <c r="N253" s="52"/>
      <c r="O253" s="52"/>
    </row>
    <row r="254">
      <c r="M254" s="52"/>
      <c r="N254" s="52"/>
      <c r="O254" s="52"/>
    </row>
    <row r="255">
      <c r="M255" s="52"/>
      <c r="N255" s="52"/>
      <c r="O255" s="52"/>
    </row>
    <row r="256">
      <c r="M256" s="52"/>
      <c r="N256" s="52"/>
      <c r="O256" s="52"/>
    </row>
    <row r="257">
      <c r="M257" s="52"/>
      <c r="N257" s="52"/>
      <c r="O257" s="52"/>
    </row>
    <row r="258">
      <c r="M258" s="52"/>
      <c r="N258" s="52"/>
      <c r="O258" s="52"/>
    </row>
    <row r="259">
      <c r="M259" s="52"/>
      <c r="N259" s="52"/>
      <c r="O259" s="52"/>
    </row>
    <row r="260">
      <c r="M260" s="52"/>
      <c r="N260" s="52"/>
      <c r="O260" s="52"/>
    </row>
    <row r="261">
      <c r="M261" s="52"/>
      <c r="N261" s="52"/>
      <c r="O261" s="52"/>
    </row>
    <row r="262">
      <c r="M262" s="52"/>
      <c r="N262" s="52"/>
      <c r="O262" s="52"/>
    </row>
    <row r="263">
      <c r="M263" s="52"/>
      <c r="N263" s="52"/>
      <c r="O263" s="52"/>
    </row>
    <row r="264">
      <c r="M264" s="52"/>
      <c r="N264" s="52"/>
      <c r="O264" s="52"/>
    </row>
    <row r="265">
      <c r="M265" s="52"/>
      <c r="N265" s="52"/>
      <c r="O265" s="52"/>
    </row>
    <row r="266">
      <c r="M266" s="52"/>
      <c r="N266" s="52"/>
      <c r="O266" s="52"/>
    </row>
    <row r="267">
      <c r="M267" s="52"/>
      <c r="N267" s="52"/>
      <c r="O267" s="52"/>
    </row>
    <row r="268">
      <c r="M268" s="52"/>
      <c r="N268" s="52"/>
      <c r="O268" s="52"/>
    </row>
    <row r="269">
      <c r="M269" s="52"/>
      <c r="N269" s="52"/>
      <c r="O269" s="52"/>
    </row>
    <row r="270">
      <c r="M270" s="52"/>
      <c r="N270" s="52"/>
      <c r="O270" s="52"/>
    </row>
    <row r="271">
      <c r="M271" s="52"/>
      <c r="N271" s="52"/>
      <c r="O271" s="52"/>
    </row>
    <row r="272">
      <c r="M272" s="52"/>
      <c r="N272" s="52"/>
      <c r="O272" s="52"/>
    </row>
    <row r="273">
      <c r="M273" s="52"/>
      <c r="N273" s="52"/>
      <c r="O273" s="52"/>
    </row>
    <row r="274">
      <c r="M274" s="52"/>
      <c r="N274" s="52"/>
      <c r="O274" s="52"/>
    </row>
    <row r="275">
      <c r="M275" s="52"/>
      <c r="N275" s="52"/>
      <c r="O275" s="52"/>
    </row>
    <row r="276">
      <c r="M276" s="52"/>
      <c r="N276" s="52"/>
      <c r="O276" s="52"/>
    </row>
    <row r="277">
      <c r="M277" s="52"/>
      <c r="N277" s="52"/>
      <c r="O277" s="52"/>
    </row>
    <row r="278">
      <c r="M278" s="52"/>
      <c r="N278" s="52"/>
      <c r="O278" s="52"/>
    </row>
    <row r="279">
      <c r="M279" s="52"/>
      <c r="N279" s="52"/>
      <c r="O279" s="52"/>
    </row>
    <row r="280">
      <c r="M280" s="52"/>
      <c r="N280" s="52"/>
      <c r="O280" s="52"/>
    </row>
    <row r="281">
      <c r="M281" s="52"/>
      <c r="N281" s="52"/>
      <c r="O281" s="52"/>
    </row>
    <row r="282">
      <c r="M282" s="52"/>
      <c r="N282" s="52"/>
      <c r="O282" s="52"/>
    </row>
    <row r="283">
      <c r="M283" s="52"/>
      <c r="N283" s="52"/>
      <c r="O283" s="52"/>
    </row>
    <row r="284">
      <c r="M284" s="52"/>
      <c r="N284" s="52"/>
      <c r="O284" s="52"/>
    </row>
    <row r="285">
      <c r="M285" s="52"/>
      <c r="N285" s="52"/>
      <c r="O285" s="52"/>
    </row>
    <row r="286">
      <c r="M286" s="52"/>
      <c r="N286" s="52"/>
      <c r="O286" s="52"/>
    </row>
    <row r="287">
      <c r="M287" s="52"/>
      <c r="N287" s="52"/>
      <c r="O287" s="52"/>
    </row>
    <row r="288">
      <c r="M288" s="52"/>
      <c r="N288" s="52"/>
      <c r="O288" s="52"/>
    </row>
    <row r="289">
      <c r="M289" s="52"/>
      <c r="N289" s="52"/>
      <c r="O289" s="52"/>
    </row>
    <row r="290">
      <c r="M290" s="52"/>
      <c r="N290" s="52"/>
      <c r="O290" s="52"/>
    </row>
    <row r="291">
      <c r="M291" s="52"/>
      <c r="N291" s="52"/>
      <c r="O291" s="52"/>
    </row>
    <row r="292">
      <c r="M292" s="52"/>
      <c r="N292" s="52"/>
      <c r="O292" s="52"/>
    </row>
    <row r="293">
      <c r="M293" s="52"/>
      <c r="N293" s="52"/>
      <c r="O293" s="52"/>
    </row>
    <row r="294">
      <c r="M294" s="52"/>
      <c r="N294" s="52"/>
      <c r="O294" s="52"/>
    </row>
    <row r="295">
      <c r="M295" s="52"/>
      <c r="N295" s="52"/>
      <c r="O295" s="52"/>
    </row>
    <row r="296">
      <c r="M296" s="52"/>
      <c r="N296" s="52"/>
      <c r="O296" s="52"/>
    </row>
    <row r="297">
      <c r="M297" s="52"/>
      <c r="N297" s="52"/>
      <c r="O297" s="52"/>
    </row>
    <row r="298">
      <c r="M298" s="52"/>
      <c r="N298" s="52"/>
      <c r="O298" s="52"/>
    </row>
    <row r="299">
      <c r="M299" s="52"/>
      <c r="N299" s="52"/>
      <c r="O299" s="52"/>
    </row>
    <row r="300">
      <c r="M300" s="52"/>
      <c r="N300" s="52"/>
      <c r="O300" s="52"/>
    </row>
    <row r="301">
      <c r="M301" s="52"/>
      <c r="N301" s="52"/>
      <c r="O301" s="52"/>
    </row>
    <row r="302">
      <c r="M302" s="52"/>
      <c r="N302" s="52"/>
      <c r="O302" s="52"/>
    </row>
    <row r="303">
      <c r="M303" s="52"/>
      <c r="N303" s="52"/>
      <c r="O303" s="52"/>
    </row>
    <row r="304">
      <c r="M304" s="52"/>
      <c r="N304" s="52"/>
      <c r="O304" s="52"/>
    </row>
    <row r="305">
      <c r="M305" s="52"/>
      <c r="N305" s="52"/>
      <c r="O305" s="52"/>
    </row>
    <row r="306">
      <c r="M306" s="52"/>
      <c r="N306" s="52"/>
      <c r="O306" s="52"/>
    </row>
    <row r="307">
      <c r="M307" s="52"/>
      <c r="N307" s="52"/>
      <c r="O307" s="52"/>
    </row>
    <row r="308">
      <c r="M308" s="52"/>
      <c r="N308" s="52"/>
      <c r="O308" s="52"/>
    </row>
    <row r="309">
      <c r="M309" s="52"/>
      <c r="N309" s="52"/>
      <c r="O309" s="52"/>
    </row>
    <row r="310">
      <c r="M310" s="52"/>
      <c r="N310" s="52"/>
      <c r="O310" s="52"/>
    </row>
    <row r="311">
      <c r="M311" s="52"/>
      <c r="N311" s="52"/>
      <c r="O311" s="52"/>
    </row>
    <row r="312">
      <c r="M312" s="52"/>
      <c r="N312" s="52"/>
      <c r="O312" s="52"/>
    </row>
    <row r="313">
      <c r="M313" s="52"/>
      <c r="N313" s="52"/>
      <c r="O313" s="52"/>
    </row>
    <row r="314">
      <c r="M314" s="52"/>
      <c r="N314" s="52"/>
      <c r="O314" s="52"/>
    </row>
    <row r="315">
      <c r="M315" s="52"/>
      <c r="N315" s="52"/>
      <c r="O315" s="52"/>
    </row>
    <row r="316">
      <c r="M316" s="52"/>
      <c r="N316" s="52"/>
      <c r="O316" s="52"/>
    </row>
    <row r="317">
      <c r="M317" s="52"/>
      <c r="N317" s="52"/>
      <c r="O317" s="52"/>
    </row>
    <row r="318">
      <c r="M318" s="52"/>
      <c r="N318" s="52"/>
      <c r="O318" s="52"/>
    </row>
    <row r="319">
      <c r="M319" s="52"/>
      <c r="N319" s="52"/>
      <c r="O319" s="52"/>
    </row>
    <row r="320">
      <c r="M320" s="52"/>
      <c r="N320" s="52"/>
      <c r="O320" s="52"/>
    </row>
    <row r="321">
      <c r="M321" s="52"/>
      <c r="N321" s="52"/>
      <c r="O321" s="52"/>
    </row>
    <row r="322">
      <c r="M322" s="52"/>
      <c r="N322" s="52"/>
      <c r="O322" s="52"/>
    </row>
    <row r="323">
      <c r="M323" s="52"/>
      <c r="N323" s="52"/>
      <c r="O323" s="52"/>
    </row>
    <row r="324">
      <c r="M324" s="52"/>
      <c r="N324" s="52"/>
      <c r="O324" s="52"/>
    </row>
    <row r="325">
      <c r="M325" s="52"/>
      <c r="N325" s="52"/>
      <c r="O325" s="52"/>
    </row>
    <row r="326">
      <c r="M326" s="52"/>
      <c r="N326" s="52"/>
      <c r="O326" s="52"/>
    </row>
    <row r="327">
      <c r="M327" s="52"/>
      <c r="N327" s="52"/>
      <c r="O327" s="52"/>
    </row>
    <row r="328">
      <c r="M328" s="52"/>
      <c r="N328" s="52"/>
      <c r="O328" s="52"/>
    </row>
    <row r="329">
      <c r="M329" s="52"/>
      <c r="N329" s="52"/>
      <c r="O329" s="52"/>
    </row>
    <row r="330">
      <c r="M330" s="52"/>
      <c r="N330" s="52"/>
      <c r="O330" s="52"/>
    </row>
    <row r="331">
      <c r="M331" s="52"/>
      <c r="N331" s="52"/>
      <c r="O331" s="52"/>
    </row>
    <row r="332">
      <c r="M332" s="52"/>
      <c r="N332" s="52"/>
      <c r="O332" s="52"/>
    </row>
    <row r="333">
      <c r="M333" s="52"/>
      <c r="N333" s="52"/>
      <c r="O333" s="52"/>
    </row>
    <row r="334">
      <c r="M334" s="52"/>
      <c r="N334" s="52"/>
      <c r="O334" s="52"/>
    </row>
    <row r="335">
      <c r="M335" s="52"/>
      <c r="N335" s="52"/>
      <c r="O335" s="52"/>
    </row>
    <row r="336">
      <c r="M336" s="52"/>
      <c r="N336" s="52"/>
      <c r="O336" s="52"/>
    </row>
    <row r="337">
      <c r="M337" s="52"/>
      <c r="N337" s="52"/>
      <c r="O337" s="52"/>
    </row>
    <row r="338">
      <c r="M338" s="52"/>
      <c r="N338" s="52"/>
      <c r="O338" s="52"/>
    </row>
    <row r="339">
      <c r="M339" s="52"/>
      <c r="N339" s="52"/>
      <c r="O339" s="52"/>
    </row>
    <row r="340">
      <c r="M340" s="52"/>
      <c r="N340" s="52"/>
      <c r="O340" s="52"/>
    </row>
    <row r="341">
      <c r="M341" s="52"/>
      <c r="N341" s="52"/>
      <c r="O341" s="52"/>
    </row>
    <row r="342">
      <c r="M342" s="52"/>
      <c r="N342" s="52"/>
      <c r="O342" s="52"/>
    </row>
    <row r="343">
      <c r="M343" s="52"/>
      <c r="N343" s="52"/>
      <c r="O343" s="52"/>
    </row>
    <row r="344">
      <c r="M344" s="52"/>
      <c r="N344" s="52"/>
      <c r="O344" s="52"/>
    </row>
    <row r="345">
      <c r="M345" s="52"/>
      <c r="N345" s="52"/>
      <c r="O345" s="52"/>
    </row>
    <row r="346">
      <c r="M346" s="52"/>
      <c r="N346" s="52"/>
      <c r="O346" s="52"/>
    </row>
    <row r="347">
      <c r="M347" s="52"/>
      <c r="N347" s="52"/>
      <c r="O347" s="52"/>
    </row>
    <row r="348">
      <c r="M348" s="52"/>
      <c r="N348" s="52"/>
      <c r="O348" s="52"/>
    </row>
    <row r="349">
      <c r="M349" s="52"/>
      <c r="N349" s="52"/>
      <c r="O349" s="52"/>
    </row>
    <row r="350">
      <c r="M350" s="52"/>
      <c r="N350" s="52"/>
      <c r="O350" s="52"/>
    </row>
    <row r="351">
      <c r="M351" s="52"/>
      <c r="N351" s="52"/>
      <c r="O351" s="52"/>
    </row>
    <row r="352">
      <c r="M352" s="52"/>
      <c r="N352" s="52"/>
      <c r="O352" s="52"/>
    </row>
    <row r="353">
      <c r="M353" s="52"/>
      <c r="N353" s="52"/>
      <c r="O353" s="52"/>
    </row>
    <row r="354">
      <c r="M354" s="52"/>
      <c r="N354" s="52"/>
      <c r="O354" s="52"/>
    </row>
    <row r="355">
      <c r="M355" s="52"/>
      <c r="N355" s="52"/>
      <c r="O355" s="52"/>
    </row>
    <row r="356">
      <c r="M356" s="52"/>
      <c r="N356" s="52"/>
      <c r="O356" s="52"/>
    </row>
    <row r="357">
      <c r="M357" s="52"/>
      <c r="N357" s="52"/>
      <c r="O357" s="52"/>
    </row>
    <row r="358">
      <c r="M358" s="52"/>
      <c r="N358" s="52"/>
      <c r="O358" s="52"/>
    </row>
    <row r="359">
      <c r="M359" s="52"/>
      <c r="N359" s="52"/>
      <c r="O359" s="52"/>
    </row>
    <row r="360">
      <c r="M360" s="52"/>
      <c r="N360" s="52"/>
      <c r="O360" s="52"/>
    </row>
    <row r="361">
      <c r="M361" s="52"/>
      <c r="N361" s="52"/>
      <c r="O361" s="52"/>
    </row>
    <row r="362">
      <c r="M362" s="52"/>
      <c r="N362" s="52"/>
      <c r="O362" s="52"/>
    </row>
    <row r="363">
      <c r="M363" s="52"/>
      <c r="N363" s="52"/>
      <c r="O363" s="52"/>
    </row>
    <row r="364">
      <c r="M364" s="52"/>
      <c r="N364" s="52"/>
      <c r="O364" s="52"/>
    </row>
    <row r="365">
      <c r="M365" s="52"/>
      <c r="N365" s="52"/>
      <c r="O365" s="52"/>
    </row>
    <row r="366">
      <c r="M366" s="52"/>
      <c r="N366" s="52"/>
      <c r="O366" s="52"/>
    </row>
    <row r="367">
      <c r="M367" s="52"/>
      <c r="N367" s="52"/>
      <c r="O367" s="52"/>
    </row>
    <row r="368">
      <c r="M368" s="52"/>
      <c r="N368" s="52"/>
      <c r="O368" s="52"/>
    </row>
    <row r="369">
      <c r="M369" s="52"/>
      <c r="N369" s="52"/>
      <c r="O369" s="52"/>
    </row>
    <row r="370">
      <c r="M370" s="52"/>
      <c r="N370" s="52"/>
      <c r="O370" s="52"/>
    </row>
    <row r="371">
      <c r="M371" s="52"/>
      <c r="N371" s="52"/>
      <c r="O371" s="52"/>
    </row>
    <row r="372">
      <c r="M372" s="52"/>
      <c r="N372" s="52"/>
      <c r="O372" s="52"/>
    </row>
    <row r="373">
      <c r="M373" s="52"/>
      <c r="N373" s="52"/>
      <c r="O373" s="52"/>
    </row>
    <row r="374">
      <c r="M374" s="52"/>
      <c r="N374" s="52"/>
      <c r="O374" s="52"/>
    </row>
    <row r="375">
      <c r="M375" s="52"/>
      <c r="N375" s="52"/>
      <c r="O375" s="52"/>
    </row>
    <row r="376">
      <c r="M376" s="52"/>
      <c r="N376" s="52"/>
      <c r="O376" s="52"/>
    </row>
    <row r="377">
      <c r="M377" s="52"/>
      <c r="N377" s="52"/>
      <c r="O377" s="52"/>
    </row>
    <row r="378">
      <c r="M378" s="52"/>
      <c r="N378" s="52"/>
      <c r="O378" s="52"/>
    </row>
    <row r="379">
      <c r="M379" s="52"/>
      <c r="N379" s="52"/>
      <c r="O379" s="52"/>
    </row>
    <row r="380">
      <c r="M380" s="52"/>
      <c r="N380" s="52"/>
      <c r="O380" s="52"/>
    </row>
    <row r="381">
      <c r="M381" s="52"/>
      <c r="N381" s="52"/>
      <c r="O381" s="52"/>
    </row>
    <row r="382">
      <c r="M382" s="52"/>
      <c r="N382" s="52"/>
      <c r="O382" s="52"/>
    </row>
    <row r="383">
      <c r="M383" s="52"/>
      <c r="N383" s="52"/>
      <c r="O383" s="52"/>
    </row>
    <row r="384">
      <c r="M384" s="52"/>
      <c r="N384" s="52"/>
      <c r="O384" s="52"/>
    </row>
    <row r="385">
      <c r="M385" s="52"/>
      <c r="N385" s="52"/>
      <c r="O385" s="52"/>
    </row>
    <row r="386">
      <c r="M386" s="52"/>
      <c r="N386" s="52"/>
      <c r="O386" s="52"/>
    </row>
    <row r="387">
      <c r="M387" s="52"/>
      <c r="N387" s="52"/>
      <c r="O387" s="52"/>
    </row>
    <row r="388">
      <c r="M388" s="52"/>
      <c r="N388" s="52"/>
      <c r="O388" s="52"/>
    </row>
    <row r="389">
      <c r="M389" s="52"/>
      <c r="N389" s="52"/>
      <c r="O389" s="52"/>
    </row>
    <row r="390">
      <c r="M390" s="52"/>
      <c r="N390" s="52"/>
      <c r="O390" s="52"/>
    </row>
    <row r="391">
      <c r="M391" s="52"/>
      <c r="N391" s="52"/>
      <c r="O391" s="52"/>
    </row>
    <row r="392">
      <c r="M392" s="52"/>
      <c r="N392" s="52"/>
      <c r="O392" s="52"/>
    </row>
    <row r="393">
      <c r="M393" s="52"/>
      <c r="N393" s="52"/>
      <c r="O393" s="52"/>
    </row>
    <row r="394">
      <c r="M394" s="52"/>
      <c r="N394" s="52"/>
      <c r="O394" s="52"/>
    </row>
    <row r="395">
      <c r="M395" s="52"/>
      <c r="N395" s="52"/>
      <c r="O395" s="52"/>
    </row>
    <row r="396">
      <c r="M396" s="52"/>
      <c r="N396" s="52"/>
      <c r="O396" s="52"/>
    </row>
    <row r="397">
      <c r="M397" s="52"/>
      <c r="N397" s="52"/>
      <c r="O397" s="52"/>
    </row>
    <row r="398">
      <c r="M398" s="52"/>
      <c r="N398" s="52"/>
      <c r="O398" s="52"/>
    </row>
    <row r="399">
      <c r="M399" s="52"/>
      <c r="N399" s="52"/>
      <c r="O399" s="52"/>
    </row>
    <row r="400">
      <c r="M400" s="52"/>
      <c r="N400" s="52"/>
      <c r="O400" s="52"/>
    </row>
    <row r="401">
      <c r="M401" s="52"/>
      <c r="N401" s="52"/>
      <c r="O401" s="52"/>
    </row>
    <row r="402">
      <c r="M402" s="52"/>
      <c r="N402" s="52"/>
      <c r="O402" s="52"/>
    </row>
    <row r="403">
      <c r="M403" s="52"/>
      <c r="N403" s="52"/>
      <c r="O403" s="52"/>
    </row>
    <row r="404">
      <c r="M404" s="52"/>
      <c r="N404" s="52"/>
      <c r="O404" s="52"/>
    </row>
    <row r="405">
      <c r="M405" s="52"/>
      <c r="N405" s="52"/>
      <c r="O405" s="52"/>
    </row>
    <row r="406">
      <c r="M406" s="52"/>
      <c r="N406" s="52"/>
      <c r="O406" s="52"/>
    </row>
    <row r="407">
      <c r="M407" s="52"/>
      <c r="N407" s="52"/>
      <c r="O407" s="52"/>
    </row>
    <row r="408">
      <c r="M408" s="52"/>
      <c r="N408" s="52"/>
      <c r="O408" s="52"/>
    </row>
    <row r="409">
      <c r="M409" s="52"/>
      <c r="N409" s="52"/>
      <c r="O409" s="52"/>
    </row>
    <row r="410">
      <c r="M410" s="52"/>
      <c r="N410" s="52"/>
      <c r="O410" s="52"/>
    </row>
    <row r="411">
      <c r="M411" s="52"/>
      <c r="N411" s="52"/>
      <c r="O411" s="52"/>
    </row>
    <row r="412">
      <c r="M412" s="52"/>
      <c r="N412" s="52"/>
      <c r="O412" s="52"/>
    </row>
    <row r="413">
      <c r="M413" s="52"/>
      <c r="N413" s="52"/>
      <c r="O413" s="52"/>
    </row>
    <row r="414">
      <c r="M414" s="52"/>
      <c r="N414" s="52"/>
      <c r="O414" s="52"/>
    </row>
    <row r="415">
      <c r="M415" s="52"/>
      <c r="N415" s="52"/>
      <c r="O415" s="52"/>
    </row>
    <row r="416">
      <c r="M416" s="52"/>
      <c r="N416" s="52"/>
      <c r="O416" s="52"/>
    </row>
    <row r="417">
      <c r="M417" s="52"/>
      <c r="N417" s="52"/>
      <c r="O417" s="52"/>
    </row>
    <row r="418">
      <c r="M418" s="52"/>
      <c r="N418" s="52"/>
      <c r="O418" s="52"/>
    </row>
    <row r="419">
      <c r="M419" s="52"/>
      <c r="N419" s="52"/>
      <c r="O419" s="52"/>
    </row>
    <row r="420">
      <c r="M420" s="52"/>
      <c r="N420" s="52"/>
      <c r="O420" s="52"/>
    </row>
    <row r="421">
      <c r="M421" s="52"/>
      <c r="N421" s="52"/>
      <c r="O421" s="52"/>
    </row>
    <row r="422">
      <c r="M422" s="52"/>
      <c r="N422" s="52"/>
      <c r="O422" s="52"/>
    </row>
    <row r="423">
      <c r="M423" s="52"/>
      <c r="N423" s="52"/>
      <c r="O423" s="52"/>
    </row>
    <row r="424">
      <c r="M424" s="52"/>
      <c r="N424" s="52"/>
      <c r="O424" s="52"/>
    </row>
    <row r="425">
      <c r="M425" s="52"/>
      <c r="N425" s="52"/>
      <c r="O425" s="52"/>
    </row>
    <row r="426">
      <c r="M426" s="52"/>
      <c r="N426" s="52"/>
      <c r="O426" s="52"/>
    </row>
    <row r="427">
      <c r="M427" s="52"/>
      <c r="N427" s="52"/>
      <c r="O427" s="52"/>
    </row>
    <row r="428">
      <c r="M428" s="52"/>
      <c r="N428" s="52"/>
      <c r="O428" s="52"/>
    </row>
    <row r="429">
      <c r="M429" s="52"/>
      <c r="N429" s="52"/>
      <c r="O429" s="52"/>
    </row>
    <row r="430">
      <c r="M430" s="52"/>
      <c r="N430" s="52"/>
      <c r="O430" s="52"/>
    </row>
    <row r="431">
      <c r="M431" s="52"/>
      <c r="N431" s="52"/>
      <c r="O431" s="52"/>
    </row>
    <row r="432">
      <c r="M432" s="52"/>
      <c r="N432" s="52"/>
      <c r="O432" s="52"/>
    </row>
    <row r="433">
      <c r="M433" s="52"/>
      <c r="N433" s="52"/>
      <c r="O433" s="52"/>
    </row>
    <row r="434">
      <c r="M434" s="52"/>
      <c r="N434" s="52"/>
      <c r="O434" s="52"/>
    </row>
    <row r="435">
      <c r="M435" s="52"/>
      <c r="N435" s="52"/>
      <c r="O435" s="52"/>
    </row>
    <row r="436">
      <c r="M436" s="52"/>
      <c r="N436" s="52"/>
      <c r="O436" s="52"/>
    </row>
    <row r="437">
      <c r="M437" s="52"/>
      <c r="N437" s="52"/>
      <c r="O437" s="52"/>
    </row>
    <row r="438">
      <c r="M438" s="52"/>
      <c r="N438" s="52"/>
      <c r="O438" s="52"/>
    </row>
    <row r="439">
      <c r="M439" s="52"/>
      <c r="N439" s="52"/>
      <c r="O439" s="52"/>
    </row>
    <row r="440">
      <c r="M440" s="52"/>
      <c r="N440" s="52"/>
      <c r="O440" s="52"/>
    </row>
    <row r="441">
      <c r="M441" s="52"/>
      <c r="N441" s="52"/>
      <c r="O441" s="52"/>
    </row>
    <row r="442">
      <c r="M442" s="52"/>
      <c r="N442" s="52"/>
      <c r="O442" s="52"/>
    </row>
    <row r="443">
      <c r="M443" s="52"/>
      <c r="N443" s="52"/>
      <c r="O443" s="52"/>
    </row>
    <row r="444">
      <c r="M444" s="52"/>
      <c r="N444" s="52"/>
      <c r="O444" s="52"/>
    </row>
    <row r="445">
      <c r="M445" s="52"/>
      <c r="N445" s="52"/>
      <c r="O445" s="52"/>
    </row>
    <row r="446">
      <c r="M446" s="52"/>
      <c r="N446" s="52"/>
      <c r="O446" s="52"/>
    </row>
    <row r="447">
      <c r="M447" s="52"/>
      <c r="N447" s="52"/>
      <c r="O447" s="52"/>
    </row>
    <row r="448">
      <c r="M448" s="52"/>
      <c r="N448" s="52"/>
      <c r="O448" s="52"/>
    </row>
    <row r="449">
      <c r="M449" s="52"/>
      <c r="N449" s="52"/>
      <c r="O449" s="52"/>
    </row>
    <row r="450">
      <c r="M450" s="52"/>
      <c r="N450" s="52"/>
      <c r="O450" s="52"/>
    </row>
    <row r="451">
      <c r="M451" s="52"/>
      <c r="N451" s="52"/>
      <c r="O451" s="52"/>
    </row>
    <row r="452">
      <c r="M452" s="52"/>
      <c r="N452" s="52"/>
      <c r="O452" s="52"/>
    </row>
    <row r="453">
      <c r="M453" s="52"/>
      <c r="N453" s="52"/>
      <c r="O453" s="52"/>
    </row>
    <row r="454">
      <c r="M454" s="52"/>
      <c r="N454" s="52"/>
      <c r="O454" s="52"/>
    </row>
    <row r="455">
      <c r="M455" s="52"/>
      <c r="N455" s="52"/>
      <c r="O455" s="52"/>
    </row>
    <row r="456">
      <c r="M456" s="52"/>
      <c r="N456" s="52"/>
      <c r="O456" s="52"/>
    </row>
    <row r="457">
      <c r="M457" s="52"/>
      <c r="N457" s="52"/>
      <c r="O457" s="52"/>
    </row>
    <row r="458">
      <c r="M458" s="52"/>
      <c r="N458" s="52"/>
      <c r="O458" s="52"/>
    </row>
    <row r="459">
      <c r="M459" s="52"/>
      <c r="N459" s="52"/>
      <c r="O459" s="52"/>
    </row>
    <row r="460">
      <c r="M460" s="52"/>
      <c r="N460" s="52"/>
      <c r="O460" s="52"/>
    </row>
    <row r="461">
      <c r="M461" s="52"/>
      <c r="N461" s="52"/>
      <c r="O461" s="52"/>
    </row>
    <row r="462">
      <c r="M462" s="52"/>
      <c r="N462" s="52"/>
      <c r="O462" s="52"/>
    </row>
    <row r="463">
      <c r="M463" s="52"/>
      <c r="N463" s="52"/>
      <c r="O463" s="52"/>
    </row>
    <row r="464">
      <c r="M464" s="52"/>
      <c r="N464" s="52"/>
      <c r="O464" s="52"/>
    </row>
    <row r="465">
      <c r="M465" s="52"/>
      <c r="N465" s="52"/>
      <c r="O465" s="52"/>
    </row>
    <row r="466">
      <c r="M466" s="52"/>
      <c r="N466" s="52"/>
      <c r="O466" s="52"/>
    </row>
    <row r="467">
      <c r="M467" s="52"/>
      <c r="N467" s="52"/>
      <c r="O467" s="52"/>
    </row>
    <row r="468">
      <c r="M468" s="52"/>
      <c r="N468" s="52"/>
      <c r="O468" s="52"/>
    </row>
    <row r="469">
      <c r="M469" s="52"/>
      <c r="N469" s="52"/>
      <c r="O469" s="52"/>
    </row>
    <row r="470">
      <c r="M470" s="52"/>
      <c r="N470" s="52"/>
      <c r="O470" s="52"/>
    </row>
    <row r="471">
      <c r="M471" s="52"/>
      <c r="N471" s="52"/>
      <c r="O471" s="52"/>
    </row>
    <row r="472">
      <c r="M472" s="52"/>
      <c r="N472" s="52"/>
      <c r="O472" s="52"/>
    </row>
    <row r="473">
      <c r="M473" s="52"/>
      <c r="N473" s="52"/>
      <c r="O473" s="52"/>
    </row>
    <row r="474">
      <c r="M474" s="52"/>
      <c r="N474" s="52"/>
      <c r="O474" s="52"/>
    </row>
    <row r="475">
      <c r="M475" s="52"/>
      <c r="N475" s="52"/>
      <c r="O475" s="52"/>
    </row>
    <row r="476">
      <c r="M476" s="52"/>
      <c r="N476" s="52"/>
      <c r="O476" s="52"/>
    </row>
    <row r="477">
      <c r="M477" s="52"/>
      <c r="N477" s="52"/>
      <c r="O477" s="52"/>
    </row>
    <row r="478">
      <c r="M478" s="52"/>
      <c r="N478" s="52"/>
      <c r="O478" s="52"/>
    </row>
    <row r="479">
      <c r="M479" s="52"/>
      <c r="N479" s="52"/>
      <c r="O479" s="52"/>
    </row>
    <row r="480">
      <c r="M480" s="52"/>
      <c r="N480" s="52"/>
      <c r="O480" s="52"/>
    </row>
    <row r="481">
      <c r="M481" s="52"/>
      <c r="N481" s="52"/>
      <c r="O481" s="52"/>
    </row>
    <row r="482">
      <c r="M482" s="52"/>
      <c r="N482" s="52"/>
      <c r="O482" s="52"/>
    </row>
    <row r="483">
      <c r="M483" s="52"/>
      <c r="N483" s="52"/>
      <c r="O483" s="52"/>
    </row>
    <row r="484">
      <c r="M484" s="52"/>
      <c r="N484" s="52"/>
      <c r="O484" s="52"/>
    </row>
    <row r="485">
      <c r="M485" s="52"/>
      <c r="N485" s="52"/>
      <c r="O485" s="52"/>
    </row>
    <row r="486">
      <c r="M486" s="52"/>
      <c r="N486" s="52"/>
      <c r="O486" s="52"/>
    </row>
    <row r="487">
      <c r="M487" s="52"/>
      <c r="N487" s="52"/>
      <c r="O487" s="52"/>
    </row>
    <row r="488">
      <c r="M488" s="52"/>
      <c r="N488" s="52"/>
      <c r="O488" s="52"/>
    </row>
    <row r="489">
      <c r="M489" s="52"/>
      <c r="N489" s="52"/>
      <c r="O489" s="52"/>
    </row>
    <row r="490">
      <c r="M490" s="52"/>
      <c r="N490" s="52"/>
      <c r="O490" s="52"/>
    </row>
    <row r="491">
      <c r="M491" s="52"/>
      <c r="N491" s="52"/>
      <c r="O491" s="52"/>
    </row>
    <row r="492">
      <c r="M492" s="52"/>
      <c r="N492" s="52"/>
      <c r="O492" s="52"/>
    </row>
    <row r="493">
      <c r="M493" s="52"/>
      <c r="N493" s="52"/>
      <c r="O493" s="52"/>
    </row>
    <row r="494">
      <c r="M494" s="52"/>
      <c r="N494" s="52"/>
      <c r="O494" s="52"/>
    </row>
    <row r="495">
      <c r="M495" s="52"/>
      <c r="N495" s="52"/>
      <c r="O495" s="52"/>
    </row>
    <row r="496">
      <c r="M496" s="52"/>
      <c r="N496" s="52"/>
      <c r="O496" s="52"/>
    </row>
    <row r="497">
      <c r="M497" s="52"/>
      <c r="N497" s="52"/>
      <c r="O497" s="52"/>
    </row>
    <row r="498">
      <c r="M498" s="52"/>
      <c r="N498" s="52"/>
      <c r="O498" s="52"/>
    </row>
    <row r="499">
      <c r="M499" s="52"/>
      <c r="N499" s="52"/>
      <c r="O499" s="52"/>
    </row>
    <row r="500">
      <c r="M500" s="52"/>
      <c r="N500" s="52"/>
      <c r="O500" s="52"/>
    </row>
    <row r="501">
      <c r="M501" s="52"/>
      <c r="N501" s="52"/>
      <c r="O501" s="52"/>
    </row>
    <row r="502">
      <c r="M502" s="52"/>
      <c r="N502" s="52"/>
      <c r="O502" s="52"/>
    </row>
    <row r="503">
      <c r="M503" s="52"/>
      <c r="N503" s="52"/>
      <c r="O503" s="52"/>
    </row>
    <row r="504">
      <c r="M504" s="52"/>
      <c r="N504" s="52"/>
      <c r="O504" s="52"/>
    </row>
    <row r="505">
      <c r="M505" s="52"/>
      <c r="N505" s="52"/>
      <c r="O505" s="52"/>
    </row>
    <row r="506">
      <c r="M506" s="52"/>
      <c r="N506" s="52"/>
      <c r="O506" s="52"/>
    </row>
    <row r="507">
      <c r="M507" s="52"/>
      <c r="N507" s="52"/>
      <c r="O507" s="52"/>
    </row>
    <row r="508">
      <c r="M508" s="52"/>
      <c r="N508" s="52"/>
      <c r="O508" s="52"/>
    </row>
    <row r="509">
      <c r="M509" s="52"/>
      <c r="N509" s="52"/>
      <c r="O509" s="52"/>
    </row>
    <row r="510">
      <c r="M510" s="52"/>
      <c r="N510" s="52"/>
      <c r="O510" s="52"/>
    </row>
    <row r="511">
      <c r="M511" s="52"/>
      <c r="N511" s="52"/>
      <c r="O511" s="52"/>
    </row>
    <row r="512">
      <c r="M512" s="52"/>
      <c r="N512" s="52"/>
      <c r="O512" s="52"/>
    </row>
    <row r="513">
      <c r="M513" s="52"/>
      <c r="N513" s="52"/>
      <c r="O513" s="52"/>
    </row>
    <row r="514">
      <c r="M514" s="52"/>
      <c r="N514" s="52"/>
      <c r="O514" s="52"/>
    </row>
    <row r="515">
      <c r="M515" s="52"/>
      <c r="N515" s="52"/>
      <c r="O515" s="52"/>
    </row>
    <row r="516">
      <c r="M516" s="52"/>
      <c r="N516" s="52"/>
      <c r="O516" s="52"/>
    </row>
    <row r="517">
      <c r="M517" s="52"/>
      <c r="N517" s="52"/>
      <c r="O517" s="52"/>
    </row>
    <row r="518">
      <c r="M518" s="52"/>
      <c r="N518" s="52"/>
      <c r="O518" s="52"/>
    </row>
    <row r="519">
      <c r="M519" s="52"/>
      <c r="N519" s="52"/>
      <c r="O519" s="52"/>
    </row>
    <row r="520">
      <c r="M520" s="52"/>
      <c r="N520" s="52"/>
      <c r="O520" s="52"/>
    </row>
    <row r="521">
      <c r="M521" s="52"/>
      <c r="N521" s="52"/>
      <c r="O521" s="52"/>
    </row>
    <row r="522">
      <c r="M522" s="52"/>
      <c r="N522" s="52"/>
      <c r="O522" s="52"/>
    </row>
    <row r="523">
      <c r="M523" s="52"/>
      <c r="N523" s="52"/>
      <c r="O523" s="52"/>
    </row>
    <row r="524">
      <c r="M524" s="52"/>
      <c r="N524" s="52"/>
      <c r="O524" s="52"/>
    </row>
    <row r="525">
      <c r="M525" s="52"/>
      <c r="N525" s="52"/>
      <c r="O525" s="52"/>
    </row>
    <row r="526">
      <c r="M526" s="52"/>
      <c r="N526" s="52"/>
      <c r="O526" s="52"/>
    </row>
    <row r="527">
      <c r="M527" s="52"/>
      <c r="N527" s="52"/>
      <c r="O527" s="52"/>
    </row>
    <row r="528">
      <c r="M528" s="52"/>
      <c r="N528" s="52"/>
      <c r="O528" s="52"/>
    </row>
    <row r="529">
      <c r="M529" s="52"/>
      <c r="N529" s="52"/>
      <c r="O529" s="52"/>
    </row>
    <row r="530">
      <c r="M530" s="52"/>
      <c r="N530" s="52"/>
      <c r="O530" s="52"/>
    </row>
    <row r="531">
      <c r="M531" s="52"/>
      <c r="N531" s="52"/>
      <c r="O531" s="52"/>
    </row>
    <row r="532">
      <c r="M532" s="52"/>
      <c r="N532" s="52"/>
      <c r="O532" s="52"/>
    </row>
    <row r="533">
      <c r="M533" s="52"/>
      <c r="N533" s="52"/>
      <c r="O533" s="52"/>
    </row>
    <row r="534">
      <c r="M534" s="52"/>
      <c r="N534" s="52"/>
      <c r="O534" s="52"/>
    </row>
    <row r="535">
      <c r="M535" s="52"/>
      <c r="N535" s="52"/>
      <c r="O535" s="52"/>
    </row>
    <row r="536">
      <c r="M536" s="52"/>
      <c r="N536" s="52"/>
      <c r="O536" s="52"/>
    </row>
    <row r="537">
      <c r="M537" s="52"/>
      <c r="N537" s="52"/>
      <c r="O537" s="52"/>
    </row>
    <row r="538">
      <c r="M538" s="52"/>
      <c r="N538" s="52"/>
      <c r="O538" s="52"/>
    </row>
    <row r="539">
      <c r="M539" s="52"/>
      <c r="N539" s="52"/>
      <c r="O539" s="52"/>
    </row>
    <row r="540">
      <c r="M540" s="52"/>
      <c r="N540" s="52"/>
      <c r="O540" s="52"/>
    </row>
    <row r="541">
      <c r="M541" s="52"/>
      <c r="N541" s="52"/>
      <c r="O541" s="52"/>
    </row>
    <row r="542">
      <c r="M542" s="52"/>
      <c r="N542" s="52"/>
      <c r="O542" s="52"/>
    </row>
    <row r="543">
      <c r="M543" s="52"/>
      <c r="N543" s="52"/>
      <c r="O543" s="52"/>
    </row>
    <row r="544">
      <c r="M544" s="52"/>
      <c r="N544" s="52"/>
      <c r="O544" s="52"/>
    </row>
    <row r="545">
      <c r="M545" s="52"/>
      <c r="N545" s="52"/>
      <c r="O545" s="52"/>
    </row>
    <row r="546">
      <c r="M546" s="52"/>
      <c r="N546" s="52"/>
      <c r="O546" s="52"/>
    </row>
    <row r="547">
      <c r="M547" s="52"/>
      <c r="N547" s="52"/>
      <c r="O547" s="52"/>
    </row>
    <row r="548">
      <c r="M548" s="52"/>
      <c r="N548" s="52"/>
      <c r="O548" s="52"/>
    </row>
    <row r="549">
      <c r="M549" s="52"/>
      <c r="N549" s="52"/>
      <c r="O549" s="52"/>
    </row>
    <row r="550">
      <c r="M550" s="52"/>
      <c r="N550" s="52"/>
      <c r="O550" s="52"/>
    </row>
    <row r="551">
      <c r="M551" s="52"/>
      <c r="N551" s="52"/>
      <c r="O551" s="52"/>
    </row>
    <row r="552">
      <c r="M552" s="52"/>
      <c r="N552" s="52"/>
      <c r="O552" s="52"/>
    </row>
    <row r="553">
      <c r="M553" s="52"/>
      <c r="N553" s="52"/>
      <c r="O553" s="52"/>
    </row>
    <row r="554">
      <c r="M554" s="52"/>
      <c r="N554" s="52"/>
      <c r="O554" s="52"/>
    </row>
    <row r="555">
      <c r="M555" s="52"/>
      <c r="N555" s="52"/>
      <c r="O555" s="52"/>
    </row>
    <row r="556">
      <c r="M556" s="52"/>
      <c r="N556" s="52"/>
      <c r="O556" s="52"/>
    </row>
    <row r="557">
      <c r="M557" s="52"/>
      <c r="N557" s="52"/>
      <c r="O557" s="52"/>
    </row>
    <row r="558">
      <c r="M558" s="52"/>
      <c r="N558" s="52"/>
      <c r="O558" s="52"/>
    </row>
    <row r="559">
      <c r="M559" s="52"/>
      <c r="N559" s="52"/>
      <c r="O559" s="52"/>
    </row>
    <row r="560">
      <c r="M560" s="52"/>
      <c r="N560" s="52"/>
      <c r="O560" s="52"/>
    </row>
    <row r="561">
      <c r="M561" s="52"/>
      <c r="N561" s="52"/>
      <c r="O561" s="52"/>
    </row>
    <row r="562">
      <c r="M562" s="52"/>
      <c r="N562" s="52"/>
      <c r="O562" s="52"/>
    </row>
    <row r="563">
      <c r="M563" s="52"/>
      <c r="N563" s="52"/>
      <c r="O563" s="52"/>
    </row>
    <row r="564">
      <c r="M564" s="52"/>
      <c r="N564" s="52"/>
      <c r="O564" s="52"/>
    </row>
    <row r="565">
      <c r="M565" s="52"/>
      <c r="N565" s="52"/>
      <c r="O565" s="52"/>
    </row>
    <row r="566">
      <c r="M566" s="52"/>
      <c r="N566" s="52"/>
      <c r="O566" s="52"/>
    </row>
    <row r="567">
      <c r="M567" s="52"/>
      <c r="N567" s="52"/>
      <c r="O567" s="52"/>
    </row>
    <row r="568">
      <c r="M568" s="52"/>
      <c r="N568" s="52"/>
      <c r="O568" s="52"/>
    </row>
    <row r="569">
      <c r="M569" s="52"/>
      <c r="N569" s="52"/>
      <c r="O569" s="52"/>
    </row>
    <row r="570">
      <c r="M570" s="52"/>
      <c r="N570" s="52"/>
      <c r="O570" s="52"/>
    </row>
    <row r="571">
      <c r="M571" s="52"/>
      <c r="N571" s="52"/>
      <c r="O571" s="52"/>
    </row>
    <row r="572">
      <c r="M572" s="52"/>
      <c r="N572" s="52"/>
      <c r="O572" s="52"/>
    </row>
    <row r="573">
      <c r="M573" s="52"/>
      <c r="N573" s="52"/>
      <c r="O573" s="52"/>
    </row>
    <row r="574">
      <c r="M574" s="52"/>
      <c r="N574" s="52"/>
      <c r="O574" s="52"/>
    </row>
    <row r="575">
      <c r="M575" s="52"/>
      <c r="N575" s="52"/>
      <c r="O575" s="52"/>
    </row>
    <row r="576">
      <c r="M576" s="52"/>
      <c r="N576" s="52"/>
      <c r="O576" s="52"/>
    </row>
    <row r="577">
      <c r="M577" s="52"/>
      <c r="N577" s="52"/>
      <c r="O577" s="52"/>
    </row>
    <row r="578">
      <c r="M578" s="52"/>
      <c r="N578" s="52"/>
      <c r="O578" s="52"/>
    </row>
    <row r="579">
      <c r="M579" s="52"/>
      <c r="N579" s="52"/>
      <c r="O579" s="52"/>
    </row>
    <row r="580">
      <c r="M580" s="52"/>
      <c r="N580" s="52"/>
      <c r="O580" s="52"/>
    </row>
    <row r="581">
      <c r="M581" s="52"/>
      <c r="N581" s="52"/>
      <c r="O581" s="52"/>
    </row>
    <row r="582">
      <c r="M582" s="52"/>
      <c r="N582" s="52"/>
      <c r="O582" s="52"/>
    </row>
    <row r="583">
      <c r="M583" s="52"/>
      <c r="N583" s="52"/>
      <c r="O583" s="52"/>
    </row>
    <row r="584">
      <c r="M584" s="52"/>
      <c r="N584" s="52"/>
      <c r="O584" s="52"/>
    </row>
    <row r="585">
      <c r="M585" s="52"/>
      <c r="N585" s="52"/>
      <c r="O585" s="52"/>
    </row>
    <row r="586">
      <c r="M586" s="52"/>
      <c r="N586" s="52"/>
      <c r="O586" s="52"/>
    </row>
    <row r="587">
      <c r="M587" s="52"/>
      <c r="N587" s="52"/>
      <c r="O587" s="52"/>
    </row>
    <row r="588">
      <c r="M588" s="52"/>
      <c r="N588" s="52"/>
      <c r="O588" s="52"/>
    </row>
    <row r="589">
      <c r="M589" s="52"/>
      <c r="N589" s="52"/>
      <c r="O589" s="52"/>
    </row>
    <row r="590">
      <c r="M590" s="52"/>
      <c r="N590" s="52"/>
      <c r="O590" s="52"/>
    </row>
    <row r="591">
      <c r="M591" s="52"/>
      <c r="N591" s="52"/>
      <c r="O591" s="52"/>
    </row>
    <row r="592">
      <c r="M592" s="52"/>
      <c r="N592" s="52"/>
      <c r="O592" s="52"/>
    </row>
    <row r="593">
      <c r="M593" s="52"/>
      <c r="N593" s="52"/>
      <c r="O593" s="52"/>
    </row>
    <row r="594">
      <c r="M594" s="52"/>
      <c r="N594" s="52"/>
      <c r="O594" s="52"/>
    </row>
    <row r="595">
      <c r="M595" s="52"/>
      <c r="N595" s="52"/>
      <c r="O595" s="52"/>
    </row>
    <row r="596">
      <c r="M596" s="52"/>
      <c r="N596" s="52"/>
      <c r="O596" s="52"/>
    </row>
    <row r="597">
      <c r="M597" s="52"/>
      <c r="N597" s="52"/>
      <c r="O597" s="52"/>
    </row>
    <row r="598">
      <c r="M598" s="52"/>
      <c r="N598" s="52"/>
      <c r="O598" s="52"/>
    </row>
    <row r="599">
      <c r="M599" s="52"/>
      <c r="N599" s="52"/>
      <c r="O599" s="52"/>
    </row>
    <row r="600">
      <c r="M600" s="52"/>
      <c r="N600" s="52"/>
      <c r="O600" s="52"/>
    </row>
    <row r="601">
      <c r="M601" s="52"/>
      <c r="N601" s="52"/>
      <c r="O601" s="52"/>
    </row>
    <row r="602">
      <c r="M602" s="52"/>
      <c r="N602" s="52"/>
      <c r="O602" s="52"/>
    </row>
    <row r="603">
      <c r="M603" s="52"/>
      <c r="N603" s="52"/>
      <c r="O603" s="52"/>
    </row>
    <row r="604">
      <c r="M604" s="52"/>
      <c r="N604" s="52"/>
      <c r="O604" s="52"/>
    </row>
    <row r="605">
      <c r="M605" s="52"/>
      <c r="N605" s="52"/>
      <c r="O605" s="52"/>
    </row>
    <row r="606">
      <c r="M606" s="52"/>
      <c r="N606" s="52"/>
      <c r="O606" s="52"/>
    </row>
    <row r="607">
      <c r="M607" s="52"/>
      <c r="N607" s="52"/>
      <c r="O607" s="52"/>
    </row>
    <row r="608">
      <c r="M608" s="52"/>
      <c r="N608" s="52"/>
      <c r="O608" s="52"/>
    </row>
    <row r="609">
      <c r="M609" s="52"/>
      <c r="N609" s="52"/>
      <c r="O609" s="52"/>
    </row>
    <row r="610">
      <c r="M610" s="52"/>
      <c r="N610" s="52"/>
      <c r="O610" s="52"/>
    </row>
    <row r="611">
      <c r="M611" s="52"/>
      <c r="N611" s="52"/>
      <c r="O611" s="52"/>
    </row>
    <row r="612">
      <c r="M612" s="52"/>
      <c r="N612" s="52"/>
      <c r="O612" s="52"/>
    </row>
    <row r="613">
      <c r="M613" s="52"/>
      <c r="N613" s="52"/>
      <c r="O613" s="52"/>
    </row>
    <row r="614">
      <c r="M614" s="52"/>
      <c r="N614" s="52"/>
      <c r="O614" s="52"/>
    </row>
    <row r="615">
      <c r="M615" s="52"/>
      <c r="N615" s="52"/>
      <c r="O615" s="52"/>
    </row>
    <row r="616">
      <c r="M616" s="52"/>
      <c r="N616" s="52"/>
      <c r="O616" s="52"/>
    </row>
    <row r="617">
      <c r="M617" s="52"/>
      <c r="N617" s="52"/>
      <c r="O617" s="52"/>
    </row>
    <row r="618">
      <c r="M618" s="52"/>
      <c r="N618" s="52"/>
      <c r="O618" s="52"/>
    </row>
    <row r="619">
      <c r="M619" s="52"/>
      <c r="N619" s="52"/>
      <c r="O619" s="52"/>
    </row>
    <row r="620">
      <c r="M620" s="52"/>
      <c r="N620" s="52"/>
      <c r="O620" s="52"/>
    </row>
    <row r="621">
      <c r="M621" s="52"/>
      <c r="N621" s="52"/>
      <c r="O621" s="52"/>
    </row>
    <row r="622">
      <c r="M622" s="52"/>
      <c r="N622" s="52"/>
      <c r="O622" s="52"/>
    </row>
    <row r="623">
      <c r="M623" s="52"/>
      <c r="N623" s="52"/>
      <c r="O623" s="52"/>
    </row>
    <row r="624">
      <c r="M624" s="52"/>
      <c r="N624" s="52"/>
      <c r="O624" s="52"/>
    </row>
    <row r="625">
      <c r="M625" s="52"/>
      <c r="N625" s="52"/>
      <c r="O625" s="52"/>
    </row>
    <row r="626">
      <c r="M626" s="52"/>
      <c r="N626" s="52"/>
      <c r="O626" s="52"/>
    </row>
    <row r="627">
      <c r="M627" s="52"/>
      <c r="N627" s="52"/>
      <c r="O627" s="52"/>
    </row>
    <row r="628">
      <c r="M628" s="52"/>
      <c r="N628" s="52"/>
      <c r="O628" s="52"/>
    </row>
    <row r="629">
      <c r="M629" s="52"/>
      <c r="N629" s="52"/>
      <c r="O629" s="52"/>
    </row>
    <row r="630">
      <c r="M630" s="52"/>
      <c r="N630" s="52"/>
      <c r="O630" s="52"/>
    </row>
    <row r="631">
      <c r="M631" s="52"/>
      <c r="N631" s="52"/>
      <c r="O631" s="52"/>
    </row>
    <row r="632">
      <c r="M632" s="52"/>
      <c r="N632" s="52"/>
      <c r="O632" s="52"/>
    </row>
    <row r="633">
      <c r="M633" s="52"/>
      <c r="N633" s="52"/>
      <c r="O633" s="52"/>
    </row>
    <row r="634">
      <c r="M634" s="52"/>
      <c r="N634" s="52"/>
      <c r="O634" s="52"/>
    </row>
    <row r="635">
      <c r="M635" s="52"/>
      <c r="N635" s="52"/>
      <c r="O635" s="52"/>
    </row>
    <row r="636">
      <c r="M636" s="52"/>
      <c r="N636" s="52"/>
      <c r="O636" s="52"/>
    </row>
    <row r="637">
      <c r="M637" s="52"/>
      <c r="N637" s="52"/>
      <c r="O637" s="52"/>
    </row>
    <row r="638">
      <c r="M638" s="52"/>
      <c r="N638" s="52"/>
      <c r="O638" s="52"/>
    </row>
    <row r="639">
      <c r="M639" s="52"/>
      <c r="N639" s="52"/>
      <c r="O639" s="52"/>
    </row>
    <row r="640">
      <c r="M640" s="52"/>
      <c r="N640" s="52"/>
      <c r="O640" s="52"/>
    </row>
    <row r="641">
      <c r="M641" s="52"/>
      <c r="N641" s="52"/>
      <c r="O641" s="52"/>
    </row>
    <row r="642">
      <c r="M642" s="52"/>
      <c r="N642" s="52"/>
      <c r="O642" s="52"/>
    </row>
    <row r="643">
      <c r="M643" s="52"/>
      <c r="N643" s="52"/>
      <c r="O643" s="52"/>
    </row>
    <row r="644">
      <c r="M644" s="52"/>
      <c r="N644" s="52"/>
      <c r="O644" s="52"/>
    </row>
    <row r="645">
      <c r="M645" s="52"/>
      <c r="N645" s="52"/>
      <c r="O645" s="52"/>
    </row>
    <row r="646">
      <c r="M646" s="52"/>
      <c r="N646" s="52"/>
      <c r="O646" s="52"/>
    </row>
    <row r="647">
      <c r="M647" s="52"/>
      <c r="N647" s="52"/>
      <c r="O647" s="52"/>
    </row>
    <row r="648">
      <c r="M648" s="52"/>
      <c r="N648" s="52"/>
      <c r="O648" s="52"/>
    </row>
    <row r="649">
      <c r="M649" s="52"/>
      <c r="N649" s="52"/>
      <c r="O649" s="52"/>
    </row>
    <row r="650">
      <c r="M650" s="52"/>
      <c r="N650" s="52"/>
      <c r="O650" s="52"/>
    </row>
    <row r="651">
      <c r="M651" s="52"/>
      <c r="N651" s="52"/>
      <c r="O651" s="52"/>
    </row>
    <row r="652">
      <c r="M652" s="52"/>
      <c r="N652" s="52"/>
      <c r="O652" s="52"/>
    </row>
    <row r="653">
      <c r="M653" s="52"/>
      <c r="N653" s="52"/>
      <c r="O653" s="52"/>
    </row>
    <row r="654">
      <c r="M654" s="52"/>
      <c r="N654" s="52"/>
      <c r="O654" s="52"/>
    </row>
    <row r="655">
      <c r="M655" s="52"/>
      <c r="N655" s="52"/>
      <c r="O655" s="52"/>
    </row>
    <row r="656">
      <c r="M656" s="52"/>
      <c r="N656" s="52"/>
      <c r="O656" s="52"/>
    </row>
    <row r="657">
      <c r="M657" s="52"/>
      <c r="N657" s="52"/>
      <c r="O657" s="52"/>
    </row>
    <row r="658">
      <c r="M658" s="52"/>
      <c r="N658" s="52"/>
      <c r="O658" s="52"/>
    </row>
    <row r="659">
      <c r="M659" s="52"/>
      <c r="N659" s="52"/>
      <c r="O659" s="52"/>
    </row>
    <row r="660">
      <c r="M660" s="52"/>
      <c r="N660" s="52"/>
      <c r="O660" s="52"/>
    </row>
    <row r="661">
      <c r="M661" s="52"/>
      <c r="N661" s="52"/>
      <c r="O661" s="52"/>
    </row>
    <row r="662">
      <c r="M662" s="52"/>
      <c r="N662" s="52"/>
      <c r="O662" s="52"/>
    </row>
    <row r="663">
      <c r="M663" s="52"/>
      <c r="N663" s="52"/>
      <c r="O663" s="52"/>
    </row>
    <row r="664">
      <c r="M664" s="52"/>
      <c r="N664" s="52"/>
      <c r="O664" s="52"/>
    </row>
    <row r="665">
      <c r="M665" s="52"/>
      <c r="N665" s="52"/>
      <c r="O665" s="52"/>
    </row>
    <row r="666">
      <c r="M666" s="52"/>
      <c r="N666" s="52"/>
      <c r="O666" s="52"/>
    </row>
    <row r="667">
      <c r="M667" s="52"/>
      <c r="N667" s="52"/>
      <c r="O667" s="52"/>
    </row>
    <row r="668">
      <c r="M668" s="52"/>
      <c r="N668" s="52"/>
      <c r="O668" s="52"/>
    </row>
    <row r="669">
      <c r="M669" s="52"/>
      <c r="N669" s="52"/>
      <c r="O669" s="52"/>
    </row>
    <row r="670">
      <c r="M670" s="52"/>
      <c r="N670" s="52"/>
      <c r="O670" s="52"/>
    </row>
    <row r="671">
      <c r="M671" s="52"/>
      <c r="N671" s="52"/>
      <c r="O671" s="52"/>
    </row>
    <row r="672">
      <c r="M672" s="52"/>
      <c r="N672" s="52"/>
      <c r="O672" s="52"/>
    </row>
    <row r="673">
      <c r="M673" s="52"/>
      <c r="N673" s="52"/>
      <c r="O673" s="52"/>
    </row>
    <row r="674">
      <c r="M674" s="52"/>
      <c r="N674" s="52"/>
      <c r="O674" s="52"/>
    </row>
    <row r="675">
      <c r="M675" s="52"/>
      <c r="N675" s="52"/>
      <c r="O675" s="52"/>
    </row>
    <row r="676">
      <c r="M676" s="52"/>
      <c r="N676" s="52"/>
      <c r="O676" s="52"/>
    </row>
    <row r="677">
      <c r="M677" s="52"/>
      <c r="N677" s="52"/>
      <c r="O677" s="52"/>
    </row>
    <row r="678">
      <c r="M678" s="52"/>
      <c r="N678" s="52"/>
      <c r="O678" s="52"/>
    </row>
    <row r="679">
      <c r="M679" s="52"/>
      <c r="N679" s="52"/>
      <c r="O679" s="52"/>
    </row>
    <row r="680">
      <c r="M680" s="52"/>
      <c r="N680" s="52"/>
      <c r="O680" s="52"/>
    </row>
    <row r="681">
      <c r="M681" s="52"/>
      <c r="N681" s="52"/>
      <c r="O681" s="52"/>
    </row>
    <row r="682">
      <c r="M682" s="52"/>
      <c r="N682" s="52"/>
      <c r="O682" s="52"/>
    </row>
    <row r="683">
      <c r="M683" s="52"/>
      <c r="N683" s="52"/>
      <c r="O683" s="52"/>
    </row>
    <row r="684">
      <c r="M684" s="52"/>
      <c r="N684" s="52"/>
      <c r="O684" s="52"/>
    </row>
    <row r="685">
      <c r="M685" s="52"/>
      <c r="N685" s="52"/>
      <c r="O685" s="52"/>
    </row>
    <row r="686">
      <c r="M686" s="52"/>
      <c r="N686" s="52"/>
      <c r="O686" s="52"/>
    </row>
    <row r="687">
      <c r="M687" s="52"/>
      <c r="N687" s="52"/>
      <c r="O687" s="52"/>
    </row>
    <row r="688">
      <c r="M688" s="52"/>
      <c r="N688" s="52"/>
      <c r="O688" s="52"/>
    </row>
    <row r="689">
      <c r="M689" s="52"/>
      <c r="N689" s="52"/>
      <c r="O689" s="52"/>
    </row>
    <row r="690">
      <c r="M690" s="52"/>
      <c r="N690" s="52"/>
      <c r="O690" s="52"/>
    </row>
    <row r="691">
      <c r="M691" s="52"/>
      <c r="N691" s="52"/>
      <c r="O691" s="52"/>
    </row>
    <row r="692">
      <c r="M692" s="52"/>
      <c r="N692" s="52"/>
      <c r="O692" s="52"/>
    </row>
    <row r="693">
      <c r="M693" s="52"/>
      <c r="N693" s="52"/>
      <c r="O693" s="52"/>
    </row>
    <row r="694">
      <c r="M694" s="52"/>
      <c r="N694" s="52"/>
      <c r="O694" s="52"/>
    </row>
    <row r="695">
      <c r="M695" s="52"/>
      <c r="N695" s="52"/>
      <c r="O695" s="52"/>
    </row>
    <row r="696">
      <c r="M696" s="52"/>
      <c r="N696" s="52"/>
      <c r="O696" s="52"/>
    </row>
    <row r="697">
      <c r="M697" s="52"/>
      <c r="N697" s="52"/>
      <c r="O697" s="52"/>
    </row>
    <row r="698">
      <c r="M698" s="52"/>
      <c r="N698" s="52"/>
      <c r="O698" s="52"/>
    </row>
    <row r="699">
      <c r="M699" s="52"/>
      <c r="N699" s="52"/>
      <c r="O699" s="52"/>
    </row>
    <row r="700">
      <c r="M700" s="52"/>
      <c r="N700" s="52"/>
      <c r="O700" s="52"/>
    </row>
    <row r="701">
      <c r="M701" s="52"/>
      <c r="N701" s="52"/>
      <c r="O701" s="52"/>
    </row>
    <row r="702">
      <c r="M702" s="52"/>
      <c r="N702" s="52"/>
      <c r="O702" s="52"/>
    </row>
    <row r="703">
      <c r="M703" s="52"/>
      <c r="N703" s="52"/>
      <c r="O703" s="52"/>
    </row>
    <row r="704">
      <c r="M704" s="52"/>
      <c r="N704" s="52"/>
      <c r="O704" s="52"/>
    </row>
    <row r="705">
      <c r="M705" s="52"/>
      <c r="N705" s="52"/>
      <c r="O705" s="52"/>
    </row>
    <row r="706">
      <c r="M706" s="52"/>
      <c r="N706" s="52"/>
      <c r="O706" s="52"/>
    </row>
    <row r="707">
      <c r="M707" s="52"/>
      <c r="N707" s="52"/>
      <c r="O707" s="52"/>
    </row>
    <row r="708">
      <c r="M708" s="52"/>
      <c r="N708" s="52"/>
      <c r="O708" s="52"/>
    </row>
    <row r="709">
      <c r="M709" s="52"/>
      <c r="N709" s="52"/>
      <c r="O709" s="52"/>
    </row>
    <row r="710">
      <c r="M710" s="52"/>
      <c r="N710" s="52"/>
      <c r="O710" s="52"/>
    </row>
    <row r="711">
      <c r="M711" s="52"/>
      <c r="N711" s="52"/>
      <c r="O711" s="52"/>
    </row>
    <row r="712">
      <c r="M712" s="52"/>
      <c r="N712" s="52"/>
      <c r="O712" s="52"/>
    </row>
    <row r="713">
      <c r="M713" s="52"/>
      <c r="N713" s="52"/>
      <c r="O713" s="52"/>
    </row>
    <row r="714">
      <c r="M714" s="52"/>
      <c r="N714" s="52"/>
      <c r="O714" s="52"/>
    </row>
    <row r="715">
      <c r="M715" s="52"/>
      <c r="N715" s="52"/>
      <c r="O715" s="52"/>
    </row>
    <row r="716">
      <c r="M716" s="52"/>
      <c r="N716" s="52"/>
      <c r="O716" s="52"/>
    </row>
    <row r="717">
      <c r="M717" s="52"/>
      <c r="N717" s="52"/>
      <c r="O717" s="52"/>
    </row>
    <row r="718">
      <c r="M718" s="52"/>
      <c r="N718" s="52"/>
      <c r="O718" s="52"/>
    </row>
    <row r="719">
      <c r="M719" s="52"/>
      <c r="N719" s="52"/>
      <c r="O719" s="52"/>
    </row>
    <row r="720">
      <c r="M720" s="52"/>
      <c r="N720" s="52"/>
      <c r="O720" s="52"/>
    </row>
    <row r="721">
      <c r="M721" s="52"/>
      <c r="N721" s="52"/>
      <c r="O721" s="52"/>
    </row>
    <row r="722">
      <c r="M722" s="52"/>
      <c r="N722" s="52"/>
      <c r="O722" s="52"/>
    </row>
    <row r="723">
      <c r="M723" s="52"/>
      <c r="N723" s="52"/>
      <c r="O723" s="52"/>
    </row>
    <row r="724">
      <c r="M724" s="52"/>
      <c r="N724" s="52"/>
      <c r="O724" s="52"/>
    </row>
    <row r="725">
      <c r="M725" s="52"/>
      <c r="N725" s="52"/>
      <c r="O725" s="52"/>
    </row>
    <row r="726">
      <c r="M726" s="52"/>
      <c r="N726" s="52"/>
      <c r="O726" s="52"/>
    </row>
    <row r="727">
      <c r="M727" s="52"/>
      <c r="N727" s="52"/>
      <c r="O727" s="52"/>
    </row>
    <row r="728">
      <c r="M728" s="52"/>
      <c r="N728" s="52"/>
      <c r="O728" s="52"/>
    </row>
    <row r="729">
      <c r="M729" s="52"/>
      <c r="N729" s="52"/>
      <c r="O729" s="52"/>
    </row>
    <row r="730">
      <c r="M730" s="52"/>
      <c r="N730" s="52"/>
      <c r="O730" s="52"/>
    </row>
    <row r="731">
      <c r="M731" s="52"/>
      <c r="N731" s="52"/>
      <c r="O731" s="52"/>
    </row>
    <row r="732">
      <c r="M732" s="52"/>
      <c r="N732" s="52"/>
      <c r="O732" s="52"/>
    </row>
    <row r="733">
      <c r="M733" s="52"/>
      <c r="N733" s="52"/>
      <c r="O733" s="52"/>
    </row>
    <row r="734">
      <c r="M734" s="52"/>
      <c r="N734" s="52"/>
      <c r="O734" s="52"/>
    </row>
    <row r="735">
      <c r="M735" s="52"/>
      <c r="N735" s="52"/>
      <c r="O735" s="52"/>
    </row>
    <row r="736">
      <c r="M736" s="52"/>
      <c r="N736" s="52"/>
      <c r="O736" s="52"/>
    </row>
    <row r="737">
      <c r="M737" s="52"/>
      <c r="N737" s="52"/>
      <c r="O737" s="52"/>
    </row>
    <row r="738">
      <c r="M738" s="52"/>
      <c r="N738" s="52"/>
      <c r="O738" s="52"/>
    </row>
    <row r="739">
      <c r="M739" s="52"/>
      <c r="N739" s="52"/>
      <c r="O739" s="52"/>
    </row>
    <row r="740">
      <c r="M740" s="52"/>
      <c r="N740" s="52"/>
      <c r="O740" s="52"/>
    </row>
    <row r="741">
      <c r="M741" s="52"/>
      <c r="N741" s="52"/>
      <c r="O741" s="52"/>
    </row>
    <row r="742">
      <c r="M742" s="52"/>
      <c r="N742" s="52"/>
      <c r="O742" s="52"/>
    </row>
    <row r="743">
      <c r="M743" s="52"/>
      <c r="N743" s="52"/>
      <c r="O743" s="52"/>
    </row>
    <row r="744">
      <c r="M744" s="52"/>
      <c r="N744" s="52"/>
      <c r="O744" s="52"/>
    </row>
    <row r="745">
      <c r="M745" s="52"/>
      <c r="N745" s="52"/>
      <c r="O745" s="52"/>
    </row>
    <row r="746">
      <c r="M746" s="52"/>
      <c r="N746" s="52"/>
      <c r="O746" s="52"/>
    </row>
    <row r="747">
      <c r="M747" s="52"/>
      <c r="N747" s="52"/>
      <c r="O747" s="52"/>
    </row>
    <row r="748">
      <c r="M748" s="52"/>
      <c r="N748" s="52"/>
      <c r="O748" s="52"/>
    </row>
    <row r="749">
      <c r="M749" s="52"/>
      <c r="N749" s="52"/>
      <c r="O749" s="52"/>
    </row>
    <row r="750">
      <c r="M750" s="52"/>
      <c r="N750" s="52"/>
      <c r="O750" s="52"/>
    </row>
    <row r="751">
      <c r="M751" s="52"/>
      <c r="N751" s="52"/>
      <c r="O751" s="52"/>
    </row>
    <row r="752">
      <c r="M752" s="52"/>
      <c r="N752" s="52"/>
      <c r="O752" s="52"/>
    </row>
    <row r="753">
      <c r="M753" s="52"/>
      <c r="N753" s="52"/>
      <c r="O753" s="52"/>
    </row>
    <row r="754">
      <c r="M754" s="52"/>
      <c r="N754" s="52"/>
      <c r="O754" s="52"/>
    </row>
    <row r="755">
      <c r="M755" s="52"/>
      <c r="N755" s="52"/>
      <c r="O755" s="52"/>
    </row>
    <row r="756">
      <c r="M756" s="52"/>
      <c r="N756" s="52"/>
      <c r="O756" s="52"/>
    </row>
    <row r="757">
      <c r="M757" s="52"/>
      <c r="N757" s="52"/>
      <c r="O757" s="52"/>
    </row>
    <row r="758">
      <c r="M758" s="52"/>
      <c r="N758" s="52"/>
      <c r="O758" s="52"/>
    </row>
    <row r="759">
      <c r="M759" s="52"/>
      <c r="N759" s="52"/>
      <c r="O759" s="52"/>
    </row>
    <row r="760">
      <c r="M760" s="52"/>
      <c r="N760" s="52"/>
      <c r="O760" s="52"/>
    </row>
    <row r="761">
      <c r="M761" s="52"/>
      <c r="N761" s="52"/>
      <c r="O761" s="52"/>
    </row>
    <row r="762">
      <c r="M762" s="52"/>
      <c r="N762" s="52"/>
      <c r="O762" s="52"/>
    </row>
    <row r="763">
      <c r="M763" s="52"/>
      <c r="N763" s="52"/>
      <c r="O763" s="52"/>
    </row>
    <row r="764">
      <c r="M764" s="52"/>
      <c r="N764" s="52"/>
      <c r="O764" s="52"/>
    </row>
    <row r="765">
      <c r="M765" s="52"/>
      <c r="N765" s="52"/>
      <c r="O765" s="52"/>
    </row>
    <row r="766">
      <c r="M766" s="52"/>
      <c r="N766" s="52"/>
      <c r="O766" s="52"/>
    </row>
    <row r="767">
      <c r="M767" s="52"/>
      <c r="N767" s="52"/>
      <c r="O767" s="52"/>
    </row>
    <row r="768">
      <c r="M768" s="52"/>
      <c r="N768" s="52"/>
      <c r="O768" s="52"/>
    </row>
    <row r="769">
      <c r="M769" s="52"/>
      <c r="N769" s="52"/>
      <c r="O769" s="52"/>
    </row>
    <row r="770">
      <c r="M770" s="52"/>
      <c r="N770" s="52"/>
      <c r="O770" s="52"/>
    </row>
    <row r="771">
      <c r="M771" s="52"/>
      <c r="N771" s="52"/>
      <c r="O771" s="52"/>
    </row>
    <row r="772">
      <c r="M772" s="52"/>
      <c r="N772" s="52"/>
      <c r="O772" s="52"/>
    </row>
    <row r="773">
      <c r="M773" s="52"/>
      <c r="N773" s="52"/>
      <c r="O773" s="52"/>
    </row>
    <row r="774">
      <c r="M774" s="52"/>
      <c r="N774" s="52"/>
      <c r="O774" s="52"/>
    </row>
    <row r="775">
      <c r="M775" s="52"/>
      <c r="N775" s="52"/>
      <c r="O775" s="52"/>
    </row>
    <row r="776">
      <c r="M776" s="52"/>
      <c r="N776" s="52"/>
      <c r="O776" s="52"/>
    </row>
    <row r="777">
      <c r="M777" s="52"/>
      <c r="N777" s="52"/>
      <c r="O777" s="52"/>
    </row>
    <row r="778">
      <c r="M778" s="52"/>
      <c r="N778" s="52"/>
      <c r="O778" s="52"/>
    </row>
    <row r="779">
      <c r="M779" s="52"/>
      <c r="N779" s="52"/>
      <c r="O779" s="52"/>
    </row>
    <row r="780">
      <c r="M780" s="52"/>
      <c r="N780" s="52"/>
      <c r="O780" s="52"/>
    </row>
    <row r="781">
      <c r="M781" s="52"/>
      <c r="N781" s="52"/>
      <c r="O781" s="52"/>
    </row>
    <row r="782">
      <c r="M782" s="52"/>
      <c r="N782" s="52"/>
      <c r="O782" s="52"/>
    </row>
    <row r="783">
      <c r="M783" s="52"/>
      <c r="N783" s="52"/>
      <c r="O783" s="52"/>
    </row>
    <row r="784">
      <c r="M784" s="52"/>
      <c r="N784" s="52"/>
      <c r="O784" s="52"/>
    </row>
    <row r="785">
      <c r="M785" s="52"/>
      <c r="N785" s="52"/>
      <c r="O785" s="52"/>
    </row>
    <row r="786">
      <c r="M786" s="52"/>
      <c r="N786" s="52"/>
      <c r="O786" s="52"/>
    </row>
    <row r="787">
      <c r="M787" s="52"/>
      <c r="N787" s="52"/>
      <c r="O787" s="52"/>
    </row>
    <row r="788">
      <c r="M788" s="52"/>
      <c r="N788" s="52"/>
      <c r="O788" s="52"/>
    </row>
    <row r="789">
      <c r="M789" s="52"/>
      <c r="N789" s="52"/>
      <c r="O789" s="52"/>
    </row>
    <row r="790">
      <c r="M790" s="52"/>
      <c r="N790" s="52"/>
      <c r="O790" s="52"/>
    </row>
    <row r="791">
      <c r="M791" s="52"/>
      <c r="N791" s="52"/>
      <c r="O791" s="52"/>
    </row>
    <row r="792">
      <c r="M792" s="52"/>
      <c r="N792" s="52"/>
      <c r="O792" s="52"/>
    </row>
    <row r="793">
      <c r="M793" s="52"/>
      <c r="N793" s="52"/>
      <c r="O793" s="52"/>
    </row>
    <row r="794">
      <c r="M794" s="52"/>
      <c r="N794" s="52"/>
      <c r="O794" s="52"/>
    </row>
    <row r="795">
      <c r="M795" s="52"/>
      <c r="N795" s="52"/>
      <c r="O795" s="52"/>
    </row>
    <row r="796">
      <c r="M796" s="52"/>
      <c r="N796" s="52"/>
      <c r="O796" s="52"/>
    </row>
    <row r="797">
      <c r="M797" s="52"/>
      <c r="N797" s="52"/>
      <c r="O797" s="52"/>
    </row>
    <row r="798">
      <c r="M798" s="52"/>
      <c r="N798" s="52"/>
      <c r="O798" s="52"/>
    </row>
    <row r="799">
      <c r="M799" s="52"/>
      <c r="N799" s="52"/>
      <c r="O799" s="52"/>
    </row>
    <row r="800">
      <c r="M800" s="52"/>
      <c r="N800" s="52"/>
      <c r="O800" s="52"/>
    </row>
    <row r="801">
      <c r="M801" s="52"/>
      <c r="N801" s="52"/>
      <c r="O801" s="52"/>
    </row>
    <row r="802">
      <c r="M802" s="52"/>
      <c r="N802" s="52"/>
      <c r="O802" s="52"/>
    </row>
    <row r="803">
      <c r="M803" s="52"/>
      <c r="N803" s="52"/>
      <c r="O803" s="52"/>
    </row>
    <row r="804">
      <c r="M804" s="52"/>
      <c r="N804" s="52"/>
      <c r="O804" s="52"/>
    </row>
    <row r="805">
      <c r="M805" s="52"/>
      <c r="N805" s="52"/>
      <c r="O805" s="52"/>
    </row>
    <row r="806">
      <c r="M806" s="52"/>
      <c r="N806" s="52"/>
      <c r="O806" s="52"/>
    </row>
    <row r="807">
      <c r="M807" s="52"/>
      <c r="N807" s="52"/>
      <c r="O807" s="52"/>
    </row>
    <row r="808">
      <c r="M808" s="52"/>
      <c r="N808" s="52"/>
      <c r="O808" s="52"/>
    </row>
    <row r="809">
      <c r="M809" s="52"/>
      <c r="N809" s="52"/>
      <c r="O809" s="52"/>
    </row>
    <row r="810">
      <c r="M810" s="52"/>
      <c r="N810" s="52"/>
      <c r="O810" s="52"/>
    </row>
    <row r="811">
      <c r="M811" s="52"/>
      <c r="N811" s="52"/>
      <c r="O811" s="52"/>
    </row>
    <row r="812">
      <c r="M812" s="52"/>
      <c r="N812" s="52"/>
      <c r="O812" s="52"/>
    </row>
    <row r="813">
      <c r="M813" s="52"/>
      <c r="N813" s="52"/>
      <c r="O813" s="52"/>
    </row>
    <row r="814">
      <c r="M814" s="52"/>
      <c r="N814" s="52"/>
      <c r="O814" s="52"/>
    </row>
    <row r="815">
      <c r="M815" s="52"/>
      <c r="N815" s="52"/>
      <c r="O815" s="52"/>
    </row>
    <row r="816">
      <c r="M816" s="52"/>
      <c r="N816" s="52"/>
      <c r="O816" s="52"/>
    </row>
    <row r="817">
      <c r="M817" s="52"/>
      <c r="N817" s="52"/>
      <c r="O817" s="52"/>
    </row>
    <row r="818">
      <c r="M818" s="52"/>
      <c r="N818" s="52"/>
      <c r="O818" s="52"/>
    </row>
    <row r="819">
      <c r="M819" s="52"/>
      <c r="N819" s="52"/>
      <c r="O819" s="52"/>
    </row>
    <row r="820">
      <c r="M820" s="52"/>
      <c r="N820" s="52"/>
      <c r="O820" s="52"/>
    </row>
    <row r="821">
      <c r="M821" s="52"/>
      <c r="N821" s="52"/>
      <c r="O821" s="52"/>
    </row>
    <row r="822">
      <c r="M822" s="52"/>
      <c r="N822" s="52"/>
      <c r="O822" s="52"/>
    </row>
    <row r="823">
      <c r="M823" s="52"/>
      <c r="N823" s="52"/>
      <c r="O823" s="52"/>
    </row>
    <row r="824">
      <c r="M824" s="52"/>
      <c r="N824" s="52"/>
      <c r="O824" s="52"/>
    </row>
    <row r="825">
      <c r="M825" s="52"/>
      <c r="N825" s="52"/>
      <c r="O825" s="52"/>
    </row>
    <row r="826">
      <c r="M826" s="52"/>
      <c r="N826" s="52"/>
      <c r="O826" s="52"/>
    </row>
    <row r="827">
      <c r="M827" s="52"/>
      <c r="N827" s="52"/>
      <c r="O827" s="52"/>
    </row>
    <row r="828">
      <c r="M828" s="52"/>
      <c r="N828" s="52"/>
      <c r="O828" s="52"/>
    </row>
    <row r="829">
      <c r="M829" s="52"/>
      <c r="N829" s="52"/>
      <c r="O829" s="52"/>
    </row>
    <row r="830">
      <c r="M830" s="52"/>
      <c r="N830" s="52"/>
      <c r="O830" s="52"/>
    </row>
    <row r="831">
      <c r="M831" s="52"/>
      <c r="N831" s="52"/>
      <c r="O831" s="52"/>
    </row>
    <row r="832">
      <c r="M832" s="52"/>
      <c r="N832" s="52"/>
      <c r="O832" s="52"/>
    </row>
    <row r="833">
      <c r="M833" s="52"/>
      <c r="N833" s="52"/>
      <c r="O833" s="52"/>
    </row>
    <row r="834">
      <c r="M834" s="52"/>
      <c r="N834" s="52"/>
      <c r="O834" s="52"/>
    </row>
    <row r="835">
      <c r="M835" s="52"/>
      <c r="N835" s="52"/>
      <c r="O835" s="52"/>
    </row>
    <row r="836">
      <c r="M836" s="52"/>
      <c r="N836" s="52"/>
      <c r="O836" s="52"/>
    </row>
    <row r="837">
      <c r="M837" s="52"/>
      <c r="N837" s="52"/>
      <c r="O837" s="52"/>
    </row>
    <row r="838">
      <c r="M838" s="52"/>
      <c r="N838" s="52"/>
      <c r="O838" s="52"/>
    </row>
    <row r="839">
      <c r="M839" s="52"/>
      <c r="N839" s="52"/>
      <c r="O839" s="52"/>
    </row>
    <row r="840">
      <c r="M840" s="52"/>
      <c r="N840" s="52"/>
      <c r="O840" s="52"/>
    </row>
    <row r="841">
      <c r="M841" s="52"/>
      <c r="N841" s="52"/>
      <c r="O841" s="52"/>
    </row>
    <row r="842">
      <c r="M842" s="52"/>
      <c r="N842" s="52"/>
      <c r="O842" s="52"/>
    </row>
    <row r="843">
      <c r="M843" s="52"/>
      <c r="N843" s="52"/>
      <c r="O843" s="52"/>
    </row>
    <row r="844">
      <c r="M844" s="52"/>
      <c r="N844" s="52"/>
      <c r="O844" s="52"/>
    </row>
    <row r="845">
      <c r="M845" s="52"/>
      <c r="N845" s="52"/>
      <c r="O845" s="52"/>
    </row>
    <row r="846">
      <c r="M846" s="52"/>
      <c r="N846" s="52"/>
      <c r="O846" s="52"/>
    </row>
    <row r="847">
      <c r="M847" s="52"/>
      <c r="N847" s="52"/>
      <c r="O847" s="52"/>
    </row>
    <row r="848">
      <c r="M848" s="52"/>
      <c r="N848" s="52"/>
      <c r="O848" s="52"/>
    </row>
    <row r="849">
      <c r="M849" s="52"/>
      <c r="N849" s="52"/>
      <c r="O849" s="52"/>
    </row>
    <row r="850">
      <c r="M850" s="52"/>
      <c r="N850" s="52"/>
      <c r="O850" s="52"/>
    </row>
    <row r="851">
      <c r="M851" s="52"/>
      <c r="N851" s="52"/>
      <c r="O851" s="52"/>
    </row>
    <row r="852">
      <c r="M852" s="52"/>
      <c r="N852" s="52"/>
      <c r="O852" s="52"/>
    </row>
    <row r="853">
      <c r="M853" s="52"/>
      <c r="N853" s="52"/>
      <c r="O853" s="52"/>
    </row>
    <row r="854">
      <c r="M854" s="52"/>
      <c r="N854" s="52"/>
      <c r="O854" s="52"/>
    </row>
    <row r="855">
      <c r="M855" s="52"/>
      <c r="N855" s="52"/>
      <c r="O855" s="52"/>
    </row>
    <row r="856">
      <c r="M856" s="52"/>
      <c r="N856" s="52"/>
      <c r="O856" s="52"/>
    </row>
    <row r="857">
      <c r="M857" s="52"/>
      <c r="N857" s="52"/>
      <c r="O857" s="52"/>
    </row>
    <row r="858">
      <c r="M858" s="52"/>
      <c r="N858" s="52"/>
      <c r="O858" s="52"/>
    </row>
    <row r="859">
      <c r="M859" s="52"/>
      <c r="N859" s="52"/>
      <c r="O859" s="52"/>
    </row>
    <row r="860">
      <c r="M860" s="52"/>
      <c r="N860" s="52"/>
      <c r="O860" s="52"/>
    </row>
    <row r="861">
      <c r="M861" s="52"/>
      <c r="N861" s="52"/>
      <c r="O861" s="52"/>
    </row>
    <row r="862">
      <c r="M862" s="52"/>
      <c r="N862" s="52"/>
      <c r="O862" s="52"/>
    </row>
    <row r="863">
      <c r="M863" s="52"/>
      <c r="N863" s="52"/>
      <c r="O863" s="52"/>
    </row>
    <row r="864">
      <c r="M864" s="52"/>
      <c r="N864" s="52"/>
      <c r="O864" s="52"/>
    </row>
    <row r="865">
      <c r="M865" s="52"/>
      <c r="N865" s="52"/>
      <c r="O865" s="52"/>
    </row>
    <row r="866">
      <c r="M866" s="52"/>
      <c r="N866" s="52"/>
      <c r="O866" s="52"/>
    </row>
    <row r="867">
      <c r="M867" s="52"/>
      <c r="N867" s="52"/>
      <c r="O867" s="52"/>
    </row>
    <row r="868">
      <c r="M868" s="52"/>
      <c r="N868" s="52"/>
      <c r="O868" s="52"/>
    </row>
    <row r="869">
      <c r="M869" s="52"/>
      <c r="N869" s="52"/>
      <c r="O869" s="52"/>
    </row>
    <row r="870">
      <c r="M870" s="52"/>
      <c r="N870" s="52"/>
      <c r="O870" s="52"/>
    </row>
    <row r="871">
      <c r="M871" s="52"/>
      <c r="N871" s="52"/>
      <c r="O871" s="52"/>
    </row>
    <row r="872">
      <c r="M872" s="52"/>
      <c r="N872" s="52"/>
      <c r="O872" s="52"/>
    </row>
    <row r="873">
      <c r="M873" s="52"/>
      <c r="N873" s="52"/>
      <c r="O873" s="52"/>
    </row>
    <row r="874">
      <c r="M874" s="52"/>
      <c r="N874" s="52"/>
      <c r="O874" s="52"/>
    </row>
    <row r="875">
      <c r="M875" s="52"/>
      <c r="N875" s="52"/>
      <c r="O875" s="52"/>
    </row>
    <row r="876">
      <c r="M876" s="52"/>
      <c r="N876" s="52"/>
      <c r="O876" s="52"/>
    </row>
    <row r="877">
      <c r="M877" s="52"/>
      <c r="N877" s="52"/>
      <c r="O877" s="52"/>
    </row>
    <row r="878">
      <c r="M878" s="52"/>
      <c r="N878" s="52"/>
      <c r="O878" s="52"/>
    </row>
    <row r="879">
      <c r="M879" s="52"/>
      <c r="N879" s="52"/>
      <c r="O879" s="52"/>
    </row>
    <row r="880">
      <c r="M880" s="52"/>
      <c r="N880" s="52"/>
      <c r="O880" s="52"/>
    </row>
    <row r="881">
      <c r="M881" s="52"/>
      <c r="N881" s="52"/>
      <c r="O881" s="52"/>
    </row>
    <row r="882">
      <c r="M882" s="52"/>
      <c r="N882" s="52"/>
      <c r="O882" s="52"/>
    </row>
    <row r="883">
      <c r="M883" s="52"/>
      <c r="N883" s="52"/>
      <c r="O883" s="52"/>
    </row>
    <row r="884">
      <c r="M884" s="52"/>
      <c r="N884" s="52"/>
      <c r="O884" s="52"/>
    </row>
    <row r="885">
      <c r="M885" s="52"/>
      <c r="N885" s="52"/>
      <c r="O885" s="52"/>
    </row>
    <row r="886">
      <c r="M886" s="52"/>
      <c r="N886" s="52"/>
      <c r="O886" s="52"/>
    </row>
    <row r="887">
      <c r="M887" s="52"/>
      <c r="N887" s="52"/>
      <c r="O887" s="52"/>
    </row>
    <row r="888">
      <c r="M888" s="52"/>
      <c r="N888" s="52"/>
      <c r="O888" s="52"/>
    </row>
    <row r="889">
      <c r="M889" s="52"/>
      <c r="N889" s="52"/>
      <c r="O889" s="52"/>
    </row>
    <row r="890">
      <c r="M890" s="52"/>
      <c r="N890" s="52"/>
      <c r="O890" s="52"/>
    </row>
    <row r="891">
      <c r="M891" s="52"/>
      <c r="N891" s="52"/>
      <c r="O891" s="52"/>
    </row>
    <row r="892">
      <c r="M892" s="52"/>
      <c r="N892" s="52"/>
      <c r="O892" s="52"/>
    </row>
    <row r="893">
      <c r="M893" s="52"/>
      <c r="N893" s="52"/>
      <c r="O893" s="52"/>
    </row>
    <row r="894">
      <c r="M894" s="52"/>
      <c r="N894" s="52"/>
      <c r="O894" s="52"/>
    </row>
    <row r="895">
      <c r="M895" s="52"/>
      <c r="N895" s="52"/>
      <c r="O895" s="52"/>
    </row>
    <row r="896">
      <c r="M896" s="52"/>
      <c r="N896" s="52"/>
      <c r="O896" s="52"/>
    </row>
    <row r="897">
      <c r="M897" s="52"/>
      <c r="N897" s="52"/>
      <c r="O897" s="52"/>
    </row>
    <row r="898">
      <c r="M898" s="52"/>
      <c r="N898" s="52"/>
      <c r="O898" s="52"/>
    </row>
    <row r="899">
      <c r="M899" s="52"/>
      <c r="N899" s="52"/>
      <c r="O899" s="52"/>
    </row>
    <row r="900">
      <c r="M900" s="52"/>
      <c r="N900" s="52"/>
      <c r="O900" s="52"/>
    </row>
    <row r="901">
      <c r="M901" s="52"/>
      <c r="N901" s="52"/>
      <c r="O901" s="52"/>
    </row>
    <row r="902">
      <c r="M902" s="52"/>
      <c r="N902" s="52"/>
      <c r="O902" s="52"/>
    </row>
    <row r="903">
      <c r="M903" s="52"/>
      <c r="N903" s="52"/>
      <c r="O903" s="52"/>
    </row>
    <row r="904">
      <c r="M904" s="52"/>
      <c r="N904" s="52"/>
      <c r="O904" s="52"/>
    </row>
    <row r="905">
      <c r="M905" s="52"/>
      <c r="N905" s="52"/>
      <c r="O905" s="52"/>
    </row>
    <row r="906">
      <c r="M906" s="52"/>
      <c r="N906" s="52"/>
      <c r="O906" s="52"/>
    </row>
    <row r="907">
      <c r="M907" s="52"/>
      <c r="N907" s="52"/>
      <c r="O907" s="52"/>
    </row>
    <row r="908">
      <c r="M908" s="52"/>
      <c r="N908" s="52"/>
      <c r="O908" s="52"/>
    </row>
    <row r="909">
      <c r="M909" s="52"/>
      <c r="N909" s="52"/>
      <c r="O909" s="52"/>
    </row>
    <row r="910">
      <c r="M910" s="52"/>
      <c r="N910" s="52"/>
      <c r="O910" s="52"/>
    </row>
    <row r="911">
      <c r="M911" s="52"/>
      <c r="N911" s="52"/>
      <c r="O911" s="52"/>
    </row>
    <row r="912">
      <c r="M912" s="52"/>
      <c r="N912" s="52"/>
      <c r="O912" s="52"/>
    </row>
    <row r="913">
      <c r="M913" s="52"/>
      <c r="N913" s="52"/>
      <c r="O913" s="52"/>
    </row>
    <row r="914">
      <c r="M914" s="52"/>
      <c r="N914" s="52"/>
      <c r="O914" s="52"/>
    </row>
    <row r="915">
      <c r="M915" s="52"/>
      <c r="N915" s="52"/>
      <c r="O915" s="52"/>
    </row>
    <row r="916">
      <c r="M916" s="52"/>
      <c r="N916" s="52"/>
      <c r="O916" s="52"/>
    </row>
    <row r="917">
      <c r="M917" s="52"/>
      <c r="N917" s="52"/>
      <c r="O917" s="52"/>
    </row>
    <row r="918">
      <c r="M918" s="52"/>
      <c r="N918" s="52"/>
      <c r="O918" s="52"/>
    </row>
    <row r="919">
      <c r="M919" s="52"/>
      <c r="N919" s="52"/>
      <c r="O919" s="52"/>
    </row>
    <row r="920">
      <c r="M920" s="52"/>
      <c r="N920" s="52"/>
      <c r="O920" s="52"/>
    </row>
    <row r="921">
      <c r="M921" s="52"/>
      <c r="N921" s="52"/>
      <c r="O921" s="52"/>
    </row>
    <row r="922">
      <c r="M922" s="52"/>
      <c r="N922" s="52"/>
      <c r="O922" s="52"/>
    </row>
    <row r="923">
      <c r="M923" s="52"/>
      <c r="N923" s="52"/>
      <c r="O923" s="52"/>
    </row>
    <row r="924">
      <c r="M924" s="52"/>
      <c r="N924" s="52"/>
      <c r="O924" s="52"/>
    </row>
    <row r="925">
      <c r="M925" s="52"/>
      <c r="N925" s="52"/>
      <c r="O925" s="52"/>
    </row>
    <row r="926">
      <c r="M926" s="52"/>
      <c r="N926" s="52"/>
      <c r="O926" s="52"/>
    </row>
    <row r="927">
      <c r="M927" s="52"/>
      <c r="N927" s="52"/>
      <c r="O927" s="52"/>
    </row>
    <row r="928">
      <c r="M928" s="52"/>
      <c r="N928" s="52"/>
      <c r="O928" s="52"/>
    </row>
    <row r="929">
      <c r="M929" s="52"/>
      <c r="N929" s="52"/>
      <c r="O929" s="52"/>
    </row>
    <row r="930">
      <c r="M930" s="52"/>
      <c r="N930" s="52"/>
      <c r="O930" s="52"/>
    </row>
    <row r="931">
      <c r="M931" s="52"/>
      <c r="N931" s="52"/>
      <c r="O931" s="52"/>
    </row>
    <row r="932">
      <c r="M932" s="52"/>
      <c r="N932" s="52"/>
      <c r="O932" s="52"/>
    </row>
    <row r="933">
      <c r="M933" s="52"/>
      <c r="N933" s="52"/>
      <c r="O933" s="52"/>
    </row>
    <row r="934">
      <c r="M934" s="52"/>
      <c r="N934" s="52"/>
      <c r="O934" s="52"/>
    </row>
    <row r="935">
      <c r="M935" s="52"/>
      <c r="N935" s="52"/>
      <c r="O935" s="52"/>
    </row>
    <row r="936">
      <c r="M936" s="52"/>
      <c r="N936" s="52"/>
      <c r="O936" s="52"/>
    </row>
    <row r="937">
      <c r="M937" s="52"/>
      <c r="N937" s="52"/>
      <c r="O937" s="52"/>
    </row>
    <row r="938">
      <c r="M938" s="52"/>
      <c r="N938" s="52"/>
      <c r="O938" s="52"/>
    </row>
    <row r="939">
      <c r="M939" s="52"/>
      <c r="N939" s="52"/>
      <c r="O939" s="52"/>
    </row>
    <row r="940">
      <c r="M940" s="52"/>
      <c r="N940" s="52"/>
      <c r="O940" s="52"/>
    </row>
    <row r="941">
      <c r="M941" s="52"/>
      <c r="N941" s="52"/>
      <c r="O941" s="52"/>
    </row>
    <row r="942">
      <c r="M942" s="52"/>
      <c r="N942" s="52"/>
      <c r="O942" s="52"/>
    </row>
    <row r="943">
      <c r="M943" s="52"/>
      <c r="N943" s="52"/>
      <c r="O943" s="52"/>
    </row>
    <row r="944">
      <c r="M944" s="52"/>
      <c r="N944" s="52"/>
      <c r="O944" s="52"/>
    </row>
    <row r="945">
      <c r="M945" s="52"/>
      <c r="N945" s="52"/>
      <c r="O945" s="52"/>
    </row>
    <row r="946">
      <c r="M946" s="52"/>
      <c r="N946" s="52"/>
      <c r="O946" s="52"/>
    </row>
    <row r="947">
      <c r="M947" s="52"/>
      <c r="N947" s="52"/>
      <c r="O947" s="52"/>
    </row>
    <row r="948">
      <c r="M948" s="52"/>
      <c r="N948" s="52"/>
      <c r="O948" s="52"/>
    </row>
    <row r="949">
      <c r="M949" s="52"/>
      <c r="N949" s="52"/>
      <c r="O949" s="52"/>
    </row>
    <row r="950">
      <c r="M950" s="52"/>
      <c r="N950" s="52"/>
      <c r="O950" s="52"/>
    </row>
    <row r="951">
      <c r="M951" s="52"/>
      <c r="N951" s="52"/>
      <c r="O951" s="52"/>
    </row>
    <row r="952">
      <c r="M952" s="52"/>
      <c r="N952" s="52"/>
      <c r="O952" s="52"/>
    </row>
    <row r="953">
      <c r="M953" s="52"/>
      <c r="N953" s="52"/>
      <c r="O953" s="52"/>
    </row>
    <row r="954">
      <c r="M954" s="52"/>
      <c r="N954" s="52"/>
      <c r="O954" s="52"/>
    </row>
    <row r="955">
      <c r="M955" s="52"/>
      <c r="N955" s="52"/>
      <c r="O955" s="52"/>
    </row>
    <row r="956">
      <c r="M956" s="52"/>
      <c r="N956" s="52"/>
      <c r="O956" s="52"/>
    </row>
    <row r="957">
      <c r="M957" s="52"/>
      <c r="N957" s="52"/>
      <c r="O957" s="52"/>
    </row>
    <row r="958">
      <c r="M958" s="52"/>
      <c r="N958" s="52"/>
      <c r="O958" s="52"/>
    </row>
    <row r="959">
      <c r="M959" s="52"/>
      <c r="N959" s="52"/>
      <c r="O959" s="52"/>
    </row>
    <row r="960">
      <c r="M960" s="52"/>
      <c r="N960" s="52"/>
      <c r="O960" s="52"/>
    </row>
    <row r="961">
      <c r="M961" s="52"/>
      <c r="N961" s="52"/>
      <c r="O961" s="52"/>
    </row>
    <row r="962">
      <c r="M962" s="52"/>
      <c r="N962" s="52"/>
      <c r="O962" s="52"/>
    </row>
    <row r="963">
      <c r="M963" s="52"/>
      <c r="N963" s="52"/>
      <c r="O963" s="52"/>
    </row>
    <row r="964">
      <c r="M964" s="52"/>
      <c r="N964" s="52"/>
      <c r="O964" s="52"/>
    </row>
    <row r="965">
      <c r="M965" s="52"/>
      <c r="N965" s="52"/>
      <c r="O965" s="52"/>
    </row>
    <row r="966">
      <c r="M966" s="52"/>
      <c r="N966" s="52"/>
      <c r="O966" s="52"/>
    </row>
    <row r="967">
      <c r="M967" s="52"/>
      <c r="N967" s="52"/>
      <c r="O967" s="52"/>
    </row>
    <row r="968">
      <c r="M968" s="52"/>
      <c r="N968" s="52"/>
      <c r="O968" s="52"/>
    </row>
    <row r="969">
      <c r="M969" s="52"/>
      <c r="N969" s="52"/>
      <c r="O969" s="52"/>
    </row>
    <row r="970">
      <c r="M970" s="52"/>
      <c r="N970" s="52"/>
      <c r="O970" s="52"/>
    </row>
    <row r="971">
      <c r="M971" s="52"/>
      <c r="N971" s="52"/>
      <c r="O971" s="52"/>
    </row>
    <row r="972">
      <c r="M972" s="52"/>
      <c r="N972" s="52"/>
      <c r="O972" s="52"/>
    </row>
    <row r="973">
      <c r="M973" s="52"/>
      <c r="N973" s="52"/>
      <c r="O973" s="52"/>
    </row>
    <row r="974">
      <c r="M974" s="52"/>
      <c r="N974" s="52"/>
      <c r="O974" s="52"/>
    </row>
    <row r="975">
      <c r="M975" s="52"/>
      <c r="N975" s="52"/>
      <c r="O975" s="52"/>
    </row>
    <row r="976">
      <c r="M976" s="52"/>
      <c r="N976" s="52"/>
      <c r="O976" s="52"/>
    </row>
    <row r="977">
      <c r="M977" s="52"/>
      <c r="N977" s="52"/>
      <c r="O977" s="52"/>
    </row>
    <row r="978">
      <c r="M978" s="52"/>
      <c r="N978" s="52"/>
      <c r="O978" s="52"/>
    </row>
    <row r="979">
      <c r="M979" s="52"/>
      <c r="N979" s="52"/>
      <c r="O979" s="52"/>
    </row>
    <row r="980">
      <c r="M980" s="52"/>
      <c r="N980" s="52"/>
      <c r="O980" s="52"/>
    </row>
    <row r="981">
      <c r="M981" s="52"/>
      <c r="N981" s="52"/>
      <c r="O981" s="52"/>
    </row>
    <row r="982">
      <c r="M982" s="52"/>
      <c r="N982" s="52"/>
      <c r="O982" s="52"/>
    </row>
    <row r="983">
      <c r="M983" s="52"/>
      <c r="N983" s="52"/>
      <c r="O983" s="52"/>
    </row>
    <row r="984">
      <c r="M984" s="52"/>
      <c r="N984" s="52"/>
      <c r="O984" s="52"/>
    </row>
    <row r="985">
      <c r="M985" s="52"/>
      <c r="N985" s="52"/>
      <c r="O985" s="52"/>
    </row>
    <row r="986">
      <c r="M986" s="52"/>
      <c r="N986" s="52"/>
      <c r="O986" s="52"/>
    </row>
    <row r="987">
      <c r="M987" s="52"/>
      <c r="N987" s="52"/>
      <c r="O987" s="52"/>
    </row>
    <row r="988">
      <c r="M988" s="52"/>
      <c r="N988" s="52"/>
      <c r="O988" s="52"/>
    </row>
    <row r="989">
      <c r="M989" s="52"/>
      <c r="N989" s="52"/>
      <c r="O989" s="52"/>
    </row>
    <row r="990">
      <c r="M990" s="52"/>
      <c r="N990" s="52"/>
      <c r="O990" s="52"/>
    </row>
    <row r="991">
      <c r="M991" s="52"/>
      <c r="N991" s="52"/>
      <c r="O991" s="52"/>
    </row>
    <row r="992">
      <c r="M992" s="52"/>
      <c r="N992" s="52"/>
      <c r="O992" s="52"/>
    </row>
    <row r="993">
      <c r="M993" s="52"/>
      <c r="N993" s="52"/>
      <c r="O993" s="52"/>
    </row>
    <row r="994">
      <c r="M994" s="52"/>
      <c r="N994" s="52"/>
      <c r="O994" s="52"/>
    </row>
    <row r="995">
      <c r="M995" s="52"/>
      <c r="N995" s="52"/>
      <c r="O995" s="52"/>
    </row>
    <row r="996">
      <c r="M996" s="52"/>
      <c r="N996" s="52"/>
      <c r="O996" s="52"/>
    </row>
    <row r="997">
      <c r="M997" s="52"/>
      <c r="N997" s="52"/>
      <c r="O997" s="52"/>
    </row>
    <row r="998">
      <c r="M998" s="52"/>
      <c r="N998" s="52"/>
      <c r="O998" s="52"/>
    </row>
    <row r="999">
      <c r="M999" s="52"/>
      <c r="N999" s="52"/>
      <c r="O999" s="52"/>
    </row>
    <row r="1000">
      <c r="M1000" s="52"/>
      <c r="N1000" s="52"/>
      <c r="O1000" s="52"/>
    </row>
  </sheetData>
  <mergeCells count="7">
    <mergeCell ref="A1:A2"/>
    <mergeCell ref="B1:B2"/>
    <mergeCell ref="C1:G1"/>
    <mergeCell ref="H1:I1"/>
    <mergeCell ref="J1:J2"/>
    <mergeCell ref="K1:O1"/>
    <mergeCell ref="P1:U1"/>
  </mergeCells>
  <conditionalFormatting sqref="N3:N9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G3:G9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3:H9 K3:K9">
    <cfRule type="colorScale" priority="3">
      <colorScale>
        <cfvo type="formula" val="0"/>
        <cfvo type="max"/>
        <color rgb="FFFFFFFF"/>
        <color rgb="FF57BB8A"/>
      </colorScale>
    </cfRule>
  </conditionalFormatting>
  <conditionalFormatting sqref="I3:I9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J3:J9">
    <cfRule type="colorScale" priority="5">
      <colorScale>
        <cfvo type="formula" val="0"/>
        <cfvo type="max"/>
        <color rgb="FFFFFFFF"/>
        <color rgb="FF57BB8A"/>
      </colorScale>
    </cfRule>
  </conditionalFormatting>
  <conditionalFormatting sqref="K3:K9">
    <cfRule type="colorScale" priority="6">
      <colorScale>
        <cfvo type="formula" val="0"/>
        <cfvo type="max"/>
        <color rgb="FFFFFFFF"/>
        <color rgb="FF57BB8A"/>
      </colorScale>
    </cfRule>
  </conditionalFormatting>
  <conditionalFormatting sqref="L3:L9">
    <cfRule type="colorScale" priority="7">
      <colorScale>
        <cfvo type="formula" val="0"/>
        <cfvo type="max"/>
        <color rgb="FFFFFFFF"/>
        <color rgb="FFE67C73"/>
      </colorScale>
    </cfRule>
  </conditionalFormatting>
  <conditionalFormatting sqref="C3:C9">
    <cfRule type="colorScale" priority="8">
      <colorScale>
        <cfvo type="formula" val="0"/>
        <cfvo type="max"/>
        <color rgb="FFFFFFFF"/>
        <color rgb="FFFFD666"/>
      </colorScale>
    </cfRule>
  </conditionalFormatting>
  <conditionalFormatting sqref="D3:D9">
    <cfRule type="colorScale" priority="9">
      <colorScale>
        <cfvo type="formula" val="0"/>
        <cfvo type="max"/>
        <color rgb="FFFFFFFF"/>
        <color rgb="FF57BB8A"/>
      </colorScale>
    </cfRule>
  </conditionalFormatting>
  <conditionalFormatting sqref="E3:E9">
    <cfRule type="colorScale" priority="10">
      <colorScale>
        <cfvo type="formula" val="0"/>
        <cfvo type="max"/>
        <color rgb="FFFFFFFF"/>
        <color rgb="FFE67C73"/>
      </colorScale>
    </cfRule>
  </conditionalFormatting>
  <conditionalFormatting sqref="F3:F9">
    <cfRule type="colorScale" priority="11">
      <colorScale>
        <cfvo type="formula" val="0"/>
        <cfvo type="max"/>
        <color rgb="FFFFFFFF"/>
        <color rgb="FF57BB8A"/>
      </colorScale>
    </cfRule>
  </conditionalFormatting>
  <conditionalFormatting sqref="M3:M9">
    <cfRule type="colorScale" priority="12">
      <colorScale>
        <cfvo type="formula" val="0"/>
        <cfvo type="max"/>
        <color rgb="FFFFFFFF"/>
        <color rgb="FFFFD666"/>
      </colorScale>
    </cfRule>
  </conditionalFormatting>
  <conditionalFormatting sqref="O3:O9">
    <cfRule type="colorScale" priority="13">
      <colorScale>
        <cfvo type="formula" val="0"/>
        <cfvo type="formula" val="1"/>
        <color rgb="FFFFFFFF"/>
        <color rgb="FF57BB8A"/>
      </colorScale>
    </cfRule>
  </conditionalFormatting>
  <conditionalFormatting sqref="P3:P9">
    <cfRule type="colorScale" priority="14">
      <colorScale>
        <cfvo type="formula" val="0"/>
        <cfvo type="max"/>
        <color rgb="FFFFFFFF"/>
        <color rgb="FFFFD666"/>
      </colorScale>
    </cfRule>
  </conditionalFormatting>
  <conditionalFormatting sqref="U3:U9">
    <cfRule type="colorScale" priority="15">
      <colorScale>
        <cfvo type="formula" val="0"/>
        <cfvo type="formula" val="2"/>
        <cfvo type="formula" val="3"/>
        <color rgb="FFE67C73"/>
        <color rgb="FFFFFFFF"/>
        <color rgb="FF57BB8A"/>
      </colorScale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7.63"/>
    <col customWidth="1" min="4" max="4" width="5.63"/>
    <col customWidth="1" min="5" max="5" width="6.88"/>
    <col customWidth="1" min="6" max="6" width="10.0"/>
    <col customWidth="1" min="7" max="7" width="13.75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1" t="s">
        <v>4</v>
      </c>
      <c r="K1" s="6" t="s">
        <v>5</v>
      </c>
      <c r="L1" s="4"/>
      <c r="M1" s="4"/>
      <c r="N1" s="4"/>
      <c r="O1" s="5"/>
      <c r="P1" s="30" t="s">
        <v>6</v>
      </c>
      <c r="Q1" s="4"/>
      <c r="R1" s="4"/>
      <c r="S1" s="4"/>
      <c r="T1" s="4"/>
      <c r="U1" s="5"/>
      <c r="Z1" s="17" t="s">
        <v>37</v>
      </c>
    </row>
    <row r="2">
      <c r="A2" s="9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2" t="s">
        <v>13</v>
      </c>
      <c r="I2" s="12" t="s">
        <v>14</v>
      </c>
      <c r="J2" s="9"/>
      <c r="K2" s="10" t="s">
        <v>15</v>
      </c>
      <c r="L2" s="12" t="s">
        <v>10</v>
      </c>
      <c r="M2" s="10" t="s">
        <v>16</v>
      </c>
      <c r="N2" s="10" t="s">
        <v>17</v>
      </c>
      <c r="O2" s="10" t="s">
        <v>18</v>
      </c>
      <c r="P2" s="15" t="s">
        <v>8</v>
      </c>
      <c r="Q2" s="15">
        <v>0.0</v>
      </c>
      <c r="R2" s="15">
        <v>1.0</v>
      </c>
      <c r="S2" s="15">
        <v>2.0</v>
      </c>
      <c r="T2" s="15">
        <v>3.0</v>
      </c>
      <c r="U2" s="15" t="s">
        <v>19</v>
      </c>
      <c r="Z2" s="17" t="s">
        <v>38</v>
      </c>
    </row>
    <row r="3">
      <c r="A3" s="18" t="s">
        <v>21</v>
      </c>
      <c r="B3" s="18" t="s">
        <v>39</v>
      </c>
      <c r="C3" s="10">
        <v>0.0</v>
      </c>
      <c r="D3" s="10">
        <v>0.0</v>
      </c>
      <c r="E3" s="10">
        <v>0.0</v>
      </c>
      <c r="F3" s="10">
        <v>1.0</v>
      </c>
      <c r="G3" s="35" t="str">
        <f t="shared" ref="G3:G9" si="1">IFS(C3=0, "N/A", C3&lt;&gt;0,(D3-E3)/C3 )</f>
        <v>N/A</v>
      </c>
      <c r="H3" s="35"/>
      <c r="I3" s="35"/>
      <c r="J3" s="10">
        <v>2.0</v>
      </c>
      <c r="K3" s="35"/>
      <c r="L3" s="10">
        <v>1.0</v>
      </c>
      <c r="M3" s="10">
        <v>2.0</v>
      </c>
      <c r="N3" s="35">
        <f t="shared" ref="N3:N9" si="2">ifs(M3=0,"N/A",M3&lt;&gt;0,(M3-L3) /M3)</f>
        <v>0.5</v>
      </c>
      <c r="O3" s="35">
        <f t="shared" ref="O3:O9" si="3">IFS(M3=0, "N/A", M3&lt;&gt;0, K3/M3)</f>
        <v>0</v>
      </c>
      <c r="P3" s="10">
        <f t="shared" ref="P3:P9" si="4">sum(Q3,R3,S3,T3)</f>
        <v>11</v>
      </c>
      <c r="Q3" s="35"/>
      <c r="R3" s="10">
        <v>2.0</v>
      </c>
      <c r="S3" s="10">
        <v>4.0</v>
      </c>
      <c r="T3" s="10">
        <v>5.0</v>
      </c>
      <c r="U3" s="10">
        <f t="shared" ref="U3:U9" si="5">ifs(P3=0, "N/A",P3&lt;&gt;0,(R3 + S3*2 +T3*3)/P3)</f>
        <v>2.272727273</v>
      </c>
      <c r="Z3" s="17" t="s">
        <v>40</v>
      </c>
    </row>
    <row r="4">
      <c r="A4" s="21" t="s">
        <v>24</v>
      </c>
      <c r="B4" s="21" t="s">
        <v>41</v>
      </c>
      <c r="C4" s="10">
        <v>6.0</v>
      </c>
      <c r="D4" s="10">
        <v>1.0</v>
      </c>
      <c r="E4" s="10">
        <v>0.0</v>
      </c>
      <c r="F4" s="35"/>
      <c r="G4" s="35">
        <f t="shared" si="1"/>
        <v>0.1666666667</v>
      </c>
      <c r="H4" s="35"/>
      <c r="I4" s="10">
        <v>3.0</v>
      </c>
      <c r="J4" s="35"/>
      <c r="K4" s="35"/>
      <c r="L4" s="35"/>
      <c r="M4" s="35"/>
      <c r="N4" s="35" t="str">
        <f t="shared" si="2"/>
        <v>N/A</v>
      </c>
      <c r="O4" s="35" t="str">
        <f t="shared" si="3"/>
        <v>N/A</v>
      </c>
      <c r="P4" s="10">
        <f t="shared" si="4"/>
        <v>0</v>
      </c>
      <c r="Q4" s="35"/>
      <c r="R4" s="35"/>
      <c r="S4" s="35"/>
      <c r="T4" s="35"/>
      <c r="U4" s="10" t="str">
        <f t="shared" si="5"/>
        <v>N/A</v>
      </c>
      <c r="Z4" s="17"/>
    </row>
    <row r="5">
      <c r="A5" s="22" t="s">
        <v>26</v>
      </c>
      <c r="B5" s="22" t="s">
        <v>42</v>
      </c>
      <c r="C5" s="10">
        <v>1.0</v>
      </c>
      <c r="D5" s="10">
        <v>1.0</v>
      </c>
      <c r="E5" s="10">
        <v>0.0</v>
      </c>
      <c r="F5" s="10">
        <v>6.0</v>
      </c>
      <c r="G5" s="35">
        <f t="shared" si="1"/>
        <v>1</v>
      </c>
      <c r="H5" s="35"/>
      <c r="I5" s="10">
        <v>3.0</v>
      </c>
      <c r="J5" s="10">
        <v>1.0</v>
      </c>
      <c r="K5" s="35"/>
      <c r="L5" s="35"/>
      <c r="M5" s="10">
        <v>2.0</v>
      </c>
      <c r="N5" s="35">
        <f t="shared" si="2"/>
        <v>1</v>
      </c>
      <c r="O5" s="35">
        <f t="shared" si="3"/>
        <v>0</v>
      </c>
      <c r="P5" s="10">
        <f t="shared" si="4"/>
        <v>0</v>
      </c>
      <c r="Q5" s="35"/>
      <c r="R5" s="35"/>
      <c r="S5" s="35"/>
      <c r="T5" s="35"/>
      <c r="U5" s="10" t="str">
        <f t="shared" si="5"/>
        <v>N/A</v>
      </c>
      <c r="Z5" s="17"/>
    </row>
    <row r="6">
      <c r="A6" s="23" t="s">
        <v>28</v>
      </c>
      <c r="B6" s="23" t="s">
        <v>43</v>
      </c>
      <c r="C6" s="10">
        <v>14.0</v>
      </c>
      <c r="D6" s="10">
        <v>4.0</v>
      </c>
      <c r="E6" s="10">
        <v>3.0</v>
      </c>
      <c r="F6" s="35"/>
      <c r="G6" s="35">
        <f t="shared" si="1"/>
        <v>0.07142857143</v>
      </c>
      <c r="H6" s="35"/>
      <c r="I6" s="35"/>
      <c r="J6" s="10">
        <v>1.0</v>
      </c>
      <c r="K6" s="10">
        <v>1.0</v>
      </c>
      <c r="L6" s="10">
        <v>1.0</v>
      </c>
      <c r="M6" s="10">
        <v>7.0</v>
      </c>
      <c r="N6" s="35">
        <f t="shared" si="2"/>
        <v>0.8571428571</v>
      </c>
      <c r="O6" s="35">
        <f t="shared" si="3"/>
        <v>0.1428571429</v>
      </c>
      <c r="P6" s="10">
        <f t="shared" si="4"/>
        <v>9</v>
      </c>
      <c r="Q6" s="10">
        <v>1.0</v>
      </c>
      <c r="R6" s="10">
        <v>4.0</v>
      </c>
      <c r="S6" s="10">
        <v>2.0</v>
      </c>
      <c r="T6" s="10">
        <v>2.0</v>
      </c>
      <c r="U6" s="10">
        <f t="shared" si="5"/>
        <v>1.555555556</v>
      </c>
      <c r="Z6" s="17"/>
    </row>
    <row r="7">
      <c r="A7" s="24" t="s">
        <v>30</v>
      </c>
      <c r="B7" s="24" t="s">
        <v>84</v>
      </c>
      <c r="C7" s="10">
        <v>4.0</v>
      </c>
      <c r="D7" s="10">
        <v>0.0</v>
      </c>
      <c r="E7" s="10">
        <v>1.0</v>
      </c>
      <c r="F7" s="35"/>
      <c r="G7" s="35">
        <f t="shared" si="1"/>
        <v>-0.25</v>
      </c>
      <c r="H7" s="35"/>
      <c r="I7" s="35"/>
      <c r="J7" s="10">
        <v>3.0</v>
      </c>
      <c r="K7" s="35"/>
      <c r="L7" s="35"/>
      <c r="M7" s="10">
        <v>3.0</v>
      </c>
      <c r="N7" s="35">
        <f t="shared" si="2"/>
        <v>1</v>
      </c>
      <c r="O7" s="35">
        <f t="shared" si="3"/>
        <v>0</v>
      </c>
      <c r="P7" s="10">
        <f t="shared" si="4"/>
        <v>0</v>
      </c>
      <c r="Q7" s="35"/>
      <c r="R7" s="35"/>
      <c r="S7" s="35"/>
      <c r="T7" s="35"/>
      <c r="U7" s="10" t="str">
        <f t="shared" si="5"/>
        <v>N/A</v>
      </c>
      <c r="Z7" s="17"/>
    </row>
    <row r="8">
      <c r="A8" s="25" t="s">
        <v>32</v>
      </c>
      <c r="B8" s="25" t="s">
        <v>45</v>
      </c>
      <c r="C8" s="10">
        <v>7.0</v>
      </c>
      <c r="D8" s="10">
        <v>0.0</v>
      </c>
      <c r="E8" s="10">
        <v>5.0</v>
      </c>
      <c r="F8" s="35"/>
      <c r="G8" s="35">
        <f t="shared" si="1"/>
        <v>-0.7142857143</v>
      </c>
      <c r="H8" s="35"/>
      <c r="I8" s="35"/>
      <c r="J8" s="10">
        <v>6.0</v>
      </c>
      <c r="K8" s="35"/>
      <c r="L8" s="35"/>
      <c r="M8" s="10">
        <v>7.0</v>
      </c>
      <c r="N8" s="35">
        <f t="shared" si="2"/>
        <v>1</v>
      </c>
      <c r="O8" s="35">
        <f t="shared" si="3"/>
        <v>0</v>
      </c>
      <c r="P8" s="10">
        <f t="shared" si="4"/>
        <v>2</v>
      </c>
      <c r="Q8" s="35"/>
      <c r="R8" s="10">
        <v>2.0</v>
      </c>
      <c r="S8" s="35"/>
      <c r="T8" s="35"/>
      <c r="U8" s="10">
        <f t="shared" si="5"/>
        <v>1</v>
      </c>
    </row>
    <row r="9">
      <c r="A9" s="26" t="s">
        <v>34</v>
      </c>
      <c r="B9" s="26" t="s">
        <v>85</v>
      </c>
      <c r="C9" s="10">
        <v>3.0</v>
      </c>
      <c r="D9" s="10">
        <v>1.0</v>
      </c>
      <c r="E9" s="10">
        <v>0.0</v>
      </c>
      <c r="F9" s="35"/>
      <c r="G9" s="35">
        <f t="shared" si="1"/>
        <v>0.3333333333</v>
      </c>
      <c r="H9" s="35"/>
      <c r="I9" s="35"/>
      <c r="J9" s="10">
        <v>1.0</v>
      </c>
      <c r="K9" s="35"/>
      <c r="L9" s="10">
        <v>1.0</v>
      </c>
      <c r="M9" s="10">
        <v>2.0</v>
      </c>
      <c r="N9" s="35">
        <f t="shared" si="2"/>
        <v>0.5</v>
      </c>
      <c r="O9" s="35">
        <f t="shared" si="3"/>
        <v>0</v>
      </c>
      <c r="P9" s="10">
        <f t="shared" si="4"/>
        <v>2</v>
      </c>
      <c r="Q9" s="35"/>
      <c r="R9" s="10">
        <v>1.0</v>
      </c>
      <c r="S9" s="10">
        <v>1.0</v>
      </c>
      <c r="T9" s="35"/>
      <c r="U9" s="10">
        <f t="shared" si="5"/>
        <v>1.5</v>
      </c>
    </row>
    <row r="10">
      <c r="M10" s="52"/>
      <c r="N10" s="52"/>
      <c r="O10" s="52"/>
      <c r="P10" s="52"/>
      <c r="Q10" s="52"/>
      <c r="R10" s="52"/>
      <c r="S10" s="52"/>
      <c r="T10" s="52"/>
      <c r="U10" s="52"/>
    </row>
    <row r="11">
      <c r="M11" s="52"/>
      <c r="N11" s="52"/>
      <c r="O11" s="52"/>
    </row>
    <row r="12">
      <c r="M12" s="52"/>
      <c r="N12" s="52"/>
      <c r="O12" s="52"/>
    </row>
    <row r="13">
      <c r="M13" s="52"/>
      <c r="N13" s="52"/>
      <c r="O13" s="52"/>
    </row>
    <row r="14">
      <c r="M14" s="52"/>
      <c r="N14" s="52"/>
      <c r="O14" s="52"/>
    </row>
    <row r="15">
      <c r="M15" s="52"/>
      <c r="N15" s="52"/>
      <c r="O15" s="52"/>
    </row>
    <row r="16">
      <c r="M16" s="52"/>
      <c r="N16" s="52"/>
      <c r="O16" s="52"/>
    </row>
    <row r="17">
      <c r="M17" s="52"/>
      <c r="N17" s="52"/>
      <c r="O17" s="52"/>
    </row>
    <row r="18">
      <c r="M18" s="52"/>
      <c r="N18" s="52"/>
      <c r="O18" s="52"/>
    </row>
    <row r="19">
      <c r="M19" s="52"/>
      <c r="N19" s="52"/>
      <c r="O19" s="52"/>
    </row>
    <row r="20">
      <c r="M20" s="52"/>
      <c r="N20" s="52"/>
      <c r="O20" s="52"/>
    </row>
    <row r="21">
      <c r="M21" s="52"/>
      <c r="N21" s="52"/>
      <c r="O21" s="52"/>
    </row>
    <row r="22">
      <c r="M22" s="52"/>
      <c r="N22" s="52"/>
      <c r="O22" s="52"/>
    </row>
    <row r="23">
      <c r="M23" s="52"/>
      <c r="N23" s="52"/>
      <c r="O23" s="52"/>
    </row>
    <row r="24">
      <c r="M24" s="52"/>
      <c r="N24" s="52"/>
      <c r="O24" s="52"/>
    </row>
    <row r="25">
      <c r="M25" s="52"/>
      <c r="N25" s="52"/>
      <c r="O25" s="52"/>
    </row>
    <row r="26">
      <c r="M26" s="52"/>
      <c r="N26" s="52"/>
      <c r="O26" s="52"/>
    </row>
    <row r="27">
      <c r="M27" s="52"/>
      <c r="N27" s="52"/>
      <c r="O27" s="52"/>
    </row>
    <row r="28">
      <c r="M28" s="52"/>
      <c r="N28" s="52"/>
      <c r="O28" s="52"/>
    </row>
    <row r="29">
      <c r="M29" s="52"/>
      <c r="N29" s="52"/>
      <c r="O29" s="52"/>
    </row>
    <row r="30">
      <c r="M30" s="52"/>
      <c r="N30" s="52"/>
      <c r="O30" s="52"/>
    </row>
    <row r="31">
      <c r="M31" s="52"/>
      <c r="N31" s="52"/>
      <c r="O31" s="52"/>
    </row>
    <row r="32">
      <c r="M32" s="52"/>
      <c r="N32" s="52"/>
      <c r="O32" s="52"/>
    </row>
    <row r="33">
      <c r="M33" s="52"/>
      <c r="N33" s="52"/>
      <c r="O33" s="52"/>
    </row>
    <row r="34">
      <c r="M34" s="52"/>
      <c r="N34" s="52"/>
      <c r="O34" s="52"/>
    </row>
    <row r="35">
      <c r="M35" s="52"/>
      <c r="N35" s="52"/>
      <c r="O35" s="52"/>
    </row>
    <row r="36">
      <c r="M36" s="52"/>
      <c r="N36" s="52"/>
      <c r="O36" s="52"/>
    </row>
    <row r="37">
      <c r="M37" s="52"/>
      <c r="N37" s="52"/>
      <c r="O37" s="52"/>
    </row>
    <row r="38">
      <c r="M38" s="52"/>
      <c r="N38" s="52"/>
      <c r="O38" s="52"/>
    </row>
    <row r="39">
      <c r="M39" s="52"/>
      <c r="N39" s="52"/>
      <c r="O39" s="52"/>
    </row>
    <row r="40">
      <c r="M40" s="52"/>
      <c r="N40" s="52"/>
      <c r="O40" s="52"/>
    </row>
    <row r="41">
      <c r="M41" s="52"/>
      <c r="N41" s="52"/>
      <c r="O41" s="52"/>
    </row>
    <row r="42">
      <c r="M42" s="52"/>
      <c r="N42" s="52"/>
      <c r="O42" s="52"/>
    </row>
    <row r="43">
      <c r="M43" s="52"/>
      <c r="N43" s="52"/>
      <c r="O43" s="52"/>
    </row>
    <row r="44">
      <c r="M44" s="52"/>
      <c r="N44" s="52"/>
      <c r="O44" s="52"/>
    </row>
    <row r="45">
      <c r="M45" s="52"/>
      <c r="N45" s="52"/>
      <c r="O45" s="52"/>
    </row>
    <row r="46">
      <c r="M46" s="52"/>
      <c r="N46" s="52"/>
      <c r="O46" s="52"/>
    </row>
    <row r="47">
      <c r="M47" s="52"/>
      <c r="N47" s="52"/>
      <c r="O47" s="52"/>
    </row>
    <row r="48">
      <c r="M48" s="52"/>
      <c r="N48" s="52"/>
      <c r="O48" s="52"/>
    </row>
    <row r="49">
      <c r="M49" s="52"/>
      <c r="N49" s="52"/>
      <c r="O49" s="52"/>
    </row>
    <row r="50">
      <c r="M50" s="52"/>
      <c r="N50" s="52"/>
      <c r="O50" s="52"/>
    </row>
    <row r="51">
      <c r="M51" s="52"/>
      <c r="N51" s="52"/>
      <c r="O51" s="52"/>
    </row>
    <row r="52">
      <c r="M52" s="52"/>
      <c r="N52" s="52"/>
      <c r="O52" s="52"/>
    </row>
    <row r="53">
      <c r="M53" s="52"/>
      <c r="N53" s="52"/>
      <c r="O53" s="52"/>
    </row>
    <row r="54">
      <c r="M54" s="52"/>
      <c r="N54" s="52"/>
      <c r="O54" s="52"/>
    </row>
    <row r="55">
      <c r="M55" s="52"/>
      <c r="N55" s="52"/>
      <c r="O55" s="52"/>
    </row>
    <row r="56">
      <c r="M56" s="52"/>
      <c r="N56" s="52"/>
      <c r="O56" s="52"/>
    </row>
    <row r="57">
      <c r="M57" s="52"/>
      <c r="N57" s="52"/>
      <c r="O57" s="52"/>
    </row>
    <row r="58">
      <c r="M58" s="52"/>
      <c r="N58" s="52"/>
      <c r="O58" s="52"/>
    </row>
    <row r="59">
      <c r="M59" s="52"/>
      <c r="N59" s="52"/>
      <c r="O59" s="52"/>
    </row>
    <row r="60">
      <c r="M60" s="52"/>
      <c r="N60" s="52"/>
      <c r="O60" s="52"/>
    </row>
    <row r="61">
      <c r="M61" s="52"/>
      <c r="N61" s="52"/>
      <c r="O61" s="52"/>
    </row>
    <row r="62">
      <c r="M62" s="52"/>
      <c r="N62" s="52"/>
      <c r="O62" s="52"/>
    </row>
    <row r="63">
      <c r="M63" s="52"/>
      <c r="N63" s="52"/>
      <c r="O63" s="52"/>
    </row>
    <row r="64">
      <c r="M64" s="52"/>
      <c r="N64" s="52"/>
      <c r="O64" s="52"/>
    </row>
    <row r="65">
      <c r="M65" s="52"/>
      <c r="N65" s="52"/>
      <c r="O65" s="52"/>
    </row>
    <row r="66">
      <c r="M66" s="52"/>
      <c r="N66" s="52"/>
      <c r="O66" s="52"/>
    </row>
    <row r="67">
      <c r="M67" s="52"/>
      <c r="N67" s="52"/>
      <c r="O67" s="52"/>
    </row>
    <row r="68">
      <c r="M68" s="52"/>
      <c r="N68" s="52"/>
      <c r="O68" s="52"/>
    </row>
    <row r="69">
      <c r="M69" s="52"/>
      <c r="N69" s="52"/>
      <c r="O69" s="52"/>
    </row>
    <row r="70">
      <c r="M70" s="52"/>
      <c r="N70" s="52"/>
      <c r="O70" s="52"/>
    </row>
    <row r="71">
      <c r="M71" s="52"/>
      <c r="N71" s="52"/>
      <c r="O71" s="52"/>
    </row>
    <row r="72">
      <c r="M72" s="52"/>
      <c r="N72" s="52"/>
      <c r="O72" s="52"/>
    </row>
    <row r="73">
      <c r="M73" s="52"/>
      <c r="N73" s="52"/>
      <c r="O73" s="52"/>
    </row>
    <row r="74">
      <c r="M74" s="52"/>
      <c r="N74" s="52"/>
      <c r="O74" s="52"/>
    </row>
    <row r="75">
      <c r="M75" s="52"/>
      <c r="N75" s="52"/>
      <c r="O75" s="52"/>
    </row>
    <row r="76">
      <c r="M76" s="52"/>
      <c r="N76" s="52"/>
      <c r="O76" s="52"/>
    </row>
    <row r="77">
      <c r="M77" s="52"/>
      <c r="N77" s="52"/>
      <c r="O77" s="52"/>
    </row>
    <row r="78">
      <c r="M78" s="52"/>
      <c r="N78" s="52"/>
      <c r="O78" s="52"/>
    </row>
    <row r="79">
      <c r="M79" s="52"/>
      <c r="N79" s="52"/>
      <c r="O79" s="52"/>
    </row>
    <row r="80">
      <c r="M80" s="52"/>
      <c r="N80" s="52"/>
      <c r="O80" s="52"/>
    </row>
    <row r="81">
      <c r="M81" s="52"/>
      <c r="N81" s="52"/>
      <c r="O81" s="52"/>
    </row>
    <row r="82">
      <c r="M82" s="52"/>
      <c r="N82" s="52"/>
      <c r="O82" s="52"/>
    </row>
    <row r="83">
      <c r="M83" s="52"/>
      <c r="N83" s="52"/>
      <c r="O83" s="52"/>
    </row>
    <row r="84">
      <c r="M84" s="52"/>
      <c r="N84" s="52"/>
      <c r="O84" s="52"/>
    </row>
    <row r="85">
      <c r="M85" s="52"/>
      <c r="N85" s="52"/>
      <c r="O85" s="52"/>
    </row>
    <row r="86">
      <c r="M86" s="52"/>
      <c r="N86" s="52"/>
      <c r="O86" s="52"/>
    </row>
    <row r="87">
      <c r="M87" s="52"/>
      <c r="N87" s="52"/>
      <c r="O87" s="52"/>
    </row>
    <row r="88">
      <c r="M88" s="52"/>
      <c r="N88" s="52"/>
      <c r="O88" s="52"/>
    </row>
    <row r="89">
      <c r="M89" s="52"/>
      <c r="N89" s="52"/>
      <c r="O89" s="52"/>
    </row>
    <row r="90">
      <c r="M90" s="52"/>
      <c r="N90" s="52"/>
      <c r="O90" s="52"/>
    </row>
    <row r="91">
      <c r="M91" s="52"/>
      <c r="N91" s="52"/>
      <c r="O91" s="52"/>
    </row>
    <row r="92">
      <c r="M92" s="52"/>
      <c r="N92" s="52"/>
      <c r="O92" s="52"/>
    </row>
    <row r="93">
      <c r="M93" s="52"/>
      <c r="N93" s="52"/>
      <c r="O93" s="52"/>
    </row>
    <row r="94">
      <c r="M94" s="52"/>
      <c r="N94" s="52"/>
      <c r="O94" s="52"/>
    </row>
    <row r="95">
      <c r="M95" s="52"/>
      <c r="N95" s="52"/>
      <c r="O95" s="52"/>
    </row>
    <row r="96">
      <c r="M96" s="52"/>
      <c r="N96" s="52"/>
      <c r="O96" s="52"/>
    </row>
    <row r="97">
      <c r="M97" s="52"/>
      <c r="N97" s="52"/>
      <c r="O97" s="52"/>
    </row>
    <row r="98">
      <c r="M98" s="52"/>
      <c r="N98" s="52"/>
      <c r="O98" s="52"/>
    </row>
    <row r="99">
      <c r="M99" s="52"/>
      <c r="N99" s="52"/>
      <c r="O99" s="52"/>
    </row>
    <row r="100">
      <c r="M100" s="52"/>
      <c r="N100" s="52"/>
      <c r="O100" s="52"/>
    </row>
    <row r="101">
      <c r="M101" s="52"/>
      <c r="N101" s="52"/>
      <c r="O101" s="52"/>
    </row>
    <row r="102">
      <c r="M102" s="52"/>
      <c r="N102" s="52"/>
      <c r="O102" s="52"/>
    </row>
    <row r="103">
      <c r="M103" s="52"/>
      <c r="N103" s="52"/>
      <c r="O103" s="52"/>
    </row>
    <row r="104">
      <c r="M104" s="52"/>
      <c r="N104" s="52"/>
      <c r="O104" s="52"/>
    </row>
    <row r="105">
      <c r="M105" s="52"/>
      <c r="N105" s="52"/>
      <c r="O105" s="52"/>
    </row>
    <row r="106">
      <c r="M106" s="52"/>
      <c r="N106" s="52"/>
      <c r="O106" s="52"/>
    </row>
    <row r="107">
      <c r="M107" s="52"/>
      <c r="N107" s="52"/>
      <c r="O107" s="52"/>
    </row>
    <row r="108">
      <c r="M108" s="52"/>
      <c r="N108" s="52"/>
      <c r="O108" s="52"/>
    </row>
    <row r="109">
      <c r="M109" s="52"/>
      <c r="N109" s="52"/>
      <c r="O109" s="52"/>
    </row>
    <row r="110">
      <c r="M110" s="52"/>
      <c r="N110" s="52"/>
      <c r="O110" s="52"/>
    </row>
    <row r="111">
      <c r="M111" s="52"/>
      <c r="N111" s="52"/>
      <c r="O111" s="52"/>
    </row>
    <row r="112">
      <c r="M112" s="52"/>
      <c r="N112" s="52"/>
      <c r="O112" s="52"/>
    </row>
    <row r="113">
      <c r="M113" s="52"/>
      <c r="N113" s="52"/>
      <c r="O113" s="52"/>
    </row>
    <row r="114">
      <c r="M114" s="52"/>
      <c r="N114" s="52"/>
      <c r="O114" s="52"/>
    </row>
    <row r="115">
      <c r="M115" s="52"/>
      <c r="N115" s="52"/>
      <c r="O115" s="52"/>
    </row>
    <row r="116">
      <c r="M116" s="52"/>
      <c r="N116" s="52"/>
      <c r="O116" s="52"/>
    </row>
    <row r="117">
      <c r="M117" s="52"/>
      <c r="N117" s="52"/>
      <c r="O117" s="52"/>
    </row>
    <row r="118">
      <c r="M118" s="52"/>
      <c r="N118" s="52"/>
      <c r="O118" s="52"/>
    </row>
    <row r="119">
      <c r="M119" s="52"/>
      <c r="N119" s="52"/>
      <c r="O119" s="52"/>
    </row>
    <row r="120">
      <c r="M120" s="52"/>
      <c r="N120" s="52"/>
      <c r="O120" s="52"/>
    </row>
    <row r="121">
      <c r="M121" s="52"/>
      <c r="N121" s="52"/>
      <c r="O121" s="52"/>
    </row>
    <row r="122">
      <c r="M122" s="52"/>
      <c r="N122" s="52"/>
      <c r="O122" s="52"/>
    </row>
    <row r="123">
      <c r="M123" s="52"/>
      <c r="N123" s="52"/>
      <c r="O123" s="52"/>
    </row>
    <row r="124">
      <c r="M124" s="52"/>
      <c r="N124" s="52"/>
      <c r="O124" s="52"/>
    </row>
    <row r="125">
      <c r="M125" s="52"/>
      <c r="N125" s="52"/>
      <c r="O125" s="52"/>
    </row>
    <row r="126">
      <c r="M126" s="52"/>
      <c r="N126" s="52"/>
      <c r="O126" s="52"/>
    </row>
    <row r="127">
      <c r="M127" s="52"/>
      <c r="N127" s="52"/>
      <c r="O127" s="52"/>
    </row>
    <row r="128">
      <c r="M128" s="52"/>
      <c r="N128" s="52"/>
      <c r="O128" s="52"/>
    </row>
    <row r="129">
      <c r="M129" s="52"/>
      <c r="N129" s="52"/>
      <c r="O129" s="52"/>
    </row>
    <row r="130">
      <c r="M130" s="52"/>
      <c r="N130" s="52"/>
      <c r="O130" s="52"/>
    </row>
    <row r="131">
      <c r="M131" s="52"/>
      <c r="N131" s="52"/>
      <c r="O131" s="52"/>
    </row>
    <row r="132">
      <c r="M132" s="52"/>
      <c r="N132" s="52"/>
      <c r="O132" s="52"/>
    </row>
    <row r="133">
      <c r="M133" s="52"/>
      <c r="N133" s="52"/>
      <c r="O133" s="52"/>
    </row>
    <row r="134">
      <c r="M134" s="52"/>
      <c r="N134" s="52"/>
      <c r="O134" s="52"/>
    </row>
    <row r="135">
      <c r="M135" s="52"/>
      <c r="N135" s="52"/>
      <c r="O135" s="52"/>
    </row>
    <row r="136">
      <c r="M136" s="52"/>
      <c r="N136" s="52"/>
      <c r="O136" s="52"/>
    </row>
    <row r="137">
      <c r="M137" s="52"/>
      <c r="N137" s="52"/>
      <c r="O137" s="52"/>
    </row>
    <row r="138">
      <c r="M138" s="52"/>
      <c r="N138" s="52"/>
      <c r="O138" s="52"/>
    </row>
    <row r="139">
      <c r="M139" s="52"/>
      <c r="N139" s="52"/>
      <c r="O139" s="52"/>
    </row>
    <row r="140">
      <c r="M140" s="52"/>
      <c r="N140" s="52"/>
      <c r="O140" s="52"/>
    </row>
    <row r="141">
      <c r="M141" s="52"/>
      <c r="N141" s="52"/>
      <c r="O141" s="52"/>
    </row>
    <row r="142">
      <c r="M142" s="52"/>
      <c r="N142" s="52"/>
      <c r="O142" s="52"/>
    </row>
    <row r="143">
      <c r="M143" s="52"/>
      <c r="N143" s="52"/>
      <c r="O143" s="52"/>
    </row>
    <row r="144">
      <c r="M144" s="52"/>
      <c r="N144" s="52"/>
      <c r="O144" s="52"/>
    </row>
    <row r="145">
      <c r="M145" s="52"/>
      <c r="N145" s="52"/>
      <c r="O145" s="52"/>
    </row>
    <row r="146">
      <c r="M146" s="52"/>
      <c r="N146" s="52"/>
      <c r="O146" s="52"/>
    </row>
    <row r="147">
      <c r="M147" s="52"/>
      <c r="N147" s="52"/>
      <c r="O147" s="52"/>
    </row>
    <row r="148">
      <c r="M148" s="52"/>
      <c r="N148" s="52"/>
      <c r="O148" s="52"/>
    </row>
    <row r="149">
      <c r="M149" s="52"/>
      <c r="N149" s="52"/>
      <c r="O149" s="52"/>
    </row>
    <row r="150">
      <c r="M150" s="52"/>
      <c r="N150" s="52"/>
      <c r="O150" s="52"/>
    </row>
    <row r="151">
      <c r="M151" s="52"/>
      <c r="N151" s="52"/>
      <c r="O151" s="52"/>
    </row>
    <row r="152">
      <c r="M152" s="52"/>
      <c r="N152" s="52"/>
      <c r="O152" s="52"/>
    </row>
    <row r="153">
      <c r="M153" s="52"/>
      <c r="N153" s="52"/>
      <c r="O153" s="52"/>
    </row>
    <row r="154">
      <c r="M154" s="52"/>
      <c r="N154" s="52"/>
      <c r="O154" s="52"/>
    </row>
    <row r="155">
      <c r="M155" s="52"/>
      <c r="N155" s="52"/>
      <c r="O155" s="52"/>
    </row>
    <row r="156">
      <c r="M156" s="52"/>
      <c r="N156" s="52"/>
      <c r="O156" s="52"/>
    </row>
    <row r="157">
      <c r="M157" s="52"/>
      <c r="N157" s="52"/>
      <c r="O157" s="52"/>
    </row>
    <row r="158">
      <c r="M158" s="52"/>
      <c r="N158" s="52"/>
      <c r="O158" s="52"/>
    </row>
    <row r="159">
      <c r="M159" s="52"/>
      <c r="N159" s="52"/>
      <c r="O159" s="52"/>
    </row>
    <row r="160">
      <c r="M160" s="52"/>
      <c r="N160" s="52"/>
      <c r="O160" s="52"/>
    </row>
    <row r="161">
      <c r="M161" s="52"/>
      <c r="N161" s="52"/>
      <c r="O161" s="52"/>
    </row>
    <row r="162">
      <c r="M162" s="52"/>
      <c r="N162" s="52"/>
      <c r="O162" s="52"/>
    </row>
    <row r="163">
      <c r="M163" s="52"/>
      <c r="N163" s="52"/>
      <c r="O163" s="52"/>
    </row>
    <row r="164">
      <c r="M164" s="52"/>
      <c r="N164" s="52"/>
      <c r="O164" s="52"/>
    </row>
    <row r="165">
      <c r="M165" s="52"/>
      <c r="N165" s="52"/>
      <c r="O165" s="52"/>
    </row>
    <row r="166">
      <c r="M166" s="52"/>
      <c r="N166" s="52"/>
      <c r="O166" s="52"/>
    </row>
    <row r="167">
      <c r="M167" s="52"/>
      <c r="N167" s="52"/>
      <c r="O167" s="52"/>
    </row>
    <row r="168">
      <c r="M168" s="52"/>
      <c r="N168" s="52"/>
      <c r="O168" s="52"/>
    </row>
    <row r="169">
      <c r="M169" s="52"/>
      <c r="N169" s="52"/>
      <c r="O169" s="52"/>
    </row>
    <row r="170">
      <c r="M170" s="52"/>
      <c r="N170" s="52"/>
      <c r="O170" s="52"/>
    </row>
    <row r="171">
      <c r="M171" s="52"/>
      <c r="N171" s="52"/>
      <c r="O171" s="52"/>
    </row>
    <row r="172">
      <c r="M172" s="52"/>
      <c r="N172" s="52"/>
      <c r="O172" s="52"/>
    </row>
    <row r="173">
      <c r="M173" s="52"/>
      <c r="N173" s="52"/>
      <c r="O173" s="52"/>
    </row>
    <row r="174">
      <c r="M174" s="52"/>
      <c r="N174" s="52"/>
      <c r="O174" s="52"/>
    </row>
    <row r="175">
      <c r="M175" s="52"/>
      <c r="N175" s="52"/>
      <c r="O175" s="52"/>
    </row>
    <row r="176">
      <c r="M176" s="52"/>
      <c r="N176" s="52"/>
      <c r="O176" s="52"/>
    </row>
    <row r="177">
      <c r="M177" s="52"/>
      <c r="N177" s="52"/>
      <c r="O177" s="52"/>
    </row>
    <row r="178">
      <c r="M178" s="52"/>
      <c r="N178" s="52"/>
      <c r="O178" s="52"/>
    </row>
    <row r="179">
      <c r="M179" s="52"/>
      <c r="N179" s="52"/>
      <c r="O179" s="52"/>
    </row>
    <row r="180">
      <c r="M180" s="52"/>
      <c r="N180" s="52"/>
      <c r="O180" s="52"/>
    </row>
    <row r="181">
      <c r="M181" s="52"/>
      <c r="N181" s="52"/>
      <c r="O181" s="52"/>
    </row>
    <row r="182">
      <c r="M182" s="52"/>
      <c r="N182" s="52"/>
      <c r="O182" s="52"/>
    </row>
    <row r="183">
      <c r="M183" s="52"/>
      <c r="N183" s="52"/>
      <c r="O183" s="52"/>
    </row>
    <row r="184">
      <c r="M184" s="52"/>
      <c r="N184" s="52"/>
      <c r="O184" s="52"/>
    </row>
    <row r="185">
      <c r="M185" s="52"/>
      <c r="N185" s="52"/>
      <c r="O185" s="52"/>
    </row>
    <row r="186">
      <c r="M186" s="52"/>
      <c r="N186" s="52"/>
      <c r="O186" s="52"/>
    </row>
    <row r="187">
      <c r="M187" s="52"/>
      <c r="N187" s="52"/>
      <c r="O187" s="52"/>
    </row>
    <row r="188">
      <c r="M188" s="52"/>
      <c r="N188" s="52"/>
      <c r="O188" s="52"/>
    </row>
    <row r="189">
      <c r="M189" s="52"/>
      <c r="N189" s="52"/>
      <c r="O189" s="52"/>
    </row>
    <row r="190">
      <c r="M190" s="52"/>
      <c r="N190" s="52"/>
      <c r="O190" s="52"/>
    </row>
    <row r="191">
      <c r="M191" s="52"/>
      <c r="N191" s="52"/>
      <c r="O191" s="52"/>
    </row>
    <row r="192">
      <c r="M192" s="52"/>
      <c r="N192" s="52"/>
      <c r="O192" s="52"/>
    </row>
    <row r="193">
      <c r="M193" s="52"/>
      <c r="N193" s="52"/>
      <c r="O193" s="52"/>
    </row>
    <row r="194">
      <c r="M194" s="52"/>
      <c r="N194" s="52"/>
      <c r="O194" s="52"/>
    </row>
    <row r="195">
      <c r="M195" s="52"/>
      <c r="N195" s="52"/>
      <c r="O195" s="52"/>
    </row>
    <row r="196">
      <c r="M196" s="52"/>
      <c r="N196" s="52"/>
      <c r="O196" s="52"/>
    </row>
    <row r="197">
      <c r="M197" s="52"/>
      <c r="N197" s="52"/>
      <c r="O197" s="52"/>
    </row>
    <row r="198">
      <c r="M198" s="52"/>
      <c r="N198" s="52"/>
      <c r="O198" s="52"/>
    </row>
    <row r="199">
      <c r="M199" s="52"/>
      <c r="N199" s="52"/>
      <c r="O199" s="52"/>
    </row>
    <row r="200">
      <c r="M200" s="52"/>
      <c r="N200" s="52"/>
      <c r="O200" s="52"/>
    </row>
    <row r="201">
      <c r="M201" s="52"/>
      <c r="N201" s="52"/>
      <c r="O201" s="52"/>
    </row>
    <row r="202">
      <c r="M202" s="52"/>
      <c r="N202" s="52"/>
      <c r="O202" s="52"/>
    </row>
    <row r="203">
      <c r="M203" s="52"/>
      <c r="N203" s="52"/>
      <c r="O203" s="52"/>
    </row>
    <row r="204">
      <c r="M204" s="52"/>
      <c r="N204" s="52"/>
      <c r="O204" s="52"/>
    </row>
    <row r="205">
      <c r="M205" s="52"/>
      <c r="N205" s="52"/>
      <c r="O205" s="52"/>
    </row>
    <row r="206">
      <c r="M206" s="52"/>
      <c r="N206" s="52"/>
      <c r="O206" s="52"/>
    </row>
    <row r="207">
      <c r="M207" s="52"/>
      <c r="N207" s="52"/>
      <c r="O207" s="52"/>
    </row>
    <row r="208">
      <c r="M208" s="52"/>
      <c r="N208" s="52"/>
      <c r="O208" s="52"/>
    </row>
    <row r="209">
      <c r="M209" s="52"/>
      <c r="N209" s="52"/>
      <c r="O209" s="52"/>
    </row>
    <row r="210">
      <c r="M210" s="52"/>
      <c r="N210" s="52"/>
      <c r="O210" s="52"/>
    </row>
    <row r="211">
      <c r="M211" s="52"/>
      <c r="N211" s="52"/>
      <c r="O211" s="52"/>
    </row>
    <row r="212">
      <c r="M212" s="52"/>
      <c r="N212" s="52"/>
      <c r="O212" s="52"/>
    </row>
    <row r="213">
      <c r="M213" s="52"/>
      <c r="N213" s="52"/>
      <c r="O213" s="52"/>
    </row>
    <row r="214">
      <c r="M214" s="52"/>
      <c r="N214" s="52"/>
      <c r="O214" s="52"/>
    </row>
    <row r="215">
      <c r="M215" s="52"/>
      <c r="N215" s="52"/>
      <c r="O215" s="52"/>
    </row>
    <row r="216">
      <c r="M216" s="52"/>
      <c r="N216" s="52"/>
      <c r="O216" s="52"/>
    </row>
    <row r="217">
      <c r="M217" s="52"/>
      <c r="N217" s="52"/>
      <c r="O217" s="52"/>
    </row>
    <row r="218">
      <c r="M218" s="52"/>
      <c r="N218" s="52"/>
      <c r="O218" s="52"/>
    </row>
    <row r="219">
      <c r="M219" s="52"/>
      <c r="N219" s="52"/>
      <c r="O219" s="52"/>
    </row>
    <row r="220">
      <c r="M220" s="52"/>
      <c r="N220" s="52"/>
      <c r="O220" s="52"/>
    </row>
    <row r="221">
      <c r="M221" s="52"/>
      <c r="N221" s="52"/>
      <c r="O221" s="52"/>
    </row>
    <row r="222">
      <c r="M222" s="52"/>
      <c r="N222" s="52"/>
      <c r="O222" s="52"/>
    </row>
    <row r="223">
      <c r="M223" s="52"/>
      <c r="N223" s="52"/>
      <c r="O223" s="52"/>
    </row>
    <row r="224">
      <c r="M224" s="52"/>
      <c r="N224" s="52"/>
      <c r="O224" s="52"/>
    </row>
    <row r="225">
      <c r="M225" s="52"/>
      <c r="N225" s="52"/>
      <c r="O225" s="52"/>
    </row>
    <row r="226">
      <c r="M226" s="52"/>
      <c r="N226" s="52"/>
      <c r="O226" s="52"/>
    </row>
    <row r="227">
      <c r="M227" s="52"/>
      <c r="N227" s="52"/>
      <c r="O227" s="52"/>
    </row>
    <row r="228">
      <c r="M228" s="52"/>
      <c r="N228" s="52"/>
      <c r="O228" s="52"/>
    </row>
    <row r="229">
      <c r="M229" s="52"/>
      <c r="N229" s="52"/>
      <c r="O229" s="52"/>
    </row>
    <row r="230">
      <c r="M230" s="52"/>
      <c r="N230" s="52"/>
      <c r="O230" s="52"/>
    </row>
    <row r="231">
      <c r="M231" s="52"/>
      <c r="N231" s="52"/>
      <c r="O231" s="52"/>
    </row>
    <row r="232">
      <c r="M232" s="52"/>
      <c r="N232" s="52"/>
      <c r="O232" s="52"/>
    </row>
    <row r="233">
      <c r="M233" s="52"/>
      <c r="N233" s="52"/>
      <c r="O233" s="52"/>
    </row>
    <row r="234">
      <c r="M234" s="52"/>
      <c r="N234" s="52"/>
      <c r="O234" s="52"/>
    </row>
    <row r="235">
      <c r="M235" s="52"/>
      <c r="N235" s="52"/>
      <c r="O235" s="52"/>
    </row>
    <row r="236">
      <c r="M236" s="52"/>
      <c r="N236" s="52"/>
      <c r="O236" s="52"/>
    </row>
    <row r="237">
      <c r="M237" s="52"/>
      <c r="N237" s="52"/>
      <c r="O237" s="52"/>
    </row>
    <row r="238">
      <c r="M238" s="52"/>
      <c r="N238" s="52"/>
      <c r="O238" s="52"/>
    </row>
    <row r="239">
      <c r="M239" s="52"/>
      <c r="N239" s="52"/>
      <c r="O239" s="52"/>
    </row>
    <row r="240">
      <c r="M240" s="52"/>
      <c r="N240" s="52"/>
      <c r="O240" s="52"/>
    </row>
    <row r="241">
      <c r="M241" s="52"/>
      <c r="N241" s="52"/>
      <c r="O241" s="52"/>
    </row>
    <row r="242">
      <c r="M242" s="52"/>
      <c r="N242" s="52"/>
      <c r="O242" s="52"/>
    </row>
    <row r="243">
      <c r="M243" s="52"/>
      <c r="N243" s="52"/>
      <c r="O243" s="52"/>
    </row>
    <row r="244">
      <c r="M244" s="52"/>
      <c r="N244" s="52"/>
      <c r="O244" s="52"/>
    </row>
    <row r="245">
      <c r="M245" s="52"/>
      <c r="N245" s="52"/>
      <c r="O245" s="52"/>
    </row>
    <row r="246">
      <c r="M246" s="52"/>
      <c r="N246" s="52"/>
      <c r="O246" s="52"/>
    </row>
    <row r="247">
      <c r="M247" s="52"/>
      <c r="N247" s="52"/>
      <c r="O247" s="52"/>
    </row>
    <row r="248">
      <c r="M248" s="52"/>
      <c r="N248" s="52"/>
      <c r="O248" s="52"/>
    </row>
    <row r="249">
      <c r="M249" s="52"/>
      <c r="N249" s="52"/>
      <c r="O249" s="52"/>
    </row>
    <row r="250">
      <c r="M250" s="52"/>
      <c r="N250" s="52"/>
      <c r="O250" s="52"/>
    </row>
    <row r="251">
      <c r="M251" s="52"/>
      <c r="N251" s="52"/>
      <c r="O251" s="52"/>
    </row>
    <row r="252">
      <c r="M252" s="52"/>
      <c r="N252" s="52"/>
      <c r="O252" s="52"/>
    </row>
    <row r="253">
      <c r="M253" s="52"/>
      <c r="N253" s="52"/>
      <c r="O253" s="52"/>
    </row>
    <row r="254">
      <c r="M254" s="52"/>
      <c r="N254" s="52"/>
      <c r="O254" s="52"/>
    </row>
    <row r="255">
      <c r="M255" s="52"/>
      <c r="N255" s="52"/>
      <c r="O255" s="52"/>
    </row>
    <row r="256">
      <c r="M256" s="52"/>
      <c r="N256" s="52"/>
      <c r="O256" s="52"/>
    </row>
    <row r="257">
      <c r="M257" s="52"/>
      <c r="N257" s="52"/>
      <c r="O257" s="52"/>
    </row>
    <row r="258">
      <c r="M258" s="52"/>
      <c r="N258" s="52"/>
      <c r="O258" s="52"/>
    </row>
    <row r="259">
      <c r="M259" s="52"/>
      <c r="N259" s="52"/>
      <c r="O259" s="52"/>
    </row>
    <row r="260">
      <c r="M260" s="52"/>
      <c r="N260" s="52"/>
      <c r="O260" s="52"/>
    </row>
    <row r="261">
      <c r="M261" s="52"/>
      <c r="N261" s="52"/>
      <c r="O261" s="52"/>
    </row>
    <row r="262">
      <c r="M262" s="52"/>
      <c r="N262" s="52"/>
      <c r="O262" s="52"/>
    </row>
    <row r="263">
      <c r="M263" s="52"/>
      <c r="N263" s="52"/>
      <c r="O263" s="52"/>
    </row>
    <row r="264">
      <c r="M264" s="52"/>
      <c r="N264" s="52"/>
      <c r="O264" s="52"/>
    </row>
    <row r="265">
      <c r="M265" s="52"/>
      <c r="N265" s="52"/>
      <c r="O265" s="52"/>
    </row>
    <row r="266">
      <c r="M266" s="52"/>
      <c r="N266" s="52"/>
      <c r="O266" s="52"/>
    </row>
    <row r="267">
      <c r="M267" s="52"/>
      <c r="N267" s="52"/>
      <c r="O267" s="52"/>
    </row>
    <row r="268">
      <c r="M268" s="52"/>
      <c r="N268" s="52"/>
      <c r="O268" s="52"/>
    </row>
    <row r="269">
      <c r="M269" s="52"/>
      <c r="N269" s="52"/>
      <c r="O269" s="52"/>
    </row>
    <row r="270">
      <c r="M270" s="52"/>
      <c r="N270" s="52"/>
      <c r="O270" s="52"/>
    </row>
    <row r="271">
      <c r="M271" s="52"/>
      <c r="N271" s="52"/>
      <c r="O271" s="52"/>
    </row>
    <row r="272">
      <c r="M272" s="52"/>
      <c r="N272" s="52"/>
      <c r="O272" s="52"/>
    </row>
    <row r="273">
      <c r="M273" s="52"/>
      <c r="N273" s="52"/>
      <c r="O273" s="52"/>
    </row>
    <row r="274">
      <c r="M274" s="52"/>
      <c r="N274" s="52"/>
      <c r="O274" s="52"/>
    </row>
    <row r="275">
      <c r="M275" s="52"/>
      <c r="N275" s="52"/>
      <c r="O275" s="52"/>
    </row>
    <row r="276">
      <c r="M276" s="52"/>
      <c r="N276" s="52"/>
      <c r="O276" s="52"/>
    </row>
    <row r="277">
      <c r="M277" s="52"/>
      <c r="N277" s="52"/>
      <c r="O277" s="52"/>
    </row>
    <row r="278">
      <c r="M278" s="52"/>
      <c r="N278" s="52"/>
      <c r="O278" s="52"/>
    </row>
    <row r="279">
      <c r="M279" s="52"/>
      <c r="N279" s="52"/>
      <c r="O279" s="52"/>
    </row>
    <row r="280">
      <c r="M280" s="52"/>
      <c r="N280" s="52"/>
      <c r="O280" s="52"/>
    </row>
    <row r="281">
      <c r="M281" s="52"/>
      <c r="N281" s="52"/>
      <c r="O281" s="52"/>
    </row>
    <row r="282">
      <c r="M282" s="52"/>
      <c r="N282" s="52"/>
      <c r="O282" s="52"/>
    </row>
    <row r="283">
      <c r="M283" s="52"/>
      <c r="N283" s="52"/>
      <c r="O283" s="52"/>
    </row>
    <row r="284">
      <c r="M284" s="52"/>
      <c r="N284" s="52"/>
      <c r="O284" s="52"/>
    </row>
    <row r="285">
      <c r="M285" s="52"/>
      <c r="N285" s="52"/>
      <c r="O285" s="52"/>
    </row>
    <row r="286">
      <c r="M286" s="52"/>
      <c r="N286" s="52"/>
      <c r="O286" s="52"/>
    </row>
    <row r="287">
      <c r="M287" s="52"/>
      <c r="N287" s="52"/>
      <c r="O287" s="52"/>
    </row>
    <row r="288">
      <c r="M288" s="52"/>
      <c r="N288" s="52"/>
      <c r="O288" s="52"/>
    </row>
    <row r="289">
      <c r="M289" s="52"/>
      <c r="N289" s="52"/>
      <c r="O289" s="52"/>
    </row>
    <row r="290">
      <c r="M290" s="52"/>
      <c r="N290" s="52"/>
      <c r="O290" s="52"/>
    </row>
    <row r="291">
      <c r="M291" s="52"/>
      <c r="N291" s="52"/>
      <c r="O291" s="52"/>
    </row>
    <row r="292">
      <c r="M292" s="52"/>
      <c r="N292" s="52"/>
      <c r="O292" s="52"/>
    </row>
    <row r="293">
      <c r="M293" s="52"/>
      <c r="N293" s="52"/>
      <c r="O293" s="52"/>
    </row>
    <row r="294">
      <c r="M294" s="52"/>
      <c r="N294" s="52"/>
      <c r="O294" s="52"/>
    </row>
    <row r="295">
      <c r="M295" s="52"/>
      <c r="N295" s="52"/>
      <c r="O295" s="52"/>
    </row>
    <row r="296">
      <c r="M296" s="52"/>
      <c r="N296" s="52"/>
      <c r="O296" s="52"/>
    </row>
    <row r="297">
      <c r="M297" s="52"/>
      <c r="N297" s="52"/>
      <c r="O297" s="52"/>
    </row>
    <row r="298">
      <c r="M298" s="52"/>
      <c r="N298" s="52"/>
      <c r="O298" s="52"/>
    </row>
    <row r="299">
      <c r="M299" s="52"/>
      <c r="N299" s="52"/>
      <c r="O299" s="52"/>
    </row>
    <row r="300">
      <c r="M300" s="52"/>
      <c r="N300" s="52"/>
      <c r="O300" s="52"/>
    </row>
    <row r="301">
      <c r="M301" s="52"/>
      <c r="N301" s="52"/>
      <c r="O301" s="52"/>
    </row>
    <row r="302">
      <c r="M302" s="52"/>
      <c r="N302" s="52"/>
      <c r="O302" s="52"/>
    </row>
    <row r="303">
      <c r="M303" s="52"/>
      <c r="N303" s="52"/>
      <c r="O303" s="52"/>
    </row>
    <row r="304">
      <c r="M304" s="52"/>
      <c r="N304" s="52"/>
      <c r="O304" s="52"/>
    </row>
    <row r="305">
      <c r="M305" s="52"/>
      <c r="N305" s="52"/>
      <c r="O305" s="52"/>
    </row>
    <row r="306">
      <c r="M306" s="52"/>
      <c r="N306" s="52"/>
      <c r="O306" s="52"/>
    </row>
    <row r="307">
      <c r="M307" s="52"/>
      <c r="N307" s="52"/>
      <c r="O307" s="52"/>
    </row>
    <row r="308">
      <c r="M308" s="52"/>
      <c r="N308" s="52"/>
      <c r="O308" s="52"/>
    </row>
    <row r="309">
      <c r="M309" s="52"/>
      <c r="N309" s="52"/>
      <c r="O309" s="52"/>
    </row>
    <row r="310">
      <c r="M310" s="52"/>
      <c r="N310" s="52"/>
      <c r="O310" s="52"/>
    </row>
    <row r="311">
      <c r="M311" s="52"/>
      <c r="N311" s="52"/>
      <c r="O311" s="52"/>
    </row>
    <row r="312">
      <c r="M312" s="52"/>
      <c r="N312" s="52"/>
      <c r="O312" s="52"/>
    </row>
    <row r="313">
      <c r="M313" s="52"/>
      <c r="N313" s="52"/>
      <c r="O313" s="52"/>
    </row>
    <row r="314">
      <c r="M314" s="52"/>
      <c r="N314" s="52"/>
      <c r="O314" s="52"/>
    </row>
    <row r="315">
      <c r="M315" s="52"/>
      <c r="N315" s="52"/>
      <c r="O315" s="52"/>
    </row>
    <row r="316">
      <c r="M316" s="52"/>
      <c r="N316" s="52"/>
      <c r="O316" s="52"/>
    </row>
    <row r="317">
      <c r="M317" s="52"/>
      <c r="N317" s="52"/>
      <c r="O317" s="52"/>
    </row>
    <row r="318">
      <c r="M318" s="52"/>
      <c r="N318" s="52"/>
      <c r="O318" s="52"/>
    </row>
    <row r="319">
      <c r="M319" s="52"/>
      <c r="N319" s="52"/>
      <c r="O319" s="52"/>
    </row>
    <row r="320">
      <c r="M320" s="52"/>
      <c r="N320" s="52"/>
      <c r="O320" s="52"/>
    </row>
    <row r="321">
      <c r="M321" s="52"/>
      <c r="N321" s="52"/>
      <c r="O321" s="52"/>
    </row>
    <row r="322">
      <c r="M322" s="52"/>
      <c r="N322" s="52"/>
      <c r="O322" s="52"/>
    </row>
    <row r="323">
      <c r="M323" s="52"/>
      <c r="N323" s="52"/>
      <c r="O323" s="52"/>
    </row>
    <row r="324">
      <c r="M324" s="52"/>
      <c r="N324" s="52"/>
      <c r="O324" s="52"/>
    </row>
    <row r="325">
      <c r="M325" s="52"/>
      <c r="N325" s="52"/>
      <c r="O325" s="52"/>
    </row>
    <row r="326">
      <c r="M326" s="52"/>
      <c r="N326" s="52"/>
      <c r="O326" s="52"/>
    </row>
    <row r="327">
      <c r="M327" s="52"/>
      <c r="N327" s="52"/>
      <c r="O327" s="52"/>
    </row>
    <row r="328">
      <c r="M328" s="52"/>
      <c r="N328" s="52"/>
      <c r="O328" s="52"/>
    </row>
    <row r="329">
      <c r="M329" s="52"/>
      <c r="N329" s="52"/>
      <c r="O329" s="52"/>
    </row>
    <row r="330">
      <c r="M330" s="52"/>
      <c r="N330" s="52"/>
      <c r="O330" s="52"/>
    </row>
    <row r="331">
      <c r="M331" s="52"/>
      <c r="N331" s="52"/>
      <c r="O331" s="52"/>
    </row>
    <row r="332">
      <c r="M332" s="52"/>
      <c r="N332" s="52"/>
      <c r="O332" s="52"/>
    </row>
    <row r="333">
      <c r="M333" s="52"/>
      <c r="N333" s="52"/>
      <c r="O333" s="52"/>
    </row>
    <row r="334">
      <c r="M334" s="52"/>
      <c r="N334" s="52"/>
      <c r="O334" s="52"/>
    </row>
    <row r="335">
      <c r="M335" s="52"/>
      <c r="N335" s="52"/>
      <c r="O335" s="52"/>
    </row>
    <row r="336">
      <c r="M336" s="52"/>
      <c r="N336" s="52"/>
      <c r="O336" s="52"/>
    </row>
    <row r="337">
      <c r="M337" s="52"/>
      <c r="N337" s="52"/>
      <c r="O337" s="52"/>
    </row>
    <row r="338">
      <c r="M338" s="52"/>
      <c r="N338" s="52"/>
      <c r="O338" s="52"/>
    </row>
    <row r="339">
      <c r="M339" s="52"/>
      <c r="N339" s="52"/>
      <c r="O339" s="52"/>
    </row>
    <row r="340">
      <c r="M340" s="52"/>
      <c r="N340" s="52"/>
      <c r="O340" s="52"/>
    </row>
    <row r="341">
      <c r="M341" s="52"/>
      <c r="N341" s="52"/>
      <c r="O341" s="52"/>
    </row>
    <row r="342">
      <c r="M342" s="52"/>
      <c r="N342" s="52"/>
      <c r="O342" s="52"/>
    </row>
    <row r="343">
      <c r="M343" s="52"/>
      <c r="N343" s="52"/>
      <c r="O343" s="52"/>
    </row>
    <row r="344">
      <c r="M344" s="52"/>
      <c r="N344" s="52"/>
      <c r="O344" s="52"/>
    </row>
    <row r="345">
      <c r="M345" s="52"/>
      <c r="N345" s="52"/>
      <c r="O345" s="52"/>
    </row>
    <row r="346">
      <c r="M346" s="52"/>
      <c r="N346" s="52"/>
      <c r="O346" s="52"/>
    </row>
    <row r="347">
      <c r="M347" s="52"/>
      <c r="N347" s="52"/>
      <c r="O347" s="52"/>
    </row>
    <row r="348">
      <c r="M348" s="52"/>
      <c r="N348" s="52"/>
      <c r="O348" s="52"/>
    </row>
    <row r="349">
      <c r="M349" s="52"/>
      <c r="N349" s="52"/>
      <c r="O349" s="52"/>
    </row>
    <row r="350">
      <c r="M350" s="52"/>
      <c r="N350" s="52"/>
      <c r="O350" s="52"/>
    </row>
    <row r="351">
      <c r="M351" s="52"/>
      <c r="N351" s="52"/>
      <c r="O351" s="52"/>
    </row>
    <row r="352">
      <c r="M352" s="52"/>
      <c r="N352" s="52"/>
      <c r="O352" s="52"/>
    </row>
    <row r="353">
      <c r="M353" s="52"/>
      <c r="N353" s="52"/>
      <c r="O353" s="52"/>
    </row>
    <row r="354">
      <c r="M354" s="52"/>
      <c r="N354" s="52"/>
      <c r="O354" s="52"/>
    </row>
    <row r="355">
      <c r="M355" s="52"/>
      <c r="N355" s="52"/>
      <c r="O355" s="52"/>
    </row>
    <row r="356">
      <c r="M356" s="52"/>
      <c r="N356" s="52"/>
      <c r="O356" s="52"/>
    </row>
    <row r="357">
      <c r="M357" s="52"/>
      <c r="N357" s="52"/>
      <c r="O357" s="52"/>
    </row>
    <row r="358">
      <c r="M358" s="52"/>
      <c r="N358" s="52"/>
      <c r="O358" s="52"/>
    </row>
    <row r="359">
      <c r="M359" s="52"/>
      <c r="N359" s="52"/>
      <c r="O359" s="52"/>
    </row>
    <row r="360">
      <c r="M360" s="52"/>
      <c r="N360" s="52"/>
      <c r="O360" s="52"/>
    </row>
    <row r="361">
      <c r="M361" s="52"/>
      <c r="N361" s="52"/>
      <c r="O361" s="52"/>
    </row>
    <row r="362">
      <c r="M362" s="52"/>
      <c r="N362" s="52"/>
      <c r="O362" s="52"/>
    </row>
    <row r="363">
      <c r="M363" s="52"/>
      <c r="N363" s="52"/>
      <c r="O363" s="52"/>
    </row>
    <row r="364">
      <c r="M364" s="52"/>
      <c r="N364" s="52"/>
      <c r="O364" s="52"/>
    </row>
    <row r="365">
      <c r="M365" s="52"/>
      <c r="N365" s="52"/>
      <c r="O365" s="52"/>
    </row>
    <row r="366">
      <c r="M366" s="52"/>
      <c r="N366" s="52"/>
      <c r="O366" s="52"/>
    </row>
    <row r="367">
      <c r="M367" s="52"/>
      <c r="N367" s="52"/>
      <c r="O367" s="52"/>
    </row>
    <row r="368">
      <c r="M368" s="52"/>
      <c r="N368" s="52"/>
      <c r="O368" s="52"/>
    </row>
    <row r="369">
      <c r="M369" s="52"/>
      <c r="N369" s="52"/>
      <c r="O369" s="52"/>
    </row>
    <row r="370">
      <c r="M370" s="52"/>
      <c r="N370" s="52"/>
      <c r="O370" s="52"/>
    </row>
    <row r="371">
      <c r="M371" s="52"/>
      <c r="N371" s="52"/>
      <c r="O371" s="52"/>
    </row>
    <row r="372">
      <c r="M372" s="52"/>
      <c r="N372" s="52"/>
      <c r="O372" s="52"/>
    </row>
    <row r="373">
      <c r="M373" s="52"/>
      <c r="N373" s="52"/>
      <c r="O373" s="52"/>
    </row>
    <row r="374">
      <c r="M374" s="52"/>
      <c r="N374" s="52"/>
      <c r="O374" s="52"/>
    </row>
    <row r="375">
      <c r="M375" s="52"/>
      <c r="N375" s="52"/>
      <c r="O375" s="52"/>
    </row>
    <row r="376">
      <c r="M376" s="52"/>
      <c r="N376" s="52"/>
      <c r="O376" s="52"/>
    </row>
    <row r="377">
      <c r="M377" s="52"/>
      <c r="N377" s="52"/>
      <c r="O377" s="52"/>
    </row>
    <row r="378">
      <c r="M378" s="52"/>
      <c r="N378" s="52"/>
      <c r="O378" s="52"/>
    </row>
    <row r="379">
      <c r="M379" s="52"/>
      <c r="N379" s="52"/>
      <c r="O379" s="52"/>
    </row>
    <row r="380">
      <c r="M380" s="52"/>
      <c r="N380" s="52"/>
      <c r="O380" s="52"/>
    </row>
    <row r="381">
      <c r="M381" s="52"/>
      <c r="N381" s="52"/>
      <c r="O381" s="52"/>
    </row>
    <row r="382">
      <c r="M382" s="52"/>
      <c r="N382" s="52"/>
      <c r="O382" s="52"/>
    </row>
    <row r="383">
      <c r="M383" s="52"/>
      <c r="N383" s="52"/>
      <c r="O383" s="52"/>
    </row>
    <row r="384">
      <c r="M384" s="52"/>
      <c r="N384" s="52"/>
      <c r="O384" s="52"/>
    </row>
    <row r="385">
      <c r="M385" s="52"/>
      <c r="N385" s="52"/>
      <c r="O385" s="52"/>
    </row>
    <row r="386">
      <c r="M386" s="52"/>
      <c r="N386" s="52"/>
      <c r="O386" s="52"/>
    </row>
    <row r="387">
      <c r="M387" s="52"/>
      <c r="N387" s="52"/>
      <c r="O387" s="52"/>
    </row>
    <row r="388">
      <c r="M388" s="52"/>
      <c r="N388" s="52"/>
      <c r="O388" s="52"/>
    </row>
    <row r="389">
      <c r="M389" s="52"/>
      <c r="N389" s="52"/>
      <c r="O389" s="52"/>
    </row>
    <row r="390">
      <c r="M390" s="52"/>
      <c r="N390" s="52"/>
      <c r="O390" s="52"/>
    </row>
    <row r="391">
      <c r="M391" s="52"/>
      <c r="N391" s="52"/>
      <c r="O391" s="52"/>
    </row>
    <row r="392">
      <c r="M392" s="52"/>
      <c r="N392" s="52"/>
      <c r="O392" s="52"/>
    </row>
    <row r="393">
      <c r="M393" s="52"/>
      <c r="N393" s="52"/>
      <c r="O393" s="52"/>
    </row>
    <row r="394">
      <c r="M394" s="52"/>
      <c r="N394" s="52"/>
      <c r="O394" s="52"/>
    </row>
    <row r="395">
      <c r="M395" s="52"/>
      <c r="N395" s="52"/>
      <c r="O395" s="52"/>
    </row>
    <row r="396">
      <c r="M396" s="52"/>
      <c r="N396" s="52"/>
      <c r="O396" s="52"/>
    </row>
    <row r="397">
      <c r="M397" s="52"/>
      <c r="N397" s="52"/>
      <c r="O397" s="52"/>
    </row>
    <row r="398">
      <c r="M398" s="52"/>
      <c r="N398" s="52"/>
      <c r="O398" s="52"/>
    </row>
    <row r="399">
      <c r="M399" s="52"/>
      <c r="N399" s="52"/>
      <c r="O399" s="52"/>
    </row>
    <row r="400">
      <c r="M400" s="52"/>
      <c r="N400" s="52"/>
      <c r="O400" s="52"/>
    </row>
    <row r="401">
      <c r="M401" s="52"/>
      <c r="N401" s="52"/>
      <c r="O401" s="52"/>
    </row>
    <row r="402">
      <c r="M402" s="52"/>
      <c r="N402" s="52"/>
      <c r="O402" s="52"/>
    </row>
    <row r="403">
      <c r="M403" s="52"/>
      <c r="N403" s="52"/>
      <c r="O403" s="52"/>
    </row>
    <row r="404">
      <c r="M404" s="52"/>
      <c r="N404" s="52"/>
      <c r="O404" s="52"/>
    </row>
    <row r="405">
      <c r="M405" s="52"/>
      <c r="N405" s="52"/>
      <c r="O405" s="52"/>
    </row>
    <row r="406">
      <c r="M406" s="52"/>
      <c r="N406" s="52"/>
      <c r="O406" s="52"/>
    </row>
    <row r="407">
      <c r="M407" s="52"/>
      <c r="N407" s="52"/>
      <c r="O407" s="52"/>
    </row>
    <row r="408">
      <c r="M408" s="52"/>
      <c r="N408" s="52"/>
      <c r="O408" s="52"/>
    </row>
    <row r="409">
      <c r="M409" s="52"/>
      <c r="N409" s="52"/>
      <c r="O409" s="52"/>
    </row>
    <row r="410">
      <c r="M410" s="52"/>
      <c r="N410" s="52"/>
      <c r="O410" s="52"/>
    </row>
    <row r="411">
      <c r="M411" s="52"/>
      <c r="N411" s="52"/>
      <c r="O411" s="52"/>
    </row>
    <row r="412">
      <c r="M412" s="52"/>
      <c r="N412" s="52"/>
      <c r="O412" s="52"/>
    </row>
    <row r="413">
      <c r="M413" s="52"/>
      <c r="N413" s="52"/>
      <c r="O413" s="52"/>
    </row>
    <row r="414">
      <c r="M414" s="52"/>
      <c r="N414" s="52"/>
      <c r="O414" s="52"/>
    </row>
    <row r="415">
      <c r="M415" s="52"/>
      <c r="N415" s="52"/>
      <c r="O415" s="52"/>
    </row>
    <row r="416">
      <c r="M416" s="52"/>
      <c r="N416" s="52"/>
      <c r="O416" s="52"/>
    </row>
    <row r="417">
      <c r="M417" s="52"/>
      <c r="N417" s="52"/>
      <c r="O417" s="52"/>
    </row>
    <row r="418">
      <c r="M418" s="52"/>
      <c r="N418" s="52"/>
      <c r="O418" s="52"/>
    </row>
    <row r="419">
      <c r="M419" s="52"/>
      <c r="N419" s="52"/>
      <c r="O419" s="52"/>
    </row>
    <row r="420">
      <c r="M420" s="52"/>
      <c r="N420" s="52"/>
      <c r="O420" s="52"/>
    </row>
    <row r="421">
      <c r="M421" s="52"/>
      <c r="N421" s="52"/>
      <c r="O421" s="52"/>
    </row>
    <row r="422">
      <c r="M422" s="52"/>
      <c r="N422" s="52"/>
      <c r="O422" s="52"/>
    </row>
    <row r="423">
      <c r="M423" s="52"/>
      <c r="N423" s="52"/>
      <c r="O423" s="52"/>
    </row>
    <row r="424">
      <c r="M424" s="52"/>
      <c r="N424" s="52"/>
      <c r="O424" s="52"/>
    </row>
    <row r="425">
      <c r="M425" s="52"/>
      <c r="N425" s="52"/>
      <c r="O425" s="52"/>
    </row>
    <row r="426">
      <c r="M426" s="52"/>
      <c r="N426" s="52"/>
      <c r="O426" s="52"/>
    </row>
    <row r="427">
      <c r="M427" s="52"/>
      <c r="N427" s="52"/>
      <c r="O427" s="52"/>
    </row>
    <row r="428">
      <c r="M428" s="52"/>
      <c r="N428" s="52"/>
      <c r="O428" s="52"/>
    </row>
    <row r="429">
      <c r="M429" s="52"/>
      <c r="N429" s="52"/>
      <c r="O429" s="52"/>
    </row>
    <row r="430">
      <c r="M430" s="52"/>
      <c r="N430" s="52"/>
      <c r="O430" s="52"/>
    </row>
    <row r="431">
      <c r="M431" s="52"/>
      <c r="N431" s="52"/>
      <c r="O431" s="52"/>
    </row>
    <row r="432">
      <c r="M432" s="52"/>
      <c r="N432" s="52"/>
      <c r="O432" s="52"/>
    </row>
    <row r="433">
      <c r="M433" s="52"/>
      <c r="N433" s="52"/>
      <c r="O433" s="52"/>
    </row>
    <row r="434">
      <c r="M434" s="52"/>
      <c r="N434" s="52"/>
      <c r="O434" s="52"/>
    </row>
    <row r="435">
      <c r="M435" s="52"/>
      <c r="N435" s="52"/>
      <c r="O435" s="52"/>
    </row>
    <row r="436">
      <c r="M436" s="52"/>
      <c r="N436" s="52"/>
      <c r="O436" s="52"/>
    </row>
    <row r="437">
      <c r="M437" s="52"/>
      <c r="N437" s="52"/>
      <c r="O437" s="52"/>
    </row>
    <row r="438">
      <c r="M438" s="52"/>
      <c r="N438" s="52"/>
      <c r="O438" s="52"/>
    </row>
    <row r="439">
      <c r="M439" s="52"/>
      <c r="N439" s="52"/>
      <c r="O439" s="52"/>
    </row>
    <row r="440">
      <c r="M440" s="52"/>
      <c r="N440" s="52"/>
      <c r="O440" s="52"/>
    </row>
    <row r="441">
      <c r="M441" s="52"/>
      <c r="N441" s="52"/>
      <c r="O441" s="52"/>
    </row>
    <row r="442">
      <c r="M442" s="52"/>
      <c r="N442" s="52"/>
      <c r="O442" s="52"/>
    </row>
    <row r="443">
      <c r="M443" s="52"/>
      <c r="N443" s="52"/>
      <c r="O443" s="52"/>
    </row>
    <row r="444">
      <c r="M444" s="52"/>
      <c r="N444" s="52"/>
      <c r="O444" s="52"/>
    </row>
    <row r="445">
      <c r="M445" s="52"/>
      <c r="N445" s="52"/>
      <c r="O445" s="52"/>
    </row>
    <row r="446">
      <c r="M446" s="52"/>
      <c r="N446" s="52"/>
      <c r="O446" s="52"/>
    </row>
    <row r="447">
      <c r="M447" s="52"/>
      <c r="N447" s="52"/>
      <c r="O447" s="52"/>
    </row>
    <row r="448">
      <c r="M448" s="52"/>
      <c r="N448" s="52"/>
      <c r="O448" s="52"/>
    </row>
    <row r="449">
      <c r="M449" s="52"/>
      <c r="N449" s="52"/>
      <c r="O449" s="52"/>
    </row>
    <row r="450">
      <c r="M450" s="52"/>
      <c r="N450" s="52"/>
      <c r="O450" s="52"/>
    </row>
    <row r="451">
      <c r="M451" s="52"/>
      <c r="N451" s="52"/>
      <c r="O451" s="52"/>
    </row>
    <row r="452">
      <c r="M452" s="52"/>
      <c r="N452" s="52"/>
      <c r="O452" s="52"/>
    </row>
    <row r="453">
      <c r="M453" s="52"/>
      <c r="N453" s="52"/>
      <c r="O453" s="52"/>
    </row>
    <row r="454">
      <c r="M454" s="52"/>
      <c r="N454" s="52"/>
      <c r="O454" s="52"/>
    </row>
    <row r="455">
      <c r="M455" s="52"/>
      <c r="N455" s="52"/>
      <c r="O455" s="52"/>
    </row>
    <row r="456">
      <c r="M456" s="52"/>
      <c r="N456" s="52"/>
      <c r="O456" s="52"/>
    </row>
    <row r="457">
      <c r="M457" s="52"/>
      <c r="N457" s="52"/>
      <c r="O457" s="52"/>
    </row>
    <row r="458">
      <c r="M458" s="52"/>
      <c r="N458" s="52"/>
      <c r="O458" s="52"/>
    </row>
    <row r="459">
      <c r="M459" s="52"/>
      <c r="N459" s="52"/>
      <c r="O459" s="52"/>
    </row>
    <row r="460">
      <c r="M460" s="52"/>
      <c r="N460" s="52"/>
      <c r="O460" s="52"/>
    </row>
    <row r="461">
      <c r="M461" s="52"/>
      <c r="N461" s="52"/>
      <c r="O461" s="52"/>
    </row>
    <row r="462">
      <c r="M462" s="52"/>
      <c r="N462" s="52"/>
      <c r="O462" s="52"/>
    </row>
    <row r="463">
      <c r="M463" s="52"/>
      <c r="N463" s="52"/>
      <c r="O463" s="52"/>
    </row>
    <row r="464">
      <c r="M464" s="52"/>
      <c r="N464" s="52"/>
      <c r="O464" s="52"/>
    </row>
    <row r="465">
      <c r="M465" s="52"/>
      <c r="N465" s="52"/>
      <c r="O465" s="52"/>
    </row>
    <row r="466">
      <c r="M466" s="52"/>
      <c r="N466" s="52"/>
      <c r="O466" s="52"/>
    </row>
    <row r="467">
      <c r="M467" s="52"/>
      <c r="N467" s="52"/>
      <c r="O467" s="52"/>
    </row>
    <row r="468">
      <c r="M468" s="52"/>
      <c r="N468" s="52"/>
      <c r="O468" s="52"/>
    </row>
    <row r="469">
      <c r="M469" s="52"/>
      <c r="N469" s="52"/>
      <c r="O469" s="52"/>
    </row>
    <row r="470">
      <c r="M470" s="52"/>
      <c r="N470" s="52"/>
      <c r="O470" s="52"/>
    </row>
    <row r="471">
      <c r="M471" s="52"/>
      <c r="N471" s="52"/>
      <c r="O471" s="52"/>
    </row>
    <row r="472">
      <c r="M472" s="52"/>
      <c r="N472" s="52"/>
      <c r="O472" s="52"/>
    </row>
    <row r="473">
      <c r="M473" s="52"/>
      <c r="N473" s="52"/>
      <c r="O473" s="52"/>
    </row>
    <row r="474">
      <c r="M474" s="52"/>
      <c r="N474" s="52"/>
      <c r="O474" s="52"/>
    </row>
    <row r="475">
      <c r="M475" s="52"/>
      <c r="N475" s="52"/>
      <c r="O475" s="52"/>
    </row>
    <row r="476">
      <c r="M476" s="52"/>
      <c r="N476" s="52"/>
      <c r="O476" s="52"/>
    </row>
    <row r="477">
      <c r="M477" s="52"/>
      <c r="N477" s="52"/>
      <c r="O477" s="52"/>
    </row>
    <row r="478">
      <c r="M478" s="52"/>
      <c r="N478" s="52"/>
      <c r="O478" s="52"/>
    </row>
    <row r="479">
      <c r="M479" s="52"/>
      <c r="N479" s="52"/>
      <c r="O479" s="52"/>
    </row>
    <row r="480">
      <c r="M480" s="52"/>
      <c r="N480" s="52"/>
      <c r="O480" s="52"/>
    </row>
    <row r="481">
      <c r="M481" s="52"/>
      <c r="N481" s="52"/>
      <c r="O481" s="52"/>
    </row>
    <row r="482">
      <c r="M482" s="52"/>
      <c r="N482" s="52"/>
      <c r="O482" s="52"/>
    </row>
    <row r="483">
      <c r="M483" s="52"/>
      <c r="N483" s="52"/>
      <c r="O483" s="52"/>
    </row>
    <row r="484">
      <c r="M484" s="52"/>
      <c r="N484" s="52"/>
      <c r="O484" s="52"/>
    </row>
    <row r="485">
      <c r="M485" s="52"/>
      <c r="N485" s="52"/>
      <c r="O485" s="52"/>
    </row>
    <row r="486">
      <c r="M486" s="52"/>
      <c r="N486" s="52"/>
      <c r="O486" s="52"/>
    </row>
    <row r="487">
      <c r="M487" s="52"/>
      <c r="N487" s="52"/>
      <c r="O487" s="52"/>
    </row>
    <row r="488">
      <c r="M488" s="52"/>
      <c r="N488" s="52"/>
      <c r="O488" s="52"/>
    </row>
    <row r="489">
      <c r="M489" s="52"/>
      <c r="N489" s="52"/>
      <c r="O489" s="52"/>
    </row>
    <row r="490">
      <c r="M490" s="52"/>
      <c r="N490" s="52"/>
      <c r="O490" s="52"/>
    </row>
    <row r="491">
      <c r="M491" s="52"/>
      <c r="N491" s="52"/>
      <c r="O491" s="52"/>
    </row>
    <row r="492">
      <c r="M492" s="52"/>
      <c r="N492" s="52"/>
      <c r="O492" s="52"/>
    </row>
    <row r="493">
      <c r="M493" s="52"/>
      <c r="N493" s="52"/>
      <c r="O493" s="52"/>
    </row>
    <row r="494">
      <c r="M494" s="52"/>
      <c r="N494" s="52"/>
      <c r="O494" s="52"/>
    </row>
    <row r="495">
      <c r="M495" s="52"/>
      <c r="N495" s="52"/>
      <c r="O495" s="52"/>
    </row>
    <row r="496">
      <c r="M496" s="52"/>
      <c r="N496" s="52"/>
      <c r="O496" s="52"/>
    </row>
    <row r="497">
      <c r="M497" s="52"/>
      <c r="N497" s="52"/>
      <c r="O497" s="52"/>
    </row>
    <row r="498">
      <c r="M498" s="52"/>
      <c r="N498" s="52"/>
      <c r="O498" s="52"/>
    </row>
    <row r="499">
      <c r="M499" s="52"/>
      <c r="N499" s="52"/>
      <c r="O499" s="52"/>
    </row>
    <row r="500">
      <c r="M500" s="52"/>
      <c r="N500" s="52"/>
      <c r="O500" s="52"/>
    </row>
    <row r="501">
      <c r="M501" s="52"/>
      <c r="N501" s="52"/>
      <c r="O501" s="52"/>
    </row>
    <row r="502">
      <c r="M502" s="52"/>
      <c r="N502" s="52"/>
      <c r="O502" s="52"/>
    </row>
    <row r="503">
      <c r="M503" s="52"/>
      <c r="N503" s="52"/>
      <c r="O503" s="52"/>
    </row>
    <row r="504">
      <c r="M504" s="52"/>
      <c r="N504" s="52"/>
      <c r="O504" s="52"/>
    </row>
    <row r="505">
      <c r="M505" s="52"/>
      <c r="N505" s="52"/>
      <c r="O505" s="52"/>
    </row>
    <row r="506">
      <c r="M506" s="52"/>
      <c r="N506" s="52"/>
      <c r="O506" s="52"/>
    </row>
    <row r="507">
      <c r="M507" s="52"/>
      <c r="N507" s="52"/>
      <c r="O507" s="52"/>
    </row>
    <row r="508">
      <c r="M508" s="52"/>
      <c r="N508" s="52"/>
      <c r="O508" s="52"/>
    </row>
    <row r="509">
      <c r="M509" s="52"/>
      <c r="N509" s="52"/>
      <c r="O509" s="52"/>
    </row>
    <row r="510">
      <c r="M510" s="52"/>
      <c r="N510" s="52"/>
      <c r="O510" s="52"/>
    </row>
    <row r="511">
      <c r="M511" s="52"/>
      <c r="N511" s="52"/>
      <c r="O511" s="52"/>
    </row>
    <row r="512">
      <c r="M512" s="52"/>
      <c r="N512" s="52"/>
      <c r="O512" s="52"/>
    </row>
    <row r="513">
      <c r="M513" s="52"/>
      <c r="N513" s="52"/>
      <c r="O513" s="52"/>
    </row>
    <row r="514">
      <c r="M514" s="52"/>
      <c r="N514" s="52"/>
      <c r="O514" s="52"/>
    </row>
    <row r="515">
      <c r="M515" s="52"/>
      <c r="N515" s="52"/>
      <c r="O515" s="52"/>
    </row>
    <row r="516">
      <c r="M516" s="52"/>
      <c r="N516" s="52"/>
      <c r="O516" s="52"/>
    </row>
    <row r="517">
      <c r="M517" s="52"/>
      <c r="N517" s="52"/>
      <c r="O517" s="52"/>
    </row>
    <row r="518">
      <c r="M518" s="52"/>
      <c r="N518" s="52"/>
      <c r="O518" s="52"/>
    </row>
    <row r="519">
      <c r="M519" s="52"/>
      <c r="N519" s="52"/>
      <c r="O519" s="52"/>
    </row>
    <row r="520">
      <c r="M520" s="52"/>
      <c r="N520" s="52"/>
      <c r="O520" s="52"/>
    </row>
    <row r="521">
      <c r="M521" s="52"/>
      <c r="N521" s="52"/>
      <c r="O521" s="52"/>
    </row>
    <row r="522">
      <c r="M522" s="52"/>
      <c r="N522" s="52"/>
      <c r="O522" s="52"/>
    </row>
    <row r="523">
      <c r="M523" s="52"/>
      <c r="N523" s="52"/>
      <c r="O523" s="52"/>
    </row>
    <row r="524">
      <c r="M524" s="52"/>
      <c r="N524" s="52"/>
      <c r="O524" s="52"/>
    </row>
    <row r="525">
      <c r="M525" s="52"/>
      <c r="N525" s="52"/>
      <c r="O525" s="52"/>
    </row>
    <row r="526">
      <c r="M526" s="52"/>
      <c r="N526" s="52"/>
      <c r="O526" s="52"/>
    </row>
    <row r="527">
      <c r="M527" s="52"/>
      <c r="N527" s="52"/>
      <c r="O527" s="52"/>
    </row>
    <row r="528">
      <c r="M528" s="52"/>
      <c r="N528" s="52"/>
      <c r="O528" s="52"/>
    </row>
    <row r="529">
      <c r="M529" s="52"/>
      <c r="N529" s="52"/>
      <c r="O529" s="52"/>
    </row>
    <row r="530">
      <c r="M530" s="52"/>
      <c r="N530" s="52"/>
      <c r="O530" s="52"/>
    </row>
    <row r="531">
      <c r="M531" s="52"/>
      <c r="N531" s="52"/>
      <c r="O531" s="52"/>
    </row>
    <row r="532">
      <c r="M532" s="52"/>
      <c r="N532" s="52"/>
      <c r="O532" s="52"/>
    </row>
    <row r="533">
      <c r="M533" s="52"/>
      <c r="N533" s="52"/>
      <c r="O533" s="52"/>
    </row>
    <row r="534">
      <c r="M534" s="52"/>
      <c r="N534" s="52"/>
      <c r="O534" s="52"/>
    </row>
    <row r="535">
      <c r="M535" s="52"/>
      <c r="N535" s="52"/>
      <c r="O535" s="52"/>
    </row>
    <row r="536">
      <c r="M536" s="52"/>
      <c r="N536" s="52"/>
      <c r="O536" s="52"/>
    </row>
    <row r="537">
      <c r="M537" s="52"/>
      <c r="N537" s="52"/>
      <c r="O537" s="52"/>
    </row>
    <row r="538">
      <c r="M538" s="52"/>
      <c r="N538" s="52"/>
      <c r="O538" s="52"/>
    </row>
    <row r="539">
      <c r="M539" s="52"/>
      <c r="N539" s="52"/>
      <c r="O539" s="52"/>
    </row>
    <row r="540">
      <c r="M540" s="52"/>
      <c r="N540" s="52"/>
      <c r="O540" s="52"/>
    </row>
    <row r="541">
      <c r="M541" s="52"/>
      <c r="N541" s="52"/>
      <c r="O541" s="52"/>
    </row>
    <row r="542">
      <c r="M542" s="52"/>
      <c r="N542" s="52"/>
      <c r="O542" s="52"/>
    </row>
    <row r="543">
      <c r="M543" s="52"/>
      <c r="N543" s="52"/>
      <c r="O543" s="52"/>
    </row>
    <row r="544">
      <c r="M544" s="52"/>
      <c r="N544" s="52"/>
      <c r="O544" s="52"/>
    </row>
    <row r="545">
      <c r="M545" s="52"/>
      <c r="N545" s="52"/>
      <c r="O545" s="52"/>
    </row>
    <row r="546">
      <c r="M546" s="52"/>
      <c r="N546" s="52"/>
      <c r="O546" s="52"/>
    </row>
    <row r="547">
      <c r="M547" s="52"/>
      <c r="N547" s="52"/>
      <c r="O547" s="52"/>
    </row>
    <row r="548">
      <c r="M548" s="52"/>
      <c r="N548" s="52"/>
      <c r="O548" s="52"/>
    </row>
    <row r="549">
      <c r="M549" s="52"/>
      <c r="N549" s="52"/>
      <c r="O549" s="52"/>
    </row>
    <row r="550">
      <c r="M550" s="52"/>
      <c r="N550" s="52"/>
      <c r="O550" s="52"/>
    </row>
    <row r="551">
      <c r="M551" s="52"/>
      <c r="N551" s="52"/>
      <c r="O551" s="52"/>
    </row>
    <row r="552">
      <c r="M552" s="52"/>
      <c r="N552" s="52"/>
      <c r="O552" s="52"/>
    </row>
    <row r="553">
      <c r="M553" s="52"/>
      <c r="N553" s="52"/>
      <c r="O553" s="52"/>
    </row>
    <row r="554">
      <c r="M554" s="52"/>
      <c r="N554" s="52"/>
      <c r="O554" s="52"/>
    </row>
    <row r="555">
      <c r="M555" s="52"/>
      <c r="N555" s="52"/>
      <c r="O555" s="52"/>
    </row>
    <row r="556">
      <c r="M556" s="52"/>
      <c r="N556" s="52"/>
      <c r="O556" s="52"/>
    </row>
    <row r="557">
      <c r="M557" s="52"/>
      <c r="N557" s="52"/>
      <c r="O557" s="52"/>
    </row>
    <row r="558">
      <c r="M558" s="52"/>
      <c r="N558" s="52"/>
      <c r="O558" s="52"/>
    </row>
    <row r="559">
      <c r="M559" s="52"/>
      <c r="N559" s="52"/>
      <c r="O559" s="52"/>
    </row>
    <row r="560">
      <c r="M560" s="52"/>
      <c r="N560" s="52"/>
      <c r="O560" s="52"/>
    </row>
    <row r="561">
      <c r="M561" s="52"/>
      <c r="N561" s="52"/>
      <c r="O561" s="52"/>
    </row>
    <row r="562">
      <c r="M562" s="52"/>
      <c r="N562" s="52"/>
      <c r="O562" s="52"/>
    </row>
    <row r="563">
      <c r="M563" s="52"/>
      <c r="N563" s="52"/>
      <c r="O563" s="52"/>
    </row>
    <row r="564">
      <c r="M564" s="52"/>
      <c r="N564" s="52"/>
      <c r="O564" s="52"/>
    </row>
    <row r="565">
      <c r="M565" s="52"/>
      <c r="N565" s="52"/>
      <c r="O565" s="52"/>
    </row>
    <row r="566">
      <c r="M566" s="52"/>
      <c r="N566" s="52"/>
      <c r="O566" s="52"/>
    </row>
    <row r="567">
      <c r="M567" s="52"/>
      <c r="N567" s="52"/>
      <c r="O567" s="52"/>
    </row>
    <row r="568">
      <c r="M568" s="52"/>
      <c r="N568" s="52"/>
      <c r="O568" s="52"/>
    </row>
    <row r="569">
      <c r="M569" s="52"/>
      <c r="N569" s="52"/>
      <c r="O569" s="52"/>
    </row>
    <row r="570">
      <c r="M570" s="52"/>
      <c r="N570" s="52"/>
      <c r="O570" s="52"/>
    </row>
    <row r="571">
      <c r="M571" s="52"/>
      <c r="N571" s="52"/>
      <c r="O571" s="52"/>
    </row>
    <row r="572">
      <c r="M572" s="52"/>
      <c r="N572" s="52"/>
      <c r="O572" s="52"/>
    </row>
    <row r="573">
      <c r="M573" s="52"/>
      <c r="N573" s="52"/>
      <c r="O573" s="52"/>
    </row>
    <row r="574">
      <c r="M574" s="52"/>
      <c r="N574" s="52"/>
      <c r="O574" s="52"/>
    </row>
    <row r="575">
      <c r="M575" s="52"/>
      <c r="N575" s="52"/>
      <c r="O575" s="52"/>
    </row>
    <row r="576">
      <c r="M576" s="52"/>
      <c r="N576" s="52"/>
      <c r="O576" s="52"/>
    </row>
    <row r="577">
      <c r="M577" s="52"/>
      <c r="N577" s="52"/>
      <c r="O577" s="52"/>
    </row>
    <row r="578">
      <c r="M578" s="52"/>
      <c r="N578" s="52"/>
      <c r="O578" s="52"/>
    </row>
    <row r="579">
      <c r="M579" s="52"/>
      <c r="N579" s="52"/>
      <c r="O579" s="52"/>
    </row>
    <row r="580">
      <c r="M580" s="52"/>
      <c r="N580" s="52"/>
      <c r="O580" s="52"/>
    </row>
    <row r="581">
      <c r="M581" s="52"/>
      <c r="N581" s="52"/>
      <c r="O581" s="52"/>
    </row>
    <row r="582">
      <c r="M582" s="52"/>
      <c r="N582" s="52"/>
      <c r="O582" s="52"/>
    </row>
    <row r="583">
      <c r="M583" s="52"/>
      <c r="N583" s="52"/>
      <c r="O583" s="52"/>
    </row>
    <row r="584">
      <c r="M584" s="52"/>
      <c r="N584" s="52"/>
      <c r="O584" s="52"/>
    </row>
    <row r="585">
      <c r="M585" s="52"/>
      <c r="N585" s="52"/>
      <c r="O585" s="52"/>
    </row>
    <row r="586">
      <c r="M586" s="52"/>
      <c r="N586" s="52"/>
      <c r="O586" s="52"/>
    </row>
    <row r="587">
      <c r="M587" s="52"/>
      <c r="N587" s="52"/>
      <c r="O587" s="52"/>
    </row>
    <row r="588">
      <c r="M588" s="52"/>
      <c r="N588" s="52"/>
      <c r="O588" s="52"/>
    </row>
    <row r="589">
      <c r="M589" s="52"/>
      <c r="N589" s="52"/>
      <c r="O589" s="52"/>
    </row>
    <row r="590">
      <c r="M590" s="52"/>
      <c r="N590" s="52"/>
      <c r="O590" s="52"/>
    </row>
    <row r="591">
      <c r="M591" s="52"/>
      <c r="N591" s="52"/>
      <c r="O591" s="52"/>
    </row>
    <row r="592">
      <c r="M592" s="52"/>
      <c r="N592" s="52"/>
      <c r="O592" s="52"/>
    </row>
    <row r="593">
      <c r="M593" s="52"/>
      <c r="N593" s="52"/>
      <c r="O593" s="52"/>
    </row>
    <row r="594">
      <c r="M594" s="52"/>
      <c r="N594" s="52"/>
      <c r="O594" s="52"/>
    </row>
    <row r="595">
      <c r="M595" s="52"/>
      <c r="N595" s="52"/>
      <c r="O595" s="52"/>
    </row>
    <row r="596">
      <c r="M596" s="52"/>
      <c r="N596" s="52"/>
      <c r="O596" s="52"/>
    </row>
    <row r="597">
      <c r="M597" s="52"/>
      <c r="N597" s="52"/>
      <c r="O597" s="52"/>
    </row>
    <row r="598">
      <c r="M598" s="52"/>
      <c r="N598" s="52"/>
      <c r="O598" s="52"/>
    </row>
    <row r="599">
      <c r="M599" s="52"/>
      <c r="N599" s="52"/>
      <c r="O599" s="52"/>
    </row>
    <row r="600">
      <c r="M600" s="52"/>
      <c r="N600" s="52"/>
      <c r="O600" s="52"/>
    </row>
    <row r="601">
      <c r="M601" s="52"/>
      <c r="N601" s="52"/>
      <c r="O601" s="52"/>
    </row>
    <row r="602">
      <c r="M602" s="52"/>
      <c r="N602" s="52"/>
      <c r="O602" s="52"/>
    </row>
    <row r="603">
      <c r="M603" s="52"/>
      <c r="N603" s="52"/>
      <c r="O603" s="52"/>
    </row>
    <row r="604">
      <c r="M604" s="52"/>
      <c r="N604" s="52"/>
      <c r="O604" s="52"/>
    </row>
    <row r="605">
      <c r="M605" s="52"/>
      <c r="N605" s="52"/>
      <c r="O605" s="52"/>
    </row>
    <row r="606">
      <c r="M606" s="52"/>
      <c r="N606" s="52"/>
      <c r="O606" s="52"/>
    </row>
    <row r="607">
      <c r="M607" s="52"/>
      <c r="N607" s="52"/>
      <c r="O607" s="52"/>
    </row>
    <row r="608">
      <c r="M608" s="52"/>
      <c r="N608" s="52"/>
      <c r="O608" s="52"/>
    </row>
    <row r="609">
      <c r="M609" s="52"/>
      <c r="N609" s="52"/>
      <c r="O609" s="52"/>
    </row>
    <row r="610">
      <c r="M610" s="52"/>
      <c r="N610" s="52"/>
      <c r="O610" s="52"/>
    </row>
    <row r="611">
      <c r="M611" s="52"/>
      <c r="N611" s="52"/>
      <c r="O611" s="52"/>
    </row>
    <row r="612">
      <c r="M612" s="52"/>
      <c r="N612" s="52"/>
      <c r="O612" s="52"/>
    </row>
    <row r="613">
      <c r="M613" s="52"/>
      <c r="N613" s="52"/>
      <c r="O613" s="52"/>
    </row>
    <row r="614">
      <c r="M614" s="52"/>
      <c r="N614" s="52"/>
      <c r="O614" s="52"/>
    </row>
    <row r="615">
      <c r="M615" s="52"/>
      <c r="N615" s="52"/>
      <c r="O615" s="52"/>
    </row>
    <row r="616">
      <c r="M616" s="52"/>
      <c r="N616" s="52"/>
      <c r="O616" s="52"/>
    </row>
    <row r="617">
      <c r="M617" s="52"/>
      <c r="N617" s="52"/>
      <c r="O617" s="52"/>
    </row>
    <row r="618">
      <c r="M618" s="52"/>
      <c r="N618" s="52"/>
      <c r="O618" s="52"/>
    </row>
    <row r="619">
      <c r="M619" s="52"/>
      <c r="N619" s="52"/>
      <c r="O619" s="52"/>
    </row>
    <row r="620">
      <c r="M620" s="52"/>
      <c r="N620" s="52"/>
      <c r="O620" s="52"/>
    </row>
    <row r="621">
      <c r="M621" s="52"/>
      <c r="N621" s="52"/>
      <c r="O621" s="52"/>
    </row>
    <row r="622">
      <c r="M622" s="52"/>
      <c r="N622" s="52"/>
      <c r="O622" s="52"/>
    </row>
    <row r="623">
      <c r="M623" s="52"/>
      <c r="N623" s="52"/>
      <c r="O623" s="52"/>
    </row>
    <row r="624">
      <c r="M624" s="52"/>
      <c r="N624" s="52"/>
      <c r="O624" s="52"/>
    </row>
    <row r="625">
      <c r="M625" s="52"/>
      <c r="N625" s="52"/>
      <c r="O625" s="52"/>
    </row>
    <row r="626">
      <c r="M626" s="52"/>
      <c r="N626" s="52"/>
      <c r="O626" s="52"/>
    </row>
    <row r="627">
      <c r="M627" s="52"/>
      <c r="N627" s="52"/>
      <c r="O627" s="52"/>
    </row>
    <row r="628">
      <c r="M628" s="52"/>
      <c r="N628" s="52"/>
      <c r="O628" s="52"/>
    </row>
    <row r="629">
      <c r="M629" s="52"/>
      <c r="N629" s="52"/>
      <c r="O629" s="52"/>
    </row>
    <row r="630">
      <c r="M630" s="52"/>
      <c r="N630" s="52"/>
      <c r="O630" s="52"/>
    </row>
    <row r="631">
      <c r="M631" s="52"/>
      <c r="N631" s="52"/>
      <c r="O631" s="52"/>
    </row>
    <row r="632">
      <c r="M632" s="52"/>
      <c r="N632" s="52"/>
      <c r="O632" s="52"/>
    </row>
    <row r="633">
      <c r="M633" s="52"/>
      <c r="N633" s="52"/>
      <c r="O633" s="52"/>
    </row>
    <row r="634">
      <c r="M634" s="52"/>
      <c r="N634" s="52"/>
      <c r="O634" s="52"/>
    </row>
    <row r="635">
      <c r="M635" s="52"/>
      <c r="N635" s="52"/>
      <c r="O635" s="52"/>
    </row>
    <row r="636">
      <c r="M636" s="52"/>
      <c r="N636" s="52"/>
      <c r="O636" s="52"/>
    </row>
    <row r="637">
      <c r="M637" s="52"/>
      <c r="N637" s="52"/>
      <c r="O637" s="52"/>
    </row>
    <row r="638">
      <c r="M638" s="52"/>
      <c r="N638" s="52"/>
      <c r="O638" s="52"/>
    </row>
    <row r="639">
      <c r="M639" s="52"/>
      <c r="N639" s="52"/>
      <c r="O639" s="52"/>
    </row>
    <row r="640">
      <c r="M640" s="52"/>
      <c r="N640" s="52"/>
      <c r="O640" s="52"/>
    </row>
    <row r="641">
      <c r="M641" s="52"/>
      <c r="N641" s="52"/>
      <c r="O641" s="52"/>
    </row>
    <row r="642">
      <c r="M642" s="52"/>
      <c r="N642" s="52"/>
      <c r="O642" s="52"/>
    </row>
    <row r="643">
      <c r="M643" s="52"/>
      <c r="N643" s="52"/>
      <c r="O643" s="52"/>
    </row>
    <row r="644">
      <c r="M644" s="52"/>
      <c r="N644" s="52"/>
      <c r="O644" s="52"/>
    </row>
    <row r="645">
      <c r="M645" s="52"/>
      <c r="N645" s="52"/>
      <c r="O645" s="52"/>
    </row>
    <row r="646">
      <c r="M646" s="52"/>
      <c r="N646" s="52"/>
      <c r="O646" s="52"/>
    </row>
    <row r="647">
      <c r="M647" s="52"/>
      <c r="N647" s="52"/>
      <c r="O647" s="52"/>
    </row>
    <row r="648">
      <c r="M648" s="52"/>
      <c r="N648" s="52"/>
      <c r="O648" s="52"/>
    </row>
    <row r="649">
      <c r="M649" s="52"/>
      <c r="N649" s="52"/>
      <c r="O649" s="52"/>
    </row>
    <row r="650">
      <c r="M650" s="52"/>
      <c r="N650" s="52"/>
      <c r="O650" s="52"/>
    </row>
    <row r="651">
      <c r="M651" s="52"/>
      <c r="N651" s="52"/>
      <c r="O651" s="52"/>
    </row>
    <row r="652">
      <c r="M652" s="52"/>
      <c r="N652" s="52"/>
      <c r="O652" s="52"/>
    </row>
    <row r="653">
      <c r="M653" s="52"/>
      <c r="N653" s="52"/>
      <c r="O653" s="52"/>
    </row>
    <row r="654">
      <c r="M654" s="52"/>
      <c r="N654" s="52"/>
      <c r="O654" s="52"/>
    </row>
    <row r="655">
      <c r="M655" s="52"/>
      <c r="N655" s="52"/>
      <c r="O655" s="52"/>
    </row>
    <row r="656">
      <c r="M656" s="52"/>
      <c r="N656" s="52"/>
      <c r="O656" s="52"/>
    </row>
    <row r="657">
      <c r="M657" s="52"/>
      <c r="N657" s="52"/>
      <c r="O657" s="52"/>
    </row>
    <row r="658">
      <c r="M658" s="52"/>
      <c r="N658" s="52"/>
      <c r="O658" s="52"/>
    </row>
    <row r="659">
      <c r="M659" s="52"/>
      <c r="N659" s="52"/>
      <c r="O659" s="52"/>
    </row>
    <row r="660">
      <c r="M660" s="52"/>
      <c r="N660" s="52"/>
      <c r="O660" s="52"/>
    </row>
    <row r="661">
      <c r="M661" s="52"/>
      <c r="N661" s="52"/>
      <c r="O661" s="52"/>
    </row>
    <row r="662">
      <c r="M662" s="52"/>
      <c r="N662" s="52"/>
      <c r="O662" s="52"/>
    </row>
    <row r="663">
      <c r="M663" s="52"/>
      <c r="N663" s="52"/>
      <c r="O663" s="52"/>
    </row>
    <row r="664">
      <c r="M664" s="52"/>
      <c r="N664" s="52"/>
      <c r="O664" s="52"/>
    </row>
    <row r="665">
      <c r="M665" s="52"/>
      <c r="N665" s="52"/>
      <c r="O665" s="52"/>
    </row>
    <row r="666">
      <c r="M666" s="52"/>
      <c r="N666" s="52"/>
      <c r="O666" s="52"/>
    </row>
    <row r="667">
      <c r="M667" s="52"/>
      <c r="N667" s="52"/>
      <c r="O667" s="52"/>
    </row>
    <row r="668">
      <c r="M668" s="52"/>
      <c r="N668" s="52"/>
      <c r="O668" s="52"/>
    </row>
    <row r="669">
      <c r="M669" s="52"/>
      <c r="N669" s="52"/>
      <c r="O669" s="52"/>
    </row>
    <row r="670">
      <c r="M670" s="52"/>
      <c r="N670" s="52"/>
      <c r="O670" s="52"/>
    </row>
    <row r="671">
      <c r="M671" s="52"/>
      <c r="N671" s="52"/>
      <c r="O671" s="52"/>
    </row>
    <row r="672">
      <c r="M672" s="52"/>
      <c r="N672" s="52"/>
      <c r="O672" s="52"/>
    </row>
    <row r="673">
      <c r="M673" s="52"/>
      <c r="N673" s="52"/>
      <c r="O673" s="52"/>
    </row>
    <row r="674">
      <c r="M674" s="52"/>
      <c r="N674" s="52"/>
      <c r="O674" s="52"/>
    </row>
    <row r="675">
      <c r="M675" s="52"/>
      <c r="N675" s="52"/>
      <c r="O675" s="52"/>
    </row>
    <row r="676">
      <c r="M676" s="52"/>
      <c r="N676" s="52"/>
      <c r="O676" s="52"/>
    </row>
    <row r="677">
      <c r="M677" s="52"/>
      <c r="N677" s="52"/>
      <c r="O677" s="52"/>
    </row>
    <row r="678">
      <c r="M678" s="52"/>
      <c r="N678" s="52"/>
      <c r="O678" s="52"/>
    </row>
    <row r="679">
      <c r="M679" s="52"/>
      <c r="N679" s="52"/>
      <c r="O679" s="52"/>
    </row>
    <row r="680">
      <c r="M680" s="52"/>
      <c r="N680" s="52"/>
      <c r="O680" s="52"/>
    </row>
    <row r="681">
      <c r="M681" s="52"/>
      <c r="N681" s="52"/>
      <c r="O681" s="52"/>
    </row>
    <row r="682">
      <c r="M682" s="52"/>
      <c r="N682" s="52"/>
      <c r="O682" s="52"/>
    </row>
    <row r="683">
      <c r="M683" s="52"/>
      <c r="N683" s="52"/>
      <c r="O683" s="52"/>
    </row>
    <row r="684">
      <c r="M684" s="52"/>
      <c r="N684" s="52"/>
      <c r="O684" s="52"/>
    </row>
    <row r="685">
      <c r="M685" s="52"/>
      <c r="N685" s="52"/>
      <c r="O685" s="52"/>
    </row>
    <row r="686">
      <c r="M686" s="52"/>
      <c r="N686" s="52"/>
      <c r="O686" s="52"/>
    </row>
    <row r="687">
      <c r="M687" s="52"/>
      <c r="N687" s="52"/>
      <c r="O687" s="52"/>
    </row>
    <row r="688">
      <c r="M688" s="52"/>
      <c r="N688" s="52"/>
      <c r="O688" s="52"/>
    </row>
    <row r="689">
      <c r="M689" s="52"/>
      <c r="N689" s="52"/>
      <c r="O689" s="52"/>
    </row>
    <row r="690">
      <c r="M690" s="52"/>
      <c r="N690" s="52"/>
      <c r="O690" s="52"/>
    </row>
    <row r="691">
      <c r="M691" s="52"/>
      <c r="N691" s="52"/>
      <c r="O691" s="52"/>
    </row>
    <row r="692">
      <c r="M692" s="52"/>
      <c r="N692" s="52"/>
      <c r="O692" s="52"/>
    </row>
    <row r="693">
      <c r="M693" s="52"/>
      <c r="N693" s="52"/>
      <c r="O693" s="52"/>
    </row>
    <row r="694">
      <c r="M694" s="52"/>
      <c r="N694" s="52"/>
      <c r="O694" s="52"/>
    </row>
    <row r="695">
      <c r="M695" s="52"/>
      <c r="N695" s="52"/>
      <c r="O695" s="52"/>
    </row>
    <row r="696">
      <c r="M696" s="52"/>
      <c r="N696" s="52"/>
      <c r="O696" s="52"/>
    </row>
    <row r="697">
      <c r="M697" s="52"/>
      <c r="N697" s="52"/>
      <c r="O697" s="52"/>
    </row>
    <row r="698">
      <c r="M698" s="52"/>
      <c r="N698" s="52"/>
      <c r="O698" s="52"/>
    </row>
    <row r="699">
      <c r="M699" s="52"/>
      <c r="N699" s="52"/>
      <c r="O699" s="52"/>
    </row>
    <row r="700">
      <c r="M700" s="52"/>
      <c r="N700" s="52"/>
      <c r="O700" s="52"/>
    </row>
    <row r="701">
      <c r="M701" s="52"/>
      <c r="N701" s="52"/>
      <c r="O701" s="52"/>
    </row>
    <row r="702">
      <c r="M702" s="52"/>
      <c r="N702" s="52"/>
      <c r="O702" s="52"/>
    </row>
    <row r="703">
      <c r="M703" s="52"/>
      <c r="N703" s="52"/>
      <c r="O703" s="52"/>
    </row>
    <row r="704">
      <c r="M704" s="52"/>
      <c r="N704" s="52"/>
      <c r="O704" s="52"/>
    </row>
    <row r="705">
      <c r="M705" s="52"/>
      <c r="N705" s="52"/>
      <c r="O705" s="52"/>
    </row>
    <row r="706">
      <c r="M706" s="52"/>
      <c r="N706" s="52"/>
      <c r="O706" s="52"/>
    </row>
    <row r="707">
      <c r="M707" s="52"/>
      <c r="N707" s="52"/>
      <c r="O707" s="52"/>
    </row>
    <row r="708">
      <c r="M708" s="52"/>
      <c r="N708" s="52"/>
      <c r="O708" s="52"/>
    </row>
    <row r="709">
      <c r="M709" s="52"/>
      <c r="N709" s="52"/>
      <c r="O709" s="52"/>
    </row>
    <row r="710">
      <c r="M710" s="52"/>
      <c r="N710" s="52"/>
      <c r="O710" s="52"/>
    </row>
    <row r="711">
      <c r="M711" s="52"/>
      <c r="N711" s="52"/>
      <c r="O711" s="52"/>
    </row>
    <row r="712">
      <c r="M712" s="52"/>
      <c r="N712" s="52"/>
      <c r="O712" s="52"/>
    </row>
    <row r="713">
      <c r="M713" s="52"/>
      <c r="N713" s="52"/>
      <c r="O713" s="52"/>
    </row>
    <row r="714">
      <c r="M714" s="52"/>
      <c r="N714" s="52"/>
      <c r="O714" s="52"/>
    </row>
    <row r="715">
      <c r="M715" s="52"/>
      <c r="N715" s="52"/>
      <c r="O715" s="52"/>
    </row>
    <row r="716">
      <c r="M716" s="52"/>
      <c r="N716" s="52"/>
      <c r="O716" s="52"/>
    </row>
    <row r="717">
      <c r="M717" s="52"/>
      <c r="N717" s="52"/>
      <c r="O717" s="52"/>
    </row>
    <row r="718">
      <c r="M718" s="52"/>
      <c r="N718" s="52"/>
      <c r="O718" s="52"/>
    </row>
    <row r="719">
      <c r="M719" s="52"/>
      <c r="N719" s="52"/>
      <c r="O719" s="52"/>
    </row>
    <row r="720">
      <c r="M720" s="52"/>
      <c r="N720" s="52"/>
      <c r="O720" s="52"/>
    </row>
    <row r="721">
      <c r="M721" s="52"/>
      <c r="N721" s="52"/>
      <c r="O721" s="52"/>
    </row>
    <row r="722">
      <c r="M722" s="52"/>
      <c r="N722" s="52"/>
      <c r="O722" s="52"/>
    </row>
    <row r="723">
      <c r="M723" s="52"/>
      <c r="N723" s="52"/>
      <c r="O723" s="52"/>
    </row>
    <row r="724">
      <c r="M724" s="52"/>
      <c r="N724" s="52"/>
      <c r="O724" s="52"/>
    </row>
    <row r="725">
      <c r="M725" s="52"/>
      <c r="N725" s="52"/>
      <c r="O725" s="52"/>
    </row>
    <row r="726">
      <c r="M726" s="52"/>
      <c r="N726" s="52"/>
      <c r="O726" s="52"/>
    </row>
    <row r="727">
      <c r="M727" s="52"/>
      <c r="N727" s="52"/>
      <c r="O727" s="52"/>
    </row>
    <row r="728">
      <c r="M728" s="52"/>
      <c r="N728" s="52"/>
      <c r="O728" s="52"/>
    </row>
    <row r="729">
      <c r="M729" s="52"/>
      <c r="N729" s="52"/>
      <c r="O729" s="52"/>
    </row>
    <row r="730">
      <c r="M730" s="52"/>
      <c r="N730" s="52"/>
      <c r="O730" s="52"/>
    </row>
    <row r="731">
      <c r="M731" s="52"/>
      <c r="N731" s="52"/>
      <c r="O731" s="52"/>
    </row>
    <row r="732">
      <c r="M732" s="52"/>
      <c r="N732" s="52"/>
      <c r="O732" s="52"/>
    </row>
    <row r="733">
      <c r="M733" s="52"/>
      <c r="N733" s="52"/>
      <c r="O733" s="52"/>
    </row>
    <row r="734">
      <c r="M734" s="52"/>
      <c r="N734" s="52"/>
      <c r="O734" s="52"/>
    </row>
    <row r="735">
      <c r="M735" s="52"/>
      <c r="N735" s="52"/>
      <c r="O735" s="52"/>
    </row>
    <row r="736">
      <c r="M736" s="52"/>
      <c r="N736" s="52"/>
      <c r="O736" s="52"/>
    </row>
    <row r="737">
      <c r="M737" s="52"/>
      <c r="N737" s="52"/>
      <c r="O737" s="52"/>
    </row>
    <row r="738">
      <c r="M738" s="52"/>
      <c r="N738" s="52"/>
      <c r="O738" s="52"/>
    </row>
    <row r="739">
      <c r="M739" s="52"/>
      <c r="N739" s="52"/>
      <c r="O739" s="52"/>
    </row>
    <row r="740">
      <c r="M740" s="52"/>
      <c r="N740" s="52"/>
      <c r="O740" s="52"/>
    </row>
    <row r="741">
      <c r="M741" s="52"/>
      <c r="N741" s="52"/>
      <c r="O741" s="52"/>
    </row>
    <row r="742">
      <c r="M742" s="52"/>
      <c r="N742" s="52"/>
      <c r="O742" s="52"/>
    </row>
    <row r="743">
      <c r="M743" s="52"/>
      <c r="N743" s="52"/>
      <c r="O743" s="52"/>
    </row>
    <row r="744">
      <c r="M744" s="52"/>
      <c r="N744" s="52"/>
      <c r="O744" s="52"/>
    </row>
    <row r="745">
      <c r="M745" s="52"/>
      <c r="N745" s="52"/>
      <c r="O745" s="52"/>
    </row>
    <row r="746">
      <c r="M746" s="52"/>
      <c r="N746" s="52"/>
      <c r="O746" s="52"/>
    </row>
    <row r="747">
      <c r="M747" s="52"/>
      <c r="N747" s="52"/>
      <c r="O747" s="52"/>
    </row>
    <row r="748">
      <c r="M748" s="52"/>
      <c r="N748" s="52"/>
      <c r="O748" s="52"/>
    </row>
    <row r="749">
      <c r="M749" s="52"/>
      <c r="N749" s="52"/>
      <c r="O749" s="52"/>
    </row>
    <row r="750">
      <c r="M750" s="52"/>
      <c r="N750" s="52"/>
      <c r="O750" s="52"/>
    </row>
    <row r="751">
      <c r="M751" s="52"/>
      <c r="N751" s="52"/>
      <c r="O751" s="52"/>
    </row>
    <row r="752">
      <c r="M752" s="52"/>
      <c r="N752" s="52"/>
      <c r="O752" s="52"/>
    </row>
    <row r="753">
      <c r="M753" s="52"/>
      <c r="N753" s="52"/>
      <c r="O753" s="52"/>
    </row>
    <row r="754">
      <c r="M754" s="52"/>
      <c r="N754" s="52"/>
      <c r="O754" s="52"/>
    </row>
    <row r="755">
      <c r="M755" s="52"/>
      <c r="N755" s="52"/>
      <c r="O755" s="52"/>
    </row>
    <row r="756">
      <c r="M756" s="52"/>
      <c r="N756" s="52"/>
      <c r="O756" s="52"/>
    </row>
    <row r="757">
      <c r="M757" s="52"/>
      <c r="N757" s="52"/>
      <c r="O757" s="52"/>
    </row>
    <row r="758">
      <c r="M758" s="52"/>
      <c r="N758" s="52"/>
      <c r="O758" s="52"/>
    </row>
    <row r="759">
      <c r="M759" s="52"/>
      <c r="N759" s="52"/>
      <c r="O759" s="52"/>
    </row>
    <row r="760">
      <c r="M760" s="52"/>
      <c r="N760" s="52"/>
      <c r="O760" s="52"/>
    </row>
    <row r="761">
      <c r="M761" s="52"/>
      <c r="N761" s="52"/>
      <c r="O761" s="52"/>
    </row>
    <row r="762">
      <c r="M762" s="52"/>
      <c r="N762" s="52"/>
      <c r="O762" s="52"/>
    </row>
    <row r="763">
      <c r="M763" s="52"/>
      <c r="N763" s="52"/>
      <c r="O763" s="52"/>
    </row>
    <row r="764">
      <c r="M764" s="52"/>
      <c r="N764" s="52"/>
      <c r="O764" s="52"/>
    </row>
    <row r="765">
      <c r="M765" s="52"/>
      <c r="N765" s="52"/>
      <c r="O765" s="52"/>
    </row>
    <row r="766">
      <c r="M766" s="52"/>
      <c r="N766" s="52"/>
      <c r="O766" s="52"/>
    </row>
    <row r="767">
      <c r="M767" s="52"/>
      <c r="N767" s="52"/>
      <c r="O767" s="52"/>
    </row>
    <row r="768">
      <c r="M768" s="52"/>
      <c r="N768" s="52"/>
      <c r="O768" s="52"/>
    </row>
    <row r="769">
      <c r="M769" s="52"/>
      <c r="N769" s="52"/>
      <c r="O769" s="52"/>
    </row>
    <row r="770">
      <c r="M770" s="52"/>
      <c r="N770" s="52"/>
      <c r="O770" s="52"/>
    </row>
    <row r="771">
      <c r="M771" s="52"/>
      <c r="N771" s="52"/>
      <c r="O771" s="52"/>
    </row>
    <row r="772">
      <c r="M772" s="52"/>
      <c r="N772" s="52"/>
      <c r="O772" s="52"/>
    </row>
    <row r="773">
      <c r="M773" s="52"/>
      <c r="N773" s="52"/>
      <c r="O773" s="52"/>
    </row>
    <row r="774">
      <c r="M774" s="52"/>
      <c r="N774" s="52"/>
      <c r="O774" s="52"/>
    </row>
    <row r="775">
      <c r="M775" s="52"/>
      <c r="N775" s="52"/>
      <c r="O775" s="52"/>
    </row>
    <row r="776">
      <c r="M776" s="52"/>
      <c r="N776" s="52"/>
      <c r="O776" s="52"/>
    </row>
    <row r="777">
      <c r="M777" s="52"/>
      <c r="N777" s="52"/>
      <c r="O777" s="52"/>
    </row>
    <row r="778">
      <c r="M778" s="52"/>
      <c r="N778" s="52"/>
      <c r="O778" s="52"/>
    </row>
    <row r="779">
      <c r="M779" s="52"/>
      <c r="N779" s="52"/>
      <c r="O779" s="52"/>
    </row>
    <row r="780">
      <c r="M780" s="52"/>
      <c r="N780" s="52"/>
      <c r="O780" s="52"/>
    </row>
    <row r="781">
      <c r="M781" s="52"/>
      <c r="N781" s="52"/>
      <c r="O781" s="52"/>
    </row>
    <row r="782">
      <c r="M782" s="52"/>
      <c r="N782" s="52"/>
      <c r="O782" s="52"/>
    </row>
    <row r="783">
      <c r="M783" s="52"/>
      <c r="N783" s="52"/>
      <c r="O783" s="52"/>
    </row>
    <row r="784">
      <c r="M784" s="52"/>
      <c r="N784" s="52"/>
      <c r="O784" s="52"/>
    </row>
    <row r="785">
      <c r="M785" s="52"/>
      <c r="N785" s="52"/>
      <c r="O785" s="52"/>
    </row>
    <row r="786">
      <c r="M786" s="52"/>
      <c r="N786" s="52"/>
      <c r="O786" s="52"/>
    </row>
    <row r="787">
      <c r="M787" s="52"/>
      <c r="N787" s="52"/>
      <c r="O787" s="52"/>
    </row>
    <row r="788">
      <c r="M788" s="52"/>
      <c r="N788" s="52"/>
      <c r="O788" s="52"/>
    </row>
    <row r="789">
      <c r="M789" s="52"/>
      <c r="N789" s="52"/>
      <c r="O789" s="52"/>
    </row>
    <row r="790">
      <c r="M790" s="52"/>
      <c r="N790" s="52"/>
      <c r="O790" s="52"/>
    </row>
    <row r="791">
      <c r="M791" s="52"/>
      <c r="N791" s="52"/>
      <c r="O791" s="52"/>
    </row>
    <row r="792">
      <c r="M792" s="52"/>
      <c r="N792" s="52"/>
      <c r="O792" s="52"/>
    </row>
    <row r="793">
      <c r="M793" s="52"/>
      <c r="N793" s="52"/>
      <c r="O793" s="52"/>
    </row>
    <row r="794">
      <c r="M794" s="52"/>
      <c r="N794" s="52"/>
      <c r="O794" s="52"/>
    </row>
    <row r="795">
      <c r="M795" s="52"/>
      <c r="N795" s="52"/>
      <c r="O795" s="52"/>
    </row>
    <row r="796">
      <c r="M796" s="52"/>
      <c r="N796" s="52"/>
      <c r="O796" s="52"/>
    </row>
    <row r="797">
      <c r="M797" s="52"/>
      <c r="N797" s="52"/>
      <c r="O797" s="52"/>
    </row>
    <row r="798">
      <c r="M798" s="52"/>
      <c r="N798" s="52"/>
      <c r="O798" s="52"/>
    </row>
    <row r="799">
      <c r="M799" s="52"/>
      <c r="N799" s="52"/>
      <c r="O799" s="52"/>
    </row>
    <row r="800">
      <c r="M800" s="52"/>
      <c r="N800" s="52"/>
      <c r="O800" s="52"/>
    </row>
    <row r="801">
      <c r="M801" s="52"/>
      <c r="N801" s="52"/>
      <c r="O801" s="52"/>
    </row>
    <row r="802">
      <c r="M802" s="52"/>
      <c r="N802" s="52"/>
      <c r="O802" s="52"/>
    </row>
    <row r="803">
      <c r="M803" s="52"/>
      <c r="N803" s="52"/>
      <c r="O803" s="52"/>
    </row>
    <row r="804">
      <c r="M804" s="52"/>
      <c r="N804" s="52"/>
      <c r="O804" s="52"/>
    </row>
    <row r="805">
      <c r="M805" s="52"/>
      <c r="N805" s="52"/>
      <c r="O805" s="52"/>
    </row>
    <row r="806">
      <c r="M806" s="52"/>
      <c r="N806" s="52"/>
      <c r="O806" s="52"/>
    </row>
    <row r="807">
      <c r="M807" s="52"/>
      <c r="N807" s="52"/>
      <c r="O807" s="52"/>
    </row>
    <row r="808">
      <c r="M808" s="52"/>
      <c r="N808" s="52"/>
      <c r="O808" s="52"/>
    </row>
    <row r="809">
      <c r="M809" s="52"/>
      <c r="N809" s="52"/>
      <c r="O809" s="52"/>
    </row>
    <row r="810">
      <c r="M810" s="52"/>
      <c r="N810" s="52"/>
      <c r="O810" s="52"/>
    </row>
    <row r="811">
      <c r="M811" s="52"/>
      <c r="N811" s="52"/>
      <c r="O811" s="52"/>
    </row>
    <row r="812">
      <c r="M812" s="52"/>
      <c r="N812" s="52"/>
      <c r="O812" s="52"/>
    </row>
    <row r="813">
      <c r="M813" s="52"/>
      <c r="N813" s="52"/>
      <c r="O813" s="52"/>
    </row>
    <row r="814">
      <c r="M814" s="52"/>
      <c r="N814" s="52"/>
      <c r="O814" s="52"/>
    </row>
    <row r="815">
      <c r="M815" s="52"/>
      <c r="N815" s="52"/>
      <c r="O815" s="52"/>
    </row>
    <row r="816">
      <c r="M816" s="52"/>
      <c r="N816" s="52"/>
      <c r="O816" s="52"/>
    </row>
    <row r="817">
      <c r="M817" s="52"/>
      <c r="N817" s="52"/>
      <c r="O817" s="52"/>
    </row>
    <row r="818">
      <c r="M818" s="52"/>
      <c r="N818" s="52"/>
      <c r="O818" s="52"/>
    </row>
    <row r="819">
      <c r="M819" s="52"/>
      <c r="N819" s="52"/>
      <c r="O819" s="52"/>
    </row>
    <row r="820">
      <c r="M820" s="52"/>
      <c r="N820" s="52"/>
      <c r="O820" s="52"/>
    </row>
    <row r="821">
      <c r="M821" s="52"/>
      <c r="N821" s="52"/>
      <c r="O821" s="52"/>
    </row>
    <row r="822">
      <c r="M822" s="52"/>
      <c r="N822" s="52"/>
      <c r="O822" s="52"/>
    </row>
    <row r="823">
      <c r="M823" s="52"/>
      <c r="N823" s="52"/>
      <c r="O823" s="52"/>
    </row>
    <row r="824">
      <c r="M824" s="52"/>
      <c r="N824" s="52"/>
      <c r="O824" s="52"/>
    </row>
    <row r="825">
      <c r="M825" s="52"/>
      <c r="N825" s="52"/>
      <c r="O825" s="52"/>
    </row>
    <row r="826">
      <c r="M826" s="52"/>
      <c r="N826" s="52"/>
      <c r="O826" s="52"/>
    </row>
    <row r="827">
      <c r="M827" s="52"/>
      <c r="N827" s="52"/>
      <c r="O827" s="52"/>
    </row>
    <row r="828">
      <c r="M828" s="52"/>
      <c r="N828" s="52"/>
      <c r="O828" s="52"/>
    </row>
    <row r="829">
      <c r="M829" s="52"/>
      <c r="N829" s="52"/>
      <c r="O829" s="52"/>
    </row>
    <row r="830">
      <c r="M830" s="52"/>
      <c r="N830" s="52"/>
      <c r="O830" s="52"/>
    </row>
    <row r="831">
      <c r="M831" s="52"/>
      <c r="N831" s="52"/>
      <c r="O831" s="52"/>
    </row>
    <row r="832">
      <c r="M832" s="52"/>
      <c r="N832" s="52"/>
      <c r="O832" s="52"/>
    </row>
    <row r="833">
      <c r="M833" s="52"/>
      <c r="N833" s="52"/>
      <c r="O833" s="52"/>
    </row>
    <row r="834">
      <c r="M834" s="52"/>
      <c r="N834" s="52"/>
      <c r="O834" s="52"/>
    </row>
    <row r="835">
      <c r="M835" s="52"/>
      <c r="N835" s="52"/>
      <c r="O835" s="52"/>
    </row>
    <row r="836">
      <c r="M836" s="52"/>
      <c r="N836" s="52"/>
      <c r="O836" s="52"/>
    </row>
    <row r="837">
      <c r="M837" s="52"/>
      <c r="N837" s="52"/>
      <c r="O837" s="52"/>
    </row>
    <row r="838">
      <c r="M838" s="52"/>
      <c r="N838" s="52"/>
      <c r="O838" s="52"/>
    </row>
    <row r="839">
      <c r="M839" s="52"/>
      <c r="N839" s="52"/>
      <c r="O839" s="52"/>
    </row>
    <row r="840">
      <c r="M840" s="52"/>
      <c r="N840" s="52"/>
      <c r="O840" s="52"/>
    </row>
    <row r="841">
      <c r="M841" s="52"/>
      <c r="N841" s="52"/>
      <c r="O841" s="52"/>
    </row>
    <row r="842">
      <c r="M842" s="52"/>
      <c r="N842" s="52"/>
      <c r="O842" s="52"/>
    </row>
    <row r="843">
      <c r="M843" s="52"/>
      <c r="N843" s="52"/>
      <c r="O843" s="52"/>
    </row>
    <row r="844">
      <c r="M844" s="52"/>
      <c r="N844" s="52"/>
      <c r="O844" s="52"/>
    </row>
    <row r="845">
      <c r="M845" s="52"/>
      <c r="N845" s="52"/>
      <c r="O845" s="52"/>
    </row>
    <row r="846">
      <c r="M846" s="52"/>
      <c r="N846" s="52"/>
      <c r="O846" s="52"/>
    </row>
    <row r="847">
      <c r="M847" s="52"/>
      <c r="N847" s="52"/>
      <c r="O847" s="52"/>
    </row>
    <row r="848">
      <c r="M848" s="52"/>
      <c r="N848" s="52"/>
      <c r="O848" s="52"/>
    </row>
    <row r="849">
      <c r="M849" s="52"/>
      <c r="N849" s="52"/>
      <c r="O849" s="52"/>
    </row>
    <row r="850">
      <c r="M850" s="52"/>
      <c r="N850" s="52"/>
      <c r="O850" s="52"/>
    </row>
    <row r="851">
      <c r="M851" s="52"/>
      <c r="N851" s="52"/>
      <c r="O851" s="52"/>
    </row>
    <row r="852">
      <c r="M852" s="52"/>
      <c r="N852" s="52"/>
      <c r="O852" s="52"/>
    </row>
    <row r="853">
      <c r="M853" s="52"/>
      <c r="N853" s="52"/>
      <c r="O853" s="52"/>
    </row>
    <row r="854">
      <c r="M854" s="52"/>
      <c r="N854" s="52"/>
      <c r="O854" s="52"/>
    </row>
    <row r="855">
      <c r="M855" s="52"/>
      <c r="N855" s="52"/>
      <c r="O855" s="52"/>
    </row>
    <row r="856">
      <c r="M856" s="52"/>
      <c r="N856" s="52"/>
      <c r="O856" s="52"/>
    </row>
    <row r="857">
      <c r="M857" s="52"/>
      <c r="N857" s="52"/>
      <c r="O857" s="52"/>
    </row>
    <row r="858">
      <c r="M858" s="52"/>
      <c r="N858" s="52"/>
      <c r="O858" s="52"/>
    </row>
    <row r="859">
      <c r="M859" s="52"/>
      <c r="N859" s="52"/>
      <c r="O859" s="52"/>
    </row>
    <row r="860">
      <c r="M860" s="52"/>
      <c r="N860" s="52"/>
      <c r="O860" s="52"/>
    </row>
    <row r="861">
      <c r="M861" s="52"/>
      <c r="N861" s="52"/>
      <c r="O861" s="52"/>
    </row>
    <row r="862">
      <c r="M862" s="52"/>
      <c r="N862" s="52"/>
      <c r="O862" s="52"/>
    </row>
    <row r="863">
      <c r="M863" s="52"/>
      <c r="N863" s="52"/>
      <c r="O863" s="52"/>
    </row>
    <row r="864">
      <c r="M864" s="52"/>
      <c r="N864" s="52"/>
      <c r="O864" s="52"/>
    </row>
    <row r="865">
      <c r="M865" s="52"/>
      <c r="N865" s="52"/>
      <c r="O865" s="52"/>
    </row>
    <row r="866">
      <c r="M866" s="52"/>
      <c r="N866" s="52"/>
      <c r="O866" s="52"/>
    </row>
    <row r="867">
      <c r="M867" s="52"/>
      <c r="N867" s="52"/>
      <c r="O867" s="52"/>
    </row>
    <row r="868">
      <c r="M868" s="52"/>
      <c r="N868" s="52"/>
      <c r="O868" s="52"/>
    </row>
    <row r="869">
      <c r="M869" s="52"/>
      <c r="N869" s="52"/>
      <c r="O869" s="52"/>
    </row>
    <row r="870">
      <c r="M870" s="52"/>
      <c r="N870" s="52"/>
      <c r="O870" s="52"/>
    </row>
    <row r="871">
      <c r="M871" s="52"/>
      <c r="N871" s="52"/>
      <c r="O871" s="52"/>
    </row>
    <row r="872">
      <c r="M872" s="52"/>
      <c r="N872" s="52"/>
      <c r="O872" s="52"/>
    </row>
    <row r="873">
      <c r="M873" s="52"/>
      <c r="N873" s="52"/>
      <c r="O873" s="52"/>
    </row>
    <row r="874">
      <c r="M874" s="52"/>
      <c r="N874" s="52"/>
      <c r="O874" s="52"/>
    </row>
    <row r="875">
      <c r="M875" s="52"/>
      <c r="N875" s="52"/>
      <c r="O875" s="52"/>
    </row>
    <row r="876">
      <c r="M876" s="52"/>
      <c r="N876" s="52"/>
      <c r="O876" s="52"/>
    </row>
    <row r="877">
      <c r="M877" s="52"/>
      <c r="N877" s="52"/>
      <c r="O877" s="52"/>
    </row>
    <row r="878">
      <c r="M878" s="52"/>
      <c r="N878" s="52"/>
      <c r="O878" s="52"/>
    </row>
    <row r="879">
      <c r="M879" s="52"/>
      <c r="N879" s="52"/>
      <c r="O879" s="52"/>
    </row>
    <row r="880">
      <c r="M880" s="52"/>
      <c r="N880" s="52"/>
      <c r="O880" s="52"/>
    </row>
    <row r="881">
      <c r="M881" s="52"/>
      <c r="N881" s="52"/>
      <c r="O881" s="52"/>
    </row>
    <row r="882">
      <c r="M882" s="52"/>
      <c r="N882" s="52"/>
      <c r="O882" s="52"/>
    </row>
    <row r="883">
      <c r="M883" s="52"/>
      <c r="N883" s="52"/>
      <c r="O883" s="52"/>
    </row>
    <row r="884">
      <c r="M884" s="52"/>
      <c r="N884" s="52"/>
      <c r="O884" s="52"/>
    </row>
    <row r="885">
      <c r="M885" s="52"/>
      <c r="N885" s="52"/>
      <c r="O885" s="52"/>
    </row>
    <row r="886">
      <c r="M886" s="52"/>
      <c r="N886" s="52"/>
      <c r="O886" s="52"/>
    </row>
    <row r="887">
      <c r="M887" s="52"/>
      <c r="N887" s="52"/>
      <c r="O887" s="52"/>
    </row>
    <row r="888">
      <c r="M888" s="52"/>
      <c r="N888" s="52"/>
      <c r="O888" s="52"/>
    </row>
    <row r="889">
      <c r="M889" s="52"/>
      <c r="N889" s="52"/>
      <c r="O889" s="52"/>
    </row>
    <row r="890">
      <c r="M890" s="52"/>
      <c r="N890" s="52"/>
      <c r="O890" s="52"/>
    </row>
    <row r="891">
      <c r="M891" s="52"/>
      <c r="N891" s="52"/>
      <c r="O891" s="52"/>
    </row>
    <row r="892">
      <c r="M892" s="52"/>
      <c r="N892" s="52"/>
      <c r="O892" s="52"/>
    </row>
    <row r="893">
      <c r="M893" s="52"/>
      <c r="N893" s="52"/>
      <c r="O893" s="52"/>
    </row>
    <row r="894">
      <c r="M894" s="52"/>
      <c r="N894" s="52"/>
      <c r="O894" s="52"/>
    </row>
    <row r="895">
      <c r="M895" s="52"/>
      <c r="N895" s="52"/>
      <c r="O895" s="52"/>
    </row>
    <row r="896">
      <c r="M896" s="52"/>
      <c r="N896" s="52"/>
      <c r="O896" s="52"/>
    </row>
    <row r="897">
      <c r="M897" s="52"/>
      <c r="N897" s="52"/>
      <c r="O897" s="52"/>
    </row>
    <row r="898">
      <c r="M898" s="52"/>
      <c r="N898" s="52"/>
      <c r="O898" s="52"/>
    </row>
    <row r="899">
      <c r="M899" s="52"/>
      <c r="N899" s="52"/>
      <c r="O899" s="52"/>
    </row>
    <row r="900">
      <c r="M900" s="52"/>
      <c r="N900" s="52"/>
      <c r="O900" s="52"/>
    </row>
    <row r="901">
      <c r="M901" s="52"/>
      <c r="N901" s="52"/>
      <c r="O901" s="52"/>
    </row>
    <row r="902">
      <c r="M902" s="52"/>
      <c r="N902" s="52"/>
      <c r="O902" s="52"/>
    </row>
    <row r="903">
      <c r="M903" s="52"/>
      <c r="N903" s="52"/>
      <c r="O903" s="52"/>
    </row>
    <row r="904">
      <c r="M904" s="52"/>
      <c r="N904" s="52"/>
      <c r="O904" s="52"/>
    </row>
    <row r="905">
      <c r="M905" s="52"/>
      <c r="N905" s="52"/>
      <c r="O905" s="52"/>
    </row>
    <row r="906">
      <c r="M906" s="52"/>
      <c r="N906" s="52"/>
      <c r="O906" s="52"/>
    </row>
    <row r="907">
      <c r="M907" s="52"/>
      <c r="N907" s="52"/>
      <c r="O907" s="52"/>
    </row>
    <row r="908">
      <c r="M908" s="52"/>
      <c r="N908" s="52"/>
      <c r="O908" s="52"/>
    </row>
    <row r="909">
      <c r="M909" s="52"/>
      <c r="N909" s="52"/>
      <c r="O909" s="52"/>
    </row>
    <row r="910">
      <c r="M910" s="52"/>
      <c r="N910" s="52"/>
      <c r="O910" s="52"/>
    </row>
    <row r="911">
      <c r="M911" s="52"/>
      <c r="N911" s="52"/>
      <c r="O911" s="52"/>
    </row>
    <row r="912">
      <c r="M912" s="52"/>
      <c r="N912" s="52"/>
      <c r="O912" s="52"/>
    </row>
    <row r="913">
      <c r="M913" s="52"/>
      <c r="N913" s="52"/>
      <c r="O913" s="52"/>
    </row>
    <row r="914">
      <c r="M914" s="52"/>
      <c r="N914" s="52"/>
      <c r="O914" s="52"/>
    </row>
    <row r="915">
      <c r="M915" s="52"/>
      <c r="N915" s="52"/>
      <c r="O915" s="52"/>
    </row>
    <row r="916">
      <c r="M916" s="52"/>
      <c r="N916" s="52"/>
      <c r="O916" s="52"/>
    </row>
    <row r="917">
      <c r="M917" s="52"/>
      <c r="N917" s="52"/>
      <c r="O917" s="52"/>
    </row>
    <row r="918">
      <c r="M918" s="52"/>
      <c r="N918" s="52"/>
      <c r="O918" s="52"/>
    </row>
    <row r="919">
      <c r="M919" s="52"/>
      <c r="N919" s="52"/>
      <c r="O919" s="52"/>
    </row>
    <row r="920">
      <c r="M920" s="52"/>
      <c r="N920" s="52"/>
      <c r="O920" s="52"/>
    </row>
    <row r="921">
      <c r="M921" s="52"/>
      <c r="N921" s="52"/>
      <c r="O921" s="52"/>
    </row>
    <row r="922">
      <c r="M922" s="52"/>
      <c r="N922" s="52"/>
      <c r="O922" s="52"/>
    </row>
    <row r="923">
      <c r="M923" s="52"/>
      <c r="N923" s="52"/>
      <c r="O923" s="52"/>
    </row>
    <row r="924">
      <c r="M924" s="52"/>
      <c r="N924" s="52"/>
      <c r="O924" s="52"/>
    </row>
    <row r="925">
      <c r="M925" s="52"/>
      <c r="N925" s="52"/>
      <c r="O925" s="52"/>
    </row>
    <row r="926">
      <c r="M926" s="52"/>
      <c r="N926" s="52"/>
      <c r="O926" s="52"/>
    </row>
    <row r="927">
      <c r="M927" s="52"/>
      <c r="N927" s="52"/>
      <c r="O927" s="52"/>
    </row>
    <row r="928">
      <c r="M928" s="52"/>
      <c r="N928" s="52"/>
      <c r="O928" s="52"/>
    </row>
    <row r="929">
      <c r="M929" s="52"/>
      <c r="N929" s="52"/>
      <c r="O929" s="52"/>
    </row>
    <row r="930">
      <c r="M930" s="52"/>
      <c r="N930" s="52"/>
      <c r="O930" s="52"/>
    </row>
    <row r="931">
      <c r="M931" s="52"/>
      <c r="N931" s="52"/>
      <c r="O931" s="52"/>
    </row>
    <row r="932">
      <c r="M932" s="52"/>
      <c r="N932" s="52"/>
      <c r="O932" s="52"/>
    </row>
    <row r="933">
      <c r="M933" s="52"/>
      <c r="N933" s="52"/>
      <c r="O933" s="52"/>
    </row>
    <row r="934">
      <c r="M934" s="52"/>
      <c r="N934" s="52"/>
      <c r="O934" s="52"/>
    </row>
    <row r="935">
      <c r="M935" s="52"/>
      <c r="N935" s="52"/>
      <c r="O935" s="52"/>
    </row>
    <row r="936">
      <c r="M936" s="52"/>
      <c r="N936" s="52"/>
      <c r="O936" s="52"/>
    </row>
    <row r="937">
      <c r="M937" s="52"/>
      <c r="N937" s="52"/>
      <c r="O937" s="52"/>
    </row>
    <row r="938">
      <c r="M938" s="52"/>
      <c r="N938" s="52"/>
      <c r="O938" s="52"/>
    </row>
    <row r="939">
      <c r="M939" s="52"/>
      <c r="N939" s="52"/>
      <c r="O939" s="52"/>
    </row>
    <row r="940">
      <c r="M940" s="52"/>
      <c r="N940" s="52"/>
      <c r="O940" s="52"/>
    </row>
    <row r="941">
      <c r="M941" s="52"/>
      <c r="N941" s="52"/>
      <c r="O941" s="52"/>
    </row>
    <row r="942">
      <c r="M942" s="52"/>
      <c r="N942" s="52"/>
      <c r="O942" s="52"/>
    </row>
    <row r="943">
      <c r="M943" s="52"/>
      <c r="N943" s="52"/>
      <c r="O943" s="52"/>
    </row>
    <row r="944">
      <c r="M944" s="52"/>
      <c r="N944" s="52"/>
      <c r="O944" s="52"/>
    </row>
    <row r="945">
      <c r="M945" s="52"/>
      <c r="N945" s="52"/>
      <c r="O945" s="52"/>
    </row>
    <row r="946">
      <c r="M946" s="52"/>
      <c r="N946" s="52"/>
      <c r="O946" s="52"/>
    </row>
    <row r="947">
      <c r="M947" s="52"/>
      <c r="N947" s="52"/>
      <c r="O947" s="52"/>
    </row>
    <row r="948">
      <c r="M948" s="52"/>
      <c r="N948" s="52"/>
      <c r="O948" s="52"/>
    </row>
    <row r="949">
      <c r="M949" s="52"/>
      <c r="N949" s="52"/>
      <c r="O949" s="52"/>
    </row>
    <row r="950">
      <c r="M950" s="52"/>
      <c r="N950" s="52"/>
      <c r="O950" s="52"/>
    </row>
    <row r="951">
      <c r="M951" s="52"/>
      <c r="N951" s="52"/>
      <c r="O951" s="52"/>
    </row>
    <row r="952">
      <c r="M952" s="52"/>
      <c r="N952" s="52"/>
      <c r="O952" s="52"/>
    </row>
    <row r="953">
      <c r="M953" s="52"/>
      <c r="N953" s="52"/>
      <c r="O953" s="52"/>
    </row>
    <row r="954">
      <c r="M954" s="52"/>
      <c r="N954" s="52"/>
      <c r="O954" s="52"/>
    </row>
    <row r="955">
      <c r="M955" s="52"/>
      <c r="N955" s="52"/>
      <c r="O955" s="52"/>
    </row>
    <row r="956">
      <c r="M956" s="52"/>
      <c r="N956" s="52"/>
      <c r="O956" s="52"/>
    </row>
    <row r="957">
      <c r="M957" s="52"/>
      <c r="N957" s="52"/>
      <c r="O957" s="52"/>
    </row>
    <row r="958">
      <c r="M958" s="52"/>
      <c r="N958" s="52"/>
      <c r="O958" s="52"/>
    </row>
    <row r="959">
      <c r="M959" s="52"/>
      <c r="N959" s="52"/>
      <c r="O959" s="52"/>
    </row>
    <row r="960">
      <c r="M960" s="52"/>
      <c r="N960" s="52"/>
      <c r="O960" s="52"/>
    </row>
    <row r="961">
      <c r="M961" s="52"/>
      <c r="N961" s="52"/>
      <c r="O961" s="52"/>
    </row>
    <row r="962">
      <c r="M962" s="52"/>
      <c r="N962" s="52"/>
      <c r="O962" s="52"/>
    </row>
    <row r="963">
      <c r="M963" s="52"/>
      <c r="N963" s="52"/>
      <c r="O963" s="52"/>
    </row>
    <row r="964">
      <c r="M964" s="52"/>
      <c r="N964" s="52"/>
      <c r="O964" s="52"/>
    </row>
    <row r="965">
      <c r="M965" s="52"/>
      <c r="N965" s="52"/>
      <c r="O965" s="52"/>
    </row>
    <row r="966">
      <c r="M966" s="52"/>
      <c r="N966" s="52"/>
      <c r="O966" s="52"/>
    </row>
    <row r="967">
      <c r="M967" s="52"/>
      <c r="N967" s="52"/>
      <c r="O967" s="52"/>
    </row>
    <row r="968">
      <c r="M968" s="52"/>
      <c r="N968" s="52"/>
      <c r="O968" s="52"/>
    </row>
    <row r="969">
      <c r="M969" s="52"/>
      <c r="N969" s="52"/>
      <c r="O969" s="52"/>
    </row>
    <row r="970">
      <c r="M970" s="52"/>
      <c r="N970" s="52"/>
      <c r="O970" s="52"/>
    </row>
    <row r="971">
      <c r="M971" s="52"/>
      <c r="N971" s="52"/>
      <c r="O971" s="52"/>
    </row>
    <row r="972">
      <c r="M972" s="52"/>
      <c r="N972" s="52"/>
      <c r="O972" s="52"/>
    </row>
    <row r="973">
      <c r="M973" s="52"/>
      <c r="N973" s="52"/>
      <c r="O973" s="52"/>
    </row>
    <row r="974">
      <c r="M974" s="52"/>
      <c r="N974" s="52"/>
      <c r="O974" s="52"/>
    </row>
    <row r="975">
      <c r="M975" s="52"/>
      <c r="N975" s="52"/>
      <c r="O975" s="52"/>
    </row>
    <row r="976">
      <c r="M976" s="52"/>
      <c r="N976" s="52"/>
      <c r="O976" s="52"/>
    </row>
    <row r="977">
      <c r="M977" s="52"/>
      <c r="N977" s="52"/>
      <c r="O977" s="52"/>
    </row>
    <row r="978">
      <c r="M978" s="52"/>
      <c r="N978" s="52"/>
      <c r="O978" s="52"/>
    </row>
    <row r="979">
      <c r="M979" s="52"/>
      <c r="N979" s="52"/>
      <c r="O979" s="52"/>
    </row>
    <row r="980">
      <c r="M980" s="52"/>
      <c r="N980" s="52"/>
      <c r="O980" s="52"/>
    </row>
    <row r="981">
      <c r="M981" s="52"/>
      <c r="N981" s="52"/>
      <c r="O981" s="52"/>
    </row>
    <row r="982">
      <c r="M982" s="52"/>
      <c r="N982" s="52"/>
      <c r="O982" s="52"/>
    </row>
    <row r="983">
      <c r="M983" s="52"/>
      <c r="N983" s="52"/>
      <c r="O983" s="52"/>
    </row>
    <row r="984">
      <c r="M984" s="52"/>
      <c r="N984" s="52"/>
      <c r="O984" s="52"/>
    </row>
    <row r="985">
      <c r="M985" s="52"/>
      <c r="N985" s="52"/>
      <c r="O985" s="52"/>
    </row>
    <row r="986">
      <c r="M986" s="52"/>
      <c r="N986" s="52"/>
      <c r="O986" s="52"/>
    </row>
    <row r="987">
      <c r="M987" s="52"/>
      <c r="N987" s="52"/>
      <c r="O987" s="52"/>
    </row>
    <row r="988">
      <c r="M988" s="52"/>
      <c r="N988" s="52"/>
      <c r="O988" s="52"/>
    </row>
    <row r="989">
      <c r="M989" s="52"/>
      <c r="N989" s="52"/>
      <c r="O989" s="52"/>
    </row>
    <row r="990">
      <c r="M990" s="52"/>
      <c r="N990" s="52"/>
      <c r="O990" s="52"/>
    </row>
    <row r="991">
      <c r="M991" s="52"/>
      <c r="N991" s="52"/>
      <c r="O991" s="52"/>
    </row>
    <row r="992">
      <c r="M992" s="52"/>
      <c r="N992" s="52"/>
      <c r="O992" s="52"/>
    </row>
    <row r="993">
      <c r="M993" s="52"/>
      <c r="N993" s="52"/>
      <c r="O993" s="52"/>
    </row>
    <row r="994">
      <c r="M994" s="52"/>
      <c r="N994" s="52"/>
      <c r="O994" s="52"/>
    </row>
    <row r="995">
      <c r="M995" s="52"/>
      <c r="N995" s="52"/>
      <c r="O995" s="52"/>
    </row>
    <row r="996">
      <c r="M996" s="52"/>
      <c r="N996" s="52"/>
      <c r="O996" s="52"/>
    </row>
    <row r="997">
      <c r="M997" s="52"/>
      <c r="N997" s="52"/>
      <c r="O997" s="52"/>
    </row>
    <row r="998">
      <c r="M998" s="52"/>
      <c r="N998" s="52"/>
      <c r="O998" s="52"/>
    </row>
    <row r="999">
      <c r="M999" s="52"/>
      <c r="N999" s="52"/>
      <c r="O999" s="52"/>
    </row>
    <row r="1000">
      <c r="M1000" s="52"/>
      <c r="N1000" s="52"/>
      <c r="O1000" s="52"/>
    </row>
  </sheetData>
  <mergeCells count="7">
    <mergeCell ref="A1:A2"/>
    <mergeCell ref="B1:B2"/>
    <mergeCell ref="C1:G1"/>
    <mergeCell ref="H1:I1"/>
    <mergeCell ref="J1:J2"/>
    <mergeCell ref="K1:O1"/>
    <mergeCell ref="P1:U1"/>
  </mergeCells>
  <conditionalFormatting sqref="N3:N9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G3:G9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3:H9">
    <cfRule type="colorScale" priority="3">
      <colorScale>
        <cfvo type="formula" val="0"/>
        <cfvo type="max"/>
        <color rgb="FFFFFFFF"/>
        <color rgb="FF57BB8A"/>
      </colorScale>
    </cfRule>
  </conditionalFormatting>
  <conditionalFormatting sqref="I3:I9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J3:J9">
    <cfRule type="colorScale" priority="5">
      <colorScale>
        <cfvo type="formula" val="0"/>
        <cfvo type="max"/>
        <color rgb="FFFFFFFF"/>
        <color rgb="FF57BB8A"/>
      </colorScale>
    </cfRule>
  </conditionalFormatting>
  <conditionalFormatting sqref="K3:K9">
    <cfRule type="colorScale" priority="6">
      <colorScale>
        <cfvo type="formula" val="0"/>
        <cfvo type="max"/>
        <color rgb="FFFFFFFF"/>
        <color rgb="FF57BB8A"/>
      </colorScale>
    </cfRule>
  </conditionalFormatting>
  <conditionalFormatting sqref="L3:L9">
    <cfRule type="colorScale" priority="7">
      <colorScale>
        <cfvo type="formula" val="0"/>
        <cfvo type="max"/>
        <color rgb="FFFFFFFF"/>
        <color rgb="FFE67C73"/>
      </colorScale>
    </cfRule>
  </conditionalFormatting>
  <conditionalFormatting sqref="C3:C9">
    <cfRule type="colorScale" priority="8">
      <colorScale>
        <cfvo type="formula" val="0"/>
        <cfvo type="max"/>
        <color rgb="FFFFFFFF"/>
        <color rgb="FFFFD666"/>
      </colorScale>
    </cfRule>
  </conditionalFormatting>
  <conditionalFormatting sqref="D3:D9">
    <cfRule type="colorScale" priority="9">
      <colorScale>
        <cfvo type="formula" val="0"/>
        <cfvo type="max"/>
        <color rgb="FFFFFFFF"/>
        <color rgb="FF57BB8A"/>
      </colorScale>
    </cfRule>
  </conditionalFormatting>
  <conditionalFormatting sqref="E3:E9">
    <cfRule type="colorScale" priority="10">
      <colorScale>
        <cfvo type="formula" val="0"/>
        <cfvo type="max"/>
        <color rgb="FFFFFFFF"/>
        <color rgb="FFE67C73"/>
      </colorScale>
    </cfRule>
  </conditionalFormatting>
  <conditionalFormatting sqref="F3:F9">
    <cfRule type="colorScale" priority="11">
      <colorScale>
        <cfvo type="formula" val="0"/>
        <cfvo type="max"/>
        <color rgb="FFFFFFFF"/>
        <color rgb="FF57BB8A"/>
      </colorScale>
    </cfRule>
  </conditionalFormatting>
  <conditionalFormatting sqref="M3:M9">
    <cfRule type="colorScale" priority="12">
      <colorScale>
        <cfvo type="formula" val="0"/>
        <cfvo type="max"/>
        <color rgb="FFFFFFFF"/>
        <color rgb="FFFFD666"/>
      </colorScale>
    </cfRule>
  </conditionalFormatting>
  <conditionalFormatting sqref="O3:O9">
    <cfRule type="colorScale" priority="13">
      <colorScale>
        <cfvo type="formula" val="0"/>
        <cfvo type="formula" val="1"/>
        <color rgb="FFFFFFFF"/>
        <color rgb="FF57BB8A"/>
      </colorScale>
    </cfRule>
  </conditionalFormatting>
  <conditionalFormatting sqref="P3:P9">
    <cfRule type="colorScale" priority="14">
      <colorScale>
        <cfvo type="formula" val="0"/>
        <cfvo type="max"/>
        <color rgb="FFFFFFFF"/>
        <color rgb="FFFFD666"/>
      </colorScale>
    </cfRule>
  </conditionalFormatting>
  <conditionalFormatting sqref="U3:U9">
    <cfRule type="colorScale" priority="15">
      <colorScale>
        <cfvo type="formula" val="0"/>
        <cfvo type="formula" val="2"/>
        <cfvo type="formula" val="3"/>
        <color rgb="FFE67C73"/>
        <color rgb="FFFFFFFF"/>
        <color rgb="FF57BB8A"/>
      </colorScale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7.63"/>
    <col customWidth="1" min="4" max="4" width="5.63"/>
    <col customWidth="1" min="5" max="5" width="6.88"/>
    <col customWidth="1" min="6" max="6" width="7.88"/>
    <col customWidth="1" min="7" max="7" width="12.63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1" t="s">
        <v>4</v>
      </c>
      <c r="K1" s="6" t="s">
        <v>5</v>
      </c>
      <c r="L1" s="4"/>
      <c r="M1" s="4"/>
      <c r="N1" s="4"/>
      <c r="O1" s="5"/>
      <c r="P1" s="30" t="s">
        <v>6</v>
      </c>
      <c r="Q1" s="4"/>
      <c r="R1" s="4"/>
      <c r="S1" s="4"/>
      <c r="T1" s="4"/>
      <c r="U1" s="5"/>
    </row>
    <row r="2">
      <c r="A2" s="9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2" t="s">
        <v>13</v>
      </c>
      <c r="I2" s="12" t="s">
        <v>14</v>
      </c>
      <c r="J2" s="9"/>
      <c r="K2" s="10" t="s">
        <v>15</v>
      </c>
      <c r="L2" s="12" t="s">
        <v>10</v>
      </c>
      <c r="M2" s="10" t="s">
        <v>16</v>
      </c>
      <c r="N2" s="10" t="s">
        <v>17</v>
      </c>
      <c r="O2" s="10" t="s">
        <v>18</v>
      </c>
      <c r="P2" s="15" t="s">
        <v>8</v>
      </c>
      <c r="Q2" s="15">
        <v>0.0</v>
      </c>
      <c r="R2" s="15">
        <v>1.0</v>
      </c>
      <c r="S2" s="15">
        <v>2.0</v>
      </c>
      <c r="T2" s="15">
        <v>3.0</v>
      </c>
      <c r="U2" s="15" t="s">
        <v>19</v>
      </c>
    </row>
    <row r="3">
      <c r="A3" s="18" t="s">
        <v>21</v>
      </c>
      <c r="B3" s="18" t="s">
        <v>39</v>
      </c>
      <c r="C3" s="10">
        <v>0.0</v>
      </c>
      <c r="D3" s="10">
        <v>0.0</v>
      </c>
      <c r="E3" s="10">
        <v>0.0</v>
      </c>
      <c r="F3" s="10">
        <v>1.0</v>
      </c>
      <c r="G3" s="35" t="str">
        <f t="shared" ref="G3:G9" si="1">IFS(C3=0, "N/A", C3&lt;&gt;0,(D3-E3)/C3 )</f>
        <v>N/A</v>
      </c>
      <c r="H3" s="35"/>
      <c r="I3" s="35"/>
      <c r="J3" s="10">
        <v>3.0</v>
      </c>
      <c r="K3" s="35"/>
      <c r="L3" s="10"/>
      <c r="M3" s="10">
        <v>8.0</v>
      </c>
      <c r="N3" s="35">
        <f t="shared" ref="N3:N9" si="2">ifs(M3=0,"N/A",M3&lt;&gt;0,(M3-L3) /M3)</f>
        <v>1</v>
      </c>
      <c r="O3" s="35">
        <f t="shared" ref="O3:O9" si="3">IFS(M3=0, "N/A", M3&lt;&gt;0, K3/M3)</f>
        <v>0</v>
      </c>
      <c r="P3" s="10">
        <f t="shared" ref="P3:P6" si="4">sum(Q3,R3,S3,T3)</f>
        <v>4</v>
      </c>
      <c r="Q3" s="35"/>
      <c r="R3" s="10"/>
      <c r="S3" s="10">
        <v>2.0</v>
      </c>
      <c r="T3" s="10">
        <v>2.0</v>
      </c>
      <c r="U3" s="10">
        <f t="shared" ref="U3:U9" si="5">ifs(P3=0, "N/A",P3&lt;&gt;0,(R3 + S3*2 +T3*3)/P3)</f>
        <v>2.5</v>
      </c>
    </row>
    <row r="4">
      <c r="A4" s="21" t="s">
        <v>24</v>
      </c>
      <c r="B4" s="21" t="s">
        <v>41</v>
      </c>
      <c r="C4" s="10">
        <v>3.0</v>
      </c>
      <c r="D4" s="10">
        <v>1.0</v>
      </c>
      <c r="E4" s="10">
        <v>0.0</v>
      </c>
      <c r="F4" s="10"/>
      <c r="G4" s="35">
        <f t="shared" si="1"/>
        <v>0.3333333333</v>
      </c>
      <c r="H4" s="10">
        <v>1.0</v>
      </c>
      <c r="I4" s="10">
        <v>2.0</v>
      </c>
      <c r="J4" s="35"/>
      <c r="K4" s="35"/>
      <c r="L4" s="35"/>
      <c r="M4" s="10">
        <v>1.0</v>
      </c>
      <c r="N4" s="35">
        <f t="shared" si="2"/>
        <v>1</v>
      </c>
      <c r="O4" s="35">
        <f t="shared" si="3"/>
        <v>0</v>
      </c>
      <c r="P4" s="10">
        <f t="shared" si="4"/>
        <v>0</v>
      </c>
      <c r="Q4" s="35"/>
      <c r="R4" s="35"/>
      <c r="S4" s="35"/>
      <c r="T4" s="35"/>
      <c r="U4" s="10" t="str">
        <f t="shared" si="5"/>
        <v>N/A</v>
      </c>
    </row>
    <row r="5">
      <c r="A5" s="22" t="s">
        <v>26</v>
      </c>
      <c r="B5" s="22" t="s">
        <v>42</v>
      </c>
      <c r="C5" s="10">
        <v>0.0</v>
      </c>
      <c r="D5" s="10">
        <v>0.0</v>
      </c>
      <c r="E5" s="10">
        <v>0.0</v>
      </c>
      <c r="F5" s="10">
        <v>10.0</v>
      </c>
      <c r="G5" s="35" t="str">
        <f t="shared" si="1"/>
        <v>N/A</v>
      </c>
      <c r="H5" s="35"/>
      <c r="I5" s="10">
        <v>1.0</v>
      </c>
      <c r="J5" s="10">
        <v>2.0</v>
      </c>
      <c r="K5" s="10">
        <v>2.0</v>
      </c>
      <c r="L5" s="35"/>
      <c r="M5" s="10">
        <v>5.0</v>
      </c>
      <c r="N5" s="35">
        <f t="shared" si="2"/>
        <v>1</v>
      </c>
      <c r="O5" s="35">
        <f t="shared" si="3"/>
        <v>0.4</v>
      </c>
      <c r="P5" s="10">
        <f t="shared" si="4"/>
        <v>0</v>
      </c>
      <c r="Q5" s="35"/>
      <c r="R5" s="35"/>
      <c r="S5" s="35"/>
      <c r="T5" s="35"/>
      <c r="U5" s="10" t="str">
        <f t="shared" si="5"/>
        <v>N/A</v>
      </c>
    </row>
    <row r="6">
      <c r="A6" s="23" t="s">
        <v>28</v>
      </c>
      <c r="B6" s="23" t="s">
        <v>43</v>
      </c>
      <c r="C6" s="10">
        <v>8.0</v>
      </c>
      <c r="D6" s="10">
        <v>4.0</v>
      </c>
      <c r="E6" s="10">
        <v>2.0</v>
      </c>
      <c r="F6" s="35"/>
      <c r="G6" s="35">
        <f t="shared" si="1"/>
        <v>0.25</v>
      </c>
      <c r="H6" s="35"/>
      <c r="I6" s="35"/>
      <c r="J6" s="10">
        <v>2.0</v>
      </c>
      <c r="K6" s="10"/>
      <c r="L6" s="10"/>
      <c r="M6" s="10">
        <v>2.0</v>
      </c>
      <c r="N6" s="35">
        <f t="shared" si="2"/>
        <v>1</v>
      </c>
      <c r="O6" s="35">
        <f t="shared" si="3"/>
        <v>0</v>
      </c>
      <c r="P6" s="10">
        <f t="shared" si="4"/>
        <v>8</v>
      </c>
      <c r="Q6" s="10">
        <v>4.0</v>
      </c>
      <c r="R6" s="10"/>
      <c r="S6" s="10">
        <v>3.0</v>
      </c>
      <c r="T6" s="10">
        <v>1.0</v>
      </c>
      <c r="U6" s="10">
        <f t="shared" si="5"/>
        <v>1.125</v>
      </c>
    </row>
    <row r="7">
      <c r="A7" s="24" t="s">
        <v>30</v>
      </c>
      <c r="B7" s="24" t="s">
        <v>85</v>
      </c>
      <c r="C7" s="10">
        <v>6.0</v>
      </c>
      <c r="D7" s="10">
        <v>3.0</v>
      </c>
      <c r="E7" s="10">
        <v>0.0</v>
      </c>
      <c r="F7" s="35"/>
      <c r="G7" s="35">
        <f t="shared" si="1"/>
        <v>0.5</v>
      </c>
      <c r="H7" s="35"/>
      <c r="I7" s="35"/>
      <c r="J7" s="10">
        <v>3.0</v>
      </c>
      <c r="K7" s="35"/>
      <c r="L7" s="10">
        <v>1.0</v>
      </c>
      <c r="M7" s="10">
        <v>2.0</v>
      </c>
      <c r="N7" s="35">
        <f t="shared" si="2"/>
        <v>0.5</v>
      </c>
      <c r="O7" s="35">
        <f t="shared" si="3"/>
        <v>0</v>
      </c>
      <c r="P7" s="10">
        <v>1.0</v>
      </c>
      <c r="Q7" s="35"/>
      <c r="R7" s="35"/>
      <c r="S7" s="10">
        <v>1.0</v>
      </c>
      <c r="T7" s="35"/>
      <c r="U7" s="10">
        <f t="shared" si="5"/>
        <v>2</v>
      </c>
    </row>
    <row r="8">
      <c r="A8" s="25" t="s">
        <v>32</v>
      </c>
      <c r="B8" s="25" t="s">
        <v>45</v>
      </c>
      <c r="C8" s="10">
        <v>6.0</v>
      </c>
      <c r="D8" s="10">
        <v>2.0</v>
      </c>
      <c r="E8" s="10">
        <v>2.0</v>
      </c>
      <c r="F8" s="35"/>
      <c r="G8" s="35">
        <f t="shared" si="1"/>
        <v>0</v>
      </c>
      <c r="H8" s="35"/>
      <c r="I8" s="10">
        <v>1.0</v>
      </c>
      <c r="J8" s="10">
        <v>1.0</v>
      </c>
      <c r="K8" s="35"/>
      <c r="L8" s="10">
        <v>1.0</v>
      </c>
      <c r="M8" s="10">
        <v>3.0</v>
      </c>
      <c r="N8" s="35">
        <f t="shared" si="2"/>
        <v>0.6666666667</v>
      </c>
      <c r="O8" s="35">
        <f t="shared" si="3"/>
        <v>0</v>
      </c>
      <c r="P8" s="10">
        <f t="shared" ref="P8:P9" si="6">sum(Q8,R8,S8,T8)</f>
        <v>0</v>
      </c>
      <c r="Q8" s="35"/>
      <c r="R8" s="10"/>
      <c r="S8" s="35"/>
      <c r="T8" s="35"/>
      <c r="U8" s="10" t="str">
        <f t="shared" si="5"/>
        <v>N/A</v>
      </c>
    </row>
    <row r="9">
      <c r="A9" s="26" t="s">
        <v>34</v>
      </c>
      <c r="B9" s="26" t="s">
        <v>84</v>
      </c>
      <c r="C9" s="10">
        <v>2.0</v>
      </c>
      <c r="D9" s="10">
        <v>1.0</v>
      </c>
      <c r="E9" s="10">
        <v>0.0</v>
      </c>
      <c r="F9" s="35"/>
      <c r="G9" s="35">
        <f t="shared" si="1"/>
        <v>0.5</v>
      </c>
      <c r="H9" s="35"/>
      <c r="I9" s="35"/>
      <c r="J9" s="10"/>
      <c r="K9" s="35"/>
      <c r="L9" s="10"/>
      <c r="M9" s="10"/>
      <c r="N9" s="35" t="str">
        <f t="shared" si="2"/>
        <v>N/A</v>
      </c>
      <c r="O9" s="35" t="str">
        <f t="shared" si="3"/>
        <v>N/A</v>
      </c>
      <c r="P9" s="10">
        <f t="shared" si="6"/>
        <v>0</v>
      </c>
      <c r="Q9" s="35"/>
      <c r="R9" s="10"/>
      <c r="S9" s="10"/>
      <c r="T9" s="35"/>
      <c r="U9" s="10" t="str">
        <f t="shared" si="5"/>
        <v>N/A</v>
      </c>
    </row>
    <row r="10">
      <c r="M10" s="52"/>
      <c r="N10" s="52"/>
      <c r="O10" s="52"/>
    </row>
    <row r="11">
      <c r="M11" s="52"/>
      <c r="N11" s="52"/>
      <c r="O11" s="52"/>
    </row>
    <row r="12">
      <c r="M12" s="52"/>
      <c r="N12" s="52"/>
      <c r="O12" s="52"/>
    </row>
    <row r="13">
      <c r="M13" s="52"/>
      <c r="N13" s="52"/>
      <c r="O13" s="52"/>
    </row>
    <row r="14">
      <c r="M14" s="52"/>
      <c r="N14" s="52"/>
      <c r="O14" s="52"/>
    </row>
    <row r="15">
      <c r="M15" s="52"/>
      <c r="N15" s="52"/>
      <c r="O15" s="52"/>
    </row>
    <row r="16">
      <c r="M16" s="52"/>
      <c r="N16" s="52"/>
      <c r="O16" s="52"/>
    </row>
    <row r="17">
      <c r="M17" s="52"/>
      <c r="N17" s="52"/>
      <c r="O17" s="52"/>
    </row>
    <row r="18">
      <c r="M18" s="52"/>
      <c r="N18" s="52"/>
      <c r="O18" s="52"/>
    </row>
    <row r="19">
      <c r="M19" s="52"/>
      <c r="N19" s="52"/>
      <c r="O19" s="52"/>
    </row>
    <row r="20">
      <c r="M20" s="52"/>
      <c r="N20" s="52"/>
      <c r="O20" s="52"/>
    </row>
    <row r="21">
      <c r="M21" s="52"/>
      <c r="N21" s="52"/>
      <c r="O21" s="52"/>
    </row>
    <row r="22">
      <c r="M22" s="52"/>
      <c r="N22" s="52"/>
      <c r="O22" s="52"/>
    </row>
    <row r="23">
      <c r="M23" s="52"/>
      <c r="N23" s="52"/>
      <c r="O23" s="52"/>
    </row>
    <row r="24">
      <c r="M24" s="52"/>
      <c r="N24" s="52"/>
      <c r="O24" s="52"/>
    </row>
    <row r="25">
      <c r="M25" s="52"/>
      <c r="N25" s="52"/>
      <c r="O25" s="52"/>
    </row>
    <row r="26">
      <c r="M26" s="52"/>
      <c r="N26" s="52"/>
      <c r="O26" s="52"/>
    </row>
    <row r="27">
      <c r="M27" s="52"/>
      <c r="N27" s="52"/>
      <c r="O27" s="52"/>
    </row>
    <row r="28">
      <c r="M28" s="52"/>
      <c r="N28" s="52"/>
      <c r="O28" s="52"/>
    </row>
    <row r="29">
      <c r="M29" s="52"/>
      <c r="N29" s="52"/>
      <c r="O29" s="52"/>
    </row>
    <row r="30">
      <c r="M30" s="52"/>
      <c r="N30" s="52"/>
      <c r="O30" s="52"/>
    </row>
    <row r="31">
      <c r="M31" s="52"/>
      <c r="N31" s="52"/>
      <c r="O31" s="52"/>
    </row>
    <row r="32">
      <c r="M32" s="52"/>
      <c r="N32" s="52"/>
      <c r="O32" s="52"/>
    </row>
    <row r="33">
      <c r="M33" s="52"/>
      <c r="N33" s="52"/>
      <c r="O33" s="52"/>
    </row>
    <row r="34">
      <c r="M34" s="52"/>
      <c r="N34" s="52"/>
      <c r="O34" s="52"/>
    </row>
    <row r="35">
      <c r="M35" s="52"/>
      <c r="N35" s="52"/>
      <c r="O35" s="52"/>
    </row>
    <row r="36">
      <c r="M36" s="52"/>
      <c r="N36" s="52"/>
      <c r="O36" s="52"/>
    </row>
    <row r="37">
      <c r="M37" s="52"/>
      <c r="N37" s="52"/>
      <c r="O37" s="52"/>
    </row>
    <row r="38">
      <c r="M38" s="52"/>
      <c r="N38" s="52"/>
      <c r="O38" s="52"/>
    </row>
    <row r="39">
      <c r="M39" s="52"/>
      <c r="N39" s="52"/>
      <c r="O39" s="52"/>
    </row>
    <row r="40">
      <c r="M40" s="52"/>
      <c r="N40" s="52"/>
      <c r="O40" s="52"/>
    </row>
    <row r="41">
      <c r="M41" s="52"/>
      <c r="N41" s="52"/>
      <c r="O41" s="52"/>
    </row>
    <row r="42">
      <c r="M42" s="52"/>
      <c r="N42" s="52"/>
      <c r="O42" s="52"/>
    </row>
    <row r="43">
      <c r="M43" s="52"/>
      <c r="N43" s="52"/>
      <c r="O43" s="52"/>
    </row>
    <row r="44">
      <c r="M44" s="52"/>
      <c r="N44" s="52"/>
      <c r="O44" s="52"/>
    </row>
    <row r="45">
      <c r="M45" s="52"/>
      <c r="N45" s="52"/>
      <c r="O45" s="52"/>
    </row>
    <row r="46">
      <c r="M46" s="52"/>
      <c r="N46" s="52"/>
      <c r="O46" s="52"/>
    </row>
    <row r="47">
      <c r="M47" s="52"/>
      <c r="N47" s="52"/>
      <c r="O47" s="52"/>
    </row>
    <row r="48">
      <c r="M48" s="52"/>
      <c r="N48" s="52"/>
      <c r="O48" s="52"/>
    </row>
    <row r="49">
      <c r="M49" s="52"/>
      <c r="N49" s="52"/>
      <c r="O49" s="52"/>
    </row>
    <row r="50">
      <c r="M50" s="52"/>
      <c r="N50" s="52"/>
      <c r="O50" s="52"/>
    </row>
    <row r="51">
      <c r="M51" s="52"/>
      <c r="N51" s="52"/>
      <c r="O51" s="52"/>
    </row>
    <row r="52">
      <c r="M52" s="52"/>
      <c r="N52" s="52"/>
      <c r="O52" s="52"/>
    </row>
    <row r="53">
      <c r="M53" s="52"/>
      <c r="N53" s="52"/>
      <c r="O53" s="52"/>
    </row>
    <row r="54">
      <c r="M54" s="52"/>
      <c r="N54" s="52"/>
      <c r="O54" s="52"/>
    </row>
    <row r="55">
      <c r="M55" s="52"/>
      <c r="N55" s="52"/>
      <c r="O55" s="52"/>
    </row>
    <row r="56">
      <c r="M56" s="52"/>
      <c r="N56" s="52"/>
      <c r="O56" s="52"/>
    </row>
    <row r="57">
      <c r="M57" s="52"/>
      <c r="N57" s="52"/>
      <c r="O57" s="52"/>
    </row>
    <row r="58">
      <c r="M58" s="52"/>
      <c r="N58" s="52"/>
      <c r="O58" s="52"/>
    </row>
    <row r="59">
      <c r="M59" s="52"/>
      <c r="N59" s="52"/>
      <c r="O59" s="52"/>
    </row>
    <row r="60">
      <c r="M60" s="52"/>
      <c r="N60" s="52"/>
      <c r="O60" s="52"/>
    </row>
    <row r="61">
      <c r="M61" s="52"/>
      <c r="N61" s="52"/>
      <c r="O61" s="52"/>
    </row>
    <row r="62">
      <c r="M62" s="52"/>
      <c r="N62" s="52"/>
      <c r="O62" s="52"/>
    </row>
    <row r="63">
      <c r="M63" s="52"/>
      <c r="N63" s="52"/>
      <c r="O63" s="52"/>
    </row>
    <row r="64">
      <c r="M64" s="52"/>
      <c r="N64" s="52"/>
      <c r="O64" s="52"/>
    </row>
    <row r="65">
      <c r="M65" s="52"/>
      <c r="N65" s="52"/>
      <c r="O65" s="52"/>
    </row>
    <row r="66">
      <c r="M66" s="52"/>
      <c r="N66" s="52"/>
      <c r="O66" s="52"/>
    </row>
    <row r="67">
      <c r="M67" s="52"/>
      <c r="N67" s="52"/>
      <c r="O67" s="52"/>
    </row>
    <row r="68">
      <c r="M68" s="52"/>
      <c r="N68" s="52"/>
      <c r="O68" s="52"/>
    </row>
    <row r="69">
      <c r="M69" s="52"/>
      <c r="N69" s="52"/>
      <c r="O69" s="52"/>
    </row>
    <row r="70">
      <c r="M70" s="52"/>
      <c r="N70" s="52"/>
      <c r="O70" s="52"/>
    </row>
    <row r="71">
      <c r="M71" s="52"/>
      <c r="N71" s="52"/>
      <c r="O71" s="52"/>
    </row>
    <row r="72">
      <c r="M72" s="52"/>
      <c r="N72" s="52"/>
      <c r="O72" s="52"/>
    </row>
    <row r="73">
      <c r="M73" s="52"/>
      <c r="N73" s="52"/>
      <c r="O73" s="52"/>
    </row>
    <row r="74">
      <c r="M74" s="52"/>
      <c r="N74" s="52"/>
      <c r="O74" s="52"/>
    </row>
    <row r="75">
      <c r="M75" s="52"/>
      <c r="N75" s="52"/>
      <c r="O75" s="52"/>
    </row>
    <row r="76">
      <c r="M76" s="52"/>
      <c r="N76" s="52"/>
      <c r="O76" s="52"/>
    </row>
    <row r="77">
      <c r="M77" s="52"/>
      <c r="N77" s="52"/>
      <c r="O77" s="52"/>
    </row>
    <row r="78">
      <c r="M78" s="52"/>
      <c r="N78" s="52"/>
      <c r="O78" s="52"/>
    </row>
    <row r="79">
      <c r="M79" s="52"/>
      <c r="N79" s="52"/>
      <c r="O79" s="52"/>
    </row>
    <row r="80">
      <c r="M80" s="52"/>
      <c r="N80" s="52"/>
      <c r="O80" s="52"/>
    </row>
    <row r="81">
      <c r="M81" s="52"/>
      <c r="N81" s="52"/>
      <c r="O81" s="52"/>
    </row>
    <row r="82">
      <c r="M82" s="52"/>
      <c r="N82" s="52"/>
      <c r="O82" s="52"/>
    </row>
    <row r="83">
      <c r="M83" s="52"/>
      <c r="N83" s="52"/>
      <c r="O83" s="52"/>
    </row>
    <row r="84">
      <c r="M84" s="52"/>
      <c r="N84" s="52"/>
      <c r="O84" s="52"/>
    </row>
    <row r="85">
      <c r="M85" s="52"/>
      <c r="N85" s="52"/>
      <c r="O85" s="52"/>
    </row>
    <row r="86">
      <c r="M86" s="52"/>
      <c r="N86" s="52"/>
      <c r="O86" s="52"/>
    </row>
    <row r="87">
      <c r="M87" s="52"/>
      <c r="N87" s="52"/>
      <c r="O87" s="52"/>
    </row>
    <row r="88">
      <c r="M88" s="52"/>
      <c r="N88" s="52"/>
      <c r="O88" s="52"/>
    </row>
    <row r="89">
      <c r="M89" s="52"/>
      <c r="N89" s="52"/>
      <c r="O89" s="52"/>
    </row>
    <row r="90">
      <c r="M90" s="52"/>
      <c r="N90" s="52"/>
      <c r="O90" s="52"/>
    </row>
    <row r="91">
      <c r="M91" s="52"/>
      <c r="N91" s="52"/>
      <c r="O91" s="52"/>
    </row>
    <row r="92">
      <c r="M92" s="52"/>
      <c r="N92" s="52"/>
      <c r="O92" s="52"/>
    </row>
    <row r="93">
      <c r="M93" s="52"/>
      <c r="N93" s="52"/>
      <c r="O93" s="52"/>
    </row>
    <row r="94">
      <c r="M94" s="52"/>
      <c r="N94" s="52"/>
      <c r="O94" s="52"/>
    </row>
    <row r="95">
      <c r="M95" s="52"/>
      <c r="N95" s="52"/>
      <c r="O95" s="52"/>
    </row>
    <row r="96">
      <c r="M96" s="52"/>
      <c r="N96" s="52"/>
      <c r="O96" s="52"/>
    </row>
    <row r="97">
      <c r="M97" s="52"/>
      <c r="N97" s="52"/>
      <c r="O97" s="52"/>
    </row>
    <row r="98">
      <c r="M98" s="52"/>
      <c r="N98" s="52"/>
      <c r="O98" s="52"/>
    </row>
    <row r="99">
      <c r="M99" s="52"/>
      <c r="N99" s="52"/>
      <c r="O99" s="52"/>
    </row>
    <row r="100">
      <c r="M100" s="52"/>
      <c r="N100" s="52"/>
      <c r="O100" s="52"/>
    </row>
    <row r="101">
      <c r="M101" s="52"/>
      <c r="N101" s="52"/>
      <c r="O101" s="52"/>
    </row>
    <row r="102">
      <c r="M102" s="52"/>
      <c r="N102" s="52"/>
      <c r="O102" s="52"/>
    </row>
    <row r="103">
      <c r="M103" s="52"/>
      <c r="N103" s="52"/>
      <c r="O103" s="52"/>
    </row>
    <row r="104">
      <c r="M104" s="52"/>
      <c r="N104" s="52"/>
      <c r="O104" s="52"/>
    </row>
    <row r="105">
      <c r="M105" s="52"/>
      <c r="N105" s="52"/>
      <c r="O105" s="52"/>
    </row>
    <row r="106">
      <c r="M106" s="52"/>
      <c r="N106" s="52"/>
      <c r="O106" s="52"/>
    </row>
    <row r="107">
      <c r="M107" s="52"/>
      <c r="N107" s="52"/>
      <c r="O107" s="52"/>
    </row>
    <row r="108">
      <c r="M108" s="52"/>
      <c r="N108" s="52"/>
      <c r="O108" s="52"/>
    </row>
    <row r="109">
      <c r="M109" s="52"/>
      <c r="N109" s="52"/>
      <c r="O109" s="52"/>
    </row>
    <row r="110">
      <c r="M110" s="52"/>
      <c r="N110" s="52"/>
      <c r="O110" s="52"/>
    </row>
    <row r="111">
      <c r="M111" s="52"/>
      <c r="N111" s="52"/>
      <c r="O111" s="52"/>
    </row>
    <row r="112">
      <c r="M112" s="52"/>
      <c r="N112" s="52"/>
      <c r="O112" s="52"/>
    </row>
    <row r="113">
      <c r="M113" s="52"/>
      <c r="N113" s="52"/>
      <c r="O113" s="52"/>
    </row>
    <row r="114">
      <c r="M114" s="52"/>
      <c r="N114" s="52"/>
      <c r="O114" s="52"/>
    </row>
    <row r="115">
      <c r="M115" s="52"/>
      <c r="N115" s="52"/>
      <c r="O115" s="52"/>
    </row>
    <row r="116">
      <c r="M116" s="52"/>
      <c r="N116" s="52"/>
      <c r="O116" s="52"/>
    </row>
    <row r="117">
      <c r="M117" s="52"/>
      <c r="N117" s="52"/>
      <c r="O117" s="52"/>
    </row>
    <row r="118">
      <c r="M118" s="52"/>
      <c r="N118" s="52"/>
      <c r="O118" s="52"/>
    </row>
    <row r="119">
      <c r="M119" s="52"/>
      <c r="N119" s="52"/>
      <c r="O119" s="52"/>
    </row>
    <row r="120">
      <c r="M120" s="52"/>
      <c r="N120" s="52"/>
      <c r="O120" s="52"/>
    </row>
    <row r="121">
      <c r="M121" s="52"/>
      <c r="N121" s="52"/>
      <c r="O121" s="52"/>
    </row>
    <row r="122">
      <c r="M122" s="52"/>
      <c r="N122" s="52"/>
      <c r="O122" s="52"/>
    </row>
    <row r="123">
      <c r="M123" s="52"/>
      <c r="N123" s="52"/>
      <c r="O123" s="52"/>
    </row>
    <row r="124">
      <c r="M124" s="52"/>
      <c r="N124" s="52"/>
      <c r="O124" s="52"/>
    </row>
    <row r="125">
      <c r="M125" s="52"/>
      <c r="N125" s="52"/>
      <c r="O125" s="52"/>
    </row>
    <row r="126">
      <c r="M126" s="52"/>
      <c r="N126" s="52"/>
      <c r="O126" s="52"/>
    </row>
    <row r="127">
      <c r="M127" s="52"/>
      <c r="N127" s="52"/>
      <c r="O127" s="52"/>
    </row>
    <row r="128">
      <c r="M128" s="52"/>
      <c r="N128" s="52"/>
      <c r="O128" s="52"/>
    </row>
    <row r="129">
      <c r="M129" s="52"/>
      <c r="N129" s="52"/>
      <c r="O129" s="52"/>
    </row>
    <row r="130">
      <c r="M130" s="52"/>
      <c r="N130" s="52"/>
      <c r="O130" s="52"/>
    </row>
    <row r="131">
      <c r="M131" s="52"/>
      <c r="N131" s="52"/>
      <c r="O131" s="52"/>
    </row>
    <row r="132">
      <c r="M132" s="52"/>
      <c r="N132" s="52"/>
      <c r="O132" s="52"/>
    </row>
    <row r="133">
      <c r="M133" s="52"/>
      <c r="N133" s="52"/>
      <c r="O133" s="52"/>
    </row>
    <row r="134">
      <c r="M134" s="52"/>
      <c r="N134" s="52"/>
      <c r="O134" s="52"/>
    </row>
    <row r="135">
      <c r="M135" s="52"/>
      <c r="N135" s="52"/>
      <c r="O135" s="52"/>
    </row>
    <row r="136">
      <c r="M136" s="52"/>
      <c r="N136" s="52"/>
      <c r="O136" s="52"/>
    </row>
    <row r="137">
      <c r="M137" s="52"/>
      <c r="N137" s="52"/>
      <c r="O137" s="52"/>
    </row>
    <row r="138">
      <c r="M138" s="52"/>
      <c r="N138" s="52"/>
      <c r="O138" s="52"/>
    </row>
    <row r="139">
      <c r="M139" s="52"/>
      <c r="N139" s="52"/>
      <c r="O139" s="52"/>
    </row>
    <row r="140">
      <c r="M140" s="52"/>
      <c r="N140" s="52"/>
      <c r="O140" s="52"/>
    </row>
    <row r="141">
      <c r="M141" s="52"/>
      <c r="N141" s="52"/>
      <c r="O141" s="52"/>
    </row>
    <row r="142">
      <c r="M142" s="52"/>
      <c r="N142" s="52"/>
      <c r="O142" s="52"/>
    </row>
    <row r="143">
      <c r="M143" s="52"/>
      <c r="N143" s="52"/>
      <c r="O143" s="52"/>
    </row>
    <row r="144">
      <c r="M144" s="52"/>
      <c r="N144" s="52"/>
      <c r="O144" s="52"/>
    </row>
    <row r="145">
      <c r="M145" s="52"/>
      <c r="N145" s="52"/>
      <c r="O145" s="52"/>
    </row>
    <row r="146">
      <c r="M146" s="52"/>
      <c r="N146" s="52"/>
      <c r="O146" s="52"/>
    </row>
    <row r="147">
      <c r="M147" s="52"/>
      <c r="N147" s="52"/>
      <c r="O147" s="52"/>
    </row>
    <row r="148">
      <c r="M148" s="52"/>
      <c r="N148" s="52"/>
      <c r="O148" s="52"/>
    </row>
    <row r="149">
      <c r="M149" s="52"/>
      <c r="N149" s="52"/>
      <c r="O149" s="52"/>
    </row>
    <row r="150">
      <c r="M150" s="52"/>
      <c r="N150" s="52"/>
      <c r="O150" s="52"/>
    </row>
    <row r="151">
      <c r="M151" s="52"/>
      <c r="N151" s="52"/>
      <c r="O151" s="52"/>
    </row>
    <row r="152">
      <c r="M152" s="52"/>
      <c r="N152" s="52"/>
      <c r="O152" s="52"/>
    </row>
    <row r="153">
      <c r="M153" s="52"/>
      <c r="N153" s="52"/>
      <c r="O153" s="52"/>
    </row>
    <row r="154">
      <c r="M154" s="52"/>
      <c r="N154" s="52"/>
      <c r="O154" s="52"/>
    </row>
    <row r="155">
      <c r="M155" s="52"/>
      <c r="N155" s="52"/>
      <c r="O155" s="52"/>
    </row>
    <row r="156">
      <c r="M156" s="52"/>
      <c r="N156" s="52"/>
      <c r="O156" s="52"/>
    </row>
    <row r="157">
      <c r="M157" s="52"/>
      <c r="N157" s="52"/>
      <c r="O157" s="52"/>
    </row>
    <row r="158">
      <c r="M158" s="52"/>
      <c r="N158" s="52"/>
      <c r="O158" s="52"/>
    </row>
    <row r="159">
      <c r="M159" s="52"/>
      <c r="N159" s="52"/>
      <c r="O159" s="52"/>
    </row>
    <row r="160">
      <c r="M160" s="52"/>
      <c r="N160" s="52"/>
      <c r="O160" s="52"/>
    </row>
    <row r="161">
      <c r="M161" s="52"/>
      <c r="N161" s="52"/>
      <c r="O161" s="52"/>
    </row>
    <row r="162">
      <c r="M162" s="52"/>
      <c r="N162" s="52"/>
      <c r="O162" s="52"/>
    </row>
    <row r="163">
      <c r="M163" s="52"/>
      <c r="N163" s="52"/>
      <c r="O163" s="52"/>
    </row>
    <row r="164">
      <c r="M164" s="52"/>
      <c r="N164" s="52"/>
      <c r="O164" s="52"/>
    </row>
    <row r="165">
      <c r="M165" s="52"/>
      <c r="N165" s="52"/>
      <c r="O165" s="52"/>
    </row>
    <row r="166">
      <c r="M166" s="52"/>
      <c r="N166" s="52"/>
      <c r="O166" s="52"/>
    </row>
    <row r="167">
      <c r="M167" s="52"/>
      <c r="N167" s="52"/>
      <c r="O167" s="52"/>
    </row>
    <row r="168">
      <c r="M168" s="52"/>
      <c r="N168" s="52"/>
      <c r="O168" s="52"/>
    </row>
    <row r="169">
      <c r="M169" s="52"/>
      <c r="N169" s="52"/>
      <c r="O169" s="52"/>
    </row>
    <row r="170">
      <c r="M170" s="52"/>
      <c r="N170" s="52"/>
      <c r="O170" s="52"/>
    </row>
    <row r="171">
      <c r="M171" s="52"/>
      <c r="N171" s="52"/>
      <c r="O171" s="52"/>
    </row>
    <row r="172">
      <c r="M172" s="52"/>
      <c r="N172" s="52"/>
      <c r="O172" s="52"/>
    </row>
    <row r="173">
      <c r="M173" s="52"/>
      <c r="N173" s="52"/>
      <c r="O173" s="52"/>
    </row>
    <row r="174">
      <c r="M174" s="52"/>
      <c r="N174" s="52"/>
      <c r="O174" s="52"/>
    </row>
    <row r="175">
      <c r="M175" s="52"/>
      <c r="N175" s="52"/>
      <c r="O175" s="52"/>
    </row>
    <row r="176">
      <c r="M176" s="52"/>
      <c r="N176" s="52"/>
      <c r="O176" s="52"/>
    </row>
    <row r="177">
      <c r="M177" s="52"/>
      <c r="N177" s="52"/>
      <c r="O177" s="52"/>
    </row>
    <row r="178">
      <c r="M178" s="52"/>
      <c r="N178" s="52"/>
      <c r="O178" s="52"/>
    </row>
    <row r="179">
      <c r="M179" s="52"/>
      <c r="N179" s="52"/>
      <c r="O179" s="52"/>
    </row>
    <row r="180">
      <c r="M180" s="52"/>
      <c r="N180" s="52"/>
      <c r="O180" s="52"/>
    </row>
    <row r="181">
      <c r="M181" s="52"/>
      <c r="N181" s="52"/>
      <c r="O181" s="52"/>
    </row>
    <row r="182">
      <c r="M182" s="52"/>
      <c r="N182" s="52"/>
      <c r="O182" s="52"/>
    </row>
    <row r="183">
      <c r="M183" s="52"/>
      <c r="N183" s="52"/>
      <c r="O183" s="52"/>
    </row>
    <row r="184">
      <c r="M184" s="52"/>
      <c r="N184" s="52"/>
      <c r="O184" s="52"/>
    </row>
    <row r="185">
      <c r="M185" s="52"/>
      <c r="N185" s="52"/>
      <c r="O185" s="52"/>
    </row>
    <row r="186">
      <c r="M186" s="52"/>
      <c r="N186" s="52"/>
      <c r="O186" s="52"/>
    </row>
    <row r="187">
      <c r="M187" s="52"/>
      <c r="N187" s="52"/>
      <c r="O187" s="52"/>
    </row>
    <row r="188">
      <c r="M188" s="52"/>
      <c r="N188" s="52"/>
      <c r="O188" s="52"/>
    </row>
    <row r="189">
      <c r="M189" s="52"/>
      <c r="N189" s="52"/>
      <c r="O189" s="52"/>
    </row>
    <row r="190">
      <c r="M190" s="52"/>
      <c r="N190" s="52"/>
      <c r="O190" s="52"/>
    </row>
    <row r="191">
      <c r="M191" s="52"/>
      <c r="N191" s="52"/>
      <c r="O191" s="52"/>
    </row>
    <row r="192">
      <c r="M192" s="52"/>
      <c r="N192" s="52"/>
      <c r="O192" s="52"/>
    </row>
    <row r="193">
      <c r="M193" s="52"/>
      <c r="N193" s="52"/>
      <c r="O193" s="52"/>
    </row>
    <row r="194">
      <c r="M194" s="52"/>
      <c r="N194" s="52"/>
      <c r="O194" s="52"/>
    </row>
    <row r="195">
      <c r="M195" s="52"/>
      <c r="N195" s="52"/>
      <c r="O195" s="52"/>
    </row>
    <row r="196">
      <c r="M196" s="52"/>
      <c r="N196" s="52"/>
      <c r="O196" s="52"/>
    </row>
    <row r="197">
      <c r="M197" s="52"/>
      <c r="N197" s="52"/>
      <c r="O197" s="52"/>
    </row>
    <row r="198">
      <c r="M198" s="52"/>
      <c r="N198" s="52"/>
      <c r="O198" s="52"/>
    </row>
    <row r="199">
      <c r="M199" s="52"/>
      <c r="N199" s="52"/>
      <c r="O199" s="52"/>
    </row>
    <row r="200">
      <c r="M200" s="52"/>
      <c r="N200" s="52"/>
      <c r="O200" s="52"/>
    </row>
    <row r="201">
      <c r="M201" s="52"/>
      <c r="N201" s="52"/>
      <c r="O201" s="52"/>
    </row>
    <row r="202">
      <c r="M202" s="52"/>
      <c r="N202" s="52"/>
      <c r="O202" s="52"/>
    </row>
    <row r="203">
      <c r="M203" s="52"/>
      <c r="N203" s="52"/>
      <c r="O203" s="52"/>
    </row>
    <row r="204">
      <c r="M204" s="52"/>
      <c r="N204" s="52"/>
      <c r="O204" s="52"/>
    </row>
    <row r="205">
      <c r="M205" s="52"/>
      <c r="N205" s="52"/>
      <c r="O205" s="52"/>
    </row>
    <row r="206">
      <c r="M206" s="52"/>
      <c r="N206" s="52"/>
      <c r="O206" s="52"/>
    </row>
    <row r="207">
      <c r="M207" s="52"/>
      <c r="N207" s="52"/>
      <c r="O207" s="52"/>
    </row>
    <row r="208">
      <c r="M208" s="52"/>
      <c r="N208" s="52"/>
      <c r="O208" s="52"/>
    </row>
    <row r="209">
      <c r="M209" s="52"/>
      <c r="N209" s="52"/>
      <c r="O209" s="52"/>
    </row>
    <row r="210">
      <c r="M210" s="52"/>
      <c r="N210" s="52"/>
      <c r="O210" s="52"/>
    </row>
    <row r="211">
      <c r="M211" s="52"/>
      <c r="N211" s="52"/>
      <c r="O211" s="52"/>
    </row>
    <row r="212">
      <c r="M212" s="52"/>
      <c r="N212" s="52"/>
      <c r="O212" s="52"/>
    </row>
    <row r="213">
      <c r="M213" s="52"/>
      <c r="N213" s="52"/>
      <c r="O213" s="52"/>
    </row>
    <row r="214">
      <c r="M214" s="52"/>
      <c r="N214" s="52"/>
      <c r="O214" s="52"/>
    </row>
    <row r="215">
      <c r="M215" s="52"/>
      <c r="N215" s="52"/>
      <c r="O215" s="52"/>
    </row>
    <row r="216">
      <c r="M216" s="52"/>
      <c r="N216" s="52"/>
      <c r="O216" s="52"/>
    </row>
    <row r="217">
      <c r="M217" s="52"/>
      <c r="N217" s="52"/>
      <c r="O217" s="52"/>
    </row>
    <row r="218">
      <c r="M218" s="52"/>
      <c r="N218" s="52"/>
      <c r="O218" s="52"/>
    </row>
    <row r="219">
      <c r="M219" s="52"/>
      <c r="N219" s="52"/>
      <c r="O219" s="52"/>
    </row>
    <row r="220">
      <c r="M220" s="52"/>
      <c r="N220" s="52"/>
      <c r="O220" s="52"/>
    </row>
    <row r="221">
      <c r="M221" s="52"/>
      <c r="N221" s="52"/>
      <c r="O221" s="52"/>
    </row>
    <row r="222">
      <c r="M222" s="52"/>
      <c r="N222" s="52"/>
      <c r="O222" s="52"/>
    </row>
    <row r="223">
      <c r="M223" s="52"/>
      <c r="N223" s="52"/>
      <c r="O223" s="52"/>
    </row>
    <row r="224">
      <c r="M224" s="52"/>
      <c r="N224" s="52"/>
      <c r="O224" s="52"/>
    </row>
    <row r="225">
      <c r="M225" s="52"/>
      <c r="N225" s="52"/>
      <c r="O225" s="52"/>
    </row>
    <row r="226">
      <c r="M226" s="52"/>
      <c r="N226" s="52"/>
      <c r="O226" s="52"/>
    </row>
    <row r="227">
      <c r="M227" s="52"/>
      <c r="N227" s="52"/>
      <c r="O227" s="52"/>
    </row>
    <row r="228">
      <c r="M228" s="52"/>
      <c r="N228" s="52"/>
      <c r="O228" s="52"/>
    </row>
    <row r="229">
      <c r="M229" s="52"/>
      <c r="N229" s="52"/>
      <c r="O229" s="52"/>
    </row>
    <row r="230">
      <c r="M230" s="52"/>
      <c r="N230" s="52"/>
      <c r="O230" s="52"/>
    </row>
    <row r="231">
      <c r="M231" s="52"/>
      <c r="N231" s="52"/>
      <c r="O231" s="52"/>
    </row>
    <row r="232">
      <c r="M232" s="52"/>
      <c r="N232" s="52"/>
      <c r="O232" s="52"/>
    </row>
    <row r="233">
      <c r="M233" s="52"/>
      <c r="N233" s="52"/>
      <c r="O233" s="52"/>
    </row>
    <row r="234">
      <c r="M234" s="52"/>
      <c r="N234" s="52"/>
      <c r="O234" s="52"/>
    </row>
    <row r="235">
      <c r="M235" s="52"/>
      <c r="N235" s="52"/>
      <c r="O235" s="52"/>
    </row>
    <row r="236">
      <c r="M236" s="52"/>
      <c r="N236" s="52"/>
      <c r="O236" s="52"/>
    </row>
    <row r="237">
      <c r="M237" s="52"/>
      <c r="N237" s="52"/>
      <c r="O237" s="52"/>
    </row>
    <row r="238">
      <c r="M238" s="52"/>
      <c r="N238" s="52"/>
      <c r="O238" s="52"/>
    </row>
    <row r="239">
      <c r="M239" s="52"/>
      <c r="N239" s="52"/>
      <c r="O239" s="52"/>
    </row>
    <row r="240">
      <c r="M240" s="52"/>
      <c r="N240" s="52"/>
      <c r="O240" s="52"/>
    </row>
    <row r="241">
      <c r="M241" s="52"/>
      <c r="N241" s="52"/>
      <c r="O241" s="52"/>
    </row>
    <row r="242">
      <c r="M242" s="52"/>
      <c r="N242" s="52"/>
      <c r="O242" s="52"/>
    </row>
    <row r="243">
      <c r="M243" s="52"/>
      <c r="N243" s="52"/>
      <c r="O243" s="52"/>
    </row>
    <row r="244">
      <c r="M244" s="52"/>
      <c r="N244" s="52"/>
      <c r="O244" s="52"/>
    </row>
    <row r="245">
      <c r="M245" s="52"/>
      <c r="N245" s="52"/>
      <c r="O245" s="52"/>
    </row>
    <row r="246">
      <c r="M246" s="52"/>
      <c r="N246" s="52"/>
      <c r="O246" s="52"/>
    </row>
    <row r="247">
      <c r="M247" s="52"/>
      <c r="N247" s="52"/>
      <c r="O247" s="52"/>
    </row>
    <row r="248">
      <c r="M248" s="52"/>
      <c r="N248" s="52"/>
      <c r="O248" s="52"/>
    </row>
    <row r="249">
      <c r="M249" s="52"/>
      <c r="N249" s="52"/>
      <c r="O249" s="52"/>
    </row>
    <row r="250">
      <c r="M250" s="52"/>
      <c r="N250" s="52"/>
      <c r="O250" s="52"/>
    </row>
    <row r="251">
      <c r="M251" s="52"/>
      <c r="N251" s="52"/>
      <c r="O251" s="52"/>
    </row>
    <row r="252">
      <c r="M252" s="52"/>
      <c r="N252" s="52"/>
      <c r="O252" s="52"/>
    </row>
    <row r="253">
      <c r="M253" s="52"/>
      <c r="N253" s="52"/>
      <c r="O253" s="52"/>
    </row>
    <row r="254">
      <c r="M254" s="52"/>
      <c r="N254" s="52"/>
      <c r="O254" s="52"/>
    </row>
    <row r="255">
      <c r="M255" s="52"/>
      <c r="N255" s="52"/>
      <c r="O255" s="52"/>
    </row>
    <row r="256">
      <c r="M256" s="52"/>
      <c r="N256" s="52"/>
      <c r="O256" s="52"/>
    </row>
    <row r="257">
      <c r="M257" s="52"/>
      <c r="N257" s="52"/>
      <c r="O257" s="52"/>
    </row>
    <row r="258">
      <c r="M258" s="52"/>
      <c r="N258" s="52"/>
      <c r="O258" s="52"/>
    </row>
    <row r="259">
      <c r="M259" s="52"/>
      <c r="N259" s="52"/>
      <c r="O259" s="52"/>
    </row>
    <row r="260">
      <c r="M260" s="52"/>
      <c r="N260" s="52"/>
      <c r="O260" s="52"/>
    </row>
    <row r="261">
      <c r="M261" s="52"/>
      <c r="N261" s="52"/>
      <c r="O261" s="52"/>
    </row>
    <row r="262">
      <c r="M262" s="52"/>
      <c r="N262" s="52"/>
      <c r="O262" s="52"/>
    </row>
    <row r="263">
      <c r="M263" s="52"/>
      <c r="N263" s="52"/>
      <c r="O263" s="52"/>
    </row>
    <row r="264">
      <c r="M264" s="52"/>
      <c r="N264" s="52"/>
      <c r="O264" s="52"/>
    </row>
    <row r="265">
      <c r="M265" s="52"/>
      <c r="N265" s="52"/>
      <c r="O265" s="52"/>
    </row>
    <row r="266">
      <c r="M266" s="52"/>
      <c r="N266" s="52"/>
      <c r="O266" s="52"/>
    </row>
    <row r="267">
      <c r="M267" s="52"/>
      <c r="N267" s="52"/>
      <c r="O267" s="52"/>
    </row>
    <row r="268">
      <c r="M268" s="52"/>
      <c r="N268" s="52"/>
      <c r="O268" s="52"/>
    </row>
    <row r="269">
      <c r="M269" s="52"/>
      <c r="N269" s="52"/>
      <c r="O269" s="52"/>
    </row>
    <row r="270">
      <c r="M270" s="52"/>
      <c r="N270" s="52"/>
      <c r="O270" s="52"/>
    </row>
    <row r="271">
      <c r="M271" s="52"/>
      <c r="N271" s="52"/>
      <c r="O271" s="52"/>
    </row>
    <row r="272">
      <c r="M272" s="52"/>
      <c r="N272" s="52"/>
      <c r="O272" s="52"/>
    </row>
    <row r="273">
      <c r="M273" s="52"/>
      <c r="N273" s="52"/>
      <c r="O273" s="52"/>
    </row>
    <row r="274">
      <c r="M274" s="52"/>
      <c r="N274" s="52"/>
      <c r="O274" s="52"/>
    </row>
    <row r="275">
      <c r="M275" s="52"/>
      <c r="N275" s="52"/>
      <c r="O275" s="52"/>
    </row>
    <row r="276">
      <c r="M276" s="52"/>
      <c r="N276" s="52"/>
      <c r="O276" s="52"/>
    </row>
    <row r="277">
      <c r="M277" s="52"/>
      <c r="N277" s="52"/>
      <c r="O277" s="52"/>
    </row>
    <row r="278">
      <c r="M278" s="52"/>
      <c r="N278" s="52"/>
      <c r="O278" s="52"/>
    </row>
    <row r="279">
      <c r="M279" s="52"/>
      <c r="N279" s="52"/>
      <c r="O279" s="52"/>
    </row>
    <row r="280">
      <c r="M280" s="52"/>
      <c r="N280" s="52"/>
      <c r="O280" s="52"/>
    </row>
    <row r="281">
      <c r="M281" s="52"/>
      <c r="N281" s="52"/>
      <c r="O281" s="52"/>
    </row>
    <row r="282">
      <c r="M282" s="52"/>
      <c r="N282" s="52"/>
      <c r="O282" s="52"/>
    </row>
    <row r="283">
      <c r="M283" s="52"/>
      <c r="N283" s="52"/>
      <c r="O283" s="52"/>
    </row>
    <row r="284">
      <c r="M284" s="52"/>
      <c r="N284" s="52"/>
      <c r="O284" s="52"/>
    </row>
    <row r="285">
      <c r="M285" s="52"/>
      <c r="N285" s="52"/>
      <c r="O285" s="52"/>
    </row>
    <row r="286">
      <c r="M286" s="52"/>
      <c r="N286" s="52"/>
      <c r="O286" s="52"/>
    </row>
    <row r="287">
      <c r="M287" s="52"/>
      <c r="N287" s="52"/>
      <c r="O287" s="52"/>
    </row>
    <row r="288">
      <c r="M288" s="52"/>
      <c r="N288" s="52"/>
      <c r="O288" s="52"/>
    </row>
    <row r="289">
      <c r="M289" s="52"/>
      <c r="N289" s="52"/>
      <c r="O289" s="52"/>
    </row>
    <row r="290">
      <c r="M290" s="52"/>
      <c r="N290" s="52"/>
      <c r="O290" s="52"/>
    </row>
    <row r="291">
      <c r="M291" s="52"/>
      <c r="N291" s="52"/>
      <c r="O291" s="52"/>
    </row>
    <row r="292">
      <c r="M292" s="52"/>
      <c r="N292" s="52"/>
      <c r="O292" s="52"/>
    </row>
    <row r="293">
      <c r="M293" s="52"/>
      <c r="N293" s="52"/>
      <c r="O293" s="52"/>
    </row>
    <row r="294">
      <c r="M294" s="52"/>
      <c r="N294" s="52"/>
      <c r="O294" s="52"/>
    </row>
    <row r="295">
      <c r="M295" s="52"/>
      <c r="N295" s="52"/>
      <c r="O295" s="52"/>
    </row>
    <row r="296">
      <c r="M296" s="52"/>
      <c r="N296" s="52"/>
      <c r="O296" s="52"/>
    </row>
    <row r="297">
      <c r="M297" s="52"/>
      <c r="N297" s="52"/>
      <c r="O297" s="52"/>
    </row>
    <row r="298">
      <c r="M298" s="52"/>
      <c r="N298" s="52"/>
      <c r="O298" s="52"/>
    </row>
    <row r="299">
      <c r="M299" s="52"/>
      <c r="N299" s="52"/>
      <c r="O299" s="52"/>
    </row>
    <row r="300">
      <c r="M300" s="52"/>
      <c r="N300" s="52"/>
      <c r="O300" s="52"/>
    </row>
    <row r="301">
      <c r="M301" s="52"/>
      <c r="N301" s="52"/>
      <c r="O301" s="52"/>
    </row>
    <row r="302">
      <c r="M302" s="52"/>
      <c r="N302" s="52"/>
      <c r="O302" s="52"/>
    </row>
    <row r="303">
      <c r="M303" s="52"/>
      <c r="N303" s="52"/>
      <c r="O303" s="52"/>
    </row>
    <row r="304">
      <c r="M304" s="52"/>
      <c r="N304" s="52"/>
      <c r="O304" s="52"/>
    </row>
    <row r="305">
      <c r="M305" s="52"/>
      <c r="N305" s="52"/>
      <c r="O305" s="52"/>
    </row>
    <row r="306">
      <c r="M306" s="52"/>
      <c r="N306" s="52"/>
      <c r="O306" s="52"/>
    </row>
    <row r="307">
      <c r="M307" s="52"/>
      <c r="N307" s="52"/>
      <c r="O307" s="52"/>
    </row>
    <row r="308">
      <c r="M308" s="52"/>
      <c r="N308" s="52"/>
      <c r="O308" s="52"/>
    </row>
    <row r="309">
      <c r="M309" s="52"/>
      <c r="N309" s="52"/>
      <c r="O309" s="52"/>
    </row>
    <row r="310">
      <c r="M310" s="52"/>
      <c r="N310" s="52"/>
      <c r="O310" s="52"/>
    </row>
    <row r="311">
      <c r="M311" s="52"/>
      <c r="N311" s="52"/>
      <c r="O311" s="52"/>
    </row>
    <row r="312">
      <c r="M312" s="52"/>
      <c r="N312" s="52"/>
      <c r="O312" s="52"/>
    </row>
    <row r="313">
      <c r="M313" s="52"/>
      <c r="N313" s="52"/>
      <c r="O313" s="52"/>
    </row>
    <row r="314">
      <c r="M314" s="52"/>
      <c r="N314" s="52"/>
      <c r="O314" s="52"/>
    </row>
    <row r="315">
      <c r="M315" s="52"/>
      <c r="N315" s="52"/>
      <c r="O315" s="52"/>
    </row>
    <row r="316">
      <c r="M316" s="52"/>
      <c r="N316" s="52"/>
      <c r="O316" s="52"/>
    </row>
    <row r="317">
      <c r="M317" s="52"/>
      <c r="N317" s="52"/>
      <c r="O317" s="52"/>
    </row>
    <row r="318">
      <c r="M318" s="52"/>
      <c r="N318" s="52"/>
      <c r="O318" s="52"/>
    </row>
    <row r="319">
      <c r="M319" s="52"/>
      <c r="N319" s="52"/>
      <c r="O319" s="52"/>
    </row>
    <row r="320">
      <c r="M320" s="52"/>
      <c r="N320" s="52"/>
      <c r="O320" s="52"/>
    </row>
    <row r="321">
      <c r="M321" s="52"/>
      <c r="N321" s="52"/>
      <c r="O321" s="52"/>
    </row>
    <row r="322">
      <c r="M322" s="52"/>
      <c r="N322" s="52"/>
      <c r="O322" s="52"/>
    </row>
    <row r="323">
      <c r="M323" s="52"/>
      <c r="N323" s="52"/>
      <c r="O323" s="52"/>
    </row>
    <row r="324">
      <c r="M324" s="52"/>
      <c r="N324" s="52"/>
      <c r="O324" s="52"/>
    </row>
    <row r="325">
      <c r="M325" s="52"/>
      <c r="N325" s="52"/>
      <c r="O325" s="52"/>
    </row>
    <row r="326">
      <c r="M326" s="52"/>
      <c r="N326" s="52"/>
      <c r="O326" s="52"/>
    </row>
    <row r="327">
      <c r="M327" s="52"/>
      <c r="N327" s="52"/>
      <c r="O327" s="52"/>
    </row>
    <row r="328">
      <c r="M328" s="52"/>
      <c r="N328" s="52"/>
      <c r="O328" s="52"/>
    </row>
    <row r="329">
      <c r="M329" s="52"/>
      <c r="N329" s="52"/>
      <c r="O329" s="52"/>
    </row>
    <row r="330">
      <c r="M330" s="52"/>
      <c r="N330" s="52"/>
      <c r="O330" s="52"/>
    </row>
    <row r="331">
      <c r="M331" s="52"/>
      <c r="N331" s="52"/>
      <c r="O331" s="52"/>
    </row>
    <row r="332">
      <c r="M332" s="52"/>
      <c r="N332" s="52"/>
      <c r="O332" s="52"/>
    </row>
    <row r="333">
      <c r="M333" s="52"/>
      <c r="N333" s="52"/>
      <c r="O333" s="52"/>
    </row>
    <row r="334">
      <c r="M334" s="52"/>
      <c r="N334" s="52"/>
      <c r="O334" s="52"/>
    </row>
    <row r="335">
      <c r="M335" s="52"/>
      <c r="N335" s="52"/>
      <c r="O335" s="52"/>
    </row>
    <row r="336">
      <c r="M336" s="52"/>
      <c r="N336" s="52"/>
      <c r="O336" s="52"/>
    </row>
    <row r="337">
      <c r="M337" s="52"/>
      <c r="N337" s="52"/>
      <c r="O337" s="52"/>
    </row>
    <row r="338">
      <c r="M338" s="52"/>
      <c r="N338" s="52"/>
      <c r="O338" s="52"/>
    </row>
    <row r="339">
      <c r="M339" s="52"/>
      <c r="N339" s="52"/>
      <c r="O339" s="52"/>
    </row>
    <row r="340">
      <c r="M340" s="52"/>
      <c r="N340" s="52"/>
      <c r="O340" s="52"/>
    </row>
    <row r="341">
      <c r="M341" s="52"/>
      <c r="N341" s="52"/>
      <c r="O341" s="52"/>
    </row>
    <row r="342">
      <c r="M342" s="52"/>
      <c r="N342" s="52"/>
      <c r="O342" s="52"/>
    </row>
    <row r="343">
      <c r="M343" s="52"/>
      <c r="N343" s="52"/>
      <c r="O343" s="52"/>
    </row>
    <row r="344">
      <c r="M344" s="52"/>
      <c r="N344" s="52"/>
      <c r="O344" s="52"/>
    </row>
    <row r="345">
      <c r="M345" s="52"/>
      <c r="N345" s="52"/>
      <c r="O345" s="52"/>
    </row>
    <row r="346">
      <c r="M346" s="52"/>
      <c r="N346" s="52"/>
      <c r="O346" s="52"/>
    </row>
    <row r="347">
      <c r="M347" s="52"/>
      <c r="N347" s="52"/>
      <c r="O347" s="52"/>
    </row>
    <row r="348">
      <c r="M348" s="52"/>
      <c r="N348" s="52"/>
      <c r="O348" s="52"/>
    </row>
    <row r="349">
      <c r="M349" s="52"/>
      <c r="N349" s="52"/>
      <c r="O349" s="52"/>
    </row>
    <row r="350">
      <c r="M350" s="52"/>
      <c r="N350" s="52"/>
      <c r="O350" s="52"/>
    </row>
    <row r="351">
      <c r="M351" s="52"/>
      <c r="N351" s="52"/>
      <c r="O351" s="52"/>
    </row>
    <row r="352">
      <c r="M352" s="52"/>
      <c r="N352" s="52"/>
      <c r="O352" s="52"/>
    </row>
    <row r="353">
      <c r="M353" s="52"/>
      <c r="N353" s="52"/>
      <c r="O353" s="52"/>
    </row>
    <row r="354">
      <c r="M354" s="52"/>
      <c r="N354" s="52"/>
      <c r="O354" s="52"/>
    </row>
    <row r="355">
      <c r="M355" s="52"/>
      <c r="N355" s="52"/>
      <c r="O355" s="52"/>
    </row>
    <row r="356">
      <c r="M356" s="52"/>
      <c r="N356" s="52"/>
      <c r="O356" s="52"/>
    </row>
    <row r="357">
      <c r="M357" s="52"/>
      <c r="N357" s="52"/>
      <c r="O357" s="52"/>
    </row>
    <row r="358">
      <c r="M358" s="52"/>
      <c r="N358" s="52"/>
      <c r="O358" s="52"/>
    </row>
    <row r="359">
      <c r="M359" s="52"/>
      <c r="N359" s="52"/>
      <c r="O359" s="52"/>
    </row>
    <row r="360">
      <c r="M360" s="52"/>
      <c r="N360" s="52"/>
      <c r="O360" s="52"/>
    </row>
    <row r="361">
      <c r="M361" s="52"/>
      <c r="N361" s="52"/>
      <c r="O361" s="52"/>
    </row>
    <row r="362">
      <c r="M362" s="52"/>
      <c r="N362" s="52"/>
      <c r="O362" s="52"/>
    </row>
    <row r="363">
      <c r="M363" s="52"/>
      <c r="N363" s="52"/>
      <c r="O363" s="52"/>
    </row>
    <row r="364">
      <c r="M364" s="52"/>
      <c r="N364" s="52"/>
      <c r="O364" s="52"/>
    </row>
    <row r="365">
      <c r="M365" s="52"/>
      <c r="N365" s="52"/>
      <c r="O365" s="52"/>
    </row>
    <row r="366">
      <c r="M366" s="52"/>
      <c r="N366" s="52"/>
      <c r="O366" s="52"/>
    </row>
    <row r="367">
      <c r="M367" s="52"/>
      <c r="N367" s="52"/>
      <c r="O367" s="52"/>
    </row>
    <row r="368">
      <c r="M368" s="52"/>
      <c r="N368" s="52"/>
      <c r="O368" s="52"/>
    </row>
    <row r="369">
      <c r="M369" s="52"/>
      <c r="N369" s="52"/>
      <c r="O369" s="52"/>
    </row>
    <row r="370">
      <c r="M370" s="52"/>
      <c r="N370" s="52"/>
      <c r="O370" s="52"/>
    </row>
    <row r="371">
      <c r="M371" s="52"/>
      <c r="N371" s="52"/>
      <c r="O371" s="52"/>
    </row>
    <row r="372">
      <c r="M372" s="52"/>
      <c r="N372" s="52"/>
      <c r="O372" s="52"/>
    </row>
    <row r="373">
      <c r="M373" s="52"/>
      <c r="N373" s="52"/>
      <c r="O373" s="52"/>
    </row>
    <row r="374">
      <c r="M374" s="52"/>
      <c r="N374" s="52"/>
      <c r="O374" s="52"/>
    </row>
    <row r="375">
      <c r="M375" s="52"/>
      <c r="N375" s="52"/>
      <c r="O375" s="52"/>
    </row>
    <row r="376">
      <c r="M376" s="52"/>
      <c r="N376" s="52"/>
      <c r="O376" s="52"/>
    </row>
    <row r="377">
      <c r="M377" s="52"/>
      <c r="N377" s="52"/>
      <c r="O377" s="52"/>
    </row>
    <row r="378">
      <c r="M378" s="52"/>
      <c r="N378" s="52"/>
      <c r="O378" s="52"/>
    </row>
    <row r="379">
      <c r="M379" s="52"/>
      <c r="N379" s="52"/>
      <c r="O379" s="52"/>
    </row>
    <row r="380">
      <c r="M380" s="52"/>
      <c r="N380" s="52"/>
      <c r="O380" s="52"/>
    </row>
    <row r="381">
      <c r="M381" s="52"/>
      <c r="N381" s="52"/>
      <c r="O381" s="52"/>
    </row>
    <row r="382">
      <c r="M382" s="52"/>
      <c r="N382" s="52"/>
      <c r="O382" s="52"/>
    </row>
    <row r="383">
      <c r="M383" s="52"/>
      <c r="N383" s="52"/>
      <c r="O383" s="52"/>
    </row>
    <row r="384">
      <c r="M384" s="52"/>
      <c r="N384" s="52"/>
      <c r="O384" s="52"/>
    </row>
    <row r="385">
      <c r="M385" s="52"/>
      <c r="N385" s="52"/>
      <c r="O385" s="52"/>
    </row>
    <row r="386">
      <c r="M386" s="52"/>
      <c r="N386" s="52"/>
      <c r="O386" s="52"/>
    </row>
    <row r="387">
      <c r="M387" s="52"/>
      <c r="N387" s="52"/>
      <c r="O387" s="52"/>
    </row>
    <row r="388">
      <c r="M388" s="52"/>
      <c r="N388" s="52"/>
      <c r="O388" s="52"/>
    </row>
    <row r="389">
      <c r="M389" s="52"/>
      <c r="N389" s="52"/>
      <c r="O389" s="52"/>
    </row>
    <row r="390">
      <c r="M390" s="52"/>
      <c r="N390" s="52"/>
      <c r="O390" s="52"/>
    </row>
    <row r="391">
      <c r="M391" s="52"/>
      <c r="N391" s="52"/>
      <c r="O391" s="52"/>
    </row>
    <row r="392">
      <c r="M392" s="52"/>
      <c r="N392" s="52"/>
      <c r="O392" s="52"/>
    </row>
    <row r="393">
      <c r="M393" s="52"/>
      <c r="N393" s="52"/>
      <c r="O393" s="52"/>
    </row>
    <row r="394">
      <c r="M394" s="52"/>
      <c r="N394" s="52"/>
      <c r="O394" s="52"/>
    </row>
    <row r="395">
      <c r="M395" s="52"/>
      <c r="N395" s="52"/>
      <c r="O395" s="52"/>
    </row>
    <row r="396">
      <c r="M396" s="52"/>
      <c r="N396" s="52"/>
      <c r="O396" s="52"/>
    </row>
    <row r="397">
      <c r="M397" s="52"/>
      <c r="N397" s="52"/>
      <c r="O397" s="52"/>
    </row>
    <row r="398">
      <c r="M398" s="52"/>
      <c r="N398" s="52"/>
      <c r="O398" s="52"/>
    </row>
    <row r="399">
      <c r="M399" s="52"/>
      <c r="N399" s="52"/>
      <c r="O399" s="52"/>
    </row>
    <row r="400">
      <c r="M400" s="52"/>
      <c r="N400" s="52"/>
      <c r="O400" s="52"/>
    </row>
    <row r="401">
      <c r="M401" s="52"/>
      <c r="N401" s="52"/>
      <c r="O401" s="52"/>
    </row>
    <row r="402">
      <c r="M402" s="52"/>
      <c r="N402" s="52"/>
      <c r="O402" s="52"/>
    </row>
    <row r="403">
      <c r="M403" s="52"/>
      <c r="N403" s="52"/>
      <c r="O403" s="52"/>
    </row>
    <row r="404">
      <c r="M404" s="52"/>
      <c r="N404" s="52"/>
      <c r="O404" s="52"/>
    </row>
    <row r="405">
      <c r="M405" s="52"/>
      <c r="N405" s="52"/>
      <c r="O405" s="52"/>
    </row>
    <row r="406">
      <c r="M406" s="52"/>
      <c r="N406" s="52"/>
      <c r="O406" s="52"/>
    </row>
    <row r="407">
      <c r="M407" s="52"/>
      <c r="N407" s="52"/>
      <c r="O407" s="52"/>
    </row>
    <row r="408">
      <c r="M408" s="52"/>
      <c r="N408" s="52"/>
      <c r="O408" s="52"/>
    </row>
    <row r="409">
      <c r="M409" s="52"/>
      <c r="N409" s="52"/>
      <c r="O409" s="52"/>
    </row>
    <row r="410">
      <c r="M410" s="52"/>
      <c r="N410" s="52"/>
      <c r="O410" s="52"/>
    </row>
    <row r="411">
      <c r="M411" s="52"/>
      <c r="N411" s="52"/>
      <c r="O411" s="52"/>
    </row>
    <row r="412">
      <c r="M412" s="52"/>
      <c r="N412" s="52"/>
      <c r="O412" s="52"/>
    </row>
    <row r="413">
      <c r="M413" s="52"/>
      <c r="N413" s="52"/>
      <c r="O413" s="52"/>
    </row>
    <row r="414">
      <c r="M414" s="52"/>
      <c r="N414" s="52"/>
      <c r="O414" s="52"/>
    </row>
    <row r="415">
      <c r="M415" s="52"/>
      <c r="N415" s="52"/>
      <c r="O415" s="52"/>
    </row>
    <row r="416">
      <c r="M416" s="52"/>
      <c r="N416" s="52"/>
      <c r="O416" s="52"/>
    </row>
    <row r="417">
      <c r="M417" s="52"/>
      <c r="N417" s="52"/>
      <c r="O417" s="52"/>
    </row>
    <row r="418">
      <c r="M418" s="52"/>
      <c r="N418" s="52"/>
      <c r="O418" s="52"/>
    </row>
    <row r="419">
      <c r="M419" s="52"/>
      <c r="N419" s="52"/>
      <c r="O419" s="52"/>
    </row>
    <row r="420">
      <c r="M420" s="52"/>
      <c r="N420" s="52"/>
      <c r="O420" s="52"/>
    </row>
    <row r="421">
      <c r="M421" s="52"/>
      <c r="N421" s="52"/>
      <c r="O421" s="52"/>
    </row>
    <row r="422">
      <c r="M422" s="52"/>
      <c r="N422" s="52"/>
      <c r="O422" s="52"/>
    </row>
    <row r="423">
      <c r="M423" s="52"/>
      <c r="N423" s="52"/>
      <c r="O423" s="52"/>
    </row>
    <row r="424">
      <c r="M424" s="52"/>
      <c r="N424" s="52"/>
      <c r="O424" s="52"/>
    </row>
    <row r="425">
      <c r="M425" s="52"/>
      <c r="N425" s="52"/>
      <c r="O425" s="52"/>
    </row>
    <row r="426">
      <c r="M426" s="52"/>
      <c r="N426" s="52"/>
      <c r="O426" s="52"/>
    </row>
    <row r="427">
      <c r="M427" s="52"/>
      <c r="N427" s="52"/>
      <c r="O427" s="52"/>
    </row>
    <row r="428">
      <c r="M428" s="52"/>
      <c r="N428" s="52"/>
      <c r="O428" s="52"/>
    </row>
    <row r="429">
      <c r="M429" s="52"/>
      <c r="N429" s="52"/>
      <c r="O429" s="52"/>
    </row>
    <row r="430">
      <c r="M430" s="52"/>
      <c r="N430" s="52"/>
      <c r="O430" s="52"/>
    </row>
    <row r="431">
      <c r="M431" s="52"/>
      <c r="N431" s="52"/>
      <c r="O431" s="52"/>
    </row>
    <row r="432">
      <c r="M432" s="52"/>
      <c r="N432" s="52"/>
      <c r="O432" s="52"/>
    </row>
    <row r="433">
      <c r="M433" s="52"/>
      <c r="N433" s="52"/>
      <c r="O433" s="52"/>
    </row>
    <row r="434">
      <c r="M434" s="52"/>
      <c r="N434" s="52"/>
      <c r="O434" s="52"/>
    </row>
    <row r="435">
      <c r="M435" s="52"/>
      <c r="N435" s="52"/>
      <c r="O435" s="52"/>
    </row>
    <row r="436">
      <c r="M436" s="52"/>
      <c r="N436" s="52"/>
      <c r="O436" s="52"/>
    </row>
    <row r="437">
      <c r="M437" s="52"/>
      <c r="N437" s="52"/>
      <c r="O437" s="52"/>
    </row>
    <row r="438">
      <c r="M438" s="52"/>
      <c r="N438" s="52"/>
      <c r="O438" s="52"/>
    </row>
    <row r="439">
      <c r="M439" s="52"/>
      <c r="N439" s="52"/>
      <c r="O439" s="52"/>
    </row>
    <row r="440">
      <c r="M440" s="52"/>
      <c r="N440" s="52"/>
      <c r="O440" s="52"/>
    </row>
    <row r="441">
      <c r="M441" s="52"/>
      <c r="N441" s="52"/>
      <c r="O441" s="52"/>
    </row>
    <row r="442">
      <c r="M442" s="52"/>
      <c r="N442" s="52"/>
      <c r="O442" s="52"/>
    </row>
    <row r="443">
      <c r="M443" s="52"/>
      <c r="N443" s="52"/>
      <c r="O443" s="52"/>
    </row>
    <row r="444">
      <c r="M444" s="52"/>
      <c r="N444" s="52"/>
      <c r="O444" s="52"/>
    </row>
    <row r="445">
      <c r="M445" s="52"/>
      <c r="N445" s="52"/>
      <c r="O445" s="52"/>
    </row>
    <row r="446">
      <c r="M446" s="52"/>
      <c r="N446" s="52"/>
      <c r="O446" s="52"/>
    </row>
    <row r="447">
      <c r="M447" s="52"/>
      <c r="N447" s="52"/>
      <c r="O447" s="52"/>
    </row>
    <row r="448">
      <c r="M448" s="52"/>
      <c r="N448" s="52"/>
      <c r="O448" s="52"/>
    </row>
    <row r="449">
      <c r="M449" s="52"/>
      <c r="N449" s="52"/>
      <c r="O449" s="52"/>
    </row>
    <row r="450">
      <c r="M450" s="52"/>
      <c r="N450" s="52"/>
      <c r="O450" s="52"/>
    </row>
    <row r="451">
      <c r="M451" s="52"/>
      <c r="N451" s="52"/>
      <c r="O451" s="52"/>
    </row>
    <row r="452">
      <c r="M452" s="52"/>
      <c r="N452" s="52"/>
      <c r="O452" s="52"/>
    </row>
    <row r="453">
      <c r="M453" s="52"/>
      <c r="N453" s="52"/>
      <c r="O453" s="52"/>
    </row>
    <row r="454">
      <c r="M454" s="52"/>
      <c r="N454" s="52"/>
      <c r="O454" s="52"/>
    </row>
    <row r="455">
      <c r="M455" s="52"/>
      <c r="N455" s="52"/>
      <c r="O455" s="52"/>
    </row>
    <row r="456">
      <c r="M456" s="52"/>
      <c r="N456" s="52"/>
      <c r="O456" s="52"/>
    </row>
    <row r="457">
      <c r="M457" s="52"/>
      <c r="N457" s="52"/>
      <c r="O457" s="52"/>
    </row>
    <row r="458">
      <c r="M458" s="52"/>
      <c r="N458" s="52"/>
      <c r="O458" s="52"/>
    </row>
    <row r="459">
      <c r="M459" s="52"/>
      <c r="N459" s="52"/>
      <c r="O459" s="52"/>
    </row>
    <row r="460">
      <c r="M460" s="52"/>
      <c r="N460" s="52"/>
      <c r="O460" s="52"/>
    </row>
    <row r="461">
      <c r="M461" s="52"/>
      <c r="N461" s="52"/>
      <c r="O461" s="52"/>
    </row>
    <row r="462">
      <c r="M462" s="52"/>
      <c r="N462" s="52"/>
      <c r="O462" s="52"/>
    </row>
    <row r="463">
      <c r="M463" s="52"/>
      <c r="N463" s="52"/>
      <c r="O463" s="52"/>
    </row>
    <row r="464">
      <c r="M464" s="52"/>
      <c r="N464" s="52"/>
      <c r="O464" s="52"/>
    </row>
    <row r="465">
      <c r="M465" s="52"/>
      <c r="N465" s="52"/>
      <c r="O465" s="52"/>
    </row>
    <row r="466">
      <c r="M466" s="52"/>
      <c r="N466" s="52"/>
      <c r="O466" s="52"/>
    </row>
    <row r="467">
      <c r="M467" s="52"/>
      <c r="N467" s="52"/>
      <c r="O467" s="52"/>
    </row>
    <row r="468">
      <c r="M468" s="52"/>
      <c r="N468" s="52"/>
      <c r="O468" s="52"/>
    </row>
    <row r="469">
      <c r="M469" s="52"/>
      <c r="N469" s="52"/>
      <c r="O469" s="52"/>
    </row>
    <row r="470">
      <c r="M470" s="52"/>
      <c r="N470" s="52"/>
      <c r="O470" s="52"/>
    </row>
    <row r="471">
      <c r="M471" s="52"/>
      <c r="N471" s="52"/>
      <c r="O471" s="52"/>
    </row>
    <row r="472">
      <c r="M472" s="52"/>
      <c r="N472" s="52"/>
      <c r="O472" s="52"/>
    </row>
    <row r="473">
      <c r="M473" s="52"/>
      <c r="N473" s="52"/>
      <c r="O473" s="52"/>
    </row>
    <row r="474">
      <c r="M474" s="52"/>
      <c r="N474" s="52"/>
      <c r="O474" s="52"/>
    </row>
    <row r="475">
      <c r="M475" s="52"/>
      <c r="N475" s="52"/>
      <c r="O475" s="52"/>
    </row>
    <row r="476">
      <c r="M476" s="52"/>
      <c r="N476" s="52"/>
      <c r="O476" s="52"/>
    </row>
    <row r="477">
      <c r="M477" s="52"/>
      <c r="N477" s="52"/>
      <c r="O477" s="52"/>
    </row>
    <row r="478">
      <c r="M478" s="52"/>
      <c r="N478" s="52"/>
      <c r="O478" s="52"/>
    </row>
    <row r="479">
      <c r="M479" s="52"/>
      <c r="N479" s="52"/>
      <c r="O479" s="52"/>
    </row>
    <row r="480">
      <c r="M480" s="52"/>
      <c r="N480" s="52"/>
      <c r="O480" s="52"/>
    </row>
    <row r="481">
      <c r="M481" s="52"/>
      <c r="N481" s="52"/>
      <c r="O481" s="52"/>
    </row>
    <row r="482">
      <c r="M482" s="52"/>
      <c r="N482" s="52"/>
      <c r="O482" s="52"/>
    </row>
    <row r="483">
      <c r="M483" s="52"/>
      <c r="N483" s="52"/>
      <c r="O483" s="52"/>
    </row>
    <row r="484">
      <c r="M484" s="52"/>
      <c r="N484" s="52"/>
      <c r="O484" s="52"/>
    </row>
    <row r="485">
      <c r="M485" s="52"/>
      <c r="N485" s="52"/>
      <c r="O485" s="52"/>
    </row>
    <row r="486">
      <c r="M486" s="52"/>
      <c r="N486" s="52"/>
      <c r="O486" s="52"/>
    </row>
    <row r="487">
      <c r="M487" s="52"/>
      <c r="N487" s="52"/>
      <c r="O487" s="52"/>
    </row>
    <row r="488">
      <c r="M488" s="52"/>
      <c r="N488" s="52"/>
      <c r="O488" s="52"/>
    </row>
    <row r="489">
      <c r="M489" s="52"/>
      <c r="N489" s="52"/>
      <c r="O489" s="52"/>
    </row>
    <row r="490">
      <c r="M490" s="52"/>
      <c r="N490" s="52"/>
      <c r="O490" s="52"/>
    </row>
    <row r="491">
      <c r="M491" s="52"/>
      <c r="N491" s="52"/>
      <c r="O491" s="52"/>
    </row>
    <row r="492">
      <c r="M492" s="52"/>
      <c r="N492" s="52"/>
      <c r="O492" s="52"/>
    </row>
    <row r="493">
      <c r="M493" s="52"/>
      <c r="N493" s="52"/>
      <c r="O493" s="52"/>
    </row>
    <row r="494">
      <c r="M494" s="52"/>
      <c r="N494" s="52"/>
      <c r="O494" s="52"/>
    </row>
    <row r="495">
      <c r="M495" s="52"/>
      <c r="N495" s="52"/>
      <c r="O495" s="52"/>
    </row>
    <row r="496">
      <c r="M496" s="52"/>
      <c r="N496" s="52"/>
      <c r="O496" s="52"/>
    </row>
    <row r="497">
      <c r="M497" s="52"/>
      <c r="N497" s="52"/>
      <c r="O497" s="52"/>
    </row>
    <row r="498">
      <c r="M498" s="52"/>
      <c r="N498" s="52"/>
      <c r="O498" s="52"/>
    </row>
    <row r="499">
      <c r="M499" s="52"/>
      <c r="N499" s="52"/>
      <c r="O499" s="52"/>
    </row>
    <row r="500">
      <c r="M500" s="52"/>
      <c r="N500" s="52"/>
      <c r="O500" s="52"/>
    </row>
    <row r="501">
      <c r="M501" s="52"/>
      <c r="N501" s="52"/>
      <c r="O501" s="52"/>
    </row>
    <row r="502">
      <c r="M502" s="52"/>
      <c r="N502" s="52"/>
      <c r="O502" s="52"/>
    </row>
    <row r="503">
      <c r="M503" s="52"/>
      <c r="N503" s="52"/>
      <c r="O503" s="52"/>
    </row>
    <row r="504">
      <c r="M504" s="52"/>
      <c r="N504" s="52"/>
      <c r="O504" s="52"/>
    </row>
    <row r="505">
      <c r="M505" s="52"/>
      <c r="N505" s="52"/>
      <c r="O505" s="52"/>
    </row>
    <row r="506">
      <c r="M506" s="52"/>
      <c r="N506" s="52"/>
      <c r="O506" s="52"/>
    </row>
    <row r="507">
      <c r="M507" s="52"/>
      <c r="N507" s="52"/>
      <c r="O507" s="52"/>
    </row>
    <row r="508">
      <c r="M508" s="52"/>
      <c r="N508" s="52"/>
      <c r="O508" s="52"/>
    </row>
    <row r="509">
      <c r="M509" s="52"/>
      <c r="N509" s="52"/>
      <c r="O509" s="52"/>
    </row>
    <row r="510">
      <c r="M510" s="52"/>
      <c r="N510" s="52"/>
      <c r="O510" s="52"/>
    </row>
    <row r="511">
      <c r="M511" s="52"/>
      <c r="N511" s="52"/>
      <c r="O511" s="52"/>
    </row>
    <row r="512">
      <c r="M512" s="52"/>
      <c r="N512" s="52"/>
      <c r="O512" s="52"/>
    </row>
    <row r="513">
      <c r="M513" s="52"/>
      <c r="N513" s="52"/>
      <c r="O513" s="52"/>
    </row>
    <row r="514">
      <c r="M514" s="52"/>
      <c r="N514" s="52"/>
      <c r="O514" s="52"/>
    </row>
    <row r="515">
      <c r="M515" s="52"/>
      <c r="N515" s="52"/>
      <c r="O515" s="52"/>
    </row>
    <row r="516">
      <c r="M516" s="52"/>
      <c r="N516" s="52"/>
      <c r="O516" s="52"/>
    </row>
    <row r="517">
      <c r="M517" s="52"/>
      <c r="N517" s="52"/>
      <c r="O517" s="52"/>
    </row>
    <row r="518">
      <c r="M518" s="52"/>
      <c r="N518" s="52"/>
      <c r="O518" s="52"/>
    </row>
    <row r="519">
      <c r="M519" s="52"/>
      <c r="N519" s="52"/>
      <c r="O519" s="52"/>
    </row>
    <row r="520">
      <c r="M520" s="52"/>
      <c r="N520" s="52"/>
      <c r="O520" s="52"/>
    </row>
    <row r="521">
      <c r="M521" s="52"/>
      <c r="N521" s="52"/>
      <c r="O521" s="52"/>
    </row>
    <row r="522">
      <c r="M522" s="52"/>
      <c r="N522" s="52"/>
      <c r="O522" s="52"/>
    </row>
    <row r="523">
      <c r="M523" s="52"/>
      <c r="N523" s="52"/>
      <c r="O523" s="52"/>
    </row>
    <row r="524">
      <c r="M524" s="52"/>
      <c r="N524" s="52"/>
      <c r="O524" s="52"/>
    </row>
    <row r="525">
      <c r="M525" s="52"/>
      <c r="N525" s="52"/>
      <c r="O525" s="52"/>
    </row>
    <row r="526">
      <c r="M526" s="52"/>
      <c r="N526" s="52"/>
      <c r="O526" s="52"/>
    </row>
    <row r="527">
      <c r="M527" s="52"/>
      <c r="N527" s="52"/>
      <c r="O527" s="52"/>
    </row>
    <row r="528">
      <c r="M528" s="52"/>
      <c r="N528" s="52"/>
      <c r="O528" s="52"/>
    </row>
    <row r="529">
      <c r="M529" s="52"/>
      <c r="N529" s="52"/>
      <c r="O529" s="52"/>
    </row>
    <row r="530">
      <c r="M530" s="52"/>
      <c r="N530" s="52"/>
      <c r="O530" s="52"/>
    </row>
    <row r="531">
      <c r="M531" s="52"/>
      <c r="N531" s="52"/>
      <c r="O531" s="52"/>
    </row>
    <row r="532">
      <c r="M532" s="52"/>
      <c r="N532" s="52"/>
      <c r="O532" s="52"/>
    </row>
    <row r="533">
      <c r="M533" s="52"/>
      <c r="N533" s="52"/>
      <c r="O533" s="52"/>
    </row>
    <row r="534">
      <c r="M534" s="52"/>
      <c r="N534" s="52"/>
      <c r="O534" s="52"/>
    </row>
    <row r="535">
      <c r="M535" s="52"/>
      <c r="N535" s="52"/>
      <c r="O535" s="52"/>
    </row>
    <row r="536">
      <c r="M536" s="52"/>
      <c r="N536" s="52"/>
      <c r="O536" s="52"/>
    </row>
    <row r="537">
      <c r="M537" s="52"/>
      <c r="N537" s="52"/>
      <c r="O537" s="52"/>
    </row>
    <row r="538">
      <c r="M538" s="52"/>
      <c r="N538" s="52"/>
      <c r="O538" s="52"/>
    </row>
    <row r="539">
      <c r="M539" s="52"/>
      <c r="N539" s="52"/>
      <c r="O539" s="52"/>
    </row>
    <row r="540">
      <c r="M540" s="52"/>
      <c r="N540" s="52"/>
      <c r="O540" s="52"/>
    </row>
    <row r="541">
      <c r="M541" s="52"/>
      <c r="N541" s="52"/>
      <c r="O541" s="52"/>
    </row>
    <row r="542">
      <c r="M542" s="52"/>
      <c r="N542" s="52"/>
      <c r="O542" s="52"/>
    </row>
    <row r="543">
      <c r="M543" s="52"/>
      <c r="N543" s="52"/>
      <c r="O543" s="52"/>
    </row>
    <row r="544">
      <c r="M544" s="52"/>
      <c r="N544" s="52"/>
      <c r="O544" s="52"/>
    </row>
    <row r="545">
      <c r="M545" s="52"/>
      <c r="N545" s="52"/>
      <c r="O545" s="52"/>
    </row>
    <row r="546">
      <c r="M546" s="52"/>
      <c r="N546" s="52"/>
      <c r="O546" s="52"/>
    </row>
    <row r="547">
      <c r="M547" s="52"/>
      <c r="N547" s="52"/>
      <c r="O547" s="52"/>
    </row>
    <row r="548">
      <c r="M548" s="52"/>
      <c r="N548" s="52"/>
      <c r="O548" s="52"/>
    </row>
    <row r="549">
      <c r="M549" s="52"/>
      <c r="N549" s="52"/>
      <c r="O549" s="52"/>
    </row>
    <row r="550">
      <c r="M550" s="52"/>
      <c r="N550" s="52"/>
      <c r="O550" s="52"/>
    </row>
    <row r="551">
      <c r="M551" s="52"/>
      <c r="N551" s="52"/>
      <c r="O551" s="52"/>
    </row>
    <row r="552">
      <c r="M552" s="52"/>
      <c r="N552" s="52"/>
      <c r="O552" s="52"/>
    </row>
    <row r="553">
      <c r="M553" s="52"/>
      <c r="N553" s="52"/>
      <c r="O553" s="52"/>
    </row>
    <row r="554">
      <c r="M554" s="52"/>
      <c r="N554" s="52"/>
      <c r="O554" s="52"/>
    </row>
    <row r="555">
      <c r="M555" s="52"/>
      <c r="N555" s="52"/>
      <c r="O555" s="52"/>
    </row>
    <row r="556">
      <c r="M556" s="52"/>
      <c r="N556" s="52"/>
      <c r="O556" s="52"/>
    </row>
    <row r="557">
      <c r="M557" s="52"/>
      <c r="N557" s="52"/>
      <c r="O557" s="52"/>
    </row>
    <row r="558">
      <c r="M558" s="52"/>
      <c r="N558" s="52"/>
      <c r="O558" s="52"/>
    </row>
    <row r="559">
      <c r="M559" s="52"/>
      <c r="N559" s="52"/>
      <c r="O559" s="52"/>
    </row>
    <row r="560">
      <c r="M560" s="52"/>
      <c r="N560" s="52"/>
      <c r="O560" s="52"/>
    </row>
    <row r="561">
      <c r="M561" s="52"/>
      <c r="N561" s="52"/>
      <c r="O561" s="52"/>
    </row>
    <row r="562">
      <c r="M562" s="52"/>
      <c r="N562" s="52"/>
      <c r="O562" s="52"/>
    </row>
    <row r="563">
      <c r="M563" s="52"/>
      <c r="N563" s="52"/>
      <c r="O563" s="52"/>
    </row>
    <row r="564">
      <c r="M564" s="52"/>
      <c r="N564" s="52"/>
      <c r="O564" s="52"/>
    </row>
    <row r="565">
      <c r="M565" s="52"/>
      <c r="N565" s="52"/>
      <c r="O565" s="52"/>
    </row>
    <row r="566">
      <c r="M566" s="52"/>
      <c r="N566" s="52"/>
      <c r="O566" s="52"/>
    </row>
    <row r="567">
      <c r="M567" s="52"/>
      <c r="N567" s="52"/>
      <c r="O567" s="52"/>
    </row>
    <row r="568">
      <c r="M568" s="52"/>
      <c r="N568" s="52"/>
      <c r="O568" s="52"/>
    </row>
    <row r="569">
      <c r="M569" s="52"/>
      <c r="N569" s="52"/>
      <c r="O569" s="52"/>
    </row>
    <row r="570">
      <c r="M570" s="52"/>
      <c r="N570" s="52"/>
      <c r="O570" s="52"/>
    </row>
    <row r="571">
      <c r="M571" s="52"/>
      <c r="N571" s="52"/>
      <c r="O571" s="52"/>
    </row>
    <row r="572">
      <c r="M572" s="52"/>
      <c r="N572" s="52"/>
      <c r="O572" s="52"/>
    </row>
    <row r="573">
      <c r="M573" s="52"/>
      <c r="N573" s="52"/>
      <c r="O573" s="52"/>
    </row>
    <row r="574">
      <c r="M574" s="52"/>
      <c r="N574" s="52"/>
      <c r="O574" s="52"/>
    </row>
    <row r="575">
      <c r="M575" s="52"/>
      <c r="N575" s="52"/>
      <c r="O575" s="52"/>
    </row>
    <row r="576">
      <c r="M576" s="52"/>
      <c r="N576" s="52"/>
      <c r="O576" s="52"/>
    </row>
    <row r="577">
      <c r="M577" s="52"/>
      <c r="N577" s="52"/>
      <c r="O577" s="52"/>
    </row>
    <row r="578">
      <c r="M578" s="52"/>
      <c r="N578" s="52"/>
      <c r="O578" s="52"/>
    </row>
    <row r="579">
      <c r="M579" s="52"/>
      <c r="N579" s="52"/>
      <c r="O579" s="52"/>
    </row>
    <row r="580">
      <c r="M580" s="52"/>
      <c r="N580" s="52"/>
      <c r="O580" s="52"/>
    </row>
    <row r="581">
      <c r="M581" s="52"/>
      <c r="N581" s="52"/>
      <c r="O581" s="52"/>
    </row>
    <row r="582">
      <c r="M582" s="52"/>
      <c r="N582" s="52"/>
      <c r="O582" s="52"/>
    </row>
    <row r="583">
      <c r="M583" s="52"/>
      <c r="N583" s="52"/>
      <c r="O583" s="52"/>
    </row>
    <row r="584">
      <c r="M584" s="52"/>
      <c r="N584" s="52"/>
      <c r="O584" s="52"/>
    </row>
    <row r="585">
      <c r="M585" s="52"/>
      <c r="N585" s="52"/>
      <c r="O585" s="52"/>
    </row>
    <row r="586">
      <c r="M586" s="52"/>
      <c r="N586" s="52"/>
      <c r="O586" s="52"/>
    </row>
    <row r="587">
      <c r="M587" s="52"/>
      <c r="N587" s="52"/>
      <c r="O587" s="52"/>
    </row>
    <row r="588">
      <c r="M588" s="52"/>
      <c r="N588" s="52"/>
      <c r="O588" s="52"/>
    </row>
    <row r="589">
      <c r="M589" s="52"/>
      <c r="N589" s="52"/>
      <c r="O589" s="52"/>
    </row>
    <row r="590">
      <c r="M590" s="52"/>
      <c r="N590" s="52"/>
      <c r="O590" s="52"/>
    </row>
    <row r="591">
      <c r="M591" s="52"/>
      <c r="N591" s="52"/>
      <c r="O591" s="52"/>
    </row>
    <row r="592">
      <c r="M592" s="52"/>
      <c r="N592" s="52"/>
      <c r="O592" s="52"/>
    </row>
    <row r="593">
      <c r="M593" s="52"/>
      <c r="N593" s="52"/>
      <c r="O593" s="52"/>
    </row>
    <row r="594">
      <c r="M594" s="52"/>
      <c r="N594" s="52"/>
      <c r="O594" s="52"/>
    </row>
    <row r="595">
      <c r="M595" s="52"/>
      <c r="N595" s="52"/>
      <c r="O595" s="52"/>
    </row>
    <row r="596">
      <c r="M596" s="52"/>
      <c r="N596" s="52"/>
      <c r="O596" s="52"/>
    </row>
    <row r="597">
      <c r="M597" s="52"/>
      <c r="N597" s="52"/>
      <c r="O597" s="52"/>
    </row>
    <row r="598">
      <c r="M598" s="52"/>
      <c r="N598" s="52"/>
      <c r="O598" s="52"/>
    </row>
    <row r="599">
      <c r="M599" s="52"/>
      <c r="N599" s="52"/>
      <c r="O599" s="52"/>
    </row>
    <row r="600">
      <c r="M600" s="52"/>
      <c r="N600" s="52"/>
      <c r="O600" s="52"/>
    </row>
    <row r="601">
      <c r="M601" s="52"/>
      <c r="N601" s="52"/>
      <c r="O601" s="52"/>
    </row>
    <row r="602">
      <c r="M602" s="52"/>
      <c r="N602" s="52"/>
      <c r="O602" s="52"/>
    </row>
    <row r="603">
      <c r="M603" s="52"/>
      <c r="N603" s="52"/>
      <c r="O603" s="52"/>
    </row>
    <row r="604">
      <c r="M604" s="52"/>
      <c r="N604" s="52"/>
      <c r="O604" s="52"/>
    </row>
    <row r="605">
      <c r="M605" s="52"/>
      <c r="N605" s="52"/>
      <c r="O605" s="52"/>
    </row>
    <row r="606">
      <c r="M606" s="52"/>
      <c r="N606" s="52"/>
      <c r="O606" s="52"/>
    </row>
    <row r="607">
      <c r="M607" s="52"/>
      <c r="N607" s="52"/>
      <c r="O607" s="52"/>
    </row>
    <row r="608">
      <c r="M608" s="52"/>
      <c r="N608" s="52"/>
      <c r="O608" s="52"/>
    </row>
    <row r="609">
      <c r="M609" s="52"/>
      <c r="N609" s="52"/>
      <c r="O609" s="52"/>
    </row>
    <row r="610">
      <c r="M610" s="52"/>
      <c r="N610" s="52"/>
      <c r="O610" s="52"/>
    </row>
    <row r="611">
      <c r="M611" s="52"/>
      <c r="N611" s="52"/>
      <c r="O611" s="52"/>
    </row>
    <row r="612">
      <c r="M612" s="52"/>
      <c r="N612" s="52"/>
      <c r="O612" s="52"/>
    </row>
    <row r="613">
      <c r="M613" s="52"/>
      <c r="N613" s="52"/>
      <c r="O613" s="52"/>
    </row>
    <row r="614">
      <c r="M614" s="52"/>
      <c r="N614" s="52"/>
      <c r="O614" s="52"/>
    </row>
    <row r="615">
      <c r="M615" s="52"/>
      <c r="N615" s="52"/>
      <c r="O615" s="52"/>
    </row>
    <row r="616">
      <c r="M616" s="52"/>
      <c r="N616" s="52"/>
      <c r="O616" s="52"/>
    </row>
    <row r="617">
      <c r="M617" s="52"/>
      <c r="N617" s="52"/>
      <c r="O617" s="52"/>
    </row>
    <row r="618">
      <c r="M618" s="52"/>
      <c r="N618" s="52"/>
      <c r="O618" s="52"/>
    </row>
    <row r="619">
      <c r="M619" s="52"/>
      <c r="N619" s="52"/>
      <c r="O619" s="52"/>
    </row>
    <row r="620">
      <c r="M620" s="52"/>
      <c r="N620" s="52"/>
      <c r="O620" s="52"/>
    </row>
    <row r="621">
      <c r="M621" s="52"/>
      <c r="N621" s="52"/>
      <c r="O621" s="52"/>
    </row>
    <row r="622">
      <c r="M622" s="52"/>
      <c r="N622" s="52"/>
      <c r="O622" s="52"/>
    </row>
    <row r="623">
      <c r="M623" s="52"/>
      <c r="N623" s="52"/>
      <c r="O623" s="52"/>
    </row>
    <row r="624">
      <c r="M624" s="52"/>
      <c r="N624" s="52"/>
      <c r="O624" s="52"/>
    </row>
    <row r="625">
      <c r="M625" s="52"/>
      <c r="N625" s="52"/>
      <c r="O625" s="52"/>
    </row>
    <row r="626">
      <c r="M626" s="52"/>
      <c r="N626" s="52"/>
      <c r="O626" s="52"/>
    </row>
    <row r="627">
      <c r="M627" s="52"/>
      <c r="N627" s="52"/>
      <c r="O627" s="52"/>
    </row>
    <row r="628">
      <c r="M628" s="52"/>
      <c r="N628" s="52"/>
      <c r="O628" s="52"/>
    </row>
    <row r="629">
      <c r="M629" s="52"/>
      <c r="N629" s="52"/>
      <c r="O629" s="52"/>
    </row>
    <row r="630">
      <c r="M630" s="52"/>
      <c r="N630" s="52"/>
      <c r="O630" s="52"/>
    </row>
    <row r="631">
      <c r="M631" s="52"/>
      <c r="N631" s="52"/>
      <c r="O631" s="52"/>
    </row>
    <row r="632">
      <c r="M632" s="52"/>
      <c r="N632" s="52"/>
      <c r="O632" s="52"/>
    </row>
    <row r="633">
      <c r="M633" s="52"/>
      <c r="N633" s="52"/>
      <c r="O633" s="52"/>
    </row>
    <row r="634">
      <c r="M634" s="52"/>
      <c r="N634" s="52"/>
      <c r="O634" s="52"/>
    </row>
    <row r="635">
      <c r="M635" s="52"/>
      <c r="N635" s="52"/>
      <c r="O635" s="52"/>
    </row>
    <row r="636">
      <c r="M636" s="52"/>
      <c r="N636" s="52"/>
      <c r="O636" s="52"/>
    </row>
    <row r="637">
      <c r="M637" s="52"/>
      <c r="N637" s="52"/>
      <c r="O637" s="52"/>
    </row>
    <row r="638">
      <c r="M638" s="52"/>
      <c r="N638" s="52"/>
      <c r="O638" s="52"/>
    </row>
    <row r="639">
      <c r="M639" s="52"/>
      <c r="N639" s="52"/>
      <c r="O639" s="52"/>
    </row>
    <row r="640">
      <c r="M640" s="52"/>
      <c r="N640" s="52"/>
      <c r="O640" s="52"/>
    </row>
    <row r="641">
      <c r="M641" s="52"/>
      <c r="N641" s="52"/>
      <c r="O641" s="52"/>
    </row>
    <row r="642">
      <c r="M642" s="52"/>
      <c r="N642" s="52"/>
      <c r="O642" s="52"/>
    </row>
    <row r="643">
      <c r="M643" s="52"/>
      <c r="N643" s="52"/>
      <c r="O643" s="52"/>
    </row>
    <row r="644">
      <c r="M644" s="52"/>
      <c r="N644" s="52"/>
      <c r="O644" s="52"/>
    </row>
    <row r="645">
      <c r="M645" s="52"/>
      <c r="N645" s="52"/>
      <c r="O645" s="52"/>
    </row>
    <row r="646">
      <c r="M646" s="52"/>
      <c r="N646" s="52"/>
      <c r="O646" s="52"/>
    </row>
    <row r="647">
      <c r="M647" s="52"/>
      <c r="N647" s="52"/>
      <c r="O647" s="52"/>
    </row>
    <row r="648">
      <c r="M648" s="52"/>
      <c r="N648" s="52"/>
      <c r="O648" s="52"/>
    </row>
    <row r="649">
      <c r="M649" s="52"/>
      <c r="N649" s="52"/>
      <c r="O649" s="52"/>
    </row>
    <row r="650">
      <c r="M650" s="52"/>
      <c r="N650" s="52"/>
      <c r="O650" s="52"/>
    </row>
    <row r="651">
      <c r="M651" s="52"/>
      <c r="N651" s="52"/>
      <c r="O651" s="52"/>
    </row>
    <row r="652">
      <c r="M652" s="52"/>
      <c r="N652" s="52"/>
      <c r="O652" s="52"/>
    </row>
    <row r="653">
      <c r="M653" s="52"/>
      <c r="N653" s="52"/>
      <c r="O653" s="52"/>
    </row>
    <row r="654">
      <c r="M654" s="52"/>
      <c r="N654" s="52"/>
      <c r="O654" s="52"/>
    </row>
    <row r="655">
      <c r="M655" s="52"/>
      <c r="N655" s="52"/>
      <c r="O655" s="52"/>
    </row>
    <row r="656">
      <c r="M656" s="52"/>
      <c r="N656" s="52"/>
      <c r="O656" s="52"/>
    </row>
    <row r="657">
      <c r="M657" s="52"/>
      <c r="N657" s="52"/>
      <c r="O657" s="52"/>
    </row>
    <row r="658">
      <c r="M658" s="52"/>
      <c r="N658" s="52"/>
      <c r="O658" s="52"/>
    </row>
    <row r="659">
      <c r="M659" s="52"/>
      <c r="N659" s="52"/>
      <c r="O659" s="52"/>
    </row>
    <row r="660">
      <c r="M660" s="52"/>
      <c r="N660" s="52"/>
      <c r="O660" s="52"/>
    </row>
    <row r="661">
      <c r="M661" s="52"/>
      <c r="N661" s="52"/>
      <c r="O661" s="52"/>
    </row>
    <row r="662">
      <c r="M662" s="52"/>
      <c r="N662" s="52"/>
      <c r="O662" s="52"/>
    </row>
    <row r="663">
      <c r="M663" s="52"/>
      <c r="N663" s="52"/>
      <c r="O663" s="52"/>
    </row>
    <row r="664">
      <c r="M664" s="52"/>
      <c r="N664" s="52"/>
      <c r="O664" s="52"/>
    </row>
    <row r="665">
      <c r="M665" s="52"/>
      <c r="N665" s="52"/>
      <c r="O665" s="52"/>
    </row>
    <row r="666">
      <c r="M666" s="52"/>
      <c r="N666" s="52"/>
      <c r="O666" s="52"/>
    </row>
    <row r="667">
      <c r="M667" s="52"/>
      <c r="N667" s="52"/>
      <c r="O667" s="52"/>
    </row>
    <row r="668">
      <c r="M668" s="52"/>
      <c r="N668" s="52"/>
      <c r="O668" s="52"/>
    </row>
    <row r="669">
      <c r="M669" s="52"/>
      <c r="N669" s="52"/>
      <c r="O669" s="52"/>
    </row>
    <row r="670">
      <c r="M670" s="52"/>
      <c r="N670" s="52"/>
      <c r="O670" s="52"/>
    </row>
    <row r="671">
      <c r="M671" s="52"/>
      <c r="N671" s="52"/>
      <c r="O671" s="52"/>
    </row>
    <row r="672">
      <c r="M672" s="52"/>
      <c r="N672" s="52"/>
      <c r="O672" s="52"/>
    </row>
    <row r="673">
      <c r="M673" s="52"/>
      <c r="N673" s="52"/>
      <c r="O673" s="52"/>
    </row>
    <row r="674">
      <c r="M674" s="52"/>
      <c r="N674" s="52"/>
      <c r="O674" s="52"/>
    </row>
    <row r="675">
      <c r="M675" s="52"/>
      <c r="N675" s="52"/>
      <c r="O675" s="52"/>
    </row>
    <row r="676">
      <c r="M676" s="52"/>
      <c r="N676" s="52"/>
      <c r="O676" s="52"/>
    </row>
    <row r="677">
      <c r="M677" s="52"/>
      <c r="N677" s="52"/>
      <c r="O677" s="52"/>
    </row>
    <row r="678">
      <c r="M678" s="52"/>
      <c r="N678" s="52"/>
      <c r="O678" s="52"/>
    </row>
    <row r="679">
      <c r="M679" s="52"/>
      <c r="N679" s="52"/>
      <c r="O679" s="52"/>
    </row>
    <row r="680">
      <c r="M680" s="52"/>
      <c r="N680" s="52"/>
      <c r="O680" s="52"/>
    </row>
    <row r="681">
      <c r="M681" s="52"/>
      <c r="N681" s="52"/>
      <c r="O681" s="52"/>
    </row>
    <row r="682">
      <c r="M682" s="52"/>
      <c r="N682" s="52"/>
      <c r="O682" s="52"/>
    </row>
    <row r="683">
      <c r="M683" s="52"/>
      <c r="N683" s="52"/>
      <c r="O683" s="52"/>
    </row>
    <row r="684">
      <c r="M684" s="52"/>
      <c r="N684" s="52"/>
      <c r="O684" s="52"/>
    </row>
    <row r="685">
      <c r="M685" s="52"/>
      <c r="N685" s="52"/>
      <c r="O685" s="52"/>
    </row>
    <row r="686">
      <c r="M686" s="52"/>
      <c r="N686" s="52"/>
      <c r="O686" s="52"/>
    </row>
    <row r="687">
      <c r="M687" s="52"/>
      <c r="N687" s="52"/>
      <c r="O687" s="52"/>
    </row>
    <row r="688">
      <c r="M688" s="52"/>
      <c r="N688" s="52"/>
      <c r="O688" s="52"/>
    </row>
    <row r="689">
      <c r="M689" s="52"/>
      <c r="N689" s="52"/>
      <c r="O689" s="52"/>
    </row>
    <row r="690">
      <c r="M690" s="52"/>
      <c r="N690" s="52"/>
      <c r="O690" s="52"/>
    </row>
    <row r="691">
      <c r="M691" s="52"/>
      <c r="N691" s="52"/>
      <c r="O691" s="52"/>
    </row>
    <row r="692">
      <c r="M692" s="52"/>
      <c r="N692" s="52"/>
      <c r="O692" s="52"/>
    </row>
    <row r="693">
      <c r="M693" s="52"/>
      <c r="N693" s="52"/>
      <c r="O693" s="52"/>
    </row>
    <row r="694">
      <c r="M694" s="52"/>
      <c r="N694" s="52"/>
      <c r="O694" s="52"/>
    </row>
    <row r="695">
      <c r="M695" s="52"/>
      <c r="N695" s="52"/>
      <c r="O695" s="52"/>
    </row>
    <row r="696">
      <c r="M696" s="52"/>
      <c r="N696" s="52"/>
      <c r="O696" s="52"/>
    </row>
    <row r="697">
      <c r="M697" s="52"/>
      <c r="N697" s="52"/>
      <c r="O697" s="52"/>
    </row>
    <row r="698">
      <c r="M698" s="52"/>
      <c r="N698" s="52"/>
      <c r="O698" s="52"/>
    </row>
    <row r="699">
      <c r="M699" s="52"/>
      <c r="N699" s="52"/>
      <c r="O699" s="52"/>
    </row>
    <row r="700">
      <c r="M700" s="52"/>
      <c r="N700" s="52"/>
      <c r="O700" s="52"/>
    </row>
    <row r="701">
      <c r="M701" s="52"/>
      <c r="N701" s="52"/>
      <c r="O701" s="52"/>
    </row>
    <row r="702">
      <c r="M702" s="52"/>
      <c r="N702" s="52"/>
      <c r="O702" s="52"/>
    </row>
    <row r="703">
      <c r="M703" s="52"/>
      <c r="N703" s="52"/>
      <c r="O703" s="52"/>
    </row>
    <row r="704">
      <c r="M704" s="52"/>
      <c r="N704" s="52"/>
      <c r="O704" s="52"/>
    </row>
    <row r="705">
      <c r="M705" s="52"/>
      <c r="N705" s="52"/>
      <c r="O705" s="52"/>
    </row>
    <row r="706">
      <c r="M706" s="52"/>
      <c r="N706" s="52"/>
      <c r="O706" s="52"/>
    </row>
    <row r="707">
      <c r="M707" s="52"/>
      <c r="N707" s="52"/>
      <c r="O707" s="52"/>
    </row>
    <row r="708">
      <c r="M708" s="52"/>
      <c r="N708" s="52"/>
      <c r="O708" s="52"/>
    </row>
    <row r="709">
      <c r="M709" s="52"/>
      <c r="N709" s="52"/>
      <c r="O709" s="52"/>
    </row>
    <row r="710">
      <c r="M710" s="52"/>
      <c r="N710" s="52"/>
      <c r="O710" s="52"/>
    </row>
    <row r="711">
      <c r="M711" s="52"/>
      <c r="N711" s="52"/>
      <c r="O711" s="52"/>
    </row>
    <row r="712">
      <c r="M712" s="52"/>
      <c r="N712" s="52"/>
      <c r="O712" s="52"/>
    </row>
    <row r="713">
      <c r="M713" s="52"/>
      <c r="N713" s="52"/>
      <c r="O713" s="52"/>
    </row>
    <row r="714">
      <c r="M714" s="52"/>
      <c r="N714" s="52"/>
      <c r="O714" s="52"/>
    </row>
    <row r="715">
      <c r="M715" s="52"/>
      <c r="N715" s="52"/>
      <c r="O715" s="52"/>
    </row>
    <row r="716">
      <c r="M716" s="52"/>
      <c r="N716" s="52"/>
      <c r="O716" s="52"/>
    </row>
    <row r="717">
      <c r="M717" s="52"/>
      <c r="N717" s="52"/>
      <c r="O717" s="52"/>
    </row>
    <row r="718">
      <c r="M718" s="52"/>
      <c r="N718" s="52"/>
      <c r="O718" s="52"/>
    </row>
    <row r="719">
      <c r="M719" s="52"/>
      <c r="N719" s="52"/>
      <c r="O719" s="52"/>
    </row>
    <row r="720">
      <c r="M720" s="52"/>
      <c r="N720" s="52"/>
      <c r="O720" s="52"/>
    </row>
    <row r="721">
      <c r="M721" s="52"/>
      <c r="N721" s="52"/>
      <c r="O721" s="52"/>
    </row>
    <row r="722">
      <c r="M722" s="52"/>
      <c r="N722" s="52"/>
      <c r="O722" s="52"/>
    </row>
    <row r="723">
      <c r="M723" s="52"/>
      <c r="N723" s="52"/>
      <c r="O723" s="52"/>
    </row>
    <row r="724">
      <c r="M724" s="52"/>
      <c r="N724" s="52"/>
      <c r="O724" s="52"/>
    </row>
    <row r="725">
      <c r="M725" s="52"/>
      <c r="N725" s="52"/>
      <c r="O725" s="52"/>
    </row>
    <row r="726">
      <c r="M726" s="52"/>
      <c r="N726" s="52"/>
      <c r="O726" s="52"/>
    </row>
    <row r="727">
      <c r="M727" s="52"/>
      <c r="N727" s="52"/>
      <c r="O727" s="52"/>
    </row>
    <row r="728">
      <c r="M728" s="52"/>
      <c r="N728" s="52"/>
      <c r="O728" s="52"/>
    </row>
    <row r="729">
      <c r="M729" s="52"/>
      <c r="N729" s="52"/>
      <c r="O729" s="52"/>
    </row>
    <row r="730">
      <c r="M730" s="52"/>
      <c r="N730" s="52"/>
      <c r="O730" s="52"/>
    </row>
    <row r="731">
      <c r="M731" s="52"/>
      <c r="N731" s="52"/>
      <c r="O731" s="52"/>
    </row>
    <row r="732">
      <c r="M732" s="52"/>
      <c r="N732" s="52"/>
      <c r="O732" s="52"/>
    </row>
    <row r="733">
      <c r="M733" s="52"/>
      <c r="N733" s="52"/>
      <c r="O733" s="52"/>
    </row>
    <row r="734">
      <c r="M734" s="52"/>
      <c r="N734" s="52"/>
      <c r="O734" s="52"/>
    </row>
    <row r="735">
      <c r="M735" s="52"/>
      <c r="N735" s="52"/>
      <c r="O735" s="52"/>
    </row>
    <row r="736">
      <c r="M736" s="52"/>
      <c r="N736" s="52"/>
      <c r="O736" s="52"/>
    </row>
    <row r="737">
      <c r="M737" s="52"/>
      <c r="N737" s="52"/>
      <c r="O737" s="52"/>
    </row>
    <row r="738">
      <c r="M738" s="52"/>
      <c r="N738" s="52"/>
      <c r="O738" s="52"/>
    </row>
    <row r="739">
      <c r="M739" s="52"/>
      <c r="N739" s="52"/>
      <c r="O739" s="52"/>
    </row>
    <row r="740">
      <c r="M740" s="52"/>
      <c r="N740" s="52"/>
      <c r="O740" s="52"/>
    </row>
    <row r="741">
      <c r="M741" s="52"/>
      <c r="N741" s="52"/>
      <c r="O741" s="52"/>
    </row>
    <row r="742">
      <c r="M742" s="52"/>
      <c r="N742" s="52"/>
      <c r="O742" s="52"/>
    </row>
    <row r="743">
      <c r="M743" s="52"/>
      <c r="N743" s="52"/>
      <c r="O743" s="52"/>
    </row>
    <row r="744">
      <c r="M744" s="52"/>
      <c r="N744" s="52"/>
      <c r="O744" s="52"/>
    </row>
    <row r="745">
      <c r="M745" s="52"/>
      <c r="N745" s="52"/>
      <c r="O745" s="52"/>
    </row>
    <row r="746">
      <c r="M746" s="52"/>
      <c r="N746" s="52"/>
      <c r="O746" s="52"/>
    </row>
    <row r="747">
      <c r="M747" s="52"/>
      <c r="N747" s="52"/>
      <c r="O747" s="52"/>
    </row>
    <row r="748">
      <c r="M748" s="52"/>
      <c r="N748" s="52"/>
      <c r="O748" s="52"/>
    </row>
    <row r="749">
      <c r="M749" s="52"/>
      <c r="N749" s="52"/>
      <c r="O749" s="52"/>
    </row>
    <row r="750">
      <c r="M750" s="52"/>
      <c r="N750" s="52"/>
      <c r="O750" s="52"/>
    </row>
    <row r="751">
      <c r="M751" s="52"/>
      <c r="N751" s="52"/>
      <c r="O751" s="52"/>
    </row>
    <row r="752">
      <c r="M752" s="52"/>
      <c r="N752" s="52"/>
      <c r="O752" s="52"/>
    </row>
    <row r="753">
      <c r="M753" s="52"/>
      <c r="N753" s="52"/>
      <c r="O753" s="52"/>
    </row>
    <row r="754">
      <c r="M754" s="52"/>
      <c r="N754" s="52"/>
      <c r="O754" s="52"/>
    </row>
    <row r="755">
      <c r="M755" s="52"/>
      <c r="N755" s="52"/>
      <c r="O755" s="52"/>
    </row>
    <row r="756">
      <c r="M756" s="52"/>
      <c r="N756" s="52"/>
      <c r="O756" s="52"/>
    </row>
    <row r="757">
      <c r="M757" s="52"/>
      <c r="N757" s="52"/>
      <c r="O757" s="52"/>
    </row>
    <row r="758">
      <c r="M758" s="52"/>
      <c r="N758" s="52"/>
      <c r="O758" s="52"/>
    </row>
    <row r="759">
      <c r="M759" s="52"/>
      <c r="N759" s="52"/>
      <c r="O759" s="52"/>
    </row>
    <row r="760">
      <c r="M760" s="52"/>
      <c r="N760" s="52"/>
      <c r="O760" s="52"/>
    </row>
    <row r="761">
      <c r="M761" s="52"/>
      <c r="N761" s="52"/>
      <c r="O761" s="52"/>
    </row>
    <row r="762">
      <c r="M762" s="52"/>
      <c r="N762" s="52"/>
      <c r="O762" s="52"/>
    </row>
    <row r="763">
      <c r="M763" s="52"/>
      <c r="N763" s="52"/>
      <c r="O763" s="52"/>
    </row>
    <row r="764">
      <c r="M764" s="52"/>
      <c r="N764" s="52"/>
      <c r="O764" s="52"/>
    </row>
    <row r="765">
      <c r="M765" s="52"/>
      <c r="N765" s="52"/>
      <c r="O765" s="52"/>
    </row>
    <row r="766">
      <c r="M766" s="52"/>
      <c r="N766" s="52"/>
      <c r="O766" s="52"/>
    </row>
    <row r="767">
      <c r="M767" s="52"/>
      <c r="N767" s="52"/>
      <c r="O767" s="52"/>
    </row>
    <row r="768">
      <c r="M768" s="52"/>
      <c r="N768" s="52"/>
      <c r="O768" s="52"/>
    </row>
    <row r="769">
      <c r="M769" s="52"/>
      <c r="N769" s="52"/>
      <c r="O769" s="52"/>
    </row>
    <row r="770">
      <c r="M770" s="52"/>
      <c r="N770" s="52"/>
      <c r="O770" s="52"/>
    </row>
    <row r="771">
      <c r="M771" s="52"/>
      <c r="N771" s="52"/>
      <c r="O771" s="52"/>
    </row>
    <row r="772">
      <c r="M772" s="52"/>
      <c r="N772" s="52"/>
      <c r="O772" s="52"/>
    </row>
    <row r="773">
      <c r="M773" s="52"/>
      <c r="N773" s="52"/>
      <c r="O773" s="52"/>
    </row>
    <row r="774">
      <c r="M774" s="52"/>
      <c r="N774" s="52"/>
      <c r="O774" s="52"/>
    </row>
    <row r="775">
      <c r="M775" s="52"/>
      <c r="N775" s="52"/>
      <c r="O775" s="52"/>
    </row>
    <row r="776">
      <c r="M776" s="52"/>
      <c r="N776" s="52"/>
      <c r="O776" s="52"/>
    </row>
    <row r="777">
      <c r="M777" s="52"/>
      <c r="N777" s="52"/>
      <c r="O777" s="52"/>
    </row>
    <row r="778">
      <c r="M778" s="52"/>
      <c r="N778" s="52"/>
      <c r="O778" s="52"/>
    </row>
    <row r="779">
      <c r="M779" s="52"/>
      <c r="N779" s="52"/>
      <c r="O779" s="52"/>
    </row>
    <row r="780">
      <c r="M780" s="52"/>
      <c r="N780" s="52"/>
      <c r="O780" s="52"/>
    </row>
    <row r="781">
      <c r="M781" s="52"/>
      <c r="N781" s="52"/>
      <c r="O781" s="52"/>
    </row>
    <row r="782">
      <c r="M782" s="52"/>
      <c r="N782" s="52"/>
      <c r="O782" s="52"/>
    </row>
    <row r="783">
      <c r="M783" s="52"/>
      <c r="N783" s="52"/>
      <c r="O783" s="52"/>
    </row>
    <row r="784">
      <c r="M784" s="52"/>
      <c r="N784" s="52"/>
      <c r="O784" s="52"/>
    </row>
    <row r="785">
      <c r="M785" s="52"/>
      <c r="N785" s="52"/>
      <c r="O785" s="52"/>
    </row>
    <row r="786">
      <c r="M786" s="52"/>
      <c r="N786" s="52"/>
      <c r="O786" s="52"/>
    </row>
    <row r="787">
      <c r="M787" s="52"/>
      <c r="N787" s="52"/>
      <c r="O787" s="52"/>
    </row>
    <row r="788">
      <c r="M788" s="52"/>
      <c r="N788" s="52"/>
      <c r="O788" s="52"/>
    </row>
    <row r="789">
      <c r="M789" s="52"/>
      <c r="N789" s="52"/>
      <c r="O789" s="52"/>
    </row>
    <row r="790">
      <c r="M790" s="52"/>
      <c r="N790" s="52"/>
      <c r="O790" s="52"/>
    </row>
    <row r="791">
      <c r="M791" s="52"/>
      <c r="N791" s="52"/>
      <c r="O791" s="52"/>
    </row>
    <row r="792">
      <c r="M792" s="52"/>
      <c r="N792" s="52"/>
      <c r="O792" s="52"/>
    </row>
    <row r="793">
      <c r="M793" s="52"/>
      <c r="N793" s="52"/>
      <c r="O793" s="52"/>
    </row>
    <row r="794">
      <c r="M794" s="52"/>
      <c r="N794" s="52"/>
      <c r="O794" s="52"/>
    </row>
    <row r="795">
      <c r="M795" s="52"/>
      <c r="N795" s="52"/>
      <c r="O795" s="52"/>
    </row>
    <row r="796">
      <c r="M796" s="52"/>
      <c r="N796" s="52"/>
      <c r="O796" s="52"/>
    </row>
    <row r="797">
      <c r="M797" s="52"/>
      <c r="N797" s="52"/>
      <c r="O797" s="52"/>
    </row>
    <row r="798">
      <c r="M798" s="52"/>
      <c r="N798" s="52"/>
      <c r="O798" s="52"/>
    </row>
    <row r="799">
      <c r="M799" s="52"/>
      <c r="N799" s="52"/>
      <c r="O799" s="52"/>
    </row>
    <row r="800">
      <c r="M800" s="52"/>
      <c r="N800" s="52"/>
      <c r="O800" s="52"/>
    </row>
    <row r="801">
      <c r="M801" s="52"/>
      <c r="N801" s="52"/>
      <c r="O801" s="52"/>
    </row>
    <row r="802">
      <c r="M802" s="52"/>
      <c r="N802" s="52"/>
      <c r="O802" s="52"/>
    </row>
    <row r="803">
      <c r="M803" s="52"/>
      <c r="N803" s="52"/>
      <c r="O803" s="52"/>
    </row>
    <row r="804">
      <c r="M804" s="52"/>
      <c r="N804" s="52"/>
      <c r="O804" s="52"/>
    </row>
    <row r="805">
      <c r="M805" s="52"/>
      <c r="N805" s="52"/>
      <c r="O805" s="52"/>
    </row>
    <row r="806">
      <c r="M806" s="52"/>
      <c r="N806" s="52"/>
      <c r="O806" s="52"/>
    </row>
    <row r="807">
      <c r="M807" s="52"/>
      <c r="N807" s="52"/>
      <c r="O807" s="52"/>
    </row>
    <row r="808">
      <c r="M808" s="52"/>
      <c r="N808" s="52"/>
      <c r="O808" s="52"/>
    </row>
    <row r="809">
      <c r="M809" s="52"/>
      <c r="N809" s="52"/>
      <c r="O809" s="52"/>
    </row>
    <row r="810">
      <c r="M810" s="52"/>
      <c r="N810" s="52"/>
      <c r="O810" s="52"/>
    </row>
    <row r="811">
      <c r="M811" s="52"/>
      <c r="N811" s="52"/>
      <c r="O811" s="52"/>
    </row>
    <row r="812">
      <c r="M812" s="52"/>
      <c r="N812" s="52"/>
      <c r="O812" s="52"/>
    </row>
    <row r="813">
      <c r="M813" s="52"/>
      <c r="N813" s="52"/>
      <c r="O813" s="52"/>
    </row>
    <row r="814">
      <c r="M814" s="52"/>
      <c r="N814" s="52"/>
      <c r="O814" s="52"/>
    </row>
    <row r="815">
      <c r="M815" s="52"/>
      <c r="N815" s="52"/>
      <c r="O815" s="52"/>
    </row>
    <row r="816">
      <c r="M816" s="52"/>
      <c r="N816" s="52"/>
      <c r="O816" s="52"/>
    </row>
    <row r="817">
      <c r="M817" s="52"/>
      <c r="N817" s="52"/>
      <c r="O817" s="52"/>
    </row>
    <row r="818">
      <c r="M818" s="52"/>
      <c r="N818" s="52"/>
      <c r="O818" s="52"/>
    </row>
    <row r="819">
      <c r="M819" s="52"/>
      <c r="N819" s="52"/>
      <c r="O819" s="52"/>
    </row>
    <row r="820">
      <c r="M820" s="52"/>
      <c r="N820" s="52"/>
      <c r="O820" s="52"/>
    </row>
    <row r="821">
      <c r="M821" s="52"/>
      <c r="N821" s="52"/>
      <c r="O821" s="52"/>
    </row>
    <row r="822">
      <c r="M822" s="52"/>
      <c r="N822" s="52"/>
      <c r="O822" s="52"/>
    </row>
    <row r="823">
      <c r="M823" s="52"/>
      <c r="N823" s="52"/>
      <c r="O823" s="52"/>
    </row>
    <row r="824">
      <c r="M824" s="52"/>
      <c r="N824" s="52"/>
      <c r="O824" s="52"/>
    </row>
    <row r="825">
      <c r="M825" s="52"/>
      <c r="N825" s="52"/>
      <c r="O825" s="52"/>
    </row>
    <row r="826">
      <c r="M826" s="52"/>
      <c r="N826" s="52"/>
      <c r="O826" s="52"/>
    </row>
    <row r="827">
      <c r="M827" s="52"/>
      <c r="N827" s="52"/>
      <c r="O827" s="52"/>
    </row>
    <row r="828">
      <c r="M828" s="52"/>
      <c r="N828" s="52"/>
      <c r="O828" s="52"/>
    </row>
    <row r="829">
      <c r="M829" s="52"/>
      <c r="N829" s="52"/>
      <c r="O829" s="52"/>
    </row>
    <row r="830">
      <c r="M830" s="52"/>
      <c r="N830" s="52"/>
      <c r="O830" s="52"/>
    </row>
    <row r="831">
      <c r="M831" s="52"/>
      <c r="N831" s="52"/>
      <c r="O831" s="52"/>
    </row>
    <row r="832">
      <c r="M832" s="52"/>
      <c r="N832" s="52"/>
      <c r="O832" s="52"/>
    </row>
    <row r="833">
      <c r="M833" s="52"/>
      <c r="N833" s="52"/>
      <c r="O833" s="52"/>
    </row>
    <row r="834">
      <c r="M834" s="52"/>
      <c r="N834" s="52"/>
      <c r="O834" s="52"/>
    </row>
    <row r="835">
      <c r="M835" s="52"/>
      <c r="N835" s="52"/>
      <c r="O835" s="52"/>
    </row>
    <row r="836">
      <c r="M836" s="52"/>
      <c r="N836" s="52"/>
      <c r="O836" s="52"/>
    </row>
    <row r="837">
      <c r="M837" s="52"/>
      <c r="N837" s="52"/>
      <c r="O837" s="52"/>
    </row>
    <row r="838">
      <c r="M838" s="52"/>
      <c r="N838" s="52"/>
      <c r="O838" s="52"/>
    </row>
    <row r="839">
      <c r="M839" s="52"/>
      <c r="N839" s="52"/>
      <c r="O839" s="52"/>
    </row>
    <row r="840">
      <c r="M840" s="52"/>
      <c r="N840" s="52"/>
      <c r="O840" s="52"/>
    </row>
    <row r="841">
      <c r="M841" s="52"/>
      <c r="N841" s="52"/>
      <c r="O841" s="52"/>
    </row>
    <row r="842">
      <c r="M842" s="52"/>
      <c r="N842" s="52"/>
      <c r="O842" s="52"/>
    </row>
    <row r="843">
      <c r="M843" s="52"/>
      <c r="N843" s="52"/>
      <c r="O843" s="52"/>
    </row>
    <row r="844">
      <c r="M844" s="52"/>
      <c r="N844" s="52"/>
      <c r="O844" s="52"/>
    </row>
    <row r="845">
      <c r="M845" s="52"/>
      <c r="N845" s="52"/>
      <c r="O845" s="52"/>
    </row>
    <row r="846">
      <c r="M846" s="52"/>
      <c r="N846" s="52"/>
      <c r="O846" s="52"/>
    </row>
    <row r="847">
      <c r="M847" s="52"/>
      <c r="N847" s="52"/>
      <c r="O847" s="52"/>
    </row>
    <row r="848">
      <c r="M848" s="52"/>
      <c r="N848" s="52"/>
      <c r="O848" s="52"/>
    </row>
    <row r="849">
      <c r="M849" s="52"/>
      <c r="N849" s="52"/>
      <c r="O849" s="52"/>
    </row>
    <row r="850">
      <c r="M850" s="52"/>
      <c r="N850" s="52"/>
      <c r="O850" s="52"/>
    </row>
    <row r="851">
      <c r="M851" s="52"/>
      <c r="N851" s="52"/>
      <c r="O851" s="52"/>
    </row>
    <row r="852">
      <c r="M852" s="52"/>
      <c r="N852" s="52"/>
      <c r="O852" s="52"/>
    </row>
    <row r="853">
      <c r="M853" s="52"/>
      <c r="N853" s="52"/>
      <c r="O853" s="52"/>
    </row>
    <row r="854">
      <c r="M854" s="52"/>
      <c r="N854" s="52"/>
      <c r="O854" s="52"/>
    </row>
    <row r="855">
      <c r="M855" s="52"/>
      <c r="N855" s="52"/>
      <c r="O855" s="52"/>
    </row>
    <row r="856">
      <c r="M856" s="52"/>
      <c r="N856" s="52"/>
      <c r="O856" s="52"/>
    </row>
    <row r="857">
      <c r="M857" s="52"/>
      <c r="N857" s="52"/>
      <c r="O857" s="52"/>
    </row>
    <row r="858">
      <c r="M858" s="52"/>
      <c r="N858" s="52"/>
      <c r="O858" s="52"/>
    </row>
    <row r="859">
      <c r="M859" s="52"/>
      <c r="N859" s="52"/>
      <c r="O859" s="52"/>
    </row>
    <row r="860">
      <c r="M860" s="52"/>
      <c r="N860" s="52"/>
      <c r="O860" s="52"/>
    </row>
    <row r="861">
      <c r="M861" s="52"/>
      <c r="N861" s="52"/>
      <c r="O861" s="52"/>
    </row>
    <row r="862">
      <c r="M862" s="52"/>
      <c r="N862" s="52"/>
      <c r="O862" s="52"/>
    </row>
    <row r="863">
      <c r="M863" s="52"/>
      <c r="N863" s="52"/>
      <c r="O863" s="52"/>
    </row>
    <row r="864">
      <c r="M864" s="52"/>
      <c r="N864" s="52"/>
      <c r="O864" s="52"/>
    </row>
    <row r="865">
      <c r="M865" s="52"/>
      <c r="N865" s="52"/>
      <c r="O865" s="52"/>
    </row>
    <row r="866">
      <c r="M866" s="52"/>
      <c r="N866" s="52"/>
      <c r="O866" s="52"/>
    </row>
    <row r="867">
      <c r="M867" s="52"/>
      <c r="N867" s="52"/>
      <c r="O867" s="52"/>
    </row>
    <row r="868">
      <c r="M868" s="52"/>
      <c r="N868" s="52"/>
      <c r="O868" s="52"/>
    </row>
    <row r="869">
      <c r="M869" s="52"/>
      <c r="N869" s="52"/>
      <c r="O869" s="52"/>
    </row>
    <row r="870">
      <c r="M870" s="52"/>
      <c r="N870" s="52"/>
      <c r="O870" s="52"/>
    </row>
    <row r="871">
      <c r="M871" s="52"/>
      <c r="N871" s="52"/>
      <c r="O871" s="52"/>
    </row>
    <row r="872">
      <c r="M872" s="52"/>
      <c r="N872" s="52"/>
      <c r="O872" s="52"/>
    </row>
    <row r="873">
      <c r="M873" s="52"/>
      <c r="N873" s="52"/>
      <c r="O873" s="52"/>
    </row>
    <row r="874">
      <c r="M874" s="52"/>
      <c r="N874" s="52"/>
      <c r="O874" s="52"/>
    </row>
    <row r="875">
      <c r="M875" s="52"/>
      <c r="N875" s="52"/>
      <c r="O875" s="52"/>
    </row>
    <row r="876">
      <c r="M876" s="52"/>
      <c r="N876" s="52"/>
      <c r="O876" s="52"/>
    </row>
    <row r="877">
      <c r="M877" s="52"/>
      <c r="N877" s="52"/>
      <c r="O877" s="52"/>
    </row>
    <row r="878">
      <c r="M878" s="52"/>
      <c r="N878" s="52"/>
      <c r="O878" s="52"/>
    </row>
    <row r="879">
      <c r="M879" s="52"/>
      <c r="N879" s="52"/>
      <c r="O879" s="52"/>
    </row>
    <row r="880">
      <c r="M880" s="52"/>
      <c r="N880" s="52"/>
      <c r="O880" s="52"/>
    </row>
    <row r="881">
      <c r="M881" s="52"/>
      <c r="N881" s="52"/>
      <c r="O881" s="52"/>
    </row>
    <row r="882">
      <c r="M882" s="52"/>
      <c r="N882" s="52"/>
      <c r="O882" s="52"/>
    </row>
    <row r="883">
      <c r="M883" s="52"/>
      <c r="N883" s="52"/>
      <c r="O883" s="52"/>
    </row>
    <row r="884">
      <c r="M884" s="52"/>
      <c r="N884" s="52"/>
      <c r="O884" s="52"/>
    </row>
    <row r="885">
      <c r="M885" s="52"/>
      <c r="N885" s="52"/>
      <c r="O885" s="52"/>
    </row>
    <row r="886">
      <c r="M886" s="52"/>
      <c r="N886" s="52"/>
      <c r="O886" s="52"/>
    </row>
    <row r="887">
      <c r="M887" s="52"/>
      <c r="N887" s="52"/>
      <c r="O887" s="52"/>
    </row>
    <row r="888">
      <c r="M888" s="52"/>
      <c r="N888" s="52"/>
      <c r="O888" s="52"/>
    </row>
    <row r="889">
      <c r="M889" s="52"/>
      <c r="N889" s="52"/>
      <c r="O889" s="52"/>
    </row>
    <row r="890">
      <c r="M890" s="52"/>
      <c r="N890" s="52"/>
      <c r="O890" s="52"/>
    </row>
    <row r="891">
      <c r="M891" s="52"/>
      <c r="N891" s="52"/>
      <c r="O891" s="52"/>
    </row>
    <row r="892">
      <c r="M892" s="52"/>
      <c r="N892" s="52"/>
      <c r="O892" s="52"/>
    </row>
    <row r="893">
      <c r="M893" s="52"/>
      <c r="N893" s="52"/>
      <c r="O893" s="52"/>
    </row>
    <row r="894">
      <c r="M894" s="52"/>
      <c r="N894" s="52"/>
      <c r="O894" s="52"/>
    </row>
    <row r="895">
      <c r="M895" s="52"/>
      <c r="N895" s="52"/>
      <c r="O895" s="52"/>
    </row>
    <row r="896">
      <c r="M896" s="52"/>
      <c r="N896" s="52"/>
      <c r="O896" s="52"/>
    </row>
    <row r="897">
      <c r="M897" s="52"/>
      <c r="N897" s="52"/>
      <c r="O897" s="52"/>
    </row>
    <row r="898">
      <c r="M898" s="52"/>
      <c r="N898" s="52"/>
      <c r="O898" s="52"/>
    </row>
    <row r="899">
      <c r="M899" s="52"/>
      <c r="N899" s="52"/>
      <c r="O899" s="52"/>
    </row>
    <row r="900">
      <c r="M900" s="52"/>
      <c r="N900" s="52"/>
      <c r="O900" s="52"/>
    </row>
    <row r="901">
      <c r="M901" s="52"/>
      <c r="N901" s="52"/>
      <c r="O901" s="52"/>
    </row>
    <row r="902">
      <c r="M902" s="52"/>
      <c r="N902" s="52"/>
      <c r="O902" s="52"/>
    </row>
    <row r="903">
      <c r="M903" s="52"/>
      <c r="N903" s="52"/>
      <c r="O903" s="52"/>
    </row>
    <row r="904">
      <c r="M904" s="52"/>
      <c r="N904" s="52"/>
      <c r="O904" s="52"/>
    </row>
    <row r="905">
      <c r="M905" s="52"/>
      <c r="N905" s="52"/>
      <c r="O905" s="52"/>
    </row>
    <row r="906">
      <c r="M906" s="52"/>
      <c r="N906" s="52"/>
      <c r="O906" s="52"/>
    </row>
    <row r="907">
      <c r="M907" s="52"/>
      <c r="N907" s="52"/>
      <c r="O907" s="52"/>
    </row>
    <row r="908">
      <c r="M908" s="52"/>
      <c r="N908" s="52"/>
      <c r="O908" s="52"/>
    </row>
    <row r="909">
      <c r="M909" s="52"/>
      <c r="N909" s="52"/>
      <c r="O909" s="52"/>
    </row>
    <row r="910">
      <c r="M910" s="52"/>
      <c r="N910" s="52"/>
      <c r="O910" s="52"/>
    </row>
    <row r="911">
      <c r="M911" s="52"/>
      <c r="N911" s="52"/>
      <c r="O911" s="52"/>
    </row>
    <row r="912">
      <c r="M912" s="52"/>
      <c r="N912" s="52"/>
      <c r="O912" s="52"/>
    </row>
    <row r="913">
      <c r="M913" s="52"/>
      <c r="N913" s="52"/>
      <c r="O913" s="52"/>
    </row>
    <row r="914">
      <c r="M914" s="52"/>
      <c r="N914" s="52"/>
      <c r="O914" s="52"/>
    </row>
    <row r="915">
      <c r="M915" s="52"/>
      <c r="N915" s="52"/>
      <c r="O915" s="52"/>
    </row>
    <row r="916">
      <c r="M916" s="52"/>
      <c r="N916" s="52"/>
      <c r="O916" s="52"/>
    </row>
    <row r="917">
      <c r="M917" s="52"/>
      <c r="N917" s="52"/>
      <c r="O917" s="52"/>
    </row>
    <row r="918">
      <c r="M918" s="52"/>
      <c r="N918" s="52"/>
      <c r="O918" s="52"/>
    </row>
    <row r="919">
      <c r="M919" s="52"/>
      <c r="N919" s="52"/>
      <c r="O919" s="52"/>
    </row>
    <row r="920">
      <c r="M920" s="52"/>
      <c r="N920" s="52"/>
      <c r="O920" s="52"/>
    </row>
    <row r="921">
      <c r="M921" s="52"/>
      <c r="N921" s="52"/>
      <c r="O921" s="52"/>
    </row>
    <row r="922">
      <c r="M922" s="52"/>
      <c r="N922" s="52"/>
      <c r="O922" s="52"/>
    </row>
    <row r="923">
      <c r="M923" s="52"/>
      <c r="N923" s="52"/>
      <c r="O923" s="52"/>
    </row>
    <row r="924">
      <c r="M924" s="52"/>
      <c r="N924" s="52"/>
      <c r="O924" s="52"/>
    </row>
    <row r="925">
      <c r="M925" s="52"/>
      <c r="N925" s="52"/>
      <c r="O925" s="52"/>
    </row>
    <row r="926">
      <c r="M926" s="52"/>
      <c r="N926" s="52"/>
      <c r="O926" s="52"/>
    </row>
    <row r="927">
      <c r="M927" s="52"/>
      <c r="N927" s="52"/>
      <c r="O927" s="52"/>
    </row>
    <row r="928">
      <c r="M928" s="52"/>
      <c r="N928" s="52"/>
      <c r="O928" s="52"/>
    </row>
    <row r="929">
      <c r="M929" s="52"/>
      <c r="N929" s="52"/>
      <c r="O929" s="52"/>
    </row>
    <row r="930">
      <c r="M930" s="52"/>
      <c r="N930" s="52"/>
      <c r="O930" s="52"/>
    </row>
    <row r="931">
      <c r="M931" s="52"/>
      <c r="N931" s="52"/>
      <c r="O931" s="52"/>
    </row>
    <row r="932">
      <c r="M932" s="52"/>
      <c r="N932" s="52"/>
      <c r="O932" s="52"/>
    </row>
    <row r="933">
      <c r="M933" s="52"/>
      <c r="N933" s="52"/>
      <c r="O933" s="52"/>
    </row>
    <row r="934">
      <c r="M934" s="52"/>
      <c r="N934" s="52"/>
      <c r="O934" s="52"/>
    </row>
    <row r="935">
      <c r="M935" s="52"/>
      <c r="N935" s="52"/>
      <c r="O935" s="52"/>
    </row>
    <row r="936">
      <c r="M936" s="52"/>
      <c r="N936" s="52"/>
      <c r="O936" s="52"/>
    </row>
    <row r="937">
      <c r="M937" s="52"/>
      <c r="N937" s="52"/>
      <c r="O937" s="52"/>
    </row>
    <row r="938">
      <c r="M938" s="52"/>
      <c r="N938" s="52"/>
      <c r="O938" s="52"/>
    </row>
    <row r="939">
      <c r="M939" s="52"/>
      <c r="N939" s="52"/>
      <c r="O939" s="52"/>
    </row>
    <row r="940">
      <c r="M940" s="52"/>
      <c r="N940" s="52"/>
      <c r="O940" s="52"/>
    </row>
    <row r="941">
      <c r="M941" s="52"/>
      <c r="N941" s="52"/>
      <c r="O941" s="52"/>
    </row>
    <row r="942">
      <c r="M942" s="52"/>
      <c r="N942" s="52"/>
      <c r="O942" s="52"/>
    </row>
    <row r="943">
      <c r="M943" s="52"/>
      <c r="N943" s="52"/>
      <c r="O943" s="52"/>
    </row>
    <row r="944">
      <c r="M944" s="52"/>
      <c r="N944" s="52"/>
      <c r="O944" s="52"/>
    </row>
    <row r="945">
      <c r="M945" s="52"/>
      <c r="N945" s="52"/>
      <c r="O945" s="52"/>
    </row>
    <row r="946">
      <c r="M946" s="52"/>
      <c r="N946" s="52"/>
      <c r="O946" s="52"/>
    </row>
    <row r="947">
      <c r="M947" s="52"/>
      <c r="N947" s="52"/>
      <c r="O947" s="52"/>
    </row>
    <row r="948">
      <c r="M948" s="52"/>
      <c r="N948" s="52"/>
      <c r="O948" s="52"/>
    </row>
    <row r="949">
      <c r="M949" s="52"/>
      <c r="N949" s="52"/>
      <c r="O949" s="52"/>
    </row>
    <row r="950">
      <c r="M950" s="52"/>
      <c r="N950" s="52"/>
      <c r="O950" s="52"/>
    </row>
    <row r="951">
      <c r="M951" s="52"/>
      <c r="N951" s="52"/>
      <c r="O951" s="52"/>
    </row>
    <row r="952">
      <c r="M952" s="52"/>
      <c r="N952" s="52"/>
      <c r="O952" s="52"/>
    </row>
    <row r="953">
      <c r="M953" s="52"/>
      <c r="N953" s="52"/>
      <c r="O953" s="52"/>
    </row>
    <row r="954">
      <c r="M954" s="52"/>
      <c r="N954" s="52"/>
      <c r="O954" s="52"/>
    </row>
    <row r="955">
      <c r="M955" s="52"/>
      <c r="N955" s="52"/>
      <c r="O955" s="52"/>
    </row>
    <row r="956">
      <c r="M956" s="52"/>
      <c r="N956" s="52"/>
      <c r="O956" s="52"/>
    </row>
    <row r="957">
      <c r="M957" s="52"/>
      <c r="N957" s="52"/>
      <c r="O957" s="52"/>
    </row>
    <row r="958">
      <c r="M958" s="52"/>
      <c r="N958" s="52"/>
      <c r="O958" s="52"/>
    </row>
    <row r="959">
      <c r="M959" s="52"/>
      <c r="N959" s="52"/>
      <c r="O959" s="52"/>
    </row>
    <row r="960">
      <c r="M960" s="52"/>
      <c r="N960" s="52"/>
      <c r="O960" s="52"/>
    </row>
    <row r="961">
      <c r="M961" s="52"/>
      <c r="N961" s="52"/>
      <c r="O961" s="52"/>
    </row>
    <row r="962">
      <c r="M962" s="52"/>
      <c r="N962" s="52"/>
      <c r="O962" s="52"/>
    </row>
    <row r="963">
      <c r="M963" s="52"/>
      <c r="N963" s="52"/>
      <c r="O963" s="52"/>
    </row>
    <row r="964">
      <c r="M964" s="52"/>
      <c r="N964" s="52"/>
      <c r="O964" s="52"/>
    </row>
    <row r="965">
      <c r="M965" s="52"/>
      <c r="N965" s="52"/>
      <c r="O965" s="52"/>
    </row>
    <row r="966">
      <c r="M966" s="52"/>
      <c r="N966" s="52"/>
      <c r="O966" s="52"/>
    </row>
    <row r="967">
      <c r="M967" s="52"/>
      <c r="N967" s="52"/>
      <c r="O967" s="52"/>
    </row>
    <row r="968">
      <c r="M968" s="52"/>
      <c r="N968" s="52"/>
      <c r="O968" s="52"/>
    </row>
    <row r="969">
      <c r="M969" s="52"/>
      <c r="N969" s="52"/>
      <c r="O969" s="52"/>
    </row>
    <row r="970">
      <c r="M970" s="52"/>
      <c r="N970" s="52"/>
      <c r="O970" s="52"/>
    </row>
    <row r="971">
      <c r="M971" s="52"/>
      <c r="N971" s="52"/>
      <c r="O971" s="52"/>
    </row>
    <row r="972">
      <c r="M972" s="52"/>
      <c r="N972" s="52"/>
      <c r="O972" s="52"/>
    </row>
    <row r="973">
      <c r="M973" s="52"/>
      <c r="N973" s="52"/>
      <c r="O973" s="52"/>
    </row>
    <row r="974">
      <c r="M974" s="52"/>
      <c r="N974" s="52"/>
      <c r="O974" s="52"/>
    </row>
    <row r="975">
      <c r="M975" s="52"/>
      <c r="N975" s="52"/>
      <c r="O975" s="52"/>
    </row>
    <row r="976">
      <c r="M976" s="52"/>
      <c r="N976" s="52"/>
      <c r="O976" s="52"/>
    </row>
    <row r="977">
      <c r="M977" s="52"/>
      <c r="N977" s="52"/>
      <c r="O977" s="52"/>
    </row>
    <row r="978">
      <c r="M978" s="52"/>
      <c r="N978" s="52"/>
      <c r="O978" s="52"/>
    </row>
    <row r="979">
      <c r="M979" s="52"/>
      <c r="N979" s="52"/>
      <c r="O979" s="52"/>
    </row>
    <row r="980">
      <c r="M980" s="52"/>
      <c r="N980" s="52"/>
      <c r="O980" s="52"/>
    </row>
    <row r="981">
      <c r="M981" s="52"/>
      <c r="N981" s="52"/>
      <c r="O981" s="52"/>
    </row>
    <row r="982">
      <c r="M982" s="52"/>
      <c r="N982" s="52"/>
      <c r="O982" s="52"/>
    </row>
    <row r="983">
      <c r="M983" s="52"/>
      <c r="N983" s="52"/>
      <c r="O983" s="52"/>
    </row>
    <row r="984">
      <c r="M984" s="52"/>
      <c r="N984" s="52"/>
      <c r="O984" s="52"/>
    </row>
    <row r="985">
      <c r="M985" s="52"/>
      <c r="N985" s="52"/>
      <c r="O985" s="52"/>
    </row>
    <row r="986">
      <c r="M986" s="52"/>
      <c r="N986" s="52"/>
      <c r="O986" s="52"/>
    </row>
    <row r="987">
      <c r="M987" s="52"/>
      <c r="N987" s="52"/>
      <c r="O987" s="52"/>
    </row>
    <row r="988">
      <c r="M988" s="52"/>
      <c r="N988" s="52"/>
      <c r="O988" s="52"/>
    </row>
    <row r="989">
      <c r="M989" s="52"/>
      <c r="N989" s="52"/>
      <c r="O989" s="52"/>
    </row>
    <row r="990">
      <c r="M990" s="52"/>
      <c r="N990" s="52"/>
      <c r="O990" s="52"/>
    </row>
    <row r="991">
      <c r="M991" s="52"/>
      <c r="N991" s="52"/>
      <c r="O991" s="52"/>
    </row>
    <row r="992">
      <c r="M992" s="52"/>
      <c r="N992" s="52"/>
      <c r="O992" s="52"/>
    </row>
    <row r="993">
      <c r="M993" s="52"/>
      <c r="N993" s="52"/>
      <c r="O993" s="52"/>
    </row>
    <row r="994">
      <c r="M994" s="52"/>
      <c r="N994" s="52"/>
      <c r="O994" s="52"/>
    </row>
    <row r="995">
      <c r="M995" s="52"/>
      <c r="N995" s="52"/>
      <c r="O995" s="52"/>
    </row>
    <row r="996">
      <c r="M996" s="52"/>
      <c r="N996" s="52"/>
      <c r="O996" s="52"/>
    </row>
    <row r="997">
      <c r="M997" s="52"/>
      <c r="N997" s="52"/>
      <c r="O997" s="52"/>
    </row>
    <row r="998">
      <c r="M998" s="52"/>
      <c r="N998" s="52"/>
      <c r="O998" s="52"/>
    </row>
    <row r="999">
      <c r="M999" s="52"/>
      <c r="N999" s="52"/>
      <c r="O999" s="52"/>
    </row>
    <row r="1000">
      <c r="M1000" s="52"/>
      <c r="N1000" s="52"/>
      <c r="O1000" s="52"/>
    </row>
  </sheetData>
  <mergeCells count="7">
    <mergeCell ref="A1:A2"/>
    <mergeCell ref="B1:B2"/>
    <mergeCell ref="C1:G1"/>
    <mergeCell ref="H1:I1"/>
    <mergeCell ref="J1:J2"/>
    <mergeCell ref="K1:O1"/>
    <mergeCell ref="P1:U1"/>
  </mergeCells>
  <conditionalFormatting sqref="N3:N9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G3:G9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3:H9">
    <cfRule type="colorScale" priority="3">
      <colorScale>
        <cfvo type="formula" val="0"/>
        <cfvo type="max"/>
        <color rgb="FFFFFFFF"/>
        <color rgb="FF57BB8A"/>
      </colorScale>
    </cfRule>
  </conditionalFormatting>
  <conditionalFormatting sqref="I3:I9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J3:J9">
    <cfRule type="colorScale" priority="5">
      <colorScale>
        <cfvo type="formula" val="0"/>
        <cfvo type="max"/>
        <color rgb="FFFFFFFF"/>
        <color rgb="FF57BB8A"/>
      </colorScale>
    </cfRule>
  </conditionalFormatting>
  <conditionalFormatting sqref="K3:K9">
    <cfRule type="colorScale" priority="6">
      <colorScale>
        <cfvo type="formula" val="0"/>
        <cfvo type="max"/>
        <color rgb="FFFFFFFF"/>
        <color rgb="FF57BB8A"/>
      </colorScale>
    </cfRule>
  </conditionalFormatting>
  <conditionalFormatting sqref="L3:L9">
    <cfRule type="colorScale" priority="7">
      <colorScale>
        <cfvo type="formula" val="0"/>
        <cfvo type="max"/>
        <color rgb="FFFFFFFF"/>
        <color rgb="FFE67C73"/>
      </colorScale>
    </cfRule>
  </conditionalFormatting>
  <conditionalFormatting sqref="C3:C9">
    <cfRule type="colorScale" priority="8">
      <colorScale>
        <cfvo type="formula" val="0"/>
        <cfvo type="max"/>
        <color rgb="FFFFFFFF"/>
        <color rgb="FFFFD666"/>
      </colorScale>
    </cfRule>
  </conditionalFormatting>
  <conditionalFormatting sqref="D3:D9">
    <cfRule type="colorScale" priority="9">
      <colorScale>
        <cfvo type="formula" val="0"/>
        <cfvo type="max"/>
        <color rgb="FFFFFFFF"/>
        <color rgb="FF57BB8A"/>
      </colorScale>
    </cfRule>
  </conditionalFormatting>
  <conditionalFormatting sqref="E3:E9">
    <cfRule type="colorScale" priority="10">
      <colorScale>
        <cfvo type="formula" val="0"/>
        <cfvo type="max"/>
        <color rgb="FFFFFFFF"/>
        <color rgb="FFE67C73"/>
      </colorScale>
    </cfRule>
  </conditionalFormatting>
  <conditionalFormatting sqref="F3:F9">
    <cfRule type="colorScale" priority="11">
      <colorScale>
        <cfvo type="formula" val="0"/>
        <cfvo type="max"/>
        <color rgb="FFFFFFFF"/>
        <color rgb="FF57BB8A"/>
      </colorScale>
    </cfRule>
  </conditionalFormatting>
  <conditionalFormatting sqref="M3:M9">
    <cfRule type="colorScale" priority="12">
      <colorScale>
        <cfvo type="formula" val="0"/>
        <cfvo type="max"/>
        <color rgb="FFFFFFFF"/>
        <color rgb="FFFFD666"/>
      </colorScale>
    </cfRule>
  </conditionalFormatting>
  <conditionalFormatting sqref="O3:O9">
    <cfRule type="colorScale" priority="13">
      <colorScale>
        <cfvo type="formula" val="0"/>
        <cfvo type="formula" val="1"/>
        <color rgb="FFFFFFFF"/>
        <color rgb="FF57BB8A"/>
      </colorScale>
    </cfRule>
  </conditionalFormatting>
  <conditionalFormatting sqref="P3:P9">
    <cfRule type="colorScale" priority="14">
      <colorScale>
        <cfvo type="formula" val="0"/>
        <cfvo type="max"/>
        <color rgb="FFFFFFFF"/>
        <color rgb="FFFFD666"/>
      </colorScale>
    </cfRule>
  </conditionalFormatting>
  <conditionalFormatting sqref="U3:U9">
    <cfRule type="colorScale" priority="15">
      <colorScale>
        <cfvo type="formula" val="0"/>
        <cfvo type="formula" val="2"/>
        <cfvo type="formula" val="3"/>
        <color rgb="FFE67C73"/>
        <color rgb="FFFFFFFF"/>
        <color rgb="FF57BB8A"/>
      </colorScale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7.63"/>
    <col customWidth="1" min="4" max="4" width="5.63"/>
    <col customWidth="1" min="5" max="5" width="6.88"/>
    <col customWidth="1" min="6" max="6" width="8.38"/>
    <col customWidth="1" min="7" max="7" width="15.5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1" t="s">
        <v>4</v>
      </c>
      <c r="K1" s="6" t="s">
        <v>5</v>
      </c>
      <c r="L1" s="4"/>
      <c r="M1" s="4"/>
      <c r="N1" s="4"/>
      <c r="O1" s="5"/>
      <c r="P1" s="30" t="s">
        <v>6</v>
      </c>
      <c r="Q1" s="4"/>
      <c r="R1" s="4"/>
      <c r="S1" s="4"/>
      <c r="T1" s="4"/>
      <c r="U1" s="5"/>
    </row>
    <row r="2">
      <c r="A2" s="9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2" t="s">
        <v>13</v>
      </c>
      <c r="I2" s="12" t="s">
        <v>14</v>
      </c>
      <c r="J2" s="9"/>
      <c r="K2" s="10" t="s">
        <v>15</v>
      </c>
      <c r="L2" s="12" t="s">
        <v>10</v>
      </c>
      <c r="M2" s="10" t="s">
        <v>16</v>
      </c>
      <c r="N2" s="10" t="s">
        <v>12</v>
      </c>
      <c r="O2" s="10" t="s">
        <v>18</v>
      </c>
      <c r="P2" s="15" t="s">
        <v>8</v>
      </c>
      <c r="Q2" s="15">
        <v>0.0</v>
      </c>
      <c r="R2" s="15">
        <v>1.0</v>
      </c>
      <c r="S2" s="15">
        <v>2.0</v>
      </c>
      <c r="T2" s="15">
        <v>3.0</v>
      </c>
      <c r="U2" s="15" t="s">
        <v>19</v>
      </c>
    </row>
    <row r="3">
      <c r="A3" s="18" t="s">
        <v>21</v>
      </c>
      <c r="B3" s="18" t="s">
        <v>39</v>
      </c>
      <c r="C3" s="10">
        <v>0.0</v>
      </c>
      <c r="D3" s="10">
        <v>0.0</v>
      </c>
      <c r="E3" s="10">
        <v>0.0</v>
      </c>
      <c r="F3" s="35"/>
      <c r="G3" s="35" t="str">
        <f t="shared" ref="G3:G9" si="1">IFS(C3=0, "N/A", C3&lt;&gt;0,(D3-E3)/C3 )</f>
        <v>N/A</v>
      </c>
      <c r="H3" s="35"/>
      <c r="I3" s="35"/>
      <c r="J3" s="10"/>
      <c r="K3" s="35"/>
      <c r="L3" s="10"/>
      <c r="M3" s="35"/>
      <c r="N3" s="35" t="str">
        <f t="shared" ref="N3:N9" si="2">ifs(M3=0,"N/A",M3&lt;&gt;0,(M3-L3) /M3)</f>
        <v>N/A</v>
      </c>
      <c r="O3" s="35" t="str">
        <f t="shared" ref="O3:O9" si="3">IFS(M3=0, "N/A", M3&lt;&gt;0, K3/M3)</f>
        <v>N/A</v>
      </c>
      <c r="P3" s="10">
        <f t="shared" ref="P3:P9" si="4">sum(Q3,R3,S3,T3)</f>
        <v>1</v>
      </c>
      <c r="Q3" s="35"/>
      <c r="R3" s="10"/>
      <c r="S3" s="10">
        <v>1.0</v>
      </c>
      <c r="T3" s="10"/>
      <c r="U3" s="10">
        <f t="shared" ref="U3:U9" si="5">ifs(P3=0, "N/A",P3&lt;&gt;0,(R3 + S3*2 +T3*3)/P3)</f>
        <v>2</v>
      </c>
    </row>
    <row r="4">
      <c r="A4" s="21" t="s">
        <v>24</v>
      </c>
      <c r="B4" s="21" t="s">
        <v>41</v>
      </c>
      <c r="C4" s="10">
        <v>0.0</v>
      </c>
      <c r="D4" s="10">
        <v>0.0</v>
      </c>
      <c r="E4" s="10">
        <v>0.0</v>
      </c>
      <c r="F4" s="35"/>
      <c r="G4" s="35" t="str">
        <f t="shared" si="1"/>
        <v>N/A</v>
      </c>
      <c r="H4" s="10"/>
      <c r="I4" s="10"/>
      <c r="J4" s="35"/>
      <c r="K4" s="35"/>
      <c r="L4" s="35"/>
      <c r="M4" s="35"/>
      <c r="N4" s="35" t="str">
        <f t="shared" si="2"/>
        <v>N/A</v>
      </c>
      <c r="O4" s="35" t="str">
        <f t="shared" si="3"/>
        <v>N/A</v>
      </c>
      <c r="P4" s="10">
        <f t="shared" si="4"/>
        <v>0</v>
      </c>
      <c r="Q4" s="35"/>
      <c r="R4" s="35"/>
      <c r="S4" s="35"/>
      <c r="T4" s="35"/>
      <c r="U4" s="10" t="str">
        <f t="shared" si="5"/>
        <v>N/A</v>
      </c>
    </row>
    <row r="5">
      <c r="A5" s="22" t="s">
        <v>26</v>
      </c>
      <c r="B5" s="22" t="s">
        <v>42</v>
      </c>
      <c r="C5" s="10">
        <v>0.0</v>
      </c>
      <c r="D5" s="10">
        <v>0.0</v>
      </c>
      <c r="E5" s="10">
        <v>0.0</v>
      </c>
      <c r="F5" s="10">
        <v>1.0</v>
      </c>
      <c r="G5" s="35" t="str">
        <f t="shared" si="1"/>
        <v>N/A</v>
      </c>
      <c r="H5" s="35"/>
      <c r="I5" s="10"/>
      <c r="J5" s="10">
        <v>1.0</v>
      </c>
      <c r="K5" s="10"/>
      <c r="L5" s="35"/>
      <c r="M5" s="10">
        <v>2.0</v>
      </c>
      <c r="N5" s="35">
        <f t="shared" si="2"/>
        <v>1</v>
      </c>
      <c r="O5" s="35">
        <f t="shared" si="3"/>
        <v>0</v>
      </c>
      <c r="P5" s="10">
        <f t="shared" si="4"/>
        <v>1</v>
      </c>
      <c r="Q5" s="35"/>
      <c r="R5" s="35"/>
      <c r="S5" s="35"/>
      <c r="T5" s="10">
        <v>1.0</v>
      </c>
      <c r="U5" s="10">
        <f t="shared" si="5"/>
        <v>3</v>
      </c>
    </row>
    <row r="6">
      <c r="A6" s="23" t="s">
        <v>28</v>
      </c>
      <c r="B6" s="23" t="s">
        <v>43</v>
      </c>
      <c r="C6" s="10">
        <v>0.0</v>
      </c>
      <c r="D6" s="10">
        <v>0.0</v>
      </c>
      <c r="E6" s="10">
        <v>0.0</v>
      </c>
      <c r="F6" s="35"/>
      <c r="G6" s="35" t="str">
        <f t="shared" si="1"/>
        <v>N/A</v>
      </c>
      <c r="H6" s="35"/>
      <c r="I6" s="35"/>
      <c r="J6" s="10">
        <v>1.0</v>
      </c>
      <c r="K6" s="10"/>
      <c r="L6" s="10"/>
      <c r="M6" s="35"/>
      <c r="N6" s="35" t="str">
        <f t="shared" si="2"/>
        <v>N/A</v>
      </c>
      <c r="O6" s="35" t="str">
        <f t="shared" si="3"/>
        <v>N/A</v>
      </c>
      <c r="P6" s="10">
        <f t="shared" si="4"/>
        <v>2</v>
      </c>
      <c r="Q6" s="10"/>
      <c r="R6" s="10"/>
      <c r="S6" s="10"/>
      <c r="T6" s="10">
        <v>2.0</v>
      </c>
      <c r="U6" s="10">
        <f t="shared" si="5"/>
        <v>3</v>
      </c>
    </row>
    <row r="7">
      <c r="A7" s="24" t="s">
        <v>30</v>
      </c>
      <c r="B7" s="24" t="s">
        <v>85</v>
      </c>
      <c r="C7" s="10">
        <v>3.0</v>
      </c>
      <c r="D7" s="10">
        <v>0.0</v>
      </c>
      <c r="E7" s="10">
        <v>1.0</v>
      </c>
      <c r="F7" s="35"/>
      <c r="G7" s="35">
        <f t="shared" si="1"/>
        <v>-0.3333333333</v>
      </c>
      <c r="H7" s="35"/>
      <c r="I7" s="35"/>
      <c r="J7" s="10"/>
      <c r="K7" s="35"/>
      <c r="L7" s="10"/>
      <c r="M7" s="10">
        <v>2.0</v>
      </c>
      <c r="N7" s="35">
        <f t="shared" si="2"/>
        <v>1</v>
      </c>
      <c r="O7" s="35">
        <f t="shared" si="3"/>
        <v>0</v>
      </c>
      <c r="P7" s="10">
        <f t="shared" si="4"/>
        <v>0</v>
      </c>
      <c r="Q7" s="35"/>
      <c r="R7" s="35"/>
      <c r="S7" s="10"/>
      <c r="T7" s="35"/>
      <c r="U7" s="10" t="str">
        <f t="shared" si="5"/>
        <v>N/A</v>
      </c>
    </row>
    <row r="8">
      <c r="A8" s="25" t="s">
        <v>32</v>
      </c>
      <c r="B8" s="25" t="s">
        <v>45</v>
      </c>
      <c r="C8" s="10">
        <v>3.0</v>
      </c>
      <c r="D8" s="10">
        <v>1.0</v>
      </c>
      <c r="E8" s="10">
        <v>2.0</v>
      </c>
      <c r="F8" s="35"/>
      <c r="G8" s="35">
        <f t="shared" si="1"/>
        <v>-0.3333333333</v>
      </c>
      <c r="H8" s="35"/>
      <c r="I8" s="10"/>
      <c r="J8" s="10"/>
      <c r="K8" s="35"/>
      <c r="L8" s="35"/>
      <c r="M8" s="35"/>
      <c r="N8" s="35" t="str">
        <f t="shared" si="2"/>
        <v>N/A</v>
      </c>
      <c r="O8" s="35" t="str">
        <f t="shared" si="3"/>
        <v>N/A</v>
      </c>
      <c r="P8" s="10">
        <f t="shared" si="4"/>
        <v>1</v>
      </c>
      <c r="Q8" s="35"/>
      <c r="R8" s="10">
        <v>1.0</v>
      </c>
      <c r="S8" s="35"/>
      <c r="T8" s="35"/>
      <c r="U8" s="10">
        <f t="shared" si="5"/>
        <v>1</v>
      </c>
    </row>
    <row r="9">
      <c r="A9" s="26" t="s">
        <v>34</v>
      </c>
      <c r="B9" s="26" t="s">
        <v>84</v>
      </c>
      <c r="C9" s="10">
        <v>0.0</v>
      </c>
      <c r="D9" s="10">
        <v>0.0</v>
      </c>
      <c r="E9" s="10">
        <v>0.0</v>
      </c>
      <c r="F9" s="35"/>
      <c r="G9" s="35" t="str">
        <f t="shared" si="1"/>
        <v>N/A</v>
      </c>
      <c r="H9" s="35"/>
      <c r="I9" s="35"/>
      <c r="J9" s="10"/>
      <c r="K9" s="35"/>
      <c r="L9" s="10"/>
      <c r="M9" s="35"/>
      <c r="N9" s="35" t="str">
        <f t="shared" si="2"/>
        <v>N/A</v>
      </c>
      <c r="O9" s="35" t="str">
        <f t="shared" si="3"/>
        <v>N/A</v>
      </c>
      <c r="P9" s="10">
        <f t="shared" si="4"/>
        <v>0</v>
      </c>
      <c r="Q9" s="35"/>
      <c r="R9" s="10"/>
      <c r="S9" s="10"/>
      <c r="T9" s="35"/>
      <c r="U9" s="10" t="str">
        <f t="shared" si="5"/>
        <v>N/A</v>
      </c>
    </row>
    <row r="10">
      <c r="M10" s="52"/>
      <c r="N10" s="52"/>
      <c r="O10" s="52"/>
      <c r="P10" s="52"/>
      <c r="Q10" s="52"/>
      <c r="U10" s="52"/>
    </row>
    <row r="11">
      <c r="M11" s="52"/>
      <c r="N11" s="52"/>
      <c r="O11" s="52"/>
      <c r="P11" s="52"/>
      <c r="Q11" s="52"/>
      <c r="U11" s="52"/>
    </row>
    <row r="12">
      <c r="M12" s="52"/>
      <c r="N12" s="52"/>
      <c r="O12" s="52"/>
      <c r="P12" s="52"/>
      <c r="Q12" s="52"/>
      <c r="U12" s="52"/>
    </row>
    <row r="13">
      <c r="M13" s="52"/>
      <c r="N13" s="52"/>
      <c r="O13" s="52"/>
      <c r="P13" s="52"/>
      <c r="Q13" s="52"/>
      <c r="U13" s="52"/>
    </row>
    <row r="14">
      <c r="M14" s="52"/>
      <c r="N14" s="52"/>
      <c r="O14" s="52"/>
      <c r="P14" s="52"/>
      <c r="Q14" s="52"/>
      <c r="U14" s="52"/>
    </row>
    <row r="15">
      <c r="M15" s="52"/>
      <c r="N15" s="52"/>
      <c r="O15" s="52"/>
      <c r="P15" s="52"/>
      <c r="Q15" s="52"/>
      <c r="U15" s="52"/>
    </row>
    <row r="16">
      <c r="M16" s="52"/>
      <c r="N16" s="52"/>
      <c r="O16" s="52"/>
      <c r="P16" s="52"/>
      <c r="Q16" s="52"/>
      <c r="U16" s="52"/>
    </row>
    <row r="17">
      <c r="M17" s="52"/>
      <c r="N17" s="52"/>
      <c r="O17" s="52"/>
      <c r="P17" s="52"/>
      <c r="Q17" s="52"/>
      <c r="U17" s="52"/>
    </row>
    <row r="18">
      <c r="M18" s="52"/>
      <c r="N18" s="52"/>
      <c r="O18" s="52"/>
      <c r="P18" s="52"/>
      <c r="Q18" s="52"/>
      <c r="U18" s="52"/>
    </row>
    <row r="19">
      <c r="M19" s="52"/>
      <c r="N19" s="52"/>
      <c r="O19" s="52"/>
      <c r="P19" s="52"/>
      <c r="Q19" s="52"/>
      <c r="U19" s="52"/>
    </row>
    <row r="20">
      <c r="M20" s="52"/>
      <c r="N20" s="52"/>
      <c r="O20" s="52"/>
      <c r="P20" s="52"/>
      <c r="Q20" s="52"/>
      <c r="U20" s="52"/>
    </row>
    <row r="21">
      <c r="M21" s="52"/>
      <c r="N21" s="52"/>
      <c r="O21" s="52"/>
      <c r="P21" s="52"/>
      <c r="Q21" s="52"/>
      <c r="U21" s="52"/>
    </row>
    <row r="22">
      <c r="M22" s="52"/>
      <c r="N22" s="52"/>
      <c r="O22" s="52"/>
      <c r="P22" s="52"/>
      <c r="Q22" s="52"/>
      <c r="U22" s="52"/>
    </row>
    <row r="23">
      <c r="M23" s="52"/>
      <c r="N23" s="52"/>
      <c r="O23" s="52"/>
      <c r="P23" s="52"/>
      <c r="Q23" s="52"/>
      <c r="U23" s="52"/>
    </row>
    <row r="24">
      <c r="M24" s="52"/>
      <c r="N24" s="52"/>
      <c r="O24" s="52"/>
      <c r="P24" s="52"/>
      <c r="Q24" s="52"/>
      <c r="U24" s="52"/>
    </row>
    <row r="25">
      <c r="M25" s="52"/>
      <c r="N25" s="52"/>
      <c r="O25" s="52"/>
      <c r="P25" s="52"/>
      <c r="Q25" s="52"/>
      <c r="U25" s="52"/>
    </row>
    <row r="26">
      <c r="M26" s="52"/>
      <c r="N26" s="52"/>
      <c r="O26" s="52"/>
      <c r="P26" s="52"/>
      <c r="Q26" s="52"/>
      <c r="U26" s="52"/>
    </row>
    <row r="27">
      <c r="M27" s="52"/>
      <c r="N27" s="52"/>
      <c r="O27" s="52"/>
      <c r="P27" s="52"/>
      <c r="Q27" s="52"/>
      <c r="U27" s="52"/>
    </row>
    <row r="28">
      <c r="M28" s="52"/>
      <c r="N28" s="52"/>
      <c r="O28" s="52"/>
      <c r="P28" s="52"/>
      <c r="Q28" s="52"/>
      <c r="U28" s="52"/>
    </row>
    <row r="29">
      <c r="M29" s="52"/>
      <c r="N29" s="52"/>
      <c r="O29" s="52"/>
      <c r="P29" s="52"/>
      <c r="Q29" s="52"/>
      <c r="U29" s="52"/>
    </row>
    <row r="30">
      <c r="M30" s="52"/>
      <c r="N30" s="52"/>
      <c r="O30" s="52"/>
      <c r="P30" s="52"/>
      <c r="Q30" s="52"/>
      <c r="U30" s="52"/>
    </row>
    <row r="31">
      <c r="M31" s="52"/>
      <c r="N31" s="52"/>
      <c r="O31" s="52"/>
      <c r="P31" s="52"/>
      <c r="Q31" s="52"/>
      <c r="U31" s="52"/>
    </row>
    <row r="32">
      <c r="M32" s="52"/>
      <c r="N32" s="52"/>
      <c r="O32" s="52"/>
      <c r="P32" s="52"/>
      <c r="Q32" s="52"/>
      <c r="U32" s="52"/>
    </row>
    <row r="33">
      <c r="M33" s="52"/>
      <c r="N33" s="52"/>
      <c r="O33" s="52"/>
      <c r="P33" s="52"/>
      <c r="Q33" s="52"/>
      <c r="U33" s="52"/>
    </row>
    <row r="34">
      <c r="M34" s="52"/>
      <c r="N34" s="52"/>
      <c r="O34" s="52"/>
      <c r="P34" s="52"/>
      <c r="Q34" s="52"/>
      <c r="U34" s="52"/>
    </row>
    <row r="35">
      <c r="M35" s="52"/>
      <c r="N35" s="52"/>
      <c r="O35" s="52"/>
      <c r="P35" s="52"/>
      <c r="Q35" s="52"/>
      <c r="U35" s="52"/>
    </row>
    <row r="36">
      <c r="M36" s="52"/>
      <c r="N36" s="52"/>
      <c r="O36" s="52"/>
      <c r="P36" s="52"/>
      <c r="Q36" s="52"/>
      <c r="U36" s="52"/>
    </row>
    <row r="37">
      <c r="M37" s="52"/>
      <c r="N37" s="52"/>
      <c r="O37" s="52"/>
      <c r="P37" s="52"/>
      <c r="Q37" s="52"/>
      <c r="U37" s="52"/>
    </row>
    <row r="38">
      <c r="M38" s="52"/>
      <c r="N38" s="52"/>
      <c r="O38" s="52"/>
      <c r="P38" s="52"/>
      <c r="Q38" s="52"/>
      <c r="U38" s="52"/>
    </row>
    <row r="39">
      <c r="M39" s="52"/>
      <c r="N39" s="52"/>
      <c r="O39" s="52"/>
      <c r="P39" s="52"/>
      <c r="Q39" s="52"/>
      <c r="U39" s="52"/>
    </row>
    <row r="40">
      <c r="M40" s="52"/>
      <c r="N40" s="52"/>
      <c r="O40" s="52"/>
      <c r="P40" s="52"/>
      <c r="Q40" s="52"/>
      <c r="U40" s="52"/>
    </row>
    <row r="41">
      <c r="M41" s="52"/>
      <c r="N41" s="52"/>
      <c r="O41" s="52"/>
      <c r="P41" s="52"/>
      <c r="Q41" s="52"/>
      <c r="U41" s="52"/>
    </row>
    <row r="42">
      <c r="M42" s="52"/>
      <c r="N42" s="52"/>
      <c r="O42" s="52"/>
      <c r="P42" s="52"/>
      <c r="Q42" s="52"/>
      <c r="U42" s="52"/>
    </row>
    <row r="43">
      <c r="M43" s="52"/>
      <c r="N43" s="52"/>
      <c r="O43" s="52"/>
      <c r="P43" s="52"/>
      <c r="Q43" s="52"/>
      <c r="U43" s="52"/>
    </row>
    <row r="44">
      <c r="M44" s="52"/>
      <c r="N44" s="52"/>
      <c r="O44" s="52"/>
      <c r="P44" s="52"/>
      <c r="Q44" s="52"/>
      <c r="U44" s="52"/>
    </row>
    <row r="45">
      <c r="M45" s="52"/>
      <c r="N45" s="52"/>
      <c r="O45" s="52"/>
      <c r="P45" s="52"/>
      <c r="Q45" s="52"/>
      <c r="U45" s="52"/>
    </row>
    <row r="46">
      <c r="M46" s="52"/>
      <c r="N46" s="52"/>
      <c r="O46" s="52"/>
      <c r="P46" s="52"/>
      <c r="Q46" s="52"/>
      <c r="U46" s="52"/>
    </row>
    <row r="47">
      <c r="M47" s="52"/>
      <c r="N47" s="52"/>
      <c r="O47" s="52"/>
      <c r="P47" s="52"/>
      <c r="Q47" s="52"/>
      <c r="U47" s="52"/>
    </row>
    <row r="48">
      <c r="M48" s="52"/>
      <c r="N48" s="52"/>
      <c r="O48" s="52"/>
      <c r="P48" s="52"/>
      <c r="Q48" s="52"/>
      <c r="U48" s="52"/>
    </row>
    <row r="49">
      <c r="M49" s="52"/>
      <c r="N49" s="52"/>
      <c r="O49" s="52"/>
      <c r="P49" s="52"/>
      <c r="Q49" s="52"/>
      <c r="U49" s="52"/>
    </row>
    <row r="50">
      <c r="M50" s="52"/>
      <c r="N50" s="52"/>
      <c r="O50" s="52"/>
      <c r="P50" s="52"/>
      <c r="Q50" s="52"/>
      <c r="U50" s="52"/>
    </row>
    <row r="51">
      <c r="M51" s="52"/>
      <c r="N51" s="52"/>
      <c r="O51" s="52"/>
      <c r="P51" s="52"/>
      <c r="Q51" s="52"/>
      <c r="U51" s="52"/>
    </row>
    <row r="52">
      <c r="M52" s="52"/>
      <c r="N52" s="52"/>
      <c r="O52" s="52"/>
      <c r="P52" s="52"/>
      <c r="Q52" s="52"/>
      <c r="U52" s="52"/>
    </row>
    <row r="53">
      <c r="M53" s="52"/>
      <c r="N53" s="52"/>
      <c r="O53" s="52"/>
      <c r="P53" s="52"/>
      <c r="Q53" s="52"/>
      <c r="U53" s="52"/>
    </row>
    <row r="54">
      <c r="M54" s="52"/>
      <c r="N54" s="52"/>
      <c r="O54" s="52"/>
      <c r="P54" s="52"/>
      <c r="Q54" s="52"/>
      <c r="U54" s="52"/>
    </row>
    <row r="55">
      <c r="M55" s="52"/>
      <c r="N55" s="52"/>
      <c r="O55" s="52"/>
      <c r="P55" s="52"/>
      <c r="Q55" s="52"/>
      <c r="U55" s="52"/>
    </row>
    <row r="56">
      <c r="M56" s="52"/>
      <c r="N56" s="52"/>
      <c r="O56" s="52"/>
      <c r="P56" s="52"/>
      <c r="Q56" s="52"/>
      <c r="U56" s="52"/>
    </row>
    <row r="57">
      <c r="M57" s="52"/>
      <c r="N57" s="52"/>
      <c r="O57" s="52"/>
      <c r="P57" s="52"/>
      <c r="Q57" s="52"/>
      <c r="U57" s="52"/>
    </row>
    <row r="58">
      <c r="M58" s="52"/>
      <c r="N58" s="52"/>
      <c r="O58" s="52"/>
      <c r="P58" s="52"/>
      <c r="Q58" s="52"/>
      <c r="U58" s="52"/>
    </row>
    <row r="59">
      <c r="M59" s="52"/>
      <c r="N59" s="52"/>
      <c r="O59" s="52"/>
      <c r="P59" s="52"/>
      <c r="Q59" s="52"/>
      <c r="U59" s="52"/>
    </row>
    <row r="60">
      <c r="M60" s="52"/>
      <c r="N60" s="52"/>
      <c r="O60" s="52"/>
      <c r="P60" s="52"/>
      <c r="Q60" s="52"/>
      <c r="U60" s="52"/>
    </row>
    <row r="61">
      <c r="M61" s="52"/>
      <c r="N61" s="52"/>
      <c r="O61" s="52"/>
      <c r="P61" s="52"/>
      <c r="Q61" s="52"/>
      <c r="U61" s="52"/>
    </row>
    <row r="62">
      <c r="M62" s="52"/>
      <c r="N62" s="52"/>
      <c r="O62" s="52"/>
      <c r="P62" s="52"/>
      <c r="Q62" s="52"/>
      <c r="U62" s="52"/>
    </row>
    <row r="63">
      <c r="M63" s="52"/>
      <c r="N63" s="52"/>
      <c r="O63" s="52"/>
      <c r="P63" s="52"/>
      <c r="Q63" s="52"/>
      <c r="U63" s="52"/>
    </row>
    <row r="64">
      <c r="M64" s="52"/>
      <c r="N64" s="52"/>
      <c r="O64" s="52"/>
      <c r="P64" s="52"/>
      <c r="Q64" s="52"/>
      <c r="U64" s="52"/>
    </row>
    <row r="65">
      <c r="M65" s="52"/>
      <c r="N65" s="52"/>
      <c r="O65" s="52"/>
      <c r="P65" s="52"/>
      <c r="Q65" s="52"/>
      <c r="U65" s="52"/>
    </row>
    <row r="66">
      <c r="M66" s="52"/>
      <c r="N66" s="52"/>
      <c r="O66" s="52"/>
      <c r="P66" s="52"/>
      <c r="Q66" s="52"/>
      <c r="U66" s="52"/>
    </row>
    <row r="67">
      <c r="M67" s="52"/>
      <c r="N67" s="52"/>
      <c r="O67" s="52"/>
      <c r="P67" s="52"/>
      <c r="Q67" s="52"/>
      <c r="U67" s="52"/>
    </row>
    <row r="68">
      <c r="M68" s="52"/>
      <c r="N68" s="52"/>
      <c r="O68" s="52"/>
      <c r="P68" s="52"/>
      <c r="Q68" s="52"/>
      <c r="U68" s="52"/>
    </row>
    <row r="69">
      <c r="M69" s="52"/>
      <c r="N69" s="52"/>
      <c r="O69" s="52"/>
      <c r="P69" s="52"/>
      <c r="Q69" s="52"/>
      <c r="U69" s="52"/>
    </row>
    <row r="70">
      <c r="M70" s="52"/>
      <c r="N70" s="52"/>
      <c r="O70" s="52"/>
      <c r="P70" s="52"/>
      <c r="Q70" s="52"/>
      <c r="U70" s="52"/>
    </row>
    <row r="71">
      <c r="M71" s="52"/>
      <c r="N71" s="52"/>
      <c r="O71" s="52"/>
      <c r="P71" s="52"/>
      <c r="Q71" s="52"/>
      <c r="U71" s="52"/>
    </row>
    <row r="72">
      <c r="M72" s="52"/>
      <c r="N72" s="52"/>
      <c r="O72" s="52"/>
      <c r="P72" s="52"/>
      <c r="Q72" s="52"/>
      <c r="U72" s="52"/>
    </row>
    <row r="73">
      <c r="M73" s="52"/>
      <c r="N73" s="52"/>
      <c r="O73" s="52"/>
      <c r="P73" s="52"/>
      <c r="Q73" s="52"/>
      <c r="U73" s="52"/>
    </row>
    <row r="74">
      <c r="M74" s="52"/>
      <c r="N74" s="52"/>
      <c r="O74" s="52"/>
      <c r="P74" s="52"/>
      <c r="Q74" s="52"/>
      <c r="U74" s="52"/>
    </row>
    <row r="75">
      <c r="M75" s="52"/>
      <c r="N75" s="52"/>
      <c r="O75" s="52"/>
      <c r="P75" s="52"/>
      <c r="Q75" s="52"/>
      <c r="U75" s="52"/>
    </row>
    <row r="76">
      <c r="M76" s="52"/>
      <c r="N76" s="52"/>
      <c r="O76" s="52"/>
      <c r="P76" s="52"/>
      <c r="Q76" s="52"/>
      <c r="U76" s="52"/>
    </row>
    <row r="77">
      <c r="M77" s="52"/>
      <c r="N77" s="52"/>
      <c r="O77" s="52"/>
      <c r="P77" s="52"/>
      <c r="Q77" s="52"/>
      <c r="U77" s="52"/>
    </row>
    <row r="78">
      <c r="M78" s="52"/>
      <c r="N78" s="52"/>
      <c r="O78" s="52"/>
      <c r="P78" s="52"/>
      <c r="Q78" s="52"/>
      <c r="U78" s="52"/>
    </row>
    <row r="79">
      <c r="M79" s="52"/>
      <c r="N79" s="52"/>
      <c r="O79" s="52"/>
      <c r="P79" s="52"/>
      <c r="Q79" s="52"/>
      <c r="U79" s="52"/>
    </row>
    <row r="80">
      <c r="M80" s="52"/>
      <c r="N80" s="52"/>
      <c r="O80" s="52"/>
      <c r="P80" s="52"/>
      <c r="Q80" s="52"/>
      <c r="U80" s="52"/>
    </row>
    <row r="81">
      <c r="M81" s="52"/>
      <c r="N81" s="52"/>
      <c r="O81" s="52"/>
      <c r="P81" s="52"/>
      <c r="Q81" s="52"/>
      <c r="U81" s="52"/>
    </row>
    <row r="82">
      <c r="M82" s="52"/>
      <c r="N82" s="52"/>
      <c r="O82" s="52"/>
      <c r="P82" s="52"/>
      <c r="Q82" s="52"/>
      <c r="U82" s="52"/>
    </row>
    <row r="83">
      <c r="M83" s="52"/>
      <c r="N83" s="52"/>
      <c r="O83" s="52"/>
      <c r="P83" s="52"/>
      <c r="Q83" s="52"/>
      <c r="U83" s="52"/>
    </row>
    <row r="84">
      <c r="M84" s="52"/>
      <c r="N84" s="52"/>
      <c r="O84" s="52"/>
      <c r="P84" s="52"/>
      <c r="Q84" s="52"/>
      <c r="U84" s="52"/>
    </row>
    <row r="85">
      <c r="M85" s="52"/>
      <c r="N85" s="52"/>
      <c r="O85" s="52"/>
      <c r="P85" s="52"/>
      <c r="Q85" s="52"/>
      <c r="U85" s="52"/>
    </row>
    <row r="86">
      <c r="M86" s="52"/>
      <c r="N86" s="52"/>
      <c r="O86" s="52"/>
      <c r="P86" s="52"/>
      <c r="Q86" s="52"/>
      <c r="U86" s="52"/>
    </row>
    <row r="87">
      <c r="M87" s="52"/>
      <c r="N87" s="52"/>
      <c r="O87" s="52"/>
      <c r="P87" s="52"/>
      <c r="Q87" s="52"/>
      <c r="U87" s="52"/>
    </row>
    <row r="88">
      <c r="M88" s="52"/>
      <c r="N88" s="52"/>
      <c r="O88" s="52"/>
      <c r="P88" s="52"/>
      <c r="Q88" s="52"/>
      <c r="U88" s="52"/>
    </row>
    <row r="89">
      <c r="M89" s="52"/>
      <c r="N89" s="52"/>
      <c r="O89" s="52"/>
      <c r="P89" s="52"/>
      <c r="Q89" s="52"/>
      <c r="U89" s="52"/>
    </row>
    <row r="90">
      <c r="M90" s="52"/>
      <c r="N90" s="52"/>
      <c r="O90" s="52"/>
      <c r="P90" s="52"/>
      <c r="Q90" s="52"/>
      <c r="U90" s="52"/>
    </row>
    <row r="91">
      <c r="M91" s="52"/>
      <c r="N91" s="52"/>
      <c r="O91" s="52"/>
      <c r="P91" s="52"/>
      <c r="Q91" s="52"/>
      <c r="U91" s="52"/>
    </row>
    <row r="92">
      <c r="M92" s="52"/>
      <c r="N92" s="52"/>
      <c r="O92" s="52"/>
      <c r="P92" s="52"/>
      <c r="Q92" s="52"/>
      <c r="U92" s="52"/>
    </row>
    <row r="93">
      <c r="M93" s="52"/>
      <c r="N93" s="52"/>
      <c r="O93" s="52"/>
      <c r="P93" s="52"/>
      <c r="Q93" s="52"/>
      <c r="U93" s="52"/>
    </row>
    <row r="94">
      <c r="M94" s="52"/>
      <c r="N94" s="52"/>
      <c r="O94" s="52"/>
      <c r="P94" s="52"/>
      <c r="Q94" s="52"/>
      <c r="U94" s="52"/>
    </row>
    <row r="95">
      <c r="M95" s="52"/>
      <c r="N95" s="52"/>
      <c r="O95" s="52"/>
      <c r="P95" s="52"/>
      <c r="Q95" s="52"/>
      <c r="U95" s="52"/>
    </row>
    <row r="96">
      <c r="M96" s="52"/>
      <c r="N96" s="52"/>
      <c r="O96" s="52"/>
      <c r="P96" s="52"/>
      <c r="Q96" s="52"/>
      <c r="U96" s="52"/>
    </row>
    <row r="97">
      <c r="M97" s="52"/>
      <c r="N97" s="52"/>
      <c r="O97" s="52"/>
      <c r="P97" s="52"/>
      <c r="Q97" s="52"/>
      <c r="U97" s="52"/>
    </row>
    <row r="98">
      <c r="M98" s="52"/>
      <c r="N98" s="52"/>
      <c r="O98" s="52"/>
      <c r="P98" s="52"/>
      <c r="Q98" s="52"/>
      <c r="U98" s="52"/>
    </row>
    <row r="99">
      <c r="M99" s="52"/>
      <c r="N99" s="52"/>
      <c r="O99" s="52"/>
      <c r="P99" s="52"/>
      <c r="Q99" s="52"/>
      <c r="U99" s="52"/>
    </row>
    <row r="100">
      <c r="M100" s="52"/>
      <c r="N100" s="52"/>
      <c r="O100" s="52"/>
      <c r="P100" s="52"/>
      <c r="Q100" s="52"/>
      <c r="U100" s="52"/>
    </row>
    <row r="101">
      <c r="M101" s="52"/>
      <c r="N101" s="52"/>
      <c r="O101" s="52"/>
      <c r="P101" s="52"/>
      <c r="Q101" s="52"/>
      <c r="U101" s="52"/>
    </row>
    <row r="102">
      <c r="M102" s="52"/>
      <c r="N102" s="52"/>
      <c r="O102" s="52"/>
      <c r="P102" s="52"/>
      <c r="Q102" s="52"/>
      <c r="U102" s="52"/>
    </row>
    <row r="103">
      <c r="M103" s="52"/>
      <c r="N103" s="52"/>
      <c r="O103" s="52"/>
      <c r="P103" s="52"/>
      <c r="Q103" s="52"/>
      <c r="U103" s="52"/>
    </row>
    <row r="104">
      <c r="M104" s="52"/>
      <c r="N104" s="52"/>
      <c r="O104" s="52"/>
      <c r="P104" s="52"/>
      <c r="Q104" s="52"/>
      <c r="U104" s="52"/>
    </row>
    <row r="105">
      <c r="M105" s="52"/>
      <c r="N105" s="52"/>
      <c r="O105" s="52"/>
      <c r="P105" s="52"/>
      <c r="Q105" s="52"/>
      <c r="U105" s="52"/>
    </row>
    <row r="106">
      <c r="M106" s="52"/>
      <c r="N106" s="52"/>
      <c r="O106" s="52"/>
      <c r="P106" s="52"/>
      <c r="Q106" s="52"/>
      <c r="U106" s="52"/>
    </row>
    <row r="107">
      <c r="M107" s="52"/>
      <c r="N107" s="52"/>
      <c r="O107" s="52"/>
      <c r="P107" s="52"/>
      <c r="Q107" s="52"/>
      <c r="U107" s="52"/>
    </row>
    <row r="108">
      <c r="M108" s="52"/>
      <c r="N108" s="52"/>
      <c r="O108" s="52"/>
      <c r="P108" s="52"/>
      <c r="Q108" s="52"/>
      <c r="U108" s="52"/>
    </row>
    <row r="109">
      <c r="M109" s="52"/>
      <c r="N109" s="52"/>
      <c r="O109" s="52"/>
      <c r="P109" s="52"/>
      <c r="Q109" s="52"/>
      <c r="U109" s="52"/>
    </row>
    <row r="110">
      <c r="M110" s="52"/>
      <c r="N110" s="52"/>
      <c r="O110" s="52"/>
      <c r="P110" s="52"/>
      <c r="Q110" s="52"/>
      <c r="U110" s="52"/>
    </row>
    <row r="111">
      <c r="M111" s="52"/>
      <c r="N111" s="52"/>
      <c r="O111" s="52"/>
      <c r="P111" s="52"/>
      <c r="Q111" s="52"/>
      <c r="U111" s="52"/>
    </row>
    <row r="112">
      <c r="M112" s="52"/>
      <c r="N112" s="52"/>
      <c r="O112" s="52"/>
      <c r="P112" s="52"/>
      <c r="Q112" s="52"/>
      <c r="U112" s="52"/>
    </row>
    <row r="113">
      <c r="M113" s="52"/>
      <c r="N113" s="52"/>
      <c r="O113" s="52"/>
      <c r="P113" s="52"/>
      <c r="Q113" s="52"/>
      <c r="U113" s="52"/>
    </row>
    <row r="114">
      <c r="M114" s="52"/>
      <c r="N114" s="52"/>
      <c r="O114" s="52"/>
      <c r="P114" s="52"/>
      <c r="Q114" s="52"/>
      <c r="U114" s="52"/>
    </row>
    <row r="115">
      <c r="M115" s="52"/>
      <c r="N115" s="52"/>
      <c r="O115" s="52"/>
      <c r="P115" s="52"/>
      <c r="Q115" s="52"/>
      <c r="U115" s="52"/>
    </row>
    <row r="116">
      <c r="M116" s="52"/>
      <c r="N116" s="52"/>
      <c r="O116" s="52"/>
      <c r="P116" s="52"/>
      <c r="Q116" s="52"/>
      <c r="U116" s="52"/>
    </row>
    <row r="117">
      <c r="M117" s="52"/>
      <c r="N117" s="52"/>
      <c r="O117" s="52"/>
      <c r="P117" s="52"/>
      <c r="Q117" s="52"/>
      <c r="U117" s="52"/>
    </row>
    <row r="118">
      <c r="M118" s="52"/>
      <c r="N118" s="52"/>
      <c r="O118" s="52"/>
      <c r="P118" s="52"/>
      <c r="Q118" s="52"/>
      <c r="U118" s="52"/>
    </row>
    <row r="119">
      <c r="M119" s="52"/>
      <c r="N119" s="52"/>
      <c r="O119" s="52"/>
      <c r="P119" s="52"/>
      <c r="Q119" s="52"/>
      <c r="U119" s="52"/>
    </row>
    <row r="120">
      <c r="M120" s="52"/>
      <c r="N120" s="52"/>
      <c r="O120" s="52"/>
      <c r="P120" s="52"/>
      <c r="Q120" s="52"/>
      <c r="U120" s="52"/>
    </row>
    <row r="121">
      <c r="M121" s="52"/>
      <c r="N121" s="52"/>
      <c r="O121" s="52"/>
      <c r="P121" s="52"/>
      <c r="Q121" s="52"/>
      <c r="U121" s="52"/>
    </row>
    <row r="122">
      <c r="M122" s="52"/>
      <c r="N122" s="52"/>
      <c r="O122" s="52"/>
      <c r="P122" s="52"/>
      <c r="Q122" s="52"/>
      <c r="U122" s="52"/>
    </row>
    <row r="123">
      <c r="M123" s="52"/>
      <c r="N123" s="52"/>
      <c r="O123" s="52"/>
      <c r="P123" s="52"/>
      <c r="Q123" s="52"/>
      <c r="U123" s="52"/>
    </row>
    <row r="124">
      <c r="M124" s="52"/>
      <c r="N124" s="52"/>
      <c r="O124" s="52"/>
      <c r="P124" s="52"/>
      <c r="Q124" s="52"/>
      <c r="U124" s="52"/>
    </row>
    <row r="125">
      <c r="M125" s="52"/>
      <c r="N125" s="52"/>
      <c r="O125" s="52"/>
      <c r="P125" s="52"/>
      <c r="Q125" s="52"/>
      <c r="U125" s="52"/>
    </row>
    <row r="126">
      <c r="M126" s="52"/>
      <c r="N126" s="52"/>
      <c r="O126" s="52"/>
      <c r="P126" s="52"/>
      <c r="Q126" s="52"/>
      <c r="U126" s="52"/>
    </row>
    <row r="127">
      <c r="M127" s="52"/>
      <c r="N127" s="52"/>
      <c r="O127" s="52"/>
      <c r="P127" s="52"/>
      <c r="Q127" s="52"/>
      <c r="U127" s="52"/>
    </row>
    <row r="128">
      <c r="M128" s="52"/>
      <c r="N128" s="52"/>
      <c r="O128" s="52"/>
      <c r="P128" s="52"/>
      <c r="Q128" s="52"/>
      <c r="U128" s="52"/>
    </row>
    <row r="129">
      <c r="M129" s="52"/>
      <c r="N129" s="52"/>
      <c r="O129" s="52"/>
      <c r="P129" s="52"/>
      <c r="Q129" s="52"/>
      <c r="U129" s="52"/>
    </row>
    <row r="130">
      <c r="M130" s="52"/>
      <c r="N130" s="52"/>
      <c r="O130" s="52"/>
      <c r="P130" s="52"/>
      <c r="Q130" s="52"/>
      <c r="U130" s="52"/>
    </row>
    <row r="131">
      <c r="M131" s="52"/>
      <c r="N131" s="52"/>
      <c r="O131" s="52"/>
      <c r="P131" s="52"/>
      <c r="Q131" s="52"/>
      <c r="U131" s="52"/>
    </row>
    <row r="132">
      <c r="M132" s="52"/>
      <c r="N132" s="52"/>
      <c r="O132" s="52"/>
      <c r="P132" s="52"/>
      <c r="Q132" s="52"/>
      <c r="U132" s="52"/>
    </row>
    <row r="133">
      <c r="M133" s="52"/>
      <c r="N133" s="52"/>
      <c r="O133" s="52"/>
      <c r="P133" s="52"/>
      <c r="Q133" s="52"/>
      <c r="U133" s="52"/>
    </row>
    <row r="134">
      <c r="M134" s="52"/>
      <c r="N134" s="52"/>
      <c r="O134" s="52"/>
      <c r="P134" s="52"/>
      <c r="Q134" s="52"/>
      <c r="U134" s="52"/>
    </row>
    <row r="135">
      <c r="M135" s="52"/>
      <c r="N135" s="52"/>
      <c r="O135" s="52"/>
      <c r="P135" s="52"/>
      <c r="Q135" s="52"/>
      <c r="U135" s="52"/>
    </row>
    <row r="136">
      <c r="M136" s="52"/>
      <c r="N136" s="52"/>
      <c r="O136" s="52"/>
      <c r="P136" s="52"/>
      <c r="Q136" s="52"/>
      <c r="U136" s="52"/>
    </row>
    <row r="137">
      <c r="M137" s="52"/>
      <c r="N137" s="52"/>
      <c r="O137" s="52"/>
      <c r="P137" s="52"/>
      <c r="Q137" s="52"/>
      <c r="U137" s="52"/>
    </row>
    <row r="138">
      <c r="M138" s="52"/>
      <c r="N138" s="52"/>
      <c r="O138" s="52"/>
      <c r="P138" s="52"/>
      <c r="Q138" s="52"/>
      <c r="U138" s="52"/>
    </row>
    <row r="139">
      <c r="M139" s="52"/>
      <c r="N139" s="52"/>
      <c r="O139" s="52"/>
      <c r="P139" s="52"/>
      <c r="Q139" s="52"/>
      <c r="U139" s="52"/>
    </row>
    <row r="140">
      <c r="M140" s="52"/>
      <c r="N140" s="52"/>
      <c r="O140" s="52"/>
      <c r="P140" s="52"/>
      <c r="Q140" s="52"/>
      <c r="U140" s="52"/>
    </row>
    <row r="141">
      <c r="M141" s="52"/>
      <c r="N141" s="52"/>
      <c r="O141" s="52"/>
      <c r="P141" s="52"/>
      <c r="Q141" s="52"/>
      <c r="U141" s="52"/>
    </row>
    <row r="142">
      <c r="M142" s="52"/>
      <c r="N142" s="52"/>
      <c r="O142" s="52"/>
      <c r="P142" s="52"/>
      <c r="Q142" s="52"/>
      <c r="U142" s="52"/>
    </row>
    <row r="143">
      <c r="M143" s="52"/>
      <c r="N143" s="52"/>
      <c r="O143" s="52"/>
      <c r="P143" s="52"/>
      <c r="Q143" s="52"/>
      <c r="U143" s="52"/>
    </row>
    <row r="144">
      <c r="M144" s="52"/>
      <c r="N144" s="52"/>
      <c r="O144" s="52"/>
      <c r="P144" s="52"/>
      <c r="Q144" s="52"/>
      <c r="U144" s="52"/>
    </row>
    <row r="145">
      <c r="M145" s="52"/>
      <c r="N145" s="52"/>
      <c r="O145" s="52"/>
      <c r="P145" s="52"/>
      <c r="Q145" s="52"/>
      <c r="U145" s="52"/>
    </row>
    <row r="146">
      <c r="M146" s="52"/>
      <c r="N146" s="52"/>
      <c r="O146" s="52"/>
      <c r="P146" s="52"/>
      <c r="Q146" s="52"/>
      <c r="U146" s="52"/>
    </row>
    <row r="147">
      <c r="M147" s="52"/>
      <c r="N147" s="52"/>
      <c r="O147" s="52"/>
      <c r="P147" s="52"/>
      <c r="Q147" s="52"/>
      <c r="U147" s="52"/>
    </row>
    <row r="148">
      <c r="M148" s="52"/>
      <c r="N148" s="52"/>
      <c r="O148" s="52"/>
      <c r="P148" s="52"/>
      <c r="Q148" s="52"/>
      <c r="U148" s="52"/>
    </row>
    <row r="149">
      <c r="M149" s="52"/>
      <c r="N149" s="52"/>
      <c r="O149" s="52"/>
      <c r="P149" s="52"/>
      <c r="Q149" s="52"/>
      <c r="U149" s="52"/>
    </row>
    <row r="150">
      <c r="M150" s="52"/>
      <c r="N150" s="52"/>
      <c r="O150" s="52"/>
      <c r="P150" s="52"/>
      <c r="Q150" s="52"/>
      <c r="U150" s="52"/>
    </row>
    <row r="151">
      <c r="M151" s="52"/>
      <c r="N151" s="52"/>
      <c r="O151" s="52"/>
      <c r="P151" s="52"/>
      <c r="Q151" s="52"/>
      <c r="U151" s="52"/>
    </row>
    <row r="152">
      <c r="M152" s="52"/>
      <c r="N152" s="52"/>
      <c r="O152" s="52"/>
      <c r="P152" s="52"/>
      <c r="Q152" s="52"/>
      <c r="U152" s="52"/>
    </row>
    <row r="153">
      <c r="M153" s="52"/>
      <c r="N153" s="52"/>
      <c r="O153" s="52"/>
      <c r="P153" s="52"/>
      <c r="Q153" s="52"/>
      <c r="U153" s="52"/>
    </row>
    <row r="154">
      <c r="M154" s="52"/>
      <c r="N154" s="52"/>
      <c r="O154" s="52"/>
      <c r="P154" s="52"/>
      <c r="Q154" s="52"/>
      <c r="U154" s="52"/>
    </row>
    <row r="155">
      <c r="M155" s="52"/>
      <c r="N155" s="52"/>
      <c r="O155" s="52"/>
      <c r="P155" s="52"/>
      <c r="Q155" s="52"/>
      <c r="U155" s="52"/>
    </row>
    <row r="156">
      <c r="M156" s="52"/>
      <c r="N156" s="52"/>
      <c r="O156" s="52"/>
      <c r="P156" s="52"/>
      <c r="Q156" s="52"/>
      <c r="U156" s="52"/>
    </row>
    <row r="157">
      <c r="M157" s="52"/>
      <c r="N157" s="52"/>
      <c r="O157" s="52"/>
      <c r="P157" s="52"/>
      <c r="Q157" s="52"/>
      <c r="U157" s="52"/>
    </row>
    <row r="158">
      <c r="M158" s="52"/>
      <c r="N158" s="52"/>
      <c r="O158" s="52"/>
      <c r="P158" s="52"/>
      <c r="Q158" s="52"/>
      <c r="U158" s="52"/>
    </row>
    <row r="159">
      <c r="M159" s="52"/>
      <c r="N159" s="52"/>
      <c r="O159" s="52"/>
      <c r="P159" s="52"/>
      <c r="Q159" s="52"/>
      <c r="U159" s="52"/>
    </row>
    <row r="160">
      <c r="M160" s="52"/>
      <c r="N160" s="52"/>
      <c r="O160" s="52"/>
      <c r="P160" s="52"/>
      <c r="Q160" s="52"/>
      <c r="U160" s="52"/>
    </row>
    <row r="161">
      <c r="M161" s="52"/>
      <c r="N161" s="52"/>
      <c r="O161" s="52"/>
      <c r="P161" s="52"/>
      <c r="Q161" s="52"/>
      <c r="U161" s="52"/>
    </row>
    <row r="162">
      <c r="M162" s="52"/>
      <c r="N162" s="52"/>
      <c r="O162" s="52"/>
      <c r="P162" s="52"/>
      <c r="Q162" s="52"/>
      <c r="U162" s="52"/>
    </row>
    <row r="163">
      <c r="M163" s="52"/>
      <c r="N163" s="52"/>
      <c r="O163" s="52"/>
      <c r="P163" s="52"/>
      <c r="Q163" s="52"/>
      <c r="U163" s="52"/>
    </row>
    <row r="164">
      <c r="M164" s="52"/>
      <c r="N164" s="52"/>
      <c r="O164" s="52"/>
      <c r="P164" s="52"/>
      <c r="Q164" s="52"/>
      <c r="U164" s="52"/>
    </row>
    <row r="165">
      <c r="M165" s="52"/>
      <c r="N165" s="52"/>
      <c r="O165" s="52"/>
      <c r="P165" s="52"/>
      <c r="Q165" s="52"/>
      <c r="U165" s="52"/>
    </row>
    <row r="166">
      <c r="M166" s="52"/>
      <c r="N166" s="52"/>
      <c r="O166" s="52"/>
      <c r="P166" s="52"/>
      <c r="Q166" s="52"/>
      <c r="U166" s="52"/>
    </row>
    <row r="167">
      <c r="M167" s="52"/>
      <c r="N167" s="52"/>
      <c r="O167" s="52"/>
      <c r="P167" s="52"/>
      <c r="Q167" s="52"/>
      <c r="U167" s="52"/>
    </row>
    <row r="168">
      <c r="M168" s="52"/>
      <c r="N168" s="52"/>
      <c r="O168" s="52"/>
      <c r="P168" s="52"/>
      <c r="Q168" s="52"/>
      <c r="U168" s="52"/>
    </row>
    <row r="169">
      <c r="M169" s="52"/>
      <c r="N169" s="52"/>
      <c r="O169" s="52"/>
      <c r="P169" s="52"/>
      <c r="Q169" s="52"/>
      <c r="U169" s="52"/>
    </row>
    <row r="170">
      <c r="M170" s="52"/>
      <c r="N170" s="52"/>
      <c r="O170" s="52"/>
      <c r="P170" s="52"/>
      <c r="Q170" s="52"/>
      <c r="U170" s="52"/>
    </row>
    <row r="171">
      <c r="M171" s="52"/>
      <c r="N171" s="52"/>
      <c r="O171" s="52"/>
      <c r="P171" s="52"/>
      <c r="Q171" s="52"/>
      <c r="U171" s="52"/>
    </row>
    <row r="172">
      <c r="M172" s="52"/>
      <c r="N172" s="52"/>
      <c r="O172" s="52"/>
      <c r="P172" s="52"/>
      <c r="Q172" s="52"/>
      <c r="U172" s="52"/>
    </row>
    <row r="173">
      <c r="M173" s="52"/>
      <c r="N173" s="52"/>
      <c r="O173" s="52"/>
      <c r="P173" s="52"/>
      <c r="Q173" s="52"/>
      <c r="U173" s="52"/>
    </row>
    <row r="174">
      <c r="M174" s="52"/>
      <c r="N174" s="52"/>
      <c r="O174" s="52"/>
      <c r="P174" s="52"/>
      <c r="Q174" s="52"/>
      <c r="U174" s="52"/>
    </row>
    <row r="175">
      <c r="M175" s="52"/>
      <c r="N175" s="52"/>
      <c r="O175" s="52"/>
      <c r="P175" s="52"/>
      <c r="Q175" s="52"/>
      <c r="U175" s="52"/>
    </row>
    <row r="176">
      <c r="M176" s="52"/>
      <c r="N176" s="52"/>
      <c r="O176" s="52"/>
      <c r="P176" s="52"/>
      <c r="Q176" s="52"/>
      <c r="U176" s="52"/>
    </row>
    <row r="177">
      <c r="M177" s="52"/>
      <c r="N177" s="52"/>
      <c r="O177" s="52"/>
      <c r="P177" s="52"/>
      <c r="Q177" s="52"/>
      <c r="U177" s="52"/>
    </row>
    <row r="178">
      <c r="M178" s="52"/>
      <c r="N178" s="52"/>
      <c r="O178" s="52"/>
      <c r="P178" s="52"/>
      <c r="Q178" s="52"/>
      <c r="U178" s="52"/>
    </row>
    <row r="179">
      <c r="M179" s="52"/>
      <c r="N179" s="52"/>
      <c r="O179" s="52"/>
      <c r="P179" s="52"/>
      <c r="Q179" s="52"/>
      <c r="U179" s="52"/>
    </row>
    <row r="180">
      <c r="M180" s="52"/>
      <c r="N180" s="52"/>
      <c r="O180" s="52"/>
      <c r="P180" s="52"/>
      <c r="Q180" s="52"/>
      <c r="U180" s="52"/>
    </row>
    <row r="181">
      <c r="M181" s="52"/>
      <c r="N181" s="52"/>
      <c r="O181" s="52"/>
      <c r="P181" s="52"/>
      <c r="Q181" s="52"/>
      <c r="U181" s="52"/>
    </row>
    <row r="182">
      <c r="M182" s="52"/>
      <c r="N182" s="52"/>
      <c r="O182" s="52"/>
      <c r="P182" s="52"/>
      <c r="Q182" s="52"/>
      <c r="U182" s="52"/>
    </row>
    <row r="183">
      <c r="M183" s="52"/>
      <c r="N183" s="52"/>
      <c r="O183" s="52"/>
      <c r="P183" s="52"/>
      <c r="Q183" s="52"/>
      <c r="U183" s="52"/>
    </row>
    <row r="184">
      <c r="M184" s="52"/>
      <c r="N184" s="52"/>
      <c r="O184" s="52"/>
      <c r="P184" s="52"/>
      <c r="Q184" s="52"/>
      <c r="U184" s="52"/>
    </row>
    <row r="185">
      <c r="M185" s="52"/>
      <c r="N185" s="52"/>
      <c r="O185" s="52"/>
      <c r="P185" s="52"/>
      <c r="Q185" s="52"/>
      <c r="U185" s="52"/>
    </row>
    <row r="186">
      <c r="M186" s="52"/>
      <c r="N186" s="52"/>
      <c r="O186" s="52"/>
      <c r="P186" s="52"/>
      <c r="Q186" s="52"/>
      <c r="U186" s="52"/>
    </row>
    <row r="187">
      <c r="M187" s="52"/>
      <c r="N187" s="52"/>
      <c r="O187" s="52"/>
      <c r="P187" s="52"/>
      <c r="Q187" s="52"/>
      <c r="U187" s="52"/>
    </row>
    <row r="188">
      <c r="M188" s="52"/>
      <c r="N188" s="52"/>
      <c r="O188" s="52"/>
      <c r="P188" s="52"/>
      <c r="Q188" s="52"/>
      <c r="U188" s="52"/>
    </row>
    <row r="189">
      <c r="M189" s="52"/>
      <c r="N189" s="52"/>
      <c r="O189" s="52"/>
      <c r="P189" s="52"/>
      <c r="Q189" s="52"/>
      <c r="U189" s="52"/>
    </row>
    <row r="190">
      <c r="M190" s="52"/>
      <c r="N190" s="52"/>
      <c r="O190" s="52"/>
      <c r="P190" s="52"/>
      <c r="Q190" s="52"/>
      <c r="U190" s="52"/>
    </row>
    <row r="191">
      <c r="M191" s="52"/>
      <c r="N191" s="52"/>
      <c r="O191" s="52"/>
      <c r="P191" s="52"/>
      <c r="Q191" s="52"/>
      <c r="U191" s="52"/>
    </row>
    <row r="192">
      <c r="M192" s="52"/>
      <c r="N192" s="52"/>
      <c r="O192" s="52"/>
      <c r="P192" s="52"/>
      <c r="Q192" s="52"/>
      <c r="U192" s="52"/>
    </row>
    <row r="193">
      <c r="M193" s="52"/>
      <c r="N193" s="52"/>
      <c r="O193" s="52"/>
      <c r="P193" s="52"/>
      <c r="Q193" s="52"/>
      <c r="U193" s="52"/>
    </row>
    <row r="194">
      <c r="M194" s="52"/>
      <c r="N194" s="52"/>
      <c r="O194" s="52"/>
      <c r="P194" s="52"/>
      <c r="Q194" s="52"/>
      <c r="U194" s="52"/>
    </row>
    <row r="195">
      <c r="M195" s="52"/>
      <c r="N195" s="52"/>
      <c r="O195" s="52"/>
      <c r="P195" s="52"/>
      <c r="Q195" s="52"/>
      <c r="U195" s="52"/>
    </row>
    <row r="196">
      <c r="M196" s="52"/>
      <c r="N196" s="52"/>
      <c r="O196" s="52"/>
      <c r="P196" s="52"/>
      <c r="Q196" s="52"/>
      <c r="U196" s="52"/>
    </row>
    <row r="197">
      <c r="M197" s="52"/>
      <c r="N197" s="52"/>
      <c r="O197" s="52"/>
      <c r="P197" s="52"/>
      <c r="Q197" s="52"/>
      <c r="U197" s="52"/>
    </row>
    <row r="198">
      <c r="M198" s="52"/>
      <c r="N198" s="52"/>
      <c r="O198" s="52"/>
      <c r="P198" s="52"/>
      <c r="Q198" s="52"/>
      <c r="U198" s="52"/>
    </row>
    <row r="199">
      <c r="M199" s="52"/>
      <c r="N199" s="52"/>
      <c r="O199" s="52"/>
      <c r="P199" s="52"/>
      <c r="Q199" s="52"/>
      <c r="U199" s="52"/>
    </row>
    <row r="200">
      <c r="M200" s="52"/>
      <c r="N200" s="52"/>
      <c r="O200" s="52"/>
      <c r="P200" s="52"/>
      <c r="Q200" s="52"/>
      <c r="U200" s="52"/>
    </row>
    <row r="201">
      <c r="M201" s="52"/>
      <c r="N201" s="52"/>
      <c r="O201" s="52"/>
      <c r="P201" s="52"/>
      <c r="Q201" s="52"/>
      <c r="U201" s="52"/>
    </row>
    <row r="202">
      <c r="M202" s="52"/>
      <c r="N202" s="52"/>
      <c r="O202" s="52"/>
      <c r="P202" s="52"/>
      <c r="Q202" s="52"/>
      <c r="U202" s="52"/>
    </row>
    <row r="203">
      <c r="M203" s="52"/>
      <c r="N203" s="52"/>
      <c r="O203" s="52"/>
      <c r="P203" s="52"/>
      <c r="Q203" s="52"/>
      <c r="U203" s="52"/>
    </row>
    <row r="204">
      <c r="M204" s="52"/>
      <c r="N204" s="52"/>
      <c r="O204" s="52"/>
      <c r="P204" s="52"/>
      <c r="Q204" s="52"/>
      <c r="U204" s="52"/>
    </row>
    <row r="205">
      <c r="M205" s="52"/>
      <c r="N205" s="52"/>
      <c r="O205" s="52"/>
      <c r="P205" s="52"/>
      <c r="Q205" s="52"/>
      <c r="U205" s="52"/>
    </row>
    <row r="206">
      <c r="M206" s="52"/>
      <c r="N206" s="52"/>
      <c r="O206" s="52"/>
      <c r="P206" s="52"/>
      <c r="Q206" s="52"/>
      <c r="U206" s="52"/>
    </row>
    <row r="207">
      <c r="M207" s="52"/>
      <c r="N207" s="52"/>
      <c r="O207" s="52"/>
      <c r="P207" s="52"/>
      <c r="Q207" s="52"/>
      <c r="U207" s="52"/>
    </row>
    <row r="208">
      <c r="M208" s="52"/>
      <c r="N208" s="52"/>
      <c r="O208" s="52"/>
      <c r="P208" s="52"/>
      <c r="Q208" s="52"/>
      <c r="U208" s="52"/>
    </row>
    <row r="209">
      <c r="M209" s="52"/>
      <c r="N209" s="52"/>
      <c r="O209" s="52"/>
      <c r="P209" s="52"/>
      <c r="Q209" s="52"/>
      <c r="U209" s="52"/>
    </row>
    <row r="210">
      <c r="M210" s="52"/>
      <c r="N210" s="52"/>
      <c r="O210" s="52"/>
      <c r="P210" s="52"/>
      <c r="Q210" s="52"/>
      <c r="U210" s="52"/>
    </row>
    <row r="211">
      <c r="M211" s="52"/>
      <c r="N211" s="52"/>
      <c r="O211" s="52"/>
      <c r="P211" s="52"/>
      <c r="Q211" s="52"/>
      <c r="U211" s="52"/>
    </row>
    <row r="212">
      <c r="M212" s="52"/>
      <c r="N212" s="52"/>
      <c r="O212" s="52"/>
      <c r="P212" s="52"/>
      <c r="Q212" s="52"/>
      <c r="U212" s="52"/>
    </row>
    <row r="213">
      <c r="M213" s="52"/>
      <c r="N213" s="52"/>
      <c r="O213" s="52"/>
      <c r="P213" s="52"/>
      <c r="Q213" s="52"/>
      <c r="U213" s="52"/>
    </row>
    <row r="214">
      <c r="M214" s="52"/>
      <c r="N214" s="52"/>
      <c r="O214" s="52"/>
      <c r="P214" s="52"/>
      <c r="Q214" s="52"/>
      <c r="U214" s="52"/>
    </row>
    <row r="215">
      <c r="M215" s="52"/>
      <c r="N215" s="52"/>
      <c r="O215" s="52"/>
      <c r="P215" s="52"/>
      <c r="Q215" s="52"/>
      <c r="U215" s="52"/>
    </row>
    <row r="216">
      <c r="M216" s="52"/>
      <c r="N216" s="52"/>
      <c r="O216" s="52"/>
      <c r="P216" s="52"/>
      <c r="Q216" s="52"/>
      <c r="U216" s="52"/>
    </row>
    <row r="217">
      <c r="M217" s="52"/>
      <c r="N217" s="52"/>
      <c r="O217" s="52"/>
      <c r="P217" s="52"/>
      <c r="Q217" s="52"/>
      <c r="U217" s="52"/>
    </row>
    <row r="218">
      <c r="M218" s="52"/>
      <c r="N218" s="52"/>
      <c r="O218" s="52"/>
      <c r="P218" s="52"/>
      <c r="Q218" s="52"/>
      <c r="U218" s="52"/>
    </row>
    <row r="219">
      <c r="M219" s="52"/>
      <c r="N219" s="52"/>
      <c r="O219" s="52"/>
      <c r="P219" s="52"/>
      <c r="Q219" s="52"/>
      <c r="U219" s="52"/>
    </row>
    <row r="220">
      <c r="M220" s="52"/>
      <c r="N220" s="52"/>
      <c r="O220" s="52"/>
      <c r="P220" s="52"/>
      <c r="Q220" s="52"/>
      <c r="U220" s="52"/>
    </row>
    <row r="221">
      <c r="M221" s="52"/>
      <c r="N221" s="52"/>
      <c r="O221" s="52"/>
      <c r="P221" s="52"/>
      <c r="Q221" s="52"/>
      <c r="U221" s="52"/>
    </row>
    <row r="222">
      <c r="M222" s="52"/>
      <c r="N222" s="52"/>
      <c r="O222" s="52"/>
      <c r="P222" s="52"/>
      <c r="Q222" s="52"/>
      <c r="U222" s="52"/>
    </row>
    <row r="223">
      <c r="M223" s="52"/>
      <c r="N223" s="52"/>
      <c r="O223" s="52"/>
      <c r="P223" s="52"/>
      <c r="Q223" s="52"/>
      <c r="U223" s="52"/>
    </row>
    <row r="224">
      <c r="M224" s="52"/>
      <c r="N224" s="52"/>
      <c r="O224" s="52"/>
      <c r="P224" s="52"/>
      <c r="Q224" s="52"/>
      <c r="U224" s="52"/>
    </row>
    <row r="225">
      <c r="M225" s="52"/>
      <c r="N225" s="52"/>
      <c r="O225" s="52"/>
      <c r="P225" s="52"/>
      <c r="Q225" s="52"/>
      <c r="U225" s="52"/>
    </row>
    <row r="226">
      <c r="M226" s="52"/>
      <c r="N226" s="52"/>
      <c r="O226" s="52"/>
      <c r="P226" s="52"/>
      <c r="Q226" s="52"/>
      <c r="U226" s="52"/>
    </row>
    <row r="227">
      <c r="M227" s="52"/>
      <c r="N227" s="52"/>
      <c r="O227" s="52"/>
      <c r="P227" s="52"/>
      <c r="Q227" s="52"/>
      <c r="U227" s="52"/>
    </row>
    <row r="228">
      <c r="M228" s="52"/>
      <c r="N228" s="52"/>
      <c r="O228" s="52"/>
      <c r="P228" s="52"/>
      <c r="Q228" s="52"/>
      <c r="U228" s="52"/>
    </row>
    <row r="229">
      <c r="M229" s="52"/>
      <c r="N229" s="52"/>
      <c r="O229" s="52"/>
      <c r="P229" s="52"/>
      <c r="Q229" s="52"/>
      <c r="U229" s="52"/>
    </row>
    <row r="230">
      <c r="M230" s="52"/>
      <c r="N230" s="52"/>
      <c r="O230" s="52"/>
      <c r="P230" s="52"/>
      <c r="Q230" s="52"/>
      <c r="U230" s="52"/>
    </row>
    <row r="231">
      <c r="M231" s="52"/>
      <c r="N231" s="52"/>
      <c r="O231" s="52"/>
      <c r="P231" s="52"/>
      <c r="Q231" s="52"/>
      <c r="U231" s="52"/>
    </row>
    <row r="232">
      <c r="M232" s="52"/>
      <c r="N232" s="52"/>
      <c r="O232" s="52"/>
      <c r="P232" s="52"/>
      <c r="Q232" s="52"/>
      <c r="U232" s="52"/>
    </row>
    <row r="233">
      <c r="M233" s="52"/>
      <c r="N233" s="52"/>
      <c r="O233" s="52"/>
      <c r="P233" s="52"/>
      <c r="Q233" s="52"/>
      <c r="U233" s="52"/>
    </row>
    <row r="234">
      <c r="M234" s="52"/>
      <c r="N234" s="52"/>
      <c r="O234" s="52"/>
      <c r="P234" s="52"/>
      <c r="Q234" s="52"/>
      <c r="U234" s="52"/>
    </row>
    <row r="235">
      <c r="M235" s="52"/>
      <c r="N235" s="52"/>
      <c r="O235" s="52"/>
      <c r="P235" s="52"/>
      <c r="Q235" s="52"/>
      <c r="U235" s="52"/>
    </row>
    <row r="236">
      <c r="M236" s="52"/>
      <c r="N236" s="52"/>
      <c r="O236" s="52"/>
      <c r="P236" s="52"/>
      <c r="Q236" s="52"/>
      <c r="U236" s="52"/>
    </row>
    <row r="237">
      <c r="M237" s="52"/>
      <c r="N237" s="52"/>
      <c r="O237" s="52"/>
      <c r="P237" s="52"/>
      <c r="Q237" s="52"/>
      <c r="U237" s="52"/>
    </row>
    <row r="238">
      <c r="M238" s="52"/>
      <c r="N238" s="52"/>
      <c r="O238" s="52"/>
      <c r="P238" s="52"/>
      <c r="Q238" s="52"/>
      <c r="U238" s="52"/>
    </row>
    <row r="239">
      <c r="M239" s="52"/>
      <c r="N239" s="52"/>
      <c r="O239" s="52"/>
      <c r="P239" s="52"/>
      <c r="Q239" s="52"/>
      <c r="U239" s="52"/>
    </row>
    <row r="240">
      <c r="M240" s="52"/>
      <c r="N240" s="52"/>
      <c r="O240" s="52"/>
      <c r="P240" s="52"/>
      <c r="Q240" s="52"/>
      <c r="U240" s="52"/>
    </row>
    <row r="241">
      <c r="M241" s="52"/>
      <c r="N241" s="52"/>
      <c r="O241" s="52"/>
      <c r="P241" s="52"/>
      <c r="Q241" s="52"/>
      <c r="U241" s="52"/>
    </row>
    <row r="242">
      <c r="M242" s="52"/>
      <c r="N242" s="52"/>
      <c r="O242" s="52"/>
      <c r="P242" s="52"/>
      <c r="Q242" s="52"/>
      <c r="U242" s="52"/>
    </row>
    <row r="243">
      <c r="M243" s="52"/>
      <c r="N243" s="52"/>
      <c r="O243" s="52"/>
      <c r="P243" s="52"/>
      <c r="Q243" s="52"/>
      <c r="U243" s="52"/>
    </row>
    <row r="244">
      <c r="M244" s="52"/>
      <c r="N244" s="52"/>
      <c r="O244" s="52"/>
      <c r="P244" s="52"/>
      <c r="Q244" s="52"/>
      <c r="U244" s="52"/>
    </row>
    <row r="245">
      <c r="M245" s="52"/>
      <c r="N245" s="52"/>
      <c r="O245" s="52"/>
      <c r="P245" s="52"/>
      <c r="Q245" s="52"/>
      <c r="U245" s="52"/>
    </row>
    <row r="246">
      <c r="M246" s="52"/>
      <c r="N246" s="52"/>
      <c r="O246" s="52"/>
      <c r="P246" s="52"/>
      <c r="Q246" s="52"/>
      <c r="U246" s="52"/>
    </row>
    <row r="247">
      <c r="M247" s="52"/>
      <c r="N247" s="52"/>
      <c r="O247" s="52"/>
      <c r="P247" s="52"/>
      <c r="Q247" s="52"/>
      <c r="U247" s="52"/>
    </row>
    <row r="248">
      <c r="M248" s="52"/>
      <c r="N248" s="52"/>
      <c r="O248" s="52"/>
      <c r="P248" s="52"/>
      <c r="Q248" s="52"/>
      <c r="U248" s="52"/>
    </row>
    <row r="249">
      <c r="M249" s="52"/>
      <c r="N249" s="52"/>
      <c r="O249" s="52"/>
      <c r="P249" s="52"/>
      <c r="Q249" s="52"/>
      <c r="U249" s="52"/>
    </row>
    <row r="250">
      <c r="M250" s="52"/>
      <c r="N250" s="52"/>
      <c r="O250" s="52"/>
      <c r="P250" s="52"/>
      <c r="Q250" s="52"/>
      <c r="U250" s="52"/>
    </row>
    <row r="251">
      <c r="M251" s="52"/>
      <c r="N251" s="52"/>
      <c r="O251" s="52"/>
      <c r="P251" s="52"/>
      <c r="Q251" s="52"/>
      <c r="U251" s="52"/>
    </row>
    <row r="252">
      <c r="M252" s="52"/>
      <c r="N252" s="52"/>
      <c r="O252" s="52"/>
      <c r="P252" s="52"/>
      <c r="Q252" s="52"/>
      <c r="U252" s="52"/>
    </row>
    <row r="253">
      <c r="M253" s="52"/>
      <c r="N253" s="52"/>
      <c r="O253" s="52"/>
      <c r="P253" s="52"/>
      <c r="Q253" s="52"/>
      <c r="U253" s="52"/>
    </row>
    <row r="254">
      <c r="M254" s="52"/>
      <c r="N254" s="52"/>
      <c r="O254" s="52"/>
      <c r="P254" s="52"/>
      <c r="Q254" s="52"/>
      <c r="U254" s="52"/>
    </row>
    <row r="255">
      <c r="M255" s="52"/>
      <c r="N255" s="52"/>
      <c r="O255" s="52"/>
      <c r="P255" s="52"/>
      <c r="Q255" s="52"/>
      <c r="U255" s="52"/>
    </row>
    <row r="256">
      <c r="M256" s="52"/>
      <c r="N256" s="52"/>
      <c r="O256" s="52"/>
      <c r="P256" s="52"/>
      <c r="Q256" s="52"/>
      <c r="U256" s="52"/>
    </row>
    <row r="257">
      <c r="M257" s="52"/>
      <c r="N257" s="52"/>
      <c r="O257" s="52"/>
      <c r="P257" s="52"/>
      <c r="Q257" s="52"/>
      <c r="U257" s="52"/>
    </row>
    <row r="258">
      <c r="M258" s="52"/>
      <c r="N258" s="52"/>
      <c r="O258" s="52"/>
      <c r="P258" s="52"/>
      <c r="Q258" s="52"/>
      <c r="U258" s="52"/>
    </row>
    <row r="259">
      <c r="M259" s="52"/>
      <c r="N259" s="52"/>
      <c r="O259" s="52"/>
      <c r="P259" s="52"/>
      <c r="Q259" s="52"/>
      <c r="U259" s="52"/>
    </row>
    <row r="260">
      <c r="M260" s="52"/>
      <c r="N260" s="52"/>
      <c r="O260" s="52"/>
      <c r="P260" s="52"/>
      <c r="Q260" s="52"/>
      <c r="U260" s="52"/>
    </row>
    <row r="261">
      <c r="M261" s="52"/>
      <c r="N261" s="52"/>
      <c r="O261" s="52"/>
      <c r="P261" s="52"/>
      <c r="Q261" s="52"/>
      <c r="U261" s="52"/>
    </row>
    <row r="262">
      <c r="M262" s="52"/>
      <c r="N262" s="52"/>
      <c r="O262" s="52"/>
      <c r="P262" s="52"/>
      <c r="Q262" s="52"/>
      <c r="U262" s="52"/>
    </row>
    <row r="263">
      <c r="M263" s="52"/>
      <c r="N263" s="52"/>
      <c r="O263" s="52"/>
      <c r="P263" s="52"/>
      <c r="Q263" s="52"/>
      <c r="U263" s="52"/>
    </row>
    <row r="264">
      <c r="M264" s="52"/>
      <c r="N264" s="52"/>
      <c r="O264" s="52"/>
      <c r="P264" s="52"/>
      <c r="Q264" s="52"/>
      <c r="U264" s="52"/>
    </row>
    <row r="265">
      <c r="M265" s="52"/>
      <c r="N265" s="52"/>
      <c r="O265" s="52"/>
      <c r="P265" s="52"/>
      <c r="Q265" s="52"/>
      <c r="U265" s="52"/>
    </row>
    <row r="266">
      <c r="M266" s="52"/>
      <c r="N266" s="52"/>
      <c r="O266" s="52"/>
      <c r="P266" s="52"/>
      <c r="Q266" s="52"/>
      <c r="U266" s="52"/>
    </row>
    <row r="267">
      <c r="M267" s="52"/>
      <c r="N267" s="52"/>
      <c r="O267" s="52"/>
      <c r="P267" s="52"/>
      <c r="Q267" s="52"/>
      <c r="U267" s="52"/>
    </row>
    <row r="268">
      <c r="M268" s="52"/>
      <c r="N268" s="52"/>
      <c r="O268" s="52"/>
      <c r="P268" s="52"/>
      <c r="Q268" s="52"/>
      <c r="U268" s="52"/>
    </row>
    <row r="269">
      <c r="M269" s="52"/>
      <c r="N269" s="52"/>
      <c r="O269" s="52"/>
      <c r="P269" s="52"/>
      <c r="Q269" s="52"/>
      <c r="U269" s="52"/>
    </row>
    <row r="270">
      <c r="M270" s="52"/>
      <c r="N270" s="52"/>
      <c r="O270" s="52"/>
      <c r="P270" s="52"/>
      <c r="Q270" s="52"/>
      <c r="U270" s="52"/>
    </row>
    <row r="271">
      <c r="M271" s="52"/>
      <c r="N271" s="52"/>
      <c r="O271" s="52"/>
      <c r="P271" s="52"/>
      <c r="Q271" s="52"/>
      <c r="U271" s="52"/>
    </row>
    <row r="272">
      <c r="M272" s="52"/>
      <c r="N272" s="52"/>
      <c r="O272" s="52"/>
      <c r="P272" s="52"/>
      <c r="Q272" s="52"/>
      <c r="U272" s="52"/>
    </row>
    <row r="273">
      <c r="M273" s="52"/>
      <c r="N273" s="52"/>
      <c r="O273" s="52"/>
      <c r="P273" s="52"/>
      <c r="Q273" s="52"/>
      <c r="U273" s="52"/>
    </row>
    <row r="274">
      <c r="M274" s="52"/>
      <c r="N274" s="52"/>
      <c r="O274" s="52"/>
      <c r="P274" s="52"/>
      <c r="Q274" s="52"/>
      <c r="U274" s="52"/>
    </row>
    <row r="275">
      <c r="M275" s="52"/>
      <c r="N275" s="52"/>
      <c r="O275" s="52"/>
      <c r="P275" s="52"/>
      <c r="Q275" s="52"/>
      <c r="U275" s="52"/>
    </row>
    <row r="276">
      <c r="M276" s="52"/>
      <c r="N276" s="52"/>
      <c r="O276" s="52"/>
      <c r="P276" s="52"/>
      <c r="Q276" s="52"/>
      <c r="U276" s="52"/>
    </row>
    <row r="277">
      <c r="M277" s="52"/>
      <c r="N277" s="52"/>
      <c r="O277" s="52"/>
      <c r="P277" s="52"/>
      <c r="Q277" s="52"/>
      <c r="U277" s="52"/>
    </row>
    <row r="278">
      <c r="M278" s="52"/>
      <c r="N278" s="52"/>
      <c r="O278" s="52"/>
      <c r="P278" s="52"/>
      <c r="Q278" s="52"/>
      <c r="U278" s="52"/>
    </row>
    <row r="279">
      <c r="M279" s="52"/>
      <c r="N279" s="52"/>
      <c r="O279" s="52"/>
      <c r="P279" s="52"/>
      <c r="Q279" s="52"/>
      <c r="U279" s="52"/>
    </row>
    <row r="280">
      <c r="M280" s="52"/>
      <c r="N280" s="52"/>
      <c r="O280" s="52"/>
      <c r="P280" s="52"/>
      <c r="Q280" s="52"/>
      <c r="U280" s="52"/>
    </row>
    <row r="281">
      <c r="M281" s="52"/>
      <c r="N281" s="52"/>
      <c r="O281" s="52"/>
      <c r="P281" s="52"/>
      <c r="Q281" s="52"/>
      <c r="U281" s="52"/>
    </row>
    <row r="282">
      <c r="M282" s="52"/>
      <c r="N282" s="52"/>
      <c r="O282" s="52"/>
      <c r="P282" s="52"/>
      <c r="Q282" s="52"/>
      <c r="U282" s="52"/>
    </row>
    <row r="283">
      <c r="M283" s="52"/>
      <c r="N283" s="52"/>
      <c r="O283" s="52"/>
      <c r="P283" s="52"/>
      <c r="Q283" s="52"/>
      <c r="U283" s="52"/>
    </row>
    <row r="284">
      <c r="M284" s="52"/>
      <c r="N284" s="52"/>
      <c r="O284" s="52"/>
      <c r="P284" s="52"/>
      <c r="Q284" s="52"/>
      <c r="U284" s="52"/>
    </row>
    <row r="285">
      <c r="M285" s="52"/>
      <c r="N285" s="52"/>
      <c r="O285" s="52"/>
      <c r="P285" s="52"/>
      <c r="Q285" s="52"/>
      <c r="U285" s="52"/>
    </row>
    <row r="286">
      <c r="M286" s="52"/>
      <c r="N286" s="52"/>
      <c r="O286" s="52"/>
      <c r="P286" s="52"/>
      <c r="Q286" s="52"/>
      <c r="U286" s="52"/>
    </row>
    <row r="287">
      <c r="M287" s="52"/>
      <c r="N287" s="52"/>
      <c r="O287" s="52"/>
      <c r="P287" s="52"/>
      <c r="Q287" s="52"/>
      <c r="U287" s="52"/>
    </row>
    <row r="288">
      <c r="M288" s="52"/>
      <c r="N288" s="52"/>
      <c r="O288" s="52"/>
      <c r="P288" s="52"/>
      <c r="Q288" s="52"/>
      <c r="U288" s="52"/>
    </row>
    <row r="289">
      <c r="M289" s="52"/>
      <c r="N289" s="52"/>
      <c r="O289" s="52"/>
      <c r="P289" s="52"/>
      <c r="Q289" s="52"/>
      <c r="U289" s="52"/>
    </row>
    <row r="290">
      <c r="M290" s="52"/>
      <c r="N290" s="52"/>
      <c r="O290" s="52"/>
      <c r="P290" s="52"/>
      <c r="Q290" s="52"/>
      <c r="U290" s="52"/>
    </row>
    <row r="291">
      <c r="M291" s="52"/>
      <c r="N291" s="52"/>
      <c r="O291" s="52"/>
      <c r="P291" s="52"/>
      <c r="Q291" s="52"/>
      <c r="U291" s="52"/>
    </row>
    <row r="292">
      <c r="M292" s="52"/>
      <c r="N292" s="52"/>
      <c r="O292" s="52"/>
      <c r="P292" s="52"/>
      <c r="Q292" s="52"/>
      <c r="U292" s="52"/>
    </row>
    <row r="293">
      <c r="M293" s="52"/>
      <c r="N293" s="52"/>
      <c r="O293" s="52"/>
      <c r="P293" s="52"/>
      <c r="Q293" s="52"/>
      <c r="U293" s="52"/>
    </row>
    <row r="294">
      <c r="M294" s="52"/>
      <c r="N294" s="52"/>
      <c r="O294" s="52"/>
      <c r="P294" s="52"/>
      <c r="Q294" s="52"/>
      <c r="U294" s="52"/>
    </row>
    <row r="295">
      <c r="M295" s="52"/>
      <c r="N295" s="52"/>
      <c r="O295" s="52"/>
      <c r="P295" s="52"/>
      <c r="Q295" s="52"/>
      <c r="U295" s="52"/>
    </row>
    <row r="296">
      <c r="M296" s="52"/>
      <c r="N296" s="52"/>
      <c r="O296" s="52"/>
      <c r="P296" s="52"/>
      <c r="Q296" s="52"/>
      <c r="U296" s="52"/>
    </row>
    <row r="297">
      <c r="M297" s="52"/>
      <c r="N297" s="52"/>
      <c r="O297" s="52"/>
      <c r="P297" s="52"/>
      <c r="Q297" s="52"/>
      <c r="U297" s="52"/>
    </row>
    <row r="298">
      <c r="M298" s="52"/>
      <c r="N298" s="52"/>
      <c r="O298" s="52"/>
      <c r="P298" s="52"/>
      <c r="Q298" s="52"/>
      <c r="U298" s="52"/>
    </row>
    <row r="299">
      <c r="M299" s="52"/>
      <c r="N299" s="52"/>
      <c r="O299" s="52"/>
      <c r="P299" s="52"/>
      <c r="Q299" s="52"/>
      <c r="U299" s="52"/>
    </row>
    <row r="300">
      <c r="M300" s="52"/>
      <c r="N300" s="52"/>
      <c r="O300" s="52"/>
      <c r="P300" s="52"/>
      <c r="Q300" s="52"/>
      <c r="U300" s="52"/>
    </row>
    <row r="301">
      <c r="M301" s="52"/>
      <c r="N301" s="52"/>
      <c r="O301" s="52"/>
      <c r="P301" s="52"/>
      <c r="Q301" s="52"/>
      <c r="U301" s="52"/>
    </row>
    <row r="302">
      <c r="M302" s="52"/>
      <c r="N302" s="52"/>
      <c r="O302" s="52"/>
      <c r="P302" s="52"/>
      <c r="Q302" s="52"/>
      <c r="U302" s="52"/>
    </row>
    <row r="303">
      <c r="M303" s="52"/>
      <c r="N303" s="52"/>
      <c r="O303" s="52"/>
      <c r="P303" s="52"/>
      <c r="Q303" s="52"/>
      <c r="U303" s="52"/>
    </row>
    <row r="304">
      <c r="M304" s="52"/>
      <c r="N304" s="52"/>
      <c r="O304" s="52"/>
      <c r="P304" s="52"/>
      <c r="Q304" s="52"/>
      <c r="U304" s="52"/>
    </row>
    <row r="305">
      <c r="M305" s="52"/>
      <c r="N305" s="52"/>
      <c r="O305" s="52"/>
      <c r="P305" s="52"/>
      <c r="Q305" s="52"/>
      <c r="U305" s="52"/>
    </row>
    <row r="306">
      <c r="M306" s="52"/>
      <c r="N306" s="52"/>
      <c r="O306" s="52"/>
      <c r="P306" s="52"/>
      <c r="Q306" s="52"/>
      <c r="U306" s="52"/>
    </row>
    <row r="307">
      <c r="M307" s="52"/>
      <c r="N307" s="52"/>
      <c r="O307" s="52"/>
      <c r="P307" s="52"/>
      <c r="Q307" s="52"/>
      <c r="U307" s="52"/>
    </row>
    <row r="308">
      <c r="M308" s="52"/>
      <c r="N308" s="52"/>
      <c r="O308" s="52"/>
      <c r="P308" s="52"/>
      <c r="Q308" s="52"/>
      <c r="U308" s="52"/>
    </row>
    <row r="309">
      <c r="M309" s="52"/>
      <c r="N309" s="52"/>
      <c r="O309" s="52"/>
      <c r="P309" s="52"/>
      <c r="Q309" s="52"/>
      <c r="U309" s="52"/>
    </row>
    <row r="310">
      <c r="M310" s="52"/>
      <c r="N310" s="52"/>
      <c r="O310" s="52"/>
      <c r="P310" s="52"/>
      <c r="Q310" s="52"/>
      <c r="U310" s="52"/>
    </row>
    <row r="311">
      <c r="M311" s="52"/>
      <c r="N311" s="52"/>
      <c r="O311" s="52"/>
      <c r="P311" s="52"/>
      <c r="Q311" s="52"/>
      <c r="U311" s="52"/>
    </row>
    <row r="312">
      <c r="M312" s="52"/>
      <c r="N312" s="52"/>
      <c r="O312" s="52"/>
      <c r="P312" s="52"/>
      <c r="Q312" s="52"/>
      <c r="U312" s="52"/>
    </row>
    <row r="313">
      <c r="M313" s="52"/>
      <c r="N313" s="52"/>
      <c r="O313" s="52"/>
      <c r="P313" s="52"/>
      <c r="Q313" s="52"/>
      <c r="U313" s="52"/>
    </row>
    <row r="314">
      <c r="M314" s="52"/>
      <c r="N314" s="52"/>
      <c r="O314" s="52"/>
      <c r="P314" s="52"/>
      <c r="Q314" s="52"/>
      <c r="U314" s="52"/>
    </row>
    <row r="315">
      <c r="M315" s="52"/>
      <c r="N315" s="52"/>
      <c r="O315" s="52"/>
      <c r="P315" s="52"/>
      <c r="Q315" s="52"/>
      <c r="U315" s="52"/>
    </row>
    <row r="316">
      <c r="M316" s="52"/>
      <c r="N316" s="52"/>
      <c r="O316" s="52"/>
      <c r="P316" s="52"/>
      <c r="Q316" s="52"/>
      <c r="U316" s="52"/>
    </row>
    <row r="317">
      <c r="M317" s="52"/>
      <c r="N317" s="52"/>
      <c r="O317" s="52"/>
      <c r="P317" s="52"/>
      <c r="Q317" s="52"/>
      <c r="U317" s="52"/>
    </row>
    <row r="318">
      <c r="M318" s="52"/>
      <c r="N318" s="52"/>
      <c r="O318" s="52"/>
      <c r="P318" s="52"/>
      <c r="Q318" s="52"/>
      <c r="U318" s="52"/>
    </row>
    <row r="319">
      <c r="M319" s="52"/>
      <c r="N319" s="52"/>
      <c r="O319" s="52"/>
      <c r="P319" s="52"/>
      <c r="Q319" s="52"/>
      <c r="U319" s="52"/>
    </row>
    <row r="320">
      <c r="M320" s="52"/>
      <c r="N320" s="52"/>
      <c r="O320" s="52"/>
      <c r="P320" s="52"/>
      <c r="Q320" s="52"/>
      <c r="U320" s="52"/>
    </row>
    <row r="321">
      <c r="M321" s="52"/>
      <c r="N321" s="52"/>
      <c r="O321" s="52"/>
      <c r="P321" s="52"/>
      <c r="Q321" s="52"/>
      <c r="U321" s="52"/>
    </row>
    <row r="322">
      <c r="M322" s="52"/>
      <c r="N322" s="52"/>
      <c r="O322" s="52"/>
      <c r="P322" s="52"/>
      <c r="Q322" s="52"/>
      <c r="U322" s="52"/>
    </row>
    <row r="323">
      <c r="M323" s="52"/>
      <c r="N323" s="52"/>
      <c r="O323" s="52"/>
      <c r="P323" s="52"/>
      <c r="Q323" s="52"/>
      <c r="U323" s="52"/>
    </row>
    <row r="324">
      <c r="M324" s="52"/>
      <c r="N324" s="52"/>
      <c r="O324" s="52"/>
      <c r="P324" s="52"/>
      <c r="Q324" s="52"/>
      <c r="U324" s="52"/>
    </row>
    <row r="325">
      <c r="M325" s="52"/>
      <c r="N325" s="52"/>
      <c r="O325" s="52"/>
      <c r="P325" s="52"/>
      <c r="Q325" s="52"/>
      <c r="U325" s="52"/>
    </row>
    <row r="326">
      <c r="M326" s="52"/>
      <c r="N326" s="52"/>
      <c r="O326" s="52"/>
      <c r="P326" s="52"/>
      <c r="Q326" s="52"/>
      <c r="U326" s="52"/>
    </row>
    <row r="327">
      <c r="M327" s="52"/>
      <c r="N327" s="52"/>
      <c r="O327" s="52"/>
      <c r="P327" s="52"/>
      <c r="Q327" s="52"/>
      <c r="U327" s="52"/>
    </row>
    <row r="328">
      <c r="M328" s="52"/>
      <c r="N328" s="52"/>
      <c r="O328" s="52"/>
      <c r="P328" s="52"/>
      <c r="Q328" s="52"/>
      <c r="U328" s="52"/>
    </row>
    <row r="329">
      <c r="M329" s="52"/>
      <c r="N329" s="52"/>
      <c r="O329" s="52"/>
      <c r="P329" s="52"/>
      <c r="Q329" s="52"/>
      <c r="U329" s="52"/>
    </row>
    <row r="330">
      <c r="M330" s="52"/>
      <c r="N330" s="52"/>
      <c r="O330" s="52"/>
      <c r="P330" s="52"/>
      <c r="Q330" s="52"/>
      <c r="U330" s="52"/>
    </row>
    <row r="331">
      <c r="M331" s="52"/>
      <c r="N331" s="52"/>
      <c r="O331" s="52"/>
      <c r="P331" s="52"/>
      <c r="Q331" s="52"/>
      <c r="U331" s="52"/>
    </row>
    <row r="332">
      <c r="M332" s="52"/>
      <c r="N332" s="52"/>
      <c r="O332" s="52"/>
      <c r="P332" s="52"/>
      <c r="Q332" s="52"/>
      <c r="U332" s="52"/>
    </row>
    <row r="333">
      <c r="M333" s="52"/>
      <c r="N333" s="52"/>
      <c r="O333" s="52"/>
      <c r="P333" s="52"/>
      <c r="Q333" s="52"/>
      <c r="U333" s="52"/>
    </row>
    <row r="334">
      <c r="M334" s="52"/>
      <c r="N334" s="52"/>
      <c r="O334" s="52"/>
      <c r="P334" s="52"/>
      <c r="Q334" s="52"/>
      <c r="U334" s="52"/>
    </row>
    <row r="335">
      <c r="M335" s="52"/>
      <c r="N335" s="52"/>
      <c r="O335" s="52"/>
      <c r="P335" s="52"/>
      <c r="Q335" s="52"/>
      <c r="U335" s="52"/>
    </row>
    <row r="336">
      <c r="M336" s="52"/>
      <c r="N336" s="52"/>
      <c r="O336" s="52"/>
      <c r="P336" s="52"/>
      <c r="Q336" s="52"/>
      <c r="U336" s="52"/>
    </row>
    <row r="337">
      <c r="M337" s="52"/>
      <c r="N337" s="52"/>
      <c r="O337" s="52"/>
      <c r="P337" s="52"/>
      <c r="Q337" s="52"/>
      <c r="U337" s="52"/>
    </row>
    <row r="338">
      <c r="M338" s="52"/>
      <c r="N338" s="52"/>
      <c r="O338" s="52"/>
      <c r="P338" s="52"/>
      <c r="Q338" s="52"/>
      <c r="U338" s="52"/>
    </row>
    <row r="339">
      <c r="M339" s="52"/>
      <c r="N339" s="52"/>
      <c r="O339" s="52"/>
      <c r="P339" s="52"/>
      <c r="Q339" s="52"/>
      <c r="U339" s="52"/>
    </row>
    <row r="340">
      <c r="M340" s="52"/>
      <c r="N340" s="52"/>
      <c r="O340" s="52"/>
      <c r="P340" s="52"/>
      <c r="Q340" s="52"/>
      <c r="U340" s="52"/>
    </row>
    <row r="341">
      <c r="M341" s="52"/>
      <c r="N341" s="52"/>
      <c r="O341" s="52"/>
      <c r="P341" s="52"/>
      <c r="Q341" s="52"/>
      <c r="U341" s="52"/>
    </row>
    <row r="342">
      <c r="M342" s="52"/>
      <c r="N342" s="52"/>
      <c r="O342" s="52"/>
      <c r="P342" s="52"/>
      <c r="Q342" s="52"/>
      <c r="U342" s="52"/>
    </row>
    <row r="343">
      <c r="M343" s="52"/>
      <c r="N343" s="52"/>
      <c r="O343" s="52"/>
      <c r="P343" s="52"/>
      <c r="Q343" s="52"/>
      <c r="U343" s="52"/>
    </row>
    <row r="344">
      <c r="M344" s="52"/>
      <c r="N344" s="52"/>
      <c r="O344" s="52"/>
      <c r="P344" s="52"/>
      <c r="Q344" s="52"/>
      <c r="U344" s="52"/>
    </row>
    <row r="345">
      <c r="M345" s="52"/>
      <c r="N345" s="52"/>
      <c r="O345" s="52"/>
      <c r="P345" s="52"/>
      <c r="Q345" s="52"/>
      <c r="U345" s="52"/>
    </row>
    <row r="346">
      <c r="M346" s="52"/>
      <c r="N346" s="52"/>
      <c r="O346" s="52"/>
      <c r="P346" s="52"/>
      <c r="Q346" s="52"/>
      <c r="U346" s="52"/>
    </row>
    <row r="347">
      <c r="M347" s="52"/>
      <c r="N347" s="52"/>
      <c r="O347" s="52"/>
      <c r="P347" s="52"/>
      <c r="Q347" s="52"/>
      <c r="U347" s="52"/>
    </row>
    <row r="348">
      <c r="M348" s="52"/>
      <c r="N348" s="52"/>
      <c r="O348" s="52"/>
      <c r="P348" s="52"/>
      <c r="Q348" s="52"/>
      <c r="U348" s="52"/>
    </row>
    <row r="349">
      <c r="M349" s="52"/>
      <c r="N349" s="52"/>
      <c r="O349" s="52"/>
      <c r="P349" s="52"/>
      <c r="Q349" s="52"/>
      <c r="U349" s="52"/>
    </row>
    <row r="350">
      <c r="M350" s="52"/>
      <c r="N350" s="52"/>
      <c r="O350" s="52"/>
      <c r="P350" s="52"/>
      <c r="Q350" s="52"/>
      <c r="U350" s="52"/>
    </row>
    <row r="351">
      <c r="M351" s="52"/>
      <c r="N351" s="52"/>
      <c r="O351" s="52"/>
      <c r="P351" s="52"/>
      <c r="Q351" s="52"/>
      <c r="U351" s="52"/>
    </row>
    <row r="352">
      <c r="M352" s="52"/>
      <c r="N352" s="52"/>
      <c r="O352" s="52"/>
      <c r="P352" s="52"/>
      <c r="Q352" s="52"/>
      <c r="U352" s="52"/>
    </row>
    <row r="353">
      <c r="M353" s="52"/>
      <c r="N353" s="52"/>
      <c r="O353" s="52"/>
      <c r="P353" s="52"/>
      <c r="Q353" s="52"/>
      <c r="U353" s="52"/>
    </row>
    <row r="354">
      <c r="M354" s="52"/>
      <c r="N354" s="52"/>
      <c r="O354" s="52"/>
      <c r="P354" s="52"/>
      <c r="Q354" s="52"/>
      <c r="U354" s="52"/>
    </row>
    <row r="355">
      <c r="M355" s="52"/>
      <c r="N355" s="52"/>
      <c r="O355" s="52"/>
      <c r="P355" s="52"/>
      <c r="Q355" s="52"/>
      <c r="U355" s="52"/>
    </row>
    <row r="356">
      <c r="M356" s="52"/>
      <c r="N356" s="52"/>
      <c r="O356" s="52"/>
      <c r="P356" s="52"/>
      <c r="Q356" s="52"/>
      <c r="U356" s="52"/>
    </row>
    <row r="357">
      <c r="M357" s="52"/>
      <c r="N357" s="52"/>
      <c r="O357" s="52"/>
      <c r="P357" s="52"/>
      <c r="Q357" s="52"/>
      <c r="U357" s="52"/>
    </row>
    <row r="358">
      <c r="M358" s="52"/>
      <c r="N358" s="52"/>
      <c r="O358" s="52"/>
      <c r="P358" s="52"/>
      <c r="Q358" s="52"/>
      <c r="U358" s="52"/>
    </row>
    <row r="359">
      <c r="M359" s="52"/>
      <c r="N359" s="52"/>
      <c r="O359" s="52"/>
      <c r="P359" s="52"/>
      <c r="Q359" s="52"/>
      <c r="U359" s="52"/>
    </row>
    <row r="360">
      <c r="M360" s="52"/>
      <c r="N360" s="52"/>
      <c r="O360" s="52"/>
      <c r="P360" s="52"/>
      <c r="Q360" s="52"/>
      <c r="U360" s="52"/>
    </row>
    <row r="361">
      <c r="M361" s="52"/>
      <c r="N361" s="52"/>
      <c r="O361" s="52"/>
      <c r="P361" s="52"/>
      <c r="Q361" s="52"/>
      <c r="U361" s="52"/>
    </row>
    <row r="362">
      <c r="M362" s="52"/>
      <c r="N362" s="52"/>
      <c r="O362" s="52"/>
      <c r="P362" s="52"/>
      <c r="Q362" s="52"/>
      <c r="U362" s="52"/>
    </row>
    <row r="363">
      <c r="M363" s="52"/>
      <c r="N363" s="52"/>
      <c r="O363" s="52"/>
      <c r="P363" s="52"/>
      <c r="Q363" s="52"/>
      <c r="U363" s="52"/>
    </row>
    <row r="364">
      <c r="M364" s="52"/>
      <c r="N364" s="52"/>
      <c r="O364" s="52"/>
      <c r="P364" s="52"/>
      <c r="Q364" s="52"/>
      <c r="U364" s="52"/>
    </row>
    <row r="365">
      <c r="M365" s="52"/>
      <c r="N365" s="52"/>
      <c r="O365" s="52"/>
      <c r="P365" s="52"/>
      <c r="Q365" s="52"/>
      <c r="U365" s="52"/>
    </row>
    <row r="366">
      <c r="M366" s="52"/>
      <c r="N366" s="52"/>
      <c r="O366" s="52"/>
      <c r="P366" s="52"/>
      <c r="Q366" s="52"/>
      <c r="U366" s="52"/>
    </row>
    <row r="367">
      <c r="M367" s="52"/>
      <c r="N367" s="52"/>
      <c r="O367" s="52"/>
      <c r="P367" s="52"/>
      <c r="Q367" s="52"/>
      <c r="U367" s="52"/>
    </row>
    <row r="368">
      <c r="M368" s="52"/>
      <c r="N368" s="52"/>
      <c r="O368" s="52"/>
      <c r="P368" s="52"/>
      <c r="Q368" s="52"/>
      <c r="U368" s="52"/>
    </row>
    <row r="369">
      <c r="M369" s="52"/>
      <c r="N369" s="52"/>
      <c r="O369" s="52"/>
      <c r="P369" s="52"/>
      <c r="Q369" s="52"/>
      <c r="U369" s="52"/>
    </row>
    <row r="370">
      <c r="M370" s="52"/>
      <c r="N370" s="52"/>
      <c r="O370" s="52"/>
      <c r="P370" s="52"/>
      <c r="Q370" s="52"/>
      <c r="U370" s="52"/>
    </row>
    <row r="371">
      <c r="M371" s="52"/>
      <c r="N371" s="52"/>
      <c r="O371" s="52"/>
      <c r="P371" s="52"/>
      <c r="Q371" s="52"/>
      <c r="U371" s="52"/>
    </row>
    <row r="372">
      <c r="M372" s="52"/>
      <c r="N372" s="52"/>
      <c r="O372" s="52"/>
      <c r="P372" s="52"/>
      <c r="Q372" s="52"/>
      <c r="U372" s="52"/>
    </row>
    <row r="373">
      <c r="M373" s="52"/>
      <c r="N373" s="52"/>
      <c r="O373" s="52"/>
      <c r="P373" s="52"/>
      <c r="Q373" s="52"/>
      <c r="U373" s="52"/>
    </row>
    <row r="374">
      <c r="M374" s="52"/>
      <c r="N374" s="52"/>
      <c r="O374" s="52"/>
      <c r="P374" s="52"/>
      <c r="Q374" s="52"/>
      <c r="U374" s="52"/>
    </row>
    <row r="375">
      <c r="M375" s="52"/>
      <c r="N375" s="52"/>
      <c r="O375" s="52"/>
      <c r="P375" s="52"/>
      <c r="Q375" s="52"/>
      <c r="U375" s="52"/>
    </row>
    <row r="376">
      <c r="M376" s="52"/>
      <c r="N376" s="52"/>
      <c r="O376" s="52"/>
      <c r="P376" s="52"/>
      <c r="Q376" s="52"/>
      <c r="U376" s="52"/>
    </row>
    <row r="377">
      <c r="M377" s="52"/>
      <c r="N377" s="52"/>
      <c r="O377" s="52"/>
      <c r="P377" s="52"/>
      <c r="Q377" s="52"/>
      <c r="U377" s="52"/>
    </row>
    <row r="378">
      <c r="M378" s="52"/>
      <c r="N378" s="52"/>
      <c r="O378" s="52"/>
      <c r="P378" s="52"/>
      <c r="Q378" s="52"/>
      <c r="U378" s="52"/>
    </row>
    <row r="379">
      <c r="M379" s="52"/>
      <c r="N379" s="52"/>
      <c r="O379" s="52"/>
      <c r="P379" s="52"/>
      <c r="Q379" s="52"/>
      <c r="U379" s="52"/>
    </row>
    <row r="380">
      <c r="M380" s="52"/>
      <c r="N380" s="52"/>
      <c r="O380" s="52"/>
      <c r="P380" s="52"/>
      <c r="Q380" s="52"/>
      <c r="U380" s="52"/>
    </row>
    <row r="381">
      <c r="M381" s="52"/>
      <c r="N381" s="52"/>
      <c r="O381" s="52"/>
      <c r="P381" s="52"/>
      <c r="Q381" s="52"/>
      <c r="U381" s="52"/>
    </row>
    <row r="382">
      <c r="M382" s="52"/>
      <c r="N382" s="52"/>
      <c r="O382" s="52"/>
      <c r="P382" s="52"/>
      <c r="Q382" s="52"/>
      <c r="U382" s="52"/>
    </row>
    <row r="383">
      <c r="M383" s="52"/>
      <c r="N383" s="52"/>
      <c r="O383" s="52"/>
      <c r="P383" s="52"/>
      <c r="Q383" s="52"/>
      <c r="U383" s="52"/>
    </row>
    <row r="384">
      <c r="M384" s="52"/>
      <c r="N384" s="52"/>
      <c r="O384" s="52"/>
      <c r="P384" s="52"/>
      <c r="Q384" s="52"/>
      <c r="U384" s="52"/>
    </row>
    <row r="385">
      <c r="M385" s="52"/>
      <c r="N385" s="52"/>
      <c r="O385" s="52"/>
      <c r="P385" s="52"/>
      <c r="Q385" s="52"/>
      <c r="U385" s="52"/>
    </row>
    <row r="386">
      <c r="M386" s="52"/>
      <c r="N386" s="52"/>
      <c r="O386" s="52"/>
      <c r="P386" s="52"/>
      <c r="Q386" s="52"/>
      <c r="U386" s="52"/>
    </row>
    <row r="387">
      <c r="M387" s="52"/>
      <c r="N387" s="52"/>
      <c r="O387" s="52"/>
      <c r="P387" s="52"/>
      <c r="Q387" s="52"/>
      <c r="U387" s="52"/>
    </row>
    <row r="388">
      <c r="M388" s="52"/>
      <c r="N388" s="52"/>
      <c r="O388" s="52"/>
      <c r="P388" s="52"/>
      <c r="Q388" s="52"/>
      <c r="U388" s="52"/>
    </row>
    <row r="389">
      <c r="M389" s="52"/>
      <c r="N389" s="52"/>
      <c r="O389" s="52"/>
      <c r="P389" s="52"/>
      <c r="Q389" s="52"/>
      <c r="U389" s="52"/>
    </row>
    <row r="390">
      <c r="M390" s="52"/>
      <c r="N390" s="52"/>
      <c r="O390" s="52"/>
      <c r="P390" s="52"/>
      <c r="Q390" s="52"/>
      <c r="U390" s="52"/>
    </row>
    <row r="391">
      <c r="M391" s="52"/>
      <c r="N391" s="52"/>
      <c r="O391" s="52"/>
      <c r="P391" s="52"/>
      <c r="Q391" s="52"/>
      <c r="U391" s="52"/>
    </row>
    <row r="392">
      <c r="M392" s="52"/>
      <c r="N392" s="52"/>
      <c r="O392" s="52"/>
      <c r="P392" s="52"/>
      <c r="Q392" s="52"/>
      <c r="U392" s="52"/>
    </row>
    <row r="393">
      <c r="M393" s="52"/>
      <c r="N393" s="52"/>
      <c r="O393" s="52"/>
      <c r="P393" s="52"/>
      <c r="Q393" s="52"/>
      <c r="U393" s="52"/>
    </row>
    <row r="394">
      <c r="M394" s="52"/>
      <c r="N394" s="52"/>
      <c r="O394" s="52"/>
      <c r="P394" s="52"/>
      <c r="Q394" s="52"/>
      <c r="U394" s="52"/>
    </row>
    <row r="395">
      <c r="M395" s="52"/>
      <c r="N395" s="52"/>
      <c r="O395" s="52"/>
      <c r="P395" s="52"/>
      <c r="Q395" s="52"/>
      <c r="U395" s="52"/>
    </row>
    <row r="396">
      <c r="M396" s="52"/>
      <c r="N396" s="52"/>
      <c r="O396" s="52"/>
      <c r="P396" s="52"/>
      <c r="Q396" s="52"/>
      <c r="U396" s="52"/>
    </row>
    <row r="397">
      <c r="M397" s="52"/>
      <c r="N397" s="52"/>
      <c r="O397" s="52"/>
      <c r="P397" s="52"/>
      <c r="Q397" s="52"/>
      <c r="U397" s="52"/>
    </row>
    <row r="398">
      <c r="M398" s="52"/>
      <c r="N398" s="52"/>
      <c r="O398" s="52"/>
      <c r="P398" s="52"/>
      <c r="Q398" s="52"/>
      <c r="U398" s="52"/>
    </row>
    <row r="399">
      <c r="M399" s="52"/>
      <c r="N399" s="52"/>
      <c r="O399" s="52"/>
      <c r="P399" s="52"/>
      <c r="Q399" s="52"/>
      <c r="U399" s="52"/>
    </row>
    <row r="400">
      <c r="M400" s="52"/>
      <c r="N400" s="52"/>
      <c r="O400" s="52"/>
      <c r="P400" s="52"/>
      <c r="Q400" s="52"/>
      <c r="U400" s="52"/>
    </row>
    <row r="401">
      <c r="M401" s="52"/>
      <c r="N401" s="52"/>
      <c r="O401" s="52"/>
      <c r="P401" s="52"/>
      <c r="Q401" s="52"/>
      <c r="U401" s="52"/>
    </row>
    <row r="402">
      <c r="M402" s="52"/>
      <c r="N402" s="52"/>
      <c r="O402" s="52"/>
      <c r="P402" s="52"/>
      <c r="Q402" s="52"/>
      <c r="U402" s="52"/>
    </row>
    <row r="403">
      <c r="M403" s="52"/>
      <c r="N403" s="52"/>
      <c r="O403" s="52"/>
      <c r="P403" s="52"/>
      <c r="Q403" s="52"/>
      <c r="U403" s="52"/>
    </row>
    <row r="404">
      <c r="M404" s="52"/>
      <c r="N404" s="52"/>
      <c r="O404" s="52"/>
      <c r="P404" s="52"/>
      <c r="Q404" s="52"/>
      <c r="U404" s="52"/>
    </row>
    <row r="405">
      <c r="M405" s="52"/>
      <c r="N405" s="52"/>
      <c r="O405" s="52"/>
      <c r="P405" s="52"/>
      <c r="Q405" s="52"/>
      <c r="U405" s="52"/>
    </row>
    <row r="406">
      <c r="M406" s="52"/>
      <c r="N406" s="52"/>
      <c r="O406" s="52"/>
      <c r="P406" s="52"/>
      <c r="Q406" s="52"/>
      <c r="U406" s="52"/>
    </row>
    <row r="407">
      <c r="M407" s="52"/>
      <c r="N407" s="52"/>
      <c r="O407" s="52"/>
      <c r="P407" s="52"/>
      <c r="Q407" s="52"/>
      <c r="U407" s="52"/>
    </row>
    <row r="408">
      <c r="M408" s="52"/>
      <c r="N408" s="52"/>
      <c r="O408" s="52"/>
      <c r="P408" s="52"/>
      <c r="Q408" s="52"/>
      <c r="U408" s="52"/>
    </row>
    <row r="409">
      <c r="M409" s="52"/>
      <c r="N409" s="52"/>
      <c r="O409" s="52"/>
      <c r="P409" s="52"/>
      <c r="Q409" s="52"/>
      <c r="U409" s="52"/>
    </row>
    <row r="410">
      <c r="M410" s="52"/>
      <c r="N410" s="52"/>
      <c r="O410" s="52"/>
      <c r="P410" s="52"/>
      <c r="Q410" s="52"/>
      <c r="U410" s="52"/>
    </row>
    <row r="411">
      <c r="M411" s="52"/>
      <c r="N411" s="52"/>
      <c r="O411" s="52"/>
      <c r="P411" s="52"/>
      <c r="Q411" s="52"/>
      <c r="U411" s="52"/>
    </row>
    <row r="412">
      <c r="M412" s="52"/>
      <c r="N412" s="52"/>
      <c r="O412" s="52"/>
      <c r="P412" s="52"/>
      <c r="Q412" s="52"/>
      <c r="U412" s="52"/>
    </row>
    <row r="413">
      <c r="M413" s="52"/>
      <c r="N413" s="52"/>
      <c r="O413" s="52"/>
      <c r="P413" s="52"/>
      <c r="Q413" s="52"/>
      <c r="U413" s="52"/>
    </row>
    <row r="414">
      <c r="M414" s="52"/>
      <c r="N414" s="52"/>
      <c r="O414" s="52"/>
      <c r="P414" s="52"/>
      <c r="Q414" s="52"/>
      <c r="U414" s="52"/>
    </row>
    <row r="415">
      <c r="M415" s="52"/>
      <c r="N415" s="52"/>
      <c r="O415" s="52"/>
      <c r="P415" s="52"/>
      <c r="Q415" s="52"/>
      <c r="U415" s="52"/>
    </row>
    <row r="416">
      <c r="M416" s="52"/>
      <c r="N416" s="52"/>
      <c r="O416" s="52"/>
      <c r="P416" s="52"/>
      <c r="Q416" s="52"/>
      <c r="U416" s="52"/>
    </row>
    <row r="417">
      <c r="M417" s="52"/>
      <c r="N417" s="52"/>
      <c r="O417" s="52"/>
      <c r="P417" s="52"/>
      <c r="Q417" s="52"/>
      <c r="U417" s="52"/>
    </row>
    <row r="418">
      <c r="M418" s="52"/>
      <c r="N418" s="52"/>
      <c r="O418" s="52"/>
      <c r="P418" s="52"/>
      <c r="Q418" s="52"/>
      <c r="U418" s="52"/>
    </row>
    <row r="419">
      <c r="M419" s="52"/>
      <c r="N419" s="52"/>
      <c r="O419" s="52"/>
      <c r="P419" s="52"/>
      <c r="Q419" s="52"/>
      <c r="U419" s="52"/>
    </row>
    <row r="420">
      <c r="M420" s="52"/>
      <c r="N420" s="52"/>
      <c r="O420" s="52"/>
      <c r="P420" s="52"/>
      <c r="Q420" s="52"/>
      <c r="U420" s="52"/>
    </row>
    <row r="421">
      <c r="M421" s="52"/>
      <c r="N421" s="52"/>
      <c r="O421" s="52"/>
      <c r="P421" s="52"/>
      <c r="Q421" s="52"/>
      <c r="U421" s="52"/>
    </row>
    <row r="422">
      <c r="M422" s="52"/>
      <c r="N422" s="52"/>
      <c r="O422" s="52"/>
      <c r="P422" s="52"/>
      <c r="Q422" s="52"/>
      <c r="U422" s="52"/>
    </row>
    <row r="423">
      <c r="M423" s="52"/>
      <c r="N423" s="52"/>
      <c r="O423" s="52"/>
      <c r="P423" s="52"/>
      <c r="Q423" s="52"/>
      <c r="U423" s="52"/>
    </row>
    <row r="424">
      <c r="M424" s="52"/>
      <c r="N424" s="52"/>
      <c r="O424" s="52"/>
      <c r="P424" s="52"/>
      <c r="Q424" s="52"/>
      <c r="U424" s="52"/>
    </row>
    <row r="425">
      <c r="M425" s="52"/>
      <c r="N425" s="52"/>
      <c r="O425" s="52"/>
      <c r="P425" s="52"/>
      <c r="Q425" s="52"/>
      <c r="U425" s="52"/>
    </row>
    <row r="426">
      <c r="M426" s="52"/>
      <c r="N426" s="52"/>
      <c r="O426" s="52"/>
      <c r="P426" s="52"/>
      <c r="Q426" s="52"/>
      <c r="U426" s="52"/>
    </row>
    <row r="427">
      <c r="M427" s="52"/>
      <c r="N427" s="52"/>
      <c r="O427" s="52"/>
      <c r="P427" s="52"/>
      <c r="Q427" s="52"/>
      <c r="U427" s="52"/>
    </row>
    <row r="428">
      <c r="M428" s="52"/>
      <c r="N428" s="52"/>
      <c r="O428" s="52"/>
      <c r="P428" s="52"/>
      <c r="Q428" s="52"/>
      <c r="U428" s="52"/>
    </row>
    <row r="429">
      <c r="M429" s="52"/>
      <c r="N429" s="52"/>
      <c r="O429" s="52"/>
      <c r="P429" s="52"/>
      <c r="Q429" s="52"/>
      <c r="U429" s="52"/>
    </row>
    <row r="430">
      <c r="M430" s="52"/>
      <c r="N430" s="52"/>
      <c r="O430" s="52"/>
      <c r="P430" s="52"/>
      <c r="Q430" s="52"/>
      <c r="U430" s="52"/>
    </row>
    <row r="431">
      <c r="M431" s="52"/>
      <c r="N431" s="52"/>
      <c r="O431" s="52"/>
      <c r="P431" s="52"/>
      <c r="Q431" s="52"/>
      <c r="U431" s="52"/>
    </row>
    <row r="432">
      <c r="M432" s="52"/>
      <c r="N432" s="52"/>
      <c r="O432" s="52"/>
      <c r="P432" s="52"/>
      <c r="Q432" s="52"/>
      <c r="U432" s="52"/>
    </row>
    <row r="433">
      <c r="M433" s="52"/>
      <c r="N433" s="52"/>
      <c r="O433" s="52"/>
      <c r="P433" s="52"/>
      <c r="Q433" s="52"/>
      <c r="U433" s="52"/>
    </row>
    <row r="434">
      <c r="M434" s="52"/>
      <c r="N434" s="52"/>
      <c r="O434" s="52"/>
      <c r="P434" s="52"/>
      <c r="Q434" s="52"/>
      <c r="U434" s="52"/>
    </row>
    <row r="435">
      <c r="M435" s="52"/>
      <c r="N435" s="52"/>
      <c r="O435" s="52"/>
      <c r="P435" s="52"/>
      <c r="Q435" s="52"/>
      <c r="U435" s="52"/>
    </row>
    <row r="436">
      <c r="M436" s="52"/>
      <c r="N436" s="52"/>
      <c r="O436" s="52"/>
      <c r="P436" s="52"/>
      <c r="Q436" s="52"/>
      <c r="U436" s="52"/>
    </row>
    <row r="437">
      <c r="M437" s="52"/>
      <c r="N437" s="52"/>
      <c r="O437" s="52"/>
      <c r="P437" s="52"/>
      <c r="Q437" s="52"/>
      <c r="U437" s="52"/>
    </row>
    <row r="438">
      <c r="M438" s="52"/>
      <c r="N438" s="52"/>
      <c r="O438" s="52"/>
      <c r="P438" s="52"/>
      <c r="Q438" s="52"/>
      <c r="U438" s="52"/>
    </row>
    <row r="439">
      <c r="M439" s="52"/>
      <c r="N439" s="52"/>
      <c r="O439" s="52"/>
      <c r="P439" s="52"/>
      <c r="Q439" s="52"/>
      <c r="U439" s="52"/>
    </row>
    <row r="440">
      <c r="M440" s="52"/>
      <c r="N440" s="52"/>
      <c r="O440" s="52"/>
      <c r="P440" s="52"/>
      <c r="Q440" s="52"/>
      <c r="U440" s="52"/>
    </row>
    <row r="441">
      <c r="M441" s="52"/>
      <c r="N441" s="52"/>
      <c r="O441" s="52"/>
      <c r="P441" s="52"/>
      <c r="Q441" s="52"/>
      <c r="U441" s="52"/>
    </row>
    <row r="442">
      <c r="M442" s="52"/>
      <c r="N442" s="52"/>
      <c r="O442" s="52"/>
      <c r="P442" s="52"/>
      <c r="Q442" s="52"/>
      <c r="U442" s="52"/>
    </row>
    <row r="443">
      <c r="M443" s="52"/>
      <c r="N443" s="52"/>
      <c r="O443" s="52"/>
      <c r="P443" s="52"/>
      <c r="Q443" s="52"/>
      <c r="U443" s="52"/>
    </row>
    <row r="444">
      <c r="M444" s="52"/>
      <c r="N444" s="52"/>
      <c r="O444" s="52"/>
      <c r="P444" s="52"/>
      <c r="Q444" s="52"/>
      <c r="U444" s="52"/>
    </row>
    <row r="445">
      <c r="M445" s="52"/>
      <c r="N445" s="52"/>
      <c r="O445" s="52"/>
      <c r="P445" s="52"/>
      <c r="Q445" s="52"/>
      <c r="U445" s="52"/>
    </row>
    <row r="446">
      <c r="M446" s="52"/>
      <c r="N446" s="52"/>
      <c r="O446" s="52"/>
      <c r="P446" s="52"/>
      <c r="Q446" s="52"/>
      <c r="U446" s="52"/>
    </row>
    <row r="447">
      <c r="M447" s="52"/>
      <c r="N447" s="52"/>
      <c r="O447" s="52"/>
      <c r="P447" s="52"/>
      <c r="Q447" s="52"/>
      <c r="U447" s="52"/>
    </row>
    <row r="448">
      <c r="M448" s="52"/>
      <c r="N448" s="52"/>
      <c r="O448" s="52"/>
      <c r="P448" s="52"/>
      <c r="Q448" s="52"/>
      <c r="U448" s="52"/>
    </row>
    <row r="449">
      <c r="M449" s="52"/>
      <c r="N449" s="52"/>
      <c r="O449" s="52"/>
      <c r="P449" s="52"/>
      <c r="Q449" s="52"/>
      <c r="U449" s="52"/>
    </row>
    <row r="450">
      <c r="M450" s="52"/>
      <c r="N450" s="52"/>
      <c r="O450" s="52"/>
      <c r="P450" s="52"/>
      <c r="Q450" s="52"/>
      <c r="U450" s="52"/>
    </row>
    <row r="451">
      <c r="M451" s="52"/>
      <c r="N451" s="52"/>
      <c r="O451" s="52"/>
      <c r="P451" s="52"/>
      <c r="Q451" s="52"/>
      <c r="U451" s="52"/>
    </row>
    <row r="452">
      <c r="M452" s="52"/>
      <c r="N452" s="52"/>
      <c r="O452" s="52"/>
      <c r="P452" s="52"/>
      <c r="Q452" s="52"/>
      <c r="U452" s="52"/>
    </row>
    <row r="453">
      <c r="M453" s="52"/>
      <c r="N453" s="52"/>
      <c r="O453" s="52"/>
      <c r="P453" s="52"/>
      <c r="Q453" s="52"/>
      <c r="U453" s="52"/>
    </row>
    <row r="454">
      <c r="M454" s="52"/>
      <c r="N454" s="52"/>
      <c r="O454" s="52"/>
      <c r="P454" s="52"/>
      <c r="Q454" s="52"/>
      <c r="U454" s="52"/>
    </row>
    <row r="455">
      <c r="M455" s="52"/>
      <c r="N455" s="52"/>
      <c r="O455" s="52"/>
      <c r="P455" s="52"/>
      <c r="Q455" s="52"/>
      <c r="U455" s="52"/>
    </row>
    <row r="456">
      <c r="M456" s="52"/>
      <c r="N456" s="52"/>
      <c r="O456" s="52"/>
      <c r="P456" s="52"/>
      <c r="Q456" s="52"/>
      <c r="U456" s="52"/>
    </row>
    <row r="457">
      <c r="M457" s="52"/>
      <c r="N457" s="52"/>
      <c r="O457" s="52"/>
      <c r="P457" s="52"/>
      <c r="Q457" s="52"/>
      <c r="U457" s="52"/>
    </row>
    <row r="458">
      <c r="M458" s="52"/>
      <c r="N458" s="52"/>
      <c r="O458" s="52"/>
      <c r="P458" s="52"/>
      <c r="Q458" s="52"/>
      <c r="U458" s="52"/>
    </row>
    <row r="459">
      <c r="M459" s="52"/>
      <c r="N459" s="52"/>
      <c r="O459" s="52"/>
      <c r="P459" s="52"/>
      <c r="Q459" s="52"/>
      <c r="U459" s="52"/>
    </row>
    <row r="460">
      <c r="M460" s="52"/>
      <c r="N460" s="52"/>
      <c r="O460" s="52"/>
      <c r="P460" s="52"/>
      <c r="Q460" s="52"/>
      <c r="U460" s="52"/>
    </row>
    <row r="461">
      <c r="M461" s="52"/>
      <c r="N461" s="52"/>
      <c r="O461" s="52"/>
      <c r="P461" s="52"/>
      <c r="Q461" s="52"/>
      <c r="U461" s="52"/>
    </row>
    <row r="462">
      <c r="M462" s="52"/>
      <c r="N462" s="52"/>
      <c r="O462" s="52"/>
      <c r="P462" s="52"/>
      <c r="Q462" s="52"/>
      <c r="U462" s="52"/>
    </row>
    <row r="463">
      <c r="M463" s="52"/>
      <c r="N463" s="52"/>
      <c r="O463" s="52"/>
      <c r="P463" s="52"/>
      <c r="Q463" s="52"/>
      <c r="U463" s="52"/>
    </row>
    <row r="464">
      <c r="M464" s="52"/>
      <c r="N464" s="52"/>
      <c r="O464" s="52"/>
      <c r="P464" s="52"/>
      <c r="Q464" s="52"/>
      <c r="U464" s="52"/>
    </row>
    <row r="465">
      <c r="M465" s="52"/>
      <c r="N465" s="52"/>
      <c r="O465" s="52"/>
      <c r="P465" s="52"/>
      <c r="Q465" s="52"/>
      <c r="U465" s="52"/>
    </row>
    <row r="466">
      <c r="M466" s="52"/>
      <c r="N466" s="52"/>
      <c r="O466" s="52"/>
      <c r="P466" s="52"/>
      <c r="Q466" s="52"/>
      <c r="U466" s="52"/>
    </row>
    <row r="467">
      <c r="M467" s="52"/>
      <c r="N467" s="52"/>
      <c r="O467" s="52"/>
      <c r="P467" s="52"/>
      <c r="Q467" s="52"/>
      <c r="U467" s="52"/>
    </row>
    <row r="468">
      <c r="M468" s="52"/>
      <c r="N468" s="52"/>
      <c r="O468" s="52"/>
      <c r="P468" s="52"/>
      <c r="Q468" s="52"/>
      <c r="U468" s="52"/>
    </row>
    <row r="469">
      <c r="M469" s="52"/>
      <c r="N469" s="52"/>
      <c r="O469" s="52"/>
      <c r="P469" s="52"/>
      <c r="Q469" s="52"/>
      <c r="U469" s="52"/>
    </row>
    <row r="470">
      <c r="M470" s="52"/>
      <c r="N470" s="52"/>
      <c r="O470" s="52"/>
      <c r="P470" s="52"/>
      <c r="Q470" s="52"/>
      <c r="U470" s="52"/>
    </row>
    <row r="471">
      <c r="M471" s="52"/>
      <c r="N471" s="52"/>
      <c r="O471" s="52"/>
      <c r="P471" s="52"/>
      <c r="Q471" s="52"/>
      <c r="U471" s="52"/>
    </row>
    <row r="472">
      <c r="M472" s="52"/>
      <c r="N472" s="52"/>
      <c r="O472" s="52"/>
      <c r="P472" s="52"/>
      <c r="Q472" s="52"/>
      <c r="U472" s="52"/>
    </row>
    <row r="473">
      <c r="M473" s="52"/>
      <c r="N473" s="52"/>
      <c r="O473" s="52"/>
      <c r="P473" s="52"/>
      <c r="Q473" s="52"/>
      <c r="U473" s="52"/>
    </row>
    <row r="474">
      <c r="M474" s="52"/>
      <c r="N474" s="52"/>
      <c r="O474" s="52"/>
      <c r="P474" s="52"/>
      <c r="Q474" s="52"/>
      <c r="U474" s="52"/>
    </row>
    <row r="475">
      <c r="M475" s="52"/>
      <c r="N475" s="52"/>
      <c r="O475" s="52"/>
      <c r="P475" s="52"/>
      <c r="Q475" s="52"/>
      <c r="U475" s="52"/>
    </row>
    <row r="476">
      <c r="M476" s="52"/>
      <c r="N476" s="52"/>
      <c r="O476" s="52"/>
      <c r="P476" s="52"/>
      <c r="Q476" s="52"/>
      <c r="U476" s="52"/>
    </row>
    <row r="477">
      <c r="M477" s="52"/>
      <c r="N477" s="52"/>
      <c r="O477" s="52"/>
      <c r="P477" s="52"/>
      <c r="Q477" s="52"/>
      <c r="U477" s="52"/>
    </row>
    <row r="478">
      <c r="M478" s="52"/>
      <c r="N478" s="52"/>
      <c r="O478" s="52"/>
      <c r="P478" s="52"/>
      <c r="Q478" s="52"/>
      <c r="U478" s="52"/>
    </row>
    <row r="479">
      <c r="M479" s="52"/>
      <c r="N479" s="52"/>
      <c r="O479" s="52"/>
      <c r="P479" s="52"/>
      <c r="Q479" s="52"/>
      <c r="U479" s="52"/>
    </row>
    <row r="480">
      <c r="M480" s="52"/>
      <c r="N480" s="52"/>
      <c r="O480" s="52"/>
      <c r="P480" s="52"/>
      <c r="Q480" s="52"/>
      <c r="U480" s="52"/>
    </row>
    <row r="481">
      <c r="M481" s="52"/>
      <c r="N481" s="52"/>
      <c r="O481" s="52"/>
      <c r="P481" s="52"/>
      <c r="Q481" s="52"/>
      <c r="U481" s="52"/>
    </row>
    <row r="482">
      <c r="M482" s="52"/>
      <c r="N482" s="52"/>
      <c r="O482" s="52"/>
      <c r="P482" s="52"/>
      <c r="Q482" s="52"/>
      <c r="U482" s="52"/>
    </row>
    <row r="483">
      <c r="M483" s="52"/>
      <c r="N483" s="52"/>
      <c r="O483" s="52"/>
      <c r="P483" s="52"/>
      <c r="Q483" s="52"/>
      <c r="U483" s="52"/>
    </row>
    <row r="484">
      <c r="M484" s="52"/>
      <c r="N484" s="52"/>
      <c r="O484" s="52"/>
      <c r="P484" s="52"/>
      <c r="Q484" s="52"/>
      <c r="U484" s="52"/>
    </row>
    <row r="485">
      <c r="M485" s="52"/>
      <c r="N485" s="52"/>
      <c r="O485" s="52"/>
      <c r="P485" s="52"/>
      <c r="Q485" s="52"/>
      <c r="U485" s="52"/>
    </row>
    <row r="486">
      <c r="M486" s="52"/>
      <c r="N486" s="52"/>
      <c r="O486" s="52"/>
      <c r="P486" s="52"/>
      <c r="Q486" s="52"/>
      <c r="U486" s="52"/>
    </row>
    <row r="487">
      <c r="M487" s="52"/>
      <c r="N487" s="52"/>
      <c r="O487" s="52"/>
      <c r="P487" s="52"/>
      <c r="Q487" s="52"/>
      <c r="U487" s="52"/>
    </row>
    <row r="488">
      <c r="M488" s="52"/>
      <c r="N488" s="52"/>
      <c r="O488" s="52"/>
      <c r="P488" s="52"/>
      <c r="Q488" s="52"/>
      <c r="U488" s="52"/>
    </row>
    <row r="489">
      <c r="M489" s="52"/>
      <c r="N489" s="52"/>
      <c r="O489" s="52"/>
      <c r="P489" s="52"/>
      <c r="Q489" s="52"/>
      <c r="U489" s="52"/>
    </row>
    <row r="490">
      <c r="M490" s="52"/>
      <c r="N490" s="52"/>
      <c r="O490" s="52"/>
      <c r="P490" s="52"/>
      <c r="Q490" s="52"/>
      <c r="U490" s="52"/>
    </row>
    <row r="491">
      <c r="M491" s="52"/>
      <c r="N491" s="52"/>
      <c r="O491" s="52"/>
      <c r="P491" s="52"/>
      <c r="Q491" s="52"/>
      <c r="U491" s="52"/>
    </row>
    <row r="492">
      <c r="M492" s="52"/>
      <c r="N492" s="52"/>
      <c r="O492" s="52"/>
      <c r="P492" s="52"/>
      <c r="Q492" s="52"/>
      <c r="U492" s="52"/>
    </row>
    <row r="493">
      <c r="M493" s="52"/>
      <c r="N493" s="52"/>
      <c r="O493" s="52"/>
      <c r="P493" s="52"/>
      <c r="Q493" s="52"/>
      <c r="U493" s="52"/>
    </row>
    <row r="494">
      <c r="M494" s="52"/>
      <c r="N494" s="52"/>
      <c r="O494" s="52"/>
      <c r="P494" s="52"/>
      <c r="Q494" s="52"/>
      <c r="U494" s="52"/>
    </row>
    <row r="495">
      <c r="M495" s="52"/>
      <c r="N495" s="52"/>
      <c r="O495" s="52"/>
      <c r="P495" s="52"/>
      <c r="Q495" s="52"/>
      <c r="U495" s="52"/>
    </row>
    <row r="496">
      <c r="M496" s="52"/>
      <c r="N496" s="52"/>
      <c r="O496" s="52"/>
      <c r="P496" s="52"/>
      <c r="Q496" s="52"/>
      <c r="U496" s="52"/>
    </row>
    <row r="497">
      <c r="M497" s="52"/>
      <c r="N497" s="52"/>
      <c r="O497" s="52"/>
      <c r="P497" s="52"/>
      <c r="Q497" s="52"/>
      <c r="U497" s="52"/>
    </row>
    <row r="498">
      <c r="M498" s="52"/>
      <c r="N498" s="52"/>
      <c r="O498" s="52"/>
      <c r="P498" s="52"/>
      <c r="Q498" s="52"/>
      <c r="U498" s="52"/>
    </row>
    <row r="499">
      <c r="M499" s="52"/>
      <c r="N499" s="52"/>
      <c r="O499" s="52"/>
      <c r="P499" s="52"/>
      <c r="Q499" s="52"/>
      <c r="U499" s="52"/>
    </row>
    <row r="500">
      <c r="M500" s="52"/>
      <c r="N500" s="52"/>
      <c r="O500" s="52"/>
      <c r="P500" s="52"/>
      <c r="Q500" s="52"/>
      <c r="U500" s="52"/>
    </row>
    <row r="501">
      <c r="M501" s="52"/>
      <c r="N501" s="52"/>
      <c r="O501" s="52"/>
      <c r="P501" s="52"/>
      <c r="Q501" s="52"/>
      <c r="U501" s="52"/>
    </row>
    <row r="502">
      <c r="M502" s="52"/>
      <c r="N502" s="52"/>
      <c r="O502" s="52"/>
      <c r="P502" s="52"/>
      <c r="Q502" s="52"/>
      <c r="U502" s="52"/>
    </row>
    <row r="503">
      <c r="M503" s="52"/>
      <c r="N503" s="52"/>
      <c r="O503" s="52"/>
      <c r="P503" s="52"/>
      <c r="Q503" s="52"/>
      <c r="U503" s="52"/>
    </row>
    <row r="504">
      <c r="M504" s="52"/>
      <c r="N504" s="52"/>
      <c r="O504" s="52"/>
      <c r="P504" s="52"/>
      <c r="Q504" s="52"/>
      <c r="U504" s="52"/>
    </row>
    <row r="505">
      <c r="M505" s="52"/>
      <c r="N505" s="52"/>
      <c r="O505" s="52"/>
      <c r="P505" s="52"/>
      <c r="Q505" s="52"/>
      <c r="U505" s="52"/>
    </row>
    <row r="506">
      <c r="M506" s="52"/>
      <c r="N506" s="52"/>
      <c r="O506" s="52"/>
      <c r="P506" s="52"/>
      <c r="Q506" s="52"/>
      <c r="U506" s="52"/>
    </row>
    <row r="507">
      <c r="M507" s="52"/>
      <c r="N507" s="52"/>
      <c r="O507" s="52"/>
      <c r="P507" s="52"/>
      <c r="Q507" s="52"/>
      <c r="U507" s="52"/>
    </row>
    <row r="508">
      <c r="M508" s="52"/>
      <c r="N508" s="52"/>
      <c r="O508" s="52"/>
      <c r="P508" s="52"/>
      <c r="Q508" s="52"/>
      <c r="U508" s="52"/>
    </row>
    <row r="509">
      <c r="M509" s="52"/>
      <c r="N509" s="52"/>
      <c r="O509" s="52"/>
      <c r="P509" s="52"/>
      <c r="Q509" s="52"/>
      <c r="U509" s="52"/>
    </row>
    <row r="510">
      <c r="M510" s="52"/>
      <c r="N510" s="52"/>
      <c r="O510" s="52"/>
      <c r="P510" s="52"/>
      <c r="Q510" s="52"/>
      <c r="U510" s="52"/>
    </row>
    <row r="511">
      <c r="M511" s="52"/>
      <c r="N511" s="52"/>
      <c r="O511" s="52"/>
      <c r="P511" s="52"/>
      <c r="Q511" s="52"/>
      <c r="U511" s="52"/>
    </row>
    <row r="512">
      <c r="M512" s="52"/>
      <c r="N512" s="52"/>
      <c r="O512" s="52"/>
      <c r="P512" s="52"/>
      <c r="Q512" s="52"/>
      <c r="U512" s="52"/>
    </row>
    <row r="513">
      <c r="M513" s="52"/>
      <c r="N513" s="52"/>
      <c r="O513" s="52"/>
      <c r="P513" s="52"/>
      <c r="Q513" s="52"/>
      <c r="U513" s="52"/>
    </row>
    <row r="514">
      <c r="M514" s="52"/>
      <c r="N514" s="52"/>
      <c r="O514" s="52"/>
      <c r="P514" s="52"/>
      <c r="Q514" s="52"/>
      <c r="U514" s="52"/>
    </row>
    <row r="515">
      <c r="M515" s="52"/>
      <c r="N515" s="52"/>
      <c r="O515" s="52"/>
      <c r="P515" s="52"/>
      <c r="Q515" s="52"/>
      <c r="U515" s="52"/>
    </row>
    <row r="516">
      <c r="M516" s="52"/>
      <c r="N516" s="52"/>
      <c r="O516" s="52"/>
      <c r="P516" s="52"/>
      <c r="Q516" s="52"/>
      <c r="U516" s="52"/>
    </row>
    <row r="517">
      <c r="M517" s="52"/>
      <c r="N517" s="52"/>
      <c r="O517" s="52"/>
      <c r="P517" s="52"/>
      <c r="Q517" s="52"/>
      <c r="U517" s="52"/>
    </row>
    <row r="518">
      <c r="M518" s="52"/>
      <c r="N518" s="52"/>
      <c r="O518" s="52"/>
      <c r="P518" s="52"/>
      <c r="Q518" s="52"/>
      <c r="U518" s="52"/>
    </row>
    <row r="519">
      <c r="M519" s="52"/>
      <c r="N519" s="52"/>
      <c r="O519" s="52"/>
      <c r="P519" s="52"/>
      <c r="Q519" s="52"/>
      <c r="U519" s="52"/>
    </row>
    <row r="520">
      <c r="M520" s="52"/>
      <c r="N520" s="52"/>
      <c r="O520" s="52"/>
      <c r="P520" s="52"/>
      <c r="Q520" s="52"/>
      <c r="U520" s="52"/>
    </row>
    <row r="521">
      <c r="M521" s="52"/>
      <c r="N521" s="52"/>
      <c r="O521" s="52"/>
      <c r="P521" s="52"/>
      <c r="Q521" s="52"/>
      <c r="U521" s="52"/>
    </row>
    <row r="522">
      <c r="M522" s="52"/>
      <c r="N522" s="52"/>
      <c r="O522" s="52"/>
      <c r="P522" s="52"/>
      <c r="Q522" s="52"/>
      <c r="U522" s="52"/>
    </row>
    <row r="523">
      <c r="M523" s="52"/>
      <c r="N523" s="52"/>
      <c r="O523" s="52"/>
      <c r="P523" s="52"/>
      <c r="Q523" s="52"/>
      <c r="U523" s="52"/>
    </row>
    <row r="524">
      <c r="M524" s="52"/>
      <c r="N524" s="52"/>
      <c r="O524" s="52"/>
      <c r="P524" s="52"/>
      <c r="Q524" s="52"/>
      <c r="U524" s="52"/>
    </row>
    <row r="525">
      <c r="M525" s="52"/>
      <c r="N525" s="52"/>
      <c r="O525" s="52"/>
      <c r="P525" s="52"/>
      <c r="Q525" s="52"/>
      <c r="U525" s="52"/>
    </row>
    <row r="526">
      <c r="M526" s="52"/>
      <c r="N526" s="52"/>
      <c r="O526" s="52"/>
      <c r="P526" s="52"/>
      <c r="Q526" s="52"/>
      <c r="U526" s="52"/>
    </row>
    <row r="527">
      <c r="M527" s="52"/>
      <c r="N527" s="52"/>
      <c r="O527" s="52"/>
      <c r="P527" s="52"/>
      <c r="Q527" s="52"/>
      <c r="U527" s="52"/>
    </row>
    <row r="528">
      <c r="M528" s="52"/>
      <c r="N528" s="52"/>
      <c r="O528" s="52"/>
      <c r="P528" s="52"/>
      <c r="Q528" s="52"/>
      <c r="U528" s="52"/>
    </row>
    <row r="529">
      <c r="M529" s="52"/>
      <c r="N529" s="52"/>
      <c r="O529" s="52"/>
      <c r="P529" s="52"/>
      <c r="Q529" s="52"/>
      <c r="U529" s="52"/>
    </row>
    <row r="530">
      <c r="M530" s="52"/>
      <c r="N530" s="52"/>
      <c r="O530" s="52"/>
      <c r="P530" s="52"/>
      <c r="Q530" s="52"/>
      <c r="U530" s="52"/>
    </row>
    <row r="531">
      <c r="M531" s="52"/>
      <c r="N531" s="52"/>
      <c r="O531" s="52"/>
      <c r="P531" s="52"/>
      <c r="Q531" s="52"/>
      <c r="U531" s="52"/>
    </row>
    <row r="532">
      <c r="M532" s="52"/>
      <c r="N532" s="52"/>
      <c r="O532" s="52"/>
      <c r="P532" s="52"/>
      <c r="Q532" s="52"/>
      <c r="U532" s="52"/>
    </row>
    <row r="533">
      <c r="M533" s="52"/>
      <c r="N533" s="52"/>
      <c r="O533" s="52"/>
      <c r="P533" s="52"/>
      <c r="Q533" s="52"/>
      <c r="U533" s="52"/>
    </row>
    <row r="534">
      <c r="M534" s="52"/>
      <c r="N534" s="52"/>
      <c r="O534" s="52"/>
      <c r="P534" s="52"/>
      <c r="Q534" s="52"/>
      <c r="U534" s="52"/>
    </row>
    <row r="535">
      <c r="M535" s="52"/>
      <c r="N535" s="52"/>
      <c r="O535" s="52"/>
      <c r="P535" s="52"/>
      <c r="Q535" s="52"/>
      <c r="U535" s="52"/>
    </row>
    <row r="536">
      <c r="M536" s="52"/>
      <c r="N536" s="52"/>
      <c r="O536" s="52"/>
      <c r="P536" s="52"/>
      <c r="Q536" s="52"/>
      <c r="U536" s="52"/>
    </row>
    <row r="537">
      <c r="M537" s="52"/>
      <c r="N537" s="52"/>
      <c r="O537" s="52"/>
      <c r="P537" s="52"/>
      <c r="Q537" s="52"/>
      <c r="U537" s="52"/>
    </row>
    <row r="538">
      <c r="M538" s="52"/>
      <c r="N538" s="52"/>
      <c r="O538" s="52"/>
      <c r="P538" s="52"/>
      <c r="Q538" s="52"/>
      <c r="U538" s="52"/>
    </row>
    <row r="539">
      <c r="M539" s="52"/>
      <c r="N539" s="52"/>
      <c r="O539" s="52"/>
      <c r="P539" s="52"/>
      <c r="Q539" s="52"/>
      <c r="U539" s="52"/>
    </row>
    <row r="540">
      <c r="M540" s="52"/>
      <c r="N540" s="52"/>
      <c r="O540" s="52"/>
      <c r="P540" s="52"/>
      <c r="Q540" s="52"/>
      <c r="U540" s="52"/>
    </row>
    <row r="541">
      <c r="M541" s="52"/>
      <c r="N541" s="52"/>
      <c r="O541" s="52"/>
      <c r="P541" s="52"/>
      <c r="Q541" s="52"/>
      <c r="U541" s="52"/>
    </row>
    <row r="542">
      <c r="M542" s="52"/>
      <c r="N542" s="52"/>
      <c r="O542" s="52"/>
      <c r="P542" s="52"/>
      <c r="Q542" s="52"/>
      <c r="U542" s="52"/>
    </row>
    <row r="543">
      <c r="M543" s="52"/>
      <c r="N543" s="52"/>
      <c r="O543" s="52"/>
      <c r="P543" s="52"/>
      <c r="Q543" s="52"/>
      <c r="U543" s="52"/>
    </row>
    <row r="544">
      <c r="M544" s="52"/>
      <c r="N544" s="52"/>
      <c r="O544" s="52"/>
      <c r="P544" s="52"/>
      <c r="Q544" s="52"/>
      <c r="U544" s="52"/>
    </row>
    <row r="545">
      <c r="M545" s="52"/>
      <c r="N545" s="52"/>
      <c r="O545" s="52"/>
      <c r="P545" s="52"/>
      <c r="Q545" s="52"/>
      <c r="U545" s="52"/>
    </row>
    <row r="546">
      <c r="M546" s="52"/>
      <c r="N546" s="52"/>
      <c r="O546" s="52"/>
      <c r="P546" s="52"/>
      <c r="Q546" s="52"/>
      <c r="U546" s="52"/>
    </row>
    <row r="547">
      <c r="M547" s="52"/>
      <c r="N547" s="52"/>
      <c r="O547" s="52"/>
      <c r="P547" s="52"/>
      <c r="Q547" s="52"/>
      <c r="U547" s="52"/>
    </row>
    <row r="548">
      <c r="M548" s="52"/>
      <c r="N548" s="52"/>
      <c r="O548" s="52"/>
      <c r="P548" s="52"/>
      <c r="Q548" s="52"/>
      <c r="U548" s="52"/>
    </row>
    <row r="549">
      <c r="M549" s="52"/>
      <c r="N549" s="52"/>
      <c r="O549" s="52"/>
      <c r="P549" s="52"/>
      <c r="Q549" s="52"/>
      <c r="U549" s="52"/>
    </row>
    <row r="550">
      <c r="M550" s="52"/>
      <c r="N550" s="52"/>
      <c r="O550" s="52"/>
      <c r="P550" s="52"/>
      <c r="Q550" s="52"/>
      <c r="U550" s="52"/>
    </row>
    <row r="551">
      <c r="M551" s="52"/>
      <c r="N551" s="52"/>
      <c r="O551" s="52"/>
      <c r="P551" s="52"/>
      <c r="Q551" s="52"/>
      <c r="U551" s="52"/>
    </row>
    <row r="552">
      <c r="M552" s="52"/>
      <c r="N552" s="52"/>
      <c r="O552" s="52"/>
      <c r="P552" s="52"/>
      <c r="Q552" s="52"/>
      <c r="U552" s="52"/>
    </row>
    <row r="553">
      <c r="M553" s="52"/>
      <c r="N553" s="52"/>
      <c r="O553" s="52"/>
      <c r="P553" s="52"/>
      <c r="Q553" s="52"/>
      <c r="U553" s="52"/>
    </row>
    <row r="554">
      <c r="M554" s="52"/>
      <c r="N554" s="52"/>
      <c r="O554" s="52"/>
      <c r="P554" s="52"/>
      <c r="Q554" s="52"/>
      <c r="U554" s="52"/>
    </row>
    <row r="555">
      <c r="M555" s="52"/>
      <c r="N555" s="52"/>
      <c r="O555" s="52"/>
      <c r="P555" s="52"/>
      <c r="Q555" s="52"/>
      <c r="U555" s="52"/>
    </row>
    <row r="556">
      <c r="M556" s="52"/>
      <c r="N556" s="52"/>
      <c r="O556" s="52"/>
      <c r="P556" s="52"/>
      <c r="Q556" s="52"/>
      <c r="U556" s="52"/>
    </row>
    <row r="557">
      <c r="M557" s="52"/>
      <c r="N557" s="52"/>
      <c r="O557" s="52"/>
      <c r="P557" s="52"/>
      <c r="Q557" s="52"/>
      <c r="U557" s="52"/>
    </row>
    <row r="558">
      <c r="M558" s="52"/>
      <c r="N558" s="52"/>
      <c r="O558" s="52"/>
      <c r="P558" s="52"/>
      <c r="Q558" s="52"/>
      <c r="U558" s="52"/>
    </row>
    <row r="559">
      <c r="M559" s="52"/>
      <c r="N559" s="52"/>
      <c r="O559" s="52"/>
      <c r="P559" s="52"/>
      <c r="Q559" s="52"/>
      <c r="U559" s="52"/>
    </row>
    <row r="560">
      <c r="M560" s="52"/>
      <c r="N560" s="52"/>
      <c r="O560" s="52"/>
      <c r="P560" s="52"/>
      <c r="Q560" s="52"/>
      <c r="U560" s="52"/>
    </row>
    <row r="561">
      <c r="M561" s="52"/>
      <c r="N561" s="52"/>
      <c r="O561" s="52"/>
      <c r="P561" s="52"/>
      <c r="Q561" s="52"/>
      <c r="U561" s="52"/>
    </row>
    <row r="562">
      <c r="M562" s="52"/>
      <c r="N562" s="52"/>
      <c r="O562" s="52"/>
      <c r="P562" s="52"/>
      <c r="Q562" s="52"/>
      <c r="U562" s="52"/>
    </row>
    <row r="563">
      <c r="M563" s="52"/>
      <c r="N563" s="52"/>
      <c r="O563" s="52"/>
      <c r="P563" s="52"/>
      <c r="Q563" s="52"/>
      <c r="U563" s="52"/>
    </row>
    <row r="564">
      <c r="M564" s="52"/>
      <c r="N564" s="52"/>
      <c r="O564" s="52"/>
      <c r="P564" s="52"/>
      <c r="Q564" s="52"/>
      <c r="U564" s="52"/>
    </row>
    <row r="565">
      <c r="M565" s="52"/>
      <c r="N565" s="52"/>
      <c r="O565" s="52"/>
      <c r="P565" s="52"/>
      <c r="Q565" s="52"/>
      <c r="U565" s="52"/>
    </row>
    <row r="566">
      <c r="M566" s="52"/>
      <c r="N566" s="52"/>
      <c r="O566" s="52"/>
      <c r="P566" s="52"/>
      <c r="Q566" s="52"/>
      <c r="U566" s="52"/>
    </row>
    <row r="567">
      <c r="M567" s="52"/>
      <c r="N567" s="52"/>
      <c r="O567" s="52"/>
      <c r="P567" s="52"/>
      <c r="Q567" s="52"/>
      <c r="U567" s="52"/>
    </row>
    <row r="568">
      <c r="M568" s="52"/>
      <c r="N568" s="52"/>
      <c r="O568" s="52"/>
      <c r="P568" s="52"/>
      <c r="Q568" s="52"/>
      <c r="U568" s="52"/>
    </row>
    <row r="569">
      <c r="M569" s="52"/>
      <c r="N569" s="52"/>
      <c r="O569" s="52"/>
      <c r="P569" s="52"/>
      <c r="Q569" s="52"/>
      <c r="U569" s="52"/>
    </row>
    <row r="570">
      <c r="M570" s="52"/>
      <c r="N570" s="52"/>
      <c r="O570" s="52"/>
      <c r="P570" s="52"/>
      <c r="Q570" s="52"/>
      <c r="U570" s="52"/>
    </row>
    <row r="571">
      <c r="M571" s="52"/>
      <c r="N571" s="52"/>
      <c r="O571" s="52"/>
      <c r="P571" s="52"/>
      <c r="Q571" s="52"/>
      <c r="U571" s="52"/>
    </row>
    <row r="572">
      <c r="M572" s="52"/>
      <c r="N572" s="52"/>
      <c r="O572" s="52"/>
      <c r="P572" s="52"/>
      <c r="Q572" s="52"/>
      <c r="U572" s="52"/>
    </row>
    <row r="573">
      <c r="M573" s="52"/>
      <c r="N573" s="52"/>
      <c r="O573" s="52"/>
      <c r="P573" s="52"/>
      <c r="Q573" s="52"/>
      <c r="U573" s="52"/>
    </row>
    <row r="574">
      <c r="M574" s="52"/>
      <c r="N574" s="52"/>
      <c r="O574" s="52"/>
      <c r="P574" s="52"/>
      <c r="Q574" s="52"/>
      <c r="U574" s="52"/>
    </row>
    <row r="575">
      <c r="M575" s="52"/>
      <c r="N575" s="52"/>
      <c r="O575" s="52"/>
      <c r="P575" s="52"/>
      <c r="Q575" s="52"/>
      <c r="U575" s="52"/>
    </row>
    <row r="576">
      <c r="M576" s="52"/>
      <c r="N576" s="52"/>
      <c r="O576" s="52"/>
      <c r="P576" s="52"/>
      <c r="Q576" s="52"/>
      <c r="U576" s="52"/>
    </row>
    <row r="577">
      <c r="M577" s="52"/>
      <c r="N577" s="52"/>
      <c r="O577" s="52"/>
      <c r="P577" s="52"/>
      <c r="Q577" s="52"/>
      <c r="U577" s="52"/>
    </row>
    <row r="578">
      <c r="M578" s="52"/>
      <c r="N578" s="52"/>
      <c r="O578" s="52"/>
      <c r="P578" s="52"/>
      <c r="Q578" s="52"/>
      <c r="U578" s="52"/>
    </row>
    <row r="579">
      <c r="M579" s="52"/>
      <c r="N579" s="52"/>
      <c r="O579" s="52"/>
      <c r="P579" s="52"/>
      <c r="Q579" s="52"/>
      <c r="U579" s="52"/>
    </row>
    <row r="580">
      <c r="M580" s="52"/>
      <c r="N580" s="52"/>
      <c r="O580" s="52"/>
      <c r="P580" s="52"/>
      <c r="Q580" s="52"/>
      <c r="U580" s="52"/>
    </row>
    <row r="581">
      <c r="M581" s="52"/>
      <c r="N581" s="52"/>
      <c r="O581" s="52"/>
      <c r="P581" s="52"/>
      <c r="Q581" s="52"/>
      <c r="U581" s="52"/>
    </row>
    <row r="582">
      <c r="M582" s="52"/>
      <c r="N582" s="52"/>
      <c r="O582" s="52"/>
      <c r="P582" s="52"/>
      <c r="Q582" s="52"/>
      <c r="U582" s="52"/>
    </row>
    <row r="583">
      <c r="M583" s="52"/>
      <c r="N583" s="52"/>
      <c r="O583" s="52"/>
      <c r="P583" s="52"/>
      <c r="Q583" s="52"/>
      <c r="U583" s="52"/>
    </row>
    <row r="584">
      <c r="M584" s="52"/>
      <c r="N584" s="52"/>
      <c r="O584" s="52"/>
      <c r="P584" s="52"/>
      <c r="Q584" s="52"/>
      <c r="U584" s="52"/>
    </row>
    <row r="585">
      <c r="M585" s="52"/>
      <c r="N585" s="52"/>
      <c r="O585" s="52"/>
      <c r="P585" s="52"/>
      <c r="Q585" s="52"/>
      <c r="U585" s="52"/>
    </row>
    <row r="586">
      <c r="M586" s="52"/>
      <c r="N586" s="52"/>
      <c r="O586" s="52"/>
      <c r="P586" s="52"/>
      <c r="Q586" s="52"/>
      <c r="U586" s="52"/>
    </row>
    <row r="587">
      <c r="M587" s="52"/>
      <c r="N587" s="52"/>
      <c r="O587" s="52"/>
      <c r="P587" s="52"/>
      <c r="Q587" s="52"/>
      <c r="U587" s="52"/>
    </row>
    <row r="588">
      <c r="M588" s="52"/>
      <c r="N588" s="52"/>
      <c r="O588" s="52"/>
      <c r="P588" s="52"/>
      <c r="Q588" s="52"/>
      <c r="U588" s="52"/>
    </row>
    <row r="589">
      <c r="M589" s="52"/>
      <c r="N589" s="52"/>
      <c r="O589" s="52"/>
      <c r="P589" s="52"/>
      <c r="Q589" s="52"/>
      <c r="U589" s="52"/>
    </row>
    <row r="590">
      <c r="M590" s="52"/>
      <c r="N590" s="52"/>
      <c r="O590" s="52"/>
      <c r="P590" s="52"/>
      <c r="Q590" s="52"/>
      <c r="U590" s="52"/>
    </row>
    <row r="591">
      <c r="M591" s="52"/>
      <c r="N591" s="52"/>
      <c r="O591" s="52"/>
      <c r="P591" s="52"/>
      <c r="Q591" s="52"/>
      <c r="U591" s="52"/>
    </row>
    <row r="592">
      <c r="M592" s="52"/>
      <c r="N592" s="52"/>
      <c r="O592" s="52"/>
      <c r="P592" s="52"/>
      <c r="Q592" s="52"/>
      <c r="U592" s="52"/>
    </row>
    <row r="593">
      <c r="M593" s="52"/>
      <c r="N593" s="52"/>
      <c r="O593" s="52"/>
      <c r="P593" s="52"/>
      <c r="Q593" s="52"/>
      <c r="U593" s="52"/>
    </row>
    <row r="594">
      <c r="M594" s="52"/>
      <c r="N594" s="52"/>
      <c r="O594" s="52"/>
      <c r="P594" s="52"/>
      <c r="Q594" s="52"/>
      <c r="U594" s="52"/>
    </row>
    <row r="595">
      <c r="M595" s="52"/>
      <c r="N595" s="52"/>
      <c r="O595" s="52"/>
      <c r="P595" s="52"/>
      <c r="Q595" s="52"/>
      <c r="U595" s="52"/>
    </row>
    <row r="596">
      <c r="M596" s="52"/>
      <c r="N596" s="52"/>
      <c r="O596" s="52"/>
      <c r="P596" s="52"/>
      <c r="Q596" s="52"/>
      <c r="U596" s="52"/>
    </row>
    <row r="597">
      <c r="M597" s="52"/>
      <c r="N597" s="52"/>
      <c r="O597" s="52"/>
      <c r="P597" s="52"/>
      <c r="Q597" s="52"/>
      <c r="U597" s="52"/>
    </row>
    <row r="598">
      <c r="M598" s="52"/>
      <c r="N598" s="52"/>
      <c r="O598" s="52"/>
      <c r="P598" s="52"/>
      <c r="Q598" s="52"/>
      <c r="U598" s="52"/>
    </row>
    <row r="599">
      <c r="M599" s="52"/>
      <c r="N599" s="52"/>
      <c r="O599" s="52"/>
      <c r="P599" s="52"/>
      <c r="Q599" s="52"/>
      <c r="U599" s="52"/>
    </row>
    <row r="600">
      <c r="M600" s="52"/>
      <c r="N600" s="52"/>
      <c r="O600" s="52"/>
      <c r="P600" s="52"/>
      <c r="Q600" s="52"/>
      <c r="U600" s="52"/>
    </row>
    <row r="601">
      <c r="M601" s="52"/>
      <c r="N601" s="52"/>
      <c r="O601" s="52"/>
      <c r="P601" s="52"/>
      <c r="Q601" s="52"/>
      <c r="U601" s="52"/>
    </row>
    <row r="602">
      <c r="M602" s="52"/>
      <c r="N602" s="52"/>
      <c r="O602" s="52"/>
      <c r="P602" s="52"/>
      <c r="Q602" s="52"/>
      <c r="U602" s="52"/>
    </row>
    <row r="603">
      <c r="M603" s="52"/>
      <c r="N603" s="52"/>
      <c r="O603" s="52"/>
      <c r="P603" s="52"/>
      <c r="Q603" s="52"/>
      <c r="U603" s="52"/>
    </row>
    <row r="604">
      <c r="M604" s="52"/>
      <c r="N604" s="52"/>
      <c r="O604" s="52"/>
      <c r="P604" s="52"/>
      <c r="Q604" s="52"/>
      <c r="U604" s="52"/>
    </row>
    <row r="605">
      <c r="M605" s="52"/>
      <c r="N605" s="52"/>
      <c r="O605" s="52"/>
      <c r="P605" s="52"/>
      <c r="Q605" s="52"/>
      <c r="U605" s="52"/>
    </row>
    <row r="606">
      <c r="M606" s="52"/>
      <c r="N606" s="52"/>
      <c r="O606" s="52"/>
      <c r="P606" s="52"/>
      <c r="Q606" s="52"/>
      <c r="U606" s="52"/>
    </row>
    <row r="607">
      <c r="M607" s="52"/>
      <c r="N607" s="52"/>
      <c r="O607" s="52"/>
      <c r="P607" s="52"/>
      <c r="Q607" s="52"/>
      <c r="U607" s="52"/>
    </row>
    <row r="608">
      <c r="M608" s="52"/>
      <c r="N608" s="52"/>
      <c r="O608" s="52"/>
      <c r="P608" s="52"/>
      <c r="Q608" s="52"/>
      <c r="U608" s="52"/>
    </row>
    <row r="609">
      <c r="M609" s="52"/>
      <c r="N609" s="52"/>
      <c r="O609" s="52"/>
      <c r="P609" s="52"/>
      <c r="Q609" s="52"/>
      <c r="U609" s="52"/>
    </row>
    <row r="610">
      <c r="M610" s="52"/>
      <c r="N610" s="52"/>
      <c r="O610" s="52"/>
      <c r="P610" s="52"/>
      <c r="Q610" s="52"/>
      <c r="U610" s="52"/>
    </row>
    <row r="611">
      <c r="M611" s="52"/>
      <c r="N611" s="52"/>
      <c r="O611" s="52"/>
      <c r="P611" s="52"/>
      <c r="Q611" s="52"/>
      <c r="U611" s="52"/>
    </row>
    <row r="612">
      <c r="M612" s="52"/>
      <c r="N612" s="52"/>
      <c r="O612" s="52"/>
      <c r="P612" s="52"/>
      <c r="Q612" s="52"/>
      <c r="U612" s="52"/>
    </row>
    <row r="613">
      <c r="M613" s="52"/>
      <c r="N613" s="52"/>
      <c r="O613" s="52"/>
      <c r="P613" s="52"/>
      <c r="Q613" s="52"/>
      <c r="U613" s="52"/>
    </row>
    <row r="614">
      <c r="M614" s="52"/>
      <c r="N614" s="52"/>
      <c r="O614" s="52"/>
      <c r="P614" s="52"/>
      <c r="Q614" s="52"/>
      <c r="U614" s="52"/>
    </row>
    <row r="615">
      <c r="M615" s="52"/>
      <c r="N615" s="52"/>
      <c r="O615" s="52"/>
      <c r="P615" s="52"/>
      <c r="Q615" s="52"/>
      <c r="U615" s="52"/>
    </row>
    <row r="616">
      <c r="M616" s="52"/>
      <c r="N616" s="52"/>
      <c r="O616" s="52"/>
      <c r="P616" s="52"/>
      <c r="Q616" s="52"/>
      <c r="U616" s="52"/>
    </row>
    <row r="617">
      <c r="M617" s="52"/>
      <c r="N617" s="52"/>
      <c r="O617" s="52"/>
      <c r="P617" s="52"/>
      <c r="Q617" s="52"/>
      <c r="U617" s="52"/>
    </row>
    <row r="618">
      <c r="M618" s="52"/>
      <c r="N618" s="52"/>
      <c r="O618" s="52"/>
      <c r="P618" s="52"/>
      <c r="Q618" s="52"/>
      <c r="U618" s="52"/>
    </row>
    <row r="619">
      <c r="M619" s="52"/>
      <c r="N619" s="52"/>
      <c r="O619" s="52"/>
      <c r="P619" s="52"/>
      <c r="Q619" s="52"/>
      <c r="U619" s="52"/>
    </row>
    <row r="620">
      <c r="M620" s="52"/>
      <c r="N620" s="52"/>
      <c r="O620" s="52"/>
      <c r="P620" s="52"/>
      <c r="Q620" s="52"/>
      <c r="U620" s="52"/>
    </row>
    <row r="621">
      <c r="M621" s="52"/>
      <c r="N621" s="52"/>
      <c r="O621" s="52"/>
      <c r="P621" s="52"/>
      <c r="Q621" s="52"/>
      <c r="U621" s="52"/>
    </row>
    <row r="622">
      <c r="M622" s="52"/>
      <c r="N622" s="52"/>
      <c r="O622" s="52"/>
      <c r="P622" s="52"/>
      <c r="Q622" s="52"/>
      <c r="U622" s="52"/>
    </row>
    <row r="623">
      <c r="M623" s="52"/>
      <c r="N623" s="52"/>
      <c r="O623" s="52"/>
      <c r="P623" s="52"/>
      <c r="Q623" s="52"/>
      <c r="U623" s="52"/>
    </row>
    <row r="624">
      <c r="M624" s="52"/>
      <c r="N624" s="52"/>
      <c r="O624" s="52"/>
      <c r="P624" s="52"/>
      <c r="Q624" s="52"/>
      <c r="U624" s="52"/>
    </row>
    <row r="625">
      <c r="M625" s="52"/>
      <c r="N625" s="52"/>
      <c r="O625" s="52"/>
      <c r="P625" s="52"/>
      <c r="Q625" s="52"/>
      <c r="U625" s="52"/>
    </row>
    <row r="626">
      <c r="M626" s="52"/>
      <c r="N626" s="52"/>
      <c r="O626" s="52"/>
      <c r="P626" s="52"/>
      <c r="Q626" s="52"/>
      <c r="U626" s="52"/>
    </row>
    <row r="627">
      <c r="M627" s="52"/>
      <c r="N627" s="52"/>
      <c r="O627" s="52"/>
      <c r="P627" s="52"/>
      <c r="Q627" s="52"/>
      <c r="U627" s="52"/>
    </row>
    <row r="628">
      <c r="M628" s="52"/>
      <c r="N628" s="52"/>
      <c r="O628" s="52"/>
      <c r="P628" s="52"/>
      <c r="Q628" s="52"/>
      <c r="U628" s="52"/>
    </row>
    <row r="629">
      <c r="M629" s="52"/>
      <c r="N629" s="52"/>
      <c r="O629" s="52"/>
      <c r="P629" s="52"/>
      <c r="Q629" s="52"/>
      <c r="U629" s="52"/>
    </row>
    <row r="630">
      <c r="M630" s="52"/>
      <c r="N630" s="52"/>
      <c r="O630" s="52"/>
      <c r="P630" s="52"/>
      <c r="Q630" s="52"/>
      <c r="U630" s="52"/>
    </row>
    <row r="631">
      <c r="M631" s="52"/>
      <c r="N631" s="52"/>
      <c r="O631" s="52"/>
      <c r="P631" s="52"/>
      <c r="Q631" s="52"/>
      <c r="U631" s="52"/>
    </row>
    <row r="632">
      <c r="M632" s="52"/>
      <c r="N632" s="52"/>
      <c r="O632" s="52"/>
      <c r="P632" s="52"/>
      <c r="Q632" s="52"/>
      <c r="U632" s="52"/>
    </row>
    <row r="633">
      <c r="M633" s="52"/>
      <c r="N633" s="52"/>
      <c r="O633" s="52"/>
      <c r="P633" s="52"/>
      <c r="Q633" s="52"/>
      <c r="U633" s="52"/>
    </row>
    <row r="634">
      <c r="M634" s="52"/>
      <c r="N634" s="52"/>
      <c r="O634" s="52"/>
      <c r="P634" s="52"/>
      <c r="Q634" s="52"/>
      <c r="U634" s="52"/>
    </row>
    <row r="635">
      <c r="M635" s="52"/>
      <c r="N635" s="52"/>
      <c r="O635" s="52"/>
      <c r="P635" s="52"/>
      <c r="Q635" s="52"/>
      <c r="U635" s="52"/>
    </row>
    <row r="636">
      <c r="M636" s="52"/>
      <c r="N636" s="52"/>
      <c r="O636" s="52"/>
      <c r="P636" s="52"/>
      <c r="Q636" s="52"/>
      <c r="U636" s="52"/>
    </row>
    <row r="637">
      <c r="M637" s="52"/>
      <c r="N637" s="52"/>
      <c r="O637" s="52"/>
      <c r="P637" s="52"/>
      <c r="Q637" s="52"/>
      <c r="U637" s="52"/>
    </row>
    <row r="638">
      <c r="M638" s="52"/>
      <c r="N638" s="52"/>
      <c r="O638" s="52"/>
      <c r="P638" s="52"/>
      <c r="Q638" s="52"/>
      <c r="U638" s="52"/>
    </row>
    <row r="639">
      <c r="M639" s="52"/>
      <c r="N639" s="52"/>
      <c r="O639" s="52"/>
      <c r="P639" s="52"/>
      <c r="Q639" s="52"/>
      <c r="U639" s="52"/>
    </row>
    <row r="640">
      <c r="M640" s="52"/>
      <c r="N640" s="52"/>
      <c r="O640" s="52"/>
      <c r="P640" s="52"/>
      <c r="Q640" s="52"/>
      <c r="U640" s="52"/>
    </row>
    <row r="641">
      <c r="M641" s="52"/>
      <c r="N641" s="52"/>
      <c r="O641" s="52"/>
      <c r="P641" s="52"/>
      <c r="Q641" s="52"/>
      <c r="U641" s="52"/>
    </row>
    <row r="642">
      <c r="M642" s="52"/>
      <c r="N642" s="52"/>
      <c r="O642" s="52"/>
      <c r="P642" s="52"/>
      <c r="Q642" s="52"/>
      <c r="U642" s="52"/>
    </row>
    <row r="643">
      <c r="M643" s="52"/>
      <c r="N643" s="52"/>
      <c r="O643" s="52"/>
      <c r="P643" s="52"/>
      <c r="Q643" s="52"/>
      <c r="U643" s="52"/>
    </row>
    <row r="644">
      <c r="M644" s="52"/>
      <c r="N644" s="52"/>
      <c r="O644" s="52"/>
      <c r="P644" s="52"/>
      <c r="Q644" s="52"/>
      <c r="U644" s="52"/>
    </row>
    <row r="645">
      <c r="M645" s="52"/>
      <c r="N645" s="52"/>
      <c r="O645" s="52"/>
      <c r="P645" s="52"/>
      <c r="Q645" s="52"/>
      <c r="U645" s="52"/>
    </row>
    <row r="646">
      <c r="M646" s="52"/>
      <c r="N646" s="52"/>
      <c r="O646" s="52"/>
      <c r="P646" s="52"/>
      <c r="Q646" s="52"/>
      <c r="U646" s="52"/>
    </row>
    <row r="647">
      <c r="M647" s="52"/>
      <c r="N647" s="52"/>
      <c r="O647" s="52"/>
      <c r="P647" s="52"/>
      <c r="Q647" s="52"/>
      <c r="U647" s="52"/>
    </row>
    <row r="648">
      <c r="M648" s="52"/>
      <c r="N648" s="52"/>
      <c r="O648" s="52"/>
      <c r="P648" s="52"/>
      <c r="Q648" s="52"/>
      <c r="U648" s="52"/>
    </row>
    <row r="649">
      <c r="M649" s="52"/>
      <c r="N649" s="52"/>
      <c r="O649" s="52"/>
      <c r="P649" s="52"/>
      <c r="Q649" s="52"/>
      <c r="U649" s="52"/>
    </row>
    <row r="650">
      <c r="M650" s="52"/>
      <c r="N650" s="52"/>
      <c r="O650" s="52"/>
      <c r="P650" s="52"/>
      <c r="Q650" s="52"/>
      <c r="U650" s="52"/>
    </row>
    <row r="651">
      <c r="M651" s="52"/>
      <c r="N651" s="52"/>
      <c r="O651" s="52"/>
      <c r="P651" s="52"/>
      <c r="Q651" s="52"/>
      <c r="U651" s="52"/>
    </row>
    <row r="652">
      <c r="M652" s="52"/>
      <c r="N652" s="52"/>
      <c r="O652" s="52"/>
      <c r="P652" s="52"/>
      <c r="Q652" s="52"/>
      <c r="U652" s="52"/>
    </row>
    <row r="653">
      <c r="M653" s="52"/>
      <c r="N653" s="52"/>
      <c r="O653" s="52"/>
      <c r="P653" s="52"/>
      <c r="Q653" s="52"/>
      <c r="U653" s="52"/>
    </row>
    <row r="654">
      <c r="M654" s="52"/>
      <c r="N654" s="52"/>
      <c r="O654" s="52"/>
      <c r="P654" s="52"/>
      <c r="Q654" s="52"/>
      <c r="U654" s="52"/>
    </row>
    <row r="655">
      <c r="M655" s="52"/>
      <c r="N655" s="52"/>
      <c r="O655" s="52"/>
      <c r="P655" s="52"/>
      <c r="Q655" s="52"/>
      <c r="U655" s="52"/>
    </row>
    <row r="656">
      <c r="M656" s="52"/>
      <c r="N656" s="52"/>
      <c r="O656" s="52"/>
      <c r="P656" s="52"/>
      <c r="Q656" s="52"/>
      <c r="U656" s="52"/>
    </row>
    <row r="657">
      <c r="M657" s="52"/>
      <c r="N657" s="52"/>
      <c r="O657" s="52"/>
      <c r="P657" s="52"/>
      <c r="Q657" s="52"/>
      <c r="U657" s="52"/>
    </row>
    <row r="658">
      <c r="M658" s="52"/>
      <c r="N658" s="52"/>
      <c r="O658" s="52"/>
      <c r="P658" s="52"/>
      <c r="Q658" s="52"/>
      <c r="U658" s="52"/>
    </row>
    <row r="659">
      <c r="M659" s="52"/>
      <c r="N659" s="52"/>
      <c r="O659" s="52"/>
      <c r="P659" s="52"/>
      <c r="Q659" s="52"/>
      <c r="U659" s="52"/>
    </row>
    <row r="660">
      <c r="M660" s="52"/>
      <c r="N660" s="52"/>
      <c r="O660" s="52"/>
      <c r="P660" s="52"/>
      <c r="Q660" s="52"/>
      <c r="U660" s="52"/>
    </row>
    <row r="661">
      <c r="M661" s="52"/>
      <c r="N661" s="52"/>
      <c r="O661" s="52"/>
      <c r="P661" s="52"/>
      <c r="Q661" s="52"/>
      <c r="U661" s="52"/>
    </row>
    <row r="662">
      <c r="M662" s="52"/>
      <c r="N662" s="52"/>
      <c r="O662" s="52"/>
      <c r="P662" s="52"/>
      <c r="Q662" s="52"/>
      <c r="U662" s="52"/>
    </row>
    <row r="663">
      <c r="M663" s="52"/>
      <c r="N663" s="52"/>
      <c r="O663" s="52"/>
      <c r="P663" s="52"/>
      <c r="Q663" s="52"/>
      <c r="U663" s="52"/>
    </row>
    <row r="664">
      <c r="M664" s="52"/>
      <c r="N664" s="52"/>
      <c r="O664" s="52"/>
      <c r="P664" s="52"/>
      <c r="Q664" s="52"/>
      <c r="U664" s="52"/>
    </row>
    <row r="665">
      <c r="M665" s="52"/>
      <c r="N665" s="52"/>
      <c r="O665" s="52"/>
      <c r="P665" s="52"/>
      <c r="Q665" s="52"/>
      <c r="U665" s="52"/>
    </row>
    <row r="666">
      <c r="M666" s="52"/>
      <c r="N666" s="52"/>
      <c r="O666" s="52"/>
      <c r="P666" s="52"/>
      <c r="Q666" s="52"/>
      <c r="U666" s="52"/>
    </row>
    <row r="667">
      <c r="M667" s="52"/>
      <c r="N667" s="52"/>
      <c r="O667" s="52"/>
      <c r="P667" s="52"/>
      <c r="Q667" s="52"/>
      <c r="U667" s="52"/>
    </row>
    <row r="668">
      <c r="M668" s="52"/>
      <c r="N668" s="52"/>
      <c r="O668" s="52"/>
      <c r="P668" s="52"/>
      <c r="Q668" s="52"/>
      <c r="U668" s="52"/>
    </row>
    <row r="669">
      <c r="M669" s="52"/>
      <c r="N669" s="52"/>
      <c r="O669" s="52"/>
      <c r="P669" s="52"/>
      <c r="Q669" s="52"/>
      <c r="U669" s="52"/>
    </row>
    <row r="670">
      <c r="M670" s="52"/>
      <c r="N670" s="52"/>
      <c r="O670" s="52"/>
      <c r="P670" s="52"/>
      <c r="Q670" s="52"/>
      <c r="U670" s="52"/>
    </row>
    <row r="671">
      <c r="M671" s="52"/>
      <c r="N671" s="52"/>
      <c r="O671" s="52"/>
      <c r="P671" s="52"/>
      <c r="Q671" s="52"/>
      <c r="U671" s="52"/>
    </row>
    <row r="672">
      <c r="M672" s="52"/>
      <c r="N672" s="52"/>
      <c r="O672" s="52"/>
      <c r="P672" s="52"/>
      <c r="Q672" s="52"/>
      <c r="U672" s="52"/>
    </row>
    <row r="673">
      <c r="M673" s="52"/>
      <c r="N673" s="52"/>
      <c r="O673" s="52"/>
      <c r="P673" s="52"/>
      <c r="Q673" s="52"/>
      <c r="U673" s="52"/>
    </row>
    <row r="674">
      <c r="M674" s="52"/>
      <c r="N674" s="52"/>
      <c r="O674" s="52"/>
      <c r="P674" s="52"/>
      <c r="Q674" s="52"/>
      <c r="U674" s="52"/>
    </row>
    <row r="675">
      <c r="M675" s="52"/>
      <c r="N675" s="52"/>
      <c r="O675" s="52"/>
      <c r="P675" s="52"/>
      <c r="Q675" s="52"/>
      <c r="U675" s="52"/>
    </row>
    <row r="676">
      <c r="M676" s="52"/>
      <c r="N676" s="52"/>
      <c r="O676" s="52"/>
      <c r="P676" s="52"/>
      <c r="Q676" s="52"/>
      <c r="U676" s="52"/>
    </row>
    <row r="677">
      <c r="M677" s="52"/>
      <c r="N677" s="52"/>
      <c r="O677" s="52"/>
      <c r="P677" s="52"/>
      <c r="Q677" s="52"/>
      <c r="U677" s="52"/>
    </row>
    <row r="678">
      <c r="M678" s="52"/>
      <c r="N678" s="52"/>
      <c r="O678" s="52"/>
      <c r="P678" s="52"/>
      <c r="Q678" s="52"/>
      <c r="U678" s="52"/>
    </row>
    <row r="679">
      <c r="M679" s="52"/>
      <c r="N679" s="52"/>
      <c r="O679" s="52"/>
      <c r="P679" s="52"/>
      <c r="Q679" s="52"/>
      <c r="U679" s="52"/>
    </row>
    <row r="680">
      <c r="M680" s="52"/>
      <c r="N680" s="52"/>
      <c r="O680" s="52"/>
      <c r="P680" s="52"/>
      <c r="Q680" s="52"/>
      <c r="U680" s="52"/>
    </row>
    <row r="681">
      <c r="M681" s="52"/>
      <c r="N681" s="52"/>
      <c r="O681" s="52"/>
      <c r="P681" s="52"/>
      <c r="Q681" s="52"/>
      <c r="U681" s="52"/>
    </row>
    <row r="682">
      <c r="M682" s="52"/>
      <c r="N682" s="52"/>
      <c r="O682" s="52"/>
      <c r="P682" s="52"/>
      <c r="Q682" s="52"/>
      <c r="U682" s="52"/>
    </row>
    <row r="683">
      <c r="M683" s="52"/>
      <c r="N683" s="52"/>
      <c r="O683" s="52"/>
      <c r="P683" s="52"/>
      <c r="Q683" s="52"/>
      <c r="U683" s="52"/>
    </row>
    <row r="684">
      <c r="M684" s="52"/>
      <c r="N684" s="52"/>
      <c r="O684" s="52"/>
      <c r="P684" s="52"/>
      <c r="Q684" s="52"/>
      <c r="U684" s="52"/>
    </row>
    <row r="685">
      <c r="M685" s="52"/>
      <c r="N685" s="52"/>
      <c r="O685" s="52"/>
      <c r="P685" s="52"/>
      <c r="Q685" s="52"/>
      <c r="U685" s="52"/>
    </row>
    <row r="686">
      <c r="M686" s="52"/>
      <c r="N686" s="52"/>
      <c r="O686" s="52"/>
      <c r="P686" s="52"/>
      <c r="Q686" s="52"/>
      <c r="U686" s="52"/>
    </row>
    <row r="687">
      <c r="M687" s="52"/>
      <c r="N687" s="52"/>
      <c r="O687" s="52"/>
      <c r="P687" s="52"/>
      <c r="Q687" s="52"/>
      <c r="U687" s="52"/>
    </row>
    <row r="688">
      <c r="M688" s="52"/>
      <c r="N688" s="52"/>
      <c r="O688" s="52"/>
      <c r="P688" s="52"/>
      <c r="Q688" s="52"/>
      <c r="U688" s="52"/>
    </row>
    <row r="689">
      <c r="M689" s="52"/>
      <c r="N689" s="52"/>
      <c r="O689" s="52"/>
      <c r="P689" s="52"/>
      <c r="Q689" s="52"/>
      <c r="U689" s="52"/>
    </row>
    <row r="690">
      <c r="M690" s="52"/>
      <c r="N690" s="52"/>
      <c r="O690" s="52"/>
      <c r="P690" s="52"/>
      <c r="Q690" s="52"/>
      <c r="U690" s="52"/>
    </row>
    <row r="691">
      <c r="M691" s="52"/>
      <c r="N691" s="52"/>
      <c r="O691" s="52"/>
      <c r="P691" s="52"/>
      <c r="Q691" s="52"/>
      <c r="U691" s="52"/>
    </row>
    <row r="692">
      <c r="M692" s="52"/>
      <c r="N692" s="52"/>
      <c r="O692" s="52"/>
      <c r="P692" s="52"/>
      <c r="Q692" s="52"/>
      <c r="U692" s="52"/>
    </row>
    <row r="693">
      <c r="M693" s="52"/>
      <c r="N693" s="52"/>
      <c r="O693" s="52"/>
      <c r="P693" s="52"/>
      <c r="Q693" s="52"/>
      <c r="U693" s="52"/>
    </row>
    <row r="694">
      <c r="M694" s="52"/>
      <c r="N694" s="52"/>
      <c r="O694" s="52"/>
      <c r="P694" s="52"/>
      <c r="Q694" s="52"/>
      <c r="U694" s="52"/>
    </row>
    <row r="695">
      <c r="M695" s="52"/>
      <c r="N695" s="52"/>
      <c r="O695" s="52"/>
      <c r="P695" s="52"/>
      <c r="Q695" s="52"/>
      <c r="U695" s="52"/>
    </row>
    <row r="696">
      <c r="M696" s="52"/>
      <c r="N696" s="52"/>
      <c r="O696" s="52"/>
      <c r="P696" s="52"/>
      <c r="Q696" s="52"/>
      <c r="U696" s="52"/>
    </row>
    <row r="697">
      <c r="M697" s="52"/>
      <c r="N697" s="52"/>
      <c r="O697" s="52"/>
      <c r="P697" s="52"/>
      <c r="Q697" s="52"/>
      <c r="U697" s="52"/>
    </row>
    <row r="698">
      <c r="M698" s="52"/>
      <c r="N698" s="52"/>
      <c r="O698" s="52"/>
      <c r="P698" s="52"/>
      <c r="Q698" s="52"/>
      <c r="U698" s="52"/>
    </row>
    <row r="699">
      <c r="M699" s="52"/>
      <c r="N699" s="52"/>
      <c r="O699" s="52"/>
      <c r="P699" s="52"/>
      <c r="Q699" s="52"/>
      <c r="U699" s="52"/>
    </row>
    <row r="700">
      <c r="M700" s="52"/>
      <c r="N700" s="52"/>
      <c r="O700" s="52"/>
      <c r="P700" s="52"/>
      <c r="Q700" s="52"/>
      <c r="U700" s="52"/>
    </row>
    <row r="701">
      <c r="M701" s="52"/>
      <c r="N701" s="52"/>
      <c r="O701" s="52"/>
      <c r="P701" s="52"/>
      <c r="Q701" s="52"/>
      <c r="U701" s="52"/>
    </row>
    <row r="702">
      <c r="M702" s="52"/>
      <c r="N702" s="52"/>
      <c r="O702" s="52"/>
      <c r="P702" s="52"/>
      <c r="Q702" s="52"/>
      <c r="U702" s="52"/>
    </row>
    <row r="703">
      <c r="M703" s="52"/>
      <c r="N703" s="52"/>
      <c r="O703" s="52"/>
      <c r="P703" s="52"/>
      <c r="Q703" s="52"/>
      <c r="U703" s="52"/>
    </row>
    <row r="704">
      <c r="M704" s="52"/>
      <c r="N704" s="52"/>
      <c r="O704" s="52"/>
      <c r="P704" s="52"/>
      <c r="Q704" s="52"/>
      <c r="U704" s="52"/>
    </row>
    <row r="705">
      <c r="M705" s="52"/>
      <c r="N705" s="52"/>
      <c r="O705" s="52"/>
      <c r="P705" s="52"/>
      <c r="Q705" s="52"/>
      <c r="U705" s="52"/>
    </row>
    <row r="706">
      <c r="M706" s="52"/>
      <c r="N706" s="52"/>
      <c r="O706" s="52"/>
      <c r="P706" s="52"/>
      <c r="Q706" s="52"/>
      <c r="U706" s="52"/>
    </row>
    <row r="707">
      <c r="M707" s="52"/>
      <c r="N707" s="52"/>
      <c r="O707" s="52"/>
      <c r="P707" s="52"/>
      <c r="Q707" s="52"/>
      <c r="U707" s="52"/>
    </row>
    <row r="708">
      <c r="M708" s="52"/>
      <c r="N708" s="52"/>
      <c r="O708" s="52"/>
      <c r="P708" s="52"/>
      <c r="Q708" s="52"/>
      <c r="U708" s="52"/>
    </row>
    <row r="709">
      <c r="M709" s="52"/>
      <c r="N709" s="52"/>
      <c r="O709" s="52"/>
      <c r="P709" s="52"/>
      <c r="Q709" s="52"/>
      <c r="U709" s="52"/>
    </row>
    <row r="710">
      <c r="M710" s="52"/>
      <c r="N710" s="52"/>
      <c r="O710" s="52"/>
      <c r="P710" s="52"/>
      <c r="Q710" s="52"/>
      <c r="U710" s="52"/>
    </row>
    <row r="711">
      <c r="M711" s="52"/>
      <c r="N711" s="52"/>
      <c r="O711" s="52"/>
      <c r="P711" s="52"/>
      <c r="Q711" s="52"/>
      <c r="U711" s="52"/>
    </row>
    <row r="712">
      <c r="M712" s="52"/>
      <c r="N712" s="52"/>
      <c r="O712" s="52"/>
      <c r="P712" s="52"/>
      <c r="Q712" s="52"/>
      <c r="U712" s="52"/>
    </row>
    <row r="713">
      <c r="M713" s="52"/>
      <c r="N713" s="52"/>
      <c r="O713" s="52"/>
      <c r="P713" s="52"/>
      <c r="Q713" s="52"/>
      <c r="U713" s="52"/>
    </row>
    <row r="714">
      <c r="M714" s="52"/>
      <c r="N714" s="52"/>
      <c r="O714" s="52"/>
      <c r="P714" s="52"/>
      <c r="Q714" s="52"/>
      <c r="U714" s="52"/>
    </row>
    <row r="715">
      <c r="M715" s="52"/>
      <c r="N715" s="52"/>
      <c r="O715" s="52"/>
      <c r="P715" s="52"/>
      <c r="Q715" s="52"/>
      <c r="U715" s="52"/>
    </row>
    <row r="716">
      <c r="M716" s="52"/>
      <c r="N716" s="52"/>
      <c r="O716" s="52"/>
      <c r="P716" s="52"/>
      <c r="Q716" s="52"/>
      <c r="U716" s="52"/>
    </row>
    <row r="717">
      <c r="M717" s="52"/>
      <c r="N717" s="52"/>
      <c r="O717" s="52"/>
      <c r="P717" s="52"/>
      <c r="Q717" s="52"/>
      <c r="U717" s="52"/>
    </row>
    <row r="718">
      <c r="M718" s="52"/>
      <c r="N718" s="52"/>
      <c r="O718" s="52"/>
      <c r="P718" s="52"/>
      <c r="Q718" s="52"/>
      <c r="U718" s="52"/>
    </row>
    <row r="719">
      <c r="M719" s="52"/>
      <c r="N719" s="52"/>
      <c r="O719" s="52"/>
      <c r="P719" s="52"/>
      <c r="Q719" s="52"/>
      <c r="U719" s="52"/>
    </row>
    <row r="720">
      <c r="M720" s="52"/>
      <c r="N720" s="52"/>
      <c r="O720" s="52"/>
      <c r="P720" s="52"/>
      <c r="Q720" s="52"/>
      <c r="U720" s="52"/>
    </row>
    <row r="721">
      <c r="M721" s="52"/>
      <c r="N721" s="52"/>
      <c r="O721" s="52"/>
      <c r="P721" s="52"/>
      <c r="Q721" s="52"/>
      <c r="U721" s="52"/>
    </row>
    <row r="722">
      <c r="M722" s="52"/>
      <c r="N722" s="52"/>
      <c r="O722" s="52"/>
      <c r="P722" s="52"/>
      <c r="Q722" s="52"/>
      <c r="U722" s="52"/>
    </row>
    <row r="723">
      <c r="M723" s="52"/>
      <c r="N723" s="52"/>
      <c r="O723" s="52"/>
      <c r="P723" s="52"/>
      <c r="Q723" s="52"/>
      <c r="U723" s="52"/>
    </row>
    <row r="724">
      <c r="M724" s="52"/>
      <c r="N724" s="52"/>
      <c r="O724" s="52"/>
      <c r="P724" s="52"/>
      <c r="Q724" s="52"/>
      <c r="U724" s="52"/>
    </row>
    <row r="725">
      <c r="M725" s="52"/>
      <c r="N725" s="52"/>
      <c r="O725" s="52"/>
      <c r="P725" s="52"/>
      <c r="Q725" s="52"/>
      <c r="U725" s="52"/>
    </row>
    <row r="726">
      <c r="M726" s="52"/>
      <c r="N726" s="52"/>
      <c r="O726" s="52"/>
      <c r="P726" s="52"/>
      <c r="Q726" s="52"/>
      <c r="U726" s="52"/>
    </row>
    <row r="727">
      <c r="M727" s="52"/>
      <c r="N727" s="52"/>
      <c r="O727" s="52"/>
      <c r="P727" s="52"/>
      <c r="Q727" s="52"/>
      <c r="U727" s="52"/>
    </row>
    <row r="728">
      <c r="M728" s="52"/>
      <c r="N728" s="52"/>
      <c r="O728" s="52"/>
      <c r="P728" s="52"/>
      <c r="Q728" s="52"/>
      <c r="U728" s="52"/>
    </row>
    <row r="729">
      <c r="M729" s="52"/>
      <c r="N729" s="52"/>
      <c r="O729" s="52"/>
      <c r="P729" s="52"/>
      <c r="Q729" s="52"/>
      <c r="U729" s="52"/>
    </row>
    <row r="730">
      <c r="M730" s="52"/>
      <c r="N730" s="52"/>
      <c r="O730" s="52"/>
      <c r="P730" s="52"/>
      <c r="Q730" s="52"/>
      <c r="U730" s="52"/>
    </row>
    <row r="731">
      <c r="M731" s="52"/>
      <c r="N731" s="52"/>
      <c r="O731" s="52"/>
      <c r="P731" s="52"/>
      <c r="Q731" s="52"/>
      <c r="U731" s="52"/>
    </row>
    <row r="732">
      <c r="M732" s="52"/>
      <c r="N732" s="52"/>
      <c r="O732" s="52"/>
      <c r="P732" s="52"/>
      <c r="Q732" s="52"/>
      <c r="U732" s="52"/>
    </row>
    <row r="733">
      <c r="M733" s="52"/>
      <c r="N733" s="52"/>
      <c r="O733" s="52"/>
      <c r="P733" s="52"/>
      <c r="Q733" s="52"/>
      <c r="U733" s="52"/>
    </row>
    <row r="734">
      <c r="M734" s="52"/>
      <c r="N734" s="52"/>
      <c r="O734" s="52"/>
      <c r="P734" s="52"/>
      <c r="Q734" s="52"/>
      <c r="U734" s="52"/>
    </row>
    <row r="735">
      <c r="M735" s="52"/>
      <c r="N735" s="52"/>
      <c r="O735" s="52"/>
      <c r="P735" s="52"/>
      <c r="Q735" s="52"/>
      <c r="U735" s="52"/>
    </row>
    <row r="736">
      <c r="M736" s="52"/>
      <c r="N736" s="52"/>
      <c r="O736" s="52"/>
      <c r="P736" s="52"/>
      <c r="Q736" s="52"/>
      <c r="U736" s="52"/>
    </row>
    <row r="737">
      <c r="M737" s="52"/>
      <c r="N737" s="52"/>
      <c r="O737" s="52"/>
      <c r="P737" s="52"/>
      <c r="Q737" s="52"/>
      <c r="U737" s="52"/>
    </row>
    <row r="738">
      <c r="M738" s="52"/>
      <c r="N738" s="52"/>
      <c r="O738" s="52"/>
      <c r="P738" s="52"/>
      <c r="Q738" s="52"/>
      <c r="U738" s="52"/>
    </row>
    <row r="739">
      <c r="M739" s="52"/>
      <c r="N739" s="52"/>
      <c r="O739" s="52"/>
      <c r="P739" s="52"/>
      <c r="Q739" s="52"/>
      <c r="U739" s="52"/>
    </row>
    <row r="740">
      <c r="M740" s="52"/>
      <c r="N740" s="52"/>
      <c r="O740" s="52"/>
      <c r="P740" s="52"/>
      <c r="Q740" s="52"/>
      <c r="U740" s="52"/>
    </row>
    <row r="741">
      <c r="M741" s="52"/>
      <c r="N741" s="52"/>
      <c r="O741" s="52"/>
      <c r="P741" s="52"/>
      <c r="Q741" s="52"/>
      <c r="U741" s="52"/>
    </row>
    <row r="742">
      <c r="M742" s="52"/>
      <c r="N742" s="52"/>
      <c r="O742" s="52"/>
      <c r="P742" s="52"/>
      <c r="Q742" s="52"/>
      <c r="U742" s="52"/>
    </row>
    <row r="743">
      <c r="M743" s="52"/>
      <c r="N743" s="52"/>
      <c r="O743" s="52"/>
      <c r="P743" s="52"/>
      <c r="Q743" s="52"/>
      <c r="U743" s="52"/>
    </row>
    <row r="744">
      <c r="M744" s="52"/>
      <c r="N744" s="52"/>
      <c r="O744" s="52"/>
      <c r="P744" s="52"/>
      <c r="Q744" s="52"/>
      <c r="U744" s="52"/>
    </row>
    <row r="745">
      <c r="M745" s="52"/>
      <c r="N745" s="52"/>
      <c r="O745" s="52"/>
      <c r="P745" s="52"/>
      <c r="Q745" s="52"/>
      <c r="U745" s="52"/>
    </row>
    <row r="746">
      <c r="M746" s="52"/>
      <c r="N746" s="52"/>
      <c r="O746" s="52"/>
      <c r="P746" s="52"/>
      <c r="Q746" s="52"/>
      <c r="U746" s="52"/>
    </row>
    <row r="747">
      <c r="M747" s="52"/>
      <c r="N747" s="52"/>
      <c r="O747" s="52"/>
      <c r="P747" s="52"/>
      <c r="Q747" s="52"/>
      <c r="U747" s="52"/>
    </row>
    <row r="748">
      <c r="M748" s="52"/>
      <c r="N748" s="52"/>
      <c r="O748" s="52"/>
      <c r="P748" s="52"/>
      <c r="Q748" s="52"/>
      <c r="U748" s="52"/>
    </row>
    <row r="749">
      <c r="M749" s="52"/>
      <c r="N749" s="52"/>
      <c r="O749" s="52"/>
      <c r="P749" s="52"/>
      <c r="Q749" s="52"/>
      <c r="U749" s="52"/>
    </row>
    <row r="750">
      <c r="M750" s="52"/>
      <c r="N750" s="52"/>
      <c r="O750" s="52"/>
      <c r="P750" s="52"/>
      <c r="Q750" s="52"/>
      <c r="U750" s="52"/>
    </row>
    <row r="751">
      <c r="M751" s="52"/>
      <c r="N751" s="52"/>
      <c r="O751" s="52"/>
      <c r="P751" s="52"/>
      <c r="Q751" s="52"/>
      <c r="U751" s="52"/>
    </row>
    <row r="752">
      <c r="M752" s="52"/>
      <c r="N752" s="52"/>
      <c r="O752" s="52"/>
      <c r="P752" s="52"/>
      <c r="Q752" s="52"/>
      <c r="U752" s="52"/>
    </row>
    <row r="753">
      <c r="M753" s="52"/>
      <c r="N753" s="52"/>
      <c r="O753" s="52"/>
      <c r="P753" s="52"/>
      <c r="Q753" s="52"/>
      <c r="U753" s="52"/>
    </row>
    <row r="754">
      <c r="M754" s="52"/>
      <c r="N754" s="52"/>
      <c r="O754" s="52"/>
      <c r="P754" s="52"/>
      <c r="Q754" s="52"/>
      <c r="U754" s="52"/>
    </row>
    <row r="755">
      <c r="M755" s="52"/>
      <c r="N755" s="52"/>
      <c r="O755" s="52"/>
      <c r="P755" s="52"/>
      <c r="Q755" s="52"/>
      <c r="U755" s="52"/>
    </row>
    <row r="756">
      <c r="M756" s="52"/>
      <c r="N756" s="52"/>
      <c r="O756" s="52"/>
      <c r="P756" s="52"/>
      <c r="Q756" s="52"/>
      <c r="U756" s="52"/>
    </row>
    <row r="757">
      <c r="M757" s="52"/>
      <c r="N757" s="52"/>
      <c r="O757" s="52"/>
      <c r="P757" s="52"/>
      <c r="Q757" s="52"/>
      <c r="U757" s="52"/>
    </row>
    <row r="758">
      <c r="M758" s="52"/>
      <c r="N758" s="52"/>
      <c r="O758" s="52"/>
      <c r="P758" s="52"/>
      <c r="Q758" s="52"/>
      <c r="U758" s="52"/>
    </row>
    <row r="759">
      <c r="M759" s="52"/>
      <c r="N759" s="52"/>
      <c r="O759" s="52"/>
      <c r="P759" s="52"/>
      <c r="Q759" s="52"/>
      <c r="U759" s="52"/>
    </row>
    <row r="760">
      <c r="M760" s="52"/>
      <c r="N760" s="52"/>
      <c r="O760" s="52"/>
      <c r="P760" s="52"/>
      <c r="Q760" s="52"/>
      <c r="U760" s="52"/>
    </row>
    <row r="761">
      <c r="M761" s="52"/>
      <c r="N761" s="52"/>
      <c r="O761" s="52"/>
      <c r="P761" s="52"/>
      <c r="Q761" s="52"/>
      <c r="U761" s="52"/>
    </row>
    <row r="762">
      <c r="M762" s="52"/>
      <c r="N762" s="52"/>
      <c r="O762" s="52"/>
      <c r="P762" s="52"/>
      <c r="Q762" s="52"/>
      <c r="U762" s="52"/>
    </row>
    <row r="763">
      <c r="M763" s="52"/>
      <c r="N763" s="52"/>
      <c r="O763" s="52"/>
      <c r="P763" s="52"/>
      <c r="Q763" s="52"/>
      <c r="U763" s="52"/>
    </row>
    <row r="764">
      <c r="M764" s="52"/>
      <c r="N764" s="52"/>
      <c r="O764" s="52"/>
      <c r="P764" s="52"/>
      <c r="Q764" s="52"/>
      <c r="U764" s="52"/>
    </row>
    <row r="765">
      <c r="M765" s="52"/>
      <c r="N765" s="52"/>
      <c r="O765" s="52"/>
      <c r="P765" s="52"/>
      <c r="Q765" s="52"/>
      <c r="U765" s="52"/>
    </row>
    <row r="766">
      <c r="M766" s="52"/>
      <c r="N766" s="52"/>
      <c r="O766" s="52"/>
      <c r="P766" s="52"/>
      <c r="Q766" s="52"/>
      <c r="U766" s="52"/>
    </row>
    <row r="767">
      <c r="M767" s="52"/>
      <c r="N767" s="52"/>
      <c r="O767" s="52"/>
      <c r="P767" s="52"/>
      <c r="Q767" s="52"/>
      <c r="U767" s="52"/>
    </row>
    <row r="768">
      <c r="M768" s="52"/>
      <c r="N768" s="52"/>
      <c r="O768" s="52"/>
      <c r="P768" s="52"/>
      <c r="Q768" s="52"/>
      <c r="U768" s="52"/>
    </row>
    <row r="769">
      <c r="M769" s="52"/>
      <c r="N769" s="52"/>
      <c r="O769" s="52"/>
      <c r="P769" s="52"/>
      <c r="Q769" s="52"/>
      <c r="U769" s="52"/>
    </row>
    <row r="770">
      <c r="M770" s="52"/>
      <c r="N770" s="52"/>
      <c r="O770" s="52"/>
      <c r="P770" s="52"/>
      <c r="Q770" s="52"/>
      <c r="U770" s="52"/>
    </row>
    <row r="771">
      <c r="M771" s="52"/>
      <c r="N771" s="52"/>
      <c r="O771" s="52"/>
      <c r="P771" s="52"/>
      <c r="Q771" s="52"/>
      <c r="U771" s="52"/>
    </row>
    <row r="772">
      <c r="M772" s="52"/>
      <c r="N772" s="52"/>
      <c r="O772" s="52"/>
      <c r="P772" s="52"/>
      <c r="Q772" s="52"/>
      <c r="U772" s="52"/>
    </row>
    <row r="773">
      <c r="M773" s="52"/>
      <c r="N773" s="52"/>
      <c r="O773" s="52"/>
      <c r="P773" s="52"/>
      <c r="Q773" s="52"/>
      <c r="U773" s="52"/>
    </row>
    <row r="774">
      <c r="M774" s="52"/>
      <c r="N774" s="52"/>
      <c r="O774" s="52"/>
      <c r="P774" s="52"/>
      <c r="Q774" s="52"/>
      <c r="U774" s="52"/>
    </row>
    <row r="775">
      <c r="M775" s="52"/>
      <c r="N775" s="52"/>
      <c r="O775" s="52"/>
      <c r="P775" s="52"/>
      <c r="Q775" s="52"/>
      <c r="U775" s="52"/>
    </row>
    <row r="776">
      <c r="M776" s="52"/>
      <c r="N776" s="52"/>
      <c r="O776" s="52"/>
      <c r="P776" s="52"/>
      <c r="Q776" s="52"/>
      <c r="U776" s="52"/>
    </row>
    <row r="777">
      <c r="M777" s="52"/>
      <c r="N777" s="52"/>
      <c r="O777" s="52"/>
      <c r="P777" s="52"/>
      <c r="Q777" s="52"/>
      <c r="U777" s="52"/>
    </row>
    <row r="778">
      <c r="M778" s="52"/>
      <c r="N778" s="52"/>
      <c r="O778" s="52"/>
      <c r="P778" s="52"/>
      <c r="Q778" s="52"/>
      <c r="U778" s="52"/>
    </row>
    <row r="779">
      <c r="M779" s="52"/>
      <c r="N779" s="52"/>
      <c r="O779" s="52"/>
      <c r="P779" s="52"/>
      <c r="Q779" s="52"/>
      <c r="U779" s="52"/>
    </row>
    <row r="780">
      <c r="M780" s="52"/>
      <c r="N780" s="52"/>
      <c r="O780" s="52"/>
      <c r="P780" s="52"/>
      <c r="Q780" s="52"/>
      <c r="U780" s="52"/>
    </row>
    <row r="781">
      <c r="M781" s="52"/>
      <c r="N781" s="52"/>
      <c r="O781" s="52"/>
      <c r="P781" s="52"/>
      <c r="Q781" s="52"/>
      <c r="U781" s="52"/>
    </row>
    <row r="782">
      <c r="M782" s="52"/>
      <c r="N782" s="52"/>
      <c r="O782" s="52"/>
      <c r="P782" s="52"/>
      <c r="Q782" s="52"/>
      <c r="U782" s="52"/>
    </row>
    <row r="783">
      <c r="M783" s="52"/>
      <c r="N783" s="52"/>
      <c r="O783" s="52"/>
      <c r="P783" s="52"/>
      <c r="Q783" s="52"/>
      <c r="U783" s="52"/>
    </row>
    <row r="784">
      <c r="M784" s="52"/>
      <c r="N784" s="52"/>
      <c r="O784" s="52"/>
      <c r="P784" s="52"/>
      <c r="Q784" s="52"/>
      <c r="U784" s="52"/>
    </row>
    <row r="785">
      <c r="M785" s="52"/>
      <c r="N785" s="52"/>
      <c r="O785" s="52"/>
      <c r="P785" s="52"/>
      <c r="Q785" s="52"/>
      <c r="U785" s="52"/>
    </row>
    <row r="786">
      <c r="M786" s="52"/>
      <c r="N786" s="52"/>
      <c r="O786" s="52"/>
      <c r="P786" s="52"/>
      <c r="Q786" s="52"/>
      <c r="U786" s="52"/>
    </row>
    <row r="787">
      <c r="M787" s="52"/>
      <c r="N787" s="52"/>
      <c r="O787" s="52"/>
      <c r="P787" s="52"/>
      <c r="Q787" s="52"/>
      <c r="U787" s="52"/>
    </row>
    <row r="788">
      <c r="M788" s="52"/>
      <c r="N788" s="52"/>
      <c r="O788" s="52"/>
      <c r="P788" s="52"/>
      <c r="Q788" s="52"/>
      <c r="U788" s="52"/>
    </row>
    <row r="789">
      <c r="M789" s="52"/>
      <c r="N789" s="52"/>
      <c r="O789" s="52"/>
      <c r="P789" s="52"/>
      <c r="Q789" s="52"/>
      <c r="U789" s="52"/>
    </row>
    <row r="790">
      <c r="M790" s="52"/>
      <c r="N790" s="52"/>
      <c r="O790" s="52"/>
      <c r="P790" s="52"/>
      <c r="Q790" s="52"/>
      <c r="U790" s="52"/>
    </row>
    <row r="791">
      <c r="M791" s="52"/>
      <c r="N791" s="52"/>
      <c r="O791" s="52"/>
      <c r="P791" s="52"/>
      <c r="Q791" s="52"/>
      <c r="U791" s="52"/>
    </row>
    <row r="792">
      <c r="M792" s="52"/>
      <c r="N792" s="52"/>
      <c r="O792" s="52"/>
      <c r="P792" s="52"/>
      <c r="Q792" s="52"/>
      <c r="U792" s="52"/>
    </row>
    <row r="793">
      <c r="M793" s="52"/>
      <c r="N793" s="52"/>
      <c r="O793" s="52"/>
      <c r="P793" s="52"/>
      <c r="Q793" s="52"/>
      <c r="U793" s="52"/>
    </row>
    <row r="794">
      <c r="M794" s="52"/>
      <c r="N794" s="52"/>
      <c r="O794" s="52"/>
      <c r="P794" s="52"/>
      <c r="Q794" s="52"/>
      <c r="U794" s="52"/>
    </row>
    <row r="795">
      <c r="M795" s="52"/>
      <c r="N795" s="52"/>
      <c r="O795" s="52"/>
      <c r="P795" s="52"/>
      <c r="Q795" s="52"/>
      <c r="U795" s="52"/>
    </row>
    <row r="796">
      <c r="M796" s="52"/>
      <c r="N796" s="52"/>
      <c r="O796" s="52"/>
      <c r="P796" s="52"/>
      <c r="Q796" s="52"/>
      <c r="U796" s="52"/>
    </row>
    <row r="797">
      <c r="M797" s="52"/>
      <c r="N797" s="52"/>
      <c r="O797" s="52"/>
      <c r="P797" s="52"/>
      <c r="Q797" s="52"/>
      <c r="U797" s="52"/>
    </row>
    <row r="798">
      <c r="M798" s="52"/>
      <c r="N798" s="52"/>
      <c r="O798" s="52"/>
      <c r="P798" s="52"/>
      <c r="Q798" s="52"/>
      <c r="U798" s="52"/>
    </row>
    <row r="799">
      <c r="M799" s="52"/>
      <c r="N799" s="52"/>
      <c r="O799" s="52"/>
      <c r="P799" s="52"/>
      <c r="Q799" s="52"/>
      <c r="U799" s="52"/>
    </row>
    <row r="800">
      <c r="M800" s="52"/>
      <c r="N800" s="52"/>
      <c r="O800" s="52"/>
      <c r="P800" s="52"/>
      <c r="Q800" s="52"/>
      <c r="U800" s="52"/>
    </row>
    <row r="801">
      <c r="M801" s="52"/>
      <c r="N801" s="52"/>
      <c r="O801" s="52"/>
      <c r="P801" s="52"/>
      <c r="Q801" s="52"/>
      <c r="U801" s="52"/>
    </row>
    <row r="802">
      <c r="M802" s="52"/>
      <c r="N802" s="52"/>
      <c r="O802" s="52"/>
      <c r="P802" s="52"/>
      <c r="Q802" s="52"/>
      <c r="U802" s="52"/>
    </row>
    <row r="803">
      <c r="M803" s="52"/>
      <c r="N803" s="52"/>
      <c r="O803" s="52"/>
      <c r="P803" s="52"/>
      <c r="Q803" s="52"/>
      <c r="U803" s="52"/>
    </row>
    <row r="804">
      <c r="M804" s="52"/>
      <c r="N804" s="52"/>
      <c r="O804" s="52"/>
      <c r="P804" s="52"/>
      <c r="Q804" s="52"/>
      <c r="U804" s="52"/>
    </row>
    <row r="805">
      <c r="M805" s="52"/>
      <c r="N805" s="52"/>
      <c r="O805" s="52"/>
      <c r="P805" s="52"/>
      <c r="Q805" s="52"/>
      <c r="U805" s="52"/>
    </row>
    <row r="806">
      <c r="M806" s="52"/>
      <c r="N806" s="52"/>
      <c r="O806" s="52"/>
      <c r="P806" s="52"/>
      <c r="Q806" s="52"/>
      <c r="U806" s="52"/>
    </row>
    <row r="807">
      <c r="M807" s="52"/>
      <c r="N807" s="52"/>
      <c r="O807" s="52"/>
      <c r="P807" s="52"/>
      <c r="Q807" s="52"/>
      <c r="U807" s="52"/>
    </row>
    <row r="808">
      <c r="M808" s="52"/>
      <c r="N808" s="52"/>
      <c r="O808" s="52"/>
      <c r="P808" s="52"/>
      <c r="Q808" s="52"/>
      <c r="U808" s="52"/>
    </row>
    <row r="809">
      <c r="M809" s="52"/>
      <c r="N809" s="52"/>
      <c r="O809" s="52"/>
      <c r="P809" s="52"/>
      <c r="Q809" s="52"/>
      <c r="U809" s="52"/>
    </row>
    <row r="810">
      <c r="M810" s="52"/>
      <c r="N810" s="52"/>
      <c r="O810" s="52"/>
      <c r="P810" s="52"/>
      <c r="Q810" s="52"/>
      <c r="U810" s="52"/>
    </row>
    <row r="811">
      <c r="M811" s="52"/>
      <c r="N811" s="52"/>
      <c r="O811" s="52"/>
      <c r="P811" s="52"/>
      <c r="Q811" s="52"/>
      <c r="U811" s="52"/>
    </row>
    <row r="812">
      <c r="M812" s="52"/>
      <c r="N812" s="52"/>
      <c r="O812" s="52"/>
      <c r="P812" s="52"/>
      <c r="Q812" s="52"/>
      <c r="U812" s="52"/>
    </row>
    <row r="813">
      <c r="M813" s="52"/>
      <c r="N813" s="52"/>
      <c r="O813" s="52"/>
      <c r="P813" s="52"/>
      <c r="Q813" s="52"/>
      <c r="U813" s="52"/>
    </row>
    <row r="814">
      <c r="M814" s="52"/>
      <c r="N814" s="52"/>
      <c r="O814" s="52"/>
      <c r="P814" s="52"/>
      <c r="Q814" s="52"/>
      <c r="U814" s="52"/>
    </row>
    <row r="815">
      <c r="M815" s="52"/>
      <c r="N815" s="52"/>
      <c r="O815" s="52"/>
      <c r="P815" s="52"/>
      <c r="Q815" s="52"/>
      <c r="U815" s="52"/>
    </row>
    <row r="816">
      <c r="M816" s="52"/>
      <c r="N816" s="52"/>
      <c r="O816" s="52"/>
      <c r="P816" s="52"/>
      <c r="Q816" s="52"/>
      <c r="U816" s="52"/>
    </row>
    <row r="817">
      <c r="M817" s="52"/>
      <c r="N817" s="52"/>
      <c r="O817" s="52"/>
      <c r="P817" s="52"/>
      <c r="Q817" s="52"/>
      <c r="U817" s="52"/>
    </row>
    <row r="818">
      <c r="M818" s="52"/>
      <c r="N818" s="52"/>
      <c r="O818" s="52"/>
      <c r="P818" s="52"/>
      <c r="Q818" s="52"/>
      <c r="U818" s="52"/>
    </row>
    <row r="819">
      <c r="M819" s="52"/>
      <c r="N819" s="52"/>
      <c r="O819" s="52"/>
      <c r="P819" s="52"/>
      <c r="Q819" s="52"/>
      <c r="U819" s="52"/>
    </row>
    <row r="820">
      <c r="M820" s="52"/>
      <c r="N820" s="52"/>
      <c r="O820" s="52"/>
      <c r="P820" s="52"/>
      <c r="Q820" s="52"/>
      <c r="U820" s="52"/>
    </row>
    <row r="821">
      <c r="M821" s="52"/>
      <c r="N821" s="52"/>
      <c r="O821" s="52"/>
      <c r="P821" s="52"/>
      <c r="Q821" s="52"/>
      <c r="U821" s="52"/>
    </row>
    <row r="822">
      <c r="M822" s="52"/>
      <c r="N822" s="52"/>
      <c r="O822" s="52"/>
      <c r="P822" s="52"/>
      <c r="Q822" s="52"/>
      <c r="U822" s="52"/>
    </row>
    <row r="823">
      <c r="M823" s="52"/>
      <c r="N823" s="52"/>
      <c r="O823" s="52"/>
      <c r="P823" s="52"/>
      <c r="Q823" s="52"/>
      <c r="U823" s="52"/>
    </row>
    <row r="824">
      <c r="M824" s="52"/>
      <c r="N824" s="52"/>
      <c r="O824" s="52"/>
      <c r="P824" s="52"/>
      <c r="Q824" s="52"/>
      <c r="U824" s="52"/>
    </row>
    <row r="825">
      <c r="M825" s="52"/>
      <c r="N825" s="52"/>
      <c r="O825" s="52"/>
      <c r="P825" s="52"/>
      <c r="Q825" s="52"/>
      <c r="U825" s="52"/>
    </row>
    <row r="826">
      <c r="M826" s="52"/>
      <c r="N826" s="52"/>
      <c r="O826" s="52"/>
      <c r="P826" s="52"/>
      <c r="Q826" s="52"/>
      <c r="U826" s="52"/>
    </row>
    <row r="827">
      <c r="M827" s="52"/>
      <c r="N827" s="52"/>
      <c r="O827" s="52"/>
      <c r="P827" s="52"/>
      <c r="Q827" s="52"/>
      <c r="U827" s="52"/>
    </row>
    <row r="828">
      <c r="M828" s="52"/>
      <c r="N828" s="52"/>
      <c r="O828" s="52"/>
      <c r="P828" s="52"/>
      <c r="Q828" s="52"/>
      <c r="U828" s="52"/>
    </row>
    <row r="829">
      <c r="M829" s="52"/>
      <c r="N829" s="52"/>
      <c r="O829" s="52"/>
      <c r="P829" s="52"/>
      <c r="Q829" s="52"/>
      <c r="U829" s="52"/>
    </row>
    <row r="830">
      <c r="M830" s="52"/>
      <c r="N830" s="52"/>
      <c r="O830" s="52"/>
      <c r="P830" s="52"/>
      <c r="Q830" s="52"/>
      <c r="U830" s="52"/>
    </row>
    <row r="831">
      <c r="M831" s="52"/>
      <c r="N831" s="52"/>
      <c r="O831" s="52"/>
      <c r="P831" s="52"/>
      <c r="Q831" s="52"/>
      <c r="U831" s="52"/>
    </row>
    <row r="832">
      <c r="M832" s="52"/>
      <c r="N832" s="52"/>
      <c r="O832" s="52"/>
      <c r="P832" s="52"/>
      <c r="Q832" s="52"/>
      <c r="U832" s="52"/>
    </row>
    <row r="833">
      <c r="M833" s="52"/>
      <c r="N833" s="52"/>
      <c r="O833" s="52"/>
      <c r="P833" s="52"/>
      <c r="Q833" s="52"/>
      <c r="U833" s="52"/>
    </row>
    <row r="834">
      <c r="M834" s="52"/>
      <c r="N834" s="52"/>
      <c r="O834" s="52"/>
      <c r="P834" s="52"/>
      <c r="Q834" s="52"/>
      <c r="U834" s="52"/>
    </row>
    <row r="835">
      <c r="M835" s="52"/>
      <c r="N835" s="52"/>
      <c r="O835" s="52"/>
      <c r="P835" s="52"/>
      <c r="Q835" s="52"/>
      <c r="U835" s="52"/>
    </row>
    <row r="836">
      <c r="M836" s="52"/>
      <c r="N836" s="52"/>
      <c r="O836" s="52"/>
      <c r="P836" s="52"/>
      <c r="Q836" s="52"/>
      <c r="U836" s="52"/>
    </row>
    <row r="837">
      <c r="M837" s="52"/>
      <c r="N837" s="52"/>
      <c r="O837" s="52"/>
      <c r="P837" s="52"/>
      <c r="Q837" s="52"/>
      <c r="U837" s="52"/>
    </row>
    <row r="838">
      <c r="M838" s="52"/>
      <c r="N838" s="52"/>
      <c r="O838" s="52"/>
      <c r="P838" s="52"/>
      <c r="Q838" s="52"/>
      <c r="U838" s="52"/>
    </row>
    <row r="839">
      <c r="M839" s="52"/>
      <c r="N839" s="52"/>
      <c r="O839" s="52"/>
      <c r="P839" s="52"/>
      <c r="Q839" s="52"/>
      <c r="U839" s="52"/>
    </row>
    <row r="840">
      <c r="M840" s="52"/>
      <c r="N840" s="52"/>
      <c r="O840" s="52"/>
      <c r="P840" s="52"/>
      <c r="Q840" s="52"/>
      <c r="U840" s="52"/>
    </row>
    <row r="841">
      <c r="M841" s="52"/>
      <c r="N841" s="52"/>
      <c r="O841" s="52"/>
      <c r="P841" s="52"/>
      <c r="Q841" s="52"/>
      <c r="U841" s="52"/>
    </row>
    <row r="842">
      <c r="M842" s="52"/>
      <c r="N842" s="52"/>
      <c r="O842" s="52"/>
      <c r="P842" s="52"/>
      <c r="Q842" s="52"/>
      <c r="U842" s="52"/>
    </row>
    <row r="843">
      <c r="M843" s="52"/>
      <c r="N843" s="52"/>
      <c r="O843" s="52"/>
      <c r="P843" s="52"/>
      <c r="Q843" s="52"/>
      <c r="U843" s="52"/>
    </row>
    <row r="844">
      <c r="M844" s="52"/>
      <c r="N844" s="52"/>
      <c r="O844" s="52"/>
      <c r="P844" s="52"/>
      <c r="Q844" s="52"/>
      <c r="U844" s="52"/>
    </row>
    <row r="845">
      <c r="M845" s="52"/>
      <c r="N845" s="52"/>
      <c r="O845" s="52"/>
      <c r="P845" s="52"/>
      <c r="Q845" s="52"/>
      <c r="U845" s="52"/>
    </row>
    <row r="846">
      <c r="M846" s="52"/>
      <c r="N846" s="52"/>
      <c r="O846" s="52"/>
      <c r="P846" s="52"/>
      <c r="Q846" s="52"/>
      <c r="U846" s="52"/>
    </row>
    <row r="847">
      <c r="M847" s="52"/>
      <c r="N847" s="52"/>
      <c r="O847" s="52"/>
      <c r="P847" s="52"/>
      <c r="Q847" s="52"/>
      <c r="U847" s="52"/>
    </row>
    <row r="848">
      <c r="M848" s="52"/>
      <c r="N848" s="52"/>
      <c r="O848" s="52"/>
      <c r="P848" s="52"/>
      <c r="Q848" s="52"/>
      <c r="U848" s="52"/>
    </row>
    <row r="849">
      <c r="M849" s="52"/>
      <c r="N849" s="52"/>
      <c r="O849" s="52"/>
      <c r="P849" s="52"/>
      <c r="Q849" s="52"/>
      <c r="U849" s="52"/>
    </row>
    <row r="850">
      <c r="M850" s="52"/>
      <c r="N850" s="52"/>
      <c r="O850" s="52"/>
      <c r="P850" s="52"/>
      <c r="Q850" s="52"/>
      <c r="U850" s="52"/>
    </row>
    <row r="851">
      <c r="M851" s="52"/>
      <c r="N851" s="52"/>
      <c r="O851" s="52"/>
      <c r="P851" s="52"/>
      <c r="Q851" s="52"/>
      <c r="U851" s="52"/>
    </row>
    <row r="852">
      <c r="M852" s="52"/>
      <c r="N852" s="52"/>
      <c r="O852" s="52"/>
      <c r="P852" s="52"/>
      <c r="Q852" s="52"/>
      <c r="U852" s="52"/>
    </row>
    <row r="853">
      <c r="M853" s="52"/>
      <c r="N853" s="52"/>
      <c r="O853" s="52"/>
      <c r="P853" s="52"/>
      <c r="Q853" s="52"/>
      <c r="U853" s="52"/>
    </row>
    <row r="854">
      <c r="M854" s="52"/>
      <c r="N854" s="52"/>
      <c r="O854" s="52"/>
      <c r="P854" s="52"/>
      <c r="Q854" s="52"/>
      <c r="U854" s="52"/>
    </row>
    <row r="855">
      <c r="M855" s="52"/>
      <c r="N855" s="52"/>
      <c r="O855" s="52"/>
      <c r="P855" s="52"/>
      <c r="Q855" s="52"/>
      <c r="U855" s="52"/>
    </row>
    <row r="856">
      <c r="M856" s="52"/>
      <c r="N856" s="52"/>
      <c r="O856" s="52"/>
      <c r="P856" s="52"/>
      <c r="Q856" s="52"/>
      <c r="U856" s="52"/>
    </row>
    <row r="857">
      <c r="M857" s="52"/>
      <c r="N857" s="52"/>
      <c r="O857" s="52"/>
      <c r="P857" s="52"/>
      <c r="Q857" s="52"/>
      <c r="U857" s="52"/>
    </row>
    <row r="858">
      <c r="M858" s="52"/>
      <c r="N858" s="52"/>
      <c r="O858" s="52"/>
      <c r="P858" s="52"/>
      <c r="Q858" s="52"/>
      <c r="U858" s="52"/>
    </row>
    <row r="859">
      <c r="M859" s="52"/>
      <c r="N859" s="52"/>
      <c r="O859" s="52"/>
      <c r="P859" s="52"/>
      <c r="Q859" s="52"/>
      <c r="U859" s="52"/>
    </row>
    <row r="860">
      <c r="M860" s="52"/>
      <c r="N860" s="52"/>
      <c r="O860" s="52"/>
      <c r="P860" s="52"/>
      <c r="Q860" s="52"/>
      <c r="U860" s="52"/>
    </row>
    <row r="861">
      <c r="M861" s="52"/>
      <c r="N861" s="52"/>
      <c r="O861" s="52"/>
      <c r="P861" s="52"/>
      <c r="Q861" s="52"/>
      <c r="U861" s="52"/>
    </row>
    <row r="862">
      <c r="M862" s="52"/>
      <c r="N862" s="52"/>
      <c r="O862" s="52"/>
      <c r="P862" s="52"/>
      <c r="Q862" s="52"/>
      <c r="U862" s="52"/>
    </row>
    <row r="863">
      <c r="M863" s="52"/>
      <c r="N863" s="52"/>
      <c r="O863" s="52"/>
      <c r="P863" s="52"/>
      <c r="Q863" s="52"/>
      <c r="U863" s="52"/>
    </row>
    <row r="864">
      <c r="M864" s="52"/>
      <c r="N864" s="52"/>
      <c r="O864" s="52"/>
      <c r="P864" s="52"/>
      <c r="Q864" s="52"/>
      <c r="U864" s="52"/>
    </row>
    <row r="865">
      <c r="M865" s="52"/>
      <c r="N865" s="52"/>
      <c r="O865" s="52"/>
      <c r="P865" s="52"/>
      <c r="Q865" s="52"/>
      <c r="U865" s="52"/>
    </row>
    <row r="866">
      <c r="M866" s="52"/>
      <c r="N866" s="52"/>
      <c r="O866" s="52"/>
      <c r="P866" s="52"/>
      <c r="Q866" s="52"/>
      <c r="U866" s="52"/>
    </row>
    <row r="867">
      <c r="M867" s="52"/>
      <c r="N867" s="52"/>
      <c r="O867" s="52"/>
      <c r="P867" s="52"/>
      <c r="Q867" s="52"/>
      <c r="U867" s="52"/>
    </row>
    <row r="868">
      <c r="M868" s="52"/>
      <c r="N868" s="52"/>
      <c r="O868" s="52"/>
      <c r="P868" s="52"/>
      <c r="Q868" s="52"/>
      <c r="U868" s="52"/>
    </row>
    <row r="869">
      <c r="M869" s="52"/>
      <c r="N869" s="52"/>
      <c r="O869" s="52"/>
      <c r="P869" s="52"/>
      <c r="Q869" s="52"/>
      <c r="U869" s="52"/>
    </row>
    <row r="870">
      <c r="M870" s="52"/>
      <c r="N870" s="52"/>
      <c r="O870" s="52"/>
      <c r="P870" s="52"/>
      <c r="Q870" s="52"/>
      <c r="U870" s="52"/>
    </row>
    <row r="871">
      <c r="M871" s="52"/>
      <c r="N871" s="52"/>
      <c r="O871" s="52"/>
      <c r="P871" s="52"/>
      <c r="Q871" s="52"/>
      <c r="U871" s="52"/>
    </row>
    <row r="872">
      <c r="M872" s="52"/>
      <c r="N872" s="52"/>
      <c r="O872" s="52"/>
      <c r="P872" s="52"/>
      <c r="Q872" s="52"/>
      <c r="U872" s="52"/>
    </row>
    <row r="873">
      <c r="M873" s="52"/>
      <c r="N873" s="52"/>
      <c r="O873" s="52"/>
      <c r="P873" s="52"/>
      <c r="Q873" s="52"/>
      <c r="U873" s="52"/>
    </row>
    <row r="874">
      <c r="M874" s="52"/>
      <c r="N874" s="52"/>
      <c r="O874" s="52"/>
      <c r="P874" s="52"/>
      <c r="Q874" s="52"/>
      <c r="U874" s="52"/>
    </row>
    <row r="875">
      <c r="M875" s="52"/>
      <c r="N875" s="52"/>
      <c r="O875" s="52"/>
      <c r="P875" s="52"/>
      <c r="Q875" s="52"/>
      <c r="U875" s="52"/>
    </row>
    <row r="876">
      <c r="M876" s="52"/>
      <c r="N876" s="52"/>
      <c r="O876" s="52"/>
      <c r="P876" s="52"/>
      <c r="Q876" s="52"/>
      <c r="U876" s="52"/>
    </row>
    <row r="877">
      <c r="M877" s="52"/>
      <c r="N877" s="52"/>
      <c r="O877" s="52"/>
      <c r="P877" s="52"/>
      <c r="Q877" s="52"/>
      <c r="U877" s="52"/>
    </row>
    <row r="878">
      <c r="M878" s="52"/>
      <c r="N878" s="52"/>
      <c r="O878" s="52"/>
      <c r="P878" s="52"/>
      <c r="Q878" s="52"/>
      <c r="U878" s="52"/>
    </row>
    <row r="879">
      <c r="M879" s="52"/>
      <c r="N879" s="52"/>
      <c r="O879" s="52"/>
      <c r="P879" s="52"/>
      <c r="Q879" s="52"/>
      <c r="U879" s="52"/>
    </row>
    <row r="880">
      <c r="M880" s="52"/>
      <c r="N880" s="52"/>
      <c r="O880" s="52"/>
      <c r="P880" s="52"/>
      <c r="Q880" s="52"/>
      <c r="U880" s="52"/>
    </row>
    <row r="881">
      <c r="M881" s="52"/>
      <c r="N881" s="52"/>
      <c r="O881" s="52"/>
      <c r="P881" s="52"/>
      <c r="Q881" s="52"/>
      <c r="U881" s="52"/>
    </row>
    <row r="882">
      <c r="M882" s="52"/>
      <c r="N882" s="52"/>
      <c r="O882" s="52"/>
      <c r="P882" s="52"/>
      <c r="Q882" s="52"/>
      <c r="U882" s="52"/>
    </row>
    <row r="883">
      <c r="M883" s="52"/>
      <c r="N883" s="52"/>
      <c r="O883" s="52"/>
      <c r="P883" s="52"/>
      <c r="Q883" s="52"/>
      <c r="U883" s="52"/>
    </row>
    <row r="884">
      <c r="M884" s="52"/>
      <c r="N884" s="52"/>
      <c r="O884" s="52"/>
      <c r="P884" s="52"/>
      <c r="Q884" s="52"/>
      <c r="U884" s="52"/>
    </row>
    <row r="885">
      <c r="M885" s="52"/>
      <c r="N885" s="52"/>
      <c r="O885" s="52"/>
      <c r="P885" s="52"/>
      <c r="Q885" s="52"/>
      <c r="U885" s="52"/>
    </row>
    <row r="886">
      <c r="M886" s="52"/>
      <c r="N886" s="52"/>
      <c r="O886" s="52"/>
      <c r="P886" s="52"/>
      <c r="Q886" s="52"/>
      <c r="U886" s="52"/>
    </row>
    <row r="887">
      <c r="M887" s="52"/>
      <c r="N887" s="52"/>
      <c r="O887" s="52"/>
      <c r="P887" s="52"/>
      <c r="Q887" s="52"/>
      <c r="U887" s="52"/>
    </row>
    <row r="888">
      <c r="M888" s="52"/>
      <c r="N888" s="52"/>
      <c r="O888" s="52"/>
      <c r="P888" s="52"/>
      <c r="Q888" s="52"/>
      <c r="U888" s="52"/>
    </row>
    <row r="889">
      <c r="M889" s="52"/>
      <c r="N889" s="52"/>
      <c r="O889" s="52"/>
      <c r="P889" s="52"/>
      <c r="Q889" s="52"/>
      <c r="U889" s="52"/>
    </row>
    <row r="890">
      <c r="M890" s="52"/>
      <c r="N890" s="52"/>
      <c r="O890" s="52"/>
      <c r="P890" s="52"/>
      <c r="Q890" s="52"/>
      <c r="U890" s="52"/>
    </row>
    <row r="891">
      <c r="M891" s="52"/>
      <c r="N891" s="52"/>
      <c r="O891" s="52"/>
      <c r="P891" s="52"/>
      <c r="Q891" s="52"/>
      <c r="U891" s="52"/>
    </row>
    <row r="892">
      <c r="M892" s="52"/>
      <c r="N892" s="52"/>
      <c r="O892" s="52"/>
      <c r="P892" s="52"/>
      <c r="Q892" s="52"/>
      <c r="U892" s="52"/>
    </row>
    <row r="893">
      <c r="M893" s="52"/>
      <c r="N893" s="52"/>
      <c r="O893" s="52"/>
      <c r="P893" s="52"/>
      <c r="Q893" s="52"/>
      <c r="U893" s="52"/>
    </row>
    <row r="894">
      <c r="M894" s="52"/>
      <c r="N894" s="52"/>
      <c r="O894" s="52"/>
      <c r="P894" s="52"/>
      <c r="Q894" s="52"/>
      <c r="U894" s="52"/>
    </row>
    <row r="895">
      <c r="M895" s="52"/>
      <c r="N895" s="52"/>
      <c r="O895" s="52"/>
      <c r="P895" s="52"/>
      <c r="Q895" s="52"/>
      <c r="U895" s="52"/>
    </row>
    <row r="896">
      <c r="M896" s="52"/>
      <c r="N896" s="52"/>
      <c r="O896" s="52"/>
      <c r="P896" s="52"/>
      <c r="Q896" s="52"/>
      <c r="U896" s="52"/>
    </row>
    <row r="897">
      <c r="M897" s="52"/>
      <c r="N897" s="52"/>
      <c r="O897" s="52"/>
      <c r="P897" s="52"/>
      <c r="Q897" s="52"/>
      <c r="U897" s="52"/>
    </row>
    <row r="898">
      <c r="M898" s="52"/>
      <c r="N898" s="52"/>
      <c r="O898" s="52"/>
      <c r="P898" s="52"/>
      <c r="Q898" s="52"/>
      <c r="U898" s="52"/>
    </row>
    <row r="899">
      <c r="M899" s="52"/>
      <c r="N899" s="52"/>
      <c r="O899" s="52"/>
      <c r="P899" s="52"/>
      <c r="Q899" s="52"/>
      <c r="U899" s="52"/>
    </row>
    <row r="900">
      <c r="M900" s="52"/>
      <c r="N900" s="52"/>
      <c r="O900" s="52"/>
      <c r="P900" s="52"/>
      <c r="Q900" s="52"/>
      <c r="U900" s="52"/>
    </row>
    <row r="901">
      <c r="M901" s="52"/>
      <c r="N901" s="52"/>
      <c r="O901" s="52"/>
      <c r="P901" s="52"/>
      <c r="Q901" s="52"/>
      <c r="U901" s="52"/>
    </row>
    <row r="902">
      <c r="M902" s="52"/>
      <c r="N902" s="52"/>
      <c r="O902" s="52"/>
      <c r="P902" s="52"/>
      <c r="Q902" s="52"/>
      <c r="U902" s="52"/>
    </row>
    <row r="903">
      <c r="M903" s="52"/>
      <c r="N903" s="52"/>
      <c r="O903" s="52"/>
      <c r="P903" s="52"/>
      <c r="Q903" s="52"/>
      <c r="U903" s="52"/>
    </row>
    <row r="904">
      <c r="M904" s="52"/>
      <c r="N904" s="52"/>
      <c r="O904" s="52"/>
      <c r="P904" s="52"/>
      <c r="Q904" s="52"/>
      <c r="U904" s="52"/>
    </row>
    <row r="905">
      <c r="M905" s="52"/>
      <c r="N905" s="52"/>
      <c r="O905" s="52"/>
      <c r="P905" s="52"/>
      <c r="Q905" s="52"/>
      <c r="U905" s="52"/>
    </row>
    <row r="906">
      <c r="M906" s="52"/>
      <c r="N906" s="52"/>
      <c r="O906" s="52"/>
      <c r="P906" s="52"/>
      <c r="Q906" s="52"/>
      <c r="U906" s="52"/>
    </row>
    <row r="907">
      <c r="M907" s="52"/>
      <c r="N907" s="52"/>
      <c r="O907" s="52"/>
      <c r="P907" s="52"/>
      <c r="Q907" s="52"/>
      <c r="U907" s="52"/>
    </row>
    <row r="908">
      <c r="M908" s="52"/>
      <c r="N908" s="52"/>
      <c r="O908" s="52"/>
      <c r="P908" s="52"/>
      <c r="Q908" s="52"/>
      <c r="U908" s="52"/>
    </row>
    <row r="909">
      <c r="M909" s="52"/>
      <c r="N909" s="52"/>
      <c r="O909" s="52"/>
      <c r="P909" s="52"/>
      <c r="Q909" s="52"/>
      <c r="U909" s="52"/>
    </row>
    <row r="910">
      <c r="M910" s="52"/>
      <c r="N910" s="52"/>
      <c r="O910" s="52"/>
      <c r="P910" s="52"/>
      <c r="Q910" s="52"/>
      <c r="U910" s="52"/>
    </row>
    <row r="911">
      <c r="M911" s="52"/>
      <c r="N911" s="52"/>
      <c r="O911" s="52"/>
      <c r="P911" s="52"/>
      <c r="Q911" s="52"/>
      <c r="U911" s="52"/>
    </row>
    <row r="912">
      <c r="M912" s="52"/>
      <c r="N912" s="52"/>
      <c r="O912" s="52"/>
      <c r="P912" s="52"/>
      <c r="Q912" s="52"/>
      <c r="U912" s="52"/>
    </row>
    <row r="913">
      <c r="M913" s="52"/>
      <c r="N913" s="52"/>
      <c r="O913" s="52"/>
      <c r="P913" s="52"/>
      <c r="Q913" s="52"/>
      <c r="U913" s="52"/>
    </row>
    <row r="914">
      <c r="M914" s="52"/>
      <c r="N914" s="52"/>
      <c r="O914" s="52"/>
      <c r="P914" s="52"/>
      <c r="Q914" s="52"/>
      <c r="U914" s="52"/>
    </row>
    <row r="915">
      <c r="M915" s="52"/>
      <c r="N915" s="52"/>
      <c r="O915" s="52"/>
      <c r="P915" s="52"/>
      <c r="Q915" s="52"/>
      <c r="U915" s="52"/>
    </row>
    <row r="916">
      <c r="M916" s="52"/>
      <c r="N916" s="52"/>
      <c r="O916" s="52"/>
      <c r="P916" s="52"/>
      <c r="Q916" s="52"/>
      <c r="U916" s="52"/>
    </row>
    <row r="917">
      <c r="M917" s="52"/>
      <c r="N917" s="52"/>
      <c r="O917" s="52"/>
      <c r="P917" s="52"/>
      <c r="Q917" s="52"/>
      <c r="U917" s="52"/>
    </row>
    <row r="918">
      <c r="M918" s="52"/>
      <c r="N918" s="52"/>
      <c r="O918" s="52"/>
      <c r="P918" s="52"/>
      <c r="Q918" s="52"/>
      <c r="U918" s="52"/>
    </row>
    <row r="919">
      <c r="M919" s="52"/>
      <c r="N919" s="52"/>
      <c r="O919" s="52"/>
      <c r="P919" s="52"/>
      <c r="Q919" s="52"/>
      <c r="U919" s="52"/>
    </row>
    <row r="920">
      <c r="M920" s="52"/>
      <c r="N920" s="52"/>
      <c r="O920" s="52"/>
      <c r="P920" s="52"/>
      <c r="Q920" s="52"/>
      <c r="U920" s="52"/>
    </row>
    <row r="921">
      <c r="M921" s="52"/>
      <c r="N921" s="52"/>
      <c r="O921" s="52"/>
      <c r="P921" s="52"/>
      <c r="Q921" s="52"/>
      <c r="U921" s="52"/>
    </row>
    <row r="922">
      <c r="M922" s="52"/>
      <c r="N922" s="52"/>
      <c r="O922" s="52"/>
      <c r="P922" s="52"/>
      <c r="Q922" s="52"/>
      <c r="U922" s="52"/>
    </row>
    <row r="923">
      <c r="M923" s="52"/>
      <c r="N923" s="52"/>
      <c r="O923" s="52"/>
      <c r="P923" s="52"/>
      <c r="Q923" s="52"/>
      <c r="U923" s="52"/>
    </row>
    <row r="924">
      <c r="M924" s="52"/>
      <c r="N924" s="52"/>
      <c r="O924" s="52"/>
      <c r="P924" s="52"/>
      <c r="Q924" s="52"/>
      <c r="U924" s="52"/>
    </row>
    <row r="925">
      <c r="M925" s="52"/>
      <c r="N925" s="52"/>
      <c r="O925" s="52"/>
      <c r="P925" s="52"/>
      <c r="Q925" s="52"/>
      <c r="U925" s="52"/>
    </row>
    <row r="926">
      <c r="M926" s="52"/>
      <c r="N926" s="52"/>
      <c r="O926" s="52"/>
      <c r="P926" s="52"/>
      <c r="Q926" s="52"/>
      <c r="U926" s="52"/>
    </row>
    <row r="927">
      <c r="M927" s="52"/>
      <c r="N927" s="52"/>
      <c r="O927" s="52"/>
      <c r="P927" s="52"/>
      <c r="Q927" s="52"/>
      <c r="U927" s="52"/>
    </row>
    <row r="928">
      <c r="M928" s="52"/>
      <c r="N928" s="52"/>
      <c r="O928" s="52"/>
      <c r="P928" s="52"/>
      <c r="Q928" s="52"/>
      <c r="U928" s="52"/>
    </row>
    <row r="929">
      <c r="M929" s="52"/>
      <c r="N929" s="52"/>
      <c r="O929" s="52"/>
      <c r="P929" s="52"/>
      <c r="Q929" s="52"/>
      <c r="U929" s="52"/>
    </row>
    <row r="930">
      <c r="M930" s="52"/>
      <c r="N930" s="52"/>
      <c r="O930" s="52"/>
      <c r="P930" s="52"/>
      <c r="Q930" s="52"/>
      <c r="U930" s="52"/>
    </row>
    <row r="931">
      <c r="M931" s="52"/>
      <c r="N931" s="52"/>
      <c r="O931" s="52"/>
      <c r="P931" s="52"/>
      <c r="Q931" s="52"/>
      <c r="U931" s="52"/>
    </row>
    <row r="932">
      <c r="M932" s="52"/>
      <c r="N932" s="52"/>
      <c r="O932" s="52"/>
      <c r="P932" s="52"/>
      <c r="Q932" s="52"/>
      <c r="U932" s="52"/>
    </row>
    <row r="933">
      <c r="M933" s="52"/>
      <c r="N933" s="52"/>
      <c r="O933" s="52"/>
      <c r="P933" s="52"/>
      <c r="Q933" s="52"/>
      <c r="U933" s="52"/>
    </row>
    <row r="934">
      <c r="M934" s="52"/>
      <c r="N934" s="52"/>
      <c r="O934" s="52"/>
      <c r="P934" s="52"/>
      <c r="Q934" s="52"/>
      <c r="U934" s="52"/>
    </row>
    <row r="935">
      <c r="M935" s="52"/>
      <c r="N935" s="52"/>
      <c r="O935" s="52"/>
      <c r="P935" s="52"/>
      <c r="Q935" s="52"/>
      <c r="U935" s="52"/>
    </row>
    <row r="936">
      <c r="M936" s="52"/>
      <c r="N936" s="52"/>
      <c r="O936" s="52"/>
      <c r="P936" s="52"/>
      <c r="Q936" s="52"/>
      <c r="U936" s="52"/>
    </row>
    <row r="937">
      <c r="M937" s="52"/>
      <c r="N937" s="52"/>
      <c r="O937" s="52"/>
      <c r="P937" s="52"/>
      <c r="Q937" s="52"/>
      <c r="U937" s="52"/>
    </row>
    <row r="938">
      <c r="M938" s="52"/>
      <c r="N938" s="52"/>
      <c r="O938" s="52"/>
      <c r="P938" s="52"/>
      <c r="Q938" s="52"/>
      <c r="U938" s="52"/>
    </row>
    <row r="939">
      <c r="M939" s="52"/>
      <c r="N939" s="52"/>
      <c r="O939" s="52"/>
      <c r="P939" s="52"/>
      <c r="Q939" s="52"/>
      <c r="U939" s="52"/>
    </row>
    <row r="940">
      <c r="M940" s="52"/>
      <c r="N940" s="52"/>
      <c r="O940" s="52"/>
      <c r="P940" s="52"/>
      <c r="Q940" s="52"/>
      <c r="U940" s="52"/>
    </row>
    <row r="941">
      <c r="M941" s="52"/>
      <c r="N941" s="52"/>
      <c r="O941" s="52"/>
      <c r="P941" s="52"/>
      <c r="Q941" s="52"/>
      <c r="U941" s="52"/>
    </row>
    <row r="942">
      <c r="M942" s="52"/>
      <c r="N942" s="52"/>
      <c r="O942" s="52"/>
      <c r="P942" s="52"/>
      <c r="Q942" s="52"/>
      <c r="U942" s="52"/>
    </row>
    <row r="943">
      <c r="M943" s="52"/>
      <c r="N943" s="52"/>
      <c r="O943" s="52"/>
      <c r="P943" s="52"/>
      <c r="Q943" s="52"/>
      <c r="U943" s="52"/>
    </row>
    <row r="944">
      <c r="M944" s="52"/>
      <c r="N944" s="52"/>
      <c r="O944" s="52"/>
      <c r="P944" s="52"/>
      <c r="Q944" s="52"/>
      <c r="U944" s="52"/>
    </row>
    <row r="945">
      <c r="M945" s="52"/>
      <c r="N945" s="52"/>
      <c r="O945" s="52"/>
      <c r="P945" s="52"/>
      <c r="Q945" s="52"/>
      <c r="U945" s="52"/>
    </row>
    <row r="946">
      <c r="M946" s="52"/>
      <c r="N946" s="52"/>
      <c r="O946" s="52"/>
      <c r="P946" s="52"/>
      <c r="Q946" s="52"/>
      <c r="U946" s="52"/>
    </row>
    <row r="947">
      <c r="M947" s="52"/>
      <c r="N947" s="52"/>
      <c r="O947" s="52"/>
      <c r="P947" s="52"/>
      <c r="Q947" s="52"/>
      <c r="U947" s="52"/>
    </row>
    <row r="948">
      <c r="M948" s="52"/>
      <c r="N948" s="52"/>
      <c r="O948" s="52"/>
      <c r="P948" s="52"/>
      <c r="Q948" s="52"/>
      <c r="U948" s="52"/>
    </row>
    <row r="949">
      <c r="M949" s="52"/>
      <c r="N949" s="52"/>
      <c r="O949" s="52"/>
      <c r="P949" s="52"/>
      <c r="Q949" s="52"/>
      <c r="U949" s="52"/>
    </row>
    <row r="950">
      <c r="M950" s="52"/>
      <c r="N950" s="52"/>
      <c r="O950" s="52"/>
      <c r="P950" s="52"/>
      <c r="Q950" s="52"/>
      <c r="U950" s="52"/>
    </row>
    <row r="951">
      <c r="M951" s="52"/>
      <c r="N951" s="52"/>
      <c r="O951" s="52"/>
      <c r="P951" s="52"/>
      <c r="Q951" s="52"/>
      <c r="U951" s="52"/>
    </row>
    <row r="952">
      <c r="M952" s="52"/>
      <c r="N952" s="52"/>
      <c r="O952" s="52"/>
      <c r="P952" s="52"/>
      <c r="Q952" s="52"/>
      <c r="U952" s="52"/>
    </row>
    <row r="953">
      <c r="M953" s="52"/>
      <c r="N953" s="52"/>
      <c r="O953" s="52"/>
      <c r="P953" s="52"/>
      <c r="Q953" s="52"/>
      <c r="U953" s="52"/>
    </row>
    <row r="954">
      <c r="M954" s="52"/>
      <c r="N954" s="52"/>
      <c r="O954" s="52"/>
      <c r="P954" s="52"/>
      <c r="Q954" s="52"/>
      <c r="U954" s="52"/>
    </row>
    <row r="955">
      <c r="M955" s="52"/>
      <c r="N955" s="52"/>
      <c r="O955" s="52"/>
      <c r="P955" s="52"/>
      <c r="Q955" s="52"/>
      <c r="U955" s="52"/>
    </row>
    <row r="956">
      <c r="M956" s="52"/>
      <c r="N956" s="52"/>
      <c r="O956" s="52"/>
      <c r="P956" s="52"/>
      <c r="Q956" s="52"/>
      <c r="U956" s="52"/>
    </row>
    <row r="957">
      <c r="M957" s="52"/>
      <c r="N957" s="52"/>
      <c r="O957" s="52"/>
      <c r="P957" s="52"/>
      <c r="Q957" s="52"/>
      <c r="U957" s="52"/>
    </row>
    <row r="958">
      <c r="M958" s="52"/>
      <c r="N958" s="52"/>
      <c r="O958" s="52"/>
      <c r="P958" s="52"/>
      <c r="Q958" s="52"/>
      <c r="U958" s="52"/>
    </row>
    <row r="959">
      <c r="M959" s="52"/>
      <c r="N959" s="52"/>
      <c r="O959" s="52"/>
      <c r="P959" s="52"/>
      <c r="Q959" s="52"/>
      <c r="U959" s="52"/>
    </row>
    <row r="960">
      <c r="M960" s="52"/>
      <c r="N960" s="52"/>
      <c r="O960" s="52"/>
      <c r="P960" s="52"/>
      <c r="Q960" s="52"/>
      <c r="U960" s="52"/>
    </row>
    <row r="961">
      <c r="M961" s="52"/>
      <c r="N961" s="52"/>
      <c r="O961" s="52"/>
      <c r="P961" s="52"/>
      <c r="Q961" s="52"/>
      <c r="U961" s="52"/>
    </row>
    <row r="962">
      <c r="M962" s="52"/>
      <c r="N962" s="52"/>
      <c r="O962" s="52"/>
      <c r="P962" s="52"/>
      <c r="Q962" s="52"/>
      <c r="U962" s="52"/>
    </row>
    <row r="963">
      <c r="M963" s="52"/>
      <c r="N963" s="52"/>
      <c r="O963" s="52"/>
      <c r="P963" s="52"/>
      <c r="Q963" s="52"/>
      <c r="U963" s="52"/>
    </row>
    <row r="964">
      <c r="M964" s="52"/>
      <c r="N964" s="52"/>
      <c r="O964" s="52"/>
      <c r="P964" s="52"/>
      <c r="Q964" s="52"/>
      <c r="U964" s="52"/>
    </row>
    <row r="965">
      <c r="M965" s="52"/>
      <c r="N965" s="52"/>
      <c r="O965" s="52"/>
      <c r="P965" s="52"/>
      <c r="Q965" s="52"/>
      <c r="U965" s="52"/>
    </row>
    <row r="966">
      <c r="M966" s="52"/>
      <c r="N966" s="52"/>
      <c r="O966" s="52"/>
      <c r="P966" s="52"/>
      <c r="Q966" s="52"/>
      <c r="U966" s="52"/>
    </row>
    <row r="967">
      <c r="M967" s="52"/>
      <c r="N967" s="52"/>
      <c r="O967" s="52"/>
      <c r="P967" s="52"/>
      <c r="Q967" s="52"/>
      <c r="U967" s="52"/>
    </row>
    <row r="968">
      <c r="M968" s="52"/>
      <c r="N968" s="52"/>
      <c r="O968" s="52"/>
      <c r="P968" s="52"/>
      <c r="Q968" s="52"/>
      <c r="U968" s="52"/>
    </row>
    <row r="969">
      <c r="M969" s="52"/>
      <c r="N969" s="52"/>
      <c r="O969" s="52"/>
      <c r="P969" s="52"/>
      <c r="Q969" s="52"/>
      <c r="U969" s="52"/>
    </row>
    <row r="970">
      <c r="M970" s="52"/>
      <c r="N970" s="52"/>
      <c r="O970" s="52"/>
      <c r="P970" s="52"/>
      <c r="Q970" s="52"/>
      <c r="U970" s="52"/>
    </row>
    <row r="971">
      <c r="M971" s="52"/>
      <c r="N971" s="52"/>
      <c r="O971" s="52"/>
      <c r="P971" s="52"/>
      <c r="Q971" s="52"/>
      <c r="U971" s="52"/>
    </row>
    <row r="972">
      <c r="M972" s="52"/>
      <c r="N972" s="52"/>
      <c r="O972" s="52"/>
      <c r="P972" s="52"/>
      <c r="Q972" s="52"/>
      <c r="U972" s="52"/>
    </row>
    <row r="973">
      <c r="M973" s="52"/>
      <c r="N973" s="52"/>
      <c r="O973" s="52"/>
      <c r="P973" s="52"/>
      <c r="Q973" s="52"/>
      <c r="U973" s="52"/>
    </row>
    <row r="974">
      <c r="M974" s="52"/>
      <c r="N974" s="52"/>
      <c r="O974" s="52"/>
      <c r="P974" s="52"/>
      <c r="Q974" s="52"/>
      <c r="U974" s="52"/>
    </row>
    <row r="975">
      <c r="M975" s="52"/>
      <c r="N975" s="52"/>
      <c r="O975" s="52"/>
      <c r="P975" s="52"/>
      <c r="Q975" s="52"/>
      <c r="U975" s="52"/>
    </row>
    <row r="976">
      <c r="M976" s="52"/>
      <c r="N976" s="52"/>
      <c r="O976" s="52"/>
      <c r="P976" s="52"/>
      <c r="Q976" s="52"/>
      <c r="U976" s="52"/>
    </row>
    <row r="977">
      <c r="M977" s="52"/>
      <c r="N977" s="52"/>
      <c r="O977" s="52"/>
      <c r="P977" s="52"/>
      <c r="Q977" s="52"/>
      <c r="U977" s="52"/>
    </row>
    <row r="978">
      <c r="M978" s="52"/>
      <c r="N978" s="52"/>
      <c r="O978" s="52"/>
      <c r="P978" s="52"/>
      <c r="Q978" s="52"/>
      <c r="U978" s="52"/>
    </row>
    <row r="979">
      <c r="M979" s="52"/>
      <c r="N979" s="52"/>
      <c r="O979" s="52"/>
      <c r="P979" s="52"/>
      <c r="Q979" s="52"/>
      <c r="U979" s="52"/>
    </row>
    <row r="980">
      <c r="M980" s="52"/>
      <c r="N980" s="52"/>
      <c r="O980" s="52"/>
      <c r="P980" s="52"/>
      <c r="Q980" s="52"/>
      <c r="U980" s="52"/>
    </row>
    <row r="981">
      <c r="M981" s="52"/>
      <c r="N981" s="52"/>
      <c r="O981" s="52"/>
      <c r="P981" s="52"/>
      <c r="Q981" s="52"/>
      <c r="U981" s="52"/>
    </row>
    <row r="982">
      <c r="M982" s="52"/>
      <c r="N982" s="52"/>
      <c r="O982" s="52"/>
      <c r="P982" s="52"/>
      <c r="Q982" s="52"/>
      <c r="U982" s="52"/>
    </row>
    <row r="983">
      <c r="M983" s="52"/>
      <c r="N983" s="52"/>
      <c r="O983" s="52"/>
      <c r="P983" s="52"/>
      <c r="Q983" s="52"/>
      <c r="U983" s="52"/>
    </row>
    <row r="984">
      <c r="M984" s="52"/>
      <c r="N984" s="52"/>
      <c r="O984" s="52"/>
      <c r="P984" s="52"/>
      <c r="Q984" s="52"/>
      <c r="U984" s="52"/>
    </row>
    <row r="985">
      <c r="M985" s="52"/>
      <c r="N985" s="52"/>
      <c r="O985" s="52"/>
      <c r="P985" s="52"/>
      <c r="Q985" s="52"/>
      <c r="U985" s="52"/>
    </row>
    <row r="986">
      <c r="M986" s="52"/>
      <c r="N986" s="52"/>
      <c r="O986" s="52"/>
      <c r="P986" s="52"/>
      <c r="Q986" s="52"/>
      <c r="U986" s="52"/>
    </row>
    <row r="987">
      <c r="M987" s="52"/>
      <c r="N987" s="52"/>
      <c r="O987" s="52"/>
      <c r="P987" s="52"/>
      <c r="Q987" s="52"/>
      <c r="U987" s="52"/>
    </row>
    <row r="988">
      <c r="M988" s="52"/>
      <c r="N988" s="52"/>
      <c r="O988" s="52"/>
      <c r="P988" s="52"/>
      <c r="Q988" s="52"/>
      <c r="U988" s="52"/>
    </row>
    <row r="989">
      <c r="M989" s="52"/>
      <c r="N989" s="52"/>
      <c r="O989" s="52"/>
      <c r="P989" s="52"/>
      <c r="Q989" s="52"/>
      <c r="U989" s="52"/>
    </row>
    <row r="990">
      <c r="M990" s="52"/>
      <c r="N990" s="52"/>
      <c r="O990" s="52"/>
      <c r="P990" s="52"/>
      <c r="Q990" s="52"/>
      <c r="U990" s="52"/>
    </row>
    <row r="991">
      <c r="M991" s="52"/>
      <c r="N991" s="52"/>
      <c r="O991" s="52"/>
      <c r="P991" s="52"/>
      <c r="Q991" s="52"/>
      <c r="U991" s="52"/>
    </row>
    <row r="992">
      <c r="M992" s="52"/>
      <c r="N992" s="52"/>
      <c r="O992" s="52"/>
      <c r="P992" s="52"/>
      <c r="Q992" s="52"/>
      <c r="U992" s="52"/>
    </row>
    <row r="993">
      <c r="M993" s="52"/>
      <c r="N993" s="52"/>
      <c r="O993" s="52"/>
      <c r="P993" s="52"/>
      <c r="Q993" s="52"/>
      <c r="U993" s="52"/>
    </row>
    <row r="994">
      <c r="M994" s="52"/>
      <c r="N994" s="52"/>
      <c r="O994" s="52"/>
      <c r="P994" s="52"/>
      <c r="Q994" s="52"/>
      <c r="U994" s="52"/>
    </row>
    <row r="995">
      <c r="M995" s="52"/>
      <c r="N995" s="52"/>
      <c r="O995" s="52"/>
      <c r="P995" s="52"/>
      <c r="Q995" s="52"/>
      <c r="U995" s="52"/>
    </row>
    <row r="996">
      <c r="M996" s="52"/>
      <c r="N996" s="52"/>
      <c r="O996" s="52"/>
      <c r="P996" s="52"/>
      <c r="Q996" s="52"/>
      <c r="U996" s="52"/>
    </row>
    <row r="997">
      <c r="M997" s="52"/>
      <c r="N997" s="52"/>
      <c r="O997" s="52"/>
      <c r="P997" s="52"/>
      <c r="Q997" s="52"/>
      <c r="U997" s="52"/>
    </row>
    <row r="998">
      <c r="M998" s="52"/>
      <c r="N998" s="52"/>
      <c r="O998" s="52"/>
      <c r="P998" s="52"/>
      <c r="Q998" s="52"/>
      <c r="U998" s="52"/>
    </row>
    <row r="999">
      <c r="M999" s="52"/>
      <c r="N999" s="52"/>
      <c r="O999" s="52"/>
      <c r="P999" s="52"/>
      <c r="Q999" s="52"/>
      <c r="U999" s="52"/>
    </row>
    <row r="1000">
      <c r="M1000" s="52"/>
      <c r="N1000" s="52"/>
      <c r="O1000" s="52"/>
      <c r="P1000" s="52"/>
      <c r="Q1000" s="52"/>
      <c r="U1000" s="52"/>
    </row>
  </sheetData>
  <mergeCells count="7">
    <mergeCell ref="A1:A2"/>
    <mergeCell ref="B1:B2"/>
    <mergeCell ref="C1:G1"/>
    <mergeCell ref="H1:I1"/>
    <mergeCell ref="J1:J2"/>
    <mergeCell ref="K1:O1"/>
    <mergeCell ref="P1:U1"/>
  </mergeCells>
  <conditionalFormatting sqref="N3:N9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G3:G9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3:H9">
    <cfRule type="colorScale" priority="3">
      <colorScale>
        <cfvo type="formula" val="0"/>
        <cfvo type="max"/>
        <color rgb="FFFFFFFF"/>
        <color rgb="FF57BB8A"/>
      </colorScale>
    </cfRule>
  </conditionalFormatting>
  <conditionalFormatting sqref="I3:I9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J3:J9">
    <cfRule type="colorScale" priority="5">
      <colorScale>
        <cfvo type="formula" val="0"/>
        <cfvo type="max"/>
        <color rgb="FFFFFFFF"/>
        <color rgb="FF57BB8A"/>
      </colorScale>
    </cfRule>
  </conditionalFormatting>
  <conditionalFormatting sqref="K3:K9">
    <cfRule type="colorScale" priority="6">
      <colorScale>
        <cfvo type="formula" val="0"/>
        <cfvo type="max"/>
        <color rgb="FFFFFFFF"/>
        <color rgb="FF57BB8A"/>
      </colorScale>
    </cfRule>
  </conditionalFormatting>
  <conditionalFormatting sqref="L3:L9">
    <cfRule type="colorScale" priority="7">
      <colorScale>
        <cfvo type="formula" val="0"/>
        <cfvo type="max"/>
        <color rgb="FFFFFFFF"/>
        <color rgb="FFE67C73"/>
      </colorScale>
    </cfRule>
  </conditionalFormatting>
  <conditionalFormatting sqref="C3:C9">
    <cfRule type="colorScale" priority="8">
      <colorScale>
        <cfvo type="formula" val="0"/>
        <cfvo type="max"/>
        <color rgb="FFFFFFFF"/>
        <color rgb="FFFFD666"/>
      </colorScale>
    </cfRule>
  </conditionalFormatting>
  <conditionalFormatting sqref="D3:D9">
    <cfRule type="colorScale" priority="9">
      <colorScale>
        <cfvo type="formula" val="0"/>
        <cfvo type="max"/>
        <color rgb="FFFFFFFF"/>
        <color rgb="FF57BB8A"/>
      </colorScale>
    </cfRule>
  </conditionalFormatting>
  <conditionalFormatting sqref="E3:E9">
    <cfRule type="colorScale" priority="10">
      <colorScale>
        <cfvo type="formula" val="0"/>
        <cfvo type="max"/>
        <color rgb="FFFFFFFF"/>
        <color rgb="FFE67C73"/>
      </colorScale>
    </cfRule>
  </conditionalFormatting>
  <conditionalFormatting sqref="F3:F9">
    <cfRule type="colorScale" priority="11">
      <colorScale>
        <cfvo type="formula" val="0"/>
        <cfvo type="max"/>
        <color rgb="FFFFFFFF"/>
        <color rgb="FF57BB8A"/>
      </colorScale>
    </cfRule>
  </conditionalFormatting>
  <conditionalFormatting sqref="M3:M9">
    <cfRule type="colorScale" priority="12">
      <colorScale>
        <cfvo type="formula" val="0"/>
        <cfvo type="max"/>
        <color rgb="FFFFFFFF"/>
        <color rgb="FFFFD666"/>
      </colorScale>
    </cfRule>
  </conditionalFormatting>
  <conditionalFormatting sqref="O3:O9">
    <cfRule type="colorScale" priority="13">
      <colorScale>
        <cfvo type="formula" val="0"/>
        <cfvo type="formula" val="1"/>
        <color rgb="FFFFFFFF"/>
        <color rgb="FF57BB8A"/>
      </colorScale>
    </cfRule>
  </conditionalFormatting>
  <conditionalFormatting sqref="P3:P9">
    <cfRule type="colorScale" priority="14">
      <colorScale>
        <cfvo type="formula" val="0"/>
        <cfvo type="max"/>
        <color rgb="FFFFFFFF"/>
        <color rgb="FFFFD666"/>
      </colorScale>
    </cfRule>
  </conditionalFormatting>
  <conditionalFormatting sqref="U3:U9">
    <cfRule type="colorScale" priority="15">
      <colorScale>
        <cfvo type="formula" val="0"/>
        <cfvo type="formula" val="2"/>
        <cfvo type="formula" val="3"/>
        <color rgb="FFE67C73"/>
        <color rgb="FFFFFFFF"/>
        <color rgb="FF57BB8A"/>
      </colorScale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7.63"/>
    <col customWidth="1" min="4" max="4" width="5.63"/>
    <col customWidth="1" min="5" max="5" width="6.88"/>
    <col customWidth="1" min="6" max="6" width="10.0"/>
    <col customWidth="1" min="7" max="7" width="13.75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1" t="s">
        <v>4</v>
      </c>
      <c r="K1" s="6" t="s">
        <v>5</v>
      </c>
      <c r="L1" s="4"/>
      <c r="M1" s="4"/>
      <c r="N1" s="4"/>
      <c r="O1" s="5"/>
      <c r="P1" s="30" t="s">
        <v>6</v>
      </c>
      <c r="Q1" s="4"/>
      <c r="R1" s="4"/>
      <c r="S1" s="4"/>
      <c r="T1" s="4"/>
      <c r="U1" s="5"/>
    </row>
    <row r="2">
      <c r="A2" s="9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2" t="s">
        <v>13</v>
      </c>
      <c r="I2" s="12" t="s">
        <v>14</v>
      </c>
      <c r="J2" s="9"/>
      <c r="K2" s="10" t="s">
        <v>15</v>
      </c>
      <c r="L2" s="12" t="s">
        <v>10</v>
      </c>
      <c r="M2" s="10" t="s">
        <v>16</v>
      </c>
      <c r="N2" s="10" t="s">
        <v>17</v>
      </c>
      <c r="O2" s="10" t="s">
        <v>18</v>
      </c>
      <c r="P2" s="15" t="s">
        <v>8</v>
      </c>
      <c r="Q2" s="15">
        <v>0.0</v>
      </c>
      <c r="R2" s="15">
        <v>1.0</v>
      </c>
      <c r="S2" s="15">
        <v>2.0</v>
      </c>
      <c r="T2" s="15">
        <v>3.0</v>
      </c>
      <c r="U2" s="15" t="s">
        <v>19</v>
      </c>
    </row>
    <row r="3">
      <c r="A3" s="18" t="s">
        <v>21</v>
      </c>
      <c r="B3" s="18" t="s">
        <v>83</v>
      </c>
      <c r="C3" s="10">
        <v>5.0</v>
      </c>
      <c r="D3" s="10">
        <v>2.0</v>
      </c>
      <c r="E3" s="10"/>
      <c r="F3" s="10"/>
      <c r="G3" s="35">
        <f t="shared" ref="G3:G9" si="1">IFS(C3=0, "N/A", C3&lt;&gt;0,(D3-E3)/C3 )</f>
        <v>0.4</v>
      </c>
      <c r="H3" s="35"/>
      <c r="I3" s="35"/>
      <c r="J3" s="10">
        <v>2.0</v>
      </c>
      <c r="K3" s="10">
        <v>1.0</v>
      </c>
      <c r="L3" s="10"/>
      <c r="M3" s="10">
        <v>5.0</v>
      </c>
      <c r="N3" s="35">
        <f t="shared" ref="N3:N9" si="2">ifs(M3=0,"N/A",M3&lt;&gt;0,(M3-L3) /M3)</f>
        <v>1</v>
      </c>
      <c r="O3" s="35">
        <f t="shared" ref="O3:O9" si="3">IFS(M3=0, "N/A", M3&lt;&gt;0, K3/M3)</f>
        <v>0.2</v>
      </c>
      <c r="P3" s="10">
        <f t="shared" ref="P3:P9" si="4">sum(Q3,R3,S3,T3)</f>
        <v>1</v>
      </c>
      <c r="Q3" s="35"/>
      <c r="R3" s="10"/>
      <c r="S3" s="10"/>
      <c r="T3" s="10">
        <v>1.0</v>
      </c>
      <c r="U3" s="10">
        <f t="shared" ref="U3:U9" si="5">ifs(P3=0, "N/A",P3&lt;&gt;0,(R3 + S3*2 +T3*3)/P3)</f>
        <v>3</v>
      </c>
    </row>
    <row r="4">
      <c r="A4" s="21" t="s">
        <v>24</v>
      </c>
      <c r="B4" s="21" t="s">
        <v>41</v>
      </c>
      <c r="C4" s="10">
        <v>3.0</v>
      </c>
      <c r="D4" s="10"/>
      <c r="E4" s="10">
        <v>1.0</v>
      </c>
      <c r="F4" s="35"/>
      <c r="G4" s="35">
        <f t="shared" si="1"/>
        <v>-0.3333333333</v>
      </c>
      <c r="H4" s="35"/>
      <c r="I4" s="10"/>
      <c r="J4" s="10">
        <v>3.0</v>
      </c>
      <c r="K4" s="35"/>
      <c r="L4" s="35"/>
      <c r="M4" s="10">
        <v>1.0</v>
      </c>
      <c r="N4" s="35">
        <f t="shared" si="2"/>
        <v>1</v>
      </c>
      <c r="O4" s="35">
        <f t="shared" si="3"/>
        <v>0</v>
      </c>
      <c r="P4" s="10">
        <f t="shared" si="4"/>
        <v>1</v>
      </c>
      <c r="Q4" s="10">
        <v>1.0</v>
      </c>
      <c r="R4" s="35"/>
      <c r="S4" s="35"/>
      <c r="T4" s="35"/>
      <c r="U4" s="10">
        <f t="shared" si="5"/>
        <v>0</v>
      </c>
    </row>
    <row r="5">
      <c r="A5" s="22" t="s">
        <v>26</v>
      </c>
      <c r="B5" s="22" t="s">
        <v>42</v>
      </c>
      <c r="C5" s="10">
        <v>1.0</v>
      </c>
      <c r="D5" s="10"/>
      <c r="E5" s="10"/>
      <c r="F5" s="10">
        <v>6.0</v>
      </c>
      <c r="G5" s="35">
        <f t="shared" si="1"/>
        <v>0</v>
      </c>
      <c r="H5" s="35"/>
      <c r="I5" s="10"/>
      <c r="J5" s="10">
        <v>1.0</v>
      </c>
      <c r="K5" s="10">
        <v>2.0</v>
      </c>
      <c r="L5" s="10">
        <v>0.0</v>
      </c>
      <c r="M5" s="10">
        <v>12.0</v>
      </c>
      <c r="N5" s="35">
        <f t="shared" si="2"/>
        <v>1</v>
      </c>
      <c r="O5" s="35">
        <f t="shared" si="3"/>
        <v>0.1666666667</v>
      </c>
      <c r="P5" s="10">
        <f t="shared" si="4"/>
        <v>0</v>
      </c>
      <c r="Q5" s="35"/>
      <c r="R5" s="35"/>
      <c r="S5" s="35"/>
      <c r="T5" s="35"/>
      <c r="U5" s="10" t="str">
        <f t="shared" si="5"/>
        <v>N/A</v>
      </c>
    </row>
    <row r="6">
      <c r="A6" s="23" t="s">
        <v>28</v>
      </c>
      <c r="B6" s="23" t="s">
        <v>43</v>
      </c>
      <c r="C6" s="10">
        <v>2.0</v>
      </c>
      <c r="D6" s="10">
        <v>1.0</v>
      </c>
      <c r="E6" s="10"/>
      <c r="F6" s="35"/>
      <c r="G6" s="35">
        <f t="shared" si="1"/>
        <v>0.5</v>
      </c>
      <c r="H6" s="35"/>
      <c r="I6" s="35"/>
      <c r="J6" s="10">
        <v>1.0</v>
      </c>
      <c r="K6" s="10"/>
      <c r="L6" s="10"/>
      <c r="M6" s="10">
        <v>1.0</v>
      </c>
      <c r="N6" s="35">
        <f t="shared" si="2"/>
        <v>1</v>
      </c>
      <c r="O6" s="35">
        <f t="shared" si="3"/>
        <v>0</v>
      </c>
      <c r="P6" s="10">
        <f t="shared" si="4"/>
        <v>4</v>
      </c>
      <c r="Q6" s="10">
        <v>1.0</v>
      </c>
      <c r="R6" s="10"/>
      <c r="S6" s="10">
        <v>2.0</v>
      </c>
      <c r="T6" s="10">
        <v>1.0</v>
      </c>
      <c r="U6" s="10">
        <f t="shared" si="5"/>
        <v>1.75</v>
      </c>
    </row>
    <row r="7">
      <c r="A7" s="24" t="s">
        <v>30</v>
      </c>
      <c r="B7" s="24" t="s">
        <v>85</v>
      </c>
      <c r="C7" s="10">
        <v>7.0</v>
      </c>
      <c r="D7" s="10">
        <v>2.0</v>
      </c>
      <c r="E7" s="10">
        <v>2.0</v>
      </c>
      <c r="F7" s="35"/>
      <c r="G7" s="35">
        <f t="shared" si="1"/>
        <v>0</v>
      </c>
      <c r="H7" s="35"/>
      <c r="I7" s="35"/>
      <c r="J7" s="10">
        <v>1.0</v>
      </c>
      <c r="K7" s="35"/>
      <c r="L7" s="35"/>
      <c r="M7" s="10">
        <v>1.0</v>
      </c>
      <c r="N7" s="35">
        <f t="shared" si="2"/>
        <v>1</v>
      </c>
      <c r="O7" s="35">
        <f t="shared" si="3"/>
        <v>0</v>
      </c>
      <c r="P7" s="10">
        <f t="shared" si="4"/>
        <v>4</v>
      </c>
      <c r="Q7" s="10">
        <v>1.0</v>
      </c>
      <c r="R7" s="10">
        <v>2.0</v>
      </c>
      <c r="S7" s="10">
        <v>1.0</v>
      </c>
      <c r="T7" s="35"/>
      <c r="U7" s="10">
        <f t="shared" si="5"/>
        <v>1</v>
      </c>
    </row>
    <row r="8">
      <c r="A8" s="25" t="s">
        <v>32</v>
      </c>
      <c r="B8" s="25" t="s">
        <v>45</v>
      </c>
      <c r="C8" s="10">
        <v>7.0</v>
      </c>
      <c r="D8" s="10">
        <v>3.0</v>
      </c>
      <c r="E8" s="10"/>
      <c r="F8" s="35"/>
      <c r="G8" s="35">
        <f t="shared" si="1"/>
        <v>0.4285714286</v>
      </c>
      <c r="H8" s="35"/>
      <c r="I8" s="35"/>
      <c r="J8" s="10">
        <v>1.0</v>
      </c>
      <c r="K8" s="35"/>
      <c r="L8" s="10">
        <v>2.0</v>
      </c>
      <c r="M8" s="10">
        <v>3.0</v>
      </c>
      <c r="N8" s="35">
        <f t="shared" si="2"/>
        <v>0.3333333333</v>
      </c>
      <c r="O8" s="35">
        <f t="shared" si="3"/>
        <v>0</v>
      </c>
      <c r="P8" s="10">
        <f t="shared" si="4"/>
        <v>1</v>
      </c>
      <c r="Q8" s="35"/>
      <c r="R8" s="10"/>
      <c r="S8" s="35"/>
      <c r="T8" s="10">
        <v>1.0</v>
      </c>
      <c r="U8" s="10">
        <f t="shared" si="5"/>
        <v>3</v>
      </c>
    </row>
    <row r="9">
      <c r="A9" s="26" t="s">
        <v>34</v>
      </c>
      <c r="B9" s="26" t="s">
        <v>84</v>
      </c>
      <c r="C9" s="10">
        <v>6.0</v>
      </c>
      <c r="D9" s="10">
        <v>1.0</v>
      </c>
      <c r="E9" s="10">
        <v>1.0</v>
      </c>
      <c r="F9" s="10">
        <v>1.0</v>
      </c>
      <c r="G9" s="35">
        <f t="shared" si="1"/>
        <v>0</v>
      </c>
      <c r="H9" s="35"/>
      <c r="I9" s="35"/>
      <c r="J9" s="10">
        <v>3.0</v>
      </c>
      <c r="K9" s="35"/>
      <c r="L9" s="10"/>
      <c r="M9" s="10">
        <v>2.0</v>
      </c>
      <c r="N9" s="35">
        <f t="shared" si="2"/>
        <v>1</v>
      </c>
      <c r="O9" s="35">
        <f t="shared" si="3"/>
        <v>0</v>
      </c>
      <c r="P9" s="10">
        <f t="shared" si="4"/>
        <v>3</v>
      </c>
      <c r="Q9" s="10">
        <v>2.0</v>
      </c>
      <c r="R9" s="10"/>
      <c r="S9" s="10">
        <v>1.0</v>
      </c>
      <c r="T9" s="35"/>
      <c r="U9" s="10">
        <f t="shared" si="5"/>
        <v>0.6666666667</v>
      </c>
    </row>
    <row r="10">
      <c r="M10" s="52"/>
      <c r="N10" s="52"/>
      <c r="O10" s="52"/>
      <c r="P10" s="52"/>
      <c r="Q10" s="52"/>
      <c r="R10" s="52"/>
      <c r="S10" s="52"/>
      <c r="T10" s="52"/>
      <c r="U10" s="52"/>
    </row>
    <row r="11">
      <c r="M11" s="52"/>
      <c r="N11" s="52"/>
      <c r="O11" s="52"/>
    </row>
    <row r="12">
      <c r="M12" s="52"/>
      <c r="N12" s="52"/>
      <c r="O12" s="52"/>
    </row>
    <row r="13">
      <c r="C13" s="55"/>
      <c r="M13" s="52"/>
      <c r="N13" s="52"/>
      <c r="O13" s="52"/>
    </row>
    <row r="14">
      <c r="M14" s="52"/>
      <c r="N14" s="52"/>
      <c r="O14" s="52"/>
    </row>
    <row r="15">
      <c r="L15" s="17" t="s">
        <v>36</v>
      </c>
      <c r="M15" s="52"/>
      <c r="N15" s="52"/>
      <c r="O15" s="52"/>
    </row>
    <row r="16">
      <c r="M16" s="52"/>
      <c r="N16" s="52"/>
      <c r="O16" s="52"/>
    </row>
    <row r="17">
      <c r="M17" s="52"/>
      <c r="N17" s="52"/>
      <c r="O17" s="52"/>
    </row>
    <row r="18">
      <c r="M18" s="52"/>
      <c r="N18" s="52"/>
      <c r="O18" s="52"/>
    </row>
    <row r="19">
      <c r="M19" s="52"/>
      <c r="N19" s="52"/>
      <c r="O19" s="52"/>
    </row>
    <row r="20">
      <c r="M20" s="52"/>
      <c r="N20" s="52"/>
      <c r="O20" s="52"/>
    </row>
    <row r="21">
      <c r="M21" s="52"/>
      <c r="N21" s="52"/>
      <c r="O21" s="52"/>
    </row>
    <row r="22">
      <c r="M22" s="52"/>
      <c r="N22" s="52"/>
      <c r="O22" s="52"/>
    </row>
    <row r="23">
      <c r="M23" s="52"/>
      <c r="N23" s="52"/>
      <c r="O23" s="52"/>
    </row>
    <row r="24">
      <c r="M24" s="52"/>
      <c r="N24" s="52"/>
      <c r="O24" s="52"/>
    </row>
    <row r="25">
      <c r="M25" s="52"/>
      <c r="N25" s="52"/>
      <c r="O25" s="52"/>
    </row>
    <row r="26">
      <c r="M26" s="52"/>
      <c r="N26" s="52"/>
      <c r="O26" s="52"/>
    </row>
    <row r="27">
      <c r="M27" s="52"/>
      <c r="N27" s="52"/>
      <c r="O27" s="52"/>
    </row>
    <row r="28">
      <c r="M28" s="52"/>
      <c r="N28" s="52"/>
      <c r="O28" s="52"/>
    </row>
    <row r="29">
      <c r="M29" s="52"/>
      <c r="N29" s="52"/>
      <c r="O29" s="52"/>
    </row>
    <row r="30">
      <c r="M30" s="52"/>
      <c r="N30" s="52"/>
      <c r="O30" s="52"/>
    </row>
    <row r="31">
      <c r="M31" s="52"/>
      <c r="N31" s="52"/>
      <c r="O31" s="52"/>
    </row>
    <row r="32">
      <c r="M32" s="52"/>
      <c r="N32" s="52"/>
      <c r="O32" s="52"/>
    </row>
    <row r="33">
      <c r="M33" s="52"/>
      <c r="N33" s="52"/>
      <c r="O33" s="52"/>
    </row>
    <row r="34">
      <c r="M34" s="52"/>
      <c r="N34" s="52"/>
      <c r="O34" s="52"/>
    </row>
    <row r="35">
      <c r="M35" s="52"/>
      <c r="N35" s="52"/>
      <c r="O35" s="52"/>
    </row>
    <row r="36">
      <c r="M36" s="52"/>
      <c r="N36" s="52"/>
      <c r="O36" s="52"/>
    </row>
    <row r="37">
      <c r="M37" s="52"/>
      <c r="N37" s="52"/>
      <c r="O37" s="52"/>
    </row>
    <row r="38">
      <c r="M38" s="52"/>
      <c r="N38" s="52"/>
      <c r="O38" s="52"/>
    </row>
    <row r="39">
      <c r="M39" s="52"/>
      <c r="N39" s="52"/>
      <c r="O39" s="52"/>
    </row>
    <row r="40">
      <c r="M40" s="52"/>
      <c r="N40" s="52"/>
      <c r="O40" s="52"/>
    </row>
    <row r="41">
      <c r="M41" s="52"/>
      <c r="N41" s="52"/>
      <c r="O41" s="52"/>
    </row>
    <row r="42">
      <c r="M42" s="52"/>
      <c r="N42" s="52"/>
      <c r="O42" s="52"/>
    </row>
    <row r="43">
      <c r="M43" s="52"/>
      <c r="N43" s="52"/>
      <c r="O43" s="52"/>
    </row>
    <row r="44">
      <c r="M44" s="52"/>
      <c r="N44" s="52"/>
      <c r="O44" s="52"/>
    </row>
    <row r="45">
      <c r="M45" s="52"/>
      <c r="N45" s="52"/>
      <c r="O45" s="52"/>
    </row>
    <row r="46">
      <c r="M46" s="52"/>
      <c r="N46" s="52"/>
      <c r="O46" s="52"/>
    </row>
    <row r="47">
      <c r="M47" s="52"/>
      <c r="N47" s="52"/>
      <c r="O47" s="52"/>
    </row>
    <row r="48">
      <c r="M48" s="52"/>
      <c r="N48" s="52"/>
      <c r="O48" s="52"/>
    </row>
    <row r="49">
      <c r="M49" s="52"/>
      <c r="N49" s="52"/>
      <c r="O49" s="52"/>
    </row>
    <row r="50">
      <c r="M50" s="52"/>
      <c r="N50" s="52"/>
      <c r="O50" s="52"/>
    </row>
    <row r="51">
      <c r="M51" s="52"/>
      <c r="N51" s="52"/>
      <c r="O51" s="52"/>
    </row>
    <row r="52">
      <c r="M52" s="52"/>
      <c r="N52" s="52"/>
      <c r="O52" s="52"/>
    </row>
    <row r="53">
      <c r="M53" s="52"/>
      <c r="N53" s="52"/>
      <c r="O53" s="52"/>
    </row>
    <row r="54">
      <c r="M54" s="52"/>
      <c r="N54" s="52"/>
      <c r="O54" s="52"/>
    </row>
    <row r="55">
      <c r="M55" s="52"/>
      <c r="N55" s="52"/>
      <c r="O55" s="52"/>
    </row>
    <row r="56">
      <c r="M56" s="52"/>
      <c r="N56" s="52"/>
      <c r="O56" s="52"/>
    </row>
    <row r="57">
      <c r="M57" s="52"/>
      <c r="N57" s="52"/>
      <c r="O57" s="52"/>
    </row>
    <row r="58">
      <c r="M58" s="52"/>
      <c r="N58" s="52"/>
      <c r="O58" s="52"/>
    </row>
    <row r="59">
      <c r="M59" s="52"/>
      <c r="N59" s="52"/>
      <c r="O59" s="52"/>
    </row>
    <row r="60">
      <c r="M60" s="52"/>
      <c r="N60" s="52"/>
      <c r="O60" s="52"/>
    </row>
    <row r="61">
      <c r="M61" s="52"/>
      <c r="N61" s="52"/>
      <c r="O61" s="52"/>
    </row>
    <row r="62">
      <c r="M62" s="52"/>
      <c r="N62" s="52"/>
      <c r="O62" s="52"/>
    </row>
    <row r="63">
      <c r="M63" s="52"/>
      <c r="N63" s="52"/>
      <c r="O63" s="52"/>
    </row>
    <row r="64">
      <c r="M64" s="52"/>
      <c r="N64" s="52"/>
      <c r="O64" s="52"/>
    </row>
    <row r="65">
      <c r="M65" s="52"/>
      <c r="N65" s="52"/>
      <c r="O65" s="52"/>
    </row>
    <row r="66">
      <c r="M66" s="52"/>
      <c r="N66" s="52"/>
      <c r="O66" s="52"/>
    </row>
    <row r="67">
      <c r="M67" s="52"/>
      <c r="N67" s="52"/>
      <c r="O67" s="52"/>
    </row>
    <row r="68">
      <c r="M68" s="52"/>
      <c r="N68" s="52"/>
      <c r="O68" s="52"/>
    </row>
    <row r="69">
      <c r="M69" s="52"/>
      <c r="N69" s="52"/>
      <c r="O69" s="52"/>
    </row>
    <row r="70">
      <c r="M70" s="52"/>
      <c r="N70" s="52"/>
      <c r="O70" s="52"/>
    </row>
    <row r="71">
      <c r="M71" s="52"/>
      <c r="N71" s="52"/>
      <c r="O71" s="52"/>
    </row>
    <row r="72">
      <c r="M72" s="52"/>
      <c r="N72" s="52"/>
      <c r="O72" s="52"/>
    </row>
    <row r="73">
      <c r="M73" s="52"/>
      <c r="N73" s="52"/>
      <c r="O73" s="52"/>
    </row>
    <row r="74">
      <c r="M74" s="52"/>
      <c r="N74" s="52"/>
      <c r="O74" s="52"/>
    </row>
    <row r="75">
      <c r="M75" s="52"/>
      <c r="N75" s="52"/>
      <c r="O75" s="52"/>
    </row>
    <row r="76">
      <c r="M76" s="52"/>
      <c r="N76" s="52"/>
      <c r="O76" s="52"/>
    </row>
    <row r="77">
      <c r="M77" s="52"/>
      <c r="N77" s="52"/>
      <c r="O77" s="52"/>
    </row>
    <row r="78">
      <c r="M78" s="52"/>
      <c r="N78" s="52"/>
      <c r="O78" s="52"/>
    </row>
    <row r="79">
      <c r="M79" s="52"/>
      <c r="N79" s="52"/>
      <c r="O79" s="52"/>
    </row>
    <row r="80">
      <c r="M80" s="52"/>
      <c r="N80" s="52"/>
      <c r="O80" s="52"/>
    </row>
    <row r="81">
      <c r="M81" s="52"/>
      <c r="N81" s="52"/>
      <c r="O81" s="52"/>
    </row>
    <row r="82">
      <c r="M82" s="52"/>
      <c r="N82" s="52"/>
      <c r="O82" s="52"/>
    </row>
    <row r="83">
      <c r="M83" s="52"/>
      <c r="N83" s="52"/>
      <c r="O83" s="52"/>
    </row>
    <row r="84">
      <c r="M84" s="52"/>
      <c r="N84" s="52"/>
      <c r="O84" s="52"/>
    </row>
    <row r="85">
      <c r="M85" s="52"/>
      <c r="N85" s="52"/>
      <c r="O85" s="52"/>
    </row>
    <row r="86">
      <c r="M86" s="52"/>
      <c r="N86" s="52"/>
      <c r="O86" s="52"/>
    </row>
    <row r="87">
      <c r="M87" s="52"/>
      <c r="N87" s="52"/>
      <c r="O87" s="52"/>
    </row>
    <row r="88">
      <c r="M88" s="52"/>
      <c r="N88" s="52"/>
      <c r="O88" s="52"/>
    </row>
    <row r="89">
      <c r="M89" s="52"/>
      <c r="N89" s="52"/>
      <c r="O89" s="52"/>
    </row>
    <row r="90">
      <c r="M90" s="52"/>
      <c r="N90" s="52"/>
      <c r="O90" s="52"/>
    </row>
    <row r="91">
      <c r="M91" s="52"/>
      <c r="N91" s="52"/>
      <c r="O91" s="52"/>
    </row>
    <row r="92">
      <c r="M92" s="52"/>
      <c r="N92" s="52"/>
      <c r="O92" s="52"/>
    </row>
    <row r="93">
      <c r="M93" s="52"/>
      <c r="N93" s="52"/>
      <c r="O93" s="52"/>
    </row>
    <row r="94">
      <c r="M94" s="52"/>
      <c r="N94" s="52"/>
      <c r="O94" s="52"/>
    </row>
    <row r="95">
      <c r="M95" s="52"/>
      <c r="N95" s="52"/>
      <c r="O95" s="52"/>
    </row>
    <row r="96">
      <c r="M96" s="52"/>
      <c r="N96" s="52"/>
      <c r="O96" s="52"/>
    </row>
    <row r="97">
      <c r="M97" s="52"/>
      <c r="N97" s="52"/>
      <c r="O97" s="52"/>
    </row>
    <row r="98">
      <c r="M98" s="52"/>
      <c r="N98" s="52"/>
      <c r="O98" s="52"/>
    </row>
    <row r="99">
      <c r="M99" s="52"/>
      <c r="N99" s="52"/>
      <c r="O99" s="52"/>
    </row>
    <row r="100">
      <c r="M100" s="52"/>
      <c r="N100" s="52"/>
      <c r="O100" s="52"/>
    </row>
    <row r="101">
      <c r="M101" s="52"/>
      <c r="N101" s="52"/>
      <c r="O101" s="52"/>
    </row>
    <row r="102">
      <c r="M102" s="52"/>
      <c r="N102" s="52"/>
      <c r="O102" s="52"/>
    </row>
    <row r="103">
      <c r="M103" s="52"/>
      <c r="N103" s="52"/>
      <c r="O103" s="52"/>
    </row>
    <row r="104">
      <c r="M104" s="52"/>
      <c r="N104" s="52"/>
      <c r="O104" s="52"/>
    </row>
    <row r="105">
      <c r="M105" s="52"/>
      <c r="N105" s="52"/>
      <c r="O105" s="52"/>
    </row>
    <row r="106">
      <c r="M106" s="52"/>
      <c r="N106" s="52"/>
      <c r="O106" s="52"/>
    </row>
    <row r="107">
      <c r="M107" s="52"/>
      <c r="N107" s="52"/>
      <c r="O107" s="52"/>
    </row>
    <row r="108">
      <c r="M108" s="52"/>
      <c r="N108" s="52"/>
      <c r="O108" s="52"/>
    </row>
    <row r="109">
      <c r="M109" s="52"/>
      <c r="N109" s="52"/>
      <c r="O109" s="52"/>
    </row>
    <row r="110">
      <c r="M110" s="52"/>
      <c r="N110" s="52"/>
      <c r="O110" s="52"/>
    </row>
    <row r="111">
      <c r="M111" s="52"/>
      <c r="N111" s="52"/>
      <c r="O111" s="52"/>
    </row>
    <row r="112">
      <c r="M112" s="52"/>
      <c r="N112" s="52"/>
      <c r="O112" s="52"/>
    </row>
    <row r="113">
      <c r="M113" s="52"/>
      <c r="N113" s="52"/>
      <c r="O113" s="52"/>
    </row>
    <row r="114">
      <c r="M114" s="52"/>
      <c r="N114" s="52"/>
      <c r="O114" s="52"/>
    </row>
    <row r="115">
      <c r="M115" s="52"/>
      <c r="N115" s="52"/>
      <c r="O115" s="52"/>
    </row>
    <row r="116">
      <c r="M116" s="52"/>
      <c r="N116" s="52"/>
      <c r="O116" s="52"/>
    </row>
    <row r="117">
      <c r="M117" s="52"/>
      <c r="N117" s="52"/>
      <c r="O117" s="52"/>
    </row>
    <row r="118">
      <c r="M118" s="52"/>
      <c r="N118" s="52"/>
      <c r="O118" s="52"/>
    </row>
    <row r="119">
      <c r="M119" s="52"/>
      <c r="N119" s="52"/>
      <c r="O119" s="52"/>
    </row>
    <row r="120">
      <c r="M120" s="52"/>
      <c r="N120" s="52"/>
      <c r="O120" s="52"/>
    </row>
    <row r="121">
      <c r="M121" s="52"/>
      <c r="N121" s="52"/>
      <c r="O121" s="52"/>
    </row>
    <row r="122">
      <c r="M122" s="52"/>
      <c r="N122" s="52"/>
      <c r="O122" s="52"/>
    </row>
    <row r="123">
      <c r="M123" s="52"/>
      <c r="N123" s="52"/>
      <c r="O123" s="52"/>
    </row>
    <row r="124">
      <c r="M124" s="52"/>
      <c r="N124" s="52"/>
      <c r="O124" s="52"/>
    </row>
    <row r="125">
      <c r="M125" s="52"/>
      <c r="N125" s="52"/>
      <c r="O125" s="52"/>
    </row>
    <row r="126">
      <c r="M126" s="52"/>
      <c r="N126" s="52"/>
      <c r="O126" s="52"/>
    </row>
    <row r="127">
      <c r="M127" s="52"/>
      <c r="N127" s="52"/>
      <c r="O127" s="52"/>
    </row>
    <row r="128">
      <c r="M128" s="52"/>
      <c r="N128" s="52"/>
      <c r="O128" s="52"/>
    </row>
    <row r="129">
      <c r="M129" s="52"/>
      <c r="N129" s="52"/>
      <c r="O129" s="52"/>
    </row>
    <row r="130">
      <c r="M130" s="52"/>
      <c r="N130" s="52"/>
      <c r="O130" s="52"/>
    </row>
    <row r="131">
      <c r="M131" s="52"/>
      <c r="N131" s="52"/>
      <c r="O131" s="52"/>
    </row>
    <row r="132">
      <c r="M132" s="52"/>
      <c r="N132" s="52"/>
      <c r="O132" s="52"/>
    </row>
    <row r="133">
      <c r="M133" s="52"/>
      <c r="N133" s="52"/>
      <c r="O133" s="52"/>
    </row>
    <row r="134">
      <c r="M134" s="52"/>
      <c r="N134" s="52"/>
      <c r="O134" s="52"/>
    </row>
    <row r="135">
      <c r="M135" s="52"/>
      <c r="N135" s="52"/>
      <c r="O135" s="52"/>
    </row>
    <row r="136">
      <c r="M136" s="52"/>
      <c r="N136" s="52"/>
      <c r="O136" s="52"/>
    </row>
    <row r="137">
      <c r="M137" s="52"/>
      <c r="N137" s="52"/>
      <c r="O137" s="52"/>
    </row>
    <row r="138">
      <c r="M138" s="52"/>
      <c r="N138" s="52"/>
      <c r="O138" s="52"/>
    </row>
    <row r="139">
      <c r="M139" s="52"/>
      <c r="N139" s="52"/>
      <c r="O139" s="52"/>
    </row>
    <row r="140">
      <c r="M140" s="52"/>
      <c r="N140" s="52"/>
      <c r="O140" s="52"/>
    </row>
    <row r="141">
      <c r="M141" s="52"/>
      <c r="N141" s="52"/>
      <c r="O141" s="52"/>
    </row>
    <row r="142">
      <c r="M142" s="52"/>
      <c r="N142" s="52"/>
      <c r="O142" s="52"/>
    </row>
    <row r="143">
      <c r="M143" s="52"/>
      <c r="N143" s="52"/>
      <c r="O143" s="52"/>
    </row>
    <row r="144">
      <c r="M144" s="52"/>
      <c r="N144" s="52"/>
      <c r="O144" s="52"/>
    </row>
    <row r="145">
      <c r="M145" s="52"/>
      <c r="N145" s="52"/>
      <c r="O145" s="52"/>
    </row>
    <row r="146">
      <c r="M146" s="52"/>
      <c r="N146" s="52"/>
      <c r="O146" s="52"/>
    </row>
    <row r="147">
      <c r="M147" s="52"/>
      <c r="N147" s="52"/>
      <c r="O147" s="52"/>
    </row>
    <row r="148">
      <c r="M148" s="52"/>
      <c r="N148" s="52"/>
      <c r="O148" s="52"/>
    </row>
    <row r="149">
      <c r="M149" s="52"/>
      <c r="N149" s="52"/>
      <c r="O149" s="52"/>
    </row>
    <row r="150">
      <c r="M150" s="52"/>
      <c r="N150" s="52"/>
      <c r="O150" s="52"/>
    </row>
    <row r="151">
      <c r="M151" s="52"/>
      <c r="N151" s="52"/>
      <c r="O151" s="52"/>
    </row>
    <row r="152">
      <c r="M152" s="52"/>
      <c r="N152" s="52"/>
      <c r="O152" s="52"/>
    </row>
    <row r="153">
      <c r="M153" s="52"/>
      <c r="N153" s="52"/>
      <c r="O153" s="52"/>
    </row>
    <row r="154">
      <c r="M154" s="52"/>
      <c r="N154" s="52"/>
      <c r="O154" s="52"/>
    </row>
    <row r="155">
      <c r="M155" s="52"/>
      <c r="N155" s="52"/>
      <c r="O155" s="52"/>
    </row>
    <row r="156">
      <c r="M156" s="52"/>
      <c r="N156" s="52"/>
      <c r="O156" s="52"/>
    </row>
    <row r="157">
      <c r="M157" s="52"/>
      <c r="N157" s="52"/>
      <c r="O157" s="52"/>
    </row>
    <row r="158">
      <c r="M158" s="52"/>
      <c r="N158" s="52"/>
      <c r="O158" s="52"/>
    </row>
    <row r="159">
      <c r="M159" s="52"/>
      <c r="N159" s="52"/>
      <c r="O159" s="52"/>
    </row>
    <row r="160">
      <c r="M160" s="52"/>
      <c r="N160" s="52"/>
      <c r="O160" s="52"/>
    </row>
    <row r="161">
      <c r="M161" s="52"/>
      <c r="N161" s="52"/>
      <c r="O161" s="52"/>
    </row>
    <row r="162">
      <c r="M162" s="52"/>
      <c r="N162" s="52"/>
      <c r="O162" s="52"/>
    </row>
    <row r="163">
      <c r="M163" s="52"/>
      <c r="N163" s="52"/>
      <c r="O163" s="52"/>
    </row>
    <row r="164">
      <c r="M164" s="52"/>
      <c r="N164" s="52"/>
      <c r="O164" s="52"/>
    </row>
    <row r="165">
      <c r="M165" s="52"/>
      <c r="N165" s="52"/>
      <c r="O165" s="52"/>
    </row>
    <row r="166">
      <c r="M166" s="52"/>
      <c r="N166" s="52"/>
      <c r="O166" s="52"/>
    </row>
    <row r="167">
      <c r="M167" s="52"/>
      <c r="N167" s="52"/>
      <c r="O167" s="52"/>
    </row>
    <row r="168">
      <c r="M168" s="52"/>
      <c r="N168" s="52"/>
      <c r="O168" s="52"/>
    </row>
    <row r="169">
      <c r="M169" s="52"/>
      <c r="N169" s="52"/>
      <c r="O169" s="52"/>
    </row>
    <row r="170">
      <c r="M170" s="52"/>
      <c r="N170" s="52"/>
      <c r="O170" s="52"/>
    </row>
    <row r="171">
      <c r="M171" s="52"/>
      <c r="N171" s="52"/>
      <c r="O171" s="52"/>
    </row>
    <row r="172">
      <c r="M172" s="52"/>
      <c r="N172" s="52"/>
      <c r="O172" s="52"/>
    </row>
    <row r="173">
      <c r="M173" s="52"/>
      <c r="N173" s="52"/>
      <c r="O173" s="52"/>
    </row>
    <row r="174">
      <c r="M174" s="52"/>
      <c r="N174" s="52"/>
      <c r="O174" s="52"/>
    </row>
    <row r="175">
      <c r="M175" s="52"/>
      <c r="N175" s="52"/>
      <c r="O175" s="52"/>
    </row>
    <row r="176">
      <c r="M176" s="52"/>
      <c r="N176" s="52"/>
      <c r="O176" s="52"/>
    </row>
    <row r="177">
      <c r="M177" s="52"/>
      <c r="N177" s="52"/>
      <c r="O177" s="52"/>
    </row>
    <row r="178">
      <c r="M178" s="52"/>
      <c r="N178" s="52"/>
      <c r="O178" s="52"/>
    </row>
    <row r="179">
      <c r="M179" s="52"/>
      <c r="N179" s="52"/>
      <c r="O179" s="52"/>
    </row>
    <row r="180">
      <c r="M180" s="52"/>
      <c r="N180" s="52"/>
      <c r="O180" s="52"/>
    </row>
    <row r="181">
      <c r="M181" s="52"/>
      <c r="N181" s="52"/>
      <c r="O181" s="52"/>
    </row>
    <row r="182">
      <c r="M182" s="52"/>
      <c r="N182" s="52"/>
      <c r="O182" s="52"/>
    </row>
    <row r="183">
      <c r="M183" s="52"/>
      <c r="N183" s="52"/>
      <c r="O183" s="52"/>
    </row>
    <row r="184">
      <c r="M184" s="52"/>
      <c r="N184" s="52"/>
      <c r="O184" s="52"/>
    </row>
    <row r="185">
      <c r="M185" s="52"/>
      <c r="N185" s="52"/>
      <c r="O185" s="52"/>
    </row>
    <row r="186">
      <c r="M186" s="52"/>
      <c r="N186" s="52"/>
      <c r="O186" s="52"/>
    </row>
    <row r="187">
      <c r="M187" s="52"/>
      <c r="N187" s="52"/>
      <c r="O187" s="52"/>
    </row>
    <row r="188">
      <c r="M188" s="52"/>
      <c r="N188" s="52"/>
      <c r="O188" s="52"/>
    </row>
    <row r="189">
      <c r="M189" s="52"/>
      <c r="N189" s="52"/>
      <c r="O189" s="52"/>
    </row>
    <row r="190">
      <c r="M190" s="52"/>
      <c r="N190" s="52"/>
      <c r="O190" s="52"/>
    </row>
    <row r="191">
      <c r="M191" s="52"/>
      <c r="N191" s="52"/>
      <c r="O191" s="52"/>
    </row>
    <row r="192">
      <c r="M192" s="52"/>
      <c r="N192" s="52"/>
      <c r="O192" s="52"/>
    </row>
    <row r="193">
      <c r="M193" s="52"/>
      <c r="N193" s="52"/>
      <c r="O193" s="52"/>
    </row>
    <row r="194">
      <c r="M194" s="52"/>
      <c r="N194" s="52"/>
      <c r="O194" s="52"/>
    </row>
    <row r="195">
      <c r="M195" s="52"/>
      <c r="N195" s="52"/>
      <c r="O195" s="52"/>
    </row>
    <row r="196">
      <c r="M196" s="52"/>
      <c r="N196" s="52"/>
      <c r="O196" s="52"/>
    </row>
    <row r="197">
      <c r="M197" s="52"/>
      <c r="N197" s="52"/>
      <c r="O197" s="52"/>
    </row>
    <row r="198">
      <c r="M198" s="52"/>
      <c r="N198" s="52"/>
      <c r="O198" s="52"/>
    </row>
    <row r="199">
      <c r="M199" s="52"/>
      <c r="N199" s="52"/>
      <c r="O199" s="52"/>
    </row>
    <row r="200">
      <c r="M200" s="52"/>
      <c r="N200" s="52"/>
      <c r="O200" s="52"/>
    </row>
    <row r="201">
      <c r="M201" s="52"/>
      <c r="N201" s="52"/>
      <c r="O201" s="52"/>
    </row>
    <row r="202">
      <c r="M202" s="52"/>
      <c r="N202" s="52"/>
      <c r="O202" s="52"/>
    </row>
    <row r="203">
      <c r="M203" s="52"/>
      <c r="N203" s="52"/>
      <c r="O203" s="52"/>
    </row>
    <row r="204">
      <c r="M204" s="52"/>
      <c r="N204" s="52"/>
      <c r="O204" s="52"/>
    </row>
    <row r="205">
      <c r="M205" s="52"/>
      <c r="N205" s="52"/>
      <c r="O205" s="52"/>
    </row>
    <row r="206">
      <c r="M206" s="52"/>
      <c r="N206" s="52"/>
      <c r="O206" s="52"/>
    </row>
    <row r="207">
      <c r="M207" s="52"/>
      <c r="N207" s="52"/>
      <c r="O207" s="52"/>
    </row>
    <row r="208">
      <c r="M208" s="52"/>
      <c r="N208" s="52"/>
      <c r="O208" s="52"/>
    </row>
    <row r="209">
      <c r="M209" s="52"/>
      <c r="N209" s="52"/>
      <c r="O209" s="52"/>
    </row>
    <row r="210">
      <c r="M210" s="52"/>
      <c r="N210" s="52"/>
      <c r="O210" s="52"/>
    </row>
    <row r="211">
      <c r="M211" s="52"/>
      <c r="N211" s="52"/>
      <c r="O211" s="52"/>
    </row>
    <row r="212">
      <c r="M212" s="52"/>
      <c r="N212" s="52"/>
      <c r="O212" s="52"/>
    </row>
    <row r="213">
      <c r="M213" s="52"/>
      <c r="N213" s="52"/>
      <c r="O213" s="52"/>
    </row>
    <row r="214">
      <c r="M214" s="52"/>
      <c r="N214" s="52"/>
      <c r="O214" s="52"/>
    </row>
    <row r="215">
      <c r="M215" s="52"/>
      <c r="N215" s="52"/>
      <c r="O215" s="52"/>
    </row>
    <row r="216">
      <c r="M216" s="52"/>
      <c r="N216" s="52"/>
      <c r="O216" s="52"/>
    </row>
    <row r="217">
      <c r="M217" s="52"/>
      <c r="N217" s="52"/>
      <c r="O217" s="52"/>
    </row>
    <row r="218">
      <c r="M218" s="52"/>
      <c r="N218" s="52"/>
      <c r="O218" s="52"/>
    </row>
    <row r="219">
      <c r="M219" s="52"/>
      <c r="N219" s="52"/>
      <c r="O219" s="52"/>
    </row>
    <row r="220">
      <c r="M220" s="52"/>
      <c r="N220" s="52"/>
      <c r="O220" s="52"/>
    </row>
    <row r="221">
      <c r="M221" s="52"/>
      <c r="N221" s="52"/>
      <c r="O221" s="52"/>
    </row>
    <row r="222">
      <c r="M222" s="52"/>
      <c r="N222" s="52"/>
      <c r="O222" s="52"/>
    </row>
    <row r="223">
      <c r="M223" s="52"/>
      <c r="N223" s="52"/>
      <c r="O223" s="52"/>
    </row>
    <row r="224">
      <c r="M224" s="52"/>
      <c r="N224" s="52"/>
      <c r="O224" s="52"/>
    </row>
    <row r="225">
      <c r="M225" s="52"/>
      <c r="N225" s="52"/>
      <c r="O225" s="52"/>
    </row>
    <row r="226">
      <c r="M226" s="52"/>
      <c r="N226" s="52"/>
      <c r="O226" s="52"/>
    </row>
    <row r="227">
      <c r="M227" s="52"/>
      <c r="N227" s="52"/>
      <c r="O227" s="52"/>
    </row>
    <row r="228">
      <c r="M228" s="52"/>
      <c r="N228" s="52"/>
      <c r="O228" s="52"/>
    </row>
    <row r="229">
      <c r="M229" s="52"/>
      <c r="N229" s="52"/>
      <c r="O229" s="52"/>
    </row>
    <row r="230">
      <c r="M230" s="52"/>
      <c r="N230" s="52"/>
      <c r="O230" s="52"/>
    </row>
    <row r="231">
      <c r="M231" s="52"/>
      <c r="N231" s="52"/>
      <c r="O231" s="52"/>
    </row>
    <row r="232">
      <c r="M232" s="52"/>
      <c r="N232" s="52"/>
      <c r="O232" s="52"/>
    </row>
    <row r="233">
      <c r="M233" s="52"/>
      <c r="N233" s="52"/>
      <c r="O233" s="52"/>
    </row>
    <row r="234">
      <c r="M234" s="52"/>
      <c r="N234" s="52"/>
      <c r="O234" s="52"/>
    </row>
    <row r="235">
      <c r="M235" s="52"/>
      <c r="N235" s="52"/>
      <c r="O235" s="52"/>
    </row>
    <row r="236">
      <c r="M236" s="52"/>
      <c r="N236" s="52"/>
      <c r="O236" s="52"/>
    </row>
    <row r="237">
      <c r="M237" s="52"/>
      <c r="N237" s="52"/>
      <c r="O237" s="52"/>
    </row>
    <row r="238">
      <c r="M238" s="52"/>
      <c r="N238" s="52"/>
      <c r="O238" s="52"/>
    </row>
    <row r="239">
      <c r="M239" s="52"/>
      <c r="N239" s="52"/>
      <c r="O239" s="52"/>
    </row>
    <row r="240">
      <c r="M240" s="52"/>
      <c r="N240" s="52"/>
      <c r="O240" s="52"/>
    </row>
    <row r="241">
      <c r="M241" s="52"/>
      <c r="N241" s="52"/>
      <c r="O241" s="52"/>
    </row>
    <row r="242">
      <c r="M242" s="52"/>
      <c r="N242" s="52"/>
      <c r="O242" s="52"/>
    </row>
    <row r="243">
      <c r="M243" s="52"/>
      <c r="N243" s="52"/>
      <c r="O243" s="52"/>
    </row>
    <row r="244">
      <c r="M244" s="52"/>
      <c r="N244" s="52"/>
      <c r="O244" s="52"/>
    </row>
    <row r="245">
      <c r="M245" s="52"/>
      <c r="N245" s="52"/>
      <c r="O245" s="52"/>
    </row>
    <row r="246">
      <c r="M246" s="52"/>
      <c r="N246" s="52"/>
      <c r="O246" s="52"/>
    </row>
    <row r="247">
      <c r="M247" s="52"/>
      <c r="N247" s="52"/>
      <c r="O247" s="52"/>
    </row>
    <row r="248">
      <c r="M248" s="52"/>
      <c r="N248" s="52"/>
      <c r="O248" s="52"/>
    </row>
    <row r="249">
      <c r="M249" s="52"/>
      <c r="N249" s="52"/>
      <c r="O249" s="52"/>
    </row>
    <row r="250">
      <c r="M250" s="52"/>
      <c r="N250" s="52"/>
      <c r="O250" s="52"/>
    </row>
    <row r="251">
      <c r="M251" s="52"/>
      <c r="N251" s="52"/>
      <c r="O251" s="52"/>
    </row>
    <row r="252">
      <c r="M252" s="52"/>
      <c r="N252" s="52"/>
      <c r="O252" s="52"/>
    </row>
    <row r="253">
      <c r="M253" s="52"/>
      <c r="N253" s="52"/>
      <c r="O253" s="52"/>
    </row>
    <row r="254">
      <c r="M254" s="52"/>
      <c r="N254" s="52"/>
      <c r="O254" s="52"/>
    </row>
    <row r="255">
      <c r="M255" s="52"/>
      <c r="N255" s="52"/>
      <c r="O255" s="52"/>
    </row>
    <row r="256">
      <c r="M256" s="52"/>
      <c r="N256" s="52"/>
      <c r="O256" s="52"/>
    </row>
    <row r="257">
      <c r="M257" s="52"/>
      <c r="N257" s="52"/>
      <c r="O257" s="52"/>
    </row>
    <row r="258">
      <c r="M258" s="52"/>
      <c r="N258" s="52"/>
      <c r="O258" s="52"/>
    </row>
    <row r="259">
      <c r="M259" s="52"/>
      <c r="N259" s="52"/>
      <c r="O259" s="52"/>
    </row>
    <row r="260">
      <c r="M260" s="52"/>
      <c r="N260" s="52"/>
      <c r="O260" s="52"/>
    </row>
    <row r="261">
      <c r="M261" s="52"/>
      <c r="N261" s="52"/>
      <c r="O261" s="52"/>
    </row>
    <row r="262">
      <c r="M262" s="52"/>
      <c r="N262" s="52"/>
      <c r="O262" s="52"/>
    </row>
    <row r="263">
      <c r="M263" s="52"/>
      <c r="N263" s="52"/>
      <c r="O263" s="52"/>
    </row>
    <row r="264">
      <c r="M264" s="52"/>
      <c r="N264" s="52"/>
      <c r="O264" s="52"/>
    </row>
    <row r="265">
      <c r="M265" s="52"/>
      <c r="N265" s="52"/>
      <c r="O265" s="52"/>
    </row>
    <row r="266">
      <c r="M266" s="52"/>
      <c r="N266" s="52"/>
      <c r="O266" s="52"/>
    </row>
    <row r="267">
      <c r="M267" s="52"/>
      <c r="N267" s="52"/>
      <c r="O267" s="52"/>
    </row>
    <row r="268">
      <c r="M268" s="52"/>
      <c r="N268" s="52"/>
      <c r="O268" s="52"/>
    </row>
    <row r="269">
      <c r="M269" s="52"/>
      <c r="N269" s="52"/>
      <c r="O269" s="52"/>
    </row>
    <row r="270">
      <c r="M270" s="52"/>
      <c r="N270" s="52"/>
      <c r="O270" s="52"/>
    </row>
    <row r="271">
      <c r="M271" s="52"/>
      <c r="N271" s="52"/>
      <c r="O271" s="52"/>
    </row>
    <row r="272">
      <c r="M272" s="52"/>
      <c r="N272" s="52"/>
      <c r="O272" s="52"/>
    </row>
    <row r="273">
      <c r="M273" s="52"/>
      <c r="N273" s="52"/>
      <c r="O273" s="52"/>
    </row>
    <row r="274">
      <c r="M274" s="52"/>
      <c r="N274" s="52"/>
      <c r="O274" s="52"/>
    </row>
    <row r="275">
      <c r="M275" s="52"/>
      <c r="N275" s="52"/>
      <c r="O275" s="52"/>
    </row>
    <row r="276">
      <c r="M276" s="52"/>
      <c r="N276" s="52"/>
      <c r="O276" s="52"/>
    </row>
    <row r="277">
      <c r="M277" s="52"/>
      <c r="N277" s="52"/>
      <c r="O277" s="52"/>
    </row>
    <row r="278">
      <c r="M278" s="52"/>
      <c r="N278" s="52"/>
      <c r="O278" s="52"/>
    </row>
    <row r="279">
      <c r="M279" s="52"/>
      <c r="N279" s="52"/>
      <c r="O279" s="52"/>
    </row>
    <row r="280">
      <c r="M280" s="52"/>
      <c r="N280" s="52"/>
      <c r="O280" s="52"/>
    </row>
    <row r="281">
      <c r="M281" s="52"/>
      <c r="N281" s="52"/>
      <c r="O281" s="52"/>
    </row>
    <row r="282">
      <c r="M282" s="52"/>
      <c r="N282" s="52"/>
      <c r="O282" s="52"/>
    </row>
    <row r="283">
      <c r="M283" s="52"/>
      <c r="N283" s="52"/>
      <c r="O283" s="52"/>
    </row>
    <row r="284">
      <c r="M284" s="52"/>
      <c r="N284" s="52"/>
      <c r="O284" s="52"/>
    </row>
    <row r="285">
      <c r="M285" s="52"/>
      <c r="N285" s="52"/>
      <c r="O285" s="52"/>
    </row>
    <row r="286">
      <c r="M286" s="52"/>
      <c r="N286" s="52"/>
      <c r="O286" s="52"/>
    </row>
    <row r="287">
      <c r="M287" s="52"/>
      <c r="N287" s="52"/>
      <c r="O287" s="52"/>
    </row>
    <row r="288">
      <c r="M288" s="52"/>
      <c r="N288" s="52"/>
      <c r="O288" s="52"/>
    </row>
    <row r="289">
      <c r="M289" s="52"/>
      <c r="N289" s="52"/>
      <c r="O289" s="52"/>
    </row>
    <row r="290">
      <c r="M290" s="52"/>
      <c r="N290" s="52"/>
      <c r="O290" s="52"/>
    </row>
    <row r="291">
      <c r="M291" s="52"/>
      <c r="N291" s="52"/>
      <c r="O291" s="52"/>
    </row>
    <row r="292">
      <c r="M292" s="52"/>
      <c r="N292" s="52"/>
      <c r="O292" s="52"/>
    </row>
    <row r="293">
      <c r="M293" s="52"/>
      <c r="N293" s="52"/>
      <c r="O293" s="52"/>
    </row>
    <row r="294">
      <c r="M294" s="52"/>
      <c r="N294" s="52"/>
      <c r="O294" s="52"/>
    </row>
    <row r="295">
      <c r="M295" s="52"/>
      <c r="N295" s="52"/>
      <c r="O295" s="52"/>
    </row>
    <row r="296">
      <c r="M296" s="52"/>
      <c r="N296" s="52"/>
      <c r="O296" s="52"/>
    </row>
    <row r="297">
      <c r="M297" s="52"/>
      <c r="N297" s="52"/>
      <c r="O297" s="52"/>
    </row>
    <row r="298">
      <c r="M298" s="52"/>
      <c r="N298" s="52"/>
      <c r="O298" s="52"/>
    </row>
    <row r="299">
      <c r="M299" s="52"/>
      <c r="N299" s="52"/>
      <c r="O299" s="52"/>
    </row>
    <row r="300">
      <c r="M300" s="52"/>
      <c r="N300" s="52"/>
      <c r="O300" s="52"/>
    </row>
    <row r="301">
      <c r="M301" s="52"/>
      <c r="N301" s="52"/>
      <c r="O301" s="52"/>
    </row>
    <row r="302">
      <c r="M302" s="52"/>
      <c r="N302" s="52"/>
      <c r="O302" s="52"/>
    </row>
    <row r="303">
      <c r="M303" s="52"/>
      <c r="N303" s="52"/>
      <c r="O303" s="52"/>
    </row>
    <row r="304">
      <c r="M304" s="52"/>
      <c r="N304" s="52"/>
      <c r="O304" s="52"/>
    </row>
    <row r="305">
      <c r="M305" s="52"/>
      <c r="N305" s="52"/>
      <c r="O305" s="52"/>
    </row>
    <row r="306">
      <c r="M306" s="52"/>
      <c r="N306" s="52"/>
      <c r="O306" s="52"/>
    </row>
    <row r="307">
      <c r="M307" s="52"/>
      <c r="N307" s="52"/>
      <c r="O307" s="52"/>
    </row>
    <row r="308">
      <c r="M308" s="52"/>
      <c r="N308" s="52"/>
      <c r="O308" s="52"/>
    </row>
    <row r="309">
      <c r="M309" s="52"/>
      <c r="N309" s="52"/>
      <c r="O309" s="52"/>
    </row>
    <row r="310">
      <c r="M310" s="52"/>
      <c r="N310" s="52"/>
      <c r="O310" s="52"/>
    </row>
    <row r="311">
      <c r="M311" s="52"/>
      <c r="N311" s="52"/>
      <c r="O311" s="52"/>
    </row>
    <row r="312">
      <c r="M312" s="52"/>
      <c r="N312" s="52"/>
      <c r="O312" s="52"/>
    </row>
    <row r="313">
      <c r="M313" s="52"/>
      <c r="N313" s="52"/>
      <c r="O313" s="52"/>
    </row>
    <row r="314">
      <c r="M314" s="52"/>
      <c r="N314" s="52"/>
      <c r="O314" s="52"/>
    </row>
    <row r="315">
      <c r="M315" s="52"/>
      <c r="N315" s="52"/>
      <c r="O315" s="52"/>
    </row>
    <row r="316">
      <c r="M316" s="52"/>
      <c r="N316" s="52"/>
      <c r="O316" s="52"/>
    </row>
    <row r="317">
      <c r="M317" s="52"/>
      <c r="N317" s="52"/>
      <c r="O317" s="52"/>
    </row>
    <row r="318">
      <c r="M318" s="52"/>
      <c r="N318" s="52"/>
      <c r="O318" s="52"/>
    </row>
    <row r="319">
      <c r="M319" s="52"/>
      <c r="N319" s="52"/>
      <c r="O319" s="52"/>
    </row>
    <row r="320">
      <c r="M320" s="52"/>
      <c r="N320" s="52"/>
      <c r="O320" s="52"/>
    </row>
    <row r="321">
      <c r="M321" s="52"/>
      <c r="N321" s="52"/>
      <c r="O321" s="52"/>
    </row>
    <row r="322">
      <c r="M322" s="52"/>
      <c r="N322" s="52"/>
      <c r="O322" s="52"/>
    </row>
    <row r="323">
      <c r="M323" s="52"/>
      <c r="N323" s="52"/>
      <c r="O323" s="52"/>
    </row>
    <row r="324">
      <c r="M324" s="52"/>
      <c r="N324" s="52"/>
      <c r="O324" s="52"/>
    </row>
    <row r="325">
      <c r="M325" s="52"/>
      <c r="N325" s="52"/>
      <c r="O325" s="52"/>
    </row>
    <row r="326">
      <c r="M326" s="52"/>
      <c r="N326" s="52"/>
      <c r="O326" s="52"/>
    </row>
    <row r="327">
      <c r="M327" s="52"/>
      <c r="N327" s="52"/>
      <c r="O327" s="52"/>
    </row>
    <row r="328">
      <c r="M328" s="52"/>
      <c r="N328" s="52"/>
      <c r="O328" s="52"/>
    </row>
    <row r="329">
      <c r="M329" s="52"/>
      <c r="N329" s="52"/>
      <c r="O329" s="52"/>
    </row>
    <row r="330">
      <c r="M330" s="52"/>
      <c r="N330" s="52"/>
      <c r="O330" s="52"/>
    </row>
    <row r="331">
      <c r="M331" s="52"/>
      <c r="N331" s="52"/>
      <c r="O331" s="52"/>
    </row>
    <row r="332">
      <c r="M332" s="52"/>
      <c r="N332" s="52"/>
      <c r="O332" s="52"/>
    </row>
    <row r="333">
      <c r="M333" s="52"/>
      <c r="N333" s="52"/>
      <c r="O333" s="52"/>
    </row>
    <row r="334">
      <c r="M334" s="52"/>
      <c r="N334" s="52"/>
      <c r="O334" s="52"/>
    </row>
    <row r="335">
      <c r="M335" s="52"/>
      <c r="N335" s="52"/>
      <c r="O335" s="52"/>
    </row>
    <row r="336">
      <c r="M336" s="52"/>
      <c r="N336" s="52"/>
      <c r="O336" s="52"/>
    </row>
    <row r="337">
      <c r="M337" s="52"/>
      <c r="N337" s="52"/>
      <c r="O337" s="52"/>
    </row>
    <row r="338">
      <c r="M338" s="52"/>
      <c r="N338" s="52"/>
      <c r="O338" s="52"/>
    </row>
    <row r="339">
      <c r="M339" s="52"/>
      <c r="N339" s="52"/>
      <c r="O339" s="52"/>
    </row>
    <row r="340">
      <c r="M340" s="52"/>
      <c r="N340" s="52"/>
      <c r="O340" s="52"/>
    </row>
    <row r="341">
      <c r="M341" s="52"/>
      <c r="N341" s="52"/>
      <c r="O341" s="52"/>
    </row>
    <row r="342">
      <c r="M342" s="52"/>
      <c r="N342" s="52"/>
      <c r="O342" s="52"/>
    </row>
    <row r="343">
      <c r="M343" s="52"/>
      <c r="N343" s="52"/>
      <c r="O343" s="52"/>
    </row>
    <row r="344">
      <c r="M344" s="52"/>
      <c r="N344" s="52"/>
      <c r="O344" s="52"/>
    </row>
    <row r="345">
      <c r="M345" s="52"/>
      <c r="N345" s="52"/>
      <c r="O345" s="52"/>
    </row>
    <row r="346">
      <c r="M346" s="52"/>
      <c r="N346" s="52"/>
      <c r="O346" s="52"/>
    </row>
    <row r="347">
      <c r="M347" s="52"/>
      <c r="N347" s="52"/>
      <c r="O347" s="52"/>
    </row>
    <row r="348">
      <c r="M348" s="52"/>
      <c r="N348" s="52"/>
      <c r="O348" s="52"/>
    </row>
    <row r="349">
      <c r="M349" s="52"/>
      <c r="N349" s="52"/>
      <c r="O349" s="52"/>
    </row>
    <row r="350">
      <c r="M350" s="52"/>
      <c r="N350" s="52"/>
      <c r="O350" s="52"/>
    </row>
    <row r="351">
      <c r="M351" s="52"/>
      <c r="N351" s="52"/>
      <c r="O351" s="52"/>
    </row>
    <row r="352">
      <c r="M352" s="52"/>
      <c r="N352" s="52"/>
      <c r="O352" s="52"/>
    </row>
    <row r="353">
      <c r="M353" s="52"/>
      <c r="N353" s="52"/>
      <c r="O353" s="52"/>
    </row>
    <row r="354">
      <c r="M354" s="52"/>
      <c r="N354" s="52"/>
      <c r="O354" s="52"/>
    </row>
    <row r="355">
      <c r="M355" s="52"/>
      <c r="N355" s="52"/>
      <c r="O355" s="52"/>
    </row>
    <row r="356">
      <c r="M356" s="52"/>
      <c r="N356" s="52"/>
      <c r="O356" s="52"/>
    </row>
    <row r="357">
      <c r="M357" s="52"/>
      <c r="N357" s="52"/>
      <c r="O357" s="52"/>
    </row>
    <row r="358">
      <c r="M358" s="52"/>
      <c r="N358" s="52"/>
      <c r="O358" s="52"/>
    </row>
    <row r="359">
      <c r="M359" s="52"/>
      <c r="N359" s="52"/>
      <c r="O359" s="52"/>
    </row>
    <row r="360">
      <c r="M360" s="52"/>
      <c r="N360" s="52"/>
      <c r="O360" s="52"/>
    </row>
    <row r="361">
      <c r="M361" s="52"/>
      <c r="N361" s="52"/>
      <c r="O361" s="52"/>
    </row>
    <row r="362">
      <c r="M362" s="52"/>
      <c r="N362" s="52"/>
      <c r="O362" s="52"/>
    </row>
    <row r="363">
      <c r="M363" s="52"/>
      <c r="N363" s="52"/>
      <c r="O363" s="52"/>
    </row>
    <row r="364">
      <c r="M364" s="52"/>
      <c r="N364" s="52"/>
      <c r="O364" s="52"/>
    </row>
    <row r="365">
      <c r="M365" s="52"/>
      <c r="N365" s="52"/>
      <c r="O365" s="52"/>
    </row>
    <row r="366">
      <c r="M366" s="52"/>
      <c r="N366" s="52"/>
      <c r="O366" s="52"/>
    </row>
    <row r="367">
      <c r="M367" s="52"/>
      <c r="N367" s="52"/>
      <c r="O367" s="52"/>
    </row>
    <row r="368">
      <c r="M368" s="52"/>
      <c r="N368" s="52"/>
      <c r="O368" s="52"/>
    </row>
    <row r="369">
      <c r="M369" s="52"/>
      <c r="N369" s="52"/>
      <c r="O369" s="52"/>
    </row>
    <row r="370">
      <c r="M370" s="52"/>
      <c r="N370" s="52"/>
      <c r="O370" s="52"/>
    </row>
    <row r="371">
      <c r="M371" s="52"/>
      <c r="N371" s="52"/>
      <c r="O371" s="52"/>
    </row>
    <row r="372">
      <c r="M372" s="52"/>
      <c r="N372" s="52"/>
      <c r="O372" s="52"/>
    </row>
    <row r="373">
      <c r="M373" s="52"/>
      <c r="N373" s="52"/>
      <c r="O373" s="52"/>
    </row>
    <row r="374">
      <c r="M374" s="52"/>
      <c r="N374" s="52"/>
      <c r="O374" s="52"/>
    </row>
    <row r="375">
      <c r="M375" s="52"/>
      <c r="N375" s="52"/>
      <c r="O375" s="52"/>
    </row>
    <row r="376">
      <c r="M376" s="52"/>
      <c r="N376" s="52"/>
      <c r="O376" s="52"/>
    </row>
    <row r="377">
      <c r="M377" s="52"/>
      <c r="N377" s="52"/>
      <c r="O377" s="52"/>
    </row>
    <row r="378">
      <c r="M378" s="52"/>
      <c r="N378" s="52"/>
      <c r="O378" s="52"/>
    </row>
    <row r="379">
      <c r="M379" s="52"/>
      <c r="N379" s="52"/>
      <c r="O379" s="52"/>
    </row>
    <row r="380">
      <c r="M380" s="52"/>
      <c r="N380" s="52"/>
      <c r="O380" s="52"/>
    </row>
    <row r="381">
      <c r="M381" s="52"/>
      <c r="N381" s="52"/>
      <c r="O381" s="52"/>
    </row>
    <row r="382">
      <c r="M382" s="52"/>
      <c r="N382" s="52"/>
      <c r="O382" s="52"/>
    </row>
    <row r="383">
      <c r="M383" s="52"/>
      <c r="N383" s="52"/>
      <c r="O383" s="52"/>
    </row>
    <row r="384">
      <c r="M384" s="52"/>
      <c r="N384" s="52"/>
      <c r="O384" s="52"/>
    </row>
    <row r="385">
      <c r="M385" s="52"/>
      <c r="N385" s="52"/>
      <c r="O385" s="52"/>
    </row>
    <row r="386">
      <c r="M386" s="52"/>
      <c r="N386" s="52"/>
      <c r="O386" s="52"/>
    </row>
    <row r="387">
      <c r="M387" s="52"/>
      <c r="N387" s="52"/>
      <c r="O387" s="52"/>
    </row>
    <row r="388">
      <c r="M388" s="52"/>
      <c r="N388" s="52"/>
      <c r="O388" s="52"/>
    </row>
    <row r="389">
      <c r="M389" s="52"/>
      <c r="N389" s="52"/>
      <c r="O389" s="52"/>
    </row>
    <row r="390">
      <c r="M390" s="52"/>
      <c r="N390" s="52"/>
      <c r="O390" s="52"/>
    </row>
    <row r="391">
      <c r="M391" s="52"/>
      <c r="N391" s="52"/>
      <c r="O391" s="52"/>
    </row>
    <row r="392">
      <c r="M392" s="52"/>
      <c r="N392" s="52"/>
      <c r="O392" s="52"/>
    </row>
    <row r="393">
      <c r="M393" s="52"/>
      <c r="N393" s="52"/>
      <c r="O393" s="52"/>
    </row>
    <row r="394">
      <c r="M394" s="52"/>
      <c r="N394" s="52"/>
      <c r="O394" s="52"/>
    </row>
    <row r="395">
      <c r="M395" s="52"/>
      <c r="N395" s="52"/>
      <c r="O395" s="52"/>
    </row>
    <row r="396">
      <c r="M396" s="52"/>
      <c r="N396" s="52"/>
      <c r="O396" s="52"/>
    </row>
    <row r="397">
      <c r="M397" s="52"/>
      <c r="N397" s="52"/>
      <c r="O397" s="52"/>
    </row>
    <row r="398">
      <c r="M398" s="52"/>
      <c r="N398" s="52"/>
      <c r="O398" s="52"/>
    </row>
    <row r="399">
      <c r="M399" s="52"/>
      <c r="N399" s="52"/>
      <c r="O399" s="52"/>
    </row>
    <row r="400">
      <c r="M400" s="52"/>
      <c r="N400" s="52"/>
      <c r="O400" s="52"/>
    </row>
    <row r="401">
      <c r="M401" s="52"/>
      <c r="N401" s="52"/>
      <c r="O401" s="52"/>
    </row>
    <row r="402">
      <c r="M402" s="52"/>
      <c r="N402" s="52"/>
      <c r="O402" s="52"/>
    </row>
    <row r="403">
      <c r="M403" s="52"/>
      <c r="N403" s="52"/>
      <c r="O403" s="52"/>
    </row>
    <row r="404">
      <c r="M404" s="52"/>
      <c r="N404" s="52"/>
      <c r="O404" s="52"/>
    </row>
    <row r="405">
      <c r="M405" s="52"/>
      <c r="N405" s="52"/>
      <c r="O405" s="52"/>
    </row>
    <row r="406">
      <c r="M406" s="52"/>
      <c r="N406" s="52"/>
      <c r="O406" s="52"/>
    </row>
    <row r="407">
      <c r="M407" s="52"/>
      <c r="N407" s="52"/>
      <c r="O407" s="52"/>
    </row>
    <row r="408">
      <c r="M408" s="52"/>
      <c r="N408" s="52"/>
      <c r="O408" s="52"/>
    </row>
    <row r="409">
      <c r="M409" s="52"/>
      <c r="N409" s="52"/>
      <c r="O409" s="52"/>
    </row>
    <row r="410">
      <c r="M410" s="52"/>
      <c r="N410" s="52"/>
      <c r="O410" s="52"/>
    </row>
    <row r="411">
      <c r="M411" s="52"/>
      <c r="N411" s="52"/>
      <c r="O411" s="52"/>
    </row>
    <row r="412">
      <c r="M412" s="52"/>
      <c r="N412" s="52"/>
      <c r="O412" s="52"/>
    </row>
    <row r="413">
      <c r="M413" s="52"/>
      <c r="N413" s="52"/>
      <c r="O413" s="52"/>
    </row>
    <row r="414">
      <c r="M414" s="52"/>
      <c r="N414" s="52"/>
      <c r="O414" s="52"/>
    </row>
    <row r="415">
      <c r="M415" s="52"/>
      <c r="N415" s="52"/>
      <c r="O415" s="52"/>
    </row>
    <row r="416">
      <c r="M416" s="52"/>
      <c r="N416" s="52"/>
      <c r="O416" s="52"/>
    </row>
    <row r="417">
      <c r="M417" s="52"/>
      <c r="N417" s="52"/>
      <c r="O417" s="52"/>
    </row>
    <row r="418">
      <c r="M418" s="52"/>
      <c r="N418" s="52"/>
      <c r="O418" s="52"/>
    </row>
    <row r="419">
      <c r="M419" s="52"/>
      <c r="N419" s="52"/>
      <c r="O419" s="52"/>
    </row>
    <row r="420">
      <c r="M420" s="52"/>
      <c r="N420" s="52"/>
      <c r="O420" s="52"/>
    </row>
    <row r="421">
      <c r="M421" s="52"/>
      <c r="N421" s="52"/>
      <c r="O421" s="52"/>
    </row>
    <row r="422">
      <c r="M422" s="52"/>
      <c r="N422" s="52"/>
      <c r="O422" s="52"/>
    </row>
    <row r="423">
      <c r="M423" s="52"/>
      <c r="N423" s="52"/>
      <c r="O423" s="52"/>
    </row>
    <row r="424">
      <c r="M424" s="52"/>
      <c r="N424" s="52"/>
      <c r="O424" s="52"/>
    </row>
    <row r="425">
      <c r="M425" s="52"/>
      <c r="N425" s="52"/>
      <c r="O425" s="52"/>
    </row>
    <row r="426">
      <c r="M426" s="52"/>
      <c r="N426" s="52"/>
      <c r="O426" s="52"/>
    </row>
    <row r="427">
      <c r="M427" s="52"/>
      <c r="N427" s="52"/>
      <c r="O427" s="52"/>
    </row>
    <row r="428">
      <c r="M428" s="52"/>
      <c r="N428" s="52"/>
      <c r="O428" s="52"/>
    </row>
    <row r="429">
      <c r="M429" s="52"/>
      <c r="N429" s="52"/>
      <c r="O429" s="52"/>
    </row>
    <row r="430">
      <c r="M430" s="52"/>
      <c r="N430" s="52"/>
      <c r="O430" s="52"/>
    </row>
    <row r="431">
      <c r="M431" s="52"/>
      <c r="N431" s="52"/>
      <c r="O431" s="52"/>
    </row>
    <row r="432">
      <c r="M432" s="52"/>
      <c r="N432" s="52"/>
      <c r="O432" s="52"/>
    </row>
    <row r="433">
      <c r="M433" s="52"/>
      <c r="N433" s="52"/>
      <c r="O433" s="52"/>
    </row>
    <row r="434">
      <c r="M434" s="52"/>
      <c r="N434" s="52"/>
      <c r="O434" s="52"/>
    </row>
    <row r="435">
      <c r="M435" s="52"/>
      <c r="N435" s="52"/>
      <c r="O435" s="52"/>
    </row>
    <row r="436">
      <c r="M436" s="52"/>
      <c r="N436" s="52"/>
      <c r="O436" s="52"/>
    </row>
    <row r="437">
      <c r="M437" s="52"/>
      <c r="N437" s="52"/>
      <c r="O437" s="52"/>
    </row>
    <row r="438">
      <c r="M438" s="52"/>
      <c r="N438" s="52"/>
      <c r="O438" s="52"/>
    </row>
    <row r="439">
      <c r="M439" s="52"/>
      <c r="N439" s="52"/>
      <c r="O439" s="52"/>
    </row>
    <row r="440">
      <c r="M440" s="52"/>
      <c r="N440" s="52"/>
      <c r="O440" s="52"/>
    </row>
    <row r="441">
      <c r="M441" s="52"/>
      <c r="N441" s="52"/>
      <c r="O441" s="52"/>
    </row>
    <row r="442">
      <c r="M442" s="52"/>
      <c r="N442" s="52"/>
      <c r="O442" s="52"/>
    </row>
    <row r="443">
      <c r="M443" s="52"/>
      <c r="N443" s="52"/>
      <c r="O443" s="52"/>
    </row>
    <row r="444">
      <c r="M444" s="52"/>
      <c r="N444" s="52"/>
      <c r="O444" s="52"/>
    </row>
    <row r="445">
      <c r="M445" s="52"/>
      <c r="N445" s="52"/>
      <c r="O445" s="52"/>
    </row>
    <row r="446">
      <c r="M446" s="52"/>
      <c r="N446" s="52"/>
      <c r="O446" s="52"/>
    </row>
    <row r="447">
      <c r="M447" s="52"/>
      <c r="N447" s="52"/>
      <c r="O447" s="52"/>
    </row>
    <row r="448">
      <c r="M448" s="52"/>
      <c r="N448" s="52"/>
      <c r="O448" s="52"/>
    </row>
    <row r="449">
      <c r="M449" s="52"/>
      <c r="N449" s="52"/>
      <c r="O449" s="52"/>
    </row>
    <row r="450">
      <c r="M450" s="52"/>
      <c r="N450" s="52"/>
      <c r="O450" s="52"/>
    </row>
    <row r="451">
      <c r="M451" s="52"/>
      <c r="N451" s="52"/>
      <c r="O451" s="52"/>
    </row>
    <row r="452">
      <c r="M452" s="52"/>
      <c r="N452" s="52"/>
      <c r="O452" s="52"/>
    </row>
    <row r="453">
      <c r="M453" s="52"/>
      <c r="N453" s="52"/>
      <c r="O453" s="52"/>
    </row>
    <row r="454">
      <c r="M454" s="52"/>
      <c r="N454" s="52"/>
      <c r="O454" s="52"/>
    </row>
    <row r="455">
      <c r="M455" s="52"/>
      <c r="N455" s="52"/>
      <c r="O455" s="52"/>
    </row>
    <row r="456">
      <c r="M456" s="52"/>
      <c r="N456" s="52"/>
      <c r="O456" s="52"/>
    </row>
    <row r="457">
      <c r="M457" s="52"/>
      <c r="N457" s="52"/>
      <c r="O457" s="52"/>
    </row>
    <row r="458">
      <c r="M458" s="52"/>
      <c r="N458" s="52"/>
      <c r="O458" s="52"/>
    </row>
    <row r="459">
      <c r="M459" s="52"/>
      <c r="N459" s="52"/>
      <c r="O459" s="52"/>
    </row>
    <row r="460">
      <c r="M460" s="52"/>
      <c r="N460" s="52"/>
      <c r="O460" s="52"/>
    </row>
    <row r="461">
      <c r="M461" s="52"/>
      <c r="N461" s="52"/>
      <c r="O461" s="52"/>
    </row>
    <row r="462">
      <c r="M462" s="52"/>
      <c r="N462" s="52"/>
      <c r="O462" s="52"/>
    </row>
    <row r="463">
      <c r="M463" s="52"/>
      <c r="N463" s="52"/>
      <c r="O463" s="52"/>
    </row>
    <row r="464">
      <c r="M464" s="52"/>
      <c r="N464" s="52"/>
      <c r="O464" s="52"/>
    </row>
    <row r="465">
      <c r="M465" s="52"/>
      <c r="N465" s="52"/>
      <c r="O465" s="52"/>
    </row>
    <row r="466">
      <c r="M466" s="52"/>
      <c r="N466" s="52"/>
      <c r="O466" s="52"/>
    </row>
    <row r="467">
      <c r="M467" s="52"/>
      <c r="N467" s="52"/>
      <c r="O467" s="52"/>
    </row>
    <row r="468">
      <c r="M468" s="52"/>
      <c r="N468" s="52"/>
      <c r="O468" s="52"/>
    </row>
    <row r="469">
      <c r="M469" s="52"/>
      <c r="N469" s="52"/>
      <c r="O469" s="52"/>
    </row>
    <row r="470">
      <c r="M470" s="52"/>
      <c r="N470" s="52"/>
      <c r="O470" s="52"/>
    </row>
    <row r="471">
      <c r="M471" s="52"/>
      <c r="N471" s="52"/>
      <c r="O471" s="52"/>
    </row>
    <row r="472">
      <c r="M472" s="52"/>
      <c r="N472" s="52"/>
      <c r="O472" s="52"/>
    </row>
    <row r="473">
      <c r="M473" s="52"/>
      <c r="N473" s="52"/>
      <c r="O473" s="52"/>
    </row>
    <row r="474">
      <c r="M474" s="52"/>
      <c r="N474" s="52"/>
      <c r="O474" s="52"/>
    </row>
    <row r="475">
      <c r="M475" s="52"/>
      <c r="N475" s="52"/>
      <c r="O475" s="52"/>
    </row>
    <row r="476">
      <c r="M476" s="52"/>
      <c r="N476" s="52"/>
      <c r="O476" s="52"/>
    </row>
    <row r="477">
      <c r="M477" s="52"/>
      <c r="N477" s="52"/>
      <c r="O477" s="52"/>
    </row>
    <row r="478">
      <c r="M478" s="52"/>
      <c r="N478" s="52"/>
      <c r="O478" s="52"/>
    </row>
    <row r="479">
      <c r="M479" s="52"/>
      <c r="N479" s="52"/>
      <c r="O479" s="52"/>
    </row>
    <row r="480">
      <c r="M480" s="52"/>
      <c r="N480" s="52"/>
      <c r="O480" s="52"/>
    </row>
    <row r="481">
      <c r="M481" s="52"/>
      <c r="N481" s="52"/>
      <c r="O481" s="52"/>
    </row>
    <row r="482">
      <c r="M482" s="52"/>
      <c r="N482" s="52"/>
      <c r="O482" s="52"/>
    </row>
    <row r="483">
      <c r="M483" s="52"/>
      <c r="N483" s="52"/>
      <c r="O483" s="52"/>
    </row>
    <row r="484">
      <c r="M484" s="52"/>
      <c r="N484" s="52"/>
      <c r="O484" s="52"/>
    </row>
    <row r="485">
      <c r="M485" s="52"/>
      <c r="N485" s="52"/>
      <c r="O485" s="52"/>
    </row>
    <row r="486">
      <c r="M486" s="52"/>
      <c r="N486" s="52"/>
      <c r="O486" s="52"/>
    </row>
    <row r="487">
      <c r="M487" s="52"/>
      <c r="N487" s="52"/>
      <c r="O487" s="52"/>
    </row>
    <row r="488">
      <c r="M488" s="52"/>
      <c r="N488" s="52"/>
      <c r="O488" s="52"/>
    </row>
    <row r="489">
      <c r="M489" s="52"/>
      <c r="N489" s="52"/>
      <c r="O489" s="52"/>
    </row>
    <row r="490">
      <c r="M490" s="52"/>
      <c r="N490" s="52"/>
      <c r="O490" s="52"/>
    </row>
    <row r="491">
      <c r="M491" s="52"/>
      <c r="N491" s="52"/>
      <c r="O491" s="52"/>
    </row>
    <row r="492">
      <c r="M492" s="52"/>
      <c r="N492" s="52"/>
      <c r="O492" s="52"/>
    </row>
    <row r="493">
      <c r="M493" s="52"/>
      <c r="N493" s="52"/>
      <c r="O493" s="52"/>
    </row>
    <row r="494">
      <c r="M494" s="52"/>
      <c r="N494" s="52"/>
      <c r="O494" s="52"/>
    </row>
    <row r="495">
      <c r="M495" s="52"/>
      <c r="N495" s="52"/>
      <c r="O495" s="52"/>
    </row>
    <row r="496">
      <c r="M496" s="52"/>
      <c r="N496" s="52"/>
      <c r="O496" s="52"/>
    </row>
    <row r="497">
      <c r="M497" s="52"/>
      <c r="N497" s="52"/>
      <c r="O497" s="52"/>
    </row>
    <row r="498">
      <c r="M498" s="52"/>
      <c r="N498" s="52"/>
      <c r="O498" s="52"/>
    </row>
    <row r="499">
      <c r="M499" s="52"/>
      <c r="N499" s="52"/>
      <c r="O499" s="52"/>
    </row>
    <row r="500">
      <c r="M500" s="52"/>
      <c r="N500" s="52"/>
      <c r="O500" s="52"/>
    </row>
    <row r="501">
      <c r="M501" s="52"/>
      <c r="N501" s="52"/>
      <c r="O501" s="52"/>
    </row>
    <row r="502">
      <c r="M502" s="52"/>
      <c r="N502" s="52"/>
      <c r="O502" s="52"/>
    </row>
    <row r="503">
      <c r="M503" s="52"/>
      <c r="N503" s="52"/>
      <c r="O503" s="52"/>
    </row>
    <row r="504">
      <c r="M504" s="52"/>
      <c r="N504" s="52"/>
      <c r="O504" s="52"/>
    </row>
    <row r="505">
      <c r="M505" s="52"/>
      <c r="N505" s="52"/>
      <c r="O505" s="52"/>
    </row>
    <row r="506">
      <c r="M506" s="52"/>
      <c r="N506" s="52"/>
      <c r="O506" s="52"/>
    </row>
    <row r="507">
      <c r="M507" s="52"/>
      <c r="N507" s="52"/>
      <c r="O507" s="52"/>
    </row>
    <row r="508">
      <c r="M508" s="52"/>
      <c r="N508" s="52"/>
      <c r="O508" s="52"/>
    </row>
    <row r="509">
      <c r="M509" s="52"/>
      <c r="N509" s="52"/>
      <c r="O509" s="52"/>
    </row>
    <row r="510">
      <c r="M510" s="52"/>
      <c r="N510" s="52"/>
      <c r="O510" s="52"/>
    </row>
    <row r="511">
      <c r="M511" s="52"/>
      <c r="N511" s="52"/>
      <c r="O511" s="52"/>
    </row>
    <row r="512">
      <c r="M512" s="52"/>
      <c r="N512" s="52"/>
      <c r="O512" s="52"/>
    </row>
    <row r="513">
      <c r="M513" s="52"/>
      <c r="N513" s="52"/>
      <c r="O513" s="52"/>
    </row>
    <row r="514">
      <c r="M514" s="52"/>
      <c r="N514" s="52"/>
      <c r="O514" s="52"/>
    </row>
    <row r="515">
      <c r="M515" s="52"/>
      <c r="N515" s="52"/>
      <c r="O515" s="52"/>
    </row>
    <row r="516">
      <c r="M516" s="52"/>
      <c r="N516" s="52"/>
      <c r="O516" s="52"/>
    </row>
    <row r="517">
      <c r="M517" s="52"/>
      <c r="N517" s="52"/>
      <c r="O517" s="52"/>
    </row>
    <row r="518">
      <c r="M518" s="52"/>
      <c r="N518" s="52"/>
      <c r="O518" s="52"/>
    </row>
    <row r="519">
      <c r="M519" s="52"/>
      <c r="N519" s="52"/>
      <c r="O519" s="52"/>
    </row>
    <row r="520">
      <c r="M520" s="52"/>
      <c r="N520" s="52"/>
      <c r="O520" s="52"/>
    </row>
    <row r="521">
      <c r="M521" s="52"/>
      <c r="N521" s="52"/>
      <c r="O521" s="52"/>
    </row>
    <row r="522">
      <c r="M522" s="52"/>
      <c r="N522" s="52"/>
      <c r="O522" s="52"/>
    </row>
    <row r="523">
      <c r="M523" s="52"/>
      <c r="N523" s="52"/>
      <c r="O523" s="52"/>
    </row>
    <row r="524">
      <c r="M524" s="52"/>
      <c r="N524" s="52"/>
      <c r="O524" s="52"/>
    </row>
    <row r="525">
      <c r="M525" s="52"/>
      <c r="N525" s="52"/>
      <c r="O525" s="52"/>
    </row>
    <row r="526">
      <c r="M526" s="52"/>
      <c r="N526" s="52"/>
      <c r="O526" s="52"/>
    </row>
    <row r="527">
      <c r="M527" s="52"/>
      <c r="N527" s="52"/>
      <c r="O527" s="52"/>
    </row>
    <row r="528">
      <c r="M528" s="52"/>
      <c r="N528" s="52"/>
      <c r="O528" s="52"/>
    </row>
    <row r="529">
      <c r="M529" s="52"/>
      <c r="N529" s="52"/>
      <c r="O529" s="52"/>
    </row>
    <row r="530">
      <c r="M530" s="52"/>
      <c r="N530" s="52"/>
      <c r="O530" s="52"/>
    </row>
    <row r="531">
      <c r="M531" s="52"/>
      <c r="N531" s="52"/>
      <c r="O531" s="52"/>
    </row>
    <row r="532">
      <c r="M532" s="52"/>
      <c r="N532" s="52"/>
      <c r="O532" s="52"/>
    </row>
    <row r="533">
      <c r="M533" s="52"/>
      <c r="N533" s="52"/>
      <c r="O533" s="52"/>
    </row>
    <row r="534">
      <c r="M534" s="52"/>
      <c r="N534" s="52"/>
      <c r="O534" s="52"/>
    </row>
    <row r="535">
      <c r="M535" s="52"/>
      <c r="N535" s="52"/>
      <c r="O535" s="52"/>
    </row>
    <row r="536">
      <c r="M536" s="52"/>
      <c r="N536" s="52"/>
      <c r="O536" s="52"/>
    </row>
    <row r="537">
      <c r="M537" s="52"/>
      <c r="N537" s="52"/>
      <c r="O537" s="52"/>
    </row>
    <row r="538">
      <c r="M538" s="52"/>
      <c r="N538" s="52"/>
      <c r="O538" s="52"/>
    </row>
    <row r="539">
      <c r="M539" s="52"/>
      <c r="N539" s="52"/>
      <c r="O539" s="52"/>
    </row>
    <row r="540">
      <c r="M540" s="52"/>
      <c r="N540" s="52"/>
      <c r="O540" s="52"/>
    </row>
    <row r="541">
      <c r="M541" s="52"/>
      <c r="N541" s="52"/>
      <c r="O541" s="52"/>
    </row>
    <row r="542">
      <c r="M542" s="52"/>
      <c r="N542" s="52"/>
      <c r="O542" s="52"/>
    </row>
    <row r="543">
      <c r="M543" s="52"/>
      <c r="N543" s="52"/>
      <c r="O543" s="52"/>
    </row>
    <row r="544">
      <c r="M544" s="52"/>
      <c r="N544" s="52"/>
      <c r="O544" s="52"/>
    </row>
    <row r="545">
      <c r="M545" s="52"/>
      <c r="N545" s="52"/>
      <c r="O545" s="52"/>
    </row>
    <row r="546">
      <c r="M546" s="52"/>
      <c r="N546" s="52"/>
      <c r="O546" s="52"/>
    </row>
    <row r="547">
      <c r="M547" s="52"/>
      <c r="N547" s="52"/>
      <c r="O547" s="52"/>
    </row>
    <row r="548">
      <c r="M548" s="52"/>
      <c r="N548" s="52"/>
      <c r="O548" s="52"/>
    </row>
    <row r="549">
      <c r="M549" s="52"/>
      <c r="N549" s="52"/>
      <c r="O549" s="52"/>
    </row>
    <row r="550">
      <c r="M550" s="52"/>
      <c r="N550" s="52"/>
      <c r="O550" s="52"/>
    </row>
    <row r="551">
      <c r="M551" s="52"/>
      <c r="N551" s="52"/>
      <c r="O551" s="52"/>
    </row>
    <row r="552">
      <c r="M552" s="52"/>
      <c r="N552" s="52"/>
      <c r="O552" s="52"/>
    </row>
    <row r="553">
      <c r="M553" s="52"/>
      <c r="N553" s="52"/>
      <c r="O553" s="52"/>
    </row>
    <row r="554">
      <c r="M554" s="52"/>
      <c r="N554" s="52"/>
      <c r="O554" s="52"/>
    </row>
    <row r="555">
      <c r="M555" s="52"/>
      <c r="N555" s="52"/>
      <c r="O555" s="52"/>
    </row>
    <row r="556">
      <c r="M556" s="52"/>
      <c r="N556" s="52"/>
      <c r="O556" s="52"/>
    </row>
    <row r="557">
      <c r="M557" s="52"/>
      <c r="N557" s="52"/>
      <c r="O557" s="52"/>
    </row>
    <row r="558">
      <c r="M558" s="52"/>
      <c r="N558" s="52"/>
      <c r="O558" s="52"/>
    </row>
    <row r="559">
      <c r="M559" s="52"/>
      <c r="N559" s="52"/>
      <c r="O559" s="52"/>
    </row>
    <row r="560">
      <c r="M560" s="52"/>
      <c r="N560" s="52"/>
      <c r="O560" s="52"/>
    </row>
    <row r="561">
      <c r="M561" s="52"/>
      <c r="N561" s="52"/>
      <c r="O561" s="52"/>
    </row>
    <row r="562">
      <c r="M562" s="52"/>
      <c r="N562" s="52"/>
      <c r="O562" s="52"/>
    </row>
    <row r="563">
      <c r="M563" s="52"/>
      <c r="N563" s="52"/>
      <c r="O563" s="52"/>
    </row>
    <row r="564">
      <c r="M564" s="52"/>
      <c r="N564" s="52"/>
      <c r="O564" s="52"/>
    </row>
    <row r="565">
      <c r="M565" s="52"/>
      <c r="N565" s="52"/>
      <c r="O565" s="52"/>
    </row>
    <row r="566">
      <c r="M566" s="52"/>
      <c r="N566" s="52"/>
      <c r="O566" s="52"/>
    </row>
    <row r="567">
      <c r="M567" s="52"/>
      <c r="N567" s="52"/>
      <c r="O567" s="52"/>
    </row>
    <row r="568">
      <c r="M568" s="52"/>
      <c r="N568" s="52"/>
      <c r="O568" s="52"/>
    </row>
    <row r="569">
      <c r="M569" s="52"/>
      <c r="N569" s="52"/>
      <c r="O569" s="52"/>
    </row>
    <row r="570">
      <c r="M570" s="52"/>
      <c r="N570" s="52"/>
      <c r="O570" s="52"/>
    </row>
    <row r="571">
      <c r="M571" s="52"/>
      <c r="N571" s="52"/>
      <c r="O571" s="52"/>
    </row>
    <row r="572">
      <c r="M572" s="52"/>
      <c r="N572" s="52"/>
      <c r="O572" s="52"/>
    </row>
    <row r="573">
      <c r="M573" s="52"/>
      <c r="N573" s="52"/>
      <c r="O573" s="52"/>
    </row>
    <row r="574">
      <c r="M574" s="52"/>
      <c r="N574" s="52"/>
      <c r="O574" s="52"/>
    </row>
    <row r="575">
      <c r="M575" s="52"/>
      <c r="N575" s="52"/>
      <c r="O575" s="52"/>
    </row>
    <row r="576">
      <c r="M576" s="52"/>
      <c r="N576" s="52"/>
      <c r="O576" s="52"/>
    </row>
    <row r="577">
      <c r="M577" s="52"/>
      <c r="N577" s="52"/>
      <c r="O577" s="52"/>
    </row>
    <row r="578">
      <c r="M578" s="52"/>
      <c r="N578" s="52"/>
      <c r="O578" s="52"/>
    </row>
    <row r="579">
      <c r="M579" s="52"/>
      <c r="N579" s="52"/>
      <c r="O579" s="52"/>
    </row>
    <row r="580">
      <c r="M580" s="52"/>
      <c r="N580" s="52"/>
      <c r="O580" s="52"/>
    </row>
    <row r="581">
      <c r="M581" s="52"/>
      <c r="N581" s="52"/>
      <c r="O581" s="52"/>
    </row>
    <row r="582">
      <c r="M582" s="52"/>
      <c r="N582" s="52"/>
      <c r="O582" s="52"/>
    </row>
    <row r="583">
      <c r="M583" s="52"/>
      <c r="N583" s="52"/>
      <c r="O583" s="52"/>
    </row>
    <row r="584">
      <c r="M584" s="52"/>
      <c r="N584" s="52"/>
      <c r="O584" s="52"/>
    </row>
    <row r="585">
      <c r="M585" s="52"/>
      <c r="N585" s="52"/>
      <c r="O585" s="52"/>
    </row>
    <row r="586">
      <c r="M586" s="52"/>
      <c r="N586" s="52"/>
      <c r="O586" s="52"/>
    </row>
    <row r="587">
      <c r="M587" s="52"/>
      <c r="N587" s="52"/>
      <c r="O587" s="52"/>
    </row>
    <row r="588">
      <c r="M588" s="52"/>
      <c r="N588" s="52"/>
      <c r="O588" s="52"/>
    </row>
    <row r="589">
      <c r="M589" s="52"/>
      <c r="N589" s="52"/>
      <c r="O589" s="52"/>
    </row>
    <row r="590">
      <c r="M590" s="52"/>
      <c r="N590" s="52"/>
      <c r="O590" s="52"/>
    </row>
    <row r="591">
      <c r="M591" s="52"/>
      <c r="N591" s="52"/>
      <c r="O591" s="52"/>
    </row>
    <row r="592">
      <c r="M592" s="52"/>
      <c r="N592" s="52"/>
      <c r="O592" s="52"/>
    </row>
    <row r="593">
      <c r="M593" s="52"/>
      <c r="N593" s="52"/>
      <c r="O593" s="52"/>
    </row>
    <row r="594">
      <c r="M594" s="52"/>
      <c r="N594" s="52"/>
      <c r="O594" s="52"/>
    </row>
    <row r="595">
      <c r="M595" s="52"/>
      <c r="N595" s="52"/>
      <c r="O595" s="52"/>
    </row>
    <row r="596">
      <c r="M596" s="52"/>
      <c r="N596" s="52"/>
      <c r="O596" s="52"/>
    </row>
    <row r="597">
      <c r="M597" s="52"/>
      <c r="N597" s="52"/>
      <c r="O597" s="52"/>
    </row>
    <row r="598">
      <c r="M598" s="52"/>
      <c r="N598" s="52"/>
      <c r="O598" s="52"/>
    </row>
    <row r="599">
      <c r="M599" s="52"/>
      <c r="N599" s="52"/>
      <c r="O599" s="52"/>
    </row>
    <row r="600">
      <c r="M600" s="52"/>
      <c r="N600" s="52"/>
      <c r="O600" s="52"/>
    </row>
    <row r="601">
      <c r="M601" s="52"/>
      <c r="N601" s="52"/>
      <c r="O601" s="52"/>
    </row>
    <row r="602">
      <c r="M602" s="52"/>
      <c r="N602" s="52"/>
      <c r="O602" s="52"/>
    </row>
    <row r="603">
      <c r="M603" s="52"/>
      <c r="N603" s="52"/>
      <c r="O603" s="52"/>
    </row>
    <row r="604">
      <c r="M604" s="52"/>
      <c r="N604" s="52"/>
      <c r="O604" s="52"/>
    </row>
    <row r="605">
      <c r="M605" s="52"/>
      <c r="N605" s="52"/>
      <c r="O605" s="52"/>
    </row>
    <row r="606">
      <c r="M606" s="52"/>
      <c r="N606" s="52"/>
      <c r="O606" s="52"/>
    </row>
    <row r="607">
      <c r="M607" s="52"/>
      <c r="N607" s="52"/>
      <c r="O607" s="52"/>
    </row>
    <row r="608">
      <c r="M608" s="52"/>
      <c r="N608" s="52"/>
      <c r="O608" s="52"/>
    </row>
    <row r="609">
      <c r="M609" s="52"/>
      <c r="N609" s="52"/>
      <c r="O609" s="52"/>
    </row>
    <row r="610">
      <c r="M610" s="52"/>
      <c r="N610" s="52"/>
      <c r="O610" s="52"/>
    </row>
    <row r="611">
      <c r="M611" s="52"/>
      <c r="N611" s="52"/>
      <c r="O611" s="52"/>
    </row>
    <row r="612">
      <c r="M612" s="52"/>
      <c r="N612" s="52"/>
      <c r="O612" s="52"/>
    </row>
    <row r="613">
      <c r="M613" s="52"/>
      <c r="N613" s="52"/>
      <c r="O613" s="52"/>
    </row>
    <row r="614">
      <c r="M614" s="52"/>
      <c r="N614" s="52"/>
      <c r="O614" s="52"/>
    </row>
    <row r="615">
      <c r="M615" s="52"/>
      <c r="N615" s="52"/>
      <c r="O615" s="52"/>
    </row>
    <row r="616">
      <c r="M616" s="52"/>
      <c r="N616" s="52"/>
      <c r="O616" s="52"/>
    </row>
    <row r="617">
      <c r="M617" s="52"/>
      <c r="N617" s="52"/>
      <c r="O617" s="52"/>
    </row>
    <row r="618">
      <c r="M618" s="52"/>
      <c r="N618" s="52"/>
      <c r="O618" s="52"/>
    </row>
    <row r="619">
      <c r="M619" s="52"/>
      <c r="N619" s="52"/>
      <c r="O619" s="52"/>
    </row>
    <row r="620">
      <c r="M620" s="52"/>
      <c r="N620" s="52"/>
      <c r="O620" s="52"/>
    </row>
    <row r="621">
      <c r="M621" s="52"/>
      <c r="N621" s="52"/>
      <c r="O621" s="52"/>
    </row>
    <row r="622">
      <c r="M622" s="52"/>
      <c r="N622" s="52"/>
      <c r="O622" s="52"/>
    </row>
    <row r="623">
      <c r="M623" s="52"/>
      <c r="N623" s="52"/>
      <c r="O623" s="52"/>
    </row>
    <row r="624">
      <c r="M624" s="52"/>
      <c r="N624" s="52"/>
      <c r="O624" s="52"/>
    </row>
    <row r="625">
      <c r="M625" s="52"/>
      <c r="N625" s="52"/>
      <c r="O625" s="52"/>
    </row>
    <row r="626">
      <c r="M626" s="52"/>
      <c r="N626" s="52"/>
      <c r="O626" s="52"/>
    </row>
    <row r="627">
      <c r="M627" s="52"/>
      <c r="N627" s="52"/>
      <c r="O627" s="52"/>
    </row>
    <row r="628">
      <c r="M628" s="52"/>
      <c r="N628" s="52"/>
      <c r="O628" s="52"/>
    </row>
    <row r="629">
      <c r="M629" s="52"/>
      <c r="N629" s="52"/>
      <c r="O629" s="52"/>
    </row>
    <row r="630">
      <c r="M630" s="52"/>
      <c r="N630" s="52"/>
      <c r="O630" s="52"/>
    </row>
    <row r="631">
      <c r="M631" s="52"/>
      <c r="N631" s="52"/>
      <c r="O631" s="52"/>
    </row>
    <row r="632">
      <c r="M632" s="52"/>
      <c r="N632" s="52"/>
      <c r="O632" s="52"/>
    </row>
    <row r="633">
      <c r="M633" s="52"/>
      <c r="N633" s="52"/>
      <c r="O633" s="52"/>
    </row>
    <row r="634">
      <c r="M634" s="52"/>
      <c r="N634" s="52"/>
      <c r="O634" s="52"/>
    </row>
    <row r="635">
      <c r="M635" s="52"/>
      <c r="N635" s="52"/>
      <c r="O635" s="52"/>
    </row>
    <row r="636">
      <c r="M636" s="52"/>
      <c r="N636" s="52"/>
      <c r="O636" s="52"/>
    </row>
    <row r="637">
      <c r="M637" s="52"/>
      <c r="N637" s="52"/>
      <c r="O637" s="52"/>
    </row>
    <row r="638">
      <c r="M638" s="52"/>
      <c r="N638" s="52"/>
      <c r="O638" s="52"/>
    </row>
    <row r="639">
      <c r="M639" s="52"/>
      <c r="N639" s="52"/>
      <c r="O639" s="52"/>
    </row>
    <row r="640">
      <c r="M640" s="52"/>
      <c r="N640" s="52"/>
      <c r="O640" s="52"/>
    </row>
    <row r="641">
      <c r="M641" s="52"/>
      <c r="N641" s="52"/>
      <c r="O641" s="52"/>
    </row>
    <row r="642">
      <c r="M642" s="52"/>
      <c r="N642" s="52"/>
      <c r="O642" s="52"/>
    </row>
    <row r="643">
      <c r="M643" s="52"/>
      <c r="N643" s="52"/>
      <c r="O643" s="52"/>
    </row>
    <row r="644">
      <c r="M644" s="52"/>
      <c r="N644" s="52"/>
      <c r="O644" s="52"/>
    </row>
    <row r="645">
      <c r="M645" s="52"/>
      <c r="N645" s="52"/>
      <c r="O645" s="52"/>
    </row>
    <row r="646">
      <c r="M646" s="52"/>
      <c r="N646" s="52"/>
      <c r="O646" s="52"/>
    </row>
    <row r="647">
      <c r="M647" s="52"/>
      <c r="N647" s="52"/>
      <c r="O647" s="52"/>
    </row>
    <row r="648">
      <c r="M648" s="52"/>
      <c r="N648" s="52"/>
      <c r="O648" s="52"/>
    </row>
    <row r="649">
      <c r="M649" s="52"/>
      <c r="N649" s="52"/>
      <c r="O649" s="52"/>
    </row>
    <row r="650">
      <c r="M650" s="52"/>
      <c r="N650" s="52"/>
      <c r="O650" s="52"/>
    </row>
    <row r="651">
      <c r="M651" s="52"/>
      <c r="N651" s="52"/>
      <c r="O651" s="52"/>
    </row>
    <row r="652">
      <c r="M652" s="52"/>
      <c r="N652" s="52"/>
      <c r="O652" s="52"/>
    </row>
    <row r="653">
      <c r="M653" s="52"/>
      <c r="N653" s="52"/>
      <c r="O653" s="52"/>
    </row>
    <row r="654">
      <c r="M654" s="52"/>
      <c r="N654" s="52"/>
      <c r="O654" s="52"/>
    </row>
    <row r="655">
      <c r="M655" s="52"/>
      <c r="N655" s="52"/>
      <c r="O655" s="52"/>
    </row>
    <row r="656">
      <c r="M656" s="52"/>
      <c r="N656" s="52"/>
      <c r="O656" s="52"/>
    </row>
    <row r="657">
      <c r="M657" s="52"/>
      <c r="N657" s="52"/>
      <c r="O657" s="52"/>
    </row>
    <row r="658">
      <c r="M658" s="52"/>
      <c r="N658" s="52"/>
      <c r="O658" s="52"/>
    </row>
    <row r="659">
      <c r="M659" s="52"/>
      <c r="N659" s="52"/>
      <c r="O659" s="52"/>
    </row>
    <row r="660">
      <c r="M660" s="52"/>
      <c r="N660" s="52"/>
      <c r="O660" s="52"/>
    </row>
    <row r="661">
      <c r="M661" s="52"/>
      <c r="N661" s="52"/>
      <c r="O661" s="52"/>
    </row>
    <row r="662">
      <c r="M662" s="52"/>
      <c r="N662" s="52"/>
      <c r="O662" s="52"/>
    </row>
    <row r="663">
      <c r="M663" s="52"/>
      <c r="N663" s="52"/>
      <c r="O663" s="52"/>
    </row>
    <row r="664">
      <c r="M664" s="52"/>
      <c r="N664" s="52"/>
      <c r="O664" s="52"/>
    </row>
    <row r="665">
      <c r="M665" s="52"/>
      <c r="N665" s="52"/>
      <c r="O665" s="52"/>
    </row>
    <row r="666">
      <c r="M666" s="52"/>
      <c r="N666" s="52"/>
      <c r="O666" s="52"/>
    </row>
    <row r="667">
      <c r="M667" s="52"/>
      <c r="N667" s="52"/>
      <c r="O667" s="52"/>
    </row>
    <row r="668">
      <c r="M668" s="52"/>
      <c r="N668" s="52"/>
      <c r="O668" s="52"/>
    </row>
    <row r="669">
      <c r="M669" s="52"/>
      <c r="N669" s="52"/>
      <c r="O669" s="52"/>
    </row>
    <row r="670">
      <c r="M670" s="52"/>
      <c r="N670" s="52"/>
      <c r="O670" s="52"/>
    </row>
    <row r="671">
      <c r="M671" s="52"/>
      <c r="N671" s="52"/>
      <c r="O671" s="52"/>
    </row>
    <row r="672">
      <c r="M672" s="52"/>
      <c r="N672" s="52"/>
      <c r="O672" s="52"/>
    </row>
    <row r="673">
      <c r="M673" s="52"/>
      <c r="N673" s="52"/>
      <c r="O673" s="52"/>
    </row>
    <row r="674">
      <c r="M674" s="52"/>
      <c r="N674" s="52"/>
      <c r="O674" s="52"/>
    </row>
    <row r="675">
      <c r="M675" s="52"/>
      <c r="N675" s="52"/>
      <c r="O675" s="52"/>
    </row>
    <row r="676">
      <c r="M676" s="52"/>
      <c r="N676" s="52"/>
      <c r="O676" s="52"/>
    </row>
    <row r="677">
      <c r="M677" s="52"/>
      <c r="N677" s="52"/>
      <c r="O677" s="52"/>
    </row>
    <row r="678">
      <c r="M678" s="52"/>
      <c r="N678" s="52"/>
      <c r="O678" s="52"/>
    </row>
    <row r="679">
      <c r="M679" s="52"/>
      <c r="N679" s="52"/>
      <c r="O679" s="52"/>
    </row>
    <row r="680">
      <c r="M680" s="52"/>
      <c r="N680" s="52"/>
      <c r="O680" s="52"/>
    </row>
    <row r="681">
      <c r="M681" s="52"/>
      <c r="N681" s="52"/>
      <c r="O681" s="52"/>
    </row>
    <row r="682">
      <c r="M682" s="52"/>
      <c r="N682" s="52"/>
      <c r="O682" s="52"/>
    </row>
    <row r="683">
      <c r="M683" s="52"/>
      <c r="N683" s="52"/>
      <c r="O683" s="52"/>
    </row>
    <row r="684">
      <c r="M684" s="52"/>
      <c r="N684" s="52"/>
      <c r="O684" s="52"/>
    </row>
    <row r="685">
      <c r="M685" s="52"/>
      <c r="N685" s="52"/>
      <c r="O685" s="52"/>
    </row>
    <row r="686">
      <c r="M686" s="52"/>
      <c r="N686" s="52"/>
      <c r="O686" s="52"/>
    </row>
    <row r="687">
      <c r="M687" s="52"/>
      <c r="N687" s="52"/>
      <c r="O687" s="52"/>
    </row>
    <row r="688">
      <c r="M688" s="52"/>
      <c r="N688" s="52"/>
      <c r="O688" s="52"/>
    </row>
    <row r="689">
      <c r="M689" s="52"/>
      <c r="N689" s="52"/>
      <c r="O689" s="52"/>
    </row>
    <row r="690">
      <c r="M690" s="52"/>
      <c r="N690" s="52"/>
      <c r="O690" s="52"/>
    </row>
    <row r="691">
      <c r="M691" s="52"/>
      <c r="N691" s="52"/>
      <c r="O691" s="52"/>
    </row>
    <row r="692">
      <c r="M692" s="52"/>
      <c r="N692" s="52"/>
      <c r="O692" s="52"/>
    </row>
    <row r="693">
      <c r="M693" s="52"/>
      <c r="N693" s="52"/>
      <c r="O693" s="52"/>
    </row>
    <row r="694">
      <c r="M694" s="52"/>
      <c r="N694" s="52"/>
      <c r="O694" s="52"/>
    </row>
    <row r="695">
      <c r="M695" s="52"/>
      <c r="N695" s="52"/>
      <c r="O695" s="52"/>
    </row>
    <row r="696">
      <c r="M696" s="52"/>
      <c r="N696" s="52"/>
      <c r="O696" s="52"/>
    </row>
    <row r="697">
      <c r="M697" s="52"/>
      <c r="N697" s="52"/>
      <c r="O697" s="52"/>
    </row>
    <row r="698">
      <c r="M698" s="52"/>
      <c r="N698" s="52"/>
      <c r="O698" s="52"/>
    </row>
    <row r="699">
      <c r="M699" s="52"/>
      <c r="N699" s="52"/>
      <c r="O699" s="52"/>
    </row>
    <row r="700">
      <c r="M700" s="52"/>
      <c r="N700" s="52"/>
      <c r="O700" s="52"/>
    </row>
    <row r="701">
      <c r="M701" s="52"/>
      <c r="N701" s="52"/>
      <c r="O701" s="52"/>
    </row>
    <row r="702">
      <c r="M702" s="52"/>
      <c r="N702" s="52"/>
      <c r="O702" s="52"/>
    </row>
    <row r="703">
      <c r="M703" s="52"/>
      <c r="N703" s="52"/>
      <c r="O703" s="52"/>
    </row>
    <row r="704">
      <c r="M704" s="52"/>
      <c r="N704" s="52"/>
      <c r="O704" s="52"/>
    </row>
    <row r="705">
      <c r="M705" s="52"/>
      <c r="N705" s="52"/>
      <c r="O705" s="52"/>
    </row>
    <row r="706">
      <c r="M706" s="52"/>
      <c r="N706" s="52"/>
      <c r="O706" s="52"/>
    </row>
    <row r="707">
      <c r="M707" s="52"/>
      <c r="N707" s="52"/>
      <c r="O707" s="52"/>
    </row>
    <row r="708">
      <c r="M708" s="52"/>
      <c r="N708" s="52"/>
      <c r="O708" s="52"/>
    </row>
    <row r="709">
      <c r="M709" s="52"/>
      <c r="N709" s="52"/>
      <c r="O709" s="52"/>
    </row>
    <row r="710">
      <c r="M710" s="52"/>
      <c r="N710" s="52"/>
      <c r="O710" s="52"/>
    </row>
    <row r="711">
      <c r="M711" s="52"/>
      <c r="N711" s="52"/>
      <c r="O711" s="52"/>
    </row>
    <row r="712">
      <c r="M712" s="52"/>
      <c r="N712" s="52"/>
      <c r="O712" s="52"/>
    </row>
    <row r="713">
      <c r="M713" s="52"/>
      <c r="N713" s="52"/>
      <c r="O713" s="52"/>
    </row>
    <row r="714">
      <c r="M714" s="52"/>
      <c r="N714" s="52"/>
      <c r="O714" s="52"/>
    </row>
    <row r="715">
      <c r="M715" s="52"/>
      <c r="N715" s="52"/>
      <c r="O715" s="52"/>
    </row>
    <row r="716">
      <c r="M716" s="52"/>
      <c r="N716" s="52"/>
      <c r="O716" s="52"/>
    </row>
    <row r="717">
      <c r="M717" s="52"/>
      <c r="N717" s="52"/>
      <c r="O717" s="52"/>
    </row>
    <row r="718">
      <c r="M718" s="52"/>
      <c r="N718" s="52"/>
      <c r="O718" s="52"/>
    </row>
    <row r="719">
      <c r="M719" s="52"/>
      <c r="N719" s="52"/>
      <c r="O719" s="52"/>
    </row>
    <row r="720">
      <c r="M720" s="52"/>
      <c r="N720" s="52"/>
      <c r="O720" s="52"/>
    </row>
    <row r="721">
      <c r="M721" s="52"/>
      <c r="N721" s="52"/>
      <c r="O721" s="52"/>
    </row>
    <row r="722">
      <c r="M722" s="52"/>
      <c r="N722" s="52"/>
      <c r="O722" s="52"/>
    </row>
    <row r="723">
      <c r="M723" s="52"/>
      <c r="N723" s="52"/>
      <c r="O723" s="52"/>
    </row>
    <row r="724">
      <c r="M724" s="52"/>
      <c r="N724" s="52"/>
      <c r="O724" s="52"/>
    </row>
    <row r="725">
      <c r="M725" s="52"/>
      <c r="N725" s="52"/>
      <c r="O725" s="52"/>
    </row>
    <row r="726">
      <c r="M726" s="52"/>
      <c r="N726" s="52"/>
      <c r="O726" s="52"/>
    </row>
    <row r="727">
      <c r="M727" s="52"/>
      <c r="N727" s="52"/>
      <c r="O727" s="52"/>
    </row>
    <row r="728">
      <c r="M728" s="52"/>
      <c r="N728" s="52"/>
      <c r="O728" s="52"/>
    </row>
    <row r="729">
      <c r="M729" s="52"/>
      <c r="N729" s="52"/>
      <c r="O729" s="52"/>
    </row>
    <row r="730">
      <c r="M730" s="52"/>
      <c r="N730" s="52"/>
      <c r="O730" s="52"/>
    </row>
    <row r="731">
      <c r="M731" s="52"/>
      <c r="N731" s="52"/>
      <c r="O731" s="52"/>
    </row>
    <row r="732">
      <c r="M732" s="52"/>
      <c r="N732" s="52"/>
      <c r="O732" s="52"/>
    </row>
    <row r="733">
      <c r="M733" s="52"/>
      <c r="N733" s="52"/>
      <c r="O733" s="52"/>
    </row>
    <row r="734">
      <c r="M734" s="52"/>
      <c r="N734" s="52"/>
      <c r="O734" s="52"/>
    </row>
    <row r="735">
      <c r="M735" s="52"/>
      <c r="N735" s="52"/>
      <c r="O735" s="52"/>
    </row>
    <row r="736">
      <c r="M736" s="52"/>
      <c r="N736" s="52"/>
      <c r="O736" s="52"/>
    </row>
    <row r="737">
      <c r="M737" s="52"/>
      <c r="N737" s="52"/>
      <c r="O737" s="52"/>
    </row>
    <row r="738">
      <c r="M738" s="52"/>
      <c r="N738" s="52"/>
      <c r="O738" s="52"/>
    </row>
    <row r="739">
      <c r="M739" s="52"/>
      <c r="N739" s="52"/>
      <c r="O739" s="52"/>
    </row>
    <row r="740">
      <c r="M740" s="52"/>
      <c r="N740" s="52"/>
      <c r="O740" s="52"/>
    </row>
    <row r="741">
      <c r="M741" s="52"/>
      <c r="N741" s="52"/>
      <c r="O741" s="52"/>
    </row>
    <row r="742">
      <c r="M742" s="52"/>
      <c r="N742" s="52"/>
      <c r="O742" s="52"/>
    </row>
    <row r="743">
      <c r="M743" s="52"/>
      <c r="N743" s="52"/>
      <c r="O743" s="52"/>
    </row>
    <row r="744">
      <c r="M744" s="52"/>
      <c r="N744" s="52"/>
      <c r="O744" s="52"/>
    </row>
    <row r="745">
      <c r="M745" s="52"/>
      <c r="N745" s="52"/>
      <c r="O745" s="52"/>
    </row>
    <row r="746">
      <c r="M746" s="52"/>
      <c r="N746" s="52"/>
      <c r="O746" s="52"/>
    </row>
    <row r="747">
      <c r="M747" s="52"/>
      <c r="N747" s="52"/>
      <c r="O747" s="52"/>
    </row>
    <row r="748">
      <c r="M748" s="52"/>
      <c r="N748" s="52"/>
      <c r="O748" s="52"/>
    </row>
    <row r="749">
      <c r="M749" s="52"/>
      <c r="N749" s="52"/>
      <c r="O749" s="52"/>
    </row>
    <row r="750">
      <c r="M750" s="52"/>
      <c r="N750" s="52"/>
      <c r="O750" s="52"/>
    </row>
    <row r="751">
      <c r="M751" s="52"/>
      <c r="N751" s="52"/>
      <c r="O751" s="52"/>
    </row>
    <row r="752">
      <c r="M752" s="52"/>
      <c r="N752" s="52"/>
      <c r="O752" s="52"/>
    </row>
    <row r="753">
      <c r="M753" s="52"/>
      <c r="N753" s="52"/>
      <c r="O753" s="52"/>
    </row>
    <row r="754">
      <c r="M754" s="52"/>
      <c r="N754" s="52"/>
      <c r="O754" s="52"/>
    </row>
    <row r="755">
      <c r="M755" s="52"/>
      <c r="N755" s="52"/>
      <c r="O755" s="52"/>
    </row>
    <row r="756">
      <c r="M756" s="52"/>
      <c r="N756" s="52"/>
      <c r="O756" s="52"/>
    </row>
    <row r="757">
      <c r="M757" s="52"/>
      <c r="N757" s="52"/>
      <c r="O757" s="52"/>
    </row>
    <row r="758">
      <c r="M758" s="52"/>
      <c r="N758" s="52"/>
      <c r="O758" s="52"/>
    </row>
    <row r="759">
      <c r="M759" s="52"/>
      <c r="N759" s="52"/>
      <c r="O759" s="52"/>
    </row>
    <row r="760">
      <c r="M760" s="52"/>
      <c r="N760" s="52"/>
      <c r="O760" s="52"/>
    </row>
    <row r="761">
      <c r="M761" s="52"/>
      <c r="N761" s="52"/>
      <c r="O761" s="52"/>
    </row>
    <row r="762">
      <c r="M762" s="52"/>
      <c r="N762" s="52"/>
      <c r="O762" s="52"/>
    </row>
    <row r="763">
      <c r="M763" s="52"/>
      <c r="N763" s="52"/>
      <c r="O763" s="52"/>
    </row>
    <row r="764">
      <c r="M764" s="52"/>
      <c r="N764" s="52"/>
      <c r="O764" s="52"/>
    </row>
    <row r="765">
      <c r="M765" s="52"/>
      <c r="N765" s="52"/>
      <c r="O765" s="52"/>
    </row>
    <row r="766">
      <c r="M766" s="52"/>
      <c r="N766" s="52"/>
      <c r="O766" s="52"/>
    </row>
    <row r="767">
      <c r="M767" s="52"/>
      <c r="N767" s="52"/>
      <c r="O767" s="52"/>
    </row>
    <row r="768">
      <c r="M768" s="52"/>
      <c r="N768" s="52"/>
      <c r="O768" s="52"/>
    </row>
    <row r="769">
      <c r="M769" s="52"/>
      <c r="N769" s="52"/>
      <c r="O769" s="52"/>
    </row>
    <row r="770">
      <c r="M770" s="52"/>
      <c r="N770" s="52"/>
      <c r="O770" s="52"/>
    </row>
    <row r="771">
      <c r="M771" s="52"/>
      <c r="N771" s="52"/>
      <c r="O771" s="52"/>
    </row>
    <row r="772">
      <c r="M772" s="52"/>
      <c r="N772" s="52"/>
      <c r="O772" s="52"/>
    </row>
    <row r="773">
      <c r="M773" s="52"/>
      <c r="N773" s="52"/>
      <c r="O773" s="52"/>
    </row>
    <row r="774">
      <c r="M774" s="52"/>
      <c r="N774" s="52"/>
      <c r="O774" s="52"/>
    </row>
    <row r="775">
      <c r="M775" s="52"/>
      <c r="N775" s="52"/>
      <c r="O775" s="52"/>
    </row>
    <row r="776">
      <c r="M776" s="52"/>
      <c r="N776" s="52"/>
      <c r="O776" s="52"/>
    </row>
    <row r="777">
      <c r="M777" s="52"/>
      <c r="N777" s="52"/>
      <c r="O777" s="52"/>
    </row>
    <row r="778">
      <c r="M778" s="52"/>
      <c r="N778" s="52"/>
      <c r="O778" s="52"/>
    </row>
    <row r="779">
      <c r="M779" s="52"/>
      <c r="N779" s="52"/>
      <c r="O779" s="52"/>
    </row>
    <row r="780">
      <c r="M780" s="52"/>
      <c r="N780" s="52"/>
      <c r="O780" s="52"/>
    </row>
    <row r="781">
      <c r="M781" s="52"/>
      <c r="N781" s="52"/>
      <c r="O781" s="52"/>
    </row>
    <row r="782">
      <c r="M782" s="52"/>
      <c r="N782" s="52"/>
      <c r="O782" s="52"/>
    </row>
    <row r="783">
      <c r="M783" s="52"/>
      <c r="N783" s="52"/>
      <c r="O783" s="52"/>
    </row>
    <row r="784">
      <c r="M784" s="52"/>
      <c r="N784" s="52"/>
      <c r="O784" s="52"/>
    </row>
    <row r="785">
      <c r="M785" s="52"/>
      <c r="N785" s="52"/>
      <c r="O785" s="52"/>
    </row>
    <row r="786">
      <c r="M786" s="52"/>
      <c r="N786" s="52"/>
      <c r="O786" s="52"/>
    </row>
    <row r="787">
      <c r="M787" s="52"/>
      <c r="N787" s="52"/>
      <c r="O787" s="52"/>
    </row>
    <row r="788">
      <c r="M788" s="52"/>
      <c r="N788" s="52"/>
      <c r="O788" s="52"/>
    </row>
    <row r="789">
      <c r="M789" s="52"/>
      <c r="N789" s="52"/>
      <c r="O789" s="52"/>
    </row>
    <row r="790">
      <c r="M790" s="52"/>
      <c r="N790" s="52"/>
      <c r="O790" s="52"/>
    </row>
    <row r="791">
      <c r="M791" s="52"/>
      <c r="N791" s="52"/>
      <c r="O791" s="52"/>
    </row>
    <row r="792">
      <c r="M792" s="52"/>
      <c r="N792" s="52"/>
      <c r="O792" s="52"/>
    </row>
    <row r="793">
      <c r="M793" s="52"/>
      <c r="N793" s="52"/>
      <c r="O793" s="52"/>
    </row>
    <row r="794">
      <c r="M794" s="52"/>
      <c r="N794" s="52"/>
      <c r="O794" s="52"/>
    </row>
    <row r="795">
      <c r="M795" s="52"/>
      <c r="N795" s="52"/>
      <c r="O795" s="52"/>
    </row>
    <row r="796">
      <c r="M796" s="52"/>
      <c r="N796" s="52"/>
      <c r="O796" s="52"/>
    </row>
    <row r="797">
      <c r="M797" s="52"/>
      <c r="N797" s="52"/>
      <c r="O797" s="52"/>
    </row>
    <row r="798">
      <c r="M798" s="52"/>
      <c r="N798" s="52"/>
      <c r="O798" s="52"/>
    </row>
    <row r="799">
      <c r="M799" s="52"/>
      <c r="N799" s="52"/>
      <c r="O799" s="52"/>
    </row>
    <row r="800">
      <c r="M800" s="52"/>
      <c r="N800" s="52"/>
      <c r="O800" s="52"/>
    </row>
    <row r="801">
      <c r="M801" s="52"/>
      <c r="N801" s="52"/>
      <c r="O801" s="52"/>
    </row>
    <row r="802">
      <c r="M802" s="52"/>
      <c r="N802" s="52"/>
      <c r="O802" s="52"/>
    </row>
    <row r="803">
      <c r="M803" s="52"/>
      <c r="N803" s="52"/>
      <c r="O803" s="52"/>
    </row>
    <row r="804">
      <c r="M804" s="52"/>
      <c r="N804" s="52"/>
      <c r="O804" s="52"/>
    </row>
    <row r="805">
      <c r="M805" s="52"/>
      <c r="N805" s="52"/>
      <c r="O805" s="52"/>
    </row>
    <row r="806">
      <c r="M806" s="52"/>
      <c r="N806" s="52"/>
      <c r="O806" s="52"/>
    </row>
    <row r="807">
      <c r="M807" s="52"/>
      <c r="N807" s="52"/>
      <c r="O807" s="52"/>
    </row>
    <row r="808">
      <c r="M808" s="52"/>
      <c r="N808" s="52"/>
      <c r="O808" s="52"/>
    </row>
    <row r="809">
      <c r="M809" s="52"/>
      <c r="N809" s="52"/>
      <c r="O809" s="52"/>
    </row>
    <row r="810">
      <c r="M810" s="52"/>
      <c r="N810" s="52"/>
      <c r="O810" s="52"/>
    </row>
    <row r="811">
      <c r="M811" s="52"/>
      <c r="N811" s="52"/>
      <c r="O811" s="52"/>
    </row>
    <row r="812">
      <c r="M812" s="52"/>
      <c r="N812" s="52"/>
      <c r="O812" s="52"/>
    </row>
    <row r="813">
      <c r="M813" s="52"/>
      <c r="N813" s="52"/>
      <c r="O813" s="52"/>
    </row>
    <row r="814">
      <c r="M814" s="52"/>
      <c r="N814" s="52"/>
      <c r="O814" s="52"/>
    </row>
    <row r="815">
      <c r="M815" s="52"/>
      <c r="N815" s="52"/>
      <c r="O815" s="52"/>
    </row>
    <row r="816">
      <c r="M816" s="52"/>
      <c r="N816" s="52"/>
      <c r="O816" s="52"/>
    </row>
    <row r="817">
      <c r="M817" s="52"/>
      <c r="N817" s="52"/>
      <c r="O817" s="52"/>
    </row>
    <row r="818">
      <c r="M818" s="52"/>
      <c r="N818" s="52"/>
      <c r="O818" s="52"/>
    </row>
    <row r="819">
      <c r="M819" s="52"/>
      <c r="N819" s="52"/>
      <c r="O819" s="52"/>
    </row>
    <row r="820">
      <c r="M820" s="52"/>
      <c r="N820" s="52"/>
      <c r="O820" s="52"/>
    </row>
    <row r="821">
      <c r="M821" s="52"/>
      <c r="N821" s="52"/>
      <c r="O821" s="52"/>
    </row>
    <row r="822">
      <c r="M822" s="52"/>
      <c r="N822" s="52"/>
      <c r="O822" s="52"/>
    </row>
    <row r="823">
      <c r="M823" s="52"/>
      <c r="N823" s="52"/>
      <c r="O823" s="52"/>
    </row>
    <row r="824">
      <c r="M824" s="52"/>
      <c r="N824" s="52"/>
      <c r="O824" s="52"/>
    </row>
    <row r="825">
      <c r="M825" s="52"/>
      <c r="N825" s="52"/>
      <c r="O825" s="52"/>
    </row>
    <row r="826">
      <c r="M826" s="52"/>
      <c r="N826" s="52"/>
      <c r="O826" s="52"/>
    </row>
    <row r="827">
      <c r="M827" s="52"/>
      <c r="N827" s="52"/>
      <c r="O827" s="52"/>
    </row>
    <row r="828">
      <c r="M828" s="52"/>
      <c r="N828" s="52"/>
      <c r="O828" s="52"/>
    </row>
    <row r="829">
      <c r="M829" s="52"/>
      <c r="N829" s="52"/>
      <c r="O829" s="52"/>
    </row>
    <row r="830">
      <c r="M830" s="52"/>
      <c r="N830" s="52"/>
      <c r="O830" s="52"/>
    </row>
    <row r="831">
      <c r="M831" s="52"/>
      <c r="N831" s="52"/>
      <c r="O831" s="52"/>
    </row>
    <row r="832">
      <c r="M832" s="52"/>
      <c r="N832" s="52"/>
      <c r="O832" s="52"/>
    </row>
    <row r="833">
      <c r="M833" s="52"/>
      <c r="N833" s="52"/>
      <c r="O833" s="52"/>
    </row>
    <row r="834">
      <c r="M834" s="52"/>
      <c r="N834" s="52"/>
      <c r="O834" s="52"/>
    </row>
    <row r="835">
      <c r="M835" s="52"/>
      <c r="N835" s="52"/>
      <c r="O835" s="52"/>
    </row>
    <row r="836">
      <c r="M836" s="52"/>
      <c r="N836" s="52"/>
      <c r="O836" s="52"/>
    </row>
    <row r="837">
      <c r="M837" s="52"/>
      <c r="N837" s="52"/>
      <c r="O837" s="52"/>
    </row>
    <row r="838">
      <c r="M838" s="52"/>
      <c r="N838" s="52"/>
      <c r="O838" s="52"/>
    </row>
    <row r="839">
      <c r="M839" s="52"/>
      <c r="N839" s="52"/>
      <c r="O839" s="52"/>
    </row>
    <row r="840">
      <c r="M840" s="52"/>
      <c r="N840" s="52"/>
      <c r="O840" s="52"/>
    </row>
    <row r="841">
      <c r="M841" s="52"/>
      <c r="N841" s="52"/>
      <c r="O841" s="52"/>
    </row>
    <row r="842">
      <c r="M842" s="52"/>
      <c r="N842" s="52"/>
      <c r="O842" s="52"/>
    </row>
    <row r="843">
      <c r="M843" s="52"/>
      <c r="N843" s="52"/>
      <c r="O843" s="52"/>
    </row>
    <row r="844">
      <c r="M844" s="52"/>
      <c r="N844" s="52"/>
      <c r="O844" s="52"/>
    </row>
    <row r="845">
      <c r="M845" s="52"/>
      <c r="N845" s="52"/>
      <c r="O845" s="52"/>
    </row>
    <row r="846">
      <c r="M846" s="52"/>
      <c r="N846" s="52"/>
      <c r="O846" s="52"/>
    </row>
    <row r="847">
      <c r="M847" s="52"/>
      <c r="N847" s="52"/>
      <c r="O847" s="52"/>
    </row>
    <row r="848">
      <c r="M848" s="52"/>
      <c r="N848" s="52"/>
      <c r="O848" s="52"/>
    </row>
    <row r="849">
      <c r="M849" s="52"/>
      <c r="N849" s="52"/>
      <c r="O849" s="52"/>
    </row>
    <row r="850">
      <c r="M850" s="52"/>
      <c r="N850" s="52"/>
      <c r="O850" s="52"/>
    </row>
    <row r="851">
      <c r="M851" s="52"/>
      <c r="N851" s="52"/>
      <c r="O851" s="52"/>
    </row>
    <row r="852">
      <c r="M852" s="52"/>
      <c r="N852" s="52"/>
      <c r="O852" s="52"/>
    </row>
    <row r="853">
      <c r="M853" s="52"/>
      <c r="N853" s="52"/>
      <c r="O853" s="52"/>
    </row>
    <row r="854">
      <c r="M854" s="52"/>
      <c r="N854" s="52"/>
      <c r="O854" s="52"/>
    </row>
    <row r="855">
      <c r="M855" s="52"/>
      <c r="N855" s="52"/>
      <c r="O855" s="52"/>
    </row>
    <row r="856">
      <c r="M856" s="52"/>
      <c r="N856" s="52"/>
      <c r="O856" s="52"/>
    </row>
    <row r="857">
      <c r="M857" s="52"/>
      <c r="N857" s="52"/>
      <c r="O857" s="52"/>
    </row>
    <row r="858">
      <c r="M858" s="52"/>
      <c r="N858" s="52"/>
      <c r="O858" s="52"/>
    </row>
    <row r="859">
      <c r="M859" s="52"/>
      <c r="N859" s="52"/>
      <c r="O859" s="52"/>
    </row>
    <row r="860">
      <c r="M860" s="52"/>
      <c r="N860" s="52"/>
      <c r="O860" s="52"/>
    </row>
    <row r="861">
      <c r="M861" s="52"/>
      <c r="N861" s="52"/>
      <c r="O861" s="52"/>
    </row>
    <row r="862">
      <c r="M862" s="52"/>
      <c r="N862" s="52"/>
      <c r="O862" s="52"/>
    </row>
    <row r="863">
      <c r="M863" s="52"/>
      <c r="N863" s="52"/>
      <c r="O863" s="52"/>
    </row>
    <row r="864">
      <c r="M864" s="52"/>
      <c r="N864" s="52"/>
      <c r="O864" s="52"/>
    </row>
    <row r="865">
      <c r="M865" s="52"/>
      <c r="N865" s="52"/>
      <c r="O865" s="52"/>
    </row>
    <row r="866">
      <c r="M866" s="52"/>
      <c r="N866" s="52"/>
      <c r="O866" s="52"/>
    </row>
    <row r="867">
      <c r="M867" s="52"/>
      <c r="N867" s="52"/>
      <c r="O867" s="52"/>
    </row>
    <row r="868">
      <c r="M868" s="52"/>
      <c r="N868" s="52"/>
      <c r="O868" s="52"/>
    </row>
    <row r="869">
      <c r="M869" s="52"/>
      <c r="N869" s="52"/>
      <c r="O869" s="52"/>
    </row>
    <row r="870">
      <c r="M870" s="52"/>
      <c r="N870" s="52"/>
      <c r="O870" s="52"/>
    </row>
    <row r="871">
      <c r="M871" s="52"/>
      <c r="N871" s="52"/>
      <c r="O871" s="52"/>
    </row>
    <row r="872">
      <c r="M872" s="52"/>
      <c r="N872" s="52"/>
      <c r="O872" s="52"/>
    </row>
    <row r="873">
      <c r="M873" s="52"/>
      <c r="N873" s="52"/>
      <c r="O873" s="52"/>
    </row>
    <row r="874">
      <c r="M874" s="52"/>
      <c r="N874" s="52"/>
      <c r="O874" s="52"/>
    </row>
    <row r="875">
      <c r="M875" s="52"/>
      <c r="N875" s="52"/>
      <c r="O875" s="52"/>
    </row>
    <row r="876">
      <c r="M876" s="52"/>
      <c r="N876" s="52"/>
      <c r="O876" s="52"/>
    </row>
    <row r="877">
      <c r="M877" s="52"/>
      <c r="N877" s="52"/>
      <c r="O877" s="52"/>
    </row>
    <row r="878">
      <c r="M878" s="52"/>
      <c r="N878" s="52"/>
      <c r="O878" s="52"/>
    </row>
    <row r="879">
      <c r="M879" s="52"/>
      <c r="N879" s="52"/>
      <c r="O879" s="52"/>
    </row>
    <row r="880">
      <c r="M880" s="52"/>
      <c r="N880" s="52"/>
      <c r="O880" s="52"/>
    </row>
    <row r="881">
      <c r="M881" s="52"/>
      <c r="N881" s="52"/>
      <c r="O881" s="52"/>
    </row>
    <row r="882">
      <c r="M882" s="52"/>
      <c r="N882" s="52"/>
      <c r="O882" s="52"/>
    </row>
    <row r="883">
      <c r="M883" s="52"/>
      <c r="N883" s="52"/>
      <c r="O883" s="52"/>
    </row>
    <row r="884">
      <c r="M884" s="52"/>
      <c r="N884" s="52"/>
      <c r="O884" s="52"/>
    </row>
    <row r="885">
      <c r="M885" s="52"/>
      <c r="N885" s="52"/>
      <c r="O885" s="52"/>
    </row>
    <row r="886">
      <c r="M886" s="52"/>
      <c r="N886" s="52"/>
      <c r="O886" s="52"/>
    </row>
    <row r="887">
      <c r="M887" s="52"/>
      <c r="N887" s="52"/>
      <c r="O887" s="52"/>
    </row>
    <row r="888">
      <c r="M888" s="52"/>
      <c r="N888" s="52"/>
      <c r="O888" s="52"/>
    </row>
    <row r="889">
      <c r="M889" s="52"/>
      <c r="N889" s="52"/>
      <c r="O889" s="52"/>
    </row>
    <row r="890">
      <c r="M890" s="52"/>
      <c r="N890" s="52"/>
      <c r="O890" s="52"/>
    </row>
    <row r="891">
      <c r="M891" s="52"/>
      <c r="N891" s="52"/>
      <c r="O891" s="52"/>
    </row>
    <row r="892">
      <c r="M892" s="52"/>
      <c r="N892" s="52"/>
      <c r="O892" s="52"/>
    </row>
    <row r="893">
      <c r="M893" s="52"/>
      <c r="N893" s="52"/>
      <c r="O893" s="52"/>
    </row>
    <row r="894">
      <c r="M894" s="52"/>
      <c r="N894" s="52"/>
      <c r="O894" s="52"/>
    </row>
    <row r="895">
      <c r="M895" s="52"/>
      <c r="N895" s="52"/>
      <c r="O895" s="52"/>
    </row>
    <row r="896">
      <c r="M896" s="52"/>
      <c r="N896" s="52"/>
      <c r="O896" s="52"/>
    </row>
    <row r="897">
      <c r="M897" s="52"/>
      <c r="N897" s="52"/>
      <c r="O897" s="52"/>
    </row>
    <row r="898">
      <c r="M898" s="52"/>
      <c r="N898" s="52"/>
      <c r="O898" s="52"/>
    </row>
    <row r="899">
      <c r="M899" s="52"/>
      <c r="N899" s="52"/>
      <c r="O899" s="52"/>
    </row>
    <row r="900">
      <c r="M900" s="52"/>
      <c r="N900" s="52"/>
      <c r="O900" s="52"/>
    </row>
    <row r="901">
      <c r="M901" s="52"/>
      <c r="N901" s="52"/>
      <c r="O901" s="52"/>
    </row>
    <row r="902">
      <c r="M902" s="52"/>
      <c r="N902" s="52"/>
      <c r="O902" s="52"/>
    </row>
    <row r="903">
      <c r="M903" s="52"/>
      <c r="N903" s="52"/>
      <c r="O903" s="52"/>
    </row>
    <row r="904">
      <c r="M904" s="52"/>
      <c r="N904" s="52"/>
      <c r="O904" s="52"/>
    </row>
    <row r="905">
      <c r="M905" s="52"/>
      <c r="N905" s="52"/>
      <c r="O905" s="52"/>
    </row>
    <row r="906">
      <c r="M906" s="52"/>
      <c r="N906" s="52"/>
      <c r="O906" s="52"/>
    </row>
    <row r="907">
      <c r="M907" s="52"/>
      <c r="N907" s="52"/>
      <c r="O907" s="52"/>
    </row>
    <row r="908">
      <c r="M908" s="52"/>
      <c r="N908" s="52"/>
      <c r="O908" s="52"/>
    </row>
    <row r="909">
      <c r="M909" s="52"/>
      <c r="N909" s="52"/>
      <c r="O909" s="52"/>
    </row>
    <row r="910">
      <c r="M910" s="52"/>
      <c r="N910" s="52"/>
      <c r="O910" s="52"/>
    </row>
    <row r="911">
      <c r="M911" s="52"/>
      <c r="N911" s="52"/>
      <c r="O911" s="52"/>
    </row>
    <row r="912">
      <c r="M912" s="52"/>
      <c r="N912" s="52"/>
      <c r="O912" s="52"/>
    </row>
    <row r="913">
      <c r="M913" s="52"/>
      <c r="N913" s="52"/>
      <c r="O913" s="52"/>
    </row>
    <row r="914">
      <c r="M914" s="52"/>
      <c r="N914" s="52"/>
      <c r="O914" s="52"/>
    </row>
    <row r="915">
      <c r="M915" s="52"/>
      <c r="N915" s="52"/>
      <c r="O915" s="52"/>
    </row>
    <row r="916">
      <c r="M916" s="52"/>
      <c r="N916" s="52"/>
      <c r="O916" s="52"/>
    </row>
    <row r="917">
      <c r="M917" s="52"/>
      <c r="N917" s="52"/>
      <c r="O917" s="52"/>
    </row>
    <row r="918">
      <c r="M918" s="52"/>
      <c r="N918" s="52"/>
      <c r="O918" s="52"/>
    </row>
    <row r="919">
      <c r="M919" s="52"/>
      <c r="N919" s="52"/>
      <c r="O919" s="52"/>
    </row>
    <row r="920">
      <c r="M920" s="52"/>
      <c r="N920" s="52"/>
      <c r="O920" s="52"/>
    </row>
    <row r="921">
      <c r="M921" s="52"/>
      <c r="N921" s="52"/>
      <c r="O921" s="52"/>
    </row>
    <row r="922">
      <c r="M922" s="52"/>
      <c r="N922" s="52"/>
      <c r="O922" s="52"/>
    </row>
    <row r="923">
      <c r="M923" s="52"/>
      <c r="N923" s="52"/>
      <c r="O923" s="52"/>
    </row>
    <row r="924">
      <c r="M924" s="52"/>
      <c r="N924" s="52"/>
      <c r="O924" s="52"/>
    </row>
    <row r="925">
      <c r="M925" s="52"/>
      <c r="N925" s="52"/>
      <c r="O925" s="52"/>
    </row>
    <row r="926">
      <c r="M926" s="52"/>
      <c r="N926" s="52"/>
      <c r="O926" s="52"/>
    </row>
    <row r="927">
      <c r="M927" s="52"/>
      <c r="N927" s="52"/>
      <c r="O927" s="52"/>
    </row>
    <row r="928">
      <c r="M928" s="52"/>
      <c r="N928" s="52"/>
      <c r="O928" s="52"/>
    </row>
    <row r="929">
      <c r="M929" s="52"/>
      <c r="N929" s="52"/>
      <c r="O929" s="52"/>
    </row>
    <row r="930">
      <c r="M930" s="52"/>
      <c r="N930" s="52"/>
      <c r="O930" s="52"/>
    </row>
    <row r="931">
      <c r="M931" s="52"/>
      <c r="N931" s="52"/>
      <c r="O931" s="52"/>
    </row>
    <row r="932">
      <c r="M932" s="52"/>
      <c r="N932" s="52"/>
      <c r="O932" s="52"/>
    </row>
    <row r="933">
      <c r="M933" s="52"/>
      <c r="N933" s="52"/>
      <c r="O933" s="52"/>
    </row>
    <row r="934">
      <c r="M934" s="52"/>
      <c r="N934" s="52"/>
      <c r="O934" s="52"/>
    </row>
    <row r="935">
      <c r="M935" s="52"/>
      <c r="N935" s="52"/>
      <c r="O935" s="52"/>
    </row>
    <row r="936">
      <c r="M936" s="52"/>
      <c r="N936" s="52"/>
      <c r="O936" s="52"/>
    </row>
    <row r="937">
      <c r="M937" s="52"/>
      <c r="N937" s="52"/>
      <c r="O937" s="52"/>
    </row>
    <row r="938">
      <c r="M938" s="52"/>
      <c r="N938" s="52"/>
      <c r="O938" s="52"/>
    </row>
    <row r="939">
      <c r="M939" s="52"/>
      <c r="N939" s="52"/>
      <c r="O939" s="52"/>
    </row>
    <row r="940">
      <c r="M940" s="52"/>
      <c r="N940" s="52"/>
      <c r="O940" s="52"/>
    </row>
    <row r="941">
      <c r="M941" s="52"/>
      <c r="N941" s="52"/>
      <c r="O941" s="52"/>
    </row>
    <row r="942">
      <c r="M942" s="52"/>
      <c r="N942" s="52"/>
      <c r="O942" s="52"/>
    </row>
    <row r="943">
      <c r="M943" s="52"/>
      <c r="N943" s="52"/>
      <c r="O943" s="52"/>
    </row>
    <row r="944">
      <c r="M944" s="52"/>
      <c r="N944" s="52"/>
      <c r="O944" s="52"/>
    </row>
    <row r="945">
      <c r="M945" s="52"/>
      <c r="N945" s="52"/>
      <c r="O945" s="52"/>
    </row>
    <row r="946">
      <c r="M946" s="52"/>
      <c r="N946" s="52"/>
      <c r="O946" s="52"/>
    </row>
    <row r="947">
      <c r="M947" s="52"/>
      <c r="N947" s="52"/>
      <c r="O947" s="52"/>
    </row>
    <row r="948">
      <c r="M948" s="52"/>
      <c r="N948" s="52"/>
      <c r="O948" s="52"/>
    </row>
    <row r="949">
      <c r="M949" s="52"/>
      <c r="N949" s="52"/>
      <c r="O949" s="52"/>
    </row>
    <row r="950">
      <c r="M950" s="52"/>
      <c r="N950" s="52"/>
      <c r="O950" s="52"/>
    </row>
    <row r="951">
      <c r="M951" s="52"/>
      <c r="N951" s="52"/>
      <c r="O951" s="52"/>
    </row>
    <row r="952">
      <c r="M952" s="52"/>
      <c r="N952" s="52"/>
      <c r="O952" s="52"/>
    </row>
    <row r="953">
      <c r="M953" s="52"/>
      <c r="N953" s="52"/>
      <c r="O953" s="52"/>
    </row>
    <row r="954">
      <c r="M954" s="52"/>
      <c r="N954" s="52"/>
      <c r="O954" s="52"/>
    </row>
    <row r="955">
      <c r="M955" s="52"/>
      <c r="N955" s="52"/>
      <c r="O955" s="52"/>
    </row>
    <row r="956">
      <c r="M956" s="52"/>
      <c r="N956" s="52"/>
      <c r="O956" s="52"/>
    </row>
    <row r="957">
      <c r="M957" s="52"/>
      <c r="N957" s="52"/>
      <c r="O957" s="52"/>
    </row>
    <row r="958">
      <c r="M958" s="52"/>
      <c r="N958" s="52"/>
      <c r="O958" s="52"/>
    </row>
    <row r="959">
      <c r="M959" s="52"/>
      <c r="N959" s="52"/>
      <c r="O959" s="52"/>
    </row>
    <row r="960">
      <c r="M960" s="52"/>
      <c r="N960" s="52"/>
      <c r="O960" s="52"/>
    </row>
    <row r="961">
      <c r="M961" s="52"/>
      <c r="N961" s="52"/>
      <c r="O961" s="52"/>
    </row>
    <row r="962">
      <c r="M962" s="52"/>
      <c r="N962" s="52"/>
      <c r="O962" s="52"/>
    </row>
    <row r="963">
      <c r="M963" s="52"/>
      <c r="N963" s="52"/>
      <c r="O963" s="52"/>
    </row>
    <row r="964">
      <c r="M964" s="52"/>
      <c r="N964" s="52"/>
      <c r="O964" s="52"/>
    </row>
    <row r="965">
      <c r="M965" s="52"/>
      <c r="N965" s="52"/>
      <c r="O965" s="52"/>
    </row>
    <row r="966">
      <c r="M966" s="52"/>
      <c r="N966" s="52"/>
      <c r="O966" s="52"/>
    </row>
    <row r="967">
      <c r="M967" s="52"/>
      <c r="N967" s="52"/>
      <c r="O967" s="52"/>
    </row>
    <row r="968">
      <c r="M968" s="52"/>
      <c r="N968" s="52"/>
      <c r="O968" s="52"/>
    </row>
    <row r="969">
      <c r="M969" s="52"/>
      <c r="N969" s="52"/>
      <c r="O969" s="52"/>
    </row>
    <row r="970">
      <c r="M970" s="52"/>
      <c r="N970" s="52"/>
      <c r="O970" s="52"/>
    </row>
    <row r="971">
      <c r="M971" s="52"/>
      <c r="N971" s="52"/>
      <c r="O971" s="52"/>
    </row>
    <row r="972">
      <c r="M972" s="52"/>
      <c r="N972" s="52"/>
      <c r="O972" s="52"/>
    </row>
    <row r="973">
      <c r="M973" s="52"/>
      <c r="N973" s="52"/>
      <c r="O973" s="52"/>
    </row>
    <row r="974">
      <c r="M974" s="52"/>
      <c r="N974" s="52"/>
      <c r="O974" s="52"/>
    </row>
    <row r="975">
      <c r="M975" s="52"/>
      <c r="N975" s="52"/>
      <c r="O975" s="52"/>
    </row>
    <row r="976">
      <c r="M976" s="52"/>
      <c r="N976" s="52"/>
      <c r="O976" s="52"/>
    </row>
    <row r="977">
      <c r="M977" s="52"/>
      <c r="N977" s="52"/>
      <c r="O977" s="52"/>
    </row>
    <row r="978">
      <c r="M978" s="52"/>
      <c r="N978" s="52"/>
      <c r="O978" s="52"/>
    </row>
    <row r="979">
      <c r="M979" s="52"/>
      <c r="N979" s="52"/>
      <c r="O979" s="52"/>
    </row>
    <row r="980">
      <c r="M980" s="52"/>
      <c r="N980" s="52"/>
      <c r="O980" s="52"/>
    </row>
    <row r="981">
      <c r="M981" s="52"/>
      <c r="N981" s="52"/>
      <c r="O981" s="52"/>
    </row>
    <row r="982">
      <c r="M982" s="52"/>
      <c r="N982" s="52"/>
      <c r="O982" s="52"/>
    </row>
    <row r="983">
      <c r="M983" s="52"/>
      <c r="N983" s="52"/>
      <c r="O983" s="52"/>
    </row>
    <row r="984">
      <c r="M984" s="52"/>
      <c r="N984" s="52"/>
      <c r="O984" s="52"/>
    </row>
    <row r="985">
      <c r="M985" s="52"/>
      <c r="N985" s="52"/>
      <c r="O985" s="52"/>
    </row>
    <row r="986">
      <c r="M986" s="52"/>
      <c r="N986" s="52"/>
      <c r="O986" s="52"/>
    </row>
    <row r="987">
      <c r="M987" s="52"/>
      <c r="N987" s="52"/>
      <c r="O987" s="52"/>
    </row>
    <row r="988">
      <c r="M988" s="52"/>
      <c r="N988" s="52"/>
      <c r="O988" s="52"/>
    </row>
    <row r="989">
      <c r="M989" s="52"/>
      <c r="N989" s="52"/>
      <c r="O989" s="52"/>
    </row>
    <row r="990">
      <c r="M990" s="52"/>
      <c r="N990" s="52"/>
      <c r="O990" s="52"/>
    </row>
    <row r="991">
      <c r="M991" s="52"/>
      <c r="N991" s="52"/>
      <c r="O991" s="52"/>
    </row>
    <row r="992">
      <c r="M992" s="52"/>
      <c r="N992" s="52"/>
      <c r="O992" s="52"/>
    </row>
    <row r="993">
      <c r="M993" s="52"/>
      <c r="N993" s="52"/>
      <c r="O993" s="52"/>
    </row>
    <row r="994">
      <c r="M994" s="52"/>
      <c r="N994" s="52"/>
      <c r="O994" s="52"/>
    </row>
    <row r="995">
      <c r="M995" s="52"/>
      <c r="N995" s="52"/>
      <c r="O995" s="52"/>
    </row>
    <row r="996">
      <c r="M996" s="52"/>
      <c r="N996" s="52"/>
      <c r="O996" s="52"/>
    </row>
    <row r="997">
      <c r="M997" s="52"/>
      <c r="N997" s="52"/>
      <c r="O997" s="52"/>
    </row>
    <row r="998">
      <c r="M998" s="52"/>
      <c r="N998" s="52"/>
      <c r="O998" s="52"/>
    </row>
    <row r="999">
      <c r="M999" s="52"/>
      <c r="N999" s="52"/>
      <c r="O999" s="52"/>
    </row>
    <row r="1000">
      <c r="M1000" s="52"/>
      <c r="N1000" s="52"/>
      <c r="O1000" s="52"/>
    </row>
  </sheetData>
  <mergeCells count="7">
    <mergeCell ref="A1:A2"/>
    <mergeCell ref="B1:B2"/>
    <mergeCell ref="C1:G1"/>
    <mergeCell ref="H1:I1"/>
    <mergeCell ref="J1:J2"/>
    <mergeCell ref="K1:O1"/>
    <mergeCell ref="P1:U1"/>
  </mergeCells>
  <conditionalFormatting sqref="N3:N9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G3:G9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3:H9">
    <cfRule type="colorScale" priority="3">
      <colorScale>
        <cfvo type="formula" val="0"/>
        <cfvo type="max"/>
        <color rgb="FFFFFFFF"/>
        <color rgb="FF57BB8A"/>
      </colorScale>
    </cfRule>
  </conditionalFormatting>
  <conditionalFormatting sqref="I3:I9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J3:J9">
    <cfRule type="colorScale" priority="5">
      <colorScale>
        <cfvo type="formula" val="0"/>
        <cfvo type="max"/>
        <color rgb="FFFFFFFF"/>
        <color rgb="FF57BB8A"/>
      </colorScale>
    </cfRule>
  </conditionalFormatting>
  <conditionalFormatting sqref="K3:K9">
    <cfRule type="colorScale" priority="6">
      <colorScale>
        <cfvo type="formula" val="0"/>
        <cfvo type="max"/>
        <color rgb="FFFFFFFF"/>
        <color rgb="FF57BB8A"/>
      </colorScale>
    </cfRule>
  </conditionalFormatting>
  <conditionalFormatting sqref="L3:L9">
    <cfRule type="colorScale" priority="7">
      <colorScale>
        <cfvo type="formula" val="0"/>
        <cfvo type="max"/>
        <color rgb="FFFFFFFF"/>
        <color rgb="FFE67C73"/>
      </colorScale>
    </cfRule>
  </conditionalFormatting>
  <conditionalFormatting sqref="C3:C9">
    <cfRule type="colorScale" priority="8">
      <colorScale>
        <cfvo type="formula" val="0"/>
        <cfvo type="max"/>
        <color rgb="FFFFFFFF"/>
        <color rgb="FFFFD666"/>
      </colorScale>
    </cfRule>
  </conditionalFormatting>
  <conditionalFormatting sqref="D3:D9">
    <cfRule type="colorScale" priority="9">
      <colorScale>
        <cfvo type="formula" val="0"/>
        <cfvo type="max"/>
        <color rgb="FFFFFFFF"/>
        <color rgb="FF57BB8A"/>
      </colorScale>
    </cfRule>
  </conditionalFormatting>
  <conditionalFormatting sqref="E3:E9">
    <cfRule type="colorScale" priority="10">
      <colorScale>
        <cfvo type="formula" val="0"/>
        <cfvo type="max"/>
        <color rgb="FFFFFFFF"/>
        <color rgb="FFE67C73"/>
      </colorScale>
    </cfRule>
  </conditionalFormatting>
  <conditionalFormatting sqref="F3:F9">
    <cfRule type="colorScale" priority="11">
      <colorScale>
        <cfvo type="formula" val="0"/>
        <cfvo type="max"/>
        <color rgb="FFFFFFFF"/>
        <color rgb="FF57BB8A"/>
      </colorScale>
    </cfRule>
  </conditionalFormatting>
  <conditionalFormatting sqref="M3:M9">
    <cfRule type="colorScale" priority="12">
      <colorScale>
        <cfvo type="formula" val="0"/>
        <cfvo type="max"/>
        <color rgb="FFFFFFFF"/>
        <color rgb="FFFFD666"/>
      </colorScale>
    </cfRule>
  </conditionalFormatting>
  <conditionalFormatting sqref="O3:O9">
    <cfRule type="colorScale" priority="13">
      <colorScale>
        <cfvo type="formula" val="0"/>
        <cfvo type="formula" val="1"/>
        <color rgb="FFFFFFFF"/>
        <color rgb="FF57BB8A"/>
      </colorScale>
    </cfRule>
  </conditionalFormatting>
  <conditionalFormatting sqref="P3:P9">
    <cfRule type="colorScale" priority="14">
      <colorScale>
        <cfvo type="formula" val="0"/>
        <cfvo type="max"/>
        <color rgb="FFFFFFFF"/>
        <color rgb="FFFFD666"/>
      </colorScale>
    </cfRule>
  </conditionalFormatting>
  <conditionalFormatting sqref="U3:U9">
    <cfRule type="colorScale" priority="15">
      <colorScale>
        <cfvo type="formula" val="0"/>
        <cfvo type="formula" val="2"/>
        <cfvo type="formula" val="3"/>
        <color rgb="FFE67C73"/>
        <color rgb="FFFFFFFF"/>
        <color rgb="FF57BB8A"/>
      </colorScale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7.63"/>
    <col customWidth="1" min="4" max="4" width="5.63"/>
    <col customWidth="1" min="5" max="5" width="6.88"/>
    <col customWidth="1" min="6" max="6" width="7.88"/>
    <col customWidth="1" min="7" max="7" width="12.63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1" t="s">
        <v>4</v>
      </c>
      <c r="K1" s="6" t="s">
        <v>5</v>
      </c>
      <c r="L1" s="4"/>
      <c r="M1" s="4"/>
      <c r="N1" s="4"/>
      <c r="O1" s="5"/>
      <c r="P1" s="30" t="s">
        <v>6</v>
      </c>
      <c r="Q1" s="4"/>
      <c r="R1" s="4"/>
      <c r="S1" s="4"/>
      <c r="T1" s="4"/>
      <c r="U1" s="5"/>
    </row>
    <row r="2">
      <c r="A2" s="9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2" t="s">
        <v>13</v>
      </c>
      <c r="I2" s="12" t="s">
        <v>14</v>
      </c>
      <c r="J2" s="9"/>
      <c r="K2" s="10" t="s">
        <v>15</v>
      </c>
      <c r="L2" s="12" t="s">
        <v>10</v>
      </c>
      <c r="M2" s="10" t="s">
        <v>16</v>
      </c>
      <c r="N2" s="10" t="s">
        <v>17</v>
      </c>
      <c r="O2" s="10" t="s">
        <v>18</v>
      </c>
      <c r="P2" s="15" t="s">
        <v>8</v>
      </c>
      <c r="Q2" s="15">
        <v>0.0</v>
      </c>
      <c r="R2" s="15">
        <v>1.0</v>
      </c>
      <c r="S2" s="15">
        <v>2.0</v>
      </c>
      <c r="T2" s="15">
        <v>3.0</v>
      </c>
      <c r="U2" s="15" t="s">
        <v>19</v>
      </c>
    </row>
    <row r="3">
      <c r="A3" s="18" t="s">
        <v>21</v>
      </c>
      <c r="B3" s="18" t="s">
        <v>83</v>
      </c>
      <c r="C3" s="10">
        <v>6.0</v>
      </c>
      <c r="D3" s="10">
        <v>2.0</v>
      </c>
      <c r="E3" s="10">
        <v>3.0</v>
      </c>
      <c r="F3" s="10"/>
      <c r="G3" s="35">
        <f t="shared" ref="G3:G9" si="1">IFS(C3=0, "N/A", C3&lt;&gt;0,(D3-E3)/C3 )</f>
        <v>-0.1666666667</v>
      </c>
      <c r="H3" s="35"/>
      <c r="I3" s="35"/>
      <c r="J3" s="10">
        <v>1.0</v>
      </c>
      <c r="K3" s="35"/>
      <c r="L3" s="10"/>
      <c r="M3" s="10">
        <v>3.0</v>
      </c>
      <c r="N3" s="35">
        <f t="shared" ref="N3:N9" si="2">ifs(M3=0,"N/A",M3&lt;&gt;0,(M3-L3) /M3)</f>
        <v>1</v>
      </c>
      <c r="O3" s="35">
        <f t="shared" ref="O3:O9" si="3">IFS(M3=0, "N/A", M3&lt;&gt;0, K3/M3)</f>
        <v>0</v>
      </c>
      <c r="P3" s="10">
        <f t="shared" ref="P3:P9" si="4">sum(Q3,R3,S3,T3)</f>
        <v>4</v>
      </c>
      <c r="Q3" s="10">
        <v>2.0</v>
      </c>
      <c r="R3" s="10">
        <v>1.0</v>
      </c>
      <c r="S3" s="10">
        <v>1.0</v>
      </c>
      <c r="T3" s="10"/>
      <c r="U3" s="10">
        <f t="shared" ref="U3:U9" si="5">ifs(P3=0, "N/A",P3&lt;&gt;0,(R3 + S3*2 +T3*3)/P3)</f>
        <v>0.75</v>
      </c>
    </row>
    <row r="4">
      <c r="A4" s="21" t="s">
        <v>24</v>
      </c>
      <c r="B4" s="21" t="s">
        <v>41</v>
      </c>
      <c r="C4" s="10">
        <v>4.0</v>
      </c>
      <c r="D4" s="10">
        <v>2.0</v>
      </c>
      <c r="E4" s="10">
        <v>1.0</v>
      </c>
      <c r="F4" s="10"/>
      <c r="G4" s="35">
        <f t="shared" si="1"/>
        <v>0.25</v>
      </c>
      <c r="H4" s="10"/>
      <c r="I4" s="10">
        <v>1.0</v>
      </c>
      <c r="J4" s="10">
        <v>6.0</v>
      </c>
      <c r="K4" s="35"/>
      <c r="L4" s="35"/>
      <c r="M4" s="10">
        <v>1.0</v>
      </c>
      <c r="N4" s="35">
        <f t="shared" si="2"/>
        <v>1</v>
      </c>
      <c r="O4" s="35">
        <f t="shared" si="3"/>
        <v>0</v>
      </c>
      <c r="P4" s="10">
        <f t="shared" si="4"/>
        <v>5</v>
      </c>
      <c r="Q4" s="10"/>
      <c r="R4" s="10">
        <v>1.0</v>
      </c>
      <c r="S4" s="10">
        <v>1.0</v>
      </c>
      <c r="T4" s="10">
        <v>3.0</v>
      </c>
      <c r="U4" s="10">
        <f t="shared" si="5"/>
        <v>2.4</v>
      </c>
    </row>
    <row r="5">
      <c r="A5" s="22" t="s">
        <v>26</v>
      </c>
      <c r="B5" s="22" t="s">
        <v>42</v>
      </c>
      <c r="C5" s="10">
        <v>2.0</v>
      </c>
      <c r="D5" s="10">
        <v>1.0</v>
      </c>
      <c r="E5" s="10"/>
      <c r="F5" s="10">
        <v>9.0</v>
      </c>
      <c r="G5" s="35">
        <f t="shared" si="1"/>
        <v>0.5</v>
      </c>
      <c r="H5" s="10">
        <v>1.0</v>
      </c>
      <c r="I5" s="10"/>
      <c r="J5" s="10"/>
      <c r="K5" s="10"/>
      <c r="L5" s="35"/>
      <c r="M5" s="10">
        <v>2.0</v>
      </c>
      <c r="N5" s="35">
        <f t="shared" si="2"/>
        <v>1</v>
      </c>
      <c r="O5" s="35">
        <f t="shared" si="3"/>
        <v>0</v>
      </c>
      <c r="P5" s="10">
        <f t="shared" si="4"/>
        <v>0</v>
      </c>
      <c r="Q5" s="35"/>
      <c r="R5" s="35"/>
      <c r="S5" s="35"/>
      <c r="T5" s="35"/>
      <c r="U5" s="10" t="str">
        <f t="shared" si="5"/>
        <v>N/A</v>
      </c>
    </row>
    <row r="6">
      <c r="A6" s="23" t="s">
        <v>28</v>
      </c>
      <c r="B6" s="23" t="s">
        <v>43</v>
      </c>
      <c r="C6" s="10">
        <v>5.0</v>
      </c>
      <c r="D6" s="10">
        <v>2.0</v>
      </c>
      <c r="E6" s="10"/>
      <c r="F6" s="10">
        <v>1.0</v>
      </c>
      <c r="G6" s="35">
        <f t="shared" si="1"/>
        <v>0.4</v>
      </c>
      <c r="H6" s="35"/>
      <c r="I6" s="10">
        <v>1.0</v>
      </c>
      <c r="J6" s="10"/>
      <c r="K6" s="10"/>
      <c r="L6" s="10"/>
      <c r="M6" s="10">
        <v>2.0</v>
      </c>
      <c r="N6" s="35">
        <f t="shared" si="2"/>
        <v>1</v>
      </c>
      <c r="O6" s="35">
        <f t="shared" si="3"/>
        <v>0</v>
      </c>
      <c r="P6" s="10">
        <f t="shared" si="4"/>
        <v>3</v>
      </c>
      <c r="Q6" s="10"/>
      <c r="R6" s="10"/>
      <c r="S6" s="10">
        <v>2.0</v>
      </c>
      <c r="T6" s="10">
        <v>1.0</v>
      </c>
      <c r="U6" s="10">
        <f t="shared" si="5"/>
        <v>2.333333333</v>
      </c>
    </row>
    <row r="7">
      <c r="A7" s="24" t="s">
        <v>30</v>
      </c>
      <c r="B7" s="24" t="s">
        <v>85</v>
      </c>
      <c r="C7" s="10">
        <v>5.0</v>
      </c>
      <c r="D7" s="10">
        <v>2.0</v>
      </c>
      <c r="E7" s="10">
        <v>1.0</v>
      </c>
      <c r="F7" s="35"/>
      <c r="G7" s="35">
        <f t="shared" si="1"/>
        <v>0.2</v>
      </c>
      <c r="H7" s="35"/>
      <c r="I7" s="35"/>
      <c r="J7" s="10"/>
      <c r="K7" s="35"/>
      <c r="L7" s="10"/>
      <c r="M7" s="10">
        <v>4.0</v>
      </c>
      <c r="N7" s="35">
        <f t="shared" si="2"/>
        <v>1</v>
      </c>
      <c r="O7" s="35">
        <f t="shared" si="3"/>
        <v>0</v>
      </c>
      <c r="P7" s="10">
        <f t="shared" si="4"/>
        <v>4</v>
      </c>
      <c r="Q7" s="10">
        <v>2.0</v>
      </c>
      <c r="R7" s="35"/>
      <c r="S7" s="10">
        <v>1.0</v>
      </c>
      <c r="T7" s="10">
        <v>1.0</v>
      </c>
      <c r="U7" s="10">
        <f t="shared" si="5"/>
        <v>1.25</v>
      </c>
    </row>
    <row r="8">
      <c r="A8" s="25" t="s">
        <v>32</v>
      </c>
      <c r="B8" s="25" t="s">
        <v>45</v>
      </c>
      <c r="C8" s="10">
        <v>5.0</v>
      </c>
      <c r="D8" s="10">
        <v>1.0</v>
      </c>
      <c r="E8" s="10">
        <v>2.0</v>
      </c>
      <c r="F8" s="35"/>
      <c r="G8" s="35">
        <f t="shared" si="1"/>
        <v>-0.2</v>
      </c>
      <c r="H8" s="35"/>
      <c r="I8" s="10"/>
      <c r="J8" s="10">
        <v>2.0</v>
      </c>
      <c r="K8" s="10">
        <v>1.0</v>
      </c>
      <c r="L8" s="10">
        <v>1.0</v>
      </c>
      <c r="M8" s="10">
        <v>4.0</v>
      </c>
      <c r="N8" s="35">
        <f t="shared" si="2"/>
        <v>0.75</v>
      </c>
      <c r="O8" s="35">
        <f t="shared" si="3"/>
        <v>0.25</v>
      </c>
      <c r="P8" s="10">
        <f t="shared" si="4"/>
        <v>3</v>
      </c>
      <c r="Q8" s="35"/>
      <c r="R8" s="10">
        <v>2.0</v>
      </c>
      <c r="S8" s="10">
        <v>1.0</v>
      </c>
      <c r="T8" s="35"/>
      <c r="U8" s="10">
        <f t="shared" si="5"/>
        <v>1.333333333</v>
      </c>
    </row>
    <row r="9">
      <c r="A9" s="26" t="s">
        <v>34</v>
      </c>
      <c r="B9" s="26" t="s">
        <v>84</v>
      </c>
      <c r="C9" s="10">
        <v>3.0</v>
      </c>
      <c r="D9" s="10"/>
      <c r="E9" s="10"/>
      <c r="F9" s="35"/>
      <c r="G9" s="35">
        <f t="shared" si="1"/>
        <v>0</v>
      </c>
      <c r="H9" s="35"/>
      <c r="I9" s="35"/>
      <c r="J9" s="10">
        <v>1.0</v>
      </c>
      <c r="K9" s="35"/>
      <c r="L9" s="10">
        <v>1.0</v>
      </c>
      <c r="M9" s="10">
        <v>2.0</v>
      </c>
      <c r="N9" s="35">
        <f t="shared" si="2"/>
        <v>0.5</v>
      </c>
      <c r="O9" s="35">
        <f t="shared" si="3"/>
        <v>0</v>
      </c>
      <c r="P9" s="10">
        <f t="shared" si="4"/>
        <v>5</v>
      </c>
      <c r="Q9" s="10">
        <v>3.0</v>
      </c>
      <c r="R9" s="10">
        <v>1.0</v>
      </c>
      <c r="S9" s="10">
        <v>1.0</v>
      </c>
      <c r="T9" s="35"/>
      <c r="U9" s="10">
        <f t="shared" si="5"/>
        <v>0.6</v>
      </c>
    </row>
    <row r="10">
      <c r="M10" s="52"/>
      <c r="N10" s="52"/>
      <c r="O10" s="52"/>
    </row>
    <row r="11">
      <c r="M11" s="52"/>
      <c r="N11" s="52"/>
      <c r="O11" s="52"/>
    </row>
    <row r="12">
      <c r="M12" s="52"/>
      <c r="N12" s="52"/>
      <c r="O12" s="52"/>
    </row>
    <row r="13">
      <c r="M13" s="52"/>
      <c r="N13" s="52"/>
      <c r="O13" s="52"/>
    </row>
    <row r="14">
      <c r="M14" s="52"/>
      <c r="N14" s="52"/>
      <c r="O14" s="52"/>
    </row>
    <row r="15">
      <c r="M15" s="52"/>
      <c r="N15" s="52"/>
      <c r="O15" s="52"/>
    </row>
    <row r="16">
      <c r="M16" s="52"/>
      <c r="N16" s="52"/>
      <c r="O16" s="52"/>
    </row>
    <row r="17">
      <c r="M17" s="52"/>
      <c r="N17" s="52"/>
      <c r="O17" s="52"/>
    </row>
    <row r="18">
      <c r="M18" s="52"/>
      <c r="N18" s="52"/>
      <c r="O18" s="52"/>
    </row>
    <row r="19">
      <c r="M19" s="52"/>
      <c r="N19" s="52"/>
      <c r="O19" s="52"/>
    </row>
    <row r="20">
      <c r="M20" s="52"/>
      <c r="N20" s="52"/>
      <c r="O20" s="52"/>
    </row>
    <row r="21">
      <c r="M21" s="52"/>
      <c r="N21" s="52"/>
      <c r="O21" s="52"/>
    </row>
    <row r="22">
      <c r="M22" s="52"/>
      <c r="N22" s="52"/>
      <c r="O22" s="52"/>
    </row>
    <row r="23">
      <c r="M23" s="52"/>
      <c r="N23" s="52"/>
      <c r="O23" s="52"/>
    </row>
    <row r="24">
      <c r="M24" s="52"/>
      <c r="N24" s="52"/>
      <c r="O24" s="52"/>
    </row>
    <row r="25">
      <c r="M25" s="52"/>
      <c r="N25" s="52"/>
      <c r="O25" s="52"/>
    </row>
    <row r="26">
      <c r="M26" s="52"/>
      <c r="N26" s="52"/>
      <c r="O26" s="52"/>
    </row>
    <row r="27">
      <c r="M27" s="52"/>
      <c r="N27" s="52"/>
      <c r="O27" s="52"/>
    </row>
    <row r="28">
      <c r="M28" s="52"/>
      <c r="N28" s="52"/>
      <c r="O28" s="52"/>
    </row>
    <row r="29">
      <c r="M29" s="52"/>
      <c r="N29" s="52"/>
      <c r="O29" s="52"/>
    </row>
    <row r="30">
      <c r="M30" s="52"/>
      <c r="N30" s="52"/>
      <c r="O30" s="52"/>
    </row>
    <row r="31">
      <c r="M31" s="52"/>
      <c r="N31" s="52"/>
      <c r="O31" s="52"/>
    </row>
    <row r="32">
      <c r="M32" s="52"/>
      <c r="N32" s="52"/>
      <c r="O32" s="52"/>
    </row>
    <row r="33">
      <c r="M33" s="52"/>
      <c r="N33" s="52"/>
      <c r="O33" s="52"/>
    </row>
    <row r="34">
      <c r="M34" s="52"/>
      <c r="N34" s="52"/>
      <c r="O34" s="52"/>
    </row>
    <row r="35">
      <c r="M35" s="52"/>
      <c r="N35" s="52"/>
      <c r="O35" s="52"/>
    </row>
    <row r="36">
      <c r="M36" s="52"/>
      <c r="N36" s="52"/>
      <c r="O36" s="52"/>
    </row>
    <row r="37">
      <c r="M37" s="52"/>
      <c r="N37" s="52"/>
      <c r="O37" s="52"/>
    </row>
    <row r="38">
      <c r="M38" s="52"/>
      <c r="N38" s="52"/>
      <c r="O38" s="52"/>
    </row>
    <row r="39">
      <c r="M39" s="52"/>
      <c r="N39" s="52"/>
      <c r="O39" s="52"/>
    </row>
    <row r="40">
      <c r="M40" s="52"/>
      <c r="N40" s="52"/>
      <c r="O40" s="52"/>
    </row>
    <row r="41">
      <c r="M41" s="52"/>
      <c r="N41" s="52"/>
      <c r="O41" s="52"/>
    </row>
    <row r="42">
      <c r="M42" s="52"/>
      <c r="N42" s="52"/>
      <c r="O42" s="52"/>
    </row>
    <row r="43">
      <c r="M43" s="52"/>
      <c r="N43" s="52"/>
      <c r="O43" s="52"/>
    </row>
    <row r="44">
      <c r="M44" s="52"/>
      <c r="N44" s="52"/>
      <c r="O44" s="52"/>
    </row>
    <row r="45">
      <c r="M45" s="52"/>
      <c r="N45" s="52"/>
      <c r="O45" s="52"/>
    </row>
    <row r="46">
      <c r="M46" s="52"/>
      <c r="N46" s="52"/>
      <c r="O46" s="52"/>
    </row>
    <row r="47">
      <c r="M47" s="52"/>
      <c r="N47" s="52"/>
      <c r="O47" s="52"/>
    </row>
    <row r="48">
      <c r="M48" s="52"/>
      <c r="N48" s="52"/>
      <c r="O48" s="52"/>
    </row>
    <row r="49">
      <c r="M49" s="52"/>
      <c r="N49" s="52"/>
      <c r="O49" s="52"/>
    </row>
    <row r="50">
      <c r="M50" s="52"/>
      <c r="N50" s="52"/>
      <c r="O50" s="52"/>
    </row>
    <row r="51">
      <c r="M51" s="52"/>
      <c r="N51" s="52"/>
      <c r="O51" s="52"/>
    </row>
    <row r="52">
      <c r="M52" s="52"/>
      <c r="N52" s="52"/>
      <c r="O52" s="52"/>
    </row>
    <row r="53">
      <c r="M53" s="52"/>
      <c r="N53" s="52"/>
      <c r="O53" s="52"/>
    </row>
    <row r="54">
      <c r="M54" s="52"/>
      <c r="N54" s="52"/>
      <c r="O54" s="52"/>
    </row>
    <row r="55">
      <c r="M55" s="52"/>
      <c r="N55" s="52"/>
      <c r="O55" s="52"/>
    </row>
    <row r="56">
      <c r="M56" s="52"/>
      <c r="N56" s="52"/>
      <c r="O56" s="52"/>
    </row>
    <row r="57">
      <c r="M57" s="52"/>
      <c r="N57" s="52"/>
      <c r="O57" s="52"/>
    </row>
    <row r="58">
      <c r="M58" s="52"/>
      <c r="N58" s="52"/>
      <c r="O58" s="52"/>
    </row>
    <row r="59">
      <c r="M59" s="52"/>
      <c r="N59" s="52"/>
      <c r="O59" s="52"/>
    </row>
    <row r="60">
      <c r="M60" s="52"/>
      <c r="N60" s="52"/>
      <c r="O60" s="52"/>
    </row>
    <row r="61">
      <c r="M61" s="52"/>
      <c r="N61" s="52"/>
      <c r="O61" s="52"/>
    </row>
    <row r="62">
      <c r="M62" s="52"/>
      <c r="N62" s="52"/>
      <c r="O62" s="52"/>
    </row>
    <row r="63">
      <c r="M63" s="52"/>
      <c r="N63" s="52"/>
      <c r="O63" s="52"/>
    </row>
    <row r="64">
      <c r="M64" s="52"/>
      <c r="N64" s="52"/>
      <c r="O64" s="52"/>
    </row>
    <row r="65">
      <c r="M65" s="52"/>
      <c r="N65" s="52"/>
      <c r="O65" s="52"/>
    </row>
    <row r="66">
      <c r="M66" s="52"/>
      <c r="N66" s="52"/>
      <c r="O66" s="52"/>
    </row>
    <row r="67">
      <c r="M67" s="52"/>
      <c r="N67" s="52"/>
      <c r="O67" s="52"/>
    </row>
    <row r="68">
      <c r="M68" s="52"/>
      <c r="N68" s="52"/>
      <c r="O68" s="52"/>
    </row>
    <row r="69">
      <c r="M69" s="52"/>
      <c r="N69" s="52"/>
      <c r="O69" s="52"/>
    </row>
    <row r="70">
      <c r="M70" s="52"/>
      <c r="N70" s="52"/>
      <c r="O70" s="52"/>
    </row>
    <row r="71">
      <c r="M71" s="52"/>
      <c r="N71" s="52"/>
      <c r="O71" s="52"/>
    </row>
    <row r="72">
      <c r="M72" s="52"/>
      <c r="N72" s="52"/>
      <c r="O72" s="52"/>
    </row>
    <row r="73">
      <c r="M73" s="52"/>
      <c r="N73" s="52"/>
      <c r="O73" s="52"/>
    </row>
    <row r="74">
      <c r="M74" s="52"/>
      <c r="N74" s="52"/>
      <c r="O74" s="52"/>
    </row>
    <row r="75">
      <c r="M75" s="52"/>
      <c r="N75" s="52"/>
      <c r="O75" s="52"/>
    </row>
    <row r="76">
      <c r="M76" s="52"/>
      <c r="N76" s="52"/>
      <c r="O76" s="52"/>
    </row>
    <row r="77">
      <c r="M77" s="52"/>
      <c r="N77" s="52"/>
      <c r="O77" s="52"/>
    </row>
    <row r="78">
      <c r="M78" s="52"/>
      <c r="N78" s="52"/>
      <c r="O78" s="52"/>
    </row>
    <row r="79">
      <c r="M79" s="52"/>
      <c r="N79" s="52"/>
      <c r="O79" s="52"/>
    </row>
    <row r="80">
      <c r="M80" s="52"/>
      <c r="N80" s="52"/>
      <c r="O80" s="52"/>
    </row>
    <row r="81">
      <c r="M81" s="52"/>
      <c r="N81" s="52"/>
      <c r="O81" s="52"/>
    </row>
    <row r="82">
      <c r="M82" s="52"/>
      <c r="N82" s="52"/>
      <c r="O82" s="52"/>
    </row>
    <row r="83">
      <c r="M83" s="52"/>
      <c r="N83" s="52"/>
      <c r="O83" s="52"/>
    </row>
    <row r="84">
      <c r="M84" s="52"/>
      <c r="N84" s="52"/>
      <c r="O84" s="52"/>
    </row>
    <row r="85">
      <c r="M85" s="52"/>
      <c r="N85" s="52"/>
      <c r="O85" s="52"/>
    </row>
    <row r="86">
      <c r="M86" s="52"/>
      <c r="N86" s="52"/>
      <c r="O86" s="52"/>
    </row>
    <row r="87">
      <c r="M87" s="52"/>
      <c r="N87" s="52"/>
      <c r="O87" s="52"/>
    </row>
    <row r="88">
      <c r="M88" s="52"/>
      <c r="N88" s="52"/>
      <c r="O88" s="52"/>
    </row>
    <row r="89">
      <c r="M89" s="52"/>
      <c r="N89" s="52"/>
      <c r="O89" s="52"/>
    </row>
    <row r="90">
      <c r="M90" s="52"/>
      <c r="N90" s="52"/>
      <c r="O90" s="52"/>
    </row>
    <row r="91">
      <c r="M91" s="52"/>
      <c r="N91" s="52"/>
      <c r="O91" s="52"/>
    </row>
    <row r="92">
      <c r="M92" s="52"/>
      <c r="N92" s="52"/>
      <c r="O92" s="52"/>
    </row>
    <row r="93">
      <c r="M93" s="52"/>
      <c r="N93" s="52"/>
      <c r="O93" s="52"/>
    </row>
    <row r="94">
      <c r="M94" s="52"/>
      <c r="N94" s="52"/>
      <c r="O94" s="52"/>
    </row>
    <row r="95">
      <c r="M95" s="52"/>
      <c r="N95" s="52"/>
      <c r="O95" s="52"/>
    </row>
    <row r="96">
      <c r="M96" s="52"/>
      <c r="N96" s="52"/>
      <c r="O96" s="52"/>
    </row>
    <row r="97">
      <c r="M97" s="52"/>
      <c r="N97" s="52"/>
      <c r="O97" s="52"/>
    </row>
    <row r="98">
      <c r="M98" s="52"/>
      <c r="N98" s="52"/>
      <c r="O98" s="52"/>
    </row>
    <row r="99">
      <c r="M99" s="52"/>
      <c r="N99" s="52"/>
      <c r="O99" s="52"/>
    </row>
    <row r="100">
      <c r="M100" s="52"/>
      <c r="N100" s="52"/>
      <c r="O100" s="52"/>
    </row>
    <row r="101">
      <c r="M101" s="52"/>
      <c r="N101" s="52"/>
      <c r="O101" s="52"/>
    </row>
    <row r="102">
      <c r="M102" s="52"/>
      <c r="N102" s="52"/>
      <c r="O102" s="52"/>
    </row>
    <row r="103">
      <c r="M103" s="52"/>
      <c r="N103" s="52"/>
      <c r="O103" s="52"/>
    </row>
    <row r="104">
      <c r="M104" s="52"/>
      <c r="N104" s="52"/>
      <c r="O104" s="52"/>
    </row>
    <row r="105">
      <c r="M105" s="52"/>
      <c r="N105" s="52"/>
      <c r="O105" s="52"/>
    </row>
    <row r="106">
      <c r="M106" s="52"/>
      <c r="N106" s="52"/>
      <c r="O106" s="52"/>
    </row>
    <row r="107">
      <c r="M107" s="52"/>
      <c r="N107" s="52"/>
      <c r="O107" s="52"/>
    </row>
    <row r="108">
      <c r="M108" s="52"/>
      <c r="N108" s="52"/>
      <c r="O108" s="52"/>
    </row>
    <row r="109">
      <c r="M109" s="52"/>
      <c r="N109" s="52"/>
      <c r="O109" s="52"/>
    </row>
    <row r="110">
      <c r="M110" s="52"/>
      <c r="N110" s="52"/>
      <c r="O110" s="52"/>
    </row>
    <row r="111">
      <c r="M111" s="52"/>
      <c r="N111" s="52"/>
      <c r="O111" s="52"/>
    </row>
    <row r="112">
      <c r="M112" s="52"/>
      <c r="N112" s="52"/>
      <c r="O112" s="52"/>
    </row>
    <row r="113">
      <c r="M113" s="52"/>
      <c r="N113" s="52"/>
      <c r="O113" s="52"/>
    </row>
    <row r="114">
      <c r="M114" s="52"/>
      <c r="N114" s="52"/>
      <c r="O114" s="52"/>
    </row>
    <row r="115">
      <c r="M115" s="52"/>
      <c r="N115" s="52"/>
      <c r="O115" s="52"/>
    </row>
    <row r="116">
      <c r="M116" s="52"/>
      <c r="N116" s="52"/>
      <c r="O116" s="52"/>
    </row>
    <row r="117">
      <c r="M117" s="52"/>
      <c r="N117" s="52"/>
      <c r="O117" s="52"/>
    </row>
    <row r="118">
      <c r="M118" s="52"/>
      <c r="N118" s="52"/>
      <c r="O118" s="52"/>
    </row>
    <row r="119">
      <c r="M119" s="52"/>
      <c r="N119" s="52"/>
      <c r="O119" s="52"/>
    </row>
    <row r="120">
      <c r="M120" s="52"/>
      <c r="N120" s="52"/>
      <c r="O120" s="52"/>
    </row>
    <row r="121">
      <c r="M121" s="52"/>
      <c r="N121" s="52"/>
      <c r="O121" s="52"/>
    </row>
    <row r="122">
      <c r="M122" s="52"/>
      <c r="N122" s="52"/>
      <c r="O122" s="52"/>
    </row>
    <row r="123">
      <c r="M123" s="52"/>
      <c r="N123" s="52"/>
      <c r="O123" s="52"/>
    </row>
    <row r="124">
      <c r="M124" s="52"/>
      <c r="N124" s="52"/>
      <c r="O124" s="52"/>
    </row>
    <row r="125">
      <c r="M125" s="52"/>
      <c r="N125" s="52"/>
      <c r="O125" s="52"/>
    </row>
    <row r="126">
      <c r="M126" s="52"/>
      <c r="N126" s="52"/>
      <c r="O126" s="52"/>
    </row>
    <row r="127">
      <c r="M127" s="52"/>
      <c r="N127" s="52"/>
      <c r="O127" s="52"/>
    </row>
    <row r="128">
      <c r="M128" s="52"/>
      <c r="N128" s="52"/>
      <c r="O128" s="52"/>
    </row>
    <row r="129">
      <c r="M129" s="52"/>
      <c r="N129" s="52"/>
      <c r="O129" s="52"/>
    </row>
    <row r="130">
      <c r="M130" s="52"/>
      <c r="N130" s="52"/>
      <c r="O130" s="52"/>
    </row>
    <row r="131">
      <c r="M131" s="52"/>
      <c r="N131" s="52"/>
      <c r="O131" s="52"/>
    </row>
    <row r="132">
      <c r="M132" s="52"/>
      <c r="N132" s="52"/>
      <c r="O132" s="52"/>
    </row>
    <row r="133">
      <c r="M133" s="52"/>
      <c r="N133" s="52"/>
      <c r="O133" s="52"/>
    </row>
    <row r="134">
      <c r="M134" s="52"/>
      <c r="N134" s="52"/>
      <c r="O134" s="52"/>
    </row>
    <row r="135">
      <c r="M135" s="52"/>
      <c r="N135" s="52"/>
      <c r="O135" s="52"/>
    </row>
    <row r="136">
      <c r="M136" s="52"/>
      <c r="N136" s="52"/>
      <c r="O136" s="52"/>
    </row>
    <row r="137">
      <c r="M137" s="52"/>
      <c r="N137" s="52"/>
      <c r="O137" s="52"/>
    </row>
    <row r="138">
      <c r="M138" s="52"/>
      <c r="N138" s="52"/>
      <c r="O138" s="52"/>
    </row>
    <row r="139">
      <c r="M139" s="52"/>
      <c r="N139" s="52"/>
      <c r="O139" s="52"/>
    </row>
    <row r="140">
      <c r="M140" s="52"/>
      <c r="N140" s="52"/>
      <c r="O140" s="52"/>
    </row>
    <row r="141">
      <c r="M141" s="52"/>
      <c r="N141" s="52"/>
      <c r="O141" s="52"/>
    </row>
    <row r="142">
      <c r="M142" s="52"/>
      <c r="N142" s="52"/>
      <c r="O142" s="52"/>
    </row>
    <row r="143">
      <c r="M143" s="52"/>
      <c r="N143" s="52"/>
      <c r="O143" s="52"/>
    </row>
    <row r="144">
      <c r="M144" s="52"/>
      <c r="N144" s="52"/>
      <c r="O144" s="52"/>
    </row>
    <row r="145">
      <c r="M145" s="52"/>
      <c r="N145" s="52"/>
      <c r="O145" s="52"/>
    </row>
    <row r="146">
      <c r="M146" s="52"/>
      <c r="N146" s="52"/>
      <c r="O146" s="52"/>
    </row>
    <row r="147">
      <c r="M147" s="52"/>
      <c r="N147" s="52"/>
      <c r="O147" s="52"/>
    </row>
    <row r="148">
      <c r="M148" s="52"/>
      <c r="N148" s="52"/>
      <c r="O148" s="52"/>
    </row>
    <row r="149">
      <c r="M149" s="52"/>
      <c r="N149" s="52"/>
      <c r="O149" s="52"/>
    </row>
    <row r="150">
      <c r="M150" s="52"/>
      <c r="N150" s="52"/>
      <c r="O150" s="52"/>
    </row>
    <row r="151">
      <c r="M151" s="52"/>
      <c r="N151" s="52"/>
      <c r="O151" s="52"/>
    </row>
    <row r="152">
      <c r="M152" s="52"/>
      <c r="N152" s="52"/>
      <c r="O152" s="52"/>
    </row>
    <row r="153">
      <c r="M153" s="52"/>
      <c r="N153" s="52"/>
      <c r="O153" s="52"/>
    </row>
    <row r="154">
      <c r="M154" s="52"/>
      <c r="N154" s="52"/>
      <c r="O154" s="52"/>
    </row>
    <row r="155">
      <c r="M155" s="52"/>
      <c r="N155" s="52"/>
      <c r="O155" s="52"/>
    </row>
    <row r="156">
      <c r="M156" s="52"/>
      <c r="N156" s="52"/>
      <c r="O156" s="52"/>
    </row>
    <row r="157">
      <c r="M157" s="52"/>
      <c r="N157" s="52"/>
      <c r="O157" s="52"/>
    </row>
    <row r="158">
      <c r="M158" s="52"/>
      <c r="N158" s="52"/>
      <c r="O158" s="52"/>
    </row>
    <row r="159">
      <c r="M159" s="52"/>
      <c r="N159" s="52"/>
      <c r="O159" s="52"/>
    </row>
    <row r="160">
      <c r="M160" s="52"/>
      <c r="N160" s="52"/>
      <c r="O160" s="52"/>
    </row>
    <row r="161">
      <c r="M161" s="52"/>
      <c r="N161" s="52"/>
      <c r="O161" s="52"/>
    </row>
    <row r="162">
      <c r="M162" s="52"/>
      <c r="N162" s="52"/>
      <c r="O162" s="52"/>
    </row>
    <row r="163">
      <c r="M163" s="52"/>
      <c r="N163" s="52"/>
      <c r="O163" s="52"/>
    </row>
    <row r="164">
      <c r="M164" s="52"/>
      <c r="N164" s="52"/>
      <c r="O164" s="52"/>
    </row>
    <row r="165">
      <c r="M165" s="52"/>
      <c r="N165" s="52"/>
      <c r="O165" s="52"/>
    </row>
    <row r="166">
      <c r="M166" s="52"/>
      <c r="N166" s="52"/>
      <c r="O166" s="52"/>
    </row>
    <row r="167">
      <c r="M167" s="52"/>
      <c r="N167" s="52"/>
      <c r="O167" s="52"/>
    </row>
    <row r="168">
      <c r="M168" s="52"/>
      <c r="N168" s="52"/>
      <c r="O168" s="52"/>
    </row>
    <row r="169">
      <c r="M169" s="52"/>
      <c r="N169" s="52"/>
      <c r="O169" s="52"/>
    </row>
    <row r="170">
      <c r="M170" s="52"/>
      <c r="N170" s="52"/>
      <c r="O170" s="52"/>
    </row>
    <row r="171">
      <c r="M171" s="52"/>
      <c r="N171" s="52"/>
      <c r="O171" s="52"/>
    </row>
    <row r="172">
      <c r="M172" s="52"/>
      <c r="N172" s="52"/>
      <c r="O172" s="52"/>
    </row>
    <row r="173">
      <c r="M173" s="52"/>
      <c r="N173" s="52"/>
      <c r="O173" s="52"/>
    </row>
    <row r="174">
      <c r="M174" s="52"/>
      <c r="N174" s="52"/>
      <c r="O174" s="52"/>
    </row>
    <row r="175">
      <c r="M175" s="52"/>
      <c r="N175" s="52"/>
      <c r="O175" s="52"/>
    </row>
    <row r="176">
      <c r="M176" s="52"/>
      <c r="N176" s="52"/>
      <c r="O176" s="52"/>
    </row>
    <row r="177">
      <c r="M177" s="52"/>
      <c r="N177" s="52"/>
      <c r="O177" s="52"/>
    </row>
    <row r="178">
      <c r="M178" s="52"/>
      <c r="N178" s="52"/>
      <c r="O178" s="52"/>
    </row>
    <row r="179">
      <c r="M179" s="52"/>
      <c r="N179" s="52"/>
      <c r="O179" s="52"/>
    </row>
    <row r="180">
      <c r="M180" s="52"/>
      <c r="N180" s="52"/>
      <c r="O180" s="52"/>
    </row>
    <row r="181">
      <c r="M181" s="52"/>
      <c r="N181" s="52"/>
      <c r="O181" s="52"/>
    </row>
    <row r="182">
      <c r="M182" s="52"/>
      <c r="N182" s="52"/>
      <c r="O182" s="52"/>
    </row>
    <row r="183">
      <c r="M183" s="52"/>
      <c r="N183" s="52"/>
      <c r="O183" s="52"/>
    </row>
    <row r="184">
      <c r="M184" s="52"/>
      <c r="N184" s="52"/>
      <c r="O184" s="52"/>
    </row>
    <row r="185">
      <c r="M185" s="52"/>
      <c r="N185" s="52"/>
      <c r="O185" s="52"/>
    </row>
    <row r="186">
      <c r="M186" s="52"/>
      <c r="N186" s="52"/>
      <c r="O186" s="52"/>
    </row>
    <row r="187">
      <c r="M187" s="52"/>
      <c r="N187" s="52"/>
      <c r="O187" s="52"/>
    </row>
    <row r="188">
      <c r="M188" s="52"/>
      <c r="N188" s="52"/>
      <c r="O188" s="52"/>
    </row>
    <row r="189">
      <c r="M189" s="52"/>
      <c r="N189" s="52"/>
      <c r="O189" s="52"/>
    </row>
    <row r="190">
      <c r="M190" s="52"/>
      <c r="N190" s="52"/>
      <c r="O190" s="52"/>
    </row>
    <row r="191">
      <c r="M191" s="52"/>
      <c r="N191" s="52"/>
      <c r="O191" s="52"/>
    </row>
    <row r="192">
      <c r="M192" s="52"/>
      <c r="N192" s="52"/>
      <c r="O192" s="52"/>
    </row>
    <row r="193">
      <c r="M193" s="52"/>
      <c r="N193" s="52"/>
      <c r="O193" s="52"/>
    </row>
    <row r="194">
      <c r="M194" s="52"/>
      <c r="N194" s="52"/>
      <c r="O194" s="52"/>
    </row>
    <row r="195">
      <c r="M195" s="52"/>
      <c r="N195" s="52"/>
      <c r="O195" s="52"/>
    </row>
    <row r="196">
      <c r="M196" s="52"/>
      <c r="N196" s="52"/>
      <c r="O196" s="52"/>
    </row>
    <row r="197">
      <c r="M197" s="52"/>
      <c r="N197" s="52"/>
      <c r="O197" s="52"/>
    </row>
    <row r="198">
      <c r="M198" s="52"/>
      <c r="N198" s="52"/>
      <c r="O198" s="52"/>
    </row>
    <row r="199">
      <c r="M199" s="52"/>
      <c r="N199" s="52"/>
      <c r="O199" s="52"/>
    </row>
    <row r="200">
      <c r="M200" s="52"/>
      <c r="N200" s="52"/>
      <c r="O200" s="52"/>
    </row>
    <row r="201">
      <c r="M201" s="52"/>
      <c r="N201" s="52"/>
      <c r="O201" s="52"/>
    </row>
    <row r="202">
      <c r="M202" s="52"/>
      <c r="N202" s="52"/>
      <c r="O202" s="52"/>
    </row>
    <row r="203">
      <c r="M203" s="52"/>
      <c r="N203" s="52"/>
      <c r="O203" s="52"/>
    </row>
    <row r="204">
      <c r="M204" s="52"/>
      <c r="N204" s="52"/>
      <c r="O204" s="52"/>
    </row>
    <row r="205">
      <c r="M205" s="52"/>
      <c r="N205" s="52"/>
      <c r="O205" s="52"/>
    </row>
    <row r="206">
      <c r="M206" s="52"/>
      <c r="N206" s="52"/>
      <c r="O206" s="52"/>
    </row>
    <row r="207">
      <c r="M207" s="52"/>
      <c r="N207" s="52"/>
      <c r="O207" s="52"/>
    </row>
    <row r="208">
      <c r="M208" s="52"/>
      <c r="N208" s="52"/>
      <c r="O208" s="52"/>
    </row>
    <row r="209">
      <c r="M209" s="52"/>
      <c r="N209" s="52"/>
      <c r="O209" s="52"/>
    </row>
    <row r="210">
      <c r="M210" s="52"/>
      <c r="N210" s="52"/>
      <c r="O210" s="52"/>
    </row>
    <row r="211">
      <c r="M211" s="52"/>
      <c r="N211" s="52"/>
      <c r="O211" s="52"/>
    </row>
    <row r="212">
      <c r="M212" s="52"/>
      <c r="N212" s="52"/>
      <c r="O212" s="52"/>
    </row>
    <row r="213">
      <c r="M213" s="52"/>
      <c r="N213" s="52"/>
      <c r="O213" s="52"/>
    </row>
    <row r="214">
      <c r="M214" s="52"/>
      <c r="N214" s="52"/>
      <c r="O214" s="52"/>
    </row>
    <row r="215">
      <c r="M215" s="52"/>
      <c r="N215" s="52"/>
      <c r="O215" s="52"/>
    </row>
    <row r="216">
      <c r="M216" s="52"/>
      <c r="N216" s="52"/>
      <c r="O216" s="52"/>
    </row>
    <row r="217">
      <c r="M217" s="52"/>
      <c r="N217" s="52"/>
      <c r="O217" s="52"/>
    </row>
    <row r="218">
      <c r="M218" s="52"/>
      <c r="N218" s="52"/>
      <c r="O218" s="52"/>
    </row>
    <row r="219">
      <c r="M219" s="52"/>
      <c r="N219" s="52"/>
      <c r="O219" s="52"/>
    </row>
    <row r="220">
      <c r="M220" s="52"/>
      <c r="N220" s="52"/>
      <c r="O220" s="52"/>
    </row>
    <row r="221">
      <c r="M221" s="52"/>
      <c r="N221" s="52"/>
      <c r="O221" s="52"/>
    </row>
    <row r="222">
      <c r="M222" s="52"/>
      <c r="N222" s="52"/>
      <c r="O222" s="52"/>
    </row>
    <row r="223">
      <c r="M223" s="52"/>
      <c r="N223" s="52"/>
      <c r="O223" s="52"/>
    </row>
    <row r="224">
      <c r="M224" s="52"/>
      <c r="N224" s="52"/>
      <c r="O224" s="52"/>
    </row>
    <row r="225">
      <c r="M225" s="52"/>
      <c r="N225" s="52"/>
      <c r="O225" s="52"/>
    </row>
    <row r="226">
      <c r="M226" s="52"/>
      <c r="N226" s="52"/>
      <c r="O226" s="52"/>
    </row>
    <row r="227">
      <c r="M227" s="52"/>
      <c r="N227" s="52"/>
      <c r="O227" s="52"/>
    </row>
    <row r="228">
      <c r="M228" s="52"/>
      <c r="N228" s="52"/>
      <c r="O228" s="52"/>
    </row>
    <row r="229">
      <c r="M229" s="52"/>
      <c r="N229" s="52"/>
      <c r="O229" s="52"/>
    </row>
    <row r="230">
      <c r="M230" s="52"/>
      <c r="N230" s="52"/>
      <c r="O230" s="52"/>
    </row>
    <row r="231">
      <c r="M231" s="52"/>
      <c r="N231" s="52"/>
      <c r="O231" s="52"/>
    </row>
    <row r="232">
      <c r="M232" s="52"/>
      <c r="N232" s="52"/>
      <c r="O232" s="52"/>
    </row>
    <row r="233">
      <c r="M233" s="52"/>
      <c r="N233" s="52"/>
      <c r="O233" s="52"/>
    </row>
    <row r="234">
      <c r="M234" s="52"/>
      <c r="N234" s="52"/>
      <c r="O234" s="52"/>
    </row>
    <row r="235">
      <c r="M235" s="52"/>
      <c r="N235" s="52"/>
      <c r="O235" s="52"/>
    </row>
    <row r="236">
      <c r="M236" s="52"/>
      <c r="N236" s="52"/>
      <c r="O236" s="52"/>
    </row>
    <row r="237">
      <c r="M237" s="52"/>
      <c r="N237" s="52"/>
      <c r="O237" s="52"/>
    </row>
    <row r="238">
      <c r="M238" s="52"/>
      <c r="N238" s="52"/>
      <c r="O238" s="52"/>
    </row>
    <row r="239">
      <c r="M239" s="52"/>
      <c r="N239" s="52"/>
      <c r="O239" s="52"/>
    </row>
    <row r="240">
      <c r="M240" s="52"/>
      <c r="N240" s="52"/>
      <c r="O240" s="52"/>
    </row>
    <row r="241">
      <c r="M241" s="52"/>
      <c r="N241" s="52"/>
      <c r="O241" s="52"/>
    </row>
    <row r="242">
      <c r="M242" s="52"/>
      <c r="N242" s="52"/>
      <c r="O242" s="52"/>
    </row>
    <row r="243">
      <c r="M243" s="52"/>
      <c r="N243" s="52"/>
      <c r="O243" s="52"/>
    </row>
    <row r="244">
      <c r="M244" s="52"/>
      <c r="N244" s="52"/>
      <c r="O244" s="52"/>
    </row>
    <row r="245">
      <c r="M245" s="52"/>
      <c r="N245" s="52"/>
      <c r="O245" s="52"/>
    </row>
    <row r="246">
      <c r="M246" s="52"/>
      <c r="N246" s="52"/>
      <c r="O246" s="52"/>
    </row>
    <row r="247">
      <c r="M247" s="52"/>
      <c r="N247" s="52"/>
      <c r="O247" s="52"/>
    </row>
    <row r="248">
      <c r="M248" s="52"/>
      <c r="N248" s="52"/>
      <c r="O248" s="52"/>
    </row>
    <row r="249">
      <c r="M249" s="52"/>
      <c r="N249" s="52"/>
      <c r="O249" s="52"/>
    </row>
    <row r="250">
      <c r="M250" s="52"/>
      <c r="N250" s="52"/>
      <c r="O250" s="52"/>
    </row>
    <row r="251">
      <c r="M251" s="52"/>
      <c r="N251" s="52"/>
      <c r="O251" s="52"/>
    </row>
    <row r="252">
      <c r="M252" s="52"/>
      <c r="N252" s="52"/>
      <c r="O252" s="52"/>
    </row>
    <row r="253">
      <c r="M253" s="52"/>
      <c r="N253" s="52"/>
      <c r="O253" s="52"/>
    </row>
    <row r="254">
      <c r="M254" s="52"/>
      <c r="N254" s="52"/>
      <c r="O254" s="52"/>
    </row>
    <row r="255">
      <c r="M255" s="52"/>
      <c r="N255" s="52"/>
      <c r="O255" s="52"/>
    </row>
    <row r="256">
      <c r="M256" s="52"/>
      <c r="N256" s="52"/>
      <c r="O256" s="52"/>
    </row>
    <row r="257">
      <c r="M257" s="52"/>
      <c r="N257" s="52"/>
      <c r="O257" s="52"/>
    </row>
    <row r="258">
      <c r="M258" s="52"/>
      <c r="N258" s="52"/>
      <c r="O258" s="52"/>
    </row>
    <row r="259">
      <c r="M259" s="52"/>
      <c r="N259" s="52"/>
      <c r="O259" s="52"/>
    </row>
    <row r="260">
      <c r="M260" s="52"/>
      <c r="N260" s="52"/>
      <c r="O260" s="52"/>
    </row>
    <row r="261">
      <c r="M261" s="52"/>
      <c r="N261" s="52"/>
      <c r="O261" s="52"/>
    </row>
    <row r="262">
      <c r="M262" s="52"/>
      <c r="N262" s="52"/>
      <c r="O262" s="52"/>
    </row>
    <row r="263">
      <c r="M263" s="52"/>
      <c r="N263" s="52"/>
      <c r="O263" s="52"/>
    </row>
    <row r="264">
      <c r="M264" s="52"/>
      <c r="N264" s="52"/>
      <c r="O264" s="52"/>
    </row>
    <row r="265">
      <c r="M265" s="52"/>
      <c r="N265" s="52"/>
      <c r="O265" s="52"/>
    </row>
    <row r="266">
      <c r="M266" s="52"/>
      <c r="N266" s="52"/>
      <c r="O266" s="52"/>
    </row>
    <row r="267">
      <c r="M267" s="52"/>
      <c r="N267" s="52"/>
      <c r="O267" s="52"/>
    </row>
    <row r="268">
      <c r="M268" s="52"/>
      <c r="N268" s="52"/>
      <c r="O268" s="52"/>
    </row>
    <row r="269">
      <c r="M269" s="52"/>
      <c r="N269" s="52"/>
      <c r="O269" s="52"/>
    </row>
    <row r="270">
      <c r="M270" s="52"/>
      <c r="N270" s="52"/>
      <c r="O270" s="52"/>
    </row>
    <row r="271">
      <c r="M271" s="52"/>
      <c r="N271" s="52"/>
      <c r="O271" s="52"/>
    </row>
    <row r="272">
      <c r="M272" s="52"/>
      <c r="N272" s="52"/>
      <c r="O272" s="52"/>
    </row>
    <row r="273">
      <c r="M273" s="52"/>
      <c r="N273" s="52"/>
      <c r="O273" s="52"/>
    </row>
    <row r="274">
      <c r="M274" s="52"/>
      <c r="N274" s="52"/>
      <c r="O274" s="52"/>
    </row>
    <row r="275">
      <c r="M275" s="52"/>
      <c r="N275" s="52"/>
      <c r="O275" s="52"/>
    </row>
    <row r="276">
      <c r="M276" s="52"/>
      <c r="N276" s="52"/>
      <c r="O276" s="52"/>
    </row>
    <row r="277">
      <c r="M277" s="52"/>
      <c r="N277" s="52"/>
      <c r="O277" s="52"/>
    </row>
    <row r="278">
      <c r="M278" s="52"/>
      <c r="N278" s="52"/>
      <c r="O278" s="52"/>
    </row>
    <row r="279">
      <c r="M279" s="52"/>
      <c r="N279" s="52"/>
      <c r="O279" s="52"/>
    </row>
    <row r="280">
      <c r="M280" s="52"/>
      <c r="N280" s="52"/>
      <c r="O280" s="52"/>
    </row>
    <row r="281">
      <c r="M281" s="52"/>
      <c r="N281" s="52"/>
      <c r="O281" s="52"/>
    </row>
    <row r="282">
      <c r="M282" s="52"/>
      <c r="N282" s="52"/>
      <c r="O282" s="52"/>
    </row>
    <row r="283">
      <c r="M283" s="52"/>
      <c r="N283" s="52"/>
      <c r="O283" s="52"/>
    </row>
    <row r="284">
      <c r="M284" s="52"/>
      <c r="N284" s="52"/>
      <c r="O284" s="52"/>
    </row>
    <row r="285">
      <c r="M285" s="52"/>
      <c r="N285" s="52"/>
      <c r="O285" s="52"/>
    </row>
    <row r="286">
      <c r="M286" s="52"/>
      <c r="N286" s="52"/>
      <c r="O286" s="52"/>
    </row>
    <row r="287">
      <c r="M287" s="52"/>
      <c r="N287" s="52"/>
      <c r="O287" s="52"/>
    </row>
    <row r="288">
      <c r="M288" s="52"/>
      <c r="N288" s="52"/>
      <c r="O288" s="52"/>
    </row>
    <row r="289">
      <c r="M289" s="52"/>
      <c r="N289" s="52"/>
      <c r="O289" s="52"/>
    </row>
    <row r="290">
      <c r="M290" s="52"/>
      <c r="N290" s="52"/>
      <c r="O290" s="52"/>
    </row>
    <row r="291">
      <c r="M291" s="52"/>
      <c r="N291" s="52"/>
      <c r="O291" s="52"/>
    </row>
    <row r="292">
      <c r="M292" s="52"/>
      <c r="N292" s="52"/>
      <c r="O292" s="52"/>
    </row>
    <row r="293">
      <c r="M293" s="52"/>
      <c r="N293" s="52"/>
      <c r="O293" s="52"/>
    </row>
    <row r="294">
      <c r="M294" s="52"/>
      <c r="N294" s="52"/>
      <c r="O294" s="52"/>
    </row>
    <row r="295">
      <c r="M295" s="52"/>
      <c r="N295" s="52"/>
      <c r="O295" s="52"/>
    </row>
    <row r="296">
      <c r="M296" s="52"/>
      <c r="N296" s="52"/>
      <c r="O296" s="52"/>
    </row>
    <row r="297">
      <c r="M297" s="52"/>
      <c r="N297" s="52"/>
      <c r="O297" s="52"/>
    </row>
    <row r="298">
      <c r="M298" s="52"/>
      <c r="N298" s="52"/>
      <c r="O298" s="52"/>
    </row>
    <row r="299">
      <c r="M299" s="52"/>
      <c r="N299" s="52"/>
      <c r="O299" s="52"/>
    </row>
    <row r="300">
      <c r="M300" s="52"/>
      <c r="N300" s="52"/>
      <c r="O300" s="52"/>
    </row>
    <row r="301">
      <c r="M301" s="52"/>
      <c r="N301" s="52"/>
      <c r="O301" s="52"/>
    </row>
    <row r="302">
      <c r="M302" s="52"/>
      <c r="N302" s="52"/>
      <c r="O302" s="52"/>
    </row>
    <row r="303">
      <c r="M303" s="52"/>
      <c r="N303" s="52"/>
      <c r="O303" s="52"/>
    </row>
    <row r="304">
      <c r="M304" s="52"/>
      <c r="N304" s="52"/>
      <c r="O304" s="52"/>
    </row>
    <row r="305">
      <c r="M305" s="52"/>
      <c r="N305" s="52"/>
      <c r="O305" s="52"/>
    </row>
    <row r="306">
      <c r="M306" s="52"/>
      <c r="N306" s="52"/>
      <c r="O306" s="52"/>
    </row>
    <row r="307">
      <c r="M307" s="52"/>
      <c r="N307" s="52"/>
      <c r="O307" s="52"/>
    </row>
    <row r="308">
      <c r="M308" s="52"/>
      <c r="N308" s="52"/>
      <c r="O308" s="52"/>
    </row>
    <row r="309">
      <c r="M309" s="52"/>
      <c r="N309" s="52"/>
      <c r="O309" s="52"/>
    </row>
    <row r="310">
      <c r="M310" s="52"/>
      <c r="N310" s="52"/>
      <c r="O310" s="52"/>
    </row>
    <row r="311">
      <c r="M311" s="52"/>
      <c r="N311" s="52"/>
      <c r="O311" s="52"/>
    </row>
    <row r="312">
      <c r="M312" s="52"/>
      <c r="N312" s="52"/>
      <c r="O312" s="52"/>
    </row>
    <row r="313">
      <c r="M313" s="52"/>
      <c r="N313" s="52"/>
      <c r="O313" s="52"/>
    </row>
    <row r="314">
      <c r="M314" s="52"/>
      <c r="N314" s="52"/>
      <c r="O314" s="52"/>
    </row>
    <row r="315">
      <c r="M315" s="52"/>
      <c r="N315" s="52"/>
      <c r="O315" s="52"/>
    </row>
    <row r="316">
      <c r="M316" s="52"/>
      <c r="N316" s="52"/>
      <c r="O316" s="52"/>
    </row>
    <row r="317">
      <c r="M317" s="52"/>
      <c r="N317" s="52"/>
      <c r="O317" s="52"/>
    </row>
    <row r="318">
      <c r="M318" s="52"/>
      <c r="N318" s="52"/>
      <c r="O318" s="52"/>
    </row>
    <row r="319">
      <c r="M319" s="52"/>
      <c r="N319" s="52"/>
      <c r="O319" s="52"/>
    </row>
    <row r="320">
      <c r="M320" s="52"/>
      <c r="N320" s="52"/>
      <c r="O320" s="52"/>
    </row>
    <row r="321">
      <c r="M321" s="52"/>
      <c r="N321" s="52"/>
      <c r="O321" s="52"/>
    </row>
    <row r="322">
      <c r="M322" s="52"/>
      <c r="N322" s="52"/>
      <c r="O322" s="52"/>
    </row>
    <row r="323">
      <c r="M323" s="52"/>
      <c r="N323" s="52"/>
      <c r="O323" s="52"/>
    </row>
    <row r="324">
      <c r="M324" s="52"/>
      <c r="N324" s="52"/>
      <c r="O324" s="52"/>
    </row>
    <row r="325">
      <c r="M325" s="52"/>
      <c r="N325" s="52"/>
      <c r="O325" s="52"/>
    </row>
    <row r="326">
      <c r="M326" s="52"/>
      <c r="N326" s="52"/>
      <c r="O326" s="52"/>
    </row>
    <row r="327">
      <c r="M327" s="52"/>
      <c r="N327" s="52"/>
      <c r="O327" s="52"/>
    </row>
    <row r="328">
      <c r="M328" s="52"/>
      <c r="N328" s="52"/>
      <c r="O328" s="52"/>
    </row>
    <row r="329">
      <c r="M329" s="52"/>
      <c r="N329" s="52"/>
      <c r="O329" s="52"/>
    </row>
    <row r="330">
      <c r="M330" s="52"/>
      <c r="N330" s="52"/>
      <c r="O330" s="52"/>
    </row>
    <row r="331">
      <c r="M331" s="52"/>
      <c r="N331" s="52"/>
      <c r="O331" s="52"/>
    </row>
    <row r="332">
      <c r="M332" s="52"/>
      <c r="N332" s="52"/>
      <c r="O332" s="52"/>
    </row>
    <row r="333">
      <c r="M333" s="52"/>
      <c r="N333" s="52"/>
      <c r="O333" s="52"/>
    </row>
    <row r="334">
      <c r="M334" s="52"/>
      <c r="N334" s="52"/>
      <c r="O334" s="52"/>
    </row>
    <row r="335">
      <c r="M335" s="52"/>
      <c r="N335" s="52"/>
      <c r="O335" s="52"/>
    </row>
    <row r="336">
      <c r="M336" s="52"/>
      <c r="N336" s="52"/>
      <c r="O336" s="52"/>
    </row>
    <row r="337">
      <c r="M337" s="52"/>
      <c r="N337" s="52"/>
      <c r="O337" s="52"/>
    </row>
    <row r="338">
      <c r="M338" s="52"/>
      <c r="N338" s="52"/>
      <c r="O338" s="52"/>
    </row>
    <row r="339">
      <c r="M339" s="52"/>
      <c r="N339" s="52"/>
      <c r="O339" s="52"/>
    </row>
    <row r="340">
      <c r="M340" s="52"/>
      <c r="N340" s="52"/>
      <c r="O340" s="52"/>
    </row>
    <row r="341">
      <c r="M341" s="52"/>
      <c r="N341" s="52"/>
      <c r="O341" s="52"/>
    </row>
    <row r="342">
      <c r="M342" s="52"/>
      <c r="N342" s="52"/>
      <c r="O342" s="52"/>
    </row>
    <row r="343">
      <c r="M343" s="52"/>
      <c r="N343" s="52"/>
      <c r="O343" s="52"/>
    </row>
    <row r="344">
      <c r="M344" s="52"/>
      <c r="N344" s="52"/>
      <c r="O344" s="52"/>
    </row>
    <row r="345">
      <c r="M345" s="52"/>
      <c r="N345" s="52"/>
      <c r="O345" s="52"/>
    </row>
    <row r="346">
      <c r="M346" s="52"/>
      <c r="N346" s="52"/>
      <c r="O346" s="52"/>
    </row>
    <row r="347">
      <c r="M347" s="52"/>
      <c r="N347" s="52"/>
      <c r="O347" s="52"/>
    </row>
    <row r="348">
      <c r="M348" s="52"/>
      <c r="N348" s="52"/>
      <c r="O348" s="52"/>
    </row>
    <row r="349">
      <c r="M349" s="52"/>
      <c r="N349" s="52"/>
      <c r="O349" s="52"/>
    </row>
    <row r="350">
      <c r="M350" s="52"/>
      <c r="N350" s="52"/>
      <c r="O350" s="52"/>
    </row>
    <row r="351">
      <c r="M351" s="52"/>
      <c r="N351" s="52"/>
      <c r="O351" s="52"/>
    </row>
    <row r="352">
      <c r="M352" s="52"/>
      <c r="N352" s="52"/>
      <c r="O352" s="52"/>
    </row>
    <row r="353">
      <c r="M353" s="52"/>
      <c r="N353" s="52"/>
      <c r="O353" s="52"/>
    </row>
    <row r="354">
      <c r="M354" s="52"/>
      <c r="N354" s="52"/>
      <c r="O354" s="52"/>
    </row>
    <row r="355">
      <c r="M355" s="52"/>
      <c r="N355" s="52"/>
      <c r="O355" s="52"/>
    </row>
    <row r="356">
      <c r="M356" s="52"/>
      <c r="N356" s="52"/>
      <c r="O356" s="52"/>
    </row>
    <row r="357">
      <c r="M357" s="52"/>
      <c r="N357" s="52"/>
      <c r="O357" s="52"/>
    </row>
    <row r="358">
      <c r="M358" s="52"/>
      <c r="N358" s="52"/>
      <c r="O358" s="52"/>
    </row>
    <row r="359">
      <c r="M359" s="52"/>
      <c r="N359" s="52"/>
      <c r="O359" s="52"/>
    </row>
    <row r="360">
      <c r="M360" s="52"/>
      <c r="N360" s="52"/>
      <c r="O360" s="52"/>
    </row>
    <row r="361">
      <c r="M361" s="52"/>
      <c r="N361" s="52"/>
      <c r="O361" s="52"/>
    </row>
    <row r="362">
      <c r="M362" s="52"/>
      <c r="N362" s="52"/>
      <c r="O362" s="52"/>
    </row>
    <row r="363">
      <c r="M363" s="52"/>
      <c r="N363" s="52"/>
      <c r="O363" s="52"/>
    </row>
    <row r="364">
      <c r="M364" s="52"/>
      <c r="N364" s="52"/>
      <c r="O364" s="52"/>
    </row>
    <row r="365">
      <c r="M365" s="52"/>
      <c r="N365" s="52"/>
      <c r="O365" s="52"/>
    </row>
    <row r="366">
      <c r="M366" s="52"/>
      <c r="N366" s="52"/>
      <c r="O366" s="52"/>
    </row>
    <row r="367">
      <c r="M367" s="52"/>
      <c r="N367" s="52"/>
      <c r="O367" s="52"/>
    </row>
    <row r="368">
      <c r="M368" s="52"/>
      <c r="N368" s="52"/>
      <c r="O368" s="52"/>
    </row>
    <row r="369">
      <c r="M369" s="52"/>
      <c r="N369" s="52"/>
      <c r="O369" s="52"/>
    </row>
    <row r="370">
      <c r="M370" s="52"/>
      <c r="N370" s="52"/>
      <c r="O370" s="52"/>
    </row>
    <row r="371">
      <c r="M371" s="52"/>
      <c r="N371" s="52"/>
      <c r="O371" s="52"/>
    </row>
    <row r="372">
      <c r="M372" s="52"/>
      <c r="N372" s="52"/>
      <c r="O372" s="52"/>
    </row>
    <row r="373">
      <c r="M373" s="52"/>
      <c r="N373" s="52"/>
      <c r="O373" s="52"/>
    </row>
    <row r="374">
      <c r="M374" s="52"/>
      <c r="N374" s="52"/>
      <c r="O374" s="52"/>
    </row>
    <row r="375">
      <c r="M375" s="52"/>
      <c r="N375" s="52"/>
      <c r="O375" s="52"/>
    </row>
    <row r="376">
      <c r="M376" s="52"/>
      <c r="N376" s="52"/>
      <c r="O376" s="52"/>
    </row>
    <row r="377">
      <c r="M377" s="52"/>
      <c r="N377" s="52"/>
      <c r="O377" s="52"/>
    </row>
    <row r="378">
      <c r="M378" s="52"/>
      <c r="N378" s="52"/>
      <c r="O378" s="52"/>
    </row>
    <row r="379">
      <c r="M379" s="52"/>
      <c r="N379" s="52"/>
      <c r="O379" s="52"/>
    </row>
    <row r="380">
      <c r="M380" s="52"/>
      <c r="N380" s="52"/>
      <c r="O380" s="52"/>
    </row>
    <row r="381">
      <c r="M381" s="52"/>
      <c r="N381" s="52"/>
      <c r="O381" s="52"/>
    </row>
    <row r="382">
      <c r="M382" s="52"/>
      <c r="N382" s="52"/>
      <c r="O382" s="52"/>
    </row>
    <row r="383">
      <c r="M383" s="52"/>
      <c r="N383" s="52"/>
      <c r="O383" s="52"/>
    </row>
    <row r="384">
      <c r="M384" s="52"/>
      <c r="N384" s="52"/>
      <c r="O384" s="52"/>
    </row>
    <row r="385">
      <c r="M385" s="52"/>
      <c r="N385" s="52"/>
      <c r="O385" s="52"/>
    </row>
    <row r="386">
      <c r="M386" s="52"/>
      <c r="N386" s="52"/>
      <c r="O386" s="52"/>
    </row>
    <row r="387">
      <c r="M387" s="52"/>
      <c r="N387" s="52"/>
      <c r="O387" s="52"/>
    </row>
    <row r="388">
      <c r="M388" s="52"/>
      <c r="N388" s="52"/>
      <c r="O388" s="52"/>
    </row>
    <row r="389">
      <c r="M389" s="52"/>
      <c r="N389" s="52"/>
      <c r="O389" s="52"/>
    </row>
    <row r="390">
      <c r="M390" s="52"/>
      <c r="N390" s="52"/>
      <c r="O390" s="52"/>
    </row>
    <row r="391">
      <c r="M391" s="52"/>
      <c r="N391" s="52"/>
      <c r="O391" s="52"/>
    </row>
    <row r="392">
      <c r="M392" s="52"/>
      <c r="N392" s="52"/>
      <c r="O392" s="52"/>
    </row>
    <row r="393">
      <c r="M393" s="52"/>
      <c r="N393" s="52"/>
      <c r="O393" s="52"/>
    </row>
    <row r="394">
      <c r="M394" s="52"/>
      <c r="N394" s="52"/>
      <c r="O394" s="52"/>
    </row>
    <row r="395">
      <c r="M395" s="52"/>
      <c r="N395" s="52"/>
      <c r="O395" s="52"/>
    </row>
    <row r="396">
      <c r="M396" s="52"/>
      <c r="N396" s="52"/>
      <c r="O396" s="52"/>
    </row>
    <row r="397">
      <c r="M397" s="52"/>
      <c r="N397" s="52"/>
      <c r="O397" s="52"/>
    </row>
    <row r="398">
      <c r="M398" s="52"/>
      <c r="N398" s="52"/>
      <c r="O398" s="52"/>
    </row>
    <row r="399">
      <c r="M399" s="52"/>
      <c r="N399" s="52"/>
      <c r="O399" s="52"/>
    </row>
    <row r="400">
      <c r="M400" s="52"/>
      <c r="N400" s="52"/>
      <c r="O400" s="52"/>
    </row>
    <row r="401">
      <c r="M401" s="52"/>
      <c r="N401" s="52"/>
      <c r="O401" s="52"/>
    </row>
    <row r="402">
      <c r="M402" s="52"/>
      <c r="N402" s="52"/>
      <c r="O402" s="52"/>
    </row>
    <row r="403">
      <c r="M403" s="52"/>
      <c r="N403" s="52"/>
      <c r="O403" s="52"/>
    </row>
    <row r="404">
      <c r="M404" s="52"/>
      <c r="N404" s="52"/>
      <c r="O404" s="52"/>
    </row>
    <row r="405">
      <c r="M405" s="52"/>
      <c r="N405" s="52"/>
      <c r="O405" s="52"/>
    </row>
    <row r="406">
      <c r="M406" s="52"/>
      <c r="N406" s="52"/>
      <c r="O406" s="52"/>
    </row>
    <row r="407">
      <c r="M407" s="52"/>
      <c r="N407" s="52"/>
      <c r="O407" s="52"/>
    </row>
    <row r="408">
      <c r="M408" s="52"/>
      <c r="N408" s="52"/>
      <c r="O408" s="52"/>
    </row>
    <row r="409">
      <c r="M409" s="52"/>
      <c r="N409" s="52"/>
      <c r="O409" s="52"/>
    </row>
    <row r="410">
      <c r="M410" s="52"/>
      <c r="N410" s="52"/>
      <c r="O410" s="52"/>
    </row>
    <row r="411">
      <c r="M411" s="52"/>
      <c r="N411" s="52"/>
      <c r="O411" s="52"/>
    </row>
    <row r="412">
      <c r="M412" s="52"/>
      <c r="N412" s="52"/>
      <c r="O412" s="52"/>
    </row>
    <row r="413">
      <c r="M413" s="52"/>
      <c r="N413" s="52"/>
      <c r="O413" s="52"/>
    </row>
    <row r="414">
      <c r="M414" s="52"/>
      <c r="N414" s="52"/>
      <c r="O414" s="52"/>
    </row>
    <row r="415">
      <c r="M415" s="52"/>
      <c r="N415" s="52"/>
      <c r="O415" s="52"/>
    </row>
    <row r="416">
      <c r="M416" s="52"/>
      <c r="N416" s="52"/>
      <c r="O416" s="52"/>
    </row>
    <row r="417">
      <c r="M417" s="52"/>
      <c r="N417" s="52"/>
      <c r="O417" s="52"/>
    </row>
    <row r="418">
      <c r="M418" s="52"/>
      <c r="N418" s="52"/>
      <c r="O418" s="52"/>
    </row>
    <row r="419">
      <c r="M419" s="52"/>
      <c r="N419" s="52"/>
      <c r="O419" s="52"/>
    </row>
    <row r="420">
      <c r="M420" s="52"/>
      <c r="N420" s="52"/>
      <c r="O420" s="52"/>
    </row>
    <row r="421">
      <c r="M421" s="52"/>
      <c r="N421" s="52"/>
      <c r="O421" s="52"/>
    </row>
    <row r="422">
      <c r="M422" s="52"/>
      <c r="N422" s="52"/>
      <c r="O422" s="52"/>
    </row>
    <row r="423">
      <c r="M423" s="52"/>
      <c r="N423" s="52"/>
      <c r="O423" s="52"/>
    </row>
    <row r="424">
      <c r="M424" s="52"/>
      <c r="N424" s="52"/>
      <c r="O424" s="52"/>
    </row>
    <row r="425">
      <c r="M425" s="52"/>
      <c r="N425" s="52"/>
      <c r="O425" s="52"/>
    </row>
    <row r="426">
      <c r="M426" s="52"/>
      <c r="N426" s="52"/>
      <c r="O426" s="52"/>
    </row>
    <row r="427">
      <c r="M427" s="52"/>
      <c r="N427" s="52"/>
      <c r="O427" s="52"/>
    </row>
    <row r="428">
      <c r="M428" s="52"/>
      <c r="N428" s="52"/>
      <c r="O428" s="52"/>
    </row>
    <row r="429">
      <c r="M429" s="52"/>
      <c r="N429" s="52"/>
      <c r="O429" s="52"/>
    </row>
    <row r="430">
      <c r="M430" s="52"/>
      <c r="N430" s="52"/>
      <c r="O430" s="52"/>
    </row>
    <row r="431">
      <c r="M431" s="52"/>
      <c r="N431" s="52"/>
      <c r="O431" s="52"/>
    </row>
    <row r="432">
      <c r="M432" s="52"/>
      <c r="N432" s="52"/>
      <c r="O432" s="52"/>
    </row>
    <row r="433">
      <c r="M433" s="52"/>
      <c r="N433" s="52"/>
      <c r="O433" s="52"/>
    </row>
    <row r="434">
      <c r="M434" s="52"/>
      <c r="N434" s="52"/>
      <c r="O434" s="52"/>
    </row>
    <row r="435">
      <c r="M435" s="52"/>
      <c r="N435" s="52"/>
      <c r="O435" s="52"/>
    </row>
    <row r="436">
      <c r="M436" s="52"/>
      <c r="N436" s="52"/>
      <c r="O436" s="52"/>
    </row>
    <row r="437">
      <c r="M437" s="52"/>
      <c r="N437" s="52"/>
      <c r="O437" s="52"/>
    </row>
    <row r="438">
      <c r="M438" s="52"/>
      <c r="N438" s="52"/>
      <c r="O438" s="52"/>
    </row>
    <row r="439">
      <c r="M439" s="52"/>
      <c r="N439" s="52"/>
      <c r="O439" s="52"/>
    </row>
    <row r="440">
      <c r="M440" s="52"/>
      <c r="N440" s="52"/>
      <c r="O440" s="52"/>
    </row>
    <row r="441">
      <c r="M441" s="52"/>
      <c r="N441" s="52"/>
      <c r="O441" s="52"/>
    </row>
    <row r="442">
      <c r="M442" s="52"/>
      <c r="N442" s="52"/>
      <c r="O442" s="52"/>
    </row>
    <row r="443">
      <c r="M443" s="52"/>
      <c r="N443" s="52"/>
      <c r="O443" s="52"/>
    </row>
    <row r="444">
      <c r="M444" s="52"/>
      <c r="N444" s="52"/>
      <c r="O444" s="52"/>
    </row>
    <row r="445">
      <c r="M445" s="52"/>
      <c r="N445" s="52"/>
      <c r="O445" s="52"/>
    </row>
    <row r="446">
      <c r="M446" s="52"/>
      <c r="N446" s="52"/>
      <c r="O446" s="52"/>
    </row>
    <row r="447">
      <c r="M447" s="52"/>
      <c r="N447" s="52"/>
      <c r="O447" s="52"/>
    </row>
    <row r="448">
      <c r="M448" s="52"/>
      <c r="N448" s="52"/>
      <c r="O448" s="52"/>
    </row>
    <row r="449">
      <c r="M449" s="52"/>
      <c r="N449" s="52"/>
      <c r="O449" s="52"/>
    </row>
    <row r="450">
      <c r="M450" s="52"/>
      <c r="N450" s="52"/>
      <c r="O450" s="52"/>
    </row>
    <row r="451">
      <c r="M451" s="52"/>
      <c r="N451" s="52"/>
      <c r="O451" s="52"/>
    </row>
    <row r="452">
      <c r="M452" s="52"/>
      <c r="N452" s="52"/>
      <c r="O452" s="52"/>
    </row>
    <row r="453">
      <c r="M453" s="52"/>
      <c r="N453" s="52"/>
      <c r="O453" s="52"/>
    </row>
    <row r="454">
      <c r="M454" s="52"/>
      <c r="N454" s="52"/>
      <c r="O454" s="52"/>
    </row>
    <row r="455">
      <c r="M455" s="52"/>
      <c r="N455" s="52"/>
      <c r="O455" s="52"/>
    </row>
    <row r="456">
      <c r="M456" s="52"/>
      <c r="N456" s="52"/>
      <c r="O456" s="52"/>
    </row>
    <row r="457">
      <c r="M457" s="52"/>
      <c r="N457" s="52"/>
      <c r="O457" s="52"/>
    </row>
    <row r="458">
      <c r="M458" s="52"/>
      <c r="N458" s="52"/>
      <c r="O458" s="52"/>
    </row>
    <row r="459">
      <c r="M459" s="52"/>
      <c r="N459" s="52"/>
      <c r="O459" s="52"/>
    </row>
    <row r="460">
      <c r="M460" s="52"/>
      <c r="N460" s="52"/>
      <c r="O460" s="52"/>
    </row>
    <row r="461">
      <c r="M461" s="52"/>
      <c r="N461" s="52"/>
      <c r="O461" s="52"/>
    </row>
    <row r="462">
      <c r="M462" s="52"/>
      <c r="N462" s="52"/>
      <c r="O462" s="52"/>
    </row>
    <row r="463">
      <c r="M463" s="52"/>
      <c r="N463" s="52"/>
      <c r="O463" s="52"/>
    </row>
    <row r="464">
      <c r="M464" s="52"/>
      <c r="N464" s="52"/>
      <c r="O464" s="52"/>
    </row>
    <row r="465">
      <c r="M465" s="52"/>
      <c r="N465" s="52"/>
      <c r="O465" s="52"/>
    </row>
    <row r="466">
      <c r="M466" s="52"/>
      <c r="N466" s="52"/>
      <c r="O466" s="52"/>
    </row>
    <row r="467">
      <c r="M467" s="52"/>
      <c r="N467" s="52"/>
      <c r="O467" s="52"/>
    </row>
    <row r="468">
      <c r="M468" s="52"/>
      <c r="N468" s="52"/>
      <c r="O468" s="52"/>
    </row>
    <row r="469">
      <c r="M469" s="52"/>
      <c r="N469" s="52"/>
      <c r="O469" s="52"/>
    </row>
    <row r="470">
      <c r="M470" s="52"/>
      <c r="N470" s="52"/>
      <c r="O470" s="52"/>
    </row>
    <row r="471">
      <c r="M471" s="52"/>
      <c r="N471" s="52"/>
      <c r="O471" s="52"/>
    </row>
    <row r="472">
      <c r="M472" s="52"/>
      <c r="N472" s="52"/>
      <c r="O472" s="52"/>
    </row>
    <row r="473">
      <c r="M473" s="52"/>
      <c r="N473" s="52"/>
      <c r="O473" s="52"/>
    </row>
    <row r="474">
      <c r="M474" s="52"/>
      <c r="N474" s="52"/>
      <c r="O474" s="52"/>
    </row>
    <row r="475">
      <c r="M475" s="52"/>
      <c r="N475" s="52"/>
      <c r="O475" s="52"/>
    </row>
    <row r="476">
      <c r="M476" s="52"/>
      <c r="N476" s="52"/>
      <c r="O476" s="52"/>
    </row>
    <row r="477">
      <c r="M477" s="52"/>
      <c r="N477" s="52"/>
      <c r="O477" s="52"/>
    </row>
    <row r="478">
      <c r="M478" s="52"/>
      <c r="N478" s="52"/>
      <c r="O478" s="52"/>
    </row>
    <row r="479">
      <c r="M479" s="52"/>
      <c r="N479" s="52"/>
      <c r="O479" s="52"/>
    </row>
    <row r="480">
      <c r="M480" s="52"/>
      <c r="N480" s="52"/>
      <c r="O480" s="52"/>
    </row>
    <row r="481">
      <c r="M481" s="52"/>
      <c r="N481" s="52"/>
      <c r="O481" s="52"/>
    </row>
    <row r="482">
      <c r="M482" s="52"/>
      <c r="N482" s="52"/>
      <c r="O482" s="52"/>
    </row>
    <row r="483">
      <c r="M483" s="52"/>
      <c r="N483" s="52"/>
      <c r="O483" s="52"/>
    </row>
    <row r="484">
      <c r="M484" s="52"/>
      <c r="N484" s="52"/>
      <c r="O484" s="52"/>
    </row>
    <row r="485">
      <c r="M485" s="52"/>
      <c r="N485" s="52"/>
      <c r="O485" s="52"/>
    </row>
    <row r="486">
      <c r="M486" s="52"/>
      <c r="N486" s="52"/>
      <c r="O486" s="52"/>
    </row>
    <row r="487">
      <c r="M487" s="52"/>
      <c r="N487" s="52"/>
      <c r="O487" s="52"/>
    </row>
    <row r="488">
      <c r="M488" s="52"/>
      <c r="N488" s="52"/>
      <c r="O488" s="52"/>
    </row>
    <row r="489">
      <c r="M489" s="52"/>
      <c r="N489" s="52"/>
      <c r="O489" s="52"/>
    </row>
    <row r="490">
      <c r="M490" s="52"/>
      <c r="N490" s="52"/>
      <c r="O490" s="52"/>
    </row>
    <row r="491">
      <c r="M491" s="52"/>
      <c r="N491" s="52"/>
      <c r="O491" s="52"/>
    </row>
    <row r="492">
      <c r="M492" s="52"/>
      <c r="N492" s="52"/>
      <c r="O492" s="52"/>
    </row>
    <row r="493">
      <c r="M493" s="52"/>
      <c r="N493" s="52"/>
      <c r="O493" s="52"/>
    </row>
    <row r="494">
      <c r="M494" s="52"/>
      <c r="N494" s="52"/>
      <c r="O494" s="52"/>
    </row>
    <row r="495">
      <c r="M495" s="52"/>
      <c r="N495" s="52"/>
      <c r="O495" s="52"/>
    </row>
    <row r="496">
      <c r="M496" s="52"/>
      <c r="N496" s="52"/>
      <c r="O496" s="52"/>
    </row>
    <row r="497">
      <c r="M497" s="52"/>
      <c r="N497" s="52"/>
      <c r="O497" s="52"/>
    </row>
    <row r="498">
      <c r="M498" s="52"/>
      <c r="N498" s="52"/>
      <c r="O498" s="52"/>
    </row>
    <row r="499">
      <c r="M499" s="52"/>
      <c r="N499" s="52"/>
      <c r="O499" s="52"/>
    </row>
    <row r="500">
      <c r="M500" s="52"/>
      <c r="N500" s="52"/>
      <c r="O500" s="52"/>
    </row>
    <row r="501">
      <c r="M501" s="52"/>
      <c r="N501" s="52"/>
      <c r="O501" s="52"/>
    </row>
    <row r="502">
      <c r="M502" s="52"/>
      <c r="N502" s="52"/>
      <c r="O502" s="52"/>
    </row>
    <row r="503">
      <c r="M503" s="52"/>
      <c r="N503" s="52"/>
      <c r="O503" s="52"/>
    </row>
    <row r="504">
      <c r="M504" s="52"/>
      <c r="N504" s="52"/>
      <c r="O504" s="52"/>
    </row>
    <row r="505">
      <c r="M505" s="52"/>
      <c r="N505" s="52"/>
      <c r="O505" s="52"/>
    </row>
    <row r="506">
      <c r="M506" s="52"/>
      <c r="N506" s="52"/>
      <c r="O506" s="52"/>
    </row>
    <row r="507">
      <c r="M507" s="52"/>
      <c r="N507" s="52"/>
      <c r="O507" s="52"/>
    </row>
    <row r="508">
      <c r="M508" s="52"/>
      <c r="N508" s="52"/>
      <c r="O508" s="52"/>
    </row>
    <row r="509">
      <c r="M509" s="52"/>
      <c r="N509" s="52"/>
      <c r="O509" s="52"/>
    </row>
    <row r="510">
      <c r="M510" s="52"/>
      <c r="N510" s="52"/>
      <c r="O510" s="52"/>
    </row>
    <row r="511">
      <c r="M511" s="52"/>
      <c r="N511" s="52"/>
      <c r="O511" s="52"/>
    </row>
    <row r="512">
      <c r="M512" s="52"/>
      <c r="N512" s="52"/>
      <c r="O512" s="52"/>
    </row>
    <row r="513">
      <c r="M513" s="52"/>
      <c r="N513" s="52"/>
      <c r="O513" s="52"/>
    </row>
    <row r="514">
      <c r="M514" s="52"/>
      <c r="N514" s="52"/>
      <c r="O514" s="52"/>
    </row>
    <row r="515">
      <c r="M515" s="52"/>
      <c r="N515" s="52"/>
      <c r="O515" s="52"/>
    </row>
    <row r="516">
      <c r="M516" s="52"/>
      <c r="N516" s="52"/>
      <c r="O516" s="52"/>
    </row>
    <row r="517">
      <c r="M517" s="52"/>
      <c r="N517" s="52"/>
      <c r="O517" s="52"/>
    </row>
    <row r="518">
      <c r="M518" s="52"/>
      <c r="N518" s="52"/>
      <c r="O518" s="52"/>
    </row>
    <row r="519">
      <c r="M519" s="52"/>
      <c r="N519" s="52"/>
      <c r="O519" s="52"/>
    </row>
    <row r="520">
      <c r="M520" s="52"/>
      <c r="N520" s="52"/>
      <c r="O520" s="52"/>
    </row>
    <row r="521">
      <c r="M521" s="52"/>
      <c r="N521" s="52"/>
      <c r="O521" s="52"/>
    </row>
    <row r="522">
      <c r="M522" s="52"/>
      <c r="N522" s="52"/>
      <c r="O522" s="52"/>
    </row>
    <row r="523">
      <c r="M523" s="52"/>
      <c r="N523" s="52"/>
      <c r="O523" s="52"/>
    </row>
    <row r="524">
      <c r="M524" s="52"/>
      <c r="N524" s="52"/>
      <c r="O524" s="52"/>
    </row>
    <row r="525">
      <c r="M525" s="52"/>
      <c r="N525" s="52"/>
      <c r="O525" s="52"/>
    </row>
    <row r="526">
      <c r="M526" s="52"/>
      <c r="N526" s="52"/>
      <c r="O526" s="52"/>
    </row>
    <row r="527">
      <c r="M527" s="52"/>
      <c r="N527" s="52"/>
      <c r="O527" s="52"/>
    </row>
    <row r="528">
      <c r="M528" s="52"/>
      <c r="N528" s="52"/>
      <c r="O528" s="52"/>
    </row>
    <row r="529">
      <c r="M529" s="52"/>
      <c r="N529" s="52"/>
      <c r="O529" s="52"/>
    </row>
    <row r="530">
      <c r="M530" s="52"/>
      <c r="N530" s="52"/>
      <c r="O530" s="52"/>
    </row>
    <row r="531">
      <c r="M531" s="52"/>
      <c r="N531" s="52"/>
      <c r="O531" s="52"/>
    </row>
    <row r="532">
      <c r="M532" s="52"/>
      <c r="N532" s="52"/>
      <c r="O532" s="52"/>
    </row>
    <row r="533">
      <c r="M533" s="52"/>
      <c r="N533" s="52"/>
      <c r="O533" s="52"/>
    </row>
    <row r="534">
      <c r="M534" s="52"/>
      <c r="N534" s="52"/>
      <c r="O534" s="52"/>
    </row>
    <row r="535">
      <c r="M535" s="52"/>
      <c r="N535" s="52"/>
      <c r="O535" s="52"/>
    </row>
    <row r="536">
      <c r="M536" s="52"/>
      <c r="N536" s="52"/>
      <c r="O536" s="52"/>
    </row>
    <row r="537">
      <c r="M537" s="52"/>
      <c r="N537" s="52"/>
      <c r="O537" s="52"/>
    </row>
    <row r="538">
      <c r="M538" s="52"/>
      <c r="N538" s="52"/>
      <c r="O538" s="52"/>
    </row>
    <row r="539">
      <c r="M539" s="52"/>
      <c r="N539" s="52"/>
      <c r="O539" s="52"/>
    </row>
    <row r="540">
      <c r="M540" s="52"/>
      <c r="N540" s="52"/>
      <c r="O540" s="52"/>
    </row>
    <row r="541">
      <c r="M541" s="52"/>
      <c r="N541" s="52"/>
      <c r="O541" s="52"/>
    </row>
    <row r="542">
      <c r="M542" s="52"/>
      <c r="N542" s="52"/>
      <c r="O542" s="52"/>
    </row>
    <row r="543">
      <c r="M543" s="52"/>
      <c r="N543" s="52"/>
      <c r="O543" s="52"/>
    </row>
    <row r="544">
      <c r="M544" s="52"/>
      <c r="N544" s="52"/>
      <c r="O544" s="52"/>
    </row>
    <row r="545">
      <c r="M545" s="52"/>
      <c r="N545" s="52"/>
      <c r="O545" s="52"/>
    </row>
    <row r="546">
      <c r="M546" s="52"/>
      <c r="N546" s="52"/>
      <c r="O546" s="52"/>
    </row>
    <row r="547">
      <c r="M547" s="52"/>
      <c r="N547" s="52"/>
      <c r="O547" s="52"/>
    </row>
    <row r="548">
      <c r="M548" s="52"/>
      <c r="N548" s="52"/>
      <c r="O548" s="52"/>
    </row>
    <row r="549">
      <c r="M549" s="52"/>
      <c r="N549" s="52"/>
      <c r="O549" s="52"/>
    </row>
    <row r="550">
      <c r="M550" s="52"/>
      <c r="N550" s="52"/>
      <c r="O550" s="52"/>
    </row>
    <row r="551">
      <c r="M551" s="52"/>
      <c r="N551" s="52"/>
      <c r="O551" s="52"/>
    </row>
    <row r="552">
      <c r="M552" s="52"/>
      <c r="N552" s="52"/>
      <c r="O552" s="52"/>
    </row>
    <row r="553">
      <c r="M553" s="52"/>
      <c r="N553" s="52"/>
      <c r="O553" s="52"/>
    </row>
    <row r="554">
      <c r="M554" s="52"/>
      <c r="N554" s="52"/>
      <c r="O554" s="52"/>
    </row>
    <row r="555">
      <c r="M555" s="52"/>
      <c r="N555" s="52"/>
      <c r="O555" s="52"/>
    </row>
    <row r="556">
      <c r="M556" s="52"/>
      <c r="N556" s="52"/>
      <c r="O556" s="52"/>
    </row>
    <row r="557">
      <c r="M557" s="52"/>
      <c r="N557" s="52"/>
      <c r="O557" s="52"/>
    </row>
    <row r="558">
      <c r="M558" s="52"/>
      <c r="N558" s="52"/>
      <c r="O558" s="52"/>
    </row>
    <row r="559">
      <c r="M559" s="52"/>
      <c r="N559" s="52"/>
      <c r="O559" s="52"/>
    </row>
    <row r="560">
      <c r="M560" s="52"/>
      <c r="N560" s="52"/>
      <c r="O560" s="52"/>
    </row>
    <row r="561">
      <c r="M561" s="52"/>
      <c r="N561" s="52"/>
      <c r="O561" s="52"/>
    </row>
    <row r="562">
      <c r="M562" s="52"/>
      <c r="N562" s="52"/>
      <c r="O562" s="52"/>
    </row>
    <row r="563">
      <c r="M563" s="52"/>
      <c r="N563" s="52"/>
      <c r="O563" s="52"/>
    </row>
    <row r="564">
      <c r="M564" s="52"/>
      <c r="N564" s="52"/>
      <c r="O564" s="52"/>
    </row>
    <row r="565">
      <c r="M565" s="52"/>
      <c r="N565" s="52"/>
      <c r="O565" s="52"/>
    </row>
    <row r="566">
      <c r="M566" s="52"/>
      <c r="N566" s="52"/>
      <c r="O566" s="52"/>
    </row>
    <row r="567">
      <c r="M567" s="52"/>
      <c r="N567" s="52"/>
      <c r="O567" s="52"/>
    </row>
    <row r="568">
      <c r="M568" s="52"/>
      <c r="N568" s="52"/>
      <c r="O568" s="52"/>
    </row>
    <row r="569">
      <c r="M569" s="52"/>
      <c r="N569" s="52"/>
      <c r="O569" s="52"/>
    </row>
    <row r="570">
      <c r="M570" s="52"/>
      <c r="N570" s="52"/>
      <c r="O570" s="52"/>
    </row>
    <row r="571">
      <c r="M571" s="52"/>
      <c r="N571" s="52"/>
      <c r="O571" s="52"/>
    </row>
    <row r="572">
      <c r="M572" s="52"/>
      <c r="N572" s="52"/>
      <c r="O572" s="52"/>
    </row>
    <row r="573">
      <c r="M573" s="52"/>
      <c r="N573" s="52"/>
      <c r="O573" s="52"/>
    </row>
    <row r="574">
      <c r="M574" s="52"/>
      <c r="N574" s="52"/>
      <c r="O574" s="52"/>
    </row>
    <row r="575">
      <c r="M575" s="52"/>
      <c r="N575" s="52"/>
      <c r="O575" s="52"/>
    </row>
    <row r="576">
      <c r="M576" s="52"/>
      <c r="N576" s="52"/>
      <c r="O576" s="52"/>
    </row>
    <row r="577">
      <c r="M577" s="52"/>
      <c r="N577" s="52"/>
      <c r="O577" s="52"/>
    </row>
    <row r="578">
      <c r="M578" s="52"/>
      <c r="N578" s="52"/>
      <c r="O578" s="52"/>
    </row>
    <row r="579">
      <c r="M579" s="52"/>
      <c r="N579" s="52"/>
      <c r="O579" s="52"/>
    </row>
    <row r="580">
      <c r="M580" s="52"/>
      <c r="N580" s="52"/>
      <c r="O580" s="52"/>
    </row>
    <row r="581">
      <c r="M581" s="52"/>
      <c r="N581" s="52"/>
      <c r="O581" s="52"/>
    </row>
    <row r="582">
      <c r="M582" s="52"/>
      <c r="N582" s="52"/>
      <c r="O582" s="52"/>
    </row>
    <row r="583">
      <c r="M583" s="52"/>
      <c r="N583" s="52"/>
      <c r="O583" s="52"/>
    </row>
    <row r="584">
      <c r="M584" s="52"/>
      <c r="N584" s="52"/>
      <c r="O584" s="52"/>
    </row>
    <row r="585">
      <c r="M585" s="52"/>
      <c r="N585" s="52"/>
      <c r="O585" s="52"/>
    </row>
    <row r="586">
      <c r="M586" s="52"/>
      <c r="N586" s="52"/>
      <c r="O586" s="52"/>
    </row>
    <row r="587">
      <c r="M587" s="52"/>
      <c r="N587" s="52"/>
      <c r="O587" s="52"/>
    </row>
    <row r="588">
      <c r="M588" s="52"/>
      <c r="N588" s="52"/>
      <c r="O588" s="52"/>
    </row>
    <row r="589">
      <c r="M589" s="52"/>
      <c r="N589" s="52"/>
      <c r="O589" s="52"/>
    </row>
    <row r="590">
      <c r="M590" s="52"/>
      <c r="N590" s="52"/>
      <c r="O590" s="52"/>
    </row>
    <row r="591">
      <c r="M591" s="52"/>
      <c r="N591" s="52"/>
      <c r="O591" s="52"/>
    </row>
    <row r="592">
      <c r="M592" s="52"/>
      <c r="N592" s="52"/>
      <c r="O592" s="52"/>
    </row>
    <row r="593">
      <c r="M593" s="52"/>
      <c r="N593" s="52"/>
      <c r="O593" s="52"/>
    </row>
    <row r="594">
      <c r="M594" s="52"/>
      <c r="N594" s="52"/>
      <c r="O594" s="52"/>
    </row>
    <row r="595">
      <c r="M595" s="52"/>
      <c r="N595" s="52"/>
      <c r="O595" s="52"/>
    </row>
    <row r="596">
      <c r="M596" s="52"/>
      <c r="N596" s="52"/>
      <c r="O596" s="52"/>
    </row>
    <row r="597">
      <c r="M597" s="52"/>
      <c r="N597" s="52"/>
      <c r="O597" s="52"/>
    </row>
    <row r="598">
      <c r="M598" s="52"/>
      <c r="N598" s="52"/>
      <c r="O598" s="52"/>
    </row>
    <row r="599">
      <c r="M599" s="52"/>
      <c r="N599" s="52"/>
      <c r="O599" s="52"/>
    </row>
    <row r="600">
      <c r="M600" s="52"/>
      <c r="N600" s="52"/>
      <c r="O600" s="52"/>
    </row>
    <row r="601">
      <c r="M601" s="52"/>
      <c r="N601" s="52"/>
      <c r="O601" s="52"/>
    </row>
    <row r="602">
      <c r="M602" s="52"/>
      <c r="N602" s="52"/>
      <c r="O602" s="52"/>
    </row>
    <row r="603">
      <c r="M603" s="52"/>
      <c r="N603" s="52"/>
      <c r="O603" s="52"/>
    </row>
    <row r="604">
      <c r="M604" s="52"/>
      <c r="N604" s="52"/>
      <c r="O604" s="52"/>
    </row>
    <row r="605">
      <c r="M605" s="52"/>
      <c r="N605" s="52"/>
      <c r="O605" s="52"/>
    </row>
    <row r="606">
      <c r="M606" s="52"/>
      <c r="N606" s="52"/>
      <c r="O606" s="52"/>
    </row>
    <row r="607">
      <c r="M607" s="52"/>
      <c r="N607" s="52"/>
      <c r="O607" s="52"/>
    </row>
    <row r="608">
      <c r="M608" s="52"/>
      <c r="N608" s="52"/>
      <c r="O608" s="52"/>
    </row>
    <row r="609">
      <c r="M609" s="52"/>
      <c r="N609" s="52"/>
      <c r="O609" s="52"/>
    </row>
    <row r="610">
      <c r="M610" s="52"/>
      <c r="N610" s="52"/>
      <c r="O610" s="52"/>
    </row>
    <row r="611">
      <c r="M611" s="52"/>
      <c r="N611" s="52"/>
      <c r="O611" s="52"/>
    </row>
    <row r="612">
      <c r="M612" s="52"/>
      <c r="N612" s="52"/>
      <c r="O612" s="52"/>
    </row>
    <row r="613">
      <c r="M613" s="52"/>
      <c r="N613" s="52"/>
      <c r="O613" s="52"/>
    </row>
    <row r="614">
      <c r="M614" s="52"/>
      <c r="N614" s="52"/>
      <c r="O614" s="52"/>
    </row>
    <row r="615">
      <c r="M615" s="52"/>
      <c r="N615" s="52"/>
      <c r="O615" s="52"/>
    </row>
    <row r="616">
      <c r="M616" s="52"/>
      <c r="N616" s="52"/>
      <c r="O616" s="52"/>
    </row>
    <row r="617">
      <c r="M617" s="52"/>
      <c r="N617" s="52"/>
      <c r="O617" s="52"/>
    </row>
    <row r="618">
      <c r="M618" s="52"/>
      <c r="N618" s="52"/>
      <c r="O618" s="52"/>
    </row>
    <row r="619">
      <c r="M619" s="52"/>
      <c r="N619" s="52"/>
      <c r="O619" s="52"/>
    </row>
    <row r="620">
      <c r="M620" s="52"/>
      <c r="N620" s="52"/>
      <c r="O620" s="52"/>
    </row>
    <row r="621">
      <c r="M621" s="52"/>
      <c r="N621" s="52"/>
      <c r="O621" s="52"/>
    </row>
    <row r="622">
      <c r="M622" s="52"/>
      <c r="N622" s="52"/>
      <c r="O622" s="52"/>
    </row>
    <row r="623">
      <c r="M623" s="52"/>
      <c r="N623" s="52"/>
      <c r="O623" s="52"/>
    </row>
    <row r="624">
      <c r="M624" s="52"/>
      <c r="N624" s="52"/>
      <c r="O624" s="52"/>
    </row>
    <row r="625">
      <c r="M625" s="52"/>
      <c r="N625" s="52"/>
      <c r="O625" s="52"/>
    </row>
    <row r="626">
      <c r="M626" s="52"/>
      <c r="N626" s="52"/>
      <c r="O626" s="52"/>
    </row>
    <row r="627">
      <c r="M627" s="52"/>
      <c r="N627" s="52"/>
      <c r="O627" s="52"/>
    </row>
    <row r="628">
      <c r="M628" s="52"/>
      <c r="N628" s="52"/>
      <c r="O628" s="52"/>
    </row>
    <row r="629">
      <c r="M629" s="52"/>
      <c r="N629" s="52"/>
      <c r="O629" s="52"/>
    </row>
    <row r="630">
      <c r="M630" s="52"/>
      <c r="N630" s="52"/>
      <c r="O630" s="52"/>
    </row>
    <row r="631">
      <c r="M631" s="52"/>
      <c r="N631" s="52"/>
      <c r="O631" s="52"/>
    </row>
    <row r="632">
      <c r="M632" s="52"/>
      <c r="N632" s="52"/>
      <c r="O632" s="52"/>
    </row>
    <row r="633">
      <c r="M633" s="52"/>
      <c r="N633" s="52"/>
      <c r="O633" s="52"/>
    </row>
    <row r="634">
      <c r="M634" s="52"/>
      <c r="N634" s="52"/>
      <c r="O634" s="52"/>
    </row>
    <row r="635">
      <c r="M635" s="52"/>
      <c r="N635" s="52"/>
      <c r="O635" s="52"/>
    </row>
    <row r="636">
      <c r="M636" s="52"/>
      <c r="N636" s="52"/>
      <c r="O636" s="52"/>
    </row>
    <row r="637">
      <c r="M637" s="52"/>
      <c r="N637" s="52"/>
      <c r="O637" s="52"/>
    </row>
    <row r="638">
      <c r="M638" s="52"/>
      <c r="N638" s="52"/>
      <c r="O638" s="52"/>
    </row>
    <row r="639">
      <c r="M639" s="52"/>
      <c r="N639" s="52"/>
      <c r="O639" s="52"/>
    </row>
    <row r="640">
      <c r="M640" s="52"/>
      <c r="N640" s="52"/>
      <c r="O640" s="52"/>
    </row>
    <row r="641">
      <c r="M641" s="52"/>
      <c r="N641" s="52"/>
      <c r="O641" s="52"/>
    </row>
    <row r="642">
      <c r="M642" s="52"/>
      <c r="N642" s="52"/>
      <c r="O642" s="52"/>
    </row>
    <row r="643">
      <c r="M643" s="52"/>
      <c r="N643" s="52"/>
      <c r="O643" s="52"/>
    </row>
    <row r="644">
      <c r="M644" s="52"/>
      <c r="N644" s="52"/>
      <c r="O644" s="52"/>
    </row>
    <row r="645">
      <c r="M645" s="52"/>
      <c r="N645" s="52"/>
      <c r="O645" s="52"/>
    </row>
    <row r="646">
      <c r="M646" s="52"/>
      <c r="N646" s="52"/>
      <c r="O646" s="52"/>
    </row>
    <row r="647">
      <c r="M647" s="52"/>
      <c r="N647" s="52"/>
      <c r="O647" s="52"/>
    </row>
    <row r="648">
      <c r="M648" s="52"/>
      <c r="N648" s="52"/>
      <c r="O648" s="52"/>
    </row>
    <row r="649">
      <c r="M649" s="52"/>
      <c r="N649" s="52"/>
      <c r="O649" s="52"/>
    </row>
    <row r="650">
      <c r="M650" s="52"/>
      <c r="N650" s="52"/>
      <c r="O650" s="52"/>
    </row>
    <row r="651">
      <c r="M651" s="52"/>
      <c r="N651" s="52"/>
      <c r="O651" s="52"/>
    </row>
    <row r="652">
      <c r="M652" s="52"/>
      <c r="N652" s="52"/>
      <c r="O652" s="52"/>
    </row>
    <row r="653">
      <c r="M653" s="52"/>
      <c r="N653" s="52"/>
      <c r="O653" s="52"/>
    </row>
    <row r="654">
      <c r="M654" s="52"/>
      <c r="N654" s="52"/>
      <c r="O654" s="52"/>
    </row>
    <row r="655">
      <c r="M655" s="52"/>
      <c r="N655" s="52"/>
      <c r="O655" s="52"/>
    </row>
    <row r="656">
      <c r="M656" s="52"/>
      <c r="N656" s="52"/>
      <c r="O656" s="52"/>
    </row>
    <row r="657">
      <c r="M657" s="52"/>
      <c r="N657" s="52"/>
      <c r="O657" s="52"/>
    </row>
    <row r="658">
      <c r="M658" s="52"/>
      <c r="N658" s="52"/>
      <c r="O658" s="52"/>
    </row>
    <row r="659">
      <c r="M659" s="52"/>
      <c r="N659" s="52"/>
      <c r="O659" s="52"/>
    </row>
    <row r="660">
      <c r="M660" s="52"/>
      <c r="N660" s="52"/>
      <c r="O660" s="52"/>
    </row>
    <row r="661">
      <c r="M661" s="52"/>
      <c r="N661" s="52"/>
      <c r="O661" s="52"/>
    </row>
    <row r="662">
      <c r="M662" s="52"/>
      <c r="N662" s="52"/>
      <c r="O662" s="52"/>
    </row>
    <row r="663">
      <c r="M663" s="52"/>
      <c r="N663" s="52"/>
      <c r="O663" s="52"/>
    </row>
    <row r="664">
      <c r="M664" s="52"/>
      <c r="N664" s="52"/>
      <c r="O664" s="52"/>
    </row>
    <row r="665">
      <c r="M665" s="52"/>
      <c r="N665" s="52"/>
      <c r="O665" s="52"/>
    </row>
    <row r="666">
      <c r="M666" s="52"/>
      <c r="N666" s="52"/>
      <c r="O666" s="52"/>
    </row>
    <row r="667">
      <c r="M667" s="52"/>
      <c r="N667" s="52"/>
      <c r="O667" s="52"/>
    </row>
    <row r="668">
      <c r="M668" s="52"/>
      <c r="N668" s="52"/>
      <c r="O668" s="52"/>
    </row>
    <row r="669">
      <c r="M669" s="52"/>
      <c r="N669" s="52"/>
      <c r="O669" s="52"/>
    </row>
    <row r="670">
      <c r="M670" s="52"/>
      <c r="N670" s="52"/>
      <c r="O670" s="52"/>
    </row>
    <row r="671">
      <c r="M671" s="52"/>
      <c r="N671" s="52"/>
      <c r="O671" s="52"/>
    </row>
    <row r="672">
      <c r="M672" s="52"/>
      <c r="N672" s="52"/>
      <c r="O672" s="52"/>
    </row>
    <row r="673">
      <c r="M673" s="52"/>
      <c r="N673" s="52"/>
      <c r="O673" s="52"/>
    </row>
    <row r="674">
      <c r="M674" s="52"/>
      <c r="N674" s="52"/>
      <c r="O674" s="52"/>
    </row>
    <row r="675">
      <c r="M675" s="52"/>
      <c r="N675" s="52"/>
      <c r="O675" s="52"/>
    </row>
    <row r="676">
      <c r="M676" s="52"/>
      <c r="N676" s="52"/>
      <c r="O676" s="52"/>
    </row>
    <row r="677">
      <c r="M677" s="52"/>
      <c r="N677" s="52"/>
      <c r="O677" s="52"/>
    </row>
    <row r="678">
      <c r="M678" s="52"/>
      <c r="N678" s="52"/>
      <c r="O678" s="52"/>
    </row>
    <row r="679">
      <c r="M679" s="52"/>
      <c r="N679" s="52"/>
      <c r="O679" s="52"/>
    </row>
    <row r="680">
      <c r="M680" s="52"/>
      <c r="N680" s="52"/>
      <c r="O680" s="52"/>
    </row>
    <row r="681">
      <c r="M681" s="52"/>
      <c r="N681" s="52"/>
      <c r="O681" s="52"/>
    </row>
    <row r="682">
      <c r="M682" s="52"/>
      <c r="N682" s="52"/>
      <c r="O682" s="52"/>
    </row>
    <row r="683">
      <c r="M683" s="52"/>
      <c r="N683" s="52"/>
      <c r="O683" s="52"/>
    </row>
    <row r="684">
      <c r="M684" s="52"/>
      <c r="N684" s="52"/>
      <c r="O684" s="52"/>
    </row>
    <row r="685">
      <c r="M685" s="52"/>
      <c r="N685" s="52"/>
      <c r="O685" s="52"/>
    </row>
    <row r="686">
      <c r="M686" s="52"/>
      <c r="N686" s="52"/>
      <c r="O686" s="52"/>
    </row>
    <row r="687">
      <c r="M687" s="52"/>
      <c r="N687" s="52"/>
      <c r="O687" s="52"/>
    </row>
    <row r="688">
      <c r="M688" s="52"/>
      <c r="N688" s="52"/>
      <c r="O688" s="52"/>
    </row>
    <row r="689">
      <c r="M689" s="52"/>
      <c r="N689" s="52"/>
      <c r="O689" s="52"/>
    </row>
    <row r="690">
      <c r="M690" s="52"/>
      <c r="N690" s="52"/>
      <c r="O690" s="52"/>
    </row>
    <row r="691">
      <c r="M691" s="52"/>
      <c r="N691" s="52"/>
      <c r="O691" s="52"/>
    </row>
    <row r="692">
      <c r="M692" s="52"/>
      <c r="N692" s="52"/>
      <c r="O692" s="52"/>
    </row>
    <row r="693">
      <c r="M693" s="52"/>
      <c r="N693" s="52"/>
      <c r="O693" s="52"/>
    </row>
    <row r="694">
      <c r="M694" s="52"/>
      <c r="N694" s="52"/>
      <c r="O694" s="52"/>
    </row>
    <row r="695">
      <c r="M695" s="52"/>
      <c r="N695" s="52"/>
      <c r="O695" s="52"/>
    </row>
    <row r="696">
      <c r="M696" s="52"/>
      <c r="N696" s="52"/>
      <c r="O696" s="52"/>
    </row>
    <row r="697">
      <c r="M697" s="52"/>
      <c r="N697" s="52"/>
      <c r="O697" s="52"/>
    </row>
    <row r="698">
      <c r="M698" s="52"/>
      <c r="N698" s="52"/>
      <c r="O698" s="52"/>
    </row>
    <row r="699">
      <c r="M699" s="52"/>
      <c r="N699" s="52"/>
      <c r="O699" s="52"/>
    </row>
    <row r="700">
      <c r="M700" s="52"/>
      <c r="N700" s="52"/>
      <c r="O700" s="52"/>
    </row>
    <row r="701">
      <c r="M701" s="52"/>
      <c r="N701" s="52"/>
      <c r="O701" s="52"/>
    </row>
    <row r="702">
      <c r="M702" s="52"/>
      <c r="N702" s="52"/>
      <c r="O702" s="52"/>
    </row>
    <row r="703">
      <c r="M703" s="52"/>
      <c r="N703" s="52"/>
      <c r="O703" s="52"/>
    </row>
    <row r="704">
      <c r="M704" s="52"/>
      <c r="N704" s="52"/>
      <c r="O704" s="52"/>
    </row>
    <row r="705">
      <c r="M705" s="52"/>
      <c r="N705" s="52"/>
      <c r="O705" s="52"/>
    </row>
    <row r="706">
      <c r="M706" s="52"/>
      <c r="N706" s="52"/>
      <c r="O706" s="52"/>
    </row>
    <row r="707">
      <c r="M707" s="52"/>
      <c r="N707" s="52"/>
      <c r="O707" s="52"/>
    </row>
    <row r="708">
      <c r="M708" s="52"/>
      <c r="N708" s="52"/>
      <c r="O708" s="52"/>
    </row>
    <row r="709">
      <c r="M709" s="52"/>
      <c r="N709" s="52"/>
      <c r="O709" s="52"/>
    </row>
    <row r="710">
      <c r="M710" s="52"/>
      <c r="N710" s="52"/>
      <c r="O710" s="52"/>
    </row>
    <row r="711">
      <c r="M711" s="52"/>
      <c r="N711" s="52"/>
      <c r="O711" s="52"/>
    </row>
    <row r="712">
      <c r="M712" s="52"/>
      <c r="N712" s="52"/>
      <c r="O712" s="52"/>
    </row>
    <row r="713">
      <c r="M713" s="52"/>
      <c r="N713" s="52"/>
      <c r="O713" s="52"/>
    </row>
    <row r="714">
      <c r="M714" s="52"/>
      <c r="N714" s="52"/>
      <c r="O714" s="52"/>
    </row>
    <row r="715">
      <c r="M715" s="52"/>
      <c r="N715" s="52"/>
      <c r="O715" s="52"/>
    </row>
    <row r="716">
      <c r="M716" s="52"/>
      <c r="N716" s="52"/>
      <c r="O716" s="52"/>
    </row>
    <row r="717">
      <c r="M717" s="52"/>
      <c r="N717" s="52"/>
      <c r="O717" s="52"/>
    </row>
    <row r="718">
      <c r="M718" s="52"/>
      <c r="N718" s="52"/>
      <c r="O718" s="52"/>
    </row>
    <row r="719">
      <c r="M719" s="52"/>
      <c r="N719" s="52"/>
      <c r="O719" s="52"/>
    </row>
    <row r="720">
      <c r="M720" s="52"/>
      <c r="N720" s="52"/>
      <c r="O720" s="52"/>
    </row>
    <row r="721">
      <c r="M721" s="52"/>
      <c r="N721" s="52"/>
      <c r="O721" s="52"/>
    </row>
    <row r="722">
      <c r="M722" s="52"/>
      <c r="N722" s="52"/>
      <c r="O722" s="52"/>
    </row>
    <row r="723">
      <c r="M723" s="52"/>
      <c r="N723" s="52"/>
      <c r="O723" s="52"/>
    </row>
    <row r="724">
      <c r="M724" s="52"/>
      <c r="N724" s="52"/>
      <c r="O724" s="52"/>
    </row>
    <row r="725">
      <c r="M725" s="52"/>
      <c r="N725" s="52"/>
      <c r="O725" s="52"/>
    </row>
    <row r="726">
      <c r="M726" s="52"/>
      <c r="N726" s="52"/>
      <c r="O726" s="52"/>
    </row>
    <row r="727">
      <c r="M727" s="52"/>
      <c r="N727" s="52"/>
      <c r="O727" s="52"/>
    </row>
    <row r="728">
      <c r="M728" s="52"/>
      <c r="N728" s="52"/>
      <c r="O728" s="52"/>
    </row>
    <row r="729">
      <c r="M729" s="52"/>
      <c r="N729" s="52"/>
      <c r="O729" s="52"/>
    </row>
    <row r="730">
      <c r="M730" s="52"/>
      <c r="N730" s="52"/>
      <c r="O730" s="52"/>
    </row>
    <row r="731">
      <c r="M731" s="52"/>
      <c r="N731" s="52"/>
      <c r="O731" s="52"/>
    </row>
    <row r="732">
      <c r="M732" s="52"/>
      <c r="N732" s="52"/>
      <c r="O732" s="52"/>
    </row>
    <row r="733">
      <c r="M733" s="52"/>
      <c r="N733" s="52"/>
      <c r="O733" s="52"/>
    </row>
    <row r="734">
      <c r="M734" s="52"/>
      <c r="N734" s="52"/>
      <c r="O734" s="52"/>
    </row>
    <row r="735">
      <c r="M735" s="52"/>
      <c r="N735" s="52"/>
      <c r="O735" s="52"/>
    </row>
    <row r="736">
      <c r="M736" s="52"/>
      <c r="N736" s="52"/>
      <c r="O736" s="52"/>
    </row>
    <row r="737">
      <c r="M737" s="52"/>
      <c r="N737" s="52"/>
      <c r="O737" s="52"/>
    </row>
    <row r="738">
      <c r="M738" s="52"/>
      <c r="N738" s="52"/>
      <c r="O738" s="52"/>
    </row>
    <row r="739">
      <c r="M739" s="52"/>
      <c r="N739" s="52"/>
      <c r="O739" s="52"/>
    </row>
    <row r="740">
      <c r="M740" s="52"/>
      <c r="N740" s="52"/>
      <c r="O740" s="52"/>
    </row>
    <row r="741">
      <c r="M741" s="52"/>
      <c r="N741" s="52"/>
      <c r="O741" s="52"/>
    </row>
    <row r="742">
      <c r="M742" s="52"/>
      <c r="N742" s="52"/>
      <c r="O742" s="52"/>
    </row>
    <row r="743">
      <c r="M743" s="52"/>
      <c r="N743" s="52"/>
      <c r="O743" s="52"/>
    </row>
    <row r="744">
      <c r="M744" s="52"/>
      <c r="N744" s="52"/>
      <c r="O744" s="52"/>
    </row>
    <row r="745">
      <c r="M745" s="52"/>
      <c r="N745" s="52"/>
      <c r="O745" s="52"/>
    </row>
    <row r="746">
      <c r="M746" s="52"/>
      <c r="N746" s="52"/>
      <c r="O746" s="52"/>
    </row>
    <row r="747">
      <c r="M747" s="52"/>
      <c r="N747" s="52"/>
      <c r="O747" s="52"/>
    </row>
    <row r="748">
      <c r="M748" s="52"/>
      <c r="N748" s="52"/>
      <c r="O748" s="52"/>
    </row>
    <row r="749">
      <c r="M749" s="52"/>
      <c r="N749" s="52"/>
      <c r="O749" s="52"/>
    </row>
    <row r="750">
      <c r="M750" s="52"/>
      <c r="N750" s="52"/>
      <c r="O750" s="52"/>
    </row>
    <row r="751">
      <c r="M751" s="52"/>
      <c r="N751" s="52"/>
      <c r="O751" s="52"/>
    </row>
    <row r="752">
      <c r="M752" s="52"/>
      <c r="N752" s="52"/>
      <c r="O752" s="52"/>
    </row>
    <row r="753">
      <c r="M753" s="52"/>
      <c r="N753" s="52"/>
      <c r="O753" s="52"/>
    </row>
    <row r="754">
      <c r="M754" s="52"/>
      <c r="N754" s="52"/>
      <c r="O754" s="52"/>
    </row>
    <row r="755">
      <c r="M755" s="52"/>
      <c r="N755" s="52"/>
      <c r="O755" s="52"/>
    </row>
    <row r="756">
      <c r="M756" s="52"/>
      <c r="N756" s="52"/>
      <c r="O756" s="52"/>
    </row>
    <row r="757">
      <c r="M757" s="52"/>
      <c r="N757" s="52"/>
      <c r="O757" s="52"/>
    </row>
    <row r="758">
      <c r="M758" s="52"/>
      <c r="N758" s="52"/>
      <c r="O758" s="52"/>
    </row>
    <row r="759">
      <c r="M759" s="52"/>
      <c r="N759" s="52"/>
      <c r="O759" s="52"/>
    </row>
    <row r="760">
      <c r="M760" s="52"/>
      <c r="N760" s="52"/>
      <c r="O760" s="52"/>
    </row>
    <row r="761">
      <c r="M761" s="52"/>
      <c r="N761" s="52"/>
      <c r="O761" s="52"/>
    </row>
    <row r="762">
      <c r="M762" s="52"/>
      <c r="N762" s="52"/>
      <c r="O762" s="52"/>
    </row>
    <row r="763">
      <c r="M763" s="52"/>
      <c r="N763" s="52"/>
      <c r="O763" s="52"/>
    </row>
    <row r="764">
      <c r="M764" s="52"/>
      <c r="N764" s="52"/>
      <c r="O764" s="52"/>
    </row>
    <row r="765">
      <c r="M765" s="52"/>
      <c r="N765" s="52"/>
      <c r="O765" s="52"/>
    </row>
    <row r="766">
      <c r="M766" s="52"/>
      <c r="N766" s="52"/>
      <c r="O766" s="52"/>
    </row>
    <row r="767">
      <c r="M767" s="52"/>
      <c r="N767" s="52"/>
      <c r="O767" s="52"/>
    </row>
    <row r="768">
      <c r="M768" s="52"/>
      <c r="N768" s="52"/>
      <c r="O768" s="52"/>
    </row>
    <row r="769">
      <c r="M769" s="52"/>
      <c r="N769" s="52"/>
      <c r="O769" s="52"/>
    </row>
    <row r="770">
      <c r="M770" s="52"/>
      <c r="N770" s="52"/>
      <c r="O770" s="52"/>
    </row>
    <row r="771">
      <c r="M771" s="52"/>
      <c r="N771" s="52"/>
      <c r="O771" s="52"/>
    </row>
    <row r="772">
      <c r="M772" s="52"/>
      <c r="N772" s="52"/>
      <c r="O772" s="52"/>
    </row>
    <row r="773">
      <c r="M773" s="52"/>
      <c r="N773" s="52"/>
      <c r="O773" s="52"/>
    </row>
    <row r="774">
      <c r="M774" s="52"/>
      <c r="N774" s="52"/>
      <c r="O774" s="52"/>
    </row>
    <row r="775">
      <c r="M775" s="52"/>
      <c r="N775" s="52"/>
      <c r="O775" s="52"/>
    </row>
    <row r="776">
      <c r="M776" s="52"/>
      <c r="N776" s="52"/>
      <c r="O776" s="52"/>
    </row>
    <row r="777">
      <c r="M777" s="52"/>
      <c r="N777" s="52"/>
      <c r="O777" s="52"/>
    </row>
    <row r="778">
      <c r="M778" s="52"/>
      <c r="N778" s="52"/>
      <c r="O778" s="52"/>
    </row>
    <row r="779">
      <c r="M779" s="52"/>
      <c r="N779" s="52"/>
      <c r="O779" s="52"/>
    </row>
    <row r="780">
      <c r="M780" s="52"/>
      <c r="N780" s="52"/>
      <c r="O780" s="52"/>
    </row>
    <row r="781">
      <c r="M781" s="52"/>
      <c r="N781" s="52"/>
      <c r="O781" s="52"/>
    </row>
    <row r="782">
      <c r="M782" s="52"/>
      <c r="N782" s="52"/>
      <c r="O782" s="52"/>
    </row>
    <row r="783">
      <c r="M783" s="52"/>
      <c r="N783" s="52"/>
      <c r="O783" s="52"/>
    </row>
    <row r="784">
      <c r="M784" s="52"/>
      <c r="N784" s="52"/>
      <c r="O784" s="52"/>
    </row>
    <row r="785">
      <c r="M785" s="52"/>
      <c r="N785" s="52"/>
      <c r="O785" s="52"/>
    </row>
    <row r="786">
      <c r="M786" s="52"/>
      <c r="N786" s="52"/>
      <c r="O786" s="52"/>
    </row>
    <row r="787">
      <c r="M787" s="52"/>
      <c r="N787" s="52"/>
      <c r="O787" s="52"/>
    </row>
    <row r="788">
      <c r="M788" s="52"/>
      <c r="N788" s="52"/>
      <c r="O788" s="52"/>
    </row>
    <row r="789">
      <c r="M789" s="52"/>
      <c r="N789" s="52"/>
      <c r="O789" s="52"/>
    </row>
    <row r="790">
      <c r="M790" s="52"/>
      <c r="N790" s="52"/>
      <c r="O790" s="52"/>
    </row>
    <row r="791">
      <c r="M791" s="52"/>
      <c r="N791" s="52"/>
      <c r="O791" s="52"/>
    </row>
    <row r="792">
      <c r="M792" s="52"/>
      <c r="N792" s="52"/>
      <c r="O792" s="52"/>
    </row>
    <row r="793">
      <c r="M793" s="52"/>
      <c r="N793" s="52"/>
      <c r="O793" s="52"/>
    </row>
    <row r="794">
      <c r="M794" s="52"/>
      <c r="N794" s="52"/>
      <c r="O794" s="52"/>
    </row>
    <row r="795">
      <c r="M795" s="52"/>
      <c r="N795" s="52"/>
      <c r="O795" s="52"/>
    </row>
    <row r="796">
      <c r="M796" s="52"/>
      <c r="N796" s="52"/>
      <c r="O796" s="52"/>
    </row>
    <row r="797">
      <c r="M797" s="52"/>
      <c r="N797" s="52"/>
      <c r="O797" s="52"/>
    </row>
    <row r="798">
      <c r="M798" s="52"/>
      <c r="N798" s="52"/>
      <c r="O798" s="52"/>
    </row>
    <row r="799">
      <c r="M799" s="52"/>
      <c r="N799" s="52"/>
      <c r="O799" s="52"/>
    </row>
    <row r="800">
      <c r="M800" s="52"/>
      <c r="N800" s="52"/>
      <c r="O800" s="52"/>
    </row>
    <row r="801">
      <c r="M801" s="52"/>
      <c r="N801" s="52"/>
      <c r="O801" s="52"/>
    </row>
    <row r="802">
      <c r="M802" s="52"/>
      <c r="N802" s="52"/>
      <c r="O802" s="52"/>
    </row>
    <row r="803">
      <c r="M803" s="52"/>
      <c r="N803" s="52"/>
      <c r="O803" s="52"/>
    </row>
    <row r="804">
      <c r="M804" s="52"/>
      <c r="N804" s="52"/>
      <c r="O804" s="52"/>
    </row>
    <row r="805">
      <c r="M805" s="52"/>
      <c r="N805" s="52"/>
      <c r="O805" s="52"/>
    </row>
    <row r="806">
      <c r="M806" s="52"/>
      <c r="N806" s="52"/>
      <c r="O806" s="52"/>
    </row>
    <row r="807">
      <c r="M807" s="52"/>
      <c r="N807" s="52"/>
      <c r="O807" s="52"/>
    </row>
    <row r="808">
      <c r="M808" s="52"/>
      <c r="N808" s="52"/>
      <c r="O808" s="52"/>
    </row>
    <row r="809">
      <c r="M809" s="52"/>
      <c r="N809" s="52"/>
      <c r="O809" s="52"/>
    </row>
    <row r="810">
      <c r="M810" s="52"/>
      <c r="N810" s="52"/>
      <c r="O810" s="52"/>
    </row>
    <row r="811">
      <c r="M811" s="52"/>
      <c r="N811" s="52"/>
      <c r="O811" s="52"/>
    </row>
    <row r="812">
      <c r="M812" s="52"/>
      <c r="N812" s="52"/>
      <c r="O812" s="52"/>
    </row>
    <row r="813">
      <c r="M813" s="52"/>
      <c r="N813" s="52"/>
      <c r="O813" s="52"/>
    </row>
    <row r="814">
      <c r="M814" s="52"/>
      <c r="N814" s="52"/>
      <c r="O814" s="52"/>
    </row>
    <row r="815">
      <c r="M815" s="52"/>
      <c r="N815" s="52"/>
      <c r="O815" s="52"/>
    </row>
    <row r="816">
      <c r="M816" s="52"/>
      <c r="N816" s="52"/>
      <c r="O816" s="52"/>
    </row>
    <row r="817">
      <c r="M817" s="52"/>
      <c r="N817" s="52"/>
      <c r="O817" s="52"/>
    </row>
    <row r="818">
      <c r="M818" s="52"/>
      <c r="N818" s="52"/>
      <c r="O818" s="52"/>
    </row>
    <row r="819">
      <c r="M819" s="52"/>
      <c r="N819" s="52"/>
      <c r="O819" s="52"/>
    </row>
    <row r="820">
      <c r="M820" s="52"/>
      <c r="N820" s="52"/>
      <c r="O820" s="52"/>
    </row>
    <row r="821">
      <c r="M821" s="52"/>
      <c r="N821" s="52"/>
      <c r="O821" s="52"/>
    </row>
    <row r="822">
      <c r="M822" s="52"/>
      <c r="N822" s="52"/>
      <c r="O822" s="52"/>
    </row>
    <row r="823">
      <c r="M823" s="52"/>
      <c r="N823" s="52"/>
      <c r="O823" s="52"/>
    </row>
    <row r="824">
      <c r="M824" s="52"/>
      <c r="N824" s="52"/>
      <c r="O824" s="52"/>
    </row>
    <row r="825">
      <c r="M825" s="52"/>
      <c r="N825" s="52"/>
      <c r="O825" s="52"/>
    </row>
    <row r="826">
      <c r="M826" s="52"/>
      <c r="N826" s="52"/>
      <c r="O826" s="52"/>
    </row>
    <row r="827">
      <c r="M827" s="52"/>
      <c r="N827" s="52"/>
      <c r="O827" s="52"/>
    </row>
    <row r="828">
      <c r="M828" s="52"/>
      <c r="N828" s="52"/>
      <c r="O828" s="52"/>
    </row>
    <row r="829">
      <c r="M829" s="52"/>
      <c r="N829" s="52"/>
      <c r="O829" s="52"/>
    </row>
    <row r="830">
      <c r="M830" s="52"/>
      <c r="N830" s="52"/>
      <c r="O830" s="52"/>
    </row>
    <row r="831">
      <c r="M831" s="52"/>
      <c r="N831" s="52"/>
      <c r="O831" s="52"/>
    </row>
    <row r="832">
      <c r="M832" s="52"/>
      <c r="N832" s="52"/>
      <c r="O832" s="52"/>
    </row>
    <row r="833">
      <c r="M833" s="52"/>
      <c r="N833" s="52"/>
      <c r="O833" s="52"/>
    </row>
    <row r="834">
      <c r="M834" s="52"/>
      <c r="N834" s="52"/>
      <c r="O834" s="52"/>
    </row>
    <row r="835">
      <c r="M835" s="52"/>
      <c r="N835" s="52"/>
      <c r="O835" s="52"/>
    </row>
    <row r="836">
      <c r="M836" s="52"/>
      <c r="N836" s="52"/>
      <c r="O836" s="52"/>
    </row>
    <row r="837">
      <c r="M837" s="52"/>
      <c r="N837" s="52"/>
      <c r="O837" s="52"/>
    </row>
    <row r="838">
      <c r="M838" s="52"/>
      <c r="N838" s="52"/>
      <c r="O838" s="52"/>
    </row>
    <row r="839">
      <c r="M839" s="52"/>
      <c r="N839" s="52"/>
      <c r="O839" s="52"/>
    </row>
    <row r="840">
      <c r="M840" s="52"/>
      <c r="N840" s="52"/>
      <c r="O840" s="52"/>
    </row>
    <row r="841">
      <c r="M841" s="52"/>
      <c r="N841" s="52"/>
      <c r="O841" s="52"/>
    </row>
    <row r="842">
      <c r="M842" s="52"/>
      <c r="N842" s="52"/>
      <c r="O842" s="52"/>
    </row>
    <row r="843">
      <c r="M843" s="52"/>
      <c r="N843" s="52"/>
      <c r="O843" s="52"/>
    </row>
    <row r="844">
      <c r="M844" s="52"/>
      <c r="N844" s="52"/>
      <c r="O844" s="52"/>
    </row>
    <row r="845">
      <c r="M845" s="52"/>
      <c r="N845" s="52"/>
      <c r="O845" s="52"/>
    </row>
    <row r="846">
      <c r="M846" s="52"/>
      <c r="N846" s="52"/>
      <c r="O846" s="52"/>
    </row>
    <row r="847">
      <c r="M847" s="52"/>
      <c r="N847" s="52"/>
      <c r="O847" s="52"/>
    </row>
    <row r="848">
      <c r="M848" s="52"/>
      <c r="N848" s="52"/>
      <c r="O848" s="52"/>
    </row>
    <row r="849">
      <c r="M849" s="52"/>
      <c r="N849" s="52"/>
      <c r="O849" s="52"/>
    </row>
    <row r="850">
      <c r="M850" s="52"/>
      <c r="N850" s="52"/>
      <c r="O850" s="52"/>
    </row>
    <row r="851">
      <c r="M851" s="52"/>
      <c r="N851" s="52"/>
      <c r="O851" s="52"/>
    </row>
    <row r="852">
      <c r="M852" s="52"/>
      <c r="N852" s="52"/>
      <c r="O852" s="52"/>
    </row>
    <row r="853">
      <c r="M853" s="52"/>
      <c r="N853" s="52"/>
      <c r="O853" s="52"/>
    </row>
    <row r="854">
      <c r="M854" s="52"/>
      <c r="N854" s="52"/>
      <c r="O854" s="52"/>
    </row>
    <row r="855">
      <c r="M855" s="52"/>
      <c r="N855" s="52"/>
      <c r="O855" s="52"/>
    </row>
    <row r="856">
      <c r="M856" s="52"/>
      <c r="N856" s="52"/>
      <c r="O856" s="52"/>
    </row>
    <row r="857">
      <c r="M857" s="52"/>
      <c r="N857" s="52"/>
      <c r="O857" s="52"/>
    </row>
    <row r="858">
      <c r="M858" s="52"/>
      <c r="N858" s="52"/>
      <c r="O858" s="52"/>
    </row>
    <row r="859">
      <c r="M859" s="52"/>
      <c r="N859" s="52"/>
      <c r="O859" s="52"/>
    </row>
    <row r="860">
      <c r="M860" s="52"/>
      <c r="N860" s="52"/>
      <c r="O860" s="52"/>
    </row>
    <row r="861">
      <c r="M861" s="52"/>
      <c r="N861" s="52"/>
      <c r="O861" s="52"/>
    </row>
    <row r="862">
      <c r="M862" s="52"/>
      <c r="N862" s="52"/>
      <c r="O862" s="52"/>
    </row>
    <row r="863">
      <c r="M863" s="52"/>
      <c r="N863" s="52"/>
      <c r="O863" s="52"/>
    </row>
    <row r="864">
      <c r="M864" s="52"/>
      <c r="N864" s="52"/>
      <c r="O864" s="52"/>
    </row>
    <row r="865">
      <c r="M865" s="52"/>
      <c r="N865" s="52"/>
      <c r="O865" s="52"/>
    </row>
    <row r="866">
      <c r="M866" s="52"/>
      <c r="N866" s="52"/>
      <c r="O866" s="52"/>
    </row>
    <row r="867">
      <c r="M867" s="52"/>
      <c r="N867" s="52"/>
      <c r="O867" s="52"/>
    </row>
    <row r="868">
      <c r="M868" s="52"/>
      <c r="N868" s="52"/>
      <c r="O868" s="52"/>
    </row>
    <row r="869">
      <c r="M869" s="52"/>
      <c r="N869" s="52"/>
      <c r="O869" s="52"/>
    </row>
    <row r="870">
      <c r="M870" s="52"/>
      <c r="N870" s="52"/>
      <c r="O870" s="52"/>
    </row>
    <row r="871">
      <c r="M871" s="52"/>
      <c r="N871" s="52"/>
      <c r="O871" s="52"/>
    </row>
    <row r="872">
      <c r="M872" s="52"/>
      <c r="N872" s="52"/>
      <c r="O872" s="52"/>
    </row>
    <row r="873">
      <c r="M873" s="52"/>
      <c r="N873" s="52"/>
      <c r="O873" s="52"/>
    </row>
    <row r="874">
      <c r="M874" s="52"/>
      <c r="N874" s="52"/>
      <c r="O874" s="52"/>
    </row>
    <row r="875">
      <c r="M875" s="52"/>
      <c r="N875" s="52"/>
      <c r="O875" s="52"/>
    </row>
    <row r="876">
      <c r="M876" s="52"/>
      <c r="N876" s="52"/>
      <c r="O876" s="52"/>
    </row>
    <row r="877">
      <c r="M877" s="52"/>
      <c r="N877" s="52"/>
      <c r="O877" s="52"/>
    </row>
    <row r="878">
      <c r="M878" s="52"/>
      <c r="N878" s="52"/>
      <c r="O878" s="52"/>
    </row>
    <row r="879">
      <c r="M879" s="52"/>
      <c r="N879" s="52"/>
      <c r="O879" s="52"/>
    </row>
    <row r="880">
      <c r="M880" s="52"/>
      <c r="N880" s="52"/>
      <c r="O880" s="52"/>
    </row>
    <row r="881">
      <c r="M881" s="52"/>
      <c r="N881" s="52"/>
      <c r="O881" s="52"/>
    </row>
    <row r="882">
      <c r="M882" s="52"/>
      <c r="N882" s="52"/>
      <c r="O882" s="52"/>
    </row>
    <row r="883">
      <c r="M883" s="52"/>
      <c r="N883" s="52"/>
      <c r="O883" s="52"/>
    </row>
    <row r="884">
      <c r="M884" s="52"/>
      <c r="N884" s="52"/>
      <c r="O884" s="52"/>
    </row>
    <row r="885">
      <c r="M885" s="52"/>
      <c r="N885" s="52"/>
      <c r="O885" s="52"/>
    </row>
    <row r="886">
      <c r="M886" s="52"/>
      <c r="N886" s="52"/>
      <c r="O886" s="52"/>
    </row>
    <row r="887">
      <c r="M887" s="52"/>
      <c r="N887" s="52"/>
      <c r="O887" s="52"/>
    </row>
    <row r="888">
      <c r="M888" s="52"/>
      <c r="N888" s="52"/>
      <c r="O888" s="52"/>
    </row>
    <row r="889">
      <c r="M889" s="52"/>
      <c r="N889" s="52"/>
      <c r="O889" s="52"/>
    </row>
    <row r="890">
      <c r="M890" s="52"/>
      <c r="N890" s="52"/>
      <c r="O890" s="52"/>
    </row>
    <row r="891">
      <c r="M891" s="52"/>
      <c r="N891" s="52"/>
      <c r="O891" s="52"/>
    </row>
    <row r="892">
      <c r="M892" s="52"/>
      <c r="N892" s="52"/>
      <c r="O892" s="52"/>
    </row>
    <row r="893">
      <c r="M893" s="52"/>
      <c r="N893" s="52"/>
      <c r="O893" s="52"/>
    </row>
    <row r="894">
      <c r="M894" s="52"/>
      <c r="N894" s="52"/>
      <c r="O894" s="52"/>
    </row>
    <row r="895">
      <c r="M895" s="52"/>
      <c r="N895" s="52"/>
      <c r="O895" s="52"/>
    </row>
    <row r="896">
      <c r="M896" s="52"/>
      <c r="N896" s="52"/>
      <c r="O896" s="52"/>
    </row>
    <row r="897">
      <c r="M897" s="52"/>
      <c r="N897" s="52"/>
      <c r="O897" s="52"/>
    </row>
    <row r="898">
      <c r="M898" s="52"/>
      <c r="N898" s="52"/>
      <c r="O898" s="52"/>
    </row>
    <row r="899">
      <c r="M899" s="52"/>
      <c r="N899" s="52"/>
      <c r="O899" s="52"/>
    </row>
    <row r="900">
      <c r="M900" s="52"/>
      <c r="N900" s="52"/>
      <c r="O900" s="52"/>
    </row>
    <row r="901">
      <c r="M901" s="52"/>
      <c r="N901" s="52"/>
      <c r="O901" s="52"/>
    </row>
    <row r="902">
      <c r="M902" s="52"/>
      <c r="N902" s="52"/>
      <c r="O902" s="52"/>
    </row>
    <row r="903">
      <c r="M903" s="52"/>
      <c r="N903" s="52"/>
      <c r="O903" s="52"/>
    </row>
    <row r="904">
      <c r="M904" s="52"/>
      <c r="N904" s="52"/>
      <c r="O904" s="52"/>
    </row>
    <row r="905">
      <c r="M905" s="52"/>
      <c r="N905" s="52"/>
      <c r="O905" s="52"/>
    </row>
    <row r="906">
      <c r="M906" s="52"/>
      <c r="N906" s="52"/>
      <c r="O906" s="52"/>
    </row>
    <row r="907">
      <c r="M907" s="52"/>
      <c r="N907" s="52"/>
      <c r="O907" s="52"/>
    </row>
    <row r="908">
      <c r="M908" s="52"/>
      <c r="N908" s="52"/>
      <c r="O908" s="52"/>
    </row>
    <row r="909">
      <c r="M909" s="52"/>
      <c r="N909" s="52"/>
      <c r="O909" s="52"/>
    </row>
    <row r="910">
      <c r="M910" s="52"/>
      <c r="N910" s="52"/>
      <c r="O910" s="52"/>
    </row>
    <row r="911">
      <c r="M911" s="52"/>
      <c r="N911" s="52"/>
      <c r="O911" s="52"/>
    </row>
    <row r="912">
      <c r="M912" s="52"/>
      <c r="N912" s="52"/>
      <c r="O912" s="52"/>
    </row>
    <row r="913">
      <c r="M913" s="52"/>
      <c r="N913" s="52"/>
      <c r="O913" s="52"/>
    </row>
    <row r="914">
      <c r="M914" s="52"/>
      <c r="N914" s="52"/>
      <c r="O914" s="52"/>
    </row>
    <row r="915">
      <c r="M915" s="52"/>
      <c r="N915" s="52"/>
      <c r="O915" s="52"/>
    </row>
    <row r="916">
      <c r="M916" s="52"/>
      <c r="N916" s="52"/>
      <c r="O916" s="52"/>
    </row>
    <row r="917">
      <c r="M917" s="52"/>
      <c r="N917" s="52"/>
      <c r="O917" s="52"/>
    </row>
    <row r="918">
      <c r="M918" s="52"/>
      <c r="N918" s="52"/>
      <c r="O918" s="52"/>
    </row>
    <row r="919">
      <c r="M919" s="52"/>
      <c r="N919" s="52"/>
      <c r="O919" s="52"/>
    </row>
    <row r="920">
      <c r="M920" s="52"/>
      <c r="N920" s="52"/>
      <c r="O920" s="52"/>
    </row>
    <row r="921">
      <c r="M921" s="52"/>
      <c r="N921" s="52"/>
      <c r="O921" s="52"/>
    </row>
    <row r="922">
      <c r="M922" s="52"/>
      <c r="N922" s="52"/>
      <c r="O922" s="52"/>
    </row>
    <row r="923">
      <c r="M923" s="52"/>
      <c r="N923" s="52"/>
      <c r="O923" s="52"/>
    </row>
    <row r="924">
      <c r="M924" s="52"/>
      <c r="N924" s="52"/>
      <c r="O924" s="52"/>
    </row>
    <row r="925">
      <c r="M925" s="52"/>
      <c r="N925" s="52"/>
      <c r="O925" s="52"/>
    </row>
    <row r="926">
      <c r="M926" s="52"/>
      <c r="N926" s="52"/>
      <c r="O926" s="52"/>
    </row>
    <row r="927">
      <c r="M927" s="52"/>
      <c r="N927" s="52"/>
      <c r="O927" s="52"/>
    </row>
    <row r="928">
      <c r="M928" s="52"/>
      <c r="N928" s="52"/>
      <c r="O928" s="52"/>
    </row>
    <row r="929">
      <c r="M929" s="52"/>
      <c r="N929" s="52"/>
      <c r="O929" s="52"/>
    </row>
    <row r="930">
      <c r="M930" s="52"/>
      <c r="N930" s="52"/>
      <c r="O930" s="52"/>
    </row>
    <row r="931">
      <c r="M931" s="52"/>
      <c r="N931" s="52"/>
      <c r="O931" s="52"/>
    </row>
    <row r="932">
      <c r="M932" s="52"/>
      <c r="N932" s="52"/>
      <c r="O932" s="52"/>
    </row>
    <row r="933">
      <c r="M933" s="52"/>
      <c r="N933" s="52"/>
      <c r="O933" s="52"/>
    </row>
    <row r="934">
      <c r="M934" s="52"/>
      <c r="N934" s="52"/>
      <c r="O934" s="52"/>
    </row>
    <row r="935">
      <c r="M935" s="52"/>
      <c r="N935" s="52"/>
      <c r="O935" s="52"/>
    </row>
    <row r="936">
      <c r="M936" s="52"/>
      <c r="N936" s="52"/>
      <c r="O936" s="52"/>
    </row>
    <row r="937">
      <c r="M937" s="52"/>
      <c r="N937" s="52"/>
      <c r="O937" s="52"/>
    </row>
    <row r="938">
      <c r="M938" s="52"/>
      <c r="N938" s="52"/>
      <c r="O938" s="52"/>
    </row>
    <row r="939">
      <c r="M939" s="52"/>
      <c r="N939" s="52"/>
      <c r="O939" s="52"/>
    </row>
    <row r="940">
      <c r="M940" s="52"/>
      <c r="N940" s="52"/>
      <c r="O940" s="52"/>
    </row>
    <row r="941">
      <c r="M941" s="52"/>
      <c r="N941" s="52"/>
      <c r="O941" s="52"/>
    </row>
    <row r="942">
      <c r="M942" s="52"/>
      <c r="N942" s="52"/>
      <c r="O942" s="52"/>
    </row>
    <row r="943">
      <c r="M943" s="52"/>
      <c r="N943" s="52"/>
      <c r="O943" s="52"/>
    </row>
    <row r="944">
      <c r="M944" s="52"/>
      <c r="N944" s="52"/>
      <c r="O944" s="52"/>
    </row>
    <row r="945">
      <c r="M945" s="52"/>
      <c r="N945" s="52"/>
      <c r="O945" s="52"/>
    </row>
    <row r="946">
      <c r="M946" s="52"/>
      <c r="N946" s="52"/>
      <c r="O946" s="52"/>
    </row>
    <row r="947">
      <c r="M947" s="52"/>
      <c r="N947" s="52"/>
      <c r="O947" s="52"/>
    </row>
    <row r="948">
      <c r="M948" s="52"/>
      <c r="N948" s="52"/>
      <c r="O948" s="52"/>
    </row>
    <row r="949">
      <c r="M949" s="52"/>
      <c r="N949" s="52"/>
      <c r="O949" s="52"/>
    </row>
    <row r="950">
      <c r="M950" s="52"/>
      <c r="N950" s="52"/>
      <c r="O950" s="52"/>
    </row>
    <row r="951">
      <c r="M951" s="52"/>
      <c r="N951" s="52"/>
      <c r="O951" s="52"/>
    </row>
    <row r="952">
      <c r="M952" s="52"/>
      <c r="N952" s="52"/>
      <c r="O952" s="52"/>
    </row>
    <row r="953">
      <c r="M953" s="52"/>
      <c r="N953" s="52"/>
      <c r="O953" s="52"/>
    </row>
    <row r="954">
      <c r="M954" s="52"/>
      <c r="N954" s="52"/>
      <c r="O954" s="52"/>
    </row>
    <row r="955">
      <c r="M955" s="52"/>
      <c r="N955" s="52"/>
      <c r="O955" s="52"/>
    </row>
    <row r="956">
      <c r="M956" s="52"/>
      <c r="N956" s="52"/>
      <c r="O956" s="52"/>
    </row>
    <row r="957">
      <c r="M957" s="52"/>
      <c r="N957" s="52"/>
      <c r="O957" s="52"/>
    </row>
    <row r="958">
      <c r="M958" s="52"/>
      <c r="N958" s="52"/>
      <c r="O958" s="52"/>
    </row>
    <row r="959">
      <c r="M959" s="52"/>
      <c r="N959" s="52"/>
      <c r="O959" s="52"/>
    </row>
    <row r="960">
      <c r="M960" s="52"/>
      <c r="N960" s="52"/>
      <c r="O960" s="52"/>
    </row>
    <row r="961">
      <c r="M961" s="52"/>
      <c r="N961" s="52"/>
      <c r="O961" s="52"/>
    </row>
    <row r="962">
      <c r="M962" s="52"/>
      <c r="N962" s="52"/>
      <c r="O962" s="52"/>
    </row>
    <row r="963">
      <c r="M963" s="52"/>
      <c r="N963" s="52"/>
      <c r="O963" s="52"/>
    </row>
    <row r="964">
      <c r="M964" s="52"/>
      <c r="N964" s="52"/>
      <c r="O964" s="52"/>
    </row>
    <row r="965">
      <c r="M965" s="52"/>
      <c r="N965" s="52"/>
      <c r="O965" s="52"/>
    </row>
    <row r="966">
      <c r="M966" s="52"/>
      <c r="N966" s="52"/>
      <c r="O966" s="52"/>
    </row>
    <row r="967">
      <c r="M967" s="52"/>
      <c r="N967" s="52"/>
      <c r="O967" s="52"/>
    </row>
    <row r="968">
      <c r="M968" s="52"/>
      <c r="N968" s="52"/>
      <c r="O968" s="52"/>
    </row>
    <row r="969">
      <c r="M969" s="52"/>
      <c r="N969" s="52"/>
      <c r="O969" s="52"/>
    </row>
    <row r="970">
      <c r="M970" s="52"/>
      <c r="N970" s="52"/>
      <c r="O970" s="52"/>
    </row>
    <row r="971">
      <c r="M971" s="52"/>
      <c r="N971" s="52"/>
      <c r="O971" s="52"/>
    </row>
    <row r="972">
      <c r="M972" s="52"/>
      <c r="N972" s="52"/>
      <c r="O972" s="52"/>
    </row>
    <row r="973">
      <c r="M973" s="52"/>
      <c r="N973" s="52"/>
      <c r="O973" s="52"/>
    </row>
    <row r="974">
      <c r="M974" s="52"/>
      <c r="N974" s="52"/>
      <c r="O974" s="52"/>
    </row>
    <row r="975">
      <c r="M975" s="52"/>
      <c r="N975" s="52"/>
      <c r="O975" s="52"/>
    </row>
    <row r="976">
      <c r="M976" s="52"/>
      <c r="N976" s="52"/>
      <c r="O976" s="52"/>
    </row>
    <row r="977">
      <c r="M977" s="52"/>
      <c r="N977" s="52"/>
      <c r="O977" s="52"/>
    </row>
    <row r="978">
      <c r="M978" s="52"/>
      <c r="N978" s="52"/>
      <c r="O978" s="52"/>
    </row>
    <row r="979">
      <c r="M979" s="52"/>
      <c r="N979" s="52"/>
      <c r="O979" s="52"/>
    </row>
    <row r="980">
      <c r="M980" s="52"/>
      <c r="N980" s="52"/>
      <c r="O980" s="52"/>
    </row>
    <row r="981">
      <c r="M981" s="52"/>
      <c r="N981" s="52"/>
      <c r="O981" s="52"/>
    </row>
    <row r="982">
      <c r="M982" s="52"/>
      <c r="N982" s="52"/>
      <c r="O982" s="52"/>
    </row>
    <row r="983">
      <c r="M983" s="52"/>
      <c r="N983" s="52"/>
      <c r="O983" s="52"/>
    </row>
    <row r="984">
      <c r="M984" s="52"/>
      <c r="N984" s="52"/>
      <c r="O984" s="52"/>
    </row>
    <row r="985">
      <c r="M985" s="52"/>
      <c r="N985" s="52"/>
      <c r="O985" s="52"/>
    </row>
    <row r="986">
      <c r="M986" s="52"/>
      <c r="N986" s="52"/>
      <c r="O986" s="52"/>
    </row>
    <row r="987">
      <c r="M987" s="52"/>
      <c r="N987" s="52"/>
      <c r="O987" s="52"/>
    </row>
    <row r="988">
      <c r="M988" s="52"/>
      <c r="N988" s="52"/>
      <c r="O988" s="52"/>
    </row>
    <row r="989">
      <c r="M989" s="52"/>
      <c r="N989" s="52"/>
      <c r="O989" s="52"/>
    </row>
    <row r="990">
      <c r="M990" s="52"/>
      <c r="N990" s="52"/>
      <c r="O990" s="52"/>
    </row>
    <row r="991">
      <c r="M991" s="52"/>
      <c r="N991" s="52"/>
      <c r="O991" s="52"/>
    </row>
    <row r="992">
      <c r="M992" s="52"/>
      <c r="N992" s="52"/>
      <c r="O992" s="52"/>
    </row>
    <row r="993">
      <c r="M993" s="52"/>
      <c r="N993" s="52"/>
      <c r="O993" s="52"/>
    </row>
    <row r="994">
      <c r="M994" s="52"/>
      <c r="N994" s="52"/>
      <c r="O994" s="52"/>
    </row>
    <row r="995">
      <c r="M995" s="52"/>
      <c r="N995" s="52"/>
      <c r="O995" s="52"/>
    </row>
    <row r="996">
      <c r="M996" s="52"/>
      <c r="N996" s="52"/>
      <c r="O996" s="52"/>
    </row>
    <row r="997">
      <c r="M997" s="52"/>
      <c r="N997" s="52"/>
      <c r="O997" s="52"/>
    </row>
    <row r="998">
      <c r="M998" s="52"/>
      <c r="N998" s="52"/>
      <c r="O998" s="52"/>
    </row>
    <row r="999">
      <c r="M999" s="52"/>
      <c r="N999" s="52"/>
      <c r="O999" s="52"/>
    </row>
    <row r="1000">
      <c r="M1000" s="52"/>
      <c r="N1000" s="52"/>
      <c r="O1000" s="52"/>
    </row>
  </sheetData>
  <mergeCells count="7">
    <mergeCell ref="A1:A2"/>
    <mergeCell ref="B1:B2"/>
    <mergeCell ref="C1:G1"/>
    <mergeCell ref="H1:I1"/>
    <mergeCell ref="J1:J2"/>
    <mergeCell ref="K1:O1"/>
    <mergeCell ref="P1:U1"/>
  </mergeCells>
  <conditionalFormatting sqref="N3:N9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G3:G9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3:H9">
    <cfRule type="colorScale" priority="3">
      <colorScale>
        <cfvo type="formula" val="0"/>
        <cfvo type="max"/>
        <color rgb="FFFFFFFF"/>
        <color rgb="FF57BB8A"/>
      </colorScale>
    </cfRule>
  </conditionalFormatting>
  <conditionalFormatting sqref="I3:I9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J3:J9">
    <cfRule type="colorScale" priority="5">
      <colorScale>
        <cfvo type="formula" val="0"/>
        <cfvo type="max"/>
        <color rgb="FFFFFFFF"/>
        <color rgb="FF57BB8A"/>
      </colorScale>
    </cfRule>
  </conditionalFormatting>
  <conditionalFormatting sqref="K3:K9">
    <cfRule type="colorScale" priority="6">
      <colorScale>
        <cfvo type="formula" val="0"/>
        <cfvo type="max"/>
        <color rgb="FFFFFFFF"/>
        <color rgb="FF57BB8A"/>
      </colorScale>
    </cfRule>
  </conditionalFormatting>
  <conditionalFormatting sqref="L3:L9">
    <cfRule type="colorScale" priority="7">
      <colorScale>
        <cfvo type="formula" val="0"/>
        <cfvo type="max"/>
        <color rgb="FFFFFFFF"/>
        <color rgb="FFE67C73"/>
      </colorScale>
    </cfRule>
  </conditionalFormatting>
  <conditionalFormatting sqref="C3:C9">
    <cfRule type="colorScale" priority="8">
      <colorScale>
        <cfvo type="formula" val="0"/>
        <cfvo type="max"/>
        <color rgb="FFFFFFFF"/>
        <color rgb="FFFFD666"/>
      </colorScale>
    </cfRule>
  </conditionalFormatting>
  <conditionalFormatting sqref="D3:D9">
    <cfRule type="colorScale" priority="9">
      <colorScale>
        <cfvo type="formula" val="0"/>
        <cfvo type="max"/>
        <color rgb="FFFFFFFF"/>
        <color rgb="FF57BB8A"/>
      </colorScale>
    </cfRule>
  </conditionalFormatting>
  <conditionalFormatting sqref="E3:E9">
    <cfRule type="colorScale" priority="10">
      <colorScale>
        <cfvo type="formula" val="0"/>
        <cfvo type="max"/>
        <color rgb="FFFFFFFF"/>
        <color rgb="FFE67C73"/>
      </colorScale>
    </cfRule>
  </conditionalFormatting>
  <conditionalFormatting sqref="F3:F9">
    <cfRule type="colorScale" priority="11">
      <colorScale>
        <cfvo type="formula" val="0"/>
        <cfvo type="max"/>
        <color rgb="FFFFFFFF"/>
        <color rgb="FF57BB8A"/>
      </colorScale>
    </cfRule>
  </conditionalFormatting>
  <conditionalFormatting sqref="M3:M9">
    <cfRule type="colorScale" priority="12">
      <colorScale>
        <cfvo type="formula" val="0"/>
        <cfvo type="max"/>
        <color rgb="FFFFFFFF"/>
        <color rgb="FFFFD666"/>
      </colorScale>
    </cfRule>
  </conditionalFormatting>
  <conditionalFormatting sqref="O3:O9">
    <cfRule type="colorScale" priority="13">
      <colorScale>
        <cfvo type="formula" val="0"/>
        <cfvo type="formula" val="1"/>
        <color rgb="FFFFFFFF"/>
        <color rgb="FF57BB8A"/>
      </colorScale>
    </cfRule>
  </conditionalFormatting>
  <conditionalFormatting sqref="P3:P9">
    <cfRule type="colorScale" priority="14">
      <colorScale>
        <cfvo type="formula" val="0"/>
        <cfvo type="max"/>
        <color rgb="FFFFFFFF"/>
        <color rgb="FFFFD666"/>
      </colorScale>
    </cfRule>
  </conditionalFormatting>
  <conditionalFormatting sqref="U3:U9">
    <cfRule type="colorScale" priority="15">
      <colorScale>
        <cfvo type="formula" val="0"/>
        <cfvo type="formula" val="2"/>
        <cfvo type="formula" val="3"/>
        <color rgb="FFE67C73"/>
        <color rgb="FFFFFFFF"/>
        <color rgb="FF57BB8A"/>
      </colorScale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7.63"/>
    <col customWidth="1" min="4" max="4" width="5.63"/>
    <col customWidth="1" min="5" max="5" width="6.88"/>
    <col customWidth="1" min="6" max="6" width="8.38"/>
    <col customWidth="1" min="7" max="7" width="15.5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1" t="s">
        <v>4</v>
      </c>
      <c r="K1" s="6" t="s">
        <v>5</v>
      </c>
      <c r="L1" s="4"/>
      <c r="M1" s="4"/>
      <c r="N1" s="4"/>
      <c r="O1" s="5"/>
      <c r="P1" s="30" t="s">
        <v>6</v>
      </c>
      <c r="Q1" s="4"/>
      <c r="R1" s="4"/>
      <c r="S1" s="4"/>
      <c r="T1" s="4"/>
      <c r="U1" s="5"/>
    </row>
    <row r="2">
      <c r="A2" s="9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2" t="s">
        <v>13</v>
      </c>
      <c r="I2" s="12" t="s">
        <v>14</v>
      </c>
      <c r="J2" s="9"/>
      <c r="K2" s="10" t="s">
        <v>15</v>
      </c>
      <c r="L2" s="12" t="s">
        <v>10</v>
      </c>
      <c r="M2" s="10" t="s">
        <v>16</v>
      </c>
      <c r="N2" s="10" t="s">
        <v>12</v>
      </c>
      <c r="O2" s="10" t="s">
        <v>18</v>
      </c>
      <c r="P2" s="15" t="s">
        <v>8</v>
      </c>
      <c r="Q2" s="15">
        <v>0.0</v>
      </c>
      <c r="R2" s="15">
        <v>1.0</v>
      </c>
      <c r="S2" s="15">
        <v>2.0</v>
      </c>
      <c r="T2" s="15">
        <v>3.0</v>
      </c>
      <c r="U2" s="15" t="s">
        <v>19</v>
      </c>
    </row>
    <row r="3">
      <c r="A3" s="18" t="s">
        <v>21</v>
      </c>
      <c r="B3" s="18" t="s">
        <v>85</v>
      </c>
      <c r="C3" s="10">
        <v>9.0</v>
      </c>
      <c r="D3" s="10">
        <v>4.0</v>
      </c>
      <c r="E3" s="10">
        <v>1.0</v>
      </c>
      <c r="F3" s="35"/>
      <c r="G3" s="35">
        <f t="shared" ref="G3:G9" si="1">IFS(C3=0, "N/A", C3&lt;&gt;0,(D3-E3)/C3 )</f>
        <v>0.3333333333</v>
      </c>
      <c r="H3" s="35"/>
      <c r="I3" s="10">
        <v>1.0</v>
      </c>
      <c r="J3" s="10">
        <v>2.0</v>
      </c>
      <c r="K3" s="35"/>
      <c r="L3" s="10"/>
      <c r="M3" s="10">
        <v>2.0</v>
      </c>
      <c r="N3" s="35">
        <f t="shared" ref="N3:N9" si="2">ifs(M3=0,"N/A",M3&lt;&gt;0,(M3-L3) /M3)</f>
        <v>1</v>
      </c>
      <c r="O3" s="35">
        <f t="shared" ref="O3:O9" si="3">IFS(M3=0, "N/A", M3&lt;&gt;0, K3/M3)</f>
        <v>0</v>
      </c>
      <c r="P3" s="10">
        <f t="shared" ref="P3:P9" si="4">sum(Q3,R3,S3,T3)</f>
        <v>2</v>
      </c>
      <c r="Q3" s="35"/>
      <c r="R3" s="10">
        <v>1.0</v>
      </c>
      <c r="S3" s="10"/>
      <c r="T3" s="10">
        <v>1.0</v>
      </c>
      <c r="U3" s="10">
        <f t="shared" ref="U3:U9" si="5">ifs(P3=0, "N/A",P3&lt;&gt;0,(R3 + S3*2 +T3*3)/P3)</f>
        <v>2</v>
      </c>
    </row>
    <row r="4">
      <c r="A4" s="21" t="s">
        <v>24</v>
      </c>
      <c r="B4" s="21" t="s">
        <v>84</v>
      </c>
      <c r="C4" s="10">
        <v>2.0</v>
      </c>
      <c r="D4" s="10">
        <v>1.0</v>
      </c>
      <c r="E4" s="10"/>
      <c r="F4" s="35"/>
      <c r="G4" s="35">
        <f t="shared" si="1"/>
        <v>0.5</v>
      </c>
      <c r="H4" s="10"/>
      <c r="I4" s="10">
        <v>2.0</v>
      </c>
      <c r="J4" s="10">
        <v>1.0</v>
      </c>
      <c r="K4" s="35"/>
      <c r="L4" s="10">
        <v>1.0</v>
      </c>
      <c r="M4" s="10">
        <v>1.0</v>
      </c>
      <c r="N4" s="35">
        <f t="shared" si="2"/>
        <v>0</v>
      </c>
      <c r="O4" s="35">
        <f t="shared" si="3"/>
        <v>0</v>
      </c>
      <c r="P4" s="10">
        <f t="shared" si="4"/>
        <v>4</v>
      </c>
      <c r="Q4" s="10">
        <v>4.0</v>
      </c>
      <c r="R4" s="35"/>
      <c r="S4" s="35"/>
      <c r="T4" s="35"/>
      <c r="U4" s="10">
        <f t="shared" si="5"/>
        <v>0</v>
      </c>
    </row>
    <row r="5">
      <c r="A5" s="22" t="s">
        <v>26</v>
      </c>
      <c r="B5" s="22" t="s">
        <v>42</v>
      </c>
      <c r="C5" s="10">
        <v>1.0</v>
      </c>
      <c r="D5" s="10"/>
      <c r="E5" s="10"/>
      <c r="F5" s="10">
        <v>5.0</v>
      </c>
      <c r="G5" s="35">
        <f t="shared" si="1"/>
        <v>0</v>
      </c>
      <c r="H5" s="10"/>
      <c r="I5" s="10">
        <v>2.0</v>
      </c>
      <c r="J5" s="10">
        <v>1.0</v>
      </c>
      <c r="K5" s="10">
        <v>1.0</v>
      </c>
      <c r="L5" s="35"/>
      <c r="M5" s="10">
        <v>7.0</v>
      </c>
      <c r="N5" s="35">
        <f t="shared" si="2"/>
        <v>1</v>
      </c>
      <c r="O5" s="35">
        <f t="shared" si="3"/>
        <v>0.1428571429</v>
      </c>
      <c r="P5" s="10">
        <f t="shared" si="4"/>
        <v>0</v>
      </c>
      <c r="Q5" s="35"/>
      <c r="R5" s="35"/>
      <c r="S5" s="35"/>
      <c r="T5" s="10"/>
      <c r="U5" s="10" t="str">
        <f t="shared" si="5"/>
        <v>N/A</v>
      </c>
    </row>
    <row r="6">
      <c r="A6" s="23" t="s">
        <v>28</v>
      </c>
      <c r="B6" s="23" t="s">
        <v>43</v>
      </c>
      <c r="C6" s="10">
        <v>4.0</v>
      </c>
      <c r="D6" s="10">
        <v>2.0</v>
      </c>
      <c r="E6" s="10"/>
      <c r="F6" s="35"/>
      <c r="G6" s="35">
        <f t="shared" si="1"/>
        <v>0.5</v>
      </c>
      <c r="H6" s="35"/>
      <c r="I6" s="35"/>
      <c r="J6" s="10">
        <v>2.0</v>
      </c>
      <c r="K6" s="10"/>
      <c r="L6" s="10"/>
      <c r="M6" s="10">
        <v>1.0</v>
      </c>
      <c r="N6" s="35">
        <f t="shared" si="2"/>
        <v>1</v>
      </c>
      <c r="O6" s="35">
        <f t="shared" si="3"/>
        <v>0</v>
      </c>
      <c r="P6" s="10">
        <f t="shared" si="4"/>
        <v>5</v>
      </c>
      <c r="Q6" s="10">
        <v>2.0</v>
      </c>
      <c r="R6" s="10">
        <v>2.0</v>
      </c>
      <c r="S6" s="10"/>
      <c r="T6" s="10">
        <v>1.0</v>
      </c>
      <c r="U6" s="10">
        <f t="shared" si="5"/>
        <v>1</v>
      </c>
    </row>
    <row r="7">
      <c r="A7" s="24" t="s">
        <v>30</v>
      </c>
      <c r="B7" s="24" t="s">
        <v>101</v>
      </c>
      <c r="C7" s="10">
        <v>1.0</v>
      </c>
      <c r="D7" s="10"/>
      <c r="E7" s="10"/>
      <c r="F7" s="35"/>
      <c r="G7" s="35">
        <f t="shared" si="1"/>
        <v>0</v>
      </c>
      <c r="H7" s="35"/>
      <c r="I7" s="35"/>
      <c r="J7" s="10">
        <v>1.0</v>
      </c>
      <c r="K7" s="35"/>
      <c r="L7" s="10">
        <v>1.0</v>
      </c>
      <c r="M7" s="10">
        <v>1.0</v>
      </c>
      <c r="N7" s="35">
        <f t="shared" si="2"/>
        <v>0</v>
      </c>
      <c r="O7" s="35">
        <f t="shared" si="3"/>
        <v>0</v>
      </c>
      <c r="P7" s="10">
        <f t="shared" si="4"/>
        <v>1</v>
      </c>
      <c r="Q7" s="10">
        <v>1.0</v>
      </c>
      <c r="R7" s="35"/>
      <c r="S7" s="10"/>
      <c r="T7" s="35"/>
      <c r="U7" s="10">
        <f t="shared" si="5"/>
        <v>0</v>
      </c>
    </row>
    <row r="8">
      <c r="A8" s="25" t="s">
        <v>32</v>
      </c>
      <c r="B8" s="25" t="s">
        <v>45</v>
      </c>
      <c r="C8" s="10">
        <v>4.0</v>
      </c>
      <c r="D8" s="10"/>
      <c r="E8" s="10">
        <v>2.0</v>
      </c>
      <c r="F8" s="35"/>
      <c r="G8" s="35">
        <f t="shared" si="1"/>
        <v>-0.5</v>
      </c>
      <c r="H8" s="35"/>
      <c r="I8" s="10"/>
      <c r="J8" s="10"/>
      <c r="K8" s="35"/>
      <c r="L8" s="35"/>
      <c r="M8" s="10">
        <v>2.0</v>
      </c>
      <c r="N8" s="35">
        <f t="shared" si="2"/>
        <v>1</v>
      </c>
      <c r="O8" s="35">
        <f t="shared" si="3"/>
        <v>0</v>
      </c>
      <c r="P8" s="10">
        <f t="shared" si="4"/>
        <v>1</v>
      </c>
      <c r="Q8" s="10">
        <v>1.0</v>
      </c>
      <c r="R8" s="10"/>
      <c r="S8" s="35"/>
      <c r="T8" s="35"/>
      <c r="U8" s="10">
        <f t="shared" si="5"/>
        <v>0</v>
      </c>
    </row>
    <row r="9">
      <c r="A9" s="26" t="s">
        <v>34</v>
      </c>
      <c r="B9" s="26" t="s">
        <v>41</v>
      </c>
      <c r="C9" s="10">
        <v>1.0</v>
      </c>
      <c r="D9" s="10"/>
      <c r="E9" s="10">
        <v>1.0</v>
      </c>
      <c r="F9" s="35"/>
      <c r="G9" s="35">
        <f t="shared" si="1"/>
        <v>-1</v>
      </c>
      <c r="H9" s="35"/>
      <c r="I9" s="35"/>
      <c r="J9" s="10">
        <v>3.0</v>
      </c>
      <c r="K9" s="35"/>
      <c r="L9" s="10"/>
      <c r="M9" s="35"/>
      <c r="N9" s="35" t="str">
        <f t="shared" si="2"/>
        <v>N/A</v>
      </c>
      <c r="O9" s="35" t="str">
        <f t="shared" si="3"/>
        <v>N/A</v>
      </c>
      <c r="P9" s="10">
        <f t="shared" si="4"/>
        <v>0</v>
      </c>
      <c r="Q9" s="35"/>
      <c r="R9" s="10"/>
      <c r="S9" s="10"/>
      <c r="T9" s="35"/>
      <c r="U9" s="10" t="str">
        <f t="shared" si="5"/>
        <v>N/A</v>
      </c>
    </row>
    <row r="10">
      <c r="M10" s="52"/>
      <c r="N10" s="52"/>
      <c r="O10" s="52"/>
      <c r="P10" s="52"/>
      <c r="Q10" s="52"/>
      <c r="U10" s="52"/>
    </row>
    <row r="11">
      <c r="M11" s="52"/>
      <c r="N11" s="52"/>
      <c r="O11" s="52"/>
      <c r="P11" s="52"/>
      <c r="Q11" s="52"/>
      <c r="U11" s="52"/>
    </row>
    <row r="12">
      <c r="M12" s="52"/>
      <c r="N12" s="52"/>
      <c r="O12" s="52"/>
      <c r="P12" s="52"/>
      <c r="Q12" s="52"/>
      <c r="U12" s="52"/>
    </row>
    <row r="13">
      <c r="M13" s="52"/>
      <c r="N13" s="52"/>
      <c r="O13" s="52"/>
      <c r="P13" s="52"/>
      <c r="Q13" s="52"/>
      <c r="U13" s="52"/>
    </row>
    <row r="14">
      <c r="M14" s="52"/>
      <c r="N14" s="52"/>
      <c r="O14" s="52"/>
      <c r="P14" s="52"/>
      <c r="Q14" s="52"/>
      <c r="U14" s="52"/>
    </row>
    <row r="15">
      <c r="M15" s="52"/>
      <c r="N15" s="52"/>
      <c r="O15" s="52"/>
      <c r="P15" s="52"/>
      <c r="Q15" s="52"/>
      <c r="U15" s="52"/>
    </row>
    <row r="16">
      <c r="M16" s="52"/>
      <c r="N16" s="52"/>
      <c r="O16" s="52"/>
      <c r="P16" s="52"/>
      <c r="Q16" s="52"/>
      <c r="U16" s="52"/>
    </row>
    <row r="17">
      <c r="M17" s="52"/>
      <c r="N17" s="52"/>
      <c r="O17" s="52"/>
      <c r="P17" s="52"/>
      <c r="Q17" s="52"/>
      <c r="U17" s="52"/>
    </row>
    <row r="18">
      <c r="M18" s="52"/>
      <c r="N18" s="52"/>
      <c r="O18" s="52"/>
      <c r="P18" s="52"/>
      <c r="Q18" s="52"/>
      <c r="U18" s="52"/>
    </row>
    <row r="19">
      <c r="M19" s="52"/>
      <c r="N19" s="52"/>
      <c r="O19" s="52"/>
      <c r="P19" s="52"/>
      <c r="Q19" s="52"/>
      <c r="U19" s="52"/>
    </row>
    <row r="20">
      <c r="M20" s="52"/>
      <c r="N20" s="52"/>
      <c r="O20" s="52"/>
      <c r="P20" s="52"/>
      <c r="Q20" s="52"/>
      <c r="U20" s="52"/>
    </row>
    <row r="21">
      <c r="M21" s="52"/>
      <c r="N21" s="52"/>
      <c r="O21" s="52"/>
      <c r="P21" s="52"/>
      <c r="Q21" s="52"/>
      <c r="U21" s="52"/>
    </row>
    <row r="22">
      <c r="M22" s="52"/>
      <c r="N22" s="52"/>
      <c r="O22" s="52"/>
      <c r="P22" s="52"/>
      <c r="Q22" s="52"/>
      <c r="U22" s="52"/>
    </row>
    <row r="23">
      <c r="M23" s="52"/>
      <c r="N23" s="52"/>
      <c r="O23" s="52"/>
      <c r="P23" s="52"/>
      <c r="Q23" s="52"/>
      <c r="U23" s="52"/>
    </row>
    <row r="24">
      <c r="M24" s="52"/>
      <c r="N24" s="52"/>
      <c r="O24" s="52"/>
      <c r="P24" s="52"/>
      <c r="Q24" s="52"/>
      <c r="U24" s="52"/>
    </row>
    <row r="25">
      <c r="M25" s="52"/>
      <c r="N25" s="52"/>
      <c r="O25" s="52"/>
      <c r="P25" s="52"/>
      <c r="Q25" s="52"/>
      <c r="U25" s="52"/>
    </row>
    <row r="26">
      <c r="M26" s="52"/>
      <c r="N26" s="52"/>
      <c r="O26" s="52"/>
      <c r="P26" s="52"/>
      <c r="Q26" s="52"/>
      <c r="U26" s="52"/>
    </row>
    <row r="27">
      <c r="M27" s="52"/>
      <c r="N27" s="52"/>
      <c r="O27" s="52"/>
      <c r="P27" s="52"/>
      <c r="Q27" s="52"/>
      <c r="U27" s="52"/>
    </row>
    <row r="28">
      <c r="M28" s="52"/>
      <c r="N28" s="52"/>
      <c r="O28" s="52"/>
      <c r="P28" s="52"/>
      <c r="Q28" s="52"/>
      <c r="U28" s="52"/>
    </row>
    <row r="29">
      <c r="M29" s="52"/>
      <c r="N29" s="52"/>
      <c r="O29" s="52"/>
      <c r="P29" s="52"/>
      <c r="Q29" s="52"/>
      <c r="U29" s="52"/>
    </row>
    <row r="30">
      <c r="M30" s="52"/>
      <c r="N30" s="52"/>
      <c r="O30" s="52"/>
      <c r="P30" s="52"/>
      <c r="Q30" s="52"/>
      <c r="U30" s="52"/>
    </row>
    <row r="31">
      <c r="M31" s="52"/>
      <c r="N31" s="52"/>
      <c r="O31" s="52"/>
      <c r="P31" s="52"/>
      <c r="Q31" s="52"/>
      <c r="U31" s="52"/>
    </row>
    <row r="32">
      <c r="M32" s="52"/>
      <c r="N32" s="52"/>
      <c r="O32" s="52"/>
      <c r="P32" s="52"/>
      <c r="Q32" s="52"/>
      <c r="U32" s="52"/>
    </row>
    <row r="33">
      <c r="M33" s="52"/>
      <c r="N33" s="52"/>
      <c r="O33" s="52"/>
      <c r="P33" s="52"/>
      <c r="Q33" s="52"/>
      <c r="U33" s="52"/>
    </row>
    <row r="34">
      <c r="M34" s="52"/>
      <c r="N34" s="52"/>
      <c r="O34" s="52"/>
      <c r="P34" s="52"/>
      <c r="Q34" s="52"/>
      <c r="U34" s="52"/>
    </row>
    <row r="35">
      <c r="M35" s="52"/>
      <c r="N35" s="52"/>
      <c r="O35" s="52"/>
      <c r="P35" s="52"/>
      <c r="Q35" s="52"/>
      <c r="U35" s="52"/>
    </row>
    <row r="36">
      <c r="M36" s="52"/>
      <c r="N36" s="52"/>
      <c r="O36" s="52"/>
      <c r="P36" s="52"/>
      <c r="Q36" s="52"/>
      <c r="U36" s="52"/>
    </row>
    <row r="37">
      <c r="M37" s="52"/>
      <c r="N37" s="52"/>
      <c r="O37" s="52"/>
      <c r="P37" s="52"/>
      <c r="Q37" s="52"/>
      <c r="U37" s="52"/>
    </row>
    <row r="38">
      <c r="M38" s="52"/>
      <c r="N38" s="52"/>
      <c r="O38" s="52"/>
      <c r="P38" s="52"/>
      <c r="Q38" s="52"/>
      <c r="U38" s="52"/>
    </row>
    <row r="39">
      <c r="M39" s="52"/>
      <c r="N39" s="52"/>
      <c r="O39" s="52"/>
      <c r="P39" s="52"/>
      <c r="Q39" s="52"/>
      <c r="U39" s="52"/>
    </row>
    <row r="40">
      <c r="M40" s="52"/>
      <c r="N40" s="52"/>
      <c r="O40" s="52"/>
      <c r="P40" s="52"/>
      <c r="Q40" s="52"/>
      <c r="U40" s="52"/>
    </row>
    <row r="41">
      <c r="M41" s="52"/>
      <c r="N41" s="52"/>
      <c r="O41" s="52"/>
      <c r="P41" s="52"/>
      <c r="Q41" s="52"/>
      <c r="U41" s="52"/>
    </row>
    <row r="42">
      <c r="M42" s="52"/>
      <c r="N42" s="52"/>
      <c r="O42" s="52"/>
      <c r="P42" s="52"/>
      <c r="Q42" s="52"/>
      <c r="U42" s="52"/>
    </row>
    <row r="43">
      <c r="M43" s="52"/>
      <c r="N43" s="52"/>
      <c r="O43" s="52"/>
      <c r="P43" s="52"/>
      <c r="Q43" s="52"/>
      <c r="U43" s="52"/>
    </row>
    <row r="44">
      <c r="M44" s="52"/>
      <c r="N44" s="52"/>
      <c r="O44" s="52"/>
      <c r="P44" s="52"/>
      <c r="Q44" s="52"/>
      <c r="U44" s="52"/>
    </row>
    <row r="45">
      <c r="M45" s="52"/>
      <c r="N45" s="52"/>
      <c r="O45" s="52"/>
      <c r="P45" s="52"/>
      <c r="Q45" s="52"/>
      <c r="U45" s="52"/>
    </row>
    <row r="46">
      <c r="M46" s="52"/>
      <c r="N46" s="52"/>
      <c r="O46" s="52"/>
      <c r="P46" s="52"/>
      <c r="Q46" s="52"/>
      <c r="U46" s="52"/>
    </row>
    <row r="47">
      <c r="M47" s="52"/>
      <c r="N47" s="52"/>
      <c r="O47" s="52"/>
      <c r="P47" s="52"/>
      <c r="Q47" s="52"/>
      <c r="U47" s="52"/>
    </row>
    <row r="48">
      <c r="M48" s="52"/>
      <c r="N48" s="52"/>
      <c r="O48" s="52"/>
      <c r="P48" s="52"/>
      <c r="Q48" s="52"/>
      <c r="U48" s="52"/>
    </row>
    <row r="49">
      <c r="M49" s="52"/>
      <c r="N49" s="52"/>
      <c r="O49" s="52"/>
      <c r="P49" s="52"/>
      <c r="Q49" s="52"/>
      <c r="U49" s="52"/>
    </row>
    <row r="50">
      <c r="M50" s="52"/>
      <c r="N50" s="52"/>
      <c r="O50" s="52"/>
      <c r="P50" s="52"/>
      <c r="Q50" s="52"/>
      <c r="U50" s="52"/>
    </row>
    <row r="51">
      <c r="M51" s="52"/>
      <c r="N51" s="52"/>
      <c r="O51" s="52"/>
      <c r="P51" s="52"/>
      <c r="Q51" s="52"/>
      <c r="U51" s="52"/>
    </row>
    <row r="52">
      <c r="M52" s="52"/>
      <c r="N52" s="52"/>
      <c r="O52" s="52"/>
      <c r="P52" s="52"/>
      <c r="Q52" s="52"/>
      <c r="U52" s="52"/>
    </row>
    <row r="53">
      <c r="M53" s="52"/>
      <c r="N53" s="52"/>
      <c r="O53" s="52"/>
      <c r="P53" s="52"/>
      <c r="Q53" s="52"/>
      <c r="U53" s="52"/>
    </row>
    <row r="54">
      <c r="M54" s="52"/>
      <c r="N54" s="52"/>
      <c r="O54" s="52"/>
      <c r="P54" s="52"/>
      <c r="Q54" s="52"/>
      <c r="U54" s="52"/>
    </row>
    <row r="55">
      <c r="M55" s="52"/>
      <c r="N55" s="52"/>
      <c r="O55" s="52"/>
      <c r="P55" s="52"/>
      <c r="Q55" s="52"/>
      <c r="U55" s="52"/>
    </row>
    <row r="56">
      <c r="M56" s="52"/>
      <c r="N56" s="52"/>
      <c r="O56" s="52"/>
      <c r="P56" s="52"/>
      <c r="Q56" s="52"/>
      <c r="U56" s="52"/>
    </row>
    <row r="57">
      <c r="M57" s="52"/>
      <c r="N57" s="52"/>
      <c r="O57" s="52"/>
      <c r="P57" s="52"/>
      <c r="Q57" s="52"/>
      <c r="U57" s="52"/>
    </row>
    <row r="58">
      <c r="M58" s="52"/>
      <c r="N58" s="52"/>
      <c r="O58" s="52"/>
      <c r="P58" s="52"/>
      <c r="Q58" s="52"/>
      <c r="U58" s="52"/>
    </row>
    <row r="59">
      <c r="M59" s="52"/>
      <c r="N59" s="52"/>
      <c r="O59" s="52"/>
      <c r="P59" s="52"/>
      <c r="Q59" s="52"/>
      <c r="U59" s="52"/>
    </row>
    <row r="60">
      <c r="M60" s="52"/>
      <c r="N60" s="52"/>
      <c r="O60" s="52"/>
      <c r="P60" s="52"/>
      <c r="Q60" s="52"/>
      <c r="U60" s="52"/>
    </row>
    <row r="61">
      <c r="M61" s="52"/>
      <c r="N61" s="52"/>
      <c r="O61" s="52"/>
      <c r="P61" s="52"/>
      <c r="Q61" s="52"/>
      <c r="U61" s="52"/>
    </row>
    <row r="62">
      <c r="M62" s="52"/>
      <c r="N62" s="52"/>
      <c r="O62" s="52"/>
      <c r="P62" s="52"/>
      <c r="Q62" s="52"/>
      <c r="U62" s="52"/>
    </row>
    <row r="63">
      <c r="M63" s="52"/>
      <c r="N63" s="52"/>
      <c r="O63" s="52"/>
      <c r="P63" s="52"/>
      <c r="Q63" s="52"/>
      <c r="U63" s="52"/>
    </row>
    <row r="64">
      <c r="M64" s="52"/>
      <c r="N64" s="52"/>
      <c r="O64" s="52"/>
      <c r="P64" s="52"/>
      <c r="Q64" s="52"/>
      <c r="U64" s="52"/>
    </row>
    <row r="65">
      <c r="M65" s="52"/>
      <c r="N65" s="52"/>
      <c r="O65" s="52"/>
      <c r="P65" s="52"/>
      <c r="Q65" s="52"/>
      <c r="U65" s="52"/>
    </row>
    <row r="66">
      <c r="M66" s="52"/>
      <c r="N66" s="52"/>
      <c r="O66" s="52"/>
      <c r="P66" s="52"/>
      <c r="Q66" s="52"/>
      <c r="U66" s="52"/>
    </row>
    <row r="67">
      <c r="M67" s="52"/>
      <c r="N67" s="52"/>
      <c r="O67" s="52"/>
      <c r="P67" s="52"/>
      <c r="Q67" s="52"/>
      <c r="U67" s="52"/>
    </row>
    <row r="68">
      <c r="M68" s="52"/>
      <c r="N68" s="52"/>
      <c r="O68" s="52"/>
      <c r="P68" s="52"/>
      <c r="Q68" s="52"/>
      <c r="U68" s="52"/>
    </row>
    <row r="69">
      <c r="M69" s="52"/>
      <c r="N69" s="52"/>
      <c r="O69" s="52"/>
      <c r="P69" s="52"/>
      <c r="Q69" s="52"/>
      <c r="U69" s="52"/>
    </row>
    <row r="70">
      <c r="M70" s="52"/>
      <c r="N70" s="52"/>
      <c r="O70" s="52"/>
      <c r="P70" s="52"/>
      <c r="Q70" s="52"/>
      <c r="U70" s="52"/>
    </row>
    <row r="71">
      <c r="M71" s="52"/>
      <c r="N71" s="52"/>
      <c r="O71" s="52"/>
      <c r="P71" s="52"/>
      <c r="Q71" s="52"/>
      <c r="U71" s="52"/>
    </row>
    <row r="72">
      <c r="M72" s="52"/>
      <c r="N72" s="52"/>
      <c r="O72" s="52"/>
      <c r="P72" s="52"/>
      <c r="Q72" s="52"/>
      <c r="U72" s="52"/>
    </row>
    <row r="73">
      <c r="M73" s="52"/>
      <c r="N73" s="52"/>
      <c r="O73" s="52"/>
      <c r="P73" s="52"/>
      <c r="Q73" s="52"/>
      <c r="U73" s="52"/>
    </row>
    <row r="74">
      <c r="M74" s="52"/>
      <c r="N74" s="52"/>
      <c r="O74" s="52"/>
      <c r="P74" s="52"/>
      <c r="Q74" s="52"/>
      <c r="U74" s="52"/>
    </row>
    <row r="75">
      <c r="M75" s="52"/>
      <c r="N75" s="52"/>
      <c r="O75" s="52"/>
      <c r="P75" s="52"/>
      <c r="Q75" s="52"/>
      <c r="U75" s="52"/>
    </row>
    <row r="76">
      <c r="M76" s="52"/>
      <c r="N76" s="52"/>
      <c r="O76" s="52"/>
      <c r="P76" s="52"/>
      <c r="Q76" s="52"/>
      <c r="U76" s="52"/>
    </row>
    <row r="77">
      <c r="M77" s="52"/>
      <c r="N77" s="52"/>
      <c r="O77" s="52"/>
      <c r="P77" s="52"/>
      <c r="Q77" s="52"/>
      <c r="U77" s="52"/>
    </row>
    <row r="78">
      <c r="M78" s="52"/>
      <c r="N78" s="52"/>
      <c r="O78" s="52"/>
      <c r="P78" s="52"/>
      <c r="Q78" s="52"/>
      <c r="U78" s="52"/>
    </row>
    <row r="79">
      <c r="M79" s="52"/>
      <c r="N79" s="52"/>
      <c r="O79" s="52"/>
      <c r="P79" s="52"/>
      <c r="Q79" s="52"/>
      <c r="U79" s="52"/>
    </row>
    <row r="80">
      <c r="M80" s="52"/>
      <c r="N80" s="52"/>
      <c r="O80" s="52"/>
      <c r="P80" s="52"/>
      <c r="Q80" s="52"/>
      <c r="U80" s="52"/>
    </row>
    <row r="81">
      <c r="M81" s="52"/>
      <c r="N81" s="52"/>
      <c r="O81" s="52"/>
      <c r="P81" s="52"/>
      <c r="Q81" s="52"/>
      <c r="U81" s="52"/>
    </row>
    <row r="82">
      <c r="M82" s="52"/>
      <c r="N82" s="52"/>
      <c r="O82" s="52"/>
      <c r="P82" s="52"/>
      <c r="Q82" s="52"/>
      <c r="U82" s="52"/>
    </row>
    <row r="83">
      <c r="M83" s="52"/>
      <c r="N83" s="52"/>
      <c r="O83" s="52"/>
      <c r="P83" s="52"/>
      <c r="Q83" s="52"/>
      <c r="U83" s="52"/>
    </row>
    <row r="84">
      <c r="M84" s="52"/>
      <c r="N84" s="52"/>
      <c r="O84" s="52"/>
      <c r="P84" s="52"/>
      <c r="Q84" s="52"/>
      <c r="U84" s="52"/>
    </row>
    <row r="85">
      <c r="M85" s="52"/>
      <c r="N85" s="52"/>
      <c r="O85" s="52"/>
      <c r="P85" s="52"/>
      <c r="Q85" s="52"/>
      <c r="U85" s="52"/>
    </row>
    <row r="86">
      <c r="M86" s="52"/>
      <c r="N86" s="52"/>
      <c r="O86" s="52"/>
      <c r="P86" s="52"/>
      <c r="Q86" s="52"/>
      <c r="U86" s="52"/>
    </row>
    <row r="87">
      <c r="M87" s="52"/>
      <c r="N87" s="52"/>
      <c r="O87" s="52"/>
      <c r="P87" s="52"/>
      <c r="Q87" s="52"/>
      <c r="U87" s="52"/>
    </row>
    <row r="88">
      <c r="M88" s="52"/>
      <c r="N88" s="52"/>
      <c r="O88" s="52"/>
      <c r="P88" s="52"/>
      <c r="Q88" s="52"/>
      <c r="U88" s="52"/>
    </row>
    <row r="89">
      <c r="M89" s="52"/>
      <c r="N89" s="52"/>
      <c r="O89" s="52"/>
      <c r="P89" s="52"/>
      <c r="Q89" s="52"/>
      <c r="U89" s="52"/>
    </row>
    <row r="90">
      <c r="M90" s="52"/>
      <c r="N90" s="52"/>
      <c r="O90" s="52"/>
      <c r="P90" s="52"/>
      <c r="Q90" s="52"/>
      <c r="U90" s="52"/>
    </row>
    <row r="91">
      <c r="M91" s="52"/>
      <c r="N91" s="52"/>
      <c r="O91" s="52"/>
      <c r="P91" s="52"/>
      <c r="Q91" s="52"/>
      <c r="U91" s="52"/>
    </row>
    <row r="92">
      <c r="M92" s="52"/>
      <c r="N92" s="52"/>
      <c r="O92" s="52"/>
      <c r="P92" s="52"/>
      <c r="Q92" s="52"/>
      <c r="U92" s="52"/>
    </row>
    <row r="93">
      <c r="M93" s="52"/>
      <c r="N93" s="52"/>
      <c r="O93" s="52"/>
      <c r="P93" s="52"/>
      <c r="Q93" s="52"/>
      <c r="U93" s="52"/>
    </row>
    <row r="94">
      <c r="M94" s="52"/>
      <c r="N94" s="52"/>
      <c r="O94" s="52"/>
      <c r="P94" s="52"/>
      <c r="Q94" s="52"/>
      <c r="U94" s="52"/>
    </row>
    <row r="95">
      <c r="M95" s="52"/>
      <c r="N95" s="52"/>
      <c r="O95" s="52"/>
      <c r="P95" s="52"/>
      <c r="Q95" s="52"/>
      <c r="U95" s="52"/>
    </row>
    <row r="96">
      <c r="M96" s="52"/>
      <c r="N96" s="52"/>
      <c r="O96" s="52"/>
      <c r="P96" s="52"/>
      <c r="Q96" s="52"/>
      <c r="U96" s="52"/>
    </row>
    <row r="97">
      <c r="M97" s="52"/>
      <c r="N97" s="52"/>
      <c r="O97" s="52"/>
      <c r="P97" s="52"/>
      <c r="Q97" s="52"/>
      <c r="U97" s="52"/>
    </row>
    <row r="98">
      <c r="M98" s="52"/>
      <c r="N98" s="52"/>
      <c r="O98" s="52"/>
      <c r="P98" s="52"/>
      <c r="Q98" s="52"/>
      <c r="U98" s="52"/>
    </row>
    <row r="99">
      <c r="M99" s="52"/>
      <c r="N99" s="52"/>
      <c r="O99" s="52"/>
      <c r="P99" s="52"/>
      <c r="Q99" s="52"/>
      <c r="U99" s="52"/>
    </row>
    <row r="100">
      <c r="M100" s="52"/>
      <c r="N100" s="52"/>
      <c r="O100" s="52"/>
      <c r="P100" s="52"/>
      <c r="Q100" s="52"/>
      <c r="U100" s="52"/>
    </row>
    <row r="101">
      <c r="M101" s="52"/>
      <c r="N101" s="52"/>
      <c r="O101" s="52"/>
      <c r="P101" s="52"/>
      <c r="Q101" s="52"/>
      <c r="U101" s="52"/>
    </row>
    <row r="102">
      <c r="M102" s="52"/>
      <c r="N102" s="52"/>
      <c r="O102" s="52"/>
      <c r="P102" s="52"/>
      <c r="Q102" s="52"/>
      <c r="U102" s="52"/>
    </row>
    <row r="103">
      <c r="M103" s="52"/>
      <c r="N103" s="52"/>
      <c r="O103" s="52"/>
      <c r="P103" s="52"/>
      <c r="Q103" s="52"/>
      <c r="U103" s="52"/>
    </row>
    <row r="104">
      <c r="M104" s="52"/>
      <c r="N104" s="52"/>
      <c r="O104" s="52"/>
      <c r="P104" s="52"/>
      <c r="Q104" s="52"/>
      <c r="U104" s="52"/>
    </row>
    <row r="105">
      <c r="M105" s="52"/>
      <c r="N105" s="52"/>
      <c r="O105" s="52"/>
      <c r="P105" s="52"/>
      <c r="Q105" s="52"/>
      <c r="U105" s="52"/>
    </row>
    <row r="106">
      <c r="M106" s="52"/>
      <c r="N106" s="52"/>
      <c r="O106" s="52"/>
      <c r="P106" s="52"/>
      <c r="Q106" s="52"/>
      <c r="U106" s="52"/>
    </row>
    <row r="107">
      <c r="M107" s="52"/>
      <c r="N107" s="52"/>
      <c r="O107" s="52"/>
      <c r="P107" s="52"/>
      <c r="Q107" s="52"/>
      <c r="U107" s="52"/>
    </row>
    <row r="108">
      <c r="M108" s="52"/>
      <c r="N108" s="52"/>
      <c r="O108" s="52"/>
      <c r="P108" s="52"/>
      <c r="Q108" s="52"/>
      <c r="U108" s="52"/>
    </row>
    <row r="109">
      <c r="M109" s="52"/>
      <c r="N109" s="52"/>
      <c r="O109" s="52"/>
      <c r="P109" s="52"/>
      <c r="Q109" s="52"/>
      <c r="U109" s="52"/>
    </row>
    <row r="110">
      <c r="M110" s="52"/>
      <c r="N110" s="52"/>
      <c r="O110" s="52"/>
      <c r="P110" s="52"/>
      <c r="Q110" s="52"/>
      <c r="U110" s="52"/>
    </row>
    <row r="111">
      <c r="M111" s="52"/>
      <c r="N111" s="52"/>
      <c r="O111" s="52"/>
      <c r="P111" s="52"/>
      <c r="Q111" s="52"/>
      <c r="U111" s="52"/>
    </row>
    <row r="112">
      <c r="M112" s="52"/>
      <c r="N112" s="52"/>
      <c r="O112" s="52"/>
      <c r="P112" s="52"/>
      <c r="Q112" s="52"/>
      <c r="U112" s="52"/>
    </row>
    <row r="113">
      <c r="M113" s="52"/>
      <c r="N113" s="52"/>
      <c r="O113" s="52"/>
      <c r="P113" s="52"/>
      <c r="Q113" s="52"/>
      <c r="U113" s="52"/>
    </row>
    <row r="114">
      <c r="M114" s="52"/>
      <c r="N114" s="52"/>
      <c r="O114" s="52"/>
      <c r="P114" s="52"/>
      <c r="Q114" s="52"/>
      <c r="U114" s="52"/>
    </row>
    <row r="115">
      <c r="M115" s="52"/>
      <c r="N115" s="52"/>
      <c r="O115" s="52"/>
      <c r="P115" s="52"/>
      <c r="Q115" s="52"/>
      <c r="U115" s="52"/>
    </row>
    <row r="116">
      <c r="M116" s="52"/>
      <c r="N116" s="52"/>
      <c r="O116" s="52"/>
      <c r="P116" s="52"/>
      <c r="Q116" s="52"/>
      <c r="U116" s="52"/>
    </row>
    <row r="117">
      <c r="M117" s="52"/>
      <c r="N117" s="52"/>
      <c r="O117" s="52"/>
      <c r="P117" s="52"/>
      <c r="Q117" s="52"/>
      <c r="U117" s="52"/>
    </row>
    <row r="118">
      <c r="M118" s="52"/>
      <c r="N118" s="52"/>
      <c r="O118" s="52"/>
      <c r="P118" s="52"/>
      <c r="Q118" s="52"/>
      <c r="U118" s="52"/>
    </row>
    <row r="119">
      <c r="M119" s="52"/>
      <c r="N119" s="52"/>
      <c r="O119" s="52"/>
      <c r="P119" s="52"/>
      <c r="Q119" s="52"/>
      <c r="U119" s="52"/>
    </row>
    <row r="120">
      <c r="M120" s="52"/>
      <c r="N120" s="52"/>
      <c r="O120" s="52"/>
      <c r="P120" s="52"/>
      <c r="Q120" s="52"/>
      <c r="U120" s="52"/>
    </row>
    <row r="121">
      <c r="M121" s="52"/>
      <c r="N121" s="52"/>
      <c r="O121" s="52"/>
      <c r="P121" s="52"/>
      <c r="Q121" s="52"/>
      <c r="U121" s="52"/>
    </row>
    <row r="122">
      <c r="M122" s="52"/>
      <c r="N122" s="52"/>
      <c r="O122" s="52"/>
      <c r="P122" s="52"/>
      <c r="Q122" s="52"/>
      <c r="U122" s="52"/>
    </row>
    <row r="123">
      <c r="M123" s="52"/>
      <c r="N123" s="52"/>
      <c r="O123" s="52"/>
      <c r="P123" s="52"/>
      <c r="Q123" s="52"/>
      <c r="U123" s="52"/>
    </row>
    <row r="124">
      <c r="M124" s="52"/>
      <c r="N124" s="52"/>
      <c r="O124" s="52"/>
      <c r="P124" s="52"/>
      <c r="Q124" s="52"/>
      <c r="U124" s="52"/>
    </row>
    <row r="125">
      <c r="M125" s="52"/>
      <c r="N125" s="52"/>
      <c r="O125" s="52"/>
      <c r="P125" s="52"/>
      <c r="Q125" s="52"/>
      <c r="U125" s="52"/>
    </row>
    <row r="126">
      <c r="M126" s="52"/>
      <c r="N126" s="52"/>
      <c r="O126" s="52"/>
      <c r="P126" s="52"/>
      <c r="Q126" s="52"/>
      <c r="U126" s="52"/>
    </row>
    <row r="127">
      <c r="M127" s="52"/>
      <c r="N127" s="52"/>
      <c r="O127" s="52"/>
      <c r="P127" s="52"/>
      <c r="Q127" s="52"/>
      <c r="U127" s="52"/>
    </row>
    <row r="128">
      <c r="M128" s="52"/>
      <c r="N128" s="52"/>
      <c r="O128" s="52"/>
      <c r="P128" s="52"/>
      <c r="Q128" s="52"/>
      <c r="U128" s="52"/>
    </row>
    <row r="129">
      <c r="M129" s="52"/>
      <c r="N129" s="52"/>
      <c r="O129" s="52"/>
      <c r="P129" s="52"/>
      <c r="Q129" s="52"/>
      <c r="U129" s="52"/>
    </row>
    <row r="130">
      <c r="M130" s="52"/>
      <c r="N130" s="52"/>
      <c r="O130" s="52"/>
      <c r="P130" s="52"/>
      <c r="Q130" s="52"/>
      <c r="U130" s="52"/>
    </row>
    <row r="131">
      <c r="M131" s="52"/>
      <c r="N131" s="52"/>
      <c r="O131" s="52"/>
      <c r="P131" s="52"/>
      <c r="Q131" s="52"/>
      <c r="U131" s="52"/>
    </row>
    <row r="132">
      <c r="M132" s="52"/>
      <c r="N132" s="52"/>
      <c r="O132" s="52"/>
      <c r="P132" s="52"/>
      <c r="Q132" s="52"/>
      <c r="U132" s="52"/>
    </row>
    <row r="133">
      <c r="M133" s="52"/>
      <c r="N133" s="52"/>
      <c r="O133" s="52"/>
      <c r="P133" s="52"/>
      <c r="Q133" s="52"/>
      <c r="U133" s="52"/>
    </row>
    <row r="134">
      <c r="M134" s="52"/>
      <c r="N134" s="52"/>
      <c r="O134" s="52"/>
      <c r="P134" s="52"/>
      <c r="Q134" s="52"/>
      <c r="U134" s="52"/>
    </row>
    <row r="135">
      <c r="M135" s="52"/>
      <c r="N135" s="52"/>
      <c r="O135" s="52"/>
      <c r="P135" s="52"/>
      <c r="Q135" s="52"/>
      <c r="U135" s="52"/>
    </row>
    <row r="136">
      <c r="M136" s="52"/>
      <c r="N136" s="52"/>
      <c r="O136" s="52"/>
      <c r="P136" s="52"/>
      <c r="Q136" s="52"/>
      <c r="U136" s="52"/>
    </row>
    <row r="137">
      <c r="M137" s="52"/>
      <c r="N137" s="52"/>
      <c r="O137" s="52"/>
      <c r="P137" s="52"/>
      <c r="Q137" s="52"/>
      <c r="U137" s="52"/>
    </row>
    <row r="138">
      <c r="M138" s="52"/>
      <c r="N138" s="52"/>
      <c r="O138" s="52"/>
      <c r="P138" s="52"/>
      <c r="Q138" s="52"/>
      <c r="U138" s="52"/>
    </row>
    <row r="139">
      <c r="M139" s="52"/>
      <c r="N139" s="52"/>
      <c r="O139" s="52"/>
      <c r="P139" s="52"/>
      <c r="Q139" s="52"/>
      <c r="U139" s="52"/>
    </row>
    <row r="140">
      <c r="M140" s="52"/>
      <c r="N140" s="52"/>
      <c r="O140" s="52"/>
      <c r="P140" s="52"/>
      <c r="Q140" s="52"/>
      <c r="U140" s="52"/>
    </row>
    <row r="141">
      <c r="M141" s="52"/>
      <c r="N141" s="52"/>
      <c r="O141" s="52"/>
      <c r="P141" s="52"/>
      <c r="Q141" s="52"/>
      <c r="U141" s="52"/>
    </row>
    <row r="142">
      <c r="M142" s="52"/>
      <c r="N142" s="52"/>
      <c r="O142" s="52"/>
      <c r="P142" s="52"/>
      <c r="Q142" s="52"/>
      <c r="U142" s="52"/>
    </row>
    <row r="143">
      <c r="M143" s="52"/>
      <c r="N143" s="52"/>
      <c r="O143" s="52"/>
      <c r="P143" s="52"/>
      <c r="Q143" s="52"/>
      <c r="U143" s="52"/>
    </row>
    <row r="144">
      <c r="M144" s="52"/>
      <c r="N144" s="52"/>
      <c r="O144" s="52"/>
      <c r="P144" s="52"/>
      <c r="Q144" s="52"/>
      <c r="U144" s="52"/>
    </row>
    <row r="145">
      <c r="M145" s="52"/>
      <c r="N145" s="52"/>
      <c r="O145" s="52"/>
      <c r="P145" s="52"/>
      <c r="Q145" s="52"/>
      <c r="U145" s="52"/>
    </row>
    <row r="146">
      <c r="M146" s="52"/>
      <c r="N146" s="52"/>
      <c r="O146" s="52"/>
      <c r="P146" s="52"/>
      <c r="Q146" s="52"/>
      <c r="U146" s="52"/>
    </row>
    <row r="147">
      <c r="M147" s="52"/>
      <c r="N147" s="52"/>
      <c r="O147" s="52"/>
      <c r="P147" s="52"/>
      <c r="Q147" s="52"/>
      <c r="U147" s="52"/>
    </row>
    <row r="148">
      <c r="M148" s="52"/>
      <c r="N148" s="52"/>
      <c r="O148" s="52"/>
      <c r="P148" s="52"/>
      <c r="Q148" s="52"/>
      <c r="U148" s="52"/>
    </row>
    <row r="149">
      <c r="M149" s="52"/>
      <c r="N149" s="52"/>
      <c r="O149" s="52"/>
      <c r="P149" s="52"/>
      <c r="Q149" s="52"/>
      <c r="U149" s="52"/>
    </row>
    <row r="150">
      <c r="M150" s="52"/>
      <c r="N150" s="52"/>
      <c r="O150" s="52"/>
      <c r="P150" s="52"/>
      <c r="Q150" s="52"/>
      <c r="U150" s="52"/>
    </row>
    <row r="151">
      <c r="M151" s="52"/>
      <c r="N151" s="52"/>
      <c r="O151" s="52"/>
      <c r="P151" s="52"/>
      <c r="Q151" s="52"/>
      <c r="U151" s="52"/>
    </row>
    <row r="152">
      <c r="M152" s="52"/>
      <c r="N152" s="52"/>
      <c r="O152" s="52"/>
      <c r="P152" s="52"/>
      <c r="Q152" s="52"/>
      <c r="U152" s="52"/>
    </row>
    <row r="153">
      <c r="M153" s="52"/>
      <c r="N153" s="52"/>
      <c r="O153" s="52"/>
      <c r="P153" s="52"/>
      <c r="Q153" s="52"/>
      <c r="U153" s="52"/>
    </row>
    <row r="154">
      <c r="M154" s="52"/>
      <c r="N154" s="52"/>
      <c r="O154" s="52"/>
      <c r="P154" s="52"/>
      <c r="Q154" s="52"/>
      <c r="U154" s="52"/>
    </row>
    <row r="155">
      <c r="M155" s="52"/>
      <c r="N155" s="52"/>
      <c r="O155" s="52"/>
      <c r="P155" s="52"/>
      <c r="Q155" s="52"/>
      <c r="U155" s="52"/>
    </row>
    <row r="156">
      <c r="M156" s="52"/>
      <c r="N156" s="52"/>
      <c r="O156" s="52"/>
      <c r="P156" s="52"/>
      <c r="Q156" s="52"/>
      <c r="U156" s="52"/>
    </row>
    <row r="157">
      <c r="M157" s="52"/>
      <c r="N157" s="52"/>
      <c r="O157" s="52"/>
      <c r="P157" s="52"/>
      <c r="Q157" s="52"/>
      <c r="U157" s="52"/>
    </row>
    <row r="158">
      <c r="M158" s="52"/>
      <c r="N158" s="52"/>
      <c r="O158" s="52"/>
      <c r="P158" s="52"/>
      <c r="Q158" s="52"/>
      <c r="U158" s="52"/>
    </row>
    <row r="159">
      <c r="M159" s="52"/>
      <c r="N159" s="52"/>
      <c r="O159" s="52"/>
      <c r="P159" s="52"/>
      <c r="Q159" s="52"/>
      <c r="U159" s="52"/>
    </row>
    <row r="160">
      <c r="M160" s="52"/>
      <c r="N160" s="52"/>
      <c r="O160" s="52"/>
      <c r="P160" s="52"/>
      <c r="Q160" s="52"/>
      <c r="U160" s="52"/>
    </row>
    <row r="161">
      <c r="M161" s="52"/>
      <c r="N161" s="52"/>
      <c r="O161" s="52"/>
      <c r="P161" s="52"/>
      <c r="Q161" s="52"/>
      <c r="U161" s="52"/>
    </row>
    <row r="162">
      <c r="M162" s="52"/>
      <c r="N162" s="52"/>
      <c r="O162" s="52"/>
      <c r="P162" s="52"/>
      <c r="Q162" s="52"/>
      <c r="U162" s="52"/>
    </row>
    <row r="163">
      <c r="M163" s="52"/>
      <c r="N163" s="52"/>
      <c r="O163" s="52"/>
      <c r="P163" s="52"/>
      <c r="Q163" s="52"/>
      <c r="U163" s="52"/>
    </row>
    <row r="164">
      <c r="M164" s="52"/>
      <c r="N164" s="52"/>
      <c r="O164" s="52"/>
      <c r="P164" s="52"/>
      <c r="Q164" s="52"/>
      <c r="U164" s="52"/>
    </row>
    <row r="165">
      <c r="M165" s="52"/>
      <c r="N165" s="52"/>
      <c r="O165" s="52"/>
      <c r="P165" s="52"/>
      <c r="Q165" s="52"/>
      <c r="U165" s="52"/>
    </row>
    <row r="166">
      <c r="M166" s="52"/>
      <c r="N166" s="52"/>
      <c r="O166" s="52"/>
      <c r="P166" s="52"/>
      <c r="Q166" s="52"/>
      <c r="U166" s="52"/>
    </row>
    <row r="167">
      <c r="M167" s="52"/>
      <c r="N167" s="52"/>
      <c r="O167" s="52"/>
      <c r="P167" s="52"/>
      <c r="Q167" s="52"/>
      <c r="U167" s="52"/>
    </row>
    <row r="168">
      <c r="M168" s="52"/>
      <c r="N168" s="52"/>
      <c r="O168" s="52"/>
      <c r="P168" s="52"/>
      <c r="Q168" s="52"/>
      <c r="U168" s="52"/>
    </row>
    <row r="169">
      <c r="M169" s="52"/>
      <c r="N169" s="52"/>
      <c r="O169" s="52"/>
      <c r="P169" s="52"/>
      <c r="Q169" s="52"/>
      <c r="U169" s="52"/>
    </row>
    <row r="170">
      <c r="M170" s="52"/>
      <c r="N170" s="52"/>
      <c r="O170" s="52"/>
      <c r="P170" s="52"/>
      <c r="Q170" s="52"/>
      <c r="U170" s="52"/>
    </row>
    <row r="171">
      <c r="M171" s="52"/>
      <c r="N171" s="52"/>
      <c r="O171" s="52"/>
      <c r="P171" s="52"/>
      <c r="Q171" s="52"/>
      <c r="U171" s="52"/>
    </row>
    <row r="172">
      <c r="M172" s="52"/>
      <c r="N172" s="52"/>
      <c r="O172" s="52"/>
      <c r="P172" s="52"/>
      <c r="Q172" s="52"/>
      <c r="U172" s="52"/>
    </row>
    <row r="173">
      <c r="M173" s="52"/>
      <c r="N173" s="52"/>
      <c r="O173" s="52"/>
      <c r="P173" s="52"/>
      <c r="Q173" s="52"/>
      <c r="U173" s="52"/>
    </row>
    <row r="174">
      <c r="M174" s="52"/>
      <c r="N174" s="52"/>
      <c r="O174" s="52"/>
      <c r="P174" s="52"/>
      <c r="Q174" s="52"/>
      <c r="U174" s="52"/>
    </row>
    <row r="175">
      <c r="M175" s="52"/>
      <c r="N175" s="52"/>
      <c r="O175" s="52"/>
      <c r="P175" s="52"/>
      <c r="Q175" s="52"/>
      <c r="U175" s="52"/>
    </row>
    <row r="176">
      <c r="M176" s="52"/>
      <c r="N176" s="52"/>
      <c r="O176" s="52"/>
      <c r="P176" s="52"/>
      <c r="Q176" s="52"/>
      <c r="U176" s="52"/>
    </row>
    <row r="177">
      <c r="M177" s="52"/>
      <c r="N177" s="52"/>
      <c r="O177" s="52"/>
      <c r="P177" s="52"/>
      <c r="Q177" s="52"/>
      <c r="U177" s="52"/>
    </row>
    <row r="178">
      <c r="M178" s="52"/>
      <c r="N178" s="52"/>
      <c r="O178" s="52"/>
      <c r="P178" s="52"/>
      <c r="Q178" s="52"/>
      <c r="U178" s="52"/>
    </row>
    <row r="179">
      <c r="M179" s="52"/>
      <c r="N179" s="52"/>
      <c r="O179" s="52"/>
      <c r="P179" s="52"/>
      <c r="Q179" s="52"/>
      <c r="U179" s="52"/>
    </row>
    <row r="180">
      <c r="M180" s="52"/>
      <c r="N180" s="52"/>
      <c r="O180" s="52"/>
      <c r="P180" s="52"/>
      <c r="Q180" s="52"/>
      <c r="U180" s="52"/>
    </row>
    <row r="181">
      <c r="M181" s="52"/>
      <c r="N181" s="52"/>
      <c r="O181" s="52"/>
      <c r="P181" s="52"/>
      <c r="Q181" s="52"/>
      <c r="U181" s="52"/>
    </row>
    <row r="182">
      <c r="M182" s="52"/>
      <c r="N182" s="52"/>
      <c r="O182" s="52"/>
      <c r="P182" s="52"/>
      <c r="Q182" s="52"/>
      <c r="U182" s="52"/>
    </row>
    <row r="183">
      <c r="M183" s="52"/>
      <c r="N183" s="52"/>
      <c r="O183" s="52"/>
      <c r="P183" s="52"/>
      <c r="Q183" s="52"/>
      <c r="U183" s="52"/>
    </row>
    <row r="184">
      <c r="M184" s="52"/>
      <c r="N184" s="52"/>
      <c r="O184" s="52"/>
      <c r="P184" s="52"/>
      <c r="Q184" s="52"/>
      <c r="U184" s="52"/>
    </row>
    <row r="185">
      <c r="M185" s="52"/>
      <c r="N185" s="52"/>
      <c r="O185" s="52"/>
      <c r="P185" s="52"/>
      <c r="Q185" s="52"/>
      <c r="U185" s="52"/>
    </row>
    <row r="186">
      <c r="M186" s="52"/>
      <c r="N186" s="52"/>
      <c r="O186" s="52"/>
      <c r="P186" s="52"/>
      <c r="Q186" s="52"/>
      <c r="U186" s="52"/>
    </row>
    <row r="187">
      <c r="M187" s="52"/>
      <c r="N187" s="52"/>
      <c r="O187" s="52"/>
      <c r="P187" s="52"/>
      <c r="Q187" s="52"/>
      <c r="U187" s="52"/>
    </row>
    <row r="188">
      <c r="M188" s="52"/>
      <c r="N188" s="52"/>
      <c r="O188" s="52"/>
      <c r="P188" s="52"/>
      <c r="Q188" s="52"/>
      <c r="U188" s="52"/>
    </row>
    <row r="189">
      <c r="M189" s="52"/>
      <c r="N189" s="52"/>
      <c r="O189" s="52"/>
      <c r="P189" s="52"/>
      <c r="Q189" s="52"/>
      <c r="U189" s="52"/>
    </row>
    <row r="190">
      <c r="M190" s="52"/>
      <c r="N190" s="52"/>
      <c r="O190" s="52"/>
      <c r="P190" s="52"/>
      <c r="Q190" s="52"/>
      <c r="U190" s="52"/>
    </row>
    <row r="191">
      <c r="M191" s="52"/>
      <c r="N191" s="52"/>
      <c r="O191" s="52"/>
      <c r="P191" s="52"/>
      <c r="Q191" s="52"/>
      <c r="U191" s="52"/>
    </row>
    <row r="192">
      <c r="M192" s="52"/>
      <c r="N192" s="52"/>
      <c r="O192" s="52"/>
      <c r="P192" s="52"/>
      <c r="Q192" s="52"/>
      <c r="U192" s="52"/>
    </row>
    <row r="193">
      <c r="M193" s="52"/>
      <c r="N193" s="52"/>
      <c r="O193" s="52"/>
      <c r="P193" s="52"/>
      <c r="Q193" s="52"/>
      <c r="U193" s="52"/>
    </row>
    <row r="194">
      <c r="M194" s="52"/>
      <c r="N194" s="52"/>
      <c r="O194" s="52"/>
      <c r="P194" s="52"/>
      <c r="Q194" s="52"/>
      <c r="U194" s="52"/>
    </row>
    <row r="195">
      <c r="M195" s="52"/>
      <c r="N195" s="52"/>
      <c r="O195" s="52"/>
      <c r="P195" s="52"/>
      <c r="Q195" s="52"/>
      <c r="U195" s="52"/>
    </row>
    <row r="196">
      <c r="M196" s="52"/>
      <c r="N196" s="52"/>
      <c r="O196" s="52"/>
      <c r="P196" s="52"/>
      <c r="Q196" s="52"/>
      <c r="U196" s="52"/>
    </row>
    <row r="197">
      <c r="M197" s="52"/>
      <c r="N197" s="52"/>
      <c r="O197" s="52"/>
      <c r="P197" s="52"/>
      <c r="Q197" s="52"/>
      <c r="U197" s="52"/>
    </row>
    <row r="198">
      <c r="M198" s="52"/>
      <c r="N198" s="52"/>
      <c r="O198" s="52"/>
      <c r="P198" s="52"/>
      <c r="Q198" s="52"/>
      <c r="U198" s="52"/>
    </row>
    <row r="199">
      <c r="M199" s="52"/>
      <c r="N199" s="52"/>
      <c r="O199" s="52"/>
      <c r="P199" s="52"/>
      <c r="Q199" s="52"/>
      <c r="U199" s="52"/>
    </row>
    <row r="200">
      <c r="M200" s="52"/>
      <c r="N200" s="52"/>
      <c r="O200" s="52"/>
      <c r="P200" s="52"/>
      <c r="Q200" s="52"/>
      <c r="U200" s="52"/>
    </row>
    <row r="201">
      <c r="M201" s="52"/>
      <c r="N201" s="52"/>
      <c r="O201" s="52"/>
      <c r="P201" s="52"/>
      <c r="Q201" s="52"/>
      <c r="U201" s="52"/>
    </row>
    <row r="202">
      <c r="M202" s="52"/>
      <c r="N202" s="52"/>
      <c r="O202" s="52"/>
      <c r="P202" s="52"/>
      <c r="Q202" s="52"/>
      <c r="U202" s="52"/>
    </row>
    <row r="203">
      <c r="M203" s="52"/>
      <c r="N203" s="52"/>
      <c r="O203" s="52"/>
      <c r="P203" s="52"/>
      <c r="Q203" s="52"/>
      <c r="U203" s="52"/>
    </row>
    <row r="204">
      <c r="M204" s="52"/>
      <c r="N204" s="52"/>
      <c r="O204" s="52"/>
      <c r="P204" s="52"/>
      <c r="Q204" s="52"/>
      <c r="U204" s="52"/>
    </row>
    <row r="205">
      <c r="M205" s="52"/>
      <c r="N205" s="52"/>
      <c r="O205" s="52"/>
      <c r="P205" s="52"/>
      <c r="Q205" s="52"/>
      <c r="U205" s="52"/>
    </row>
    <row r="206">
      <c r="M206" s="52"/>
      <c r="N206" s="52"/>
      <c r="O206" s="52"/>
      <c r="P206" s="52"/>
      <c r="Q206" s="52"/>
      <c r="U206" s="52"/>
    </row>
    <row r="207">
      <c r="M207" s="52"/>
      <c r="N207" s="52"/>
      <c r="O207" s="52"/>
      <c r="P207" s="52"/>
      <c r="Q207" s="52"/>
      <c r="U207" s="52"/>
    </row>
    <row r="208">
      <c r="M208" s="52"/>
      <c r="N208" s="52"/>
      <c r="O208" s="52"/>
      <c r="P208" s="52"/>
      <c r="Q208" s="52"/>
      <c r="U208" s="52"/>
    </row>
    <row r="209">
      <c r="M209" s="52"/>
      <c r="N209" s="52"/>
      <c r="O209" s="52"/>
      <c r="P209" s="52"/>
      <c r="Q209" s="52"/>
      <c r="U209" s="52"/>
    </row>
    <row r="210">
      <c r="M210" s="52"/>
      <c r="N210" s="52"/>
      <c r="O210" s="52"/>
      <c r="P210" s="52"/>
      <c r="Q210" s="52"/>
      <c r="U210" s="52"/>
    </row>
    <row r="211">
      <c r="M211" s="52"/>
      <c r="N211" s="52"/>
      <c r="O211" s="52"/>
      <c r="P211" s="52"/>
      <c r="Q211" s="52"/>
      <c r="U211" s="52"/>
    </row>
    <row r="212">
      <c r="M212" s="52"/>
      <c r="N212" s="52"/>
      <c r="O212" s="52"/>
      <c r="P212" s="52"/>
      <c r="Q212" s="52"/>
      <c r="U212" s="52"/>
    </row>
    <row r="213">
      <c r="M213" s="52"/>
      <c r="N213" s="52"/>
      <c r="O213" s="52"/>
      <c r="P213" s="52"/>
      <c r="Q213" s="52"/>
      <c r="U213" s="52"/>
    </row>
    <row r="214">
      <c r="M214" s="52"/>
      <c r="N214" s="52"/>
      <c r="O214" s="52"/>
      <c r="P214" s="52"/>
      <c r="Q214" s="52"/>
      <c r="U214" s="52"/>
    </row>
    <row r="215">
      <c r="M215" s="52"/>
      <c r="N215" s="52"/>
      <c r="O215" s="52"/>
      <c r="P215" s="52"/>
      <c r="Q215" s="52"/>
      <c r="U215" s="52"/>
    </row>
    <row r="216">
      <c r="M216" s="52"/>
      <c r="N216" s="52"/>
      <c r="O216" s="52"/>
      <c r="P216" s="52"/>
      <c r="Q216" s="52"/>
      <c r="U216" s="52"/>
    </row>
    <row r="217">
      <c r="M217" s="52"/>
      <c r="N217" s="52"/>
      <c r="O217" s="52"/>
      <c r="P217" s="52"/>
      <c r="Q217" s="52"/>
      <c r="U217" s="52"/>
    </row>
    <row r="218">
      <c r="M218" s="52"/>
      <c r="N218" s="52"/>
      <c r="O218" s="52"/>
      <c r="P218" s="52"/>
      <c r="Q218" s="52"/>
      <c r="U218" s="52"/>
    </row>
    <row r="219">
      <c r="M219" s="52"/>
      <c r="N219" s="52"/>
      <c r="O219" s="52"/>
      <c r="P219" s="52"/>
      <c r="Q219" s="52"/>
      <c r="U219" s="52"/>
    </row>
    <row r="220">
      <c r="M220" s="52"/>
      <c r="N220" s="52"/>
      <c r="O220" s="52"/>
      <c r="P220" s="52"/>
      <c r="Q220" s="52"/>
      <c r="U220" s="52"/>
    </row>
    <row r="221">
      <c r="M221" s="52"/>
      <c r="N221" s="52"/>
      <c r="O221" s="52"/>
      <c r="P221" s="52"/>
      <c r="Q221" s="52"/>
      <c r="U221" s="52"/>
    </row>
    <row r="222">
      <c r="M222" s="52"/>
      <c r="N222" s="52"/>
      <c r="O222" s="52"/>
      <c r="P222" s="52"/>
      <c r="Q222" s="52"/>
      <c r="U222" s="52"/>
    </row>
    <row r="223">
      <c r="M223" s="52"/>
      <c r="N223" s="52"/>
      <c r="O223" s="52"/>
      <c r="P223" s="52"/>
      <c r="Q223" s="52"/>
      <c r="U223" s="52"/>
    </row>
    <row r="224">
      <c r="M224" s="52"/>
      <c r="N224" s="52"/>
      <c r="O224" s="52"/>
      <c r="P224" s="52"/>
      <c r="Q224" s="52"/>
      <c r="U224" s="52"/>
    </row>
    <row r="225">
      <c r="M225" s="52"/>
      <c r="N225" s="52"/>
      <c r="O225" s="52"/>
      <c r="P225" s="52"/>
      <c r="Q225" s="52"/>
      <c r="U225" s="52"/>
    </row>
    <row r="226">
      <c r="M226" s="52"/>
      <c r="N226" s="52"/>
      <c r="O226" s="52"/>
      <c r="P226" s="52"/>
      <c r="Q226" s="52"/>
      <c r="U226" s="52"/>
    </row>
    <row r="227">
      <c r="M227" s="52"/>
      <c r="N227" s="52"/>
      <c r="O227" s="52"/>
      <c r="P227" s="52"/>
      <c r="Q227" s="52"/>
      <c r="U227" s="52"/>
    </row>
    <row r="228">
      <c r="M228" s="52"/>
      <c r="N228" s="52"/>
      <c r="O228" s="52"/>
      <c r="P228" s="52"/>
      <c r="Q228" s="52"/>
      <c r="U228" s="52"/>
    </row>
    <row r="229">
      <c r="M229" s="52"/>
      <c r="N229" s="52"/>
      <c r="O229" s="52"/>
      <c r="P229" s="52"/>
      <c r="Q229" s="52"/>
      <c r="U229" s="52"/>
    </row>
    <row r="230">
      <c r="M230" s="52"/>
      <c r="N230" s="52"/>
      <c r="O230" s="52"/>
      <c r="P230" s="52"/>
      <c r="Q230" s="52"/>
      <c r="U230" s="52"/>
    </row>
    <row r="231">
      <c r="M231" s="52"/>
      <c r="N231" s="52"/>
      <c r="O231" s="52"/>
      <c r="P231" s="52"/>
      <c r="Q231" s="52"/>
      <c r="U231" s="52"/>
    </row>
    <row r="232">
      <c r="M232" s="52"/>
      <c r="N232" s="52"/>
      <c r="O232" s="52"/>
      <c r="P232" s="52"/>
      <c r="Q232" s="52"/>
      <c r="U232" s="52"/>
    </row>
    <row r="233">
      <c r="M233" s="52"/>
      <c r="N233" s="52"/>
      <c r="O233" s="52"/>
      <c r="P233" s="52"/>
      <c r="Q233" s="52"/>
      <c r="U233" s="52"/>
    </row>
    <row r="234">
      <c r="M234" s="52"/>
      <c r="N234" s="52"/>
      <c r="O234" s="52"/>
      <c r="P234" s="52"/>
      <c r="Q234" s="52"/>
      <c r="U234" s="52"/>
    </row>
    <row r="235">
      <c r="M235" s="52"/>
      <c r="N235" s="52"/>
      <c r="O235" s="52"/>
      <c r="P235" s="52"/>
      <c r="Q235" s="52"/>
      <c r="U235" s="52"/>
    </row>
    <row r="236">
      <c r="M236" s="52"/>
      <c r="N236" s="52"/>
      <c r="O236" s="52"/>
      <c r="P236" s="52"/>
      <c r="Q236" s="52"/>
      <c r="U236" s="52"/>
    </row>
    <row r="237">
      <c r="M237" s="52"/>
      <c r="N237" s="52"/>
      <c r="O237" s="52"/>
      <c r="P237" s="52"/>
      <c r="Q237" s="52"/>
      <c r="U237" s="52"/>
    </row>
    <row r="238">
      <c r="M238" s="52"/>
      <c r="N238" s="52"/>
      <c r="O238" s="52"/>
      <c r="P238" s="52"/>
      <c r="Q238" s="52"/>
      <c r="U238" s="52"/>
    </row>
    <row r="239">
      <c r="M239" s="52"/>
      <c r="N239" s="52"/>
      <c r="O239" s="52"/>
      <c r="P239" s="52"/>
      <c r="Q239" s="52"/>
      <c r="U239" s="52"/>
    </row>
    <row r="240">
      <c r="M240" s="52"/>
      <c r="N240" s="52"/>
      <c r="O240" s="52"/>
      <c r="P240" s="52"/>
      <c r="Q240" s="52"/>
      <c r="U240" s="52"/>
    </row>
    <row r="241">
      <c r="M241" s="52"/>
      <c r="N241" s="52"/>
      <c r="O241" s="52"/>
      <c r="P241" s="52"/>
      <c r="Q241" s="52"/>
      <c r="U241" s="52"/>
    </row>
    <row r="242">
      <c r="M242" s="52"/>
      <c r="N242" s="52"/>
      <c r="O242" s="52"/>
      <c r="P242" s="52"/>
      <c r="Q242" s="52"/>
      <c r="U242" s="52"/>
    </row>
    <row r="243">
      <c r="M243" s="52"/>
      <c r="N243" s="52"/>
      <c r="O243" s="52"/>
      <c r="P243" s="52"/>
      <c r="Q243" s="52"/>
      <c r="U243" s="52"/>
    </row>
    <row r="244">
      <c r="M244" s="52"/>
      <c r="N244" s="52"/>
      <c r="O244" s="52"/>
      <c r="P244" s="52"/>
      <c r="Q244" s="52"/>
      <c r="U244" s="52"/>
    </row>
    <row r="245">
      <c r="M245" s="52"/>
      <c r="N245" s="52"/>
      <c r="O245" s="52"/>
      <c r="P245" s="52"/>
      <c r="Q245" s="52"/>
      <c r="U245" s="52"/>
    </row>
    <row r="246">
      <c r="M246" s="52"/>
      <c r="N246" s="52"/>
      <c r="O246" s="52"/>
      <c r="P246" s="52"/>
      <c r="Q246" s="52"/>
      <c r="U246" s="52"/>
    </row>
    <row r="247">
      <c r="M247" s="52"/>
      <c r="N247" s="52"/>
      <c r="O247" s="52"/>
      <c r="P247" s="52"/>
      <c r="Q247" s="52"/>
      <c r="U247" s="52"/>
    </row>
    <row r="248">
      <c r="M248" s="52"/>
      <c r="N248" s="52"/>
      <c r="O248" s="52"/>
      <c r="P248" s="52"/>
      <c r="Q248" s="52"/>
      <c r="U248" s="52"/>
    </row>
    <row r="249">
      <c r="M249" s="52"/>
      <c r="N249" s="52"/>
      <c r="O249" s="52"/>
      <c r="P249" s="52"/>
      <c r="Q249" s="52"/>
      <c r="U249" s="52"/>
    </row>
    <row r="250">
      <c r="M250" s="52"/>
      <c r="N250" s="52"/>
      <c r="O250" s="52"/>
      <c r="P250" s="52"/>
      <c r="Q250" s="52"/>
      <c r="U250" s="52"/>
    </row>
    <row r="251">
      <c r="M251" s="52"/>
      <c r="N251" s="52"/>
      <c r="O251" s="52"/>
      <c r="P251" s="52"/>
      <c r="Q251" s="52"/>
      <c r="U251" s="52"/>
    </row>
    <row r="252">
      <c r="M252" s="52"/>
      <c r="N252" s="52"/>
      <c r="O252" s="52"/>
      <c r="P252" s="52"/>
      <c r="Q252" s="52"/>
      <c r="U252" s="52"/>
    </row>
    <row r="253">
      <c r="M253" s="52"/>
      <c r="N253" s="52"/>
      <c r="O253" s="52"/>
      <c r="P253" s="52"/>
      <c r="Q253" s="52"/>
      <c r="U253" s="52"/>
    </row>
    <row r="254">
      <c r="M254" s="52"/>
      <c r="N254" s="52"/>
      <c r="O254" s="52"/>
      <c r="P254" s="52"/>
      <c r="Q254" s="52"/>
      <c r="U254" s="52"/>
    </row>
    <row r="255">
      <c r="M255" s="52"/>
      <c r="N255" s="52"/>
      <c r="O255" s="52"/>
      <c r="P255" s="52"/>
      <c r="Q255" s="52"/>
      <c r="U255" s="52"/>
    </row>
    <row r="256">
      <c r="M256" s="52"/>
      <c r="N256" s="52"/>
      <c r="O256" s="52"/>
      <c r="P256" s="52"/>
      <c r="Q256" s="52"/>
      <c r="U256" s="52"/>
    </row>
    <row r="257">
      <c r="M257" s="52"/>
      <c r="N257" s="52"/>
      <c r="O257" s="52"/>
      <c r="P257" s="52"/>
      <c r="Q257" s="52"/>
      <c r="U257" s="52"/>
    </row>
    <row r="258">
      <c r="M258" s="52"/>
      <c r="N258" s="52"/>
      <c r="O258" s="52"/>
      <c r="P258" s="52"/>
      <c r="Q258" s="52"/>
      <c r="U258" s="52"/>
    </row>
    <row r="259">
      <c r="M259" s="52"/>
      <c r="N259" s="52"/>
      <c r="O259" s="52"/>
      <c r="P259" s="52"/>
      <c r="Q259" s="52"/>
      <c r="U259" s="52"/>
    </row>
    <row r="260">
      <c r="M260" s="52"/>
      <c r="N260" s="52"/>
      <c r="O260" s="52"/>
      <c r="P260" s="52"/>
      <c r="Q260" s="52"/>
      <c r="U260" s="52"/>
    </row>
    <row r="261">
      <c r="M261" s="52"/>
      <c r="N261" s="52"/>
      <c r="O261" s="52"/>
      <c r="P261" s="52"/>
      <c r="Q261" s="52"/>
      <c r="U261" s="52"/>
    </row>
    <row r="262">
      <c r="M262" s="52"/>
      <c r="N262" s="52"/>
      <c r="O262" s="52"/>
      <c r="P262" s="52"/>
      <c r="Q262" s="52"/>
      <c r="U262" s="52"/>
    </row>
    <row r="263">
      <c r="M263" s="52"/>
      <c r="N263" s="52"/>
      <c r="O263" s="52"/>
      <c r="P263" s="52"/>
      <c r="Q263" s="52"/>
      <c r="U263" s="52"/>
    </row>
    <row r="264">
      <c r="M264" s="52"/>
      <c r="N264" s="52"/>
      <c r="O264" s="52"/>
      <c r="P264" s="52"/>
      <c r="Q264" s="52"/>
      <c r="U264" s="52"/>
    </row>
    <row r="265">
      <c r="M265" s="52"/>
      <c r="N265" s="52"/>
      <c r="O265" s="52"/>
      <c r="P265" s="52"/>
      <c r="Q265" s="52"/>
      <c r="U265" s="52"/>
    </row>
    <row r="266">
      <c r="M266" s="52"/>
      <c r="N266" s="52"/>
      <c r="O266" s="52"/>
      <c r="P266" s="52"/>
      <c r="Q266" s="52"/>
      <c r="U266" s="52"/>
    </row>
    <row r="267">
      <c r="M267" s="52"/>
      <c r="N267" s="52"/>
      <c r="O267" s="52"/>
      <c r="P267" s="52"/>
      <c r="Q267" s="52"/>
      <c r="U267" s="52"/>
    </row>
    <row r="268">
      <c r="M268" s="52"/>
      <c r="N268" s="52"/>
      <c r="O268" s="52"/>
      <c r="P268" s="52"/>
      <c r="Q268" s="52"/>
      <c r="U268" s="52"/>
    </row>
    <row r="269">
      <c r="M269" s="52"/>
      <c r="N269" s="52"/>
      <c r="O269" s="52"/>
      <c r="P269" s="52"/>
      <c r="Q269" s="52"/>
      <c r="U269" s="52"/>
    </row>
    <row r="270">
      <c r="M270" s="52"/>
      <c r="N270" s="52"/>
      <c r="O270" s="52"/>
      <c r="P270" s="52"/>
      <c r="Q270" s="52"/>
      <c r="U270" s="52"/>
    </row>
    <row r="271">
      <c r="M271" s="52"/>
      <c r="N271" s="52"/>
      <c r="O271" s="52"/>
      <c r="P271" s="52"/>
      <c r="Q271" s="52"/>
      <c r="U271" s="52"/>
    </row>
    <row r="272">
      <c r="M272" s="52"/>
      <c r="N272" s="52"/>
      <c r="O272" s="52"/>
      <c r="P272" s="52"/>
      <c r="Q272" s="52"/>
      <c r="U272" s="52"/>
    </row>
    <row r="273">
      <c r="M273" s="52"/>
      <c r="N273" s="52"/>
      <c r="O273" s="52"/>
      <c r="P273" s="52"/>
      <c r="Q273" s="52"/>
      <c r="U273" s="52"/>
    </row>
    <row r="274">
      <c r="M274" s="52"/>
      <c r="N274" s="52"/>
      <c r="O274" s="52"/>
      <c r="P274" s="52"/>
      <c r="Q274" s="52"/>
      <c r="U274" s="52"/>
    </row>
    <row r="275">
      <c r="M275" s="52"/>
      <c r="N275" s="52"/>
      <c r="O275" s="52"/>
      <c r="P275" s="52"/>
      <c r="Q275" s="52"/>
      <c r="U275" s="52"/>
    </row>
    <row r="276">
      <c r="M276" s="52"/>
      <c r="N276" s="52"/>
      <c r="O276" s="52"/>
      <c r="P276" s="52"/>
      <c r="Q276" s="52"/>
      <c r="U276" s="52"/>
    </row>
    <row r="277">
      <c r="M277" s="52"/>
      <c r="N277" s="52"/>
      <c r="O277" s="52"/>
      <c r="P277" s="52"/>
      <c r="Q277" s="52"/>
      <c r="U277" s="52"/>
    </row>
    <row r="278">
      <c r="M278" s="52"/>
      <c r="N278" s="52"/>
      <c r="O278" s="52"/>
      <c r="P278" s="52"/>
      <c r="Q278" s="52"/>
      <c r="U278" s="52"/>
    </row>
    <row r="279">
      <c r="M279" s="52"/>
      <c r="N279" s="52"/>
      <c r="O279" s="52"/>
      <c r="P279" s="52"/>
      <c r="Q279" s="52"/>
      <c r="U279" s="52"/>
    </row>
    <row r="280">
      <c r="M280" s="52"/>
      <c r="N280" s="52"/>
      <c r="O280" s="52"/>
      <c r="P280" s="52"/>
      <c r="Q280" s="52"/>
      <c r="U280" s="52"/>
    </row>
    <row r="281">
      <c r="M281" s="52"/>
      <c r="N281" s="52"/>
      <c r="O281" s="52"/>
      <c r="P281" s="52"/>
      <c r="Q281" s="52"/>
      <c r="U281" s="52"/>
    </row>
    <row r="282">
      <c r="M282" s="52"/>
      <c r="N282" s="52"/>
      <c r="O282" s="52"/>
      <c r="P282" s="52"/>
      <c r="Q282" s="52"/>
      <c r="U282" s="52"/>
    </row>
    <row r="283">
      <c r="M283" s="52"/>
      <c r="N283" s="52"/>
      <c r="O283" s="52"/>
      <c r="P283" s="52"/>
      <c r="Q283" s="52"/>
      <c r="U283" s="52"/>
    </row>
    <row r="284">
      <c r="M284" s="52"/>
      <c r="N284" s="52"/>
      <c r="O284" s="52"/>
      <c r="P284" s="52"/>
      <c r="Q284" s="52"/>
      <c r="U284" s="52"/>
    </row>
    <row r="285">
      <c r="M285" s="52"/>
      <c r="N285" s="52"/>
      <c r="O285" s="52"/>
      <c r="P285" s="52"/>
      <c r="Q285" s="52"/>
      <c r="U285" s="52"/>
    </row>
    <row r="286">
      <c r="M286" s="52"/>
      <c r="N286" s="52"/>
      <c r="O286" s="52"/>
      <c r="P286" s="52"/>
      <c r="Q286" s="52"/>
      <c r="U286" s="52"/>
    </row>
    <row r="287">
      <c r="M287" s="52"/>
      <c r="N287" s="52"/>
      <c r="O287" s="52"/>
      <c r="P287" s="52"/>
      <c r="Q287" s="52"/>
      <c r="U287" s="52"/>
    </row>
    <row r="288">
      <c r="M288" s="52"/>
      <c r="N288" s="52"/>
      <c r="O288" s="52"/>
      <c r="P288" s="52"/>
      <c r="Q288" s="52"/>
      <c r="U288" s="52"/>
    </row>
    <row r="289">
      <c r="M289" s="52"/>
      <c r="N289" s="52"/>
      <c r="O289" s="52"/>
      <c r="P289" s="52"/>
      <c r="Q289" s="52"/>
      <c r="U289" s="52"/>
    </row>
    <row r="290">
      <c r="M290" s="52"/>
      <c r="N290" s="52"/>
      <c r="O290" s="52"/>
      <c r="P290" s="52"/>
      <c r="Q290" s="52"/>
      <c r="U290" s="52"/>
    </row>
    <row r="291">
      <c r="M291" s="52"/>
      <c r="N291" s="52"/>
      <c r="O291" s="52"/>
      <c r="P291" s="52"/>
      <c r="Q291" s="52"/>
      <c r="U291" s="52"/>
    </row>
    <row r="292">
      <c r="M292" s="52"/>
      <c r="N292" s="52"/>
      <c r="O292" s="52"/>
      <c r="P292" s="52"/>
      <c r="Q292" s="52"/>
      <c r="U292" s="52"/>
    </row>
    <row r="293">
      <c r="M293" s="52"/>
      <c r="N293" s="52"/>
      <c r="O293" s="52"/>
      <c r="P293" s="52"/>
      <c r="Q293" s="52"/>
      <c r="U293" s="52"/>
    </row>
    <row r="294">
      <c r="M294" s="52"/>
      <c r="N294" s="52"/>
      <c r="O294" s="52"/>
      <c r="P294" s="52"/>
      <c r="Q294" s="52"/>
      <c r="U294" s="52"/>
    </row>
    <row r="295">
      <c r="M295" s="52"/>
      <c r="N295" s="52"/>
      <c r="O295" s="52"/>
      <c r="P295" s="52"/>
      <c r="Q295" s="52"/>
      <c r="U295" s="52"/>
    </row>
    <row r="296">
      <c r="M296" s="52"/>
      <c r="N296" s="52"/>
      <c r="O296" s="52"/>
      <c r="P296" s="52"/>
      <c r="Q296" s="52"/>
      <c r="U296" s="52"/>
    </row>
    <row r="297">
      <c r="M297" s="52"/>
      <c r="N297" s="52"/>
      <c r="O297" s="52"/>
      <c r="P297" s="52"/>
      <c r="Q297" s="52"/>
      <c r="U297" s="52"/>
    </row>
    <row r="298">
      <c r="M298" s="52"/>
      <c r="N298" s="52"/>
      <c r="O298" s="52"/>
      <c r="P298" s="52"/>
      <c r="Q298" s="52"/>
      <c r="U298" s="52"/>
    </row>
    <row r="299">
      <c r="M299" s="52"/>
      <c r="N299" s="52"/>
      <c r="O299" s="52"/>
      <c r="P299" s="52"/>
      <c r="Q299" s="52"/>
      <c r="U299" s="52"/>
    </row>
    <row r="300">
      <c r="M300" s="52"/>
      <c r="N300" s="52"/>
      <c r="O300" s="52"/>
      <c r="P300" s="52"/>
      <c r="Q300" s="52"/>
      <c r="U300" s="52"/>
    </row>
    <row r="301">
      <c r="M301" s="52"/>
      <c r="N301" s="52"/>
      <c r="O301" s="52"/>
      <c r="P301" s="52"/>
      <c r="Q301" s="52"/>
      <c r="U301" s="52"/>
    </row>
    <row r="302">
      <c r="M302" s="52"/>
      <c r="N302" s="52"/>
      <c r="O302" s="52"/>
      <c r="P302" s="52"/>
      <c r="Q302" s="52"/>
      <c r="U302" s="52"/>
    </row>
    <row r="303">
      <c r="M303" s="52"/>
      <c r="N303" s="52"/>
      <c r="O303" s="52"/>
      <c r="P303" s="52"/>
      <c r="Q303" s="52"/>
      <c r="U303" s="52"/>
    </row>
    <row r="304">
      <c r="M304" s="52"/>
      <c r="N304" s="52"/>
      <c r="O304" s="52"/>
      <c r="P304" s="52"/>
      <c r="Q304" s="52"/>
      <c r="U304" s="52"/>
    </row>
    <row r="305">
      <c r="M305" s="52"/>
      <c r="N305" s="52"/>
      <c r="O305" s="52"/>
      <c r="P305" s="52"/>
      <c r="Q305" s="52"/>
      <c r="U305" s="52"/>
    </row>
    <row r="306">
      <c r="M306" s="52"/>
      <c r="N306" s="52"/>
      <c r="O306" s="52"/>
      <c r="P306" s="52"/>
      <c r="Q306" s="52"/>
      <c r="U306" s="52"/>
    </row>
    <row r="307">
      <c r="M307" s="52"/>
      <c r="N307" s="52"/>
      <c r="O307" s="52"/>
      <c r="P307" s="52"/>
      <c r="Q307" s="52"/>
      <c r="U307" s="52"/>
    </row>
    <row r="308">
      <c r="M308" s="52"/>
      <c r="N308" s="52"/>
      <c r="O308" s="52"/>
      <c r="P308" s="52"/>
      <c r="Q308" s="52"/>
      <c r="U308" s="52"/>
    </row>
    <row r="309">
      <c r="M309" s="52"/>
      <c r="N309" s="52"/>
      <c r="O309" s="52"/>
      <c r="P309" s="52"/>
      <c r="Q309" s="52"/>
      <c r="U309" s="52"/>
    </row>
    <row r="310">
      <c r="M310" s="52"/>
      <c r="N310" s="52"/>
      <c r="O310" s="52"/>
      <c r="P310" s="52"/>
      <c r="Q310" s="52"/>
      <c r="U310" s="52"/>
    </row>
    <row r="311">
      <c r="M311" s="52"/>
      <c r="N311" s="52"/>
      <c r="O311" s="52"/>
      <c r="P311" s="52"/>
      <c r="Q311" s="52"/>
      <c r="U311" s="52"/>
    </row>
    <row r="312">
      <c r="M312" s="52"/>
      <c r="N312" s="52"/>
      <c r="O312" s="52"/>
      <c r="P312" s="52"/>
      <c r="Q312" s="52"/>
      <c r="U312" s="52"/>
    </row>
    <row r="313">
      <c r="M313" s="52"/>
      <c r="N313" s="52"/>
      <c r="O313" s="52"/>
      <c r="P313" s="52"/>
      <c r="Q313" s="52"/>
      <c r="U313" s="52"/>
    </row>
    <row r="314">
      <c r="M314" s="52"/>
      <c r="N314" s="52"/>
      <c r="O314" s="52"/>
      <c r="P314" s="52"/>
      <c r="Q314" s="52"/>
      <c r="U314" s="52"/>
    </row>
    <row r="315">
      <c r="M315" s="52"/>
      <c r="N315" s="52"/>
      <c r="O315" s="52"/>
      <c r="P315" s="52"/>
      <c r="Q315" s="52"/>
      <c r="U315" s="52"/>
    </row>
    <row r="316">
      <c r="M316" s="52"/>
      <c r="N316" s="52"/>
      <c r="O316" s="52"/>
      <c r="P316" s="52"/>
      <c r="Q316" s="52"/>
      <c r="U316" s="52"/>
    </row>
    <row r="317">
      <c r="M317" s="52"/>
      <c r="N317" s="52"/>
      <c r="O317" s="52"/>
      <c r="P317" s="52"/>
      <c r="Q317" s="52"/>
      <c r="U317" s="52"/>
    </row>
    <row r="318">
      <c r="M318" s="52"/>
      <c r="N318" s="52"/>
      <c r="O318" s="52"/>
      <c r="P318" s="52"/>
      <c r="Q318" s="52"/>
      <c r="U318" s="52"/>
    </row>
    <row r="319">
      <c r="M319" s="52"/>
      <c r="N319" s="52"/>
      <c r="O319" s="52"/>
      <c r="P319" s="52"/>
      <c r="Q319" s="52"/>
      <c r="U319" s="52"/>
    </row>
    <row r="320">
      <c r="M320" s="52"/>
      <c r="N320" s="52"/>
      <c r="O320" s="52"/>
      <c r="P320" s="52"/>
      <c r="Q320" s="52"/>
      <c r="U320" s="52"/>
    </row>
    <row r="321">
      <c r="M321" s="52"/>
      <c r="N321" s="52"/>
      <c r="O321" s="52"/>
      <c r="P321" s="52"/>
      <c r="Q321" s="52"/>
      <c r="U321" s="52"/>
    </row>
    <row r="322">
      <c r="M322" s="52"/>
      <c r="N322" s="52"/>
      <c r="O322" s="52"/>
      <c r="P322" s="52"/>
      <c r="Q322" s="52"/>
      <c r="U322" s="52"/>
    </row>
    <row r="323">
      <c r="M323" s="52"/>
      <c r="N323" s="52"/>
      <c r="O323" s="52"/>
      <c r="P323" s="52"/>
      <c r="Q323" s="52"/>
      <c r="U323" s="52"/>
    </row>
    <row r="324">
      <c r="M324" s="52"/>
      <c r="N324" s="52"/>
      <c r="O324" s="52"/>
      <c r="P324" s="52"/>
      <c r="Q324" s="52"/>
      <c r="U324" s="52"/>
    </row>
    <row r="325">
      <c r="M325" s="52"/>
      <c r="N325" s="52"/>
      <c r="O325" s="52"/>
      <c r="P325" s="52"/>
      <c r="Q325" s="52"/>
      <c r="U325" s="52"/>
    </row>
    <row r="326">
      <c r="M326" s="52"/>
      <c r="N326" s="52"/>
      <c r="O326" s="52"/>
      <c r="P326" s="52"/>
      <c r="Q326" s="52"/>
      <c r="U326" s="52"/>
    </row>
    <row r="327">
      <c r="M327" s="52"/>
      <c r="N327" s="52"/>
      <c r="O327" s="52"/>
      <c r="P327" s="52"/>
      <c r="Q327" s="52"/>
      <c r="U327" s="52"/>
    </row>
    <row r="328">
      <c r="M328" s="52"/>
      <c r="N328" s="52"/>
      <c r="O328" s="52"/>
      <c r="P328" s="52"/>
      <c r="Q328" s="52"/>
      <c r="U328" s="52"/>
    </row>
    <row r="329">
      <c r="M329" s="52"/>
      <c r="N329" s="52"/>
      <c r="O329" s="52"/>
      <c r="P329" s="52"/>
      <c r="Q329" s="52"/>
      <c r="U329" s="52"/>
    </row>
    <row r="330">
      <c r="M330" s="52"/>
      <c r="N330" s="52"/>
      <c r="O330" s="52"/>
      <c r="P330" s="52"/>
      <c r="Q330" s="52"/>
      <c r="U330" s="52"/>
    </row>
    <row r="331">
      <c r="M331" s="52"/>
      <c r="N331" s="52"/>
      <c r="O331" s="52"/>
      <c r="P331" s="52"/>
      <c r="Q331" s="52"/>
      <c r="U331" s="52"/>
    </row>
    <row r="332">
      <c r="M332" s="52"/>
      <c r="N332" s="52"/>
      <c r="O332" s="52"/>
      <c r="P332" s="52"/>
      <c r="Q332" s="52"/>
      <c r="U332" s="52"/>
    </row>
    <row r="333">
      <c r="M333" s="52"/>
      <c r="N333" s="52"/>
      <c r="O333" s="52"/>
      <c r="P333" s="52"/>
      <c r="Q333" s="52"/>
      <c r="U333" s="52"/>
    </row>
    <row r="334">
      <c r="M334" s="52"/>
      <c r="N334" s="52"/>
      <c r="O334" s="52"/>
      <c r="P334" s="52"/>
      <c r="Q334" s="52"/>
      <c r="U334" s="52"/>
    </row>
    <row r="335">
      <c r="M335" s="52"/>
      <c r="N335" s="52"/>
      <c r="O335" s="52"/>
      <c r="P335" s="52"/>
      <c r="Q335" s="52"/>
      <c r="U335" s="52"/>
    </row>
    <row r="336">
      <c r="M336" s="52"/>
      <c r="N336" s="52"/>
      <c r="O336" s="52"/>
      <c r="P336" s="52"/>
      <c r="Q336" s="52"/>
      <c r="U336" s="52"/>
    </row>
    <row r="337">
      <c r="M337" s="52"/>
      <c r="N337" s="52"/>
      <c r="O337" s="52"/>
      <c r="P337" s="52"/>
      <c r="Q337" s="52"/>
      <c r="U337" s="52"/>
    </row>
    <row r="338">
      <c r="M338" s="52"/>
      <c r="N338" s="52"/>
      <c r="O338" s="52"/>
      <c r="P338" s="52"/>
      <c r="Q338" s="52"/>
      <c r="U338" s="52"/>
    </row>
    <row r="339">
      <c r="M339" s="52"/>
      <c r="N339" s="52"/>
      <c r="O339" s="52"/>
      <c r="P339" s="52"/>
      <c r="Q339" s="52"/>
      <c r="U339" s="52"/>
    </row>
    <row r="340">
      <c r="M340" s="52"/>
      <c r="N340" s="52"/>
      <c r="O340" s="52"/>
      <c r="P340" s="52"/>
      <c r="Q340" s="52"/>
      <c r="U340" s="52"/>
    </row>
    <row r="341">
      <c r="M341" s="52"/>
      <c r="N341" s="52"/>
      <c r="O341" s="52"/>
      <c r="P341" s="52"/>
      <c r="Q341" s="52"/>
      <c r="U341" s="52"/>
    </row>
    <row r="342">
      <c r="M342" s="52"/>
      <c r="N342" s="52"/>
      <c r="O342" s="52"/>
      <c r="P342" s="52"/>
      <c r="Q342" s="52"/>
      <c r="U342" s="52"/>
    </row>
    <row r="343">
      <c r="M343" s="52"/>
      <c r="N343" s="52"/>
      <c r="O343" s="52"/>
      <c r="P343" s="52"/>
      <c r="Q343" s="52"/>
      <c r="U343" s="52"/>
    </row>
    <row r="344">
      <c r="M344" s="52"/>
      <c r="N344" s="52"/>
      <c r="O344" s="52"/>
      <c r="P344" s="52"/>
      <c r="Q344" s="52"/>
      <c r="U344" s="52"/>
    </row>
    <row r="345">
      <c r="M345" s="52"/>
      <c r="N345" s="52"/>
      <c r="O345" s="52"/>
      <c r="P345" s="52"/>
      <c r="Q345" s="52"/>
      <c r="U345" s="52"/>
    </row>
    <row r="346">
      <c r="M346" s="52"/>
      <c r="N346" s="52"/>
      <c r="O346" s="52"/>
      <c r="P346" s="52"/>
      <c r="Q346" s="52"/>
      <c r="U346" s="52"/>
    </row>
    <row r="347">
      <c r="M347" s="52"/>
      <c r="N347" s="52"/>
      <c r="O347" s="52"/>
      <c r="P347" s="52"/>
      <c r="Q347" s="52"/>
      <c r="U347" s="52"/>
    </row>
    <row r="348">
      <c r="M348" s="52"/>
      <c r="N348" s="52"/>
      <c r="O348" s="52"/>
      <c r="P348" s="52"/>
      <c r="Q348" s="52"/>
      <c r="U348" s="52"/>
    </row>
    <row r="349">
      <c r="M349" s="52"/>
      <c r="N349" s="52"/>
      <c r="O349" s="52"/>
      <c r="P349" s="52"/>
      <c r="Q349" s="52"/>
      <c r="U349" s="52"/>
    </row>
    <row r="350">
      <c r="M350" s="52"/>
      <c r="N350" s="52"/>
      <c r="O350" s="52"/>
      <c r="P350" s="52"/>
      <c r="Q350" s="52"/>
      <c r="U350" s="52"/>
    </row>
    <row r="351">
      <c r="M351" s="52"/>
      <c r="N351" s="52"/>
      <c r="O351" s="52"/>
      <c r="P351" s="52"/>
      <c r="Q351" s="52"/>
      <c r="U351" s="52"/>
    </row>
    <row r="352">
      <c r="M352" s="52"/>
      <c r="N352" s="52"/>
      <c r="O352" s="52"/>
      <c r="P352" s="52"/>
      <c r="Q352" s="52"/>
      <c r="U352" s="52"/>
    </row>
    <row r="353">
      <c r="M353" s="52"/>
      <c r="N353" s="52"/>
      <c r="O353" s="52"/>
      <c r="P353" s="52"/>
      <c r="Q353" s="52"/>
      <c r="U353" s="52"/>
    </row>
    <row r="354">
      <c r="M354" s="52"/>
      <c r="N354" s="52"/>
      <c r="O354" s="52"/>
      <c r="P354" s="52"/>
      <c r="Q354" s="52"/>
      <c r="U354" s="52"/>
    </row>
    <row r="355">
      <c r="M355" s="52"/>
      <c r="N355" s="52"/>
      <c r="O355" s="52"/>
      <c r="P355" s="52"/>
      <c r="Q355" s="52"/>
      <c r="U355" s="52"/>
    </row>
    <row r="356">
      <c r="M356" s="52"/>
      <c r="N356" s="52"/>
      <c r="O356" s="52"/>
      <c r="P356" s="52"/>
      <c r="Q356" s="52"/>
      <c r="U356" s="52"/>
    </row>
    <row r="357">
      <c r="M357" s="52"/>
      <c r="N357" s="52"/>
      <c r="O357" s="52"/>
      <c r="P357" s="52"/>
      <c r="Q357" s="52"/>
      <c r="U357" s="52"/>
    </row>
    <row r="358">
      <c r="M358" s="52"/>
      <c r="N358" s="52"/>
      <c r="O358" s="52"/>
      <c r="P358" s="52"/>
      <c r="Q358" s="52"/>
      <c r="U358" s="52"/>
    </row>
    <row r="359">
      <c r="M359" s="52"/>
      <c r="N359" s="52"/>
      <c r="O359" s="52"/>
      <c r="P359" s="52"/>
      <c r="Q359" s="52"/>
      <c r="U359" s="52"/>
    </row>
    <row r="360">
      <c r="M360" s="52"/>
      <c r="N360" s="52"/>
      <c r="O360" s="52"/>
      <c r="P360" s="52"/>
      <c r="Q360" s="52"/>
      <c r="U360" s="52"/>
    </row>
    <row r="361">
      <c r="M361" s="52"/>
      <c r="N361" s="52"/>
      <c r="O361" s="52"/>
      <c r="P361" s="52"/>
      <c r="Q361" s="52"/>
      <c r="U361" s="52"/>
    </row>
    <row r="362">
      <c r="M362" s="52"/>
      <c r="N362" s="52"/>
      <c r="O362" s="52"/>
      <c r="P362" s="52"/>
      <c r="Q362" s="52"/>
      <c r="U362" s="52"/>
    </row>
    <row r="363">
      <c r="M363" s="52"/>
      <c r="N363" s="52"/>
      <c r="O363" s="52"/>
      <c r="P363" s="52"/>
      <c r="Q363" s="52"/>
      <c r="U363" s="52"/>
    </row>
    <row r="364">
      <c r="M364" s="52"/>
      <c r="N364" s="52"/>
      <c r="O364" s="52"/>
      <c r="P364" s="52"/>
      <c r="Q364" s="52"/>
      <c r="U364" s="52"/>
    </row>
    <row r="365">
      <c r="M365" s="52"/>
      <c r="N365" s="52"/>
      <c r="O365" s="52"/>
      <c r="P365" s="52"/>
      <c r="Q365" s="52"/>
      <c r="U365" s="52"/>
    </row>
    <row r="366">
      <c r="M366" s="52"/>
      <c r="N366" s="52"/>
      <c r="O366" s="52"/>
      <c r="P366" s="52"/>
      <c r="Q366" s="52"/>
      <c r="U366" s="52"/>
    </row>
    <row r="367">
      <c r="M367" s="52"/>
      <c r="N367" s="52"/>
      <c r="O367" s="52"/>
      <c r="P367" s="52"/>
      <c r="Q367" s="52"/>
      <c r="U367" s="52"/>
    </row>
    <row r="368">
      <c r="M368" s="52"/>
      <c r="N368" s="52"/>
      <c r="O368" s="52"/>
      <c r="P368" s="52"/>
      <c r="Q368" s="52"/>
      <c r="U368" s="52"/>
    </row>
    <row r="369">
      <c r="M369" s="52"/>
      <c r="N369" s="52"/>
      <c r="O369" s="52"/>
      <c r="P369" s="52"/>
      <c r="Q369" s="52"/>
      <c r="U369" s="52"/>
    </row>
    <row r="370">
      <c r="M370" s="52"/>
      <c r="N370" s="52"/>
      <c r="O370" s="52"/>
      <c r="P370" s="52"/>
      <c r="Q370" s="52"/>
      <c r="U370" s="52"/>
    </row>
    <row r="371">
      <c r="M371" s="52"/>
      <c r="N371" s="52"/>
      <c r="O371" s="52"/>
      <c r="P371" s="52"/>
      <c r="Q371" s="52"/>
      <c r="U371" s="52"/>
    </row>
    <row r="372">
      <c r="M372" s="52"/>
      <c r="N372" s="52"/>
      <c r="O372" s="52"/>
      <c r="P372" s="52"/>
      <c r="Q372" s="52"/>
      <c r="U372" s="52"/>
    </row>
    <row r="373">
      <c r="M373" s="52"/>
      <c r="N373" s="52"/>
      <c r="O373" s="52"/>
      <c r="P373" s="52"/>
      <c r="Q373" s="52"/>
      <c r="U373" s="52"/>
    </row>
    <row r="374">
      <c r="M374" s="52"/>
      <c r="N374" s="52"/>
      <c r="O374" s="52"/>
      <c r="P374" s="52"/>
      <c r="Q374" s="52"/>
      <c r="U374" s="52"/>
    </row>
    <row r="375">
      <c r="M375" s="52"/>
      <c r="N375" s="52"/>
      <c r="O375" s="52"/>
      <c r="P375" s="52"/>
      <c r="Q375" s="52"/>
      <c r="U375" s="52"/>
    </row>
    <row r="376">
      <c r="M376" s="52"/>
      <c r="N376" s="52"/>
      <c r="O376" s="52"/>
      <c r="P376" s="52"/>
      <c r="Q376" s="52"/>
      <c r="U376" s="52"/>
    </row>
    <row r="377">
      <c r="M377" s="52"/>
      <c r="N377" s="52"/>
      <c r="O377" s="52"/>
      <c r="P377" s="52"/>
      <c r="Q377" s="52"/>
      <c r="U377" s="52"/>
    </row>
    <row r="378">
      <c r="M378" s="52"/>
      <c r="N378" s="52"/>
      <c r="O378" s="52"/>
      <c r="P378" s="52"/>
      <c r="Q378" s="52"/>
      <c r="U378" s="52"/>
    </row>
    <row r="379">
      <c r="M379" s="52"/>
      <c r="N379" s="52"/>
      <c r="O379" s="52"/>
      <c r="P379" s="52"/>
      <c r="Q379" s="52"/>
      <c r="U379" s="52"/>
    </row>
    <row r="380">
      <c r="M380" s="52"/>
      <c r="N380" s="52"/>
      <c r="O380" s="52"/>
      <c r="P380" s="52"/>
      <c r="Q380" s="52"/>
      <c r="U380" s="52"/>
    </row>
    <row r="381">
      <c r="M381" s="52"/>
      <c r="N381" s="52"/>
      <c r="O381" s="52"/>
      <c r="P381" s="52"/>
      <c r="Q381" s="52"/>
      <c r="U381" s="52"/>
    </row>
    <row r="382">
      <c r="M382" s="52"/>
      <c r="N382" s="52"/>
      <c r="O382" s="52"/>
      <c r="P382" s="52"/>
      <c r="Q382" s="52"/>
      <c r="U382" s="52"/>
    </row>
    <row r="383">
      <c r="M383" s="52"/>
      <c r="N383" s="52"/>
      <c r="O383" s="52"/>
      <c r="P383" s="52"/>
      <c r="Q383" s="52"/>
      <c r="U383" s="52"/>
    </row>
    <row r="384">
      <c r="M384" s="52"/>
      <c r="N384" s="52"/>
      <c r="O384" s="52"/>
      <c r="P384" s="52"/>
      <c r="Q384" s="52"/>
      <c r="U384" s="52"/>
    </row>
    <row r="385">
      <c r="M385" s="52"/>
      <c r="N385" s="52"/>
      <c r="O385" s="52"/>
      <c r="P385" s="52"/>
      <c r="Q385" s="52"/>
      <c r="U385" s="52"/>
    </row>
    <row r="386">
      <c r="M386" s="52"/>
      <c r="N386" s="52"/>
      <c r="O386" s="52"/>
      <c r="P386" s="52"/>
      <c r="Q386" s="52"/>
      <c r="U386" s="52"/>
    </row>
    <row r="387">
      <c r="M387" s="52"/>
      <c r="N387" s="52"/>
      <c r="O387" s="52"/>
      <c r="P387" s="52"/>
      <c r="Q387" s="52"/>
      <c r="U387" s="52"/>
    </row>
    <row r="388">
      <c r="M388" s="52"/>
      <c r="N388" s="52"/>
      <c r="O388" s="52"/>
      <c r="P388" s="52"/>
      <c r="Q388" s="52"/>
      <c r="U388" s="52"/>
    </row>
    <row r="389">
      <c r="M389" s="52"/>
      <c r="N389" s="52"/>
      <c r="O389" s="52"/>
      <c r="P389" s="52"/>
      <c r="Q389" s="52"/>
      <c r="U389" s="52"/>
    </row>
    <row r="390">
      <c r="M390" s="52"/>
      <c r="N390" s="52"/>
      <c r="O390" s="52"/>
      <c r="P390" s="52"/>
      <c r="Q390" s="52"/>
      <c r="U390" s="52"/>
    </row>
    <row r="391">
      <c r="M391" s="52"/>
      <c r="N391" s="52"/>
      <c r="O391" s="52"/>
      <c r="P391" s="52"/>
      <c r="Q391" s="52"/>
      <c r="U391" s="52"/>
    </row>
    <row r="392">
      <c r="M392" s="52"/>
      <c r="N392" s="52"/>
      <c r="O392" s="52"/>
      <c r="P392" s="52"/>
      <c r="Q392" s="52"/>
      <c r="U392" s="52"/>
    </row>
    <row r="393">
      <c r="M393" s="52"/>
      <c r="N393" s="52"/>
      <c r="O393" s="52"/>
      <c r="P393" s="52"/>
      <c r="Q393" s="52"/>
      <c r="U393" s="52"/>
    </row>
    <row r="394">
      <c r="M394" s="52"/>
      <c r="N394" s="52"/>
      <c r="O394" s="52"/>
      <c r="P394" s="52"/>
      <c r="Q394" s="52"/>
      <c r="U394" s="52"/>
    </row>
    <row r="395">
      <c r="M395" s="52"/>
      <c r="N395" s="52"/>
      <c r="O395" s="52"/>
      <c r="P395" s="52"/>
      <c r="Q395" s="52"/>
      <c r="U395" s="52"/>
    </row>
    <row r="396">
      <c r="M396" s="52"/>
      <c r="N396" s="52"/>
      <c r="O396" s="52"/>
      <c r="P396" s="52"/>
      <c r="Q396" s="52"/>
      <c r="U396" s="52"/>
    </row>
    <row r="397">
      <c r="M397" s="52"/>
      <c r="N397" s="52"/>
      <c r="O397" s="52"/>
      <c r="P397" s="52"/>
      <c r="Q397" s="52"/>
      <c r="U397" s="52"/>
    </row>
    <row r="398">
      <c r="M398" s="52"/>
      <c r="N398" s="52"/>
      <c r="O398" s="52"/>
      <c r="P398" s="52"/>
      <c r="Q398" s="52"/>
      <c r="U398" s="52"/>
    </row>
    <row r="399">
      <c r="M399" s="52"/>
      <c r="N399" s="52"/>
      <c r="O399" s="52"/>
      <c r="P399" s="52"/>
      <c r="Q399" s="52"/>
      <c r="U399" s="52"/>
    </row>
    <row r="400">
      <c r="M400" s="52"/>
      <c r="N400" s="52"/>
      <c r="O400" s="52"/>
      <c r="P400" s="52"/>
      <c r="Q400" s="52"/>
      <c r="U400" s="52"/>
    </row>
    <row r="401">
      <c r="M401" s="52"/>
      <c r="N401" s="52"/>
      <c r="O401" s="52"/>
      <c r="P401" s="52"/>
      <c r="Q401" s="52"/>
      <c r="U401" s="52"/>
    </row>
    <row r="402">
      <c r="M402" s="52"/>
      <c r="N402" s="52"/>
      <c r="O402" s="52"/>
      <c r="P402" s="52"/>
      <c r="Q402" s="52"/>
      <c r="U402" s="52"/>
    </row>
    <row r="403">
      <c r="M403" s="52"/>
      <c r="N403" s="52"/>
      <c r="O403" s="52"/>
      <c r="P403" s="52"/>
      <c r="Q403" s="52"/>
      <c r="U403" s="52"/>
    </row>
    <row r="404">
      <c r="M404" s="52"/>
      <c r="N404" s="52"/>
      <c r="O404" s="52"/>
      <c r="P404" s="52"/>
      <c r="Q404" s="52"/>
      <c r="U404" s="52"/>
    </row>
    <row r="405">
      <c r="M405" s="52"/>
      <c r="N405" s="52"/>
      <c r="O405" s="52"/>
      <c r="P405" s="52"/>
      <c r="Q405" s="52"/>
      <c r="U405" s="52"/>
    </row>
    <row r="406">
      <c r="M406" s="52"/>
      <c r="N406" s="52"/>
      <c r="O406" s="52"/>
      <c r="P406" s="52"/>
      <c r="Q406" s="52"/>
      <c r="U406" s="52"/>
    </row>
    <row r="407">
      <c r="M407" s="52"/>
      <c r="N407" s="52"/>
      <c r="O407" s="52"/>
      <c r="P407" s="52"/>
      <c r="Q407" s="52"/>
      <c r="U407" s="52"/>
    </row>
    <row r="408">
      <c r="M408" s="52"/>
      <c r="N408" s="52"/>
      <c r="O408" s="52"/>
      <c r="P408" s="52"/>
      <c r="Q408" s="52"/>
      <c r="U408" s="52"/>
    </row>
    <row r="409">
      <c r="M409" s="52"/>
      <c r="N409" s="52"/>
      <c r="O409" s="52"/>
      <c r="P409" s="52"/>
      <c r="Q409" s="52"/>
      <c r="U409" s="52"/>
    </row>
    <row r="410">
      <c r="M410" s="52"/>
      <c r="N410" s="52"/>
      <c r="O410" s="52"/>
      <c r="P410" s="52"/>
      <c r="Q410" s="52"/>
      <c r="U410" s="52"/>
    </row>
    <row r="411">
      <c r="M411" s="52"/>
      <c r="N411" s="52"/>
      <c r="O411" s="52"/>
      <c r="P411" s="52"/>
      <c r="Q411" s="52"/>
      <c r="U411" s="52"/>
    </row>
    <row r="412">
      <c r="M412" s="52"/>
      <c r="N412" s="52"/>
      <c r="O412" s="52"/>
      <c r="P412" s="52"/>
      <c r="Q412" s="52"/>
      <c r="U412" s="52"/>
    </row>
    <row r="413">
      <c r="M413" s="52"/>
      <c r="N413" s="52"/>
      <c r="O413" s="52"/>
      <c r="P413" s="52"/>
      <c r="Q413" s="52"/>
      <c r="U413" s="52"/>
    </row>
    <row r="414">
      <c r="M414" s="52"/>
      <c r="N414" s="52"/>
      <c r="O414" s="52"/>
      <c r="P414" s="52"/>
      <c r="Q414" s="52"/>
      <c r="U414" s="52"/>
    </row>
    <row r="415">
      <c r="M415" s="52"/>
      <c r="N415" s="52"/>
      <c r="O415" s="52"/>
      <c r="P415" s="52"/>
      <c r="Q415" s="52"/>
      <c r="U415" s="52"/>
    </row>
    <row r="416">
      <c r="M416" s="52"/>
      <c r="N416" s="52"/>
      <c r="O416" s="52"/>
      <c r="P416" s="52"/>
      <c r="Q416" s="52"/>
      <c r="U416" s="52"/>
    </row>
    <row r="417">
      <c r="M417" s="52"/>
      <c r="N417" s="52"/>
      <c r="O417" s="52"/>
      <c r="P417" s="52"/>
      <c r="Q417" s="52"/>
      <c r="U417" s="52"/>
    </row>
    <row r="418">
      <c r="M418" s="52"/>
      <c r="N418" s="52"/>
      <c r="O418" s="52"/>
      <c r="P418" s="52"/>
      <c r="Q418" s="52"/>
      <c r="U418" s="52"/>
    </row>
    <row r="419">
      <c r="M419" s="52"/>
      <c r="N419" s="52"/>
      <c r="O419" s="52"/>
      <c r="P419" s="52"/>
      <c r="Q419" s="52"/>
      <c r="U419" s="52"/>
    </row>
    <row r="420">
      <c r="M420" s="52"/>
      <c r="N420" s="52"/>
      <c r="O420" s="52"/>
      <c r="P420" s="52"/>
      <c r="Q420" s="52"/>
      <c r="U420" s="52"/>
    </row>
    <row r="421">
      <c r="M421" s="52"/>
      <c r="N421" s="52"/>
      <c r="O421" s="52"/>
      <c r="P421" s="52"/>
      <c r="Q421" s="52"/>
      <c r="U421" s="52"/>
    </row>
    <row r="422">
      <c r="M422" s="52"/>
      <c r="N422" s="52"/>
      <c r="O422" s="52"/>
      <c r="P422" s="52"/>
      <c r="Q422" s="52"/>
      <c r="U422" s="52"/>
    </row>
    <row r="423">
      <c r="M423" s="52"/>
      <c r="N423" s="52"/>
      <c r="O423" s="52"/>
      <c r="P423" s="52"/>
      <c r="Q423" s="52"/>
      <c r="U423" s="52"/>
    </row>
    <row r="424">
      <c r="M424" s="52"/>
      <c r="N424" s="52"/>
      <c r="O424" s="52"/>
      <c r="P424" s="52"/>
      <c r="Q424" s="52"/>
      <c r="U424" s="52"/>
    </row>
    <row r="425">
      <c r="M425" s="52"/>
      <c r="N425" s="52"/>
      <c r="O425" s="52"/>
      <c r="P425" s="52"/>
      <c r="Q425" s="52"/>
      <c r="U425" s="52"/>
    </row>
    <row r="426">
      <c r="M426" s="52"/>
      <c r="N426" s="52"/>
      <c r="O426" s="52"/>
      <c r="P426" s="52"/>
      <c r="Q426" s="52"/>
      <c r="U426" s="52"/>
    </row>
    <row r="427">
      <c r="M427" s="52"/>
      <c r="N427" s="52"/>
      <c r="O427" s="52"/>
      <c r="P427" s="52"/>
      <c r="Q427" s="52"/>
      <c r="U427" s="52"/>
    </row>
    <row r="428">
      <c r="M428" s="52"/>
      <c r="N428" s="52"/>
      <c r="O428" s="52"/>
      <c r="P428" s="52"/>
      <c r="Q428" s="52"/>
      <c r="U428" s="52"/>
    </row>
    <row r="429">
      <c r="M429" s="52"/>
      <c r="N429" s="52"/>
      <c r="O429" s="52"/>
      <c r="P429" s="52"/>
      <c r="Q429" s="52"/>
      <c r="U429" s="52"/>
    </row>
    <row r="430">
      <c r="M430" s="52"/>
      <c r="N430" s="52"/>
      <c r="O430" s="52"/>
      <c r="P430" s="52"/>
      <c r="Q430" s="52"/>
      <c r="U430" s="52"/>
    </row>
    <row r="431">
      <c r="M431" s="52"/>
      <c r="N431" s="52"/>
      <c r="O431" s="52"/>
      <c r="P431" s="52"/>
      <c r="Q431" s="52"/>
      <c r="U431" s="52"/>
    </row>
    <row r="432">
      <c r="M432" s="52"/>
      <c r="N432" s="52"/>
      <c r="O432" s="52"/>
      <c r="P432" s="52"/>
      <c r="Q432" s="52"/>
      <c r="U432" s="52"/>
    </row>
    <row r="433">
      <c r="M433" s="52"/>
      <c r="N433" s="52"/>
      <c r="O433" s="52"/>
      <c r="P433" s="52"/>
      <c r="Q433" s="52"/>
      <c r="U433" s="52"/>
    </row>
    <row r="434">
      <c r="M434" s="52"/>
      <c r="N434" s="52"/>
      <c r="O434" s="52"/>
      <c r="P434" s="52"/>
      <c r="Q434" s="52"/>
      <c r="U434" s="52"/>
    </row>
    <row r="435">
      <c r="M435" s="52"/>
      <c r="N435" s="52"/>
      <c r="O435" s="52"/>
      <c r="P435" s="52"/>
      <c r="Q435" s="52"/>
      <c r="U435" s="52"/>
    </row>
    <row r="436">
      <c r="M436" s="52"/>
      <c r="N436" s="52"/>
      <c r="O436" s="52"/>
      <c r="P436" s="52"/>
      <c r="Q436" s="52"/>
      <c r="U436" s="52"/>
    </row>
    <row r="437">
      <c r="M437" s="52"/>
      <c r="N437" s="52"/>
      <c r="O437" s="52"/>
      <c r="P437" s="52"/>
      <c r="Q437" s="52"/>
      <c r="U437" s="52"/>
    </row>
    <row r="438">
      <c r="M438" s="52"/>
      <c r="N438" s="52"/>
      <c r="O438" s="52"/>
      <c r="P438" s="52"/>
      <c r="Q438" s="52"/>
      <c r="U438" s="52"/>
    </row>
    <row r="439">
      <c r="M439" s="52"/>
      <c r="N439" s="52"/>
      <c r="O439" s="52"/>
      <c r="P439" s="52"/>
      <c r="Q439" s="52"/>
      <c r="U439" s="52"/>
    </row>
    <row r="440">
      <c r="M440" s="52"/>
      <c r="N440" s="52"/>
      <c r="O440" s="52"/>
      <c r="P440" s="52"/>
      <c r="Q440" s="52"/>
      <c r="U440" s="52"/>
    </row>
    <row r="441">
      <c r="M441" s="52"/>
      <c r="N441" s="52"/>
      <c r="O441" s="52"/>
      <c r="P441" s="52"/>
      <c r="Q441" s="52"/>
      <c r="U441" s="52"/>
    </row>
    <row r="442">
      <c r="M442" s="52"/>
      <c r="N442" s="52"/>
      <c r="O442" s="52"/>
      <c r="P442" s="52"/>
      <c r="Q442" s="52"/>
      <c r="U442" s="52"/>
    </row>
    <row r="443">
      <c r="M443" s="52"/>
      <c r="N443" s="52"/>
      <c r="O443" s="52"/>
      <c r="P443" s="52"/>
      <c r="Q443" s="52"/>
      <c r="U443" s="52"/>
    </row>
    <row r="444">
      <c r="M444" s="52"/>
      <c r="N444" s="52"/>
      <c r="O444" s="52"/>
      <c r="P444" s="52"/>
      <c r="Q444" s="52"/>
      <c r="U444" s="52"/>
    </row>
    <row r="445">
      <c r="M445" s="52"/>
      <c r="N445" s="52"/>
      <c r="O445" s="52"/>
      <c r="P445" s="52"/>
      <c r="Q445" s="52"/>
      <c r="U445" s="52"/>
    </row>
    <row r="446">
      <c r="M446" s="52"/>
      <c r="N446" s="52"/>
      <c r="O446" s="52"/>
      <c r="P446" s="52"/>
      <c r="Q446" s="52"/>
      <c r="U446" s="52"/>
    </row>
    <row r="447">
      <c r="M447" s="52"/>
      <c r="N447" s="52"/>
      <c r="O447" s="52"/>
      <c r="P447" s="52"/>
      <c r="Q447" s="52"/>
      <c r="U447" s="52"/>
    </row>
    <row r="448">
      <c r="M448" s="52"/>
      <c r="N448" s="52"/>
      <c r="O448" s="52"/>
      <c r="P448" s="52"/>
      <c r="Q448" s="52"/>
      <c r="U448" s="52"/>
    </row>
    <row r="449">
      <c r="M449" s="52"/>
      <c r="N449" s="52"/>
      <c r="O449" s="52"/>
      <c r="P449" s="52"/>
      <c r="Q449" s="52"/>
      <c r="U449" s="52"/>
    </row>
    <row r="450">
      <c r="M450" s="52"/>
      <c r="N450" s="52"/>
      <c r="O450" s="52"/>
      <c r="P450" s="52"/>
      <c r="Q450" s="52"/>
      <c r="U450" s="52"/>
    </row>
    <row r="451">
      <c r="M451" s="52"/>
      <c r="N451" s="52"/>
      <c r="O451" s="52"/>
      <c r="P451" s="52"/>
      <c r="Q451" s="52"/>
      <c r="U451" s="52"/>
    </row>
    <row r="452">
      <c r="M452" s="52"/>
      <c r="N452" s="52"/>
      <c r="O452" s="52"/>
      <c r="P452" s="52"/>
      <c r="Q452" s="52"/>
      <c r="U452" s="52"/>
    </row>
    <row r="453">
      <c r="M453" s="52"/>
      <c r="N453" s="52"/>
      <c r="O453" s="52"/>
      <c r="P453" s="52"/>
      <c r="Q453" s="52"/>
      <c r="U453" s="52"/>
    </row>
    <row r="454">
      <c r="M454" s="52"/>
      <c r="N454" s="52"/>
      <c r="O454" s="52"/>
      <c r="P454" s="52"/>
      <c r="Q454" s="52"/>
      <c r="U454" s="52"/>
    </row>
    <row r="455">
      <c r="M455" s="52"/>
      <c r="N455" s="52"/>
      <c r="O455" s="52"/>
      <c r="P455" s="52"/>
      <c r="Q455" s="52"/>
      <c r="U455" s="52"/>
    </row>
    <row r="456">
      <c r="M456" s="52"/>
      <c r="N456" s="52"/>
      <c r="O456" s="52"/>
      <c r="P456" s="52"/>
      <c r="Q456" s="52"/>
      <c r="U456" s="52"/>
    </row>
    <row r="457">
      <c r="M457" s="52"/>
      <c r="N457" s="52"/>
      <c r="O457" s="52"/>
      <c r="P457" s="52"/>
      <c r="Q457" s="52"/>
      <c r="U457" s="52"/>
    </row>
    <row r="458">
      <c r="M458" s="52"/>
      <c r="N458" s="52"/>
      <c r="O458" s="52"/>
      <c r="P458" s="52"/>
      <c r="Q458" s="52"/>
      <c r="U458" s="52"/>
    </row>
    <row r="459">
      <c r="M459" s="52"/>
      <c r="N459" s="52"/>
      <c r="O459" s="52"/>
      <c r="P459" s="52"/>
      <c r="Q459" s="52"/>
      <c r="U459" s="52"/>
    </row>
    <row r="460">
      <c r="M460" s="52"/>
      <c r="N460" s="52"/>
      <c r="O460" s="52"/>
      <c r="P460" s="52"/>
      <c r="Q460" s="52"/>
      <c r="U460" s="52"/>
    </row>
    <row r="461">
      <c r="M461" s="52"/>
      <c r="N461" s="52"/>
      <c r="O461" s="52"/>
      <c r="P461" s="52"/>
      <c r="Q461" s="52"/>
      <c r="U461" s="52"/>
    </row>
    <row r="462">
      <c r="M462" s="52"/>
      <c r="N462" s="52"/>
      <c r="O462" s="52"/>
      <c r="P462" s="52"/>
      <c r="Q462" s="52"/>
      <c r="U462" s="52"/>
    </row>
    <row r="463">
      <c r="M463" s="52"/>
      <c r="N463" s="52"/>
      <c r="O463" s="52"/>
      <c r="P463" s="52"/>
      <c r="Q463" s="52"/>
      <c r="U463" s="52"/>
    </row>
    <row r="464">
      <c r="M464" s="52"/>
      <c r="N464" s="52"/>
      <c r="O464" s="52"/>
      <c r="P464" s="52"/>
      <c r="Q464" s="52"/>
      <c r="U464" s="52"/>
    </row>
    <row r="465">
      <c r="M465" s="52"/>
      <c r="N465" s="52"/>
      <c r="O465" s="52"/>
      <c r="P465" s="52"/>
      <c r="Q465" s="52"/>
      <c r="U465" s="52"/>
    </row>
    <row r="466">
      <c r="M466" s="52"/>
      <c r="N466" s="52"/>
      <c r="O466" s="52"/>
      <c r="P466" s="52"/>
      <c r="Q466" s="52"/>
      <c r="U466" s="52"/>
    </row>
    <row r="467">
      <c r="M467" s="52"/>
      <c r="N467" s="52"/>
      <c r="O467" s="52"/>
      <c r="P467" s="52"/>
      <c r="Q467" s="52"/>
      <c r="U467" s="52"/>
    </row>
    <row r="468">
      <c r="M468" s="52"/>
      <c r="N468" s="52"/>
      <c r="O468" s="52"/>
      <c r="P468" s="52"/>
      <c r="Q468" s="52"/>
      <c r="U468" s="52"/>
    </row>
    <row r="469">
      <c r="M469" s="52"/>
      <c r="N469" s="52"/>
      <c r="O469" s="52"/>
      <c r="P469" s="52"/>
      <c r="Q469" s="52"/>
      <c r="U469" s="52"/>
    </row>
    <row r="470">
      <c r="M470" s="52"/>
      <c r="N470" s="52"/>
      <c r="O470" s="52"/>
      <c r="P470" s="52"/>
      <c r="Q470" s="52"/>
      <c r="U470" s="52"/>
    </row>
    <row r="471">
      <c r="M471" s="52"/>
      <c r="N471" s="52"/>
      <c r="O471" s="52"/>
      <c r="P471" s="52"/>
      <c r="Q471" s="52"/>
      <c r="U471" s="52"/>
    </row>
    <row r="472">
      <c r="M472" s="52"/>
      <c r="N472" s="52"/>
      <c r="O472" s="52"/>
      <c r="P472" s="52"/>
      <c r="Q472" s="52"/>
      <c r="U472" s="52"/>
    </row>
    <row r="473">
      <c r="M473" s="52"/>
      <c r="N473" s="52"/>
      <c r="O473" s="52"/>
      <c r="P473" s="52"/>
      <c r="Q473" s="52"/>
      <c r="U473" s="52"/>
    </row>
    <row r="474">
      <c r="M474" s="52"/>
      <c r="N474" s="52"/>
      <c r="O474" s="52"/>
      <c r="P474" s="52"/>
      <c r="Q474" s="52"/>
      <c r="U474" s="52"/>
    </row>
    <row r="475">
      <c r="M475" s="52"/>
      <c r="N475" s="52"/>
      <c r="O475" s="52"/>
      <c r="P475" s="52"/>
      <c r="Q475" s="52"/>
      <c r="U475" s="52"/>
    </row>
    <row r="476">
      <c r="M476" s="52"/>
      <c r="N476" s="52"/>
      <c r="O476" s="52"/>
      <c r="P476" s="52"/>
      <c r="Q476" s="52"/>
      <c r="U476" s="52"/>
    </row>
    <row r="477">
      <c r="M477" s="52"/>
      <c r="N477" s="52"/>
      <c r="O477" s="52"/>
      <c r="P477" s="52"/>
      <c r="Q477" s="52"/>
      <c r="U477" s="52"/>
    </row>
    <row r="478">
      <c r="M478" s="52"/>
      <c r="N478" s="52"/>
      <c r="O478" s="52"/>
      <c r="P478" s="52"/>
      <c r="Q478" s="52"/>
      <c r="U478" s="52"/>
    </row>
    <row r="479">
      <c r="M479" s="52"/>
      <c r="N479" s="52"/>
      <c r="O479" s="52"/>
      <c r="P479" s="52"/>
      <c r="Q479" s="52"/>
      <c r="U479" s="52"/>
    </row>
    <row r="480">
      <c r="M480" s="52"/>
      <c r="N480" s="52"/>
      <c r="O480" s="52"/>
      <c r="P480" s="52"/>
      <c r="Q480" s="52"/>
      <c r="U480" s="52"/>
    </row>
    <row r="481">
      <c r="M481" s="52"/>
      <c r="N481" s="52"/>
      <c r="O481" s="52"/>
      <c r="P481" s="52"/>
      <c r="Q481" s="52"/>
      <c r="U481" s="52"/>
    </row>
    <row r="482">
      <c r="M482" s="52"/>
      <c r="N482" s="52"/>
      <c r="O482" s="52"/>
      <c r="P482" s="52"/>
      <c r="Q482" s="52"/>
      <c r="U482" s="52"/>
    </row>
    <row r="483">
      <c r="M483" s="52"/>
      <c r="N483" s="52"/>
      <c r="O483" s="52"/>
      <c r="P483" s="52"/>
      <c r="Q483" s="52"/>
      <c r="U483" s="52"/>
    </row>
    <row r="484">
      <c r="M484" s="52"/>
      <c r="N484" s="52"/>
      <c r="O484" s="52"/>
      <c r="P484" s="52"/>
      <c r="Q484" s="52"/>
      <c r="U484" s="52"/>
    </row>
    <row r="485">
      <c r="M485" s="52"/>
      <c r="N485" s="52"/>
      <c r="O485" s="52"/>
      <c r="P485" s="52"/>
      <c r="Q485" s="52"/>
      <c r="U485" s="52"/>
    </row>
    <row r="486">
      <c r="M486" s="52"/>
      <c r="N486" s="52"/>
      <c r="O486" s="52"/>
      <c r="P486" s="52"/>
      <c r="Q486" s="52"/>
      <c r="U486" s="52"/>
    </row>
    <row r="487">
      <c r="M487" s="52"/>
      <c r="N487" s="52"/>
      <c r="O487" s="52"/>
      <c r="P487" s="52"/>
      <c r="Q487" s="52"/>
      <c r="U487" s="52"/>
    </row>
    <row r="488">
      <c r="M488" s="52"/>
      <c r="N488" s="52"/>
      <c r="O488" s="52"/>
      <c r="P488" s="52"/>
      <c r="Q488" s="52"/>
      <c r="U488" s="52"/>
    </row>
    <row r="489">
      <c r="M489" s="52"/>
      <c r="N489" s="52"/>
      <c r="O489" s="52"/>
      <c r="P489" s="52"/>
      <c r="Q489" s="52"/>
      <c r="U489" s="52"/>
    </row>
    <row r="490">
      <c r="M490" s="52"/>
      <c r="N490" s="52"/>
      <c r="O490" s="52"/>
      <c r="P490" s="52"/>
      <c r="Q490" s="52"/>
      <c r="U490" s="52"/>
    </row>
    <row r="491">
      <c r="M491" s="52"/>
      <c r="N491" s="52"/>
      <c r="O491" s="52"/>
      <c r="P491" s="52"/>
      <c r="Q491" s="52"/>
      <c r="U491" s="52"/>
    </row>
    <row r="492">
      <c r="M492" s="52"/>
      <c r="N492" s="52"/>
      <c r="O492" s="52"/>
      <c r="P492" s="52"/>
      <c r="Q492" s="52"/>
      <c r="U492" s="52"/>
    </row>
    <row r="493">
      <c r="M493" s="52"/>
      <c r="N493" s="52"/>
      <c r="O493" s="52"/>
      <c r="P493" s="52"/>
      <c r="Q493" s="52"/>
      <c r="U493" s="52"/>
    </row>
    <row r="494">
      <c r="M494" s="52"/>
      <c r="N494" s="52"/>
      <c r="O494" s="52"/>
      <c r="P494" s="52"/>
      <c r="Q494" s="52"/>
      <c r="U494" s="52"/>
    </row>
    <row r="495">
      <c r="M495" s="52"/>
      <c r="N495" s="52"/>
      <c r="O495" s="52"/>
      <c r="P495" s="52"/>
      <c r="Q495" s="52"/>
      <c r="U495" s="52"/>
    </row>
    <row r="496">
      <c r="M496" s="52"/>
      <c r="N496" s="52"/>
      <c r="O496" s="52"/>
      <c r="P496" s="52"/>
      <c r="Q496" s="52"/>
      <c r="U496" s="52"/>
    </row>
    <row r="497">
      <c r="M497" s="52"/>
      <c r="N497" s="52"/>
      <c r="O497" s="52"/>
      <c r="P497" s="52"/>
      <c r="Q497" s="52"/>
      <c r="U497" s="52"/>
    </row>
    <row r="498">
      <c r="M498" s="52"/>
      <c r="N498" s="52"/>
      <c r="O498" s="52"/>
      <c r="P498" s="52"/>
      <c r="Q498" s="52"/>
      <c r="U498" s="52"/>
    </row>
    <row r="499">
      <c r="M499" s="52"/>
      <c r="N499" s="52"/>
      <c r="O499" s="52"/>
      <c r="P499" s="52"/>
      <c r="Q499" s="52"/>
      <c r="U499" s="52"/>
    </row>
    <row r="500">
      <c r="M500" s="52"/>
      <c r="N500" s="52"/>
      <c r="O500" s="52"/>
      <c r="P500" s="52"/>
      <c r="Q500" s="52"/>
      <c r="U500" s="52"/>
    </row>
    <row r="501">
      <c r="M501" s="52"/>
      <c r="N501" s="52"/>
      <c r="O501" s="52"/>
      <c r="P501" s="52"/>
      <c r="Q501" s="52"/>
      <c r="U501" s="52"/>
    </row>
    <row r="502">
      <c r="M502" s="52"/>
      <c r="N502" s="52"/>
      <c r="O502" s="52"/>
      <c r="P502" s="52"/>
      <c r="Q502" s="52"/>
      <c r="U502" s="52"/>
    </row>
    <row r="503">
      <c r="M503" s="52"/>
      <c r="N503" s="52"/>
      <c r="O503" s="52"/>
      <c r="P503" s="52"/>
      <c r="Q503" s="52"/>
      <c r="U503" s="52"/>
    </row>
    <row r="504">
      <c r="M504" s="52"/>
      <c r="N504" s="52"/>
      <c r="O504" s="52"/>
      <c r="P504" s="52"/>
      <c r="Q504" s="52"/>
      <c r="U504" s="52"/>
    </row>
    <row r="505">
      <c r="M505" s="52"/>
      <c r="N505" s="52"/>
      <c r="O505" s="52"/>
      <c r="P505" s="52"/>
      <c r="Q505" s="52"/>
      <c r="U505" s="52"/>
    </row>
    <row r="506">
      <c r="M506" s="52"/>
      <c r="N506" s="52"/>
      <c r="O506" s="52"/>
      <c r="P506" s="52"/>
      <c r="Q506" s="52"/>
      <c r="U506" s="52"/>
    </row>
    <row r="507">
      <c r="M507" s="52"/>
      <c r="N507" s="52"/>
      <c r="O507" s="52"/>
      <c r="P507" s="52"/>
      <c r="Q507" s="52"/>
      <c r="U507" s="52"/>
    </row>
    <row r="508">
      <c r="M508" s="52"/>
      <c r="N508" s="52"/>
      <c r="O508" s="52"/>
      <c r="P508" s="52"/>
      <c r="Q508" s="52"/>
      <c r="U508" s="52"/>
    </row>
    <row r="509">
      <c r="M509" s="52"/>
      <c r="N509" s="52"/>
      <c r="O509" s="52"/>
      <c r="P509" s="52"/>
      <c r="Q509" s="52"/>
      <c r="U509" s="52"/>
    </row>
    <row r="510">
      <c r="M510" s="52"/>
      <c r="N510" s="52"/>
      <c r="O510" s="52"/>
      <c r="P510" s="52"/>
      <c r="Q510" s="52"/>
      <c r="U510" s="52"/>
    </row>
    <row r="511">
      <c r="M511" s="52"/>
      <c r="N511" s="52"/>
      <c r="O511" s="52"/>
      <c r="P511" s="52"/>
      <c r="Q511" s="52"/>
      <c r="U511" s="52"/>
    </row>
    <row r="512">
      <c r="M512" s="52"/>
      <c r="N512" s="52"/>
      <c r="O512" s="52"/>
      <c r="P512" s="52"/>
      <c r="Q512" s="52"/>
      <c r="U512" s="52"/>
    </row>
    <row r="513">
      <c r="M513" s="52"/>
      <c r="N513" s="52"/>
      <c r="O513" s="52"/>
      <c r="P513" s="52"/>
      <c r="Q513" s="52"/>
      <c r="U513" s="52"/>
    </row>
    <row r="514">
      <c r="M514" s="52"/>
      <c r="N514" s="52"/>
      <c r="O514" s="52"/>
      <c r="P514" s="52"/>
      <c r="Q514" s="52"/>
      <c r="U514" s="52"/>
    </row>
    <row r="515">
      <c r="M515" s="52"/>
      <c r="N515" s="52"/>
      <c r="O515" s="52"/>
      <c r="P515" s="52"/>
      <c r="Q515" s="52"/>
      <c r="U515" s="52"/>
    </row>
    <row r="516">
      <c r="M516" s="52"/>
      <c r="N516" s="52"/>
      <c r="O516" s="52"/>
      <c r="P516" s="52"/>
      <c r="Q516" s="52"/>
      <c r="U516" s="52"/>
    </row>
    <row r="517">
      <c r="M517" s="52"/>
      <c r="N517" s="52"/>
      <c r="O517" s="52"/>
      <c r="P517" s="52"/>
      <c r="Q517" s="52"/>
      <c r="U517" s="52"/>
    </row>
    <row r="518">
      <c r="M518" s="52"/>
      <c r="N518" s="52"/>
      <c r="O518" s="52"/>
      <c r="P518" s="52"/>
      <c r="Q518" s="52"/>
      <c r="U518" s="52"/>
    </row>
    <row r="519">
      <c r="M519" s="52"/>
      <c r="N519" s="52"/>
      <c r="O519" s="52"/>
      <c r="P519" s="52"/>
      <c r="Q519" s="52"/>
      <c r="U519" s="52"/>
    </row>
    <row r="520">
      <c r="M520" s="52"/>
      <c r="N520" s="52"/>
      <c r="O520" s="52"/>
      <c r="P520" s="52"/>
      <c r="Q520" s="52"/>
      <c r="U520" s="52"/>
    </row>
    <row r="521">
      <c r="M521" s="52"/>
      <c r="N521" s="52"/>
      <c r="O521" s="52"/>
      <c r="P521" s="52"/>
      <c r="Q521" s="52"/>
      <c r="U521" s="52"/>
    </row>
    <row r="522">
      <c r="M522" s="52"/>
      <c r="N522" s="52"/>
      <c r="O522" s="52"/>
      <c r="P522" s="52"/>
      <c r="Q522" s="52"/>
      <c r="U522" s="52"/>
    </row>
    <row r="523">
      <c r="M523" s="52"/>
      <c r="N523" s="52"/>
      <c r="O523" s="52"/>
      <c r="P523" s="52"/>
      <c r="Q523" s="52"/>
      <c r="U523" s="52"/>
    </row>
    <row r="524">
      <c r="M524" s="52"/>
      <c r="N524" s="52"/>
      <c r="O524" s="52"/>
      <c r="P524" s="52"/>
      <c r="Q524" s="52"/>
      <c r="U524" s="52"/>
    </row>
    <row r="525">
      <c r="M525" s="52"/>
      <c r="N525" s="52"/>
      <c r="O525" s="52"/>
      <c r="P525" s="52"/>
      <c r="Q525" s="52"/>
      <c r="U525" s="52"/>
    </row>
    <row r="526">
      <c r="M526" s="52"/>
      <c r="N526" s="52"/>
      <c r="O526" s="52"/>
      <c r="P526" s="52"/>
      <c r="Q526" s="52"/>
      <c r="U526" s="52"/>
    </row>
    <row r="527">
      <c r="M527" s="52"/>
      <c r="N527" s="52"/>
      <c r="O527" s="52"/>
      <c r="P527" s="52"/>
      <c r="Q527" s="52"/>
      <c r="U527" s="52"/>
    </row>
    <row r="528">
      <c r="M528" s="52"/>
      <c r="N528" s="52"/>
      <c r="O528" s="52"/>
      <c r="P528" s="52"/>
      <c r="Q528" s="52"/>
      <c r="U528" s="52"/>
    </row>
    <row r="529">
      <c r="M529" s="52"/>
      <c r="N529" s="52"/>
      <c r="O529" s="52"/>
      <c r="P529" s="52"/>
      <c r="Q529" s="52"/>
      <c r="U529" s="52"/>
    </row>
    <row r="530">
      <c r="M530" s="52"/>
      <c r="N530" s="52"/>
      <c r="O530" s="52"/>
      <c r="P530" s="52"/>
      <c r="Q530" s="52"/>
      <c r="U530" s="52"/>
    </row>
    <row r="531">
      <c r="M531" s="52"/>
      <c r="N531" s="52"/>
      <c r="O531" s="52"/>
      <c r="P531" s="52"/>
      <c r="Q531" s="52"/>
      <c r="U531" s="52"/>
    </row>
    <row r="532">
      <c r="M532" s="52"/>
      <c r="N532" s="52"/>
      <c r="O532" s="52"/>
      <c r="P532" s="52"/>
      <c r="Q532" s="52"/>
      <c r="U532" s="52"/>
    </row>
    <row r="533">
      <c r="M533" s="52"/>
      <c r="N533" s="52"/>
      <c r="O533" s="52"/>
      <c r="P533" s="52"/>
      <c r="Q533" s="52"/>
      <c r="U533" s="52"/>
    </row>
    <row r="534">
      <c r="M534" s="52"/>
      <c r="N534" s="52"/>
      <c r="O534" s="52"/>
      <c r="P534" s="52"/>
      <c r="Q534" s="52"/>
      <c r="U534" s="52"/>
    </row>
    <row r="535">
      <c r="M535" s="52"/>
      <c r="N535" s="52"/>
      <c r="O535" s="52"/>
      <c r="P535" s="52"/>
      <c r="Q535" s="52"/>
      <c r="U535" s="52"/>
    </row>
    <row r="536">
      <c r="M536" s="52"/>
      <c r="N536" s="52"/>
      <c r="O536" s="52"/>
      <c r="P536" s="52"/>
      <c r="Q536" s="52"/>
      <c r="U536" s="52"/>
    </row>
    <row r="537">
      <c r="M537" s="52"/>
      <c r="N537" s="52"/>
      <c r="O537" s="52"/>
      <c r="P537" s="52"/>
      <c r="Q537" s="52"/>
      <c r="U537" s="52"/>
    </row>
    <row r="538">
      <c r="M538" s="52"/>
      <c r="N538" s="52"/>
      <c r="O538" s="52"/>
      <c r="P538" s="52"/>
      <c r="Q538" s="52"/>
      <c r="U538" s="52"/>
    </row>
    <row r="539">
      <c r="M539" s="52"/>
      <c r="N539" s="52"/>
      <c r="O539" s="52"/>
      <c r="P539" s="52"/>
      <c r="Q539" s="52"/>
      <c r="U539" s="52"/>
    </row>
    <row r="540">
      <c r="M540" s="52"/>
      <c r="N540" s="52"/>
      <c r="O540" s="52"/>
      <c r="P540" s="52"/>
      <c r="Q540" s="52"/>
      <c r="U540" s="52"/>
    </row>
    <row r="541">
      <c r="M541" s="52"/>
      <c r="N541" s="52"/>
      <c r="O541" s="52"/>
      <c r="P541" s="52"/>
      <c r="Q541" s="52"/>
      <c r="U541" s="52"/>
    </row>
    <row r="542">
      <c r="M542" s="52"/>
      <c r="N542" s="52"/>
      <c r="O542" s="52"/>
      <c r="P542" s="52"/>
      <c r="Q542" s="52"/>
      <c r="U542" s="52"/>
    </row>
    <row r="543">
      <c r="M543" s="52"/>
      <c r="N543" s="52"/>
      <c r="O543" s="52"/>
      <c r="P543" s="52"/>
      <c r="Q543" s="52"/>
      <c r="U543" s="52"/>
    </row>
    <row r="544">
      <c r="M544" s="52"/>
      <c r="N544" s="52"/>
      <c r="O544" s="52"/>
      <c r="P544" s="52"/>
      <c r="Q544" s="52"/>
      <c r="U544" s="52"/>
    </row>
    <row r="545">
      <c r="M545" s="52"/>
      <c r="N545" s="52"/>
      <c r="O545" s="52"/>
      <c r="P545" s="52"/>
      <c r="Q545" s="52"/>
      <c r="U545" s="52"/>
    </row>
    <row r="546">
      <c r="M546" s="52"/>
      <c r="N546" s="52"/>
      <c r="O546" s="52"/>
      <c r="P546" s="52"/>
      <c r="Q546" s="52"/>
      <c r="U546" s="52"/>
    </row>
    <row r="547">
      <c r="M547" s="52"/>
      <c r="N547" s="52"/>
      <c r="O547" s="52"/>
      <c r="P547" s="52"/>
      <c r="Q547" s="52"/>
      <c r="U547" s="52"/>
    </row>
    <row r="548">
      <c r="M548" s="52"/>
      <c r="N548" s="52"/>
      <c r="O548" s="52"/>
      <c r="P548" s="52"/>
      <c r="Q548" s="52"/>
      <c r="U548" s="52"/>
    </row>
    <row r="549">
      <c r="M549" s="52"/>
      <c r="N549" s="52"/>
      <c r="O549" s="52"/>
      <c r="P549" s="52"/>
      <c r="Q549" s="52"/>
      <c r="U549" s="52"/>
    </row>
    <row r="550">
      <c r="M550" s="52"/>
      <c r="N550" s="52"/>
      <c r="O550" s="52"/>
      <c r="P550" s="52"/>
      <c r="Q550" s="52"/>
      <c r="U550" s="52"/>
    </row>
    <row r="551">
      <c r="M551" s="52"/>
      <c r="N551" s="52"/>
      <c r="O551" s="52"/>
      <c r="P551" s="52"/>
      <c r="Q551" s="52"/>
      <c r="U551" s="52"/>
    </row>
    <row r="552">
      <c r="M552" s="52"/>
      <c r="N552" s="52"/>
      <c r="O552" s="52"/>
      <c r="P552" s="52"/>
      <c r="Q552" s="52"/>
      <c r="U552" s="52"/>
    </row>
    <row r="553">
      <c r="M553" s="52"/>
      <c r="N553" s="52"/>
      <c r="O553" s="52"/>
      <c r="P553" s="52"/>
      <c r="Q553" s="52"/>
      <c r="U553" s="52"/>
    </row>
    <row r="554">
      <c r="M554" s="52"/>
      <c r="N554" s="52"/>
      <c r="O554" s="52"/>
      <c r="P554" s="52"/>
      <c r="Q554" s="52"/>
      <c r="U554" s="52"/>
    </row>
    <row r="555">
      <c r="M555" s="52"/>
      <c r="N555" s="52"/>
      <c r="O555" s="52"/>
      <c r="P555" s="52"/>
      <c r="Q555" s="52"/>
      <c r="U555" s="52"/>
    </row>
    <row r="556">
      <c r="M556" s="52"/>
      <c r="N556" s="52"/>
      <c r="O556" s="52"/>
      <c r="P556" s="52"/>
      <c r="Q556" s="52"/>
      <c r="U556" s="52"/>
    </row>
    <row r="557">
      <c r="M557" s="52"/>
      <c r="N557" s="52"/>
      <c r="O557" s="52"/>
      <c r="P557" s="52"/>
      <c r="Q557" s="52"/>
      <c r="U557" s="52"/>
    </row>
    <row r="558">
      <c r="M558" s="52"/>
      <c r="N558" s="52"/>
      <c r="O558" s="52"/>
      <c r="P558" s="52"/>
      <c r="Q558" s="52"/>
      <c r="U558" s="52"/>
    </row>
    <row r="559">
      <c r="M559" s="52"/>
      <c r="N559" s="52"/>
      <c r="O559" s="52"/>
      <c r="P559" s="52"/>
      <c r="Q559" s="52"/>
      <c r="U559" s="52"/>
    </row>
    <row r="560">
      <c r="M560" s="52"/>
      <c r="N560" s="52"/>
      <c r="O560" s="52"/>
      <c r="P560" s="52"/>
      <c r="Q560" s="52"/>
      <c r="U560" s="52"/>
    </row>
    <row r="561">
      <c r="M561" s="52"/>
      <c r="N561" s="52"/>
      <c r="O561" s="52"/>
      <c r="P561" s="52"/>
      <c r="Q561" s="52"/>
      <c r="U561" s="52"/>
    </row>
    <row r="562">
      <c r="M562" s="52"/>
      <c r="N562" s="52"/>
      <c r="O562" s="52"/>
      <c r="P562" s="52"/>
      <c r="Q562" s="52"/>
      <c r="U562" s="52"/>
    </row>
    <row r="563">
      <c r="M563" s="52"/>
      <c r="N563" s="52"/>
      <c r="O563" s="52"/>
      <c r="P563" s="52"/>
      <c r="Q563" s="52"/>
      <c r="U563" s="52"/>
    </row>
    <row r="564">
      <c r="M564" s="52"/>
      <c r="N564" s="52"/>
      <c r="O564" s="52"/>
      <c r="P564" s="52"/>
      <c r="Q564" s="52"/>
      <c r="U564" s="52"/>
    </row>
    <row r="565">
      <c r="M565" s="52"/>
      <c r="N565" s="52"/>
      <c r="O565" s="52"/>
      <c r="P565" s="52"/>
      <c r="Q565" s="52"/>
      <c r="U565" s="52"/>
    </row>
    <row r="566">
      <c r="M566" s="52"/>
      <c r="N566" s="52"/>
      <c r="O566" s="52"/>
      <c r="P566" s="52"/>
      <c r="Q566" s="52"/>
      <c r="U566" s="52"/>
    </row>
    <row r="567">
      <c r="M567" s="52"/>
      <c r="N567" s="52"/>
      <c r="O567" s="52"/>
      <c r="P567" s="52"/>
      <c r="Q567" s="52"/>
      <c r="U567" s="52"/>
    </row>
    <row r="568">
      <c r="M568" s="52"/>
      <c r="N568" s="52"/>
      <c r="O568" s="52"/>
      <c r="P568" s="52"/>
      <c r="Q568" s="52"/>
      <c r="U568" s="52"/>
    </row>
    <row r="569">
      <c r="M569" s="52"/>
      <c r="N569" s="52"/>
      <c r="O569" s="52"/>
      <c r="P569" s="52"/>
      <c r="Q569" s="52"/>
      <c r="U569" s="52"/>
    </row>
    <row r="570">
      <c r="M570" s="52"/>
      <c r="N570" s="52"/>
      <c r="O570" s="52"/>
      <c r="P570" s="52"/>
      <c r="Q570" s="52"/>
      <c r="U570" s="52"/>
    </row>
    <row r="571">
      <c r="M571" s="52"/>
      <c r="N571" s="52"/>
      <c r="O571" s="52"/>
      <c r="P571" s="52"/>
      <c r="Q571" s="52"/>
      <c r="U571" s="52"/>
    </row>
    <row r="572">
      <c r="M572" s="52"/>
      <c r="N572" s="52"/>
      <c r="O572" s="52"/>
      <c r="P572" s="52"/>
      <c r="Q572" s="52"/>
      <c r="U572" s="52"/>
    </row>
    <row r="573">
      <c r="M573" s="52"/>
      <c r="N573" s="52"/>
      <c r="O573" s="52"/>
      <c r="P573" s="52"/>
      <c r="Q573" s="52"/>
      <c r="U573" s="52"/>
    </row>
    <row r="574">
      <c r="M574" s="52"/>
      <c r="N574" s="52"/>
      <c r="O574" s="52"/>
      <c r="P574" s="52"/>
      <c r="Q574" s="52"/>
      <c r="U574" s="52"/>
    </row>
    <row r="575">
      <c r="M575" s="52"/>
      <c r="N575" s="52"/>
      <c r="O575" s="52"/>
      <c r="P575" s="52"/>
      <c r="Q575" s="52"/>
      <c r="U575" s="52"/>
    </row>
    <row r="576">
      <c r="M576" s="52"/>
      <c r="N576" s="52"/>
      <c r="O576" s="52"/>
      <c r="P576" s="52"/>
      <c r="Q576" s="52"/>
      <c r="U576" s="52"/>
    </row>
    <row r="577">
      <c r="M577" s="52"/>
      <c r="N577" s="52"/>
      <c r="O577" s="52"/>
      <c r="P577" s="52"/>
      <c r="Q577" s="52"/>
      <c r="U577" s="52"/>
    </row>
    <row r="578">
      <c r="M578" s="52"/>
      <c r="N578" s="52"/>
      <c r="O578" s="52"/>
      <c r="P578" s="52"/>
      <c r="Q578" s="52"/>
      <c r="U578" s="52"/>
    </row>
    <row r="579">
      <c r="M579" s="52"/>
      <c r="N579" s="52"/>
      <c r="O579" s="52"/>
      <c r="P579" s="52"/>
      <c r="Q579" s="52"/>
      <c r="U579" s="52"/>
    </row>
    <row r="580">
      <c r="M580" s="52"/>
      <c r="N580" s="52"/>
      <c r="O580" s="52"/>
      <c r="P580" s="52"/>
      <c r="Q580" s="52"/>
      <c r="U580" s="52"/>
    </row>
    <row r="581">
      <c r="M581" s="52"/>
      <c r="N581" s="52"/>
      <c r="O581" s="52"/>
      <c r="P581" s="52"/>
      <c r="Q581" s="52"/>
      <c r="U581" s="52"/>
    </row>
    <row r="582">
      <c r="M582" s="52"/>
      <c r="N582" s="52"/>
      <c r="O582" s="52"/>
      <c r="P582" s="52"/>
      <c r="Q582" s="52"/>
      <c r="U582" s="52"/>
    </row>
    <row r="583">
      <c r="M583" s="52"/>
      <c r="N583" s="52"/>
      <c r="O583" s="52"/>
      <c r="P583" s="52"/>
      <c r="Q583" s="52"/>
      <c r="U583" s="52"/>
    </row>
    <row r="584">
      <c r="M584" s="52"/>
      <c r="N584" s="52"/>
      <c r="O584" s="52"/>
      <c r="P584" s="52"/>
      <c r="Q584" s="52"/>
      <c r="U584" s="52"/>
    </row>
    <row r="585">
      <c r="M585" s="52"/>
      <c r="N585" s="52"/>
      <c r="O585" s="52"/>
      <c r="P585" s="52"/>
      <c r="Q585" s="52"/>
      <c r="U585" s="52"/>
    </row>
    <row r="586">
      <c r="M586" s="52"/>
      <c r="N586" s="52"/>
      <c r="O586" s="52"/>
      <c r="P586" s="52"/>
      <c r="Q586" s="52"/>
      <c r="U586" s="52"/>
    </row>
    <row r="587">
      <c r="M587" s="52"/>
      <c r="N587" s="52"/>
      <c r="O587" s="52"/>
      <c r="P587" s="52"/>
      <c r="Q587" s="52"/>
      <c r="U587" s="52"/>
    </row>
    <row r="588">
      <c r="M588" s="52"/>
      <c r="N588" s="52"/>
      <c r="O588" s="52"/>
      <c r="P588" s="52"/>
      <c r="Q588" s="52"/>
      <c r="U588" s="52"/>
    </row>
    <row r="589">
      <c r="M589" s="52"/>
      <c r="N589" s="52"/>
      <c r="O589" s="52"/>
      <c r="P589" s="52"/>
      <c r="Q589" s="52"/>
      <c r="U589" s="52"/>
    </row>
    <row r="590">
      <c r="M590" s="52"/>
      <c r="N590" s="52"/>
      <c r="O590" s="52"/>
      <c r="P590" s="52"/>
      <c r="Q590" s="52"/>
      <c r="U590" s="52"/>
    </row>
    <row r="591">
      <c r="M591" s="52"/>
      <c r="N591" s="52"/>
      <c r="O591" s="52"/>
      <c r="P591" s="52"/>
      <c r="Q591" s="52"/>
      <c r="U591" s="52"/>
    </row>
    <row r="592">
      <c r="M592" s="52"/>
      <c r="N592" s="52"/>
      <c r="O592" s="52"/>
      <c r="P592" s="52"/>
      <c r="Q592" s="52"/>
      <c r="U592" s="52"/>
    </row>
    <row r="593">
      <c r="M593" s="52"/>
      <c r="N593" s="52"/>
      <c r="O593" s="52"/>
      <c r="P593" s="52"/>
      <c r="Q593" s="52"/>
      <c r="U593" s="52"/>
    </row>
    <row r="594">
      <c r="M594" s="52"/>
      <c r="N594" s="52"/>
      <c r="O594" s="52"/>
      <c r="P594" s="52"/>
      <c r="Q594" s="52"/>
      <c r="U594" s="52"/>
    </row>
    <row r="595">
      <c r="M595" s="52"/>
      <c r="N595" s="52"/>
      <c r="O595" s="52"/>
      <c r="P595" s="52"/>
      <c r="Q595" s="52"/>
      <c r="U595" s="52"/>
    </row>
    <row r="596">
      <c r="M596" s="52"/>
      <c r="N596" s="52"/>
      <c r="O596" s="52"/>
      <c r="P596" s="52"/>
      <c r="Q596" s="52"/>
      <c r="U596" s="52"/>
    </row>
    <row r="597">
      <c r="M597" s="52"/>
      <c r="N597" s="52"/>
      <c r="O597" s="52"/>
      <c r="P597" s="52"/>
      <c r="Q597" s="52"/>
      <c r="U597" s="52"/>
    </row>
    <row r="598">
      <c r="M598" s="52"/>
      <c r="N598" s="52"/>
      <c r="O598" s="52"/>
      <c r="P598" s="52"/>
      <c r="Q598" s="52"/>
      <c r="U598" s="52"/>
    </row>
    <row r="599">
      <c r="M599" s="52"/>
      <c r="N599" s="52"/>
      <c r="O599" s="52"/>
      <c r="P599" s="52"/>
      <c r="Q599" s="52"/>
      <c r="U599" s="52"/>
    </row>
    <row r="600">
      <c r="M600" s="52"/>
      <c r="N600" s="52"/>
      <c r="O600" s="52"/>
      <c r="P600" s="52"/>
      <c r="Q600" s="52"/>
      <c r="U600" s="52"/>
    </row>
    <row r="601">
      <c r="M601" s="52"/>
      <c r="N601" s="52"/>
      <c r="O601" s="52"/>
      <c r="P601" s="52"/>
      <c r="Q601" s="52"/>
      <c r="U601" s="52"/>
    </row>
    <row r="602">
      <c r="M602" s="52"/>
      <c r="N602" s="52"/>
      <c r="O602" s="52"/>
      <c r="P602" s="52"/>
      <c r="Q602" s="52"/>
      <c r="U602" s="52"/>
    </row>
    <row r="603">
      <c r="M603" s="52"/>
      <c r="N603" s="52"/>
      <c r="O603" s="52"/>
      <c r="P603" s="52"/>
      <c r="Q603" s="52"/>
      <c r="U603" s="52"/>
    </row>
    <row r="604">
      <c r="M604" s="52"/>
      <c r="N604" s="52"/>
      <c r="O604" s="52"/>
      <c r="P604" s="52"/>
      <c r="Q604" s="52"/>
      <c r="U604" s="52"/>
    </row>
    <row r="605">
      <c r="M605" s="52"/>
      <c r="N605" s="52"/>
      <c r="O605" s="52"/>
      <c r="P605" s="52"/>
      <c r="Q605" s="52"/>
      <c r="U605" s="52"/>
    </row>
    <row r="606">
      <c r="M606" s="52"/>
      <c r="N606" s="52"/>
      <c r="O606" s="52"/>
      <c r="P606" s="52"/>
      <c r="Q606" s="52"/>
      <c r="U606" s="52"/>
    </row>
    <row r="607">
      <c r="M607" s="52"/>
      <c r="N607" s="52"/>
      <c r="O607" s="52"/>
      <c r="P607" s="52"/>
      <c r="Q607" s="52"/>
      <c r="U607" s="52"/>
    </row>
    <row r="608">
      <c r="M608" s="52"/>
      <c r="N608" s="52"/>
      <c r="O608" s="52"/>
      <c r="P608" s="52"/>
      <c r="Q608" s="52"/>
      <c r="U608" s="52"/>
    </row>
    <row r="609">
      <c r="M609" s="52"/>
      <c r="N609" s="52"/>
      <c r="O609" s="52"/>
      <c r="P609" s="52"/>
      <c r="Q609" s="52"/>
      <c r="U609" s="52"/>
    </row>
    <row r="610">
      <c r="M610" s="52"/>
      <c r="N610" s="52"/>
      <c r="O610" s="52"/>
      <c r="P610" s="52"/>
      <c r="Q610" s="52"/>
      <c r="U610" s="52"/>
    </row>
    <row r="611">
      <c r="M611" s="52"/>
      <c r="N611" s="52"/>
      <c r="O611" s="52"/>
      <c r="P611" s="52"/>
      <c r="Q611" s="52"/>
      <c r="U611" s="52"/>
    </row>
    <row r="612">
      <c r="M612" s="52"/>
      <c r="N612" s="52"/>
      <c r="O612" s="52"/>
      <c r="P612" s="52"/>
      <c r="Q612" s="52"/>
      <c r="U612" s="52"/>
    </row>
    <row r="613">
      <c r="M613" s="52"/>
      <c r="N613" s="52"/>
      <c r="O613" s="52"/>
      <c r="P613" s="52"/>
      <c r="Q613" s="52"/>
      <c r="U613" s="52"/>
    </row>
    <row r="614">
      <c r="M614" s="52"/>
      <c r="N614" s="52"/>
      <c r="O614" s="52"/>
      <c r="P614" s="52"/>
      <c r="Q614" s="52"/>
      <c r="U614" s="52"/>
    </row>
    <row r="615">
      <c r="M615" s="52"/>
      <c r="N615" s="52"/>
      <c r="O615" s="52"/>
      <c r="P615" s="52"/>
      <c r="Q615" s="52"/>
      <c r="U615" s="52"/>
    </row>
    <row r="616">
      <c r="M616" s="52"/>
      <c r="N616" s="52"/>
      <c r="O616" s="52"/>
      <c r="P616" s="52"/>
      <c r="Q616" s="52"/>
      <c r="U616" s="52"/>
    </row>
    <row r="617">
      <c r="M617" s="52"/>
      <c r="N617" s="52"/>
      <c r="O617" s="52"/>
      <c r="P617" s="52"/>
      <c r="Q617" s="52"/>
      <c r="U617" s="52"/>
    </row>
    <row r="618">
      <c r="M618" s="52"/>
      <c r="N618" s="52"/>
      <c r="O618" s="52"/>
      <c r="P618" s="52"/>
      <c r="Q618" s="52"/>
      <c r="U618" s="52"/>
    </row>
    <row r="619">
      <c r="M619" s="52"/>
      <c r="N619" s="52"/>
      <c r="O619" s="52"/>
      <c r="P619" s="52"/>
      <c r="Q619" s="52"/>
      <c r="U619" s="52"/>
    </row>
    <row r="620">
      <c r="M620" s="52"/>
      <c r="N620" s="52"/>
      <c r="O620" s="52"/>
      <c r="P620" s="52"/>
      <c r="Q620" s="52"/>
      <c r="U620" s="52"/>
    </row>
    <row r="621">
      <c r="M621" s="52"/>
      <c r="N621" s="52"/>
      <c r="O621" s="52"/>
      <c r="P621" s="52"/>
      <c r="Q621" s="52"/>
      <c r="U621" s="52"/>
    </row>
    <row r="622">
      <c r="M622" s="52"/>
      <c r="N622" s="52"/>
      <c r="O622" s="52"/>
      <c r="P622" s="52"/>
      <c r="Q622" s="52"/>
      <c r="U622" s="52"/>
    </row>
    <row r="623">
      <c r="M623" s="52"/>
      <c r="N623" s="52"/>
      <c r="O623" s="52"/>
      <c r="P623" s="52"/>
      <c r="Q623" s="52"/>
      <c r="U623" s="52"/>
    </row>
    <row r="624">
      <c r="M624" s="52"/>
      <c r="N624" s="52"/>
      <c r="O624" s="52"/>
      <c r="P624" s="52"/>
      <c r="Q624" s="52"/>
      <c r="U624" s="52"/>
    </row>
    <row r="625">
      <c r="M625" s="52"/>
      <c r="N625" s="52"/>
      <c r="O625" s="52"/>
      <c r="P625" s="52"/>
      <c r="Q625" s="52"/>
      <c r="U625" s="52"/>
    </row>
    <row r="626">
      <c r="M626" s="52"/>
      <c r="N626" s="52"/>
      <c r="O626" s="52"/>
      <c r="P626" s="52"/>
      <c r="Q626" s="52"/>
      <c r="U626" s="52"/>
    </row>
    <row r="627">
      <c r="M627" s="52"/>
      <c r="N627" s="52"/>
      <c r="O627" s="52"/>
      <c r="P627" s="52"/>
      <c r="Q627" s="52"/>
      <c r="U627" s="52"/>
    </row>
    <row r="628">
      <c r="M628" s="52"/>
      <c r="N628" s="52"/>
      <c r="O628" s="52"/>
      <c r="P628" s="52"/>
      <c r="Q628" s="52"/>
      <c r="U628" s="52"/>
    </row>
    <row r="629">
      <c r="M629" s="52"/>
      <c r="N629" s="52"/>
      <c r="O629" s="52"/>
      <c r="P629" s="52"/>
      <c r="Q629" s="52"/>
      <c r="U629" s="52"/>
    </row>
    <row r="630">
      <c r="M630" s="52"/>
      <c r="N630" s="52"/>
      <c r="O630" s="52"/>
      <c r="P630" s="52"/>
      <c r="Q630" s="52"/>
      <c r="U630" s="52"/>
    </row>
    <row r="631">
      <c r="M631" s="52"/>
      <c r="N631" s="52"/>
      <c r="O631" s="52"/>
      <c r="P631" s="52"/>
      <c r="Q631" s="52"/>
      <c r="U631" s="52"/>
    </row>
    <row r="632">
      <c r="M632" s="52"/>
      <c r="N632" s="52"/>
      <c r="O632" s="52"/>
      <c r="P632" s="52"/>
      <c r="Q632" s="52"/>
      <c r="U632" s="52"/>
    </row>
    <row r="633">
      <c r="M633" s="52"/>
      <c r="N633" s="52"/>
      <c r="O633" s="52"/>
      <c r="P633" s="52"/>
      <c r="Q633" s="52"/>
      <c r="U633" s="52"/>
    </row>
    <row r="634">
      <c r="M634" s="52"/>
      <c r="N634" s="52"/>
      <c r="O634" s="52"/>
      <c r="P634" s="52"/>
      <c r="Q634" s="52"/>
      <c r="U634" s="52"/>
    </row>
    <row r="635">
      <c r="M635" s="52"/>
      <c r="N635" s="52"/>
      <c r="O635" s="52"/>
      <c r="P635" s="52"/>
      <c r="Q635" s="52"/>
      <c r="U635" s="52"/>
    </row>
    <row r="636">
      <c r="M636" s="52"/>
      <c r="N636" s="52"/>
      <c r="O636" s="52"/>
      <c r="P636" s="52"/>
      <c r="Q636" s="52"/>
      <c r="U636" s="52"/>
    </row>
    <row r="637">
      <c r="M637" s="52"/>
      <c r="N637" s="52"/>
      <c r="O637" s="52"/>
      <c r="P637" s="52"/>
      <c r="Q637" s="52"/>
      <c r="U637" s="52"/>
    </row>
    <row r="638">
      <c r="M638" s="52"/>
      <c r="N638" s="52"/>
      <c r="O638" s="52"/>
      <c r="P638" s="52"/>
      <c r="Q638" s="52"/>
      <c r="U638" s="52"/>
    </row>
    <row r="639">
      <c r="M639" s="52"/>
      <c r="N639" s="52"/>
      <c r="O639" s="52"/>
      <c r="P639" s="52"/>
      <c r="Q639" s="52"/>
      <c r="U639" s="52"/>
    </row>
    <row r="640">
      <c r="M640" s="52"/>
      <c r="N640" s="52"/>
      <c r="O640" s="52"/>
      <c r="P640" s="52"/>
      <c r="Q640" s="52"/>
      <c r="U640" s="52"/>
    </row>
    <row r="641">
      <c r="M641" s="52"/>
      <c r="N641" s="52"/>
      <c r="O641" s="52"/>
      <c r="P641" s="52"/>
      <c r="Q641" s="52"/>
      <c r="U641" s="52"/>
    </row>
    <row r="642">
      <c r="M642" s="52"/>
      <c r="N642" s="52"/>
      <c r="O642" s="52"/>
      <c r="P642" s="52"/>
      <c r="Q642" s="52"/>
      <c r="U642" s="52"/>
    </row>
    <row r="643">
      <c r="M643" s="52"/>
      <c r="N643" s="52"/>
      <c r="O643" s="52"/>
      <c r="P643" s="52"/>
      <c r="Q643" s="52"/>
      <c r="U643" s="52"/>
    </row>
    <row r="644">
      <c r="M644" s="52"/>
      <c r="N644" s="52"/>
      <c r="O644" s="52"/>
      <c r="P644" s="52"/>
      <c r="Q644" s="52"/>
      <c r="U644" s="52"/>
    </row>
    <row r="645">
      <c r="M645" s="52"/>
      <c r="N645" s="52"/>
      <c r="O645" s="52"/>
      <c r="P645" s="52"/>
      <c r="Q645" s="52"/>
      <c r="U645" s="52"/>
    </row>
    <row r="646">
      <c r="M646" s="52"/>
      <c r="N646" s="52"/>
      <c r="O646" s="52"/>
      <c r="P646" s="52"/>
      <c r="Q646" s="52"/>
      <c r="U646" s="52"/>
    </row>
    <row r="647">
      <c r="M647" s="52"/>
      <c r="N647" s="52"/>
      <c r="O647" s="52"/>
      <c r="P647" s="52"/>
      <c r="Q647" s="52"/>
      <c r="U647" s="52"/>
    </row>
    <row r="648">
      <c r="M648" s="52"/>
      <c r="N648" s="52"/>
      <c r="O648" s="52"/>
      <c r="P648" s="52"/>
      <c r="Q648" s="52"/>
      <c r="U648" s="52"/>
    </row>
    <row r="649">
      <c r="M649" s="52"/>
      <c r="N649" s="52"/>
      <c r="O649" s="52"/>
      <c r="P649" s="52"/>
      <c r="Q649" s="52"/>
      <c r="U649" s="52"/>
    </row>
    <row r="650">
      <c r="M650" s="52"/>
      <c r="N650" s="52"/>
      <c r="O650" s="52"/>
      <c r="P650" s="52"/>
      <c r="Q650" s="52"/>
      <c r="U650" s="52"/>
    </row>
    <row r="651">
      <c r="M651" s="52"/>
      <c r="N651" s="52"/>
      <c r="O651" s="52"/>
      <c r="P651" s="52"/>
      <c r="Q651" s="52"/>
      <c r="U651" s="52"/>
    </row>
    <row r="652">
      <c r="M652" s="52"/>
      <c r="N652" s="52"/>
      <c r="O652" s="52"/>
      <c r="P652" s="52"/>
      <c r="Q652" s="52"/>
      <c r="U652" s="52"/>
    </row>
    <row r="653">
      <c r="M653" s="52"/>
      <c r="N653" s="52"/>
      <c r="O653" s="52"/>
      <c r="P653" s="52"/>
      <c r="Q653" s="52"/>
      <c r="U653" s="52"/>
    </row>
    <row r="654">
      <c r="M654" s="52"/>
      <c r="N654" s="52"/>
      <c r="O654" s="52"/>
      <c r="P654" s="52"/>
      <c r="Q654" s="52"/>
      <c r="U654" s="52"/>
    </row>
    <row r="655">
      <c r="M655" s="52"/>
      <c r="N655" s="52"/>
      <c r="O655" s="52"/>
      <c r="P655" s="52"/>
      <c r="Q655" s="52"/>
      <c r="U655" s="52"/>
    </row>
    <row r="656">
      <c r="M656" s="52"/>
      <c r="N656" s="52"/>
      <c r="O656" s="52"/>
      <c r="P656" s="52"/>
      <c r="Q656" s="52"/>
      <c r="U656" s="52"/>
    </row>
    <row r="657">
      <c r="M657" s="52"/>
      <c r="N657" s="52"/>
      <c r="O657" s="52"/>
      <c r="P657" s="52"/>
      <c r="Q657" s="52"/>
      <c r="U657" s="52"/>
    </row>
    <row r="658">
      <c r="M658" s="52"/>
      <c r="N658" s="52"/>
      <c r="O658" s="52"/>
      <c r="P658" s="52"/>
      <c r="Q658" s="52"/>
      <c r="U658" s="52"/>
    </row>
    <row r="659">
      <c r="M659" s="52"/>
      <c r="N659" s="52"/>
      <c r="O659" s="52"/>
      <c r="P659" s="52"/>
      <c r="Q659" s="52"/>
      <c r="U659" s="52"/>
    </row>
    <row r="660">
      <c r="M660" s="52"/>
      <c r="N660" s="52"/>
      <c r="O660" s="52"/>
      <c r="P660" s="52"/>
      <c r="Q660" s="52"/>
      <c r="U660" s="52"/>
    </row>
    <row r="661">
      <c r="M661" s="52"/>
      <c r="N661" s="52"/>
      <c r="O661" s="52"/>
      <c r="P661" s="52"/>
      <c r="Q661" s="52"/>
      <c r="U661" s="52"/>
    </row>
    <row r="662">
      <c r="M662" s="52"/>
      <c r="N662" s="52"/>
      <c r="O662" s="52"/>
      <c r="P662" s="52"/>
      <c r="Q662" s="52"/>
      <c r="U662" s="52"/>
    </row>
    <row r="663">
      <c r="M663" s="52"/>
      <c r="N663" s="52"/>
      <c r="O663" s="52"/>
      <c r="P663" s="52"/>
      <c r="Q663" s="52"/>
      <c r="U663" s="52"/>
    </row>
    <row r="664">
      <c r="M664" s="52"/>
      <c r="N664" s="52"/>
      <c r="O664" s="52"/>
      <c r="P664" s="52"/>
      <c r="Q664" s="52"/>
      <c r="U664" s="52"/>
    </row>
    <row r="665">
      <c r="M665" s="52"/>
      <c r="N665" s="52"/>
      <c r="O665" s="52"/>
      <c r="P665" s="52"/>
      <c r="Q665" s="52"/>
      <c r="U665" s="52"/>
    </row>
    <row r="666">
      <c r="M666" s="52"/>
      <c r="N666" s="52"/>
      <c r="O666" s="52"/>
      <c r="P666" s="52"/>
      <c r="Q666" s="52"/>
      <c r="U666" s="52"/>
    </row>
    <row r="667">
      <c r="M667" s="52"/>
      <c r="N667" s="52"/>
      <c r="O667" s="52"/>
      <c r="P667" s="52"/>
      <c r="Q667" s="52"/>
      <c r="U667" s="52"/>
    </row>
    <row r="668">
      <c r="M668" s="52"/>
      <c r="N668" s="52"/>
      <c r="O668" s="52"/>
      <c r="P668" s="52"/>
      <c r="Q668" s="52"/>
      <c r="U668" s="52"/>
    </row>
    <row r="669">
      <c r="M669" s="52"/>
      <c r="N669" s="52"/>
      <c r="O669" s="52"/>
      <c r="P669" s="52"/>
      <c r="Q669" s="52"/>
      <c r="U669" s="52"/>
    </row>
    <row r="670">
      <c r="M670" s="52"/>
      <c r="N670" s="52"/>
      <c r="O670" s="52"/>
      <c r="P670" s="52"/>
      <c r="Q670" s="52"/>
      <c r="U670" s="52"/>
    </row>
    <row r="671">
      <c r="M671" s="52"/>
      <c r="N671" s="52"/>
      <c r="O671" s="52"/>
      <c r="P671" s="52"/>
      <c r="Q671" s="52"/>
      <c r="U671" s="52"/>
    </row>
    <row r="672">
      <c r="M672" s="52"/>
      <c r="N672" s="52"/>
      <c r="O672" s="52"/>
      <c r="P672" s="52"/>
      <c r="Q672" s="52"/>
      <c r="U672" s="52"/>
    </row>
    <row r="673">
      <c r="M673" s="52"/>
      <c r="N673" s="52"/>
      <c r="O673" s="52"/>
      <c r="P673" s="52"/>
      <c r="Q673" s="52"/>
      <c r="U673" s="52"/>
    </row>
    <row r="674">
      <c r="M674" s="52"/>
      <c r="N674" s="52"/>
      <c r="O674" s="52"/>
      <c r="P674" s="52"/>
      <c r="Q674" s="52"/>
      <c r="U674" s="52"/>
    </row>
    <row r="675">
      <c r="M675" s="52"/>
      <c r="N675" s="52"/>
      <c r="O675" s="52"/>
      <c r="P675" s="52"/>
      <c r="Q675" s="52"/>
      <c r="U675" s="52"/>
    </row>
    <row r="676">
      <c r="M676" s="52"/>
      <c r="N676" s="52"/>
      <c r="O676" s="52"/>
      <c r="P676" s="52"/>
      <c r="Q676" s="52"/>
      <c r="U676" s="52"/>
    </row>
    <row r="677">
      <c r="M677" s="52"/>
      <c r="N677" s="52"/>
      <c r="O677" s="52"/>
      <c r="P677" s="52"/>
      <c r="Q677" s="52"/>
      <c r="U677" s="52"/>
    </row>
    <row r="678">
      <c r="M678" s="52"/>
      <c r="N678" s="52"/>
      <c r="O678" s="52"/>
      <c r="P678" s="52"/>
      <c r="Q678" s="52"/>
      <c r="U678" s="52"/>
    </row>
    <row r="679">
      <c r="M679" s="52"/>
      <c r="N679" s="52"/>
      <c r="O679" s="52"/>
      <c r="P679" s="52"/>
      <c r="Q679" s="52"/>
      <c r="U679" s="52"/>
    </row>
    <row r="680">
      <c r="M680" s="52"/>
      <c r="N680" s="52"/>
      <c r="O680" s="52"/>
      <c r="P680" s="52"/>
      <c r="Q680" s="52"/>
      <c r="U680" s="52"/>
    </row>
    <row r="681">
      <c r="M681" s="52"/>
      <c r="N681" s="52"/>
      <c r="O681" s="52"/>
      <c r="P681" s="52"/>
      <c r="Q681" s="52"/>
      <c r="U681" s="52"/>
    </row>
    <row r="682">
      <c r="M682" s="52"/>
      <c r="N682" s="52"/>
      <c r="O682" s="52"/>
      <c r="P682" s="52"/>
      <c r="Q682" s="52"/>
      <c r="U682" s="52"/>
    </row>
    <row r="683">
      <c r="M683" s="52"/>
      <c r="N683" s="52"/>
      <c r="O683" s="52"/>
      <c r="P683" s="52"/>
      <c r="Q683" s="52"/>
      <c r="U683" s="52"/>
    </row>
    <row r="684">
      <c r="M684" s="52"/>
      <c r="N684" s="52"/>
      <c r="O684" s="52"/>
      <c r="P684" s="52"/>
      <c r="Q684" s="52"/>
      <c r="U684" s="52"/>
    </row>
    <row r="685">
      <c r="M685" s="52"/>
      <c r="N685" s="52"/>
      <c r="O685" s="52"/>
      <c r="P685" s="52"/>
      <c r="Q685" s="52"/>
      <c r="U685" s="52"/>
    </row>
    <row r="686">
      <c r="M686" s="52"/>
      <c r="N686" s="52"/>
      <c r="O686" s="52"/>
      <c r="P686" s="52"/>
      <c r="Q686" s="52"/>
      <c r="U686" s="52"/>
    </row>
    <row r="687">
      <c r="M687" s="52"/>
      <c r="N687" s="52"/>
      <c r="O687" s="52"/>
      <c r="P687" s="52"/>
      <c r="Q687" s="52"/>
      <c r="U687" s="52"/>
    </row>
    <row r="688">
      <c r="M688" s="52"/>
      <c r="N688" s="52"/>
      <c r="O688" s="52"/>
      <c r="P688" s="52"/>
      <c r="Q688" s="52"/>
      <c r="U688" s="52"/>
    </row>
    <row r="689">
      <c r="M689" s="52"/>
      <c r="N689" s="52"/>
      <c r="O689" s="52"/>
      <c r="P689" s="52"/>
      <c r="Q689" s="52"/>
      <c r="U689" s="52"/>
    </row>
    <row r="690">
      <c r="M690" s="52"/>
      <c r="N690" s="52"/>
      <c r="O690" s="52"/>
      <c r="P690" s="52"/>
      <c r="Q690" s="52"/>
      <c r="U690" s="52"/>
    </row>
    <row r="691">
      <c r="M691" s="52"/>
      <c r="N691" s="52"/>
      <c r="O691" s="52"/>
      <c r="P691" s="52"/>
      <c r="Q691" s="52"/>
      <c r="U691" s="52"/>
    </row>
    <row r="692">
      <c r="M692" s="52"/>
      <c r="N692" s="52"/>
      <c r="O692" s="52"/>
      <c r="P692" s="52"/>
      <c r="Q692" s="52"/>
      <c r="U692" s="52"/>
    </row>
    <row r="693">
      <c r="M693" s="52"/>
      <c r="N693" s="52"/>
      <c r="O693" s="52"/>
      <c r="P693" s="52"/>
      <c r="Q693" s="52"/>
      <c r="U693" s="52"/>
    </row>
    <row r="694">
      <c r="M694" s="52"/>
      <c r="N694" s="52"/>
      <c r="O694" s="52"/>
      <c r="P694" s="52"/>
      <c r="Q694" s="52"/>
      <c r="U694" s="52"/>
    </row>
    <row r="695">
      <c r="M695" s="52"/>
      <c r="N695" s="52"/>
      <c r="O695" s="52"/>
      <c r="P695" s="52"/>
      <c r="Q695" s="52"/>
      <c r="U695" s="52"/>
    </row>
    <row r="696">
      <c r="M696" s="52"/>
      <c r="N696" s="52"/>
      <c r="O696" s="52"/>
      <c r="P696" s="52"/>
      <c r="Q696" s="52"/>
      <c r="U696" s="52"/>
    </row>
    <row r="697">
      <c r="M697" s="52"/>
      <c r="N697" s="52"/>
      <c r="O697" s="52"/>
      <c r="P697" s="52"/>
      <c r="Q697" s="52"/>
      <c r="U697" s="52"/>
    </row>
    <row r="698">
      <c r="M698" s="52"/>
      <c r="N698" s="52"/>
      <c r="O698" s="52"/>
      <c r="P698" s="52"/>
      <c r="Q698" s="52"/>
      <c r="U698" s="52"/>
    </row>
    <row r="699">
      <c r="M699" s="52"/>
      <c r="N699" s="52"/>
      <c r="O699" s="52"/>
      <c r="P699" s="52"/>
      <c r="Q699" s="52"/>
      <c r="U699" s="52"/>
    </row>
    <row r="700">
      <c r="M700" s="52"/>
      <c r="N700" s="52"/>
      <c r="O700" s="52"/>
      <c r="P700" s="52"/>
      <c r="Q700" s="52"/>
      <c r="U700" s="52"/>
    </row>
    <row r="701">
      <c r="M701" s="52"/>
      <c r="N701" s="52"/>
      <c r="O701" s="52"/>
      <c r="P701" s="52"/>
      <c r="Q701" s="52"/>
      <c r="U701" s="52"/>
    </row>
    <row r="702">
      <c r="M702" s="52"/>
      <c r="N702" s="52"/>
      <c r="O702" s="52"/>
      <c r="P702" s="52"/>
      <c r="Q702" s="52"/>
      <c r="U702" s="52"/>
    </row>
    <row r="703">
      <c r="M703" s="52"/>
      <c r="N703" s="52"/>
      <c r="O703" s="52"/>
      <c r="P703" s="52"/>
      <c r="Q703" s="52"/>
      <c r="U703" s="52"/>
    </row>
    <row r="704">
      <c r="M704" s="52"/>
      <c r="N704" s="52"/>
      <c r="O704" s="52"/>
      <c r="P704" s="52"/>
      <c r="Q704" s="52"/>
      <c r="U704" s="52"/>
    </row>
    <row r="705">
      <c r="M705" s="52"/>
      <c r="N705" s="52"/>
      <c r="O705" s="52"/>
      <c r="P705" s="52"/>
      <c r="Q705" s="52"/>
      <c r="U705" s="52"/>
    </row>
    <row r="706">
      <c r="M706" s="52"/>
      <c r="N706" s="52"/>
      <c r="O706" s="52"/>
      <c r="P706" s="52"/>
      <c r="Q706" s="52"/>
      <c r="U706" s="52"/>
    </row>
    <row r="707">
      <c r="M707" s="52"/>
      <c r="N707" s="52"/>
      <c r="O707" s="52"/>
      <c r="P707" s="52"/>
      <c r="Q707" s="52"/>
      <c r="U707" s="52"/>
    </row>
    <row r="708">
      <c r="M708" s="52"/>
      <c r="N708" s="52"/>
      <c r="O708" s="52"/>
      <c r="P708" s="52"/>
      <c r="Q708" s="52"/>
      <c r="U708" s="52"/>
    </row>
    <row r="709">
      <c r="M709" s="52"/>
      <c r="N709" s="52"/>
      <c r="O709" s="52"/>
      <c r="P709" s="52"/>
      <c r="Q709" s="52"/>
      <c r="U709" s="52"/>
    </row>
    <row r="710">
      <c r="M710" s="52"/>
      <c r="N710" s="52"/>
      <c r="O710" s="52"/>
      <c r="P710" s="52"/>
      <c r="Q710" s="52"/>
      <c r="U710" s="52"/>
    </row>
    <row r="711">
      <c r="M711" s="52"/>
      <c r="N711" s="52"/>
      <c r="O711" s="52"/>
      <c r="P711" s="52"/>
      <c r="Q711" s="52"/>
      <c r="U711" s="52"/>
    </row>
    <row r="712">
      <c r="M712" s="52"/>
      <c r="N712" s="52"/>
      <c r="O712" s="52"/>
      <c r="P712" s="52"/>
      <c r="Q712" s="52"/>
      <c r="U712" s="52"/>
    </row>
    <row r="713">
      <c r="M713" s="52"/>
      <c r="N713" s="52"/>
      <c r="O713" s="52"/>
      <c r="P713" s="52"/>
      <c r="Q713" s="52"/>
      <c r="U713" s="52"/>
    </row>
    <row r="714">
      <c r="M714" s="52"/>
      <c r="N714" s="52"/>
      <c r="O714" s="52"/>
      <c r="P714" s="52"/>
      <c r="Q714" s="52"/>
      <c r="U714" s="52"/>
    </row>
    <row r="715">
      <c r="M715" s="52"/>
      <c r="N715" s="52"/>
      <c r="O715" s="52"/>
      <c r="P715" s="52"/>
      <c r="Q715" s="52"/>
      <c r="U715" s="52"/>
    </row>
    <row r="716">
      <c r="M716" s="52"/>
      <c r="N716" s="52"/>
      <c r="O716" s="52"/>
      <c r="P716" s="52"/>
      <c r="Q716" s="52"/>
      <c r="U716" s="52"/>
    </row>
    <row r="717">
      <c r="M717" s="52"/>
      <c r="N717" s="52"/>
      <c r="O717" s="52"/>
      <c r="P717" s="52"/>
      <c r="Q717" s="52"/>
      <c r="U717" s="52"/>
    </row>
    <row r="718">
      <c r="M718" s="52"/>
      <c r="N718" s="52"/>
      <c r="O718" s="52"/>
      <c r="P718" s="52"/>
      <c r="Q718" s="52"/>
      <c r="U718" s="52"/>
    </row>
    <row r="719">
      <c r="M719" s="52"/>
      <c r="N719" s="52"/>
      <c r="O719" s="52"/>
      <c r="P719" s="52"/>
      <c r="Q719" s="52"/>
      <c r="U719" s="52"/>
    </row>
    <row r="720">
      <c r="M720" s="52"/>
      <c r="N720" s="52"/>
      <c r="O720" s="52"/>
      <c r="P720" s="52"/>
      <c r="Q720" s="52"/>
      <c r="U720" s="52"/>
    </row>
    <row r="721">
      <c r="M721" s="52"/>
      <c r="N721" s="52"/>
      <c r="O721" s="52"/>
      <c r="P721" s="52"/>
      <c r="Q721" s="52"/>
      <c r="U721" s="52"/>
    </row>
    <row r="722">
      <c r="M722" s="52"/>
      <c r="N722" s="52"/>
      <c r="O722" s="52"/>
      <c r="P722" s="52"/>
      <c r="Q722" s="52"/>
      <c r="U722" s="52"/>
    </row>
    <row r="723">
      <c r="M723" s="52"/>
      <c r="N723" s="52"/>
      <c r="O723" s="52"/>
      <c r="P723" s="52"/>
      <c r="Q723" s="52"/>
      <c r="U723" s="52"/>
    </row>
    <row r="724">
      <c r="M724" s="52"/>
      <c r="N724" s="52"/>
      <c r="O724" s="52"/>
      <c r="P724" s="52"/>
      <c r="Q724" s="52"/>
      <c r="U724" s="52"/>
    </row>
    <row r="725">
      <c r="M725" s="52"/>
      <c r="N725" s="52"/>
      <c r="O725" s="52"/>
      <c r="P725" s="52"/>
      <c r="Q725" s="52"/>
      <c r="U725" s="52"/>
    </row>
    <row r="726">
      <c r="M726" s="52"/>
      <c r="N726" s="52"/>
      <c r="O726" s="52"/>
      <c r="P726" s="52"/>
      <c r="Q726" s="52"/>
      <c r="U726" s="52"/>
    </row>
    <row r="727">
      <c r="M727" s="52"/>
      <c r="N727" s="52"/>
      <c r="O727" s="52"/>
      <c r="P727" s="52"/>
      <c r="Q727" s="52"/>
      <c r="U727" s="52"/>
    </row>
    <row r="728">
      <c r="M728" s="52"/>
      <c r="N728" s="52"/>
      <c r="O728" s="52"/>
      <c r="P728" s="52"/>
      <c r="Q728" s="52"/>
      <c r="U728" s="52"/>
    </row>
    <row r="729">
      <c r="M729" s="52"/>
      <c r="N729" s="52"/>
      <c r="O729" s="52"/>
      <c r="P729" s="52"/>
      <c r="Q729" s="52"/>
      <c r="U729" s="52"/>
    </row>
    <row r="730">
      <c r="M730" s="52"/>
      <c r="N730" s="52"/>
      <c r="O730" s="52"/>
      <c r="P730" s="52"/>
      <c r="Q730" s="52"/>
      <c r="U730" s="52"/>
    </row>
    <row r="731">
      <c r="M731" s="52"/>
      <c r="N731" s="52"/>
      <c r="O731" s="52"/>
      <c r="P731" s="52"/>
      <c r="Q731" s="52"/>
      <c r="U731" s="52"/>
    </row>
    <row r="732">
      <c r="M732" s="52"/>
      <c r="N732" s="52"/>
      <c r="O732" s="52"/>
      <c r="P732" s="52"/>
      <c r="Q732" s="52"/>
      <c r="U732" s="52"/>
    </row>
    <row r="733">
      <c r="M733" s="52"/>
      <c r="N733" s="52"/>
      <c r="O733" s="52"/>
      <c r="P733" s="52"/>
      <c r="Q733" s="52"/>
      <c r="U733" s="52"/>
    </row>
    <row r="734">
      <c r="M734" s="52"/>
      <c r="N734" s="52"/>
      <c r="O734" s="52"/>
      <c r="P734" s="52"/>
      <c r="Q734" s="52"/>
      <c r="U734" s="52"/>
    </row>
    <row r="735">
      <c r="M735" s="52"/>
      <c r="N735" s="52"/>
      <c r="O735" s="52"/>
      <c r="P735" s="52"/>
      <c r="Q735" s="52"/>
      <c r="U735" s="52"/>
    </row>
    <row r="736">
      <c r="M736" s="52"/>
      <c r="N736" s="52"/>
      <c r="O736" s="52"/>
      <c r="P736" s="52"/>
      <c r="Q736" s="52"/>
      <c r="U736" s="52"/>
    </row>
    <row r="737">
      <c r="M737" s="52"/>
      <c r="N737" s="52"/>
      <c r="O737" s="52"/>
      <c r="P737" s="52"/>
      <c r="Q737" s="52"/>
      <c r="U737" s="52"/>
    </row>
    <row r="738">
      <c r="M738" s="52"/>
      <c r="N738" s="52"/>
      <c r="O738" s="52"/>
      <c r="P738" s="52"/>
      <c r="Q738" s="52"/>
      <c r="U738" s="52"/>
    </row>
    <row r="739">
      <c r="M739" s="52"/>
      <c r="N739" s="52"/>
      <c r="O739" s="52"/>
      <c r="P739" s="52"/>
      <c r="Q739" s="52"/>
      <c r="U739" s="52"/>
    </row>
    <row r="740">
      <c r="M740" s="52"/>
      <c r="N740" s="52"/>
      <c r="O740" s="52"/>
      <c r="P740" s="52"/>
      <c r="Q740" s="52"/>
      <c r="U740" s="52"/>
    </row>
    <row r="741">
      <c r="M741" s="52"/>
      <c r="N741" s="52"/>
      <c r="O741" s="52"/>
      <c r="P741" s="52"/>
      <c r="Q741" s="52"/>
      <c r="U741" s="52"/>
    </row>
    <row r="742">
      <c r="M742" s="52"/>
      <c r="N742" s="52"/>
      <c r="O742" s="52"/>
      <c r="P742" s="52"/>
      <c r="Q742" s="52"/>
      <c r="U742" s="52"/>
    </row>
    <row r="743">
      <c r="M743" s="52"/>
      <c r="N743" s="52"/>
      <c r="O743" s="52"/>
      <c r="P743" s="52"/>
      <c r="Q743" s="52"/>
      <c r="U743" s="52"/>
    </row>
    <row r="744">
      <c r="M744" s="52"/>
      <c r="N744" s="52"/>
      <c r="O744" s="52"/>
      <c r="P744" s="52"/>
      <c r="Q744" s="52"/>
      <c r="U744" s="52"/>
    </row>
    <row r="745">
      <c r="M745" s="52"/>
      <c r="N745" s="52"/>
      <c r="O745" s="52"/>
      <c r="P745" s="52"/>
      <c r="Q745" s="52"/>
      <c r="U745" s="52"/>
    </row>
    <row r="746">
      <c r="M746" s="52"/>
      <c r="N746" s="52"/>
      <c r="O746" s="52"/>
      <c r="P746" s="52"/>
      <c r="Q746" s="52"/>
      <c r="U746" s="52"/>
    </row>
    <row r="747">
      <c r="M747" s="52"/>
      <c r="N747" s="52"/>
      <c r="O747" s="52"/>
      <c r="P747" s="52"/>
      <c r="Q747" s="52"/>
      <c r="U747" s="52"/>
    </row>
    <row r="748">
      <c r="M748" s="52"/>
      <c r="N748" s="52"/>
      <c r="O748" s="52"/>
      <c r="P748" s="52"/>
      <c r="Q748" s="52"/>
      <c r="U748" s="52"/>
    </row>
    <row r="749">
      <c r="M749" s="52"/>
      <c r="N749" s="52"/>
      <c r="O749" s="52"/>
      <c r="P749" s="52"/>
      <c r="Q749" s="52"/>
      <c r="U749" s="52"/>
    </row>
    <row r="750">
      <c r="M750" s="52"/>
      <c r="N750" s="52"/>
      <c r="O750" s="52"/>
      <c r="P750" s="52"/>
      <c r="Q750" s="52"/>
      <c r="U750" s="52"/>
    </row>
    <row r="751">
      <c r="M751" s="52"/>
      <c r="N751" s="52"/>
      <c r="O751" s="52"/>
      <c r="P751" s="52"/>
      <c r="Q751" s="52"/>
      <c r="U751" s="52"/>
    </row>
    <row r="752">
      <c r="M752" s="52"/>
      <c r="N752" s="52"/>
      <c r="O752" s="52"/>
      <c r="P752" s="52"/>
      <c r="Q752" s="52"/>
      <c r="U752" s="52"/>
    </row>
    <row r="753">
      <c r="M753" s="52"/>
      <c r="N753" s="52"/>
      <c r="O753" s="52"/>
      <c r="P753" s="52"/>
      <c r="Q753" s="52"/>
      <c r="U753" s="52"/>
    </row>
    <row r="754">
      <c r="M754" s="52"/>
      <c r="N754" s="52"/>
      <c r="O754" s="52"/>
      <c r="P754" s="52"/>
      <c r="Q754" s="52"/>
      <c r="U754" s="52"/>
    </row>
    <row r="755">
      <c r="M755" s="52"/>
      <c r="N755" s="52"/>
      <c r="O755" s="52"/>
      <c r="P755" s="52"/>
      <c r="Q755" s="52"/>
      <c r="U755" s="52"/>
    </row>
    <row r="756">
      <c r="M756" s="52"/>
      <c r="N756" s="52"/>
      <c r="O756" s="52"/>
      <c r="P756" s="52"/>
      <c r="Q756" s="52"/>
      <c r="U756" s="52"/>
    </row>
    <row r="757">
      <c r="M757" s="52"/>
      <c r="N757" s="52"/>
      <c r="O757" s="52"/>
      <c r="P757" s="52"/>
      <c r="Q757" s="52"/>
      <c r="U757" s="52"/>
    </row>
    <row r="758">
      <c r="M758" s="52"/>
      <c r="N758" s="52"/>
      <c r="O758" s="52"/>
      <c r="P758" s="52"/>
      <c r="Q758" s="52"/>
      <c r="U758" s="52"/>
    </row>
    <row r="759">
      <c r="M759" s="52"/>
      <c r="N759" s="52"/>
      <c r="O759" s="52"/>
      <c r="P759" s="52"/>
      <c r="Q759" s="52"/>
      <c r="U759" s="52"/>
    </row>
    <row r="760">
      <c r="M760" s="52"/>
      <c r="N760" s="52"/>
      <c r="O760" s="52"/>
      <c r="P760" s="52"/>
      <c r="Q760" s="52"/>
      <c r="U760" s="52"/>
    </row>
    <row r="761">
      <c r="M761" s="52"/>
      <c r="N761" s="52"/>
      <c r="O761" s="52"/>
      <c r="P761" s="52"/>
      <c r="Q761" s="52"/>
      <c r="U761" s="52"/>
    </row>
    <row r="762">
      <c r="M762" s="52"/>
      <c r="N762" s="52"/>
      <c r="O762" s="52"/>
      <c r="P762" s="52"/>
      <c r="Q762" s="52"/>
      <c r="U762" s="52"/>
    </row>
    <row r="763">
      <c r="M763" s="52"/>
      <c r="N763" s="52"/>
      <c r="O763" s="52"/>
      <c r="P763" s="52"/>
      <c r="Q763" s="52"/>
      <c r="U763" s="52"/>
    </row>
    <row r="764">
      <c r="M764" s="52"/>
      <c r="N764" s="52"/>
      <c r="O764" s="52"/>
      <c r="P764" s="52"/>
      <c r="Q764" s="52"/>
      <c r="U764" s="52"/>
    </row>
    <row r="765">
      <c r="M765" s="52"/>
      <c r="N765" s="52"/>
      <c r="O765" s="52"/>
      <c r="P765" s="52"/>
      <c r="Q765" s="52"/>
      <c r="U765" s="52"/>
    </row>
    <row r="766">
      <c r="M766" s="52"/>
      <c r="N766" s="52"/>
      <c r="O766" s="52"/>
      <c r="P766" s="52"/>
      <c r="Q766" s="52"/>
      <c r="U766" s="52"/>
    </row>
    <row r="767">
      <c r="M767" s="52"/>
      <c r="N767" s="52"/>
      <c r="O767" s="52"/>
      <c r="P767" s="52"/>
      <c r="Q767" s="52"/>
      <c r="U767" s="52"/>
    </row>
    <row r="768">
      <c r="M768" s="52"/>
      <c r="N768" s="52"/>
      <c r="O768" s="52"/>
      <c r="P768" s="52"/>
      <c r="Q768" s="52"/>
      <c r="U768" s="52"/>
    </row>
    <row r="769">
      <c r="M769" s="52"/>
      <c r="N769" s="52"/>
      <c r="O769" s="52"/>
      <c r="P769" s="52"/>
      <c r="Q769" s="52"/>
      <c r="U769" s="52"/>
    </row>
    <row r="770">
      <c r="M770" s="52"/>
      <c r="N770" s="52"/>
      <c r="O770" s="52"/>
      <c r="P770" s="52"/>
      <c r="Q770" s="52"/>
      <c r="U770" s="52"/>
    </row>
    <row r="771">
      <c r="M771" s="52"/>
      <c r="N771" s="52"/>
      <c r="O771" s="52"/>
      <c r="P771" s="52"/>
      <c r="Q771" s="52"/>
      <c r="U771" s="52"/>
    </row>
    <row r="772">
      <c r="M772" s="52"/>
      <c r="N772" s="52"/>
      <c r="O772" s="52"/>
      <c r="P772" s="52"/>
      <c r="Q772" s="52"/>
      <c r="U772" s="52"/>
    </row>
    <row r="773">
      <c r="M773" s="52"/>
      <c r="N773" s="52"/>
      <c r="O773" s="52"/>
      <c r="P773" s="52"/>
      <c r="Q773" s="52"/>
      <c r="U773" s="52"/>
    </row>
    <row r="774">
      <c r="M774" s="52"/>
      <c r="N774" s="52"/>
      <c r="O774" s="52"/>
      <c r="P774" s="52"/>
      <c r="Q774" s="52"/>
      <c r="U774" s="52"/>
    </row>
    <row r="775">
      <c r="M775" s="52"/>
      <c r="N775" s="52"/>
      <c r="O775" s="52"/>
      <c r="P775" s="52"/>
      <c r="Q775" s="52"/>
      <c r="U775" s="52"/>
    </row>
    <row r="776">
      <c r="M776" s="52"/>
      <c r="N776" s="52"/>
      <c r="O776" s="52"/>
      <c r="P776" s="52"/>
      <c r="Q776" s="52"/>
      <c r="U776" s="52"/>
    </row>
    <row r="777">
      <c r="M777" s="52"/>
      <c r="N777" s="52"/>
      <c r="O777" s="52"/>
      <c r="P777" s="52"/>
      <c r="Q777" s="52"/>
      <c r="U777" s="52"/>
    </row>
    <row r="778">
      <c r="M778" s="52"/>
      <c r="N778" s="52"/>
      <c r="O778" s="52"/>
      <c r="P778" s="52"/>
      <c r="Q778" s="52"/>
      <c r="U778" s="52"/>
    </row>
    <row r="779">
      <c r="M779" s="52"/>
      <c r="N779" s="52"/>
      <c r="O779" s="52"/>
      <c r="P779" s="52"/>
      <c r="Q779" s="52"/>
      <c r="U779" s="52"/>
    </row>
    <row r="780">
      <c r="M780" s="52"/>
      <c r="N780" s="52"/>
      <c r="O780" s="52"/>
      <c r="P780" s="52"/>
      <c r="Q780" s="52"/>
      <c r="U780" s="52"/>
    </row>
    <row r="781">
      <c r="M781" s="52"/>
      <c r="N781" s="52"/>
      <c r="O781" s="52"/>
      <c r="P781" s="52"/>
      <c r="Q781" s="52"/>
      <c r="U781" s="52"/>
    </row>
    <row r="782">
      <c r="M782" s="52"/>
      <c r="N782" s="52"/>
      <c r="O782" s="52"/>
      <c r="P782" s="52"/>
      <c r="Q782" s="52"/>
      <c r="U782" s="52"/>
    </row>
    <row r="783">
      <c r="M783" s="52"/>
      <c r="N783" s="52"/>
      <c r="O783" s="52"/>
      <c r="P783" s="52"/>
      <c r="Q783" s="52"/>
      <c r="U783" s="52"/>
    </row>
    <row r="784">
      <c r="M784" s="52"/>
      <c r="N784" s="52"/>
      <c r="O784" s="52"/>
      <c r="P784" s="52"/>
      <c r="Q784" s="52"/>
      <c r="U784" s="52"/>
    </row>
    <row r="785">
      <c r="M785" s="52"/>
      <c r="N785" s="52"/>
      <c r="O785" s="52"/>
      <c r="P785" s="52"/>
      <c r="Q785" s="52"/>
      <c r="U785" s="52"/>
    </row>
    <row r="786">
      <c r="M786" s="52"/>
      <c r="N786" s="52"/>
      <c r="O786" s="52"/>
      <c r="P786" s="52"/>
      <c r="Q786" s="52"/>
      <c r="U786" s="52"/>
    </row>
    <row r="787">
      <c r="M787" s="52"/>
      <c r="N787" s="52"/>
      <c r="O787" s="52"/>
      <c r="P787" s="52"/>
      <c r="Q787" s="52"/>
      <c r="U787" s="52"/>
    </row>
    <row r="788">
      <c r="M788" s="52"/>
      <c r="N788" s="52"/>
      <c r="O788" s="52"/>
      <c r="P788" s="52"/>
      <c r="Q788" s="52"/>
      <c r="U788" s="52"/>
    </row>
    <row r="789">
      <c r="M789" s="52"/>
      <c r="N789" s="52"/>
      <c r="O789" s="52"/>
      <c r="P789" s="52"/>
      <c r="Q789" s="52"/>
      <c r="U789" s="52"/>
    </row>
    <row r="790">
      <c r="M790" s="52"/>
      <c r="N790" s="52"/>
      <c r="O790" s="52"/>
      <c r="P790" s="52"/>
      <c r="Q790" s="52"/>
      <c r="U790" s="52"/>
    </row>
    <row r="791">
      <c r="M791" s="52"/>
      <c r="N791" s="52"/>
      <c r="O791" s="52"/>
      <c r="P791" s="52"/>
      <c r="Q791" s="52"/>
      <c r="U791" s="52"/>
    </row>
    <row r="792">
      <c r="M792" s="52"/>
      <c r="N792" s="52"/>
      <c r="O792" s="52"/>
      <c r="P792" s="52"/>
      <c r="Q792" s="52"/>
      <c r="U792" s="52"/>
    </row>
    <row r="793">
      <c r="M793" s="52"/>
      <c r="N793" s="52"/>
      <c r="O793" s="52"/>
      <c r="P793" s="52"/>
      <c r="Q793" s="52"/>
      <c r="U793" s="52"/>
    </row>
    <row r="794">
      <c r="M794" s="52"/>
      <c r="N794" s="52"/>
      <c r="O794" s="52"/>
      <c r="P794" s="52"/>
      <c r="Q794" s="52"/>
      <c r="U794" s="52"/>
    </row>
    <row r="795">
      <c r="M795" s="52"/>
      <c r="N795" s="52"/>
      <c r="O795" s="52"/>
      <c r="P795" s="52"/>
      <c r="Q795" s="52"/>
      <c r="U795" s="52"/>
    </row>
    <row r="796">
      <c r="M796" s="52"/>
      <c r="N796" s="52"/>
      <c r="O796" s="52"/>
      <c r="P796" s="52"/>
      <c r="Q796" s="52"/>
      <c r="U796" s="52"/>
    </row>
    <row r="797">
      <c r="M797" s="52"/>
      <c r="N797" s="52"/>
      <c r="O797" s="52"/>
      <c r="P797" s="52"/>
      <c r="Q797" s="52"/>
      <c r="U797" s="52"/>
    </row>
    <row r="798">
      <c r="M798" s="52"/>
      <c r="N798" s="52"/>
      <c r="O798" s="52"/>
      <c r="P798" s="52"/>
      <c r="Q798" s="52"/>
      <c r="U798" s="52"/>
    </row>
    <row r="799">
      <c r="M799" s="52"/>
      <c r="N799" s="52"/>
      <c r="O799" s="52"/>
      <c r="P799" s="52"/>
      <c r="Q799" s="52"/>
      <c r="U799" s="52"/>
    </row>
    <row r="800">
      <c r="M800" s="52"/>
      <c r="N800" s="52"/>
      <c r="O800" s="52"/>
      <c r="P800" s="52"/>
      <c r="Q800" s="52"/>
      <c r="U800" s="52"/>
    </row>
    <row r="801">
      <c r="M801" s="52"/>
      <c r="N801" s="52"/>
      <c r="O801" s="52"/>
      <c r="P801" s="52"/>
      <c r="Q801" s="52"/>
      <c r="U801" s="52"/>
    </row>
    <row r="802">
      <c r="M802" s="52"/>
      <c r="N802" s="52"/>
      <c r="O802" s="52"/>
      <c r="P802" s="52"/>
      <c r="Q802" s="52"/>
      <c r="U802" s="52"/>
    </row>
    <row r="803">
      <c r="M803" s="52"/>
      <c r="N803" s="52"/>
      <c r="O803" s="52"/>
      <c r="P803" s="52"/>
      <c r="Q803" s="52"/>
      <c r="U803" s="52"/>
    </row>
    <row r="804">
      <c r="M804" s="52"/>
      <c r="N804" s="52"/>
      <c r="O804" s="52"/>
      <c r="P804" s="52"/>
      <c r="Q804" s="52"/>
      <c r="U804" s="52"/>
    </row>
    <row r="805">
      <c r="M805" s="52"/>
      <c r="N805" s="52"/>
      <c r="O805" s="52"/>
      <c r="P805" s="52"/>
      <c r="Q805" s="52"/>
      <c r="U805" s="52"/>
    </row>
    <row r="806">
      <c r="M806" s="52"/>
      <c r="N806" s="52"/>
      <c r="O806" s="52"/>
      <c r="P806" s="52"/>
      <c r="Q806" s="52"/>
      <c r="U806" s="52"/>
    </row>
    <row r="807">
      <c r="M807" s="52"/>
      <c r="N807" s="52"/>
      <c r="O807" s="52"/>
      <c r="P807" s="52"/>
      <c r="Q807" s="52"/>
      <c r="U807" s="52"/>
    </row>
    <row r="808">
      <c r="M808" s="52"/>
      <c r="N808" s="52"/>
      <c r="O808" s="52"/>
      <c r="P808" s="52"/>
      <c r="Q808" s="52"/>
      <c r="U808" s="52"/>
    </row>
    <row r="809">
      <c r="M809" s="52"/>
      <c r="N809" s="52"/>
      <c r="O809" s="52"/>
      <c r="P809" s="52"/>
      <c r="Q809" s="52"/>
      <c r="U809" s="52"/>
    </row>
    <row r="810">
      <c r="M810" s="52"/>
      <c r="N810" s="52"/>
      <c r="O810" s="52"/>
      <c r="P810" s="52"/>
      <c r="Q810" s="52"/>
      <c r="U810" s="52"/>
    </row>
    <row r="811">
      <c r="M811" s="52"/>
      <c r="N811" s="52"/>
      <c r="O811" s="52"/>
      <c r="P811" s="52"/>
      <c r="Q811" s="52"/>
      <c r="U811" s="52"/>
    </row>
    <row r="812">
      <c r="M812" s="52"/>
      <c r="N812" s="52"/>
      <c r="O812" s="52"/>
      <c r="P812" s="52"/>
      <c r="Q812" s="52"/>
      <c r="U812" s="52"/>
    </row>
    <row r="813">
      <c r="M813" s="52"/>
      <c r="N813" s="52"/>
      <c r="O813" s="52"/>
      <c r="P813" s="52"/>
      <c r="Q813" s="52"/>
      <c r="U813" s="52"/>
    </row>
    <row r="814">
      <c r="M814" s="52"/>
      <c r="N814" s="52"/>
      <c r="O814" s="52"/>
      <c r="P814" s="52"/>
      <c r="Q814" s="52"/>
      <c r="U814" s="52"/>
    </row>
    <row r="815">
      <c r="M815" s="52"/>
      <c r="N815" s="52"/>
      <c r="O815" s="52"/>
      <c r="P815" s="52"/>
      <c r="Q815" s="52"/>
      <c r="U815" s="52"/>
    </row>
    <row r="816">
      <c r="M816" s="52"/>
      <c r="N816" s="52"/>
      <c r="O816" s="52"/>
      <c r="P816" s="52"/>
      <c r="Q816" s="52"/>
      <c r="U816" s="52"/>
    </row>
    <row r="817">
      <c r="M817" s="52"/>
      <c r="N817" s="52"/>
      <c r="O817" s="52"/>
      <c r="P817" s="52"/>
      <c r="Q817" s="52"/>
      <c r="U817" s="52"/>
    </row>
    <row r="818">
      <c r="M818" s="52"/>
      <c r="N818" s="52"/>
      <c r="O818" s="52"/>
      <c r="P818" s="52"/>
      <c r="Q818" s="52"/>
      <c r="U818" s="52"/>
    </row>
    <row r="819">
      <c r="M819" s="52"/>
      <c r="N819" s="52"/>
      <c r="O819" s="52"/>
      <c r="P819" s="52"/>
      <c r="Q819" s="52"/>
      <c r="U819" s="52"/>
    </row>
    <row r="820">
      <c r="M820" s="52"/>
      <c r="N820" s="52"/>
      <c r="O820" s="52"/>
      <c r="P820" s="52"/>
      <c r="Q820" s="52"/>
      <c r="U820" s="52"/>
    </row>
    <row r="821">
      <c r="M821" s="52"/>
      <c r="N821" s="52"/>
      <c r="O821" s="52"/>
      <c r="P821" s="52"/>
      <c r="Q821" s="52"/>
      <c r="U821" s="52"/>
    </row>
    <row r="822">
      <c r="M822" s="52"/>
      <c r="N822" s="52"/>
      <c r="O822" s="52"/>
      <c r="P822" s="52"/>
      <c r="Q822" s="52"/>
      <c r="U822" s="52"/>
    </row>
    <row r="823">
      <c r="M823" s="52"/>
      <c r="N823" s="52"/>
      <c r="O823" s="52"/>
      <c r="P823" s="52"/>
      <c r="Q823" s="52"/>
      <c r="U823" s="52"/>
    </row>
    <row r="824">
      <c r="M824" s="52"/>
      <c r="N824" s="52"/>
      <c r="O824" s="52"/>
      <c r="P824" s="52"/>
      <c r="Q824" s="52"/>
      <c r="U824" s="52"/>
    </row>
    <row r="825">
      <c r="M825" s="52"/>
      <c r="N825" s="52"/>
      <c r="O825" s="52"/>
      <c r="P825" s="52"/>
      <c r="Q825" s="52"/>
      <c r="U825" s="52"/>
    </row>
    <row r="826">
      <c r="M826" s="52"/>
      <c r="N826" s="52"/>
      <c r="O826" s="52"/>
      <c r="P826" s="52"/>
      <c r="Q826" s="52"/>
      <c r="U826" s="52"/>
    </row>
    <row r="827">
      <c r="M827" s="52"/>
      <c r="N827" s="52"/>
      <c r="O827" s="52"/>
      <c r="P827" s="52"/>
      <c r="Q827" s="52"/>
      <c r="U827" s="52"/>
    </row>
    <row r="828">
      <c r="M828" s="52"/>
      <c r="N828" s="52"/>
      <c r="O828" s="52"/>
      <c r="P828" s="52"/>
      <c r="Q828" s="52"/>
      <c r="U828" s="52"/>
    </row>
    <row r="829">
      <c r="M829" s="52"/>
      <c r="N829" s="52"/>
      <c r="O829" s="52"/>
      <c r="P829" s="52"/>
      <c r="Q829" s="52"/>
      <c r="U829" s="52"/>
    </row>
    <row r="830">
      <c r="M830" s="52"/>
      <c r="N830" s="52"/>
      <c r="O830" s="52"/>
      <c r="P830" s="52"/>
      <c r="Q830" s="52"/>
      <c r="U830" s="52"/>
    </row>
    <row r="831">
      <c r="M831" s="52"/>
      <c r="N831" s="52"/>
      <c r="O831" s="52"/>
      <c r="P831" s="52"/>
      <c r="Q831" s="52"/>
      <c r="U831" s="52"/>
    </row>
    <row r="832">
      <c r="M832" s="52"/>
      <c r="N832" s="52"/>
      <c r="O832" s="52"/>
      <c r="P832" s="52"/>
      <c r="Q832" s="52"/>
      <c r="U832" s="52"/>
    </row>
    <row r="833">
      <c r="M833" s="52"/>
      <c r="N833" s="52"/>
      <c r="O833" s="52"/>
      <c r="P833" s="52"/>
      <c r="Q833" s="52"/>
      <c r="U833" s="52"/>
    </row>
    <row r="834">
      <c r="M834" s="52"/>
      <c r="N834" s="52"/>
      <c r="O834" s="52"/>
      <c r="P834" s="52"/>
      <c r="Q834" s="52"/>
      <c r="U834" s="52"/>
    </row>
    <row r="835">
      <c r="M835" s="52"/>
      <c r="N835" s="52"/>
      <c r="O835" s="52"/>
      <c r="P835" s="52"/>
      <c r="Q835" s="52"/>
      <c r="U835" s="52"/>
    </row>
    <row r="836">
      <c r="M836" s="52"/>
      <c r="N836" s="52"/>
      <c r="O836" s="52"/>
      <c r="P836" s="52"/>
      <c r="Q836" s="52"/>
      <c r="U836" s="52"/>
    </row>
    <row r="837">
      <c r="M837" s="52"/>
      <c r="N837" s="52"/>
      <c r="O837" s="52"/>
      <c r="P837" s="52"/>
      <c r="Q837" s="52"/>
      <c r="U837" s="52"/>
    </row>
    <row r="838">
      <c r="M838" s="52"/>
      <c r="N838" s="52"/>
      <c r="O838" s="52"/>
      <c r="P838" s="52"/>
      <c r="Q838" s="52"/>
      <c r="U838" s="52"/>
    </row>
    <row r="839">
      <c r="M839" s="52"/>
      <c r="N839" s="52"/>
      <c r="O839" s="52"/>
      <c r="P839" s="52"/>
      <c r="Q839" s="52"/>
      <c r="U839" s="52"/>
    </row>
    <row r="840">
      <c r="M840" s="52"/>
      <c r="N840" s="52"/>
      <c r="O840" s="52"/>
      <c r="P840" s="52"/>
      <c r="Q840" s="52"/>
      <c r="U840" s="52"/>
    </row>
    <row r="841">
      <c r="M841" s="52"/>
      <c r="N841" s="52"/>
      <c r="O841" s="52"/>
      <c r="P841" s="52"/>
      <c r="Q841" s="52"/>
      <c r="U841" s="52"/>
    </row>
    <row r="842">
      <c r="M842" s="52"/>
      <c r="N842" s="52"/>
      <c r="O842" s="52"/>
      <c r="P842" s="52"/>
      <c r="Q842" s="52"/>
      <c r="U842" s="52"/>
    </row>
    <row r="843">
      <c r="M843" s="52"/>
      <c r="N843" s="52"/>
      <c r="O843" s="52"/>
      <c r="P843" s="52"/>
      <c r="Q843" s="52"/>
      <c r="U843" s="52"/>
    </row>
    <row r="844">
      <c r="M844" s="52"/>
      <c r="N844" s="52"/>
      <c r="O844" s="52"/>
      <c r="P844" s="52"/>
      <c r="Q844" s="52"/>
      <c r="U844" s="52"/>
    </row>
    <row r="845">
      <c r="M845" s="52"/>
      <c r="N845" s="52"/>
      <c r="O845" s="52"/>
      <c r="P845" s="52"/>
      <c r="Q845" s="52"/>
      <c r="U845" s="52"/>
    </row>
    <row r="846">
      <c r="M846" s="52"/>
      <c r="N846" s="52"/>
      <c r="O846" s="52"/>
      <c r="P846" s="52"/>
      <c r="Q846" s="52"/>
      <c r="U846" s="52"/>
    </row>
    <row r="847">
      <c r="M847" s="52"/>
      <c r="N847" s="52"/>
      <c r="O847" s="52"/>
      <c r="P847" s="52"/>
      <c r="Q847" s="52"/>
      <c r="U847" s="52"/>
    </row>
    <row r="848">
      <c r="M848" s="52"/>
      <c r="N848" s="52"/>
      <c r="O848" s="52"/>
      <c r="P848" s="52"/>
      <c r="Q848" s="52"/>
      <c r="U848" s="52"/>
    </row>
    <row r="849">
      <c r="M849" s="52"/>
      <c r="N849" s="52"/>
      <c r="O849" s="52"/>
      <c r="P849" s="52"/>
      <c r="Q849" s="52"/>
      <c r="U849" s="52"/>
    </row>
    <row r="850">
      <c r="M850" s="52"/>
      <c r="N850" s="52"/>
      <c r="O850" s="52"/>
      <c r="P850" s="52"/>
      <c r="Q850" s="52"/>
      <c r="U850" s="52"/>
    </row>
    <row r="851">
      <c r="M851" s="52"/>
      <c r="N851" s="52"/>
      <c r="O851" s="52"/>
      <c r="P851" s="52"/>
      <c r="Q851" s="52"/>
      <c r="U851" s="52"/>
    </row>
    <row r="852">
      <c r="M852" s="52"/>
      <c r="N852" s="52"/>
      <c r="O852" s="52"/>
      <c r="P852" s="52"/>
      <c r="Q852" s="52"/>
      <c r="U852" s="52"/>
    </row>
    <row r="853">
      <c r="M853" s="52"/>
      <c r="N853" s="52"/>
      <c r="O853" s="52"/>
      <c r="P853" s="52"/>
      <c r="Q853" s="52"/>
      <c r="U853" s="52"/>
    </row>
    <row r="854">
      <c r="M854" s="52"/>
      <c r="N854" s="52"/>
      <c r="O854" s="52"/>
      <c r="P854" s="52"/>
      <c r="Q854" s="52"/>
      <c r="U854" s="52"/>
    </row>
    <row r="855">
      <c r="M855" s="52"/>
      <c r="N855" s="52"/>
      <c r="O855" s="52"/>
      <c r="P855" s="52"/>
      <c r="Q855" s="52"/>
      <c r="U855" s="52"/>
    </row>
    <row r="856">
      <c r="M856" s="52"/>
      <c r="N856" s="52"/>
      <c r="O856" s="52"/>
      <c r="P856" s="52"/>
      <c r="Q856" s="52"/>
      <c r="U856" s="52"/>
    </row>
    <row r="857">
      <c r="M857" s="52"/>
      <c r="N857" s="52"/>
      <c r="O857" s="52"/>
      <c r="P857" s="52"/>
      <c r="Q857" s="52"/>
      <c r="U857" s="52"/>
    </row>
    <row r="858">
      <c r="M858" s="52"/>
      <c r="N858" s="52"/>
      <c r="O858" s="52"/>
      <c r="P858" s="52"/>
      <c r="Q858" s="52"/>
      <c r="U858" s="52"/>
    </row>
    <row r="859">
      <c r="M859" s="52"/>
      <c r="N859" s="52"/>
      <c r="O859" s="52"/>
      <c r="P859" s="52"/>
      <c r="Q859" s="52"/>
      <c r="U859" s="52"/>
    </row>
    <row r="860">
      <c r="M860" s="52"/>
      <c r="N860" s="52"/>
      <c r="O860" s="52"/>
      <c r="P860" s="52"/>
      <c r="Q860" s="52"/>
      <c r="U860" s="52"/>
    </row>
    <row r="861">
      <c r="M861" s="52"/>
      <c r="N861" s="52"/>
      <c r="O861" s="52"/>
      <c r="P861" s="52"/>
      <c r="Q861" s="52"/>
      <c r="U861" s="52"/>
    </row>
    <row r="862">
      <c r="M862" s="52"/>
      <c r="N862" s="52"/>
      <c r="O862" s="52"/>
      <c r="P862" s="52"/>
      <c r="Q862" s="52"/>
      <c r="U862" s="52"/>
    </row>
    <row r="863">
      <c r="M863" s="52"/>
      <c r="N863" s="52"/>
      <c r="O863" s="52"/>
      <c r="P863" s="52"/>
      <c r="Q863" s="52"/>
      <c r="U863" s="52"/>
    </row>
    <row r="864">
      <c r="M864" s="52"/>
      <c r="N864" s="52"/>
      <c r="O864" s="52"/>
      <c r="P864" s="52"/>
      <c r="Q864" s="52"/>
      <c r="U864" s="52"/>
    </row>
    <row r="865">
      <c r="M865" s="52"/>
      <c r="N865" s="52"/>
      <c r="O865" s="52"/>
      <c r="P865" s="52"/>
      <c r="Q865" s="52"/>
      <c r="U865" s="52"/>
    </row>
    <row r="866">
      <c r="M866" s="52"/>
      <c r="N866" s="52"/>
      <c r="O866" s="52"/>
      <c r="P866" s="52"/>
      <c r="Q866" s="52"/>
      <c r="U866" s="52"/>
    </row>
    <row r="867">
      <c r="M867" s="52"/>
      <c r="N867" s="52"/>
      <c r="O867" s="52"/>
      <c r="P867" s="52"/>
      <c r="Q867" s="52"/>
      <c r="U867" s="52"/>
    </row>
    <row r="868">
      <c r="M868" s="52"/>
      <c r="N868" s="52"/>
      <c r="O868" s="52"/>
      <c r="P868" s="52"/>
      <c r="Q868" s="52"/>
      <c r="U868" s="52"/>
    </row>
    <row r="869">
      <c r="M869" s="52"/>
      <c r="N869" s="52"/>
      <c r="O869" s="52"/>
      <c r="P869" s="52"/>
      <c r="Q869" s="52"/>
      <c r="U869" s="52"/>
    </row>
    <row r="870">
      <c r="M870" s="52"/>
      <c r="N870" s="52"/>
      <c r="O870" s="52"/>
      <c r="P870" s="52"/>
      <c r="Q870" s="52"/>
      <c r="U870" s="52"/>
    </row>
    <row r="871">
      <c r="M871" s="52"/>
      <c r="N871" s="52"/>
      <c r="O871" s="52"/>
      <c r="P871" s="52"/>
      <c r="Q871" s="52"/>
      <c r="U871" s="52"/>
    </row>
    <row r="872">
      <c r="M872" s="52"/>
      <c r="N872" s="52"/>
      <c r="O872" s="52"/>
      <c r="P872" s="52"/>
      <c r="Q872" s="52"/>
      <c r="U872" s="52"/>
    </row>
    <row r="873">
      <c r="M873" s="52"/>
      <c r="N873" s="52"/>
      <c r="O873" s="52"/>
      <c r="P873" s="52"/>
      <c r="Q873" s="52"/>
      <c r="U873" s="52"/>
    </row>
    <row r="874">
      <c r="M874" s="52"/>
      <c r="N874" s="52"/>
      <c r="O874" s="52"/>
      <c r="P874" s="52"/>
      <c r="Q874" s="52"/>
      <c r="U874" s="52"/>
    </row>
    <row r="875">
      <c r="M875" s="52"/>
      <c r="N875" s="52"/>
      <c r="O875" s="52"/>
      <c r="P875" s="52"/>
      <c r="Q875" s="52"/>
      <c r="U875" s="52"/>
    </row>
    <row r="876">
      <c r="M876" s="52"/>
      <c r="N876" s="52"/>
      <c r="O876" s="52"/>
      <c r="P876" s="52"/>
      <c r="Q876" s="52"/>
      <c r="U876" s="52"/>
    </row>
    <row r="877">
      <c r="M877" s="52"/>
      <c r="N877" s="52"/>
      <c r="O877" s="52"/>
      <c r="P877" s="52"/>
      <c r="Q877" s="52"/>
      <c r="U877" s="52"/>
    </row>
    <row r="878">
      <c r="M878" s="52"/>
      <c r="N878" s="52"/>
      <c r="O878" s="52"/>
      <c r="P878" s="52"/>
      <c r="Q878" s="52"/>
      <c r="U878" s="52"/>
    </row>
    <row r="879">
      <c r="M879" s="52"/>
      <c r="N879" s="52"/>
      <c r="O879" s="52"/>
      <c r="P879" s="52"/>
      <c r="Q879" s="52"/>
      <c r="U879" s="52"/>
    </row>
    <row r="880">
      <c r="M880" s="52"/>
      <c r="N880" s="52"/>
      <c r="O880" s="52"/>
      <c r="P880" s="52"/>
      <c r="Q880" s="52"/>
      <c r="U880" s="52"/>
    </row>
    <row r="881">
      <c r="M881" s="52"/>
      <c r="N881" s="52"/>
      <c r="O881" s="52"/>
      <c r="P881" s="52"/>
      <c r="Q881" s="52"/>
      <c r="U881" s="52"/>
    </row>
    <row r="882">
      <c r="M882" s="52"/>
      <c r="N882" s="52"/>
      <c r="O882" s="52"/>
      <c r="P882" s="52"/>
      <c r="Q882" s="52"/>
      <c r="U882" s="52"/>
    </row>
    <row r="883">
      <c r="M883" s="52"/>
      <c r="N883" s="52"/>
      <c r="O883" s="52"/>
      <c r="P883" s="52"/>
      <c r="Q883" s="52"/>
      <c r="U883" s="52"/>
    </row>
    <row r="884">
      <c r="M884" s="52"/>
      <c r="N884" s="52"/>
      <c r="O884" s="52"/>
      <c r="P884" s="52"/>
      <c r="Q884" s="52"/>
      <c r="U884" s="52"/>
    </row>
    <row r="885">
      <c r="M885" s="52"/>
      <c r="N885" s="52"/>
      <c r="O885" s="52"/>
      <c r="P885" s="52"/>
      <c r="Q885" s="52"/>
      <c r="U885" s="52"/>
    </row>
    <row r="886">
      <c r="M886" s="52"/>
      <c r="N886" s="52"/>
      <c r="O886" s="52"/>
      <c r="P886" s="52"/>
      <c r="Q886" s="52"/>
      <c r="U886" s="52"/>
    </row>
    <row r="887">
      <c r="M887" s="52"/>
      <c r="N887" s="52"/>
      <c r="O887" s="52"/>
      <c r="P887" s="52"/>
      <c r="Q887" s="52"/>
      <c r="U887" s="52"/>
    </row>
    <row r="888">
      <c r="M888" s="52"/>
      <c r="N888" s="52"/>
      <c r="O888" s="52"/>
      <c r="P888" s="52"/>
      <c r="Q888" s="52"/>
      <c r="U888" s="52"/>
    </row>
    <row r="889">
      <c r="M889" s="52"/>
      <c r="N889" s="52"/>
      <c r="O889" s="52"/>
      <c r="P889" s="52"/>
      <c r="Q889" s="52"/>
      <c r="U889" s="52"/>
    </row>
    <row r="890">
      <c r="M890" s="52"/>
      <c r="N890" s="52"/>
      <c r="O890" s="52"/>
      <c r="P890" s="52"/>
      <c r="Q890" s="52"/>
      <c r="U890" s="52"/>
    </row>
    <row r="891">
      <c r="M891" s="52"/>
      <c r="N891" s="52"/>
      <c r="O891" s="52"/>
      <c r="P891" s="52"/>
      <c r="Q891" s="52"/>
      <c r="U891" s="52"/>
    </row>
    <row r="892">
      <c r="M892" s="52"/>
      <c r="N892" s="52"/>
      <c r="O892" s="52"/>
      <c r="P892" s="52"/>
      <c r="Q892" s="52"/>
      <c r="U892" s="52"/>
    </row>
    <row r="893">
      <c r="M893" s="52"/>
      <c r="N893" s="52"/>
      <c r="O893" s="52"/>
      <c r="P893" s="52"/>
      <c r="Q893" s="52"/>
      <c r="U893" s="52"/>
    </row>
    <row r="894">
      <c r="M894" s="52"/>
      <c r="N894" s="52"/>
      <c r="O894" s="52"/>
      <c r="P894" s="52"/>
      <c r="Q894" s="52"/>
      <c r="U894" s="52"/>
    </row>
    <row r="895">
      <c r="M895" s="52"/>
      <c r="N895" s="52"/>
      <c r="O895" s="52"/>
      <c r="P895" s="52"/>
      <c r="Q895" s="52"/>
      <c r="U895" s="52"/>
    </row>
    <row r="896">
      <c r="M896" s="52"/>
      <c r="N896" s="52"/>
      <c r="O896" s="52"/>
      <c r="P896" s="52"/>
      <c r="Q896" s="52"/>
      <c r="U896" s="52"/>
    </row>
    <row r="897">
      <c r="M897" s="52"/>
      <c r="N897" s="52"/>
      <c r="O897" s="52"/>
      <c r="P897" s="52"/>
      <c r="Q897" s="52"/>
      <c r="U897" s="52"/>
    </row>
    <row r="898">
      <c r="M898" s="52"/>
      <c r="N898" s="52"/>
      <c r="O898" s="52"/>
      <c r="P898" s="52"/>
      <c r="Q898" s="52"/>
      <c r="U898" s="52"/>
    </row>
    <row r="899">
      <c r="M899" s="52"/>
      <c r="N899" s="52"/>
      <c r="O899" s="52"/>
      <c r="P899" s="52"/>
      <c r="Q899" s="52"/>
      <c r="U899" s="52"/>
    </row>
    <row r="900">
      <c r="M900" s="52"/>
      <c r="N900" s="52"/>
      <c r="O900" s="52"/>
      <c r="P900" s="52"/>
      <c r="Q900" s="52"/>
      <c r="U900" s="52"/>
    </row>
    <row r="901">
      <c r="M901" s="52"/>
      <c r="N901" s="52"/>
      <c r="O901" s="52"/>
      <c r="P901" s="52"/>
      <c r="Q901" s="52"/>
      <c r="U901" s="52"/>
    </row>
    <row r="902">
      <c r="M902" s="52"/>
      <c r="N902" s="52"/>
      <c r="O902" s="52"/>
      <c r="P902" s="52"/>
      <c r="Q902" s="52"/>
      <c r="U902" s="52"/>
    </row>
    <row r="903">
      <c r="M903" s="52"/>
      <c r="N903" s="52"/>
      <c r="O903" s="52"/>
      <c r="P903" s="52"/>
      <c r="Q903" s="52"/>
      <c r="U903" s="52"/>
    </row>
    <row r="904">
      <c r="M904" s="52"/>
      <c r="N904" s="52"/>
      <c r="O904" s="52"/>
      <c r="P904" s="52"/>
      <c r="Q904" s="52"/>
      <c r="U904" s="52"/>
    </row>
    <row r="905">
      <c r="M905" s="52"/>
      <c r="N905" s="52"/>
      <c r="O905" s="52"/>
      <c r="P905" s="52"/>
      <c r="Q905" s="52"/>
      <c r="U905" s="52"/>
    </row>
    <row r="906">
      <c r="M906" s="52"/>
      <c r="N906" s="52"/>
      <c r="O906" s="52"/>
      <c r="P906" s="52"/>
      <c r="Q906" s="52"/>
      <c r="U906" s="52"/>
    </row>
    <row r="907">
      <c r="M907" s="52"/>
      <c r="N907" s="52"/>
      <c r="O907" s="52"/>
      <c r="P907" s="52"/>
      <c r="Q907" s="52"/>
      <c r="U907" s="52"/>
    </row>
    <row r="908">
      <c r="M908" s="52"/>
      <c r="N908" s="52"/>
      <c r="O908" s="52"/>
      <c r="P908" s="52"/>
      <c r="Q908" s="52"/>
      <c r="U908" s="52"/>
    </row>
    <row r="909">
      <c r="M909" s="52"/>
      <c r="N909" s="52"/>
      <c r="O909" s="52"/>
      <c r="P909" s="52"/>
      <c r="Q909" s="52"/>
      <c r="U909" s="52"/>
    </row>
    <row r="910">
      <c r="M910" s="52"/>
      <c r="N910" s="52"/>
      <c r="O910" s="52"/>
      <c r="P910" s="52"/>
      <c r="Q910" s="52"/>
      <c r="U910" s="52"/>
    </row>
    <row r="911">
      <c r="M911" s="52"/>
      <c r="N911" s="52"/>
      <c r="O911" s="52"/>
      <c r="P911" s="52"/>
      <c r="Q911" s="52"/>
      <c r="U911" s="52"/>
    </row>
    <row r="912">
      <c r="M912" s="52"/>
      <c r="N912" s="52"/>
      <c r="O912" s="52"/>
      <c r="P912" s="52"/>
      <c r="Q912" s="52"/>
      <c r="U912" s="52"/>
    </row>
    <row r="913">
      <c r="M913" s="52"/>
      <c r="N913" s="52"/>
      <c r="O913" s="52"/>
      <c r="P913" s="52"/>
      <c r="Q913" s="52"/>
      <c r="U913" s="52"/>
    </row>
    <row r="914">
      <c r="M914" s="52"/>
      <c r="N914" s="52"/>
      <c r="O914" s="52"/>
      <c r="P914" s="52"/>
      <c r="Q914" s="52"/>
      <c r="U914" s="52"/>
    </row>
    <row r="915">
      <c r="M915" s="52"/>
      <c r="N915" s="52"/>
      <c r="O915" s="52"/>
      <c r="P915" s="52"/>
      <c r="Q915" s="52"/>
      <c r="U915" s="52"/>
    </row>
    <row r="916">
      <c r="M916" s="52"/>
      <c r="N916" s="52"/>
      <c r="O916" s="52"/>
      <c r="P916" s="52"/>
      <c r="Q916" s="52"/>
      <c r="U916" s="52"/>
    </row>
    <row r="917">
      <c r="M917" s="52"/>
      <c r="N917" s="52"/>
      <c r="O917" s="52"/>
      <c r="P917" s="52"/>
      <c r="Q917" s="52"/>
      <c r="U917" s="52"/>
    </row>
    <row r="918">
      <c r="M918" s="52"/>
      <c r="N918" s="52"/>
      <c r="O918" s="52"/>
      <c r="P918" s="52"/>
      <c r="Q918" s="52"/>
      <c r="U918" s="52"/>
    </row>
    <row r="919">
      <c r="M919" s="52"/>
      <c r="N919" s="52"/>
      <c r="O919" s="52"/>
      <c r="P919" s="52"/>
      <c r="Q919" s="52"/>
      <c r="U919" s="52"/>
    </row>
    <row r="920">
      <c r="M920" s="52"/>
      <c r="N920" s="52"/>
      <c r="O920" s="52"/>
      <c r="P920" s="52"/>
      <c r="Q920" s="52"/>
      <c r="U920" s="52"/>
    </row>
    <row r="921">
      <c r="M921" s="52"/>
      <c r="N921" s="52"/>
      <c r="O921" s="52"/>
      <c r="P921" s="52"/>
      <c r="Q921" s="52"/>
      <c r="U921" s="52"/>
    </row>
    <row r="922">
      <c r="M922" s="52"/>
      <c r="N922" s="52"/>
      <c r="O922" s="52"/>
      <c r="P922" s="52"/>
      <c r="Q922" s="52"/>
      <c r="U922" s="52"/>
    </row>
    <row r="923">
      <c r="M923" s="52"/>
      <c r="N923" s="52"/>
      <c r="O923" s="52"/>
      <c r="P923" s="52"/>
      <c r="Q923" s="52"/>
      <c r="U923" s="52"/>
    </row>
    <row r="924">
      <c r="M924" s="52"/>
      <c r="N924" s="52"/>
      <c r="O924" s="52"/>
      <c r="P924" s="52"/>
      <c r="Q924" s="52"/>
      <c r="U924" s="52"/>
    </row>
    <row r="925">
      <c r="M925" s="52"/>
      <c r="N925" s="52"/>
      <c r="O925" s="52"/>
      <c r="P925" s="52"/>
      <c r="Q925" s="52"/>
      <c r="U925" s="52"/>
    </row>
    <row r="926">
      <c r="M926" s="52"/>
      <c r="N926" s="52"/>
      <c r="O926" s="52"/>
      <c r="P926" s="52"/>
      <c r="Q926" s="52"/>
      <c r="U926" s="52"/>
    </row>
    <row r="927">
      <c r="M927" s="52"/>
      <c r="N927" s="52"/>
      <c r="O927" s="52"/>
      <c r="P927" s="52"/>
      <c r="Q927" s="52"/>
      <c r="U927" s="52"/>
    </row>
    <row r="928">
      <c r="M928" s="52"/>
      <c r="N928" s="52"/>
      <c r="O928" s="52"/>
      <c r="P928" s="52"/>
      <c r="Q928" s="52"/>
      <c r="U928" s="52"/>
    </row>
    <row r="929">
      <c r="M929" s="52"/>
      <c r="N929" s="52"/>
      <c r="O929" s="52"/>
      <c r="P929" s="52"/>
      <c r="Q929" s="52"/>
      <c r="U929" s="52"/>
    </row>
    <row r="930">
      <c r="M930" s="52"/>
      <c r="N930" s="52"/>
      <c r="O930" s="52"/>
      <c r="P930" s="52"/>
      <c r="Q930" s="52"/>
      <c r="U930" s="52"/>
    </row>
    <row r="931">
      <c r="M931" s="52"/>
      <c r="N931" s="52"/>
      <c r="O931" s="52"/>
      <c r="P931" s="52"/>
      <c r="Q931" s="52"/>
      <c r="U931" s="52"/>
    </row>
    <row r="932">
      <c r="M932" s="52"/>
      <c r="N932" s="52"/>
      <c r="O932" s="52"/>
      <c r="P932" s="52"/>
      <c r="Q932" s="52"/>
      <c r="U932" s="52"/>
    </row>
    <row r="933">
      <c r="M933" s="52"/>
      <c r="N933" s="52"/>
      <c r="O933" s="52"/>
      <c r="P933" s="52"/>
      <c r="Q933" s="52"/>
      <c r="U933" s="52"/>
    </row>
    <row r="934">
      <c r="M934" s="52"/>
      <c r="N934" s="52"/>
      <c r="O934" s="52"/>
      <c r="P934" s="52"/>
      <c r="Q934" s="52"/>
      <c r="U934" s="52"/>
    </row>
    <row r="935">
      <c r="M935" s="52"/>
      <c r="N935" s="52"/>
      <c r="O935" s="52"/>
      <c r="P935" s="52"/>
      <c r="Q935" s="52"/>
      <c r="U935" s="52"/>
    </row>
    <row r="936">
      <c r="M936" s="52"/>
      <c r="N936" s="52"/>
      <c r="O936" s="52"/>
      <c r="P936" s="52"/>
      <c r="Q936" s="52"/>
      <c r="U936" s="52"/>
    </row>
    <row r="937">
      <c r="M937" s="52"/>
      <c r="N937" s="52"/>
      <c r="O937" s="52"/>
      <c r="P937" s="52"/>
      <c r="Q937" s="52"/>
      <c r="U937" s="52"/>
    </row>
    <row r="938">
      <c r="M938" s="52"/>
      <c r="N938" s="52"/>
      <c r="O938" s="52"/>
      <c r="P938" s="52"/>
      <c r="Q938" s="52"/>
      <c r="U938" s="52"/>
    </row>
    <row r="939">
      <c r="M939" s="52"/>
      <c r="N939" s="52"/>
      <c r="O939" s="52"/>
      <c r="P939" s="52"/>
      <c r="Q939" s="52"/>
      <c r="U939" s="52"/>
    </row>
    <row r="940">
      <c r="M940" s="52"/>
      <c r="N940" s="52"/>
      <c r="O940" s="52"/>
      <c r="P940" s="52"/>
      <c r="Q940" s="52"/>
      <c r="U940" s="52"/>
    </row>
    <row r="941">
      <c r="M941" s="52"/>
      <c r="N941" s="52"/>
      <c r="O941" s="52"/>
      <c r="P941" s="52"/>
      <c r="Q941" s="52"/>
      <c r="U941" s="52"/>
    </row>
    <row r="942">
      <c r="M942" s="52"/>
      <c r="N942" s="52"/>
      <c r="O942" s="52"/>
      <c r="P942" s="52"/>
      <c r="Q942" s="52"/>
      <c r="U942" s="52"/>
    </row>
    <row r="943">
      <c r="M943" s="52"/>
      <c r="N943" s="52"/>
      <c r="O943" s="52"/>
      <c r="P943" s="52"/>
      <c r="Q943" s="52"/>
      <c r="U943" s="52"/>
    </row>
    <row r="944">
      <c r="M944" s="52"/>
      <c r="N944" s="52"/>
      <c r="O944" s="52"/>
      <c r="P944" s="52"/>
      <c r="Q944" s="52"/>
      <c r="U944" s="52"/>
    </row>
    <row r="945">
      <c r="M945" s="52"/>
      <c r="N945" s="52"/>
      <c r="O945" s="52"/>
      <c r="P945" s="52"/>
      <c r="Q945" s="52"/>
      <c r="U945" s="52"/>
    </row>
    <row r="946">
      <c r="M946" s="52"/>
      <c r="N946" s="52"/>
      <c r="O946" s="52"/>
      <c r="P946" s="52"/>
      <c r="Q946" s="52"/>
      <c r="U946" s="52"/>
    </row>
    <row r="947">
      <c r="M947" s="52"/>
      <c r="N947" s="52"/>
      <c r="O947" s="52"/>
      <c r="P947" s="52"/>
      <c r="Q947" s="52"/>
      <c r="U947" s="52"/>
    </row>
    <row r="948">
      <c r="M948" s="52"/>
      <c r="N948" s="52"/>
      <c r="O948" s="52"/>
      <c r="P948" s="52"/>
      <c r="Q948" s="52"/>
      <c r="U948" s="52"/>
    </row>
    <row r="949">
      <c r="M949" s="52"/>
      <c r="N949" s="52"/>
      <c r="O949" s="52"/>
      <c r="P949" s="52"/>
      <c r="Q949" s="52"/>
      <c r="U949" s="52"/>
    </row>
    <row r="950">
      <c r="M950" s="52"/>
      <c r="N950" s="52"/>
      <c r="O950" s="52"/>
      <c r="P950" s="52"/>
      <c r="Q950" s="52"/>
      <c r="U950" s="52"/>
    </row>
    <row r="951">
      <c r="M951" s="52"/>
      <c r="N951" s="52"/>
      <c r="O951" s="52"/>
      <c r="P951" s="52"/>
      <c r="Q951" s="52"/>
      <c r="U951" s="52"/>
    </row>
    <row r="952">
      <c r="M952" s="52"/>
      <c r="N952" s="52"/>
      <c r="O952" s="52"/>
      <c r="P952" s="52"/>
      <c r="Q952" s="52"/>
      <c r="U952" s="52"/>
    </row>
    <row r="953">
      <c r="M953" s="52"/>
      <c r="N953" s="52"/>
      <c r="O953" s="52"/>
      <c r="P953" s="52"/>
      <c r="Q953" s="52"/>
      <c r="U953" s="52"/>
    </row>
    <row r="954">
      <c r="M954" s="52"/>
      <c r="N954" s="52"/>
      <c r="O954" s="52"/>
      <c r="P954" s="52"/>
      <c r="Q954" s="52"/>
      <c r="U954" s="52"/>
    </row>
    <row r="955">
      <c r="M955" s="52"/>
      <c r="N955" s="52"/>
      <c r="O955" s="52"/>
      <c r="P955" s="52"/>
      <c r="Q955" s="52"/>
      <c r="U955" s="52"/>
    </row>
    <row r="956">
      <c r="M956" s="52"/>
      <c r="N956" s="52"/>
      <c r="O956" s="52"/>
      <c r="P956" s="52"/>
      <c r="Q956" s="52"/>
      <c r="U956" s="52"/>
    </row>
    <row r="957">
      <c r="M957" s="52"/>
      <c r="N957" s="52"/>
      <c r="O957" s="52"/>
      <c r="P957" s="52"/>
      <c r="Q957" s="52"/>
      <c r="U957" s="52"/>
    </row>
    <row r="958">
      <c r="M958" s="52"/>
      <c r="N958" s="52"/>
      <c r="O958" s="52"/>
      <c r="P958" s="52"/>
      <c r="Q958" s="52"/>
      <c r="U958" s="52"/>
    </row>
    <row r="959">
      <c r="M959" s="52"/>
      <c r="N959" s="52"/>
      <c r="O959" s="52"/>
      <c r="P959" s="52"/>
      <c r="Q959" s="52"/>
      <c r="U959" s="52"/>
    </row>
    <row r="960">
      <c r="M960" s="52"/>
      <c r="N960" s="52"/>
      <c r="O960" s="52"/>
      <c r="P960" s="52"/>
      <c r="Q960" s="52"/>
      <c r="U960" s="52"/>
    </row>
    <row r="961">
      <c r="M961" s="52"/>
      <c r="N961" s="52"/>
      <c r="O961" s="52"/>
      <c r="P961" s="52"/>
      <c r="Q961" s="52"/>
      <c r="U961" s="52"/>
    </row>
    <row r="962">
      <c r="M962" s="52"/>
      <c r="N962" s="52"/>
      <c r="O962" s="52"/>
      <c r="P962" s="52"/>
      <c r="Q962" s="52"/>
      <c r="U962" s="52"/>
    </row>
    <row r="963">
      <c r="M963" s="52"/>
      <c r="N963" s="52"/>
      <c r="O963" s="52"/>
      <c r="P963" s="52"/>
      <c r="Q963" s="52"/>
      <c r="U963" s="52"/>
    </row>
    <row r="964">
      <c r="M964" s="52"/>
      <c r="N964" s="52"/>
      <c r="O964" s="52"/>
      <c r="P964" s="52"/>
      <c r="Q964" s="52"/>
      <c r="U964" s="52"/>
    </row>
    <row r="965">
      <c r="M965" s="52"/>
      <c r="N965" s="52"/>
      <c r="O965" s="52"/>
      <c r="P965" s="52"/>
      <c r="Q965" s="52"/>
      <c r="U965" s="52"/>
    </row>
    <row r="966">
      <c r="M966" s="52"/>
      <c r="N966" s="52"/>
      <c r="O966" s="52"/>
      <c r="P966" s="52"/>
      <c r="Q966" s="52"/>
      <c r="U966" s="52"/>
    </row>
    <row r="967">
      <c r="M967" s="52"/>
      <c r="N967" s="52"/>
      <c r="O967" s="52"/>
      <c r="P967" s="52"/>
      <c r="Q967" s="52"/>
      <c r="U967" s="52"/>
    </row>
    <row r="968">
      <c r="M968" s="52"/>
      <c r="N968" s="52"/>
      <c r="O968" s="52"/>
      <c r="P968" s="52"/>
      <c r="Q968" s="52"/>
      <c r="U968" s="52"/>
    </row>
    <row r="969">
      <c r="M969" s="52"/>
      <c r="N969" s="52"/>
      <c r="O969" s="52"/>
      <c r="P969" s="52"/>
      <c r="Q969" s="52"/>
      <c r="U969" s="52"/>
    </row>
    <row r="970">
      <c r="M970" s="52"/>
      <c r="N970" s="52"/>
      <c r="O970" s="52"/>
      <c r="P970" s="52"/>
      <c r="Q970" s="52"/>
      <c r="U970" s="52"/>
    </row>
    <row r="971">
      <c r="M971" s="52"/>
      <c r="N971" s="52"/>
      <c r="O971" s="52"/>
      <c r="P971" s="52"/>
      <c r="Q971" s="52"/>
      <c r="U971" s="52"/>
    </row>
    <row r="972">
      <c r="M972" s="52"/>
      <c r="N972" s="52"/>
      <c r="O972" s="52"/>
      <c r="P972" s="52"/>
      <c r="Q972" s="52"/>
      <c r="U972" s="52"/>
    </row>
    <row r="973">
      <c r="M973" s="52"/>
      <c r="N973" s="52"/>
      <c r="O973" s="52"/>
      <c r="P973" s="52"/>
      <c r="Q973" s="52"/>
      <c r="U973" s="52"/>
    </row>
    <row r="974">
      <c r="M974" s="52"/>
      <c r="N974" s="52"/>
      <c r="O974" s="52"/>
      <c r="P974" s="52"/>
      <c r="Q974" s="52"/>
      <c r="U974" s="52"/>
    </row>
    <row r="975">
      <c r="M975" s="52"/>
      <c r="N975" s="52"/>
      <c r="O975" s="52"/>
      <c r="P975" s="52"/>
      <c r="Q975" s="52"/>
      <c r="U975" s="52"/>
    </row>
    <row r="976">
      <c r="M976" s="52"/>
      <c r="N976" s="52"/>
      <c r="O976" s="52"/>
      <c r="P976" s="52"/>
      <c r="Q976" s="52"/>
      <c r="U976" s="52"/>
    </row>
    <row r="977">
      <c r="M977" s="52"/>
      <c r="N977" s="52"/>
      <c r="O977" s="52"/>
      <c r="P977" s="52"/>
      <c r="Q977" s="52"/>
      <c r="U977" s="52"/>
    </row>
    <row r="978">
      <c r="M978" s="52"/>
      <c r="N978" s="52"/>
      <c r="O978" s="52"/>
      <c r="P978" s="52"/>
      <c r="Q978" s="52"/>
      <c r="U978" s="52"/>
    </row>
    <row r="979">
      <c r="M979" s="52"/>
      <c r="N979" s="52"/>
      <c r="O979" s="52"/>
      <c r="P979" s="52"/>
      <c r="Q979" s="52"/>
      <c r="U979" s="52"/>
    </row>
    <row r="980">
      <c r="M980" s="52"/>
      <c r="N980" s="52"/>
      <c r="O980" s="52"/>
      <c r="P980" s="52"/>
      <c r="Q980" s="52"/>
      <c r="U980" s="52"/>
    </row>
    <row r="981">
      <c r="M981" s="52"/>
      <c r="N981" s="52"/>
      <c r="O981" s="52"/>
      <c r="P981" s="52"/>
      <c r="Q981" s="52"/>
      <c r="U981" s="52"/>
    </row>
    <row r="982">
      <c r="M982" s="52"/>
      <c r="N982" s="52"/>
      <c r="O982" s="52"/>
      <c r="P982" s="52"/>
      <c r="Q982" s="52"/>
      <c r="U982" s="52"/>
    </row>
    <row r="983">
      <c r="M983" s="52"/>
      <c r="N983" s="52"/>
      <c r="O983" s="52"/>
      <c r="P983" s="52"/>
      <c r="Q983" s="52"/>
      <c r="U983" s="52"/>
    </row>
    <row r="984">
      <c r="M984" s="52"/>
      <c r="N984" s="52"/>
      <c r="O984" s="52"/>
      <c r="P984" s="52"/>
      <c r="Q984" s="52"/>
      <c r="U984" s="52"/>
    </row>
    <row r="985">
      <c r="M985" s="52"/>
      <c r="N985" s="52"/>
      <c r="O985" s="52"/>
      <c r="P985" s="52"/>
      <c r="Q985" s="52"/>
      <c r="U985" s="52"/>
    </row>
    <row r="986">
      <c r="M986" s="52"/>
      <c r="N986" s="52"/>
      <c r="O986" s="52"/>
      <c r="P986" s="52"/>
      <c r="Q986" s="52"/>
      <c r="U986" s="52"/>
    </row>
    <row r="987">
      <c r="M987" s="52"/>
      <c r="N987" s="52"/>
      <c r="O987" s="52"/>
      <c r="P987" s="52"/>
      <c r="Q987" s="52"/>
      <c r="U987" s="52"/>
    </row>
    <row r="988">
      <c r="M988" s="52"/>
      <c r="N988" s="52"/>
      <c r="O988" s="52"/>
      <c r="P988" s="52"/>
      <c r="Q988" s="52"/>
      <c r="U988" s="52"/>
    </row>
    <row r="989">
      <c r="M989" s="52"/>
      <c r="N989" s="52"/>
      <c r="O989" s="52"/>
      <c r="P989" s="52"/>
      <c r="Q989" s="52"/>
      <c r="U989" s="52"/>
    </row>
    <row r="990">
      <c r="M990" s="52"/>
      <c r="N990" s="52"/>
      <c r="O990" s="52"/>
      <c r="P990" s="52"/>
      <c r="Q990" s="52"/>
      <c r="U990" s="52"/>
    </row>
    <row r="991">
      <c r="M991" s="52"/>
      <c r="N991" s="52"/>
      <c r="O991" s="52"/>
      <c r="P991" s="52"/>
      <c r="Q991" s="52"/>
      <c r="U991" s="52"/>
    </row>
    <row r="992">
      <c r="M992" s="52"/>
      <c r="N992" s="52"/>
      <c r="O992" s="52"/>
      <c r="P992" s="52"/>
      <c r="Q992" s="52"/>
      <c r="U992" s="52"/>
    </row>
    <row r="993">
      <c r="M993" s="52"/>
      <c r="N993" s="52"/>
      <c r="O993" s="52"/>
      <c r="P993" s="52"/>
      <c r="Q993" s="52"/>
      <c r="U993" s="52"/>
    </row>
    <row r="994">
      <c r="M994" s="52"/>
      <c r="N994" s="52"/>
      <c r="O994" s="52"/>
      <c r="P994" s="52"/>
      <c r="Q994" s="52"/>
      <c r="U994" s="52"/>
    </row>
    <row r="995">
      <c r="M995" s="52"/>
      <c r="N995" s="52"/>
      <c r="O995" s="52"/>
      <c r="P995" s="52"/>
      <c r="Q995" s="52"/>
      <c r="U995" s="52"/>
    </row>
    <row r="996">
      <c r="M996" s="52"/>
      <c r="N996" s="52"/>
      <c r="O996" s="52"/>
      <c r="P996" s="52"/>
      <c r="Q996" s="52"/>
      <c r="U996" s="52"/>
    </row>
    <row r="997">
      <c r="M997" s="52"/>
      <c r="N997" s="52"/>
      <c r="O997" s="52"/>
      <c r="P997" s="52"/>
      <c r="Q997" s="52"/>
      <c r="U997" s="52"/>
    </row>
    <row r="998">
      <c r="M998" s="52"/>
      <c r="N998" s="52"/>
      <c r="O998" s="52"/>
      <c r="P998" s="52"/>
      <c r="Q998" s="52"/>
      <c r="U998" s="52"/>
    </row>
    <row r="999">
      <c r="M999" s="52"/>
      <c r="N999" s="52"/>
      <c r="O999" s="52"/>
      <c r="P999" s="52"/>
      <c r="Q999" s="52"/>
      <c r="U999" s="52"/>
    </row>
    <row r="1000">
      <c r="M1000" s="52"/>
      <c r="N1000" s="52"/>
      <c r="O1000" s="52"/>
      <c r="P1000" s="52"/>
      <c r="Q1000" s="52"/>
      <c r="U1000" s="52"/>
    </row>
  </sheetData>
  <mergeCells count="7">
    <mergeCell ref="A1:A2"/>
    <mergeCell ref="B1:B2"/>
    <mergeCell ref="C1:G1"/>
    <mergeCell ref="H1:I1"/>
    <mergeCell ref="J1:J2"/>
    <mergeCell ref="K1:O1"/>
    <mergeCell ref="P1:U1"/>
  </mergeCells>
  <conditionalFormatting sqref="N3:N9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G3:G9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3:H9">
    <cfRule type="colorScale" priority="3">
      <colorScale>
        <cfvo type="formula" val="0"/>
        <cfvo type="max"/>
        <color rgb="FFFFFFFF"/>
        <color rgb="FF57BB8A"/>
      </colorScale>
    </cfRule>
  </conditionalFormatting>
  <conditionalFormatting sqref="I3:I9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J3:J9">
    <cfRule type="colorScale" priority="5">
      <colorScale>
        <cfvo type="formula" val="0"/>
        <cfvo type="max"/>
        <color rgb="FFFFFFFF"/>
        <color rgb="FF57BB8A"/>
      </colorScale>
    </cfRule>
  </conditionalFormatting>
  <conditionalFormatting sqref="K3:K9">
    <cfRule type="colorScale" priority="6">
      <colorScale>
        <cfvo type="formula" val="0"/>
        <cfvo type="max"/>
        <color rgb="FFFFFFFF"/>
        <color rgb="FF57BB8A"/>
      </colorScale>
    </cfRule>
  </conditionalFormatting>
  <conditionalFormatting sqref="L3:L9">
    <cfRule type="colorScale" priority="7">
      <colorScale>
        <cfvo type="formula" val="0"/>
        <cfvo type="max"/>
        <color rgb="FFFFFFFF"/>
        <color rgb="FFE67C73"/>
      </colorScale>
    </cfRule>
  </conditionalFormatting>
  <conditionalFormatting sqref="C3:C9">
    <cfRule type="colorScale" priority="8">
      <colorScale>
        <cfvo type="formula" val="0"/>
        <cfvo type="max"/>
        <color rgb="FFFFFFFF"/>
        <color rgb="FFFFD666"/>
      </colorScale>
    </cfRule>
  </conditionalFormatting>
  <conditionalFormatting sqref="D3:D9">
    <cfRule type="colorScale" priority="9">
      <colorScale>
        <cfvo type="formula" val="0"/>
        <cfvo type="max"/>
        <color rgb="FFFFFFFF"/>
        <color rgb="FF57BB8A"/>
      </colorScale>
    </cfRule>
  </conditionalFormatting>
  <conditionalFormatting sqref="E3:E9">
    <cfRule type="colorScale" priority="10">
      <colorScale>
        <cfvo type="formula" val="0"/>
        <cfvo type="max"/>
        <color rgb="FFFFFFFF"/>
        <color rgb="FFE67C73"/>
      </colorScale>
    </cfRule>
  </conditionalFormatting>
  <conditionalFormatting sqref="F3:F9">
    <cfRule type="colorScale" priority="11">
      <colorScale>
        <cfvo type="formula" val="0"/>
        <cfvo type="max"/>
        <color rgb="FFFFFFFF"/>
        <color rgb="FF57BB8A"/>
      </colorScale>
    </cfRule>
  </conditionalFormatting>
  <conditionalFormatting sqref="M3:M9">
    <cfRule type="colorScale" priority="12">
      <colorScale>
        <cfvo type="formula" val="0"/>
        <cfvo type="max"/>
        <color rgb="FFFFFFFF"/>
        <color rgb="FFFFD666"/>
      </colorScale>
    </cfRule>
  </conditionalFormatting>
  <conditionalFormatting sqref="O3:O9">
    <cfRule type="colorScale" priority="13">
      <colorScale>
        <cfvo type="formula" val="0"/>
        <cfvo type="formula" val="1"/>
        <color rgb="FFFFFFFF"/>
        <color rgb="FF57BB8A"/>
      </colorScale>
    </cfRule>
  </conditionalFormatting>
  <conditionalFormatting sqref="P3:P9">
    <cfRule type="colorScale" priority="14">
      <colorScale>
        <cfvo type="formula" val="0"/>
        <cfvo type="max"/>
        <color rgb="FFFFFFFF"/>
        <color rgb="FFFFD666"/>
      </colorScale>
    </cfRule>
  </conditionalFormatting>
  <conditionalFormatting sqref="U3:U9">
    <cfRule type="colorScale" priority="15">
      <colorScale>
        <cfvo type="formula" val="0"/>
        <cfvo type="formula" val="2"/>
        <cfvo type="formula" val="3"/>
        <color rgb="FFE67C73"/>
        <color rgb="FFFFFFFF"/>
        <color rgb="FF57BB8A"/>
      </colorScale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7.63"/>
    <col customWidth="1" min="4" max="4" width="5.63"/>
    <col customWidth="1" min="5" max="5" width="6.88"/>
    <col customWidth="1" min="6" max="6" width="8.38"/>
    <col customWidth="1" min="7" max="7" width="15.5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1" t="s">
        <v>4</v>
      </c>
      <c r="K1" s="6" t="s">
        <v>5</v>
      </c>
      <c r="L1" s="4"/>
      <c r="M1" s="4"/>
      <c r="N1" s="4"/>
      <c r="O1" s="5"/>
      <c r="P1" s="30" t="s">
        <v>6</v>
      </c>
      <c r="Q1" s="4"/>
      <c r="R1" s="4"/>
      <c r="S1" s="4"/>
      <c r="T1" s="4"/>
      <c r="U1" s="5"/>
    </row>
    <row r="2">
      <c r="A2" s="9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2" t="s">
        <v>13</v>
      </c>
      <c r="I2" s="12" t="s">
        <v>14</v>
      </c>
      <c r="J2" s="9"/>
      <c r="K2" s="10" t="s">
        <v>15</v>
      </c>
      <c r="L2" s="12" t="s">
        <v>10</v>
      </c>
      <c r="M2" s="10" t="s">
        <v>16</v>
      </c>
      <c r="N2" s="10" t="s">
        <v>12</v>
      </c>
      <c r="O2" s="10" t="s">
        <v>18</v>
      </c>
      <c r="P2" s="15" t="s">
        <v>8</v>
      </c>
      <c r="Q2" s="15">
        <v>0.0</v>
      </c>
      <c r="R2" s="15">
        <v>1.0</v>
      </c>
      <c r="S2" s="15">
        <v>2.0</v>
      </c>
      <c r="T2" s="15">
        <v>3.0</v>
      </c>
      <c r="U2" s="15" t="s">
        <v>19</v>
      </c>
    </row>
    <row r="3">
      <c r="A3" s="18" t="s">
        <v>21</v>
      </c>
      <c r="B3" s="18" t="s">
        <v>43</v>
      </c>
      <c r="C3" s="10">
        <v>11.0</v>
      </c>
      <c r="D3" s="10">
        <v>6.0</v>
      </c>
      <c r="E3" s="10">
        <v>2.0</v>
      </c>
      <c r="F3" s="10"/>
      <c r="G3" s="35">
        <f t="shared" ref="G3:G9" si="1">IFS(C3=0, "N/A", C3&lt;&gt;0,(D3-E3)/C3 )</f>
        <v>0.3636363636</v>
      </c>
      <c r="H3" s="35"/>
      <c r="I3" s="10"/>
      <c r="J3" s="10">
        <v>5.0</v>
      </c>
      <c r="K3" s="35"/>
      <c r="L3" s="10"/>
      <c r="M3" s="10">
        <v>2.0</v>
      </c>
      <c r="N3" s="35">
        <f t="shared" ref="N3:N9" si="2">ifs(M3=0,"N/A",M3&lt;&gt;0,(M3-L3) /M3)</f>
        <v>1</v>
      </c>
      <c r="O3" s="35">
        <f t="shared" ref="O3:O9" si="3">IFS(M3=0, "N/A", M3&lt;&gt;0, K3/M3)</f>
        <v>0</v>
      </c>
      <c r="P3" s="10">
        <f t="shared" ref="P3:P9" si="4">sum(Q3,R3,S3,T3)</f>
        <v>10</v>
      </c>
      <c r="Q3" s="10">
        <v>3.0</v>
      </c>
      <c r="R3" s="10"/>
      <c r="S3" s="10">
        <v>1.0</v>
      </c>
      <c r="T3" s="10">
        <v>6.0</v>
      </c>
      <c r="U3" s="10">
        <f t="shared" ref="U3:U9" si="5">ifs(P3=0, "N/A",P3&lt;&gt;0,(R3 + S3*2 +T3*3)/P3)</f>
        <v>2</v>
      </c>
    </row>
    <row r="4">
      <c r="A4" s="21" t="s">
        <v>24</v>
      </c>
      <c r="B4" s="21" t="s">
        <v>101</v>
      </c>
      <c r="C4" s="10">
        <v>2.0</v>
      </c>
      <c r="D4" s="10"/>
      <c r="E4" s="10"/>
      <c r="F4" s="35"/>
      <c r="G4" s="35">
        <f t="shared" si="1"/>
        <v>0</v>
      </c>
      <c r="H4" s="10">
        <v>1.0</v>
      </c>
      <c r="I4" s="10"/>
      <c r="J4" s="10">
        <v>1.0</v>
      </c>
      <c r="K4" s="35"/>
      <c r="L4" s="10"/>
      <c r="M4" s="10">
        <v>1.0</v>
      </c>
      <c r="N4" s="35">
        <f t="shared" si="2"/>
        <v>1</v>
      </c>
      <c r="O4" s="35">
        <f t="shared" si="3"/>
        <v>0</v>
      </c>
      <c r="P4" s="10">
        <f t="shared" si="4"/>
        <v>5</v>
      </c>
      <c r="Q4" s="10"/>
      <c r="R4" s="10"/>
      <c r="S4" s="10">
        <v>2.0</v>
      </c>
      <c r="T4" s="10">
        <v>3.0</v>
      </c>
      <c r="U4" s="10">
        <f t="shared" si="5"/>
        <v>2.6</v>
      </c>
    </row>
    <row r="5">
      <c r="A5" s="22" t="s">
        <v>26</v>
      </c>
      <c r="B5" s="22" t="s">
        <v>42</v>
      </c>
      <c r="C5" s="10"/>
      <c r="D5" s="10"/>
      <c r="E5" s="10"/>
      <c r="F5" s="10">
        <v>10.0</v>
      </c>
      <c r="G5" s="35" t="str">
        <f t="shared" si="1"/>
        <v>N/A</v>
      </c>
      <c r="H5" s="10"/>
      <c r="I5" s="10"/>
      <c r="J5" s="10">
        <v>4.0</v>
      </c>
      <c r="K5" s="10">
        <v>2.0</v>
      </c>
      <c r="L5" s="35"/>
      <c r="M5" s="10">
        <v>6.0</v>
      </c>
      <c r="N5" s="35">
        <f t="shared" si="2"/>
        <v>1</v>
      </c>
      <c r="O5" s="35">
        <f t="shared" si="3"/>
        <v>0.3333333333</v>
      </c>
      <c r="P5" s="10">
        <f t="shared" si="4"/>
        <v>0</v>
      </c>
      <c r="Q5" s="35"/>
      <c r="R5" s="35"/>
      <c r="S5" s="35"/>
      <c r="T5" s="10"/>
      <c r="U5" s="10" t="str">
        <f t="shared" si="5"/>
        <v>N/A</v>
      </c>
    </row>
    <row r="6">
      <c r="A6" s="23" t="s">
        <v>28</v>
      </c>
      <c r="B6" s="23" t="s">
        <v>85</v>
      </c>
      <c r="C6" s="10">
        <v>5.0</v>
      </c>
      <c r="D6" s="10">
        <v>1.0</v>
      </c>
      <c r="E6" s="10"/>
      <c r="F6" s="35"/>
      <c r="G6" s="35">
        <f t="shared" si="1"/>
        <v>0.2</v>
      </c>
      <c r="H6" s="35"/>
      <c r="I6" s="35"/>
      <c r="J6" s="10">
        <v>6.0</v>
      </c>
      <c r="K6" s="10"/>
      <c r="L6" s="10"/>
      <c r="M6" s="10">
        <v>3.0</v>
      </c>
      <c r="N6" s="35">
        <f t="shared" si="2"/>
        <v>1</v>
      </c>
      <c r="O6" s="35">
        <f t="shared" si="3"/>
        <v>0</v>
      </c>
      <c r="P6" s="10">
        <f t="shared" si="4"/>
        <v>2</v>
      </c>
      <c r="Q6" s="10"/>
      <c r="R6" s="10">
        <v>2.0</v>
      </c>
      <c r="S6" s="10"/>
      <c r="T6" s="10"/>
      <c r="U6" s="10">
        <f t="shared" si="5"/>
        <v>1</v>
      </c>
    </row>
    <row r="7">
      <c r="A7" s="24" t="s">
        <v>30</v>
      </c>
      <c r="B7" s="24" t="s">
        <v>41</v>
      </c>
      <c r="C7" s="10">
        <v>7.0</v>
      </c>
      <c r="D7" s="10">
        <v>1.0</v>
      </c>
      <c r="E7" s="10">
        <v>1.0</v>
      </c>
      <c r="F7" s="35"/>
      <c r="G7" s="35">
        <f t="shared" si="1"/>
        <v>0</v>
      </c>
      <c r="H7" s="35"/>
      <c r="I7" s="35"/>
      <c r="J7" s="10">
        <v>2.0</v>
      </c>
      <c r="K7" s="35"/>
      <c r="L7" s="10">
        <v>1.0</v>
      </c>
      <c r="M7" s="10">
        <v>3.0</v>
      </c>
      <c r="N7" s="35">
        <f t="shared" si="2"/>
        <v>0.6666666667</v>
      </c>
      <c r="O7" s="35">
        <f t="shared" si="3"/>
        <v>0</v>
      </c>
      <c r="P7" s="10">
        <f t="shared" si="4"/>
        <v>1</v>
      </c>
      <c r="Q7" s="10"/>
      <c r="R7" s="10">
        <v>1.0</v>
      </c>
      <c r="S7" s="10"/>
      <c r="T7" s="35"/>
      <c r="U7" s="10">
        <f t="shared" si="5"/>
        <v>1</v>
      </c>
    </row>
    <row r="8">
      <c r="A8" s="25" t="s">
        <v>32</v>
      </c>
      <c r="B8" s="25" t="s">
        <v>45</v>
      </c>
      <c r="C8" s="10">
        <v>11.0</v>
      </c>
      <c r="D8" s="10">
        <v>2.0</v>
      </c>
      <c r="E8" s="10">
        <v>2.0</v>
      </c>
      <c r="F8" s="35"/>
      <c r="G8" s="35">
        <f t="shared" si="1"/>
        <v>0</v>
      </c>
      <c r="H8" s="35"/>
      <c r="I8" s="10"/>
      <c r="J8" s="10">
        <v>2.0</v>
      </c>
      <c r="K8" s="35"/>
      <c r="L8" s="35"/>
      <c r="M8" s="10">
        <v>3.0</v>
      </c>
      <c r="N8" s="35">
        <f t="shared" si="2"/>
        <v>1</v>
      </c>
      <c r="O8" s="35">
        <f t="shared" si="3"/>
        <v>0</v>
      </c>
      <c r="P8" s="10">
        <f t="shared" si="4"/>
        <v>2</v>
      </c>
      <c r="Q8" s="10">
        <v>1.0</v>
      </c>
      <c r="R8" s="10"/>
      <c r="S8" s="35"/>
      <c r="T8" s="10">
        <v>1.0</v>
      </c>
      <c r="U8" s="10">
        <f t="shared" si="5"/>
        <v>1.5</v>
      </c>
    </row>
    <row r="9">
      <c r="A9" s="26" t="s">
        <v>34</v>
      </c>
      <c r="B9" s="26" t="s">
        <v>84</v>
      </c>
      <c r="C9" s="10">
        <v>3.0</v>
      </c>
      <c r="D9" s="10">
        <v>2.0</v>
      </c>
      <c r="E9" s="10"/>
      <c r="F9" s="35"/>
      <c r="G9" s="35">
        <f t="shared" si="1"/>
        <v>0.6666666667</v>
      </c>
      <c r="H9" s="35"/>
      <c r="I9" s="35"/>
      <c r="J9" s="10">
        <v>2.0</v>
      </c>
      <c r="K9" s="35"/>
      <c r="L9" s="10">
        <v>1.0</v>
      </c>
      <c r="M9" s="10">
        <v>1.0</v>
      </c>
      <c r="N9" s="35">
        <f t="shared" si="2"/>
        <v>0</v>
      </c>
      <c r="O9" s="35">
        <f t="shared" si="3"/>
        <v>0</v>
      </c>
      <c r="P9" s="10">
        <f t="shared" si="4"/>
        <v>4</v>
      </c>
      <c r="Q9" s="10">
        <v>2.0</v>
      </c>
      <c r="R9" s="10"/>
      <c r="S9" s="10"/>
      <c r="T9" s="10">
        <v>2.0</v>
      </c>
      <c r="U9" s="10">
        <f t="shared" si="5"/>
        <v>1.5</v>
      </c>
    </row>
    <row r="10">
      <c r="M10" s="52"/>
      <c r="N10" s="52"/>
      <c r="O10" s="52"/>
      <c r="P10" s="52"/>
      <c r="Q10" s="52"/>
      <c r="U10" s="52"/>
    </row>
    <row r="11">
      <c r="M11" s="52"/>
      <c r="N11" s="52"/>
      <c r="O11" s="52"/>
      <c r="P11" s="52"/>
      <c r="Q11" s="52"/>
      <c r="U11" s="52"/>
    </row>
    <row r="12">
      <c r="M12" s="52"/>
      <c r="N12" s="52"/>
      <c r="O12" s="52"/>
      <c r="P12" s="52"/>
      <c r="Q12" s="52"/>
      <c r="U12" s="52"/>
    </row>
    <row r="13">
      <c r="M13" s="52"/>
      <c r="N13" s="52"/>
      <c r="O13" s="52"/>
      <c r="P13" s="52"/>
      <c r="Q13" s="52"/>
      <c r="U13" s="52"/>
    </row>
    <row r="14">
      <c r="M14" s="52"/>
      <c r="N14" s="52"/>
      <c r="O14" s="52"/>
      <c r="P14" s="52"/>
      <c r="Q14" s="52"/>
      <c r="U14" s="52"/>
    </row>
    <row r="15">
      <c r="M15" s="52"/>
      <c r="N15" s="52"/>
      <c r="O15" s="52"/>
      <c r="P15" s="52"/>
      <c r="Q15" s="52"/>
      <c r="U15" s="52"/>
    </row>
    <row r="16">
      <c r="M16" s="52"/>
      <c r="N16" s="52"/>
      <c r="O16" s="52"/>
      <c r="P16" s="52"/>
      <c r="Q16" s="52"/>
      <c r="U16" s="52"/>
    </row>
    <row r="17">
      <c r="M17" s="52"/>
      <c r="N17" s="52"/>
      <c r="O17" s="52"/>
      <c r="P17" s="52"/>
      <c r="Q17" s="52"/>
      <c r="U17" s="52"/>
    </row>
    <row r="18">
      <c r="M18" s="52"/>
      <c r="N18" s="52"/>
      <c r="O18" s="52"/>
      <c r="P18" s="52"/>
      <c r="Q18" s="52"/>
      <c r="U18" s="52"/>
    </row>
    <row r="19">
      <c r="M19" s="52"/>
      <c r="N19" s="52"/>
      <c r="O19" s="52"/>
      <c r="P19" s="52"/>
      <c r="Q19" s="52"/>
      <c r="U19" s="52"/>
    </row>
    <row r="20">
      <c r="M20" s="52"/>
      <c r="N20" s="52"/>
      <c r="O20" s="52"/>
      <c r="P20" s="52"/>
      <c r="Q20" s="52"/>
      <c r="U20" s="52"/>
    </row>
    <row r="21">
      <c r="M21" s="52"/>
      <c r="N21" s="52"/>
      <c r="O21" s="52"/>
      <c r="P21" s="52"/>
      <c r="Q21" s="52"/>
      <c r="U21" s="52"/>
    </row>
    <row r="22">
      <c r="M22" s="52"/>
      <c r="N22" s="52"/>
      <c r="O22" s="52"/>
      <c r="P22" s="52"/>
      <c r="Q22" s="52"/>
      <c r="U22" s="52"/>
    </row>
    <row r="23">
      <c r="M23" s="52"/>
      <c r="N23" s="52"/>
      <c r="O23" s="52"/>
      <c r="P23" s="52"/>
      <c r="Q23" s="52"/>
      <c r="U23" s="52"/>
    </row>
    <row r="24">
      <c r="M24" s="52"/>
      <c r="N24" s="52"/>
      <c r="O24" s="52"/>
      <c r="P24" s="52"/>
      <c r="Q24" s="52"/>
      <c r="U24" s="52"/>
    </row>
    <row r="25">
      <c r="M25" s="52"/>
      <c r="N25" s="52"/>
      <c r="O25" s="52"/>
      <c r="P25" s="52"/>
      <c r="Q25" s="52"/>
      <c r="U25" s="52"/>
    </row>
    <row r="26">
      <c r="M26" s="52"/>
      <c r="N26" s="52"/>
      <c r="O26" s="52"/>
      <c r="P26" s="52"/>
      <c r="Q26" s="52"/>
      <c r="U26" s="52"/>
    </row>
    <row r="27">
      <c r="M27" s="52"/>
      <c r="N27" s="52"/>
      <c r="O27" s="52"/>
      <c r="P27" s="52"/>
      <c r="Q27" s="52"/>
      <c r="U27" s="52"/>
    </row>
    <row r="28">
      <c r="M28" s="52"/>
      <c r="N28" s="52"/>
      <c r="O28" s="52"/>
      <c r="P28" s="52"/>
      <c r="Q28" s="52"/>
      <c r="U28" s="52"/>
    </row>
    <row r="29">
      <c r="M29" s="52"/>
      <c r="N29" s="52"/>
      <c r="O29" s="52"/>
      <c r="P29" s="52"/>
      <c r="Q29" s="52"/>
      <c r="U29" s="52"/>
    </row>
    <row r="30">
      <c r="M30" s="52"/>
      <c r="N30" s="52"/>
      <c r="O30" s="52"/>
      <c r="P30" s="52"/>
      <c r="Q30" s="52"/>
      <c r="U30" s="52"/>
    </row>
    <row r="31">
      <c r="M31" s="52"/>
      <c r="N31" s="52"/>
      <c r="O31" s="52"/>
      <c r="P31" s="52"/>
      <c r="Q31" s="52"/>
      <c r="U31" s="52"/>
    </row>
    <row r="32">
      <c r="M32" s="52"/>
      <c r="N32" s="52"/>
      <c r="O32" s="52"/>
      <c r="P32" s="52"/>
      <c r="Q32" s="52"/>
      <c r="U32" s="52"/>
    </row>
    <row r="33">
      <c r="M33" s="52"/>
      <c r="N33" s="52"/>
      <c r="O33" s="52"/>
      <c r="P33" s="52"/>
      <c r="Q33" s="52"/>
      <c r="U33" s="52"/>
    </row>
    <row r="34">
      <c r="M34" s="52"/>
      <c r="N34" s="52"/>
      <c r="O34" s="52"/>
      <c r="P34" s="52"/>
      <c r="Q34" s="52"/>
      <c r="U34" s="52"/>
    </row>
    <row r="35">
      <c r="M35" s="52"/>
      <c r="N35" s="52"/>
      <c r="O35" s="52"/>
      <c r="P35" s="52"/>
      <c r="Q35" s="52"/>
      <c r="U35" s="52"/>
    </row>
    <row r="36">
      <c r="M36" s="52"/>
      <c r="N36" s="52"/>
      <c r="O36" s="52"/>
      <c r="P36" s="52"/>
      <c r="Q36" s="52"/>
      <c r="U36" s="52"/>
    </row>
    <row r="37">
      <c r="M37" s="52"/>
      <c r="N37" s="52"/>
      <c r="O37" s="52"/>
      <c r="P37" s="52"/>
      <c r="Q37" s="52"/>
      <c r="U37" s="52"/>
    </row>
    <row r="38">
      <c r="M38" s="52"/>
      <c r="N38" s="52"/>
      <c r="O38" s="52"/>
      <c r="P38" s="52"/>
      <c r="Q38" s="52"/>
      <c r="U38" s="52"/>
    </row>
    <row r="39">
      <c r="M39" s="52"/>
      <c r="N39" s="52"/>
      <c r="O39" s="52"/>
      <c r="P39" s="52"/>
      <c r="Q39" s="52"/>
      <c r="U39" s="52"/>
    </row>
    <row r="40">
      <c r="M40" s="52"/>
      <c r="N40" s="52"/>
      <c r="O40" s="52"/>
      <c r="P40" s="52"/>
      <c r="Q40" s="52"/>
      <c r="U40" s="52"/>
    </row>
    <row r="41">
      <c r="M41" s="52"/>
      <c r="N41" s="52"/>
      <c r="O41" s="52"/>
      <c r="P41" s="52"/>
      <c r="Q41" s="52"/>
      <c r="U41" s="52"/>
    </row>
    <row r="42">
      <c r="M42" s="52"/>
      <c r="N42" s="52"/>
      <c r="O42" s="52"/>
      <c r="P42" s="52"/>
      <c r="Q42" s="52"/>
      <c r="U42" s="52"/>
    </row>
    <row r="43">
      <c r="M43" s="52"/>
      <c r="N43" s="52"/>
      <c r="O43" s="52"/>
      <c r="P43" s="52"/>
      <c r="Q43" s="52"/>
      <c r="U43" s="52"/>
    </row>
    <row r="44">
      <c r="M44" s="52"/>
      <c r="N44" s="52"/>
      <c r="O44" s="52"/>
      <c r="P44" s="52"/>
      <c r="Q44" s="52"/>
      <c r="U44" s="52"/>
    </row>
    <row r="45">
      <c r="M45" s="52"/>
      <c r="N45" s="52"/>
      <c r="O45" s="52"/>
      <c r="P45" s="52"/>
      <c r="Q45" s="52"/>
      <c r="U45" s="52"/>
    </row>
    <row r="46">
      <c r="M46" s="52"/>
      <c r="N46" s="52"/>
      <c r="O46" s="52"/>
      <c r="P46" s="52"/>
      <c r="Q46" s="52"/>
      <c r="U46" s="52"/>
    </row>
    <row r="47">
      <c r="M47" s="52"/>
      <c r="N47" s="52"/>
      <c r="O47" s="52"/>
      <c r="P47" s="52"/>
      <c r="Q47" s="52"/>
      <c r="U47" s="52"/>
    </row>
    <row r="48">
      <c r="M48" s="52"/>
      <c r="N48" s="52"/>
      <c r="O48" s="52"/>
      <c r="P48" s="52"/>
      <c r="Q48" s="52"/>
      <c r="U48" s="52"/>
    </row>
    <row r="49">
      <c r="M49" s="52"/>
      <c r="N49" s="52"/>
      <c r="O49" s="52"/>
      <c r="P49" s="52"/>
      <c r="Q49" s="52"/>
      <c r="U49" s="52"/>
    </row>
    <row r="50">
      <c r="M50" s="52"/>
      <c r="N50" s="52"/>
      <c r="O50" s="52"/>
      <c r="P50" s="52"/>
      <c r="Q50" s="52"/>
      <c r="U50" s="52"/>
    </row>
    <row r="51">
      <c r="M51" s="52"/>
      <c r="N51" s="52"/>
      <c r="O51" s="52"/>
      <c r="P51" s="52"/>
      <c r="Q51" s="52"/>
      <c r="U51" s="52"/>
    </row>
    <row r="52">
      <c r="M52" s="52"/>
      <c r="N52" s="52"/>
      <c r="O52" s="52"/>
      <c r="P52" s="52"/>
      <c r="Q52" s="52"/>
      <c r="U52" s="52"/>
    </row>
    <row r="53">
      <c r="M53" s="52"/>
      <c r="N53" s="52"/>
      <c r="O53" s="52"/>
      <c r="P53" s="52"/>
      <c r="Q53" s="52"/>
      <c r="U53" s="52"/>
    </row>
    <row r="54">
      <c r="M54" s="52"/>
      <c r="N54" s="52"/>
      <c r="O54" s="52"/>
      <c r="P54" s="52"/>
      <c r="Q54" s="52"/>
      <c r="U54" s="52"/>
    </row>
    <row r="55">
      <c r="M55" s="52"/>
      <c r="N55" s="52"/>
      <c r="O55" s="52"/>
      <c r="P55" s="52"/>
      <c r="Q55" s="52"/>
      <c r="U55" s="52"/>
    </row>
    <row r="56">
      <c r="M56" s="52"/>
      <c r="N56" s="52"/>
      <c r="O56" s="52"/>
      <c r="P56" s="52"/>
      <c r="Q56" s="52"/>
      <c r="U56" s="52"/>
    </row>
    <row r="57">
      <c r="M57" s="52"/>
      <c r="N57" s="52"/>
      <c r="O57" s="52"/>
      <c r="P57" s="52"/>
      <c r="Q57" s="52"/>
      <c r="U57" s="52"/>
    </row>
    <row r="58">
      <c r="M58" s="52"/>
      <c r="N58" s="52"/>
      <c r="O58" s="52"/>
      <c r="P58" s="52"/>
      <c r="Q58" s="52"/>
      <c r="U58" s="52"/>
    </row>
    <row r="59">
      <c r="M59" s="52"/>
      <c r="N59" s="52"/>
      <c r="O59" s="52"/>
      <c r="P59" s="52"/>
      <c r="Q59" s="52"/>
      <c r="U59" s="52"/>
    </row>
    <row r="60">
      <c r="M60" s="52"/>
      <c r="N60" s="52"/>
      <c r="O60" s="52"/>
      <c r="P60" s="52"/>
      <c r="Q60" s="52"/>
      <c r="U60" s="52"/>
    </row>
    <row r="61">
      <c r="M61" s="52"/>
      <c r="N61" s="52"/>
      <c r="O61" s="52"/>
      <c r="P61" s="52"/>
      <c r="Q61" s="52"/>
      <c r="U61" s="52"/>
    </row>
    <row r="62">
      <c r="M62" s="52"/>
      <c r="N62" s="52"/>
      <c r="O62" s="52"/>
      <c r="P62" s="52"/>
      <c r="Q62" s="52"/>
      <c r="U62" s="52"/>
    </row>
    <row r="63">
      <c r="M63" s="52"/>
      <c r="N63" s="52"/>
      <c r="O63" s="52"/>
      <c r="P63" s="52"/>
      <c r="Q63" s="52"/>
      <c r="U63" s="52"/>
    </row>
    <row r="64">
      <c r="M64" s="52"/>
      <c r="N64" s="52"/>
      <c r="O64" s="52"/>
      <c r="P64" s="52"/>
      <c r="Q64" s="52"/>
      <c r="U64" s="52"/>
    </row>
    <row r="65">
      <c r="M65" s="52"/>
      <c r="N65" s="52"/>
      <c r="O65" s="52"/>
      <c r="P65" s="52"/>
      <c r="Q65" s="52"/>
      <c r="U65" s="52"/>
    </row>
    <row r="66">
      <c r="M66" s="52"/>
      <c r="N66" s="52"/>
      <c r="O66" s="52"/>
      <c r="P66" s="52"/>
      <c r="Q66" s="52"/>
      <c r="U66" s="52"/>
    </row>
    <row r="67">
      <c r="M67" s="52"/>
      <c r="N67" s="52"/>
      <c r="O67" s="52"/>
      <c r="P67" s="52"/>
      <c r="Q67" s="52"/>
      <c r="U67" s="52"/>
    </row>
    <row r="68">
      <c r="M68" s="52"/>
      <c r="N68" s="52"/>
      <c r="O68" s="52"/>
      <c r="P68" s="52"/>
      <c r="Q68" s="52"/>
      <c r="U68" s="52"/>
    </row>
    <row r="69">
      <c r="M69" s="52"/>
      <c r="N69" s="52"/>
      <c r="O69" s="52"/>
      <c r="P69" s="52"/>
      <c r="Q69" s="52"/>
      <c r="U69" s="52"/>
    </row>
    <row r="70">
      <c r="M70" s="52"/>
      <c r="N70" s="52"/>
      <c r="O70" s="52"/>
      <c r="P70" s="52"/>
      <c r="Q70" s="52"/>
      <c r="U70" s="52"/>
    </row>
    <row r="71">
      <c r="M71" s="52"/>
      <c r="N71" s="52"/>
      <c r="O71" s="52"/>
      <c r="P71" s="52"/>
      <c r="Q71" s="52"/>
      <c r="U71" s="52"/>
    </row>
    <row r="72">
      <c r="M72" s="52"/>
      <c r="N72" s="52"/>
      <c r="O72" s="52"/>
      <c r="P72" s="52"/>
      <c r="Q72" s="52"/>
      <c r="U72" s="52"/>
    </row>
    <row r="73">
      <c r="M73" s="52"/>
      <c r="N73" s="52"/>
      <c r="O73" s="52"/>
      <c r="P73" s="52"/>
      <c r="Q73" s="52"/>
      <c r="U73" s="52"/>
    </row>
    <row r="74">
      <c r="M74" s="52"/>
      <c r="N74" s="52"/>
      <c r="O74" s="52"/>
      <c r="P74" s="52"/>
      <c r="Q74" s="52"/>
      <c r="U74" s="52"/>
    </row>
    <row r="75">
      <c r="M75" s="52"/>
      <c r="N75" s="52"/>
      <c r="O75" s="52"/>
      <c r="P75" s="52"/>
      <c r="Q75" s="52"/>
      <c r="U75" s="52"/>
    </row>
    <row r="76">
      <c r="M76" s="52"/>
      <c r="N76" s="52"/>
      <c r="O76" s="52"/>
      <c r="P76" s="52"/>
      <c r="Q76" s="52"/>
      <c r="U76" s="52"/>
    </row>
    <row r="77">
      <c r="M77" s="52"/>
      <c r="N77" s="52"/>
      <c r="O77" s="52"/>
      <c r="P77" s="52"/>
      <c r="Q77" s="52"/>
      <c r="U77" s="52"/>
    </row>
    <row r="78">
      <c r="M78" s="52"/>
      <c r="N78" s="52"/>
      <c r="O78" s="52"/>
      <c r="P78" s="52"/>
      <c r="Q78" s="52"/>
      <c r="U78" s="52"/>
    </row>
    <row r="79">
      <c r="M79" s="52"/>
      <c r="N79" s="52"/>
      <c r="O79" s="52"/>
      <c r="P79" s="52"/>
      <c r="Q79" s="52"/>
      <c r="U79" s="52"/>
    </row>
    <row r="80">
      <c r="M80" s="52"/>
      <c r="N80" s="52"/>
      <c r="O80" s="52"/>
      <c r="P80" s="52"/>
      <c r="Q80" s="52"/>
      <c r="U80" s="52"/>
    </row>
    <row r="81">
      <c r="M81" s="52"/>
      <c r="N81" s="52"/>
      <c r="O81" s="52"/>
      <c r="P81" s="52"/>
      <c r="Q81" s="52"/>
      <c r="U81" s="52"/>
    </row>
    <row r="82">
      <c r="M82" s="52"/>
      <c r="N82" s="52"/>
      <c r="O82" s="52"/>
      <c r="P82" s="52"/>
      <c r="Q82" s="52"/>
      <c r="U82" s="52"/>
    </row>
    <row r="83">
      <c r="M83" s="52"/>
      <c r="N83" s="52"/>
      <c r="O83" s="52"/>
      <c r="P83" s="52"/>
      <c r="Q83" s="52"/>
      <c r="U83" s="52"/>
    </row>
    <row r="84">
      <c r="M84" s="52"/>
      <c r="N84" s="52"/>
      <c r="O84" s="52"/>
      <c r="P84" s="52"/>
      <c r="Q84" s="52"/>
      <c r="U84" s="52"/>
    </row>
    <row r="85">
      <c r="M85" s="52"/>
      <c r="N85" s="52"/>
      <c r="O85" s="52"/>
      <c r="P85" s="52"/>
      <c r="Q85" s="52"/>
      <c r="U85" s="52"/>
    </row>
    <row r="86">
      <c r="M86" s="52"/>
      <c r="N86" s="52"/>
      <c r="O86" s="52"/>
      <c r="P86" s="52"/>
      <c r="Q86" s="52"/>
      <c r="U86" s="52"/>
    </row>
    <row r="87">
      <c r="M87" s="52"/>
      <c r="N87" s="52"/>
      <c r="O87" s="52"/>
      <c r="P87" s="52"/>
      <c r="Q87" s="52"/>
      <c r="U87" s="52"/>
    </row>
    <row r="88">
      <c r="M88" s="52"/>
      <c r="N88" s="52"/>
      <c r="O88" s="52"/>
      <c r="P88" s="52"/>
      <c r="Q88" s="52"/>
      <c r="U88" s="52"/>
    </row>
    <row r="89">
      <c r="M89" s="52"/>
      <c r="N89" s="52"/>
      <c r="O89" s="52"/>
      <c r="P89" s="52"/>
      <c r="Q89" s="52"/>
      <c r="U89" s="52"/>
    </row>
    <row r="90">
      <c r="M90" s="52"/>
      <c r="N90" s="52"/>
      <c r="O90" s="52"/>
      <c r="P90" s="52"/>
      <c r="Q90" s="52"/>
      <c r="U90" s="52"/>
    </row>
    <row r="91">
      <c r="M91" s="52"/>
      <c r="N91" s="52"/>
      <c r="O91" s="52"/>
      <c r="P91" s="52"/>
      <c r="Q91" s="52"/>
      <c r="U91" s="52"/>
    </row>
    <row r="92">
      <c r="M92" s="52"/>
      <c r="N92" s="52"/>
      <c r="O92" s="52"/>
      <c r="P92" s="52"/>
      <c r="Q92" s="52"/>
      <c r="U92" s="52"/>
    </row>
    <row r="93">
      <c r="M93" s="52"/>
      <c r="N93" s="52"/>
      <c r="O93" s="52"/>
      <c r="P93" s="52"/>
      <c r="Q93" s="52"/>
      <c r="U93" s="52"/>
    </row>
    <row r="94">
      <c r="M94" s="52"/>
      <c r="N94" s="52"/>
      <c r="O94" s="52"/>
      <c r="P94" s="52"/>
      <c r="Q94" s="52"/>
      <c r="U94" s="52"/>
    </row>
    <row r="95">
      <c r="M95" s="52"/>
      <c r="N95" s="52"/>
      <c r="O95" s="52"/>
      <c r="P95" s="52"/>
      <c r="Q95" s="52"/>
      <c r="U95" s="52"/>
    </row>
    <row r="96">
      <c r="M96" s="52"/>
      <c r="N96" s="52"/>
      <c r="O96" s="52"/>
      <c r="P96" s="52"/>
      <c r="Q96" s="52"/>
      <c r="U96" s="52"/>
    </row>
    <row r="97">
      <c r="M97" s="52"/>
      <c r="N97" s="52"/>
      <c r="O97" s="52"/>
      <c r="P97" s="52"/>
      <c r="Q97" s="52"/>
      <c r="U97" s="52"/>
    </row>
    <row r="98">
      <c r="M98" s="52"/>
      <c r="N98" s="52"/>
      <c r="O98" s="52"/>
      <c r="P98" s="52"/>
      <c r="Q98" s="52"/>
      <c r="U98" s="52"/>
    </row>
    <row r="99">
      <c r="M99" s="52"/>
      <c r="N99" s="52"/>
      <c r="O99" s="52"/>
      <c r="P99" s="52"/>
      <c r="Q99" s="52"/>
      <c r="U99" s="52"/>
    </row>
    <row r="100">
      <c r="M100" s="52"/>
      <c r="N100" s="52"/>
      <c r="O100" s="52"/>
      <c r="P100" s="52"/>
      <c r="Q100" s="52"/>
      <c r="U100" s="52"/>
    </row>
    <row r="101">
      <c r="M101" s="52"/>
      <c r="N101" s="52"/>
      <c r="O101" s="52"/>
      <c r="P101" s="52"/>
      <c r="Q101" s="52"/>
      <c r="U101" s="52"/>
    </row>
    <row r="102">
      <c r="M102" s="52"/>
      <c r="N102" s="52"/>
      <c r="O102" s="52"/>
      <c r="P102" s="52"/>
      <c r="Q102" s="52"/>
      <c r="U102" s="52"/>
    </row>
    <row r="103">
      <c r="M103" s="52"/>
      <c r="N103" s="52"/>
      <c r="O103" s="52"/>
      <c r="P103" s="52"/>
      <c r="Q103" s="52"/>
      <c r="U103" s="52"/>
    </row>
    <row r="104">
      <c r="M104" s="52"/>
      <c r="N104" s="52"/>
      <c r="O104" s="52"/>
      <c r="P104" s="52"/>
      <c r="Q104" s="52"/>
      <c r="U104" s="52"/>
    </row>
    <row r="105">
      <c r="M105" s="52"/>
      <c r="N105" s="52"/>
      <c r="O105" s="52"/>
      <c r="P105" s="52"/>
      <c r="Q105" s="52"/>
      <c r="U105" s="52"/>
    </row>
    <row r="106">
      <c r="M106" s="52"/>
      <c r="N106" s="52"/>
      <c r="O106" s="52"/>
      <c r="P106" s="52"/>
      <c r="Q106" s="52"/>
      <c r="U106" s="52"/>
    </row>
    <row r="107">
      <c r="M107" s="52"/>
      <c r="N107" s="52"/>
      <c r="O107" s="52"/>
      <c r="P107" s="52"/>
      <c r="Q107" s="52"/>
      <c r="U107" s="52"/>
    </row>
    <row r="108">
      <c r="M108" s="52"/>
      <c r="N108" s="52"/>
      <c r="O108" s="52"/>
      <c r="P108" s="52"/>
      <c r="Q108" s="52"/>
      <c r="U108" s="52"/>
    </row>
    <row r="109">
      <c r="M109" s="52"/>
      <c r="N109" s="52"/>
      <c r="O109" s="52"/>
      <c r="P109" s="52"/>
      <c r="Q109" s="52"/>
      <c r="U109" s="52"/>
    </row>
    <row r="110">
      <c r="M110" s="52"/>
      <c r="N110" s="52"/>
      <c r="O110" s="52"/>
      <c r="P110" s="52"/>
      <c r="Q110" s="52"/>
      <c r="U110" s="52"/>
    </row>
    <row r="111">
      <c r="M111" s="52"/>
      <c r="N111" s="52"/>
      <c r="O111" s="52"/>
      <c r="P111" s="52"/>
      <c r="Q111" s="52"/>
      <c r="U111" s="52"/>
    </row>
    <row r="112">
      <c r="M112" s="52"/>
      <c r="N112" s="52"/>
      <c r="O112" s="52"/>
      <c r="P112" s="52"/>
      <c r="Q112" s="52"/>
      <c r="U112" s="52"/>
    </row>
    <row r="113">
      <c r="M113" s="52"/>
      <c r="N113" s="52"/>
      <c r="O113" s="52"/>
      <c r="P113" s="52"/>
      <c r="Q113" s="52"/>
      <c r="U113" s="52"/>
    </row>
    <row r="114">
      <c r="M114" s="52"/>
      <c r="N114" s="52"/>
      <c r="O114" s="52"/>
      <c r="P114" s="52"/>
      <c r="Q114" s="52"/>
      <c r="U114" s="52"/>
    </row>
    <row r="115">
      <c r="M115" s="52"/>
      <c r="N115" s="52"/>
      <c r="O115" s="52"/>
      <c r="P115" s="52"/>
      <c r="Q115" s="52"/>
      <c r="U115" s="52"/>
    </row>
    <row r="116">
      <c r="M116" s="52"/>
      <c r="N116" s="52"/>
      <c r="O116" s="52"/>
      <c r="P116" s="52"/>
      <c r="Q116" s="52"/>
      <c r="U116" s="52"/>
    </row>
    <row r="117">
      <c r="M117" s="52"/>
      <c r="N117" s="52"/>
      <c r="O117" s="52"/>
      <c r="P117" s="52"/>
      <c r="Q117" s="52"/>
      <c r="U117" s="52"/>
    </row>
    <row r="118">
      <c r="M118" s="52"/>
      <c r="N118" s="52"/>
      <c r="O118" s="52"/>
      <c r="P118" s="52"/>
      <c r="Q118" s="52"/>
      <c r="U118" s="52"/>
    </row>
    <row r="119">
      <c r="M119" s="52"/>
      <c r="N119" s="52"/>
      <c r="O119" s="52"/>
      <c r="P119" s="52"/>
      <c r="Q119" s="52"/>
      <c r="U119" s="52"/>
    </row>
    <row r="120">
      <c r="M120" s="52"/>
      <c r="N120" s="52"/>
      <c r="O120" s="52"/>
      <c r="P120" s="52"/>
      <c r="Q120" s="52"/>
      <c r="U120" s="52"/>
    </row>
    <row r="121">
      <c r="M121" s="52"/>
      <c r="N121" s="52"/>
      <c r="O121" s="52"/>
      <c r="P121" s="52"/>
      <c r="Q121" s="52"/>
      <c r="U121" s="52"/>
    </row>
    <row r="122">
      <c r="M122" s="52"/>
      <c r="N122" s="52"/>
      <c r="O122" s="52"/>
      <c r="P122" s="52"/>
      <c r="Q122" s="52"/>
      <c r="U122" s="52"/>
    </row>
    <row r="123">
      <c r="M123" s="52"/>
      <c r="N123" s="52"/>
      <c r="O123" s="52"/>
      <c r="P123" s="52"/>
      <c r="Q123" s="52"/>
      <c r="U123" s="52"/>
    </row>
    <row r="124">
      <c r="M124" s="52"/>
      <c r="N124" s="52"/>
      <c r="O124" s="52"/>
      <c r="P124" s="52"/>
      <c r="Q124" s="52"/>
      <c r="U124" s="52"/>
    </row>
    <row r="125">
      <c r="M125" s="52"/>
      <c r="N125" s="52"/>
      <c r="O125" s="52"/>
      <c r="P125" s="52"/>
      <c r="Q125" s="52"/>
      <c r="U125" s="52"/>
    </row>
    <row r="126">
      <c r="M126" s="52"/>
      <c r="N126" s="52"/>
      <c r="O126" s="52"/>
      <c r="P126" s="52"/>
      <c r="Q126" s="52"/>
      <c r="U126" s="52"/>
    </row>
    <row r="127">
      <c r="M127" s="52"/>
      <c r="N127" s="52"/>
      <c r="O127" s="52"/>
      <c r="P127" s="52"/>
      <c r="Q127" s="52"/>
      <c r="U127" s="52"/>
    </row>
    <row r="128">
      <c r="M128" s="52"/>
      <c r="N128" s="52"/>
      <c r="O128" s="52"/>
      <c r="P128" s="52"/>
      <c r="Q128" s="52"/>
      <c r="U128" s="52"/>
    </row>
    <row r="129">
      <c r="M129" s="52"/>
      <c r="N129" s="52"/>
      <c r="O129" s="52"/>
      <c r="P129" s="52"/>
      <c r="Q129" s="52"/>
      <c r="U129" s="52"/>
    </row>
    <row r="130">
      <c r="M130" s="52"/>
      <c r="N130" s="52"/>
      <c r="O130" s="52"/>
      <c r="P130" s="52"/>
      <c r="Q130" s="52"/>
      <c r="U130" s="52"/>
    </row>
    <row r="131">
      <c r="M131" s="52"/>
      <c r="N131" s="52"/>
      <c r="O131" s="52"/>
      <c r="P131" s="52"/>
      <c r="Q131" s="52"/>
      <c r="U131" s="52"/>
    </row>
    <row r="132">
      <c r="M132" s="52"/>
      <c r="N132" s="52"/>
      <c r="O132" s="52"/>
      <c r="P132" s="52"/>
      <c r="Q132" s="52"/>
      <c r="U132" s="52"/>
    </row>
    <row r="133">
      <c r="M133" s="52"/>
      <c r="N133" s="52"/>
      <c r="O133" s="52"/>
      <c r="P133" s="52"/>
      <c r="Q133" s="52"/>
      <c r="U133" s="52"/>
    </row>
    <row r="134">
      <c r="M134" s="52"/>
      <c r="N134" s="52"/>
      <c r="O134" s="52"/>
      <c r="P134" s="52"/>
      <c r="Q134" s="52"/>
      <c r="U134" s="52"/>
    </row>
    <row r="135">
      <c r="M135" s="52"/>
      <c r="N135" s="52"/>
      <c r="O135" s="52"/>
      <c r="P135" s="52"/>
      <c r="Q135" s="52"/>
      <c r="U135" s="52"/>
    </row>
    <row r="136">
      <c r="M136" s="52"/>
      <c r="N136" s="52"/>
      <c r="O136" s="52"/>
      <c r="P136" s="52"/>
      <c r="Q136" s="52"/>
      <c r="U136" s="52"/>
    </row>
    <row r="137">
      <c r="M137" s="52"/>
      <c r="N137" s="52"/>
      <c r="O137" s="52"/>
      <c r="P137" s="52"/>
      <c r="Q137" s="52"/>
      <c r="U137" s="52"/>
    </row>
    <row r="138">
      <c r="M138" s="52"/>
      <c r="N138" s="52"/>
      <c r="O138" s="52"/>
      <c r="P138" s="52"/>
      <c r="Q138" s="52"/>
      <c r="U138" s="52"/>
    </row>
    <row r="139">
      <c r="M139" s="52"/>
      <c r="N139" s="52"/>
      <c r="O139" s="52"/>
      <c r="P139" s="52"/>
      <c r="Q139" s="52"/>
      <c r="U139" s="52"/>
    </row>
    <row r="140">
      <c r="M140" s="52"/>
      <c r="N140" s="52"/>
      <c r="O140" s="52"/>
      <c r="P140" s="52"/>
      <c r="Q140" s="52"/>
      <c r="U140" s="52"/>
    </row>
    <row r="141">
      <c r="M141" s="52"/>
      <c r="N141" s="52"/>
      <c r="O141" s="52"/>
      <c r="P141" s="52"/>
      <c r="Q141" s="52"/>
      <c r="U141" s="52"/>
    </row>
    <row r="142">
      <c r="M142" s="52"/>
      <c r="N142" s="52"/>
      <c r="O142" s="52"/>
      <c r="P142" s="52"/>
      <c r="Q142" s="52"/>
      <c r="U142" s="52"/>
    </row>
    <row r="143">
      <c r="M143" s="52"/>
      <c r="N143" s="52"/>
      <c r="O143" s="52"/>
      <c r="P143" s="52"/>
      <c r="Q143" s="52"/>
      <c r="U143" s="52"/>
    </row>
    <row r="144">
      <c r="M144" s="52"/>
      <c r="N144" s="52"/>
      <c r="O144" s="52"/>
      <c r="P144" s="52"/>
      <c r="Q144" s="52"/>
      <c r="U144" s="52"/>
    </row>
    <row r="145">
      <c r="M145" s="52"/>
      <c r="N145" s="52"/>
      <c r="O145" s="52"/>
      <c r="P145" s="52"/>
      <c r="Q145" s="52"/>
      <c r="U145" s="52"/>
    </row>
    <row r="146">
      <c r="M146" s="52"/>
      <c r="N146" s="52"/>
      <c r="O146" s="52"/>
      <c r="P146" s="52"/>
      <c r="Q146" s="52"/>
      <c r="U146" s="52"/>
    </row>
    <row r="147">
      <c r="M147" s="52"/>
      <c r="N147" s="52"/>
      <c r="O147" s="52"/>
      <c r="P147" s="52"/>
      <c r="Q147" s="52"/>
      <c r="U147" s="52"/>
    </row>
    <row r="148">
      <c r="M148" s="52"/>
      <c r="N148" s="52"/>
      <c r="O148" s="52"/>
      <c r="P148" s="52"/>
      <c r="Q148" s="52"/>
      <c r="U148" s="52"/>
    </row>
    <row r="149">
      <c r="M149" s="52"/>
      <c r="N149" s="52"/>
      <c r="O149" s="52"/>
      <c r="P149" s="52"/>
      <c r="Q149" s="52"/>
      <c r="U149" s="52"/>
    </row>
    <row r="150">
      <c r="M150" s="52"/>
      <c r="N150" s="52"/>
      <c r="O150" s="52"/>
      <c r="P150" s="52"/>
      <c r="Q150" s="52"/>
      <c r="U150" s="52"/>
    </row>
    <row r="151">
      <c r="M151" s="52"/>
      <c r="N151" s="52"/>
      <c r="O151" s="52"/>
      <c r="P151" s="52"/>
      <c r="Q151" s="52"/>
      <c r="U151" s="52"/>
    </row>
    <row r="152">
      <c r="M152" s="52"/>
      <c r="N152" s="52"/>
      <c r="O152" s="52"/>
      <c r="P152" s="52"/>
      <c r="Q152" s="52"/>
      <c r="U152" s="52"/>
    </row>
    <row r="153">
      <c r="M153" s="52"/>
      <c r="N153" s="52"/>
      <c r="O153" s="52"/>
      <c r="P153" s="52"/>
      <c r="Q153" s="52"/>
      <c r="U153" s="52"/>
    </row>
    <row r="154">
      <c r="M154" s="52"/>
      <c r="N154" s="52"/>
      <c r="O154" s="52"/>
      <c r="P154" s="52"/>
      <c r="Q154" s="52"/>
      <c r="U154" s="52"/>
    </row>
    <row r="155">
      <c r="M155" s="52"/>
      <c r="N155" s="52"/>
      <c r="O155" s="52"/>
      <c r="P155" s="52"/>
      <c r="Q155" s="52"/>
      <c r="U155" s="52"/>
    </row>
    <row r="156">
      <c r="M156" s="52"/>
      <c r="N156" s="52"/>
      <c r="O156" s="52"/>
      <c r="P156" s="52"/>
      <c r="Q156" s="52"/>
      <c r="U156" s="52"/>
    </row>
    <row r="157">
      <c r="M157" s="52"/>
      <c r="N157" s="52"/>
      <c r="O157" s="52"/>
      <c r="P157" s="52"/>
      <c r="Q157" s="52"/>
      <c r="U157" s="52"/>
    </row>
    <row r="158">
      <c r="M158" s="52"/>
      <c r="N158" s="52"/>
      <c r="O158" s="52"/>
      <c r="P158" s="52"/>
      <c r="Q158" s="52"/>
      <c r="U158" s="52"/>
    </row>
    <row r="159">
      <c r="M159" s="52"/>
      <c r="N159" s="52"/>
      <c r="O159" s="52"/>
      <c r="P159" s="52"/>
      <c r="Q159" s="52"/>
      <c r="U159" s="52"/>
    </row>
    <row r="160">
      <c r="M160" s="52"/>
      <c r="N160" s="52"/>
      <c r="O160" s="52"/>
      <c r="P160" s="52"/>
      <c r="Q160" s="52"/>
      <c r="U160" s="52"/>
    </row>
    <row r="161">
      <c r="M161" s="52"/>
      <c r="N161" s="52"/>
      <c r="O161" s="52"/>
      <c r="P161" s="52"/>
      <c r="Q161" s="52"/>
      <c r="U161" s="52"/>
    </row>
    <row r="162">
      <c r="M162" s="52"/>
      <c r="N162" s="52"/>
      <c r="O162" s="52"/>
      <c r="P162" s="52"/>
      <c r="Q162" s="52"/>
      <c r="U162" s="52"/>
    </row>
    <row r="163">
      <c r="M163" s="52"/>
      <c r="N163" s="52"/>
      <c r="O163" s="52"/>
      <c r="P163" s="52"/>
      <c r="Q163" s="52"/>
      <c r="U163" s="52"/>
    </row>
    <row r="164">
      <c r="M164" s="52"/>
      <c r="N164" s="52"/>
      <c r="O164" s="52"/>
      <c r="P164" s="52"/>
      <c r="Q164" s="52"/>
      <c r="U164" s="52"/>
    </row>
    <row r="165">
      <c r="M165" s="52"/>
      <c r="N165" s="52"/>
      <c r="O165" s="52"/>
      <c r="P165" s="52"/>
      <c r="Q165" s="52"/>
      <c r="U165" s="52"/>
    </row>
    <row r="166">
      <c r="M166" s="52"/>
      <c r="N166" s="52"/>
      <c r="O166" s="52"/>
      <c r="P166" s="52"/>
      <c r="Q166" s="52"/>
      <c r="U166" s="52"/>
    </row>
    <row r="167">
      <c r="M167" s="52"/>
      <c r="N167" s="52"/>
      <c r="O167" s="52"/>
      <c r="P167" s="52"/>
      <c r="Q167" s="52"/>
      <c r="U167" s="52"/>
    </row>
    <row r="168">
      <c r="M168" s="52"/>
      <c r="N168" s="52"/>
      <c r="O168" s="52"/>
      <c r="P168" s="52"/>
      <c r="Q168" s="52"/>
      <c r="U168" s="52"/>
    </row>
    <row r="169">
      <c r="M169" s="52"/>
      <c r="N169" s="52"/>
      <c r="O169" s="52"/>
      <c r="P169" s="52"/>
      <c r="Q169" s="52"/>
      <c r="U169" s="52"/>
    </row>
    <row r="170">
      <c r="M170" s="52"/>
      <c r="N170" s="52"/>
      <c r="O170" s="52"/>
      <c r="P170" s="52"/>
      <c r="Q170" s="52"/>
      <c r="U170" s="52"/>
    </row>
    <row r="171">
      <c r="M171" s="52"/>
      <c r="N171" s="52"/>
      <c r="O171" s="52"/>
      <c r="P171" s="52"/>
      <c r="Q171" s="52"/>
      <c r="U171" s="52"/>
    </row>
    <row r="172">
      <c r="M172" s="52"/>
      <c r="N172" s="52"/>
      <c r="O172" s="52"/>
      <c r="P172" s="52"/>
      <c r="Q172" s="52"/>
      <c r="U172" s="52"/>
    </row>
    <row r="173">
      <c r="M173" s="52"/>
      <c r="N173" s="52"/>
      <c r="O173" s="52"/>
      <c r="P173" s="52"/>
      <c r="Q173" s="52"/>
      <c r="U173" s="52"/>
    </row>
    <row r="174">
      <c r="M174" s="52"/>
      <c r="N174" s="52"/>
      <c r="O174" s="52"/>
      <c r="P174" s="52"/>
      <c r="Q174" s="52"/>
      <c r="U174" s="52"/>
    </row>
    <row r="175">
      <c r="M175" s="52"/>
      <c r="N175" s="52"/>
      <c r="O175" s="52"/>
      <c r="P175" s="52"/>
      <c r="Q175" s="52"/>
      <c r="U175" s="52"/>
    </row>
    <row r="176">
      <c r="M176" s="52"/>
      <c r="N176" s="52"/>
      <c r="O176" s="52"/>
      <c r="P176" s="52"/>
      <c r="Q176" s="52"/>
      <c r="U176" s="52"/>
    </row>
    <row r="177">
      <c r="M177" s="52"/>
      <c r="N177" s="52"/>
      <c r="O177" s="52"/>
      <c r="P177" s="52"/>
      <c r="Q177" s="52"/>
      <c r="U177" s="52"/>
    </row>
    <row r="178">
      <c r="M178" s="52"/>
      <c r="N178" s="52"/>
      <c r="O178" s="52"/>
      <c r="P178" s="52"/>
      <c r="Q178" s="52"/>
      <c r="U178" s="52"/>
    </row>
    <row r="179">
      <c r="M179" s="52"/>
      <c r="N179" s="52"/>
      <c r="O179" s="52"/>
      <c r="P179" s="52"/>
      <c r="Q179" s="52"/>
      <c r="U179" s="52"/>
    </row>
    <row r="180">
      <c r="M180" s="52"/>
      <c r="N180" s="52"/>
      <c r="O180" s="52"/>
      <c r="P180" s="52"/>
      <c r="Q180" s="52"/>
      <c r="U180" s="52"/>
    </row>
    <row r="181">
      <c r="M181" s="52"/>
      <c r="N181" s="52"/>
      <c r="O181" s="52"/>
      <c r="P181" s="52"/>
      <c r="Q181" s="52"/>
      <c r="U181" s="52"/>
    </row>
    <row r="182">
      <c r="M182" s="52"/>
      <c r="N182" s="52"/>
      <c r="O182" s="52"/>
      <c r="P182" s="52"/>
      <c r="Q182" s="52"/>
      <c r="U182" s="52"/>
    </row>
    <row r="183">
      <c r="M183" s="52"/>
      <c r="N183" s="52"/>
      <c r="O183" s="52"/>
      <c r="P183" s="52"/>
      <c r="Q183" s="52"/>
      <c r="U183" s="52"/>
    </row>
    <row r="184">
      <c r="M184" s="52"/>
      <c r="N184" s="52"/>
      <c r="O184" s="52"/>
      <c r="P184" s="52"/>
      <c r="Q184" s="52"/>
      <c r="U184" s="52"/>
    </row>
    <row r="185">
      <c r="M185" s="52"/>
      <c r="N185" s="52"/>
      <c r="O185" s="52"/>
      <c r="P185" s="52"/>
      <c r="Q185" s="52"/>
      <c r="U185" s="52"/>
    </row>
    <row r="186">
      <c r="M186" s="52"/>
      <c r="N186" s="52"/>
      <c r="O186" s="52"/>
      <c r="P186" s="52"/>
      <c r="Q186" s="52"/>
      <c r="U186" s="52"/>
    </row>
    <row r="187">
      <c r="M187" s="52"/>
      <c r="N187" s="52"/>
      <c r="O187" s="52"/>
      <c r="P187" s="52"/>
      <c r="Q187" s="52"/>
      <c r="U187" s="52"/>
    </row>
    <row r="188">
      <c r="M188" s="52"/>
      <c r="N188" s="52"/>
      <c r="O188" s="52"/>
      <c r="P188" s="52"/>
      <c r="Q188" s="52"/>
      <c r="U188" s="52"/>
    </row>
    <row r="189">
      <c r="M189" s="52"/>
      <c r="N189" s="52"/>
      <c r="O189" s="52"/>
      <c r="P189" s="52"/>
      <c r="Q189" s="52"/>
      <c r="U189" s="52"/>
    </row>
    <row r="190">
      <c r="M190" s="52"/>
      <c r="N190" s="52"/>
      <c r="O190" s="52"/>
      <c r="P190" s="52"/>
      <c r="Q190" s="52"/>
      <c r="U190" s="52"/>
    </row>
    <row r="191">
      <c r="M191" s="52"/>
      <c r="N191" s="52"/>
      <c r="O191" s="52"/>
      <c r="P191" s="52"/>
      <c r="Q191" s="52"/>
      <c r="U191" s="52"/>
    </row>
    <row r="192">
      <c r="M192" s="52"/>
      <c r="N192" s="52"/>
      <c r="O192" s="52"/>
      <c r="P192" s="52"/>
      <c r="Q192" s="52"/>
      <c r="U192" s="52"/>
    </row>
    <row r="193">
      <c r="M193" s="52"/>
      <c r="N193" s="52"/>
      <c r="O193" s="52"/>
      <c r="P193" s="52"/>
      <c r="Q193" s="52"/>
      <c r="U193" s="52"/>
    </row>
    <row r="194">
      <c r="M194" s="52"/>
      <c r="N194" s="52"/>
      <c r="O194" s="52"/>
      <c r="P194" s="52"/>
      <c r="Q194" s="52"/>
      <c r="U194" s="52"/>
    </row>
    <row r="195">
      <c r="M195" s="52"/>
      <c r="N195" s="52"/>
      <c r="O195" s="52"/>
      <c r="P195" s="52"/>
      <c r="Q195" s="52"/>
      <c r="U195" s="52"/>
    </row>
    <row r="196">
      <c r="M196" s="52"/>
      <c r="N196" s="52"/>
      <c r="O196" s="52"/>
      <c r="P196" s="52"/>
      <c r="Q196" s="52"/>
      <c r="U196" s="52"/>
    </row>
    <row r="197">
      <c r="M197" s="52"/>
      <c r="N197" s="52"/>
      <c r="O197" s="52"/>
      <c r="P197" s="52"/>
      <c r="Q197" s="52"/>
      <c r="U197" s="52"/>
    </row>
    <row r="198">
      <c r="M198" s="52"/>
      <c r="N198" s="52"/>
      <c r="O198" s="52"/>
      <c r="P198" s="52"/>
      <c r="Q198" s="52"/>
      <c r="U198" s="52"/>
    </row>
    <row r="199">
      <c r="M199" s="52"/>
      <c r="N199" s="52"/>
      <c r="O199" s="52"/>
      <c r="P199" s="52"/>
      <c r="Q199" s="52"/>
      <c r="U199" s="52"/>
    </row>
    <row r="200">
      <c r="M200" s="52"/>
      <c r="N200" s="52"/>
      <c r="O200" s="52"/>
      <c r="P200" s="52"/>
      <c r="Q200" s="52"/>
      <c r="U200" s="52"/>
    </row>
    <row r="201">
      <c r="M201" s="52"/>
      <c r="N201" s="52"/>
      <c r="O201" s="52"/>
      <c r="P201" s="52"/>
      <c r="Q201" s="52"/>
      <c r="U201" s="52"/>
    </row>
    <row r="202">
      <c r="M202" s="52"/>
      <c r="N202" s="52"/>
      <c r="O202" s="52"/>
      <c r="P202" s="52"/>
      <c r="Q202" s="52"/>
      <c r="U202" s="52"/>
    </row>
    <row r="203">
      <c r="M203" s="52"/>
      <c r="N203" s="52"/>
      <c r="O203" s="52"/>
      <c r="P203" s="52"/>
      <c r="Q203" s="52"/>
      <c r="U203" s="52"/>
    </row>
    <row r="204">
      <c r="M204" s="52"/>
      <c r="N204" s="52"/>
      <c r="O204" s="52"/>
      <c r="P204" s="52"/>
      <c r="Q204" s="52"/>
      <c r="U204" s="52"/>
    </row>
    <row r="205">
      <c r="M205" s="52"/>
      <c r="N205" s="52"/>
      <c r="O205" s="52"/>
      <c r="P205" s="52"/>
      <c r="Q205" s="52"/>
      <c r="U205" s="52"/>
    </row>
    <row r="206">
      <c r="M206" s="52"/>
      <c r="N206" s="52"/>
      <c r="O206" s="52"/>
      <c r="P206" s="52"/>
      <c r="Q206" s="52"/>
      <c r="U206" s="52"/>
    </row>
    <row r="207">
      <c r="M207" s="52"/>
      <c r="N207" s="52"/>
      <c r="O207" s="52"/>
      <c r="P207" s="52"/>
      <c r="Q207" s="52"/>
      <c r="U207" s="52"/>
    </row>
    <row r="208">
      <c r="M208" s="52"/>
      <c r="N208" s="52"/>
      <c r="O208" s="52"/>
      <c r="P208" s="52"/>
      <c r="Q208" s="52"/>
      <c r="U208" s="52"/>
    </row>
    <row r="209">
      <c r="M209" s="52"/>
      <c r="N209" s="52"/>
      <c r="O209" s="52"/>
      <c r="P209" s="52"/>
      <c r="Q209" s="52"/>
      <c r="U209" s="52"/>
    </row>
    <row r="210">
      <c r="M210" s="52"/>
      <c r="N210" s="52"/>
      <c r="O210" s="52"/>
      <c r="P210" s="52"/>
      <c r="Q210" s="52"/>
      <c r="U210" s="52"/>
    </row>
    <row r="211">
      <c r="M211" s="52"/>
      <c r="N211" s="52"/>
      <c r="O211" s="52"/>
      <c r="P211" s="52"/>
      <c r="Q211" s="52"/>
      <c r="U211" s="52"/>
    </row>
    <row r="212">
      <c r="M212" s="52"/>
      <c r="N212" s="52"/>
      <c r="O212" s="52"/>
      <c r="P212" s="52"/>
      <c r="Q212" s="52"/>
      <c r="U212" s="52"/>
    </row>
    <row r="213">
      <c r="M213" s="52"/>
      <c r="N213" s="52"/>
      <c r="O213" s="52"/>
      <c r="P213" s="52"/>
      <c r="Q213" s="52"/>
      <c r="U213" s="52"/>
    </row>
    <row r="214">
      <c r="M214" s="52"/>
      <c r="N214" s="52"/>
      <c r="O214" s="52"/>
      <c r="P214" s="52"/>
      <c r="Q214" s="52"/>
      <c r="U214" s="52"/>
    </row>
    <row r="215">
      <c r="M215" s="52"/>
      <c r="N215" s="52"/>
      <c r="O215" s="52"/>
      <c r="P215" s="52"/>
      <c r="Q215" s="52"/>
      <c r="U215" s="52"/>
    </row>
    <row r="216">
      <c r="M216" s="52"/>
      <c r="N216" s="52"/>
      <c r="O216" s="52"/>
      <c r="P216" s="52"/>
      <c r="Q216" s="52"/>
      <c r="U216" s="52"/>
    </row>
    <row r="217">
      <c r="M217" s="52"/>
      <c r="N217" s="52"/>
      <c r="O217" s="52"/>
      <c r="P217" s="52"/>
      <c r="Q217" s="52"/>
      <c r="U217" s="52"/>
    </row>
    <row r="218">
      <c r="M218" s="52"/>
      <c r="N218" s="52"/>
      <c r="O218" s="52"/>
      <c r="P218" s="52"/>
      <c r="Q218" s="52"/>
      <c r="U218" s="52"/>
    </row>
    <row r="219">
      <c r="M219" s="52"/>
      <c r="N219" s="52"/>
      <c r="O219" s="52"/>
      <c r="P219" s="52"/>
      <c r="Q219" s="52"/>
      <c r="U219" s="52"/>
    </row>
    <row r="220">
      <c r="M220" s="52"/>
      <c r="N220" s="52"/>
      <c r="O220" s="52"/>
      <c r="P220" s="52"/>
      <c r="Q220" s="52"/>
      <c r="U220" s="52"/>
    </row>
    <row r="221">
      <c r="M221" s="52"/>
      <c r="N221" s="52"/>
      <c r="O221" s="52"/>
      <c r="P221" s="52"/>
      <c r="Q221" s="52"/>
      <c r="U221" s="52"/>
    </row>
    <row r="222">
      <c r="M222" s="52"/>
      <c r="N222" s="52"/>
      <c r="O222" s="52"/>
      <c r="P222" s="52"/>
      <c r="Q222" s="52"/>
      <c r="U222" s="52"/>
    </row>
    <row r="223">
      <c r="M223" s="52"/>
      <c r="N223" s="52"/>
      <c r="O223" s="52"/>
      <c r="P223" s="52"/>
      <c r="Q223" s="52"/>
      <c r="U223" s="52"/>
    </row>
    <row r="224">
      <c r="M224" s="52"/>
      <c r="N224" s="52"/>
      <c r="O224" s="52"/>
      <c r="P224" s="52"/>
      <c r="Q224" s="52"/>
      <c r="U224" s="52"/>
    </row>
    <row r="225">
      <c r="M225" s="52"/>
      <c r="N225" s="52"/>
      <c r="O225" s="52"/>
      <c r="P225" s="52"/>
      <c r="Q225" s="52"/>
      <c r="U225" s="52"/>
    </row>
    <row r="226">
      <c r="M226" s="52"/>
      <c r="N226" s="52"/>
      <c r="O226" s="52"/>
      <c r="P226" s="52"/>
      <c r="Q226" s="52"/>
      <c r="U226" s="52"/>
    </row>
    <row r="227">
      <c r="M227" s="52"/>
      <c r="N227" s="52"/>
      <c r="O227" s="52"/>
      <c r="P227" s="52"/>
      <c r="Q227" s="52"/>
      <c r="U227" s="52"/>
    </row>
    <row r="228">
      <c r="M228" s="52"/>
      <c r="N228" s="52"/>
      <c r="O228" s="52"/>
      <c r="P228" s="52"/>
      <c r="Q228" s="52"/>
      <c r="U228" s="52"/>
    </row>
    <row r="229">
      <c r="M229" s="52"/>
      <c r="N229" s="52"/>
      <c r="O229" s="52"/>
      <c r="P229" s="52"/>
      <c r="Q229" s="52"/>
      <c r="U229" s="52"/>
    </row>
    <row r="230">
      <c r="M230" s="52"/>
      <c r="N230" s="52"/>
      <c r="O230" s="52"/>
      <c r="P230" s="52"/>
      <c r="Q230" s="52"/>
      <c r="U230" s="52"/>
    </row>
    <row r="231">
      <c r="M231" s="52"/>
      <c r="N231" s="52"/>
      <c r="O231" s="52"/>
      <c r="P231" s="52"/>
      <c r="Q231" s="52"/>
      <c r="U231" s="52"/>
    </row>
    <row r="232">
      <c r="M232" s="52"/>
      <c r="N232" s="52"/>
      <c r="O232" s="52"/>
      <c r="P232" s="52"/>
      <c r="Q232" s="52"/>
      <c r="U232" s="52"/>
    </row>
    <row r="233">
      <c r="M233" s="52"/>
      <c r="N233" s="52"/>
      <c r="O233" s="52"/>
      <c r="P233" s="52"/>
      <c r="Q233" s="52"/>
      <c r="U233" s="52"/>
    </row>
    <row r="234">
      <c r="M234" s="52"/>
      <c r="N234" s="52"/>
      <c r="O234" s="52"/>
      <c r="P234" s="52"/>
      <c r="Q234" s="52"/>
      <c r="U234" s="52"/>
    </row>
    <row r="235">
      <c r="M235" s="52"/>
      <c r="N235" s="52"/>
      <c r="O235" s="52"/>
      <c r="P235" s="52"/>
      <c r="Q235" s="52"/>
      <c r="U235" s="52"/>
    </row>
    <row r="236">
      <c r="M236" s="52"/>
      <c r="N236" s="52"/>
      <c r="O236" s="52"/>
      <c r="P236" s="52"/>
      <c r="Q236" s="52"/>
      <c r="U236" s="52"/>
    </row>
    <row r="237">
      <c r="M237" s="52"/>
      <c r="N237" s="52"/>
      <c r="O237" s="52"/>
      <c r="P237" s="52"/>
      <c r="Q237" s="52"/>
      <c r="U237" s="52"/>
    </row>
    <row r="238">
      <c r="M238" s="52"/>
      <c r="N238" s="52"/>
      <c r="O238" s="52"/>
      <c r="P238" s="52"/>
      <c r="Q238" s="52"/>
      <c r="U238" s="52"/>
    </row>
    <row r="239">
      <c r="M239" s="52"/>
      <c r="N239" s="52"/>
      <c r="O239" s="52"/>
      <c r="P239" s="52"/>
      <c r="Q239" s="52"/>
      <c r="U239" s="52"/>
    </row>
    <row r="240">
      <c r="M240" s="52"/>
      <c r="N240" s="52"/>
      <c r="O240" s="52"/>
      <c r="P240" s="52"/>
      <c r="Q240" s="52"/>
      <c r="U240" s="52"/>
    </row>
    <row r="241">
      <c r="M241" s="52"/>
      <c r="N241" s="52"/>
      <c r="O241" s="52"/>
      <c r="P241" s="52"/>
      <c r="Q241" s="52"/>
      <c r="U241" s="52"/>
    </row>
    <row r="242">
      <c r="M242" s="52"/>
      <c r="N242" s="52"/>
      <c r="O242" s="52"/>
      <c r="P242" s="52"/>
      <c r="Q242" s="52"/>
      <c r="U242" s="52"/>
    </row>
    <row r="243">
      <c r="M243" s="52"/>
      <c r="N243" s="52"/>
      <c r="O243" s="52"/>
      <c r="P243" s="52"/>
      <c r="Q243" s="52"/>
      <c r="U243" s="52"/>
    </row>
    <row r="244">
      <c r="M244" s="52"/>
      <c r="N244" s="52"/>
      <c r="O244" s="52"/>
      <c r="P244" s="52"/>
      <c r="Q244" s="52"/>
      <c r="U244" s="52"/>
    </row>
    <row r="245">
      <c r="M245" s="52"/>
      <c r="N245" s="52"/>
      <c r="O245" s="52"/>
      <c r="P245" s="52"/>
      <c r="Q245" s="52"/>
      <c r="U245" s="52"/>
    </row>
    <row r="246">
      <c r="M246" s="52"/>
      <c r="N246" s="52"/>
      <c r="O246" s="52"/>
      <c r="P246" s="52"/>
      <c r="Q246" s="52"/>
      <c r="U246" s="52"/>
    </row>
    <row r="247">
      <c r="M247" s="52"/>
      <c r="N247" s="52"/>
      <c r="O247" s="52"/>
      <c r="P247" s="52"/>
      <c r="Q247" s="52"/>
      <c r="U247" s="52"/>
    </row>
    <row r="248">
      <c r="M248" s="52"/>
      <c r="N248" s="52"/>
      <c r="O248" s="52"/>
      <c r="P248" s="52"/>
      <c r="Q248" s="52"/>
      <c r="U248" s="52"/>
    </row>
    <row r="249">
      <c r="M249" s="52"/>
      <c r="N249" s="52"/>
      <c r="O249" s="52"/>
      <c r="P249" s="52"/>
      <c r="Q249" s="52"/>
      <c r="U249" s="52"/>
    </row>
    <row r="250">
      <c r="M250" s="52"/>
      <c r="N250" s="52"/>
      <c r="O250" s="52"/>
      <c r="P250" s="52"/>
      <c r="Q250" s="52"/>
      <c r="U250" s="52"/>
    </row>
    <row r="251">
      <c r="M251" s="52"/>
      <c r="N251" s="52"/>
      <c r="O251" s="52"/>
      <c r="P251" s="52"/>
      <c r="Q251" s="52"/>
      <c r="U251" s="52"/>
    </row>
    <row r="252">
      <c r="M252" s="52"/>
      <c r="N252" s="52"/>
      <c r="O252" s="52"/>
      <c r="P252" s="52"/>
      <c r="Q252" s="52"/>
      <c r="U252" s="52"/>
    </row>
    <row r="253">
      <c r="M253" s="52"/>
      <c r="N253" s="52"/>
      <c r="O253" s="52"/>
      <c r="P253" s="52"/>
      <c r="Q253" s="52"/>
      <c r="U253" s="52"/>
    </row>
    <row r="254">
      <c r="M254" s="52"/>
      <c r="N254" s="52"/>
      <c r="O254" s="52"/>
      <c r="P254" s="52"/>
      <c r="Q254" s="52"/>
      <c r="U254" s="52"/>
    </row>
    <row r="255">
      <c r="M255" s="52"/>
      <c r="N255" s="52"/>
      <c r="O255" s="52"/>
      <c r="P255" s="52"/>
      <c r="Q255" s="52"/>
      <c r="U255" s="52"/>
    </row>
    <row r="256">
      <c r="M256" s="52"/>
      <c r="N256" s="52"/>
      <c r="O256" s="52"/>
      <c r="P256" s="52"/>
      <c r="Q256" s="52"/>
      <c r="U256" s="52"/>
    </row>
    <row r="257">
      <c r="M257" s="52"/>
      <c r="N257" s="52"/>
      <c r="O257" s="52"/>
      <c r="P257" s="52"/>
      <c r="Q257" s="52"/>
      <c r="U257" s="52"/>
    </row>
    <row r="258">
      <c r="M258" s="52"/>
      <c r="N258" s="52"/>
      <c r="O258" s="52"/>
      <c r="P258" s="52"/>
      <c r="Q258" s="52"/>
      <c r="U258" s="52"/>
    </row>
    <row r="259">
      <c r="M259" s="52"/>
      <c r="N259" s="52"/>
      <c r="O259" s="52"/>
      <c r="P259" s="52"/>
      <c r="Q259" s="52"/>
      <c r="U259" s="52"/>
    </row>
    <row r="260">
      <c r="M260" s="52"/>
      <c r="N260" s="52"/>
      <c r="O260" s="52"/>
      <c r="P260" s="52"/>
      <c r="Q260" s="52"/>
      <c r="U260" s="52"/>
    </row>
    <row r="261">
      <c r="M261" s="52"/>
      <c r="N261" s="52"/>
      <c r="O261" s="52"/>
      <c r="P261" s="52"/>
      <c r="Q261" s="52"/>
      <c r="U261" s="52"/>
    </row>
    <row r="262">
      <c r="M262" s="52"/>
      <c r="N262" s="52"/>
      <c r="O262" s="52"/>
      <c r="P262" s="52"/>
      <c r="Q262" s="52"/>
      <c r="U262" s="52"/>
    </row>
    <row r="263">
      <c r="M263" s="52"/>
      <c r="N263" s="52"/>
      <c r="O263" s="52"/>
      <c r="P263" s="52"/>
      <c r="Q263" s="52"/>
      <c r="U263" s="52"/>
    </row>
    <row r="264">
      <c r="M264" s="52"/>
      <c r="N264" s="52"/>
      <c r="O264" s="52"/>
      <c r="P264" s="52"/>
      <c r="Q264" s="52"/>
      <c r="U264" s="52"/>
    </row>
    <row r="265">
      <c r="M265" s="52"/>
      <c r="N265" s="52"/>
      <c r="O265" s="52"/>
      <c r="P265" s="52"/>
      <c r="Q265" s="52"/>
      <c r="U265" s="52"/>
    </row>
    <row r="266">
      <c r="M266" s="52"/>
      <c r="N266" s="52"/>
      <c r="O266" s="52"/>
      <c r="P266" s="52"/>
      <c r="Q266" s="52"/>
      <c r="U266" s="52"/>
    </row>
    <row r="267">
      <c r="M267" s="52"/>
      <c r="N267" s="52"/>
      <c r="O267" s="52"/>
      <c r="P267" s="52"/>
      <c r="Q267" s="52"/>
      <c r="U267" s="52"/>
    </row>
    <row r="268">
      <c r="M268" s="52"/>
      <c r="N268" s="52"/>
      <c r="O268" s="52"/>
      <c r="P268" s="52"/>
      <c r="Q268" s="52"/>
      <c r="U268" s="52"/>
    </row>
    <row r="269">
      <c r="M269" s="52"/>
      <c r="N269" s="52"/>
      <c r="O269" s="52"/>
      <c r="P269" s="52"/>
      <c r="Q269" s="52"/>
      <c r="U269" s="52"/>
    </row>
    <row r="270">
      <c r="M270" s="52"/>
      <c r="N270" s="52"/>
      <c r="O270" s="52"/>
      <c r="P270" s="52"/>
      <c r="Q270" s="52"/>
      <c r="U270" s="52"/>
    </row>
    <row r="271">
      <c r="M271" s="52"/>
      <c r="N271" s="52"/>
      <c r="O271" s="52"/>
      <c r="P271" s="52"/>
      <c r="Q271" s="52"/>
      <c r="U271" s="52"/>
    </row>
    <row r="272">
      <c r="M272" s="52"/>
      <c r="N272" s="52"/>
      <c r="O272" s="52"/>
      <c r="P272" s="52"/>
      <c r="Q272" s="52"/>
      <c r="U272" s="52"/>
    </row>
    <row r="273">
      <c r="M273" s="52"/>
      <c r="N273" s="52"/>
      <c r="O273" s="52"/>
      <c r="P273" s="52"/>
      <c r="Q273" s="52"/>
      <c r="U273" s="52"/>
    </row>
    <row r="274">
      <c r="M274" s="52"/>
      <c r="N274" s="52"/>
      <c r="O274" s="52"/>
      <c r="P274" s="52"/>
      <c r="Q274" s="52"/>
      <c r="U274" s="52"/>
    </row>
    <row r="275">
      <c r="M275" s="52"/>
      <c r="N275" s="52"/>
      <c r="O275" s="52"/>
      <c r="P275" s="52"/>
      <c r="Q275" s="52"/>
      <c r="U275" s="52"/>
    </row>
    <row r="276">
      <c r="M276" s="52"/>
      <c r="N276" s="52"/>
      <c r="O276" s="52"/>
      <c r="P276" s="52"/>
      <c r="Q276" s="52"/>
      <c r="U276" s="52"/>
    </row>
    <row r="277">
      <c r="M277" s="52"/>
      <c r="N277" s="52"/>
      <c r="O277" s="52"/>
      <c r="P277" s="52"/>
      <c r="Q277" s="52"/>
      <c r="U277" s="52"/>
    </row>
    <row r="278">
      <c r="M278" s="52"/>
      <c r="N278" s="52"/>
      <c r="O278" s="52"/>
      <c r="P278" s="52"/>
      <c r="Q278" s="52"/>
      <c r="U278" s="52"/>
    </row>
    <row r="279">
      <c r="M279" s="52"/>
      <c r="N279" s="52"/>
      <c r="O279" s="52"/>
      <c r="P279" s="52"/>
      <c r="Q279" s="52"/>
      <c r="U279" s="52"/>
    </row>
    <row r="280">
      <c r="M280" s="52"/>
      <c r="N280" s="52"/>
      <c r="O280" s="52"/>
      <c r="P280" s="52"/>
      <c r="Q280" s="52"/>
      <c r="U280" s="52"/>
    </row>
    <row r="281">
      <c r="M281" s="52"/>
      <c r="N281" s="52"/>
      <c r="O281" s="52"/>
      <c r="P281" s="52"/>
      <c r="Q281" s="52"/>
      <c r="U281" s="52"/>
    </row>
    <row r="282">
      <c r="M282" s="52"/>
      <c r="N282" s="52"/>
      <c r="O282" s="52"/>
      <c r="P282" s="52"/>
      <c r="Q282" s="52"/>
      <c r="U282" s="52"/>
    </row>
    <row r="283">
      <c r="M283" s="52"/>
      <c r="N283" s="52"/>
      <c r="O283" s="52"/>
      <c r="P283" s="52"/>
      <c r="Q283" s="52"/>
      <c r="U283" s="52"/>
    </row>
    <row r="284">
      <c r="M284" s="52"/>
      <c r="N284" s="52"/>
      <c r="O284" s="52"/>
      <c r="P284" s="52"/>
      <c r="Q284" s="52"/>
      <c r="U284" s="52"/>
    </row>
    <row r="285">
      <c r="M285" s="52"/>
      <c r="N285" s="52"/>
      <c r="O285" s="52"/>
      <c r="P285" s="52"/>
      <c r="Q285" s="52"/>
      <c r="U285" s="52"/>
    </row>
    <row r="286">
      <c r="M286" s="52"/>
      <c r="N286" s="52"/>
      <c r="O286" s="52"/>
      <c r="P286" s="52"/>
      <c r="Q286" s="52"/>
      <c r="U286" s="52"/>
    </row>
    <row r="287">
      <c r="M287" s="52"/>
      <c r="N287" s="52"/>
      <c r="O287" s="52"/>
      <c r="P287" s="52"/>
      <c r="Q287" s="52"/>
      <c r="U287" s="52"/>
    </row>
    <row r="288">
      <c r="M288" s="52"/>
      <c r="N288" s="52"/>
      <c r="O288" s="52"/>
      <c r="P288" s="52"/>
      <c r="Q288" s="52"/>
      <c r="U288" s="52"/>
    </row>
    <row r="289">
      <c r="M289" s="52"/>
      <c r="N289" s="52"/>
      <c r="O289" s="52"/>
      <c r="P289" s="52"/>
      <c r="Q289" s="52"/>
      <c r="U289" s="52"/>
    </row>
    <row r="290">
      <c r="M290" s="52"/>
      <c r="N290" s="52"/>
      <c r="O290" s="52"/>
      <c r="P290" s="52"/>
      <c r="Q290" s="52"/>
      <c r="U290" s="52"/>
    </row>
    <row r="291">
      <c r="M291" s="52"/>
      <c r="N291" s="52"/>
      <c r="O291" s="52"/>
      <c r="P291" s="52"/>
      <c r="Q291" s="52"/>
      <c r="U291" s="52"/>
    </row>
    <row r="292">
      <c r="M292" s="52"/>
      <c r="N292" s="52"/>
      <c r="O292" s="52"/>
      <c r="P292" s="52"/>
      <c r="Q292" s="52"/>
      <c r="U292" s="52"/>
    </row>
    <row r="293">
      <c r="M293" s="52"/>
      <c r="N293" s="52"/>
      <c r="O293" s="52"/>
      <c r="P293" s="52"/>
      <c r="Q293" s="52"/>
      <c r="U293" s="52"/>
    </row>
    <row r="294">
      <c r="M294" s="52"/>
      <c r="N294" s="52"/>
      <c r="O294" s="52"/>
      <c r="P294" s="52"/>
      <c r="Q294" s="52"/>
      <c r="U294" s="52"/>
    </row>
    <row r="295">
      <c r="M295" s="52"/>
      <c r="N295" s="52"/>
      <c r="O295" s="52"/>
      <c r="P295" s="52"/>
      <c r="Q295" s="52"/>
      <c r="U295" s="52"/>
    </row>
    <row r="296">
      <c r="M296" s="52"/>
      <c r="N296" s="52"/>
      <c r="O296" s="52"/>
      <c r="P296" s="52"/>
      <c r="Q296" s="52"/>
      <c r="U296" s="52"/>
    </row>
    <row r="297">
      <c r="M297" s="52"/>
      <c r="N297" s="52"/>
      <c r="O297" s="52"/>
      <c r="P297" s="52"/>
      <c r="Q297" s="52"/>
      <c r="U297" s="52"/>
    </row>
    <row r="298">
      <c r="M298" s="52"/>
      <c r="N298" s="52"/>
      <c r="O298" s="52"/>
      <c r="P298" s="52"/>
      <c r="Q298" s="52"/>
      <c r="U298" s="52"/>
    </row>
    <row r="299">
      <c r="M299" s="52"/>
      <c r="N299" s="52"/>
      <c r="O299" s="52"/>
      <c r="P299" s="52"/>
      <c r="Q299" s="52"/>
      <c r="U299" s="52"/>
    </row>
    <row r="300">
      <c r="M300" s="52"/>
      <c r="N300" s="52"/>
      <c r="O300" s="52"/>
      <c r="P300" s="52"/>
      <c r="Q300" s="52"/>
      <c r="U300" s="52"/>
    </row>
    <row r="301">
      <c r="M301" s="52"/>
      <c r="N301" s="52"/>
      <c r="O301" s="52"/>
      <c r="P301" s="52"/>
      <c r="Q301" s="52"/>
      <c r="U301" s="52"/>
    </row>
    <row r="302">
      <c r="M302" s="52"/>
      <c r="N302" s="52"/>
      <c r="O302" s="52"/>
      <c r="P302" s="52"/>
      <c r="Q302" s="52"/>
      <c r="U302" s="52"/>
    </row>
    <row r="303">
      <c r="M303" s="52"/>
      <c r="N303" s="52"/>
      <c r="O303" s="52"/>
      <c r="P303" s="52"/>
      <c r="Q303" s="52"/>
      <c r="U303" s="52"/>
    </row>
    <row r="304">
      <c r="M304" s="52"/>
      <c r="N304" s="52"/>
      <c r="O304" s="52"/>
      <c r="P304" s="52"/>
      <c r="Q304" s="52"/>
      <c r="U304" s="52"/>
    </row>
    <row r="305">
      <c r="M305" s="52"/>
      <c r="N305" s="52"/>
      <c r="O305" s="52"/>
      <c r="P305" s="52"/>
      <c r="Q305" s="52"/>
      <c r="U305" s="52"/>
    </row>
    <row r="306">
      <c r="M306" s="52"/>
      <c r="N306" s="52"/>
      <c r="O306" s="52"/>
      <c r="P306" s="52"/>
      <c r="Q306" s="52"/>
      <c r="U306" s="52"/>
    </row>
    <row r="307">
      <c r="M307" s="52"/>
      <c r="N307" s="52"/>
      <c r="O307" s="52"/>
      <c r="P307" s="52"/>
      <c r="Q307" s="52"/>
      <c r="U307" s="52"/>
    </row>
    <row r="308">
      <c r="M308" s="52"/>
      <c r="N308" s="52"/>
      <c r="O308" s="52"/>
      <c r="P308" s="52"/>
      <c r="Q308" s="52"/>
      <c r="U308" s="52"/>
    </row>
    <row r="309">
      <c r="M309" s="52"/>
      <c r="N309" s="52"/>
      <c r="O309" s="52"/>
      <c r="P309" s="52"/>
      <c r="Q309" s="52"/>
      <c r="U309" s="52"/>
    </row>
    <row r="310">
      <c r="M310" s="52"/>
      <c r="N310" s="52"/>
      <c r="O310" s="52"/>
      <c r="P310" s="52"/>
      <c r="Q310" s="52"/>
      <c r="U310" s="52"/>
    </row>
    <row r="311">
      <c r="M311" s="52"/>
      <c r="N311" s="52"/>
      <c r="O311" s="52"/>
      <c r="P311" s="52"/>
      <c r="Q311" s="52"/>
      <c r="U311" s="52"/>
    </row>
    <row r="312">
      <c r="M312" s="52"/>
      <c r="N312" s="52"/>
      <c r="O312" s="52"/>
      <c r="P312" s="52"/>
      <c r="Q312" s="52"/>
      <c r="U312" s="52"/>
    </row>
    <row r="313">
      <c r="M313" s="52"/>
      <c r="N313" s="52"/>
      <c r="O313" s="52"/>
      <c r="P313" s="52"/>
      <c r="Q313" s="52"/>
      <c r="U313" s="52"/>
    </row>
    <row r="314">
      <c r="M314" s="52"/>
      <c r="N314" s="52"/>
      <c r="O314" s="52"/>
      <c r="P314" s="52"/>
      <c r="Q314" s="52"/>
      <c r="U314" s="52"/>
    </row>
    <row r="315">
      <c r="M315" s="52"/>
      <c r="N315" s="52"/>
      <c r="O315" s="52"/>
      <c r="P315" s="52"/>
      <c r="Q315" s="52"/>
      <c r="U315" s="52"/>
    </row>
    <row r="316">
      <c r="M316" s="52"/>
      <c r="N316" s="52"/>
      <c r="O316" s="52"/>
      <c r="P316" s="52"/>
      <c r="Q316" s="52"/>
      <c r="U316" s="52"/>
    </row>
    <row r="317">
      <c r="M317" s="52"/>
      <c r="N317" s="52"/>
      <c r="O317" s="52"/>
      <c r="P317" s="52"/>
      <c r="Q317" s="52"/>
      <c r="U317" s="52"/>
    </row>
    <row r="318">
      <c r="M318" s="52"/>
      <c r="N318" s="52"/>
      <c r="O318" s="52"/>
      <c r="P318" s="52"/>
      <c r="Q318" s="52"/>
      <c r="U318" s="52"/>
    </row>
    <row r="319">
      <c r="M319" s="52"/>
      <c r="N319" s="52"/>
      <c r="O319" s="52"/>
      <c r="P319" s="52"/>
      <c r="Q319" s="52"/>
      <c r="U319" s="52"/>
    </row>
    <row r="320">
      <c r="M320" s="52"/>
      <c r="N320" s="52"/>
      <c r="O320" s="52"/>
      <c r="P320" s="52"/>
      <c r="Q320" s="52"/>
      <c r="U320" s="52"/>
    </row>
    <row r="321">
      <c r="M321" s="52"/>
      <c r="N321" s="52"/>
      <c r="O321" s="52"/>
      <c r="P321" s="52"/>
      <c r="Q321" s="52"/>
      <c r="U321" s="52"/>
    </row>
    <row r="322">
      <c r="M322" s="52"/>
      <c r="N322" s="52"/>
      <c r="O322" s="52"/>
      <c r="P322" s="52"/>
      <c r="Q322" s="52"/>
      <c r="U322" s="52"/>
    </row>
    <row r="323">
      <c r="M323" s="52"/>
      <c r="N323" s="52"/>
      <c r="O323" s="52"/>
      <c r="P323" s="52"/>
      <c r="Q323" s="52"/>
      <c r="U323" s="52"/>
    </row>
    <row r="324">
      <c r="M324" s="52"/>
      <c r="N324" s="52"/>
      <c r="O324" s="52"/>
      <c r="P324" s="52"/>
      <c r="Q324" s="52"/>
      <c r="U324" s="52"/>
    </row>
    <row r="325">
      <c r="M325" s="52"/>
      <c r="N325" s="52"/>
      <c r="O325" s="52"/>
      <c r="P325" s="52"/>
      <c r="Q325" s="52"/>
      <c r="U325" s="52"/>
    </row>
    <row r="326">
      <c r="M326" s="52"/>
      <c r="N326" s="52"/>
      <c r="O326" s="52"/>
      <c r="P326" s="52"/>
      <c r="Q326" s="52"/>
      <c r="U326" s="52"/>
    </row>
    <row r="327">
      <c r="M327" s="52"/>
      <c r="N327" s="52"/>
      <c r="O327" s="52"/>
      <c r="P327" s="52"/>
      <c r="Q327" s="52"/>
      <c r="U327" s="52"/>
    </row>
    <row r="328">
      <c r="M328" s="52"/>
      <c r="N328" s="52"/>
      <c r="O328" s="52"/>
      <c r="P328" s="52"/>
      <c r="Q328" s="52"/>
      <c r="U328" s="52"/>
    </row>
    <row r="329">
      <c r="M329" s="52"/>
      <c r="N329" s="52"/>
      <c r="O329" s="52"/>
      <c r="P329" s="52"/>
      <c r="Q329" s="52"/>
      <c r="U329" s="52"/>
    </row>
    <row r="330">
      <c r="M330" s="52"/>
      <c r="N330" s="52"/>
      <c r="O330" s="52"/>
      <c r="P330" s="52"/>
      <c r="Q330" s="52"/>
      <c r="U330" s="52"/>
    </row>
    <row r="331">
      <c r="M331" s="52"/>
      <c r="N331" s="52"/>
      <c r="O331" s="52"/>
      <c r="P331" s="52"/>
      <c r="Q331" s="52"/>
      <c r="U331" s="52"/>
    </row>
    <row r="332">
      <c r="M332" s="52"/>
      <c r="N332" s="52"/>
      <c r="O332" s="52"/>
      <c r="P332" s="52"/>
      <c r="Q332" s="52"/>
      <c r="U332" s="52"/>
    </row>
    <row r="333">
      <c r="M333" s="52"/>
      <c r="N333" s="52"/>
      <c r="O333" s="52"/>
      <c r="P333" s="52"/>
      <c r="Q333" s="52"/>
      <c r="U333" s="52"/>
    </row>
    <row r="334">
      <c r="M334" s="52"/>
      <c r="N334" s="52"/>
      <c r="O334" s="52"/>
      <c r="P334" s="52"/>
      <c r="Q334" s="52"/>
      <c r="U334" s="52"/>
    </row>
    <row r="335">
      <c r="M335" s="52"/>
      <c r="N335" s="52"/>
      <c r="O335" s="52"/>
      <c r="P335" s="52"/>
      <c r="Q335" s="52"/>
      <c r="U335" s="52"/>
    </row>
    <row r="336">
      <c r="M336" s="52"/>
      <c r="N336" s="52"/>
      <c r="O336" s="52"/>
      <c r="P336" s="52"/>
      <c r="Q336" s="52"/>
      <c r="U336" s="52"/>
    </row>
    <row r="337">
      <c r="M337" s="52"/>
      <c r="N337" s="52"/>
      <c r="O337" s="52"/>
      <c r="P337" s="52"/>
      <c r="Q337" s="52"/>
      <c r="U337" s="52"/>
    </row>
    <row r="338">
      <c r="M338" s="52"/>
      <c r="N338" s="52"/>
      <c r="O338" s="52"/>
      <c r="P338" s="52"/>
      <c r="Q338" s="52"/>
      <c r="U338" s="52"/>
    </row>
    <row r="339">
      <c r="M339" s="52"/>
      <c r="N339" s="52"/>
      <c r="O339" s="52"/>
      <c r="P339" s="52"/>
      <c r="Q339" s="52"/>
      <c r="U339" s="52"/>
    </row>
    <row r="340">
      <c r="M340" s="52"/>
      <c r="N340" s="52"/>
      <c r="O340" s="52"/>
      <c r="P340" s="52"/>
      <c r="Q340" s="52"/>
      <c r="U340" s="52"/>
    </row>
    <row r="341">
      <c r="M341" s="52"/>
      <c r="N341" s="52"/>
      <c r="O341" s="52"/>
      <c r="P341" s="52"/>
      <c r="Q341" s="52"/>
      <c r="U341" s="52"/>
    </row>
    <row r="342">
      <c r="M342" s="52"/>
      <c r="N342" s="52"/>
      <c r="O342" s="52"/>
      <c r="P342" s="52"/>
      <c r="Q342" s="52"/>
      <c r="U342" s="52"/>
    </row>
    <row r="343">
      <c r="M343" s="52"/>
      <c r="N343" s="52"/>
      <c r="O343" s="52"/>
      <c r="P343" s="52"/>
      <c r="Q343" s="52"/>
      <c r="U343" s="52"/>
    </row>
    <row r="344">
      <c r="M344" s="52"/>
      <c r="N344" s="52"/>
      <c r="O344" s="52"/>
      <c r="P344" s="52"/>
      <c r="Q344" s="52"/>
      <c r="U344" s="52"/>
    </row>
    <row r="345">
      <c r="M345" s="52"/>
      <c r="N345" s="52"/>
      <c r="O345" s="52"/>
      <c r="P345" s="52"/>
      <c r="Q345" s="52"/>
      <c r="U345" s="52"/>
    </row>
    <row r="346">
      <c r="M346" s="52"/>
      <c r="N346" s="52"/>
      <c r="O346" s="52"/>
      <c r="P346" s="52"/>
      <c r="Q346" s="52"/>
      <c r="U346" s="52"/>
    </row>
    <row r="347">
      <c r="M347" s="52"/>
      <c r="N347" s="52"/>
      <c r="O347" s="52"/>
      <c r="P347" s="52"/>
      <c r="Q347" s="52"/>
      <c r="U347" s="52"/>
    </row>
    <row r="348">
      <c r="M348" s="52"/>
      <c r="N348" s="52"/>
      <c r="O348" s="52"/>
      <c r="P348" s="52"/>
      <c r="Q348" s="52"/>
      <c r="U348" s="52"/>
    </row>
    <row r="349">
      <c r="M349" s="52"/>
      <c r="N349" s="52"/>
      <c r="O349" s="52"/>
      <c r="P349" s="52"/>
      <c r="Q349" s="52"/>
      <c r="U349" s="52"/>
    </row>
    <row r="350">
      <c r="M350" s="52"/>
      <c r="N350" s="52"/>
      <c r="O350" s="52"/>
      <c r="P350" s="52"/>
      <c r="Q350" s="52"/>
      <c r="U350" s="52"/>
    </row>
    <row r="351">
      <c r="M351" s="52"/>
      <c r="N351" s="52"/>
      <c r="O351" s="52"/>
      <c r="P351" s="52"/>
      <c r="Q351" s="52"/>
      <c r="U351" s="52"/>
    </row>
    <row r="352">
      <c r="M352" s="52"/>
      <c r="N352" s="52"/>
      <c r="O352" s="52"/>
      <c r="P352" s="52"/>
      <c r="Q352" s="52"/>
      <c r="U352" s="52"/>
    </row>
    <row r="353">
      <c r="M353" s="52"/>
      <c r="N353" s="52"/>
      <c r="O353" s="52"/>
      <c r="P353" s="52"/>
      <c r="Q353" s="52"/>
      <c r="U353" s="52"/>
    </row>
    <row r="354">
      <c r="M354" s="52"/>
      <c r="N354" s="52"/>
      <c r="O354" s="52"/>
      <c r="P354" s="52"/>
      <c r="Q354" s="52"/>
      <c r="U354" s="52"/>
    </row>
    <row r="355">
      <c r="M355" s="52"/>
      <c r="N355" s="52"/>
      <c r="O355" s="52"/>
      <c r="P355" s="52"/>
      <c r="Q355" s="52"/>
      <c r="U355" s="52"/>
    </row>
    <row r="356">
      <c r="M356" s="52"/>
      <c r="N356" s="52"/>
      <c r="O356" s="52"/>
      <c r="P356" s="52"/>
      <c r="Q356" s="52"/>
      <c r="U356" s="52"/>
    </row>
    <row r="357">
      <c r="M357" s="52"/>
      <c r="N357" s="52"/>
      <c r="O357" s="52"/>
      <c r="P357" s="52"/>
      <c r="Q357" s="52"/>
      <c r="U357" s="52"/>
    </row>
    <row r="358">
      <c r="M358" s="52"/>
      <c r="N358" s="52"/>
      <c r="O358" s="52"/>
      <c r="P358" s="52"/>
      <c r="Q358" s="52"/>
      <c r="U358" s="52"/>
    </row>
    <row r="359">
      <c r="M359" s="52"/>
      <c r="N359" s="52"/>
      <c r="O359" s="52"/>
      <c r="P359" s="52"/>
      <c r="Q359" s="52"/>
      <c r="U359" s="52"/>
    </row>
    <row r="360">
      <c r="M360" s="52"/>
      <c r="N360" s="52"/>
      <c r="O360" s="52"/>
      <c r="P360" s="52"/>
      <c r="Q360" s="52"/>
      <c r="U360" s="52"/>
    </row>
    <row r="361">
      <c r="M361" s="52"/>
      <c r="N361" s="52"/>
      <c r="O361" s="52"/>
      <c r="P361" s="52"/>
      <c r="Q361" s="52"/>
      <c r="U361" s="52"/>
    </row>
    <row r="362">
      <c r="M362" s="52"/>
      <c r="N362" s="52"/>
      <c r="O362" s="52"/>
      <c r="P362" s="52"/>
      <c r="Q362" s="52"/>
      <c r="U362" s="52"/>
    </row>
    <row r="363">
      <c r="M363" s="52"/>
      <c r="N363" s="52"/>
      <c r="O363" s="52"/>
      <c r="P363" s="52"/>
      <c r="Q363" s="52"/>
      <c r="U363" s="52"/>
    </row>
    <row r="364">
      <c r="M364" s="52"/>
      <c r="N364" s="52"/>
      <c r="O364" s="52"/>
      <c r="P364" s="52"/>
      <c r="Q364" s="52"/>
      <c r="U364" s="52"/>
    </row>
    <row r="365">
      <c r="M365" s="52"/>
      <c r="N365" s="52"/>
      <c r="O365" s="52"/>
      <c r="P365" s="52"/>
      <c r="Q365" s="52"/>
      <c r="U365" s="52"/>
    </row>
    <row r="366">
      <c r="M366" s="52"/>
      <c r="N366" s="52"/>
      <c r="O366" s="52"/>
      <c r="P366" s="52"/>
      <c r="Q366" s="52"/>
      <c r="U366" s="52"/>
    </row>
    <row r="367">
      <c r="M367" s="52"/>
      <c r="N367" s="52"/>
      <c r="O367" s="52"/>
      <c r="P367" s="52"/>
      <c r="Q367" s="52"/>
      <c r="U367" s="52"/>
    </row>
    <row r="368">
      <c r="M368" s="52"/>
      <c r="N368" s="52"/>
      <c r="O368" s="52"/>
      <c r="P368" s="52"/>
      <c r="Q368" s="52"/>
      <c r="U368" s="52"/>
    </row>
    <row r="369">
      <c r="M369" s="52"/>
      <c r="N369" s="52"/>
      <c r="O369" s="52"/>
      <c r="P369" s="52"/>
      <c r="Q369" s="52"/>
      <c r="U369" s="52"/>
    </row>
    <row r="370">
      <c r="M370" s="52"/>
      <c r="N370" s="52"/>
      <c r="O370" s="52"/>
      <c r="P370" s="52"/>
      <c r="Q370" s="52"/>
      <c r="U370" s="52"/>
    </row>
    <row r="371">
      <c r="M371" s="52"/>
      <c r="N371" s="52"/>
      <c r="O371" s="52"/>
      <c r="P371" s="52"/>
      <c r="Q371" s="52"/>
      <c r="U371" s="52"/>
    </row>
    <row r="372">
      <c r="M372" s="52"/>
      <c r="N372" s="52"/>
      <c r="O372" s="52"/>
      <c r="P372" s="52"/>
      <c r="Q372" s="52"/>
      <c r="U372" s="52"/>
    </row>
    <row r="373">
      <c r="M373" s="52"/>
      <c r="N373" s="52"/>
      <c r="O373" s="52"/>
      <c r="P373" s="52"/>
      <c r="Q373" s="52"/>
      <c r="U373" s="52"/>
    </row>
    <row r="374">
      <c r="M374" s="52"/>
      <c r="N374" s="52"/>
      <c r="O374" s="52"/>
      <c r="P374" s="52"/>
      <c r="Q374" s="52"/>
      <c r="U374" s="52"/>
    </row>
    <row r="375">
      <c r="M375" s="52"/>
      <c r="N375" s="52"/>
      <c r="O375" s="52"/>
      <c r="P375" s="52"/>
      <c r="Q375" s="52"/>
      <c r="U375" s="52"/>
    </row>
    <row r="376">
      <c r="M376" s="52"/>
      <c r="N376" s="52"/>
      <c r="O376" s="52"/>
      <c r="P376" s="52"/>
      <c r="Q376" s="52"/>
      <c r="U376" s="52"/>
    </row>
    <row r="377">
      <c r="M377" s="52"/>
      <c r="N377" s="52"/>
      <c r="O377" s="52"/>
      <c r="P377" s="52"/>
      <c r="Q377" s="52"/>
      <c r="U377" s="52"/>
    </row>
    <row r="378">
      <c r="M378" s="52"/>
      <c r="N378" s="52"/>
      <c r="O378" s="52"/>
      <c r="P378" s="52"/>
      <c r="Q378" s="52"/>
      <c r="U378" s="52"/>
    </row>
    <row r="379">
      <c r="M379" s="52"/>
      <c r="N379" s="52"/>
      <c r="O379" s="52"/>
      <c r="P379" s="52"/>
      <c r="Q379" s="52"/>
      <c r="U379" s="52"/>
    </row>
    <row r="380">
      <c r="M380" s="52"/>
      <c r="N380" s="52"/>
      <c r="O380" s="52"/>
      <c r="P380" s="52"/>
      <c r="Q380" s="52"/>
      <c r="U380" s="52"/>
    </row>
    <row r="381">
      <c r="M381" s="52"/>
      <c r="N381" s="52"/>
      <c r="O381" s="52"/>
      <c r="P381" s="52"/>
      <c r="Q381" s="52"/>
      <c r="U381" s="52"/>
    </row>
    <row r="382">
      <c r="M382" s="52"/>
      <c r="N382" s="52"/>
      <c r="O382" s="52"/>
      <c r="P382" s="52"/>
      <c r="Q382" s="52"/>
      <c r="U382" s="52"/>
    </row>
    <row r="383">
      <c r="M383" s="52"/>
      <c r="N383" s="52"/>
      <c r="O383" s="52"/>
      <c r="P383" s="52"/>
      <c r="Q383" s="52"/>
      <c r="U383" s="52"/>
    </row>
    <row r="384">
      <c r="M384" s="52"/>
      <c r="N384" s="52"/>
      <c r="O384" s="52"/>
      <c r="P384" s="52"/>
      <c r="Q384" s="52"/>
      <c r="U384" s="52"/>
    </row>
    <row r="385">
      <c r="M385" s="52"/>
      <c r="N385" s="52"/>
      <c r="O385" s="52"/>
      <c r="P385" s="52"/>
      <c r="Q385" s="52"/>
      <c r="U385" s="52"/>
    </row>
    <row r="386">
      <c r="M386" s="52"/>
      <c r="N386" s="52"/>
      <c r="O386" s="52"/>
      <c r="P386" s="52"/>
      <c r="Q386" s="52"/>
      <c r="U386" s="52"/>
    </row>
    <row r="387">
      <c r="M387" s="52"/>
      <c r="N387" s="52"/>
      <c r="O387" s="52"/>
      <c r="P387" s="52"/>
      <c r="Q387" s="52"/>
      <c r="U387" s="52"/>
    </row>
    <row r="388">
      <c r="M388" s="52"/>
      <c r="N388" s="52"/>
      <c r="O388" s="52"/>
      <c r="P388" s="52"/>
      <c r="Q388" s="52"/>
      <c r="U388" s="52"/>
    </row>
    <row r="389">
      <c r="M389" s="52"/>
      <c r="N389" s="52"/>
      <c r="O389" s="52"/>
      <c r="P389" s="52"/>
      <c r="Q389" s="52"/>
      <c r="U389" s="52"/>
    </row>
    <row r="390">
      <c r="M390" s="52"/>
      <c r="N390" s="52"/>
      <c r="O390" s="52"/>
      <c r="P390" s="52"/>
      <c r="Q390" s="52"/>
      <c r="U390" s="52"/>
    </row>
    <row r="391">
      <c r="M391" s="52"/>
      <c r="N391" s="52"/>
      <c r="O391" s="52"/>
      <c r="P391" s="52"/>
      <c r="Q391" s="52"/>
      <c r="U391" s="52"/>
    </row>
    <row r="392">
      <c r="M392" s="52"/>
      <c r="N392" s="52"/>
      <c r="O392" s="52"/>
      <c r="P392" s="52"/>
      <c r="Q392" s="52"/>
      <c r="U392" s="52"/>
    </row>
    <row r="393">
      <c r="M393" s="52"/>
      <c r="N393" s="52"/>
      <c r="O393" s="52"/>
      <c r="P393" s="52"/>
      <c r="Q393" s="52"/>
      <c r="U393" s="52"/>
    </row>
    <row r="394">
      <c r="M394" s="52"/>
      <c r="N394" s="52"/>
      <c r="O394" s="52"/>
      <c r="P394" s="52"/>
      <c r="Q394" s="52"/>
      <c r="U394" s="52"/>
    </row>
    <row r="395">
      <c r="M395" s="52"/>
      <c r="N395" s="52"/>
      <c r="O395" s="52"/>
      <c r="P395" s="52"/>
      <c r="Q395" s="52"/>
      <c r="U395" s="52"/>
    </row>
    <row r="396">
      <c r="M396" s="52"/>
      <c r="N396" s="52"/>
      <c r="O396" s="52"/>
      <c r="P396" s="52"/>
      <c r="Q396" s="52"/>
      <c r="U396" s="52"/>
    </row>
    <row r="397">
      <c r="M397" s="52"/>
      <c r="N397" s="52"/>
      <c r="O397" s="52"/>
      <c r="P397" s="52"/>
      <c r="Q397" s="52"/>
      <c r="U397" s="52"/>
    </row>
    <row r="398">
      <c r="M398" s="52"/>
      <c r="N398" s="52"/>
      <c r="O398" s="52"/>
      <c r="P398" s="52"/>
      <c r="Q398" s="52"/>
      <c r="U398" s="52"/>
    </row>
    <row r="399">
      <c r="M399" s="52"/>
      <c r="N399" s="52"/>
      <c r="O399" s="52"/>
      <c r="P399" s="52"/>
      <c r="Q399" s="52"/>
      <c r="U399" s="52"/>
    </row>
    <row r="400">
      <c r="M400" s="52"/>
      <c r="N400" s="52"/>
      <c r="O400" s="52"/>
      <c r="P400" s="52"/>
      <c r="Q400" s="52"/>
      <c r="U400" s="52"/>
    </row>
    <row r="401">
      <c r="M401" s="52"/>
      <c r="N401" s="52"/>
      <c r="O401" s="52"/>
      <c r="P401" s="52"/>
      <c r="Q401" s="52"/>
      <c r="U401" s="52"/>
    </row>
    <row r="402">
      <c r="M402" s="52"/>
      <c r="N402" s="52"/>
      <c r="O402" s="52"/>
      <c r="P402" s="52"/>
      <c r="Q402" s="52"/>
      <c r="U402" s="52"/>
    </row>
    <row r="403">
      <c r="M403" s="52"/>
      <c r="N403" s="52"/>
      <c r="O403" s="52"/>
      <c r="P403" s="52"/>
      <c r="Q403" s="52"/>
      <c r="U403" s="52"/>
    </row>
    <row r="404">
      <c r="M404" s="52"/>
      <c r="N404" s="52"/>
      <c r="O404" s="52"/>
      <c r="P404" s="52"/>
      <c r="Q404" s="52"/>
      <c r="U404" s="52"/>
    </row>
    <row r="405">
      <c r="M405" s="52"/>
      <c r="N405" s="52"/>
      <c r="O405" s="52"/>
      <c r="P405" s="52"/>
      <c r="Q405" s="52"/>
      <c r="U405" s="52"/>
    </row>
    <row r="406">
      <c r="M406" s="52"/>
      <c r="N406" s="52"/>
      <c r="O406" s="52"/>
      <c r="P406" s="52"/>
      <c r="Q406" s="52"/>
      <c r="U406" s="52"/>
    </row>
    <row r="407">
      <c r="M407" s="52"/>
      <c r="N407" s="52"/>
      <c r="O407" s="52"/>
      <c r="P407" s="52"/>
      <c r="Q407" s="52"/>
      <c r="U407" s="52"/>
    </row>
    <row r="408">
      <c r="M408" s="52"/>
      <c r="N408" s="52"/>
      <c r="O408" s="52"/>
      <c r="P408" s="52"/>
      <c r="Q408" s="52"/>
      <c r="U408" s="52"/>
    </row>
    <row r="409">
      <c r="M409" s="52"/>
      <c r="N409" s="52"/>
      <c r="O409" s="52"/>
      <c r="P409" s="52"/>
      <c r="Q409" s="52"/>
      <c r="U409" s="52"/>
    </row>
    <row r="410">
      <c r="M410" s="52"/>
      <c r="N410" s="52"/>
      <c r="O410" s="52"/>
      <c r="P410" s="52"/>
      <c r="Q410" s="52"/>
      <c r="U410" s="52"/>
    </row>
    <row r="411">
      <c r="M411" s="52"/>
      <c r="N411" s="52"/>
      <c r="O411" s="52"/>
      <c r="P411" s="52"/>
      <c r="Q411" s="52"/>
      <c r="U411" s="52"/>
    </row>
    <row r="412">
      <c r="M412" s="52"/>
      <c r="N412" s="52"/>
      <c r="O412" s="52"/>
      <c r="P412" s="52"/>
      <c r="Q412" s="52"/>
      <c r="U412" s="52"/>
    </row>
    <row r="413">
      <c r="M413" s="52"/>
      <c r="N413" s="52"/>
      <c r="O413" s="52"/>
      <c r="P413" s="52"/>
      <c r="Q413" s="52"/>
      <c r="U413" s="52"/>
    </row>
    <row r="414">
      <c r="M414" s="52"/>
      <c r="N414" s="52"/>
      <c r="O414" s="52"/>
      <c r="P414" s="52"/>
      <c r="Q414" s="52"/>
      <c r="U414" s="52"/>
    </row>
    <row r="415">
      <c r="M415" s="52"/>
      <c r="N415" s="52"/>
      <c r="O415" s="52"/>
      <c r="P415" s="52"/>
      <c r="Q415" s="52"/>
      <c r="U415" s="52"/>
    </row>
    <row r="416">
      <c r="M416" s="52"/>
      <c r="N416" s="52"/>
      <c r="O416" s="52"/>
      <c r="P416" s="52"/>
      <c r="Q416" s="52"/>
      <c r="U416" s="52"/>
    </row>
    <row r="417">
      <c r="M417" s="52"/>
      <c r="N417" s="52"/>
      <c r="O417" s="52"/>
      <c r="P417" s="52"/>
      <c r="Q417" s="52"/>
      <c r="U417" s="52"/>
    </row>
    <row r="418">
      <c r="M418" s="52"/>
      <c r="N418" s="52"/>
      <c r="O418" s="52"/>
      <c r="P418" s="52"/>
      <c r="Q418" s="52"/>
      <c r="U418" s="52"/>
    </row>
    <row r="419">
      <c r="M419" s="52"/>
      <c r="N419" s="52"/>
      <c r="O419" s="52"/>
      <c r="P419" s="52"/>
      <c r="Q419" s="52"/>
      <c r="U419" s="52"/>
    </row>
    <row r="420">
      <c r="M420" s="52"/>
      <c r="N420" s="52"/>
      <c r="O420" s="52"/>
      <c r="P420" s="52"/>
      <c r="Q420" s="52"/>
      <c r="U420" s="52"/>
    </row>
    <row r="421">
      <c r="M421" s="52"/>
      <c r="N421" s="52"/>
      <c r="O421" s="52"/>
      <c r="P421" s="52"/>
      <c r="Q421" s="52"/>
      <c r="U421" s="52"/>
    </row>
    <row r="422">
      <c r="M422" s="52"/>
      <c r="N422" s="52"/>
      <c r="O422" s="52"/>
      <c r="P422" s="52"/>
      <c r="Q422" s="52"/>
      <c r="U422" s="52"/>
    </row>
    <row r="423">
      <c r="M423" s="52"/>
      <c r="N423" s="52"/>
      <c r="O423" s="52"/>
      <c r="P423" s="52"/>
      <c r="Q423" s="52"/>
      <c r="U423" s="52"/>
    </row>
    <row r="424">
      <c r="M424" s="52"/>
      <c r="N424" s="52"/>
      <c r="O424" s="52"/>
      <c r="P424" s="52"/>
      <c r="Q424" s="52"/>
      <c r="U424" s="52"/>
    </row>
    <row r="425">
      <c r="M425" s="52"/>
      <c r="N425" s="52"/>
      <c r="O425" s="52"/>
      <c r="P425" s="52"/>
      <c r="Q425" s="52"/>
      <c r="U425" s="52"/>
    </row>
    <row r="426">
      <c r="M426" s="52"/>
      <c r="N426" s="52"/>
      <c r="O426" s="52"/>
      <c r="P426" s="52"/>
      <c r="Q426" s="52"/>
      <c r="U426" s="52"/>
    </row>
    <row r="427">
      <c r="M427" s="52"/>
      <c r="N427" s="52"/>
      <c r="O427" s="52"/>
      <c r="P427" s="52"/>
      <c r="Q427" s="52"/>
      <c r="U427" s="52"/>
    </row>
    <row r="428">
      <c r="M428" s="52"/>
      <c r="N428" s="52"/>
      <c r="O428" s="52"/>
      <c r="P428" s="52"/>
      <c r="Q428" s="52"/>
      <c r="U428" s="52"/>
    </row>
    <row r="429">
      <c r="M429" s="52"/>
      <c r="N429" s="52"/>
      <c r="O429" s="52"/>
      <c r="P429" s="52"/>
      <c r="Q429" s="52"/>
      <c r="U429" s="52"/>
    </row>
    <row r="430">
      <c r="M430" s="52"/>
      <c r="N430" s="52"/>
      <c r="O430" s="52"/>
      <c r="P430" s="52"/>
      <c r="Q430" s="52"/>
      <c r="U430" s="52"/>
    </row>
    <row r="431">
      <c r="M431" s="52"/>
      <c r="N431" s="52"/>
      <c r="O431" s="52"/>
      <c r="P431" s="52"/>
      <c r="Q431" s="52"/>
      <c r="U431" s="52"/>
    </row>
    <row r="432">
      <c r="M432" s="52"/>
      <c r="N432" s="52"/>
      <c r="O432" s="52"/>
      <c r="P432" s="52"/>
      <c r="Q432" s="52"/>
      <c r="U432" s="52"/>
    </row>
    <row r="433">
      <c r="M433" s="52"/>
      <c r="N433" s="52"/>
      <c r="O433" s="52"/>
      <c r="P433" s="52"/>
      <c r="Q433" s="52"/>
      <c r="U433" s="52"/>
    </row>
    <row r="434">
      <c r="M434" s="52"/>
      <c r="N434" s="52"/>
      <c r="O434" s="52"/>
      <c r="P434" s="52"/>
      <c r="Q434" s="52"/>
      <c r="U434" s="52"/>
    </row>
    <row r="435">
      <c r="M435" s="52"/>
      <c r="N435" s="52"/>
      <c r="O435" s="52"/>
      <c r="P435" s="52"/>
      <c r="Q435" s="52"/>
      <c r="U435" s="52"/>
    </row>
    <row r="436">
      <c r="M436" s="52"/>
      <c r="N436" s="52"/>
      <c r="O436" s="52"/>
      <c r="P436" s="52"/>
      <c r="Q436" s="52"/>
      <c r="U436" s="52"/>
    </row>
    <row r="437">
      <c r="M437" s="52"/>
      <c r="N437" s="52"/>
      <c r="O437" s="52"/>
      <c r="P437" s="52"/>
      <c r="Q437" s="52"/>
      <c r="U437" s="52"/>
    </row>
    <row r="438">
      <c r="M438" s="52"/>
      <c r="N438" s="52"/>
      <c r="O438" s="52"/>
      <c r="P438" s="52"/>
      <c r="Q438" s="52"/>
      <c r="U438" s="52"/>
    </row>
    <row r="439">
      <c r="M439" s="52"/>
      <c r="N439" s="52"/>
      <c r="O439" s="52"/>
      <c r="P439" s="52"/>
      <c r="Q439" s="52"/>
      <c r="U439" s="52"/>
    </row>
    <row r="440">
      <c r="M440" s="52"/>
      <c r="N440" s="52"/>
      <c r="O440" s="52"/>
      <c r="P440" s="52"/>
      <c r="Q440" s="52"/>
      <c r="U440" s="52"/>
    </row>
    <row r="441">
      <c r="M441" s="52"/>
      <c r="N441" s="52"/>
      <c r="O441" s="52"/>
      <c r="P441" s="52"/>
      <c r="Q441" s="52"/>
      <c r="U441" s="52"/>
    </row>
    <row r="442">
      <c r="M442" s="52"/>
      <c r="N442" s="52"/>
      <c r="O442" s="52"/>
      <c r="P442" s="52"/>
      <c r="Q442" s="52"/>
      <c r="U442" s="52"/>
    </row>
    <row r="443">
      <c r="M443" s="52"/>
      <c r="N443" s="52"/>
      <c r="O443" s="52"/>
      <c r="P443" s="52"/>
      <c r="Q443" s="52"/>
      <c r="U443" s="52"/>
    </row>
    <row r="444">
      <c r="M444" s="52"/>
      <c r="N444" s="52"/>
      <c r="O444" s="52"/>
      <c r="P444" s="52"/>
      <c r="Q444" s="52"/>
      <c r="U444" s="52"/>
    </row>
    <row r="445">
      <c r="M445" s="52"/>
      <c r="N445" s="52"/>
      <c r="O445" s="52"/>
      <c r="P445" s="52"/>
      <c r="Q445" s="52"/>
      <c r="U445" s="52"/>
    </row>
    <row r="446">
      <c r="M446" s="52"/>
      <c r="N446" s="52"/>
      <c r="O446" s="52"/>
      <c r="P446" s="52"/>
      <c r="Q446" s="52"/>
      <c r="U446" s="52"/>
    </row>
    <row r="447">
      <c r="M447" s="52"/>
      <c r="N447" s="52"/>
      <c r="O447" s="52"/>
      <c r="P447" s="52"/>
      <c r="Q447" s="52"/>
      <c r="U447" s="52"/>
    </row>
    <row r="448">
      <c r="M448" s="52"/>
      <c r="N448" s="52"/>
      <c r="O448" s="52"/>
      <c r="P448" s="52"/>
      <c r="Q448" s="52"/>
      <c r="U448" s="52"/>
    </row>
    <row r="449">
      <c r="M449" s="52"/>
      <c r="N449" s="52"/>
      <c r="O449" s="52"/>
      <c r="P449" s="52"/>
      <c r="Q449" s="52"/>
      <c r="U449" s="52"/>
    </row>
    <row r="450">
      <c r="M450" s="52"/>
      <c r="N450" s="52"/>
      <c r="O450" s="52"/>
      <c r="P450" s="52"/>
      <c r="Q450" s="52"/>
      <c r="U450" s="52"/>
    </row>
    <row r="451">
      <c r="M451" s="52"/>
      <c r="N451" s="52"/>
      <c r="O451" s="52"/>
      <c r="P451" s="52"/>
      <c r="Q451" s="52"/>
      <c r="U451" s="52"/>
    </row>
    <row r="452">
      <c r="M452" s="52"/>
      <c r="N452" s="52"/>
      <c r="O452" s="52"/>
      <c r="P452" s="52"/>
      <c r="Q452" s="52"/>
      <c r="U452" s="52"/>
    </row>
    <row r="453">
      <c r="M453" s="52"/>
      <c r="N453" s="52"/>
      <c r="O453" s="52"/>
      <c r="P453" s="52"/>
      <c r="Q453" s="52"/>
      <c r="U453" s="52"/>
    </row>
    <row r="454">
      <c r="M454" s="52"/>
      <c r="N454" s="52"/>
      <c r="O454" s="52"/>
      <c r="P454" s="52"/>
      <c r="Q454" s="52"/>
      <c r="U454" s="52"/>
    </row>
    <row r="455">
      <c r="M455" s="52"/>
      <c r="N455" s="52"/>
      <c r="O455" s="52"/>
      <c r="P455" s="52"/>
      <c r="Q455" s="52"/>
      <c r="U455" s="52"/>
    </row>
    <row r="456">
      <c r="M456" s="52"/>
      <c r="N456" s="52"/>
      <c r="O456" s="52"/>
      <c r="P456" s="52"/>
      <c r="Q456" s="52"/>
      <c r="U456" s="52"/>
    </row>
    <row r="457">
      <c r="M457" s="52"/>
      <c r="N457" s="52"/>
      <c r="O457" s="52"/>
      <c r="P457" s="52"/>
      <c r="Q457" s="52"/>
      <c r="U457" s="52"/>
    </row>
    <row r="458">
      <c r="M458" s="52"/>
      <c r="N458" s="52"/>
      <c r="O458" s="52"/>
      <c r="P458" s="52"/>
      <c r="Q458" s="52"/>
      <c r="U458" s="52"/>
    </row>
    <row r="459">
      <c r="M459" s="52"/>
      <c r="N459" s="52"/>
      <c r="O459" s="52"/>
      <c r="P459" s="52"/>
      <c r="Q459" s="52"/>
      <c r="U459" s="52"/>
    </row>
    <row r="460">
      <c r="M460" s="52"/>
      <c r="N460" s="52"/>
      <c r="O460" s="52"/>
      <c r="P460" s="52"/>
      <c r="Q460" s="52"/>
      <c r="U460" s="52"/>
    </row>
    <row r="461">
      <c r="M461" s="52"/>
      <c r="N461" s="52"/>
      <c r="O461" s="52"/>
      <c r="P461" s="52"/>
      <c r="Q461" s="52"/>
      <c r="U461" s="52"/>
    </row>
    <row r="462">
      <c r="M462" s="52"/>
      <c r="N462" s="52"/>
      <c r="O462" s="52"/>
      <c r="P462" s="52"/>
      <c r="Q462" s="52"/>
      <c r="U462" s="52"/>
    </row>
    <row r="463">
      <c r="M463" s="52"/>
      <c r="N463" s="52"/>
      <c r="O463" s="52"/>
      <c r="P463" s="52"/>
      <c r="Q463" s="52"/>
      <c r="U463" s="52"/>
    </row>
    <row r="464">
      <c r="M464" s="52"/>
      <c r="N464" s="52"/>
      <c r="O464" s="52"/>
      <c r="P464" s="52"/>
      <c r="Q464" s="52"/>
      <c r="U464" s="52"/>
    </row>
    <row r="465">
      <c r="M465" s="52"/>
      <c r="N465" s="52"/>
      <c r="O465" s="52"/>
      <c r="P465" s="52"/>
      <c r="Q465" s="52"/>
      <c r="U465" s="52"/>
    </row>
    <row r="466">
      <c r="M466" s="52"/>
      <c r="N466" s="52"/>
      <c r="O466" s="52"/>
      <c r="P466" s="52"/>
      <c r="Q466" s="52"/>
      <c r="U466" s="52"/>
    </row>
    <row r="467">
      <c r="M467" s="52"/>
      <c r="N467" s="52"/>
      <c r="O467" s="52"/>
      <c r="P467" s="52"/>
      <c r="Q467" s="52"/>
      <c r="U467" s="52"/>
    </row>
    <row r="468">
      <c r="M468" s="52"/>
      <c r="N468" s="52"/>
      <c r="O468" s="52"/>
      <c r="P468" s="52"/>
      <c r="Q468" s="52"/>
      <c r="U468" s="52"/>
    </row>
    <row r="469">
      <c r="M469" s="52"/>
      <c r="N469" s="52"/>
      <c r="O469" s="52"/>
      <c r="P469" s="52"/>
      <c r="Q469" s="52"/>
      <c r="U469" s="52"/>
    </row>
    <row r="470">
      <c r="M470" s="52"/>
      <c r="N470" s="52"/>
      <c r="O470" s="52"/>
      <c r="P470" s="52"/>
      <c r="Q470" s="52"/>
      <c r="U470" s="52"/>
    </row>
    <row r="471">
      <c r="M471" s="52"/>
      <c r="N471" s="52"/>
      <c r="O471" s="52"/>
      <c r="P471" s="52"/>
      <c r="Q471" s="52"/>
      <c r="U471" s="52"/>
    </row>
    <row r="472">
      <c r="M472" s="52"/>
      <c r="N472" s="52"/>
      <c r="O472" s="52"/>
      <c r="P472" s="52"/>
      <c r="Q472" s="52"/>
      <c r="U472" s="52"/>
    </row>
    <row r="473">
      <c r="M473" s="52"/>
      <c r="N473" s="52"/>
      <c r="O473" s="52"/>
      <c r="P473" s="52"/>
      <c r="Q473" s="52"/>
      <c r="U473" s="52"/>
    </row>
    <row r="474">
      <c r="M474" s="52"/>
      <c r="N474" s="52"/>
      <c r="O474" s="52"/>
      <c r="P474" s="52"/>
      <c r="Q474" s="52"/>
      <c r="U474" s="52"/>
    </row>
    <row r="475">
      <c r="M475" s="52"/>
      <c r="N475" s="52"/>
      <c r="O475" s="52"/>
      <c r="P475" s="52"/>
      <c r="Q475" s="52"/>
      <c r="U475" s="52"/>
    </row>
    <row r="476">
      <c r="M476" s="52"/>
      <c r="N476" s="52"/>
      <c r="O476" s="52"/>
      <c r="P476" s="52"/>
      <c r="Q476" s="52"/>
      <c r="U476" s="52"/>
    </row>
    <row r="477">
      <c r="M477" s="52"/>
      <c r="N477" s="52"/>
      <c r="O477" s="52"/>
      <c r="P477" s="52"/>
      <c r="Q477" s="52"/>
      <c r="U477" s="52"/>
    </row>
    <row r="478">
      <c r="M478" s="52"/>
      <c r="N478" s="52"/>
      <c r="O478" s="52"/>
      <c r="P478" s="52"/>
      <c r="Q478" s="52"/>
      <c r="U478" s="52"/>
    </row>
    <row r="479">
      <c r="M479" s="52"/>
      <c r="N479" s="52"/>
      <c r="O479" s="52"/>
      <c r="P479" s="52"/>
      <c r="Q479" s="52"/>
      <c r="U479" s="52"/>
    </row>
    <row r="480">
      <c r="M480" s="52"/>
      <c r="N480" s="52"/>
      <c r="O480" s="52"/>
      <c r="P480" s="52"/>
      <c r="Q480" s="52"/>
      <c r="U480" s="52"/>
    </row>
    <row r="481">
      <c r="M481" s="52"/>
      <c r="N481" s="52"/>
      <c r="O481" s="52"/>
      <c r="P481" s="52"/>
      <c r="Q481" s="52"/>
      <c r="U481" s="52"/>
    </row>
    <row r="482">
      <c r="M482" s="52"/>
      <c r="N482" s="52"/>
      <c r="O482" s="52"/>
      <c r="P482" s="52"/>
      <c r="Q482" s="52"/>
      <c r="U482" s="52"/>
    </row>
    <row r="483">
      <c r="M483" s="52"/>
      <c r="N483" s="52"/>
      <c r="O483" s="52"/>
      <c r="P483" s="52"/>
      <c r="Q483" s="52"/>
      <c r="U483" s="52"/>
    </row>
    <row r="484">
      <c r="M484" s="52"/>
      <c r="N484" s="52"/>
      <c r="O484" s="52"/>
      <c r="P484" s="52"/>
      <c r="Q484" s="52"/>
      <c r="U484" s="52"/>
    </row>
    <row r="485">
      <c r="M485" s="52"/>
      <c r="N485" s="52"/>
      <c r="O485" s="52"/>
      <c r="P485" s="52"/>
      <c r="Q485" s="52"/>
      <c r="U485" s="52"/>
    </row>
    <row r="486">
      <c r="M486" s="52"/>
      <c r="N486" s="52"/>
      <c r="O486" s="52"/>
      <c r="P486" s="52"/>
      <c r="Q486" s="52"/>
      <c r="U486" s="52"/>
    </row>
    <row r="487">
      <c r="M487" s="52"/>
      <c r="N487" s="52"/>
      <c r="O487" s="52"/>
      <c r="P487" s="52"/>
      <c r="Q487" s="52"/>
      <c r="U487" s="52"/>
    </row>
    <row r="488">
      <c r="M488" s="52"/>
      <c r="N488" s="52"/>
      <c r="O488" s="52"/>
      <c r="P488" s="52"/>
      <c r="Q488" s="52"/>
      <c r="U488" s="52"/>
    </row>
    <row r="489">
      <c r="M489" s="52"/>
      <c r="N489" s="52"/>
      <c r="O489" s="52"/>
      <c r="P489" s="52"/>
      <c r="Q489" s="52"/>
      <c r="U489" s="52"/>
    </row>
    <row r="490">
      <c r="M490" s="52"/>
      <c r="N490" s="52"/>
      <c r="O490" s="52"/>
      <c r="P490" s="52"/>
      <c r="Q490" s="52"/>
      <c r="U490" s="52"/>
    </row>
    <row r="491">
      <c r="M491" s="52"/>
      <c r="N491" s="52"/>
      <c r="O491" s="52"/>
      <c r="P491" s="52"/>
      <c r="Q491" s="52"/>
      <c r="U491" s="52"/>
    </row>
    <row r="492">
      <c r="M492" s="52"/>
      <c r="N492" s="52"/>
      <c r="O492" s="52"/>
      <c r="P492" s="52"/>
      <c r="Q492" s="52"/>
      <c r="U492" s="52"/>
    </row>
    <row r="493">
      <c r="M493" s="52"/>
      <c r="N493" s="52"/>
      <c r="O493" s="52"/>
      <c r="P493" s="52"/>
      <c r="Q493" s="52"/>
      <c r="U493" s="52"/>
    </row>
    <row r="494">
      <c r="M494" s="52"/>
      <c r="N494" s="52"/>
      <c r="O494" s="52"/>
      <c r="P494" s="52"/>
      <c r="Q494" s="52"/>
      <c r="U494" s="52"/>
    </row>
    <row r="495">
      <c r="M495" s="52"/>
      <c r="N495" s="52"/>
      <c r="O495" s="52"/>
      <c r="P495" s="52"/>
      <c r="Q495" s="52"/>
      <c r="U495" s="52"/>
    </row>
    <row r="496">
      <c r="M496" s="52"/>
      <c r="N496" s="52"/>
      <c r="O496" s="52"/>
      <c r="P496" s="52"/>
      <c r="Q496" s="52"/>
      <c r="U496" s="52"/>
    </row>
    <row r="497">
      <c r="M497" s="52"/>
      <c r="N497" s="52"/>
      <c r="O497" s="52"/>
      <c r="P497" s="52"/>
      <c r="Q497" s="52"/>
      <c r="U497" s="52"/>
    </row>
    <row r="498">
      <c r="M498" s="52"/>
      <c r="N498" s="52"/>
      <c r="O498" s="52"/>
      <c r="P498" s="52"/>
      <c r="Q498" s="52"/>
      <c r="U498" s="52"/>
    </row>
    <row r="499">
      <c r="M499" s="52"/>
      <c r="N499" s="52"/>
      <c r="O499" s="52"/>
      <c r="P499" s="52"/>
      <c r="Q499" s="52"/>
      <c r="U499" s="52"/>
    </row>
    <row r="500">
      <c r="M500" s="52"/>
      <c r="N500" s="52"/>
      <c r="O500" s="52"/>
      <c r="P500" s="52"/>
      <c r="Q500" s="52"/>
      <c r="U500" s="52"/>
    </row>
    <row r="501">
      <c r="M501" s="52"/>
      <c r="N501" s="52"/>
      <c r="O501" s="52"/>
      <c r="P501" s="52"/>
      <c r="Q501" s="52"/>
      <c r="U501" s="52"/>
    </row>
    <row r="502">
      <c r="M502" s="52"/>
      <c r="N502" s="52"/>
      <c r="O502" s="52"/>
      <c r="P502" s="52"/>
      <c r="Q502" s="52"/>
      <c r="U502" s="52"/>
    </row>
    <row r="503">
      <c r="M503" s="52"/>
      <c r="N503" s="52"/>
      <c r="O503" s="52"/>
      <c r="P503" s="52"/>
      <c r="Q503" s="52"/>
      <c r="U503" s="52"/>
    </row>
    <row r="504">
      <c r="M504" s="52"/>
      <c r="N504" s="52"/>
      <c r="O504" s="52"/>
      <c r="P504" s="52"/>
      <c r="Q504" s="52"/>
      <c r="U504" s="52"/>
    </row>
    <row r="505">
      <c r="M505" s="52"/>
      <c r="N505" s="52"/>
      <c r="O505" s="52"/>
      <c r="P505" s="52"/>
      <c r="Q505" s="52"/>
      <c r="U505" s="52"/>
    </row>
    <row r="506">
      <c r="M506" s="52"/>
      <c r="N506" s="52"/>
      <c r="O506" s="52"/>
      <c r="P506" s="52"/>
      <c r="Q506" s="52"/>
      <c r="U506" s="52"/>
    </row>
    <row r="507">
      <c r="M507" s="52"/>
      <c r="N507" s="52"/>
      <c r="O507" s="52"/>
      <c r="P507" s="52"/>
      <c r="Q507" s="52"/>
      <c r="U507" s="52"/>
    </row>
    <row r="508">
      <c r="M508" s="52"/>
      <c r="N508" s="52"/>
      <c r="O508" s="52"/>
      <c r="P508" s="52"/>
      <c r="Q508" s="52"/>
      <c r="U508" s="52"/>
    </row>
    <row r="509">
      <c r="M509" s="52"/>
      <c r="N509" s="52"/>
      <c r="O509" s="52"/>
      <c r="P509" s="52"/>
      <c r="Q509" s="52"/>
      <c r="U509" s="52"/>
    </row>
    <row r="510">
      <c r="M510" s="52"/>
      <c r="N510" s="52"/>
      <c r="O510" s="52"/>
      <c r="P510" s="52"/>
      <c r="Q510" s="52"/>
      <c r="U510" s="52"/>
    </row>
    <row r="511">
      <c r="M511" s="52"/>
      <c r="N511" s="52"/>
      <c r="O511" s="52"/>
      <c r="P511" s="52"/>
      <c r="Q511" s="52"/>
      <c r="U511" s="52"/>
    </row>
    <row r="512">
      <c r="M512" s="52"/>
      <c r="N512" s="52"/>
      <c r="O512" s="52"/>
      <c r="P512" s="52"/>
      <c r="Q512" s="52"/>
      <c r="U512" s="52"/>
    </row>
    <row r="513">
      <c r="M513" s="52"/>
      <c r="N513" s="52"/>
      <c r="O513" s="52"/>
      <c r="P513" s="52"/>
      <c r="Q513" s="52"/>
      <c r="U513" s="52"/>
    </row>
    <row r="514">
      <c r="M514" s="52"/>
      <c r="N514" s="52"/>
      <c r="O514" s="52"/>
      <c r="P514" s="52"/>
      <c r="Q514" s="52"/>
      <c r="U514" s="52"/>
    </row>
    <row r="515">
      <c r="M515" s="52"/>
      <c r="N515" s="52"/>
      <c r="O515" s="52"/>
      <c r="P515" s="52"/>
      <c r="Q515" s="52"/>
      <c r="U515" s="52"/>
    </row>
    <row r="516">
      <c r="M516" s="52"/>
      <c r="N516" s="52"/>
      <c r="O516" s="52"/>
      <c r="P516" s="52"/>
      <c r="Q516" s="52"/>
      <c r="U516" s="52"/>
    </row>
    <row r="517">
      <c r="M517" s="52"/>
      <c r="N517" s="52"/>
      <c r="O517" s="52"/>
      <c r="P517" s="52"/>
      <c r="Q517" s="52"/>
      <c r="U517" s="52"/>
    </row>
    <row r="518">
      <c r="M518" s="52"/>
      <c r="N518" s="52"/>
      <c r="O518" s="52"/>
      <c r="P518" s="52"/>
      <c r="Q518" s="52"/>
      <c r="U518" s="52"/>
    </row>
    <row r="519">
      <c r="M519" s="52"/>
      <c r="N519" s="52"/>
      <c r="O519" s="52"/>
      <c r="P519" s="52"/>
      <c r="Q519" s="52"/>
      <c r="U519" s="52"/>
    </row>
    <row r="520">
      <c r="M520" s="52"/>
      <c r="N520" s="52"/>
      <c r="O520" s="52"/>
      <c r="P520" s="52"/>
      <c r="Q520" s="52"/>
      <c r="U520" s="52"/>
    </row>
    <row r="521">
      <c r="M521" s="52"/>
      <c r="N521" s="52"/>
      <c r="O521" s="52"/>
      <c r="P521" s="52"/>
      <c r="Q521" s="52"/>
      <c r="U521" s="52"/>
    </row>
    <row r="522">
      <c r="M522" s="52"/>
      <c r="N522" s="52"/>
      <c r="O522" s="52"/>
      <c r="P522" s="52"/>
      <c r="Q522" s="52"/>
      <c r="U522" s="52"/>
    </row>
    <row r="523">
      <c r="M523" s="52"/>
      <c r="N523" s="52"/>
      <c r="O523" s="52"/>
      <c r="P523" s="52"/>
      <c r="Q523" s="52"/>
      <c r="U523" s="52"/>
    </row>
    <row r="524">
      <c r="M524" s="52"/>
      <c r="N524" s="52"/>
      <c r="O524" s="52"/>
      <c r="P524" s="52"/>
      <c r="Q524" s="52"/>
      <c r="U524" s="52"/>
    </row>
    <row r="525">
      <c r="M525" s="52"/>
      <c r="N525" s="52"/>
      <c r="O525" s="52"/>
      <c r="P525" s="52"/>
      <c r="Q525" s="52"/>
      <c r="U525" s="52"/>
    </row>
    <row r="526">
      <c r="M526" s="52"/>
      <c r="N526" s="52"/>
      <c r="O526" s="52"/>
      <c r="P526" s="52"/>
      <c r="Q526" s="52"/>
      <c r="U526" s="52"/>
    </row>
    <row r="527">
      <c r="M527" s="52"/>
      <c r="N527" s="52"/>
      <c r="O527" s="52"/>
      <c r="P527" s="52"/>
      <c r="Q527" s="52"/>
      <c r="U527" s="52"/>
    </row>
    <row r="528">
      <c r="M528" s="52"/>
      <c r="N528" s="52"/>
      <c r="O528" s="52"/>
      <c r="P528" s="52"/>
      <c r="Q528" s="52"/>
      <c r="U528" s="52"/>
    </row>
    <row r="529">
      <c r="M529" s="52"/>
      <c r="N529" s="52"/>
      <c r="O529" s="52"/>
      <c r="P529" s="52"/>
      <c r="Q529" s="52"/>
      <c r="U529" s="52"/>
    </row>
    <row r="530">
      <c r="M530" s="52"/>
      <c r="N530" s="52"/>
      <c r="O530" s="52"/>
      <c r="P530" s="52"/>
      <c r="Q530" s="52"/>
      <c r="U530" s="52"/>
    </row>
    <row r="531">
      <c r="M531" s="52"/>
      <c r="N531" s="52"/>
      <c r="O531" s="52"/>
      <c r="P531" s="52"/>
      <c r="Q531" s="52"/>
      <c r="U531" s="52"/>
    </row>
    <row r="532">
      <c r="M532" s="52"/>
      <c r="N532" s="52"/>
      <c r="O532" s="52"/>
      <c r="P532" s="52"/>
      <c r="Q532" s="52"/>
      <c r="U532" s="52"/>
    </row>
    <row r="533">
      <c r="M533" s="52"/>
      <c r="N533" s="52"/>
      <c r="O533" s="52"/>
      <c r="P533" s="52"/>
      <c r="Q533" s="52"/>
      <c r="U533" s="52"/>
    </row>
    <row r="534">
      <c r="M534" s="52"/>
      <c r="N534" s="52"/>
      <c r="O534" s="52"/>
      <c r="P534" s="52"/>
      <c r="Q534" s="52"/>
      <c r="U534" s="52"/>
    </row>
    <row r="535">
      <c r="M535" s="52"/>
      <c r="N535" s="52"/>
      <c r="O535" s="52"/>
      <c r="P535" s="52"/>
      <c r="Q535" s="52"/>
      <c r="U535" s="52"/>
    </row>
    <row r="536">
      <c r="M536" s="52"/>
      <c r="N536" s="52"/>
      <c r="O536" s="52"/>
      <c r="P536" s="52"/>
      <c r="Q536" s="52"/>
      <c r="U536" s="52"/>
    </row>
    <row r="537">
      <c r="M537" s="52"/>
      <c r="N537" s="52"/>
      <c r="O537" s="52"/>
      <c r="P537" s="52"/>
      <c r="Q537" s="52"/>
      <c r="U537" s="52"/>
    </row>
    <row r="538">
      <c r="M538" s="52"/>
      <c r="N538" s="52"/>
      <c r="O538" s="52"/>
      <c r="P538" s="52"/>
      <c r="Q538" s="52"/>
      <c r="U538" s="52"/>
    </row>
    <row r="539">
      <c r="M539" s="52"/>
      <c r="N539" s="52"/>
      <c r="O539" s="52"/>
      <c r="P539" s="52"/>
      <c r="Q539" s="52"/>
      <c r="U539" s="52"/>
    </row>
    <row r="540">
      <c r="M540" s="52"/>
      <c r="N540" s="52"/>
      <c r="O540" s="52"/>
      <c r="P540" s="52"/>
      <c r="Q540" s="52"/>
      <c r="U540" s="52"/>
    </row>
    <row r="541">
      <c r="M541" s="52"/>
      <c r="N541" s="52"/>
      <c r="O541" s="52"/>
      <c r="P541" s="52"/>
      <c r="Q541" s="52"/>
      <c r="U541" s="52"/>
    </row>
    <row r="542">
      <c r="M542" s="52"/>
      <c r="N542" s="52"/>
      <c r="O542" s="52"/>
      <c r="P542" s="52"/>
      <c r="Q542" s="52"/>
      <c r="U542" s="52"/>
    </row>
    <row r="543">
      <c r="M543" s="52"/>
      <c r="N543" s="52"/>
      <c r="O543" s="52"/>
      <c r="P543" s="52"/>
      <c r="Q543" s="52"/>
      <c r="U543" s="52"/>
    </row>
    <row r="544">
      <c r="M544" s="52"/>
      <c r="N544" s="52"/>
      <c r="O544" s="52"/>
      <c r="P544" s="52"/>
      <c r="Q544" s="52"/>
      <c r="U544" s="52"/>
    </row>
    <row r="545">
      <c r="M545" s="52"/>
      <c r="N545" s="52"/>
      <c r="O545" s="52"/>
      <c r="P545" s="52"/>
      <c r="Q545" s="52"/>
      <c r="U545" s="52"/>
    </row>
    <row r="546">
      <c r="M546" s="52"/>
      <c r="N546" s="52"/>
      <c r="O546" s="52"/>
      <c r="P546" s="52"/>
      <c r="Q546" s="52"/>
      <c r="U546" s="52"/>
    </row>
    <row r="547">
      <c r="M547" s="52"/>
      <c r="N547" s="52"/>
      <c r="O547" s="52"/>
      <c r="P547" s="52"/>
      <c r="Q547" s="52"/>
      <c r="U547" s="52"/>
    </row>
    <row r="548">
      <c r="M548" s="52"/>
      <c r="N548" s="52"/>
      <c r="O548" s="52"/>
      <c r="P548" s="52"/>
      <c r="Q548" s="52"/>
      <c r="U548" s="52"/>
    </row>
    <row r="549">
      <c r="M549" s="52"/>
      <c r="N549" s="52"/>
      <c r="O549" s="52"/>
      <c r="P549" s="52"/>
      <c r="Q549" s="52"/>
      <c r="U549" s="52"/>
    </row>
    <row r="550">
      <c r="M550" s="52"/>
      <c r="N550" s="52"/>
      <c r="O550" s="52"/>
      <c r="P550" s="52"/>
      <c r="Q550" s="52"/>
      <c r="U550" s="52"/>
    </row>
    <row r="551">
      <c r="M551" s="52"/>
      <c r="N551" s="52"/>
      <c r="O551" s="52"/>
      <c r="P551" s="52"/>
      <c r="Q551" s="52"/>
      <c r="U551" s="52"/>
    </row>
    <row r="552">
      <c r="M552" s="52"/>
      <c r="N552" s="52"/>
      <c r="O552" s="52"/>
      <c r="P552" s="52"/>
      <c r="Q552" s="52"/>
      <c r="U552" s="52"/>
    </row>
    <row r="553">
      <c r="M553" s="52"/>
      <c r="N553" s="52"/>
      <c r="O553" s="52"/>
      <c r="P553" s="52"/>
      <c r="Q553" s="52"/>
      <c r="U553" s="52"/>
    </row>
    <row r="554">
      <c r="M554" s="52"/>
      <c r="N554" s="52"/>
      <c r="O554" s="52"/>
      <c r="P554" s="52"/>
      <c r="Q554" s="52"/>
      <c r="U554" s="52"/>
    </row>
    <row r="555">
      <c r="M555" s="52"/>
      <c r="N555" s="52"/>
      <c r="O555" s="52"/>
      <c r="P555" s="52"/>
      <c r="Q555" s="52"/>
      <c r="U555" s="52"/>
    </row>
    <row r="556">
      <c r="M556" s="52"/>
      <c r="N556" s="52"/>
      <c r="O556" s="52"/>
      <c r="P556" s="52"/>
      <c r="Q556" s="52"/>
      <c r="U556" s="52"/>
    </row>
    <row r="557">
      <c r="M557" s="52"/>
      <c r="N557" s="52"/>
      <c r="O557" s="52"/>
      <c r="P557" s="52"/>
      <c r="Q557" s="52"/>
      <c r="U557" s="52"/>
    </row>
    <row r="558">
      <c r="M558" s="52"/>
      <c r="N558" s="52"/>
      <c r="O558" s="52"/>
      <c r="P558" s="52"/>
      <c r="Q558" s="52"/>
      <c r="U558" s="52"/>
    </row>
    <row r="559">
      <c r="M559" s="52"/>
      <c r="N559" s="52"/>
      <c r="O559" s="52"/>
      <c r="P559" s="52"/>
      <c r="Q559" s="52"/>
      <c r="U559" s="52"/>
    </row>
    <row r="560">
      <c r="M560" s="52"/>
      <c r="N560" s="52"/>
      <c r="O560" s="52"/>
      <c r="P560" s="52"/>
      <c r="Q560" s="52"/>
      <c r="U560" s="52"/>
    </row>
    <row r="561">
      <c r="M561" s="52"/>
      <c r="N561" s="52"/>
      <c r="O561" s="52"/>
      <c r="P561" s="52"/>
      <c r="Q561" s="52"/>
      <c r="U561" s="52"/>
    </row>
    <row r="562">
      <c r="M562" s="52"/>
      <c r="N562" s="52"/>
      <c r="O562" s="52"/>
      <c r="P562" s="52"/>
      <c r="Q562" s="52"/>
      <c r="U562" s="52"/>
    </row>
    <row r="563">
      <c r="M563" s="52"/>
      <c r="N563" s="52"/>
      <c r="O563" s="52"/>
      <c r="P563" s="52"/>
      <c r="Q563" s="52"/>
      <c r="U563" s="52"/>
    </row>
    <row r="564">
      <c r="M564" s="52"/>
      <c r="N564" s="52"/>
      <c r="O564" s="52"/>
      <c r="P564" s="52"/>
      <c r="Q564" s="52"/>
      <c r="U564" s="52"/>
    </row>
    <row r="565">
      <c r="M565" s="52"/>
      <c r="N565" s="52"/>
      <c r="O565" s="52"/>
      <c r="P565" s="52"/>
      <c r="Q565" s="52"/>
      <c r="U565" s="52"/>
    </row>
    <row r="566">
      <c r="M566" s="52"/>
      <c r="N566" s="52"/>
      <c r="O566" s="52"/>
      <c r="P566" s="52"/>
      <c r="Q566" s="52"/>
      <c r="U566" s="52"/>
    </row>
    <row r="567">
      <c r="M567" s="52"/>
      <c r="N567" s="52"/>
      <c r="O567" s="52"/>
      <c r="P567" s="52"/>
      <c r="Q567" s="52"/>
      <c r="U567" s="52"/>
    </row>
    <row r="568">
      <c r="M568" s="52"/>
      <c r="N568" s="52"/>
      <c r="O568" s="52"/>
      <c r="P568" s="52"/>
      <c r="Q568" s="52"/>
      <c r="U568" s="52"/>
    </row>
    <row r="569">
      <c r="M569" s="52"/>
      <c r="N569" s="52"/>
      <c r="O569" s="52"/>
      <c r="P569" s="52"/>
      <c r="Q569" s="52"/>
      <c r="U569" s="52"/>
    </row>
    <row r="570">
      <c r="M570" s="52"/>
      <c r="N570" s="52"/>
      <c r="O570" s="52"/>
      <c r="P570" s="52"/>
      <c r="Q570" s="52"/>
      <c r="U570" s="52"/>
    </row>
    <row r="571">
      <c r="M571" s="52"/>
      <c r="N571" s="52"/>
      <c r="O571" s="52"/>
      <c r="P571" s="52"/>
      <c r="Q571" s="52"/>
      <c r="U571" s="52"/>
    </row>
    <row r="572">
      <c r="M572" s="52"/>
      <c r="N572" s="52"/>
      <c r="O572" s="52"/>
      <c r="P572" s="52"/>
      <c r="Q572" s="52"/>
      <c r="U572" s="52"/>
    </row>
    <row r="573">
      <c r="M573" s="52"/>
      <c r="N573" s="52"/>
      <c r="O573" s="52"/>
      <c r="P573" s="52"/>
      <c r="Q573" s="52"/>
      <c r="U573" s="52"/>
    </row>
    <row r="574">
      <c r="M574" s="52"/>
      <c r="N574" s="52"/>
      <c r="O574" s="52"/>
      <c r="P574" s="52"/>
      <c r="Q574" s="52"/>
      <c r="U574" s="52"/>
    </row>
    <row r="575">
      <c r="M575" s="52"/>
      <c r="N575" s="52"/>
      <c r="O575" s="52"/>
      <c r="P575" s="52"/>
      <c r="Q575" s="52"/>
      <c r="U575" s="52"/>
    </row>
    <row r="576">
      <c r="M576" s="52"/>
      <c r="N576" s="52"/>
      <c r="O576" s="52"/>
      <c r="P576" s="52"/>
      <c r="Q576" s="52"/>
      <c r="U576" s="52"/>
    </row>
    <row r="577">
      <c r="M577" s="52"/>
      <c r="N577" s="52"/>
      <c r="O577" s="52"/>
      <c r="P577" s="52"/>
      <c r="Q577" s="52"/>
      <c r="U577" s="52"/>
    </row>
    <row r="578">
      <c r="M578" s="52"/>
      <c r="N578" s="52"/>
      <c r="O578" s="52"/>
      <c r="P578" s="52"/>
      <c r="Q578" s="52"/>
      <c r="U578" s="52"/>
    </row>
    <row r="579">
      <c r="M579" s="52"/>
      <c r="N579" s="52"/>
      <c r="O579" s="52"/>
      <c r="P579" s="52"/>
      <c r="Q579" s="52"/>
      <c r="U579" s="52"/>
    </row>
    <row r="580">
      <c r="M580" s="52"/>
      <c r="N580" s="52"/>
      <c r="O580" s="52"/>
      <c r="P580" s="52"/>
      <c r="Q580" s="52"/>
      <c r="U580" s="52"/>
    </row>
    <row r="581">
      <c r="M581" s="52"/>
      <c r="N581" s="52"/>
      <c r="O581" s="52"/>
      <c r="P581" s="52"/>
      <c r="Q581" s="52"/>
      <c r="U581" s="52"/>
    </row>
    <row r="582">
      <c r="M582" s="52"/>
      <c r="N582" s="52"/>
      <c r="O582" s="52"/>
      <c r="P582" s="52"/>
      <c r="Q582" s="52"/>
      <c r="U582" s="52"/>
    </row>
    <row r="583">
      <c r="M583" s="52"/>
      <c r="N583" s="52"/>
      <c r="O583" s="52"/>
      <c r="P583" s="52"/>
      <c r="Q583" s="52"/>
      <c r="U583" s="52"/>
    </row>
    <row r="584">
      <c r="M584" s="52"/>
      <c r="N584" s="52"/>
      <c r="O584" s="52"/>
      <c r="P584" s="52"/>
      <c r="Q584" s="52"/>
      <c r="U584" s="52"/>
    </row>
    <row r="585">
      <c r="M585" s="52"/>
      <c r="N585" s="52"/>
      <c r="O585" s="52"/>
      <c r="P585" s="52"/>
      <c r="Q585" s="52"/>
      <c r="U585" s="52"/>
    </row>
    <row r="586">
      <c r="M586" s="52"/>
      <c r="N586" s="52"/>
      <c r="O586" s="52"/>
      <c r="P586" s="52"/>
      <c r="Q586" s="52"/>
      <c r="U586" s="52"/>
    </row>
    <row r="587">
      <c r="M587" s="52"/>
      <c r="N587" s="52"/>
      <c r="O587" s="52"/>
      <c r="P587" s="52"/>
      <c r="Q587" s="52"/>
      <c r="U587" s="52"/>
    </row>
    <row r="588">
      <c r="M588" s="52"/>
      <c r="N588" s="52"/>
      <c r="O588" s="52"/>
      <c r="P588" s="52"/>
      <c r="Q588" s="52"/>
      <c r="U588" s="52"/>
    </row>
    <row r="589">
      <c r="M589" s="52"/>
      <c r="N589" s="52"/>
      <c r="O589" s="52"/>
      <c r="P589" s="52"/>
      <c r="Q589" s="52"/>
      <c r="U589" s="52"/>
    </row>
    <row r="590">
      <c r="M590" s="52"/>
      <c r="N590" s="52"/>
      <c r="O590" s="52"/>
      <c r="P590" s="52"/>
      <c r="Q590" s="52"/>
      <c r="U590" s="52"/>
    </row>
    <row r="591">
      <c r="M591" s="52"/>
      <c r="N591" s="52"/>
      <c r="O591" s="52"/>
      <c r="P591" s="52"/>
      <c r="Q591" s="52"/>
      <c r="U591" s="52"/>
    </row>
    <row r="592">
      <c r="M592" s="52"/>
      <c r="N592" s="52"/>
      <c r="O592" s="52"/>
      <c r="P592" s="52"/>
      <c r="Q592" s="52"/>
      <c r="U592" s="52"/>
    </row>
    <row r="593">
      <c r="M593" s="52"/>
      <c r="N593" s="52"/>
      <c r="O593" s="52"/>
      <c r="P593" s="52"/>
      <c r="Q593" s="52"/>
      <c r="U593" s="52"/>
    </row>
    <row r="594">
      <c r="M594" s="52"/>
      <c r="N594" s="52"/>
      <c r="O594" s="52"/>
      <c r="P594" s="52"/>
      <c r="Q594" s="52"/>
      <c r="U594" s="52"/>
    </row>
    <row r="595">
      <c r="M595" s="52"/>
      <c r="N595" s="52"/>
      <c r="O595" s="52"/>
      <c r="P595" s="52"/>
      <c r="Q595" s="52"/>
      <c r="U595" s="52"/>
    </row>
    <row r="596">
      <c r="M596" s="52"/>
      <c r="N596" s="52"/>
      <c r="O596" s="52"/>
      <c r="P596" s="52"/>
      <c r="Q596" s="52"/>
      <c r="U596" s="52"/>
    </row>
    <row r="597">
      <c r="M597" s="52"/>
      <c r="N597" s="52"/>
      <c r="O597" s="52"/>
      <c r="P597" s="52"/>
      <c r="Q597" s="52"/>
      <c r="U597" s="52"/>
    </row>
    <row r="598">
      <c r="M598" s="52"/>
      <c r="N598" s="52"/>
      <c r="O598" s="52"/>
      <c r="P598" s="52"/>
      <c r="Q598" s="52"/>
      <c r="U598" s="52"/>
    </row>
    <row r="599">
      <c r="M599" s="52"/>
      <c r="N599" s="52"/>
      <c r="O599" s="52"/>
      <c r="P599" s="52"/>
      <c r="Q599" s="52"/>
      <c r="U599" s="52"/>
    </row>
    <row r="600">
      <c r="M600" s="52"/>
      <c r="N600" s="52"/>
      <c r="O600" s="52"/>
      <c r="P600" s="52"/>
      <c r="Q600" s="52"/>
      <c r="U600" s="52"/>
    </row>
    <row r="601">
      <c r="M601" s="52"/>
      <c r="N601" s="52"/>
      <c r="O601" s="52"/>
      <c r="P601" s="52"/>
      <c r="Q601" s="52"/>
      <c r="U601" s="52"/>
    </row>
    <row r="602">
      <c r="M602" s="52"/>
      <c r="N602" s="52"/>
      <c r="O602" s="52"/>
      <c r="P602" s="52"/>
      <c r="Q602" s="52"/>
      <c r="U602" s="52"/>
    </row>
    <row r="603">
      <c r="M603" s="52"/>
      <c r="N603" s="52"/>
      <c r="O603" s="52"/>
      <c r="P603" s="52"/>
      <c r="Q603" s="52"/>
      <c r="U603" s="52"/>
    </row>
    <row r="604">
      <c r="M604" s="52"/>
      <c r="N604" s="52"/>
      <c r="O604" s="52"/>
      <c r="P604" s="52"/>
      <c r="Q604" s="52"/>
      <c r="U604" s="52"/>
    </row>
    <row r="605">
      <c r="M605" s="52"/>
      <c r="N605" s="52"/>
      <c r="O605" s="52"/>
      <c r="P605" s="52"/>
      <c r="Q605" s="52"/>
      <c r="U605" s="52"/>
    </row>
    <row r="606">
      <c r="M606" s="52"/>
      <c r="N606" s="52"/>
      <c r="O606" s="52"/>
      <c r="P606" s="52"/>
      <c r="Q606" s="52"/>
      <c r="U606" s="52"/>
    </row>
    <row r="607">
      <c r="M607" s="52"/>
      <c r="N607" s="52"/>
      <c r="O607" s="52"/>
      <c r="P607" s="52"/>
      <c r="Q607" s="52"/>
      <c r="U607" s="52"/>
    </row>
    <row r="608">
      <c r="M608" s="52"/>
      <c r="N608" s="52"/>
      <c r="O608" s="52"/>
      <c r="P608" s="52"/>
      <c r="Q608" s="52"/>
      <c r="U608" s="52"/>
    </row>
    <row r="609">
      <c r="M609" s="52"/>
      <c r="N609" s="52"/>
      <c r="O609" s="52"/>
      <c r="P609" s="52"/>
      <c r="Q609" s="52"/>
      <c r="U609" s="52"/>
    </row>
    <row r="610">
      <c r="M610" s="52"/>
      <c r="N610" s="52"/>
      <c r="O610" s="52"/>
      <c r="P610" s="52"/>
      <c r="Q610" s="52"/>
      <c r="U610" s="52"/>
    </row>
    <row r="611">
      <c r="M611" s="52"/>
      <c r="N611" s="52"/>
      <c r="O611" s="52"/>
      <c r="P611" s="52"/>
      <c r="Q611" s="52"/>
      <c r="U611" s="52"/>
    </row>
    <row r="612">
      <c r="M612" s="52"/>
      <c r="N612" s="52"/>
      <c r="O612" s="52"/>
      <c r="P612" s="52"/>
      <c r="Q612" s="52"/>
      <c r="U612" s="52"/>
    </row>
    <row r="613">
      <c r="M613" s="52"/>
      <c r="N613" s="52"/>
      <c r="O613" s="52"/>
      <c r="P613" s="52"/>
      <c r="Q613" s="52"/>
      <c r="U613" s="52"/>
    </row>
    <row r="614">
      <c r="M614" s="52"/>
      <c r="N614" s="52"/>
      <c r="O614" s="52"/>
      <c r="P614" s="52"/>
      <c r="Q614" s="52"/>
      <c r="U614" s="52"/>
    </row>
    <row r="615">
      <c r="M615" s="52"/>
      <c r="N615" s="52"/>
      <c r="O615" s="52"/>
      <c r="P615" s="52"/>
      <c r="Q615" s="52"/>
      <c r="U615" s="52"/>
    </row>
    <row r="616">
      <c r="M616" s="52"/>
      <c r="N616" s="52"/>
      <c r="O616" s="52"/>
      <c r="P616" s="52"/>
      <c r="Q616" s="52"/>
      <c r="U616" s="52"/>
    </row>
    <row r="617">
      <c r="M617" s="52"/>
      <c r="N617" s="52"/>
      <c r="O617" s="52"/>
      <c r="P617" s="52"/>
      <c r="Q617" s="52"/>
      <c r="U617" s="52"/>
    </row>
    <row r="618">
      <c r="M618" s="52"/>
      <c r="N618" s="52"/>
      <c r="O618" s="52"/>
      <c r="P618" s="52"/>
      <c r="Q618" s="52"/>
      <c r="U618" s="52"/>
    </row>
    <row r="619">
      <c r="M619" s="52"/>
      <c r="N619" s="52"/>
      <c r="O619" s="52"/>
      <c r="P619" s="52"/>
      <c r="Q619" s="52"/>
      <c r="U619" s="52"/>
    </row>
    <row r="620">
      <c r="M620" s="52"/>
      <c r="N620" s="52"/>
      <c r="O620" s="52"/>
      <c r="P620" s="52"/>
      <c r="Q620" s="52"/>
      <c r="U620" s="52"/>
    </row>
    <row r="621">
      <c r="M621" s="52"/>
      <c r="N621" s="52"/>
      <c r="O621" s="52"/>
      <c r="P621" s="52"/>
      <c r="Q621" s="52"/>
      <c r="U621" s="52"/>
    </row>
    <row r="622">
      <c r="M622" s="52"/>
      <c r="N622" s="52"/>
      <c r="O622" s="52"/>
      <c r="P622" s="52"/>
      <c r="Q622" s="52"/>
      <c r="U622" s="52"/>
    </row>
    <row r="623">
      <c r="M623" s="52"/>
      <c r="N623" s="52"/>
      <c r="O623" s="52"/>
      <c r="P623" s="52"/>
      <c r="Q623" s="52"/>
      <c r="U623" s="52"/>
    </row>
    <row r="624">
      <c r="M624" s="52"/>
      <c r="N624" s="52"/>
      <c r="O624" s="52"/>
      <c r="P624" s="52"/>
      <c r="Q624" s="52"/>
      <c r="U624" s="52"/>
    </row>
    <row r="625">
      <c r="M625" s="52"/>
      <c r="N625" s="52"/>
      <c r="O625" s="52"/>
      <c r="P625" s="52"/>
      <c r="Q625" s="52"/>
      <c r="U625" s="52"/>
    </row>
    <row r="626">
      <c r="M626" s="52"/>
      <c r="N626" s="52"/>
      <c r="O626" s="52"/>
      <c r="P626" s="52"/>
      <c r="Q626" s="52"/>
      <c r="U626" s="52"/>
    </row>
    <row r="627">
      <c r="M627" s="52"/>
      <c r="N627" s="52"/>
      <c r="O627" s="52"/>
      <c r="P627" s="52"/>
      <c r="Q627" s="52"/>
      <c r="U627" s="52"/>
    </row>
    <row r="628">
      <c r="M628" s="52"/>
      <c r="N628" s="52"/>
      <c r="O628" s="52"/>
      <c r="P628" s="52"/>
      <c r="Q628" s="52"/>
      <c r="U628" s="52"/>
    </row>
    <row r="629">
      <c r="M629" s="52"/>
      <c r="N629" s="52"/>
      <c r="O629" s="52"/>
      <c r="P629" s="52"/>
      <c r="Q629" s="52"/>
      <c r="U629" s="52"/>
    </row>
    <row r="630">
      <c r="M630" s="52"/>
      <c r="N630" s="52"/>
      <c r="O630" s="52"/>
      <c r="P630" s="52"/>
      <c r="Q630" s="52"/>
      <c r="U630" s="52"/>
    </row>
    <row r="631">
      <c r="M631" s="52"/>
      <c r="N631" s="52"/>
      <c r="O631" s="52"/>
      <c r="P631" s="52"/>
      <c r="Q631" s="52"/>
      <c r="U631" s="52"/>
    </row>
    <row r="632">
      <c r="M632" s="52"/>
      <c r="N632" s="52"/>
      <c r="O632" s="52"/>
      <c r="P632" s="52"/>
      <c r="Q632" s="52"/>
      <c r="U632" s="52"/>
    </row>
    <row r="633">
      <c r="M633" s="52"/>
      <c r="N633" s="52"/>
      <c r="O633" s="52"/>
      <c r="P633" s="52"/>
      <c r="Q633" s="52"/>
      <c r="U633" s="52"/>
    </row>
    <row r="634">
      <c r="M634" s="52"/>
      <c r="N634" s="52"/>
      <c r="O634" s="52"/>
      <c r="P634" s="52"/>
      <c r="Q634" s="52"/>
      <c r="U634" s="52"/>
    </row>
    <row r="635">
      <c r="M635" s="52"/>
      <c r="N635" s="52"/>
      <c r="O635" s="52"/>
      <c r="P635" s="52"/>
      <c r="Q635" s="52"/>
      <c r="U635" s="52"/>
    </row>
    <row r="636">
      <c r="M636" s="52"/>
      <c r="N636" s="52"/>
      <c r="O636" s="52"/>
      <c r="P636" s="52"/>
      <c r="Q636" s="52"/>
      <c r="U636" s="52"/>
    </row>
    <row r="637">
      <c r="M637" s="52"/>
      <c r="N637" s="52"/>
      <c r="O637" s="52"/>
      <c r="P637" s="52"/>
      <c r="Q637" s="52"/>
      <c r="U637" s="52"/>
    </row>
    <row r="638">
      <c r="M638" s="52"/>
      <c r="N638" s="52"/>
      <c r="O638" s="52"/>
      <c r="P638" s="52"/>
      <c r="Q638" s="52"/>
      <c r="U638" s="52"/>
    </row>
    <row r="639">
      <c r="M639" s="52"/>
      <c r="N639" s="52"/>
      <c r="O639" s="52"/>
      <c r="P639" s="52"/>
      <c r="Q639" s="52"/>
      <c r="U639" s="52"/>
    </row>
    <row r="640">
      <c r="M640" s="52"/>
      <c r="N640" s="52"/>
      <c r="O640" s="52"/>
      <c r="P640" s="52"/>
      <c r="Q640" s="52"/>
      <c r="U640" s="52"/>
    </row>
    <row r="641">
      <c r="M641" s="52"/>
      <c r="N641" s="52"/>
      <c r="O641" s="52"/>
      <c r="P641" s="52"/>
      <c r="Q641" s="52"/>
      <c r="U641" s="52"/>
    </row>
    <row r="642">
      <c r="M642" s="52"/>
      <c r="N642" s="52"/>
      <c r="O642" s="52"/>
      <c r="P642" s="52"/>
      <c r="Q642" s="52"/>
      <c r="U642" s="52"/>
    </row>
    <row r="643">
      <c r="M643" s="52"/>
      <c r="N643" s="52"/>
      <c r="O643" s="52"/>
      <c r="P643" s="52"/>
      <c r="Q643" s="52"/>
      <c r="U643" s="52"/>
    </row>
    <row r="644">
      <c r="M644" s="52"/>
      <c r="N644" s="52"/>
      <c r="O644" s="52"/>
      <c r="P644" s="52"/>
      <c r="Q644" s="52"/>
      <c r="U644" s="52"/>
    </row>
    <row r="645">
      <c r="M645" s="52"/>
      <c r="N645" s="52"/>
      <c r="O645" s="52"/>
      <c r="P645" s="52"/>
      <c r="Q645" s="52"/>
      <c r="U645" s="52"/>
    </row>
    <row r="646">
      <c r="M646" s="52"/>
      <c r="N646" s="52"/>
      <c r="O646" s="52"/>
      <c r="P646" s="52"/>
      <c r="Q646" s="52"/>
      <c r="U646" s="52"/>
    </row>
    <row r="647">
      <c r="M647" s="52"/>
      <c r="N647" s="52"/>
      <c r="O647" s="52"/>
      <c r="P647" s="52"/>
      <c r="Q647" s="52"/>
      <c r="U647" s="52"/>
    </row>
    <row r="648">
      <c r="M648" s="52"/>
      <c r="N648" s="52"/>
      <c r="O648" s="52"/>
      <c r="P648" s="52"/>
      <c r="Q648" s="52"/>
      <c r="U648" s="52"/>
    </row>
    <row r="649">
      <c r="M649" s="52"/>
      <c r="N649" s="52"/>
      <c r="O649" s="52"/>
      <c r="P649" s="52"/>
      <c r="Q649" s="52"/>
      <c r="U649" s="52"/>
    </row>
    <row r="650">
      <c r="M650" s="52"/>
      <c r="N650" s="52"/>
      <c r="O650" s="52"/>
      <c r="P650" s="52"/>
      <c r="Q650" s="52"/>
      <c r="U650" s="52"/>
    </row>
    <row r="651">
      <c r="M651" s="52"/>
      <c r="N651" s="52"/>
      <c r="O651" s="52"/>
      <c r="P651" s="52"/>
      <c r="Q651" s="52"/>
      <c r="U651" s="52"/>
    </row>
    <row r="652">
      <c r="M652" s="52"/>
      <c r="N652" s="52"/>
      <c r="O652" s="52"/>
      <c r="P652" s="52"/>
      <c r="Q652" s="52"/>
      <c r="U652" s="52"/>
    </row>
    <row r="653">
      <c r="M653" s="52"/>
      <c r="N653" s="52"/>
      <c r="O653" s="52"/>
      <c r="P653" s="52"/>
      <c r="Q653" s="52"/>
      <c r="U653" s="52"/>
    </row>
    <row r="654">
      <c r="M654" s="52"/>
      <c r="N654" s="52"/>
      <c r="O654" s="52"/>
      <c r="P654" s="52"/>
      <c r="Q654" s="52"/>
      <c r="U654" s="52"/>
    </row>
    <row r="655">
      <c r="M655" s="52"/>
      <c r="N655" s="52"/>
      <c r="O655" s="52"/>
      <c r="P655" s="52"/>
      <c r="Q655" s="52"/>
      <c r="U655" s="52"/>
    </row>
    <row r="656">
      <c r="M656" s="52"/>
      <c r="N656" s="52"/>
      <c r="O656" s="52"/>
      <c r="P656" s="52"/>
      <c r="Q656" s="52"/>
      <c r="U656" s="52"/>
    </row>
    <row r="657">
      <c r="M657" s="52"/>
      <c r="N657" s="52"/>
      <c r="O657" s="52"/>
      <c r="P657" s="52"/>
      <c r="Q657" s="52"/>
      <c r="U657" s="52"/>
    </row>
    <row r="658">
      <c r="M658" s="52"/>
      <c r="N658" s="52"/>
      <c r="O658" s="52"/>
      <c r="P658" s="52"/>
      <c r="Q658" s="52"/>
      <c r="U658" s="52"/>
    </row>
    <row r="659">
      <c r="M659" s="52"/>
      <c r="N659" s="52"/>
      <c r="O659" s="52"/>
      <c r="P659" s="52"/>
      <c r="Q659" s="52"/>
      <c r="U659" s="52"/>
    </row>
    <row r="660">
      <c r="M660" s="52"/>
      <c r="N660" s="52"/>
      <c r="O660" s="52"/>
      <c r="P660" s="52"/>
      <c r="Q660" s="52"/>
      <c r="U660" s="52"/>
    </row>
    <row r="661">
      <c r="M661" s="52"/>
      <c r="N661" s="52"/>
      <c r="O661" s="52"/>
      <c r="P661" s="52"/>
      <c r="Q661" s="52"/>
      <c r="U661" s="52"/>
    </row>
    <row r="662">
      <c r="M662" s="52"/>
      <c r="N662" s="52"/>
      <c r="O662" s="52"/>
      <c r="P662" s="52"/>
      <c r="Q662" s="52"/>
      <c r="U662" s="52"/>
    </row>
    <row r="663">
      <c r="M663" s="52"/>
      <c r="N663" s="52"/>
      <c r="O663" s="52"/>
      <c r="P663" s="52"/>
      <c r="Q663" s="52"/>
      <c r="U663" s="52"/>
    </row>
    <row r="664">
      <c r="M664" s="52"/>
      <c r="N664" s="52"/>
      <c r="O664" s="52"/>
      <c r="P664" s="52"/>
      <c r="Q664" s="52"/>
      <c r="U664" s="52"/>
    </row>
    <row r="665">
      <c r="M665" s="52"/>
      <c r="N665" s="52"/>
      <c r="O665" s="52"/>
      <c r="P665" s="52"/>
      <c r="Q665" s="52"/>
      <c r="U665" s="52"/>
    </row>
    <row r="666">
      <c r="M666" s="52"/>
      <c r="N666" s="52"/>
      <c r="O666" s="52"/>
      <c r="P666" s="52"/>
      <c r="Q666" s="52"/>
      <c r="U666" s="52"/>
    </row>
    <row r="667">
      <c r="M667" s="52"/>
      <c r="N667" s="52"/>
      <c r="O667" s="52"/>
      <c r="P667" s="52"/>
      <c r="Q667" s="52"/>
      <c r="U667" s="52"/>
    </row>
    <row r="668">
      <c r="M668" s="52"/>
      <c r="N668" s="52"/>
      <c r="O668" s="52"/>
      <c r="P668" s="52"/>
      <c r="Q668" s="52"/>
      <c r="U668" s="52"/>
    </row>
    <row r="669">
      <c r="M669" s="52"/>
      <c r="N669" s="52"/>
      <c r="O669" s="52"/>
      <c r="P669" s="52"/>
      <c r="Q669" s="52"/>
      <c r="U669" s="52"/>
    </row>
    <row r="670">
      <c r="M670" s="52"/>
      <c r="N670" s="52"/>
      <c r="O670" s="52"/>
      <c r="P670" s="52"/>
      <c r="Q670" s="52"/>
      <c r="U670" s="52"/>
    </row>
    <row r="671">
      <c r="M671" s="52"/>
      <c r="N671" s="52"/>
      <c r="O671" s="52"/>
      <c r="P671" s="52"/>
      <c r="Q671" s="52"/>
      <c r="U671" s="52"/>
    </row>
    <row r="672">
      <c r="M672" s="52"/>
      <c r="N672" s="52"/>
      <c r="O672" s="52"/>
      <c r="P672" s="52"/>
      <c r="Q672" s="52"/>
      <c r="U672" s="52"/>
    </row>
    <row r="673">
      <c r="M673" s="52"/>
      <c r="N673" s="52"/>
      <c r="O673" s="52"/>
      <c r="P673" s="52"/>
      <c r="Q673" s="52"/>
      <c r="U673" s="52"/>
    </row>
    <row r="674">
      <c r="M674" s="52"/>
      <c r="N674" s="52"/>
      <c r="O674" s="52"/>
      <c r="P674" s="52"/>
      <c r="Q674" s="52"/>
      <c r="U674" s="52"/>
    </row>
    <row r="675">
      <c r="M675" s="52"/>
      <c r="N675" s="52"/>
      <c r="O675" s="52"/>
      <c r="P675" s="52"/>
      <c r="Q675" s="52"/>
      <c r="U675" s="52"/>
    </row>
    <row r="676">
      <c r="M676" s="52"/>
      <c r="N676" s="52"/>
      <c r="O676" s="52"/>
      <c r="P676" s="52"/>
      <c r="Q676" s="52"/>
      <c r="U676" s="52"/>
    </row>
    <row r="677">
      <c r="M677" s="52"/>
      <c r="N677" s="52"/>
      <c r="O677" s="52"/>
      <c r="P677" s="52"/>
      <c r="Q677" s="52"/>
      <c r="U677" s="52"/>
    </row>
    <row r="678">
      <c r="M678" s="52"/>
      <c r="N678" s="52"/>
      <c r="O678" s="52"/>
      <c r="P678" s="52"/>
      <c r="Q678" s="52"/>
      <c r="U678" s="52"/>
    </row>
    <row r="679">
      <c r="M679" s="52"/>
      <c r="N679" s="52"/>
      <c r="O679" s="52"/>
      <c r="P679" s="52"/>
      <c r="Q679" s="52"/>
      <c r="U679" s="52"/>
    </row>
    <row r="680">
      <c r="M680" s="52"/>
      <c r="N680" s="52"/>
      <c r="O680" s="52"/>
      <c r="P680" s="52"/>
      <c r="Q680" s="52"/>
      <c r="U680" s="52"/>
    </row>
    <row r="681">
      <c r="M681" s="52"/>
      <c r="N681" s="52"/>
      <c r="O681" s="52"/>
      <c r="P681" s="52"/>
      <c r="Q681" s="52"/>
      <c r="U681" s="52"/>
    </row>
    <row r="682">
      <c r="M682" s="52"/>
      <c r="N682" s="52"/>
      <c r="O682" s="52"/>
      <c r="P682" s="52"/>
      <c r="Q682" s="52"/>
      <c r="U682" s="52"/>
    </row>
    <row r="683">
      <c r="M683" s="52"/>
      <c r="N683" s="52"/>
      <c r="O683" s="52"/>
      <c r="P683" s="52"/>
      <c r="Q683" s="52"/>
      <c r="U683" s="52"/>
    </row>
    <row r="684">
      <c r="M684" s="52"/>
      <c r="N684" s="52"/>
      <c r="O684" s="52"/>
      <c r="P684" s="52"/>
      <c r="Q684" s="52"/>
      <c r="U684" s="52"/>
    </row>
    <row r="685">
      <c r="M685" s="52"/>
      <c r="N685" s="52"/>
      <c r="O685" s="52"/>
      <c r="P685" s="52"/>
      <c r="Q685" s="52"/>
      <c r="U685" s="52"/>
    </row>
    <row r="686">
      <c r="M686" s="52"/>
      <c r="N686" s="52"/>
      <c r="O686" s="52"/>
      <c r="P686" s="52"/>
      <c r="Q686" s="52"/>
      <c r="U686" s="52"/>
    </row>
    <row r="687">
      <c r="M687" s="52"/>
      <c r="N687" s="52"/>
      <c r="O687" s="52"/>
      <c r="P687" s="52"/>
      <c r="Q687" s="52"/>
      <c r="U687" s="52"/>
    </row>
    <row r="688">
      <c r="M688" s="52"/>
      <c r="N688" s="52"/>
      <c r="O688" s="52"/>
      <c r="P688" s="52"/>
      <c r="Q688" s="52"/>
      <c r="U688" s="52"/>
    </row>
    <row r="689">
      <c r="M689" s="52"/>
      <c r="N689" s="52"/>
      <c r="O689" s="52"/>
      <c r="P689" s="52"/>
      <c r="Q689" s="52"/>
      <c r="U689" s="52"/>
    </row>
    <row r="690">
      <c r="M690" s="52"/>
      <c r="N690" s="52"/>
      <c r="O690" s="52"/>
      <c r="P690" s="52"/>
      <c r="Q690" s="52"/>
      <c r="U690" s="52"/>
    </row>
    <row r="691">
      <c r="M691" s="52"/>
      <c r="N691" s="52"/>
      <c r="O691" s="52"/>
      <c r="P691" s="52"/>
      <c r="Q691" s="52"/>
      <c r="U691" s="52"/>
    </row>
    <row r="692">
      <c r="M692" s="52"/>
      <c r="N692" s="52"/>
      <c r="O692" s="52"/>
      <c r="P692" s="52"/>
      <c r="Q692" s="52"/>
      <c r="U692" s="52"/>
    </row>
    <row r="693">
      <c r="M693" s="52"/>
      <c r="N693" s="52"/>
      <c r="O693" s="52"/>
      <c r="P693" s="52"/>
      <c r="Q693" s="52"/>
      <c r="U693" s="52"/>
    </row>
    <row r="694">
      <c r="M694" s="52"/>
      <c r="N694" s="52"/>
      <c r="O694" s="52"/>
      <c r="P694" s="52"/>
      <c r="Q694" s="52"/>
      <c r="U694" s="52"/>
    </row>
    <row r="695">
      <c r="M695" s="52"/>
      <c r="N695" s="52"/>
      <c r="O695" s="52"/>
      <c r="P695" s="52"/>
      <c r="Q695" s="52"/>
      <c r="U695" s="52"/>
    </row>
    <row r="696">
      <c r="M696" s="52"/>
      <c r="N696" s="52"/>
      <c r="O696" s="52"/>
      <c r="P696" s="52"/>
      <c r="Q696" s="52"/>
      <c r="U696" s="52"/>
    </row>
    <row r="697">
      <c r="M697" s="52"/>
      <c r="N697" s="52"/>
      <c r="O697" s="52"/>
      <c r="P697" s="52"/>
      <c r="Q697" s="52"/>
      <c r="U697" s="52"/>
    </row>
    <row r="698">
      <c r="M698" s="52"/>
      <c r="N698" s="52"/>
      <c r="O698" s="52"/>
      <c r="P698" s="52"/>
      <c r="Q698" s="52"/>
      <c r="U698" s="52"/>
    </row>
    <row r="699">
      <c r="M699" s="52"/>
      <c r="N699" s="52"/>
      <c r="O699" s="52"/>
      <c r="P699" s="52"/>
      <c r="Q699" s="52"/>
      <c r="U699" s="52"/>
    </row>
    <row r="700">
      <c r="M700" s="52"/>
      <c r="N700" s="52"/>
      <c r="O700" s="52"/>
      <c r="P700" s="52"/>
      <c r="Q700" s="52"/>
      <c r="U700" s="52"/>
    </row>
    <row r="701">
      <c r="M701" s="52"/>
      <c r="N701" s="52"/>
      <c r="O701" s="52"/>
      <c r="P701" s="52"/>
      <c r="Q701" s="52"/>
      <c r="U701" s="52"/>
    </row>
    <row r="702">
      <c r="M702" s="52"/>
      <c r="N702" s="52"/>
      <c r="O702" s="52"/>
      <c r="P702" s="52"/>
      <c r="Q702" s="52"/>
      <c r="U702" s="52"/>
    </row>
    <row r="703">
      <c r="M703" s="52"/>
      <c r="N703" s="52"/>
      <c r="O703" s="52"/>
      <c r="P703" s="52"/>
      <c r="Q703" s="52"/>
      <c r="U703" s="52"/>
    </row>
    <row r="704">
      <c r="M704" s="52"/>
      <c r="N704" s="52"/>
      <c r="O704" s="52"/>
      <c r="P704" s="52"/>
      <c r="Q704" s="52"/>
      <c r="U704" s="52"/>
    </row>
    <row r="705">
      <c r="M705" s="52"/>
      <c r="N705" s="52"/>
      <c r="O705" s="52"/>
      <c r="P705" s="52"/>
      <c r="Q705" s="52"/>
      <c r="U705" s="52"/>
    </row>
    <row r="706">
      <c r="M706" s="52"/>
      <c r="N706" s="52"/>
      <c r="O706" s="52"/>
      <c r="P706" s="52"/>
      <c r="Q706" s="52"/>
      <c r="U706" s="52"/>
    </row>
    <row r="707">
      <c r="M707" s="52"/>
      <c r="N707" s="52"/>
      <c r="O707" s="52"/>
      <c r="P707" s="52"/>
      <c r="Q707" s="52"/>
      <c r="U707" s="52"/>
    </row>
    <row r="708">
      <c r="M708" s="52"/>
      <c r="N708" s="52"/>
      <c r="O708" s="52"/>
      <c r="P708" s="52"/>
      <c r="Q708" s="52"/>
      <c r="U708" s="52"/>
    </row>
    <row r="709">
      <c r="M709" s="52"/>
      <c r="N709" s="52"/>
      <c r="O709" s="52"/>
      <c r="P709" s="52"/>
      <c r="Q709" s="52"/>
      <c r="U709" s="52"/>
    </row>
    <row r="710">
      <c r="M710" s="52"/>
      <c r="N710" s="52"/>
      <c r="O710" s="52"/>
      <c r="P710" s="52"/>
      <c r="Q710" s="52"/>
      <c r="U710" s="52"/>
    </row>
    <row r="711">
      <c r="M711" s="52"/>
      <c r="N711" s="52"/>
      <c r="O711" s="52"/>
      <c r="P711" s="52"/>
      <c r="Q711" s="52"/>
      <c r="U711" s="52"/>
    </row>
    <row r="712">
      <c r="M712" s="52"/>
      <c r="N712" s="52"/>
      <c r="O712" s="52"/>
      <c r="P712" s="52"/>
      <c r="Q712" s="52"/>
      <c r="U712" s="52"/>
    </row>
    <row r="713">
      <c r="M713" s="52"/>
      <c r="N713" s="52"/>
      <c r="O713" s="52"/>
      <c r="P713" s="52"/>
      <c r="Q713" s="52"/>
      <c r="U713" s="52"/>
    </row>
    <row r="714">
      <c r="M714" s="52"/>
      <c r="N714" s="52"/>
      <c r="O714" s="52"/>
      <c r="P714" s="52"/>
      <c r="Q714" s="52"/>
      <c r="U714" s="52"/>
    </row>
    <row r="715">
      <c r="M715" s="52"/>
      <c r="N715" s="52"/>
      <c r="O715" s="52"/>
      <c r="P715" s="52"/>
      <c r="Q715" s="52"/>
      <c r="U715" s="52"/>
    </row>
    <row r="716">
      <c r="M716" s="52"/>
      <c r="N716" s="52"/>
      <c r="O716" s="52"/>
      <c r="P716" s="52"/>
      <c r="Q716" s="52"/>
      <c r="U716" s="52"/>
    </row>
    <row r="717">
      <c r="M717" s="52"/>
      <c r="N717" s="52"/>
      <c r="O717" s="52"/>
      <c r="P717" s="52"/>
      <c r="Q717" s="52"/>
      <c r="U717" s="52"/>
    </row>
    <row r="718">
      <c r="M718" s="52"/>
      <c r="N718" s="52"/>
      <c r="O718" s="52"/>
      <c r="P718" s="52"/>
      <c r="Q718" s="52"/>
      <c r="U718" s="52"/>
    </row>
    <row r="719">
      <c r="M719" s="52"/>
      <c r="N719" s="52"/>
      <c r="O719" s="52"/>
      <c r="P719" s="52"/>
      <c r="Q719" s="52"/>
      <c r="U719" s="52"/>
    </row>
    <row r="720">
      <c r="M720" s="52"/>
      <c r="N720" s="52"/>
      <c r="O720" s="52"/>
      <c r="P720" s="52"/>
      <c r="Q720" s="52"/>
      <c r="U720" s="52"/>
    </row>
    <row r="721">
      <c r="M721" s="52"/>
      <c r="N721" s="52"/>
      <c r="O721" s="52"/>
      <c r="P721" s="52"/>
      <c r="Q721" s="52"/>
      <c r="U721" s="52"/>
    </row>
    <row r="722">
      <c r="M722" s="52"/>
      <c r="N722" s="52"/>
      <c r="O722" s="52"/>
      <c r="P722" s="52"/>
      <c r="Q722" s="52"/>
      <c r="U722" s="52"/>
    </row>
    <row r="723">
      <c r="M723" s="52"/>
      <c r="N723" s="52"/>
      <c r="O723" s="52"/>
      <c r="P723" s="52"/>
      <c r="Q723" s="52"/>
      <c r="U723" s="52"/>
    </row>
    <row r="724">
      <c r="M724" s="52"/>
      <c r="N724" s="52"/>
      <c r="O724" s="52"/>
      <c r="P724" s="52"/>
      <c r="Q724" s="52"/>
      <c r="U724" s="52"/>
    </row>
    <row r="725">
      <c r="M725" s="52"/>
      <c r="N725" s="52"/>
      <c r="O725" s="52"/>
      <c r="P725" s="52"/>
      <c r="Q725" s="52"/>
      <c r="U725" s="52"/>
    </row>
    <row r="726">
      <c r="M726" s="52"/>
      <c r="N726" s="52"/>
      <c r="O726" s="52"/>
      <c r="P726" s="52"/>
      <c r="Q726" s="52"/>
      <c r="U726" s="52"/>
    </row>
    <row r="727">
      <c r="M727" s="52"/>
      <c r="N727" s="52"/>
      <c r="O727" s="52"/>
      <c r="P727" s="52"/>
      <c r="Q727" s="52"/>
      <c r="U727" s="52"/>
    </row>
    <row r="728">
      <c r="M728" s="52"/>
      <c r="N728" s="52"/>
      <c r="O728" s="52"/>
      <c r="P728" s="52"/>
      <c r="Q728" s="52"/>
      <c r="U728" s="52"/>
    </row>
    <row r="729">
      <c r="M729" s="52"/>
      <c r="N729" s="52"/>
      <c r="O729" s="52"/>
      <c r="P729" s="52"/>
      <c r="Q729" s="52"/>
      <c r="U729" s="52"/>
    </row>
    <row r="730">
      <c r="M730" s="52"/>
      <c r="N730" s="52"/>
      <c r="O730" s="52"/>
      <c r="P730" s="52"/>
      <c r="Q730" s="52"/>
      <c r="U730" s="52"/>
    </row>
    <row r="731">
      <c r="M731" s="52"/>
      <c r="N731" s="52"/>
      <c r="O731" s="52"/>
      <c r="P731" s="52"/>
      <c r="Q731" s="52"/>
      <c r="U731" s="52"/>
    </row>
    <row r="732">
      <c r="M732" s="52"/>
      <c r="N732" s="52"/>
      <c r="O732" s="52"/>
      <c r="P732" s="52"/>
      <c r="Q732" s="52"/>
      <c r="U732" s="52"/>
    </row>
    <row r="733">
      <c r="M733" s="52"/>
      <c r="N733" s="52"/>
      <c r="O733" s="52"/>
      <c r="P733" s="52"/>
      <c r="Q733" s="52"/>
      <c r="U733" s="52"/>
    </row>
    <row r="734">
      <c r="M734" s="52"/>
      <c r="N734" s="52"/>
      <c r="O734" s="52"/>
      <c r="P734" s="52"/>
      <c r="Q734" s="52"/>
      <c r="U734" s="52"/>
    </row>
    <row r="735">
      <c r="M735" s="52"/>
      <c r="N735" s="52"/>
      <c r="O735" s="52"/>
      <c r="P735" s="52"/>
      <c r="Q735" s="52"/>
      <c r="U735" s="52"/>
    </row>
    <row r="736">
      <c r="M736" s="52"/>
      <c r="N736" s="52"/>
      <c r="O736" s="52"/>
      <c r="P736" s="52"/>
      <c r="Q736" s="52"/>
      <c r="U736" s="52"/>
    </row>
    <row r="737">
      <c r="M737" s="52"/>
      <c r="N737" s="52"/>
      <c r="O737" s="52"/>
      <c r="P737" s="52"/>
      <c r="Q737" s="52"/>
      <c r="U737" s="52"/>
    </row>
    <row r="738">
      <c r="M738" s="52"/>
      <c r="N738" s="52"/>
      <c r="O738" s="52"/>
      <c r="P738" s="52"/>
      <c r="Q738" s="52"/>
      <c r="U738" s="52"/>
    </row>
    <row r="739">
      <c r="M739" s="52"/>
      <c r="N739" s="52"/>
      <c r="O739" s="52"/>
      <c r="P739" s="52"/>
      <c r="Q739" s="52"/>
      <c r="U739" s="52"/>
    </row>
    <row r="740">
      <c r="M740" s="52"/>
      <c r="N740" s="52"/>
      <c r="O740" s="52"/>
      <c r="P740" s="52"/>
      <c r="Q740" s="52"/>
      <c r="U740" s="52"/>
    </row>
    <row r="741">
      <c r="M741" s="52"/>
      <c r="N741" s="52"/>
      <c r="O741" s="52"/>
      <c r="P741" s="52"/>
      <c r="Q741" s="52"/>
      <c r="U741" s="52"/>
    </row>
    <row r="742">
      <c r="M742" s="52"/>
      <c r="N742" s="52"/>
      <c r="O742" s="52"/>
      <c r="P742" s="52"/>
      <c r="Q742" s="52"/>
      <c r="U742" s="52"/>
    </row>
    <row r="743">
      <c r="M743" s="52"/>
      <c r="N743" s="52"/>
      <c r="O743" s="52"/>
      <c r="P743" s="52"/>
      <c r="Q743" s="52"/>
      <c r="U743" s="52"/>
    </row>
    <row r="744">
      <c r="M744" s="52"/>
      <c r="N744" s="52"/>
      <c r="O744" s="52"/>
      <c r="P744" s="52"/>
      <c r="Q744" s="52"/>
      <c r="U744" s="52"/>
    </row>
    <row r="745">
      <c r="M745" s="52"/>
      <c r="N745" s="52"/>
      <c r="O745" s="52"/>
      <c r="P745" s="52"/>
      <c r="Q745" s="52"/>
      <c r="U745" s="52"/>
    </row>
    <row r="746">
      <c r="M746" s="52"/>
      <c r="N746" s="52"/>
      <c r="O746" s="52"/>
      <c r="P746" s="52"/>
      <c r="Q746" s="52"/>
      <c r="U746" s="52"/>
    </row>
    <row r="747">
      <c r="M747" s="52"/>
      <c r="N747" s="52"/>
      <c r="O747" s="52"/>
      <c r="P747" s="52"/>
      <c r="Q747" s="52"/>
      <c r="U747" s="52"/>
    </row>
    <row r="748">
      <c r="M748" s="52"/>
      <c r="N748" s="52"/>
      <c r="O748" s="52"/>
      <c r="P748" s="52"/>
      <c r="Q748" s="52"/>
      <c r="U748" s="52"/>
    </row>
    <row r="749">
      <c r="M749" s="52"/>
      <c r="N749" s="52"/>
      <c r="O749" s="52"/>
      <c r="P749" s="52"/>
      <c r="Q749" s="52"/>
      <c r="U749" s="52"/>
    </row>
    <row r="750">
      <c r="M750" s="52"/>
      <c r="N750" s="52"/>
      <c r="O750" s="52"/>
      <c r="P750" s="52"/>
      <c r="Q750" s="52"/>
      <c r="U750" s="52"/>
    </row>
    <row r="751">
      <c r="M751" s="52"/>
      <c r="N751" s="52"/>
      <c r="O751" s="52"/>
      <c r="P751" s="52"/>
      <c r="Q751" s="52"/>
      <c r="U751" s="52"/>
    </row>
    <row r="752">
      <c r="M752" s="52"/>
      <c r="N752" s="52"/>
      <c r="O752" s="52"/>
      <c r="P752" s="52"/>
      <c r="Q752" s="52"/>
      <c r="U752" s="52"/>
    </row>
    <row r="753">
      <c r="M753" s="52"/>
      <c r="N753" s="52"/>
      <c r="O753" s="52"/>
      <c r="P753" s="52"/>
      <c r="Q753" s="52"/>
      <c r="U753" s="52"/>
    </row>
    <row r="754">
      <c r="M754" s="52"/>
      <c r="N754" s="52"/>
      <c r="O754" s="52"/>
      <c r="P754" s="52"/>
      <c r="Q754" s="52"/>
      <c r="U754" s="52"/>
    </row>
    <row r="755">
      <c r="M755" s="52"/>
      <c r="N755" s="52"/>
      <c r="O755" s="52"/>
      <c r="P755" s="52"/>
      <c r="Q755" s="52"/>
      <c r="U755" s="52"/>
    </row>
    <row r="756">
      <c r="M756" s="52"/>
      <c r="N756" s="52"/>
      <c r="O756" s="52"/>
      <c r="P756" s="52"/>
      <c r="Q756" s="52"/>
      <c r="U756" s="52"/>
    </row>
    <row r="757">
      <c r="M757" s="52"/>
      <c r="N757" s="52"/>
      <c r="O757" s="52"/>
      <c r="P757" s="52"/>
      <c r="Q757" s="52"/>
      <c r="U757" s="52"/>
    </row>
    <row r="758">
      <c r="M758" s="52"/>
      <c r="N758" s="52"/>
      <c r="O758" s="52"/>
      <c r="P758" s="52"/>
      <c r="Q758" s="52"/>
      <c r="U758" s="52"/>
    </row>
    <row r="759">
      <c r="M759" s="52"/>
      <c r="N759" s="52"/>
      <c r="O759" s="52"/>
      <c r="P759" s="52"/>
      <c r="Q759" s="52"/>
      <c r="U759" s="52"/>
    </row>
    <row r="760">
      <c r="M760" s="52"/>
      <c r="N760" s="52"/>
      <c r="O760" s="52"/>
      <c r="P760" s="52"/>
      <c r="Q760" s="52"/>
      <c r="U760" s="52"/>
    </row>
    <row r="761">
      <c r="M761" s="52"/>
      <c r="N761" s="52"/>
      <c r="O761" s="52"/>
      <c r="P761" s="52"/>
      <c r="Q761" s="52"/>
      <c r="U761" s="52"/>
    </row>
    <row r="762">
      <c r="M762" s="52"/>
      <c r="N762" s="52"/>
      <c r="O762" s="52"/>
      <c r="P762" s="52"/>
      <c r="Q762" s="52"/>
      <c r="U762" s="52"/>
    </row>
    <row r="763">
      <c r="M763" s="52"/>
      <c r="N763" s="52"/>
      <c r="O763" s="52"/>
      <c r="P763" s="52"/>
      <c r="Q763" s="52"/>
      <c r="U763" s="52"/>
    </row>
    <row r="764">
      <c r="M764" s="52"/>
      <c r="N764" s="52"/>
      <c r="O764" s="52"/>
      <c r="P764" s="52"/>
      <c r="Q764" s="52"/>
      <c r="U764" s="52"/>
    </row>
    <row r="765">
      <c r="M765" s="52"/>
      <c r="N765" s="52"/>
      <c r="O765" s="52"/>
      <c r="P765" s="52"/>
      <c r="Q765" s="52"/>
      <c r="U765" s="52"/>
    </row>
    <row r="766">
      <c r="M766" s="52"/>
      <c r="N766" s="52"/>
      <c r="O766" s="52"/>
      <c r="P766" s="52"/>
      <c r="Q766" s="52"/>
      <c r="U766" s="52"/>
    </row>
    <row r="767">
      <c r="M767" s="52"/>
      <c r="N767" s="52"/>
      <c r="O767" s="52"/>
      <c r="P767" s="52"/>
      <c r="Q767" s="52"/>
      <c r="U767" s="52"/>
    </row>
    <row r="768">
      <c r="M768" s="52"/>
      <c r="N768" s="52"/>
      <c r="O768" s="52"/>
      <c r="P768" s="52"/>
      <c r="Q768" s="52"/>
      <c r="U768" s="52"/>
    </row>
    <row r="769">
      <c r="M769" s="52"/>
      <c r="N769" s="52"/>
      <c r="O769" s="52"/>
      <c r="P769" s="52"/>
      <c r="Q769" s="52"/>
      <c r="U769" s="52"/>
    </row>
    <row r="770">
      <c r="M770" s="52"/>
      <c r="N770" s="52"/>
      <c r="O770" s="52"/>
      <c r="P770" s="52"/>
      <c r="Q770" s="52"/>
      <c r="U770" s="52"/>
    </row>
    <row r="771">
      <c r="M771" s="52"/>
      <c r="N771" s="52"/>
      <c r="O771" s="52"/>
      <c r="P771" s="52"/>
      <c r="Q771" s="52"/>
      <c r="U771" s="52"/>
    </row>
    <row r="772">
      <c r="M772" s="52"/>
      <c r="N772" s="52"/>
      <c r="O772" s="52"/>
      <c r="P772" s="52"/>
      <c r="Q772" s="52"/>
      <c r="U772" s="52"/>
    </row>
    <row r="773">
      <c r="M773" s="52"/>
      <c r="N773" s="52"/>
      <c r="O773" s="52"/>
      <c r="P773" s="52"/>
      <c r="Q773" s="52"/>
      <c r="U773" s="52"/>
    </row>
    <row r="774">
      <c r="M774" s="52"/>
      <c r="N774" s="52"/>
      <c r="O774" s="52"/>
      <c r="P774" s="52"/>
      <c r="Q774" s="52"/>
      <c r="U774" s="52"/>
    </row>
    <row r="775">
      <c r="M775" s="52"/>
      <c r="N775" s="52"/>
      <c r="O775" s="52"/>
      <c r="P775" s="52"/>
      <c r="Q775" s="52"/>
      <c r="U775" s="52"/>
    </row>
    <row r="776">
      <c r="M776" s="52"/>
      <c r="N776" s="52"/>
      <c r="O776" s="52"/>
      <c r="P776" s="52"/>
      <c r="Q776" s="52"/>
      <c r="U776" s="52"/>
    </row>
    <row r="777">
      <c r="M777" s="52"/>
      <c r="N777" s="52"/>
      <c r="O777" s="52"/>
      <c r="P777" s="52"/>
      <c r="Q777" s="52"/>
      <c r="U777" s="52"/>
    </row>
    <row r="778">
      <c r="M778" s="52"/>
      <c r="N778" s="52"/>
      <c r="O778" s="52"/>
      <c r="P778" s="52"/>
      <c r="Q778" s="52"/>
      <c r="U778" s="52"/>
    </row>
    <row r="779">
      <c r="M779" s="52"/>
      <c r="N779" s="52"/>
      <c r="O779" s="52"/>
      <c r="P779" s="52"/>
      <c r="Q779" s="52"/>
      <c r="U779" s="52"/>
    </row>
    <row r="780">
      <c r="M780" s="52"/>
      <c r="N780" s="52"/>
      <c r="O780" s="52"/>
      <c r="P780" s="52"/>
      <c r="Q780" s="52"/>
      <c r="U780" s="52"/>
    </row>
    <row r="781">
      <c r="M781" s="52"/>
      <c r="N781" s="52"/>
      <c r="O781" s="52"/>
      <c r="P781" s="52"/>
      <c r="Q781" s="52"/>
      <c r="U781" s="52"/>
    </row>
    <row r="782">
      <c r="M782" s="52"/>
      <c r="N782" s="52"/>
      <c r="O782" s="52"/>
      <c r="P782" s="52"/>
      <c r="Q782" s="52"/>
      <c r="U782" s="52"/>
    </row>
    <row r="783">
      <c r="M783" s="52"/>
      <c r="N783" s="52"/>
      <c r="O783" s="52"/>
      <c r="P783" s="52"/>
      <c r="Q783" s="52"/>
      <c r="U783" s="52"/>
    </row>
    <row r="784">
      <c r="M784" s="52"/>
      <c r="N784" s="52"/>
      <c r="O784" s="52"/>
      <c r="P784" s="52"/>
      <c r="Q784" s="52"/>
      <c r="U784" s="52"/>
    </row>
    <row r="785">
      <c r="M785" s="52"/>
      <c r="N785" s="52"/>
      <c r="O785" s="52"/>
      <c r="P785" s="52"/>
      <c r="Q785" s="52"/>
      <c r="U785" s="52"/>
    </row>
    <row r="786">
      <c r="M786" s="52"/>
      <c r="N786" s="52"/>
      <c r="O786" s="52"/>
      <c r="P786" s="52"/>
      <c r="Q786" s="52"/>
      <c r="U786" s="52"/>
    </row>
    <row r="787">
      <c r="M787" s="52"/>
      <c r="N787" s="52"/>
      <c r="O787" s="52"/>
      <c r="P787" s="52"/>
      <c r="Q787" s="52"/>
      <c r="U787" s="52"/>
    </row>
    <row r="788">
      <c r="M788" s="52"/>
      <c r="N788" s="52"/>
      <c r="O788" s="52"/>
      <c r="P788" s="52"/>
      <c r="Q788" s="52"/>
      <c r="U788" s="52"/>
    </row>
    <row r="789">
      <c r="M789" s="52"/>
      <c r="N789" s="52"/>
      <c r="O789" s="52"/>
      <c r="P789" s="52"/>
      <c r="Q789" s="52"/>
      <c r="U789" s="52"/>
    </row>
    <row r="790">
      <c r="M790" s="52"/>
      <c r="N790" s="52"/>
      <c r="O790" s="52"/>
      <c r="P790" s="52"/>
      <c r="Q790" s="52"/>
      <c r="U790" s="52"/>
    </row>
    <row r="791">
      <c r="M791" s="52"/>
      <c r="N791" s="52"/>
      <c r="O791" s="52"/>
      <c r="P791" s="52"/>
      <c r="Q791" s="52"/>
      <c r="U791" s="52"/>
    </row>
    <row r="792">
      <c r="M792" s="52"/>
      <c r="N792" s="52"/>
      <c r="O792" s="52"/>
      <c r="P792" s="52"/>
      <c r="Q792" s="52"/>
      <c r="U792" s="52"/>
    </row>
    <row r="793">
      <c r="M793" s="52"/>
      <c r="N793" s="52"/>
      <c r="O793" s="52"/>
      <c r="P793" s="52"/>
      <c r="Q793" s="52"/>
      <c r="U793" s="52"/>
    </row>
    <row r="794">
      <c r="M794" s="52"/>
      <c r="N794" s="52"/>
      <c r="O794" s="52"/>
      <c r="P794" s="52"/>
      <c r="Q794" s="52"/>
      <c r="U794" s="52"/>
    </row>
    <row r="795">
      <c r="M795" s="52"/>
      <c r="N795" s="52"/>
      <c r="O795" s="52"/>
      <c r="P795" s="52"/>
      <c r="Q795" s="52"/>
      <c r="U795" s="52"/>
    </row>
    <row r="796">
      <c r="M796" s="52"/>
      <c r="N796" s="52"/>
      <c r="O796" s="52"/>
      <c r="P796" s="52"/>
      <c r="Q796" s="52"/>
      <c r="U796" s="52"/>
    </row>
    <row r="797">
      <c r="M797" s="52"/>
      <c r="N797" s="52"/>
      <c r="O797" s="52"/>
      <c r="P797" s="52"/>
      <c r="Q797" s="52"/>
      <c r="U797" s="52"/>
    </row>
    <row r="798">
      <c r="M798" s="52"/>
      <c r="N798" s="52"/>
      <c r="O798" s="52"/>
      <c r="P798" s="52"/>
      <c r="Q798" s="52"/>
      <c r="U798" s="52"/>
    </row>
    <row r="799">
      <c r="M799" s="52"/>
      <c r="N799" s="52"/>
      <c r="O799" s="52"/>
      <c r="P799" s="52"/>
      <c r="Q799" s="52"/>
      <c r="U799" s="52"/>
    </row>
    <row r="800">
      <c r="M800" s="52"/>
      <c r="N800" s="52"/>
      <c r="O800" s="52"/>
      <c r="P800" s="52"/>
      <c r="Q800" s="52"/>
      <c r="U800" s="52"/>
    </row>
    <row r="801">
      <c r="M801" s="52"/>
      <c r="N801" s="52"/>
      <c r="O801" s="52"/>
      <c r="P801" s="52"/>
      <c r="Q801" s="52"/>
      <c r="U801" s="52"/>
    </row>
    <row r="802">
      <c r="M802" s="52"/>
      <c r="N802" s="52"/>
      <c r="O802" s="52"/>
      <c r="P802" s="52"/>
      <c r="Q802" s="52"/>
      <c r="U802" s="52"/>
    </row>
    <row r="803">
      <c r="M803" s="52"/>
      <c r="N803" s="52"/>
      <c r="O803" s="52"/>
      <c r="P803" s="52"/>
      <c r="Q803" s="52"/>
      <c r="U803" s="52"/>
    </row>
    <row r="804">
      <c r="M804" s="52"/>
      <c r="N804" s="52"/>
      <c r="O804" s="52"/>
      <c r="P804" s="52"/>
      <c r="Q804" s="52"/>
      <c r="U804" s="52"/>
    </row>
    <row r="805">
      <c r="M805" s="52"/>
      <c r="N805" s="52"/>
      <c r="O805" s="52"/>
      <c r="P805" s="52"/>
      <c r="Q805" s="52"/>
      <c r="U805" s="52"/>
    </row>
    <row r="806">
      <c r="M806" s="52"/>
      <c r="N806" s="52"/>
      <c r="O806" s="52"/>
      <c r="P806" s="52"/>
      <c r="Q806" s="52"/>
      <c r="U806" s="52"/>
    </row>
    <row r="807">
      <c r="M807" s="52"/>
      <c r="N807" s="52"/>
      <c r="O807" s="52"/>
      <c r="P807" s="52"/>
      <c r="Q807" s="52"/>
      <c r="U807" s="52"/>
    </row>
    <row r="808">
      <c r="M808" s="52"/>
      <c r="N808" s="52"/>
      <c r="O808" s="52"/>
      <c r="P808" s="52"/>
      <c r="Q808" s="52"/>
      <c r="U808" s="52"/>
    </row>
    <row r="809">
      <c r="M809" s="52"/>
      <c r="N809" s="52"/>
      <c r="O809" s="52"/>
      <c r="P809" s="52"/>
      <c r="Q809" s="52"/>
      <c r="U809" s="52"/>
    </row>
    <row r="810">
      <c r="M810" s="52"/>
      <c r="N810" s="52"/>
      <c r="O810" s="52"/>
      <c r="P810" s="52"/>
      <c r="Q810" s="52"/>
      <c r="U810" s="52"/>
    </row>
    <row r="811">
      <c r="M811" s="52"/>
      <c r="N811" s="52"/>
      <c r="O811" s="52"/>
      <c r="P811" s="52"/>
      <c r="Q811" s="52"/>
      <c r="U811" s="52"/>
    </row>
    <row r="812">
      <c r="M812" s="52"/>
      <c r="N812" s="52"/>
      <c r="O812" s="52"/>
      <c r="P812" s="52"/>
      <c r="Q812" s="52"/>
      <c r="U812" s="52"/>
    </row>
    <row r="813">
      <c r="M813" s="52"/>
      <c r="N813" s="52"/>
      <c r="O813" s="52"/>
      <c r="P813" s="52"/>
      <c r="Q813" s="52"/>
      <c r="U813" s="52"/>
    </row>
    <row r="814">
      <c r="M814" s="52"/>
      <c r="N814" s="52"/>
      <c r="O814" s="52"/>
      <c r="P814" s="52"/>
      <c r="Q814" s="52"/>
      <c r="U814" s="52"/>
    </row>
    <row r="815">
      <c r="M815" s="52"/>
      <c r="N815" s="52"/>
      <c r="O815" s="52"/>
      <c r="P815" s="52"/>
      <c r="Q815" s="52"/>
      <c r="U815" s="52"/>
    </row>
    <row r="816">
      <c r="M816" s="52"/>
      <c r="N816" s="52"/>
      <c r="O816" s="52"/>
      <c r="P816" s="52"/>
      <c r="Q816" s="52"/>
      <c r="U816" s="52"/>
    </row>
    <row r="817">
      <c r="M817" s="52"/>
      <c r="N817" s="52"/>
      <c r="O817" s="52"/>
      <c r="P817" s="52"/>
      <c r="Q817" s="52"/>
      <c r="U817" s="52"/>
    </row>
    <row r="818">
      <c r="M818" s="52"/>
      <c r="N818" s="52"/>
      <c r="O818" s="52"/>
      <c r="P818" s="52"/>
      <c r="Q818" s="52"/>
      <c r="U818" s="52"/>
    </row>
    <row r="819">
      <c r="M819" s="52"/>
      <c r="N819" s="52"/>
      <c r="O819" s="52"/>
      <c r="P819" s="52"/>
      <c r="Q819" s="52"/>
      <c r="U819" s="52"/>
    </row>
    <row r="820">
      <c r="M820" s="52"/>
      <c r="N820" s="52"/>
      <c r="O820" s="52"/>
      <c r="P820" s="52"/>
      <c r="Q820" s="52"/>
      <c r="U820" s="52"/>
    </row>
    <row r="821">
      <c r="M821" s="52"/>
      <c r="N821" s="52"/>
      <c r="O821" s="52"/>
      <c r="P821" s="52"/>
      <c r="Q821" s="52"/>
      <c r="U821" s="52"/>
    </row>
    <row r="822">
      <c r="M822" s="52"/>
      <c r="N822" s="52"/>
      <c r="O822" s="52"/>
      <c r="P822" s="52"/>
      <c r="Q822" s="52"/>
      <c r="U822" s="52"/>
    </row>
    <row r="823">
      <c r="M823" s="52"/>
      <c r="N823" s="52"/>
      <c r="O823" s="52"/>
      <c r="P823" s="52"/>
      <c r="Q823" s="52"/>
      <c r="U823" s="52"/>
    </row>
    <row r="824">
      <c r="M824" s="52"/>
      <c r="N824" s="52"/>
      <c r="O824" s="52"/>
      <c r="P824" s="52"/>
      <c r="Q824" s="52"/>
      <c r="U824" s="52"/>
    </row>
    <row r="825">
      <c r="M825" s="52"/>
      <c r="N825" s="52"/>
      <c r="O825" s="52"/>
      <c r="P825" s="52"/>
      <c r="Q825" s="52"/>
      <c r="U825" s="52"/>
    </row>
    <row r="826">
      <c r="M826" s="52"/>
      <c r="N826" s="52"/>
      <c r="O826" s="52"/>
      <c r="P826" s="52"/>
      <c r="Q826" s="52"/>
      <c r="U826" s="52"/>
    </row>
    <row r="827">
      <c r="M827" s="52"/>
      <c r="N827" s="52"/>
      <c r="O827" s="52"/>
      <c r="P827" s="52"/>
      <c r="Q827" s="52"/>
      <c r="U827" s="52"/>
    </row>
    <row r="828">
      <c r="M828" s="52"/>
      <c r="N828" s="52"/>
      <c r="O828" s="52"/>
      <c r="P828" s="52"/>
      <c r="Q828" s="52"/>
      <c r="U828" s="52"/>
    </row>
    <row r="829">
      <c r="M829" s="52"/>
      <c r="N829" s="52"/>
      <c r="O829" s="52"/>
      <c r="P829" s="52"/>
      <c r="Q829" s="52"/>
      <c r="U829" s="52"/>
    </row>
    <row r="830">
      <c r="M830" s="52"/>
      <c r="N830" s="52"/>
      <c r="O830" s="52"/>
      <c r="P830" s="52"/>
      <c r="Q830" s="52"/>
      <c r="U830" s="52"/>
    </row>
    <row r="831">
      <c r="M831" s="52"/>
      <c r="N831" s="52"/>
      <c r="O831" s="52"/>
      <c r="P831" s="52"/>
      <c r="Q831" s="52"/>
      <c r="U831" s="52"/>
    </row>
    <row r="832">
      <c r="M832" s="52"/>
      <c r="N832" s="52"/>
      <c r="O832" s="52"/>
      <c r="P832" s="52"/>
      <c r="Q832" s="52"/>
      <c r="U832" s="52"/>
    </row>
    <row r="833">
      <c r="M833" s="52"/>
      <c r="N833" s="52"/>
      <c r="O833" s="52"/>
      <c r="P833" s="52"/>
      <c r="Q833" s="52"/>
      <c r="U833" s="52"/>
    </row>
    <row r="834">
      <c r="M834" s="52"/>
      <c r="N834" s="52"/>
      <c r="O834" s="52"/>
      <c r="P834" s="52"/>
      <c r="Q834" s="52"/>
      <c r="U834" s="52"/>
    </row>
    <row r="835">
      <c r="M835" s="52"/>
      <c r="N835" s="52"/>
      <c r="O835" s="52"/>
      <c r="P835" s="52"/>
      <c r="Q835" s="52"/>
      <c r="U835" s="52"/>
    </row>
    <row r="836">
      <c r="M836" s="52"/>
      <c r="N836" s="52"/>
      <c r="O836" s="52"/>
      <c r="P836" s="52"/>
      <c r="Q836" s="52"/>
      <c r="U836" s="52"/>
    </row>
    <row r="837">
      <c r="M837" s="52"/>
      <c r="N837" s="52"/>
      <c r="O837" s="52"/>
      <c r="P837" s="52"/>
      <c r="Q837" s="52"/>
      <c r="U837" s="52"/>
    </row>
    <row r="838">
      <c r="M838" s="52"/>
      <c r="N838" s="52"/>
      <c r="O838" s="52"/>
      <c r="P838" s="52"/>
      <c r="Q838" s="52"/>
      <c r="U838" s="52"/>
    </row>
    <row r="839">
      <c r="M839" s="52"/>
      <c r="N839" s="52"/>
      <c r="O839" s="52"/>
      <c r="P839" s="52"/>
      <c r="Q839" s="52"/>
      <c r="U839" s="52"/>
    </row>
    <row r="840">
      <c r="M840" s="52"/>
      <c r="N840" s="52"/>
      <c r="O840" s="52"/>
      <c r="P840" s="52"/>
      <c r="Q840" s="52"/>
      <c r="U840" s="52"/>
    </row>
    <row r="841">
      <c r="M841" s="52"/>
      <c r="N841" s="52"/>
      <c r="O841" s="52"/>
      <c r="P841" s="52"/>
      <c r="Q841" s="52"/>
      <c r="U841" s="52"/>
    </row>
    <row r="842">
      <c r="M842" s="52"/>
      <c r="N842" s="52"/>
      <c r="O842" s="52"/>
      <c r="P842" s="52"/>
      <c r="Q842" s="52"/>
      <c r="U842" s="52"/>
    </row>
    <row r="843">
      <c r="M843" s="52"/>
      <c r="N843" s="52"/>
      <c r="O843" s="52"/>
      <c r="P843" s="52"/>
      <c r="Q843" s="52"/>
      <c r="U843" s="52"/>
    </row>
    <row r="844">
      <c r="M844" s="52"/>
      <c r="N844" s="52"/>
      <c r="O844" s="52"/>
      <c r="P844" s="52"/>
      <c r="Q844" s="52"/>
      <c r="U844" s="52"/>
    </row>
    <row r="845">
      <c r="M845" s="52"/>
      <c r="N845" s="52"/>
      <c r="O845" s="52"/>
      <c r="P845" s="52"/>
      <c r="Q845" s="52"/>
      <c r="U845" s="52"/>
    </row>
    <row r="846">
      <c r="M846" s="52"/>
      <c r="N846" s="52"/>
      <c r="O846" s="52"/>
      <c r="P846" s="52"/>
      <c r="Q846" s="52"/>
      <c r="U846" s="52"/>
    </row>
    <row r="847">
      <c r="M847" s="52"/>
      <c r="N847" s="52"/>
      <c r="O847" s="52"/>
      <c r="P847" s="52"/>
      <c r="Q847" s="52"/>
      <c r="U847" s="52"/>
    </row>
    <row r="848">
      <c r="M848" s="52"/>
      <c r="N848" s="52"/>
      <c r="O848" s="52"/>
      <c r="P848" s="52"/>
      <c r="Q848" s="52"/>
      <c r="U848" s="52"/>
    </row>
    <row r="849">
      <c r="M849" s="52"/>
      <c r="N849" s="52"/>
      <c r="O849" s="52"/>
      <c r="P849" s="52"/>
      <c r="Q849" s="52"/>
      <c r="U849" s="52"/>
    </row>
    <row r="850">
      <c r="M850" s="52"/>
      <c r="N850" s="52"/>
      <c r="O850" s="52"/>
      <c r="P850" s="52"/>
      <c r="Q850" s="52"/>
      <c r="U850" s="52"/>
    </row>
    <row r="851">
      <c r="M851" s="52"/>
      <c r="N851" s="52"/>
      <c r="O851" s="52"/>
      <c r="P851" s="52"/>
      <c r="Q851" s="52"/>
      <c r="U851" s="52"/>
    </row>
    <row r="852">
      <c r="M852" s="52"/>
      <c r="N852" s="52"/>
      <c r="O852" s="52"/>
      <c r="P852" s="52"/>
      <c r="Q852" s="52"/>
      <c r="U852" s="52"/>
    </row>
    <row r="853">
      <c r="M853" s="52"/>
      <c r="N853" s="52"/>
      <c r="O853" s="52"/>
      <c r="P853" s="52"/>
      <c r="Q853" s="52"/>
      <c r="U853" s="52"/>
    </row>
    <row r="854">
      <c r="M854" s="52"/>
      <c r="N854" s="52"/>
      <c r="O854" s="52"/>
      <c r="P854" s="52"/>
      <c r="Q854" s="52"/>
      <c r="U854" s="52"/>
    </row>
    <row r="855">
      <c r="M855" s="52"/>
      <c r="N855" s="52"/>
      <c r="O855" s="52"/>
      <c r="P855" s="52"/>
      <c r="Q855" s="52"/>
      <c r="U855" s="52"/>
    </row>
    <row r="856">
      <c r="M856" s="52"/>
      <c r="N856" s="52"/>
      <c r="O856" s="52"/>
      <c r="P856" s="52"/>
      <c r="Q856" s="52"/>
      <c r="U856" s="52"/>
    </row>
    <row r="857">
      <c r="M857" s="52"/>
      <c r="N857" s="52"/>
      <c r="O857" s="52"/>
      <c r="P857" s="52"/>
      <c r="Q857" s="52"/>
      <c r="U857" s="52"/>
    </row>
    <row r="858">
      <c r="M858" s="52"/>
      <c r="N858" s="52"/>
      <c r="O858" s="52"/>
      <c r="P858" s="52"/>
      <c r="Q858" s="52"/>
      <c r="U858" s="52"/>
    </row>
    <row r="859">
      <c r="M859" s="52"/>
      <c r="N859" s="52"/>
      <c r="O859" s="52"/>
      <c r="P859" s="52"/>
      <c r="Q859" s="52"/>
      <c r="U859" s="52"/>
    </row>
    <row r="860">
      <c r="M860" s="52"/>
      <c r="N860" s="52"/>
      <c r="O860" s="52"/>
      <c r="P860" s="52"/>
      <c r="Q860" s="52"/>
      <c r="U860" s="52"/>
    </row>
    <row r="861">
      <c r="M861" s="52"/>
      <c r="N861" s="52"/>
      <c r="O861" s="52"/>
      <c r="P861" s="52"/>
      <c r="Q861" s="52"/>
      <c r="U861" s="52"/>
    </row>
    <row r="862">
      <c r="M862" s="52"/>
      <c r="N862" s="52"/>
      <c r="O862" s="52"/>
      <c r="P862" s="52"/>
      <c r="Q862" s="52"/>
      <c r="U862" s="52"/>
    </row>
    <row r="863">
      <c r="M863" s="52"/>
      <c r="N863" s="52"/>
      <c r="O863" s="52"/>
      <c r="P863" s="52"/>
      <c r="Q863" s="52"/>
      <c r="U863" s="52"/>
    </row>
    <row r="864">
      <c r="M864" s="52"/>
      <c r="N864" s="52"/>
      <c r="O864" s="52"/>
      <c r="P864" s="52"/>
      <c r="Q864" s="52"/>
      <c r="U864" s="52"/>
    </row>
    <row r="865">
      <c r="M865" s="52"/>
      <c r="N865" s="52"/>
      <c r="O865" s="52"/>
      <c r="P865" s="52"/>
      <c r="Q865" s="52"/>
      <c r="U865" s="52"/>
    </row>
    <row r="866">
      <c r="M866" s="52"/>
      <c r="N866" s="52"/>
      <c r="O866" s="52"/>
      <c r="P866" s="52"/>
      <c r="Q866" s="52"/>
      <c r="U866" s="52"/>
    </row>
    <row r="867">
      <c r="M867" s="52"/>
      <c r="N867" s="52"/>
      <c r="O867" s="52"/>
      <c r="P867" s="52"/>
      <c r="Q867" s="52"/>
      <c r="U867" s="52"/>
    </row>
    <row r="868">
      <c r="M868" s="52"/>
      <c r="N868" s="52"/>
      <c r="O868" s="52"/>
      <c r="P868" s="52"/>
      <c r="Q868" s="52"/>
      <c r="U868" s="52"/>
    </row>
    <row r="869">
      <c r="M869" s="52"/>
      <c r="N869" s="52"/>
      <c r="O869" s="52"/>
      <c r="P869" s="52"/>
      <c r="Q869" s="52"/>
      <c r="U869" s="52"/>
    </row>
    <row r="870">
      <c r="M870" s="52"/>
      <c r="N870" s="52"/>
      <c r="O870" s="52"/>
      <c r="P870" s="52"/>
      <c r="Q870" s="52"/>
      <c r="U870" s="52"/>
    </row>
    <row r="871">
      <c r="M871" s="52"/>
      <c r="N871" s="52"/>
      <c r="O871" s="52"/>
      <c r="P871" s="52"/>
      <c r="Q871" s="52"/>
      <c r="U871" s="52"/>
    </row>
    <row r="872">
      <c r="M872" s="52"/>
      <c r="N872" s="52"/>
      <c r="O872" s="52"/>
      <c r="P872" s="52"/>
      <c r="Q872" s="52"/>
      <c r="U872" s="52"/>
    </row>
    <row r="873">
      <c r="M873" s="52"/>
      <c r="N873" s="52"/>
      <c r="O873" s="52"/>
      <c r="P873" s="52"/>
      <c r="Q873" s="52"/>
      <c r="U873" s="52"/>
    </row>
    <row r="874">
      <c r="M874" s="52"/>
      <c r="N874" s="52"/>
      <c r="O874" s="52"/>
      <c r="P874" s="52"/>
      <c r="Q874" s="52"/>
      <c r="U874" s="52"/>
    </row>
    <row r="875">
      <c r="M875" s="52"/>
      <c r="N875" s="52"/>
      <c r="O875" s="52"/>
      <c r="P875" s="52"/>
      <c r="Q875" s="52"/>
      <c r="U875" s="52"/>
    </row>
    <row r="876">
      <c r="M876" s="52"/>
      <c r="N876" s="52"/>
      <c r="O876" s="52"/>
      <c r="P876" s="52"/>
      <c r="Q876" s="52"/>
      <c r="U876" s="52"/>
    </row>
    <row r="877">
      <c r="M877" s="52"/>
      <c r="N877" s="52"/>
      <c r="O877" s="52"/>
      <c r="P877" s="52"/>
      <c r="Q877" s="52"/>
      <c r="U877" s="52"/>
    </row>
    <row r="878">
      <c r="M878" s="52"/>
      <c r="N878" s="52"/>
      <c r="O878" s="52"/>
      <c r="P878" s="52"/>
      <c r="Q878" s="52"/>
      <c r="U878" s="52"/>
    </row>
    <row r="879">
      <c r="M879" s="52"/>
      <c r="N879" s="52"/>
      <c r="O879" s="52"/>
      <c r="P879" s="52"/>
      <c r="Q879" s="52"/>
      <c r="U879" s="52"/>
    </row>
    <row r="880">
      <c r="M880" s="52"/>
      <c r="N880" s="52"/>
      <c r="O880" s="52"/>
      <c r="P880" s="52"/>
      <c r="Q880" s="52"/>
      <c r="U880" s="52"/>
    </row>
    <row r="881">
      <c r="M881" s="52"/>
      <c r="N881" s="52"/>
      <c r="O881" s="52"/>
      <c r="P881" s="52"/>
      <c r="Q881" s="52"/>
      <c r="U881" s="52"/>
    </row>
    <row r="882">
      <c r="M882" s="52"/>
      <c r="N882" s="52"/>
      <c r="O882" s="52"/>
      <c r="P882" s="52"/>
      <c r="Q882" s="52"/>
      <c r="U882" s="52"/>
    </row>
    <row r="883">
      <c r="M883" s="52"/>
      <c r="N883" s="52"/>
      <c r="O883" s="52"/>
      <c r="P883" s="52"/>
      <c r="Q883" s="52"/>
      <c r="U883" s="52"/>
    </row>
    <row r="884">
      <c r="M884" s="52"/>
      <c r="N884" s="52"/>
      <c r="O884" s="52"/>
      <c r="P884" s="52"/>
      <c r="Q884" s="52"/>
      <c r="U884" s="52"/>
    </row>
    <row r="885">
      <c r="M885" s="52"/>
      <c r="N885" s="52"/>
      <c r="O885" s="52"/>
      <c r="P885" s="52"/>
      <c r="Q885" s="52"/>
      <c r="U885" s="52"/>
    </row>
    <row r="886">
      <c r="M886" s="52"/>
      <c r="N886" s="52"/>
      <c r="O886" s="52"/>
      <c r="P886" s="52"/>
      <c r="Q886" s="52"/>
      <c r="U886" s="52"/>
    </row>
    <row r="887">
      <c r="M887" s="52"/>
      <c r="N887" s="52"/>
      <c r="O887" s="52"/>
      <c r="P887" s="52"/>
      <c r="Q887" s="52"/>
      <c r="U887" s="52"/>
    </row>
    <row r="888">
      <c r="M888" s="52"/>
      <c r="N888" s="52"/>
      <c r="O888" s="52"/>
      <c r="P888" s="52"/>
      <c r="Q888" s="52"/>
      <c r="U888" s="52"/>
    </row>
    <row r="889">
      <c r="M889" s="52"/>
      <c r="N889" s="52"/>
      <c r="O889" s="52"/>
      <c r="P889" s="52"/>
      <c r="Q889" s="52"/>
      <c r="U889" s="52"/>
    </row>
    <row r="890">
      <c r="M890" s="52"/>
      <c r="N890" s="52"/>
      <c r="O890" s="52"/>
      <c r="P890" s="52"/>
      <c r="Q890" s="52"/>
      <c r="U890" s="52"/>
    </row>
    <row r="891">
      <c r="M891" s="52"/>
      <c r="N891" s="52"/>
      <c r="O891" s="52"/>
      <c r="P891" s="52"/>
      <c r="Q891" s="52"/>
      <c r="U891" s="52"/>
    </row>
    <row r="892">
      <c r="M892" s="52"/>
      <c r="N892" s="52"/>
      <c r="O892" s="52"/>
      <c r="P892" s="52"/>
      <c r="Q892" s="52"/>
      <c r="U892" s="52"/>
    </row>
    <row r="893">
      <c r="M893" s="52"/>
      <c r="N893" s="52"/>
      <c r="O893" s="52"/>
      <c r="P893" s="52"/>
      <c r="Q893" s="52"/>
      <c r="U893" s="52"/>
    </row>
    <row r="894">
      <c r="M894" s="52"/>
      <c r="N894" s="52"/>
      <c r="O894" s="52"/>
      <c r="P894" s="52"/>
      <c r="Q894" s="52"/>
      <c r="U894" s="52"/>
    </row>
    <row r="895">
      <c r="M895" s="52"/>
      <c r="N895" s="52"/>
      <c r="O895" s="52"/>
      <c r="P895" s="52"/>
      <c r="Q895" s="52"/>
      <c r="U895" s="52"/>
    </row>
    <row r="896">
      <c r="M896" s="52"/>
      <c r="N896" s="52"/>
      <c r="O896" s="52"/>
      <c r="P896" s="52"/>
      <c r="Q896" s="52"/>
      <c r="U896" s="52"/>
    </row>
    <row r="897">
      <c r="M897" s="52"/>
      <c r="N897" s="52"/>
      <c r="O897" s="52"/>
      <c r="P897" s="52"/>
      <c r="Q897" s="52"/>
      <c r="U897" s="52"/>
    </row>
    <row r="898">
      <c r="M898" s="52"/>
      <c r="N898" s="52"/>
      <c r="O898" s="52"/>
      <c r="P898" s="52"/>
      <c r="Q898" s="52"/>
      <c r="U898" s="52"/>
    </row>
    <row r="899">
      <c r="M899" s="52"/>
      <c r="N899" s="52"/>
      <c r="O899" s="52"/>
      <c r="P899" s="52"/>
      <c r="Q899" s="52"/>
      <c r="U899" s="52"/>
    </row>
    <row r="900">
      <c r="M900" s="52"/>
      <c r="N900" s="52"/>
      <c r="O900" s="52"/>
      <c r="P900" s="52"/>
      <c r="Q900" s="52"/>
      <c r="U900" s="52"/>
    </row>
    <row r="901">
      <c r="M901" s="52"/>
      <c r="N901" s="52"/>
      <c r="O901" s="52"/>
      <c r="P901" s="52"/>
      <c r="Q901" s="52"/>
      <c r="U901" s="52"/>
    </row>
    <row r="902">
      <c r="M902" s="52"/>
      <c r="N902" s="52"/>
      <c r="O902" s="52"/>
      <c r="P902" s="52"/>
      <c r="Q902" s="52"/>
      <c r="U902" s="52"/>
    </row>
    <row r="903">
      <c r="M903" s="52"/>
      <c r="N903" s="52"/>
      <c r="O903" s="52"/>
      <c r="P903" s="52"/>
      <c r="Q903" s="52"/>
      <c r="U903" s="52"/>
    </row>
    <row r="904">
      <c r="M904" s="52"/>
      <c r="N904" s="52"/>
      <c r="O904" s="52"/>
      <c r="P904" s="52"/>
      <c r="Q904" s="52"/>
      <c r="U904" s="52"/>
    </row>
    <row r="905">
      <c r="M905" s="52"/>
      <c r="N905" s="52"/>
      <c r="O905" s="52"/>
      <c r="P905" s="52"/>
      <c r="Q905" s="52"/>
      <c r="U905" s="52"/>
    </row>
    <row r="906">
      <c r="M906" s="52"/>
      <c r="N906" s="52"/>
      <c r="O906" s="52"/>
      <c r="P906" s="52"/>
      <c r="Q906" s="52"/>
      <c r="U906" s="52"/>
    </row>
    <row r="907">
      <c r="M907" s="52"/>
      <c r="N907" s="52"/>
      <c r="O907" s="52"/>
      <c r="P907" s="52"/>
      <c r="Q907" s="52"/>
      <c r="U907" s="52"/>
    </row>
    <row r="908">
      <c r="M908" s="52"/>
      <c r="N908" s="52"/>
      <c r="O908" s="52"/>
      <c r="P908" s="52"/>
      <c r="Q908" s="52"/>
      <c r="U908" s="52"/>
    </row>
    <row r="909">
      <c r="M909" s="52"/>
      <c r="N909" s="52"/>
      <c r="O909" s="52"/>
      <c r="P909" s="52"/>
      <c r="Q909" s="52"/>
      <c r="U909" s="52"/>
    </row>
    <row r="910">
      <c r="M910" s="52"/>
      <c r="N910" s="52"/>
      <c r="O910" s="52"/>
      <c r="P910" s="52"/>
      <c r="Q910" s="52"/>
      <c r="U910" s="52"/>
    </row>
    <row r="911">
      <c r="M911" s="52"/>
      <c r="N911" s="52"/>
      <c r="O911" s="52"/>
      <c r="P911" s="52"/>
      <c r="Q911" s="52"/>
      <c r="U911" s="52"/>
    </row>
    <row r="912">
      <c r="M912" s="52"/>
      <c r="N912" s="52"/>
      <c r="O912" s="52"/>
      <c r="P912" s="52"/>
      <c r="Q912" s="52"/>
      <c r="U912" s="52"/>
    </row>
    <row r="913">
      <c r="M913" s="52"/>
      <c r="N913" s="52"/>
      <c r="O913" s="52"/>
      <c r="P913" s="52"/>
      <c r="Q913" s="52"/>
      <c r="U913" s="52"/>
    </row>
    <row r="914">
      <c r="M914" s="52"/>
      <c r="N914" s="52"/>
      <c r="O914" s="52"/>
      <c r="P914" s="52"/>
      <c r="Q914" s="52"/>
      <c r="U914" s="52"/>
    </row>
    <row r="915">
      <c r="M915" s="52"/>
      <c r="N915" s="52"/>
      <c r="O915" s="52"/>
      <c r="P915" s="52"/>
      <c r="Q915" s="52"/>
      <c r="U915" s="52"/>
    </row>
    <row r="916">
      <c r="M916" s="52"/>
      <c r="N916" s="52"/>
      <c r="O916" s="52"/>
      <c r="P916" s="52"/>
      <c r="Q916" s="52"/>
      <c r="U916" s="52"/>
    </row>
    <row r="917">
      <c r="M917" s="52"/>
      <c r="N917" s="52"/>
      <c r="O917" s="52"/>
      <c r="P917" s="52"/>
      <c r="Q917" s="52"/>
      <c r="U917" s="52"/>
    </row>
    <row r="918">
      <c r="M918" s="52"/>
      <c r="N918" s="52"/>
      <c r="O918" s="52"/>
      <c r="P918" s="52"/>
      <c r="Q918" s="52"/>
      <c r="U918" s="52"/>
    </row>
    <row r="919">
      <c r="M919" s="52"/>
      <c r="N919" s="52"/>
      <c r="O919" s="52"/>
      <c r="P919" s="52"/>
      <c r="Q919" s="52"/>
      <c r="U919" s="52"/>
    </row>
    <row r="920">
      <c r="M920" s="52"/>
      <c r="N920" s="52"/>
      <c r="O920" s="52"/>
      <c r="P920" s="52"/>
      <c r="Q920" s="52"/>
      <c r="U920" s="52"/>
    </row>
    <row r="921">
      <c r="M921" s="52"/>
      <c r="N921" s="52"/>
      <c r="O921" s="52"/>
      <c r="P921" s="52"/>
      <c r="Q921" s="52"/>
      <c r="U921" s="52"/>
    </row>
    <row r="922">
      <c r="M922" s="52"/>
      <c r="N922" s="52"/>
      <c r="O922" s="52"/>
      <c r="P922" s="52"/>
      <c r="Q922" s="52"/>
      <c r="U922" s="52"/>
    </row>
    <row r="923">
      <c r="M923" s="52"/>
      <c r="N923" s="52"/>
      <c r="O923" s="52"/>
      <c r="P923" s="52"/>
      <c r="Q923" s="52"/>
      <c r="U923" s="52"/>
    </row>
    <row r="924">
      <c r="M924" s="52"/>
      <c r="N924" s="52"/>
      <c r="O924" s="52"/>
      <c r="P924" s="52"/>
      <c r="Q924" s="52"/>
      <c r="U924" s="52"/>
    </row>
    <row r="925">
      <c r="M925" s="52"/>
      <c r="N925" s="52"/>
      <c r="O925" s="52"/>
      <c r="P925" s="52"/>
      <c r="Q925" s="52"/>
      <c r="U925" s="52"/>
    </row>
    <row r="926">
      <c r="M926" s="52"/>
      <c r="N926" s="52"/>
      <c r="O926" s="52"/>
      <c r="P926" s="52"/>
      <c r="Q926" s="52"/>
      <c r="U926" s="52"/>
    </row>
    <row r="927">
      <c r="M927" s="52"/>
      <c r="N927" s="52"/>
      <c r="O927" s="52"/>
      <c r="P927" s="52"/>
      <c r="Q927" s="52"/>
      <c r="U927" s="52"/>
    </row>
    <row r="928">
      <c r="M928" s="52"/>
      <c r="N928" s="52"/>
      <c r="O928" s="52"/>
      <c r="P928" s="52"/>
      <c r="Q928" s="52"/>
      <c r="U928" s="52"/>
    </row>
    <row r="929">
      <c r="M929" s="52"/>
      <c r="N929" s="52"/>
      <c r="O929" s="52"/>
      <c r="P929" s="52"/>
      <c r="Q929" s="52"/>
      <c r="U929" s="52"/>
    </row>
    <row r="930">
      <c r="M930" s="52"/>
      <c r="N930" s="52"/>
      <c r="O930" s="52"/>
      <c r="P930" s="52"/>
      <c r="Q930" s="52"/>
      <c r="U930" s="52"/>
    </row>
    <row r="931">
      <c r="M931" s="52"/>
      <c r="N931" s="52"/>
      <c r="O931" s="52"/>
      <c r="P931" s="52"/>
      <c r="Q931" s="52"/>
      <c r="U931" s="52"/>
    </row>
    <row r="932">
      <c r="M932" s="52"/>
      <c r="N932" s="52"/>
      <c r="O932" s="52"/>
      <c r="P932" s="52"/>
      <c r="Q932" s="52"/>
      <c r="U932" s="52"/>
    </row>
    <row r="933">
      <c r="M933" s="52"/>
      <c r="N933" s="52"/>
      <c r="O933" s="52"/>
      <c r="P933" s="52"/>
      <c r="Q933" s="52"/>
      <c r="U933" s="52"/>
    </row>
    <row r="934">
      <c r="M934" s="52"/>
      <c r="N934" s="52"/>
      <c r="O934" s="52"/>
      <c r="P934" s="52"/>
      <c r="Q934" s="52"/>
      <c r="U934" s="52"/>
    </row>
    <row r="935">
      <c r="M935" s="52"/>
      <c r="N935" s="52"/>
      <c r="O935" s="52"/>
      <c r="P935" s="52"/>
      <c r="Q935" s="52"/>
      <c r="U935" s="52"/>
    </row>
    <row r="936">
      <c r="M936" s="52"/>
      <c r="N936" s="52"/>
      <c r="O936" s="52"/>
      <c r="P936" s="52"/>
      <c r="Q936" s="52"/>
      <c r="U936" s="52"/>
    </row>
    <row r="937">
      <c r="M937" s="52"/>
      <c r="N937" s="52"/>
      <c r="O937" s="52"/>
      <c r="P937" s="52"/>
      <c r="Q937" s="52"/>
      <c r="U937" s="52"/>
    </row>
    <row r="938">
      <c r="M938" s="52"/>
      <c r="N938" s="52"/>
      <c r="O938" s="52"/>
      <c r="P938" s="52"/>
      <c r="Q938" s="52"/>
      <c r="U938" s="52"/>
    </row>
    <row r="939">
      <c r="M939" s="52"/>
      <c r="N939" s="52"/>
      <c r="O939" s="52"/>
      <c r="P939" s="52"/>
      <c r="Q939" s="52"/>
      <c r="U939" s="52"/>
    </row>
    <row r="940">
      <c r="M940" s="52"/>
      <c r="N940" s="52"/>
      <c r="O940" s="52"/>
      <c r="P940" s="52"/>
      <c r="Q940" s="52"/>
      <c r="U940" s="52"/>
    </row>
    <row r="941">
      <c r="M941" s="52"/>
      <c r="N941" s="52"/>
      <c r="O941" s="52"/>
      <c r="P941" s="52"/>
      <c r="Q941" s="52"/>
      <c r="U941" s="52"/>
    </row>
    <row r="942">
      <c r="M942" s="52"/>
      <c r="N942" s="52"/>
      <c r="O942" s="52"/>
      <c r="P942" s="52"/>
      <c r="Q942" s="52"/>
      <c r="U942" s="52"/>
    </row>
    <row r="943">
      <c r="M943" s="52"/>
      <c r="N943" s="52"/>
      <c r="O943" s="52"/>
      <c r="P943" s="52"/>
      <c r="Q943" s="52"/>
      <c r="U943" s="52"/>
    </row>
    <row r="944">
      <c r="M944" s="52"/>
      <c r="N944" s="52"/>
      <c r="O944" s="52"/>
      <c r="P944" s="52"/>
      <c r="Q944" s="52"/>
      <c r="U944" s="52"/>
    </row>
    <row r="945">
      <c r="M945" s="52"/>
      <c r="N945" s="52"/>
      <c r="O945" s="52"/>
      <c r="P945" s="52"/>
      <c r="Q945" s="52"/>
      <c r="U945" s="52"/>
    </row>
    <row r="946">
      <c r="M946" s="52"/>
      <c r="N946" s="52"/>
      <c r="O946" s="52"/>
      <c r="P946" s="52"/>
      <c r="Q946" s="52"/>
      <c r="U946" s="52"/>
    </row>
    <row r="947">
      <c r="M947" s="52"/>
      <c r="N947" s="52"/>
      <c r="O947" s="52"/>
      <c r="P947" s="52"/>
      <c r="Q947" s="52"/>
      <c r="U947" s="52"/>
    </row>
    <row r="948">
      <c r="M948" s="52"/>
      <c r="N948" s="52"/>
      <c r="O948" s="52"/>
      <c r="P948" s="52"/>
      <c r="Q948" s="52"/>
      <c r="U948" s="52"/>
    </row>
    <row r="949">
      <c r="M949" s="52"/>
      <c r="N949" s="52"/>
      <c r="O949" s="52"/>
      <c r="P949" s="52"/>
      <c r="Q949" s="52"/>
      <c r="U949" s="52"/>
    </row>
    <row r="950">
      <c r="M950" s="52"/>
      <c r="N950" s="52"/>
      <c r="O950" s="52"/>
      <c r="P950" s="52"/>
      <c r="Q950" s="52"/>
      <c r="U950" s="52"/>
    </row>
    <row r="951">
      <c r="M951" s="52"/>
      <c r="N951" s="52"/>
      <c r="O951" s="52"/>
      <c r="P951" s="52"/>
      <c r="Q951" s="52"/>
      <c r="U951" s="52"/>
    </row>
    <row r="952">
      <c r="M952" s="52"/>
      <c r="N952" s="52"/>
      <c r="O952" s="52"/>
      <c r="P952" s="52"/>
      <c r="Q952" s="52"/>
      <c r="U952" s="52"/>
    </row>
    <row r="953">
      <c r="M953" s="52"/>
      <c r="N953" s="52"/>
      <c r="O953" s="52"/>
      <c r="P953" s="52"/>
      <c r="Q953" s="52"/>
      <c r="U953" s="52"/>
    </row>
    <row r="954">
      <c r="M954" s="52"/>
      <c r="N954" s="52"/>
      <c r="O954" s="52"/>
      <c r="P954" s="52"/>
      <c r="Q954" s="52"/>
      <c r="U954" s="52"/>
    </row>
    <row r="955">
      <c r="M955" s="52"/>
      <c r="N955" s="52"/>
      <c r="O955" s="52"/>
      <c r="P955" s="52"/>
      <c r="Q955" s="52"/>
      <c r="U955" s="52"/>
    </row>
    <row r="956">
      <c r="M956" s="52"/>
      <c r="N956" s="52"/>
      <c r="O956" s="52"/>
      <c r="P956" s="52"/>
      <c r="Q956" s="52"/>
      <c r="U956" s="52"/>
    </row>
    <row r="957">
      <c r="M957" s="52"/>
      <c r="N957" s="52"/>
      <c r="O957" s="52"/>
      <c r="P957" s="52"/>
      <c r="Q957" s="52"/>
      <c r="U957" s="52"/>
    </row>
    <row r="958">
      <c r="M958" s="52"/>
      <c r="N958" s="52"/>
      <c r="O958" s="52"/>
      <c r="P958" s="52"/>
      <c r="Q958" s="52"/>
      <c r="U958" s="52"/>
    </row>
    <row r="959">
      <c r="M959" s="52"/>
      <c r="N959" s="52"/>
      <c r="O959" s="52"/>
      <c r="P959" s="52"/>
      <c r="Q959" s="52"/>
      <c r="U959" s="52"/>
    </row>
    <row r="960">
      <c r="M960" s="52"/>
      <c r="N960" s="52"/>
      <c r="O960" s="52"/>
      <c r="P960" s="52"/>
      <c r="Q960" s="52"/>
      <c r="U960" s="52"/>
    </row>
    <row r="961">
      <c r="M961" s="52"/>
      <c r="N961" s="52"/>
      <c r="O961" s="52"/>
      <c r="P961" s="52"/>
      <c r="Q961" s="52"/>
      <c r="U961" s="52"/>
    </row>
    <row r="962">
      <c r="M962" s="52"/>
      <c r="N962" s="52"/>
      <c r="O962" s="52"/>
      <c r="P962" s="52"/>
      <c r="Q962" s="52"/>
      <c r="U962" s="52"/>
    </row>
    <row r="963">
      <c r="M963" s="52"/>
      <c r="N963" s="52"/>
      <c r="O963" s="52"/>
      <c r="P963" s="52"/>
      <c r="Q963" s="52"/>
      <c r="U963" s="52"/>
    </row>
    <row r="964">
      <c r="M964" s="52"/>
      <c r="N964" s="52"/>
      <c r="O964" s="52"/>
      <c r="P964" s="52"/>
      <c r="Q964" s="52"/>
      <c r="U964" s="52"/>
    </row>
    <row r="965">
      <c r="M965" s="52"/>
      <c r="N965" s="52"/>
      <c r="O965" s="52"/>
      <c r="P965" s="52"/>
      <c r="Q965" s="52"/>
      <c r="U965" s="52"/>
    </row>
    <row r="966">
      <c r="M966" s="52"/>
      <c r="N966" s="52"/>
      <c r="O966" s="52"/>
      <c r="P966" s="52"/>
      <c r="Q966" s="52"/>
      <c r="U966" s="52"/>
    </row>
    <row r="967">
      <c r="M967" s="52"/>
      <c r="N967" s="52"/>
      <c r="O967" s="52"/>
      <c r="P967" s="52"/>
      <c r="Q967" s="52"/>
      <c r="U967" s="52"/>
    </row>
    <row r="968">
      <c r="M968" s="52"/>
      <c r="N968" s="52"/>
      <c r="O968" s="52"/>
      <c r="P968" s="52"/>
      <c r="Q968" s="52"/>
      <c r="U968" s="52"/>
    </row>
    <row r="969">
      <c r="M969" s="52"/>
      <c r="N969" s="52"/>
      <c r="O969" s="52"/>
      <c r="P969" s="52"/>
      <c r="Q969" s="52"/>
      <c r="U969" s="52"/>
    </row>
    <row r="970">
      <c r="M970" s="52"/>
      <c r="N970" s="52"/>
      <c r="O970" s="52"/>
      <c r="P970" s="52"/>
      <c r="Q970" s="52"/>
      <c r="U970" s="52"/>
    </row>
    <row r="971">
      <c r="M971" s="52"/>
      <c r="N971" s="52"/>
      <c r="O971" s="52"/>
      <c r="P971" s="52"/>
      <c r="Q971" s="52"/>
      <c r="U971" s="52"/>
    </row>
    <row r="972">
      <c r="M972" s="52"/>
      <c r="N972" s="52"/>
      <c r="O972" s="52"/>
      <c r="P972" s="52"/>
      <c r="Q972" s="52"/>
      <c r="U972" s="52"/>
    </row>
    <row r="973">
      <c r="M973" s="52"/>
      <c r="N973" s="52"/>
      <c r="O973" s="52"/>
      <c r="P973" s="52"/>
      <c r="Q973" s="52"/>
      <c r="U973" s="52"/>
    </row>
    <row r="974">
      <c r="M974" s="52"/>
      <c r="N974" s="52"/>
      <c r="O974" s="52"/>
      <c r="P974" s="52"/>
      <c r="Q974" s="52"/>
      <c r="U974" s="52"/>
    </row>
    <row r="975">
      <c r="M975" s="52"/>
      <c r="N975" s="52"/>
      <c r="O975" s="52"/>
      <c r="P975" s="52"/>
      <c r="Q975" s="52"/>
      <c r="U975" s="52"/>
    </row>
    <row r="976">
      <c r="M976" s="52"/>
      <c r="N976" s="52"/>
      <c r="O976" s="52"/>
      <c r="P976" s="52"/>
      <c r="Q976" s="52"/>
      <c r="U976" s="52"/>
    </row>
    <row r="977">
      <c r="M977" s="52"/>
      <c r="N977" s="52"/>
      <c r="O977" s="52"/>
      <c r="P977" s="52"/>
      <c r="Q977" s="52"/>
      <c r="U977" s="52"/>
    </row>
    <row r="978">
      <c r="M978" s="52"/>
      <c r="N978" s="52"/>
      <c r="O978" s="52"/>
      <c r="P978" s="52"/>
      <c r="Q978" s="52"/>
      <c r="U978" s="52"/>
    </row>
    <row r="979">
      <c r="M979" s="52"/>
      <c r="N979" s="52"/>
      <c r="O979" s="52"/>
      <c r="P979" s="52"/>
      <c r="Q979" s="52"/>
      <c r="U979" s="52"/>
    </row>
    <row r="980">
      <c r="M980" s="52"/>
      <c r="N980" s="52"/>
      <c r="O980" s="52"/>
      <c r="P980" s="52"/>
      <c r="Q980" s="52"/>
      <c r="U980" s="52"/>
    </row>
    <row r="981">
      <c r="M981" s="52"/>
      <c r="N981" s="52"/>
      <c r="O981" s="52"/>
      <c r="P981" s="52"/>
      <c r="Q981" s="52"/>
      <c r="U981" s="52"/>
    </row>
    <row r="982">
      <c r="M982" s="52"/>
      <c r="N982" s="52"/>
      <c r="O982" s="52"/>
      <c r="P982" s="52"/>
      <c r="Q982" s="52"/>
      <c r="U982" s="52"/>
    </row>
    <row r="983">
      <c r="M983" s="52"/>
      <c r="N983" s="52"/>
      <c r="O983" s="52"/>
      <c r="P983" s="52"/>
      <c r="Q983" s="52"/>
      <c r="U983" s="52"/>
    </row>
    <row r="984">
      <c r="M984" s="52"/>
      <c r="N984" s="52"/>
      <c r="O984" s="52"/>
      <c r="P984" s="52"/>
      <c r="Q984" s="52"/>
      <c r="U984" s="52"/>
    </row>
    <row r="985">
      <c r="M985" s="52"/>
      <c r="N985" s="52"/>
      <c r="O985" s="52"/>
      <c r="P985" s="52"/>
      <c r="Q985" s="52"/>
      <c r="U985" s="52"/>
    </row>
    <row r="986">
      <c r="M986" s="52"/>
      <c r="N986" s="52"/>
      <c r="O986" s="52"/>
      <c r="P986" s="52"/>
      <c r="Q986" s="52"/>
      <c r="U986" s="52"/>
    </row>
    <row r="987">
      <c r="M987" s="52"/>
      <c r="N987" s="52"/>
      <c r="O987" s="52"/>
      <c r="P987" s="52"/>
      <c r="Q987" s="52"/>
      <c r="U987" s="52"/>
    </row>
    <row r="988">
      <c r="M988" s="52"/>
      <c r="N988" s="52"/>
      <c r="O988" s="52"/>
      <c r="P988" s="52"/>
      <c r="Q988" s="52"/>
      <c r="U988" s="52"/>
    </row>
    <row r="989">
      <c r="M989" s="52"/>
      <c r="N989" s="52"/>
      <c r="O989" s="52"/>
      <c r="P989" s="52"/>
      <c r="Q989" s="52"/>
      <c r="U989" s="52"/>
    </row>
    <row r="990">
      <c r="M990" s="52"/>
      <c r="N990" s="52"/>
      <c r="O990" s="52"/>
      <c r="P990" s="52"/>
      <c r="Q990" s="52"/>
      <c r="U990" s="52"/>
    </row>
    <row r="991">
      <c r="M991" s="52"/>
      <c r="N991" s="52"/>
      <c r="O991" s="52"/>
      <c r="P991" s="52"/>
      <c r="Q991" s="52"/>
      <c r="U991" s="52"/>
    </row>
    <row r="992">
      <c r="M992" s="52"/>
      <c r="N992" s="52"/>
      <c r="O992" s="52"/>
      <c r="P992" s="52"/>
      <c r="Q992" s="52"/>
      <c r="U992" s="52"/>
    </row>
    <row r="993">
      <c r="M993" s="52"/>
      <c r="N993" s="52"/>
      <c r="O993" s="52"/>
      <c r="P993" s="52"/>
      <c r="Q993" s="52"/>
      <c r="U993" s="52"/>
    </row>
    <row r="994">
      <c r="M994" s="52"/>
      <c r="N994" s="52"/>
      <c r="O994" s="52"/>
      <c r="P994" s="52"/>
      <c r="Q994" s="52"/>
      <c r="U994" s="52"/>
    </row>
    <row r="995">
      <c r="M995" s="52"/>
      <c r="N995" s="52"/>
      <c r="O995" s="52"/>
      <c r="P995" s="52"/>
      <c r="Q995" s="52"/>
      <c r="U995" s="52"/>
    </row>
    <row r="996">
      <c r="M996" s="52"/>
      <c r="N996" s="52"/>
      <c r="O996" s="52"/>
      <c r="P996" s="52"/>
      <c r="Q996" s="52"/>
      <c r="U996" s="52"/>
    </row>
    <row r="997">
      <c r="M997" s="52"/>
      <c r="N997" s="52"/>
      <c r="O997" s="52"/>
      <c r="P997" s="52"/>
      <c r="Q997" s="52"/>
      <c r="U997" s="52"/>
    </row>
    <row r="998">
      <c r="M998" s="52"/>
      <c r="N998" s="52"/>
      <c r="O998" s="52"/>
      <c r="P998" s="52"/>
      <c r="Q998" s="52"/>
      <c r="U998" s="52"/>
    </row>
    <row r="999">
      <c r="M999" s="52"/>
      <c r="N999" s="52"/>
      <c r="O999" s="52"/>
      <c r="P999" s="52"/>
      <c r="Q999" s="52"/>
      <c r="U999" s="52"/>
    </row>
    <row r="1000">
      <c r="M1000" s="52"/>
      <c r="N1000" s="52"/>
      <c r="O1000" s="52"/>
      <c r="P1000" s="52"/>
      <c r="Q1000" s="52"/>
      <c r="U1000" s="52"/>
    </row>
  </sheetData>
  <mergeCells count="7">
    <mergeCell ref="A1:A2"/>
    <mergeCell ref="B1:B2"/>
    <mergeCell ref="C1:G1"/>
    <mergeCell ref="H1:I1"/>
    <mergeCell ref="J1:J2"/>
    <mergeCell ref="K1:O1"/>
    <mergeCell ref="P1:U1"/>
  </mergeCells>
  <conditionalFormatting sqref="N3:N9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G3:G9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3:H9">
    <cfRule type="colorScale" priority="3">
      <colorScale>
        <cfvo type="formula" val="0"/>
        <cfvo type="max"/>
        <color rgb="FFFFFFFF"/>
        <color rgb="FF57BB8A"/>
      </colorScale>
    </cfRule>
  </conditionalFormatting>
  <conditionalFormatting sqref="I3:I9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J3:J9">
    <cfRule type="colorScale" priority="5">
      <colorScale>
        <cfvo type="formula" val="0"/>
        <cfvo type="max"/>
        <color rgb="FFFFFFFF"/>
        <color rgb="FF57BB8A"/>
      </colorScale>
    </cfRule>
  </conditionalFormatting>
  <conditionalFormatting sqref="K3:K9">
    <cfRule type="colorScale" priority="6">
      <colorScale>
        <cfvo type="formula" val="0"/>
        <cfvo type="max"/>
        <color rgb="FFFFFFFF"/>
        <color rgb="FF57BB8A"/>
      </colorScale>
    </cfRule>
  </conditionalFormatting>
  <conditionalFormatting sqref="L3:L9">
    <cfRule type="colorScale" priority="7">
      <colorScale>
        <cfvo type="formula" val="0"/>
        <cfvo type="max"/>
        <color rgb="FFFFFFFF"/>
        <color rgb="FFE67C73"/>
      </colorScale>
    </cfRule>
  </conditionalFormatting>
  <conditionalFormatting sqref="C3:C9">
    <cfRule type="colorScale" priority="8">
      <colorScale>
        <cfvo type="formula" val="0"/>
        <cfvo type="max"/>
        <color rgb="FFFFFFFF"/>
        <color rgb="FFFFD666"/>
      </colorScale>
    </cfRule>
  </conditionalFormatting>
  <conditionalFormatting sqref="D3:D9">
    <cfRule type="colorScale" priority="9">
      <colorScale>
        <cfvo type="formula" val="0"/>
        <cfvo type="max"/>
        <color rgb="FFFFFFFF"/>
        <color rgb="FF57BB8A"/>
      </colorScale>
    </cfRule>
  </conditionalFormatting>
  <conditionalFormatting sqref="E3:E9">
    <cfRule type="colorScale" priority="10">
      <colorScale>
        <cfvo type="formula" val="0"/>
        <cfvo type="max"/>
        <color rgb="FFFFFFFF"/>
        <color rgb="FFE67C73"/>
      </colorScale>
    </cfRule>
  </conditionalFormatting>
  <conditionalFormatting sqref="F3:F9">
    <cfRule type="colorScale" priority="11">
      <colorScale>
        <cfvo type="formula" val="0"/>
        <cfvo type="max"/>
        <color rgb="FFFFFFFF"/>
        <color rgb="FF57BB8A"/>
      </colorScale>
    </cfRule>
  </conditionalFormatting>
  <conditionalFormatting sqref="M3:M9">
    <cfRule type="colorScale" priority="12">
      <colorScale>
        <cfvo type="formula" val="0"/>
        <cfvo type="max"/>
        <color rgb="FFFFFFFF"/>
        <color rgb="FFFFD666"/>
      </colorScale>
    </cfRule>
  </conditionalFormatting>
  <conditionalFormatting sqref="O3:O9">
    <cfRule type="colorScale" priority="13">
      <colorScale>
        <cfvo type="formula" val="0"/>
        <cfvo type="formula" val="1"/>
        <color rgb="FFFFFFFF"/>
        <color rgb="FF57BB8A"/>
      </colorScale>
    </cfRule>
  </conditionalFormatting>
  <conditionalFormatting sqref="P3:P9">
    <cfRule type="colorScale" priority="14">
      <colorScale>
        <cfvo type="formula" val="0"/>
        <cfvo type="max"/>
        <color rgb="FFFFFFFF"/>
        <color rgb="FFFFD666"/>
      </colorScale>
    </cfRule>
  </conditionalFormatting>
  <conditionalFormatting sqref="U3:U9">
    <cfRule type="colorScale" priority="15">
      <colorScale>
        <cfvo type="formula" val="0"/>
        <cfvo type="formula" val="2"/>
        <cfvo type="formula" val="3"/>
        <color rgb="FFE67C73"/>
        <color rgb="FFFFFFFF"/>
        <color rgb="FF57BB8A"/>
      </colorScale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7.63"/>
    <col customWidth="1" min="4" max="4" width="5.63"/>
    <col customWidth="1" min="5" max="5" width="6.88"/>
    <col customWidth="1" min="6" max="6" width="8.38"/>
    <col customWidth="1" min="7" max="7" width="15.5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1" t="s">
        <v>4</v>
      </c>
      <c r="K1" s="6" t="s">
        <v>5</v>
      </c>
      <c r="L1" s="4"/>
      <c r="M1" s="4"/>
      <c r="N1" s="4"/>
      <c r="O1" s="5"/>
      <c r="P1" s="30" t="s">
        <v>6</v>
      </c>
      <c r="Q1" s="4"/>
      <c r="R1" s="4"/>
      <c r="S1" s="4"/>
      <c r="T1" s="4"/>
      <c r="U1" s="5"/>
    </row>
    <row r="2">
      <c r="A2" s="9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2" t="s">
        <v>13</v>
      </c>
      <c r="I2" s="12" t="s">
        <v>14</v>
      </c>
      <c r="J2" s="9"/>
      <c r="K2" s="10" t="s">
        <v>15</v>
      </c>
      <c r="L2" s="12" t="s">
        <v>10</v>
      </c>
      <c r="M2" s="10" t="s">
        <v>16</v>
      </c>
      <c r="N2" s="10" t="s">
        <v>12</v>
      </c>
      <c r="O2" s="10" t="s">
        <v>18</v>
      </c>
      <c r="P2" s="15" t="s">
        <v>8</v>
      </c>
      <c r="Q2" s="15">
        <v>0.0</v>
      </c>
      <c r="R2" s="15">
        <v>1.0</v>
      </c>
      <c r="S2" s="15">
        <v>2.0</v>
      </c>
      <c r="T2" s="15">
        <v>3.0</v>
      </c>
      <c r="U2" s="15" t="s">
        <v>19</v>
      </c>
    </row>
    <row r="3">
      <c r="A3" s="18" t="s">
        <v>21</v>
      </c>
      <c r="B3" s="18" t="s">
        <v>101</v>
      </c>
      <c r="C3" s="10">
        <v>3.0</v>
      </c>
      <c r="D3" s="10">
        <v>1.0</v>
      </c>
      <c r="E3" s="10"/>
      <c r="F3" s="35"/>
      <c r="G3" s="35">
        <f t="shared" ref="G3:G9" si="1">IFS(C3=0, "N/A", C3&lt;&gt;0,(D3-E3)/C3 )</f>
        <v>0.3333333333</v>
      </c>
      <c r="H3" s="35"/>
      <c r="I3" s="10"/>
      <c r="J3" s="10">
        <v>3.0</v>
      </c>
      <c r="K3" s="35"/>
      <c r="L3" s="10"/>
      <c r="M3" s="10"/>
      <c r="N3" s="35" t="str">
        <f t="shared" ref="N3:N9" si="2">ifs(M3=0,"N/A",M3&lt;&gt;0,(M3-L3) /M3)</f>
        <v>N/A</v>
      </c>
      <c r="O3" s="35" t="str">
        <f t="shared" ref="O3:O9" si="3">IFS(M3=0, "N/A", M3&lt;&gt;0, K3/M3)</f>
        <v>N/A</v>
      </c>
      <c r="P3" s="10">
        <f t="shared" ref="P3:P9" si="4">sum(Q3,R3,S3,T3)</f>
        <v>4</v>
      </c>
      <c r="Q3" s="35"/>
      <c r="R3" s="10">
        <v>1.0</v>
      </c>
      <c r="S3" s="10">
        <v>3.0</v>
      </c>
      <c r="T3" s="10"/>
      <c r="U3" s="10">
        <f t="shared" ref="U3:U9" si="5">ifs(P3=0, "N/A",P3&lt;&gt;0,(R3 + S3*2 +T3*3)/P3)</f>
        <v>1.75</v>
      </c>
    </row>
    <row r="4">
      <c r="A4" s="21" t="s">
        <v>24</v>
      </c>
      <c r="B4" s="21" t="s">
        <v>41</v>
      </c>
      <c r="C4" s="10">
        <v>2.0</v>
      </c>
      <c r="D4" s="10"/>
      <c r="E4" s="10"/>
      <c r="F4" s="35"/>
      <c r="G4" s="35">
        <f t="shared" si="1"/>
        <v>0</v>
      </c>
      <c r="H4" s="10"/>
      <c r="I4" s="10">
        <v>1.0</v>
      </c>
      <c r="J4" s="10">
        <v>6.0</v>
      </c>
      <c r="K4" s="35"/>
      <c r="L4" s="10">
        <v>1.0</v>
      </c>
      <c r="M4" s="10">
        <v>5.0</v>
      </c>
      <c r="N4" s="35">
        <f t="shared" si="2"/>
        <v>0.8</v>
      </c>
      <c r="O4" s="35">
        <f t="shared" si="3"/>
        <v>0</v>
      </c>
      <c r="P4" s="10">
        <f t="shared" si="4"/>
        <v>3</v>
      </c>
      <c r="Q4" s="10"/>
      <c r="R4" s="35"/>
      <c r="S4" s="10">
        <v>1.0</v>
      </c>
      <c r="T4" s="10">
        <v>2.0</v>
      </c>
      <c r="U4" s="10">
        <f t="shared" si="5"/>
        <v>2.666666667</v>
      </c>
    </row>
    <row r="5">
      <c r="A5" s="22" t="s">
        <v>26</v>
      </c>
      <c r="B5" s="22" t="s">
        <v>42</v>
      </c>
      <c r="C5" s="10"/>
      <c r="D5" s="10"/>
      <c r="E5" s="10"/>
      <c r="F5" s="10">
        <v>6.0</v>
      </c>
      <c r="G5" s="35" t="str">
        <f t="shared" si="1"/>
        <v>N/A</v>
      </c>
      <c r="H5" s="10"/>
      <c r="I5" s="10"/>
      <c r="J5" s="10">
        <v>6.0</v>
      </c>
      <c r="K5" s="10"/>
      <c r="L5" s="35"/>
      <c r="M5" s="10">
        <v>2.0</v>
      </c>
      <c r="N5" s="35">
        <f t="shared" si="2"/>
        <v>1</v>
      </c>
      <c r="O5" s="35">
        <f t="shared" si="3"/>
        <v>0</v>
      </c>
      <c r="P5" s="10">
        <f t="shared" si="4"/>
        <v>0</v>
      </c>
      <c r="Q5" s="35"/>
      <c r="R5" s="35"/>
      <c r="S5" s="35"/>
      <c r="T5" s="10"/>
      <c r="U5" s="10" t="str">
        <f t="shared" si="5"/>
        <v>N/A</v>
      </c>
    </row>
    <row r="6">
      <c r="A6" s="23" t="s">
        <v>28</v>
      </c>
      <c r="B6" s="23" t="s">
        <v>43</v>
      </c>
      <c r="C6" s="10">
        <v>10.0</v>
      </c>
      <c r="D6" s="10">
        <v>4.0</v>
      </c>
      <c r="E6" s="10">
        <v>2.0</v>
      </c>
      <c r="F6" s="35"/>
      <c r="G6" s="35">
        <f t="shared" si="1"/>
        <v>0.2</v>
      </c>
      <c r="H6" s="35"/>
      <c r="I6" s="35"/>
      <c r="J6" s="10">
        <v>2.0</v>
      </c>
      <c r="K6" s="10"/>
      <c r="L6" s="10"/>
      <c r="M6" s="10">
        <v>1.0</v>
      </c>
      <c r="N6" s="35">
        <f t="shared" si="2"/>
        <v>1</v>
      </c>
      <c r="O6" s="35">
        <f t="shared" si="3"/>
        <v>0</v>
      </c>
      <c r="P6" s="10">
        <f t="shared" si="4"/>
        <v>9</v>
      </c>
      <c r="Q6" s="10">
        <v>1.0</v>
      </c>
      <c r="R6" s="10">
        <v>2.0</v>
      </c>
      <c r="S6" s="10">
        <v>2.0</v>
      </c>
      <c r="T6" s="10">
        <v>4.0</v>
      </c>
      <c r="U6" s="10">
        <f t="shared" si="5"/>
        <v>2</v>
      </c>
    </row>
    <row r="7">
      <c r="A7" s="24" t="s">
        <v>30</v>
      </c>
      <c r="B7" s="24" t="s">
        <v>85</v>
      </c>
      <c r="C7" s="10">
        <v>12.0</v>
      </c>
      <c r="D7" s="10">
        <v>4.0</v>
      </c>
      <c r="E7" s="10">
        <v>1.0</v>
      </c>
      <c r="F7" s="10">
        <v>1.0</v>
      </c>
      <c r="G7" s="35">
        <f t="shared" si="1"/>
        <v>0.25</v>
      </c>
      <c r="H7" s="35"/>
      <c r="I7" s="35"/>
      <c r="J7" s="10">
        <v>2.0</v>
      </c>
      <c r="K7" s="35"/>
      <c r="L7" s="10"/>
      <c r="M7" s="10">
        <v>3.0</v>
      </c>
      <c r="N7" s="35">
        <f t="shared" si="2"/>
        <v>1</v>
      </c>
      <c r="O7" s="35">
        <f t="shared" si="3"/>
        <v>0</v>
      </c>
      <c r="P7" s="10">
        <f t="shared" si="4"/>
        <v>3</v>
      </c>
      <c r="Q7" s="10">
        <v>1.0</v>
      </c>
      <c r="R7" s="35"/>
      <c r="S7" s="10">
        <v>2.0</v>
      </c>
      <c r="T7" s="10"/>
      <c r="U7" s="10">
        <f t="shared" si="5"/>
        <v>1.333333333</v>
      </c>
    </row>
    <row r="8">
      <c r="A8" s="25" t="s">
        <v>32</v>
      </c>
      <c r="B8" s="25" t="s">
        <v>45</v>
      </c>
      <c r="C8" s="10">
        <v>12.0</v>
      </c>
      <c r="D8" s="10">
        <v>2.0</v>
      </c>
      <c r="E8" s="10">
        <v>2.0</v>
      </c>
      <c r="F8" s="35"/>
      <c r="G8" s="35">
        <f t="shared" si="1"/>
        <v>0</v>
      </c>
      <c r="H8" s="35"/>
      <c r="I8" s="10">
        <v>1.0</v>
      </c>
      <c r="J8" s="10">
        <v>1.0</v>
      </c>
      <c r="K8" s="35"/>
      <c r="L8" s="10">
        <v>1.0</v>
      </c>
      <c r="M8" s="10">
        <v>1.0</v>
      </c>
      <c r="N8" s="35">
        <f t="shared" si="2"/>
        <v>0</v>
      </c>
      <c r="O8" s="35">
        <f t="shared" si="3"/>
        <v>0</v>
      </c>
      <c r="P8" s="10">
        <f t="shared" si="4"/>
        <v>2</v>
      </c>
      <c r="Q8" s="10">
        <v>1.0</v>
      </c>
      <c r="R8" s="10"/>
      <c r="S8" s="35"/>
      <c r="T8" s="10">
        <v>1.0</v>
      </c>
      <c r="U8" s="10">
        <f t="shared" si="5"/>
        <v>1.5</v>
      </c>
    </row>
    <row r="9">
      <c r="A9" s="26" t="s">
        <v>34</v>
      </c>
      <c r="B9" s="26" t="s">
        <v>84</v>
      </c>
      <c r="C9" s="10">
        <v>1.0</v>
      </c>
      <c r="D9" s="10"/>
      <c r="E9" s="10"/>
      <c r="F9" s="10">
        <v>1.0</v>
      </c>
      <c r="G9" s="35">
        <f t="shared" si="1"/>
        <v>0</v>
      </c>
      <c r="H9" s="35"/>
      <c r="I9" s="35"/>
      <c r="J9" s="10">
        <v>2.0</v>
      </c>
      <c r="K9" s="35"/>
      <c r="L9" s="10"/>
      <c r="M9" s="10">
        <v>2.0</v>
      </c>
      <c r="N9" s="35">
        <f t="shared" si="2"/>
        <v>1</v>
      </c>
      <c r="O9" s="35">
        <f t="shared" si="3"/>
        <v>0</v>
      </c>
      <c r="P9" s="10">
        <f t="shared" si="4"/>
        <v>3</v>
      </c>
      <c r="Q9" s="10">
        <v>1.0</v>
      </c>
      <c r="R9" s="10"/>
      <c r="S9" s="10">
        <v>2.0</v>
      </c>
      <c r="T9" s="10"/>
      <c r="U9" s="10">
        <f t="shared" si="5"/>
        <v>1.333333333</v>
      </c>
    </row>
    <row r="10">
      <c r="M10" s="52"/>
      <c r="N10" s="52"/>
      <c r="O10" s="52"/>
      <c r="P10" s="52"/>
      <c r="Q10" s="52"/>
      <c r="U10" s="52"/>
    </row>
    <row r="11">
      <c r="M11" s="52"/>
      <c r="N11" s="52"/>
      <c r="O11" s="52"/>
      <c r="P11" s="52"/>
      <c r="Q11" s="52"/>
      <c r="U11" s="52"/>
    </row>
    <row r="12">
      <c r="M12" s="52"/>
      <c r="N12" s="52"/>
      <c r="O12" s="52"/>
      <c r="P12" s="52"/>
      <c r="Q12" s="52"/>
      <c r="U12" s="52"/>
    </row>
    <row r="13">
      <c r="M13" s="52"/>
      <c r="N13" s="52"/>
      <c r="O13" s="52"/>
      <c r="P13" s="52"/>
      <c r="Q13" s="52"/>
      <c r="U13" s="52"/>
    </row>
    <row r="14">
      <c r="M14" s="52"/>
      <c r="N14" s="52"/>
      <c r="O14" s="52"/>
      <c r="P14" s="52"/>
      <c r="Q14" s="52"/>
      <c r="U14" s="52"/>
    </row>
    <row r="15">
      <c r="M15" s="52"/>
      <c r="N15" s="52"/>
      <c r="O15" s="52"/>
      <c r="P15" s="52"/>
      <c r="Q15" s="52"/>
      <c r="U15" s="52"/>
    </row>
    <row r="16">
      <c r="M16" s="52"/>
      <c r="N16" s="52"/>
      <c r="O16" s="52"/>
      <c r="P16" s="52"/>
      <c r="Q16" s="52"/>
      <c r="U16" s="52"/>
    </row>
    <row r="17">
      <c r="M17" s="52"/>
      <c r="N17" s="52"/>
      <c r="O17" s="52"/>
      <c r="P17" s="52"/>
      <c r="Q17" s="52"/>
      <c r="U17" s="52"/>
    </row>
    <row r="18">
      <c r="M18" s="52"/>
      <c r="N18" s="52"/>
      <c r="O18" s="52"/>
      <c r="P18" s="52"/>
      <c r="Q18" s="52"/>
      <c r="U18" s="52"/>
    </row>
    <row r="19">
      <c r="M19" s="52"/>
      <c r="N19" s="52"/>
      <c r="O19" s="52"/>
      <c r="P19" s="52"/>
      <c r="Q19" s="52"/>
      <c r="U19" s="52"/>
    </row>
    <row r="20">
      <c r="M20" s="52"/>
      <c r="N20" s="52"/>
      <c r="O20" s="52"/>
      <c r="P20" s="52"/>
      <c r="Q20" s="52"/>
      <c r="U20" s="52"/>
    </row>
    <row r="21">
      <c r="M21" s="52"/>
      <c r="N21" s="52"/>
      <c r="O21" s="52"/>
      <c r="P21" s="52"/>
      <c r="Q21" s="52"/>
      <c r="U21" s="52"/>
    </row>
    <row r="22">
      <c r="M22" s="52"/>
      <c r="N22" s="52"/>
      <c r="O22" s="52"/>
      <c r="P22" s="52"/>
      <c r="Q22" s="52"/>
      <c r="U22" s="52"/>
    </row>
    <row r="23">
      <c r="M23" s="52"/>
      <c r="N23" s="52"/>
      <c r="O23" s="52"/>
      <c r="P23" s="52"/>
      <c r="Q23" s="52"/>
      <c r="U23" s="52"/>
    </row>
    <row r="24">
      <c r="M24" s="52"/>
      <c r="N24" s="52"/>
      <c r="O24" s="52"/>
      <c r="P24" s="52"/>
      <c r="Q24" s="52"/>
      <c r="U24" s="52"/>
    </row>
    <row r="25">
      <c r="M25" s="52"/>
      <c r="N25" s="52"/>
      <c r="O25" s="52"/>
      <c r="P25" s="52"/>
      <c r="Q25" s="52"/>
      <c r="U25" s="52"/>
    </row>
    <row r="26">
      <c r="M26" s="52"/>
      <c r="N26" s="52"/>
      <c r="O26" s="52"/>
      <c r="P26" s="52"/>
      <c r="Q26" s="52"/>
      <c r="U26" s="52"/>
    </row>
    <row r="27">
      <c r="M27" s="52"/>
      <c r="N27" s="52"/>
      <c r="O27" s="52"/>
      <c r="P27" s="52"/>
      <c r="Q27" s="52"/>
      <c r="U27" s="52"/>
    </row>
    <row r="28">
      <c r="M28" s="52"/>
      <c r="N28" s="52"/>
      <c r="O28" s="52"/>
      <c r="P28" s="52"/>
      <c r="Q28" s="52"/>
      <c r="U28" s="52"/>
    </row>
    <row r="29">
      <c r="M29" s="52"/>
      <c r="N29" s="52"/>
      <c r="O29" s="52"/>
      <c r="P29" s="52"/>
      <c r="Q29" s="52"/>
      <c r="U29" s="52"/>
    </row>
    <row r="30">
      <c r="M30" s="52"/>
      <c r="N30" s="52"/>
      <c r="O30" s="52"/>
      <c r="P30" s="52"/>
      <c r="Q30" s="52"/>
      <c r="U30" s="52"/>
    </row>
    <row r="31">
      <c r="M31" s="52"/>
      <c r="N31" s="52"/>
      <c r="O31" s="52"/>
      <c r="P31" s="52"/>
      <c r="Q31" s="52"/>
      <c r="U31" s="52"/>
    </row>
    <row r="32">
      <c r="M32" s="52"/>
      <c r="N32" s="52"/>
      <c r="O32" s="52"/>
      <c r="P32" s="52"/>
      <c r="Q32" s="52"/>
      <c r="U32" s="52"/>
    </row>
    <row r="33">
      <c r="M33" s="52"/>
      <c r="N33" s="52"/>
      <c r="O33" s="52"/>
      <c r="P33" s="52"/>
      <c r="Q33" s="52"/>
      <c r="U33" s="52"/>
    </row>
    <row r="34">
      <c r="M34" s="52"/>
      <c r="N34" s="52"/>
      <c r="O34" s="52"/>
      <c r="P34" s="52"/>
      <c r="Q34" s="52"/>
      <c r="U34" s="52"/>
    </row>
    <row r="35">
      <c r="M35" s="52"/>
      <c r="N35" s="52"/>
      <c r="O35" s="52"/>
      <c r="P35" s="52"/>
      <c r="Q35" s="52"/>
      <c r="U35" s="52"/>
    </row>
    <row r="36">
      <c r="M36" s="52"/>
      <c r="N36" s="52"/>
      <c r="O36" s="52"/>
      <c r="P36" s="52"/>
      <c r="Q36" s="52"/>
      <c r="U36" s="52"/>
    </row>
    <row r="37">
      <c r="M37" s="52"/>
      <c r="N37" s="52"/>
      <c r="O37" s="52"/>
      <c r="P37" s="52"/>
      <c r="Q37" s="52"/>
      <c r="U37" s="52"/>
    </row>
    <row r="38">
      <c r="M38" s="52"/>
      <c r="N38" s="52"/>
      <c r="O38" s="52"/>
      <c r="P38" s="52"/>
      <c r="Q38" s="52"/>
      <c r="U38" s="52"/>
    </row>
    <row r="39">
      <c r="M39" s="52"/>
      <c r="N39" s="52"/>
      <c r="O39" s="52"/>
      <c r="P39" s="52"/>
      <c r="Q39" s="52"/>
      <c r="U39" s="52"/>
    </row>
    <row r="40">
      <c r="M40" s="52"/>
      <c r="N40" s="52"/>
      <c r="O40" s="52"/>
      <c r="P40" s="52"/>
      <c r="Q40" s="52"/>
      <c r="U40" s="52"/>
    </row>
    <row r="41">
      <c r="M41" s="52"/>
      <c r="N41" s="52"/>
      <c r="O41" s="52"/>
      <c r="P41" s="52"/>
      <c r="Q41" s="52"/>
      <c r="U41" s="52"/>
    </row>
    <row r="42">
      <c r="M42" s="52"/>
      <c r="N42" s="52"/>
      <c r="O42" s="52"/>
      <c r="P42" s="52"/>
      <c r="Q42" s="52"/>
      <c r="U42" s="52"/>
    </row>
    <row r="43">
      <c r="M43" s="52"/>
      <c r="N43" s="52"/>
      <c r="O43" s="52"/>
      <c r="P43" s="52"/>
      <c r="Q43" s="52"/>
      <c r="U43" s="52"/>
    </row>
    <row r="44">
      <c r="M44" s="52"/>
      <c r="N44" s="52"/>
      <c r="O44" s="52"/>
      <c r="P44" s="52"/>
      <c r="Q44" s="52"/>
      <c r="U44" s="52"/>
    </row>
    <row r="45">
      <c r="M45" s="52"/>
      <c r="N45" s="52"/>
      <c r="O45" s="52"/>
      <c r="P45" s="52"/>
      <c r="Q45" s="52"/>
      <c r="U45" s="52"/>
    </row>
    <row r="46">
      <c r="M46" s="52"/>
      <c r="N46" s="52"/>
      <c r="O46" s="52"/>
      <c r="P46" s="52"/>
      <c r="Q46" s="52"/>
      <c r="U46" s="52"/>
    </row>
    <row r="47">
      <c r="M47" s="52"/>
      <c r="N47" s="52"/>
      <c r="O47" s="52"/>
      <c r="P47" s="52"/>
      <c r="Q47" s="52"/>
      <c r="U47" s="52"/>
    </row>
    <row r="48">
      <c r="M48" s="52"/>
      <c r="N48" s="52"/>
      <c r="O48" s="52"/>
      <c r="P48" s="52"/>
      <c r="Q48" s="52"/>
      <c r="U48" s="52"/>
    </row>
    <row r="49">
      <c r="M49" s="52"/>
      <c r="N49" s="52"/>
      <c r="O49" s="52"/>
      <c r="P49" s="52"/>
      <c r="Q49" s="52"/>
      <c r="U49" s="52"/>
    </row>
    <row r="50">
      <c r="M50" s="52"/>
      <c r="N50" s="52"/>
      <c r="O50" s="52"/>
      <c r="P50" s="52"/>
      <c r="Q50" s="52"/>
      <c r="U50" s="52"/>
    </row>
    <row r="51">
      <c r="M51" s="52"/>
      <c r="N51" s="52"/>
      <c r="O51" s="52"/>
      <c r="P51" s="52"/>
      <c r="Q51" s="52"/>
      <c r="U51" s="52"/>
    </row>
    <row r="52">
      <c r="M52" s="52"/>
      <c r="N52" s="52"/>
      <c r="O52" s="52"/>
      <c r="P52" s="52"/>
      <c r="Q52" s="52"/>
      <c r="U52" s="52"/>
    </row>
    <row r="53">
      <c r="M53" s="52"/>
      <c r="N53" s="52"/>
      <c r="O53" s="52"/>
      <c r="P53" s="52"/>
      <c r="Q53" s="52"/>
      <c r="U53" s="52"/>
    </row>
    <row r="54">
      <c r="M54" s="52"/>
      <c r="N54" s="52"/>
      <c r="O54" s="52"/>
      <c r="P54" s="52"/>
      <c r="Q54" s="52"/>
      <c r="U54" s="52"/>
    </row>
    <row r="55">
      <c r="M55" s="52"/>
      <c r="N55" s="52"/>
      <c r="O55" s="52"/>
      <c r="P55" s="52"/>
      <c r="Q55" s="52"/>
      <c r="U55" s="52"/>
    </row>
    <row r="56">
      <c r="M56" s="52"/>
      <c r="N56" s="52"/>
      <c r="O56" s="52"/>
      <c r="P56" s="52"/>
      <c r="Q56" s="52"/>
      <c r="U56" s="52"/>
    </row>
    <row r="57">
      <c r="M57" s="52"/>
      <c r="N57" s="52"/>
      <c r="O57" s="52"/>
      <c r="P57" s="52"/>
      <c r="Q57" s="52"/>
      <c r="U57" s="52"/>
    </row>
    <row r="58">
      <c r="M58" s="52"/>
      <c r="N58" s="52"/>
      <c r="O58" s="52"/>
      <c r="P58" s="52"/>
      <c r="Q58" s="52"/>
      <c r="U58" s="52"/>
    </row>
    <row r="59">
      <c r="M59" s="52"/>
      <c r="N59" s="52"/>
      <c r="O59" s="52"/>
      <c r="P59" s="52"/>
      <c r="Q59" s="52"/>
      <c r="U59" s="52"/>
    </row>
    <row r="60">
      <c r="M60" s="52"/>
      <c r="N60" s="52"/>
      <c r="O60" s="52"/>
      <c r="P60" s="52"/>
      <c r="Q60" s="52"/>
      <c r="U60" s="52"/>
    </row>
    <row r="61">
      <c r="M61" s="52"/>
      <c r="N61" s="52"/>
      <c r="O61" s="52"/>
      <c r="P61" s="52"/>
      <c r="Q61" s="52"/>
      <c r="U61" s="52"/>
    </row>
    <row r="62">
      <c r="M62" s="52"/>
      <c r="N62" s="52"/>
      <c r="O62" s="52"/>
      <c r="P62" s="52"/>
      <c r="Q62" s="52"/>
      <c r="U62" s="52"/>
    </row>
    <row r="63">
      <c r="M63" s="52"/>
      <c r="N63" s="52"/>
      <c r="O63" s="52"/>
      <c r="P63" s="52"/>
      <c r="Q63" s="52"/>
      <c r="U63" s="52"/>
    </row>
    <row r="64">
      <c r="M64" s="52"/>
      <c r="N64" s="52"/>
      <c r="O64" s="52"/>
      <c r="P64" s="52"/>
      <c r="Q64" s="52"/>
      <c r="U64" s="52"/>
    </row>
    <row r="65">
      <c r="M65" s="52"/>
      <c r="N65" s="52"/>
      <c r="O65" s="52"/>
      <c r="P65" s="52"/>
      <c r="Q65" s="52"/>
      <c r="U65" s="52"/>
    </row>
    <row r="66">
      <c r="M66" s="52"/>
      <c r="N66" s="52"/>
      <c r="O66" s="52"/>
      <c r="P66" s="52"/>
      <c r="Q66" s="52"/>
      <c r="U66" s="52"/>
    </row>
    <row r="67">
      <c r="M67" s="52"/>
      <c r="N67" s="52"/>
      <c r="O67" s="52"/>
      <c r="P67" s="52"/>
      <c r="Q67" s="52"/>
      <c r="U67" s="52"/>
    </row>
    <row r="68">
      <c r="M68" s="52"/>
      <c r="N68" s="52"/>
      <c r="O68" s="52"/>
      <c r="P68" s="52"/>
      <c r="Q68" s="52"/>
      <c r="U68" s="52"/>
    </row>
    <row r="69">
      <c r="M69" s="52"/>
      <c r="N69" s="52"/>
      <c r="O69" s="52"/>
      <c r="P69" s="52"/>
      <c r="Q69" s="52"/>
      <c r="U69" s="52"/>
    </row>
    <row r="70">
      <c r="M70" s="52"/>
      <c r="N70" s="52"/>
      <c r="O70" s="52"/>
      <c r="P70" s="52"/>
      <c r="Q70" s="52"/>
      <c r="U70" s="52"/>
    </row>
    <row r="71">
      <c r="M71" s="52"/>
      <c r="N71" s="52"/>
      <c r="O71" s="52"/>
      <c r="P71" s="52"/>
      <c r="Q71" s="52"/>
      <c r="U71" s="52"/>
    </row>
    <row r="72">
      <c r="M72" s="52"/>
      <c r="N72" s="52"/>
      <c r="O72" s="52"/>
      <c r="P72" s="52"/>
      <c r="Q72" s="52"/>
      <c r="U72" s="52"/>
    </row>
    <row r="73">
      <c r="M73" s="52"/>
      <c r="N73" s="52"/>
      <c r="O73" s="52"/>
      <c r="P73" s="52"/>
      <c r="Q73" s="52"/>
      <c r="U73" s="52"/>
    </row>
    <row r="74">
      <c r="M74" s="52"/>
      <c r="N74" s="52"/>
      <c r="O74" s="52"/>
      <c r="P74" s="52"/>
      <c r="Q74" s="52"/>
      <c r="U74" s="52"/>
    </row>
    <row r="75">
      <c r="M75" s="52"/>
      <c r="N75" s="52"/>
      <c r="O75" s="52"/>
      <c r="P75" s="52"/>
      <c r="Q75" s="52"/>
      <c r="U75" s="52"/>
    </row>
    <row r="76">
      <c r="M76" s="52"/>
      <c r="N76" s="52"/>
      <c r="O76" s="52"/>
      <c r="P76" s="52"/>
      <c r="Q76" s="52"/>
      <c r="U76" s="52"/>
    </row>
    <row r="77">
      <c r="M77" s="52"/>
      <c r="N77" s="52"/>
      <c r="O77" s="52"/>
      <c r="P77" s="52"/>
      <c r="Q77" s="52"/>
      <c r="U77" s="52"/>
    </row>
    <row r="78">
      <c r="M78" s="52"/>
      <c r="N78" s="52"/>
      <c r="O78" s="52"/>
      <c r="P78" s="52"/>
      <c r="Q78" s="52"/>
      <c r="U78" s="52"/>
    </row>
    <row r="79">
      <c r="M79" s="52"/>
      <c r="N79" s="52"/>
      <c r="O79" s="52"/>
      <c r="P79" s="52"/>
      <c r="Q79" s="52"/>
      <c r="U79" s="52"/>
    </row>
    <row r="80">
      <c r="M80" s="52"/>
      <c r="N80" s="52"/>
      <c r="O80" s="52"/>
      <c r="P80" s="52"/>
      <c r="Q80" s="52"/>
      <c r="U80" s="52"/>
    </row>
    <row r="81">
      <c r="M81" s="52"/>
      <c r="N81" s="52"/>
      <c r="O81" s="52"/>
      <c r="P81" s="52"/>
      <c r="Q81" s="52"/>
      <c r="U81" s="52"/>
    </row>
    <row r="82">
      <c r="M82" s="52"/>
      <c r="N82" s="52"/>
      <c r="O82" s="52"/>
      <c r="P82" s="52"/>
      <c r="Q82" s="52"/>
      <c r="U82" s="52"/>
    </row>
    <row r="83">
      <c r="M83" s="52"/>
      <c r="N83" s="52"/>
      <c r="O83" s="52"/>
      <c r="P83" s="52"/>
      <c r="Q83" s="52"/>
      <c r="U83" s="52"/>
    </row>
    <row r="84">
      <c r="M84" s="52"/>
      <c r="N84" s="52"/>
      <c r="O84" s="52"/>
      <c r="P84" s="52"/>
      <c r="Q84" s="52"/>
      <c r="U84" s="52"/>
    </row>
    <row r="85">
      <c r="M85" s="52"/>
      <c r="N85" s="52"/>
      <c r="O85" s="52"/>
      <c r="P85" s="52"/>
      <c r="Q85" s="52"/>
      <c r="U85" s="52"/>
    </row>
    <row r="86">
      <c r="M86" s="52"/>
      <c r="N86" s="52"/>
      <c r="O86" s="52"/>
      <c r="P86" s="52"/>
      <c r="Q86" s="52"/>
      <c r="U86" s="52"/>
    </row>
    <row r="87">
      <c r="M87" s="52"/>
      <c r="N87" s="52"/>
      <c r="O87" s="52"/>
      <c r="P87" s="52"/>
      <c r="Q87" s="52"/>
      <c r="U87" s="52"/>
    </row>
    <row r="88">
      <c r="M88" s="52"/>
      <c r="N88" s="52"/>
      <c r="O88" s="52"/>
      <c r="P88" s="52"/>
      <c r="Q88" s="52"/>
      <c r="U88" s="52"/>
    </row>
    <row r="89">
      <c r="M89" s="52"/>
      <c r="N89" s="52"/>
      <c r="O89" s="52"/>
      <c r="P89" s="52"/>
      <c r="Q89" s="52"/>
      <c r="U89" s="52"/>
    </row>
    <row r="90">
      <c r="M90" s="52"/>
      <c r="N90" s="52"/>
      <c r="O90" s="52"/>
      <c r="P90" s="52"/>
      <c r="Q90" s="52"/>
      <c r="U90" s="52"/>
    </row>
    <row r="91">
      <c r="M91" s="52"/>
      <c r="N91" s="52"/>
      <c r="O91" s="52"/>
      <c r="P91" s="52"/>
      <c r="Q91" s="52"/>
      <c r="U91" s="52"/>
    </row>
    <row r="92">
      <c r="M92" s="52"/>
      <c r="N92" s="52"/>
      <c r="O92" s="52"/>
      <c r="P92" s="52"/>
      <c r="Q92" s="52"/>
      <c r="U92" s="52"/>
    </row>
    <row r="93">
      <c r="M93" s="52"/>
      <c r="N93" s="52"/>
      <c r="O93" s="52"/>
      <c r="P93" s="52"/>
      <c r="Q93" s="52"/>
      <c r="U93" s="52"/>
    </row>
    <row r="94">
      <c r="M94" s="52"/>
      <c r="N94" s="52"/>
      <c r="O94" s="52"/>
      <c r="P94" s="52"/>
      <c r="Q94" s="52"/>
      <c r="U94" s="52"/>
    </row>
    <row r="95">
      <c r="M95" s="52"/>
      <c r="N95" s="52"/>
      <c r="O95" s="52"/>
      <c r="P95" s="52"/>
      <c r="Q95" s="52"/>
      <c r="U95" s="52"/>
    </row>
    <row r="96">
      <c r="M96" s="52"/>
      <c r="N96" s="52"/>
      <c r="O96" s="52"/>
      <c r="P96" s="52"/>
      <c r="Q96" s="52"/>
      <c r="U96" s="52"/>
    </row>
    <row r="97">
      <c r="M97" s="52"/>
      <c r="N97" s="52"/>
      <c r="O97" s="52"/>
      <c r="P97" s="52"/>
      <c r="Q97" s="52"/>
      <c r="U97" s="52"/>
    </row>
    <row r="98">
      <c r="M98" s="52"/>
      <c r="N98" s="52"/>
      <c r="O98" s="52"/>
      <c r="P98" s="52"/>
      <c r="Q98" s="52"/>
      <c r="U98" s="52"/>
    </row>
    <row r="99">
      <c r="M99" s="52"/>
      <c r="N99" s="52"/>
      <c r="O99" s="52"/>
      <c r="P99" s="52"/>
      <c r="Q99" s="52"/>
      <c r="U99" s="52"/>
    </row>
    <row r="100">
      <c r="M100" s="52"/>
      <c r="N100" s="52"/>
      <c r="O100" s="52"/>
      <c r="P100" s="52"/>
      <c r="Q100" s="52"/>
      <c r="U100" s="52"/>
    </row>
    <row r="101">
      <c r="M101" s="52"/>
      <c r="N101" s="52"/>
      <c r="O101" s="52"/>
      <c r="P101" s="52"/>
      <c r="Q101" s="52"/>
      <c r="U101" s="52"/>
    </row>
    <row r="102">
      <c r="M102" s="52"/>
      <c r="N102" s="52"/>
      <c r="O102" s="52"/>
      <c r="P102" s="52"/>
      <c r="Q102" s="52"/>
      <c r="U102" s="52"/>
    </row>
    <row r="103">
      <c r="M103" s="52"/>
      <c r="N103" s="52"/>
      <c r="O103" s="52"/>
      <c r="P103" s="52"/>
      <c r="Q103" s="52"/>
      <c r="U103" s="52"/>
    </row>
    <row r="104">
      <c r="M104" s="52"/>
      <c r="N104" s="52"/>
      <c r="O104" s="52"/>
      <c r="P104" s="52"/>
      <c r="Q104" s="52"/>
      <c r="U104" s="52"/>
    </row>
    <row r="105">
      <c r="M105" s="52"/>
      <c r="N105" s="52"/>
      <c r="O105" s="52"/>
      <c r="P105" s="52"/>
      <c r="Q105" s="52"/>
      <c r="U105" s="52"/>
    </row>
    <row r="106">
      <c r="M106" s="52"/>
      <c r="N106" s="52"/>
      <c r="O106" s="52"/>
      <c r="P106" s="52"/>
      <c r="Q106" s="52"/>
      <c r="U106" s="52"/>
    </row>
    <row r="107">
      <c r="M107" s="52"/>
      <c r="N107" s="52"/>
      <c r="O107" s="52"/>
      <c r="P107" s="52"/>
      <c r="Q107" s="52"/>
      <c r="U107" s="52"/>
    </row>
    <row r="108">
      <c r="M108" s="52"/>
      <c r="N108" s="52"/>
      <c r="O108" s="52"/>
      <c r="P108" s="52"/>
      <c r="Q108" s="52"/>
      <c r="U108" s="52"/>
    </row>
    <row r="109">
      <c r="M109" s="52"/>
      <c r="N109" s="52"/>
      <c r="O109" s="52"/>
      <c r="P109" s="52"/>
      <c r="Q109" s="52"/>
      <c r="U109" s="52"/>
    </row>
    <row r="110">
      <c r="M110" s="52"/>
      <c r="N110" s="52"/>
      <c r="O110" s="52"/>
      <c r="P110" s="52"/>
      <c r="Q110" s="52"/>
      <c r="U110" s="52"/>
    </row>
    <row r="111">
      <c r="M111" s="52"/>
      <c r="N111" s="52"/>
      <c r="O111" s="52"/>
      <c r="P111" s="52"/>
      <c r="Q111" s="52"/>
      <c r="U111" s="52"/>
    </row>
    <row r="112">
      <c r="M112" s="52"/>
      <c r="N112" s="52"/>
      <c r="O112" s="52"/>
      <c r="P112" s="52"/>
      <c r="Q112" s="52"/>
      <c r="U112" s="52"/>
    </row>
    <row r="113">
      <c r="M113" s="52"/>
      <c r="N113" s="52"/>
      <c r="O113" s="52"/>
      <c r="P113" s="52"/>
      <c r="Q113" s="52"/>
      <c r="U113" s="52"/>
    </row>
    <row r="114">
      <c r="M114" s="52"/>
      <c r="N114" s="52"/>
      <c r="O114" s="52"/>
      <c r="P114" s="52"/>
      <c r="Q114" s="52"/>
      <c r="U114" s="52"/>
    </row>
    <row r="115">
      <c r="M115" s="52"/>
      <c r="N115" s="52"/>
      <c r="O115" s="52"/>
      <c r="P115" s="52"/>
      <c r="Q115" s="52"/>
      <c r="U115" s="52"/>
    </row>
    <row r="116">
      <c r="M116" s="52"/>
      <c r="N116" s="52"/>
      <c r="O116" s="52"/>
      <c r="P116" s="52"/>
      <c r="Q116" s="52"/>
      <c r="U116" s="52"/>
    </row>
    <row r="117">
      <c r="M117" s="52"/>
      <c r="N117" s="52"/>
      <c r="O117" s="52"/>
      <c r="P117" s="52"/>
      <c r="Q117" s="52"/>
      <c r="U117" s="52"/>
    </row>
    <row r="118">
      <c r="M118" s="52"/>
      <c r="N118" s="52"/>
      <c r="O118" s="52"/>
      <c r="P118" s="52"/>
      <c r="Q118" s="52"/>
      <c r="U118" s="52"/>
    </row>
    <row r="119">
      <c r="M119" s="52"/>
      <c r="N119" s="52"/>
      <c r="O119" s="52"/>
      <c r="P119" s="52"/>
      <c r="Q119" s="52"/>
      <c r="U119" s="52"/>
    </row>
    <row r="120">
      <c r="M120" s="52"/>
      <c r="N120" s="52"/>
      <c r="O120" s="52"/>
      <c r="P120" s="52"/>
      <c r="Q120" s="52"/>
      <c r="U120" s="52"/>
    </row>
    <row r="121">
      <c r="M121" s="52"/>
      <c r="N121" s="52"/>
      <c r="O121" s="52"/>
      <c r="P121" s="52"/>
      <c r="Q121" s="52"/>
      <c r="U121" s="52"/>
    </row>
    <row r="122">
      <c r="M122" s="52"/>
      <c r="N122" s="52"/>
      <c r="O122" s="52"/>
      <c r="P122" s="52"/>
      <c r="Q122" s="52"/>
      <c r="U122" s="52"/>
    </row>
    <row r="123">
      <c r="M123" s="52"/>
      <c r="N123" s="52"/>
      <c r="O123" s="52"/>
      <c r="P123" s="52"/>
      <c r="Q123" s="52"/>
      <c r="U123" s="52"/>
    </row>
    <row r="124">
      <c r="M124" s="52"/>
      <c r="N124" s="52"/>
      <c r="O124" s="52"/>
      <c r="P124" s="52"/>
      <c r="Q124" s="52"/>
      <c r="U124" s="52"/>
    </row>
    <row r="125">
      <c r="M125" s="52"/>
      <c r="N125" s="52"/>
      <c r="O125" s="52"/>
      <c r="P125" s="52"/>
      <c r="Q125" s="52"/>
      <c r="U125" s="52"/>
    </row>
    <row r="126">
      <c r="M126" s="52"/>
      <c r="N126" s="52"/>
      <c r="O126" s="52"/>
      <c r="P126" s="52"/>
      <c r="Q126" s="52"/>
      <c r="U126" s="52"/>
    </row>
    <row r="127">
      <c r="M127" s="52"/>
      <c r="N127" s="52"/>
      <c r="O127" s="52"/>
      <c r="P127" s="52"/>
      <c r="Q127" s="52"/>
      <c r="U127" s="52"/>
    </row>
    <row r="128">
      <c r="M128" s="52"/>
      <c r="N128" s="52"/>
      <c r="O128" s="52"/>
      <c r="P128" s="52"/>
      <c r="Q128" s="52"/>
      <c r="U128" s="52"/>
    </row>
    <row r="129">
      <c r="M129" s="52"/>
      <c r="N129" s="52"/>
      <c r="O129" s="52"/>
      <c r="P129" s="52"/>
      <c r="Q129" s="52"/>
      <c r="U129" s="52"/>
    </row>
    <row r="130">
      <c r="M130" s="52"/>
      <c r="N130" s="52"/>
      <c r="O130" s="52"/>
      <c r="P130" s="52"/>
      <c r="Q130" s="52"/>
      <c r="U130" s="52"/>
    </row>
    <row r="131">
      <c r="M131" s="52"/>
      <c r="N131" s="52"/>
      <c r="O131" s="52"/>
      <c r="P131" s="52"/>
      <c r="Q131" s="52"/>
      <c r="U131" s="52"/>
    </row>
    <row r="132">
      <c r="M132" s="52"/>
      <c r="N132" s="52"/>
      <c r="O132" s="52"/>
      <c r="P132" s="52"/>
      <c r="Q132" s="52"/>
      <c r="U132" s="52"/>
    </row>
    <row r="133">
      <c r="M133" s="52"/>
      <c r="N133" s="52"/>
      <c r="O133" s="52"/>
      <c r="P133" s="52"/>
      <c r="Q133" s="52"/>
      <c r="U133" s="52"/>
    </row>
    <row r="134">
      <c r="M134" s="52"/>
      <c r="N134" s="52"/>
      <c r="O134" s="52"/>
      <c r="P134" s="52"/>
      <c r="Q134" s="52"/>
      <c r="U134" s="52"/>
    </row>
    <row r="135">
      <c r="M135" s="52"/>
      <c r="N135" s="52"/>
      <c r="O135" s="52"/>
      <c r="P135" s="52"/>
      <c r="Q135" s="52"/>
      <c r="U135" s="52"/>
    </row>
    <row r="136">
      <c r="M136" s="52"/>
      <c r="N136" s="52"/>
      <c r="O136" s="52"/>
      <c r="P136" s="52"/>
      <c r="Q136" s="52"/>
      <c r="U136" s="52"/>
    </row>
    <row r="137">
      <c r="M137" s="52"/>
      <c r="N137" s="52"/>
      <c r="O137" s="52"/>
      <c r="P137" s="52"/>
      <c r="Q137" s="52"/>
      <c r="U137" s="52"/>
    </row>
    <row r="138">
      <c r="M138" s="52"/>
      <c r="N138" s="52"/>
      <c r="O138" s="52"/>
      <c r="P138" s="52"/>
      <c r="Q138" s="52"/>
      <c r="U138" s="52"/>
    </row>
    <row r="139">
      <c r="M139" s="52"/>
      <c r="N139" s="52"/>
      <c r="O139" s="52"/>
      <c r="P139" s="52"/>
      <c r="Q139" s="52"/>
      <c r="U139" s="52"/>
    </row>
    <row r="140">
      <c r="M140" s="52"/>
      <c r="N140" s="52"/>
      <c r="O140" s="52"/>
      <c r="P140" s="52"/>
      <c r="Q140" s="52"/>
      <c r="U140" s="52"/>
    </row>
    <row r="141">
      <c r="M141" s="52"/>
      <c r="N141" s="52"/>
      <c r="O141" s="52"/>
      <c r="P141" s="52"/>
      <c r="Q141" s="52"/>
      <c r="U141" s="52"/>
    </row>
    <row r="142">
      <c r="M142" s="52"/>
      <c r="N142" s="52"/>
      <c r="O142" s="52"/>
      <c r="P142" s="52"/>
      <c r="Q142" s="52"/>
      <c r="U142" s="52"/>
    </row>
    <row r="143">
      <c r="M143" s="52"/>
      <c r="N143" s="52"/>
      <c r="O143" s="52"/>
      <c r="P143" s="52"/>
      <c r="Q143" s="52"/>
      <c r="U143" s="52"/>
    </row>
    <row r="144">
      <c r="M144" s="52"/>
      <c r="N144" s="52"/>
      <c r="O144" s="52"/>
      <c r="P144" s="52"/>
      <c r="Q144" s="52"/>
      <c r="U144" s="52"/>
    </row>
    <row r="145">
      <c r="M145" s="52"/>
      <c r="N145" s="52"/>
      <c r="O145" s="52"/>
      <c r="P145" s="52"/>
      <c r="Q145" s="52"/>
      <c r="U145" s="52"/>
    </row>
    <row r="146">
      <c r="M146" s="52"/>
      <c r="N146" s="52"/>
      <c r="O146" s="52"/>
      <c r="P146" s="52"/>
      <c r="Q146" s="52"/>
      <c r="U146" s="52"/>
    </row>
    <row r="147">
      <c r="M147" s="52"/>
      <c r="N147" s="52"/>
      <c r="O147" s="52"/>
      <c r="P147" s="52"/>
      <c r="Q147" s="52"/>
      <c r="U147" s="52"/>
    </row>
    <row r="148">
      <c r="M148" s="52"/>
      <c r="N148" s="52"/>
      <c r="O148" s="52"/>
      <c r="P148" s="52"/>
      <c r="Q148" s="52"/>
      <c r="U148" s="52"/>
    </row>
    <row r="149">
      <c r="M149" s="52"/>
      <c r="N149" s="52"/>
      <c r="O149" s="52"/>
      <c r="P149" s="52"/>
      <c r="Q149" s="52"/>
      <c r="U149" s="52"/>
    </row>
    <row r="150">
      <c r="M150" s="52"/>
      <c r="N150" s="52"/>
      <c r="O150" s="52"/>
      <c r="P150" s="52"/>
      <c r="Q150" s="52"/>
      <c r="U150" s="52"/>
    </row>
    <row r="151">
      <c r="M151" s="52"/>
      <c r="N151" s="52"/>
      <c r="O151" s="52"/>
      <c r="P151" s="52"/>
      <c r="Q151" s="52"/>
      <c r="U151" s="52"/>
    </row>
    <row r="152">
      <c r="M152" s="52"/>
      <c r="N152" s="52"/>
      <c r="O152" s="52"/>
      <c r="P152" s="52"/>
      <c r="Q152" s="52"/>
      <c r="U152" s="52"/>
    </row>
    <row r="153">
      <c r="M153" s="52"/>
      <c r="N153" s="52"/>
      <c r="O153" s="52"/>
      <c r="P153" s="52"/>
      <c r="Q153" s="52"/>
      <c r="U153" s="52"/>
    </row>
    <row r="154">
      <c r="M154" s="52"/>
      <c r="N154" s="52"/>
      <c r="O154" s="52"/>
      <c r="P154" s="52"/>
      <c r="Q154" s="52"/>
      <c r="U154" s="52"/>
    </row>
    <row r="155">
      <c r="M155" s="52"/>
      <c r="N155" s="52"/>
      <c r="O155" s="52"/>
      <c r="P155" s="52"/>
      <c r="Q155" s="52"/>
      <c r="U155" s="52"/>
    </row>
    <row r="156">
      <c r="M156" s="52"/>
      <c r="N156" s="52"/>
      <c r="O156" s="52"/>
      <c r="P156" s="52"/>
      <c r="Q156" s="52"/>
      <c r="U156" s="52"/>
    </row>
    <row r="157">
      <c r="M157" s="52"/>
      <c r="N157" s="52"/>
      <c r="O157" s="52"/>
      <c r="P157" s="52"/>
      <c r="Q157" s="52"/>
      <c r="U157" s="52"/>
    </row>
    <row r="158">
      <c r="M158" s="52"/>
      <c r="N158" s="52"/>
      <c r="O158" s="52"/>
      <c r="P158" s="52"/>
      <c r="Q158" s="52"/>
      <c r="U158" s="52"/>
    </row>
    <row r="159">
      <c r="M159" s="52"/>
      <c r="N159" s="52"/>
      <c r="O159" s="52"/>
      <c r="P159" s="52"/>
      <c r="Q159" s="52"/>
      <c r="U159" s="52"/>
    </row>
    <row r="160">
      <c r="M160" s="52"/>
      <c r="N160" s="52"/>
      <c r="O160" s="52"/>
      <c r="P160" s="52"/>
      <c r="Q160" s="52"/>
      <c r="U160" s="52"/>
    </row>
    <row r="161">
      <c r="M161" s="52"/>
      <c r="N161" s="52"/>
      <c r="O161" s="52"/>
      <c r="P161" s="52"/>
      <c r="Q161" s="52"/>
      <c r="U161" s="52"/>
    </row>
    <row r="162">
      <c r="M162" s="52"/>
      <c r="N162" s="52"/>
      <c r="O162" s="52"/>
      <c r="P162" s="52"/>
      <c r="Q162" s="52"/>
      <c r="U162" s="52"/>
    </row>
    <row r="163">
      <c r="M163" s="52"/>
      <c r="N163" s="52"/>
      <c r="O163" s="52"/>
      <c r="P163" s="52"/>
      <c r="Q163" s="52"/>
      <c r="U163" s="52"/>
    </row>
    <row r="164">
      <c r="M164" s="52"/>
      <c r="N164" s="52"/>
      <c r="O164" s="52"/>
      <c r="P164" s="52"/>
      <c r="Q164" s="52"/>
      <c r="U164" s="52"/>
    </row>
    <row r="165">
      <c r="M165" s="52"/>
      <c r="N165" s="52"/>
      <c r="O165" s="52"/>
      <c r="P165" s="52"/>
      <c r="Q165" s="52"/>
      <c r="U165" s="52"/>
    </row>
    <row r="166">
      <c r="M166" s="52"/>
      <c r="N166" s="52"/>
      <c r="O166" s="52"/>
      <c r="P166" s="52"/>
      <c r="Q166" s="52"/>
      <c r="U166" s="52"/>
    </row>
    <row r="167">
      <c r="M167" s="52"/>
      <c r="N167" s="52"/>
      <c r="O167" s="52"/>
      <c r="P167" s="52"/>
      <c r="Q167" s="52"/>
      <c r="U167" s="52"/>
    </row>
    <row r="168">
      <c r="M168" s="52"/>
      <c r="N168" s="52"/>
      <c r="O168" s="52"/>
      <c r="P168" s="52"/>
      <c r="Q168" s="52"/>
      <c r="U168" s="52"/>
    </row>
    <row r="169">
      <c r="M169" s="52"/>
      <c r="N169" s="52"/>
      <c r="O169" s="52"/>
      <c r="P169" s="52"/>
      <c r="Q169" s="52"/>
      <c r="U169" s="52"/>
    </row>
    <row r="170">
      <c r="M170" s="52"/>
      <c r="N170" s="52"/>
      <c r="O170" s="52"/>
      <c r="P170" s="52"/>
      <c r="Q170" s="52"/>
      <c r="U170" s="52"/>
    </row>
    <row r="171">
      <c r="M171" s="52"/>
      <c r="N171" s="52"/>
      <c r="O171" s="52"/>
      <c r="P171" s="52"/>
      <c r="Q171" s="52"/>
      <c r="U171" s="52"/>
    </row>
    <row r="172">
      <c r="M172" s="52"/>
      <c r="N172" s="52"/>
      <c r="O172" s="52"/>
      <c r="P172" s="52"/>
      <c r="Q172" s="52"/>
      <c r="U172" s="52"/>
    </row>
    <row r="173">
      <c r="M173" s="52"/>
      <c r="N173" s="52"/>
      <c r="O173" s="52"/>
      <c r="P173" s="52"/>
      <c r="Q173" s="52"/>
      <c r="U173" s="52"/>
    </row>
    <row r="174">
      <c r="M174" s="52"/>
      <c r="N174" s="52"/>
      <c r="O174" s="52"/>
      <c r="P174" s="52"/>
      <c r="Q174" s="52"/>
      <c r="U174" s="52"/>
    </row>
    <row r="175">
      <c r="M175" s="52"/>
      <c r="N175" s="52"/>
      <c r="O175" s="52"/>
      <c r="P175" s="52"/>
      <c r="Q175" s="52"/>
      <c r="U175" s="52"/>
    </row>
    <row r="176">
      <c r="M176" s="52"/>
      <c r="N176" s="52"/>
      <c r="O176" s="52"/>
      <c r="P176" s="52"/>
      <c r="Q176" s="52"/>
      <c r="U176" s="52"/>
    </row>
    <row r="177">
      <c r="M177" s="52"/>
      <c r="N177" s="52"/>
      <c r="O177" s="52"/>
      <c r="P177" s="52"/>
      <c r="Q177" s="52"/>
      <c r="U177" s="52"/>
    </row>
    <row r="178">
      <c r="M178" s="52"/>
      <c r="N178" s="52"/>
      <c r="O178" s="52"/>
      <c r="P178" s="52"/>
      <c r="Q178" s="52"/>
      <c r="U178" s="52"/>
    </row>
    <row r="179">
      <c r="M179" s="52"/>
      <c r="N179" s="52"/>
      <c r="O179" s="52"/>
      <c r="P179" s="52"/>
      <c r="Q179" s="52"/>
      <c r="U179" s="52"/>
    </row>
    <row r="180">
      <c r="M180" s="52"/>
      <c r="N180" s="52"/>
      <c r="O180" s="52"/>
      <c r="P180" s="52"/>
      <c r="Q180" s="52"/>
      <c r="U180" s="52"/>
    </row>
    <row r="181">
      <c r="M181" s="52"/>
      <c r="N181" s="52"/>
      <c r="O181" s="52"/>
      <c r="P181" s="52"/>
      <c r="Q181" s="52"/>
      <c r="U181" s="52"/>
    </row>
    <row r="182">
      <c r="M182" s="52"/>
      <c r="N182" s="52"/>
      <c r="O182" s="52"/>
      <c r="P182" s="52"/>
      <c r="Q182" s="52"/>
      <c r="U182" s="52"/>
    </row>
    <row r="183">
      <c r="M183" s="52"/>
      <c r="N183" s="52"/>
      <c r="O183" s="52"/>
      <c r="P183" s="52"/>
      <c r="Q183" s="52"/>
      <c r="U183" s="52"/>
    </row>
    <row r="184">
      <c r="M184" s="52"/>
      <c r="N184" s="52"/>
      <c r="O184" s="52"/>
      <c r="P184" s="52"/>
      <c r="Q184" s="52"/>
      <c r="U184" s="52"/>
    </row>
    <row r="185">
      <c r="M185" s="52"/>
      <c r="N185" s="52"/>
      <c r="O185" s="52"/>
      <c r="P185" s="52"/>
      <c r="Q185" s="52"/>
      <c r="U185" s="52"/>
    </row>
    <row r="186">
      <c r="M186" s="52"/>
      <c r="N186" s="52"/>
      <c r="O186" s="52"/>
      <c r="P186" s="52"/>
      <c r="Q186" s="52"/>
      <c r="U186" s="52"/>
    </row>
    <row r="187">
      <c r="M187" s="52"/>
      <c r="N187" s="52"/>
      <c r="O187" s="52"/>
      <c r="P187" s="52"/>
      <c r="Q187" s="52"/>
      <c r="U187" s="52"/>
    </row>
    <row r="188">
      <c r="M188" s="52"/>
      <c r="N188" s="52"/>
      <c r="O188" s="52"/>
      <c r="P188" s="52"/>
      <c r="Q188" s="52"/>
      <c r="U188" s="52"/>
    </row>
    <row r="189">
      <c r="M189" s="52"/>
      <c r="N189" s="52"/>
      <c r="O189" s="52"/>
      <c r="P189" s="52"/>
      <c r="Q189" s="52"/>
      <c r="U189" s="52"/>
    </row>
    <row r="190">
      <c r="M190" s="52"/>
      <c r="N190" s="52"/>
      <c r="O190" s="52"/>
      <c r="P190" s="52"/>
      <c r="Q190" s="52"/>
      <c r="U190" s="52"/>
    </row>
    <row r="191">
      <c r="M191" s="52"/>
      <c r="N191" s="52"/>
      <c r="O191" s="52"/>
      <c r="P191" s="52"/>
      <c r="Q191" s="52"/>
      <c r="U191" s="52"/>
    </row>
    <row r="192">
      <c r="M192" s="52"/>
      <c r="N192" s="52"/>
      <c r="O192" s="52"/>
      <c r="P192" s="52"/>
      <c r="Q192" s="52"/>
      <c r="U192" s="52"/>
    </row>
    <row r="193">
      <c r="M193" s="52"/>
      <c r="N193" s="52"/>
      <c r="O193" s="52"/>
      <c r="P193" s="52"/>
      <c r="Q193" s="52"/>
      <c r="U193" s="52"/>
    </row>
    <row r="194">
      <c r="M194" s="52"/>
      <c r="N194" s="52"/>
      <c r="O194" s="52"/>
      <c r="P194" s="52"/>
      <c r="Q194" s="52"/>
      <c r="U194" s="52"/>
    </row>
    <row r="195">
      <c r="M195" s="52"/>
      <c r="N195" s="52"/>
      <c r="O195" s="52"/>
      <c r="P195" s="52"/>
      <c r="Q195" s="52"/>
      <c r="U195" s="52"/>
    </row>
    <row r="196">
      <c r="M196" s="52"/>
      <c r="N196" s="52"/>
      <c r="O196" s="52"/>
      <c r="P196" s="52"/>
      <c r="Q196" s="52"/>
      <c r="U196" s="52"/>
    </row>
    <row r="197">
      <c r="M197" s="52"/>
      <c r="N197" s="52"/>
      <c r="O197" s="52"/>
      <c r="P197" s="52"/>
      <c r="Q197" s="52"/>
      <c r="U197" s="52"/>
    </row>
    <row r="198">
      <c r="M198" s="52"/>
      <c r="N198" s="52"/>
      <c r="O198" s="52"/>
      <c r="P198" s="52"/>
      <c r="Q198" s="52"/>
      <c r="U198" s="52"/>
    </row>
    <row r="199">
      <c r="M199" s="52"/>
      <c r="N199" s="52"/>
      <c r="O199" s="52"/>
      <c r="P199" s="52"/>
      <c r="Q199" s="52"/>
      <c r="U199" s="52"/>
    </row>
    <row r="200">
      <c r="M200" s="52"/>
      <c r="N200" s="52"/>
      <c r="O200" s="52"/>
      <c r="P200" s="52"/>
      <c r="Q200" s="52"/>
      <c r="U200" s="52"/>
    </row>
    <row r="201">
      <c r="M201" s="52"/>
      <c r="N201" s="52"/>
      <c r="O201" s="52"/>
      <c r="P201" s="52"/>
      <c r="Q201" s="52"/>
      <c r="U201" s="52"/>
    </row>
    <row r="202">
      <c r="M202" s="52"/>
      <c r="N202" s="52"/>
      <c r="O202" s="52"/>
      <c r="P202" s="52"/>
      <c r="Q202" s="52"/>
      <c r="U202" s="52"/>
    </row>
    <row r="203">
      <c r="M203" s="52"/>
      <c r="N203" s="52"/>
      <c r="O203" s="52"/>
      <c r="P203" s="52"/>
      <c r="Q203" s="52"/>
      <c r="U203" s="52"/>
    </row>
    <row r="204">
      <c r="M204" s="52"/>
      <c r="N204" s="52"/>
      <c r="O204" s="52"/>
      <c r="P204" s="52"/>
      <c r="Q204" s="52"/>
      <c r="U204" s="52"/>
    </row>
    <row r="205">
      <c r="M205" s="52"/>
      <c r="N205" s="52"/>
      <c r="O205" s="52"/>
      <c r="P205" s="52"/>
      <c r="Q205" s="52"/>
      <c r="U205" s="52"/>
    </row>
    <row r="206">
      <c r="M206" s="52"/>
      <c r="N206" s="52"/>
      <c r="O206" s="52"/>
      <c r="P206" s="52"/>
      <c r="Q206" s="52"/>
      <c r="U206" s="52"/>
    </row>
    <row r="207">
      <c r="M207" s="52"/>
      <c r="N207" s="52"/>
      <c r="O207" s="52"/>
      <c r="P207" s="52"/>
      <c r="Q207" s="52"/>
      <c r="U207" s="52"/>
    </row>
    <row r="208">
      <c r="M208" s="52"/>
      <c r="N208" s="52"/>
      <c r="O208" s="52"/>
      <c r="P208" s="52"/>
      <c r="Q208" s="52"/>
      <c r="U208" s="52"/>
    </row>
    <row r="209">
      <c r="M209" s="52"/>
      <c r="N209" s="52"/>
      <c r="O209" s="52"/>
      <c r="P209" s="52"/>
      <c r="Q209" s="52"/>
      <c r="U209" s="52"/>
    </row>
    <row r="210">
      <c r="M210" s="52"/>
      <c r="N210" s="52"/>
      <c r="O210" s="52"/>
      <c r="P210" s="52"/>
      <c r="Q210" s="52"/>
      <c r="U210" s="52"/>
    </row>
    <row r="211">
      <c r="M211" s="52"/>
      <c r="N211" s="52"/>
      <c r="O211" s="52"/>
      <c r="P211" s="52"/>
      <c r="Q211" s="52"/>
      <c r="U211" s="52"/>
    </row>
    <row r="212">
      <c r="M212" s="52"/>
      <c r="N212" s="52"/>
      <c r="O212" s="52"/>
      <c r="P212" s="52"/>
      <c r="Q212" s="52"/>
      <c r="U212" s="52"/>
    </row>
    <row r="213">
      <c r="M213" s="52"/>
      <c r="N213" s="52"/>
      <c r="O213" s="52"/>
      <c r="P213" s="52"/>
      <c r="Q213" s="52"/>
      <c r="U213" s="52"/>
    </row>
    <row r="214">
      <c r="M214" s="52"/>
      <c r="N214" s="52"/>
      <c r="O214" s="52"/>
      <c r="P214" s="52"/>
      <c r="Q214" s="52"/>
      <c r="U214" s="52"/>
    </row>
    <row r="215">
      <c r="M215" s="52"/>
      <c r="N215" s="52"/>
      <c r="O215" s="52"/>
      <c r="P215" s="52"/>
      <c r="Q215" s="52"/>
      <c r="U215" s="52"/>
    </row>
    <row r="216">
      <c r="M216" s="52"/>
      <c r="N216" s="52"/>
      <c r="O216" s="52"/>
      <c r="P216" s="52"/>
      <c r="Q216" s="52"/>
      <c r="U216" s="52"/>
    </row>
    <row r="217">
      <c r="M217" s="52"/>
      <c r="N217" s="52"/>
      <c r="O217" s="52"/>
      <c r="P217" s="52"/>
      <c r="Q217" s="52"/>
      <c r="U217" s="52"/>
    </row>
    <row r="218">
      <c r="M218" s="52"/>
      <c r="N218" s="52"/>
      <c r="O218" s="52"/>
      <c r="P218" s="52"/>
      <c r="Q218" s="52"/>
      <c r="U218" s="52"/>
    </row>
    <row r="219">
      <c r="M219" s="52"/>
      <c r="N219" s="52"/>
      <c r="O219" s="52"/>
      <c r="P219" s="52"/>
      <c r="Q219" s="52"/>
      <c r="U219" s="52"/>
    </row>
    <row r="220">
      <c r="M220" s="52"/>
      <c r="N220" s="52"/>
      <c r="O220" s="52"/>
      <c r="P220" s="52"/>
      <c r="Q220" s="52"/>
      <c r="U220" s="52"/>
    </row>
    <row r="221">
      <c r="M221" s="52"/>
      <c r="N221" s="52"/>
      <c r="O221" s="52"/>
      <c r="P221" s="52"/>
      <c r="Q221" s="52"/>
      <c r="U221" s="52"/>
    </row>
    <row r="222">
      <c r="M222" s="52"/>
      <c r="N222" s="52"/>
      <c r="O222" s="52"/>
      <c r="P222" s="52"/>
      <c r="Q222" s="52"/>
      <c r="U222" s="52"/>
    </row>
    <row r="223">
      <c r="M223" s="52"/>
      <c r="N223" s="52"/>
      <c r="O223" s="52"/>
      <c r="P223" s="52"/>
      <c r="Q223" s="52"/>
      <c r="U223" s="52"/>
    </row>
    <row r="224">
      <c r="M224" s="52"/>
      <c r="N224" s="52"/>
      <c r="O224" s="52"/>
      <c r="P224" s="52"/>
      <c r="Q224" s="52"/>
      <c r="U224" s="52"/>
    </row>
    <row r="225">
      <c r="M225" s="52"/>
      <c r="N225" s="52"/>
      <c r="O225" s="52"/>
      <c r="P225" s="52"/>
      <c r="Q225" s="52"/>
      <c r="U225" s="52"/>
    </row>
    <row r="226">
      <c r="M226" s="52"/>
      <c r="N226" s="52"/>
      <c r="O226" s="52"/>
      <c r="P226" s="52"/>
      <c r="Q226" s="52"/>
      <c r="U226" s="52"/>
    </row>
    <row r="227">
      <c r="M227" s="52"/>
      <c r="N227" s="52"/>
      <c r="O227" s="52"/>
      <c r="P227" s="52"/>
      <c r="Q227" s="52"/>
      <c r="U227" s="52"/>
    </row>
    <row r="228">
      <c r="M228" s="52"/>
      <c r="N228" s="52"/>
      <c r="O228" s="52"/>
      <c r="P228" s="52"/>
      <c r="Q228" s="52"/>
      <c r="U228" s="52"/>
    </row>
    <row r="229">
      <c r="M229" s="52"/>
      <c r="N229" s="52"/>
      <c r="O229" s="52"/>
      <c r="P229" s="52"/>
      <c r="Q229" s="52"/>
      <c r="U229" s="52"/>
    </row>
    <row r="230">
      <c r="M230" s="52"/>
      <c r="N230" s="52"/>
      <c r="O230" s="52"/>
      <c r="P230" s="52"/>
      <c r="Q230" s="52"/>
      <c r="U230" s="52"/>
    </row>
    <row r="231">
      <c r="M231" s="52"/>
      <c r="N231" s="52"/>
      <c r="O231" s="52"/>
      <c r="P231" s="52"/>
      <c r="Q231" s="52"/>
      <c r="U231" s="52"/>
    </row>
    <row r="232">
      <c r="M232" s="52"/>
      <c r="N232" s="52"/>
      <c r="O232" s="52"/>
      <c r="P232" s="52"/>
      <c r="Q232" s="52"/>
      <c r="U232" s="52"/>
    </row>
    <row r="233">
      <c r="M233" s="52"/>
      <c r="N233" s="52"/>
      <c r="O233" s="52"/>
      <c r="P233" s="52"/>
      <c r="Q233" s="52"/>
      <c r="U233" s="52"/>
    </row>
    <row r="234">
      <c r="M234" s="52"/>
      <c r="N234" s="52"/>
      <c r="O234" s="52"/>
      <c r="P234" s="52"/>
      <c r="Q234" s="52"/>
      <c r="U234" s="52"/>
    </row>
    <row r="235">
      <c r="M235" s="52"/>
      <c r="N235" s="52"/>
      <c r="O235" s="52"/>
      <c r="P235" s="52"/>
      <c r="Q235" s="52"/>
      <c r="U235" s="52"/>
    </row>
    <row r="236">
      <c r="M236" s="52"/>
      <c r="N236" s="52"/>
      <c r="O236" s="52"/>
      <c r="P236" s="52"/>
      <c r="Q236" s="52"/>
      <c r="U236" s="52"/>
    </row>
    <row r="237">
      <c r="M237" s="52"/>
      <c r="N237" s="52"/>
      <c r="O237" s="52"/>
      <c r="P237" s="52"/>
      <c r="Q237" s="52"/>
      <c r="U237" s="52"/>
    </row>
    <row r="238">
      <c r="M238" s="52"/>
      <c r="N238" s="52"/>
      <c r="O238" s="52"/>
      <c r="P238" s="52"/>
      <c r="Q238" s="52"/>
      <c r="U238" s="52"/>
    </row>
    <row r="239">
      <c r="M239" s="52"/>
      <c r="N239" s="52"/>
      <c r="O239" s="52"/>
      <c r="P239" s="52"/>
      <c r="Q239" s="52"/>
      <c r="U239" s="52"/>
    </row>
    <row r="240">
      <c r="M240" s="52"/>
      <c r="N240" s="52"/>
      <c r="O240" s="52"/>
      <c r="P240" s="52"/>
      <c r="Q240" s="52"/>
      <c r="U240" s="52"/>
    </row>
    <row r="241">
      <c r="M241" s="52"/>
      <c r="N241" s="52"/>
      <c r="O241" s="52"/>
      <c r="P241" s="52"/>
      <c r="Q241" s="52"/>
      <c r="U241" s="52"/>
    </row>
    <row r="242">
      <c r="M242" s="52"/>
      <c r="N242" s="52"/>
      <c r="O242" s="52"/>
      <c r="P242" s="52"/>
      <c r="Q242" s="52"/>
      <c r="U242" s="52"/>
    </row>
    <row r="243">
      <c r="M243" s="52"/>
      <c r="N243" s="52"/>
      <c r="O243" s="52"/>
      <c r="P243" s="52"/>
      <c r="Q243" s="52"/>
      <c r="U243" s="52"/>
    </row>
    <row r="244">
      <c r="M244" s="52"/>
      <c r="N244" s="52"/>
      <c r="O244" s="52"/>
      <c r="P244" s="52"/>
      <c r="Q244" s="52"/>
      <c r="U244" s="52"/>
    </row>
    <row r="245">
      <c r="M245" s="52"/>
      <c r="N245" s="52"/>
      <c r="O245" s="52"/>
      <c r="P245" s="52"/>
      <c r="Q245" s="52"/>
      <c r="U245" s="52"/>
    </row>
    <row r="246">
      <c r="M246" s="52"/>
      <c r="N246" s="52"/>
      <c r="O246" s="52"/>
      <c r="P246" s="52"/>
      <c r="Q246" s="52"/>
      <c r="U246" s="52"/>
    </row>
    <row r="247">
      <c r="M247" s="52"/>
      <c r="N247" s="52"/>
      <c r="O247" s="52"/>
      <c r="P247" s="52"/>
      <c r="Q247" s="52"/>
      <c r="U247" s="52"/>
    </row>
    <row r="248">
      <c r="M248" s="52"/>
      <c r="N248" s="52"/>
      <c r="O248" s="52"/>
      <c r="P248" s="52"/>
      <c r="Q248" s="52"/>
      <c r="U248" s="52"/>
    </row>
    <row r="249">
      <c r="M249" s="52"/>
      <c r="N249" s="52"/>
      <c r="O249" s="52"/>
      <c r="P249" s="52"/>
      <c r="Q249" s="52"/>
      <c r="U249" s="52"/>
    </row>
    <row r="250">
      <c r="M250" s="52"/>
      <c r="N250" s="52"/>
      <c r="O250" s="52"/>
      <c r="P250" s="52"/>
      <c r="Q250" s="52"/>
      <c r="U250" s="52"/>
    </row>
    <row r="251">
      <c r="M251" s="52"/>
      <c r="N251" s="52"/>
      <c r="O251" s="52"/>
      <c r="P251" s="52"/>
      <c r="Q251" s="52"/>
      <c r="U251" s="52"/>
    </row>
    <row r="252">
      <c r="M252" s="52"/>
      <c r="N252" s="52"/>
      <c r="O252" s="52"/>
      <c r="P252" s="52"/>
      <c r="Q252" s="52"/>
      <c r="U252" s="52"/>
    </row>
    <row r="253">
      <c r="M253" s="52"/>
      <c r="N253" s="52"/>
      <c r="O253" s="52"/>
      <c r="P253" s="52"/>
      <c r="Q253" s="52"/>
      <c r="U253" s="52"/>
    </row>
    <row r="254">
      <c r="M254" s="52"/>
      <c r="N254" s="52"/>
      <c r="O254" s="52"/>
      <c r="P254" s="52"/>
      <c r="Q254" s="52"/>
      <c r="U254" s="52"/>
    </row>
    <row r="255">
      <c r="M255" s="52"/>
      <c r="N255" s="52"/>
      <c r="O255" s="52"/>
      <c r="P255" s="52"/>
      <c r="Q255" s="52"/>
      <c r="U255" s="52"/>
    </row>
    <row r="256">
      <c r="M256" s="52"/>
      <c r="N256" s="52"/>
      <c r="O256" s="52"/>
      <c r="P256" s="52"/>
      <c r="Q256" s="52"/>
      <c r="U256" s="52"/>
    </row>
    <row r="257">
      <c r="M257" s="52"/>
      <c r="N257" s="52"/>
      <c r="O257" s="52"/>
      <c r="P257" s="52"/>
      <c r="Q257" s="52"/>
      <c r="U257" s="52"/>
    </row>
    <row r="258">
      <c r="M258" s="52"/>
      <c r="N258" s="52"/>
      <c r="O258" s="52"/>
      <c r="P258" s="52"/>
      <c r="Q258" s="52"/>
      <c r="U258" s="52"/>
    </row>
    <row r="259">
      <c r="M259" s="52"/>
      <c r="N259" s="52"/>
      <c r="O259" s="52"/>
      <c r="P259" s="52"/>
      <c r="Q259" s="52"/>
      <c r="U259" s="52"/>
    </row>
    <row r="260">
      <c r="M260" s="52"/>
      <c r="N260" s="52"/>
      <c r="O260" s="52"/>
      <c r="P260" s="52"/>
      <c r="Q260" s="52"/>
      <c r="U260" s="52"/>
    </row>
    <row r="261">
      <c r="M261" s="52"/>
      <c r="N261" s="52"/>
      <c r="O261" s="52"/>
      <c r="P261" s="52"/>
      <c r="Q261" s="52"/>
      <c r="U261" s="52"/>
    </row>
    <row r="262">
      <c r="M262" s="52"/>
      <c r="N262" s="52"/>
      <c r="O262" s="52"/>
      <c r="P262" s="52"/>
      <c r="Q262" s="52"/>
      <c r="U262" s="52"/>
    </row>
    <row r="263">
      <c r="M263" s="52"/>
      <c r="N263" s="52"/>
      <c r="O263" s="52"/>
      <c r="P263" s="52"/>
      <c r="Q263" s="52"/>
      <c r="U263" s="52"/>
    </row>
    <row r="264">
      <c r="M264" s="52"/>
      <c r="N264" s="52"/>
      <c r="O264" s="52"/>
      <c r="P264" s="52"/>
      <c r="Q264" s="52"/>
      <c r="U264" s="52"/>
    </row>
    <row r="265">
      <c r="M265" s="52"/>
      <c r="N265" s="52"/>
      <c r="O265" s="52"/>
      <c r="P265" s="52"/>
      <c r="Q265" s="52"/>
      <c r="U265" s="52"/>
    </row>
    <row r="266">
      <c r="M266" s="52"/>
      <c r="N266" s="52"/>
      <c r="O266" s="52"/>
      <c r="P266" s="52"/>
      <c r="Q266" s="52"/>
      <c r="U266" s="52"/>
    </row>
    <row r="267">
      <c r="M267" s="52"/>
      <c r="N267" s="52"/>
      <c r="O267" s="52"/>
      <c r="P267" s="52"/>
      <c r="Q267" s="52"/>
      <c r="U267" s="52"/>
    </row>
    <row r="268">
      <c r="M268" s="52"/>
      <c r="N268" s="52"/>
      <c r="O268" s="52"/>
      <c r="P268" s="52"/>
      <c r="Q268" s="52"/>
      <c r="U268" s="52"/>
    </row>
    <row r="269">
      <c r="M269" s="52"/>
      <c r="N269" s="52"/>
      <c r="O269" s="52"/>
      <c r="P269" s="52"/>
      <c r="Q269" s="52"/>
      <c r="U269" s="52"/>
    </row>
    <row r="270">
      <c r="M270" s="52"/>
      <c r="N270" s="52"/>
      <c r="O270" s="52"/>
      <c r="P270" s="52"/>
      <c r="Q270" s="52"/>
      <c r="U270" s="52"/>
    </row>
    <row r="271">
      <c r="M271" s="52"/>
      <c r="N271" s="52"/>
      <c r="O271" s="52"/>
      <c r="P271" s="52"/>
      <c r="Q271" s="52"/>
      <c r="U271" s="52"/>
    </row>
    <row r="272">
      <c r="M272" s="52"/>
      <c r="N272" s="52"/>
      <c r="O272" s="52"/>
      <c r="P272" s="52"/>
      <c r="Q272" s="52"/>
      <c r="U272" s="52"/>
    </row>
    <row r="273">
      <c r="M273" s="52"/>
      <c r="N273" s="52"/>
      <c r="O273" s="52"/>
      <c r="P273" s="52"/>
      <c r="Q273" s="52"/>
      <c r="U273" s="52"/>
    </row>
    <row r="274">
      <c r="M274" s="52"/>
      <c r="N274" s="52"/>
      <c r="O274" s="52"/>
      <c r="P274" s="52"/>
      <c r="Q274" s="52"/>
      <c r="U274" s="52"/>
    </row>
    <row r="275">
      <c r="M275" s="52"/>
      <c r="N275" s="52"/>
      <c r="O275" s="52"/>
      <c r="P275" s="52"/>
      <c r="Q275" s="52"/>
      <c r="U275" s="52"/>
    </row>
    <row r="276">
      <c r="M276" s="52"/>
      <c r="N276" s="52"/>
      <c r="O276" s="52"/>
      <c r="P276" s="52"/>
      <c r="Q276" s="52"/>
      <c r="U276" s="52"/>
    </row>
    <row r="277">
      <c r="M277" s="52"/>
      <c r="N277" s="52"/>
      <c r="O277" s="52"/>
      <c r="P277" s="52"/>
      <c r="Q277" s="52"/>
      <c r="U277" s="52"/>
    </row>
    <row r="278">
      <c r="M278" s="52"/>
      <c r="N278" s="52"/>
      <c r="O278" s="52"/>
      <c r="P278" s="52"/>
      <c r="Q278" s="52"/>
      <c r="U278" s="52"/>
    </row>
    <row r="279">
      <c r="M279" s="52"/>
      <c r="N279" s="52"/>
      <c r="O279" s="52"/>
      <c r="P279" s="52"/>
      <c r="Q279" s="52"/>
      <c r="U279" s="52"/>
    </row>
    <row r="280">
      <c r="M280" s="52"/>
      <c r="N280" s="52"/>
      <c r="O280" s="52"/>
      <c r="P280" s="52"/>
      <c r="Q280" s="52"/>
      <c r="U280" s="52"/>
    </row>
    <row r="281">
      <c r="M281" s="52"/>
      <c r="N281" s="52"/>
      <c r="O281" s="52"/>
      <c r="P281" s="52"/>
      <c r="Q281" s="52"/>
      <c r="U281" s="52"/>
    </row>
    <row r="282">
      <c r="M282" s="52"/>
      <c r="N282" s="52"/>
      <c r="O282" s="52"/>
      <c r="P282" s="52"/>
      <c r="Q282" s="52"/>
      <c r="U282" s="52"/>
    </row>
    <row r="283">
      <c r="M283" s="52"/>
      <c r="N283" s="52"/>
      <c r="O283" s="52"/>
      <c r="P283" s="52"/>
      <c r="Q283" s="52"/>
      <c r="U283" s="52"/>
    </row>
    <row r="284">
      <c r="M284" s="52"/>
      <c r="N284" s="52"/>
      <c r="O284" s="52"/>
      <c r="P284" s="52"/>
      <c r="Q284" s="52"/>
      <c r="U284" s="52"/>
    </row>
    <row r="285">
      <c r="M285" s="52"/>
      <c r="N285" s="52"/>
      <c r="O285" s="52"/>
      <c r="P285" s="52"/>
      <c r="Q285" s="52"/>
      <c r="U285" s="52"/>
    </row>
    <row r="286">
      <c r="M286" s="52"/>
      <c r="N286" s="52"/>
      <c r="O286" s="52"/>
      <c r="P286" s="52"/>
      <c r="Q286" s="52"/>
      <c r="U286" s="52"/>
    </row>
    <row r="287">
      <c r="M287" s="52"/>
      <c r="N287" s="52"/>
      <c r="O287" s="52"/>
      <c r="P287" s="52"/>
      <c r="Q287" s="52"/>
      <c r="U287" s="52"/>
    </row>
    <row r="288">
      <c r="M288" s="52"/>
      <c r="N288" s="52"/>
      <c r="O288" s="52"/>
      <c r="P288" s="52"/>
      <c r="Q288" s="52"/>
      <c r="U288" s="52"/>
    </row>
    <row r="289">
      <c r="M289" s="52"/>
      <c r="N289" s="52"/>
      <c r="O289" s="52"/>
      <c r="P289" s="52"/>
      <c r="Q289" s="52"/>
      <c r="U289" s="52"/>
    </row>
    <row r="290">
      <c r="M290" s="52"/>
      <c r="N290" s="52"/>
      <c r="O290" s="52"/>
      <c r="P290" s="52"/>
      <c r="Q290" s="52"/>
      <c r="U290" s="52"/>
    </row>
    <row r="291">
      <c r="M291" s="52"/>
      <c r="N291" s="52"/>
      <c r="O291" s="52"/>
      <c r="P291" s="52"/>
      <c r="Q291" s="52"/>
      <c r="U291" s="52"/>
    </row>
    <row r="292">
      <c r="M292" s="52"/>
      <c r="N292" s="52"/>
      <c r="O292" s="52"/>
      <c r="P292" s="52"/>
      <c r="Q292" s="52"/>
      <c r="U292" s="52"/>
    </row>
    <row r="293">
      <c r="M293" s="52"/>
      <c r="N293" s="52"/>
      <c r="O293" s="52"/>
      <c r="P293" s="52"/>
      <c r="Q293" s="52"/>
      <c r="U293" s="52"/>
    </row>
    <row r="294">
      <c r="M294" s="52"/>
      <c r="N294" s="52"/>
      <c r="O294" s="52"/>
      <c r="P294" s="52"/>
      <c r="Q294" s="52"/>
      <c r="U294" s="52"/>
    </row>
    <row r="295">
      <c r="M295" s="52"/>
      <c r="N295" s="52"/>
      <c r="O295" s="52"/>
      <c r="P295" s="52"/>
      <c r="Q295" s="52"/>
      <c r="U295" s="52"/>
    </row>
    <row r="296">
      <c r="M296" s="52"/>
      <c r="N296" s="52"/>
      <c r="O296" s="52"/>
      <c r="P296" s="52"/>
      <c r="Q296" s="52"/>
      <c r="U296" s="52"/>
    </row>
    <row r="297">
      <c r="M297" s="52"/>
      <c r="N297" s="52"/>
      <c r="O297" s="52"/>
      <c r="P297" s="52"/>
      <c r="Q297" s="52"/>
      <c r="U297" s="52"/>
    </row>
    <row r="298">
      <c r="M298" s="52"/>
      <c r="N298" s="52"/>
      <c r="O298" s="52"/>
      <c r="P298" s="52"/>
      <c r="Q298" s="52"/>
      <c r="U298" s="52"/>
    </row>
    <row r="299">
      <c r="M299" s="52"/>
      <c r="N299" s="52"/>
      <c r="O299" s="52"/>
      <c r="P299" s="52"/>
      <c r="Q299" s="52"/>
      <c r="U299" s="52"/>
    </row>
    <row r="300">
      <c r="M300" s="52"/>
      <c r="N300" s="52"/>
      <c r="O300" s="52"/>
      <c r="P300" s="52"/>
      <c r="Q300" s="52"/>
      <c r="U300" s="52"/>
    </row>
    <row r="301">
      <c r="M301" s="52"/>
      <c r="N301" s="52"/>
      <c r="O301" s="52"/>
      <c r="P301" s="52"/>
      <c r="Q301" s="52"/>
      <c r="U301" s="52"/>
    </row>
    <row r="302">
      <c r="M302" s="52"/>
      <c r="N302" s="52"/>
      <c r="O302" s="52"/>
      <c r="P302" s="52"/>
      <c r="Q302" s="52"/>
      <c r="U302" s="52"/>
    </row>
    <row r="303">
      <c r="M303" s="52"/>
      <c r="N303" s="52"/>
      <c r="O303" s="52"/>
      <c r="P303" s="52"/>
      <c r="Q303" s="52"/>
      <c r="U303" s="52"/>
    </row>
    <row r="304">
      <c r="M304" s="52"/>
      <c r="N304" s="52"/>
      <c r="O304" s="52"/>
      <c r="P304" s="52"/>
      <c r="Q304" s="52"/>
      <c r="U304" s="52"/>
    </row>
    <row r="305">
      <c r="M305" s="52"/>
      <c r="N305" s="52"/>
      <c r="O305" s="52"/>
      <c r="P305" s="52"/>
      <c r="Q305" s="52"/>
      <c r="U305" s="52"/>
    </row>
    <row r="306">
      <c r="M306" s="52"/>
      <c r="N306" s="52"/>
      <c r="O306" s="52"/>
      <c r="P306" s="52"/>
      <c r="Q306" s="52"/>
      <c r="U306" s="52"/>
    </row>
    <row r="307">
      <c r="M307" s="52"/>
      <c r="N307" s="52"/>
      <c r="O307" s="52"/>
      <c r="P307" s="52"/>
      <c r="Q307" s="52"/>
      <c r="U307" s="52"/>
    </row>
    <row r="308">
      <c r="M308" s="52"/>
      <c r="N308" s="52"/>
      <c r="O308" s="52"/>
      <c r="P308" s="52"/>
      <c r="Q308" s="52"/>
      <c r="U308" s="52"/>
    </row>
    <row r="309">
      <c r="M309" s="52"/>
      <c r="N309" s="52"/>
      <c r="O309" s="52"/>
      <c r="P309" s="52"/>
      <c r="Q309" s="52"/>
      <c r="U309" s="52"/>
    </row>
    <row r="310">
      <c r="M310" s="52"/>
      <c r="N310" s="52"/>
      <c r="O310" s="52"/>
      <c r="P310" s="52"/>
      <c r="Q310" s="52"/>
      <c r="U310" s="52"/>
    </row>
    <row r="311">
      <c r="M311" s="52"/>
      <c r="N311" s="52"/>
      <c r="O311" s="52"/>
      <c r="P311" s="52"/>
      <c r="Q311" s="52"/>
      <c r="U311" s="52"/>
    </row>
    <row r="312">
      <c r="M312" s="52"/>
      <c r="N312" s="52"/>
      <c r="O312" s="52"/>
      <c r="P312" s="52"/>
      <c r="Q312" s="52"/>
      <c r="U312" s="52"/>
    </row>
    <row r="313">
      <c r="M313" s="52"/>
      <c r="N313" s="52"/>
      <c r="O313" s="52"/>
      <c r="P313" s="52"/>
      <c r="Q313" s="52"/>
      <c r="U313" s="52"/>
    </row>
    <row r="314">
      <c r="M314" s="52"/>
      <c r="N314" s="52"/>
      <c r="O314" s="52"/>
      <c r="P314" s="52"/>
      <c r="Q314" s="52"/>
      <c r="U314" s="52"/>
    </row>
    <row r="315">
      <c r="M315" s="52"/>
      <c r="N315" s="52"/>
      <c r="O315" s="52"/>
      <c r="P315" s="52"/>
      <c r="Q315" s="52"/>
      <c r="U315" s="52"/>
    </row>
    <row r="316">
      <c r="M316" s="52"/>
      <c r="N316" s="52"/>
      <c r="O316" s="52"/>
      <c r="P316" s="52"/>
      <c r="Q316" s="52"/>
      <c r="U316" s="52"/>
    </row>
    <row r="317">
      <c r="M317" s="52"/>
      <c r="N317" s="52"/>
      <c r="O317" s="52"/>
      <c r="P317" s="52"/>
      <c r="Q317" s="52"/>
      <c r="U317" s="52"/>
    </row>
    <row r="318">
      <c r="M318" s="52"/>
      <c r="N318" s="52"/>
      <c r="O318" s="52"/>
      <c r="P318" s="52"/>
      <c r="Q318" s="52"/>
      <c r="U318" s="52"/>
    </row>
    <row r="319">
      <c r="M319" s="52"/>
      <c r="N319" s="52"/>
      <c r="O319" s="52"/>
      <c r="P319" s="52"/>
      <c r="Q319" s="52"/>
      <c r="U319" s="52"/>
    </row>
    <row r="320">
      <c r="M320" s="52"/>
      <c r="N320" s="52"/>
      <c r="O320" s="52"/>
      <c r="P320" s="52"/>
      <c r="Q320" s="52"/>
      <c r="U320" s="52"/>
    </row>
    <row r="321">
      <c r="M321" s="52"/>
      <c r="N321" s="52"/>
      <c r="O321" s="52"/>
      <c r="P321" s="52"/>
      <c r="Q321" s="52"/>
      <c r="U321" s="52"/>
    </row>
    <row r="322">
      <c r="M322" s="52"/>
      <c r="N322" s="52"/>
      <c r="O322" s="52"/>
      <c r="P322" s="52"/>
      <c r="Q322" s="52"/>
      <c r="U322" s="52"/>
    </row>
    <row r="323">
      <c r="M323" s="52"/>
      <c r="N323" s="52"/>
      <c r="O323" s="52"/>
      <c r="P323" s="52"/>
      <c r="Q323" s="52"/>
      <c r="U323" s="52"/>
    </row>
    <row r="324">
      <c r="M324" s="52"/>
      <c r="N324" s="52"/>
      <c r="O324" s="52"/>
      <c r="P324" s="52"/>
      <c r="Q324" s="52"/>
      <c r="U324" s="52"/>
    </row>
    <row r="325">
      <c r="M325" s="52"/>
      <c r="N325" s="52"/>
      <c r="O325" s="52"/>
      <c r="P325" s="52"/>
      <c r="Q325" s="52"/>
      <c r="U325" s="52"/>
    </row>
    <row r="326">
      <c r="M326" s="52"/>
      <c r="N326" s="52"/>
      <c r="O326" s="52"/>
      <c r="P326" s="52"/>
      <c r="Q326" s="52"/>
      <c r="U326" s="52"/>
    </row>
    <row r="327">
      <c r="M327" s="52"/>
      <c r="N327" s="52"/>
      <c r="O327" s="52"/>
      <c r="P327" s="52"/>
      <c r="Q327" s="52"/>
      <c r="U327" s="52"/>
    </row>
    <row r="328">
      <c r="M328" s="52"/>
      <c r="N328" s="52"/>
      <c r="O328" s="52"/>
      <c r="P328" s="52"/>
      <c r="Q328" s="52"/>
      <c r="U328" s="52"/>
    </row>
    <row r="329">
      <c r="M329" s="52"/>
      <c r="N329" s="52"/>
      <c r="O329" s="52"/>
      <c r="P329" s="52"/>
      <c r="Q329" s="52"/>
      <c r="U329" s="52"/>
    </row>
    <row r="330">
      <c r="M330" s="52"/>
      <c r="N330" s="52"/>
      <c r="O330" s="52"/>
      <c r="P330" s="52"/>
      <c r="Q330" s="52"/>
      <c r="U330" s="52"/>
    </row>
    <row r="331">
      <c r="M331" s="52"/>
      <c r="N331" s="52"/>
      <c r="O331" s="52"/>
      <c r="P331" s="52"/>
      <c r="Q331" s="52"/>
      <c r="U331" s="52"/>
    </row>
    <row r="332">
      <c r="M332" s="52"/>
      <c r="N332" s="52"/>
      <c r="O332" s="52"/>
      <c r="P332" s="52"/>
      <c r="Q332" s="52"/>
      <c r="U332" s="52"/>
    </row>
    <row r="333">
      <c r="M333" s="52"/>
      <c r="N333" s="52"/>
      <c r="O333" s="52"/>
      <c r="P333" s="52"/>
      <c r="Q333" s="52"/>
      <c r="U333" s="52"/>
    </row>
    <row r="334">
      <c r="M334" s="52"/>
      <c r="N334" s="52"/>
      <c r="O334" s="52"/>
      <c r="P334" s="52"/>
      <c r="Q334" s="52"/>
      <c r="U334" s="52"/>
    </row>
    <row r="335">
      <c r="M335" s="52"/>
      <c r="N335" s="52"/>
      <c r="O335" s="52"/>
      <c r="P335" s="52"/>
      <c r="Q335" s="52"/>
      <c r="U335" s="52"/>
    </row>
    <row r="336">
      <c r="M336" s="52"/>
      <c r="N336" s="52"/>
      <c r="O336" s="52"/>
      <c r="P336" s="52"/>
      <c r="Q336" s="52"/>
      <c r="U336" s="52"/>
    </row>
    <row r="337">
      <c r="M337" s="52"/>
      <c r="N337" s="52"/>
      <c r="O337" s="52"/>
      <c r="P337" s="52"/>
      <c r="Q337" s="52"/>
      <c r="U337" s="52"/>
    </row>
    <row r="338">
      <c r="M338" s="52"/>
      <c r="N338" s="52"/>
      <c r="O338" s="52"/>
      <c r="P338" s="52"/>
      <c r="Q338" s="52"/>
      <c r="U338" s="52"/>
    </row>
    <row r="339">
      <c r="M339" s="52"/>
      <c r="N339" s="52"/>
      <c r="O339" s="52"/>
      <c r="P339" s="52"/>
      <c r="Q339" s="52"/>
      <c r="U339" s="52"/>
    </row>
    <row r="340">
      <c r="M340" s="52"/>
      <c r="N340" s="52"/>
      <c r="O340" s="52"/>
      <c r="P340" s="52"/>
      <c r="Q340" s="52"/>
      <c r="U340" s="52"/>
    </row>
    <row r="341">
      <c r="M341" s="52"/>
      <c r="N341" s="52"/>
      <c r="O341" s="52"/>
      <c r="P341" s="52"/>
      <c r="Q341" s="52"/>
      <c r="U341" s="52"/>
    </row>
    <row r="342">
      <c r="M342" s="52"/>
      <c r="N342" s="52"/>
      <c r="O342" s="52"/>
      <c r="P342" s="52"/>
      <c r="Q342" s="52"/>
      <c r="U342" s="52"/>
    </row>
    <row r="343">
      <c r="M343" s="52"/>
      <c r="N343" s="52"/>
      <c r="O343" s="52"/>
      <c r="P343" s="52"/>
      <c r="Q343" s="52"/>
      <c r="U343" s="52"/>
    </row>
    <row r="344">
      <c r="M344" s="52"/>
      <c r="N344" s="52"/>
      <c r="O344" s="52"/>
      <c r="P344" s="52"/>
      <c r="Q344" s="52"/>
      <c r="U344" s="52"/>
    </row>
    <row r="345">
      <c r="M345" s="52"/>
      <c r="N345" s="52"/>
      <c r="O345" s="52"/>
      <c r="P345" s="52"/>
      <c r="Q345" s="52"/>
      <c r="U345" s="52"/>
    </row>
    <row r="346">
      <c r="M346" s="52"/>
      <c r="N346" s="52"/>
      <c r="O346" s="52"/>
      <c r="P346" s="52"/>
      <c r="Q346" s="52"/>
      <c r="U346" s="52"/>
    </row>
    <row r="347">
      <c r="M347" s="52"/>
      <c r="N347" s="52"/>
      <c r="O347" s="52"/>
      <c r="P347" s="52"/>
      <c r="Q347" s="52"/>
      <c r="U347" s="52"/>
    </row>
    <row r="348">
      <c r="M348" s="52"/>
      <c r="N348" s="52"/>
      <c r="O348" s="52"/>
      <c r="P348" s="52"/>
      <c r="Q348" s="52"/>
      <c r="U348" s="52"/>
    </row>
    <row r="349">
      <c r="M349" s="52"/>
      <c r="N349" s="52"/>
      <c r="O349" s="52"/>
      <c r="P349" s="52"/>
      <c r="Q349" s="52"/>
      <c r="U349" s="52"/>
    </row>
    <row r="350">
      <c r="M350" s="52"/>
      <c r="N350" s="52"/>
      <c r="O350" s="52"/>
      <c r="P350" s="52"/>
      <c r="Q350" s="52"/>
      <c r="U350" s="52"/>
    </row>
    <row r="351">
      <c r="M351" s="52"/>
      <c r="N351" s="52"/>
      <c r="O351" s="52"/>
      <c r="P351" s="52"/>
      <c r="Q351" s="52"/>
      <c r="U351" s="52"/>
    </row>
    <row r="352">
      <c r="M352" s="52"/>
      <c r="N352" s="52"/>
      <c r="O352" s="52"/>
      <c r="P352" s="52"/>
      <c r="Q352" s="52"/>
      <c r="U352" s="52"/>
    </row>
    <row r="353">
      <c r="M353" s="52"/>
      <c r="N353" s="52"/>
      <c r="O353" s="52"/>
      <c r="P353" s="52"/>
      <c r="Q353" s="52"/>
      <c r="U353" s="52"/>
    </row>
    <row r="354">
      <c r="M354" s="52"/>
      <c r="N354" s="52"/>
      <c r="O354" s="52"/>
      <c r="P354" s="52"/>
      <c r="Q354" s="52"/>
      <c r="U354" s="52"/>
    </row>
    <row r="355">
      <c r="M355" s="52"/>
      <c r="N355" s="52"/>
      <c r="O355" s="52"/>
      <c r="P355" s="52"/>
      <c r="Q355" s="52"/>
      <c r="U355" s="52"/>
    </row>
    <row r="356">
      <c r="M356" s="52"/>
      <c r="N356" s="52"/>
      <c r="O356" s="52"/>
      <c r="P356" s="52"/>
      <c r="Q356" s="52"/>
      <c r="U356" s="52"/>
    </row>
    <row r="357">
      <c r="M357" s="52"/>
      <c r="N357" s="52"/>
      <c r="O357" s="52"/>
      <c r="P357" s="52"/>
      <c r="Q357" s="52"/>
      <c r="U357" s="52"/>
    </row>
    <row r="358">
      <c r="M358" s="52"/>
      <c r="N358" s="52"/>
      <c r="O358" s="52"/>
      <c r="P358" s="52"/>
      <c r="Q358" s="52"/>
      <c r="U358" s="52"/>
    </row>
    <row r="359">
      <c r="M359" s="52"/>
      <c r="N359" s="52"/>
      <c r="O359" s="52"/>
      <c r="P359" s="52"/>
      <c r="Q359" s="52"/>
      <c r="U359" s="52"/>
    </row>
    <row r="360">
      <c r="M360" s="52"/>
      <c r="N360" s="52"/>
      <c r="O360" s="52"/>
      <c r="P360" s="52"/>
      <c r="Q360" s="52"/>
      <c r="U360" s="52"/>
    </row>
    <row r="361">
      <c r="M361" s="52"/>
      <c r="N361" s="52"/>
      <c r="O361" s="52"/>
      <c r="P361" s="52"/>
      <c r="Q361" s="52"/>
      <c r="U361" s="52"/>
    </row>
    <row r="362">
      <c r="M362" s="52"/>
      <c r="N362" s="52"/>
      <c r="O362" s="52"/>
      <c r="P362" s="52"/>
      <c r="Q362" s="52"/>
      <c r="U362" s="52"/>
    </row>
    <row r="363">
      <c r="M363" s="52"/>
      <c r="N363" s="52"/>
      <c r="O363" s="52"/>
      <c r="P363" s="52"/>
      <c r="Q363" s="52"/>
      <c r="U363" s="52"/>
    </row>
    <row r="364">
      <c r="M364" s="52"/>
      <c r="N364" s="52"/>
      <c r="O364" s="52"/>
      <c r="P364" s="52"/>
      <c r="Q364" s="52"/>
      <c r="U364" s="52"/>
    </row>
    <row r="365">
      <c r="M365" s="52"/>
      <c r="N365" s="52"/>
      <c r="O365" s="52"/>
      <c r="P365" s="52"/>
      <c r="Q365" s="52"/>
      <c r="U365" s="52"/>
    </row>
    <row r="366">
      <c r="M366" s="52"/>
      <c r="N366" s="52"/>
      <c r="O366" s="52"/>
      <c r="P366" s="52"/>
      <c r="Q366" s="52"/>
      <c r="U366" s="52"/>
    </row>
    <row r="367">
      <c r="M367" s="52"/>
      <c r="N367" s="52"/>
      <c r="O367" s="52"/>
      <c r="P367" s="52"/>
      <c r="Q367" s="52"/>
      <c r="U367" s="52"/>
    </row>
    <row r="368">
      <c r="M368" s="52"/>
      <c r="N368" s="52"/>
      <c r="O368" s="52"/>
      <c r="P368" s="52"/>
      <c r="Q368" s="52"/>
      <c r="U368" s="52"/>
    </row>
    <row r="369">
      <c r="M369" s="52"/>
      <c r="N369" s="52"/>
      <c r="O369" s="52"/>
      <c r="P369" s="52"/>
      <c r="Q369" s="52"/>
      <c r="U369" s="52"/>
    </row>
    <row r="370">
      <c r="M370" s="52"/>
      <c r="N370" s="52"/>
      <c r="O370" s="52"/>
      <c r="P370" s="52"/>
      <c r="Q370" s="52"/>
      <c r="U370" s="52"/>
    </row>
    <row r="371">
      <c r="M371" s="52"/>
      <c r="N371" s="52"/>
      <c r="O371" s="52"/>
      <c r="P371" s="52"/>
      <c r="Q371" s="52"/>
      <c r="U371" s="52"/>
    </row>
    <row r="372">
      <c r="M372" s="52"/>
      <c r="N372" s="52"/>
      <c r="O372" s="52"/>
      <c r="P372" s="52"/>
      <c r="Q372" s="52"/>
      <c r="U372" s="52"/>
    </row>
    <row r="373">
      <c r="M373" s="52"/>
      <c r="N373" s="52"/>
      <c r="O373" s="52"/>
      <c r="P373" s="52"/>
      <c r="Q373" s="52"/>
      <c r="U373" s="52"/>
    </row>
    <row r="374">
      <c r="M374" s="52"/>
      <c r="N374" s="52"/>
      <c r="O374" s="52"/>
      <c r="P374" s="52"/>
      <c r="Q374" s="52"/>
      <c r="U374" s="52"/>
    </row>
    <row r="375">
      <c r="M375" s="52"/>
      <c r="N375" s="52"/>
      <c r="O375" s="52"/>
      <c r="P375" s="52"/>
      <c r="Q375" s="52"/>
      <c r="U375" s="52"/>
    </row>
    <row r="376">
      <c r="M376" s="52"/>
      <c r="N376" s="52"/>
      <c r="O376" s="52"/>
      <c r="P376" s="52"/>
      <c r="Q376" s="52"/>
      <c r="U376" s="52"/>
    </row>
    <row r="377">
      <c r="M377" s="52"/>
      <c r="N377" s="52"/>
      <c r="O377" s="52"/>
      <c r="P377" s="52"/>
      <c r="Q377" s="52"/>
      <c r="U377" s="52"/>
    </row>
    <row r="378">
      <c r="M378" s="52"/>
      <c r="N378" s="52"/>
      <c r="O378" s="52"/>
      <c r="P378" s="52"/>
      <c r="Q378" s="52"/>
      <c r="U378" s="52"/>
    </row>
    <row r="379">
      <c r="M379" s="52"/>
      <c r="N379" s="52"/>
      <c r="O379" s="52"/>
      <c r="P379" s="52"/>
      <c r="Q379" s="52"/>
      <c r="U379" s="52"/>
    </row>
    <row r="380">
      <c r="M380" s="52"/>
      <c r="N380" s="52"/>
      <c r="O380" s="52"/>
      <c r="P380" s="52"/>
      <c r="Q380" s="52"/>
      <c r="U380" s="52"/>
    </row>
    <row r="381">
      <c r="M381" s="52"/>
      <c r="N381" s="52"/>
      <c r="O381" s="52"/>
      <c r="P381" s="52"/>
      <c r="Q381" s="52"/>
      <c r="U381" s="52"/>
    </row>
    <row r="382">
      <c r="M382" s="52"/>
      <c r="N382" s="52"/>
      <c r="O382" s="52"/>
      <c r="P382" s="52"/>
      <c r="Q382" s="52"/>
      <c r="U382" s="52"/>
    </row>
    <row r="383">
      <c r="M383" s="52"/>
      <c r="N383" s="52"/>
      <c r="O383" s="52"/>
      <c r="P383" s="52"/>
      <c r="Q383" s="52"/>
      <c r="U383" s="52"/>
    </row>
    <row r="384">
      <c r="M384" s="52"/>
      <c r="N384" s="52"/>
      <c r="O384" s="52"/>
      <c r="P384" s="52"/>
      <c r="Q384" s="52"/>
      <c r="U384" s="52"/>
    </row>
    <row r="385">
      <c r="M385" s="52"/>
      <c r="N385" s="52"/>
      <c r="O385" s="52"/>
      <c r="P385" s="52"/>
      <c r="Q385" s="52"/>
      <c r="U385" s="52"/>
    </row>
    <row r="386">
      <c r="M386" s="52"/>
      <c r="N386" s="52"/>
      <c r="O386" s="52"/>
      <c r="P386" s="52"/>
      <c r="Q386" s="52"/>
      <c r="U386" s="52"/>
    </row>
    <row r="387">
      <c r="M387" s="52"/>
      <c r="N387" s="52"/>
      <c r="O387" s="52"/>
      <c r="P387" s="52"/>
      <c r="Q387" s="52"/>
      <c r="U387" s="52"/>
    </row>
    <row r="388">
      <c r="M388" s="52"/>
      <c r="N388" s="52"/>
      <c r="O388" s="52"/>
      <c r="P388" s="52"/>
      <c r="Q388" s="52"/>
      <c r="U388" s="52"/>
    </row>
    <row r="389">
      <c r="M389" s="52"/>
      <c r="N389" s="52"/>
      <c r="O389" s="52"/>
      <c r="P389" s="52"/>
      <c r="Q389" s="52"/>
      <c r="U389" s="52"/>
    </row>
    <row r="390">
      <c r="M390" s="52"/>
      <c r="N390" s="52"/>
      <c r="O390" s="52"/>
      <c r="P390" s="52"/>
      <c r="Q390" s="52"/>
      <c r="U390" s="52"/>
    </row>
    <row r="391">
      <c r="M391" s="52"/>
      <c r="N391" s="52"/>
      <c r="O391" s="52"/>
      <c r="P391" s="52"/>
      <c r="Q391" s="52"/>
      <c r="U391" s="52"/>
    </row>
    <row r="392">
      <c r="M392" s="52"/>
      <c r="N392" s="52"/>
      <c r="O392" s="52"/>
      <c r="P392" s="52"/>
      <c r="Q392" s="52"/>
      <c r="U392" s="52"/>
    </row>
    <row r="393">
      <c r="M393" s="52"/>
      <c r="N393" s="52"/>
      <c r="O393" s="52"/>
      <c r="P393" s="52"/>
      <c r="Q393" s="52"/>
      <c r="U393" s="52"/>
    </row>
    <row r="394">
      <c r="M394" s="52"/>
      <c r="N394" s="52"/>
      <c r="O394" s="52"/>
      <c r="P394" s="52"/>
      <c r="Q394" s="52"/>
      <c r="U394" s="52"/>
    </row>
    <row r="395">
      <c r="M395" s="52"/>
      <c r="N395" s="52"/>
      <c r="O395" s="52"/>
      <c r="P395" s="52"/>
      <c r="Q395" s="52"/>
      <c r="U395" s="52"/>
    </row>
    <row r="396">
      <c r="M396" s="52"/>
      <c r="N396" s="52"/>
      <c r="O396" s="52"/>
      <c r="P396" s="52"/>
      <c r="Q396" s="52"/>
      <c r="U396" s="52"/>
    </row>
    <row r="397">
      <c r="M397" s="52"/>
      <c r="N397" s="52"/>
      <c r="O397" s="52"/>
      <c r="P397" s="52"/>
      <c r="Q397" s="52"/>
      <c r="U397" s="52"/>
    </row>
    <row r="398">
      <c r="M398" s="52"/>
      <c r="N398" s="52"/>
      <c r="O398" s="52"/>
      <c r="P398" s="52"/>
      <c r="Q398" s="52"/>
      <c r="U398" s="52"/>
    </row>
    <row r="399">
      <c r="M399" s="52"/>
      <c r="N399" s="52"/>
      <c r="O399" s="52"/>
      <c r="P399" s="52"/>
      <c r="Q399" s="52"/>
      <c r="U399" s="52"/>
    </row>
    <row r="400">
      <c r="M400" s="52"/>
      <c r="N400" s="52"/>
      <c r="O400" s="52"/>
      <c r="P400" s="52"/>
      <c r="Q400" s="52"/>
      <c r="U400" s="52"/>
    </row>
    <row r="401">
      <c r="M401" s="52"/>
      <c r="N401" s="52"/>
      <c r="O401" s="52"/>
      <c r="P401" s="52"/>
      <c r="Q401" s="52"/>
      <c r="U401" s="52"/>
    </row>
    <row r="402">
      <c r="M402" s="52"/>
      <c r="N402" s="52"/>
      <c r="O402" s="52"/>
      <c r="P402" s="52"/>
      <c r="Q402" s="52"/>
      <c r="U402" s="52"/>
    </row>
    <row r="403">
      <c r="M403" s="52"/>
      <c r="N403" s="52"/>
      <c r="O403" s="52"/>
      <c r="P403" s="52"/>
      <c r="Q403" s="52"/>
      <c r="U403" s="52"/>
    </row>
    <row r="404">
      <c r="M404" s="52"/>
      <c r="N404" s="52"/>
      <c r="O404" s="52"/>
      <c r="P404" s="52"/>
      <c r="Q404" s="52"/>
      <c r="U404" s="52"/>
    </row>
    <row r="405">
      <c r="M405" s="52"/>
      <c r="N405" s="52"/>
      <c r="O405" s="52"/>
      <c r="P405" s="52"/>
      <c r="Q405" s="52"/>
      <c r="U405" s="52"/>
    </row>
    <row r="406">
      <c r="M406" s="52"/>
      <c r="N406" s="52"/>
      <c r="O406" s="52"/>
      <c r="P406" s="52"/>
      <c r="Q406" s="52"/>
      <c r="U406" s="52"/>
    </row>
    <row r="407">
      <c r="M407" s="52"/>
      <c r="N407" s="52"/>
      <c r="O407" s="52"/>
      <c r="P407" s="52"/>
      <c r="Q407" s="52"/>
      <c r="U407" s="52"/>
    </row>
    <row r="408">
      <c r="M408" s="52"/>
      <c r="N408" s="52"/>
      <c r="O408" s="52"/>
      <c r="P408" s="52"/>
      <c r="Q408" s="52"/>
      <c r="U408" s="52"/>
    </row>
    <row r="409">
      <c r="M409" s="52"/>
      <c r="N409" s="52"/>
      <c r="O409" s="52"/>
      <c r="P409" s="52"/>
      <c r="Q409" s="52"/>
      <c r="U409" s="52"/>
    </row>
    <row r="410">
      <c r="M410" s="52"/>
      <c r="N410" s="52"/>
      <c r="O410" s="52"/>
      <c r="P410" s="52"/>
      <c r="Q410" s="52"/>
      <c r="U410" s="52"/>
    </row>
    <row r="411">
      <c r="M411" s="52"/>
      <c r="N411" s="52"/>
      <c r="O411" s="52"/>
      <c r="P411" s="52"/>
      <c r="Q411" s="52"/>
      <c r="U411" s="52"/>
    </row>
    <row r="412">
      <c r="M412" s="52"/>
      <c r="N412" s="52"/>
      <c r="O412" s="52"/>
      <c r="P412" s="52"/>
      <c r="Q412" s="52"/>
      <c r="U412" s="52"/>
    </row>
    <row r="413">
      <c r="M413" s="52"/>
      <c r="N413" s="52"/>
      <c r="O413" s="52"/>
      <c r="P413" s="52"/>
      <c r="Q413" s="52"/>
      <c r="U413" s="52"/>
    </row>
    <row r="414">
      <c r="M414" s="52"/>
      <c r="N414" s="52"/>
      <c r="O414" s="52"/>
      <c r="P414" s="52"/>
      <c r="Q414" s="52"/>
      <c r="U414" s="52"/>
    </row>
    <row r="415">
      <c r="M415" s="52"/>
      <c r="N415" s="52"/>
      <c r="O415" s="52"/>
      <c r="P415" s="52"/>
      <c r="Q415" s="52"/>
      <c r="U415" s="52"/>
    </row>
    <row r="416">
      <c r="M416" s="52"/>
      <c r="N416" s="52"/>
      <c r="O416" s="52"/>
      <c r="P416" s="52"/>
      <c r="Q416" s="52"/>
      <c r="U416" s="52"/>
    </row>
    <row r="417">
      <c r="M417" s="52"/>
      <c r="N417" s="52"/>
      <c r="O417" s="52"/>
      <c r="P417" s="52"/>
      <c r="Q417" s="52"/>
      <c r="U417" s="52"/>
    </row>
    <row r="418">
      <c r="M418" s="52"/>
      <c r="N418" s="52"/>
      <c r="O418" s="52"/>
      <c r="P418" s="52"/>
      <c r="Q418" s="52"/>
      <c r="U418" s="52"/>
    </row>
    <row r="419">
      <c r="M419" s="52"/>
      <c r="N419" s="52"/>
      <c r="O419" s="52"/>
      <c r="P419" s="52"/>
      <c r="Q419" s="52"/>
      <c r="U419" s="52"/>
    </row>
    <row r="420">
      <c r="M420" s="52"/>
      <c r="N420" s="52"/>
      <c r="O420" s="52"/>
      <c r="P420" s="52"/>
      <c r="Q420" s="52"/>
      <c r="U420" s="52"/>
    </row>
    <row r="421">
      <c r="M421" s="52"/>
      <c r="N421" s="52"/>
      <c r="O421" s="52"/>
      <c r="P421" s="52"/>
      <c r="Q421" s="52"/>
      <c r="U421" s="52"/>
    </row>
    <row r="422">
      <c r="M422" s="52"/>
      <c r="N422" s="52"/>
      <c r="O422" s="52"/>
      <c r="P422" s="52"/>
      <c r="Q422" s="52"/>
      <c r="U422" s="52"/>
    </row>
    <row r="423">
      <c r="M423" s="52"/>
      <c r="N423" s="52"/>
      <c r="O423" s="52"/>
      <c r="P423" s="52"/>
      <c r="Q423" s="52"/>
      <c r="U423" s="52"/>
    </row>
    <row r="424">
      <c r="M424" s="52"/>
      <c r="N424" s="52"/>
      <c r="O424" s="52"/>
      <c r="P424" s="52"/>
      <c r="Q424" s="52"/>
      <c r="U424" s="52"/>
    </row>
    <row r="425">
      <c r="M425" s="52"/>
      <c r="N425" s="52"/>
      <c r="O425" s="52"/>
      <c r="P425" s="52"/>
      <c r="Q425" s="52"/>
      <c r="U425" s="52"/>
    </row>
    <row r="426">
      <c r="M426" s="52"/>
      <c r="N426" s="52"/>
      <c r="O426" s="52"/>
      <c r="P426" s="52"/>
      <c r="Q426" s="52"/>
      <c r="U426" s="52"/>
    </row>
    <row r="427">
      <c r="M427" s="52"/>
      <c r="N427" s="52"/>
      <c r="O427" s="52"/>
      <c r="P427" s="52"/>
      <c r="Q427" s="52"/>
      <c r="U427" s="52"/>
    </row>
    <row r="428">
      <c r="M428" s="52"/>
      <c r="N428" s="52"/>
      <c r="O428" s="52"/>
      <c r="P428" s="52"/>
      <c r="Q428" s="52"/>
      <c r="U428" s="52"/>
    </row>
    <row r="429">
      <c r="M429" s="52"/>
      <c r="N429" s="52"/>
      <c r="O429" s="52"/>
      <c r="P429" s="52"/>
      <c r="Q429" s="52"/>
      <c r="U429" s="52"/>
    </row>
    <row r="430">
      <c r="M430" s="52"/>
      <c r="N430" s="52"/>
      <c r="O430" s="52"/>
      <c r="P430" s="52"/>
      <c r="Q430" s="52"/>
      <c r="U430" s="52"/>
    </row>
    <row r="431">
      <c r="M431" s="52"/>
      <c r="N431" s="52"/>
      <c r="O431" s="52"/>
      <c r="P431" s="52"/>
      <c r="Q431" s="52"/>
      <c r="U431" s="52"/>
    </row>
    <row r="432">
      <c r="M432" s="52"/>
      <c r="N432" s="52"/>
      <c r="O432" s="52"/>
      <c r="P432" s="52"/>
      <c r="Q432" s="52"/>
      <c r="U432" s="52"/>
    </row>
    <row r="433">
      <c r="M433" s="52"/>
      <c r="N433" s="52"/>
      <c r="O433" s="52"/>
      <c r="P433" s="52"/>
      <c r="Q433" s="52"/>
      <c r="U433" s="52"/>
    </row>
    <row r="434">
      <c r="M434" s="52"/>
      <c r="N434" s="52"/>
      <c r="O434" s="52"/>
      <c r="P434" s="52"/>
      <c r="Q434" s="52"/>
      <c r="U434" s="52"/>
    </row>
    <row r="435">
      <c r="M435" s="52"/>
      <c r="N435" s="52"/>
      <c r="O435" s="52"/>
      <c r="P435" s="52"/>
      <c r="Q435" s="52"/>
      <c r="U435" s="52"/>
    </row>
    <row r="436">
      <c r="M436" s="52"/>
      <c r="N436" s="52"/>
      <c r="O436" s="52"/>
      <c r="P436" s="52"/>
      <c r="Q436" s="52"/>
      <c r="U436" s="52"/>
    </row>
    <row r="437">
      <c r="M437" s="52"/>
      <c r="N437" s="52"/>
      <c r="O437" s="52"/>
      <c r="P437" s="52"/>
      <c r="Q437" s="52"/>
      <c r="U437" s="52"/>
    </row>
    <row r="438">
      <c r="M438" s="52"/>
      <c r="N438" s="52"/>
      <c r="O438" s="52"/>
      <c r="P438" s="52"/>
      <c r="Q438" s="52"/>
      <c r="U438" s="52"/>
    </row>
    <row r="439">
      <c r="M439" s="52"/>
      <c r="N439" s="52"/>
      <c r="O439" s="52"/>
      <c r="P439" s="52"/>
      <c r="Q439" s="52"/>
      <c r="U439" s="52"/>
    </row>
    <row r="440">
      <c r="M440" s="52"/>
      <c r="N440" s="52"/>
      <c r="O440" s="52"/>
      <c r="P440" s="52"/>
      <c r="Q440" s="52"/>
      <c r="U440" s="52"/>
    </row>
    <row r="441">
      <c r="M441" s="52"/>
      <c r="N441" s="52"/>
      <c r="O441" s="52"/>
      <c r="P441" s="52"/>
      <c r="Q441" s="52"/>
      <c r="U441" s="52"/>
    </row>
    <row r="442">
      <c r="M442" s="52"/>
      <c r="N442" s="52"/>
      <c r="O442" s="52"/>
      <c r="P442" s="52"/>
      <c r="Q442" s="52"/>
      <c r="U442" s="52"/>
    </row>
    <row r="443">
      <c r="M443" s="52"/>
      <c r="N443" s="52"/>
      <c r="O443" s="52"/>
      <c r="P443" s="52"/>
      <c r="Q443" s="52"/>
      <c r="U443" s="52"/>
    </row>
    <row r="444">
      <c r="M444" s="52"/>
      <c r="N444" s="52"/>
      <c r="O444" s="52"/>
      <c r="P444" s="52"/>
      <c r="Q444" s="52"/>
      <c r="U444" s="52"/>
    </row>
    <row r="445">
      <c r="M445" s="52"/>
      <c r="N445" s="52"/>
      <c r="O445" s="52"/>
      <c r="P445" s="52"/>
      <c r="Q445" s="52"/>
      <c r="U445" s="52"/>
    </row>
    <row r="446">
      <c r="M446" s="52"/>
      <c r="N446" s="52"/>
      <c r="O446" s="52"/>
      <c r="P446" s="52"/>
      <c r="Q446" s="52"/>
      <c r="U446" s="52"/>
    </row>
    <row r="447">
      <c r="M447" s="52"/>
      <c r="N447" s="52"/>
      <c r="O447" s="52"/>
      <c r="P447" s="52"/>
      <c r="Q447" s="52"/>
      <c r="U447" s="52"/>
    </row>
    <row r="448">
      <c r="M448" s="52"/>
      <c r="N448" s="52"/>
      <c r="O448" s="52"/>
      <c r="P448" s="52"/>
      <c r="Q448" s="52"/>
      <c r="U448" s="52"/>
    </row>
    <row r="449">
      <c r="M449" s="52"/>
      <c r="N449" s="52"/>
      <c r="O449" s="52"/>
      <c r="P449" s="52"/>
      <c r="Q449" s="52"/>
      <c r="U449" s="52"/>
    </row>
    <row r="450">
      <c r="M450" s="52"/>
      <c r="N450" s="52"/>
      <c r="O450" s="52"/>
      <c r="P450" s="52"/>
      <c r="Q450" s="52"/>
      <c r="U450" s="52"/>
    </row>
    <row r="451">
      <c r="M451" s="52"/>
      <c r="N451" s="52"/>
      <c r="O451" s="52"/>
      <c r="P451" s="52"/>
      <c r="Q451" s="52"/>
      <c r="U451" s="52"/>
    </row>
    <row r="452">
      <c r="M452" s="52"/>
      <c r="N452" s="52"/>
      <c r="O452" s="52"/>
      <c r="P452" s="52"/>
      <c r="Q452" s="52"/>
      <c r="U452" s="52"/>
    </row>
    <row r="453">
      <c r="M453" s="52"/>
      <c r="N453" s="52"/>
      <c r="O453" s="52"/>
      <c r="P453" s="52"/>
      <c r="Q453" s="52"/>
      <c r="U453" s="52"/>
    </row>
    <row r="454">
      <c r="M454" s="52"/>
      <c r="N454" s="52"/>
      <c r="O454" s="52"/>
      <c r="P454" s="52"/>
      <c r="Q454" s="52"/>
      <c r="U454" s="52"/>
    </row>
    <row r="455">
      <c r="M455" s="52"/>
      <c r="N455" s="52"/>
      <c r="O455" s="52"/>
      <c r="P455" s="52"/>
      <c r="Q455" s="52"/>
      <c r="U455" s="52"/>
    </row>
    <row r="456">
      <c r="M456" s="52"/>
      <c r="N456" s="52"/>
      <c r="O456" s="52"/>
      <c r="P456" s="52"/>
      <c r="Q456" s="52"/>
      <c r="U456" s="52"/>
    </row>
    <row r="457">
      <c r="M457" s="52"/>
      <c r="N457" s="52"/>
      <c r="O457" s="52"/>
      <c r="P457" s="52"/>
      <c r="Q457" s="52"/>
      <c r="U457" s="52"/>
    </row>
    <row r="458">
      <c r="M458" s="52"/>
      <c r="N458" s="52"/>
      <c r="O458" s="52"/>
      <c r="P458" s="52"/>
      <c r="Q458" s="52"/>
      <c r="U458" s="52"/>
    </row>
    <row r="459">
      <c r="M459" s="52"/>
      <c r="N459" s="52"/>
      <c r="O459" s="52"/>
      <c r="P459" s="52"/>
      <c r="Q459" s="52"/>
      <c r="U459" s="52"/>
    </row>
    <row r="460">
      <c r="M460" s="52"/>
      <c r="N460" s="52"/>
      <c r="O460" s="52"/>
      <c r="P460" s="52"/>
      <c r="Q460" s="52"/>
      <c r="U460" s="52"/>
    </row>
    <row r="461">
      <c r="M461" s="52"/>
      <c r="N461" s="52"/>
      <c r="O461" s="52"/>
      <c r="P461" s="52"/>
      <c r="Q461" s="52"/>
      <c r="U461" s="52"/>
    </row>
    <row r="462">
      <c r="M462" s="52"/>
      <c r="N462" s="52"/>
      <c r="O462" s="52"/>
      <c r="P462" s="52"/>
      <c r="Q462" s="52"/>
      <c r="U462" s="52"/>
    </row>
    <row r="463">
      <c r="M463" s="52"/>
      <c r="N463" s="52"/>
      <c r="O463" s="52"/>
      <c r="P463" s="52"/>
      <c r="Q463" s="52"/>
      <c r="U463" s="52"/>
    </row>
    <row r="464">
      <c r="M464" s="52"/>
      <c r="N464" s="52"/>
      <c r="O464" s="52"/>
      <c r="P464" s="52"/>
      <c r="Q464" s="52"/>
      <c r="U464" s="52"/>
    </row>
    <row r="465">
      <c r="M465" s="52"/>
      <c r="N465" s="52"/>
      <c r="O465" s="52"/>
      <c r="P465" s="52"/>
      <c r="Q465" s="52"/>
      <c r="U465" s="52"/>
    </row>
    <row r="466">
      <c r="M466" s="52"/>
      <c r="N466" s="52"/>
      <c r="O466" s="52"/>
      <c r="P466" s="52"/>
      <c r="Q466" s="52"/>
      <c r="U466" s="52"/>
    </row>
    <row r="467">
      <c r="M467" s="52"/>
      <c r="N467" s="52"/>
      <c r="O467" s="52"/>
      <c r="P467" s="52"/>
      <c r="Q467" s="52"/>
      <c r="U467" s="52"/>
    </row>
    <row r="468">
      <c r="M468" s="52"/>
      <c r="N468" s="52"/>
      <c r="O468" s="52"/>
      <c r="P468" s="52"/>
      <c r="Q468" s="52"/>
      <c r="U468" s="52"/>
    </row>
    <row r="469">
      <c r="M469" s="52"/>
      <c r="N469" s="52"/>
      <c r="O469" s="52"/>
      <c r="P469" s="52"/>
      <c r="Q469" s="52"/>
      <c r="U469" s="52"/>
    </row>
    <row r="470">
      <c r="M470" s="52"/>
      <c r="N470" s="52"/>
      <c r="O470" s="52"/>
      <c r="P470" s="52"/>
      <c r="Q470" s="52"/>
      <c r="U470" s="52"/>
    </row>
    <row r="471">
      <c r="M471" s="52"/>
      <c r="N471" s="52"/>
      <c r="O471" s="52"/>
      <c r="P471" s="52"/>
      <c r="Q471" s="52"/>
      <c r="U471" s="52"/>
    </row>
    <row r="472">
      <c r="M472" s="52"/>
      <c r="N472" s="52"/>
      <c r="O472" s="52"/>
      <c r="P472" s="52"/>
      <c r="Q472" s="52"/>
      <c r="U472" s="52"/>
    </row>
    <row r="473">
      <c r="M473" s="52"/>
      <c r="N473" s="52"/>
      <c r="O473" s="52"/>
      <c r="P473" s="52"/>
      <c r="Q473" s="52"/>
      <c r="U473" s="52"/>
    </row>
    <row r="474">
      <c r="M474" s="52"/>
      <c r="N474" s="52"/>
      <c r="O474" s="52"/>
      <c r="P474" s="52"/>
      <c r="Q474" s="52"/>
      <c r="U474" s="52"/>
    </row>
    <row r="475">
      <c r="M475" s="52"/>
      <c r="N475" s="52"/>
      <c r="O475" s="52"/>
      <c r="P475" s="52"/>
      <c r="Q475" s="52"/>
      <c r="U475" s="52"/>
    </row>
    <row r="476">
      <c r="M476" s="52"/>
      <c r="N476" s="52"/>
      <c r="O476" s="52"/>
      <c r="P476" s="52"/>
      <c r="Q476" s="52"/>
      <c r="U476" s="52"/>
    </row>
    <row r="477">
      <c r="M477" s="52"/>
      <c r="N477" s="52"/>
      <c r="O477" s="52"/>
      <c r="P477" s="52"/>
      <c r="Q477" s="52"/>
      <c r="U477" s="52"/>
    </row>
    <row r="478">
      <c r="M478" s="52"/>
      <c r="N478" s="52"/>
      <c r="O478" s="52"/>
      <c r="P478" s="52"/>
      <c r="Q478" s="52"/>
      <c r="U478" s="52"/>
    </row>
    <row r="479">
      <c r="M479" s="52"/>
      <c r="N479" s="52"/>
      <c r="O479" s="52"/>
      <c r="P479" s="52"/>
      <c r="Q479" s="52"/>
      <c r="U479" s="52"/>
    </row>
    <row r="480">
      <c r="M480" s="52"/>
      <c r="N480" s="52"/>
      <c r="O480" s="52"/>
      <c r="P480" s="52"/>
      <c r="Q480" s="52"/>
      <c r="U480" s="52"/>
    </row>
    <row r="481">
      <c r="M481" s="52"/>
      <c r="N481" s="52"/>
      <c r="O481" s="52"/>
      <c r="P481" s="52"/>
      <c r="Q481" s="52"/>
      <c r="U481" s="52"/>
    </row>
    <row r="482">
      <c r="M482" s="52"/>
      <c r="N482" s="52"/>
      <c r="O482" s="52"/>
      <c r="P482" s="52"/>
      <c r="Q482" s="52"/>
      <c r="U482" s="52"/>
    </row>
    <row r="483">
      <c r="M483" s="52"/>
      <c r="N483" s="52"/>
      <c r="O483" s="52"/>
      <c r="P483" s="52"/>
      <c r="Q483" s="52"/>
      <c r="U483" s="52"/>
    </row>
    <row r="484">
      <c r="M484" s="52"/>
      <c r="N484" s="52"/>
      <c r="O484" s="52"/>
      <c r="P484" s="52"/>
      <c r="Q484" s="52"/>
      <c r="U484" s="52"/>
    </row>
    <row r="485">
      <c r="M485" s="52"/>
      <c r="N485" s="52"/>
      <c r="O485" s="52"/>
      <c r="P485" s="52"/>
      <c r="Q485" s="52"/>
      <c r="U485" s="52"/>
    </row>
    <row r="486">
      <c r="M486" s="52"/>
      <c r="N486" s="52"/>
      <c r="O486" s="52"/>
      <c r="P486" s="52"/>
      <c r="Q486" s="52"/>
      <c r="U486" s="52"/>
    </row>
    <row r="487">
      <c r="M487" s="52"/>
      <c r="N487" s="52"/>
      <c r="O487" s="52"/>
      <c r="P487" s="52"/>
      <c r="Q487" s="52"/>
      <c r="U487" s="52"/>
    </row>
    <row r="488">
      <c r="M488" s="52"/>
      <c r="N488" s="52"/>
      <c r="O488" s="52"/>
      <c r="P488" s="52"/>
      <c r="Q488" s="52"/>
      <c r="U488" s="52"/>
    </row>
    <row r="489">
      <c r="M489" s="52"/>
      <c r="N489" s="52"/>
      <c r="O489" s="52"/>
      <c r="P489" s="52"/>
      <c r="Q489" s="52"/>
      <c r="U489" s="52"/>
    </row>
    <row r="490">
      <c r="M490" s="52"/>
      <c r="N490" s="52"/>
      <c r="O490" s="52"/>
      <c r="P490" s="52"/>
      <c r="Q490" s="52"/>
      <c r="U490" s="52"/>
    </row>
    <row r="491">
      <c r="M491" s="52"/>
      <c r="N491" s="52"/>
      <c r="O491" s="52"/>
      <c r="P491" s="52"/>
      <c r="Q491" s="52"/>
      <c r="U491" s="52"/>
    </row>
    <row r="492">
      <c r="M492" s="52"/>
      <c r="N492" s="52"/>
      <c r="O492" s="52"/>
      <c r="P492" s="52"/>
      <c r="Q492" s="52"/>
      <c r="U492" s="52"/>
    </row>
    <row r="493">
      <c r="M493" s="52"/>
      <c r="N493" s="52"/>
      <c r="O493" s="52"/>
      <c r="P493" s="52"/>
      <c r="Q493" s="52"/>
      <c r="U493" s="52"/>
    </row>
    <row r="494">
      <c r="M494" s="52"/>
      <c r="N494" s="52"/>
      <c r="O494" s="52"/>
      <c r="P494" s="52"/>
      <c r="Q494" s="52"/>
      <c r="U494" s="52"/>
    </row>
    <row r="495">
      <c r="M495" s="52"/>
      <c r="N495" s="52"/>
      <c r="O495" s="52"/>
      <c r="P495" s="52"/>
      <c r="Q495" s="52"/>
      <c r="U495" s="52"/>
    </row>
    <row r="496">
      <c r="M496" s="52"/>
      <c r="N496" s="52"/>
      <c r="O496" s="52"/>
      <c r="P496" s="52"/>
      <c r="Q496" s="52"/>
      <c r="U496" s="52"/>
    </row>
    <row r="497">
      <c r="M497" s="52"/>
      <c r="N497" s="52"/>
      <c r="O497" s="52"/>
      <c r="P497" s="52"/>
      <c r="Q497" s="52"/>
      <c r="U497" s="52"/>
    </row>
    <row r="498">
      <c r="M498" s="52"/>
      <c r="N498" s="52"/>
      <c r="O498" s="52"/>
      <c r="P498" s="52"/>
      <c r="Q498" s="52"/>
      <c r="U498" s="52"/>
    </row>
    <row r="499">
      <c r="M499" s="52"/>
      <c r="N499" s="52"/>
      <c r="O499" s="52"/>
      <c r="P499" s="52"/>
      <c r="Q499" s="52"/>
      <c r="U499" s="52"/>
    </row>
    <row r="500">
      <c r="M500" s="52"/>
      <c r="N500" s="52"/>
      <c r="O500" s="52"/>
      <c r="P500" s="52"/>
      <c r="Q500" s="52"/>
      <c r="U500" s="52"/>
    </row>
    <row r="501">
      <c r="M501" s="52"/>
      <c r="N501" s="52"/>
      <c r="O501" s="52"/>
      <c r="P501" s="52"/>
      <c r="Q501" s="52"/>
      <c r="U501" s="52"/>
    </row>
    <row r="502">
      <c r="M502" s="52"/>
      <c r="N502" s="52"/>
      <c r="O502" s="52"/>
      <c r="P502" s="52"/>
      <c r="Q502" s="52"/>
      <c r="U502" s="52"/>
    </row>
    <row r="503">
      <c r="M503" s="52"/>
      <c r="N503" s="52"/>
      <c r="O503" s="52"/>
      <c r="P503" s="52"/>
      <c r="Q503" s="52"/>
      <c r="U503" s="52"/>
    </row>
    <row r="504">
      <c r="M504" s="52"/>
      <c r="N504" s="52"/>
      <c r="O504" s="52"/>
      <c r="P504" s="52"/>
      <c r="Q504" s="52"/>
      <c r="U504" s="52"/>
    </row>
    <row r="505">
      <c r="M505" s="52"/>
      <c r="N505" s="52"/>
      <c r="O505" s="52"/>
      <c r="P505" s="52"/>
      <c r="Q505" s="52"/>
      <c r="U505" s="52"/>
    </row>
    <row r="506">
      <c r="M506" s="52"/>
      <c r="N506" s="52"/>
      <c r="O506" s="52"/>
      <c r="P506" s="52"/>
      <c r="Q506" s="52"/>
      <c r="U506" s="52"/>
    </row>
    <row r="507">
      <c r="M507" s="52"/>
      <c r="N507" s="52"/>
      <c r="O507" s="52"/>
      <c r="P507" s="52"/>
      <c r="Q507" s="52"/>
      <c r="U507" s="52"/>
    </row>
    <row r="508">
      <c r="M508" s="52"/>
      <c r="N508" s="52"/>
      <c r="O508" s="52"/>
      <c r="P508" s="52"/>
      <c r="Q508" s="52"/>
      <c r="U508" s="52"/>
    </row>
    <row r="509">
      <c r="M509" s="52"/>
      <c r="N509" s="52"/>
      <c r="O509" s="52"/>
      <c r="P509" s="52"/>
      <c r="Q509" s="52"/>
      <c r="U509" s="52"/>
    </row>
    <row r="510">
      <c r="M510" s="52"/>
      <c r="N510" s="52"/>
      <c r="O510" s="52"/>
      <c r="P510" s="52"/>
      <c r="Q510" s="52"/>
      <c r="U510" s="52"/>
    </row>
    <row r="511">
      <c r="M511" s="52"/>
      <c r="N511" s="52"/>
      <c r="O511" s="52"/>
      <c r="P511" s="52"/>
      <c r="Q511" s="52"/>
      <c r="U511" s="52"/>
    </row>
    <row r="512">
      <c r="M512" s="52"/>
      <c r="N512" s="52"/>
      <c r="O512" s="52"/>
      <c r="P512" s="52"/>
      <c r="Q512" s="52"/>
      <c r="U512" s="52"/>
    </row>
    <row r="513">
      <c r="M513" s="52"/>
      <c r="N513" s="52"/>
      <c r="O513" s="52"/>
      <c r="P513" s="52"/>
      <c r="Q513" s="52"/>
      <c r="U513" s="52"/>
    </row>
    <row r="514">
      <c r="M514" s="52"/>
      <c r="N514" s="52"/>
      <c r="O514" s="52"/>
      <c r="P514" s="52"/>
      <c r="Q514" s="52"/>
      <c r="U514" s="52"/>
    </row>
    <row r="515">
      <c r="M515" s="52"/>
      <c r="N515" s="52"/>
      <c r="O515" s="52"/>
      <c r="P515" s="52"/>
      <c r="Q515" s="52"/>
      <c r="U515" s="52"/>
    </row>
    <row r="516">
      <c r="M516" s="52"/>
      <c r="N516" s="52"/>
      <c r="O516" s="52"/>
      <c r="P516" s="52"/>
      <c r="Q516" s="52"/>
      <c r="U516" s="52"/>
    </row>
    <row r="517">
      <c r="M517" s="52"/>
      <c r="N517" s="52"/>
      <c r="O517" s="52"/>
      <c r="P517" s="52"/>
      <c r="Q517" s="52"/>
      <c r="U517" s="52"/>
    </row>
    <row r="518">
      <c r="M518" s="52"/>
      <c r="N518" s="52"/>
      <c r="O518" s="52"/>
      <c r="P518" s="52"/>
      <c r="Q518" s="52"/>
      <c r="U518" s="52"/>
    </row>
    <row r="519">
      <c r="M519" s="52"/>
      <c r="N519" s="52"/>
      <c r="O519" s="52"/>
      <c r="P519" s="52"/>
      <c r="Q519" s="52"/>
      <c r="U519" s="52"/>
    </row>
    <row r="520">
      <c r="M520" s="52"/>
      <c r="N520" s="52"/>
      <c r="O520" s="52"/>
      <c r="P520" s="52"/>
      <c r="Q520" s="52"/>
      <c r="U520" s="52"/>
    </row>
    <row r="521">
      <c r="M521" s="52"/>
      <c r="N521" s="52"/>
      <c r="O521" s="52"/>
      <c r="P521" s="52"/>
      <c r="Q521" s="52"/>
      <c r="U521" s="52"/>
    </row>
    <row r="522">
      <c r="M522" s="52"/>
      <c r="N522" s="52"/>
      <c r="O522" s="52"/>
      <c r="P522" s="52"/>
      <c r="Q522" s="52"/>
      <c r="U522" s="52"/>
    </row>
    <row r="523">
      <c r="M523" s="52"/>
      <c r="N523" s="52"/>
      <c r="O523" s="52"/>
      <c r="P523" s="52"/>
      <c r="Q523" s="52"/>
      <c r="U523" s="52"/>
    </row>
    <row r="524">
      <c r="M524" s="52"/>
      <c r="N524" s="52"/>
      <c r="O524" s="52"/>
      <c r="P524" s="52"/>
      <c r="Q524" s="52"/>
      <c r="U524" s="52"/>
    </row>
    <row r="525">
      <c r="M525" s="52"/>
      <c r="N525" s="52"/>
      <c r="O525" s="52"/>
      <c r="P525" s="52"/>
      <c r="Q525" s="52"/>
      <c r="U525" s="52"/>
    </row>
    <row r="526">
      <c r="M526" s="52"/>
      <c r="N526" s="52"/>
      <c r="O526" s="52"/>
      <c r="P526" s="52"/>
      <c r="Q526" s="52"/>
      <c r="U526" s="52"/>
    </row>
    <row r="527">
      <c r="M527" s="52"/>
      <c r="N527" s="52"/>
      <c r="O527" s="52"/>
      <c r="P527" s="52"/>
      <c r="Q527" s="52"/>
      <c r="U527" s="52"/>
    </row>
    <row r="528">
      <c r="M528" s="52"/>
      <c r="N528" s="52"/>
      <c r="O528" s="52"/>
      <c r="P528" s="52"/>
      <c r="Q528" s="52"/>
      <c r="U528" s="52"/>
    </row>
    <row r="529">
      <c r="M529" s="52"/>
      <c r="N529" s="52"/>
      <c r="O529" s="52"/>
      <c r="P529" s="52"/>
      <c r="Q529" s="52"/>
      <c r="U529" s="52"/>
    </row>
    <row r="530">
      <c r="M530" s="52"/>
      <c r="N530" s="52"/>
      <c r="O530" s="52"/>
      <c r="P530" s="52"/>
      <c r="Q530" s="52"/>
      <c r="U530" s="52"/>
    </row>
    <row r="531">
      <c r="M531" s="52"/>
      <c r="N531" s="52"/>
      <c r="O531" s="52"/>
      <c r="P531" s="52"/>
      <c r="Q531" s="52"/>
      <c r="U531" s="52"/>
    </row>
    <row r="532">
      <c r="M532" s="52"/>
      <c r="N532" s="52"/>
      <c r="O532" s="52"/>
      <c r="P532" s="52"/>
      <c r="Q532" s="52"/>
      <c r="U532" s="52"/>
    </row>
    <row r="533">
      <c r="M533" s="52"/>
      <c r="N533" s="52"/>
      <c r="O533" s="52"/>
      <c r="P533" s="52"/>
      <c r="Q533" s="52"/>
      <c r="U533" s="52"/>
    </row>
    <row r="534">
      <c r="M534" s="52"/>
      <c r="N534" s="52"/>
      <c r="O534" s="52"/>
      <c r="P534" s="52"/>
      <c r="Q534" s="52"/>
      <c r="U534" s="52"/>
    </row>
    <row r="535">
      <c r="M535" s="52"/>
      <c r="N535" s="52"/>
      <c r="O535" s="52"/>
      <c r="P535" s="52"/>
      <c r="Q535" s="52"/>
      <c r="U535" s="52"/>
    </row>
    <row r="536">
      <c r="M536" s="52"/>
      <c r="N536" s="52"/>
      <c r="O536" s="52"/>
      <c r="P536" s="52"/>
      <c r="Q536" s="52"/>
      <c r="U536" s="52"/>
    </row>
    <row r="537">
      <c r="M537" s="52"/>
      <c r="N537" s="52"/>
      <c r="O537" s="52"/>
      <c r="P537" s="52"/>
      <c r="Q537" s="52"/>
      <c r="U537" s="52"/>
    </row>
    <row r="538">
      <c r="M538" s="52"/>
      <c r="N538" s="52"/>
      <c r="O538" s="52"/>
      <c r="P538" s="52"/>
      <c r="Q538" s="52"/>
      <c r="U538" s="52"/>
    </row>
    <row r="539">
      <c r="M539" s="52"/>
      <c r="N539" s="52"/>
      <c r="O539" s="52"/>
      <c r="P539" s="52"/>
      <c r="Q539" s="52"/>
      <c r="U539" s="52"/>
    </row>
    <row r="540">
      <c r="M540" s="52"/>
      <c r="N540" s="52"/>
      <c r="O540" s="52"/>
      <c r="P540" s="52"/>
      <c r="Q540" s="52"/>
      <c r="U540" s="52"/>
    </row>
    <row r="541">
      <c r="M541" s="52"/>
      <c r="N541" s="52"/>
      <c r="O541" s="52"/>
      <c r="P541" s="52"/>
      <c r="Q541" s="52"/>
      <c r="U541" s="52"/>
    </row>
    <row r="542">
      <c r="M542" s="52"/>
      <c r="N542" s="52"/>
      <c r="O542" s="52"/>
      <c r="P542" s="52"/>
      <c r="Q542" s="52"/>
      <c r="U542" s="52"/>
    </row>
    <row r="543">
      <c r="M543" s="52"/>
      <c r="N543" s="52"/>
      <c r="O543" s="52"/>
      <c r="P543" s="52"/>
      <c r="Q543" s="52"/>
      <c r="U543" s="52"/>
    </row>
    <row r="544">
      <c r="M544" s="52"/>
      <c r="N544" s="52"/>
      <c r="O544" s="52"/>
      <c r="P544" s="52"/>
      <c r="Q544" s="52"/>
      <c r="U544" s="52"/>
    </row>
    <row r="545">
      <c r="M545" s="52"/>
      <c r="N545" s="52"/>
      <c r="O545" s="52"/>
      <c r="P545" s="52"/>
      <c r="Q545" s="52"/>
      <c r="U545" s="52"/>
    </row>
    <row r="546">
      <c r="M546" s="52"/>
      <c r="N546" s="52"/>
      <c r="O546" s="52"/>
      <c r="P546" s="52"/>
      <c r="Q546" s="52"/>
      <c r="U546" s="52"/>
    </row>
    <row r="547">
      <c r="M547" s="52"/>
      <c r="N547" s="52"/>
      <c r="O547" s="52"/>
      <c r="P547" s="52"/>
      <c r="Q547" s="52"/>
      <c r="U547" s="52"/>
    </row>
    <row r="548">
      <c r="M548" s="52"/>
      <c r="N548" s="52"/>
      <c r="O548" s="52"/>
      <c r="P548" s="52"/>
      <c r="Q548" s="52"/>
      <c r="U548" s="52"/>
    </row>
    <row r="549">
      <c r="M549" s="52"/>
      <c r="N549" s="52"/>
      <c r="O549" s="52"/>
      <c r="P549" s="52"/>
      <c r="Q549" s="52"/>
      <c r="U549" s="52"/>
    </row>
    <row r="550">
      <c r="M550" s="52"/>
      <c r="N550" s="52"/>
      <c r="O550" s="52"/>
      <c r="P550" s="52"/>
      <c r="Q550" s="52"/>
      <c r="U550" s="52"/>
    </row>
    <row r="551">
      <c r="M551" s="52"/>
      <c r="N551" s="52"/>
      <c r="O551" s="52"/>
      <c r="P551" s="52"/>
      <c r="Q551" s="52"/>
      <c r="U551" s="52"/>
    </row>
    <row r="552">
      <c r="M552" s="52"/>
      <c r="N552" s="52"/>
      <c r="O552" s="52"/>
      <c r="P552" s="52"/>
      <c r="Q552" s="52"/>
      <c r="U552" s="52"/>
    </row>
    <row r="553">
      <c r="M553" s="52"/>
      <c r="N553" s="52"/>
      <c r="O553" s="52"/>
      <c r="P553" s="52"/>
      <c r="Q553" s="52"/>
      <c r="U553" s="52"/>
    </row>
    <row r="554">
      <c r="M554" s="52"/>
      <c r="N554" s="52"/>
      <c r="O554" s="52"/>
      <c r="P554" s="52"/>
      <c r="Q554" s="52"/>
      <c r="U554" s="52"/>
    </row>
    <row r="555">
      <c r="M555" s="52"/>
      <c r="N555" s="52"/>
      <c r="O555" s="52"/>
      <c r="P555" s="52"/>
      <c r="Q555" s="52"/>
      <c r="U555" s="52"/>
    </row>
    <row r="556">
      <c r="M556" s="52"/>
      <c r="N556" s="52"/>
      <c r="O556" s="52"/>
      <c r="P556" s="52"/>
      <c r="Q556" s="52"/>
      <c r="U556" s="52"/>
    </row>
    <row r="557">
      <c r="M557" s="52"/>
      <c r="N557" s="52"/>
      <c r="O557" s="52"/>
      <c r="P557" s="52"/>
      <c r="Q557" s="52"/>
      <c r="U557" s="52"/>
    </row>
    <row r="558">
      <c r="M558" s="52"/>
      <c r="N558" s="52"/>
      <c r="O558" s="52"/>
      <c r="P558" s="52"/>
      <c r="Q558" s="52"/>
      <c r="U558" s="52"/>
    </row>
    <row r="559">
      <c r="M559" s="52"/>
      <c r="N559" s="52"/>
      <c r="O559" s="52"/>
      <c r="P559" s="52"/>
      <c r="Q559" s="52"/>
      <c r="U559" s="52"/>
    </row>
    <row r="560">
      <c r="M560" s="52"/>
      <c r="N560" s="52"/>
      <c r="O560" s="52"/>
      <c r="P560" s="52"/>
      <c r="Q560" s="52"/>
      <c r="U560" s="52"/>
    </row>
    <row r="561">
      <c r="M561" s="52"/>
      <c r="N561" s="52"/>
      <c r="O561" s="52"/>
      <c r="P561" s="52"/>
      <c r="Q561" s="52"/>
      <c r="U561" s="52"/>
    </row>
    <row r="562">
      <c r="M562" s="52"/>
      <c r="N562" s="52"/>
      <c r="O562" s="52"/>
      <c r="P562" s="52"/>
      <c r="Q562" s="52"/>
      <c r="U562" s="52"/>
    </row>
    <row r="563">
      <c r="M563" s="52"/>
      <c r="N563" s="52"/>
      <c r="O563" s="52"/>
      <c r="P563" s="52"/>
      <c r="Q563" s="52"/>
      <c r="U563" s="52"/>
    </row>
    <row r="564">
      <c r="M564" s="52"/>
      <c r="N564" s="52"/>
      <c r="O564" s="52"/>
      <c r="P564" s="52"/>
      <c r="Q564" s="52"/>
      <c r="U564" s="52"/>
    </row>
    <row r="565">
      <c r="M565" s="52"/>
      <c r="N565" s="52"/>
      <c r="O565" s="52"/>
      <c r="P565" s="52"/>
      <c r="Q565" s="52"/>
      <c r="U565" s="52"/>
    </row>
    <row r="566">
      <c r="M566" s="52"/>
      <c r="N566" s="52"/>
      <c r="O566" s="52"/>
      <c r="P566" s="52"/>
      <c r="Q566" s="52"/>
      <c r="U566" s="52"/>
    </row>
    <row r="567">
      <c r="M567" s="52"/>
      <c r="N567" s="52"/>
      <c r="O567" s="52"/>
      <c r="P567" s="52"/>
      <c r="Q567" s="52"/>
      <c r="U567" s="52"/>
    </row>
    <row r="568">
      <c r="M568" s="52"/>
      <c r="N568" s="52"/>
      <c r="O568" s="52"/>
      <c r="P568" s="52"/>
      <c r="Q568" s="52"/>
      <c r="U568" s="52"/>
    </row>
    <row r="569">
      <c r="M569" s="52"/>
      <c r="N569" s="52"/>
      <c r="O569" s="52"/>
      <c r="P569" s="52"/>
      <c r="Q569" s="52"/>
      <c r="U569" s="52"/>
    </row>
    <row r="570">
      <c r="M570" s="52"/>
      <c r="N570" s="52"/>
      <c r="O570" s="52"/>
      <c r="P570" s="52"/>
      <c r="Q570" s="52"/>
      <c r="U570" s="52"/>
    </row>
    <row r="571">
      <c r="M571" s="52"/>
      <c r="N571" s="52"/>
      <c r="O571" s="52"/>
      <c r="P571" s="52"/>
      <c r="Q571" s="52"/>
      <c r="U571" s="52"/>
    </row>
    <row r="572">
      <c r="M572" s="52"/>
      <c r="N572" s="52"/>
      <c r="O572" s="52"/>
      <c r="P572" s="52"/>
      <c r="Q572" s="52"/>
      <c r="U572" s="52"/>
    </row>
    <row r="573">
      <c r="M573" s="52"/>
      <c r="N573" s="52"/>
      <c r="O573" s="52"/>
      <c r="P573" s="52"/>
      <c r="Q573" s="52"/>
      <c r="U573" s="52"/>
    </row>
    <row r="574">
      <c r="M574" s="52"/>
      <c r="N574" s="52"/>
      <c r="O574" s="52"/>
      <c r="P574" s="52"/>
      <c r="Q574" s="52"/>
      <c r="U574" s="52"/>
    </row>
    <row r="575">
      <c r="M575" s="52"/>
      <c r="N575" s="52"/>
      <c r="O575" s="52"/>
      <c r="P575" s="52"/>
      <c r="Q575" s="52"/>
      <c r="U575" s="52"/>
    </row>
    <row r="576">
      <c r="M576" s="52"/>
      <c r="N576" s="52"/>
      <c r="O576" s="52"/>
      <c r="P576" s="52"/>
      <c r="Q576" s="52"/>
      <c r="U576" s="52"/>
    </row>
    <row r="577">
      <c r="M577" s="52"/>
      <c r="N577" s="52"/>
      <c r="O577" s="52"/>
      <c r="P577" s="52"/>
      <c r="Q577" s="52"/>
      <c r="U577" s="52"/>
    </row>
    <row r="578">
      <c r="M578" s="52"/>
      <c r="N578" s="52"/>
      <c r="O578" s="52"/>
      <c r="P578" s="52"/>
      <c r="Q578" s="52"/>
      <c r="U578" s="52"/>
    </row>
    <row r="579">
      <c r="M579" s="52"/>
      <c r="N579" s="52"/>
      <c r="O579" s="52"/>
      <c r="P579" s="52"/>
      <c r="Q579" s="52"/>
      <c r="U579" s="52"/>
    </row>
    <row r="580">
      <c r="M580" s="52"/>
      <c r="N580" s="52"/>
      <c r="O580" s="52"/>
      <c r="P580" s="52"/>
      <c r="Q580" s="52"/>
      <c r="U580" s="52"/>
    </row>
    <row r="581">
      <c r="M581" s="52"/>
      <c r="N581" s="52"/>
      <c r="O581" s="52"/>
      <c r="P581" s="52"/>
      <c r="Q581" s="52"/>
      <c r="U581" s="52"/>
    </row>
    <row r="582">
      <c r="M582" s="52"/>
      <c r="N582" s="52"/>
      <c r="O582" s="52"/>
      <c r="P582" s="52"/>
      <c r="Q582" s="52"/>
      <c r="U582" s="52"/>
    </row>
    <row r="583">
      <c r="M583" s="52"/>
      <c r="N583" s="52"/>
      <c r="O583" s="52"/>
      <c r="P583" s="52"/>
      <c r="Q583" s="52"/>
      <c r="U583" s="52"/>
    </row>
    <row r="584">
      <c r="M584" s="52"/>
      <c r="N584" s="52"/>
      <c r="O584" s="52"/>
      <c r="P584" s="52"/>
      <c r="Q584" s="52"/>
      <c r="U584" s="52"/>
    </row>
    <row r="585">
      <c r="M585" s="52"/>
      <c r="N585" s="52"/>
      <c r="O585" s="52"/>
      <c r="P585" s="52"/>
      <c r="Q585" s="52"/>
      <c r="U585" s="52"/>
    </row>
    <row r="586">
      <c r="M586" s="52"/>
      <c r="N586" s="52"/>
      <c r="O586" s="52"/>
      <c r="P586" s="52"/>
      <c r="Q586" s="52"/>
      <c r="U586" s="52"/>
    </row>
    <row r="587">
      <c r="M587" s="52"/>
      <c r="N587" s="52"/>
      <c r="O587" s="52"/>
      <c r="P587" s="52"/>
      <c r="Q587" s="52"/>
      <c r="U587" s="52"/>
    </row>
    <row r="588">
      <c r="M588" s="52"/>
      <c r="N588" s="52"/>
      <c r="O588" s="52"/>
      <c r="P588" s="52"/>
      <c r="Q588" s="52"/>
      <c r="U588" s="52"/>
    </row>
    <row r="589">
      <c r="M589" s="52"/>
      <c r="N589" s="52"/>
      <c r="O589" s="52"/>
      <c r="P589" s="52"/>
      <c r="Q589" s="52"/>
      <c r="U589" s="52"/>
    </row>
    <row r="590">
      <c r="M590" s="52"/>
      <c r="N590" s="52"/>
      <c r="O590" s="52"/>
      <c r="P590" s="52"/>
      <c r="Q590" s="52"/>
      <c r="U590" s="52"/>
    </row>
    <row r="591">
      <c r="M591" s="52"/>
      <c r="N591" s="52"/>
      <c r="O591" s="52"/>
      <c r="P591" s="52"/>
      <c r="Q591" s="52"/>
      <c r="U591" s="52"/>
    </row>
    <row r="592">
      <c r="M592" s="52"/>
      <c r="N592" s="52"/>
      <c r="O592" s="52"/>
      <c r="P592" s="52"/>
      <c r="Q592" s="52"/>
      <c r="U592" s="52"/>
    </row>
    <row r="593">
      <c r="M593" s="52"/>
      <c r="N593" s="52"/>
      <c r="O593" s="52"/>
      <c r="P593" s="52"/>
      <c r="Q593" s="52"/>
      <c r="U593" s="52"/>
    </row>
    <row r="594">
      <c r="M594" s="52"/>
      <c r="N594" s="52"/>
      <c r="O594" s="52"/>
      <c r="P594" s="52"/>
      <c r="Q594" s="52"/>
      <c r="U594" s="52"/>
    </row>
    <row r="595">
      <c r="M595" s="52"/>
      <c r="N595" s="52"/>
      <c r="O595" s="52"/>
      <c r="P595" s="52"/>
      <c r="Q595" s="52"/>
      <c r="U595" s="52"/>
    </row>
    <row r="596">
      <c r="M596" s="52"/>
      <c r="N596" s="52"/>
      <c r="O596" s="52"/>
      <c r="P596" s="52"/>
      <c r="Q596" s="52"/>
      <c r="U596" s="52"/>
    </row>
    <row r="597">
      <c r="M597" s="52"/>
      <c r="N597" s="52"/>
      <c r="O597" s="52"/>
      <c r="P597" s="52"/>
      <c r="Q597" s="52"/>
      <c r="U597" s="52"/>
    </row>
    <row r="598">
      <c r="M598" s="52"/>
      <c r="N598" s="52"/>
      <c r="O598" s="52"/>
      <c r="P598" s="52"/>
      <c r="Q598" s="52"/>
      <c r="U598" s="52"/>
    </row>
    <row r="599">
      <c r="M599" s="52"/>
      <c r="N599" s="52"/>
      <c r="O599" s="52"/>
      <c r="P599" s="52"/>
      <c r="Q599" s="52"/>
      <c r="U599" s="52"/>
    </row>
    <row r="600">
      <c r="M600" s="52"/>
      <c r="N600" s="52"/>
      <c r="O600" s="52"/>
      <c r="P600" s="52"/>
      <c r="Q600" s="52"/>
      <c r="U600" s="52"/>
    </row>
    <row r="601">
      <c r="M601" s="52"/>
      <c r="N601" s="52"/>
      <c r="O601" s="52"/>
      <c r="P601" s="52"/>
      <c r="Q601" s="52"/>
      <c r="U601" s="52"/>
    </row>
    <row r="602">
      <c r="M602" s="52"/>
      <c r="N602" s="52"/>
      <c r="O602" s="52"/>
      <c r="P602" s="52"/>
      <c r="Q602" s="52"/>
      <c r="U602" s="52"/>
    </row>
    <row r="603">
      <c r="M603" s="52"/>
      <c r="N603" s="52"/>
      <c r="O603" s="52"/>
      <c r="P603" s="52"/>
      <c r="Q603" s="52"/>
      <c r="U603" s="52"/>
    </row>
    <row r="604">
      <c r="M604" s="52"/>
      <c r="N604" s="52"/>
      <c r="O604" s="52"/>
      <c r="P604" s="52"/>
      <c r="Q604" s="52"/>
      <c r="U604" s="52"/>
    </row>
    <row r="605">
      <c r="M605" s="52"/>
      <c r="N605" s="52"/>
      <c r="O605" s="52"/>
      <c r="P605" s="52"/>
      <c r="Q605" s="52"/>
      <c r="U605" s="52"/>
    </row>
    <row r="606">
      <c r="M606" s="52"/>
      <c r="N606" s="52"/>
      <c r="O606" s="52"/>
      <c r="P606" s="52"/>
      <c r="Q606" s="52"/>
      <c r="U606" s="52"/>
    </row>
    <row r="607">
      <c r="M607" s="52"/>
      <c r="N607" s="52"/>
      <c r="O607" s="52"/>
      <c r="P607" s="52"/>
      <c r="Q607" s="52"/>
      <c r="U607" s="52"/>
    </row>
    <row r="608">
      <c r="M608" s="52"/>
      <c r="N608" s="52"/>
      <c r="O608" s="52"/>
      <c r="P608" s="52"/>
      <c r="Q608" s="52"/>
      <c r="U608" s="52"/>
    </row>
    <row r="609">
      <c r="M609" s="52"/>
      <c r="N609" s="52"/>
      <c r="O609" s="52"/>
      <c r="P609" s="52"/>
      <c r="Q609" s="52"/>
      <c r="U609" s="52"/>
    </row>
    <row r="610">
      <c r="M610" s="52"/>
      <c r="N610" s="52"/>
      <c r="O610" s="52"/>
      <c r="P610" s="52"/>
      <c r="Q610" s="52"/>
      <c r="U610" s="52"/>
    </row>
    <row r="611">
      <c r="M611" s="52"/>
      <c r="N611" s="52"/>
      <c r="O611" s="52"/>
      <c r="P611" s="52"/>
      <c r="Q611" s="52"/>
      <c r="U611" s="52"/>
    </row>
    <row r="612">
      <c r="M612" s="52"/>
      <c r="N612" s="52"/>
      <c r="O612" s="52"/>
      <c r="P612" s="52"/>
      <c r="Q612" s="52"/>
      <c r="U612" s="52"/>
    </row>
    <row r="613">
      <c r="M613" s="52"/>
      <c r="N613" s="52"/>
      <c r="O613" s="52"/>
      <c r="P613" s="52"/>
      <c r="Q613" s="52"/>
      <c r="U613" s="52"/>
    </row>
    <row r="614">
      <c r="M614" s="52"/>
      <c r="N614" s="52"/>
      <c r="O614" s="52"/>
      <c r="P614" s="52"/>
      <c r="Q614" s="52"/>
      <c r="U614" s="52"/>
    </row>
    <row r="615">
      <c r="M615" s="52"/>
      <c r="N615" s="52"/>
      <c r="O615" s="52"/>
      <c r="P615" s="52"/>
      <c r="Q615" s="52"/>
      <c r="U615" s="52"/>
    </row>
    <row r="616">
      <c r="M616" s="52"/>
      <c r="N616" s="52"/>
      <c r="O616" s="52"/>
      <c r="P616" s="52"/>
      <c r="Q616" s="52"/>
      <c r="U616" s="52"/>
    </row>
    <row r="617">
      <c r="M617" s="52"/>
      <c r="N617" s="52"/>
      <c r="O617" s="52"/>
      <c r="P617" s="52"/>
      <c r="Q617" s="52"/>
      <c r="U617" s="52"/>
    </row>
    <row r="618">
      <c r="M618" s="52"/>
      <c r="N618" s="52"/>
      <c r="O618" s="52"/>
      <c r="P618" s="52"/>
      <c r="Q618" s="52"/>
      <c r="U618" s="52"/>
    </row>
    <row r="619">
      <c r="M619" s="52"/>
      <c r="N619" s="52"/>
      <c r="O619" s="52"/>
      <c r="P619" s="52"/>
      <c r="Q619" s="52"/>
      <c r="U619" s="52"/>
    </row>
    <row r="620">
      <c r="M620" s="52"/>
      <c r="N620" s="52"/>
      <c r="O620" s="52"/>
      <c r="P620" s="52"/>
      <c r="Q620" s="52"/>
      <c r="U620" s="52"/>
    </row>
    <row r="621">
      <c r="M621" s="52"/>
      <c r="N621" s="52"/>
      <c r="O621" s="52"/>
      <c r="P621" s="52"/>
      <c r="Q621" s="52"/>
      <c r="U621" s="52"/>
    </row>
    <row r="622">
      <c r="M622" s="52"/>
      <c r="N622" s="52"/>
      <c r="O622" s="52"/>
      <c r="P622" s="52"/>
      <c r="Q622" s="52"/>
      <c r="U622" s="52"/>
    </row>
    <row r="623">
      <c r="M623" s="52"/>
      <c r="N623" s="52"/>
      <c r="O623" s="52"/>
      <c r="P623" s="52"/>
      <c r="Q623" s="52"/>
      <c r="U623" s="52"/>
    </row>
    <row r="624">
      <c r="M624" s="52"/>
      <c r="N624" s="52"/>
      <c r="O624" s="52"/>
      <c r="P624" s="52"/>
      <c r="Q624" s="52"/>
      <c r="U624" s="52"/>
    </row>
    <row r="625">
      <c r="M625" s="52"/>
      <c r="N625" s="52"/>
      <c r="O625" s="52"/>
      <c r="P625" s="52"/>
      <c r="Q625" s="52"/>
      <c r="U625" s="52"/>
    </row>
    <row r="626">
      <c r="M626" s="52"/>
      <c r="N626" s="52"/>
      <c r="O626" s="52"/>
      <c r="P626" s="52"/>
      <c r="Q626" s="52"/>
      <c r="U626" s="52"/>
    </row>
    <row r="627">
      <c r="M627" s="52"/>
      <c r="N627" s="52"/>
      <c r="O627" s="52"/>
      <c r="P627" s="52"/>
      <c r="Q627" s="52"/>
      <c r="U627" s="52"/>
    </row>
    <row r="628">
      <c r="M628" s="52"/>
      <c r="N628" s="52"/>
      <c r="O628" s="52"/>
      <c r="P628" s="52"/>
      <c r="Q628" s="52"/>
      <c r="U628" s="52"/>
    </row>
    <row r="629">
      <c r="M629" s="52"/>
      <c r="N629" s="52"/>
      <c r="O629" s="52"/>
      <c r="P629" s="52"/>
      <c r="Q629" s="52"/>
      <c r="U629" s="52"/>
    </row>
    <row r="630">
      <c r="M630" s="52"/>
      <c r="N630" s="52"/>
      <c r="O630" s="52"/>
      <c r="P630" s="52"/>
      <c r="Q630" s="52"/>
      <c r="U630" s="52"/>
    </row>
    <row r="631">
      <c r="M631" s="52"/>
      <c r="N631" s="52"/>
      <c r="O631" s="52"/>
      <c r="P631" s="52"/>
      <c r="Q631" s="52"/>
      <c r="U631" s="52"/>
    </row>
    <row r="632">
      <c r="M632" s="52"/>
      <c r="N632" s="52"/>
      <c r="O632" s="52"/>
      <c r="P632" s="52"/>
      <c r="Q632" s="52"/>
      <c r="U632" s="52"/>
    </row>
    <row r="633">
      <c r="M633" s="52"/>
      <c r="N633" s="52"/>
      <c r="O633" s="52"/>
      <c r="P633" s="52"/>
      <c r="Q633" s="52"/>
      <c r="U633" s="52"/>
    </row>
    <row r="634">
      <c r="M634" s="52"/>
      <c r="N634" s="52"/>
      <c r="O634" s="52"/>
      <c r="P634" s="52"/>
      <c r="Q634" s="52"/>
      <c r="U634" s="52"/>
    </row>
    <row r="635">
      <c r="M635" s="52"/>
      <c r="N635" s="52"/>
      <c r="O635" s="52"/>
      <c r="P635" s="52"/>
      <c r="Q635" s="52"/>
      <c r="U635" s="52"/>
    </row>
    <row r="636">
      <c r="M636" s="52"/>
      <c r="N636" s="52"/>
      <c r="O636" s="52"/>
      <c r="P636" s="52"/>
      <c r="Q636" s="52"/>
      <c r="U636" s="52"/>
    </row>
    <row r="637">
      <c r="M637" s="52"/>
      <c r="N637" s="52"/>
      <c r="O637" s="52"/>
      <c r="P637" s="52"/>
      <c r="Q637" s="52"/>
      <c r="U637" s="52"/>
    </row>
    <row r="638">
      <c r="M638" s="52"/>
      <c r="N638" s="52"/>
      <c r="O638" s="52"/>
      <c r="P638" s="52"/>
      <c r="Q638" s="52"/>
      <c r="U638" s="52"/>
    </row>
    <row r="639">
      <c r="M639" s="52"/>
      <c r="N639" s="52"/>
      <c r="O639" s="52"/>
      <c r="P639" s="52"/>
      <c r="Q639" s="52"/>
      <c r="U639" s="52"/>
    </row>
    <row r="640">
      <c r="M640" s="52"/>
      <c r="N640" s="52"/>
      <c r="O640" s="52"/>
      <c r="P640" s="52"/>
      <c r="Q640" s="52"/>
      <c r="U640" s="52"/>
    </row>
    <row r="641">
      <c r="M641" s="52"/>
      <c r="N641" s="52"/>
      <c r="O641" s="52"/>
      <c r="P641" s="52"/>
      <c r="Q641" s="52"/>
      <c r="U641" s="52"/>
    </row>
    <row r="642">
      <c r="M642" s="52"/>
      <c r="N642" s="52"/>
      <c r="O642" s="52"/>
      <c r="P642" s="52"/>
      <c r="Q642" s="52"/>
      <c r="U642" s="52"/>
    </row>
    <row r="643">
      <c r="M643" s="52"/>
      <c r="N643" s="52"/>
      <c r="O643" s="52"/>
      <c r="P643" s="52"/>
      <c r="Q643" s="52"/>
      <c r="U643" s="52"/>
    </row>
    <row r="644">
      <c r="M644" s="52"/>
      <c r="N644" s="52"/>
      <c r="O644" s="52"/>
      <c r="P644" s="52"/>
      <c r="Q644" s="52"/>
      <c r="U644" s="52"/>
    </row>
    <row r="645">
      <c r="M645" s="52"/>
      <c r="N645" s="52"/>
      <c r="O645" s="52"/>
      <c r="P645" s="52"/>
      <c r="Q645" s="52"/>
      <c r="U645" s="52"/>
    </row>
    <row r="646">
      <c r="M646" s="52"/>
      <c r="N646" s="52"/>
      <c r="O646" s="52"/>
      <c r="P646" s="52"/>
      <c r="Q646" s="52"/>
      <c r="U646" s="52"/>
    </row>
    <row r="647">
      <c r="M647" s="52"/>
      <c r="N647" s="52"/>
      <c r="O647" s="52"/>
      <c r="P647" s="52"/>
      <c r="Q647" s="52"/>
      <c r="U647" s="52"/>
    </row>
    <row r="648">
      <c r="M648" s="52"/>
      <c r="N648" s="52"/>
      <c r="O648" s="52"/>
      <c r="P648" s="52"/>
      <c r="Q648" s="52"/>
      <c r="U648" s="52"/>
    </row>
    <row r="649">
      <c r="M649" s="52"/>
      <c r="N649" s="52"/>
      <c r="O649" s="52"/>
      <c r="P649" s="52"/>
      <c r="Q649" s="52"/>
      <c r="U649" s="52"/>
    </row>
    <row r="650">
      <c r="M650" s="52"/>
      <c r="N650" s="52"/>
      <c r="O650" s="52"/>
      <c r="P650" s="52"/>
      <c r="Q650" s="52"/>
      <c r="U650" s="52"/>
    </row>
    <row r="651">
      <c r="M651" s="52"/>
      <c r="N651" s="52"/>
      <c r="O651" s="52"/>
      <c r="P651" s="52"/>
      <c r="Q651" s="52"/>
      <c r="U651" s="52"/>
    </row>
    <row r="652">
      <c r="M652" s="52"/>
      <c r="N652" s="52"/>
      <c r="O652" s="52"/>
      <c r="P652" s="52"/>
      <c r="Q652" s="52"/>
      <c r="U652" s="52"/>
    </row>
    <row r="653">
      <c r="M653" s="52"/>
      <c r="N653" s="52"/>
      <c r="O653" s="52"/>
      <c r="P653" s="52"/>
      <c r="Q653" s="52"/>
      <c r="U653" s="52"/>
    </row>
    <row r="654">
      <c r="M654" s="52"/>
      <c r="N654" s="52"/>
      <c r="O654" s="52"/>
      <c r="P654" s="52"/>
      <c r="Q654" s="52"/>
      <c r="U654" s="52"/>
    </row>
    <row r="655">
      <c r="M655" s="52"/>
      <c r="N655" s="52"/>
      <c r="O655" s="52"/>
      <c r="P655" s="52"/>
      <c r="Q655" s="52"/>
      <c r="U655" s="52"/>
    </row>
    <row r="656">
      <c r="M656" s="52"/>
      <c r="N656" s="52"/>
      <c r="O656" s="52"/>
      <c r="P656" s="52"/>
      <c r="Q656" s="52"/>
      <c r="U656" s="52"/>
    </row>
    <row r="657">
      <c r="M657" s="52"/>
      <c r="N657" s="52"/>
      <c r="O657" s="52"/>
      <c r="P657" s="52"/>
      <c r="Q657" s="52"/>
      <c r="U657" s="52"/>
    </row>
    <row r="658">
      <c r="M658" s="52"/>
      <c r="N658" s="52"/>
      <c r="O658" s="52"/>
      <c r="P658" s="52"/>
      <c r="Q658" s="52"/>
      <c r="U658" s="52"/>
    </row>
    <row r="659">
      <c r="M659" s="52"/>
      <c r="N659" s="52"/>
      <c r="O659" s="52"/>
      <c r="P659" s="52"/>
      <c r="Q659" s="52"/>
      <c r="U659" s="52"/>
    </row>
    <row r="660">
      <c r="M660" s="52"/>
      <c r="N660" s="52"/>
      <c r="O660" s="52"/>
      <c r="P660" s="52"/>
      <c r="Q660" s="52"/>
      <c r="U660" s="52"/>
    </row>
    <row r="661">
      <c r="M661" s="52"/>
      <c r="N661" s="52"/>
      <c r="O661" s="52"/>
      <c r="P661" s="52"/>
      <c r="Q661" s="52"/>
      <c r="U661" s="52"/>
    </row>
    <row r="662">
      <c r="M662" s="52"/>
      <c r="N662" s="52"/>
      <c r="O662" s="52"/>
      <c r="P662" s="52"/>
      <c r="Q662" s="52"/>
      <c r="U662" s="52"/>
    </row>
    <row r="663">
      <c r="M663" s="52"/>
      <c r="N663" s="52"/>
      <c r="O663" s="52"/>
      <c r="P663" s="52"/>
      <c r="Q663" s="52"/>
      <c r="U663" s="52"/>
    </row>
    <row r="664">
      <c r="M664" s="52"/>
      <c r="N664" s="52"/>
      <c r="O664" s="52"/>
      <c r="P664" s="52"/>
      <c r="Q664" s="52"/>
      <c r="U664" s="52"/>
    </row>
    <row r="665">
      <c r="M665" s="52"/>
      <c r="N665" s="52"/>
      <c r="O665" s="52"/>
      <c r="P665" s="52"/>
      <c r="Q665" s="52"/>
      <c r="U665" s="52"/>
    </row>
    <row r="666">
      <c r="M666" s="52"/>
      <c r="N666" s="52"/>
      <c r="O666" s="52"/>
      <c r="P666" s="52"/>
      <c r="Q666" s="52"/>
      <c r="U666" s="52"/>
    </row>
    <row r="667">
      <c r="M667" s="52"/>
      <c r="N667" s="52"/>
      <c r="O667" s="52"/>
      <c r="P667" s="52"/>
      <c r="Q667" s="52"/>
      <c r="U667" s="52"/>
    </row>
    <row r="668">
      <c r="M668" s="52"/>
      <c r="N668" s="52"/>
      <c r="O668" s="52"/>
      <c r="P668" s="52"/>
      <c r="Q668" s="52"/>
      <c r="U668" s="52"/>
    </row>
    <row r="669">
      <c r="M669" s="52"/>
      <c r="N669" s="52"/>
      <c r="O669" s="52"/>
      <c r="P669" s="52"/>
      <c r="Q669" s="52"/>
      <c r="U669" s="52"/>
    </row>
    <row r="670">
      <c r="M670" s="52"/>
      <c r="N670" s="52"/>
      <c r="O670" s="52"/>
      <c r="P670" s="52"/>
      <c r="Q670" s="52"/>
      <c r="U670" s="52"/>
    </row>
    <row r="671">
      <c r="M671" s="52"/>
      <c r="N671" s="52"/>
      <c r="O671" s="52"/>
      <c r="P671" s="52"/>
      <c r="Q671" s="52"/>
      <c r="U671" s="52"/>
    </row>
    <row r="672">
      <c r="M672" s="52"/>
      <c r="N672" s="52"/>
      <c r="O672" s="52"/>
      <c r="P672" s="52"/>
      <c r="Q672" s="52"/>
      <c r="U672" s="52"/>
    </row>
    <row r="673">
      <c r="M673" s="52"/>
      <c r="N673" s="52"/>
      <c r="O673" s="52"/>
      <c r="P673" s="52"/>
      <c r="Q673" s="52"/>
      <c r="U673" s="52"/>
    </row>
    <row r="674">
      <c r="M674" s="52"/>
      <c r="N674" s="52"/>
      <c r="O674" s="52"/>
      <c r="P674" s="52"/>
      <c r="Q674" s="52"/>
      <c r="U674" s="52"/>
    </row>
    <row r="675">
      <c r="M675" s="52"/>
      <c r="N675" s="52"/>
      <c r="O675" s="52"/>
      <c r="P675" s="52"/>
      <c r="Q675" s="52"/>
      <c r="U675" s="52"/>
    </row>
    <row r="676">
      <c r="M676" s="52"/>
      <c r="N676" s="52"/>
      <c r="O676" s="52"/>
      <c r="P676" s="52"/>
      <c r="Q676" s="52"/>
      <c r="U676" s="52"/>
    </row>
    <row r="677">
      <c r="M677" s="52"/>
      <c r="N677" s="52"/>
      <c r="O677" s="52"/>
      <c r="P677" s="52"/>
      <c r="Q677" s="52"/>
      <c r="U677" s="52"/>
    </row>
    <row r="678">
      <c r="M678" s="52"/>
      <c r="N678" s="52"/>
      <c r="O678" s="52"/>
      <c r="P678" s="52"/>
      <c r="Q678" s="52"/>
      <c r="U678" s="52"/>
    </row>
    <row r="679">
      <c r="M679" s="52"/>
      <c r="N679" s="52"/>
      <c r="O679" s="52"/>
      <c r="P679" s="52"/>
      <c r="Q679" s="52"/>
      <c r="U679" s="52"/>
    </row>
    <row r="680">
      <c r="M680" s="52"/>
      <c r="N680" s="52"/>
      <c r="O680" s="52"/>
      <c r="P680" s="52"/>
      <c r="Q680" s="52"/>
      <c r="U680" s="52"/>
    </row>
    <row r="681">
      <c r="M681" s="52"/>
      <c r="N681" s="52"/>
      <c r="O681" s="52"/>
      <c r="P681" s="52"/>
      <c r="Q681" s="52"/>
      <c r="U681" s="52"/>
    </row>
    <row r="682">
      <c r="M682" s="52"/>
      <c r="N682" s="52"/>
      <c r="O682" s="52"/>
      <c r="P682" s="52"/>
      <c r="Q682" s="52"/>
      <c r="U682" s="52"/>
    </row>
    <row r="683">
      <c r="M683" s="52"/>
      <c r="N683" s="52"/>
      <c r="O683" s="52"/>
      <c r="P683" s="52"/>
      <c r="Q683" s="52"/>
      <c r="U683" s="52"/>
    </row>
    <row r="684">
      <c r="M684" s="52"/>
      <c r="N684" s="52"/>
      <c r="O684" s="52"/>
      <c r="P684" s="52"/>
      <c r="Q684" s="52"/>
      <c r="U684" s="52"/>
    </row>
    <row r="685">
      <c r="M685" s="52"/>
      <c r="N685" s="52"/>
      <c r="O685" s="52"/>
      <c r="P685" s="52"/>
      <c r="Q685" s="52"/>
      <c r="U685" s="52"/>
    </row>
    <row r="686">
      <c r="M686" s="52"/>
      <c r="N686" s="52"/>
      <c r="O686" s="52"/>
      <c r="P686" s="52"/>
      <c r="Q686" s="52"/>
      <c r="U686" s="52"/>
    </row>
    <row r="687">
      <c r="M687" s="52"/>
      <c r="N687" s="52"/>
      <c r="O687" s="52"/>
      <c r="P687" s="52"/>
      <c r="Q687" s="52"/>
      <c r="U687" s="52"/>
    </row>
    <row r="688">
      <c r="M688" s="52"/>
      <c r="N688" s="52"/>
      <c r="O688" s="52"/>
      <c r="P688" s="52"/>
      <c r="Q688" s="52"/>
      <c r="U688" s="52"/>
    </row>
    <row r="689">
      <c r="M689" s="52"/>
      <c r="N689" s="52"/>
      <c r="O689" s="52"/>
      <c r="P689" s="52"/>
      <c r="Q689" s="52"/>
      <c r="U689" s="52"/>
    </row>
    <row r="690">
      <c r="M690" s="52"/>
      <c r="N690" s="52"/>
      <c r="O690" s="52"/>
      <c r="P690" s="52"/>
      <c r="Q690" s="52"/>
      <c r="U690" s="52"/>
    </row>
    <row r="691">
      <c r="M691" s="52"/>
      <c r="N691" s="52"/>
      <c r="O691" s="52"/>
      <c r="P691" s="52"/>
      <c r="Q691" s="52"/>
      <c r="U691" s="52"/>
    </row>
    <row r="692">
      <c r="M692" s="52"/>
      <c r="N692" s="52"/>
      <c r="O692" s="52"/>
      <c r="P692" s="52"/>
      <c r="Q692" s="52"/>
      <c r="U692" s="52"/>
    </row>
    <row r="693">
      <c r="M693" s="52"/>
      <c r="N693" s="52"/>
      <c r="O693" s="52"/>
      <c r="P693" s="52"/>
      <c r="Q693" s="52"/>
      <c r="U693" s="52"/>
    </row>
    <row r="694">
      <c r="M694" s="52"/>
      <c r="N694" s="52"/>
      <c r="O694" s="52"/>
      <c r="P694" s="52"/>
      <c r="Q694" s="52"/>
      <c r="U694" s="52"/>
    </row>
    <row r="695">
      <c r="M695" s="52"/>
      <c r="N695" s="52"/>
      <c r="O695" s="52"/>
      <c r="P695" s="52"/>
      <c r="Q695" s="52"/>
      <c r="U695" s="52"/>
    </row>
    <row r="696">
      <c r="M696" s="52"/>
      <c r="N696" s="52"/>
      <c r="O696" s="52"/>
      <c r="P696" s="52"/>
      <c r="Q696" s="52"/>
      <c r="U696" s="52"/>
    </row>
    <row r="697">
      <c r="M697" s="52"/>
      <c r="N697" s="52"/>
      <c r="O697" s="52"/>
      <c r="P697" s="52"/>
      <c r="Q697" s="52"/>
      <c r="U697" s="52"/>
    </row>
    <row r="698">
      <c r="M698" s="52"/>
      <c r="N698" s="52"/>
      <c r="O698" s="52"/>
      <c r="P698" s="52"/>
      <c r="Q698" s="52"/>
      <c r="U698" s="52"/>
    </row>
    <row r="699">
      <c r="M699" s="52"/>
      <c r="N699" s="52"/>
      <c r="O699" s="52"/>
      <c r="P699" s="52"/>
      <c r="Q699" s="52"/>
      <c r="U699" s="52"/>
    </row>
    <row r="700">
      <c r="M700" s="52"/>
      <c r="N700" s="52"/>
      <c r="O700" s="52"/>
      <c r="P700" s="52"/>
      <c r="Q700" s="52"/>
      <c r="U700" s="52"/>
    </row>
    <row r="701">
      <c r="M701" s="52"/>
      <c r="N701" s="52"/>
      <c r="O701" s="52"/>
      <c r="P701" s="52"/>
      <c r="Q701" s="52"/>
      <c r="U701" s="52"/>
    </row>
    <row r="702">
      <c r="M702" s="52"/>
      <c r="N702" s="52"/>
      <c r="O702" s="52"/>
      <c r="P702" s="52"/>
      <c r="Q702" s="52"/>
      <c r="U702" s="52"/>
    </row>
    <row r="703">
      <c r="M703" s="52"/>
      <c r="N703" s="52"/>
      <c r="O703" s="52"/>
      <c r="P703" s="52"/>
      <c r="Q703" s="52"/>
      <c r="U703" s="52"/>
    </row>
    <row r="704">
      <c r="M704" s="52"/>
      <c r="N704" s="52"/>
      <c r="O704" s="52"/>
      <c r="P704" s="52"/>
      <c r="Q704" s="52"/>
      <c r="U704" s="52"/>
    </row>
    <row r="705">
      <c r="M705" s="52"/>
      <c r="N705" s="52"/>
      <c r="O705" s="52"/>
      <c r="P705" s="52"/>
      <c r="Q705" s="52"/>
      <c r="U705" s="52"/>
    </row>
    <row r="706">
      <c r="M706" s="52"/>
      <c r="N706" s="52"/>
      <c r="O706" s="52"/>
      <c r="P706" s="52"/>
      <c r="Q706" s="52"/>
      <c r="U706" s="52"/>
    </row>
    <row r="707">
      <c r="M707" s="52"/>
      <c r="N707" s="52"/>
      <c r="O707" s="52"/>
      <c r="P707" s="52"/>
      <c r="Q707" s="52"/>
      <c r="U707" s="52"/>
    </row>
    <row r="708">
      <c r="M708" s="52"/>
      <c r="N708" s="52"/>
      <c r="O708" s="52"/>
      <c r="P708" s="52"/>
      <c r="Q708" s="52"/>
      <c r="U708" s="52"/>
    </row>
    <row r="709">
      <c r="M709" s="52"/>
      <c r="N709" s="52"/>
      <c r="O709" s="52"/>
      <c r="P709" s="52"/>
      <c r="Q709" s="52"/>
      <c r="U709" s="52"/>
    </row>
    <row r="710">
      <c r="M710" s="52"/>
      <c r="N710" s="52"/>
      <c r="O710" s="52"/>
      <c r="P710" s="52"/>
      <c r="Q710" s="52"/>
      <c r="U710" s="52"/>
    </row>
    <row r="711">
      <c r="M711" s="52"/>
      <c r="N711" s="52"/>
      <c r="O711" s="52"/>
      <c r="P711" s="52"/>
      <c r="Q711" s="52"/>
      <c r="U711" s="52"/>
    </row>
    <row r="712">
      <c r="M712" s="52"/>
      <c r="N712" s="52"/>
      <c r="O712" s="52"/>
      <c r="P712" s="52"/>
      <c r="Q712" s="52"/>
      <c r="U712" s="52"/>
    </row>
    <row r="713">
      <c r="M713" s="52"/>
      <c r="N713" s="52"/>
      <c r="O713" s="52"/>
      <c r="P713" s="52"/>
      <c r="Q713" s="52"/>
      <c r="U713" s="52"/>
    </row>
    <row r="714">
      <c r="M714" s="52"/>
      <c r="N714" s="52"/>
      <c r="O714" s="52"/>
      <c r="P714" s="52"/>
      <c r="Q714" s="52"/>
      <c r="U714" s="52"/>
    </row>
    <row r="715">
      <c r="M715" s="52"/>
      <c r="N715" s="52"/>
      <c r="O715" s="52"/>
      <c r="P715" s="52"/>
      <c r="Q715" s="52"/>
      <c r="U715" s="52"/>
    </row>
    <row r="716">
      <c r="M716" s="52"/>
      <c r="N716" s="52"/>
      <c r="O716" s="52"/>
      <c r="P716" s="52"/>
      <c r="Q716" s="52"/>
      <c r="U716" s="52"/>
    </row>
    <row r="717">
      <c r="M717" s="52"/>
      <c r="N717" s="52"/>
      <c r="O717" s="52"/>
      <c r="P717" s="52"/>
      <c r="Q717" s="52"/>
      <c r="U717" s="52"/>
    </row>
    <row r="718">
      <c r="M718" s="52"/>
      <c r="N718" s="52"/>
      <c r="O718" s="52"/>
      <c r="P718" s="52"/>
      <c r="Q718" s="52"/>
      <c r="U718" s="52"/>
    </row>
    <row r="719">
      <c r="M719" s="52"/>
      <c r="N719" s="52"/>
      <c r="O719" s="52"/>
      <c r="P719" s="52"/>
      <c r="Q719" s="52"/>
      <c r="U719" s="52"/>
    </row>
    <row r="720">
      <c r="M720" s="52"/>
      <c r="N720" s="52"/>
      <c r="O720" s="52"/>
      <c r="P720" s="52"/>
      <c r="Q720" s="52"/>
      <c r="U720" s="52"/>
    </row>
    <row r="721">
      <c r="M721" s="52"/>
      <c r="N721" s="52"/>
      <c r="O721" s="52"/>
      <c r="P721" s="52"/>
      <c r="Q721" s="52"/>
      <c r="U721" s="52"/>
    </row>
    <row r="722">
      <c r="M722" s="52"/>
      <c r="N722" s="52"/>
      <c r="O722" s="52"/>
      <c r="P722" s="52"/>
      <c r="Q722" s="52"/>
      <c r="U722" s="52"/>
    </row>
    <row r="723">
      <c r="M723" s="52"/>
      <c r="N723" s="52"/>
      <c r="O723" s="52"/>
      <c r="P723" s="52"/>
      <c r="Q723" s="52"/>
      <c r="U723" s="52"/>
    </row>
    <row r="724">
      <c r="M724" s="52"/>
      <c r="N724" s="52"/>
      <c r="O724" s="52"/>
      <c r="P724" s="52"/>
      <c r="Q724" s="52"/>
      <c r="U724" s="52"/>
    </row>
    <row r="725">
      <c r="M725" s="52"/>
      <c r="N725" s="52"/>
      <c r="O725" s="52"/>
      <c r="P725" s="52"/>
      <c r="Q725" s="52"/>
      <c r="U725" s="52"/>
    </row>
    <row r="726">
      <c r="M726" s="52"/>
      <c r="N726" s="52"/>
      <c r="O726" s="52"/>
      <c r="P726" s="52"/>
      <c r="Q726" s="52"/>
      <c r="U726" s="52"/>
    </row>
    <row r="727">
      <c r="M727" s="52"/>
      <c r="N727" s="52"/>
      <c r="O727" s="52"/>
      <c r="P727" s="52"/>
      <c r="Q727" s="52"/>
      <c r="U727" s="52"/>
    </row>
    <row r="728">
      <c r="M728" s="52"/>
      <c r="N728" s="52"/>
      <c r="O728" s="52"/>
      <c r="P728" s="52"/>
      <c r="Q728" s="52"/>
      <c r="U728" s="52"/>
    </row>
    <row r="729">
      <c r="M729" s="52"/>
      <c r="N729" s="52"/>
      <c r="O729" s="52"/>
      <c r="P729" s="52"/>
      <c r="Q729" s="52"/>
      <c r="U729" s="52"/>
    </row>
    <row r="730">
      <c r="M730" s="52"/>
      <c r="N730" s="52"/>
      <c r="O730" s="52"/>
      <c r="P730" s="52"/>
      <c r="Q730" s="52"/>
      <c r="U730" s="52"/>
    </row>
    <row r="731">
      <c r="M731" s="52"/>
      <c r="N731" s="52"/>
      <c r="O731" s="52"/>
      <c r="P731" s="52"/>
      <c r="Q731" s="52"/>
      <c r="U731" s="52"/>
    </row>
    <row r="732">
      <c r="M732" s="52"/>
      <c r="N732" s="52"/>
      <c r="O732" s="52"/>
      <c r="P732" s="52"/>
      <c r="Q732" s="52"/>
      <c r="U732" s="52"/>
    </row>
    <row r="733">
      <c r="M733" s="52"/>
      <c r="N733" s="52"/>
      <c r="O733" s="52"/>
      <c r="P733" s="52"/>
      <c r="Q733" s="52"/>
      <c r="U733" s="52"/>
    </row>
    <row r="734">
      <c r="M734" s="52"/>
      <c r="N734" s="52"/>
      <c r="O734" s="52"/>
      <c r="P734" s="52"/>
      <c r="Q734" s="52"/>
      <c r="U734" s="52"/>
    </row>
    <row r="735">
      <c r="M735" s="52"/>
      <c r="N735" s="52"/>
      <c r="O735" s="52"/>
      <c r="P735" s="52"/>
      <c r="Q735" s="52"/>
      <c r="U735" s="52"/>
    </row>
    <row r="736">
      <c r="M736" s="52"/>
      <c r="N736" s="52"/>
      <c r="O736" s="52"/>
      <c r="P736" s="52"/>
      <c r="Q736" s="52"/>
      <c r="U736" s="52"/>
    </row>
    <row r="737">
      <c r="M737" s="52"/>
      <c r="N737" s="52"/>
      <c r="O737" s="52"/>
      <c r="P737" s="52"/>
      <c r="Q737" s="52"/>
      <c r="U737" s="52"/>
    </row>
    <row r="738">
      <c r="M738" s="52"/>
      <c r="N738" s="52"/>
      <c r="O738" s="52"/>
      <c r="P738" s="52"/>
      <c r="Q738" s="52"/>
      <c r="U738" s="52"/>
    </row>
    <row r="739">
      <c r="M739" s="52"/>
      <c r="N739" s="52"/>
      <c r="O739" s="52"/>
      <c r="P739" s="52"/>
      <c r="Q739" s="52"/>
      <c r="U739" s="52"/>
    </row>
    <row r="740">
      <c r="M740" s="52"/>
      <c r="N740" s="52"/>
      <c r="O740" s="52"/>
      <c r="P740" s="52"/>
      <c r="Q740" s="52"/>
      <c r="U740" s="52"/>
    </row>
    <row r="741">
      <c r="M741" s="52"/>
      <c r="N741" s="52"/>
      <c r="O741" s="52"/>
      <c r="P741" s="52"/>
      <c r="Q741" s="52"/>
      <c r="U741" s="52"/>
    </row>
    <row r="742">
      <c r="M742" s="52"/>
      <c r="N742" s="52"/>
      <c r="O742" s="52"/>
      <c r="P742" s="52"/>
      <c r="Q742" s="52"/>
      <c r="U742" s="52"/>
    </row>
    <row r="743">
      <c r="M743" s="52"/>
      <c r="N743" s="52"/>
      <c r="O743" s="52"/>
      <c r="P743" s="52"/>
      <c r="Q743" s="52"/>
      <c r="U743" s="52"/>
    </row>
    <row r="744">
      <c r="M744" s="52"/>
      <c r="N744" s="52"/>
      <c r="O744" s="52"/>
      <c r="P744" s="52"/>
      <c r="Q744" s="52"/>
      <c r="U744" s="52"/>
    </row>
    <row r="745">
      <c r="M745" s="52"/>
      <c r="N745" s="52"/>
      <c r="O745" s="52"/>
      <c r="P745" s="52"/>
      <c r="Q745" s="52"/>
      <c r="U745" s="52"/>
    </row>
    <row r="746">
      <c r="M746" s="52"/>
      <c r="N746" s="52"/>
      <c r="O746" s="52"/>
      <c r="P746" s="52"/>
      <c r="Q746" s="52"/>
      <c r="U746" s="52"/>
    </row>
    <row r="747">
      <c r="M747" s="52"/>
      <c r="N747" s="52"/>
      <c r="O747" s="52"/>
      <c r="P747" s="52"/>
      <c r="Q747" s="52"/>
      <c r="U747" s="52"/>
    </row>
    <row r="748">
      <c r="M748" s="52"/>
      <c r="N748" s="52"/>
      <c r="O748" s="52"/>
      <c r="P748" s="52"/>
      <c r="Q748" s="52"/>
      <c r="U748" s="52"/>
    </row>
    <row r="749">
      <c r="M749" s="52"/>
      <c r="N749" s="52"/>
      <c r="O749" s="52"/>
      <c r="P749" s="52"/>
      <c r="Q749" s="52"/>
      <c r="U749" s="52"/>
    </row>
    <row r="750">
      <c r="M750" s="52"/>
      <c r="N750" s="52"/>
      <c r="O750" s="52"/>
      <c r="P750" s="52"/>
      <c r="Q750" s="52"/>
      <c r="U750" s="52"/>
    </row>
    <row r="751">
      <c r="M751" s="52"/>
      <c r="N751" s="52"/>
      <c r="O751" s="52"/>
      <c r="P751" s="52"/>
      <c r="Q751" s="52"/>
      <c r="U751" s="52"/>
    </row>
    <row r="752">
      <c r="M752" s="52"/>
      <c r="N752" s="52"/>
      <c r="O752" s="52"/>
      <c r="P752" s="52"/>
      <c r="Q752" s="52"/>
      <c r="U752" s="52"/>
    </row>
    <row r="753">
      <c r="M753" s="52"/>
      <c r="N753" s="52"/>
      <c r="O753" s="52"/>
      <c r="P753" s="52"/>
      <c r="Q753" s="52"/>
      <c r="U753" s="52"/>
    </row>
    <row r="754">
      <c r="M754" s="52"/>
      <c r="N754" s="52"/>
      <c r="O754" s="52"/>
      <c r="P754" s="52"/>
      <c r="Q754" s="52"/>
      <c r="U754" s="52"/>
    </row>
    <row r="755">
      <c r="M755" s="52"/>
      <c r="N755" s="52"/>
      <c r="O755" s="52"/>
      <c r="P755" s="52"/>
      <c r="Q755" s="52"/>
      <c r="U755" s="52"/>
    </row>
    <row r="756">
      <c r="M756" s="52"/>
      <c r="N756" s="52"/>
      <c r="O756" s="52"/>
      <c r="P756" s="52"/>
      <c r="Q756" s="52"/>
      <c r="U756" s="52"/>
    </row>
    <row r="757">
      <c r="M757" s="52"/>
      <c r="N757" s="52"/>
      <c r="O757" s="52"/>
      <c r="P757" s="52"/>
      <c r="Q757" s="52"/>
      <c r="U757" s="52"/>
    </row>
    <row r="758">
      <c r="M758" s="52"/>
      <c r="N758" s="52"/>
      <c r="O758" s="52"/>
      <c r="P758" s="52"/>
      <c r="Q758" s="52"/>
      <c r="U758" s="52"/>
    </row>
    <row r="759">
      <c r="M759" s="52"/>
      <c r="N759" s="52"/>
      <c r="O759" s="52"/>
      <c r="P759" s="52"/>
      <c r="Q759" s="52"/>
      <c r="U759" s="52"/>
    </row>
    <row r="760">
      <c r="M760" s="52"/>
      <c r="N760" s="52"/>
      <c r="O760" s="52"/>
      <c r="P760" s="52"/>
      <c r="Q760" s="52"/>
      <c r="U760" s="52"/>
    </row>
    <row r="761">
      <c r="M761" s="52"/>
      <c r="N761" s="52"/>
      <c r="O761" s="52"/>
      <c r="P761" s="52"/>
      <c r="Q761" s="52"/>
      <c r="U761" s="52"/>
    </row>
    <row r="762">
      <c r="M762" s="52"/>
      <c r="N762" s="52"/>
      <c r="O762" s="52"/>
      <c r="P762" s="52"/>
      <c r="Q762" s="52"/>
      <c r="U762" s="52"/>
    </row>
    <row r="763">
      <c r="M763" s="52"/>
      <c r="N763" s="52"/>
      <c r="O763" s="52"/>
      <c r="P763" s="52"/>
      <c r="Q763" s="52"/>
      <c r="U763" s="52"/>
    </row>
    <row r="764">
      <c r="M764" s="52"/>
      <c r="N764" s="52"/>
      <c r="O764" s="52"/>
      <c r="P764" s="52"/>
      <c r="Q764" s="52"/>
      <c r="U764" s="52"/>
    </row>
    <row r="765">
      <c r="M765" s="52"/>
      <c r="N765" s="52"/>
      <c r="O765" s="52"/>
      <c r="P765" s="52"/>
      <c r="Q765" s="52"/>
      <c r="U765" s="52"/>
    </row>
    <row r="766">
      <c r="M766" s="52"/>
      <c r="N766" s="52"/>
      <c r="O766" s="52"/>
      <c r="P766" s="52"/>
      <c r="Q766" s="52"/>
      <c r="U766" s="52"/>
    </row>
    <row r="767">
      <c r="M767" s="52"/>
      <c r="N767" s="52"/>
      <c r="O767" s="52"/>
      <c r="P767" s="52"/>
      <c r="Q767" s="52"/>
      <c r="U767" s="52"/>
    </row>
    <row r="768">
      <c r="M768" s="52"/>
      <c r="N768" s="52"/>
      <c r="O768" s="52"/>
      <c r="P768" s="52"/>
      <c r="Q768" s="52"/>
      <c r="U768" s="52"/>
    </row>
    <row r="769">
      <c r="M769" s="52"/>
      <c r="N769" s="52"/>
      <c r="O769" s="52"/>
      <c r="P769" s="52"/>
      <c r="Q769" s="52"/>
      <c r="U769" s="52"/>
    </row>
    <row r="770">
      <c r="M770" s="52"/>
      <c r="N770" s="52"/>
      <c r="O770" s="52"/>
      <c r="P770" s="52"/>
      <c r="Q770" s="52"/>
      <c r="U770" s="52"/>
    </row>
    <row r="771">
      <c r="M771" s="52"/>
      <c r="N771" s="52"/>
      <c r="O771" s="52"/>
      <c r="P771" s="52"/>
      <c r="Q771" s="52"/>
      <c r="U771" s="52"/>
    </row>
    <row r="772">
      <c r="M772" s="52"/>
      <c r="N772" s="52"/>
      <c r="O772" s="52"/>
      <c r="P772" s="52"/>
      <c r="Q772" s="52"/>
      <c r="U772" s="52"/>
    </row>
    <row r="773">
      <c r="M773" s="52"/>
      <c r="N773" s="52"/>
      <c r="O773" s="52"/>
      <c r="P773" s="52"/>
      <c r="Q773" s="52"/>
      <c r="U773" s="52"/>
    </row>
    <row r="774">
      <c r="M774" s="52"/>
      <c r="N774" s="52"/>
      <c r="O774" s="52"/>
      <c r="P774" s="52"/>
      <c r="Q774" s="52"/>
      <c r="U774" s="52"/>
    </row>
    <row r="775">
      <c r="M775" s="52"/>
      <c r="N775" s="52"/>
      <c r="O775" s="52"/>
      <c r="P775" s="52"/>
      <c r="Q775" s="52"/>
      <c r="U775" s="52"/>
    </row>
    <row r="776">
      <c r="M776" s="52"/>
      <c r="N776" s="52"/>
      <c r="O776" s="52"/>
      <c r="P776" s="52"/>
      <c r="Q776" s="52"/>
      <c r="U776" s="52"/>
    </row>
    <row r="777">
      <c r="M777" s="52"/>
      <c r="N777" s="52"/>
      <c r="O777" s="52"/>
      <c r="P777" s="52"/>
      <c r="Q777" s="52"/>
      <c r="U777" s="52"/>
    </row>
    <row r="778">
      <c r="M778" s="52"/>
      <c r="N778" s="52"/>
      <c r="O778" s="52"/>
      <c r="P778" s="52"/>
      <c r="Q778" s="52"/>
      <c r="U778" s="52"/>
    </row>
    <row r="779">
      <c r="M779" s="52"/>
      <c r="N779" s="52"/>
      <c r="O779" s="52"/>
      <c r="P779" s="52"/>
      <c r="Q779" s="52"/>
      <c r="U779" s="52"/>
    </row>
    <row r="780">
      <c r="M780" s="52"/>
      <c r="N780" s="52"/>
      <c r="O780" s="52"/>
      <c r="P780" s="52"/>
      <c r="Q780" s="52"/>
      <c r="U780" s="52"/>
    </row>
    <row r="781">
      <c r="M781" s="52"/>
      <c r="N781" s="52"/>
      <c r="O781" s="52"/>
      <c r="P781" s="52"/>
      <c r="Q781" s="52"/>
      <c r="U781" s="52"/>
    </row>
    <row r="782">
      <c r="M782" s="52"/>
      <c r="N782" s="52"/>
      <c r="O782" s="52"/>
      <c r="P782" s="52"/>
      <c r="Q782" s="52"/>
      <c r="U782" s="52"/>
    </row>
    <row r="783">
      <c r="M783" s="52"/>
      <c r="N783" s="52"/>
      <c r="O783" s="52"/>
      <c r="P783" s="52"/>
      <c r="Q783" s="52"/>
      <c r="U783" s="52"/>
    </row>
    <row r="784">
      <c r="M784" s="52"/>
      <c r="N784" s="52"/>
      <c r="O784" s="52"/>
      <c r="P784" s="52"/>
      <c r="Q784" s="52"/>
      <c r="U784" s="52"/>
    </row>
    <row r="785">
      <c r="M785" s="52"/>
      <c r="N785" s="52"/>
      <c r="O785" s="52"/>
      <c r="P785" s="52"/>
      <c r="Q785" s="52"/>
      <c r="U785" s="52"/>
    </row>
    <row r="786">
      <c r="M786" s="52"/>
      <c r="N786" s="52"/>
      <c r="O786" s="52"/>
      <c r="P786" s="52"/>
      <c r="Q786" s="52"/>
      <c r="U786" s="52"/>
    </row>
    <row r="787">
      <c r="M787" s="52"/>
      <c r="N787" s="52"/>
      <c r="O787" s="52"/>
      <c r="P787" s="52"/>
      <c r="Q787" s="52"/>
      <c r="U787" s="52"/>
    </row>
    <row r="788">
      <c r="M788" s="52"/>
      <c r="N788" s="52"/>
      <c r="O788" s="52"/>
      <c r="P788" s="52"/>
      <c r="Q788" s="52"/>
      <c r="U788" s="52"/>
    </row>
    <row r="789">
      <c r="M789" s="52"/>
      <c r="N789" s="52"/>
      <c r="O789" s="52"/>
      <c r="P789" s="52"/>
      <c r="Q789" s="52"/>
      <c r="U789" s="52"/>
    </row>
    <row r="790">
      <c r="M790" s="52"/>
      <c r="N790" s="52"/>
      <c r="O790" s="52"/>
      <c r="P790" s="52"/>
      <c r="Q790" s="52"/>
      <c r="U790" s="52"/>
    </row>
    <row r="791">
      <c r="M791" s="52"/>
      <c r="N791" s="52"/>
      <c r="O791" s="52"/>
      <c r="P791" s="52"/>
      <c r="Q791" s="52"/>
      <c r="U791" s="52"/>
    </row>
    <row r="792">
      <c r="M792" s="52"/>
      <c r="N792" s="52"/>
      <c r="O792" s="52"/>
      <c r="P792" s="52"/>
      <c r="Q792" s="52"/>
      <c r="U792" s="52"/>
    </row>
    <row r="793">
      <c r="M793" s="52"/>
      <c r="N793" s="52"/>
      <c r="O793" s="52"/>
      <c r="P793" s="52"/>
      <c r="Q793" s="52"/>
      <c r="U793" s="52"/>
    </row>
    <row r="794">
      <c r="M794" s="52"/>
      <c r="N794" s="52"/>
      <c r="O794" s="52"/>
      <c r="P794" s="52"/>
      <c r="Q794" s="52"/>
      <c r="U794" s="52"/>
    </row>
    <row r="795">
      <c r="M795" s="52"/>
      <c r="N795" s="52"/>
      <c r="O795" s="52"/>
      <c r="P795" s="52"/>
      <c r="Q795" s="52"/>
      <c r="U795" s="52"/>
    </row>
    <row r="796">
      <c r="M796" s="52"/>
      <c r="N796" s="52"/>
      <c r="O796" s="52"/>
      <c r="P796" s="52"/>
      <c r="Q796" s="52"/>
      <c r="U796" s="52"/>
    </row>
    <row r="797">
      <c r="M797" s="52"/>
      <c r="N797" s="52"/>
      <c r="O797" s="52"/>
      <c r="P797" s="52"/>
      <c r="Q797" s="52"/>
      <c r="U797" s="52"/>
    </row>
    <row r="798">
      <c r="M798" s="52"/>
      <c r="N798" s="52"/>
      <c r="O798" s="52"/>
      <c r="P798" s="52"/>
      <c r="Q798" s="52"/>
      <c r="U798" s="52"/>
    </row>
    <row r="799">
      <c r="M799" s="52"/>
      <c r="N799" s="52"/>
      <c r="O799" s="52"/>
      <c r="P799" s="52"/>
      <c r="Q799" s="52"/>
      <c r="U799" s="52"/>
    </row>
    <row r="800">
      <c r="M800" s="52"/>
      <c r="N800" s="52"/>
      <c r="O800" s="52"/>
      <c r="P800" s="52"/>
      <c r="Q800" s="52"/>
      <c r="U800" s="52"/>
    </row>
    <row r="801">
      <c r="M801" s="52"/>
      <c r="N801" s="52"/>
      <c r="O801" s="52"/>
      <c r="P801" s="52"/>
      <c r="Q801" s="52"/>
      <c r="U801" s="52"/>
    </row>
    <row r="802">
      <c r="M802" s="52"/>
      <c r="N802" s="52"/>
      <c r="O802" s="52"/>
      <c r="P802" s="52"/>
      <c r="Q802" s="52"/>
      <c r="U802" s="52"/>
    </row>
    <row r="803">
      <c r="M803" s="52"/>
      <c r="N803" s="52"/>
      <c r="O803" s="52"/>
      <c r="P803" s="52"/>
      <c r="Q803" s="52"/>
      <c r="U803" s="52"/>
    </row>
    <row r="804">
      <c r="M804" s="52"/>
      <c r="N804" s="52"/>
      <c r="O804" s="52"/>
      <c r="P804" s="52"/>
      <c r="Q804" s="52"/>
      <c r="U804" s="52"/>
    </row>
    <row r="805">
      <c r="M805" s="52"/>
      <c r="N805" s="52"/>
      <c r="O805" s="52"/>
      <c r="P805" s="52"/>
      <c r="Q805" s="52"/>
      <c r="U805" s="52"/>
    </row>
    <row r="806">
      <c r="M806" s="52"/>
      <c r="N806" s="52"/>
      <c r="O806" s="52"/>
      <c r="P806" s="52"/>
      <c r="Q806" s="52"/>
      <c r="U806" s="52"/>
    </row>
    <row r="807">
      <c r="M807" s="52"/>
      <c r="N807" s="52"/>
      <c r="O807" s="52"/>
      <c r="P807" s="52"/>
      <c r="Q807" s="52"/>
      <c r="U807" s="52"/>
    </row>
    <row r="808">
      <c r="M808" s="52"/>
      <c r="N808" s="52"/>
      <c r="O808" s="52"/>
      <c r="P808" s="52"/>
      <c r="Q808" s="52"/>
      <c r="U808" s="52"/>
    </row>
    <row r="809">
      <c r="M809" s="52"/>
      <c r="N809" s="52"/>
      <c r="O809" s="52"/>
      <c r="P809" s="52"/>
      <c r="Q809" s="52"/>
      <c r="U809" s="52"/>
    </row>
    <row r="810">
      <c r="M810" s="52"/>
      <c r="N810" s="52"/>
      <c r="O810" s="52"/>
      <c r="P810" s="52"/>
      <c r="Q810" s="52"/>
      <c r="U810" s="52"/>
    </row>
    <row r="811">
      <c r="M811" s="52"/>
      <c r="N811" s="52"/>
      <c r="O811" s="52"/>
      <c r="P811" s="52"/>
      <c r="Q811" s="52"/>
      <c r="U811" s="52"/>
    </row>
    <row r="812">
      <c r="M812" s="52"/>
      <c r="N812" s="52"/>
      <c r="O812" s="52"/>
      <c r="P812" s="52"/>
      <c r="Q812" s="52"/>
      <c r="U812" s="52"/>
    </row>
    <row r="813">
      <c r="M813" s="52"/>
      <c r="N813" s="52"/>
      <c r="O813" s="52"/>
      <c r="P813" s="52"/>
      <c r="Q813" s="52"/>
      <c r="U813" s="52"/>
    </row>
    <row r="814">
      <c r="M814" s="52"/>
      <c r="N814" s="52"/>
      <c r="O814" s="52"/>
      <c r="P814" s="52"/>
      <c r="Q814" s="52"/>
      <c r="U814" s="52"/>
    </row>
    <row r="815">
      <c r="M815" s="52"/>
      <c r="N815" s="52"/>
      <c r="O815" s="52"/>
      <c r="P815" s="52"/>
      <c r="Q815" s="52"/>
      <c r="U815" s="52"/>
    </row>
    <row r="816">
      <c r="M816" s="52"/>
      <c r="N816" s="52"/>
      <c r="O816" s="52"/>
      <c r="P816" s="52"/>
      <c r="Q816" s="52"/>
      <c r="U816" s="52"/>
    </row>
    <row r="817">
      <c r="M817" s="52"/>
      <c r="N817" s="52"/>
      <c r="O817" s="52"/>
      <c r="P817" s="52"/>
      <c r="Q817" s="52"/>
      <c r="U817" s="52"/>
    </row>
    <row r="818">
      <c r="M818" s="52"/>
      <c r="N818" s="52"/>
      <c r="O818" s="52"/>
      <c r="P818" s="52"/>
      <c r="Q818" s="52"/>
      <c r="U818" s="52"/>
    </row>
    <row r="819">
      <c r="M819" s="52"/>
      <c r="N819" s="52"/>
      <c r="O819" s="52"/>
      <c r="P819" s="52"/>
      <c r="Q819" s="52"/>
      <c r="U819" s="52"/>
    </row>
    <row r="820">
      <c r="M820" s="52"/>
      <c r="N820" s="52"/>
      <c r="O820" s="52"/>
      <c r="P820" s="52"/>
      <c r="Q820" s="52"/>
      <c r="U820" s="52"/>
    </row>
    <row r="821">
      <c r="M821" s="52"/>
      <c r="N821" s="52"/>
      <c r="O821" s="52"/>
      <c r="P821" s="52"/>
      <c r="Q821" s="52"/>
      <c r="U821" s="52"/>
    </row>
    <row r="822">
      <c r="M822" s="52"/>
      <c r="N822" s="52"/>
      <c r="O822" s="52"/>
      <c r="P822" s="52"/>
      <c r="Q822" s="52"/>
      <c r="U822" s="52"/>
    </row>
    <row r="823">
      <c r="M823" s="52"/>
      <c r="N823" s="52"/>
      <c r="O823" s="52"/>
      <c r="P823" s="52"/>
      <c r="Q823" s="52"/>
      <c r="U823" s="52"/>
    </row>
    <row r="824">
      <c r="M824" s="52"/>
      <c r="N824" s="52"/>
      <c r="O824" s="52"/>
      <c r="P824" s="52"/>
      <c r="Q824" s="52"/>
      <c r="U824" s="52"/>
    </row>
    <row r="825">
      <c r="M825" s="52"/>
      <c r="N825" s="52"/>
      <c r="O825" s="52"/>
      <c r="P825" s="52"/>
      <c r="Q825" s="52"/>
      <c r="U825" s="52"/>
    </row>
    <row r="826">
      <c r="M826" s="52"/>
      <c r="N826" s="52"/>
      <c r="O826" s="52"/>
      <c r="P826" s="52"/>
      <c r="Q826" s="52"/>
      <c r="U826" s="52"/>
    </row>
    <row r="827">
      <c r="M827" s="52"/>
      <c r="N827" s="52"/>
      <c r="O827" s="52"/>
      <c r="P827" s="52"/>
      <c r="Q827" s="52"/>
      <c r="U827" s="52"/>
    </row>
    <row r="828">
      <c r="M828" s="52"/>
      <c r="N828" s="52"/>
      <c r="O828" s="52"/>
      <c r="P828" s="52"/>
      <c r="Q828" s="52"/>
      <c r="U828" s="52"/>
    </row>
    <row r="829">
      <c r="M829" s="52"/>
      <c r="N829" s="52"/>
      <c r="O829" s="52"/>
      <c r="P829" s="52"/>
      <c r="Q829" s="52"/>
      <c r="U829" s="52"/>
    </row>
    <row r="830">
      <c r="M830" s="52"/>
      <c r="N830" s="52"/>
      <c r="O830" s="52"/>
      <c r="P830" s="52"/>
      <c r="Q830" s="52"/>
      <c r="U830" s="52"/>
    </row>
    <row r="831">
      <c r="M831" s="52"/>
      <c r="N831" s="52"/>
      <c r="O831" s="52"/>
      <c r="P831" s="52"/>
      <c r="Q831" s="52"/>
      <c r="U831" s="52"/>
    </row>
    <row r="832">
      <c r="M832" s="52"/>
      <c r="N832" s="52"/>
      <c r="O832" s="52"/>
      <c r="P832" s="52"/>
      <c r="Q832" s="52"/>
      <c r="U832" s="52"/>
    </row>
    <row r="833">
      <c r="M833" s="52"/>
      <c r="N833" s="52"/>
      <c r="O833" s="52"/>
      <c r="P833" s="52"/>
      <c r="Q833" s="52"/>
      <c r="U833" s="52"/>
    </row>
    <row r="834">
      <c r="M834" s="52"/>
      <c r="N834" s="52"/>
      <c r="O834" s="52"/>
      <c r="P834" s="52"/>
      <c r="Q834" s="52"/>
      <c r="U834" s="52"/>
    </row>
    <row r="835">
      <c r="M835" s="52"/>
      <c r="N835" s="52"/>
      <c r="O835" s="52"/>
      <c r="P835" s="52"/>
      <c r="Q835" s="52"/>
      <c r="U835" s="52"/>
    </row>
    <row r="836">
      <c r="M836" s="52"/>
      <c r="N836" s="52"/>
      <c r="O836" s="52"/>
      <c r="P836" s="52"/>
      <c r="Q836" s="52"/>
      <c r="U836" s="52"/>
    </row>
    <row r="837">
      <c r="M837" s="52"/>
      <c r="N837" s="52"/>
      <c r="O837" s="52"/>
      <c r="P837" s="52"/>
      <c r="Q837" s="52"/>
      <c r="U837" s="52"/>
    </row>
    <row r="838">
      <c r="M838" s="52"/>
      <c r="N838" s="52"/>
      <c r="O838" s="52"/>
      <c r="P838" s="52"/>
      <c r="Q838" s="52"/>
      <c r="U838" s="52"/>
    </row>
    <row r="839">
      <c r="M839" s="52"/>
      <c r="N839" s="52"/>
      <c r="O839" s="52"/>
      <c r="P839" s="52"/>
      <c r="Q839" s="52"/>
      <c r="U839" s="52"/>
    </row>
    <row r="840">
      <c r="M840" s="52"/>
      <c r="N840" s="52"/>
      <c r="O840" s="52"/>
      <c r="P840" s="52"/>
      <c r="Q840" s="52"/>
      <c r="U840" s="52"/>
    </row>
    <row r="841">
      <c r="M841" s="52"/>
      <c r="N841" s="52"/>
      <c r="O841" s="52"/>
      <c r="P841" s="52"/>
      <c r="Q841" s="52"/>
      <c r="U841" s="52"/>
    </row>
    <row r="842">
      <c r="M842" s="52"/>
      <c r="N842" s="52"/>
      <c r="O842" s="52"/>
      <c r="P842" s="52"/>
      <c r="Q842" s="52"/>
      <c r="U842" s="52"/>
    </row>
    <row r="843">
      <c r="M843" s="52"/>
      <c r="N843" s="52"/>
      <c r="O843" s="52"/>
      <c r="P843" s="52"/>
      <c r="Q843" s="52"/>
      <c r="U843" s="52"/>
    </row>
    <row r="844">
      <c r="M844" s="52"/>
      <c r="N844" s="52"/>
      <c r="O844" s="52"/>
      <c r="P844" s="52"/>
      <c r="Q844" s="52"/>
      <c r="U844" s="52"/>
    </row>
    <row r="845">
      <c r="M845" s="52"/>
      <c r="N845" s="52"/>
      <c r="O845" s="52"/>
      <c r="P845" s="52"/>
      <c r="Q845" s="52"/>
      <c r="U845" s="52"/>
    </row>
    <row r="846">
      <c r="M846" s="52"/>
      <c r="N846" s="52"/>
      <c r="O846" s="52"/>
      <c r="P846" s="52"/>
      <c r="Q846" s="52"/>
      <c r="U846" s="52"/>
    </row>
    <row r="847">
      <c r="M847" s="52"/>
      <c r="N847" s="52"/>
      <c r="O847" s="52"/>
      <c r="P847" s="52"/>
      <c r="Q847" s="52"/>
      <c r="U847" s="52"/>
    </row>
    <row r="848">
      <c r="M848" s="52"/>
      <c r="N848" s="52"/>
      <c r="O848" s="52"/>
      <c r="P848" s="52"/>
      <c r="Q848" s="52"/>
      <c r="U848" s="52"/>
    </row>
    <row r="849">
      <c r="M849" s="52"/>
      <c r="N849" s="52"/>
      <c r="O849" s="52"/>
      <c r="P849" s="52"/>
      <c r="Q849" s="52"/>
      <c r="U849" s="52"/>
    </row>
    <row r="850">
      <c r="M850" s="52"/>
      <c r="N850" s="52"/>
      <c r="O850" s="52"/>
      <c r="P850" s="52"/>
      <c r="Q850" s="52"/>
      <c r="U850" s="52"/>
    </row>
    <row r="851">
      <c r="M851" s="52"/>
      <c r="N851" s="52"/>
      <c r="O851" s="52"/>
      <c r="P851" s="52"/>
      <c r="Q851" s="52"/>
      <c r="U851" s="52"/>
    </row>
    <row r="852">
      <c r="M852" s="52"/>
      <c r="N852" s="52"/>
      <c r="O852" s="52"/>
      <c r="P852" s="52"/>
      <c r="Q852" s="52"/>
      <c r="U852" s="52"/>
    </row>
    <row r="853">
      <c r="M853" s="52"/>
      <c r="N853" s="52"/>
      <c r="O853" s="52"/>
      <c r="P853" s="52"/>
      <c r="Q853" s="52"/>
      <c r="U853" s="52"/>
    </row>
    <row r="854">
      <c r="M854" s="52"/>
      <c r="N854" s="52"/>
      <c r="O854" s="52"/>
      <c r="P854" s="52"/>
      <c r="Q854" s="52"/>
      <c r="U854" s="52"/>
    </row>
    <row r="855">
      <c r="M855" s="52"/>
      <c r="N855" s="52"/>
      <c r="O855" s="52"/>
      <c r="P855" s="52"/>
      <c r="Q855" s="52"/>
      <c r="U855" s="52"/>
    </row>
    <row r="856">
      <c r="M856" s="52"/>
      <c r="N856" s="52"/>
      <c r="O856" s="52"/>
      <c r="P856" s="52"/>
      <c r="Q856" s="52"/>
      <c r="U856" s="52"/>
    </row>
    <row r="857">
      <c r="M857" s="52"/>
      <c r="N857" s="52"/>
      <c r="O857" s="52"/>
      <c r="P857" s="52"/>
      <c r="Q857" s="52"/>
      <c r="U857" s="52"/>
    </row>
    <row r="858">
      <c r="M858" s="52"/>
      <c r="N858" s="52"/>
      <c r="O858" s="52"/>
      <c r="P858" s="52"/>
      <c r="Q858" s="52"/>
      <c r="U858" s="52"/>
    </row>
    <row r="859">
      <c r="M859" s="52"/>
      <c r="N859" s="52"/>
      <c r="O859" s="52"/>
      <c r="P859" s="52"/>
      <c r="Q859" s="52"/>
      <c r="U859" s="52"/>
    </row>
    <row r="860">
      <c r="M860" s="52"/>
      <c r="N860" s="52"/>
      <c r="O860" s="52"/>
      <c r="P860" s="52"/>
      <c r="Q860" s="52"/>
      <c r="U860" s="52"/>
    </row>
    <row r="861">
      <c r="M861" s="52"/>
      <c r="N861" s="52"/>
      <c r="O861" s="52"/>
      <c r="P861" s="52"/>
      <c r="Q861" s="52"/>
      <c r="U861" s="52"/>
    </row>
    <row r="862">
      <c r="M862" s="52"/>
      <c r="N862" s="52"/>
      <c r="O862" s="52"/>
      <c r="P862" s="52"/>
      <c r="Q862" s="52"/>
      <c r="U862" s="52"/>
    </row>
    <row r="863">
      <c r="M863" s="52"/>
      <c r="N863" s="52"/>
      <c r="O863" s="52"/>
      <c r="P863" s="52"/>
      <c r="Q863" s="52"/>
      <c r="U863" s="52"/>
    </row>
    <row r="864">
      <c r="M864" s="52"/>
      <c r="N864" s="52"/>
      <c r="O864" s="52"/>
      <c r="P864" s="52"/>
      <c r="Q864" s="52"/>
      <c r="U864" s="52"/>
    </row>
    <row r="865">
      <c r="M865" s="52"/>
      <c r="N865" s="52"/>
      <c r="O865" s="52"/>
      <c r="P865" s="52"/>
      <c r="Q865" s="52"/>
      <c r="U865" s="52"/>
    </row>
    <row r="866">
      <c r="M866" s="52"/>
      <c r="N866" s="52"/>
      <c r="O866" s="52"/>
      <c r="P866" s="52"/>
      <c r="Q866" s="52"/>
      <c r="U866" s="52"/>
    </row>
    <row r="867">
      <c r="M867" s="52"/>
      <c r="N867" s="52"/>
      <c r="O867" s="52"/>
      <c r="P867" s="52"/>
      <c r="Q867" s="52"/>
      <c r="U867" s="52"/>
    </row>
    <row r="868">
      <c r="M868" s="52"/>
      <c r="N868" s="52"/>
      <c r="O868" s="52"/>
      <c r="P868" s="52"/>
      <c r="Q868" s="52"/>
      <c r="U868" s="52"/>
    </row>
    <row r="869">
      <c r="M869" s="52"/>
      <c r="N869" s="52"/>
      <c r="O869" s="52"/>
      <c r="P869" s="52"/>
      <c r="Q869" s="52"/>
      <c r="U869" s="52"/>
    </row>
    <row r="870">
      <c r="M870" s="52"/>
      <c r="N870" s="52"/>
      <c r="O870" s="52"/>
      <c r="P870" s="52"/>
      <c r="Q870" s="52"/>
      <c r="U870" s="52"/>
    </row>
    <row r="871">
      <c r="M871" s="52"/>
      <c r="N871" s="52"/>
      <c r="O871" s="52"/>
      <c r="P871" s="52"/>
      <c r="Q871" s="52"/>
      <c r="U871" s="52"/>
    </row>
    <row r="872">
      <c r="M872" s="52"/>
      <c r="N872" s="52"/>
      <c r="O872" s="52"/>
      <c r="P872" s="52"/>
      <c r="Q872" s="52"/>
      <c r="U872" s="52"/>
    </row>
    <row r="873">
      <c r="M873" s="52"/>
      <c r="N873" s="52"/>
      <c r="O873" s="52"/>
      <c r="P873" s="52"/>
      <c r="Q873" s="52"/>
      <c r="U873" s="52"/>
    </row>
    <row r="874">
      <c r="M874" s="52"/>
      <c r="N874" s="52"/>
      <c r="O874" s="52"/>
      <c r="P874" s="52"/>
      <c r="Q874" s="52"/>
      <c r="U874" s="52"/>
    </row>
    <row r="875">
      <c r="M875" s="52"/>
      <c r="N875" s="52"/>
      <c r="O875" s="52"/>
      <c r="P875" s="52"/>
      <c r="Q875" s="52"/>
      <c r="U875" s="52"/>
    </row>
    <row r="876">
      <c r="M876" s="52"/>
      <c r="N876" s="52"/>
      <c r="O876" s="52"/>
      <c r="P876" s="52"/>
      <c r="Q876" s="52"/>
      <c r="U876" s="52"/>
    </row>
    <row r="877">
      <c r="M877" s="52"/>
      <c r="N877" s="52"/>
      <c r="O877" s="52"/>
      <c r="P877" s="52"/>
      <c r="Q877" s="52"/>
      <c r="U877" s="52"/>
    </row>
    <row r="878">
      <c r="M878" s="52"/>
      <c r="N878" s="52"/>
      <c r="O878" s="52"/>
      <c r="P878" s="52"/>
      <c r="Q878" s="52"/>
      <c r="U878" s="52"/>
    </row>
    <row r="879">
      <c r="M879" s="52"/>
      <c r="N879" s="52"/>
      <c r="O879" s="52"/>
      <c r="P879" s="52"/>
      <c r="Q879" s="52"/>
      <c r="U879" s="52"/>
    </row>
    <row r="880">
      <c r="M880" s="52"/>
      <c r="N880" s="52"/>
      <c r="O880" s="52"/>
      <c r="P880" s="52"/>
      <c r="Q880" s="52"/>
      <c r="U880" s="52"/>
    </row>
    <row r="881">
      <c r="M881" s="52"/>
      <c r="N881" s="52"/>
      <c r="O881" s="52"/>
      <c r="P881" s="52"/>
      <c r="Q881" s="52"/>
      <c r="U881" s="52"/>
    </row>
    <row r="882">
      <c r="M882" s="52"/>
      <c r="N882" s="52"/>
      <c r="O882" s="52"/>
      <c r="P882" s="52"/>
      <c r="Q882" s="52"/>
      <c r="U882" s="52"/>
    </row>
    <row r="883">
      <c r="M883" s="52"/>
      <c r="N883" s="52"/>
      <c r="O883" s="52"/>
      <c r="P883" s="52"/>
      <c r="Q883" s="52"/>
      <c r="U883" s="52"/>
    </row>
    <row r="884">
      <c r="M884" s="52"/>
      <c r="N884" s="52"/>
      <c r="O884" s="52"/>
      <c r="P884" s="52"/>
      <c r="Q884" s="52"/>
      <c r="U884" s="52"/>
    </row>
    <row r="885">
      <c r="M885" s="52"/>
      <c r="N885" s="52"/>
      <c r="O885" s="52"/>
      <c r="P885" s="52"/>
      <c r="Q885" s="52"/>
      <c r="U885" s="52"/>
    </row>
    <row r="886">
      <c r="M886" s="52"/>
      <c r="N886" s="52"/>
      <c r="O886" s="52"/>
      <c r="P886" s="52"/>
      <c r="Q886" s="52"/>
      <c r="U886" s="52"/>
    </row>
    <row r="887">
      <c r="M887" s="52"/>
      <c r="N887" s="52"/>
      <c r="O887" s="52"/>
      <c r="P887" s="52"/>
      <c r="Q887" s="52"/>
      <c r="U887" s="52"/>
    </row>
    <row r="888">
      <c r="M888" s="52"/>
      <c r="N888" s="52"/>
      <c r="O888" s="52"/>
      <c r="P888" s="52"/>
      <c r="Q888" s="52"/>
      <c r="U888" s="52"/>
    </row>
    <row r="889">
      <c r="M889" s="52"/>
      <c r="N889" s="52"/>
      <c r="O889" s="52"/>
      <c r="P889" s="52"/>
      <c r="Q889" s="52"/>
      <c r="U889" s="52"/>
    </row>
    <row r="890">
      <c r="M890" s="52"/>
      <c r="N890" s="52"/>
      <c r="O890" s="52"/>
      <c r="P890" s="52"/>
      <c r="Q890" s="52"/>
      <c r="U890" s="52"/>
    </row>
    <row r="891">
      <c r="M891" s="52"/>
      <c r="N891" s="52"/>
      <c r="O891" s="52"/>
      <c r="P891" s="52"/>
      <c r="Q891" s="52"/>
      <c r="U891" s="52"/>
    </row>
    <row r="892">
      <c r="M892" s="52"/>
      <c r="N892" s="52"/>
      <c r="O892" s="52"/>
      <c r="P892" s="52"/>
      <c r="Q892" s="52"/>
      <c r="U892" s="52"/>
    </row>
    <row r="893">
      <c r="M893" s="52"/>
      <c r="N893" s="52"/>
      <c r="O893" s="52"/>
      <c r="P893" s="52"/>
      <c r="Q893" s="52"/>
      <c r="U893" s="52"/>
    </row>
    <row r="894">
      <c r="M894" s="52"/>
      <c r="N894" s="52"/>
      <c r="O894" s="52"/>
      <c r="P894" s="52"/>
      <c r="Q894" s="52"/>
      <c r="U894" s="52"/>
    </row>
    <row r="895">
      <c r="M895" s="52"/>
      <c r="N895" s="52"/>
      <c r="O895" s="52"/>
      <c r="P895" s="52"/>
      <c r="Q895" s="52"/>
      <c r="U895" s="52"/>
    </row>
    <row r="896">
      <c r="M896" s="52"/>
      <c r="N896" s="52"/>
      <c r="O896" s="52"/>
      <c r="P896" s="52"/>
      <c r="Q896" s="52"/>
      <c r="U896" s="52"/>
    </row>
    <row r="897">
      <c r="M897" s="52"/>
      <c r="N897" s="52"/>
      <c r="O897" s="52"/>
      <c r="P897" s="52"/>
      <c r="Q897" s="52"/>
      <c r="U897" s="52"/>
    </row>
    <row r="898">
      <c r="M898" s="52"/>
      <c r="N898" s="52"/>
      <c r="O898" s="52"/>
      <c r="P898" s="52"/>
      <c r="Q898" s="52"/>
      <c r="U898" s="52"/>
    </row>
    <row r="899">
      <c r="M899" s="52"/>
      <c r="N899" s="52"/>
      <c r="O899" s="52"/>
      <c r="P899" s="52"/>
      <c r="Q899" s="52"/>
      <c r="U899" s="52"/>
    </row>
    <row r="900">
      <c r="M900" s="52"/>
      <c r="N900" s="52"/>
      <c r="O900" s="52"/>
      <c r="P900" s="52"/>
      <c r="Q900" s="52"/>
      <c r="U900" s="52"/>
    </row>
    <row r="901">
      <c r="M901" s="52"/>
      <c r="N901" s="52"/>
      <c r="O901" s="52"/>
      <c r="P901" s="52"/>
      <c r="Q901" s="52"/>
      <c r="U901" s="52"/>
    </row>
    <row r="902">
      <c r="M902" s="52"/>
      <c r="N902" s="52"/>
      <c r="O902" s="52"/>
      <c r="P902" s="52"/>
      <c r="Q902" s="52"/>
      <c r="U902" s="52"/>
    </row>
    <row r="903">
      <c r="M903" s="52"/>
      <c r="N903" s="52"/>
      <c r="O903" s="52"/>
      <c r="P903" s="52"/>
      <c r="Q903" s="52"/>
      <c r="U903" s="52"/>
    </row>
    <row r="904">
      <c r="M904" s="52"/>
      <c r="N904" s="52"/>
      <c r="O904" s="52"/>
      <c r="P904" s="52"/>
      <c r="Q904" s="52"/>
      <c r="U904" s="52"/>
    </row>
    <row r="905">
      <c r="M905" s="52"/>
      <c r="N905" s="52"/>
      <c r="O905" s="52"/>
      <c r="P905" s="52"/>
      <c r="Q905" s="52"/>
      <c r="U905" s="52"/>
    </row>
    <row r="906">
      <c r="M906" s="52"/>
      <c r="N906" s="52"/>
      <c r="O906" s="52"/>
      <c r="P906" s="52"/>
      <c r="Q906" s="52"/>
      <c r="U906" s="52"/>
    </row>
    <row r="907">
      <c r="M907" s="52"/>
      <c r="N907" s="52"/>
      <c r="O907" s="52"/>
      <c r="P907" s="52"/>
      <c r="Q907" s="52"/>
      <c r="U907" s="52"/>
    </row>
    <row r="908">
      <c r="M908" s="52"/>
      <c r="N908" s="52"/>
      <c r="O908" s="52"/>
      <c r="P908" s="52"/>
      <c r="Q908" s="52"/>
      <c r="U908" s="52"/>
    </row>
    <row r="909">
      <c r="M909" s="52"/>
      <c r="N909" s="52"/>
      <c r="O909" s="52"/>
      <c r="P909" s="52"/>
      <c r="Q909" s="52"/>
      <c r="U909" s="52"/>
    </row>
    <row r="910">
      <c r="M910" s="52"/>
      <c r="N910" s="52"/>
      <c r="O910" s="52"/>
      <c r="P910" s="52"/>
      <c r="Q910" s="52"/>
      <c r="U910" s="52"/>
    </row>
    <row r="911">
      <c r="M911" s="52"/>
      <c r="N911" s="52"/>
      <c r="O911" s="52"/>
      <c r="P911" s="52"/>
      <c r="Q911" s="52"/>
      <c r="U911" s="52"/>
    </row>
    <row r="912">
      <c r="M912" s="52"/>
      <c r="N912" s="52"/>
      <c r="O912" s="52"/>
      <c r="P912" s="52"/>
      <c r="Q912" s="52"/>
      <c r="U912" s="52"/>
    </row>
    <row r="913">
      <c r="M913" s="52"/>
      <c r="N913" s="52"/>
      <c r="O913" s="52"/>
      <c r="P913" s="52"/>
      <c r="Q913" s="52"/>
      <c r="U913" s="52"/>
    </row>
    <row r="914">
      <c r="M914" s="52"/>
      <c r="N914" s="52"/>
      <c r="O914" s="52"/>
      <c r="P914" s="52"/>
      <c r="Q914" s="52"/>
      <c r="U914" s="52"/>
    </row>
    <row r="915">
      <c r="M915" s="52"/>
      <c r="N915" s="52"/>
      <c r="O915" s="52"/>
      <c r="P915" s="52"/>
      <c r="Q915" s="52"/>
      <c r="U915" s="52"/>
    </row>
    <row r="916">
      <c r="M916" s="52"/>
      <c r="N916" s="52"/>
      <c r="O916" s="52"/>
      <c r="P916" s="52"/>
      <c r="Q916" s="52"/>
      <c r="U916" s="52"/>
    </row>
    <row r="917">
      <c r="M917" s="52"/>
      <c r="N917" s="52"/>
      <c r="O917" s="52"/>
      <c r="P917" s="52"/>
      <c r="Q917" s="52"/>
      <c r="U917" s="52"/>
    </row>
    <row r="918">
      <c r="M918" s="52"/>
      <c r="N918" s="52"/>
      <c r="O918" s="52"/>
      <c r="P918" s="52"/>
      <c r="Q918" s="52"/>
      <c r="U918" s="52"/>
    </row>
    <row r="919">
      <c r="M919" s="52"/>
      <c r="N919" s="52"/>
      <c r="O919" s="52"/>
      <c r="P919" s="52"/>
      <c r="Q919" s="52"/>
      <c r="U919" s="52"/>
    </row>
    <row r="920">
      <c r="M920" s="52"/>
      <c r="N920" s="52"/>
      <c r="O920" s="52"/>
      <c r="P920" s="52"/>
      <c r="Q920" s="52"/>
      <c r="U920" s="52"/>
    </row>
    <row r="921">
      <c r="M921" s="52"/>
      <c r="N921" s="52"/>
      <c r="O921" s="52"/>
      <c r="P921" s="52"/>
      <c r="Q921" s="52"/>
      <c r="U921" s="52"/>
    </row>
    <row r="922">
      <c r="M922" s="52"/>
      <c r="N922" s="52"/>
      <c r="O922" s="52"/>
      <c r="P922" s="52"/>
      <c r="Q922" s="52"/>
      <c r="U922" s="52"/>
    </row>
    <row r="923">
      <c r="M923" s="52"/>
      <c r="N923" s="52"/>
      <c r="O923" s="52"/>
      <c r="P923" s="52"/>
      <c r="Q923" s="52"/>
      <c r="U923" s="52"/>
    </row>
    <row r="924">
      <c r="M924" s="52"/>
      <c r="N924" s="52"/>
      <c r="O924" s="52"/>
      <c r="P924" s="52"/>
      <c r="Q924" s="52"/>
      <c r="U924" s="52"/>
    </row>
    <row r="925">
      <c r="M925" s="52"/>
      <c r="N925" s="52"/>
      <c r="O925" s="52"/>
      <c r="P925" s="52"/>
      <c r="Q925" s="52"/>
      <c r="U925" s="52"/>
    </row>
    <row r="926">
      <c r="M926" s="52"/>
      <c r="N926" s="52"/>
      <c r="O926" s="52"/>
      <c r="P926" s="52"/>
      <c r="Q926" s="52"/>
      <c r="U926" s="52"/>
    </row>
    <row r="927">
      <c r="M927" s="52"/>
      <c r="N927" s="52"/>
      <c r="O927" s="52"/>
      <c r="P927" s="52"/>
      <c r="Q927" s="52"/>
      <c r="U927" s="52"/>
    </row>
    <row r="928">
      <c r="M928" s="52"/>
      <c r="N928" s="52"/>
      <c r="O928" s="52"/>
      <c r="P928" s="52"/>
      <c r="Q928" s="52"/>
      <c r="U928" s="52"/>
    </row>
    <row r="929">
      <c r="M929" s="52"/>
      <c r="N929" s="52"/>
      <c r="O929" s="52"/>
      <c r="P929" s="52"/>
      <c r="Q929" s="52"/>
      <c r="U929" s="52"/>
    </row>
    <row r="930">
      <c r="M930" s="52"/>
      <c r="N930" s="52"/>
      <c r="O930" s="52"/>
      <c r="P930" s="52"/>
      <c r="Q930" s="52"/>
      <c r="U930" s="52"/>
    </row>
    <row r="931">
      <c r="M931" s="52"/>
      <c r="N931" s="52"/>
      <c r="O931" s="52"/>
      <c r="P931" s="52"/>
      <c r="Q931" s="52"/>
      <c r="U931" s="52"/>
    </row>
    <row r="932">
      <c r="M932" s="52"/>
      <c r="N932" s="52"/>
      <c r="O932" s="52"/>
      <c r="P932" s="52"/>
      <c r="Q932" s="52"/>
      <c r="U932" s="52"/>
    </row>
    <row r="933">
      <c r="M933" s="52"/>
      <c r="N933" s="52"/>
      <c r="O933" s="52"/>
      <c r="P933" s="52"/>
      <c r="Q933" s="52"/>
      <c r="U933" s="52"/>
    </row>
    <row r="934">
      <c r="M934" s="52"/>
      <c r="N934" s="52"/>
      <c r="O934" s="52"/>
      <c r="P934" s="52"/>
      <c r="Q934" s="52"/>
      <c r="U934" s="52"/>
    </row>
    <row r="935">
      <c r="M935" s="52"/>
      <c r="N935" s="52"/>
      <c r="O935" s="52"/>
      <c r="P935" s="52"/>
      <c r="Q935" s="52"/>
      <c r="U935" s="52"/>
    </row>
    <row r="936">
      <c r="M936" s="52"/>
      <c r="N936" s="52"/>
      <c r="O936" s="52"/>
      <c r="P936" s="52"/>
      <c r="Q936" s="52"/>
      <c r="U936" s="52"/>
    </row>
    <row r="937">
      <c r="M937" s="52"/>
      <c r="N937" s="52"/>
      <c r="O937" s="52"/>
      <c r="P937" s="52"/>
      <c r="Q937" s="52"/>
      <c r="U937" s="52"/>
    </row>
    <row r="938">
      <c r="M938" s="52"/>
      <c r="N938" s="52"/>
      <c r="O938" s="52"/>
      <c r="P938" s="52"/>
      <c r="Q938" s="52"/>
      <c r="U938" s="52"/>
    </row>
    <row r="939">
      <c r="M939" s="52"/>
      <c r="N939" s="52"/>
      <c r="O939" s="52"/>
      <c r="P939" s="52"/>
      <c r="Q939" s="52"/>
      <c r="U939" s="52"/>
    </row>
    <row r="940">
      <c r="M940" s="52"/>
      <c r="N940" s="52"/>
      <c r="O940" s="52"/>
      <c r="P940" s="52"/>
      <c r="Q940" s="52"/>
      <c r="U940" s="52"/>
    </row>
    <row r="941">
      <c r="M941" s="52"/>
      <c r="N941" s="52"/>
      <c r="O941" s="52"/>
      <c r="P941" s="52"/>
      <c r="Q941" s="52"/>
      <c r="U941" s="52"/>
    </row>
    <row r="942">
      <c r="M942" s="52"/>
      <c r="N942" s="52"/>
      <c r="O942" s="52"/>
      <c r="P942" s="52"/>
      <c r="Q942" s="52"/>
      <c r="U942" s="52"/>
    </row>
    <row r="943">
      <c r="M943" s="52"/>
      <c r="N943" s="52"/>
      <c r="O943" s="52"/>
      <c r="P943" s="52"/>
      <c r="Q943" s="52"/>
      <c r="U943" s="52"/>
    </row>
    <row r="944">
      <c r="M944" s="52"/>
      <c r="N944" s="52"/>
      <c r="O944" s="52"/>
      <c r="P944" s="52"/>
      <c r="Q944" s="52"/>
      <c r="U944" s="52"/>
    </row>
    <row r="945">
      <c r="M945" s="52"/>
      <c r="N945" s="52"/>
      <c r="O945" s="52"/>
      <c r="P945" s="52"/>
      <c r="Q945" s="52"/>
      <c r="U945" s="52"/>
    </row>
    <row r="946">
      <c r="M946" s="52"/>
      <c r="N946" s="52"/>
      <c r="O946" s="52"/>
      <c r="P946" s="52"/>
      <c r="Q946" s="52"/>
      <c r="U946" s="52"/>
    </row>
    <row r="947">
      <c r="M947" s="52"/>
      <c r="N947" s="52"/>
      <c r="O947" s="52"/>
      <c r="P947" s="52"/>
      <c r="Q947" s="52"/>
      <c r="U947" s="52"/>
    </row>
    <row r="948">
      <c r="M948" s="52"/>
      <c r="N948" s="52"/>
      <c r="O948" s="52"/>
      <c r="P948" s="52"/>
      <c r="Q948" s="52"/>
      <c r="U948" s="52"/>
    </row>
    <row r="949">
      <c r="M949" s="52"/>
      <c r="N949" s="52"/>
      <c r="O949" s="52"/>
      <c r="P949" s="52"/>
      <c r="Q949" s="52"/>
      <c r="U949" s="52"/>
    </row>
    <row r="950">
      <c r="M950" s="52"/>
      <c r="N950" s="52"/>
      <c r="O950" s="52"/>
      <c r="P950" s="52"/>
      <c r="Q950" s="52"/>
      <c r="U950" s="52"/>
    </row>
    <row r="951">
      <c r="M951" s="52"/>
      <c r="N951" s="52"/>
      <c r="O951" s="52"/>
      <c r="P951" s="52"/>
      <c r="Q951" s="52"/>
      <c r="U951" s="52"/>
    </row>
    <row r="952">
      <c r="M952" s="52"/>
      <c r="N952" s="52"/>
      <c r="O952" s="52"/>
      <c r="P952" s="52"/>
      <c r="Q952" s="52"/>
      <c r="U952" s="52"/>
    </row>
    <row r="953">
      <c r="M953" s="52"/>
      <c r="N953" s="52"/>
      <c r="O953" s="52"/>
      <c r="P953" s="52"/>
      <c r="Q953" s="52"/>
      <c r="U953" s="52"/>
    </row>
    <row r="954">
      <c r="M954" s="52"/>
      <c r="N954" s="52"/>
      <c r="O954" s="52"/>
      <c r="P954" s="52"/>
      <c r="Q954" s="52"/>
      <c r="U954" s="52"/>
    </row>
    <row r="955">
      <c r="M955" s="52"/>
      <c r="N955" s="52"/>
      <c r="O955" s="52"/>
      <c r="P955" s="52"/>
      <c r="Q955" s="52"/>
      <c r="U955" s="52"/>
    </row>
    <row r="956">
      <c r="M956" s="52"/>
      <c r="N956" s="52"/>
      <c r="O956" s="52"/>
      <c r="P956" s="52"/>
      <c r="Q956" s="52"/>
      <c r="U956" s="52"/>
    </row>
    <row r="957">
      <c r="M957" s="52"/>
      <c r="N957" s="52"/>
      <c r="O957" s="52"/>
      <c r="P957" s="52"/>
      <c r="Q957" s="52"/>
      <c r="U957" s="52"/>
    </row>
    <row r="958">
      <c r="M958" s="52"/>
      <c r="N958" s="52"/>
      <c r="O958" s="52"/>
      <c r="P958" s="52"/>
      <c r="Q958" s="52"/>
      <c r="U958" s="52"/>
    </row>
    <row r="959">
      <c r="M959" s="52"/>
      <c r="N959" s="52"/>
      <c r="O959" s="52"/>
      <c r="P959" s="52"/>
      <c r="Q959" s="52"/>
      <c r="U959" s="52"/>
    </row>
    <row r="960">
      <c r="M960" s="52"/>
      <c r="N960" s="52"/>
      <c r="O960" s="52"/>
      <c r="P960" s="52"/>
      <c r="Q960" s="52"/>
      <c r="U960" s="52"/>
    </row>
    <row r="961">
      <c r="M961" s="52"/>
      <c r="N961" s="52"/>
      <c r="O961" s="52"/>
      <c r="P961" s="52"/>
      <c r="Q961" s="52"/>
      <c r="U961" s="52"/>
    </row>
    <row r="962">
      <c r="M962" s="52"/>
      <c r="N962" s="52"/>
      <c r="O962" s="52"/>
      <c r="P962" s="52"/>
      <c r="Q962" s="52"/>
      <c r="U962" s="52"/>
    </row>
    <row r="963">
      <c r="M963" s="52"/>
      <c r="N963" s="52"/>
      <c r="O963" s="52"/>
      <c r="P963" s="52"/>
      <c r="Q963" s="52"/>
      <c r="U963" s="52"/>
    </row>
    <row r="964">
      <c r="M964" s="52"/>
      <c r="N964" s="52"/>
      <c r="O964" s="52"/>
      <c r="P964" s="52"/>
      <c r="Q964" s="52"/>
      <c r="U964" s="52"/>
    </row>
    <row r="965">
      <c r="M965" s="52"/>
      <c r="N965" s="52"/>
      <c r="O965" s="52"/>
      <c r="P965" s="52"/>
      <c r="Q965" s="52"/>
      <c r="U965" s="52"/>
    </row>
    <row r="966">
      <c r="M966" s="52"/>
      <c r="N966" s="52"/>
      <c r="O966" s="52"/>
      <c r="P966" s="52"/>
      <c r="Q966" s="52"/>
      <c r="U966" s="52"/>
    </row>
    <row r="967">
      <c r="M967" s="52"/>
      <c r="N967" s="52"/>
      <c r="O967" s="52"/>
      <c r="P967" s="52"/>
      <c r="Q967" s="52"/>
      <c r="U967" s="52"/>
    </row>
    <row r="968">
      <c r="M968" s="52"/>
      <c r="N968" s="52"/>
      <c r="O968" s="52"/>
      <c r="P968" s="52"/>
      <c r="Q968" s="52"/>
      <c r="U968" s="52"/>
    </row>
    <row r="969">
      <c r="M969" s="52"/>
      <c r="N969" s="52"/>
      <c r="O969" s="52"/>
      <c r="P969" s="52"/>
      <c r="Q969" s="52"/>
      <c r="U969" s="52"/>
    </row>
    <row r="970">
      <c r="M970" s="52"/>
      <c r="N970" s="52"/>
      <c r="O970" s="52"/>
      <c r="P970" s="52"/>
      <c r="Q970" s="52"/>
      <c r="U970" s="52"/>
    </row>
    <row r="971">
      <c r="M971" s="52"/>
      <c r="N971" s="52"/>
      <c r="O971" s="52"/>
      <c r="P971" s="52"/>
      <c r="Q971" s="52"/>
      <c r="U971" s="52"/>
    </row>
    <row r="972">
      <c r="M972" s="52"/>
      <c r="N972" s="52"/>
      <c r="O972" s="52"/>
      <c r="P972" s="52"/>
      <c r="Q972" s="52"/>
      <c r="U972" s="52"/>
    </row>
    <row r="973">
      <c r="M973" s="52"/>
      <c r="N973" s="52"/>
      <c r="O973" s="52"/>
      <c r="P973" s="52"/>
      <c r="Q973" s="52"/>
      <c r="U973" s="52"/>
    </row>
    <row r="974">
      <c r="M974" s="52"/>
      <c r="N974" s="52"/>
      <c r="O974" s="52"/>
      <c r="P974" s="52"/>
      <c r="Q974" s="52"/>
      <c r="U974" s="52"/>
    </row>
    <row r="975">
      <c r="M975" s="52"/>
      <c r="N975" s="52"/>
      <c r="O975" s="52"/>
      <c r="P975" s="52"/>
      <c r="Q975" s="52"/>
      <c r="U975" s="52"/>
    </row>
    <row r="976">
      <c r="M976" s="52"/>
      <c r="N976" s="52"/>
      <c r="O976" s="52"/>
      <c r="P976" s="52"/>
      <c r="Q976" s="52"/>
      <c r="U976" s="52"/>
    </row>
    <row r="977">
      <c r="M977" s="52"/>
      <c r="N977" s="52"/>
      <c r="O977" s="52"/>
      <c r="P977" s="52"/>
      <c r="Q977" s="52"/>
      <c r="U977" s="52"/>
    </row>
    <row r="978">
      <c r="M978" s="52"/>
      <c r="N978" s="52"/>
      <c r="O978" s="52"/>
      <c r="P978" s="52"/>
      <c r="Q978" s="52"/>
      <c r="U978" s="52"/>
    </row>
    <row r="979">
      <c r="M979" s="52"/>
      <c r="N979" s="52"/>
      <c r="O979" s="52"/>
      <c r="P979" s="52"/>
      <c r="Q979" s="52"/>
      <c r="U979" s="52"/>
    </row>
    <row r="980">
      <c r="M980" s="52"/>
      <c r="N980" s="52"/>
      <c r="O980" s="52"/>
      <c r="P980" s="52"/>
      <c r="Q980" s="52"/>
      <c r="U980" s="52"/>
    </row>
    <row r="981">
      <c r="M981" s="52"/>
      <c r="N981" s="52"/>
      <c r="O981" s="52"/>
      <c r="P981" s="52"/>
      <c r="Q981" s="52"/>
      <c r="U981" s="52"/>
    </row>
    <row r="982">
      <c r="M982" s="52"/>
      <c r="N982" s="52"/>
      <c r="O982" s="52"/>
      <c r="P982" s="52"/>
      <c r="Q982" s="52"/>
      <c r="U982" s="52"/>
    </row>
    <row r="983">
      <c r="M983" s="52"/>
      <c r="N983" s="52"/>
      <c r="O983" s="52"/>
      <c r="P983" s="52"/>
      <c r="Q983" s="52"/>
      <c r="U983" s="52"/>
    </row>
    <row r="984">
      <c r="M984" s="52"/>
      <c r="N984" s="52"/>
      <c r="O984" s="52"/>
      <c r="P984" s="52"/>
      <c r="Q984" s="52"/>
      <c r="U984" s="52"/>
    </row>
    <row r="985">
      <c r="M985" s="52"/>
      <c r="N985" s="52"/>
      <c r="O985" s="52"/>
      <c r="P985" s="52"/>
      <c r="Q985" s="52"/>
      <c r="U985" s="52"/>
    </row>
    <row r="986">
      <c r="M986" s="52"/>
      <c r="N986" s="52"/>
      <c r="O986" s="52"/>
      <c r="P986" s="52"/>
      <c r="Q986" s="52"/>
      <c r="U986" s="52"/>
    </row>
    <row r="987">
      <c r="M987" s="52"/>
      <c r="N987" s="52"/>
      <c r="O987" s="52"/>
      <c r="P987" s="52"/>
      <c r="Q987" s="52"/>
      <c r="U987" s="52"/>
    </row>
    <row r="988">
      <c r="M988" s="52"/>
      <c r="N988" s="52"/>
      <c r="O988" s="52"/>
      <c r="P988" s="52"/>
      <c r="Q988" s="52"/>
      <c r="U988" s="52"/>
    </row>
    <row r="989">
      <c r="M989" s="52"/>
      <c r="N989" s="52"/>
      <c r="O989" s="52"/>
      <c r="P989" s="52"/>
      <c r="Q989" s="52"/>
      <c r="U989" s="52"/>
    </row>
    <row r="990">
      <c r="M990" s="52"/>
      <c r="N990" s="52"/>
      <c r="O990" s="52"/>
      <c r="P990" s="52"/>
      <c r="Q990" s="52"/>
      <c r="U990" s="52"/>
    </row>
    <row r="991">
      <c r="M991" s="52"/>
      <c r="N991" s="52"/>
      <c r="O991" s="52"/>
      <c r="P991" s="52"/>
      <c r="Q991" s="52"/>
      <c r="U991" s="52"/>
    </row>
    <row r="992">
      <c r="M992" s="52"/>
      <c r="N992" s="52"/>
      <c r="O992" s="52"/>
      <c r="P992" s="52"/>
      <c r="Q992" s="52"/>
      <c r="U992" s="52"/>
    </row>
    <row r="993">
      <c r="M993" s="52"/>
      <c r="N993" s="52"/>
      <c r="O993" s="52"/>
      <c r="P993" s="52"/>
      <c r="Q993" s="52"/>
      <c r="U993" s="52"/>
    </row>
    <row r="994">
      <c r="M994" s="52"/>
      <c r="N994" s="52"/>
      <c r="O994" s="52"/>
      <c r="P994" s="52"/>
      <c r="Q994" s="52"/>
      <c r="U994" s="52"/>
    </row>
    <row r="995">
      <c r="M995" s="52"/>
      <c r="N995" s="52"/>
      <c r="O995" s="52"/>
      <c r="P995" s="52"/>
      <c r="Q995" s="52"/>
      <c r="U995" s="52"/>
    </row>
    <row r="996">
      <c r="M996" s="52"/>
      <c r="N996" s="52"/>
      <c r="O996" s="52"/>
      <c r="P996" s="52"/>
      <c r="Q996" s="52"/>
      <c r="U996" s="52"/>
    </row>
    <row r="997">
      <c r="M997" s="52"/>
      <c r="N997" s="52"/>
      <c r="O997" s="52"/>
      <c r="P997" s="52"/>
      <c r="Q997" s="52"/>
      <c r="U997" s="52"/>
    </row>
    <row r="998">
      <c r="M998" s="52"/>
      <c r="N998" s="52"/>
      <c r="O998" s="52"/>
      <c r="P998" s="52"/>
      <c r="Q998" s="52"/>
      <c r="U998" s="52"/>
    </row>
    <row r="999">
      <c r="M999" s="52"/>
      <c r="N999" s="52"/>
      <c r="O999" s="52"/>
      <c r="P999" s="52"/>
      <c r="Q999" s="52"/>
      <c r="U999" s="52"/>
    </row>
    <row r="1000">
      <c r="M1000" s="52"/>
      <c r="N1000" s="52"/>
      <c r="O1000" s="52"/>
      <c r="P1000" s="52"/>
      <c r="Q1000" s="52"/>
      <c r="U1000" s="52"/>
    </row>
  </sheetData>
  <mergeCells count="7">
    <mergeCell ref="A1:A2"/>
    <mergeCell ref="B1:B2"/>
    <mergeCell ref="C1:G1"/>
    <mergeCell ref="H1:I1"/>
    <mergeCell ref="J1:J2"/>
    <mergeCell ref="K1:O1"/>
    <mergeCell ref="P1:U1"/>
  </mergeCells>
  <conditionalFormatting sqref="N3:N9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G3:G9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3:H9">
    <cfRule type="colorScale" priority="3">
      <colorScale>
        <cfvo type="formula" val="0"/>
        <cfvo type="max"/>
        <color rgb="FFFFFFFF"/>
        <color rgb="FF57BB8A"/>
      </colorScale>
    </cfRule>
  </conditionalFormatting>
  <conditionalFormatting sqref="I3:I9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J3:J9">
    <cfRule type="colorScale" priority="5">
      <colorScale>
        <cfvo type="formula" val="0"/>
        <cfvo type="max"/>
        <color rgb="FFFFFFFF"/>
        <color rgb="FF57BB8A"/>
      </colorScale>
    </cfRule>
  </conditionalFormatting>
  <conditionalFormatting sqref="K3:K9">
    <cfRule type="colorScale" priority="6">
      <colorScale>
        <cfvo type="formula" val="0"/>
        <cfvo type="max"/>
        <color rgb="FFFFFFFF"/>
        <color rgb="FF57BB8A"/>
      </colorScale>
    </cfRule>
  </conditionalFormatting>
  <conditionalFormatting sqref="L3:L9">
    <cfRule type="colorScale" priority="7">
      <colorScale>
        <cfvo type="formula" val="0"/>
        <cfvo type="max"/>
        <color rgb="FFFFFFFF"/>
        <color rgb="FFE67C73"/>
      </colorScale>
    </cfRule>
  </conditionalFormatting>
  <conditionalFormatting sqref="C3:C9">
    <cfRule type="colorScale" priority="8">
      <colorScale>
        <cfvo type="formula" val="0"/>
        <cfvo type="max"/>
        <color rgb="FFFFFFFF"/>
        <color rgb="FFFFD666"/>
      </colorScale>
    </cfRule>
  </conditionalFormatting>
  <conditionalFormatting sqref="D3:D9">
    <cfRule type="colorScale" priority="9">
      <colorScale>
        <cfvo type="formula" val="0"/>
        <cfvo type="max"/>
        <color rgb="FFFFFFFF"/>
        <color rgb="FF57BB8A"/>
      </colorScale>
    </cfRule>
  </conditionalFormatting>
  <conditionalFormatting sqref="E3:E9">
    <cfRule type="colorScale" priority="10">
      <colorScale>
        <cfvo type="formula" val="0"/>
        <cfvo type="max"/>
        <color rgb="FFFFFFFF"/>
        <color rgb="FFE67C73"/>
      </colorScale>
    </cfRule>
  </conditionalFormatting>
  <conditionalFormatting sqref="F3:F9">
    <cfRule type="colorScale" priority="11">
      <colorScale>
        <cfvo type="formula" val="0"/>
        <cfvo type="max"/>
        <color rgb="FFFFFFFF"/>
        <color rgb="FF57BB8A"/>
      </colorScale>
    </cfRule>
  </conditionalFormatting>
  <conditionalFormatting sqref="M3:M9">
    <cfRule type="colorScale" priority="12">
      <colorScale>
        <cfvo type="formula" val="0"/>
        <cfvo type="max"/>
        <color rgb="FFFFFFFF"/>
        <color rgb="FFFFD666"/>
      </colorScale>
    </cfRule>
  </conditionalFormatting>
  <conditionalFormatting sqref="O3:O9">
    <cfRule type="colorScale" priority="13">
      <colorScale>
        <cfvo type="formula" val="0"/>
        <cfvo type="formula" val="1"/>
        <color rgb="FFFFFFFF"/>
        <color rgb="FF57BB8A"/>
      </colorScale>
    </cfRule>
  </conditionalFormatting>
  <conditionalFormatting sqref="P3:P9">
    <cfRule type="colorScale" priority="14">
      <colorScale>
        <cfvo type="formula" val="0"/>
        <cfvo type="max"/>
        <color rgb="FFFFFFFF"/>
        <color rgb="FFFFD666"/>
      </colorScale>
    </cfRule>
  </conditionalFormatting>
  <conditionalFormatting sqref="U3:U9">
    <cfRule type="colorScale" priority="15">
      <colorScale>
        <cfvo type="formula" val="0"/>
        <cfvo type="formula" val="2"/>
        <cfvo type="formula" val="3"/>
        <color rgb="FFE67C73"/>
        <color rgb="FFFFFFFF"/>
        <color rgb="FF57BB8A"/>
      </colorScale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7.63"/>
    <col customWidth="1" min="4" max="4" width="5.63"/>
    <col customWidth="1" min="5" max="5" width="6.88"/>
    <col customWidth="1" min="6" max="6" width="8.38"/>
    <col customWidth="1" min="7" max="7" width="15.5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1" t="s">
        <v>4</v>
      </c>
      <c r="K1" s="6" t="s">
        <v>5</v>
      </c>
      <c r="L1" s="4"/>
      <c r="M1" s="4"/>
      <c r="N1" s="4"/>
      <c r="O1" s="5"/>
      <c r="P1" s="30" t="s">
        <v>6</v>
      </c>
      <c r="Q1" s="4"/>
      <c r="R1" s="4"/>
      <c r="S1" s="4"/>
      <c r="T1" s="4"/>
      <c r="U1" s="5"/>
    </row>
    <row r="2">
      <c r="A2" s="9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2" t="s">
        <v>13</v>
      </c>
      <c r="I2" s="12" t="s">
        <v>14</v>
      </c>
      <c r="J2" s="9"/>
      <c r="K2" s="10" t="s">
        <v>15</v>
      </c>
      <c r="L2" s="12" t="s">
        <v>10</v>
      </c>
      <c r="M2" s="10" t="s">
        <v>16</v>
      </c>
      <c r="N2" s="10" t="s">
        <v>12</v>
      </c>
      <c r="O2" s="10" t="s">
        <v>18</v>
      </c>
      <c r="P2" s="15" t="s">
        <v>8</v>
      </c>
      <c r="Q2" s="15">
        <v>0.0</v>
      </c>
      <c r="R2" s="15">
        <v>1.0</v>
      </c>
      <c r="S2" s="15">
        <v>2.0</v>
      </c>
      <c r="T2" s="15">
        <v>3.0</v>
      </c>
      <c r="U2" s="15" t="s">
        <v>19</v>
      </c>
    </row>
    <row r="3">
      <c r="A3" s="18" t="s">
        <v>21</v>
      </c>
      <c r="B3" s="18" t="s">
        <v>43</v>
      </c>
      <c r="C3" s="10">
        <v>3.0</v>
      </c>
      <c r="D3" s="10">
        <v>2.0</v>
      </c>
      <c r="E3" s="10"/>
      <c r="F3" s="10">
        <v>1.0</v>
      </c>
      <c r="G3" s="35">
        <f t="shared" ref="G3:G9" si="1">IFS(C3=0, "N/A", C3&lt;&gt;0,(D3-E3)/C3 )</f>
        <v>0.6666666667</v>
      </c>
      <c r="H3" s="35"/>
      <c r="I3" s="10"/>
      <c r="J3" s="10">
        <v>2.0</v>
      </c>
      <c r="K3" s="10">
        <v>1.0</v>
      </c>
      <c r="L3" s="10"/>
      <c r="M3" s="10">
        <v>2.0</v>
      </c>
      <c r="N3" s="35">
        <f t="shared" ref="N3:N9" si="2">ifs(M3=0,"N/A",M3&lt;&gt;0,(M3-L3) /M3)</f>
        <v>1</v>
      </c>
      <c r="O3" s="35">
        <f t="shared" ref="O3:O9" si="3">IFS(M3=0, "N/A", M3&lt;&gt;0, K3/M3)</f>
        <v>0.5</v>
      </c>
      <c r="P3" s="10">
        <f t="shared" ref="P3:P9" si="4">sum(Q3,R3,S3,T3)</f>
        <v>2</v>
      </c>
      <c r="Q3" s="10">
        <v>1.0</v>
      </c>
      <c r="R3" s="10"/>
      <c r="S3" s="10"/>
      <c r="T3" s="10">
        <v>1.0</v>
      </c>
      <c r="U3" s="10">
        <f t="shared" ref="U3:U9" si="5">ifs(P3=0, "N/A",P3&lt;&gt;0,(R3 + S3*2 +T3*3)/P3)</f>
        <v>1.5</v>
      </c>
    </row>
    <row r="4">
      <c r="A4" s="21" t="s">
        <v>24</v>
      </c>
      <c r="B4" s="21" t="s">
        <v>101</v>
      </c>
      <c r="C4" s="10"/>
      <c r="D4" s="10"/>
      <c r="E4" s="10"/>
      <c r="F4" s="10"/>
      <c r="G4" s="35" t="str">
        <f t="shared" si="1"/>
        <v>N/A</v>
      </c>
      <c r="H4" s="10"/>
      <c r="I4" s="10"/>
      <c r="J4" s="10"/>
      <c r="K4" s="35"/>
      <c r="L4" s="10"/>
      <c r="M4" s="10"/>
      <c r="N4" s="35" t="str">
        <f t="shared" si="2"/>
        <v>N/A</v>
      </c>
      <c r="O4" s="35" t="str">
        <f t="shared" si="3"/>
        <v>N/A</v>
      </c>
      <c r="P4" s="10">
        <f t="shared" si="4"/>
        <v>0</v>
      </c>
      <c r="Q4" s="10"/>
      <c r="R4" s="35"/>
      <c r="S4" s="35"/>
      <c r="T4" s="35"/>
      <c r="U4" s="10" t="str">
        <f t="shared" si="5"/>
        <v>N/A</v>
      </c>
    </row>
    <row r="5">
      <c r="A5" s="22" t="s">
        <v>26</v>
      </c>
      <c r="B5" s="22" t="s">
        <v>42</v>
      </c>
      <c r="C5" s="10"/>
      <c r="D5" s="10"/>
      <c r="E5" s="10"/>
      <c r="F5" s="10">
        <v>2.0</v>
      </c>
      <c r="G5" s="35" t="str">
        <f t="shared" si="1"/>
        <v>N/A</v>
      </c>
      <c r="H5" s="10"/>
      <c r="I5" s="10"/>
      <c r="J5" s="10">
        <v>2.0</v>
      </c>
      <c r="K5" s="10"/>
      <c r="L5" s="35"/>
      <c r="M5" s="10">
        <v>1.0</v>
      </c>
      <c r="N5" s="35">
        <f t="shared" si="2"/>
        <v>1</v>
      </c>
      <c r="O5" s="35">
        <f t="shared" si="3"/>
        <v>0</v>
      </c>
      <c r="P5" s="10">
        <f t="shared" si="4"/>
        <v>0</v>
      </c>
      <c r="Q5" s="35"/>
      <c r="R5" s="35"/>
      <c r="S5" s="35"/>
      <c r="T5" s="10"/>
      <c r="U5" s="10" t="str">
        <f t="shared" si="5"/>
        <v>N/A</v>
      </c>
    </row>
    <row r="6">
      <c r="A6" s="23" t="s">
        <v>28</v>
      </c>
      <c r="B6" s="23" t="s">
        <v>84</v>
      </c>
      <c r="C6" s="10">
        <v>1.0</v>
      </c>
      <c r="D6" s="10"/>
      <c r="E6" s="10"/>
      <c r="F6" s="35"/>
      <c r="G6" s="35">
        <f t="shared" si="1"/>
        <v>0</v>
      </c>
      <c r="H6" s="35"/>
      <c r="I6" s="35"/>
      <c r="J6" s="10">
        <v>1.0</v>
      </c>
      <c r="K6" s="10"/>
      <c r="L6" s="10"/>
      <c r="M6" s="10">
        <v>1.0</v>
      </c>
      <c r="N6" s="35">
        <f t="shared" si="2"/>
        <v>1</v>
      </c>
      <c r="O6" s="35">
        <f t="shared" si="3"/>
        <v>0</v>
      </c>
      <c r="P6" s="10">
        <f t="shared" si="4"/>
        <v>0</v>
      </c>
      <c r="Q6" s="10"/>
      <c r="R6" s="10"/>
      <c r="S6" s="10"/>
      <c r="T6" s="10"/>
      <c r="U6" s="10" t="str">
        <f t="shared" si="5"/>
        <v>N/A</v>
      </c>
    </row>
    <row r="7">
      <c r="A7" s="24" t="s">
        <v>30</v>
      </c>
      <c r="B7" s="24" t="s">
        <v>85</v>
      </c>
      <c r="C7" s="10">
        <v>2.0</v>
      </c>
      <c r="D7" s="10">
        <v>1.0</v>
      </c>
      <c r="E7" s="10"/>
      <c r="F7" s="35"/>
      <c r="G7" s="35">
        <f t="shared" si="1"/>
        <v>0.5</v>
      </c>
      <c r="H7" s="35"/>
      <c r="I7" s="35"/>
      <c r="J7" s="10"/>
      <c r="K7" s="35"/>
      <c r="L7" s="10"/>
      <c r="M7" s="10">
        <v>1.0</v>
      </c>
      <c r="N7" s="35">
        <f t="shared" si="2"/>
        <v>1</v>
      </c>
      <c r="O7" s="35">
        <f t="shared" si="3"/>
        <v>0</v>
      </c>
      <c r="P7" s="10">
        <f t="shared" si="4"/>
        <v>3</v>
      </c>
      <c r="Q7" s="10">
        <v>1.0</v>
      </c>
      <c r="R7" s="35"/>
      <c r="S7" s="10">
        <v>1.0</v>
      </c>
      <c r="T7" s="10">
        <v>1.0</v>
      </c>
      <c r="U7" s="10">
        <f t="shared" si="5"/>
        <v>1.666666667</v>
      </c>
    </row>
    <row r="8">
      <c r="A8" s="25" t="s">
        <v>32</v>
      </c>
      <c r="B8" s="25" t="s">
        <v>41</v>
      </c>
      <c r="C8" s="10">
        <v>4.0</v>
      </c>
      <c r="D8" s="10"/>
      <c r="E8" s="10">
        <v>1.0</v>
      </c>
      <c r="F8" s="35"/>
      <c r="G8" s="35">
        <f t="shared" si="1"/>
        <v>-0.25</v>
      </c>
      <c r="H8" s="35"/>
      <c r="I8" s="10"/>
      <c r="J8" s="10"/>
      <c r="K8" s="35"/>
      <c r="L8" s="35"/>
      <c r="M8" s="10"/>
      <c r="N8" s="35" t="str">
        <f t="shared" si="2"/>
        <v>N/A</v>
      </c>
      <c r="O8" s="35" t="str">
        <f t="shared" si="3"/>
        <v>N/A</v>
      </c>
      <c r="P8" s="10">
        <f t="shared" si="4"/>
        <v>5</v>
      </c>
      <c r="Q8" s="10">
        <v>1.0</v>
      </c>
      <c r="R8" s="10">
        <v>3.0</v>
      </c>
      <c r="S8" s="10">
        <v>1.0</v>
      </c>
      <c r="T8" s="35"/>
      <c r="U8" s="10">
        <f t="shared" si="5"/>
        <v>1</v>
      </c>
    </row>
    <row r="9">
      <c r="A9" s="26" t="s">
        <v>34</v>
      </c>
      <c r="B9" s="26" t="s">
        <v>45</v>
      </c>
      <c r="C9" s="10">
        <v>3.0</v>
      </c>
      <c r="D9" s="10">
        <v>1.0</v>
      </c>
      <c r="E9" s="10">
        <v>1.0</v>
      </c>
      <c r="F9" s="35"/>
      <c r="G9" s="35">
        <f t="shared" si="1"/>
        <v>0</v>
      </c>
      <c r="H9" s="35"/>
      <c r="I9" s="35"/>
      <c r="J9" s="10"/>
      <c r="K9" s="35"/>
      <c r="L9" s="10"/>
      <c r="M9" s="10">
        <v>1.0</v>
      </c>
      <c r="N9" s="35">
        <f t="shared" si="2"/>
        <v>1</v>
      </c>
      <c r="O9" s="35">
        <f t="shared" si="3"/>
        <v>0</v>
      </c>
      <c r="P9" s="10">
        <f t="shared" si="4"/>
        <v>1</v>
      </c>
      <c r="Q9" s="35"/>
      <c r="R9" s="10"/>
      <c r="S9" s="10">
        <v>1.0</v>
      </c>
      <c r="T9" s="35"/>
      <c r="U9" s="10">
        <f t="shared" si="5"/>
        <v>2</v>
      </c>
    </row>
    <row r="10">
      <c r="M10" s="52"/>
      <c r="N10" s="52"/>
      <c r="O10" s="52"/>
      <c r="P10" s="52"/>
      <c r="Q10" s="52"/>
      <c r="U10" s="52"/>
    </row>
    <row r="11">
      <c r="M11" s="52"/>
      <c r="N11" s="52"/>
      <c r="O11" s="52"/>
      <c r="P11" s="52"/>
      <c r="Q11" s="52"/>
      <c r="U11" s="52"/>
    </row>
    <row r="12">
      <c r="M12" s="52"/>
      <c r="N12" s="52"/>
      <c r="O12" s="52"/>
      <c r="P12" s="52"/>
      <c r="Q12" s="52"/>
      <c r="U12" s="52"/>
    </row>
    <row r="13">
      <c r="M13" s="52"/>
      <c r="N13" s="52"/>
      <c r="O13" s="52"/>
      <c r="P13" s="52"/>
      <c r="Q13" s="52"/>
      <c r="U13" s="52"/>
    </row>
    <row r="14">
      <c r="M14" s="52"/>
      <c r="N14" s="52"/>
      <c r="O14" s="52"/>
      <c r="P14" s="52"/>
      <c r="Q14" s="52"/>
      <c r="U14" s="52"/>
    </row>
    <row r="15">
      <c r="M15" s="52"/>
      <c r="N15" s="52"/>
      <c r="O15" s="52"/>
      <c r="P15" s="52"/>
      <c r="Q15" s="52"/>
      <c r="U15" s="52"/>
    </row>
    <row r="16">
      <c r="M16" s="52"/>
      <c r="N16" s="52"/>
      <c r="O16" s="52"/>
      <c r="P16" s="52"/>
      <c r="Q16" s="52"/>
      <c r="U16" s="52"/>
    </row>
    <row r="17">
      <c r="M17" s="52"/>
      <c r="N17" s="52"/>
      <c r="O17" s="52"/>
      <c r="P17" s="52"/>
      <c r="Q17" s="52"/>
      <c r="U17" s="52"/>
    </row>
    <row r="18">
      <c r="M18" s="52"/>
      <c r="N18" s="52"/>
      <c r="O18" s="52"/>
      <c r="P18" s="52"/>
      <c r="Q18" s="52"/>
      <c r="U18" s="52"/>
    </row>
    <row r="19">
      <c r="M19" s="52"/>
      <c r="N19" s="52"/>
      <c r="O19" s="52"/>
      <c r="P19" s="52"/>
      <c r="Q19" s="52"/>
      <c r="U19" s="52"/>
    </row>
    <row r="20">
      <c r="M20" s="52"/>
      <c r="N20" s="52"/>
      <c r="O20" s="52"/>
      <c r="P20" s="52"/>
      <c r="Q20" s="52"/>
      <c r="U20" s="52"/>
    </row>
    <row r="21">
      <c r="M21" s="52"/>
      <c r="N21" s="52"/>
      <c r="O21" s="52"/>
      <c r="P21" s="52"/>
      <c r="Q21" s="52"/>
      <c r="U21" s="52"/>
    </row>
    <row r="22">
      <c r="M22" s="52"/>
      <c r="N22" s="52"/>
      <c r="O22" s="52"/>
      <c r="P22" s="52"/>
      <c r="Q22" s="52"/>
      <c r="U22" s="52"/>
    </row>
    <row r="23">
      <c r="M23" s="52"/>
      <c r="N23" s="52"/>
      <c r="O23" s="52"/>
      <c r="P23" s="52"/>
      <c r="Q23" s="52"/>
      <c r="U23" s="52"/>
    </row>
    <row r="24">
      <c r="M24" s="52"/>
      <c r="N24" s="52"/>
      <c r="O24" s="52"/>
      <c r="P24" s="52"/>
      <c r="Q24" s="52"/>
      <c r="U24" s="52"/>
    </row>
    <row r="25">
      <c r="M25" s="52"/>
      <c r="N25" s="52"/>
      <c r="O25" s="52"/>
      <c r="P25" s="52"/>
      <c r="Q25" s="52"/>
      <c r="U25" s="52"/>
    </row>
    <row r="26">
      <c r="M26" s="52"/>
      <c r="N26" s="52"/>
      <c r="O26" s="52"/>
      <c r="P26" s="52"/>
      <c r="Q26" s="52"/>
      <c r="U26" s="52"/>
    </row>
    <row r="27">
      <c r="M27" s="52"/>
      <c r="N27" s="52"/>
      <c r="O27" s="52"/>
      <c r="P27" s="52"/>
      <c r="Q27" s="52"/>
      <c r="U27" s="52"/>
    </row>
    <row r="28">
      <c r="M28" s="52"/>
      <c r="N28" s="52"/>
      <c r="O28" s="52"/>
      <c r="P28" s="52"/>
      <c r="Q28" s="52"/>
      <c r="U28" s="52"/>
    </row>
    <row r="29">
      <c r="M29" s="52"/>
      <c r="N29" s="52"/>
      <c r="O29" s="52"/>
      <c r="P29" s="52"/>
      <c r="Q29" s="52"/>
      <c r="U29" s="52"/>
    </row>
    <row r="30">
      <c r="M30" s="52"/>
      <c r="N30" s="52"/>
      <c r="O30" s="52"/>
      <c r="P30" s="52"/>
      <c r="Q30" s="52"/>
      <c r="U30" s="52"/>
    </row>
    <row r="31">
      <c r="M31" s="52"/>
      <c r="N31" s="52"/>
      <c r="O31" s="52"/>
      <c r="P31" s="52"/>
      <c r="Q31" s="52"/>
      <c r="U31" s="52"/>
    </row>
    <row r="32">
      <c r="M32" s="52"/>
      <c r="N32" s="52"/>
      <c r="O32" s="52"/>
      <c r="P32" s="52"/>
      <c r="Q32" s="52"/>
      <c r="U32" s="52"/>
    </row>
    <row r="33">
      <c r="M33" s="52"/>
      <c r="N33" s="52"/>
      <c r="O33" s="52"/>
      <c r="P33" s="52"/>
      <c r="Q33" s="52"/>
      <c r="U33" s="52"/>
    </row>
    <row r="34">
      <c r="M34" s="52"/>
      <c r="N34" s="52"/>
      <c r="O34" s="52"/>
      <c r="P34" s="52"/>
      <c r="Q34" s="52"/>
      <c r="U34" s="52"/>
    </row>
    <row r="35">
      <c r="M35" s="52"/>
      <c r="N35" s="52"/>
      <c r="O35" s="52"/>
      <c r="P35" s="52"/>
      <c r="Q35" s="52"/>
      <c r="U35" s="52"/>
    </row>
    <row r="36">
      <c r="M36" s="52"/>
      <c r="N36" s="52"/>
      <c r="O36" s="52"/>
      <c r="P36" s="52"/>
      <c r="Q36" s="52"/>
      <c r="U36" s="52"/>
    </row>
    <row r="37">
      <c r="M37" s="52"/>
      <c r="N37" s="52"/>
      <c r="O37" s="52"/>
      <c r="P37" s="52"/>
      <c r="Q37" s="52"/>
      <c r="U37" s="52"/>
    </row>
    <row r="38">
      <c r="M38" s="52"/>
      <c r="N38" s="52"/>
      <c r="O38" s="52"/>
      <c r="P38" s="52"/>
      <c r="Q38" s="52"/>
      <c r="U38" s="52"/>
    </row>
    <row r="39">
      <c r="M39" s="52"/>
      <c r="N39" s="52"/>
      <c r="O39" s="52"/>
      <c r="P39" s="52"/>
      <c r="Q39" s="52"/>
      <c r="U39" s="52"/>
    </row>
    <row r="40">
      <c r="M40" s="52"/>
      <c r="N40" s="52"/>
      <c r="O40" s="52"/>
      <c r="P40" s="52"/>
      <c r="Q40" s="52"/>
      <c r="U40" s="52"/>
    </row>
    <row r="41">
      <c r="M41" s="52"/>
      <c r="N41" s="52"/>
      <c r="O41" s="52"/>
      <c r="P41" s="52"/>
      <c r="Q41" s="52"/>
      <c r="U41" s="52"/>
    </row>
    <row r="42">
      <c r="M42" s="52"/>
      <c r="N42" s="52"/>
      <c r="O42" s="52"/>
      <c r="P42" s="52"/>
      <c r="Q42" s="52"/>
      <c r="U42" s="52"/>
    </row>
    <row r="43">
      <c r="M43" s="52"/>
      <c r="N43" s="52"/>
      <c r="O43" s="52"/>
      <c r="P43" s="52"/>
      <c r="Q43" s="52"/>
      <c r="U43" s="52"/>
    </row>
    <row r="44">
      <c r="M44" s="52"/>
      <c r="N44" s="52"/>
      <c r="O44" s="52"/>
      <c r="P44" s="52"/>
      <c r="Q44" s="52"/>
      <c r="U44" s="52"/>
    </row>
    <row r="45">
      <c r="M45" s="52"/>
      <c r="N45" s="52"/>
      <c r="O45" s="52"/>
      <c r="P45" s="52"/>
      <c r="Q45" s="52"/>
      <c r="U45" s="52"/>
    </row>
    <row r="46">
      <c r="M46" s="52"/>
      <c r="N46" s="52"/>
      <c r="O46" s="52"/>
      <c r="P46" s="52"/>
      <c r="Q46" s="52"/>
      <c r="U46" s="52"/>
    </row>
    <row r="47">
      <c r="M47" s="52"/>
      <c r="N47" s="52"/>
      <c r="O47" s="52"/>
      <c r="P47" s="52"/>
      <c r="Q47" s="52"/>
      <c r="U47" s="52"/>
    </row>
    <row r="48">
      <c r="M48" s="52"/>
      <c r="N48" s="52"/>
      <c r="O48" s="52"/>
      <c r="P48" s="52"/>
      <c r="Q48" s="52"/>
      <c r="U48" s="52"/>
    </row>
    <row r="49">
      <c r="M49" s="52"/>
      <c r="N49" s="52"/>
      <c r="O49" s="52"/>
      <c r="P49" s="52"/>
      <c r="Q49" s="52"/>
      <c r="U49" s="52"/>
    </row>
    <row r="50">
      <c r="M50" s="52"/>
      <c r="N50" s="52"/>
      <c r="O50" s="52"/>
      <c r="P50" s="52"/>
      <c r="Q50" s="52"/>
      <c r="U50" s="52"/>
    </row>
    <row r="51">
      <c r="M51" s="52"/>
      <c r="N51" s="52"/>
      <c r="O51" s="52"/>
      <c r="P51" s="52"/>
      <c r="Q51" s="52"/>
      <c r="U51" s="52"/>
    </row>
    <row r="52">
      <c r="M52" s="52"/>
      <c r="N52" s="52"/>
      <c r="O52" s="52"/>
      <c r="P52" s="52"/>
      <c r="Q52" s="52"/>
      <c r="U52" s="52"/>
    </row>
    <row r="53">
      <c r="M53" s="52"/>
      <c r="N53" s="52"/>
      <c r="O53" s="52"/>
      <c r="P53" s="52"/>
      <c r="Q53" s="52"/>
      <c r="U53" s="52"/>
    </row>
    <row r="54">
      <c r="M54" s="52"/>
      <c r="N54" s="52"/>
      <c r="O54" s="52"/>
      <c r="P54" s="52"/>
      <c r="Q54" s="52"/>
      <c r="U54" s="52"/>
    </row>
    <row r="55">
      <c r="M55" s="52"/>
      <c r="N55" s="52"/>
      <c r="O55" s="52"/>
      <c r="P55" s="52"/>
      <c r="Q55" s="52"/>
      <c r="U55" s="52"/>
    </row>
    <row r="56">
      <c r="M56" s="52"/>
      <c r="N56" s="52"/>
      <c r="O56" s="52"/>
      <c r="P56" s="52"/>
      <c r="Q56" s="52"/>
      <c r="U56" s="52"/>
    </row>
    <row r="57">
      <c r="M57" s="52"/>
      <c r="N57" s="52"/>
      <c r="O57" s="52"/>
      <c r="P57" s="52"/>
      <c r="Q57" s="52"/>
      <c r="U57" s="52"/>
    </row>
    <row r="58">
      <c r="M58" s="52"/>
      <c r="N58" s="52"/>
      <c r="O58" s="52"/>
      <c r="P58" s="52"/>
      <c r="Q58" s="52"/>
      <c r="U58" s="52"/>
    </row>
    <row r="59">
      <c r="M59" s="52"/>
      <c r="N59" s="52"/>
      <c r="O59" s="52"/>
      <c r="P59" s="52"/>
      <c r="Q59" s="52"/>
      <c r="U59" s="52"/>
    </row>
    <row r="60">
      <c r="M60" s="52"/>
      <c r="N60" s="52"/>
      <c r="O60" s="52"/>
      <c r="P60" s="52"/>
      <c r="Q60" s="52"/>
      <c r="U60" s="52"/>
    </row>
    <row r="61">
      <c r="M61" s="52"/>
      <c r="N61" s="52"/>
      <c r="O61" s="52"/>
      <c r="P61" s="52"/>
      <c r="Q61" s="52"/>
      <c r="U61" s="52"/>
    </row>
    <row r="62">
      <c r="M62" s="52"/>
      <c r="N62" s="52"/>
      <c r="O62" s="52"/>
      <c r="P62" s="52"/>
      <c r="Q62" s="52"/>
      <c r="U62" s="52"/>
    </row>
    <row r="63">
      <c r="M63" s="52"/>
      <c r="N63" s="52"/>
      <c r="O63" s="52"/>
      <c r="P63" s="52"/>
      <c r="Q63" s="52"/>
      <c r="U63" s="52"/>
    </row>
    <row r="64">
      <c r="M64" s="52"/>
      <c r="N64" s="52"/>
      <c r="O64" s="52"/>
      <c r="P64" s="52"/>
      <c r="Q64" s="52"/>
      <c r="U64" s="52"/>
    </row>
    <row r="65">
      <c r="M65" s="52"/>
      <c r="N65" s="52"/>
      <c r="O65" s="52"/>
      <c r="P65" s="52"/>
      <c r="Q65" s="52"/>
      <c r="U65" s="52"/>
    </row>
    <row r="66">
      <c r="M66" s="52"/>
      <c r="N66" s="52"/>
      <c r="O66" s="52"/>
      <c r="P66" s="52"/>
      <c r="Q66" s="52"/>
      <c r="U66" s="52"/>
    </row>
    <row r="67">
      <c r="M67" s="52"/>
      <c r="N67" s="52"/>
      <c r="O67" s="52"/>
      <c r="P67" s="52"/>
      <c r="Q67" s="52"/>
      <c r="U67" s="52"/>
    </row>
    <row r="68">
      <c r="M68" s="52"/>
      <c r="N68" s="52"/>
      <c r="O68" s="52"/>
      <c r="P68" s="52"/>
      <c r="Q68" s="52"/>
      <c r="U68" s="52"/>
    </row>
    <row r="69">
      <c r="M69" s="52"/>
      <c r="N69" s="52"/>
      <c r="O69" s="52"/>
      <c r="P69" s="52"/>
      <c r="Q69" s="52"/>
      <c r="U69" s="52"/>
    </row>
    <row r="70">
      <c r="M70" s="52"/>
      <c r="N70" s="52"/>
      <c r="O70" s="52"/>
      <c r="P70" s="52"/>
      <c r="Q70" s="52"/>
      <c r="U70" s="52"/>
    </row>
    <row r="71">
      <c r="M71" s="52"/>
      <c r="N71" s="52"/>
      <c r="O71" s="52"/>
      <c r="P71" s="52"/>
      <c r="Q71" s="52"/>
      <c r="U71" s="52"/>
    </row>
    <row r="72">
      <c r="M72" s="52"/>
      <c r="N72" s="52"/>
      <c r="O72" s="52"/>
      <c r="P72" s="52"/>
      <c r="Q72" s="52"/>
      <c r="U72" s="52"/>
    </row>
    <row r="73">
      <c r="M73" s="52"/>
      <c r="N73" s="52"/>
      <c r="O73" s="52"/>
      <c r="P73" s="52"/>
      <c r="Q73" s="52"/>
      <c r="U73" s="52"/>
    </row>
    <row r="74">
      <c r="M74" s="52"/>
      <c r="N74" s="52"/>
      <c r="O74" s="52"/>
      <c r="P74" s="52"/>
      <c r="Q74" s="52"/>
      <c r="U74" s="52"/>
    </row>
    <row r="75">
      <c r="M75" s="52"/>
      <c r="N75" s="52"/>
      <c r="O75" s="52"/>
      <c r="P75" s="52"/>
      <c r="Q75" s="52"/>
      <c r="U75" s="52"/>
    </row>
    <row r="76">
      <c r="M76" s="52"/>
      <c r="N76" s="52"/>
      <c r="O76" s="52"/>
      <c r="P76" s="52"/>
      <c r="Q76" s="52"/>
      <c r="U76" s="52"/>
    </row>
    <row r="77">
      <c r="M77" s="52"/>
      <c r="N77" s="52"/>
      <c r="O77" s="52"/>
      <c r="P77" s="52"/>
      <c r="Q77" s="52"/>
      <c r="U77" s="52"/>
    </row>
    <row r="78">
      <c r="M78" s="52"/>
      <c r="N78" s="52"/>
      <c r="O78" s="52"/>
      <c r="P78" s="52"/>
      <c r="Q78" s="52"/>
      <c r="U78" s="52"/>
    </row>
    <row r="79">
      <c r="M79" s="52"/>
      <c r="N79" s="52"/>
      <c r="O79" s="52"/>
      <c r="P79" s="52"/>
      <c r="Q79" s="52"/>
      <c r="U79" s="52"/>
    </row>
    <row r="80">
      <c r="M80" s="52"/>
      <c r="N80" s="52"/>
      <c r="O80" s="52"/>
      <c r="P80" s="52"/>
      <c r="Q80" s="52"/>
      <c r="U80" s="52"/>
    </row>
    <row r="81">
      <c r="M81" s="52"/>
      <c r="N81" s="52"/>
      <c r="O81" s="52"/>
      <c r="P81" s="52"/>
      <c r="Q81" s="52"/>
      <c r="U81" s="52"/>
    </row>
    <row r="82">
      <c r="M82" s="52"/>
      <c r="N82" s="52"/>
      <c r="O82" s="52"/>
      <c r="P82" s="52"/>
      <c r="Q82" s="52"/>
      <c r="U82" s="52"/>
    </row>
    <row r="83">
      <c r="M83" s="52"/>
      <c r="N83" s="52"/>
      <c r="O83" s="52"/>
      <c r="P83" s="52"/>
      <c r="Q83" s="52"/>
      <c r="U83" s="52"/>
    </row>
    <row r="84">
      <c r="M84" s="52"/>
      <c r="N84" s="52"/>
      <c r="O84" s="52"/>
      <c r="P84" s="52"/>
      <c r="Q84" s="52"/>
      <c r="U84" s="52"/>
    </row>
    <row r="85">
      <c r="M85" s="52"/>
      <c r="N85" s="52"/>
      <c r="O85" s="52"/>
      <c r="P85" s="52"/>
      <c r="Q85" s="52"/>
      <c r="U85" s="52"/>
    </row>
    <row r="86">
      <c r="M86" s="52"/>
      <c r="N86" s="52"/>
      <c r="O86" s="52"/>
      <c r="P86" s="52"/>
      <c r="Q86" s="52"/>
      <c r="U86" s="52"/>
    </row>
    <row r="87">
      <c r="M87" s="52"/>
      <c r="N87" s="52"/>
      <c r="O87" s="52"/>
      <c r="P87" s="52"/>
      <c r="Q87" s="52"/>
      <c r="U87" s="52"/>
    </row>
    <row r="88">
      <c r="M88" s="52"/>
      <c r="N88" s="52"/>
      <c r="O88" s="52"/>
      <c r="P88" s="52"/>
      <c r="Q88" s="52"/>
      <c r="U88" s="52"/>
    </row>
    <row r="89">
      <c r="M89" s="52"/>
      <c r="N89" s="52"/>
      <c r="O89" s="52"/>
      <c r="P89" s="52"/>
      <c r="Q89" s="52"/>
      <c r="U89" s="52"/>
    </row>
    <row r="90">
      <c r="M90" s="52"/>
      <c r="N90" s="52"/>
      <c r="O90" s="52"/>
      <c r="P90" s="52"/>
      <c r="Q90" s="52"/>
      <c r="U90" s="52"/>
    </row>
    <row r="91">
      <c r="M91" s="52"/>
      <c r="N91" s="52"/>
      <c r="O91" s="52"/>
      <c r="P91" s="52"/>
      <c r="Q91" s="52"/>
      <c r="U91" s="52"/>
    </row>
    <row r="92">
      <c r="M92" s="52"/>
      <c r="N92" s="52"/>
      <c r="O92" s="52"/>
      <c r="P92" s="52"/>
      <c r="Q92" s="52"/>
      <c r="U92" s="52"/>
    </row>
    <row r="93">
      <c r="M93" s="52"/>
      <c r="N93" s="52"/>
      <c r="O93" s="52"/>
      <c r="P93" s="52"/>
      <c r="Q93" s="52"/>
      <c r="U93" s="52"/>
    </row>
    <row r="94">
      <c r="M94" s="52"/>
      <c r="N94" s="52"/>
      <c r="O94" s="52"/>
      <c r="P94" s="52"/>
      <c r="Q94" s="52"/>
      <c r="U94" s="52"/>
    </row>
    <row r="95">
      <c r="M95" s="52"/>
      <c r="N95" s="52"/>
      <c r="O95" s="52"/>
      <c r="P95" s="52"/>
      <c r="Q95" s="52"/>
      <c r="U95" s="52"/>
    </row>
    <row r="96">
      <c r="M96" s="52"/>
      <c r="N96" s="52"/>
      <c r="O96" s="52"/>
      <c r="P96" s="52"/>
      <c r="Q96" s="52"/>
      <c r="U96" s="52"/>
    </row>
    <row r="97">
      <c r="M97" s="52"/>
      <c r="N97" s="52"/>
      <c r="O97" s="52"/>
      <c r="P97" s="52"/>
      <c r="Q97" s="52"/>
      <c r="U97" s="52"/>
    </row>
    <row r="98">
      <c r="M98" s="52"/>
      <c r="N98" s="52"/>
      <c r="O98" s="52"/>
      <c r="P98" s="52"/>
      <c r="Q98" s="52"/>
      <c r="U98" s="52"/>
    </row>
    <row r="99">
      <c r="M99" s="52"/>
      <c r="N99" s="52"/>
      <c r="O99" s="52"/>
      <c r="P99" s="52"/>
      <c r="Q99" s="52"/>
      <c r="U99" s="52"/>
    </row>
    <row r="100">
      <c r="M100" s="52"/>
      <c r="N100" s="52"/>
      <c r="O100" s="52"/>
      <c r="P100" s="52"/>
      <c r="Q100" s="52"/>
      <c r="U100" s="52"/>
    </row>
    <row r="101">
      <c r="M101" s="52"/>
      <c r="N101" s="52"/>
      <c r="O101" s="52"/>
      <c r="P101" s="52"/>
      <c r="Q101" s="52"/>
      <c r="U101" s="52"/>
    </row>
    <row r="102">
      <c r="M102" s="52"/>
      <c r="N102" s="52"/>
      <c r="O102" s="52"/>
      <c r="P102" s="52"/>
      <c r="Q102" s="52"/>
      <c r="U102" s="52"/>
    </row>
    <row r="103">
      <c r="M103" s="52"/>
      <c r="N103" s="52"/>
      <c r="O103" s="52"/>
      <c r="P103" s="52"/>
      <c r="Q103" s="52"/>
      <c r="U103" s="52"/>
    </row>
    <row r="104">
      <c r="M104" s="52"/>
      <c r="N104" s="52"/>
      <c r="O104" s="52"/>
      <c r="P104" s="52"/>
      <c r="Q104" s="52"/>
      <c r="U104" s="52"/>
    </row>
    <row r="105">
      <c r="M105" s="52"/>
      <c r="N105" s="52"/>
      <c r="O105" s="52"/>
      <c r="P105" s="52"/>
      <c r="Q105" s="52"/>
      <c r="U105" s="52"/>
    </row>
    <row r="106">
      <c r="M106" s="52"/>
      <c r="N106" s="52"/>
      <c r="O106" s="52"/>
      <c r="P106" s="52"/>
      <c r="Q106" s="52"/>
      <c r="U106" s="52"/>
    </row>
    <row r="107">
      <c r="M107" s="52"/>
      <c r="N107" s="52"/>
      <c r="O107" s="52"/>
      <c r="P107" s="52"/>
      <c r="Q107" s="52"/>
      <c r="U107" s="52"/>
    </row>
    <row r="108">
      <c r="M108" s="52"/>
      <c r="N108" s="52"/>
      <c r="O108" s="52"/>
      <c r="P108" s="52"/>
      <c r="Q108" s="52"/>
      <c r="U108" s="52"/>
    </row>
    <row r="109">
      <c r="M109" s="52"/>
      <c r="N109" s="52"/>
      <c r="O109" s="52"/>
      <c r="P109" s="52"/>
      <c r="Q109" s="52"/>
      <c r="U109" s="52"/>
    </row>
    <row r="110">
      <c r="M110" s="52"/>
      <c r="N110" s="52"/>
      <c r="O110" s="52"/>
      <c r="P110" s="52"/>
      <c r="Q110" s="52"/>
      <c r="U110" s="52"/>
    </row>
    <row r="111">
      <c r="M111" s="52"/>
      <c r="N111" s="52"/>
      <c r="O111" s="52"/>
      <c r="P111" s="52"/>
      <c r="Q111" s="52"/>
      <c r="U111" s="52"/>
    </row>
    <row r="112">
      <c r="M112" s="52"/>
      <c r="N112" s="52"/>
      <c r="O112" s="52"/>
      <c r="P112" s="52"/>
      <c r="Q112" s="52"/>
      <c r="U112" s="52"/>
    </row>
    <row r="113">
      <c r="M113" s="52"/>
      <c r="N113" s="52"/>
      <c r="O113" s="52"/>
      <c r="P113" s="52"/>
      <c r="Q113" s="52"/>
      <c r="U113" s="52"/>
    </row>
    <row r="114">
      <c r="M114" s="52"/>
      <c r="N114" s="52"/>
      <c r="O114" s="52"/>
      <c r="P114" s="52"/>
      <c r="Q114" s="52"/>
      <c r="U114" s="52"/>
    </row>
    <row r="115">
      <c r="M115" s="52"/>
      <c r="N115" s="52"/>
      <c r="O115" s="52"/>
      <c r="P115" s="52"/>
      <c r="Q115" s="52"/>
      <c r="U115" s="52"/>
    </row>
    <row r="116">
      <c r="M116" s="52"/>
      <c r="N116" s="52"/>
      <c r="O116" s="52"/>
      <c r="P116" s="52"/>
      <c r="Q116" s="52"/>
      <c r="U116" s="52"/>
    </row>
    <row r="117">
      <c r="M117" s="52"/>
      <c r="N117" s="52"/>
      <c r="O117" s="52"/>
      <c r="P117" s="52"/>
      <c r="Q117" s="52"/>
      <c r="U117" s="52"/>
    </row>
    <row r="118">
      <c r="M118" s="52"/>
      <c r="N118" s="52"/>
      <c r="O118" s="52"/>
      <c r="P118" s="52"/>
      <c r="Q118" s="52"/>
      <c r="U118" s="52"/>
    </row>
    <row r="119">
      <c r="M119" s="52"/>
      <c r="N119" s="52"/>
      <c r="O119" s="52"/>
      <c r="P119" s="52"/>
      <c r="Q119" s="52"/>
      <c r="U119" s="52"/>
    </row>
    <row r="120">
      <c r="M120" s="52"/>
      <c r="N120" s="52"/>
      <c r="O120" s="52"/>
      <c r="P120" s="52"/>
      <c r="Q120" s="52"/>
      <c r="U120" s="52"/>
    </row>
    <row r="121">
      <c r="M121" s="52"/>
      <c r="N121" s="52"/>
      <c r="O121" s="52"/>
      <c r="P121" s="52"/>
      <c r="Q121" s="52"/>
      <c r="U121" s="52"/>
    </row>
    <row r="122">
      <c r="M122" s="52"/>
      <c r="N122" s="52"/>
      <c r="O122" s="52"/>
      <c r="P122" s="52"/>
      <c r="Q122" s="52"/>
      <c r="U122" s="52"/>
    </row>
    <row r="123">
      <c r="M123" s="52"/>
      <c r="N123" s="52"/>
      <c r="O123" s="52"/>
      <c r="P123" s="52"/>
      <c r="Q123" s="52"/>
      <c r="U123" s="52"/>
    </row>
    <row r="124">
      <c r="M124" s="52"/>
      <c r="N124" s="52"/>
      <c r="O124" s="52"/>
      <c r="P124" s="52"/>
      <c r="Q124" s="52"/>
      <c r="U124" s="52"/>
    </row>
    <row r="125">
      <c r="M125" s="52"/>
      <c r="N125" s="52"/>
      <c r="O125" s="52"/>
      <c r="P125" s="52"/>
      <c r="Q125" s="52"/>
      <c r="U125" s="52"/>
    </row>
    <row r="126">
      <c r="M126" s="52"/>
      <c r="N126" s="52"/>
      <c r="O126" s="52"/>
      <c r="P126" s="52"/>
      <c r="Q126" s="52"/>
      <c r="U126" s="52"/>
    </row>
    <row r="127">
      <c r="M127" s="52"/>
      <c r="N127" s="52"/>
      <c r="O127" s="52"/>
      <c r="P127" s="52"/>
      <c r="Q127" s="52"/>
      <c r="U127" s="52"/>
    </row>
    <row r="128">
      <c r="M128" s="52"/>
      <c r="N128" s="52"/>
      <c r="O128" s="52"/>
      <c r="P128" s="52"/>
      <c r="Q128" s="52"/>
      <c r="U128" s="52"/>
    </row>
    <row r="129">
      <c r="M129" s="52"/>
      <c r="N129" s="52"/>
      <c r="O129" s="52"/>
      <c r="P129" s="52"/>
      <c r="Q129" s="52"/>
      <c r="U129" s="52"/>
    </row>
    <row r="130">
      <c r="M130" s="52"/>
      <c r="N130" s="52"/>
      <c r="O130" s="52"/>
      <c r="P130" s="52"/>
      <c r="Q130" s="52"/>
      <c r="U130" s="52"/>
    </row>
    <row r="131">
      <c r="M131" s="52"/>
      <c r="N131" s="52"/>
      <c r="O131" s="52"/>
      <c r="P131" s="52"/>
      <c r="Q131" s="52"/>
      <c r="U131" s="52"/>
    </row>
    <row r="132">
      <c r="M132" s="52"/>
      <c r="N132" s="52"/>
      <c r="O132" s="52"/>
      <c r="P132" s="52"/>
      <c r="Q132" s="52"/>
      <c r="U132" s="52"/>
    </row>
    <row r="133">
      <c r="M133" s="52"/>
      <c r="N133" s="52"/>
      <c r="O133" s="52"/>
      <c r="P133" s="52"/>
      <c r="Q133" s="52"/>
      <c r="U133" s="52"/>
    </row>
    <row r="134">
      <c r="M134" s="52"/>
      <c r="N134" s="52"/>
      <c r="O134" s="52"/>
      <c r="P134" s="52"/>
      <c r="Q134" s="52"/>
      <c r="U134" s="52"/>
    </row>
    <row r="135">
      <c r="M135" s="52"/>
      <c r="N135" s="52"/>
      <c r="O135" s="52"/>
      <c r="P135" s="52"/>
      <c r="Q135" s="52"/>
      <c r="U135" s="52"/>
    </row>
    <row r="136">
      <c r="M136" s="52"/>
      <c r="N136" s="52"/>
      <c r="O136" s="52"/>
      <c r="P136" s="52"/>
      <c r="Q136" s="52"/>
      <c r="U136" s="52"/>
    </row>
    <row r="137">
      <c r="M137" s="52"/>
      <c r="N137" s="52"/>
      <c r="O137" s="52"/>
      <c r="P137" s="52"/>
      <c r="Q137" s="52"/>
      <c r="U137" s="52"/>
    </row>
    <row r="138">
      <c r="M138" s="52"/>
      <c r="N138" s="52"/>
      <c r="O138" s="52"/>
      <c r="P138" s="52"/>
      <c r="Q138" s="52"/>
      <c r="U138" s="52"/>
    </row>
    <row r="139">
      <c r="M139" s="52"/>
      <c r="N139" s="52"/>
      <c r="O139" s="52"/>
      <c r="P139" s="52"/>
      <c r="Q139" s="52"/>
      <c r="U139" s="52"/>
    </row>
    <row r="140">
      <c r="M140" s="52"/>
      <c r="N140" s="52"/>
      <c r="O140" s="52"/>
      <c r="P140" s="52"/>
      <c r="Q140" s="52"/>
      <c r="U140" s="52"/>
    </row>
    <row r="141">
      <c r="M141" s="52"/>
      <c r="N141" s="52"/>
      <c r="O141" s="52"/>
      <c r="P141" s="52"/>
      <c r="Q141" s="52"/>
      <c r="U141" s="52"/>
    </row>
    <row r="142">
      <c r="M142" s="52"/>
      <c r="N142" s="52"/>
      <c r="O142" s="52"/>
      <c r="P142" s="52"/>
      <c r="Q142" s="52"/>
      <c r="U142" s="52"/>
    </row>
    <row r="143">
      <c r="M143" s="52"/>
      <c r="N143" s="52"/>
      <c r="O143" s="52"/>
      <c r="P143" s="52"/>
      <c r="Q143" s="52"/>
      <c r="U143" s="52"/>
    </row>
    <row r="144">
      <c r="M144" s="52"/>
      <c r="N144" s="52"/>
      <c r="O144" s="52"/>
      <c r="P144" s="52"/>
      <c r="Q144" s="52"/>
      <c r="U144" s="52"/>
    </row>
    <row r="145">
      <c r="M145" s="52"/>
      <c r="N145" s="52"/>
      <c r="O145" s="52"/>
      <c r="P145" s="52"/>
      <c r="Q145" s="52"/>
      <c r="U145" s="52"/>
    </row>
    <row r="146">
      <c r="M146" s="52"/>
      <c r="N146" s="52"/>
      <c r="O146" s="52"/>
      <c r="P146" s="52"/>
      <c r="Q146" s="52"/>
      <c r="U146" s="52"/>
    </row>
    <row r="147">
      <c r="M147" s="52"/>
      <c r="N147" s="52"/>
      <c r="O147" s="52"/>
      <c r="P147" s="52"/>
      <c r="Q147" s="52"/>
      <c r="U147" s="52"/>
    </row>
    <row r="148">
      <c r="M148" s="52"/>
      <c r="N148" s="52"/>
      <c r="O148" s="52"/>
      <c r="P148" s="52"/>
      <c r="Q148" s="52"/>
      <c r="U148" s="52"/>
    </row>
    <row r="149">
      <c r="M149" s="52"/>
      <c r="N149" s="52"/>
      <c r="O149" s="52"/>
      <c r="P149" s="52"/>
      <c r="Q149" s="52"/>
      <c r="U149" s="52"/>
    </row>
    <row r="150">
      <c r="M150" s="52"/>
      <c r="N150" s="52"/>
      <c r="O150" s="52"/>
      <c r="P150" s="52"/>
      <c r="Q150" s="52"/>
      <c r="U150" s="52"/>
    </row>
    <row r="151">
      <c r="M151" s="52"/>
      <c r="N151" s="52"/>
      <c r="O151" s="52"/>
      <c r="P151" s="52"/>
      <c r="Q151" s="52"/>
      <c r="U151" s="52"/>
    </row>
    <row r="152">
      <c r="M152" s="52"/>
      <c r="N152" s="52"/>
      <c r="O152" s="52"/>
      <c r="P152" s="52"/>
      <c r="Q152" s="52"/>
      <c r="U152" s="52"/>
    </row>
    <row r="153">
      <c r="M153" s="52"/>
      <c r="N153" s="52"/>
      <c r="O153" s="52"/>
      <c r="P153" s="52"/>
      <c r="Q153" s="52"/>
      <c r="U153" s="52"/>
    </row>
    <row r="154">
      <c r="M154" s="52"/>
      <c r="N154" s="52"/>
      <c r="O154" s="52"/>
      <c r="P154" s="52"/>
      <c r="Q154" s="52"/>
      <c r="U154" s="52"/>
    </row>
    <row r="155">
      <c r="M155" s="52"/>
      <c r="N155" s="52"/>
      <c r="O155" s="52"/>
      <c r="P155" s="52"/>
      <c r="Q155" s="52"/>
      <c r="U155" s="52"/>
    </row>
    <row r="156">
      <c r="M156" s="52"/>
      <c r="N156" s="52"/>
      <c r="O156" s="52"/>
      <c r="P156" s="52"/>
      <c r="Q156" s="52"/>
      <c r="U156" s="52"/>
    </row>
    <row r="157">
      <c r="M157" s="52"/>
      <c r="N157" s="52"/>
      <c r="O157" s="52"/>
      <c r="P157" s="52"/>
      <c r="Q157" s="52"/>
      <c r="U157" s="52"/>
    </row>
    <row r="158">
      <c r="M158" s="52"/>
      <c r="N158" s="52"/>
      <c r="O158" s="52"/>
      <c r="P158" s="52"/>
      <c r="Q158" s="52"/>
      <c r="U158" s="52"/>
    </row>
    <row r="159">
      <c r="M159" s="52"/>
      <c r="N159" s="52"/>
      <c r="O159" s="52"/>
      <c r="P159" s="52"/>
      <c r="Q159" s="52"/>
      <c r="U159" s="52"/>
    </row>
    <row r="160">
      <c r="M160" s="52"/>
      <c r="N160" s="52"/>
      <c r="O160" s="52"/>
      <c r="P160" s="52"/>
      <c r="Q160" s="52"/>
      <c r="U160" s="52"/>
    </row>
    <row r="161">
      <c r="M161" s="52"/>
      <c r="N161" s="52"/>
      <c r="O161" s="52"/>
      <c r="P161" s="52"/>
      <c r="Q161" s="52"/>
      <c r="U161" s="52"/>
    </row>
    <row r="162">
      <c r="M162" s="52"/>
      <c r="N162" s="52"/>
      <c r="O162" s="52"/>
      <c r="P162" s="52"/>
      <c r="Q162" s="52"/>
      <c r="U162" s="52"/>
    </row>
    <row r="163">
      <c r="M163" s="52"/>
      <c r="N163" s="52"/>
      <c r="O163" s="52"/>
      <c r="P163" s="52"/>
      <c r="Q163" s="52"/>
      <c r="U163" s="52"/>
    </row>
    <row r="164">
      <c r="M164" s="52"/>
      <c r="N164" s="52"/>
      <c r="O164" s="52"/>
      <c r="P164" s="52"/>
      <c r="Q164" s="52"/>
      <c r="U164" s="52"/>
    </row>
    <row r="165">
      <c r="M165" s="52"/>
      <c r="N165" s="52"/>
      <c r="O165" s="52"/>
      <c r="P165" s="52"/>
      <c r="Q165" s="52"/>
      <c r="U165" s="52"/>
    </row>
    <row r="166">
      <c r="M166" s="52"/>
      <c r="N166" s="52"/>
      <c r="O166" s="52"/>
      <c r="P166" s="52"/>
      <c r="Q166" s="52"/>
      <c r="U166" s="52"/>
    </row>
    <row r="167">
      <c r="M167" s="52"/>
      <c r="N167" s="52"/>
      <c r="O167" s="52"/>
      <c r="P167" s="52"/>
      <c r="Q167" s="52"/>
      <c r="U167" s="52"/>
    </row>
    <row r="168">
      <c r="M168" s="52"/>
      <c r="N168" s="52"/>
      <c r="O168" s="52"/>
      <c r="P168" s="52"/>
      <c r="Q168" s="52"/>
      <c r="U168" s="52"/>
    </row>
    <row r="169">
      <c r="M169" s="52"/>
      <c r="N169" s="52"/>
      <c r="O169" s="52"/>
      <c r="P169" s="52"/>
      <c r="Q169" s="52"/>
      <c r="U169" s="52"/>
    </row>
    <row r="170">
      <c r="M170" s="52"/>
      <c r="N170" s="52"/>
      <c r="O170" s="52"/>
      <c r="P170" s="52"/>
      <c r="Q170" s="52"/>
      <c r="U170" s="52"/>
    </row>
    <row r="171">
      <c r="M171" s="52"/>
      <c r="N171" s="52"/>
      <c r="O171" s="52"/>
      <c r="P171" s="52"/>
      <c r="Q171" s="52"/>
      <c r="U171" s="52"/>
    </row>
    <row r="172">
      <c r="M172" s="52"/>
      <c r="N172" s="52"/>
      <c r="O172" s="52"/>
      <c r="P172" s="52"/>
      <c r="Q172" s="52"/>
      <c r="U172" s="52"/>
    </row>
    <row r="173">
      <c r="M173" s="52"/>
      <c r="N173" s="52"/>
      <c r="O173" s="52"/>
      <c r="P173" s="52"/>
      <c r="Q173" s="52"/>
      <c r="U173" s="52"/>
    </row>
    <row r="174">
      <c r="M174" s="52"/>
      <c r="N174" s="52"/>
      <c r="O174" s="52"/>
      <c r="P174" s="52"/>
      <c r="Q174" s="52"/>
      <c r="U174" s="52"/>
    </row>
    <row r="175">
      <c r="M175" s="52"/>
      <c r="N175" s="52"/>
      <c r="O175" s="52"/>
      <c r="P175" s="52"/>
      <c r="Q175" s="52"/>
      <c r="U175" s="52"/>
    </row>
    <row r="176">
      <c r="M176" s="52"/>
      <c r="N176" s="52"/>
      <c r="O176" s="52"/>
      <c r="P176" s="52"/>
      <c r="Q176" s="52"/>
      <c r="U176" s="52"/>
    </row>
    <row r="177">
      <c r="M177" s="52"/>
      <c r="N177" s="52"/>
      <c r="O177" s="52"/>
      <c r="P177" s="52"/>
      <c r="Q177" s="52"/>
      <c r="U177" s="52"/>
    </row>
    <row r="178">
      <c r="M178" s="52"/>
      <c r="N178" s="52"/>
      <c r="O178" s="52"/>
      <c r="P178" s="52"/>
      <c r="Q178" s="52"/>
      <c r="U178" s="52"/>
    </row>
    <row r="179">
      <c r="M179" s="52"/>
      <c r="N179" s="52"/>
      <c r="O179" s="52"/>
      <c r="P179" s="52"/>
      <c r="Q179" s="52"/>
      <c r="U179" s="52"/>
    </row>
    <row r="180">
      <c r="M180" s="52"/>
      <c r="N180" s="52"/>
      <c r="O180" s="52"/>
      <c r="P180" s="52"/>
      <c r="Q180" s="52"/>
      <c r="U180" s="52"/>
    </row>
    <row r="181">
      <c r="M181" s="52"/>
      <c r="N181" s="52"/>
      <c r="O181" s="52"/>
      <c r="P181" s="52"/>
      <c r="Q181" s="52"/>
      <c r="U181" s="52"/>
    </row>
    <row r="182">
      <c r="M182" s="52"/>
      <c r="N182" s="52"/>
      <c r="O182" s="52"/>
      <c r="P182" s="52"/>
      <c r="Q182" s="52"/>
      <c r="U182" s="52"/>
    </row>
    <row r="183">
      <c r="M183" s="52"/>
      <c r="N183" s="52"/>
      <c r="O183" s="52"/>
      <c r="P183" s="52"/>
      <c r="Q183" s="52"/>
      <c r="U183" s="52"/>
    </row>
    <row r="184">
      <c r="M184" s="52"/>
      <c r="N184" s="52"/>
      <c r="O184" s="52"/>
      <c r="P184" s="52"/>
      <c r="Q184" s="52"/>
      <c r="U184" s="52"/>
    </row>
    <row r="185">
      <c r="M185" s="52"/>
      <c r="N185" s="52"/>
      <c r="O185" s="52"/>
      <c r="P185" s="52"/>
      <c r="Q185" s="52"/>
      <c r="U185" s="52"/>
    </row>
    <row r="186">
      <c r="M186" s="52"/>
      <c r="N186" s="52"/>
      <c r="O186" s="52"/>
      <c r="P186" s="52"/>
      <c r="Q186" s="52"/>
      <c r="U186" s="52"/>
    </row>
    <row r="187">
      <c r="M187" s="52"/>
      <c r="N187" s="52"/>
      <c r="O187" s="52"/>
      <c r="P187" s="52"/>
      <c r="Q187" s="52"/>
      <c r="U187" s="52"/>
    </row>
    <row r="188">
      <c r="M188" s="52"/>
      <c r="N188" s="52"/>
      <c r="O188" s="52"/>
      <c r="P188" s="52"/>
      <c r="Q188" s="52"/>
      <c r="U188" s="52"/>
    </row>
    <row r="189">
      <c r="M189" s="52"/>
      <c r="N189" s="52"/>
      <c r="O189" s="52"/>
      <c r="P189" s="52"/>
      <c r="Q189" s="52"/>
      <c r="U189" s="52"/>
    </row>
    <row r="190">
      <c r="M190" s="52"/>
      <c r="N190" s="52"/>
      <c r="O190" s="52"/>
      <c r="P190" s="52"/>
      <c r="Q190" s="52"/>
      <c r="U190" s="52"/>
    </row>
    <row r="191">
      <c r="M191" s="52"/>
      <c r="N191" s="52"/>
      <c r="O191" s="52"/>
      <c r="P191" s="52"/>
      <c r="Q191" s="52"/>
      <c r="U191" s="52"/>
    </row>
    <row r="192">
      <c r="M192" s="52"/>
      <c r="N192" s="52"/>
      <c r="O192" s="52"/>
      <c r="P192" s="52"/>
      <c r="Q192" s="52"/>
      <c r="U192" s="52"/>
    </row>
    <row r="193">
      <c r="M193" s="52"/>
      <c r="N193" s="52"/>
      <c r="O193" s="52"/>
      <c r="P193" s="52"/>
      <c r="Q193" s="52"/>
      <c r="U193" s="52"/>
    </row>
    <row r="194">
      <c r="M194" s="52"/>
      <c r="N194" s="52"/>
      <c r="O194" s="52"/>
      <c r="P194" s="52"/>
      <c r="Q194" s="52"/>
      <c r="U194" s="52"/>
    </row>
    <row r="195">
      <c r="M195" s="52"/>
      <c r="N195" s="52"/>
      <c r="O195" s="52"/>
      <c r="P195" s="52"/>
      <c r="Q195" s="52"/>
      <c r="U195" s="52"/>
    </row>
    <row r="196">
      <c r="M196" s="52"/>
      <c r="N196" s="52"/>
      <c r="O196" s="52"/>
      <c r="P196" s="52"/>
      <c r="Q196" s="52"/>
      <c r="U196" s="52"/>
    </row>
    <row r="197">
      <c r="M197" s="52"/>
      <c r="N197" s="52"/>
      <c r="O197" s="52"/>
      <c r="P197" s="52"/>
      <c r="Q197" s="52"/>
      <c r="U197" s="52"/>
    </row>
    <row r="198">
      <c r="M198" s="52"/>
      <c r="N198" s="52"/>
      <c r="O198" s="52"/>
      <c r="P198" s="52"/>
      <c r="Q198" s="52"/>
      <c r="U198" s="52"/>
    </row>
    <row r="199">
      <c r="M199" s="52"/>
      <c r="N199" s="52"/>
      <c r="O199" s="52"/>
      <c r="P199" s="52"/>
      <c r="Q199" s="52"/>
      <c r="U199" s="52"/>
    </row>
    <row r="200">
      <c r="M200" s="52"/>
      <c r="N200" s="52"/>
      <c r="O200" s="52"/>
      <c r="P200" s="52"/>
      <c r="Q200" s="52"/>
      <c r="U200" s="52"/>
    </row>
    <row r="201">
      <c r="M201" s="52"/>
      <c r="N201" s="52"/>
      <c r="O201" s="52"/>
      <c r="P201" s="52"/>
      <c r="Q201" s="52"/>
      <c r="U201" s="52"/>
    </row>
    <row r="202">
      <c r="M202" s="52"/>
      <c r="N202" s="52"/>
      <c r="O202" s="52"/>
      <c r="P202" s="52"/>
      <c r="Q202" s="52"/>
      <c r="U202" s="52"/>
    </row>
    <row r="203">
      <c r="M203" s="52"/>
      <c r="N203" s="52"/>
      <c r="O203" s="52"/>
      <c r="P203" s="52"/>
      <c r="Q203" s="52"/>
      <c r="U203" s="52"/>
    </row>
    <row r="204">
      <c r="M204" s="52"/>
      <c r="N204" s="52"/>
      <c r="O204" s="52"/>
      <c r="P204" s="52"/>
      <c r="Q204" s="52"/>
      <c r="U204" s="52"/>
    </row>
    <row r="205">
      <c r="M205" s="52"/>
      <c r="N205" s="52"/>
      <c r="O205" s="52"/>
      <c r="P205" s="52"/>
      <c r="Q205" s="52"/>
      <c r="U205" s="52"/>
    </row>
    <row r="206">
      <c r="M206" s="52"/>
      <c r="N206" s="52"/>
      <c r="O206" s="52"/>
      <c r="P206" s="52"/>
      <c r="Q206" s="52"/>
      <c r="U206" s="52"/>
    </row>
    <row r="207">
      <c r="M207" s="52"/>
      <c r="N207" s="52"/>
      <c r="O207" s="52"/>
      <c r="P207" s="52"/>
      <c r="Q207" s="52"/>
      <c r="U207" s="52"/>
    </row>
    <row r="208">
      <c r="M208" s="52"/>
      <c r="N208" s="52"/>
      <c r="O208" s="52"/>
      <c r="P208" s="52"/>
      <c r="Q208" s="52"/>
      <c r="U208" s="52"/>
    </row>
    <row r="209">
      <c r="M209" s="52"/>
      <c r="N209" s="52"/>
      <c r="O209" s="52"/>
      <c r="P209" s="52"/>
      <c r="Q209" s="52"/>
      <c r="U209" s="52"/>
    </row>
    <row r="210">
      <c r="M210" s="52"/>
      <c r="N210" s="52"/>
      <c r="O210" s="52"/>
      <c r="P210" s="52"/>
      <c r="Q210" s="52"/>
      <c r="U210" s="52"/>
    </row>
    <row r="211">
      <c r="M211" s="52"/>
      <c r="N211" s="52"/>
      <c r="O211" s="52"/>
      <c r="P211" s="52"/>
      <c r="Q211" s="52"/>
      <c r="U211" s="52"/>
    </row>
    <row r="212">
      <c r="M212" s="52"/>
      <c r="N212" s="52"/>
      <c r="O212" s="52"/>
      <c r="P212" s="52"/>
      <c r="Q212" s="52"/>
      <c r="U212" s="52"/>
    </row>
    <row r="213">
      <c r="M213" s="52"/>
      <c r="N213" s="52"/>
      <c r="O213" s="52"/>
      <c r="P213" s="52"/>
      <c r="Q213" s="52"/>
      <c r="U213" s="52"/>
    </row>
    <row r="214">
      <c r="M214" s="52"/>
      <c r="N214" s="52"/>
      <c r="O214" s="52"/>
      <c r="P214" s="52"/>
      <c r="Q214" s="52"/>
      <c r="U214" s="52"/>
    </row>
    <row r="215">
      <c r="M215" s="52"/>
      <c r="N215" s="52"/>
      <c r="O215" s="52"/>
      <c r="P215" s="52"/>
      <c r="Q215" s="52"/>
      <c r="U215" s="52"/>
    </row>
    <row r="216">
      <c r="M216" s="52"/>
      <c r="N216" s="52"/>
      <c r="O216" s="52"/>
      <c r="P216" s="52"/>
      <c r="Q216" s="52"/>
      <c r="U216" s="52"/>
    </row>
    <row r="217">
      <c r="M217" s="52"/>
      <c r="N217" s="52"/>
      <c r="O217" s="52"/>
      <c r="P217" s="52"/>
      <c r="Q217" s="52"/>
      <c r="U217" s="52"/>
    </row>
    <row r="218">
      <c r="M218" s="52"/>
      <c r="N218" s="52"/>
      <c r="O218" s="52"/>
      <c r="P218" s="52"/>
      <c r="Q218" s="52"/>
      <c r="U218" s="52"/>
    </row>
    <row r="219">
      <c r="M219" s="52"/>
      <c r="N219" s="52"/>
      <c r="O219" s="52"/>
      <c r="P219" s="52"/>
      <c r="Q219" s="52"/>
      <c r="U219" s="52"/>
    </row>
    <row r="220">
      <c r="M220" s="52"/>
      <c r="N220" s="52"/>
      <c r="O220" s="52"/>
      <c r="P220" s="52"/>
      <c r="Q220" s="52"/>
      <c r="U220" s="52"/>
    </row>
    <row r="221">
      <c r="M221" s="52"/>
      <c r="N221" s="52"/>
      <c r="O221" s="52"/>
      <c r="P221" s="52"/>
      <c r="Q221" s="52"/>
      <c r="U221" s="52"/>
    </row>
    <row r="222">
      <c r="M222" s="52"/>
      <c r="N222" s="52"/>
      <c r="O222" s="52"/>
      <c r="P222" s="52"/>
      <c r="Q222" s="52"/>
      <c r="U222" s="52"/>
    </row>
    <row r="223">
      <c r="M223" s="52"/>
      <c r="N223" s="52"/>
      <c r="O223" s="52"/>
      <c r="P223" s="52"/>
      <c r="Q223" s="52"/>
      <c r="U223" s="52"/>
    </row>
    <row r="224">
      <c r="M224" s="52"/>
      <c r="N224" s="52"/>
      <c r="O224" s="52"/>
      <c r="P224" s="52"/>
      <c r="Q224" s="52"/>
      <c r="U224" s="52"/>
    </row>
    <row r="225">
      <c r="M225" s="52"/>
      <c r="N225" s="52"/>
      <c r="O225" s="52"/>
      <c r="P225" s="52"/>
      <c r="Q225" s="52"/>
      <c r="U225" s="52"/>
    </row>
    <row r="226">
      <c r="M226" s="52"/>
      <c r="N226" s="52"/>
      <c r="O226" s="52"/>
      <c r="P226" s="52"/>
      <c r="Q226" s="52"/>
      <c r="U226" s="52"/>
    </row>
    <row r="227">
      <c r="M227" s="52"/>
      <c r="N227" s="52"/>
      <c r="O227" s="52"/>
      <c r="P227" s="52"/>
      <c r="Q227" s="52"/>
      <c r="U227" s="52"/>
    </row>
    <row r="228">
      <c r="M228" s="52"/>
      <c r="N228" s="52"/>
      <c r="O228" s="52"/>
      <c r="P228" s="52"/>
      <c r="Q228" s="52"/>
      <c r="U228" s="52"/>
    </row>
    <row r="229">
      <c r="M229" s="52"/>
      <c r="N229" s="52"/>
      <c r="O229" s="52"/>
      <c r="P229" s="52"/>
      <c r="Q229" s="52"/>
      <c r="U229" s="52"/>
    </row>
    <row r="230">
      <c r="M230" s="52"/>
      <c r="N230" s="52"/>
      <c r="O230" s="52"/>
      <c r="P230" s="52"/>
      <c r="Q230" s="52"/>
      <c r="U230" s="52"/>
    </row>
    <row r="231">
      <c r="M231" s="52"/>
      <c r="N231" s="52"/>
      <c r="O231" s="52"/>
      <c r="P231" s="52"/>
      <c r="Q231" s="52"/>
      <c r="U231" s="52"/>
    </row>
    <row r="232">
      <c r="M232" s="52"/>
      <c r="N232" s="52"/>
      <c r="O232" s="52"/>
      <c r="P232" s="52"/>
      <c r="Q232" s="52"/>
      <c r="U232" s="52"/>
    </row>
    <row r="233">
      <c r="M233" s="52"/>
      <c r="N233" s="52"/>
      <c r="O233" s="52"/>
      <c r="P233" s="52"/>
      <c r="Q233" s="52"/>
      <c r="U233" s="52"/>
    </row>
    <row r="234">
      <c r="M234" s="52"/>
      <c r="N234" s="52"/>
      <c r="O234" s="52"/>
      <c r="P234" s="52"/>
      <c r="Q234" s="52"/>
      <c r="U234" s="52"/>
    </row>
    <row r="235">
      <c r="M235" s="52"/>
      <c r="N235" s="52"/>
      <c r="O235" s="52"/>
      <c r="P235" s="52"/>
      <c r="Q235" s="52"/>
      <c r="U235" s="52"/>
    </row>
    <row r="236">
      <c r="M236" s="52"/>
      <c r="N236" s="52"/>
      <c r="O236" s="52"/>
      <c r="P236" s="52"/>
      <c r="Q236" s="52"/>
      <c r="U236" s="52"/>
    </row>
    <row r="237">
      <c r="M237" s="52"/>
      <c r="N237" s="52"/>
      <c r="O237" s="52"/>
      <c r="P237" s="52"/>
      <c r="Q237" s="52"/>
      <c r="U237" s="52"/>
    </row>
    <row r="238">
      <c r="M238" s="52"/>
      <c r="N238" s="52"/>
      <c r="O238" s="52"/>
      <c r="P238" s="52"/>
      <c r="Q238" s="52"/>
      <c r="U238" s="52"/>
    </row>
    <row r="239">
      <c r="M239" s="52"/>
      <c r="N239" s="52"/>
      <c r="O239" s="52"/>
      <c r="P239" s="52"/>
      <c r="Q239" s="52"/>
      <c r="U239" s="52"/>
    </row>
    <row r="240">
      <c r="M240" s="52"/>
      <c r="N240" s="52"/>
      <c r="O240" s="52"/>
      <c r="P240" s="52"/>
      <c r="Q240" s="52"/>
      <c r="U240" s="52"/>
    </row>
    <row r="241">
      <c r="M241" s="52"/>
      <c r="N241" s="52"/>
      <c r="O241" s="52"/>
      <c r="P241" s="52"/>
      <c r="Q241" s="52"/>
      <c r="U241" s="52"/>
    </row>
    <row r="242">
      <c r="M242" s="52"/>
      <c r="N242" s="52"/>
      <c r="O242" s="52"/>
      <c r="P242" s="52"/>
      <c r="Q242" s="52"/>
      <c r="U242" s="52"/>
    </row>
    <row r="243">
      <c r="M243" s="52"/>
      <c r="N243" s="52"/>
      <c r="O243" s="52"/>
      <c r="P243" s="52"/>
      <c r="Q243" s="52"/>
      <c r="U243" s="52"/>
    </row>
    <row r="244">
      <c r="M244" s="52"/>
      <c r="N244" s="52"/>
      <c r="O244" s="52"/>
      <c r="P244" s="52"/>
      <c r="Q244" s="52"/>
      <c r="U244" s="52"/>
    </row>
    <row r="245">
      <c r="M245" s="52"/>
      <c r="N245" s="52"/>
      <c r="O245" s="52"/>
      <c r="P245" s="52"/>
      <c r="Q245" s="52"/>
      <c r="U245" s="52"/>
    </row>
    <row r="246">
      <c r="M246" s="52"/>
      <c r="N246" s="52"/>
      <c r="O246" s="52"/>
      <c r="P246" s="52"/>
      <c r="Q246" s="52"/>
      <c r="U246" s="52"/>
    </row>
    <row r="247">
      <c r="M247" s="52"/>
      <c r="N247" s="52"/>
      <c r="O247" s="52"/>
      <c r="P247" s="52"/>
      <c r="Q247" s="52"/>
      <c r="U247" s="52"/>
    </row>
    <row r="248">
      <c r="M248" s="52"/>
      <c r="N248" s="52"/>
      <c r="O248" s="52"/>
      <c r="P248" s="52"/>
      <c r="Q248" s="52"/>
      <c r="U248" s="52"/>
    </row>
    <row r="249">
      <c r="M249" s="52"/>
      <c r="N249" s="52"/>
      <c r="O249" s="52"/>
      <c r="P249" s="52"/>
      <c r="Q249" s="52"/>
      <c r="U249" s="52"/>
    </row>
    <row r="250">
      <c r="M250" s="52"/>
      <c r="N250" s="52"/>
      <c r="O250" s="52"/>
      <c r="P250" s="52"/>
      <c r="Q250" s="52"/>
      <c r="U250" s="52"/>
    </row>
    <row r="251">
      <c r="M251" s="52"/>
      <c r="N251" s="52"/>
      <c r="O251" s="52"/>
      <c r="P251" s="52"/>
      <c r="Q251" s="52"/>
      <c r="U251" s="52"/>
    </row>
    <row r="252">
      <c r="M252" s="52"/>
      <c r="N252" s="52"/>
      <c r="O252" s="52"/>
      <c r="P252" s="52"/>
      <c r="Q252" s="52"/>
      <c r="U252" s="52"/>
    </row>
    <row r="253">
      <c r="M253" s="52"/>
      <c r="N253" s="52"/>
      <c r="O253" s="52"/>
      <c r="P253" s="52"/>
      <c r="Q253" s="52"/>
      <c r="U253" s="52"/>
    </row>
    <row r="254">
      <c r="M254" s="52"/>
      <c r="N254" s="52"/>
      <c r="O254" s="52"/>
      <c r="P254" s="52"/>
      <c r="Q254" s="52"/>
      <c r="U254" s="52"/>
    </row>
    <row r="255">
      <c r="M255" s="52"/>
      <c r="N255" s="52"/>
      <c r="O255" s="52"/>
      <c r="P255" s="52"/>
      <c r="Q255" s="52"/>
      <c r="U255" s="52"/>
    </row>
    <row r="256">
      <c r="M256" s="52"/>
      <c r="N256" s="52"/>
      <c r="O256" s="52"/>
      <c r="P256" s="52"/>
      <c r="Q256" s="52"/>
      <c r="U256" s="52"/>
    </row>
    <row r="257">
      <c r="M257" s="52"/>
      <c r="N257" s="52"/>
      <c r="O257" s="52"/>
      <c r="P257" s="52"/>
      <c r="Q257" s="52"/>
      <c r="U257" s="52"/>
    </row>
    <row r="258">
      <c r="M258" s="52"/>
      <c r="N258" s="52"/>
      <c r="O258" s="52"/>
      <c r="P258" s="52"/>
      <c r="Q258" s="52"/>
      <c r="U258" s="52"/>
    </row>
    <row r="259">
      <c r="M259" s="52"/>
      <c r="N259" s="52"/>
      <c r="O259" s="52"/>
      <c r="P259" s="52"/>
      <c r="Q259" s="52"/>
      <c r="U259" s="52"/>
    </row>
    <row r="260">
      <c r="M260" s="52"/>
      <c r="N260" s="52"/>
      <c r="O260" s="52"/>
      <c r="P260" s="52"/>
      <c r="Q260" s="52"/>
      <c r="U260" s="52"/>
    </row>
    <row r="261">
      <c r="M261" s="52"/>
      <c r="N261" s="52"/>
      <c r="O261" s="52"/>
      <c r="P261" s="52"/>
      <c r="Q261" s="52"/>
      <c r="U261" s="52"/>
    </row>
    <row r="262">
      <c r="M262" s="52"/>
      <c r="N262" s="52"/>
      <c r="O262" s="52"/>
      <c r="P262" s="52"/>
      <c r="Q262" s="52"/>
      <c r="U262" s="52"/>
    </row>
    <row r="263">
      <c r="M263" s="52"/>
      <c r="N263" s="52"/>
      <c r="O263" s="52"/>
      <c r="P263" s="52"/>
      <c r="Q263" s="52"/>
      <c r="U263" s="52"/>
    </row>
    <row r="264">
      <c r="M264" s="52"/>
      <c r="N264" s="52"/>
      <c r="O264" s="52"/>
      <c r="P264" s="52"/>
      <c r="Q264" s="52"/>
      <c r="U264" s="52"/>
    </row>
    <row r="265">
      <c r="M265" s="52"/>
      <c r="N265" s="52"/>
      <c r="O265" s="52"/>
      <c r="P265" s="52"/>
      <c r="Q265" s="52"/>
      <c r="U265" s="52"/>
    </row>
    <row r="266">
      <c r="M266" s="52"/>
      <c r="N266" s="52"/>
      <c r="O266" s="52"/>
      <c r="P266" s="52"/>
      <c r="Q266" s="52"/>
      <c r="U266" s="52"/>
    </row>
    <row r="267">
      <c r="M267" s="52"/>
      <c r="N267" s="52"/>
      <c r="O267" s="52"/>
      <c r="P267" s="52"/>
      <c r="Q267" s="52"/>
      <c r="U267" s="52"/>
    </row>
    <row r="268">
      <c r="M268" s="52"/>
      <c r="N268" s="52"/>
      <c r="O268" s="52"/>
      <c r="P268" s="52"/>
      <c r="Q268" s="52"/>
      <c r="U268" s="52"/>
    </row>
    <row r="269">
      <c r="M269" s="52"/>
      <c r="N269" s="52"/>
      <c r="O269" s="52"/>
      <c r="P269" s="52"/>
      <c r="Q269" s="52"/>
      <c r="U269" s="52"/>
    </row>
    <row r="270">
      <c r="M270" s="52"/>
      <c r="N270" s="52"/>
      <c r="O270" s="52"/>
      <c r="P270" s="52"/>
      <c r="Q270" s="52"/>
      <c r="U270" s="52"/>
    </row>
    <row r="271">
      <c r="M271" s="52"/>
      <c r="N271" s="52"/>
      <c r="O271" s="52"/>
      <c r="P271" s="52"/>
      <c r="Q271" s="52"/>
      <c r="U271" s="52"/>
    </row>
    <row r="272">
      <c r="M272" s="52"/>
      <c r="N272" s="52"/>
      <c r="O272" s="52"/>
      <c r="P272" s="52"/>
      <c r="Q272" s="52"/>
      <c r="U272" s="52"/>
    </row>
    <row r="273">
      <c r="M273" s="52"/>
      <c r="N273" s="52"/>
      <c r="O273" s="52"/>
      <c r="P273" s="52"/>
      <c r="Q273" s="52"/>
      <c r="U273" s="52"/>
    </row>
    <row r="274">
      <c r="M274" s="52"/>
      <c r="N274" s="52"/>
      <c r="O274" s="52"/>
      <c r="P274" s="52"/>
      <c r="Q274" s="52"/>
      <c r="U274" s="52"/>
    </row>
    <row r="275">
      <c r="M275" s="52"/>
      <c r="N275" s="52"/>
      <c r="O275" s="52"/>
      <c r="P275" s="52"/>
      <c r="Q275" s="52"/>
      <c r="U275" s="52"/>
    </row>
    <row r="276">
      <c r="M276" s="52"/>
      <c r="N276" s="52"/>
      <c r="O276" s="52"/>
      <c r="P276" s="52"/>
      <c r="Q276" s="52"/>
      <c r="U276" s="52"/>
    </row>
    <row r="277">
      <c r="M277" s="52"/>
      <c r="N277" s="52"/>
      <c r="O277" s="52"/>
      <c r="P277" s="52"/>
      <c r="Q277" s="52"/>
      <c r="U277" s="52"/>
    </row>
    <row r="278">
      <c r="M278" s="52"/>
      <c r="N278" s="52"/>
      <c r="O278" s="52"/>
      <c r="P278" s="52"/>
      <c r="Q278" s="52"/>
      <c r="U278" s="52"/>
    </row>
    <row r="279">
      <c r="M279" s="52"/>
      <c r="N279" s="52"/>
      <c r="O279" s="52"/>
      <c r="P279" s="52"/>
      <c r="Q279" s="52"/>
      <c r="U279" s="52"/>
    </row>
    <row r="280">
      <c r="M280" s="52"/>
      <c r="N280" s="52"/>
      <c r="O280" s="52"/>
      <c r="P280" s="52"/>
      <c r="Q280" s="52"/>
      <c r="U280" s="52"/>
    </row>
    <row r="281">
      <c r="M281" s="52"/>
      <c r="N281" s="52"/>
      <c r="O281" s="52"/>
      <c r="P281" s="52"/>
      <c r="Q281" s="52"/>
      <c r="U281" s="52"/>
    </row>
    <row r="282">
      <c r="M282" s="52"/>
      <c r="N282" s="52"/>
      <c r="O282" s="52"/>
      <c r="P282" s="52"/>
      <c r="Q282" s="52"/>
      <c r="U282" s="52"/>
    </row>
    <row r="283">
      <c r="M283" s="52"/>
      <c r="N283" s="52"/>
      <c r="O283" s="52"/>
      <c r="P283" s="52"/>
      <c r="Q283" s="52"/>
      <c r="U283" s="52"/>
    </row>
    <row r="284">
      <c r="M284" s="52"/>
      <c r="N284" s="52"/>
      <c r="O284" s="52"/>
      <c r="P284" s="52"/>
      <c r="Q284" s="52"/>
      <c r="U284" s="52"/>
    </row>
    <row r="285">
      <c r="M285" s="52"/>
      <c r="N285" s="52"/>
      <c r="O285" s="52"/>
      <c r="P285" s="52"/>
      <c r="Q285" s="52"/>
      <c r="U285" s="52"/>
    </row>
    <row r="286">
      <c r="M286" s="52"/>
      <c r="N286" s="52"/>
      <c r="O286" s="52"/>
      <c r="P286" s="52"/>
      <c r="Q286" s="52"/>
      <c r="U286" s="52"/>
    </row>
    <row r="287">
      <c r="M287" s="52"/>
      <c r="N287" s="52"/>
      <c r="O287" s="52"/>
      <c r="P287" s="52"/>
      <c r="Q287" s="52"/>
      <c r="U287" s="52"/>
    </row>
    <row r="288">
      <c r="M288" s="52"/>
      <c r="N288" s="52"/>
      <c r="O288" s="52"/>
      <c r="P288" s="52"/>
      <c r="Q288" s="52"/>
      <c r="U288" s="52"/>
    </row>
    <row r="289">
      <c r="M289" s="52"/>
      <c r="N289" s="52"/>
      <c r="O289" s="52"/>
      <c r="P289" s="52"/>
      <c r="Q289" s="52"/>
      <c r="U289" s="52"/>
    </row>
    <row r="290">
      <c r="M290" s="52"/>
      <c r="N290" s="52"/>
      <c r="O290" s="52"/>
      <c r="P290" s="52"/>
      <c r="Q290" s="52"/>
      <c r="U290" s="52"/>
    </row>
    <row r="291">
      <c r="M291" s="52"/>
      <c r="N291" s="52"/>
      <c r="O291" s="52"/>
      <c r="P291" s="52"/>
      <c r="Q291" s="52"/>
      <c r="U291" s="52"/>
    </row>
    <row r="292">
      <c r="M292" s="52"/>
      <c r="N292" s="52"/>
      <c r="O292" s="52"/>
      <c r="P292" s="52"/>
      <c r="Q292" s="52"/>
      <c r="U292" s="52"/>
    </row>
    <row r="293">
      <c r="M293" s="52"/>
      <c r="N293" s="52"/>
      <c r="O293" s="52"/>
      <c r="P293" s="52"/>
      <c r="Q293" s="52"/>
      <c r="U293" s="52"/>
    </row>
    <row r="294">
      <c r="M294" s="52"/>
      <c r="N294" s="52"/>
      <c r="O294" s="52"/>
      <c r="P294" s="52"/>
      <c r="Q294" s="52"/>
      <c r="U294" s="52"/>
    </row>
    <row r="295">
      <c r="M295" s="52"/>
      <c r="N295" s="52"/>
      <c r="O295" s="52"/>
      <c r="P295" s="52"/>
      <c r="Q295" s="52"/>
      <c r="U295" s="52"/>
    </row>
    <row r="296">
      <c r="M296" s="52"/>
      <c r="N296" s="52"/>
      <c r="O296" s="52"/>
      <c r="P296" s="52"/>
      <c r="Q296" s="52"/>
      <c r="U296" s="52"/>
    </row>
    <row r="297">
      <c r="M297" s="52"/>
      <c r="N297" s="52"/>
      <c r="O297" s="52"/>
      <c r="P297" s="52"/>
      <c r="Q297" s="52"/>
      <c r="U297" s="52"/>
    </row>
    <row r="298">
      <c r="M298" s="52"/>
      <c r="N298" s="52"/>
      <c r="O298" s="52"/>
      <c r="P298" s="52"/>
      <c r="Q298" s="52"/>
      <c r="U298" s="52"/>
    </row>
    <row r="299">
      <c r="M299" s="52"/>
      <c r="N299" s="52"/>
      <c r="O299" s="52"/>
      <c r="P299" s="52"/>
      <c r="Q299" s="52"/>
      <c r="U299" s="52"/>
    </row>
    <row r="300">
      <c r="M300" s="52"/>
      <c r="N300" s="52"/>
      <c r="O300" s="52"/>
      <c r="P300" s="52"/>
      <c r="Q300" s="52"/>
      <c r="U300" s="52"/>
    </row>
    <row r="301">
      <c r="M301" s="52"/>
      <c r="N301" s="52"/>
      <c r="O301" s="52"/>
      <c r="P301" s="52"/>
      <c r="Q301" s="52"/>
      <c r="U301" s="52"/>
    </row>
    <row r="302">
      <c r="M302" s="52"/>
      <c r="N302" s="52"/>
      <c r="O302" s="52"/>
      <c r="P302" s="52"/>
      <c r="Q302" s="52"/>
      <c r="U302" s="52"/>
    </row>
    <row r="303">
      <c r="M303" s="52"/>
      <c r="N303" s="52"/>
      <c r="O303" s="52"/>
      <c r="P303" s="52"/>
      <c r="Q303" s="52"/>
      <c r="U303" s="52"/>
    </row>
    <row r="304">
      <c r="M304" s="52"/>
      <c r="N304" s="52"/>
      <c r="O304" s="52"/>
      <c r="P304" s="52"/>
      <c r="Q304" s="52"/>
      <c r="U304" s="52"/>
    </row>
    <row r="305">
      <c r="M305" s="52"/>
      <c r="N305" s="52"/>
      <c r="O305" s="52"/>
      <c r="P305" s="52"/>
      <c r="Q305" s="52"/>
      <c r="U305" s="52"/>
    </row>
    <row r="306">
      <c r="M306" s="52"/>
      <c r="N306" s="52"/>
      <c r="O306" s="52"/>
      <c r="P306" s="52"/>
      <c r="Q306" s="52"/>
      <c r="U306" s="52"/>
    </row>
    <row r="307">
      <c r="M307" s="52"/>
      <c r="N307" s="52"/>
      <c r="O307" s="52"/>
      <c r="P307" s="52"/>
      <c r="Q307" s="52"/>
      <c r="U307" s="52"/>
    </row>
    <row r="308">
      <c r="M308" s="52"/>
      <c r="N308" s="52"/>
      <c r="O308" s="52"/>
      <c r="P308" s="52"/>
      <c r="Q308" s="52"/>
      <c r="U308" s="52"/>
    </row>
    <row r="309">
      <c r="M309" s="52"/>
      <c r="N309" s="52"/>
      <c r="O309" s="52"/>
      <c r="P309" s="52"/>
      <c r="Q309" s="52"/>
      <c r="U309" s="52"/>
    </row>
    <row r="310">
      <c r="M310" s="52"/>
      <c r="N310" s="52"/>
      <c r="O310" s="52"/>
      <c r="P310" s="52"/>
      <c r="Q310" s="52"/>
      <c r="U310" s="52"/>
    </row>
    <row r="311">
      <c r="M311" s="52"/>
      <c r="N311" s="52"/>
      <c r="O311" s="52"/>
      <c r="P311" s="52"/>
      <c r="Q311" s="52"/>
      <c r="U311" s="52"/>
    </row>
    <row r="312">
      <c r="M312" s="52"/>
      <c r="N312" s="52"/>
      <c r="O312" s="52"/>
      <c r="P312" s="52"/>
      <c r="Q312" s="52"/>
      <c r="U312" s="52"/>
    </row>
    <row r="313">
      <c r="M313" s="52"/>
      <c r="N313" s="52"/>
      <c r="O313" s="52"/>
      <c r="P313" s="52"/>
      <c r="Q313" s="52"/>
      <c r="U313" s="52"/>
    </row>
    <row r="314">
      <c r="M314" s="52"/>
      <c r="N314" s="52"/>
      <c r="O314" s="52"/>
      <c r="P314" s="52"/>
      <c r="Q314" s="52"/>
      <c r="U314" s="52"/>
    </row>
    <row r="315">
      <c r="M315" s="52"/>
      <c r="N315" s="52"/>
      <c r="O315" s="52"/>
      <c r="P315" s="52"/>
      <c r="Q315" s="52"/>
      <c r="U315" s="52"/>
    </row>
    <row r="316">
      <c r="M316" s="52"/>
      <c r="N316" s="52"/>
      <c r="O316" s="52"/>
      <c r="P316" s="52"/>
      <c r="Q316" s="52"/>
      <c r="U316" s="52"/>
    </row>
    <row r="317">
      <c r="M317" s="52"/>
      <c r="N317" s="52"/>
      <c r="O317" s="52"/>
      <c r="P317" s="52"/>
      <c r="Q317" s="52"/>
      <c r="U317" s="52"/>
    </row>
    <row r="318">
      <c r="M318" s="52"/>
      <c r="N318" s="52"/>
      <c r="O318" s="52"/>
      <c r="P318" s="52"/>
      <c r="Q318" s="52"/>
      <c r="U318" s="52"/>
    </row>
    <row r="319">
      <c r="M319" s="52"/>
      <c r="N319" s="52"/>
      <c r="O319" s="52"/>
      <c r="P319" s="52"/>
      <c r="Q319" s="52"/>
      <c r="U319" s="52"/>
    </row>
    <row r="320">
      <c r="M320" s="52"/>
      <c r="N320" s="52"/>
      <c r="O320" s="52"/>
      <c r="P320" s="52"/>
      <c r="Q320" s="52"/>
      <c r="U320" s="52"/>
    </row>
    <row r="321">
      <c r="M321" s="52"/>
      <c r="N321" s="52"/>
      <c r="O321" s="52"/>
      <c r="P321" s="52"/>
      <c r="Q321" s="52"/>
      <c r="U321" s="52"/>
    </row>
    <row r="322">
      <c r="M322" s="52"/>
      <c r="N322" s="52"/>
      <c r="O322" s="52"/>
      <c r="P322" s="52"/>
      <c r="Q322" s="52"/>
      <c r="U322" s="52"/>
    </row>
    <row r="323">
      <c r="M323" s="52"/>
      <c r="N323" s="52"/>
      <c r="O323" s="52"/>
      <c r="P323" s="52"/>
      <c r="Q323" s="52"/>
      <c r="U323" s="52"/>
    </row>
    <row r="324">
      <c r="M324" s="52"/>
      <c r="N324" s="52"/>
      <c r="O324" s="52"/>
      <c r="P324" s="52"/>
      <c r="Q324" s="52"/>
      <c r="U324" s="52"/>
    </row>
    <row r="325">
      <c r="M325" s="52"/>
      <c r="N325" s="52"/>
      <c r="O325" s="52"/>
      <c r="P325" s="52"/>
      <c r="Q325" s="52"/>
      <c r="U325" s="52"/>
    </row>
    <row r="326">
      <c r="M326" s="52"/>
      <c r="N326" s="52"/>
      <c r="O326" s="52"/>
      <c r="P326" s="52"/>
      <c r="Q326" s="52"/>
      <c r="U326" s="52"/>
    </row>
    <row r="327">
      <c r="M327" s="52"/>
      <c r="N327" s="52"/>
      <c r="O327" s="52"/>
      <c r="P327" s="52"/>
      <c r="Q327" s="52"/>
      <c r="U327" s="52"/>
    </row>
    <row r="328">
      <c r="M328" s="52"/>
      <c r="N328" s="52"/>
      <c r="O328" s="52"/>
      <c r="P328" s="52"/>
      <c r="Q328" s="52"/>
      <c r="U328" s="52"/>
    </row>
    <row r="329">
      <c r="M329" s="52"/>
      <c r="N329" s="52"/>
      <c r="O329" s="52"/>
      <c r="P329" s="52"/>
      <c r="Q329" s="52"/>
      <c r="U329" s="52"/>
    </row>
    <row r="330">
      <c r="M330" s="52"/>
      <c r="N330" s="52"/>
      <c r="O330" s="52"/>
      <c r="P330" s="52"/>
      <c r="Q330" s="52"/>
      <c r="U330" s="52"/>
    </row>
    <row r="331">
      <c r="M331" s="52"/>
      <c r="N331" s="52"/>
      <c r="O331" s="52"/>
      <c r="P331" s="52"/>
      <c r="Q331" s="52"/>
      <c r="U331" s="52"/>
    </row>
    <row r="332">
      <c r="M332" s="52"/>
      <c r="N332" s="52"/>
      <c r="O332" s="52"/>
      <c r="P332" s="52"/>
      <c r="Q332" s="52"/>
      <c r="U332" s="52"/>
    </row>
    <row r="333">
      <c r="M333" s="52"/>
      <c r="N333" s="52"/>
      <c r="O333" s="52"/>
      <c r="P333" s="52"/>
      <c r="Q333" s="52"/>
      <c r="U333" s="52"/>
    </row>
    <row r="334">
      <c r="M334" s="52"/>
      <c r="N334" s="52"/>
      <c r="O334" s="52"/>
      <c r="P334" s="52"/>
      <c r="Q334" s="52"/>
      <c r="U334" s="52"/>
    </row>
    <row r="335">
      <c r="M335" s="52"/>
      <c r="N335" s="52"/>
      <c r="O335" s="52"/>
      <c r="P335" s="52"/>
      <c r="Q335" s="52"/>
      <c r="U335" s="52"/>
    </row>
    <row r="336">
      <c r="M336" s="52"/>
      <c r="N336" s="52"/>
      <c r="O336" s="52"/>
      <c r="P336" s="52"/>
      <c r="Q336" s="52"/>
      <c r="U336" s="52"/>
    </row>
    <row r="337">
      <c r="M337" s="52"/>
      <c r="N337" s="52"/>
      <c r="O337" s="52"/>
      <c r="P337" s="52"/>
      <c r="Q337" s="52"/>
      <c r="U337" s="52"/>
    </row>
    <row r="338">
      <c r="M338" s="52"/>
      <c r="N338" s="52"/>
      <c r="O338" s="52"/>
      <c r="P338" s="52"/>
      <c r="Q338" s="52"/>
      <c r="U338" s="52"/>
    </row>
    <row r="339">
      <c r="M339" s="52"/>
      <c r="N339" s="52"/>
      <c r="O339" s="52"/>
      <c r="P339" s="52"/>
      <c r="Q339" s="52"/>
      <c r="U339" s="52"/>
    </row>
    <row r="340">
      <c r="M340" s="52"/>
      <c r="N340" s="52"/>
      <c r="O340" s="52"/>
      <c r="P340" s="52"/>
      <c r="Q340" s="52"/>
      <c r="U340" s="52"/>
    </row>
    <row r="341">
      <c r="M341" s="52"/>
      <c r="N341" s="52"/>
      <c r="O341" s="52"/>
      <c r="P341" s="52"/>
      <c r="Q341" s="52"/>
      <c r="U341" s="52"/>
    </row>
    <row r="342">
      <c r="M342" s="52"/>
      <c r="N342" s="52"/>
      <c r="O342" s="52"/>
      <c r="P342" s="52"/>
      <c r="Q342" s="52"/>
      <c r="U342" s="52"/>
    </row>
    <row r="343">
      <c r="M343" s="52"/>
      <c r="N343" s="52"/>
      <c r="O343" s="52"/>
      <c r="P343" s="52"/>
      <c r="Q343" s="52"/>
      <c r="U343" s="52"/>
    </row>
    <row r="344">
      <c r="M344" s="52"/>
      <c r="N344" s="52"/>
      <c r="O344" s="52"/>
      <c r="P344" s="52"/>
      <c r="Q344" s="52"/>
      <c r="U344" s="52"/>
    </row>
    <row r="345">
      <c r="M345" s="52"/>
      <c r="N345" s="52"/>
      <c r="O345" s="52"/>
      <c r="P345" s="52"/>
      <c r="Q345" s="52"/>
      <c r="U345" s="52"/>
    </row>
    <row r="346">
      <c r="M346" s="52"/>
      <c r="N346" s="52"/>
      <c r="O346" s="52"/>
      <c r="P346" s="52"/>
      <c r="Q346" s="52"/>
      <c r="U346" s="52"/>
    </row>
    <row r="347">
      <c r="M347" s="52"/>
      <c r="N347" s="52"/>
      <c r="O347" s="52"/>
      <c r="P347" s="52"/>
      <c r="Q347" s="52"/>
      <c r="U347" s="52"/>
    </row>
    <row r="348">
      <c r="M348" s="52"/>
      <c r="N348" s="52"/>
      <c r="O348" s="52"/>
      <c r="P348" s="52"/>
      <c r="Q348" s="52"/>
      <c r="U348" s="52"/>
    </row>
    <row r="349">
      <c r="M349" s="52"/>
      <c r="N349" s="52"/>
      <c r="O349" s="52"/>
      <c r="P349" s="52"/>
      <c r="Q349" s="52"/>
      <c r="U349" s="52"/>
    </row>
    <row r="350">
      <c r="M350" s="52"/>
      <c r="N350" s="52"/>
      <c r="O350" s="52"/>
      <c r="P350" s="52"/>
      <c r="Q350" s="52"/>
      <c r="U350" s="52"/>
    </row>
    <row r="351">
      <c r="M351" s="52"/>
      <c r="N351" s="52"/>
      <c r="O351" s="52"/>
      <c r="P351" s="52"/>
      <c r="Q351" s="52"/>
      <c r="U351" s="52"/>
    </row>
    <row r="352">
      <c r="M352" s="52"/>
      <c r="N352" s="52"/>
      <c r="O352" s="52"/>
      <c r="P352" s="52"/>
      <c r="Q352" s="52"/>
      <c r="U352" s="52"/>
    </row>
    <row r="353">
      <c r="M353" s="52"/>
      <c r="N353" s="52"/>
      <c r="O353" s="52"/>
      <c r="P353" s="52"/>
      <c r="Q353" s="52"/>
      <c r="U353" s="52"/>
    </row>
    <row r="354">
      <c r="M354" s="52"/>
      <c r="N354" s="52"/>
      <c r="O354" s="52"/>
      <c r="P354" s="52"/>
      <c r="Q354" s="52"/>
      <c r="U354" s="52"/>
    </row>
    <row r="355">
      <c r="M355" s="52"/>
      <c r="N355" s="52"/>
      <c r="O355" s="52"/>
      <c r="P355" s="52"/>
      <c r="Q355" s="52"/>
      <c r="U355" s="52"/>
    </row>
    <row r="356">
      <c r="M356" s="52"/>
      <c r="N356" s="52"/>
      <c r="O356" s="52"/>
      <c r="P356" s="52"/>
      <c r="Q356" s="52"/>
      <c r="U356" s="52"/>
    </row>
    <row r="357">
      <c r="M357" s="52"/>
      <c r="N357" s="52"/>
      <c r="O357" s="52"/>
      <c r="P357" s="52"/>
      <c r="Q357" s="52"/>
      <c r="U357" s="52"/>
    </row>
    <row r="358">
      <c r="M358" s="52"/>
      <c r="N358" s="52"/>
      <c r="O358" s="52"/>
      <c r="P358" s="52"/>
      <c r="Q358" s="52"/>
      <c r="U358" s="52"/>
    </row>
    <row r="359">
      <c r="M359" s="52"/>
      <c r="N359" s="52"/>
      <c r="O359" s="52"/>
      <c r="P359" s="52"/>
      <c r="Q359" s="52"/>
      <c r="U359" s="52"/>
    </row>
    <row r="360">
      <c r="M360" s="52"/>
      <c r="N360" s="52"/>
      <c r="O360" s="52"/>
      <c r="P360" s="52"/>
      <c r="Q360" s="52"/>
      <c r="U360" s="52"/>
    </row>
    <row r="361">
      <c r="M361" s="52"/>
      <c r="N361" s="52"/>
      <c r="O361" s="52"/>
      <c r="P361" s="52"/>
      <c r="Q361" s="52"/>
      <c r="U361" s="52"/>
    </row>
    <row r="362">
      <c r="M362" s="52"/>
      <c r="N362" s="52"/>
      <c r="O362" s="52"/>
      <c r="P362" s="52"/>
      <c r="Q362" s="52"/>
      <c r="U362" s="52"/>
    </row>
    <row r="363">
      <c r="M363" s="52"/>
      <c r="N363" s="52"/>
      <c r="O363" s="52"/>
      <c r="P363" s="52"/>
      <c r="Q363" s="52"/>
      <c r="U363" s="52"/>
    </row>
    <row r="364">
      <c r="M364" s="52"/>
      <c r="N364" s="52"/>
      <c r="O364" s="52"/>
      <c r="P364" s="52"/>
      <c r="Q364" s="52"/>
      <c r="U364" s="52"/>
    </row>
    <row r="365">
      <c r="M365" s="52"/>
      <c r="N365" s="52"/>
      <c r="O365" s="52"/>
      <c r="P365" s="52"/>
      <c r="Q365" s="52"/>
      <c r="U365" s="52"/>
    </row>
    <row r="366">
      <c r="M366" s="52"/>
      <c r="N366" s="52"/>
      <c r="O366" s="52"/>
      <c r="P366" s="52"/>
      <c r="Q366" s="52"/>
      <c r="U366" s="52"/>
    </row>
    <row r="367">
      <c r="M367" s="52"/>
      <c r="N367" s="52"/>
      <c r="O367" s="52"/>
      <c r="P367" s="52"/>
      <c r="Q367" s="52"/>
      <c r="U367" s="52"/>
    </row>
    <row r="368">
      <c r="M368" s="52"/>
      <c r="N368" s="52"/>
      <c r="O368" s="52"/>
      <c r="P368" s="52"/>
      <c r="Q368" s="52"/>
      <c r="U368" s="52"/>
    </row>
    <row r="369">
      <c r="M369" s="52"/>
      <c r="N369" s="52"/>
      <c r="O369" s="52"/>
      <c r="P369" s="52"/>
      <c r="Q369" s="52"/>
      <c r="U369" s="52"/>
    </row>
    <row r="370">
      <c r="M370" s="52"/>
      <c r="N370" s="52"/>
      <c r="O370" s="52"/>
      <c r="P370" s="52"/>
      <c r="Q370" s="52"/>
      <c r="U370" s="52"/>
    </row>
    <row r="371">
      <c r="M371" s="52"/>
      <c r="N371" s="52"/>
      <c r="O371" s="52"/>
      <c r="P371" s="52"/>
      <c r="Q371" s="52"/>
      <c r="U371" s="52"/>
    </row>
    <row r="372">
      <c r="M372" s="52"/>
      <c r="N372" s="52"/>
      <c r="O372" s="52"/>
      <c r="P372" s="52"/>
      <c r="Q372" s="52"/>
      <c r="U372" s="52"/>
    </row>
    <row r="373">
      <c r="M373" s="52"/>
      <c r="N373" s="52"/>
      <c r="O373" s="52"/>
      <c r="P373" s="52"/>
      <c r="Q373" s="52"/>
      <c r="U373" s="52"/>
    </row>
    <row r="374">
      <c r="M374" s="52"/>
      <c r="N374" s="52"/>
      <c r="O374" s="52"/>
      <c r="P374" s="52"/>
      <c r="Q374" s="52"/>
      <c r="U374" s="52"/>
    </row>
    <row r="375">
      <c r="M375" s="52"/>
      <c r="N375" s="52"/>
      <c r="O375" s="52"/>
      <c r="P375" s="52"/>
      <c r="Q375" s="52"/>
      <c r="U375" s="52"/>
    </row>
    <row r="376">
      <c r="M376" s="52"/>
      <c r="N376" s="52"/>
      <c r="O376" s="52"/>
      <c r="P376" s="52"/>
      <c r="Q376" s="52"/>
      <c r="U376" s="52"/>
    </row>
    <row r="377">
      <c r="M377" s="52"/>
      <c r="N377" s="52"/>
      <c r="O377" s="52"/>
      <c r="P377" s="52"/>
      <c r="Q377" s="52"/>
      <c r="U377" s="52"/>
    </row>
    <row r="378">
      <c r="M378" s="52"/>
      <c r="N378" s="52"/>
      <c r="O378" s="52"/>
      <c r="P378" s="52"/>
      <c r="Q378" s="52"/>
      <c r="U378" s="52"/>
    </row>
    <row r="379">
      <c r="M379" s="52"/>
      <c r="N379" s="52"/>
      <c r="O379" s="52"/>
      <c r="P379" s="52"/>
      <c r="Q379" s="52"/>
      <c r="U379" s="52"/>
    </row>
    <row r="380">
      <c r="M380" s="52"/>
      <c r="N380" s="52"/>
      <c r="O380" s="52"/>
      <c r="P380" s="52"/>
      <c r="Q380" s="52"/>
      <c r="U380" s="52"/>
    </row>
    <row r="381">
      <c r="M381" s="52"/>
      <c r="N381" s="52"/>
      <c r="O381" s="52"/>
      <c r="P381" s="52"/>
      <c r="Q381" s="52"/>
      <c r="U381" s="52"/>
    </row>
    <row r="382">
      <c r="M382" s="52"/>
      <c r="N382" s="52"/>
      <c r="O382" s="52"/>
      <c r="P382" s="52"/>
      <c r="Q382" s="52"/>
      <c r="U382" s="52"/>
    </row>
    <row r="383">
      <c r="M383" s="52"/>
      <c r="N383" s="52"/>
      <c r="O383" s="52"/>
      <c r="P383" s="52"/>
      <c r="Q383" s="52"/>
      <c r="U383" s="52"/>
    </row>
    <row r="384">
      <c r="M384" s="52"/>
      <c r="N384" s="52"/>
      <c r="O384" s="52"/>
      <c r="P384" s="52"/>
      <c r="Q384" s="52"/>
      <c r="U384" s="52"/>
    </row>
    <row r="385">
      <c r="M385" s="52"/>
      <c r="N385" s="52"/>
      <c r="O385" s="52"/>
      <c r="P385" s="52"/>
      <c r="Q385" s="52"/>
      <c r="U385" s="52"/>
    </row>
    <row r="386">
      <c r="M386" s="52"/>
      <c r="N386" s="52"/>
      <c r="O386" s="52"/>
      <c r="P386" s="52"/>
      <c r="Q386" s="52"/>
      <c r="U386" s="52"/>
    </row>
    <row r="387">
      <c r="M387" s="52"/>
      <c r="N387" s="52"/>
      <c r="O387" s="52"/>
      <c r="P387" s="52"/>
      <c r="Q387" s="52"/>
      <c r="U387" s="52"/>
    </row>
    <row r="388">
      <c r="M388" s="52"/>
      <c r="N388" s="52"/>
      <c r="O388" s="52"/>
      <c r="P388" s="52"/>
      <c r="Q388" s="52"/>
      <c r="U388" s="52"/>
    </row>
    <row r="389">
      <c r="M389" s="52"/>
      <c r="N389" s="52"/>
      <c r="O389" s="52"/>
      <c r="P389" s="52"/>
      <c r="Q389" s="52"/>
      <c r="U389" s="52"/>
    </row>
    <row r="390">
      <c r="M390" s="52"/>
      <c r="N390" s="52"/>
      <c r="O390" s="52"/>
      <c r="P390" s="52"/>
      <c r="Q390" s="52"/>
      <c r="U390" s="52"/>
    </row>
    <row r="391">
      <c r="M391" s="52"/>
      <c r="N391" s="52"/>
      <c r="O391" s="52"/>
      <c r="P391" s="52"/>
      <c r="Q391" s="52"/>
      <c r="U391" s="52"/>
    </row>
    <row r="392">
      <c r="M392" s="52"/>
      <c r="N392" s="52"/>
      <c r="O392" s="52"/>
      <c r="P392" s="52"/>
      <c r="Q392" s="52"/>
      <c r="U392" s="52"/>
    </row>
    <row r="393">
      <c r="M393" s="52"/>
      <c r="N393" s="52"/>
      <c r="O393" s="52"/>
      <c r="P393" s="52"/>
      <c r="Q393" s="52"/>
      <c r="U393" s="52"/>
    </row>
    <row r="394">
      <c r="M394" s="52"/>
      <c r="N394" s="52"/>
      <c r="O394" s="52"/>
      <c r="P394" s="52"/>
      <c r="Q394" s="52"/>
      <c r="U394" s="52"/>
    </row>
    <row r="395">
      <c r="M395" s="52"/>
      <c r="N395" s="52"/>
      <c r="O395" s="52"/>
      <c r="P395" s="52"/>
      <c r="Q395" s="52"/>
      <c r="U395" s="52"/>
    </row>
    <row r="396">
      <c r="M396" s="52"/>
      <c r="N396" s="52"/>
      <c r="O396" s="52"/>
      <c r="P396" s="52"/>
      <c r="Q396" s="52"/>
      <c r="U396" s="52"/>
    </row>
    <row r="397">
      <c r="M397" s="52"/>
      <c r="N397" s="52"/>
      <c r="O397" s="52"/>
      <c r="P397" s="52"/>
      <c r="Q397" s="52"/>
      <c r="U397" s="52"/>
    </row>
    <row r="398">
      <c r="M398" s="52"/>
      <c r="N398" s="52"/>
      <c r="O398" s="52"/>
      <c r="P398" s="52"/>
      <c r="Q398" s="52"/>
      <c r="U398" s="52"/>
    </row>
    <row r="399">
      <c r="M399" s="52"/>
      <c r="N399" s="52"/>
      <c r="O399" s="52"/>
      <c r="P399" s="52"/>
      <c r="Q399" s="52"/>
      <c r="U399" s="52"/>
    </row>
    <row r="400">
      <c r="M400" s="52"/>
      <c r="N400" s="52"/>
      <c r="O400" s="52"/>
      <c r="P400" s="52"/>
      <c r="Q400" s="52"/>
      <c r="U400" s="52"/>
    </row>
    <row r="401">
      <c r="M401" s="52"/>
      <c r="N401" s="52"/>
      <c r="O401" s="52"/>
      <c r="P401" s="52"/>
      <c r="Q401" s="52"/>
      <c r="U401" s="52"/>
    </row>
    <row r="402">
      <c r="M402" s="52"/>
      <c r="N402" s="52"/>
      <c r="O402" s="52"/>
      <c r="P402" s="52"/>
      <c r="Q402" s="52"/>
      <c r="U402" s="52"/>
    </row>
    <row r="403">
      <c r="M403" s="52"/>
      <c r="N403" s="52"/>
      <c r="O403" s="52"/>
      <c r="P403" s="52"/>
      <c r="Q403" s="52"/>
      <c r="U403" s="52"/>
    </row>
    <row r="404">
      <c r="M404" s="52"/>
      <c r="N404" s="52"/>
      <c r="O404" s="52"/>
      <c r="P404" s="52"/>
      <c r="Q404" s="52"/>
      <c r="U404" s="52"/>
    </row>
    <row r="405">
      <c r="M405" s="52"/>
      <c r="N405" s="52"/>
      <c r="O405" s="52"/>
      <c r="P405" s="52"/>
      <c r="Q405" s="52"/>
      <c r="U405" s="52"/>
    </row>
    <row r="406">
      <c r="M406" s="52"/>
      <c r="N406" s="52"/>
      <c r="O406" s="52"/>
      <c r="P406" s="52"/>
      <c r="Q406" s="52"/>
      <c r="U406" s="52"/>
    </row>
    <row r="407">
      <c r="M407" s="52"/>
      <c r="N407" s="52"/>
      <c r="O407" s="52"/>
      <c r="P407" s="52"/>
      <c r="Q407" s="52"/>
      <c r="U407" s="52"/>
    </row>
    <row r="408">
      <c r="M408" s="52"/>
      <c r="N408" s="52"/>
      <c r="O408" s="52"/>
      <c r="P408" s="52"/>
      <c r="Q408" s="52"/>
      <c r="U408" s="52"/>
    </row>
    <row r="409">
      <c r="M409" s="52"/>
      <c r="N409" s="52"/>
      <c r="O409" s="52"/>
      <c r="P409" s="52"/>
      <c r="Q409" s="52"/>
      <c r="U409" s="52"/>
    </row>
    <row r="410">
      <c r="M410" s="52"/>
      <c r="N410" s="52"/>
      <c r="O410" s="52"/>
      <c r="P410" s="52"/>
      <c r="Q410" s="52"/>
      <c r="U410" s="52"/>
    </row>
    <row r="411">
      <c r="M411" s="52"/>
      <c r="N411" s="52"/>
      <c r="O411" s="52"/>
      <c r="P411" s="52"/>
      <c r="Q411" s="52"/>
      <c r="U411" s="52"/>
    </row>
    <row r="412">
      <c r="M412" s="52"/>
      <c r="N412" s="52"/>
      <c r="O412" s="52"/>
      <c r="P412" s="52"/>
      <c r="Q412" s="52"/>
      <c r="U412" s="52"/>
    </row>
    <row r="413">
      <c r="M413" s="52"/>
      <c r="N413" s="52"/>
      <c r="O413" s="52"/>
      <c r="P413" s="52"/>
      <c r="Q413" s="52"/>
      <c r="U413" s="52"/>
    </row>
    <row r="414">
      <c r="M414" s="52"/>
      <c r="N414" s="52"/>
      <c r="O414" s="52"/>
      <c r="P414" s="52"/>
      <c r="Q414" s="52"/>
      <c r="U414" s="52"/>
    </row>
    <row r="415">
      <c r="M415" s="52"/>
      <c r="N415" s="52"/>
      <c r="O415" s="52"/>
      <c r="P415" s="52"/>
      <c r="Q415" s="52"/>
      <c r="U415" s="52"/>
    </row>
    <row r="416">
      <c r="M416" s="52"/>
      <c r="N416" s="52"/>
      <c r="O416" s="52"/>
      <c r="P416" s="52"/>
      <c r="Q416" s="52"/>
      <c r="U416" s="52"/>
    </row>
    <row r="417">
      <c r="M417" s="52"/>
      <c r="N417" s="52"/>
      <c r="O417" s="52"/>
      <c r="P417" s="52"/>
      <c r="Q417" s="52"/>
      <c r="U417" s="52"/>
    </row>
    <row r="418">
      <c r="M418" s="52"/>
      <c r="N418" s="52"/>
      <c r="O418" s="52"/>
      <c r="P418" s="52"/>
      <c r="Q418" s="52"/>
      <c r="U418" s="52"/>
    </row>
    <row r="419">
      <c r="M419" s="52"/>
      <c r="N419" s="52"/>
      <c r="O419" s="52"/>
      <c r="P419" s="52"/>
      <c r="Q419" s="52"/>
      <c r="U419" s="52"/>
    </row>
    <row r="420">
      <c r="M420" s="52"/>
      <c r="N420" s="52"/>
      <c r="O420" s="52"/>
      <c r="P420" s="52"/>
      <c r="Q420" s="52"/>
      <c r="U420" s="52"/>
    </row>
    <row r="421">
      <c r="M421" s="52"/>
      <c r="N421" s="52"/>
      <c r="O421" s="52"/>
      <c r="P421" s="52"/>
      <c r="Q421" s="52"/>
      <c r="U421" s="52"/>
    </row>
    <row r="422">
      <c r="M422" s="52"/>
      <c r="N422" s="52"/>
      <c r="O422" s="52"/>
      <c r="P422" s="52"/>
      <c r="Q422" s="52"/>
      <c r="U422" s="52"/>
    </row>
    <row r="423">
      <c r="M423" s="52"/>
      <c r="N423" s="52"/>
      <c r="O423" s="52"/>
      <c r="P423" s="52"/>
      <c r="Q423" s="52"/>
      <c r="U423" s="52"/>
    </row>
    <row r="424">
      <c r="M424" s="52"/>
      <c r="N424" s="52"/>
      <c r="O424" s="52"/>
      <c r="P424" s="52"/>
      <c r="Q424" s="52"/>
      <c r="U424" s="52"/>
    </row>
    <row r="425">
      <c r="M425" s="52"/>
      <c r="N425" s="52"/>
      <c r="O425" s="52"/>
      <c r="P425" s="52"/>
      <c r="Q425" s="52"/>
      <c r="U425" s="52"/>
    </row>
    <row r="426">
      <c r="M426" s="52"/>
      <c r="N426" s="52"/>
      <c r="O426" s="52"/>
      <c r="P426" s="52"/>
      <c r="Q426" s="52"/>
      <c r="U426" s="52"/>
    </row>
    <row r="427">
      <c r="M427" s="52"/>
      <c r="N427" s="52"/>
      <c r="O427" s="52"/>
      <c r="P427" s="52"/>
      <c r="Q427" s="52"/>
      <c r="U427" s="52"/>
    </row>
    <row r="428">
      <c r="M428" s="52"/>
      <c r="N428" s="52"/>
      <c r="O428" s="52"/>
      <c r="P428" s="52"/>
      <c r="Q428" s="52"/>
      <c r="U428" s="52"/>
    </row>
    <row r="429">
      <c r="M429" s="52"/>
      <c r="N429" s="52"/>
      <c r="O429" s="52"/>
      <c r="P429" s="52"/>
      <c r="Q429" s="52"/>
      <c r="U429" s="52"/>
    </row>
    <row r="430">
      <c r="M430" s="52"/>
      <c r="N430" s="52"/>
      <c r="O430" s="52"/>
      <c r="P430" s="52"/>
      <c r="Q430" s="52"/>
      <c r="U430" s="52"/>
    </row>
    <row r="431">
      <c r="M431" s="52"/>
      <c r="N431" s="52"/>
      <c r="O431" s="52"/>
      <c r="P431" s="52"/>
      <c r="Q431" s="52"/>
      <c r="U431" s="52"/>
    </row>
    <row r="432">
      <c r="M432" s="52"/>
      <c r="N432" s="52"/>
      <c r="O432" s="52"/>
      <c r="P432" s="52"/>
      <c r="Q432" s="52"/>
      <c r="U432" s="52"/>
    </row>
    <row r="433">
      <c r="M433" s="52"/>
      <c r="N433" s="52"/>
      <c r="O433" s="52"/>
      <c r="P433" s="52"/>
      <c r="Q433" s="52"/>
      <c r="U433" s="52"/>
    </row>
    <row r="434">
      <c r="M434" s="52"/>
      <c r="N434" s="52"/>
      <c r="O434" s="52"/>
      <c r="P434" s="52"/>
      <c r="Q434" s="52"/>
      <c r="U434" s="52"/>
    </row>
    <row r="435">
      <c r="M435" s="52"/>
      <c r="N435" s="52"/>
      <c r="O435" s="52"/>
      <c r="P435" s="52"/>
      <c r="Q435" s="52"/>
      <c r="U435" s="52"/>
    </row>
    <row r="436">
      <c r="M436" s="52"/>
      <c r="N436" s="52"/>
      <c r="O436" s="52"/>
      <c r="P436" s="52"/>
      <c r="Q436" s="52"/>
      <c r="U436" s="52"/>
    </row>
    <row r="437">
      <c r="M437" s="52"/>
      <c r="N437" s="52"/>
      <c r="O437" s="52"/>
      <c r="P437" s="52"/>
      <c r="Q437" s="52"/>
      <c r="U437" s="52"/>
    </row>
    <row r="438">
      <c r="M438" s="52"/>
      <c r="N438" s="52"/>
      <c r="O438" s="52"/>
      <c r="P438" s="52"/>
      <c r="Q438" s="52"/>
      <c r="U438" s="52"/>
    </row>
    <row r="439">
      <c r="M439" s="52"/>
      <c r="N439" s="52"/>
      <c r="O439" s="52"/>
      <c r="P439" s="52"/>
      <c r="Q439" s="52"/>
      <c r="U439" s="52"/>
    </row>
    <row r="440">
      <c r="M440" s="52"/>
      <c r="N440" s="52"/>
      <c r="O440" s="52"/>
      <c r="P440" s="52"/>
      <c r="Q440" s="52"/>
      <c r="U440" s="52"/>
    </row>
    <row r="441">
      <c r="M441" s="52"/>
      <c r="N441" s="52"/>
      <c r="O441" s="52"/>
      <c r="P441" s="52"/>
      <c r="Q441" s="52"/>
      <c r="U441" s="52"/>
    </row>
    <row r="442">
      <c r="M442" s="52"/>
      <c r="N442" s="52"/>
      <c r="O442" s="52"/>
      <c r="P442" s="52"/>
      <c r="Q442" s="52"/>
      <c r="U442" s="52"/>
    </row>
    <row r="443">
      <c r="M443" s="52"/>
      <c r="N443" s="52"/>
      <c r="O443" s="52"/>
      <c r="P443" s="52"/>
      <c r="Q443" s="52"/>
      <c r="U443" s="52"/>
    </row>
    <row r="444">
      <c r="M444" s="52"/>
      <c r="N444" s="52"/>
      <c r="O444" s="52"/>
      <c r="P444" s="52"/>
      <c r="Q444" s="52"/>
      <c r="U444" s="52"/>
    </row>
    <row r="445">
      <c r="M445" s="52"/>
      <c r="N445" s="52"/>
      <c r="O445" s="52"/>
      <c r="P445" s="52"/>
      <c r="Q445" s="52"/>
      <c r="U445" s="52"/>
    </row>
    <row r="446">
      <c r="M446" s="52"/>
      <c r="N446" s="52"/>
      <c r="O446" s="52"/>
      <c r="P446" s="52"/>
      <c r="Q446" s="52"/>
      <c r="U446" s="52"/>
    </row>
    <row r="447">
      <c r="M447" s="52"/>
      <c r="N447" s="52"/>
      <c r="O447" s="52"/>
      <c r="P447" s="52"/>
      <c r="Q447" s="52"/>
      <c r="U447" s="52"/>
    </row>
    <row r="448">
      <c r="M448" s="52"/>
      <c r="N448" s="52"/>
      <c r="O448" s="52"/>
      <c r="P448" s="52"/>
      <c r="Q448" s="52"/>
      <c r="U448" s="52"/>
    </row>
    <row r="449">
      <c r="M449" s="52"/>
      <c r="N449" s="52"/>
      <c r="O449" s="52"/>
      <c r="P449" s="52"/>
      <c r="Q449" s="52"/>
      <c r="U449" s="52"/>
    </row>
    <row r="450">
      <c r="M450" s="52"/>
      <c r="N450" s="52"/>
      <c r="O450" s="52"/>
      <c r="P450" s="52"/>
      <c r="Q450" s="52"/>
      <c r="U450" s="52"/>
    </row>
    <row r="451">
      <c r="M451" s="52"/>
      <c r="N451" s="52"/>
      <c r="O451" s="52"/>
      <c r="P451" s="52"/>
      <c r="Q451" s="52"/>
      <c r="U451" s="52"/>
    </row>
    <row r="452">
      <c r="M452" s="52"/>
      <c r="N452" s="52"/>
      <c r="O452" s="52"/>
      <c r="P452" s="52"/>
      <c r="Q452" s="52"/>
      <c r="U452" s="52"/>
    </row>
    <row r="453">
      <c r="M453" s="52"/>
      <c r="N453" s="52"/>
      <c r="O453" s="52"/>
      <c r="P453" s="52"/>
      <c r="Q453" s="52"/>
      <c r="U453" s="52"/>
    </row>
    <row r="454">
      <c r="M454" s="52"/>
      <c r="N454" s="52"/>
      <c r="O454" s="52"/>
      <c r="P454" s="52"/>
      <c r="Q454" s="52"/>
      <c r="U454" s="52"/>
    </row>
    <row r="455">
      <c r="M455" s="52"/>
      <c r="N455" s="52"/>
      <c r="O455" s="52"/>
      <c r="P455" s="52"/>
      <c r="Q455" s="52"/>
      <c r="U455" s="52"/>
    </row>
    <row r="456">
      <c r="M456" s="52"/>
      <c r="N456" s="52"/>
      <c r="O456" s="52"/>
      <c r="P456" s="52"/>
      <c r="Q456" s="52"/>
      <c r="U456" s="52"/>
    </row>
    <row r="457">
      <c r="M457" s="52"/>
      <c r="N457" s="52"/>
      <c r="O457" s="52"/>
      <c r="P457" s="52"/>
      <c r="Q457" s="52"/>
      <c r="U457" s="52"/>
    </row>
    <row r="458">
      <c r="M458" s="52"/>
      <c r="N458" s="52"/>
      <c r="O458" s="52"/>
      <c r="P458" s="52"/>
      <c r="Q458" s="52"/>
      <c r="U458" s="52"/>
    </row>
    <row r="459">
      <c r="M459" s="52"/>
      <c r="N459" s="52"/>
      <c r="O459" s="52"/>
      <c r="P459" s="52"/>
      <c r="Q459" s="52"/>
      <c r="U459" s="52"/>
    </row>
    <row r="460">
      <c r="M460" s="52"/>
      <c r="N460" s="52"/>
      <c r="O460" s="52"/>
      <c r="P460" s="52"/>
      <c r="Q460" s="52"/>
      <c r="U460" s="52"/>
    </row>
    <row r="461">
      <c r="M461" s="52"/>
      <c r="N461" s="52"/>
      <c r="O461" s="52"/>
      <c r="P461" s="52"/>
      <c r="Q461" s="52"/>
      <c r="U461" s="52"/>
    </row>
    <row r="462">
      <c r="M462" s="52"/>
      <c r="N462" s="52"/>
      <c r="O462" s="52"/>
      <c r="P462" s="52"/>
      <c r="Q462" s="52"/>
      <c r="U462" s="52"/>
    </row>
    <row r="463">
      <c r="M463" s="52"/>
      <c r="N463" s="52"/>
      <c r="O463" s="52"/>
      <c r="P463" s="52"/>
      <c r="Q463" s="52"/>
      <c r="U463" s="52"/>
    </row>
    <row r="464">
      <c r="M464" s="52"/>
      <c r="N464" s="52"/>
      <c r="O464" s="52"/>
      <c r="P464" s="52"/>
      <c r="Q464" s="52"/>
      <c r="U464" s="52"/>
    </row>
    <row r="465">
      <c r="M465" s="52"/>
      <c r="N465" s="52"/>
      <c r="O465" s="52"/>
      <c r="P465" s="52"/>
      <c r="Q465" s="52"/>
      <c r="U465" s="52"/>
    </row>
    <row r="466">
      <c r="M466" s="52"/>
      <c r="N466" s="52"/>
      <c r="O466" s="52"/>
      <c r="P466" s="52"/>
      <c r="Q466" s="52"/>
      <c r="U466" s="52"/>
    </row>
    <row r="467">
      <c r="M467" s="52"/>
      <c r="N467" s="52"/>
      <c r="O467" s="52"/>
      <c r="P467" s="52"/>
      <c r="Q467" s="52"/>
      <c r="U467" s="52"/>
    </row>
    <row r="468">
      <c r="M468" s="52"/>
      <c r="N468" s="52"/>
      <c r="O468" s="52"/>
      <c r="P468" s="52"/>
      <c r="Q468" s="52"/>
      <c r="U468" s="52"/>
    </row>
    <row r="469">
      <c r="M469" s="52"/>
      <c r="N469" s="52"/>
      <c r="O469" s="52"/>
      <c r="P469" s="52"/>
      <c r="Q469" s="52"/>
      <c r="U469" s="52"/>
    </row>
    <row r="470">
      <c r="M470" s="52"/>
      <c r="N470" s="52"/>
      <c r="O470" s="52"/>
      <c r="P470" s="52"/>
      <c r="Q470" s="52"/>
      <c r="U470" s="52"/>
    </row>
    <row r="471">
      <c r="M471" s="52"/>
      <c r="N471" s="52"/>
      <c r="O471" s="52"/>
      <c r="P471" s="52"/>
      <c r="Q471" s="52"/>
      <c r="U471" s="52"/>
    </row>
    <row r="472">
      <c r="M472" s="52"/>
      <c r="N472" s="52"/>
      <c r="O472" s="52"/>
      <c r="P472" s="52"/>
      <c r="Q472" s="52"/>
      <c r="U472" s="52"/>
    </row>
    <row r="473">
      <c r="M473" s="52"/>
      <c r="N473" s="52"/>
      <c r="O473" s="52"/>
      <c r="P473" s="52"/>
      <c r="Q473" s="52"/>
      <c r="U473" s="52"/>
    </row>
    <row r="474">
      <c r="M474" s="52"/>
      <c r="N474" s="52"/>
      <c r="O474" s="52"/>
      <c r="P474" s="52"/>
      <c r="Q474" s="52"/>
      <c r="U474" s="52"/>
    </row>
    <row r="475">
      <c r="M475" s="52"/>
      <c r="N475" s="52"/>
      <c r="O475" s="52"/>
      <c r="P475" s="52"/>
      <c r="Q475" s="52"/>
      <c r="U475" s="52"/>
    </row>
    <row r="476">
      <c r="M476" s="52"/>
      <c r="N476" s="52"/>
      <c r="O476" s="52"/>
      <c r="P476" s="52"/>
      <c r="Q476" s="52"/>
      <c r="U476" s="52"/>
    </row>
    <row r="477">
      <c r="M477" s="52"/>
      <c r="N477" s="52"/>
      <c r="O477" s="52"/>
      <c r="P477" s="52"/>
      <c r="Q477" s="52"/>
      <c r="U477" s="52"/>
    </row>
    <row r="478">
      <c r="M478" s="52"/>
      <c r="N478" s="52"/>
      <c r="O478" s="52"/>
      <c r="P478" s="52"/>
      <c r="Q478" s="52"/>
      <c r="U478" s="52"/>
    </row>
    <row r="479">
      <c r="M479" s="52"/>
      <c r="N479" s="52"/>
      <c r="O479" s="52"/>
      <c r="P479" s="52"/>
      <c r="Q479" s="52"/>
      <c r="U479" s="52"/>
    </row>
    <row r="480">
      <c r="M480" s="52"/>
      <c r="N480" s="52"/>
      <c r="O480" s="52"/>
      <c r="P480" s="52"/>
      <c r="Q480" s="52"/>
      <c r="U480" s="52"/>
    </row>
    <row r="481">
      <c r="M481" s="52"/>
      <c r="N481" s="52"/>
      <c r="O481" s="52"/>
      <c r="P481" s="52"/>
      <c r="Q481" s="52"/>
      <c r="U481" s="52"/>
    </row>
    <row r="482">
      <c r="M482" s="52"/>
      <c r="N482" s="52"/>
      <c r="O482" s="52"/>
      <c r="P482" s="52"/>
      <c r="Q482" s="52"/>
      <c r="U482" s="52"/>
    </row>
    <row r="483">
      <c r="M483" s="52"/>
      <c r="N483" s="52"/>
      <c r="O483" s="52"/>
      <c r="P483" s="52"/>
      <c r="Q483" s="52"/>
      <c r="U483" s="52"/>
    </row>
    <row r="484">
      <c r="M484" s="52"/>
      <c r="N484" s="52"/>
      <c r="O484" s="52"/>
      <c r="P484" s="52"/>
      <c r="Q484" s="52"/>
      <c r="U484" s="52"/>
    </row>
    <row r="485">
      <c r="M485" s="52"/>
      <c r="N485" s="52"/>
      <c r="O485" s="52"/>
      <c r="P485" s="52"/>
      <c r="Q485" s="52"/>
      <c r="U485" s="52"/>
    </row>
    <row r="486">
      <c r="M486" s="52"/>
      <c r="N486" s="52"/>
      <c r="O486" s="52"/>
      <c r="P486" s="52"/>
      <c r="Q486" s="52"/>
      <c r="U486" s="52"/>
    </row>
    <row r="487">
      <c r="M487" s="52"/>
      <c r="N487" s="52"/>
      <c r="O487" s="52"/>
      <c r="P487" s="52"/>
      <c r="Q487" s="52"/>
      <c r="U487" s="52"/>
    </row>
    <row r="488">
      <c r="M488" s="52"/>
      <c r="N488" s="52"/>
      <c r="O488" s="52"/>
      <c r="P488" s="52"/>
      <c r="Q488" s="52"/>
      <c r="U488" s="52"/>
    </row>
    <row r="489">
      <c r="M489" s="52"/>
      <c r="N489" s="52"/>
      <c r="O489" s="52"/>
      <c r="P489" s="52"/>
      <c r="Q489" s="52"/>
      <c r="U489" s="52"/>
    </row>
    <row r="490">
      <c r="M490" s="52"/>
      <c r="N490" s="52"/>
      <c r="O490" s="52"/>
      <c r="P490" s="52"/>
      <c r="Q490" s="52"/>
      <c r="U490" s="52"/>
    </row>
    <row r="491">
      <c r="M491" s="52"/>
      <c r="N491" s="52"/>
      <c r="O491" s="52"/>
      <c r="P491" s="52"/>
      <c r="Q491" s="52"/>
      <c r="U491" s="52"/>
    </row>
    <row r="492">
      <c r="M492" s="52"/>
      <c r="N492" s="52"/>
      <c r="O492" s="52"/>
      <c r="P492" s="52"/>
      <c r="Q492" s="52"/>
      <c r="U492" s="52"/>
    </row>
    <row r="493">
      <c r="M493" s="52"/>
      <c r="N493" s="52"/>
      <c r="O493" s="52"/>
      <c r="P493" s="52"/>
      <c r="Q493" s="52"/>
      <c r="U493" s="52"/>
    </row>
    <row r="494">
      <c r="M494" s="52"/>
      <c r="N494" s="52"/>
      <c r="O494" s="52"/>
      <c r="P494" s="52"/>
      <c r="Q494" s="52"/>
      <c r="U494" s="52"/>
    </row>
    <row r="495">
      <c r="M495" s="52"/>
      <c r="N495" s="52"/>
      <c r="O495" s="52"/>
      <c r="P495" s="52"/>
      <c r="Q495" s="52"/>
      <c r="U495" s="52"/>
    </row>
    <row r="496">
      <c r="M496" s="52"/>
      <c r="N496" s="52"/>
      <c r="O496" s="52"/>
      <c r="P496" s="52"/>
      <c r="Q496" s="52"/>
      <c r="U496" s="52"/>
    </row>
    <row r="497">
      <c r="M497" s="52"/>
      <c r="N497" s="52"/>
      <c r="O497" s="52"/>
      <c r="P497" s="52"/>
      <c r="Q497" s="52"/>
      <c r="U497" s="52"/>
    </row>
    <row r="498">
      <c r="M498" s="52"/>
      <c r="N498" s="52"/>
      <c r="O498" s="52"/>
      <c r="P498" s="52"/>
      <c r="Q498" s="52"/>
      <c r="U498" s="52"/>
    </row>
    <row r="499">
      <c r="M499" s="52"/>
      <c r="N499" s="52"/>
      <c r="O499" s="52"/>
      <c r="P499" s="52"/>
      <c r="Q499" s="52"/>
      <c r="U499" s="52"/>
    </row>
    <row r="500">
      <c r="M500" s="52"/>
      <c r="N500" s="52"/>
      <c r="O500" s="52"/>
      <c r="P500" s="52"/>
      <c r="Q500" s="52"/>
      <c r="U500" s="52"/>
    </row>
    <row r="501">
      <c r="M501" s="52"/>
      <c r="N501" s="52"/>
      <c r="O501" s="52"/>
      <c r="P501" s="52"/>
      <c r="Q501" s="52"/>
      <c r="U501" s="52"/>
    </row>
    <row r="502">
      <c r="M502" s="52"/>
      <c r="N502" s="52"/>
      <c r="O502" s="52"/>
      <c r="P502" s="52"/>
      <c r="Q502" s="52"/>
      <c r="U502" s="52"/>
    </row>
    <row r="503">
      <c r="M503" s="52"/>
      <c r="N503" s="52"/>
      <c r="O503" s="52"/>
      <c r="P503" s="52"/>
      <c r="Q503" s="52"/>
      <c r="U503" s="52"/>
    </row>
    <row r="504">
      <c r="M504" s="52"/>
      <c r="N504" s="52"/>
      <c r="O504" s="52"/>
      <c r="P504" s="52"/>
      <c r="Q504" s="52"/>
      <c r="U504" s="52"/>
    </row>
    <row r="505">
      <c r="M505" s="52"/>
      <c r="N505" s="52"/>
      <c r="O505" s="52"/>
      <c r="P505" s="52"/>
      <c r="Q505" s="52"/>
      <c r="U505" s="52"/>
    </row>
    <row r="506">
      <c r="M506" s="52"/>
      <c r="N506" s="52"/>
      <c r="O506" s="52"/>
      <c r="P506" s="52"/>
      <c r="Q506" s="52"/>
      <c r="U506" s="52"/>
    </row>
    <row r="507">
      <c r="M507" s="52"/>
      <c r="N507" s="52"/>
      <c r="O507" s="52"/>
      <c r="P507" s="52"/>
      <c r="Q507" s="52"/>
      <c r="U507" s="52"/>
    </row>
    <row r="508">
      <c r="M508" s="52"/>
      <c r="N508" s="52"/>
      <c r="O508" s="52"/>
      <c r="P508" s="52"/>
      <c r="Q508" s="52"/>
      <c r="U508" s="52"/>
    </row>
    <row r="509">
      <c r="M509" s="52"/>
      <c r="N509" s="52"/>
      <c r="O509" s="52"/>
      <c r="P509" s="52"/>
      <c r="Q509" s="52"/>
      <c r="U509" s="52"/>
    </row>
    <row r="510">
      <c r="M510" s="52"/>
      <c r="N510" s="52"/>
      <c r="O510" s="52"/>
      <c r="P510" s="52"/>
      <c r="Q510" s="52"/>
      <c r="U510" s="52"/>
    </row>
    <row r="511">
      <c r="M511" s="52"/>
      <c r="N511" s="52"/>
      <c r="O511" s="52"/>
      <c r="P511" s="52"/>
      <c r="Q511" s="52"/>
      <c r="U511" s="52"/>
    </row>
    <row r="512">
      <c r="M512" s="52"/>
      <c r="N512" s="52"/>
      <c r="O512" s="52"/>
      <c r="P512" s="52"/>
      <c r="Q512" s="52"/>
      <c r="U512" s="52"/>
    </row>
    <row r="513">
      <c r="M513" s="52"/>
      <c r="N513" s="52"/>
      <c r="O513" s="52"/>
      <c r="P513" s="52"/>
      <c r="Q513" s="52"/>
      <c r="U513" s="52"/>
    </row>
    <row r="514">
      <c r="M514" s="52"/>
      <c r="N514" s="52"/>
      <c r="O514" s="52"/>
      <c r="P514" s="52"/>
      <c r="Q514" s="52"/>
      <c r="U514" s="52"/>
    </row>
    <row r="515">
      <c r="M515" s="52"/>
      <c r="N515" s="52"/>
      <c r="O515" s="52"/>
      <c r="P515" s="52"/>
      <c r="Q515" s="52"/>
      <c r="U515" s="52"/>
    </row>
    <row r="516">
      <c r="M516" s="52"/>
      <c r="N516" s="52"/>
      <c r="O516" s="52"/>
      <c r="P516" s="52"/>
      <c r="Q516" s="52"/>
      <c r="U516" s="52"/>
    </row>
    <row r="517">
      <c r="M517" s="52"/>
      <c r="N517" s="52"/>
      <c r="O517" s="52"/>
      <c r="P517" s="52"/>
      <c r="Q517" s="52"/>
      <c r="U517" s="52"/>
    </row>
    <row r="518">
      <c r="M518" s="52"/>
      <c r="N518" s="52"/>
      <c r="O518" s="52"/>
      <c r="P518" s="52"/>
      <c r="Q518" s="52"/>
      <c r="U518" s="52"/>
    </row>
    <row r="519">
      <c r="M519" s="52"/>
      <c r="N519" s="52"/>
      <c r="O519" s="52"/>
      <c r="P519" s="52"/>
      <c r="Q519" s="52"/>
      <c r="U519" s="52"/>
    </row>
    <row r="520">
      <c r="M520" s="52"/>
      <c r="N520" s="52"/>
      <c r="O520" s="52"/>
      <c r="P520" s="52"/>
      <c r="Q520" s="52"/>
      <c r="U520" s="52"/>
    </row>
    <row r="521">
      <c r="M521" s="52"/>
      <c r="N521" s="52"/>
      <c r="O521" s="52"/>
      <c r="P521" s="52"/>
      <c r="Q521" s="52"/>
      <c r="U521" s="52"/>
    </row>
    <row r="522">
      <c r="M522" s="52"/>
      <c r="N522" s="52"/>
      <c r="O522" s="52"/>
      <c r="P522" s="52"/>
      <c r="Q522" s="52"/>
      <c r="U522" s="52"/>
    </row>
    <row r="523">
      <c r="M523" s="52"/>
      <c r="N523" s="52"/>
      <c r="O523" s="52"/>
      <c r="P523" s="52"/>
      <c r="Q523" s="52"/>
      <c r="U523" s="52"/>
    </row>
    <row r="524">
      <c r="M524" s="52"/>
      <c r="N524" s="52"/>
      <c r="O524" s="52"/>
      <c r="P524" s="52"/>
      <c r="Q524" s="52"/>
      <c r="U524" s="52"/>
    </row>
    <row r="525">
      <c r="M525" s="52"/>
      <c r="N525" s="52"/>
      <c r="O525" s="52"/>
      <c r="P525" s="52"/>
      <c r="Q525" s="52"/>
      <c r="U525" s="52"/>
    </row>
    <row r="526">
      <c r="M526" s="52"/>
      <c r="N526" s="52"/>
      <c r="O526" s="52"/>
      <c r="P526" s="52"/>
      <c r="Q526" s="52"/>
      <c r="U526" s="52"/>
    </row>
    <row r="527">
      <c r="M527" s="52"/>
      <c r="N527" s="52"/>
      <c r="O527" s="52"/>
      <c r="P527" s="52"/>
      <c r="Q527" s="52"/>
      <c r="U527" s="52"/>
    </row>
    <row r="528">
      <c r="M528" s="52"/>
      <c r="N528" s="52"/>
      <c r="O528" s="52"/>
      <c r="P528" s="52"/>
      <c r="Q528" s="52"/>
      <c r="U528" s="52"/>
    </row>
    <row r="529">
      <c r="M529" s="52"/>
      <c r="N529" s="52"/>
      <c r="O529" s="52"/>
      <c r="P529" s="52"/>
      <c r="Q529" s="52"/>
      <c r="U529" s="52"/>
    </row>
    <row r="530">
      <c r="M530" s="52"/>
      <c r="N530" s="52"/>
      <c r="O530" s="52"/>
      <c r="P530" s="52"/>
      <c r="Q530" s="52"/>
      <c r="U530" s="52"/>
    </row>
    <row r="531">
      <c r="M531" s="52"/>
      <c r="N531" s="52"/>
      <c r="O531" s="52"/>
      <c r="P531" s="52"/>
      <c r="Q531" s="52"/>
      <c r="U531" s="52"/>
    </row>
    <row r="532">
      <c r="M532" s="52"/>
      <c r="N532" s="52"/>
      <c r="O532" s="52"/>
      <c r="P532" s="52"/>
      <c r="Q532" s="52"/>
      <c r="U532" s="52"/>
    </row>
    <row r="533">
      <c r="M533" s="52"/>
      <c r="N533" s="52"/>
      <c r="O533" s="52"/>
      <c r="P533" s="52"/>
      <c r="Q533" s="52"/>
      <c r="U533" s="52"/>
    </row>
    <row r="534">
      <c r="M534" s="52"/>
      <c r="N534" s="52"/>
      <c r="O534" s="52"/>
      <c r="P534" s="52"/>
      <c r="Q534" s="52"/>
      <c r="U534" s="52"/>
    </row>
    <row r="535">
      <c r="M535" s="52"/>
      <c r="N535" s="52"/>
      <c r="O535" s="52"/>
      <c r="P535" s="52"/>
      <c r="Q535" s="52"/>
      <c r="U535" s="52"/>
    </row>
    <row r="536">
      <c r="M536" s="52"/>
      <c r="N536" s="52"/>
      <c r="O536" s="52"/>
      <c r="P536" s="52"/>
      <c r="Q536" s="52"/>
      <c r="U536" s="52"/>
    </row>
    <row r="537">
      <c r="M537" s="52"/>
      <c r="N537" s="52"/>
      <c r="O537" s="52"/>
      <c r="P537" s="52"/>
      <c r="Q537" s="52"/>
      <c r="U537" s="52"/>
    </row>
    <row r="538">
      <c r="M538" s="52"/>
      <c r="N538" s="52"/>
      <c r="O538" s="52"/>
      <c r="P538" s="52"/>
      <c r="Q538" s="52"/>
      <c r="U538" s="52"/>
    </row>
    <row r="539">
      <c r="M539" s="52"/>
      <c r="N539" s="52"/>
      <c r="O539" s="52"/>
      <c r="P539" s="52"/>
      <c r="Q539" s="52"/>
      <c r="U539" s="52"/>
    </row>
    <row r="540">
      <c r="M540" s="52"/>
      <c r="N540" s="52"/>
      <c r="O540" s="52"/>
      <c r="P540" s="52"/>
      <c r="Q540" s="52"/>
      <c r="U540" s="52"/>
    </row>
    <row r="541">
      <c r="M541" s="52"/>
      <c r="N541" s="52"/>
      <c r="O541" s="52"/>
      <c r="P541" s="52"/>
      <c r="Q541" s="52"/>
      <c r="U541" s="52"/>
    </row>
    <row r="542">
      <c r="M542" s="52"/>
      <c r="N542" s="52"/>
      <c r="O542" s="52"/>
      <c r="P542" s="52"/>
      <c r="Q542" s="52"/>
      <c r="U542" s="52"/>
    </row>
    <row r="543">
      <c r="M543" s="52"/>
      <c r="N543" s="52"/>
      <c r="O543" s="52"/>
      <c r="P543" s="52"/>
      <c r="Q543" s="52"/>
      <c r="U543" s="52"/>
    </row>
    <row r="544">
      <c r="M544" s="52"/>
      <c r="N544" s="52"/>
      <c r="O544" s="52"/>
      <c r="P544" s="52"/>
      <c r="Q544" s="52"/>
      <c r="U544" s="52"/>
    </row>
    <row r="545">
      <c r="M545" s="52"/>
      <c r="N545" s="52"/>
      <c r="O545" s="52"/>
      <c r="P545" s="52"/>
      <c r="Q545" s="52"/>
      <c r="U545" s="52"/>
    </row>
    <row r="546">
      <c r="M546" s="52"/>
      <c r="N546" s="52"/>
      <c r="O546" s="52"/>
      <c r="P546" s="52"/>
      <c r="Q546" s="52"/>
      <c r="U546" s="52"/>
    </row>
    <row r="547">
      <c r="M547" s="52"/>
      <c r="N547" s="52"/>
      <c r="O547" s="52"/>
      <c r="P547" s="52"/>
      <c r="Q547" s="52"/>
      <c r="U547" s="52"/>
    </row>
    <row r="548">
      <c r="M548" s="52"/>
      <c r="N548" s="52"/>
      <c r="O548" s="52"/>
      <c r="P548" s="52"/>
      <c r="Q548" s="52"/>
      <c r="U548" s="52"/>
    </row>
    <row r="549">
      <c r="M549" s="52"/>
      <c r="N549" s="52"/>
      <c r="O549" s="52"/>
      <c r="P549" s="52"/>
      <c r="Q549" s="52"/>
      <c r="U549" s="52"/>
    </row>
    <row r="550">
      <c r="M550" s="52"/>
      <c r="N550" s="52"/>
      <c r="O550" s="52"/>
      <c r="P550" s="52"/>
      <c r="Q550" s="52"/>
      <c r="U550" s="52"/>
    </row>
    <row r="551">
      <c r="M551" s="52"/>
      <c r="N551" s="52"/>
      <c r="O551" s="52"/>
      <c r="P551" s="52"/>
      <c r="Q551" s="52"/>
      <c r="U551" s="52"/>
    </row>
    <row r="552">
      <c r="M552" s="52"/>
      <c r="N552" s="52"/>
      <c r="O552" s="52"/>
      <c r="P552" s="52"/>
      <c r="Q552" s="52"/>
      <c r="U552" s="52"/>
    </row>
    <row r="553">
      <c r="M553" s="52"/>
      <c r="N553" s="52"/>
      <c r="O553" s="52"/>
      <c r="P553" s="52"/>
      <c r="Q553" s="52"/>
      <c r="U553" s="52"/>
    </row>
    <row r="554">
      <c r="M554" s="52"/>
      <c r="N554" s="52"/>
      <c r="O554" s="52"/>
      <c r="P554" s="52"/>
      <c r="Q554" s="52"/>
      <c r="U554" s="52"/>
    </row>
    <row r="555">
      <c r="M555" s="52"/>
      <c r="N555" s="52"/>
      <c r="O555" s="52"/>
      <c r="P555" s="52"/>
      <c r="Q555" s="52"/>
      <c r="U555" s="52"/>
    </row>
    <row r="556">
      <c r="M556" s="52"/>
      <c r="N556" s="52"/>
      <c r="O556" s="52"/>
      <c r="P556" s="52"/>
      <c r="Q556" s="52"/>
      <c r="U556" s="52"/>
    </row>
    <row r="557">
      <c r="M557" s="52"/>
      <c r="N557" s="52"/>
      <c r="O557" s="52"/>
      <c r="P557" s="52"/>
      <c r="Q557" s="52"/>
      <c r="U557" s="52"/>
    </row>
    <row r="558">
      <c r="M558" s="52"/>
      <c r="N558" s="52"/>
      <c r="O558" s="52"/>
      <c r="P558" s="52"/>
      <c r="Q558" s="52"/>
      <c r="U558" s="52"/>
    </row>
    <row r="559">
      <c r="M559" s="52"/>
      <c r="N559" s="52"/>
      <c r="O559" s="52"/>
      <c r="P559" s="52"/>
      <c r="Q559" s="52"/>
      <c r="U559" s="52"/>
    </row>
    <row r="560">
      <c r="M560" s="52"/>
      <c r="N560" s="52"/>
      <c r="O560" s="52"/>
      <c r="P560" s="52"/>
      <c r="Q560" s="52"/>
      <c r="U560" s="52"/>
    </row>
    <row r="561">
      <c r="M561" s="52"/>
      <c r="N561" s="52"/>
      <c r="O561" s="52"/>
      <c r="P561" s="52"/>
      <c r="Q561" s="52"/>
      <c r="U561" s="52"/>
    </row>
    <row r="562">
      <c r="M562" s="52"/>
      <c r="N562" s="52"/>
      <c r="O562" s="52"/>
      <c r="P562" s="52"/>
      <c r="Q562" s="52"/>
      <c r="U562" s="52"/>
    </row>
    <row r="563">
      <c r="M563" s="52"/>
      <c r="N563" s="52"/>
      <c r="O563" s="52"/>
      <c r="P563" s="52"/>
      <c r="Q563" s="52"/>
      <c r="U563" s="52"/>
    </row>
    <row r="564">
      <c r="M564" s="52"/>
      <c r="N564" s="52"/>
      <c r="O564" s="52"/>
      <c r="P564" s="52"/>
      <c r="Q564" s="52"/>
      <c r="U564" s="52"/>
    </row>
    <row r="565">
      <c r="M565" s="52"/>
      <c r="N565" s="52"/>
      <c r="O565" s="52"/>
      <c r="P565" s="52"/>
      <c r="Q565" s="52"/>
      <c r="U565" s="52"/>
    </row>
    <row r="566">
      <c r="M566" s="52"/>
      <c r="N566" s="52"/>
      <c r="O566" s="52"/>
      <c r="P566" s="52"/>
      <c r="Q566" s="52"/>
      <c r="U566" s="52"/>
    </row>
    <row r="567">
      <c r="M567" s="52"/>
      <c r="N567" s="52"/>
      <c r="O567" s="52"/>
      <c r="P567" s="52"/>
      <c r="Q567" s="52"/>
      <c r="U567" s="52"/>
    </row>
    <row r="568">
      <c r="M568" s="52"/>
      <c r="N568" s="52"/>
      <c r="O568" s="52"/>
      <c r="P568" s="52"/>
      <c r="Q568" s="52"/>
      <c r="U568" s="52"/>
    </row>
    <row r="569">
      <c r="M569" s="52"/>
      <c r="N569" s="52"/>
      <c r="O569" s="52"/>
      <c r="P569" s="52"/>
      <c r="Q569" s="52"/>
      <c r="U569" s="52"/>
    </row>
    <row r="570">
      <c r="M570" s="52"/>
      <c r="N570" s="52"/>
      <c r="O570" s="52"/>
      <c r="P570" s="52"/>
      <c r="Q570" s="52"/>
      <c r="U570" s="52"/>
    </row>
    <row r="571">
      <c r="M571" s="52"/>
      <c r="N571" s="52"/>
      <c r="O571" s="52"/>
      <c r="P571" s="52"/>
      <c r="Q571" s="52"/>
      <c r="U571" s="52"/>
    </row>
    <row r="572">
      <c r="M572" s="52"/>
      <c r="N572" s="52"/>
      <c r="O572" s="52"/>
      <c r="P572" s="52"/>
      <c r="Q572" s="52"/>
      <c r="U572" s="52"/>
    </row>
    <row r="573">
      <c r="M573" s="52"/>
      <c r="N573" s="52"/>
      <c r="O573" s="52"/>
      <c r="P573" s="52"/>
      <c r="Q573" s="52"/>
      <c r="U573" s="52"/>
    </row>
    <row r="574">
      <c r="M574" s="52"/>
      <c r="N574" s="52"/>
      <c r="O574" s="52"/>
      <c r="P574" s="52"/>
      <c r="Q574" s="52"/>
      <c r="U574" s="52"/>
    </row>
    <row r="575">
      <c r="M575" s="52"/>
      <c r="N575" s="52"/>
      <c r="O575" s="52"/>
      <c r="P575" s="52"/>
      <c r="Q575" s="52"/>
      <c r="U575" s="52"/>
    </row>
    <row r="576">
      <c r="M576" s="52"/>
      <c r="N576" s="52"/>
      <c r="O576" s="52"/>
      <c r="P576" s="52"/>
      <c r="Q576" s="52"/>
      <c r="U576" s="52"/>
    </row>
    <row r="577">
      <c r="M577" s="52"/>
      <c r="N577" s="52"/>
      <c r="O577" s="52"/>
      <c r="P577" s="52"/>
      <c r="Q577" s="52"/>
      <c r="U577" s="52"/>
    </row>
    <row r="578">
      <c r="M578" s="52"/>
      <c r="N578" s="52"/>
      <c r="O578" s="52"/>
      <c r="P578" s="52"/>
      <c r="Q578" s="52"/>
      <c r="U578" s="52"/>
    </row>
    <row r="579">
      <c r="M579" s="52"/>
      <c r="N579" s="52"/>
      <c r="O579" s="52"/>
      <c r="P579" s="52"/>
      <c r="Q579" s="52"/>
      <c r="U579" s="52"/>
    </row>
    <row r="580">
      <c r="M580" s="52"/>
      <c r="N580" s="52"/>
      <c r="O580" s="52"/>
      <c r="P580" s="52"/>
      <c r="Q580" s="52"/>
      <c r="U580" s="52"/>
    </row>
    <row r="581">
      <c r="M581" s="52"/>
      <c r="N581" s="52"/>
      <c r="O581" s="52"/>
      <c r="P581" s="52"/>
      <c r="Q581" s="52"/>
      <c r="U581" s="52"/>
    </row>
    <row r="582">
      <c r="M582" s="52"/>
      <c r="N582" s="52"/>
      <c r="O582" s="52"/>
      <c r="P582" s="52"/>
      <c r="Q582" s="52"/>
      <c r="U582" s="52"/>
    </row>
    <row r="583">
      <c r="M583" s="52"/>
      <c r="N583" s="52"/>
      <c r="O583" s="52"/>
      <c r="P583" s="52"/>
      <c r="Q583" s="52"/>
      <c r="U583" s="52"/>
    </row>
    <row r="584">
      <c r="M584" s="52"/>
      <c r="N584" s="52"/>
      <c r="O584" s="52"/>
      <c r="P584" s="52"/>
      <c r="Q584" s="52"/>
      <c r="U584" s="52"/>
    </row>
    <row r="585">
      <c r="M585" s="52"/>
      <c r="N585" s="52"/>
      <c r="O585" s="52"/>
      <c r="P585" s="52"/>
      <c r="Q585" s="52"/>
      <c r="U585" s="52"/>
    </row>
    <row r="586">
      <c r="M586" s="52"/>
      <c r="N586" s="52"/>
      <c r="O586" s="52"/>
      <c r="P586" s="52"/>
      <c r="Q586" s="52"/>
      <c r="U586" s="52"/>
    </row>
    <row r="587">
      <c r="M587" s="52"/>
      <c r="N587" s="52"/>
      <c r="O587" s="52"/>
      <c r="P587" s="52"/>
      <c r="Q587" s="52"/>
      <c r="U587" s="52"/>
    </row>
    <row r="588">
      <c r="M588" s="52"/>
      <c r="N588" s="52"/>
      <c r="O588" s="52"/>
      <c r="P588" s="52"/>
      <c r="Q588" s="52"/>
      <c r="U588" s="52"/>
    </row>
    <row r="589">
      <c r="M589" s="52"/>
      <c r="N589" s="52"/>
      <c r="O589" s="52"/>
      <c r="P589" s="52"/>
      <c r="Q589" s="52"/>
      <c r="U589" s="52"/>
    </row>
    <row r="590">
      <c r="M590" s="52"/>
      <c r="N590" s="52"/>
      <c r="O590" s="52"/>
      <c r="P590" s="52"/>
      <c r="Q590" s="52"/>
      <c r="U590" s="52"/>
    </row>
    <row r="591">
      <c r="M591" s="52"/>
      <c r="N591" s="52"/>
      <c r="O591" s="52"/>
      <c r="P591" s="52"/>
      <c r="Q591" s="52"/>
      <c r="U591" s="52"/>
    </row>
    <row r="592">
      <c r="M592" s="52"/>
      <c r="N592" s="52"/>
      <c r="O592" s="52"/>
      <c r="P592" s="52"/>
      <c r="Q592" s="52"/>
      <c r="U592" s="52"/>
    </row>
    <row r="593">
      <c r="M593" s="52"/>
      <c r="N593" s="52"/>
      <c r="O593" s="52"/>
      <c r="P593" s="52"/>
      <c r="Q593" s="52"/>
      <c r="U593" s="52"/>
    </row>
    <row r="594">
      <c r="M594" s="52"/>
      <c r="N594" s="52"/>
      <c r="O594" s="52"/>
      <c r="P594" s="52"/>
      <c r="Q594" s="52"/>
      <c r="U594" s="52"/>
    </row>
    <row r="595">
      <c r="M595" s="52"/>
      <c r="N595" s="52"/>
      <c r="O595" s="52"/>
      <c r="P595" s="52"/>
      <c r="Q595" s="52"/>
      <c r="U595" s="52"/>
    </row>
    <row r="596">
      <c r="M596" s="52"/>
      <c r="N596" s="52"/>
      <c r="O596" s="52"/>
      <c r="P596" s="52"/>
      <c r="Q596" s="52"/>
      <c r="U596" s="52"/>
    </row>
    <row r="597">
      <c r="M597" s="52"/>
      <c r="N597" s="52"/>
      <c r="O597" s="52"/>
      <c r="P597" s="52"/>
      <c r="Q597" s="52"/>
      <c r="U597" s="52"/>
    </row>
    <row r="598">
      <c r="M598" s="52"/>
      <c r="N598" s="52"/>
      <c r="O598" s="52"/>
      <c r="P598" s="52"/>
      <c r="Q598" s="52"/>
      <c r="U598" s="52"/>
    </row>
    <row r="599">
      <c r="M599" s="52"/>
      <c r="N599" s="52"/>
      <c r="O599" s="52"/>
      <c r="P599" s="52"/>
      <c r="Q599" s="52"/>
      <c r="U599" s="52"/>
    </row>
    <row r="600">
      <c r="M600" s="52"/>
      <c r="N600" s="52"/>
      <c r="O600" s="52"/>
      <c r="P600" s="52"/>
      <c r="Q600" s="52"/>
      <c r="U600" s="52"/>
    </row>
    <row r="601">
      <c r="M601" s="52"/>
      <c r="N601" s="52"/>
      <c r="O601" s="52"/>
      <c r="P601" s="52"/>
      <c r="Q601" s="52"/>
      <c r="U601" s="52"/>
    </row>
    <row r="602">
      <c r="M602" s="52"/>
      <c r="N602" s="52"/>
      <c r="O602" s="52"/>
      <c r="P602" s="52"/>
      <c r="Q602" s="52"/>
      <c r="U602" s="52"/>
    </row>
    <row r="603">
      <c r="M603" s="52"/>
      <c r="N603" s="52"/>
      <c r="O603" s="52"/>
      <c r="P603" s="52"/>
      <c r="Q603" s="52"/>
      <c r="U603" s="52"/>
    </row>
    <row r="604">
      <c r="M604" s="52"/>
      <c r="N604" s="52"/>
      <c r="O604" s="52"/>
      <c r="P604" s="52"/>
      <c r="Q604" s="52"/>
      <c r="U604" s="52"/>
    </row>
    <row r="605">
      <c r="M605" s="52"/>
      <c r="N605" s="52"/>
      <c r="O605" s="52"/>
      <c r="P605" s="52"/>
      <c r="Q605" s="52"/>
      <c r="U605" s="52"/>
    </row>
    <row r="606">
      <c r="M606" s="52"/>
      <c r="N606" s="52"/>
      <c r="O606" s="52"/>
      <c r="P606" s="52"/>
      <c r="Q606" s="52"/>
      <c r="U606" s="52"/>
    </row>
    <row r="607">
      <c r="M607" s="52"/>
      <c r="N607" s="52"/>
      <c r="O607" s="52"/>
      <c r="P607" s="52"/>
      <c r="Q607" s="52"/>
      <c r="U607" s="52"/>
    </row>
    <row r="608">
      <c r="M608" s="52"/>
      <c r="N608" s="52"/>
      <c r="O608" s="52"/>
      <c r="P608" s="52"/>
      <c r="Q608" s="52"/>
      <c r="U608" s="52"/>
    </row>
    <row r="609">
      <c r="M609" s="52"/>
      <c r="N609" s="52"/>
      <c r="O609" s="52"/>
      <c r="P609" s="52"/>
      <c r="Q609" s="52"/>
      <c r="U609" s="52"/>
    </row>
    <row r="610">
      <c r="M610" s="52"/>
      <c r="N610" s="52"/>
      <c r="O610" s="52"/>
      <c r="P610" s="52"/>
      <c r="Q610" s="52"/>
      <c r="U610" s="52"/>
    </row>
    <row r="611">
      <c r="M611" s="52"/>
      <c r="N611" s="52"/>
      <c r="O611" s="52"/>
      <c r="P611" s="52"/>
      <c r="Q611" s="52"/>
      <c r="U611" s="52"/>
    </row>
    <row r="612">
      <c r="M612" s="52"/>
      <c r="N612" s="52"/>
      <c r="O612" s="52"/>
      <c r="P612" s="52"/>
      <c r="Q612" s="52"/>
      <c r="U612" s="52"/>
    </row>
    <row r="613">
      <c r="M613" s="52"/>
      <c r="N613" s="52"/>
      <c r="O613" s="52"/>
      <c r="P613" s="52"/>
      <c r="Q613" s="52"/>
      <c r="U613" s="52"/>
    </row>
    <row r="614">
      <c r="M614" s="52"/>
      <c r="N614" s="52"/>
      <c r="O614" s="52"/>
      <c r="P614" s="52"/>
      <c r="Q614" s="52"/>
      <c r="U614" s="52"/>
    </row>
    <row r="615">
      <c r="M615" s="52"/>
      <c r="N615" s="52"/>
      <c r="O615" s="52"/>
      <c r="P615" s="52"/>
      <c r="Q615" s="52"/>
      <c r="U615" s="52"/>
    </row>
    <row r="616">
      <c r="M616" s="52"/>
      <c r="N616" s="52"/>
      <c r="O616" s="52"/>
      <c r="P616" s="52"/>
      <c r="Q616" s="52"/>
      <c r="U616" s="52"/>
    </row>
    <row r="617">
      <c r="M617" s="52"/>
      <c r="N617" s="52"/>
      <c r="O617" s="52"/>
      <c r="P617" s="52"/>
      <c r="Q617" s="52"/>
      <c r="U617" s="52"/>
    </row>
    <row r="618">
      <c r="M618" s="52"/>
      <c r="N618" s="52"/>
      <c r="O618" s="52"/>
      <c r="P618" s="52"/>
      <c r="Q618" s="52"/>
      <c r="U618" s="52"/>
    </row>
    <row r="619">
      <c r="M619" s="52"/>
      <c r="N619" s="52"/>
      <c r="O619" s="52"/>
      <c r="P619" s="52"/>
      <c r="Q619" s="52"/>
      <c r="U619" s="52"/>
    </row>
    <row r="620">
      <c r="M620" s="52"/>
      <c r="N620" s="52"/>
      <c r="O620" s="52"/>
      <c r="P620" s="52"/>
      <c r="Q620" s="52"/>
      <c r="U620" s="52"/>
    </row>
    <row r="621">
      <c r="M621" s="52"/>
      <c r="N621" s="52"/>
      <c r="O621" s="52"/>
      <c r="P621" s="52"/>
      <c r="Q621" s="52"/>
      <c r="U621" s="52"/>
    </row>
    <row r="622">
      <c r="M622" s="52"/>
      <c r="N622" s="52"/>
      <c r="O622" s="52"/>
      <c r="P622" s="52"/>
      <c r="Q622" s="52"/>
      <c r="U622" s="52"/>
    </row>
    <row r="623">
      <c r="M623" s="52"/>
      <c r="N623" s="52"/>
      <c r="O623" s="52"/>
      <c r="P623" s="52"/>
      <c r="Q623" s="52"/>
      <c r="U623" s="52"/>
    </row>
    <row r="624">
      <c r="M624" s="52"/>
      <c r="N624" s="52"/>
      <c r="O624" s="52"/>
      <c r="P624" s="52"/>
      <c r="Q624" s="52"/>
      <c r="U624" s="52"/>
    </row>
    <row r="625">
      <c r="M625" s="52"/>
      <c r="N625" s="52"/>
      <c r="O625" s="52"/>
      <c r="P625" s="52"/>
      <c r="Q625" s="52"/>
      <c r="U625" s="52"/>
    </row>
    <row r="626">
      <c r="M626" s="52"/>
      <c r="N626" s="52"/>
      <c r="O626" s="52"/>
      <c r="P626" s="52"/>
      <c r="Q626" s="52"/>
      <c r="U626" s="52"/>
    </row>
    <row r="627">
      <c r="M627" s="52"/>
      <c r="N627" s="52"/>
      <c r="O627" s="52"/>
      <c r="P627" s="52"/>
      <c r="Q627" s="52"/>
      <c r="U627" s="52"/>
    </row>
    <row r="628">
      <c r="M628" s="52"/>
      <c r="N628" s="52"/>
      <c r="O628" s="52"/>
      <c r="P628" s="52"/>
      <c r="Q628" s="52"/>
      <c r="U628" s="52"/>
    </row>
    <row r="629">
      <c r="M629" s="52"/>
      <c r="N629" s="52"/>
      <c r="O629" s="52"/>
      <c r="P629" s="52"/>
      <c r="Q629" s="52"/>
      <c r="U629" s="52"/>
    </row>
    <row r="630">
      <c r="M630" s="52"/>
      <c r="N630" s="52"/>
      <c r="O630" s="52"/>
      <c r="P630" s="52"/>
      <c r="Q630" s="52"/>
      <c r="U630" s="52"/>
    </row>
    <row r="631">
      <c r="M631" s="52"/>
      <c r="N631" s="52"/>
      <c r="O631" s="52"/>
      <c r="P631" s="52"/>
      <c r="Q631" s="52"/>
      <c r="U631" s="52"/>
    </row>
    <row r="632">
      <c r="M632" s="52"/>
      <c r="N632" s="52"/>
      <c r="O632" s="52"/>
      <c r="P632" s="52"/>
      <c r="Q632" s="52"/>
      <c r="U632" s="52"/>
    </row>
    <row r="633">
      <c r="M633" s="52"/>
      <c r="N633" s="52"/>
      <c r="O633" s="52"/>
      <c r="P633" s="52"/>
      <c r="Q633" s="52"/>
      <c r="U633" s="52"/>
    </row>
    <row r="634">
      <c r="M634" s="52"/>
      <c r="N634" s="52"/>
      <c r="O634" s="52"/>
      <c r="P634" s="52"/>
      <c r="Q634" s="52"/>
      <c r="U634" s="52"/>
    </row>
    <row r="635">
      <c r="M635" s="52"/>
      <c r="N635" s="52"/>
      <c r="O635" s="52"/>
      <c r="P635" s="52"/>
      <c r="Q635" s="52"/>
      <c r="U635" s="52"/>
    </row>
    <row r="636">
      <c r="M636" s="52"/>
      <c r="N636" s="52"/>
      <c r="O636" s="52"/>
      <c r="P636" s="52"/>
      <c r="Q636" s="52"/>
      <c r="U636" s="52"/>
    </row>
    <row r="637">
      <c r="M637" s="52"/>
      <c r="N637" s="52"/>
      <c r="O637" s="52"/>
      <c r="P637" s="52"/>
      <c r="Q637" s="52"/>
      <c r="U637" s="52"/>
    </row>
    <row r="638">
      <c r="M638" s="52"/>
      <c r="N638" s="52"/>
      <c r="O638" s="52"/>
      <c r="P638" s="52"/>
      <c r="Q638" s="52"/>
      <c r="U638" s="52"/>
    </row>
    <row r="639">
      <c r="M639" s="52"/>
      <c r="N639" s="52"/>
      <c r="O639" s="52"/>
      <c r="P639" s="52"/>
      <c r="Q639" s="52"/>
      <c r="U639" s="52"/>
    </row>
    <row r="640">
      <c r="M640" s="52"/>
      <c r="N640" s="52"/>
      <c r="O640" s="52"/>
      <c r="P640" s="52"/>
      <c r="Q640" s="52"/>
      <c r="U640" s="52"/>
    </row>
    <row r="641">
      <c r="M641" s="52"/>
      <c r="N641" s="52"/>
      <c r="O641" s="52"/>
      <c r="P641" s="52"/>
      <c r="Q641" s="52"/>
      <c r="U641" s="52"/>
    </row>
    <row r="642">
      <c r="M642" s="52"/>
      <c r="N642" s="52"/>
      <c r="O642" s="52"/>
      <c r="P642" s="52"/>
      <c r="Q642" s="52"/>
      <c r="U642" s="52"/>
    </row>
    <row r="643">
      <c r="M643" s="52"/>
      <c r="N643" s="52"/>
      <c r="O643" s="52"/>
      <c r="P643" s="52"/>
      <c r="Q643" s="52"/>
      <c r="U643" s="52"/>
    </row>
    <row r="644">
      <c r="M644" s="52"/>
      <c r="N644" s="52"/>
      <c r="O644" s="52"/>
      <c r="P644" s="52"/>
      <c r="Q644" s="52"/>
      <c r="U644" s="52"/>
    </row>
    <row r="645">
      <c r="M645" s="52"/>
      <c r="N645" s="52"/>
      <c r="O645" s="52"/>
      <c r="P645" s="52"/>
      <c r="Q645" s="52"/>
      <c r="U645" s="52"/>
    </row>
    <row r="646">
      <c r="M646" s="52"/>
      <c r="N646" s="52"/>
      <c r="O646" s="52"/>
      <c r="P646" s="52"/>
      <c r="Q646" s="52"/>
      <c r="U646" s="52"/>
    </row>
    <row r="647">
      <c r="M647" s="52"/>
      <c r="N647" s="52"/>
      <c r="O647" s="52"/>
      <c r="P647" s="52"/>
      <c r="Q647" s="52"/>
      <c r="U647" s="52"/>
    </row>
    <row r="648">
      <c r="M648" s="52"/>
      <c r="N648" s="52"/>
      <c r="O648" s="52"/>
      <c r="P648" s="52"/>
      <c r="Q648" s="52"/>
      <c r="U648" s="52"/>
    </row>
    <row r="649">
      <c r="M649" s="52"/>
      <c r="N649" s="52"/>
      <c r="O649" s="52"/>
      <c r="P649" s="52"/>
      <c r="Q649" s="52"/>
      <c r="U649" s="52"/>
    </row>
    <row r="650">
      <c r="M650" s="52"/>
      <c r="N650" s="52"/>
      <c r="O650" s="52"/>
      <c r="P650" s="52"/>
      <c r="Q650" s="52"/>
      <c r="U650" s="52"/>
    </row>
    <row r="651">
      <c r="M651" s="52"/>
      <c r="N651" s="52"/>
      <c r="O651" s="52"/>
      <c r="P651" s="52"/>
      <c r="Q651" s="52"/>
      <c r="U651" s="52"/>
    </row>
    <row r="652">
      <c r="M652" s="52"/>
      <c r="N652" s="52"/>
      <c r="O652" s="52"/>
      <c r="P652" s="52"/>
      <c r="Q652" s="52"/>
      <c r="U652" s="52"/>
    </row>
    <row r="653">
      <c r="M653" s="52"/>
      <c r="N653" s="52"/>
      <c r="O653" s="52"/>
      <c r="P653" s="52"/>
      <c r="Q653" s="52"/>
      <c r="U653" s="52"/>
    </row>
    <row r="654">
      <c r="M654" s="52"/>
      <c r="N654" s="52"/>
      <c r="O654" s="52"/>
      <c r="P654" s="52"/>
      <c r="Q654" s="52"/>
      <c r="U654" s="52"/>
    </row>
    <row r="655">
      <c r="M655" s="52"/>
      <c r="N655" s="52"/>
      <c r="O655" s="52"/>
      <c r="P655" s="52"/>
      <c r="Q655" s="52"/>
      <c r="U655" s="52"/>
    </row>
    <row r="656">
      <c r="M656" s="52"/>
      <c r="N656" s="52"/>
      <c r="O656" s="52"/>
      <c r="P656" s="52"/>
      <c r="Q656" s="52"/>
      <c r="U656" s="52"/>
    </row>
    <row r="657">
      <c r="M657" s="52"/>
      <c r="N657" s="52"/>
      <c r="O657" s="52"/>
      <c r="P657" s="52"/>
      <c r="Q657" s="52"/>
      <c r="U657" s="52"/>
    </row>
    <row r="658">
      <c r="M658" s="52"/>
      <c r="N658" s="52"/>
      <c r="O658" s="52"/>
      <c r="P658" s="52"/>
      <c r="Q658" s="52"/>
      <c r="U658" s="52"/>
    </row>
    <row r="659">
      <c r="M659" s="52"/>
      <c r="N659" s="52"/>
      <c r="O659" s="52"/>
      <c r="P659" s="52"/>
      <c r="Q659" s="52"/>
      <c r="U659" s="52"/>
    </row>
    <row r="660">
      <c r="M660" s="52"/>
      <c r="N660" s="52"/>
      <c r="O660" s="52"/>
      <c r="P660" s="52"/>
      <c r="Q660" s="52"/>
      <c r="U660" s="52"/>
    </row>
    <row r="661">
      <c r="M661" s="52"/>
      <c r="N661" s="52"/>
      <c r="O661" s="52"/>
      <c r="P661" s="52"/>
      <c r="Q661" s="52"/>
      <c r="U661" s="52"/>
    </row>
    <row r="662">
      <c r="M662" s="52"/>
      <c r="N662" s="52"/>
      <c r="O662" s="52"/>
      <c r="P662" s="52"/>
      <c r="Q662" s="52"/>
      <c r="U662" s="52"/>
    </row>
    <row r="663">
      <c r="M663" s="52"/>
      <c r="N663" s="52"/>
      <c r="O663" s="52"/>
      <c r="P663" s="52"/>
      <c r="Q663" s="52"/>
      <c r="U663" s="52"/>
    </row>
    <row r="664">
      <c r="M664" s="52"/>
      <c r="N664" s="52"/>
      <c r="O664" s="52"/>
      <c r="P664" s="52"/>
      <c r="Q664" s="52"/>
      <c r="U664" s="52"/>
    </row>
    <row r="665">
      <c r="M665" s="52"/>
      <c r="N665" s="52"/>
      <c r="O665" s="52"/>
      <c r="P665" s="52"/>
      <c r="Q665" s="52"/>
      <c r="U665" s="52"/>
    </row>
    <row r="666">
      <c r="M666" s="52"/>
      <c r="N666" s="52"/>
      <c r="O666" s="52"/>
      <c r="P666" s="52"/>
      <c r="Q666" s="52"/>
      <c r="U666" s="52"/>
    </row>
    <row r="667">
      <c r="M667" s="52"/>
      <c r="N667" s="52"/>
      <c r="O667" s="52"/>
      <c r="P667" s="52"/>
      <c r="Q667" s="52"/>
      <c r="U667" s="52"/>
    </row>
    <row r="668">
      <c r="M668" s="52"/>
      <c r="N668" s="52"/>
      <c r="O668" s="52"/>
      <c r="P668" s="52"/>
      <c r="Q668" s="52"/>
      <c r="U668" s="52"/>
    </row>
    <row r="669">
      <c r="M669" s="52"/>
      <c r="N669" s="52"/>
      <c r="O669" s="52"/>
      <c r="P669" s="52"/>
      <c r="Q669" s="52"/>
      <c r="U669" s="52"/>
    </row>
    <row r="670">
      <c r="M670" s="52"/>
      <c r="N670" s="52"/>
      <c r="O670" s="52"/>
      <c r="P670" s="52"/>
      <c r="Q670" s="52"/>
      <c r="U670" s="52"/>
    </row>
    <row r="671">
      <c r="M671" s="52"/>
      <c r="N671" s="52"/>
      <c r="O671" s="52"/>
      <c r="P671" s="52"/>
      <c r="Q671" s="52"/>
      <c r="U671" s="52"/>
    </row>
    <row r="672">
      <c r="M672" s="52"/>
      <c r="N672" s="52"/>
      <c r="O672" s="52"/>
      <c r="P672" s="52"/>
      <c r="Q672" s="52"/>
      <c r="U672" s="52"/>
    </row>
    <row r="673">
      <c r="M673" s="52"/>
      <c r="N673" s="52"/>
      <c r="O673" s="52"/>
      <c r="P673" s="52"/>
      <c r="Q673" s="52"/>
      <c r="U673" s="52"/>
    </row>
    <row r="674">
      <c r="M674" s="52"/>
      <c r="N674" s="52"/>
      <c r="O674" s="52"/>
      <c r="P674" s="52"/>
      <c r="Q674" s="52"/>
      <c r="U674" s="52"/>
    </row>
    <row r="675">
      <c r="M675" s="52"/>
      <c r="N675" s="52"/>
      <c r="O675" s="52"/>
      <c r="P675" s="52"/>
      <c r="Q675" s="52"/>
      <c r="U675" s="52"/>
    </row>
    <row r="676">
      <c r="M676" s="52"/>
      <c r="N676" s="52"/>
      <c r="O676" s="52"/>
      <c r="P676" s="52"/>
      <c r="Q676" s="52"/>
      <c r="U676" s="52"/>
    </row>
    <row r="677">
      <c r="M677" s="52"/>
      <c r="N677" s="52"/>
      <c r="O677" s="52"/>
      <c r="P677" s="52"/>
      <c r="Q677" s="52"/>
      <c r="U677" s="52"/>
    </row>
    <row r="678">
      <c r="M678" s="52"/>
      <c r="N678" s="52"/>
      <c r="O678" s="52"/>
      <c r="P678" s="52"/>
      <c r="Q678" s="52"/>
      <c r="U678" s="52"/>
    </row>
    <row r="679">
      <c r="M679" s="52"/>
      <c r="N679" s="52"/>
      <c r="O679" s="52"/>
      <c r="P679" s="52"/>
      <c r="Q679" s="52"/>
      <c r="U679" s="52"/>
    </row>
    <row r="680">
      <c r="M680" s="52"/>
      <c r="N680" s="52"/>
      <c r="O680" s="52"/>
      <c r="P680" s="52"/>
      <c r="Q680" s="52"/>
      <c r="U680" s="52"/>
    </row>
    <row r="681">
      <c r="M681" s="52"/>
      <c r="N681" s="52"/>
      <c r="O681" s="52"/>
      <c r="P681" s="52"/>
      <c r="Q681" s="52"/>
      <c r="U681" s="52"/>
    </row>
    <row r="682">
      <c r="M682" s="52"/>
      <c r="N682" s="52"/>
      <c r="O682" s="52"/>
      <c r="P682" s="52"/>
      <c r="Q682" s="52"/>
      <c r="U682" s="52"/>
    </row>
    <row r="683">
      <c r="M683" s="52"/>
      <c r="N683" s="52"/>
      <c r="O683" s="52"/>
      <c r="P683" s="52"/>
      <c r="Q683" s="52"/>
      <c r="U683" s="52"/>
    </row>
    <row r="684">
      <c r="M684" s="52"/>
      <c r="N684" s="52"/>
      <c r="O684" s="52"/>
      <c r="P684" s="52"/>
      <c r="Q684" s="52"/>
      <c r="U684" s="52"/>
    </row>
    <row r="685">
      <c r="M685" s="52"/>
      <c r="N685" s="52"/>
      <c r="O685" s="52"/>
      <c r="P685" s="52"/>
      <c r="Q685" s="52"/>
      <c r="U685" s="52"/>
    </row>
    <row r="686">
      <c r="M686" s="52"/>
      <c r="N686" s="52"/>
      <c r="O686" s="52"/>
      <c r="P686" s="52"/>
      <c r="Q686" s="52"/>
      <c r="U686" s="52"/>
    </row>
    <row r="687">
      <c r="M687" s="52"/>
      <c r="N687" s="52"/>
      <c r="O687" s="52"/>
      <c r="P687" s="52"/>
      <c r="Q687" s="52"/>
      <c r="U687" s="52"/>
    </row>
    <row r="688">
      <c r="M688" s="52"/>
      <c r="N688" s="52"/>
      <c r="O688" s="52"/>
      <c r="P688" s="52"/>
      <c r="Q688" s="52"/>
      <c r="U688" s="52"/>
    </row>
    <row r="689">
      <c r="M689" s="52"/>
      <c r="N689" s="52"/>
      <c r="O689" s="52"/>
      <c r="P689" s="52"/>
      <c r="Q689" s="52"/>
      <c r="U689" s="52"/>
    </row>
    <row r="690">
      <c r="M690" s="52"/>
      <c r="N690" s="52"/>
      <c r="O690" s="52"/>
      <c r="P690" s="52"/>
      <c r="Q690" s="52"/>
      <c r="U690" s="52"/>
    </row>
    <row r="691">
      <c r="M691" s="52"/>
      <c r="N691" s="52"/>
      <c r="O691" s="52"/>
      <c r="P691" s="52"/>
      <c r="Q691" s="52"/>
      <c r="U691" s="52"/>
    </row>
    <row r="692">
      <c r="M692" s="52"/>
      <c r="N692" s="52"/>
      <c r="O692" s="52"/>
      <c r="P692" s="52"/>
      <c r="Q692" s="52"/>
      <c r="U692" s="52"/>
    </row>
    <row r="693">
      <c r="M693" s="52"/>
      <c r="N693" s="52"/>
      <c r="O693" s="52"/>
      <c r="P693" s="52"/>
      <c r="Q693" s="52"/>
      <c r="U693" s="52"/>
    </row>
    <row r="694">
      <c r="M694" s="52"/>
      <c r="N694" s="52"/>
      <c r="O694" s="52"/>
      <c r="P694" s="52"/>
      <c r="Q694" s="52"/>
      <c r="U694" s="52"/>
    </row>
    <row r="695">
      <c r="M695" s="52"/>
      <c r="N695" s="52"/>
      <c r="O695" s="52"/>
      <c r="P695" s="52"/>
      <c r="Q695" s="52"/>
      <c r="U695" s="52"/>
    </row>
    <row r="696">
      <c r="M696" s="52"/>
      <c r="N696" s="52"/>
      <c r="O696" s="52"/>
      <c r="P696" s="52"/>
      <c r="Q696" s="52"/>
      <c r="U696" s="52"/>
    </row>
    <row r="697">
      <c r="M697" s="52"/>
      <c r="N697" s="52"/>
      <c r="O697" s="52"/>
      <c r="P697" s="52"/>
      <c r="Q697" s="52"/>
      <c r="U697" s="52"/>
    </row>
    <row r="698">
      <c r="M698" s="52"/>
      <c r="N698" s="52"/>
      <c r="O698" s="52"/>
      <c r="P698" s="52"/>
      <c r="Q698" s="52"/>
      <c r="U698" s="52"/>
    </row>
    <row r="699">
      <c r="M699" s="52"/>
      <c r="N699" s="52"/>
      <c r="O699" s="52"/>
      <c r="P699" s="52"/>
      <c r="Q699" s="52"/>
      <c r="U699" s="52"/>
    </row>
    <row r="700">
      <c r="M700" s="52"/>
      <c r="N700" s="52"/>
      <c r="O700" s="52"/>
      <c r="P700" s="52"/>
      <c r="Q700" s="52"/>
      <c r="U700" s="52"/>
    </row>
    <row r="701">
      <c r="M701" s="52"/>
      <c r="N701" s="52"/>
      <c r="O701" s="52"/>
      <c r="P701" s="52"/>
      <c r="Q701" s="52"/>
      <c r="U701" s="52"/>
    </row>
    <row r="702">
      <c r="M702" s="52"/>
      <c r="N702" s="52"/>
      <c r="O702" s="52"/>
      <c r="P702" s="52"/>
      <c r="Q702" s="52"/>
      <c r="U702" s="52"/>
    </row>
    <row r="703">
      <c r="M703" s="52"/>
      <c r="N703" s="52"/>
      <c r="O703" s="52"/>
      <c r="P703" s="52"/>
      <c r="Q703" s="52"/>
      <c r="U703" s="52"/>
    </row>
    <row r="704">
      <c r="M704" s="52"/>
      <c r="N704" s="52"/>
      <c r="O704" s="52"/>
      <c r="P704" s="52"/>
      <c r="Q704" s="52"/>
      <c r="U704" s="52"/>
    </row>
    <row r="705">
      <c r="M705" s="52"/>
      <c r="N705" s="52"/>
      <c r="O705" s="52"/>
      <c r="P705" s="52"/>
      <c r="Q705" s="52"/>
      <c r="U705" s="52"/>
    </row>
    <row r="706">
      <c r="M706" s="52"/>
      <c r="N706" s="52"/>
      <c r="O706" s="52"/>
      <c r="P706" s="52"/>
      <c r="Q706" s="52"/>
      <c r="U706" s="52"/>
    </row>
    <row r="707">
      <c r="M707" s="52"/>
      <c r="N707" s="52"/>
      <c r="O707" s="52"/>
      <c r="P707" s="52"/>
      <c r="Q707" s="52"/>
      <c r="U707" s="52"/>
    </row>
    <row r="708">
      <c r="M708" s="52"/>
      <c r="N708" s="52"/>
      <c r="O708" s="52"/>
      <c r="P708" s="52"/>
      <c r="Q708" s="52"/>
      <c r="U708" s="52"/>
    </row>
    <row r="709">
      <c r="M709" s="52"/>
      <c r="N709" s="52"/>
      <c r="O709" s="52"/>
      <c r="P709" s="52"/>
      <c r="Q709" s="52"/>
      <c r="U709" s="52"/>
    </row>
    <row r="710">
      <c r="M710" s="52"/>
      <c r="N710" s="52"/>
      <c r="O710" s="52"/>
      <c r="P710" s="52"/>
      <c r="Q710" s="52"/>
      <c r="U710" s="52"/>
    </row>
    <row r="711">
      <c r="M711" s="52"/>
      <c r="N711" s="52"/>
      <c r="O711" s="52"/>
      <c r="P711" s="52"/>
      <c r="Q711" s="52"/>
      <c r="U711" s="52"/>
    </row>
    <row r="712">
      <c r="M712" s="52"/>
      <c r="N712" s="52"/>
      <c r="O712" s="52"/>
      <c r="P712" s="52"/>
      <c r="Q712" s="52"/>
      <c r="U712" s="52"/>
    </row>
    <row r="713">
      <c r="M713" s="52"/>
      <c r="N713" s="52"/>
      <c r="O713" s="52"/>
      <c r="P713" s="52"/>
      <c r="Q713" s="52"/>
      <c r="U713" s="52"/>
    </row>
    <row r="714">
      <c r="M714" s="52"/>
      <c r="N714" s="52"/>
      <c r="O714" s="52"/>
      <c r="P714" s="52"/>
      <c r="Q714" s="52"/>
      <c r="U714" s="52"/>
    </row>
    <row r="715">
      <c r="M715" s="52"/>
      <c r="N715" s="52"/>
      <c r="O715" s="52"/>
      <c r="P715" s="52"/>
      <c r="Q715" s="52"/>
      <c r="U715" s="52"/>
    </row>
    <row r="716">
      <c r="M716" s="52"/>
      <c r="N716" s="52"/>
      <c r="O716" s="52"/>
      <c r="P716" s="52"/>
      <c r="Q716" s="52"/>
      <c r="U716" s="52"/>
    </row>
    <row r="717">
      <c r="M717" s="52"/>
      <c r="N717" s="52"/>
      <c r="O717" s="52"/>
      <c r="P717" s="52"/>
      <c r="Q717" s="52"/>
      <c r="U717" s="52"/>
    </row>
    <row r="718">
      <c r="M718" s="52"/>
      <c r="N718" s="52"/>
      <c r="O718" s="52"/>
      <c r="P718" s="52"/>
      <c r="Q718" s="52"/>
      <c r="U718" s="52"/>
    </row>
    <row r="719">
      <c r="M719" s="52"/>
      <c r="N719" s="52"/>
      <c r="O719" s="52"/>
      <c r="P719" s="52"/>
      <c r="Q719" s="52"/>
      <c r="U719" s="52"/>
    </row>
    <row r="720">
      <c r="M720" s="52"/>
      <c r="N720" s="52"/>
      <c r="O720" s="52"/>
      <c r="P720" s="52"/>
      <c r="Q720" s="52"/>
      <c r="U720" s="52"/>
    </row>
    <row r="721">
      <c r="M721" s="52"/>
      <c r="N721" s="52"/>
      <c r="O721" s="52"/>
      <c r="P721" s="52"/>
      <c r="Q721" s="52"/>
      <c r="U721" s="52"/>
    </row>
    <row r="722">
      <c r="M722" s="52"/>
      <c r="N722" s="52"/>
      <c r="O722" s="52"/>
      <c r="P722" s="52"/>
      <c r="Q722" s="52"/>
      <c r="U722" s="52"/>
    </row>
    <row r="723">
      <c r="M723" s="52"/>
      <c r="N723" s="52"/>
      <c r="O723" s="52"/>
      <c r="P723" s="52"/>
      <c r="Q723" s="52"/>
      <c r="U723" s="52"/>
    </row>
    <row r="724">
      <c r="M724" s="52"/>
      <c r="N724" s="52"/>
      <c r="O724" s="52"/>
      <c r="P724" s="52"/>
      <c r="Q724" s="52"/>
      <c r="U724" s="52"/>
    </row>
    <row r="725">
      <c r="M725" s="52"/>
      <c r="N725" s="52"/>
      <c r="O725" s="52"/>
      <c r="P725" s="52"/>
      <c r="Q725" s="52"/>
      <c r="U725" s="52"/>
    </row>
    <row r="726">
      <c r="M726" s="52"/>
      <c r="N726" s="52"/>
      <c r="O726" s="52"/>
      <c r="P726" s="52"/>
      <c r="Q726" s="52"/>
      <c r="U726" s="52"/>
    </row>
    <row r="727">
      <c r="M727" s="52"/>
      <c r="N727" s="52"/>
      <c r="O727" s="52"/>
      <c r="P727" s="52"/>
      <c r="Q727" s="52"/>
      <c r="U727" s="52"/>
    </row>
    <row r="728">
      <c r="M728" s="52"/>
      <c r="N728" s="52"/>
      <c r="O728" s="52"/>
      <c r="P728" s="52"/>
      <c r="Q728" s="52"/>
      <c r="U728" s="52"/>
    </row>
    <row r="729">
      <c r="M729" s="52"/>
      <c r="N729" s="52"/>
      <c r="O729" s="52"/>
      <c r="P729" s="52"/>
      <c r="Q729" s="52"/>
      <c r="U729" s="52"/>
    </row>
    <row r="730">
      <c r="M730" s="52"/>
      <c r="N730" s="52"/>
      <c r="O730" s="52"/>
      <c r="P730" s="52"/>
      <c r="Q730" s="52"/>
      <c r="U730" s="52"/>
    </row>
    <row r="731">
      <c r="M731" s="52"/>
      <c r="N731" s="52"/>
      <c r="O731" s="52"/>
      <c r="P731" s="52"/>
      <c r="Q731" s="52"/>
      <c r="U731" s="52"/>
    </row>
    <row r="732">
      <c r="M732" s="52"/>
      <c r="N732" s="52"/>
      <c r="O732" s="52"/>
      <c r="P732" s="52"/>
      <c r="Q732" s="52"/>
      <c r="U732" s="52"/>
    </row>
    <row r="733">
      <c r="M733" s="52"/>
      <c r="N733" s="52"/>
      <c r="O733" s="52"/>
      <c r="P733" s="52"/>
      <c r="Q733" s="52"/>
      <c r="U733" s="52"/>
    </row>
    <row r="734">
      <c r="M734" s="52"/>
      <c r="N734" s="52"/>
      <c r="O734" s="52"/>
      <c r="P734" s="52"/>
      <c r="Q734" s="52"/>
      <c r="U734" s="52"/>
    </row>
    <row r="735">
      <c r="M735" s="52"/>
      <c r="N735" s="52"/>
      <c r="O735" s="52"/>
      <c r="P735" s="52"/>
      <c r="Q735" s="52"/>
      <c r="U735" s="52"/>
    </row>
    <row r="736">
      <c r="M736" s="52"/>
      <c r="N736" s="52"/>
      <c r="O736" s="52"/>
      <c r="P736" s="52"/>
      <c r="Q736" s="52"/>
      <c r="U736" s="52"/>
    </row>
    <row r="737">
      <c r="M737" s="52"/>
      <c r="N737" s="52"/>
      <c r="O737" s="52"/>
      <c r="P737" s="52"/>
      <c r="Q737" s="52"/>
      <c r="U737" s="52"/>
    </row>
    <row r="738">
      <c r="M738" s="52"/>
      <c r="N738" s="52"/>
      <c r="O738" s="52"/>
      <c r="P738" s="52"/>
      <c r="Q738" s="52"/>
      <c r="U738" s="52"/>
    </row>
    <row r="739">
      <c r="M739" s="52"/>
      <c r="N739" s="52"/>
      <c r="O739" s="52"/>
      <c r="P739" s="52"/>
      <c r="Q739" s="52"/>
      <c r="U739" s="52"/>
    </row>
    <row r="740">
      <c r="M740" s="52"/>
      <c r="N740" s="52"/>
      <c r="O740" s="52"/>
      <c r="P740" s="52"/>
      <c r="Q740" s="52"/>
      <c r="U740" s="52"/>
    </row>
    <row r="741">
      <c r="M741" s="52"/>
      <c r="N741" s="52"/>
      <c r="O741" s="52"/>
      <c r="P741" s="52"/>
      <c r="Q741" s="52"/>
      <c r="U741" s="52"/>
    </row>
    <row r="742">
      <c r="M742" s="52"/>
      <c r="N742" s="52"/>
      <c r="O742" s="52"/>
      <c r="P742" s="52"/>
      <c r="Q742" s="52"/>
      <c r="U742" s="52"/>
    </row>
    <row r="743">
      <c r="M743" s="52"/>
      <c r="N743" s="52"/>
      <c r="O743" s="52"/>
      <c r="P743" s="52"/>
      <c r="Q743" s="52"/>
      <c r="U743" s="52"/>
    </row>
    <row r="744">
      <c r="M744" s="52"/>
      <c r="N744" s="52"/>
      <c r="O744" s="52"/>
      <c r="P744" s="52"/>
      <c r="Q744" s="52"/>
      <c r="U744" s="52"/>
    </row>
    <row r="745">
      <c r="M745" s="52"/>
      <c r="N745" s="52"/>
      <c r="O745" s="52"/>
      <c r="P745" s="52"/>
      <c r="Q745" s="52"/>
      <c r="U745" s="52"/>
    </row>
    <row r="746">
      <c r="M746" s="52"/>
      <c r="N746" s="52"/>
      <c r="O746" s="52"/>
      <c r="P746" s="52"/>
      <c r="Q746" s="52"/>
      <c r="U746" s="52"/>
    </row>
    <row r="747">
      <c r="M747" s="52"/>
      <c r="N747" s="52"/>
      <c r="O747" s="52"/>
      <c r="P747" s="52"/>
      <c r="Q747" s="52"/>
      <c r="U747" s="52"/>
    </row>
    <row r="748">
      <c r="M748" s="52"/>
      <c r="N748" s="52"/>
      <c r="O748" s="52"/>
      <c r="P748" s="52"/>
      <c r="Q748" s="52"/>
      <c r="U748" s="52"/>
    </row>
    <row r="749">
      <c r="M749" s="52"/>
      <c r="N749" s="52"/>
      <c r="O749" s="52"/>
      <c r="P749" s="52"/>
      <c r="Q749" s="52"/>
      <c r="U749" s="52"/>
    </row>
    <row r="750">
      <c r="M750" s="52"/>
      <c r="N750" s="52"/>
      <c r="O750" s="52"/>
      <c r="P750" s="52"/>
      <c r="Q750" s="52"/>
      <c r="U750" s="52"/>
    </row>
    <row r="751">
      <c r="M751" s="52"/>
      <c r="N751" s="52"/>
      <c r="O751" s="52"/>
      <c r="P751" s="52"/>
      <c r="Q751" s="52"/>
      <c r="U751" s="52"/>
    </row>
    <row r="752">
      <c r="M752" s="52"/>
      <c r="N752" s="52"/>
      <c r="O752" s="52"/>
      <c r="P752" s="52"/>
      <c r="Q752" s="52"/>
      <c r="U752" s="52"/>
    </row>
    <row r="753">
      <c r="M753" s="52"/>
      <c r="N753" s="52"/>
      <c r="O753" s="52"/>
      <c r="P753" s="52"/>
      <c r="Q753" s="52"/>
      <c r="U753" s="52"/>
    </row>
    <row r="754">
      <c r="M754" s="52"/>
      <c r="N754" s="52"/>
      <c r="O754" s="52"/>
      <c r="P754" s="52"/>
      <c r="Q754" s="52"/>
      <c r="U754" s="52"/>
    </row>
    <row r="755">
      <c r="M755" s="52"/>
      <c r="N755" s="52"/>
      <c r="O755" s="52"/>
      <c r="P755" s="52"/>
      <c r="Q755" s="52"/>
      <c r="U755" s="52"/>
    </row>
    <row r="756">
      <c r="M756" s="52"/>
      <c r="N756" s="52"/>
      <c r="O756" s="52"/>
      <c r="P756" s="52"/>
      <c r="Q756" s="52"/>
      <c r="U756" s="52"/>
    </row>
    <row r="757">
      <c r="M757" s="52"/>
      <c r="N757" s="52"/>
      <c r="O757" s="52"/>
      <c r="P757" s="52"/>
      <c r="Q757" s="52"/>
      <c r="U757" s="52"/>
    </row>
    <row r="758">
      <c r="M758" s="52"/>
      <c r="N758" s="52"/>
      <c r="O758" s="52"/>
      <c r="P758" s="52"/>
      <c r="Q758" s="52"/>
      <c r="U758" s="52"/>
    </row>
    <row r="759">
      <c r="M759" s="52"/>
      <c r="N759" s="52"/>
      <c r="O759" s="52"/>
      <c r="P759" s="52"/>
      <c r="Q759" s="52"/>
      <c r="U759" s="52"/>
    </row>
    <row r="760">
      <c r="M760" s="52"/>
      <c r="N760" s="52"/>
      <c r="O760" s="52"/>
      <c r="P760" s="52"/>
      <c r="Q760" s="52"/>
      <c r="U760" s="52"/>
    </row>
    <row r="761">
      <c r="M761" s="52"/>
      <c r="N761" s="52"/>
      <c r="O761" s="52"/>
      <c r="P761" s="52"/>
      <c r="Q761" s="52"/>
      <c r="U761" s="52"/>
    </row>
    <row r="762">
      <c r="M762" s="52"/>
      <c r="N762" s="52"/>
      <c r="O762" s="52"/>
      <c r="P762" s="52"/>
      <c r="Q762" s="52"/>
      <c r="U762" s="52"/>
    </row>
    <row r="763">
      <c r="M763" s="52"/>
      <c r="N763" s="52"/>
      <c r="O763" s="52"/>
      <c r="P763" s="52"/>
      <c r="Q763" s="52"/>
      <c r="U763" s="52"/>
    </row>
    <row r="764">
      <c r="M764" s="52"/>
      <c r="N764" s="52"/>
      <c r="O764" s="52"/>
      <c r="P764" s="52"/>
      <c r="Q764" s="52"/>
      <c r="U764" s="52"/>
    </row>
    <row r="765">
      <c r="M765" s="52"/>
      <c r="N765" s="52"/>
      <c r="O765" s="52"/>
      <c r="P765" s="52"/>
      <c r="Q765" s="52"/>
      <c r="U765" s="52"/>
    </row>
    <row r="766">
      <c r="M766" s="52"/>
      <c r="N766" s="52"/>
      <c r="O766" s="52"/>
      <c r="P766" s="52"/>
      <c r="Q766" s="52"/>
      <c r="U766" s="52"/>
    </row>
    <row r="767">
      <c r="M767" s="52"/>
      <c r="N767" s="52"/>
      <c r="O767" s="52"/>
      <c r="P767" s="52"/>
      <c r="Q767" s="52"/>
      <c r="U767" s="52"/>
    </row>
    <row r="768">
      <c r="M768" s="52"/>
      <c r="N768" s="52"/>
      <c r="O768" s="52"/>
      <c r="P768" s="52"/>
      <c r="Q768" s="52"/>
      <c r="U768" s="52"/>
    </row>
    <row r="769">
      <c r="M769" s="52"/>
      <c r="N769" s="52"/>
      <c r="O769" s="52"/>
      <c r="P769" s="52"/>
      <c r="Q769" s="52"/>
      <c r="U769" s="52"/>
    </row>
    <row r="770">
      <c r="M770" s="52"/>
      <c r="N770" s="52"/>
      <c r="O770" s="52"/>
      <c r="P770" s="52"/>
      <c r="Q770" s="52"/>
      <c r="U770" s="52"/>
    </row>
    <row r="771">
      <c r="M771" s="52"/>
      <c r="N771" s="52"/>
      <c r="O771" s="52"/>
      <c r="P771" s="52"/>
      <c r="Q771" s="52"/>
      <c r="U771" s="52"/>
    </row>
    <row r="772">
      <c r="M772" s="52"/>
      <c r="N772" s="52"/>
      <c r="O772" s="52"/>
      <c r="P772" s="52"/>
      <c r="Q772" s="52"/>
      <c r="U772" s="52"/>
    </row>
    <row r="773">
      <c r="M773" s="52"/>
      <c r="N773" s="52"/>
      <c r="O773" s="52"/>
      <c r="P773" s="52"/>
      <c r="Q773" s="52"/>
      <c r="U773" s="52"/>
    </row>
    <row r="774">
      <c r="M774" s="52"/>
      <c r="N774" s="52"/>
      <c r="O774" s="52"/>
      <c r="P774" s="52"/>
      <c r="Q774" s="52"/>
      <c r="U774" s="52"/>
    </row>
    <row r="775">
      <c r="M775" s="52"/>
      <c r="N775" s="52"/>
      <c r="O775" s="52"/>
      <c r="P775" s="52"/>
      <c r="Q775" s="52"/>
      <c r="U775" s="52"/>
    </row>
    <row r="776">
      <c r="M776" s="52"/>
      <c r="N776" s="52"/>
      <c r="O776" s="52"/>
      <c r="P776" s="52"/>
      <c r="Q776" s="52"/>
      <c r="U776" s="52"/>
    </row>
    <row r="777">
      <c r="M777" s="52"/>
      <c r="N777" s="52"/>
      <c r="O777" s="52"/>
      <c r="P777" s="52"/>
      <c r="Q777" s="52"/>
      <c r="U777" s="52"/>
    </row>
    <row r="778">
      <c r="M778" s="52"/>
      <c r="N778" s="52"/>
      <c r="O778" s="52"/>
      <c r="P778" s="52"/>
      <c r="Q778" s="52"/>
      <c r="U778" s="52"/>
    </row>
    <row r="779">
      <c r="M779" s="52"/>
      <c r="N779" s="52"/>
      <c r="O779" s="52"/>
      <c r="P779" s="52"/>
      <c r="Q779" s="52"/>
      <c r="U779" s="52"/>
    </row>
    <row r="780">
      <c r="M780" s="52"/>
      <c r="N780" s="52"/>
      <c r="O780" s="52"/>
      <c r="P780" s="52"/>
      <c r="Q780" s="52"/>
      <c r="U780" s="52"/>
    </row>
    <row r="781">
      <c r="M781" s="52"/>
      <c r="N781" s="52"/>
      <c r="O781" s="52"/>
      <c r="P781" s="52"/>
      <c r="Q781" s="52"/>
      <c r="U781" s="52"/>
    </row>
    <row r="782">
      <c r="M782" s="52"/>
      <c r="N782" s="52"/>
      <c r="O782" s="52"/>
      <c r="P782" s="52"/>
      <c r="Q782" s="52"/>
      <c r="U782" s="52"/>
    </row>
    <row r="783">
      <c r="M783" s="52"/>
      <c r="N783" s="52"/>
      <c r="O783" s="52"/>
      <c r="P783" s="52"/>
      <c r="Q783" s="52"/>
      <c r="U783" s="52"/>
    </row>
    <row r="784">
      <c r="M784" s="52"/>
      <c r="N784" s="52"/>
      <c r="O784" s="52"/>
      <c r="P784" s="52"/>
      <c r="Q784" s="52"/>
      <c r="U784" s="52"/>
    </row>
    <row r="785">
      <c r="M785" s="52"/>
      <c r="N785" s="52"/>
      <c r="O785" s="52"/>
      <c r="P785" s="52"/>
      <c r="Q785" s="52"/>
      <c r="U785" s="52"/>
    </row>
    <row r="786">
      <c r="M786" s="52"/>
      <c r="N786" s="52"/>
      <c r="O786" s="52"/>
      <c r="P786" s="52"/>
      <c r="Q786" s="52"/>
      <c r="U786" s="52"/>
    </row>
    <row r="787">
      <c r="M787" s="52"/>
      <c r="N787" s="52"/>
      <c r="O787" s="52"/>
      <c r="P787" s="52"/>
      <c r="Q787" s="52"/>
      <c r="U787" s="52"/>
    </row>
    <row r="788">
      <c r="M788" s="52"/>
      <c r="N788" s="52"/>
      <c r="O788" s="52"/>
      <c r="P788" s="52"/>
      <c r="Q788" s="52"/>
      <c r="U788" s="52"/>
    </row>
    <row r="789">
      <c r="M789" s="52"/>
      <c r="N789" s="52"/>
      <c r="O789" s="52"/>
      <c r="P789" s="52"/>
      <c r="Q789" s="52"/>
      <c r="U789" s="52"/>
    </row>
    <row r="790">
      <c r="M790" s="52"/>
      <c r="N790" s="52"/>
      <c r="O790" s="52"/>
      <c r="P790" s="52"/>
      <c r="Q790" s="52"/>
      <c r="U790" s="52"/>
    </row>
    <row r="791">
      <c r="M791" s="52"/>
      <c r="N791" s="52"/>
      <c r="O791" s="52"/>
      <c r="P791" s="52"/>
      <c r="Q791" s="52"/>
      <c r="U791" s="52"/>
    </row>
    <row r="792">
      <c r="M792" s="52"/>
      <c r="N792" s="52"/>
      <c r="O792" s="52"/>
      <c r="P792" s="52"/>
      <c r="Q792" s="52"/>
      <c r="U792" s="52"/>
    </row>
    <row r="793">
      <c r="M793" s="52"/>
      <c r="N793" s="52"/>
      <c r="O793" s="52"/>
      <c r="P793" s="52"/>
      <c r="Q793" s="52"/>
      <c r="U793" s="52"/>
    </row>
    <row r="794">
      <c r="M794" s="52"/>
      <c r="N794" s="52"/>
      <c r="O794" s="52"/>
      <c r="P794" s="52"/>
      <c r="Q794" s="52"/>
      <c r="U794" s="52"/>
    </row>
    <row r="795">
      <c r="M795" s="52"/>
      <c r="N795" s="52"/>
      <c r="O795" s="52"/>
      <c r="P795" s="52"/>
      <c r="Q795" s="52"/>
      <c r="U795" s="52"/>
    </row>
    <row r="796">
      <c r="M796" s="52"/>
      <c r="N796" s="52"/>
      <c r="O796" s="52"/>
      <c r="P796" s="52"/>
      <c r="Q796" s="52"/>
      <c r="U796" s="52"/>
    </row>
    <row r="797">
      <c r="M797" s="52"/>
      <c r="N797" s="52"/>
      <c r="O797" s="52"/>
      <c r="P797" s="52"/>
      <c r="Q797" s="52"/>
      <c r="U797" s="52"/>
    </row>
    <row r="798">
      <c r="M798" s="52"/>
      <c r="N798" s="52"/>
      <c r="O798" s="52"/>
      <c r="P798" s="52"/>
      <c r="Q798" s="52"/>
      <c r="U798" s="52"/>
    </row>
    <row r="799">
      <c r="M799" s="52"/>
      <c r="N799" s="52"/>
      <c r="O799" s="52"/>
      <c r="P799" s="52"/>
      <c r="Q799" s="52"/>
      <c r="U799" s="52"/>
    </row>
    <row r="800">
      <c r="M800" s="52"/>
      <c r="N800" s="52"/>
      <c r="O800" s="52"/>
      <c r="P800" s="52"/>
      <c r="Q800" s="52"/>
      <c r="U800" s="52"/>
    </row>
    <row r="801">
      <c r="M801" s="52"/>
      <c r="N801" s="52"/>
      <c r="O801" s="52"/>
      <c r="P801" s="52"/>
      <c r="Q801" s="52"/>
      <c r="U801" s="52"/>
    </row>
    <row r="802">
      <c r="M802" s="52"/>
      <c r="N802" s="52"/>
      <c r="O802" s="52"/>
      <c r="P802" s="52"/>
      <c r="Q802" s="52"/>
      <c r="U802" s="52"/>
    </row>
    <row r="803">
      <c r="M803" s="52"/>
      <c r="N803" s="52"/>
      <c r="O803" s="52"/>
      <c r="P803" s="52"/>
      <c r="Q803" s="52"/>
      <c r="U803" s="52"/>
    </row>
    <row r="804">
      <c r="M804" s="52"/>
      <c r="N804" s="52"/>
      <c r="O804" s="52"/>
      <c r="P804" s="52"/>
      <c r="Q804" s="52"/>
      <c r="U804" s="52"/>
    </row>
    <row r="805">
      <c r="M805" s="52"/>
      <c r="N805" s="52"/>
      <c r="O805" s="52"/>
      <c r="P805" s="52"/>
      <c r="Q805" s="52"/>
      <c r="U805" s="52"/>
    </row>
    <row r="806">
      <c r="M806" s="52"/>
      <c r="N806" s="52"/>
      <c r="O806" s="52"/>
      <c r="P806" s="52"/>
      <c r="Q806" s="52"/>
      <c r="U806" s="52"/>
    </row>
    <row r="807">
      <c r="M807" s="52"/>
      <c r="N807" s="52"/>
      <c r="O807" s="52"/>
      <c r="P807" s="52"/>
      <c r="Q807" s="52"/>
      <c r="U807" s="52"/>
    </row>
    <row r="808">
      <c r="M808" s="52"/>
      <c r="N808" s="52"/>
      <c r="O808" s="52"/>
      <c r="P808" s="52"/>
      <c r="Q808" s="52"/>
      <c r="U808" s="52"/>
    </row>
    <row r="809">
      <c r="M809" s="52"/>
      <c r="N809" s="52"/>
      <c r="O809" s="52"/>
      <c r="P809" s="52"/>
      <c r="Q809" s="52"/>
      <c r="U809" s="52"/>
    </row>
    <row r="810">
      <c r="M810" s="52"/>
      <c r="N810" s="52"/>
      <c r="O810" s="52"/>
      <c r="P810" s="52"/>
      <c r="Q810" s="52"/>
      <c r="U810" s="52"/>
    </row>
    <row r="811">
      <c r="M811" s="52"/>
      <c r="N811" s="52"/>
      <c r="O811" s="52"/>
      <c r="P811" s="52"/>
      <c r="Q811" s="52"/>
      <c r="U811" s="52"/>
    </row>
    <row r="812">
      <c r="M812" s="52"/>
      <c r="N812" s="52"/>
      <c r="O812" s="52"/>
      <c r="P812" s="52"/>
      <c r="Q812" s="52"/>
      <c r="U812" s="52"/>
    </row>
    <row r="813">
      <c r="M813" s="52"/>
      <c r="N813" s="52"/>
      <c r="O813" s="52"/>
      <c r="P813" s="52"/>
      <c r="Q813" s="52"/>
      <c r="U813" s="52"/>
    </row>
    <row r="814">
      <c r="M814" s="52"/>
      <c r="N814" s="52"/>
      <c r="O814" s="52"/>
      <c r="P814" s="52"/>
      <c r="Q814" s="52"/>
      <c r="U814" s="52"/>
    </row>
    <row r="815">
      <c r="M815" s="52"/>
      <c r="N815" s="52"/>
      <c r="O815" s="52"/>
      <c r="P815" s="52"/>
      <c r="Q815" s="52"/>
      <c r="U815" s="52"/>
    </row>
    <row r="816">
      <c r="M816" s="52"/>
      <c r="N816" s="52"/>
      <c r="O816" s="52"/>
      <c r="P816" s="52"/>
      <c r="Q816" s="52"/>
      <c r="U816" s="52"/>
    </row>
    <row r="817">
      <c r="M817" s="52"/>
      <c r="N817" s="52"/>
      <c r="O817" s="52"/>
      <c r="P817" s="52"/>
      <c r="Q817" s="52"/>
      <c r="U817" s="52"/>
    </row>
    <row r="818">
      <c r="M818" s="52"/>
      <c r="N818" s="52"/>
      <c r="O818" s="52"/>
      <c r="P818" s="52"/>
      <c r="Q818" s="52"/>
      <c r="U818" s="52"/>
    </row>
    <row r="819">
      <c r="M819" s="52"/>
      <c r="N819" s="52"/>
      <c r="O819" s="52"/>
      <c r="P819" s="52"/>
      <c r="Q819" s="52"/>
      <c r="U819" s="52"/>
    </row>
    <row r="820">
      <c r="M820" s="52"/>
      <c r="N820" s="52"/>
      <c r="O820" s="52"/>
      <c r="P820" s="52"/>
      <c r="Q820" s="52"/>
      <c r="U820" s="52"/>
    </row>
    <row r="821">
      <c r="M821" s="52"/>
      <c r="N821" s="52"/>
      <c r="O821" s="52"/>
      <c r="P821" s="52"/>
      <c r="Q821" s="52"/>
      <c r="U821" s="52"/>
    </row>
    <row r="822">
      <c r="M822" s="52"/>
      <c r="N822" s="52"/>
      <c r="O822" s="52"/>
      <c r="P822" s="52"/>
      <c r="Q822" s="52"/>
      <c r="U822" s="52"/>
    </row>
    <row r="823">
      <c r="M823" s="52"/>
      <c r="N823" s="52"/>
      <c r="O823" s="52"/>
      <c r="P823" s="52"/>
      <c r="Q823" s="52"/>
      <c r="U823" s="52"/>
    </row>
    <row r="824">
      <c r="M824" s="52"/>
      <c r="N824" s="52"/>
      <c r="O824" s="52"/>
      <c r="P824" s="52"/>
      <c r="Q824" s="52"/>
      <c r="U824" s="52"/>
    </row>
    <row r="825">
      <c r="M825" s="52"/>
      <c r="N825" s="52"/>
      <c r="O825" s="52"/>
      <c r="P825" s="52"/>
      <c r="Q825" s="52"/>
      <c r="U825" s="52"/>
    </row>
    <row r="826">
      <c r="M826" s="52"/>
      <c r="N826" s="52"/>
      <c r="O826" s="52"/>
      <c r="P826" s="52"/>
      <c r="Q826" s="52"/>
      <c r="U826" s="52"/>
    </row>
    <row r="827">
      <c r="M827" s="52"/>
      <c r="N827" s="52"/>
      <c r="O827" s="52"/>
      <c r="P827" s="52"/>
      <c r="Q827" s="52"/>
      <c r="U827" s="52"/>
    </row>
    <row r="828">
      <c r="M828" s="52"/>
      <c r="N828" s="52"/>
      <c r="O828" s="52"/>
      <c r="P828" s="52"/>
      <c r="Q828" s="52"/>
      <c r="U828" s="52"/>
    </row>
    <row r="829">
      <c r="M829" s="52"/>
      <c r="N829" s="52"/>
      <c r="O829" s="52"/>
      <c r="P829" s="52"/>
      <c r="Q829" s="52"/>
      <c r="U829" s="52"/>
    </row>
    <row r="830">
      <c r="M830" s="52"/>
      <c r="N830" s="52"/>
      <c r="O830" s="52"/>
      <c r="P830" s="52"/>
      <c r="Q830" s="52"/>
      <c r="U830" s="52"/>
    </row>
    <row r="831">
      <c r="M831" s="52"/>
      <c r="N831" s="52"/>
      <c r="O831" s="52"/>
      <c r="P831" s="52"/>
      <c r="Q831" s="52"/>
      <c r="U831" s="52"/>
    </row>
    <row r="832">
      <c r="M832" s="52"/>
      <c r="N832" s="52"/>
      <c r="O832" s="52"/>
      <c r="P832" s="52"/>
      <c r="Q832" s="52"/>
      <c r="U832" s="52"/>
    </row>
    <row r="833">
      <c r="M833" s="52"/>
      <c r="N833" s="52"/>
      <c r="O833" s="52"/>
      <c r="P833" s="52"/>
      <c r="Q833" s="52"/>
      <c r="U833" s="52"/>
    </row>
    <row r="834">
      <c r="M834" s="52"/>
      <c r="N834" s="52"/>
      <c r="O834" s="52"/>
      <c r="P834" s="52"/>
      <c r="Q834" s="52"/>
      <c r="U834" s="52"/>
    </row>
    <row r="835">
      <c r="M835" s="52"/>
      <c r="N835" s="52"/>
      <c r="O835" s="52"/>
      <c r="P835" s="52"/>
      <c r="Q835" s="52"/>
      <c r="U835" s="52"/>
    </row>
    <row r="836">
      <c r="M836" s="52"/>
      <c r="N836" s="52"/>
      <c r="O836" s="52"/>
      <c r="P836" s="52"/>
      <c r="Q836" s="52"/>
      <c r="U836" s="52"/>
    </row>
    <row r="837">
      <c r="M837" s="52"/>
      <c r="N837" s="52"/>
      <c r="O837" s="52"/>
      <c r="P837" s="52"/>
      <c r="Q837" s="52"/>
      <c r="U837" s="52"/>
    </row>
    <row r="838">
      <c r="M838" s="52"/>
      <c r="N838" s="52"/>
      <c r="O838" s="52"/>
      <c r="P838" s="52"/>
      <c r="Q838" s="52"/>
      <c r="U838" s="52"/>
    </row>
    <row r="839">
      <c r="M839" s="52"/>
      <c r="N839" s="52"/>
      <c r="O839" s="52"/>
      <c r="P839" s="52"/>
      <c r="Q839" s="52"/>
      <c r="U839" s="52"/>
    </row>
    <row r="840">
      <c r="M840" s="52"/>
      <c r="N840" s="52"/>
      <c r="O840" s="52"/>
      <c r="P840" s="52"/>
      <c r="Q840" s="52"/>
      <c r="U840" s="52"/>
    </row>
    <row r="841">
      <c r="M841" s="52"/>
      <c r="N841" s="52"/>
      <c r="O841" s="52"/>
      <c r="P841" s="52"/>
      <c r="Q841" s="52"/>
      <c r="U841" s="52"/>
    </row>
    <row r="842">
      <c r="M842" s="52"/>
      <c r="N842" s="52"/>
      <c r="O842" s="52"/>
      <c r="P842" s="52"/>
      <c r="Q842" s="52"/>
      <c r="U842" s="52"/>
    </row>
    <row r="843">
      <c r="M843" s="52"/>
      <c r="N843" s="52"/>
      <c r="O843" s="52"/>
      <c r="P843" s="52"/>
      <c r="Q843" s="52"/>
      <c r="U843" s="52"/>
    </row>
    <row r="844">
      <c r="M844" s="52"/>
      <c r="N844" s="52"/>
      <c r="O844" s="52"/>
      <c r="P844" s="52"/>
      <c r="Q844" s="52"/>
      <c r="U844" s="52"/>
    </row>
    <row r="845">
      <c r="M845" s="52"/>
      <c r="N845" s="52"/>
      <c r="O845" s="52"/>
      <c r="P845" s="52"/>
      <c r="Q845" s="52"/>
      <c r="U845" s="52"/>
    </row>
    <row r="846">
      <c r="M846" s="52"/>
      <c r="N846" s="52"/>
      <c r="O846" s="52"/>
      <c r="P846" s="52"/>
      <c r="Q846" s="52"/>
      <c r="U846" s="52"/>
    </row>
    <row r="847">
      <c r="M847" s="52"/>
      <c r="N847" s="52"/>
      <c r="O847" s="52"/>
      <c r="P847" s="52"/>
      <c r="Q847" s="52"/>
      <c r="U847" s="52"/>
    </row>
    <row r="848">
      <c r="M848" s="52"/>
      <c r="N848" s="52"/>
      <c r="O848" s="52"/>
      <c r="P848" s="52"/>
      <c r="Q848" s="52"/>
      <c r="U848" s="52"/>
    </row>
    <row r="849">
      <c r="M849" s="52"/>
      <c r="N849" s="52"/>
      <c r="O849" s="52"/>
      <c r="P849" s="52"/>
      <c r="Q849" s="52"/>
      <c r="U849" s="52"/>
    </row>
    <row r="850">
      <c r="M850" s="52"/>
      <c r="N850" s="52"/>
      <c r="O850" s="52"/>
      <c r="P850" s="52"/>
      <c r="Q850" s="52"/>
      <c r="U850" s="52"/>
    </row>
    <row r="851">
      <c r="M851" s="52"/>
      <c r="N851" s="52"/>
      <c r="O851" s="52"/>
      <c r="P851" s="52"/>
      <c r="Q851" s="52"/>
      <c r="U851" s="52"/>
    </row>
    <row r="852">
      <c r="M852" s="52"/>
      <c r="N852" s="52"/>
      <c r="O852" s="52"/>
      <c r="P852" s="52"/>
      <c r="Q852" s="52"/>
      <c r="U852" s="52"/>
    </row>
    <row r="853">
      <c r="M853" s="52"/>
      <c r="N853" s="52"/>
      <c r="O853" s="52"/>
      <c r="P853" s="52"/>
      <c r="Q853" s="52"/>
      <c r="U853" s="52"/>
    </row>
    <row r="854">
      <c r="M854" s="52"/>
      <c r="N854" s="52"/>
      <c r="O854" s="52"/>
      <c r="P854" s="52"/>
      <c r="Q854" s="52"/>
      <c r="U854" s="52"/>
    </row>
    <row r="855">
      <c r="M855" s="52"/>
      <c r="N855" s="52"/>
      <c r="O855" s="52"/>
      <c r="P855" s="52"/>
      <c r="Q855" s="52"/>
      <c r="U855" s="52"/>
    </row>
    <row r="856">
      <c r="M856" s="52"/>
      <c r="N856" s="52"/>
      <c r="O856" s="52"/>
      <c r="P856" s="52"/>
      <c r="Q856" s="52"/>
      <c r="U856" s="52"/>
    </row>
    <row r="857">
      <c r="M857" s="52"/>
      <c r="N857" s="52"/>
      <c r="O857" s="52"/>
      <c r="P857" s="52"/>
      <c r="Q857" s="52"/>
      <c r="U857" s="52"/>
    </row>
    <row r="858">
      <c r="M858" s="52"/>
      <c r="N858" s="52"/>
      <c r="O858" s="52"/>
      <c r="P858" s="52"/>
      <c r="Q858" s="52"/>
      <c r="U858" s="52"/>
    </row>
    <row r="859">
      <c r="M859" s="52"/>
      <c r="N859" s="52"/>
      <c r="O859" s="52"/>
      <c r="P859" s="52"/>
      <c r="Q859" s="52"/>
      <c r="U859" s="52"/>
    </row>
    <row r="860">
      <c r="M860" s="52"/>
      <c r="N860" s="52"/>
      <c r="O860" s="52"/>
      <c r="P860" s="52"/>
      <c r="Q860" s="52"/>
      <c r="U860" s="52"/>
    </row>
    <row r="861">
      <c r="M861" s="52"/>
      <c r="N861" s="52"/>
      <c r="O861" s="52"/>
      <c r="P861" s="52"/>
      <c r="Q861" s="52"/>
      <c r="U861" s="52"/>
    </row>
    <row r="862">
      <c r="M862" s="52"/>
      <c r="N862" s="52"/>
      <c r="O862" s="52"/>
      <c r="P862" s="52"/>
      <c r="Q862" s="52"/>
      <c r="U862" s="52"/>
    </row>
    <row r="863">
      <c r="M863" s="52"/>
      <c r="N863" s="52"/>
      <c r="O863" s="52"/>
      <c r="P863" s="52"/>
      <c r="Q863" s="52"/>
      <c r="U863" s="52"/>
    </row>
    <row r="864">
      <c r="M864" s="52"/>
      <c r="N864" s="52"/>
      <c r="O864" s="52"/>
      <c r="P864" s="52"/>
      <c r="Q864" s="52"/>
      <c r="U864" s="52"/>
    </row>
    <row r="865">
      <c r="M865" s="52"/>
      <c r="N865" s="52"/>
      <c r="O865" s="52"/>
      <c r="P865" s="52"/>
      <c r="Q865" s="52"/>
      <c r="U865" s="52"/>
    </row>
    <row r="866">
      <c r="M866" s="52"/>
      <c r="N866" s="52"/>
      <c r="O866" s="52"/>
      <c r="P866" s="52"/>
      <c r="Q866" s="52"/>
      <c r="U866" s="52"/>
    </row>
    <row r="867">
      <c r="M867" s="52"/>
      <c r="N867" s="52"/>
      <c r="O867" s="52"/>
      <c r="P867" s="52"/>
      <c r="Q867" s="52"/>
      <c r="U867" s="52"/>
    </row>
    <row r="868">
      <c r="M868" s="52"/>
      <c r="N868" s="52"/>
      <c r="O868" s="52"/>
      <c r="P868" s="52"/>
      <c r="Q868" s="52"/>
      <c r="U868" s="52"/>
    </row>
    <row r="869">
      <c r="M869" s="52"/>
      <c r="N869" s="52"/>
      <c r="O869" s="52"/>
      <c r="P869" s="52"/>
      <c r="Q869" s="52"/>
      <c r="U869" s="52"/>
    </row>
    <row r="870">
      <c r="M870" s="52"/>
      <c r="N870" s="52"/>
      <c r="O870" s="52"/>
      <c r="P870" s="52"/>
      <c r="Q870" s="52"/>
      <c r="U870" s="52"/>
    </row>
    <row r="871">
      <c r="M871" s="52"/>
      <c r="N871" s="52"/>
      <c r="O871" s="52"/>
      <c r="P871" s="52"/>
      <c r="Q871" s="52"/>
      <c r="U871" s="52"/>
    </row>
    <row r="872">
      <c r="M872" s="52"/>
      <c r="N872" s="52"/>
      <c r="O872" s="52"/>
      <c r="P872" s="52"/>
      <c r="Q872" s="52"/>
      <c r="U872" s="52"/>
    </row>
    <row r="873">
      <c r="M873" s="52"/>
      <c r="N873" s="52"/>
      <c r="O873" s="52"/>
      <c r="P873" s="52"/>
      <c r="Q873" s="52"/>
      <c r="U873" s="52"/>
    </row>
    <row r="874">
      <c r="M874" s="52"/>
      <c r="N874" s="52"/>
      <c r="O874" s="52"/>
      <c r="P874" s="52"/>
      <c r="Q874" s="52"/>
      <c r="U874" s="52"/>
    </row>
    <row r="875">
      <c r="M875" s="52"/>
      <c r="N875" s="52"/>
      <c r="O875" s="52"/>
      <c r="P875" s="52"/>
      <c r="Q875" s="52"/>
      <c r="U875" s="52"/>
    </row>
    <row r="876">
      <c r="M876" s="52"/>
      <c r="N876" s="52"/>
      <c r="O876" s="52"/>
      <c r="P876" s="52"/>
      <c r="Q876" s="52"/>
      <c r="U876" s="52"/>
    </row>
    <row r="877">
      <c r="M877" s="52"/>
      <c r="N877" s="52"/>
      <c r="O877" s="52"/>
      <c r="P877" s="52"/>
      <c r="Q877" s="52"/>
      <c r="U877" s="52"/>
    </row>
    <row r="878">
      <c r="M878" s="52"/>
      <c r="N878" s="52"/>
      <c r="O878" s="52"/>
      <c r="P878" s="52"/>
      <c r="Q878" s="52"/>
      <c r="U878" s="52"/>
    </row>
    <row r="879">
      <c r="M879" s="52"/>
      <c r="N879" s="52"/>
      <c r="O879" s="52"/>
      <c r="P879" s="52"/>
      <c r="Q879" s="52"/>
      <c r="U879" s="52"/>
    </row>
    <row r="880">
      <c r="M880" s="52"/>
      <c r="N880" s="52"/>
      <c r="O880" s="52"/>
      <c r="P880" s="52"/>
      <c r="Q880" s="52"/>
      <c r="U880" s="52"/>
    </row>
    <row r="881">
      <c r="M881" s="52"/>
      <c r="N881" s="52"/>
      <c r="O881" s="52"/>
      <c r="P881" s="52"/>
      <c r="Q881" s="52"/>
      <c r="U881" s="52"/>
    </row>
    <row r="882">
      <c r="M882" s="52"/>
      <c r="N882" s="52"/>
      <c r="O882" s="52"/>
      <c r="P882" s="52"/>
      <c r="Q882" s="52"/>
      <c r="U882" s="52"/>
    </row>
    <row r="883">
      <c r="M883" s="52"/>
      <c r="N883" s="52"/>
      <c r="O883" s="52"/>
      <c r="P883" s="52"/>
      <c r="Q883" s="52"/>
      <c r="U883" s="52"/>
    </row>
    <row r="884">
      <c r="M884" s="52"/>
      <c r="N884" s="52"/>
      <c r="O884" s="52"/>
      <c r="P884" s="52"/>
      <c r="Q884" s="52"/>
      <c r="U884" s="52"/>
    </row>
    <row r="885">
      <c r="M885" s="52"/>
      <c r="N885" s="52"/>
      <c r="O885" s="52"/>
      <c r="P885" s="52"/>
      <c r="Q885" s="52"/>
      <c r="U885" s="52"/>
    </row>
    <row r="886">
      <c r="M886" s="52"/>
      <c r="N886" s="52"/>
      <c r="O886" s="52"/>
      <c r="P886" s="52"/>
      <c r="Q886" s="52"/>
      <c r="U886" s="52"/>
    </row>
    <row r="887">
      <c r="M887" s="52"/>
      <c r="N887" s="52"/>
      <c r="O887" s="52"/>
      <c r="P887" s="52"/>
      <c r="Q887" s="52"/>
      <c r="U887" s="52"/>
    </row>
    <row r="888">
      <c r="M888" s="52"/>
      <c r="N888" s="52"/>
      <c r="O888" s="52"/>
      <c r="P888" s="52"/>
      <c r="Q888" s="52"/>
      <c r="U888" s="52"/>
    </row>
    <row r="889">
      <c r="M889" s="52"/>
      <c r="N889" s="52"/>
      <c r="O889" s="52"/>
      <c r="P889" s="52"/>
      <c r="Q889" s="52"/>
      <c r="U889" s="52"/>
    </row>
    <row r="890">
      <c r="M890" s="52"/>
      <c r="N890" s="52"/>
      <c r="O890" s="52"/>
      <c r="P890" s="52"/>
      <c r="Q890" s="52"/>
      <c r="U890" s="52"/>
    </row>
    <row r="891">
      <c r="M891" s="52"/>
      <c r="N891" s="52"/>
      <c r="O891" s="52"/>
      <c r="P891" s="52"/>
      <c r="Q891" s="52"/>
      <c r="U891" s="52"/>
    </row>
    <row r="892">
      <c r="M892" s="52"/>
      <c r="N892" s="52"/>
      <c r="O892" s="52"/>
      <c r="P892" s="52"/>
      <c r="Q892" s="52"/>
      <c r="U892" s="52"/>
    </row>
    <row r="893">
      <c r="M893" s="52"/>
      <c r="N893" s="52"/>
      <c r="O893" s="52"/>
      <c r="P893" s="52"/>
      <c r="Q893" s="52"/>
      <c r="U893" s="52"/>
    </row>
    <row r="894">
      <c r="M894" s="52"/>
      <c r="N894" s="52"/>
      <c r="O894" s="52"/>
      <c r="P894" s="52"/>
      <c r="Q894" s="52"/>
      <c r="U894" s="52"/>
    </row>
    <row r="895">
      <c r="M895" s="52"/>
      <c r="N895" s="52"/>
      <c r="O895" s="52"/>
      <c r="P895" s="52"/>
      <c r="Q895" s="52"/>
      <c r="U895" s="52"/>
    </row>
    <row r="896">
      <c r="M896" s="52"/>
      <c r="N896" s="52"/>
      <c r="O896" s="52"/>
      <c r="P896" s="52"/>
      <c r="Q896" s="52"/>
      <c r="U896" s="52"/>
    </row>
    <row r="897">
      <c r="M897" s="52"/>
      <c r="N897" s="52"/>
      <c r="O897" s="52"/>
      <c r="P897" s="52"/>
      <c r="Q897" s="52"/>
      <c r="U897" s="52"/>
    </row>
    <row r="898">
      <c r="M898" s="52"/>
      <c r="N898" s="52"/>
      <c r="O898" s="52"/>
      <c r="P898" s="52"/>
      <c r="Q898" s="52"/>
      <c r="U898" s="52"/>
    </row>
    <row r="899">
      <c r="M899" s="52"/>
      <c r="N899" s="52"/>
      <c r="O899" s="52"/>
      <c r="P899" s="52"/>
      <c r="Q899" s="52"/>
      <c r="U899" s="52"/>
    </row>
    <row r="900">
      <c r="M900" s="52"/>
      <c r="N900" s="52"/>
      <c r="O900" s="52"/>
      <c r="P900" s="52"/>
      <c r="Q900" s="52"/>
      <c r="U900" s="52"/>
    </row>
    <row r="901">
      <c r="M901" s="52"/>
      <c r="N901" s="52"/>
      <c r="O901" s="52"/>
      <c r="P901" s="52"/>
      <c r="Q901" s="52"/>
      <c r="U901" s="52"/>
    </row>
    <row r="902">
      <c r="M902" s="52"/>
      <c r="N902" s="52"/>
      <c r="O902" s="52"/>
      <c r="P902" s="52"/>
      <c r="Q902" s="52"/>
      <c r="U902" s="52"/>
    </row>
    <row r="903">
      <c r="M903" s="52"/>
      <c r="N903" s="52"/>
      <c r="O903" s="52"/>
      <c r="P903" s="52"/>
      <c r="Q903" s="52"/>
      <c r="U903" s="52"/>
    </row>
    <row r="904">
      <c r="M904" s="52"/>
      <c r="N904" s="52"/>
      <c r="O904" s="52"/>
      <c r="P904" s="52"/>
      <c r="Q904" s="52"/>
      <c r="U904" s="52"/>
    </row>
    <row r="905">
      <c r="M905" s="52"/>
      <c r="N905" s="52"/>
      <c r="O905" s="52"/>
      <c r="P905" s="52"/>
      <c r="Q905" s="52"/>
      <c r="U905" s="52"/>
    </row>
    <row r="906">
      <c r="M906" s="52"/>
      <c r="N906" s="52"/>
      <c r="O906" s="52"/>
      <c r="P906" s="52"/>
      <c r="Q906" s="52"/>
      <c r="U906" s="52"/>
    </row>
    <row r="907">
      <c r="M907" s="52"/>
      <c r="N907" s="52"/>
      <c r="O907" s="52"/>
      <c r="P907" s="52"/>
      <c r="Q907" s="52"/>
      <c r="U907" s="52"/>
    </row>
    <row r="908">
      <c r="M908" s="52"/>
      <c r="N908" s="52"/>
      <c r="O908" s="52"/>
      <c r="P908" s="52"/>
      <c r="Q908" s="52"/>
      <c r="U908" s="52"/>
    </row>
    <row r="909">
      <c r="M909" s="52"/>
      <c r="N909" s="52"/>
      <c r="O909" s="52"/>
      <c r="P909" s="52"/>
      <c r="Q909" s="52"/>
      <c r="U909" s="52"/>
    </row>
    <row r="910">
      <c r="M910" s="52"/>
      <c r="N910" s="52"/>
      <c r="O910" s="52"/>
      <c r="P910" s="52"/>
      <c r="Q910" s="52"/>
      <c r="U910" s="52"/>
    </row>
    <row r="911">
      <c r="M911" s="52"/>
      <c r="N911" s="52"/>
      <c r="O911" s="52"/>
      <c r="P911" s="52"/>
      <c r="Q911" s="52"/>
      <c r="U911" s="52"/>
    </row>
    <row r="912">
      <c r="M912" s="52"/>
      <c r="N912" s="52"/>
      <c r="O912" s="52"/>
      <c r="P912" s="52"/>
      <c r="Q912" s="52"/>
      <c r="U912" s="52"/>
    </row>
    <row r="913">
      <c r="M913" s="52"/>
      <c r="N913" s="52"/>
      <c r="O913" s="52"/>
      <c r="P913" s="52"/>
      <c r="Q913" s="52"/>
      <c r="U913" s="52"/>
    </row>
    <row r="914">
      <c r="M914" s="52"/>
      <c r="N914" s="52"/>
      <c r="O914" s="52"/>
      <c r="P914" s="52"/>
      <c r="Q914" s="52"/>
      <c r="U914" s="52"/>
    </row>
    <row r="915">
      <c r="M915" s="52"/>
      <c r="N915" s="52"/>
      <c r="O915" s="52"/>
      <c r="P915" s="52"/>
      <c r="Q915" s="52"/>
      <c r="U915" s="52"/>
    </row>
    <row r="916">
      <c r="M916" s="52"/>
      <c r="N916" s="52"/>
      <c r="O916" s="52"/>
      <c r="P916" s="52"/>
      <c r="Q916" s="52"/>
      <c r="U916" s="52"/>
    </row>
    <row r="917">
      <c r="M917" s="52"/>
      <c r="N917" s="52"/>
      <c r="O917" s="52"/>
      <c r="P917" s="52"/>
      <c r="Q917" s="52"/>
      <c r="U917" s="52"/>
    </row>
    <row r="918">
      <c r="M918" s="52"/>
      <c r="N918" s="52"/>
      <c r="O918" s="52"/>
      <c r="P918" s="52"/>
      <c r="Q918" s="52"/>
      <c r="U918" s="52"/>
    </row>
    <row r="919">
      <c r="M919" s="52"/>
      <c r="N919" s="52"/>
      <c r="O919" s="52"/>
      <c r="P919" s="52"/>
      <c r="Q919" s="52"/>
      <c r="U919" s="52"/>
    </row>
    <row r="920">
      <c r="M920" s="52"/>
      <c r="N920" s="52"/>
      <c r="O920" s="52"/>
      <c r="P920" s="52"/>
      <c r="Q920" s="52"/>
      <c r="U920" s="52"/>
    </row>
    <row r="921">
      <c r="M921" s="52"/>
      <c r="N921" s="52"/>
      <c r="O921" s="52"/>
      <c r="P921" s="52"/>
      <c r="Q921" s="52"/>
      <c r="U921" s="52"/>
    </row>
    <row r="922">
      <c r="M922" s="52"/>
      <c r="N922" s="52"/>
      <c r="O922" s="52"/>
      <c r="P922" s="52"/>
      <c r="Q922" s="52"/>
      <c r="U922" s="52"/>
    </row>
    <row r="923">
      <c r="M923" s="52"/>
      <c r="N923" s="52"/>
      <c r="O923" s="52"/>
      <c r="P923" s="52"/>
      <c r="Q923" s="52"/>
      <c r="U923" s="52"/>
    </row>
    <row r="924">
      <c r="M924" s="52"/>
      <c r="N924" s="52"/>
      <c r="O924" s="52"/>
      <c r="P924" s="52"/>
      <c r="Q924" s="52"/>
      <c r="U924" s="52"/>
    </row>
    <row r="925">
      <c r="M925" s="52"/>
      <c r="N925" s="52"/>
      <c r="O925" s="52"/>
      <c r="P925" s="52"/>
      <c r="Q925" s="52"/>
      <c r="U925" s="52"/>
    </row>
    <row r="926">
      <c r="M926" s="52"/>
      <c r="N926" s="52"/>
      <c r="O926" s="52"/>
      <c r="P926" s="52"/>
      <c r="Q926" s="52"/>
      <c r="U926" s="52"/>
    </row>
    <row r="927">
      <c r="M927" s="52"/>
      <c r="N927" s="52"/>
      <c r="O927" s="52"/>
      <c r="P927" s="52"/>
      <c r="Q927" s="52"/>
      <c r="U927" s="52"/>
    </row>
    <row r="928">
      <c r="M928" s="52"/>
      <c r="N928" s="52"/>
      <c r="O928" s="52"/>
      <c r="P928" s="52"/>
      <c r="Q928" s="52"/>
      <c r="U928" s="52"/>
    </row>
    <row r="929">
      <c r="M929" s="52"/>
      <c r="N929" s="52"/>
      <c r="O929" s="52"/>
      <c r="P929" s="52"/>
      <c r="Q929" s="52"/>
      <c r="U929" s="52"/>
    </row>
    <row r="930">
      <c r="M930" s="52"/>
      <c r="N930" s="52"/>
      <c r="O930" s="52"/>
      <c r="P930" s="52"/>
      <c r="Q930" s="52"/>
      <c r="U930" s="52"/>
    </row>
    <row r="931">
      <c r="M931" s="52"/>
      <c r="N931" s="52"/>
      <c r="O931" s="52"/>
      <c r="P931" s="52"/>
      <c r="Q931" s="52"/>
      <c r="U931" s="52"/>
    </row>
    <row r="932">
      <c r="M932" s="52"/>
      <c r="N932" s="52"/>
      <c r="O932" s="52"/>
      <c r="P932" s="52"/>
      <c r="Q932" s="52"/>
      <c r="U932" s="52"/>
    </row>
    <row r="933">
      <c r="M933" s="52"/>
      <c r="N933" s="52"/>
      <c r="O933" s="52"/>
      <c r="P933" s="52"/>
      <c r="Q933" s="52"/>
      <c r="U933" s="52"/>
    </row>
    <row r="934">
      <c r="M934" s="52"/>
      <c r="N934" s="52"/>
      <c r="O934" s="52"/>
      <c r="P934" s="52"/>
      <c r="Q934" s="52"/>
      <c r="U934" s="52"/>
    </row>
    <row r="935">
      <c r="M935" s="52"/>
      <c r="N935" s="52"/>
      <c r="O935" s="52"/>
      <c r="P935" s="52"/>
      <c r="Q935" s="52"/>
      <c r="U935" s="52"/>
    </row>
    <row r="936">
      <c r="M936" s="52"/>
      <c r="N936" s="52"/>
      <c r="O936" s="52"/>
      <c r="P936" s="52"/>
      <c r="Q936" s="52"/>
      <c r="U936" s="52"/>
    </row>
    <row r="937">
      <c r="M937" s="52"/>
      <c r="N937" s="52"/>
      <c r="O937" s="52"/>
      <c r="P937" s="52"/>
      <c r="Q937" s="52"/>
      <c r="U937" s="52"/>
    </row>
    <row r="938">
      <c r="M938" s="52"/>
      <c r="N938" s="52"/>
      <c r="O938" s="52"/>
      <c r="P938" s="52"/>
      <c r="Q938" s="52"/>
      <c r="U938" s="52"/>
    </row>
    <row r="939">
      <c r="M939" s="52"/>
      <c r="N939" s="52"/>
      <c r="O939" s="52"/>
      <c r="P939" s="52"/>
      <c r="Q939" s="52"/>
      <c r="U939" s="52"/>
    </row>
    <row r="940">
      <c r="M940" s="52"/>
      <c r="N940" s="52"/>
      <c r="O940" s="52"/>
      <c r="P940" s="52"/>
      <c r="Q940" s="52"/>
      <c r="U940" s="52"/>
    </row>
    <row r="941">
      <c r="M941" s="52"/>
      <c r="N941" s="52"/>
      <c r="O941" s="52"/>
      <c r="P941" s="52"/>
      <c r="Q941" s="52"/>
      <c r="U941" s="52"/>
    </row>
    <row r="942">
      <c r="M942" s="52"/>
      <c r="N942" s="52"/>
      <c r="O942" s="52"/>
      <c r="P942" s="52"/>
      <c r="Q942" s="52"/>
      <c r="U942" s="52"/>
    </row>
    <row r="943">
      <c r="M943" s="52"/>
      <c r="N943" s="52"/>
      <c r="O943" s="52"/>
      <c r="P943" s="52"/>
      <c r="Q943" s="52"/>
      <c r="U943" s="52"/>
    </row>
    <row r="944">
      <c r="M944" s="52"/>
      <c r="N944" s="52"/>
      <c r="O944" s="52"/>
      <c r="P944" s="52"/>
      <c r="Q944" s="52"/>
      <c r="U944" s="52"/>
    </row>
    <row r="945">
      <c r="M945" s="52"/>
      <c r="N945" s="52"/>
      <c r="O945" s="52"/>
      <c r="P945" s="52"/>
      <c r="Q945" s="52"/>
      <c r="U945" s="52"/>
    </row>
    <row r="946">
      <c r="M946" s="52"/>
      <c r="N946" s="52"/>
      <c r="O946" s="52"/>
      <c r="P946" s="52"/>
      <c r="Q946" s="52"/>
      <c r="U946" s="52"/>
    </row>
    <row r="947">
      <c r="M947" s="52"/>
      <c r="N947" s="52"/>
      <c r="O947" s="52"/>
      <c r="P947" s="52"/>
      <c r="Q947" s="52"/>
      <c r="U947" s="52"/>
    </row>
    <row r="948">
      <c r="M948" s="52"/>
      <c r="N948" s="52"/>
      <c r="O948" s="52"/>
      <c r="P948" s="52"/>
      <c r="Q948" s="52"/>
      <c r="U948" s="52"/>
    </row>
    <row r="949">
      <c r="M949" s="52"/>
      <c r="N949" s="52"/>
      <c r="O949" s="52"/>
      <c r="P949" s="52"/>
      <c r="Q949" s="52"/>
      <c r="U949" s="52"/>
    </row>
    <row r="950">
      <c r="M950" s="52"/>
      <c r="N950" s="52"/>
      <c r="O950" s="52"/>
      <c r="P950" s="52"/>
      <c r="Q950" s="52"/>
      <c r="U950" s="52"/>
    </row>
    <row r="951">
      <c r="M951" s="52"/>
      <c r="N951" s="52"/>
      <c r="O951" s="52"/>
      <c r="P951" s="52"/>
      <c r="Q951" s="52"/>
      <c r="U951" s="52"/>
    </row>
    <row r="952">
      <c r="M952" s="52"/>
      <c r="N952" s="52"/>
      <c r="O952" s="52"/>
      <c r="P952" s="52"/>
      <c r="Q952" s="52"/>
      <c r="U952" s="52"/>
    </row>
    <row r="953">
      <c r="M953" s="52"/>
      <c r="N953" s="52"/>
      <c r="O953" s="52"/>
      <c r="P953" s="52"/>
      <c r="Q953" s="52"/>
      <c r="U953" s="52"/>
    </row>
    <row r="954">
      <c r="M954" s="52"/>
      <c r="N954" s="52"/>
      <c r="O954" s="52"/>
      <c r="P954" s="52"/>
      <c r="Q954" s="52"/>
      <c r="U954" s="52"/>
    </row>
    <row r="955">
      <c r="M955" s="52"/>
      <c r="N955" s="52"/>
      <c r="O955" s="52"/>
      <c r="P955" s="52"/>
      <c r="Q955" s="52"/>
      <c r="U955" s="52"/>
    </row>
    <row r="956">
      <c r="M956" s="52"/>
      <c r="N956" s="52"/>
      <c r="O956" s="52"/>
      <c r="P956" s="52"/>
      <c r="Q956" s="52"/>
      <c r="U956" s="52"/>
    </row>
    <row r="957">
      <c r="M957" s="52"/>
      <c r="N957" s="52"/>
      <c r="O957" s="52"/>
      <c r="P957" s="52"/>
      <c r="Q957" s="52"/>
      <c r="U957" s="52"/>
    </row>
    <row r="958">
      <c r="M958" s="52"/>
      <c r="N958" s="52"/>
      <c r="O958" s="52"/>
      <c r="P958" s="52"/>
      <c r="Q958" s="52"/>
      <c r="U958" s="52"/>
    </row>
    <row r="959">
      <c r="M959" s="52"/>
      <c r="N959" s="52"/>
      <c r="O959" s="52"/>
      <c r="P959" s="52"/>
      <c r="Q959" s="52"/>
      <c r="U959" s="52"/>
    </row>
    <row r="960">
      <c r="M960" s="52"/>
      <c r="N960" s="52"/>
      <c r="O960" s="52"/>
      <c r="P960" s="52"/>
      <c r="Q960" s="52"/>
      <c r="U960" s="52"/>
    </row>
    <row r="961">
      <c r="M961" s="52"/>
      <c r="N961" s="52"/>
      <c r="O961" s="52"/>
      <c r="P961" s="52"/>
      <c r="Q961" s="52"/>
      <c r="U961" s="52"/>
    </row>
    <row r="962">
      <c r="M962" s="52"/>
      <c r="N962" s="52"/>
      <c r="O962" s="52"/>
      <c r="P962" s="52"/>
      <c r="Q962" s="52"/>
      <c r="U962" s="52"/>
    </row>
    <row r="963">
      <c r="M963" s="52"/>
      <c r="N963" s="52"/>
      <c r="O963" s="52"/>
      <c r="P963" s="52"/>
      <c r="Q963" s="52"/>
      <c r="U963" s="52"/>
    </row>
    <row r="964">
      <c r="M964" s="52"/>
      <c r="N964" s="52"/>
      <c r="O964" s="52"/>
      <c r="P964" s="52"/>
      <c r="Q964" s="52"/>
      <c r="U964" s="52"/>
    </row>
    <row r="965">
      <c r="M965" s="52"/>
      <c r="N965" s="52"/>
      <c r="O965" s="52"/>
      <c r="P965" s="52"/>
      <c r="Q965" s="52"/>
      <c r="U965" s="52"/>
    </row>
    <row r="966">
      <c r="M966" s="52"/>
      <c r="N966" s="52"/>
      <c r="O966" s="52"/>
      <c r="P966" s="52"/>
      <c r="Q966" s="52"/>
      <c r="U966" s="52"/>
    </row>
    <row r="967">
      <c r="M967" s="52"/>
      <c r="N967" s="52"/>
      <c r="O967" s="52"/>
      <c r="P967" s="52"/>
      <c r="Q967" s="52"/>
      <c r="U967" s="52"/>
    </row>
    <row r="968">
      <c r="M968" s="52"/>
      <c r="N968" s="52"/>
      <c r="O968" s="52"/>
      <c r="P968" s="52"/>
      <c r="Q968" s="52"/>
      <c r="U968" s="52"/>
    </row>
    <row r="969">
      <c r="M969" s="52"/>
      <c r="N969" s="52"/>
      <c r="O969" s="52"/>
      <c r="P969" s="52"/>
      <c r="Q969" s="52"/>
      <c r="U969" s="52"/>
    </row>
    <row r="970">
      <c r="M970" s="52"/>
      <c r="N970" s="52"/>
      <c r="O970" s="52"/>
      <c r="P970" s="52"/>
      <c r="Q970" s="52"/>
      <c r="U970" s="52"/>
    </row>
    <row r="971">
      <c r="M971" s="52"/>
      <c r="N971" s="52"/>
      <c r="O971" s="52"/>
      <c r="P971" s="52"/>
      <c r="Q971" s="52"/>
      <c r="U971" s="52"/>
    </row>
    <row r="972">
      <c r="M972" s="52"/>
      <c r="N972" s="52"/>
      <c r="O972" s="52"/>
      <c r="P972" s="52"/>
      <c r="Q972" s="52"/>
      <c r="U972" s="52"/>
    </row>
    <row r="973">
      <c r="M973" s="52"/>
      <c r="N973" s="52"/>
      <c r="O973" s="52"/>
      <c r="P973" s="52"/>
      <c r="Q973" s="52"/>
      <c r="U973" s="52"/>
    </row>
    <row r="974">
      <c r="M974" s="52"/>
      <c r="N974" s="52"/>
      <c r="O974" s="52"/>
      <c r="P974" s="52"/>
      <c r="Q974" s="52"/>
      <c r="U974" s="52"/>
    </row>
    <row r="975">
      <c r="M975" s="52"/>
      <c r="N975" s="52"/>
      <c r="O975" s="52"/>
      <c r="P975" s="52"/>
      <c r="Q975" s="52"/>
      <c r="U975" s="52"/>
    </row>
    <row r="976">
      <c r="M976" s="52"/>
      <c r="N976" s="52"/>
      <c r="O976" s="52"/>
      <c r="P976" s="52"/>
      <c r="Q976" s="52"/>
      <c r="U976" s="52"/>
    </row>
    <row r="977">
      <c r="M977" s="52"/>
      <c r="N977" s="52"/>
      <c r="O977" s="52"/>
      <c r="P977" s="52"/>
      <c r="Q977" s="52"/>
      <c r="U977" s="52"/>
    </row>
    <row r="978">
      <c r="M978" s="52"/>
      <c r="N978" s="52"/>
      <c r="O978" s="52"/>
      <c r="P978" s="52"/>
      <c r="Q978" s="52"/>
      <c r="U978" s="52"/>
    </row>
    <row r="979">
      <c r="M979" s="52"/>
      <c r="N979" s="52"/>
      <c r="O979" s="52"/>
      <c r="P979" s="52"/>
      <c r="Q979" s="52"/>
      <c r="U979" s="52"/>
    </row>
    <row r="980">
      <c r="M980" s="52"/>
      <c r="N980" s="52"/>
      <c r="O980" s="52"/>
      <c r="P980" s="52"/>
      <c r="Q980" s="52"/>
      <c r="U980" s="52"/>
    </row>
    <row r="981">
      <c r="M981" s="52"/>
      <c r="N981" s="52"/>
      <c r="O981" s="52"/>
      <c r="P981" s="52"/>
      <c r="Q981" s="52"/>
      <c r="U981" s="52"/>
    </row>
    <row r="982">
      <c r="M982" s="52"/>
      <c r="N982" s="52"/>
      <c r="O982" s="52"/>
      <c r="P982" s="52"/>
      <c r="Q982" s="52"/>
      <c r="U982" s="52"/>
    </row>
    <row r="983">
      <c r="M983" s="52"/>
      <c r="N983" s="52"/>
      <c r="O983" s="52"/>
      <c r="P983" s="52"/>
      <c r="Q983" s="52"/>
      <c r="U983" s="52"/>
    </row>
    <row r="984">
      <c r="M984" s="52"/>
      <c r="N984" s="52"/>
      <c r="O984" s="52"/>
      <c r="P984" s="52"/>
      <c r="Q984" s="52"/>
      <c r="U984" s="52"/>
    </row>
    <row r="985">
      <c r="M985" s="52"/>
      <c r="N985" s="52"/>
      <c r="O985" s="52"/>
      <c r="P985" s="52"/>
      <c r="Q985" s="52"/>
      <c r="U985" s="52"/>
    </row>
    <row r="986">
      <c r="M986" s="52"/>
      <c r="N986" s="52"/>
      <c r="O986" s="52"/>
      <c r="P986" s="52"/>
      <c r="Q986" s="52"/>
      <c r="U986" s="52"/>
    </row>
    <row r="987">
      <c r="M987" s="52"/>
      <c r="N987" s="52"/>
      <c r="O987" s="52"/>
      <c r="P987" s="52"/>
      <c r="Q987" s="52"/>
      <c r="U987" s="52"/>
    </row>
    <row r="988">
      <c r="M988" s="52"/>
      <c r="N988" s="52"/>
      <c r="O988" s="52"/>
      <c r="P988" s="52"/>
      <c r="Q988" s="52"/>
      <c r="U988" s="52"/>
    </row>
    <row r="989">
      <c r="M989" s="52"/>
      <c r="N989" s="52"/>
      <c r="O989" s="52"/>
      <c r="P989" s="52"/>
      <c r="Q989" s="52"/>
      <c r="U989" s="52"/>
    </row>
    <row r="990">
      <c r="M990" s="52"/>
      <c r="N990" s="52"/>
      <c r="O990" s="52"/>
      <c r="P990" s="52"/>
      <c r="Q990" s="52"/>
      <c r="U990" s="52"/>
    </row>
    <row r="991">
      <c r="M991" s="52"/>
      <c r="N991" s="52"/>
      <c r="O991" s="52"/>
      <c r="P991" s="52"/>
      <c r="Q991" s="52"/>
      <c r="U991" s="52"/>
    </row>
    <row r="992">
      <c r="M992" s="52"/>
      <c r="N992" s="52"/>
      <c r="O992" s="52"/>
      <c r="P992" s="52"/>
      <c r="Q992" s="52"/>
      <c r="U992" s="52"/>
    </row>
    <row r="993">
      <c r="M993" s="52"/>
      <c r="N993" s="52"/>
      <c r="O993" s="52"/>
      <c r="P993" s="52"/>
      <c r="Q993" s="52"/>
      <c r="U993" s="52"/>
    </row>
    <row r="994">
      <c r="M994" s="52"/>
      <c r="N994" s="52"/>
      <c r="O994" s="52"/>
      <c r="P994" s="52"/>
      <c r="Q994" s="52"/>
      <c r="U994" s="52"/>
    </row>
    <row r="995">
      <c r="M995" s="52"/>
      <c r="N995" s="52"/>
      <c r="O995" s="52"/>
      <c r="P995" s="52"/>
      <c r="Q995" s="52"/>
      <c r="U995" s="52"/>
    </row>
    <row r="996">
      <c r="M996" s="52"/>
      <c r="N996" s="52"/>
      <c r="O996" s="52"/>
      <c r="P996" s="52"/>
      <c r="Q996" s="52"/>
      <c r="U996" s="52"/>
    </row>
    <row r="997">
      <c r="M997" s="52"/>
      <c r="N997" s="52"/>
      <c r="O997" s="52"/>
      <c r="P997" s="52"/>
      <c r="Q997" s="52"/>
      <c r="U997" s="52"/>
    </row>
    <row r="998">
      <c r="M998" s="52"/>
      <c r="N998" s="52"/>
      <c r="O998" s="52"/>
      <c r="P998" s="52"/>
      <c r="Q998" s="52"/>
      <c r="U998" s="52"/>
    </row>
    <row r="999">
      <c r="M999" s="52"/>
      <c r="N999" s="52"/>
      <c r="O999" s="52"/>
      <c r="P999" s="52"/>
      <c r="Q999" s="52"/>
      <c r="U999" s="52"/>
    </row>
    <row r="1000">
      <c r="M1000" s="52"/>
      <c r="N1000" s="52"/>
      <c r="O1000" s="52"/>
      <c r="P1000" s="52"/>
      <c r="Q1000" s="52"/>
      <c r="U1000" s="52"/>
    </row>
  </sheetData>
  <mergeCells count="7">
    <mergeCell ref="A1:A2"/>
    <mergeCell ref="B1:B2"/>
    <mergeCell ref="C1:G1"/>
    <mergeCell ref="H1:I1"/>
    <mergeCell ref="J1:J2"/>
    <mergeCell ref="K1:O1"/>
    <mergeCell ref="P1:U1"/>
  </mergeCells>
  <conditionalFormatting sqref="N3:N9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G3:G9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3:H9">
    <cfRule type="colorScale" priority="3">
      <colorScale>
        <cfvo type="formula" val="0"/>
        <cfvo type="max"/>
        <color rgb="FFFFFFFF"/>
        <color rgb="FF57BB8A"/>
      </colorScale>
    </cfRule>
  </conditionalFormatting>
  <conditionalFormatting sqref="I3:I9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J3:J9">
    <cfRule type="colorScale" priority="5">
      <colorScale>
        <cfvo type="formula" val="0"/>
        <cfvo type="max"/>
        <color rgb="FFFFFFFF"/>
        <color rgb="FF57BB8A"/>
      </colorScale>
    </cfRule>
  </conditionalFormatting>
  <conditionalFormatting sqref="K3:K9">
    <cfRule type="colorScale" priority="6">
      <colorScale>
        <cfvo type="formula" val="0"/>
        <cfvo type="max"/>
        <color rgb="FFFFFFFF"/>
        <color rgb="FF57BB8A"/>
      </colorScale>
    </cfRule>
  </conditionalFormatting>
  <conditionalFormatting sqref="L3:L9">
    <cfRule type="colorScale" priority="7">
      <colorScale>
        <cfvo type="formula" val="0"/>
        <cfvo type="max"/>
        <color rgb="FFFFFFFF"/>
        <color rgb="FFE67C73"/>
      </colorScale>
    </cfRule>
  </conditionalFormatting>
  <conditionalFormatting sqref="C3:C9">
    <cfRule type="colorScale" priority="8">
      <colorScale>
        <cfvo type="formula" val="0"/>
        <cfvo type="max"/>
        <color rgb="FFFFFFFF"/>
        <color rgb="FFFFD666"/>
      </colorScale>
    </cfRule>
  </conditionalFormatting>
  <conditionalFormatting sqref="D3:D9">
    <cfRule type="colorScale" priority="9">
      <colorScale>
        <cfvo type="formula" val="0"/>
        <cfvo type="max"/>
        <color rgb="FFFFFFFF"/>
        <color rgb="FF57BB8A"/>
      </colorScale>
    </cfRule>
  </conditionalFormatting>
  <conditionalFormatting sqref="E3:E9">
    <cfRule type="colorScale" priority="10">
      <colorScale>
        <cfvo type="formula" val="0"/>
        <cfvo type="max"/>
        <color rgb="FFFFFFFF"/>
        <color rgb="FFE67C73"/>
      </colorScale>
    </cfRule>
  </conditionalFormatting>
  <conditionalFormatting sqref="F3:F9">
    <cfRule type="colorScale" priority="11">
      <colorScale>
        <cfvo type="formula" val="0"/>
        <cfvo type="max"/>
        <color rgb="FFFFFFFF"/>
        <color rgb="FF57BB8A"/>
      </colorScale>
    </cfRule>
  </conditionalFormatting>
  <conditionalFormatting sqref="M3:M9">
    <cfRule type="colorScale" priority="12">
      <colorScale>
        <cfvo type="formula" val="0"/>
        <cfvo type="max"/>
        <color rgb="FFFFFFFF"/>
        <color rgb="FFFFD666"/>
      </colorScale>
    </cfRule>
  </conditionalFormatting>
  <conditionalFormatting sqref="O3:O9">
    <cfRule type="colorScale" priority="13">
      <colorScale>
        <cfvo type="formula" val="0"/>
        <cfvo type="formula" val="1"/>
        <color rgb="FFFFFFFF"/>
        <color rgb="FF57BB8A"/>
      </colorScale>
    </cfRule>
  </conditionalFormatting>
  <conditionalFormatting sqref="P3:P9">
    <cfRule type="colorScale" priority="14">
      <colorScale>
        <cfvo type="formula" val="0"/>
        <cfvo type="max"/>
        <color rgb="FFFFFFFF"/>
        <color rgb="FFFFD666"/>
      </colorScale>
    </cfRule>
  </conditionalFormatting>
  <conditionalFormatting sqref="U3:U9">
    <cfRule type="colorScale" priority="15">
      <colorScale>
        <cfvo type="formula" val="0"/>
        <cfvo type="formula" val="2"/>
        <cfvo type="formula" val="3"/>
        <color rgb="FFE67C73"/>
        <color rgb="FFFFFFFF"/>
        <color rgb="FF57BB8A"/>
      </colorScale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7.63"/>
    <col customWidth="1" min="4" max="4" width="5.63"/>
    <col customWidth="1" min="5" max="5" width="6.88"/>
    <col customWidth="1" min="6" max="6" width="8.38"/>
    <col customWidth="1" min="7" max="7" width="15.5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1" t="s">
        <v>4</v>
      </c>
      <c r="K1" s="6" t="s">
        <v>5</v>
      </c>
      <c r="L1" s="4"/>
      <c r="M1" s="4"/>
      <c r="N1" s="4"/>
      <c r="O1" s="5"/>
      <c r="P1" s="30" t="s">
        <v>6</v>
      </c>
      <c r="Q1" s="4"/>
      <c r="R1" s="4"/>
      <c r="S1" s="4"/>
      <c r="T1" s="4"/>
      <c r="U1" s="5"/>
    </row>
    <row r="2">
      <c r="A2" s="9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2" t="s">
        <v>13</v>
      </c>
      <c r="I2" s="12" t="s">
        <v>14</v>
      </c>
      <c r="J2" s="9"/>
      <c r="K2" s="10" t="s">
        <v>15</v>
      </c>
      <c r="L2" s="12" t="s">
        <v>10</v>
      </c>
      <c r="M2" s="10" t="s">
        <v>16</v>
      </c>
      <c r="N2" s="10" t="s">
        <v>12</v>
      </c>
      <c r="O2" s="10" t="s">
        <v>18</v>
      </c>
      <c r="P2" s="15" t="s">
        <v>8</v>
      </c>
      <c r="Q2" s="15">
        <v>0.0</v>
      </c>
      <c r="R2" s="15">
        <v>1.0</v>
      </c>
      <c r="S2" s="15">
        <v>2.0</v>
      </c>
      <c r="T2" s="15">
        <v>3.0</v>
      </c>
      <c r="U2" s="15" t="s">
        <v>19</v>
      </c>
    </row>
    <row r="3">
      <c r="A3" s="18" t="s">
        <v>21</v>
      </c>
      <c r="B3" s="18" t="s">
        <v>39</v>
      </c>
      <c r="C3" s="10"/>
      <c r="D3" s="10"/>
      <c r="E3" s="10"/>
      <c r="F3" s="35"/>
      <c r="G3" s="35" t="str">
        <f t="shared" ref="G3:G9" si="1">IFS(C3=0, "N/A", C3&lt;&gt;0,(D3-E3)/C3 )</f>
        <v>N/A</v>
      </c>
      <c r="H3" s="35"/>
      <c r="I3" s="10"/>
      <c r="J3" s="10">
        <v>2.0</v>
      </c>
      <c r="K3" s="35"/>
      <c r="L3" s="10"/>
      <c r="M3" s="10"/>
      <c r="N3" s="35" t="str">
        <f t="shared" ref="N3:N9" si="2">ifs(M3=0,"N/A",M3&lt;&gt;0,(M3-L3) /M3)</f>
        <v>N/A</v>
      </c>
      <c r="O3" s="35" t="str">
        <f t="shared" ref="O3:O9" si="3">IFS(M3=0, "N/A", M3&lt;&gt;0, K3/M3)</f>
        <v>N/A</v>
      </c>
      <c r="P3" s="10">
        <f t="shared" ref="P3:P9" si="4">sum(Q3,R3,S3,T3)</f>
        <v>2</v>
      </c>
      <c r="Q3" s="10">
        <v>1.0</v>
      </c>
      <c r="R3" s="10"/>
      <c r="S3" s="10"/>
      <c r="T3" s="10">
        <v>1.0</v>
      </c>
      <c r="U3" s="10">
        <f t="shared" ref="U3:U9" si="5">ifs(P3=0, "N/A",P3&lt;&gt;0,(R3 + S3*2 +T3*3)/P3)</f>
        <v>1.5</v>
      </c>
    </row>
    <row r="4">
      <c r="A4" s="21" t="s">
        <v>24</v>
      </c>
      <c r="B4" s="21" t="s">
        <v>45</v>
      </c>
      <c r="C4" s="10">
        <v>5.0</v>
      </c>
      <c r="D4" s="10"/>
      <c r="E4" s="10">
        <v>2.0</v>
      </c>
      <c r="F4" s="10"/>
      <c r="G4" s="35">
        <f t="shared" si="1"/>
        <v>-0.4</v>
      </c>
      <c r="H4" s="10"/>
      <c r="I4" s="10"/>
      <c r="J4" s="10">
        <v>3.0</v>
      </c>
      <c r="K4" s="10">
        <v>1.0</v>
      </c>
      <c r="L4" s="10"/>
      <c r="M4" s="10">
        <v>7.0</v>
      </c>
      <c r="N4" s="35">
        <f t="shared" si="2"/>
        <v>1</v>
      </c>
      <c r="O4" s="35">
        <f t="shared" si="3"/>
        <v>0.1428571429</v>
      </c>
      <c r="P4" s="10">
        <f t="shared" si="4"/>
        <v>8</v>
      </c>
      <c r="Q4" s="10"/>
      <c r="R4" s="35"/>
      <c r="S4" s="10">
        <v>2.0</v>
      </c>
      <c r="T4" s="10">
        <v>6.0</v>
      </c>
      <c r="U4" s="10">
        <f t="shared" si="5"/>
        <v>2.75</v>
      </c>
    </row>
    <row r="5">
      <c r="A5" s="22" t="s">
        <v>26</v>
      </c>
      <c r="B5" s="22" t="s">
        <v>42</v>
      </c>
      <c r="C5" s="10">
        <v>1.0</v>
      </c>
      <c r="D5" s="10"/>
      <c r="E5" s="10"/>
      <c r="F5" s="10">
        <v>8.0</v>
      </c>
      <c r="G5" s="35">
        <f t="shared" si="1"/>
        <v>0</v>
      </c>
      <c r="H5" s="10"/>
      <c r="I5" s="10"/>
      <c r="J5" s="10">
        <v>1.0</v>
      </c>
      <c r="K5" s="10"/>
      <c r="L5" s="35"/>
      <c r="M5" s="10">
        <v>4.0</v>
      </c>
      <c r="N5" s="35">
        <f t="shared" si="2"/>
        <v>1</v>
      </c>
      <c r="O5" s="35">
        <f t="shared" si="3"/>
        <v>0</v>
      </c>
      <c r="P5" s="10">
        <f t="shared" si="4"/>
        <v>0</v>
      </c>
      <c r="Q5" s="35"/>
      <c r="R5" s="35"/>
      <c r="S5" s="35"/>
      <c r="T5" s="10"/>
      <c r="U5" s="10" t="str">
        <f t="shared" si="5"/>
        <v>N/A</v>
      </c>
    </row>
    <row r="6">
      <c r="A6" s="23" t="s">
        <v>28</v>
      </c>
      <c r="B6" s="23" t="s">
        <v>85</v>
      </c>
      <c r="C6" s="10">
        <v>8.0</v>
      </c>
      <c r="D6" s="10">
        <v>2.0</v>
      </c>
      <c r="E6" s="10">
        <v>2.0</v>
      </c>
      <c r="F6" s="35"/>
      <c r="G6" s="35">
        <f t="shared" si="1"/>
        <v>0</v>
      </c>
      <c r="H6" s="35"/>
      <c r="I6" s="35"/>
      <c r="J6" s="10">
        <v>3.0</v>
      </c>
      <c r="K6" s="10">
        <v>1.0</v>
      </c>
      <c r="L6" s="10">
        <v>1.0</v>
      </c>
      <c r="M6" s="10">
        <v>3.0</v>
      </c>
      <c r="N6" s="35">
        <f t="shared" si="2"/>
        <v>0.6666666667</v>
      </c>
      <c r="O6" s="35">
        <f t="shared" si="3"/>
        <v>0.3333333333</v>
      </c>
      <c r="P6" s="10">
        <f t="shared" si="4"/>
        <v>8</v>
      </c>
      <c r="Q6" s="10">
        <v>2.0</v>
      </c>
      <c r="R6" s="10">
        <v>2.0</v>
      </c>
      <c r="S6" s="10">
        <v>2.0</v>
      </c>
      <c r="T6" s="10">
        <v>2.0</v>
      </c>
      <c r="U6" s="10">
        <f t="shared" si="5"/>
        <v>1.5</v>
      </c>
    </row>
    <row r="7">
      <c r="A7" s="24" t="s">
        <v>30</v>
      </c>
      <c r="B7" s="24" t="s">
        <v>43</v>
      </c>
      <c r="C7" s="10">
        <v>10.0</v>
      </c>
      <c r="D7" s="10">
        <v>7.0</v>
      </c>
      <c r="E7" s="10"/>
      <c r="F7" s="35"/>
      <c r="G7" s="35">
        <f t="shared" si="1"/>
        <v>0.7</v>
      </c>
      <c r="H7" s="10"/>
      <c r="I7" s="35"/>
      <c r="J7" s="10">
        <v>1.0</v>
      </c>
      <c r="K7" s="35"/>
      <c r="L7" s="10"/>
      <c r="M7" s="10">
        <v>2.0</v>
      </c>
      <c r="N7" s="35">
        <f t="shared" si="2"/>
        <v>1</v>
      </c>
      <c r="O7" s="35">
        <f t="shared" si="3"/>
        <v>0</v>
      </c>
      <c r="P7" s="10">
        <f t="shared" si="4"/>
        <v>2</v>
      </c>
      <c r="Q7" s="10">
        <v>1.0</v>
      </c>
      <c r="R7" s="35"/>
      <c r="S7" s="10">
        <v>1.0</v>
      </c>
      <c r="T7" s="35"/>
      <c r="U7" s="10">
        <f t="shared" si="5"/>
        <v>1</v>
      </c>
    </row>
    <row r="8">
      <c r="A8" s="25" t="s">
        <v>32</v>
      </c>
      <c r="B8" s="25" t="s">
        <v>41</v>
      </c>
      <c r="C8" s="10">
        <v>2.0</v>
      </c>
      <c r="D8" s="10"/>
      <c r="E8" s="10">
        <v>2.0</v>
      </c>
      <c r="F8" s="35"/>
      <c r="G8" s="35">
        <f t="shared" si="1"/>
        <v>-1</v>
      </c>
      <c r="H8" s="35"/>
      <c r="I8" s="10"/>
      <c r="J8" s="10">
        <v>1.0</v>
      </c>
      <c r="K8" s="35"/>
      <c r="L8" s="10">
        <v>1.0</v>
      </c>
      <c r="M8" s="10">
        <v>2.0</v>
      </c>
      <c r="N8" s="35">
        <f t="shared" si="2"/>
        <v>0.5</v>
      </c>
      <c r="O8" s="35">
        <f t="shared" si="3"/>
        <v>0</v>
      </c>
      <c r="P8" s="10">
        <f t="shared" si="4"/>
        <v>0</v>
      </c>
      <c r="Q8" s="10"/>
      <c r="R8" s="10"/>
      <c r="S8" s="35"/>
      <c r="T8" s="35"/>
      <c r="U8" s="10" t="str">
        <f t="shared" si="5"/>
        <v>N/A</v>
      </c>
    </row>
    <row r="9">
      <c r="A9" s="26" t="s">
        <v>34</v>
      </c>
      <c r="B9" s="26" t="s">
        <v>84</v>
      </c>
      <c r="C9" s="10">
        <v>2.0</v>
      </c>
      <c r="D9" s="10"/>
      <c r="E9" s="10">
        <v>1.0</v>
      </c>
      <c r="F9" s="35"/>
      <c r="G9" s="35">
        <f t="shared" si="1"/>
        <v>-0.5</v>
      </c>
      <c r="H9" s="35"/>
      <c r="I9" s="35"/>
      <c r="J9" s="10">
        <v>1.0</v>
      </c>
      <c r="K9" s="35"/>
      <c r="L9" s="10"/>
      <c r="M9" s="10">
        <v>2.0</v>
      </c>
      <c r="N9" s="35">
        <f t="shared" si="2"/>
        <v>1</v>
      </c>
      <c r="O9" s="35">
        <f t="shared" si="3"/>
        <v>0</v>
      </c>
      <c r="P9" s="10">
        <f t="shared" si="4"/>
        <v>0</v>
      </c>
      <c r="Q9" s="35"/>
      <c r="R9" s="10"/>
      <c r="S9" s="10"/>
      <c r="T9" s="35"/>
      <c r="U9" s="10" t="str">
        <f t="shared" si="5"/>
        <v>N/A</v>
      </c>
    </row>
    <row r="10">
      <c r="M10" s="52"/>
      <c r="N10" s="52"/>
      <c r="O10" s="52"/>
      <c r="P10" s="52"/>
      <c r="Q10" s="52"/>
      <c r="U10" s="52"/>
    </row>
    <row r="11">
      <c r="M11" s="52"/>
      <c r="N11" s="52"/>
      <c r="O11" s="52"/>
      <c r="P11" s="52"/>
      <c r="Q11" s="52"/>
      <c r="U11" s="52"/>
    </row>
    <row r="12">
      <c r="M12" s="52"/>
      <c r="N12" s="52"/>
      <c r="O12" s="52"/>
      <c r="P12" s="52"/>
      <c r="Q12" s="52"/>
      <c r="U12" s="52"/>
    </row>
    <row r="13">
      <c r="M13" s="52"/>
      <c r="N13" s="52"/>
      <c r="O13" s="52"/>
      <c r="P13" s="52"/>
      <c r="Q13" s="52"/>
      <c r="U13" s="52"/>
    </row>
    <row r="14">
      <c r="M14" s="52"/>
      <c r="N14" s="52"/>
      <c r="O14" s="52"/>
      <c r="P14" s="52"/>
      <c r="Q14" s="52"/>
      <c r="U14" s="52"/>
    </row>
    <row r="15">
      <c r="M15" s="52"/>
      <c r="N15" s="52"/>
      <c r="O15" s="52"/>
      <c r="P15" s="52"/>
      <c r="Q15" s="52"/>
      <c r="U15" s="52"/>
    </row>
    <row r="16">
      <c r="M16" s="52"/>
      <c r="N16" s="52"/>
      <c r="O16" s="52"/>
      <c r="P16" s="52"/>
      <c r="Q16" s="52"/>
      <c r="U16" s="52"/>
    </row>
    <row r="17">
      <c r="M17" s="52"/>
      <c r="N17" s="52"/>
      <c r="O17" s="52"/>
      <c r="P17" s="52"/>
      <c r="Q17" s="52"/>
      <c r="U17" s="52"/>
    </row>
    <row r="18">
      <c r="M18" s="52"/>
      <c r="N18" s="52"/>
      <c r="O18" s="52"/>
      <c r="P18" s="52"/>
      <c r="Q18" s="52"/>
      <c r="U18" s="52"/>
    </row>
    <row r="19">
      <c r="M19" s="52"/>
      <c r="N19" s="52"/>
      <c r="O19" s="52"/>
      <c r="P19" s="52"/>
      <c r="Q19" s="52"/>
      <c r="U19" s="52"/>
    </row>
    <row r="20">
      <c r="M20" s="52"/>
      <c r="N20" s="52"/>
      <c r="O20" s="52"/>
      <c r="P20" s="52"/>
      <c r="Q20" s="52"/>
      <c r="U20" s="52"/>
    </row>
    <row r="21">
      <c r="M21" s="52"/>
      <c r="N21" s="52"/>
      <c r="O21" s="52"/>
      <c r="P21" s="52"/>
      <c r="Q21" s="52"/>
      <c r="U21" s="52"/>
    </row>
    <row r="22">
      <c r="M22" s="52"/>
      <c r="N22" s="52"/>
      <c r="O22" s="52"/>
      <c r="P22" s="52"/>
      <c r="Q22" s="52"/>
      <c r="U22" s="52"/>
    </row>
    <row r="23">
      <c r="M23" s="52"/>
      <c r="N23" s="52"/>
      <c r="O23" s="52"/>
      <c r="P23" s="52"/>
      <c r="Q23" s="52"/>
      <c r="U23" s="52"/>
    </row>
    <row r="24">
      <c r="M24" s="52"/>
      <c r="N24" s="52"/>
      <c r="O24" s="52"/>
      <c r="P24" s="52"/>
      <c r="Q24" s="52"/>
      <c r="U24" s="52"/>
    </row>
    <row r="25">
      <c r="M25" s="52"/>
      <c r="N25" s="52"/>
      <c r="O25" s="52"/>
      <c r="P25" s="52"/>
      <c r="Q25" s="52"/>
      <c r="U25" s="52"/>
    </row>
    <row r="26">
      <c r="M26" s="52"/>
      <c r="N26" s="52"/>
      <c r="O26" s="52"/>
      <c r="P26" s="52"/>
      <c r="Q26" s="52"/>
      <c r="U26" s="52"/>
    </row>
    <row r="27">
      <c r="M27" s="52"/>
      <c r="N27" s="52"/>
      <c r="O27" s="52"/>
      <c r="P27" s="52"/>
      <c r="Q27" s="52"/>
      <c r="U27" s="52"/>
    </row>
    <row r="28">
      <c r="M28" s="52"/>
      <c r="N28" s="52"/>
      <c r="O28" s="52"/>
      <c r="P28" s="52"/>
      <c r="Q28" s="52"/>
      <c r="U28" s="52"/>
    </row>
    <row r="29">
      <c r="M29" s="52"/>
      <c r="N29" s="52"/>
      <c r="O29" s="52"/>
      <c r="P29" s="52"/>
      <c r="Q29" s="52"/>
      <c r="U29" s="52"/>
    </row>
    <row r="30">
      <c r="M30" s="52"/>
      <c r="N30" s="52"/>
      <c r="O30" s="52"/>
      <c r="P30" s="52"/>
      <c r="Q30" s="52"/>
      <c r="U30" s="52"/>
    </row>
    <row r="31">
      <c r="M31" s="52"/>
      <c r="N31" s="52"/>
      <c r="O31" s="52"/>
      <c r="P31" s="52"/>
      <c r="Q31" s="52"/>
      <c r="U31" s="52"/>
    </row>
    <row r="32">
      <c r="M32" s="52"/>
      <c r="N32" s="52"/>
      <c r="O32" s="52"/>
      <c r="P32" s="52"/>
      <c r="Q32" s="52"/>
      <c r="U32" s="52"/>
    </row>
    <row r="33">
      <c r="M33" s="52"/>
      <c r="N33" s="52"/>
      <c r="O33" s="52"/>
      <c r="P33" s="52"/>
      <c r="Q33" s="52"/>
      <c r="U33" s="52"/>
    </row>
    <row r="34">
      <c r="M34" s="52"/>
      <c r="N34" s="52"/>
      <c r="O34" s="52"/>
      <c r="P34" s="52"/>
      <c r="Q34" s="52"/>
      <c r="U34" s="52"/>
    </row>
    <row r="35">
      <c r="M35" s="52"/>
      <c r="N35" s="52"/>
      <c r="O35" s="52"/>
      <c r="P35" s="52"/>
      <c r="Q35" s="52"/>
      <c r="U35" s="52"/>
    </row>
    <row r="36">
      <c r="M36" s="52"/>
      <c r="N36" s="52"/>
      <c r="O36" s="52"/>
      <c r="P36" s="52"/>
      <c r="Q36" s="52"/>
      <c r="U36" s="52"/>
    </row>
    <row r="37">
      <c r="M37" s="52"/>
      <c r="N37" s="52"/>
      <c r="O37" s="52"/>
      <c r="P37" s="52"/>
      <c r="Q37" s="52"/>
      <c r="U37" s="52"/>
    </row>
    <row r="38">
      <c r="M38" s="52"/>
      <c r="N38" s="52"/>
      <c r="O38" s="52"/>
      <c r="P38" s="52"/>
      <c r="Q38" s="52"/>
      <c r="U38" s="52"/>
    </row>
    <row r="39">
      <c r="M39" s="52"/>
      <c r="N39" s="52"/>
      <c r="O39" s="52"/>
      <c r="P39" s="52"/>
      <c r="Q39" s="52"/>
      <c r="U39" s="52"/>
    </row>
    <row r="40">
      <c r="M40" s="52"/>
      <c r="N40" s="52"/>
      <c r="O40" s="52"/>
      <c r="P40" s="52"/>
      <c r="Q40" s="52"/>
      <c r="U40" s="52"/>
    </row>
    <row r="41">
      <c r="M41" s="52"/>
      <c r="N41" s="52"/>
      <c r="O41" s="52"/>
      <c r="P41" s="52"/>
      <c r="Q41" s="52"/>
      <c r="U41" s="52"/>
    </row>
    <row r="42">
      <c r="M42" s="52"/>
      <c r="N42" s="52"/>
      <c r="O42" s="52"/>
      <c r="P42" s="52"/>
      <c r="Q42" s="52"/>
      <c r="U42" s="52"/>
    </row>
    <row r="43">
      <c r="M43" s="52"/>
      <c r="N43" s="52"/>
      <c r="O43" s="52"/>
      <c r="P43" s="52"/>
      <c r="Q43" s="52"/>
      <c r="U43" s="52"/>
    </row>
    <row r="44">
      <c r="M44" s="52"/>
      <c r="N44" s="52"/>
      <c r="O44" s="52"/>
      <c r="P44" s="52"/>
      <c r="Q44" s="52"/>
      <c r="U44" s="52"/>
    </row>
    <row r="45">
      <c r="M45" s="52"/>
      <c r="N45" s="52"/>
      <c r="O45" s="52"/>
      <c r="P45" s="52"/>
      <c r="Q45" s="52"/>
      <c r="U45" s="52"/>
    </row>
    <row r="46">
      <c r="M46" s="52"/>
      <c r="N46" s="52"/>
      <c r="O46" s="52"/>
      <c r="P46" s="52"/>
      <c r="Q46" s="52"/>
      <c r="U46" s="52"/>
    </row>
    <row r="47">
      <c r="M47" s="52"/>
      <c r="N47" s="52"/>
      <c r="O47" s="52"/>
      <c r="P47" s="52"/>
      <c r="Q47" s="52"/>
      <c r="U47" s="52"/>
    </row>
    <row r="48">
      <c r="M48" s="52"/>
      <c r="N48" s="52"/>
      <c r="O48" s="52"/>
      <c r="P48" s="52"/>
      <c r="Q48" s="52"/>
      <c r="U48" s="52"/>
    </row>
    <row r="49">
      <c r="M49" s="52"/>
      <c r="N49" s="52"/>
      <c r="O49" s="52"/>
      <c r="P49" s="52"/>
      <c r="Q49" s="52"/>
      <c r="U49" s="52"/>
    </row>
    <row r="50">
      <c r="M50" s="52"/>
      <c r="N50" s="52"/>
      <c r="O50" s="52"/>
      <c r="P50" s="52"/>
      <c r="Q50" s="52"/>
      <c r="U50" s="52"/>
    </row>
    <row r="51">
      <c r="M51" s="52"/>
      <c r="N51" s="52"/>
      <c r="O51" s="52"/>
      <c r="P51" s="52"/>
      <c r="Q51" s="52"/>
      <c r="U51" s="52"/>
    </row>
    <row r="52">
      <c r="M52" s="52"/>
      <c r="N52" s="52"/>
      <c r="O52" s="52"/>
      <c r="P52" s="52"/>
      <c r="Q52" s="52"/>
      <c r="U52" s="52"/>
    </row>
    <row r="53">
      <c r="M53" s="52"/>
      <c r="N53" s="52"/>
      <c r="O53" s="52"/>
      <c r="P53" s="52"/>
      <c r="Q53" s="52"/>
      <c r="U53" s="52"/>
    </row>
    <row r="54">
      <c r="M54" s="52"/>
      <c r="N54" s="52"/>
      <c r="O54" s="52"/>
      <c r="P54" s="52"/>
      <c r="Q54" s="52"/>
      <c r="U54" s="52"/>
    </row>
    <row r="55">
      <c r="M55" s="52"/>
      <c r="N55" s="52"/>
      <c r="O55" s="52"/>
      <c r="P55" s="52"/>
      <c r="Q55" s="52"/>
      <c r="U55" s="52"/>
    </row>
    <row r="56">
      <c r="M56" s="52"/>
      <c r="N56" s="52"/>
      <c r="O56" s="52"/>
      <c r="P56" s="52"/>
      <c r="Q56" s="52"/>
      <c r="U56" s="52"/>
    </row>
    <row r="57">
      <c r="M57" s="52"/>
      <c r="N57" s="52"/>
      <c r="O57" s="52"/>
      <c r="P57" s="52"/>
      <c r="Q57" s="52"/>
      <c r="U57" s="52"/>
    </row>
    <row r="58">
      <c r="M58" s="52"/>
      <c r="N58" s="52"/>
      <c r="O58" s="52"/>
      <c r="P58" s="52"/>
      <c r="Q58" s="52"/>
      <c r="U58" s="52"/>
    </row>
    <row r="59">
      <c r="M59" s="52"/>
      <c r="N59" s="52"/>
      <c r="O59" s="52"/>
      <c r="P59" s="52"/>
      <c r="Q59" s="52"/>
      <c r="U59" s="52"/>
    </row>
    <row r="60">
      <c r="M60" s="52"/>
      <c r="N60" s="52"/>
      <c r="O60" s="52"/>
      <c r="P60" s="52"/>
      <c r="Q60" s="52"/>
      <c r="U60" s="52"/>
    </row>
    <row r="61">
      <c r="M61" s="52"/>
      <c r="N61" s="52"/>
      <c r="O61" s="52"/>
      <c r="P61" s="52"/>
      <c r="Q61" s="52"/>
      <c r="U61" s="52"/>
    </row>
    <row r="62">
      <c r="M62" s="52"/>
      <c r="N62" s="52"/>
      <c r="O62" s="52"/>
      <c r="P62" s="52"/>
      <c r="Q62" s="52"/>
      <c r="U62" s="52"/>
    </row>
    <row r="63">
      <c r="M63" s="52"/>
      <c r="N63" s="52"/>
      <c r="O63" s="52"/>
      <c r="P63" s="52"/>
      <c r="Q63" s="52"/>
      <c r="U63" s="52"/>
    </row>
    <row r="64">
      <c r="M64" s="52"/>
      <c r="N64" s="52"/>
      <c r="O64" s="52"/>
      <c r="P64" s="52"/>
      <c r="Q64" s="52"/>
      <c r="U64" s="52"/>
    </row>
    <row r="65">
      <c r="M65" s="52"/>
      <c r="N65" s="52"/>
      <c r="O65" s="52"/>
      <c r="P65" s="52"/>
      <c r="Q65" s="52"/>
      <c r="U65" s="52"/>
    </row>
    <row r="66">
      <c r="M66" s="52"/>
      <c r="N66" s="52"/>
      <c r="O66" s="52"/>
      <c r="P66" s="52"/>
      <c r="Q66" s="52"/>
      <c r="U66" s="52"/>
    </row>
    <row r="67">
      <c r="M67" s="52"/>
      <c r="N67" s="52"/>
      <c r="O67" s="52"/>
      <c r="P67" s="52"/>
      <c r="Q67" s="52"/>
      <c r="U67" s="52"/>
    </row>
    <row r="68">
      <c r="M68" s="52"/>
      <c r="N68" s="52"/>
      <c r="O68" s="52"/>
      <c r="P68" s="52"/>
      <c r="Q68" s="52"/>
      <c r="U68" s="52"/>
    </row>
    <row r="69">
      <c r="M69" s="52"/>
      <c r="N69" s="52"/>
      <c r="O69" s="52"/>
      <c r="P69" s="52"/>
      <c r="Q69" s="52"/>
      <c r="U69" s="52"/>
    </row>
    <row r="70">
      <c r="M70" s="52"/>
      <c r="N70" s="52"/>
      <c r="O70" s="52"/>
      <c r="P70" s="52"/>
      <c r="Q70" s="52"/>
      <c r="U70" s="52"/>
    </row>
    <row r="71">
      <c r="M71" s="52"/>
      <c r="N71" s="52"/>
      <c r="O71" s="52"/>
      <c r="P71" s="52"/>
      <c r="Q71" s="52"/>
      <c r="U71" s="52"/>
    </row>
    <row r="72">
      <c r="M72" s="52"/>
      <c r="N72" s="52"/>
      <c r="O72" s="52"/>
      <c r="P72" s="52"/>
      <c r="Q72" s="52"/>
      <c r="U72" s="52"/>
    </row>
    <row r="73">
      <c r="M73" s="52"/>
      <c r="N73" s="52"/>
      <c r="O73" s="52"/>
      <c r="P73" s="52"/>
      <c r="Q73" s="52"/>
      <c r="U73" s="52"/>
    </row>
    <row r="74">
      <c r="M74" s="52"/>
      <c r="N74" s="52"/>
      <c r="O74" s="52"/>
      <c r="P74" s="52"/>
      <c r="Q74" s="52"/>
      <c r="U74" s="52"/>
    </row>
    <row r="75">
      <c r="M75" s="52"/>
      <c r="N75" s="52"/>
      <c r="O75" s="52"/>
      <c r="P75" s="52"/>
      <c r="Q75" s="52"/>
      <c r="U75" s="52"/>
    </row>
    <row r="76">
      <c r="M76" s="52"/>
      <c r="N76" s="52"/>
      <c r="O76" s="52"/>
      <c r="P76" s="52"/>
      <c r="Q76" s="52"/>
      <c r="U76" s="52"/>
    </row>
    <row r="77">
      <c r="M77" s="52"/>
      <c r="N77" s="52"/>
      <c r="O77" s="52"/>
      <c r="P77" s="52"/>
      <c r="Q77" s="52"/>
      <c r="U77" s="52"/>
    </row>
    <row r="78">
      <c r="M78" s="52"/>
      <c r="N78" s="52"/>
      <c r="O78" s="52"/>
      <c r="P78" s="52"/>
      <c r="Q78" s="52"/>
      <c r="U78" s="52"/>
    </row>
    <row r="79">
      <c r="M79" s="52"/>
      <c r="N79" s="52"/>
      <c r="O79" s="52"/>
      <c r="P79" s="52"/>
      <c r="Q79" s="52"/>
      <c r="U79" s="52"/>
    </row>
    <row r="80">
      <c r="M80" s="52"/>
      <c r="N80" s="52"/>
      <c r="O80" s="52"/>
      <c r="P80" s="52"/>
      <c r="Q80" s="52"/>
      <c r="U80" s="52"/>
    </row>
    <row r="81">
      <c r="M81" s="52"/>
      <c r="N81" s="52"/>
      <c r="O81" s="52"/>
      <c r="P81" s="52"/>
      <c r="Q81" s="52"/>
      <c r="U81" s="52"/>
    </row>
    <row r="82">
      <c r="M82" s="52"/>
      <c r="N82" s="52"/>
      <c r="O82" s="52"/>
      <c r="P82" s="52"/>
      <c r="Q82" s="52"/>
      <c r="U82" s="52"/>
    </row>
    <row r="83">
      <c r="M83" s="52"/>
      <c r="N83" s="52"/>
      <c r="O83" s="52"/>
      <c r="P83" s="52"/>
      <c r="Q83" s="52"/>
      <c r="U83" s="52"/>
    </row>
    <row r="84">
      <c r="M84" s="52"/>
      <c r="N84" s="52"/>
      <c r="O84" s="52"/>
      <c r="P84" s="52"/>
      <c r="Q84" s="52"/>
      <c r="U84" s="52"/>
    </row>
    <row r="85">
      <c r="M85" s="52"/>
      <c r="N85" s="52"/>
      <c r="O85" s="52"/>
      <c r="P85" s="52"/>
      <c r="Q85" s="52"/>
      <c r="U85" s="52"/>
    </row>
    <row r="86">
      <c r="M86" s="52"/>
      <c r="N86" s="52"/>
      <c r="O86" s="52"/>
      <c r="P86" s="52"/>
      <c r="Q86" s="52"/>
      <c r="U86" s="52"/>
    </row>
    <row r="87">
      <c r="M87" s="52"/>
      <c r="N87" s="52"/>
      <c r="O87" s="52"/>
      <c r="P87" s="52"/>
      <c r="Q87" s="52"/>
      <c r="U87" s="52"/>
    </row>
    <row r="88">
      <c r="M88" s="52"/>
      <c r="N88" s="52"/>
      <c r="O88" s="52"/>
      <c r="P88" s="52"/>
      <c r="Q88" s="52"/>
      <c r="U88" s="52"/>
    </row>
    <row r="89">
      <c r="M89" s="52"/>
      <c r="N89" s="52"/>
      <c r="O89" s="52"/>
      <c r="P89" s="52"/>
      <c r="Q89" s="52"/>
      <c r="U89" s="52"/>
    </row>
    <row r="90">
      <c r="M90" s="52"/>
      <c r="N90" s="52"/>
      <c r="O90" s="52"/>
      <c r="P90" s="52"/>
      <c r="Q90" s="52"/>
      <c r="U90" s="52"/>
    </row>
    <row r="91">
      <c r="M91" s="52"/>
      <c r="N91" s="52"/>
      <c r="O91" s="52"/>
      <c r="P91" s="52"/>
      <c r="Q91" s="52"/>
      <c r="U91" s="52"/>
    </row>
    <row r="92">
      <c r="M92" s="52"/>
      <c r="N92" s="52"/>
      <c r="O92" s="52"/>
      <c r="P92" s="52"/>
      <c r="Q92" s="52"/>
      <c r="U92" s="52"/>
    </row>
    <row r="93">
      <c r="M93" s="52"/>
      <c r="N93" s="52"/>
      <c r="O93" s="52"/>
      <c r="P93" s="52"/>
      <c r="Q93" s="52"/>
      <c r="U93" s="52"/>
    </row>
    <row r="94">
      <c r="M94" s="52"/>
      <c r="N94" s="52"/>
      <c r="O94" s="52"/>
      <c r="P94" s="52"/>
      <c r="Q94" s="52"/>
      <c r="U94" s="52"/>
    </row>
    <row r="95">
      <c r="M95" s="52"/>
      <c r="N95" s="52"/>
      <c r="O95" s="52"/>
      <c r="P95" s="52"/>
      <c r="Q95" s="52"/>
      <c r="U95" s="52"/>
    </row>
    <row r="96">
      <c r="M96" s="52"/>
      <c r="N96" s="52"/>
      <c r="O96" s="52"/>
      <c r="P96" s="52"/>
      <c r="Q96" s="52"/>
      <c r="U96" s="52"/>
    </row>
    <row r="97">
      <c r="M97" s="52"/>
      <c r="N97" s="52"/>
      <c r="O97" s="52"/>
      <c r="P97" s="52"/>
      <c r="Q97" s="52"/>
      <c r="U97" s="52"/>
    </row>
    <row r="98">
      <c r="M98" s="52"/>
      <c r="N98" s="52"/>
      <c r="O98" s="52"/>
      <c r="P98" s="52"/>
      <c r="Q98" s="52"/>
      <c r="U98" s="52"/>
    </row>
    <row r="99">
      <c r="M99" s="52"/>
      <c r="N99" s="52"/>
      <c r="O99" s="52"/>
      <c r="P99" s="52"/>
      <c r="Q99" s="52"/>
      <c r="U99" s="52"/>
    </row>
    <row r="100">
      <c r="M100" s="52"/>
      <c r="N100" s="52"/>
      <c r="O100" s="52"/>
      <c r="P100" s="52"/>
      <c r="Q100" s="52"/>
      <c r="U100" s="52"/>
    </row>
    <row r="101">
      <c r="M101" s="52"/>
      <c r="N101" s="52"/>
      <c r="O101" s="52"/>
      <c r="P101" s="52"/>
      <c r="Q101" s="52"/>
      <c r="U101" s="52"/>
    </row>
    <row r="102">
      <c r="M102" s="52"/>
      <c r="N102" s="52"/>
      <c r="O102" s="52"/>
      <c r="P102" s="52"/>
      <c r="Q102" s="52"/>
      <c r="U102" s="52"/>
    </row>
    <row r="103">
      <c r="M103" s="52"/>
      <c r="N103" s="52"/>
      <c r="O103" s="52"/>
      <c r="P103" s="52"/>
      <c r="Q103" s="52"/>
      <c r="U103" s="52"/>
    </row>
    <row r="104">
      <c r="M104" s="52"/>
      <c r="N104" s="52"/>
      <c r="O104" s="52"/>
      <c r="P104" s="52"/>
      <c r="Q104" s="52"/>
      <c r="U104" s="52"/>
    </row>
    <row r="105">
      <c r="M105" s="52"/>
      <c r="N105" s="52"/>
      <c r="O105" s="52"/>
      <c r="P105" s="52"/>
      <c r="Q105" s="52"/>
      <c r="U105" s="52"/>
    </row>
    <row r="106">
      <c r="M106" s="52"/>
      <c r="N106" s="52"/>
      <c r="O106" s="52"/>
      <c r="P106" s="52"/>
      <c r="Q106" s="52"/>
      <c r="U106" s="52"/>
    </row>
    <row r="107">
      <c r="M107" s="52"/>
      <c r="N107" s="52"/>
      <c r="O107" s="52"/>
      <c r="P107" s="52"/>
      <c r="Q107" s="52"/>
      <c r="U107" s="52"/>
    </row>
    <row r="108">
      <c r="M108" s="52"/>
      <c r="N108" s="52"/>
      <c r="O108" s="52"/>
      <c r="P108" s="52"/>
      <c r="Q108" s="52"/>
      <c r="U108" s="52"/>
    </row>
    <row r="109">
      <c r="M109" s="52"/>
      <c r="N109" s="52"/>
      <c r="O109" s="52"/>
      <c r="P109" s="52"/>
      <c r="Q109" s="52"/>
      <c r="U109" s="52"/>
    </row>
    <row r="110">
      <c r="M110" s="52"/>
      <c r="N110" s="52"/>
      <c r="O110" s="52"/>
      <c r="P110" s="52"/>
      <c r="Q110" s="52"/>
      <c r="U110" s="52"/>
    </row>
    <row r="111">
      <c r="M111" s="52"/>
      <c r="N111" s="52"/>
      <c r="O111" s="52"/>
      <c r="P111" s="52"/>
      <c r="Q111" s="52"/>
      <c r="U111" s="52"/>
    </row>
    <row r="112">
      <c r="M112" s="52"/>
      <c r="N112" s="52"/>
      <c r="O112" s="52"/>
      <c r="P112" s="52"/>
      <c r="Q112" s="52"/>
      <c r="U112" s="52"/>
    </row>
    <row r="113">
      <c r="M113" s="52"/>
      <c r="N113" s="52"/>
      <c r="O113" s="52"/>
      <c r="P113" s="52"/>
      <c r="Q113" s="52"/>
      <c r="U113" s="52"/>
    </row>
    <row r="114">
      <c r="M114" s="52"/>
      <c r="N114" s="52"/>
      <c r="O114" s="52"/>
      <c r="P114" s="52"/>
      <c r="Q114" s="52"/>
      <c r="U114" s="52"/>
    </row>
    <row r="115">
      <c r="M115" s="52"/>
      <c r="N115" s="52"/>
      <c r="O115" s="52"/>
      <c r="P115" s="52"/>
      <c r="Q115" s="52"/>
      <c r="U115" s="52"/>
    </row>
    <row r="116">
      <c r="M116" s="52"/>
      <c r="N116" s="52"/>
      <c r="O116" s="52"/>
      <c r="P116" s="52"/>
      <c r="Q116" s="52"/>
      <c r="U116" s="52"/>
    </row>
    <row r="117">
      <c r="M117" s="52"/>
      <c r="N117" s="52"/>
      <c r="O117" s="52"/>
      <c r="P117" s="52"/>
      <c r="Q117" s="52"/>
      <c r="U117" s="52"/>
    </row>
    <row r="118">
      <c r="M118" s="52"/>
      <c r="N118" s="52"/>
      <c r="O118" s="52"/>
      <c r="P118" s="52"/>
      <c r="Q118" s="52"/>
      <c r="U118" s="52"/>
    </row>
    <row r="119">
      <c r="M119" s="52"/>
      <c r="N119" s="52"/>
      <c r="O119" s="52"/>
      <c r="P119" s="52"/>
      <c r="Q119" s="52"/>
      <c r="U119" s="52"/>
    </row>
    <row r="120">
      <c r="M120" s="52"/>
      <c r="N120" s="52"/>
      <c r="O120" s="52"/>
      <c r="P120" s="52"/>
      <c r="Q120" s="52"/>
      <c r="U120" s="52"/>
    </row>
    <row r="121">
      <c r="M121" s="52"/>
      <c r="N121" s="52"/>
      <c r="O121" s="52"/>
      <c r="P121" s="52"/>
      <c r="Q121" s="52"/>
      <c r="U121" s="52"/>
    </row>
    <row r="122">
      <c r="M122" s="52"/>
      <c r="N122" s="52"/>
      <c r="O122" s="52"/>
      <c r="P122" s="52"/>
      <c r="Q122" s="52"/>
      <c r="U122" s="52"/>
    </row>
    <row r="123">
      <c r="M123" s="52"/>
      <c r="N123" s="52"/>
      <c r="O123" s="52"/>
      <c r="P123" s="52"/>
      <c r="Q123" s="52"/>
      <c r="U123" s="52"/>
    </row>
    <row r="124">
      <c r="M124" s="52"/>
      <c r="N124" s="52"/>
      <c r="O124" s="52"/>
      <c r="P124" s="52"/>
      <c r="Q124" s="52"/>
      <c r="U124" s="52"/>
    </row>
    <row r="125">
      <c r="M125" s="52"/>
      <c r="N125" s="52"/>
      <c r="O125" s="52"/>
      <c r="P125" s="52"/>
      <c r="Q125" s="52"/>
      <c r="U125" s="52"/>
    </row>
    <row r="126">
      <c r="M126" s="52"/>
      <c r="N126" s="52"/>
      <c r="O126" s="52"/>
      <c r="P126" s="52"/>
      <c r="Q126" s="52"/>
      <c r="U126" s="52"/>
    </row>
    <row r="127">
      <c r="M127" s="52"/>
      <c r="N127" s="52"/>
      <c r="O127" s="52"/>
      <c r="P127" s="52"/>
      <c r="Q127" s="52"/>
      <c r="U127" s="52"/>
    </row>
    <row r="128">
      <c r="M128" s="52"/>
      <c r="N128" s="52"/>
      <c r="O128" s="52"/>
      <c r="P128" s="52"/>
      <c r="Q128" s="52"/>
      <c r="U128" s="52"/>
    </row>
    <row r="129">
      <c r="M129" s="52"/>
      <c r="N129" s="52"/>
      <c r="O129" s="52"/>
      <c r="P129" s="52"/>
      <c r="Q129" s="52"/>
      <c r="U129" s="52"/>
    </row>
    <row r="130">
      <c r="M130" s="52"/>
      <c r="N130" s="52"/>
      <c r="O130" s="52"/>
      <c r="P130" s="52"/>
      <c r="Q130" s="52"/>
      <c r="U130" s="52"/>
    </row>
    <row r="131">
      <c r="M131" s="52"/>
      <c r="N131" s="52"/>
      <c r="O131" s="52"/>
      <c r="P131" s="52"/>
      <c r="Q131" s="52"/>
      <c r="U131" s="52"/>
    </row>
    <row r="132">
      <c r="M132" s="52"/>
      <c r="N132" s="52"/>
      <c r="O132" s="52"/>
      <c r="P132" s="52"/>
      <c r="Q132" s="52"/>
      <c r="U132" s="52"/>
    </row>
    <row r="133">
      <c r="M133" s="52"/>
      <c r="N133" s="52"/>
      <c r="O133" s="52"/>
      <c r="P133" s="52"/>
      <c r="Q133" s="52"/>
      <c r="U133" s="52"/>
    </row>
    <row r="134">
      <c r="M134" s="52"/>
      <c r="N134" s="52"/>
      <c r="O134" s="52"/>
      <c r="P134" s="52"/>
      <c r="Q134" s="52"/>
      <c r="U134" s="52"/>
    </row>
    <row r="135">
      <c r="M135" s="52"/>
      <c r="N135" s="52"/>
      <c r="O135" s="52"/>
      <c r="P135" s="52"/>
      <c r="Q135" s="52"/>
      <c r="U135" s="52"/>
    </row>
    <row r="136">
      <c r="M136" s="52"/>
      <c r="N136" s="52"/>
      <c r="O136" s="52"/>
      <c r="P136" s="52"/>
      <c r="Q136" s="52"/>
      <c r="U136" s="52"/>
    </row>
    <row r="137">
      <c r="M137" s="52"/>
      <c r="N137" s="52"/>
      <c r="O137" s="52"/>
      <c r="P137" s="52"/>
      <c r="Q137" s="52"/>
      <c r="U137" s="52"/>
    </row>
    <row r="138">
      <c r="M138" s="52"/>
      <c r="N138" s="52"/>
      <c r="O138" s="52"/>
      <c r="P138" s="52"/>
      <c r="Q138" s="52"/>
      <c r="U138" s="52"/>
    </row>
    <row r="139">
      <c r="M139" s="52"/>
      <c r="N139" s="52"/>
      <c r="O139" s="52"/>
      <c r="P139" s="52"/>
      <c r="Q139" s="52"/>
      <c r="U139" s="52"/>
    </row>
    <row r="140">
      <c r="M140" s="52"/>
      <c r="N140" s="52"/>
      <c r="O140" s="52"/>
      <c r="P140" s="52"/>
      <c r="Q140" s="52"/>
      <c r="U140" s="52"/>
    </row>
    <row r="141">
      <c r="M141" s="52"/>
      <c r="N141" s="52"/>
      <c r="O141" s="52"/>
      <c r="P141" s="52"/>
      <c r="Q141" s="52"/>
      <c r="U141" s="52"/>
    </row>
    <row r="142">
      <c r="M142" s="52"/>
      <c r="N142" s="52"/>
      <c r="O142" s="52"/>
      <c r="P142" s="52"/>
      <c r="Q142" s="52"/>
      <c r="U142" s="52"/>
    </row>
    <row r="143">
      <c r="M143" s="52"/>
      <c r="N143" s="52"/>
      <c r="O143" s="52"/>
      <c r="P143" s="52"/>
      <c r="Q143" s="52"/>
      <c r="U143" s="52"/>
    </row>
    <row r="144">
      <c r="M144" s="52"/>
      <c r="N144" s="52"/>
      <c r="O144" s="52"/>
      <c r="P144" s="52"/>
      <c r="Q144" s="52"/>
      <c r="U144" s="52"/>
    </row>
    <row r="145">
      <c r="M145" s="52"/>
      <c r="N145" s="52"/>
      <c r="O145" s="52"/>
      <c r="P145" s="52"/>
      <c r="Q145" s="52"/>
      <c r="U145" s="52"/>
    </row>
    <row r="146">
      <c r="M146" s="52"/>
      <c r="N146" s="52"/>
      <c r="O146" s="52"/>
      <c r="P146" s="52"/>
      <c r="Q146" s="52"/>
      <c r="U146" s="52"/>
    </row>
    <row r="147">
      <c r="M147" s="52"/>
      <c r="N147" s="52"/>
      <c r="O147" s="52"/>
      <c r="P147" s="52"/>
      <c r="Q147" s="52"/>
      <c r="U147" s="52"/>
    </row>
    <row r="148">
      <c r="M148" s="52"/>
      <c r="N148" s="52"/>
      <c r="O148" s="52"/>
      <c r="P148" s="52"/>
      <c r="Q148" s="52"/>
      <c r="U148" s="52"/>
    </row>
    <row r="149">
      <c r="M149" s="52"/>
      <c r="N149" s="52"/>
      <c r="O149" s="52"/>
      <c r="P149" s="52"/>
      <c r="Q149" s="52"/>
      <c r="U149" s="52"/>
    </row>
    <row r="150">
      <c r="M150" s="52"/>
      <c r="N150" s="52"/>
      <c r="O150" s="52"/>
      <c r="P150" s="52"/>
      <c r="Q150" s="52"/>
      <c r="U150" s="52"/>
    </row>
    <row r="151">
      <c r="M151" s="52"/>
      <c r="N151" s="52"/>
      <c r="O151" s="52"/>
      <c r="P151" s="52"/>
      <c r="Q151" s="52"/>
      <c r="U151" s="52"/>
    </row>
    <row r="152">
      <c r="M152" s="52"/>
      <c r="N152" s="52"/>
      <c r="O152" s="52"/>
      <c r="P152" s="52"/>
      <c r="Q152" s="52"/>
      <c r="U152" s="52"/>
    </row>
    <row r="153">
      <c r="M153" s="52"/>
      <c r="N153" s="52"/>
      <c r="O153" s="52"/>
      <c r="P153" s="52"/>
      <c r="Q153" s="52"/>
      <c r="U153" s="52"/>
    </row>
    <row r="154">
      <c r="M154" s="52"/>
      <c r="N154" s="52"/>
      <c r="O154" s="52"/>
      <c r="P154" s="52"/>
      <c r="Q154" s="52"/>
      <c r="U154" s="52"/>
    </row>
    <row r="155">
      <c r="M155" s="52"/>
      <c r="N155" s="52"/>
      <c r="O155" s="52"/>
      <c r="P155" s="52"/>
      <c r="Q155" s="52"/>
      <c r="U155" s="52"/>
    </row>
    <row r="156">
      <c r="M156" s="52"/>
      <c r="N156" s="52"/>
      <c r="O156" s="52"/>
      <c r="P156" s="52"/>
      <c r="Q156" s="52"/>
      <c r="U156" s="52"/>
    </row>
    <row r="157">
      <c r="M157" s="52"/>
      <c r="N157" s="52"/>
      <c r="O157" s="52"/>
      <c r="P157" s="52"/>
      <c r="Q157" s="52"/>
      <c r="U157" s="52"/>
    </row>
    <row r="158">
      <c r="M158" s="52"/>
      <c r="N158" s="52"/>
      <c r="O158" s="52"/>
      <c r="P158" s="52"/>
      <c r="Q158" s="52"/>
      <c r="U158" s="52"/>
    </row>
    <row r="159">
      <c r="M159" s="52"/>
      <c r="N159" s="52"/>
      <c r="O159" s="52"/>
      <c r="P159" s="52"/>
      <c r="Q159" s="52"/>
      <c r="U159" s="52"/>
    </row>
    <row r="160">
      <c r="M160" s="52"/>
      <c r="N160" s="52"/>
      <c r="O160" s="52"/>
      <c r="P160" s="52"/>
      <c r="Q160" s="52"/>
      <c r="U160" s="52"/>
    </row>
    <row r="161">
      <c r="M161" s="52"/>
      <c r="N161" s="52"/>
      <c r="O161" s="52"/>
      <c r="P161" s="52"/>
      <c r="Q161" s="52"/>
      <c r="U161" s="52"/>
    </row>
    <row r="162">
      <c r="M162" s="52"/>
      <c r="N162" s="52"/>
      <c r="O162" s="52"/>
      <c r="P162" s="52"/>
      <c r="Q162" s="52"/>
      <c r="U162" s="52"/>
    </row>
    <row r="163">
      <c r="M163" s="52"/>
      <c r="N163" s="52"/>
      <c r="O163" s="52"/>
      <c r="P163" s="52"/>
      <c r="Q163" s="52"/>
      <c r="U163" s="52"/>
    </row>
    <row r="164">
      <c r="M164" s="52"/>
      <c r="N164" s="52"/>
      <c r="O164" s="52"/>
      <c r="P164" s="52"/>
      <c r="Q164" s="52"/>
      <c r="U164" s="52"/>
    </row>
    <row r="165">
      <c r="M165" s="52"/>
      <c r="N165" s="52"/>
      <c r="O165" s="52"/>
      <c r="P165" s="52"/>
      <c r="Q165" s="52"/>
      <c r="U165" s="52"/>
    </row>
    <row r="166">
      <c r="M166" s="52"/>
      <c r="N166" s="52"/>
      <c r="O166" s="52"/>
      <c r="P166" s="52"/>
      <c r="Q166" s="52"/>
      <c r="U166" s="52"/>
    </row>
    <row r="167">
      <c r="M167" s="52"/>
      <c r="N167" s="52"/>
      <c r="O167" s="52"/>
      <c r="P167" s="52"/>
      <c r="Q167" s="52"/>
      <c r="U167" s="52"/>
    </row>
    <row r="168">
      <c r="M168" s="52"/>
      <c r="N168" s="52"/>
      <c r="O168" s="52"/>
      <c r="P168" s="52"/>
      <c r="Q168" s="52"/>
      <c r="U168" s="52"/>
    </row>
    <row r="169">
      <c r="M169" s="52"/>
      <c r="N169" s="52"/>
      <c r="O169" s="52"/>
      <c r="P169" s="52"/>
      <c r="Q169" s="52"/>
      <c r="U169" s="52"/>
    </row>
    <row r="170">
      <c r="M170" s="52"/>
      <c r="N170" s="52"/>
      <c r="O170" s="52"/>
      <c r="P170" s="52"/>
      <c r="Q170" s="52"/>
      <c r="U170" s="52"/>
    </row>
    <row r="171">
      <c r="M171" s="52"/>
      <c r="N171" s="52"/>
      <c r="O171" s="52"/>
      <c r="P171" s="52"/>
      <c r="Q171" s="52"/>
      <c r="U171" s="52"/>
    </row>
    <row r="172">
      <c r="M172" s="52"/>
      <c r="N172" s="52"/>
      <c r="O172" s="52"/>
      <c r="P172" s="52"/>
      <c r="Q172" s="52"/>
      <c r="U172" s="52"/>
    </row>
    <row r="173">
      <c r="M173" s="52"/>
      <c r="N173" s="52"/>
      <c r="O173" s="52"/>
      <c r="P173" s="52"/>
      <c r="Q173" s="52"/>
      <c r="U173" s="52"/>
    </row>
    <row r="174">
      <c r="M174" s="52"/>
      <c r="N174" s="52"/>
      <c r="O174" s="52"/>
      <c r="P174" s="52"/>
      <c r="Q174" s="52"/>
      <c r="U174" s="52"/>
    </row>
    <row r="175">
      <c r="M175" s="52"/>
      <c r="N175" s="52"/>
      <c r="O175" s="52"/>
      <c r="P175" s="52"/>
      <c r="Q175" s="52"/>
      <c r="U175" s="52"/>
    </row>
    <row r="176">
      <c r="M176" s="52"/>
      <c r="N176" s="52"/>
      <c r="O176" s="52"/>
      <c r="P176" s="52"/>
      <c r="Q176" s="52"/>
      <c r="U176" s="52"/>
    </row>
    <row r="177">
      <c r="M177" s="52"/>
      <c r="N177" s="52"/>
      <c r="O177" s="52"/>
      <c r="P177" s="52"/>
      <c r="Q177" s="52"/>
      <c r="U177" s="52"/>
    </row>
    <row r="178">
      <c r="M178" s="52"/>
      <c r="N178" s="52"/>
      <c r="O178" s="52"/>
      <c r="P178" s="52"/>
      <c r="Q178" s="52"/>
      <c r="U178" s="52"/>
    </row>
    <row r="179">
      <c r="M179" s="52"/>
      <c r="N179" s="52"/>
      <c r="O179" s="52"/>
      <c r="P179" s="52"/>
      <c r="Q179" s="52"/>
      <c r="U179" s="52"/>
    </row>
    <row r="180">
      <c r="M180" s="52"/>
      <c r="N180" s="52"/>
      <c r="O180" s="52"/>
      <c r="P180" s="52"/>
      <c r="Q180" s="52"/>
      <c r="U180" s="52"/>
    </row>
    <row r="181">
      <c r="M181" s="52"/>
      <c r="N181" s="52"/>
      <c r="O181" s="52"/>
      <c r="P181" s="52"/>
      <c r="Q181" s="52"/>
      <c r="U181" s="52"/>
    </row>
    <row r="182">
      <c r="M182" s="52"/>
      <c r="N182" s="52"/>
      <c r="O182" s="52"/>
      <c r="P182" s="52"/>
      <c r="Q182" s="52"/>
      <c r="U182" s="52"/>
    </row>
    <row r="183">
      <c r="M183" s="52"/>
      <c r="N183" s="52"/>
      <c r="O183" s="52"/>
      <c r="P183" s="52"/>
      <c r="Q183" s="52"/>
      <c r="U183" s="52"/>
    </row>
    <row r="184">
      <c r="M184" s="52"/>
      <c r="N184" s="52"/>
      <c r="O184" s="52"/>
      <c r="P184" s="52"/>
      <c r="Q184" s="52"/>
      <c r="U184" s="52"/>
    </row>
    <row r="185">
      <c r="M185" s="52"/>
      <c r="N185" s="52"/>
      <c r="O185" s="52"/>
      <c r="P185" s="52"/>
      <c r="Q185" s="52"/>
      <c r="U185" s="52"/>
    </row>
    <row r="186">
      <c r="M186" s="52"/>
      <c r="N186" s="52"/>
      <c r="O186" s="52"/>
      <c r="P186" s="52"/>
      <c r="Q186" s="52"/>
      <c r="U186" s="52"/>
    </row>
    <row r="187">
      <c r="M187" s="52"/>
      <c r="N187" s="52"/>
      <c r="O187" s="52"/>
      <c r="P187" s="52"/>
      <c r="Q187" s="52"/>
      <c r="U187" s="52"/>
    </row>
    <row r="188">
      <c r="M188" s="52"/>
      <c r="N188" s="52"/>
      <c r="O188" s="52"/>
      <c r="P188" s="52"/>
      <c r="Q188" s="52"/>
      <c r="U188" s="52"/>
    </row>
    <row r="189">
      <c r="M189" s="52"/>
      <c r="N189" s="52"/>
      <c r="O189" s="52"/>
      <c r="P189" s="52"/>
      <c r="Q189" s="52"/>
      <c r="U189" s="52"/>
    </row>
    <row r="190">
      <c r="M190" s="52"/>
      <c r="N190" s="52"/>
      <c r="O190" s="52"/>
      <c r="P190" s="52"/>
      <c r="Q190" s="52"/>
      <c r="U190" s="52"/>
    </row>
    <row r="191">
      <c r="M191" s="52"/>
      <c r="N191" s="52"/>
      <c r="O191" s="52"/>
      <c r="P191" s="52"/>
      <c r="Q191" s="52"/>
      <c r="U191" s="52"/>
    </row>
    <row r="192">
      <c r="M192" s="52"/>
      <c r="N192" s="52"/>
      <c r="O192" s="52"/>
      <c r="P192" s="52"/>
      <c r="Q192" s="52"/>
      <c r="U192" s="52"/>
    </row>
    <row r="193">
      <c r="M193" s="52"/>
      <c r="N193" s="52"/>
      <c r="O193" s="52"/>
      <c r="P193" s="52"/>
      <c r="Q193" s="52"/>
      <c r="U193" s="52"/>
    </row>
    <row r="194">
      <c r="M194" s="52"/>
      <c r="N194" s="52"/>
      <c r="O194" s="52"/>
      <c r="P194" s="52"/>
      <c r="Q194" s="52"/>
      <c r="U194" s="52"/>
    </row>
    <row r="195">
      <c r="M195" s="52"/>
      <c r="N195" s="52"/>
      <c r="O195" s="52"/>
      <c r="P195" s="52"/>
      <c r="Q195" s="52"/>
      <c r="U195" s="52"/>
    </row>
    <row r="196">
      <c r="M196" s="52"/>
      <c r="N196" s="52"/>
      <c r="O196" s="52"/>
      <c r="P196" s="52"/>
      <c r="Q196" s="52"/>
      <c r="U196" s="52"/>
    </row>
    <row r="197">
      <c r="M197" s="52"/>
      <c r="N197" s="52"/>
      <c r="O197" s="52"/>
      <c r="P197" s="52"/>
      <c r="Q197" s="52"/>
      <c r="U197" s="52"/>
    </row>
    <row r="198">
      <c r="M198" s="52"/>
      <c r="N198" s="52"/>
      <c r="O198" s="52"/>
      <c r="P198" s="52"/>
      <c r="Q198" s="52"/>
      <c r="U198" s="52"/>
    </row>
    <row r="199">
      <c r="M199" s="52"/>
      <c r="N199" s="52"/>
      <c r="O199" s="52"/>
      <c r="P199" s="52"/>
      <c r="Q199" s="52"/>
      <c r="U199" s="52"/>
    </row>
    <row r="200">
      <c r="M200" s="52"/>
      <c r="N200" s="52"/>
      <c r="O200" s="52"/>
      <c r="P200" s="52"/>
      <c r="Q200" s="52"/>
      <c r="U200" s="52"/>
    </row>
    <row r="201">
      <c r="M201" s="52"/>
      <c r="N201" s="52"/>
      <c r="O201" s="52"/>
      <c r="P201" s="52"/>
      <c r="Q201" s="52"/>
      <c r="U201" s="52"/>
    </row>
    <row r="202">
      <c r="M202" s="52"/>
      <c r="N202" s="52"/>
      <c r="O202" s="52"/>
      <c r="P202" s="52"/>
      <c r="Q202" s="52"/>
      <c r="U202" s="52"/>
    </row>
    <row r="203">
      <c r="M203" s="52"/>
      <c r="N203" s="52"/>
      <c r="O203" s="52"/>
      <c r="P203" s="52"/>
      <c r="Q203" s="52"/>
      <c r="U203" s="52"/>
    </row>
    <row r="204">
      <c r="M204" s="52"/>
      <c r="N204" s="52"/>
      <c r="O204" s="52"/>
      <c r="P204" s="52"/>
      <c r="Q204" s="52"/>
      <c r="U204" s="52"/>
    </row>
    <row r="205">
      <c r="M205" s="52"/>
      <c r="N205" s="52"/>
      <c r="O205" s="52"/>
      <c r="P205" s="52"/>
      <c r="Q205" s="52"/>
      <c r="U205" s="52"/>
    </row>
    <row r="206">
      <c r="M206" s="52"/>
      <c r="N206" s="52"/>
      <c r="O206" s="52"/>
      <c r="P206" s="52"/>
      <c r="Q206" s="52"/>
      <c r="U206" s="52"/>
    </row>
    <row r="207">
      <c r="M207" s="52"/>
      <c r="N207" s="52"/>
      <c r="O207" s="52"/>
      <c r="P207" s="52"/>
      <c r="Q207" s="52"/>
      <c r="U207" s="52"/>
    </row>
    <row r="208">
      <c r="M208" s="52"/>
      <c r="N208" s="52"/>
      <c r="O208" s="52"/>
      <c r="P208" s="52"/>
      <c r="Q208" s="52"/>
      <c r="U208" s="52"/>
    </row>
    <row r="209">
      <c r="M209" s="52"/>
      <c r="N209" s="52"/>
      <c r="O209" s="52"/>
      <c r="P209" s="52"/>
      <c r="Q209" s="52"/>
      <c r="U209" s="52"/>
    </row>
    <row r="210">
      <c r="M210" s="52"/>
      <c r="N210" s="52"/>
      <c r="O210" s="52"/>
      <c r="P210" s="52"/>
      <c r="Q210" s="52"/>
      <c r="U210" s="52"/>
    </row>
    <row r="211">
      <c r="M211" s="52"/>
      <c r="N211" s="52"/>
      <c r="O211" s="52"/>
      <c r="P211" s="52"/>
      <c r="Q211" s="52"/>
      <c r="U211" s="52"/>
    </row>
    <row r="212">
      <c r="M212" s="52"/>
      <c r="N212" s="52"/>
      <c r="O212" s="52"/>
      <c r="P212" s="52"/>
      <c r="Q212" s="52"/>
      <c r="U212" s="52"/>
    </row>
    <row r="213">
      <c r="M213" s="52"/>
      <c r="N213" s="52"/>
      <c r="O213" s="52"/>
      <c r="P213" s="52"/>
      <c r="Q213" s="52"/>
      <c r="U213" s="52"/>
    </row>
    <row r="214">
      <c r="M214" s="52"/>
      <c r="N214" s="52"/>
      <c r="O214" s="52"/>
      <c r="P214" s="52"/>
      <c r="Q214" s="52"/>
      <c r="U214" s="52"/>
    </row>
    <row r="215">
      <c r="M215" s="52"/>
      <c r="N215" s="52"/>
      <c r="O215" s="52"/>
      <c r="P215" s="52"/>
      <c r="Q215" s="52"/>
      <c r="U215" s="52"/>
    </row>
    <row r="216">
      <c r="M216" s="52"/>
      <c r="N216" s="52"/>
      <c r="O216" s="52"/>
      <c r="P216" s="52"/>
      <c r="Q216" s="52"/>
      <c r="U216" s="52"/>
    </row>
    <row r="217">
      <c r="M217" s="52"/>
      <c r="N217" s="52"/>
      <c r="O217" s="52"/>
      <c r="P217" s="52"/>
      <c r="Q217" s="52"/>
      <c r="U217" s="52"/>
    </row>
    <row r="218">
      <c r="M218" s="52"/>
      <c r="N218" s="52"/>
      <c r="O218" s="52"/>
      <c r="P218" s="52"/>
      <c r="Q218" s="52"/>
      <c r="U218" s="52"/>
    </row>
    <row r="219">
      <c r="M219" s="52"/>
      <c r="N219" s="52"/>
      <c r="O219" s="52"/>
      <c r="P219" s="52"/>
      <c r="Q219" s="52"/>
      <c r="U219" s="52"/>
    </row>
    <row r="220">
      <c r="M220" s="52"/>
      <c r="N220" s="52"/>
      <c r="O220" s="52"/>
      <c r="P220" s="52"/>
      <c r="Q220" s="52"/>
      <c r="U220" s="52"/>
    </row>
    <row r="221">
      <c r="M221" s="52"/>
      <c r="N221" s="52"/>
      <c r="O221" s="52"/>
      <c r="P221" s="52"/>
      <c r="Q221" s="52"/>
      <c r="U221" s="52"/>
    </row>
    <row r="222">
      <c r="M222" s="52"/>
      <c r="N222" s="52"/>
      <c r="O222" s="52"/>
      <c r="P222" s="52"/>
      <c r="Q222" s="52"/>
      <c r="U222" s="52"/>
    </row>
    <row r="223">
      <c r="M223" s="52"/>
      <c r="N223" s="52"/>
      <c r="O223" s="52"/>
      <c r="P223" s="52"/>
      <c r="Q223" s="52"/>
      <c r="U223" s="52"/>
    </row>
    <row r="224">
      <c r="M224" s="52"/>
      <c r="N224" s="52"/>
      <c r="O224" s="52"/>
      <c r="P224" s="52"/>
      <c r="Q224" s="52"/>
      <c r="U224" s="52"/>
    </row>
    <row r="225">
      <c r="M225" s="52"/>
      <c r="N225" s="52"/>
      <c r="O225" s="52"/>
      <c r="P225" s="52"/>
      <c r="Q225" s="52"/>
      <c r="U225" s="52"/>
    </row>
    <row r="226">
      <c r="M226" s="52"/>
      <c r="N226" s="52"/>
      <c r="O226" s="52"/>
      <c r="P226" s="52"/>
      <c r="Q226" s="52"/>
      <c r="U226" s="52"/>
    </row>
    <row r="227">
      <c r="M227" s="52"/>
      <c r="N227" s="52"/>
      <c r="O227" s="52"/>
      <c r="P227" s="52"/>
      <c r="Q227" s="52"/>
      <c r="U227" s="52"/>
    </row>
    <row r="228">
      <c r="M228" s="52"/>
      <c r="N228" s="52"/>
      <c r="O228" s="52"/>
      <c r="P228" s="52"/>
      <c r="Q228" s="52"/>
      <c r="U228" s="52"/>
    </row>
    <row r="229">
      <c r="M229" s="52"/>
      <c r="N229" s="52"/>
      <c r="O229" s="52"/>
      <c r="P229" s="52"/>
      <c r="Q229" s="52"/>
      <c r="U229" s="52"/>
    </row>
    <row r="230">
      <c r="M230" s="52"/>
      <c r="N230" s="52"/>
      <c r="O230" s="52"/>
      <c r="P230" s="52"/>
      <c r="Q230" s="52"/>
      <c r="U230" s="52"/>
    </row>
    <row r="231">
      <c r="M231" s="52"/>
      <c r="N231" s="52"/>
      <c r="O231" s="52"/>
      <c r="P231" s="52"/>
      <c r="Q231" s="52"/>
      <c r="U231" s="52"/>
    </row>
    <row r="232">
      <c r="M232" s="52"/>
      <c r="N232" s="52"/>
      <c r="O232" s="52"/>
      <c r="P232" s="52"/>
      <c r="Q232" s="52"/>
      <c r="U232" s="52"/>
    </row>
    <row r="233">
      <c r="M233" s="52"/>
      <c r="N233" s="52"/>
      <c r="O233" s="52"/>
      <c r="P233" s="52"/>
      <c r="Q233" s="52"/>
      <c r="U233" s="52"/>
    </row>
    <row r="234">
      <c r="M234" s="52"/>
      <c r="N234" s="52"/>
      <c r="O234" s="52"/>
      <c r="P234" s="52"/>
      <c r="Q234" s="52"/>
      <c r="U234" s="52"/>
    </row>
    <row r="235">
      <c r="M235" s="52"/>
      <c r="N235" s="52"/>
      <c r="O235" s="52"/>
      <c r="P235" s="52"/>
      <c r="Q235" s="52"/>
      <c r="U235" s="52"/>
    </row>
    <row r="236">
      <c r="M236" s="52"/>
      <c r="N236" s="52"/>
      <c r="O236" s="52"/>
      <c r="P236" s="52"/>
      <c r="Q236" s="52"/>
      <c r="U236" s="52"/>
    </row>
    <row r="237">
      <c r="M237" s="52"/>
      <c r="N237" s="52"/>
      <c r="O237" s="52"/>
      <c r="P237" s="52"/>
      <c r="Q237" s="52"/>
      <c r="U237" s="52"/>
    </row>
    <row r="238">
      <c r="M238" s="52"/>
      <c r="N238" s="52"/>
      <c r="O238" s="52"/>
      <c r="P238" s="52"/>
      <c r="Q238" s="52"/>
      <c r="U238" s="52"/>
    </row>
    <row r="239">
      <c r="M239" s="52"/>
      <c r="N239" s="52"/>
      <c r="O239" s="52"/>
      <c r="P239" s="52"/>
      <c r="Q239" s="52"/>
      <c r="U239" s="52"/>
    </row>
    <row r="240">
      <c r="M240" s="52"/>
      <c r="N240" s="52"/>
      <c r="O240" s="52"/>
      <c r="P240" s="52"/>
      <c r="Q240" s="52"/>
      <c r="U240" s="52"/>
    </row>
    <row r="241">
      <c r="M241" s="52"/>
      <c r="N241" s="52"/>
      <c r="O241" s="52"/>
      <c r="P241" s="52"/>
      <c r="Q241" s="52"/>
      <c r="U241" s="52"/>
    </row>
    <row r="242">
      <c r="M242" s="52"/>
      <c r="N242" s="52"/>
      <c r="O242" s="52"/>
      <c r="P242" s="52"/>
      <c r="Q242" s="52"/>
      <c r="U242" s="52"/>
    </row>
    <row r="243">
      <c r="M243" s="52"/>
      <c r="N243" s="52"/>
      <c r="O243" s="52"/>
      <c r="P243" s="52"/>
      <c r="Q243" s="52"/>
      <c r="U243" s="52"/>
    </row>
    <row r="244">
      <c r="M244" s="52"/>
      <c r="N244" s="52"/>
      <c r="O244" s="52"/>
      <c r="P244" s="52"/>
      <c r="Q244" s="52"/>
      <c r="U244" s="52"/>
    </row>
    <row r="245">
      <c r="M245" s="52"/>
      <c r="N245" s="52"/>
      <c r="O245" s="52"/>
      <c r="P245" s="52"/>
      <c r="Q245" s="52"/>
      <c r="U245" s="52"/>
    </row>
    <row r="246">
      <c r="M246" s="52"/>
      <c r="N246" s="52"/>
      <c r="O246" s="52"/>
      <c r="P246" s="52"/>
      <c r="Q246" s="52"/>
      <c r="U246" s="52"/>
    </row>
    <row r="247">
      <c r="M247" s="52"/>
      <c r="N247" s="52"/>
      <c r="O247" s="52"/>
      <c r="P247" s="52"/>
      <c r="Q247" s="52"/>
      <c r="U247" s="52"/>
    </row>
    <row r="248">
      <c r="M248" s="52"/>
      <c r="N248" s="52"/>
      <c r="O248" s="52"/>
      <c r="P248" s="52"/>
      <c r="Q248" s="52"/>
      <c r="U248" s="52"/>
    </row>
    <row r="249">
      <c r="M249" s="52"/>
      <c r="N249" s="52"/>
      <c r="O249" s="52"/>
      <c r="P249" s="52"/>
      <c r="Q249" s="52"/>
      <c r="U249" s="52"/>
    </row>
    <row r="250">
      <c r="M250" s="52"/>
      <c r="N250" s="52"/>
      <c r="O250" s="52"/>
      <c r="P250" s="52"/>
      <c r="Q250" s="52"/>
      <c r="U250" s="52"/>
    </row>
    <row r="251">
      <c r="M251" s="52"/>
      <c r="N251" s="52"/>
      <c r="O251" s="52"/>
      <c r="P251" s="52"/>
      <c r="Q251" s="52"/>
      <c r="U251" s="52"/>
    </row>
    <row r="252">
      <c r="M252" s="52"/>
      <c r="N252" s="52"/>
      <c r="O252" s="52"/>
      <c r="P252" s="52"/>
      <c r="Q252" s="52"/>
      <c r="U252" s="52"/>
    </row>
    <row r="253">
      <c r="M253" s="52"/>
      <c r="N253" s="52"/>
      <c r="O253" s="52"/>
      <c r="P253" s="52"/>
      <c r="Q253" s="52"/>
      <c r="U253" s="52"/>
    </row>
    <row r="254">
      <c r="M254" s="52"/>
      <c r="N254" s="52"/>
      <c r="O254" s="52"/>
      <c r="P254" s="52"/>
      <c r="Q254" s="52"/>
      <c r="U254" s="52"/>
    </row>
    <row r="255">
      <c r="M255" s="52"/>
      <c r="N255" s="52"/>
      <c r="O255" s="52"/>
      <c r="P255" s="52"/>
      <c r="Q255" s="52"/>
      <c r="U255" s="52"/>
    </row>
    <row r="256">
      <c r="M256" s="52"/>
      <c r="N256" s="52"/>
      <c r="O256" s="52"/>
      <c r="P256" s="52"/>
      <c r="Q256" s="52"/>
      <c r="U256" s="52"/>
    </row>
    <row r="257">
      <c r="M257" s="52"/>
      <c r="N257" s="52"/>
      <c r="O257" s="52"/>
      <c r="P257" s="52"/>
      <c r="Q257" s="52"/>
      <c r="U257" s="52"/>
    </row>
    <row r="258">
      <c r="M258" s="52"/>
      <c r="N258" s="52"/>
      <c r="O258" s="52"/>
      <c r="P258" s="52"/>
      <c r="Q258" s="52"/>
      <c r="U258" s="52"/>
    </row>
    <row r="259">
      <c r="M259" s="52"/>
      <c r="N259" s="52"/>
      <c r="O259" s="52"/>
      <c r="P259" s="52"/>
      <c r="Q259" s="52"/>
      <c r="U259" s="52"/>
    </row>
    <row r="260">
      <c r="M260" s="52"/>
      <c r="N260" s="52"/>
      <c r="O260" s="52"/>
      <c r="P260" s="52"/>
      <c r="Q260" s="52"/>
      <c r="U260" s="52"/>
    </row>
    <row r="261">
      <c r="M261" s="52"/>
      <c r="N261" s="52"/>
      <c r="O261" s="52"/>
      <c r="P261" s="52"/>
      <c r="Q261" s="52"/>
      <c r="U261" s="52"/>
    </row>
    <row r="262">
      <c r="M262" s="52"/>
      <c r="N262" s="52"/>
      <c r="O262" s="52"/>
      <c r="P262" s="52"/>
      <c r="Q262" s="52"/>
      <c r="U262" s="52"/>
    </row>
    <row r="263">
      <c r="M263" s="52"/>
      <c r="N263" s="52"/>
      <c r="O263" s="52"/>
      <c r="P263" s="52"/>
      <c r="Q263" s="52"/>
      <c r="U263" s="52"/>
    </row>
    <row r="264">
      <c r="M264" s="52"/>
      <c r="N264" s="52"/>
      <c r="O264" s="52"/>
      <c r="P264" s="52"/>
      <c r="Q264" s="52"/>
      <c r="U264" s="52"/>
    </row>
    <row r="265">
      <c r="M265" s="52"/>
      <c r="N265" s="52"/>
      <c r="O265" s="52"/>
      <c r="P265" s="52"/>
      <c r="Q265" s="52"/>
      <c r="U265" s="52"/>
    </row>
    <row r="266">
      <c r="M266" s="52"/>
      <c r="N266" s="52"/>
      <c r="O266" s="52"/>
      <c r="P266" s="52"/>
      <c r="Q266" s="52"/>
      <c r="U266" s="52"/>
    </row>
    <row r="267">
      <c r="M267" s="52"/>
      <c r="N267" s="52"/>
      <c r="O267" s="52"/>
      <c r="P267" s="52"/>
      <c r="Q267" s="52"/>
      <c r="U267" s="52"/>
    </row>
    <row r="268">
      <c r="M268" s="52"/>
      <c r="N268" s="52"/>
      <c r="O268" s="52"/>
      <c r="P268" s="52"/>
      <c r="Q268" s="52"/>
      <c r="U268" s="52"/>
    </row>
    <row r="269">
      <c r="M269" s="52"/>
      <c r="N269" s="52"/>
      <c r="O269" s="52"/>
      <c r="P269" s="52"/>
      <c r="Q269" s="52"/>
      <c r="U269" s="52"/>
    </row>
    <row r="270">
      <c r="M270" s="52"/>
      <c r="N270" s="52"/>
      <c r="O270" s="52"/>
      <c r="P270" s="52"/>
      <c r="Q270" s="52"/>
      <c r="U270" s="52"/>
    </row>
    <row r="271">
      <c r="M271" s="52"/>
      <c r="N271" s="52"/>
      <c r="O271" s="52"/>
      <c r="P271" s="52"/>
      <c r="Q271" s="52"/>
      <c r="U271" s="52"/>
    </row>
    <row r="272">
      <c r="M272" s="52"/>
      <c r="N272" s="52"/>
      <c r="O272" s="52"/>
      <c r="P272" s="52"/>
      <c r="Q272" s="52"/>
      <c r="U272" s="52"/>
    </row>
    <row r="273">
      <c r="M273" s="52"/>
      <c r="N273" s="52"/>
      <c r="O273" s="52"/>
      <c r="P273" s="52"/>
      <c r="Q273" s="52"/>
      <c r="U273" s="52"/>
    </row>
    <row r="274">
      <c r="M274" s="52"/>
      <c r="N274" s="52"/>
      <c r="O274" s="52"/>
      <c r="P274" s="52"/>
      <c r="Q274" s="52"/>
      <c r="U274" s="52"/>
    </row>
    <row r="275">
      <c r="M275" s="52"/>
      <c r="N275" s="52"/>
      <c r="O275" s="52"/>
      <c r="P275" s="52"/>
      <c r="Q275" s="52"/>
      <c r="U275" s="52"/>
    </row>
    <row r="276">
      <c r="M276" s="52"/>
      <c r="N276" s="52"/>
      <c r="O276" s="52"/>
      <c r="P276" s="52"/>
      <c r="Q276" s="52"/>
      <c r="U276" s="52"/>
    </row>
    <row r="277">
      <c r="M277" s="52"/>
      <c r="N277" s="52"/>
      <c r="O277" s="52"/>
      <c r="P277" s="52"/>
      <c r="Q277" s="52"/>
      <c r="U277" s="52"/>
    </row>
    <row r="278">
      <c r="M278" s="52"/>
      <c r="N278" s="52"/>
      <c r="O278" s="52"/>
      <c r="P278" s="52"/>
      <c r="Q278" s="52"/>
      <c r="U278" s="52"/>
    </row>
    <row r="279">
      <c r="M279" s="52"/>
      <c r="N279" s="52"/>
      <c r="O279" s="52"/>
      <c r="P279" s="52"/>
      <c r="Q279" s="52"/>
      <c r="U279" s="52"/>
    </row>
    <row r="280">
      <c r="M280" s="52"/>
      <c r="N280" s="52"/>
      <c r="O280" s="52"/>
      <c r="P280" s="52"/>
      <c r="Q280" s="52"/>
      <c r="U280" s="52"/>
    </row>
    <row r="281">
      <c r="M281" s="52"/>
      <c r="N281" s="52"/>
      <c r="O281" s="52"/>
      <c r="P281" s="52"/>
      <c r="Q281" s="52"/>
      <c r="U281" s="52"/>
    </row>
    <row r="282">
      <c r="M282" s="52"/>
      <c r="N282" s="52"/>
      <c r="O282" s="52"/>
      <c r="P282" s="52"/>
      <c r="Q282" s="52"/>
      <c r="U282" s="52"/>
    </row>
    <row r="283">
      <c r="M283" s="52"/>
      <c r="N283" s="52"/>
      <c r="O283" s="52"/>
      <c r="P283" s="52"/>
      <c r="Q283" s="52"/>
      <c r="U283" s="52"/>
    </row>
    <row r="284">
      <c r="M284" s="52"/>
      <c r="N284" s="52"/>
      <c r="O284" s="52"/>
      <c r="P284" s="52"/>
      <c r="Q284" s="52"/>
      <c r="U284" s="52"/>
    </row>
    <row r="285">
      <c r="M285" s="52"/>
      <c r="N285" s="52"/>
      <c r="O285" s="52"/>
      <c r="P285" s="52"/>
      <c r="Q285" s="52"/>
      <c r="U285" s="52"/>
    </row>
    <row r="286">
      <c r="M286" s="52"/>
      <c r="N286" s="52"/>
      <c r="O286" s="52"/>
      <c r="P286" s="52"/>
      <c r="Q286" s="52"/>
      <c r="U286" s="52"/>
    </row>
    <row r="287">
      <c r="M287" s="52"/>
      <c r="N287" s="52"/>
      <c r="O287" s="52"/>
      <c r="P287" s="52"/>
      <c r="Q287" s="52"/>
      <c r="U287" s="52"/>
    </row>
    <row r="288">
      <c r="M288" s="52"/>
      <c r="N288" s="52"/>
      <c r="O288" s="52"/>
      <c r="P288" s="52"/>
      <c r="Q288" s="52"/>
      <c r="U288" s="52"/>
    </row>
    <row r="289">
      <c r="M289" s="52"/>
      <c r="N289" s="52"/>
      <c r="O289" s="52"/>
      <c r="P289" s="52"/>
      <c r="Q289" s="52"/>
      <c r="U289" s="52"/>
    </row>
    <row r="290">
      <c r="M290" s="52"/>
      <c r="N290" s="52"/>
      <c r="O290" s="52"/>
      <c r="P290" s="52"/>
      <c r="Q290" s="52"/>
      <c r="U290" s="52"/>
    </row>
    <row r="291">
      <c r="M291" s="52"/>
      <c r="N291" s="52"/>
      <c r="O291" s="52"/>
      <c r="P291" s="52"/>
      <c r="Q291" s="52"/>
      <c r="U291" s="52"/>
    </row>
    <row r="292">
      <c r="M292" s="52"/>
      <c r="N292" s="52"/>
      <c r="O292" s="52"/>
      <c r="P292" s="52"/>
      <c r="Q292" s="52"/>
      <c r="U292" s="52"/>
    </row>
    <row r="293">
      <c r="M293" s="52"/>
      <c r="N293" s="52"/>
      <c r="O293" s="52"/>
      <c r="P293" s="52"/>
      <c r="Q293" s="52"/>
      <c r="U293" s="52"/>
    </row>
    <row r="294">
      <c r="M294" s="52"/>
      <c r="N294" s="52"/>
      <c r="O294" s="52"/>
      <c r="P294" s="52"/>
      <c r="Q294" s="52"/>
      <c r="U294" s="52"/>
    </row>
    <row r="295">
      <c r="M295" s="52"/>
      <c r="N295" s="52"/>
      <c r="O295" s="52"/>
      <c r="P295" s="52"/>
      <c r="Q295" s="52"/>
      <c r="U295" s="52"/>
    </row>
    <row r="296">
      <c r="M296" s="52"/>
      <c r="N296" s="52"/>
      <c r="O296" s="52"/>
      <c r="P296" s="52"/>
      <c r="Q296" s="52"/>
      <c r="U296" s="52"/>
    </row>
    <row r="297">
      <c r="M297" s="52"/>
      <c r="N297" s="52"/>
      <c r="O297" s="52"/>
      <c r="P297" s="52"/>
      <c r="Q297" s="52"/>
      <c r="U297" s="52"/>
    </row>
    <row r="298">
      <c r="M298" s="52"/>
      <c r="N298" s="52"/>
      <c r="O298" s="52"/>
      <c r="P298" s="52"/>
      <c r="Q298" s="52"/>
      <c r="U298" s="52"/>
    </row>
    <row r="299">
      <c r="M299" s="52"/>
      <c r="N299" s="52"/>
      <c r="O299" s="52"/>
      <c r="P299" s="52"/>
      <c r="Q299" s="52"/>
      <c r="U299" s="52"/>
    </row>
    <row r="300">
      <c r="M300" s="52"/>
      <c r="N300" s="52"/>
      <c r="O300" s="52"/>
      <c r="P300" s="52"/>
      <c r="Q300" s="52"/>
      <c r="U300" s="52"/>
    </row>
    <row r="301">
      <c r="M301" s="52"/>
      <c r="N301" s="52"/>
      <c r="O301" s="52"/>
      <c r="P301" s="52"/>
      <c r="Q301" s="52"/>
      <c r="U301" s="52"/>
    </row>
    <row r="302">
      <c r="M302" s="52"/>
      <c r="N302" s="52"/>
      <c r="O302" s="52"/>
      <c r="P302" s="52"/>
      <c r="Q302" s="52"/>
      <c r="U302" s="52"/>
    </row>
    <row r="303">
      <c r="M303" s="52"/>
      <c r="N303" s="52"/>
      <c r="O303" s="52"/>
      <c r="P303" s="52"/>
      <c r="Q303" s="52"/>
      <c r="U303" s="52"/>
    </row>
    <row r="304">
      <c r="M304" s="52"/>
      <c r="N304" s="52"/>
      <c r="O304" s="52"/>
      <c r="P304" s="52"/>
      <c r="Q304" s="52"/>
      <c r="U304" s="52"/>
    </row>
    <row r="305">
      <c r="M305" s="52"/>
      <c r="N305" s="52"/>
      <c r="O305" s="52"/>
      <c r="P305" s="52"/>
      <c r="Q305" s="52"/>
      <c r="U305" s="52"/>
    </row>
    <row r="306">
      <c r="M306" s="52"/>
      <c r="N306" s="52"/>
      <c r="O306" s="52"/>
      <c r="P306" s="52"/>
      <c r="Q306" s="52"/>
      <c r="U306" s="52"/>
    </row>
    <row r="307">
      <c r="M307" s="52"/>
      <c r="N307" s="52"/>
      <c r="O307" s="52"/>
      <c r="P307" s="52"/>
      <c r="Q307" s="52"/>
      <c r="U307" s="52"/>
    </row>
    <row r="308">
      <c r="M308" s="52"/>
      <c r="N308" s="52"/>
      <c r="O308" s="52"/>
      <c r="P308" s="52"/>
      <c r="Q308" s="52"/>
      <c r="U308" s="52"/>
    </row>
    <row r="309">
      <c r="M309" s="52"/>
      <c r="N309" s="52"/>
      <c r="O309" s="52"/>
      <c r="P309" s="52"/>
      <c r="Q309" s="52"/>
      <c r="U309" s="52"/>
    </row>
    <row r="310">
      <c r="M310" s="52"/>
      <c r="N310" s="52"/>
      <c r="O310" s="52"/>
      <c r="P310" s="52"/>
      <c r="Q310" s="52"/>
      <c r="U310" s="52"/>
    </row>
    <row r="311">
      <c r="M311" s="52"/>
      <c r="N311" s="52"/>
      <c r="O311" s="52"/>
      <c r="P311" s="52"/>
      <c r="Q311" s="52"/>
      <c r="U311" s="52"/>
    </row>
    <row r="312">
      <c r="M312" s="52"/>
      <c r="N312" s="52"/>
      <c r="O312" s="52"/>
      <c r="P312" s="52"/>
      <c r="Q312" s="52"/>
      <c r="U312" s="52"/>
    </row>
    <row r="313">
      <c r="M313" s="52"/>
      <c r="N313" s="52"/>
      <c r="O313" s="52"/>
      <c r="P313" s="52"/>
      <c r="Q313" s="52"/>
      <c r="U313" s="52"/>
    </row>
    <row r="314">
      <c r="M314" s="52"/>
      <c r="N314" s="52"/>
      <c r="O314" s="52"/>
      <c r="P314" s="52"/>
      <c r="Q314" s="52"/>
      <c r="U314" s="52"/>
    </row>
    <row r="315">
      <c r="M315" s="52"/>
      <c r="N315" s="52"/>
      <c r="O315" s="52"/>
      <c r="P315" s="52"/>
      <c r="Q315" s="52"/>
      <c r="U315" s="52"/>
    </row>
    <row r="316">
      <c r="M316" s="52"/>
      <c r="N316" s="52"/>
      <c r="O316" s="52"/>
      <c r="P316" s="52"/>
      <c r="Q316" s="52"/>
      <c r="U316" s="52"/>
    </row>
    <row r="317">
      <c r="M317" s="52"/>
      <c r="N317" s="52"/>
      <c r="O317" s="52"/>
      <c r="P317" s="52"/>
      <c r="Q317" s="52"/>
      <c r="U317" s="52"/>
    </row>
    <row r="318">
      <c r="M318" s="52"/>
      <c r="N318" s="52"/>
      <c r="O318" s="52"/>
      <c r="P318" s="52"/>
      <c r="Q318" s="52"/>
      <c r="U318" s="52"/>
    </row>
    <row r="319">
      <c r="M319" s="52"/>
      <c r="N319" s="52"/>
      <c r="O319" s="52"/>
      <c r="P319" s="52"/>
      <c r="Q319" s="52"/>
      <c r="U319" s="52"/>
    </row>
    <row r="320">
      <c r="M320" s="52"/>
      <c r="N320" s="52"/>
      <c r="O320" s="52"/>
      <c r="P320" s="52"/>
      <c r="Q320" s="52"/>
      <c r="U320" s="52"/>
    </row>
    <row r="321">
      <c r="M321" s="52"/>
      <c r="N321" s="52"/>
      <c r="O321" s="52"/>
      <c r="P321" s="52"/>
      <c r="Q321" s="52"/>
      <c r="U321" s="52"/>
    </row>
    <row r="322">
      <c r="M322" s="52"/>
      <c r="N322" s="52"/>
      <c r="O322" s="52"/>
      <c r="P322" s="52"/>
      <c r="Q322" s="52"/>
      <c r="U322" s="52"/>
    </row>
    <row r="323">
      <c r="M323" s="52"/>
      <c r="N323" s="52"/>
      <c r="O323" s="52"/>
      <c r="P323" s="52"/>
      <c r="Q323" s="52"/>
      <c r="U323" s="52"/>
    </row>
    <row r="324">
      <c r="M324" s="52"/>
      <c r="N324" s="52"/>
      <c r="O324" s="52"/>
      <c r="P324" s="52"/>
      <c r="Q324" s="52"/>
      <c r="U324" s="52"/>
    </row>
    <row r="325">
      <c r="M325" s="52"/>
      <c r="N325" s="52"/>
      <c r="O325" s="52"/>
      <c r="P325" s="52"/>
      <c r="Q325" s="52"/>
      <c r="U325" s="52"/>
    </row>
    <row r="326">
      <c r="M326" s="52"/>
      <c r="N326" s="52"/>
      <c r="O326" s="52"/>
      <c r="P326" s="52"/>
      <c r="Q326" s="52"/>
      <c r="U326" s="52"/>
    </row>
    <row r="327">
      <c r="M327" s="52"/>
      <c r="N327" s="52"/>
      <c r="O327" s="52"/>
      <c r="P327" s="52"/>
      <c r="Q327" s="52"/>
      <c r="U327" s="52"/>
    </row>
    <row r="328">
      <c r="M328" s="52"/>
      <c r="N328" s="52"/>
      <c r="O328" s="52"/>
      <c r="P328" s="52"/>
      <c r="Q328" s="52"/>
      <c r="U328" s="52"/>
    </row>
    <row r="329">
      <c r="M329" s="52"/>
      <c r="N329" s="52"/>
      <c r="O329" s="52"/>
      <c r="P329" s="52"/>
      <c r="Q329" s="52"/>
      <c r="U329" s="52"/>
    </row>
    <row r="330">
      <c r="M330" s="52"/>
      <c r="N330" s="52"/>
      <c r="O330" s="52"/>
      <c r="P330" s="52"/>
      <c r="Q330" s="52"/>
      <c r="U330" s="52"/>
    </row>
    <row r="331">
      <c r="M331" s="52"/>
      <c r="N331" s="52"/>
      <c r="O331" s="52"/>
      <c r="P331" s="52"/>
      <c r="Q331" s="52"/>
      <c r="U331" s="52"/>
    </row>
    <row r="332">
      <c r="M332" s="52"/>
      <c r="N332" s="52"/>
      <c r="O332" s="52"/>
      <c r="P332" s="52"/>
      <c r="Q332" s="52"/>
      <c r="U332" s="52"/>
    </row>
    <row r="333">
      <c r="M333" s="52"/>
      <c r="N333" s="52"/>
      <c r="O333" s="52"/>
      <c r="P333" s="52"/>
      <c r="Q333" s="52"/>
      <c r="U333" s="52"/>
    </row>
    <row r="334">
      <c r="M334" s="52"/>
      <c r="N334" s="52"/>
      <c r="O334" s="52"/>
      <c r="P334" s="52"/>
      <c r="Q334" s="52"/>
      <c r="U334" s="52"/>
    </row>
    <row r="335">
      <c r="M335" s="52"/>
      <c r="N335" s="52"/>
      <c r="O335" s="52"/>
      <c r="P335" s="52"/>
      <c r="Q335" s="52"/>
      <c r="U335" s="52"/>
    </row>
    <row r="336">
      <c r="M336" s="52"/>
      <c r="N336" s="52"/>
      <c r="O336" s="52"/>
      <c r="P336" s="52"/>
      <c r="Q336" s="52"/>
      <c r="U336" s="52"/>
    </row>
    <row r="337">
      <c r="M337" s="52"/>
      <c r="N337" s="52"/>
      <c r="O337" s="52"/>
      <c r="P337" s="52"/>
      <c r="Q337" s="52"/>
      <c r="U337" s="52"/>
    </row>
    <row r="338">
      <c r="M338" s="52"/>
      <c r="N338" s="52"/>
      <c r="O338" s="52"/>
      <c r="P338" s="52"/>
      <c r="Q338" s="52"/>
      <c r="U338" s="52"/>
    </row>
    <row r="339">
      <c r="M339" s="52"/>
      <c r="N339" s="52"/>
      <c r="O339" s="52"/>
      <c r="P339" s="52"/>
      <c r="Q339" s="52"/>
      <c r="U339" s="52"/>
    </row>
    <row r="340">
      <c r="M340" s="52"/>
      <c r="N340" s="52"/>
      <c r="O340" s="52"/>
      <c r="P340" s="52"/>
      <c r="Q340" s="52"/>
      <c r="U340" s="52"/>
    </row>
    <row r="341">
      <c r="M341" s="52"/>
      <c r="N341" s="52"/>
      <c r="O341" s="52"/>
      <c r="P341" s="52"/>
      <c r="Q341" s="52"/>
      <c r="U341" s="52"/>
    </row>
    <row r="342">
      <c r="M342" s="52"/>
      <c r="N342" s="52"/>
      <c r="O342" s="52"/>
      <c r="P342" s="52"/>
      <c r="Q342" s="52"/>
      <c r="U342" s="52"/>
    </row>
    <row r="343">
      <c r="M343" s="52"/>
      <c r="N343" s="52"/>
      <c r="O343" s="52"/>
      <c r="P343" s="52"/>
      <c r="Q343" s="52"/>
      <c r="U343" s="52"/>
    </row>
    <row r="344">
      <c r="M344" s="52"/>
      <c r="N344" s="52"/>
      <c r="O344" s="52"/>
      <c r="P344" s="52"/>
      <c r="Q344" s="52"/>
      <c r="U344" s="52"/>
    </row>
    <row r="345">
      <c r="M345" s="52"/>
      <c r="N345" s="52"/>
      <c r="O345" s="52"/>
      <c r="P345" s="52"/>
      <c r="Q345" s="52"/>
      <c r="U345" s="52"/>
    </row>
    <row r="346">
      <c r="M346" s="52"/>
      <c r="N346" s="52"/>
      <c r="O346" s="52"/>
      <c r="P346" s="52"/>
      <c r="Q346" s="52"/>
      <c r="U346" s="52"/>
    </row>
    <row r="347">
      <c r="M347" s="52"/>
      <c r="N347" s="52"/>
      <c r="O347" s="52"/>
      <c r="P347" s="52"/>
      <c r="Q347" s="52"/>
      <c r="U347" s="52"/>
    </row>
    <row r="348">
      <c r="M348" s="52"/>
      <c r="N348" s="52"/>
      <c r="O348" s="52"/>
      <c r="P348" s="52"/>
      <c r="Q348" s="52"/>
      <c r="U348" s="52"/>
    </row>
    <row r="349">
      <c r="M349" s="52"/>
      <c r="N349" s="52"/>
      <c r="O349" s="52"/>
      <c r="P349" s="52"/>
      <c r="Q349" s="52"/>
      <c r="U349" s="52"/>
    </row>
    <row r="350">
      <c r="M350" s="52"/>
      <c r="N350" s="52"/>
      <c r="O350" s="52"/>
      <c r="P350" s="52"/>
      <c r="Q350" s="52"/>
      <c r="U350" s="52"/>
    </row>
    <row r="351">
      <c r="M351" s="52"/>
      <c r="N351" s="52"/>
      <c r="O351" s="52"/>
      <c r="P351" s="52"/>
      <c r="Q351" s="52"/>
      <c r="U351" s="52"/>
    </row>
    <row r="352">
      <c r="M352" s="52"/>
      <c r="N352" s="52"/>
      <c r="O352" s="52"/>
      <c r="P352" s="52"/>
      <c r="Q352" s="52"/>
      <c r="U352" s="52"/>
    </row>
    <row r="353">
      <c r="M353" s="52"/>
      <c r="N353" s="52"/>
      <c r="O353" s="52"/>
      <c r="P353" s="52"/>
      <c r="Q353" s="52"/>
      <c r="U353" s="52"/>
    </row>
    <row r="354">
      <c r="M354" s="52"/>
      <c r="N354" s="52"/>
      <c r="O354" s="52"/>
      <c r="P354" s="52"/>
      <c r="Q354" s="52"/>
      <c r="U354" s="52"/>
    </row>
    <row r="355">
      <c r="M355" s="52"/>
      <c r="N355" s="52"/>
      <c r="O355" s="52"/>
      <c r="P355" s="52"/>
      <c r="Q355" s="52"/>
      <c r="U355" s="52"/>
    </row>
    <row r="356">
      <c r="M356" s="52"/>
      <c r="N356" s="52"/>
      <c r="O356" s="52"/>
      <c r="P356" s="52"/>
      <c r="Q356" s="52"/>
      <c r="U356" s="52"/>
    </row>
    <row r="357">
      <c r="M357" s="52"/>
      <c r="N357" s="52"/>
      <c r="O357" s="52"/>
      <c r="P357" s="52"/>
      <c r="Q357" s="52"/>
      <c r="U357" s="52"/>
    </row>
    <row r="358">
      <c r="M358" s="52"/>
      <c r="N358" s="52"/>
      <c r="O358" s="52"/>
      <c r="P358" s="52"/>
      <c r="Q358" s="52"/>
      <c r="U358" s="52"/>
    </row>
    <row r="359">
      <c r="M359" s="52"/>
      <c r="N359" s="52"/>
      <c r="O359" s="52"/>
      <c r="P359" s="52"/>
      <c r="Q359" s="52"/>
      <c r="U359" s="52"/>
    </row>
    <row r="360">
      <c r="M360" s="52"/>
      <c r="N360" s="52"/>
      <c r="O360" s="52"/>
      <c r="P360" s="52"/>
      <c r="Q360" s="52"/>
      <c r="U360" s="52"/>
    </row>
    <row r="361">
      <c r="M361" s="52"/>
      <c r="N361" s="52"/>
      <c r="O361" s="52"/>
      <c r="P361" s="52"/>
      <c r="Q361" s="52"/>
      <c r="U361" s="52"/>
    </row>
    <row r="362">
      <c r="M362" s="52"/>
      <c r="N362" s="52"/>
      <c r="O362" s="52"/>
      <c r="P362" s="52"/>
      <c r="Q362" s="52"/>
      <c r="U362" s="52"/>
    </row>
    <row r="363">
      <c r="M363" s="52"/>
      <c r="N363" s="52"/>
      <c r="O363" s="52"/>
      <c r="P363" s="52"/>
      <c r="Q363" s="52"/>
      <c r="U363" s="52"/>
    </row>
    <row r="364">
      <c r="M364" s="52"/>
      <c r="N364" s="52"/>
      <c r="O364" s="52"/>
      <c r="P364" s="52"/>
      <c r="Q364" s="52"/>
      <c r="U364" s="52"/>
    </row>
    <row r="365">
      <c r="M365" s="52"/>
      <c r="N365" s="52"/>
      <c r="O365" s="52"/>
      <c r="P365" s="52"/>
      <c r="Q365" s="52"/>
      <c r="U365" s="52"/>
    </row>
    <row r="366">
      <c r="M366" s="52"/>
      <c r="N366" s="52"/>
      <c r="O366" s="52"/>
      <c r="P366" s="52"/>
      <c r="Q366" s="52"/>
      <c r="U366" s="52"/>
    </row>
    <row r="367">
      <c r="M367" s="52"/>
      <c r="N367" s="52"/>
      <c r="O367" s="52"/>
      <c r="P367" s="52"/>
      <c r="Q367" s="52"/>
      <c r="U367" s="52"/>
    </row>
    <row r="368">
      <c r="M368" s="52"/>
      <c r="N368" s="52"/>
      <c r="O368" s="52"/>
      <c r="P368" s="52"/>
      <c r="Q368" s="52"/>
      <c r="U368" s="52"/>
    </row>
    <row r="369">
      <c r="M369" s="52"/>
      <c r="N369" s="52"/>
      <c r="O369" s="52"/>
      <c r="P369" s="52"/>
      <c r="Q369" s="52"/>
      <c r="U369" s="52"/>
    </row>
    <row r="370">
      <c r="M370" s="52"/>
      <c r="N370" s="52"/>
      <c r="O370" s="52"/>
      <c r="P370" s="52"/>
      <c r="Q370" s="52"/>
      <c r="U370" s="52"/>
    </row>
    <row r="371">
      <c r="M371" s="52"/>
      <c r="N371" s="52"/>
      <c r="O371" s="52"/>
      <c r="P371" s="52"/>
      <c r="Q371" s="52"/>
      <c r="U371" s="52"/>
    </row>
    <row r="372">
      <c r="M372" s="52"/>
      <c r="N372" s="52"/>
      <c r="O372" s="52"/>
      <c r="P372" s="52"/>
      <c r="Q372" s="52"/>
      <c r="U372" s="52"/>
    </row>
    <row r="373">
      <c r="M373" s="52"/>
      <c r="N373" s="52"/>
      <c r="O373" s="52"/>
      <c r="P373" s="52"/>
      <c r="Q373" s="52"/>
      <c r="U373" s="52"/>
    </row>
    <row r="374">
      <c r="M374" s="52"/>
      <c r="N374" s="52"/>
      <c r="O374" s="52"/>
      <c r="P374" s="52"/>
      <c r="Q374" s="52"/>
      <c r="U374" s="52"/>
    </row>
    <row r="375">
      <c r="M375" s="52"/>
      <c r="N375" s="52"/>
      <c r="O375" s="52"/>
      <c r="P375" s="52"/>
      <c r="Q375" s="52"/>
      <c r="U375" s="52"/>
    </row>
    <row r="376">
      <c r="M376" s="52"/>
      <c r="N376" s="52"/>
      <c r="O376" s="52"/>
      <c r="P376" s="52"/>
      <c r="Q376" s="52"/>
      <c r="U376" s="52"/>
    </row>
    <row r="377">
      <c r="M377" s="52"/>
      <c r="N377" s="52"/>
      <c r="O377" s="52"/>
      <c r="P377" s="52"/>
      <c r="Q377" s="52"/>
      <c r="U377" s="52"/>
    </row>
    <row r="378">
      <c r="M378" s="52"/>
      <c r="N378" s="52"/>
      <c r="O378" s="52"/>
      <c r="P378" s="52"/>
      <c r="Q378" s="52"/>
      <c r="U378" s="52"/>
    </row>
    <row r="379">
      <c r="M379" s="52"/>
      <c r="N379" s="52"/>
      <c r="O379" s="52"/>
      <c r="P379" s="52"/>
      <c r="Q379" s="52"/>
      <c r="U379" s="52"/>
    </row>
    <row r="380">
      <c r="M380" s="52"/>
      <c r="N380" s="52"/>
      <c r="O380" s="52"/>
      <c r="P380" s="52"/>
      <c r="Q380" s="52"/>
      <c r="U380" s="52"/>
    </row>
    <row r="381">
      <c r="M381" s="52"/>
      <c r="N381" s="52"/>
      <c r="O381" s="52"/>
      <c r="P381" s="52"/>
      <c r="Q381" s="52"/>
      <c r="U381" s="52"/>
    </row>
    <row r="382">
      <c r="M382" s="52"/>
      <c r="N382" s="52"/>
      <c r="O382" s="52"/>
      <c r="P382" s="52"/>
      <c r="Q382" s="52"/>
      <c r="U382" s="52"/>
    </row>
    <row r="383">
      <c r="M383" s="52"/>
      <c r="N383" s="52"/>
      <c r="O383" s="52"/>
      <c r="P383" s="52"/>
      <c r="Q383" s="52"/>
      <c r="U383" s="52"/>
    </row>
    <row r="384">
      <c r="M384" s="52"/>
      <c r="N384" s="52"/>
      <c r="O384" s="52"/>
      <c r="P384" s="52"/>
      <c r="Q384" s="52"/>
      <c r="U384" s="52"/>
    </row>
    <row r="385">
      <c r="M385" s="52"/>
      <c r="N385" s="52"/>
      <c r="O385" s="52"/>
      <c r="P385" s="52"/>
      <c r="Q385" s="52"/>
      <c r="U385" s="52"/>
    </row>
    <row r="386">
      <c r="M386" s="52"/>
      <c r="N386" s="52"/>
      <c r="O386" s="52"/>
      <c r="P386" s="52"/>
      <c r="Q386" s="52"/>
      <c r="U386" s="52"/>
    </row>
    <row r="387">
      <c r="M387" s="52"/>
      <c r="N387" s="52"/>
      <c r="O387" s="52"/>
      <c r="P387" s="52"/>
      <c r="Q387" s="52"/>
      <c r="U387" s="52"/>
    </row>
    <row r="388">
      <c r="M388" s="52"/>
      <c r="N388" s="52"/>
      <c r="O388" s="52"/>
      <c r="P388" s="52"/>
      <c r="Q388" s="52"/>
      <c r="U388" s="52"/>
    </row>
    <row r="389">
      <c r="M389" s="52"/>
      <c r="N389" s="52"/>
      <c r="O389" s="52"/>
      <c r="P389" s="52"/>
      <c r="Q389" s="52"/>
      <c r="U389" s="52"/>
    </row>
    <row r="390">
      <c r="M390" s="52"/>
      <c r="N390" s="52"/>
      <c r="O390" s="52"/>
      <c r="P390" s="52"/>
      <c r="Q390" s="52"/>
      <c r="U390" s="52"/>
    </row>
    <row r="391">
      <c r="M391" s="52"/>
      <c r="N391" s="52"/>
      <c r="O391" s="52"/>
      <c r="P391" s="52"/>
      <c r="Q391" s="52"/>
      <c r="U391" s="52"/>
    </row>
    <row r="392">
      <c r="M392" s="52"/>
      <c r="N392" s="52"/>
      <c r="O392" s="52"/>
      <c r="P392" s="52"/>
      <c r="Q392" s="52"/>
      <c r="U392" s="52"/>
    </row>
    <row r="393">
      <c r="M393" s="52"/>
      <c r="N393" s="52"/>
      <c r="O393" s="52"/>
      <c r="P393" s="52"/>
      <c r="Q393" s="52"/>
      <c r="U393" s="52"/>
    </row>
    <row r="394">
      <c r="M394" s="52"/>
      <c r="N394" s="52"/>
      <c r="O394" s="52"/>
      <c r="P394" s="52"/>
      <c r="Q394" s="52"/>
      <c r="U394" s="52"/>
    </row>
    <row r="395">
      <c r="M395" s="52"/>
      <c r="N395" s="52"/>
      <c r="O395" s="52"/>
      <c r="P395" s="52"/>
      <c r="Q395" s="52"/>
      <c r="U395" s="52"/>
    </row>
    <row r="396">
      <c r="M396" s="52"/>
      <c r="N396" s="52"/>
      <c r="O396" s="52"/>
      <c r="P396" s="52"/>
      <c r="Q396" s="52"/>
      <c r="U396" s="52"/>
    </row>
    <row r="397">
      <c r="M397" s="52"/>
      <c r="N397" s="52"/>
      <c r="O397" s="52"/>
      <c r="P397" s="52"/>
      <c r="Q397" s="52"/>
      <c r="U397" s="52"/>
    </row>
    <row r="398">
      <c r="M398" s="52"/>
      <c r="N398" s="52"/>
      <c r="O398" s="52"/>
      <c r="P398" s="52"/>
      <c r="Q398" s="52"/>
      <c r="U398" s="52"/>
    </row>
    <row r="399">
      <c r="M399" s="52"/>
      <c r="N399" s="52"/>
      <c r="O399" s="52"/>
      <c r="P399" s="52"/>
      <c r="Q399" s="52"/>
      <c r="U399" s="52"/>
    </row>
    <row r="400">
      <c r="M400" s="52"/>
      <c r="N400" s="52"/>
      <c r="O400" s="52"/>
      <c r="P400" s="52"/>
      <c r="Q400" s="52"/>
      <c r="U400" s="52"/>
    </row>
    <row r="401">
      <c r="M401" s="52"/>
      <c r="N401" s="52"/>
      <c r="O401" s="52"/>
      <c r="P401" s="52"/>
      <c r="Q401" s="52"/>
      <c r="U401" s="52"/>
    </row>
    <row r="402">
      <c r="M402" s="52"/>
      <c r="N402" s="52"/>
      <c r="O402" s="52"/>
      <c r="P402" s="52"/>
      <c r="Q402" s="52"/>
      <c r="U402" s="52"/>
    </row>
    <row r="403">
      <c r="M403" s="52"/>
      <c r="N403" s="52"/>
      <c r="O403" s="52"/>
      <c r="P403" s="52"/>
      <c r="Q403" s="52"/>
      <c r="U403" s="52"/>
    </row>
    <row r="404">
      <c r="M404" s="52"/>
      <c r="N404" s="52"/>
      <c r="O404" s="52"/>
      <c r="P404" s="52"/>
      <c r="Q404" s="52"/>
      <c r="U404" s="52"/>
    </row>
    <row r="405">
      <c r="M405" s="52"/>
      <c r="N405" s="52"/>
      <c r="O405" s="52"/>
      <c r="P405" s="52"/>
      <c r="Q405" s="52"/>
      <c r="U405" s="52"/>
    </row>
    <row r="406">
      <c r="M406" s="52"/>
      <c r="N406" s="52"/>
      <c r="O406" s="52"/>
      <c r="P406" s="52"/>
      <c r="Q406" s="52"/>
      <c r="U406" s="52"/>
    </row>
    <row r="407">
      <c r="M407" s="52"/>
      <c r="N407" s="52"/>
      <c r="O407" s="52"/>
      <c r="P407" s="52"/>
      <c r="Q407" s="52"/>
      <c r="U407" s="52"/>
    </row>
    <row r="408">
      <c r="M408" s="52"/>
      <c r="N408" s="52"/>
      <c r="O408" s="52"/>
      <c r="P408" s="52"/>
      <c r="Q408" s="52"/>
      <c r="U408" s="52"/>
    </row>
    <row r="409">
      <c r="M409" s="52"/>
      <c r="N409" s="52"/>
      <c r="O409" s="52"/>
      <c r="P409" s="52"/>
      <c r="Q409" s="52"/>
      <c r="U409" s="52"/>
    </row>
    <row r="410">
      <c r="M410" s="52"/>
      <c r="N410" s="52"/>
      <c r="O410" s="52"/>
      <c r="P410" s="52"/>
      <c r="Q410" s="52"/>
      <c r="U410" s="52"/>
    </row>
    <row r="411">
      <c r="M411" s="52"/>
      <c r="N411" s="52"/>
      <c r="O411" s="52"/>
      <c r="P411" s="52"/>
      <c r="Q411" s="52"/>
      <c r="U411" s="52"/>
    </row>
    <row r="412">
      <c r="M412" s="52"/>
      <c r="N412" s="52"/>
      <c r="O412" s="52"/>
      <c r="P412" s="52"/>
      <c r="Q412" s="52"/>
      <c r="U412" s="52"/>
    </row>
    <row r="413">
      <c r="M413" s="52"/>
      <c r="N413" s="52"/>
      <c r="O413" s="52"/>
      <c r="P413" s="52"/>
      <c r="Q413" s="52"/>
      <c r="U413" s="52"/>
    </row>
    <row r="414">
      <c r="M414" s="52"/>
      <c r="N414" s="52"/>
      <c r="O414" s="52"/>
      <c r="P414" s="52"/>
      <c r="Q414" s="52"/>
      <c r="U414" s="52"/>
    </row>
    <row r="415">
      <c r="M415" s="52"/>
      <c r="N415" s="52"/>
      <c r="O415" s="52"/>
      <c r="P415" s="52"/>
      <c r="Q415" s="52"/>
      <c r="U415" s="52"/>
    </row>
    <row r="416">
      <c r="M416" s="52"/>
      <c r="N416" s="52"/>
      <c r="O416" s="52"/>
      <c r="P416" s="52"/>
      <c r="Q416" s="52"/>
      <c r="U416" s="52"/>
    </row>
    <row r="417">
      <c r="M417" s="52"/>
      <c r="N417" s="52"/>
      <c r="O417" s="52"/>
      <c r="P417" s="52"/>
      <c r="Q417" s="52"/>
      <c r="U417" s="52"/>
    </row>
    <row r="418">
      <c r="M418" s="52"/>
      <c r="N418" s="52"/>
      <c r="O418" s="52"/>
      <c r="P418" s="52"/>
      <c r="Q418" s="52"/>
      <c r="U418" s="52"/>
    </row>
    <row r="419">
      <c r="M419" s="52"/>
      <c r="N419" s="52"/>
      <c r="O419" s="52"/>
      <c r="P419" s="52"/>
      <c r="Q419" s="52"/>
      <c r="U419" s="52"/>
    </row>
    <row r="420">
      <c r="M420" s="52"/>
      <c r="N420" s="52"/>
      <c r="O420" s="52"/>
      <c r="P420" s="52"/>
      <c r="Q420" s="52"/>
      <c r="U420" s="52"/>
    </row>
    <row r="421">
      <c r="M421" s="52"/>
      <c r="N421" s="52"/>
      <c r="O421" s="52"/>
      <c r="P421" s="52"/>
      <c r="Q421" s="52"/>
      <c r="U421" s="52"/>
    </row>
    <row r="422">
      <c r="M422" s="52"/>
      <c r="N422" s="52"/>
      <c r="O422" s="52"/>
      <c r="P422" s="52"/>
      <c r="Q422" s="52"/>
      <c r="U422" s="52"/>
    </row>
    <row r="423">
      <c r="M423" s="52"/>
      <c r="N423" s="52"/>
      <c r="O423" s="52"/>
      <c r="P423" s="52"/>
      <c r="Q423" s="52"/>
      <c r="U423" s="52"/>
    </row>
    <row r="424">
      <c r="M424" s="52"/>
      <c r="N424" s="52"/>
      <c r="O424" s="52"/>
      <c r="P424" s="52"/>
      <c r="Q424" s="52"/>
      <c r="U424" s="52"/>
    </row>
    <row r="425">
      <c r="M425" s="52"/>
      <c r="N425" s="52"/>
      <c r="O425" s="52"/>
      <c r="P425" s="52"/>
      <c r="Q425" s="52"/>
      <c r="U425" s="52"/>
    </row>
    <row r="426">
      <c r="M426" s="52"/>
      <c r="N426" s="52"/>
      <c r="O426" s="52"/>
      <c r="P426" s="52"/>
      <c r="Q426" s="52"/>
      <c r="U426" s="52"/>
    </row>
    <row r="427">
      <c r="M427" s="52"/>
      <c r="N427" s="52"/>
      <c r="O427" s="52"/>
      <c r="P427" s="52"/>
      <c r="Q427" s="52"/>
      <c r="U427" s="52"/>
    </row>
    <row r="428">
      <c r="M428" s="52"/>
      <c r="N428" s="52"/>
      <c r="O428" s="52"/>
      <c r="P428" s="52"/>
      <c r="Q428" s="52"/>
      <c r="U428" s="52"/>
    </row>
    <row r="429">
      <c r="M429" s="52"/>
      <c r="N429" s="52"/>
      <c r="O429" s="52"/>
      <c r="P429" s="52"/>
      <c r="Q429" s="52"/>
      <c r="U429" s="52"/>
    </row>
    <row r="430">
      <c r="M430" s="52"/>
      <c r="N430" s="52"/>
      <c r="O430" s="52"/>
      <c r="P430" s="52"/>
      <c r="Q430" s="52"/>
      <c r="U430" s="52"/>
    </row>
    <row r="431">
      <c r="M431" s="52"/>
      <c r="N431" s="52"/>
      <c r="O431" s="52"/>
      <c r="P431" s="52"/>
      <c r="Q431" s="52"/>
      <c r="U431" s="52"/>
    </row>
    <row r="432">
      <c r="M432" s="52"/>
      <c r="N432" s="52"/>
      <c r="O432" s="52"/>
      <c r="P432" s="52"/>
      <c r="Q432" s="52"/>
      <c r="U432" s="52"/>
    </row>
    <row r="433">
      <c r="M433" s="52"/>
      <c r="N433" s="52"/>
      <c r="O433" s="52"/>
      <c r="P433" s="52"/>
      <c r="Q433" s="52"/>
      <c r="U433" s="52"/>
    </row>
    <row r="434">
      <c r="M434" s="52"/>
      <c r="N434" s="52"/>
      <c r="O434" s="52"/>
      <c r="P434" s="52"/>
      <c r="Q434" s="52"/>
      <c r="U434" s="52"/>
    </row>
    <row r="435">
      <c r="M435" s="52"/>
      <c r="N435" s="52"/>
      <c r="O435" s="52"/>
      <c r="P435" s="52"/>
      <c r="Q435" s="52"/>
      <c r="U435" s="52"/>
    </row>
    <row r="436">
      <c r="M436" s="52"/>
      <c r="N436" s="52"/>
      <c r="O436" s="52"/>
      <c r="P436" s="52"/>
      <c r="Q436" s="52"/>
      <c r="U436" s="52"/>
    </row>
    <row r="437">
      <c r="M437" s="52"/>
      <c r="N437" s="52"/>
      <c r="O437" s="52"/>
      <c r="P437" s="52"/>
      <c r="Q437" s="52"/>
      <c r="U437" s="52"/>
    </row>
    <row r="438">
      <c r="M438" s="52"/>
      <c r="N438" s="52"/>
      <c r="O438" s="52"/>
      <c r="P438" s="52"/>
      <c r="Q438" s="52"/>
      <c r="U438" s="52"/>
    </row>
    <row r="439">
      <c r="M439" s="52"/>
      <c r="N439" s="52"/>
      <c r="O439" s="52"/>
      <c r="P439" s="52"/>
      <c r="Q439" s="52"/>
      <c r="U439" s="52"/>
    </row>
    <row r="440">
      <c r="M440" s="52"/>
      <c r="N440" s="52"/>
      <c r="O440" s="52"/>
      <c r="P440" s="52"/>
      <c r="Q440" s="52"/>
      <c r="U440" s="52"/>
    </row>
    <row r="441">
      <c r="M441" s="52"/>
      <c r="N441" s="52"/>
      <c r="O441" s="52"/>
      <c r="P441" s="52"/>
      <c r="Q441" s="52"/>
      <c r="U441" s="52"/>
    </row>
    <row r="442">
      <c r="M442" s="52"/>
      <c r="N442" s="52"/>
      <c r="O442" s="52"/>
      <c r="P442" s="52"/>
      <c r="Q442" s="52"/>
      <c r="U442" s="52"/>
    </row>
    <row r="443">
      <c r="M443" s="52"/>
      <c r="N443" s="52"/>
      <c r="O443" s="52"/>
      <c r="P443" s="52"/>
      <c r="Q443" s="52"/>
      <c r="U443" s="52"/>
    </row>
    <row r="444">
      <c r="M444" s="52"/>
      <c r="N444" s="52"/>
      <c r="O444" s="52"/>
      <c r="P444" s="52"/>
      <c r="Q444" s="52"/>
      <c r="U444" s="52"/>
    </row>
    <row r="445">
      <c r="M445" s="52"/>
      <c r="N445" s="52"/>
      <c r="O445" s="52"/>
      <c r="P445" s="52"/>
      <c r="Q445" s="52"/>
      <c r="U445" s="52"/>
    </row>
    <row r="446">
      <c r="M446" s="52"/>
      <c r="N446" s="52"/>
      <c r="O446" s="52"/>
      <c r="P446" s="52"/>
      <c r="Q446" s="52"/>
      <c r="U446" s="52"/>
    </row>
    <row r="447">
      <c r="M447" s="52"/>
      <c r="N447" s="52"/>
      <c r="O447" s="52"/>
      <c r="P447" s="52"/>
      <c r="Q447" s="52"/>
      <c r="U447" s="52"/>
    </row>
    <row r="448">
      <c r="M448" s="52"/>
      <c r="N448" s="52"/>
      <c r="O448" s="52"/>
      <c r="P448" s="52"/>
      <c r="Q448" s="52"/>
      <c r="U448" s="52"/>
    </row>
    <row r="449">
      <c r="M449" s="52"/>
      <c r="N449" s="52"/>
      <c r="O449" s="52"/>
      <c r="P449" s="52"/>
      <c r="Q449" s="52"/>
      <c r="U449" s="52"/>
    </row>
    <row r="450">
      <c r="M450" s="52"/>
      <c r="N450" s="52"/>
      <c r="O450" s="52"/>
      <c r="P450" s="52"/>
      <c r="Q450" s="52"/>
      <c r="U450" s="52"/>
    </row>
    <row r="451">
      <c r="M451" s="52"/>
      <c r="N451" s="52"/>
      <c r="O451" s="52"/>
      <c r="P451" s="52"/>
      <c r="Q451" s="52"/>
      <c r="U451" s="52"/>
    </row>
    <row r="452">
      <c r="M452" s="52"/>
      <c r="N452" s="52"/>
      <c r="O452" s="52"/>
      <c r="P452" s="52"/>
      <c r="Q452" s="52"/>
      <c r="U452" s="52"/>
    </row>
    <row r="453">
      <c r="M453" s="52"/>
      <c r="N453" s="52"/>
      <c r="O453" s="52"/>
      <c r="P453" s="52"/>
      <c r="Q453" s="52"/>
      <c r="U453" s="52"/>
    </row>
    <row r="454">
      <c r="M454" s="52"/>
      <c r="N454" s="52"/>
      <c r="O454" s="52"/>
      <c r="P454" s="52"/>
      <c r="Q454" s="52"/>
      <c r="U454" s="52"/>
    </row>
    <row r="455">
      <c r="M455" s="52"/>
      <c r="N455" s="52"/>
      <c r="O455" s="52"/>
      <c r="P455" s="52"/>
      <c r="Q455" s="52"/>
      <c r="U455" s="52"/>
    </row>
    <row r="456">
      <c r="M456" s="52"/>
      <c r="N456" s="52"/>
      <c r="O456" s="52"/>
      <c r="P456" s="52"/>
      <c r="Q456" s="52"/>
      <c r="U456" s="52"/>
    </row>
    <row r="457">
      <c r="M457" s="52"/>
      <c r="N457" s="52"/>
      <c r="O457" s="52"/>
      <c r="P457" s="52"/>
      <c r="Q457" s="52"/>
      <c r="U457" s="52"/>
    </row>
    <row r="458">
      <c r="M458" s="52"/>
      <c r="N458" s="52"/>
      <c r="O458" s="52"/>
      <c r="P458" s="52"/>
      <c r="Q458" s="52"/>
      <c r="U458" s="52"/>
    </row>
    <row r="459">
      <c r="M459" s="52"/>
      <c r="N459" s="52"/>
      <c r="O459" s="52"/>
      <c r="P459" s="52"/>
      <c r="Q459" s="52"/>
      <c r="U459" s="52"/>
    </row>
    <row r="460">
      <c r="M460" s="52"/>
      <c r="N460" s="52"/>
      <c r="O460" s="52"/>
      <c r="P460" s="52"/>
      <c r="Q460" s="52"/>
      <c r="U460" s="52"/>
    </row>
    <row r="461">
      <c r="M461" s="52"/>
      <c r="N461" s="52"/>
      <c r="O461" s="52"/>
      <c r="P461" s="52"/>
      <c r="Q461" s="52"/>
      <c r="U461" s="52"/>
    </row>
    <row r="462">
      <c r="M462" s="52"/>
      <c r="N462" s="52"/>
      <c r="O462" s="52"/>
      <c r="P462" s="52"/>
      <c r="Q462" s="52"/>
      <c r="U462" s="52"/>
    </row>
    <row r="463">
      <c r="M463" s="52"/>
      <c r="N463" s="52"/>
      <c r="O463" s="52"/>
      <c r="P463" s="52"/>
      <c r="Q463" s="52"/>
      <c r="U463" s="52"/>
    </row>
    <row r="464">
      <c r="M464" s="52"/>
      <c r="N464" s="52"/>
      <c r="O464" s="52"/>
      <c r="P464" s="52"/>
      <c r="Q464" s="52"/>
      <c r="U464" s="52"/>
    </row>
    <row r="465">
      <c r="M465" s="52"/>
      <c r="N465" s="52"/>
      <c r="O465" s="52"/>
      <c r="P465" s="52"/>
      <c r="Q465" s="52"/>
      <c r="U465" s="52"/>
    </row>
    <row r="466">
      <c r="M466" s="52"/>
      <c r="N466" s="52"/>
      <c r="O466" s="52"/>
      <c r="P466" s="52"/>
      <c r="Q466" s="52"/>
      <c r="U466" s="52"/>
    </row>
    <row r="467">
      <c r="M467" s="52"/>
      <c r="N467" s="52"/>
      <c r="O467" s="52"/>
      <c r="P467" s="52"/>
      <c r="Q467" s="52"/>
      <c r="U467" s="52"/>
    </row>
    <row r="468">
      <c r="M468" s="52"/>
      <c r="N468" s="52"/>
      <c r="O468" s="52"/>
      <c r="P468" s="52"/>
      <c r="Q468" s="52"/>
      <c r="U468" s="52"/>
    </row>
    <row r="469">
      <c r="M469" s="52"/>
      <c r="N469" s="52"/>
      <c r="O469" s="52"/>
      <c r="P469" s="52"/>
      <c r="Q469" s="52"/>
      <c r="U469" s="52"/>
    </row>
    <row r="470">
      <c r="M470" s="52"/>
      <c r="N470" s="52"/>
      <c r="O470" s="52"/>
      <c r="P470" s="52"/>
      <c r="Q470" s="52"/>
      <c r="U470" s="52"/>
    </row>
    <row r="471">
      <c r="M471" s="52"/>
      <c r="N471" s="52"/>
      <c r="O471" s="52"/>
      <c r="P471" s="52"/>
      <c r="Q471" s="52"/>
      <c r="U471" s="52"/>
    </row>
    <row r="472">
      <c r="M472" s="52"/>
      <c r="N472" s="52"/>
      <c r="O472" s="52"/>
      <c r="P472" s="52"/>
      <c r="Q472" s="52"/>
      <c r="U472" s="52"/>
    </row>
    <row r="473">
      <c r="M473" s="52"/>
      <c r="N473" s="52"/>
      <c r="O473" s="52"/>
      <c r="P473" s="52"/>
      <c r="Q473" s="52"/>
      <c r="U473" s="52"/>
    </row>
    <row r="474">
      <c r="M474" s="52"/>
      <c r="N474" s="52"/>
      <c r="O474" s="52"/>
      <c r="P474" s="52"/>
      <c r="Q474" s="52"/>
      <c r="U474" s="52"/>
    </row>
    <row r="475">
      <c r="M475" s="52"/>
      <c r="N475" s="52"/>
      <c r="O475" s="52"/>
      <c r="P475" s="52"/>
      <c r="Q475" s="52"/>
      <c r="U475" s="52"/>
    </row>
    <row r="476">
      <c r="M476" s="52"/>
      <c r="N476" s="52"/>
      <c r="O476" s="52"/>
      <c r="P476" s="52"/>
      <c r="Q476" s="52"/>
      <c r="U476" s="52"/>
    </row>
    <row r="477">
      <c r="M477" s="52"/>
      <c r="N477" s="52"/>
      <c r="O477" s="52"/>
      <c r="P477" s="52"/>
      <c r="Q477" s="52"/>
      <c r="U477" s="52"/>
    </row>
    <row r="478">
      <c r="M478" s="52"/>
      <c r="N478" s="52"/>
      <c r="O478" s="52"/>
      <c r="P478" s="52"/>
      <c r="Q478" s="52"/>
      <c r="U478" s="52"/>
    </row>
    <row r="479">
      <c r="M479" s="52"/>
      <c r="N479" s="52"/>
      <c r="O479" s="52"/>
      <c r="P479" s="52"/>
      <c r="Q479" s="52"/>
      <c r="U479" s="52"/>
    </row>
    <row r="480">
      <c r="M480" s="52"/>
      <c r="N480" s="52"/>
      <c r="O480" s="52"/>
      <c r="P480" s="52"/>
      <c r="Q480" s="52"/>
      <c r="U480" s="52"/>
    </row>
    <row r="481">
      <c r="M481" s="52"/>
      <c r="N481" s="52"/>
      <c r="O481" s="52"/>
      <c r="P481" s="52"/>
      <c r="Q481" s="52"/>
      <c r="U481" s="52"/>
    </row>
    <row r="482">
      <c r="M482" s="52"/>
      <c r="N482" s="52"/>
      <c r="O482" s="52"/>
      <c r="P482" s="52"/>
      <c r="Q482" s="52"/>
      <c r="U482" s="52"/>
    </row>
    <row r="483">
      <c r="M483" s="52"/>
      <c r="N483" s="52"/>
      <c r="O483" s="52"/>
      <c r="P483" s="52"/>
      <c r="Q483" s="52"/>
      <c r="U483" s="52"/>
    </row>
    <row r="484">
      <c r="M484" s="52"/>
      <c r="N484" s="52"/>
      <c r="O484" s="52"/>
      <c r="P484" s="52"/>
      <c r="Q484" s="52"/>
      <c r="U484" s="52"/>
    </row>
    <row r="485">
      <c r="M485" s="52"/>
      <c r="N485" s="52"/>
      <c r="O485" s="52"/>
      <c r="P485" s="52"/>
      <c r="Q485" s="52"/>
      <c r="U485" s="52"/>
    </row>
    <row r="486">
      <c r="M486" s="52"/>
      <c r="N486" s="52"/>
      <c r="O486" s="52"/>
      <c r="P486" s="52"/>
      <c r="Q486" s="52"/>
      <c r="U486" s="52"/>
    </row>
    <row r="487">
      <c r="M487" s="52"/>
      <c r="N487" s="52"/>
      <c r="O487" s="52"/>
      <c r="P487" s="52"/>
      <c r="Q487" s="52"/>
      <c r="U487" s="52"/>
    </row>
    <row r="488">
      <c r="M488" s="52"/>
      <c r="N488" s="52"/>
      <c r="O488" s="52"/>
      <c r="P488" s="52"/>
      <c r="Q488" s="52"/>
      <c r="U488" s="52"/>
    </row>
    <row r="489">
      <c r="M489" s="52"/>
      <c r="N489" s="52"/>
      <c r="O489" s="52"/>
      <c r="P489" s="52"/>
      <c r="Q489" s="52"/>
      <c r="U489" s="52"/>
    </row>
    <row r="490">
      <c r="M490" s="52"/>
      <c r="N490" s="52"/>
      <c r="O490" s="52"/>
      <c r="P490" s="52"/>
      <c r="Q490" s="52"/>
      <c r="U490" s="52"/>
    </row>
    <row r="491">
      <c r="M491" s="52"/>
      <c r="N491" s="52"/>
      <c r="O491" s="52"/>
      <c r="P491" s="52"/>
      <c r="Q491" s="52"/>
      <c r="U491" s="52"/>
    </row>
    <row r="492">
      <c r="M492" s="52"/>
      <c r="N492" s="52"/>
      <c r="O492" s="52"/>
      <c r="P492" s="52"/>
      <c r="Q492" s="52"/>
      <c r="U492" s="52"/>
    </row>
    <row r="493">
      <c r="M493" s="52"/>
      <c r="N493" s="52"/>
      <c r="O493" s="52"/>
      <c r="P493" s="52"/>
      <c r="Q493" s="52"/>
      <c r="U493" s="52"/>
    </row>
    <row r="494">
      <c r="M494" s="52"/>
      <c r="N494" s="52"/>
      <c r="O494" s="52"/>
      <c r="P494" s="52"/>
      <c r="Q494" s="52"/>
      <c r="U494" s="52"/>
    </row>
    <row r="495">
      <c r="M495" s="52"/>
      <c r="N495" s="52"/>
      <c r="O495" s="52"/>
      <c r="P495" s="52"/>
      <c r="Q495" s="52"/>
      <c r="U495" s="52"/>
    </row>
    <row r="496">
      <c r="M496" s="52"/>
      <c r="N496" s="52"/>
      <c r="O496" s="52"/>
      <c r="P496" s="52"/>
      <c r="Q496" s="52"/>
      <c r="U496" s="52"/>
    </row>
    <row r="497">
      <c r="M497" s="52"/>
      <c r="N497" s="52"/>
      <c r="O497" s="52"/>
      <c r="P497" s="52"/>
      <c r="Q497" s="52"/>
      <c r="U497" s="52"/>
    </row>
    <row r="498">
      <c r="M498" s="52"/>
      <c r="N498" s="52"/>
      <c r="O498" s="52"/>
      <c r="P498" s="52"/>
      <c r="Q498" s="52"/>
      <c r="U498" s="52"/>
    </row>
    <row r="499">
      <c r="M499" s="52"/>
      <c r="N499" s="52"/>
      <c r="O499" s="52"/>
      <c r="P499" s="52"/>
      <c r="Q499" s="52"/>
      <c r="U499" s="52"/>
    </row>
    <row r="500">
      <c r="M500" s="52"/>
      <c r="N500" s="52"/>
      <c r="O500" s="52"/>
      <c r="P500" s="52"/>
      <c r="Q500" s="52"/>
      <c r="U500" s="52"/>
    </row>
    <row r="501">
      <c r="M501" s="52"/>
      <c r="N501" s="52"/>
      <c r="O501" s="52"/>
      <c r="P501" s="52"/>
      <c r="Q501" s="52"/>
      <c r="U501" s="52"/>
    </row>
    <row r="502">
      <c r="M502" s="52"/>
      <c r="N502" s="52"/>
      <c r="O502" s="52"/>
      <c r="P502" s="52"/>
      <c r="Q502" s="52"/>
      <c r="U502" s="52"/>
    </row>
    <row r="503">
      <c r="M503" s="52"/>
      <c r="N503" s="52"/>
      <c r="O503" s="52"/>
      <c r="P503" s="52"/>
      <c r="Q503" s="52"/>
      <c r="U503" s="52"/>
    </row>
    <row r="504">
      <c r="M504" s="52"/>
      <c r="N504" s="52"/>
      <c r="O504" s="52"/>
      <c r="P504" s="52"/>
      <c r="Q504" s="52"/>
      <c r="U504" s="52"/>
    </row>
    <row r="505">
      <c r="M505" s="52"/>
      <c r="N505" s="52"/>
      <c r="O505" s="52"/>
      <c r="P505" s="52"/>
      <c r="Q505" s="52"/>
      <c r="U505" s="52"/>
    </row>
    <row r="506">
      <c r="M506" s="52"/>
      <c r="N506" s="52"/>
      <c r="O506" s="52"/>
      <c r="P506" s="52"/>
      <c r="Q506" s="52"/>
      <c r="U506" s="52"/>
    </row>
    <row r="507">
      <c r="M507" s="52"/>
      <c r="N507" s="52"/>
      <c r="O507" s="52"/>
      <c r="P507" s="52"/>
      <c r="Q507" s="52"/>
      <c r="U507" s="52"/>
    </row>
    <row r="508">
      <c r="M508" s="52"/>
      <c r="N508" s="52"/>
      <c r="O508" s="52"/>
      <c r="P508" s="52"/>
      <c r="Q508" s="52"/>
      <c r="U508" s="52"/>
    </row>
    <row r="509">
      <c r="M509" s="52"/>
      <c r="N509" s="52"/>
      <c r="O509" s="52"/>
      <c r="P509" s="52"/>
      <c r="Q509" s="52"/>
      <c r="U509" s="52"/>
    </row>
    <row r="510">
      <c r="M510" s="52"/>
      <c r="N510" s="52"/>
      <c r="O510" s="52"/>
      <c r="P510" s="52"/>
      <c r="Q510" s="52"/>
      <c r="U510" s="52"/>
    </row>
    <row r="511">
      <c r="M511" s="52"/>
      <c r="N511" s="52"/>
      <c r="O511" s="52"/>
      <c r="P511" s="52"/>
      <c r="Q511" s="52"/>
      <c r="U511" s="52"/>
    </row>
    <row r="512">
      <c r="M512" s="52"/>
      <c r="N512" s="52"/>
      <c r="O512" s="52"/>
      <c r="P512" s="52"/>
      <c r="Q512" s="52"/>
      <c r="U512" s="52"/>
    </row>
    <row r="513">
      <c r="M513" s="52"/>
      <c r="N513" s="52"/>
      <c r="O513" s="52"/>
      <c r="P513" s="52"/>
      <c r="Q513" s="52"/>
      <c r="U513" s="52"/>
    </row>
    <row r="514">
      <c r="M514" s="52"/>
      <c r="N514" s="52"/>
      <c r="O514" s="52"/>
      <c r="P514" s="52"/>
      <c r="Q514" s="52"/>
      <c r="U514" s="52"/>
    </row>
    <row r="515">
      <c r="M515" s="52"/>
      <c r="N515" s="52"/>
      <c r="O515" s="52"/>
      <c r="P515" s="52"/>
      <c r="Q515" s="52"/>
      <c r="U515" s="52"/>
    </row>
    <row r="516">
      <c r="M516" s="52"/>
      <c r="N516" s="52"/>
      <c r="O516" s="52"/>
      <c r="P516" s="52"/>
      <c r="Q516" s="52"/>
      <c r="U516" s="52"/>
    </row>
    <row r="517">
      <c r="M517" s="52"/>
      <c r="N517" s="52"/>
      <c r="O517" s="52"/>
      <c r="P517" s="52"/>
      <c r="Q517" s="52"/>
      <c r="U517" s="52"/>
    </row>
    <row r="518">
      <c r="M518" s="52"/>
      <c r="N518" s="52"/>
      <c r="O518" s="52"/>
      <c r="P518" s="52"/>
      <c r="Q518" s="52"/>
      <c r="U518" s="52"/>
    </row>
    <row r="519">
      <c r="M519" s="52"/>
      <c r="N519" s="52"/>
      <c r="O519" s="52"/>
      <c r="P519" s="52"/>
      <c r="Q519" s="52"/>
      <c r="U519" s="52"/>
    </row>
    <row r="520">
      <c r="M520" s="52"/>
      <c r="N520" s="52"/>
      <c r="O520" s="52"/>
      <c r="P520" s="52"/>
      <c r="Q520" s="52"/>
      <c r="U520" s="52"/>
    </row>
    <row r="521">
      <c r="M521" s="52"/>
      <c r="N521" s="52"/>
      <c r="O521" s="52"/>
      <c r="P521" s="52"/>
      <c r="Q521" s="52"/>
      <c r="U521" s="52"/>
    </row>
    <row r="522">
      <c r="M522" s="52"/>
      <c r="N522" s="52"/>
      <c r="O522" s="52"/>
      <c r="P522" s="52"/>
      <c r="Q522" s="52"/>
      <c r="U522" s="52"/>
    </row>
    <row r="523">
      <c r="M523" s="52"/>
      <c r="N523" s="52"/>
      <c r="O523" s="52"/>
      <c r="P523" s="52"/>
      <c r="Q523" s="52"/>
      <c r="U523" s="52"/>
    </row>
    <row r="524">
      <c r="M524" s="52"/>
      <c r="N524" s="52"/>
      <c r="O524" s="52"/>
      <c r="P524" s="52"/>
      <c r="Q524" s="52"/>
      <c r="U524" s="52"/>
    </row>
    <row r="525">
      <c r="M525" s="52"/>
      <c r="N525" s="52"/>
      <c r="O525" s="52"/>
      <c r="P525" s="52"/>
      <c r="Q525" s="52"/>
      <c r="U525" s="52"/>
    </row>
    <row r="526">
      <c r="M526" s="52"/>
      <c r="N526" s="52"/>
      <c r="O526" s="52"/>
      <c r="P526" s="52"/>
      <c r="Q526" s="52"/>
      <c r="U526" s="52"/>
    </row>
    <row r="527">
      <c r="M527" s="52"/>
      <c r="N527" s="52"/>
      <c r="O527" s="52"/>
      <c r="P527" s="52"/>
      <c r="Q527" s="52"/>
      <c r="U527" s="52"/>
    </row>
    <row r="528">
      <c r="M528" s="52"/>
      <c r="N528" s="52"/>
      <c r="O528" s="52"/>
      <c r="P528" s="52"/>
      <c r="Q528" s="52"/>
      <c r="U528" s="52"/>
    </row>
    <row r="529">
      <c r="M529" s="52"/>
      <c r="N529" s="52"/>
      <c r="O529" s="52"/>
      <c r="P529" s="52"/>
      <c r="Q529" s="52"/>
      <c r="U529" s="52"/>
    </row>
    <row r="530">
      <c r="M530" s="52"/>
      <c r="N530" s="52"/>
      <c r="O530" s="52"/>
      <c r="P530" s="52"/>
      <c r="Q530" s="52"/>
      <c r="U530" s="52"/>
    </row>
    <row r="531">
      <c r="M531" s="52"/>
      <c r="N531" s="52"/>
      <c r="O531" s="52"/>
      <c r="P531" s="52"/>
      <c r="Q531" s="52"/>
      <c r="U531" s="52"/>
    </row>
    <row r="532">
      <c r="M532" s="52"/>
      <c r="N532" s="52"/>
      <c r="O532" s="52"/>
      <c r="P532" s="52"/>
      <c r="Q532" s="52"/>
      <c r="U532" s="52"/>
    </row>
    <row r="533">
      <c r="M533" s="52"/>
      <c r="N533" s="52"/>
      <c r="O533" s="52"/>
      <c r="P533" s="52"/>
      <c r="Q533" s="52"/>
      <c r="U533" s="52"/>
    </row>
    <row r="534">
      <c r="M534" s="52"/>
      <c r="N534" s="52"/>
      <c r="O534" s="52"/>
      <c r="P534" s="52"/>
      <c r="Q534" s="52"/>
      <c r="U534" s="52"/>
    </row>
    <row r="535">
      <c r="M535" s="52"/>
      <c r="N535" s="52"/>
      <c r="O535" s="52"/>
      <c r="P535" s="52"/>
      <c r="Q535" s="52"/>
      <c r="U535" s="52"/>
    </row>
    <row r="536">
      <c r="M536" s="52"/>
      <c r="N536" s="52"/>
      <c r="O536" s="52"/>
      <c r="P536" s="52"/>
      <c r="Q536" s="52"/>
      <c r="U536" s="52"/>
    </row>
    <row r="537">
      <c r="M537" s="52"/>
      <c r="N537" s="52"/>
      <c r="O537" s="52"/>
      <c r="P537" s="52"/>
      <c r="Q537" s="52"/>
      <c r="U537" s="52"/>
    </row>
    <row r="538">
      <c r="M538" s="52"/>
      <c r="N538" s="52"/>
      <c r="O538" s="52"/>
      <c r="P538" s="52"/>
      <c r="Q538" s="52"/>
      <c r="U538" s="52"/>
    </row>
    <row r="539">
      <c r="M539" s="52"/>
      <c r="N539" s="52"/>
      <c r="O539" s="52"/>
      <c r="P539" s="52"/>
      <c r="Q539" s="52"/>
      <c r="U539" s="52"/>
    </row>
    <row r="540">
      <c r="M540" s="52"/>
      <c r="N540" s="52"/>
      <c r="O540" s="52"/>
      <c r="P540" s="52"/>
      <c r="Q540" s="52"/>
      <c r="U540" s="52"/>
    </row>
    <row r="541">
      <c r="M541" s="52"/>
      <c r="N541" s="52"/>
      <c r="O541" s="52"/>
      <c r="P541" s="52"/>
      <c r="Q541" s="52"/>
      <c r="U541" s="52"/>
    </row>
    <row r="542">
      <c r="M542" s="52"/>
      <c r="N542" s="52"/>
      <c r="O542" s="52"/>
      <c r="P542" s="52"/>
      <c r="Q542" s="52"/>
      <c r="U542" s="52"/>
    </row>
    <row r="543">
      <c r="M543" s="52"/>
      <c r="N543" s="52"/>
      <c r="O543" s="52"/>
      <c r="P543" s="52"/>
      <c r="Q543" s="52"/>
      <c r="U543" s="52"/>
    </row>
    <row r="544">
      <c r="M544" s="52"/>
      <c r="N544" s="52"/>
      <c r="O544" s="52"/>
      <c r="P544" s="52"/>
      <c r="Q544" s="52"/>
      <c r="U544" s="52"/>
    </row>
    <row r="545">
      <c r="M545" s="52"/>
      <c r="N545" s="52"/>
      <c r="O545" s="52"/>
      <c r="P545" s="52"/>
      <c r="Q545" s="52"/>
      <c r="U545" s="52"/>
    </row>
    <row r="546">
      <c r="M546" s="52"/>
      <c r="N546" s="52"/>
      <c r="O546" s="52"/>
      <c r="P546" s="52"/>
      <c r="Q546" s="52"/>
      <c r="U546" s="52"/>
    </row>
    <row r="547">
      <c r="M547" s="52"/>
      <c r="N547" s="52"/>
      <c r="O547" s="52"/>
      <c r="P547" s="52"/>
      <c r="Q547" s="52"/>
      <c r="U547" s="52"/>
    </row>
    <row r="548">
      <c r="M548" s="52"/>
      <c r="N548" s="52"/>
      <c r="O548" s="52"/>
      <c r="P548" s="52"/>
      <c r="Q548" s="52"/>
      <c r="U548" s="52"/>
    </row>
    <row r="549">
      <c r="M549" s="52"/>
      <c r="N549" s="52"/>
      <c r="O549" s="52"/>
      <c r="P549" s="52"/>
      <c r="Q549" s="52"/>
      <c r="U549" s="52"/>
    </row>
    <row r="550">
      <c r="M550" s="52"/>
      <c r="N550" s="52"/>
      <c r="O550" s="52"/>
      <c r="P550" s="52"/>
      <c r="Q550" s="52"/>
      <c r="U550" s="52"/>
    </row>
    <row r="551">
      <c r="M551" s="52"/>
      <c r="N551" s="52"/>
      <c r="O551" s="52"/>
      <c r="P551" s="52"/>
      <c r="Q551" s="52"/>
      <c r="U551" s="52"/>
    </row>
    <row r="552">
      <c r="M552" s="52"/>
      <c r="N552" s="52"/>
      <c r="O552" s="52"/>
      <c r="P552" s="52"/>
      <c r="Q552" s="52"/>
      <c r="U552" s="52"/>
    </row>
    <row r="553">
      <c r="M553" s="52"/>
      <c r="N553" s="52"/>
      <c r="O553" s="52"/>
      <c r="P553" s="52"/>
      <c r="Q553" s="52"/>
      <c r="U553" s="52"/>
    </row>
    <row r="554">
      <c r="M554" s="52"/>
      <c r="N554" s="52"/>
      <c r="O554" s="52"/>
      <c r="P554" s="52"/>
      <c r="Q554" s="52"/>
      <c r="U554" s="52"/>
    </row>
    <row r="555">
      <c r="M555" s="52"/>
      <c r="N555" s="52"/>
      <c r="O555" s="52"/>
      <c r="P555" s="52"/>
      <c r="Q555" s="52"/>
      <c r="U555" s="52"/>
    </row>
    <row r="556">
      <c r="M556" s="52"/>
      <c r="N556" s="52"/>
      <c r="O556" s="52"/>
      <c r="P556" s="52"/>
      <c r="Q556" s="52"/>
      <c r="U556" s="52"/>
    </row>
    <row r="557">
      <c r="M557" s="52"/>
      <c r="N557" s="52"/>
      <c r="O557" s="52"/>
      <c r="P557" s="52"/>
      <c r="Q557" s="52"/>
      <c r="U557" s="52"/>
    </row>
    <row r="558">
      <c r="M558" s="52"/>
      <c r="N558" s="52"/>
      <c r="O558" s="52"/>
      <c r="P558" s="52"/>
      <c r="Q558" s="52"/>
      <c r="U558" s="52"/>
    </row>
    <row r="559">
      <c r="M559" s="52"/>
      <c r="N559" s="52"/>
      <c r="O559" s="52"/>
      <c r="P559" s="52"/>
      <c r="Q559" s="52"/>
      <c r="U559" s="52"/>
    </row>
    <row r="560">
      <c r="M560" s="52"/>
      <c r="N560" s="52"/>
      <c r="O560" s="52"/>
      <c r="P560" s="52"/>
      <c r="Q560" s="52"/>
      <c r="U560" s="52"/>
    </row>
    <row r="561">
      <c r="M561" s="52"/>
      <c r="N561" s="52"/>
      <c r="O561" s="52"/>
      <c r="P561" s="52"/>
      <c r="Q561" s="52"/>
      <c r="U561" s="52"/>
    </row>
    <row r="562">
      <c r="M562" s="52"/>
      <c r="N562" s="52"/>
      <c r="O562" s="52"/>
      <c r="P562" s="52"/>
      <c r="Q562" s="52"/>
      <c r="U562" s="52"/>
    </row>
    <row r="563">
      <c r="M563" s="52"/>
      <c r="N563" s="52"/>
      <c r="O563" s="52"/>
      <c r="P563" s="52"/>
      <c r="Q563" s="52"/>
      <c r="U563" s="52"/>
    </row>
    <row r="564">
      <c r="M564" s="52"/>
      <c r="N564" s="52"/>
      <c r="O564" s="52"/>
      <c r="P564" s="52"/>
      <c r="Q564" s="52"/>
      <c r="U564" s="52"/>
    </row>
    <row r="565">
      <c r="M565" s="52"/>
      <c r="N565" s="52"/>
      <c r="O565" s="52"/>
      <c r="P565" s="52"/>
      <c r="Q565" s="52"/>
      <c r="U565" s="52"/>
    </row>
    <row r="566">
      <c r="M566" s="52"/>
      <c r="N566" s="52"/>
      <c r="O566" s="52"/>
      <c r="P566" s="52"/>
      <c r="Q566" s="52"/>
      <c r="U566" s="52"/>
    </row>
    <row r="567">
      <c r="M567" s="52"/>
      <c r="N567" s="52"/>
      <c r="O567" s="52"/>
      <c r="P567" s="52"/>
      <c r="Q567" s="52"/>
      <c r="U567" s="52"/>
    </row>
    <row r="568">
      <c r="M568" s="52"/>
      <c r="N568" s="52"/>
      <c r="O568" s="52"/>
      <c r="P568" s="52"/>
      <c r="Q568" s="52"/>
      <c r="U568" s="52"/>
    </row>
    <row r="569">
      <c r="M569" s="52"/>
      <c r="N569" s="52"/>
      <c r="O569" s="52"/>
      <c r="P569" s="52"/>
      <c r="Q569" s="52"/>
      <c r="U569" s="52"/>
    </row>
    <row r="570">
      <c r="M570" s="52"/>
      <c r="N570" s="52"/>
      <c r="O570" s="52"/>
      <c r="P570" s="52"/>
      <c r="Q570" s="52"/>
      <c r="U570" s="52"/>
    </row>
    <row r="571">
      <c r="M571" s="52"/>
      <c r="N571" s="52"/>
      <c r="O571" s="52"/>
      <c r="P571" s="52"/>
      <c r="Q571" s="52"/>
      <c r="U571" s="52"/>
    </row>
    <row r="572">
      <c r="M572" s="52"/>
      <c r="N572" s="52"/>
      <c r="O572" s="52"/>
      <c r="P572" s="52"/>
      <c r="Q572" s="52"/>
      <c r="U572" s="52"/>
    </row>
    <row r="573">
      <c r="M573" s="52"/>
      <c r="N573" s="52"/>
      <c r="O573" s="52"/>
      <c r="P573" s="52"/>
      <c r="Q573" s="52"/>
      <c r="U573" s="52"/>
    </row>
    <row r="574">
      <c r="M574" s="52"/>
      <c r="N574" s="52"/>
      <c r="O574" s="52"/>
      <c r="P574" s="52"/>
      <c r="Q574" s="52"/>
      <c r="U574" s="52"/>
    </row>
    <row r="575">
      <c r="M575" s="52"/>
      <c r="N575" s="52"/>
      <c r="O575" s="52"/>
      <c r="P575" s="52"/>
      <c r="Q575" s="52"/>
      <c r="U575" s="52"/>
    </row>
    <row r="576">
      <c r="M576" s="52"/>
      <c r="N576" s="52"/>
      <c r="O576" s="52"/>
      <c r="P576" s="52"/>
      <c r="Q576" s="52"/>
      <c r="U576" s="52"/>
    </row>
    <row r="577">
      <c r="M577" s="52"/>
      <c r="N577" s="52"/>
      <c r="O577" s="52"/>
      <c r="P577" s="52"/>
      <c r="Q577" s="52"/>
      <c r="U577" s="52"/>
    </row>
    <row r="578">
      <c r="M578" s="52"/>
      <c r="N578" s="52"/>
      <c r="O578" s="52"/>
      <c r="P578" s="52"/>
      <c r="Q578" s="52"/>
      <c r="U578" s="52"/>
    </row>
    <row r="579">
      <c r="M579" s="52"/>
      <c r="N579" s="52"/>
      <c r="O579" s="52"/>
      <c r="P579" s="52"/>
      <c r="Q579" s="52"/>
      <c r="U579" s="52"/>
    </row>
    <row r="580">
      <c r="M580" s="52"/>
      <c r="N580" s="52"/>
      <c r="O580" s="52"/>
      <c r="P580" s="52"/>
      <c r="Q580" s="52"/>
      <c r="U580" s="52"/>
    </row>
    <row r="581">
      <c r="M581" s="52"/>
      <c r="N581" s="52"/>
      <c r="O581" s="52"/>
      <c r="P581" s="52"/>
      <c r="Q581" s="52"/>
      <c r="U581" s="52"/>
    </row>
    <row r="582">
      <c r="M582" s="52"/>
      <c r="N582" s="52"/>
      <c r="O582" s="52"/>
      <c r="P582" s="52"/>
      <c r="Q582" s="52"/>
      <c r="U582" s="52"/>
    </row>
    <row r="583">
      <c r="M583" s="52"/>
      <c r="N583" s="52"/>
      <c r="O583" s="52"/>
      <c r="P583" s="52"/>
      <c r="Q583" s="52"/>
      <c r="U583" s="52"/>
    </row>
    <row r="584">
      <c r="M584" s="52"/>
      <c r="N584" s="52"/>
      <c r="O584" s="52"/>
      <c r="P584" s="52"/>
      <c r="Q584" s="52"/>
      <c r="U584" s="52"/>
    </row>
    <row r="585">
      <c r="M585" s="52"/>
      <c r="N585" s="52"/>
      <c r="O585" s="52"/>
      <c r="P585" s="52"/>
      <c r="Q585" s="52"/>
      <c r="U585" s="52"/>
    </row>
    <row r="586">
      <c r="M586" s="52"/>
      <c r="N586" s="52"/>
      <c r="O586" s="52"/>
      <c r="P586" s="52"/>
      <c r="Q586" s="52"/>
      <c r="U586" s="52"/>
    </row>
    <row r="587">
      <c r="M587" s="52"/>
      <c r="N587" s="52"/>
      <c r="O587" s="52"/>
      <c r="P587" s="52"/>
      <c r="Q587" s="52"/>
      <c r="U587" s="52"/>
    </row>
    <row r="588">
      <c r="M588" s="52"/>
      <c r="N588" s="52"/>
      <c r="O588" s="52"/>
      <c r="P588" s="52"/>
      <c r="Q588" s="52"/>
      <c r="U588" s="52"/>
    </row>
    <row r="589">
      <c r="M589" s="52"/>
      <c r="N589" s="52"/>
      <c r="O589" s="52"/>
      <c r="P589" s="52"/>
      <c r="Q589" s="52"/>
      <c r="U589" s="52"/>
    </row>
    <row r="590">
      <c r="M590" s="52"/>
      <c r="N590" s="52"/>
      <c r="O590" s="52"/>
      <c r="P590" s="52"/>
      <c r="Q590" s="52"/>
      <c r="U590" s="52"/>
    </row>
    <row r="591">
      <c r="M591" s="52"/>
      <c r="N591" s="52"/>
      <c r="O591" s="52"/>
      <c r="P591" s="52"/>
      <c r="Q591" s="52"/>
      <c r="U591" s="52"/>
    </row>
    <row r="592">
      <c r="M592" s="52"/>
      <c r="N592" s="52"/>
      <c r="O592" s="52"/>
      <c r="P592" s="52"/>
      <c r="Q592" s="52"/>
      <c r="U592" s="52"/>
    </row>
    <row r="593">
      <c r="M593" s="52"/>
      <c r="N593" s="52"/>
      <c r="O593" s="52"/>
      <c r="P593" s="52"/>
      <c r="Q593" s="52"/>
      <c r="U593" s="52"/>
    </row>
    <row r="594">
      <c r="M594" s="52"/>
      <c r="N594" s="52"/>
      <c r="O594" s="52"/>
      <c r="P594" s="52"/>
      <c r="Q594" s="52"/>
      <c r="U594" s="52"/>
    </row>
    <row r="595">
      <c r="M595" s="52"/>
      <c r="N595" s="52"/>
      <c r="O595" s="52"/>
      <c r="P595" s="52"/>
      <c r="Q595" s="52"/>
      <c r="U595" s="52"/>
    </row>
    <row r="596">
      <c r="M596" s="52"/>
      <c r="N596" s="52"/>
      <c r="O596" s="52"/>
      <c r="P596" s="52"/>
      <c r="Q596" s="52"/>
      <c r="U596" s="52"/>
    </row>
    <row r="597">
      <c r="M597" s="52"/>
      <c r="N597" s="52"/>
      <c r="O597" s="52"/>
      <c r="P597" s="52"/>
      <c r="Q597" s="52"/>
      <c r="U597" s="52"/>
    </row>
    <row r="598">
      <c r="M598" s="52"/>
      <c r="N598" s="52"/>
      <c r="O598" s="52"/>
      <c r="P598" s="52"/>
      <c r="Q598" s="52"/>
      <c r="U598" s="52"/>
    </row>
    <row r="599">
      <c r="M599" s="52"/>
      <c r="N599" s="52"/>
      <c r="O599" s="52"/>
      <c r="P599" s="52"/>
      <c r="Q599" s="52"/>
      <c r="U599" s="52"/>
    </row>
    <row r="600">
      <c r="M600" s="52"/>
      <c r="N600" s="52"/>
      <c r="O600" s="52"/>
      <c r="P600" s="52"/>
      <c r="Q600" s="52"/>
      <c r="U600" s="52"/>
    </row>
    <row r="601">
      <c r="M601" s="52"/>
      <c r="N601" s="52"/>
      <c r="O601" s="52"/>
      <c r="P601" s="52"/>
      <c r="Q601" s="52"/>
      <c r="U601" s="52"/>
    </row>
    <row r="602">
      <c r="M602" s="52"/>
      <c r="N602" s="52"/>
      <c r="O602" s="52"/>
      <c r="P602" s="52"/>
      <c r="Q602" s="52"/>
      <c r="U602" s="52"/>
    </row>
    <row r="603">
      <c r="M603" s="52"/>
      <c r="N603" s="52"/>
      <c r="O603" s="52"/>
      <c r="P603" s="52"/>
      <c r="Q603" s="52"/>
      <c r="U603" s="52"/>
    </row>
    <row r="604">
      <c r="M604" s="52"/>
      <c r="N604" s="52"/>
      <c r="O604" s="52"/>
      <c r="P604" s="52"/>
      <c r="Q604" s="52"/>
      <c r="U604" s="52"/>
    </row>
    <row r="605">
      <c r="M605" s="52"/>
      <c r="N605" s="52"/>
      <c r="O605" s="52"/>
      <c r="P605" s="52"/>
      <c r="Q605" s="52"/>
      <c r="U605" s="52"/>
    </row>
    <row r="606">
      <c r="M606" s="52"/>
      <c r="N606" s="52"/>
      <c r="O606" s="52"/>
      <c r="P606" s="52"/>
      <c r="Q606" s="52"/>
      <c r="U606" s="52"/>
    </row>
    <row r="607">
      <c r="M607" s="52"/>
      <c r="N607" s="52"/>
      <c r="O607" s="52"/>
      <c r="P607" s="52"/>
      <c r="Q607" s="52"/>
      <c r="U607" s="52"/>
    </row>
    <row r="608">
      <c r="M608" s="52"/>
      <c r="N608" s="52"/>
      <c r="O608" s="52"/>
      <c r="P608" s="52"/>
      <c r="Q608" s="52"/>
      <c r="U608" s="52"/>
    </row>
    <row r="609">
      <c r="M609" s="52"/>
      <c r="N609" s="52"/>
      <c r="O609" s="52"/>
      <c r="P609" s="52"/>
      <c r="Q609" s="52"/>
      <c r="U609" s="52"/>
    </row>
    <row r="610">
      <c r="M610" s="52"/>
      <c r="N610" s="52"/>
      <c r="O610" s="52"/>
      <c r="P610" s="52"/>
      <c r="Q610" s="52"/>
      <c r="U610" s="52"/>
    </row>
    <row r="611">
      <c r="M611" s="52"/>
      <c r="N611" s="52"/>
      <c r="O611" s="52"/>
      <c r="P611" s="52"/>
      <c r="Q611" s="52"/>
      <c r="U611" s="52"/>
    </row>
    <row r="612">
      <c r="M612" s="52"/>
      <c r="N612" s="52"/>
      <c r="O612" s="52"/>
      <c r="P612" s="52"/>
      <c r="Q612" s="52"/>
      <c r="U612" s="52"/>
    </row>
    <row r="613">
      <c r="M613" s="52"/>
      <c r="N613" s="52"/>
      <c r="O613" s="52"/>
      <c r="P613" s="52"/>
      <c r="Q613" s="52"/>
      <c r="U613" s="52"/>
    </row>
    <row r="614">
      <c r="M614" s="52"/>
      <c r="N614" s="52"/>
      <c r="O614" s="52"/>
      <c r="P614" s="52"/>
      <c r="Q614" s="52"/>
      <c r="U614" s="52"/>
    </row>
    <row r="615">
      <c r="M615" s="52"/>
      <c r="N615" s="52"/>
      <c r="O615" s="52"/>
      <c r="P615" s="52"/>
      <c r="Q615" s="52"/>
      <c r="U615" s="52"/>
    </row>
    <row r="616">
      <c r="M616" s="52"/>
      <c r="N616" s="52"/>
      <c r="O616" s="52"/>
      <c r="P616" s="52"/>
      <c r="Q616" s="52"/>
      <c r="U616" s="52"/>
    </row>
    <row r="617">
      <c r="M617" s="52"/>
      <c r="N617" s="52"/>
      <c r="O617" s="52"/>
      <c r="P617" s="52"/>
      <c r="Q617" s="52"/>
      <c r="U617" s="52"/>
    </row>
    <row r="618">
      <c r="M618" s="52"/>
      <c r="N618" s="52"/>
      <c r="O618" s="52"/>
      <c r="P618" s="52"/>
      <c r="Q618" s="52"/>
      <c r="U618" s="52"/>
    </row>
    <row r="619">
      <c r="M619" s="52"/>
      <c r="N619" s="52"/>
      <c r="O619" s="52"/>
      <c r="P619" s="52"/>
      <c r="Q619" s="52"/>
      <c r="U619" s="52"/>
    </row>
    <row r="620">
      <c r="M620" s="52"/>
      <c r="N620" s="52"/>
      <c r="O620" s="52"/>
      <c r="P620" s="52"/>
      <c r="Q620" s="52"/>
      <c r="U620" s="52"/>
    </row>
    <row r="621">
      <c r="M621" s="52"/>
      <c r="N621" s="52"/>
      <c r="O621" s="52"/>
      <c r="P621" s="52"/>
      <c r="Q621" s="52"/>
      <c r="U621" s="52"/>
    </row>
    <row r="622">
      <c r="M622" s="52"/>
      <c r="N622" s="52"/>
      <c r="O622" s="52"/>
      <c r="P622" s="52"/>
      <c r="Q622" s="52"/>
      <c r="U622" s="52"/>
    </row>
    <row r="623">
      <c r="M623" s="52"/>
      <c r="N623" s="52"/>
      <c r="O623" s="52"/>
      <c r="P623" s="52"/>
      <c r="Q623" s="52"/>
      <c r="U623" s="52"/>
    </row>
    <row r="624">
      <c r="M624" s="52"/>
      <c r="N624" s="52"/>
      <c r="O624" s="52"/>
      <c r="P624" s="52"/>
      <c r="Q624" s="52"/>
      <c r="U624" s="52"/>
    </row>
    <row r="625">
      <c r="M625" s="52"/>
      <c r="N625" s="52"/>
      <c r="O625" s="52"/>
      <c r="P625" s="52"/>
      <c r="Q625" s="52"/>
      <c r="U625" s="52"/>
    </row>
    <row r="626">
      <c r="M626" s="52"/>
      <c r="N626" s="52"/>
      <c r="O626" s="52"/>
      <c r="P626" s="52"/>
      <c r="Q626" s="52"/>
      <c r="U626" s="52"/>
    </row>
    <row r="627">
      <c r="M627" s="52"/>
      <c r="N627" s="52"/>
      <c r="O627" s="52"/>
      <c r="P627" s="52"/>
      <c r="Q627" s="52"/>
      <c r="U627" s="52"/>
    </row>
    <row r="628">
      <c r="M628" s="52"/>
      <c r="N628" s="52"/>
      <c r="O628" s="52"/>
      <c r="P628" s="52"/>
      <c r="Q628" s="52"/>
      <c r="U628" s="52"/>
    </row>
    <row r="629">
      <c r="M629" s="52"/>
      <c r="N629" s="52"/>
      <c r="O629" s="52"/>
      <c r="P629" s="52"/>
      <c r="Q629" s="52"/>
      <c r="U629" s="52"/>
    </row>
    <row r="630">
      <c r="M630" s="52"/>
      <c r="N630" s="52"/>
      <c r="O630" s="52"/>
      <c r="P630" s="52"/>
      <c r="Q630" s="52"/>
      <c r="U630" s="52"/>
    </row>
    <row r="631">
      <c r="M631" s="52"/>
      <c r="N631" s="52"/>
      <c r="O631" s="52"/>
      <c r="P631" s="52"/>
      <c r="Q631" s="52"/>
      <c r="U631" s="52"/>
    </row>
    <row r="632">
      <c r="M632" s="52"/>
      <c r="N632" s="52"/>
      <c r="O632" s="52"/>
      <c r="P632" s="52"/>
      <c r="Q632" s="52"/>
      <c r="U632" s="52"/>
    </row>
    <row r="633">
      <c r="M633" s="52"/>
      <c r="N633" s="52"/>
      <c r="O633" s="52"/>
      <c r="P633" s="52"/>
      <c r="Q633" s="52"/>
      <c r="U633" s="52"/>
    </row>
    <row r="634">
      <c r="M634" s="52"/>
      <c r="N634" s="52"/>
      <c r="O634" s="52"/>
      <c r="P634" s="52"/>
      <c r="Q634" s="52"/>
      <c r="U634" s="52"/>
    </row>
    <row r="635">
      <c r="M635" s="52"/>
      <c r="N635" s="52"/>
      <c r="O635" s="52"/>
      <c r="P635" s="52"/>
      <c r="Q635" s="52"/>
      <c r="U635" s="52"/>
    </row>
    <row r="636">
      <c r="M636" s="52"/>
      <c r="N636" s="52"/>
      <c r="O636" s="52"/>
      <c r="P636" s="52"/>
      <c r="Q636" s="52"/>
      <c r="U636" s="52"/>
    </row>
    <row r="637">
      <c r="M637" s="52"/>
      <c r="N637" s="52"/>
      <c r="O637" s="52"/>
      <c r="P637" s="52"/>
      <c r="Q637" s="52"/>
      <c r="U637" s="52"/>
    </row>
    <row r="638">
      <c r="M638" s="52"/>
      <c r="N638" s="52"/>
      <c r="O638" s="52"/>
      <c r="P638" s="52"/>
      <c r="Q638" s="52"/>
      <c r="U638" s="52"/>
    </row>
    <row r="639">
      <c r="M639" s="52"/>
      <c r="N639" s="52"/>
      <c r="O639" s="52"/>
      <c r="P639" s="52"/>
      <c r="Q639" s="52"/>
      <c r="U639" s="52"/>
    </row>
    <row r="640">
      <c r="M640" s="52"/>
      <c r="N640" s="52"/>
      <c r="O640" s="52"/>
      <c r="P640" s="52"/>
      <c r="Q640" s="52"/>
      <c r="U640" s="52"/>
    </row>
    <row r="641">
      <c r="M641" s="52"/>
      <c r="N641" s="52"/>
      <c r="O641" s="52"/>
      <c r="P641" s="52"/>
      <c r="Q641" s="52"/>
      <c r="U641" s="52"/>
    </row>
    <row r="642">
      <c r="M642" s="52"/>
      <c r="N642" s="52"/>
      <c r="O642" s="52"/>
      <c r="P642" s="52"/>
      <c r="Q642" s="52"/>
      <c r="U642" s="52"/>
    </row>
    <row r="643">
      <c r="M643" s="52"/>
      <c r="N643" s="52"/>
      <c r="O643" s="52"/>
      <c r="P643" s="52"/>
      <c r="Q643" s="52"/>
      <c r="U643" s="52"/>
    </row>
    <row r="644">
      <c r="M644" s="52"/>
      <c r="N644" s="52"/>
      <c r="O644" s="52"/>
      <c r="P644" s="52"/>
      <c r="Q644" s="52"/>
      <c r="U644" s="52"/>
    </row>
    <row r="645">
      <c r="M645" s="52"/>
      <c r="N645" s="52"/>
      <c r="O645" s="52"/>
      <c r="P645" s="52"/>
      <c r="Q645" s="52"/>
      <c r="U645" s="52"/>
    </row>
    <row r="646">
      <c r="M646" s="52"/>
      <c r="N646" s="52"/>
      <c r="O646" s="52"/>
      <c r="P646" s="52"/>
      <c r="Q646" s="52"/>
      <c r="U646" s="52"/>
    </row>
    <row r="647">
      <c r="M647" s="52"/>
      <c r="N647" s="52"/>
      <c r="O647" s="52"/>
      <c r="P647" s="52"/>
      <c r="Q647" s="52"/>
      <c r="U647" s="52"/>
    </row>
    <row r="648">
      <c r="M648" s="52"/>
      <c r="N648" s="52"/>
      <c r="O648" s="52"/>
      <c r="P648" s="52"/>
      <c r="Q648" s="52"/>
      <c r="U648" s="52"/>
    </row>
    <row r="649">
      <c r="M649" s="52"/>
      <c r="N649" s="52"/>
      <c r="O649" s="52"/>
      <c r="P649" s="52"/>
      <c r="Q649" s="52"/>
      <c r="U649" s="52"/>
    </row>
    <row r="650">
      <c r="M650" s="52"/>
      <c r="N650" s="52"/>
      <c r="O650" s="52"/>
      <c r="P650" s="52"/>
      <c r="Q650" s="52"/>
      <c r="U650" s="52"/>
    </row>
    <row r="651">
      <c r="M651" s="52"/>
      <c r="N651" s="52"/>
      <c r="O651" s="52"/>
      <c r="P651" s="52"/>
      <c r="Q651" s="52"/>
      <c r="U651" s="52"/>
    </row>
    <row r="652">
      <c r="M652" s="52"/>
      <c r="N652" s="52"/>
      <c r="O652" s="52"/>
      <c r="P652" s="52"/>
      <c r="Q652" s="52"/>
      <c r="U652" s="52"/>
    </row>
    <row r="653">
      <c r="M653" s="52"/>
      <c r="N653" s="52"/>
      <c r="O653" s="52"/>
      <c r="P653" s="52"/>
      <c r="Q653" s="52"/>
      <c r="U653" s="52"/>
    </row>
    <row r="654">
      <c r="M654" s="52"/>
      <c r="N654" s="52"/>
      <c r="O654" s="52"/>
      <c r="P654" s="52"/>
      <c r="Q654" s="52"/>
      <c r="U654" s="52"/>
    </row>
    <row r="655">
      <c r="M655" s="52"/>
      <c r="N655" s="52"/>
      <c r="O655" s="52"/>
      <c r="P655" s="52"/>
      <c r="Q655" s="52"/>
      <c r="U655" s="52"/>
    </row>
    <row r="656">
      <c r="M656" s="52"/>
      <c r="N656" s="52"/>
      <c r="O656" s="52"/>
      <c r="P656" s="52"/>
      <c r="Q656" s="52"/>
      <c r="U656" s="52"/>
    </row>
    <row r="657">
      <c r="M657" s="52"/>
      <c r="N657" s="52"/>
      <c r="O657" s="52"/>
      <c r="P657" s="52"/>
      <c r="Q657" s="52"/>
      <c r="U657" s="52"/>
    </row>
    <row r="658">
      <c r="M658" s="52"/>
      <c r="N658" s="52"/>
      <c r="O658" s="52"/>
      <c r="P658" s="52"/>
      <c r="Q658" s="52"/>
      <c r="U658" s="52"/>
    </row>
    <row r="659">
      <c r="M659" s="52"/>
      <c r="N659" s="52"/>
      <c r="O659" s="52"/>
      <c r="P659" s="52"/>
      <c r="Q659" s="52"/>
      <c r="U659" s="52"/>
    </row>
    <row r="660">
      <c r="M660" s="52"/>
      <c r="N660" s="52"/>
      <c r="O660" s="52"/>
      <c r="P660" s="52"/>
      <c r="Q660" s="52"/>
      <c r="U660" s="52"/>
    </row>
    <row r="661">
      <c r="M661" s="52"/>
      <c r="N661" s="52"/>
      <c r="O661" s="52"/>
      <c r="P661" s="52"/>
      <c r="Q661" s="52"/>
      <c r="U661" s="52"/>
    </row>
    <row r="662">
      <c r="M662" s="52"/>
      <c r="N662" s="52"/>
      <c r="O662" s="52"/>
      <c r="P662" s="52"/>
      <c r="Q662" s="52"/>
      <c r="U662" s="52"/>
    </row>
    <row r="663">
      <c r="M663" s="52"/>
      <c r="N663" s="52"/>
      <c r="O663" s="52"/>
      <c r="P663" s="52"/>
      <c r="Q663" s="52"/>
      <c r="U663" s="52"/>
    </row>
    <row r="664">
      <c r="M664" s="52"/>
      <c r="N664" s="52"/>
      <c r="O664" s="52"/>
      <c r="P664" s="52"/>
      <c r="Q664" s="52"/>
      <c r="U664" s="52"/>
    </row>
    <row r="665">
      <c r="M665" s="52"/>
      <c r="N665" s="52"/>
      <c r="O665" s="52"/>
      <c r="P665" s="52"/>
      <c r="Q665" s="52"/>
      <c r="U665" s="52"/>
    </row>
    <row r="666">
      <c r="M666" s="52"/>
      <c r="N666" s="52"/>
      <c r="O666" s="52"/>
      <c r="P666" s="52"/>
      <c r="Q666" s="52"/>
      <c r="U666" s="52"/>
    </row>
    <row r="667">
      <c r="M667" s="52"/>
      <c r="N667" s="52"/>
      <c r="O667" s="52"/>
      <c r="P667" s="52"/>
      <c r="Q667" s="52"/>
      <c r="U667" s="52"/>
    </row>
    <row r="668">
      <c r="M668" s="52"/>
      <c r="N668" s="52"/>
      <c r="O668" s="52"/>
      <c r="P668" s="52"/>
      <c r="Q668" s="52"/>
      <c r="U668" s="52"/>
    </row>
    <row r="669">
      <c r="M669" s="52"/>
      <c r="N669" s="52"/>
      <c r="O669" s="52"/>
      <c r="P669" s="52"/>
      <c r="Q669" s="52"/>
      <c r="U669" s="52"/>
    </row>
    <row r="670">
      <c r="M670" s="52"/>
      <c r="N670" s="52"/>
      <c r="O670" s="52"/>
      <c r="P670" s="52"/>
      <c r="Q670" s="52"/>
      <c r="U670" s="52"/>
    </row>
    <row r="671">
      <c r="M671" s="52"/>
      <c r="N671" s="52"/>
      <c r="O671" s="52"/>
      <c r="P671" s="52"/>
      <c r="Q671" s="52"/>
      <c r="U671" s="52"/>
    </row>
    <row r="672">
      <c r="M672" s="52"/>
      <c r="N672" s="52"/>
      <c r="O672" s="52"/>
      <c r="P672" s="52"/>
      <c r="Q672" s="52"/>
      <c r="U672" s="52"/>
    </row>
    <row r="673">
      <c r="M673" s="52"/>
      <c r="N673" s="52"/>
      <c r="O673" s="52"/>
      <c r="P673" s="52"/>
      <c r="Q673" s="52"/>
      <c r="U673" s="52"/>
    </row>
    <row r="674">
      <c r="M674" s="52"/>
      <c r="N674" s="52"/>
      <c r="O674" s="52"/>
      <c r="P674" s="52"/>
      <c r="Q674" s="52"/>
      <c r="U674" s="52"/>
    </row>
    <row r="675">
      <c r="M675" s="52"/>
      <c r="N675" s="52"/>
      <c r="O675" s="52"/>
      <c r="P675" s="52"/>
      <c r="Q675" s="52"/>
      <c r="U675" s="52"/>
    </row>
    <row r="676">
      <c r="M676" s="52"/>
      <c r="N676" s="52"/>
      <c r="O676" s="52"/>
      <c r="P676" s="52"/>
      <c r="Q676" s="52"/>
      <c r="U676" s="52"/>
    </row>
    <row r="677">
      <c r="M677" s="52"/>
      <c r="N677" s="52"/>
      <c r="O677" s="52"/>
      <c r="P677" s="52"/>
      <c r="Q677" s="52"/>
      <c r="U677" s="52"/>
    </row>
    <row r="678">
      <c r="M678" s="52"/>
      <c r="N678" s="52"/>
      <c r="O678" s="52"/>
      <c r="P678" s="52"/>
      <c r="Q678" s="52"/>
      <c r="U678" s="52"/>
    </row>
    <row r="679">
      <c r="M679" s="52"/>
      <c r="N679" s="52"/>
      <c r="O679" s="52"/>
      <c r="P679" s="52"/>
      <c r="Q679" s="52"/>
      <c r="U679" s="52"/>
    </row>
    <row r="680">
      <c r="M680" s="52"/>
      <c r="N680" s="52"/>
      <c r="O680" s="52"/>
      <c r="P680" s="52"/>
      <c r="Q680" s="52"/>
      <c r="U680" s="52"/>
    </row>
    <row r="681">
      <c r="M681" s="52"/>
      <c r="N681" s="52"/>
      <c r="O681" s="52"/>
      <c r="P681" s="52"/>
      <c r="Q681" s="52"/>
      <c r="U681" s="52"/>
    </row>
    <row r="682">
      <c r="M682" s="52"/>
      <c r="N682" s="52"/>
      <c r="O682" s="52"/>
      <c r="P682" s="52"/>
      <c r="Q682" s="52"/>
      <c r="U682" s="52"/>
    </row>
    <row r="683">
      <c r="M683" s="52"/>
      <c r="N683" s="52"/>
      <c r="O683" s="52"/>
      <c r="P683" s="52"/>
      <c r="Q683" s="52"/>
      <c r="U683" s="52"/>
    </row>
    <row r="684">
      <c r="M684" s="52"/>
      <c r="N684" s="52"/>
      <c r="O684" s="52"/>
      <c r="P684" s="52"/>
      <c r="Q684" s="52"/>
      <c r="U684" s="52"/>
    </row>
    <row r="685">
      <c r="M685" s="52"/>
      <c r="N685" s="52"/>
      <c r="O685" s="52"/>
      <c r="P685" s="52"/>
      <c r="Q685" s="52"/>
      <c r="U685" s="52"/>
    </row>
    <row r="686">
      <c r="M686" s="52"/>
      <c r="N686" s="52"/>
      <c r="O686" s="52"/>
      <c r="P686" s="52"/>
      <c r="Q686" s="52"/>
      <c r="U686" s="52"/>
    </row>
    <row r="687">
      <c r="M687" s="52"/>
      <c r="N687" s="52"/>
      <c r="O687" s="52"/>
      <c r="P687" s="52"/>
      <c r="Q687" s="52"/>
      <c r="U687" s="52"/>
    </row>
    <row r="688">
      <c r="M688" s="52"/>
      <c r="N688" s="52"/>
      <c r="O688" s="52"/>
      <c r="P688" s="52"/>
      <c r="Q688" s="52"/>
      <c r="U688" s="52"/>
    </row>
    <row r="689">
      <c r="M689" s="52"/>
      <c r="N689" s="52"/>
      <c r="O689" s="52"/>
      <c r="P689" s="52"/>
      <c r="Q689" s="52"/>
      <c r="U689" s="52"/>
    </row>
    <row r="690">
      <c r="M690" s="52"/>
      <c r="N690" s="52"/>
      <c r="O690" s="52"/>
      <c r="P690" s="52"/>
      <c r="Q690" s="52"/>
      <c r="U690" s="52"/>
    </row>
    <row r="691">
      <c r="M691" s="52"/>
      <c r="N691" s="52"/>
      <c r="O691" s="52"/>
      <c r="P691" s="52"/>
      <c r="Q691" s="52"/>
      <c r="U691" s="52"/>
    </row>
    <row r="692">
      <c r="M692" s="52"/>
      <c r="N692" s="52"/>
      <c r="O692" s="52"/>
      <c r="P692" s="52"/>
      <c r="Q692" s="52"/>
      <c r="U692" s="52"/>
    </row>
    <row r="693">
      <c r="M693" s="52"/>
      <c r="N693" s="52"/>
      <c r="O693" s="52"/>
      <c r="P693" s="52"/>
      <c r="Q693" s="52"/>
      <c r="U693" s="52"/>
    </row>
    <row r="694">
      <c r="M694" s="52"/>
      <c r="N694" s="52"/>
      <c r="O694" s="52"/>
      <c r="P694" s="52"/>
      <c r="Q694" s="52"/>
      <c r="U694" s="52"/>
    </row>
    <row r="695">
      <c r="M695" s="52"/>
      <c r="N695" s="52"/>
      <c r="O695" s="52"/>
      <c r="P695" s="52"/>
      <c r="Q695" s="52"/>
      <c r="U695" s="52"/>
    </row>
    <row r="696">
      <c r="M696" s="52"/>
      <c r="N696" s="52"/>
      <c r="O696" s="52"/>
      <c r="P696" s="52"/>
      <c r="Q696" s="52"/>
      <c r="U696" s="52"/>
    </row>
    <row r="697">
      <c r="M697" s="52"/>
      <c r="N697" s="52"/>
      <c r="O697" s="52"/>
      <c r="P697" s="52"/>
      <c r="Q697" s="52"/>
      <c r="U697" s="52"/>
    </row>
    <row r="698">
      <c r="M698" s="52"/>
      <c r="N698" s="52"/>
      <c r="O698" s="52"/>
      <c r="P698" s="52"/>
      <c r="Q698" s="52"/>
      <c r="U698" s="52"/>
    </row>
    <row r="699">
      <c r="M699" s="52"/>
      <c r="N699" s="52"/>
      <c r="O699" s="52"/>
      <c r="P699" s="52"/>
      <c r="Q699" s="52"/>
      <c r="U699" s="52"/>
    </row>
    <row r="700">
      <c r="M700" s="52"/>
      <c r="N700" s="52"/>
      <c r="O700" s="52"/>
      <c r="P700" s="52"/>
      <c r="Q700" s="52"/>
      <c r="U700" s="52"/>
    </row>
    <row r="701">
      <c r="M701" s="52"/>
      <c r="N701" s="52"/>
      <c r="O701" s="52"/>
      <c r="P701" s="52"/>
      <c r="Q701" s="52"/>
      <c r="U701" s="52"/>
    </row>
    <row r="702">
      <c r="M702" s="52"/>
      <c r="N702" s="52"/>
      <c r="O702" s="52"/>
      <c r="P702" s="52"/>
      <c r="Q702" s="52"/>
      <c r="U702" s="52"/>
    </row>
    <row r="703">
      <c r="M703" s="52"/>
      <c r="N703" s="52"/>
      <c r="O703" s="52"/>
      <c r="P703" s="52"/>
      <c r="Q703" s="52"/>
      <c r="U703" s="52"/>
    </row>
    <row r="704">
      <c r="M704" s="52"/>
      <c r="N704" s="52"/>
      <c r="O704" s="52"/>
      <c r="P704" s="52"/>
      <c r="Q704" s="52"/>
      <c r="U704" s="52"/>
    </row>
    <row r="705">
      <c r="M705" s="52"/>
      <c r="N705" s="52"/>
      <c r="O705" s="52"/>
      <c r="P705" s="52"/>
      <c r="Q705" s="52"/>
      <c r="U705" s="52"/>
    </row>
    <row r="706">
      <c r="M706" s="52"/>
      <c r="N706" s="52"/>
      <c r="O706" s="52"/>
      <c r="P706" s="52"/>
      <c r="Q706" s="52"/>
      <c r="U706" s="52"/>
    </row>
    <row r="707">
      <c r="M707" s="52"/>
      <c r="N707" s="52"/>
      <c r="O707" s="52"/>
      <c r="P707" s="52"/>
      <c r="Q707" s="52"/>
      <c r="U707" s="52"/>
    </row>
    <row r="708">
      <c r="M708" s="52"/>
      <c r="N708" s="52"/>
      <c r="O708" s="52"/>
      <c r="P708" s="52"/>
      <c r="Q708" s="52"/>
      <c r="U708" s="52"/>
    </row>
    <row r="709">
      <c r="M709" s="52"/>
      <c r="N709" s="52"/>
      <c r="O709" s="52"/>
      <c r="P709" s="52"/>
      <c r="Q709" s="52"/>
      <c r="U709" s="52"/>
    </row>
    <row r="710">
      <c r="M710" s="52"/>
      <c r="N710" s="52"/>
      <c r="O710" s="52"/>
      <c r="P710" s="52"/>
      <c r="Q710" s="52"/>
      <c r="U710" s="52"/>
    </row>
    <row r="711">
      <c r="M711" s="52"/>
      <c r="N711" s="52"/>
      <c r="O711" s="52"/>
      <c r="P711" s="52"/>
      <c r="Q711" s="52"/>
      <c r="U711" s="52"/>
    </row>
    <row r="712">
      <c r="M712" s="52"/>
      <c r="N712" s="52"/>
      <c r="O712" s="52"/>
      <c r="P712" s="52"/>
      <c r="Q712" s="52"/>
      <c r="U712" s="52"/>
    </row>
    <row r="713">
      <c r="M713" s="52"/>
      <c r="N713" s="52"/>
      <c r="O713" s="52"/>
      <c r="P713" s="52"/>
      <c r="Q713" s="52"/>
      <c r="U713" s="52"/>
    </row>
    <row r="714">
      <c r="M714" s="52"/>
      <c r="N714" s="52"/>
      <c r="O714" s="52"/>
      <c r="P714" s="52"/>
      <c r="Q714" s="52"/>
      <c r="U714" s="52"/>
    </row>
    <row r="715">
      <c r="M715" s="52"/>
      <c r="N715" s="52"/>
      <c r="O715" s="52"/>
      <c r="P715" s="52"/>
      <c r="Q715" s="52"/>
      <c r="U715" s="52"/>
    </row>
    <row r="716">
      <c r="M716" s="52"/>
      <c r="N716" s="52"/>
      <c r="O716" s="52"/>
      <c r="P716" s="52"/>
      <c r="Q716" s="52"/>
      <c r="U716" s="52"/>
    </row>
    <row r="717">
      <c r="M717" s="52"/>
      <c r="N717" s="52"/>
      <c r="O717" s="52"/>
      <c r="P717" s="52"/>
      <c r="Q717" s="52"/>
      <c r="U717" s="52"/>
    </row>
    <row r="718">
      <c r="M718" s="52"/>
      <c r="N718" s="52"/>
      <c r="O718" s="52"/>
      <c r="P718" s="52"/>
      <c r="Q718" s="52"/>
      <c r="U718" s="52"/>
    </row>
    <row r="719">
      <c r="M719" s="52"/>
      <c r="N719" s="52"/>
      <c r="O719" s="52"/>
      <c r="P719" s="52"/>
      <c r="Q719" s="52"/>
      <c r="U719" s="52"/>
    </row>
    <row r="720">
      <c r="M720" s="52"/>
      <c r="N720" s="52"/>
      <c r="O720" s="52"/>
      <c r="P720" s="52"/>
      <c r="Q720" s="52"/>
      <c r="U720" s="52"/>
    </row>
    <row r="721">
      <c r="M721" s="52"/>
      <c r="N721" s="52"/>
      <c r="O721" s="52"/>
      <c r="P721" s="52"/>
      <c r="Q721" s="52"/>
      <c r="U721" s="52"/>
    </row>
    <row r="722">
      <c r="M722" s="52"/>
      <c r="N722" s="52"/>
      <c r="O722" s="52"/>
      <c r="P722" s="52"/>
      <c r="Q722" s="52"/>
      <c r="U722" s="52"/>
    </row>
    <row r="723">
      <c r="M723" s="52"/>
      <c r="N723" s="52"/>
      <c r="O723" s="52"/>
      <c r="P723" s="52"/>
      <c r="Q723" s="52"/>
      <c r="U723" s="52"/>
    </row>
    <row r="724">
      <c r="M724" s="52"/>
      <c r="N724" s="52"/>
      <c r="O724" s="52"/>
      <c r="P724" s="52"/>
      <c r="Q724" s="52"/>
      <c r="U724" s="52"/>
    </row>
    <row r="725">
      <c r="M725" s="52"/>
      <c r="N725" s="52"/>
      <c r="O725" s="52"/>
      <c r="P725" s="52"/>
      <c r="Q725" s="52"/>
      <c r="U725" s="52"/>
    </row>
    <row r="726">
      <c r="M726" s="52"/>
      <c r="N726" s="52"/>
      <c r="O726" s="52"/>
      <c r="P726" s="52"/>
      <c r="Q726" s="52"/>
      <c r="U726" s="52"/>
    </row>
    <row r="727">
      <c r="M727" s="52"/>
      <c r="N727" s="52"/>
      <c r="O727" s="52"/>
      <c r="P727" s="52"/>
      <c r="Q727" s="52"/>
      <c r="U727" s="52"/>
    </row>
    <row r="728">
      <c r="M728" s="52"/>
      <c r="N728" s="52"/>
      <c r="O728" s="52"/>
      <c r="P728" s="52"/>
      <c r="Q728" s="52"/>
      <c r="U728" s="52"/>
    </row>
    <row r="729">
      <c r="M729" s="52"/>
      <c r="N729" s="52"/>
      <c r="O729" s="52"/>
      <c r="P729" s="52"/>
      <c r="Q729" s="52"/>
      <c r="U729" s="52"/>
    </row>
    <row r="730">
      <c r="M730" s="52"/>
      <c r="N730" s="52"/>
      <c r="O730" s="52"/>
      <c r="P730" s="52"/>
      <c r="Q730" s="52"/>
      <c r="U730" s="52"/>
    </row>
    <row r="731">
      <c r="M731" s="52"/>
      <c r="N731" s="52"/>
      <c r="O731" s="52"/>
      <c r="P731" s="52"/>
      <c r="Q731" s="52"/>
      <c r="U731" s="52"/>
    </row>
    <row r="732">
      <c r="M732" s="52"/>
      <c r="N732" s="52"/>
      <c r="O732" s="52"/>
      <c r="P732" s="52"/>
      <c r="Q732" s="52"/>
      <c r="U732" s="52"/>
    </row>
    <row r="733">
      <c r="M733" s="52"/>
      <c r="N733" s="52"/>
      <c r="O733" s="52"/>
      <c r="P733" s="52"/>
      <c r="Q733" s="52"/>
      <c r="U733" s="52"/>
    </row>
    <row r="734">
      <c r="M734" s="52"/>
      <c r="N734" s="52"/>
      <c r="O734" s="52"/>
      <c r="P734" s="52"/>
      <c r="Q734" s="52"/>
      <c r="U734" s="52"/>
    </row>
    <row r="735">
      <c r="M735" s="52"/>
      <c r="N735" s="52"/>
      <c r="O735" s="52"/>
      <c r="P735" s="52"/>
      <c r="Q735" s="52"/>
      <c r="U735" s="52"/>
    </row>
    <row r="736">
      <c r="M736" s="52"/>
      <c r="N736" s="52"/>
      <c r="O736" s="52"/>
      <c r="P736" s="52"/>
      <c r="Q736" s="52"/>
      <c r="U736" s="52"/>
    </row>
    <row r="737">
      <c r="M737" s="52"/>
      <c r="N737" s="52"/>
      <c r="O737" s="52"/>
      <c r="P737" s="52"/>
      <c r="Q737" s="52"/>
      <c r="U737" s="52"/>
    </row>
    <row r="738">
      <c r="M738" s="52"/>
      <c r="N738" s="52"/>
      <c r="O738" s="52"/>
      <c r="P738" s="52"/>
      <c r="Q738" s="52"/>
      <c r="U738" s="52"/>
    </row>
    <row r="739">
      <c r="M739" s="52"/>
      <c r="N739" s="52"/>
      <c r="O739" s="52"/>
      <c r="P739" s="52"/>
      <c r="Q739" s="52"/>
      <c r="U739" s="52"/>
    </row>
    <row r="740">
      <c r="M740" s="52"/>
      <c r="N740" s="52"/>
      <c r="O740" s="52"/>
      <c r="P740" s="52"/>
      <c r="Q740" s="52"/>
      <c r="U740" s="52"/>
    </row>
    <row r="741">
      <c r="M741" s="52"/>
      <c r="N741" s="52"/>
      <c r="O741" s="52"/>
      <c r="P741" s="52"/>
      <c r="Q741" s="52"/>
      <c r="U741" s="52"/>
    </row>
    <row r="742">
      <c r="M742" s="52"/>
      <c r="N742" s="52"/>
      <c r="O742" s="52"/>
      <c r="P742" s="52"/>
      <c r="Q742" s="52"/>
      <c r="U742" s="52"/>
    </row>
    <row r="743">
      <c r="M743" s="52"/>
      <c r="N743" s="52"/>
      <c r="O743" s="52"/>
      <c r="P743" s="52"/>
      <c r="Q743" s="52"/>
      <c r="U743" s="52"/>
    </row>
    <row r="744">
      <c r="M744" s="52"/>
      <c r="N744" s="52"/>
      <c r="O744" s="52"/>
      <c r="P744" s="52"/>
      <c r="Q744" s="52"/>
      <c r="U744" s="52"/>
    </row>
    <row r="745">
      <c r="M745" s="52"/>
      <c r="N745" s="52"/>
      <c r="O745" s="52"/>
      <c r="P745" s="52"/>
      <c r="Q745" s="52"/>
      <c r="U745" s="52"/>
    </row>
    <row r="746">
      <c r="M746" s="52"/>
      <c r="N746" s="52"/>
      <c r="O746" s="52"/>
      <c r="P746" s="52"/>
      <c r="Q746" s="52"/>
      <c r="U746" s="52"/>
    </row>
    <row r="747">
      <c r="M747" s="52"/>
      <c r="N747" s="52"/>
      <c r="O747" s="52"/>
      <c r="P747" s="52"/>
      <c r="Q747" s="52"/>
      <c r="U747" s="52"/>
    </row>
    <row r="748">
      <c r="M748" s="52"/>
      <c r="N748" s="52"/>
      <c r="O748" s="52"/>
      <c r="P748" s="52"/>
      <c r="Q748" s="52"/>
      <c r="U748" s="52"/>
    </row>
    <row r="749">
      <c r="M749" s="52"/>
      <c r="N749" s="52"/>
      <c r="O749" s="52"/>
      <c r="P749" s="52"/>
      <c r="Q749" s="52"/>
      <c r="U749" s="52"/>
    </row>
    <row r="750">
      <c r="M750" s="52"/>
      <c r="N750" s="52"/>
      <c r="O750" s="52"/>
      <c r="P750" s="52"/>
      <c r="Q750" s="52"/>
      <c r="U750" s="52"/>
    </row>
    <row r="751">
      <c r="M751" s="52"/>
      <c r="N751" s="52"/>
      <c r="O751" s="52"/>
      <c r="P751" s="52"/>
      <c r="Q751" s="52"/>
      <c r="U751" s="52"/>
    </row>
    <row r="752">
      <c r="M752" s="52"/>
      <c r="N752" s="52"/>
      <c r="O752" s="52"/>
      <c r="P752" s="52"/>
      <c r="Q752" s="52"/>
      <c r="U752" s="52"/>
    </row>
    <row r="753">
      <c r="M753" s="52"/>
      <c r="N753" s="52"/>
      <c r="O753" s="52"/>
      <c r="P753" s="52"/>
      <c r="Q753" s="52"/>
      <c r="U753" s="52"/>
    </row>
    <row r="754">
      <c r="M754" s="52"/>
      <c r="N754" s="52"/>
      <c r="O754" s="52"/>
      <c r="P754" s="52"/>
      <c r="Q754" s="52"/>
      <c r="U754" s="52"/>
    </row>
    <row r="755">
      <c r="M755" s="52"/>
      <c r="N755" s="52"/>
      <c r="O755" s="52"/>
      <c r="P755" s="52"/>
      <c r="Q755" s="52"/>
      <c r="U755" s="52"/>
    </row>
    <row r="756">
      <c r="M756" s="52"/>
      <c r="N756" s="52"/>
      <c r="O756" s="52"/>
      <c r="P756" s="52"/>
      <c r="Q756" s="52"/>
      <c r="U756" s="52"/>
    </row>
    <row r="757">
      <c r="M757" s="52"/>
      <c r="N757" s="52"/>
      <c r="O757" s="52"/>
      <c r="P757" s="52"/>
      <c r="Q757" s="52"/>
      <c r="U757" s="52"/>
    </row>
    <row r="758">
      <c r="M758" s="52"/>
      <c r="N758" s="52"/>
      <c r="O758" s="52"/>
      <c r="P758" s="52"/>
      <c r="Q758" s="52"/>
      <c r="U758" s="52"/>
    </row>
    <row r="759">
      <c r="M759" s="52"/>
      <c r="N759" s="52"/>
      <c r="O759" s="52"/>
      <c r="P759" s="52"/>
      <c r="Q759" s="52"/>
      <c r="U759" s="52"/>
    </row>
    <row r="760">
      <c r="M760" s="52"/>
      <c r="N760" s="52"/>
      <c r="O760" s="52"/>
      <c r="P760" s="52"/>
      <c r="Q760" s="52"/>
      <c r="U760" s="52"/>
    </row>
    <row r="761">
      <c r="M761" s="52"/>
      <c r="N761" s="52"/>
      <c r="O761" s="52"/>
      <c r="P761" s="52"/>
      <c r="Q761" s="52"/>
      <c r="U761" s="52"/>
    </row>
    <row r="762">
      <c r="M762" s="52"/>
      <c r="N762" s="52"/>
      <c r="O762" s="52"/>
      <c r="P762" s="52"/>
      <c r="Q762" s="52"/>
      <c r="U762" s="52"/>
    </row>
    <row r="763">
      <c r="M763" s="52"/>
      <c r="N763" s="52"/>
      <c r="O763" s="52"/>
      <c r="P763" s="52"/>
      <c r="Q763" s="52"/>
      <c r="U763" s="52"/>
    </row>
    <row r="764">
      <c r="M764" s="52"/>
      <c r="N764" s="52"/>
      <c r="O764" s="52"/>
      <c r="P764" s="52"/>
      <c r="Q764" s="52"/>
      <c r="U764" s="52"/>
    </row>
    <row r="765">
      <c r="M765" s="52"/>
      <c r="N765" s="52"/>
      <c r="O765" s="52"/>
      <c r="P765" s="52"/>
      <c r="Q765" s="52"/>
      <c r="U765" s="52"/>
    </row>
    <row r="766">
      <c r="M766" s="52"/>
      <c r="N766" s="52"/>
      <c r="O766" s="52"/>
      <c r="P766" s="52"/>
      <c r="Q766" s="52"/>
      <c r="U766" s="52"/>
    </row>
    <row r="767">
      <c r="M767" s="52"/>
      <c r="N767" s="52"/>
      <c r="O767" s="52"/>
      <c r="P767" s="52"/>
      <c r="Q767" s="52"/>
      <c r="U767" s="52"/>
    </row>
    <row r="768">
      <c r="M768" s="52"/>
      <c r="N768" s="52"/>
      <c r="O768" s="52"/>
      <c r="P768" s="52"/>
      <c r="Q768" s="52"/>
      <c r="U768" s="52"/>
    </row>
    <row r="769">
      <c r="M769" s="52"/>
      <c r="N769" s="52"/>
      <c r="O769" s="52"/>
      <c r="P769" s="52"/>
      <c r="Q769" s="52"/>
      <c r="U769" s="52"/>
    </row>
    <row r="770">
      <c r="M770" s="52"/>
      <c r="N770" s="52"/>
      <c r="O770" s="52"/>
      <c r="P770" s="52"/>
      <c r="Q770" s="52"/>
      <c r="U770" s="52"/>
    </row>
    <row r="771">
      <c r="M771" s="52"/>
      <c r="N771" s="52"/>
      <c r="O771" s="52"/>
      <c r="P771" s="52"/>
      <c r="Q771" s="52"/>
      <c r="U771" s="52"/>
    </row>
    <row r="772">
      <c r="M772" s="52"/>
      <c r="N772" s="52"/>
      <c r="O772" s="52"/>
      <c r="P772" s="52"/>
      <c r="Q772" s="52"/>
      <c r="U772" s="52"/>
    </row>
    <row r="773">
      <c r="M773" s="52"/>
      <c r="N773" s="52"/>
      <c r="O773" s="52"/>
      <c r="P773" s="52"/>
      <c r="Q773" s="52"/>
      <c r="U773" s="52"/>
    </row>
    <row r="774">
      <c r="M774" s="52"/>
      <c r="N774" s="52"/>
      <c r="O774" s="52"/>
      <c r="P774" s="52"/>
      <c r="Q774" s="52"/>
      <c r="U774" s="52"/>
    </row>
    <row r="775">
      <c r="M775" s="52"/>
      <c r="N775" s="52"/>
      <c r="O775" s="52"/>
      <c r="P775" s="52"/>
      <c r="Q775" s="52"/>
      <c r="U775" s="52"/>
    </row>
    <row r="776">
      <c r="M776" s="52"/>
      <c r="N776" s="52"/>
      <c r="O776" s="52"/>
      <c r="P776" s="52"/>
      <c r="Q776" s="52"/>
      <c r="U776" s="52"/>
    </row>
    <row r="777">
      <c r="M777" s="52"/>
      <c r="N777" s="52"/>
      <c r="O777" s="52"/>
      <c r="P777" s="52"/>
      <c r="Q777" s="52"/>
      <c r="U777" s="52"/>
    </row>
    <row r="778">
      <c r="M778" s="52"/>
      <c r="N778" s="52"/>
      <c r="O778" s="52"/>
      <c r="P778" s="52"/>
      <c r="Q778" s="52"/>
      <c r="U778" s="52"/>
    </row>
    <row r="779">
      <c r="M779" s="52"/>
      <c r="N779" s="52"/>
      <c r="O779" s="52"/>
      <c r="P779" s="52"/>
      <c r="Q779" s="52"/>
      <c r="U779" s="52"/>
    </row>
    <row r="780">
      <c r="M780" s="52"/>
      <c r="N780" s="52"/>
      <c r="O780" s="52"/>
      <c r="P780" s="52"/>
      <c r="Q780" s="52"/>
      <c r="U780" s="52"/>
    </row>
    <row r="781">
      <c r="M781" s="52"/>
      <c r="N781" s="52"/>
      <c r="O781" s="52"/>
      <c r="P781" s="52"/>
      <c r="Q781" s="52"/>
      <c r="U781" s="52"/>
    </row>
    <row r="782">
      <c r="M782" s="52"/>
      <c r="N782" s="52"/>
      <c r="O782" s="52"/>
      <c r="P782" s="52"/>
      <c r="Q782" s="52"/>
      <c r="U782" s="52"/>
    </row>
    <row r="783">
      <c r="M783" s="52"/>
      <c r="N783" s="52"/>
      <c r="O783" s="52"/>
      <c r="P783" s="52"/>
      <c r="Q783" s="52"/>
      <c r="U783" s="52"/>
    </row>
    <row r="784">
      <c r="M784" s="52"/>
      <c r="N784" s="52"/>
      <c r="O784" s="52"/>
      <c r="P784" s="52"/>
      <c r="Q784" s="52"/>
      <c r="U784" s="52"/>
    </row>
    <row r="785">
      <c r="M785" s="52"/>
      <c r="N785" s="52"/>
      <c r="O785" s="52"/>
      <c r="P785" s="52"/>
      <c r="Q785" s="52"/>
      <c r="U785" s="52"/>
    </row>
    <row r="786">
      <c r="M786" s="52"/>
      <c r="N786" s="52"/>
      <c r="O786" s="52"/>
      <c r="P786" s="52"/>
      <c r="Q786" s="52"/>
      <c r="U786" s="52"/>
    </row>
    <row r="787">
      <c r="M787" s="52"/>
      <c r="N787" s="52"/>
      <c r="O787" s="52"/>
      <c r="P787" s="52"/>
      <c r="Q787" s="52"/>
      <c r="U787" s="52"/>
    </row>
    <row r="788">
      <c r="M788" s="52"/>
      <c r="N788" s="52"/>
      <c r="O788" s="52"/>
      <c r="P788" s="52"/>
      <c r="Q788" s="52"/>
      <c r="U788" s="52"/>
    </row>
    <row r="789">
      <c r="M789" s="52"/>
      <c r="N789" s="52"/>
      <c r="O789" s="52"/>
      <c r="P789" s="52"/>
      <c r="Q789" s="52"/>
      <c r="U789" s="52"/>
    </row>
    <row r="790">
      <c r="M790" s="52"/>
      <c r="N790" s="52"/>
      <c r="O790" s="52"/>
      <c r="P790" s="52"/>
      <c r="Q790" s="52"/>
      <c r="U790" s="52"/>
    </row>
    <row r="791">
      <c r="M791" s="52"/>
      <c r="N791" s="52"/>
      <c r="O791" s="52"/>
      <c r="P791" s="52"/>
      <c r="Q791" s="52"/>
      <c r="U791" s="52"/>
    </row>
    <row r="792">
      <c r="M792" s="52"/>
      <c r="N792" s="52"/>
      <c r="O792" s="52"/>
      <c r="P792" s="52"/>
      <c r="Q792" s="52"/>
      <c r="U792" s="52"/>
    </row>
    <row r="793">
      <c r="M793" s="52"/>
      <c r="N793" s="52"/>
      <c r="O793" s="52"/>
      <c r="P793" s="52"/>
      <c r="Q793" s="52"/>
      <c r="U793" s="52"/>
    </row>
    <row r="794">
      <c r="M794" s="52"/>
      <c r="N794" s="52"/>
      <c r="O794" s="52"/>
      <c r="P794" s="52"/>
      <c r="Q794" s="52"/>
      <c r="U794" s="52"/>
    </row>
    <row r="795">
      <c r="M795" s="52"/>
      <c r="N795" s="52"/>
      <c r="O795" s="52"/>
      <c r="P795" s="52"/>
      <c r="Q795" s="52"/>
      <c r="U795" s="52"/>
    </row>
    <row r="796">
      <c r="M796" s="52"/>
      <c r="N796" s="52"/>
      <c r="O796" s="52"/>
      <c r="P796" s="52"/>
      <c r="Q796" s="52"/>
      <c r="U796" s="52"/>
    </row>
    <row r="797">
      <c r="M797" s="52"/>
      <c r="N797" s="52"/>
      <c r="O797" s="52"/>
      <c r="P797" s="52"/>
      <c r="Q797" s="52"/>
      <c r="U797" s="52"/>
    </row>
    <row r="798">
      <c r="M798" s="52"/>
      <c r="N798" s="52"/>
      <c r="O798" s="52"/>
      <c r="P798" s="52"/>
      <c r="Q798" s="52"/>
      <c r="U798" s="52"/>
    </row>
    <row r="799">
      <c r="M799" s="52"/>
      <c r="N799" s="52"/>
      <c r="O799" s="52"/>
      <c r="P799" s="52"/>
      <c r="Q799" s="52"/>
      <c r="U799" s="52"/>
    </row>
    <row r="800">
      <c r="M800" s="52"/>
      <c r="N800" s="52"/>
      <c r="O800" s="52"/>
      <c r="P800" s="52"/>
      <c r="Q800" s="52"/>
      <c r="U800" s="52"/>
    </row>
    <row r="801">
      <c r="M801" s="52"/>
      <c r="N801" s="52"/>
      <c r="O801" s="52"/>
      <c r="P801" s="52"/>
      <c r="Q801" s="52"/>
      <c r="U801" s="52"/>
    </row>
    <row r="802">
      <c r="M802" s="52"/>
      <c r="N802" s="52"/>
      <c r="O802" s="52"/>
      <c r="P802" s="52"/>
      <c r="Q802" s="52"/>
      <c r="U802" s="52"/>
    </row>
    <row r="803">
      <c r="M803" s="52"/>
      <c r="N803" s="52"/>
      <c r="O803" s="52"/>
      <c r="P803" s="52"/>
      <c r="Q803" s="52"/>
      <c r="U803" s="52"/>
    </row>
    <row r="804">
      <c r="M804" s="52"/>
      <c r="N804" s="52"/>
      <c r="O804" s="52"/>
      <c r="P804" s="52"/>
      <c r="Q804" s="52"/>
      <c r="U804" s="52"/>
    </row>
    <row r="805">
      <c r="M805" s="52"/>
      <c r="N805" s="52"/>
      <c r="O805" s="52"/>
      <c r="P805" s="52"/>
      <c r="Q805" s="52"/>
      <c r="U805" s="52"/>
    </row>
    <row r="806">
      <c r="M806" s="52"/>
      <c r="N806" s="52"/>
      <c r="O806" s="52"/>
      <c r="P806" s="52"/>
      <c r="Q806" s="52"/>
      <c r="U806" s="52"/>
    </row>
    <row r="807">
      <c r="M807" s="52"/>
      <c r="N807" s="52"/>
      <c r="O807" s="52"/>
      <c r="P807" s="52"/>
      <c r="Q807" s="52"/>
      <c r="U807" s="52"/>
    </row>
    <row r="808">
      <c r="M808" s="52"/>
      <c r="N808" s="52"/>
      <c r="O808" s="52"/>
      <c r="P808" s="52"/>
      <c r="Q808" s="52"/>
      <c r="U808" s="52"/>
    </row>
    <row r="809">
      <c r="M809" s="52"/>
      <c r="N809" s="52"/>
      <c r="O809" s="52"/>
      <c r="P809" s="52"/>
      <c r="Q809" s="52"/>
      <c r="U809" s="52"/>
    </row>
    <row r="810">
      <c r="M810" s="52"/>
      <c r="N810" s="52"/>
      <c r="O810" s="52"/>
      <c r="P810" s="52"/>
      <c r="Q810" s="52"/>
      <c r="U810" s="52"/>
    </row>
    <row r="811">
      <c r="M811" s="52"/>
      <c r="N811" s="52"/>
      <c r="O811" s="52"/>
      <c r="P811" s="52"/>
      <c r="Q811" s="52"/>
      <c r="U811" s="52"/>
    </row>
    <row r="812">
      <c r="M812" s="52"/>
      <c r="N812" s="52"/>
      <c r="O812" s="52"/>
      <c r="P812" s="52"/>
      <c r="Q812" s="52"/>
      <c r="U812" s="52"/>
    </row>
    <row r="813">
      <c r="M813" s="52"/>
      <c r="N813" s="52"/>
      <c r="O813" s="52"/>
      <c r="P813" s="52"/>
      <c r="Q813" s="52"/>
      <c r="U813" s="52"/>
    </row>
    <row r="814">
      <c r="M814" s="52"/>
      <c r="N814" s="52"/>
      <c r="O814" s="52"/>
      <c r="P814" s="52"/>
      <c r="Q814" s="52"/>
      <c r="U814" s="52"/>
    </row>
    <row r="815">
      <c r="M815" s="52"/>
      <c r="N815" s="52"/>
      <c r="O815" s="52"/>
      <c r="P815" s="52"/>
      <c r="Q815" s="52"/>
      <c r="U815" s="52"/>
    </row>
    <row r="816">
      <c r="M816" s="52"/>
      <c r="N816" s="52"/>
      <c r="O816" s="52"/>
      <c r="P816" s="52"/>
      <c r="Q816" s="52"/>
      <c r="U816" s="52"/>
    </row>
    <row r="817">
      <c r="M817" s="52"/>
      <c r="N817" s="52"/>
      <c r="O817" s="52"/>
      <c r="P817" s="52"/>
      <c r="Q817" s="52"/>
      <c r="U817" s="52"/>
    </row>
    <row r="818">
      <c r="M818" s="52"/>
      <c r="N818" s="52"/>
      <c r="O818" s="52"/>
      <c r="P818" s="52"/>
      <c r="Q818" s="52"/>
      <c r="U818" s="52"/>
    </row>
    <row r="819">
      <c r="M819" s="52"/>
      <c r="N819" s="52"/>
      <c r="O819" s="52"/>
      <c r="P819" s="52"/>
      <c r="Q819" s="52"/>
      <c r="U819" s="52"/>
    </row>
    <row r="820">
      <c r="M820" s="52"/>
      <c r="N820" s="52"/>
      <c r="O820" s="52"/>
      <c r="P820" s="52"/>
      <c r="Q820" s="52"/>
      <c r="U820" s="52"/>
    </row>
    <row r="821">
      <c r="M821" s="52"/>
      <c r="N821" s="52"/>
      <c r="O821" s="52"/>
      <c r="P821" s="52"/>
      <c r="Q821" s="52"/>
      <c r="U821" s="52"/>
    </row>
    <row r="822">
      <c r="M822" s="52"/>
      <c r="N822" s="52"/>
      <c r="O822" s="52"/>
      <c r="P822" s="52"/>
      <c r="Q822" s="52"/>
      <c r="U822" s="52"/>
    </row>
    <row r="823">
      <c r="M823" s="52"/>
      <c r="N823" s="52"/>
      <c r="O823" s="52"/>
      <c r="P823" s="52"/>
      <c r="Q823" s="52"/>
      <c r="U823" s="52"/>
    </row>
    <row r="824">
      <c r="M824" s="52"/>
      <c r="N824" s="52"/>
      <c r="O824" s="52"/>
      <c r="P824" s="52"/>
      <c r="Q824" s="52"/>
      <c r="U824" s="52"/>
    </row>
    <row r="825">
      <c r="M825" s="52"/>
      <c r="N825" s="52"/>
      <c r="O825" s="52"/>
      <c r="P825" s="52"/>
      <c r="Q825" s="52"/>
      <c r="U825" s="52"/>
    </row>
    <row r="826">
      <c r="M826" s="52"/>
      <c r="N826" s="52"/>
      <c r="O826" s="52"/>
      <c r="P826" s="52"/>
      <c r="Q826" s="52"/>
      <c r="U826" s="52"/>
    </row>
    <row r="827">
      <c r="M827" s="52"/>
      <c r="N827" s="52"/>
      <c r="O827" s="52"/>
      <c r="P827" s="52"/>
      <c r="Q827" s="52"/>
      <c r="U827" s="52"/>
    </row>
    <row r="828">
      <c r="M828" s="52"/>
      <c r="N828" s="52"/>
      <c r="O828" s="52"/>
      <c r="P828" s="52"/>
      <c r="Q828" s="52"/>
      <c r="U828" s="52"/>
    </row>
    <row r="829">
      <c r="M829" s="52"/>
      <c r="N829" s="52"/>
      <c r="O829" s="52"/>
      <c r="P829" s="52"/>
      <c r="Q829" s="52"/>
      <c r="U829" s="52"/>
    </row>
    <row r="830">
      <c r="M830" s="52"/>
      <c r="N830" s="52"/>
      <c r="O830" s="52"/>
      <c r="P830" s="52"/>
      <c r="Q830" s="52"/>
      <c r="U830" s="52"/>
    </row>
    <row r="831">
      <c r="M831" s="52"/>
      <c r="N831" s="52"/>
      <c r="O831" s="52"/>
      <c r="P831" s="52"/>
      <c r="Q831" s="52"/>
      <c r="U831" s="52"/>
    </row>
    <row r="832">
      <c r="M832" s="52"/>
      <c r="N832" s="52"/>
      <c r="O832" s="52"/>
      <c r="P832" s="52"/>
      <c r="Q832" s="52"/>
      <c r="U832" s="52"/>
    </row>
    <row r="833">
      <c r="M833" s="52"/>
      <c r="N833" s="52"/>
      <c r="O833" s="52"/>
      <c r="P833" s="52"/>
      <c r="Q833" s="52"/>
      <c r="U833" s="52"/>
    </row>
    <row r="834">
      <c r="M834" s="52"/>
      <c r="N834" s="52"/>
      <c r="O834" s="52"/>
      <c r="P834" s="52"/>
      <c r="Q834" s="52"/>
      <c r="U834" s="52"/>
    </row>
    <row r="835">
      <c r="M835" s="52"/>
      <c r="N835" s="52"/>
      <c r="O835" s="52"/>
      <c r="P835" s="52"/>
      <c r="Q835" s="52"/>
      <c r="U835" s="52"/>
    </row>
    <row r="836">
      <c r="M836" s="52"/>
      <c r="N836" s="52"/>
      <c r="O836" s="52"/>
      <c r="P836" s="52"/>
      <c r="Q836" s="52"/>
      <c r="U836" s="52"/>
    </row>
    <row r="837">
      <c r="M837" s="52"/>
      <c r="N837" s="52"/>
      <c r="O837" s="52"/>
      <c r="P837" s="52"/>
      <c r="Q837" s="52"/>
      <c r="U837" s="52"/>
    </row>
    <row r="838">
      <c r="M838" s="52"/>
      <c r="N838" s="52"/>
      <c r="O838" s="52"/>
      <c r="P838" s="52"/>
      <c r="Q838" s="52"/>
      <c r="U838" s="52"/>
    </row>
    <row r="839">
      <c r="M839" s="52"/>
      <c r="N839" s="52"/>
      <c r="O839" s="52"/>
      <c r="P839" s="52"/>
      <c r="Q839" s="52"/>
      <c r="U839" s="52"/>
    </row>
    <row r="840">
      <c r="M840" s="52"/>
      <c r="N840" s="52"/>
      <c r="O840" s="52"/>
      <c r="P840" s="52"/>
      <c r="Q840" s="52"/>
      <c r="U840" s="52"/>
    </row>
    <row r="841">
      <c r="M841" s="52"/>
      <c r="N841" s="52"/>
      <c r="O841" s="52"/>
      <c r="P841" s="52"/>
      <c r="Q841" s="52"/>
      <c r="U841" s="52"/>
    </row>
    <row r="842">
      <c r="M842" s="52"/>
      <c r="N842" s="52"/>
      <c r="O842" s="52"/>
      <c r="P842" s="52"/>
      <c r="Q842" s="52"/>
      <c r="U842" s="52"/>
    </row>
    <row r="843">
      <c r="M843" s="52"/>
      <c r="N843" s="52"/>
      <c r="O843" s="52"/>
      <c r="P843" s="52"/>
      <c r="Q843" s="52"/>
      <c r="U843" s="52"/>
    </row>
    <row r="844">
      <c r="M844" s="52"/>
      <c r="N844" s="52"/>
      <c r="O844" s="52"/>
      <c r="P844" s="52"/>
      <c r="Q844" s="52"/>
      <c r="U844" s="52"/>
    </row>
    <row r="845">
      <c r="M845" s="52"/>
      <c r="N845" s="52"/>
      <c r="O845" s="52"/>
      <c r="P845" s="52"/>
      <c r="Q845" s="52"/>
      <c r="U845" s="52"/>
    </row>
    <row r="846">
      <c r="M846" s="52"/>
      <c r="N846" s="52"/>
      <c r="O846" s="52"/>
      <c r="P846" s="52"/>
      <c r="Q846" s="52"/>
      <c r="U846" s="52"/>
    </row>
    <row r="847">
      <c r="M847" s="52"/>
      <c r="N847" s="52"/>
      <c r="O847" s="52"/>
      <c r="P847" s="52"/>
      <c r="Q847" s="52"/>
      <c r="U847" s="52"/>
    </row>
    <row r="848">
      <c r="M848" s="52"/>
      <c r="N848" s="52"/>
      <c r="O848" s="52"/>
      <c r="P848" s="52"/>
      <c r="Q848" s="52"/>
      <c r="U848" s="52"/>
    </row>
    <row r="849">
      <c r="M849" s="52"/>
      <c r="N849" s="52"/>
      <c r="O849" s="52"/>
      <c r="P849" s="52"/>
      <c r="Q849" s="52"/>
      <c r="U849" s="52"/>
    </row>
    <row r="850">
      <c r="M850" s="52"/>
      <c r="N850" s="52"/>
      <c r="O850" s="52"/>
      <c r="P850" s="52"/>
      <c r="Q850" s="52"/>
      <c r="U850" s="52"/>
    </row>
    <row r="851">
      <c r="M851" s="52"/>
      <c r="N851" s="52"/>
      <c r="O851" s="52"/>
      <c r="P851" s="52"/>
      <c r="Q851" s="52"/>
      <c r="U851" s="52"/>
    </row>
    <row r="852">
      <c r="M852" s="52"/>
      <c r="N852" s="52"/>
      <c r="O852" s="52"/>
      <c r="P852" s="52"/>
      <c r="Q852" s="52"/>
      <c r="U852" s="52"/>
    </row>
    <row r="853">
      <c r="M853" s="52"/>
      <c r="N853" s="52"/>
      <c r="O853" s="52"/>
      <c r="P853" s="52"/>
      <c r="Q853" s="52"/>
      <c r="U853" s="52"/>
    </row>
    <row r="854">
      <c r="M854" s="52"/>
      <c r="N854" s="52"/>
      <c r="O854" s="52"/>
      <c r="P854" s="52"/>
      <c r="Q854" s="52"/>
      <c r="U854" s="52"/>
    </row>
    <row r="855">
      <c r="M855" s="52"/>
      <c r="N855" s="52"/>
      <c r="O855" s="52"/>
      <c r="P855" s="52"/>
      <c r="Q855" s="52"/>
      <c r="U855" s="52"/>
    </row>
    <row r="856">
      <c r="M856" s="52"/>
      <c r="N856" s="52"/>
      <c r="O856" s="52"/>
      <c r="P856" s="52"/>
      <c r="Q856" s="52"/>
      <c r="U856" s="52"/>
    </row>
    <row r="857">
      <c r="M857" s="52"/>
      <c r="N857" s="52"/>
      <c r="O857" s="52"/>
      <c r="P857" s="52"/>
      <c r="Q857" s="52"/>
      <c r="U857" s="52"/>
    </row>
    <row r="858">
      <c r="M858" s="52"/>
      <c r="N858" s="52"/>
      <c r="O858" s="52"/>
      <c r="P858" s="52"/>
      <c r="Q858" s="52"/>
      <c r="U858" s="52"/>
    </row>
    <row r="859">
      <c r="M859" s="52"/>
      <c r="N859" s="52"/>
      <c r="O859" s="52"/>
      <c r="P859" s="52"/>
      <c r="Q859" s="52"/>
      <c r="U859" s="52"/>
    </row>
    <row r="860">
      <c r="M860" s="52"/>
      <c r="N860" s="52"/>
      <c r="O860" s="52"/>
      <c r="P860" s="52"/>
      <c r="Q860" s="52"/>
      <c r="U860" s="52"/>
    </row>
    <row r="861">
      <c r="M861" s="52"/>
      <c r="N861" s="52"/>
      <c r="O861" s="52"/>
      <c r="P861" s="52"/>
      <c r="Q861" s="52"/>
      <c r="U861" s="52"/>
    </row>
    <row r="862">
      <c r="M862" s="52"/>
      <c r="N862" s="52"/>
      <c r="O862" s="52"/>
      <c r="P862" s="52"/>
      <c r="Q862" s="52"/>
      <c r="U862" s="52"/>
    </row>
    <row r="863">
      <c r="M863" s="52"/>
      <c r="N863" s="52"/>
      <c r="O863" s="52"/>
      <c r="P863" s="52"/>
      <c r="Q863" s="52"/>
      <c r="U863" s="52"/>
    </row>
    <row r="864">
      <c r="M864" s="52"/>
      <c r="N864" s="52"/>
      <c r="O864" s="52"/>
      <c r="P864" s="52"/>
      <c r="Q864" s="52"/>
      <c r="U864" s="52"/>
    </row>
    <row r="865">
      <c r="M865" s="52"/>
      <c r="N865" s="52"/>
      <c r="O865" s="52"/>
      <c r="P865" s="52"/>
      <c r="Q865" s="52"/>
      <c r="U865" s="52"/>
    </row>
    <row r="866">
      <c r="M866" s="52"/>
      <c r="N866" s="52"/>
      <c r="O866" s="52"/>
      <c r="P866" s="52"/>
      <c r="Q866" s="52"/>
      <c r="U866" s="52"/>
    </row>
    <row r="867">
      <c r="M867" s="52"/>
      <c r="N867" s="52"/>
      <c r="O867" s="52"/>
      <c r="P867" s="52"/>
      <c r="Q867" s="52"/>
      <c r="U867" s="52"/>
    </row>
    <row r="868">
      <c r="M868" s="52"/>
      <c r="N868" s="52"/>
      <c r="O868" s="52"/>
      <c r="P868" s="52"/>
      <c r="Q868" s="52"/>
      <c r="U868" s="52"/>
    </row>
    <row r="869">
      <c r="M869" s="52"/>
      <c r="N869" s="52"/>
      <c r="O869" s="52"/>
      <c r="P869" s="52"/>
      <c r="Q869" s="52"/>
      <c r="U869" s="52"/>
    </row>
    <row r="870">
      <c r="M870" s="52"/>
      <c r="N870" s="52"/>
      <c r="O870" s="52"/>
      <c r="P870" s="52"/>
      <c r="Q870" s="52"/>
      <c r="U870" s="52"/>
    </row>
    <row r="871">
      <c r="M871" s="52"/>
      <c r="N871" s="52"/>
      <c r="O871" s="52"/>
      <c r="P871" s="52"/>
      <c r="Q871" s="52"/>
      <c r="U871" s="52"/>
    </row>
    <row r="872">
      <c r="M872" s="52"/>
      <c r="N872" s="52"/>
      <c r="O872" s="52"/>
      <c r="P872" s="52"/>
      <c r="Q872" s="52"/>
      <c r="U872" s="52"/>
    </row>
    <row r="873">
      <c r="M873" s="52"/>
      <c r="N873" s="52"/>
      <c r="O873" s="52"/>
      <c r="P873" s="52"/>
      <c r="Q873" s="52"/>
      <c r="U873" s="52"/>
    </row>
    <row r="874">
      <c r="M874" s="52"/>
      <c r="N874" s="52"/>
      <c r="O874" s="52"/>
      <c r="P874" s="52"/>
      <c r="Q874" s="52"/>
      <c r="U874" s="52"/>
    </row>
    <row r="875">
      <c r="M875" s="52"/>
      <c r="N875" s="52"/>
      <c r="O875" s="52"/>
      <c r="P875" s="52"/>
      <c r="Q875" s="52"/>
      <c r="U875" s="52"/>
    </row>
    <row r="876">
      <c r="M876" s="52"/>
      <c r="N876" s="52"/>
      <c r="O876" s="52"/>
      <c r="P876" s="52"/>
      <c r="Q876" s="52"/>
      <c r="U876" s="52"/>
    </row>
    <row r="877">
      <c r="M877" s="52"/>
      <c r="N877" s="52"/>
      <c r="O877" s="52"/>
      <c r="P877" s="52"/>
      <c r="Q877" s="52"/>
      <c r="U877" s="52"/>
    </row>
    <row r="878">
      <c r="M878" s="52"/>
      <c r="N878" s="52"/>
      <c r="O878" s="52"/>
      <c r="P878" s="52"/>
      <c r="Q878" s="52"/>
      <c r="U878" s="52"/>
    </row>
    <row r="879">
      <c r="M879" s="52"/>
      <c r="N879" s="52"/>
      <c r="O879" s="52"/>
      <c r="P879" s="52"/>
      <c r="Q879" s="52"/>
      <c r="U879" s="52"/>
    </row>
    <row r="880">
      <c r="M880" s="52"/>
      <c r="N880" s="52"/>
      <c r="O880" s="52"/>
      <c r="P880" s="52"/>
      <c r="Q880" s="52"/>
      <c r="U880" s="52"/>
    </row>
    <row r="881">
      <c r="M881" s="52"/>
      <c r="N881" s="52"/>
      <c r="O881" s="52"/>
      <c r="P881" s="52"/>
      <c r="Q881" s="52"/>
      <c r="U881" s="52"/>
    </row>
    <row r="882">
      <c r="M882" s="52"/>
      <c r="N882" s="52"/>
      <c r="O882" s="52"/>
      <c r="P882" s="52"/>
      <c r="Q882" s="52"/>
      <c r="U882" s="52"/>
    </row>
    <row r="883">
      <c r="M883" s="52"/>
      <c r="N883" s="52"/>
      <c r="O883" s="52"/>
      <c r="P883" s="52"/>
      <c r="Q883" s="52"/>
      <c r="U883" s="52"/>
    </row>
    <row r="884">
      <c r="M884" s="52"/>
      <c r="N884" s="52"/>
      <c r="O884" s="52"/>
      <c r="P884" s="52"/>
      <c r="Q884" s="52"/>
      <c r="U884" s="52"/>
    </row>
    <row r="885">
      <c r="M885" s="52"/>
      <c r="N885" s="52"/>
      <c r="O885" s="52"/>
      <c r="P885" s="52"/>
      <c r="Q885" s="52"/>
      <c r="U885" s="52"/>
    </row>
    <row r="886">
      <c r="M886" s="52"/>
      <c r="N886" s="52"/>
      <c r="O886" s="52"/>
      <c r="P886" s="52"/>
      <c r="Q886" s="52"/>
      <c r="U886" s="52"/>
    </row>
    <row r="887">
      <c r="M887" s="52"/>
      <c r="N887" s="52"/>
      <c r="O887" s="52"/>
      <c r="P887" s="52"/>
      <c r="Q887" s="52"/>
      <c r="U887" s="52"/>
    </row>
    <row r="888">
      <c r="M888" s="52"/>
      <c r="N888" s="52"/>
      <c r="O888" s="52"/>
      <c r="P888" s="52"/>
      <c r="Q888" s="52"/>
      <c r="U888" s="52"/>
    </row>
    <row r="889">
      <c r="M889" s="52"/>
      <c r="N889" s="52"/>
      <c r="O889" s="52"/>
      <c r="P889" s="52"/>
      <c r="Q889" s="52"/>
      <c r="U889" s="52"/>
    </row>
    <row r="890">
      <c r="M890" s="52"/>
      <c r="N890" s="52"/>
      <c r="O890" s="52"/>
      <c r="P890" s="52"/>
      <c r="Q890" s="52"/>
      <c r="U890" s="52"/>
    </row>
    <row r="891">
      <c r="M891" s="52"/>
      <c r="N891" s="52"/>
      <c r="O891" s="52"/>
      <c r="P891" s="52"/>
      <c r="Q891" s="52"/>
      <c r="U891" s="52"/>
    </row>
    <row r="892">
      <c r="M892" s="52"/>
      <c r="N892" s="52"/>
      <c r="O892" s="52"/>
      <c r="P892" s="52"/>
      <c r="Q892" s="52"/>
      <c r="U892" s="52"/>
    </row>
    <row r="893">
      <c r="M893" s="52"/>
      <c r="N893" s="52"/>
      <c r="O893" s="52"/>
      <c r="P893" s="52"/>
      <c r="Q893" s="52"/>
      <c r="U893" s="52"/>
    </row>
    <row r="894">
      <c r="M894" s="52"/>
      <c r="N894" s="52"/>
      <c r="O894" s="52"/>
      <c r="P894" s="52"/>
      <c r="Q894" s="52"/>
      <c r="U894" s="52"/>
    </row>
    <row r="895">
      <c r="M895" s="52"/>
      <c r="N895" s="52"/>
      <c r="O895" s="52"/>
      <c r="P895" s="52"/>
      <c r="Q895" s="52"/>
      <c r="U895" s="52"/>
    </row>
    <row r="896">
      <c r="M896" s="52"/>
      <c r="N896" s="52"/>
      <c r="O896" s="52"/>
      <c r="P896" s="52"/>
      <c r="Q896" s="52"/>
      <c r="U896" s="52"/>
    </row>
    <row r="897">
      <c r="M897" s="52"/>
      <c r="N897" s="52"/>
      <c r="O897" s="52"/>
      <c r="P897" s="52"/>
      <c r="Q897" s="52"/>
      <c r="U897" s="52"/>
    </row>
    <row r="898">
      <c r="M898" s="52"/>
      <c r="N898" s="52"/>
      <c r="O898" s="52"/>
      <c r="P898" s="52"/>
      <c r="Q898" s="52"/>
      <c r="U898" s="52"/>
    </row>
    <row r="899">
      <c r="M899" s="52"/>
      <c r="N899" s="52"/>
      <c r="O899" s="52"/>
      <c r="P899" s="52"/>
      <c r="Q899" s="52"/>
      <c r="U899" s="52"/>
    </row>
    <row r="900">
      <c r="M900" s="52"/>
      <c r="N900" s="52"/>
      <c r="O900" s="52"/>
      <c r="P900" s="52"/>
      <c r="Q900" s="52"/>
      <c r="U900" s="52"/>
    </row>
    <row r="901">
      <c r="M901" s="52"/>
      <c r="N901" s="52"/>
      <c r="O901" s="52"/>
      <c r="P901" s="52"/>
      <c r="Q901" s="52"/>
      <c r="U901" s="52"/>
    </row>
    <row r="902">
      <c r="M902" s="52"/>
      <c r="N902" s="52"/>
      <c r="O902" s="52"/>
      <c r="P902" s="52"/>
      <c r="Q902" s="52"/>
      <c r="U902" s="52"/>
    </row>
    <row r="903">
      <c r="M903" s="52"/>
      <c r="N903" s="52"/>
      <c r="O903" s="52"/>
      <c r="P903" s="52"/>
      <c r="Q903" s="52"/>
      <c r="U903" s="52"/>
    </row>
    <row r="904">
      <c r="M904" s="52"/>
      <c r="N904" s="52"/>
      <c r="O904" s="52"/>
      <c r="P904" s="52"/>
      <c r="Q904" s="52"/>
      <c r="U904" s="52"/>
    </row>
    <row r="905">
      <c r="M905" s="52"/>
      <c r="N905" s="52"/>
      <c r="O905" s="52"/>
      <c r="P905" s="52"/>
      <c r="Q905" s="52"/>
      <c r="U905" s="52"/>
    </row>
    <row r="906">
      <c r="M906" s="52"/>
      <c r="N906" s="52"/>
      <c r="O906" s="52"/>
      <c r="P906" s="52"/>
      <c r="Q906" s="52"/>
      <c r="U906" s="52"/>
    </row>
    <row r="907">
      <c r="M907" s="52"/>
      <c r="N907" s="52"/>
      <c r="O907" s="52"/>
      <c r="P907" s="52"/>
      <c r="Q907" s="52"/>
      <c r="U907" s="52"/>
    </row>
    <row r="908">
      <c r="M908" s="52"/>
      <c r="N908" s="52"/>
      <c r="O908" s="52"/>
      <c r="P908" s="52"/>
      <c r="Q908" s="52"/>
      <c r="U908" s="52"/>
    </row>
    <row r="909">
      <c r="M909" s="52"/>
      <c r="N909" s="52"/>
      <c r="O909" s="52"/>
      <c r="P909" s="52"/>
      <c r="Q909" s="52"/>
      <c r="U909" s="52"/>
    </row>
    <row r="910">
      <c r="M910" s="52"/>
      <c r="N910" s="52"/>
      <c r="O910" s="52"/>
      <c r="P910" s="52"/>
      <c r="Q910" s="52"/>
      <c r="U910" s="52"/>
    </row>
    <row r="911">
      <c r="M911" s="52"/>
      <c r="N911" s="52"/>
      <c r="O911" s="52"/>
      <c r="P911" s="52"/>
      <c r="Q911" s="52"/>
      <c r="U911" s="52"/>
    </row>
    <row r="912">
      <c r="M912" s="52"/>
      <c r="N912" s="52"/>
      <c r="O912" s="52"/>
      <c r="P912" s="52"/>
      <c r="Q912" s="52"/>
      <c r="U912" s="52"/>
    </row>
    <row r="913">
      <c r="M913" s="52"/>
      <c r="N913" s="52"/>
      <c r="O913" s="52"/>
      <c r="P913" s="52"/>
      <c r="Q913" s="52"/>
      <c r="U913" s="52"/>
    </row>
    <row r="914">
      <c r="M914" s="52"/>
      <c r="N914" s="52"/>
      <c r="O914" s="52"/>
      <c r="P914" s="52"/>
      <c r="Q914" s="52"/>
      <c r="U914" s="52"/>
    </row>
    <row r="915">
      <c r="M915" s="52"/>
      <c r="N915" s="52"/>
      <c r="O915" s="52"/>
      <c r="P915" s="52"/>
      <c r="Q915" s="52"/>
      <c r="U915" s="52"/>
    </row>
    <row r="916">
      <c r="M916" s="52"/>
      <c r="N916" s="52"/>
      <c r="O916" s="52"/>
      <c r="P916" s="52"/>
      <c r="Q916" s="52"/>
      <c r="U916" s="52"/>
    </row>
    <row r="917">
      <c r="M917" s="52"/>
      <c r="N917" s="52"/>
      <c r="O917" s="52"/>
      <c r="P917" s="52"/>
      <c r="Q917" s="52"/>
      <c r="U917" s="52"/>
    </row>
    <row r="918">
      <c r="M918" s="52"/>
      <c r="N918" s="52"/>
      <c r="O918" s="52"/>
      <c r="P918" s="52"/>
      <c r="Q918" s="52"/>
      <c r="U918" s="52"/>
    </row>
    <row r="919">
      <c r="M919" s="52"/>
      <c r="N919" s="52"/>
      <c r="O919" s="52"/>
      <c r="P919" s="52"/>
      <c r="Q919" s="52"/>
      <c r="U919" s="52"/>
    </row>
    <row r="920">
      <c r="M920" s="52"/>
      <c r="N920" s="52"/>
      <c r="O920" s="52"/>
      <c r="P920" s="52"/>
      <c r="Q920" s="52"/>
      <c r="U920" s="52"/>
    </row>
    <row r="921">
      <c r="M921" s="52"/>
      <c r="N921" s="52"/>
      <c r="O921" s="52"/>
      <c r="P921" s="52"/>
      <c r="Q921" s="52"/>
      <c r="U921" s="52"/>
    </row>
    <row r="922">
      <c r="M922" s="52"/>
      <c r="N922" s="52"/>
      <c r="O922" s="52"/>
      <c r="P922" s="52"/>
      <c r="Q922" s="52"/>
      <c r="U922" s="52"/>
    </row>
    <row r="923">
      <c r="M923" s="52"/>
      <c r="N923" s="52"/>
      <c r="O923" s="52"/>
      <c r="P923" s="52"/>
      <c r="Q923" s="52"/>
      <c r="U923" s="52"/>
    </row>
    <row r="924">
      <c r="M924" s="52"/>
      <c r="N924" s="52"/>
      <c r="O924" s="52"/>
      <c r="P924" s="52"/>
      <c r="Q924" s="52"/>
      <c r="U924" s="52"/>
    </row>
    <row r="925">
      <c r="M925" s="52"/>
      <c r="N925" s="52"/>
      <c r="O925" s="52"/>
      <c r="P925" s="52"/>
      <c r="Q925" s="52"/>
      <c r="U925" s="52"/>
    </row>
    <row r="926">
      <c r="M926" s="52"/>
      <c r="N926" s="52"/>
      <c r="O926" s="52"/>
      <c r="P926" s="52"/>
      <c r="Q926" s="52"/>
      <c r="U926" s="52"/>
    </row>
    <row r="927">
      <c r="M927" s="52"/>
      <c r="N927" s="52"/>
      <c r="O927" s="52"/>
      <c r="P927" s="52"/>
      <c r="Q927" s="52"/>
      <c r="U927" s="52"/>
    </row>
    <row r="928">
      <c r="M928" s="52"/>
      <c r="N928" s="52"/>
      <c r="O928" s="52"/>
      <c r="P928" s="52"/>
      <c r="Q928" s="52"/>
      <c r="U928" s="52"/>
    </row>
    <row r="929">
      <c r="M929" s="52"/>
      <c r="N929" s="52"/>
      <c r="O929" s="52"/>
      <c r="P929" s="52"/>
      <c r="Q929" s="52"/>
      <c r="U929" s="52"/>
    </row>
    <row r="930">
      <c r="M930" s="52"/>
      <c r="N930" s="52"/>
      <c r="O930" s="52"/>
      <c r="P930" s="52"/>
      <c r="Q930" s="52"/>
      <c r="U930" s="52"/>
    </row>
    <row r="931">
      <c r="M931" s="52"/>
      <c r="N931" s="52"/>
      <c r="O931" s="52"/>
      <c r="P931" s="52"/>
      <c r="Q931" s="52"/>
      <c r="U931" s="52"/>
    </row>
    <row r="932">
      <c r="M932" s="52"/>
      <c r="N932" s="52"/>
      <c r="O932" s="52"/>
      <c r="P932" s="52"/>
      <c r="Q932" s="52"/>
      <c r="U932" s="52"/>
    </row>
    <row r="933">
      <c r="M933" s="52"/>
      <c r="N933" s="52"/>
      <c r="O933" s="52"/>
      <c r="P933" s="52"/>
      <c r="Q933" s="52"/>
      <c r="U933" s="52"/>
    </row>
    <row r="934">
      <c r="M934" s="52"/>
      <c r="N934" s="52"/>
      <c r="O934" s="52"/>
      <c r="P934" s="52"/>
      <c r="Q934" s="52"/>
      <c r="U934" s="52"/>
    </row>
    <row r="935">
      <c r="M935" s="52"/>
      <c r="N935" s="52"/>
      <c r="O935" s="52"/>
      <c r="P935" s="52"/>
      <c r="Q935" s="52"/>
      <c r="U935" s="52"/>
    </row>
    <row r="936">
      <c r="M936" s="52"/>
      <c r="N936" s="52"/>
      <c r="O936" s="52"/>
      <c r="P936" s="52"/>
      <c r="Q936" s="52"/>
      <c r="U936" s="52"/>
    </row>
    <row r="937">
      <c r="M937" s="52"/>
      <c r="N937" s="52"/>
      <c r="O937" s="52"/>
      <c r="P937" s="52"/>
      <c r="Q937" s="52"/>
      <c r="U937" s="52"/>
    </row>
    <row r="938">
      <c r="M938" s="52"/>
      <c r="N938" s="52"/>
      <c r="O938" s="52"/>
      <c r="P938" s="52"/>
      <c r="Q938" s="52"/>
      <c r="U938" s="52"/>
    </row>
    <row r="939">
      <c r="M939" s="52"/>
      <c r="N939" s="52"/>
      <c r="O939" s="52"/>
      <c r="P939" s="52"/>
      <c r="Q939" s="52"/>
      <c r="U939" s="52"/>
    </row>
    <row r="940">
      <c r="M940" s="52"/>
      <c r="N940" s="52"/>
      <c r="O940" s="52"/>
      <c r="P940" s="52"/>
      <c r="Q940" s="52"/>
      <c r="U940" s="52"/>
    </row>
    <row r="941">
      <c r="M941" s="52"/>
      <c r="N941" s="52"/>
      <c r="O941" s="52"/>
      <c r="P941" s="52"/>
      <c r="Q941" s="52"/>
      <c r="U941" s="52"/>
    </row>
    <row r="942">
      <c r="M942" s="52"/>
      <c r="N942" s="52"/>
      <c r="O942" s="52"/>
      <c r="P942" s="52"/>
      <c r="Q942" s="52"/>
      <c r="U942" s="52"/>
    </row>
    <row r="943">
      <c r="M943" s="52"/>
      <c r="N943" s="52"/>
      <c r="O943" s="52"/>
      <c r="P943" s="52"/>
      <c r="Q943" s="52"/>
      <c r="U943" s="52"/>
    </row>
    <row r="944">
      <c r="M944" s="52"/>
      <c r="N944" s="52"/>
      <c r="O944" s="52"/>
      <c r="P944" s="52"/>
      <c r="Q944" s="52"/>
      <c r="U944" s="52"/>
    </row>
    <row r="945">
      <c r="M945" s="52"/>
      <c r="N945" s="52"/>
      <c r="O945" s="52"/>
      <c r="P945" s="52"/>
      <c r="Q945" s="52"/>
      <c r="U945" s="52"/>
    </row>
    <row r="946">
      <c r="M946" s="52"/>
      <c r="N946" s="52"/>
      <c r="O946" s="52"/>
      <c r="P946" s="52"/>
      <c r="Q946" s="52"/>
      <c r="U946" s="52"/>
    </row>
    <row r="947">
      <c r="M947" s="52"/>
      <c r="N947" s="52"/>
      <c r="O947" s="52"/>
      <c r="P947" s="52"/>
      <c r="Q947" s="52"/>
      <c r="U947" s="52"/>
    </row>
    <row r="948">
      <c r="M948" s="52"/>
      <c r="N948" s="52"/>
      <c r="O948" s="52"/>
      <c r="P948" s="52"/>
      <c r="Q948" s="52"/>
      <c r="U948" s="52"/>
    </row>
    <row r="949">
      <c r="M949" s="52"/>
      <c r="N949" s="52"/>
      <c r="O949" s="52"/>
      <c r="P949" s="52"/>
      <c r="Q949" s="52"/>
      <c r="U949" s="52"/>
    </row>
    <row r="950">
      <c r="M950" s="52"/>
      <c r="N950" s="52"/>
      <c r="O950" s="52"/>
      <c r="P950" s="52"/>
      <c r="Q950" s="52"/>
      <c r="U950" s="52"/>
    </row>
    <row r="951">
      <c r="M951" s="52"/>
      <c r="N951" s="52"/>
      <c r="O951" s="52"/>
      <c r="P951" s="52"/>
      <c r="Q951" s="52"/>
      <c r="U951" s="52"/>
    </row>
    <row r="952">
      <c r="M952" s="52"/>
      <c r="N952" s="52"/>
      <c r="O952" s="52"/>
      <c r="P952" s="52"/>
      <c r="Q952" s="52"/>
      <c r="U952" s="52"/>
    </row>
    <row r="953">
      <c r="M953" s="52"/>
      <c r="N953" s="52"/>
      <c r="O953" s="52"/>
      <c r="P953" s="52"/>
      <c r="Q953" s="52"/>
      <c r="U953" s="52"/>
    </row>
    <row r="954">
      <c r="M954" s="52"/>
      <c r="N954" s="52"/>
      <c r="O954" s="52"/>
      <c r="P954" s="52"/>
      <c r="Q954" s="52"/>
      <c r="U954" s="52"/>
    </row>
    <row r="955">
      <c r="M955" s="52"/>
      <c r="N955" s="52"/>
      <c r="O955" s="52"/>
      <c r="P955" s="52"/>
      <c r="Q955" s="52"/>
      <c r="U955" s="52"/>
    </row>
    <row r="956">
      <c r="M956" s="52"/>
      <c r="N956" s="52"/>
      <c r="O956" s="52"/>
      <c r="P956" s="52"/>
      <c r="Q956" s="52"/>
      <c r="U956" s="52"/>
    </row>
    <row r="957">
      <c r="M957" s="52"/>
      <c r="N957" s="52"/>
      <c r="O957" s="52"/>
      <c r="P957" s="52"/>
      <c r="Q957" s="52"/>
      <c r="U957" s="52"/>
    </row>
    <row r="958">
      <c r="M958" s="52"/>
      <c r="N958" s="52"/>
      <c r="O958" s="52"/>
      <c r="P958" s="52"/>
      <c r="Q958" s="52"/>
      <c r="U958" s="52"/>
    </row>
    <row r="959">
      <c r="M959" s="52"/>
      <c r="N959" s="52"/>
      <c r="O959" s="52"/>
      <c r="P959" s="52"/>
      <c r="Q959" s="52"/>
      <c r="U959" s="52"/>
    </row>
    <row r="960">
      <c r="M960" s="52"/>
      <c r="N960" s="52"/>
      <c r="O960" s="52"/>
      <c r="P960" s="52"/>
      <c r="Q960" s="52"/>
      <c r="U960" s="52"/>
    </row>
    <row r="961">
      <c r="M961" s="52"/>
      <c r="N961" s="52"/>
      <c r="O961" s="52"/>
      <c r="P961" s="52"/>
      <c r="Q961" s="52"/>
      <c r="U961" s="52"/>
    </row>
    <row r="962">
      <c r="M962" s="52"/>
      <c r="N962" s="52"/>
      <c r="O962" s="52"/>
      <c r="P962" s="52"/>
      <c r="Q962" s="52"/>
      <c r="U962" s="52"/>
    </row>
    <row r="963">
      <c r="M963" s="52"/>
      <c r="N963" s="52"/>
      <c r="O963" s="52"/>
      <c r="P963" s="52"/>
      <c r="Q963" s="52"/>
      <c r="U963" s="52"/>
    </row>
    <row r="964">
      <c r="M964" s="52"/>
      <c r="N964" s="52"/>
      <c r="O964" s="52"/>
      <c r="P964" s="52"/>
      <c r="Q964" s="52"/>
      <c r="U964" s="52"/>
    </row>
    <row r="965">
      <c r="M965" s="52"/>
      <c r="N965" s="52"/>
      <c r="O965" s="52"/>
      <c r="P965" s="52"/>
      <c r="Q965" s="52"/>
      <c r="U965" s="52"/>
    </row>
    <row r="966">
      <c r="M966" s="52"/>
      <c r="N966" s="52"/>
      <c r="O966" s="52"/>
      <c r="P966" s="52"/>
      <c r="Q966" s="52"/>
      <c r="U966" s="52"/>
    </row>
    <row r="967">
      <c r="M967" s="52"/>
      <c r="N967" s="52"/>
      <c r="O967" s="52"/>
      <c r="P967" s="52"/>
      <c r="Q967" s="52"/>
      <c r="U967" s="52"/>
    </row>
    <row r="968">
      <c r="M968" s="52"/>
      <c r="N968" s="52"/>
      <c r="O968" s="52"/>
      <c r="P968" s="52"/>
      <c r="Q968" s="52"/>
      <c r="U968" s="52"/>
    </row>
    <row r="969">
      <c r="M969" s="52"/>
      <c r="N969" s="52"/>
      <c r="O969" s="52"/>
      <c r="P969" s="52"/>
      <c r="Q969" s="52"/>
      <c r="U969" s="52"/>
    </row>
    <row r="970">
      <c r="M970" s="52"/>
      <c r="N970" s="52"/>
      <c r="O970" s="52"/>
      <c r="P970" s="52"/>
      <c r="Q970" s="52"/>
      <c r="U970" s="52"/>
    </row>
    <row r="971">
      <c r="M971" s="52"/>
      <c r="N971" s="52"/>
      <c r="O971" s="52"/>
      <c r="P971" s="52"/>
      <c r="Q971" s="52"/>
      <c r="U971" s="52"/>
    </row>
    <row r="972">
      <c r="M972" s="52"/>
      <c r="N972" s="52"/>
      <c r="O972" s="52"/>
      <c r="P972" s="52"/>
      <c r="Q972" s="52"/>
      <c r="U972" s="52"/>
    </row>
    <row r="973">
      <c r="M973" s="52"/>
      <c r="N973" s="52"/>
      <c r="O973" s="52"/>
      <c r="P973" s="52"/>
      <c r="Q973" s="52"/>
      <c r="U973" s="52"/>
    </row>
    <row r="974">
      <c r="M974" s="52"/>
      <c r="N974" s="52"/>
      <c r="O974" s="52"/>
      <c r="P974" s="52"/>
      <c r="Q974" s="52"/>
      <c r="U974" s="52"/>
    </row>
    <row r="975">
      <c r="M975" s="52"/>
      <c r="N975" s="52"/>
      <c r="O975" s="52"/>
      <c r="P975" s="52"/>
      <c r="Q975" s="52"/>
      <c r="U975" s="52"/>
    </row>
    <row r="976">
      <c r="M976" s="52"/>
      <c r="N976" s="52"/>
      <c r="O976" s="52"/>
      <c r="P976" s="52"/>
      <c r="Q976" s="52"/>
      <c r="U976" s="52"/>
    </row>
    <row r="977">
      <c r="M977" s="52"/>
      <c r="N977" s="52"/>
      <c r="O977" s="52"/>
      <c r="P977" s="52"/>
      <c r="Q977" s="52"/>
      <c r="U977" s="52"/>
    </row>
    <row r="978">
      <c r="M978" s="52"/>
      <c r="N978" s="52"/>
      <c r="O978" s="52"/>
      <c r="P978" s="52"/>
      <c r="Q978" s="52"/>
      <c r="U978" s="52"/>
    </row>
    <row r="979">
      <c r="M979" s="52"/>
      <c r="N979" s="52"/>
      <c r="O979" s="52"/>
      <c r="P979" s="52"/>
      <c r="Q979" s="52"/>
      <c r="U979" s="52"/>
    </row>
    <row r="980">
      <c r="M980" s="52"/>
      <c r="N980" s="52"/>
      <c r="O980" s="52"/>
      <c r="P980" s="52"/>
      <c r="Q980" s="52"/>
      <c r="U980" s="52"/>
    </row>
    <row r="981">
      <c r="M981" s="52"/>
      <c r="N981" s="52"/>
      <c r="O981" s="52"/>
      <c r="P981" s="52"/>
      <c r="Q981" s="52"/>
      <c r="U981" s="52"/>
    </row>
    <row r="982">
      <c r="M982" s="52"/>
      <c r="N982" s="52"/>
      <c r="O982" s="52"/>
      <c r="P982" s="52"/>
      <c r="Q982" s="52"/>
      <c r="U982" s="52"/>
    </row>
    <row r="983">
      <c r="M983" s="52"/>
      <c r="N983" s="52"/>
      <c r="O983" s="52"/>
      <c r="P983" s="52"/>
      <c r="Q983" s="52"/>
      <c r="U983" s="52"/>
    </row>
    <row r="984">
      <c r="M984" s="52"/>
      <c r="N984" s="52"/>
      <c r="O984" s="52"/>
      <c r="P984" s="52"/>
      <c r="Q984" s="52"/>
      <c r="U984" s="52"/>
    </row>
    <row r="985">
      <c r="M985" s="52"/>
      <c r="N985" s="52"/>
      <c r="O985" s="52"/>
      <c r="P985" s="52"/>
      <c r="Q985" s="52"/>
      <c r="U985" s="52"/>
    </row>
    <row r="986">
      <c r="M986" s="52"/>
      <c r="N986" s="52"/>
      <c r="O986" s="52"/>
      <c r="P986" s="52"/>
      <c r="Q986" s="52"/>
      <c r="U986" s="52"/>
    </row>
    <row r="987">
      <c r="M987" s="52"/>
      <c r="N987" s="52"/>
      <c r="O987" s="52"/>
      <c r="P987" s="52"/>
      <c r="Q987" s="52"/>
      <c r="U987" s="52"/>
    </row>
    <row r="988">
      <c r="M988" s="52"/>
      <c r="N988" s="52"/>
      <c r="O988" s="52"/>
      <c r="P988" s="52"/>
      <c r="Q988" s="52"/>
      <c r="U988" s="52"/>
    </row>
    <row r="989">
      <c r="M989" s="52"/>
      <c r="N989" s="52"/>
      <c r="O989" s="52"/>
      <c r="P989" s="52"/>
      <c r="Q989" s="52"/>
      <c r="U989" s="52"/>
    </row>
    <row r="990">
      <c r="M990" s="52"/>
      <c r="N990" s="52"/>
      <c r="O990" s="52"/>
      <c r="P990" s="52"/>
      <c r="Q990" s="52"/>
      <c r="U990" s="52"/>
    </row>
    <row r="991">
      <c r="M991" s="52"/>
      <c r="N991" s="52"/>
      <c r="O991" s="52"/>
      <c r="P991" s="52"/>
      <c r="Q991" s="52"/>
      <c r="U991" s="52"/>
    </row>
    <row r="992">
      <c r="M992" s="52"/>
      <c r="N992" s="52"/>
      <c r="O992" s="52"/>
      <c r="P992" s="52"/>
      <c r="Q992" s="52"/>
      <c r="U992" s="52"/>
    </row>
    <row r="993">
      <c r="M993" s="52"/>
      <c r="N993" s="52"/>
      <c r="O993" s="52"/>
      <c r="P993" s="52"/>
      <c r="Q993" s="52"/>
      <c r="U993" s="52"/>
    </row>
    <row r="994">
      <c r="M994" s="52"/>
      <c r="N994" s="52"/>
      <c r="O994" s="52"/>
      <c r="P994" s="52"/>
      <c r="Q994" s="52"/>
      <c r="U994" s="52"/>
    </row>
    <row r="995">
      <c r="M995" s="52"/>
      <c r="N995" s="52"/>
      <c r="O995" s="52"/>
      <c r="P995" s="52"/>
      <c r="Q995" s="52"/>
      <c r="U995" s="52"/>
    </row>
    <row r="996">
      <c r="M996" s="52"/>
      <c r="N996" s="52"/>
      <c r="O996" s="52"/>
      <c r="P996" s="52"/>
      <c r="Q996" s="52"/>
      <c r="U996" s="52"/>
    </row>
    <row r="997">
      <c r="M997" s="52"/>
      <c r="N997" s="52"/>
      <c r="O997" s="52"/>
      <c r="P997" s="52"/>
      <c r="Q997" s="52"/>
      <c r="U997" s="52"/>
    </row>
    <row r="998">
      <c r="M998" s="52"/>
      <c r="N998" s="52"/>
      <c r="O998" s="52"/>
      <c r="P998" s="52"/>
      <c r="Q998" s="52"/>
      <c r="U998" s="52"/>
    </row>
    <row r="999">
      <c r="M999" s="52"/>
      <c r="N999" s="52"/>
      <c r="O999" s="52"/>
      <c r="P999" s="52"/>
      <c r="Q999" s="52"/>
      <c r="U999" s="52"/>
    </row>
    <row r="1000">
      <c r="M1000" s="52"/>
      <c r="N1000" s="52"/>
      <c r="O1000" s="52"/>
      <c r="P1000" s="52"/>
      <c r="Q1000" s="52"/>
      <c r="U1000" s="52"/>
    </row>
  </sheetData>
  <mergeCells count="7">
    <mergeCell ref="A1:A2"/>
    <mergeCell ref="B1:B2"/>
    <mergeCell ref="C1:G1"/>
    <mergeCell ref="H1:I1"/>
    <mergeCell ref="J1:J2"/>
    <mergeCell ref="K1:O1"/>
    <mergeCell ref="P1:U1"/>
  </mergeCells>
  <conditionalFormatting sqref="N3:N9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G3:G9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3:H9">
    <cfRule type="colorScale" priority="3">
      <colorScale>
        <cfvo type="formula" val="0"/>
        <cfvo type="max"/>
        <color rgb="FFFFFFFF"/>
        <color rgb="FF57BB8A"/>
      </colorScale>
    </cfRule>
  </conditionalFormatting>
  <conditionalFormatting sqref="I3:I9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J3:J9">
    <cfRule type="colorScale" priority="5">
      <colorScale>
        <cfvo type="formula" val="0"/>
        <cfvo type="max"/>
        <color rgb="FFFFFFFF"/>
        <color rgb="FF57BB8A"/>
      </colorScale>
    </cfRule>
  </conditionalFormatting>
  <conditionalFormatting sqref="K3:K9">
    <cfRule type="colorScale" priority="6">
      <colorScale>
        <cfvo type="formula" val="0"/>
        <cfvo type="max"/>
        <color rgb="FFFFFFFF"/>
        <color rgb="FF57BB8A"/>
      </colorScale>
    </cfRule>
  </conditionalFormatting>
  <conditionalFormatting sqref="L3:L9">
    <cfRule type="colorScale" priority="7">
      <colorScale>
        <cfvo type="formula" val="0"/>
        <cfvo type="max"/>
        <color rgb="FFFFFFFF"/>
        <color rgb="FFE67C73"/>
      </colorScale>
    </cfRule>
  </conditionalFormatting>
  <conditionalFormatting sqref="C3:C9">
    <cfRule type="colorScale" priority="8">
      <colorScale>
        <cfvo type="formula" val="0"/>
        <cfvo type="max"/>
        <color rgb="FFFFFFFF"/>
        <color rgb="FFFFD666"/>
      </colorScale>
    </cfRule>
  </conditionalFormatting>
  <conditionalFormatting sqref="D3:D9">
    <cfRule type="colorScale" priority="9">
      <colorScale>
        <cfvo type="formula" val="0"/>
        <cfvo type="max"/>
        <color rgb="FFFFFFFF"/>
        <color rgb="FF57BB8A"/>
      </colorScale>
    </cfRule>
  </conditionalFormatting>
  <conditionalFormatting sqref="E3:E9">
    <cfRule type="colorScale" priority="10">
      <colorScale>
        <cfvo type="formula" val="0"/>
        <cfvo type="max"/>
        <color rgb="FFFFFFFF"/>
        <color rgb="FFE67C73"/>
      </colorScale>
    </cfRule>
  </conditionalFormatting>
  <conditionalFormatting sqref="F3:F9">
    <cfRule type="colorScale" priority="11">
      <colorScale>
        <cfvo type="formula" val="0"/>
        <cfvo type="max"/>
        <color rgb="FFFFFFFF"/>
        <color rgb="FF57BB8A"/>
      </colorScale>
    </cfRule>
  </conditionalFormatting>
  <conditionalFormatting sqref="M3:M9">
    <cfRule type="colorScale" priority="12">
      <colorScale>
        <cfvo type="formula" val="0"/>
        <cfvo type="max"/>
        <color rgb="FFFFFFFF"/>
        <color rgb="FFFFD666"/>
      </colorScale>
    </cfRule>
  </conditionalFormatting>
  <conditionalFormatting sqref="O3:O9">
    <cfRule type="colorScale" priority="13">
      <colorScale>
        <cfvo type="formula" val="0"/>
        <cfvo type="formula" val="1"/>
        <color rgb="FFFFFFFF"/>
        <color rgb="FF57BB8A"/>
      </colorScale>
    </cfRule>
  </conditionalFormatting>
  <conditionalFormatting sqref="P3:P9">
    <cfRule type="colorScale" priority="14">
      <colorScale>
        <cfvo type="formula" val="0"/>
        <cfvo type="max"/>
        <color rgb="FFFFFFFF"/>
        <color rgb="FFFFD666"/>
      </colorScale>
    </cfRule>
  </conditionalFormatting>
  <conditionalFormatting sqref="U3:U9">
    <cfRule type="colorScale" priority="15">
      <colorScale>
        <cfvo type="formula" val="0"/>
        <cfvo type="formula" val="2"/>
        <cfvo type="formula" val="3"/>
        <color rgb="FFE67C73"/>
        <color rgb="FFFFFFFF"/>
        <color rgb="FF57BB8A"/>
      </colorScale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7.63"/>
    <col customWidth="1" min="4" max="4" width="5.63"/>
    <col customWidth="1" min="5" max="5" width="6.88"/>
    <col customWidth="1" min="6" max="6" width="8.38"/>
    <col customWidth="1" min="7" max="7" width="15.5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1" t="s">
        <v>4</v>
      </c>
      <c r="K1" s="6" t="s">
        <v>5</v>
      </c>
      <c r="L1" s="4"/>
      <c r="M1" s="4"/>
      <c r="N1" s="4"/>
      <c r="O1" s="5"/>
      <c r="P1" s="30" t="s">
        <v>6</v>
      </c>
      <c r="Q1" s="4"/>
      <c r="R1" s="4"/>
      <c r="S1" s="4"/>
      <c r="T1" s="4"/>
      <c r="U1" s="5"/>
    </row>
    <row r="2">
      <c r="A2" s="9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2" t="s">
        <v>13</v>
      </c>
      <c r="I2" s="12" t="s">
        <v>14</v>
      </c>
      <c r="J2" s="9"/>
      <c r="K2" s="10" t="s">
        <v>15</v>
      </c>
      <c r="L2" s="12" t="s">
        <v>10</v>
      </c>
      <c r="M2" s="10" t="s">
        <v>16</v>
      </c>
      <c r="N2" s="10" t="s">
        <v>12</v>
      </c>
      <c r="O2" s="10" t="s">
        <v>18</v>
      </c>
      <c r="P2" s="15" t="s">
        <v>8</v>
      </c>
      <c r="Q2" s="15">
        <v>0.0</v>
      </c>
      <c r="R2" s="15">
        <v>1.0</v>
      </c>
      <c r="S2" s="15">
        <v>2.0</v>
      </c>
      <c r="T2" s="15">
        <v>3.0</v>
      </c>
      <c r="U2" s="15" t="s">
        <v>19</v>
      </c>
    </row>
    <row r="3">
      <c r="A3" s="18" t="s">
        <v>21</v>
      </c>
      <c r="B3" s="18" t="s">
        <v>39</v>
      </c>
      <c r="C3" s="10"/>
      <c r="D3" s="10"/>
      <c r="E3" s="10"/>
      <c r="F3" s="35"/>
      <c r="G3" s="35" t="str">
        <f t="shared" ref="G3:G9" si="1">IFS(C3=0, "N/A", C3&lt;&gt;0,(D3-E3)/C3 )</f>
        <v>N/A</v>
      </c>
      <c r="H3" s="35"/>
      <c r="I3" s="10"/>
      <c r="J3" s="10">
        <v>1.0</v>
      </c>
      <c r="K3" s="35"/>
      <c r="L3" s="10"/>
      <c r="M3" s="10"/>
      <c r="N3" s="35" t="str">
        <f t="shared" ref="N3:N9" si="2">ifs(M3=0,"N/A",M3&lt;&gt;0,(M3-L3) /M3)</f>
        <v>N/A</v>
      </c>
      <c r="O3" s="35" t="str">
        <f t="shared" ref="O3:O9" si="3">IFS(M3=0, "N/A", M3&lt;&gt;0, K3/M3)</f>
        <v>N/A</v>
      </c>
      <c r="P3" s="10">
        <f t="shared" ref="P3:P9" si="4">sum(Q3,R3,S3,T3)</f>
        <v>5</v>
      </c>
      <c r="Q3" s="35"/>
      <c r="R3" s="10">
        <v>1.0</v>
      </c>
      <c r="S3" s="10">
        <v>1.0</v>
      </c>
      <c r="T3" s="10">
        <v>3.0</v>
      </c>
      <c r="U3" s="10">
        <f t="shared" ref="U3:U9" si="5">ifs(P3=0, "N/A",P3&lt;&gt;0,(R3 + S3*2 +T3*3)/P3)</f>
        <v>2.4</v>
      </c>
    </row>
    <row r="4">
      <c r="A4" s="21" t="s">
        <v>24</v>
      </c>
      <c r="B4" s="21" t="s">
        <v>42</v>
      </c>
      <c r="C4" s="10">
        <v>1.0</v>
      </c>
      <c r="D4" s="10"/>
      <c r="E4" s="10"/>
      <c r="F4" s="10">
        <v>7.0</v>
      </c>
      <c r="G4" s="35">
        <f t="shared" si="1"/>
        <v>0</v>
      </c>
      <c r="H4" s="10"/>
      <c r="I4" s="10">
        <v>1.0</v>
      </c>
      <c r="J4" s="10"/>
      <c r="K4" s="35"/>
      <c r="L4" s="10"/>
      <c r="M4" s="10">
        <v>2.0</v>
      </c>
      <c r="N4" s="35">
        <f t="shared" si="2"/>
        <v>1</v>
      </c>
      <c r="O4" s="35">
        <f t="shared" si="3"/>
        <v>0</v>
      </c>
      <c r="P4" s="10">
        <f t="shared" si="4"/>
        <v>0</v>
      </c>
      <c r="Q4" s="10"/>
      <c r="R4" s="35"/>
      <c r="S4" s="35"/>
      <c r="T4" s="35"/>
      <c r="U4" s="10" t="str">
        <f t="shared" si="5"/>
        <v>N/A</v>
      </c>
    </row>
    <row r="5">
      <c r="A5" s="22" t="s">
        <v>26</v>
      </c>
      <c r="B5" s="22" t="s">
        <v>41</v>
      </c>
      <c r="C5" s="10">
        <v>3.0</v>
      </c>
      <c r="D5" s="10">
        <v>1.0</v>
      </c>
      <c r="E5" s="10"/>
      <c r="F5" s="10"/>
      <c r="G5" s="35">
        <f t="shared" si="1"/>
        <v>0.3333333333</v>
      </c>
      <c r="H5" s="10"/>
      <c r="I5" s="10"/>
      <c r="J5" s="10">
        <v>1.0</v>
      </c>
      <c r="K5" s="10">
        <v>1.0</v>
      </c>
      <c r="L5" s="35"/>
      <c r="M5" s="10">
        <v>6.0</v>
      </c>
      <c r="N5" s="35">
        <f t="shared" si="2"/>
        <v>1</v>
      </c>
      <c r="O5" s="35">
        <f t="shared" si="3"/>
        <v>0.1666666667</v>
      </c>
      <c r="P5" s="10">
        <f t="shared" si="4"/>
        <v>0</v>
      </c>
      <c r="Q5" s="35"/>
      <c r="R5" s="35"/>
      <c r="S5" s="35"/>
      <c r="T5" s="10"/>
      <c r="U5" s="10" t="str">
        <f t="shared" si="5"/>
        <v>N/A</v>
      </c>
    </row>
    <row r="6">
      <c r="A6" s="23" t="s">
        <v>28</v>
      </c>
      <c r="B6" s="23" t="s">
        <v>43</v>
      </c>
      <c r="C6" s="10">
        <v>8.0</v>
      </c>
      <c r="D6" s="10">
        <v>3.0</v>
      </c>
      <c r="E6" s="10"/>
      <c r="F6" s="35"/>
      <c r="G6" s="35">
        <f t="shared" si="1"/>
        <v>0.375</v>
      </c>
      <c r="H6" s="35"/>
      <c r="I6" s="35"/>
      <c r="J6" s="10"/>
      <c r="K6" s="10"/>
      <c r="L6" s="10">
        <v>1.0</v>
      </c>
      <c r="M6" s="10">
        <v>2.0</v>
      </c>
      <c r="N6" s="35">
        <f t="shared" si="2"/>
        <v>0.5</v>
      </c>
      <c r="O6" s="35">
        <f t="shared" si="3"/>
        <v>0</v>
      </c>
      <c r="P6" s="10">
        <f t="shared" si="4"/>
        <v>1</v>
      </c>
      <c r="Q6" s="10"/>
      <c r="R6" s="10">
        <v>1.0</v>
      </c>
      <c r="S6" s="10"/>
      <c r="T6" s="10"/>
      <c r="U6" s="10">
        <f t="shared" si="5"/>
        <v>1</v>
      </c>
    </row>
    <row r="7">
      <c r="A7" s="24" t="s">
        <v>30</v>
      </c>
      <c r="B7" s="24" t="s">
        <v>85</v>
      </c>
      <c r="C7" s="10">
        <v>3.0</v>
      </c>
      <c r="D7" s="10">
        <v>1.0</v>
      </c>
      <c r="E7" s="10">
        <v>1.0</v>
      </c>
      <c r="F7" s="35"/>
      <c r="G7" s="35">
        <f t="shared" si="1"/>
        <v>0</v>
      </c>
      <c r="H7" s="35"/>
      <c r="I7" s="35"/>
      <c r="J7" s="10">
        <v>3.0</v>
      </c>
      <c r="K7" s="35"/>
      <c r="L7" s="10">
        <v>1.0</v>
      </c>
      <c r="M7" s="10">
        <v>3.0</v>
      </c>
      <c r="N7" s="35">
        <f t="shared" si="2"/>
        <v>0.6666666667</v>
      </c>
      <c r="O7" s="35">
        <f t="shared" si="3"/>
        <v>0</v>
      </c>
      <c r="P7" s="10">
        <f t="shared" si="4"/>
        <v>4</v>
      </c>
      <c r="Q7" s="10">
        <v>1.0</v>
      </c>
      <c r="R7" s="35"/>
      <c r="S7" s="10">
        <v>1.0</v>
      </c>
      <c r="T7" s="10">
        <v>2.0</v>
      </c>
      <c r="U7" s="10">
        <f t="shared" si="5"/>
        <v>2</v>
      </c>
    </row>
    <row r="8">
      <c r="A8" s="25" t="s">
        <v>32</v>
      </c>
      <c r="B8" s="25" t="s">
        <v>45</v>
      </c>
      <c r="C8" s="10">
        <v>5.0</v>
      </c>
      <c r="D8" s="10">
        <v>3.0</v>
      </c>
      <c r="E8" s="10">
        <v>1.0</v>
      </c>
      <c r="F8" s="35"/>
      <c r="G8" s="35">
        <f t="shared" si="1"/>
        <v>0.4</v>
      </c>
      <c r="H8" s="35"/>
      <c r="I8" s="10"/>
      <c r="J8" s="10">
        <v>2.0</v>
      </c>
      <c r="K8" s="35"/>
      <c r="L8" s="10">
        <v>1.0</v>
      </c>
      <c r="M8" s="10">
        <v>11.0</v>
      </c>
      <c r="N8" s="35">
        <f t="shared" si="2"/>
        <v>0.9090909091</v>
      </c>
      <c r="O8" s="35">
        <f t="shared" si="3"/>
        <v>0</v>
      </c>
      <c r="P8" s="10">
        <f t="shared" si="4"/>
        <v>2</v>
      </c>
      <c r="Q8" s="10">
        <v>1.0</v>
      </c>
      <c r="R8" s="10"/>
      <c r="S8" s="35"/>
      <c r="T8" s="10">
        <v>1.0</v>
      </c>
      <c r="U8" s="10">
        <f t="shared" si="5"/>
        <v>1.5</v>
      </c>
    </row>
    <row r="9">
      <c r="A9" s="26" t="s">
        <v>34</v>
      </c>
      <c r="B9" s="26" t="s">
        <v>84</v>
      </c>
      <c r="C9" s="10"/>
      <c r="D9" s="10"/>
      <c r="E9" s="10"/>
      <c r="F9" s="35"/>
      <c r="G9" s="35" t="str">
        <f t="shared" si="1"/>
        <v>N/A</v>
      </c>
      <c r="H9" s="35"/>
      <c r="I9" s="10">
        <v>1.0</v>
      </c>
      <c r="J9" s="10"/>
      <c r="K9" s="35"/>
      <c r="L9" s="10"/>
      <c r="M9" s="10">
        <v>2.0</v>
      </c>
      <c r="N9" s="35">
        <f t="shared" si="2"/>
        <v>1</v>
      </c>
      <c r="O9" s="35">
        <f t="shared" si="3"/>
        <v>0</v>
      </c>
      <c r="P9" s="10">
        <f t="shared" si="4"/>
        <v>0</v>
      </c>
      <c r="Q9" s="35"/>
      <c r="R9" s="10"/>
      <c r="S9" s="10"/>
      <c r="T9" s="35"/>
      <c r="U9" s="10" t="str">
        <f t="shared" si="5"/>
        <v>N/A</v>
      </c>
    </row>
    <row r="10">
      <c r="M10" s="52"/>
      <c r="N10" s="52"/>
      <c r="O10" s="52"/>
      <c r="P10" s="52"/>
      <c r="Q10" s="52"/>
      <c r="U10" s="52"/>
    </row>
    <row r="11">
      <c r="M11" s="52"/>
      <c r="N11" s="52"/>
      <c r="O11" s="52"/>
      <c r="P11" s="52"/>
      <c r="Q11" s="52"/>
      <c r="U11" s="52"/>
    </row>
    <row r="12">
      <c r="M12" s="52"/>
      <c r="N12" s="52"/>
      <c r="O12" s="52"/>
      <c r="P12" s="52"/>
      <c r="Q12" s="52"/>
      <c r="U12" s="52"/>
    </row>
    <row r="13">
      <c r="M13" s="52"/>
      <c r="N13" s="52"/>
      <c r="O13" s="52"/>
      <c r="P13" s="52"/>
      <c r="Q13" s="52"/>
      <c r="U13" s="52"/>
    </row>
    <row r="14">
      <c r="M14" s="52"/>
      <c r="N14" s="52"/>
      <c r="O14" s="52"/>
      <c r="P14" s="52"/>
      <c r="Q14" s="52"/>
      <c r="U14" s="52"/>
    </row>
    <row r="15">
      <c r="M15" s="52"/>
      <c r="N15" s="52"/>
      <c r="O15" s="52"/>
      <c r="P15" s="52"/>
      <c r="Q15" s="52"/>
      <c r="U15" s="52"/>
    </row>
    <row r="16">
      <c r="M16" s="52"/>
      <c r="N16" s="52"/>
      <c r="O16" s="52"/>
      <c r="P16" s="52"/>
      <c r="Q16" s="52"/>
      <c r="U16" s="52"/>
    </row>
    <row r="17">
      <c r="M17" s="52"/>
      <c r="N17" s="52"/>
      <c r="O17" s="52"/>
      <c r="P17" s="52"/>
      <c r="Q17" s="52"/>
      <c r="U17" s="52"/>
    </row>
    <row r="18">
      <c r="M18" s="52"/>
      <c r="N18" s="52"/>
      <c r="O18" s="52"/>
      <c r="P18" s="52"/>
      <c r="Q18" s="52"/>
      <c r="U18" s="52"/>
    </row>
    <row r="19">
      <c r="M19" s="52"/>
      <c r="N19" s="52"/>
      <c r="O19" s="52"/>
      <c r="P19" s="52"/>
      <c r="Q19" s="52"/>
      <c r="U19" s="52"/>
    </row>
    <row r="20">
      <c r="M20" s="52"/>
      <c r="N20" s="52"/>
      <c r="O20" s="52"/>
      <c r="P20" s="52"/>
      <c r="Q20" s="52"/>
      <c r="U20" s="52"/>
    </row>
    <row r="21">
      <c r="M21" s="52"/>
      <c r="N21" s="52"/>
      <c r="O21" s="52"/>
      <c r="P21" s="52"/>
      <c r="Q21" s="52"/>
      <c r="U21" s="52"/>
    </row>
    <row r="22">
      <c r="M22" s="52"/>
      <c r="N22" s="52"/>
      <c r="O22" s="52"/>
      <c r="P22" s="52"/>
      <c r="Q22" s="52"/>
      <c r="U22" s="52"/>
    </row>
    <row r="23">
      <c r="M23" s="52"/>
      <c r="N23" s="52"/>
      <c r="O23" s="52"/>
      <c r="P23" s="52"/>
      <c r="Q23" s="52"/>
      <c r="U23" s="52"/>
    </row>
    <row r="24">
      <c r="M24" s="52"/>
      <c r="N24" s="52"/>
      <c r="O24" s="52"/>
      <c r="P24" s="52"/>
      <c r="Q24" s="52"/>
      <c r="U24" s="52"/>
    </row>
    <row r="25">
      <c r="M25" s="52"/>
      <c r="N25" s="52"/>
      <c r="O25" s="52"/>
      <c r="P25" s="52"/>
      <c r="Q25" s="52"/>
      <c r="U25" s="52"/>
    </row>
    <row r="26">
      <c r="M26" s="52"/>
      <c r="N26" s="52"/>
      <c r="O26" s="52"/>
      <c r="P26" s="52"/>
      <c r="Q26" s="52"/>
      <c r="U26" s="52"/>
    </row>
    <row r="27">
      <c r="M27" s="52"/>
      <c r="N27" s="52"/>
      <c r="O27" s="52"/>
      <c r="P27" s="52"/>
      <c r="Q27" s="52"/>
      <c r="U27" s="52"/>
    </row>
    <row r="28">
      <c r="M28" s="52"/>
      <c r="N28" s="52"/>
      <c r="O28" s="52"/>
      <c r="P28" s="52"/>
      <c r="Q28" s="52"/>
      <c r="U28" s="52"/>
    </row>
    <row r="29">
      <c r="M29" s="52"/>
      <c r="N29" s="52"/>
      <c r="O29" s="52"/>
      <c r="P29" s="52"/>
      <c r="Q29" s="52"/>
      <c r="U29" s="52"/>
    </row>
    <row r="30">
      <c r="M30" s="52"/>
      <c r="N30" s="52"/>
      <c r="O30" s="52"/>
      <c r="P30" s="52"/>
      <c r="Q30" s="52"/>
      <c r="U30" s="52"/>
    </row>
    <row r="31">
      <c r="M31" s="52"/>
      <c r="N31" s="52"/>
      <c r="O31" s="52"/>
      <c r="P31" s="52"/>
      <c r="Q31" s="52"/>
      <c r="U31" s="52"/>
    </row>
    <row r="32">
      <c r="M32" s="52"/>
      <c r="N32" s="52"/>
      <c r="O32" s="52"/>
      <c r="P32" s="52"/>
      <c r="Q32" s="52"/>
      <c r="U32" s="52"/>
    </row>
    <row r="33">
      <c r="M33" s="52"/>
      <c r="N33" s="52"/>
      <c r="O33" s="52"/>
      <c r="P33" s="52"/>
      <c r="Q33" s="52"/>
      <c r="U33" s="52"/>
    </row>
    <row r="34">
      <c r="M34" s="52"/>
      <c r="N34" s="52"/>
      <c r="O34" s="52"/>
      <c r="P34" s="52"/>
      <c r="Q34" s="52"/>
      <c r="U34" s="52"/>
    </row>
    <row r="35">
      <c r="M35" s="52"/>
      <c r="N35" s="52"/>
      <c r="O35" s="52"/>
      <c r="P35" s="52"/>
      <c r="Q35" s="52"/>
      <c r="U35" s="52"/>
    </row>
    <row r="36">
      <c r="M36" s="52"/>
      <c r="N36" s="52"/>
      <c r="O36" s="52"/>
      <c r="P36" s="52"/>
      <c r="Q36" s="52"/>
      <c r="U36" s="52"/>
    </row>
    <row r="37">
      <c r="M37" s="52"/>
      <c r="N37" s="52"/>
      <c r="O37" s="52"/>
      <c r="P37" s="52"/>
      <c r="Q37" s="52"/>
      <c r="U37" s="52"/>
    </row>
    <row r="38">
      <c r="M38" s="52"/>
      <c r="N38" s="52"/>
      <c r="O38" s="52"/>
      <c r="P38" s="52"/>
      <c r="Q38" s="52"/>
      <c r="U38" s="52"/>
    </row>
    <row r="39">
      <c r="M39" s="52"/>
      <c r="N39" s="52"/>
      <c r="O39" s="52"/>
      <c r="P39" s="52"/>
      <c r="Q39" s="52"/>
      <c r="U39" s="52"/>
    </row>
    <row r="40">
      <c r="M40" s="52"/>
      <c r="N40" s="52"/>
      <c r="O40" s="52"/>
      <c r="P40" s="52"/>
      <c r="Q40" s="52"/>
      <c r="U40" s="52"/>
    </row>
    <row r="41">
      <c r="M41" s="52"/>
      <c r="N41" s="52"/>
      <c r="O41" s="52"/>
      <c r="P41" s="52"/>
      <c r="Q41" s="52"/>
      <c r="U41" s="52"/>
    </row>
    <row r="42">
      <c r="M42" s="52"/>
      <c r="N42" s="52"/>
      <c r="O42" s="52"/>
      <c r="P42" s="52"/>
      <c r="Q42" s="52"/>
      <c r="U42" s="52"/>
    </row>
    <row r="43">
      <c r="M43" s="52"/>
      <c r="N43" s="52"/>
      <c r="O43" s="52"/>
      <c r="P43" s="52"/>
      <c r="Q43" s="52"/>
      <c r="U43" s="52"/>
    </row>
    <row r="44">
      <c r="M44" s="52"/>
      <c r="N44" s="52"/>
      <c r="O44" s="52"/>
      <c r="P44" s="52"/>
      <c r="Q44" s="52"/>
      <c r="U44" s="52"/>
    </row>
    <row r="45">
      <c r="M45" s="52"/>
      <c r="N45" s="52"/>
      <c r="O45" s="52"/>
      <c r="P45" s="52"/>
      <c r="Q45" s="52"/>
      <c r="U45" s="52"/>
    </row>
    <row r="46">
      <c r="M46" s="52"/>
      <c r="N46" s="52"/>
      <c r="O46" s="52"/>
      <c r="P46" s="52"/>
      <c r="Q46" s="52"/>
      <c r="U46" s="52"/>
    </row>
    <row r="47">
      <c r="M47" s="52"/>
      <c r="N47" s="52"/>
      <c r="O47" s="52"/>
      <c r="P47" s="52"/>
      <c r="Q47" s="52"/>
      <c r="U47" s="52"/>
    </row>
    <row r="48">
      <c r="M48" s="52"/>
      <c r="N48" s="52"/>
      <c r="O48" s="52"/>
      <c r="P48" s="52"/>
      <c r="Q48" s="52"/>
      <c r="U48" s="52"/>
    </row>
    <row r="49">
      <c r="M49" s="52"/>
      <c r="N49" s="52"/>
      <c r="O49" s="52"/>
      <c r="P49" s="52"/>
      <c r="Q49" s="52"/>
      <c r="U49" s="52"/>
    </row>
    <row r="50">
      <c r="M50" s="52"/>
      <c r="N50" s="52"/>
      <c r="O50" s="52"/>
      <c r="P50" s="52"/>
      <c r="Q50" s="52"/>
      <c r="U50" s="52"/>
    </row>
    <row r="51">
      <c r="M51" s="52"/>
      <c r="N51" s="52"/>
      <c r="O51" s="52"/>
      <c r="P51" s="52"/>
      <c r="Q51" s="52"/>
      <c r="U51" s="52"/>
    </row>
    <row r="52">
      <c r="M52" s="52"/>
      <c r="N52" s="52"/>
      <c r="O52" s="52"/>
      <c r="P52" s="52"/>
      <c r="Q52" s="52"/>
      <c r="U52" s="52"/>
    </row>
    <row r="53">
      <c r="M53" s="52"/>
      <c r="N53" s="52"/>
      <c r="O53" s="52"/>
      <c r="P53" s="52"/>
      <c r="Q53" s="52"/>
      <c r="U53" s="52"/>
    </row>
    <row r="54">
      <c r="M54" s="52"/>
      <c r="N54" s="52"/>
      <c r="O54" s="52"/>
      <c r="P54" s="52"/>
      <c r="Q54" s="52"/>
      <c r="U54" s="52"/>
    </row>
    <row r="55">
      <c r="M55" s="52"/>
      <c r="N55" s="52"/>
      <c r="O55" s="52"/>
      <c r="P55" s="52"/>
      <c r="Q55" s="52"/>
      <c r="U55" s="52"/>
    </row>
    <row r="56">
      <c r="M56" s="52"/>
      <c r="N56" s="52"/>
      <c r="O56" s="52"/>
      <c r="P56" s="52"/>
      <c r="Q56" s="52"/>
      <c r="U56" s="52"/>
    </row>
    <row r="57">
      <c r="M57" s="52"/>
      <c r="N57" s="52"/>
      <c r="O57" s="52"/>
      <c r="P57" s="52"/>
      <c r="Q57" s="52"/>
      <c r="U57" s="52"/>
    </row>
    <row r="58">
      <c r="M58" s="52"/>
      <c r="N58" s="52"/>
      <c r="O58" s="52"/>
      <c r="P58" s="52"/>
      <c r="Q58" s="52"/>
      <c r="U58" s="52"/>
    </row>
    <row r="59">
      <c r="M59" s="52"/>
      <c r="N59" s="52"/>
      <c r="O59" s="52"/>
      <c r="P59" s="52"/>
      <c r="Q59" s="52"/>
      <c r="U59" s="52"/>
    </row>
    <row r="60">
      <c r="M60" s="52"/>
      <c r="N60" s="52"/>
      <c r="O60" s="52"/>
      <c r="P60" s="52"/>
      <c r="Q60" s="52"/>
      <c r="U60" s="52"/>
    </row>
    <row r="61">
      <c r="M61" s="52"/>
      <c r="N61" s="52"/>
      <c r="O61" s="52"/>
      <c r="P61" s="52"/>
      <c r="Q61" s="52"/>
      <c r="U61" s="52"/>
    </row>
    <row r="62">
      <c r="M62" s="52"/>
      <c r="N62" s="52"/>
      <c r="O62" s="52"/>
      <c r="P62" s="52"/>
      <c r="Q62" s="52"/>
      <c r="U62" s="52"/>
    </row>
    <row r="63">
      <c r="M63" s="52"/>
      <c r="N63" s="52"/>
      <c r="O63" s="52"/>
      <c r="P63" s="52"/>
      <c r="Q63" s="52"/>
      <c r="U63" s="52"/>
    </row>
    <row r="64">
      <c r="M64" s="52"/>
      <c r="N64" s="52"/>
      <c r="O64" s="52"/>
      <c r="P64" s="52"/>
      <c r="Q64" s="52"/>
      <c r="U64" s="52"/>
    </row>
    <row r="65">
      <c r="M65" s="52"/>
      <c r="N65" s="52"/>
      <c r="O65" s="52"/>
      <c r="P65" s="52"/>
      <c r="Q65" s="52"/>
      <c r="U65" s="52"/>
    </row>
    <row r="66">
      <c r="M66" s="52"/>
      <c r="N66" s="52"/>
      <c r="O66" s="52"/>
      <c r="P66" s="52"/>
      <c r="Q66" s="52"/>
      <c r="U66" s="52"/>
    </row>
    <row r="67">
      <c r="M67" s="52"/>
      <c r="N67" s="52"/>
      <c r="O67" s="52"/>
      <c r="P67" s="52"/>
      <c r="Q67" s="52"/>
      <c r="U67" s="52"/>
    </row>
    <row r="68">
      <c r="M68" s="52"/>
      <c r="N68" s="52"/>
      <c r="O68" s="52"/>
      <c r="P68" s="52"/>
      <c r="Q68" s="52"/>
      <c r="U68" s="52"/>
    </row>
    <row r="69">
      <c r="M69" s="52"/>
      <c r="N69" s="52"/>
      <c r="O69" s="52"/>
      <c r="P69" s="52"/>
      <c r="Q69" s="52"/>
      <c r="U69" s="52"/>
    </row>
    <row r="70">
      <c r="M70" s="52"/>
      <c r="N70" s="52"/>
      <c r="O70" s="52"/>
      <c r="P70" s="52"/>
      <c r="Q70" s="52"/>
      <c r="U70" s="52"/>
    </row>
    <row r="71">
      <c r="M71" s="52"/>
      <c r="N71" s="52"/>
      <c r="O71" s="52"/>
      <c r="P71" s="52"/>
      <c r="Q71" s="52"/>
      <c r="U71" s="52"/>
    </row>
    <row r="72">
      <c r="M72" s="52"/>
      <c r="N72" s="52"/>
      <c r="O72" s="52"/>
      <c r="P72" s="52"/>
      <c r="Q72" s="52"/>
      <c r="U72" s="52"/>
    </row>
    <row r="73">
      <c r="M73" s="52"/>
      <c r="N73" s="52"/>
      <c r="O73" s="52"/>
      <c r="P73" s="52"/>
      <c r="Q73" s="52"/>
      <c r="U73" s="52"/>
    </row>
    <row r="74">
      <c r="M74" s="52"/>
      <c r="N74" s="52"/>
      <c r="O74" s="52"/>
      <c r="P74" s="52"/>
      <c r="Q74" s="52"/>
      <c r="U74" s="52"/>
    </row>
    <row r="75">
      <c r="M75" s="52"/>
      <c r="N75" s="52"/>
      <c r="O75" s="52"/>
      <c r="P75" s="52"/>
      <c r="Q75" s="52"/>
      <c r="U75" s="52"/>
    </row>
    <row r="76">
      <c r="M76" s="52"/>
      <c r="N76" s="52"/>
      <c r="O76" s="52"/>
      <c r="P76" s="52"/>
      <c r="Q76" s="52"/>
      <c r="U76" s="52"/>
    </row>
    <row r="77">
      <c r="M77" s="52"/>
      <c r="N77" s="52"/>
      <c r="O77" s="52"/>
      <c r="P77" s="52"/>
      <c r="Q77" s="52"/>
      <c r="U77" s="52"/>
    </row>
    <row r="78">
      <c r="M78" s="52"/>
      <c r="N78" s="52"/>
      <c r="O78" s="52"/>
      <c r="P78" s="52"/>
      <c r="Q78" s="52"/>
      <c r="U78" s="52"/>
    </row>
    <row r="79">
      <c r="M79" s="52"/>
      <c r="N79" s="52"/>
      <c r="O79" s="52"/>
      <c r="P79" s="52"/>
      <c r="Q79" s="52"/>
      <c r="U79" s="52"/>
    </row>
    <row r="80">
      <c r="M80" s="52"/>
      <c r="N80" s="52"/>
      <c r="O80" s="52"/>
      <c r="P80" s="52"/>
      <c r="Q80" s="52"/>
      <c r="U80" s="52"/>
    </row>
    <row r="81">
      <c r="M81" s="52"/>
      <c r="N81" s="52"/>
      <c r="O81" s="52"/>
      <c r="P81" s="52"/>
      <c r="Q81" s="52"/>
      <c r="U81" s="52"/>
    </row>
    <row r="82">
      <c r="M82" s="52"/>
      <c r="N82" s="52"/>
      <c r="O82" s="52"/>
      <c r="P82" s="52"/>
      <c r="Q82" s="52"/>
      <c r="U82" s="52"/>
    </row>
    <row r="83">
      <c r="M83" s="52"/>
      <c r="N83" s="52"/>
      <c r="O83" s="52"/>
      <c r="P83" s="52"/>
      <c r="Q83" s="52"/>
      <c r="U83" s="52"/>
    </row>
    <row r="84">
      <c r="M84" s="52"/>
      <c r="N84" s="52"/>
      <c r="O84" s="52"/>
      <c r="P84" s="52"/>
      <c r="Q84" s="52"/>
      <c r="U84" s="52"/>
    </row>
    <row r="85">
      <c r="M85" s="52"/>
      <c r="N85" s="52"/>
      <c r="O85" s="52"/>
      <c r="P85" s="52"/>
      <c r="Q85" s="52"/>
      <c r="U85" s="52"/>
    </row>
    <row r="86">
      <c r="M86" s="52"/>
      <c r="N86" s="52"/>
      <c r="O86" s="52"/>
      <c r="P86" s="52"/>
      <c r="Q86" s="52"/>
      <c r="U86" s="52"/>
    </row>
    <row r="87">
      <c r="M87" s="52"/>
      <c r="N87" s="52"/>
      <c r="O87" s="52"/>
      <c r="P87" s="52"/>
      <c r="Q87" s="52"/>
      <c r="U87" s="52"/>
    </row>
    <row r="88">
      <c r="M88" s="52"/>
      <c r="N88" s="52"/>
      <c r="O88" s="52"/>
      <c r="P88" s="52"/>
      <c r="Q88" s="52"/>
      <c r="U88" s="52"/>
    </row>
    <row r="89">
      <c r="M89" s="52"/>
      <c r="N89" s="52"/>
      <c r="O89" s="52"/>
      <c r="P89" s="52"/>
      <c r="Q89" s="52"/>
      <c r="U89" s="52"/>
    </row>
    <row r="90">
      <c r="M90" s="52"/>
      <c r="N90" s="52"/>
      <c r="O90" s="52"/>
      <c r="P90" s="52"/>
      <c r="Q90" s="52"/>
      <c r="U90" s="52"/>
    </row>
    <row r="91">
      <c r="M91" s="52"/>
      <c r="N91" s="52"/>
      <c r="O91" s="52"/>
      <c r="P91" s="52"/>
      <c r="Q91" s="52"/>
      <c r="U91" s="52"/>
    </row>
    <row r="92">
      <c r="M92" s="52"/>
      <c r="N92" s="52"/>
      <c r="O92" s="52"/>
      <c r="P92" s="52"/>
      <c r="Q92" s="52"/>
      <c r="U92" s="52"/>
    </row>
    <row r="93">
      <c r="M93" s="52"/>
      <c r="N93" s="52"/>
      <c r="O93" s="52"/>
      <c r="P93" s="52"/>
      <c r="Q93" s="52"/>
      <c r="U93" s="52"/>
    </row>
    <row r="94">
      <c r="M94" s="52"/>
      <c r="N94" s="52"/>
      <c r="O94" s="52"/>
      <c r="P94" s="52"/>
      <c r="Q94" s="52"/>
      <c r="U94" s="52"/>
    </row>
    <row r="95">
      <c r="M95" s="52"/>
      <c r="N95" s="52"/>
      <c r="O95" s="52"/>
      <c r="P95" s="52"/>
      <c r="Q95" s="52"/>
      <c r="U95" s="52"/>
    </row>
    <row r="96">
      <c r="M96" s="52"/>
      <c r="N96" s="52"/>
      <c r="O96" s="52"/>
      <c r="P96" s="52"/>
      <c r="Q96" s="52"/>
      <c r="U96" s="52"/>
    </row>
    <row r="97">
      <c r="M97" s="52"/>
      <c r="N97" s="52"/>
      <c r="O97" s="52"/>
      <c r="P97" s="52"/>
      <c r="Q97" s="52"/>
      <c r="U97" s="52"/>
    </row>
    <row r="98">
      <c r="M98" s="52"/>
      <c r="N98" s="52"/>
      <c r="O98" s="52"/>
      <c r="P98" s="52"/>
      <c r="Q98" s="52"/>
      <c r="U98" s="52"/>
    </row>
    <row r="99">
      <c r="M99" s="52"/>
      <c r="N99" s="52"/>
      <c r="O99" s="52"/>
      <c r="P99" s="52"/>
      <c r="Q99" s="52"/>
      <c r="U99" s="52"/>
    </row>
    <row r="100">
      <c r="M100" s="52"/>
      <c r="N100" s="52"/>
      <c r="O100" s="52"/>
      <c r="P100" s="52"/>
      <c r="Q100" s="52"/>
      <c r="U100" s="52"/>
    </row>
    <row r="101">
      <c r="M101" s="52"/>
      <c r="N101" s="52"/>
      <c r="O101" s="52"/>
      <c r="P101" s="52"/>
      <c r="Q101" s="52"/>
      <c r="U101" s="52"/>
    </row>
    <row r="102">
      <c r="M102" s="52"/>
      <c r="N102" s="52"/>
      <c r="O102" s="52"/>
      <c r="P102" s="52"/>
      <c r="Q102" s="52"/>
      <c r="U102" s="52"/>
    </row>
    <row r="103">
      <c r="M103" s="52"/>
      <c r="N103" s="52"/>
      <c r="O103" s="52"/>
      <c r="P103" s="52"/>
      <c r="Q103" s="52"/>
      <c r="U103" s="52"/>
    </row>
    <row r="104">
      <c r="M104" s="52"/>
      <c r="N104" s="52"/>
      <c r="O104" s="52"/>
      <c r="P104" s="52"/>
      <c r="Q104" s="52"/>
      <c r="U104" s="52"/>
    </row>
    <row r="105">
      <c r="M105" s="52"/>
      <c r="N105" s="52"/>
      <c r="O105" s="52"/>
      <c r="P105" s="52"/>
      <c r="Q105" s="52"/>
      <c r="U105" s="52"/>
    </row>
    <row r="106">
      <c r="M106" s="52"/>
      <c r="N106" s="52"/>
      <c r="O106" s="52"/>
      <c r="P106" s="52"/>
      <c r="Q106" s="52"/>
      <c r="U106" s="52"/>
    </row>
    <row r="107">
      <c r="M107" s="52"/>
      <c r="N107" s="52"/>
      <c r="O107" s="52"/>
      <c r="P107" s="52"/>
      <c r="Q107" s="52"/>
      <c r="U107" s="52"/>
    </row>
    <row r="108">
      <c r="M108" s="52"/>
      <c r="N108" s="52"/>
      <c r="O108" s="52"/>
      <c r="P108" s="52"/>
      <c r="Q108" s="52"/>
      <c r="U108" s="52"/>
    </row>
    <row r="109">
      <c r="M109" s="52"/>
      <c r="N109" s="52"/>
      <c r="O109" s="52"/>
      <c r="P109" s="52"/>
      <c r="Q109" s="52"/>
      <c r="U109" s="52"/>
    </row>
    <row r="110">
      <c r="M110" s="52"/>
      <c r="N110" s="52"/>
      <c r="O110" s="52"/>
      <c r="P110" s="52"/>
      <c r="Q110" s="52"/>
      <c r="U110" s="52"/>
    </row>
    <row r="111">
      <c r="M111" s="52"/>
      <c r="N111" s="52"/>
      <c r="O111" s="52"/>
      <c r="P111" s="52"/>
      <c r="Q111" s="52"/>
      <c r="U111" s="52"/>
    </row>
    <row r="112">
      <c r="M112" s="52"/>
      <c r="N112" s="52"/>
      <c r="O112" s="52"/>
      <c r="P112" s="52"/>
      <c r="Q112" s="52"/>
      <c r="U112" s="52"/>
    </row>
    <row r="113">
      <c r="M113" s="52"/>
      <c r="N113" s="52"/>
      <c r="O113" s="52"/>
      <c r="P113" s="52"/>
      <c r="Q113" s="52"/>
      <c r="U113" s="52"/>
    </row>
    <row r="114">
      <c r="M114" s="52"/>
      <c r="N114" s="52"/>
      <c r="O114" s="52"/>
      <c r="P114" s="52"/>
      <c r="Q114" s="52"/>
      <c r="U114" s="52"/>
    </row>
    <row r="115">
      <c r="M115" s="52"/>
      <c r="N115" s="52"/>
      <c r="O115" s="52"/>
      <c r="P115" s="52"/>
      <c r="Q115" s="52"/>
      <c r="U115" s="52"/>
    </row>
    <row r="116">
      <c r="M116" s="52"/>
      <c r="N116" s="52"/>
      <c r="O116" s="52"/>
      <c r="P116" s="52"/>
      <c r="Q116" s="52"/>
      <c r="U116" s="52"/>
    </row>
    <row r="117">
      <c r="M117" s="52"/>
      <c r="N117" s="52"/>
      <c r="O117" s="52"/>
      <c r="P117" s="52"/>
      <c r="Q117" s="52"/>
      <c r="U117" s="52"/>
    </row>
    <row r="118">
      <c r="M118" s="52"/>
      <c r="N118" s="52"/>
      <c r="O118" s="52"/>
      <c r="P118" s="52"/>
      <c r="Q118" s="52"/>
      <c r="U118" s="52"/>
    </row>
    <row r="119">
      <c r="M119" s="52"/>
      <c r="N119" s="52"/>
      <c r="O119" s="52"/>
      <c r="P119" s="52"/>
      <c r="Q119" s="52"/>
      <c r="U119" s="52"/>
    </row>
    <row r="120">
      <c r="M120" s="52"/>
      <c r="N120" s="52"/>
      <c r="O120" s="52"/>
      <c r="P120" s="52"/>
      <c r="Q120" s="52"/>
      <c r="U120" s="52"/>
    </row>
    <row r="121">
      <c r="M121" s="52"/>
      <c r="N121" s="52"/>
      <c r="O121" s="52"/>
      <c r="P121" s="52"/>
      <c r="Q121" s="52"/>
      <c r="U121" s="52"/>
    </row>
    <row r="122">
      <c r="M122" s="52"/>
      <c r="N122" s="52"/>
      <c r="O122" s="52"/>
      <c r="P122" s="52"/>
      <c r="Q122" s="52"/>
      <c r="U122" s="52"/>
    </row>
    <row r="123">
      <c r="M123" s="52"/>
      <c r="N123" s="52"/>
      <c r="O123" s="52"/>
      <c r="P123" s="52"/>
      <c r="Q123" s="52"/>
      <c r="U123" s="52"/>
    </row>
    <row r="124">
      <c r="M124" s="52"/>
      <c r="N124" s="52"/>
      <c r="O124" s="52"/>
      <c r="P124" s="52"/>
      <c r="Q124" s="52"/>
      <c r="U124" s="52"/>
    </row>
    <row r="125">
      <c r="M125" s="52"/>
      <c r="N125" s="52"/>
      <c r="O125" s="52"/>
      <c r="P125" s="52"/>
      <c r="Q125" s="52"/>
      <c r="U125" s="52"/>
    </row>
    <row r="126">
      <c r="M126" s="52"/>
      <c r="N126" s="52"/>
      <c r="O126" s="52"/>
      <c r="P126" s="52"/>
      <c r="Q126" s="52"/>
      <c r="U126" s="52"/>
    </row>
    <row r="127">
      <c r="M127" s="52"/>
      <c r="N127" s="52"/>
      <c r="O127" s="52"/>
      <c r="P127" s="52"/>
      <c r="Q127" s="52"/>
      <c r="U127" s="52"/>
    </row>
    <row r="128">
      <c r="M128" s="52"/>
      <c r="N128" s="52"/>
      <c r="O128" s="52"/>
      <c r="P128" s="52"/>
      <c r="Q128" s="52"/>
      <c r="U128" s="52"/>
    </row>
    <row r="129">
      <c r="M129" s="52"/>
      <c r="N129" s="52"/>
      <c r="O129" s="52"/>
      <c r="P129" s="52"/>
      <c r="Q129" s="52"/>
      <c r="U129" s="52"/>
    </row>
    <row r="130">
      <c r="M130" s="52"/>
      <c r="N130" s="52"/>
      <c r="O130" s="52"/>
      <c r="P130" s="52"/>
      <c r="Q130" s="52"/>
      <c r="U130" s="52"/>
    </row>
    <row r="131">
      <c r="M131" s="52"/>
      <c r="N131" s="52"/>
      <c r="O131" s="52"/>
      <c r="P131" s="52"/>
      <c r="Q131" s="52"/>
      <c r="U131" s="52"/>
    </row>
    <row r="132">
      <c r="M132" s="52"/>
      <c r="N132" s="52"/>
      <c r="O132" s="52"/>
      <c r="P132" s="52"/>
      <c r="Q132" s="52"/>
      <c r="U132" s="52"/>
    </row>
    <row r="133">
      <c r="M133" s="52"/>
      <c r="N133" s="52"/>
      <c r="O133" s="52"/>
      <c r="P133" s="52"/>
      <c r="Q133" s="52"/>
      <c r="U133" s="52"/>
    </row>
    <row r="134">
      <c r="M134" s="52"/>
      <c r="N134" s="52"/>
      <c r="O134" s="52"/>
      <c r="P134" s="52"/>
      <c r="Q134" s="52"/>
      <c r="U134" s="52"/>
    </row>
    <row r="135">
      <c r="M135" s="52"/>
      <c r="N135" s="52"/>
      <c r="O135" s="52"/>
      <c r="P135" s="52"/>
      <c r="Q135" s="52"/>
      <c r="U135" s="52"/>
    </row>
    <row r="136">
      <c r="M136" s="52"/>
      <c r="N136" s="52"/>
      <c r="O136" s="52"/>
      <c r="P136" s="52"/>
      <c r="Q136" s="52"/>
      <c r="U136" s="52"/>
    </row>
    <row r="137">
      <c r="M137" s="52"/>
      <c r="N137" s="52"/>
      <c r="O137" s="52"/>
      <c r="P137" s="52"/>
      <c r="Q137" s="52"/>
      <c r="U137" s="52"/>
    </row>
    <row r="138">
      <c r="M138" s="52"/>
      <c r="N138" s="52"/>
      <c r="O138" s="52"/>
      <c r="P138" s="52"/>
      <c r="Q138" s="52"/>
      <c r="U138" s="52"/>
    </row>
    <row r="139">
      <c r="M139" s="52"/>
      <c r="N139" s="52"/>
      <c r="O139" s="52"/>
      <c r="P139" s="52"/>
      <c r="Q139" s="52"/>
      <c r="U139" s="52"/>
    </row>
    <row r="140">
      <c r="M140" s="52"/>
      <c r="N140" s="52"/>
      <c r="O140" s="52"/>
      <c r="P140" s="52"/>
      <c r="Q140" s="52"/>
      <c r="U140" s="52"/>
    </row>
    <row r="141">
      <c r="M141" s="52"/>
      <c r="N141" s="52"/>
      <c r="O141" s="52"/>
      <c r="P141" s="52"/>
      <c r="Q141" s="52"/>
      <c r="U141" s="52"/>
    </row>
    <row r="142">
      <c r="M142" s="52"/>
      <c r="N142" s="52"/>
      <c r="O142" s="52"/>
      <c r="P142" s="52"/>
      <c r="Q142" s="52"/>
      <c r="U142" s="52"/>
    </row>
    <row r="143">
      <c r="M143" s="52"/>
      <c r="N143" s="52"/>
      <c r="O143" s="52"/>
      <c r="P143" s="52"/>
      <c r="Q143" s="52"/>
      <c r="U143" s="52"/>
    </row>
    <row r="144">
      <c r="M144" s="52"/>
      <c r="N144" s="52"/>
      <c r="O144" s="52"/>
      <c r="P144" s="52"/>
      <c r="Q144" s="52"/>
      <c r="U144" s="52"/>
    </row>
    <row r="145">
      <c r="M145" s="52"/>
      <c r="N145" s="52"/>
      <c r="O145" s="52"/>
      <c r="P145" s="52"/>
      <c r="Q145" s="52"/>
      <c r="U145" s="52"/>
    </row>
    <row r="146">
      <c r="M146" s="52"/>
      <c r="N146" s="52"/>
      <c r="O146" s="52"/>
      <c r="P146" s="52"/>
      <c r="Q146" s="52"/>
      <c r="U146" s="52"/>
    </row>
    <row r="147">
      <c r="M147" s="52"/>
      <c r="N147" s="52"/>
      <c r="O147" s="52"/>
      <c r="P147" s="52"/>
      <c r="Q147" s="52"/>
      <c r="U147" s="52"/>
    </row>
    <row r="148">
      <c r="M148" s="52"/>
      <c r="N148" s="52"/>
      <c r="O148" s="52"/>
      <c r="P148" s="52"/>
      <c r="Q148" s="52"/>
      <c r="U148" s="52"/>
    </row>
    <row r="149">
      <c r="M149" s="52"/>
      <c r="N149" s="52"/>
      <c r="O149" s="52"/>
      <c r="P149" s="52"/>
      <c r="Q149" s="52"/>
      <c r="U149" s="52"/>
    </row>
    <row r="150">
      <c r="M150" s="52"/>
      <c r="N150" s="52"/>
      <c r="O150" s="52"/>
      <c r="P150" s="52"/>
      <c r="Q150" s="52"/>
      <c r="U150" s="52"/>
    </row>
    <row r="151">
      <c r="M151" s="52"/>
      <c r="N151" s="52"/>
      <c r="O151" s="52"/>
      <c r="P151" s="52"/>
      <c r="Q151" s="52"/>
      <c r="U151" s="52"/>
    </row>
    <row r="152">
      <c r="M152" s="52"/>
      <c r="N152" s="52"/>
      <c r="O152" s="52"/>
      <c r="P152" s="52"/>
      <c r="Q152" s="52"/>
      <c r="U152" s="52"/>
    </row>
    <row r="153">
      <c r="M153" s="52"/>
      <c r="N153" s="52"/>
      <c r="O153" s="52"/>
      <c r="P153" s="52"/>
      <c r="Q153" s="52"/>
      <c r="U153" s="52"/>
    </row>
    <row r="154">
      <c r="M154" s="52"/>
      <c r="N154" s="52"/>
      <c r="O154" s="52"/>
      <c r="P154" s="52"/>
      <c r="Q154" s="52"/>
      <c r="U154" s="52"/>
    </row>
    <row r="155">
      <c r="M155" s="52"/>
      <c r="N155" s="52"/>
      <c r="O155" s="52"/>
      <c r="P155" s="52"/>
      <c r="Q155" s="52"/>
      <c r="U155" s="52"/>
    </row>
    <row r="156">
      <c r="M156" s="52"/>
      <c r="N156" s="52"/>
      <c r="O156" s="52"/>
      <c r="P156" s="52"/>
      <c r="Q156" s="52"/>
      <c r="U156" s="52"/>
    </row>
    <row r="157">
      <c r="M157" s="52"/>
      <c r="N157" s="52"/>
      <c r="O157" s="52"/>
      <c r="P157" s="52"/>
      <c r="Q157" s="52"/>
      <c r="U157" s="52"/>
    </row>
    <row r="158">
      <c r="M158" s="52"/>
      <c r="N158" s="52"/>
      <c r="O158" s="52"/>
      <c r="P158" s="52"/>
      <c r="Q158" s="52"/>
      <c r="U158" s="52"/>
    </row>
    <row r="159">
      <c r="M159" s="52"/>
      <c r="N159" s="52"/>
      <c r="O159" s="52"/>
      <c r="P159" s="52"/>
      <c r="Q159" s="52"/>
      <c r="U159" s="52"/>
    </row>
    <row r="160">
      <c r="M160" s="52"/>
      <c r="N160" s="52"/>
      <c r="O160" s="52"/>
      <c r="P160" s="52"/>
      <c r="Q160" s="52"/>
      <c r="U160" s="52"/>
    </row>
    <row r="161">
      <c r="M161" s="52"/>
      <c r="N161" s="52"/>
      <c r="O161" s="52"/>
      <c r="P161" s="52"/>
      <c r="Q161" s="52"/>
      <c r="U161" s="52"/>
    </row>
    <row r="162">
      <c r="M162" s="52"/>
      <c r="N162" s="52"/>
      <c r="O162" s="52"/>
      <c r="P162" s="52"/>
      <c r="Q162" s="52"/>
      <c r="U162" s="52"/>
    </row>
    <row r="163">
      <c r="M163" s="52"/>
      <c r="N163" s="52"/>
      <c r="O163" s="52"/>
      <c r="P163" s="52"/>
      <c r="Q163" s="52"/>
      <c r="U163" s="52"/>
    </row>
    <row r="164">
      <c r="M164" s="52"/>
      <c r="N164" s="52"/>
      <c r="O164" s="52"/>
      <c r="P164" s="52"/>
      <c r="Q164" s="52"/>
      <c r="U164" s="52"/>
    </row>
    <row r="165">
      <c r="M165" s="52"/>
      <c r="N165" s="52"/>
      <c r="O165" s="52"/>
      <c r="P165" s="52"/>
      <c r="Q165" s="52"/>
      <c r="U165" s="52"/>
    </row>
    <row r="166">
      <c r="M166" s="52"/>
      <c r="N166" s="52"/>
      <c r="O166" s="52"/>
      <c r="P166" s="52"/>
      <c r="Q166" s="52"/>
      <c r="U166" s="52"/>
    </row>
    <row r="167">
      <c r="M167" s="52"/>
      <c r="N167" s="52"/>
      <c r="O167" s="52"/>
      <c r="P167" s="52"/>
      <c r="Q167" s="52"/>
      <c r="U167" s="52"/>
    </row>
    <row r="168">
      <c r="M168" s="52"/>
      <c r="N168" s="52"/>
      <c r="O168" s="52"/>
      <c r="P168" s="52"/>
      <c r="Q168" s="52"/>
      <c r="U168" s="52"/>
    </row>
    <row r="169">
      <c r="M169" s="52"/>
      <c r="N169" s="52"/>
      <c r="O169" s="52"/>
      <c r="P169" s="52"/>
      <c r="Q169" s="52"/>
      <c r="U169" s="52"/>
    </row>
    <row r="170">
      <c r="M170" s="52"/>
      <c r="N170" s="52"/>
      <c r="O170" s="52"/>
      <c r="P170" s="52"/>
      <c r="Q170" s="52"/>
      <c r="U170" s="52"/>
    </row>
    <row r="171">
      <c r="M171" s="52"/>
      <c r="N171" s="52"/>
      <c r="O171" s="52"/>
      <c r="P171" s="52"/>
      <c r="Q171" s="52"/>
      <c r="U171" s="52"/>
    </row>
    <row r="172">
      <c r="M172" s="52"/>
      <c r="N172" s="52"/>
      <c r="O172" s="52"/>
      <c r="P172" s="52"/>
      <c r="Q172" s="52"/>
      <c r="U172" s="52"/>
    </row>
    <row r="173">
      <c r="M173" s="52"/>
      <c r="N173" s="52"/>
      <c r="O173" s="52"/>
      <c r="P173" s="52"/>
      <c r="Q173" s="52"/>
      <c r="U173" s="52"/>
    </row>
    <row r="174">
      <c r="M174" s="52"/>
      <c r="N174" s="52"/>
      <c r="O174" s="52"/>
      <c r="P174" s="52"/>
      <c r="Q174" s="52"/>
      <c r="U174" s="52"/>
    </row>
    <row r="175">
      <c r="M175" s="52"/>
      <c r="N175" s="52"/>
      <c r="O175" s="52"/>
      <c r="P175" s="52"/>
      <c r="Q175" s="52"/>
      <c r="U175" s="52"/>
    </row>
    <row r="176">
      <c r="M176" s="52"/>
      <c r="N176" s="52"/>
      <c r="O176" s="52"/>
      <c r="P176" s="52"/>
      <c r="Q176" s="52"/>
      <c r="U176" s="52"/>
    </row>
    <row r="177">
      <c r="M177" s="52"/>
      <c r="N177" s="52"/>
      <c r="O177" s="52"/>
      <c r="P177" s="52"/>
      <c r="Q177" s="52"/>
      <c r="U177" s="52"/>
    </row>
    <row r="178">
      <c r="M178" s="52"/>
      <c r="N178" s="52"/>
      <c r="O178" s="52"/>
      <c r="P178" s="52"/>
      <c r="Q178" s="52"/>
      <c r="U178" s="52"/>
    </row>
    <row r="179">
      <c r="M179" s="52"/>
      <c r="N179" s="52"/>
      <c r="O179" s="52"/>
      <c r="P179" s="52"/>
      <c r="Q179" s="52"/>
      <c r="U179" s="52"/>
    </row>
    <row r="180">
      <c r="M180" s="52"/>
      <c r="N180" s="52"/>
      <c r="O180" s="52"/>
      <c r="P180" s="52"/>
      <c r="Q180" s="52"/>
      <c r="U180" s="52"/>
    </row>
    <row r="181">
      <c r="M181" s="52"/>
      <c r="N181" s="52"/>
      <c r="O181" s="52"/>
      <c r="P181" s="52"/>
      <c r="Q181" s="52"/>
      <c r="U181" s="52"/>
    </row>
    <row r="182">
      <c r="M182" s="52"/>
      <c r="N182" s="52"/>
      <c r="O182" s="52"/>
      <c r="P182" s="52"/>
      <c r="Q182" s="52"/>
      <c r="U182" s="52"/>
    </row>
    <row r="183">
      <c r="M183" s="52"/>
      <c r="N183" s="52"/>
      <c r="O183" s="52"/>
      <c r="P183" s="52"/>
      <c r="Q183" s="52"/>
      <c r="U183" s="52"/>
    </row>
    <row r="184">
      <c r="M184" s="52"/>
      <c r="N184" s="52"/>
      <c r="O184" s="52"/>
      <c r="P184" s="52"/>
      <c r="Q184" s="52"/>
      <c r="U184" s="52"/>
    </row>
    <row r="185">
      <c r="M185" s="52"/>
      <c r="N185" s="52"/>
      <c r="O185" s="52"/>
      <c r="P185" s="52"/>
      <c r="Q185" s="52"/>
      <c r="U185" s="52"/>
    </row>
    <row r="186">
      <c r="M186" s="52"/>
      <c r="N186" s="52"/>
      <c r="O186" s="52"/>
      <c r="P186" s="52"/>
      <c r="Q186" s="52"/>
      <c r="U186" s="52"/>
    </row>
    <row r="187">
      <c r="M187" s="52"/>
      <c r="N187" s="52"/>
      <c r="O187" s="52"/>
      <c r="P187" s="52"/>
      <c r="Q187" s="52"/>
      <c r="U187" s="52"/>
    </row>
    <row r="188">
      <c r="M188" s="52"/>
      <c r="N188" s="52"/>
      <c r="O188" s="52"/>
      <c r="P188" s="52"/>
      <c r="Q188" s="52"/>
      <c r="U188" s="52"/>
    </row>
    <row r="189">
      <c r="M189" s="52"/>
      <c r="N189" s="52"/>
      <c r="O189" s="52"/>
      <c r="P189" s="52"/>
      <c r="Q189" s="52"/>
      <c r="U189" s="52"/>
    </row>
    <row r="190">
      <c r="M190" s="52"/>
      <c r="N190" s="52"/>
      <c r="O190" s="52"/>
      <c r="P190" s="52"/>
      <c r="Q190" s="52"/>
      <c r="U190" s="52"/>
    </row>
    <row r="191">
      <c r="M191" s="52"/>
      <c r="N191" s="52"/>
      <c r="O191" s="52"/>
      <c r="P191" s="52"/>
      <c r="Q191" s="52"/>
      <c r="U191" s="52"/>
    </row>
    <row r="192">
      <c r="M192" s="52"/>
      <c r="N192" s="52"/>
      <c r="O192" s="52"/>
      <c r="P192" s="52"/>
      <c r="Q192" s="52"/>
      <c r="U192" s="52"/>
    </row>
    <row r="193">
      <c r="M193" s="52"/>
      <c r="N193" s="52"/>
      <c r="O193" s="52"/>
      <c r="P193" s="52"/>
      <c r="Q193" s="52"/>
      <c r="U193" s="52"/>
    </row>
    <row r="194">
      <c r="M194" s="52"/>
      <c r="N194" s="52"/>
      <c r="O194" s="52"/>
      <c r="P194" s="52"/>
      <c r="Q194" s="52"/>
      <c r="U194" s="52"/>
    </row>
    <row r="195">
      <c r="M195" s="52"/>
      <c r="N195" s="52"/>
      <c r="O195" s="52"/>
      <c r="P195" s="52"/>
      <c r="Q195" s="52"/>
      <c r="U195" s="52"/>
    </row>
    <row r="196">
      <c r="M196" s="52"/>
      <c r="N196" s="52"/>
      <c r="O196" s="52"/>
      <c r="P196" s="52"/>
      <c r="Q196" s="52"/>
      <c r="U196" s="52"/>
    </row>
    <row r="197">
      <c r="M197" s="52"/>
      <c r="N197" s="52"/>
      <c r="O197" s="52"/>
      <c r="P197" s="52"/>
      <c r="Q197" s="52"/>
      <c r="U197" s="52"/>
    </row>
    <row r="198">
      <c r="M198" s="52"/>
      <c r="N198" s="52"/>
      <c r="O198" s="52"/>
      <c r="P198" s="52"/>
      <c r="Q198" s="52"/>
      <c r="U198" s="52"/>
    </row>
    <row r="199">
      <c r="M199" s="52"/>
      <c r="N199" s="52"/>
      <c r="O199" s="52"/>
      <c r="P199" s="52"/>
      <c r="Q199" s="52"/>
      <c r="U199" s="52"/>
    </row>
    <row r="200">
      <c r="M200" s="52"/>
      <c r="N200" s="52"/>
      <c r="O200" s="52"/>
      <c r="P200" s="52"/>
      <c r="Q200" s="52"/>
      <c r="U200" s="52"/>
    </row>
    <row r="201">
      <c r="M201" s="52"/>
      <c r="N201" s="52"/>
      <c r="O201" s="52"/>
      <c r="P201" s="52"/>
      <c r="Q201" s="52"/>
      <c r="U201" s="52"/>
    </row>
    <row r="202">
      <c r="M202" s="52"/>
      <c r="N202" s="52"/>
      <c r="O202" s="52"/>
      <c r="P202" s="52"/>
      <c r="Q202" s="52"/>
      <c r="U202" s="52"/>
    </row>
    <row r="203">
      <c r="M203" s="52"/>
      <c r="N203" s="52"/>
      <c r="O203" s="52"/>
      <c r="P203" s="52"/>
      <c r="Q203" s="52"/>
      <c r="U203" s="52"/>
    </row>
    <row r="204">
      <c r="M204" s="52"/>
      <c r="N204" s="52"/>
      <c r="O204" s="52"/>
      <c r="P204" s="52"/>
      <c r="Q204" s="52"/>
      <c r="U204" s="52"/>
    </row>
    <row r="205">
      <c r="M205" s="52"/>
      <c r="N205" s="52"/>
      <c r="O205" s="52"/>
      <c r="P205" s="52"/>
      <c r="Q205" s="52"/>
      <c r="U205" s="52"/>
    </row>
    <row r="206">
      <c r="M206" s="52"/>
      <c r="N206" s="52"/>
      <c r="O206" s="52"/>
      <c r="P206" s="52"/>
      <c r="Q206" s="52"/>
      <c r="U206" s="52"/>
    </row>
    <row r="207">
      <c r="M207" s="52"/>
      <c r="N207" s="52"/>
      <c r="O207" s="52"/>
      <c r="P207" s="52"/>
      <c r="Q207" s="52"/>
      <c r="U207" s="52"/>
    </row>
    <row r="208">
      <c r="M208" s="52"/>
      <c r="N208" s="52"/>
      <c r="O208" s="52"/>
      <c r="P208" s="52"/>
      <c r="Q208" s="52"/>
      <c r="U208" s="52"/>
    </row>
    <row r="209">
      <c r="M209" s="52"/>
      <c r="N209" s="52"/>
      <c r="O209" s="52"/>
      <c r="P209" s="52"/>
      <c r="Q209" s="52"/>
      <c r="U209" s="52"/>
    </row>
    <row r="210">
      <c r="M210" s="52"/>
      <c r="N210" s="52"/>
      <c r="O210" s="52"/>
      <c r="P210" s="52"/>
      <c r="Q210" s="52"/>
      <c r="U210" s="52"/>
    </row>
    <row r="211">
      <c r="M211" s="52"/>
      <c r="N211" s="52"/>
      <c r="O211" s="52"/>
      <c r="P211" s="52"/>
      <c r="Q211" s="52"/>
      <c r="U211" s="52"/>
    </row>
    <row r="212">
      <c r="M212" s="52"/>
      <c r="N212" s="52"/>
      <c r="O212" s="52"/>
      <c r="P212" s="52"/>
      <c r="Q212" s="52"/>
      <c r="U212" s="52"/>
    </row>
    <row r="213">
      <c r="M213" s="52"/>
      <c r="N213" s="52"/>
      <c r="O213" s="52"/>
      <c r="P213" s="52"/>
      <c r="Q213" s="52"/>
      <c r="U213" s="52"/>
    </row>
    <row r="214">
      <c r="M214" s="52"/>
      <c r="N214" s="52"/>
      <c r="O214" s="52"/>
      <c r="P214" s="52"/>
      <c r="Q214" s="52"/>
      <c r="U214" s="52"/>
    </row>
    <row r="215">
      <c r="M215" s="52"/>
      <c r="N215" s="52"/>
      <c r="O215" s="52"/>
      <c r="P215" s="52"/>
      <c r="Q215" s="52"/>
      <c r="U215" s="52"/>
    </row>
    <row r="216">
      <c r="M216" s="52"/>
      <c r="N216" s="52"/>
      <c r="O216" s="52"/>
      <c r="P216" s="52"/>
      <c r="Q216" s="52"/>
      <c r="U216" s="52"/>
    </row>
    <row r="217">
      <c r="M217" s="52"/>
      <c r="N217" s="52"/>
      <c r="O217" s="52"/>
      <c r="P217" s="52"/>
      <c r="Q217" s="52"/>
      <c r="U217" s="52"/>
    </row>
    <row r="218">
      <c r="M218" s="52"/>
      <c r="N218" s="52"/>
      <c r="O218" s="52"/>
      <c r="P218" s="52"/>
      <c r="Q218" s="52"/>
      <c r="U218" s="52"/>
    </row>
    <row r="219">
      <c r="M219" s="52"/>
      <c r="N219" s="52"/>
      <c r="O219" s="52"/>
      <c r="P219" s="52"/>
      <c r="Q219" s="52"/>
      <c r="U219" s="52"/>
    </row>
    <row r="220">
      <c r="M220" s="52"/>
      <c r="N220" s="52"/>
      <c r="O220" s="52"/>
      <c r="P220" s="52"/>
      <c r="Q220" s="52"/>
      <c r="U220" s="52"/>
    </row>
    <row r="221">
      <c r="M221" s="52"/>
      <c r="N221" s="52"/>
      <c r="O221" s="52"/>
      <c r="P221" s="52"/>
      <c r="Q221" s="52"/>
      <c r="U221" s="52"/>
    </row>
    <row r="222">
      <c r="M222" s="52"/>
      <c r="N222" s="52"/>
      <c r="O222" s="52"/>
      <c r="P222" s="52"/>
      <c r="Q222" s="52"/>
      <c r="U222" s="52"/>
    </row>
    <row r="223">
      <c r="M223" s="52"/>
      <c r="N223" s="52"/>
      <c r="O223" s="52"/>
      <c r="P223" s="52"/>
      <c r="Q223" s="52"/>
      <c r="U223" s="52"/>
    </row>
    <row r="224">
      <c r="M224" s="52"/>
      <c r="N224" s="52"/>
      <c r="O224" s="52"/>
      <c r="P224" s="52"/>
      <c r="Q224" s="52"/>
      <c r="U224" s="52"/>
    </row>
    <row r="225">
      <c r="M225" s="52"/>
      <c r="N225" s="52"/>
      <c r="O225" s="52"/>
      <c r="P225" s="52"/>
      <c r="Q225" s="52"/>
      <c r="U225" s="52"/>
    </row>
    <row r="226">
      <c r="M226" s="52"/>
      <c r="N226" s="52"/>
      <c r="O226" s="52"/>
      <c r="P226" s="52"/>
      <c r="Q226" s="52"/>
      <c r="U226" s="52"/>
    </row>
    <row r="227">
      <c r="M227" s="52"/>
      <c r="N227" s="52"/>
      <c r="O227" s="52"/>
      <c r="P227" s="52"/>
      <c r="Q227" s="52"/>
      <c r="U227" s="52"/>
    </row>
    <row r="228">
      <c r="M228" s="52"/>
      <c r="N228" s="52"/>
      <c r="O228" s="52"/>
      <c r="P228" s="52"/>
      <c r="Q228" s="52"/>
      <c r="U228" s="52"/>
    </row>
    <row r="229">
      <c r="M229" s="52"/>
      <c r="N229" s="52"/>
      <c r="O229" s="52"/>
      <c r="P229" s="52"/>
      <c r="Q229" s="52"/>
      <c r="U229" s="52"/>
    </row>
    <row r="230">
      <c r="M230" s="52"/>
      <c r="N230" s="52"/>
      <c r="O230" s="52"/>
      <c r="P230" s="52"/>
      <c r="Q230" s="52"/>
      <c r="U230" s="52"/>
    </row>
    <row r="231">
      <c r="M231" s="52"/>
      <c r="N231" s="52"/>
      <c r="O231" s="52"/>
      <c r="P231" s="52"/>
      <c r="Q231" s="52"/>
      <c r="U231" s="52"/>
    </row>
    <row r="232">
      <c r="M232" s="52"/>
      <c r="N232" s="52"/>
      <c r="O232" s="52"/>
      <c r="P232" s="52"/>
      <c r="Q232" s="52"/>
      <c r="U232" s="52"/>
    </row>
    <row r="233">
      <c r="M233" s="52"/>
      <c r="N233" s="52"/>
      <c r="O233" s="52"/>
      <c r="P233" s="52"/>
      <c r="Q233" s="52"/>
      <c r="U233" s="52"/>
    </row>
    <row r="234">
      <c r="M234" s="52"/>
      <c r="N234" s="52"/>
      <c r="O234" s="52"/>
      <c r="P234" s="52"/>
      <c r="Q234" s="52"/>
      <c r="U234" s="52"/>
    </row>
    <row r="235">
      <c r="M235" s="52"/>
      <c r="N235" s="52"/>
      <c r="O235" s="52"/>
      <c r="P235" s="52"/>
      <c r="Q235" s="52"/>
      <c r="U235" s="52"/>
    </row>
    <row r="236">
      <c r="M236" s="52"/>
      <c r="N236" s="52"/>
      <c r="O236" s="52"/>
      <c r="P236" s="52"/>
      <c r="Q236" s="52"/>
      <c r="U236" s="52"/>
    </row>
    <row r="237">
      <c r="M237" s="52"/>
      <c r="N237" s="52"/>
      <c r="O237" s="52"/>
      <c r="P237" s="52"/>
      <c r="Q237" s="52"/>
      <c r="U237" s="52"/>
    </row>
    <row r="238">
      <c r="M238" s="52"/>
      <c r="N238" s="52"/>
      <c r="O238" s="52"/>
      <c r="P238" s="52"/>
      <c r="Q238" s="52"/>
      <c r="U238" s="52"/>
    </row>
    <row r="239">
      <c r="M239" s="52"/>
      <c r="N239" s="52"/>
      <c r="O239" s="52"/>
      <c r="P239" s="52"/>
      <c r="Q239" s="52"/>
      <c r="U239" s="52"/>
    </row>
    <row r="240">
      <c r="M240" s="52"/>
      <c r="N240" s="52"/>
      <c r="O240" s="52"/>
      <c r="P240" s="52"/>
      <c r="Q240" s="52"/>
      <c r="U240" s="52"/>
    </row>
    <row r="241">
      <c r="M241" s="52"/>
      <c r="N241" s="52"/>
      <c r="O241" s="52"/>
      <c r="P241" s="52"/>
      <c r="Q241" s="52"/>
      <c r="U241" s="52"/>
    </row>
    <row r="242">
      <c r="M242" s="52"/>
      <c r="N242" s="52"/>
      <c r="O242" s="52"/>
      <c r="P242" s="52"/>
      <c r="Q242" s="52"/>
      <c r="U242" s="52"/>
    </row>
    <row r="243">
      <c r="M243" s="52"/>
      <c r="N243" s="52"/>
      <c r="O243" s="52"/>
      <c r="P243" s="52"/>
      <c r="Q243" s="52"/>
      <c r="U243" s="52"/>
    </row>
    <row r="244">
      <c r="M244" s="52"/>
      <c r="N244" s="52"/>
      <c r="O244" s="52"/>
      <c r="P244" s="52"/>
      <c r="Q244" s="52"/>
      <c r="U244" s="52"/>
    </row>
    <row r="245">
      <c r="M245" s="52"/>
      <c r="N245" s="52"/>
      <c r="O245" s="52"/>
      <c r="P245" s="52"/>
      <c r="Q245" s="52"/>
      <c r="U245" s="52"/>
    </row>
    <row r="246">
      <c r="M246" s="52"/>
      <c r="N246" s="52"/>
      <c r="O246" s="52"/>
      <c r="P246" s="52"/>
      <c r="Q246" s="52"/>
      <c r="U246" s="52"/>
    </row>
    <row r="247">
      <c r="M247" s="52"/>
      <c r="N247" s="52"/>
      <c r="O247" s="52"/>
      <c r="P247" s="52"/>
      <c r="Q247" s="52"/>
      <c r="U247" s="52"/>
    </row>
    <row r="248">
      <c r="M248" s="52"/>
      <c r="N248" s="52"/>
      <c r="O248" s="52"/>
      <c r="P248" s="52"/>
      <c r="Q248" s="52"/>
      <c r="U248" s="52"/>
    </row>
    <row r="249">
      <c r="M249" s="52"/>
      <c r="N249" s="52"/>
      <c r="O249" s="52"/>
      <c r="P249" s="52"/>
      <c r="Q249" s="52"/>
      <c r="U249" s="52"/>
    </row>
    <row r="250">
      <c r="M250" s="52"/>
      <c r="N250" s="52"/>
      <c r="O250" s="52"/>
      <c r="P250" s="52"/>
      <c r="Q250" s="52"/>
      <c r="U250" s="52"/>
    </row>
    <row r="251">
      <c r="M251" s="52"/>
      <c r="N251" s="52"/>
      <c r="O251" s="52"/>
      <c r="P251" s="52"/>
      <c r="Q251" s="52"/>
      <c r="U251" s="52"/>
    </row>
    <row r="252">
      <c r="M252" s="52"/>
      <c r="N252" s="52"/>
      <c r="O252" s="52"/>
      <c r="P252" s="52"/>
      <c r="Q252" s="52"/>
      <c r="U252" s="52"/>
    </row>
    <row r="253">
      <c r="M253" s="52"/>
      <c r="N253" s="52"/>
      <c r="O253" s="52"/>
      <c r="P253" s="52"/>
      <c r="Q253" s="52"/>
      <c r="U253" s="52"/>
    </row>
    <row r="254">
      <c r="M254" s="52"/>
      <c r="N254" s="52"/>
      <c r="O254" s="52"/>
      <c r="P254" s="52"/>
      <c r="Q254" s="52"/>
      <c r="U254" s="52"/>
    </row>
    <row r="255">
      <c r="M255" s="52"/>
      <c r="N255" s="52"/>
      <c r="O255" s="52"/>
      <c r="P255" s="52"/>
      <c r="Q255" s="52"/>
      <c r="U255" s="52"/>
    </row>
    <row r="256">
      <c r="M256" s="52"/>
      <c r="N256" s="52"/>
      <c r="O256" s="52"/>
      <c r="P256" s="52"/>
      <c r="Q256" s="52"/>
      <c r="U256" s="52"/>
    </row>
    <row r="257">
      <c r="M257" s="52"/>
      <c r="N257" s="52"/>
      <c r="O257" s="52"/>
      <c r="P257" s="52"/>
      <c r="Q257" s="52"/>
      <c r="U257" s="52"/>
    </row>
    <row r="258">
      <c r="M258" s="52"/>
      <c r="N258" s="52"/>
      <c r="O258" s="52"/>
      <c r="P258" s="52"/>
      <c r="Q258" s="52"/>
      <c r="U258" s="52"/>
    </row>
    <row r="259">
      <c r="M259" s="52"/>
      <c r="N259" s="52"/>
      <c r="O259" s="52"/>
      <c r="P259" s="52"/>
      <c r="Q259" s="52"/>
      <c r="U259" s="52"/>
    </row>
    <row r="260">
      <c r="M260" s="52"/>
      <c r="N260" s="52"/>
      <c r="O260" s="52"/>
      <c r="P260" s="52"/>
      <c r="Q260" s="52"/>
      <c r="U260" s="52"/>
    </row>
    <row r="261">
      <c r="M261" s="52"/>
      <c r="N261" s="52"/>
      <c r="O261" s="52"/>
      <c r="P261" s="52"/>
      <c r="Q261" s="52"/>
      <c r="U261" s="52"/>
    </row>
    <row r="262">
      <c r="M262" s="52"/>
      <c r="N262" s="52"/>
      <c r="O262" s="52"/>
      <c r="P262" s="52"/>
      <c r="Q262" s="52"/>
      <c r="U262" s="52"/>
    </row>
    <row r="263">
      <c r="M263" s="52"/>
      <c r="N263" s="52"/>
      <c r="O263" s="52"/>
      <c r="P263" s="52"/>
      <c r="Q263" s="52"/>
      <c r="U263" s="52"/>
    </row>
    <row r="264">
      <c r="M264" s="52"/>
      <c r="N264" s="52"/>
      <c r="O264" s="52"/>
      <c r="P264" s="52"/>
      <c r="Q264" s="52"/>
      <c r="U264" s="52"/>
    </row>
    <row r="265">
      <c r="M265" s="52"/>
      <c r="N265" s="52"/>
      <c r="O265" s="52"/>
      <c r="P265" s="52"/>
      <c r="Q265" s="52"/>
      <c r="U265" s="52"/>
    </row>
    <row r="266">
      <c r="M266" s="52"/>
      <c r="N266" s="52"/>
      <c r="O266" s="52"/>
      <c r="P266" s="52"/>
      <c r="Q266" s="52"/>
      <c r="U266" s="52"/>
    </row>
    <row r="267">
      <c r="M267" s="52"/>
      <c r="N267" s="52"/>
      <c r="O267" s="52"/>
      <c r="P267" s="52"/>
      <c r="Q267" s="52"/>
      <c r="U267" s="52"/>
    </row>
    <row r="268">
      <c r="M268" s="52"/>
      <c r="N268" s="52"/>
      <c r="O268" s="52"/>
      <c r="P268" s="52"/>
      <c r="Q268" s="52"/>
      <c r="U268" s="52"/>
    </row>
    <row r="269">
      <c r="M269" s="52"/>
      <c r="N269" s="52"/>
      <c r="O269" s="52"/>
      <c r="P269" s="52"/>
      <c r="Q269" s="52"/>
      <c r="U269" s="52"/>
    </row>
    <row r="270">
      <c r="M270" s="52"/>
      <c r="N270" s="52"/>
      <c r="O270" s="52"/>
      <c r="P270" s="52"/>
      <c r="Q270" s="52"/>
      <c r="U270" s="52"/>
    </row>
    <row r="271">
      <c r="M271" s="52"/>
      <c r="N271" s="52"/>
      <c r="O271" s="52"/>
      <c r="P271" s="52"/>
      <c r="Q271" s="52"/>
      <c r="U271" s="52"/>
    </row>
    <row r="272">
      <c r="M272" s="52"/>
      <c r="N272" s="52"/>
      <c r="O272" s="52"/>
      <c r="P272" s="52"/>
      <c r="Q272" s="52"/>
      <c r="U272" s="52"/>
    </row>
    <row r="273">
      <c r="M273" s="52"/>
      <c r="N273" s="52"/>
      <c r="O273" s="52"/>
      <c r="P273" s="52"/>
      <c r="Q273" s="52"/>
      <c r="U273" s="52"/>
    </row>
    <row r="274">
      <c r="M274" s="52"/>
      <c r="N274" s="52"/>
      <c r="O274" s="52"/>
      <c r="P274" s="52"/>
      <c r="Q274" s="52"/>
      <c r="U274" s="52"/>
    </row>
    <row r="275">
      <c r="M275" s="52"/>
      <c r="N275" s="52"/>
      <c r="O275" s="52"/>
      <c r="P275" s="52"/>
      <c r="Q275" s="52"/>
      <c r="U275" s="52"/>
    </row>
    <row r="276">
      <c r="M276" s="52"/>
      <c r="N276" s="52"/>
      <c r="O276" s="52"/>
      <c r="P276" s="52"/>
      <c r="Q276" s="52"/>
      <c r="U276" s="52"/>
    </row>
    <row r="277">
      <c r="M277" s="52"/>
      <c r="N277" s="52"/>
      <c r="O277" s="52"/>
      <c r="P277" s="52"/>
      <c r="Q277" s="52"/>
      <c r="U277" s="52"/>
    </row>
    <row r="278">
      <c r="M278" s="52"/>
      <c r="N278" s="52"/>
      <c r="O278" s="52"/>
      <c r="P278" s="52"/>
      <c r="Q278" s="52"/>
      <c r="U278" s="52"/>
    </row>
    <row r="279">
      <c r="M279" s="52"/>
      <c r="N279" s="52"/>
      <c r="O279" s="52"/>
      <c r="P279" s="52"/>
      <c r="Q279" s="52"/>
      <c r="U279" s="52"/>
    </row>
    <row r="280">
      <c r="M280" s="52"/>
      <c r="N280" s="52"/>
      <c r="O280" s="52"/>
      <c r="P280" s="52"/>
      <c r="Q280" s="52"/>
      <c r="U280" s="52"/>
    </row>
    <row r="281">
      <c r="M281" s="52"/>
      <c r="N281" s="52"/>
      <c r="O281" s="52"/>
      <c r="P281" s="52"/>
      <c r="Q281" s="52"/>
      <c r="U281" s="52"/>
    </row>
    <row r="282">
      <c r="M282" s="52"/>
      <c r="N282" s="52"/>
      <c r="O282" s="52"/>
      <c r="P282" s="52"/>
      <c r="Q282" s="52"/>
      <c r="U282" s="52"/>
    </row>
    <row r="283">
      <c r="M283" s="52"/>
      <c r="N283" s="52"/>
      <c r="O283" s="52"/>
      <c r="P283" s="52"/>
      <c r="Q283" s="52"/>
      <c r="U283" s="52"/>
    </row>
    <row r="284">
      <c r="M284" s="52"/>
      <c r="N284" s="52"/>
      <c r="O284" s="52"/>
      <c r="P284" s="52"/>
      <c r="Q284" s="52"/>
      <c r="U284" s="52"/>
    </row>
    <row r="285">
      <c r="M285" s="52"/>
      <c r="N285" s="52"/>
      <c r="O285" s="52"/>
      <c r="P285" s="52"/>
      <c r="Q285" s="52"/>
      <c r="U285" s="52"/>
    </row>
    <row r="286">
      <c r="M286" s="52"/>
      <c r="N286" s="52"/>
      <c r="O286" s="52"/>
      <c r="P286" s="52"/>
      <c r="Q286" s="52"/>
      <c r="U286" s="52"/>
    </row>
    <row r="287">
      <c r="M287" s="52"/>
      <c r="N287" s="52"/>
      <c r="O287" s="52"/>
      <c r="P287" s="52"/>
      <c r="Q287" s="52"/>
      <c r="U287" s="52"/>
    </row>
    <row r="288">
      <c r="M288" s="52"/>
      <c r="N288" s="52"/>
      <c r="O288" s="52"/>
      <c r="P288" s="52"/>
      <c r="Q288" s="52"/>
      <c r="U288" s="52"/>
    </row>
    <row r="289">
      <c r="M289" s="52"/>
      <c r="N289" s="52"/>
      <c r="O289" s="52"/>
      <c r="P289" s="52"/>
      <c r="Q289" s="52"/>
      <c r="U289" s="52"/>
    </row>
    <row r="290">
      <c r="M290" s="52"/>
      <c r="N290" s="52"/>
      <c r="O290" s="52"/>
      <c r="P290" s="52"/>
      <c r="Q290" s="52"/>
      <c r="U290" s="52"/>
    </row>
    <row r="291">
      <c r="M291" s="52"/>
      <c r="N291" s="52"/>
      <c r="O291" s="52"/>
      <c r="P291" s="52"/>
      <c r="Q291" s="52"/>
      <c r="U291" s="52"/>
    </row>
    <row r="292">
      <c r="M292" s="52"/>
      <c r="N292" s="52"/>
      <c r="O292" s="52"/>
      <c r="P292" s="52"/>
      <c r="Q292" s="52"/>
      <c r="U292" s="52"/>
    </row>
    <row r="293">
      <c r="M293" s="52"/>
      <c r="N293" s="52"/>
      <c r="O293" s="52"/>
      <c r="P293" s="52"/>
      <c r="Q293" s="52"/>
      <c r="U293" s="52"/>
    </row>
    <row r="294">
      <c r="M294" s="52"/>
      <c r="N294" s="52"/>
      <c r="O294" s="52"/>
      <c r="P294" s="52"/>
      <c r="Q294" s="52"/>
      <c r="U294" s="52"/>
    </row>
    <row r="295">
      <c r="M295" s="52"/>
      <c r="N295" s="52"/>
      <c r="O295" s="52"/>
      <c r="P295" s="52"/>
      <c r="Q295" s="52"/>
      <c r="U295" s="52"/>
    </row>
    <row r="296">
      <c r="M296" s="52"/>
      <c r="N296" s="52"/>
      <c r="O296" s="52"/>
      <c r="P296" s="52"/>
      <c r="Q296" s="52"/>
      <c r="U296" s="52"/>
    </row>
    <row r="297">
      <c r="M297" s="52"/>
      <c r="N297" s="52"/>
      <c r="O297" s="52"/>
      <c r="P297" s="52"/>
      <c r="Q297" s="52"/>
      <c r="U297" s="52"/>
    </row>
    <row r="298">
      <c r="M298" s="52"/>
      <c r="N298" s="52"/>
      <c r="O298" s="52"/>
      <c r="P298" s="52"/>
      <c r="Q298" s="52"/>
      <c r="U298" s="52"/>
    </row>
    <row r="299">
      <c r="M299" s="52"/>
      <c r="N299" s="52"/>
      <c r="O299" s="52"/>
      <c r="P299" s="52"/>
      <c r="Q299" s="52"/>
      <c r="U299" s="52"/>
    </row>
    <row r="300">
      <c r="M300" s="52"/>
      <c r="N300" s="52"/>
      <c r="O300" s="52"/>
      <c r="P300" s="52"/>
      <c r="Q300" s="52"/>
      <c r="U300" s="52"/>
    </row>
    <row r="301">
      <c r="M301" s="52"/>
      <c r="N301" s="52"/>
      <c r="O301" s="52"/>
      <c r="P301" s="52"/>
      <c r="Q301" s="52"/>
      <c r="U301" s="52"/>
    </row>
    <row r="302">
      <c r="M302" s="52"/>
      <c r="N302" s="52"/>
      <c r="O302" s="52"/>
      <c r="P302" s="52"/>
      <c r="Q302" s="52"/>
      <c r="U302" s="52"/>
    </row>
    <row r="303">
      <c r="M303" s="52"/>
      <c r="N303" s="52"/>
      <c r="O303" s="52"/>
      <c r="P303" s="52"/>
      <c r="Q303" s="52"/>
      <c r="U303" s="52"/>
    </row>
    <row r="304">
      <c r="M304" s="52"/>
      <c r="N304" s="52"/>
      <c r="O304" s="52"/>
      <c r="P304" s="52"/>
      <c r="Q304" s="52"/>
      <c r="U304" s="52"/>
    </row>
    <row r="305">
      <c r="M305" s="52"/>
      <c r="N305" s="52"/>
      <c r="O305" s="52"/>
      <c r="P305" s="52"/>
      <c r="Q305" s="52"/>
      <c r="U305" s="52"/>
    </row>
    <row r="306">
      <c r="M306" s="52"/>
      <c r="N306" s="52"/>
      <c r="O306" s="52"/>
      <c r="P306" s="52"/>
      <c r="Q306" s="52"/>
      <c r="U306" s="52"/>
    </row>
    <row r="307">
      <c r="M307" s="52"/>
      <c r="N307" s="52"/>
      <c r="O307" s="52"/>
      <c r="P307" s="52"/>
      <c r="Q307" s="52"/>
      <c r="U307" s="52"/>
    </row>
    <row r="308">
      <c r="M308" s="52"/>
      <c r="N308" s="52"/>
      <c r="O308" s="52"/>
      <c r="P308" s="52"/>
      <c r="Q308" s="52"/>
      <c r="U308" s="52"/>
    </row>
    <row r="309">
      <c r="M309" s="52"/>
      <c r="N309" s="52"/>
      <c r="O309" s="52"/>
      <c r="P309" s="52"/>
      <c r="Q309" s="52"/>
      <c r="U309" s="52"/>
    </row>
    <row r="310">
      <c r="M310" s="52"/>
      <c r="N310" s="52"/>
      <c r="O310" s="52"/>
      <c r="P310" s="52"/>
      <c r="Q310" s="52"/>
      <c r="U310" s="52"/>
    </row>
    <row r="311">
      <c r="M311" s="52"/>
      <c r="N311" s="52"/>
      <c r="O311" s="52"/>
      <c r="P311" s="52"/>
      <c r="Q311" s="52"/>
      <c r="U311" s="52"/>
    </row>
    <row r="312">
      <c r="M312" s="52"/>
      <c r="N312" s="52"/>
      <c r="O312" s="52"/>
      <c r="P312" s="52"/>
      <c r="Q312" s="52"/>
      <c r="U312" s="52"/>
    </row>
    <row r="313">
      <c r="M313" s="52"/>
      <c r="N313" s="52"/>
      <c r="O313" s="52"/>
      <c r="P313" s="52"/>
      <c r="Q313" s="52"/>
      <c r="U313" s="52"/>
    </row>
    <row r="314">
      <c r="M314" s="52"/>
      <c r="N314" s="52"/>
      <c r="O314" s="52"/>
      <c r="P314" s="52"/>
      <c r="Q314" s="52"/>
      <c r="U314" s="52"/>
    </row>
    <row r="315">
      <c r="M315" s="52"/>
      <c r="N315" s="52"/>
      <c r="O315" s="52"/>
      <c r="P315" s="52"/>
      <c r="Q315" s="52"/>
      <c r="U315" s="52"/>
    </row>
    <row r="316">
      <c r="M316" s="52"/>
      <c r="N316" s="52"/>
      <c r="O316" s="52"/>
      <c r="P316" s="52"/>
      <c r="Q316" s="52"/>
      <c r="U316" s="52"/>
    </row>
    <row r="317">
      <c r="M317" s="52"/>
      <c r="N317" s="52"/>
      <c r="O317" s="52"/>
      <c r="P317" s="52"/>
      <c r="Q317" s="52"/>
      <c r="U317" s="52"/>
    </row>
    <row r="318">
      <c r="M318" s="52"/>
      <c r="N318" s="52"/>
      <c r="O318" s="52"/>
      <c r="P318" s="52"/>
      <c r="Q318" s="52"/>
      <c r="U318" s="52"/>
    </row>
    <row r="319">
      <c r="M319" s="52"/>
      <c r="N319" s="52"/>
      <c r="O319" s="52"/>
      <c r="P319" s="52"/>
      <c r="Q319" s="52"/>
      <c r="U319" s="52"/>
    </row>
    <row r="320">
      <c r="M320" s="52"/>
      <c r="N320" s="52"/>
      <c r="O320" s="52"/>
      <c r="P320" s="52"/>
      <c r="Q320" s="52"/>
      <c r="U320" s="52"/>
    </row>
    <row r="321">
      <c r="M321" s="52"/>
      <c r="N321" s="52"/>
      <c r="O321" s="52"/>
      <c r="P321" s="52"/>
      <c r="Q321" s="52"/>
      <c r="U321" s="52"/>
    </row>
    <row r="322">
      <c r="M322" s="52"/>
      <c r="N322" s="52"/>
      <c r="O322" s="52"/>
      <c r="P322" s="52"/>
      <c r="Q322" s="52"/>
      <c r="U322" s="52"/>
    </row>
    <row r="323">
      <c r="M323" s="52"/>
      <c r="N323" s="52"/>
      <c r="O323" s="52"/>
      <c r="P323" s="52"/>
      <c r="Q323" s="52"/>
      <c r="U323" s="52"/>
    </row>
    <row r="324">
      <c r="M324" s="52"/>
      <c r="N324" s="52"/>
      <c r="O324" s="52"/>
      <c r="P324" s="52"/>
      <c r="Q324" s="52"/>
      <c r="U324" s="52"/>
    </row>
    <row r="325">
      <c r="M325" s="52"/>
      <c r="N325" s="52"/>
      <c r="O325" s="52"/>
      <c r="P325" s="52"/>
      <c r="Q325" s="52"/>
      <c r="U325" s="52"/>
    </row>
    <row r="326">
      <c r="M326" s="52"/>
      <c r="N326" s="52"/>
      <c r="O326" s="52"/>
      <c r="P326" s="52"/>
      <c r="Q326" s="52"/>
      <c r="U326" s="52"/>
    </row>
    <row r="327">
      <c r="M327" s="52"/>
      <c r="N327" s="52"/>
      <c r="O327" s="52"/>
      <c r="P327" s="52"/>
      <c r="Q327" s="52"/>
      <c r="U327" s="52"/>
    </row>
    <row r="328">
      <c r="M328" s="52"/>
      <c r="N328" s="52"/>
      <c r="O328" s="52"/>
      <c r="P328" s="52"/>
      <c r="Q328" s="52"/>
      <c r="U328" s="52"/>
    </row>
    <row r="329">
      <c r="M329" s="52"/>
      <c r="N329" s="52"/>
      <c r="O329" s="52"/>
      <c r="P329" s="52"/>
      <c r="Q329" s="52"/>
      <c r="U329" s="52"/>
    </row>
    <row r="330">
      <c r="M330" s="52"/>
      <c r="N330" s="52"/>
      <c r="O330" s="52"/>
      <c r="P330" s="52"/>
      <c r="Q330" s="52"/>
      <c r="U330" s="52"/>
    </row>
    <row r="331">
      <c r="M331" s="52"/>
      <c r="N331" s="52"/>
      <c r="O331" s="52"/>
      <c r="P331" s="52"/>
      <c r="Q331" s="52"/>
      <c r="U331" s="52"/>
    </row>
    <row r="332">
      <c r="M332" s="52"/>
      <c r="N332" s="52"/>
      <c r="O332" s="52"/>
      <c r="P332" s="52"/>
      <c r="Q332" s="52"/>
      <c r="U332" s="52"/>
    </row>
    <row r="333">
      <c r="M333" s="52"/>
      <c r="N333" s="52"/>
      <c r="O333" s="52"/>
      <c r="P333" s="52"/>
      <c r="Q333" s="52"/>
      <c r="U333" s="52"/>
    </row>
    <row r="334">
      <c r="M334" s="52"/>
      <c r="N334" s="52"/>
      <c r="O334" s="52"/>
      <c r="P334" s="52"/>
      <c r="Q334" s="52"/>
      <c r="U334" s="52"/>
    </row>
    <row r="335">
      <c r="M335" s="52"/>
      <c r="N335" s="52"/>
      <c r="O335" s="52"/>
      <c r="P335" s="52"/>
      <c r="Q335" s="52"/>
      <c r="U335" s="52"/>
    </row>
    <row r="336">
      <c r="M336" s="52"/>
      <c r="N336" s="52"/>
      <c r="O336" s="52"/>
      <c r="P336" s="52"/>
      <c r="Q336" s="52"/>
      <c r="U336" s="52"/>
    </row>
    <row r="337">
      <c r="M337" s="52"/>
      <c r="N337" s="52"/>
      <c r="O337" s="52"/>
      <c r="P337" s="52"/>
      <c r="Q337" s="52"/>
      <c r="U337" s="52"/>
    </row>
    <row r="338">
      <c r="M338" s="52"/>
      <c r="N338" s="52"/>
      <c r="O338" s="52"/>
      <c r="P338" s="52"/>
      <c r="Q338" s="52"/>
      <c r="U338" s="52"/>
    </row>
    <row r="339">
      <c r="M339" s="52"/>
      <c r="N339" s="52"/>
      <c r="O339" s="52"/>
      <c r="P339" s="52"/>
      <c r="Q339" s="52"/>
      <c r="U339" s="52"/>
    </row>
    <row r="340">
      <c r="M340" s="52"/>
      <c r="N340" s="52"/>
      <c r="O340" s="52"/>
      <c r="P340" s="52"/>
      <c r="Q340" s="52"/>
      <c r="U340" s="52"/>
    </row>
    <row r="341">
      <c r="M341" s="52"/>
      <c r="N341" s="52"/>
      <c r="O341" s="52"/>
      <c r="P341" s="52"/>
      <c r="Q341" s="52"/>
      <c r="U341" s="52"/>
    </row>
    <row r="342">
      <c r="M342" s="52"/>
      <c r="N342" s="52"/>
      <c r="O342" s="52"/>
      <c r="P342" s="52"/>
      <c r="Q342" s="52"/>
      <c r="U342" s="52"/>
    </row>
    <row r="343">
      <c r="M343" s="52"/>
      <c r="N343" s="52"/>
      <c r="O343" s="52"/>
      <c r="P343" s="52"/>
      <c r="Q343" s="52"/>
      <c r="U343" s="52"/>
    </row>
    <row r="344">
      <c r="M344" s="52"/>
      <c r="N344" s="52"/>
      <c r="O344" s="52"/>
      <c r="P344" s="52"/>
      <c r="Q344" s="52"/>
      <c r="U344" s="52"/>
    </row>
    <row r="345">
      <c r="M345" s="52"/>
      <c r="N345" s="52"/>
      <c r="O345" s="52"/>
      <c r="P345" s="52"/>
      <c r="Q345" s="52"/>
      <c r="U345" s="52"/>
    </row>
    <row r="346">
      <c r="M346" s="52"/>
      <c r="N346" s="52"/>
      <c r="O346" s="52"/>
      <c r="P346" s="52"/>
      <c r="Q346" s="52"/>
      <c r="U346" s="52"/>
    </row>
    <row r="347">
      <c r="M347" s="52"/>
      <c r="N347" s="52"/>
      <c r="O347" s="52"/>
      <c r="P347" s="52"/>
      <c r="Q347" s="52"/>
      <c r="U347" s="52"/>
    </row>
    <row r="348">
      <c r="M348" s="52"/>
      <c r="N348" s="52"/>
      <c r="O348" s="52"/>
      <c r="P348" s="52"/>
      <c r="Q348" s="52"/>
      <c r="U348" s="52"/>
    </row>
    <row r="349">
      <c r="M349" s="52"/>
      <c r="N349" s="52"/>
      <c r="O349" s="52"/>
      <c r="P349" s="52"/>
      <c r="Q349" s="52"/>
      <c r="U349" s="52"/>
    </row>
    <row r="350">
      <c r="M350" s="52"/>
      <c r="N350" s="52"/>
      <c r="O350" s="52"/>
      <c r="P350" s="52"/>
      <c r="Q350" s="52"/>
      <c r="U350" s="52"/>
    </row>
    <row r="351">
      <c r="M351" s="52"/>
      <c r="N351" s="52"/>
      <c r="O351" s="52"/>
      <c r="P351" s="52"/>
      <c r="Q351" s="52"/>
      <c r="U351" s="52"/>
    </row>
    <row r="352">
      <c r="M352" s="52"/>
      <c r="N352" s="52"/>
      <c r="O352" s="52"/>
      <c r="P352" s="52"/>
      <c r="Q352" s="52"/>
      <c r="U352" s="52"/>
    </row>
    <row r="353">
      <c r="M353" s="52"/>
      <c r="N353" s="52"/>
      <c r="O353" s="52"/>
      <c r="P353" s="52"/>
      <c r="Q353" s="52"/>
      <c r="U353" s="52"/>
    </row>
    <row r="354">
      <c r="M354" s="52"/>
      <c r="N354" s="52"/>
      <c r="O354" s="52"/>
      <c r="P354" s="52"/>
      <c r="Q354" s="52"/>
      <c r="U354" s="52"/>
    </row>
    <row r="355">
      <c r="M355" s="52"/>
      <c r="N355" s="52"/>
      <c r="O355" s="52"/>
      <c r="P355" s="52"/>
      <c r="Q355" s="52"/>
      <c r="U355" s="52"/>
    </row>
    <row r="356">
      <c r="M356" s="52"/>
      <c r="N356" s="52"/>
      <c r="O356" s="52"/>
      <c r="P356" s="52"/>
      <c r="Q356" s="52"/>
      <c r="U356" s="52"/>
    </row>
    <row r="357">
      <c r="M357" s="52"/>
      <c r="N357" s="52"/>
      <c r="O357" s="52"/>
      <c r="P357" s="52"/>
      <c r="Q357" s="52"/>
      <c r="U357" s="52"/>
    </row>
    <row r="358">
      <c r="M358" s="52"/>
      <c r="N358" s="52"/>
      <c r="O358" s="52"/>
      <c r="P358" s="52"/>
      <c r="Q358" s="52"/>
      <c r="U358" s="52"/>
    </row>
    <row r="359">
      <c r="M359" s="52"/>
      <c r="N359" s="52"/>
      <c r="O359" s="52"/>
      <c r="P359" s="52"/>
      <c r="Q359" s="52"/>
      <c r="U359" s="52"/>
    </row>
    <row r="360">
      <c r="M360" s="52"/>
      <c r="N360" s="52"/>
      <c r="O360" s="52"/>
      <c r="P360" s="52"/>
      <c r="Q360" s="52"/>
      <c r="U360" s="52"/>
    </row>
    <row r="361">
      <c r="M361" s="52"/>
      <c r="N361" s="52"/>
      <c r="O361" s="52"/>
      <c r="P361" s="52"/>
      <c r="Q361" s="52"/>
      <c r="U361" s="52"/>
    </row>
    <row r="362">
      <c r="M362" s="52"/>
      <c r="N362" s="52"/>
      <c r="O362" s="52"/>
      <c r="P362" s="52"/>
      <c r="Q362" s="52"/>
      <c r="U362" s="52"/>
    </row>
    <row r="363">
      <c r="M363" s="52"/>
      <c r="N363" s="52"/>
      <c r="O363" s="52"/>
      <c r="P363" s="52"/>
      <c r="Q363" s="52"/>
      <c r="U363" s="52"/>
    </row>
    <row r="364">
      <c r="M364" s="52"/>
      <c r="N364" s="52"/>
      <c r="O364" s="52"/>
      <c r="P364" s="52"/>
      <c r="Q364" s="52"/>
      <c r="U364" s="52"/>
    </row>
    <row r="365">
      <c r="M365" s="52"/>
      <c r="N365" s="52"/>
      <c r="O365" s="52"/>
      <c r="P365" s="52"/>
      <c r="Q365" s="52"/>
      <c r="U365" s="52"/>
    </row>
    <row r="366">
      <c r="M366" s="52"/>
      <c r="N366" s="52"/>
      <c r="O366" s="52"/>
      <c r="P366" s="52"/>
      <c r="Q366" s="52"/>
      <c r="U366" s="52"/>
    </row>
    <row r="367">
      <c r="M367" s="52"/>
      <c r="N367" s="52"/>
      <c r="O367" s="52"/>
      <c r="P367" s="52"/>
      <c r="Q367" s="52"/>
      <c r="U367" s="52"/>
    </row>
    <row r="368">
      <c r="M368" s="52"/>
      <c r="N368" s="52"/>
      <c r="O368" s="52"/>
      <c r="P368" s="52"/>
      <c r="Q368" s="52"/>
      <c r="U368" s="52"/>
    </row>
    <row r="369">
      <c r="M369" s="52"/>
      <c r="N369" s="52"/>
      <c r="O369" s="52"/>
      <c r="P369" s="52"/>
      <c r="Q369" s="52"/>
      <c r="U369" s="52"/>
    </row>
    <row r="370">
      <c r="M370" s="52"/>
      <c r="N370" s="52"/>
      <c r="O370" s="52"/>
      <c r="P370" s="52"/>
      <c r="Q370" s="52"/>
      <c r="U370" s="52"/>
    </row>
    <row r="371">
      <c r="M371" s="52"/>
      <c r="N371" s="52"/>
      <c r="O371" s="52"/>
      <c r="P371" s="52"/>
      <c r="Q371" s="52"/>
      <c r="U371" s="52"/>
    </row>
    <row r="372">
      <c r="M372" s="52"/>
      <c r="N372" s="52"/>
      <c r="O372" s="52"/>
      <c r="P372" s="52"/>
      <c r="Q372" s="52"/>
      <c r="U372" s="52"/>
    </row>
    <row r="373">
      <c r="M373" s="52"/>
      <c r="N373" s="52"/>
      <c r="O373" s="52"/>
      <c r="P373" s="52"/>
      <c r="Q373" s="52"/>
      <c r="U373" s="52"/>
    </row>
    <row r="374">
      <c r="M374" s="52"/>
      <c r="N374" s="52"/>
      <c r="O374" s="52"/>
      <c r="P374" s="52"/>
      <c r="Q374" s="52"/>
      <c r="U374" s="52"/>
    </row>
    <row r="375">
      <c r="M375" s="52"/>
      <c r="N375" s="52"/>
      <c r="O375" s="52"/>
      <c r="P375" s="52"/>
      <c r="Q375" s="52"/>
      <c r="U375" s="52"/>
    </row>
    <row r="376">
      <c r="M376" s="52"/>
      <c r="N376" s="52"/>
      <c r="O376" s="52"/>
      <c r="P376" s="52"/>
      <c r="Q376" s="52"/>
      <c r="U376" s="52"/>
    </row>
    <row r="377">
      <c r="M377" s="52"/>
      <c r="N377" s="52"/>
      <c r="O377" s="52"/>
      <c r="P377" s="52"/>
      <c r="Q377" s="52"/>
      <c r="U377" s="52"/>
    </row>
    <row r="378">
      <c r="M378" s="52"/>
      <c r="N378" s="52"/>
      <c r="O378" s="52"/>
      <c r="P378" s="52"/>
      <c r="Q378" s="52"/>
      <c r="U378" s="52"/>
    </row>
    <row r="379">
      <c r="M379" s="52"/>
      <c r="N379" s="52"/>
      <c r="O379" s="52"/>
      <c r="P379" s="52"/>
      <c r="Q379" s="52"/>
      <c r="U379" s="52"/>
    </row>
    <row r="380">
      <c r="M380" s="52"/>
      <c r="N380" s="52"/>
      <c r="O380" s="52"/>
      <c r="P380" s="52"/>
      <c r="Q380" s="52"/>
      <c r="U380" s="52"/>
    </row>
    <row r="381">
      <c r="M381" s="52"/>
      <c r="N381" s="52"/>
      <c r="O381" s="52"/>
      <c r="P381" s="52"/>
      <c r="Q381" s="52"/>
      <c r="U381" s="52"/>
    </row>
    <row r="382">
      <c r="M382" s="52"/>
      <c r="N382" s="52"/>
      <c r="O382" s="52"/>
      <c r="P382" s="52"/>
      <c r="Q382" s="52"/>
      <c r="U382" s="52"/>
    </row>
    <row r="383">
      <c r="M383" s="52"/>
      <c r="N383" s="52"/>
      <c r="O383" s="52"/>
      <c r="P383" s="52"/>
      <c r="Q383" s="52"/>
      <c r="U383" s="52"/>
    </row>
    <row r="384">
      <c r="M384" s="52"/>
      <c r="N384" s="52"/>
      <c r="O384" s="52"/>
      <c r="P384" s="52"/>
      <c r="Q384" s="52"/>
      <c r="U384" s="52"/>
    </row>
    <row r="385">
      <c r="M385" s="52"/>
      <c r="N385" s="52"/>
      <c r="O385" s="52"/>
      <c r="P385" s="52"/>
      <c r="Q385" s="52"/>
      <c r="U385" s="52"/>
    </row>
    <row r="386">
      <c r="M386" s="52"/>
      <c r="N386" s="52"/>
      <c r="O386" s="52"/>
      <c r="P386" s="52"/>
      <c r="Q386" s="52"/>
      <c r="U386" s="52"/>
    </row>
    <row r="387">
      <c r="M387" s="52"/>
      <c r="N387" s="52"/>
      <c r="O387" s="52"/>
      <c r="P387" s="52"/>
      <c r="Q387" s="52"/>
      <c r="U387" s="52"/>
    </row>
    <row r="388">
      <c r="M388" s="52"/>
      <c r="N388" s="52"/>
      <c r="O388" s="52"/>
      <c r="P388" s="52"/>
      <c r="Q388" s="52"/>
      <c r="U388" s="52"/>
    </row>
    <row r="389">
      <c r="M389" s="52"/>
      <c r="N389" s="52"/>
      <c r="O389" s="52"/>
      <c r="P389" s="52"/>
      <c r="Q389" s="52"/>
      <c r="U389" s="52"/>
    </row>
    <row r="390">
      <c r="M390" s="52"/>
      <c r="N390" s="52"/>
      <c r="O390" s="52"/>
      <c r="P390" s="52"/>
      <c r="Q390" s="52"/>
      <c r="U390" s="52"/>
    </row>
    <row r="391">
      <c r="M391" s="52"/>
      <c r="N391" s="52"/>
      <c r="O391" s="52"/>
      <c r="P391" s="52"/>
      <c r="Q391" s="52"/>
      <c r="U391" s="52"/>
    </row>
    <row r="392">
      <c r="M392" s="52"/>
      <c r="N392" s="52"/>
      <c r="O392" s="52"/>
      <c r="P392" s="52"/>
      <c r="Q392" s="52"/>
      <c r="U392" s="52"/>
    </row>
    <row r="393">
      <c r="M393" s="52"/>
      <c r="N393" s="52"/>
      <c r="O393" s="52"/>
      <c r="P393" s="52"/>
      <c r="Q393" s="52"/>
      <c r="U393" s="52"/>
    </row>
    <row r="394">
      <c r="M394" s="52"/>
      <c r="N394" s="52"/>
      <c r="O394" s="52"/>
      <c r="P394" s="52"/>
      <c r="Q394" s="52"/>
      <c r="U394" s="52"/>
    </row>
    <row r="395">
      <c r="M395" s="52"/>
      <c r="N395" s="52"/>
      <c r="O395" s="52"/>
      <c r="P395" s="52"/>
      <c r="Q395" s="52"/>
      <c r="U395" s="52"/>
    </row>
    <row r="396">
      <c r="M396" s="52"/>
      <c r="N396" s="52"/>
      <c r="O396" s="52"/>
      <c r="P396" s="52"/>
      <c r="Q396" s="52"/>
      <c r="U396" s="52"/>
    </row>
    <row r="397">
      <c r="M397" s="52"/>
      <c r="N397" s="52"/>
      <c r="O397" s="52"/>
      <c r="P397" s="52"/>
      <c r="Q397" s="52"/>
      <c r="U397" s="52"/>
    </row>
    <row r="398">
      <c r="M398" s="52"/>
      <c r="N398" s="52"/>
      <c r="O398" s="52"/>
      <c r="P398" s="52"/>
      <c r="Q398" s="52"/>
      <c r="U398" s="52"/>
    </row>
    <row r="399">
      <c r="M399" s="52"/>
      <c r="N399" s="52"/>
      <c r="O399" s="52"/>
      <c r="P399" s="52"/>
      <c r="Q399" s="52"/>
      <c r="U399" s="52"/>
    </row>
    <row r="400">
      <c r="M400" s="52"/>
      <c r="N400" s="52"/>
      <c r="O400" s="52"/>
      <c r="P400" s="52"/>
      <c r="Q400" s="52"/>
      <c r="U400" s="52"/>
    </row>
    <row r="401">
      <c r="M401" s="52"/>
      <c r="N401" s="52"/>
      <c r="O401" s="52"/>
      <c r="P401" s="52"/>
      <c r="Q401" s="52"/>
      <c r="U401" s="52"/>
    </row>
    <row r="402">
      <c r="M402" s="52"/>
      <c r="N402" s="52"/>
      <c r="O402" s="52"/>
      <c r="P402" s="52"/>
      <c r="Q402" s="52"/>
      <c r="U402" s="52"/>
    </row>
    <row r="403">
      <c r="M403" s="52"/>
      <c r="N403" s="52"/>
      <c r="O403" s="52"/>
      <c r="P403" s="52"/>
      <c r="Q403" s="52"/>
      <c r="U403" s="52"/>
    </row>
    <row r="404">
      <c r="M404" s="52"/>
      <c r="N404" s="52"/>
      <c r="O404" s="52"/>
      <c r="P404" s="52"/>
      <c r="Q404" s="52"/>
      <c r="U404" s="52"/>
    </row>
    <row r="405">
      <c r="M405" s="52"/>
      <c r="N405" s="52"/>
      <c r="O405" s="52"/>
      <c r="P405" s="52"/>
      <c r="Q405" s="52"/>
      <c r="U405" s="52"/>
    </row>
    <row r="406">
      <c r="M406" s="52"/>
      <c r="N406" s="52"/>
      <c r="O406" s="52"/>
      <c r="P406" s="52"/>
      <c r="Q406" s="52"/>
      <c r="U406" s="52"/>
    </row>
    <row r="407">
      <c r="M407" s="52"/>
      <c r="N407" s="52"/>
      <c r="O407" s="52"/>
      <c r="P407" s="52"/>
      <c r="Q407" s="52"/>
      <c r="U407" s="52"/>
    </row>
    <row r="408">
      <c r="M408" s="52"/>
      <c r="N408" s="52"/>
      <c r="O408" s="52"/>
      <c r="P408" s="52"/>
      <c r="Q408" s="52"/>
      <c r="U408" s="52"/>
    </row>
    <row r="409">
      <c r="M409" s="52"/>
      <c r="N409" s="52"/>
      <c r="O409" s="52"/>
      <c r="P409" s="52"/>
      <c r="Q409" s="52"/>
      <c r="U409" s="52"/>
    </row>
    <row r="410">
      <c r="M410" s="52"/>
      <c r="N410" s="52"/>
      <c r="O410" s="52"/>
      <c r="P410" s="52"/>
      <c r="Q410" s="52"/>
      <c r="U410" s="52"/>
    </row>
    <row r="411">
      <c r="M411" s="52"/>
      <c r="N411" s="52"/>
      <c r="O411" s="52"/>
      <c r="P411" s="52"/>
      <c r="Q411" s="52"/>
      <c r="U411" s="52"/>
    </row>
    <row r="412">
      <c r="M412" s="52"/>
      <c r="N412" s="52"/>
      <c r="O412" s="52"/>
      <c r="P412" s="52"/>
      <c r="Q412" s="52"/>
      <c r="U412" s="52"/>
    </row>
    <row r="413">
      <c r="M413" s="52"/>
      <c r="N413" s="52"/>
      <c r="O413" s="52"/>
      <c r="P413" s="52"/>
      <c r="Q413" s="52"/>
      <c r="U413" s="52"/>
    </row>
    <row r="414">
      <c r="M414" s="52"/>
      <c r="N414" s="52"/>
      <c r="O414" s="52"/>
      <c r="P414" s="52"/>
      <c r="Q414" s="52"/>
      <c r="U414" s="52"/>
    </row>
    <row r="415">
      <c r="M415" s="52"/>
      <c r="N415" s="52"/>
      <c r="O415" s="52"/>
      <c r="P415" s="52"/>
      <c r="Q415" s="52"/>
      <c r="U415" s="52"/>
    </row>
    <row r="416">
      <c r="M416" s="52"/>
      <c r="N416" s="52"/>
      <c r="O416" s="52"/>
      <c r="P416" s="52"/>
      <c r="Q416" s="52"/>
      <c r="U416" s="52"/>
    </row>
    <row r="417">
      <c r="M417" s="52"/>
      <c r="N417" s="52"/>
      <c r="O417" s="52"/>
      <c r="P417" s="52"/>
      <c r="Q417" s="52"/>
      <c r="U417" s="52"/>
    </row>
    <row r="418">
      <c r="M418" s="52"/>
      <c r="N418" s="52"/>
      <c r="O418" s="52"/>
      <c r="P418" s="52"/>
      <c r="Q418" s="52"/>
      <c r="U418" s="52"/>
    </row>
    <row r="419">
      <c r="M419" s="52"/>
      <c r="N419" s="52"/>
      <c r="O419" s="52"/>
      <c r="P419" s="52"/>
      <c r="Q419" s="52"/>
      <c r="U419" s="52"/>
    </row>
    <row r="420">
      <c r="M420" s="52"/>
      <c r="N420" s="52"/>
      <c r="O420" s="52"/>
      <c r="P420" s="52"/>
      <c r="Q420" s="52"/>
      <c r="U420" s="52"/>
    </row>
    <row r="421">
      <c r="M421" s="52"/>
      <c r="N421" s="52"/>
      <c r="O421" s="52"/>
      <c r="P421" s="52"/>
      <c r="Q421" s="52"/>
      <c r="U421" s="52"/>
    </row>
    <row r="422">
      <c r="M422" s="52"/>
      <c r="N422" s="52"/>
      <c r="O422" s="52"/>
      <c r="P422" s="52"/>
      <c r="Q422" s="52"/>
      <c r="U422" s="52"/>
    </row>
    <row r="423">
      <c r="M423" s="52"/>
      <c r="N423" s="52"/>
      <c r="O423" s="52"/>
      <c r="P423" s="52"/>
      <c r="Q423" s="52"/>
      <c r="U423" s="52"/>
    </row>
    <row r="424">
      <c r="M424" s="52"/>
      <c r="N424" s="52"/>
      <c r="O424" s="52"/>
      <c r="P424" s="52"/>
      <c r="Q424" s="52"/>
      <c r="U424" s="52"/>
    </row>
    <row r="425">
      <c r="M425" s="52"/>
      <c r="N425" s="52"/>
      <c r="O425" s="52"/>
      <c r="P425" s="52"/>
      <c r="Q425" s="52"/>
      <c r="U425" s="52"/>
    </row>
    <row r="426">
      <c r="M426" s="52"/>
      <c r="N426" s="52"/>
      <c r="O426" s="52"/>
      <c r="P426" s="52"/>
      <c r="Q426" s="52"/>
      <c r="U426" s="52"/>
    </row>
    <row r="427">
      <c r="M427" s="52"/>
      <c r="N427" s="52"/>
      <c r="O427" s="52"/>
      <c r="P427" s="52"/>
      <c r="Q427" s="52"/>
      <c r="U427" s="52"/>
    </row>
    <row r="428">
      <c r="M428" s="52"/>
      <c r="N428" s="52"/>
      <c r="O428" s="52"/>
      <c r="P428" s="52"/>
      <c r="Q428" s="52"/>
      <c r="U428" s="52"/>
    </row>
    <row r="429">
      <c r="M429" s="52"/>
      <c r="N429" s="52"/>
      <c r="O429" s="52"/>
      <c r="P429" s="52"/>
      <c r="Q429" s="52"/>
      <c r="U429" s="52"/>
    </row>
    <row r="430">
      <c r="M430" s="52"/>
      <c r="N430" s="52"/>
      <c r="O430" s="52"/>
      <c r="P430" s="52"/>
      <c r="Q430" s="52"/>
      <c r="U430" s="52"/>
    </row>
    <row r="431">
      <c r="M431" s="52"/>
      <c r="N431" s="52"/>
      <c r="O431" s="52"/>
      <c r="P431" s="52"/>
      <c r="Q431" s="52"/>
      <c r="U431" s="52"/>
    </row>
    <row r="432">
      <c r="M432" s="52"/>
      <c r="N432" s="52"/>
      <c r="O432" s="52"/>
      <c r="P432" s="52"/>
      <c r="Q432" s="52"/>
      <c r="U432" s="52"/>
    </row>
    <row r="433">
      <c r="M433" s="52"/>
      <c r="N433" s="52"/>
      <c r="O433" s="52"/>
      <c r="P433" s="52"/>
      <c r="Q433" s="52"/>
      <c r="U433" s="52"/>
    </row>
    <row r="434">
      <c r="M434" s="52"/>
      <c r="N434" s="52"/>
      <c r="O434" s="52"/>
      <c r="P434" s="52"/>
      <c r="Q434" s="52"/>
      <c r="U434" s="52"/>
    </row>
    <row r="435">
      <c r="M435" s="52"/>
      <c r="N435" s="52"/>
      <c r="O435" s="52"/>
      <c r="P435" s="52"/>
      <c r="Q435" s="52"/>
      <c r="U435" s="52"/>
    </row>
    <row r="436">
      <c r="M436" s="52"/>
      <c r="N436" s="52"/>
      <c r="O436" s="52"/>
      <c r="P436" s="52"/>
      <c r="Q436" s="52"/>
      <c r="U436" s="52"/>
    </row>
    <row r="437">
      <c r="M437" s="52"/>
      <c r="N437" s="52"/>
      <c r="O437" s="52"/>
      <c r="P437" s="52"/>
      <c r="Q437" s="52"/>
      <c r="U437" s="52"/>
    </row>
    <row r="438">
      <c r="M438" s="52"/>
      <c r="N438" s="52"/>
      <c r="O438" s="52"/>
      <c r="P438" s="52"/>
      <c r="Q438" s="52"/>
      <c r="U438" s="52"/>
    </row>
    <row r="439">
      <c r="M439" s="52"/>
      <c r="N439" s="52"/>
      <c r="O439" s="52"/>
      <c r="P439" s="52"/>
      <c r="Q439" s="52"/>
      <c r="U439" s="52"/>
    </row>
    <row r="440">
      <c r="M440" s="52"/>
      <c r="N440" s="52"/>
      <c r="O440" s="52"/>
      <c r="P440" s="52"/>
      <c r="Q440" s="52"/>
      <c r="U440" s="52"/>
    </row>
    <row r="441">
      <c r="M441" s="52"/>
      <c r="N441" s="52"/>
      <c r="O441" s="52"/>
      <c r="P441" s="52"/>
      <c r="Q441" s="52"/>
      <c r="U441" s="52"/>
    </row>
    <row r="442">
      <c r="M442" s="52"/>
      <c r="N442" s="52"/>
      <c r="O442" s="52"/>
      <c r="P442" s="52"/>
      <c r="Q442" s="52"/>
      <c r="U442" s="52"/>
    </row>
    <row r="443">
      <c r="M443" s="52"/>
      <c r="N443" s="52"/>
      <c r="O443" s="52"/>
      <c r="P443" s="52"/>
      <c r="Q443" s="52"/>
      <c r="U443" s="52"/>
    </row>
    <row r="444">
      <c r="M444" s="52"/>
      <c r="N444" s="52"/>
      <c r="O444" s="52"/>
      <c r="P444" s="52"/>
      <c r="Q444" s="52"/>
      <c r="U444" s="52"/>
    </row>
    <row r="445">
      <c r="M445" s="52"/>
      <c r="N445" s="52"/>
      <c r="O445" s="52"/>
      <c r="P445" s="52"/>
      <c r="Q445" s="52"/>
      <c r="U445" s="52"/>
    </row>
    <row r="446">
      <c r="M446" s="52"/>
      <c r="N446" s="52"/>
      <c r="O446" s="52"/>
      <c r="P446" s="52"/>
      <c r="Q446" s="52"/>
      <c r="U446" s="52"/>
    </row>
    <row r="447">
      <c r="M447" s="52"/>
      <c r="N447" s="52"/>
      <c r="O447" s="52"/>
      <c r="P447" s="52"/>
      <c r="Q447" s="52"/>
      <c r="U447" s="52"/>
    </row>
    <row r="448">
      <c r="M448" s="52"/>
      <c r="N448" s="52"/>
      <c r="O448" s="52"/>
      <c r="P448" s="52"/>
      <c r="Q448" s="52"/>
      <c r="U448" s="52"/>
    </row>
    <row r="449">
      <c r="M449" s="52"/>
      <c r="N449" s="52"/>
      <c r="O449" s="52"/>
      <c r="P449" s="52"/>
      <c r="Q449" s="52"/>
      <c r="U449" s="52"/>
    </row>
    <row r="450">
      <c r="M450" s="52"/>
      <c r="N450" s="52"/>
      <c r="O450" s="52"/>
      <c r="P450" s="52"/>
      <c r="Q450" s="52"/>
      <c r="U450" s="52"/>
    </row>
    <row r="451">
      <c r="M451" s="52"/>
      <c r="N451" s="52"/>
      <c r="O451" s="52"/>
      <c r="P451" s="52"/>
      <c r="Q451" s="52"/>
      <c r="U451" s="52"/>
    </row>
    <row r="452">
      <c r="M452" s="52"/>
      <c r="N452" s="52"/>
      <c r="O452" s="52"/>
      <c r="P452" s="52"/>
      <c r="Q452" s="52"/>
      <c r="U452" s="52"/>
    </row>
    <row r="453">
      <c r="M453" s="52"/>
      <c r="N453" s="52"/>
      <c r="O453" s="52"/>
      <c r="P453" s="52"/>
      <c r="Q453" s="52"/>
      <c r="U453" s="52"/>
    </row>
    <row r="454">
      <c r="M454" s="52"/>
      <c r="N454" s="52"/>
      <c r="O454" s="52"/>
      <c r="P454" s="52"/>
      <c r="Q454" s="52"/>
      <c r="U454" s="52"/>
    </row>
    <row r="455">
      <c r="M455" s="52"/>
      <c r="N455" s="52"/>
      <c r="O455" s="52"/>
      <c r="P455" s="52"/>
      <c r="Q455" s="52"/>
      <c r="U455" s="52"/>
    </row>
    <row r="456">
      <c r="M456" s="52"/>
      <c r="N456" s="52"/>
      <c r="O456" s="52"/>
      <c r="P456" s="52"/>
      <c r="Q456" s="52"/>
      <c r="U456" s="52"/>
    </row>
    <row r="457">
      <c r="M457" s="52"/>
      <c r="N457" s="52"/>
      <c r="O457" s="52"/>
      <c r="P457" s="52"/>
      <c r="Q457" s="52"/>
      <c r="U457" s="52"/>
    </row>
    <row r="458">
      <c r="M458" s="52"/>
      <c r="N458" s="52"/>
      <c r="O458" s="52"/>
      <c r="P458" s="52"/>
      <c r="Q458" s="52"/>
      <c r="U458" s="52"/>
    </row>
    <row r="459">
      <c r="M459" s="52"/>
      <c r="N459" s="52"/>
      <c r="O459" s="52"/>
      <c r="P459" s="52"/>
      <c r="Q459" s="52"/>
      <c r="U459" s="52"/>
    </row>
    <row r="460">
      <c r="M460" s="52"/>
      <c r="N460" s="52"/>
      <c r="O460" s="52"/>
      <c r="P460" s="52"/>
      <c r="Q460" s="52"/>
      <c r="U460" s="52"/>
    </row>
    <row r="461">
      <c r="M461" s="52"/>
      <c r="N461" s="52"/>
      <c r="O461" s="52"/>
      <c r="P461" s="52"/>
      <c r="Q461" s="52"/>
      <c r="U461" s="52"/>
    </row>
    <row r="462">
      <c r="M462" s="52"/>
      <c r="N462" s="52"/>
      <c r="O462" s="52"/>
      <c r="P462" s="52"/>
      <c r="Q462" s="52"/>
      <c r="U462" s="52"/>
    </row>
    <row r="463">
      <c r="M463" s="52"/>
      <c r="N463" s="52"/>
      <c r="O463" s="52"/>
      <c r="P463" s="52"/>
      <c r="Q463" s="52"/>
      <c r="U463" s="52"/>
    </row>
    <row r="464">
      <c r="M464" s="52"/>
      <c r="N464" s="52"/>
      <c r="O464" s="52"/>
      <c r="P464" s="52"/>
      <c r="Q464" s="52"/>
      <c r="U464" s="52"/>
    </row>
    <row r="465">
      <c r="M465" s="52"/>
      <c r="N465" s="52"/>
      <c r="O465" s="52"/>
      <c r="P465" s="52"/>
      <c r="Q465" s="52"/>
      <c r="U465" s="52"/>
    </row>
    <row r="466">
      <c r="M466" s="52"/>
      <c r="N466" s="52"/>
      <c r="O466" s="52"/>
      <c r="P466" s="52"/>
      <c r="Q466" s="52"/>
      <c r="U466" s="52"/>
    </row>
    <row r="467">
      <c r="M467" s="52"/>
      <c r="N467" s="52"/>
      <c r="O467" s="52"/>
      <c r="P467" s="52"/>
      <c r="Q467" s="52"/>
      <c r="U467" s="52"/>
    </row>
    <row r="468">
      <c r="M468" s="52"/>
      <c r="N468" s="52"/>
      <c r="O468" s="52"/>
      <c r="P468" s="52"/>
      <c r="Q468" s="52"/>
      <c r="U468" s="52"/>
    </row>
    <row r="469">
      <c r="M469" s="52"/>
      <c r="N469" s="52"/>
      <c r="O469" s="52"/>
      <c r="P469" s="52"/>
      <c r="Q469" s="52"/>
      <c r="U469" s="52"/>
    </row>
    <row r="470">
      <c r="M470" s="52"/>
      <c r="N470" s="52"/>
      <c r="O470" s="52"/>
      <c r="P470" s="52"/>
      <c r="Q470" s="52"/>
      <c r="U470" s="52"/>
    </row>
    <row r="471">
      <c r="M471" s="52"/>
      <c r="N471" s="52"/>
      <c r="O471" s="52"/>
      <c r="P471" s="52"/>
      <c r="Q471" s="52"/>
      <c r="U471" s="52"/>
    </row>
    <row r="472">
      <c r="M472" s="52"/>
      <c r="N472" s="52"/>
      <c r="O472" s="52"/>
      <c r="P472" s="52"/>
      <c r="Q472" s="52"/>
      <c r="U472" s="52"/>
    </row>
    <row r="473">
      <c r="M473" s="52"/>
      <c r="N473" s="52"/>
      <c r="O473" s="52"/>
      <c r="P473" s="52"/>
      <c r="Q473" s="52"/>
      <c r="U473" s="52"/>
    </row>
    <row r="474">
      <c r="M474" s="52"/>
      <c r="N474" s="52"/>
      <c r="O474" s="52"/>
      <c r="P474" s="52"/>
      <c r="Q474" s="52"/>
      <c r="U474" s="52"/>
    </row>
    <row r="475">
      <c r="M475" s="52"/>
      <c r="N475" s="52"/>
      <c r="O475" s="52"/>
      <c r="P475" s="52"/>
      <c r="Q475" s="52"/>
      <c r="U475" s="52"/>
    </row>
    <row r="476">
      <c r="M476" s="52"/>
      <c r="N476" s="52"/>
      <c r="O476" s="52"/>
      <c r="P476" s="52"/>
      <c r="Q476" s="52"/>
      <c r="U476" s="52"/>
    </row>
    <row r="477">
      <c r="M477" s="52"/>
      <c r="N477" s="52"/>
      <c r="O477" s="52"/>
      <c r="P477" s="52"/>
      <c r="Q477" s="52"/>
      <c r="U477" s="52"/>
    </row>
    <row r="478">
      <c r="M478" s="52"/>
      <c r="N478" s="52"/>
      <c r="O478" s="52"/>
      <c r="P478" s="52"/>
      <c r="Q478" s="52"/>
      <c r="U478" s="52"/>
    </row>
    <row r="479">
      <c r="M479" s="52"/>
      <c r="N479" s="52"/>
      <c r="O479" s="52"/>
      <c r="P479" s="52"/>
      <c r="Q479" s="52"/>
      <c r="U479" s="52"/>
    </row>
    <row r="480">
      <c r="M480" s="52"/>
      <c r="N480" s="52"/>
      <c r="O480" s="52"/>
      <c r="P480" s="52"/>
      <c r="Q480" s="52"/>
      <c r="U480" s="52"/>
    </row>
    <row r="481">
      <c r="M481" s="52"/>
      <c r="N481" s="52"/>
      <c r="O481" s="52"/>
      <c r="P481" s="52"/>
      <c r="Q481" s="52"/>
      <c r="U481" s="52"/>
    </row>
    <row r="482">
      <c r="M482" s="52"/>
      <c r="N482" s="52"/>
      <c r="O482" s="52"/>
      <c r="P482" s="52"/>
      <c r="Q482" s="52"/>
      <c r="U482" s="52"/>
    </row>
    <row r="483">
      <c r="M483" s="52"/>
      <c r="N483" s="52"/>
      <c r="O483" s="52"/>
      <c r="P483" s="52"/>
      <c r="Q483" s="52"/>
      <c r="U483" s="52"/>
    </row>
    <row r="484">
      <c r="M484" s="52"/>
      <c r="N484" s="52"/>
      <c r="O484" s="52"/>
      <c r="P484" s="52"/>
      <c r="Q484" s="52"/>
      <c r="U484" s="52"/>
    </row>
    <row r="485">
      <c r="M485" s="52"/>
      <c r="N485" s="52"/>
      <c r="O485" s="52"/>
      <c r="P485" s="52"/>
      <c r="Q485" s="52"/>
      <c r="U485" s="52"/>
    </row>
    <row r="486">
      <c r="M486" s="52"/>
      <c r="N486" s="52"/>
      <c r="O486" s="52"/>
      <c r="P486" s="52"/>
      <c r="Q486" s="52"/>
      <c r="U486" s="52"/>
    </row>
    <row r="487">
      <c r="M487" s="52"/>
      <c r="N487" s="52"/>
      <c r="O487" s="52"/>
      <c r="P487" s="52"/>
      <c r="Q487" s="52"/>
      <c r="U487" s="52"/>
    </row>
    <row r="488">
      <c r="M488" s="52"/>
      <c r="N488" s="52"/>
      <c r="O488" s="52"/>
      <c r="P488" s="52"/>
      <c r="Q488" s="52"/>
      <c r="U488" s="52"/>
    </row>
    <row r="489">
      <c r="M489" s="52"/>
      <c r="N489" s="52"/>
      <c r="O489" s="52"/>
      <c r="P489" s="52"/>
      <c r="Q489" s="52"/>
      <c r="U489" s="52"/>
    </row>
    <row r="490">
      <c r="M490" s="52"/>
      <c r="N490" s="52"/>
      <c r="O490" s="52"/>
      <c r="P490" s="52"/>
      <c r="Q490" s="52"/>
      <c r="U490" s="52"/>
    </row>
    <row r="491">
      <c r="M491" s="52"/>
      <c r="N491" s="52"/>
      <c r="O491" s="52"/>
      <c r="P491" s="52"/>
      <c r="Q491" s="52"/>
      <c r="U491" s="52"/>
    </row>
    <row r="492">
      <c r="M492" s="52"/>
      <c r="N492" s="52"/>
      <c r="O492" s="52"/>
      <c r="P492" s="52"/>
      <c r="Q492" s="52"/>
      <c r="U492" s="52"/>
    </row>
    <row r="493">
      <c r="M493" s="52"/>
      <c r="N493" s="52"/>
      <c r="O493" s="52"/>
      <c r="P493" s="52"/>
      <c r="Q493" s="52"/>
      <c r="U493" s="52"/>
    </row>
    <row r="494">
      <c r="M494" s="52"/>
      <c r="N494" s="52"/>
      <c r="O494" s="52"/>
      <c r="P494" s="52"/>
      <c r="Q494" s="52"/>
      <c r="U494" s="52"/>
    </row>
    <row r="495">
      <c r="M495" s="52"/>
      <c r="N495" s="52"/>
      <c r="O495" s="52"/>
      <c r="P495" s="52"/>
      <c r="Q495" s="52"/>
      <c r="U495" s="52"/>
    </row>
    <row r="496">
      <c r="M496" s="52"/>
      <c r="N496" s="52"/>
      <c r="O496" s="52"/>
      <c r="P496" s="52"/>
      <c r="Q496" s="52"/>
      <c r="U496" s="52"/>
    </row>
    <row r="497">
      <c r="M497" s="52"/>
      <c r="N497" s="52"/>
      <c r="O497" s="52"/>
      <c r="P497" s="52"/>
      <c r="Q497" s="52"/>
      <c r="U497" s="52"/>
    </row>
    <row r="498">
      <c r="M498" s="52"/>
      <c r="N498" s="52"/>
      <c r="O498" s="52"/>
      <c r="P498" s="52"/>
      <c r="Q498" s="52"/>
      <c r="U498" s="52"/>
    </row>
    <row r="499">
      <c r="M499" s="52"/>
      <c r="N499" s="52"/>
      <c r="O499" s="52"/>
      <c r="P499" s="52"/>
      <c r="Q499" s="52"/>
      <c r="U499" s="52"/>
    </row>
    <row r="500">
      <c r="M500" s="52"/>
      <c r="N500" s="52"/>
      <c r="O500" s="52"/>
      <c r="P500" s="52"/>
      <c r="Q500" s="52"/>
      <c r="U500" s="52"/>
    </row>
    <row r="501">
      <c r="M501" s="52"/>
      <c r="N501" s="52"/>
      <c r="O501" s="52"/>
      <c r="P501" s="52"/>
      <c r="Q501" s="52"/>
      <c r="U501" s="52"/>
    </row>
    <row r="502">
      <c r="M502" s="52"/>
      <c r="N502" s="52"/>
      <c r="O502" s="52"/>
      <c r="P502" s="52"/>
      <c r="Q502" s="52"/>
      <c r="U502" s="52"/>
    </row>
    <row r="503">
      <c r="M503" s="52"/>
      <c r="N503" s="52"/>
      <c r="O503" s="52"/>
      <c r="P503" s="52"/>
      <c r="Q503" s="52"/>
      <c r="U503" s="52"/>
    </row>
    <row r="504">
      <c r="M504" s="52"/>
      <c r="N504" s="52"/>
      <c r="O504" s="52"/>
      <c r="P504" s="52"/>
      <c r="Q504" s="52"/>
      <c r="U504" s="52"/>
    </row>
    <row r="505">
      <c r="M505" s="52"/>
      <c r="N505" s="52"/>
      <c r="O505" s="52"/>
      <c r="P505" s="52"/>
      <c r="Q505" s="52"/>
      <c r="U505" s="52"/>
    </row>
    <row r="506">
      <c r="M506" s="52"/>
      <c r="N506" s="52"/>
      <c r="O506" s="52"/>
      <c r="P506" s="52"/>
      <c r="Q506" s="52"/>
      <c r="U506" s="52"/>
    </row>
    <row r="507">
      <c r="M507" s="52"/>
      <c r="N507" s="52"/>
      <c r="O507" s="52"/>
      <c r="P507" s="52"/>
      <c r="Q507" s="52"/>
      <c r="U507" s="52"/>
    </row>
    <row r="508">
      <c r="M508" s="52"/>
      <c r="N508" s="52"/>
      <c r="O508" s="52"/>
      <c r="P508" s="52"/>
      <c r="Q508" s="52"/>
      <c r="U508" s="52"/>
    </row>
    <row r="509">
      <c r="M509" s="52"/>
      <c r="N509" s="52"/>
      <c r="O509" s="52"/>
      <c r="P509" s="52"/>
      <c r="Q509" s="52"/>
      <c r="U509" s="52"/>
    </row>
    <row r="510">
      <c r="M510" s="52"/>
      <c r="N510" s="52"/>
      <c r="O510" s="52"/>
      <c r="P510" s="52"/>
      <c r="Q510" s="52"/>
      <c r="U510" s="52"/>
    </row>
    <row r="511">
      <c r="M511" s="52"/>
      <c r="N511" s="52"/>
      <c r="O511" s="52"/>
      <c r="P511" s="52"/>
      <c r="Q511" s="52"/>
      <c r="U511" s="52"/>
    </row>
    <row r="512">
      <c r="M512" s="52"/>
      <c r="N512" s="52"/>
      <c r="O512" s="52"/>
      <c r="P512" s="52"/>
      <c r="Q512" s="52"/>
      <c r="U512" s="52"/>
    </row>
    <row r="513">
      <c r="M513" s="52"/>
      <c r="N513" s="52"/>
      <c r="O513" s="52"/>
      <c r="P513" s="52"/>
      <c r="Q513" s="52"/>
      <c r="U513" s="52"/>
    </row>
    <row r="514">
      <c r="M514" s="52"/>
      <c r="N514" s="52"/>
      <c r="O514" s="52"/>
      <c r="P514" s="52"/>
      <c r="Q514" s="52"/>
      <c r="U514" s="52"/>
    </row>
    <row r="515">
      <c r="M515" s="52"/>
      <c r="N515" s="52"/>
      <c r="O515" s="52"/>
      <c r="P515" s="52"/>
      <c r="Q515" s="52"/>
      <c r="U515" s="52"/>
    </row>
    <row r="516">
      <c r="M516" s="52"/>
      <c r="N516" s="52"/>
      <c r="O516" s="52"/>
      <c r="P516" s="52"/>
      <c r="Q516" s="52"/>
      <c r="U516" s="52"/>
    </row>
    <row r="517">
      <c r="M517" s="52"/>
      <c r="N517" s="52"/>
      <c r="O517" s="52"/>
      <c r="P517" s="52"/>
      <c r="Q517" s="52"/>
      <c r="U517" s="52"/>
    </row>
    <row r="518">
      <c r="M518" s="52"/>
      <c r="N518" s="52"/>
      <c r="O518" s="52"/>
      <c r="P518" s="52"/>
      <c r="Q518" s="52"/>
      <c r="U518" s="52"/>
    </row>
    <row r="519">
      <c r="M519" s="52"/>
      <c r="N519" s="52"/>
      <c r="O519" s="52"/>
      <c r="P519" s="52"/>
      <c r="Q519" s="52"/>
      <c r="U519" s="52"/>
    </row>
    <row r="520">
      <c r="M520" s="52"/>
      <c r="N520" s="52"/>
      <c r="O520" s="52"/>
      <c r="P520" s="52"/>
      <c r="Q520" s="52"/>
      <c r="U520" s="52"/>
    </row>
    <row r="521">
      <c r="M521" s="52"/>
      <c r="N521" s="52"/>
      <c r="O521" s="52"/>
      <c r="P521" s="52"/>
      <c r="Q521" s="52"/>
      <c r="U521" s="52"/>
    </row>
    <row r="522">
      <c r="M522" s="52"/>
      <c r="N522" s="52"/>
      <c r="O522" s="52"/>
      <c r="P522" s="52"/>
      <c r="Q522" s="52"/>
      <c r="U522" s="52"/>
    </row>
    <row r="523">
      <c r="M523" s="52"/>
      <c r="N523" s="52"/>
      <c r="O523" s="52"/>
      <c r="P523" s="52"/>
      <c r="Q523" s="52"/>
      <c r="U523" s="52"/>
    </row>
    <row r="524">
      <c r="M524" s="52"/>
      <c r="N524" s="52"/>
      <c r="O524" s="52"/>
      <c r="P524" s="52"/>
      <c r="Q524" s="52"/>
      <c r="U524" s="52"/>
    </row>
    <row r="525">
      <c r="M525" s="52"/>
      <c r="N525" s="52"/>
      <c r="O525" s="52"/>
      <c r="P525" s="52"/>
      <c r="Q525" s="52"/>
      <c r="U525" s="52"/>
    </row>
    <row r="526">
      <c r="M526" s="52"/>
      <c r="N526" s="52"/>
      <c r="O526" s="52"/>
      <c r="P526" s="52"/>
      <c r="Q526" s="52"/>
      <c r="U526" s="52"/>
    </row>
    <row r="527">
      <c r="M527" s="52"/>
      <c r="N527" s="52"/>
      <c r="O527" s="52"/>
      <c r="P527" s="52"/>
      <c r="Q527" s="52"/>
      <c r="U527" s="52"/>
    </row>
    <row r="528">
      <c r="M528" s="52"/>
      <c r="N528" s="52"/>
      <c r="O528" s="52"/>
      <c r="P528" s="52"/>
      <c r="Q528" s="52"/>
      <c r="U528" s="52"/>
    </row>
    <row r="529">
      <c r="M529" s="52"/>
      <c r="N529" s="52"/>
      <c r="O529" s="52"/>
      <c r="P529" s="52"/>
      <c r="Q529" s="52"/>
      <c r="U529" s="52"/>
    </row>
    <row r="530">
      <c r="M530" s="52"/>
      <c r="N530" s="52"/>
      <c r="O530" s="52"/>
      <c r="P530" s="52"/>
      <c r="Q530" s="52"/>
      <c r="U530" s="52"/>
    </row>
    <row r="531">
      <c r="M531" s="52"/>
      <c r="N531" s="52"/>
      <c r="O531" s="52"/>
      <c r="P531" s="52"/>
      <c r="Q531" s="52"/>
      <c r="U531" s="52"/>
    </row>
    <row r="532">
      <c r="M532" s="52"/>
      <c r="N532" s="52"/>
      <c r="O532" s="52"/>
      <c r="P532" s="52"/>
      <c r="Q532" s="52"/>
      <c r="U532" s="52"/>
    </row>
    <row r="533">
      <c r="M533" s="52"/>
      <c r="N533" s="52"/>
      <c r="O533" s="52"/>
      <c r="P533" s="52"/>
      <c r="Q533" s="52"/>
      <c r="U533" s="52"/>
    </row>
    <row r="534">
      <c r="M534" s="52"/>
      <c r="N534" s="52"/>
      <c r="O534" s="52"/>
      <c r="P534" s="52"/>
      <c r="Q534" s="52"/>
      <c r="U534" s="52"/>
    </row>
    <row r="535">
      <c r="M535" s="52"/>
      <c r="N535" s="52"/>
      <c r="O535" s="52"/>
      <c r="P535" s="52"/>
      <c r="Q535" s="52"/>
      <c r="U535" s="52"/>
    </row>
    <row r="536">
      <c r="M536" s="52"/>
      <c r="N536" s="52"/>
      <c r="O536" s="52"/>
      <c r="P536" s="52"/>
      <c r="Q536" s="52"/>
      <c r="U536" s="52"/>
    </row>
    <row r="537">
      <c r="M537" s="52"/>
      <c r="N537" s="52"/>
      <c r="O537" s="52"/>
      <c r="P537" s="52"/>
      <c r="Q537" s="52"/>
      <c r="U537" s="52"/>
    </row>
    <row r="538">
      <c r="M538" s="52"/>
      <c r="N538" s="52"/>
      <c r="O538" s="52"/>
      <c r="P538" s="52"/>
      <c r="Q538" s="52"/>
      <c r="U538" s="52"/>
    </row>
    <row r="539">
      <c r="M539" s="52"/>
      <c r="N539" s="52"/>
      <c r="O539" s="52"/>
      <c r="P539" s="52"/>
      <c r="Q539" s="52"/>
      <c r="U539" s="52"/>
    </row>
    <row r="540">
      <c r="M540" s="52"/>
      <c r="N540" s="52"/>
      <c r="O540" s="52"/>
      <c r="P540" s="52"/>
      <c r="Q540" s="52"/>
      <c r="U540" s="52"/>
    </row>
    <row r="541">
      <c r="M541" s="52"/>
      <c r="N541" s="52"/>
      <c r="O541" s="52"/>
      <c r="P541" s="52"/>
      <c r="Q541" s="52"/>
      <c r="U541" s="52"/>
    </row>
    <row r="542">
      <c r="M542" s="52"/>
      <c r="N542" s="52"/>
      <c r="O542" s="52"/>
      <c r="P542" s="52"/>
      <c r="Q542" s="52"/>
      <c r="U542" s="52"/>
    </row>
    <row r="543">
      <c r="M543" s="52"/>
      <c r="N543" s="52"/>
      <c r="O543" s="52"/>
      <c r="P543" s="52"/>
      <c r="Q543" s="52"/>
      <c r="U543" s="52"/>
    </row>
    <row r="544">
      <c r="M544" s="52"/>
      <c r="N544" s="52"/>
      <c r="O544" s="52"/>
      <c r="P544" s="52"/>
      <c r="Q544" s="52"/>
      <c r="U544" s="52"/>
    </row>
    <row r="545">
      <c r="M545" s="52"/>
      <c r="N545" s="52"/>
      <c r="O545" s="52"/>
      <c r="P545" s="52"/>
      <c r="Q545" s="52"/>
      <c r="U545" s="52"/>
    </row>
    <row r="546">
      <c r="M546" s="52"/>
      <c r="N546" s="52"/>
      <c r="O546" s="52"/>
      <c r="P546" s="52"/>
      <c r="Q546" s="52"/>
      <c r="U546" s="52"/>
    </row>
    <row r="547">
      <c r="M547" s="52"/>
      <c r="N547" s="52"/>
      <c r="O547" s="52"/>
      <c r="P547" s="52"/>
      <c r="Q547" s="52"/>
      <c r="U547" s="52"/>
    </row>
    <row r="548">
      <c r="M548" s="52"/>
      <c r="N548" s="52"/>
      <c r="O548" s="52"/>
      <c r="P548" s="52"/>
      <c r="Q548" s="52"/>
      <c r="U548" s="52"/>
    </row>
    <row r="549">
      <c r="M549" s="52"/>
      <c r="N549" s="52"/>
      <c r="O549" s="52"/>
      <c r="P549" s="52"/>
      <c r="Q549" s="52"/>
      <c r="U549" s="52"/>
    </row>
    <row r="550">
      <c r="M550" s="52"/>
      <c r="N550" s="52"/>
      <c r="O550" s="52"/>
      <c r="P550" s="52"/>
      <c r="Q550" s="52"/>
      <c r="U550" s="52"/>
    </row>
    <row r="551">
      <c r="M551" s="52"/>
      <c r="N551" s="52"/>
      <c r="O551" s="52"/>
      <c r="P551" s="52"/>
      <c r="Q551" s="52"/>
      <c r="U551" s="52"/>
    </row>
    <row r="552">
      <c r="M552" s="52"/>
      <c r="N552" s="52"/>
      <c r="O552" s="52"/>
      <c r="P552" s="52"/>
      <c r="Q552" s="52"/>
      <c r="U552" s="52"/>
    </row>
    <row r="553">
      <c r="M553" s="52"/>
      <c r="N553" s="52"/>
      <c r="O553" s="52"/>
      <c r="P553" s="52"/>
      <c r="Q553" s="52"/>
      <c r="U553" s="52"/>
    </row>
    <row r="554">
      <c r="M554" s="52"/>
      <c r="N554" s="52"/>
      <c r="O554" s="52"/>
      <c r="P554" s="52"/>
      <c r="Q554" s="52"/>
      <c r="U554" s="52"/>
    </row>
    <row r="555">
      <c r="M555" s="52"/>
      <c r="N555" s="52"/>
      <c r="O555" s="52"/>
      <c r="P555" s="52"/>
      <c r="Q555" s="52"/>
      <c r="U555" s="52"/>
    </row>
    <row r="556">
      <c r="M556" s="52"/>
      <c r="N556" s="52"/>
      <c r="O556" s="52"/>
      <c r="P556" s="52"/>
      <c r="Q556" s="52"/>
      <c r="U556" s="52"/>
    </row>
    <row r="557">
      <c r="M557" s="52"/>
      <c r="N557" s="52"/>
      <c r="O557" s="52"/>
      <c r="P557" s="52"/>
      <c r="Q557" s="52"/>
      <c r="U557" s="52"/>
    </row>
    <row r="558">
      <c r="M558" s="52"/>
      <c r="N558" s="52"/>
      <c r="O558" s="52"/>
      <c r="P558" s="52"/>
      <c r="Q558" s="52"/>
      <c r="U558" s="52"/>
    </row>
    <row r="559">
      <c r="M559" s="52"/>
      <c r="N559" s="52"/>
      <c r="O559" s="52"/>
      <c r="P559" s="52"/>
      <c r="Q559" s="52"/>
      <c r="U559" s="52"/>
    </row>
    <row r="560">
      <c r="M560" s="52"/>
      <c r="N560" s="52"/>
      <c r="O560" s="52"/>
      <c r="P560" s="52"/>
      <c r="Q560" s="52"/>
      <c r="U560" s="52"/>
    </row>
    <row r="561">
      <c r="M561" s="52"/>
      <c r="N561" s="52"/>
      <c r="O561" s="52"/>
      <c r="P561" s="52"/>
      <c r="Q561" s="52"/>
      <c r="U561" s="52"/>
    </row>
    <row r="562">
      <c r="M562" s="52"/>
      <c r="N562" s="52"/>
      <c r="O562" s="52"/>
      <c r="P562" s="52"/>
      <c r="Q562" s="52"/>
      <c r="U562" s="52"/>
    </row>
    <row r="563">
      <c r="M563" s="52"/>
      <c r="N563" s="52"/>
      <c r="O563" s="52"/>
      <c r="P563" s="52"/>
      <c r="Q563" s="52"/>
      <c r="U563" s="52"/>
    </row>
    <row r="564">
      <c r="M564" s="52"/>
      <c r="N564" s="52"/>
      <c r="O564" s="52"/>
      <c r="P564" s="52"/>
      <c r="Q564" s="52"/>
      <c r="U564" s="52"/>
    </row>
    <row r="565">
      <c r="M565" s="52"/>
      <c r="N565" s="52"/>
      <c r="O565" s="52"/>
      <c r="P565" s="52"/>
      <c r="Q565" s="52"/>
      <c r="U565" s="52"/>
    </row>
    <row r="566">
      <c r="M566" s="52"/>
      <c r="N566" s="52"/>
      <c r="O566" s="52"/>
      <c r="P566" s="52"/>
      <c r="Q566" s="52"/>
      <c r="U566" s="52"/>
    </row>
    <row r="567">
      <c r="M567" s="52"/>
      <c r="N567" s="52"/>
      <c r="O567" s="52"/>
      <c r="P567" s="52"/>
      <c r="Q567" s="52"/>
      <c r="U567" s="52"/>
    </row>
    <row r="568">
      <c r="M568" s="52"/>
      <c r="N568" s="52"/>
      <c r="O568" s="52"/>
      <c r="P568" s="52"/>
      <c r="Q568" s="52"/>
      <c r="U568" s="52"/>
    </row>
    <row r="569">
      <c r="M569" s="52"/>
      <c r="N569" s="52"/>
      <c r="O569" s="52"/>
      <c r="P569" s="52"/>
      <c r="Q569" s="52"/>
      <c r="U569" s="52"/>
    </row>
    <row r="570">
      <c r="M570" s="52"/>
      <c r="N570" s="52"/>
      <c r="O570" s="52"/>
      <c r="P570" s="52"/>
      <c r="Q570" s="52"/>
      <c r="U570" s="52"/>
    </row>
    <row r="571">
      <c r="M571" s="52"/>
      <c r="N571" s="52"/>
      <c r="O571" s="52"/>
      <c r="P571" s="52"/>
      <c r="Q571" s="52"/>
      <c r="U571" s="52"/>
    </row>
    <row r="572">
      <c r="M572" s="52"/>
      <c r="N572" s="52"/>
      <c r="O572" s="52"/>
      <c r="P572" s="52"/>
      <c r="Q572" s="52"/>
      <c r="U572" s="52"/>
    </row>
    <row r="573">
      <c r="M573" s="52"/>
      <c r="N573" s="52"/>
      <c r="O573" s="52"/>
      <c r="P573" s="52"/>
      <c r="Q573" s="52"/>
      <c r="U573" s="52"/>
    </row>
    <row r="574">
      <c r="M574" s="52"/>
      <c r="N574" s="52"/>
      <c r="O574" s="52"/>
      <c r="P574" s="52"/>
      <c r="Q574" s="52"/>
      <c r="U574" s="52"/>
    </row>
    <row r="575">
      <c r="M575" s="52"/>
      <c r="N575" s="52"/>
      <c r="O575" s="52"/>
      <c r="P575" s="52"/>
      <c r="Q575" s="52"/>
      <c r="U575" s="52"/>
    </row>
    <row r="576">
      <c r="M576" s="52"/>
      <c r="N576" s="52"/>
      <c r="O576" s="52"/>
      <c r="P576" s="52"/>
      <c r="Q576" s="52"/>
      <c r="U576" s="52"/>
    </row>
    <row r="577">
      <c r="M577" s="52"/>
      <c r="N577" s="52"/>
      <c r="O577" s="52"/>
      <c r="P577" s="52"/>
      <c r="Q577" s="52"/>
      <c r="U577" s="52"/>
    </row>
    <row r="578">
      <c r="M578" s="52"/>
      <c r="N578" s="52"/>
      <c r="O578" s="52"/>
      <c r="P578" s="52"/>
      <c r="Q578" s="52"/>
      <c r="U578" s="52"/>
    </row>
    <row r="579">
      <c r="M579" s="52"/>
      <c r="N579" s="52"/>
      <c r="O579" s="52"/>
      <c r="P579" s="52"/>
      <c r="Q579" s="52"/>
      <c r="U579" s="52"/>
    </row>
    <row r="580">
      <c r="M580" s="52"/>
      <c r="N580" s="52"/>
      <c r="O580" s="52"/>
      <c r="P580" s="52"/>
      <c r="Q580" s="52"/>
      <c r="U580" s="52"/>
    </row>
    <row r="581">
      <c r="M581" s="52"/>
      <c r="N581" s="52"/>
      <c r="O581" s="52"/>
      <c r="P581" s="52"/>
      <c r="Q581" s="52"/>
      <c r="U581" s="52"/>
    </row>
    <row r="582">
      <c r="M582" s="52"/>
      <c r="N582" s="52"/>
      <c r="O582" s="52"/>
      <c r="P582" s="52"/>
      <c r="Q582" s="52"/>
      <c r="U582" s="52"/>
    </row>
    <row r="583">
      <c r="M583" s="52"/>
      <c r="N583" s="52"/>
      <c r="O583" s="52"/>
      <c r="P583" s="52"/>
      <c r="Q583" s="52"/>
      <c r="U583" s="52"/>
    </row>
    <row r="584">
      <c r="M584" s="52"/>
      <c r="N584" s="52"/>
      <c r="O584" s="52"/>
      <c r="P584" s="52"/>
      <c r="Q584" s="52"/>
      <c r="U584" s="52"/>
    </row>
    <row r="585">
      <c r="M585" s="52"/>
      <c r="N585" s="52"/>
      <c r="O585" s="52"/>
      <c r="P585" s="52"/>
      <c r="Q585" s="52"/>
      <c r="U585" s="52"/>
    </row>
    <row r="586">
      <c r="M586" s="52"/>
      <c r="N586" s="52"/>
      <c r="O586" s="52"/>
      <c r="P586" s="52"/>
      <c r="Q586" s="52"/>
      <c r="U586" s="52"/>
    </row>
    <row r="587">
      <c r="M587" s="52"/>
      <c r="N587" s="52"/>
      <c r="O587" s="52"/>
      <c r="P587" s="52"/>
      <c r="Q587" s="52"/>
      <c r="U587" s="52"/>
    </row>
    <row r="588">
      <c r="M588" s="52"/>
      <c r="N588" s="52"/>
      <c r="O588" s="52"/>
      <c r="P588" s="52"/>
      <c r="Q588" s="52"/>
      <c r="U588" s="52"/>
    </row>
    <row r="589">
      <c r="M589" s="52"/>
      <c r="N589" s="52"/>
      <c r="O589" s="52"/>
      <c r="P589" s="52"/>
      <c r="Q589" s="52"/>
      <c r="U589" s="52"/>
    </row>
    <row r="590">
      <c r="M590" s="52"/>
      <c r="N590" s="52"/>
      <c r="O590" s="52"/>
      <c r="P590" s="52"/>
      <c r="Q590" s="52"/>
      <c r="U590" s="52"/>
    </row>
    <row r="591">
      <c r="M591" s="52"/>
      <c r="N591" s="52"/>
      <c r="O591" s="52"/>
      <c r="P591" s="52"/>
      <c r="Q591" s="52"/>
      <c r="U591" s="52"/>
    </row>
    <row r="592">
      <c r="M592" s="52"/>
      <c r="N592" s="52"/>
      <c r="O592" s="52"/>
      <c r="P592" s="52"/>
      <c r="Q592" s="52"/>
      <c r="U592" s="52"/>
    </row>
    <row r="593">
      <c r="M593" s="52"/>
      <c r="N593" s="52"/>
      <c r="O593" s="52"/>
      <c r="P593" s="52"/>
      <c r="Q593" s="52"/>
      <c r="U593" s="52"/>
    </row>
    <row r="594">
      <c r="M594" s="52"/>
      <c r="N594" s="52"/>
      <c r="O594" s="52"/>
      <c r="P594" s="52"/>
      <c r="Q594" s="52"/>
      <c r="U594" s="52"/>
    </row>
    <row r="595">
      <c r="M595" s="52"/>
      <c r="N595" s="52"/>
      <c r="O595" s="52"/>
      <c r="P595" s="52"/>
      <c r="Q595" s="52"/>
      <c r="U595" s="52"/>
    </row>
    <row r="596">
      <c r="M596" s="52"/>
      <c r="N596" s="52"/>
      <c r="O596" s="52"/>
      <c r="P596" s="52"/>
      <c r="Q596" s="52"/>
      <c r="U596" s="52"/>
    </row>
    <row r="597">
      <c r="M597" s="52"/>
      <c r="N597" s="52"/>
      <c r="O597" s="52"/>
      <c r="P597" s="52"/>
      <c r="Q597" s="52"/>
      <c r="U597" s="52"/>
    </row>
    <row r="598">
      <c r="M598" s="52"/>
      <c r="N598" s="52"/>
      <c r="O598" s="52"/>
      <c r="P598" s="52"/>
      <c r="Q598" s="52"/>
      <c r="U598" s="52"/>
    </row>
    <row r="599">
      <c r="M599" s="52"/>
      <c r="N599" s="52"/>
      <c r="O599" s="52"/>
      <c r="P599" s="52"/>
      <c r="Q599" s="52"/>
      <c r="U599" s="52"/>
    </row>
    <row r="600">
      <c r="M600" s="52"/>
      <c r="N600" s="52"/>
      <c r="O600" s="52"/>
      <c r="P600" s="52"/>
      <c r="Q600" s="52"/>
      <c r="U600" s="52"/>
    </row>
    <row r="601">
      <c r="M601" s="52"/>
      <c r="N601" s="52"/>
      <c r="O601" s="52"/>
      <c r="P601" s="52"/>
      <c r="Q601" s="52"/>
      <c r="U601" s="52"/>
    </row>
    <row r="602">
      <c r="M602" s="52"/>
      <c r="N602" s="52"/>
      <c r="O602" s="52"/>
      <c r="P602" s="52"/>
      <c r="Q602" s="52"/>
      <c r="U602" s="52"/>
    </row>
    <row r="603">
      <c r="M603" s="52"/>
      <c r="N603" s="52"/>
      <c r="O603" s="52"/>
      <c r="P603" s="52"/>
      <c r="Q603" s="52"/>
      <c r="U603" s="52"/>
    </row>
    <row r="604">
      <c r="M604" s="52"/>
      <c r="N604" s="52"/>
      <c r="O604" s="52"/>
      <c r="P604" s="52"/>
      <c r="Q604" s="52"/>
      <c r="U604" s="52"/>
    </row>
    <row r="605">
      <c r="M605" s="52"/>
      <c r="N605" s="52"/>
      <c r="O605" s="52"/>
      <c r="P605" s="52"/>
      <c r="Q605" s="52"/>
      <c r="U605" s="52"/>
    </row>
    <row r="606">
      <c r="M606" s="52"/>
      <c r="N606" s="52"/>
      <c r="O606" s="52"/>
      <c r="P606" s="52"/>
      <c r="Q606" s="52"/>
      <c r="U606" s="52"/>
    </row>
    <row r="607">
      <c r="M607" s="52"/>
      <c r="N607" s="52"/>
      <c r="O607" s="52"/>
      <c r="P607" s="52"/>
      <c r="Q607" s="52"/>
      <c r="U607" s="52"/>
    </row>
    <row r="608">
      <c r="M608" s="52"/>
      <c r="N608" s="52"/>
      <c r="O608" s="52"/>
      <c r="P608" s="52"/>
      <c r="Q608" s="52"/>
      <c r="U608" s="52"/>
    </row>
    <row r="609">
      <c r="M609" s="52"/>
      <c r="N609" s="52"/>
      <c r="O609" s="52"/>
      <c r="P609" s="52"/>
      <c r="Q609" s="52"/>
      <c r="U609" s="52"/>
    </row>
    <row r="610">
      <c r="M610" s="52"/>
      <c r="N610" s="52"/>
      <c r="O610" s="52"/>
      <c r="P610" s="52"/>
      <c r="Q610" s="52"/>
      <c r="U610" s="52"/>
    </row>
    <row r="611">
      <c r="M611" s="52"/>
      <c r="N611" s="52"/>
      <c r="O611" s="52"/>
      <c r="P611" s="52"/>
      <c r="Q611" s="52"/>
      <c r="U611" s="52"/>
    </row>
    <row r="612">
      <c r="M612" s="52"/>
      <c r="N612" s="52"/>
      <c r="O612" s="52"/>
      <c r="P612" s="52"/>
      <c r="Q612" s="52"/>
      <c r="U612" s="52"/>
    </row>
    <row r="613">
      <c r="M613" s="52"/>
      <c r="N613" s="52"/>
      <c r="O613" s="52"/>
      <c r="P613" s="52"/>
      <c r="Q613" s="52"/>
      <c r="U613" s="52"/>
    </row>
    <row r="614">
      <c r="M614" s="52"/>
      <c r="N614" s="52"/>
      <c r="O614" s="52"/>
      <c r="P614" s="52"/>
      <c r="Q614" s="52"/>
      <c r="U614" s="52"/>
    </row>
    <row r="615">
      <c r="M615" s="52"/>
      <c r="N615" s="52"/>
      <c r="O615" s="52"/>
      <c r="P615" s="52"/>
      <c r="Q615" s="52"/>
      <c r="U615" s="52"/>
    </row>
    <row r="616">
      <c r="M616" s="52"/>
      <c r="N616" s="52"/>
      <c r="O616" s="52"/>
      <c r="P616" s="52"/>
      <c r="Q616" s="52"/>
      <c r="U616" s="52"/>
    </row>
    <row r="617">
      <c r="M617" s="52"/>
      <c r="N617" s="52"/>
      <c r="O617" s="52"/>
      <c r="P617" s="52"/>
      <c r="Q617" s="52"/>
      <c r="U617" s="52"/>
    </row>
    <row r="618">
      <c r="M618" s="52"/>
      <c r="N618" s="52"/>
      <c r="O618" s="52"/>
      <c r="P618" s="52"/>
      <c r="Q618" s="52"/>
      <c r="U618" s="52"/>
    </row>
    <row r="619">
      <c r="M619" s="52"/>
      <c r="N619" s="52"/>
      <c r="O619" s="52"/>
      <c r="P619" s="52"/>
      <c r="Q619" s="52"/>
      <c r="U619" s="52"/>
    </row>
    <row r="620">
      <c r="M620" s="52"/>
      <c r="N620" s="52"/>
      <c r="O620" s="52"/>
      <c r="P620" s="52"/>
      <c r="Q620" s="52"/>
      <c r="U620" s="52"/>
    </row>
    <row r="621">
      <c r="M621" s="52"/>
      <c r="N621" s="52"/>
      <c r="O621" s="52"/>
      <c r="P621" s="52"/>
      <c r="Q621" s="52"/>
      <c r="U621" s="52"/>
    </row>
    <row r="622">
      <c r="M622" s="52"/>
      <c r="N622" s="52"/>
      <c r="O622" s="52"/>
      <c r="P622" s="52"/>
      <c r="Q622" s="52"/>
      <c r="U622" s="52"/>
    </row>
    <row r="623">
      <c r="M623" s="52"/>
      <c r="N623" s="52"/>
      <c r="O623" s="52"/>
      <c r="P623" s="52"/>
      <c r="Q623" s="52"/>
      <c r="U623" s="52"/>
    </row>
    <row r="624">
      <c r="M624" s="52"/>
      <c r="N624" s="52"/>
      <c r="O624" s="52"/>
      <c r="P624" s="52"/>
      <c r="Q624" s="52"/>
      <c r="U624" s="52"/>
    </row>
    <row r="625">
      <c r="M625" s="52"/>
      <c r="N625" s="52"/>
      <c r="O625" s="52"/>
      <c r="P625" s="52"/>
      <c r="Q625" s="52"/>
      <c r="U625" s="52"/>
    </row>
    <row r="626">
      <c r="M626" s="52"/>
      <c r="N626" s="52"/>
      <c r="O626" s="52"/>
      <c r="P626" s="52"/>
      <c r="Q626" s="52"/>
      <c r="U626" s="52"/>
    </row>
    <row r="627">
      <c r="M627" s="52"/>
      <c r="N627" s="52"/>
      <c r="O627" s="52"/>
      <c r="P627" s="52"/>
      <c r="Q627" s="52"/>
      <c r="U627" s="52"/>
    </row>
    <row r="628">
      <c r="M628" s="52"/>
      <c r="N628" s="52"/>
      <c r="O628" s="52"/>
      <c r="P628" s="52"/>
      <c r="Q628" s="52"/>
      <c r="U628" s="52"/>
    </row>
    <row r="629">
      <c r="M629" s="52"/>
      <c r="N629" s="52"/>
      <c r="O629" s="52"/>
      <c r="P629" s="52"/>
      <c r="Q629" s="52"/>
      <c r="U629" s="52"/>
    </row>
    <row r="630">
      <c r="M630" s="52"/>
      <c r="N630" s="52"/>
      <c r="O630" s="52"/>
      <c r="P630" s="52"/>
      <c r="Q630" s="52"/>
      <c r="U630" s="52"/>
    </row>
    <row r="631">
      <c r="M631" s="52"/>
      <c r="N631" s="52"/>
      <c r="O631" s="52"/>
      <c r="P631" s="52"/>
      <c r="Q631" s="52"/>
      <c r="U631" s="52"/>
    </row>
    <row r="632">
      <c r="M632" s="52"/>
      <c r="N632" s="52"/>
      <c r="O632" s="52"/>
      <c r="P632" s="52"/>
      <c r="Q632" s="52"/>
      <c r="U632" s="52"/>
    </row>
    <row r="633">
      <c r="M633" s="52"/>
      <c r="N633" s="52"/>
      <c r="O633" s="52"/>
      <c r="P633" s="52"/>
      <c r="Q633" s="52"/>
      <c r="U633" s="52"/>
    </row>
    <row r="634">
      <c r="M634" s="52"/>
      <c r="N634" s="52"/>
      <c r="O634" s="52"/>
      <c r="P634" s="52"/>
      <c r="Q634" s="52"/>
      <c r="U634" s="52"/>
    </row>
    <row r="635">
      <c r="M635" s="52"/>
      <c r="N635" s="52"/>
      <c r="O635" s="52"/>
      <c r="P635" s="52"/>
      <c r="Q635" s="52"/>
      <c r="U635" s="52"/>
    </row>
    <row r="636">
      <c r="M636" s="52"/>
      <c r="N636" s="52"/>
      <c r="O636" s="52"/>
      <c r="P636" s="52"/>
      <c r="Q636" s="52"/>
      <c r="U636" s="52"/>
    </row>
    <row r="637">
      <c r="M637" s="52"/>
      <c r="N637" s="52"/>
      <c r="O637" s="52"/>
      <c r="P637" s="52"/>
      <c r="Q637" s="52"/>
      <c r="U637" s="52"/>
    </row>
    <row r="638">
      <c r="M638" s="52"/>
      <c r="N638" s="52"/>
      <c r="O638" s="52"/>
      <c r="P638" s="52"/>
      <c r="Q638" s="52"/>
      <c r="U638" s="52"/>
    </row>
    <row r="639">
      <c r="M639" s="52"/>
      <c r="N639" s="52"/>
      <c r="O639" s="52"/>
      <c r="P639" s="52"/>
      <c r="Q639" s="52"/>
      <c r="U639" s="52"/>
    </row>
    <row r="640">
      <c r="M640" s="52"/>
      <c r="N640" s="52"/>
      <c r="O640" s="52"/>
      <c r="P640" s="52"/>
      <c r="Q640" s="52"/>
      <c r="U640" s="52"/>
    </row>
    <row r="641">
      <c r="M641" s="52"/>
      <c r="N641" s="52"/>
      <c r="O641" s="52"/>
      <c r="P641" s="52"/>
      <c r="Q641" s="52"/>
      <c r="U641" s="52"/>
    </row>
    <row r="642">
      <c r="M642" s="52"/>
      <c r="N642" s="52"/>
      <c r="O642" s="52"/>
      <c r="P642" s="52"/>
      <c r="Q642" s="52"/>
      <c r="U642" s="52"/>
    </row>
    <row r="643">
      <c r="M643" s="52"/>
      <c r="N643" s="52"/>
      <c r="O643" s="52"/>
      <c r="P643" s="52"/>
      <c r="Q643" s="52"/>
      <c r="U643" s="52"/>
    </row>
    <row r="644">
      <c r="M644" s="52"/>
      <c r="N644" s="52"/>
      <c r="O644" s="52"/>
      <c r="P644" s="52"/>
      <c r="Q644" s="52"/>
      <c r="U644" s="52"/>
    </row>
    <row r="645">
      <c r="M645" s="52"/>
      <c r="N645" s="52"/>
      <c r="O645" s="52"/>
      <c r="P645" s="52"/>
      <c r="Q645" s="52"/>
      <c r="U645" s="52"/>
    </row>
    <row r="646">
      <c r="M646" s="52"/>
      <c r="N646" s="52"/>
      <c r="O646" s="52"/>
      <c r="P646" s="52"/>
      <c r="Q646" s="52"/>
      <c r="U646" s="52"/>
    </row>
    <row r="647">
      <c r="M647" s="52"/>
      <c r="N647" s="52"/>
      <c r="O647" s="52"/>
      <c r="P647" s="52"/>
      <c r="Q647" s="52"/>
      <c r="U647" s="52"/>
    </row>
    <row r="648">
      <c r="M648" s="52"/>
      <c r="N648" s="52"/>
      <c r="O648" s="52"/>
      <c r="P648" s="52"/>
      <c r="Q648" s="52"/>
      <c r="U648" s="52"/>
    </row>
    <row r="649">
      <c r="M649" s="52"/>
      <c r="N649" s="52"/>
      <c r="O649" s="52"/>
      <c r="P649" s="52"/>
      <c r="Q649" s="52"/>
      <c r="U649" s="52"/>
    </row>
    <row r="650">
      <c r="M650" s="52"/>
      <c r="N650" s="52"/>
      <c r="O650" s="52"/>
      <c r="P650" s="52"/>
      <c r="Q650" s="52"/>
      <c r="U650" s="52"/>
    </row>
    <row r="651">
      <c r="M651" s="52"/>
      <c r="N651" s="52"/>
      <c r="O651" s="52"/>
      <c r="P651" s="52"/>
      <c r="Q651" s="52"/>
      <c r="U651" s="52"/>
    </row>
    <row r="652">
      <c r="M652" s="52"/>
      <c r="N652" s="52"/>
      <c r="O652" s="52"/>
      <c r="P652" s="52"/>
      <c r="Q652" s="52"/>
      <c r="U652" s="52"/>
    </row>
    <row r="653">
      <c r="M653" s="52"/>
      <c r="N653" s="52"/>
      <c r="O653" s="52"/>
      <c r="P653" s="52"/>
      <c r="Q653" s="52"/>
      <c r="U653" s="52"/>
    </row>
    <row r="654">
      <c r="M654" s="52"/>
      <c r="N654" s="52"/>
      <c r="O654" s="52"/>
      <c r="P654" s="52"/>
      <c r="Q654" s="52"/>
      <c r="U654" s="52"/>
    </row>
    <row r="655">
      <c r="M655" s="52"/>
      <c r="N655" s="52"/>
      <c r="O655" s="52"/>
      <c r="P655" s="52"/>
      <c r="Q655" s="52"/>
      <c r="U655" s="52"/>
    </row>
    <row r="656">
      <c r="M656" s="52"/>
      <c r="N656" s="52"/>
      <c r="O656" s="52"/>
      <c r="P656" s="52"/>
      <c r="Q656" s="52"/>
      <c r="U656" s="52"/>
    </row>
    <row r="657">
      <c r="M657" s="52"/>
      <c r="N657" s="52"/>
      <c r="O657" s="52"/>
      <c r="P657" s="52"/>
      <c r="Q657" s="52"/>
      <c r="U657" s="52"/>
    </row>
    <row r="658">
      <c r="M658" s="52"/>
      <c r="N658" s="52"/>
      <c r="O658" s="52"/>
      <c r="P658" s="52"/>
      <c r="Q658" s="52"/>
      <c r="U658" s="52"/>
    </row>
    <row r="659">
      <c r="M659" s="52"/>
      <c r="N659" s="52"/>
      <c r="O659" s="52"/>
      <c r="P659" s="52"/>
      <c r="Q659" s="52"/>
      <c r="U659" s="52"/>
    </row>
    <row r="660">
      <c r="M660" s="52"/>
      <c r="N660" s="52"/>
      <c r="O660" s="52"/>
      <c r="P660" s="52"/>
      <c r="Q660" s="52"/>
      <c r="U660" s="52"/>
    </row>
    <row r="661">
      <c r="M661" s="52"/>
      <c r="N661" s="52"/>
      <c r="O661" s="52"/>
      <c r="P661" s="52"/>
      <c r="Q661" s="52"/>
      <c r="U661" s="52"/>
    </row>
    <row r="662">
      <c r="M662" s="52"/>
      <c r="N662" s="52"/>
      <c r="O662" s="52"/>
      <c r="P662" s="52"/>
      <c r="Q662" s="52"/>
      <c r="U662" s="52"/>
    </row>
    <row r="663">
      <c r="M663" s="52"/>
      <c r="N663" s="52"/>
      <c r="O663" s="52"/>
      <c r="P663" s="52"/>
      <c r="Q663" s="52"/>
      <c r="U663" s="52"/>
    </row>
    <row r="664">
      <c r="M664" s="52"/>
      <c r="N664" s="52"/>
      <c r="O664" s="52"/>
      <c r="P664" s="52"/>
      <c r="Q664" s="52"/>
      <c r="U664" s="52"/>
    </row>
    <row r="665">
      <c r="M665" s="52"/>
      <c r="N665" s="52"/>
      <c r="O665" s="52"/>
      <c r="P665" s="52"/>
      <c r="Q665" s="52"/>
      <c r="U665" s="52"/>
    </row>
    <row r="666">
      <c r="M666" s="52"/>
      <c r="N666" s="52"/>
      <c r="O666" s="52"/>
      <c r="P666" s="52"/>
      <c r="Q666" s="52"/>
      <c r="U666" s="52"/>
    </row>
    <row r="667">
      <c r="M667" s="52"/>
      <c r="N667" s="52"/>
      <c r="O667" s="52"/>
      <c r="P667" s="52"/>
      <c r="Q667" s="52"/>
      <c r="U667" s="52"/>
    </row>
    <row r="668">
      <c r="M668" s="52"/>
      <c r="N668" s="52"/>
      <c r="O668" s="52"/>
      <c r="P668" s="52"/>
      <c r="Q668" s="52"/>
      <c r="U668" s="52"/>
    </row>
    <row r="669">
      <c r="M669" s="52"/>
      <c r="N669" s="52"/>
      <c r="O669" s="52"/>
      <c r="P669" s="52"/>
      <c r="Q669" s="52"/>
      <c r="U669" s="52"/>
    </row>
    <row r="670">
      <c r="M670" s="52"/>
      <c r="N670" s="52"/>
      <c r="O670" s="52"/>
      <c r="P670" s="52"/>
      <c r="Q670" s="52"/>
      <c r="U670" s="52"/>
    </row>
    <row r="671">
      <c r="M671" s="52"/>
      <c r="N671" s="52"/>
      <c r="O671" s="52"/>
      <c r="P671" s="52"/>
      <c r="Q671" s="52"/>
      <c r="U671" s="52"/>
    </row>
    <row r="672">
      <c r="M672" s="52"/>
      <c r="N672" s="52"/>
      <c r="O672" s="52"/>
      <c r="P672" s="52"/>
      <c r="Q672" s="52"/>
      <c r="U672" s="52"/>
    </row>
    <row r="673">
      <c r="M673" s="52"/>
      <c r="N673" s="52"/>
      <c r="O673" s="52"/>
      <c r="P673" s="52"/>
      <c r="Q673" s="52"/>
      <c r="U673" s="52"/>
    </row>
    <row r="674">
      <c r="M674" s="52"/>
      <c r="N674" s="52"/>
      <c r="O674" s="52"/>
      <c r="P674" s="52"/>
      <c r="Q674" s="52"/>
      <c r="U674" s="52"/>
    </row>
    <row r="675">
      <c r="M675" s="52"/>
      <c r="N675" s="52"/>
      <c r="O675" s="52"/>
      <c r="P675" s="52"/>
      <c r="Q675" s="52"/>
      <c r="U675" s="52"/>
    </row>
    <row r="676">
      <c r="M676" s="52"/>
      <c r="N676" s="52"/>
      <c r="O676" s="52"/>
      <c r="P676" s="52"/>
      <c r="Q676" s="52"/>
      <c r="U676" s="52"/>
    </row>
    <row r="677">
      <c r="M677" s="52"/>
      <c r="N677" s="52"/>
      <c r="O677" s="52"/>
      <c r="P677" s="52"/>
      <c r="Q677" s="52"/>
      <c r="U677" s="52"/>
    </row>
    <row r="678">
      <c r="M678" s="52"/>
      <c r="N678" s="52"/>
      <c r="O678" s="52"/>
      <c r="P678" s="52"/>
      <c r="Q678" s="52"/>
      <c r="U678" s="52"/>
    </row>
    <row r="679">
      <c r="M679" s="52"/>
      <c r="N679" s="52"/>
      <c r="O679" s="52"/>
      <c r="P679" s="52"/>
      <c r="Q679" s="52"/>
      <c r="U679" s="52"/>
    </row>
    <row r="680">
      <c r="M680" s="52"/>
      <c r="N680" s="52"/>
      <c r="O680" s="52"/>
      <c r="P680" s="52"/>
      <c r="Q680" s="52"/>
      <c r="U680" s="52"/>
    </row>
    <row r="681">
      <c r="M681" s="52"/>
      <c r="N681" s="52"/>
      <c r="O681" s="52"/>
      <c r="P681" s="52"/>
      <c r="Q681" s="52"/>
      <c r="U681" s="52"/>
    </row>
    <row r="682">
      <c r="M682" s="52"/>
      <c r="N682" s="52"/>
      <c r="O682" s="52"/>
      <c r="P682" s="52"/>
      <c r="Q682" s="52"/>
      <c r="U682" s="52"/>
    </row>
    <row r="683">
      <c r="M683" s="52"/>
      <c r="N683" s="52"/>
      <c r="O683" s="52"/>
      <c r="P683" s="52"/>
      <c r="Q683" s="52"/>
      <c r="U683" s="52"/>
    </row>
    <row r="684">
      <c r="M684" s="52"/>
      <c r="N684" s="52"/>
      <c r="O684" s="52"/>
      <c r="P684" s="52"/>
      <c r="Q684" s="52"/>
      <c r="U684" s="52"/>
    </row>
    <row r="685">
      <c r="M685" s="52"/>
      <c r="N685" s="52"/>
      <c r="O685" s="52"/>
      <c r="P685" s="52"/>
      <c r="Q685" s="52"/>
      <c r="U685" s="52"/>
    </row>
    <row r="686">
      <c r="M686" s="52"/>
      <c r="N686" s="52"/>
      <c r="O686" s="52"/>
      <c r="P686" s="52"/>
      <c r="Q686" s="52"/>
      <c r="U686" s="52"/>
    </row>
    <row r="687">
      <c r="M687" s="52"/>
      <c r="N687" s="52"/>
      <c r="O687" s="52"/>
      <c r="P687" s="52"/>
      <c r="Q687" s="52"/>
      <c r="U687" s="52"/>
    </row>
    <row r="688">
      <c r="M688" s="52"/>
      <c r="N688" s="52"/>
      <c r="O688" s="52"/>
      <c r="P688" s="52"/>
      <c r="Q688" s="52"/>
      <c r="U688" s="52"/>
    </row>
    <row r="689">
      <c r="M689" s="52"/>
      <c r="N689" s="52"/>
      <c r="O689" s="52"/>
      <c r="P689" s="52"/>
      <c r="Q689" s="52"/>
      <c r="U689" s="52"/>
    </row>
    <row r="690">
      <c r="M690" s="52"/>
      <c r="N690" s="52"/>
      <c r="O690" s="52"/>
      <c r="P690" s="52"/>
      <c r="Q690" s="52"/>
      <c r="U690" s="52"/>
    </row>
    <row r="691">
      <c r="M691" s="52"/>
      <c r="N691" s="52"/>
      <c r="O691" s="52"/>
      <c r="P691" s="52"/>
      <c r="Q691" s="52"/>
      <c r="U691" s="52"/>
    </row>
    <row r="692">
      <c r="M692" s="52"/>
      <c r="N692" s="52"/>
      <c r="O692" s="52"/>
      <c r="P692" s="52"/>
      <c r="Q692" s="52"/>
      <c r="U692" s="52"/>
    </row>
    <row r="693">
      <c r="M693" s="52"/>
      <c r="N693" s="52"/>
      <c r="O693" s="52"/>
      <c r="P693" s="52"/>
      <c r="Q693" s="52"/>
      <c r="U693" s="52"/>
    </row>
    <row r="694">
      <c r="M694" s="52"/>
      <c r="N694" s="52"/>
      <c r="O694" s="52"/>
      <c r="P694" s="52"/>
      <c r="Q694" s="52"/>
      <c r="U694" s="52"/>
    </row>
    <row r="695">
      <c r="M695" s="52"/>
      <c r="N695" s="52"/>
      <c r="O695" s="52"/>
      <c r="P695" s="52"/>
      <c r="Q695" s="52"/>
      <c r="U695" s="52"/>
    </row>
    <row r="696">
      <c r="M696" s="52"/>
      <c r="N696" s="52"/>
      <c r="O696" s="52"/>
      <c r="P696" s="52"/>
      <c r="Q696" s="52"/>
      <c r="U696" s="52"/>
    </row>
    <row r="697">
      <c r="M697" s="52"/>
      <c r="N697" s="52"/>
      <c r="O697" s="52"/>
      <c r="P697" s="52"/>
      <c r="Q697" s="52"/>
      <c r="U697" s="52"/>
    </row>
    <row r="698">
      <c r="M698" s="52"/>
      <c r="N698" s="52"/>
      <c r="O698" s="52"/>
      <c r="P698" s="52"/>
      <c r="Q698" s="52"/>
      <c r="U698" s="52"/>
    </row>
    <row r="699">
      <c r="M699" s="52"/>
      <c r="N699" s="52"/>
      <c r="O699" s="52"/>
      <c r="P699" s="52"/>
      <c r="Q699" s="52"/>
      <c r="U699" s="52"/>
    </row>
    <row r="700">
      <c r="M700" s="52"/>
      <c r="N700" s="52"/>
      <c r="O700" s="52"/>
      <c r="P700" s="52"/>
      <c r="Q700" s="52"/>
      <c r="U700" s="52"/>
    </row>
    <row r="701">
      <c r="M701" s="52"/>
      <c r="N701" s="52"/>
      <c r="O701" s="52"/>
      <c r="P701" s="52"/>
      <c r="Q701" s="52"/>
      <c r="U701" s="52"/>
    </row>
    <row r="702">
      <c r="M702" s="52"/>
      <c r="N702" s="52"/>
      <c r="O702" s="52"/>
      <c r="P702" s="52"/>
      <c r="Q702" s="52"/>
      <c r="U702" s="52"/>
    </row>
    <row r="703">
      <c r="M703" s="52"/>
      <c r="N703" s="52"/>
      <c r="O703" s="52"/>
      <c r="P703" s="52"/>
      <c r="Q703" s="52"/>
      <c r="U703" s="52"/>
    </row>
    <row r="704">
      <c r="M704" s="52"/>
      <c r="N704" s="52"/>
      <c r="O704" s="52"/>
      <c r="P704" s="52"/>
      <c r="Q704" s="52"/>
      <c r="U704" s="52"/>
    </row>
    <row r="705">
      <c r="M705" s="52"/>
      <c r="N705" s="52"/>
      <c r="O705" s="52"/>
      <c r="P705" s="52"/>
      <c r="Q705" s="52"/>
      <c r="U705" s="52"/>
    </row>
    <row r="706">
      <c r="M706" s="52"/>
      <c r="N706" s="52"/>
      <c r="O706" s="52"/>
      <c r="P706" s="52"/>
      <c r="Q706" s="52"/>
      <c r="U706" s="52"/>
    </row>
    <row r="707">
      <c r="M707" s="52"/>
      <c r="N707" s="52"/>
      <c r="O707" s="52"/>
      <c r="P707" s="52"/>
      <c r="Q707" s="52"/>
      <c r="U707" s="52"/>
    </row>
    <row r="708">
      <c r="M708" s="52"/>
      <c r="N708" s="52"/>
      <c r="O708" s="52"/>
      <c r="P708" s="52"/>
      <c r="Q708" s="52"/>
      <c r="U708" s="52"/>
    </row>
    <row r="709">
      <c r="M709" s="52"/>
      <c r="N709" s="52"/>
      <c r="O709" s="52"/>
      <c r="P709" s="52"/>
      <c r="Q709" s="52"/>
      <c r="U709" s="52"/>
    </row>
    <row r="710">
      <c r="M710" s="52"/>
      <c r="N710" s="52"/>
      <c r="O710" s="52"/>
      <c r="P710" s="52"/>
      <c r="Q710" s="52"/>
      <c r="U710" s="52"/>
    </row>
    <row r="711">
      <c r="M711" s="52"/>
      <c r="N711" s="52"/>
      <c r="O711" s="52"/>
      <c r="P711" s="52"/>
      <c r="Q711" s="52"/>
      <c r="U711" s="52"/>
    </row>
    <row r="712">
      <c r="M712" s="52"/>
      <c r="N712" s="52"/>
      <c r="O712" s="52"/>
      <c r="P712" s="52"/>
      <c r="Q712" s="52"/>
      <c r="U712" s="52"/>
    </row>
    <row r="713">
      <c r="M713" s="52"/>
      <c r="N713" s="52"/>
      <c r="O713" s="52"/>
      <c r="P713" s="52"/>
      <c r="Q713" s="52"/>
      <c r="U713" s="52"/>
    </row>
    <row r="714">
      <c r="M714" s="52"/>
      <c r="N714" s="52"/>
      <c r="O714" s="52"/>
      <c r="P714" s="52"/>
      <c r="Q714" s="52"/>
      <c r="U714" s="52"/>
    </row>
    <row r="715">
      <c r="M715" s="52"/>
      <c r="N715" s="52"/>
      <c r="O715" s="52"/>
      <c r="P715" s="52"/>
      <c r="Q715" s="52"/>
      <c r="U715" s="52"/>
    </row>
    <row r="716">
      <c r="M716" s="52"/>
      <c r="N716" s="52"/>
      <c r="O716" s="52"/>
      <c r="P716" s="52"/>
      <c r="Q716" s="52"/>
      <c r="U716" s="52"/>
    </row>
    <row r="717">
      <c r="M717" s="52"/>
      <c r="N717" s="52"/>
      <c r="O717" s="52"/>
      <c r="P717" s="52"/>
      <c r="Q717" s="52"/>
      <c r="U717" s="52"/>
    </row>
    <row r="718">
      <c r="M718" s="52"/>
      <c r="N718" s="52"/>
      <c r="O718" s="52"/>
      <c r="P718" s="52"/>
      <c r="Q718" s="52"/>
      <c r="U718" s="52"/>
    </row>
    <row r="719">
      <c r="M719" s="52"/>
      <c r="N719" s="52"/>
      <c r="O719" s="52"/>
      <c r="P719" s="52"/>
      <c r="Q719" s="52"/>
      <c r="U719" s="52"/>
    </row>
    <row r="720">
      <c r="M720" s="52"/>
      <c r="N720" s="52"/>
      <c r="O720" s="52"/>
      <c r="P720" s="52"/>
      <c r="Q720" s="52"/>
      <c r="U720" s="52"/>
    </row>
    <row r="721">
      <c r="M721" s="52"/>
      <c r="N721" s="52"/>
      <c r="O721" s="52"/>
      <c r="P721" s="52"/>
      <c r="Q721" s="52"/>
      <c r="U721" s="52"/>
    </row>
    <row r="722">
      <c r="M722" s="52"/>
      <c r="N722" s="52"/>
      <c r="O722" s="52"/>
      <c r="P722" s="52"/>
      <c r="Q722" s="52"/>
      <c r="U722" s="52"/>
    </row>
    <row r="723">
      <c r="M723" s="52"/>
      <c r="N723" s="52"/>
      <c r="O723" s="52"/>
      <c r="P723" s="52"/>
      <c r="Q723" s="52"/>
      <c r="U723" s="52"/>
    </row>
    <row r="724">
      <c r="M724" s="52"/>
      <c r="N724" s="52"/>
      <c r="O724" s="52"/>
      <c r="P724" s="52"/>
      <c r="Q724" s="52"/>
      <c r="U724" s="52"/>
    </row>
    <row r="725">
      <c r="M725" s="52"/>
      <c r="N725" s="52"/>
      <c r="O725" s="52"/>
      <c r="P725" s="52"/>
      <c r="Q725" s="52"/>
      <c r="U725" s="52"/>
    </row>
    <row r="726">
      <c r="M726" s="52"/>
      <c r="N726" s="52"/>
      <c r="O726" s="52"/>
      <c r="P726" s="52"/>
      <c r="Q726" s="52"/>
      <c r="U726" s="52"/>
    </row>
    <row r="727">
      <c r="M727" s="52"/>
      <c r="N727" s="52"/>
      <c r="O727" s="52"/>
      <c r="P727" s="52"/>
      <c r="Q727" s="52"/>
      <c r="U727" s="52"/>
    </row>
    <row r="728">
      <c r="M728" s="52"/>
      <c r="N728" s="52"/>
      <c r="O728" s="52"/>
      <c r="P728" s="52"/>
      <c r="Q728" s="52"/>
      <c r="U728" s="52"/>
    </row>
    <row r="729">
      <c r="M729" s="52"/>
      <c r="N729" s="52"/>
      <c r="O729" s="52"/>
      <c r="P729" s="52"/>
      <c r="Q729" s="52"/>
      <c r="U729" s="52"/>
    </row>
    <row r="730">
      <c r="M730" s="52"/>
      <c r="N730" s="52"/>
      <c r="O730" s="52"/>
      <c r="P730" s="52"/>
      <c r="Q730" s="52"/>
      <c r="U730" s="52"/>
    </row>
    <row r="731">
      <c r="M731" s="52"/>
      <c r="N731" s="52"/>
      <c r="O731" s="52"/>
      <c r="P731" s="52"/>
      <c r="Q731" s="52"/>
      <c r="U731" s="52"/>
    </row>
    <row r="732">
      <c r="M732" s="52"/>
      <c r="N732" s="52"/>
      <c r="O732" s="52"/>
      <c r="P732" s="52"/>
      <c r="Q732" s="52"/>
      <c r="U732" s="52"/>
    </row>
    <row r="733">
      <c r="M733" s="52"/>
      <c r="N733" s="52"/>
      <c r="O733" s="52"/>
      <c r="P733" s="52"/>
      <c r="Q733" s="52"/>
      <c r="U733" s="52"/>
    </row>
    <row r="734">
      <c r="M734" s="52"/>
      <c r="N734" s="52"/>
      <c r="O734" s="52"/>
      <c r="P734" s="52"/>
      <c r="Q734" s="52"/>
      <c r="U734" s="52"/>
    </row>
    <row r="735">
      <c r="M735" s="52"/>
      <c r="N735" s="52"/>
      <c r="O735" s="52"/>
      <c r="P735" s="52"/>
      <c r="Q735" s="52"/>
      <c r="U735" s="52"/>
    </row>
    <row r="736">
      <c r="M736" s="52"/>
      <c r="N736" s="52"/>
      <c r="O736" s="52"/>
      <c r="P736" s="52"/>
      <c r="Q736" s="52"/>
      <c r="U736" s="52"/>
    </row>
    <row r="737">
      <c r="M737" s="52"/>
      <c r="N737" s="52"/>
      <c r="O737" s="52"/>
      <c r="P737" s="52"/>
      <c r="Q737" s="52"/>
      <c r="U737" s="52"/>
    </row>
    <row r="738">
      <c r="M738" s="52"/>
      <c r="N738" s="52"/>
      <c r="O738" s="52"/>
      <c r="P738" s="52"/>
      <c r="Q738" s="52"/>
      <c r="U738" s="52"/>
    </row>
    <row r="739">
      <c r="M739" s="52"/>
      <c r="N739" s="52"/>
      <c r="O739" s="52"/>
      <c r="P739" s="52"/>
      <c r="Q739" s="52"/>
      <c r="U739" s="52"/>
    </row>
    <row r="740">
      <c r="M740" s="52"/>
      <c r="N740" s="52"/>
      <c r="O740" s="52"/>
      <c r="P740" s="52"/>
      <c r="Q740" s="52"/>
      <c r="U740" s="52"/>
    </row>
    <row r="741">
      <c r="M741" s="52"/>
      <c r="N741" s="52"/>
      <c r="O741" s="52"/>
      <c r="P741" s="52"/>
      <c r="Q741" s="52"/>
      <c r="U741" s="52"/>
    </row>
    <row r="742">
      <c r="M742" s="52"/>
      <c r="N742" s="52"/>
      <c r="O742" s="52"/>
      <c r="P742" s="52"/>
      <c r="Q742" s="52"/>
      <c r="U742" s="52"/>
    </row>
    <row r="743">
      <c r="M743" s="52"/>
      <c r="N743" s="52"/>
      <c r="O743" s="52"/>
      <c r="P743" s="52"/>
      <c r="Q743" s="52"/>
      <c r="U743" s="52"/>
    </row>
    <row r="744">
      <c r="M744" s="52"/>
      <c r="N744" s="52"/>
      <c r="O744" s="52"/>
      <c r="P744" s="52"/>
      <c r="Q744" s="52"/>
      <c r="U744" s="52"/>
    </row>
    <row r="745">
      <c r="M745" s="52"/>
      <c r="N745" s="52"/>
      <c r="O745" s="52"/>
      <c r="P745" s="52"/>
      <c r="Q745" s="52"/>
      <c r="U745" s="52"/>
    </row>
    <row r="746">
      <c r="M746" s="52"/>
      <c r="N746" s="52"/>
      <c r="O746" s="52"/>
      <c r="P746" s="52"/>
      <c r="Q746" s="52"/>
      <c r="U746" s="52"/>
    </row>
    <row r="747">
      <c r="M747" s="52"/>
      <c r="N747" s="52"/>
      <c r="O747" s="52"/>
      <c r="P747" s="52"/>
      <c r="Q747" s="52"/>
      <c r="U747" s="52"/>
    </row>
    <row r="748">
      <c r="M748" s="52"/>
      <c r="N748" s="52"/>
      <c r="O748" s="52"/>
      <c r="P748" s="52"/>
      <c r="Q748" s="52"/>
      <c r="U748" s="52"/>
    </row>
    <row r="749">
      <c r="M749" s="52"/>
      <c r="N749" s="52"/>
      <c r="O749" s="52"/>
      <c r="P749" s="52"/>
      <c r="Q749" s="52"/>
      <c r="U749" s="52"/>
    </row>
    <row r="750">
      <c r="M750" s="52"/>
      <c r="N750" s="52"/>
      <c r="O750" s="52"/>
      <c r="P750" s="52"/>
      <c r="Q750" s="52"/>
      <c r="U750" s="52"/>
    </row>
    <row r="751">
      <c r="M751" s="52"/>
      <c r="N751" s="52"/>
      <c r="O751" s="52"/>
      <c r="P751" s="52"/>
      <c r="Q751" s="52"/>
      <c r="U751" s="52"/>
    </row>
    <row r="752">
      <c r="M752" s="52"/>
      <c r="N752" s="52"/>
      <c r="O752" s="52"/>
      <c r="P752" s="52"/>
      <c r="Q752" s="52"/>
      <c r="U752" s="52"/>
    </row>
    <row r="753">
      <c r="M753" s="52"/>
      <c r="N753" s="52"/>
      <c r="O753" s="52"/>
      <c r="P753" s="52"/>
      <c r="Q753" s="52"/>
      <c r="U753" s="52"/>
    </row>
    <row r="754">
      <c r="M754" s="52"/>
      <c r="N754" s="52"/>
      <c r="O754" s="52"/>
      <c r="P754" s="52"/>
      <c r="Q754" s="52"/>
      <c r="U754" s="52"/>
    </row>
    <row r="755">
      <c r="M755" s="52"/>
      <c r="N755" s="52"/>
      <c r="O755" s="52"/>
      <c r="P755" s="52"/>
      <c r="Q755" s="52"/>
      <c r="U755" s="52"/>
    </row>
    <row r="756">
      <c r="M756" s="52"/>
      <c r="N756" s="52"/>
      <c r="O756" s="52"/>
      <c r="P756" s="52"/>
      <c r="Q756" s="52"/>
      <c r="U756" s="52"/>
    </row>
    <row r="757">
      <c r="M757" s="52"/>
      <c r="N757" s="52"/>
      <c r="O757" s="52"/>
      <c r="P757" s="52"/>
      <c r="Q757" s="52"/>
      <c r="U757" s="52"/>
    </row>
    <row r="758">
      <c r="M758" s="52"/>
      <c r="N758" s="52"/>
      <c r="O758" s="52"/>
      <c r="P758" s="52"/>
      <c r="Q758" s="52"/>
      <c r="U758" s="52"/>
    </row>
    <row r="759">
      <c r="M759" s="52"/>
      <c r="N759" s="52"/>
      <c r="O759" s="52"/>
      <c r="P759" s="52"/>
      <c r="Q759" s="52"/>
      <c r="U759" s="52"/>
    </row>
    <row r="760">
      <c r="M760" s="52"/>
      <c r="N760" s="52"/>
      <c r="O760" s="52"/>
      <c r="P760" s="52"/>
      <c r="Q760" s="52"/>
      <c r="U760" s="52"/>
    </row>
    <row r="761">
      <c r="M761" s="52"/>
      <c r="N761" s="52"/>
      <c r="O761" s="52"/>
      <c r="P761" s="52"/>
      <c r="Q761" s="52"/>
      <c r="U761" s="52"/>
    </row>
    <row r="762">
      <c r="M762" s="52"/>
      <c r="N762" s="52"/>
      <c r="O762" s="52"/>
      <c r="P762" s="52"/>
      <c r="Q762" s="52"/>
      <c r="U762" s="52"/>
    </row>
    <row r="763">
      <c r="M763" s="52"/>
      <c r="N763" s="52"/>
      <c r="O763" s="52"/>
      <c r="P763" s="52"/>
      <c r="Q763" s="52"/>
      <c r="U763" s="52"/>
    </row>
    <row r="764">
      <c r="M764" s="52"/>
      <c r="N764" s="52"/>
      <c r="O764" s="52"/>
      <c r="P764" s="52"/>
      <c r="Q764" s="52"/>
      <c r="U764" s="52"/>
    </row>
    <row r="765">
      <c r="M765" s="52"/>
      <c r="N765" s="52"/>
      <c r="O765" s="52"/>
      <c r="P765" s="52"/>
      <c r="Q765" s="52"/>
      <c r="U765" s="52"/>
    </row>
    <row r="766">
      <c r="M766" s="52"/>
      <c r="N766" s="52"/>
      <c r="O766" s="52"/>
      <c r="P766" s="52"/>
      <c r="Q766" s="52"/>
      <c r="U766" s="52"/>
    </row>
    <row r="767">
      <c r="M767" s="52"/>
      <c r="N767" s="52"/>
      <c r="O767" s="52"/>
      <c r="P767" s="52"/>
      <c r="Q767" s="52"/>
      <c r="U767" s="52"/>
    </row>
    <row r="768">
      <c r="M768" s="52"/>
      <c r="N768" s="52"/>
      <c r="O768" s="52"/>
      <c r="P768" s="52"/>
      <c r="Q768" s="52"/>
      <c r="U768" s="52"/>
    </row>
    <row r="769">
      <c r="M769" s="52"/>
      <c r="N769" s="52"/>
      <c r="O769" s="52"/>
      <c r="P769" s="52"/>
      <c r="Q769" s="52"/>
      <c r="U769" s="52"/>
    </row>
    <row r="770">
      <c r="M770" s="52"/>
      <c r="N770" s="52"/>
      <c r="O770" s="52"/>
      <c r="P770" s="52"/>
      <c r="Q770" s="52"/>
      <c r="U770" s="52"/>
    </row>
    <row r="771">
      <c r="M771" s="52"/>
      <c r="N771" s="52"/>
      <c r="O771" s="52"/>
      <c r="P771" s="52"/>
      <c r="Q771" s="52"/>
      <c r="U771" s="52"/>
    </row>
    <row r="772">
      <c r="M772" s="52"/>
      <c r="N772" s="52"/>
      <c r="O772" s="52"/>
      <c r="P772" s="52"/>
      <c r="Q772" s="52"/>
      <c r="U772" s="52"/>
    </row>
    <row r="773">
      <c r="M773" s="52"/>
      <c r="N773" s="52"/>
      <c r="O773" s="52"/>
      <c r="P773" s="52"/>
      <c r="Q773" s="52"/>
      <c r="U773" s="52"/>
    </row>
    <row r="774">
      <c r="M774" s="52"/>
      <c r="N774" s="52"/>
      <c r="O774" s="52"/>
      <c r="P774" s="52"/>
      <c r="Q774" s="52"/>
      <c r="U774" s="52"/>
    </row>
    <row r="775">
      <c r="M775" s="52"/>
      <c r="N775" s="52"/>
      <c r="O775" s="52"/>
      <c r="P775" s="52"/>
      <c r="Q775" s="52"/>
      <c r="U775" s="52"/>
    </row>
    <row r="776">
      <c r="M776" s="52"/>
      <c r="N776" s="52"/>
      <c r="O776" s="52"/>
      <c r="P776" s="52"/>
      <c r="Q776" s="52"/>
      <c r="U776" s="52"/>
    </row>
    <row r="777">
      <c r="M777" s="52"/>
      <c r="N777" s="52"/>
      <c r="O777" s="52"/>
      <c r="P777" s="52"/>
      <c r="Q777" s="52"/>
      <c r="U777" s="52"/>
    </row>
    <row r="778">
      <c r="M778" s="52"/>
      <c r="N778" s="52"/>
      <c r="O778" s="52"/>
      <c r="P778" s="52"/>
      <c r="Q778" s="52"/>
      <c r="U778" s="52"/>
    </row>
    <row r="779">
      <c r="M779" s="52"/>
      <c r="N779" s="52"/>
      <c r="O779" s="52"/>
      <c r="P779" s="52"/>
      <c r="Q779" s="52"/>
      <c r="U779" s="52"/>
    </row>
    <row r="780">
      <c r="M780" s="52"/>
      <c r="N780" s="52"/>
      <c r="O780" s="52"/>
      <c r="P780" s="52"/>
      <c r="Q780" s="52"/>
      <c r="U780" s="52"/>
    </row>
    <row r="781">
      <c r="M781" s="52"/>
      <c r="N781" s="52"/>
      <c r="O781" s="52"/>
      <c r="P781" s="52"/>
      <c r="Q781" s="52"/>
      <c r="U781" s="52"/>
    </row>
    <row r="782">
      <c r="M782" s="52"/>
      <c r="N782" s="52"/>
      <c r="O782" s="52"/>
      <c r="P782" s="52"/>
      <c r="Q782" s="52"/>
      <c r="U782" s="52"/>
    </row>
    <row r="783">
      <c r="M783" s="52"/>
      <c r="N783" s="52"/>
      <c r="O783" s="52"/>
      <c r="P783" s="52"/>
      <c r="Q783" s="52"/>
      <c r="U783" s="52"/>
    </row>
    <row r="784">
      <c r="M784" s="52"/>
      <c r="N784" s="52"/>
      <c r="O784" s="52"/>
      <c r="P784" s="52"/>
      <c r="Q784" s="52"/>
      <c r="U784" s="52"/>
    </row>
    <row r="785">
      <c r="M785" s="52"/>
      <c r="N785" s="52"/>
      <c r="O785" s="52"/>
      <c r="P785" s="52"/>
      <c r="Q785" s="52"/>
      <c r="U785" s="52"/>
    </row>
    <row r="786">
      <c r="M786" s="52"/>
      <c r="N786" s="52"/>
      <c r="O786" s="52"/>
      <c r="P786" s="52"/>
      <c r="Q786" s="52"/>
      <c r="U786" s="52"/>
    </row>
    <row r="787">
      <c r="M787" s="52"/>
      <c r="N787" s="52"/>
      <c r="O787" s="52"/>
      <c r="P787" s="52"/>
      <c r="Q787" s="52"/>
      <c r="U787" s="52"/>
    </row>
    <row r="788">
      <c r="M788" s="52"/>
      <c r="N788" s="52"/>
      <c r="O788" s="52"/>
      <c r="P788" s="52"/>
      <c r="Q788" s="52"/>
      <c r="U788" s="52"/>
    </row>
    <row r="789">
      <c r="M789" s="52"/>
      <c r="N789" s="52"/>
      <c r="O789" s="52"/>
      <c r="P789" s="52"/>
      <c r="Q789" s="52"/>
      <c r="U789" s="52"/>
    </row>
    <row r="790">
      <c r="M790" s="52"/>
      <c r="N790" s="52"/>
      <c r="O790" s="52"/>
      <c r="P790" s="52"/>
      <c r="Q790" s="52"/>
      <c r="U790" s="52"/>
    </row>
    <row r="791">
      <c r="M791" s="52"/>
      <c r="N791" s="52"/>
      <c r="O791" s="52"/>
      <c r="P791" s="52"/>
      <c r="Q791" s="52"/>
      <c r="U791" s="52"/>
    </row>
    <row r="792">
      <c r="M792" s="52"/>
      <c r="N792" s="52"/>
      <c r="O792" s="52"/>
      <c r="P792" s="52"/>
      <c r="Q792" s="52"/>
      <c r="U792" s="52"/>
    </row>
    <row r="793">
      <c r="M793" s="52"/>
      <c r="N793" s="52"/>
      <c r="O793" s="52"/>
      <c r="P793" s="52"/>
      <c r="Q793" s="52"/>
      <c r="U793" s="52"/>
    </row>
    <row r="794">
      <c r="M794" s="52"/>
      <c r="N794" s="52"/>
      <c r="O794" s="52"/>
      <c r="P794" s="52"/>
      <c r="Q794" s="52"/>
      <c r="U794" s="52"/>
    </row>
    <row r="795">
      <c r="M795" s="52"/>
      <c r="N795" s="52"/>
      <c r="O795" s="52"/>
      <c r="P795" s="52"/>
      <c r="Q795" s="52"/>
      <c r="U795" s="52"/>
    </row>
    <row r="796">
      <c r="M796" s="52"/>
      <c r="N796" s="52"/>
      <c r="O796" s="52"/>
      <c r="P796" s="52"/>
      <c r="Q796" s="52"/>
      <c r="U796" s="52"/>
    </row>
    <row r="797">
      <c r="M797" s="52"/>
      <c r="N797" s="52"/>
      <c r="O797" s="52"/>
      <c r="P797" s="52"/>
      <c r="Q797" s="52"/>
      <c r="U797" s="52"/>
    </row>
    <row r="798">
      <c r="M798" s="52"/>
      <c r="N798" s="52"/>
      <c r="O798" s="52"/>
      <c r="P798" s="52"/>
      <c r="Q798" s="52"/>
      <c r="U798" s="52"/>
    </row>
    <row r="799">
      <c r="M799" s="52"/>
      <c r="N799" s="52"/>
      <c r="O799" s="52"/>
      <c r="P799" s="52"/>
      <c r="Q799" s="52"/>
      <c r="U799" s="52"/>
    </row>
    <row r="800">
      <c r="M800" s="52"/>
      <c r="N800" s="52"/>
      <c r="O800" s="52"/>
      <c r="P800" s="52"/>
      <c r="Q800" s="52"/>
      <c r="U800" s="52"/>
    </row>
    <row r="801">
      <c r="M801" s="52"/>
      <c r="N801" s="52"/>
      <c r="O801" s="52"/>
      <c r="P801" s="52"/>
      <c r="Q801" s="52"/>
      <c r="U801" s="52"/>
    </row>
    <row r="802">
      <c r="M802" s="52"/>
      <c r="N802" s="52"/>
      <c r="O802" s="52"/>
      <c r="P802" s="52"/>
      <c r="Q802" s="52"/>
      <c r="U802" s="52"/>
    </row>
    <row r="803">
      <c r="M803" s="52"/>
      <c r="N803" s="52"/>
      <c r="O803" s="52"/>
      <c r="P803" s="52"/>
      <c r="Q803" s="52"/>
      <c r="U803" s="52"/>
    </row>
    <row r="804">
      <c r="M804" s="52"/>
      <c r="N804" s="52"/>
      <c r="O804" s="52"/>
      <c r="P804" s="52"/>
      <c r="Q804" s="52"/>
      <c r="U804" s="52"/>
    </row>
    <row r="805">
      <c r="M805" s="52"/>
      <c r="N805" s="52"/>
      <c r="O805" s="52"/>
      <c r="P805" s="52"/>
      <c r="Q805" s="52"/>
      <c r="U805" s="52"/>
    </row>
    <row r="806">
      <c r="M806" s="52"/>
      <c r="N806" s="52"/>
      <c r="O806" s="52"/>
      <c r="P806" s="52"/>
      <c r="Q806" s="52"/>
      <c r="U806" s="52"/>
    </row>
    <row r="807">
      <c r="M807" s="52"/>
      <c r="N807" s="52"/>
      <c r="O807" s="52"/>
      <c r="P807" s="52"/>
      <c r="Q807" s="52"/>
      <c r="U807" s="52"/>
    </row>
    <row r="808">
      <c r="M808" s="52"/>
      <c r="N808" s="52"/>
      <c r="O808" s="52"/>
      <c r="P808" s="52"/>
      <c r="Q808" s="52"/>
      <c r="U808" s="52"/>
    </row>
    <row r="809">
      <c r="M809" s="52"/>
      <c r="N809" s="52"/>
      <c r="O809" s="52"/>
      <c r="P809" s="52"/>
      <c r="Q809" s="52"/>
      <c r="U809" s="52"/>
    </row>
    <row r="810">
      <c r="M810" s="52"/>
      <c r="N810" s="52"/>
      <c r="O810" s="52"/>
      <c r="P810" s="52"/>
      <c r="Q810" s="52"/>
      <c r="U810" s="52"/>
    </row>
    <row r="811">
      <c r="M811" s="52"/>
      <c r="N811" s="52"/>
      <c r="O811" s="52"/>
      <c r="P811" s="52"/>
      <c r="Q811" s="52"/>
      <c r="U811" s="52"/>
    </row>
    <row r="812">
      <c r="M812" s="52"/>
      <c r="N812" s="52"/>
      <c r="O812" s="52"/>
      <c r="P812" s="52"/>
      <c r="Q812" s="52"/>
      <c r="U812" s="52"/>
    </row>
    <row r="813">
      <c r="M813" s="52"/>
      <c r="N813" s="52"/>
      <c r="O813" s="52"/>
      <c r="P813" s="52"/>
      <c r="Q813" s="52"/>
      <c r="U813" s="52"/>
    </row>
    <row r="814">
      <c r="M814" s="52"/>
      <c r="N814" s="52"/>
      <c r="O814" s="52"/>
      <c r="P814" s="52"/>
      <c r="Q814" s="52"/>
      <c r="U814" s="52"/>
    </row>
    <row r="815">
      <c r="M815" s="52"/>
      <c r="N815" s="52"/>
      <c r="O815" s="52"/>
      <c r="P815" s="52"/>
      <c r="Q815" s="52"/>
      <c r="U815" s="52"/>
    </row>
    <row r="816">
      <c r="M816" s="52"/>
      <c r="N816" s="52"/>
      <c r="O816" s="52"/>
      <c r="P816" s="52"/>
      <c r="Q816" s="52"/>
      <c r="U816" s="52"/>
    </row>
    <row r="817">
      <c r="M817" s="52"/>
      <c r="N817" s="52"/>
      <c r="O817" s="52"/>
      <c r="P817" s="52"/>
      <c r="Q817" s="52"/>
      <c r="U817" s="52"/>
    </row>
    <row r="818">
      <c r="M818" s="52"/>
      <c r="N818" s="52"/>
      <c r="O818" s="52"/>
      <c r="P818" s="52"/>
      <c r="Q818" s="52"/>
      <c r="U818" s="52"/>
    </row>
    <row r="819">
      <c r="M819" s="52"/>
      <c r="N819" s="52"/>
      <c r="O819" s="52"/>
      <c r="P819" s="52"/>
      <c r="Q819" s="52"/>
      <c r="U819" s="52"/>
    </row>
    <row r="820">
      <c r="M820" s="52"/>
      <c r="N820" s="52"/>
      <c r="O820" s="52"/>
      <c r="P820" s="52"/>
      <c r="Q820" s="52"/>
      <c r="U820" s="52"/>
    </row>
    <row r="821">
      <c r="M821" s="52"/>
      <c r="N821" s="52"/>
      <c r="O821" s="52"/>
      <c r="P821" s="52"/>
      <c r="Q821" s="52"/>
      <c r="U821" s="52"/>
    </row>
    <row r="822">
      <c r="M822" s="52"/>
      <c r="N822" s="52"/>
      <c r="O822" s="52"/>
      <c r="P822" s="52"/>
      <c r="Q822" s="52"/>
      <c r="U822" s="52"/>
    </row>
    <row r="823">
      <c r="M823" s="52"/>
      <c r="N823" s="52"/>
      <c r="O823" s="52"/>
      <c r="P823" s="52"/>
      <c r="Q823" s="52"/>
      <c r="U823" s="52"/>
    </row>
    <row r="824">
      <c r="M824" s="52"/>
      <c r="N824" s="52"/>
      <c r="O824" s="52"/>
      <c r="P824" s="52"/>
      <c r="Q824" s="52"/>
      <c r="U824" s="52"/>
    </row>
    <row r="825">
      <c r="M825" s="52"/>
      <c r="N825" s="52"/>
      <c r="O825" s="52"/>
      <c r="P825" s="52"/>
      <c r="Q825" s="52"/>
      <c r="U825" s="52"/>
    </row>
    <row r="826">
      <c r="M826" s="52"/>
      <c r="N826" s="52"/>
      <c r="O826" s="52"/>
      <c r="P826" s="52"/>
      <c r="Q826" s="52"/>
      <c r="U826" s="52"/>
    </row>
    <row r="827">
      <c r="M827" s="52"/>
      <c r="N827" s="52"/>
      <c r="O827" s="52"/>
      <c r="P827" s="52"/>
      <c r="Q827" s="52"/>
      <c r="U827" s="52"/>
    </row>
    <row r="828">
      <c r="M828" s="52"/>
      <c r="N828" s="52"/>
      <c r="O828" s="52"/>
      <c r="P828" s="52"/>
      <c r="Q828" s="52"/>
      <c r="U828" s="52"/>
    </row>
    <row r="829">
      <c r="M829" s="52"/>
      <c r="N829" s="52"/>
      <c r="O829" s="52"/>
      <c r="P829" s="52"/>
      <c r="Q829" s="52"/>
      <c r="U829" s="52"/>
    </row>
    <row r="830">
      <c r="M830" s="52"/>
      <c r="N830" s="52"/>
      <c r="O830" s="52"/>
      <c r="P830" s="52"/>
      <c r="Q830" s="52"/>
      <c r="U830" s="52"/>
    </row>
    <row r="831">
      <c r="M831" s="52"/>
      <c r="N831" s="52"/>
      <c r="O831" s="52"/>
      <c r="P831" s="52"/>
      <c r="Q831" s="52"/>
      <c r="U831" s="52"/>
    </row>
    <row r="832">
      <c r="M832" s="52"/>
      <c r="N832" s="52"/>
      <c r="O832" s="52"/>
      <c r="P832" s="52"/>
      <c r="Q832" s="52"/>
      <c r="U832" s="52"/>
    </row>
    <row r="833">
      <c r="M833" s="52"/>
      <c r="N833" s="52"/>
      <c r="O833" s="52"/>
      <c r="P833" s="52"/>
      <c r="Q833" s="52"/>
      <c r="U833" s="52"/>
    </row>
    <row r="834">
      <c r="M834" s="52"/>
      <c r="N834" s="52"/>
      <c r="O834" s="52"/>
      <c r="P834" s="52"/>
      <c r="Q834" s="52"/>
      <c r="U834" s="52"/>
    </row>
    <row r="835">
      <c r="M835" s="52"/>
      <c r="N835" s="52"/>
      <c r="O835" s="52"/>
      <c r="P835" s="52"/>
      <c r="Q835" s="52"/>
      <c r="U835" s="52"/>
    </row>
    <row r="836">
      <c r="M836" s="52"/>
      <c r="N836" s="52"/>
      <c r="O836" s="52"/>
      <c r="P836" s="52"/>
      <c r="Q836" s="52"/>
      <c r="U836" s="52"/>
    </row>
    <row r="837">
      <c r="M837" s="52"/>
      <c r="N837" s="52"/>
      <c r="O837" s="52"/>
      <c r="P837" s="52"/>
      <c r="Q837" s="52"/>
      <c r="U837" s="52"/>
    </row>
    <row r="838">
      <c r="M838" s="52"/>
      <c r="N838" s="52"/>
      <c r="O838" s="52"/>
      <c r="P838" s="52"/>
      <c r="Q838" s="52"/>
      <c r="U838" s="52"/>
    </row>
    <row r="839">
      <c r="M839" s="52"/>
      <c r="N839" s="52"/>
      <c r="O839" s="52"/>
      <c r="P839" s="52"/>
      <c r="Q839" s="52"/>
      <c r="U839" s="52"/>
    </row>
    <row r="840">
      <c r="M840" s="52"/>
      <c r="N840" s="52"/>
      <c r="O840" s="52"/>
      <c r="P840" s="52"/>
      <c r="Q840" s="52"/>
      <c r="U840" s="52"/>
    </row>
    <row r="841">
      <c r="M841" s="52"/>
      <c r="N841" s="52"/>
      <c r="O841" s="52"/>
      <c r="P841" s="52"/>
      <c r="Q841" s="52"/>
      <c r="U841" s="52"/>
    </row>
    <row r="842">
      <c r="M842" s="52"/>
      <c r="N842" s="52"/>
      <c r="O842" s="52"/>
      <c r="P842" s="52"/>
      <c r="Q842" s="52"/>
      <c r="U842" s="52"/>
    </row>
    <row r="843">
      <c r="M843" s="52"/>
      <c r="N843" s="52"/>
      <c r="O843" s="52"/>
      <c r="P843" s="52"/>
      <c r="Q843" s="52"/>
      <c r="U843" s="52"/>
    </row>
    <row r="844">
      <c r="M844" s="52"/>
      <c r="N844" s="52"/>
      <c r="O844" s="52"/>
      <c r="P844" s="52"/>
      <c r="Q844" s="52"/>
      <c r="U844" s="52"/>
    </row>
    <row r="845">
      <c r="M845" s="52"/>
      <c r="N845" s="52"/>
      <c r="O845" s="52"/>
      <c r="P845" s="52"/>
      <c r="Q845" s="52"/>
      <c r="U845" s="52"/>
    </row>
    <row r="846">
      <c r="M846" s="52"/>
      <c r="N846" s="52"/>
      <c r="O846" s="52"/>
      <c r="P846" s="52"/>
      <c r="Q846" s="52"/>
      <c r="U846" s="52"/>
    </row>
    <row r="847">
      <c r="M847" s="52"/>
      <c r="N847" s="52"/>
      <c r="O847" s="52"/>
      <c r="P847" s="52"/>
      <c r="Q847" s="52"/>
      <c r="U847" s="52"/>
    </row>
    <row r="848">
      <c r="M848" s="52"/>
      <c r="N848" s="52"/>
      <c r="O848" s="52"/>
      <c r="P848" s="52"/>
      <c r="Q848" s="52"/>
      <c r="U848" s="52"/>
    </row>
    <row r="849">
      <c r="M849" s="52"/>
      <c r="N849" s="52"/>
      <c r="O849" s="52"/>
      <c r="P849" s="52"/>
      <c r="Q849" s="52"/>
      <c r="U849" s="52"/>
    </row>
    <row r="850">
      <c r="M850" s="52"/>
      <c r="N850" s="52"/>
      <c r="O850" s="52"/>
      <c r="P850" s="52"/>
      <c r="Q850" s="52"/>
      <c r="U850" s="52"/>
    </row>
    <row r="851">
      <c r="M851" s="52"/>
      <c r="N851" s="52"/>
      <c r="O851" s="52"/>
      <c r="P851" s="52"/>
      <c r="Q851" s="52"/>
      <c r="U851" s="52"/>
    </row>
    <row r="852">
      <c r="M852" s="52"/>
      <c r="N852" s="52"/>
      <c r="O852" s="52"/>
      <c r="P852" s="52"/>
      <c r="Q852" s="52"/>
      <c r="U852" s="52"/>
    </row>
    <row r="853">
      <c r="M853" s="52"/>
      <c r="N853" s="52"/>
      <c r="O853" s="52"/>
      <c r="P853" s="52"/>
      <c r="Q853" s="52"/>
      <c r="U853" s="52"/>
    </row>
    <row r="854">
      <c r="M854" s="52"/>
      <c r="N854" s="52"/>
      <c r="O854" s="52"/>
      <c r="P854" s="52"/>
      <c r="Q854" s="52"/>
      <c r="U854" s="52"/>
    </row>
    <row r="855">
      <c r="M855" s="52"/>
      <c r="N855" s="52"/>
      <c r="O855" s="52"/>
      <c r="P855" s="52"/>
      <c r="Q855" s="52"/>
      <c r="U855" s="52"/>
    </row>
    <row r="856">
      <c r="M856" s="52"/>
      <c r="N856" s="52"/>
      <c r="O856" s="52"/>
      <c r="P856" s="52"/>
      <c r="Q856" s="52"/>
      <c r="U856" s="52"/>
    </row>
    <row r="857">
      <c r="M857" s="52"/>
      <c r="N857" s="52"/>
      <c r="O857" s="52"/>
      <c r="P857" s="52"/>
      <c r="Q857" s="52"/>
      <c r="U857" s="52"/>
    </row>
    <row r="858">
      <c r="M858" s="52"/>
      <c r="N858" s="52"/>
      <c r="O858" s="52"/>
      <c r="P858" s="52"/>
      <c r="Q858" s="52"/>
      <c r="U858" s="52"/>
    </row>
    <row r="859">
      <c r="M859" s="52"/>
      <c r="N859" s="52"/>
      <c r="O859" s="52"/>
      <c r="P859" s="52"/>
      <c r="Q859" s="52"/>
      <c r="U859" s="52"/>
    </row>
    <row r="860">
      <c r="M860" s="52"/>
      <c r="N860" s="52"/>
      <c r="O860" s="52"/>
      <c r="P860" s="52"/>
      <c r="Q860" s="52"/>
      <c r="U860" s="52"/>
    </row>
    <row r="861">
      <c r="M861" s="52"/>
      <c r="N861" s="52"/>
      <c r="O861" s="52"/>
      <c r="P861" s="52"/>
      <c r="Q861" s="52"/>
      <c r="U861" s="52"/>
    </row>
    <row r="862">
      <c r="M862" s="52"/>
      <c r="N862" s="52"/>
      <c r="O862" s="52"/>
      <c r="P862" s="52"/>
      <c r="Q862" s="52"/>
      <c r="U862" s="52"/>
    </row>
    <row r="863">
      <c r="M863" s="52"/>
      <c r="N863" s="52"/>
      <c r="O863" s="52"/>
      <c r="P863" s="52"/>
      <c r="Q863" s="52"/>
      <c r="U863" s="52"/>
    </row>
    <row r="864">
      <c r="M864" s="52"/>
      <c r="N864" s="52"/>
      <c r="O864" s="52"/>
      <c r="P864" s="52"/>
      <c r="Q864" s="52"/>
      <c r="U864" s="52"/>
    </row>
    <row r="865">
      <c r="M865" s="52"/>
      <c r="N865" s="52"/>
      <c r="O865" s="52"/>
      <c r="P865" s="52"/>
      <c r="Q865" s="52"/>
      <c r="U865" s="52"/>
    </row>
    <row r="866">
      <c r="M866" s="52"/>
      <c r="N866" s="52"/>
      <c r="O866" s="52"/>
      <c r="P866" s="52"/>
      <c r="Q866" s="52"/>
      <c r="U866" s="52"/>
    </row>
    <row r="867">
      <c r="M867" s="52"/>
      <c r="N867" s="52"/>
      <c r="O867" s="52"/>
      <c r="P867" s="52"/>
      <c r="Q867" s="52"/>
      <c r="U867" s="52"/>
    </row>
    <row r="868">
      <c r="M868" s="52"/>
      <c r="N868" s="52"/>
      <c r="O868" s="52"/>
      <c r="P868" s="52"/>
      <c r="Q868" s="52"/>
      <c r="U868" s="52"/>
    </row>
    <row r="869">
      <c r="M869" s="52"/>
      <c r="N869" s="52"/>
      <c r="O869" s="52"/>
      <c r="P869" s="52"/>
      <c r="Q869" s="52"/>
      <c r="U869" s="52"/>
    </row>
    <row r="870">
      <c r="M870" s="52"/>
      <c r="N870" s="52"/>
      <c r="O870" s="52"/>
      <c r="P870" s="52"/>
      <c r="Q870" s="52"/>
      <c r="U870" s="52"/>
    </row>
    <row r="871">
      <c r="M871" s="52"/>
      <c r="N871" s="52"/>
      <c r="O871" s="52"/>
      <c r="P871" s="52"/>
      <c r="Q871" s="52"/>
      <c r="U871" s="52"/>
    </row>
    <row r="872">
      <c r="M872" s="52"/>
      <c r="N872" s="52"/>
      <c r="O872" s="52"/>
      <c r="P872" s="52"/>
      <c r="Q872" s="52"/>
      <c r="U872" s="52"/>
    </row>
    <row r="873">
      <c r="M873" s="52"/>
      <c r="N873" s="52"/>
      <c r="O873" s="52"/>
      <c r="P873" s="52"/>
      <c r="Q873" s="52"/>
      <c r="U873" s="52"/>
    </row>
    <row r="874">
      <c r="M874" s="52"/>
      <c r="N874" s="52"/>
      <c r="O874" s="52"/>
      <c r="P874" s="52"/>
      <c r="Q874" s="52"/>
      <c r="U874" s="52"/>
    </row>
    <row r="875">
      <c r="M875" s="52"/>
      <c r="N875" s="52"/>
      <c r="O875" s="52"/>
      <c r="P875" s="52"/>
      <c r="Q875" s="52"/>
      <c r="U875" s="52"/>
    </row>
    <row r="876">
      <c r="M876" s="52"/>
      <c r="N876" s="52"/>
      <c r="O876" s="52"/>
      <c r="P876" s="52"/>
      <c r="Q876" s="52"/>
      <c r="U876" s="52"/>
    </row>
    <row r="877">
      <c r="M877" s="52"/>
      <c r="N877" s="52"/>
      <c r="O877" s="52"/>
      <c r="P877" s="52"/>
      <c r="Q877" s="52"/>
      <c r="U877" s="52"/>
    </row>
    <row r="878">
      <c r="M878" s="52"/>
      <c r="N878" s="52"/>
      <c r="O878" s="52"/>
      <c r="P878" s="52"/>
      <c r="Q878" s="52"/>
      <c r="U878" s="52"/>
    </row>
    <row r="879">
      <c r="M879" s="52"/>
      <c r="N879" s="52"/>
      <c r="O879" s="52"/>
      <c r="P879" s="52"/>
      <c r="Q879" s="52"/>
      <c r="U879" s="52"/>
    </row>
    <row r="880">
      <c r="M880" s="52"/>
      <c r="N880" s="52"/>
      <c r="O880" s="52"/>
      <c r="P880" s="52"/>
      <c r="Q880" s="52"/>
      <c r="U880" s="52"/>
    </row>
    <row r="881">
      <c r="M881" s="52"/>
      <c r="N881" s="52"/>
      <c r="O881" s="52"/>
      <c r="P881" s="52"/>
      <c r="Q881" s="52"/>
      <c r="U881" s="52"/>
    </row>
    <row r="882">
      <c r="M882" s="52"/>
      <c r="N882" s="52"/>
      <c r="O882" s="52"/>
      <c r="P882" s="52"/>
      <c r="Q882" s="52"/>
      <c r="U882" s="52"/>
    </row>
    <row r="883">
      <c r="M883" s="52"/>
      <c r="N883" s="52"/>
      <c r="O883" s="52"/>
      <c r="P883" s="52"/>
      <c r="Q883" s="52"/>
      <c r="U883" s="52"/>
    </row>
    <row r="884">
      <c r="M884" s="52"/>
      <c r="N884" s="52"/>
      <c r="O884" s="52"/>
      <c r="P884" s="52"/>
      <c r="Q884" s="52"/>
      <c r="U884" s="52"/>
    </row>
    <row r="885">
      <c r="M885" s="52"/>
      <c r="N885" s="52"/>
      <c r="O885" s="52"/>
      <c r="P885" s="52"/>
      <c r="Q885" s="52"/>
      <c r="U885" s="52"/>
    </row>
    <row r="886">
      <c r="M886" s="52"/>
      <c r="N886" s="52"/>
      <c r="O886" s="52"/>
      <c r="P886" s="52"/>
      <c r="Q886" s="52"/>
      <c r="U886" s="52"/>
    </row>
    <row r="887">
      <c r="M887" s="52"/>
      <c r="N887" s="52"/>
      <c r="O887" s="52"/>
      <c r="P887" s="52"/>
      <c r="Q887" s="52"/>
      <c r="U887" s="52"/>
    </row>
    <row r="888">
      <c r="M888" s="52"/>
      <c r="N888" s="52"/>
      <c r="O888" s="52"/>
      <c r="P888" s="52"/>
      <c r="Q888" s="52"/>
      <c r="U888" s="52"/>
    </row>
    <row r="889">
      <c r="M889" s="52"/>
      <c r="N889" s="52"/>
      <c r="O889" s="52"/>
      <c r="P889" s="52"/>
      <c r="Q889" s="52"/>
      <c r="U889" s="52"/>
    </row>
    <row r="890">
      <c r="M890" s="52"/>
      <c r="N890" s="52"/>
      <c r="O890" s="52"/>
      <c r="P890" s="52"/>
      <c r="Q890" s="52"/>
      <c r="U890" s="52"/>
    </row>
    <row r="891">
      <c r="M891" s="52"/>
      <c r="N891" s="52"/>
      <c r="O891" s="52"/>
      <c r="P891" s="52"/>
      <c r="Q891" s="52"/>
      <c r="U891" s="52"/>
    </row>
    <row r="892">
      <c r="M892" s="52"/>
      <c r="N892" s="52"/>
      <c r="O892" s="52"/>
      <c r="P892" s="52"/>
      <c r="Q892" s="52"/>
      <c r="U892" s="52"/>
    </row>
    <row r="893">
      <c r="M893" s="52"/>
      <c r="N893" s="52"/>
      <c r="O893" s="52"/>
      <c r="P893" s="52"/>
      <c r="Q893" s="52"/>
      <c r="U893" s="52"/>
    </row>
    <row r="894">
      <c r="M894" s="52"/>
      <c r="N894" s="52"/>
      <c r="O894" s="52"/>
      <c r="P894" s="52"/>
      <c r="Q894" s="52"/>
      <c r="U894" s="52"/>
    </row>
    <row r="895">
      <c r="M895" s="52"/>
      <c r="N895" s="52"/>
      <c r="O895" s="52"/>
      <c r="P895" s="52"/>
      <c r="Q895" s="52"/>
      <c r="U895" s="52"/>
    </row>
    <row r="896">
      <c r="M896" s="52"/>
      <c r="N896" s="52"/>
      <c r="O896" s="52"/>
      <c r="P896" s="52"/>
      <c r="Q896" s="52"/>
      <c r="U896" s="52"/>
    </row>
    <row r="897">
      <c r="M897" s="52"/>
      <c r="N897" s="52"/>
      <c r="O897" s="52"/>
      <c r="P897" s="52"/>
      <c r="Q897" s="52"/>
      <c r="U897" s="52"/>
    </row>
    <row r="898">
      <c r="M898" s="52"/>
      <c r="N898" s="52"/>
      <c r="O898" s="52"/>
      <c r="P898" s="52"/>
      <c r="Q898" s="52"/>
      <c r="U898" s="52"/>
    </row>
    <row r="899">
      <c r="M899" s="52"/>
      <c r="N899" s="52"/>
      <c r="O899" s="52"/>
      <c r="P899" s="52"/>
      <c r="Q899" s="52"/>
      <c r="U899" s="52"/>
    </row>
    <row r="900">
      <c r="M900" s="52"/>
      <c r="N900" s="52"/>
      <c r="O900" s="52"/>
      <c r="P900" s="52"/>
      <c r="Q900" s="52"/>
      <c r="U900" s="52"/>
    </row>
    <row r="901">
      <c r="M901" s="52"/>
      <c r="N901" s="52"/>
      <c r="O901" s="52"/>
      <c r="P901" s="52"/>
      <c r="Q901" s="52"/>
      <c r="U901" s="52"/>
    </row>
    <row r="902">
      <c r="M902" s="52"/>
      <c r="N902" s="52"/>
      <c r="O902" s="52"/>
      <c r="P902" s="52"/>
      <c r="Q902" s="52"/>
      <c r="U902" s="52"/>
    </row>
    <row r="903">
      <c r="M903" s="52"/>
      <c r="N903" s="52"/>
      <c r="O903" s="52"/>
      <c r="P903" s="52"/>
      <c r="Q903" s="52"/>
      <c r="U903" s="52"/>
    </row>
    <row r="904">
      <c r="M904" s="52"/>
      <c r="N904" s="52"/>
      <c r="O904" s="52"/>
      <c r="P904" s="52"/>
      <c r="Q904" s="52"/>
      <c r="U904" s="52"/>
    </row>
    <row r="905">
      <c r="M905" s="52"/>
      <c r="N905" s="52"/>
      <c r="O905" s="52"/>
      <c r="P905" s="52"/>
      <c r="Q905" s="52"/>
      <c r="U905" s="52"/>
    </row>
    <row r="906">
      <c r="M906" s="52"/>
      <c r="N906" s="52"/>
      <c r="O906" s="52"/>
      <c r="P906" s="52"/>
      <c r="Q906" s="52"/>
      <c r="U906" s="52"/>
    </row>
    <row r="907">
      <c r="M907" s="52"/>
      <c r="N907" s="52"/>
      <c r="O907" s="52"/>
      <c r="P907" s="52"/>
      <c r="Q907" s="52"/>
      <c r="U907" s="52"/>
    </row>
    <row r="908">
      <c r="M908" s="52"/>
      <c r="N908" s="52"/>
      <c r="O908" s="52"/>
      <c r="P908" s="52"/>
      <c r="Q908" s="52"/>
      <c r="U908" s="52"/>
    </row>
    <row r="909">
      <c r="M909" s="52"/>
      <c r="N909" s="52"/>
      <c r="O909" s="52"/>
      <c r="P909" s="52"/>
      <c r="Q909" s="52"/>
      <c r="U909" s="52"/>
    </row>
    <row r="910">
      <c r="M910" s="52"/>
      <c r="N910" s="52"/>
      <c r="O910" s="52"/>
      <c r="P910" s="52"/>
      <c r="Q910" s="52"/>
      <c r="U910" s="52"/>
    </row>
    <row r="911">
      <c r="M911" s="52"/>
      <c r="N911" s="52"/>
      <c r="O911" s="52"/>
      <c r="P911" s="52"/>
      <c r="Q911" s="52"/>
      <c r="U911" s="52"/>
    </row>
    <row r="912">
      <c r="M912" s="52"/>
      <c r="N912" s="52"/>
      <c r="O912" s="52"/>
      <c r="P912" s="52"/>
      <c r="Q912" s="52"/>
      <c r="U912" s="52"/>
    </row>
    <row r="913">
      <c r="M913" s="52"/>
      <c r="N913" s="52"/>
      <c r="O913" s="52"/>
      <c r="P913" s="52"/>
      <c r="Q913" s="52"/>
      <c r="U913" s="52"/>
    </row>
    <row r="914">
      <c r="M914" s="52"/>
      <c r="N914" s="52"/>
      <c r="O914" s="52"/>
      <c r="P914" s="52"/>
      <c r="Q914" s="52"/>
      <c r="U914" s="52"/>
    </row>
    <row r="915">
      <c r="M915" s="52"/>
      <c r="N915" s="52"/>
      <c r="O915" s="52"/>
      <c r="P915" s="52"/>
      <c r="Q915" s="52"/>
      <c r="U915" s="52"/>
    </row>
    <row r="916">
      <c r="M916" s="52"/>
      <c r="N916" s="52"/>
      <c r="O916" s="52"/>
      <c r="P916" s="52"/>
      <c r="Q916" s="52"/>
      <c r="U916" s="52"/>
    </row>
    <row r="917">
      <c r="M917" s="52"/>
      <c r="N917" s="52"/>
      <c r="O917" s="52"/>
      <c r="P917" s="52"/>
      <c r="Q917" s="52"/>
      <c r="U917" s="52"/>
    </row>
    <row r="918">
      <c r="M918" s="52"/>
      <c r="N918" s="52"/>
      <c r="O918" s="52"/>
      <c r="P918" s="52"/>
      <c r="Q918" s="52"/>
      <c r="U918" s="52"/>
    </row>
    <row r="919">
      <c r="M919" s="52"/>
      <c r="N919" s="52"/>
      <c r="O919" s="52"/>
      <c r="P919" s="52"/>
      <c r="Q919" s="52"/>
      <c r="U919" s="52"/>
    </row>
    <row r="920">
      <c r="M920" s="52"/>
      <c r="N920" s="52"/>
      <c r="O920" s="52"/>
      <c r="P920" s="52"/>
      <c r="Q920" s="52"/>
      <c r="U920" s="52"/>
    </row>
    <row r="921">
      <c r="M921" s="52"/>
      <c r="N921" s="52"/>
      <c r="O921" s="52"/>
      <c r="P921" s="52"/>
      <c r="Q921" s="52"/>
      <c r="U921" s="52"/>
    </row>
    <row r="922">
      <c r="M922" s="52"/>
      <c r="N922" s="52"/>
      <c r="O922" s="52"/>
      <c r="P922" s="52"/>
      <c r="Q922" s="52"/>
      <c r="U922" s="52"/>
    </row>
    <row r="923">
      <c r="M923" s="52"/>
      <c r="N923" s="52"/>
      <c r="O923" s="52"/>
      <c r="P923" s="52"/>
      <c r="Q923" s="52"/>
      <c r="U923" s="52"/>
    </row>
    <row r="924">
      <c r="M924" s="52"/>
      <c r="N924" s="52"/>
      <c r="O924" s="52"/>
      <c r="P924" s="52"/>
      <c r="Q924" s="52"/>
      <c r="U924" s="52"/>
    </row>
    <row r="925">
      <c r="M925" s="52"/>
      <c r="N925" s="52"/>
      <c r="O925" s="52"/>
      <c r="P925" s="52"/>
      <c r="Q925" s="52"/>
      <c r="U925" s="52"/>
    </row>
    <row r="926">
      <c r="M926" s="52"/>
      <c r="N926" s="52"/>
      <c r="O926" s="52"/>
      <c r="P926" s="52"/>
      <c r="Q926" s="52"/>
      <c r="U926" s="52"/>
    </row>
    <row r="927">
      <c r="M927" s="52"/>
      <c r="N927" s="52"/>
      <c r="O927" s="52"/>
      <c r="P927" s="52"/>
      <c r="Q927" s="52"/>
      <c r="U927" s="52"/>
    </row>
    <row r="928">
      <c r="M928" s="52"/>
      <c r="N928" s="52"/>
      <c r="O928" s="52"/>
      <c r="P928" s="52"/>
      <c r="Q928" s="52"/>
      <c r="U928" s="52"/>
    </row>
    <row r="929">
      <c r="M929" s="52"/>
      <c r="N929" s="52"/>
      <c r="O929" s="52"/>
      <c r="P929" s="52"/>
      <c r="Q929" s="52"/>
      <c r="U929" s="52"/>
    </row>
    <row r="930">
      <c r="M930" s="52"/>
      <c r="N930" s="52"/>
      <c r="O930" s="52"/>
      <c r="P930" s="52"/>
      <c r="Q930" s="52"/>
      <c r="U930" s="52"/>
    </row>
    <row r="931">
      <c r="M931" s="52"/>
      <c r="N931" s="52"/>
      <c r="O931" s="52"/>
      <c r="P931" s="52"/>
      <c r="Q931" s="52"/>
      <c r="U931" s="52"/>
    </row>
    <row r="932">
      <c r="M932" s="52"/>
      <c r="N932" s="52"/>
      <c r="O932" s="52"/>
      <c r="P932" s="52"/>
      <c r="Q932" s="52"/>
      <c r="U932" s="52"/>
    </row>
    <row r="933">
      <c r="M933" s="52"/>
      <c r="N933" s="52"/>
      <c r="O933" s="52"/>
      <c r="P933" s="52"/>
      <c r="Q933" s="52"/>
      <c r="U933" s="52"/>
    </row>
    <row r="934">
      <c r="M934" s="52"/>
      <c r="N934" s="52"/>
      <c r="O934" s="52"/>
      <c r="P934" s="52"/>
      <c r="Q934" s="52"/>
      <c r="U934" s="52"/>
    </row>
    <row r="935">
      <c r="M935" s="52"/>
      <c r="N935" s="52"/>
      <c r="O935" s="52"/>
      <c r="P935" s="52"/>
      <c r="Q935" s="52"/>
      <c r="U935" s="52"/>
    </row>
    <row r="936">
      <c r="M936" s="52"/>
      <c r="N936" s="52"/>
      <c r="O936" s="52"/>
      <c r="P936" s="52"/>
      <c r="Q936" s="52"/>
      <c r="U936" s="52"/>
    </row>
    <row r="937">
      <c r="M937" s="52"/>
      <c r="N937" s="52"/>
      <c r="O937" s="52"/>
      <c r="P937" s="52"/>
      <c r="Q937" s="52"/>
      <c r="U937" s="52"/>
    </row>
    <row r="938">
      <c r="M938" s="52"/>
      <c r="N938" s="52"/>
      <c r="O938" s="52"/>
      <c r="P938" s="52"/>
      <c r="Q938" s="52"/>
      <c r="U938" s="52"/>
    </row>
    <row r="939">
      <c r="M939" s="52"/>
      <c r="N939" s="52"/>
      <c r="O939" s="52"/>
      <c r="P939" s="52"/>
      <c r="Q939" s="52"/>
      <c r="U939" s="52"/>
    </row>
    <row r="940">
      <c r="M940" s="52"/>
      <c r="N940" s="52"/>
      <c r="O940" s="52"/>
      <c r="P940" s="52"/>
      <c r="Q940" s="52"/>
      <c r="U940" s="52"/>
    </row>
    <row r="941">
      <c r="M941" s="52"/>
      <c r="N941" s="52"/>
      <c r="O941" s="52"/>
      <c r="P941" s="52"/>
      <c r="Q941" s="52"/>
      <c r="U941" s="52"/>
    </row>
    <row r="942">
      <c r="M942" s="52"/>
      <c r="N942" s="52"/>
      <c r="O942" s="52"/>
      <c r="P942" s="52"/>
      <c r="Q942" s="52"/>
      <c r="U942" s="52"/>
    </row>
    <row r="943">
      <c r="M943" s="52"/>
      <c r="N943" s="52"/>
      <c r="O943" s="52"/>
      <c r="P943" s="52"/>
      <c r="Q943" s="52"/>
      <c r="U943" s="52"/>
    </row>
    <row r="944">
      <c r="M944" s="52"/>
      <c r="N944" s="52"/>
      <c r="O944" s="52"/>
      <c r="P944" s="52"/>
      <c r="Q944" s="52"/>
      <c r="U944" s="52"/>
    </row>
    <row r="945">
      <c r="M945" s="52"/>
      <c r="N945" s="52"/>
      <c r="O945" s="52"/>
      <c r="P945" s="52"/>
      <c r="Q945" s="52"/>
      <c r="U945" s="52"/>
    </row>
    <row r="946">
      <c r="M946" s="52"/>
      <c r="N946" s="52"/>
      <c r="O946" s="52"/>
      <c r="P946" s="52"/>
      <c r="Q946" s="52"/>
      <c r="U946" s="52"/>
    </row>
    <row r="947">
      <c r="M947" s="52"/>
      <c r="N947" s="52"/>
      <c r="O947" s="52"/>
      <c r="P947" s="52"/>
      <c r="Q947" s="52"/>
      <c r="U947" s="52"/>
    </row>
    <row r="948">
      <c r="M948" s="52"/>
      <c r="N948" s="52"/>
      <c r="O948" s="52"/>
      <c r="P948" s="52"/>
      <c r="Q948" s="52"/>
      <c r="U948" s="52"/>
    </row>
    <row r="949">
      <c r="M949" s="52"/>
      <c r="N949" s="52"/>
      <c r="O949" s="52"/>
      <c r="P949" s="52"/>
      <c r="Q949" s="52"/>
      <c r="U949" s="52"/>
    </row>
    <row r="950">
      <c r="M950" s="52"/>
      <c r="N950" s="52"/>
      <c r="O950" s="52"/>
      <c r="P950" s="52"/>
      <c r="Q950" s="52"/>
      <c r="U950" s="52"/>
    </row>
    <row r="951">
      <c r="M951" s="52"/>
      <c r="N951" s="52"/>
      <c r="O951" s="52"/>
      <c r="P951" s="52"/>
      <c r="Q951" s="52"/>
      <c r="U951" s="52"/>
    </row>
    <row r="952">
      <c r="M952" s="52"/>
      <c r="N952" s="52"/>
      <c r="O952" s="52"/>
      <c r="P952" s="52"/>
      <c r="Q952" s="52"/>
      <c r="U952" s="52"/>
    </row>
    <row r="953">
      <c r="M953" s="52"/>
      <c r="N953" s="52"/>
      <c r="O953" s="52"/>
      <c r="P953" s="52"/>
      <c r="Q953" s="52"/>
      <c r="U953" s="52"/>
    </row>
    <row r="954">
      <c r="M954" s="52"/>
      <c r="N954" s="52"/>
      <c r="O954" s="52"/>
      <c r="P954" s="52"/>
      <c r="Q954" s="52"/>
      <c r="U954" s="52"/>
    </row>
    <row r="955">
      <c r="M955" s="52"/>
      <c r="N955" s="52"/>
      <c r="O955" s="52"/>
      <c r="P955" s="52"/>
      <c r="Q955" s="52"/>
      <c r="U955" s="52"/>
    </row>
    <row r="956">
      <c r="M956" s="52"/>
      <c r="N956" s="52"/>
      <c r="O956" s="52"/>
      <c r="P956" s="52"/>
      <c r="Q956" s="52"/>
      <c r="U956" s="52"/>
    </row>
    <row r="957">
      <c r="M957" s="52"/>
      <c r="N957" s="52"/>
      <c r="O957" s="52"/>
      <c r="P957" s="52"/>
      <c r="Q957" s="52"/>
      <c r="U957" s="52"/>
    </row>
    <row r="958">
      <c r="M958" s="52"/>
      <c r="N958" s="52"/>
      <c r="O958" s="52"/>
      <c r="P958" s="52"/>
      <c r="Q958" s="52"/>
      <c r="U958" s="52"/>
    </row>
    <row r="959">
      <c r="M959" s="52"/>
      <c r="N959" s="52"/>
      <c r="O959" s="52"/>
      <c r="P959" s="52"/>
      <c r="Q959" s="52"/>
      <c r="U959" s="52"/>
    </row>
    <row r="960">
      <c r="M960" s="52"/>
      <c r="N960" s="52"/>
      <c r="O960" s="52"/>
      <c r="P960" s="52"/>
      <c r="Q960" s="52"/>
      <c r="U960" s="52"/>
    </row>
    <row r="961">
      <c r="M961" s="52"/>
      <c r="N961" s="52"/>
      <c r="O961" s="52"/>
      <c r="P961" s="52"/>
      <c r="Q961" s="52"/>
      <c r="U961" s="52"/>
    </row>
    <row r="962">
      <c r="M962" s="52"/>
      <c r="N962" s="52"/>
      <c r="O962" s="52"/>
      <c r="P962" s="52"/>
      <c r="Q962" s="52"/>
      <c r="U962" s="52"/>
    </row>
    <row r="963">
      <c r="M963" s="52"/>
      <c r="N963" s="52"/>
      <c r="O963" s="52"/>
      <c r="P963" s="52"/>
      <c r="Q963" s="52"/>
      <c r="U963" s="52"/>
    </row>
    <row r="964">
      <c r="M964" s="52"/>
      <c r="N964" s="52"/>
      <c r="O964" s="52"/>
      <c r="P964" s="52"/>
      <c r="Q964" s="52"/>
      <c r="U964" s="52"/>
    </row>
    <row r="965">
      <c r="M965" s="52"/>
      <c r="N965" s="52"/>
      <c r="O965" s="52"/>
      <c r="P965" s="52"/>
      <c r="Q965" s="52"/>
      <c r="U965" s="52"/>
    </row>
    <row r="966">
      <c r="M966" s="52"/>
      <c r="N966" s="52"/>
      <c r="O966" s="52"/>
      <c r="P966" s="52"/>
      <c r="Q966" s="52"/>
      <c r="U966" s="52"/>
    </row>
    <row r="967">
      <c r="M967" s="52"/>
      <c r="N967" s="52"/>
      <c r="O967" s="52"/>
      <c r="P967" s="52"/>
      <c r="Q967" s="52"/>
      <c r="U967" s="52"/>
    </row>
    <row r="968">
      <c r="M968" s="52"/>
      <c r="N968" s="52"/>
      <c r="O968" s="52"/>
      <c r="P968" s="52"/>
      <c r="Q968" s="52"/>
      <c r="U968" s="52"/>
    </row>
    <row r="969">
      <c r="M969" s="52"/>
      <c r="N969" s="52"/>
      <c r="O969" s="52"/>
      <c r="P969" s="52"/>
      <c r="Q969" s="52"/>
      <c r="U969" s="52"/>
    </row>
    <row r="970">
      <c r="M970" s="52"/>
      <c r="N970" s="52"/>
      <c r="O970" s="52"/>
      <c r="P970" s="52"/>
      <c r="Q970" s="52"/>
      <c r="U970" s="52"/>
    </row>
    <row r="971">
      <c r="M971" s="52"/>
      <c r="N971" s="52"/>
      <c r="O971" s="52"/>
      <c r="P971" s="52"/>
      <c r="Q971" s="52"/>
      <c r="U971" s="52"/>
    </row>
    <row r="972">
      <c r="M972" s="52"/>
      <c r="N972" s="52"/>
      <c r="O972" s="52"/>
      <c r="P972" s="52"/>
      <c r="Q972" s="52"/>
      <c r="U972" s="52"/>
    </row>
    <row r="973">
      <c r="M973" s="52"/>
      <c r="N973" s="52"/>
      <c r="O973" s="52"/>
      <c r="P973" s="52"/>
      <c r="Q973" s="52"/>
      <c r="U973" s="52"/>
    </row>
    <row r="974">
      <c r="M974" s="52"/>
      <c r="N974" s="52"/>
      <c r="O974" s="52"/>
      <c r="P974" s="52"/>
      <c r="Q974" s="52"/>
      <c r="U974" s="52"/>
    </row>
    <row r="975">
      <c r="M975" s="52"/>
      <c r="N975" s="52"/>
      <c r="O975" s="52"/>
      <c r="P975" s="52"/>
      <c r="Q975" s="52"/>
      <c r="U975" s="52"/>
    </row>
    <row r="976">
      <c r="M976" s="52"/>
      <c r="N976" s="52"/>
      <c r="O976" s="52"/>
      <c r="P976" s="52"/>
      <c r="Q976" s="52"/>
      <c r="U976" s="52"/>
    </row>
    <row r="977">
      <c r="M977" s="52"/>
      <c r="N977" s="52"/>
      <c r="O977" s="52"/>
      <c r="P977" s="52"/>
      <c r="Q977" s="52"/>
      <c r="U977" s="52"/>
    </row>
    <row r="978">
      <c r="M978" s="52"/>
      <c r="N978" s="52"/>
      <c r="O978" s="52"/>
      <c r="P978" s="52"/>
      <c r="Q978" s="52"/>
      <c r="U978" s="52"/>
    </row>
    <row r="979">
      <c r="M979" s="52"/>
      <c r="N979" s="52"/>
      <c r="O979" s="52"/>
      <c r="P979" s="52"/>
      <c r="Q979" s="52"/>
      <c r="U979" s="52"/>
    </row>
    <row r="980">
      <c r="M980" s="52"/>
      <c r="N980" s="52"/>
      <c r="O980" s="52"/>
      <c r="P980" s="52"/>
      <c r="Q980" s="52"/>
      <c r="U980" s="52"/>
    </row>
    <row r="981">
      <c r="M981" s="52"/>
      <c r="N981" s="52"/>
      <c r="O981" s="52"/>
      <c r="P981" s="52"/>
      <c r="Q981" s="52"/>
      <c r="U981" s="52"/>
    </row>
    <row r="982">
      <c r="M982" s="52"/>
      <c r="N982" s="52"/>
      <c r="O982" s="52"/>
      <c r="P982" s="52"/>
      <c r="Q982" s="52"/>
      <c r="U982" s="52"/>
    </row>
    <row r="983">
      <c r="M983" s="52"/>
      <c r="N983" s="52"/>
      <c r="O983" s="52"/>
      <c r="P983" s="52"/>
      <c r="Q983" s="52"/>
      <c r="U983" s="52"/>
    </row>
    <row r="984">
      <c r="M984" s="52"/>
      <c r="N984" s="52"/>
      <c r="O984" s="52"/>
      <c r="P984" s="52"/>
      <c r="Q984" s="52"/>
      <c r="U984" s="52"/>
    </row>
    <row r="985">
      <c r="M985" s="52"/>
      <c r="N985" s="52"/>
      <c r="O985" s="52"/>
      <c r="P985" s="52"/>
      <c r="Q985" s="52"/>
      <c r="U985" s="52"/>
    </row>
    <row r="986">
      <c r="M986" s="52"/>
      <c r="N986" s="52"/>
      <c r="O986" s="52"/>
      <c r="P986" s="52"/>
      <c r="Q986" s="52"/>
      <c r="U986" s="52"/>
    </row>
    <row r="987">
      <c r="M987" s="52"/>
      <c r="N987" s="52"/>
      <c r="O987" s="52"/>
      <c r="P987" s="52"/>
      <c r="Q987" s="52"/>
      <c r="U987" s="52"/>
    </row>
    <row r="988">
      <c r="M988" s="52"/>
      <c r="N988" s="52"/>
      <c r="O988" s="52"/>
      <c r="P988" s="52"/>
      <c r="Q988" s="52"/>
      <c r="U988" s="52"/>
    </row>
    <row r="989">
      <c r="M989" s="52"/>
      <c r="N989" s="52"/>
      <c r="O989" s="52"/>
      <c r="P989" s="52"/>
      <c r="Q989" s="52"/>
      <c r="U989" s="52"/>
    </row>
    <row r="990">
      <c r="M990" s="52"/>
      <c r="N990" s="52"/>
      <c r="O990" s="52"/>
      <c r="P990" s="52"/>
      <c r="Q990" s="52"/>
      <c r="U990" s="52"/>
    </row>
    <row r="991">
      <c r="M991" s="52"/>
      <c r="N991" s="52"/>
      <c r="O991" s="52"/>
      <c r="P991" s="52"/>
      <c r="Q991" s="52"/>
      <c r="U991" s="52"/>
    </row>
    <row r="992">
      <c r="M992" s="52"/>
      <c r="N992" s="52"/>
      <c r="O992" s="52"/>
      <c r="P992" s="52"/>
      <c r="Q992" s="52"/>
      <c r="U992" s="52"/>
    </row>
    <row r="993">
      <c r="M993" s="52"/>
      <c r="N993" s="52"/>
      <c r="O993" s="52"/>
      <c r="P993" s="52"/>
      <c r="Q993" s="52"/>
      <c r="U993" s="52"/>
    </row>
    <row r="994">
      <c r="M994" s="52"/>
      <c r="N994" s="52"/>
      <c r="O994" s="52"/>
      <c r="P994" s="52"/>
      <c r="Q994" s="52"/>
      <c r="U994" s="52"/>
    </row>
    <row r="995">
      <c r="M995" s="52"/>
      <c r="N995" s="52"/>
      <c r="O995" s="52"/>
      <c r="P995" s="52"/>
      <c r="Q995" s="52"/>
      <c r="U995" s="52"/>
    </row>
    <row r="996">
      <c r="M996" s="52"/>
      <c r="N996" s="52"/>
      <c r="O996" s="52"/>
      <c r="P996" s="52"/>
      <c r="Q996" s="52"/>
      <c r="U996" s="52"/>
    </row>
    <row r="997">
      <c r="M997" s="52"/>
      <c r="N997" s="52"/>
      <c r="O997" s="52"/>
      <c r="P997" s="52"/>
      <c r="Q997" s="52"/>
      <c r="U997" s="52"/>
    </row>
    <row r="998">
      <c r="M998" s="52"/>
      <c r="N998" s="52"/>
      <c r="O998" s="52"/>
      <c r="P998" s="52"/>
      <c r="Q998" s="52"/>
      <c r="U998" s="52"/>
    </row>
    <row r="999">
      <c r="M999" s="52"/>
      <c r="N999" s="52"/>
      <c r="O999" s="52"/>
      <c r="P999" s="52"/>
      <c r="Q999" s="52"/>
      <c r="U999" s="52"/>
    </row>
    <row r="1000">
      <c r="M1000" s="52"/>
      <c r="N1000" s="52"/>
      <c r="O1000" s="52"/>
      <c r="P1000" s="52"/>
      <c r="Q1000" s="52"/>
      <c r="U1000" s="52"/>
    </row>
  </sheetData>
  <mergeCells count="7">
    <mergeCell ref="A1:A2"/>
    <mergeCell ref="B1:B2"/>
    <mergeCell ref="C1:G1"/>
    <mergeCell ref="H1:I1"/>
    <mergeCell ref="J1:J2"/>
    <mergeCell ref="K1:O1"/>
    <mergeCell ref="P1:U1"/>
  </mergeCells>
  <conditionalFormatting sqref="N3:N9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G3:G9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3:H9">
    <cfRule type="colorScale" priority="3">
      <colorScale>
        <cfvo type="formula" val="0"/>
        <cfvo type="max"/>
        <color rgb="FFFFFFFF"/>
        <color rgb="FF57BB8A"/>
      </colorScale>
    </cfRule>
  </conditionalFormatting>
  <conditionalFormatting sqref="I3:I9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J3:J9">
    <cfRule type="colorScale" priority="5">
      <colorScale>
        <cfvo type="formula" val="0"/>
        <cfvo type="max"/>
        <color rgb="FFFFFFFF"/>
        <color rgb="FF57BB8A"/>
      </colorScale>
    </cfRule>
  </conditionalFormatting>
  <conditionalFormatting sqref="K3:K9">
    <cfRule type="colorScale" priority="6">
      <colorScale>
        <cfvo type="formula" val="0"/>
        <cfvo type="max"/>
        <color rgb="FFFFFFFF"/>
        <color rgb="FF57BB8A"/>
      </colorScale>
    </cfRule>
  </conditionalFormatting>
  <conditionalFormatting sqref="L3:L9">
    <cfRule type="colorScale" priority="7">
      <colorScale>
        <cfvo type="formula" val="0"/>
        <cfvo type="max"/>
        <color rgb="FFFFFFFF"/>
        <color rgb="FFE67C73"/>
      </colorScale>
    </cfRule>
  </conditionalFormatting>
  <conditionalFormatting sqref="C3:C9">
    <cfRule type="colorScale" priority="8">
      <colorScale>
        <cfvo type="formula" val="0"/>
        <cfvo type="max"/>
        <color rgb="FFFFFFFF"/>
        <color rgb="FFFFD666"/>
      </colorScale>
    </cfRule>
  </conditionalFormatting>
  <conditionalFormatting sqref="D3:D9">
    <cfRule type="colorScale" priority="9">
      <colorScale>
        <cfvo type="formula" val="0"/>
        <cfvo type="max"/>
        <color rgb="FFFFFFFF"/>
        <color rgb="FF57BB8A"/>
      </colorScale>
    </cfRule>
  </conditionalFormatting>
  <conditionalFormatting sqref="E3:E9">
    <cfRule type="colorScale" priority="10">
      <colorScale>
        <cfvo type="formula" val="0"/>
        <cfvo type="max"/>
        <color rgb="FFFFFFFF"/>
        <color rgb="FFE67C73"/>
      </colorScale>
    </cfRule>
  </conditionalFormatting>
  <conditionalFormatting sqref="F3:F9">
    <cfRule type="colorScale" priority="11">
      <colorScale>
        <cfvo type="formula" val="0"/>
        <cfvo type="max"/>
        <color rgb="FFFFFFFF"/>
        <color rgb="FF57BB8A"/>
      </colorScale>
    </cfRule>
  </conditionalFormatting>
  <conditionalFormatting sqref="M3:M9">
    <cfRule type="colorScale" priority="12">
      <colorScale>
        <cfvo type="formula" val="0"/>
        <cfvo type="max"/>
        <color rgb="FFFFFFFF"/>
        <color rgb="FFFFD666"/>
      </colorScale>
    </cfRule>
  </conditionalFormatting>
  <conditionalFormatting sqref="O3:O9">
    <cfRule type="colorScale" priority="13">
      <colorScale>
        <cfvo type="formula" val="0"/>
        <cfvo type="formula" val="1"/>
        <color rgb="FFFFFFFF"/>
        <color rgb="FF57BB8A"/>
      </colorScale>
    </cfRule>
  </conditionalFormatting>
  <conditionalFormatting sqref="P3:P9">
    <cfRule type="colorScale" priority="14">
      <colorScale>
        <cfvo type="formula" val="0"/>
        <cfvo type="max"/>
        <color rgb="FFFFFFFF"/>
        <color rgb="FFFFD666"/>
      </colorScale>
    </cfRule>
  </conditionalFormatting>
  <conditionalFormatting sqref="U3:U9">
    <cfRule type="colorScale" priority="15">
      <colorScale>
        <cfvo type="formula" val="0"/>
        <cfvo type="formula" val="2"/>
        <cfvo type="formula" val="3"/>
        <color rgb="FFE67C73"/>
        <color rgb="FFFFFFFF"/>
        <color rgb="FF57BB8A"/>
      </colorScale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7.63"/>
    <col customWidth="1" min="4" max="4" width="5.63"/>
    <col customWidth="1" min="5" max="5" width="6.88"/>
    <col customWidth="1" min="6" max="6" width="8.38"/>
    <col customWidth="1" min="7" max="7" width="15.5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1" t="s">
        <v>4</v>
      </c>
      <c r="K1" s="6" t="s">
        <v>5</v>
      </c>
      <c r="L1" s="4"/>
      <c r="M1" s="4"/>
      <c r="N1" s="4"/>
      <c r="O1" s="5"/>
      <c r="P1" s="30" t="s">
        <v>6</v>
      </c>
      <c r="Q1" s="4"/>
      <c r="R1" s="4"/>
      <c r="S1" s="4"/>
      <c r="T1" s="4"/>
      <c r="U1" s="5"/>
    </row>
    <row r="2">
      <c r="A2" s="9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2" t="s">
        <v>13</v>
      </c>
      <c r="I2" s="12" t="s">
        <v>14</v>
      </c>
      <c r="J2" s="9"/>
      <c r="K2" s="10" t="s">
        <v>15</v>
      </c>
      <c r="L2" s="12" t="s">
        <v>10</v>
      </c>
      <c r="M2" s="10" t="s">
        <v>16</v>
      </c>
      <c r="N2" s="10" t="s">
        <v>12</v>
      </c>
      <c r="O2" s="10" t="s">
        <v>18</v>
      </c>
      <c r="P2" s="15" t="s">
        <v>8</v>
      </c>
      <c r="Q2" s="15">
        <v>0.0</v>
      </c>
      <c r="R2" s="15">
        <v>1.0</v>
      </c>
      <c r="S2" s="15">
        <v>2.0</v>
      </c>
      <c r="T2" s="15">
        <v>3.0</v>
      </c>
      <c r="U2" s="15" t="s">
        <v>19</v>
      </c>
    </row>
    <row r="3">
      <c r="A3" s="18" t="s">
        <v>21</v>
      </c>
      <c r="B3" s="18" t="s">
        <v>39</v>
      </c>
      <c r="C3" s="10"/>
      <c r="D3" s="10"/>
      <c r="E3" s="10"/>
      <c r="F3" s="35"/>
      <c r="G3" s="35" t="str">
        <f t="shared" ref="G3:G9" si="1">IFS(C3=0, "N/A", C3&lt;&gt;0,(D3-E3)/C3 )</f>
        <v>N/A</v>
      </c>
      <c r="H3" s="35"/>
      <c r="I3" s="10"/>
      <c r="J3" s="10">
        <v>1.0</v>
      </c>
      <c r="K3" s="35"/>
      <c r="L3" s="10"/>
      <c r="M3" s="10"/>
      <c r="N3" s="35" t="str">
        <f t="shared" ref="N3:N9" si="2">ifs(M3=0,"N/A",M3&lt;&gt;0,(M3-L3) /M3)</f>
        <v>N/A</v>
      </c>
      <c r="O3" s="35" t="str">
        <f t="shared" ref="O3:O9" si="3">IFS(M3=0, "N/A", M3&lt;&gt;0, K3/M3)</f>
        <v>N/A</v>
      </c>
      <c r="P3" s="10">
        <f t="shared" ref="P3:P9" si="4">sum(Q3,R3,S3,T3)</f>
        <v>3</v>
      </c>
      <c r="Q3" s="35"/>
      <c r="R3" s="10"/>
      <c r="S3" s="10">
        <v>2.0</v>
      </c>
      <c r="T3" s="10">
        <v>1.0</v>
      </c>
      <c r="U3" s="10">
        <f t="shared" ref="U3:U9" si="5">ifs(P3=0, "N/A",P3&lt;&gt;0,(R3 + S3*2 +T3*3)/P3)</f>
        <v>2.333333333</v>
      </c>
    </row>
    <row r="4">
      <c r="A4" s="21" t="s">
        <v>24</v>
      </c>
      <c r="B4" s="21" t="s">
        <v>45</v>
      </c>
      <c r="C4" s="10">
        <v>4.0</v>
      </c>
      <c r="D4" s="10">
        <v>3.0</v>
      </c>
      <c r="E4" s="10">
        <v>1.0</v>
      </c>
      <c r="F4" s="35"/>
      <c r="G4" s="35">
        <f t="shared" si="1"/>
        <v>0.5</v>
      </c>
      <c r="H4" s="10"/>
      <c r="I4" s="10"/>
      <c r="J4" s="10">
        <v>1.0</v>
      </c>
      <c r="K4" s="35"/>
      <c r="L4" s="10"/>
      <c r="M4" s="10">
        <v>4.0</v>
      </c>
      <c r="N4" s="35">
        <f t="shared" si="2"/>
        <v>1</v>
      </c>
      <c r="O4" s="35">
        <f t="shared" si="3"/>
        <v>0</v>
      </c>
      <c r="P4" s="10">
        <f t="shared" si="4"/>
        <v>1</v>
      </c>
      <c r="Q4" s="10"/>
      <c r="R4" s="10">
        <v>1.0</v>
      </c>
      <c r="S4" s="35"/>
      <c r="T4" s="35"/>
      <c r="U4" s="10">
        <f t="shared" si="5"/>
        <v>1</v>
      </c>
    </row>
    <row r="5">
      <c r="A5" s="22" t="s">
        <v>26</v>
      </c>
      <c r="B5" s="22" t="s">
        <v>42</v>
      </c>
      <c r="C5" s="10">
        <v>1.0</v>
      </c>
      <c r="D5" s="10"/>
      <c r="E5" s="10"/>
      <c r="F5" s="10">
        <v>6.0</v>
      </c>
      <c r="G5" s="35">
        <f t="shared" si="1"/>
        <v>0</v>
      </c>
      <c r="I5" s="10">
        <v>1.0</v>
      </c>
      <c r="J5" s="10"/>
      <c r="K5" s="10"/>
      <c r="L5" s="10">
        <v>1.0</v>
      </c>
      <c r="M5" s="10">
        <v>2.0</v>
      </c>
      <c r="N5" s="35">
        <f t="shared" si="2"/>
        <v>0.5</v>
      </c>
      <c r="O5" s="35">
        <f t="shared" si="3"/>
        <v>0</v>
      </c>
      <c r="P5" s="10">
        <f t="shared" si="4"/>
        <v>0</v>
      </c>
      <c r="Q5" s="35"/>
      <c r="R5" s="35"/>
      <c r="S5" s="35"/>
      <c r="T5" s="10"/>
      <c r="U5" s="10" t="str">
        <f t="shared" si="5"/>
        <v>N/A</v>
      </c>
    </row>
    <row r="6">
      <c r="A6" s="23" t="s">
        <v>28</v>
      </c>
      <c r="B6" s="23" t="s">
        <v>85</v>
      </c>
      <c r="C6" s="10">
        <v>2.0</v>
      </c>
      <c r="D6" s="10"/>
      <c r="E6" s="10"/>
      <c r="F6" s="35"/>
      <c r="G6" s="35">
        <f t="shared" si="1"/>
        <v>0</v>
      </c>
      <c r="H6" s="10"/>
      <c r="I6" s="35"/>
      <c r="J6" s="10">
        <v>1.0</v>
      </c>
      <c r="K6" s="10"/>
      <c r="L6" s="10"/>
      <c r="M6" s="10">
        <v>1.0</v>
      </c>
      <c r="N6" s="35">
        <f t="shared" si="2"/>
        <v>1</v>
      </c>
      <c r="O6" s="35">
        <f t="shared" si="3"/>
        <v>0</v>
      </c>
      <c r="P6" s="10">
        <f t="shared" si="4"/>
        <v>3</v>
      </c>
      <c r="Q6" s="10">
        <v>1.0</v>
      </c>
      <c r="R6" s="10">
        <v>2.0</v>
      </c>
      <c r="S6" s="10"/>
      <c r="T6" s="10"/>
      <c r="U6" s="10">
        <f t="shared" si="5"/>
        <v>0.6666666667</v>
      </c>
    </row>
    <row r="7">
      <c r="A7" s="24" t="s">
        <v>30</v>
      </c>
      <c r="B7" s="24" t="s">
        <v>43</v>
      </c>
      <c r="C7" s="10">
        <v>4.0</v>
      </c>
      <c r="D7" s="10">
        <v>3.0</v>
      </c>
      <c r="E7" s="10">
        <v>1.0</v>
      </c>
      <c r="F7" s="35"/>
      <c r="G7" s="35">
        <f t="shared" si="1"/>
        <v>0.5</v>
      </c>
      <c r="H7" s="35"/>
      <c r="I7" s="35"/>
      <c r="J7" s="10">
        <v>1.0</v>
      </c>
      <c r="K7" s="35"/>
      <c r="L7" s="10"/>
      <c r="M7" s="10">
        <v>3.0</v>
      </c>
      <c r="N7" s="35">
        <f t="shared" si="2"/>
        <v>1</v>
      </c>
      <c r="O7" s="35">
        <f t="shared" si="3"/>
        <v>0</v>
      </c>
      <c r="P7" s="10">
        <f t="shared" si="4"/>
        <v>4</v>
      </c>
      <c r="Q7" s="10">
        <v>1.0</v>
      </c>
      <c r="R7" s="10">
        <v>2.0</v>
      </c>
      <c r="S7" s="10"/>
      <c r="T7" s="10">
        <v>1.0</v>
      </c>
      <c r="U7" s="10">
        <f t="shared" si="5"/>
        <v>1.25</v>
      </c>
    </row>
    <row r="8">
      <c r="A8" s="25" t="s">
        <v>32</v>
      </c>
      <c r="B8" s="25" t="s">
        <v>41</v>
      </c>
      <c r="C8" s="10">
        <v>1.0</v>
      </c>
      <c r="D8" s="10"/>
      <c r="E8" s="10">
        <v>1.0</v>
      </c>
      <c r="F8" s="35"/>
      <c r="G8" s="35">
        <f t="shared" si="1"/>
        <v>-1</v>
      </c>
      <c r="H8" s="35"/>
      <c r="I8" s="10">
        <v>1.0</v>
      </c>
      <c r="J8" s="10"/>
      <c r="K8" s="35"/>
      <c r="L8" s="35"/>
      <c r="M8" s="10">
        <v>1.0</v>
      </c>
      <c r="N8" s="35">
        <f t="shared" si="2"/>
        <v>1</v>
      </c>
      <c r="O8" s="35">
        <f t="shared" si="3"/>
        <v>0</v>
      </c>
      <c r="P8" s="10">
        <f t="shared" si="4"/>
        <v>0</v>
      </c>
      <c r="Q8" s="10"/>
      <c r="R8" s="10"/>
      <c r="S8" s="35"/>
      <c r="T8" s="35"/>
      <c r="U8" s="10" t="str">
        <f t="shared" si="5"/>
        <v>N/A</v>
      </c>
    </row>
    <row r="9">
      <c r="A9" s="26" t="s">
        <v>34</v>
      </c>
      <c r="B9" s="26" t="s">
        <v>84</v>
      </c>
      <c r="C9" s="10">
        <v>2.0</v>
      </c>
      <c r="D9" s="10"/>
      <c r="E9" s="10"/>
      <c r="F9" s="35"/>
      <c r="G9" s="35">
        <f t="shared" si="1"/>
        <v>0</v>
      </c>
      <c r="H9" s="35"/>
      <c r="I9" s="35"/>
      <c r="J9" s="10"/>
      <c r="K9" s="10">
        <v>1.0</v>
      </c>
      <c r="L9" s="10">
        <v>1.0</v>
      </c>
      <c r="M9" s="10">
        <v>2.0</v>
      </c>
      <c r="N9" s="35">
        <f t="shared" si="2"/>
        <v>0.5</v>
      </c>
      <c r="O9" s="35">
        <f t="shared" si="3"/>
        <v>0.5</v>
      </c>
      <c r="P9" s="10">
        <f t="shared" si="4"/>
        <v>0</v>
      </c>
      <c r="Q9" s="35"/>
      <c r="R9" s="10"/>
      <c r="S9" s="10"/>
      <c r="T9" s="35"/>
      <c r="U9" s="10" t="str">
        <f t="shared" si="5"/>
        <v>N/A</v>
      </c>
    </row>
    <row r="10">
      <c r="M10" s="52"/>
      <c r="N10" s="52"/>
      <c r="O10" s="52"/>
      <c r="P10" s="52"/>
      <c r="Q10" s="52"/>
      <c r="U10" s="52"/>
    </row>
    <row r="11">
      <c r="M11" s="52"/>
      <c r="N11" s="52"/>
      <c r="O11" s="52"/>
      <c r="P11" s="52"/>
      <c r="Q11" s="52"/>
      <c r="U11" s="52"/>
    </row>
    <row r="12">
      <c r="M12" s="52"/>
      <c r="N12" s="52"/>
      <c r="O12" s="52"/>
      <c r="P12" s="52"/>
      <c r="Q12" s="52"/>
      <c r="U12" s="52"/>
    </row>
    <row r="13">
      <c r="M13" s="52"/>
      <c r="N13" s="52"/>
      <c r="O13" s="52"/>
      <c r="P13" s="52"/>
      <c r="Q13" s="52"/>
      <c r="U13" s="52"/>
    </row>
    <row r="14">
      <c r="M14" s="52"/>
      <c r="N14" s="52"/>
      <c r="O14" s="52"/>
      <c r="P14" s="52"/>
      <c r="Q14" s="52"/>
      <c r="U14" s="52"/>
    </row>
    <row r="15">
      <c r="M15" s="52"/>
      <c r="N15" s="52"/>
      <c r="O15" s="52"/>
      <c r="P15" s="52"/>
      <c r="Q15" s="52"/>
      <c r="U15" s="52"/>
    </row>
    <row r="16">
      <c r="M16" s="52"/>
      <c r="N16" s="52"/>
      <c r="O16" s="52"/>
      <c r="P16" s="52"/>
      <c r="Q16" s="52"/>
      <c r="U16" s="52"/>
    </row>
    <row r="17">
      <c r="M17" s="52"/>
      <c r="N17" s="52"/>
      <c r="O17" s="52"/>
      <c r="P17" s="52"/>
      <c r="Q17" s="52"/>
      <c r="U17" s="52"/>
    </row>
    <row r="18">
      <c r="M18" s="52"/>
      <c r="N18" s="52"/>
      <c r="O18" s="52"/>
      <c r="P18" s="52"/>
      <c r="Q18" s="52"/>
      <c r="U18" s="52"/>
    </row>
    <row r="19">
      <c r="M19" s="52"/>
      <c r="N19" s="52"/>
      <c r="O19" s="52"/>
      <c r="P19" s="52"/>
      <c r="Q19" s="52"/>
      <c r="U19" s="52"/>
    </row>
    <row r="20">
      <c r="M20" s="52"/>
      <c r="N20" s="52"/>
      <c r="O20" s="52"/>
      <c r="P20" s="52"/>
      <c r="Q20" s="52"/>
      <c r="U20" s="52"/>
    </row>
    <row r="21">
      <c r="M21" s="52"/>
      <c r="N21" s="52"/>
      <c r="O21" s="52"/>
      <c r="P21" s="52"/>
      <c r="Q21" s="52"/>
      <c r="U21" s="52"/>
    </row>
    <row r="22">
      <c r="M22" s="52"/>
      <c r="N22" s="52"/>
      <c r="O22" s="52"/>
      <c r="P22" s="52"/>
      <c r="Q22" s="52"/>
      <c r="U22" s="52"/>
    </row>
    <row r="23">
      <c r="M23" s="52"/>
      <c r="N23" s="52"/>
      <c r="O23" s="52"/>
      <c r="P23" s="52"/>
      <c r="Q23" s="52"/>
      <c r="U23" s="52"/>
    </row>
    <row r="24">
      <c r="M24" s="52"/>
      <c r="N24" s="52"/>
      <c r="O24" s="52"/>
      <c r="P24" s="52"/>
      <c r="Q24" s="52"/>
      <c r="U24" s="52"/>
    </row>
    <row r="25">
      <c r="M25" s="52"/>
      <c r="N25" s="52"/>
      <c r="O25" s="52"/>
      <c r="P25" s="52"/>
      <c r="Q25" s="52"/>
      <c r="U25" s="52"/>
    </row>
    <row r="26">
      <c r="M26" s="52"/>
      <c r="N26" s="52"/>
      <c r="O26" s="52"/>
      <c r="P26" s="52"/>
      <c r="Q26" s="52"/>
      <c r="U26" s="52"/>
    </row>
    <row r="27">
      <c r="M27" s="52"/>
      <c r="N27" s="52"/>
      <c r="O27" s="52"/>
      <c r="P27" s="52"/>
      <c r="Q27" s="52"/>
      <c r="U27" s="52"/>
    </row>
    <row r="28">
      <c r="M28" s="52"/>
      <c r="N28" s="52"/>
      <c r="O28" s="52"/>
      <c r="P28" s="52"/>
      <c r="Q28" s="52"/>
      <c r="U28" s="52"/>
    </row>
    <row r="29">
      <c r="M29" s="52"/>
      <c r="N29" s="52"/>
      <c r="O29" s="52"/>
      <c r="P29" s="52"/>
      <c r="Q29" s="52"/>
      <c r="U29" s="52"/>
    </row>
    <row r="30">
      <c r="M30" s="52"/>
      <c r="N30" s="52"/>
      <c r="O30" s="52"/>
      <c r="P30" s="52"/>
      <c r="Q30" s="52"/>
      <c r="U30" s="52"/>
    </row>
    <row r="31">
      <c r="M31" s="52"/>
      <c r="N31" s="52"/>
      <c r="O31" s="52"/>
      <c r="P31" s="52"/>
      <c r="Q31" s="52"/>
      <c r="U31" s="52"/>
    </row>
    <row r="32">
      <c r="M32" s="52"/>
      <c r="N32" s="52"/>
      <c r="O32" s="52"/>
      <c r="P32" s="52"/>
      <c r="Q32" s="52"/>
      <c r="U32" s="52"/>
    </row>
    <row r="33">
      <c r="M33" s="52"/>
      <c r="N33" s="52"/>
      <c r="O33" s="52"/>
      <c r="P33" s="52"/>
      <c r="Q33" s="52"/>
      <c r="U33" s="52"/>
    </row>
    <row r="34">
      <c r="M34" s="52"/>
      <c r="N34" s="52"/>
      <c r="O34" s="52"/>
      <c r="P34" s="52"/>
      <c r="Q34" s="52"/>
      <c r="U34" s="52"/>
    </row>
    <row r="35">
      <c r="M35" s="52"/>
      <c r="N35" s="52"/>
      <c r="O35" s="52"/>
      <c r="P35" s="52"/>
      <c r="Q35" s="52"/>
      <c r="U35" s="52"/>
    </row>
    <row r="36">
      <c r="M36" s="52"/>
      <c r="N36" s="52"/>
      <c r="O36" s="52"/>
      <c r="P36" s="52"/>
      <c r="Q36" s="52"/>
      <c r="U36" s="52"/>
    </row>
    <row r="37">
      <c r="M37" s="52"/>
      <c r="N37" s="52"/>
      <c r="O37" s="52"/>
      <c r="P37" s="52"/>
      <c r="Q37" s="52"/>
      <c r="U37" s="52"/>
    </row>
    <row r="38">
      <c r="M38" s="52"/>
      <c r="N38" s="52"/>
      <c r="O38" s="52"/>
      <c r="P38" s="52"/>
      <c r="Q38" s="52"/>
      <c r="U38" s="52"/>
    </row>
    <row r="39">
      <c r="M39" s="52"/>
      <c r="N39" s="52"/>
      <c r="O39" s="52"/>
      <c r="P39" s="52"/>
      <c r="Q39" s="52"/>
      <c r="U39" s="52"/>
    </row>
    <row r="40">
      <c r="M40" s="52"/>
      <c r="N40" s="52"/>
      <c r="O40" s="52"/>
      <c r="P40" s="52"/>
      <c r="Q40" s="52"/>
      <c r="U40" s="52"/>
    </row>
    <row r="41">
      <c r="M41" s="52"/>
      <c r="N41" s="52"/>
      <c r="O41" s="52"/>
      <c r="P41" s="52"/>
      <c r="Q41" s="52"/>
      <c r="U41" s="52"/>
    </row>
    <row r="42">
      <c r="M42" s="52"/>
      <c r="N42" s="52"/>
      <c r="O42" s="52"/>
      <c r="P42" s="52"/>
      <c r="Q42" s="52"/>
      <c r="U42" s="52"/>
    </row>
    <row r="43">
      <c r="M43" s="52"/>
      <c r="N43" s="52"/>
      <c r="O43" s="52"/>
      <c r="P43" s="52"/>
      <c r="Q43" s="52"/>
      <c r="U43" s="52"/>
    </row>
    <row r="44">
      <c r="M44" s="52"/>
      <c r="N44" s="52"/>
      <c r="O44" s="52"/>
      <c r="P44" s="52"/>
      <c r="Q44" s="52"/>
      <c r="U44" s="52"/>
    </row>
    <row r="45">
      <c r="M45" s="52"/>
      <c r="N45" s="52"/>
      <c r="O45" s="52"/>
      <c r="P45" s="52"/>
      <c r="Q45" s="52"/>
      <c r="U45" s="52"/>
    </row>
    <row r="46">
      <c r="M46" s="52"/>
      <c r="N46" s="52"/>
      <c r="O46" s="52"/>
      <c r="P46" s="52"/>
      <c r="Q46" s="52"/>
      <c r="U46" s="52"/>
    </row>
    <row r="47">
      <c r="M47" s="52"/>
      <c r="N47" s="52"/>
      <c r="O47" s="52"/>
      <c r="P47" s="52"/>
      <c r="Q47" s="52"/>
      <c r="U47" s="52"/>
    </row>
    <row r="48">
      <c r="M48" s="52"/>
      <c r="N48" s="52"/>
      <c r="O48" s="52"/>
      <c r="P48" s="52"/>
      <c r="Q48" s="52"/>
      <c r="U48" s="52"/>
    </row>
    <row r="49">
      <c r="M49" s="52"/>
      <c r="N49" s="52"/>
      <c r="O49" s="52"/>
      <c r="P49" s="52"/>
      <c r="Q49" s="52"/>
      <c r="U49" s="52"/>
    </row>
    <row r="50">
      <c r="M50" s="52"/>
      <c r="N50" s="52"/>
      <c r="O50" s="52"/>
      <c r="P50" s="52"/>
      <c r="Q50" s="52"/>
      <c r="U50" s="52"/>
    </row>
    <row r="51">
      <c r="M51" s="52"/>
      <c r="N51" s="52"/>
      <c r="O51" s="52"/>
      <c r="P51" s="52"/>
      <c r="Q51" s="52"/>
      <c r="U51" s="52"/>
    </row>
    <row r="52">
      <c r="M52" s="52"/>
      <c r="N52" s="52"/>
      <c r="O52" s="52"/>
      <c r="P52" s="52"/>
      <c r="Q52" s="52"/>
      <c r="U52" s="52"/>
    </row>
    <row r="53">
      <c r="M53" s="52"/>
      <c r="N53" s="52"/>
      <c r="O53" s="52"/>
      <c r="P53" s="52"/>
      <c r="Q53" s="52"/>
      <c r="U53" s="52"/>
    </row>
    <row r="54">
      <c r="M54" s="52"/>
      <c r="N54" s="52"/>
      <c r="O54" s="52"/>
      <c r="P54" s="52"/>
      <c r="Q54" s="52"/>
      <c r="U54" s="52"/>
    </row>
    <row r="55">
      <c r="M55" s="52"/>
      <c r="N55" s="52"/>
      <c r="O55" s="52"/>
      <c r="P55" s="52"/>
      <c r="Q55" s="52"/>
      <c r="U55" s="52"/>
    </row>
    <row r="56">
      <c r="M56" s="52"/>
      <c r="N56" s="52"/>
      <c r="O56" s="52"/>
      <c r="P56" s="52"/>
      <c r="Q56" s="52"/>
      <c r="U56" s="52"/>
    </row>
    <row r="57">
      <c r="M57" s="52"/>
      <c r="N57" s="52"/>
      <c r="O57" s="52"/>
      <c r="P57" s="52"/>
      <c r="Q57" s="52"/>
      <c r="U57" s="52"/>
    </row>
    <row r="58">
      <c r="M58" s="52"/>
      <c r="N58" s="52"/>
      <c r="O58" s="52"/>
      <c r="P58" s="52"/>
      <c r="Q58" s="52"/>
      <c r="U58" s="52"/>
    </row>
    <row r="59">
      <c r="M59" s="52"/>
      <c r="N59" s="52"/>
      <c r="O59" s="52"/>
      <c r="P59" s="52"/>
      <c r="Q59" s="52"/>
      <c r="U59" s="52"/>
    </row>
    <row r="60">
      <c r="M60" s="52"/>
      <c r="N60" s="52"/>
      <c r="O60" s="52"/>
      <c r="P60" s="52"/>
      <c r="Q60" s="52"/>
      <c r="U60" s="52"/>
    </row>
    <row r="61">
      <c r="M61" s="52"/>
      <c r="N61" s="52"/>
      <c r="O61" s="52"/>
      <c r="P61" s="52"/>
      <c r="Q61" s="52"/>
      <c r="U61" s="52"/>
    </row>
    <row r="62">
      <c r="M62" s="52"/>
      <c r="N62" s="52"/>
      <c r="O62" s="52"/>
      <c r="P62" s="52"/>
      <c r="Q62" s="52"/>
      <c r="U62" s="52"/>
    </row>
    <row r="63">
      <c r="M63" s="52"/>
      <c r="N63" s="52"/>
      <c r="O63" s="52"/>
      <c r="P63" s="52"/>
      <c r="Q63" s="52"/>
      <c r="U63" s="52"/>
    </row>
    <row r="64">
      <c r="M64" s="52"/>
      <c r="N64" s="52"/>
      <c r="O64" s="52"/>
      <c r="P64" s="52"/>
      <c r="Q64" s="52"/>
      <c r="U64" s="52"/>
    </row>
    <row r="65">
      <c r="M65" s="52"/>
      <c r="N65" s="52"/>
      <c r="O65" s="52"/>
      <c r="P65" s="52"/>
      <c r="Q65" s="52"/>
      <c r="U65" s="52"/>
    </row>
    <row r="66">
      <c r="M66" s="52"/>
      <c r="N66" s="52"/>
      <c r="O66" s="52"/>
      <c r="P66" s="52"/>
      <c r="Q66" s="52"/>
      <c r="U66" s="52"/>
    </row>
    <row r="67">
      <c r="M67" s="52"/>
      <c r="N67" s="52"/>
      <c r="O67" s="52"/>
      <c r="P67" s="52"/>
      <c r="Q67" s="52"/>
      <c r="U67" s="52"/>
    </row>
    <row r="68">
      <c r="M68" s="52"/>
      <c r="N68" s="52"/>
      <c r="O68" s="52"/>
      <c r="P68" s="52"/>
      <c r="Q68" s="52"/>
      <c r="U68" s="52"/>
    </row>
    <row r="69">
      <c r="M69" s="52"/>
      <c r="N69" s="52"/>
      <c r="O69" s="52"/>
      <c r="P69" s="52"/>
      <c r="Q69" s="52"/>
      <c r="U69" s="52"/>
    </row>
    <row r="70">
      <c r="M70" s="52"/>
      <c r="N70" s="52"/>
      <c r="O70" s="52"/>
      <c r="P70" s="52"/>
      <c r="Q70" s="52"/>
      <c r="U70" s="52"/>
    </row>
    <row r="71">
      <c r="M71" s="52"/>
      <c r="N71" s="52"/>
      <c r="O71" s="52"/>
      <c r="P71" s="52"/>
      <c r="Q71" s="52"/>
      <c r="U71" s="52"/>
    </row>
    <row r="72">
      <c r="M72" s="52"/>
      <c r="N72" s="52"/>
      <c r="O72" s="52"/>
      <c r="P72" s="52"/>
      <c r="Q72" s="52"/>
      <c r="U72" s="52"/>
    </row>
    <row r="73">
      <c r="M73" s="52"/>
      <c r="N73" s="52"/>
      <c r="O73" s="52"/>
      <c r="P73" s="52"/>
      <c r="Q73" s="52"/>
      <c r="U73" s="52"/>
    </row>
    <row r="74">
      <c r="M74" s="52"/>
      <c r="N74" s="52"/>
      <c r="O74" s="52"/>
      <c r="P74" s="52"/>
      <c r="Q74" s="52"/>
      <c r="U74" s="52"/>
    </row>
    <row r="75">
      <c r="M75" s="52"/>
      <c r="N75" s="52"/>
      <c r="O75" s="52"/>
      <c r="P75" s="52"/>
      <c r="Q75" s="52"/>
      <c r="U75" s="52"/>
    </row>
    <row r="76">
      <c r="M76" s="52"/>
      <c r="N76" s="52"/>
      <c r="O76" s="52"/>
      <c r="P76" s="52"/>
      <c r="Q76" s="52"/>
      <c r="U76" s="52"/>
    </row>
    <row r="77">
      <c r="M77" s="52"/>
      <c r="N77" s="52"/>
      <c r="O77" s="52"/>
      <c r="P77" s="52"/>
      <c r="Q77" s="52"/>
      <c r="U77" s="52"/>
    </row>
    <row r="78">
      <c r="M78" s="52"/>
      <c r="N78" s="52"/>
      <c r="O78" s="52"/>
      <c r="P78" s="52"/>
      <c r="Q78" s="52"/>
      <c r="U78" s="52"/>
    </row>
    <row r="79">
      <c r="M79" s="52"/>
      <c r="N79" s="52"/>
      <c r="O79" s="52"/>
      <c r="P79" s="52"/>
      <c r="Q79" s="52"/>
      <c r="U79" s="52"/>
    </row>
    <row r="80">
      <c r="M80" s="52"/>
      <c r="N80" s="52"/>
      <c r="O80" s="52"/>
      <c r="P80" s="52"/>
      <c r="Q80" s="52"/>
      <c r="U80" s="52"/>
    </row>
    <row r="81">
      <c r="M81" s="52"/>
      <c r="N81" s="52"/>
      <c r="O81" s="52"/>
      <c r="P81" s="52"/>
      <c r="Q81" s="52"/>
      <c r="U81" s="52"/>
    </row>
    <row r="82">
      <c r="M82" s="52"/>
      <c r="N82" s="52"/>
      <c r="O82" s="52"/>
      <c r="P82" s="52"/>
      <c r="Q82" s="52"/>
      <c r="U82" s="52"/>
    </row>
    <row r="83">
      <c r="M83" s="52"/>
      <c r="N83" s="52"/>
      <c r="O83" s="52"/>
      <c r="P83" s="52"/>
      <c r="Q83" s="52"/>
      <c r="U83" s="52"/>
    </row>
    <row r="84">
      <c r="M84" s="52"/>
      <c r="N84" s="52"/>
      <c r="O84" s="52"/>
      <c r="P84" s="52"/>
      <c r="Q84" s="52"/>
      <c r="U84" s="52"/>
    </row>
    <row r="85">
      <c r="M85" s="52"/>
      <c r="N85" s="52"/>
      <c r="O85" s="52"/>
      <c r="P85" s="52"/>
      <c r="Q85" s="52"/>
      <c r="U85" s="52"/>
    </row>
    <row r="86">
      <c r="M86" s="52"/>
      <c r="N86" s="52"/>
      <c r="O86" s="52"/>
      <c r="P86" s="52"/>
      <c r="Q86" s="52"/>
      <c r="U86" s="52"/>
    </row>
    <row r="87">
      <c r="M87" s="52"/>
      <c r="N87" s="52"/>
      <c r="O87" s="52"/>
      <c r="P87" s="52"/>
      <c r="Q87" s="52"/>
      <c r="U87" s="52"/>
    </row>
    <row r="88">
      <c r="M88" s="52"/>
      <c r="N88" s="52"/>
      <c r="O88" s="52"/>
      <c r="P88" s="52"/>
      <c r="Q88" s="52"/>
      <c r="U88" s="52"/>
    </row>
    <row r="89">
      <c r="M89" s="52"/>
      <c r="N89" s="52"/>
      <c r="O89" s="52"/>
      <c r="P89" s="52"/>
      <c r="Q89" s="52"/>
      <c r="U89" s="52"/>
    </row>
    <row r="90">
      <c r="M90" s="52"/>
      <c r="N90" s="52"/>
      <c r="O90" s="52"/>
      <c r="P90" s="52"/>
      <c r="Q90" s="52"/>
      <c r="U90" s="52"/>
    </row>
    <row r="91">
      <c r="M91" s="52"/>
      <c r="N91" s="52"/>
      <c r="O91" s="52"/>
      <c r="P91" s="52"/>
      <c r="Q91" s="52"/>
      <c r="U91" s="52"/>
    </row>
    <row r="92">
      <c r="M92" s="52"/>
      <c r="N92" s="52"/>
      <c r="O92" s="52"/>
      <c r="P92" s="52"/>
      <c r="Q92" s="52"/>
      <c r="U92" s="52"/>
    </row>
    <row r="93">
      <c r="M93" s="52"/>
      <c r="N93" s="52"/>
      <c r="O93" s="52"/>
      <c r="P93" s="52"/>
      <c r="Q93" s="52"/>
      <c r="U93" s="52"/>
    </row>
    <row r="94">
      <c r="M94" s="52"/>
      <c r="N94" s="52"/>
      <c r="O94" s="52"/>
      <c r="P94" s="52"/>
      <c r="Q94" s="52"/>
      <c r="U94" s="52"/>
    </row>
    <row r="95">
      <c r="M95" s="52"/>
      <c r="N95" s="52"/>
      <c r="O95" s="52"/>
      <c r="P95" s="52"/>
      <c r="Q95" s="52"/>
      <c r="U95" s="52"/>
    </row>
    <row r="96">
      <c r="M96" s="52"/>
      <c r="N96" s="52"/>
      <c r="O96" s="52"/>
      <c r="P96" s="52"/>
      <c r="Q96" s="52"/>
      <c r="U96" s="52"/>
    </row>
    <row r="97">
      <c r="M97" s="52"/>
      <c r="N97" s="52"/>
      <c r="O97" s="52"/>
      <c r="P97" s="52"/>
      <c r="Q97" s="52"/>
      <c r="U97" s="52"/>
    </row>
    <row r="98">
      <c r="M98" s="52"/>
      <c r="N98" s="52"/>
      <c r="O98" s="52"/>
      <c r="P98" s="52"/>
      <c r="Q98" s="52"/>
      <c r="U98" s="52"/>
    </row>
    <row r="99">
      <c r="M99" s="52"/>
      <c r="N99" s="52"/>
      <c r="O99" s="52"/>
      <c r="P99" s="52"/>
      <c r="Q99" s="52"/>
      <c r="U99" s="52"/>
    </row>
    <row r="100">
      <c r="M100" s="52"/>
      <c r="N100" s="52"/>
      <c r="O100" s="52"/>
      <c r="P100" s="52"/>
      <c r="Q100" s="52"/>
      <c r="U100" s="52"/>
    </row>
    <row r="101">
      <c r="M101" s="52"/>
      <c r="N101" s="52"/>
      <c r="O101" s="52"/>
      <c r="P101" s="52"/>
      <c r="Q101" s="52"/>
      <c r="U101" s="52"/>
    </row>
    <row r="102">
      <c r="M102" s="52"/>
      <c r="N102" s="52"/>
      <c r="O102" s="52"/>
      <c r="P102" s="52"/>
      <c r="Q102" s="52"/>
      <c r="U102" s="52"/>
    </row>
    <row r="103">
      <c r="M103" s="52"/>
      <c r="N103" s="52"/>
      <c r="O103" s="52"/>
      <c r="P103" s="52"/>
      <c r="Q103" s="52"/>
      <c r="U103" s="52"/>
    </row>
    <row r="104">
      <c r="M104" s="52"/>
      <c r="N104" s="52"/>
      <c r="O104" s="52"/>
      <c r="P104" s="52"/>
      <c r="Q104" s="52"/>
      <c r="U104" s="52"/>
    </row>
    <row r="105">
      <c r="M105" s="52"/>
      <c r="N105" s="52"/>
      <c r="O105" s="52"/>
      <c r="P105" s="52"/>
      <c r="Q105" s="52"/>
      <c r="U105" s="52"/>
    </row>
    <row r="106">
      <c r="M106" s="52"/>
      <c r="N106" s="52"/>
      <c r="O106" s="52"/>
      <c r="P106" s="52"/>
      <c r="Q106" s="52"/>
      <c r="U106" s="52"/>
    </row>
    <row r="107">
      <c r="M107" s="52"/>
      <c r="N107" s="52"/>
      <c r="O107" s="52"/>
      <c r="P107" s="52"/>
      <c r="Q107" s="52"/>
      <c r="U107" s="52"/>
    </row>
    <row r="108">
      <c r="M108" s="52"/>
      <c r="N108" s="52"/>
      <c r="O108" s="52"/>
      <c r="P108" s="52"/>
      <c r="Q108" s="52"/>
      <c r="U108" s="52"/>
    </row>
    <row r="109">
      <c r="M109" s="52"/>
      <c r="N109" s="52"/>
      <c r="O109" s="52"/>
      <c r="P109" s="52"/>
      <c r="Q109" s="52"/>
      <c r="U109" s="52"/>
    </row>
    <row r="110">
      <c r="M110" s="52"/>
      <c r="N110" s="52"/>
      <c r="O110" s="52"/>
      <c r="P110" s="52"/>
      <c r="Q110" s="52"/>
      <c r="U110" s="52"/>
    </row>
    <row r="111">
      <c r="M111" s="52"/>
      <c r="N111" s="52"/>
      <c r="O111" s="52"/>
      <c r="P111" s="52"/>
      <c r="Q111" s="52"/>
      <c r="U111" s="52"/>
    </row>
    <row r="112">
      <c r="M112" s="52"/>
      <c r="N112" s="52"/>
      <c r="O112" s="52"/>
      <c r="P112" s="52"/>
      <c r="Q112" s="52"/>
      <c r="U112" s="52"/>
    </row>
    <row r="113">
      <c r="M113" s="52"/>
      <c r="N113" s="52"/>
      <c r="O113" s="52"/>
      <c r="P113" s="52"/>
      <c r="Q113" s="52"/>
      <c r="U113" s="52"/>
    </row>
    <row r="114">
      <c r="M114" s="52"/>
      <c r="N114" s="52"/>
      <c r="O114" s="52"/>
      <c r="P114" s="52"/>
      <c r="Q114" s="52"/>
      <c r="U114" s="52"/>
    </row>
    <row r="115">
      <c r="M115" s="52"/>
      <c r="N115" s="52"/>
      <c r="O115" s="52"/>
      <c r="P115" s="52"/>
      <c r="Q115" s="52"/>
      <c r="U115" s="52"/>
    </row>
    <row r="116">
      <c r="M116" s="52"/>
      <c r="N116" s="52"/>
      <c r="O116" s="52"/>
      <c r="P116" s="52"/>
      <c r="Q116" s="52"/>
      <c r="U116" s="52"/>
    </row>
    <row r="117">
      <c r="M117" s="52"/>
      <c r="N117" s="52"/>
      <c r="O117" s="52"/>
      <c r="P117" s="52"/>
      <c r="Q117" s="52"/>
      <c r="U117" s="52"/>
    </row>
    <row r="118">
      <c r="M118" s="52"/>
      <c r="N118" s="52"/>
      <c r="O118" s="52"/>
      <c r="P118" s="52"/>
      <c r="Q118" s="52"/>
      <c r="U118" s="52"/>
    </row>
    <row r="119">
      <c r="M119" s="52"/>
      <c r="N119" s="52"/>
      <c r="O119" s="52"/>
      <c r="P119" s="52"/>
      <c r="Q119" s="52"/>
      <c r="U119" s="52"/>
    </row>
    <row r="120">
      <c r="M120" s="52"/>
      <c r="N120" s="52"/>
      <c r="O120" s="52"/>
      <c r="P120" s="52"/>
      <c r="Q120" s="52"/>
      <c r="U120" s="52"/>
    </row>
    <row r="121">
      <c r="M121" s="52"/>
      <c r="N121" s="52"/>
      <c r="O121" s="52"/>
      <c r="P121" s="52"/>
      <c r="Q121" s="52"/>
      <c r="U121" s="52"/>
    </row>
    <row r="122">
      <c r="M122" s="52"/>
      <c r="N122" s="52"/>
      <c r="O122" s="52"/>
      <c r="P122" s="52"/>
      <c r="Q122" s="52"/>
      <c r="U122" s="52"/>
    </row>
    <row r="123">
      <c r="M123" s="52"/>
      <c r="N123" s="52"/>
      <c r="O123" s="52"/>
      <c r="P123" s="52"/>
      <c r="Q123" s="52"/>
      <c r="U123" s="52"/>
    </row>
    <row r="124">
      <c r="M124" s="52"/>
      <c r="N124" s="52"/>
      <c r="O124" s="52"/>
      <c r="P124" s="52"/>
      <c r="Q124" s="52"/>
      <c r="U124" s="52"/>
    </row>
    <row r="125">
      <c r="M125" s="52"/>
      <c r="N125" s="52"/>
      <c r="O125" s="52"/>
      <c r="P125" s="52"/>
      <c r="Q125" s="52"/>
      <c r="U125" s="52"/>
    </row>
    <row r="126">
      <c r="M126" s="52"/>
      <c r="N126" s="52"/>
      <c r="O126" s="52"/>
      <c r="P126" s="52"/>
      <c r="Q126" s="52"/>
      <c r="U126" s="52"/>
    </row>
    <row r="127">
      <c r="M127" s="52"/>
      <c r="N127" s="52"/>
      <c r="O127" s="52"/>
      <c r="P127" s="52"/>
      <c r="Q127" s="52"/>
      <c r="U127" s="52"/>
    </row>
    <row r="128">
      <c r="M128" s="52"/>
      <c r="N128" s="52"/>
      <c r="O128" s="52"/>
      <c r="P128" s="52"/>
      <c r="Q128" s="52"/>
      <c r="U128" s="52"/>
    </row>
    <row r="129">
      <c r="M129" s="52"/>
      <c r="N129" s="52"/>
      <c r="O129" s="52"/>
      <c r="P129" s="52"/>
      <c r="Q129" s="52"/>
      <c r="U129" s="52"/>
    </row>
    <row r="130">
      <c r="M130" s="52"/>
      <c r="N130" s="52"/>
      <c r="O130" s="52"/>
      <c r="P130" s="52"/>
      <c r="Q130" s="52"/>
      <c r="U130" s="52"/>
    </row>
    <row r="131">
      <c r="M131" s="52"/>
      <c r="N131" s="52"/>
      <c r="O131" s="52"/>
      <c r="P131" s="52"/>
      <c r="Q131" s="52"/>
      <c r="U131" s="52"/>
    </row>
    <row r="132">
      <c r="M132" s="52"/>
      <c r="N132" s="52"/>
      <c r="O132" s="52"/>
      <c r="P132" s="52"/>
      <c r="Q132" s="52"/>
      <c r="U132" s="52"/>
    </row>
    <row r="133">
      <c r="M133" s="52"/>
      <c r="N133" s="52"/>
      <c r="O133" s="52"/>
      <c r="P133" s="52"/>
      <c r="Q133" s="52"/>
      <c r="U133" s="52"/>
    </row>
    <row r="134">
      <c r="M134" s="52"/>
      <c r="N134" s="52"/>
      <c r="O134" s="52"/>
      <c r="P134" s="52"/>
      <c r="Q134" s="52"/>
      <c r="U134" s="52"/>
    </row>
    <row r="135">
      <c r="M135" s="52"/>
      <c r="N135" s="52"/>
      <c r="O135" s="52"/>
      <c r="P135" s="52"/>
      <c r="Q135" s="52"/>
      <c r="U135" s="52"/>
    </row>
    <row r="136">
      <c r="M136" s="52"/>
      <c r="N136" s="52"/>
      <c r="O136" s="52"/>
      <c r="P136" s="52"/>
      <c r="Q136" s="52"/>
      <c r="U136" s="52"/>
    </row>
    <row r="137">
      <c r="M137" s="52"/>
      <c r="N137" s="52"/>
      <c r="O137" s="52"/>
      <c r="P137" s="52"/>
      <c r="Q137" s="52"/>
      <c r="U137" s="52"/>
    </row>
    <row r="138">
      <c r="M138" s="52"/>
      <c r="N138" s="52"/>
      <c r="O138" s="52"/>
      <c r="P138" s="52"/>
      <c r="Q138" s="52"/>
      <c r="U138" s="52"/>
    </row>
    <row r="139">
      <c r="M139" s="52"/>
      <c r="N139" s="52"/>
      <c r="O139" s="52"/>
      <c r="P139" s="52"/>
      <c r="Q139" s="52"/>
      <c r="U139" s="52"/>
    </row>
    <row r="140">
      <c r="M140" s="52"/>
      <c r="N140" s="52"/>
      <c r="O140" s="52"/>
      <c r="P140" s="52"/>
      <c r="Q140" s="52"/>
      <c r="U140" s="52"/>
    </row>
    <row r="141">
      <c r="M141" s="52"/>
      <c r="N141" s="52"/>
      <c r="O141" s="52"/>
      <c r="P141" s="52"/>
      <c r="Q141" s="52"/>
      <c r="U141" s="52"/>
    </row>
    <row r="142">
      <c r="M142" s="52"/>
      <c r="N142" s="52"/>
      <c r="O142" s="52"/>
      <c r="P142" s="52"/>
      <c r="Q142" s="52"/>
      <c r="U142" s="52"/>
    </row>
    <row r="143">
      <c r="M143" s="52"/>
      <c r="N143" s="52"/>
      <c r="O143" s="52"/>
      <c r="P143" s="52"/>
      <c r="Q143" s="52"/>
      <c r="U143" s="52"/>
    </row>
    <row r="144">
      <c r="M144" s="52"/>
      <c r="N144" s="52"/>
      <c r="O144" s="52"/>
      <c r="P144" s="52"/>
      <c r="Q144" s="52"/>
      <c r="U144" s="52"/>
    </row>
    <row r="145">
      <c r="M145" s="52"/>
      <c r="N145" s="52"/>
      <c r="O145" s="52"/>
      <c r="P145" s="52"/>
      <c r="Q145" s="52"/>
      <c r="U145" s="52"/>
    </row>
    <row r="146">
      <c r="M146" s="52"/>
      <c r="N146" s="52"/>
      <c r="O146" s="52"/>
      <c r="P146" s="52"/>
      <c r="Q146" s="52"/>
      <c r="U146" s="52"/>
    </row>
    <row r="147">
      <c r="M147" s="52"/>
      <c r="N147" s="52"/>
      <c r="O147" s="52"/>
      <c r="P147" s="52"/>
      <c r="Q147" s="52"/>
      <c r="U147" s="52"/>
    </row>
    <row r="148">
      <c r="M148" s="52"/>
      <c r="N148" s="52"/>
      <c r="O148" s="52"/>
      <c r="P148" s="52"/>
      <c r="Q148" s="52"/>
      <c r="U148" s="52"/>
    </row>
    <row r="149">
      <c r="M149" s="52"/>
      <c r="N149" s="52"/>
      <c r="O149" s="52"/>
      <c r="P149" s="52"/>
      <c r="Q149" s="52"/>
      <c r="U149" s="52"/>
    </row>
    <row r="150">
      <c r="M150" s="52"/>
      <c r="N150" s="52"/>
      <c r="O150" s="52"/>
      <c r="P150" s="52"/>
      <c r="Q150" s="52"/>
      <c r="U150" s="52"/>
    </row>
    <row r="151">
      <c r="M151" s="52"/>
      <c r="N151" s="52"/>
      <c r="O151" s="52"/>
      <c r="P151" s="52"/>
      <c r="Q151" s="52"/>
      <c r="U151" s="52"/>
    </row>
    <row r="152">
      <c r="M152" s="52"/>
      <c r="N152" s="52"/>
      <c r="O152" s="52"/>
      <c r="P152" s="52"/>
      <c r="Q152" s="52"/>
      <c r="U152" s="52"/>
    </row>
    <row r="153">
      <c r="M153" s="52"/>
      <c r="N153" s="52"/>
      <c r="O153" s="52"/>
      <c r="P153" s="52"/>
      <c r="Q153" s="52"/>
      <c r="U153" s="52"/>
    </row>
    <row r="154">
      <c r="M154" s="52"/>
      <c r="N154" s="52"/>
      <c r="O154" s="52"/>
      <c r="P154" s="52"/>
      <c r="Q154" s="52"/>
      <c r="U154" s="52"/>
    </row>
    <row r="155">
      <c r="M155" s="52"/>
      <c r="N155" s="52"/>
      <c r="O155" s="52"/>
      <c r="P155" s="52"/>
      <c r="Q155" s="52"/>
      <c r="U155" s="52"/>
    </row>
    <row r="156">
      <c r="M156" s="52"/>
      <c r="N156" s="52"/>
      <c r="O156" s="52"/>
      <c r="P156" s="52"/>
      <c r="Q156" s="52"/>
      <c r="U156" s="52"/>
    </row>
    <row r="157">
      <c r="M157" s="52"/>
      <c r="N157" s="52"/>
      <c r="O157" s="52"/>
      <c r="P157" s="52"/>
      <c r="Q157" s="52"/>
      <c r="U157" s="52"/>
    </row>
    <row r="158">
      <c r="M158" s="52"/>
      <c r="N158" s="52"/>
      <c r="O158" s="52"/>
      <c r="P158" s="52"/>
      <c r="Q158" s="52"/>
      <c r="U158" s="52"/>
    </row>
    <row r="159">
      <c r="M159" s="52"/>
      <c r="N159" s="52"/>
      <c r="O159" s="52"/>
      <c r="P159" s="52"/>
      <c r="Q159" s="52"/>
      <c r="U159" s="52"/>
    </row>
    <row r="160">
      <c r="M160" s="52"/>
      <c r="N160" s="52"/>
      <c r="O160" s="52"/>
      <c r="P160" s="52"/>
      <c r="Q160" s="52"/>
      <c r="U160" s="52"/>
    </row>
    <row r="161">
      <c r="M161" s="52"/>
      <c r="N161" s="52"/>
      <c r="O161" s="52"/>
      <c r="P161" s="52"/>
      <c r="Q161" s="52"/>
      <c r="U161" s="52"/>
    </row>
    <row r="162">
      <c r="M162" s="52"/>
      <c r="N162" s="52"/>
      <c r="O162" s="52"/>
      <c r="P162" s="52"/>
      <c r="Q162" s="52"/>
      <c r="U162" s="52"/>
    </row>
    <row r="163">
      <c r="M163" s="52"/>
      <c r="N163" s="52"/>
      <c r="O163" s="52"/>
      <c r="P163" s="52"/>
      <c r="Q163" s="52"/>
      <c r="U163" s="52"/>
    </row>
    <row r="164">
      <c r="M164" s="52"/>
      <c r="N164" s="52"/>
      <c r="O164" s="52"/>
      <c r="P164" s="52"/>
      <c r="Q164" s="52"/>
      <c r="U164" s="52"/>
    </row>
    <row r="165">
      <c r="M165" s="52"/>
      <c r="N165" s="52"/>
      <c r="O165" s="52"/>
      <c r="P165" s="52"/>
      <c r="Q165" s="52"/>
      <c r="U165" s="52"/>
    </row>
    <row r="166">
      <c r="M166" s="52"/>
      <c r="N166" s="52"/>
      <c r="O166" s="52"/>
      <c r="P166" s="52"/>
      <c r="Q166" s="52"/>
      <c r="U166" s="52"/>
    </row>
    <row r="167">
      <c r="M167" s="52"/>
      <c r="N167" s="52"/>
      <c r="O167" s="52"/>
      <c r="P167" s="52"/>
      <c r="Q167" s="52"/>
      <c r="U167" s="52"/>
    </row>
    <row r="168">
      <c r="M168" s="52"/>
      <c r="N168" s="52"/>
      <c r="O168" s="52"/>
      <c r="P168" s="52"/>
      <c r="Q168" s="52"/>
      <c r="U168" s="52"/>
    </row>
    <row r="169">
      <c r="M169" s="52"/>
      <c r="N169" s="52"/>
      <c r="O169" s="52"/>
      <c r="P169" s="52"/>
      <c r="Q169" s="52"/>
      <c r="U169" s="52"/>
    </row>
    <row r="170">
      <c r="M170" s="52"/>
      <c r="N170" s="52"/>
      <c r="O170" s="52"/>
      <c r="P170" s="52"/>
      <c r="Q170" s="52"/>
      <c r="U170" s="52"/>
    </row>
    <row r="171">
      <c r="M171" s="52"/>
      <c r="N171" s="52"/>
      <c r="O171" s="52"/>
      <c r="P171" s="52"/>
      <c r="Q171" s="52"/>
      <c r="U171" s="52"/>
    </row>
    <row r="172">
      <c r="M172" s="52"/>
      <c r="N172" s="52"/>
      <c r="O172" s="52"/>
      <c r="P172" s="52"/>
      <c r="Q172" s="52"/>
      <c r="U172" s="52"/>
    </row>
    <row r="173">
      <c r="M173" s="52"/>
      <c r="N173" s="52"/>
      <c r="O173" s="52"/>
      <c r="P173" s="52"/>
      <c r="Q173" s="52"/>
      <c r="U173" s="52"/>
    </row>
    <row r="174">
      <c r="M174" s="52"/>
      <c r="N174" s="52"/>
      <c r="O174" s="52"/>
      <c r="P174" s="52"/>
      <c r="Q174" s="52"/>
      <c r="U174" s="52"/>
    </row>
    <row r="175">
      <c r="M175" s="52"/>
      <c r="N175" s="52"/>
      <c r="O175" s="52"/>
      <c r="P175" s="52"/>
      <c r="Q175" s="52"/>
      <c r="U175" s="52"/>
    </row>
    <row r="176">
      <c r="M176" s="52"/>
      <c r="N176" s="52"/>
      <c r="O176" s="52"/>
      <c r="P176" s="52"/>
      <c r="Q176" s="52"/>
      <c r="U176" s="52"/>
    </row>
    <row r="177">
      <c r="M177" s="52"/>
      <c r="N177" s="52"/>
      <c r="O177" s="52"/>
      <c r="P177" s="52"/>
      <c r="Q177" s="52"/>
      <c r="U177" s="52"/>
    </row>
    <row r="178">
      <c r="M178" s="52"/>
      <c r="N178" s="52"/>
      <c r="O178" s="52"/>
      <c r="P178" s="52"/>
      <c r="Q178" s="52"/>
      <c r="U178" s="52"/>
    </row>
    <row r="179">
      <c r="M179" s="52"/>
      <c r="N179" s="52"/>
      <c r="O179" s="52"/>
      <c r="P179" s="52"/>
      <c r="Q179" s="52"/>
      <c r="U179" s="52"/>
    </row>
    <row r="180">
      <c r="M180" s="52"/>
      <c r="N180" s="52"/>
      <c r="O180" s="52"/>
      <c r="P180" s="52"/>
      <c r="Q180" s="52"/>
      <c r="U180" s="52"/>
    </row>
    <row r="181">
      <c r="M181" s="52"/>
      <c r="N181" s="52"/>
      <c r="O181" s="52"/>
      <c r="P181" s="52"/>
      <c r="Q181" s="52"/>
      <c r="U181" s="52"/>
    </row>
    <row r="182">
      <c r="M182" s="52"/>
      <c r="N182" s="52"/>
      <c r="O182" s="52"/>
      <c r="P182" s="52"/>
      <c r="Q182" s="52"/>
      <c r="U182" s="52"/>
    </row>
    <row r="183">
      <c r="M183" s="52"/>
      <c r="N183" s="52"/>
      <c r="O183" s="52"/>
      <c r="P183" s="52"/>
      <c r="Q183" s="52"/>
      <c r="U183" s="52"/>
    </row>
    <row r="184">
      <c r="M184" s="52"/>
      <c r="N184" s="52"/>
      <c r="O184" s="52"/>
      <c r="P184" s="52"/>
      <c r="Q184" s="52"/>
      <c r="U184" s="52"/>
    </row>
    <row r="185">
      <c r="M185" s="52"/>
      <c r="N185" s="52"/>
      <c r="O185" s="52"/>
      <c r="P185" s="52"/>
      <c r="Q185" s="52"/>
      <c r="U185" s="52"/>
    </row>
    <row r="186">
      <c r="M186" s="52"/>
      <c r="N186" s="52"/>
      <c r="O186" s="52"/>
      <c r="P186" s="52"/>
      <c r="Q186" s="52"/>
      <c r="U186" s="52"/>
    </row>
    <row r="187">
      <c r="M187" s="52"/>
      <c r="N187" s="52"/>
      <c r="O187" s="52"/>
      <c r="P187" s="52"/>
      <c r="Q187" s="52"/>
      <c r="U187" s="52"/>
    </row>
    <row r="188">
      <c r="M188" s="52"/>
      <c r="N188" s="52"/>
      <c r="O188" s="52"/>
      <c r="P188" s="52"/>
      <c r="Q188" s="52"/>
      <c r="U188" s="52"/>
    </row>
    <row r="189">
      <c r="M189" s="52"/>
      <c r="N189" s="52"/>
      <c r="O189" s="52"/>
      <c r="P189" s="52"/>
      <c r="Q189" s="52"/>
      <c r="U189" s="52"/>
    </row>
    <row r="190">
      <c r="M190" s="52"/>
      <c r="N190" s="52"/>
      <c r="O190" s="52"/>
      <c r="P190" s="52"/>
      <c r="Q190" s="52"/>
      <c r="U190" s="52"/>
    </row>
    <row r="191">
      <c r="M191" s="52"/>
      <c r="N191" s="52"/>
      <c r="O191" s="52"/>
      <c r="P191" s="52"/>
      <c r="Q191" s="52"/>
      <c r="U191" s="52"/>
    </row>
    <row r="192">
      <c r="M192" s="52"/>
      <c r="N192" s="52"/>
      <c r="O192" s="52"/>
      <c r="P192" s="52"/>
      <c r="Q192" s="52"/>
      <c r="U192" s="52"/>
    </row>
    <row r="193">
      <c r="M193" s="52"/>
      <c r="N193" s="52"/>
      <c r="O193" s="52"/>
      <c r="P193" s="52"/>
      <c r="Q193" s="52"/>
      <c r="U193" s="52"/>
    </row>
    <row r="194">
      <c r="M194" s="52"/>
      <c r="N194" s="52"/>
      <c r="O194" s="52"/>
      <c r="P194" s="52"/>
      <c r="Q194" s="52"/>
      <c r="U194" s="52"/>
    </row>
    <row r="195">
      <c r="M195" s="52"/>
      <c r="N195" s="52"/>
      <c r="O195" s="52"/>
      <c r="P195" s="52"/>
      <c r="Q195" s="52"/>
      <c r="U195" s="52"/>
    </row>
    <row r="196">
      <c r="M196" s="52"/>
      <c r="N196" s="52"/>
      <c r="O196" s="52"/>
      <c r="P196" s="52"/>
      <c r="Q196" s="52"/>
      <c r="U196" s="52"/>
    </row>
    <row r="197">
      <c r="M197" s="52"/>
      <c r="N197" s="52"/>
      <c r="O197" s="52"/>
      <c r="P197" s="52"/>
      <c r="Q197" s="52"/>
      <c r="U197" s="52"/>
    </row>
    <row r="198">
      <c r="M198" s="52"/>
      <c r="N198" s="52"/>
      <c r="O198" s="52"/>
      <c r="P198" s="52"/>
      <c r="Q198" s="52"/>
      <c r="U198" s="52"/>
    </row>
    <row r="199">
      <c r="M199" s="52"/>
      <c r="N199" s="52"/>
      <c r="O199" s="52"/>
      <c r="P199" s="52"/>
      <c r="Q199" s="52"/>
      <c r="U199" s="52"/>
    </row>
    <row r="200">
      <c r="M200" s="52"/>
      <c r="N200" s="52"/>
      <c r="O200" s="52"/>
      <c r="P200" s="52"/>
      <c r="Q200" s="52"/>
      <c r="U200" s="52"/>
    </row>
    <row r="201">
      <c r="M201" s="52"/>
      <c r="N201" s="52"/>
      <c r="O201" s="52"/>
      <c r="P201" s="52"/>
      <c r="Q201" s="52"/>
      <c r="U201" s="52"/>
    </row>
    <row r="202">
      <c r="M202" s="52"/>
      <c r="N202" s="52"/>
      <c r="O202" s="52"/>
      <c r="P202" s="52"/>
      <c r="Q202" s="52"/>
      <c r="U202" s="52"/>
    </row>
    <row r="203">
      <c r="M203" s="52"/>
      <c r="N203" s="52"/>
      <c r="O203" s="52"/>
      <c r="P203" s="52"/>
      <c r="Q203" s="52"/>
      <c r="U203" s="52"/>
    </row>
    <row r="204">
      <c r="M204" s="52"/>
      <c r="N204" s="52"/>
      <c r="O204" s="52"/>
      <c r="P204" s="52"/>
      <c r="Q204" s="52"/>
      <c r="U204" s="52"/>
    </row>
    <row r="205">
      <c r="M205" s="52"/>
      <c r="N205" s="52"/>
      <c r="O205" s="52"/>
      <c r="P205" s="52"/>
      <c r="Q205" s="52"/>
      <c r="U205" s="52"/>
    </row>
    <row r="206">
      <c r="M206" s="52"/>
      <c r="N206" s="52"/>
      <c r="O206" s="52"/>
      <c r="P206" s="52"/>
      <c r="Q206" s="52"/>
      <c r="U206" s="52"/>
    </row>
    <row r="207">
      <c r="M207" s="52"/>
      <c r="N207" s="52"/>
      <c r="O207" s="52"/>
      <c r="P207" s="52"/>
      <c r="Q207" s="52"/>
      <c r="U207" s="52"/>
    </row>
    <row r="208">
      <c r="M208" s="52"/>
      <c r="N208" s="52"/>
      <c r="O208" s="52"/>
      <c r="P208" s="52"/>
      <c r="Q208" s="52"/>
      <c r="U208" s="52"/>
    </row>
    <row r="209">
      <c r="M209" s="52"/>
      <c r="N209" s="52"/>
      <c r="O209" s="52"/>
      <c r="P209" s="52"/>
      <c r="Q209" s="52"/>
      <c r="U209" s="52"/>
    </row>
    <row r="210">
      <c r="M210" s="52"/>
      <c r="N210" s="52"/>
      <c r="O210" s="52"/>
      <c r="P210" s="52"/>
      <c r="Q210" s="52"/>
      <c r="U210" s="52"/>
    </row>
    <row r="211">
      <c r="M211" s="52"/>
      <c r="N211" s="52"/>
      <c r="O211" s="52"/>
      <c r="P211" s="52"/>
      <c r="Q211" s="52"/>
      <c r="U211" s="52"/>
    </row>
    <row r="212">
      <c r="M212" s="52"/>
      <c r="N212" s="52"/>
      <c r="O212" s="52"/>
      <c r="P212" s="52"/>
      <c r="Q212" s="52"/>
      <c r="U212" s="52"/>
    </row>
    <row r="213">
      <c r="M213" s="52"/>
      <c r="N213" s="52"/>
      <c r="O213" s="52"/>
      <c r="P213" s="52"/>
      <c r="Q213" s="52"/>
      <c r="U213" s="52"/>
    </row>
    <row r="214">
      <c r="M214" s="52"/>
      <c r="N214" s="52"/>
      <c r="O214" s="52"/>
      <c r="P214" s="52"/>
      <c r="Q214" s="52"/>
      <c r="U214" s="52"/>
    </row>
    <row r="215">
      <c r="M215" s="52"/>
      <c r="N215" s="52"/>
      <c r="O215" s="52"/>
      <c r="P215" s="52"/>
      <c r="Q215" s="52"/>
      <c r="U215" s="52"/>
    </row>
    <row r="216">
      <c r="M216" s="52"/>
      <c r="N216" s="52"/>
      <c r="O216" s="52"/>
      <c r="P216" s="52"/>
      <c r="Q216" s="52"/>
      <c r="U216" s="52"/>
    </row>
    <row r="217">
      <c r="M217" s="52"/>
      <c r="N217" s="52"/>
      <c r="O217" s="52"/>
      <c r="P217" s="52"/>
      <c r="Q217" s="52"/>
      <c r="U217" s="52"/>
    </row>
    <row r="218">
      <c r="M218" s="52"/>
      <c r="N218" s="52"/>
      <c r="O218" s="52"/>
      <c r="P218" s="52"/>
      <c r="Q218" s="52"/>
      <c r="U218" s="52"/>
    </row>
    <row r="219">
      <c r="M219" s="52"/>
      <c r="N219" s="52"/>
      <c r="O219" s="52"/>
      <c r="P219" s="52"/>
      <c r="Q219" s="52"/>
      <c r="U219" s="52"/>
    </row>
    <row r="220">
      <c r="M220" s="52"/>
      <c r="N220" s="52"/>
      <c r="O220" s="52"/>
      <c r="P220" s="52"/>
      <c r="Q220" s="52"/>
      <c r="U220" s="52"/>
    </row>
    <row r="221">
      <c r="M221" s="52"/>
      <c r="N221" s="52"/>
      <c r="O221" s="52"/>
      <c r="P221" s="52"/>
      <c r="Q221" s="52"/>
      <c r="U221" s="52"/>
    </row>
    <row r="222">
      <c r="M222" s="52"/>
      <c r="N222" s="52"/>
      <c r="O222" s="52"/>
      <c r="P222" s="52"/>
      <c r="Q222" s="52"/>
      <c r="U222" s="52"/>
    </row>
    <row r="223">
      <c r="M223" s="52"/>
      <c r="N223" s="52"/>
      <c r="O223" s="52"/>
      <c r="P223" s="52"/>
      <c r="Q223" s="52"/>
      <c r="U223" s="52"/>
    </row>
    <row r="224">
      <c r="M224" s="52"/>
      <c r="N224" s="52"/>
      <c r="O224" s="52"/>
      <c r="P224" s="52"/>
      <c r="Q224" s="52"/>
      <c r="U224" s="52"/>
    </row>
    <row r="225">
      <c r="M225" s="52"/>
      <c r="N225" s="52"/>
      <c r="O225" s="52"/>
      <c r="P225" s="52"/>
      <c r="Q225" s="52"/>
      <c r="U225" s="52"/>
    </row>
    <row r="226">
      <c r="M226" s="52"/>
      <c r="N226" s="52"/>
      <c r="O226" s="52"/>
      <c r="P226" s="52"/>
      <c r="Q226" s="52"/>
      <c r="U226" s="52"/>
    </row>
    <row r="227">
      <c r="M227" s="52"/>
      <c r="N227" s="52"/>
      <c r="O227" s="52"/>
      <c r="P227" s="52"/>
      <c r="Q227" s="52"/>
      <c r="U227" s="52"/>
    </row>
    <row r="228">
      <c r="M228" s="52"/>
      <c r="N228" s="52"/>
      <c r="O228" s="52"/>
      <c r="P228" s="52"/>
      <c r="Q228" s="52"/>
      <c r="U228" s="52"/>
    </row>
    <row r="229">
      <c r="M229" s="52"/>
      <c r="N229" s="52"/>
      <c r="O229" s="52"/>
      <c r="P229" s="52"/>
      <c r="Q229" s="52"/>
      <c r="U229" s="52"/>
    </row>
    <row r="230">
      <c r="M230" s="52"/>
      <c r="N230" s="52"/>
      <c r="O230" s="52"/>
      <c r="P230" s="52"/>
      <c r="Q230" s="52"/>
      <c r="U230" s="52"/>
    </row>
    <row r="231">
      <c r="M231" s="52"/>
      <c r="N231" s="52"/>
      <c r="O231" s="52"/>
      <c r="P231" s="52"/>
      <c r="Q231" s="52"/>
      <c r="U231" s="52"/>
    </row>
    <row r="232">
      <c r="M232" s="52"/>
      <c r="N232" s="52"/>
      <c r="O232" s="52"/>
      <c r="P232" s="52"/>
      <c r="Q232" s="52"/>
      <c r="U232" s="52"/>
    </row>
    <row r="233">
      <c r="M233" s="52"/>
      <c r="N233" s="52"/>
      <c r="O233" s="52"/>
      <c r="P233" s="52"/>
      <c r="Q233" s="52"/>
      <c r="U233" s="52"/>
    </row>
    <row r="234">
      <c r="M234" s="52"/>
      <c r="N234" s="52"/>
      <c r="O234" s="52"/>
      <c r="P234" s="52"/>
      <c r="Q234" s="52"/>
      <c r="U234" s="52"/>
    </row>
    <row r="235">
      <c r="M235" s="52"/>
      <c r="N235" s="52"/>
      <c r="O235" s="52"/>
      <c r="P235" s="52"/>
      <c r="Q235" s="52"/>
      <c r="U235" s="52"/>
    </row>
    <row r="236">
      <c r="M236" s="52"/>
      <c r="N236" s="52"/>
      <c r="O236" s="52"/>
      <c r="P236" s="52"/>
      <c r="Q236" s="52"/>
      <c r="U236" s="52"/>
    </row>
    <row r="237">
      <c r="M237" s="52"/>
      <c r="N237" s="52"/>
      <c r="O237" s="52"/>
      <c r="P237" s="52"/>
      <c r="Q237" s="52"/>
      <c r="U237" s="52"/>
    </row>
    <row r="238">
      <c r="M238" s="52"/>
      <c r="N238" s="52"/>
      <c r="O238" s="52"/>
      <c r="P238" s="52"/>
      <c r="Q238" s="52"/>
      <c r="U238" s="52"/>
    </row>
    <row r="239">
      <c r="M239" s="52"/>
      <c r="N239" s="52"/>
      <c r="O239" s="52"/>
      <c r="P239" s="52"/>
      <c r="Q239" s="52"/>
      <c r="U239" s="52"/>
    </row>
    <row r="240">
      <c r="M240" s="52"/>
      <c r="N240" s="52"/>
      <c r="O240" s="52"/>
      <c r="P240" s="52"/>
      <c r="Q240" s="52"/>
      <c r="U240" s="52"/>
    </row>
    <row r="241">
      <c r="M241" s="52"/>
      <c r="N241" s="52"/>
      <c r="O241" s="52"/>
      <c r="P241" s="52"/>
      <c r="Q241" s="52"/>
      <c r="U241" s="52"/>
    </row>
    <row r="242">
      <c r="M242" s="52"/>
      <c r="N242" s="52"/>
      <c r="O242" s="52"/>
      <c r="P242" s="52"/>
      <c r="Q242" s="52"/>
      <c r="U242" s="52"/>
    </row>
    <row r="243">
      <c r="M243" s="52"/>
      <c r="N243" s="52"/>
      <c r="O243" s="52"/>
      <c r="P243" s="52"/>
      <c r="Q243" s="52"/>
      <c r="U243" s="52"/>
    </row>
    <row r="244">
      <c r="M244" s="52"/>
      <c r="N244" s="52"/>
      <c r="O244" s="52"/>
      <c r="P244" s="52"/>
      <c r="Q244" s="52"/>
      <c r="U244" s="52"/>
    </row>
    <row r="245">
      <c r="M245" s="52"/>
      <c r="N245" s="52"/>
      <c r="O245" s="52"/>
      <c r="P245" s="52"/>
      <c r="Q245" s="52"/>
      <c r="U245" s="52"/>
    </row>
    <row r="246">
      <c r="M246" s="52"/>
      <c r="N246" s="52"/>
      <c r="O246" s="52"/>
      <c r="P246" s="52"/>
      <c r="Q246" s="52"/>
      <c r="U246" s="52"/>
    </row>
    <row r="247">
      <c r="M247" s="52"/>
      <c r="N247" s="52"/>
      <c r="O247" s="52"/>
      <c r="P247" s="52"/>
      <c r="Q247" s="52"/>
      <c r="U247" s="52"/>
    </row>
    <row r="248">
      <c r="M248" s="52"/>
      <c r="N248" s="52"/>
      <c r="O248" s="52"/>
      <c r="P248" s="52"/>
      <c r="Q248" s="52"/>
      <c r="U248" s="52"/>
    </row>
    <row r="249">
      <c r="M249" s="52"/>
      <c r="N249" s="52"/>
      <c r="O249" s="52"/>
      <c r="P249" s="52"/>
      <c r="Q249" s="52"/>
      <c r="U249" s="52"/>
    </row>
    <row r="250">
      <c r="M250" s="52"/>
      <c r="N250" s="52"/>
      <c r="O250" s="52"/>
      <c r="P250" s="52"/>
      <c r="Q250" s="52"/>
      <c r="U250" s="52"/>
    </row>
    <row r="251">
      <c r="M251" s="52"/>
      <c r="N251" s="52"/>
      <c r="O251" s="52"/>
      <c r="P251" s="52"/>
      <c r="Q251" s="52"/>
      <c r="U251" s="52"/>
    </row>
    <row r="252">
      <c r="M252" s="52"/>
      <c r="N252" s="52"/>
      <c r="O252" s="52"/>
      <c r="P252" s="52"/>
      <c r="Q252" s="52"/>
      <c r="U252" s="52"/>
    </row>
    <row r="253">
      <c r="M253" s="52"/>
      <c r="N253" s="52"/>
      <c r="O253" s="52"/>
      <c r="P253" s="52"/>
      <c r="Q253" s="52"/>
      <c r="U253" s="52"/>
    </row>
    <row r="254">
      <c r="M254" s="52"/>
      <c r="N254" s="52"/>
      <c r="O254" s="52"/>
      <c r="P254" s="52"/>
      <c r="Q254" s="52"/>
      <c r="U254" s="52"/>
    </row>
    <row r="255">
      <c r="M255" s="52"/>
      <c r="N255" s="52"/>
      <c r="O255" s="52"/>
      <c r="P255" s="52"/>
      <c r="Q255" s="52"/>
      <c r="U255" s="52"/>
    </row>
    <row r="256">
      <c r="M256" s="52"/>
      <c r="N256" s="52"/>
      <c r="O256" s="52"/>
      <c r="P256" s="52"/>
      <c r="Q256" s="52"/>
      <c r="U256" s="52"/>
    </row>
    <row r="257">
      <c r="M257" s="52"/>
      <c r="N257" s="52"/>
      <c r="O257" s="52"/>
      <c r="P257" s="52"/>
      <c r="Q257" s="52"/>
      <c r="U257" s="52"/>
    </row>
    <row r="258">
      <c r="M258" s="52"/>
      <c r="N258" s="52"/>
      <c r="O258" s="52"/>
      <c r="P258" s="52"/>
      <c r="Q258" s="52"/>
      <c r="U258" s="52"/>
    </row>
    <row r="259">
      <c r="M259" s="52"/>
      <c r="N259" s="52"/>
      <c r="O259" s="52"/>
      <c r="P259" s="52"/>
      <c r="Q259" s="52"/>
      <c r="U259" s="52"/>
    </row>
    <row r="260">
      <c r="M260" s="52"/>
      <c r="N260" s="52"/>
      <c r="O260" s="52"/>
      <c r="P260" s="52"/>
      <c r="Q260" s="52"/>
      <c r="U260" s="52"/>
    </row>
    <row r="261">
      <c r="M261" s="52"/>
      <c r="N261" s="52"/>
      <c r="O261" s="52"/>
      <c r="P261" s="52"/>
      <c r="Q261" s="52"/>
      <c r="U261" s="52"/>
    </row>
    <row r="262">
      <c r="M262" s="52"/>
      <c r="N262" s="52"/>
      <c r="O262" s="52"/>
      <c r="P262" s="52"/>
      <c r="Q262" s="52"/>
      <c r="U262" s="52"/>
    </row>
    <row r="263">
      <c r="M263" s="52"/>
      <c r="N263" s="52"/>
      <c r="O263" s="52"/>
      <c r="P263" s="52"/>
      <c r="Q263" s="52"/>
      <c r="U263" s="52"/>
    </row>
    <row r="264">
      <c r="M264" s="52"/>
      <c r="N264" s="52"/>
      <c r="O264" s="52"/>
      <c r="P264" s="52"/>
      <c r="Q264" s="52"/>
      <c r="U264" s="52"/>
    </row>
    <row r="265">
      <c r="M265" s="52"/>
      <c r="N265" s="52"/>
      <c r="O265" s="52"/>
      <c r="P265" s="52"/>
      <c r="Q265" s="52"/>
      <c r="U265" s="52"/>
    </row>
    <row r="266">
      <c r="M266" s="52"/>
      <c r="N266" s="52"/>
      <c r="O266" s="52"/>
      <c r="P266" s="52"/>
      <c r="Q266" s="52"/>
      <c r="U266" s="52"/>
    </row>
    <row r="267">
      <c r="M267" s="52"/>
      <c r="N267" s="52"/>
      <c r="O267" s="52"/>
      <c r="P267" s="52"/>
      <c r="Q267" s="52"/>
      <c r="U267" s="52"/>
    </row>
    <row r="268">
      <c r="M268" s="52"/>
      <c r="N268" s="52"/>
      <c r="O268" s="52"/>
      <c r="P268" s="52"/>
      <c r="Q268" s="52"/>
      <c r="U268" s="52"/>
    </row>
    <row r="269">
      <c r="M269" s="52"/>
      <c r="N269" s="52"/>
      <c r="O269" s="52"/>
      <c r="P269" s="52"/>
      <c r="Q269" s="52"/>
      <c r="U269" s="52"/>
    </row>
    <row r="270">
      <c r="M270" s="52"/>
      <c r="N270" s="52"/>
      <c r="O270" s="52"/>
      <c r="P270" s="52"/>
      <c r="Q270" s="52"/>
      <c r="U270" s="52"/>
    </row>
    <row r="271">
      <c r="M271" s="52"/>
      <c r="N271" s="52"/>
      <c r="O271" s="52"/>
      <c r="P271" s="52"/>
      <c r="Q271" s="52"/>
      <c r="U271" s="52"/>
    </row>
    <row r="272">
      <c r="M272" s="52"/>
      <c r="N272" s="52"/>
      <c r="O272" s="52"/>
      <c r="P272" s="52"/>
      <c r="Q272" s="52"/>
      <c r="U272" s="52"/>
    </row>
    <row r="273">
      <c r="M273" s="52"/>
      <c r="N273" s="52"/>
      <c r="O273" s="52"/>
      <c r="P273" s="52"/>
      <c r="Q273" s="52"/>
      <c r="U273" s="52"/>
    </row>
    <row r="274">
      <c r="M274" s="52"/>
      <c r="N274" s="52"/>
      <c r="O274" s="52"/>
      <c r="P274" s="52"/>
      <c r="Q274" s="52"/>
      <c r="U274" s="52"/>
    </row>
    <row r="275">
      <c r="M275" s="52"/>
      <c r="N275" s="52"/>
      <c r="O275" s="52"/>
      <c r="P275" s="52"/>
      <c r="Q275" s="52"/>
      <c r="U275" s="52"/>
    </row>
    <row r="276">
      <c r="M276" s="52"/>
      <c r="N276" s="52"/>
      <c r="O276" s="52"/>
      <c r="P276" s="52"/>
      <c r="Q276" s="52"/>
      <c r="U276" s="52"/>
    </row>
    <row r="277">
      <c r="M277" s="52"/>
      <c r="N277" s="52"/>
      <c r="O277" s="52"/>
      <c r="P277" s="52"/>
      <c r="Q277" s="52"/>
      <c r="U277" s="52"/>
    </row>
    <row r="278">
      <c r="M278" s="52"/>
      <c r="N278" s="52"/>
      <c r="O278" s="52"/>
      <c r="P278" s="52"/>
      <c r="Q278" s="52"/>
      <c r="U278" s="52"/>
    </row>
    <row r="279">
      <c r="M279" s="52"/>
      <c r="N279" s="52"/>
      <c r="O279" s="52"/>
      <c r="P279" s="52"/>
      <c r="Q279" s="52"/>
      <c r="U279" s="52"/>
    </row>
    <row r="280">
      <c r="M280" s="52"/>
      <c r="N280" s="52"/>
      <c r="O280" s="52"/>
      <c r="P280" s="52"/>
      <c r="Q280" s="52"/>
      <c r="U280" s="52"/>
    </row>
    <row r="281">
      <c r="M281" s="52"/>
      <c r="N281" s="52"/>
      <c r="O281" s="52"/>
      <c r="P281" s="52"/>
      <c r="Q281" s="52"/>
      <c r="U281" s="52"/>
    </row>
    <row r="282">
      <c r="M282" s="52"/>
      <c r="N282" s="52"/>
      <c r="O282" s="52"/>
      <c r="P282" s="52"/>
      <c r="Q282" s="52"/>
      <c r="U282" s="52"/>
    </row>
    <row r="283">
      <c r="M283" s="52"/>
      <c r="N283" s="52"/>
      <c r="O283" s="52"/>
      <c r="P283" s="52"/>
      <c r="Q283" s="52"/>
      <c r="U283" s="52"/>
    </row>
    <row r="284">
      <c r="M284" s="52"/>
      <c r="N284" s="52"/>
      <c r="O284" s="52"/>
      <c r="P284" s="52"/>
      <c r="Q284" s="52"/>
      <c r="U284" s="52"/>
    </row>
    <row r="285">
      <c r="M285" s="52"/>
      <c r="N285" s="52"/>
      <c r="O285" s="52"/>
      <c r="P285" s="52"/>
      <c r="Q285" s="52"/>
      <c r="U285" s="52"/>
    </row>
    <row r="286">
      <c r="M286" s="52"/>
      <c r="N286" s="52"/>
      <c r="O286" s="52"/>
      <c r="P286" s="52"/>
      <c r="Q286" s="52"/>
      <c r="U286" s="52"/>
    </row>
    <row r="287">
      <c r="M287" s="52"/>
      <c r="N287" s="52"/>
      <c r="O287" s="52"/>
      <c r="P287" s="52"/>
      <c r="Q287" s="52"/>
      <c r="U287" s="52"/>
    </row>
    <row r="288">
      <c r="M288" s="52"/>
      <c r="N288" s="52"/>
      <c r="O288" s="52"/>
      <c r="P288" s="52"/>
      <c r="Q288" s="52"/>
      <c r="U288" s="52"/>
    </row>
    <row r="289">
      <c r="M289" s="52"/>
      <c r="N289" s="52"/>
      <c r="O289" s="52"/>
      <c r="P289" s="52"/>
      <c r="Q289" s="52"/>
      <c r="U289" s="52"/>
    </row>
    <row r="290">
      <c r="M290" s="52"/>
      <c r="N290" s="52"/>
      <c r="O290" s="52"/>
      <c r="P290" s="52"/>
      <c r="Q290" s="52"/>
      <c r="U290" s="52"/>
    </row>
    <row r="291">
      <c r="M291" s="52"/>
      <c r="N291" s="52"/>
      <c r="O291" s="52"/>
      <c r="P291" s="52"/>
      <c r="Q291" s="52"/>
      <c r="U291" s="52"/>
    </row>
    <row r="292">
      <c r="M292" s="52"/>
      <c r="N292" s="52"/>
      <c r="O292" s="52"/>
      <c r="P292" s="52"/>
      <c r="Q292" s="52"/>
      <c r="U292" s="52"/>
    </row>
    <row r="293">
      <c r="M293" s="52"/>
      <c r="N293" s="52"/>
      <c r="O293" s="52"/>
      <c r="P293" s="52"/>
      <c r="Q293" s="52"/>
      <c r="U293" s="52"/>
    </row>
    <row r="294">
      <c r="M294" s="52"/>
      <c r="N294" s="52"/>
      <c r="O294" s="52"/>
      <c r="P294" s="52"/>
      <c r="Q294" s="52"/>
      <c r="U294" s="52"/>
    </row>
    <row r="295">
      <c r="M295" s="52"/>
      <c r="N295" s="52"/>
      <c r="O295" s="52"/>
      <c r="P295" s="52"/>
      <c r="Q295" s="52"/>
      <c r="U295" s="52"/>
    </row>
    <row r="296">
      <c r="M296" s="52"/>
      <c r="N296" s="52"/>
      <c r="O296" s="52"/>
      <c r="P296" s="52"/>
      <c r="Q296" s="52"/>
      <c r="U296" s="52"/>
    </row>
    <row r="297">
      <c r="M297" s="52"/>
      <c r="N297" s="52"/>
      <c r="O297" s="52"/>
      <c r="P297" s="52"/>
      <c r="Q297" s="52"/>
      <c r="U297" s="52"/>
    </row>
    <row r="298">
      <c r="M298" s="52"/>
      <c r="N298" s="52"/>
      <c r="O298" s="52"/>
      <c r="P298" s="52"/>
      <c r="Q298" s="52"/>
      <c r="U298" s="52"/>
    </row>
    <row r="299">
      <c r="M299" s="52"/>
      <c r="N299" s="52"/>
      <c r="O299" s="52"/>
      <c r="P299" s="52"/>
      <c r="Q299" s="52"/>
      <c r="U299" s="52"/>
    </row>
    <row r="300">
      <c r="M300" s="52"/>
      <c r="N300" s="52"/>
      <c r="O300" s="52"/>
      <c r="P300" s="52"/>
      <c r="Q300" s="52"/>
      <c r="U300" s="52"/>
    </row>
    <row r="301">
      <c r="M301" s="52"/>
      <c r="N301" s="52"/>
      <c r="O301" s="52"/>
      <c r="P301" s="52"/>
      <c r="Q301" s="52"/>
      <c r="U301" s="52"/>
    </row>
    <row r="302">
      <c r="M302" s="52"/>
      <c r="N302" s="52"/>
      <c r="O302" s="52"/>
      <c r="P302" s="52"/>
      <c r="Q302" s="52"/>
      <c r="U302" s="52"/>
    </row>
    <row r="303">
      <c r="M303" s="52"/>
      <c r="N303" s="52"/>
      <c r="O303" s="52"/>
      <c r="P303" s="52"/>
      <c r="Q303" s="52"/>
      <c r="U303" s="52"/>
    </row>
    <row r="304">
      <c r="M304" s="52"/>
      <c r="N304" s="52"/>
      <c r="O304" s="52"/>
      <c r="P304" s="52"/>
      <c r="Q304" s="52"/>
      <c r="U304" s="52"/>
    </row>
    <row r="305">
      <c r="M305" s="52"/>
      <c r="N305" s="52"/>
      <c r="O305" s="52"/>
      <c r="P305" s="52"/>
      <c r="Q305" s="52"/>
      <c r="U305" s="52"/>
    </row>
    <row r="306">
      <c r="M306" s="52"/>
      <c r="N306" s="52"/>
      <c r="O306" s="52"/>
      <c r="P306" s="52"/>
      <c r="Q306" s="52"/>
      <c r="U306" s="52"/>
    </row>
    <row r="307">
      <c r="M307" s="52"/>
      <c r="N307" s="52"/>
      <c r="O307" s="52"/>
      <c r="P307" s="52"/>
      <c r="Q307" s="52"/>
      <c r="U307" s="52"/>
    </row>
    <row r="308">
      <c r="M308" s="52"/>
      <c r="N308" s="52"/>
      <c r="O308" s="52"/>
      <c r="P308" s="52"/>
      <c r="Q308" s="52"/>
      <c r="U308" s="52"/>
    </row>
    <row r="309">
      <c r="M309" s="52"/>
      <c r="N309" s="52"/>
      <c r="O309" s="52"/>
      <c r="P309" s="52"/>
      <c r="Q309" s="52"/>
      <c r="U309" s="52"/>
    </row>
    <row r="310">
      <c r="M310" s="52"/>
      <c r="N310" s="52"/>
      <c r="O310" s="52"/>
      <c r="P310" s="52"/>
      <c r="Q310" s="52"/>
      <c r="U310" s="52"/>
    </row>
    <row r="311">
      <c r="M311" s="52"/>
      <c r="N311" s="52"/>
      <c r="O311" s="52"/>
      <c r="P311" s="52"/>
      <c r="Q311" s="52"/>
      <c r="U311" s="52"/>
    </row>
    <row r="312">
      <c r="M312" s="52"/>
      <c r="N312" s="52"/>
      <c r="O312" s="52"/>
      <c r="P312" s="52"/>
      <c r="Q312" s="52"/>
      <c r="U312" s="52"/>
    </row>
    <row r="313">
      <c r="M313" s="52"/>
      <c r="N313" s="52"/>
      <c r="O313" s="52"/>
      <c r="P313" s="52"/>
      <c r="Q313" s="52"/>
      <c r="U313" s="52"/>
    </row>
    <row r="314">
      <c r="M314" s="52"/>
      <c r="N314" s="52"/>
      <c r="O314" s="52"/>
      <c r="P314" s="52"/>
      <c r="Q314" s="52"/>
      <c r="U314" s="52"/>
    </row>
    <row r="315">
      <c r="M315" s="52"/>
      <c r="N315" s="52"/>
      <c r="O315" s="52"/>
      <c r="P315" s="52"/>
      <c r="Q315" s="52"/>
      <c r="U315" s="52"/>
    </row>
    <row r="316">
      <c r="M316" s="52"/>
      <c r="N316" s="52"/>
      <c r="O316" s="52"/>
      <c r="P316" s="52"/>
      <c r="Q316" s="52"/>
      <c r="U316" s="52"/>
    </row>
    <row r="317">
      <c r="M317" s="52"/>
      <c r="N317" s="52"/>
      <c r="O317" s="52"/>
      <c r="P317" s="52"/>
      <c r="Q317" s="52"/>
      <c r="U317" s="52"/>
    </row>
    <row r="318">
      <c r="M318" s="52"/>
      <c r="N318" s="52"/>
      <c r="O318" s="52"/>
      <c r="P318" s="52"/>
      <c r="Q318" s="52"/>
      <c r="U318" s="52"/>
    </row>
    <row r="319">
      <c r="M319" s="52"/>
      <c r="N319" s="52"/>
      <c r="O319" s="52"/>
      <c r="P319" s="52"/>
      <c r="Q319" s="52"/>
      <c r="U319" s="52"/>
    </row>
    <row r="320">
      <c r="M320" s="52"/>
      <c r="N320" s="52"/>
      <c r="O320" s="52"/>
      <c r="P320" s="52"/>
      <c r="Q320" s="52"/>
      <c r="U320" s="52"/>
    </row>
    <row r="321">
      <c r="M321" s="52"/>
      <c r="N321" s="52"/>
      <c r="O321" s="52"/>
      <c r="P321" s="52"/>
      <c r="Q321" s="52"/>
      <c r="U321" s="52"/>
    </row>
    <row r="322">
      <c r="M322" s="52"/>
      <c r="N322" s="52"/>
      <c r="O322" s="52"/>
      <c r="P322" s="52"/>
      <c r="Q322" s="52"/>
      <c r="U322" s="52"/>
    </row>
    <row r="323">
      <c r="M323" s="52"/>
      <c r="N323" s="52"/>
      <c r="O323" s="52"/>
      <c r="P323" s="52"/>
      <c r="Q323" s="52"/>
      <c r="U323" s="52"/>
    </row>
    <row r="324">
      <c r="M324" s="52"/>
      <c r="N324" s="52"/>
      <c r="O324" s="52"/>
      <c r="P324" s="52"/>
      <c r="Q324" s="52"/>
      <c r="U324" s="52"/>
    </row>
    <row r="325">
      <c r="M325" s="52"/>
      <c r="N325" s="52"/>
      <c r="O325" s="52"/>
      <c r="P325" s="52"/>
      <c r="Q325" s="52"/>
      <c r="U325" s="52"/>
    </row>
    <row r="326">
      <c r="M326" s="52"/>
      <c r="N326" s="52"/>
      <c r="O326" s="52"/>
      <c r="P326" s="52"/>
      <c r="Q326" s="52"/>
      <c r="U326" s="52"/>
    </row>
    <row r="327">
      <c r="M327" s="52"/>
      <c r="N327" s="52"/>
      <c r="O327" s="52"/>
      <c r="P327" s="52"/>
      <c r="Q327" s="52"/>
      <c r="U327" s="52"/>
    </row>
    <row r="328">
      <c r="M328" s="52"/>
      <c r="N328" s="52"/>
      <c r="O328" s="52"/>
      <c r="P328" s="52"/>
      <c r="Q328" s="52"/>
      <c r="U328" s="52"/>
    </row>
    <row r="329">
      <c r="M329" s="52"/>
      <c r="N329" s="52"/>
      <c r="O329" s="52"/>
      <c r="P329" s="52"/>
      <c r="Q329" s="52"/>
      <c r="U329" s="52"/>
    </row>
    <row r="330">
      <c r="M330" s="52"/>
      <c r="N330" s="52"/>
      <c r="O330" s="52"/>
      <c r="P330" s="52"/>
      <c r="Q330" s="52"/>
      <c r="U330" s="52"/>
    </row>
    <row r="331">
      <c r="M331" s="52"/>
      <c r="N331" s="52"/>
      <c r="O331" s="52"/>
      <c r="P331" s="52"/>
      <c r="Q331" s="52"/>
      <c r="U331" s="52"/>
    </row>
    <row r="332">
      <c r="M332" s="52"/>
      <c r="N332" s="52"/>
      <c r="O332" s="52"/>
      <c r="P332" s="52"/>
      <c r="Q332" s="52"/>
      <c r="U332" s="52"/>
    </row>
    <row r="333">
      <c r="M333" s="52"/>
      <c r="N333" s="52"/>
      <c r="O333" s="52"/>
      <c r="P333" s="52"/>
      <c r="Q333" s="52"/>
      <c r="U333" s="52"/>
    </row>
    <row r="334">
      <c r="M334" s="52"/>
      <c r="N334" s="52"/>
      <c r="O334" s="52"/>
      <c r="P334" s="52"/>
      <c r="Q334" s="52"/>
      <c r="U334" s="52"/>
    </row>
    <row r="335">
      <c r="M335" s="52"/>
      <c r="N335" s="52"/>
      <c r="O335" s="52"/>
      <c r="P335" s="52"/>
      <c r="Q335" s="52"/>
      <c r="U335" s="52"/>
    </row>
    <row r="336">
      <c r="M336" s="52"/>
      <c r="N336" s="52"/>
      <c r="O336" s="52"/>
      <c r="P336" s="52"/>
      <c r="Q336" s="52"/>
      <c r="U336" s="52"/>
    </row>
    <row r="337">
      <c r="M337" s="52"/>
      <c r="N337" s="52"/>
      <c r="O337" s="52"/>
      <c r="P337" s="52"/>
      <c r="Q337" s="52"/>
      <c r="U337" s="52"/>
    </row>
    <row r="338">
      <c r="M338" s="52"/>
      <c r="N338" s="52"/>
      <c r="O338" s="52"/>
      <c r="P338" s="52"/>
      <c r="Q338" s="52"/>
      <c r="U338" s="52"/>
    </row>
    <row r="339">
      <c r="M339" s="52"/>
      <c r="N339" s="52"/>
      <c r="O339" s="52"/>
      <c r="P339" s="52"/>
      <c r="Q339" s="52"/>
      <c r="U339" s="52"/>
    </row>
    <row r="340">
      <c r="M340" s="52"/>
      <c r="N340" s="52"/>
      <c r="O340" s="52"/>
      <c r="P340" s="52"/>
      <c r="Q340" s="52"/>
      <c r="U340" s="52"/>
    </row>
    <row r="341">
      <c r="M341" s="52"/>
      <c r="N341" s="52"/>
      <c r="O341" s="52"/>
      <c r="P341" s="52"/>
      <c r="Q341" s="52"/>
      <c r="U341" s="52"/>
    </row>
    <row r="342">
      <c r="M342" s="52"/>
      <c r="N342" s="52"/>
      <c r="O342" s="52"/>
      <c r="P342" s="52"/>
      <c r="Q342" s="52"/>
      <c r="U342" s="52"/>
    </row>
    <row r="343">
      <c r="M343" s="52"/>
      <c r="N343" s="52"/>
      <c r="O343" s="52"/>
      <c r="P343" s="52"/>
      <c r="Q343" s="52"/>
      <c r="U343" s="52"/>
    </row>
    <row r="344">
      <c r="M344" s="52"/>
      <c r="N344" s="52"/>
      <c r="O344" s="52"/>
      <c r="P344" s="52"/>
      <c r="Q344" s="52"/>
      <c r="U344" s="52"/>
    </row>
    <row r="345">
      <c r="M345" s="52"/>
      <c r="N345" s="52"/>
      <c r="O345" s="52"/>
      <c r="P345" s="52"/>
      <c r="Q345" s="52"/>
      <c r="U345" s="52"/>
    </row>
    <row r="346">
      <c r="M346" s="52"/>
      <c r="N346" s="52"/>
      <c r="O346" s="52"/>
      <c r="P346" s="52"/>
      <c r="Q346" s="52"/>
      <c r="U346" s="52"/>
    </row>
    <row r="347">
      <c r="M347" s="52"/>
      <c r="N347" s="52"/>
      <c r="O347" s="52"/>
      <c r="P347" s="52"/>
      <c r="Q347" s="52"/>
      <c r="U347" s="52"/>
    </row>
    <row r="348">
      <c r="M348" s="52"/>
      <c r="N348" s="52"/>
      <c r="O348" s="52"/>
      <c r="P348" s="52"/>
      <c r="Q348" s="52"/>
      <c r="U348" s="52"/>
    </row>
    <row r="349">
      <c r="M349" s="52"/>
      <c r="N349" s="52"/>
      <c r="O349" s="52"/>
      <c r="P349" s="52"/>
      <c r="Q349" s="52"/>
      <c r="U349" s="52"/>
    </row>
    <row r="350">
      <c r="M350" s="52"/>
      <c r="N350" s="52"/>
      <c r="O350" s="52"/>
      <c r="P350" s="52"/>
      <c r="Q350" s="52"/>
      <c r="U350" s="52"/>
    </row>
    <row r="351">
      <c r="M351" s="52"/>
      <c r="N351" s="52"/>
      <c r="O351" s="52"/>
      <c r="P351" s="52"/>
      <c r="Q351" s="52"/>
      <c r="U351" s="52"/>
    </row>
    <row r="352">
      <c r="M352" s="52"/>
      <c r="N352" s="52"/>
      <c r="O352" s="52"/>
      <c r="P352" s="52"/>
      <c r="Q352" s="52"/>
      <c r="U352" s="52"/>
    </row>
    <row r="353">
      <c r="M353" s="52"/>
      <c r="N353" s="52"/>
      <c r="O353" s="52"/>
      <c r="P353" s="52"/>
      <c r="Q353" s="52"/>
      <c r="U353" s="52"/>
    </row>
    <row r="354">
      <c r="M354" s="52"/>
      <c r="N354" s="52"/>
      <c r="O354" s="52"/>
      <c r="P354" s="52"/>
      <c r="Q354" s="52"/>
      <c r="U354" s="52"/>
    </row>
    <row r="355">
      <c r="M355" s="52"/>
      <c r="N355" s="52"/>
      <c r="O355" s="52"/>
      <c r="P355" s="52"/>
      <c r="Q355" s="52"/>
      <c r="U355" s="52"/>
    </row>
    <row r="356">
      <c r="M356" s="52"/>
      <c r="N356" s="52"/>
      <c r="O356" s="52"/>
      <c r="P356" s="52"/>
      <c r="Q356" s="52"/>
      <c r="U356" s="52"/>
    </row>
    <row r="357">
      <c r="M357" s="52"/>
      <c r="N357" s="52"/>
      <c r="O357" s="52"/>
      <c r="P357" s="52"/>
      <c r="Q357" s="52"/>
      <c r="U357" s="52"/>
    </row>
    <row r="358">
      <c r="M358" s="52"/>
      <c r="N358" s="52"/>
      <c r="O358" s="52"/>
      <c r="P358" s="52"/>
      <c r="Q358" s="52"/>
      <c r="U358" s="52"/>
    </row>
    <row r="359">
      <c r="M359" s="52"/>
      <c r="N359" s="52"/>
      <c r="O359" s="52"/>
      <c r="P359" s="52"/>
      <c r="Q359" s="52"/>
      <c r="U359" s="52"/>
    </row>
    <row r="360">
      <c r="M360" s="52"/>
      <c r="N360" s="52"/>
      <c r="O360" s="52"/>
      <c r="P360" s="52"/>
      <c r="Q360" s="52"/>
      <c r="U360" s="52"/>
    </row>
    <row r="361">
      <c r="M361" s="52"/>
      <c r="N361" s="52"/>
      <c r="O361" s="52"/>
      <c r="P361" s="52"/>
      <c r="Q361" s="52"/>
      <c r="U361" s="52"/>
    </row>
    <row r="362">
      <c r="M362" s="52"/>
      <c r="N362" s="52"/>
      <c r="O362" s="52"/>
      <c r="P362" s="52"/>
      <c r="Q362" s="52"/>
      <c r="U362" s="52"/>
    </row>
    <row r="363">
      <c r="M363" s="52"/>
      <c r="N363" s="52"/>
      <c r="O363" s="52"/>
      <c r="P363" s="52"/>
      <c r="Q363" s="52"/>
      <c r="U363" s="52"/>
    </row>
    <row r="364">
      <c r="M364" s="52"/>
      <c r="N364" s="52"/>
      <c r="O364" s="52"/>
      <c r="P364" s="52"/>
      <c r="Q364" s="52"/>
      <c r="U364" s="52"/>
    </row>
    <row r="365">
      <c r="M365" s="52"/>
      <c r="N365" s="52"/>
      <c r="O365" s="52"/>
      <c r="P365" s="52"/>
      <c r="Q365" s="52"/>
      <c r="U365" s="52"/>
    </row>
    <row r="366">
      <c r="M366" s="52"/>
      <c r="N366" s="52"/>
      <c r="O366" s="52"/>
      <c r="P366" s="52"/>
      <c r="Q366" s="52"/>
      <c r="U366" s="52"/>
    </row>
    <row r="367">
      <c r="M367" s="52"/>
      <c r="N367" s="52"/>
      <c r="O367" s="52"/>
      <c r="P367" s="52"/>
      <c r="Q367" s="52"/>
      <c r="U367" s="52"/>
    </row>
    <row r="368">
      <c r="M368" s="52"/>
      <c r="N368" s="52"/>
      <c r="O368" s="52"/>
      <c r="P368" s="52"/>
      <c r="Q368" s="52"/>
      <c r="U368" s="52"/>
    </row>
    <row r="369">
      <c r="M369" s="52"/>
      <c r="N369" s="52"/>
      <c r="O369" s="52"/>
      <c r="P369" s="52"/>
      <c r="Q369" s="52"/>
      <c r="U369" s="52"/>
    </row>
    <row r="370">
      <c r="M370" s="52"/>
      <c r="N370" s="52"/>
      <c r="O370" s="52"/>
      <c r="P370" s="52"/>
      <c r="Q370" s="52"/>
      <c r="U370" s="52"/>
    </row>
    <row r="371">
      <c r="M371" s="52"/>
      <c r="N371" s="52"/>
      <c r="O371" s="52"/>
      <c r="P371" s="52"/>
      <c r="Q371" s="52"/>
      <c r="U371" s="52"/>
    </row>
    <row r="372">
      <c r="M372" s="52"/>
      <c r="N372" s="52"/>
      <c r="O372" s="52"/>
      <c r="P372" s="52"/>
      <c r="Q372" s="52"/>
      <c r="U372" s="52"/>
    </row>
    <row r="373">
      <c r="M373" s="52"/>
      <c r="N373" s="52"/>
      <c r="O373" s="52"/>
      <c r="P373" s="52"/>
      <c r="Q373" s="52"/>
      <c r="U373" s="52"/>
    </row>
    <row r="374">
      <c r="M374" s="52"/>
      <c r="N374" s="52"/>
      <c r="O374" s="52"/>
      <c r="P374" s="52"/>
      <c r="Q374" s="52"/>
      <c r="U374" s="52"/>
    </row>
    <row r="375">
      <c r="M375" s="52"/>
      <c r="N375" s="52"/>
      <c r="O375" s="52"/>
      <c r="P375" s="52"/>
      <c r="Q375" s="52"/>
      <c r="U375" s="52"/>
    </row>
    <row r="376">
      <c r="M376" s="52"/>
      <c r="N376" s="52"/>
      <c r="O376" s="52"/>
      <c r="P376" s="52"/>
      <c r="Q376" s="52"/>
      <c r="U376" s="52"/>
    </row>
    <row r="377">
      <c r="M377" s="52"/>
      <c r="N377" s="52"/>
      <c r="O377" s="52"/>
      <c r="P377" s="52"/>
      <c r="Q377" s="52"/>
      <c r="U377" s="52"/>
    </row>
    <row r="378">
      <c r="M378" s="52"/>
      <c r="N378" s="52"/>
      <c r="O378" s="52"/>
      <c r="P378" s="52"/>
      <c r="Q378" s="52"/>
      <c r="U378" s="52"/>
    </row>
    <row r="379">
      <c r="M379" s="52"/>
      <c r="N379" s="52"/>
      <c r="O379" s="52"/>
      <c r="P379" s="52"/>
      <c r="Q379" s="52"/>
      <c r="U379" s="52"/>
    </row>
    <row r="380">
      <c r="M380" s="52"/>
      <c r="N380" s="52"/>
      <c r="O380" s="52"/>
      <c r="P380" s="52"/>
      <c r="Q380" s="52"/>
      <c r="U380" s="52"/>
    </row>
    <row r="381">
      <c r="M381" s="52"/>
      <c r="N381" s="52"/>
      <c r="O381" s="52"/>
      <c r="P381" s="52"/>
      <c r="Q381" s="52"/>
      <c r="U381" s="52"/>
    </row>
    <row r="382">
      <c r="M382" s="52"/>
      <c r="N382" s="52"/>
      <c r="O382" s="52"/>
      <c r="P382" s="52"/>
      <c r="Q382" s="52"/>
      <c r="U382" s="52"/>
    </row>
    <row r="383">
      <c r="M383" s="52"/>
      <c r="N383" s="52"/>
      <c r="O383" s="52"/>
      <c r="P383" s="52"/>
      <c r="Q383" s="52"/>
      <c r="U383" s="52"/>
    </row>
    <row r="384">
      <c r="M384" s="52"/>
      <c r="N384" s="52"/>
      <c r="O384" s="52"/>
      <c r="P384" s="52"/>
      <c r="Q384" s="52"/>
      <c r="U384" s="52"/>
    </row>
    <row r="385">
      <c r="M385" s="52"/>
      <c r="N385" s="52"/>
      <c r="O385" s="52"/>
      <c r="P385" s="52"/>
      <c r="Q385" s="52"/>
      <c r="U385" s="52"/>
    </row>
    <row r="386">
      <c r="M386" s="52"/>
      <c r="N386" s="52"/>
      <c r="O386" s="52"/>
      <c r="P386" s="52"/>
      <c r="Q386" s="52"/>
      <c r="U386" s="52"/>
    </row>
    <row r="387">
      <c r="M387" s="52"/>
      <c r="N387" s="52"/>
      <c r="O387" s="52"/>
      <c r="P387" s="52"/>
      <c r="Q387" s="52"/>
      <c r="U387" s="52"/>
    </row>
    <row r="388">
      <c r="M388" s="52"/>
      <c r="N388" s="52"/>
      <c r="O388" s="52"/>
      <c r="P388" s="52"/>
      <c r="Q388" s="52"/>
      <c r="U388" s="52"/>
    </row>
    <row r="389">
      <c r="M389" s="52"/>
      <c r="N389" s="52"/>
      <c r="O389" s="52"/>
      <c r="P389" s="52"/>
      <c r="Q389" s="52"/>
      <c r="U389" s="52"/>
    </row>
    <row r="390">
      <c r="M390" s="52"/>
      <c r="N390" s="52"/>
      <c r="O390" s="52"/>
      <c r="P390" s="52"/>
      <c r="Q390" s="52"/>
      <c r="U390" s="52"/>
    </row>
    <row r="391">
      <c r="M391" s="52"/>
      <c r="N391" s="52"/>
      <c r="O391" s="52"/>
      <c r="P391" s="52"/>
      <c r="Q391" s="52"/>
      <c r="U391" s="52"/>
    </row>
    <row r="392">
      <c r="M392" s="52"/>
      <c r="N392" s="52"/>
      <c r="O392" s="52"/>
      <c r="P392" s="52"/>
      <c r="Q392" s="52"/>
      <c r="U392" s="52"/>
    </row>
    <row r="393">
      <c r="M393" s="52"/>
      <c r="N393" s="52"/>
      <c r="O393" s="52"/>
      <c r="P393" s="52"/>
      <c r="Q393" s="52"/>
      <c r="U393" s="52"/>
    </row>
    <row r="394">
      <c r="M394" s="52"/>
      <c r="N394" s="52"/>
      <c r="O394" s="52"/>
      <c r="P394" s="52"/>
      <c r="Q394" s="52"/>
      <c r="U394" s="52"/>
    </row>
    <row r="395">
      <c r="M395" s="52"/>
      <c r="N395" s="52"/>
      <c r="O395" s="52"/>
      <c r="P395" s="52"/>
      <c r="Q395" s="52"/>
      <c r="U395" s="52"/>
    </row>
    <row r="396">
      <c r="M396" s="52"/>
      <c r="N396" s="52"/>
      <c r="O396" s="52"/>
      <c r="P396" s="52"/>
      <c r="Q396" s="52"/>
      <c r="U396" s="52"/>
    </row>
    <row r="397">
      <c r="M397" s="52"/>
      <c r="N397" s="52"/>
      <c r="O397" s="52"/>
      <c r="P397" s="52"/>
      <c r="Q397" s="52"/>
      <c r="U397" s="52"/>
    </row>
    <row r="398">
      <c r="M398" s="52"/>
      <c r="N398" s="52"/>
      <c r="O398" s="52"/>
      <c r="P398" s="52"/>
      <c r="Q398" s="52"/>
      <c r="U398" s="52"/>
    </row>
    <row r="399">
      <c r="M399" s="52"/>
      <c r="N399" s="52"/>
      <c r="O399" s="52"/>
      <c r="P399" s="52"/>
      <c r="Q399" s="52"/>
      <c r="U399" s="52"/>
    </row>
    <row r="400">
      <c r="M400" s="52"/>
      <c r="N400" s="52"/>
      <c r="O400" s="52"/>
      <c r="P400" s="52"/>
      <c r="Q400" s="52"/>
      <c r="U400" s="52"/>
    </row>
    <row r="401">
      <c r="M401" s="52"/>
      <c r="N401" s="52"/>
      <c r="O401" s="52"/>
      <c r="P401" s="52"/>
      <c r="Q401" s="52"/>
      <c r="U401" s="52"/>
    </row>
    <row r="402">
      <c r="M402" s="52"/>
      <c r="N402" s="52"/>
      <c r="O402" s="52"/>
      <c r="P402" s="52"/>
      <c r="Q402" s="52"/>
      <c r="U402" s="52"/>
    </row>
    <row r="403">
      <c r="M403" s="52"/>
      <c r="N403" s="52"/>
      <c r="O403" s="52"/>
      <c r="P403" s="52"/>
      <c r="Q403" s="52"/>
      <c r="U403" s="52"/>
    </row>
    <row r="404">
      <c r="M404" s="52"/>
      <c r="N404" s="52"/>
      <c r="O404" s="52"/>
      <c r="P404" s="52"/>
      <c r="Q404" s="52"/>
      <c r="U404" s="52"/>
    </row>
    <row r="405">
      <c r="M405" s="52"/>
      <c r="N405" s="52"/>
      <c r="O405" s="52"/>
      <c r="P405" s="52"/>
      <c r="Q405" s="52"/>
      <c r="U405" s="52"/>
    </row>
    <row r="406">
      <c r="M406" s="52"/>
      <c r="N406" s="52"/>
      <c r="O406" s="52"/>
      <c r="P406" s="52"/>
      <c r="Q406" s="52"/>
      <c r="U406" s="52"/>
    </row>
    <row r="407">
      <c r="M407" s="52"/>
      <c r="N407" s="52"/>
      <c r="O407" s="52"/>
      <c r="P407" s="52"/>
      <c r="Q407" s="52"/>
      <c r="U407" s="52"/>
    </row>
    <row r="408">
      <c r="M408" s="52"/>
      <c r="N408" s="52"/>
      <c r="O408" s="52"/>
      <c r="P408" s="52"/>
      <c r="Q408" s="52"/>
      <c r="U408" s="52"/>
    </row>
    <row r="409">
      <c r="M409" s="52"/>
      <c r="N409" s="52"/>
      <c r="O409" s="52"/>
      <c r="P409" s="52"/>
      <c r="Q409" s="52"/>
      <c r="U409" s="52"/>
    </row>
    <row r="410">
      <c r="M410" s="52"/>
      <c r="N410" s="52"/>
      <c r="O410" s="52"/>
      <c r="P410" s="52"/>
      <c r="Q410" s="52"/>
      <c r="U410" s="52"/>
    </row>
    <row r="411">
      <c r="M411" s="52"/>
      <c r="N411" s="52"/>
      <c r="O411" s="52"/>
      <c r="P411" s="52"/>
      <c r="Q411" s="52"/>
      <c r="U411" s="52"/>
    </row>
    <row r="412">
      <c r="M412" s="52"/>
      <c r="N412" s="52"/>
      <c r="O412" s="52"/>
      <c r="P412" s="52"/>
      <c r="Q412" s="52"/>
      <c r="U412" s="52"/>
    </row>
    <row r="413">
      <c r="M413" s="52"/>
      <c r="N413" s="52"/>
      <c r="O413" s="52"/>
      <c r="P413" s="52"/>
      <c r="Q413" s="52"/>
      <c r="U413" s="52"/>
    </row>
    <row r="414">
      <c r="M414" s="52"/>
      <c r="N414" s="52"/>
      <c r="O414" s="52"/>
      <c r="P414" s="52"/>
      <c r="Q414" s="52"/>
      <c r="U414" s="52"/>
    </row>
    <row r="415">
      <c r="M415" s="52"/>
      <c r="N415" s="52"/>
      <c r="O415" s="52"/>
      <c r="P415" s="52"/>
      <c r="Q415" s="52"/>
      <c r="U415" s="52"/>
    </row>
    <row r="416">
      <c r="M416" s="52"/>
      <c r="N416" s="52"/>
      <c r="O416" s="52"/>
      <c r="P416" s="52"/>
      <c r="Q416" s="52"/>
      <c r="U416" s="52"/>
    </row>
    <row r="417">
      <c r="M417" s="52"/>
      <c r="N417" s="52"/>
      <c r="O417" s="52"/>
      <c r="P417" s="52"/>
      <c r="Q417" s="52"/>
      <c r="U417" s="52"/>
    </row>
    <row r="418">
      <c r="M418" s="52"/>
      <c r="N418" s="52"/>
      <c r="O418" s="52"/>
      <c r="P418" s="52"/>
      <c r="Q418" s="52"/>
      <c r="U418" s="52"/>
    </row>
    <row r="419">
      <c r="M419" s="52"/>
      <c r="N419" s="52"/>
      <c r="O419" s="52"/>
      <c r="P419" s="52"/>
      <c r="Q419" s="52"/>
      <c r="U419" s="52"/>
    </row>
    <row r="420">
      <c r="M420" s="52"/>
      <c r="N420" s="52"/>
      <c r="O420" s="52"/>
      <c r="P420" s="52"/>
      <c r="Q420" s="52"/>
      <c r="U420" s="52"/>
    </row>
    <row r="421">
      <c r="M421" s="52"/>
      <c r="N421" s="52"/>
      <c r="O421" s="52"/>
      <c r="P421" s="52"/>
      <c r="Q421" s="52"/>
      <c r="U421" s="52"/>
    </row>
    <row r="422">
      <c r="M422" s="52"/>
      <c r="N422" s="52"/>
      <c r="O422" s="52"/>
      <c r="P422" s="52"/>
      <c r="Q422" s="52"/>
      <c r="U422" s="52"/>
    </row>
    <row r="423">
      <c r="M423" s="52"/>
      <c r="N423" s="52"/>
      <c r="O423" s="52"/>
      <c r="P423" s="52"/>
      <c r="Q423" s="52"/>
      <c r="U423" s="52"/>
    </row>
    <row r="424">
      <c r="M424" s="52"/>
      <c r="N424" s="52"/>
      <c r="O424" s="52"/>
      <c r="P424" s="52"/>
      <c r="Q424" s="52"/>
      <c r="U424" s="52"/>
    </row>
    <row r="425">
      <c r="M425" s="52"/>
      <c r="N425" s="52"/>
      <c r="O425" s="52"/>
      <c r="P425" s="52"/>
      <c r="Q425" s="52"/>
      <c r="U425" s="52"/>
    </row>
    <row r="426">
      <c r="M426" s="52"/>
      <c r="N426" s="52"/>
      <c r="O426" s="52"/>
      <c r="P426" s="52"/>
      <c r="Q426" s="52"/>
      <c r="U426" s="52"/>
    </row>
    <row r="427">
      <c r="M427" s="52"/>
      <c r="N427" s="52"/>
      <c r="O427" s="52"/>
      <c r="P427" s="52"/>
      <c r="Q427" s="52"/>
      <c r="U427" s="52"/>
    </row>
    <row r="428">
      <c r="M428" s="52"/>
      <c r="N428" s="52"/>
      <c r="O428" s="52"/>
      <c r="P428" s="52"/>
      <c r="Q428" s="52"/>
      <c r="U428" s="52"/>
    </row>
    <row r="429">
      <c r="M429" s="52"/>
      <c r="N429" s="52"/>
      <c r="O429" s="52"/>
      <c r="P429" s="52"/>
      <c r="Q429" s="52"/>
      <c r="U429" s="52"/>
    </row>
    <row r="430">
      <c r="M430" s="52"/>
      <c r="N430" s="52"/>
      <c r="O430" s="52"/>
      <c r="P430" s="52"/>
      <c r="Q430" s="52"/>
      <c r="U430" s="52"/>
    </row>
    <row r="431">
      <c r="M431" s="52"/>
      <c r="N431" s="52"/>
      <c r="O431" s="52"/>
      <c r="P431" s="52"/>
      <c r="Q431" s="52"/>
      <c r="U431" s="52"/>
    </row>
    <row r="432">
      <c r="M432" s="52"/>
      <c r="N432" s="52"/>
      <c r="O432" s="52"/>
      <c r="P432" s="52"/>
      <c r="Q432" s="52"/>
      <c r="U432" s="52"/>
    </row>
    <row r="433">
      <c r="M433" s="52"/>
      <c r="N433" s="52"/>
      <c r="O433" s="52"/>
      <c r="P433" s="52"/>
      <c r="Q433" s="52"/>
      <c r="U433" s="52"/>
    </row>
    <row r="434">
      <c r="M434" s="52"/>
      <c r="N434" s="52"/>
      <c r="O434" s="52"/>
      <c r="P434" s="52"/>
      <c r="Q434" s="52"/>
      <c r="U434" s="52"/>
    </row>
    <row r="435">
      <c r="M435" s="52"/>
      <c r="N435" s="52"/>
      <c r="O435" s="52"/>
      <c r="P435" s="52"/>
      <c r="Q435" s="52"/>
      <c r="U435" s="52"/>
    </row>
    <row r="436">
      <c r="M436" s="52"/>
      <c r="N436" s="52"/>
      <c r="O436" s="52"/>
      <c r="P436" s="52"/>
      <c r="Q436" s="52"/>
      <c r="U436" s="52"/>
    </row>
    <row r="437">
      <c r="M437" s="52"/>
      <c r="N437" s="52"/>
      <c r="O437" s="52"/>
      <c r="P437" s="52"/>
      <c r="Q437" s="52"/>
      <c r="U437" s="52"/>
    </row>
    <row r="438">
      <c r="M438" s="52"/>
      <c r="N438" s="52"/>
      <c r="O438" s="52"/>
      <c r="P438" s="52"/>
      <c r="Q438" s="52"/>
      <c r="U438" s="52"/>
    </row>
    <row r="439">
      <c r="M439" s="52"/>
      <c r="N439" s="52"/>
      <c r="O439" s="52"/>
      <c r="P439" s="52"/>
      <c r="Q439" s="52"/>
      <c r="U439" s="52"/>
    </row>
    <row r="440">
      <c r="M440" s="52"/>
      <c r="N440" s="52"/>
      <c r="O440" s="52"/>
      <c r="P440" s="52"/>
      <c r="Q440" s="52"/>
      <c r="U440" s="52"/>
    </row>
    <row r="441">
      <c r="M441" s="52"/>
      <c r="N441" s="52"/>
      <c r="O441" s="52"/>
      <c r="P441" s="52"/>
      <c r="Q441" s="52"/>
      <c r="U441" s="52"/>
    </row>
    <row r="442">
      <c r="M442" s="52"/>
      <c r="N442" s="52"/>
      <c r="O442" s="52"/>
      <c r="P442" s="52"/>
      <c r="Q442" s="52"/>
      <c r="U442" s="52"/>
    </row>
    <row r="443">
      <c r="M443" s="52"/>
      <c r="N443" s="52"/>
      <c r="O443" s="52"/>
      <c r="P443" s="52"/>
      <c r="Q443" s="52"/>
      <c r="U443" s="52"/>
    </row>
    <row r="444">
      <c r="M444" s="52"/>
      <c r="N444" s="52"/>
      <c r="O444" s="52"/>
      <c r="P444" s="52"/>
      <c r="Q444" s="52"/>
      <c r="U444" s="52"/>
    </row>
    <row r="445">
      <c r="M445" s="52"/>
      <c r="N445" s="52"/>
      <c r="O445" s="52"/>
      <c r="P445" s="52"/>
      <c r="Q445" s="52"/>
      <c r="U445" s="52"/>
    </row>
    <row r="446">
      <c r="M446" s="52"/>
      <c r="N446" s="52"/>
      <c r="O446" s="52"/>
      <c r="P446" s="52"/>
      <c r="Q446" s="52"/>
      <c r="U446" s="52"/>
    </row>
    <row r="447">
      <c r="M447" s="52"/>
      <c r="N447" s="52"/>
      <c r="O447" s="52"/>
      <c r="P447" s="52"/>
      <c r="Q447" s="52"/>
      <c r="U447" s="52"/>
    </row>
    <row r="448">
      <c r="M448" s="52"/>
      <c r="N448" s="52"/>
      <c r="O448" s="52"/>
      <c r="P448" s="52"/>
      <c r="Q448" s="52"/>
      <c r="U448" s="52"/>
    </row>
    <row r="449">
      <c r="M449" s="52"/>
      <c r="N449" s="52"/>
      <c r="O449" s="52"/>
      <c r="P449" s="52"/>
      <c r="Q449" s="52"/>
      <c r="U449" s="52"/>
    </row>
    <row r="450">
      <c r="M450" s="52"/>
      <c r="N450" s="52"/>
      <c r="O450" s="52"/>
      <c r="P450" s="52"/>
      <c r="Q450" s="52"/>
      <c r="U450" s="52"/>
    </row>
    <row r="451">
      <c r="M451" s="52"/>
      <c r="N451" s="52"/>
      <c r="O451" s="52"/>
      <c r="P451" s="52"/>
      <c r="Q451" s="52"/>
      <c r="U451" s="52"/>
    </row>
    <row r="452">
      <c r="M452" s="52"/>
      <c r="N452" s="52"/>
      <c r="O452" s="52"/>
      <c r="P452" s="52"/>
      <c r="Q452" s="52"/>
      <c r="U452" s="52"/>
    </row>
    <row r="453">
      <c r="M453" s="52"/>
      <c r="N453" s="52"/>
      <c r="O453" s="52"/>
      <c r="P453" s="52"/>
      <c r="Q453" s="52"/>
      <c r="U453" s="52"/>
    </row>
    <row r="454">
      <c r="M454" s="52"/>
      <c r="N454" s="52"/>
      <c r="O454" s="52"/>
      <c r="P454" s="52"/>
      <c r="Q454" s="52"/>
      <c r="U454" s="52"/>
    </row>
    <row r="455">
      <c r="M455" s="52"/>
      <c r="N455" s="52"/>
      <c r="O455" s="52"/>
      <c r="P455" s="52"/>
      <c r="Q455" s="52"/>
      <c r="U455" s="52"/>
    </row>
    <row r="456">
      <c r="M456" s="52"/>
      <c r="N456" s="52"/>
      <c r="O456" s="52"/>
      <c r="P456" s="52"/>
      <c r="Q456" s="52"/>
      <c r="U456" s="52"/>
    </row>
    <row r="457">
      <c r="M457" s="52"/>
      <c r="N457" s="52"/>
      <c r="O457" s="52"/>
      <c r="P457" s="52"/>
      <c r="Q457" s="52"/>
      <c r="U457" s="52"/>
    </row>
    <row r="458">
      <c r="M458" s="52"/>
      <c r="N458" s="52"/>
      <c r="O458" s="52"/>
      <c r="P458" s="52"/>
      <c r="Q458" s="52"/>
      <c r="U458" s="52"/>
    </row>
    <row r="459">
      <c r="M459" s="52"/>
      <c r="N459" s="52"/>
      <c r="O459" s="52"/>
      <c r="P459" s="52"/>
      <c r="Q459" s="52"/>
      <c r="U459" s="52"/>
    </row>
    <row r="460">
      <c r="M460" s="52"/>
      <c r="N460" s="52"/>
      <c r="O460" s="52"/>
      <c r="P460" s="52"/>
      <c r="Q460" s="52"/>
      <c r="U460" s="52"/>
    </row>
    <row r="461">
      <c r="M461" s="52"/>
      <c r="N461" s="52"/>
      <c r="O461" s="52"/>
      <c r="P461" s="52"/>
      <c r="Q461" s="52"/>
      <c r="U461" s="52"/>
    </row>
    <row r="462">
      <c r="M462" s="52"/>
      <c r="N462" s="52"/>
      <c r="O462" s="52"/>
      <c r="P462" s="52"/>
      <c r="Q462" s="52"/>
      <c r="U462" s="52"/>
    </row>
    <row r="463">
      <c r="M463" s="52"/>
      <c r="N463" s="52"/>
      <c r="O463" s="52"/>
      <c r="P463" s="52"/>
      <c r="Q463" s="52"/>
      <c r="U463" s="52"/>
    </row>
    <row r="464">
      <c r="M464" s="52"/>
      <c r="N464" s="52"/>
      <c r="O464" s="52"/>
      <c r="P464" s="52"/>
      <c r="Q464" s="52"/>
      <c r="U464" s="52"/>
    </row>
    <row r="465">
      <c r="M465" s="52"/>
      <c r="N465" s="52"/>
      <c r="O465" s="52"/>
      <c r="P465" s="52"/>
      <c r="Q465" s="52"/>
      <c r="U465" s="52"/>
    </row>
    <row r="466">
      <c r="M466" s="52"/>
      <c r="N466" s="52"/>
      <c r="O466" s="52"/>
      <c r="P466" s="52"/>
      <c r="Q466" s="52"/>
      <c r="U466" s="52"/>
    </row>
    <row r="467">
      <c r="M467" s="52"/>
      <c r="N467" s="52"/>
      <c r="O467" s="52"/>
      <c r="P467" s="52"/>
      <c r="Q467" s="52"/>
      <c r="U467" s="52"/>
    </row>
    <row r="468">
      <c r="M468" s="52"/>
      <c r="N468" s="52"/>
      <c r="O468" s="52"/>
      <c r="P468" s="52"/>
      <c r="Q468" s="52"/>
      <c r="U468" s="52"/>
    </row>
    <row r="469">
      <c r="M469" s="52"/>
      <c r="N469" s="52"/>
      <c r="O469" s="52"/>
      <c r="P469" s="52"/>
      <c r="Q469" s="52"/>
      <c r="U469" s="52"/>
    </row>
    <row r="470">
      <c r="M470" s="52"/>
      <c r="N470" s="52"/>
      <c r="O470" s="52"/>
      <c r="P470" s="52"/>
      <c r="Q470" s="52"/>
      <c r="U470" s="52"/>
    </row>
    <row r="471">
      <c r="M471" s="52"/>
      <c r="N471" s="52"/>
      <c r="O471" s="52"/>
      <c r="P471" s="52"/>
      <c r="Q471" s="52"/>
      <c r="U471" s="52"/>
    </row>
    <row r="472">
      <c r="M472" s="52"/>
      <c r="N472" s="52"/>
      <c r="O472" s="52"/>
      <c r="P472" s="52"/>
      <c r="Q472" s="52"/>
      <c r="U472" s="52"/>
    </row>
    <row r="473">
      <c r="M473" s="52"/>
      <c r="N473" s="52"/>
      <c r="O473" s="52"/>
      <c r="P473" s="52"/>
      <c r="Q473" s="52"/>
      <c r="U473" s="52"/>
    </row>
    <row r="474">
      <c r="M474" s="52"/>
      <c r="N474" s="52"/>
      <c r="O474" s="52"/>
      <c r="P474" s="52"/>
      <c r="Q474" s="52"/>
      <c r="U474" s="52"/>
    </row>
    <row r="475">
      <c r="M475" s="52"/>
      <c r="N475" s="52"/>
      <c r="O475" s="52"/>
      <c r="P475" s="52"/>
      <c r="Q475" s="52"/>
      <c r="U475" s="52"/>
    </row>
    <row r="476">
      <c r="M476" s="52"/>
      <c r="N476" s="52"/>
      <c r="O476" s="52"/>
      <c r="P476" s="52"/>
      <c r="Q476" s="52"/>
      <c r="U476" s="52"/>
    </row>
    <row r="477">
      <c r="M477" s="52"/>
      <c r="N477" s="52"/>
      <c r="O477" s="52"/>
      <c r="P477" s="52"/>
      <c r="Q477" s="52"/>
      <c r="U477" s="52"/>
    </row>
    <row r="478">
      <c r="M478" s="52"/>
      <c r="N478" s="52"/>
      <c r="O478" s="52"/>
      <c r="P478" s="52"/>
      <c r="Q478" s="52"/>
      <c r="U478" s="52"/>
    </row>
    <row r="479">
      <c r="M479" s="52"/>
      <c r="N479" s="52"/>
      <c r="O479" s="52"/>
      <c r="P479" s="52"/>
      <c r="Q479" s="52"/>
      <c r="U479" s="52"/>
    </row>
    <row r="480">
      <c r="M480" s="52"/>
      <c r="N480" s="52"/>
      <c r="O480" s="52"/>
      <c r="P480" s="52"/>
      <c r="Q480" s="52"/>
      <c r="U480" s="52"/>
    </row>
    <row r="481">
      <c r="M481" s="52"/>
      <c r="N481" s="52"/>
      <c r="O481" s="52"/>
      <c r="P481" s="52"/>
      <c r="Q481" s="52"/>
      <c r="U481" s="52"/>
    </row>
    <row r="482">
      <c r="M482" s="52"/>
      <c r="N482" s="52"/>
      <c r="O482" s="52"/>
      <c r="P482" s="52"/>
      <c r="Q482" s="52"/>
      <c r="U482" s="52"/>
    </row>
    <row r="483">
      <c r="M483" s="52"/>
      <c r="N483" s="52"/>
      <c r="O483" s="52"/>
      <c r="P483" s="52"/>
      <c r="Q483" s="52"/>
      <c r="U483" s="52"/>
    </row>
    <row r="484">
      <c r="M484" s="52"/>
      <c r="N484" s="52"/>
      <c r="O484" s="52"/>
      <c r="P484" s="52"/>
      <c r="Q484" s="52"/>
      <c r="U484" s="52"/>
    </row>
    <row r="485">
      <c r="M485" s="52"/>
      <c r="N485" s="52"/>
      <c r="O485" s="52"/>
      <c r="P485" s="52"/>
      <c r="Q485" s="52"/>
      <c r="U485" s="52"/>
    </row>
    <row r="486">
      <c r="M486" s="52"/>
      <c r="N486" s="52"/>
      <c r="O486" s="52"/>
      <c r="P486" s="52"/>
      <c r="Q486" s="52"/>
      <c r="U486" s="52"/>
    </row>
    <row r="487">
      <c r="M487" s="52"/>
      <c r="N487" s="52"/>
      <c r="O487" s="52"/>
      <c r="P487" s="52"/>
      <c r="Q487" s="52"/>
      <c r="U487" s="52"/>
    </row>
    <row r="488">
      <c r="M488" s="52"/>
      <c r="N488" s="52"/>
      <c r="O488" s="52"/>
      <c r="P488" s="52"/>
      <c r="Q488" s="52"/>
      <c r="U488" s="52"/>
    </row>
    <row r="489">
      <c r="M489" s="52"/>
      <c r="N489" s="52"/>
      <c r="O489" s="52"/>
      <c r="P489" s="52"/>
      <c r="Q489" s="52"/>
      <c r="U489" s="52"/>
    </row>
    <row r="490">
      <c r="M490" s="52"/>
      <c r="N490" s="52"/>
      <c r="O490" s="52"/>
      <c r="P490" s="52"/>
      <c r="Q490" s="52"/>
      <c r="U490" s="52"/>
    </row>
    <row r="491">
      <c r="M491" s="52"/>
      <c r="N491" s="52"/>
      <c r="O491" s="52"/>
      <c r="P491" s="52"/>
      <c r="Q491" s="52"/>
      <c r="U491" s="52"/>
    </row>
    <row r="492">
      <c r="M492" s="52"/>
      <c r="N492" s="52"/>
      <c r="O492" s="52"/>
      <c r="P492" s="52"/>
      <c r="Q492" s="52"/>
      <c r="U492" s="52"/>
    </row>
    <row r="493">
      <c r="M493" s="52"/>
      <c r="N493" s="52"/>
      <c r="O493" s="52"/>
      <c r="P493" s="52"/>
      <c r="Q493" s="52"/>
      <c r="U493" s="52"/>
    </row>
    <row r="494">
      <c r="M494" s="52"/>
      <c r="N494" s="52"/>
      <c r="O494" s="52"/>
      <c r="P494" s="52"/>
      <c r="Q494" s="52"/>
      <c r="U494" s="52"/>
    </row>
    <row r="495">
      <c r="M495" s="52"/>
      <c r="N495" s="52"/>
      <c r="O495" s="52"/>
      <c r="P495" s="52"/>
      <c r="Q495" s="52"/>
      <c r="U495" s="52"/>
    </row>
    <row r="496">
      <c r="M496" s="52"/>
      <c r="N496" s="52"/>
      <c r="O496" s="52"/>
      <c r="P496" s="52"/>
      <c r="Q496" s="52"/>
      <c r="U496" s="52"/>
    </row>
    <row r="497">
      <c r="M497" s="52"/>
      <c r="N497" s="52"/>
      <c r="O497" s="52"/>
      <c r="P497" s="52"/>
      <c r="Q497" s="52"/>
      <c r="U497" s="52"/>
    </row>
    <row r="498">
      <c r="M498" s="52"/>
      <c r="N498" s="52"/>
      <c r="O498" s="52"/>
      <c r="P498" s="52"/>
      <c r="Q498" s="52"/>
      <c r="U498" s="52"/>
    </row>
    <row r="499">
      <c r="M499" s="52"/>
      <c r="N499" s="52"/>
      <c r="O499" s="52"/>
      <c r="P499" s="52"/>
      <c r="Q499" s="52"/>
      <c r="U499" s="52"/>
    </row>
    <row r="500">
      <c r="M500" s="52"/>
      <c r="N500" s="52"/>
      <c r="O500" s="52"/>
      <c r="P500" s="52"/>
      <c r="Q500" s="52"/>
      <c r="U500" s="52"/>
    </row>
    <row r="501">
      <c r="M501" s="52"/>
      <c r="N501" s="52"/>
      <c r="O501" s="52"/>
      <c r="P501" s="52"/>
      <c r="Q501" s="52"/>
      <c r="U501" s="52"/>
    </row>
    <row r="502">
      <c r="M502" s="52"/>
      <c r="N502" s="52"/>
      <c r="O502" s="52"/>
      <c r="P502" s="52"/>
      <c r="Q502" s="52"/>
      <c r="U502" s="52"/>
    </row>
    <row r="503">
      <c r="M503" s="52"/>
      <c r="N503" s="52"/>
      <c r="O503" s="52"/>
      <c r="P503" s="52"/>
      <c r="Q503" s="52"/>
      <c r="U503" s="52"/>
    </row>
    <row r="504">
      <c r="M504" s="52"/>
      <c r="N504" s="52"/>
      <c r="O504" s="52"/>
      <c r="P504" s="52"/>
      <c r="Q504" s="52"/>
      <c r="U504" s="52"/>
    </row>
    <row r="505">
      <c r="M505" s="52"/>
      <c r="N505" s="52"/>
      <c r="O505" s="52"/>
      <c r="P505" s="52"/>
      <c r="Q505" s="52"/>
      <c r="U505" s="52"/>
    </row>
    <row r="506">
      <c r="M506" s="52"/>
      <c r="N506" s="52"/>
      <c r="O506" s="52"/>
      <c r="P506" s="52"/>
      <c r="Q506" s="52"/>
      <c r="U506" s="52"/>
    </row>
    <row r="507">
      <c r="M507" s="52"/>
      <c r="N507" s="52"/>
      <c r="O507" s="52"/>
      <c r="P507" s="52"/>
      <c r="Q507" s="52"/>
      <c r="U507" s="52"/>
    </row>
    <row r="508">
      <c r="M508" s="52"/>
      <c r="N508" s="52"/>
      <c r="O508" s="52"/>
      <c r="P508" s="52"/>
      <c r="Q508" s="52"/>
      <c r="U508" s="52"/>
    </row>
    <row r="509">
      <c r="M509" s="52"/>
      <c r="N509" s="52"/>
      <c r="O509" s="52"/>
      <c r="P509" s="52"/>
      <c r="Q509" s="52"/>
      <c r="U509" s="52"/>
    </row>
    <row r="510">
      <c r="M510" s="52"/>
      <c r="N510" s="52"/>
      <c r="O510" s="52"/>
      <c r="P510" s="52"/>
      <c r="Q510" s="52"/>
      <c r="U510" s="52"/>
    </row>
    <row r="511">
      <c r="M511" s="52"/>
      <c r="N511" s="52"/>
      <c r="O511" s="52"/>
      <c r="P511" s="52"/>
      <c r="Q511" s="52"/>
      <c r="U511" s="52"/>
    </row>
    <row r="512">
      <c r="M512" s="52"/>
      <c r="N512" s="52"/>
      <c r="O512" s="52"/>
      <c r="P512" s="52"/>
      <c r="Q512" s="52"/>
      <c r="U512" s="52"/>
    </row>
    <row r="513">
      <c r="M513" s="52"/>
      <c r="N513" s="52"/>
      <c r="O513" s="52"/>
      <c r="P513" s="52"/>
      <c r="Q513" s="52"/>
      <c r="U513" s="52"/>
    </row>
    <row r="514">
      <c r="M514" s="52"/>
      <c r="N514" s="52"/>
      <c r="O514" s="52"/>
      <c r="P514" s="52"/>
      <c r="Q514" s="52"/>
      <c r="U514" s="52"/>
    </row>
    <row r="515">
      <c r="M515" s="52"/>
      <c r="N515" s="52"/>
      <c r="O515" s="52"/>
      <c r="P515" s="52"/>
      <c r="Q515" s="52"/>
      <c r="U515" s="52"/>
    </row>
    <row r="516">
      <c r="M516" s="52"/>
      <c r="N516" s="52"/>
      <c r="O516" s="52"/>
      <c r="P516" s="52"/>
      <c r="Q516" s="52"/>
      <c r="U516" s="52"/>
    </row>
    <row r="517">
      <c r="M517" s="52"/>
      <c r="N517" s="52"/>
      <c r="O517" s="52"/>
      <c r="P517" s="52"/>
      <c r="Q517" s="52"/>
      <c r="U517" s="52"/>
    </row>
    <row r="518">
      <c r="M518" s="52"/>
      <c r="N518" s="52"/>
      <c r="O518" s="52"/>
      <c r="P518" s="52"/>
      <c r="Q518" s="52"/>
      <c r="U518" s="52"/>
    </row>
    <row r="519">
      <c r="M519" s="52"/>
      <c r="N519" s="52"/>
      <c r="O519" s="52"/>
      <c r="P519" s="52"/>
      <c r="Q519" s="52"/>
      <c r="U519" s="52"/>
    </row>
    <row r="520">
      <c r="M520" s="52"/>
      <c r="N520" s="52"/>
      <c r="O520" s="52"/>
      <c r="P520" s="52"/>
      <c r="Q520" s="52"/>
      <c r="U520" s="52"/>
    </row>
    <row r="521">
      <c r="M521" s="52"/>
      <c r="N521" s="52"/>
      <c r="O521" s="52"/>
      <c r="P521" s="52"/>
      <c r="Q521" s="52"/>
      <c r="U521" s="52"/>
    </row>
    <row r="522">
      <c r="M522" s="52"/>
      <c r="N522" s="52"/>
      <c r="O522" s="52"/>
      <c r="P522" s="52"/>
      <c r="Q522" s="52"/>
      <c r="U522" s="52"/>
    </row>
    <row r="523">
      <c r="M523" s="52"/>
      <c r="N523" s="52"/>
      <c r="O523" s="52"/>
      <c r="P523" s="52"/>
      <c r="Q523" s="52"/>
      <c r="U523" s="52"/>
    </row>
    <row r="524">
      <c r="M524" s="52"/>
      <c r="N524" s="52"/>
      <c r="O524" s="52"/>
      <c r="P524" s="52"/>
      <c r="Q524" s="52"/>
      <c r="U524" s="52"/>
    </row>
    <row r="525">
      <c r="M525" s="52"/>
      <c r="N525" s="52"/>
      <c r="O525" s="52"/>
      <c r="P525" s="52"/>
      <c r="Q525" s="52"/>
      <c r="U525" s="52"/>
    </row>
    <row r="526">
      <c r="M526" s="52"/>
      <c r="N526" s="52"/>
      <c r="O526" s="52"/>
      <c r="P526" s="52"/>
      <c r="Q526" s="52"/>
      <c r="U526" s="52"/>
    </row>
    <row r="527">
      <c r="M527" s="52"/>
      <c r="N527" s="52"/>
      <c r="O527" s="52"/>
      <c r="P527" s="52"/>
      <c r="Q527" s="52"/>
      <c r="U527" s="52"/>
    </row>
    <row r="528">
      <c r="M528" s="52"/>
      <c r="N528" s="52"/>
      <c r="O528" s="52"/>
      <c r="P528" s="52"/>
      <c r="Q528" s="52"/>
      <c r="U528" s="52"/>
    </row>
    <row r="529">
      <c r="M529" s="52"/>
      <c r="N529" s="52"/>
      <c r="O529" s="52"/>
      <c r="P529" s="52"/>
      <c r="Q529" s="52"/>
      <c r="U529" s="52"/>
    </row>
    <row r="530">
      <c r="M530" s="52"/>
      <c r="N530" s="52"/>
      <c r="O530" s="52"/>
      <c r="P530" s="52"/>
      <c r="Q530" s="52"/>
      <c r="U530" s="52"/>
    </row>
    <row r="531">
      <c r="M531" s="52"/>
      <c r="N531" s="52"/>
      <c r="O531" s="52"/>
      <c r="P531" s="52"/>
      <c r="Q531" s="52"/>
      <c r="U531" s="52"/>
    </row>
    <row r="532">
      <c r="M532" s="52"/>
      <c r="N532" s="52"/>
      <c r="O532" s="52"/>
      <c r="P532" s="52"/>
      <c r="Q532" s="52"/>
      <c r="U532" s="52"/>
    </row>
    <row r="533">
      <c r="M533" s="52"/>
      <c r="N533" s="52"/>
      <c r="O533" s="52"/>
      <c r="P533" s="52"/>
      <c r="Q533" s="52"/>
      <c r="U533" s="52"/>
    </row>
    <row r="534">
      <c r="M534" s="52"/>
      <c r="N534" s="52"/>
      <c r="O534" s="52"/>
      <c r="P534" s="52"/>
      <c r="Q534" s="52"/>
      <c r="U534" s="52"/>
    </row>
    <row r="535">
      <c r="M535" s="52"/>
      <c r="N535" s="52"/>
      <c r="O535" s="52"/>
      <c r="P535" s="52"/>
      <c r="Q535" s="52"/>
      <c r="U535" s="52"/>
    </row>
    <row r="536">
      <c r="M536" s="52"/>
      <c r="N536" s="52"/>
      <c r="O536" s="52"/>
      <c r="P536" s="52"/>
      <c r="Q536" s="52"/>
      <c r="U536" s="52"/>
    </row>
    <row r="537">
      <c r="M537" s="52"/>
      <c r="N537" s="52"/>
      <c r="O537" s="52"/>
      <c r="P537" s="52"/>
      <c r="Q537" s="52"/>
      <c r="U537" s="52"/>
    </row>
    <row r="538">
      <c r="M538" s="52"/>
      <c r="N538" s="52"/>
      <c r="O538" s="52"/>
      <c r="P538" s="52"/>
      <c r="Q538" s="52"/>
      <c r="U538" s="52"/>
    </row>
    <row r="539">
      <c r="M539" s="52"/>
      <c r="N539" s="52"/>
      <c r="O539" s="52"/>
      <c r="P539" s="52"/>
      <c r="Q539" s="52"/>
      <c r="U539" s="52"/>
    </row>
    <row r="540">
      <c r="M540" s="52"/>
      <c r="N540" s="52"/>
      <c r="O540" s="52"/>
      <c r="P540" s="52"/>
      <c r="Q540" s="52"/>
      <c r="U540" s="52"/>
    </row>
    <row r="541">
      <c r="M541" s="52"/>
      <c r="N541" s="52"/>
      <c r="O541" s="52"/>
      <c r="P541" s="52"/>
      <c r="Q541" s="52"/>
      <c r="U541" s="52"/>
    </row>
    <row r="542">
      <c r="M542" s="52"/>
      <c r="N542" s="52"/>
      <c r="O542" s="52"/>
      <c r="P542" s="52"/>
      <c r="Q542" s="52"/>
      <c r="U542" s="52"/>
    </row>
    <row r="543">
      <c r="M543" s="52"/>
      <c r="N543" s="52"/>
      <c r="O543" s="52"/>
      <c r="P543" s="52"/>
      <c r="Q543" s="52"/>
      <c r="U543" s="52"/>
    </row>
    <row r="544">
      <c r="M544" s="52"/>
      <c r="N544" s="52"/>
      <c r="O544" s="52"/>
      <c r="P544" s="52"/>
      <c r="Q544" s="52"/>
      <c r="U544" s="52"/>
    </row>
    <row r="545">
      <c r="M545" s="52"/>
      <c r="N545" s="52"/>
      <c r="O545" s="52"/>
      <c r="P545" s="52"/>
      <c r="Q545" s="52"/>
      <c r="U545" s="52"/>
    </row>
    <row r="546">
      <c r="M546" s="52"/>
      <c r="N546" s="52"/>
      <c r="O546" s="52"/>
      <c r="P546" s="52"/>
      <c r="Q546" s="52"/>
      <c r="U546" s="52"/>
    </row>
    <row r="547">
      <c r="M547" s="52"/>
      <c r="N547" s="52"/>
      <c r="O547" s="52"/>
      <c r="P547" s="52"/>
      <c r="Q547" s="52"/>
      <c r="U547" s="52"/>
    </row>
    <row r="548">
      <c r="M548" s="52"/>
      <c r="N548" s="52"/>
      <c r="O548" s="52"/>
      <c r="P548" s="52"/>
      <c r="Q548" s="52"/>
      <c r="U548" s="52"/>
    </row>
    <row r="549">
      <c r="M549" s="52"/>
      <c r="N549" s="52"/>
      <c r="O549" s="52"/>
      <c r="P549" s="52"/>
      <c r="Q549" s="52"/>
      <c r="U549" s="52"/>
    </row>
    <row r="550">
      <c r="M550" s="52"/>
      <c r="N550" s="52"/>
      <c r="O550" s="52"/>
      <c r="P550" s="52"/>
      <c r="Q550" s="52"/>
      <c r="U550" s="52"/>
    </row>
    <row r="551">
      <c r="M551" s="52"/>
      <c r="N551" s="52"/>
      <c r="O551" s="52"/>
      <c r="P551" s="52"/>
      <c r="Q551" s="52"/>
      <c r="U551" s="52"/>
    </row>
    <row r="552">
      <c r="M552" s="52"/>
      <c r="N552" s="52"/>
      <c r="O552" s="52"/>
      <c r="P552" s="52"/>
      <c r="Q552" s="52"/>
      <c r="U552" s="52"/>
    </row>
    <row r="553">
      <c r="M553" s="52"/>
      <c r="N553" s="52"/>
      <c r="O553" s="52"/>
      <c r="P553" s="52"/>
      <c r="Q553" s="52"/>
      <c r="U553" s="52"/>
    </row>
    <row r="554">
      <c r="M554" s="52"/>
      <c r="N554" s="52"/>
      <c r="O554" s="52"/>
      <c r="P554" s="52"/>
      <c r="Q554" s="52"/>
      <c r="U554" s="52"/>
    </row>
    <row r="555">
      <c r="M555" s="52"/>
      <c r="N555" s="52"/>
      <c r="O555" s="52"/>
      <c r="P555" s="52"/>
      <c r="Q555" s="52"/>
      <c r="U555" s="52"/>
    </row>
    <row r="556">
      <c r="M556" s="52"/>
      <c r="N556" s="52"/>
      <c r="O556" s="52"/>
      <c r="P556" s="52"/>
      <c r="Q556" s="52"/>
      <c r="U556" s="52"/>
    </row>
    <row r="557">
      <c r="M557" s="52"/>
      <c r="N557" s="52"/>
      <c r="O557" s="52"/>
      <c r="P557" s="52"/>
      <c r="Q557" s="52"/>
      <c r="U557" s="52"/>
    </row>
    <row r="558">
      <c r="M558" s="52"/>
      <c r="N558" s="52"/>
      <c r="O558" s="52"/>
      <c r="P558" s="52"/>
      <c r="Q558" s="52"/>
      <c r="U558" s="52"/>
    </row>
    <row r="559">
      <c r="M559" s="52"/>
      <c r="N559" s="52"/>
      <c r="O559" s="52"/>
      <c r="P559" s="52"/>
      <c r="Q559" s="52"/>
      <c r="U559" s="52"/>
    </row>
    <row r="560">
      <c r="M560" s="52"/>
      <c r="N560" s="52"/>
      <c r="O560" s="52"/>
      <c r="P560" s="52"/>
      <c r="Q560" s="52"/>
      <c r="U560" s="52"/>
    </row>
    <row r="561">
      <c r="M561" s="52"/>
      <c r="N561" s="52"/>
      <c r="O561" s="52"/>
      <c r="P561" s="52"/>
      <c r="Q561" s="52"/>
      <c r="U561" s="52"/>
    </row>
    <row r="562">
      <c r="M562" s="52"/>
      <c r="N562" s="52"/>
      <c r="O562" s="52"/>
      <c r="P562" s="52"/>
      <c r="Q562" s="52"/>
      <c r="U562" s="52"/>
    </row>
    <row r="563">
      <c r="M563" s="52"/>
      <c r="N563" s="52"/>
      <c r="O563" s="52"/>
      <c r="P563" s="52"/>
      <c r="Q563" s="52"/>
      <c r="U563" s="52"/>
    </row>
    <row r="564">
      <c r="M564" s="52"/>
      <c r="N564" s="52"/>
      <c r="O564" s="52"/>
      <c r="P564" s="52"/>
      <c r="Q564" s="52"/>
      <c r="U564" s="52"/>
    </row>
    <row r="565">
      <c r="M565" s="52"/>
      <c r="N565" s="52"/>
      <c r="O565" s="52"/>
      <c r="P565" s="52"/>
      <c r="Q565" s="52"/>
      <c r="U565" s="52"/>
    </row>
    <row r="566">
      <c r="M566" s="52"/>
      <c r="N566" s="52"/>
      <c r="O566" s="52"/>
      <c r="P566" s="52"/>
      <c r="Q566" s="52"/>
      <c r="U566" s="52"/>
    </row>
    <row r="567">
      <c r="M567" s="52"/>
      <c r="N567" s="52"/>
      <c r="O567" s="52"/>
      <c r="P567" s="52"/>
      <c r="Q567" s="52"/>
      <c r="U567" s="52"/>
    </row>
    <row r="568">
      <c r="M568" s="52"/>
      <c r="N568" s="52"/>
      <c r="O568" s="52"/>
      <c r="P568" s="52"/>
      <c r="Q568" s="52"/>
      <c r="U568" s="52"/>
    </row>
    <row r="569">
      <c r="M569" s="52"/>
      <c r="N569" s="52"/>
      <c r="O569" s="52"/>
      <c r="P569" s="52"/>
      <c r="Q569" s="52"/>
      <c r="U569" s="52"/>
    </row>
    <row r="570">
      <c r="M570" s="52"/>
      <c r="N570" s="52"/>
      <c r="O570" s="52"/>
      <c r="P570" s="52"/>
      <c r="Q570" s="52"/>
      <c r="U570" s="52"/>
    </row>
    <row r="571">
      <c r="M571" s="52"/>
      <c r="N571" s="52"/>
      <c r="O571" s="52"/>
      <c r="P571" s="52"/>
      <c r="Q571" s="52"/>
      <c r="U571" s="52"/>
    </row>
    <row r="572">
      <c r="M572" s="52"/>
      <c r="N572" s="52"/>
      <c r="O572" s="52"/>
      <c r="P572" s="52"/>
      <c r="Q572" s="52"/>
      <c r="U572" s="52"/>
    </row>
    <row r="573">
      <c r="M573" s="52"/>
      <c r="N573" s="52"/>
      <c r="O573" s="52"/>
      <c r="P573" s="52"/>
      <c r="Q573" s="52"/>
      <c r="U573" s="52"/>
    </row>
    <row r="574">
      <c r="M574" s="52"/>
      <c r="N574" s="52"/>
      <c r="O574" s="52"/>
      <c r="P574" s="52"/>
      <c r="Q574" s="52"/>
      <c r="U574" s="52"/>
    </row>
    <row r="575">
      <c r="M575" s="52"/>
      <c r="N575" s="52"/>
      <c r="O575" s="52"/>
      <c r="P575" s="52"/>
      <c r="Q575" s="52"/>
      <c r="U575" s="52"/>
    </row>
    <row r="576">
      <c r="M576" s="52"/>
      <c r="N576" s="52"/>
      <c r="O576" s="52"/>
      <c r="P576" s="52"/>
      <c r="Q576" s="52"/>
      <c r="U576" s="52"/>
    </row>
    <row r="577">
      <c r="M577" s="52"/>
      <c r="N577" s="52"/>
      <c r="O577" s="52"/>
      <c r="P577" s="52"/>
      <c r="Q577" s="52"/>
      <c r="U577" s="52"/>
    </row>
    <row r="578">
      <c r="M578" s="52"/>
      <c r="N578" s="52"/>
      <c r="O578" s="52"/>
      <c r="P578" s="52"/>
      <c r="Q578" s="52"/>
      <c r="U578" s="52"/>
    </row>
    <row r="579">
      <c r="M579" s="52"/>
      <c r="N579" s="52"/>
      <c r="O579" s="52"/>
      <c r="P579" s="52"/>
      <c r="Q579" s="52"/>
      <c r="U579" s="52"/>
    </row>
    <row r="580">
      <c r="M580" s="52"/>
      <c r="N580" s="52"/>
      <c r="O580" s="52"/>
      <c r="P580" s="52"/>
      <c r="Q580" s="52"/>
      <c r="U580" s="52"/>
    </row>
    <row r="581">
      <c r="M581" s="52"/>
      <c r="N581" s="52"/>
      <c r="O581" s="52"/>
      <c r="P581" s="52"/>
      <c r="Q581" s="52"/>
      <c r="U581" s="52"/>
    </row>
    <row r="582">
      <c r="M582" s="52"/>
      <c r="N582" s="52"/>
      <c r="O582" s="52"/>
      <c r="P582" s="52"/>
      <c r="Q582" s="52"/>
      <c r="U582" s="52"/>
    </row>
    <row r="583">
      <c r="M583" s="52"/>
      <c r="N583" s="52"/>
      <c r="O583" s="52"/>
      <c r="P583" s="52"/>
      <c r="Q583" s="52"/>
      <c r="U583" s="52"/>
    </row>
    <row r="584">
      <c r="M584" s="52"/>
      <c r="N584" s="52"/>
      <c r="O584" s="52"/>
      <c r="P584" s="52"/>
      <c r="Q584" s="52"/>
      <c r="U584" s="52"/>
    </row>
    <row r="585">
      <c r="M585" s="52"/>
      <c r="N585" s="52"/>
      <c r="O585" s="52"/>
      <c r="P585" s="52"/>
      <c r="Q585" s="52"/>
      <c r="U585" s="52"/>
    </row>
    <row r="586">
      <c r="M586" s="52"/>
      <c r="N586" s="52"/>
      <c r="O586" s="52"/>
      <c r="P586" s="52"/>
      <c r="Q586" s="52"/>
      <c r="U586" s="52"/>
    </row>
    <row r="587">
      <c r="M587" s="52"/>
      <c r="N587" s="52"/>
      <c r="O587" s="52"/>
      <c r="P587" s="52"/>
      <c r="Q587" s="52"/>
      <c r="U587" s="52"/>
    </row>
    <row r="588">
      <c r="M588" s="52"/>
      <c r="N588" s="52"/>
      <c r="O588" s="52"/>
      <c r="P588" s="52"/>
      <c r="Q588" s="52"/>
      <c r="U588" s="52"/>
    </row>
    <row r="589">
      <c r="M589" s="52"/>
      <c r="N589" s="52"/>
      <c r="O589" s="52"/>
      <c r="P589" s="52"/>
      <c r="Q589" s="52"/>
      <c r="U589" s="52"/>
    </row>
    <row r="590">
      <c r="M590" s="52"/>
      <c r="N590" s="52"/>
      <c r="O590" s="52"/>
      <c r="P590" s="52"/>
      <c r="Q590" s="52"/>
      <c r="U590" s="52"/>
    </row>
    <row r="591">
      <c r="M591" s="52"/>
      <c r="N591" s="52"/>
      <c r="O591" s="52"/>
      <c r="P591" s="52"/>
      <c r="Q591" s="52"/>
      <c r="U591" s="52"/>
    </row>
    <row r="592">
      <c r="M592" s="52"/>
      <c r="N592" s="52"/>
      <c r="O592" s="52"/>
      <c r="P592" s="52"/>
      <c r="Q592" s="52"/>
      <c r="U592" s="52"/>
    </row>
    <row r="593">
      <c r="M593" s="52"/>
      <c r="N593" s="52"/>
      <c r="O593" s="52"/>
      <c r="P593" s="52"/>
      <c r="Q593" s="52"/>
      <c r="U593" s="52"/>
    </row>
    <row r="594">
      <c r="M594" s="52"/>
      <c r="N594" s="52"/>
      <c r="O594" s="52"/>
      <c r="P594" s="52"/>
      <c r="Q594" s="52"/>
      <c r="U594" s="52"/>
    </row>
    <row r="595">
      <c r="M595" s="52"/>
      <c r="N595" s="52"/>
      <c r="O595" s="52"/>
      <c r="P595" s="52"/>
      <c r="Q595" s="52"/>
      <c r="U595" s="52"/>
    </row>
    <row r="596">
      <c r="M596" s="52"/>
      <c r="N596" s="52"/>
      <c r="O596" s="52"/>
      <c r="P596" s="52"/>
      <c r="Q596" s="52"/>
      <c r="U596" s="52"/>
    </row>
    <row r="597">
      <c r="M597" s="52"/>
      <c r="N597" s="52"/>
      <c r="O597" s="52"/>
      <c r="P597" s="52"/>
      <c r="Q597" s="52"/>
      <c r="U597" s="52"/>
    </row>
    <row r="598">
      <c r="M598" s="52"/>
      <c r="N598" s="52"/>
      <c r="O598" s="52"/>
      <c r="P598" s="52"/>
      <c r="Q598" s="52"/>
      <c r="U598" s="52"/>
    </row>
    <row r="599">
      <c r="M599" s="52"/>
      <c r="N599" s="52"/>
      <c r="O599" s="52"/>
      <c r="P599" s="52"/>
      <c r="Q599" s="52"/>
      <c r="U599" s="52"/>
    </row>
    <row r="600">
      <c r="M600" s="52"/>
      <c r="N600" s="52"/>
      <c r="O600" s="52"/>
      <c r="P600" s="52"/>
      <c r="Q600" s="52"/>
      <c r="U600" s="52"/>
    </row>
    <row r="601">
      <c r="M601" s="52"/>
      <c r="N601" s="52"/>
      <c r="O601" s="52"/>
      <c r="P601" s="52"/>
      <c r="Q601" s="52"/>
      <c r="U601" s="52"/>
    </row>
    <row r="602">
      <c r="M602" s="52"/>
      <c r="N602" s="52"/>
      <c r="O602" s="52"/>
      <c r="P602" s="52"/>
      <c r="Q602" s="52"/>
      <c r="U602" s="52"/>
    </row>
    <row r="603">
      <c r="M603" s="52"/>
      <c r="N603" s="52"/>
      <c r="O603" s="52"/>
      <c r="P603" s="52"/>
      <c r="Q603" s="52"/>
      <c r="U603" s="52"/>
    </row>
    <row r="604">
      <c r="M604" s="52"/>
      <c r="N604" s="52"/>
      <c r="O604" s="52"/>
      <c r="P604" s="52"/>
      <c r="Q604" s="52"/>
      <c r="U604" s="52"/>
    </row>
    <row r="605">
      <c r="M605" s="52"/>
      <c r="N605" s="52"/>
      <c r="O605" s="52"/>
      <c r="P605" s="52"/>
      <c r="Q605" s="52"/>
      <c r="U605" s="52"/>
    </row>
    <row r="606">
      <c r="M606" s="52"/>
      <c r="N606" s="52"/>
      <c r="O606" s="52"/>
      <c r="P606" s="52"/>
      <c r="Q606" s="52"/>
      <c r="U606" s="52"/>
    </row>
    <row r="607">
      <c r="M607" s="52"/>
      <c r="N607" s="52"/>
      <c r="O607" s="52"/>
      <c r="P607" s="52"/>
      <c r="Q607" s="52"/>
      <c r="U607" s="52"/>
    </row>
    <row r="608">
      <c r="M608" s="52"/>
      <c r="N608" s="52"/>
      <c r="O608" s="52"/>
      <c r="P608" s="52"/>
      <c r="Q608" s="52"/>
      <c r="U608" s="52"/>
    </row>
    <row r="609">
      <c r="M609" s="52"/>
      <c r="N609" s="52"/>
      <c r="O609" s="52"/>
      <c r="P609" s="52"/>
      <c r="Q609" s="52"/>
      <c r="U609" s="52"/>
    </row>
    <row r="610">
      <c r="M610" s="52"/>
      <c r="N610" s="52"/>
      <c r="O610" s="52"/>
      <c r="P610" s="52"/>
      <c r="Q610" s="52"/>
      <c r="U610" s="52"/>
    </row>
    <row r="611">
      <c r="M611" s="52"/>
      <c r="N611" s="52"/>
      <c r="O611" s="52"/>
      <c r="P611" s="52"/>
      <c r="Q611" s="52"/>
      <c r="U611" s="52"/>
    </row>
    <row r="612">
      <c r="M612" s="52"/>
      <c r="N612" s="52"/>
      <c r="O612" s="52"/>
      <c r="P612" s="52"/>
      <c r="Q612" s="52"/>
      <c r="U612" s="52"/>
    </row>
    <row r="613">
      <c r="M613" s="52"/>
      <c r="N613" s="52"/>
      <c r="O613" s="52"/>
      <c r="P613" s="52"/>
      <c r="Q613" s="52"/>
      <c r="U613" s="52"/>
    </row>
    <row r="614">
      <c r="M614" s="52"/>
      <c r="N614" s="52"/>
      <c r="O614" s="52"/>
      <c r="P614" s="52"/>
      <c r="Q614" s="52"/>
      <c r="U614" s="52"/>
    </row>
    <row r="615">
      <c r="M615" s="52"/>
      <c r="N615" s="52"/>
      <c r="O615" s="52"/>
      <c r="P615" s="52"/>
      <c r="Q615" s="52"/>
      <c r="U615" s="52"/>
    </row>
    <row r="616">
      <c r="M616" s="52"/>
      <c r="N616" s="52"/>
      <c r="O616" s="52"/>
      <c r="P616" s="52"/>
      <c r="Q616" s="52"/>
      <c r="U616" s="52"/>
    </row>
    <row r="617">
      <c r="M617" s="52"/>
      <c r="N617" s="52"/>
      <c r="O617" s="52"/>
      <c r="P617" s="52"/>
      <c r="Q617" s="52"/>
      <c r="U617" s="52"/>
    </row>
    <row r="618">
      <c r="M618" s="52"/>
      <c r="N618" s="52"/>
      <c r="O618" s="52"/>
      <c r="P618" s="52"/>
      <c r="Q618" s="52"/>
      <c r="U618" s="52"/>
    </row>
    <row r="619">
      <c r="M619" s="52"/>
      <c r="N619" s="52"/>
      <c r="O619" s="52"/>
      <c r="P619" s="52"/>
      <c r="Q619" s="52"/>
      <c r="U619" s="52"/>
    </row>
    <row r="620">
      <c r="M620" s="52"/>
      <c r="N620" s="52"/>
      <c r="O620" s="52"/>
      <c r="P620" s="52"/>
      <c r="Q620" s="52"/>
      <c r="U620" s="52"/>
    </row>
    <row r="621">
      <c r="M621" s="52"/>
      <c r="N621" s="52"/>
      <c r="O621" s="52"/>
      <c r="P621" s="52"/>
      <c r="Q621" s="52"/>
      <c r="U621" s="52"/>
    </row>
    <row r="622">
      <c r="M622" s="52"/>
      <c r="N622" s="52"/>
      <c r="O622" s="52"/>
      <c r="P622" s="52"/>
      <c r="Q622" s="52"/>
      <c r="U622" s="52"/>
    </row>
    <row r="623">
      <c r="M623" s="52"/>
      <c r="N623" s="52"/>
      <c r="O623" s="52"/>
      <c r="P623" s="52"/>
      <c r="Q623" s="52"/>
      <c r="U623" s="52"/>
    </row>
    <row r="624">
      <c r="M624" s="52"/>
      <c r="N624" s="52"/>
      <c r="O624" s="52"/>
      <c r="P624" s="52"/>
      <c r="Q624" s="52"/>
      <c r="U624" s="52"/>
    </row>
    <row r="625">
      <c r="M625" s="52"/>
      <c r="N625" s="52"/>
      <c r="O625" s="52"/>
      <c r="P625" s="52"/>
      <c r="Q625" s="52"/>
      <c r="U625" s="52"/>
    </row>
    <row r="626">
      <c r="M626" s="52"/>
      <c r="N626" s="52"/>
      <c r="O626" s="52"/>
      <c r="P626" s="52"/>
      <c r="Q626" s="52"/>
      <c r="U626" s="52"/>
    </row>
    <row r="627">
      <c r="M627" s="52"/>
      <c r="N627" s="52"/>
      <c r="O627" s="52"/>
      <c r="P627" s="52"/>
      <c r="Q627" s="52"/>
      <c r="U627" s="52"/>
    </row>
    <row r="628">
      <c r="M628" s="52"/>
      <c r="N628" s="52"/>
      <c r="O628" s="52"/>
      <c r="P628" s="52"/>
      <c r="Q628" s="52"/>
      <c r="U628" s="52"/>
    </row>
    <row r="629">
      <c r="M629" s="52"/>
      <c r="N629" s="52"/>
      <c r="O629" s="52"/>
      <c r="P629" s="52"/>
      <c r="Q629" s="52"/>
      <c r="U629" s="52"/>
    </row>
    <row r="630">
      <c r="M630" s="52"/>
      <c r="N630" s="52"/>
      <c r="O630" s="52"/>
      <c r="P630" s="52"/>
      <c r="Q630" s="52"/>
      <c r="U630" s="52"/>
    </row>
    <row r="631">
      <c r="M631" s="52"/>
      <c r="N631" s="52"/>
      <c r="O631" s="52"/>
      <c r="P631" s="52"/>
      <c r="Q631" s="52"/>
      <c r="U631" s="52"/>
    </row>
    <row r="632">
      <c r="M632" s="52"/>
      <c r="N632" s="52"/>
      <c r="O632" s="52"/>
      <c r="P632" s="52"/>
      <c r="Q632" s="52"/>
      <c r="U632" s="52"/>
    </row>
    <row r="633">
      <c r="M633" s="52"/>
      <c r="N633" s="52"/>
      <c r="O633" s="52"/>
      <c r="P633" s="52"/>
      <c r="Q633" s="52"/>
      <c r="U633" s="52"/>
    </row>
    <row r="634">
      <c r="M634" s="52"/>
      <c r="N634" s="52"/>
      <c r="O634" s="52"/>
      <c r="P634" s="52"/>
      <c r="Q634" s="52"/>
      <c r="U634" s="52"/>
    </row>
    <row r="635">
      <c r="M635" s="52"/>
      <c r="N635" s="52"/>
      <c r="O635" s="52"/>
      <c r="P635" s="52"/>
      <c r="Q635" s="52"/>
      <c r="U635" s="52"/>
    </row>
    <row r="636">
      <c r="M636" s="52"/>
      <c r="N636" s="52"/>
      <c r="O636" s="52"/>
      <c r="P636" s="52"/>
      <c r="Q636" s="52"/>
      <c r="U636" s="52"/>
    </row>
    <row r="637">
      <c r="M637" s="52"/>
      <c r="N637" s="52"/>
      <c r="O637" s="52"/>
      <c r="P637" s="52"/>
      <c r="Q637" s="52"/>
      <c r="U637" s="52"/>
    </row>
    <row r="638">
      <c r="M638" s="52"/>
      <c r="N638" s="52"/>
      <c r="O638" s="52"/>
      <c r="P638" s="52"/>
      <c r="Q638" s="52"/>
      <c r="U638" s="52"/>
    </row>
    <row r="639">
      <c r="M639" s="52"/>
      <c r="N639" s="52"/>
      <c r="O639" s="52"/>
      <c r="P639" s="52"/>
      <c r="Q639" s="52"/>
      <c r="U639" s="52"/>
    </row>
    <row r="640">
      <c r="M640" s="52"/>
      <c r="N640" s="52"/>
      <c r="O640" s="52"/>
      <c r="P640" s="52"/>
      <c r="Q640" s="52"/>
      <c r="U640" s="52"/>
    </row>
    <row r="641">
      <c r="M641" s="52"/>
      <c r="N641" s="52"/>
      <c r="O641" s="52"/>
      <c r="P641" s="52"/>
      <c r="Q641" s="52"/>
      <c r="U641" s="52"/>
    </row>
    <row r="642">
      <c r="M642" s="52"/>
      <c r="N642" s="52"/>
      <c r="O642" s="52"/>
      <c r="P642" s="52"/>
      <c r="Q642" s="52"/>
      <c r="U642" s="52"/>
    </row>
    <row r="643">
      <c r="M643" s="52"/>
      <c r="N643" s="52"/>
      <c r="O643" s="52"/>
      <c r="P643" s="52"/>
      <c r="Q643" s="52"/>
      <c r="U643" s="52"/>
    </row>
    <row r="644">
      <c r="M644" s="52"/>
      <c r="N644" s="52"/>
      <c r="O644" s="52"/>
      <c r="P644" s="52"/>
      <c r="Q644" s="52"/>
      <c r="U644" s="52"/>
    </row>
    <row r="645">
      <c r="M645" s="52"/>
      <c r="N645" s="52"/>
      <c r="O645" s="52"/>
      <c r="P645" s="52"/>
      <c r="Q645" s="52"/>
      <c r="U645" s="52"/>
    </row>
    <row r="646">
      <c r="M646" s="52"/>
      <c r="N646" s="52"/>
      <c r="O646" s="52"/>
      <c r="P646" s="52"/>
      <c r="Q646" s="52"/>
      <c r="U646" s="52"/>
    </row>
    <row r="647">
      <c r="M647" s="52"/>
      <c r="N647" s="52"/>
      <c r="O647" s="52"/>
      <c r="P647" s="52"/>
      <c r="Q647" s="52"/>
      <c r="U647" s="52"/>
    </row>
    <row r="648">
      <c r="M648" s="52"/>
      <c r="N648" s="52"/>
      <c r="O648" s="52"/>
      <c r="P648" s="52"/>
      <c r="Q648" s="52"/>
      <c r="U648" s="52"/>
    </row>
    <row r="649">
      <c r="M649" s="52"/>
      <c r="N649" s="52"/>
      <c r="O649" s="52"/>
      <c r="P649" s="52"/>
      <c r="Q649" s="52"/>
      <c r="U649" s="52"/>
    </row>
    <row r="650">
      <c r="M650" s="52"/>
      <c r="N650" s="52"/>
      <c r="O650" s="52"/>
      <c r="P650" s="52"/>
      <c r="Q650" s="52"/>
      <c r="U650" s="52"/>
    </row>
    <row r="651">
      <c r="M651" s="52"/>
      <c r="N651" s="52"/>
      <c r="O651" s="52"/>
      <c r="P651" s="52"/>
      <c r="Q651" s="52"/>
      <c r="U651" s="52"/>
    </row>
    <row r="652">
      <c r="M652" s="52"/>
      <c r="N652" s="52"/>
      <c r="O652" s="52"/>
      <c r="P652" s="52"/>
      <c r="Q652" s="52"/>
      <c r="U652" s="52"/>
    </row>
    <row r="653">
      <c r="M653" s="52"/>
      <c r="N653" s="52"/>
      <c r="O653" s="52"/>
      <c r="P653" s="52"/>
      <c r="Q653" s="52"/>
      <c r="U653" s="52"/>
    </row>
    <row r="654">
      <c r="M654" s="52"/>
      <c r="N654" s="52"/>
      <c r="O654" s="52"/>
      <c r="P654" s="52"/>
      <c r="Q654" s="52"/>
      <c r="U654" s="52"/>
    </row>
    <row r="655">
      <c r="M655" s="52"/>
      <c r="N655" s="52"/>
      <c r="O655" s="52"/>
      <c r="P655" s="52"/>
      <c r="Q655" s="52"/>
      <c r="U655" s="52"/>
    </row>
    <row r="656">
      <c r="M656" s="52"/>
      <c r="N656" s="52"/>
      <c r="O656" s="52"/>
      <c r="P656" s="52"/>
      <c r="Q656" s="52"/>
      <c r="U656" s="52"/>
    </row>
    <row r="657">
      <c r="M657" s="52"/>
      <c r="N657" s="52"/>
      <c r="O657" s="52"/>
      <c r="P657" s="52"/>
      <c r="Q657" s="52"/>
      <c r="U657" s="52"/>
    </row>
    <row r="658">
      <c r="M658" s="52"/>
      <c r="N658" s="52"/>
      <c r="O658" s="52"/>
      <c r="P658" s="52"/>
      <c r="Q658" s="52"/>
      <c r="U658" s="52"/>
    </row>
    <row r="659">
      <c r="M659" s="52"/>
      <c r="N659" s="52"/>
      <c r="O659" s="52"/>
      <c r="P659" s="52"/>
      <c r="Q659" s="52"/>
      <c r="U659" s="52"/>
    </row>
    <row r="660">
      <c r="M660" s="52"/>
      <c r="N660" s="52"/>
      <c r="O660" s="52"/>
      <c r="P660" s="52"/>
      <c r="Q660" s="52"/>
      <c r="U660" s="52"/>
    </row>
    <row r="661">
      <c r="M661" s="52"/>
      <c r="N661" s="52"/>
      <c r="O661" s="52"/>
      <c r="P661" s="52"/>
      <c r="Q661" s="52"/>
      <c r="U661" s="52"/>
    </row>
    <row r="662">
      <c r="M662" s="52"/>
      <c r="N662" s="52"/>
      <c r="O662" s="52"/>
      <c r="P662" s="52"/>
      <c r="Q662" s="52"/>
      <c r="U662" s="52"/>
    </row>
    <row r="663">
      <c r="M663" s="52"/>
      <c r="N663" s="52"/>
      <c r="O663" s="52"/>
      <c r="P663" s="52"/>
      <c r="Q663" s="52"/>
      <c r="U663" s="52"/>
    </row>
    <row r="664">
      <c r="M664" s="52"/>
      <c r="N664" s="52"/>
      <c r="O664" s="52"/>
      <c r="P664" s="52"/>
      <c r="Q664" s="52"/>
      <c r="U664" s="52"/>
    </row>
    <row r="665">
      <c r="M665" s="52"/>
      <c r="N665" s="52"/>
      <c r="O665" s="52"/>
      <c r="P665" s="52"/>
      <c r="Q665" s="52"/>
      <c r="U665" s="52"/>
    </row>
    <row r="666">
      <c r="M666" s="52"/>
      <c r="N666" s="52"/>
      <c r="O666" s="52"/>
      <c r="P666" s="52"/>
      <c r="Q666" s="52"/>
      <c r="U666" s="52"/>
    </row>
    <row r="667">
      <c r="M667" s="52"/>
      <c r="N667" s="52"/>
      <c r="O667" s="52"/>
      <c r="P667" s="52"/>
      <c r="Q667" s="52"/>
      <c r="U667" s="52"/>
    </row>
    <row r="668">
      <c r="M668" s="52"/>
      <c r="N668" s="52"/>
      <c r="O668" s="52"/>
      <c r="P668" s="52"/>
      <c r="Q668" s="52"/>
      <c r="U668" s="52"/>
    </row>
    <row r="669">
      <c r="M669" s="52"/>
      <c r="N669" s="52"/>
      <c r="O669" s="52"/>
      <c r="P669" s="52"/>
      <c r="Q669" s="52"/>
      <c r="U669" s="52"/>
    </row>
    <row r="670">
      <c r="M670" s="52"/>
      <c r="N670" s="52"/>
      <c r="O670" s="52"/>
      <c r="P670" s="52"/>
      <c r="Q670" s="52"/>
      <c r="U670" s="52"/>
    </row>
    <row r="671">
      <c r="M671" s="52"/>
      <c r="N671" s="52"/>
      <c r="O671" s="52"/>
      <c r="P671" s="52"/>
      <c r="Q671" s="52"/>
      <c r="U671" s="52"/>
    </row>
    <row r="672">
      <c r="M672" s="52"/>
      <c r="N672" s="52"/>
      <c r="O672" s="52"/>
      <c r="P672" s="52"/>
      <c r="Q672" s="52"/>
      <c r="U672" s="52"/>
    </row>
    <row r="673">
      <c r="M673" s="52"/>
      <c r="N673" s="52"/>
      <c r="O673" s="52"/>
      <c r="P673" s="52"/>
      <c r="Q673" s="52"/>
      <c r="U673" s="52"/>
    </row>
    <row r="674">
      <c r="M674" s="52"/>
      <c r="N674" s="52"/>
      <c r="O674" s="52"/>
      <c r="P674" s="52"/>
      <c r="Q674" s="52"/>
      <c r="U674" s="52"/>
    </row>
    <row r="675">
      <c r="M675" s="52"/>
      <c r="N675" s="52"/>
      <c r="O675" s="52"/>
      <c r="P675" s="52"/>
      <c r="Q675" s="52"/>
      <c r="U675" s="52"/>
    </row>
    <row r="676">
      <c r="M676" s="52"/>
      <c r="N676" s="52"/>
      <c r="O676" s="52"/>
      <c r="P676" s="52"/>
      <c r="Q676" s="52"/>
      <c r="U676" s="52"/>
    </row>
    <row r="677">
      <c r="M677" s="52"/>
      <c r="N677" s="52"/>
      <c r="O677" s="52"/>
      <c r="P677" s="52"/>
      <c r="Q677" s="52"/>
      <c r="U677" s="52"/>
    </row>
    <row r="678">
      <c r="M678" s="52"/>
      <c r="N678" s="52"/>
      <c r="O678" s="52"/>
      <c r="P678" s="52"/>
      <c r="Q678" s="52"/>
      <c r="U678" s="52"/>
    </row>
    <row r="679">
      <c r="M679" s="52"/>
      <c r="N679" s="52"/>
      <c r="O679" s="52"/>
      <c r="P679" s="52"/>
      <c r="Q679" s="52"/>
      <c r="U679" s="52"/>
    </row>
    <row r="680">
      <c r="M680" s="52"/>
      <c r="N680" s="52"/>
      <c r="O680" s="52"/>
      <c r="P680" s="52"/>
      <c r="Q680" s="52"/>
      <c r="U680" s="52"/>
    </row>
    <row r="681">
      <c r="M681" s="52"/>
      <c r="N681" s="52"/>
      <c r="O681" s="52"/>
      <c r="P681" s="52"/>
      <c r="Q681" s="52"/>
      <c r="U681" s="52"/>
    </row>
    <row r="682">
      <c r="M682" s="52"/>
      <c r="N682" s="52"/>
      <c r="O682" s="52"/>
      <c r="P682" s="52"/>
      <c r="Q682" s="52"/>
      <c r="U682" s="52"/>
    </row>
    <row r="683">
      <c r="M683" s="52"/>
      <c r="N683" s="52"/>
      <c r="O683" s="52"/>
      <c r="P683" s="52"/>
      <c r="Q683" s="52"/>
      <c r="U683" s="52"/>
    </row>
    <row r="684">
      <c r="M684" s="52"/>
      <c r="N684" s="52"/>
      <c r="O684" s="52"/>
      <c r="P684" s="52"/>
      <c r="Q684" s="52"/>
      <c r="U684" s="52"/>
    </row>
    <row r="685">
      <c r="M685" s="52"/>
      <c r="N685" s="52"/>
      <c r="O685" s="52"/>
      <c r="P685" s="52"/>
      <c r="Q685" s="52"/>
      <c r="U685" s="52"/>
    </row>
    <row r="686">
      <c r="M686" s="52"/>
      <c r="N686" s="52"/>
      <c r="O686" s="52"/>
      <c r="P686" s="52"/>
      <c r="Q686" s="52"/>
      <c r="U686" s="52"/>
    </row>
    <row r="687">
      <c r="M687" s="52"/>
      <c r="N687" s="52"/>
      <c r="O687" s="52"/>
      <c r="P687" s="52"/>
      <c r="Q687" s="52"/>
      <c r="U687" s="52"/>
    </row>
    <row r="688">
      <c r="M688" s="52"/>
      <c r="N688" s="52"/>
      <c r="O688" s="52"/>
      <c r="P688" s="52"/>
      <c r="Q688" s="52"/>
      <c r="U688" s="52"/>
    </row>
    <row r="689">
      <c r="M689" s="52"/>
      <c r="N689" s="52"/>
      <c r="O689" s="52"/>
      <c r="P689" s="52"/>
      <c r="Q689" s="52"/>
      <c r="U689" s="52"/>
    </row>
    <row r="690">
      <c r="M690" s="52"/>
      <c r="N690" s="52"/>
      <c r="O690" s="52"/>
      <c r="P690" s="52"/>
      <c r="Q690" s="52"/>
      <c r="U690" s="52"/>
    </row>
    <row r="691">
      <c r="M691" s="52"/>
      <c r="N691" s="52"/>
      <c r="O691" s="52"/>
      <c r="P691" s="52"/>
      <c r="Q691" s="52"/>
      <c r="U691" s="52"/>
    </row>
    <row r="692">
      <c r="M692" s="52"/>
      <c r="N692" s="52"/>
      <c r="O692" s="52"/>
      <c r="P692" s="52"/>
      <c r="Q692" s="52"/>
      <c r="U692" s="52"/>
    </row>
    <row r="693">
      <c r="M693" s="52"/>
      <c r="N693" s="52"/>
      <c r="O693" s="52"/>
      <c r="P693" s="52"/>
      <c r="Q693" s="52"/>
      <c r="U693" s="52"/>
    </row>
    <row r="694">
      <c r="M694" s="52"/>
      <c r="N694" s="52"/>
      <c r="O694" s="52"/>
      <c r="P694" s="52"/>
      <c r="Q694" s="52"/>
      <c r="U694" s="52"/>
    </row>
    <row r="695">
      <c r="M695" s="52"/>
      <c r="N695" s="52"/>
      <c r="O695" s="52"/>
      <c r="P695" s="52"/>
      <c r="Q695" s="52"/>
      <c r="U695" s="52"/>
    </row>
    <row r="696">
      <c r="M696" s="52"/>
      <c r="N696" s="52"/>
      <c r="O696" s="52"/>
      <c r="P696" s="52"/>
      <c r="Q696" s="52"/>
      <c r="U696" s="52"/>
    </row>
    <row r="697">
      <c r="M697" s="52"/>
      <c r="N697" s="52"/>
      <c r="O697" s="52"/>
      <c r="P697" s="52"/>
      <c r="Q697" s="52"/>
      <c r="U697" s="52"/>
    </row>
    <row r="698">
      <c r="M698" s="52"/>
      <c r="N698" s="52"/>
      <c r="O698" s="52"/>
      <c r="P698" s="52"/>
      <c r="Q698" s="52"/>
      <c r="U698" s="52"/>
    </row>
    <row r="699">
      <c r="M699" s="52"/>
      <c r="N699" s="52"/>
      <c r="O699" s="52"/>
      <c r="P699" s="52"/>
      <c r="Q699" s="52"/>
      <c r="U699" s="52"/>
    </row>
    <row r="700">
      <c r="M700" s="52"/>
      <c r="N700" s="52"/>
      <c r="O700" s="52"/>
      <c r="P700" s="52"/>
      <c r="Q700" s="52"/>
      <c r="U700" s="52"/>
    </row>
    <row r="701">
      <c r="M701" s="52"/>
      <c r="N701" s="52"/>
      <c r="O701" s="52"/>
      <c r="P701" s="52"/>
      <c r="Q701" s="52"/>
      <c r="U701" s="52"/>
    </row>
    <row r="702">
      <c r="M702" s="52"/>
      <c r="N702" s="52"/>
      <c r="O702" s="52"/>
      <c r="P702" s="52"/>
      <c r="Q702" s="52"/>
      <c r="U702" s="52"/>
    </row>
    <row r="703">
      <c r="M703" s="52"/>
      <c r="N703" s="52"/>
      <c r="O703" s="52"/>
      <c r="P703" s="52"/>
      <c r="Q703" s="52"/>
      <c r="U703" s="52"/>
    </row>
    <row r="704">
      <c r="M704" s="52"/>
      <c r="N704" s="52"/>
      <c r="O704" s="52"/>
      <c r="P704" s="52"/>
      <c r="Q704" s="52"/>
      <c r="U704" s="52"/>
    </row>
    <row r="705">
      <c r="M705" s="52"/>
      <c r="N705" s="52"/>
      <c r="O705" s="52"/>
      <c r="P705" s="52"/>
      <c r="Q705" s="52"/>
      <c r="U705" s="52"/>
    </row>
    <row r="706">
      <c r="M706" s="52"/>
      <c r="N706" s="52"/>
      <c r="O706" s="52"/>
      <c r="P706" s="52"/>
      <c r="Q706" s="52"/>
      <c r="U706" s="52"/>
    </row>
    <row r="707">
      <c r="M707" s="52"/>
      <c r="N707" s="52"/>
      <c r="O707" s="52"/>
      <c r="P707" s="52"/>
      <c r="Q707" s="52"/>
      <c r="U707" s="52"/>
    </row>
    <row r="708">
      <c r="M708" s="52"/>
      <c r="N708" s="52"/>
      <c r="O708" s="52"/>
      <c r="P708" s="52"/>
      <c r="Q708" s="52"/>
      <c r="U708" s="52"/>
    </row>
    <row r="709">
      <c r="M709" s="52"/>
      <c r="N709" s="52"/>
      <c r="O709" s="52"/>
      <c r="P709" s="52"/>
      <c r="Q709" s="52"/>
      <c r="U709" s="52"/>
    </row>
    <row r="710">
      <c r="M710" s="52"/>
      <c r="N710" s="52"/>
      <c r="O710" s="52"/>
      <c r="P710" s="52"/>
      <c r="Q710" s="52"/>
      <c r="U710" s="52"/>
    </row>
    <row r="711">
      <c r="M711" s="52"/>
      <c r="N711" s="52"/>
      <c r="O711" s="52"/>
      <c r="P711" s="52"/>
      <c r="Q711" s="52"/>
      <c r="U711" s="52"/>
    </row>
    <row r="712">
      <c r="M712" s="52"/>
      <c r="N712" s="52"/>
      <c r="O712" s="52"/>
      <c r="P712" s="52"/>
      <c r="Q712" s="52"/>
      <c r="U712" s="52"/>
    </row>
    <row r="713">
      <c r="M713" s="52"/>
      <c r="N713" s="52"/>
      <c r="O713" s="52"/>
      <c r="P713" s="52"/>
      <c r="Q713" s="52"/>
      <c r="U713" s="52"/>
    </row>
    <row r="714">
      <c r="M714" s="52"/>
      <c r="N714" s="52"/>
      <c r="O714" s="52"/>
      <c r="P714" s="52"/>
      <c r="Q714" s="52"/>
      <c r="U714" s="52"/>
    </row>
    <row r="715">
      <c r="M715" s="52"/>
      <c r="N715" s="52"/>
      <c r="O715" s="52"/>
      <c r="P715" s="52"/>
      <c r="Q715" s="52"/>
      <c r="U715" s="52"/>
    </row>
    <row r="716">
      <c r="M716" s="52"/>
      <c r="N716" s="52"/>
      <c r="O716" s="52"/>
      <c r="P716" s="52"/>
      <c r="Q716" s="52"/>
      <c r="U716" s="52"/>
    </row>
    <row r="717">
      <c r="M717" s="52"/>
      <c r="N717" s="52"/>
      <c r="O717" s="52"/>
      <c r="P717" s="52"/>
      <c r="Q717" s="52"/>
      <c r="U717" s="52"/>
    </row>
    <row r="718">
      <c r="M718" s="52"/>
      <c r="N718" s="52"/>
      <c r="O718" s="52"/>
      <c r="P718" s="52"/>
      <c r="Q718" s="52"/>
      <c r="U718" s="52"/>
    </row>
    <row r="719">
      <c r="M719" s="52"/>
      <c r="N719" s="52"/>
      <c r="O719" s="52"/>
      <c r="P719" s="52"/>
      <c r="Q719" s="52"/>
      <c r="U719" s="52"/>
    </row>
    <row r="720">
      <c r="M720" s="52"/>
      <c r="N720" s="52"/>
      <c r="O720" s="52"/>
      <c r="P720" s="52"/>
      <c r="Q720" s="52"/>
      <c r="U720" s="52"/>
    </row>
    <row r="721">
      <c r="M721" s="52"/>
      <c r="N721" s="52"/>
      <c r="O721" s="52"/>
      <c r="P721" s="52"/>
      <c r="Q721" s="52"/>
      <c r="U721" s="52"/>
    </row>
    <row r="722">
      <c r="M722" s="52"/>
      <c r="N722" s="52"/>
      <c r="O722" s="52"/>
      <c r="P722" s="52"/>
      <c r="Q722" s="52"/>
      <c r="U722" s="52"/>
    </row>
    <row r="723">
      <c r="M723" s="52"/>
      <c r="N723" s="52"/>
      <c r="O723" s="52"/>
      <c r="P723" s="52"/>
      <c r="Q723" s="52"/>
      <c r="U723" s="52"/>
    </row>
    <row r="724">
      <c r="M724" s="52"/>
      <c r="N724" s="52"/>
      <c r="O724" s="52"/>
      <c r="P724" s="52"/>
      <c r="Q724" s="52"/>
      <c r="U724" s="52"/>
    </row>
    <row r="725">
      <c r="M725" s="52"/>
      <c r="N725" s="52"/>
      <c r="O725" s="52"/>
      <c r="P725" s="52"/>
      <c r="Q725" s="52"/>
      <c r="U725" s="52"/>
    </row>
    <row r="726">
      <c r="M726" s="52"/>
      <c r="N726" s="52"/>
      <c r="O726" s="52"/>
      <c r="P726" s="52"/>
      <c r="Q726" s="52"/>
      <c r="U726" s="52"/>
    </row>
    <row r="727">
      <c r="M727" s="52"/>
      <c r="N727" s="52"/>
      <c r="O727" s="52"/>
      <c r="P727" s="52"/>
      <c r="Q727" s="52"/>
      <c r="U727" s="52"/>
    </row>
    <row r="728">
      <c r="M728" s="52"/>
      <c r="N728" s="52"/>
      <c r="O728" s="52"/>
      <c r="P728" s="52"/>
      <c r="Q728" s="52"/>
      <c r="U728" s="52"/>
    </row>
    <row r="729">
      <c r="M729" s="52"/>
      <c r="N729" s="52"/>
      <c r="O729" s="52"/>
      <c r="P729" s="52"/>
      <c r="Q729" s="52"/>
      <c r="U729" s="52"/>
    </row>
    <row r="730">
      <c r="M730" s="52"/>
      <c r="N730" s="52"/>
      <c r="O730" s="52"/>
      <c r="P730" s="52"/>
      <c r="Q730" s="52"/>
      <c r="U730" s="52"/>
    </row>
    <row r="731">
      <c r="M731" s="52"/>
      <c r="N731" s="52"/>
      <c r="O731" s="52"/>
      <c r="P731" s="52"/>
      <c r="Q731" s="52"/>
      <c r="U731" s="52"/>
    </row>
    <row r="732">
      <c r="M732" s="52"/>
      <c r="N732" s="52"/>
      <c r="O732" s="52"/>
      <c r="P732" s="52"/>
      <c r="Q732" s="52"/>
      <c r="U732" s="52"/>
    </row>
    <row r="733">
      <c r="M733" s="52"/>
      <c r="N733" s="52"/>
      <c r="O733" s="52"/>
      <c r="P733" s="52"/>
      <c r="Q733" s="52"/>
      <c r="U733" s="52"/>
    </row>
    <row r="734">
      <c r="M734" s="52"/>
      <c r="N734" s="52"/>
      <c r="O734" s="52"/>
      <c r="P734" s="52"/>
      <c r="Q734" s="52"/>
      <c r="U734" s="52"/>
    </row>
    <row r="735">
      <c r="M735" s="52"/>
      <c r="N735" s="52"/>
      <c r="O735" s="52"/>
      <c r="P735" s="52"/>
      <c r="Q735" s="52"/>
      <c r="U735" s="52"/>
    </row>
    <row r="736">
      <c r="M736" s="52"/>
      <c r="N736" s="52"/>
      <c r="O736" s="52"/>
      <c r="P736" s="52"/>
      <c r="Q736" s="52"/>
      <c r="U736" s="52"/>
    </row>
    <row r="737">
      <c r="M737" s="52"/>
      <c r="N737" s="52"/>
      <c r="O737" s="52"/>
      <c r="P737" s="52"/>
      <c r="Q737" s="52"/>
      <c r="U737" s="52"/>
    </row>
    <row r="738">
      <c r="M738" s="52"/>
      <c r="N738" s="52"/>
      <c r="O738" s="52"/>
      <c r="P738" s="52"/>
      <c r="Q738" s="52"/>
      <c r="U738" s="52"/>
    </row>
    <row r="739">
      <c r="M739" s="52"/>
      <c r="N739" s="52"/>
      <c r="O739" s="52"/>
      <c r="P739" s="52"/>
      <c r="Q739" s="52"/>
      <c r="U739" s="52"/>
    </row>
    <row r="740">
      <c r="M740" s="52"/>
      <c r="N740" s="52"/>
      <c r="O740" s="52"/>
      <c r="P740" s="52"/>
      <c r="Q740" s="52"/>
      <c r="U740" s="52"/>
    </row>
    <row r="741">
      <c r="M741" s="52"/>
      <c r="N741" s="52"/>
      <c r="O741" s="52"/>
      <c r="P741" s="52"/>
      <c r="Q741" s="52"/>
      <c r="U741" s="52"/>
    </row>
    <row r="742">
      <c r="M742" s="52"/>
      <c r="N742" s="52"/>
      <c r="O742" s="52"/>
      <c r="P742" s="52"/>
      <c r="Q742" s="52"/>
      <c r="U742" s="52"/>
    </row>
    <row r="743">
      <c r="M743" s="52"/>
      <c r="N743" s="52"/>
      <c r="O743" s="52"/>
      <c r="P743" s="52"/>
      <c r="Q743" s="52"/>
      <c r="U743" s="52"/>
    </row>
    <row r="744">
      <c r="M744" s="52"/>
      <c r="N744" s="52"/>
      <c r="O744" s="52"/>
      <c r="P744" s="52"/>
      <c r="Q744" s="52"/>
      <c r="U744" s="52"/>
    </row>
    <row r="745">
      <c r="M745" s="52"/>
      <c r="N745" s="52"/>
      <c r="O745" s="52"/>
      <c r="P745" s="52"/>
      <c r="Q745" s="52"/>
      <c r="U745" s="52"/>
    </row>
    <row r="746">
      <c r="M746" s="52"/>
      <c r="N746" s="52"/>
      <c r="O746" s="52"/>
      <c r="P746" s="52"/>
      <c r="Q746" s="52"/>
      <c r="U746" s="52"/>
    </row>
    <row r="747">
      <c r="M747" s="52"/>
      <c r="N747" s="52"/>
      <c r="O747" s="52"/>
      <c r="P747" s="52"/>
      <c r="Q747" s="52"/>
      <c r="U747" s="52"/>
    </row>
    <row r="748">
      <c r="M748" s="52"/>
      <c r="N748" s="52"/>
      <c r="O748" s="52"/>
      <c r="P748" s="52"/>
      <c r="Q748" s="52"/>
      <c r="U748" s="52"/>
    </row>
    <row r="749">
      <c r="M749" s="52"/>
      <c r="N749" s="52"/>
      <c r="O749" s="52"/>
      <c r="P749" s="52"/>
      <c r="Q749" s="52"/>
      <c r="U749" s="52"/>
    </row>
    <row r="750">
      <c r="M750" s="52"/>
      <c r="N750" s="52"/>
      <c r="O750" s="52"/>
      <c r="P750" s="52"/>
      <c r="Q750" s="52"/>
      <c r="U750" s="52"/>
    </row>
    <row r="751">
      <c r="M751" s="52"/>
      <c r="N751" s="52"/>
      <c r="O751" s="52"/>
      <c r="P751" s="52"/>
      <c r="Q751" s="52"/>
      <c r="U751" s="52"/>
    </row>
    <row r="752">
      <c r="M752" s="52"/>
      <c r="N752" s="52"/>
      <c r="O752" s="52"/>
      <c r="P752" s="52"/>
      <c r="Q752" s="52"/>
      <c r="U752" s="52"/>
    </row>
    <row r="753">
      <c r="M753" s="52"/>
      <c r="N753" s="52"/>
      <c r="O753" s="52"/>
      <c r="P753" s="52"/>
      <c r="Q753" s="52"/>
      <c r="U753" s="52"/>
    </row>
    <row r="754">
      <c r="M754" s="52"/>
      <c r="N754" s="52"/>
      <c r="O754" s="52"/>
      <c r="P754" s="52"/>
      <c r="Q754" s="52"/>
      <c r="U754" s="52"/>
    </row>
    <row r="755">
      <c r="M755" s="52"/>
      <c r="N755" s="52"/>
      <c r="O755" s="52"/>
      <c r="P755" s="52"/>
      <c r="Q755" s="52"/>
      <c r="U755" s="52"/>
    </row>
    <row r="756">
      <c r="M756" s="52"/>
      <c r="N756" s="52"/>
      <c r="O756" s="52"/>
      <c r="P756" s="52"/>
      <c r="Q756" s="52"/>
      <c r="U756" s="52"/>
    </row>
    <row r="757">
      <c r="M757" s="52"/>
      <c r="N757" s="52"/>
      <c r="O757" s="52"/>
      <c r="P757" s="52"/>
      <c r="Q757" s="52"/>
      <c r="U757" s="52"/>
    </row>
    <row r="758">
      <c r="M758" s="52"/>
      <c r="N758" s="52"/>
      <c r="O758" s="52"/>
      <c r="P758" s="52"/>
      <c r="Q758" s="52"/>
      <c r="U758" s="52"/>
    </row>
    <row r="759">
      <c r="M759" s="52"/>
      <c r="N759" s="52"/>
      <c r="O759" s="52"/>
      <c r="P759" s="52"/>
      <c r="Q759" s="52"/>
      <c r="U759" s="52"/>
    </row>
    <row r="760">
      <c r="M760" s="52"/>
      <c r="N760" s="52"/>
      <c r="O760" s="52"/>
      <c r="P760" s="52"/>
      <c r="Q760" s="52"/>
      <c r="U760" s="52"/>
    </row>
    <row r="761">
      <c r="M761" s="52"/>
      <c r="N761" s="52"/>
      <c r="O761" s="52"/>
      <c r="P761" s="52"/>
      <c r="Q761" s="52"/>
      <c r="U761" s="52"/>
    </row>
    <row r="762">
      <c r="M762" s="52"/>
      <c r="N762" s="52"/>
      <c r="O762" s="52"/>
      <c r="P762" s="52"/>
      <c r="Q762" s="52"/>
      <c r="U762" s="52"/>
    </row>
    <row r="763">
      <c r="M763" s="52"/>
      <c r="N763" s="52"/>
      <c r="O763" s="52"/>
      <c r="P763" s="52"/>
      <c r="Q763" s="52"/>
      <c r="U763" s="52"/>
    </row>
    <row r="764">
      <c r="M764" s="52"/>
      <c r="N764" s="52"/>
      <c r="O764" s="52"/>
      <c r="P764" s="52"/>
      <c r="Q764" s="52"/>
      <c r="U764" s="52"/>
    </row>
    <row r="765">
      <c r="M765" s="52"/>
      <c r="N765" s="52"/>
      <c r="O765" s="52"/>
      <c r="P765" s="52"/>
      <c r="Q765" s="52"/>
      <c r="U765" s="52"/>
    </row>
    <row r="766">
      <c r="M766" s="52"/>
      <c r="N766" s="52"/>
      <c r="O766" s="52"/>
      <c r="P766" s="52"/>
      <c r="Q766" s="52"/>
      <c r="U766" s="52"/>
    </row>
    <row r="767">
      <c r="M767" s="52"/>
      <c r="N767" s="52"/>
      <c r="O767" s="52"/>
      <c r="P767" s="52"/>
      <c r="Q767" s="52"/>
      <c r="U767" s="52"/>
    </row>
    <row r="768">
      <c r="M768" s="52"/>
      <c r="N768" s="52"/>
      <c r="O768" s="52"/>
      <c r="P768" s="52"/>
      <c r="Q768" s="52"/>
      <c r="U768" s="52"/>
    </row>
    <row r="769">
      <c r="M769" s="52"/>
      <c r="N769" s="52"/>
      <c r="O769" s="52"/>
      <c r="P769" s="52"/>
      <c r="Q769" s="52"/>
      <c r="U769" s="52"/>
    </row>
    <row r="770">
      <c r="M770" s="52"/>
      <c r="N770" s="52"/>
      <c r="O770" s="52"/>
      <c r="P770" s="52"/>
      <c r="Q770" s="52"/>
      <c r="U770" s="52"/>
    </row>
    <row r="771">
      <c r="M771" s="52"/>
      <c r="N771" s="52"/>
      <c r="O771" s="52"/>
      <c r="P771" s="52"/>
      <c r="Q771" s="52"/>
      <c r="U771" s="52"/>
    </row>
    <row r="772">
      <c r="M772" s="52"/>
      <c r="N772" s="52"/>
      <c r="O772" s="52"/>
      <c r="P772" s="52"/>
      <c r="Q772" s="52"/>
      <c r="U772" s="52"/>
    </row>
    <row r="773">
      <c r="M773" s="52"/>
      <c r="N773" s="52"/>
      <c r="O773" s="52"/>
      <c r="P773" s="52"/>
      <c r="Q773" s="52"/>
      <c r="U773" s="52"/>
    </row>
    <row r="774">
      <c r="M774" s="52"/>
      <c r="N774" s="52"/>
      <c r="O774" s="52"/>
      <c r="P774" s="52"/>
      <c r="Q774" s="52"/>
      <c r="U774" s="52"/>
    </row>
    <row r="775">
      <c r="M775" s="52"/>
      <c r="N775" s="52"/>
      <c r="O775" s="52"/>
      <c r="P775" s="52"/>
      <c r="Q775" s="52"/>
      <c r="U775" s="52"/>
    </row>
    <row r="776">
      <c r="M776" s="52"/>
      <c r="N776" s="52"/>
      <c r="O776" s="52"/>
      <c r="P776" s="52"/>
      <c r="Q776" s="52"/>
      <c r="U776" s="52"/>
    </row>
    <row r="777">
      <c r="M777" s="52"/>
      <c r="N777" s="52"/>
      <c r="O777" s="52"/>
      <c r="P777" s="52"/>
      <c r="Q777" s="52"/>
      <c r="U777" s="52"/>
    </row>
    <row r="778">
      <c r="M778" s="52"/>
      <c r="N778" s="52"/>
      <c r="O778" s="52"/>
      <c r="P778" s="52"/>
      <c r="Q778" s="52"/>
      <c r="U778" s="52"/>
    </row>
    <row r="779">
      <c r="M779" s="52"/>
      <c r="N779" s="52"/>
      <c r="O779" s="52"/>
      <c r="P779" s="52"/>
      <c r="Q779" s="52"/>
      <c r="U779" s="52"/>
    </row>
    <row r="780">
      <c r="M780" s="52"/>
      <c r="N780" s="52"/>
      <c r="O780" s="52"/>
      <c r="P780" s="52"/>
      <c r="Q780" s="52"/>
      <c r="U780" s="52"/>
    </row>
    <row r="781">
      <c r="M781" s="52"/>
      <c r="N781" s="52"/>
      <c r="O781" s="52"/>
      <c r="P781" s="52"/>
      <c r="Q781" s="52"/>
      <c r="U781" s="52"/>
    </row>
    <row r="782">
      <c r="M782" s="52"/>
      <c r="N782" s="52"/>
      <c r="O782" s="52"/>
      <c r="P782" s="52"/>
      <c r="Q782" s="52"/>
      <c r="U782" s="52"/>
    </row>
    <row r="783">
      <c r="M783" s="52"/>
      <c r="N783" s="52"/>
      <c r="O783" s="52"/>
      <c r="P783" s="52"/>
      <c r="Q783" s="52"/>
      <c r="U783" s="52"/>
    </row>
    <row r="784">
      <c r="M784" s="52"/>
      <c r="N784" s="52"/>
      <c r="O784" s="52"/>
      <c r="P784" s="52"/>
      <c r="Q784" s="52"/>
      <c r="U784" s="52"/>
    </row>
    <row r="785">
      <c r="M785" s="52"/>
      <c r="N785" s="52"/>
      <c r="O785" s="52"/>
      <c r="P785" s="52"/>
      <c r="Q785" s="52"/>
      <c r="U785" s="52"/>
    </row>
    <row r="786">
      <c r="M786" s="52"/>
      <c r="N786" s="52"/>
      <c r="O786" s="52"/>
      <c r="P786" s="52"/>
      <c r="Q786" s="52"/>
      <c r="U786" s="52"/>
    </row>
    <row r="787">
      <c r="M787" s="52"/>
      <c r="N787" s="52"/>
      <c r="O787" s="52"/>
      <c r="P787" s="52"/>
      <c r="Q787" s="52"/>
      <c r="U787" s="52"/>
    </row>
    <row r="788">
      <c r="M788" s="52"/>
      <c r="N788" s="52"/>
      <c r="O788" s="52"/>
      <c r="P788" s="52"/>
      <c r="Q788" s="52"/>
      <c r="U788" s="52"/>
    </row>
    <row r="789">
      <c r="M789" s="52"/>
      <c r="N789" s="52"/>
      <c r="O789" s="52"/>
      <c r="P789" s="52"/>
      <c r="Q789" s="52"/>
      <c r="U789" s="52"/>
    </row>
    <row r="790">
      <c r="M790" s="52"/>
      <c r="N790" s="52"/>
      <c r="O790" s="52"/>
      <c r="P790" s="52"/>
      <c r="Q790" s="52"/>
      <c r="U790" s="52"/>
    </row>
    <row r="791">
      <c r="M791" s="52"/>
      <c r="N791" s="52"/>
      <c r="O791" s="52"/>
      <c r="P791" s="52"/>
      <c r="Q791" s="52"/>
      <c r="U791" s="52"/>
    </row>
    <row r="792">
      <c r="M792" s="52"/>
      <c r="N792" s="52"/>
      <c r="O792" s="52"/>
      <c r="P792" s="52"/>
      <c r="Q792" s="52"/>
      <c r="U792" s="52"/>
    </row>
    <row r="793">
      <c r="M793" s="52"/>
      <c r="N793" s="52"/>
      <c r="O793" s="52"/>
      <c r="P793" s="52"/>
      <c r="Q793" s="52"/>
      <c r="U793" s="52"/>
    </row>
    <row r="794">
      <c r="M794" s="52"/>
      <c r="N794" s="52"/>
      <c r="O794" s="52"/>
      <c r="P794" s="52"/>
      <c r="Q794" s="52"/>
      <c r="U794" s="52"/>
    </row>
    <row r="795">
      <c r="M795" s="52"/>
      <c r="N795" s="52"/>
      <c r="O795" s="52"/>
      <c r="P795" s="52"/>
      <c r="Q795" s="52"/>
      <c r="U795" s="52"/>
    </row>
    <row r="796">
      <c r="M796" s="52"/>
      <c r="N796" s="52"/>
      <c r="O796" s="52"/>
      <c r="P796" s="52"/>
      <c r="Q796" s="52"/>
      <c r="U796" s="52"/>
    </row>
    <row r="797">
      <c r="M797" s="52"/>
      <c r="N797" s="52"/>
      <c r="O797" s="52"/>
      <c r="P797" s="52"/>
      <c r="Q797" s="52"/>
      <c r="U797" s="52"/>
    </row>
    <row r="798">
      <c r="M798" s="52"/>
      <c r="N798" s="52"/>
      <c r="O798" s="52"/>
      <c r="P798" s="52"/>
      <c r="Q798" s="52"/>
      <c r="U798" s="52"/>
    </row>
    <row r="799">
      <c r="M799" s="52"/>
      <c r="N799" s="52"/>
      <c r="O799" s="52"/>
      <c r="P799" s="52"/>
      <c r="Q799" s="52"/>
      <c r="U799" s="52"/>
    </row>
    <row r="800">
      <c r="M800" s="52"/>
      <c r="N800" s="52"/>
      <c r="O800" s="52"/>
      <c r="P800" s="52"/>
      <c r="Q800" s="52"/>
      <c r="U800" s="52"/>
    </row>
    <row r="801">
      <c r="M801" s="52"/>
      <c r="N801" s="52"/>
      <c r="O801" s="52"/>
      <c r="P801" s="52"/>
      <c r="Q801" s="52"/>
      <c r="U801" s="52"/>
    </row>
    <row r="802">
      <c r="M802" s="52"/>
      <c r="N802" s="52"/>
      <c r="O802" s="52"/>
      <c r="P802" s="52"/>
      <c r="Q802" s="52"/>
      <c r="U802" s="52"/>
    </row>
    <row r="803">
      <c r="M803" s="52"/>
      <c r="N803" s="52"/>
      <c r="O803" s="52"/>
      <c r="P803" s="52"/>
      <c r="Q803" s="52"/>
      <c r="U803" s="52"/>
    </row>
    <row r="804">
      <c r="M804" s="52"/>
      <c r="N804" s="52"/>
      <c r="O804" s="52"/>
      <c r="P804" s="52"/>
      <c r="Q804" s="52"/>
      <c r="U804" s="52"/>
    </row>
    <row r="805">
      <c r="M805" s="52"/>
      <c r="N805" s="52"/>
      <c r="O805" s="52"/>
      <c r="P805" s="52"/>
      <c r="Q805" s="52"/>
      <c r="U805" s="52"/>
    </row>
    <row r="806">
      <c r="M806" s="52"/>
      <c r="N806" s="52"/>
      <c r="O806" s="52"/>
      <c r="P806" s="52"/>
      <c r="Q806" s="52"/>
      <c r="U806" s="52"/>
    </row>
    <row r="807">
      <c r="M807" s="52"/>
      <c r="N807" s="52"/>
      <c r="O807" s="52"/>
      <c r="P807" s="52"/>
      <c r="Q807" s="52"/>
      <c r="U807" s="52"/>
    </row>
    <row r="808">
      <c r="M808" s="52"/>
      <c r="N808" s="52"/>
      <c r="O808" s="52"/>
      <c r="P808" s="52"/>
      <c r="Q808" s="52"/>
      <c r="U808" s="52"/>
    </row>
    <row r="809">
      <c r="M809" s="52"/>
      <c r="N809" s="52"/>
      <c r="O809" s="52"/>
      <c r="P809" s="52"/>
      <c r="Q809" s="52"/>
      <c r="U809" s="52"/>
    </row>
    <row r="810">
      <c r="M810" s="52"/>
      <c r="N810" s="52"/>
      <c r="O810" s="52"/>
      <c r="P810" s="52"/>
      <c r="Q810" s="52"/>
      <c r="U810" s="52"/>
    </row>
    <row r="811">
      <c r="M811" s="52"/>
      <c r="N811" s="52"/>
      <c r="O811" s="52"/>
      <c r="P811" s="52"/>
      <c r="Q811" s="52"/>
      <c r="U811" s="52"/>
    </row>
    <row r="812">
      <c r="M812" s="52"/>
      <c r="N812" s="52"/>
      <c r="O812" s="52"/>
      <c r="P812" s="52"/>
      <c r="Q812" s="52"/>
      <c r="U812" s="52"/>
    </row>
    <row r="813">
      <c r="M813" s="52"/>
      <c r="N813" s="52"/>
      <c r="O813" s="52"/>
      <c r="P813" s="52"/>
      <c r="Q813" s="52"/>
      <c r="U813" s="52"/>
    </row>
    <row r="814">
      <c r="M814" s="52"/>
      <c r="N814" s="52"/>
      <c r="O814" s="52"/>
      <c r="P814" s="52"/>
      <c r="Q814" s="52"/>
      <c r="U814" s="52"/>
    </row>
    <row r="815">
      <c r="M815" s="52"/>
      <c r="N815" s="52"/>
      <c r="O815" s="52"/>
      <c r="P815" s="52"/>
      <c r="Q815" s="52"/>
      <c r="U815" s="52"/>
    </row>
    <row r="816">
      <c r="M816" s="52"/>
      <c r="N816" s="52"/>
      <c r="O816" s="52"/>
      <c r="P816" s="52"/>
      <c r="Q816" s="52"/>
      <c r="U816" s="52"/>
    </row>
    <row r="817">
      <c r="M817" s="52"/>
      <c r="N817" s="52"/>
      <c r="O817" s="52"/>
      <c r="P817" s="52"/>
      <c r="Q817" s="52"/>
      <c r="U817" s="52"/>
    </row>
    <row r="818">
      <c r="M818" s="52"/>
      <c r="N818" s="52"/>
      <c r="O818" s="52"/>
      <c r="P818" s="52"/>
      <c r="Q818" s="52"/>
      <c r="U818" s="52"/>
    </row>
    <row r="819">
      <c r="M819" s="52"/>
      <c r="N819" s="52"/>
      <c r="O819" s="52"/>
      <c r="P819" s="52"/>
      <c r="Q819" s="52"/>
      <c r="U819" s="52"/>
    </row>
    <row r="820">
      <c r="M820" s="52"/>
      <c r="N820" s="52"/>
      <c r="O820" s="52"/>
      <c r="P820" s="52"/>
      <c r="Q820" s="52"/>
      <c r="U820" s="52"/>
    </row>
    <row r="821">
      <c r="M821" s="52"/>
      <c r="N821" s="52"/>
      <c r="O821" s="52"/>
      <c r="P821" s="52"/>
      <c r="Q821" s="52"/>
      <c r="U821" s="52"/>
    </row>
    <row r="822">
      <c r="M822" s="52"/>
      <c r="N822" s="52"/>
      <c r="O822" s="52"/>
      <c r="P822" s="52"/>
      <c r="Q822" s="52"/>
      <c r="U822" s="52"/>
    </row>
    <row r="823">
      <c r="M823" s="52"/>
      <c r="N823" s="52"/>
      <c r="O823" s="52"/>
      <c r="P823" s="52"/>
      <c r="Q823" s="52"/>
      <c r="U823" s="52"/>
    </row>
    <row r="824">
      <c r="M824" s="52"/>
      <c r="N824" s="52"/>
      <c r="O824" s="52"/>
      <c r="P824" s="52"/>
      <c r="Q824" s="52"/>
      <c r="U824" s="52"/>
    </row>
    <row r="825">
      <c r="M825" s="52"/>
      <c r="N825" s="52"/>
      <c r="O825" s="52"/>
      <c r="P825" s="52"/>
      <c r="Q825" s="52"/>
      <c r="U825" s="52"/>
    </row>
    <row r="826">
      <c r="M826" s="52"/>
      <c r="N826" s="52"/>
      <c r="O826" s="52"/>
      <c r="P826" s="52"/>
      <c r="Q826" s="52"/>
      <c r="U826" s="52"/>
    </row>
    <row r="827">
      <c r="M827" s="52"/>
      <c r="N827" s="52"/>
      <c r="O827" s="52"/>
      <c r="P827" s="52"/>
      <c r="Q827" s="52"/>
      <c r="U827" s="52"/>
    </row>
    <row r="828">
      <c r="M828" s="52"/>
      <c r="N828" s="52"/>
      <c r="O828" s="52"/>
      <c r="P828" s="52"/>
      <c r="Q828" s="52"/>
      <c r="U828" s="52"/>
    </row>
    <row r="829">
      <c r="M829" s="52"/>
      <c r="N829" s="52"/>
      <c r="O829" s="52"/>
      <c r="P829" s="52"/>
      <c r="Q829" s="52"/>
      <c r="U829" s="52"/>
    </row>
    <row r="830">
      <c r="M830" s="52"/>
      <c r="N830" s="52"/>
      <c r="O830" s="52"/>
      <c r="P830" s="52"/>
      <c r="Q830" s="52"/>
      <c r="U830" s="52"/>
    </row>
    <row r="831">
      <c r="M831" s="52"/>
      <c r="N831" s="52"/>
      <c r="O831" s="52"/>
      <c r="P831" s="52"/>
      <c r="Q831" s="52"/>
      <c r="U831" s="52"/>
    </row>
    <row r="832">
      <c r="M832" s="52"/>
      <c r="N832" s="52"/>
      <c r="O832" s="52"/>
      <c r="P832" s="52"/>
      <c r="Q832" s="52"/>
      <c r="U832" s="52"/>
    </row>
    <row r="833">
      <c r="M833" s="52"/>
      <c r="N833" s="52"/>
      <c r="O833" s="52"/>
      <c r="P833" s="52"/>
      <c r="Q833" s="52"/>
      <c r="U833" s="52"/>
    </row>
    <row r="834">
      <c r="M834" s="52"/>
      <c r="N834" s="52"/>
      <c r="O834" s="52"/>
      <c r="P834" s="52"/>
      <c r="Q834" s="52"/>
      <c r="U834" s="52"/>
    </row>
    <row r="835">
      <c r="M835" s="52"/>
      <c r="N835" s="52"/>
      <c r="O835" s="52"/>
      <c r="P835" s="52"/>
      <c r="Q835" s="52"/>
      <c r="U835" s="52"/>
    </row>
    <row r="836">
      <c r="M836" s="52"/>
      <c r="N836" s="52"/>
      <c r="O836" s="52"/>
      <c r="P836" s="52"/>
      <c r="Q836" s="52"/>
      <c r="U836" s="52"/>
    </row>
    <row r="837">
      <c r="M837" s="52"/>
      <c r="N837" s="52"/>
      <c r="O837" s="52"/>
      <c r="P837" s="52"/>
      <c r="Q837" s="52"/>
      <c r="U837" s="52"/>
    </row>
    <row r="838">
      <c r="M838" s="52"/>
      <c r="N838" s="52"/>
      <c r="O838" s="52"/>
      <c r="P838" s="52"/>
      <c r="Q838" s="52"/>
      <c r="U838" s="52"/>
    </row>
    <row r="839">
      <c r="M839" s="52"/>
      <c r="N839" s="52"/>
      <c r="O839" s="52"/>
      <c r="P839" s="52"/>
      <c r="Q839" s="52"/>
      <c r="U839" s="52"/>
    </row>
    <row r="840">
      <c r="M840" s="52"/>
      <c r="N840" s="52"/>
      <c r="O840" s="52"/>
      <c r="P840" s="52"/>
      <c r="Q840" s="52"/>
      <c r="U840" s="52"/>
    </row>
    <row r="841">
      <c r="M841" s="52"/>
      <c r="N841" s="52"/>
      <c r="O841" s="52"/>
      <c r="P841" s="52"/>
      <c r="Q841" s="52"/>
      <c r="U841" s="52"/>
    </row>
    <row r="842">
      <c r="M842" s="52"/>
      <c r="N842" s="52"/>
      <c r="O842" s="52"/>
      <c r="P842" s="52"/>
      <c r="Q842" s="52"/>
      <c r="U842" s="52"/>
    </row>
    <row r="843">
      <c r="M843" s="52"/>
      <c r="N843" s="52"/>
      <c r="O843" s="52"/>
      <c r="P843" s="52"/>
      <c r="Q843" s="52"/>
      <c r="U843" s="52"/>
    </row>
    <row r="844">
      <c r="M844" s="52"/>
      <c r="N844" s="52"/>
      <c r="O844" s="52"/>
      <c r="P844" s="52"/>
      <c r="Q844" s="52"/>
      <c r="U844" s="52"/>
    </row>
    <row r="845">
      <c r="M845" s="52"/>
      <c r="N845" s="52"/>
      <c r="O845" s="52"/>
      <c r="P845" s="52"/>
      <c r="Q845" s="52"/>
      <c r="U845" s="52"/>
    </row>
    <row r="846">
      <c r="M846" s="52"/>
      <c r="N846" s="52"/>
      <c r="O846" s="52"/>
      <c r="P846" s="52"/>
      <c r="Q846" s="52"/>
      <c r="U846" s="52"/>
    </row>
    <row r="847">
      <c r="M847" s="52"/>
      <c r="N847" s="52"/>
      <c r="O847" s="52"/>
      <c r="P847" s="52"/>
      <c r="Q847" s="52"/>
      <c r="U847" s="52"/>
    </row>
    <row r="848">
      <c r="M848" s="52"/>
      <c r="N848" s="52"/>
      <c r="O848" s="52"/>
      <c r="P848" s="52"/>
      <c r="Q848" s="52"/>
      <c r="U848" s="52"/>
    </row>
    <row r="849">
      <c r="M849" s="52"/>
      <c r="N849" s="52"/>
      <c r="O849" s="52"/>
      <c r="P849" s="52"/>
      <c r="Q849" s="52"/>
      <c r="U849" s="52"/>
    </row>
    <row r="850">
      <c r="M850" s="52"/>
      <c r="N850" s="52"/>
      <c r="O850" s="52"/>
      <c r="P850" s="52"/>
      <c r="Q850" s="52"/>
      <c r="U850" s="52"/>
    </row>
    <row r="851">
      <c r="M851" s="52"/>
      <c r="N851" s="52"/>
      <c r="O851" s="52"/>
      <c r="P851" s="52"/>
      <c r="Q851" s="52"/>
      <c r="U851" s="52"/>
    </row>
    <row r="852">
      <c r="M852" s="52"/>
      <c r="N852" s="52"/>
      <c r="O852" s="52"/>
      <c r="P852" s="52"/>
      <c r="Q852" s="52"/>
      <c r="U852" s="52"/>
    </row>
    <row r="853">
      <c r="M853" s="52"/>
      <c r="N853" s="52"/>
      <c r="O853" s="52"/>
      <c r="P853" s="52"/>
      <c r="Q853" s="52"/>
      <c r="U853" s="52"/>
    </row>
    <row r="854">
      <c r="M854" s="52"/>
      <c r="N854" s="52"/>
      <c r="O854" s="52"/>
      <c r="P854" s="52"/>
      <c r="Q854" s="52"/>
      <c r="U854" s="52"/>
    </row>
    <row r="855">
      <c r="M855" s="52"/>
      <c r="N855" s="52"/>
      <c r="O855" s="52"/>
      <c r="P855" s="52"/>
      <c r="Q855" s="52"/>
      <c r="U855" s="52"/>
    </row>
    <row r="856">
      <c r="M856" s="52"/>
      <c r="N856" s="52"/>
      <c r="O856" s="52"/>
      <c r="P856" s="52"/>
      <c r="Q856" s="52"/>
      <c r="U856" s="52"/>
    </row>
    <row r="857">
      <c r="M857" s="52"/>
      <c r="N857" s="52"/>
      <c r="O857" s="52"/>
      <c r="P857" s="52"/>
      <c r="Q857" s="52"/>
      <c r="U857" s="52"/>
    </row>
    <row r="858">
      <c r="M858" s="52"/>
      <c r="N858" s="52"/>
      <c r="O858" s="52"/>
      <c r="P858" s="52"/>
      <c r="Q858" s="52"/>
      <c r="U858" s="52"/>
    </row>
    <row r="859">
      <c r="M859" s="52"/>
      <c r="N859" s="52"/>
      <c r="O859" s="52"/>
      <c r="P859" s="52"/>
      <c r="Q859" s="52"/>
      <c r="U859" s="52"/>
    </row>
    <row r="860">
      <c r="M860" s="52"/>
      <c r="N860" s="52"/>
      <c r="O860" s="52"/>
      <c r="P860" s="52"/>
      <c r="Q860" s="52"/>
      <c r="U860" s="52"/>
    </row>
    <row r="861">
      <c r="M861" s="52"/>
      <c r="N861" s="52"/>
      <c r="O861" s="52"/>
      <c r="P861" s="52"/>
      <c r="Q861" s="52"/>
      <c r="U861" s="52"/>
    </row>
    <row r="862">
      <c r="M862" s="52"/>
      <c r="N862" s="52"/>
      <c r="O862" s="52"/>
      <c r="P862" s="52"/>
      <c r="Q862" s="52"/>
      <c r="U862" s="52"/>
    </row>
    <row r="863">
      <c r="M863" s="52"/>
      <c r="N863" s="52"/>
      <c r="O863" s="52"/>
      <c r="P863" s="52"/>
      <c r="Q863" s="52"/>
      <c r="U863" s="52"/>
    </row>
    <row r="864">
      <c r="M864" s="52"/>
      <c r="N864" s="52"/>
      <c r="O864" s="52"/>
      <c r="P864" s="52"/>
      <c r="Q864" s="52"/>
      <c r="U864" s="52"/>
    </row>
    <row r="865">
      <c r="M865" s="52"/>
      <c r="N865" s="52"/>
      <c r="O865" s="52"/>
      <c r="P865" s="52"/>
      <c r="Q865" s="52"/>
      <c r="U865" s="52"/>
    </row>
    <row r="866">
      <c r="M866" s="52"/>
      <c r="N866" s="52"/>
      <c r="O866" s="52"/>
      <c r="P866" s="52"/>
      <c r="Q866" s="52"/>
      <c r="U866" s="52"/>
    </row>
    <row r="867">
      <c r="M867" s="52"/>
      <c r="N867" s="52"/>
      <c r="O867" s="52"/>
      <c r="P867" s="52"/>
      <c r="Q867" s="52"/>
      <c r="U867" s="52"/>
    </row>
    <row r="868">
      <c r="M868" s="52"/>
      <c r="N868" s="52"/>
      <c r="O868" s="52"/>
      <c r="P868" s="52"/>
      <c r="Q868" s="52"/>
      <c r="U868" s="52"/>
    </row>
    <row r="869">
      <c r="M869" s="52"/>
      <c r="N869" s="52"/>
      <c r="O869" s="52"/>
      <c r="P869" s="52"/>
      <c r="Q869" s="52"/>
      <c r="U869" s="52"/>
    </row>
    <row r="870">
      <c r="M870" s="52"/>
      <c r="N870" s="52"/>
      <c r="O870" s="52"/>
      <c r="P870" s="52"/>
      <c r="Q870" s="52"/>
      <c r="U870" s="52"/>
    </row>
    <row r="871">
      <c r="M871" s="52"/>
      <c r="N871" s="52"/>
      <c r="O871" s="52"/>
      <c r="P871" s="52"/>
      <c r="Q871" s="52"/>
      <c r="U871" s="52"/>
    </row>
    <row r="872">
      <c r="M872" s="52"/>
      <c r="N872" s="52"/>
      <c r="O872" s="52"/>
      <c r="P872" s="52"/>
      <c r="Q872" s="52"/>
      <c r="U872" s="52"/>
    </row>
    <row r="873">
      <c r="M873" s="52"/>
      <c r="N873" s="52"/>
      <c r="O873" s="52"/>
      <c r="P873" s="52"/>
      <c r="Q873" s="52"/>
      <c r="U873" s="52"/>
    </row>
    <row r="874">
      <c r="M874" s="52"/>
      <c r="N874" s="52"/>
      <c r="O874" s="52"/>
      <c r="P874" s="52"/>
      <c r="Q874" s="52"/>
      <c r="U874" s="52"/>
    </row>
    <row r="875">
      <c r="M875" s="52"/>
      <c r="N875" s="52"/>
      <c r="O875" s="52"/>
      <c r="P875" s="52"/>
      <c r="Q875" s="52"/>
      <c r="U875" s="52"/>
    </row>
    <row r="876">
      <c r="M876" s="52"/>
      <c r="N876" s="52"/>
      <c r="O876" s="52"/>
      <c r="P876" s="52"/>
      <c r="Q876" s="52"/>
      <c r="U876" s="52"/>
    </row>
    <row r="877">
      <c r="M877" s="52"/>
      <c r="N877" s="52"/>
      <c r="O877" s="52"/>
      <c r="P877" s="52"/>
      <c r="Q877" s="52"/>
      <c r="U877" s="52"/>
    </row>
    <row r="878">
      <c r="M878" s="52"/>
      <c r="N878" s="52"/>
      <c r="O878" s="52"/>
      <c r="P878" s="52"/>
      <c r="Q878" s="52"/>
      <c r="U878" s="52"/>
    </row>
    <row r="879">
      <c r="M879" s="52"/>
      <c r="N879" s="52"/>
      <c r="O879" s="52"/>
      <c r="P879" s="52"/>
      <c r="Q879" s="52"/>
      <c r="U879" s="52"/>
    </row>
    <row r="880">
      <c r="M880" s="52"/>
      <c r="N880" s="52"/>
      <c r="O880" s="52"/>
      <c r="P880" s="52"/>
      <c r="Q880" s="52"/>
      <c r="U880" s="52"/>
    </row>
    <row r="881">
      <c r="M881" s="52"/>
      <c r="N881" s="52"/>
      <c r="O881" s="52"/>
      <c r="P881" s="52"/>
      <c r="Q881" s="52"/>
      <c r="U881" s="52"/>
    </row>
    <row r="882">
      <c r="M882" s="52"/>
      <c r="N882" s="52"/>
      <c r="O882" s="52"/>
      <c r="P882" s="52"/>
      <c r="Q882" s="52"/>
      <c r="U882" s="52"/>
    </row>
    <row r="883">
      <c r="M883" s="52"/>
      <c r="N883" s="52"/>
      <c r="O883" s="52"/>
      <c r="P883" s="52"/>
      <c r="Q883" s="52"/>
      <c r="U883" s="52"/>
    </row>
    <row r="884">
      <c r="M884" s="52"/>
      <c r="N884" s="52"/>
      <c r="O884" s="52"/>
      <c r="P884" s="52"/>
      <c r="Q884" s="52"/>
      <c r="U884" s="52"/>
    </row>
    <row r="885">
      <c r="M885" s="52"/>
      <c r="N885" s="52"/>
      <c r="O885" s="52"/>
      <c r="P885" s="52"/>
      <c r="Q885" s="52"/>
      <c r="U885" s="52"/>
    </row>
    <row r="886">
      <c r="M886" s="52"/>
      <c r="N886" s="52"/>
      <c r="O886" s="52"/>
      <c r="P886" s="52"/>
      <c r="Q886" s="52"/>
      <c r="U886" s="52"/>
    </row>
    <row r="887">
      <c r="M887" s="52"/>
      <c r="N887" s="52"/>
      <c r="O887" s="52"/>
      <c r="P887" s="52"/>
      <c r="Q887" s="52"/>
      <c r="U887" s="52"/>
    </row>
    <row r="888">
      <c r="M888" s="52"/>
      <c r="N888" s="52"/>
      <c r="O888" s="52"/>
      <c r="P888" s="52"/>
      <c r="Q888" s="52"/>
      <c r="U888" s="52"/>
    </row>
    <row r="889">
      <c r="M889" s="52"/>
      <c r="N889" s="52"/>
      <c r="O889" s="52"/>
      <c r="P889" s="52"/>
      <c r="Q889" s="52"/>
      <c r="U889" s="52"/>
    </row>
    <row r="890">
      <c r="M890" s="52"/>
      <c r="N890" s="52"/>
      <c r="O890" s="52"/>
      <c r="P890" s="52"/>
      <c r="Q890" s="52"/>
      <c r="U890" s="52"/>
    </row>
    <row r="891">
      <c r="M891" s="52"/>
      <c r="N891" s="52"/>
      <c r="O891" s="52"/>
      <c r="P891" s="52"/>
      <c r="Q891" s="52"/>
      <c r="U891" s="52"/>
    </row>
    <row r="892">
      <c r="M892" s="52"/>
      <c r="N892" s="52"/>
      <c r="O892" s="52"/>
      <c r="P892" s="52"/>
      <c r="Q892" s="52"/>
      <c r="U892" s="52"/>
    </row>
    <row r="893">
      <c r="M893" s="52"/>
      <c r="N893" s="52"/>
      <c r="O893" s="52"/>
      <c r="P893" s="52"/>
      <c r="Q893" s="52"/>
      <c r="U893" s="52"/>
    </row>
    <row r="894">
      <c r="M894" s="52"/>
      <c r="N894" s="52"/>
      <c r="O894" s="52"/>
      <c r="P894" s="52"/>
      <c r="Q894" s="52"/>
      <c r="U894" s="52"/>
    </row>
    <row r="895">
      <c r="M895" s="52"/>
      <c r="N895" s="52"/>
      <c r="O895" s="52"/>
      <c r="P895" s="52"/>
      <c r="Q895" s="52"/>
      <c r="U895" s="52"/>
    </row>
    <row r="896">
      <c r="M896" s="52"/>
      <c r="N896" s="52"/>
      <c r="O896" s="52"/>
      <c r="P896" s="52"/>
      <c r="Q896" s="52"/>
      <c r="U896" s="52"/>
    </row>
    <row r="897">
      <c r="M897" s="52"/>
      <c r="N897" s="52"/>
      <c r="O897" s="52"/>
      <c r="P897" s="52"/>
      <c r="Q897" s="52"/>
      <c r="U897" s="52"/>
    </row>
    <row r="898">
      <c r="M898" s="52"/>
      <c r="N898" s="52"/>
      <c r="O898" s="52"/>
      <c r="P898" s="52"/>
      <c r="Q898" s="52"/>
      <c r="U898" s="52"/>
    </row>
    <row r="899">
      <c r="M899" s="52"/>
      <c r="N899" s="52"/>
      <c r="O899" s="52"/>
      <c r="P899" s="52"/>
      <c r="Q899" s="52"/>
      <c r="U899" s="52"/>
    </row>
    <row r="900">
      <c r="M900" s="52"/>
      <c r="N900" s="52"/>
      <c r="O900" s="52"/>
      <c r="P900" s="52"/>
      <c r="Q900" s="52"/>
      <c r="U900" s="52"/>
    </row>
    <row r="901">
      <c r="M901" s="52"/>
      <c r="N901" s="52"/>
      <c r="O901" s="52"/>
      <c r="P901" s="52"/>
      <c r="Q901" s="52"/>
      <c r="U901" s="52"/>
    </row>
    <row r="902">
      <c r="M902" s="52"/>
      <c r="N902" s="52"/>
      <c r="O902" s="52"/>
      <c r="P902" s="52"/>
      <c r="Q902" s="52"/>
      <c r="U902" s="52"/>
    </row>
    <row r="903">
      <c r="M903" s="52"/>
      <c r="N903" s="52"/>
      <c r="O903" s="52"/>
      <c r="P903" s="52"/>
      <c r="Q903" s="52"/>
      <c r="U903" s="52"/>
    </row>
    <row r="904">
      <c r="M904" s="52"/>
      <c r="N904" s="52"/>
      <c r="O904" s="52"/>
      <c r="P904" s="52"/>
      <c r="Q904" s="52"/>
      <c r="U904" s="52"/>
    </row>
    <row r="905">
      <c r="M905" s="52"/>
      <c r="N905" s="52"/>
      <c r="O905" s="52"/>
      <c r="P905" s="52"/>
      <c r="Q905" s="52"/>
      <c r="U905" s="52"/>
    </row>
    <row r="906">
      <c r="M906" s="52"/>
      <c r="N906" s="52"/>
      <c r="O906" s="52"/>
      <c r="P906" s="52"/>
      <c r="Q906" s="52"/>
      <c r="U906" s="52"/>
    </row>
    <row r="907">
      <c r="M907" s="52"/>
      <c r="N907" s="52"/>
      <c r="O907" s="52"/>
      <c r="P907" s="52"/>
      <c r="Q907" s="52"/>
      <c r="U907" s="52"/>
    </row>
    <row r="908">
      <c r="M908" s="52"/>
      <c r="N908" s="52"/>
      <c r="O908" s="52"/>
      <c r="P908" s="52"/>
      <c r="Q908" s="52"/>
      <c r="U908" s="52"/>
    </row>
    <row r="909">
      <c r="M909" s="52"/>
      <c r="N909" s="52"/>
      <c r="O909" s="52"/>
      <c r="P909" s="52"/>
      <c r="Q909" s="52"/>
      <c r="U909" s="52"/>
    </row>
    <row r="910">
      <c r="M910" s="52"/>
      <c r="N910" s="52"/>
      <c r="O910" s="52"/>
      <c r="P910" s="52"/>
      <c r="Q910" s="52"/>
      <c r="U910" s="52"/>
    </row>
    <row r="911">
      <c r="M911" s="52"/>
      <c r="N911" s="52"/>
      <c r="O911" s="52"/>
      <c r="P911" s="52"/>
      <c r="Q911" s="52"/>
      <c r="U911" s="52"/>
    </row>
    <row r="912">
      <c r="M912" s="52"/>
      <c r="N912" s="52"/>
      <c r="O912" s="52"/>
      <c r="P912" s="52"/>
      <c r="Q912" s="52"/>
      <c r="U912" s="52"/>
    </row>
    <row r="913">
      <c r="M913" s="52"/>
      <c r="N913" s="52"/>
      <c r="O913" s="52"/>
      <c r="P913" s="52"/>
      <c r="Q913" s="52"/>
      <c r="U913" s="52"/>
    </row>
    <row r="914">
      <c r="M914" s="52"/>
      <c r="N914" s="52"/>
      <c r="O914" s="52"/>
      <c r="P914" s="52"/>
      <c r="Q914" s="52"/>
      <c r="U914" s="52"/>
    </row>
    <row r="915">
      <c r="M915" s="52"/>
      <c r="N915" s="52"/>
      <c r="O915" s="52"/>
      <c r="P915" s="52"/>
      <c r="Q915" s="52"/>
      <c r="U915" s="52"/>
    </row>
    <row r="916">
      <c r="M916" s="52"/>
      <c r="N916" s="52"/>
      <c r="O916" s="52"/>
      <c r="P916" s="52"/>
      <c r="Q916" s="52"/>
      <c r="U916" s="52"/>
    </row>
    <row r="917">
      <c r="M917" s="52"/>
      <c r="N917" s="52"/>
      <c r="O917" s="52"/>
      <c r="P917" s="52"/>
      <c r="Q917" s="52"/>
      <c r="U917" s="52"/>
    </row>
    <row r="918">
      <c r="M918" s="52"/>
      <c r="N918" s="52"/>
      <c r="O918" s="52"/>
      <c r="P918" s="52"/>
      <c r="Q918" s="52"/>
      <c r="U918" s="52"/>
    </row>
    <row r="919">
      <c r="M919" s="52"/>
      <c r="N919" s="52"/>
      <c r="O919" s="52"/>
      <c r="P919" s="52"/>
      <c r="Q919" s="52"/>
      <c r="U919" s="52"/>
    </row>
    <row r="920">
      <c r="M920" s="52"/>
      <c r="N920" s="52"/>
      <c r="O920" s="52"/>
      <c r="P920" s="52"/>
      <c r="Q920" s="52"/>
      <c r="U920" s="52"/>
    </row>
    <row r="921">
      <c r="M921" s="52"/>
      <c r="N921" s="52"/>
      <c r="O921" s="52"/>
      <c r="P921" s="52"/>
      <c r="Q921" s="52"/>
      <c r="U921" s="52"/>
    </row>
    <row r="922">
      <c r="M922" s="52"/>
      <c r="N922" s="52"/>
      <c r="O922" s="52"/>
      <c r="P922" s="52"/>
      <c r="Q922" s="52"/>
      <c r="U922" s="52"/>
    </row>
    <row r="923">
      <c r="M923" s="52"/>
      <c r="N923" s="52"/>
      <c r="O923" s="52"/>
      <c r="P923" s="52"/>
      <c r="Q923" s="52"/>
      <c r="U923" s="52"/>
    </row>
    <row r="924">
      <c r="M924" s="52"/>
      <c r="N924" s="52"/>
      <c r="O924" s="52"/>
      <c r="P924" s="52"/>
      <c r="Q924" s="52"/>
      <c r="U924" s="52"/>
    </row>
    <row r="925">
      <c r="M925" s="52"/>
      <c r="N925" s="52"/>
      <c r="O925" s="52"/>
      <c r="P925" s="52"/>
      <c r="Q925" s="52"/>
      <c r="U925" s="52"/>
    </row>
    <row r="926">
      <c r="M926" s="52"/>
      <c r="N926" s="52"/>
      <c r="O926" s="52"/>
      <c r="P926" s="52"/>
      <c r="Q926" s="52"/>
      <c r="U926" s="52"/>
    </row>
    <row r="927">
      <c r="M927" s="52"/>
      <c r="N927" s="52"/>
      <c r="O927" s="52"/>
      <c r="P927" s="52"/>
      <c r="Q927" s="52"/>
      <c r="U927" s="52"/>
    </row>
    <row r="928">
      <c r="M928" s="52"/>
      <c r="N928" s="52"/>
      <c r="O928" s="52"/>
      <c r="P928" s="52"/>
      <c r="Q928" s="52"/>
      <c r="U928" s="52"/>
    </row>
    <row r="929">
      <c r="M929" s="52"/>
      <c r="N929" s="52"/>
      <c r="O929" s="52"/>
      <c r="P929" s="52"/>
      <c r="Q929" s="52"/>
      <c r="U929" s="52"/>
    </row>
    <row r="930">
      <c r="M930" s="52"/>
      <c r="N930" s="52"/>
      <c r="O930" s="52"/>
      <c r="P930" s="52"/>
      <c r="Q930" s="52"/>
      <c r="U930" s="52"/>
    </row>
    <row r="931">
      <c r="M931" s="52"/>
      <c r="N931" s="52"/>
      <c r="O931" s="52"/>
      <c r="P931" s="52"/>
      <c r="Q931" s="52"/>
      <c r="U931" s="52"/>
    </row>
    <row r="932">
      <c r="M932" s="52"/>
      <c r="N932" s="52"/>
      <c r="O932" s="52"/>
      <c r="P932" s="52"/>
      <c r="Q932" s="52"/>
      <c r="U932" s="52"/>
    </row>
    <row r="933">
      <c r="M933" s="52"/>
      <c r="N933" s="52"/>
      <c r="O933" s="52"/>
      <c r="P933" s="52"/>
      <c r="Q933" s="52"/>
      <c r="U933" s="52"/>
    </row>
    <row r="934">
      <c r="M934" s="52"/>
      <c r="N934" s="52"/>
      <c r="O934" s="52"/>
      <c r="P934" s="52"/>
      <c r="Q934" s="52"/>
      <c r="U934" s="52"/>
    </row>
    <row r="935">
      <c r="M935" s="52"/>
      <c r="N935" s="52"/>
      <c r="O935" s="52"/>
      <c r="P935" s="52"/>
      <c r="Q935" s="52"/>
      <c r="U935" s="52"/>
    </row>
    <row r="936">
      <c r="M936" s="52"/>
      <c r="N936" s="52"/>
      <c r="O936" s="52"/>
      <c r="P936" s="52"/>
      <c r="Q936" s="52"/>
      <c r="U936" s="52"/>
    </row>
    <row r="937">
      <c r="M937" s="52"/>
      <c r="N937" s="52"/>
      <c r="O937" s="52"/>
      <c r="P937" s="52"/>
      <c r="Q937" s="52"/>
      <c r="U937" s="52"/>
    </row>
    <row r="938">
      <c r="M938" s="52"/>
      <c r="N938" s="52"/>
      <c r="O938" s="52"/>
      <c r="P938" s="52"/>
      <c r="Q938" s="52"/>
      <c r="U938" s="52"/>
    </row>
    <row r="939">
      <c r="M939" s="52"/>
      <c r="N939" s="52"/>
      <c r="O939" s="52"/>
      <c r="P939" s="52"/>
      <c r="Q939" s="52"/>
      <c r="U939" s="52"/>
    </row>
    <row r="940">
      <c r="M940" s="52"/>
      <c r="N940" s="52"/>
      <c r="O940" s="52"/>
      <c r="P940" s="52"/>
      <c r="Q940" s="52"/>
      <c r="U940" s="52"/>
    </row>
    <row r="941">
      <c r="M941" s="52"/>
      <c r="N941" s="52"/>
      <c r="O941" s="52"/>
      <c r="P941" s="52"/>
      <c r="Q941" s="52"/>
      <c r="U941" s="52"/>
    </row>
    <row r="942">
      <c r="M942" s="52"/>
      <c r="N942" s="52"/>
      <c r="O942" s="52"/>
      <c r="P942" s="52"/>
      <c r="Q942" s="52"/>
      <c r="U942" s="52"/>
    </row>
    <row r="943">
      <c r="M943" s="52"/>
      <c r="N943" s="52"/>
      <c r="O943" s="52"/>
      <c r="P943" s="52"/>
      <c r="Q943" s="52"/>
      <c r="U943" s="52"/>
    </row>
    <row r="944">
      <c r="M944" s="52"/>
      <c r="N944" s="52"/>
      <c r="O944" s="52"/>
      <c r="P944" s="52"/>
      <c r="Q944" s="52"/>
      <c r="U944" s="52"/>
    </row>
    <row r="945">
      <c r="M945" s="52"/>
      <c r="N945" s="52"/>
      <c r="O945" s="52"/>
      <c r="P945" s="52"/>
      <c r="Q945" s="52"/>
      <c r="U945" s="52"/>
    </row>
    <row r="946">
      <c r="M946" s="52"/>
      <c r="N946" s="52"/>
      <c r="O946" s="52"/>
      <c r="P946" s="52"/>
      <c r="Q946" s="52"/>
      <c r="U946" s="52"/>
    </row>
    <row r="947">
      <c r="M947" s="52"/>
      <c r="N947" s="52"/>
      <c r="O947" s="52"/>
      <c r="P947" s="52"/>
      <c r="Q947" s="52"/>
      <c r="U947" s="52"/>
    </row>
    <row r="948">
      <c r="M948" s="52"/>
      <c r="N948" s="52"/>
      <c r="O948" s="52"/>
      <c r="P948" s="52"/>
      <c r="Q948" s="52"/>
      <c r="U948" s="52"/>
    </row>
    <row r="949">
      <c r="M949" s="52"/>
      <c r="N949" s="52"/>
      <c r="O949" s="52"/>
      <c r="P949" s="52"/>
      <c r="Q949" s="52"/>
      <c r="U949" s="52"/>
    </row>
    <row r="950">
      <c r="M950" s="52"/>
      <c r="N950" s="52"/>
      <c r="O950" s="52"/>
      <c r="P950" s="52"/>
      <c r="Q950" s="52"/>
      <c r="U950" s="52"/>
    </row>
    <row r="951">
      <c r="M951" s="52"/>
      <c r="N951" s="52"/>
      <c r="O951" s="52"/>
      <c r="P951" s="52"/>
      <c r="Q951" s="52"/>
      <c r="U951" s="52"/>
    </row>
    <row r="952">
      <c r="M952" s="52"/>
      <c r="N952" s="52"/>
      <c r="O952" s="52"/>
      <c r="P952" s="52"/>
      <c r="Q952" s="52"/>
      <c r="U952" s="52"/>
    </row>
    <row r="953">
      <c r="M953" s="52"/>
      <c r="N953" s="52"/>
      <c r="O953" s="52"/>
      <c r="P953" s="52"/>
      <c r="Q953" s="52"/>
      <c r="U953" s="52"/>
    </row>
    <row r="954">
      <c r="M954" s="52"/>
      <c r="N954" s="52"/>
      <c r="O954" s="52"/>
      <c r="P954" s="52"/>
      <c r="Q954" s="52"/>
      <c r="U954" s="52"/>
    </row>
    <row r="955">
      <c r="M955" s="52"/>
      <c r="N955" s="52"/>
      <c r="O955" s="52"/>
      <c r="P955" s="52"/>
      <c r="Q955" s="52"/>
      <c r="U955" s="52"/>
    </row>
    <row r="956">
      <c r="M956" s="52"/>
      <c r="N956" s="52"/>
      <c r="O956" s="52"/>
      <c r="P956" s="52"/>
      <c r="Q956" s="52"/>
      <c r="U956" s="52"/>
    </row>
    <row r="957">
      <c r="M957" s="52"/>
      <c r="N957" s="52"/>
      <c r="O957" s="52"/>
      <c r="P957" s="52"/>
      <c r="Q957" s="52"/>
      <c r="U957" s="52"/>
    </row>
    <row r="958">
      <c r="M958" s="52"/>
      <c r="N958" s="52"/>
      <c r="O958" s="52"/>
      <c r="P958" s="52"/>
      <c r="Q958" s="52"/>
      <c r="U958" s="52"/>
    </row>
    <row r="959">
      <c r="M959" s="52"/>
      <c r="N959" s="52"/>
      <c r="O959" s="52"/>
      <c r="P959" s="52"/>
      <c r="Q959" s="52"/>
      <c r="U959" s="52"/>
    </row>
    <row r="960">
      <c r="M960" s="52"/>
      <c r="N960" s="52"/>
      <c r="O960" s="52"/>
      <c r="P960" s="52"/>
      <c r="Q960" s="52"/>
      <c r="U960" s="52"/>
    </row>
    <row r="961">
      <c r="M961" s="52"/>
      <c r="N961" s="52"/>
      <c r="O961" s="52"/>
      <c r="P961" s="52"/>
      <c r="Q961" s="52"/>
      <c r="U961" s="52"/>
    </row>
    <row r="962">
      <c r="M962" s="52"/>
      <c r="N962" s="52"/>
      <c r="O962" s="52"/>
      <c r="P962" s="52"/>
      <c r="Q962" s="52"/>
      <c r="U962" s="52"/>
    </row>
    <row r="963">
      <c r="M963" s="52"/>
      <c r="N963" s="52"/>
      <c r="O963" s="52"/>
      <c r="P963" s="52"/>
      <c r="Q963" s="52"/>
      <c r="U963" s="52"/>
    </row>
    <row r="964">
      <c r="M964" s="52"/>
      <c r="N964" s="52"/>
      <c r="O964" s="52"/>
      <c r="P964" s="52"/>
      <c r="Q964" s="52"/>
      <c r="U964" s="52"/>
    </row>
    <row r="965">
      <c r="M965" s="52"/>
      <c r="N965" s="52"/>
      <c r="O965" s="52"/>
      <c r="P965" s="52"/>
      <c r="Q965" s="52"/>
      <c r="U965" s="52"/>
    </row>
    <row r="966">
      <c r="M966" s="52"/>
      <c r="N966" s="52"/>
      <c r="O966" s="52"/>
      <c r="P966" s="52"/>
      <c r="Q966" s="52"/>
      <c r="U966" s="52"/>
    </row>
    <row r="967">
      <c r="M967" s="52"/>
      <c r="N967" s="52"/>
      <c r="O967" s="52"/>
      <c r="P967" s="52"/>
      <c r="Q967" s="52"/>
      <c r="U967" s="52"/>
    </row>
    <row r="968">
      <c r="M968" s="52"/>
      <c r="N968" s="52"/>
      <c r="O968" s="52"/>
      <c r="P968" s="52"/>
      <c r="Q968" s="52"/>
      <c r="U968" s="52"/>
    </row>
    <row r="969">
      <c r="M969" s="52"/>
      <c r="N969" s="52"/>
      <c r="O969" s="52"/>
      <c r="P969" s="52"/>
      <c r="Q969" s="52"/>
      <c r="U969" s="52"/>
    </row>
    <row r="970">
      <c r="M970" s="52"/>
      <c r="N970" s="52"/>
      <c r="O970" s="52"/>
      <c r="P970" s="52"/>
      <c r="Q970" s="52"/>
      <c r="U970" s="52"/>
    </row>
    <row r="971">
      <c r="M971" s="52"/>
      <c r="N971" s="52"/>
      <c r="O971" s="52"/>
      <c r="P971" s="52"/>
      <c r="Q971" s="52"/>
      <c r="U971" s="52"/>
    </row>
    <row r="972">
      <c r="M972" s="52"/>
      <c r="N972" s="52"/>
      <c r="O972" s="52"/>
      <c r="P972" s="52"/>
      <c r="Q972" s="52"/>
      <c r="U972" s="52"/>
    </row>
    <row r="973">
      <c r="M973" s="52"/>
      <c r="N973" s="52"/>
      <c r="O973" s="52"/>
      <c r="P973" s="52"/>
      <c r="Q973" s="52"/>
      <c r="U973" s="52"/>
    </row>
    <row r="974">
      <c r="M974" s="52"/>
      <c r="N974" s="52"/>
      <c r="O974" s="52"/>
      <c r="P974" s="52"/>
      <c r="Q974" s="52"/>
      <c r="U974" s="52"/>
    </row>
    <row r="975">
      <c r="M975" s="52"/>
      <c r="N975" s="52"/>
      <c r="O975" s="52"/>
      <c r="P975" s="52"/>
      <c r="Q975" s="52"/>
      <c r="U975" s="52"/>
    </row>
    <row r="976">
      <c r="M976" s="52"/>
      <c r="N976" s="52"/>
      <c r="O976" s="52"/>
      <c r="P976" s="52"/>
      <c r="Q976" s="52"/>
      <c r="U976" s="52"/>
    </row>
    <row r="977">
      <c r="M977" s="52"/>
      <c r="N977" s="52"/>
      <c r="O977" s="52"/>
      <c r="P977" s="52"/>
      <c r="Q977" s="52"/>
      <c r="U977" s="52"/>
    </row>
    <row r="978">
      <c r="M978" s="52"/>
      <c r="N978" s="52"/>
      <c r="O978" s="52"/>
      <c r="P978" s="52"/>
      <c r="Q978" s="52"/>
      <c r="U978" s="52"/>
    </row>
    <row r="979">
      <c r="M979" s="52"/>
      <c r="N979" s="52"/>
      <c r="O979" s="52"/>
      <c r="P979" s="52"/>
      <c r="Q979" s="52"/>
      <c r="U979" s="52"/>
    </row>
    <row r="980">
      <c r="M980" s="52"/>
      <c r="N980" s="52"/>
      <c r="O980" s="52"/>
      <c r="P980" s="52"/>
      <c r="Q980" s="52"/>
      <c r="U980" s="52"/>
    </row>
    <row r="981">
      <c r="M981" s="52"/>
      <c r="N981" s="52"/>
      <c r="O981" s="52"/>
      <c r="P981" s="52"/>
      <c r="Q981" s="52"/>
      <c r="U981" s="52"/>
    </row>
    <row r="982">
      <c r="M982" s="52"/>
      <c r="N982" s="52"/>
      <c r="O982" s="52"/>
      <c r="P982" s="52"/>
      <c r="Q982" s="52"/>
      <c r="U982" s="52"/>
    </row>
    <row r="983">
      <c r="M983" s="52"/>
      <c r="N983" s="52"/>
      <c r="O983" s="52"/>
      <c r="P983" s="52"/>
      <c r="Q983" s="52"/>
      <c r="U983" s="52"/>
    </row>
    <row r="984">
      <c r="M984" s="52"/>
      <c r="N984" s="52"/>
      <c r="O984" s="52"/>
      <c r="P984" s="52"/>
      <c r="Q984" s="52"/>
      <c r="U984" s="52"/>
    </row>
    <row r="985">
      <c r="M985" s="52"/>
      <c r="N985" s="52"/>
      <c r="O985" s="52"/>
      <c r="P985" s="52"/>
      <c r="Q985" s="52"/>
      <c r="U985" s="52"/>
    </row>
    <row r="986">
      <c r="M986" s="52"/>
      <c r="N986" s="52"/>
      <c r="O986" s="52"/>
      <c r="P986" s="52"/>
      <c r="Q986" s="52"/>
      <c r="U986" s="52"/>
    </row>
    <row r="987">
      <c r="M987" s="52"/>
      <c r="N987" s="52"/>
      <c r="O987" s="52"/>
      <c r="P987" s="52"/>
      <c r="Q987" s="52"/>
      <c r="U987" s="52"/>
    </row>
    <row r="988">
      <c r="M988" s="52"/>
      <c r="N988" s="52"/>
      <c r="O988" s="52"/>
      <c r="P988" s="52"/>
      <c r="Q988" s="52"/>
      <c r="U988" s="52"/>
    </row>
    <row r="989">
      <c r="M989" s="52"/>
      <c r="N989" s="52"/>
      <c r="O989" s="52"/>
      <c r="P989" s="52"/>
      <c r="Q989" s="52"/>
      <c r="U989" s="52"/>
    </row>
    <row r="990">
      <c r="M990" s="52"/>
      <c r="N990" s="52"/>
      <c r="O990" s="52"/>
      <c r="P990" s="52"/>
      <c r="Q990" s="52"/>
      <c r="U990" s="52"/>
    </row>
    <row r="991">
      <c r="M991" s="52"/>
      <c r="N991" s="52"/>
      <c r="O991" s="52"/>
      <c r="P991" s="52"/>
      <c r="Q991" s="52"/>
      <c r="U991" s="52"/>
    </row>
    <row r="992">
      <c r="M992" s="52"/>
      <c r="N992" s="52"/>
      <c r="O992" s="52"/>
      <c r="P992" s="52"/>
      <c r="Q992" s="52"/>
      <c r="U992" s="52"/>
    </row>
    <row r="993">
      <c r="M993" s="52"/>
      <c r="N993" s="52"/>
      <c r="O993" s="52"/>
      <c r="P993" s="52"/>
      <c r="Q993" s="52"/>
      <c r="U993" s="52"/>
    </row>
    <row r="994">
      <c r="M994" s="52"/>
      <c r="N994" s="52"/>
      <c r="O994" s="52"/>
      <c r="P994" s="52"/>
      <c r="Q994" s="52"/>
      <c r="U994" s="52"/>
    </row>
    <row r="995">
      <c r="M995" s="52"/>
      <c r="N995" s="52"/>
      <c r="O995" s="52"/>
      <c r="P995" s="52"/>
      <c r="Q995" s="52"/>
      <c r="U995" s="52"/>
    </row>
    <row r="996">
      <c r="M996" s="52"/>
      <c r="N996" s="52"/>
      <c r="O996" s="52"/>
      <c r="P996" s="52"/>
      <c r="Q996" s="52"/>
      <c r="U996" s="52"/>
    </row>
    <row r="997">
      <c r="M997" s="52"/>
      <c r="N997" s="52"/>
      <c r="O997" s="52"/>
      <c r="P997" s="52"/>
      <c r="Q997" s="52"/>
      <c r="U997" s="52"/>
    </row>
    <row r="998">
      <c r="M998" s="52"/>
      <c r="N998" s="52"/>
      <c r="O998" s="52"/>
      <c r="P998" s="52"/>
      <c r="Q998" s="52"/>
      <c r="U998" s="52"/>
    </row>
    <row r="999">
      <c r="M999" s="52"/>
      <c r="N999" s="52"/>
      <c r="O999" s="52"/>
      <c r="P999" s="52"/>
      <c r="Q999" s="52"/>
      <c r="U999" s="52"/>
    </row>
    <row r="1000">
      <c r="M1000" s="52"/>
      <c r="N1000" s="52"/>
      <c r="O1000" s="52"/>
      <c r="P1000" s="52"/>
      <c r="Q1000" s="52"/>
      <c r="U1000" s="52"/>
    </row>
  </sheetData>
  <mergeCells count="7">
    <mergeCell ref="A1:A2"/>
    <mergeCell ref="B1:B2"/>
    <mergeCell ref="C1:G1"/>
    <mergeCell ref="H1:I1"/>
    <mergeCell ref="J1:J2"/>
    <mergeCell ref="K1:O1"/>
    <mergeCell ref="P1:U1"/>
  </mergeCells>
  <conditionalFormatting sqref="N3:N9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G3:G9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3:H9">
    <cfRule type="colorScale" priority="3">
      <colorScale>
        <cfvo type="formula" val="0"/>
        <cfvo type="max"/>
        <color rgb="FFFFFFFF"/>
        <color rgb="FF57BB8A"/>
      </colorScale>
    </cfRule>
  </conditionalFormatting>
  <conditionalFormatting sqref="I3:I9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J3:J9">
    <cfRule type="colorScale" priority="5">
      <colorScale>
        <cfvo type="formula" val="0"/>
        <cfvo type="max"/>
        <color rgb="FFFFFFFF"/>
        <color rgb="FF57BB8A"/>
      </colorScale>
    </cfRule>
  </conditionalFormatting>
  <conditionalFormatting sqref="K3:K9">
    <cfRule type="colorScale" priority="6">
      <colorScale>
        <cfvo type="formula" val="0"/>
        <cfvo type="max"/>
        <color rgb="FFFFFFFF"/>
        <color rgb="FF57BB8A"/>
      </colorScale>
    </cfRule>
  </conditionalFormatting>
  <conditionalFormatting sqref="L3:L9">
    <cfRule type="colorScale" priority="7">
      <colorScale>
        <cfvo type="formula" val="0"/>
        <cfvo type="max"/>
        <color rgb="FFFFFFFF"/>
        <color rgb="FFE67C73"/>
      </colorScale>
    </cfRule>
  </conditionalFormatting>
  <conditionalFormatting sqref="C3:C9">
    <cfRule type="colorScale" priority="8">
      <colorScale>
        <cfvo type="formula" val="0"/>
        <cfvo type="max"/>
        <color rgb="FFFFFFFF"/>
        <color rgb="FFFFD666"/>
      </colorScale>
    </cfRule>
  </conditionalFormatting>
  <conditionalFormatting sqref="D3:D9">
    <cfRule type="colorScale" priority="9">
      <colorScale>
        <cfvo type="formula" val="0"/>
        <cfvo type="max"/>
        <color rgb="FFFFFFFF"/>
        <color rgb="FF57BB8A"/>
      </colorScale>
    </cfRule>
  </conditionalFormatting>
  <conditionalFormatting sqref="E3:E9">
    <cfRule type="colorScale" priority="10">
      <colorScale>
        <cfvo type="formula" val="0"/>
        <cfvo type="max"/>
        <color rgb="FFFFFFFF"/>
        <color rgb="FFE67C73"/>
      </colorScale>
    </cfRule>
  </conditionalFormatting>
  <conditionalFormatting sqref="F3:F9">
    <cfRule type="colorScale" priority="11">
      <colorScale>
        <cfvo type="formula" val="0"/>
        <cfvo type="max"/>
        <color rgb="FFFFFFFF"/>
        <color rgb="FF57BB8A"/>
      </colorScale>
    </cfRule>
  </conditionalFormatting>
  <conditionalFormatting sqref="M3:M9">
    <cfRule type="colorScale" priority="12">
      <colorScale>
        <cfvo type="formula" val="0"/>
        <cfvo type="max"/>
        <color rgb="FFFFFFFF"/>
        <color rgb="FFFFD666"/>
      </colorScale>
    </cfRule>
  </conditionalFormatting>
  <conditionalFormatting sqref="O3:O9">
    <cfRule type="colorScale" priority="13">
      <colorScale>
        <cfvo type="formula" val="0"/>
        <cfvo type="formula" val="1"/>
        <color rgb="FFFFFFFF"/>
        <color rgb="FF57BB8A"/>
      </colorScale>
    </cfRule>
  </conditionalFormatting>
  <conditionalFormatting sqref="P3:P9">
    <cfRule type="colorScale" priority="14">
      <colorScale>
        <cfvo type="formula" val="0"/>
        <cfvo type="max"/>
        <color rgb="FFFFFFFF"/>
        <color rgb="FFFFD666"/>
      </colorScale>
    </cfRule>
  </conditionalFormatting>
  <conditionalFormatting sqref="U3:U9">
    <cfRule type="colorScale" priority="15">
      <colorScale>
        <cfvo type="formula" val="0"/>
        <cfvo type="formula" val="2"/>
        <cfvo type="formula" val="3"/>
        <color rgb="FFE67C73"/>
        <color rgb="FFFFFFFF"/>
        <color rgb="FF57BB8A"/>
      </colorScale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7.63"/>
    <col customWidth="1" min="4" max="4" width="5.63"/>
    <col customWidth="1" min="5" max="5" width="6.88"/>
    <col customWidth="1" min="6" max="6" width="8.38"/>
    <col customWidth="1" min="7" max="7" width="15.5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1" t="s">
        <v>4</v>
      </c>
      <c r="K1" s="6" t="s">
        <v>5</v>
      </c>
      <c r="L1" s="4"/>
      <c r="M1" s="4"/>
      <c r="N1" s="4"/>
      <c r="O1" s="5"/>
      <c r="P1" s="30" t="s">
        <v>6</v>
      </c>
      <c r="Q1" s="4"/>
      <c r="R1" s="4"/>
      <c r="S1" s="4"/>
      <c r="T1" s="4"/>
      <c r="U1" s="5"/>
    </row>
    <row r="2">
      <c r="A2" s="9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2" t="s">
        <v>13</v>
      </c>
      <c r="I2" s="12" t="s">
        <v>14</v>
      </c>
      <c r="J2" s="9"/>
      <c r="K2" s="10" t="s">
        <v>15</v>
      </c>
      <c r="L2" s="12" t="s">
        <v>10</v>
      </c>
      <c r="M2" s="10" t="s">
        <v>16</v>
      </c>
      <c r="N2" s="10" t="s">
        <v>12</v>
      </c>
      <c r="O2" s="10" t="s">
        <v>18</v>
      </c>
      <c r="P2" s="15" t="s">
        <v>8</v>
      </c>
      <c r="Q2" s="15">
        <v>0.0</v>
      </c>
      <c r="R2" s="15">
        <v>1.0</v>
      </c>
      <c r="S2" s="15">
        <v>2.0</v>
      </c>
      <c r="T2" s="15">
        <v>3.0</v>
      </c>
      <c r="U2" s="15" t="s">
        <v>19</v>
      </c>
    </row>
    <row r="3">
      <c r="A3" s="18" t="s">
        <v>21</v>
      </c>
      <c r="B3" s="18" t="s">
        <v>101</v>
      </c>
      <c r="C3" s="10">
        <v>3.0</v>
      </c>
      <c r="D3" s="10">
        <v>1.0</v>
      </c>
      <c r="E3" s="10">
        <v>1.0</v>
      </c>
      <c r="F3" s="35"/>
      <c r="G3" s="35">
        <f t="shared" ref="G3:G9" si="1">IFS(C3=0, "N/A", C3&lt;&gt;0,(D3-E3)/C3 )</f>
        <v>0</v>
      </c>
      <c r="H3" s="35"/>
      <c r="I3" s="10"/>
      <c r="J3" s="10">
        <v>2.0</v>
      </c>
      <c r="K3" s="35"/>
      <c r="L3" s="10"/>
      <c r="M3" s="10">
        <v>4.0</v>
      </c>
      <c r="N3" s="35">
        <f t="shared" ref="N3:N9" si="2">ifs(M3=0,"N/A",M3&lt;&gt;0,(M3-L3) /M3)</f>
        <v>1</v>
      </c>
      <c r="O3" s="35">
        <f t="shared" ref="O3:O9" si="3">IFS(M3=0, "N/A", M3&lt;&gt;0, K3/M3)</f>
        <v>0</v>
      </c>
      <c r="P3" s="10">
        <f t="shared" ref="P3:P9" si="4">sum(Q3,R3,S3,T3)</f>
        <v>2</v>
      </c>
      <c r="Q3" s="10">
        <v>1.0</v>
      </c>
      <c r="R3" s="10"/>
      <c r="S3" s="10"/>
      <c r="T3" s="10">
        <v>1.0</v>
      </c>
      <c r="U3" s="10">
        <f t="shared" ref="U3:U9" si="5">ifs(P3=0, "N/A",P3&lt;&gt;0,(R3 + S3*2 +T3*3)/P3)</f>
        <v>1.5</v>
      </c>
    </row>
    <row r="4">
      <c r="A4" s="21" t="s">
        <v>24</v>
      </c>
      <c r="B4" s="21" t="s">
        <v>42</v>
      </c>
      <c r="C4" s="10"/>
      <c r="D4" s="10"/>
      <c r="E4" s="10"/>
      <c r="F4" s="10">
        <v>7.0</v>
      </c>
      <c r="G4" s="35" t="str">
        <f t="shared" si="1"/>
        <v>N/A</v>
      </c>
      <c r="H4" s="10"/>
      <c r="I4" s="10">
        <v>1.0</v>
      </c>
      <c r="J4" s="10">
        <v>4.0</v>
      </c>
      <c r="K4" s="10">
        <v>1.0</v>
      </c>
      <c r="L4" s="10">
        <v>1.0</v>
      </c>
      <c r="M4" s="10">
        <v>5.0</v>
      </c>
      <c r="N4" s="35">
        <f t="shared" si="2"/>
        <v>0.8</v>
      </c>
      <c r="O4" s="35">
        <f t="shared" si="3"/>
        <v>0.2</v>
      </c>
      <c r="P4" s="10">
        <f t="shared" si="4"/>
        <v>0</v>
      </c>
      <c r="Q4" s="10"/>
      <c r="R4" s="35"/>
      <c r="S4" s="35"/>
      <c r="T4" s="35"/>
      <c r="U4" s="10" t="str">
        <f t="shared" si="5"/>
        <v>N/A</v>
      </c>
    </row>
    <row r="5">
      <c r="A5" s="22" t="s">
        <v>26</v>
      </c>
      <c r="B5" s="22" t="s">
        <v>84</v>
      </c>
      <c r="C5" s="10">
        <v>2.0</v>
      </c>
      <c r="D5" s="10">
        <v>1.0</v>
      </c>
      <c r="E5" s="10"/>
      <c r="F5" s="10">
        <v>1.0</v>
      </c>
      <c r="G5" s="35">
        <f t="shared" si="1"/>
        <v>0.5</v>
      </c>
      <c r="H5" s="10"/>
      <c r="I5" s="10"/>
      <c r="J5" s="10">
        <v>3.0</v>
      </c>
      <c r="K5" s="10">
        <v>1.0</v>
      </c>
      <c r="L5" s="35"/>
      <c r="M5" s="10">
        <v>2.0</v>
      </c>
      <c r="N5" s="35">
        <f t="shared" si="2"/>
        <v>1</v>
      </c>
      <c r="O5" s="35">
        <f t="shared" si="3"/>
        <v>0.5</v>
      </c>
      <c r="P5" s="10">
        <f t="shared" si="4"/>
        <v>6</v>
      </c>
      <c r="Q5" s="10">
        <v>1.0</v>
      </c>
      <c r="R5" s="10">
        <v>2.0</v>
      </c>
      <c r="S5" s="10">
        <v>3.0</v>
      </c>
      <c r="T5" s="10"/>
      <c r="U5" s="10">
        <f t="shared" si="5"/>
        <v>1.333333333</v>
      </c>
    </row>
    <row r="6">
      <c r="A6" s="23" t="s">
        <v>28</v>
      </c>
      <c r="B6" s="23" t="s">
        <v>41</v>
      </c>
      <c r="C6" s="10">
        <v>6.0</v>
      </c>
      <c r="D6" s="10">
        <v>2.0</v>
      </c>
      <c r="E6" s="10">
        <v>2.0</v>
      </c>
      <c r="F6" s="35"/>
      <c r="G6" s="35">
        <f t="shared" si="1"/>
        <v>0</v>
      </c>
      <c r="H6" s="35"/>
      <c r="I6" s="10">
        <v>1.0</v>
      </c>
      <c r="J6" s="10">
        <v>1.0</v>
      </c>
      <c r="K6" s="10"/>
      <c r="L6" s="10"/>
      <c r="M6" s="10">
        <v>1.0</v>
      </c>
      <c r="N6" s="35">
        <f t="shared" si="2"/>
        <v>1</v>
      </c>
      <c r="O6" s="35">
        <f t="shared" si="3"/>
        <v>0</v>
      </c>
      <c r="P6" s="10">
        <f t="shared" si="4"/>
        <v>3</v>
      </c>
      <c r="Q6" s="10">
        <v>2.0</v>
      </c>
      <c r="R6" s="10">
        <v>1.0</v>
      </c>
      <c r="S6" s="10"/>
      <c r="T6" s="10"/>
      <c r="U6" s="10">
        <f t="shared" si="5"/>
        <v>0.3333333333</v>
      </c>
    </row>
    <row r="7">
      <c r="A7" s="24" t="s">
        <v>30</v>
      </c>
      <c r="B7" s="24" t="s">
        <v>85</v>
      </c>
      <c r="C7" s="10">
        <v>10.0</v>
      </c>
      <c r="D7" s="10">
        <v>5.0</v>
      </c>
      <c r="E7" s="10">
        <v>1.0</v>
      </c>
      <c r="F7" s="35"/>
      <c r="G7" s="35">
        <f t="shared" si="1"/>
        <v>0.4</v>
      </c>
      <c r="H7" s="35"/>
      <c r="I7" s="10"/>
      <c r="J7" s="10">
        <v>4.0</v>
      </c>
      <c r="K7" s="35"/>
      <c r="L7" s="10"/>
      <c r="M7" s="10">
        <v>3.0</v>
      </c>
      <c r="N7" s="35">
        <f t="shared" si="2"/>
        <v>1</v>
      </c>
      <c r="O7" s="35">
        <f t="shared" si="3"/>
        <v>0</v>
      </c>
      <c r="P7" s="10">
        <f t="shared" si="4"/>
        <v>5</v>
      </c>
      <c r="Q7" s="10"/>
      <c r="R7" s="10">
        <v>2.0</v>
      </c>
      <c r="S7" s="10">
        <v>2.0</v>
      </c>
      <c r="T7" s="10">
        <v>1.0</v>
      </c>
      <c r="U7" s="10">
        <f t="shared" si="5"/>
        <v>1.8</v>
      </c>
    </row>
    <row r="8">
      <c r="A8" s="25" t="s">
        <v>32</v>
      </c>
      <c r="B8" s="25" t="s">
        <v>45</v>
      </c>
      <c r="C8" s="10">
        <v>6.0</v>
      </c>
      <c r="D8" s="10"/>
      <c r="E8" s="10">
        <v>3.0</v>
      </c>
      <c r="F8" s="35"/>
      <c r="G8" s="35">
        <f t="shared" si="1"/>
        <v>-0.5</v>
      </c>
      <c r="H8" s="35"/>
      <c r="I8" s="10"/>
      <c r="J8" s="10">
        <v>2.0</v>
      </c>
      <c r="K8" s="35"/>
      <c r="L8" s="35"/>
      <c r="M8" s="10">
        <v>6.0</v>
      </c>
      <c r="N8" s="35">
        <f t="shared" si="2"/>
        <v>1</v>
      </c>
      <c r="O8" s="35">
        <f t="shared" si="3"/>
        <v>0</v>
      </c>
      <c r="P8" s="10">
        <f t="shared" si="4"/>
        <v>3</v>
      </c>
      <c r="Q8" s="10">
        <v>1.0</v>
      </c>
      <c r="R8" s="10"/>
      <c r="S8" s="10">
        <v>1.0</v>
      </c>
      <c r="T8" s="10">
        <v>1.0</v>
      </c>
      <c r="U8" s="10">
        <f t="shared" si="5"/>
        <v>1.666666667</v>
      </c>
    </row>
    <row r="9">
      <c r="A9" s="26" t="s">
        <v>34</v>
      </c>
      <c r="B9" s="26" t="s">
        <v>43</v>
      </c>
      <c r="C9" s="10">
        <v>9.0</v>
      </c>
      <c r="D9" s="10">
        <v>2.0</v>
      </c>
      <c r="E9" s="10">
        <v>1.0</v>
      </c>
      <c r="F9" s="35"/>
      <c r="G9" s="35">
        <f t="shared" si="1"/>
        <v>0.1111111111</v>
      </c>
      <c r="H9" s="35"/>
      <c r="I9" s="35"/>
      <c r="J9" s="10"/>
      <c r="K9" s="10">
        <v>1.0</v>
      </c>
      <c r="L9" s="10"/>
      <c r="M9" s="10">
        <v>3.0</v>
      </c>
      <c r="N9" s="35">
        <f t="shared" si="2"/>
        <v>1</v>
      </c>
      <c r="O9" s="35">
        <f t="shared" si="3"/>
        <v>0.3333333333</v>
      </c>
      <c r="P9" s="10">
        <f t="shared" si="4"/>
        <v>1</v>
      </c>
      <c r="Q9" s="35"/>
      <c r="R9" s="10"/>
      <c r="S9" s="10"/>
      <c r="T9" s="10">
        <v>1.0</v>
      </c>
      <c r="U9" s="10">
        <f t="shared" si="5"/>
        <v>3</v>
      </c>
    </row>
    <row r="10">
      <c r="M10" s="52"/>
      <c r="N10" s="52"/>
      <c r="O10" s="52"/>
      <c r="P10" s="52"/>
      <c r="Q10" s="52"/>
      <c r="U10" s="52"/>
    </row>
    <row r="11">
      <c r="M11" s="52"/>
      <c r="N11" s="52"/>
      <c r="O11" s="52"/>
      <c r="P11" s="52"/>
      <c r="Q11" s="52"/>
      <c r="U11" s="52"/>
    </row>
    <row r="12">
      <c r="M12" s="52"/>
      <c r="N12" s="52"/>
      <c r="O12" s="52"/>
      <c r="P12" s="52"/>
      <c r="Q12" s="52"/>
      <c r="U12" s="52"/>
    </row>
    <row r="13">
      <c r="M13" s="52"/>
      <c r="N13" s="52"/>
      <c r="O13" s="52"/>
      <c r="P13" s="52"/>
      <c r="Q13" s="52"/>
      <c r="U13" s="52"/>
    </row>
    <row r="14">
      <c r="M14" s="52"/>
      <c r="N14" s="52"/>
      <c r="O14" s="52"/>
      <c r="P14" s="52"/>
      <c r="Q14" s="52"/>
      <c r="U14" s="52"/>
    </row>
    <row r="15">
      <c r="M15" s="52"/>
      <c r="N15" s="52"/>
      <c r="O15" s="52"/>
      <c r="P15" s="52"/>
      <c r="Q15" s="52"/>
      <c r="U15" s="52"/>
    </row>
    <row r="16">
      <c r="M16" s="52"/>
      <c r="N16" s="52"/>
      <c r="O16" s="52"/>
      <c r="P16" s="52"/>
      <c r="Q16" s="52"/>
      <c r="U16" s="52"/>
    </row>
    <row r="17">
      <c r="M17" s="52"/>
      <c r="N17" s="52"/>
      <c r="O17" s="52"/>
      <c r="P17" s="52"/>
      <c r="Q17" s="52"/>
      <c r="U17" s="52"/>
    </row>
    <row r="18">
      <c r="M18" s="52"/>
      <c r="N18" s="52"/>
      <c r="O18" s="52"/>
      <c r="P18" s="52"/>
      <c r="Q18" s="52"/>
      <c r="U18" s="52"/>
    </row>
    <row r="19">
      <c r="M19" s="52"/>
      <c r="N19" s="52"/>
      <c r="O19" s="52"/>
      <c r="P19" s="52"/>
      <c r="Q19" s="52"/>
      <c r="U19" s="52"/>
    </row>
    <row r="20">
      <c r="M20" s="52"/>
      <c r="N20" s="52"/>
      <c r="O20" s="52"/>
      <c r="P20" s="52"/>
      <c r="Q20" s="52"/>
      <c r="U20" s="52"/>
    </row>
    <row r="21">
      <c r="M21" s="52"/>
      <c r="N21" s="52"/>
      <c r="O21" s="52"/>
      <c r="P21" s="52"/>
      <c r="Q21" s="52"/>
      <c r="U21" s="52"/>
    </row>
    <row r="22">
      <c r="M22" s="52"/>
      <c r="N22" s="52"/>
      <c r="O22" s="52"/>
      <c r="P22" s="52"/>
      <c r="Q22" s="52"/>
      <c r="U22" s="52"/>
    </row>
    <row r="23">
      <c r="M23" s="52"/>
      <c r="N23" s="52"/>
      <c r="O23" s="52"/>
      <c r="P23" s="52"/>
      <c r="Q23" s="52"/>
      <c r="U23" s="52"/>
    </row>
    <row r="24">
      <c r="M24" s="52"/>
      <c r="N24" s="52"/>
      <c r="O24" s="52"/>
      <c r="P24" s="52"/>
      <c r="Q24" s="52"/>
      <c r="U24" s="52"/>
    </row>
    <row r="25">
      <c r="M25" s="52"/>
      <c r="N25" s="52"/>
      <c r="O25" s="52"/>
      <c r="P25" s="52"/>
      <c r="Q25" s="52"/>
      <c r="U25" s="52"/>
    </row>
    <row r="26">
      <c r="M26" s="52"/>
      <c r="N26" s="52"/>
      <c r="O26" s="52"/>
      <c r="P26" s="52"/>
      <c r="Q26" s="52"/>
      <c r="U26" s="52"/>
    </row>
    <row r="27">
      <c r="M27" s="52"/>
      <c r="N27" s="52"/>
      <c r="O27" s="52"/>
      <c r="P27" s="52"/>
      <c r="Q27" s="52"/>
      <c r="U27" s="52"/>
    </row>
    <row r="28">
      <c r="M28" s="52"/>
      <c r="N28" s="52"/>
      <c r="O28" s="52"/>
      <c r="P28" s="52"/>
      <c r="Q28" s="52"/>
      <c r="U28" s="52"/>
    </row>
    <row r="29">
      <c r="M29" s="52"/>
      <c r="N29" s="52"/>
      <c r="O29" s="52"/>
      <c r="P29" s="52"/>
      <c r="Q29" s="52"/>
      <c r="U29" s="52"/>
    </row>
    <row r="30">
      <c r="M30" s="52"/>
      <c r="N30" s="52"/>
      <c r="O30" s="52"/>
      <c r="P30" s="52"/>
      <c r="Q30" s="52"/>
      <c r="U30" s="52"/>
    </row>
    <row r="31">
      <c r="M31" s="52"/>
      <c r="N31" s="52"/>
      <c r="O31" s="52"/>
      <c r="P31" s="52"/>
      <c r="Q31" s="52"/>
      <c r="U31" s="52"/>
    </row>
    <row r="32">
      <c r="M32" s="52"/>
      <c r="N32" s="52"/>
      <c r="O32" s="52"/>
      <c r="P32" s="52"/>
      <c r="Q32" s="52"/>
      <c r="U32" s="52"/>
    </row>
    <row r="33">
      <c r="M33" s="52"/>
      <c r="N33" s="52"/>
      <c r="O33" s="52"/>
      <c r="P33" s="52"/>
      <c r="Q33" s="52"/>
      <c r="U33" s="52"/>
    </row>
    <row r="34">
      <c r="M34" s="52"/>
      <c r="N34" s="52"/>
      <c r="O34" s="52"/>
      <c r="P34" s="52"/>
      <c r="Q34" s="52"/>
      <c r="U34" s="52"/>
    </row>
    <row r="35">
      <c r="M35" s="52"/>
      <c r="N35" s="52"/>
      <c r="O35" s="52"/>
      <c r="P35" s="52"/>
      <c r="Q35" s="52"/>
      <c r="U35" s="52"/>
    </row>
    <row r="36">
      <c r="M36" s="52"/>
      <c r="N36" s="52"/>
      <c r="O36" s="52"/>
      <c r="P36" s="52"/>
      <c r="Q36" s="52"/>
      <c r="U36" s="52"/>
    </row>
    <row r="37">
      <c r="M37" s="52"/>
      <c r="N37" s="52"/>
      <c r="O37" s="52"/>
      <c r="P37" s="52"/>
      <c r="Q37" s="52"/>
      <c r="U37" s="52"/>
    </row>
    <row r="38">
      <c r="M38" s="52"/>
      <c r="N38" s="52"/>
      <c r="O38" s="52"/>
      <c r="P38" s="52"/>
      <c r="Q38" s="52"/>
      <c r="U38" s="52"/>
    </row>
    <row r="39">
      <c r="M39" s="52"/>
      <c r="N39" s="52"/>
      <c r="O39" s="52"/>
      <c r="P39" s="52"/>
      <c r="Q39" s="52"/>
      <c r="U39" s="52"/>
    </row>
    <row r="40">
      <c r="M40" s="52"/>
      <c r="N40" s="52"/>
      <c r="O40" s="52"/>
      <c r="P40" s="52"/>
      <c r="Q40" s="52"/>
      <c r="U40" s="52"/>
    </row>
    <row r="41">
      <c r="M41" s="52"/>
      <c r="N41" s="52"/>
      <c r="O41" s="52"/>
      <c r="P41" s="52"/>
      <c r="Q41" s="52"/>
      <c r="U41" s="52"/>
    </row>
    <row r="42">
      <c r="M42" s="52"/>
      <c r="N42" s="52"/>
      <c r="O42" s="52"/>
      <c r="P42" s="52"/>
      <c r="Q42" s="52"/>
      <c r="U42" s="52"/>
    </row>
    <row r="43">
      <c r="M43" s="52"/>
      <c r="N43" s="52"/>
      <c r="O43" s="52"/>
      <c r="P43" s="52"/>
      <c r="Q43" s="52"/>
      <c r="U43" s="52"/>
    </row>
    <row r="44">
      <c r="M44" s="52"/>
      <c r="N44" s="52"/>
      <c r="O44" s="52"/>
      <c r="P44" s="52"/>
      <c r="Q44" s="52"/>
      <c r="U44" s="52"/>
    </row>
    <row r="45">
      <c r="M45" s="52"/>
      <c r="N45" s="52"/>
      <c r="O45" s="52"/>
      <c r="P45" s="52"/>
      <c r="Q45" s="52"/>
      <c r="U45" s="52"/>
    </row>
    <row r="46">
      <c r="M46" s="52"/>
      <c r="N46" s="52"/>
      <c r="O46" s="52"/>
      <c r="P46" s="52"/>
      <c r="Q46" s="52"/>
      <c r="U46" s="52"/>
    </row>
    <row r="47">
      <c r="M47" s="52"/>
      <c r="N47" s="52"/>
      <c r="O47" s="52"/>
      <c r="P47" s="52"/>
      <c r="Q47" s="52"/>
      <c r="U47" s="52"/>
    </row>
    <row r="48">
      <c r="M48" s="52"/>
      <c r="N48" s="52"/>
      <c r="O48" s="52"/>
      <c r="P48" s="52"/>
      <c r="Q48" s="52"/>
      <c r="U48" s="52"/>
    </row>
    <row r="49">
      <c r="M49" s="52"/>
      <c r="N49" s="52"/>
      <c r="O49" s="52"/>
      <c r="P49" s="52"/>
      <c r="Q49" s="52"/>
      <c r="U49" s="52"/>
    </row>
    <row r="50">
      <c r="M50" s="52"/>
      <c r="N50" s="52"/>
      <c r="O50" s="52"/>
      <c r="P50" s="52"/>
      <c r="Q50" s="52"/>
      <c r="U50" s="52"/>
    </row>
    <row r="51">
      <c r="M51" s="52"/>
      <c r="N51" s="52"/>
      <c r="O51" s="52"/>
      <c r="P51" s="52"/>
      <c r="Q51" s="52"/>
      <c r="U51" s="52"/>
    </row>
    <row r="52">
      <c r="M52" s="52"/>
      <c r="N52" s="52"/>
      <c r="O52" s="52"/>
      <c r="P52" s="52"/>
      <c r="Q52" s="52"/>
      <c r="U52" s="52"/>
    </row>
    <row r="53">
      <c r="M53" s="52"/>
      <c r="N53" s="52"/>
      <c r="O53" s="52"/>
      <c r="P53" s="52"/>
      <c r="Q53" s="52"/>
      <c r="U53" s="52"/>
    </row>
    <row r="54">
      <c r="M54" s="52"/>
      <c r="N54" s="52"/>
      <c r="O54" s="52"/>
      <c r="P54" s="52"/>
      <c r="Q54" s="52"/>
      <c r="U54" s="52"/>
    </row>
    <row r="55">
      <c r="M55" s="52"/>
      <c r="N55" s="52"/>
      <c r="O55" s="52"/>
      <c r="P55" s="52"/>
      <c r="Q55" s="52"/>
      <c r="U55" s="52"/>
    </row>
    <row r="56">
      <c r="M56" s="52"/>
      <c r="N56" s="52"/>
      <c r="O56" s="52"/>
      <c r="P56" s="52"/>
      <c r="Q56" s="52"/>
      <c r="U56" s="52"/>
    </row>
    <row r="57">
      <c r="M57" s="52"/>
      <c r="N57" s="52"/>
      <c r="O57" s="52"/>
      <c r="P57" s="52"/>
      <c r="Q57" s="52"/>
      <c r="U57" s="52"/>
    </row>
    <row r="58">
      <c r="M58" s="52"/>
      <c r="N58" s="52"/>
      <c r="O58" s="52"/>
      <c r="P58" s="52"/>
      <c r="Q58" s="52"/>
      <c r="U58" s="52"/>
    </row>
    <row r="59">
      <c r="M59" s="52"/>
      <c r="N59" s="52"/>
      <c r="O59" s="52"/>
      <c r="P59" s="52"/>
      <c r="Q59" s="52"/>
      <c r="U59" s="52"/>
    </row>
    <row r="60">
      <c r="M60" s="52"/>
      <c r="N60" s="52"/>
      <c r="O60" s="52"/>
      <c r="P60" s="52"/>
      <c r="Q60" s="52"/>
      <c r="U60" s="52"/>
    </row>
    <row r="61">
      <c r="M61" s="52"/>
      <c r="N61" s="52"/>
      <c r="O61" s="52"/>
      <c r="P61" s="52"/>
      <c r="Q61" s="52"/>
      <c r="U61" s="52"/>
    </row>
    <row r="62">
      <c r="M62" s="52"/>
      <c r="N62" s="52"/>
      <c r="O62" s="52"/>
      <c r="P62" s="52"/>
      <c r="Q62" s="52"/>
      <c r="U62" s="52"/>
    </row>
    <row r="63">
      <c r="M63" s="52"/>
      <c r="N63" s="52"/>
      <c r="O63" s="52"/>
      <c r="P63" s="52"/>
      <c r="Q63" s="52"/>
      <c r="U63" s="52"/>
    </row>
    <row r="64">
      <c r="M64" s="52"/>
      <c r="N64" s="52"/>
      <c r="O64" s="52"/>
      <c r="P64" s="52"/>
      <c r="Q64" s="52"/>
      <c r="U64" s="52"/>
    </row>
    <row r="65">
      <c r="M65" s="52"/>
      <c r="N65" s="52"/>
      <c r="O65" s="52"/>
      <c r="P65" s="52"/>
      <c r="Q65" s="52"/>
      <c r="U65" s="52"/>
    </row>
    <row r="66">
      <c r="M66" s="52"/>
      <c r="N66" s="52"/>
      <c r="O66" s="52"/>
      <c r="P66" s="52"/>
      <c r="Q66" s="52"/>
      <c r="U66" s="52"/>
    </row>
    <row r="67">
      <c r="M67" s="52"/>
      <c r="N67" s="52"/>
      <c r="O67" s="52"/>
      <c r="P67" s="52"/>
      <c r="Q67" s="52"/>
      <c r="U67" s="52"/>
    </row>
    <row r="68">
      <c r="M68" s="52"/>
      <c r="N68" s="52"/>
      <c r="O68" s="52"/>
      <c r="P68" s="52"/>
      <c r="Q68" s="52"/>
      <c r="U68" s="52"/>
    </row>
    <row r="69">
      <c r="M69" s="52"/>
      <c r="N69" s="52"/>
      <c r="O69" s="52"/>
      <c r="P69" s="52"/>
      <c r="Q69" s="52"/>
      <c r="U69" s="52"/>
    </row>
    <row r="70">
      <c r="M70" s="52"/>
      <c r="N70" s="52"/>
      <c r="O70" s="52"/>
      <c r="P70" s="52"/>
      <c r="Q70" s="52"/>
      <c r="U70" s="52"/>
    </row>
    <row r="71">
      <c r="M71" s="52"/>
      <c r="N71" s="52"/>
      <c r="O71" s="52"/>
      <c r="P71" s="52"/>
      <c r="Q71" s="52"/>
      <c r="U71" s="52"/>
    </row>
    <row r="72">
      <c r="M72" s="52"/>
      <c r="N72" s="52"/>
      <c r="O72" s="52"/>
      <c r="P72" s="52"/>
      <c r="Q72" s="52"/>
      <c r="U72" s="52"/>
    </row>
    <row r="73">
      <c r="M73" s="52"/>
      <c r="N73" s="52"/>
      <c r="O73" s="52"/>
      <c r="P73" s="52"/>
      <c r="Q73" s="52"/>
      <c r="U73" s="52"/>
    </row>
    <row r="74">
      <c r="M74" s="52"/>
      <c r="N74" s="52"/>
      <c r="O74" s="52"/>
      <c r="P74" s="52"/>
      <c r="Q74" s="52"/>
      <c r="U74" s="52"/>
    </row>
    <row r="75">
      <c r="M75" s="52"/>
      <c r="N75" s="52"/>
      <c r="O75" s="52"/>
      <c r="P75" s="52"/>
      <c r="Q75" s="52"/>
      <c r="U75" s="52"/>
    </row>
    <row r="76">
      <c r="M76" s="52"/>
      <c r="N76" s="52"/>
      <c r="O76" s="52"/>
      <c r="P76" s="52"/>
      <c r="Q76" s="52"/>
      <c r="U76" s="52"/>
    </row>
    <row r="77">
      <c r="M77" s="52"/>
      <c r="N77" s="52"/>
      <c r="O77" s="52"/>
      <c r="P77" s="52"/>
      <c r="Q77" s="52"/>
      <c r="U77" s="52"/>
    </row>
    <row r="78">
      <c r="M78" s="52"/>
      <c r="N78" s="52"/>
      <c r="O78" s="52"/>
      <c r="P78" s="52"/>
      <c r="Q78" s="52"/>
      <c r="U78" s="52"/>
    </row>
    <row r="79">
      <c r="M79" s="52"/>
      <c r="N79" s="52"/>
      <c r="O79" s="52"/>
      <c r="P79" s="52"/>
      <c r="Q79" s="52"/>
      <c r="U79" s="52"/>
    </row>
    <row r="80">
      <c r="M80" s="52"/>
      <c r="N80" s="52"/>
      <c r="O80" s="52"/>
      <c r="P80" s="52"/>
      <c r="Q80" s="52"/>
      <c r="U80" s="52"/>
    </row>
    <row r="81">
      <c r="M81" s="52"/>
      <c r="N81" s="52"/>
      <c r="O81" s="52"/>
      <c r="P81" s="52"/>
      <c r="Q81" s="52"/>
      <c r="U81" s="52"/>
    </row>
    <row r="82">
      <c r="M82" s="52"/>
      <c r="N82" s="52"/>
      <c r="O82" s="52"/>
      <c r="P82" s="52"/>
      <c r="Q82" s="52"/>
      <c r="U82" s="52"/>
    </row>
    <row r="83">
      <c r="M83" s="52"/>
      <c r="N83" s="52"/>
      <c r="O83" s="52"/>
      <c r="P83" s="52"/>
      <c r="Q83" s="52"/>
      <c r="U83" s="52"/>
    </row>
    <row r="84">
      <c r="M84" s="52"/>
      <c r="N84" s="52"/>
      <c r="O84" s="52"/>
      <c r="P84" s="52"/>
      <c r="Q84" s="52"/>
      <c r="U84" s="52"/>
    </row>
    <row r="85">
      <c r="M85" s="52"/>
      <c r="N85" s="52"/>
      <c r="O85" s="52"/>
      <c r="P85" s="52"/>
      <c r="Q85" s="52"/>
      <c r="U85" s="52"/>
    </row>
    <row r="86">
      <c r="M86" s="52"/>
      <c r="N86" s="52"/>
      <c r="O86" s="52"/>
      <c r="P86" s="52"/>
      <c r="Q86" s="52"/>
      <c r="U86" s="52"/>
    </row>
    <row r="87">
      <c r="M87" s="52"/>
      <c r="N87" s="52"/>
      <c r="O87" s="52"/>
      <c r="P87" s="52"/>
      <c r="Q87" s="52"/>
      <c r="U87" s="52"/>
    </row>
    <row r="88">
      <c r="M88" s="52"/>
      <c r="N88" s="52"/>
      <c r="O88" s="52"/>
      <c r="P88" s="52"/>
      <c r="Q88" s="52"/>
      <c r="U88" s="52"/>
    </row>
    <row r="89">
      <c r="M89" s="52"/>
      <c r="N89" s="52"/>
      <c r="O89" s="52"/>
      <c r="P89" s="52"/>
      <c r="Q89" s="52"/>
      <c r="U89" s="52"/>
    </row>
    <row r="90">
      <c r="M90" s="52"/>
      <c r="N90" s="52"/>
      <c r="O90" s="52"/>
      <c r="P90" s="52"/>
      <c r="Q90" s="52"/>
      <c r="U90" s="52"/>
    </row>
    <row r="91">
      <c r="M91" s="52"/>
      <c r="N91" s="52"/>
      <c r="O91" s="52"/>
      <c r="P91" s="52"/>
      <c r="Q91" s="52"/>
      <c r="U91" s="52"/>
    </row>
    <row r="92">
      <c r="M92" s="52"/>
      <c r="N92" s="52"/>
      <c r="O92" s="52"/>
      <c r="P92" s="52"/>
      <c r="Q92" s="52"/>
      <c r="U92" s="52"/>
    </row>
    <row r="93">
      <c r="M93" s="52"/>
      <c r="N93" s="52"/>
      <c r="O93" s="52"/>
      <c r="P93" s="52"/>
      <c r="Q93" s="52"/>
      <c r="U93" s="52"/>
    </row>
    <row r="94">
      <c r="M94" s="52"/>
      <c r="N94" s="52"/>
      <c r="O94" s="52"/>
      <c r="P94" s="52"/>
      <c r="Q94" s="52"/>
      <c r="U94" s="52"/>
    </row>
    <row r="95">
      <c r="M95" s="52"/>
      <c r="N95" s="52"/>
      <c r="O95" s="52"/>
      <c r="P95" s="52"/>
      <c r="Q95" s="52"/>
      <c r="U95" s="52"/>
    </row>
    <row r="96">
      <c r="M96" s="52"/>
      <c r="N96" s="52"/>
      <c r="O96" s="52"/>
      <c r="P96" s="52"/>
      <c r="Q96" s="52"/>
      <c r="U96" s="52"/>
    </row>
    <row r="97">
      <c r="M97" s="52"/>
      <c r="N97" s="52"/>
      <c r="O97" s="52"/>
      <c r="P97" s="52"/>
      <c r="Q97" s="52"/>
      <c r="U97" s="52"/>
    </row>
    <row r="98">
      <c r="M98" s="52"/>
      <c r="N98" s="52"/>
      <c r="O98" s="52"/>
      <c r="P98" s="52"/>
      <c r="Q98" s="52"/>
      <c r="U98" s="52"/>
    </row>
    <row r="99">
      <c r="M99" s="52"/>
      <c r="N99" s="52"/>
      <c r="O99" s="52"/>
      <c r="P99" s="52"/>
      <c r="Q99" s="52"/>
      <c r="U99" s="52"/>
    </row>
    <row r="100">
      <c r="M100" s="52"/>
      <c r="N100" s="52"/>
      <c r="O100" s="52"/>
      <c r="P100" s="52"/>
      <c r="Q100" s="52"/>
      <c r="U100" s="52"/>
    </row>
    <row r="101">
      <c r="M101" s="52"/>
      <c r="N101" s="52"/>
      <c r="O101" s="52"/>
      <c r="P101" s="52"/>
      <c r="Q101" s="52"/>
      <c r="U101" s="52"/>
    </row>
    <row r="102">
      <c r="M102" s="52"/>
      <c r="N102" s="52"/>
      <c r="O102" s="52"/>
      <c r="P102" s="52"/>
      <c r="Q102" s="52"/>
      <c r="U102" s="52"/>
    </row>
    <row r="103">
      <c r="M103" s="52"/>
      <c r="N103" s="52"/>
      <c r="O103" s="52"/>
      <c r="P103" s="52"/>
      <c r="Q103" s="52"/>
      <c r="U103" s="52"/>
    </row>
    <row r="104">
      <c r="M104" s="52"/>
      <c r="N104" s="52"/>
      <c r="O104" s="52"/>
      <c r="P104" s="52"/>
      <c r="Q104" s="52"/>
      <c r="U104" s="52"/>
    </row>
    <row r="105">
      <c r="M105" s="52"/>
      <c r="N105" s="52"/>
      <c r="O105" s="52"/>
      <c r="P105" s="52"/>
      <c r="Q105" s="52"/>
      <c r="U105" s="52"/>
    </row>
    <row r="106">
      <c r="M106" s="52"/>
      <c r="N106" s="52"/>
      <c r="O106" s="52"/>
      <c r="P106" s="52"/>
      <c r="Q106" s="52"/>
      <c r="U106" s="52"/>
    </row>
    <row r="107">
      <c r="M107" s="52"/>
      <c r="N107" s="52"/>
      <c r="O107" s="52"/>
      <c r="P107" s="52"/>
      <c r="Q107" s="52"/>
      <c r="U107" s="52"/>
    </row>
    <row r="108">
      <c r="M108" s="52"/>
      <c r="N108" s="52"/>
      <c r="O108" s="52"/>
      <c r="P108" s="52"/>
      <c r="Q108" s="52"/>
      <c r="U108" s="52"/>
    </row>
    <row r="109">
      <c r="M109" s="52"/>
      <c r="N109" s="52"/>
      <c r="O109" s="52"/>
      <c r="P109" s="52"/>
      <c r="Q109" s="52"/>
      <c r="U109" s="52"/>
    </row>
    <row r="110">
      <c r="M110" s="52"/>
      <c r="N110" s="52"/>
      <c r="O110" s="52"/>
      <c r="P110" s="52"/>
      <c r="Q110" s="52"/>
      <c r="U110" s="52"/>
    </row>
    <row r="111">
      <c r="M111" s="52"/>
      <c r="N111" s="52"/>
      <c r="O111" s="52"/>
      <c r="P111" s="52"/>
      <c r="Q111" s="52"/>
      <c r="U111" s="52"/>
    </row>
    <row r="112">
      <c r="M112" s="52"/>
      <c r="N112" s="52"/>
      <c r="O112" s="52"/>
      <c r="P112" s="52"/>
      <c r="Q112" s="52"/>
      <c r="U112" s="52"/>
    </row>
    <row r="113">
      <c r="M113" s="52"/>
      <c r="N113" s="52"/>
      <c r="O113" s="52"/>
      <c r="P113" s="52"/>
      <c r="Q113" s="52"/>
      <c r="U113" s="52"/>
    </row>
    <row r="114">
      <c r="M114" s="52"/>
      <c r="N114" s="52"/>
      <c r="O114" s="52"/>
      <c r="P114" s="52"/>
      <c r="Q114" s="52"/>
      <c r="U114" s="52"/>
    </row>
    <row r="115">
      <c r="M115" s="52"/>
      <c r="N115" s="52"/>
      <c r="O115" s="52"/>
      <c r="P115" s="52"/>
      <c r="Q115" s="52"/>
      <c r="U115" s="52"/>
    </row>
    <row r="116">
      <c r="M116" s="52"/>
      <c r="N116" s="52"/>
      <c r="O116" s="52"/>
      <c r="P116" s="52"/>
      <c r="Q116" s="52"/>
      <c r="U116" s="52"/>
    </row>
    <row r="117">
      <c r="M117" s="52"/>
      <c r="N117" s="52"/>
      <c r="O117" s="52"/>
      <c r="P117" s="52"/>
      <c r="Q117" s="52"/>
      <c r="U117" s="52"/>
    </row>
    <row r="118">
      <c r="M118" s="52"/>
      <c r="N118" s="52"/>
      <c r="O118" s="52"/>
      <c r="P118" s="52"/>
      <c r="Q118" s="52"/>
      <c r="U118" s="52"/>
    </row>
    <row r="119">
      <c r="M119" s="52"/>
      <c r="N119" s="52"/>
      <c r="O119" s="52"/>
      <c r="P119" s="52"/>
      <c r="Q119" s="52"/>
      <c r="U119" s="52"/>
    </row>
    <row r="120">
      <c r="M120" s="52"/>
      <c r="N120" s="52"/>
      <c r="O120" s="52"/>
      <c r="P120" s="52"/>
      <c r="Q120" s="52"/>
      <c r="U120" s="52"/>
    </row>
    <row r="121">
      <c r="M121" s="52"/>
      <c r="N121" s="52"/>
      <c r="O121" s="52"/>
      <c r="P121" s="52"/>
      <c r="Q121" s="52"/>
      <c r="U121" s="52"/>
    </row>
    <row r="122">
      <c r="M122" s="52"/>
      <c r="N122" s="52"/>
      <c r="O122" s="52"/>
      <c r="P122" s="52"/>
      <c r="Q122" s="52"/>
      <c r="U122" s="52"/>
    </row>
    <row r="123">
      <c r="M123" s="52"/>
      <c r="N123" s="52"/>
      <c r="O123" s="52"/>
      <c r="P123" s="52"/>
      <c r="Q123" s="52"/>
      <c r="U123" s="52"/>
    </row>
    <row r="124">
      <c r="M124" s="52"/>
      <c r="N124" s="52"/>
      <c r="O124" s="52"/>
      <c r="P124" s="52"/>
      <c r="Q124" s="52"/>
      <c r="U124" s="52"/>
    </row>
    <row r="125">
      <c r="M125" s="52"/>
      <c r="N125" s="52"/>
      <c r="O125" s="52"/>
      <c r="P125" s="52"/>
      <c r="Q125" s="52"/>
      <c r="U125" s="52"/>
    </row>
    <row r="126">
      <c r="M126" s="52"/>
      <c r="N126" s="52"/>
      <c r="O126" s="52"/>
      <c r="P126" s="52"/>
      <c r="Q126" s="52"/>
      <c r="U126" s="52"/>
    </row>
    <row r="127">
      <c r="M127" s="52"/>
      <c r="N127" s="52"/>
      <c r="O127" s="52"/>
      <c r="P127" s="52"/>
      <c r="Q127" s="52"/>
      <c r="U127" s="52"/>
    </row>
    <row r="128">
      <c r="M128" s="52"/>
      <c r="N128" s="52"/>
      <c r="O128" s="52"/>
      <c r="P128" s="52"/>
      <c r="Q128" s="52"/>
      <c r="U128" s="52"/>
    </row>
    <row r="129">
      <c r="M129" s="52"/>
      <c r="N129" s="52"/>
      <c r="O129" s="52"/>
      <c r="P129" s="52"/>
      <c r="Q129" s="52"/>
      <c r="U129" s="52"/>
    </row>
    <row r="130">
      <c r="M130" s="52"/>
      <c r="N130" s="52"/>
      <c r="O130" s="52"/>
      <c r="P130" s="52"/>
      <c r="Q130" s="52"/>
      <c r="U130" s="52"/>
    </row>
    <row r="131">
      <c r="M131" s="52"/>
      <c r="N131" s="52"/>
      <c r="O131" s="52"/>
      <c r="P131" s="52"/>
      <c r="Q131" s="52"/>
      <c r="U131" s="52"/>
    </row>
    <row r="132">
      <c r="M132" s="52"/>
      <c r="N132" s="52"/>
      <c r="O132" s="52"/>
      <c r="P132" s="52"/>
      <c r="Q132" s="52"/>
      <c r="U132" s="52"/>
    </row>
    <row r="133">
      <c r="M133" s="52"/>
      <c r="N133" s="52"/>
      <c r="O133" s="52"/>
      <c r="P133" s="52"/>
      <c r="Q133" s="52"/>
      <c r="U133" s="52"/>
    </row>
    <row r="134">
      <c r="M134" s="52"/>
      <c r="N134" s="52"/>
      <c r="O134" s="52"/>
      <c r="P134" s="52"/>
      <c r="Q134" s="52"/>
      <c r="U134" s="52"/>
    </row>
    <row r="135">
      <c r="M135" s="52"/>
      <c r="N135" s="52"/>
      <c r="O135" s="52"/>
      <c r="P135" s="52"/>
      <c r="Q135" s="52"/>
      <c r="U135" s="52"/>
    </row>
    <row r="136">
      <c r="M136" s="52"/>
      <c r="N136" s="52"/>
      <c r="O136" s="52"/>
      <c r="P136" s="52"/>
      <c r="Q136" s="52"/>
      <c r="U136" s="52"/>
    </row>
    <row r="137">
      <c r="M137" s="52"/>
      <c r="N137" s="52"/>
      <c r="O137" s="52"/>
      <c r="P137" s="52"/>
      <c r="Q137" s="52"/>
      <c r="U137" s="52"/>
    </row>
    <row r="138">
      <c r="M138" s="52"/>
      <c r="N138" s="52"/>
      <c r="O138" s="52"/>
      <c r="P138" s="52"/>
      <c r="Q138" s="52"/>
      <c r="U138" s="52"/>
    </row>
    <row r="139">
      <c r="M139" s="52"/>
      <c r="N139" s="52"/>
      <c r="O139" s="52"/>
      <c r="P139" s="52"/>
      <c r="Q139" s="52"/>
      <c r="U139" s="52"/>
    </row>
    <row r="140">
      <c r="M140" s="52"/>
      <c r="N140" s="52"/>
      <c r="O140" s="52"/>
      <c r="P140" s="52"/>
      <c r="Q140" s="52"/>
      <c r="U140" s="52"/>
    </row>
    <row r="141">
      <c r="M141" s="52"/>
      <c r="N141" s="52"/>
      <c r="O141" s="52"/>
      <c r="P141" s="52"/>
      <c r="Q141" s="52"/>
      <c r="U141" s="52"/>
    </row>
    <row r="142">
      <c r="M142" s="52"/>
      <c r="N142" s="52"/>
      <c r="O142" s="52"/>
      <c r="P142" s="52"/>
      <c r="Q142" s="52"/>
      <c r="U142" s="52"/>
    </row>
    <row r="143">
      <c r="M143" s="52"/>
      <c r="N143" s="52"/>
      <c r="O143" s="52"/>
      <c r="P143" s="52"/>
      <c r="Q143" s="52"/>
      <c r="U143" s="52"/>
    </row>
    <row r="144">
      <c r="M144" s="52"/>
      <c r="N144" s="52"/>
      <c r="O144" s="52"/>
      <c r="P144" s="52"/>
      <c r="Q144" s="52"/>
      <c r="U144" s="52"/>
    </row>
    <row r="145">
      <c r="M145" s="52"/>
      <c r="N145" s="52"/>
      <c r="O145" s="52"/>
      <c r="P145" s="52"/>
      <c r="Q145" s="52"/>
      <c r="U145" s="52"/>
    </row>
    <row r="146">
      <c r="M146" s="52"/>
      <c r="N146" s="52"/>
      <c r="O146" s="52"/>
      <c r="P146" s="52"/>
      <c r="Q146" s="52"/>
      <c r="U146" s="52"/>
    </row>
    <row r="147">
      <c r="M147" s="52"/>
      <c r="N147" s="52"/>
      <c r="O147" s="52"/>
      <c r="P147" s="52"/>
      <c r="Q147" s="52"/>
      <c r="U147" s="52"/>
    </row>
    <row r="148">
      <c r="M148" s="52"/>
      <c r="N148" s="52"/>
      <c r="O148" s="52"/>
      <c r="P148" s="52"/>
      <c r="Q148" s="52"/>
      <c r="U148" s="52"/>
    </row>
    <row r="149">
      <c r="M149" s="52"/>
      <c r="N149" s="52"/>
      <c r="O149" s="52"/>
      <c r="P149" s="52"/>
      <c r="Q149" s="52"/>
      <c r="U149" s="52"/>
    </row>
    <row r="150">
      <c r="M150" s="52"/>
      <c r="N150" s="52"/>
      <c r="O150" s="52"/>
      <c r="P150" s="52"/>
      <c r="Q150" s="52"/>
      <c r="U150" s="52"/>
    </row>
    <row r="151">
      <c r="M151" s="52"/>
      <c r="N151" s="52"/>
      <c r="O151" s="52"/>
      <c r="P151" s="52"/>
      <c r="Q151" s="52"/>
      <c r="U151" s="52"/>
    </row>
    <row r="152">
      <c r="M152" s="52"/>
      <c r="N152" s="52"/>
      <c r="O152" s="52"/>
      <c r="P152" s="52"/>
      <c r="Q152" s="52"/>
      <c r="U152" s="52"/>
    </row>
    <row r="153">
      <c r="M153" s="52"/>
      <c r="N153" s="52"/>
      <c r="O153" s="52"/>
      <c r="P153" s="52"/>
      <c r="Q153" s="52"/>
      <c r="U153" s="52"/>
    </row>
    <row r="154">
      <c r="M154" s="52"/>
      <c r="N154" s="52"/>
      <c r="O154" s="52"/>
      <c r="P154" s="52"/>
      <c r="Q154" s="52"/>
      <c r="U154" s="52"/>
    </row>
    <row r="155">
      <c r="M155" s="52"/>
      <c r="N155" s="52"/>
      <c r="O155" s="52"/>
      <c r="P155" s="52"/>
      <c r="Q155" s="52"/>
      <c r="U155" s="52"/>
    </row>
    <row r="156">
      <c r="M156" s="52"/>
      <c r="N156" s="52"/>
      <c r="O156" s="52"/>
      <c r="P156" s="52"/>
      <c r="Q156" s="52"/>
      <c r="U156" s="52"/>
    </row>
    <row r="157">
      <c r="M157" s="52"/>
      <c r="N157" s="52"/>
      <c r="O157" s="52"/>
      <c r="P157" s="52"/>
      <c r="Q157" s="52"/>
      <c r="U157" s="52"/>
    </row>
    <row r="158">
      <c r="M158" s="52"/>
      <c r="N158" s="52"/>
      <c r="O158" s="52"/>
      <c r="P158" s="52"/>
      <c r="Q158" s="52"/>
      <c r="U158" s="52"/>
    </row>
    <row r="159">
      <c r="M159" s="52"/>
      <c r="N159" s="52"/>
      <c r="O159" s="52"/>
      <c r="P159" s="52"/>
      <c r="Q159" s="52"/>
      <c r="U159" s="52"/>
    </row>
    <row r="160">
      <c r="M160" s="52"/>
      <c r="N160" s="52"/>
      <c r="O160" s="52"/>
      <c r="P160" s="52"/>
      <c r="Q160" s="52"/>
      <c r="U160" s="52"/>
    </row>
    <row r="161">
      <c r="M161" s="52"/>
      <c r="N161" s="52"/>
      <c r="O161" s="52"/>
      <c r="P161" s="52"/>
      <c r="Q161" s="52"/>
      <c r="U161" s="52"/>
    </row>
    <row r="162">
      <c r="M162" s="52"/>
      <c r="N162" s="52"/>
      <c r="O162" s="52"/>
      <c r="P162" s="52"/>
      <c r="Q162" s="52"/>
      <c r="U162" s="52"/>
    </row>
    <row r="163">
      <c r="M163" s="52"/>
      <c r="N163" s="52"/>
      <c r="O163" s="52"/>
      <c r="P163" s="52"/>
      <c r="Q163" s="52"/>
      <c r="U163" s="52"/>
    </row>
    <row r="164">
      <c r="M164" s="52"/>
      <c r="N164" s="52"/>
      <c r="O164" s="52"/>
      <c r="P164" s="52"/>
      <c r="Q164" s="52"/>
      <c r="U164" s="52"/>
    </row>
    <row r="165">
      <c r="M165" s="52"/>
      <c r="N165" s="52"/>
      <c r="O165" s="52"/>
      <c r="P165" s="52"/>
      <c r="Q165" s="52"/>
      <c r="U165" s="52"/>
    </row>
    <row r="166">
      <c r="M166" s="52"/>
      <c r="N166" s="52"/>
      <c r="O166" s="52"/>
      <c r="P166" s="52"/>
      <c r="Q166" s="52"/>
      <c r="U166" s="52"/>
    </row>
    <row r="167">
      <c r="M167" s="52"/>
      <c r="N167" s="52"/>
      <c r="O167" s="52"/>
      <c r="P167" s="52"/>
      <c r="Q167" s="52"/>
      <c r="U167" s="52"/>
    </row>
    <row r="168">
      <c r="M168" s="52"/>
      <c r="N168" s="52"/>
      <c r="O168" s="52"/>
      <c r="P168" s="52"/>
      <c r="Q168" s="52"/>
      <c r="U168" s="52"/>
    </row>
    <row r="169">
      <c r="M169" s="52"/>
      <c r="N169" s="52"/>
      <c r="O169" s="52"/>
      <c r="P169" s="52"/>
      <c r="Q169" s="52"/>
      <c r="U169" s="52"/>
    </row>
    <row r="170">
      <c r="M170" s="52"/>
      <c r="N170" s="52"/>
      <c r="O170" s="52"/>
      <c r="P170" s="52"/>
      <c r="Q170" s="52"/>
      <c r="U170" s="52"/>
    </row>
    <row r="171">
      <c r="M171" s="52"/>
      <c r="N171" s="52"/>
      <c r="O171" s="52"/>
      <c r="P171" s="52"/>
      <c r="Q171" s="52"/>
      <c r="U171" s="52"/>
    </row>
    <row r="172">
      <c r="M172" s="52"/>
      <c r="N172" s="52"/>
      <c r="O172" s="52"/>
      <c r="P172" s="52"/>
      <c r="Q172" s="52"/>
      <c r="U172" s="52"/>
    </row>
    <row r="173">
      <c r="M173" s="52"/>
      <c r="N173" s="52"/>
      <c r="O173" s="52"/>
      <c r="P173" s="52"/>
      <c r="Q173" s="52"/>
      <c r="U173" s="52"/>
    </row>
    <row r="174">
      <c r="M174" s="52"/>
      <c r="N174" s="52"/>
      <c r="O174" s="52"/>
      <c r="P174" s="52"/>
      <c r="Q174" s="52"/>
      <c r="U174" s="52"/>
    </row>
    <row r="175">
      <c r="M175" s="52"/>
      <c r="N175" s="52"/>
      <c r="O175" s="52"/>
      <c r="P175" s="52"/>
      <c r="Q175" s="52"/>
      <c r="U175" s="52"/>
    </row>
    <row r="176">
      <c r="M176" s="52"/>
      <c r="N176" s="52"/>
      <c r="O176" s="52"/>
      <c r="P176" s="52"/>
      <c r="Q176" s="52"/>
      <c r="U176" s="52"/>
    </row>
    <row r="177">
      <c r="M177" s="52"/>
      <c r="N177" s="52"/>
      <c r="O177" s="52"/>
      <c r="P177" s="52"/>
      <c r="Q177" s="52"/>
      <c r="U177" s="52"/>
    </row>
    <row r="178">
      <c r="M178" s="52"/>
      <c r="N178" s="52"/>
      <c r="O178" s="52"/>
      <c r="P178" s="52"/>
      <c r="Q178" s="52"/>
      <c r="U178" s="52"/>
    </row>
    <row r="179">
      <c r="M179" s="52"/>
      <c r="N179" s="52"/>
      <c r="O179" s="52"/>
      <c r="P179" s="52"/>
      <c r="Q179" s="52"/>
      <c r="U179" s="52"/>
    </row>
    <row r="180">
      <c r="M180" s="52"/>
      <c r="N180" s="52"/>
      <c r="O180" s="52"/>
      <c r="P180" s="52"/>
      <c r="Q180" s="52"/>
      <c r="U180" s="52"/>
    </row>
    <row r="181">
      <c r="M181" s="52"/>
      <c r="N181" s="52"/>
      <c r="O181" s="52"/>
      <c r="P181" s="52"/>
      <c r="Q181" s="52"/>
      <c r="U181" s="52"/>
    </row>
    <row r="182">
      <c r="M182" s="52"/>
      <c r="N182" s="52"/>
      <c r="O182" s="52"/>
      <c r="P182" s="52"/>
      <c r="Q182" s="52"/>
      <c r="U182" s="52"/>
    </row>
    <row r="183">
      <c r="M183" s="52"/>
      <c r="N183" s="52"/>
      <c r="O183" s="52"/>
      <c r="P183" s="52"/>
      <c r="Q183" s="52"/>
      <c r="U183" s="52"/>
    </row>
    <row r="184">
      <c r="M184" s="52"/>
      <c r="N184" s="52"/>
      <c r="O184" s="52"/>
      <c r="P184" s="52"/>
      <c r="Q184" s="52"/>
      <c r="U184" s="52"/>
    </row>
    <row r="185">
      <c r="M185" s="52"/>
      <c r="N185" s="52"/>
      <c r="O185" s="52"/>
      <c r="P185" s="52"/>
      <c r="Q185" s="52"/>
      <c r="U185" s="52"/>
    </row>
    <row r="186">
      <c r="M186" s="52"/>
      <c r="N186" s="52"/>
      <c r="O186" s="52"/>
      <c r="P186" s="52"/>
      <c r="Q186" s="52"/>
      <c r="U186" s="52"/>
    </row>
    <row r="187">
      <c r="M187" s="52"/>
      <c r="N187" s="52"/>
      <c r="O187" s="52"/>
      <c r="P187" s="52"/>
      <c r="Q187" s="52"/>
      <c r="U187" s="52"/>
    </row>
    <row r="188">
      <c r="M188" s="52"/>
      <c r="N188" s="52"/>
      <c r="O188" s="52"/>
      <c r="P188" s="52"/>
      <c r="Q188" s="52"/>
      <c r="U188" s="52"/>
    </row>
    <row r="189">
      <c r="M189" s="52"/>
      <c r="N189" s="52"/>
      <c r="O189" s="52"/>
      <c r="P189" s="52"/>
      <c r="Q189" s="52"/>
      <c r="U189" s="52"/>
    </row>
    <row r="190">
      <c r="M190" s="52"/>
      <c r="N190" s="52"/>
      <c r="O190" s="52"/>
      <c r="P190" s="52"/>
      <c r="Q190" s="52"/>
      <c r="U190" s="52"/>
    </row>
    <row r="191">
      <c r="M191" s="52"/>
      <c r="N191" s="52"/>
      <c r="O191" s="52"/>
      <c r="P191" s="52"/>
      <c r="Q191" s="52"/>
      <c r="U191" s="52"/>
    </row>
    <row r="192">
      <c r="M192" s="52"/>
      <c r="N192" s="52"/>
      <c r="O192" s="52"/>
      <c r="P192" s="52"/>
      <c r="Q192" s="52"/>
      <c r="U192" s="52"/>
    </row>
    <row r="193">
      <c r="M193" s="52"/>
      <c r="N193" s="52"/>
      <c r="O193" s="52"/>
      <c r="P193" s="52"/>
      <c r="Q193" s="52"/>
      <c r="U193" s="52"/>
    </row>
    <row r="194">
      <c r="M194" s="52"/>
      <c r="N194" s="52"/>
      <c r="O194" s="52"/>
      <c r="P194" s="52"/>
      <c r="Q194" s="52"/>
      <c r="U194" s="52"/>
    </row>
    <row r="195">
      <c r="M195" s="52"/>
      <c r="N195" s="52"/>
      <c r="O195" s="52"/>
      <c r="P195" s="52"/>
      <c r="Q195" s="52"/>
      <c r="U195" s="52"/>
    </row>
    <row r="196">
      <c r="M196" s="52"/>
      <c r="N196" s="52"/>
      <c r="O196" s="52"/>
      <c r="P196" s="52"/>
      <c r="Q196" s="52"/>
      <c r="U196" s="52"/>
    </row>
    <row r="197">
      <c r="M197" s="52"/>
      <c r="N197" s="52"/>
      <c r="O197" s="52"/>
      <c r="P197" s="52"/>
      <c r="Q197" s="52"/>
      <c r="U197" s="52"/>
    </row>
    <row r="198">
      <c r="M198" s="52"/>
      <c r="N198" s="52"/>
      <c r="O198" s="52"/>
      <c r="P198" s="52"/>
      <c r="Q198" s="52"/>
      <c r="U198" s="52"/>
    </row>
    <row r="199">
      <c r="M199" s="52"/>
      <c r="N199" s="52"/>
      <c r="O199" s="52"/>
      <c r="P199" s="52"/>
      <c r="Q199" s="52"/>
      <c r="U199" s="52"/>
    </row>
    <row r="200">
      <c r="M200" s="52"/>
      <c r="N200" s="52"/>
      <c r="O200" s="52"/>
      <c r="P200" s="52"/>
      <c r="Q200" s="52"/>
      <c r="U200" s="52"/>
    </row>
    <row r="201">
      <c r="M201" s="52"/>
      <c r="N201" s="52"/>
      <c r="O201" s="52"/>
      <c r="P201" s="52"/>
      <c r="Q201" s="52"/>
      <c r="U201" s="52"/>
    </row>
    <row r="202">
      <c r="M202" s="52"/>
      <c r="N202" s="52"/>
      <c r="O202" s="52"/>
      <c r="P202" s="52"/>
      <c r="Q202" s="52"/>
      <c r="U202" s="52"/>
    </row>
    <row r="203">
      <c r="M203" s="52"/>
      <c r="N203" s="52"/>
      <c r="O203" s="52"/>
      <c r="P203" s="52"/>
      <c r="Q203" s="52"/>
      <c r="U203" s="52"/>
    </row>
    <row r="204">
      <c r="M204" s="52"/>
      <c r="N204" s="52"/>
      <c r="O204" s="52"/>
      <c r="P204" s="52"/>
      <c r="Q204" s="52"/>
      <c r="U204" s="52"/>
    </row>
    <row r="205">
      <c r="M205" s="52"/>
      <c r="N205" s="52"/>
      <c r="O205" s="52"/>
      <c r="P205" s="52"/>
      <c r="Q205" s="52"/>
      <c r="U205" s="52"/>
    </row>
    <row r="206">
      <c r="M206" s="52"/>
      <c r="N206" s="52"/>
      <c r="O206" s="52"/>
      <c r="P206" s="52"/>
      <c r="Q206" s="52"/>
      <c r="U206" s="52"/>
    </row>
    <row r="207">
      <c r="M207" s="52"/>
      <c r="N207" s="52"/>
      <c r="O207" s="52"/>
      <c r="P207" s="52"/>
      <c r="Q207" s="52"/>
      <c r="U207" s="52"/>
    </row>
    <row r="208">
      <c r="M208" s="52"/>
      <c r="N208" s="52"/>
      <c r="O208" s="52"/>
      <c r="P208" s="52"/>
      <c r="Q208" s="52"/>
      <c r="U208" s="52"/>
    </row>
    <row r="209">
      <c r="M209" s="52"/>
      <c r="N209" s="52"/>
      <c r="O209" s="52"/>
      <c r="P209" s="52"/>
      <c r="Q209" s="52"/>
      <c r="U209" s="52"/>
    </row>
    <row r="210">
      <c r="M210" s="52"/>
      <c r="N210" s="52"/>
      <c r="O210" s="52"/>
      <c r="P210" s="52"/>
      <c r="Q210" s="52"/>
      <c r="U210" s="52"/>
    </row>
    <row r="211">
      <c r="M211" s="52"/>
      <c r="N211" s="52"/>
      <c r="O211" s="52"/>
      <c r="P211" s="52"/>
      <c r="Q211" s="52"/>
      <c r="U211" s="52"/>
    </row>
    <row r="212">
      <c r="M212" s="52"/>
      <c r="N212" s="52"/>
      <c r="O212" s="52"/>
      <c r="P212" s="52"/>
      <c r="Q212" s="52"/>
      <c r="U212" s="52"/>
    </row>
    <row r="213">
      <c r="M213" s="52"/>
      <c r="N213" s="52"/>
      <c r="O213" s="52"/>
      <c r="P213" s="52"/>
      <c r="Q213" s="52"/>
      <c r="U213" s="52"/>
    </row>
    <row r="214">
      <c r="M214" s="52"/>
      <c r="N214" s="52"/>
      <c r="O214" s="52"/>
      <c r="P214" s="52"/>
      <c r="Q214" s="52"/>
      <c r="U214" s="52"/>
    </row>
    <row r="215">
      <c r="M215" s="52"/>
      <c r="N215" s="52"/>
      <c r="O215" s="52"/>
      <c r="P215" s="52"/>
      <c r="Q215" s="52"/>
      <c r="U215" s="52"/>
    </row>
    <row r="216">
      <c r="M216" s="52"/>
      <c r="N216" s="52"/>
      <c r="O216" s="52"/>
      <c r="P216" s="52"/>
      <c r="Q216" s="52"/>
      <c r="U216" s="52"/>
    </row>
    <row r="217">
      <c r="M217" s="52"/>
      <c r="N217" s="52"/>
      <c r="O217" s="52"/>
      <c r="P217" s="52"/>
      <c r="Q217" s="52"/>
      <c r="U217" s="52"/>
    </row>
    <row r="218">
      <c r="M218" s="52"/>
      <c r="N218" s="52"/>
      <c r="O218" s="52"/>
      <c r="P218" s="52"/>
      <c r="Q218" s="52"/>
      <c r="U218" s="52"/>
    </row>
    <row r="219">
      <c r="M219" s="52"/>
      <c r="N219" s="52"/>
      <c r="O219" s="52"/>
      <c r="P219" s="52"/>
      <c r="Q219" s="52"/>
      <c r="U219" s="52"/>
    </row>
    <row r="220">
      <c r="M220" s="52"/>
      <c r="N220" s="52"/>
      <c r="O220" s="52"/>
      <c r="P220" s="52"/>
      <c r="Q220" s="52"/>
      <c r="U220" s="52"/>
    </row>
    <row r="221">
      <c r="M221" s="52"/>
      <c r="N221" s="52"/>
      <c r="O221" s="52"/>
      <c r="P221" s="52"/>
      <c r="Q221" s="52"/>
      <c r="U221" s="52"/>
    </row>
    <row r="222">
      <c r="M222" s="52"/>
      <c r="N222" s="52"/>
      <c r="O222" s="52"/>
      <c r="P222" s="52"/>
      <c r="Q222" s="52"/>
      <c r="U222" s="52"/>
    </row>
    <row r="223">
      <c r="M223" s="52"/>
      <c r="N223" s="52"/>
      <c r="O223" s="52"/>
      <c r="P223" s="52"/>
      <c r="Q223" s="52"/>
      <c r="U223" s="52"/>
    </row>
    <row r="224">
      <c r="M224" s="52"/>
      <c r="N224" s="52"/>
      <c r="O224" s="52"/>
      <c r="P224" s="52"/>
      <c r="Q224" s="52"/>
      <c r="U224" s="52"/>
    </row>
    <row r="225">
      <c r="M225" s="52"/>
      <c r="N225" s="52"/>
      <c r="O225" s="52"/>
      <c r="P225" s="52"/>
      <c r="Q225" s="52"/>
      <c r="U225" s="52"/>
    </row>
    <row r="226">
      <c r="M226" s="52"/>
      <c r="N226" s="52"/>
      <c r="O226" s="52"/>
      <c r="P226" s="52"/>
      <c r="Q226" s="52"/>
      <c r="U226" s="52"/>
    </row>
    <row r="227">
      <c r="M227" s="52"/>
      <c r="N227" s="52"/>
      <c r="O227" s="52"/>
      <c r="P227" s="52"/>
      <c r="Q227" s="52"/>
      <c r="U227" s="52"/>
    </row>
    <row r="228">
      <c r="M228" s="52"/>
      <c r="N228" s="52"/>
      <c r="O228" s="52"/>
      <c r="P228" s="52"/>
      <c r="Q228" s="52"/>
      <c r="U228" s="52"/>
    </row>
    <row r="229">
      <c r="M229" s="52"/>
      <c r="N229" s="52"/>
      <c r="O229" s="52"/>
      <c r="P229" s="52"/>
      <c r="Q229" s="52"/>
      <c r="U229" s="52"/>
    </row>
    <row r="230">
      <c r="M230" s="52"/>
      <c r="N230" s="52"/>
      <c r="O230" s="52"/>
      <c r="P230" s="52"/>
      <c r="Q230" s="52"/>
      <c r="U230" s="52"/>
    </row>
    <row r="231">
      <c r="M231" s="52"/>
      <c r="N231" s="52"/>
      <c r="O231" s="52"/>
      <c r="P231" s="52"/>
      <c r="Q231" s="52"/>
      <c r="U231" s="52"/>
    </row>
    <row r="232">
      <c r="M232" s="52"/>
      <c r="N232" s="52"/>
      <c r="O232" s="52"/>
      <c r="P232" s="52"/>
      <c r="Q232" s="52"/>
      <c r="U232" s="52"/>
    </row>
    <row r="233">
      <c r="M233" s="52"/>
      <c r="N233" s="52"/>
      <c r="O233" s="52"/>
      <c r="P233" s="52"/>
      <c r="Q233" s="52"/>
      <c r="U233" s="52"/>
    </row>
    <row r="234">
      <c r="M234" s="52"/>
      <c r="N234" s="52"/>
      <c r="O234" s="52"/>
      <c r="P234" s="52"/>
      <c r="Q234" s="52"/>
      <c r="U234" s="52"/>
    </row>
    <row r="235">
      <c r="M235" s="52"/>
      <c r="N235" s="52"/>
      <c r="O235" s="52"/>
      <c r="P235" s="52"/>
      <c r="Q235" s="52"/>
      <c r="U235" s="52"/>
    </row>
    <row r="236">
      <c r="M236" s="52"/>
      <c r="N236" s="52"/>
      <c r="O236" s="52"/>
      <c r="P236" s="52"/>
      <c r="Q236" s="52"/>
      <c r="U236" s="52"/>
    </row>
    <row r="237">
      <c r="M237" s="52"/>
      <c r="N237" s="52"/>
      <c r="O237" s="52"/>
      <c r="P237" s="52"/>
      <c r="Q237" s="52"/>
      <c r="U237" s="52"/>
    </row>
    <row r="238">
      <c r="M238" s="52"/>
      <c r="N238" s="52"/>
      <c r="O238" s="52"/>
      <c r="P238" s="52"/>
      <c r="Q238" s="52"/>
      <c r="U238" s="52"/>
    </row>
    <row r="239">
      <c r="M239" s="52"/>
      <c r="N239" s="52"/>
      <c r="O239" s="52"/>
      <c r="P239" s="52"/>
      <c r="Q239" s="52"/>
      <c r="U239" s="52"/>
    </row>
    <row r="240">
      <c r="M240" s="52"/>
      <c r="N240" s="52"/>
      <c r="O240" s="52"/>
      <c r="P240" s="52"/>
      <c r="Q240" s="52"/>
      <c r="U240" s="52"/>
    </row>
    <row r="241">
      <c r="M241" s="52"/>
      <c r="N241" s="52"/>
      <c r="O241" s="52"/>
      <c r="P241" s="52"/>
      <c r="Q241" s="52"/>
      <c r="U241" s="52"/>
    </row>
    <row r="242">
      <c r="M242" s="52"/>
      <c r="N242" s="52"/>
      <c r="O242" s="52"/>
      <c r="P242" s="52"/>
      <c r="Q242" s="52"/>
      <c r="U242" s="52"/>
    </row>
    <row r="243">
      <c r="M243" s="52"/>
      <c r="N243" s="52"/>
      <c r="O243" s="52"/>
      <c r="P243" s="52"/>
      <c r="Q243" s="52"/>
      <c r="U243" s="52"/>
    </row>
    <row r="244">
      <c r="M244" s="52"/>
      <c r="N244" s="52"/>
      <c r="O244" s="52"/>
      <c r="P244" s="52"/>
      <c r="Q244" s="52"/>
      <c r="U244" s="52"/>
    </row>
    <row r="245">
      <c r="M245" s="52"/>
      <c r="N245" s="52"/>
      <c r="O245" s="52"/>
      <c r="P245" s="52"/>
      <c r="Q245" s="52"/>
      <c r="U245" s="52"/>
    </row>
    <row r="246">
      <c r="M246" s="52"/>
      <c r="N246" s="52"/>
      <c r="O246" s="52"/>
      <c r="P246" s="52"/>
      <c r="Q246" s="52"/>
      <c r="U246" s="52"/>
    </row>
    <row r="247">
      <c r="M247" s="52"/>
      <c r="N247" s="52"/>
      <c r="O247" s="52"/>
      <c r="P247" s="52"/>
      <c r="Q247" s="52"/>
      <c r="U247" s="52"/>
    </row>
    <row r="248">
      <c r="M248" s="52"/>
      <c r="N248" s="52"/>
      <c r="O248" s="52"/>
      <c r="P248" s="52"/>
      <c r="Q248" s="52"/>
      <c r="U248" s="52"/>
    </row>
    <row r="249">
      <c r="M249" s="52"/>
      <c r="N249" s="52"/>
      <c r="O249" s="52"/>
      <c r="P249" s="52"/>
      <c r="Q249" s="52"/>
      <c r="U249" s="52"/>
    </row>
    <row r="250">
      <c r="M250" s="52"/>
      <c r="N250" s="52"/>
      <c r="O250" s="52"/>
      <c r="P250" s="52"/>
      <c r="Q250" s="52"/>
      <c r="U250" s="52"/>
    </row>
    <row r="251">
      <c r="M251" s="52"/>
      <c r="N251" s="52"/>
      <c r="O251" s="52"/>
      <c r="P251" s="52"/>
      <c r="Q251" s="52"/>
      <c r="U251" s="52"/>
    </row>
    <row r="252">
      <c r="M252" s="52"/>
      <c r="N252" s="52"/>
      <c r="O252" s="52"/>
      <c r="P252" s="52"/>
      <c r="Q252" s="52"/>
      <c r="U252" s="52"/>
    </row>
    <row r="253">
      <c r="M253" s="52"/>
      <c r="N253" s="52"/>
      <c r="O253" s="52"/>
      <c r="P253" s="52"/>
      <c r="Q253" s="52"/>
      <c r="U253" s="52"/>
    </row>
    <row r="254">
      <c r="M254" s="52"/>
      <c r="N254" s="52"/>
      <c r="O254" s="52"/>
      <c r="P254" s="52"/>
      <c r="Q254" s="52"/>
      <c r="U254" s="52"/>
    </row>
    <row r="255">
      <c r="M255" s="52"/>
      <c r="N255" s="52"/>
      <c r="O255" s="52"/>
      <c r="P255" s="52"/>
      <c r="Q255" s="52"/>
      <c r="U255" s="52"/>
    </row>
    <row r="256">
      <c r="M256" s="52"/>
      <c r="N256" s="52"/>
      <c r="O256" s="52"/>
      <c r="P256" s="52"/>
      <c r="Q256" s="52"/>
      <c r="U256" s="52"/>
    </row>
    <row r="257">
      <c r="M257" s="52"/>
      <c r="N257" s="52"/>
      <c r="O257" s="52"/>
      <c r="P257" s="52"/>
      <c r="Q257" s="52"/>
      <c r="U257" s="52"/>
    </row>
    <row r="258">
      <c r="M258" s="52"/>
      <c r="N258" s="52"/>
      <c r="O258" s="52"/>
      <c r="P258" s="52"/>
      <c r="Q258" s="52"/>
      <c r="U258" s="52"/>
    </row>
    <row r="259">
      <c r="M259" s="52"/>
      <c r="N259" s="52"/>
      <c r="O259" s="52"/>
      <c r="P259" s="52"/>
      <c r="Q259" s="52"/>
      <c r="U259" s="52"/>
    </row>
    <row r="260">
      <c r="M260" s="52"/>
      <c r="N260" s="52"/>
      <c r="O260" s="52"/>
      <c r="P260" s="52"/>
      <c r="Q260" s="52"/>
      <c r="U260" s="52"/>
    </row>
    <row r="261">
      <c r="M261" s="52"/>
      <c r="N261" s="52"/>
      <c r="O261" s="52"/>
      <c r="P261" s="52"/>
      <c r="Q261" s="52"/>
      <c r="U261" s="52"/>
    </row>
    <row r="262">
      <c r="M262" s="52"/>
      <c r="N262" s="52"/>
      <c r="O262" s="52"/>
      <c r="P262" s="52"/>
      <c r="Q262" s="52"/>
      <c r="U262" s="52"/>
    </row>
    <row r="263">
      <c r="M263" s="52"/>
      <c r="N263" s="52"/>
      <c r="O263" s="52"/>
      <c r="P263" s="52"/>
      <c r="Q263" s="52"/>
      <c r="U263" s="52"/>
    </row>
    <row r="264">
      <c r="M264" s="52"/>
      <c r="N264" s="52"/>
      <c r="O264" s="52"/>
      <c r="P264" s="52"/>
      <c r="Q264" s="52"/>
      <c r="U264" s="52"/>
    </row>
    <row r="265">
      <c r="M265" s="52"/>
      <c r="N265" s="52"/>
      <c r="O265" s="52"/>
      <c r="P265" s="52"/>
      <c r="Q265" s="52"/>
      <c r="U265" s="52"/>
    </row>
    <row r="266">
      <c r="M266" s="52"/>
      <c r="N266" s="52"/>
      <c r="O266" s="52"/>
      <c r="P266" s="52"/>
      <c r="Q266" s="52"/>
      <c r="U266" s="52"/>
    </row>
    <row r="267">
      <c r="M267" s="52"/>
      <c r="N267" s="52"/>
      <c r="O267" s="52"/>
      <c r="P267" s="52"/>
      <c r="Q267" s="52"/>
      <c r="U267" s="52"/>
    </row>
    <row r="268">
      <c r="M268" s="52"/>
      <c r="N268" s="52"/>
      <c r="O268" s="52"/>
      <c r="P268" s="52"/>
      <c r="Q268" s="52"/>
      <c r="U268" s="52"/>
    </row>
    <row r="269">
      <c r="M269" s="52"/>
      <c r="N269" s="52"/>
      <c r="O269" s="52"/>
      <c r="P269" s="52"/>
      <c r="Q269" s="52"/>
      <c r="U269" s="52"/>
    </row>
    <row r="270">
      <c r="M270" s="52"/>
      <c r="N270" s="52"/>
      <c r="O270" s="52"/>
      <c r="P270" s="52"/>
      <c r="Q270" s="52"/>
      <c r="U270" s="52"/>
    </row>
    <row r="271">
      <c r="M271" s="52"/>
      <c r="N271" s="52"/>
      <c r="O271" s="52"/>
      <c r="P271" s="52"/>
      <c r="Q271" s="52"/>
      <c r="U271" s="52"/>
    </row>
    <row r="272">
      <c r="M272" s="52"/>
      <c r="N272" s="52"/>
      <c r="O272" s="52"/>
      <c r="P272" s="52"/>
      <c r="Q272" s="52"/>
      <c r="U272" s="52"/>
    </row>
    <row r="273">
      <c r="M273" s="52"/>
      <c r="N273" s="52"/>
      <c r="O273" s="52"/>
      <c r="P273" s="52"/>
      <c r="Q273" s="52"/>
      <c r="U273" s="52"/>
    </row>
    <row r="274">
      <c r="M274" s="52"/>
      <c r="N274" s="52"/>
      <c r="O274" s="52"/>
      <c r="P274" s="52"/>
      <c r="Q274" s="52"/>
      <c r="U274" s="52"/>
    </row>
    <row r="275">
      <c r="M275" s="52"/>
      <c r="N275" s="52"/>
      <c r="O275" s="52"/>
      <c r="P275" s="52"/>
      <c r="Q275" s="52"/>
      <c r="U275" s="52"/>
    </row>
    <row r="276">
      <c r="M276" s="52"/>
      <c r="N276" s="52"/>
      <c r="O276" s="52"/>
      <c r="P276" s="52"/>
      <c r="Q276" s="52"/>
      <c r="U276" s="52"/>
    </row>
    <row r="277">
      <c r="M277" s="52"/>
      <c r="N277" s="52"/>
      <c r="O277" s="52"/>
      <c r="P277" s="52"/>
      <c r="Q277" s="52"/>
      <c r="U277" s="52"/>
    </row>
    <row r="278">
      <c r="M278" s="52"/>
      <c r="N278" s="52"/>
      <c r="O278" s="52"/>
      <c r="P278" s="52"/>
      <c r="Q278" s="52"/>
      <c r="U278" s="52"/>
    </row>
    <row r="279">
      <c r="M279" s="52"/>
      <c r="N279" s="52"/>
      <c r="O279" s="52"/>
      <c r="P279" s="52"/>
      <c r="Q279" s="52"/>
      <c r="U279" s="52"/>
    </row>
    <row r="280">
      <c r="M280" s="52"/>
      <c r="N280" s="52"/>
      <c r="O280" s="52"/>
      <c r="P280" s="52"/>
      <c r="Q280" s="52"/>
      <c r="U280" s="52"/>
    </row>
    <row r="281">
      <c r="M281" s="52"/>
      <c r="N281" s="52"/>
      <c r="O281" s="52"/>
      <c r="P281" s="52"/>
      <c r="Q281" s="52"/>
      <c r="U281" s="52"/>
    </row>
    <row r="282">
      <c r="M282" s="52"/>
      <c r="N282" s="52"/>
      <c r="O282" s="52"/>
      <c r="P282" s="52"/>
      <c r="Q282" s="52"/>
      <c r="U282" s="52"/>
    </row>
    <row r="283">
      <c r="M283" s="52"/>
      <c r="N283" s="52"/>
      <c r="O283" s="52"/>
      <c r="P283" s="52"/>
      <c r="Q283" s="52"/>
      <c r="U283" s="52"/>
    </row>
    <row r="284">
      <c r="M284" s="52"/>
      <c r="N284" s="52"/>
      <c r="O284" s="52"/>
      <c r="P284" s="52"/>
      <c r="Q284" s="52"/>
      <c r="U284" s="52"/>
    </row>
    <row r="285">
      <c r="M285" s="52"/>
      <c r="N285" s="52"/>
      <c r="O285" s="52"/>
      <c r="P285" s="52"/>
      <c r="Q285" s="52"/>
      <c r="U285" s="52"/>
    </row>
    <row r="286">
      <c r="M286" s="52"/>
      <c r="N286" s="52"/>
      <c r="O286" s="52"/>
      <c r="P286" s="52"/>
      <c r="Q286" s="52"/>
      <c r="U286" s="52"/>
    </row>
    <row r="287">
      <c r="M287" s="52"/>
      <c r="N287" s="52"/>
      <c r="O287" s="52"/>
      <c r="P287" s="52"/>
      <c r="Q287" s="52"/>
      <c r="U287" s="52"/>
    </row>
    <row r="288">
      <c r="M288" s="52"/>
      <c r="N288" s="52"/>
      <c r="O288" s="52"/>
      <c r="P288" s="52"/>
      <c r="Q288" s="52"/>
      <c r="U288" s="52"/>
    </row>
    <row r="289">
      <c r="M289" s="52"/>
      <c r="N289" s="52"/>
      <c r="O289" s="52"/>
      <c r="P289" s="52"/>
      <c r="Q289" s="52"/>
      <c r="U289" s="52"/>
    </row>
    <row r="290">
      <c r="M290" s="52"/>
      <c r="N290" s="52"/>
      <c r="O290" s="52"/>
      <c r="P290" s="52"/>
      <c r="Q290" s="52"/>
      <c r="U290" s="52"/>
    </row>
    <row r="291">
      <c r="M291" s="52"/>
      <c r="N291" s="52"/>
      <c r="O291" s="52"/>
      <c r="P291" s="52"/>
      <c r="Q291" s="52"/>
      <c r="U291" s="52"/>
    </row>
    <row r="292">
      <c r="M292" s="52"/>
      <c r="N292" s="52"/>
      <c r="O292" s="52"/>
      <c r="P292" s="52"/>
      <c r="Q292" s="52"/>
      <c r="U292" s="52"/>
    </row>
    <row r="293">
      <c r="M293" s="52"/>
      <c r="N293" s="52"/>
      <c r="O293" s="52"/>
      <c r="P293" s="52"/>
      <c r="Q293" s="52"/>
      <c r="U293" s="52"/>
    </row>
    <row r="294">
      <c r="M294" s="52"/>
      <c r="N294" s="52"/>
      <c r="O294" s="52"/>
      <c r="P294" s="52"/>
      <c r="Q294" s="52"/>
      <c r="U294" s="52"/>
    </row>
    <row r="295">
      <c r="M295" s="52"/>
      <c r="N295" s="52"/>
      <c r="O295" s="52"/>
      <c r="P295" s="52"/>
      <c r="Q295" s="52"/>
      <c r="U295" s="52"/>
    </row>
    <row r="296">
      <c r="M296" s="52"/>
      <c r="N296" s="52"/>
      <c r="O296" s="52"/>
      <c r="P296" s="52"/>
      <c r="Q296" s="52"/>
      <c r="U296" s="52"/>
    </row>
    <row r="297">
      <c r="M297" s="52"/>
      <c r="N297" s="52"/>
      <c r="O297" s="52"/>
      <c r="P297" s="52"/>
      <c r="Q297" s="52"/>
      <c r="U297" s="52"/>
    </row>
    <row r="298">
      <c r="M298" s="52"/>
      <c r="N298" s="52"/>
      <c r="O298" s="52"/>
      <c r="P298" s="52"/>
      <c r="Q298" s="52"/>
      <c r="U298" s="52"/>
    </row>
    <row r="299">
      <c r="M299" s="52"/>
      <c r="N299" s="52"/>
      <c r="O299" s="52"/>
      <c r="P299" s="52"/>
      <c r="Q299" s="52"/>
      <c r="U299" s="52"/>
    </row>
    <row r="300">
      <c r="M300" s="52"/>
      <c r="N300" s="52"/>
      <c r="O300" s="52"/>
      <c r="P300" s="52"/>
      <c r="Q300" s="52"/>
      <c r="U300" s="52"/>
    </row>
    <row r="301">
      <c r="M301" s="52"/>
      <c r="N301" s="52"/>
      <c r="O301" s="52"/>
      <c r="P301" s="52"/>
      <c r="Q301" s="52"/>
      <c r="U301" s="52"/>
    </row>
    <row r="302">
      <c r="M302" s="52"/>
      <c r="N302" s="52"/>
      <c r="O302" s="52"/>
      <c r="P302" s="52"/>
      <c r="Q302" s="52"/>
      <c r="U302" s="52"/>
    </row>
    <row r="303">
      <c r="M303" s="52"/>
      <c r="N303" s="52"/>
      <c r="O303" s="52"/>
      <c r="P303" s="52"/>
      <c r="Q303" s="52"/>
      <c r="U303" s="52"/>
    </row>
    <row r="304">
      <c r="M304" s="52"/>
      <c r="N304" s="52"/>
      <c r="O304" s="52"/>
      <c r="P304" s="52"/>
      <c r="Q304" s="52"/>
      <c r="U304" s="52"/>
    </row>
    <row r="305">
      <c r="M305" s="52"/>
      <c r="N305" s="52"/>
      <c r="O305" s="52"/>
      <c r="P305" s="52"/>
      <c r="Q305" s="52"/>
      <c r="U305" s="52"/>
    </row>
    <row r="306">
      <c r="M306" s="52"/>
      <c r="N306" s="52"/>
      <c r="O306" s="52"/>
      <c r="P306" s="52"/>
      <c r="Q306" s="52"/>
      <c r="U306" s="52"/>
    </row>
    <row r="307">
      <c r="M307" s="52"/>
      <c r="N307" s="52"/>
      <c r="O307" s="52"/>
      <c r="P307" s="52"/>
      <c r="Q307" s="52"/>
      <c r="U307" s="52"/>
    </row>
    <row r="308">
      <c r="M308" s="52"/>
      <c r="N308" s="52"/>
      <c r="O308" s="52"/>
      <c r="P308" s="52"/>
      <c r="Q308" s="52"/>
      <c r="U308" s="52"/>
    </row>
    <row r="309">
      <c r="M309" s="52"/>
      <c r="N309" s="52"/>
      <c r="O309" s="52"/>
      <c r="P309" s="52"/>
      <c r="Q309" s="52"/>
      <c r="U309" s="52"/>
    </row>
    <row r="310">
      <c r="M310" s="52"/>
      <c r="N310" s="52"/>
      <c r="O310" s="52"/>
      <c r="P310" s="52"/>
      <c r="Q310" s="52"/>
      <c r="U310" s="52"/>
    </row>
    <row r="311">
      <c r="M311" s="52"/>
      <c r="N311" s="52"/>
      <c r="O311" s="52"/>
      <c r="P311" s="52"/>
      <c r="Q311" s="52"/>
      <c r="U311" s="52"/>
    </row>
    <row r="312">
      <c r="M312" s="52"/>
      <c r="N312" s="52"/>
      <c r="O312" s="52"/>
      <c r="P312" s="52"/>
      <c r="Q312" s="52"/>
      <c r="U312" s="52"/>
    </row>
    <row r="313">
      <c r="M313" s="52"/>
      <c r="N313" s="52"/>
      <c r="O313" s="52"/>
      <c r="P313" s="52"/>
      <c r="Q313" s="52"/>
      <c r="U313" s="52"/>
    </row>
    <row r="314">
      <c r="M314" s="52"/>
      <c r="N314" s="52"/>
      <c r="O314" s="52"/>
      <c r="P314" s="52"/>
      <c r="Q314" s="52"/>
      <c r="U314" s="52"/>
    </row>
    <row r="315">
      <c r="M315" s="52"/>
      <c r="N315" s="52"/>
      <c r="O315" s="52"/>
      <c r="P315" s="52"/>
      <c r="Q315" s="52"/>
      <c r="U315" s="52"/>
    </row>
    <row r="316">
      <c r="M316" s="52"/>
      <c r="N316" s="52"/>
      <c r="O316" s="52"/>
      <c r="P316" s="52"/>
      <c r="Q316" s="52"/>
      <c r="U316" s="52"/>
    </row>
    <row r="317">
      <c r="M317" s="52"/>
      <c r="N317" s="52"/>
      <c r="O317" s="52"/>
      <c r="P317" s="52"/>
      <c r="Q317" s="52"/>
      <c r="U317" s="52"/>
    </row>
    <row r="318">
      <c r="M318" s="52"/>
      <c r="N318" s="52"/>
      <c r="O318" s="52"/>
      <c r="P318" s="52"/>
      <c r="Q318" s="52"/>
      <c r="U318" s="52"/>
    </row>
    <row r="319">
      <c r="M319" s="52"/>
      <c r="N319" s="52"/>
      <c r="O319" s="52"/>
      <c r="P319" s="52"/>
      <c r="Q319" s="52"/>
      <c r="U319" s="52"/>
    </row>
    <row r="320">
      <c r="M320" s="52"/>
      <c r="N320" s="52"/>
      <c r="O320" s="52"/>
      <c r="P320" s="52"/>
      <c r="Q320" s="52"/>
      <c r="U320" s="52"/>
    </row>
    <row r="321">
      <c r="M321" s="52"/>
      <c r="N321" s="52"/>
      <c r="O321" s="52"/>
      <c r="P321" s="52"/>
      <c r="Q321" s="52"/>
      <c r="U321" s="52"/>
    </row>
    <row r="322">
      <c r="M322" s="52"/>
      <c r="N322" s="52"/>
      <c r="O322" s="52"/>
      <c r="P322" s="52"/>
      <c r="Q322" s="52"/>
      <c r="U322" s="52"/>
    </row>
    <row r="323">
      <c r="M323" s="52"/>
      <c r="N323" s="52"/>
      <c r="O323" s="52"/>
      <c r="P323" s="52"/>
      <c r="Q323" s="52"/>
      <c r="U323" s="52"/>
    </row>
    <row r="324">
      <c r="M324" s="52"/>
      <c r="N324" s="52"/>
      <c r="O324" s="52"/>
      <c r="P324" s="52"/>
      <c r="Q324" s="52"/>
      <c r="U324" s="52"/>
    </row>
    <row r="325">
      <c r="M325" s="52"/>
      <c r="N325" s="52"/>
      <c r="O325" s="52"/>
      <c r="P325" s="52"/>
      <c r="Q325" s="52"/>
      <c r="U325" s="52"/>
    </row>
    <row r="326">
      <c r="M326" s="52"/>
      <c r="N326" s="52"/>
      <c r="O326" s="52"/>
      <c r="P326" s="52"/>
      <c r="Q326" s="52"/>
      <c r="U326" s="52"/>
    </row>
    <row r="327">
      <c r="M327" s="52"/>
      <c r="N327" s="52"/>
      <c r="O327" s="52"/>
      <c r="P327" s="52"/>
      <c r="Q327" s="52"/>
      <c r="U327" s="52"/>
    </row>
    <row r="328">
      <c r="M328" s="52"/>
      <c r="N328" s="52"/>
      <c r="O328" s="52"/>
      <c r="P328" s="52"/>
      <c r="Q328" s="52"/>
      <c r="U328" s="52"/>
    </row>
    <row r="329">
      <c r="M329" s="52"/>
      <c r="N329" s="52"/>
      <c r="O329" s="52"/>
      <c r="P329" s="52"/>
      <c r="Q329" s="52"/>
      <c r="U329" s="52"/>
    </row>
    <row r="330">
      <c r="M330" s="52"/>
      <c r="N330" s="52"/>
      <c r="O330" s="52"/>
      <c r="P330" s="52"/>
      <c r="Q330" s="52"/>
      <c r="U330" s="52"/>
    </row>
    <row r="331">
      <c r="M331" s="52"/>
      <c r="N331" s="52"/>
      <c r="O331" s="52"/>
      <c r="P331" s="52"/>
      <c r="Q331" s="52"/>
      <c r="U331" s="52"/>
    </row>
    <row r="332">
      <c r="M332" s="52"/>
      <c r="N332" s="52"/>
      <c r="O332" s="52"/>
      <c r="P332" s="52"/>
      <c r="Q332" s="52"/>
      <c r="U332" s="52"/>
    </row>
    <row r="333">
      <c r="M333" s="52"/>
      <c r="N333" s="52"/>
      <c r="O333" s="52"/>
      <c r="P333" s="52"/>
      <c r="Q333" s="52"/>
      <c r="U333" s="52"/>
    </row>
    <row r="334">
      <c r="M334" s="52"/>
      <c r="N334" s="52"/>
      <c r="O334" s="52"/>
      <c r="P334" s="52"/>
      <c r="Q334" s="52"/>
      <c r="U334" s="52"/>
    </row>
    <row r="335">
      <c r="M335" s="52"/>
      <c r="N335" s="52"/>
      <c r="O335" s="52"/>
      <c r="P335" s="52"/>
      <c r="Q335" s="52"/>
      <c r="U335" s="52"/>
    </row>
    <row r="336">
      <c r="M336" s="52"/>
      <c r="N336" s="52"/>
      <c r="O336" s="52"/>
      <c r="P336" s="52"/>
      <c r="Q336" s="52"/>
      <c r="U336" s="52"/>
    </row>
    <row r="337">
      <c r="M337" s="52"/>
      <c r="N337" s="52"/>
      <c r="O337" s="52"/>
      <c r="P337" s="52"/>
      <c r="Q337" s="52"/>
      <c r="U337" s="52"/>
    </row>
    <row r="338">
      <c r="M338" s="52"/>
      <c r="N338" s="52"/>
      <c r="O338" s="52"/>
      <c r="P338" s="52"/>
      <c r="Q338" s="52"/>
      <c r="U338" s="52"/>
    </row>
    <row r="339">
      <c r="M339" s="52"/>
      <c r="N339" s="52"/>
      <c r="O339" s="52"/>
      <c r="P339" s="52"/>
      <c r="Q339" s="52"/>
      <c r="U339" s="52"/>
    </row>
    <row r="340">
      <c r="M340" s="52"/>
      <c r="N340" s="52"/>
      <c r="O340" s="52"/>
      <c r="P340" s="52"/>
      <c r="Q340" s="52"/>
      <c r="U340" s="52"/>
    </row>
    <row r="341">
      <c r="M341" s="52"/>
      <c r="N341" s="52"/>
      <c r="O341" s="52"/>
      <c r="P341" s="52"/>
      <c r="Q341" s="52"/>
      <c r="U341" s="52"/>
    </row>
    <row r="342">
      <c r="M342" s="52"/>
      <c r="N342" s="52"/>
      <c r="O342" s="52"/>
      <c r="P342" s="52"/>
      <c r="Q342" s="52"/>
      <c r="U342" s="52"/>
    </row>
    <row r="343">
      <c r="M343" s="52"/>
      <c r="N343" s="52"/>
      <c r="O343" s="52"/>
      <c r="P343" s="52"/>
      <c r="Q343" s="52"/>
      <c r="U343" s="52"/>
    </row>
    <row r="344">
      <c r="M344" s="52"/>
      <c r="N344" s="52"/>
      <c r="O344" s="52"/>
      <c r="P344" s="52"/>
      <c r="Q344" s="52"/>
      <c r="U344" s="52"/>
    </row>
    <row r="345">
      <c r="M345" s="52"/>
      <c r="N345" s="52"/>
      <c r="O345" s="52"/>
      <c r="P345" s="52"/>
      <c r="Q345" s="52"/>
      <c r="U345" s="52"/>
    </row>
    <row r="346">
      <c r="M346" s="52"/>
      <c r="N346" s="52"/>
      <c r="O346" s="52"/>
      <c r="P346" s="52"/>
      <c r="Q346" s="52"/>
      <c r="U346" s="52"/>
    </row>
    <row r="347">
      <c r="M347" s="52"/>
      <c r="N347" s="52"/>
      <c r="O347" s="52"/>
      <c r="P347" s="52"/>
      <c r="Q347" s="52"/>
      <c r="U347" s="52"/>
    </row>
    <row r="348">
      <c r="M348" s="52"/>
      <c r="N348" s="52"/>
      <c r="O348" s="52"/>
      <c r="P348" s="52"/>
      <c r="Q348" s="52"/>
      <c r="U348" s="52"/>
    </row>
    <row r="349">
      <c r="M349" s="52"/>
      <c r="N349" s="52"/>
      <c r="O349" s="52"/>
      <c r="P349" s="52"/>
      <c r="Q349" s="52"/>
      <c r="U349" s="52"/>
    </row>
    <row r="350">
      <c r="M350" s="52"/>
      <c r="N350" s="52"/>
      <c r="O350" s="52"/>
      <c r="P350" s="52"/>
      <c r="Q350" s="52"/>
      <c r="U350" s="52"/>
    </row>
    <row r="351">
      <c r="M351" s="52"/>
      <c r="N351" s="52"/>
      <c r="O351" s="52"/>
      <c r="P351" s="52"/>
      <c r="Q351" s="52"/>
      <c r="U351" s="52"/>
    </row>
    <row r="352">
      <c r="M352" s="52"/>
      <c r="N352" s="52"/>
      <c r="O352" s="52"/>
      <c r="P352" s="52"/>
      <c r="Q352" s="52"/>
      <c r="U352" s="52"/>
    </row>
    <row r="353">
      <c r="M353" s="52"/>
      <c r="N353" s="52"/>
      <c r="O353" s="52"/>
      <c r="P353" s="52"/>
      <c r="Q353" s="52"/>
      <c r="U353" s="52"/>
    </row>
    <row r="354">
      <c r="M354" s="52"/>
      <c r="N354" s="52"/>
      <c r="O354" s="52"/>
      <c r="P354" s="52"/>
      <c r="Q354" s="52"/>
      <c r="U354" s="52"/>
    </row>
    <row r="355">
      <c r="M355" s="52"/>
      <c r="N355" s="52"/>
      <c r="O355" s="52"/>
      <c r="P355" s="52"/>
      <c r="Q355" s="52"/>
      <c r="U355" s="52"/>
    </row>
    <row r="356">
      <c r="M356" s="52"/>
      <c r="N356" s="52"/>
      <c r="O356" s="52"/>
      <c r="P356" s="52"/>
      <c r="Q356" s="52"/>
      <c r="U356" s="52"/>
    </row>
    <row r="357">
      <c r="M357" s="52"/>
      <c r="N357" s="52"/>
      <c r="O357" s="52"/>
      <c r="P357" s="52"/>
      <c r="Q357" s="52"/>
      <c r="U357" s="52"/>
    </row>
    <row r="358">
      <c r="M358" s="52"/>
      <c r="N358" s="52"/>
      <c r="O358" s="52"/>
      <c r="P358" s="52"/>
      <c r="Q358" s="52"/>
      <c r="U358" s="52"/>
    </row>
    <row r="359">
      <c r="M359" s="52"/>
      <c r="N359" s="52"/>
      <c r="O359" s="52"/>
      <c r="P359" s="52"/>
      <c r="Q359" s="52"/>
      <c r="U359" s="52"/>
    </row>
    <row r="360">
      <c r="M360" s="52"/>
      <c r="N360" s="52"/>
      <c r="O360" s="52"/>
      <c r="P360" s="52"/>
      <c r="Q360" s="52"/>
      <c r="U360" s="52"/>
    </row>
    <row r="361">
      <c r="M361" s="52"/>
      <c r="N361" s="52"/>
      <c r="O361" s="52"/>
      <c r="P361" s="52"/>
      <c r="Q361" s="52"/>
      <c r="U361" s="52"/>
    </row>
    <row r="362">
      <c r="M362" s="52"/>
      <c r="N362" s="52"/>
      <c r="O362" s="52"/>
      <c r="P362" s="52"/>
      <c r="Q362" s="52"/>
      <c r="U362" s="52"/>
    </row>
    <row r="363">
      <c r="M363" s="52"/>
      <c r="N363" s="52"/>
      <c r="O363" s="52"/>
      <c r="P363" s="52"/>
      <c r="Q363" s="52"/>
      <c r="U363" s="52"/>
    </row>
    <row r="364">
      <c r="M364" s="52"/>
      <c r="N364" s="52"/>
      <c r="O364" s="52"/>
      <c r="P364" s="52"/>
      <c r="Q364" s="52"/>
      <c r="U364" s="52"/>
    </row>
    <row r="365">
      <c r="M365" s="52"/>
      <c r="N365" s="52"/>
      <c r="O365" s="52"/>
      <c r="P365" s="52"/>
      <c r="Q365" s="52"/>
      <c r="U365" s="52"/>
    </row>
    <row r="366">
      <c r="M366" s="52"/>
      <c r="N366" s="52"/>
      <c r="O366" s="52"/>
      <c r="P366" s="52"/>
      <c r="Q366" s="52"/>
      <c r="U366" s="52"/>
    </row>
    <row r="367">
      <c r="M367" s="52"/>
      <c r="N367" s="52"/>
      <c r="O367" s="52"/>
      <c r="P367" s="52"/>
      <c r="Q367" s="52"/>
      <c r="U367" s="52"/>
    </row>
    <row r="368">
      <c r="M368" s="52"/>
      <c r="N368" s="52"/>
      <c r="O368" s="52"/>
      <c r="P368" s="52"/>
      <c r="Q368" s="52"/>
      <c r="U368" s="52"/>
    </row>
    <row r="369">
      <c r="M369" s="52"/>
      <c r="N369" s="52"/>
      <c r="O369" s="52"/>
      <c r="P369" s="52"/>
      <c r="Q369" s="52"/>
      <c r="U369" s="52"/>
    </row>
    <row r="370">
      <c r="M370" s="52"/>
      <c r="N370" s="52"/>
      <c r="O370" s="52"/>
      <c r="P370" s="52"/>
      <c r="Q370" s="52"/>
      <c r="U370" s="52"/>
    </row>
    <row r="371">
      <c r="M371" s="52"/>
      <c r="N371" s="52"/>
      <c r="O371" s="52"/>
      <c r="P371" s="52"/>
      <c r="Q371" s="52"/>
      <c r="U371" s="52"/>
    </row>
    <row r="372">
      <c r="M372" s="52"/>
      <c r="N372" s="52"/>
      <c r="O372" s="52"/>
      <c r="P372" s="52"/>
      <c r="Q372" s="52"/>
      <c r="U372" s="52"/>
    </row>
    <row r="373">
      <c r="M373" s="52"/>
      <c r="N373" s="52"/>
      <c r="O373" s="52"/>
      <c r="P373" s="52"/>
      <c r="Q373" s="52"/>
      <c r="U373" s="52"/>
    </row>
    <row r="374">
      <c r="M374" s="52"/>
      <c r="N374" s="52"/>
      <c r="O374" s="52"/>
      <c r="P374" s="52"/>
      <c r="Q374" s="52"/>
      <c r="U374" s="52"/>
    </row>
    <row r="375">
      <c r="M375" s="52"/>
      <c r="N375" s="52"/>
      <c r="O375" s="52"/>
      <c r="P375" s="52"/>
      <c r="Q375" s="52"/>
      <c r="U375" s="52"/>
    </row>
    <row r="376">
      <c r="M376" s="52"/>
      <c r="N376" s="52"/>
      <c r="O376" s="52"/>
      <c r="P376" s="52"/>
      <c r="Q376" s="52"/>
      <c r="U376" s="52"/>
    </row>
    <row r="377">
      <c r="M377" s="52"/>
      <c r="N377" s="52"/>
      <c r="O377" s="52"/>
      <c r="P377" s="52"/>
      <c r="Q377" s="52"/>
      <c r="U377" s="52"/>
    </row>
    <row r="378">
      <c r="M378" s="52"/>
      <c r="N378" s="52"/>
      <c r="O378" s="52"/>
      <c r="P378" s="52"/>
      <c r="Q378" s="52"/>
      <c r="U378" s="52"/>
    </row>
    <row r="379">
      <c r="M379" s="52"/>
      <c r="N379" s="52"/>
      <c r="O379" s="52"/>
      <c r="P379" s="52"/>
      <c r="Q379" s="52"/>
      <c r="U379" s="52"/>
    </row>
    <row r="380">
      <c r="M380" s="52"/>
      <c r="N380" s="52"/>
      <c r="O380" s="52"/>
      <c r="P380" s="52"/>
      <c r="Q380" s="52"/>
      <c r="U380" s="52"/>
    </row>
    <row r="381">
      <c r="M381" s="52"/>
      <c r="N381" s="52"/>
      <c r="O381" s="52"/>
      <c r="P381" s="52"/>
      <c r="Q381" s="52"/>
      <c r="U381" s="52"/>
    </row>
    <row r="382">
      <c r="M382" s="52"/>
      <c r="N382" s="52"/>
      <c r="O382" s="52"/>
      <c r="P382" s="52"/>
      <c r="Q382" s="52"/>
      <c r="U382" s="52"/>
    </row>
    <row r="383">
      <c r="M383" s="52"/>
      <c r="N383" s="52"/>
      <c r="O383" s="52"/>
      <c r="P383" s="52"/>
      <c r="Q383" s="52"/>
      <c r="U383" s="52"/>
    </row>
    <row r="384">
      <c r="M384" s="52"/>
      <c r="N384" s="52"/>
      <c r="O384" s="52"/>
      <c r="P384" s="52"/>
      <c r="Q384" s="52"/>
      <c r="U384" s="52"/>
    </row>
    <row r="385">
      <c r="M385" s="52"/>
      <c r="N385" s="52"/>
      <c r="O385" s="52"/>
      <c r="P385" s="52"/>
      <c r="Q385" s="52"/>
      <c r="U385" s="52"/>
    </row>
    <row r="386">
      <c r="M386" s="52"/>
      <c r="N386" s="52"/>
      <c r="O386" s="52"/>
      <c r="P386" s="52"/>
      <c r="Q386" s="52"/>
      <c r="U386" s="52"/>
    </row>
    <row r="387">
      <c r="M387" s="52"/>
      <c r="N387" s="52"/>
      <c r="O387" s="52"/>
      <c r="P387" s="52"/>
      <c r="Q387" s="52"/>
      <c r="U387" s="52"/>
    </row>
    <row r="388">
      <c r="M388" s="52"/>
      <c r="N388" s="52"/>
      <c r="O388" s="52"/>
      <c r="P388" s="52"/>
      <c r="Q388" s="52"/>
      <c r="U388" s="52"/>
    </row>
    <row r="389">
      <c r="M389" s="52"/>
      <c r="N389" s="52"/>
      <c r="O389" s="52"/>
      <c r="P389" s="52"/>
      <c r="Q389" s="52"/>
      <c r="U389" s="52"/>
    </row>
    <row r="390">
      <c r="M390" s="52"/>
      <c r="N390" s="52"/>
      <c r="O390" s="52"/>
      <c r="P390" s="52"/>
      <c r="Q390" s="52"/>
      <c r="U390" s="52"/>
    </row>
    <row r="391">
      <c r="M391" s="52"/>
      <c r="N391" s="52"/>
      <c r="O391" s="52"/>
      <c r="P391" s="52"/>
      <c r="Q391" s="52"/>
      <c r="U391" s="52"/>
    </row>
    <row r="392">
      <c r="M392" s="52"/>
      <c r="N392" s="52"/>
      <c r="O392" s="52"/>
      <c r="P392" s="52"/>
      <c r="Q392" s="52"/>
      <c r="U392" s="52"/>
    </row>
    <row r="393">
      <c r="M393" s="52"/>
      <c r="N393" s="52"/>
      <c r="O393" s="52"/>
      <c r="P393" s="52"/>
      <c r="Q393" s="52"/>
      <c r="U393" s="52"/>
    </row>
    <row r="394">
      <c r="M394" s="52"/>
      <c r="N394" s="52"/>
      <c r="O394" s="52"/>
      <c r="P394" s="52"/>
      <c r="Q394" s="52"/>
      <c r="U394" s="52"/>
    </row>
    <row r="395">
      <c r="M395" s="52"/>
      <c r="N395" s="52"/>
      <c r="O395" s="52"/>
      <c r="P395" s="52"/>
      <c r="Q395" s="52"/>
      <c r="U395" s="52"/>
    </row>
    <row r="396">
      <c r="M396" s="52"/>
      <c r="N396" s="52"/>
      <c r="O396" s="52"/>
      <c r="P396" s="52"/>
      <c r="Q396" s="52"/>
      <c r="U396" s="52"/>
    </row>
    <row r="397">
      <c r="M397" s="52"/>
      <c r="N397" s="52"/>
      <c r="O397" s="52"/>
      <c r="P397" s="52"/>
      <c r="Q397" s="52"/>
      <c r="U397" s="52"/>
    </row>
    <row r="398">
      <c r="M398" s="52"/>
      <c r="N398" s="52"/>
      <c r="O398" s="52"/>
      <c r="P398" s="52"/>
      <c r="Q398" s="52"/>
      <c r="U398" s="52"/>
    </row>
    <row r="399">
      <c r="M399" s="52"/>
      <c r="N399" s="52"/>
      <c r="O399" s="52"/>
      <c r="P399" s="52"/>
      <c r="Q399" s="52"/>
      <c r="U399" s="52"/>
    </row>
    <row r="400">
      <c r="M400" s="52"/>
      <c r="N400" s="52"/>
      <c r="O400" s="52"/>
      <c r="P400" s="52"/>
      <c r="Q400" s="52"/>
      <c r="U400" s="52"/>
    </row>
    <row r="401">
      <c r="M401" s="52"/>
      <c r="N401" s="52"/>
      <c r="O401" s="52"/>
      <c r="P401" s="52"/>
      <c r="Q401" s="52"/>
      <c r="U401" s="52"/>
    </row>
    <row r="402">
      <c r="M402" s="52"/>
      <c r="N402" s="52"/>
      <c r="O402" s="52"/>
      <c r="P402" s="52"/>
      <c r="Q402" s="52"/>
      <c r="U402" s="52"/>
    </row>
    <row r="403">
      <c r="M403" s="52"/>
      <c r="N403" s="52"/>
      <c r="O403" s="52"/>
      <c r="P403" s="52"/>
      <c r="Q403" s="52"/>
      <c r="U403" s="52"/>
    </row>
    <row r="404">
      <c r="M404" s="52"/>
      <c r="N404" s="52"/>
      <c r="O404" s="52"/>
      <c r="P404" s="52"/>
      <c r="Q404" s="52"/>
      <c r="U404" s="52"/>
    </row>
    <row r="405">
      <c r="M405" s="52"/>
      <c r="N405" s="52"/>
      <c r="O405" s="52"/>
      <c r="P405" s="52"/>
      <c r="Q405" s="52"/>
      <c r="U405" s="52"/>
    </row>
    <row r="406">
      <c r="M406" s="52"/>
      <c r="N406" s="52"/>
      <c r="O406" s="52"/>
      <c r="P406" s="52"/>
      <c r="Q406" s="52"/>
      <c r="U406" s="52"/>
    </row>
    <row r="407">
      <c r="M407" s="52"/>
      <c r="N407" s="52"/>
      <c r="O407" s="52"/>
      <c r="P407" s="52"/>
      <c r="Q407" s="52"/>
      <c r="U407" s="52"/>
    </row>
    <row r="408">
      <c r="M408" s="52"/>
      <c r="N408" s="52"/>
      <c r="O408" s="52"/>
      <c r="P408" s="52"/>
      <c r="Q408" s="52"/>
      <c r="U408" s="52"/>
    </row>
    <row r="409">
      <c r="M409" s="52"/>
      <c r="N409" s="52"/>
      <c r="O409" s="52"/>
      <c r="P409" s="52"/>
      <c r="Q409" s="52"/>
      <c r="U409" s="52"/>
    </row>
    <row r="410">
      <c r="M410" s="52"/>
      <c r="N410" s="52"/>
      <c r="O410" s="52"/>
      <c r="P410" s="52"/>
      <c r="Q410" s="52"/>
      <c r="U410" s="52"/>
    </row>
    <row r="411">
      <c r="M411" s="52"/>
      <c r="N411" s="52"/>
      <c r="O411" s="52"/>
      <c r="P411" s="52"/>
      <c r="Q411" s="52"/>
      <c r="U411" s="52"/>
    </row>
    <row r="412">
      <c r="M412" s="52"/>
      <c r="N412" s="52"/>
      <c r="O412" s="52"/>
      <c r="P412" s="52"/>
      <c r="Q412" s="52"/>
      <c r="U412" s="52"/>
    </row>
    <row r="413">
      <c r="M413" s="52"/>
      <c r="N413" s="52"/>
      <c r="O413" s="52"/>
      <c r="P413" s="52"/>
      <c r="Q413" s="52"/>
      <c r="U413" s="52"/>
    </row>
    <row r="414">
      <c r="M414" s="52"/>
      <c r="N414" s="52"/>
      <c r="O414" s="52"/>
      <c r="P414" s="52"/>
      <c r="Q414" s="52"/>
      <c r="U414" s="52"/>
    </row>
    <row r="415">
      <c r="M415" s="52"/>
      <c r="N415" s="52"/>
      <c r="O415" s="52"/>
      <c r="P415" s="52"/>
      <c r="Q415" s="52"/>
      <c r="U415" s="52"/>
    </row>
    <row r="416">
      <c r="M416" s="52"/>
      <c r="N416" s="52"/>
      <c r="O416" s="52"/>
      <c r="P416" s="52"/>
      <c r="Q416" s="52"/>
      <c r="U416" s="52"/>
    </row>
    <row r="417">
      <c r="M417" s="52"/>
      <c r="N417" s="52"/>
      <c r="O417" s="52"/>
      <c r="P417" s="52"/>
      <c r="Q417" s="52"/>
      <c r="U417" s="52"/>
    </row>
    <row r="418">
      <c r="M418" s="52"/>
      <c r="N418" s="52"/>
      <c r="O418" s="52"/>
      <c r="P418" s="52"/>
      <c r="Q418" s="52"/>
      <c r="U418" s="52"/>
    </row>
    <row r="419">
      <c r="M419" s="52"/>
      <c r="N419" s="52"/>
      <c r="O419" s="52"/>
      <c r="P419" s="52"/>
      <c r="Q419" s="52"/>
      <c r="U419" s="52"/>
    </row>
    <row r="420">
      <c r="M420" s="52"/>
      <c r="N420" s="52"/>
      <c r="O420" s="52"/>
      <c r="P420" s="52"/>
      <c r="Q420" s="52"/>
      <c r="U420" s="52"/>
    </row>
    <row r="421">
      <c r="M421" s="52"/>
      <c r="N421" s="52"/>
      <c r="O421" s="52"/>
      <c r="P421" s="52"/>
      <c r="Q421" s="52"/>
      <c r="U421" s="52"/>
    </row>
    <row r="422">
      <c r="M422" s="52"/>
      <c r="N422" s="52"/>
      <c r="O422" s="52"/>
      <c r="P422" s="52"/>
      <c r="Q422" s="52"/>
      <c r="U422" s="52"/>
    </row>
    <row r="423">
      <c r="M423" s="52"/>
      <c r="N423" s="52"/>
      <c r="O423" s="52"/>
      <c r="P423" s="52"/>
      <c r="Q423" s="52"/>
      <c r="U423" s="52"/>
    </row>
    <row r="424">
      <c r="M424" s="52"/>
      <c r="N424" s="52"/>
      <c r="O424" s="52"/>
      <c r="P424" s="52"/>
      <c r="Q424" s="52"/>
      <c r="U424" s="52"/>
    </row>
    <row r="425">
      <c r="M425" s="52"/>
      <c r="N425" s="52"/>
      <c r="O425" s="52"/>
      <c r="P425" s="52"/>
      <c r="Q425" s="52"/>
      <c r="U425" s="52"/>
    </row>
    <row r="426">
      <c r="M426" s="52"/>
      <c r="N426" s="52"/>
      <c r="O426" s="52"/>
      <c r="P426" s="52"/>
      <c r="Q426" s="52"/>
      <c r="U426" s="52"/>
    </row>
    <row r="427">
      <c r="M427" s="52"/>
      <c r="N427" s="52"/>
      <c r="O427" s="52"/>
      <c r="P427" s="52"/>
      <c r="Q427" s="52"/>
      <c r="U427" s="52"/>
    </row>
    <row r="428">
      <c r="M428" s="52"/>
      <c r="N428" s="52"/>
      <c r="O428" s="52"/>
      <c r="P428" s="52"/>
      <c r="Q428" s="52"/>
      <c r="U428" s="52"/>
    </row>
    <row r="429">
      <c r="M429" s="52"/>
      <c r="N429" s="52"/>
      <c r="O429" s="52"/>
      <c r="P429" s="52"/>
      <c r="Q429" s="52"/>
      <c r="U429" s="52"/>
    </row>
    <row r="430">
      <c r="M430" s="52"/>
      <c r="N430" s="52"/>
      <c r="O430" s="52"/>
      <c r="P430" s="52"/>
      <c r="Q430" s="52"/>
      <c r="U430" s="52"/>
    </row>
    <row r="431">
      <c r="M431" s="52"/>
      <c r="N431" s="52"/>
      <c r="O431" s="52"/>
      <c r="P431" s="52"/>
      <c r="Q431" s="52"/>
      <c r="U431" s="52"/>
    </row>
    <row r="432">
      <c r="M432" s="52"/>
      <c r="N432" s="52"/>
      <c r="O432" s="52"/>
      <c r="P432" s="52"/>
      <c r="Q432" s="52"/>
      <c r="U432" s="52"/>
    </row>
    <row r="433">
      <c r="M433" s="52"/>
      <c r="N433" s="52"/>
      <c r="O433" s="52"/>
      <c r="P433" s="52"/>
      <c r="Q433" s="52"/>
      <c r="U433" s="52"/>
    </row>
    <row r="434">
      <c r="M434" s="52"/>
      <c r="N434" s="52"/>
      <c r="O434" s="52"/>
      <c r="P434" s="52"/>
      <c r="Q434" s="52"/>
      <c r="U434" s="52"/>
    </row>
    <row r="435">
      <c r="M435" s="52"/>
      <c r="N435" s="52"/>
      <c r="O435" s="52"/>
      <c r="P435" s="52"/>
      <c r="Q435" s="52"/>
      <c r="U435" s="52"/>
    </row>
    <row r="436">
      <c r="M436" s="52"/>
      <c r="N436" s="52"/>
      <c r="O436" s="52"/>
      <c r="P436" s="52"/>
      <c r="Q436" s="52"/>
      <c r="U436" s="52"/>
    </row>
    <row r="437">
      <c r="M437" s="52"/>
      <c r="N437" s="52"/>
      <c r="O437" s="52"/>
      <c r="P437" s="52"/>
      <c r="Q437" s="52"/>
      <c r="U437" s="52"/>
    </row>
    <row r="438">
      <c r="M438" s="52"/>
      <c r="N438" s="52"/>
      <c r="O438" s="52"/>
      <c r="P438" s="52"/>
      <c r="Q438" s="52"/>
      <c r="U438" s="52"/>
    </row>
    <row r="439">
      <c r="M439" s="52"/>
      <c r="N439" s="52"/>
      <c r="O439" s="52"/>
      <c r="P439" s="52"/>
      <c r="Q439" s="52"/>
      <c r="U439" s="52"/>
    </row>
    <row r="440">
      <c r="M440" s="52"/>
      <c r="N440" s="52"/>
      <c r="O440" s="52"/>
      <c r="P440" s="52"/>
      <c r="Q440" s="52"/>
      <c r="U440" s="52"/>
    </row>
    <row r="441">
      <c r="M441" s="52"/>
      <c r="N441" s="52"/>
      <c r="O441" s="52"/>
      <c r="P441" s="52"/>
      <c r="Q441" s="52"/>
      <c r="U441" s="52"/>
    </row>
    <row r="442">
      <c r="M442" s="52"/>
      <c r="N442" s="52"/>
      <c r="O442" s="52"/>
      <c r="P442" s="52"/>
      <c r="Q442" s="52"/>
      <c r="U442" s="52"/>
    </row>
    <row r="443">
      <c r="M443" s="52"/>
      <c r="N443" s="52"/>
      <c r="O443" s="52"/>
      <c r="P443" s="52"/>
      <c r="Q443" s="52"/>
      <c r="U443" s="52"/>
    </row>
    <row r="444">
      <c r="M444" s="52"/>
      <c r="N444" s="52"/>
      <c r="O444" s="52"/>
      <c r="P444" s="52"/>
      <c r="Q444" s="52"/>
      <c r="U444" s="52"/>
    </row>
    <row r="445">
      <c r="M445" s="52"/>
      <c r="N445" s="52"/>
      <c r="O445" s="52"/>
      <c r="P445" s="52"/>
      <c r="Q445" s="52"/>
      <c r="U445" s="52"/>
    </row>
    <row r="446">
      <c r="M446" s="52"/>
      <c r="N446" s="52"/>
      <c r="O446" s="52"/>
      <c r="P446" s="52"/>
      <c r="Q446" s="52"/>
      <c r="U446" s="52"/>
    </row>
    <row r="447">
      <c r="M447" s="52"/>
      <c r="N447" s="52"/>
      <c r="O447" s="52"/>
      <c r="P447" s="52"/>
      <c r="Q447" s="52"/>
      <c r="U447" s="52"/>
    </row>
    <row r="448">
      <c r="M448" s="52"/>
      <c r="N448" s="52"/>
      <c r="O448" s="52"/>
      <c r="P448" s="52"/>
      <c r="Q448" s="52"/>
      <c r="U448" s="52"/>
    </row>
    <row r="449">
      <c r="M449" s="52"/>
      <c r="N449" s="52"/>
      <c r="O449" s="52"/>
      <c r="P449" s="52"/>
      <c r="Q449" s="52"/>
      <c r="U449" s="52"/>
    </row>
    <row r="450">
      <c r="M450" s="52"/>
      <c r="N450" s="52"/>
      <c r="O450" s="52"/>
      <c r="P450" s="52"/>
      <c r="Q450" s="52"/>
      <c r="U450" s="52"/>
    </row>
    <row r="451">
      <c r="M451" s="52"/>
      <c r="N451" s="52"/>
      <c r="O451" s="52"/>
      <c r="P451" s="52"/>
      <c r="Q451" s="52"/>
      <c r="U451" s="52"/>
    </row>
    <row r="452">
      <c r="M452" s="52"/>
      <c r="N452" s="52"/>
      <c r="O452" s="52"/>
      <c r="P452" s="52"/>
      <c r="Q452" s="52"/>
      <c r="U452" s="52"/>
    </row>
    <row r="453">
      <c r="M453" s="52"/>
      <c r="N453" s="52"/>
      <c r="O453" s="52"/>
      <c r="P453" s="52"/>
      <c r="Q453" s="52"/>
      <c r="U453" s="52"/>
    </row>
    <row r="454">
      <c r="M454" s="52"/>
      <c r="N454" s="52"/>
      <c r="O454" s="52"/>
      <c r="P454" s="52"/>
      <c r="Q454" s="52"/>
      <c r="U454" s="52"/>
    </row>
    <row r="455">
      <c r="M455" s="52"/>
      <c r="N455" s="52"/>
      <c r="O455" s="52"/>
      <c r="P455" s="52"/>
      <c r="Q455" s="52"/>
      <c r="U455" s="52"/>
    </row>
    <row r="456">
      <c r="M456" s="52"/>
      <c r="N456" s="52"/>
      <c r="O456" s="52"/>
      <c r="P456" s="52"/>
      <c r="Q456" s="52"/>
      <c r="U456" s="52"/>
    </row>
    <row r="457">
      <c r="M457" s="52"/>
      <c r="N457" s="52"/>
      <c r="O457" s="52"/>
      <c r="P457" s="52"/>
      <c r="Q457" s="52"/>
      <c r="U457" s="52"/>
    </row>
    <row r="458">
      <c r="M458" s="52"/>
      <c r="N458" s="52"/>
      <c r="O458" s="52"/>
      <c r="P458" s="52"/>
      <c r="Q458" s="52"/>
      <c r="U458" s="52"/>
    </row>
    <row r="459">
      <c r="M459" s="52"/>
      <c r="N459" s="52"/>
      <c r="O459" s="52"/>
      <c r="P459" s="52"/>
      <c r="Q459" s="52"/>
      <c r="U459" s="52"/>
    </row>
    <row r="460">
      <c r="M460" s="52"/>
      <c r="N460" s="52"/>
      <c r="O460" s="52"/>
      <c r="P460" s="52"/>
      <c r="Q460" s="52"/>
      <c r="U460" s="52"/>
    </row>
    <row r="461">
      <c r="M461" s="52"/>
      <c r="N461" s="52"/>
      <c r="O461" s="52"/>
      <c r="P461" s="52"/>
      <c r="Q461" s="52"/>
      <c r="U461" s="52"/>
    </row>
    <row r="462">
      <c r="M462" s="52"/>
      <c r="N462" s="52"/>
      <c r="O462" s="52"/>
      <c r="P462" s="52"/>
      <c r="Q462" s="52"/>
      <c r="U462" s="52"/>
    </row>
    <row r="463">
      <c r="M463" s="52"/>
      <c r="N463" s="52"/>
      <c r="O463" s="52"/>
      <c r="P463" s="52"/>
      <c r="Q463" s="52"/>
      <c r="U463" s="52"/>
    </row>
    <row r="464">
      <c r="M464" s="52"/>
      <c r="N464" s="52"/>
      <c r="O464" s="52"/>
      <c r="P464" s="52"/>
      <c r="Q464" s="52"/>
      <c r="U464" s="52"/>
    </row>
    <row r="465">
      <c r="M465" s="52"/>
      <c r="N465" s="52"/>
      <c r="O465" s="52"/>
      <c r="P465" s="52"/>
      <c r="Q465" s="52"/>
      <c r="U465" s="52"/>
    </row>
    <row r="466">
      <c r="M466" s="52"/>
      <c r="N466" s="52"/>
      <c r="O466" s="52"/>
      <c r="P466" s="52"/>
      <c r="Q466" s="52"/>
      <c r="U466" s="52"/>
    </row>
    <row r="467">
      <c r="M467" s="52"/>
      <c r="N467" s="52"/>
      <c r="O467" s="52"/>
      <c r="P467" s="52"/>
      <c r="Q467" s="52"/>
      <c r="U467" s="52"/>
    </row>
    <row r="468">
      <c r="M468" s="52"/>
      <c r="N468" s="52"/>
      <c r="O468" s="52"/>
      <c r="P468" s="52"/>
      <c r="Q468" s="52"/>
      <c r="U468" s="52"/>
    </row>
    <row r="469">
      <c r="M469" s="52"/>
      <c r="N469" s="52"/>
      <c r="O469" s="52"/>
      <c r="P469" s="52"/>
      <c r="Q469" s="52"/>
      <c r="U469" s="52"/>
    </row>
    <row r="470">
      <c r="M470" s="52"/>
      <c r="N470" s="52"/>
      <c r="O470" s="52"/>
      <c r="P470" s="52"/>
      <c r="Q470" s="52"/>
      <c r="U470" s="52"/>
    </row>
    <row r="471">
      <c r="M471" s="52"/>
      <c r="N471" s="52"/>
      <c r="O471" s="52"/>
      <c r="P471" s="52"/>
      <c r="Q471" s="52"/>
      <c r="U471" s="52"/>
    </row>
    <row r="472">
      <c r="M472" s="52"/>
      <c r="N472" s="52"/>
      <c r="O472" s="52"/>
      <c r="P472" s="52"/>
      <c r="Q472" s="52"/>
      <c r="U472" s="52"/>
    </row>
    <row r="473">
      <c r="M473" s="52"/>
      <c r="N473" s="52"/>
      <c r="O473" s="52"/>
      <c r="P473" s="52"/>
      <c r="Q473" s="52"/>
      <c r="U473" s="52"/>
    </row>
    <row r="474">
      <c r="M474" s="52"/>
      <c r="N474" s="52"/>
      <c r="O474" s="52"/>
      <c r="P474" s="52"/>
      <c r="Q474" s="52"/>
      <c r="U474" s="52"/>
    </row>
    <row r="475">
      <c r="M475" s="52"/>
      <c r="N475" s="52"/>
      <c r="O475" s="52"/>
      <c r="P475" s="52"/>
      <c r="Q475" s="52"/>
      <c r="U475" s="52"/>
    </row>
    <row r="476">
      <c r="M476" s="52"/>
      <c r="N476" s="52"/>
      <c r="O476" s="52"/>
      <c r="P476" s="52"/>
      <c r="Q476" s="52"/>
      <c r="U476" s="52"/>
    </row>
    <row r="477">
      <c r="M477" s="52"/>
      <c r="N477" s="52"/>
      <c r="O477" s="52"/>
      <c r="P477" s="52"/>
      <c r="Q477" s="52"/>
      <c r="U477" s="52"/>
    </row>
    <row r="478">
      <c r="M478" s="52"/>
      <c r="N478" s="52"/>
      <c r="O478" s="52"/>
      <c r="P478" s="52"/>
      <c r="Q478" s="52"/>
      <c r="U478" s="52"/>
    </row>
    <row r="479">
      <c r="M479" s="52"/>
      <c r="N479" s="52"/>
      <c r="O479" s="52"/>
      <c r="P479" s="52"/>
      <c r="Q479" s="52"/>
      <c r="U479" s="52"/>
    </row>
    <row r="480">
      <c r="M480" s="52"/>
      <c r="N480" s="52"/>
      <c r="O480" s="52"/>
      <c r="P480" s="52"/>
      <c r="Q480" s="52"/>
      <c r="U480" s="52"/>
    </row>
    <row r="481">
      <c r="M481" s="52"/>
      <c r="N481" s="52"/>
      <c r="O481" s="52"/>
      <c r="P481" s="52"/>
      <c r="Q481" s="52"/>
      <c r="U481" s="52"/>
    </row>
    <row r="482">
      <c r="M482" s="52"/>
      <c r="N482" s="52"/>
      <c r="O482" s="52"/>
      <c r="P482" s="52"/>
      <c r="Q482" s="52"/>
      <c r="U482" s="52"/>
    </row>
    <row r="483">
      <c r="M483" s="52"/>
      <c r="N483" s="52"/>
      <c r="O483" s="52"/>
      <c r="P483" s="52"/>
      <c r="Q483" s="52"/>
      <c r="U483" s="52"/>
    </row>
    <row r="484">
      <c r="M484" s="52"/>
      <c r="N484" s="52"/>
      <c r="O484" s="52"/>
      <c r="P484" s="52"/>
      <c r="Q484" s="52"/>
      <c r="U484" s="52"/>
    </row>
    <row r="485">
      <c r="M485" s="52"/>
      <c r="N485" s="52"/>
      <c r="O485" s="52"/>
      <c r="P485" s="52"/>
      <c r="Q485" s="52"/>
      <c r="U485" s="52"/>
    </row>
    <row r="486">
      <c r="M486" s="52"/>
      <c r="N486" s="52"/>
      <c r="O486" s="52"/>
      <c r="P486" s="52"/>
      <c r="Q486" s="52"/>
      <c r="U486" s="52"/>
    </row>
    <row r="487">
      <c r="M487" s="52"/>
      <c r="N487" s="52"/>
      <c r="O487" s="52"/>
      <c r="P487" s="52"/>
      <c r="Q487" s="52"/>
      <c r="U487" s="52"/>
    </row>
    <row r="488">
      <c r="M488" s="52"/>
      <c r="N488" s="52"/>
      <c r="O488" s="52"/>
      <c r="P488" s="52"/>
      <c r="Q488" s="52"/>
      <c r="U488" s="52"/>
    </row>
    <row r="489">
      <c r="M489" s="52"/>
      <c r="N489" s="52"/>
      <c r="O489" s="52"/>
      <c r="P489" s="52"/>
      <c r="Q489" s="52"/>
      <c r="U489" s="52"/>
    </row>
    <row r="490">
      <c r="M490" s="52"/>
      <c r="N490" s="52"/>
      <c r="O490" s="52"/>
      <c r="P490" s="52"/>
      <c r="Q490" s="52"/>
      <c r="U490" s="52"/>
    </row>
    <row r="491">
      <c r="M491" s="52"/>
      <c r="N491" s="52"/>
      <c r="O491" s="52"/>
      <c r="P491" s="52"/>
      <c r="Q491" s="52"/>
      <c r="U491" s="52"/>
    </row>
    <row r="492">
      <c r="M492" s="52"/>
      <c r="N492" s="52"/>
      <c r="O492" s="52"/>
      <c r="P492" s="52"/>
      <c r="Q492" s="52"/>
      <c r="U492" s="52"/>
    </row>
    <row r="493">
      <c r="M493" s="52"/>
      <c r="N493" s="52"/>
      <c r="O493" s="52"/>
      <c r="P493" s="52"/>
      <c r="Q493" s="52"/>
      <c r="U493" s="52"/>
    </row>
    <row r="494">
      <c r="M494" s="52"/>
      <c r="N494" s="52"/>
      <c r="O494" s="52"/>
      <c r="P494" s="52"/>
      <c r="Q494" s="52"/>
      <c r="U494" s="52"/>
    </row>
    <row r="495">
      <c r="M495" s="52"/>
      <c r="N495" s="52"/>
      <c r="O495" s="52"/>
      <c r="P495" s="52"/>
      <c r="Q495" s="52"/>
      <c r="U495" s="52"/>
    </row>
    <row r="496">
      <c r="M496" s="52"/>
      <c r="N496" s="52"/>
      <c r="O496" s="52"/>
      <c r="P496" s="52"/>
      <c r="Q496" s="52"/>
      <c r="U496" s="52"/>
    </row>
    <row r="497">
      <c r="M497" s="52"/>
      <c r="N497" s="52"/>
      <c r="O497" s="52"/>
      <c r="P497" s="52"/>
      <c r="Q497" s="52"/>
      <c r="U497" s="52"/>
    </row>
    <row r="498">
      <c r="M498" s="52"/>
      <c r="N498" s="52"/>
      <c r="O498" s="52"/>
      <c r="P498" s="52"/>
      <c r="Q498" s="52"/>
      <c r="U498" s="52"/>
    </row>
    <row r="499">
      <c r="M499" s="52"/>
      <c r="N499" s="52"/>
      <c r="O499" s="52"/>
      <c r="P499" s="52"/>
      <c r="Q499" s="52"/>
      <c r="U499" s="52"/>
    </row>
    <row r="500">
      <c r="M500" s="52"/>
      <c r="N500" s="52"/>
      <c r="O500" s="52"/>
      <c r="P500" s="52"/>
      <c r="Q500" s="52"/>
      <c r="U500" s="52"/>
    </row>
    <row r="501">
      <c r="M501" s="52"/>
      <c r="N501" s="52"/>
      <c r="O501" s="52"/>
      <c r="P501" s="52"/>
      <c r="Q501" s="52"/>
      <c r="U501" s="52"/>
    </row>
    <row r="502">
      <c r="M502" s="52"/>
      <c r="N502" s="52"/>
      <c r="O502" s="52"/>
      <c r="P502" s="52"/>
      <c r="Q502" s="52"/>
      <c r="U502" s="52"/>
    </row>
    <row r="503">
      <c r="M503" s="52"/>
      <c r="N503" s="52"/>
      <c r="O503" s="52"/>
      <c r="P503" s="52"/>
      <c r="Q503" s="52"/>
      <c r="U503" s="52"/>
    </row>
    <row r="504">
      <c r="M504" s="52"/>
      <c r="N504" s="52"/>
      <c r="O504" s="52"/>
      <c r="P504" s="52"/>
      <c r="Q504" s="52"/>
      <c r="U504" s="52"/>
    </row>
    <row r="505">
      <c r="M505" s="52"/>
      <c r="N505" s="52"/>
      <c r="O505" s="52"/>
      <c r="P505" s="52"/>
      <c r="Q505" s="52"/>
      <c r="U505" s="52"/>
    </row>
    <row r="506">
      <c r="M506" s="52"/>
      <c r="N506" s="52"/>
      <c r="O506" s="52"/>
      <c r="P506" s="52"/>
      <c r="Q506" s="52"/>
      <c r="U506" s="52"/>
    </row>
    <row r="507">
      <c r="M507" s="52"/>
      <c r="N507" s="52"/>
      <c r="O507" s="52"/>
      <c r="P507" s="52"/>
      <c r="Q507" s="52"/>
      <c r="U507" s="52"/>
    </row>
    <row r="508">
      <c r="M508" s="52"/>
      <c r="N508" s="52"/>
      <c r="O508" s="52"/>
      <c r="P508" s="52"/>
      <c r="Q508" s="52"/>
      <c r="U508" s="52"/>
    </row>
    <row r="509">
      <c r="M509" s="52"/>
      <c r="N509" s="52"/>
      <c r="O509" s="52"/>
      <c r="P509" s="52"/>
      <c r="Q509" s="52"/>
      <c r="U509" s="52"/>
    </row>
    <row r="510">
      <c r="M510" s="52"/>
      <c r="N510" s="52"/>
      <c r="O510" s="52"/>
      <c r="P510" s="52"/>
      <c r="Q510" s="52"/>
      <c r="U510" s="52"/>
    </row>
    <row r="511">
      <c r="M511" s="52"/>
      <c r="N511" s="52"/>
      <c r="O511" s="52"/>
      <c r="P511" s="52"/>
      <c r="Q511" s="52"/>
      <c r="U511" s="52"/>
    </row>
    <row r="512">
      <c r="M512" s="52"/>
      <c r="N512" s="52"/>
      <c r="O512" s="52"/>
      <c r="P512" s="52"/>
      <c r="Q512" s="52"/>
      <c r="U512" s="52"/>
    </row>
    <row r="513">
      <c r="M513" s="52"/>
      <c r="N513" s="52"/>
      <c r="O513" s="52"/>
      <c r="P513" s="52"/>
      <c r="Q513" s="52"/>
      <c r="U513" s="52"/>
    </row>
    <row r="514">
      <c r="M514" s="52"/>
      <c r="N514" s="52"/>
      <c r="O514" s="52"/>
      <c r="P514" s="52"/>
      <c r="Q514" s="52"/>
      <c r="U514" s="52"/>
    </row>
    <row r="515">
      <c r="M515" s="52"/>
      <c r="N515" s="52"/>
      <c r="O515" s="52"/>
      <c r="P515" s="52"/>
      <c r="Q515" s="52"/>
      <c r="U515" s="52"/>
    </row>
    <row r="516">
      <c r="M516" s="52"/>
      <c r="N516" s="52"/>
      <c r="O516" s="52"/>
      <c r="P516" s="52"/>
      <c r="Q516" s="52"/>
      <c r="U516" s="52"/>
    </row>
    <row r="517">
      <c r="M517" s="52"/>
      <c r="N517" s="52"/>
      <c r="O517" s="52"/>
      <c r="P517" s="52"/>
      <c r="Q517" s="52"/>
      <c r="U517" s="52"/>
    </row>
    <row r="518">
      <c r="M518" s="52"/>
      <c r="N518" s="52"/>
      <c r="O518" s="52"/>
      <c r="P518" s="52"/>
      <c r="Q518" s="52"/>
      <c r="U518" s="52"/>
    </row>
    <row r="519">
      <c r="M519" s="52"/>
      <c r="N519" s="52"/>
      <c r="O519" s="52"/>
      <c r="P519" s="52"/>
      <c r="Q519" s="52"/>
      <c r="U519" s="52"/>
    </row>
    <row r="520">
      <c r="M520" s="52"/>
      <c r="N520" s="52"/>
      <c r="O520" s="52"/>
      <c r="P520" s="52"/>
      <c r="Q520" s="52"/>
      <c r="U520" s="52"/>
    </row>
    <row r="521">
      <c r="M521" s="52"/>
      <c r="N521" s="52"/>
      <c r="O521" s="52"/>
      <c r="P521" s="52"/>
      <c r="Q521" s="52"/>
      <c r="U521" s="52"/>
    </row>
    <row r="522">
      <c r="M522" s="52"/>
      <c r="N522" s="52"/>
      <c r="O522" s="52"/>
      <c r="P522" s="52"/>
      <c r="Q522" s="52"/>
      <c r="U522" s="52"/>
    </row>
    <row r="523">
      <c r="M523" s="52"/>
      <c r="N523" s="52"/>
      <c r="O523" s="52"/>
      <c r="P523" s="52"/>
      <c r="Q523" s="52"/>
      <c r="U523" s="52"/>
    </row>
    <row r="524">
      <c r="M524" s="52"/>
      <c r="N524" s="52"/>
      <c r="O524" s="52"/>
      <c r="P524" s="52"/>
      <c r="Q524" s="52"/>
      <c r="U524" s="52"/>
    </row>
    <row r="525">
      <c r="M525" s="52"/>
      <c r="N525" s="52"/>
      <c r="O525" s="52"/>
      <c r="P525" s="52"/>
      <c r="Q525" s="52"/>
      <c r="U525" s="52"/>
    </row>
    <row r="526">
      <c r="M526" s="52"/>
      <c r="N526" s="52"/>
      <c r="O526" s="52"/>
      <c r="P526" s="52"/>
      <c r="Q526" s="52"/>
      <c r="U526" s="52"/>
    </row>
    <row r="527">
      <c r="M527" s="52"/>
      <c r="N527" s="52"/>
      <c r="O527" s="52"/>
      <c r="P527" s="52"/>
      <c r="Q527" s="52"/>
      <c r="U527" s="52"/>
    </row>
    <row r="528">
      <c r="M528" s="52"/>
      <c r="N528" s="52"/>
      <c r="O528" s="52"/>
      <c r="P528" s="52"/>
      <c r="Q528" s="52"/>
      <c r="U528" s="52"/>
    </row>
    <row r="529">
      <c r="M529" s="52"/>
      <c r="N529" s="52"/>
      <c r="O529" s="52"/>
      <c r="P529" s="52"/>
      <c r="Q529" s="52"/>
      <c r="U529" s="52"/>
    </row>
    <row r="530">
      <c r="M530" s="52"/>
      <c r="N530" s="52"/>
      <c r="O530" s="52"/>
      <c r="P530" s="52"/>
      <c r="Q530" s="52"/>
      <c r="U530" s="52"/>
    </row>
    <row r="531">
      <c r="M531" s="52"/>
      <c r="N531" s="52"/>
      <c r="O531" s="52"/>
      <c r="P531" s="52"/>
      <c r="Q531" s="52"/>
      <c r="U531" s="52"/>
    </row>
    <row r="532">
      <c r="M532" s="52"/>
      <c r="N532" s="52"/>
      <c r="O532" s="52"/>
      <c r="P532" s="52"/>
      <c r="Q532" s="52"/>
      <c r="U532" s="52"/>
    </row>
    <row r="533">
      <c r="M533" s="52"/>
      <c r="N533" s="52"/>
      <c r="O533" s="52"/>
      <c r="P533" s="52"/>
      <c r="Q533" s="52"/>
      <c r="U533" s="52"/>
    </row>
    <row r="534">
      <c r="M534" s="52"/>
      <c r="N534" s="52"/>
      <c r="O534" s="52"/>
      <c r="P534" s="52"/>
      <c r="Q534" s="52"/>
      <c r="U534" s="52"/>
    </row>
    <row r="535">
      <c r="M535" s="52"/>
      <c r="N535" s="52"/>
      <c r="O535" s="52"/>
      <c r="P535" s="52"/>
      <c r="Q535" s="52"/>
      <c r="U535" s="52"/>
    </row>
    <row r="536">
      <c r="M536" s="52"/>
      <c r="N536" s="52"/>
      <c r="O536" s="52"/>
      <c r="P536" s="52"/>
      <c r="Q536" s="52"/>
      <c r="U536" s="52"/>
    </row>
    <row r="537">
      <c r="M537" s="52"/>
      <c r="N537" s="52"/>
      <c r="O537" s="52"/>
      <c r="P537" s="52"/>
      <c r="Q537" s="52"/>
      <c r="U537" s="52"/>
    </row>
    <row r="538">
      <c r="M538" s="52"/>
      <c r="N538" s="52"/>
      <c r="O538" s="52"/>
      <c r="P538" s="52"/>
      <c r="Q538" s="52"/>
      <c r="U538" s="52"/>
    </row>
    <row r="539">
      <c r="M539" s="52"/>
      <c r="N539" s="52"/>
      <c r="O539" s="52"/>
      <c r="P539" s="52"/>
      <c r="Q539" s="52"/>
      <c r="U539" s="52"/>
    </row>
    <row r="540">
      <c r="M540" s="52"/>
      <c r="N540" s="52"/>
      <c r="O540" s="52"/>
      <c r="P540" s="52"/>
      <c r="Q540" s="52"/>
      <c r="U540" s="52"/>
    </row>
    <row r="541">
      <c r="M541" s="52"/>
      <c r="N541" s="52"/>
      <c r="O541" s="52"/>
      <c r="P541" s="52"/>
      <c r="Q541" s="52"/>
      <c r="U541" s="52"/>
    </row>
    <row r="542">
      <c r="M542" s="52"/>
      <c r="N542" s="52"/>
      <c r="O542" s="52"/>
      <c r="P542" s="52"/>
      <c r="Q542" s="52"/>
      <c r="U542" s="52"/>
    </row>
    <row r="543">
      <c r="M543" s="52"/>
      <c r="N543" s="52"/>
      <c r="O543" s="52"/>
      <c r="P543" s="52"/>
      <c r="Q543" s="52"/>
      <c r="U543" s="52"/>
    </row>
    <row r="544">
      <c r="M544" s="52"/>
      <c r="N544" s="52"/>
      <c r="O544" s="52"/>
      <c r="P544" s="52"/>
      <c r="Q544" s="52"/>
      <c r="U544" s="52"/>
    </row>
    <row r="545">
      <c r="M545" s="52"/>
      <c r="N545" s="52"/>
      <c r="O545" s="52"/>
      <c r="P545" s="52"/>
      <c r="Q545" s="52"/>
      <c r="U545" s="52"/>
    </row>
    <row r="546">
      <c r="M546" s="52"/>
      <c r="N546" s="52"/>
      <c r="O546" s="52"/>
      <c r="P546" s="52"/>
      <c r="Q546" s="52"/>
      <c r="U546" s="52"/>
    </row>
    <row r="547">
      <c r="M547" s="52"/>
      <c r="N547" s="52"/>
      <c r="O547" s="52"/>
      <c r="P547" s="52"/>
      <c r="Q547" s="52"/>
      <c r="U547" s="52"/>
    </row>
    <row r="548">
      <c r="M548" s="52"/>
      <c r="N548" s="52"/>
      <c r="O548" s="52"/>
      <c r="P548" s="52"/>
      <c r="Q548" s="52"/>
      <c r="U548" s="52"/>
    </row>
    <row r="549">
      <c r="M549" s="52"/>
      <c r="N549" s="52"/>
      <c r="O549" s="52"/>
      <c r="P549" s="52"/>
      <c r="Q549" s="52"/>
      <c r="U549" s="52"/>
    </row>
    <row r="550">
      <c r="M550" s="52"/>
      <c r="N550" s="52"/>
      <c r="O550" s="52"/>
      <c r="P550" s="52"/>
      <c r="Q550" s="52"/>
      <c r="U550" s="52"/>
    </row>
    <row r="551">
      <c r="M551" s="52"/>
      <c r="N551" s="52"/>
      <c r="O551" s="52"/>
      <c r="P551" s="52"/>
      <c r="Q551" s="52"/>
      <c r="U551" s="52"/>
    </row>
    <row r="552">
      <c r="M552" s="52"/>
      <c r="N552" s="52"/>
      <c r="O552" s="52"/>
      <c r="P552" s="52"/>
      <c r="Q552" s="52"/>
      <c r="U552" s="52"/>
    </row>
    <row r="553">
      <c r="M553" s="52"/>
      <c r="N553" s="52"/>
      <c r="O553" s="52"/>
      <c r="P553" s="52"/>
      <c r="Q553" s="52"/>
      <c r="U553" s="52"/>
    </row>
    <row r="554">
      <c r="M554" s="52"/>
      <c r="N554" s="52"/>
      <c r="O554" s="52"/>
      <c r="P554" s="52"/>
      <c r="Q554" s="52"/>
      <c r="U554" s="52"/>
    </row>
    <row r="555">
      <c r="M555" s="52"/>
      <c r="N555" s="52"/>
      <c r="O555" s="52"/>
      <c r="P555" s="52"/>
      <c r="Q555" s="52"/>
      <c r="U555" s="52"/>
    </row>
    <row r="556">
      <c r="M556" s="52"/>
      <c r="N556" s="52"/>
      <c r="O556" s="52"/>
      <c r="P556" s="52"/>
      <c r="Q556" s="52"/>
      <c r="U556" s="52"/>
    </row>
    <row r="557">
      <c r="M557" s="52"/>
      <c r="N557" s="52"/>
      <c r="O557" s="52"/>
      <c r="P557" s="52"/>
      <c r="Q557" s="52"/>
      <c r="U557" s="52"/>
    </row>
    <row r="558">
      <c r="M558" s="52"/>
      <c r="N558" s="52"/>
      <c r="O558" s="52"/>
      <c r="P558" s="52"/>
      <c r="Q558" s="52"/>
      <c r="U558" s="52"/>
    </row>
    <row r="559">
      <c r="M559" s="52"/>
      <c r="N559" s="52"/>
      <c r="O559" s="52"/>
      <c r="P559" s="52"/>
      <c r="Q559" s="52"/>
      <c r="U559" s="52"/>
    </row>
    <row r="560">
      <c r="M560" s="52"/>
      <c r="N560" s="52"/>
      <c r="O560" s="52"/>
      <c r="P560" s="52"/>
      <c r="Q560" s="52"/>
      <c r="U560" s="52"/>
    </row>
    <row r="561">
      <c r="M561" s="52"/>
      <c r="N561" s="52"/>
      <c r="O561" s="52"/>
      <c r="P561" s="52"/>
      <c r="Q561" s="52"/>
      <c r="U561" s="52"/>
    </row>
    <row r="562">
      <c r="M562" s="52"/>
      <c r="N562" s="52"/>
      <c r="O562" s="52"/>
      <c r="P562" s="52"/>
      <c r="Q562" s="52"/>
      <c r="U562" s="52"/>
    </row>
    <row r="563">
      <c r="M563" s="52"/>
      <c r="N563" s="52"/>
      <c r="O563" s="52"/>
      <c r="P563" s="52"/>
      <c r="Q563" s="52"/>
      <c r="U563" s="52"/>
    </row>
    <row r="564">
      <c r="M564" s="52"/>
      <c r="N564" s="52"/>
      <c r="O564" s="52"/>
      <c r="P564" s="52"/>
      <c r="Q564" s="52"/>
      <c r="U564" s="52"/>
    </row>
    <row r="565">
      <c r="M565" s="52"/>
      <c r="N565" s="52"/>
      <c r="O565" s="52"/>
      <c r="P565" s="52"/>
      <c r="Q565" s="52"/>
      <c r="U565" s="52"/>
    </row>
    <row r="566">
      <c r="M566" s="52"/>
      <c r="N566" s="52"/>
      <c r="O566" s="52"/>
      <c r="P566" s="52"/>
      <c r="Q566" s="52"/>
      <c r="U566" s="52"/>
    </row>
    <row r="567">
      <c r="M567" s="52"/>
      <c r="N567" s="52"/>
      <c r="O567" s="52"/>
      <c r="P567" s="52"/>
      <c r="Q567" s="52"/>
      <c r="U567" s="52"/>
    </row>
    <row r="568">
      <c r="M568" s="52"/>
      <c r="N568" s="52"/>
      <c r="O568" s="52"/>
      <c r="P568" s="52"/>
      <c r="Q568" s="52"/>
      <c r="U568" s="52"/>
    </row>
    <row r="569">
      <c r="M569" s="52"/>
      <c r="N569" s="52"/>
      <c r="O569" s="52"/>
      <c r="P569" s="52"/>
      <c r="Q569" s="52"/>
      <c r="U569" s="52"/>
    </row>
    <row r="570">
      <c r="M570" s="52"/>
      <c r="N570" s="52"/>
      <c r="O570" s="52"/>
      <c r="P570" s="52"/>
      <c r="Q570" s="52"/>
      <c r="U570" s="52"/>
    </row>
    <row r="571">
      <c r="M571" s="52"/>
      <c r="N571" s="52"/>
      <c r="O571" s="52"/>
      <c r="P571" s="52"/>
      <c r="Q571" s="52"/>
      <c r="U571" s="52"/>
    </row>
    <row r="572">
      <c r="M572" s="52"/>
      <c r="N572" s="52"/>
      <c r="O572" s="52"/>
      <c r="P572" s="52"/>
      <c r="Q572" s="52"/>
      <c r="U572" s="52"/>
    </row>
    <row r="573">
      <c r="M573" s="52"/>
      <c r="N573" s="52"/>
      <c r="O573" s="52"/>
      <c r="P573" s="52"/>
      <c r="Q573" s="52"/>
      <c r="U573" s="52"/>
    </row>
    <row r="574">
      <c r="M574" s="52"/>
      <c r="N574" s="52"/>
      <c r="O574" s="52"/>
      <c r="P574" s="52"/>
      <c r="Q574" s="52"/>
      <c r="U574" s="52"/>
    </row>
    <row r="575">
      <c r="M575" s="52"/>
      <c r="N575" s="52"/>
      <c r="O575" s="52"/>
      <c r="P575" s="52"/>
      <c r="Q575" s="52"/>
      <c r="U575" s="52"/>
    </row>
    <row r="576">
      <c r="M576" s="52"/>
      <c r="N576" s="52"/>
      <c r="O576" s="52"/>
      <c r="P576" s="52"/>
      <c r="Q576" s="52"/>
      <c r="U576" s="52"/>
    </row>
    <row r="577">
      <c r="M577" s="52"/>
      <c r="N577" s="52"/>
      <c r="O577" s="52"/>
      <c r="P577" s="52"/>
      <c r="Q577" s="52"/>
      <c r="U577" s="52"/>
    </row>
    <row r="578">
      <c r="M578" s="52"/>
      <c r="N578" s="52"/>
      <c r="O578" s="52"/>
      <c r="P578" s="52"/>
      <c r="Q578" s="52"/>
      <c r="U578" s="52"/>
    </row>
    <row r="579">
      <c r="M579" s="52"/>
      <c r="N579" s="52"/>
      <c r="O579" s="52"/>
      <c r="P579" s="52"/>
      <c r="Q579" s="52"/>
      <c r="U579" s="52"/>
    </row>
    <row r="580">
      <c r="M580" s="52"/>
      <c r="N580" s="52"/>
      <c r="O580" s="52"/>
      <c r="P580" s="52"/>
      <c r="Q580" s="52"/>
      <c r="U580" s="52"/>
    </row>
    <row r="581">
      <c r="M581" s="52"/>
      <c r="N581" s="52"/>
      <c r="O581" s="52"/>
      <c r="P581" s="52"/>
      <c r="Q581" s="52"/>
      <c r="U581" s="52"/>
    </row>
    <row r="582">
      <c r="M582" s="52"/>
      <c r="N582" s="52"/>
      <c r="O582" s="52"/>
      <c r="P582" s="52"/>
      <c r="Q582" s="52"/>
      <c r="U582" s="52"/>
    </row>
    <row r="583">
      <c r="M583" s="52"/>
      <c r="N583" s="52"/>
      <c r="O583" s="52"/>
      <c r="P583" s="52"/>
      <c r="Q583" s="52"/>
      <c r="U583" s="52"/>
    </row>
    <row r="584">
      <c r="M584" s="52"/>
      <c r="N584" s="52"/>
      <c r="O584" s="52"/>
      <c r="P584" s="52"/>
      <c r="Q584" s="52"/>
      <c r="U584" s="52"/>
    </row>
    <row r="585">
      <c r="M585" s="52"/>
      <c r="N585" s="52"/>
      <c r="O585" s="52"/>
      <c r="P585" s="52"/>
      <c r="Q585" s="52"/>
      <c r="U585" s="52"/>
    </row>
    <row r="586">
      <c r="M586" s="52"/>
      <c r="N586" s="52"/>
      <c r="O586" s="52"/>
      <c r="P586" s="52"/>
      <c r="Q586" s="52"/>
      <c r="U586" s="52"/>
    </row>
    <row r="587">
      <c r="M587" s="52"/>
      <c r="N587" s="52"/>
      <c r="O587" s="52"/>
      <c r="P587" s="52"/>
      <c r="Q587" s="52"/>
      <c r="U587" s="52"/>
    </row>
    <row r="588">
      <c r="M588" s="52"/>
      <c r="N588" s="52"/>
      <c r="O588" s="52"/>
      <c r="P588" s="52"/>
      <c r="Q588" s="52"/>
      <c r="U588" s="52"/>
    </row>
    <row r="589">
      <c r="M589" s="52"/>
      <c r="N589" s="52"/>
      <c r="O589" s="52"/>
      <c r="P589" s="52"/>
      <c r="Q589" s="52"/>
      <c r="U589" s="52"/>
    </row>
    <row r="590">
      <c r="M590" s="52"/>
      <c r="N590" s="52"/>
      <c r="O590" s="52"/>
      <c r="P590" s="52"/>
      <c r="Q590" s="52"/>
      <c r="U590" s="52"/>
    </row>
    <row r="591">
      <c r="M591" s="52"/>
      <c r="N591" s="52"/>
      <c r="O591" s="52"/>
      <c r="P591" s="52"/>
      <c r="Q591" s="52"/>
      <c r="U591" s="52"/>
    </row>
    <row r="592">
      <c r="M592" s="52"/>
      <c r="N592" s="52"/>
      <c r="O592" s="52"/>
      <c r="P592" s="52"/>
      <c r="Q592" s="52"/>
      <c r="U592" s="52"/>
    </row>
    <row r="593">
      <c r="M593" s="52"/>
      <c r="N593" s="52"/>
      <c r="O593" s="52"/>
      <c r="P593" s="52"/>
      <c r="Q593" s="52"/>
      <c r="U593" s="52"/>
    </row>
    <row r="594">
      <c r="M594" s="52"/>
      <c r="N594" s="52"/>
      <c r="O594" s="52"/>
      <c r="P594" s="52"/>
      <c r="Q594" s="52"/>
      <c r="U594" s="52"/>
    </row>
    <row r="595">
      <c r="M595" s="52"/>
      <c r="N595" s="52"/>
      <c r="O595" s="52"/>
      <c r="P595" s="52"/>
      <c r="Q595" s="52"/>
      <c r="U595" s="52"/>
    </row>
    <row r="596">
      <c r="M596" s="52"/>
      <c r="N596" s="52"/>
      <c r="O596" s="52"/>
      <c r="P596" s="52"/>
      <c r="Q596" s="52"/>
      <c r="U596" s="52"/>
    </row>
    <row r="597">
      <c r="M597" s="52"/>
      <c r="N597" s="52"/>
      <c r="O597" s="52"/>
      <c r="P597" s="52"/>
      <c r="Q597" s="52"/>
      <c r="U597" s="52"/>
    </row>
    <row r="598">
      <c r="M598" s="52"/>
      <c r="N598" s="52"/>
      <c r="O598" s="52"/>
      <c r="P598" s="52"/>
      <c r="Q598" s="52"/>
      <c r="U598" s="52"/>
    </row>
    <row r="599">
      <c r="M599" s="52"/>
      <c r="N599" s="52"/>
      <c r="O599" s="52"/>
      <c r="P599" s="52"/>
      <c r="Q599" s="52"/>
      <c r="U599" s="52"/>
    </row>
    <row r="600">
      <c r="M600" s="52"/>
      <c r="N600" s="52"/>
      <c r="O600" s="52"/>
      <c r="P600" s="52"/>
      <c r="Q600" s="52"/>
      <c r="U600" s="52"/>
    </row>
    <row r="601">
      <c r="M601" s="52"/>
      <c r="N601" s="52"/>
      <c r="O601" s="52"/>
      <c r="P601" s="52"/>
      <c r="Q601" s="52"/>
      <c r="U601" s="52"/>
    </row>
    <row r="602">
      <c r="M602" s="52"/>
      <c r="N602" s="52"/>
      <c r="O602" s="52"/>
      <c r="P602" s="52"/>
      <c r="Q602" s="52"/>
      <c r="U602" s="52"/>
    </row>
    <row r="603">
      <c r="M603" s="52"/>
      <c r="N603" s="52"/>
      <c r="O603" s="52"/>
      <c r="P603" s="52"/>
      <c r="Q603" s="52"/>
      <c r="U603" s="52"/>
    </row>
    <row r="604">
      <c r="M604" s="52"/>
      <c r="N604" s="52"/>
      <c r="O604" s="52"/>
      <c r="P604" s="52"/>
      <c r="Q604" s="52"/>
      <c r="U604" s="52"/>
    </row>
    <row r="605">
      <c r="M605" s="52"/>
      <c r="N605" s="52"/>
      <c r="O605" s="52"/>
      <c r="P605" s="52"/>
      <c r="Q605" s="52"/>
      <c r="U605" s="52"/>
    </row>
    <row r="606">
      <c r="M606" s="52"/>
      <c r="N606" s="52"/>
      <c r="O606" s="52"/>
      <c r="P606" s="52"/>
      <c r="Q606" s="52"/>
      <c r="U606" s="52"/>
    </row>
    <row r="607">
      <c r="M607" s="52"/>
      <c r="N607" s="52"/>
      <c r="O607" s="52"/>
      <c r="P607" s="52"/>
      <c r="Q607" s="52"/>
      <c r="U607" s="52"/>
    </row>
    <row r="608">
      <c r="M608" s="52"/>
      <c r="N608" s="52"/>
      <c r="O608" s="52"/>
      <c r="P608" s="52"/>
      <c r="Q608" s="52"/>
      <c r="U608" s="52"/>
    </row>
    <row r="609">
      <c r="M609" s="52"/>
      <c r="N609" s="52"/>
      <c r="O609" s="52"/>
      <c r="P609" s="52"/>
      <c r="Q609" s="52"/>
      <c r="U609" s="52"/>
    </row>
    <row r="610">
      <c r="M610" s="52"/>
      <c r="N610" s="52"/>
      <c r="O610" s="52"/>
      <c r="P610" s="52"/>
      <c r="Q610" s="52"/>
      <c r="U610" s="52"/>
    </row>
    <row r="611">
      <c r="M611" s="52"/>
      <c r="N611" s="52"/>
      <c r="O611" s="52"/>
      <c r="P611" s="52"/>
      <c r="Q611" s="52"/>
      <c r="U611" s="52"/>
    </row>
    <row r="612">
      <c r="M612" s="52"/>
      <c r="N612" s="52"/>
      <c r="O612" s="52"/>
      <c r="P612" s="52"/>
      <c r="Q612" s="52"/>
      <c r="U612" s="52"/>
    </row>
    <row r="613">
      <c r="M613" s="52"/>
      <c r="N613" s="52"/>
      <c r="O613" s="52"/>
      <c r="P613" s="52"/>
      <c r="Q613" s="52"/>
      <c r="U613" s="52"/>
    </row>
    <row r="614">
      <c r="M614" s="52"/>
      <c r="N614" s="52"/>
      <c r="O614" s="52"/>
      <c r="P614" s="52"/>
      <c r="Q614" s="52"/>
      <c r="U614" s="52"/>
    </row>
    <row r="615">
      <c r="M615" s="52"/>
      <c r="N615" s="52"/>
      <c r="O615" s="52"/>
      <c r="P615" s="52"/>
      <c r="Q615" s="52"/>
      <c r="U615" s="52"/>
    </row>
    <row r="616">
      <c r="M616" s="52"/>
      <c r="N616" s="52"/>
      <c r="O616" s="52"/>
      <c r="P616" s="52"/>
      <c r="Q616" s="52"/>
      <c r="U616" s="52"/>
    </row>
    <row r="617">
      <c r="M617" s="52"/>
      <c r="N617" s="52"/>
      <c r="O617" s="52"/>
      <c r="P617" s="52"/>
      <c r="Q617" s="52"/>
      <c r="U617" s="52"/>
    </row>
    <row r="618">
      <c r="M618" s="52"/>
      <c r="N618" s="52"/>
      <c r="O618" s="52"/>
      <c r="P618" s="52"/>
      <c r="Q618" s="52"/>
      <c r="U618" s="52"/>
    </row>
    <row r="619">
      <c r="M619" s="52"/>
      <c r="N619" s="52"/>
      <c r="O619" s="52"/>
      <c r="P619" s="52"/>
      <c r="Q619" s="52"/>
      <c r="U619" s="52"/>
    </row>
    <row r="620">
      <c r="M620" s="52"/>
      <c r="N620" s="52"/>
      <c r="O620" s="52"/>
      <c r="P620" s="52"/>
      <c r="Q620" s="52"/>
      <c r="U620" s="52"/>
    </row>
    <row r="621">
      <c r="M621" s="52"/>
      <c r="N621" s="52"/>
      <c r="O621" s="52"/>
      <c r="P621" s="52"/>
      <c r="Q621" s="52"/>
      <c r="U621" s="52"/>
    </row>
    <row r="622">
      <c r="M622" s="52"/>
      <c r="N622" s="52"/>
      <c r="O622" s="52"/>
      <c r="P622" s="52"/>
      <c r="Q622" s="52"/>
      <c r="U622" s="52"/>
    </row>
    <row r="623">
      <c r="M623" s="52"/>
      <c r="N623" s="52"/>
      <c r="O623" s="52"/>
      <c r="P623" s="52"/>
      <c r="Q623" s="52"/>
      <c r="U623" s="52"/>
    </row>
    <row r="624">
      <c r="M624" s="52"/>
      <c r="N624" s="52"/>
      <c r="O624" s="52"/>
      <c r="P624" s="52"/>
      <c r="Q624" s="52"/>
      <c r="U624" s="52"/>
    </row>
    <row r="625">
      <c r="M625" s="52"/>
      <c r="N625" s="52"/>
      <c r="O625" s="52"/>
      <c r="P625" s="52"/>
      <c r="Q625" s="52"/>
      <c r="U625" s="52"/>
    </row>
    <row r="626">
      <c r="M626" s="52"/>
      <c r="N626" s="52"/>
      <c r="O626" s="52"/>
      <c r="P626" s="52"/>
      <c r="Q626" s="52"/>
      <c r="U626" s="52"/>
    </row>
    <row r="627">
      <c r="M627" s="52"/>
      <c r="N627" s="52"/>
      <c r="O627" s="52"/>
      <c r="P627" s="52"/>
      <c r="Q627" s="52"/>
      <c r="U627" s="52"/>
    </row>
    <row r="628">
      <c r="M628" s="52"/>
      <c r="N628" s="52"/>
      <c r="O628" s="52"/>
      <c r="P628" s="52"/>
      <c r="Q628" s="52"/>
      <c r="U628" s="52"/>
    </row>
    <row r="629">
      <c r="M629" s="52"/>
      <c r="N629" s="52"/>
      <c r="O629" s="52"/>
      <c r="P629" s="52"/>
      <c r="Q629" s="52"/>
      <c r="U629" s="52"/>
    </row>
    <row r="630">
      <c r="M630" s="52"/>
      <c r="N630" s="52"/>
      <c r="O630" s="52"/>
      <c r="P630" s="52"/>
      <c r="Q630" s="52"/>
      <c r="U630" s="52"/>
    </row>
    <row r="631">
      <c r="M631" s="52"/>
      <c r="N631" s="52"/>
      <c r="O631" s="52"/>
      <c r="P631" s="52"/>
      <c r="Q631" s="52"/>
      <c r="U631" s="52"/>
    </row>
    <row r="632">
      <c r="M632" s="52"/>
      <c r="N632" s="52"/>
      <c r="O632" s="52"/>
      <c r="P632" s="52"/>
      <c r="Q632" s="52"/>
      <c r="U632" s="52"/>
    </row>
    <row r="633">
      <c r="M633" s="52"/>
      <c r="N633" s="52"/>
      <c r="O633" s="52"/>
      <c r="P633" s="52"/>
      <c r="Q633" s="52"/>
      <c r="U633" s="52"/>
    </row>
    <row r="634">
      <c r="M634" s="52"/>
      <c r="N634" s="52"/>
      <c r="O634" s="52"/>
      <c r="P634" s="52"/>
      <c r="Q634" s="52"/>
      <c r="U634" s="52"/>
    </row>
    <row r="635">
      <c r="M635" s="52"/>
      <c r="N635" s="52"/>
      <c r="O635" s="52"/>
      <c r="P635" s="52"/>
      <c r="Q635" s="52"/>
      <c r="U635" s="52"/>
    </row>
    <row r="636">
      <c r="M636" s="52"/>
      <c r="N636" s="52"/>
      <c r="O636" s="52"/>
      <c r="P636" s="52"/>
      <c r="Q636" s="52"/>
      <c r="U636" s="52"/>
    </row>
    <row r="637">
      <c r="M637" s="52"/>
      <c r="N637" s="52"/>
      <c r="O637" s="52"/>
      <c r="P637" s="52"/>
      <c r="Q637" s="52"/>
      <c r="U637" s="52"/>
    </row>
    <row r="638">
      <c r="M638" s="52"/>
      <c r="N638" s="52"/>
      <c r="O638" s="52"/>
      <c r="P638" s="52"/>
      <c r="Q638" s="52"/>
      <c r="U638" s="52"/>
    </row>
    <row r="639">
      <c r="M639" s="52"/>
      <c r="N639" s="52"/>
      <c r="O639" s="52"/>
      <c r="P639" s="52"/>
      <c r="Q639" s="52"/>
      <c r="U639" s="52"/>
    </row>
    <row r="640">
      <c r="M640" s="52"/>
      <c r="N640" s="52"/>
      <c r="O640" s="52"/>
      <c r="P640" s="52"/>
      <c r="Q640" s="52"/>
      <c r="U640" s="52"/>
    </row>
    <row r="641">
      <c r="M641" s="52"/>
      <c r="N641" s="52"/>
      <c r="O641" s="52"/>
      <c r="P641" s="52"/>
      <c r="Q641" s="52"/>
      <c r="U641" s="52"/>
    </row>
    <row r="642">
      <c r="M642" s="52"/>
      <c r="N642" s="52"/>
      <c r="O642" s="52"/>
      <c r="P642" s="52"/>
      <c r="Q642" s="52"/>
      <c r="U642" s="52"/>
    </row>
    <row r="643">
      <c r="M643" s="52"/>
      <c r="N643" s="52"/>
      <c r="O643" s="52"/>
      <c r="P643" s="52"/>
      <c r="Q643" s="52"/>
      <c r="U643" s="52"/>
    </row>
    <row r="644">
      <c r="M644" s="52"/>
      <c r="N644" s="52"/>
      <c r="O644" s="52"/>
      <c r="P644" s="52"/>
      <c r="Q644" s="52"/>
      <c r="U644" s="52"/>
    </row>
    <row r="645">
      <c r="M645" s="52"/>
      <c r="N645" s="52"/>
      <c r="O645" s="52"/>
      <c r="P645" s="52"/>
      <c r="Q645" s="52"/>
      <c r="U645" s="52"/>
    </row>
    <row r="646">
      <c r="M646" s="52"/>
      <c r="N646" s="52"/>
      <c r="O646" s="52"/>
      <c r="P646" s="52"/>
      <c r="Q646" s="52"/>
      <c r="U646" s="52"/>
    </row>
    <row r="647">
      <c r="M647" s="52"/>
      <c r="N647" s="52"/>
      <c r="O647" s="52"/>
      <c r="P647" s="52"/>
      <c r="Q647" s="52"/>
      <c r="U647" s="52"/>
    </row>
    <row r="648">
      <c r="M648" s="52"/>
      <c r="N648" s="52"/>
      <c r="O648" s="52"/>
      <c r="P648" s="52"/>
      <c r="Q648" s="52"/>
      <c r="U648" s="52"/>
    </row>
    <row r="649">
      <c r="M649" s="52"/>
      <c r="N649" s="52"/>
      <c r="O649" s="52"/>
      <c r="P649" s="52"/>
      <c r="Q649" s="52"/>
      <c r="U649" s="52"/>
    </row>
    <row r="650">
      <c r="M650" s="52"/>
      <c r="N650" s="52"/>
      <c r="O650" s="52"/>
      <c r="P650" s="52"/>
      <c r="Q650" s="52"/>
      <c r="U650" s="52"/>
    </row>
    <row r="651">
      <c r="M651" s="52"/>
      <c r="N651" s="52"/>
      <c r="O651" s="52"/>
      <c r="P651" s="52"/>
      <c r="Q651" s="52"/>
      <c r="U651" s="52"/>
    </row>
    <row r="652">
      <c r="M652" s="52"/>
      <c r="N652" s="52"/>
      <c r="O652" s="52"/>
      <c r="P652" s="52"/>
      <c r="Q652" s="52"/>
      <c r="U652" s="52"/>
    </row>
    <row r="653">
      <c r="M653" s="52"/>
      <c r="N653" s="52"/>
      <c r="O653" s="52"/>
      <c r="P653" s="52"/>
      <c r="Q653" s="52"/>
      <c r="U653" s="52"/>
    </row>
    <row r="654">
      <c r="M654" s="52"/>
      <c r="N654" s="52"/>
      <c r="O654" s="52"/>
      <c r="P654" s="52"/>
      <c r="Q654" s="52"/>
      <c r="U654" s="52"/>
    </row>
    <row r="655">
      <c r="M655" s="52"/>
      <c r="N655" s="52"/>
      <c r="O655" s="52"/>
      <c r="P655" s="52"/>
      <c r="Q655" s="52"/>
      <c r="U655" s="52"/>
    </row>
    <row r="656">
      <c r="M656" s="52"/>
      <c r="N656" s="52"/>
      <c r="O656" s="52"/>
      <c r="P656" s="52"/>
      <c r="Q656" s="52"/>
      <c r="U656" s="52"/>
    </row>
    <row r="657">
      <c r="M657" s="52"/>
      <c r="N657" s="52"/>
      <c r="O657" s="52"/>
      <c r="P657" s="52"/>
      <c r="Q657" s="52"/>
      <c r="U657" s="52"/>
    </row>
    <row r="658">
      <c r="M658" s="52"/>
      <c r="N658" s="52"/>
      <c r="O658" s="52"/>
      <c r="P658" s="52"/>
      <c r="Q658" s="52"/>
      <c r="U658" s="52"/>
    </row>
    <row r="659">
      <c r="M659" s="52"/>
      <c r="N659" s="52"/>
      <c r="O659" s="52"/>
      <c r="P659" s="52"/>
      <c r="Q659" s="52"/>
      <c r="U659" s="52"/>
    </row>
    <row r="660">
      <c r="M660" s="52"/>
      <c r="N660" s="52"/>
      <c r="O660" s="52"/>
      <c r="P660" s="52"/>
      <c r="Q660" s="52"/>
      <c r="U660" s="52"/>
    </row>
    <row r="661">
      <c r="M661" s="52"/>
      <c r="N661" s="52"/>
      <c r="O661" s="52"/>
      <c r="P661" s="52"/>
      <c r="Q661" s="52"/>
      <c r="U661" s="52"/>
    </row>
    <row r="662">
      <c r="M662" s="52"/>
      <c r="N662" s="52"/>
      <c r="O662" s="52"/>
      <c r="P662" s="52"/>
      <c r="Q662" s="52"/>
      <c r="U662" s="52"/>
    </row>
    <row r="663">
      <c r="M663" s="52"/>
      <c r="N663" s="52"/>
      <c r="O663" s="52"/>
      <c r="P663" s="52"/>
      <c r="Q663" s="52"/>
      <c r="U663" s="52"/>
    </row>
    <row r="664">
      <c r="M664" s="52"/>
      <c r="N664" s="52"/>
      <c r="O664" s="52"/>
      <c r="P664" s="52"/>
      <c r="Q664" s="52"/>
      <c r="U664" s="52"/>
    </row>
    <row r="665">
      <c r="M665" s="52"/>
      <c r="N665" s="52"/>
      <c r="O665" s="52"/>
      <c r="P665" s="52"/>
      <c r="Q665" s="52"/>
      <c r="U665" s="52"/>
    </row>
    <row r="666">
      <c r="M666" s="52"/>
      <c r="N666" s="52"/>
      <c r="O666" s="52"/>
      <c r="P666" s="52"/>
      <c r="Q666" s="52"/>
      <c r="U666" s="52"/>
    </row>
    <row r="667">
      <c r="M667" s="52"/>
      <c r="N667" s="52"/>
      <c r="O667" s="52"/>
      <c r="P667" s="52"/>
      <c r="Q667" s="52"/>
      <c r="U667" s="52"/>
    </row>
    <row r="668">
      <c r="M668" s="52"/>
      <c r="N668" s="52"/>
      <c r="O668" s="52"/>
      <c r="P668" s="52"/>
      <c r="Q668" s="52"/>
      <c r="U668" s="52"/>
    </row>
    <row r="669">
      <c r="M669" s="52"/>
      <c r="N669" s="52"/>
      <c r="O669" s="52"/>
      <c r="P669" s="52"/>
      <c r="Q669" s="52"/>
      <c r="U669" s="52"/>
    </row>
    <row r="670">
      <c r="M670" s="52"/>
      <c r="N670" s="52"/>
      <c r="O670" s="52"/>
      <c r="P670" s="52"/>
      <c r="Q670" s="52"/>
      <c r="U670" s="52"/>
    </row>
    <row r="671">
      <c r="M671" s="52"/>
      <c r="N671" s="52"/>
      <c r="O671" s="52"/>
      <c r="P671" s="52"/>
      <c r="Q671" s="52"/>
      <c r="U671" s="52"/>
    </row>
    <row r="672">
      <c r="M672" s="52"/>
      <c r="N672" s="52"/>
      <c r="O672" s="52"/>
      <c r="P672" s="52"/>
      <c r="Q672" s="52"/>
      <c r="U672" s="52"/>
    </row>
    <row r="673">
      <c r="M673" s="52"/>
      <c r="N673" s="52"/>
      <c r="O673" s="52"/>
      <c r="P673" s="52"/>
      <c r="Q673" s="52"/>
      <c r="U673" s="52"/>
    </row>
    <row r="674">
      <c r="M674" s="52"/>
      <c r="N674" s="52"/>
      <c r="O674" s="52"/>
      <c r="P674" s="52"/>
      <c r="Q674" s="52"/>
      <c r="U674" s="52"/>
    </row>
    <row r="675">
      <c r="M675" s="52"/>
      <c r="N675" s="52"/>
      <c r="O675" s="52"/>
      <c r="P675" s="52"/>
      <c r="Q675" s="52"/>
      <c r="U675" s="52"/>
    </row>
    <row r="676">
      <c r="M676" s="52"/>
      <c r="N676" s="52"/>
      <c r="O676" s="52"/>
      <c r="P676" s="52"/>
      <c r="Q676" s="52"/>
      <c r="U676" s="52"/>
    </row>
    <row r="677">
      <c r="M677" s="52"/>
      <c r="N677" s="52"/>
      <c r="O677" s="52"/>
      <c r="P677" s="52"/>
      <c r="Q677" s="52"/>
      <c r="U677" s="52"/>
    </row>
    <row r="678">
      <c r="M678" s="52"/>
      <c r="N678" s="52"/>
      <c r="O678" s="52"/>
      <c r="P678" s="52"/>
      <c r="Q678" s="52"/>
      <c r="U678" s="52"/>
    </row>
    <row r="679">
      <c r="M679" s="52"/>
      <c r="N679" s="52"/>
      <c r="O679" s="52"/>
      <c r="P679" s="52"/>
      <c r="Q679" s="52"/>
      <c r="U679" s="52"/>
    </row>
    <row r="680">
      <c r="M680" s="52"/>
      <c r="N680" s="52"/>
      <c r="O680" s="52"/>
      <c r="P680" s="52"/>
      <c r="Q680" s="52"/>
      <c r="U680" s="52"/>
    </row>
    <row r="681">
      <c r="M681" s="52"/>
      <c r="N681" s="52"/>
      <c r="O681" s="52"/>
      <c r="P681" s="52"/>
      <c r="Q681" s="52"/>
      <c r="U681" s="52"/>
    </row>
    <row r="682">
      <c r="M682" s="52"/>
      <c r="N682" s="52"/>
      <c r="O682" s="52"/>
      <c r="P682" s="52"/>
      <c r="Q682" s="52"/>
      <c r="U682" s="52"/>
    </row>
    <row r="683">
      <c r="M683" s="52"/>
      <c r="N683" s="52"/>
      <c r="O683" s="52"/>
      <c r="P683" s="52"/>
      <c r="Q683" s="52"/>
      <c r="U683" s="52"/>
    </row>
    <row r="684">
      <c r="M684" s="52"/>
      <c r="N684" s="52"/>
      <c r="O684" s="52"/>
      <c r="P684" s="52"/>
      <c r="Q684" s="52"/>
      <c r="U684" s="52"/>
    </row>
    <row r="685">
      <c r="M685" s="52"/>
      <c r="N685" s="52"/>
      <c r="O685" s="52"/>
      <c r="P685" s="52"/>
      <c r="Q685" s="52"/>
      <c r="U685" s="52"/>
    </row>
    <row r="686">
      <c r="M686" s="52"/>
      <c r="N686" s="52"/>
      <c r="O686" s="52"/>
      <c r="P686" s="52"/>
      <c r="Q686" s="52"/>
      <c r="U686" s="52"/>
    </row>
    <row r="687">
      <c r="M687" s="52"/>
      <c r="N687" s="52"/>
      <c r="O687" s="52"/>
      <c r="P687" s="52"/>
      <c r="Q687" s="52"/>
      <c r="U687" s="52"/>
    </row>
    <row r="688">
      <c r="M688" s="52"/>
      <c r="N688" s="52"/>
      <c r="O688" s="52"/>
      <c r="P688" s="52"/>
      <c r="Q688" s="52"/>
      <c r="U688" s="52"/>
    </row>
    <row r="689">
      <c r="M689" s="52"/>
      <c r="N689" s="52"/>
      <c r="O689" s="52"/>
      <c r="P689" s="52"/>
      <c r="Q689" s="52"/>
      <c r="U689" s="52"/>
    </row>
    <row r="690">
      <c r="M690" s="52"/>
      <c r="N690" s="52"/>
      <c r="O690" s="52"/>
      <c r="P690" s="52"/>
      <c r="Q690" s="52"/>
      <c r="U690" s="52"/>
    </row>
    <row r="691">
      <c r="M691" s="52"/>
      <c r="N691" s="52"/>
      <c r="O691" s="52"/>
      <c r="P691" s="52"/>
      <c r="Q691" s="52"/>
      <c r="U691" s="52"/>
    </row>
    <row r="692">
      <c r="M692" s="52"/>
      <c r="N692" s="52"/>
      <c r="O692" s="52"/>
      <c r="P692" s="52"/>
      <c r="Q692" s="52"/>
      <c r="U692" s="52"/>
    </row>
    <row r="693">
      <c r="M693" s="52"/>
      <c r="N693" s="52"/>
      <c r="O693" s="52"/>
      <c r="P693" s="52"/>
      <c r="Q693" s="52"/>
      <c r="U693" s="52"/>
    </row>
    <row r="694">
      <c r="M694" s="52"/>
      <c r="N694" s="52"/>
      <c r="O694" s="52"/>
      <c r="P694" s="52"/>
      <c r="Q694" s="52"/>
      <c r="U694" s="52"/>
    </row>
    <row r="695">
      <c r="M695" s="52"/>
      <c r="N695" s="52"/>
      <c r="O695" s="52"/>
      <c r="P695" s="52"/>
      <c r="Q695" s="52"/>
      <c r="U695" s="52"/>
    </row>
    <row r="696">
      <c r="M696" s="52"/>
      <c r="N696" s="52"/>
      <c r="O696" s="52"/>
      <c r="P696" s="52"/>
      <c r="Q696" s="52"/>
      <c r="U696" s="52"/>
    </row>
    <row r="697">
      <c r="M697" s="52"/>
      <c r="N697" s="52"/>
      <c r="O697" s="52"/>
      <c r="P697" s="52"/>
      <c r="Q697" s="52"/>
      <c r="U697" s="52"/>
    </row>
    <row r="698">
      <c r="M698" s="52"/>
      <c r="N698" s="52"/>
      <c r="O698" s="52"/>
      <c r="P698" s="52"/>
      <c r="Q698" s="52"/>
      <c r="U698" s="52"/>
    </row>
    <row r="699">
      <c r="M699" s="52"/>
      <c r="N699" s="52"/>
      <c r="O699" s="52"/>
      <c r="P699" s="52"/>
      <c r="Q699" s="52"/>
      <c r="U699" s="52"/>
    </row>
    <row r="700">
      <c r="M700" s="52"/>
      <c r="N700" s="52"/>
      <c r="O700" s="52"/>
      <c r="P700" s="52"/>
      <c r="Q700" s="52"/>
      <c r="U700" s="52"/>
    </row>
    <row r="701">
      <c r="M701" s="52"/>
      <c r="N701" s="52"/>
      <c r="O701" s="52"/>
      <c r="P701" s="52"/>
      <c r="Q701" s="52"/>
      <c r="U701" s="52"/>
    </row>
    <row r="702">
      <c r="M702" s="52"/>
      <c r="N702" s="52"/>
      <c r="O702" s="52"/>
      <c r="P702" s="52"/>
      <c r="Q702" s="52"/>
      <c r="U702" s="52"/>
    </row>
    <row r="703">
      <c r="M703" s="52"/>
      <c r="N703" s="52"/>
      <c r="O703" s="52"/>
      <c r="P703" s="52"/>
      <c r="Q703" s="52"/>
      <c r="U703" s="52"/>
    </row>
    <row r="704">
      <c r="M704" s="52"/>
      <c r="N704" s="52"/>
      <c r="O704" s="52"/>
      <c r="P704" s="52"/>
      <c r="Q704" s="52"/>
      <c r="U704" s="52"/>
    </row>
    <row r="705">
      <c r="M705" s="52"/>
      <c r="N705" s="52"/>
      <c r="O705" s="52"/>
      <c r="P705" s="52"/>
      <c r="Q705" s="52"/>
      <c r="U705" s="52"/>
    </row>
    <row r="706">
      <c r="M706" s="52"/>
      <c r="N706" s="52"/>
      <c r="O706" s="52"/>
      <c r="P706" s="52"/>
      <c r="Q706" s="52"/>
      <c r="U706" s="52"/>
    </row>
    <row r="707">
      <c r="M707" s="52"/>
      <c r="N707" s="52"/>
      <c r="O707" s="52"/>
      <c r="P707" s="52"/>
      <c r="Q707" s="52"/>
      <c r="U707" s="52"/>
    </row>
    <row r="708">
      <c r="M708" s="52"/>
      <c r="N708" s="52"/>
      <c r="O708" s="52"/>
      <c r="P708" s="52"/>
      <c r="Q708" s="52"/>
      <c r="U708" s="52"/>
    </row>
    <row r="709">
      <c r="M709" s="52"/>
      <c r="N709" s="52"/>
      <c r="O709" s="52"/>
      <c r="P709" s="52"/>
      <c r="Q709" s="52"/>
      <c r="U709" s="52"/>
    </row>
    <row r="710">
      <c r="M710" s="52"/>
      <c r="N710" s="52"/>
      <c r="O710" s="52"/>
      <c r="P710" s="52"/>
      <c r="Q710" s="52"/>
      <c r="U710" s="52"/>
    </row>
    <row r="711">
      <c r="M711" s="52"/>
      <c r="N711" s="52"/>
      <c r="O711" s="52"/>
      <c r="P711" s="52"/>
      <c r="Q711" s="52"/>
      <c r="U711" s="52"/>
    </row>
    <row r="712">
      <c r="M712" s="52"/>
      <c r="N712" s="52"/>
      <c r="O712" s="52"/>
      <c r="P712" s="52"/>
      <c r="Q712" s="52"/>
      <c r="U712" s="52"/>
    </row>
    <row r="713">
      <c r="M713" s="52"/>
      <c r="N713" s="52"/>
      <c r="O713" s="52"/>
      <c r="P713" s="52"/>
      <c r="Q713" s="52"/>
      <c r="U713" s="52"/>
    </row>
    <row r="714">
      <c r="M714" s="52"/>
      <c r="N714" s="52"/>
      <c r="O714" s="52"/>
      <c r="P714" s="52"/>
      <c r="Q714" s="52"/>
      <c r="U714" s="52"/>
    </row>
    <row r="715">
      <c r="M715" s="52"/>
      <c r="N715" s="52"/>
      <c r="O715" s="52"/>
      <c r="P715" s="52"/>
      <c r="Q715" s="52"/>
      <c r="U715" s="52"/>
    </row>
    <row r="716">
      <c r="M716" s="52"/>
      <c r="N716" s="52"/>
      <c r="O716" s="52"/>
      <c r="P716" s="52"/>
      <c r="Q716" s="52"/>
      <c r="U716" s="52"/>
    </row>
    <row r="717">
      <c r="M717" s="52"/>
      <c r="N717" s="52"/>
      <c r="O717" s="52"/>
      <c r="P717" s="52"/>
      <c r="Q717" s="52"/>
      <c r="U717" s="52"/>
    </row>
    <row r="718">
      <c r="M718" s="52"/>
      <c r="N718" s="52"/>
      <c r="O718" s="52"/>
      <c r="P718" s="52"/>
      <c r="Q718" s="52"/>
      <c r="U718" s="52"/>
    </row>
    <row r="719">
      <c r="M719" s="52"/>
      <c r="N719" s="52"/>
      <c r="O719" s="52"/>
      <c r="P719" s="52"/>
      <c r="Q719" s="52"/>
      <c r="U719" s="52"/>
    </row>
    <row r="720">
      <c r="M720" s="52"/>
      <c r="N720" s="52"/>
      <c r="O720" s="52"/>
      <c r="P720" s="52"/>
      <c r="Q720" s="52"/>
      <c r="U720" s="52"/>
    </row>
    <row r="721">
      <c r="M721" s="52"/>
      <c r="N721" s="52"/>
      <c r="O721" s="52"/>
      <c r="P721" s="52"/>
      <c r="Q721" s="52"/>
      <c r="U721" s="52"/>
    </row>
    <row r="722">
      <c r="M722" s="52"/>
      <c r="N722" s="52"/>
      <c r="O722" s="52"/>
      <c r="P722" s="52"/>
      <c r="Q722" s="52"/>
      <c r="U722" s="52"/>
    </row>
    <row r="723">
      <c r="M723" s="52"/>
      <c r="N723" s="52"/>
      <c r="O723" s="52"/>
      <c r="P723" s="52"/>
      <c r="Q723" s="52"/>
      <c r="U723" s="52"/>
    </row>
    <row r="724">
      <c r="M724" s="52"/>
      <c r="N724" s="52"/>
      <c r="O724" s="52"/>
      <c r="P724" s="52"/>
      <c r="Q724" s="52"/>
      <c r="U724" s="52"/>
    </row>
    <row r="725">
      <c r="M725" s="52"/>
      <c r="N725" s="52"/>
      <c r="O725" s="52"/>
      <c r="P725" s="52"/>
      <c r="Q725" s="52"/>
      <c r="U725" s="52"/>
    </row>
    <row r="726">
      <c r="M726" s="52"/>
      <c r="N726" s="52"/>
      <c r="O726" s="52"/>
      <c r="P726" s="52"/>
      <c r="Q726" s="52"/>
      <c r="U726" s="52"/>
    </row>
    <row r="727">
      <c r="M727" s="52"/>
      <c r="N727" s="52"/>
      <c r="O727" s="52"/>
      <c r="P727" s="52"/>
      <c r="Q727" s="52"/>
      <c r="U727" s="52"/>
    </row>
    <row r="728">
      <c r="M728" s="52"/>
      <c r="N728" s="52"/>
      <c r="O728" s="52"/>
      <c r="P728" s="52"/>
      <c r="Q728" s="52"/>
      <c r="U728" s="52"/>
    </row>
    <row r="729">
      <c r="M729" s="52"/>
      <c r="N729" s="52"/>
      <c r="O729" s="52"/>
      <c r="P729" s="52"/>
      <c r="Q729" s="52"/>
      <c r="U729" s="52"/>
    </row>
    <row r="730">
      <c r="M730" s="52"/>
      <c r="N730" s="52"/>
      <c r="O730" s="52"/>
      <c r="P730" s="52"/>
      <c r="Q730" s="52"/>
      <c r="U730" s="52"/>
    </row>
    <row r="731">
      <c r="M731" s="52"/>
      <c r="N731" s="52"/>
      <c r="O731" s="52"/>
      <c r="P731" s="52"/>
      <c r="Q731" s="52"/>
      <c r="U731" s="52"/>
    </row>
    <row r="732">
      <c r="M732" s="52"/>
      <c r="N732" s="52"/>
      <c r="O732" s="52"/>
      <c r="P732" s="52"/>
      <c r="Q732" s="52"/>
      <c r="U732" s="52"/>
    </row>
    <row r="733">
      <c r="M733" s="52"/>
      <c r="N733" s="52"/>
      <c r="O733" s="52"/>
      <c r="P733" s="52"/>
      <c r="Q733" s="52"/>
      <c r="U733" s="52"/>
    </row>
    <row r="734">
      <c r="M734" s="52"/>
      <c r="N734" s="52"/>
      <c r="O734" s="52"/>
      <c r="P734" s="52"/>
      <c r="Q734" s="52"/>
      <c r="U734" s="52"/>
    </row>
    <row r="735">
      <c r="M735" s="52"/>
      <c r="N735" s="52"/>
      <c r="O735" s="52"/>
      <c r="P735" s="52"/>
      <c r="Q735" s="52"/>
      <c r="U735" s="52"/>
    </row>
    <row r="736">
      <c r="M736" s="52"/>
      <c r="N736" s="52"/>
      <c r="O736" s="52"/>
      <c r="P736" s="52"/>
      <c r="Q736" s="52"/>
      <c r="U736" s="52"/>
    </row>
    <row r="737">
      <c r="M737" s="52"/>
      <c r="N737" s="52"/>
      <c r="O737" s="52"/>
      <c r="P737" s="52"/>
      <c r="Q737" s="52"/>
      <c r="U737" s="52"/>
    </row>
    <row r="738">
      <c r="M738" s="52"/>
      <c r="N738" s="52"/>
      <c r="O738" s="52"/>
      <c r="P738" s="52"/>
      <c r="Q738" s="52"/>
      <c r="U738" s="52"/>
    </row>
    <row r="739">
      <c r="M739" s="52"/>
      <c r="N739" s="52"/>
      <c r="O739" s="52"/>
      <c r="P739" s="52"/>
      <c r="Q739" s="52"/>
      <c r="U739" s="52"/>
    </row>
    <row r="740">
      <c r="M740" s="52"/>
      <c r="N740" s="52"/>
      <c r="O740" s="52"/>
      <c r="P740" s="52"/>
      <c r="Q740" s="52"/>
      <c r="U740" s="52"/>
    </row>
    <row r="741">
      <c r="M741" s="52"/>
      <c r="N741" s="52"/>
      <c r="O741" s="52"/>
      <c r="P741" s="52"/>
      <c r="Q741" s="52"/>
      <c r="U741" s="52"/>
    </row>
    <row r="742">
      <c r="M742" s="52"/>
      <c r="N742" s="52"/>
      <c r="O742" s="52"/>
      <c r="P742" s="52"/>
      <c r="Q742" s="52"/>
      <c r="U742" s="52"/>
    </row>
    <row r="743">
      <c r="M743" s="52"/>
      <c r="N743" s="52"/>
      <c r="O743" s="52"/>
      <c r="P743" s="52"/>
      <c r="Q743" s="52"/>
      <c r="U743" s="52"/>
    </row>
    <row r="744">
      <c r="M744" s="52"/>
      <c r="N744" s="52"/>
      <c r="O744" s="52"/>
      <c r="P744" s="52"/>
      <c r="Q744" s="52"/>
      <c r="U744" s="52"/>
    </row>
    <row r="745">
      <c r="M745" s="52"/>
      <c r="N745" s="52"/>
      <c r="O745" s="52"/>
      <c r="P745" s="52"/>
      <c r="Q745" s="52"/>
      <c r="U745" s="52"/>
    </row>
    <row r="746">
      <c r="M746" s="52"/>
      <c r="N746" s="52"/>
      <c r="O746" s="52"/>
      <c r="P746" s="52"/>
      <c r="Q746" s="52"/>
      <c r="U746" s="52"/>
    </row>
    <row r="747">
      <c r="M747" s="52"/>
      <c r="N747" s="52"/>
      <c r="O747" s="52"/>
      <c r="P747" s="52"/>
      <c r="Q747" s="52"/>
      <c r="U747" s="52"/>
    </row>
    <row r="748">
      <c r="M748" s="52"/>
      <c r="N748" s="52"/>
      <c r="O748" s="52"/>
      <c r="P748" s="52"/>
      <c r="Q748" s="52"/>
      <c r="U748" s="52"/>
    </row>
    <row r="749">
      <c r="M749" s="52"/>
      <c r="N749" s="52"/>
      <c r="O749" s="52"/>
      <c r="P749" s="52"/>
      <c r="Q749" s="52"/>
      <c r="U749" s="52"/>
    </row>
    <row r="750">
      <c r="M750" s="52"/>
      <c r="N750" s="52"/>
      <c r="O750" s="52"/>
      <c r="P750" s="52"/>
      <c r="Q750" s="52"/>
      <c r="U750" s="52"/>
    </row>
    <row r="751">
      <c r="M751" s="52"/>
      <c r="N751" s="52"/>
      <c r="O751" s="52"/>
      <c r="P751" s="52"/>
      <c r="Q751" s="52"/>
      <c r="U751" s="52"/>
    </row>
    <row r="752">
      <c r="M752" s="52"/>
      <c r="N752" s="52"/>
      <c r="O752" s="52"/>
      <c r="P752" s="52"/>
      <c r="Q752" s="52"/>
      <c r="U752" s="52"/>
    </row>
    <row r="753">
      <c r="M753" s="52"/>
      <c r="N753" s="52"/>
      <c r="O753" s="52"/>
      <c r="P753" s="52"/>
      <c r="Q753" s="52"/>
      <c r="U753" s="52"/>
    </row>
    <row r="754">
      <c r="M754" s="52"/>
      <c r="N754" s="52"/>
      <c r="O754" s="52"/>
      <c r="P754" s="52"/>
      <c r="Q754" s="52"/>
      <c r="U754" s="52"/>
    </row>
    <row r="755">
      <c r="M755" s="52"/>
      <c r="N755" s="52"/>
      <c r="O755" s="52"/>
      <c r="P755" s="52"/>
      <c r="Q755" s="52"/>
      <c r="U755" s="52"/>
    </row>
    <row r="756">
      <c r="M756" s="52"/>
      <c r="N756" s="52"/>
      <c r="O756" s="52"/>
      <c r="P756" s="52"/>
      <c r="Q756" s="52"/>
      <c r="U756" s="52"/>
    </row>
    <row r="757">
      <c r="M757" s="52"/>
      <c r="N757" s="52"/>
      <c r="O757" s="52"/>
      <c r="P757" s="52"/>
      <c r="Q757" s="52"/>
      <c r="U757" s="52"/>
    </row>
    <row r="758">
      <c r="M758" s="52"/>
      <c r="N758" s="52"/>
      <c r="O758" s="52"/>
      <c r="P758" s="52"/>
      <c r="Q758" s="52"/>
      <c r="U758" s="52"/>
    </row>
    <row r="759">
      <c r="M759" s="52"/>
      <c r="N759" s="52"/>
      <c r="O759" s="52"/>
      <c r="P759" s="52"/>
      <c r="Q759" s="52"/>
      <c r="U759" s="52"/>
    </row>
    <row r="760">
      <c r="M760" s="52"/>
      <c r="N760" s="52"/>
      <c r="O760" s="52"/>
      <c r="P760" s="52"/>
      <c r="Q760" s="52"/>
      <c r="U760" s="52"/>
    </row>
    <row r="761">
      <c r="M761" s="52"/>
      <c r="N761" s="52"/>
      <c r="O761" s="52"/>
      <c r="P761" s="52"/>
      <c r="Q761" s="52"/>
      <c r="U761" s="52"/>
    </row>
    <row r="762">
      <c r="M762" s="52"/>
      <c r="N762" s="52"/>
      <c r="O762" s="52"/>
      <c r="P762" s="52"/>
      <c r="Q762" s="52"/>
      <c r="U762" s="52"/>
    </row>
    <row r="763">
      <c r="M763" s="52"/>
      <c r="N763" s="52"/>
      <c r="O763" s="52"/>
      <c r="P763" s="52"/>
      <c r="Q763" s="52"/>
      <c r="U763" s="52"/>
    </row>
    <row r="764">
      <c r="M764" s="52"/>
      <c r="N764" s="52"/>
      <c r="O764" s="52"/>
      <c r="P764" s="52"/>
      <c r="Q764" s="52"/>
      <c r="U764" s="52"/>
    </row>
    <row r="765">
      <c r="M765" s="52"/>
      <c r="N765" s="52"/>
      <c r="O765" s="52"/>
      <c r="P765" s="52"/>
      <c r="Q765" s="52"/>
      <c r="U765" s="52"/>
    </row>
    <row r="766">
      <c r="M766" s="52"/>
      <c r="N766" s="52"/>
      <c r="O766" s="52"/>
      <c r="P766" s="52"/>
      <c r="Q766" s="52"/>
      <c r="U766" s="52"/>
    </row>
    <row r="767">
      <c r="M767" s="52"/>
      <c r="N767" s="52"/>
      <c r="O767" s="52"/>
      <c r="P767" s="52"/>
      <c r="Q767" s="52"/>
      <c r="U767" s="52"/>
    </row>
    <row r="768">
      <c r="M768" s="52"/>
      <c r="N768" s="52"/>
      <c r="O768" s="52"/>
      <c r="P768" s="52"/>
      <c r="Q768" s="52"/>
      <c r="U768" s="52"/>
    </row>
    <row r="769">
      <c r="M769" s="52"/>
      <c r="N769" s="52"/>
      <c r="O769" s="52"/>
      <c r="P769" s="52"/>
      <c r="Q769" s="52"/>
      <c r="U769" s="52"/>
    </row>
    <row r="770">
      <c r="M770" s="52"/>
      <c r="N770" s="52"/>
      <c r="O770" s="52"/>
      <c r="P770" s="52"/>
      <c r="Q770" s="52"/>
      <c r="U770" s="52"/>
    </row>
    <row r="771">
      <c r="M771" s="52"/>
      <c r="N771" s="52"/>
      <c r="O771" s="52"/>
      <c r="P771" s="52"/>
      <c r="Q771" s="52"/>
      <c r="U771" s="52"/>
    </row>
    <row r="772">
      <c r="M772" s="52"/>
      <c r="N772" s="52"/>
      <c r="O772" s="52"/>
      <c r="P772" s="52"/>
      <c r="Q772" s="52"/>
      <c r="U772" s="52"/>
    </row>
    <row r="773">
      <c r="M773" s="52"/>
      <c r="N773" s="52"/>
      <c r="O773" s="52"/>
      <c r="P773" s="52"/>
      <c r="Q773" s="52"/>
      <c r="U773" s="52"/>
    </row>
    <row r="774">
      <c r="M774" s="52"/>
      <c r="N774" s="52"/>
      <c r="O774" s="52"/>
      <c r="P774" s="52"/>
      <c r="Q774" s="52"/>
      <c r="U774" s="52"/>
    </row>
    <row r="775">
      <c r="M775" s="52"/>
      <c r="N775" s="52"/>
      <c r="O775" s="52"/>
      <c r="P775" s="52"/>
      <c r="Q775" s="52"/>
      <c r="U775" s="52"/>
    </row>
    <row r="776">
      <c r="M776" s="52"/>
      <c r="N776" s="52"/>
      <c r="O776" s="52"/>
      <c r="P776" s="52"/>
      <c r="Q776" s="52"/>
      <c r="U776" s="52"/>
    </row>
    <row r="777">
      <c r="M777" s="52"/>
      <c r="N777" s="52"/>
      <c r="O777" s="52"/>
      <c r="P777" s="52"/>
      <c r="Q777" s="52"/>
      <c r="U777" s="52"/>
    </row>
    <row r="778">
      <c r="M778" s="52"/>
      <c r="N778" s="52"/>
      <c r="O778" s="52"/>
      <c r="P778" s="52"/>
      <c r="Q778" s="52"/>
      <c r="U778" s="52"/>
    </row>
    <row r="779">
      <c r="M779" s="52"/>
      <c r="N779" s="52"/>
      <c r="O779" s="52"/>
      <c r="P779" s="52"/>
      <c r="Q779" s="52"/>
      <c r="U779" s="52"/>
    </row>
    <row r="780">
      <c r="M780" s="52"/>
      <c r="N780" s="52"/>
      <c r="O780" s="52"/>
      <c r="P780" s="52"/>
      <c r="Q780" s="52"/>
      <c r="U780" s="52"/>
    </row>
    <row r="781">
      <c r="M781" s="52"/>
      <c r="N781" s="52"/>
      <c r="O781" s="52"/>
      <c r="P781" s="52"/>
      <c r="Q781" s="52"/>
      <c r="U781" s="52"/>
    </row>
    <row r="782">
      <c r="M782" s="52"/>
      <c r="N782" s="52"/>
      <c r="O782" s="52"/>
      <c r="P782" s="52"/>
      <c r="Q782" s="52"/>
      <c r="U782" s="52"/>
    </row>
    <row r="783">
      <c r="M783" s="52"/>
      <c r="N783" s="52"/>
      <c r="O783" s="52"/>
      <c r="P783" s="52"/>
      <c r="Q783" s="52"/>
      <c r="U783" s="52"/>
    </row>
    <row r="784">
      <c r="M784" s="52"/>
      <c r="N784" s="52"/>
      <c r="O784" s="52"/>
      <c r="P784" s="52"/>
      <c r="Q784" s="52"/>
      <c r="U784" s="52"/>
    </row>
    <row r="785">
      <c r="M785" s="52"/>
      <c r="N785" s="52"/>
      <c r="O785" s="52"/>
      <c r="P785" s="52"/>
      <c r="Q785" s="52"/>
      <c r="U785" s="52"/>
    </row>
    <row r="786">
      <c r="M786" s="52"/>
      <c r="N786" s="52"/>
      <c r="O786" s="52"/>
      <c r="P786" s="52"/>
      <c r="Q786" s="52"/>
      <c r="U786" s="52"/>
    </row>
    <row r="787">
      <c r="M787" s="52"/>
      <c r="N787" s="52"/>
      <c r="O787" s="52"/>
      <c r="P787" s="52"/>
      <c r="Q787" s="52"/>
      <c r="U787" s="52"/>
    </row>
    <row r="788">
      <c r="M788" s="52"/>
      <c r="N788" s="52"/>
      <c r="O788" s="52"/>
      <c r="P788" s="52"/>
      <c r="Q788" s="52"/>
      <c r="U788" s="52"/>
    </row>
    <row r="789">
      <c r="M789" s="52"/>
      <c r="N789" s="52"/>
      <c r="O789" s="52"/>
      <c r="P789" s="52"/>
      <c r="Q789" s="52"/>
      <c r="U789" s="52"/>
    </row>
    <row r="790">
      <c r="M790" s="52"/>
      <c r="N790" s="52"/>
      <c r="O790" s="52"/>
      <c r="P790" s="52"/>
      <c r="Q790" s="52"/>
      <c r="U790" s="52"/>
    </row>
    <row r="791">
      <c r="M791" s="52"/>
      <c r="N791" s="52"/>
      <c r="O791" s="52"/>
      <c r="P791" s="52"/>
      <c r="Q791" s="52"/>
      <c r="U791" s="52"/>
    </row>
    <row r="792">
      <c r="M792" s="52"/>
      <c r="N792" s="52"/>
      <c r="O792" s="52"/>
      <c r="P792" s="52"/>
      <c r="Q792" s="52"/>
      <c r="U792" s="52"/>
    </row>
    <row r="793">
      <c r="M793" s="52"/>
      <c r="N793" s="52"/>
      <c r="O793" s="52"/>
      <c r="P793" s="52"/>
      <c r="Q793" s="52"/>
      <c r="U793" s="52"/>
    </row>
    <row r="794">
      <c r="M794" s="52"/>
      <c r="N794" s="52"/>
      <c r="O794" s="52"/>
      <c r="P794" s="52"/>
      <c r="Q794" s="52"/>
      <c r="U794" s="52"/>
    </row>
    <row r="795">
      <c r="M795" s="52"/>
      <c r="N795" s="52"/>
      <c r="O795" s="52"/>
      <c r="P795" s="52"/>
      <c r="Q795" s="52"/>
      <c r="U795" s="52"/>
    </row>
    <row r="796">
      <c r="M796" s="52"/>
      <c r="N796" s="52"/>
      <c r="O796" s="52"/>
      <c r="P796" s="52"/>
      <c r="Q796" s="52"/>
      <c r="U796" s="52"/>
    </row>
    <row r="797">
      <c r="M797" s="52"/>
      <c r="N797" s="52"/>
      <c r="O797" s="52"/>
      <c r="P797" s="52"/>
      <c r="Q797" s="52"/>
      <c r="U797" s="52"/>
    </row>
    <row r="798">
      <c r="M798" s="52"/>
      <c r="N798" s="52"/>
      <c r="O798" s="52"/>
      <c r="P798" s="52"/>
      <c r="Q798" s="52"/>
      <c r="U798" s="52"/>
    </row>
    <row r="799">
      <c r="M799" s="52"/>
      <c r="N799" s="52"/>
      <c r="O799" s="52"/>
      <c r="P799" s="52"/>
      <c r="Q799" s="52"/>
      <c r="U799" s="52"/>
    </row>
    <row r="800">
      <c r="M800" s="52"/>
      <c r="N800" s="52"/>
      <c r="O800" s="52"/>
      <c r="P800" s="52"/>
      <c r="Q800" s="52"/>
      <c r="U800" s="52"/>
    </row>
    <row r="801">
      <c r="M801" s="52"/>
      <c r="N801" s="52"/>
      <c r="O801" s="52"/>
      <c r="P801" s="52"/>
      <c r="Q801" s="52"/>
      <c r="U801" s="52"/>
    </row>
    <row r="802">
      <c r="M802" s="52"/>
      <c r="N802" s="52"/>
      <c r="O802" s="52"/>
      <c r="P802" s="52"/>
      <c r="Q802" s="52"/>
      <c r="U802" s="52"/>
    </row>
    <row r="803">
      <c r="M803" s="52"/>
      <c r="N803" s="52"/>
      <c r="O803" s="52"/>
      <c r="P803" s="52"/>
      <c r="Q803" s="52"/>
      <c r="U803" s="52"/>
    </row>
    <row r="804">
      <c r="M804" s="52"/>
      <c r="N804" s="52"/>
      <c r="O804" s="52"/>
      <c r="P804" s="52"/>
      <c r="Q804" s="52"/>
      <c r="U804" s="52"/>
    </row>
    <row r="805">
      <c r="M805" s="52"/>
      <c r="N805" s="52"/>
      <c r="O805" s="52"/>
      <c r="P805" s="52"/>
      <c r="Q805" s="52"/>
      <c r="U805" s="52"/>
    </row>
    <row r="806">
      <c r="M806" s="52"/>
      <c r="N806" s="52"/>
      <c r="O806" s="52"/>
      <c r="P806" s="52"/>
      <c r="Q806" s="52"/>
      <c r="U806" s="52"/>
    </row>
    <row r="807">
      <c r="M807" s="52"/>
      <c r="N807" s="52"/>
      <c r="O807" s="52"/>
      <c r="P807" s="52"/>
      <c r="Q807" s="52"/>
      <c r="U807" s="52"/>
    </row>
    <row r="808">
      <c r="M808" s="52"/>
      <c r="N808" s="52"/>
      <c r="O808" s="52"/>
      <c r="P808" s="52"/>
      <c r="Q808" s="52"/>
      <c r="U808" s="52"/>
    </row>
    <row r="809">
      <c r="M809" s="52"/>
      <c r="N809" s="52"/>
      <c r="O809" s="52"/>
      <c r="P809" s="52"/>
      <c r="Q809" s="52"/>
      <c r="U809" s="52"/>
    </row>
    <row r="810">
      <c r="M810" s="52"/>
      <c r="N810" s="52"/>
      <c r="O810" s="52"/>
      <c r="P810" s="52"/>
      <c r="Q810" s="52"/>
      <c r="U810" s="52"/>
    </row>
    <row r="811">
      <c r="M811" s="52"/>
      <c r="N811" s="52"/>
      <c r="O811" s="52"/>
      <c r="P811" s="52"/>
      <c r="Q811" s="52"/>
      <c r="U811" s="52"/>
    </row>
    <row r="812">
      <c r="M812" s="52"/>
      <c r="N812" s="52"/>
      <c r="O812" s="52"/>
      <c r="P812" s="52"/>
      <c r="Q812" s="52"/>
      <c r="U812" s="52"/>
    </row>
    <row r="813">
      <c r="M813" s="52"/>
      <c r="N813" s="52"/>
      <c r="O813" s="52"/>
      <c r="P813" s="52"/>
      <c r="Q813" s="52"/>
      <c r="U813" s="52"/>
    </row>
    <row r="814">
      <c r="M814" s="52"/>
      <c r="N814" s="52"/>
      <c r="O814" s="52"/>
      <c r="P814" s="52"/>
      <c r="Q814" s="52"/>
      <c r="U814" s="52"/>
    </row>
    <row r="815">
      <c r="M815" s="52"/>
      <c r="N815" s="52"/>
      <c r="O815" s="52"/>
      <c r="P815" s="52"/>
      <c r="Q815" s="52"/>
      <c r="U815" s="52"/>
    </row>
    <row r="816">
      <c r="M816" s="52"/>
      <c r="N816" s="52"/>
      <c r="O816" s="52"/>
      <c r="P816" s="52"/>
      <c r="Q816" s="52"/>
      <c r="U816" s="52"/>
    </row>
    <row r="817">
      <c r="M817" s="52"/>
      <c r="N817" s="52"/>
      <c r="O817" s="52"/>
      <c r="P817" s="52"/>
      <c r="Q817" s="52"/>
      <c r="U817" s="52"/>
    </row>
    <row r="818">
      <c r="M818" s="52"/>
      <c r="N818" s="52"/>
      <c r="O818" s="52"/>
      <c r="P818" s="52"/>
      <c r="Q818" s="52"/>
      <c r="U818" s="52"/>
    </row>
    <row r="819">
      <c r="M819" s="52"/>
      <c r="N819" s="52"/>
      <c r="O819" s="52"/>
      <c r="P819" s="52"/>
      <c r="Q819" s="52"/>
      <c r="U819" s="52"/>
    </row>
    <row r="820">
      <c r="M820" s="52"/>
      <c r="N820" s="52"/>
      <c r="O820" s="52"/>
      <c r="P820" s="52"/>
      <c r="Q820" s="52"/>
      <c r="U820" s="52"/>
    </row>
    <row r="821">
      <c r="M821" s="52"/>
      <c r="N821" s="52"/>
      <c r="O821" s="52"/>
      <c r="P821" s="52"/>
      <c r="Q821" s="52"/>
      <c r="U821" s="52"/>
    </row>
    <row r="822">
      <c r="M822" s="52"/>
      <c r="N822" s="52"/>
      <c r="O822" s="52"/>
      <c r="P822" s="52"/>
      <c r="Q822" s="52"/>
      <c r="U822" s="52"/>
    </row>
    <row r="823">
      <c r="M823" s="52"/>
      <c r="N823" s="52"/>
      <c r="O823" s="52"/>
      <c r="P823" s="52"/>
      <c r="Q823" s="52"/>
      <c r="U823" s="52"/>
    </row>
    <row r="824">
      <c r="M824" s="52"/>
      <c r="N824" s="52"/>
      <c r="O824" s="52"/>
      <c r="P824" s="52"/>
      <c r="Q824" s="52"/>
      <c r="U824" s="52"/>
    </row>
    <row r="825">
      <c r="M825" s="52"/>
      <c r="N825" s="52"/>
      <c r="O825" s="52"/>
      <c r="P825" s="52"/>
      <c r="Q825" s="52"/>
      <c r="U825" s="52"/>
    </row>
    <row r="826">
      <c r="M826" s="52"/>
      <c r="N826" s="52"/>
      <c r="O826" s="52"/>
      <c r="P826" s="52"/>
      <c r="Q826" s="52"/>
      <c r="U826" s="52"/>
    </row>
    <row r="827">
      <c r="M827" s="52"/>
      <c r="N827" s="52"/>
      <c r="O827" s="52"/>
      <c r="P827" s="52"/>
      <c r="Q827" s="52"/>
      <c r="U827" s="52"/>
    </row>
    <row r="828">
      <c r="M828" s="52"/>
      <c r="N828" s="52"/>
      <c r="O828" s="52"/>
      <c r="P828" s="52"/>
      <c r="Q828" s="52"/>
      <c r="U828" s="52"/>
    </row>
    <row r="829">
      <c r="M829" s="52"/>
      <c r="N829" s="52"/>
      <c r="O829" s="52"/>
      <c r="P829" s="52"/>
      <c r="Q829" s="52"/>
      <c r="U829" s="52"/>
    </row>
    <row r="830">
      <c r="M830" s="52"/>
      <c r="N830" s="52"/>
      <c r="O830" s="52"/>
      <c r="P830" s="52"/>
      <c r="Q830" s="52"/>
      <c r="U830" s="52"/>
    </row>
    <row r="831">
      <c r="M831" s="52"/>
      <c r="N831" s="52"/>
      <c r="O831" s="52"/>
      <c r="P831" s="52"/>
      <c r="Q831" s="52"/>
      <c r="U831" s="52"/>
    </row>
    <row r="832">
      <c r="M832" s="52"/>
      <c r="N832" s="52"/>
      <c r="O832" s="52"/>
      <c r="P832" s="52"/>
      <c r="Q832" s="52"/>
      <c r="U832" s="52"/>
    </row>
    <row r="833">
      <c r="M833" s="52"/>
      <c r="N833" s="52"/>
      <c r="O833" s="52"/>
      <c r="P833" s="52"/>
      <c r="Q833" s="52"/>
      <c r="U833" s="52"/>
    </row>
    <row r="834">
      <c r="M834" s="52"/>
      <c r="N834" s="52"/>
      <c r="O834" s="52"/>
      <c r="P834" s="52"/>
      <c r="Q834" s="52"/>
      <c r="U834" s="52"/>
    </row>
    <row r="835">
      <c r="M835" s="52"/>
      <c r="N835" s="52"/>
      <c r="O835" s="52"/>
      <c r="P835" s="52"/>
      <c r="Q835" s="52"/>
      <c r="U835" s="52"/>
    </row>
    <row r="836">
      <c r="M836" s="52"/>
      <c r="N836" s="52"/>
      <c r="O836" s="52"/>
      <c r="P836" s="52"/>
      <c r="Q836" s="52"/>
      <c r="U836" s="52"/>
    </row>
    <row r="837">
      <c r="M837" s="52"/>
      <c r="N837" s="52"/>
      <c r="O837" s="52"/>
      <c r="P837" s="52"/>
      <c r="Q837" s="52"/>
      <c r="U837" s="52"/>
    </row>
    <row r="838">
      <c r="M838" s="52"/>
      <c r="N838" s="52"/>
      <c r="O838" s="52"/>
      <c r="P838" s="52"/>
      <c r="Q838" s="52"/>
      <c r="U838" s="52"/>
    </row>
    <row r="839">
      <c r="M839" s="52"/>
      <c r="N839" s="52"/>
      <c r="O839" s="52"/>
      <c r="P839" s="52"/>
      <c r="Q839" s="52"/>
      <c r="U839" s="52"/>
    </row>
    <row r="840">
      <c r="M840" s="52"/>
      <c r="N840" s="52"/>
      <c r="O840" s="52"/>
      <c r="P840" s="52"/>
      <c r="Q840" s="52"/>
      <c r="U840" s="52"/>
    </row>
    <row r="841">
      <c r="M841" s="52"/>
      <c r="N841" s="52"/>
      <c r="O841" s="52"/>
      <c r="P841" s="52"/>
      <c r="Q841" s="52"/>
      <c r="U841" s="52"/>
    </row>
    <row r="842">
      <c r="M842" s="52"/>
      <c r="N842" s="52"/>
      <c r="O842" s="52"/>
      <c r="P842" s="52"/>
      <c r="Q842" s="52"/>
      <c r="U842" s="52"/>
    </row>
    <row r="843">
      <c r="M843" s="52"/>
      <c r="N843" s="52"/>
      <c r="O843" s="52"/>
      <c r="P843" s="52"/>
      <c r="Q843" s="52"/>
      <c r="U843" s="52"/>
    </row>
    <row r="844">
      <c r="M844" s="52"/>
      <c r="N844" s="52"/>
      <c r="O844" s="52"/>
      <c r="P844" s="52"/>
      <c r="Q844" s="52"/>
      <c r="U844" s="52"/>
    </row>
    <row r="845">
      <c r="M845" s="52"/>
      <c r="N845" s="52"/>
      <c r="O845" s="52"/>
      <c r="P845" s="52"/>
      <c r="Q845" s="52"/>
      <c r="U845" s="52"/>
    </row>
    <row r="846">
      <c r="M846" s="52"/>
      <c r="N846" s="52"/>
      <c r="O846" s="52"/>
      <c r="P846" s="52"/>
      <c r="Q846" s="52"/>
      <c r="U846" s="52"/>
    </row>
    <row r="847">
      <c r="M847" s="52"/>
      <c r="N847" s="52"/>
      <c r="O847" s="52"/>
      <c r="P847" s="52"/>
      <c r="Q847" s="52"/>
      <c r="U847" s="52"/>
    </row>
    <row r="848">
      <c r="M848" s="52"/>
      <c r="N848" s="52"/>
      <c r="O848" s="52"/>
      <c r="P848" s="52"/>
      <c r="Q848" s="52"/>
      <c r="U848" s="52"/>
    </row>
    <row r="849">
      <c r="M849" s="52"/>
      <c r="N849" s="52"/>
      <c r="O849" s="52"/>
      <c r="P849" s="52"/>
      <c r="Q849" s="52"/>
      <c r="U849" s="52"/>
    </row>
    <row r="850">
      <c r="M850" s="52"/>
      <c r="N850" s="52"/>
      <c r="O850" s="52"/>
      <c r="P850" s="52"/>
      <c r="Q850" s="52"/>
      <c r="U850" s="52"/>
    </row>
    <row r="851">
      <c r="M851" s="52"/>
      <c r="N851" s="52"/>
      <c r="O851" s="52"/>
      <c r="P851" s="52"/>
      <c r="Q851" s="52"/>
      <c r="U851" s="52"/>
    </row>
    <row r="852">
      <c r="M852" s="52"/>
      <c r="N852" s="52"/>
      <c r="O852" s="52"/>
      <c r="P852" s="52"/>
      <c r="Q852" s="52"/>
      <c r="U852" s="52"/>
    </row>
    <row r="853">
      <c r="M853" s="52"/>
      <c r="N853" s="52"/>
      <c r="O853" s="52"/>
      <c r="P853" s="52"/>
      <c r="Q853" s="52"/>
      <c r="U853" s="52"/>
    </row>
    <row r="854">
      <c r="M854" s="52"/>
      <c r="N854" s="52"/>
      <c r="O854" s="52"/>
      <c r="P854" s="52"/>
      <c r="Q854" s="52"/>
      <c r="U854" s="52"/>
    </row>
    <row r="855">
      <c r="M855" s="52"/>
      <c r="N855" s="52"/>
      <c r="O855" s="52"/>
      <c r="P855" s="52"/>
      <c r="Q855" s="52"/>
      <c r="U855" s="52"/>
    </row>
    <row r="856">
      <c r="M856" s="52"/>
      <c r="N856" s="52"/>
      <c r="O856" s="52"/>
      <c r="P856" s="52"/>
      <c r="Q856" s="52"/>
      <c r="U856" s="52"/>
    </row>
    <row r="857">
      <c r="M857" s="52"/>
      <c r="N857" s="52"/>
      <c r="O857" s="52"/>
      <c r="P857" s="52"/>
      <c r="Q857" s="52"/>
      <c r="U857" s="52"/>
    </row>
    <row r="858">
      <c r="M858" s="52"/>
      <c r="N858" s="52"/>
      <c r="O858" s="52"/>
      <c r="P858" s="52"/>
      <c r="Q858" s="52"/>
      <c r="U858" s="52"/>
    </row>
    <row r="859">
      <c r="M859" s="52"/>
      <c r="N859" s="52"/>
      <c r="O859" s="52"/>
      <c r="P859" s="52"/>
      <c r="Q859" s="52"/>
      <c r="U859" s="52"/>
    </row>
    <row r="860">
      <c r="M860" s="52"/>
      <c r="N860" s="52"/>
      <c r="O860" s="52"/>
      <c r="P860" s="52"/>
      <c r="Q860" s="52"/>
      <c r="U860" s="52"/>
    </row>
    <row r="861">
      <c r="M861" s="52"/>
      <c r="N861" s="52"/>
      <c r="O861" s="52"/>
      <c r="P861" s="52"/>
      <c r="Q861" s="52"/>
      <c r="U861" s="52"/>
    </row>
    <row r="862">
      <c r="M862" s="52"/>
      <c r="N862" s="52"/>
      <c r="O862" s="52"/>
      <c r="P862" s="52"/>
      <c r="Q862" s="52"/>
      <c r="U862" s="52"/>
    </row>
    <row r="863">
      <c r="M863" s="52"/>
      <c r="N863" s="52"/>
      <c r="O863" s="52"/>
      <c r="P863" s="52"/>
      <c r="Q863" s="52"/>
      <c r="U863" s="52"/>
    </row>
    <row r="864">
      <c r="M864" s="52"/>
      <c r="N864" s="52"/>
      <c r="O864" s="52"/>
      <c r="P864" s="52"/>
      <c r="Q864" s="52"/>
      <c r="U864" s="52"/>
    </row>
    <row r="865">
      <c r="M865" s="52"/>
      <c r="N865" s="52"/>
      <c r="O865" s="52"/>
      <c r="P865" s="52"/>
      <c r="Q865" s="52"/>
      <c r="U865" s="52"/>
    </row>
    <row r="866">
      <c r="M866" s="52"/>
      <c r="N866" s="52"/>
      <c r="O866" s="52"/>
      <c r="P866" s="52"/>
      <c r="Q866" s="52"/>
      <c r="U866" s="52"/>
    </row>
    <row r="867">
      <c r="M867" s="52"/>
      <c r="N867" s="52"/>
      <c r="O867" s="52"/>
      <c r="P867" s="52"/>
      <c r="Q867" s="52"/>
      <c r="U867" s="52"/>
    </row>
    <row r="868">
      <c r="M868" s="52"/>
      <c r="N868" s="52"/>
      <c r="O868" s="52"/>
      <c r="P868" s="52"/>
      <c r="Q868" s="52"/>
      <c r="U868" s="52"/>
    </row>
    <row r="869">
      <c r="M869" s="52"/>
      <c r="N869" s="52"/>
      <c r="O869" s="52"/>
      <c r="P869" s="52"/>
      <c r="Q869" s="52"/>
      <c r="U869" s="52"/>
    </row>
    <row r="870">
      <c r="M870" s="52"/>
      <c r="N870" s="52"/>
      <c r="O870" s="52"/>
      <c r="P870" s="52"/>
      <c r="Q870" s="52"/>
      <c r="U870" s="52"/>
    </row>
    <row r="871">
      <c r="M871" s="52"/>
      <c r="N871" s="52"/>
      <c r="O871" s="52"/>
      <c r="P871" s="52"/>
      <c r="Q871" s="52"/>
      <c r="U871" s="52"/>
    </row>
    <row r="872">
      <c r="M872" s="52"/>
      <c r="N872" s="52"/>
      <c r="O872" s="52"/>
      <c r="P872" s="52"/>
      <c r="Q872" s="52"/>
      <c r="U872" s="52"/>
    </row>
    <row r="873">
      <c r="M873" s="52"/>
      <c r="N873" s="52"/>
      <c r="O873" s="52"/>
      <c r="P873" s="52"/>
      <c r="Q873" s="52"/>
      <c r="U873" s="52"/>
    </row>
    <row r="874">
      <c r="M874" s="52"/>
      <c r="N874" s="52"/>
      <c r="O874" s="52"/>
      <c r="P874" s="52"/>
      <c r="Q874" s="52"/>
      <c r="U874" s="52"/>
    </row>
    <row r="875">
      <c r="M875" s="52"/>
      <c r="N875" s="52"/>
      <c r="O875" s="52"/>
      <c r="P875" s="52"/>
      <c r="Q875" s="52"/>
      <c r="U875" s="52"/>
    </row>
    <row r="876">
      <c r="M876" s="52"/>
      <c r="N876" s="52"/>
      <c r="O876" s="52"/>
      <c r="P876" s="52"/>
      <c r="Q876" s="52"/>
      <c r="U876" s="52"/>
    </row>
    <row r="877">
      <c r="M877" s="52"/>
      <c r="N877" s="52"/>
      <c r="O877" s="52"/>
      <c r="P877" s="52"/>
      <c r="Q877" s="52"/>
      <c r="U877" s="52"/>
    </row>
    <row r="878">
      <c r="M878" s="52"/>
      <c r="N878" s="52"/>
      <c r="O878" s="52"/>
      <c r="P878" s="52"/>
      <c r="Q878" s="52"/>
      <c r="U878" s="52"/>
    </row>
    <row r="879">
      <c r="M879" s="52"/>
      <c r="N879" s="52"/>
      <c r="O879" s="52"/>
      <c r="P879" s="52"/>
      <c r="Q879" s="52"/>
      <c r="U879" s="52"/>
    </row>
    <row r="880">
      <c r="M880" s="52"/>
      <c r="N880" s="52"/>
      <c r="O880" s="52"/>
      <c r="P880" s="52"/>
      <c r="Q880" s="52"/>
      <c r="U880" s="52"/>
    </row>
    <row r="881">
      <c r="M881" s="52"/>
      <c r="N881" s="52"/>
      <c r="O881" s="52"/>
      <c r="P881" s="52"/>
      <c r="Q881" s="52"/>
      <c r="U881" s="52"/>
    </row>
    <row r="882">
      <c r="M882" s="52"/>
      <c r="N882" s="52"/>
      <c r="O882" s="52"/>
      <c r="P882" s="52"/>
      <c r="Q882" s="52"/>
      <c r="U882" s="52"/>
    </row>
    <row r="883">
      <c r="M883" s="52"/>
      <c r="N883" s="52"/>
      <c r="O883" s="52"/>
      <c r="P883" s="52"/>
      <c r="Q883" s="52"/>
      <c r="U883" s="52"/>
    </row>
    <row r="884">
      <c r="M884" s="52"/>
      <c r="N884" s="52"/>
      <c r="O884" s="52"/>
      <c r="P884" s="52"/>
      <c r="Q884" s="52"/>
      <c r="U884" s="52"/>
    </row>
    <row r="885">
      <c r="M885" s="52"/>
      <c r="N885" s="52"/>
      <c r="O885" s="52"/>
      <c r="P885" s="52"/>
      <c r="Q885" s="52"/>
      <c r="U885" s="52"/>
    </row>
    <row r="886">
      <c r="M886" s="52"/>
      <c r="N886" s="52"/>
      <c r="O886" s="52"/>
      <c r="P886" s="52"/>
      <c r="Q886" s="52"/>
      <c r="U886" s="52"/>
    </row>
    <row r="887">
      <c r="M887" s="52"/>
      <c r="N887" s="52"/>
      <c r="O887" s="52"/>
      <c r="P887" s="52"/>
      <c r="Q887" s="52"/>
      <c r="U887" s="52"/>
    </row>
    <row r="888">
      <c r="M888" s="52"/>
      <c r="N888" s="52"/>
      <c r="O888" s="52"/>
      <c r="P888" s="52"/>
      <c r="Q888" s="52"/>
      <c r="U888" s="52"/>
    </row>
    <row r="889">
      <c r="M889" s="52"/>
      <c r="N889" s="52"/>
      <c r="O889" s="52"/>
      <c r="P889" s="52"/>
      <c r="Q889" s="52"/>
      <c r="U889" s="52"/>
    </row>
    <row r="890">
      <c r="M890" s="52"/>
      <c r="N890" s="52"/>
      <c r="O890" s="52"/>
      <c r="P890" s="52"/>
      <c r="Q890" s="52"/>
      <c r="U890" s="52"/>
    </row>
    <row r="891">
      <c r="M891" s="52"/>
      <c r="N891" s="52"/>
      <c r="O891" s="52"/>
      <c r="P891" s="52"/>
      <c r="Q891" s="52"/>
      <c r="U891" s="52"/>
    </row>
    <row r="892">
      <c r="M892" s="52"/>
      <c r="N892" s="52"/>
      <c r="O892" s="52"/>
      <c r="P892" s="52"/>
      <c r="Q892" s="52"/>
      <c r="U892" s="52"/>
    </row>
    <row r="893">
      <c r="M893" s="52"/>
      <c r="N893" s="52"/>
      <c r="O893" s="52"/>
      <c r="P893" s="52"/>
      <c r="Q893" s="52"/>
      <c r="U893" s="52"/>
    </row>
    <row r="894">
      <c r="M894" s="52"/>
      <c r="N894" s="52"/>
      <c r="O894" s="52"/>
      <c r="P894" s="52"/>
      <c r="Q894" s="52"/>
      <c r="U894" s="52"/>
    </row>
    <row r="895">
      <c r="M895" s="52"/>
      <c r="N895" s="52"/>
      <c r="O895" s="52"/>
      <c r="P895" s="52"/>
      <c r="Q895" s="52"/>
      <c r="U895" s="52"/>
    </row>
    <row r="896">
      <c r="M896" s="52"/>
      <c r="N896" s="52"/>
      <c r="O896" s="52"/>
      <c r="P896" s="52"/>
      <c r="Q896" s="52"/>
      <c r="U896" s="52"/>
    </row>
    <row r="897">
      <c r="M897" s="52"/>
      <c r="N897" s="52"/>
      <c r="O897" s="52"/>
      <c r="P897" s="52"/>
      <c r="Q897" s="52"/>
      <c r="U897" s="52"/>
    </row>
    <row r="898">
      <c r="M898" s="52"/>
      <c r="N898" s="52"/>
      <c r="O898" s="52"/>
      <c r="P898" s="52"/>
      <c r="Q898" s="52"/>
      <c r="U898" s="52"/>
    </row>
    <row r="899">
      <c r="M899" s="52"/>
      <c r="N899" s="52"/>
      <c r="O899" s="52"/>
      <c r="P899" s="52"/>
      <c r="Q899" s="52"/>
      <c r="U899" s="52"/>
    </row>
    <row r="900">
      <c r="M900" s="52"/>
      <c r="N900" s="52"/>
      <c r="O900" s="52"/>
      <c r="P900" s="52"/>
      <c r="Q900" s="52"/>
      <c r="U900" s="52"/>
    </row>
    <row r="901">
      <c r="M901" s="52"/>
      <c r="N901" s="52"/>
      <c r="O901" s="52"/>
      <c r="P901" s="52"/>
      <c r="Q901" s="52"/>
      <c r="U901" s="52"/>
    </row>
    <row r="902">
      <c r="M902" s="52"/>
      <c r="N902" s="52"/>
      <c r="O902" s="52"/>
      <c r="P902" s="52"/>
      <c r="Q902" s="52"/>
      <c r="U902" s="52"/>
    </row>
    <row r="903">
      <c r="M903" s="52"/>
      <c r="N903" s="52"/>
      <c r="O903" s="52"/>
      <c r="P903" s="52"/>
      <c r="Q903" s="52"/>
      <c r="U903" s="52"/>
    </row>
    <row r="904">
      <c r="M904" s="52"/>
      <c r="N904" s="52"/>
      <c r="O904" s="52"/>
      <c r="P904" s="52"/>
      <c r="Q904" s="52"/>
      <c r="U904" s="52"/>
    </row>
    <row r="905">
      <c r="M905" s="52"/>
      <c r="N905" s="52"/>
      <c r="O905" s="52"/>
      <c r="P905" s="52"/>
      <c r="Q905" s="52"/>
      <c r="U905" s="52"/>
    </row>
    <row r="906">
      <c r="M906" s="52"/>
      <c r="N906" s="52"/>
      <c r="O906" s="52"/>
      <c r="P906" s="52"/>
      <c r="Q906" s="52"/>
      <c r="U906" s="52"/>
    </row>
    <row r="907">
      <c r="M907" s="52"/>
      <c r="N907" s="52"/>
      <c r="O907" s="52"/>
      <c r="P907" s="52"/>
      <c r="Q907" s="52"/>
      <c r="U907" s="52"/>
    </row>
    <row r="908">
      <c r="M908" s="52"/>
      <c r="N908" s="52"/>
      <c r="O908" s="52"/>
      <c r="P908" s="52"/>
      <c r="Q908" s="52"/>
      <c r="U908" s="52"/>
    </row>
    <row r="909">
      <c r="M909" s="52"/>
      <c r="N909" s="52"/>
      <c r="O909" s="52"/>
      <c r="P909" s="52"/>
      <c r="Q909" s="52"/>
      <c r="U909" s="52"/>
    </row>
    <row r="910">
      <c r="M910" s="52"/>
      <c r="N910" s="52"/>
      <c r="O910" s="52"/>
      <c r="P910" s="52"/>
      <c r="Q910" s="52"/>
      <c r="U910" s="52"/>
    </row>
    <row r="911">
      <c r="M911" s="52"/>
      <c r="N911" s="52"/>
      <c r="O911" s="52"/>
      <c r="P911" s="52"/>
      <c r="Q911" s="52"/>
      <c r="U911" s="52"/>
    </row>
    <row r="912">
      <c r="M912" s="52"/>
      <c r="N912" s="52"/>
      <c r="O912" s="52"/>
      <c r="P912" s="52"/>
      <c r="Q912" s="52"/>
      <c r="U912" s="52"/>
    </row>
    <row r="913">
      <c r="M913" s="52"/>
      <c r="N913" s="52"/>
      <c r="O913" s="52"/>
      <c r="P913" s="52"/>
      <c r="Q913" s="52"/>
      <c r="U913" s="52"/>
    </row>
    <row r="914">
      <c r="M914" s="52"/>
      <c r="N914" s="52"/>
      <c r="O914" s="52"/>
      <c r="P914" s="52"/>
      <c r="Q914" s="52"/>
      <c r="U914" s="52"/>
    </row>
    <row r="915">
      <c r="M915" s="52"/>
      <c r="N915" s="52"/>
      <c r="O915" s="52"/>
      <c r="P915" s="52"/>
      <c r="Q915" s="52"/>
      <c r="U915" s="52"/>
    </row>
    <row r="916">
      <c r="M916" s="52"/>
      <c r="N916" s="52"/>
      <c r="O916" s="52"/>
      <c r="P916" s="52"/>
      <c r="Q916" s="52"/>
      <c r="U916" s="52"/>
    </row>
    <row r="917">
      <c r="M917" s="52"/>
      <c r="N917" s="52"/>
      <c r="O917" s="52"/>
      <c r="P917" s="52"/>
      <c r="Q917" s="52"/>
      <c r="U917" s="52"/>
    </row>
    <row r="918">
      <c r="M918" s="52"/>
      <c r="N918" s="52"/>
      <c r="O918" s="52"/>
      <c r="P918" s="52"/>
      <c r="Q918" s="52"/>
      <c r="U918" s="52"/>
    </row>
    <row r="919">
      <c r="M919" s="52"/>
      <c r="N919" s="52"/>
      <c r="O919" s="52"/>
      <c r="P919" s="52"/>
      <c r="Q919" s="52"/>
      <c r="U919" s="52"/>
    </row>
    <row r="920">
      <c r="M920" s="52"/>
      <c r="N920" s="52"/>
      <c r="O920" s="52"/>
      <c r="P920" s="52"/>
      <c r="Q920" s="52"/>
      <c r="U920" s="52"/>
    </row>
    <row r="921">
      <c r="M921" s="52"/>
      <c r="N921" s="52"/>
      <c r="O921" s="52"/>
      <c r="P921" s="52"/>
      <c r="Q921" s="52"/>
      <c r="U921" s="52"/>
    </row>
    <row r="922">
      <c r="M922" s="52"/>
      <c r="N922" s="52"/>
      <c r="O922" s="52"/>
      <c r="P922" s="52"/>
      <c r="Q922" s="52"/>
      <c r="U922" s="52"/>
    </row>
    <row r="923">
      <c r="M923" s="52"/>
      <c r="N923" s="52"/>
      <c r="O923" s="52"/>
      <c r="P923" s="52"/>
      <c r="Q923" s="52"/>
      <c r="U923" s="52"/>
    </row>
    <row r="924">
      <c r="M924" s="52"/>
      <c r="N924" s="52"/>
      <c r="O924" s="52"/>
      <c r="P924" s="52"/>
      <c r="Q924" s="52"/>
      <c r="U924" s="52"/>
    </row>
    <row r="925">
      <c r="M925" s="52"/>
      <c r="N925" s="52"/>
      <c r="O925" s="52"/>
      <c r="P925" s="52"/>
      <c r="Q925" s="52"/>
      <c r="U925" s="52"/>
    </row>
    <row r="926">
      <c r="M926" s="52"/>
      <c r="N926" s="52"/>
      <c r="O926" s="52"/>
      <c r="P926" s="52"/>
      <c r="Q926" s="52"/>
      <c r="U926" s="52"/>
    </row>
    <row r="927">
      <c r="M927" s="52"/>
      <c r="N927" s="52"/>
      <c r="O927" s="52"/>
      <c r="P927" s="52"/>
      <c r="Q927" s="52"/>
      <c r="U927" s="52"/>
    </row>
    <row r="928">
      <c r="M928" s="52"/>
      <c r="N928" s="52"/>
      <c r="O928" s="52"/>
      <c r="P928" s="52"/>
      <c r="Q928" s="52"/>
      <c r="U928" s="52"/>
    </row>
    <row r="929">
      <c r="M929" s="52"/>
      <c r="N929" s="52"/>
      <c r="O929" s="52"/>
      <c r="P929" s="52"/>
      <c r="Q929" s="52"/>
      <c r="U929" s="52"/>
    </row>
    <row r="930">
      <c r="M930" s="52"/>
      <c r="N930" s="52"/>
      <c r="O930" s="52"/>
      <c r="P930" s="52"/>
      <c r="Q930" s="52"/>
      <c r="U930" s="52"/>
    </row>
    <row r="931">
      <c r="M931" s="52"/>
      <c r="N931" s="52"/>
      <c r="O931" s="52"/>
      <c r="P931" s="52"/>
      <c r="Q931" s="52"/>
      <c r="U931" s="52"/>
    </row>
    <row r="932">
      <c r="M932" s="52"/>
      <c r="N932" s="52"/>
      <c r="O932" s="52"/>
      <c r="P932" s="52"/>
      <c r="Q932" s="52"/>
      <c r="U932" s="52"/>
    </row>
    <row r="933">
      <c r="M933" s="52"/>
      <c r="N933" s="52"/>
      <c r="O933" s="52"/>
      <c r="P933" s="52"/>
      <c r="Q933" s="52"/>
      <c r="U933" s="52"/>
    </row>
    <row r="934">
      <c r="M934" s="52"/>
      <c r="N934" s="52"/>
      <c r="O934" s="52"/>
      <c r="P934" s="52"/>
      <c r="Q934" s="52"/>
      <c r="U934" s="52"/>
    </row>
    <row r="935">
      <c r="M935" s="52"/>
      <c r="N935" s="52"/>
      <c r="O935" s="52"/>
      <c r="P935" s="52"/>
      <c r="Q935" s="52"/>
      <c r="U935" s="52"/>
    </row>
    <row r="936">
      <c r="M936" s="52"/>
      <c r="N936" s="52"/>
      <c r="O936" s="52"/>
      <c r="P936" s="52"/>
      <c r="Q936" s="52"/>
      <c r="U936" s="52"/>
    </row>
    <row r="937">
      <c r="M937" s="52"/>
      <c r="N937" s="52"/>
      <c r="O937" s="52"/>
      <c r="P937" s="52"/>
      <c r="Q937" s="52"/>
      <c r="U937" s="52"/>
    </row>
    <row r="938">
      <c r="M938" s="52"/>
      <c r="N938" s="52"/>
      <c r="O938" s="52"/>
      <c r="P938" s="52"/>
      <c r="Q938" s="52"/>
      <c r="U938" s="52"/>
    </row>
    <row r="939">
      <c r="M939" s="52"/>
      <c r="N939" s="52"/>
      <c r="O939" s="52"/>
      <c r="P939" s="52"/>
      <c r="Q939" s="52"/>
      <c r="U939" s="52"/>
    </row>
    <row r="940">
      <c r="M940" s="52"/>
      <c r="N940" s="52"/>
      <c r="O940" s="52"/>
      <c r="P940" s="52"/>
      <c r="Q940" s="52"/>
      <c r="U940" s="52"/>
    </row>
    <row r="941">
      <c r="M941" s="52"/>
      <c r="N941" s="52"/>
      <c r="O941" s="52"/>
      <c r="P941" s="52"/>
      <c r="Q941" s="52"/>
      <c r="U941" s="52"/>
    </row>
    <row r="942">
      <c r="M942" s="52"/>
      <c r="N942" s="52"/>
      <c r="O942" s="52"/>
      <c r="P942" s="52"/>
      <c r="Q942" s="52"/>
      <c r="U942" s="52"/>
    </row>
    <row r="943">
      <c r="M943" s="52"/>
      <c r="N943" s="52"/>
      <c r="O943" s="52"/>
      <c r="P943" s="52"/>
      <c r="Q943" s="52"/>
      <c r="U943" s="52"/>
    </row>
    <row r="944">
      <c r="M944" s="52"/>
      <c r="N944" s="52"/>
      <c r="O944" s="52"/>
      <c r="P944" s="52"/>
      <c r="Q944" s="52"/>
      <c r="U944" s="52"/>
    </row>
    <row r="945">
      <c r="M945" s="52"/>
      <c r="N945" s="52"/>
      <c r="O945" s="52"/>
      <c r="P945" s="52"/>
      <c r="Q945" s="52"/>
      <c r="U945" s="52"/>
    </row>
    <row r="946">
      <c r="M946" s="52"/>
      <c r="N946" s="52"/>
      <c r="O946" s="52"/>
      <c r="P946" s="52"/>
      <c r="Q946" s="52"/>
      <c r="U946" s="52"/>
    </row>
    <row r="947">
      <c r="M947" s="52"/>
      <c r="N947" s="52"/>
      <c r="O947" s="52"/>
      <c r="P947" s="52"/>
      <c r="Q947" s="52"/>
      <c r="U947" s="52"/>
    </row>
    <row r="948">
      <c r="M948" s="52"/>
      <c r="N948" s="52"/>
      <c r="O948" s="52"/>
      <c r="P948" s="52"/>
      <c r="Q948" s="52"/>
      <c r="U948" s="52"/>
    </row>
    <row r="949">
      <c r="M949" s="52"/>
      <c r="N949" s="52"/>
      <c r="O949" s="52"/>
      <c r="P949" s="52"/>
      <c r="Q949" s="52"/>
      <c r="U949" s="52"/>
    </row>
    <row r="950">
      <c r="M950" s="52"/>
      <c r="N950" s="52"/>
      <c r="O950" s="52"/>
      <c r="P950" s="52"/>
      <c r="Q950" s="52"/>
      <c r="U950" s="52"/>
    </row>
    <row r="951">
      <c r="M951" s="52"/>
      <c r="N951" s="52"/>
      <c r="O951" s="52"/>
      <c r="P951" s="52"/>
      <c r="Q951" s="52"/>
      <c r="U951" s="52"/>
    </row>
    <row r="952">
      <c r="M952" s="52"/>
      <c r="N952" s="52"/>
      <c r="O952" s="52"/>
      <c r="P952" s="52"/>
      <c r="Q952" s="52"/>
      <c r="U952" s="52"/>
    </row>
    <row r="953">
      <c r="M953" s="52"/>
      <c r="N953" s="52"/>
      <c r="O953" s="52"/>
      <c r="P953" s="52"/>
      <c r="Q953" s="52"/>
      <c r="U953" s="52"/>
    </row>
    <row r="954">
      <c r="M954" s="52"/>
      <c r="N954" s="52"/>
      <c r="O954" s="52"/>
      <c r="P954" s="52"/>
      <c r="Q954" s="52"/>
      <c r="U954" s="52"/>
    </row>
    <row r="955">
      <c r="M955" s="52"/>
      <c r="N955" s="52"/>
      <c r="O955" s="52"/>
      <c r="P955" s="52"/>
      <c r="Q955" s="52"/>
      <c r="U955" s="52"/>
    </row>
    <row r="956">
      <c r="M956" s="52"/>
      <c r="N956" s="52"/>
      <c r="O956" s="52"/>
      <c r="P956" s="52"/>
      <c r="Q956" s="52"/>
      <c r="U956" s="52"/>
    </row>
    <row r="957">
      <c r="M957" s="52"/>
      <c r="N957" s="52"/>
      <c r="O957" s="52"/>
      <c r="P957" s="52"/>
      <c r="Q957" s="52"/>
      <c r="U957" s="52"/>
    </row>
    <row r="958">
      <c r="M958" s="52"/>
      <c r="N958" s="52"/>
      <c r="O958" s="52"/>
      <c r="P958" s="52"/>
      <c r="Q958" s="52"/>
      <c r="U958" s="52"/>
    </row>
    <row r="959">
      <c r="M959" s="52"/>
      <c r="N959" s="52"/>
      <c r="O959" s="52"/>
      <c r="P959" s="52"/>
      <c r="Q959" s="52"/>
      <c r="U959" s="52"/>
    </row>
    <row r="960">
      <c r="M960" s="52"/>
      <c r="N960" s="52"/>
      <c r="O960" s="52"/>
      <c r="P960" s="52"/>
      <c r="Q960" s="52"/>
      <c r="U960" s="52"/>
    </row>
    <row r="961">
      <c r="M961" s="52"/>
      <c r="N961" s="52"/>
      <c r="O961" s="52"/>
      <c r="P961" s="52"/>
      <c r="Q961" s="52"/>
      <c r="U961" s="52"/>
    </row>
    <row r="962">
      <c r="M962" s="52"/>
      <c r="N962" s="52"/>
      <c r="O962" s="52"/>
      <c r="P962" s="52"/>
      <c r="Q962" s="52"/>
      <c r="U962" s="52"/>
    </row>
    <row r="963">
      <c r="M963" s="52"/>
      <c r="N963" s="52"/>
      <c r="O963" s="52"/>
      <c r="P963" s="52"/>
      <c r="Q963" s="52"/>
      <c r="U963" s="52"/>
    </row>
    <row r="964">
      <c r="M964" s="52"/>
      <c r="N964" s="52"/>
      <c r="O964" s="52"/>
      <c r="P964" s="52"/>
      <c r="Q964" s="52"/>
      <c r="U964" s="52"/>
    </row>
    <row r="965">
      <c r="M965" s="52"/>
      <c r="N965" s="52"/>
      <c r="O965" s="52"/>
      <c r="P965" s="52"/>
      <c r="Q965" s="52"/>
      <c r="U965" s="52"/>
    </row>
    <row r="966">
      <c r="M966" s="52"/>
      <c r="N966" s="52"/>
      <c r="O966" s="52"/>
      <c r="P966" s="52"/>
      <c r="Q966" s="52"/>
      <c r="U966" s="52"/>
    </row>
    <row r="967">
      <c r="M967" s="52"/>
      <c r="N967" s="52"/>
      <c r="O967" s="52"/>
      <c r="P967" s="52"/>
      <c r="Q967" s="52"/>
      <c r="U967" s="52"/>
    </row>
    <row r="968">
      <c r="M968" s="52"/>
      <c r="N968" s="52"/>
      <c r="O968" s="52"/>
      <c r="P968" s="52"/>
      <c r="Q968" s="52"/>
      <c r="U968" s="52"/>
    </row>
    <row r="969">
      <c r="M969" s="52"/>
      <c r="N969" s="52"/>
      <c r="O969" s="52"/>
      <c r="P969" s="52"/>
      <c r="Q969" s="52"/>
      <c r="U969" s="52"/>
    </row>
    <row r="970">
      <c r="M970" s="52"/>
      <c r="N970" s="52"/>
      <c r="O970" s="52"/>
      <c r="P970" s="52"/>
      <c r="Q970" s="52"/>
      <c r="U970" s="52"/>
    </row>
    <row r="971">
      <c r="M971" s="52"/>
      <c r="N971" s="52"/>
      <c r="O971" s="52"/>
      <c r="P971" s="52"/>
      <c r="Q971" s="52"/>
      <c r="U971" s="52"/>
    </row>
    <row r="972">
      <c r="M972" s="52"/>
      <c r="N972" s="52"/>
      <c r="O972" s="52"/>
      <c r="P972" s="52"/>
      <c r="Q972" s="52"/>
      <c r="U972" s="52"/>
    </row>
    <row r="973">
      <c r="M973" s="52"/>
      <c r="N973" s="52"/>
      <c r="O973" s="52"/>
      <c r="P973" s="52"/>
      <c r="Q973" s="52"/>
      <c r="U973" s="52"/>
    </row>
    <row r="974">
      <c r="M974" s="52"/>
      <c r="N974" s="52"/>
      <c r="O974" s="52"/>
      <c r="P974" s="52"/>
      <c r="Q974" s="52"/>
      <c r="U974" s="52"/>
    </row>
    <row r="975">
      <c r="M975" s="52"/>
      <c r="N975" s="52"/>
      <c r="O975" s="52"/>
      <c r="P975" s="52"/>
      <c r="Q975" s="52"/>
      <c r="U975" s="52"/>
    </row>
    <row r="976">
      <c r="M976" s="52"/>
      <c r="N976" s="52"/>
      <c r="O976" s="52"/>
      <c r="P976" s="52"/>
      <c r="Q976" s="52"/>
      <c r="U976" s="52"/>
    </row>
    <row r="977">
      <c r="M977" s="52"/>
      <c r="N977" s="52"/>
      <c r="O977" s="52"/>
      <c r="P977" s="52"/>
      <c r="Q977" s="52"/>
      <c r="U977" s="52"/>
    </row>
    <row r="978">
      <c r="M978" s="52"/>
      <c r="N978" s="52"/>
      <c r="O978" s="52"/>
      <c r="P978" s="52"/>
      <c r="Q978" s="52"/>
      <c r="U978" s="52"/>
    </row>
    <row r="979">
      <c r="M979" s="52"/>
      <c r="N979" s="52"/>
      <c r="O979" s="52"/>
      <c r="P979" s="52"/>
      <c r="Q979" s="52"/>
      <c r="U979" s="52"/>
    </row>
    <row r="980">
      <c r="M980" s="52"/>
      <c r="N980" s="52"/>
      <c r="O980" s="52"/>
      <c r="P980" s="52"/>
      <c r="Q980" s="52"/>
      <c r="U980" s="52"/>
    </row>
    <row r="981">
      <c r="M981" s="52"/>
      <c r="N981" s="52"/>
      <c r="O981" s="52"/>
      <c r="P981" s="52"/>
      <c r="Q981" s="52"/>
      <c r="U981" s="52"/>
    </row>
    <row r="982">
      <c r="M982" s="52"/>
      <c r="N982" s="52"/>
      <c r="O982" s="52"/>
      <c r="P982" s="52"/>
      <c r="Q982" s="52"/>
      <c r="U982" s="52"/>
    </row>
    <row r="983">
      <c r="M983" s="52"/>
      <c r="N983" s="52"/>
      <c r="O983" s="52"/>
      <c r="P983" s="52"/>
      <c r="Q983" s="52"/>
      <c r="U983" s="52"/>
    </row>
    <row r="984">
      <c r="M984" s="52"/>
      <c r="N984" s="52"/>
      <c r="O984" s="52"/>
      <c r="P984" s="52"/>
      <c r="Q984" s="52"/>
      <c r="U984" s="52"/>
    </row>
    <row r="985">
      <c r="M985" s="52"/>
      <c r="N985" s="52"/>
      <c r="O985" s="52"/>
      <c r="P985" s="52"/>
      <c r="Q985" s="52"/>
      <c r="U985" s="52"/>
    </row>
    <row r="986">
      <c r="M986" s="52"/>
      <c r="N986" s="52"/>
      <c r="O986" s="52"/>
      <c r="P986" s="52"/>
      <c r="Q986" s="52"/>
      <c r="U986" s="52"/>
    </row>
    <row r="987">
      <c r="M987" s="52"/>
      <c r="N987" s="52"/>
      <c r="O987" s="52"/>
      <c r="P987" s="52"/>
      <c r="Q987" s="52"/>
      <c r="U987" s="52"/>
    </row>
    <row r="988">
      <c r="M988" s="52"/>
      <c r="N988" s="52"/>
      <c r="O988" s="52"/>
      <c r="P988" s="52"/>
      <c r="Q988" s="52"/>
      <c r="U988" s="52"/>
    </row>
    <row r="989">
      <c r="M989" s="52"/>
      <c r="N989" s="52"/>
      <c r="O989" s="52"/>
      <c r="P989" s="52"/>
      <c r="Q989" s="52"/>
      <c r="U989" s="52"/>
    </row>
    <row r="990">
      <c r="M990" s="52"/>
      <c r="N990" s="52"/>
      <c r="O990" s="52"/>
      <c r="P990" s="52"/>
      <c r="Q990" s="52"/>
      <c r="U990" s="52"/>
    </row>
    <row r="991">
      <c r="M991" s="52"/>
      <c r="N991" s="52"/>
      <c r="O991" s="52"/>
      <c r="P991" s="52"/>
      <c r="Q991" s="52"/>
      <c r="U991" s="52"/>
    </row>
    <row r="992">
      <c r="M992" s="52"/>
      <c r="N992" s="52"/>
      <c r="O992" s="52"/>
      <c r="P992" s="52"/>
      <c r="Q992" s="52"/>
      <c r="U992" s="52"/>
    </row>
    <row r="993">
      <c r="M993" s="52"/>
      <c r="N993" s="52"/>
      <c r="O993" s="52"/>
      <c r="P993" s="52"/>
      <c r="Q993" s="52"/>
      <c r="U993" s="52"/>
    </row>
    <row r="994">
      <c r="M994" s="52"/>
      <c r="N994" s="52"/>
      <c r="O994" s="52"/>
      <c r="P994" s="52"/>
      <c r="Q994" s="52"/>
      <c r="U994" s="52"/>
    </row>
    <row r="995">
      <c r="M995" s="52"/>
      <c r="N995" s="52"/>
      <c r="O995" s="52"/>
      <c r="P995" s="52"/>
      <c r="Q995" s="52"/>
      <c r="U995" s="52"/>
    </row>
    <row r="996">
      <c r="M996" s="52"/>
      <c r="N996" s="52"/>
      <c r="O996" s="52"/>
      <c r="P996" s="52"/>
      <c r="Q996" s="52"/>
      <c r="U996" s="52"/>
    </row>
    <row r="997">
      <c r="M997" s="52"/>
      <c r="N997" s="52"/>
      <c r="O997" s="52"/>
      <c r="P997" s="52"/>
      <c r="Q997" s="52"/>
      <c r="U997" s="52"/>
    </row>
    <row r="998">
      <c r="M998" s="52"/>
      <c r="N998" s="52"/>
      <c r="O998" s="52"/>
      <c r="P998" s="52"/>
      <c r="Q998" s="52"/>
      <c r="U998" s="52"/>
    </row>
    <row r="999">
      <c r="M999" s="52"/>
      <c r="N999" s="52"/>
      <c r="O999" s="52"/>
      <c r="P999" s="52"/>
      <c r="Q999" s="52"/>
      <c r="U999" s="52"/>
    </row>
    <row r="1000">
      <c r="M1000" s="52"/>
      <c r="N1000" s="52"/>
      <c r="O1000" s="52"/>
      <c r="P1000" s="52"/>
      <c r="Q1000" s="52"/>
      <c r="U1000" s="52"/>
    </row>
  </sheetData>
  <mergeCells count="7">
    <mergeCell ref="A1:A2"/>
    <mergeCell ref="B1:B2"/>
    <mergeCell ref="C1:G1"/>
    <mergeCell ref="H1:I1"/>
    <mergeCell ref="J1:J2"/>
    <mergeCell ref="K1:O1"/>
    <mergeCell ref="P1:U1"/>
  </mergeCells>
  <conditionalFormatting sqref="N3:N9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G3:G9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3:H9">
    <cfRule type="colorScale" priority="3">
      <colorScale>
        <cfvo type="formula" val="0"/>
        <cfvo type="max"/>
        <color rgb="FFFFFFFF"/>
        <color rgb="FF57BB8A"/>
      </colorScale>
    </cfRule>
  </conditionalFormatting>
  <conditionalFormatting sqref="I3:I9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J3:J9">
    <cfRule type="colorScale" priority="5">
      <colorScale>
        <cfvo type="formula" val="0"/>
        <cfvo type="max"/>
        <color rgb="FFFFFFFF"/>
        <color rgb="FF57BB8A"/>
      </colorScale>
    </cfRule>
  </conditionalFormatting>
  <conditionalFormatting sqref="K3:K9">
    <cfRule type="colorScale" priority="6">
      <colorScale>
        <cfvo type="formula" val="0"/>
        <cfvo type="max"/>
        <color rgb="FFFFFFFF"/>
        <color rgb="FF57BB8A"/>
      </colorScale>
    </cfRule>
  </conditionalFormatting>
  <conditionalFormatting sqref="L3:L9">
    <cfRule type="colorScale" priority="7">
      <colorScale>
        <cfvo type="formula" val="0"/>
        <cfvo type="max"/>
        <color rgb="FFFFFFFF"/>
        <color rgb="FFE67C73"/>
      </colorScale>
    </cfRule>
  </conditionalFormatting>
  <conditionalFormatting sqref="C3:C9">
    <cfRule type="colorScale" priority="8">
      <colorScale>
        <cfvo type="formula" val="0"/>
        <cfvo type="max"/>
        <color rgb="FFFFFFFF"/>
        <color rgb="FFFFD666"/>
      </colorScale>
    </cfRule>
  </conditionalFormatting>
  <conditionalFormatting sqref="D3:D9">
    <cfRule type="colorScale" priority="9">
      <colorScale>
        <cfvo type="formula" val="0"/>
        <cfvo type="max"/>
        <color rgb="FFFFFFFF"/>
        <color rgb="FF57BB8A"/>
      </colorScale>
    </cfRule>
  </conditionalFormatting>
  <conditionalFormatting sqref="E3:E9">
    <cfRule type="colorScale" priority="10">
      <colorScale>
        <cfvo type="formula" val="0"/>
        <cfvo type="max"/>
        <color rgb="FFFFFFFF"/>
        <color rgb="FFE67C73"/>
      </colorScale>
    </cfRule>
  </conditionalFormatting>
  <conditionalFormatting sqref="F3:F9">
    <cfRule type="colorScale" priority="11">
      <colorScale>
        <cfvo type="formula" val="0"/>
        <cfvo type="max"/>
        <color rgb="FFFFFFFF"/>
        <color rgb="FF57BB8A"/>
      </colorScale>
    </cfRule>
  </conditionalFormatting>
  <conditionalFormatting sqref="M3:M9">
    <cfRule type="colorScale" priority="12">
      <colorScale>
        <cfvo type="formula" val="0"/>
        <cfvo type="max"/>
        <color rgb="FFFFFFFF"/>
        <color rgb="FFFFD666"/>
      </colorScale>
    </cfRule>
  </conditionalFormatting>
  <conditionalFormatting sqref="O3:O9">
    <cfRule type="colorScale" priority="13">
      <colorScale>
        <cfvo type="formula" val="0"/>
        <cfvo type="formula" val="1"/>
        <color rgb="FFFFFFFF"/>
        <color rgb="FF57BB8A"/>
      </colorScale>
    </cfRule>
  </conditionalFormatting>
  <conditionalFormatting sqref="P3:P9">
    <cfRule type="colorScale" priority="14">
      <colorScale>
        <cfvo type="formula" val="0"/>
        <cfvo type="max"/>
        <color rgb="FFFFFFFF"/>
        <color rgb="FFFFD666"/>
      </colorScale>
    </cfRule>
  </conditionalFormatting>
  <conditionalFormatting sqref="U3:U9">
    <cfRule type="colorScale" priority="15">
      <colorScale>
        <cfvo type="formula" val="0"/>
        <cfvo type="formula" val="2"/>
        <cfvo type="formula" val="3"/>
        <color rgb="FFE67C73"/>
        <color rgb="FFFFFFFF"/>
        <color rgb="FF57BB8A"/>
      </colorScale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7.63"/>
    <col customWidth="1" min="4" max="4" width="5.63"/>
    <col customWidth="1" min="5" max="5" width="6.88"/>
    <col customWidth="1" min="6" max="6" width="8.38"/>
    <col customWidth="1" min="7" max="7" width="15.5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1" t="s">
        <v>4</v>
      </c>
      <c r="K1" s="6" t="s">
        <v>5</v>
      </c>
      <c r="L1" s="4"/>
      <c r="M1" s="4"/>
      <c r="N1" s="4"/>
      <c r="O1" s="5"/>
      <c r="P1" s="30" t="s">
        <v>6</v>
      </c>
      <c r="Q1" s="4"/>
      <c r="R1" s="4"/>
      <c r="S1" s="4"/>
      <c r="T1" s="4"/>
      <c r="U1" s="5"/>
    </row>
    <row r="2">
      <c r="A2" s="9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2" t="s">
        <v>13</v>
      </c>
      <c r="I2" s="12" t="s">
        <v>14</v>
      </c>
      <c r="J2" s="9"/>
      <c r="K2" s="10" t="s">
        <v>15</v>
      </c>
      <c r="L2" s="12" t="s">
        <v>10</v>
      </c>
      <c r="M2" s="10" t="s">
        <v>16</v>
      </c>
      <c r="N2" s="10" t="s">
        <v>12</v>
      </c>
      <c r="O2" s="10" t="s">
        <v>18</v>
      </c>
      <c r="P2" s="15" t="s">
        <v>8</v>
      </c>
      <c r="Q2" s="15">
        <v>0.0</v>
      </c>
      <c r="R2" s="15">
        <v>1.0</v>
      </c>
      <c r="S2" s="15">
        <v>2.0</v>
      </c>
      <c r="T2" s="15">
        <v>3.0</v>
      </c>
      <c r="U2" s="15" t="s">
        <v>19</v>
      </c>
    </row>
    <row r="3">
      <c r="A3" s="18" t="s">
        <v>21</v>
      </c>
      <c r="B3" s="18" t="s">
        <v>101</v>
      </c>
      <c r="C3" s="10">
        <v>1.0</v>
      </c>
      <c r="D3" s="10"/>
      <c r="E3" s="10">
        <v>1.0</v>
      </c>
      <c r="F3" s="35"/>
      <c r="G3" s="35">
        <f t="shared" ref="G3:G9" si="1">IFS(C3=0, "N/A", C3&lt;&gt;0,(D3-E3)/C3 )</f>
        <v>-1</v>
      </c>
      <c r="H3" s="35"/>
      <c r="I3" s="10"/>
      <c r="J3" s="10">
        <v>1.0</v>
      </c>
      <c r="K3" s="35"/>
      <c r="L3" s="10"/>
      <c r="M3" s="10">
        <v>3.0</v>
      </c>
      <c r="N3" s="35">
        <f t="shared" ref="N3:N9" si="2">ifs(M3=0,"N/A",M3&lt;&gt;0,(M3-L3) /M3)</f>
        <v>1</v>
      </c>
      <c r="O3" s="35">
        <f t="shared" ref="O3:O9" si="3">IFS(M3=0, "N/A", M3&lt;&gt;0, K3/M3)</f>
        <v>0</v>
      </c>
      <c r="P3" s="10">
        <f t="shared" ref="P3:P6" si="4">sum(Q3,R3,S3,T3)</f>
        <v>4</v>
      </c>
      <c r="Q3" s="10">
        <v>1.0</v>
      </c>
      <c r="R3" s="10"/>
      <c r="S3" s="10">
        <v>2.0</v>
      </c>
      <c r="T3" s="10">
        <v>1.0</v>
      </c>
      <c r="U3" s="10">
        <f t="shared" ref="U3:U6" si="5">ifs(P3=0, "N/A",P3&lt;&gt;0,(R3 + S3*2 +T3*3)/P3)</f>
        <v>1.75</v>
      </c>
    </row>
    <row r="4">
      <c r="A4" s="21" t="s">
        <v>24</v>
      </c>
      <c r="B4" s="21" t="s">
        <v>45</v>
      </c>
      <c r="C4" s="10">
        <v>6.0</v>
      </c>
      <c r="D4" s="10">
        <v>1.0</v>
      </c>
      <c r="E4" s="10">
        <v>2.0</v>
      </c>
      <c r="F4" s="35"/>
      <c r="G4" s="35">
        <f t="shared" si="1"/>
        <v>-0.1666666667</v>
      </c>
      <c r="H4" s="10"/>
      <c r="I4" s="10"/>
      <c r="J4" s="10">
        <v>1.0</v>
      </c>
      <c r="K4" s="35"/>
      <c r="L4" s="10"/>
      <c r="M4" s="10">
        <v>3.0</v>
      </c>
      <c r="N4" s="35">
        <f t="shared" si="2"/>
        <v>1</v>
      </c>
      <c r="O4" s="35">
        <f t="shared" si="3"/>
        <v>0</v>
      </c>
      <c r="P4" s="10">
        <f t="shared" si="4"/>
        <v>1</v>
      </c>
      <c r="Q4" s="10"/>
      <c r="R4" s="35"/>
      <c r="S4" s="10">
        <v>1.0</v>
      </c>
      <c r="T4" s="35"/>
      <c r="U4" s="10">
        <f t="shared" si="5"/>
        <v>2</v>
      </c>
    </row>
    <row r="5">
      <c r="A5" s="22" t="s">
        <v>26</v>
      </c>
      <c r="B5" s="22" t="s">
        <v>42</v>
      </c>
      <c r="C5" s="10">
        <v>1.0</v>
      </c>
      <c r="D5" s="10"/>
      <c r="E5" s="10"/>
      <c r="F5" s="10">
        <v>9.0</v>
      </c>
      <c r="G5" s="35">
        <f t="shared" si="1"/>
        <v>0</v>
      </c>
      <c r="H5" s="10">
        <v>1.0</v>
      </c>
      <c r="I5" s="10"/>
      <c r="J5" s="10"/>
      <c r="K5" s="10">
        <v>1.0</v>
      </c>
      <c r="L5" s="35"/>
      <c r="M5" s="10">
        <v>5.0</v>
      </c>
      <c r="N5" s="35">
        <f t="shared" si="2"/>
        <v>1</v>
      </c>
      <c r="O5" s="35">
        <f t="shared" si="3"/>
        <v>0.2</v>
      </c>
      <c r="P5" s="10">
        <f t="shared" si="4"/>
        <v>0</v>
      </c>
      <c r="Q5" s="35"/>
      <c r="R5" s="35"/>
      <c r="S5" s="35"/>
      <c r="T5" s="10"/>
      <c r="U5" s="10" t="str">
        <f t="shared" si="5"/>
        <v>N/A</v>
      </c>
    </row>
    <row r="6">
      <c r="A6" s="23" t="s">
        <v>28</v>
      </c>
      <c r="B6" s="23" t="s">
        <v>43</v>
      </c>
      <c r="C6" s="10">
        <v>8.0</v>
      </c>
      <c r="D6" s="10">
        <v>3.0</v>
      </c>
      <c r="E6" s="10">
        <v>1.0</v>
      </c>
      <c r="F6" s="35"/>
      <c r="G6" s="35">
        <f t="shared" si="1"/>
        <v>0.25</v>
      </c>
      <c r="H6" s="35"/>
      <c r="I6" s="35"/>
      <c r="J6" s="10">
        <v>3.0</v>
      </c>
      <c r="K6" s="10"/>
      <c r="L6" s="10"/>
      <c r="M6" s="10">
        <v>6.0</v>
      </c>
      <c r="N6" s="35">
        <f t="shared" si="2"/>
        <v>1</v>
      </c>
      <c r="O6" s="35">
        <f t="shared" si="3"/>
        <v>0</v>
      </c>
      <c r="P6" s="10">
        <f t="shared" si="4"/>
        <v>5</v>
      </c>
      <c r="Q6" s="10">
        <v>2.0</v>
      </c>
      <c r="R6" s="10">
        <v>1.0</v>
      </c>
      <c r="S6" s="10">
        <v>1.0</v>
      </c>
      <c r="T6" s="10">
        <v>1.0</v>
      </c>
      <c r="U6" s="10">
        <f t="shared" si="5"/>
        <v>1.2</v>
      </c>
    </row>
    <row r="7">
      <c r="A7" s="24" t="s">
        <v>30</v>
      </c>
      <c r="B7" s="24" t="s">
        <v>85</v>
      </c>
      <c r="C7" s="10">
        <v>9.0</v>
      </c>
      <c r="D7" s="10">
        <v>5.0</v>
      </c>
      <c r="E7" s="10">
        <v>1.0</v>
      </c>
      <c r="F7" s="35"/>
      <c r="G7" s="35">
        <f t="shared" si="1"/>
        <v>0.4444444444</v>
      </c>
      <c r="H7" s="35"/>
      <c r="I7" s="35"/>
      <c r="J7" s="10">
        <v>1.0</v>
      </c>
      <c r="K7" s="35"/>
      <c r="L7" s="10">
        <v>1.0</v>
      </c>
      <c r="M7" s="10">
        <v>2.0</v>
      </c>
      <c r="N7" s="35">
        <f t="shared" si="2"/>
        <v>0.5</v>
      </c>
      <c r="O7" s="35">
        <f t="shared" si="3"/>
        <v>0</v>
      </c>
      <c r="P7" s="10">
        <f>sum(Q7,R7,S6,T7)</f>
        <v>5</v>
      </c>
      <c r="Q7" s="10">
        <v>2.0</v>
      </c>
      <c r="R7" s="10">
        <v>2.0</v>
      </c>
      <c r="S7" s="27">
        <v>1.0</v>
      </c>
      <c r="T7" s="35"/>
      <c r="U7" s="10">
        <f>ifs(P7=0, "N/A",P7&lt;&gt;0,(R7 + S6*2 +T7*3)/P7)</f>
        <v>0.8</v>
      </c>
    </row>
    <row r="8">
      <c r="A8" s="25" t="s">
        <v>32</v>
      </c>
      <c r="B8" s="25" t="s">
        <v>41</v>
      </c>
      <c r="C8" s="10">
        <v>2.0</v>
      </c>
      <c r="D8" s="10">
        <v>1.0</v>
      </c>
      <c r="E8" s="10"/>
      <c r="F8" s="35"/>
      <c r="G8" s="35">
        <f t="shared" si="1"/>
        <v>0.5</v>
      </c>
      <c r="H8" s="35"/>
      <c r="I8" s="10"/>
      <c r="J8" s="10">
        <v>1.0</v>
      </c>
      <c r="K8" s="35"/>
      <c r="L8" s="35"/>
      <c r="M8" s="10">
        <v>2.0</v>
      </c>
      <c r="N8" s="35">
        <f t="shared" si="2"/>
        <v>1</v>
      </c>
      <c r="O8" s="35">
        <f t="shared" si="3"/>
        <v>0</v>
      </c>
      <c r="P8" s="10">
        <f t="shared" ref="P8:P9" si="6">sum(Q8,R8,S8,T8)</f>
        <v>3</v>
      </c>
      <c r="Q8" s="10">
        <v>1.0</v>
      </c>
      <c r="R8" s="10"/>
      <c r="S8" s="10">
        <v>1.0</v>
      </c>
      <c r="T8" s="10">
        <v>1.0</v>
      </c>
      <c r="U8" s="10">
        <f t="shared" ref="U8:U9" si="7">ifs(P8=0, "N/A",P8&lt;&gt;0,(R8 + S8*2 +T8*3)/P8)</f>
        <v>1.666666667</v>
      </c>
    </row>
    <row r="9">
      <c r="A9" s="26" t="s">
        <v>34</v>
      </c>
      <c r="B9" s="26" t="s">
        <v>84</v>
      </c>
      <c r="C9" s="10">
        <v>3.0</v>
      </c>
      <c r="D9" s="10">
        <v>1.0</v>
      </c>
      <c r="E9" s="10"/>
      <c r="F9" s="35"/>
      <c r="G9" s="35">
        <f t="shared" si="1"/>
        <v>0.3333333333</v>
      </c>
      <c r="H9" s="35"/>
      <c r="I9" s="35"/>
      <c r="J9" s="10">
        <v>3.0</v>
      </c>
      <c r="K9" s="35"/>
      <c r="L9" s="10"/>
      <c r="M9" s="10">
        <v>2.0</v>
      </c>
      <c r="N9" s="35">
        <f t="shared" si="2"/>
        <v>1</v>
      </c>
      <c r="O9" s="35">
        <f t="shared" si="3"/>
        <v>0</v>
      </c>
      <c r="P9" s="10">
        <f t="shared" si="6"/>
        <v>1</v>
      </c>
      <c r="Q9" s="35"/>
      <c r="R9" s="10">
        <v>1.0</v>
      </c>
      <c r="S9" s="10"/>
      <c r="T9" s="10"/>
      <c r="U9" s="10">
        <f t="shared" si="7"/>
        <v>1</v>
      </c>
    </row>
    <row r="10">
      <c r="M10" s="52"/>
      <c r="N10" s="52"/>
      <c r="O10" s="52"/>
      <c r="P10" s="52"/>
      <c r="Q10" s="52"/>
      <c r="U10" s="52"/>
    </row>
    <row r="11">
      <c r="M11" s="52"/>
      <c r="N11" s="52"/>
      <c r="O11" s="52"/>
      <c r="P11" s="52"/>
      <c r="Q11" s="52"/>
      <c r="U11" s="52"/>
    </row>
    <row r="12">
      <c r="M12" s="52"/>
      <c r="N12" s="52"/>
      <c r="O12" s="52"/>
      <c r="P12" s="52"/>
      <c r="Q12" s="52"/>
      <c r="U12" s="52"/>
    </row>
    <row r="13">
      <c r="M13" s="52"/>
      <c r="N13" s="52"/>
      <c r="O13" s="52"/>
      <c r="P13" s="52"/>
      <c r="Q13" s="52"/>
      <c r="U13" s="52"/>
    </row>
    <row r="14">
      <c r="M14" s="52"/>
      <c r="N14" s="52"/>
      <c r="O14" s="52"/>
      <c r="P14" s="52"/>
      <c r="Q14" s="52"/>
      <c r="U14" s="52"/>
    </row>
    <row r="15">
      <c r="M15" s="52"/>
      <c r="N15" s="52"/>
      <c r="O15" s="52"/>
      <c r="P15" s="52"/>
      <c r="Q15" s="52"/>
      <c r="U15" s="52"/>
    </row>
    <row r="16">
      <c r="M16" s="52"/>
      <c r="N16" s="52"/>
      <c r="O16" s="52"/>
      <c r="P16" s="52"/>
      <c r="Q16" s="52"/>
      <c r="U16" s="52"/>
    </row>
    <row r="17">
      <c r="M17" s="52"/>
      <c r="N17" s="52"/>
      <c r="O17" s="52"/>
      <c r="P17" s="52"/>
      <c r="Q17" s="52"/>
      <c r="U17" s="52"/>
    </row>
    <row r="18">
      <c r="M18" s="52"/>
      <c r="N18" s="52"/>
      <c r="O18" s="52"/>
      <c r="P18" s="52"/>
      <c r="Q18" s="52"/>
      <c r="U18" s="52"/>
    </row>
    <row r="19">
      <c r="M19" s="52"/>
      <c r="N19" s="52"/>
      <c r="O19" s="52"/>
      <c r="P19" s="52"/>
      <c r="Q19" s="52"/>
      <c r="U19" s="52"/>
    </row>
    <row r="20">
      <c r="M20" s="52"/>
      <c r="N20" s="52"/>
      <c r="O20" s="52"/>
      <c r="P20" s="52"/>
      <c r="Q20" s="52"/>
      <c r="U20" s="52"/>
    </row>
    <row r="21">
      <c r="M21" s="52"/>
      <c r="N21" s="52"/>
      <c r="O21" s="52"/>
      <c r="P21" s="52"/>
      <c r="Q21" s="52"/>
      <c r="U21" s="52"/>
    </row>
    <row r="22">
      <c r="M22" s="52"/>
      <c r="N22" s="52"/>
      <c r="O22" s="52"/>
      <c r="P22" s="52"/>
      <c r="Q22" s="52"/>
      <c r="U22" s="52"/>
    </row>
    <row r="23">
      <c r="M23" s="52"/>
      <c r="N23" s="52"/>
      <c r="O23" s="52"/>
      <c r="P23" s="52"/>
      <c r="Q23" s="52"/>
      <c r="U23" s="52"/>
    </row>
    <row r="24">
      <c r="M24" s="52"/>
      <c r="N24" s="52"/>
      <c r="O24" s="52"/>
      <c r="P24" s="52"/>
      <c r="Q24" s="52"/>
      <c r="U24" s="52"/>
    </row>
    <row r="25">
      <c r="M25" s="52"/>
      <c r="N25" s="52"/>
      <c r="O25" s="52"/>
      <c r="P25" s="52"/>
      <c r="Q25" s="52"/>
      <c r="U25" s="52"/>
    </row>
    <row r="26">
      <c r="M26" s="52"/>
      <c r="N26" s="52"/>
      <c r="O26" s="52"/>
      <c r="P26" s="52"/>
      <c r="Q26" s="52"/>
      <c r="U26" s="52"/>
    </row>
    <row r="27">
      <c r="M27" s="52"/>
      <c r="N27" s="52"/>
      <c r="O27" s="52"/>
      <c r="P27" s="52"/>
      <c r="Q27" s="52"/>
      <c r="U27" s="52"/>
    </row>
    <row r="28">
      <c r="M28" s="52"/>
      <c r="N28" s="52"/>
      <c r="O28" s="52"/>
      <c r="P28" s="52"/>
      <c r="Q28" s="52"/>
      <c r="U28" s="52"/>
    </row>
    <row r="29">
      <c r="M29" s="52"/>
      <c r="N29" s="52"/>
      <c r="O29" s="52"/>
      <c r="P29" s="52"/>
      <c r="Q29" s="52"/>
      <c r="U29" s="52"/>
    </row>
    <row r="30">
      <c r="M30" s="52"/>
      <c r="N30" s="52"/>
      <c r="O30" s="52"/>
      <c r="P30" s="52"/>
      <c r="Q30" s="52"/>
      <c r="U30" s="52"/>
    </row>
    <row r="31">
      <c r="M31" s="52"/>
      <c r="N31" s="52"/>
      <c r="O31" s="52"/>
      <c r="P31" s="52"/>
      <c r="Q31" s="52"/>
      <c r="U31" s="52"/>
    </row>
    <row r="32">
      <c r="M32" s="52"/>
      <c r="N32" s="52"/>
      <c r="O32" s="52"/>
      <c r="P32" s="52"/>
      <c r="Q32" s="52"/>
      <c r="U32" s="52"/>
    </row>
    <row r="33">
      <c r="M33" s="52"/>
      <c r="N33" s="52"/>
      <c r="O33" s="52"/>
      <c r="P33" s="52"/>
      <c r="Q33" s="52"/>
      <c r="U33" s="52"/>
    </row>
    <row r="34">
      <c r="M34" s="52"/>
      <c r="N34" s="52"/>
      <c r="O34" s="52"/>
      <c r="P34" s="52"/>
      <c r="Q34" s="52"/>
      <c r="U34" s="52"/>
    </row>
    <row r="35">
      <c r="M35" s="52"/>
      <c r="N35" s="52"/>
      <c r="O35" s="52"/>
      <c r="P35" s="52"/>
      <c r="Q35" s="52"/>
      <c r="U35" s="52"/>
    </row>
    <row r="36">
      <c r="M36" s="52"/>
      <c r="N36" s="52"/>
      <c r="O36" s="52"/>
      <c r="P36" s="52"/>
      <c r="Q36" s="52"/>
      <c r="U36" s="52"/>
    </row>
    <row r="37">
      <c r="M37" s="52"/>
      <c r="N37" s="52"/>
      <c r="O37" s="52"/>
      <c r="P37" s="52"/>
      <c r="Q37" s="52"/>
      <c r="U37" s="52"/>
    </row>
    <row r="38">
      <c r="M38" s="52"/>
      <c r="N38" s="52"/>
      <c r="O38" s="52"/>
      <c r="P38" s="52"/>
      <c r="Q38" s="52"/>
      <c r="U38" s="52"/>
    </row>
    <row r="39">
      <c r="M39" s="52"/>
      <c r="N39" s="52"/>
      <c r="O39" s="52"/>
      <c r="P39" s="52"/>
      <c r="Q39" s="52"/>
      <c r="U39" s="52"/>
    </row>
    <row r="40">
      <c r="M40" s="52"/>
      <c r="N40" s="52"/>
      <c r="O40" s="52"/>
      <c r="P40" s="52"/>
      <c r="Q40" s="52"/>
      <c r="U40" s="52"/>
    </row>
    <row r="41">
      <c r="M41" s="52"/>
      <c r="N41" s="52"/>
      <c r="O41" s="52"/>
      <c r="P41" s="52"/>
      <c r="Q41" s="52"/>
      <c r="U41" s="52"/>
    </row>
    <row r="42">
      <c r="M42" s="52"/>
      <c r="N42" s="52"/>
      <c r="O42" s="52"/>
      <c r="P42" s="52"/>
      <c r="Q42" s="52"/>
      <c r="U42" s="52"/>
    </row>
    <row r="43">
      <c r="M43" s="52"/>
      <c r="N43" s="52"/>
      <c r="O43" s="52"/>
      <c r="P43" s="52"/>
      <c r="Q43" s="52"/>
      <c r="U43" s="52"/>
    </row>
    <row r="44">
      <c r="M44" s="52"/>
      <c r="N44" s="52"/>
      <c r="O44" s="52"/>
      <c r="P44" s="52"/>
      <c r="Q44" s="52"/>
      <c r="U44" s="52"/>
    </row>
    <row r="45">
      <c r="M45" s="52"/>
      <c r="N45" s="52"/>
      <c r="O45" s="52"/>
      <c r="P45" s="52"/>
      <c r="Q45" s="52"/>
      <c r="U45" s="52"/>
    </row>
    <row r="46">
      <c r="M46" s="52"/>
      <c r="N46" s="52"/>
      <c r="O46" s="52"/>
      <c r="P46" s="52"/>
      <c r="Q46" s="52"/>
      <c r="U46" s="52"/>
    </row>
    <row r="47">
      <c r="M47" s="52"/>
      <c r="N47" s="52"/>
      <c r="O47" s="52"/>
      <c r="P47" s="52"/>
      <c r="Q47" s="52"/>
      <c r="U47" s="52"/>
    </row>
    <row r="48">
      <c r="M48" s="52"/>
      <c r="N48" s="52"/>
      <c r="O48" s="52"/>
      <c r="P48" s="52"/>
      <c r="Q48" s="52"/>
      <c r="U48" s="52"/>
    </row>
    <row r="49">
      <c r="M49" s="52"/>
      <c r="N49" s="52"/>
      <c r="O49" s="52"/>
      <c r="P49" s="52"/>
      <c r="Q49" s="52"/>
      <c r="U49" s="52"/>
    </row>
    <row r="50">
      <c r="M50" s="52"/>
      <c r="N50" s="52"/>
      <c r="O50" s="52"/>
      <c r="P50" s="52"/>
      <c r="Q50" s="52"/>
      <c r="U50" s="52"/>
    </row>
    <row r="51">
      <c r="M51" s="52"/>
      <c r="N51" s="52"/>
      <c r="O51" s="52"/>
      <c r="P51" s="52"/>
      <c r="Q51" s="52"/>
      <c r="U51" s="52"/>
    </row>
    <row r="52">
      <c r="M52" s="52"/>
      <c r="N52" s="52"/>
      <c r="O52" s="52"/>
      <c r="P52" s="52"/>
      <c r="Q52" s="52"/>
      <c r="U52" s="52"/>
    </row>
    <row r="53">
      <c r="M53" s="52"/>
      <c r="N53" s="52"/>
      <c r="O53" s="52"/>
      <c r="P53" s="52"/>
      <c r="Q53" s="52"/>
      <c r="U53" s="52"/>
    </row>
    <row r="54">
      <c r="M54" s="52"/>
      <c r="N54" s="52"/>
      <c r="O54" s="52"/>
      <c r="P54" s="52"/>
      <c r="Q54" s="52"/>
      <c r="U54" s="52"/>
    </row>
    <row r="55">
      <c r="M55" s="52"/>
      <c r="N55" s="52"/>
      <c r="O55" s="52"/>
      <c r="P55" s="52"/>
      <c r="Q55" s="52"/>
      <c r="U55" s="52"/>
    </row>
    <row r="56">
      <c r="M56" s="52"/>
      <c r="N56" s="52"/>
      <c r="O56" s="52"/>
      <c r="P56" s="52"/>
      <c r="Q56" s="52"/>
      <c r="U56" s="52"/>
    </row>
    <row r="57">
      <c r="M57" s="52"/>
      <c r="N57" s="52"/>
      <c r="O57" s="52"/>
      <c r="P57" s="52"/>
      <c r="Q57" s="52"/>
      <c r="U57" s="52"/>
    </row>
    <row r="58">
      <c r="M58" s="52"/>
      <c r="N58" s="52"/>
      <c r="O58" s="52"/>
      <c r="P58" s="52"/>
      <c r="Q58" s="52"/>
      <c r="U58" s="52"/>
    </row>
    <row r="59">
      <c r="M59" s="52"/>
      <c r="N59" s="52"/>
      <c r="O59" s="52"/>
      <c r="P59" s="52"/>
      <c r="Q59" s="52"/>
      <c r="U59" s="52"/>
    </row>
    <row r="60">
      <c r="M60" s="52"/>
      <c r="N60" s="52"/>
      <c r="O60" s="52"/>
      <c r="P60" s="52"/>
      <c r="Q60" s="52"/>
      <c r="U60" s="52"/>
    </row>
    <row r="61">
      <c r="M61" s="52"/>
      <c r="N61" s="52"/>
      <c r="O61" s="52"/>
      <c r="P61" s="52"/>
      <c r="Q61" s="52"/>
      <c r="U61" s="52"/>
    </row>
    <row r="62">
      <c r="M62" s="52"/>
      <c r="N62" s="52"/>
      <c r="O62" s="52"/>
      <c r="P62" s="52"/>
      <c r="Q62" s="52"/>
      <c r="U62" s="52"/>
    </row>
    <row r="63">
      <c r="M63" s="52"/>
      <c r="N63" s="52"/>
      <c r="O63" s="52"/>
      <c r="P63" s="52"/>
      <c r="Q63" s="52"/>
      <c r="U63" s="52"/>
    </row>
    <row r="64">
      <c r="M64" s="52"/>
      <c r="N64" s="52"/>
      <c r="O64" s="52"/>
      <c r="P64" s="52"/>
      <c r="Q64" s="52"/>
      <c r="U64" s="52"/>
    </row>
    <row r="65">
      <c r="M65" s="52"/>
      <c r="N65" s="52"/>
      <c r="O65" s="52"/>
      <c r="P65" s="52"/>
      <c r="Q65" s="52"/>
      <c r="U65" s="52"/>
    </row>
    <row r="66">
      <c r="M66" s="52"/>
      <c r="N66" s="52"/>
      <c r="O66" s="52"/>
      <c r="P66" s="52"/>
      <c r="Q66" s="52"/>
      <c r="U66" s="52"/>
    </row>
    <row r="67">
      <c r="M67" s="52"/>
      <c r="N67" s="52"/>
      <c r="O67" s="52"/>
      <c r="P67" s="52"/>
      <c r="Q67" s="52"/>
      <c r="U67" s="52"/>
    </row>
    <row r="68">
      <c r="M68" s="52"/>
      <c r="N68" s="52"/>
      <c r="O68" s="52"/>
      <c r="P68" s="52"/>
      <c r="Q68" s="52"/>
      <c r="U68" s="52"/>
    </row>
    <row r="69">
      <c r="M69" s="52"/>
      <c r="N69" s="52"/>
      <c r="O69" s="52"/>
      <c r="P69" s="52"/>
      <c r="Q69" s="52"/>
      <c r="U69" s="52"/>
    </row>
    <row r="70">
      <c r="M70" s="52"/>
      <c r="N70" s="52"/>
      <c r="O70" s="52"/>
      <c r="P70" s="52"/>
      <c r="Q70" s="52"/>
      <c r="U70" s="52"/>
    </row>
    <row r="71">
      <c r="M71" s="52"/>
      <c r="N71" s="52"/>
      <c r="O71" s="52"/>
      <c r="P71" s="52"/>
      <c r="Q71" s="52"/>
      <c r="U71" s="52"/>
    </row>
    <row r="72">
      <c r="M72" s="52"/>
      <c r="N72" s="52"/>
      <c r="O72" s="52"/>
      <c r="P72" s="52"/>
      <c r="Q72" s="52"/>
      <c r="U72" s="52"/>
    </row>
    <row r="73">
      <c r="M73" s="52"/>
      <c r="N73" s="52"/>
      <c r="O73" s="52"/>
      <c r="P73" s="52"/>
      <c r="Q73" s="52"/>
      <c r="U73" s="52"/>
    </row>
    <row r="74">
      <c r="M74" s="52"/>
      <c r="N74" s="52"/>
      <c r="O74" s="52"/>
      <c r="P74" s="52"/>
      <c r="Q74" s="52"/>
      <c r="U74" s="52"/>
    </row>
    <row r="75">
      <c r="M75" s="52"/>
      <c r="N75" s="52"/>
      <c r="O75" s="52"/>
      <c r="P75" s="52"/>
      <c r="Q75" s="52"/>
      <c r="U75" s="52"/>
    </row>
    <row r="76">
      <c r="M76" s="52"/>
      <c r="N76" s="52"/>
      <c r="O76" s="52"/>
      <c r="P76" s="52"/>
      <c r="Q76" s="52"/>
      <c r="U76" s="52"/>
    </row>
    <row r="77">
      <c r="M77" s="52"/>
      <c r="N77" s="52"/>
      <c r="O77" s="52"/>
      <c r="P77" s="52"/>
      <c r="Q77" s="52"/>
      <c r="U77" s="52"/>
    </row>
    <row r="78">
      <c r="M78" s="52"/>
      <c r="N78" s="52"/>
      <c r="O78" s="52"/>
      <c r="P78" s="52"/>
      <c r="Q78" s="52"/>
      <c r="U78" s="52"/>
    </row>
    <row r="79">
      <c r="M79" s="52"/>
      <c r="N79" s="52"/>
      <c r="O79" s="52"/>
      <c r="P79" s="52"/>
      <c r="Q79" s="52"/>
      <c r="U79" s="52"/>
    </row>
    <row r="80">
      <c r="M80" s="52"/>
      <c r="N80" s="52"/>
      <c r="O80" s="52"/>
      <c r="P80" s="52"/>
      <c r="Q80" s="52"/>
      <c r="U80" s="52"/>
    </row>
    <row r="81">
      <c r="M81" s="52"/>
      <c r="N81" s="52"/>
      <c r="O81" s="52"/>
      <c r="P81" s="52"/>
      <c r="Q81" s="52"/>
      <c r="U81" s="52"/>
    </row>
    <row r="82">
      <c r="M82" s="52"/>
      <c r="N82" s="52"/>
      <c r="O82" s="52"/>
      <c r="P82" s="52"/>
      <c r="Q82" s="52"/>
      <c r="U82" s="52"/>
    </row>
    <row r="83">
      <c r="M83" s="52"/>
      <c r="N83" s="52"/>
      <c r="O83" s="52"/>
      <c r="P83" s="52"/>
      <c r="Q83" s="52"/>
      <c r="U83" s="52"/>
    </row>
    <row r="84">
      <c r="M84" s="52"/>
      <c r="N84" s="52"/>
      <c r="O84" s="52"/>
      <c r="P84" s="52"/>
      <c r="Q84" s="52"/>
      <c r="U84" s="52"/>
    </row>
    <row r="85">
      <c r="M85" s="52"/>
      <c r="N85" s="52"/>
      <c r="O85" s="52"/>
      <c r="P85" s="52"/>
      <c r="Q85" s="52"/>
      <c r="U85" s="52"/>
    </row>
    <row r="86">
      <c r="M86" s="52"/>
      <c r="N86" s="52"/>
      <c r="O86" s="52"/>
      <c r="P86" s="52"/>
      <c r="Q86" s="52"/>
      <c r="U86" s="52"/>
    </row>
    <row r="87">
      <c r="M87" s="52"/>
      <c r="N87" s="52"/>
      <c r="O87" s="52"/>
      <c r="P87" s="52"/>
      <c r="Q87" s="52"/>
      <c r="U87" s="52"/>
    </row>
    <row r="88">
      <c r="M88" s="52"/>
      <c r="N88" s="52"/>
      <c r="O88" s="52"/>
      <c r="P88" s="52"/>
      <c r="Q88" s="52"/>
      <c r="U88" s="52"/>
    </row>
    <row r="89">
      <c r="M89" s="52"/>
      <c r="N89" s="52"/>
      <c r="O89" s="52"/>
      <c r="P89" s="52"/>
      <c r="Q89" s="52"/>
      <c r="U89" s="52"/>
    </row>
    <row r="90">
      <c r="M90" s="52"/>
      <c r="N90" s="52"/>
      <c r="O90" s="52"/>
      <c r="P90" s="52"/>
      <c r="Q90" s="52"/>
      <c r="U90" s="52"/>
    </row>
    <row r="91">
      <c r="M91" s="52"/>
      <c r="N91" s="52"/>
      <c r="O91" s="52"/>
      <c r="P91" s="52"/>
      <c r="Q91" s="52"/>
      <c r="U91" s="52"/>
    </row>
    <row r="92">
      <c r="M92" s="52"/>
      <c r="N92" s="52"/>
      <c r="O92" s="52"/>
      <c r="P92" s="52"/>
      <c r="Q92" s="52"/>
      <c r="U92" s="52"/>
    </row>
    <row r="93">
      <c r="M93" s="52"/>
      <c r="N93" s="52"/>
      <c r="O93" s="52"/>
      <c r="P93" s="52"/>
      <c r="Q93" s="52"/>
      <c r="U93" s="52"/>
    </row>
    <row r="94">
      <c r="M94" s="52"/>
      <c r="N94" s="52"/>
      <c r="O94" s="52"/>
      <c r="P94" s="52"/>
      <c r="Q94" s="52"/>
      <c r="U94" s="52"/>
    </row>
    <row r="95">
      <c r="M95" s="52"/>
      <c r="N95" s="52"/>
      <c r="O95" s="52"/>
      <c r="P95" s="52"/>
      <c r="Q95" s="52"/>
      <c r="U95" s="52"/>
    </row>
    <row r="96">
      <c r="M96" s="52"/>
      <c r="N96" s="52"/>
      <c r="O96" s="52"/>
      <c r="P96" s="52"/>
      <c r="Q96" s="52"/>
      <c r="U96" s="52"/>
    </row>
    <row r="97">
      <c r="M97" s="52"/>
      <c r="N97" s="52"/>
      <c r="O97" s="52"/>
      <c r="P97" s="52"/>
      <c r="Q97" s="52"/>
      <c r="U97" s="52"/>
    </row>
    <row r="98">
      <c r="M98" s="52"/>
      <c r="N98" s="52"/>
      <c r="O98" s="52"/>
      <c r="P98" s="52"/>
      <c r="Q98" s="52"/>
      <c r="U98" s="52"/>
    </row>
    <row r="99">
      <c r="M99" s="52"/>
      <c r="N99" s="52"/>
      <c r="O99" s="52"/>
      <c r="P99" s="52"/>
      <c r="Q99" s="52"/>
      <c r="U99" s="52"/>
    </row>
    <row r="100">
      <c r="M100" s="52"/>
      <c r="N100" s="52"/>
      <c r="O100" s="52"/>
      <c r="P100" s="52"/>
      <c r="Q100" s="52"/>
      <c r="U100" s="52"/>
    </row>
    <row r="101">
      <c r="M101" s="52"/>
      <c r="N101" s="52"/>
      <c r="O101" s="52"/>
      <c r="P101" s="52"/>
      <c r="Q101" s="52"/>
      <c r="U101" s="52"/>
    </row>
    <row r="102">
      <c r="M102" s="52"/>
      <c r="N102" s="52"/>
      <c r="O102" s="52"/>
      <c r="P102" s="52"/>
      <c r="Q102" s="52"/>
      <c r="U102" s="52"/>
    </row>
    <row r="103">
      <c r="M103" s="52"/>
      <c r="N103" s="52"/>
      <c r="O103" s="52"/>
      <c r="P103" s="52"/>
      <c r="Q103" s="52"/>
      <c r="U103" s="52"/>
    </row>
    <row r="104">
      <c r="M104" s="52"/>
      <c r="N104" s="52"/>
      <c r="O104" s="52"/>
      <c r="P104" s="52"/>
      <c r="Q104" s="52"/>
      <c r="U104" s="52"/>
    </row>
    <row r="105">
      <c r="M105" s="52"/>
      <c r="N105" s="52"/>
      <c r="O105" s="52"/>
      <c r="P105" s="52"/>
      <c r="Q105" s="52"/>
      <c r="U105" s="52"/>
    </row>
    <row r="106">
      <c r="M106" s="52"/>
      <c r="N106" s="52"/>
      <c r="O106" s="52"/>
      <c r="P106" s="52"/>
      <c r="Q106" s="52"/>
      <c r="U106" s="52"/>
    </row>
    <row r="107">
      <c r="M107" s="52"/>
      <c r="N107" s="52"/>
      <c r="O107" s="52"/>
      <c r="P107" s="52"/>
      <c r="Q107" s="52"/>
      <c r="U107" s="52"/>
    </row>
    <row r="108">
      <c r="M108" s="52"/>
      <c r="N108" s="52"/>
      <c r="O108" s="52"/>
      <c r="P108" s="52"/>
      <c r="Q108" s="52"/>
      <c r="U108" s="52"/>
    </row>
    <row r="109">
      <c r="M109" s="52"/>
      <c r="N109" s="52"/>
      <c r="O109" s="52"/>
      <c r="P109" s="52"/>
      <c r="Q109" s="52"/>
      <c r="U109" s="52"/>
    </row>
    <row r="110">
      <c r="M110" s="52"/>
      <c r="N110" s="52"/>
      <c r="O110" s="52"/>
      <c r="P110" s="52"/>
      <c r="Q110" s="52"/>
      <c r="U110" s="52"/>
    </row>
    <row r="111">
      <c r="M111" s="52"/>
      <c r="N111" s="52"/>
      <c r="O111" s="52"/>
      <c r="P111" s="52"/>
      <c r="Q111" s="52"/>
      <c r="U111" s="52"/>
    </row>
    <row r="112">
      <c r="M112" s="52"/>
      <c r="N112" s="52"/>
      <c r="O112" s="52"/>
      <c r="P112" s="52"/>
      <c r="Q112" s="52"/>
      <c r="U112" s="52"/>
    </row>
    <row r="113">
      <c r="M113" s="52"/>
      <c r="N113" s="52"/>
      <c r="O113" s="52"/>
      <c r="P113" s="52"/>
      <c r="Q113" s="52"/>
      <c r="U113" s="52"/>
    </row>
    <row r="114">
      <c r="M114" s="52"/>
      <c r="N114" s="52"/>
      <c r="O114" s="52"/>
      <c r="P114" s="52"/>
      <c r="Q114" s="52"/>
      <c r="U114" s="52"/>
    </row>
    <row r="115">
      <c r="M115" s="52"/>
      <c r="N115" s="52"/>
      <c r="O115" s="52"/>
      <c r="P115" s="52"/>
      <c r="Q115" s="52"/>
      <c r="U115" s="52"/>
    </row>
    <row r="116">
      <c r="M116" s="52"/>
      <c r="N116" s="52"/>
      <c r="O116" s="52"/>
      <c r="P116" s="52"/>
      <c r="Q116" s="52"/>
      <c r="U116" s="52"/>
    </row>
    <row r="117">
      <c r="M117" s="52"/>
      <c r="N117" s="52"/>
      <c r="O117" s="52"/>
      <c r="P117" s="52"/>
      <c r="Q117" s="52"/>
      <c r="U117" s="52"/>
    </row>
    <row r="118">
      <c r="M118" s="52"/>
      <c r="N118" s="52"/>
      <c r="O118" s="52"/>
      <c r="P118" s="52"/>
      <c r="Q118" s="52"/>
      <c r="U118" s="52"/>
    </row>
    <row r="119">
      <c r="M119" s="52"/>
      <c r="N119" s="52"/>
      <c r="O119" s="52"/>
      <c r="P119" s="52"/>
      <c r="Q119" s="52"/>
      <c r="U119" s="52"/>
    </row>
    <row r="120">
      <c r="M120" s="52"/>
      <c r="N120" s="52"/>
      <c r="O120" s="52"/>
      <c r="P120" s="52"/>
      <c r="Q120" s="52"/>
      <c r="U120" s="52"/>
    </row>
    <row r="121">
      <c r="M121" s="52"/>
      <c r="N121" s="52"/>
      <c r="O121" s="52"/>
      <c r="P121" s="52"/>
      <c r="Q121" s="52"/>
      <c r="U121" s="52"/>
    </row>
    <row r="122">
      <c r="M122" s="52"/>
      <c r="N122" s="52"/>
      <c r="O122" s="52"/>
      <c r="P122" s="52"/>
      <c r="Q122" s="52"/>
      <c r="U122" s="52"/>
    </row>
    <row r="123">
      <c r="M123" s="52"/>
      <c r="N123" s="52"/>
      <c r="O123" s="52"/>
      <c r="P123" s="52"/>
      <c r="Q123" s="52"/>
      <c r="U123" s="52"/>
    </row>
    <row r="124">
      <c r="M124" s="52"/>
      <c r="N124" s="52"/>
      <c r="O124" s="52"/>
      <c r="P124" s="52"/>
      <c r="Q124" s="52"/>
      <c r="U124" s="52"/>
    </row>
    <row r="125">
      <c r="M125" s="52"/>
      <c r="N125" s="52"/>
      <c r="O125" s="52"/>
      <c r="P125" s="52"/>
      <c r="Q125" s="52"/>
      <c r="U125" s="52"/>
    </row>
    <row r="126">
      <c r="M126" s="52"/>
      <c r="N126" s="52"/>
      <c r="O126" s="52"/>
      <c r="P126" s="52"/>
      <c r="Q126" s="52"/>
      <c r="U126" s="52"/>
    </row>
    <row r="127">
      <c r="M127" s="52"/>
      <c r="N127" s="52"/>
      <c r="O127" s="52"/>
      <c r="P127" s="52"/>
      <c r="Q127" s="52"/>
      <c r="U127" s="52"/>
    </row>
    <row r="128">
      <c r="M128" s="52"/>
      <c r="N128" s="52"/>
      <c r="O128" s="52"/>
      <c r="P128" s="52"/>
      <c r="Q128" s="52"/>
      <c r="U128" s="52"/>
    </row>
    <row r="129">
      <c r="M129" s="52"/>
      <c r="N129" s="52"/>
      <c r="O129" s="52"/>
      <c r="P129" s="52"/>
      <c r="Q129" s="52"/>
      <c r="U129" s="52"/>
    </row>
    <row r="130">
      <c r="M130" s="52"/>
      <c r="N130" s="52"/>
      <c r="O130" s="52"/>
      <c r="P130" s="52"/>
      <c r="Q130" s="52"/>
      <c r="U130" s="52"/>
    </row>
    <row r="131">
      <c r="M131" s="52"/>
      <c r="N131" s="52"/>
      <c r="O131" s="52"/>
      <c r="P131" s="52"/>
      <c r="Q131" s="52"/>
      <c r="U131" s="52"/>
    </row>
    <row r="132">
      <c r="M132" s="52"/>
      <c r="N132" s="52"/>
      <c r="O132" s="52"/>
      <c r="P132" s="52"/>
      <c r="Q132" s="52"/>
      <c r="U132" s="52"/>
    </row>
    <row r="133">
      <c r="M133" s="52"/>
      <c r="N133" s="52"/>
      <c r="O133" s="52"/>
      <c r="P133" s="52"/>
      <c r="Q133" s="52"/>
      <c r="U133" s="52"/>
    </row>
    <row r="134">
      <c r="M134" s="52"/>
      <c r="N134" s="52"/>
      <c r="O134" s="52"/>
      <c r="P134" s="52"/>
      <c r="Q134" s="52"/>
      <c r="U134" s="52"/>
    </row>
    <row r="135">
      <c r="M135" s="52"/>
      <c r="N135" s="52"/>
      <c r="O135" s="52"/>
      <c r="P135" s="52"/>
      <c r="Q135" s="52"/>
      <c r="U135" s="52"/>
    </row>
    <row r="136">
      <c r="M136" s="52"/>
      <c r="N136" s="52"/>
      <c r="O136" s="52"/>
      <c r="P136" s="52"/>
      <c r="Q136" s="52"/>
      <c r="U136" s="52"/>
    </row>
    <row r="137">
      <c r="M137" s="52"/>
      <c r="N137" s="52"/>
      <c r="O137" s="52"/>
      <c r="P137" s="52"/>
      <c r="Q137" s="52"/>
      <c r="U137" s="52"/>
    </row>
    <row r="138">
      <c r="M138" s="52"/>
      <c r="N138" s="52"/>
      <c r="O138" s="52"/>
      <c r="P138" s="52"/>
      <c r="Q138" s="52"/>
      <c r="U138" s="52"/>
    </row>
    <row r="139">
      <c r="M139" s="52"/>
      <c r="N139" s="52"/>
      <c r="O139" s="52"/>
      <c r="P139" s="52"/>
      <c r="Q139" s="52"/>
      <c r="U139" s="52"/>
    </row>
    <row r="140">
      <c r="M140" s="52"/>
      <c r="N140" s="52"/>
      <c r="O140" s="52"/>
      <c r="P140" s="52"/>
      <c r="Q140" s="52"/>
      <c r="U140" s="52"/>
    </row>
    <row r="141">
      <c r="M141" s="52"/>
      <c r="N141" s="52"/>
      <c r="O141" s="52"/>
      <c r="P141" s="52"/>
      <c r="Q141" s="52"/>
      <c r="U141" s="52"/>
    </row>
    <row r="142">
      <c r="M142" s="52"/>
      <c r="N142" s="52"/>
      <c r="O142" s="52"/>
      <c r="P142" s="52"/>
      <c r="Q142" s="52"/>
      <c r="U142" s="52"/>
    </row>
    <row r="143">
      <c r="M143" s="52"/>
      <c r="N143" s="52"/>
      <c r="O143" s="52"/>
      <c r="P143" s="52"/>
      <c r="Q143" s="52"/>
      <c r="U143" s="52"/>
    </row>
    <row r="144">
      <c r="M144" s="52"/>
      <c r="N144" s="52"/>
      <c r="O144" s="52"/>
      <c r="P144" s="52"/>
      <c r="Q144" s="52"/>
      <c r="U144" s="52"/>
    </row>
    <row r="145">
      <c r="M145" s="52"/>
      <c r="N145" s="52"/>
      <c r="O145" s="52"/>
      <c r="P145" s="52"/>
      <c r="Q145" s="52"/>
      <c r="U145" s="52"/>
    </row>
    <row r="146">
      <c r="M146" s="52"/>
      <c r="N146" s="52"/>
      <c r="O146" s="52"/>
      <c r="P146" s="52"/>
      <c r="Q146" s="52"/>
      <c r="U146" s="52"/>
    </row>
    <row r="147">
      <c r="M147" s="52"/>
      <c r="N147" s="52"/>
      <c r="O147" s="52"/>
      <c r="P147" s="52"/>
      <c r="Q147" s="52"/>
      <c r="U147" s="52"/>
    </row>
    <row r="148">
      <c r="M148" s="52"/>
      <c r="N148" s="52"/>
      <c r="O148" s="52"/>
      <c r="P148" s="52"/>
      <c r="Q148" s="52"/>
      <c r="U148" s="52"/>
    </row>
    <row r="149">
      <c r="M149" s="52"/>
      <c r="N149" s="52"/>
      <c r="O149" s="52"/>
      <c r="P149" s="52"/>
      <c r="Q149" s="52"/>
      <c r="U149" s="52"/>
    </row>
    <row r="150">
      <c r="M150" s="52"/>
      <c r="N150" s="52"/>
      <c r="O150" s="52"/>
      <c r="P150" s="52"/>
      <c r="Q150" s="52"/>
      <c r="U150" s="52"/>
    </row>
    <row r="151">
      <c r="M151" s="52"/>
      <c r="N151" s="52"/>
      <c r="O151" s="52"/>
      <c r="P151" s="52"/>
      <c r="Q151" s="52"/>
      <c r="U151" s="52"/>
    </row>
    <row r="152">
      <c r="M152" s="52"/>
      <c r="N152" s="52"/>
      <c r="O152" s="52"/>
      <c r="P152" s="52"/>
      <c r="Q152" s="52"/>
      <c r="U152" s="52"/>
    </row>
    <row r="153">
      <c r="M153" s="52"/>
      <c r="N153" s="52"/>
      <c r="O153" s="52"/>
      <c r="P153" s="52"/>
      <c r="Q153" s="52"/>
      <c r="U153" s="52"/>
    </row>
    <row r="154">
      <c r="M154" s="52"/>
      <c r="N154" s="52"/>
      <c r="O154" s="52"/>
      <c r="P154" s="52"/>
      <c r="Q154" s="52"/>
      <c r="U154" s="52"/>
    </row>
    <row r="155">
      <c r="M155" s="52"/>
      <c r="N155" s="52"/>
      <c r="O155" s="52"/>
      <c r="P155" s="52"/>
      <c r="Q155" s="52"/>
      <c r="U155" s="52"/>
    </row>
    <row r="156">
      <c r="M156" s="52"/>
      <c r="N156" s="52"/>
      <c r="O156" s="52"/>
      <c r="P156" s="52"/>
      <c r="Q156" s="52"/>
      <c r="U156" s="52"/>
    </row>
    <row r="157">
      <c r="M157" s="52"/>
      <c r="N157" s="52"/>
      <c r="O157" s="52"/>
      <c r="P157" s="52"/>
      <c r="Q157" s="52"/>
      <c r="U157" s="52"/>
    </row>
    <row r="158">
      <c r="M158" s="52"/>
      <c r="N158" s="52"/>
      <c r="O158" s="52"/>
      <c r="P158" s="52"/>
      <c r="Q158" s="52"/>
      <c r="U158" s="52"/>
    </row>
    <row r="159">
      <c r="M159" s="52"/>
      <c r="N159" s="52"/>
      <c r="O159" s="52"/>
      <c r="P159" s="52"/>
      <c r="Q159" s="52"/>
      <c r="U159" s="52"/>
    </row>
    <row r="160">
      <c r="M160" s="52"/>
      <c r="N160" s="52"/>
      <c r="O160" s="52"/>
      <c r="P160" s="52"/>
      <c r="Q160" s="52"/>
      <c r="U160" s="52"/>
    </row>
    <row r="161">
      <c r="M161" s="52"/>
      <c r="N161" s="52"/>
      <c r="O161" s="52"/>
      <c r="P161" s="52"/>
      <c r="Q161" s="52"/>
      <c r="U161" s="52"/>
    </row>
    <row r="162">
      <c r="M162" s="52"/>
      <c r="N162" s="52"/>
      <c r="O162" s="52"/>
      <c r="P162" s="52"/>
      <c r="Q162" s="52"/>
      <c r="U162" s="52"/>
    </row>
    <row r="163">
      <c r="M163" s="52"/>
      <c r="N163" s="52"/>
      <c r="O163" s="52"/>
      <c r="P163" s="52"/>
      <c r="Q163" s="52"/>
      <c r="U163" s="52"/>
    </row>
    <row r="164">
      <c r="M164" s="52"/>
      <c r="N164" s="52"/>
      <c r="O164" s="52"/>
      <c r="P164" s="52"/>
      <c r="Q164" s="52"/>
      <c r="U164" s="52"/>
    </row>
    <row r="165">
      <c r="M165" s="52"/>
      <c r="N165" s="52"/>
      <c r="O165" s="52"/>
      <c r="P165" s="52"/>
      <c r="Q165" s="52"/>
      <c r="U165" s="52"/>
    </row>
    <row r="166">
      <c r="M166" s="52"/>
      <c r="N166" s="52"/>
      <c r="O166" s="52"/>
      <c r="P166" s="52"/>
      <c r="Q166" s="52"/>
      <c r="U166" s="52"/>
    </row>
    <row r="167">
      <c r="M167" s="52"/>
      <c r="N167" s="52"/>
      <c r="O167" s="52"/>
      <c r="P167" s="52"/>
      <c r="Q167" s="52"/>
      <c r="U167" s="52"/>
    </row>
    <row r="168">
      <c r="M168" s="52"/>
      <c r="N168" s="52"/>
      <c r="O168" s="52"/>
      <c r="P168" s="52"/>
      <c r="Q168" s="52"/>
      <c r="U168" s="52"/>
    </row>
    <row r="169">
      <c r="M169" s="52"/>
      <c r="N169" s="52"/>
      <c r="O169" s="52"/>
      <c r="P169" s="52"/>
      <c r="Q169" s="52"/>
      <c r="U169" s="52"/>
    </row>
    <row r="170">
      <c r="M170" s="52"/>
      <c r="N170" s="52"/>
      <c r="O170" s="52"/>
      <c r="P170" s="52"/>
      <c r="Q170" s="52"/>
      <c r="U170" s="52"/>
    </row>
    <row r="171">
      <c r="M171" s="52"/>
      <c r="N171" s="52"/>
      <c r="O171" s="52"/>
      <c r="P171" s="52"/>
      <c r="Q171" s="52"/>
      <c r="U171" s="52"/>
    </row>
    <row r="172">
      <c r="M172" s="52"/>
      <c r="N172" s="52"/>
      <c r="O172" s="52"/>
      <c r="P172" s="52"/>
      <c r="Q172" s="52"/>
      <c r="U172" s="52"/>
    </row>
    <row r="173">
      <c r="M173" s="52"/>
      <c r="N173" s="52"/>
      <c r="O173" s="52"/>
      <c r="P173" s="52"/>
      <c r="Q173" s="52"/>
      <c r="U173" s="52"/>
    </row>
    <row r="174">
      <c r="M174" s="52"/>
      <c r="N174" s="52"/>
      <c r="O174" s="52"/>
      <c r="P174" s="52"/>
      <c r="Q174" s="52"/>
      <c r="U174" s="52"/>
    </row>
    <row r="175">
      <c r="M175" s="52"/>
      <c r="N175" s="52"/>
      <c r="O175" s="52"/>
      <c r="P175" s="52"/>
      <c r="Q175" s="52"/>
      <c r="U175" s="52"/>
    </row>
    <row r="176">
      <c r="M176" s="52"/>
      <c r="N176" s="52"/>
      <c r="O176" s="52"/>
      <c r="P176" s="52"/>
      <c r="Q176" s="52"/>
      <c r="U176" s="52"/>
    </row>
    <row r="177">
      <c r="M177" s="52"/>
      <c r="N177" s="52"/>
      <c r="O177" s="52"/>
      <c r="P177" s="52"/>
      <c r="Q177" s="52"/>
      <c r="U177" s="52"/>
    </row>
    <row r="178">
      <c r="M178" s="52"/>
      <c r="N178" s="52"/>
      <c r="O178" s="52"/>
      <c r="P178" s="52"/>
      <c r="Q178" s="52"/>
      <c r="U178" s="52"/>
    </row>
    <row r="179">
      <c r="M179" s="52"/>
      <c r="N179" s="52"/>
      <c r="O179" s="52"/>
      <c r="P179" s="52"/>
      <c r="Q179" s="52"/>
      <c r="U179" s="52"/>
    </row>
    <row r="180">
      <c r="M180" s="52"/>
      <c r="N180" s="52"/>
      <c r="O180" s="52"/>
      <c r="P180" s="52"/>
      <c r="Q180" s="52"/>
      <c r="U180" s="52"/>
    </row>
    <row r="181">
      <c r="M181" s="52"/>
      <c r="N181" s="52"/>
      <c r="O181" s="52"/>
      <c r="P181" s="52"/>
      <c r="Q181" s="52"/>
      <c r="U181" s="52"/>
    </row>
    <row r="182">
      <c r="M182" s="52"/>
      <c r="N182" s="52"/>
      <c r="O182" s="52"/>
      <c r="P182" s="52"/>
      <c r="Q182" s="52"/>
      <c r="U182" s="52"/>
    </row>
    <row r="183">
      <c r="M183" s="52"/>
      <c r="N183" s="52"/>
      <c r="O183" s="52"/>
      <c r="P183" s="52"/>
      <c r="Q183" s="52"/>
      <c r="U183" s="52"/>
    </row>
    <row r="184">
      <c r="M184" s="52"/>
      <c r="N184" s="52"/>
      <c r="O184" s="52"/>
      <c r="P184" s="52"/>
      <c r="Q184" s="52"/>
      <c r="U184" s="52"/>
    </row>
    <row r="185">
      <c r="M185" s="52"/>
      <c r="N185" s="52"/>
      <c r="O185" s="52"/>
      <c r="P185" s="52"/>
      <c r="Q185" s="52"/>
      <c r="U185" s="52"/>
    </row>
    <row r="186">
      <c r="M186" s="52"/>
      <c r="N186" s="52"/>
      <c r="O186" s="52"/>
      <c r="P186" s="52"/>
      <c r="Q186" s="52"/>
      <c r="U186" s="52"/>
    </row>
    <row r="187">
      <c r="M187" s="52"/>
      <c r="N187" s="52"/>
      <c r="O187" s="52"/>
      <c r="P187" s="52"/>
      <c r="Q187" s="52"/>
      <c r="U187" s="52"/>
    </row>
    <row r="188">
      <c r="M188" s="52"/>
      <c r="N188" s="52"/>
      <c r="O188" s="52"/>
      <c r="P188" s="52"/>
      <c r="Q188" s="52"/>
      <c r="U188" s="52"/>
    </row>
    <row r="189">
      <c r="M189" s="52"/>
      <c r="N189" s="52"/>
      <c r="O189" s="52"/>
      <c r="P189" s="52"/>
      <c r="Q189" s="52"/>
      <c r="U189" s="52"/>
    </row>
    <row r="190">
      <c r="M190" s="52"/>
      <c r="N190" s="52"/>
      <c r="O190" s="52"/>
      <c r="P190" s="52"/>
      <c r="Q190" s="52"/>
      <c r="U190" s="52"/>
    </row>
    <row r="191">
      <c r="M191" s="52"/>
      <c r="N191" s="52"/>
      <c r="O191" s="52"/>
      <c r="P191" s="52"/>
      <c r="Q191" s="52"/>
      <c r="U191" s="52"/>
    </row>
    <row r="192">
      <c r="M192" s="52"/>
      <c r="N192" s="52"/>
      <c r="O192" s="52"/>
      <c r="P192" s="52"/>
      <c r="Q192" s="52"/>
      <c r="U192" s="52"/>
    </row>
    <row r="193">
      <c r="M193" s="52"/>
      <c r="N193" s="52"/>
      <c r="O193" s="52"/>
      <c r="P193" s="52"/>
      <c r="Q193" s="52"/>
      <c r="U193" s="52"/>
    </row>
    <row r="194">
      <c r="M194" s="52"/>
      <c r="N194" s="52"/>
      <c r="O194" s="52"/>
      <c r="P194" s="52"/>
      <c r="Q194" s="52"/>
      <c r="U194" s="52"/>
    </row>
    <row r="195">
      <c r="M195" s="52"/>
      <c r="N195" s="52"/>
      <c r="O195" s="52"/>
      <c r="P195" s="52"/>
      <c r="Q195" s="52"/>
      <c r="U195" s="52"/>
    </row>
    <row r="196">
      <c r="M196" s="52"/>
      <c r="N196" s="52"/>
      <c r="O196" s="52"/>
      <c r="P196" s="52"/>
      <c r="Q196" s="52"/>
      <c r="U196" s="52"/>
    </row>
    <row r="197">
      <c r="M197" s="52"/>
      <c r="N197" s="52"/>
      <c r="O197" s="52"/>
      <c r="P197" s="52"/>
      <c r="Q197" s="52"/>
      <c r="U197" s="52"/>
    </row>
    <row r="198">
      <c r="M198" s="52"/>
      <c r="N198" s="52"/>
      <c r="O198" s="52"/>
      <c r="P198" s="52"/>
      <c r="Q198" s="52"/>
      <c r="U198" s="52"/>
    </row>
    <row r="199">
      <c r="M199" s="52"/>
      <c r="N199" s="52"/>
      <c r="O199" s="52"/>
      <c r="P199" s="52"/>
      <c r="Q199" s="52"/>
      <c r="U199" s="52"/>
    </row>
    <row r="200">
      <c r="M200" s="52"/>
      <c r="N200" s="52"/>
      <c r="O200" s="52"/>
      <c r="P200" s="52"/>
      <c r="Q200" s="52"/>
      <c r="U200" s="52"/>
    </row>
    <row r="201">
      <c r="M201" s="52"/>
      <c r="N201" s="52"/>
      <c r="O201" s="52"/>
      <c r="P201" s="52"/>
      <c r="Q201" s="52"/>
      <c r="U201" s="52"/>
    </row>
    <row r="202">
      <c r="M202" s="52"/>
      <c r="N202" s="52"/>
      <c r="O202" s="52"/>
      <c r="P202" s="52"/>
      <c r="Q202" s="52"/>
      <c r="U202" s="52"/>
    </row>
    <row r="203">
      <c r="M203" s="52"/>
      <c r="N203" s="52"/>
      <c r="O203" s="52"/>
      <c r="P203" s="52"/>
      <c r="Q203" s="52"/>
      <c r="U203" s="52"/>
    </row>
    <row r="204">
      <c r="M204" s="52"/>
      <c r="N204" s="52"/>
      <c r="O204" s="52"/>
      <c r="P204" s="52"/>
      <c r="Q204" s="52"/>
      <c r="U204" s="52"/>
    </row>
    <row r="205">
      <c r="M205" s="52"/>
      <c r="N205" s="52"/>
      <c r="O205" s="52"/>
      <c r="P205" s="52"/>
      <c r="Q205" s="52"/>
      <c r="U205" s="52"/>
    </row>
    <row r="206">
      <c r="M206" s="52"/>
      <c r="N206" s="52"/>
      <c r="O206" s="52"/>
      <c r="P206" s="52"/>
      <c r="Q206" s="52"/>
      <c r="U206" s="52"/>
    </row>
    <row r="207">
      <c r="M207" s="52"/>
      <c r="N207" s="52"/>
      <c r="O207" s="52"/>
      <c r="P207" s="52"/>
      <c r="Q207" s="52"/>
      <c r="U207" s="52"/>
    </row>
    <row r="208">
      <c r="M208" s="52"/>
      <c r="N208" s="52"/>
      <c r="O208" s="52"/>
      <c r="P208" s="52"/>
      <c r="Q208" s="52"/>
      <c r="U208" s="52"/>
    </row>
    <row r="209">
      <c r="M209" s="52"/>
      <c r="N209" s="52"/>
      <c r="O209" s="52"/>
      <c r="P209" s="52"/>
      <c r="Q209" s="52"/>
      <c r="U209" s="52"/>
    </row>
    <row r="210">
      <c r="M210" s="52"/>
      <c r="N210" s="52"/>
      <c r="O210" s="52"/>
      <c r="P210" s="52"/>
      <c r="Q210" s="52"/>
      <c r="U210" s="52"/>
    </row>
    <row r="211">
      <c r="M211" s="52"/>
      <c r="N211" s="52"/>
      <c r="O211" s="52"/>
      <c r="P211" s="52"/>
      <c r="Q211" s="52"/>
      <c r="U211" s="52"/>
    </row>
    <row r="212">
      <c r="M212" s="52"/>
      <c r="N212" s="52"/>
      <c r="O212" s="52"/>
      <c r="P212" s="52"/>
      <c r="Q212" s="52"/>
      <c r="U212" s="52"/>
    </row>
    <row r="213">
      <c r="M213" s="52"/>
      <c r="N213" s="52"/>
      <c r="O213" s="52"/>
      <c r="P213" s="52"/>
      <c r="Q213" s="52"/>
      <c r="U213" s="52"/>
    </row>
    <row r="214">
      <c r="M214" s="52"/>
      <c r="N214" s="52"/>
      <c r="O214" s="52"/>
      <c r="P214" s="52"/>
      <c r="Q214" s="52"/>
      <c r="U214" s="52"/>
    </row>
    <row r="215">
      <c r="M215" s="52"/>
      <c r="N215" s="52"/>
      <c r="O215" s="52"/>
      <c r="P215" s="52"/>
      <c r="Q215" s="52"/>
      <c r="U215" s="52"/>
    </row>
    <row r="216">
      <c r="M216" s="52"/>
      <c r="N216" s="52"/>
      <c r="O216" s="52"/>
      <c r="P216" s="52"/>
      <c r="Q216" s="52"/>
      <c r="U216" s="52"/>
    </row>
    <row r="217">
      <c r="M217" s="52"/>
      <c r="N217" s="52"/>
      <c r="O217" s="52"/>
      <c r="P217" s="52"/>
      <c r="Q217" s="52"/>
      <c r="U217" s="52"/>
    </row>
    <row r="218">
      <c r="M218" s="52"/>
      <c r="N218" s="52"/>
      <c r="O218" s="52"/>
      <c r="P218" s="52"/>
      <c r="Q218" s="52"/>
      <c r="U218" s="52"/>
    </row>
    <row r="219">
      <c r="M219" s="52"/>
      <c r="N219" s="52"/>
      <c r="O219" s="52"/>
      <c r="P219" s="52"/>
      <c r="Q219" s="52"/>
      <c r="U219" s="52"/>
    </row>
    <row r="220">
      <c r="M220" s="52"/>
      <c r="N220" s="52"/>
      <c r="O220" s="52"/>
      <c r="P220" s="52"/>
      <c r="Q220" s="52"/>
      <c r="U220" s="52"/>
    </row>
    <row r="221">
      <c r="M221" s="52"/>
      <c r="N221" s="52"/>
      <c r="O221" s="52"/>
      <c r="P221" s="52"/>
      <c r="Q221" s="52"/>
      <c r="U221" s="52"/>
    </row>
    <row r="222">
      <c r="M222" s="52"/>
      <c r="N222" s="52"/>
      <c r="O222" s="52"/>
      <c r="P222" s="52"/>
      <c r="Q222" s="52"/>
      <c r="U222" s="52"/>
    </row>
    <row r="223">
      <c r="M223" s="52"/>
      <c r="N223" s="52"/>
      <c r="O223" s="52"/>
      <c r="P223" s="52"/>
      <c r="Q223" s="52"/>
      <c r="U223" s="52"/>
    </row>
    <row r="224">
      <c r="M224" s="52"/>
      <c r="N224" s="52"/>
      <c r="O224" s="52"/>
      <c r="P224" s="52"/>
      <c r="Q224" s="52"/>
      <c r="U224" s="52"/>
    </row>
    <row r="225">
      <c r="M225" s="52"/>
      <c r="N225" s="52"/>
      <c r="O225" s="52"/>
      <c r="P225" s="52"/>
      <c r="Q225" s="52"/>
      <c r="U225" s="52"/>
    </row>
    <row r="226">
      <c r="M226" s="52"/>
      <c r="N226" s="52"/>
      <c r="O226" s="52"/>
      <c r="P226" s="52"/>
      <c r="Q226" s="52"/>
      <c r="U226" s="52"/>
    </row>
    <row r="227">
      <c r="M227" s="52"/>
      <c r="N227" s="52"/>
      <c r="O227" s="52"/>
      <c r="P227" s="52"/>
      <c r="Q227" s="52"/>
      <c r="U227" s="52"/>
    </row>
    <row r="228">
      <c r="M228" s="52"/>
      <c r="N228" s="52"/>
      <c r="O228" s="52"/>
      <c r="P228" s="52"/>
      <c r="Q228" s="52"/>
      <c r="U228" s="52"/>
    </row>
    <row r="229">
      <c r="M229" s="52"/>
      <c r="N229" s="52"/>
      <c r="O229" s="52"/>
      <c r="P229" s="52"/>
      <c r="Q229" s="52"/>
      <c r="U229" s="52"/>
    </row>
    <row r="230">
      <c r="M230" s="52"/>
      <c r="N230" s="52"/>
      <c r="O230" s="52"/>
      <c r="P230" s="52"/>
      <c r="Q230" s="52"/>
      <c r="U230" s="52"/>
    </row>
    <row r="231">
      <c r="M231" s="52"/>
      <c r="N231" s="52"/>
      <c r="O231" s="52"/>
      <c r="P231" s="52"/>
      <c r="Q231" s="52"/>
      <c r="U231" s="52"/>
    </row>
    <row r="232">
      <c r="M232" s="52"/>
      <c r="N232" s="52"/>
      <c r="O232" s="52"/>
      <c r="P232" s="52"/>
      <c r="Q232" s="52"/>
      <c r="U232" s="52"/>
    </row>
    <row r="233">
      <c r="M233" s="52"/>
      <c r="N233" s="52"/>
      <c r="O233" s="52"/>
      <c r="P233" s="52"/>
      <c r="Q233" s="52"/>
      <c r="U233" s="52"/>
    </row>
    <row r="234">
      <c r="M234" s="52"/>
      <c r="N234" s="52"/>
      <c r="O234" s="52"/>
      <c r="P234" s="52"/>
      <c r="Q234" s="52"/>
      <c r="U234" s="52"/>
    </row>
    <row r="235">
      <c r="M235" s="52"/>
      <c r="N235" s="52"/>
      <c r="O235" s="52"/>
      <c r="P235" s="52"/>
      <c r="Q235" s="52"/>
      <c r="U235" s="52"/>
    </row>
    <row r="236">
      <c r="M236" s="52"/>
      <c r="N236" s="52"/>
      <c r="O236" s="52"/>
      <c r="P236" s="52"/>
      <c r="Q236" s="52"/>
      <c r="U236" s="52"/>
    </row>
    <row r="237">
      <c r="M237" s="52"/>
      <c r="N237" s="52"/>
      <c r="O237" s="52"/>
      <c r="P237" s="52"/>
      <c r="Q237" s="52"/>
      <c r="U237" s="52"/>
    </row>
    <row r="238">
      <c r="M238" s="52"/>
      <c r="N238" s="52"/>
      <c r="O238" s="52"/>
      <c r="P238" s="52"/>
      <c r="Q238" s="52"/>
      <c r="U238" s="52"/>
    </row>
    <row r="239">
      <c r="M239" s="52"/>
      <c r="N239" s="52"/>
      <c r="O239" s="52"/>
      <c r="P239" s="52"/>
      <c r="Q239" s="52"/>
      <c r="U239" s="52"/>
    </row>
    <row r="240">
      <c r="M240" s="52"/>
      <c r="N240" s="52"/>
      <c r="O240" s="52"/>
      <c r="P240" s="52"/>
      <c r="Q240" s="52"/>
      <c r="U240" s="52"/>
    </row>
    <row r="241">
      <c r="M241" s="52"/>
      <c r="N241" s="52"/>
      <c r="O241" s="52"/>
      <c r="P241" s="52"/>
      <c r="Q241" s="52"/>
      <c r="U241" s="52"/>
    </row>
    <row r="242">
      <c r="M242" s="52"/>
      <c r="N242" s="52"/>
      <c r="O242" s="52"/>
      <c r="P242" s="52"/>
      <c r="Q242" s="52"/>
      <c r="U242" s="52"/>
    </row>
    <row r="243">
      <c r="M243" s="52"/>
      <c r="N243" s="52"/>
      <c r="O243" s="52"/>
      <c r="P243" s="52"/>
      <c r="Q243" s="52"/>
      <c r="U243" s="52"/>
    </row>
    <row r="244">
      <c r="M244" s="52"/>
      <c r="N244" s="52"/>
      <c r="O244" s="52"/>
      <c r="P244" s="52"/>
      <c r="Q244" s="52"/>
      <c r="U244" s="52"/>
    </row>
    <row r="245">
      <c r="M245" s="52"/>
      <c r="N245" s="52"/>
      <c r="O245" s="52"/>
      <c r="P245" s="52"/>
      <c r="Q245" s="52"/>
      <c r="U245" s="52"/>
    </row>
    <row r="246">
      <c r="M246" s="52"/>
      <c r="N246" s="52"/>
      <c r="O246" s="52"/>
      <c r="P246" s="52"/>
      <c r="Q246" s="52"/>
      <c r="U246" s="52"/>
    </row>
    <row r="247">
      <c r="M247" s="52"/>
      <c r="N247" s="52"/>
      <c r="O247" s="52"/>
      <c r="P247" s="52"/>
      <c r="Q247" s="52"/>
      <c r="U247" s="52"/>
    </row>
    <row r="248">
      <c r="M248" s="52"/>
      <c r="N248" s="52"/>
      <c r="O248" s="52"/>
      <c r="P248" s="52"/>
      <c r="Q248" s="52"/>
      <c r="U248" s="52"/>
    </row>
    <row r="249">
      <c r="M249" s="52"/>
      <c r="N249" s="52"/>
      <c r="O249" s="52"/>
      <c r="P249" s="52"/>
      <c r="Q249" s="52"/>
      <c r="U249" s="52"/>
    </row>
    <row r="250">
      <c r="M250" s="52"/>
      <c r="N250" s="52"/>
      <c r="O250" s="52"/>
      <c r="P250" s="52"/>
      <c r="Q250" s="52"/>
      <c r="U250" s="52"/>
    </row>
    <row r="251">
      <c r="M251" s="52"/>
      <c r="N251" s="52"/>
      <c r="O251" s="52"/>
      <c r="P251" s="52"/>
      <c r="Q251" s="52"/>
      <c r="U251" s="52"/>
    </row>
    <row r="252">
      <c r="M252" s="52"/>
      <c r="N252" s="52"/>
      <c r="O252" s="52"/>
      <c r="P252" s="52"/>
      <c r="Q252" s="52"/>
      <c r="U252" s="52"/>
    </row>
    <row r="253">
      <c r="M253" s="52"/>
      <c r="N253" s="52"/>
      <c r="O253" s="52"/>
      <c r="P253" s="52"/>
      <c r="Q253" s="52"/>
      <c r="U253" s="52"/>
    </row>
    <row r="254">
      <c r="M254" s="52"/>
      <c r="N254" s="52"/>
      <c r="O254" s="52"/>
      <c r="P254" s="52"/>
      <c r="Q254" s="52"/>
      <c r="U254" s="52"/>
    </row>
    <row r="255">
      <c r="M255" s="52"/>
      <c r="N255" s="52"/>
      <c r="O255" s="52"/>
      <c r="P255" s="52"/>
      <c r="Q255" s="52"/>
      <c r="U255" s="52"/>
    </row>
    <row r="256">
      <c r="M256" s="52"/>
      <c r="N256" s="52"/>
      <c r="O256" s="52"/>
      <c r="P256" s="52"/>
      <c r="Q256" s="52"/>
      <c r="U256" s="52"/>
    </row>
    <row r="257">
      <c r="M257" s="52"/>
      <c r="N257" s="52"/>
      <c r="O257" s="52"/>
      <c r="P257" s="52"/>
      <c r="Q257" s="52"/>
      <c r="U257" s="52"/>
    </row>
    <row r="258">
      <c r="M258" s="52"/>
      <c r="N258" s="52"/>
      <c r="O258" s="52"/>
      <c r="P258" s="52"/>
      <c r="Q258" s="52"/>
      <c r="U258" s="52"/>
    </row>
    <row r="259">
      <c r="M259" s="52"/>
      <c r="N259" s="52"/>
      <c r="O259" s="52"/>
      <c r="P259" s="52"/>
      <c r="Q259" s="52"/>
      <c r="U259" s="52"/>
    </row>
    <row r="260">
      <c r="M260" s="52"/>
      <c r="N260" s="52"/>
      <c r="O260" s="52"/>
      <c r="P260" s="52"/>
      <c r="Q260" s="52"/>
      <c r="U260" s="52"/>
    </row>
    <row r="261">
      <c r="M261" s="52"/>
      <c r="N261" s="52"/>
      <c r="O261" s="52"/>
      <c r="P261" s="52"/>
      <c r="Q261" s="52"/>
      <c r="U261" s="52"/>
    </row>
    <row r="262">
      <c r="M262" s="52"/>
      <c r="N262" s="52"/>
      <c r="O262" s="52"/>
      <c r="P262" s="52"/>
      <c r="Q262" s="52"/>
      <c r="U262" s="52"/>
    </row>
    <row r="263">
      <c r="M263" s="52"/>
      <c r="N263" s="52"/>
      <c r="O263" s="52"/>
      <c r="P263" s="52"/>
      <c r="Q263" s="52"/>
      <c r="U263" s="52"/>
    </row>
    <row r="264">
      <c r="M264" s="52"/>
      <c r="N264" s="52"/>
      <c r="O264" s="52"/>
      <c r="P264" s="52"/>
      <c r="Q264" s="52"/>
      <c r="U264" s="52"/>
    </row>
    <row r="265">
      <c r="M265" s="52"/>
      <c r="N265" s="52"/>
      <c r="O265" s="52"/>
      <c r="P265" s="52"/>
      <c r="Q265" s="52"/>
      <c r="U265" s="52"/>
    </row>
    <row r="266">
      <c r="M266" s="52"/>
      <c r="N266" s="52"/>
      <c r="O266" s="52"/>
      <c r="P266" s="52"/>
      <c r="Q266" s="52"/>
      <c r="U266" s="52"/>
    </row>
    <row r="267">
      <c r="M267" s="52"/>
      <c r="N267" s="52"/>
      <c r="O267" s="52"/>
      <c r="P267" s="52"/>
      <c r="Q267" s="52"/>
      <c r="U267" s="52"/>
    </row>
    <row r="268">
      <c r="M268" s="52"/>
      <c r="N268" s="52"/>
      <c r="O268" s="52"/>
      <c r="P268" s="52"/>
      <c r="Q268" s="52"/>
      <c r="U268" s="52"/>
    </row>
    <row r="269">
      <c r="M269" s="52"/>
      <c r="N269" s="52"/>
      <c r="O269" s="52"/>
      <c r="P269" s="52"/>
      <c r="Q269" s="52"/>
      <c r="U269" s="52"/>
    </row>
    <row r="270">
      <c r="M270" s="52"/>
      <c r="N270" s="52"/>
      <c r="O270" s="52"/>
      <c r="P270" s="52"/>
      <c r="Q270" s="52"/>
      <c r="U270" s="52"/>
    </row>
    <row r="271">
      <c r="M271" s="52"/>
      <c r="N271" s="52"/>
      <c r="O271" s="52"/>
      <c r="P271" s="52"/>
      <c r="Q271" s="52"/>
      <c r="U271" s="52"/>
    </row>
    <row r="272">
      <c r="M272" s="52"/>
      <c r="N272" s="52"/>
      <c r="O272" s="52"/>
      <c r="P272" s="52"/>
      <c r="Q272" s="52"/>
      <c r="U272" s="52"/>
    </row>
    <row r="273">
      <c r="M273" s="52"/>
      <c r="N273" s="52"/>
      <c r="O273" s="52"/>
      <c r="P273" s="52"/>
      <c r="Q273" s="52"/>
      <c r="U273" s="52"/>
    </row>
    <row r="274">
      <c r="M274" s="52"/>
      <c r="N274" s="52"/>
      <c r="O274" s="52"/>
      <c r="P274" s="52"/>
      <c r="Q274" s="52"/>
      <c r="U274" s="52"/>
    </row>
    <row r="275">
      <c r="M275" s="52"/>
      <c r="N275" s="52"/>
      <c r="O275" s="52"/>
      <c r="P275" s="52"/>
      <c r="Q275" s="52"/>
      <c r="U275" s="52"/>
    </row>
    <row r="276">
      <c r="M276" s="52"/>
      <c r="N276" s="52"/>
      <c r="O276" s="52"/>
      <c r="P276" s="52"/>
      <c r="Q276" s="52"/>
      <c r="U276" s="52"/>
    </row>
    <row r="277">
      <c r="M277" s="52"/>
      <c r="N277" s="52"/>
      <c r="O277" s="52"/>
      <c r="P277" s="52"/>
      <c r="Q277" s="52"/>
      <c r="U277" s="52"/>
    </row>
    <row r="278">
      <c r="M278" s="52"/>
      <c r="N278" s="52"/>
      <c r="O278" s="52"/>
      <c r="P278" s="52"/>
      <c r="Q278" s="52"/>
      <c r="U278" s="52"/>
    </row>
    <row r="279">
      <c r="M279" s="52"/>
      <c r="N279" s="52"/>
      <c r="O279" s="52"/>
      <c r="P279" s="52"/>
      <c r="Q279" s="52"/>
      <c r="U279" s="52"/>
    </row>
    <row r="280">
      <c r="M280" s="52"/>
      <c r="N280" s="52"/>
      <c r="O280" s="52"/>
      <c r="P280" s="52"/>
      <c r="Q280" s="52"/>
      <c r="U280" s="52"/>
    </row>
    <row r="281">
      <c r="M281" s="52"/>
      <c r="N281" s="52"/>
      <c r="O281" s="52"/>
      <c r="P281" s="52"/>
      <c r="Q281" s="52"/>
      <c r="U281" s="52"/>
    </row>
    <row r="282">
      <c r="M282" s="52"/>
      <c r="N282" s="52"/>
      <c r="O282" s="52"/>
      <c r="P282" s="52"/>
      <c r="Q282" s="52"/>
      <c r="U282" s="52"/>
    </row>
    <row r="283">
      <c r="M283" s="52"/>
      <c r="N283" s="52"/>
      <c r="O283" s="52"/>
      <c r="P283" s="52"/>
      <c r="Q283" s="52"/>
      <c r="U283" s="52"/>
    </row>
    <row r="284">
      <c r="M284" s="52"/>
      <c r="N284" s="52"/>
      <c r="O284" s="52"/>
      <c r="P284" s="52"/>
      <c r="Q284" s="52"/>
      <c r="U284" s="52"/>
    </row>
    <row r="285">
      <c r="M285" s="52"/>
      <c r="N285" s="52"/>
      <c r="O285" s="52"/>
      <c r="P285" s="52"/>
      <c r="Q285" s="52"/>
      <c r="U285" s="52"/>
    </row>
    <row r="286">
      <c r="M286" s="52"/>
      <c r="N286" s="52"/>
      <c r="O286" s="52"/>
      <c r="P286" s="52"/>
      <c r="Q286" s="52"/>
      <c r="U286" s="52"/>
    </row>
    <row r="287">
      <c r="M287" s="52"/>
      <c r="N287" s="52"/>
      <c r="O287" s="52"/>
      <c r="P287" s="52"/>
      <c r="Q287" s="52"/>
      <c r="U287" s="52"/>
    </row>
    <row r="288">
      <c r="M288" s="52"/>
      <c r="N288" s="52"/>
      <c r="O288" s="52"/>
      <c r="P288" s="52"/>
      <c r="Q288" s="52"/>
      <c r="U288" s="52"/>
    </row>
    <row r="289">
      <c r="M289" s="52"/>
      <c r="N289" s="52"/>
      <c r="O289" s="52"/>
      <c r="P289" s="52"/>
      <c r="Q289" s="52"/>
      <c r="U289" s="52"/>
    </row>
    <row r="290">
      <c r="M290" s="52"/>
      <c r="N290" s="52"/>
      <c r="O290" s="52"/>
      <c r="P290" s="52"/>
      <c r="Q290" s="52"/>
      <c r="U290" s="52"/>
    </row>
    <row r="291">
      <c r="M291" s="52"/>
      <c r="N291" s="52"/>
      <c r="O291" s="52"/>
      <c r="P291" s="52"/>
      <c r="Q291" s="52"/>
      <c r="U291" s="52"/>
    </row>
    <row r="292">
      <c r="M292" s="52"/>
      <c r="N292" s="52"/>
      <c r="O292" s="52"/>
      <c r="P292" s="52"/>
      <c r="Q292" s="52"/>
      <c r="U292" s="52"/>
    </row>
    <row r="293">
      <c r="M293" s="52"/>
      <c r="N293" s="52"/>
      <c r="O293" s="52"/>
      <c r="P293" s="52"/>
      <c r="Q293" s="52"/>
      <c r="U293" s="52"/>
    </row>
    <row r="294">
      <c r="M294" s="52"/>
      <c r="N294" s="52"/>
      <c r="O294" s="52"/>
      <c r="P294" s="52"/>
      <c r="Q294" s="52"/>
      <c r="U294" s="52"/>
    </row>
    <row r="295">
      <c r="M295" s="52"/>
      <c r="N295" s="52"/>
      <c r="O295" s="52"/>
      <c r="P295" s="52"/>
      <c r="Q295" s="52"/>
      <c r="U295" s="52"/>
    </row>
    <row r="296">
      <c r="M296" s="52"/>
      <c r="N296" s="52"/>
      <c r="O296" s="52"/>
      <c r="P296" s="52"/>
      <c r="Q296" s="52"/>
      <c r="U296" s="52"/>
    </row>
    <row r="297">
      <c r="M297" s="52"/>
      <c r="N297" s="52"/>
      <c r="O297" s="52"/>
      <c r="P297" s="52"/>
      <c r="Q297" s="52"/>
      <c r="U297" s="52"/>
    </row>
    <row r="298">
      <c r="M298" s="52"/>
      <c r="N298" s="52"/>
      <c r="O298" s="52"/>
      <c r="P298" s="52"/>
      <c r="Q298" s="52"/>
      <c r="U298" s="52"/>
    </row>
    <row r="299">
      <c r="M299" s="52"/>
      <c r="N299" s="52"/>
      <c r="O299" s="52"/>
      <c r="P299" s="52"/>
      <c r="Q299" s="52"/>
      <c r="U299" s="52"/>
    </row>
    <row r="300">
      <c r="M300" s="52"/>
      <c r="N300" s="52"/>
      <c r="O300" s="52"/>
      <c r="P300" s="52"/>
      <c r="Q300" s="52"/>
      <c r="U300" s="52"/>
    </row>
    <row r="301">
      <c r="M301" s="52"/>
      <c r="N301" s="52"/>
      <c r="O301" s="52"/>
      <c r="P301" s="52"/>
      <c r="Q301" s="52"/>
      <c r="U301" s="52"/>
    </row>
    <row r="302">
      <c r="M302" s="52"/>
      <c r="N302" s="52"/>
      <c r="O302" s="52"/>
      <c r="P302" s="52"/>
      <c r="Q302" s="52"/>
      <c r="U302" s="52"/>
    </row>
    <row r="303">
      <c r="M303" s="52"/>
      <c r="N303" s="52"/>
      <c r="O303" s="52"/>
      <c r="P303" s="52"/>
      <c r="Q303" s="52"/>
      <c r="U303" s="52"/>
    </row>
    <row r="304">
      <c r="M304" s="52"/>
      <c r="N304" s="52"/>
      <c r="O304" s="52"/>
      <c r="P304" s="52"/>
      <c r="Q304" s="52"/>
      <c r="U304" s="52"/>
    </row>
    <row r="305">
      <c r="M305" s="52"/>
      <c r="N305" s="52"/>
      <c r="O305" s="52"/>
      <c r="P305" s="52"/>
      <c r="Q305" s="52"/>
      <c r="U305" s="52"/>
    </row>
    <row r="306">
      <c r="M306" s="52"/>
      <c r="N306" s="52"/>
      <c r="O306" s="52"/>
      <c r="P306" s="52"/>
      <c r="Q306" s="52"/>
      <c r="U306" s="52"/>
    </row>
    <row r="307">
      <c r="M307" s="52"/>
      <c r="N307" s="52"/>
      <c r="O307" s="52"/>
      <c r="P307" s="52"/>
      <c r="Q307" s="52"/>
      <c r="U307" s="52"/>
    </row>
    <row r="308">
      <c r="M308" s="52"/>
      <c r="N308" s="52"/>
      <c r="O308" s="52"/>
      <c r="P308" s="52"/>
      <c r="Q308" s="52"/>
      <c r="U308" s="52"/>
    </row>
    <row r="309">
      <c r="M309" s="52"/>
      <c r="N309" s="52"/>
      <c r="O309" s="52"/>
      <c r="P309" s="52"/>
      <c r="Q309" s="52"/>
      <c r="U309" s="52"/>
    </row>
    <row r="310">
      <c r="M310" s="52"/>
      <c r="N310" s="52"/>
      <c r="O310" s="52"/>
      <c r="P310" s="52"/>
      <c r="Q310" s="52"/>
      <c r="U310" s="52"/>
    </row>
    <row r="311">
      <c r="M311" s="52"/>
      <c r="N311" s="52"/>
      <c r="O311" s="52"/>
      <c r="P311" s="52"/>
      <c r="Q311" s="52"/>
      <c r="U311" s="52"/>
    </row>
    <row r="312">
      <c r="M312" s="52"/>
      <c r="N312" s="52"/>
      <c r="O312" s="52"/>
      <c r="P312" s="52"/>
      <c r="Q312" s="52"/>
      <c r="U312" s="52"/>
    </row>
    <row r="313">
      <c r="M313" s="52"/>
      <c r="N313" s="52"/>
      <c r="O313" s="52"/>
      <c r="P313" s="52"/>
      <c r="Q313" s="52"/>
      <c r="U313" s="52"/>
    </row>
    <row r="314">
      <c r="M314" s="52"/>
      <c r="N314" s="52"/>
      <c r="O314" s="52"/>
      <c r="P314" s="52"/>
      <c r="Q314" s="52"/>
      <c r="U314" s="52"/>
    </row>
    <row r="315">
      <c r="M315" s="52"/>
      <c r="N315" s="52"/>
      <c r="O315" s="52"/>
      <c r="P315" s="52"/>
      <c r="Q315" s="52"/>
      <c r="U315" s="52"/>
    </row>
    <row r="316">
      <c r="M316" s="52"/>
      <c r="N316" s="52"/>
      <c r="O316" s="52"/>
      <c r="P316" s="52"/>
      <c r="Q316" s="52"/>
      <c r="U316" s="52"/>
    </row>
    <row r="317">
      <c r="M317" s="52"/>
      <c r="N317" s="52"/>
      <c r="O317" s="52"/>
      <c r="P317" s="52"/>
      <c r="Q317" s="52"/>
      <c r="U317" s="52"/>
    </row>
    <row r="318">
      <c r="M318" s="52"/>
      <c r="N318" s="52"/>
      <c r="O318" s="52"/>
      <c r="P318" s="52"/>
      <c r="Q318" s="52"/>
      <c r="U318" s="52"/>
    </row>
    <row r="319">
      <c r="M319" s="52"/>
      <c r="N319" s="52"/>
      <c r="O319" s="52"/>
      <c r="P319" s="52"/>
      <c r="Q319" s="52"/>
      <c r="U319" s="52"/>
    </row>
    <row r="320">
      <c r="M320" s="52"/>
      <c r="N320" s="52"/>
      <c r="O320" s="52"/>
      <c r="P320" s="52"/>
      <c r="Q320" s="52"/>
      <c r="U320" s="52"/>
    </row>
    <row r="321">
      <c r="M321" s="52"/>
      <c r="N321" s="52"/>
      <c r="O321" s="52"/>
      <c r="P321" s="52"/>
      <c r="Q321" s="52"/>
      <c r="U321" s="52"/>
    </row>
    <row r="322">
      <c r="M322" s="52"/>
      <c r="N322" s="52"/>
      <c r="O322" s="52"/>
      <c r="P322" s="52"/>
      <c r="Q322" s="52"/>
      <c r="U322" s="52"/>
    </row>
    <row r="323">
      <c r="M323" s="52"/>
      <c r="N323" s="52"/>
      <c r="O323" s="52"/>
      <c r="P323" s="52"/>
      <c r="Q323" s="52"/>
      <c r="U323" s="52"/>
    </row>
    <row r="324">
      <c r="M324" s="52"/>
      <c r="N324" s="52"/>
      <c r="O324" s="52"/>
      <c r="P324" s="52"/>
      <c r="Q324" s="52"/>
      <c r="U324" s="52"/>
    </row>
    <row r="325">
      <c r="M325" s="52"/>
      <c r="N325" s="52"/>
      <c r="O325" s="52"/>
      <c r="P325" s="52"/>
      <c r="Q325" s="52"/>
      <c r="U325" s="52"/>
    </row>
    <row r="326">
      <c r="M326" s="52"/>
      <c r="N326" s="52"/>
      <c r="O326" s="52"/>
      <c r="P326" s="52"/>
      <c r="Q326" s="52"/>
      <c r="U326" s="52"/>
    </row>
    <row r="327">
      <c r="M327" s="52"/>
      <c r="N327" s="52"/>
      <c r="O327" s="52"/>
      <c r="P327" s="52"/>
      <c r="Q327" s="52"/>
      <c r="U327" s="52"/>
    </row>
    <row r="328">
      <c r="M328" s="52"/>
      <c r="N328" s="52"/>
      <c r="O328" s="52"/>
      <c r="P328" s="52"/>
      <c r="Q328" s="52"/>
      <c r="U328" s="52"/>
    </row>
    <row r="329">
      <c r="M329" s="52"/>
      <c r="N329" s="52"/>
      <c r="O329" s="52"/>
      <c r="P329" s="52"/>
      <c r="Q329" s="52"/>
      <c r="U329" s="52"/>
    </row>
    <row r="330">
      <c r="M330" s="52"/>
      <c r="N330" s="52"/>
      <c r="O330" s="52"/>
      <c r="P330" s="52"/>
      <c r="Q330" s="52"/>
      <c r="U330" s="52"/>
    </row>
    <row r="331">
      <c r="M331" s="52"/>
      <c r="N331" s="52"/>
      <c r="O331" s="52"/>
      <c r="P331" s="52"/>
      <c r="Q331" s="52"/>
      <c r="U331" s="52"/>
    </row>
    <row r="332">
      <c r="M332" s="52"/>
      <c r="N332" s="52"/>
      <c r="O332" s="52"/>
      <c r="P332" s="52"/>
      <c r="Q332" s="52"/>
      <c r="U332" s="52"/>
    </row>
    <row r="333">
      <c r="M333" s="52"/>
      <c r="N333" s="52"/>
      <c r="O333" s="52"/>
      <c r="P333" s="52"/>
      <c r="Q333" s="52"/>
      <c r="U333" s="52"/>
    </row>
    <row r="334">
      <c r="M334" s="52"/>
      <c r="N334" s="52"/>
      <c r="O334" s="52"/>
      <c r="P334" s="52"/>
      <c r="Q334" s="52"/>
      <c r="U334" s="52"/>
    </row>
    <row r="335">
      <c r="M335" s="52"/>
      <c r="N335" s="52"/>
      <c r="O335" s="52"/>
      <c r="P335" s="52"/>
      <c r="Q335" s="52"/>
      <c r="U335" s="52"/>
    </row>
    <row r="336">
      <c r="M336" s="52"/>
      <c r="N336" s="52"/>
      <c r="O336" s="52"/>
      <c r="P336" s="52"/>
      <c r="Q336" s="52"/>
      <c r="U336" s="52"/>
    </row>
    <row r="337">
      <c r="M337" s="52"/>
      <c r="N337" s="52"/>
      <c r="O337" s="52"/>
      <c r="P337" s="52"/>
      <c r="Q337" s="52"/>
      <c r="U337" s="52"/>
    </row>
    <row r="338">
      <c r="M338" s="52"/>
      <c r="N338" s="52"/>
      <c r="O338" s="52"/>
      <c r="P338" s="52"/>
      <c r="Q338" s="52"/>
      <c r="U338" s="52"/>
    </row>
    <row r="339">
      <c r="M339" s="52"/>
      <c r="N339" s="52"/>
      <c r="O339" s="52"/>
      <c r="P339" s="52"/>
      <c r="Q339" s="52"/>
      <c r="U339" s="52"/>
    </row>
    <row r="340">
      <c r="M340" s="52"/>
      <c r="N340" s="52"/>
      <c r="O340" s="52"/>
      <c r="P340" s="52"/>
      <c r="Q340" s="52"/>
      <c r="U340" s="52"/>
    </row>
    <row r="341">
      <c r="M341" s="52"/>
      <c r="N341" s="52"/>
      <c r="O341" s="52"/>
      <c r="P341" s="52"/>
      <c r="Q341" s="52"/>
      <c r="U341" s="52"/>
    </row>
    <row r="342">
      <c r="M342" s="52"/>
      <c r="N342" s="52"/>
      <c r="O342" s="52"/>
      <c r="P342" s="52"/>
      <c r="Q342" s="52"/>
      <c r="U342" s="52"/>
    </row>
    <row r="343">
      <c r="M343" s="52"/>
      <c r="N343" s="52"/>
      <c r="O343" s="52"/>
      <c r="P343" s="52"/>
      <c r="Q343" s="52"/>
      <c r="U343" s="52"/>
    </row>
    <row r="344">
      <c r="M344" s="52"/>
      <c r="N344" s="52"/>
      <c r="O344" s="52"/>
      <c r="P344" s="52"/>
      <c r="Q344" s="52"/>
      <c r="U344" s="52"/>
    </row>
    <row r="345">
      <c r="M345" s="52"/>
      <c r="N345" s="52"/>
      <c r="O345" s="52"/>
      <c r="P345" s="52"/>
      <c r="Q345" s="52"/>
      <c r="U345" s="52"/>
    </row>
    <row r="346">
      <c r="M346" s="52"/>
      <c r="N346" s="52"/>
      <c r="O346" s="52"/>
      <c r="P346" s="52"/>
      <c r="Q346" s="52"/>
      <c r="U346" s="52"/>
    </row>
    <row r="347">
      <c r="M347" s="52"/>
      <c r="N347" s="52"/>
      <c r="O347" s="52"/>
      <c r="P347" s="52"/>
      <c r="Q347" s="52"/>
      <c r="U347" s="52"/>
    </row>
    <row r="348">
      <c r="M348" s="52"/>
      <c r="N348" s="52"/>
      <c r="O348" s="52"/>
      <c r="P348" s="52"/>
      <c r="Q348" s="52"/>
      <c r="U348" s="52"/>
    </row>
    <row r="349">
      <c r="M349" s="52"/>
      <c r="N349" s="52"/>
      <c r="O349" s="52"/>
      <c r="P349" s="52"/>
      <c r="Q349" s="52"/>
      <c r="U349" s="52"/>
    </row>
    <row r="350">
      <c r="M350" s="52"/>
      <c r="N350" s="52"/>
      <c r="O350" s="52"/>
      <c r="P350" s="52"/>
      <c r="Q350" s="52"/>
      <c r="U350" s="52"/>
    </row>
    <row r="351">
      <c r="M351" s="52"/>
      <c r="N351" s="52"/>
      <c r="O351" s="52"/>
      <c r="P351" s="52"/>
      <c r="Q351" s="52"/>
      <c r="U351" s="52"/>
    </row>
    <row r="352">
      <c r="M352" s="52"/>
      <c r="N352" s="52"/>
      <c r="O352" s="52"/>
      <c r="P352" s="52"/>
      <c r="Q352" s="52"/>
      <c r="U352" s="52"/>
    </row>
    <row r="353">
      <c r="M353" s="52"/>
      <c r="N353" s="52"/>
      <c r="O353" s="52"/>
      <c r="P353" s="52"/>
      <c r="Q353" s="52"/>
      <c r="U353" s="52"/>
    </row>
    <row r="354">
      <c r="M354" s="52"/>
      <c r="N354" s="52"/>
      <c r="O354" s="52"/>
      <c r="P354" s="52"/>
      <c r="Q354" s="52"/>
      <c r="U354" s="52"/>
    </row>
    <row r="355">
      <c r="M355" s="52"/>
      <c r="N355" s="52"/>
      <c r="O355" s="52"/>
      <c r="P355" s="52"/>
      <c r="Q355" s="52"/>
      <c r="U355" s="52"/>
    </row>
    <row r="356">
      <c r="M356" s="52"/>
      <c r="N356" s="52"/>
      <c r="O356" s="52"/>
      <c r="P356" s="52"/>
      <c r="Q356" s="52"/>
      <c r="U356" s="52"/>
    </row>
    <row r="357">
      <c r="M357" s="52"/>
      <c r="N357" s="52"/>
      <c r="O357" s="52"/>
      <c r="P357" s="52"/>
      <c r="Q357" s="52"/>
      <c r="U357" s="52"/>
    </row>
    <row r="358">
      <c r="M358" s="52"/>
      <c r="N358" s="52"/>
      <c r="O358" s="52"/>
      <c r="P358" s="52"/>
      <c r="Q358" s="52"/>
      <c r="U358" s="52"/>
    </row>
    <row r="359">
      <c r="M359" s="52"/>
      <c r="N359" s="52"/>
      <c r="O359" s="52"/>
      <c r="P359" s="52"/>
      <c r="Q359" s="52"/>
      <c r="U359" s="52"/>
    </row>
    <row r="360">
      <c r="M360" s="52"/>
      <c r="N360" s="52"/>
      <c r="O360" s="52"/>
      <c r="P360" s="52"/>
      <c r="Q360" s="52"/>
      <c r="U360" s="52"/>
    </row>
    <row r="361">
      <c r="M361" s="52"/>
      <c r="N361" s="52"/>
      <c r="O361" s="52"/>
      <c r="P361" s="52"/>
      <c r="Q361" s="52"/>
      <c r="U361" s="52"/>
    </row>
    <row r="362">
      <c r="M362" s="52"/>
      <c r="N362" s="52"/>
      <c r="O362" s="52"/>
      <c r="P362" s="52"/>
      <c r="Q362" s="52"/>
      <c r="U362" s="52"/>
    </row>
    <row r="363">
      <c r="M363" s="52"/>
      <c r="N363" s="52"/>
      <c r="O363" s="52"/>
      <c r="P363" s="52"/>
      <c r="Q363" s="52"/>
      <c r="U363" s="52"/>
    </row>
    <row r="364">
      <c r="M364" s="52"/>
      <c r="N364" s="52"/>
      <c r="O364" s="52"/>
      <c r="P364" s="52"/>
      <c r="Q364" s="52"/>
      <c r="U364" s="52"/>
    </row>
    <row r="365">
      <c r="M365" s="52"/>
      <c r="N365" s="52"/>
      <c r="O365" s="52"/>
      <c r="P365" s="52"/>
      <c r="Q365" s="52"/>
      <c r="U365" s="52"/>
    </row>
    <row r="366">
      <c r="M366" s="52"/>
      <c r="N366" s="52"/>
      <c r="O366" s="52"/>
      <c r="P366" s="52"/>
      <c r="Q366" s="52"/>
      <c r="U366" s="52"/>
    </row>
    <row r="367">
      <c r="M367" s="52"/>
      <c r="N367" s="52"/>
      <c r="O367" s="52"/>
      <c r="P367" s="52"/>
      <c r="Q367" s="52"/>
      <c r="U367" s="52"/>
    </row>
    <row r="368">
      <c r="M368" s="52"/>
      <c r="N368" s="52"/>
      <c r="O368" s="52"/>
      <c r="P368" s="52"/>
      <c r="Q368" s="52"/>
      <c r="U368" s="52"/>
    </row>
    <row r="369">
      <c r="M369" s="52"/>
      <c r="N369" s="52"/>
      <c r="O369" s="52"/>
      <c r="P369" s="52"/>
      <c r="Q369" s="52"/>
      <c r="U369" s="52"/>
    </row>
    <row r="370">
      <c r="M370" s="52"/>
      <c r="N370" s="52"/>
      <c r="O370" s="52"/>
      <c r="P370" s="52"/>
      <c r="Q370" s="52"/>
      <c r="U370" s="52"/>
    </row>
    <row r="371">
      <c r="M371" s="52"/>
      <c r="N371" s="52"/>
      <c r="O371" s="52"/>
      <c r="P371" s="52"/>
      <c r="Q371" s="52"/>
      <c r="U371" s="52"/>
    </row>
    <row r="372">
      <c r="M372" s="52"/>
      <c r="N372" s="52"/>
      <c r="O372" s="52"/>
      <c r="P372" s="52"/>
      <c r="Q372" s="52"/>
      <c r="U372" s="52"/>
    </row>
    <row r="373">
      <c r="M373" s="52"/>
      <c r="N373" s="52"/>
      <c r="O373" s="52"/>
      <c r="P373" s="52"/>
      <c r="Q373" s="52"/>
      <c r="U373" s="52"/>
    </row>
    <row r="374">
      <c r="M374" s="52"/>
      <c r="N374" s="52"/>
      <c r="O374" s="52"/>
      <c r="P374" s="52"/>
      <c r="Q374" s="52"/>
      <c r="U374" s="52"/>
    </row>
    <row r="375">
      <c r="M375" s="52"/>
      <c r="N375" s="52"/>
      <c r="O375" s="52"/>
      <c r="P375" s="52"/>
      <c r="Q375" s="52"/>
      <c r="U375" s="52"/>
    </row>
    <row r="376">
      <c r="M376" s="52"/>
      <c r="N376" s="52"/>
      <c r="O376" s="52"/>
      <c r="P376" s="52"/>
      <c r="Q376" s="52"/>
      <c r="U376" s="52"/>
    </row>
    <row r="377">
      <c r="M377" s="52"/>
      <c r="N377" s="52"/>
      <c r="O377" s="52"/>
      <c r="P377" s="52"/>
      <c r="Q377" s="52"/>
      <c r="U377" s="52"/>
    </row>
    <row r="378">
      <c r="M378" s="52"/>
      <c r="N378" s="52"/>
      <c r="O378" s="52"/>
      <c r="P378" s="52"/>
      <c r="Q378" s="52"/>
      <c r="U378" s="52"/>
    </row>
    <row r="379">
      <c r="M379" s="52"/>
      <c r="N379" s="52"/>
      <c r="O379" s="52"/>
      <c r="P379" s="52"/>
      <c r="Q379" s="52"/>
      <c r="U379" s="52"/>
    </row>
    <row r="380">
      <c r="M380" s="52"/>
      <c r="N380" s="52"/>
      <c r="O380" s="52"/>
      <c r="P380" s="52"/>
      <c r="Q380" s="52"/>
      <c r="U380" s="52"/>
    </row>
    <row r="381">
      <c r="M381" s="52"/>
      <c r="N381" s="52"/>
      <c r="O381" s="52"/>
      <c r="P381" s="52"/>
      <c r="Q381" s="52"/>
      <c r="U381" s="52"/>
    </row>
    <row r="382">
      <c r="M382" s="52"/>
      <c r="N382" s="52"/>
      <c r="O382" s="52"/>
      <c r="P382" s="52"/>
      <c r="Q382" s="52"/>
      <c r="U382" s="52"/>
    </row>
    <row r="383">
      <c r="M383" s="52"/>
      <c r="N383" s="52"/>
      <c r="O383" s="52"/>
      <c r="P383" s="52"/>
      <c r="Q383" s="52"/>
      <c r="U383" s="52"/>
    </row>
    <row r="384">
      <c r="M384" s="52"/>
      <c r="N384" s="52"/>
      <c r="O384" s="52"/>
      <c r="P384" s="52"/>
      <c r="Q384" s="52"/>
      <c r="U384" s="52"/>
    </row>
    <row r="385">
      <c r="M385" s="52"/>
      <c r="N385" s="52"/>
      <c r="O385" s="52"/>
      <c r="P385" s="52"/>
      <c r="Q385" s="52"/>
      <c r="U385" s="52"/>
    </row>
    <row r="386">
      <c r="M386" s="52"/>
      <c r="N386" s="52"/>
      <c r="O386" s="52"/>
      <c r="P386" s="52"/>
      <c r="Q386" s="52"/>
      <c r="U386" s="52"/>
    </row>
    <row r="387">
      <c r="M387" s="52"/>
      <c r="N387" s="52"/>
      <c r="O387" s="52"/>
      <c r="P387" s="52"/>
      <c r="Q387" s="52"/>
      <c r="U387" s="52"/>
    </row>
    <row r="388">
      <c r="M388" s="52"/>
      <c r="N388" s="52"/>
      <c r="O388" s="52"/>
      <c r="P388" s="52"/>
      <c r="Q388" s="52"/>
      <c r="U388" s="52"/>
    </row>
    <row r="389">
      <c r="M389" s="52"/>
      <c r="N389" s="52"/>
      <c r="O389" s="52"/>
      <c r="P389" s="52"/>
      <c r="Q389" s="52"/>
      <c r="U389" s="52"/>
    </row>
    <row r="390">
      <c r="M390" s="52"/>
      <c r="N390" s="52"/>
      <c r="O390" s="52"/>
      <c r="P390" s="52"/>
      <c r="Q390" s="52"/>
      <c r="U390" s="52"/>
    </row>
    <row r="391">
      <c r="M391" s="52"/>
      <c r="N391" s="52"/>
      <c r="O391" s="52"/>
      <c r="P391" s="52"/>
      <c r="Q391" s="52"/>
      <c r="U391" s="52"/>
    </row>
    <row r="392">
      <c r="M392" s="52"/>
      <c r="N392" s="52"/>
      <c r="O392" s="52"/>
      <c r="P392" s="52"/>
      <c r="Q392" s="52"/>
      <c r="U392" s="52"/>
    </row>
    <row r="393">
      <c r="M393" s="52"/>
      <c r="N393" s="52"/>
      <c r="O393" s="52"/>
      <c r="P393" s="52"/>
      <c r="Q393" s="52"/>
      <c r="U393" s="52"/>
    </row>
    <row r="394">
      <c r="M394" s="52"/>
      <c r="N394" s="52"/>
      <c r="O394" s="52"/>
      <c r="P394" s="52"/>
      <c r="Q394" s="52"/>
      <c r="U394" s="52"/>
    </row>
    <row r="395">
      <c r="M395" s="52"/>
      <c r="N395" s="52"/>
      <c r="O395" s="52"/>
      <c r="P395" s="52"/>
      <c r="Q395" s="52"/>
      <c r="U395" s="52"/>
    </row>
    <row r="396">
      <c r="M396" s="52"/>
      <c r="N396" s="52"/>
      <c r="O396" s="52"/>
      <c r="P396" s="52"/>
      <c r="Q396" s="52"/>
      <c r="U396" s="52"/>
    </row>
    <row r="397">
      <c r="M397" s="52"/>
      <c r="N397" s="52"/>
      <c r="O397" s="52"/>
      <c r="P397" s="52"/>
      <c r="Q397" s="52"/>
      <c r="U397" s="52"/>
    </row>
    <row r="398">
      <c r="M398" s="52"/>
      <c r="N398" s="52"/>
      <c r="O398" s="52"/>
      <c r="P398" s="52"/>
      <c r="Q398" s="52"/>
      <c r="U398" s="52"/>
    </row>
    <row r="399">
      <c r="M399" s="52"/>
      <c r="N399" s="52"/>
      <c r="O399" s="52"/>
      <c r="P399" s="52"/>
      <c r="Q399" s="52"/>
      <c r="U399" s="52"/>
    </row>
    <row r="400">
      <c r="M400" s="52"/>
      <c r="N400" s="52"/>
      <c r="O400" s="52"/>
      <c r="P400" s="52"/>
      <c r="Q400" s="52"/>
      <c r="U400" s="52"/>
    </row>
    <row r="401">
      <c r="M401" s="52"/>
      <c r="N401" s="52"/>
      <c r="O401" s="52"/>
      <c r="P401" s="52"/>
      <c r="Q401" s="52"/>
      <c r="U401" s="52"/>
    </row>
    <row r="402">
      <c r="M402" s="52"/>
      <c r="N402" s="52"/>
      <c r="O402" s="52"/>
      <c r="P402" s="52"/>
      <c r="Q402" s="52"/>
      <c r="U402" s="52"/>
    </row>
    <row r="403">
      <c r="M403" s="52"/>
      <c r="N403" s="52"/>
      <c r="O403" s="52"/>
      <c r="P403" s="52"/>
      <c r="Q403" s="52"/>
      <c r="U403" s="52"/>
    </row>
    <row r="404">
      <c r="M404" s="52"/>
      <c r="N404" s="52"/>
      <c r="O404" s="52"/>
      <c r="P404" s="52"/>
      <c r="Q404" s="52"/>
      <c r="U404" s="52"/>
    </row>
    <row r="405">
      <c r="M405" s="52"/>
      <c r="N405" s="52"/>
      <c r="O405" s="52"/>
      <c r="P405" s="52"/>
      <c r="Q405" s="52"/>
      <c r="U405" s="52"/>
    </row>
    <row r="406">
      <c r="M406" s="52"/>
      <c r="N406" s="52"/>
      <c r="O406" s="52"/>
      <c r="P406" s="52"/>
      <c r="Q406" s="52"/>
      <c r="U406" s="52"/>
    </row>
    <row r="407">
      <c r="M407" s="52"/>
      <c r="N407" s="52"/>
      <c r="O407" s="52"/>
      <c r="P407" s="52"/>
      <c r="Q407" s="52"/>
      <c r="U407" s="52"/>
    </row>
    <row r="408">
      <c r="M408" s="52"/>
      <c r="N408" s="52"/>
      <c r="O408" s="52"/>
      <c r="P408" s="52"/>
      <c r="Q408" s="52"/>
      <c r="U408" s="52"/>
    </row>
    <row r="409">
      <c r="M409" s="52"/>
      <c r="N409" s="52"/>
      <c r="O409" s="52"/>
      <c r="P409" s="52"/>
      <c r="Q409" s="52"/>
      <c r="U409" s="52"/>
    </row>
    <row r="410">
      <c r="M410" s="52"/>
      <c r="N410" s="52"/>
      <c r="O410" s="52"/>
      <c r="P410" s="52"/>
      <c r="Q410" s="52"/>
      <c r="U410" s="52"/>
    </row>
    <row r="411">
      <c r="M411" s="52"/>
      <c r="N411" s="52"/>
      <c r="O411" s="52"/>
      <c r="P411" s="52"/>
      <c r="Q411" s="52"/>
      <c r="U411" s="52"/>
    </row>
    <row r="412">
      <c r="M412" s="52"/>
      <c r="N412" s="52"/>
      <c r="O412" s="52"/>
      <c r="P412" s="52"/>
      <c r="Q412" s="52"/>
      <c r="U412" s="52"/>
    </row>
    <row r="413">
      <c r="M413" s="52"/>
      <c r="N413" s="52"/>
      <c r="O413" s="52"/>
      <c r="P413" s="52"/>
      <c r="Q413" s="52"/>
      <c r="U413" s="52"/>
    </row>
    <row r="414">
      <c r="M414" s="52"/>
      <c r="N414" s="52"/>
      <c r="O414" s="52"/>
      <c r="P414" s="52"/>
      <c r="Q414" s="52"/>
      <c r="U414" s="52"/>
    </row>
    <row r="415">
      <c r="M415" s="52"/>
      <c r="N415" s="52"/>
      <c r="O415" s="52"/>
      <c r="P415" s="52"/>
      <c r="Q415" s="52"/>
      <c r="U415" s="52"/>
    </row>
    <row r="416">
      <c r="M416" s="52"/>
      <c r="N416" s="52"/>
      <c r="O416" s="52"/>
      <c r="P416" s="52"/>
      <c r="Q416" s="52"/>
      <c r="U416" s="52"/>
    </row>
    <row r="417">
      <c r="M417" s="52"/>
      <c r="N417" s="52"/>
      <c r="O417" s="52"/>
      <c r="P417" s="52"/>
      <c r="Q417" s="52"/>
      <c r="U417" s="52"/>
    </row>
    <row r="418">
      <c r="M418" s="52"/>
      <c r="N418" s="52"/>
      <c r="O418" s="52"/>
      <c r="P418" s="52"/>
      <c r="Q418" s="52"/>
      <c r="U418" s="52"/>
    </row>
    <row r="419">
      <c r="M419" s="52"/>
      <c r="N419" s="52"/>
      <c r="O419" s="52"/>
      <c r="P419" s="52"/>
      <c r="Q419" s="52"/>
      <c r="U419" s="52"/>
    </row>
    <row r="420">
      <c r="M420" s="52"/>
      <c r="N420" s="52"/>
      <c r="O420" s="52"/>
      <c r="P420" s="52"/>
      <c r="Q420" s="52"/>
      <c r="U420" s="52"/>
    </row>
    <row r="421">
      <c r="M421" s="52"/>
      <c r="N421" s="52"/>
      <c r="O421" s="52"/>
      <c r="P421" s="52"/>
      <c r="Q421" s="52"/>
      <c r="U421" s="52"/>
    </row>
    <row r="422">
      <c r="M422" s="52"/>
      <c r="N422" s="52"/>
      <c r="O422" s="52"/>
      <c r="P422" s="52"/>
      <c r="Q422" s="52"/>
      <c r="U422" s="52"/>
    </row>
    <row r="423">
      <c r="M423" s="52"/>
      <c r="N423" s="52"/>
      <c r="O423" s="52"/>
      <c r="P423" s="52"/>
      <c r="Q423" s="52"/>
      <c r="U423" s="52"/>
    </row>
    <row r="424">
      <c r="M424" s="52"/>
      <c r="N424" s="52"/>
      <c r="O424" s="52"/>
      <c r="P424" s="52"/>
      <c r="Q424" s="52"/>
      <c r="U424" s="52"/>
    </row>
    <row r="425">
      <c r="M425" s="52"/>
      <c r="N425" s="52"/>
      <c r="O425" s="52"/>
      <c r="P425" s="52"/>
      <c r="Q425" s="52"/>
      <c r="U425" s="52"/>
    </row>
    <row r="426">
      <c r="M426" s="52"/>
      <c r="N426" s="52"/>
      <c r="O426" s="52"/>
      <c r="P426" s="52"/>
      <c r="Q426" s="52"/>
      <c r="U426" s="52"/>
    </row>
    <row r="427">
      <c r="M427" s="52"/>
      <c r="N427" s="52"/>
      <c r="O427" s="52"/>
      <c r="P427" s="52"/>
      <c r="Q427" s="52"/>
      <c r="U427" s="52"/>
    </row>
    <row r="428">
      <c r="M428" s="52"/>
      <c r="N428" s="52"/>
      <c r="O428" s="52"/>
      <c r="P428" s="52"/>
      <c r="Q428" s="52"/>
      <c r="U428" s="52"/>
    </row>
    <row r="429">
      <c r="M429" s="52"/>
      <c r="N429" s="52"/>
      <c r="O429" s="52"/>
      <c r="P429" s="52"/>
      <c r="Q429" s="52"/>
      <c r="U429" s="52"/>
    </row>
    <row r="430">
      <c r="M430" s="52"/>
      <c r="N430" s="52"/>
      <c r="O430" s="52"/>
      <c r="P430" s="52"/>
      <c r="Q430" s="52"/>
      <c r="U430" s="52"/>
    </row>
    <row r="431">
      <c r="M431" s="52"/>
      <c r="N431" s="52"/>
      <c r="O431" s="52"/>
      <c r="P431" s="52"/>
      <c r="Q431" s="52"/>
      <c r="U431" s="52"/>
    </row>
    <row r="432">
      <c r="M432" s="52"/>
      <c r="N432" s="52"/>
      <c r="O432" s="52"/>
      <c r="P432" s="52"/>
      <c r="Q432" s="52"/>
      <c r="U432" s="52"/>
    </row>
    <row r="433">
      <c r="M433" s="52"/>
      <c r="N433" s="52"/>
      <c r="O433" s="52"/>
      <c r="P433" s="52"/>
      <c r="Q433" s="52"/>
      <c r="U433" s="52"/>
    </row>
    <row r="434">
      <c r="M434" s="52"/>
      <c r="N434" s="52"/>
      <c r="O434" s="52"/>
      <c r="P434" s="52"/>
      <c r="Q434" s="52"/>
      <c r="U434" s="52"/>
    </row>
    <row r="435">
      <c r="M435" s="52"/>
      <c r="N435" s="52"/>
      <c r="O435" s="52"/>
      <c r="P435" s="52"/>
      <c r="Q435" s="52"/>
      <c r="U435" s="52"/>
    </row>
    <row r="436">
      <c r="M436" s="52"/>
      <c r="N436" s="52"/>
      <c r="O436" s="52"/>
      <c r="P436" s="52"/>
      <c r="Q436" s="52"/>
      <c r="U436" s="52"/>
    </row>
    <row r="437">
      <c r="M437" s="52"/>
      <c r="N437" s="52"/>
      <c r="O437" s="52"/>
      <c r="P437" s="52"/>
      <c r="Q437" s="52"/>
      <c r="U437" s="52"/>
    </row>
    <row r="438">
      <c r="M438" s="52"/>
      <c r="N438" s="52"/>
      <c r="O438" s="52"/>
      <c r="P438" s="52"/>
      <c r="Q438" s="52"/>
      <c r="U438" s="52"/>
    </row>
    <row r="439">
      <c r="M439" s="52"/>
      <c r="N439" s="52"/>
      <c r="O439" s="52"/>
      <c r="P439" s="52"/>
      <c r="Q439" s="52"/>
      <c r="U439" s="52"/>
    </row>
    <row r="440">
      <c r="M440" s="52"/>
      <c r="N440" s="52"/>
      <c r="O440" s="52"/>
      <c r="P440" s="52"/>
      <c r="Q440" s="52"/>
      <c r="U440" s="52"/>
    </row>
    <row r="441">
      <c r="M441" s="52"/>
      <c r="N441" s="52"/>
      <c r="O441" s="52"/>
      <c r="P441" s="52"/>
      <c r="Q441" s="52"/>
      <c r="U441" s="52"/>
    </row>
    <row r="442">
      <c r="M442" s="52"/>
      <c r="N442" s="52"/>
      <c r="O442" s="52"/>
      <c r="P442" s="52"/>
      <c r="Q442" s="52"/>
      <c r="U442" s="52"/>
    </row>
    <row r="443">
      <c r="M443" s="52"/>
      <c r="N443" s="52"/>
      <c r="O443" s="52"/>
      <c r="P443" s="52"/>
      <c r="Q443" s="52"/>
      <c r="U443" s="52"/>
    </row>
    <row r="444">
      <c r="M444" s="52"/>
      <c r="N444" s="52"/>
      <c r="O444" s="52"/>
      <c r="P444" s="52"/>
      <c r="Q444" s="52"/>
      <c r="U444" s="52"/>
    </row>
    <row r="445">
      <c r="M445" s="52"/>
      <c r="N445" s="52"/>
      <c r="O445" s="52"/>
      <c r="P445" s="52"/>
      <c r="Q445" s="52"/>
      <c r="U445" s="52"/>
    </row>
    <row r="446">
      <c r="M446" s="52"/>
      <c r="N446" s="52"/>
      <c r="O446" s="52"/>
      <c r="P446" s="52"/>
      <c r="Q446" s="52"/>
      <c r="U446" s="52"/>
    </row>
    <row r="447">
      <c r="M447" s="52"/>
      <c r="N447" s="52"/>
      <c r="O447" s="52"/>
      <c r="P447" s="52"/>
      <c r="Q447" s="52"/>
      <c r="U447" s="52"/>
    </row>
    <row r="448">
      <c r="M448" s="52"/>
      <c r="N448" s="52"/>
      <c r="O448" s="52"/>
      <c r="P448" s="52"/>
      <c r="Q448" s="52"/>
      <c r="U448" s="52"/>
    </row>
    <row r="449">
      <c r="M449" s="52"/>
      <c r="N449" s="52"/>
      <c r="O449" s="52"/>
      <c r="P449" s="52"/>
      <c r="Q449" s="52"/>
      <c r="U449" s="52"/>
    </row>
    <row r="450">
      <c r="M450" s="52"/>
      <c r="N450" s="52"/>
      <c r="O450" s="52"/>
      <c r="P450" s="52"/>
      <c r="Q450" s="52"/>
      <c r="U450" s="52"/>
    </row>
    <row r="451">
      <c r="M451" s="52"/>
      <c r="N451" s="52"/>
      <c r="O451" s="52"/>
      <c r="P451" s="52"/>
      <c r="Q451" s="52"/>
      <c r="U451" s="52"/>
    </row>
    <row r="452">
      <c r="M452" s="52"/>
      <c r="N452" s="52"/>
      <c r="O452" s="52"/>
      <c r="P452" s="52"/>
      <c r="Q452" s="52"/>
      <c r="U452" s="52"/>
    </row>
    <row r="453">
      <c r="M453" s="52"/>
      <c r="N453" s="52"/>
      <c r="O453" s="52"/>
      <c r="P453" s="52"/>
      <c r="Q453" s="52"/>
      <c r="U453" s="52"/>
    </row>
    <row r="454">
      <c r="M454" s="52"/>
      <c r="N454" s="52"/>
      <c r="O454" s="52"/>
      <c r="P454" s="52"/>
      <c r="Q454" s="52"/>
      <c r="U454" s="52"/>
    </row>
    <row r="455">
      <c r="M455" s="52"/>
      <c r="N455" s="52"/>
      <c r="O455" s="52"/>
      <c r="P455" s="52"/>
      <c r="Q455" s="52"/>
      <c r="U455" s="52"/>
    </row>
    <row r="456">
      <c r="M456" s="52"/>
      <c r="N456" s="52"/>
      <c r="O456" s="52"/>
      <c r="P456" s="52"/>
      <c r="Q456" s="52"/>
      <c r="U456" s="52"/>
    </row>
    <row r="457">
      <c r="M457" s="52"/>
      <c r="N457" s="52"/>
      <c r="O457" s="52"/>
      <c r="P457" s="52"/>
      <c r="Q457" s="52"/>
      <c r="U457" s="52"/>
    </row>
    <row r="458">
      <c r="M458" s="52"/>
      <c r="N458" s="52"/>
      <c r="O458" s="52"/>
      <c r="P458" s="52"/>
      <c r="Q458" s="52"/>
      <c r="U458" s="52"/>
    </row>
    <row r="459">
      <c r="M459" s="52"/>
      <c r="N459" s="52"/>
      <c r="O459" s="52"/>
      <c r="P459" s="52"/>
      <c r="Q459" s="52"/>
      <c r="U459" s="52"/>
    </row>
    <row r="460">
      <c r="M460" s="52"/>
      <c r="N460" s="52"/>
      <c r="O460" s="52"/>
      <c r="P460" s="52"/>
      <c r="Q460" s="52"/>
      <c r="U460" s="52"/>
    </row>
    <row r="461">
      <c r="M461" s="52"/>
      <c r="N461" s="52"/>
      <c r="O461" s="52"/>
      <c r="P461" s="52"/>
      <c r="Q461" s="52"/>
      <c r="U461" s="52"/>
    </row>
    <row r="462">
      <c r="M462" s="52"/>
      <c r="N462" s="52"/>
      <c r="O462" s="52"/>
      <c r="P462" s="52"/>
      <c r="Q462" s="52"/>
      <c r="U462" s="52"/>
    </row>
    <row r="463">
      <c r="M463" s="52"/>
      <c r="N463" s="52"/>
      <c r="O463" s="52"/>
      <c r="P463" s="52"/>
      <c r="Q463" s="52"/>
      <c r="U463" s="52"/>
    </row>
    <row r="464">
      <c r="M464" s="52"/>
      <c r="N464" s="52"/>
      <c r="O464" s="52"/>
      <c r="P464" s="52"/>
      <c r="Q464" s="52"/>
      <c r="U464" s="52"/>
    </row>
    <row r="465">
      <c r="M465" s="52"/>
      <c r="N465" s="52"/>
      <c r="O465" s="52"/>
      <c r="P465" s="52"/>
      <c r="Q465" s="52"/>
      <c r="U465" s="52"/>
    </row>
    <row r="466">
      <c r="M466" s="52"/>
      <c r="N466" s="52"/>
      <c r="O466" s="52"/>
      <c r="P466" s="52"/>
      <c r="Q466" s="52"/>
      <c r="U466" s="52"/>
    </row>
    <row r="467">
      <c r="M467" s="52"/>
      <c r="N467" s="52"/>
      <c r="O467" s="52"/>
      <c r="P467" s="52"/>
      <c r="Q467" s="52"/>
      <c r="U467" s="52"/>
    </row>
    <row r="468">
      <c r="M468" s="52"/>
      <c r="N468" s="52"/>
      <c r="O468" s="52"/>
      <c r="P468" s="52"/>
      <c r="Q468" s="52"/>
      <c r="U468" s="52"/>
    </row>
    <row r="469">
      <c r="M469" s="52"/>
      <c r="N469" s="52"/>
      <c r="O469" s="52"/>
      <c r="P469" s="52"/>
      <c r="Q469" s="52"/>
      <c r="U469" s="52"/>
    </row>
    <row r="470">
      <c r="M470" s="52"/>
      <c r="N470" s="52"/>
      <c r="O470" s="52"/>
      <c r="P470" s="52"/>
      <c r="Q470" s="52"/>
      <c r="U470" s="52"/>
    </row>
    <row r="471">
      <c r="M471" s="52"/>
      <c r="N471" s="52"/>
      <c r="O471" s="52"/>
      <c r="P471" s="52"/>
      <c r="Q471" s="52"/>
      <c r="U471" s="52"/>
    </row>
    <row r="472">
      <c r="M472" s="52"/>
      <c r="N472" s="52"/>
      <c r="O472" s="52"/>
      <c r="P472" s="52"/>
      <c r="Q472" s="52"/>
      <c r="U472" s="52"/>
    </row>
    <row r="473">
      <c r="M473" s="52"/>
      <c r="N473" s="52"/>
      <c r="O473" s="52"/>
      <c r="P473" s="52"/>
      <c r="Q473" s="52"/>
      <c r="U473" s="52"/>
    </row>
    <row r="474">
      <c r="M474" s="52"/>
      <c r="N474" s="52"/>
      <c r="O474" s="52"/>
      <c r="P474" s="52"/>
      <c r="Q474" s="52"/>
      <c r="U474" s="52"/>
    </row>
    <row r="475">
      <c r="M475" s="52"/>
      <c r="N475" s="52"/>
      <c r="O475" s="52"/>
      <c r="P475" s="52"/>
      <c r="Q475" s="52"/>
      <c r="U475" s="52"/>
    </row>
    <row r="476">
      <c r="M476" s="52"/>
      <c r="N476" s="52"/>
      <c r="O476" s="52"/>
      <c r="P476" s="52"/>
      <c r="Q476" s="52"/>
      <c r="U476" s="52"/>
    </row>
    <row r="477">
      <c r="M477" s="52"/>
      <c r="N477" s="52"/>
      <c r="O477" s="52"/>
      <c r="P477" s="52"/>
      <c r="Q477" s="52"/>
      <c r="U477" s="52"/>
    </row>
    <row r="478">
      <c r="M478" s="52"/>
      <c r="N478" s="52"/>
      <c r="O478" s="52"/>
      <c r="P478" s="52"/>
      <c r="Q478" s="52"/>
      <c r="U478" s="52"/>
    </row>
    <row r="479">
      <c r="M479" s="52"/>
      <c r="N479" s="52"/>
      <c r="O479" s="52"/>
      <c r="P479" s="52"/>
      <c r="Q479" s="52"/>
      <c r="U479" s="52"/>
    </row>
    <row r="480">
      <c r="M480" s="52"/>
      <c r="N480" s="52"/>
      <c r="O480" s="52"/>
      <c r="P480" s="52"/>
      <c r="Q480" s="52"/>
      <c r="U480" s="52"/>
    </row>
    <row r="481">
      <c r="M481" s="52"/>
      <c r="N481" s="52"/>
      <c r="O481" s="52"/>
      <c r="P481" s="52"/>
      <c r="Q481" s="52"/>
      <c r="U481" s="52"/>
    </row>
    <row r="482">
      <c r="M482" s="52"/>
      <c r="N482" s="52"/>
      <c r="O482" s="52"/>
      <c r="P482" s="52"/>
      <c r="Q482" s="52"/>
      <c r="U482" s="52"/>
    </row>
    <row r="483">
      <c r="M483" s="52"/>
      <c r="N483" s="52"/>
      <c r="O483" s="52"/>
      <c r="P483" s="52"/>
      <c r="Q483" s="52"/>
      <c r="U483" s="52"/>
    </row>
    <row r="484">
      <c r="M484" s="52"/>
      <c r="N484" s="52"/>
      <c r="O484" s="52"/>
      <c r="P484" s="52"/>
      <c r="Q484" s="52"/>
      <c r="U484" s="52"/>
    </row>
    <row r="485">
      <c r="M485" s="52"/>
      <c r="N485" s="52"/>
      <c r="O485" s="52"/>
      <c r="P485" s="52"/>
      <c r="Q485" s="52"/>
      <c r="U485" s="52"/>
    </row>
    <row r="486">
      <c r="M486" s="52"/>
      <c r="N486" s="52"/>
      <c r="O486" s="52"/>
      <c r="P486" s="52"/>
      <c r="Q486" s="52"/>
      <c r="U486" s="52"/>
    </row>
    <row r="487">
      <c r="M487" s="52"/>
      <c r="N487" s="52"/>
      <c r="O487" s="52"/>
      <c r="P487" s="52"/>
      <c r="Q487" s="52"/>
      <c r="U487" s="52"/>
    </row>
    <row r="488">
      <c r="M488" s="52"/>
      <c r="N488" s="52"/>
      <c r="O488" s="52"/>
      <c r="P488" s="52"/>
      <c r="Q488" s="52"/>
      <c r="U488" s="52"/>
    </row>
    <row r="489">
      <c r="M489" s="52"/>
      <c r="N489" s="52"/>
      <c r="O489" s="52"/>
      <c r="P489" s="52"/>
      <c r="Q489" s="52"/>
      <c r="U489" s="52"/>
    </row>
    <row r="490">
      <c r="M490" s="52"/>
      <c r="N490" s="52"/>
      <c r="O490" s="52"/>
      <c r="P490" s="52"/>
      <c r="Q490" s="52"/>
      <c r="U490" s="52"/>
    </row>
    <row r="491">
      <c r="M491" s="52"/>
      <c r="N491" s="52"/>
      <c r="O491" s="52"/>
      <c r="P491" s="52"/>
      <c r="Q491" s="52"/>
      <c r="U491" s="52"/>
    </row>
    <row r="492">
      <c r="M492" s="52"/>
      <c r="N492" s="52"/>
      <c r="O492" s="52"/>
      <c r="P492" s="52"/>
      <c r="Q492" s="52"/>
      <c r="U492" s="52"/>
    </row>
    <row r="493">
      <c r="M493" s="52"/>
      <c r="N493" s="52"/>
      <c r="O493" s="52"/>
      <c r="P493" s="52"/>
      <c r="Q493" s="52"/>
      <c r="U493" s="52"/>
    </row>
    <row r="494">
      <c r="M494" s="52"/>
      <c r="N494" s="52"/>
      <c r="O494" s="52"/>
      <c r="P494" s="52"/>
      <c r="Q494" s="52"/>
      <c r="U494" s="52"/>
    </row>
    <row r="495">
      <c r="M495" s="52"/>
      <c r="N495" s="52"/>
      <c r="O495" s="52"/>
      <c r="P495" s="52"/>
      <c r="Q495" s="52"/>
      <c r="U495" s="52"/>
    </row>
    <row r="496">
      <c r="M496" s="52"/>
      <c r="N496" s="52"/>
      <c r="O496" s="52"/>
      <c r="P496" s="52"/>
      <c r="Q496" s="52"/>
      <c r="U496" s="52"/>
    </row>
    <row r="497">
      <c r="M497" s="52"/>
      <c r="N497" s="52"/>
      <c r="O497" s="52"/>
      <c r="P497" s="52"/>
      <c r="Q497" s="52"/>
      <c r="U497" s="52"/>
    </row>
    <row r="498">
      <c r="M498" s="52"/>
      <c r="N498" s="52"/>
      <c r="O498" s="52"/>
      <c r="P498" s="52"/>
      <c r="Q498" s="52"/>
      <c r="U498" s="52"/>
    </row>
    <row r="499">
      <c r="M499" s="52"/>
      <c r="N499" s="52"/>
      <c r="O499" s="52"/>
      <c r="P499" s="52"/>
      <c r="Q499" s="52"/>
      <c r="U499" s="52"/>
    </row>
    <row r="500">
      <c r="M500" s="52"/>
      <c r="N500" s="52"/>
      <c r="O500" s="52"/>
      <c r="P500" s="52"/>
      <c r="Q500" s="52"/>
      <c r="U500" s="52"/>
    </row>
    <row r="501">
      <c r="M501" s="52"/>
      <c r="N501" s="52"/>
      <c r="O501" s="52"/>
      <c r="P501" s="52"/>
      <c r="Q501" s="52"/>
      <c r="U501" s="52"/>
    </row>
    <row r="502">
      <c r="M502" s="52"/>
      <c r="N502" s="52"/>
      <c r="O502" s="52"/>
      <c r="P502" s="52"/>
      <c r="Q502" s="52"/>
      <c r="U502" s="52"/>
    </row>
    <row r="503">
      <c r="M503" s="52"/>
      <c r="N503" s="52"/>
      <c r="O503" s="52"/>
      <c r="P503" s="52"/>
      <c r="Q503" s="52"/>
      <c r="U503" s="52"/>
    </row>
    <row r="504">
      <c r="M504" s="52"/>
      <c r="N504" s="52"/>
      <c r="O504" s="52"/>
      <c r="P504" s="52"/>
      <c r="Q504" s="52"/>
      <c r="U504" s="52"/>
    </row>
    <row r="505">
      <c r="M505" s="52"/>
      <c r="N505" s="52"/>
      <c r="O505" s="52"/>
      <c r="P505" s="52"/>
      <c r="Q505" s="52"/>
      <c r="U505" s="52"/>
    </row>
    <row r="506">
      <c r="M506" s="52"/>
      <c r="N506" s="52"/>
      <c r="O506" s="52"/>
      <c r="P506" s="52"/>
      <c r="Q506" s="52"/>
      <c r="U506" s="52"/>
    </row>
    <row r="507">
      <c r="M507" s="52"/>
      <c r="N507" s="52"/>
      <c r="O507" s="52"/>
      <c r="P507" s="52"/>
      <c r="Q507" s="52"/>
      <c r="U507" s="52"/>
    </row>
    <row r="508">
      <c r="M508" s="52"/>
      <c r="N508" s="52"/>
      <c r="O508" s="52"/>
      <c r="P508" s="52"/>
      <c r="Q508" s="52"/>
      <c r="U508" s="52"/>
    </row>
    <row r="509">
      <c r="M509" s="52"/>
      <c r="N509" s="52"/>
      <c r="O509" s="52"/>
      <c r="P509" s="52"/>
      <c r="Q509" s="52"/>
      <c r="U509" s="52"/>
    </row>
    <row r="510">
      <c r="M510" s="52"/>
      <c r="N510" s="52"/>
      <c r="O510" s="52"/>
      <c r="P510" s="52"/>
      <c r="Q510" s="52"/>
      <c r="U510" s="52"/>
    </row>
    <row r="511">
      <c r="M511" s="52"/>
      <c r="N511" s="52"/>
      <c r="O511" s="52"/>
      <c r="P511" s="52"/>
      <c r="Q511" s="52"/>
      <c r="U511" s="52"/>
    </row>
    <row r="512">
      <c r="M512" s="52"/>
      <c r="N512" s="52"/>
      <c r="O512" s="52"/>
      <c r="P512" s="52"/>
      <c r="Q512" s="52"/>
      <c r="U512" s="52"/>
    </row>
    <row r="513">
      <c r="M513" s="52"/>
      <c r="N513" s="52"/>
      <c r="O513" s="52"/>
      <c r="P513" s="52"/>
      <c r="Q513" s="52"/>
      <c r="U513" s="52"/>
    </row>
    <row r="514">
      <c r="M514" s="52"/>
      <c r="N514" s="52"/>
      <c r="O514" s="52"/>
      <c r="P514" s="52"/>
      <c r="Q514" s="52"/>
      <c r="U514" s="52"/>
    </row>
    <row r="515">
      <c r="M515" s="52"/>
      <c r="N515" s="52"/>
      <c r="O515" s="52"/>
      <c r="P515" s="52"/>
      <c r="Q515" s="52"/>
      <c r="U515" s="52"/>
    </row>
    <row r="516">
      <c r="M516" s="52"/>
      <c r="N516" s="52"/>
      <c r="O516" s="52"/>
      <c r="P516" s="52"/>
      <c r="Q516" s="52"/>
      <c r="U516" s="52"/>
    </row>
    <row r="517">
      <c r="M517" s="52"/>
      <c r="N517" s="52"/>
      <c r="O517" s="52"/>
      <c r="P517" s="52"/>
      <c r="Q517" s="52"/>
      <c r="U517" s="52"/>
    </row>
    <row r="518">
      <c r="M518" s="52"/>
      <c r="N518" s="52"/>
      <c r="O518" s="52"/>
      <c r="P518" s="52"/>
      <c r="Q518" s="52"/>
      <c r="U518" s="52"/>
    </row>
    <row r="519">
      <c r="M519" s="52"/>
      <c r="N519" s="52"/>
      <c r="O519" s="52"/>
      <c r="P519" s="52"/>
      <c r="Q519" s="52"/>
      <c r="U519" s="52"/>
    </row>
    <row r="520">
      <c r="M520" s="52"/>
      <c r="N520" s="52"/>
      <c r="O520" s="52"/>
      <c r="P520" s="52"/>
      <c r="Q520" s="52"/>
      <c r="U520" s="52"/>
    </row>
    <row r="521">
      <c r="M521" s="52"/>
      <c r="N521" s="52"/>
      <c r="O521" s="52"/>
      <c r="P521" s="52"/>
      <c r="Q521" s="52"/>
      <c r="U521" s="52"/>
    </row>
    <row r="522">
      <c r="M522" s="52"/>
      <c r="N522" s="52"/>
      <c r="O522" s="52"/>
      <c r="P522" s="52"/>
      <c r="Q522" s="52"/>
      <c r="U522" s="52"/>
    </row>
    <row r="523">
      <c r="M523" s="52"/>
      <c r="N523" s="52"/>
      <c r="O523" s="52"/>
      <c r="P523" s="52"/>
      <c r="Q523" s="52"/>
      <c r="U523" s="52"/>
    </row>
    <row r="524">
      <c r="M524" s="52"/>
      <c r="N524" s="52"/>
      <c r="O524" s="52"/>
      <c r="P524" s="52"/>
      <c r="Q524" s="52"/>
      <c r="U524" s="52"/>
    </row>
    <row r="525">
      <c r="M525" s="52"/>
      <c r="N525" s="52"/>
      <c r="O525" s="52"/>
      <c r="P525" s="52"/>
      <c r="Q525" s="52"/>
      <c r="U525" s="52"/>
    </row>
    <row r="526">
      <c r="M526" s="52"/>
      <c r="N526" s="52"/>
      <c r="O526" s="52"/>
      <c r="P526" s="52"/>
      <c r="Q526" s="52"/>
      <c r="U526" s="52"/>
    </row>
    <row r="527">
      <c r="M527" s="52"/>
      <c r="N527" s="52"/>
      <c r="O527" s="52"/>
      <c r="P527" s="52"/>
      <c r="Q527" s="52"/>
      <c r="U527" s="52"/>
    </row>
    <row r="528">
      <c r="M528" s="52"/>
      <c r="N528" s="52"/>
      <c r="O528" s="52"/>
      <c r="P528" s="52"/>
      <c r="Q528" s="52"/>
      <c r="U528" s="52"/>
    </row>
    <row r="529">
      <c r="M529" s="52"/>
      <c r="N529" s="52"/>
      <c r="O529" s="52"/>
      <c r="P529" s="52"/>
      <c r="Q529" s="52"/>
      <c r="U529" s="52"/>
    </row>
    <row r="530">
      <c r="M530" s="52"/>
      <c r="N530" s="52"/>
      <c r="O530" s="52"/>
      <c r="P530" s="52"/>
      <c r="Q530" s="52"/>
      <c r="U530" s="52"/>
    </row>
    <row r="531">
      <c r="M531" s="52"/>
      <c r="N531" s="52"/>
      <c r="O531" s="52"/>
      <c r="P531" s="52"/>
      <c r="Q531" s="52"/>
      <c r="U531" s="52"/>
    </row>
    <row r="532">
      <c r="M532" s="52"/>
      <c r="N532" s="52"/>
      <c r="O532" s="52"/>
      <c r="P532" s="52"/>
      <c r="Q532" s="52"/>
      <c r="U532" s="52"/>
    </row>
    <row r="533">
      <c r="M533" s="52"/>
      <c r="N533" s="52"/>
      <c r="O533" s="52"/>
      <c r="P533" s="52"/>
      <c r="Q533" s="52"/>
      <c r="U533" s="52"/>
    </row>
    <row r="534">
      <c r="M534" s="52"/>
      <c r="N534" s="52"/>
      <c r="O534" s="52"/>
      <c r="P534" s="52"/>
      <c r="Q534" s="52"/>
      <c r="U534" s="52"/>
    </row>
    <row r="535">
      <c r="M535" s="52"/>
      <c r="N535" s="52"/>
      <c r="O535" s="52"/>
      <c r="P535" s="52"/>
      <c r="Q535" s="52"/>
      <c r="U535" s="52"/>
    </row>
    <row r="536">
      <c r="M536" s="52"/>
      <c r="N536" s="52"/>
      <c r="O536" s="52"/>
      <c r="P536" s="52"/>
      <c r="Q536" s="52"/>
      <c r="U536" s="52"/>
    </row>
    <row r="537">
      <c r="M537" s="52"/>
      <c r="N537" s="52"/>
      <c r="O537" s="52"/>
      <c r="P537" s="52"/>
      <c r="Q537" s="52"/>
      <c r="U537" s="52"/>
    </row>
    <row r="538">
      <c r="M538" s="52"/>
      <c r="N538" s="52"/>
      <c r="O538" s="52"/>
      <c r="P538" s="52"/>
      <c r="Q538" s="52"/>
      <c r="U538" s="52"/>
    </row>
    <row r="539">
      <c r="M539" s="52"/>
      <c r="N539" s="52"/>
      <c r="O539" s="52"/>
      <c r="P539" s="52"/>
      <c r="Q539" s="52"/>
      <c r="U539" s="52"/>
    </row>
    <row r="540">
      <c r="M540" s="52"/>
      <c r="N540" s="52"/>
      <c r="O540" s="52"/>
      <c r="P540" s="52"/>
      <c r="Q540" s="52"/>
      <c r="U540" s="52"/>
    </row>
    <row r="541">
      <c r="M541" s="52"/>
      <c r="N541" s="52"/>
      <c r="O541" s="52"/>
      <c r="P541" s="52"/>
      <c r="Q541" s="52"/>
      <c r="U541" s="52"/>
    </row>
    <row r="542">
      <c r="M542" s="52"/>
      <c r="N542" s="52"/>
      <c r="O542" s="52"/>
      <c r="P542" s="52"/>
      <c r="Q542" s="52"/>
      <c r="U542" s="52"/>
    </row>
    <row r="543">
      <c r="M543" s="52"/>
      <c r="N543" s="52"/>
      <c r="O543" s="52"/>
      <c r="P543" s="52"/>
      <c r="Q543" s="52"/>
      <c r="U543" s="52"/>
    </row>
    <row r="544">
      <c r="M544" s="52"/>
      <c r="N544" s="52"/>
      <c r="O544" s="52"/>
      <c r="P544" s="52"/>
      <c r="Q544" s="52"/>
      <c r="U544" s="52"/>
    </row>
    <row r="545">
      <c r="M545" s="52"/>
      <c r="N545" s="52"/>
      <c r="O545" s="52"/>
      <c r="P545" s="52"/>
      <c r="Q545" s="52"/>
      <c r="U545" s="52"/>
    </row>
    <row r="546">
      <c r="M546" s="52"/>
      <c r="N546" s="52"/>
      <c r="O546" s="52"/>
      <c r="P546" s="52"/>
      <c r="Q546" s="52"/>
      <c r="U546" s="52"/>
    </row>
    <row r="547">
      <c r="M547" s="52"/>
      <c r="N547" s="52"/>
      <c r="O547" s="52"/>
      <c r="P547" s="52"/>
      <c r="Q547" s="52"/>
      <c r="U547" s="52"/>
    </row>
    <row r="548">
      <c r="M548" s="52"/>
      <c r="N548" s="52"/>
      <c r="O548" s="52"/>
      <c r="P548" s="52"/>
      <c r="Q548" s="52"/>
      <c r="U548" s="52"/>
    </row>
    <row r="549">
      <c r="M549" s="52"/>
      <c r="N549" s="52"/>
      <c r="O549" s="52"/>
      <c r="P549" s="52"/>
      <c r="Q549" s="52"/>
      <c r="U549" s="52"/>
    </row>
    <row r="550">
      <c r="M550" s="52"/>
      <c r="N550" s="52"/>
      <c r="O550" s="52"/>
      <c r="P550" s="52"/>
      <c r="Q550" s="52"/>
      <c r="U550" s="52"/>
    </row>
    <row r="551">
      <c r="M551" s="52"/>
      <c r="N551" s="52"/>
      <c r="O551" s="52"/>
      <c r="P551" s="52"/>
      <c r="Q551" s="52"/>
      <c r="U551" s="52"/>
    </row>
    <row r="552">
      <c r="M552" s="52"/>
      <c r="N552" s="52"/>
      <c r="O552" s="52"/>
      <c r="P552" s="52"/>
      <c r="Q552" s="52"/>
      <c r="U552" s="52"/>
    </row>
    <row r="553">
      <c r="M553" s="52"/>
      <c r="N553" s="52"/>
      <c r="O553" s="52"/>
      <c r="P553" s="52"/>
      <c r="Q553" s="52"/>
      <c r="U553" s="52"/>
    </row>
    <row r="554">
      <c r="M554" s="52"/>
      <c r="N554" s="52"/>
      <c r="O554" s="52"/>
      <c r="P554" s="52"/>
      <c r="Q554" s="52"/>
      <c r="U554" s="52"/>
    </row>
    <row r="555">
      <c r="M555" s="52"/>
      <c r="N555" s="52"/>
      <c r="O555" s="52"/>
      <c r="P555" s="52"/>
      <c r="Q555" s="52"/>
      <c r="U555" s="52"/>
    </row>
    <row r="556">
      <c r="M556" s="52"/>
      <c r="N556" s="52"/>
      <c r="O556" s="52"/>
      <c r="P556" s="52"/>
      <c r="Q556" s="52"/>
      <c r="U556" s="52"/>
    </row>
    <row r="557">
      <c r="M557" s="52"/>
      <c r="N557" s="52"/>
      <c r="O557" s="52"/>
      <c r="P557" s="52"/>
      <c r="Q557" s="52"/>
      <c r="U557" s="52"/>
    </row>
    <row r="558">
      <c r="M558" s="52"/>
      <c r="N558" s="52"/>
      <c r="O558" s="52"/>
      <c r="P558" s="52"/>
      <c r="Q558" s="52"/>
      <c r="U558" s="52"/>
    </row>
    <row r="559">
      <c r="M559" s="52"/>
      <c r="N559" s="52"/>
      <c r="O559" s="52"/>
      <c r="P559" s="52"/>
      <c r="Q559" s="52"/>
      <c r="U559" s="52"/>
    </row>
    <row r="560">
      <c r="M560" s="52"/>
      <c r="N560" s="52"/>
      <c r="O560" s="52"/>
      <c r="P560" s="52"/>
      <c r="Q560" s="52"/>
      <c r="U560" s="52"/>
    </row>
    <row r="561">
      <c r="M561" s="52"/>
      <c r="N561" s="52"/>
      <c r="O561" s="52"/>
      <c r="P561" s="52"/>
      <c r="Q561" s="52"/>
      <c r="U561" s="52"/>
    </row>
    <row r="562">
      <c r="M562" s="52"/>
      <c r="N562" s="52"/>
      <c r="O562" s="52"/>
      <c r="P562" s="52"/>
      <c r="Q562" s="52"/>
      <c r="U562" s="52"/>
    </row>
    <row r="563">
      <c r="M563" s="52"/>
      <c r="N563" s="52"/>
      <c r="O563" s="52"/>
      <c r="P563" s="52"/>
      <c r="Q563" s="52"/>
      <c r="U563" s="52"/>
    </row>
    <row r="564">
      <c r="M564" s="52"/>
      <c r="N564" s="52"/>
      <c r="O564" s="52"/>
      <c r="P564" s="52"/>
      <c r="Q564" s="52"/>
      <c r="U564" s="52"/>
    </row>
    <row r="565">
      <c r="M565" s="52"/>
      <c r="N565" s="52"/>
      <c r="O565" s="52"/>
      <c r="P565" s="52"/>
      <c r="Q565" s="52"/>
      <c r="U565" s="52"/>
    </row>
    <row r="566">
      <c r="M566" s="52"/>
      <c r="N566" s="52"/>
      <c r="O566" s="52"/>
      <c r="P566" s="52"/>
      <c r="Q566" s="52"/>
      <c r="U566" s="52"/>
    </row>
    <row r="567">
      <c r="M567" s="52"/>
      <c r="N567" s="52"/>
      <c r="O567" s="52"/>
      <c r="P567" s="52"/>
      <c r="Q567" s="52"/>
      <c r="U567" s="52"/>
    </row>
    <row r="568">
      <c r="M568" s="52"/>
      <c r="N568" s="52"/>
      <c r="O568" s="52"/>
      <c r="P568" s="52"/>
      <c r="Q568" s="52"/>
      <c r="U568" s="52"/>
    </row>
    <row r="569">
      <c r="M569" s="52"/>
      <c r="N569" s="52"/>
      <c r="O569" s="52"/>
      <c r="P569" s="52"/>
      <c r="Q569" s="52"/>
      <c r="U569" s="52"/>
    </row>
    <row r="570">
      <c r="M570" s="52"/>
      <c r="N570" s="52"/>
      <c r="O570" s="52"/>
      <c r="P570" s="52"/>
      <c r="Q570" s="52"/>
      <c r="U570" s="52"/>
    </row>
    <row r="571">
      <c r="M571" s="52"/>
      <c r="N571" s="52"/>
      <c r="O571" s="52"/>
      <c r="P571" s="52"/>
      <c r="Q571" s="52"/>
      <c r="U571" s="52"/>
    </row>
    <row r="572">
      <c r="M572" s="52"/>
      <c r="N572" s="52"/>
      <c r="O572" s="52"/>
      <c r="P572" s="52"/>
      <c r="Q572" s="52"/>
      <c r="U572" s="52"/>
    </row>
    <row r="573">
      <c r="M573" s="52"/>
      <c r="N573" s="52"/>
      <c r="O573" s="52"/>
      <c r="P573" s="52"/>
      <c r="Q573" s="52"/>
      <c r="U573" s="52"/>
    </row>
    <row r="574">
      <c r="M574" s="52"/>
      <c r="N574" s="52"/>
      <c r="O574" s="52"/>
      <c r="P574" s="52"/>
      <c r="Q574" s="52"/>
      <c r="U574" s="52"/>
    </row>
    <row r="575">
      <c r="M575" s="52"/>
      <c r="N575" s="52"/>
      <c r="O575" s="52"/>
      <c r="P575" s="52"/>
      <c r="Q575" s="52"/>
      <c r="U575" s="52"/>
    </row>
    <row r="576">
      <c r="M576" s="52"/>
      <c r="N576" s="52"/>
      <c r="O576" s="52"/>
      <c r="P576" s="52"/>
      <c r="Q576" s="52"/>
      <c r="U576" s="52"/>
    </row>
    <row r="577">
      <c r="M577" s="52"/>
      <c r="N577" s="52"/>
      <c r="O577" s="52"/>
      <c r="P577" s="52"/>
      <c r="Q577" s="52"/>
      <c r="U577" s="52"/>
    </row>
    <row r="578">
      <c r="M578" s="52"/>
      <c r="N578" s="52"/>
      <c r="O578" s="52"/>
      <c r="P578" s="52"/>
      <c r="Q578" s="52"/>
      <c r="U578" s="52"/>
    </row>
    <row r="579">
      <c r="M579" s="52"/>
      <c r="N579" s="52"/>
      <c r="O579" s="52"/>
      <c r="P579" s="52"/>
      <c r="Q579" s="52"/>
      <c r="U579" s="52"/>
    </row>
    <row r="580">
      <c r="M580" s="52"/>
      <c r="N580" s="52"/>
      <c r="O580" s="52"/>
      <c r="P580" s="52"/>
      <c r="Q580" s="52"/>
      <c r="U580" s="52"/>
    </row>
    <row r="581">
      <c r="M581" s="52"/>
      <c r="N581" s="52"/>
      <c r="O581" s="52"/>
      <c r="P581" s="52"/>
      <c r="Q581" s="52"/>
      <c r="U581" s="52"/>
    </row>
    <row r="582">
      <c r="M582" s="52"/>
      <c r="N582" s="52"/>
      <c r="O582" s="52"/>
      <c r="P582" s="52"/>
      <c r="Q582" s="52"/>
      <c r="U582" s="52"/>
    </row>
    <row r="583">
      <c r="M583" s="52"/>
      <c r="N583" s="52"/>
      <c r="O583" s="52"/>
      <c r="P583" s="52"/>
      <c r="Q583" s="52"/>
      <c r="U583" s="52"/>
    </row>
    <row r="584">
      <c r="M584" s="52"/>
      <c r="N584" s="52"/>
      <c r="O584" s="52"/>
      <c r="P584" s="52"/>
      <c r="Q584" s="52"/>
      <c r="U584" s="52"/>
    </row>
    <row r="585">
      <c r="M585" s="52"/>
      <c r="N585" s="52"/>
      <c r="O585" s="52"/>
      <c r="P585" s="52"/>
      <c r="Q585" s="52"/>
      <c r="U585" s="52"/>
    </row>
    <row r="586">
      <c r="M586" s="52"/>
      <c r="N586" s="52"/>
      <c r="O586" s="52"/>
      <c r="P586" s="52"/>
      <c r="Q586" s="52"/>
      <c r="U586" s="52"/>
    </row>
    <row r="587">
      <c r="M587" s="52"/>
      <c r="N587" s="52"/>
      <c r="O587" s="52"/>
      <c r="P587" s="52"/>
      <c r="Q587" s="52"/>
      <c r="U587" s="52"/>
    </row>
    <row r="588">
      <c r="M588" s="52"/>
      <c r="N588" s="52"/>
      <c r="O588" s="52"/>
      <c r="P588" s="52"/>
      <c r="Q588" s="52"/>
      <c r="U588" s="52"/>
    </row>
    <row r="589">
      <c r="M589" s="52"/>
      <c r="N589" s="52"/>
      <c r="O589" s="52"/>
      <c r="P589" s="52"/>
      <c r="Q589" s="52"/>
      <c r="U589" s="52"/>
    </row>
    <row r="590">
      <c r="M590" s="52"/>
      <c r="N590" s="52"/>
      <c r="O590" s="52"/>
      <c r="P590" s="52"/>
      <c r="Q590" s="52"/>
      <c r="U590" s="52"/>
    </row>
    <row r="591">
      <c r="M591" s="52"/>
      <c r="N591" s="52"/>
      <c r="O591" s="52"/>
      <c r="P591" s="52"/>
      <c r="Q591" s="52"/>
      <c r="U591" s="52"/>
    </row>
    <row r="592">
      <c r="M592" s="52"/>
      <c r="N592" s="52"/>
      <c r="O592" s="52"/>
      <c r="P592" s="52"/>
      <c r="Q592" s="52"/>
      <c r="U592" s="52"/>
    </row>
    <row r="593">
      <c r="M593" s="52"/>
      <c r="N593" s="52"/>
      <c r="O593" s="52"/>
      <c r="P593" s="52"/>
      <c r="Q593" s="52"/>
      <c r="U593" s="52"/>
    </row>
    <row r="594">
      <c r="M594" s="52"/>
      <c r="N594" s="52"/>
      <c r="O594" s="52"/>
      <c r="P594" s="52"/>
      <c r="Q594" s="52"/>
      <c r="U594" s="52"/>
    </row>
    <row r="595">
      <c r="M595" s="52"/>
      <c r="N595" s="52"/>
      <c r="O595" s="52"/>
      <c r="P595" s="52"/>
      <c r="Q595" s="52"/>
      <c r="U595" s="52"/>
    </row>
    <row r="596">
      <c r="M596" s="52"/>
      <c r="N596" s="52"/>
      <c r="O596" s="52"/>
      <c r="P596" s="52"/>
      <c r="Q596" s="52"/>
      <c r="U596" s="52"/>
    </row>
    <row r="597">
      <c r="M597" s="52"/>
      <c r="N597" s="52"/>
      <c r="O597" s="52"/>
      <c r="P597" s="52"/>
      <c r="Q597" s="52"/>
      <c r="U597" s="52"/>
    </row>
    <row r="598">
      <c r="M598" s="52"/>
      <c r="N598" s="52"/>
      <c r="O598" s="52"/>
      <c r="P598" s="52"/>
      <c r="Q598" s="52"/>
      <c r="U598" s="52"/>
    </row>
    <row r="599">
      <c r="M599" s="52"/>
      <c r="N599" s="52"/>
      <c r="O599" s="52"/>
      <c r="P599" s="52"/>
      <c r="Q599" s="52"/>
      <c r="U599" s="52"/>
    </row>
    <row r="600">
      <c r="M600" s="52"/>
      <c r="N600" s="52"/>
      <c r="O600" s="52"/>
      <c r="P600" s="52"/>
      <c r="Q600" s="52"/>
      <c r="U600" s="52"/>
    </row>
    <row r="601">
      <c r="M601" s="52"/>
      <c r="N601" s="52"/>
      <c r="O601" s="52"/>
      <c r="P601" s="52"/>
      <c r="Q601" s="52"/>
      <c r="U601" s="52"/>
    </row>
    <row r="602">
      <c r="M602" s="52"/>
      <c r="N602" s="52"/>
      <c r="O602" s="52"/>
      <c r="P602" s="52"/>
      <c r="Q602" s="52"/>
      <c r="U602" s="52"/>
    </row>
    <row r="603">
      <c r="M603" s="52"/>
      <c r="N603" s="52"/>
      <c r="O603" s="52"/>
      <c r="P603" s="52"/>
      <c r="Q603" s="52"/>
      <c r="U603" s="52"/>
    </row>
    <row r="604">
      <c r="M604" s="52"/>
      <c r="N604" s="52"/>
      <c r="O604" s="52"/>
      <c r="P604" s="52"/>
      <c r="Q604" s="52"/>
      <c r="U604" s="52"/>
    </row>
    <row r="605">
      <c r="M605" s="52"/>
      <c r="N605" s="52"/>
      <c r="O605" s="52"/>
      <c r="P605" s="52"/>
      <c r="Q605" s="52"/>
      <c r="U605" s="52"/>
    </row>
    <row r="606">
      <c r="M606" s="52"/>
      <c r="N606" s="52"/>
      <c r="O606" s="52"/>
      <c r="P606" s="52"/>
      <c r="Q606" s="52"/>
      <c r="U606" s="52"/>
    </row>
    <row r="607">
      <c r="M607" s="52"/>
      <c r="N607" s="52"/>
      <c r="O607" s="52"/>
      <c r="P607" s="52"/>
      <c r="Q607" s="52"/>
      <c r="U607" s="52"/>
    </row>
    <row r="608">
      <c r="M608" s="52"/>
      <c r="N608" s="52"/>
      <c r="O608" s="52"/>
      <c r="P608" s="52"/>
      <c r="Q608" s="52"/>
      <c r="U608" s="52"/>
    </row>
    <row r="609">
      <c r="M609" s="52"/>
      <c r="N609" s="52"/>
      <c r="O609" s="52"/>
      <c r="P609" s="52"/>
      <c r="Q609" s="52"/>
      <c r="U609" s="52"/>
    </row>
    <row r="610">
      <c r="M610" s="52"/>
      <c r="N610" s="52"/>
      <c r="O610" s="52"/>
      <c r="P610" s="52"/>
      <c r="Q610" s="52"/>
      <c r="U610" s="52"/>
    </row>
    <row r="611">
      <c r="M611" s="52"/>
      <c r="N611" s="52"/>
      <c r="O611" s="52"/>
      <c r="P611" s="52"/>
      <c r="Q611" s="52"/>
      <c r="U611" s="52"/>
    </row>
    <row r="612">
      <c r="M612" s="52"/>
      <c r="N612" s="52"/>
      <c r="O612" s="52"/>
      <c r="P612" s="52"/>
      <c r="Q612" s="52"/>
      <c r="U612" s="52"/>
    </row>
    <row r="613">
      <c r="M613" s="52"/>
      <c r="N613" s="52"/>
      <c r="O613" s="52"/>
      <c r="P613" s="52"/>
      <c r="Q613" s="52"/>
      <c r="U613" s="52"/>
    </row>
    <row r="614">
      <c r="M614" s="52"/>
      <c r="N614" s="52"/>
      <c r="O614" s="52"/>
      <c r="P614" s="52"/>
      <c r="Q614" s="52"/>
      <c r="U614" s="52"/>
    </row>
    <row r="615">
      <c r="M615" s="52"/>
      <c r="N615" s="52"/>
      <c r="O615" s="52"/>
      <c r="P615" s="52"/>
      <c r="Q615" s="52"/>
      <c r="U615" s="52"/>
    </row>
    <row r="616">
      <c r="M616" s="52"/>
      <c r="N616" s="52"/>
      <c r="O616" s="52"/>
      <c r="P616" s="52"/>
      <c r="Q616" s="52"/>
      <c r="U616" s="52"/>
    </row>
    <row r="617">
      <c r="M617" s="52"/>
      <c r="N617" s="52"/>
      <c r="O617" s="52"/>
      <c r="P617" s="52"/>
      <c r="Q617" s="52"/>
      <c r="U617" s="52"/>
    </row>
    <row r="618">
      <c r="M618" s="52"/>
      <c r="N618" s="52"/>
      <c r="O618" s="52"/>
      <c r="P618" s="52"/>
      <c r="Q618" s="52"/>
      <c r="U618" s="52"/>
    </row>
    <row r="619">
      <c r="M619" s="52"/>
      <c r="N619" s="52"/>
      <c r="O619" s="52"/>
      <c r="P619" s="52"/>
      <c r="Q619" s="52"/>
      <c r="U619" s="52"/>
    </row>
    <row r="620">
      <c r="M620" s="52"/>
      <c r="N620" s="52"/>
      <c r="O620" s="52"/>
      <c r="P620" s="52"/>
      <c r="Q620" s="52"/>
      <c r="U620" s="52"/>
    </row>
    <row r="621">
      <c r="M621" s="52"/>
      <c r="N621" s="52"/>
      <c r="O621" s="52"/>
      <c r="P621" s="52"/>
      <c r="Q621" s="52"/>
      <c r="U621" s="52"/>
    </row>
    <row r="622">
      <c r="M622" s="52"/>
      <c r="N622" s="52"/>
      <c r="O622" s="52"/>
      <c r="P622" s="52"/>
      <c r="Q622" s="52"/>
      <c r="U622" s="52"/>
    </row>
    <row r="623">
      <c r="M623" s="52"/>
      <c r="N623" s="52"/>
      <c r="O623" s="52"/>
      <c r="P623" s="52"/>
      <c r="Q623" s="52"/>
      <c r="U623" s="52"/>
    </row>
    <row r="624">
      <c r="M624" s="52"/>
      <c r="N624" s="52"/>
      <c r="O624" s="52"/>
      <c r="P624" s="52"/>
      <c r="Q624" s="52"/>
      <c r="U624" s="52"/>
    </row>
    <row r="625">
      <c r="M625" s="52"/>
      <c r="N625" s="52"/>
      <c r="O625" s="52"/>
      <c r="P625" s="52"/>
      <c r="Q625" s="52"/>
      <c r="U625" s="52"/>
    </row>
    <row r="626">
      <c r="M626" s="52"/>
      <c r="N626" s="52"/>
      <c r="O626" s="52"/>
      <c r="P626" s="52"/>
      <c r="Q626" s="52"/>
      <c r="U626" s="52"/>
    </row>
    <row r="627">
      <c r="M627" s="52"/>
      <c r="N627" s="52"/>
      <c r="O627" s="52"/>
      <c r="P627" s="52"/>
      <c r="Q627" s="52"/>
      <c r="U627" s="52"/>
    </row>
    <row r="628">
      <c r="M628" s="52"/>
      <c r="N628" s="52"/>
      <c r="O628" s="52"/>
      <c r="P628" s="52"/>
      <c r="Q628" s="52"/>
      <c r="U628" s="52"/>
    </row>
    <row r="629">
      <c r="M629" s="52"/>
      <c r="N629" s="52"/>
      <c r="O629" s="52"/>
      <c r="P629" s="52"/>
      <c r="Q629" s="52"/>
      <c r="U629" s="52"/>
    </row>
    <row r="630">
      <c r="M630" s="52"/>
      <c r="N630" s="52"/>
      <c r="O630" s="52"/>
      <c r="P630" s="52"/>
      <c r="Q630" s="52"/>
      <c r="U630" s="52"/>
    </row>
    <row r="631">
      <c r="M631" s="52"/>
      <c r="N631" s="52"/>
      <c r="O631" s="52"/>
      <c r="P631" s="52"/>
      <c r="Q631" s="52"/>
      <c r="U631" s="52"/>
    </row>
    <row r="632">
      <c r="M632" s="52"/>
      <c r="N632" s="52"/>
      <c r="O632" s="52"/>
      <c r="P632" s="52"/>
      <c r="Q632" s="52"/>
      <c r="U632" s="52"/>
    </row>
    <row r="633">
      <c r="M633" s="52"/>
      <c r="N633" s="52"/>
      <c r="O633" s="52"/>
      <c r="P633" s="52"/>
      <c r="Q633" s="52"/>
      <c r="U633" s="52"/>
    </row>
    <row r="634">
      <c r="M634" s="52"/>
      <c r="N634" s="52"/>
      <c r="O634" s="52"/>
      <c r="P634" s="52"/>
      <c r="Q634" s="52"/>
      <c r="U634" s="52"/>
    </row>
    <row r="635">
      <c r="M635" s="52"/>
      <c r="N635" s="52"/>
      <c r="O635" s="52"/>
      <c r="P635" s="52"/>
      <c r="Q635" s="52"/>
      <c r="U635" s="52"/>
    </row>
    <row r="636">
      <c r="M636" s="52"/>
      <c r="N636" s="52"/>
      <c r="O636" s="52"/>
      <c r="P636" s="52"/>
      <c r="Q636" s="52"/>
      <c r="U636" s="52"/>
    </row>
    <row r="637">
      <c r="M637" s="52"/>
      <c r="N637" s="52"/>
      <c r="O637" s="52"/>
      <c r="P637" s="52"/>
      <c r="Q637" s="52"/>
      <c r="U637" s="52"/>
    </row>
    <row r="638">
      <c r="M638" s="52"/>
      <c r="N638" s="52"/>
      <c r="O638" s="52"/>
      <c r="P638" s="52"/>
      <c r="Q638" s="52"/>
      <c r="U638" s="52"/>
    </row>
    <row r="639">
      <c r="M639" s="52"/>
      <c r="N639" s="52"/>
      <c r="O639" s="52"/>
      <c r="P639" s="52"/>
      <c r="Q639" s="52"/>
      <c r="U639" s="52"/>
    </row>
    <row r="640">
      <c r="M640" s="52"/>
      <c r="N640" s="52"/>
      <c r="O640" s="52"/>
      <c r="P640" s="52"/>
      <c r="Q640" s="52"/>
      <c r="U640" s="52"/>
    </row>
    <row r="641">
      <c r="M641" s="52"/>
      <c r="N641" s="52"/>
      <c r="O641" s="52"/>
      <c r="P641" s="52"/>
      <c r="Q641" s="52"/>
      <c r="U641" s="52"/>
    </row>
    <row r="642">
      <c r="M642" s="52"/>
      <c r="N642" s="52"/>
      <c r="O642" s="52"/>
      <c r="P642" s="52"/>
      <c r="Q642" s="52"/>
      <c r="U642" s="52"/>
    </row>
    <row r="643">
      <c r="M643" s="52"/>
      <c r="N643" s="52"/>
      <c r="O643" s="52"/>
      <c r="P643" s="52"/>
      <c r="Q643" s="52"/>
      <c r="U643" s="52"/>
    </row>
    <row r="644">
      <c r="M644" s="52"/>
      <c r="N644" s="52"/>
      <c r="O644" s="52"/>
      <c r="P644" s="52"/>
      <c r="Q644" s="52"/>
      <c r="U644" s="52"/>
    </row>
    <row r="645">
      <c r="M645" s="52"/>
      <c r="N645" s="52"/>
      <c r="O645" s="52"/>
      <c r="P645" s="52"/>
      <c r="Q645" s="52"/>
      <c r="U645" s="52"/>
    </row>
    <row r="646">
      <c r="M646" s="52"/>
      <c r="N646" s="52"/>
      <c r="O646" s="52"/>
      <c r="P646" s="52"/>
      <c r="Q646" s="52"/>
      <c r="U646" s="52"/>
    </row>
    <row r="647">
      <c r="M647" s="52"/>
      <c r="N647" s="52"/>
      <c r="O647" s="52"/>
      <c r="P647" s="52"/>
      <c r="Q647" s="52"/>
      <c r="U647" s="52"/>
    </row>
    <row r="648">
      <c r="M648" s="52"/>
      <c r="N648" s="52"/>
      <c r="O648" s="52"/>
      <c r="P648" s="52"/>
      <c r="Q648" s="52"/>
      <c r="U648" s="52"/>
    </row>
    <row r="649">
      <c r="M649" s="52"/>
      <c r="N649" s="52"/>
      <c r="O649" s="52"/>
      <c r="P649" s="52"/>
      <c r="Q649" s="52"/>
      <c r="U649" s="52"/>
    </row>
    <row r="650">
      <c r="M650" s="52"/>
      <c r="N650" s="52"/>
      <c r="O650" s="52"/>
      <c r="P650" s="52"/>
      <c r="Q650" s="52"/>
      <c r="U650" s="52"/>
    </row>
    <row r="651">
      <c r="M651" s="52"/>
      <c r="N651" s="52"/>
      <c r="O651" s="52"/>
      <c r="P651" s="52"/>
      <c r="Q651" s="52"/>
      <c r="U651" s="52"/>
    </row>
    <row r="652">
      <c r="M652" s="52"/>
      <c r="N652" s="52"/>
      <c r="O652" s="52"/>
      <c r="P652" s="52"/>
      <c r="Q652" s="52"/>
      <c r="U652" s="52"/>
    </row>
    <row r="653">
      <c r="M653" s="52"/>
      <c r="N653" s="52"/>
      <c r="O653" s="52"/>
      <c r="P653" s="52"/>
      <c r="Q653" s="52"/>
      <c r="U653" s="52"/>
    </row>
    <row r="654">
      <c r="M654" s="52"/>
      <c r="N654" s="52"/>
      <c r="O654" s="52"/>
      <c r="P654" s="52"/>
      <c r="Q654" s="52"/>
      <c r="U654" s="52"/>
    </row>
    <row r="655">
      <c r="M655" s="52"/>
      <c r="N655" s="52"/>
      <c r="O655" s="52"/>
      <c r="P655" s="52"/>
      <c r="Q655" s="52"/>
      <c r="U655" s="52"/>
    </row>
    <row r="656">
      <c r="M656" s="52"/>
      <c r="N656" s="52"/>
      <c r="O656" s="52"/>
      <c r="P656" s="52"/>
      <c r="Q656" s="52"/>
      <c r="U656" s="52"/>
    </row>
    <row r="657">
      <c r="M657" s="52"/>
      <c r="N657" s="52"/>
      <c r="O657" s="52"/>
      <c r="P657" s="52"/>
      <c r="Q657" s="52"/>
      <c r="U657" s="52"/>
    </row>
    <row r="658">
      <c r="M658" s="52"/>
      <c r="N658" s="52"/>
      <c r="O658" s="52"/>
      <c r="P658" s="52"/>
      <c r="Q658" s="52"/>
      <c r="U658" s="52"/>
    </row>
    <row r="659">
      <c r="M659" s="52"/>
      <c r="N659" s="52"/>
      <c r="O659" s="52"/>
      <c r="P659" s="52"/>
      <c r="Q659" s="52"/>
      <c r="U659" s="52"/>
    </row>
    <row r="660">
      <c r="M660" s="52"/>
      <c r="N660" s="52"/>
      <c r="O660" s="52"/>
      <c r="P660" s="52"/>
      <c r="Q660" s="52"/>
      <c r="U660" s="52"/>
    </row>
    <row r="661">
      <c r="M661" s="52"/>
      <c r="N661" s="52"/>
      <c r="O661" s="52"/>
      <c r="P661" s="52"/>
      <c r="Q661" s="52"/>
      <c r="U661" s="52"/>
    </row>
    <row r="662">
      <c r="M662" s="52"/>
      <c r="N662" s="52"/>
      <c r="O662" s="52"/>
      <c r="P662" s="52"/>
      <c r="Q662" s="52"/>
      <c r="U662" s="52"/>
    </row>
    <row r="663">
      <c r="M663" s="52"/>
      <c r="N663" s="52"/>
      <c r="O663" s="52"/>
      <c r="P663" s="52"/>
      <c r="Q663" s="52"/>
      <c r="U663" s="52"/>
    </row>
    <row r="664">
      <c r="M664" s="52"/>
      <c r="N664" s="52"/>
      <c r="O664" s="52"/>
      <c r="P664" s="52"/>
      <c r="Q664" s="52"/>
      <c r="U664" s="52"/>
    </row>
    <row r="665">
      <c r="M665" s="52"/>
      <c r="N665" s="52"/>
      <c r="O665" s="52"/>
      <c r="P665" s="52"/>
      <c r="Q665" s="52"/>
      <c r="U665" s="52"/>
    </row>
    <row r="666">
      <c r="M666" s="52"/>
      <c r="N666" s="52"/>
      <c r="O666" s="52"/>
      <c r="P666" s="52"/>
      <c r="Q666" s="52"/>
      <c r="U666" s="52"/>
    </row>
    <row r="667">
      <c r="M667" s="52"/>
      <c r="N667" s="52"/>
      <c r="O667" s="52"/>
      <c r="P667" s="52"/>
      <c r="Q667" s="52"/>
      <c r="U667" s="52"/>
    </row>
    <row r="668">
      <c r="M668" s="52"/>
      <c r="N668" s="52"/>
      <c r="O668" s="52"/>
      <c r="P668" s="52"/>
      <c r="Q668" s="52"/>
      <c r="U668" s="52"/>
    </row>
    <row r="669">
      <c r="M669" s="52"/>
      <c r="N669" s="52"/>
      <c r="O669" s="52"/>
      <c r="P669" s="52"/>
      <c r="Q669" s="52"/>
      <c r="U669" s="52"/>
    </row>
    <row r="670">
      <c r="M670" s="52"/>
      <c r="N670" s="52"/>
      <c r="O670" s="52"/>
      <c r="P670" s="52"/>
      <c r="Q670" s="52"/>
      <c r="U670" s="52"/>
    </row>
    <row r="671">
      <c r="M671" s="52"/>
      <c r="N671" s="52"/>
      <c r="O671" s="52"/>
      <c r="P671" s="52"/>
      <c r="Q671" s="52"/>
      <c r="U671" s="52"/>
    </row>
    <row r="672">
      <c r="M672" s="52"/>
      <c r="N672" s="52"/>
      <c r="O672" s="52"/>
      <c r="P672" s="52"/>
      <c r="Q672" s="52"/>
      <c r="U672" s="52"/>
    </row>
    <row r="673">
      <c r="M673" s="52"/>
      <c r="N673" s="52"/>
      <c r="O673" s="52"/>
      <c r="P673" s="52"/>
      <c r="Q673" s="52"/>
      <c r="U673" s="52"/>
    </row>
    <row r="674">
      <c r="M674" s="52"/>
      <c r="N674" s="52"/>
      <c r="O674" s="52"/>
      <c r="P674" s="52"/>
      <c r="Q674" s="52"/>
      <c r="U674" s="52"/>
    </row>
    <row r="675">
      <c r="M675" s="52"/>
      <c r="N675" s="52"/>
      <c r="O675" s="52"/>
      <c r="P675" s="52"/>
      <c r="Q675" s="52"/>
      <c r="U675" s="52"/>
    </row>
    <row r="676">
      <c r="M676" s="52"/>
      <c r="N676" s="52"/>
      <c r="O676" s="52"/>
      <c r="P676" s="52"/>
      <c r="Q676" s="52"/>
      <c r="U676" s="52"/>
    </row>
    <row r="677">
      <c r="M677" s="52"/>
      <c r="N677" s="52"/>
      <c r="O677" s="52"/>
      <c r="P677" s="52"/>
      <c r="Q677" s="52"/>
      <c r="U677" s="52"/>
    </row>
    <row r="678">
      <c r="M678" s="52"/>
      <c r="N678" s="52"/>
      <c r="O678" s="52"/>
      <c r="P678" s="52"/>
      <c r="Q678" s="52"/>
      <c r="U678" s="52"/>
    </row>
    <row r="679">
      <c r="M679" s="52"/>
      <c r="N679" s="52"/>
      <c r="O679" s="52"/>
      <c r="P679" s="52"/>
      <c r="Q679" s="52"/>
      <c r="U679" s="52"/>
    </row>
    <row r="680">
      <c r="M680" s="52"/>
      <c r="N680" s="52"/>
      <c r="O680" s="52"/>
      <c r="P680" s="52"/>
      <c r="Q680" s="52"/>
      <c r="U680" s="52"/>
    </row>
    <row r="681">
      <c r="M681" s="52"/>
      <c r="N681" s="52"/>
      <c r="O681" s="52"/>
      <c r="P681" s="52"/>
      <c r="Q681" s="52"/>
      <c r="U681" s="52"/>
    </row>
    <row r="682">
      <c r="M682" s="52"/>
      <c r="N682" s="52"/>
      <c r="O682" s="52"/>
      <c r="P682" s="52"/>
      <c r="Q682" s="52"/>
      <c r="U682" s="52"/>
    </row>
    <row r="683">
      <c r="M683" s="52"/>
      <c r="N683" s="52"/>
      <c r="O683" s="52"/>
      <c r="P683" s="52"/>
      <c r="Q683" s="52"/>
      <c r="U683" s="52"/>
    </row>
    <row r="684">
      <c r="M684" s="52"/>
      <c r="N684" s="52"/>
      <c r="O684" s="52"/>
      <c r="P684" s="52"/>
      <c r="Q684" s="52"/>
      <c r="U684" s="52"/>
    </row>
    <row r="685">
      <c r="M685" s="52"/>
      <c r="N685" s="52"/>
      <c r="O685" s="52"/>
      <c r="P685" s="52"/>
      <c r="Q685" s="52"/>
      <c r="U685" s="52"/>
    </row>
    <row r="686">
      <c r="M686" s="52"/>
      <c r="N686" s="52"/>
      <c r="O686" s="52"/>
      <c r="P686" s="52"/>
      <c r="Q686" s="52"/>
      <c r="U686" s="52"/>
    </row>
    <row r="687">
      <c r="M687" s="52"/>
      <c r="N687" s="52"/>
      <c r="O687" s="52"/>
      <c r="P687" s="52"/>
      <c r="Q687" s="52"/>
      <c r="U687" s="52"/>
    </row>
    <row r="688">
      <c r="M688" s="52"/>
      <c r="N688" s="52"/>
      <c r="O688" s="52"/>
      <c r="P688" s="52"/>
      <c r="Q688" s="52"/>
      <c r="U688" s="52"/>
    </row>
    <row r="689">
      <c r="M689" s="52"/>
      <c r="N689" s="52"/>
      <c r="O689" s="52"/>
      <c r="P689" s="52"/>
      <c r="Q689" s="52"/>
      <c r="U689" s="52"/>
    </row>
    <row r="690">
      <c r="M690" s="52"/>
      <c r="N690" s="52"/>
      <c r="O690" s="52"/>
      <c r="P690" s="52"/>
      <c r="Q690" s="52"/>
      <c r="U690" s="52"/>
    </row>
    <row r="691">
      <c r="M691" s="52"/>
      <c r="N691" s="52"/>
      <c r="O691" s="52"/>
      <c r="P691" s="52"/>
      <c r="Q691" s="52"/>
      <c r="U691" s="52"/>
    </row>
    <row r="692">
      <c r="M692" s="52"/>
      <c r="N692" s="52"/>
      <c r="O692" s="52"/>
      <c r="P692" s="52"/>
      <c r="Q692" s="52"/>
      <c r="U692" s="52"/>
    </row>
    <row r="693">
      <c r="M693" s="52"/>
      <c r="N693" s="52"/>
      <c r="O693" s="52"/>
      <c r="P693" s="52"/>
      <c r="Q693" s="52"/>
      <c r="U693" s="52"/>
    </row>
    <row r="694">
      <c r="M694" s="52"/>
      <c r="N694" s="52"/>
      <c r="O694" s="52"/>
      <c r="P694" s="52"/>
      <c r="Q694" s="52"/>
      <c r="U694" s="52"/>
    </row>
    <row r="695">
      <c r="M695" s="52"/>
      <c r="N695" s="52"/>
      <c r="O695" s="52"/>
      <c r="P695" s="52"/>
      <c r="Q695" s="52"/>
      <c r="U695" s="52"/>
    </row>
    <row r="696">
      <c r="M696" s="52"/>
      <c r="N696" s="52"/>
      <c r="O696" s="52"/>
      <c r="P696" s="52"/>
      <c r="Q696" s="52"/>
      <c r="U696" s="52"/>
    </row>
    <row r="697">
      <c r="M697" s="52"/>
      <c r="N697" s="52"/>
      <c r="O697" s="52"/>
      <c r="P697" s="52"/>
      <c r="Q697" s="52"/>
      <c r="U697" s="52"/>
    </row>
    <row r="698">
      <c r="M698" s="52"/>
      <c r="N698" s="52"/>
      <c r="O698" s="52"/>
      <c r="P698" s="52"/>
      <c r="Q698" s="52"/>
      <c r="U698" s="52"/>
    </row>
    <row r="699">
      <c r="M699" s="52"/>
      <c r="N699" s="52"/>
      <c r="O699" s="52"/>
      <c r="P699" s="52"/>
      <c r="Q699" s="52"/>
      <c r="U699" s="52"/>
    </row>
    <row r="700">
      <c r="M700" s="52"/>
      <c r="N700" s="52"/>
      <c r="O700" s="52"/>
      <c r="P700" s="52"/>
      <c r="Q700" s="52"/>
      <c r="U700" s="52"/>
    </row>
    <row r="701">
      <c r="M701" s="52"/>
      <c r="N701" s="52"/>
      <c r="O701" s="52"/>
      <c r="P701" s="52"/>
      <c r="Q701" s="52"/>
      <c r="U701" s="52"/>
    </row>
    <row r="702">
      <c r="M702" s="52"/>
      <c r="N702" s="52"/>
      <c r="O702" s="52"/>
      <c r="P702" s="52"/>
      <c r="Q702" s="52"/>
      <c r="U702" s="52"/>
    </row>
    <row r="703">
      <c r="M703" s="52"/>
      <c r="N703" s="52"/>
      <c r="O703" s="52"/>
      <c r="P703" s="52"/>
      <c r="Q703" s="52"/>
      <c r="U703" s="52"/>
    </row>
    <row r="704">
      <c r="M704" s="52"/>
      <c r="N704" s="52"/>
      <c r="O704" s="52"/>
      <c r="P704" s="52"/>
      <c r="Q704" s="52"/>
      <c r="U704" s="52"/>
    </row>
    <row r="705">
      <c r="M705" s="52"/>
      <c r="N705" s="52"/>
      <c r="O705" s="52"/>
      <c r="P705" s="52"/>
      <c r="Q705" s="52"/>
      <c r="U705" s="52"/>
    </row>
    <row r="706">
      <c r="M706" s="52"/>
      <c r="N706" s="52"/>
      <c r="O706" s="52"/>
      <c r="P706" s="52"/>
      <c r="Q706" s="52"/>
      <c r="U706" s="52"/>
    </row>
    <row r="707">
      <c r="M707" s="52"/>
      <c r="N707" s="52"/>
      <c r="O707" s="52"/>
      <c r="P707" s="52"/>
      <c r="Q707" s="52"/>
      <c r="U707" s="52"/>
    </row>
    <row r="708">
      <c r="M708" s="52"/>
      <c r="N708" s="52"/>
      <c r="O708" s="52"/>
      <c r="P708" s="52"/>
      <c r="Q708" s="52"/>
      <c r="U708" s="52"/>
    </row>
    <row r="709">
      <c r="M709" s="52"/>
      <c r="N709" s="52"/>
      <c r="O709" s="52"/>
      <c r="P709" s="52"/>
      <c r="Q709" s="52"/>
      <c r="U709" s="52"/>
    </row>
    <row r="710">
      <c r="M710" s="52"/>
      <c r="N710" s="52"/>
      <c r="O710" s="52"/>
      <c r="P710" s="52"/>
      <c r="Q710" s="52"/>
      <c r="U710" s="52"/>
    </row>
    <row r="711">
      <c r="M711" s="52"/>
      <c r="N711" s="52"/>
      <c r="O711" s="52"/>
      <c r="P711" s="52"/>
      <c r="Q711" s="52"/>
      <c r="U711" s="52"/>
    </row>
    <row r="712">
      <c r="M712" s="52"/>
      <c r="N712" s="52"/>
      <c r="O712" s="52"/>
      <c r="P712" s="52"/>
      <c r="Q712" s="52"/>
      <c r="U712" s="52"/>
    </row>
    <row r="713">
      <c r="M713" s="52"/>
      <c r="N713" s="52"/>
      <c r="O713" s="52"/>
      <c r="P713" s="52"/>
      <c r="Q713" s="52"/>
      <c r="U713" s="52"/>
    </row>
    <row r="714">
      <c r="M714" s="52"/>
      <c r="N714" s="52"/>
      <c r="O714" s="52"/>
      <c r="P714" s="52"/>
      <c r="Q714" s="52"/>
      <c r="U714" s="52"/>
    </row>
    <row r="715">
      <c r="M715" s="52"/>
      <c r="N715" s="52"/>
      <c r="O715" s="52"/>
      <c r="P715" s="52"/>
      <c r="Q715" s="52"/>
      <c r="U715" s="52"/>
    </row>
    <row r="716">
      <c r="M716" s="52"/>
      <c r="N716" s="52"/>
      <c r="O716" s="52"/>
      <c r="P716" s="52"/>
      <c r="Q716" s="52"/>
      <c r="U716" s="52"/>
    </row>
    <row r="717">
      <c r="M717" s="52"/>
      <c r="N717" s="52"/>
      <c r="O717" s="52"/>
      <c r="P717" s="52"/>
      <c r="Q717" s="52"/>
      <c r="U717" s="52"/>
    </row>
    <row r="718">
      <c r="M718" s="52"/>
      <c r="N718" s="52"/>
      <c r="O718" s="52"/>
      <c r="P718" s="52"/>
      <c r="Q718" s="52"/>
      <c r="U718" s="52"/>
    </row>
    <row r="719">
      <c r="M719" s="52"/>
      <c r="N719" s="52"/>
      <c r="O719" s="52"/>
      <c r="P719" s="52"/>
      <c r="Q719" s="52"/>
      <c r="U719" s="52"/>
    </row>
    <row r="720">
      <c r="M720" s="52"/>
      <c r="N720" s="52"/>
      <c r="O720" s="52"/>
      <c r="P720" s="52"/>
      <c r="Q720" s="52"/>
      <c r="U720" s="52"/>
    </row>
    <row r="721">
      <c r="M721" s="52"/>
      <c r="N721" s="52"/>
      <c r="O721" s="52"/>
      <c r="P721" s="52"/>
      <c r="Q721" s="52"/>
      <c r="U721" s="52"/>
    </row>
    <row r="722">
      <c r="M722" s="52"/>
      <c r="N722" s="52"/>
      <c r="O722" s="52"/>
      <c r="P722" s="52"/>
      <c r="Q722" s="52"/>
      <c r="U722" s="52"/>
    </row>
    <row r="723">
      <c r="M723" s="52"/>
      <c r="N723" s="52"/>
      <c r="O723" s="52"/>
      <c r="P723" s="52"/>
      <c r="Q723" s="52"/>
      <c r="U723" s="52"/>
    </row>
    <row r="724">
      <c r="M724" s="52"/>
      <c r="N724" s="52"/>
      <c r="O724" s="52"/>
      <c r="P724" s="52"/>
      <c r="Q724" s="52"/>
      <c r="U724" s="52"/>
    </row>
    <row r="725">
      <c r="M725" s="52"/>
      <c r="N725" s="52"/>
      <c r="O725" s="52"/>
      <c r="P725" s="52"/>
      <c r="Q725" s="52"/>
      <c r="U725" s="52"/>
    </row>
    <row r="726">
      <c r="M726" s="52"/>
      <c r="N726" s="52"/>
      <c r="O726" s="52"/>
      <c r="P726" s="52"/>
      <c r="Q726" s="52"/>
      <c r="U726" s="52"/>
    </row>
    <row r="727">
      <c r="M727" s="52"/>
      <c r="N727" s="52"/>
      <c r="O727" s="52"/>
      <c r="P727" s="52"/>
      <c r="Q727" s="52"/>
      <c r="U727" s="52"/>
    </row>
    <row r="728">
      <c r="M728" s="52"/>
      <c r="N728" s="52"/>
      <c r="O728" s="52"/>
      <c r="P728" s="52"/>
      <c r="Q728" s="52"/>
      <c r="U728" s="52"/>
    </row>
    <row r="729">
      <c r="M729" s="52"/>
      <c r="N729" s="52"/>
      <c r="O729" s="52"/>
      <c r="P729" s="52"/>
      <c r="Q729" s="52"/>
      <c r="U729" s="52"/>
    </row>
    <row r="730">
      <c r="M730" s="52"/>
      <c r="N730" s="52"/>
      <c r="O730" s="52"/>
      <c r="P730" s="52"/>
      <c r="Q730" s="52"/>
      <c r="U730" s="52"/>
    </row>
    <row r="731">
      <c r="M731" s="52"/>
      <c r="N731" s="52"/>
      <c r="O731" s="52"/>
      <c r="P731" s="52"/>
      <c r="Q731" s="52"/>
      <c r="U731" s="52"/>
    </row>
    <row r="732">
      <c r="M732" s="52"/>
      <c r="N732" s="52"/>
      <c r="O732" s="52"/>
      <c r="P732" s="52"/>
      <c r="Q732" s="52"/>
      <c r="U732" s="52"/>
    </row>
    <row r="733">
      <c r="M733" s="52"/>
      <c r="N733" s="52"/>
      <c r="O733" s="52"/>
      <c r="P733" s="52"/>
      <c r="Q733" s="52"/>
      <c r="U733" s="52"/>
    </row>
    <row r="734">
      <c r="M734" s="52"/>
      <c r="N734" s="52"/>
      <c r="O734" s="52"/>
      <c r="P734" s="52"/>
      <c r="Q734" s="52"/>
      <c r="U734" s="52"/>
    </row>
    <row r="735">
      <c r="M735" s="52"/>
      <c r="N735" s="52"/>
      <c r="O735" s="52"/>
      <c r="P735" s="52"/>
      <c r="Q735" s="52"/>
      <c r="U735" s="52"/>
    </row>
    <row r="736">
      <c r="M736" s="52"/>
      <c r="N736" s="52"/>
      <c r="O736" s="52"/>
      <c r="P736" s="52"/>
      <c r="Q736" s="52"/>
      <c r="U736" s="52"/>
    </row>
    <row r="737">
      <c r="M737" s="52"/>
      <c r="N737" s="52"/>
      <c r="O737" s="52"/>
      <c r="P737" s="52"/>
      <c r="Q737" s="52"/>
      <c r="U737" s="52"/>
    </row>
    <row r="738">
      <c r="M738" s="52"/>
      <c r="N738" s="52"/>
      <c r="O738" s="52"/>
      <c r="P738" s="52"/>
      <c r="Q738" s="52"/>
      <c r="U738" s="52"/>
    </row>
    <row r="739">
      <c r="M739" s="52"/>
      <c r="N739" s="52"/>
      <c r="O739" s="52"/>
      <c r="P739" s="52"/>
      <c r="Q739" s="52"/>
      <c r="U739" s="52"/>
    </row>
    <row r="740">
      <c r="M740" s="52"/>
      <c r="N740" s="52"/>
      <c r="O740" s="52"/>
      <c r="P740" s="52"/>
      <c r="Q740" s="52"/>
      <c r="U740" s="52"/>
    </row>
    <row r="741">
      <c r="M741" s="52"/>
      <c r="N741" s="52"/>
      <c r="O741" s="52"/>
      <c r="P741" s="52"/>
      <c r="Q741" s="52"/>
      <c r="U741" s="52"/>
    </row>
    <row r="742">
      <c r="M742" s="52"/>
      <c r="N742" s="52"/>
      <c r="O742" s="52"/>
      <c r="P742" s="52"/>
      <c r="Q742" s="52"/>
      <c r="U742" s="52"/>
    </row>
    <row r="743">
      <c r="M743" s="52"/>
      <c r="N743" s="52"/>
      <c r="O743" s="52"/>
      <c r="P743" s="52"/>
      <c r="Q743" s="52"/>
      <c r="U743" s="52"/>
    </row>
    <row r="744">
      <c r="M744" s="52"/>
      <c r="N744" s="52"/>
      <c r="O744" s="52"/>
      <c r="P744" s="52"/>
      <c r="Q744" s="52"/>
      <c r="U744" s="52"/>
    </row>
    <row r="745">
      <c r="M745" s="52"/>
      <c r="N745" s="52"/>
      <c r="O745" s="52"/>
      <c r="P745" s="52"/>
      <c r="Q745" s="52"/>
      <c r="U745" s="52"/>
    </row>
    <row r="746">
      <c r="M746" s="52"/>
      <c r="N746" s="52"/>
      <c r="O746" s="52"/>
      <c r="P746" s="52"/>
      <c r="Q746" s="52"/>
      <c r="U746" s="52"/>
    </row>
    <row r="747">
      <c r="M747" s="52"/>
      <c r="N747" s="52"/>
      <c r="O747" s="52"/>
      <c r="P747" s="52"/>
      <c r="Q747" s="52"/>
      <c r="U747" s="52"/>
    </row>
    <row r="748">
      <c r="M748" s="52"/>
      <c r="N748" s="52"/>
      <c r="O748" s="52"/>
      <c r="P748" s="52"/>
      <c r="Q748" s="52"/>
      <c r="U748" s="52"/>
    </row>
    <row r="749">
      <c r="M749" s="52"/>
      <c r="N749" s="52"/>
      <c r="O749" s="52"/>
      <c r="P749" s="52"/>
      <c r="Q749" s="52"/>
      <c r="U749" s="52"/>
    </row>
    <row r="750">
      <c r="M750" s="52"/>
      <c r="N750" s="52"/>
      <c r="O750" s="52"/>
      <c r="P750" s="52"/>
      <c r="Q750" s="52"/>
      <c r="U750" s="52"/>
    </row>
    <row r="751">
      <c r="M751" s="52"/>
      <c r="N751" s="52"/>
      <c r="O751" s="52"/>
      <c r="P751" s="52"/>
      <c r="Q751" s="52"/>
      <c r="U751" s="52"/>
    </row>
    <row r="752">
      <c r="M752" s="52"/>
      <c r="N752" s="52"/>
      <c r="O752" s="52"/>
      <c r="P752" s="52"/>
      <c r="Q752" s="52"/>
      <c r="U752" s="52"/>
    </row>
    <row r="753">
      <c r="M753" s="52"/>
      <c r="N753" s="52"/>
      <c r="O753" s="52"/>
      <c r="P753" s="52"/>
      <c r="Q753" s="52"/>
      <c r="U753" s="52"/>
    </row>
    <row r="754">
      <c r="M754" s="52"/>
      <c r="N754" s="52"/>
      <c r="O754" s="52"/>
      <c r="P754" s="52"/>
      <c r="Q754" s="52"/>
      <c r="U754" s="52"/>
    </row>
    <row r="755">
      <c r="M755" s="52"/>
      <c r="N755" s="52"/>
      <c r="O755" s="52"/>
      <c r="P755" s="52"/>
      <c r="Q755" s="52"/>
      <c r="U755" s="52"/>
    </row>
    <row r="756">
      <c r="M756" s="52"/>
      <c r="N756" s="52"/>
      <c r="O756" s="52"/>
      <c r="P756" s="52"/>
      <c r="Q756" s="52"/>
      <c r="U756" s="52"/>
    </row>
    <row r="757">
      <c r="M757" s="52"/>
      <c r="N757" s="52"/>
      <c r="O757" s="52"/>
      <c r="P757" s="52"/>
      <c r="Q757" s="52"/>
      <c r="U757" s="52"/>
    </row>
    <row r="758">
      <c r="M758" s="52"/>
      <c r="N758" s="52"/>
      <c r="O758" s="52"/>
      <c r="P758" s="52"/>
      <c r="Q758" s="52"/>
      <c r="U758" s="52"/>
    </row>
    <row r="759">
      <c r="M759" s="52"/>
      <c r="N759" s="52"/>
      <c r="O759" s="52"/>
      <c r="P759" s="52"/>
      <c r="Q759" s="52"/>
      <c r="U759" s="52"/>
    </row>
    <row r="760">
      <c r="M760" s="52"/>
      <c r="N760" s="52"/>
      <c r="O760" s="52"/>
      <c r="P760" s="52"/>
      <c r="Q760" s="52"/>
      <c r="U760" s="52"/>
    </row>
    <row r="761">
      <c r="M761" s="52"/>
      <c r="N761" s="52"/>
      <c r="O761" s="52"/>
      <c r="P761" s="52"/>
      <c r="Q761" s="52"/>
      <c r="U761" s="52"/>
    </row>
    <row r="762">
      <c r="M762" s="52"/>
      <c r="N762" s="52"/>
      <c r="O762" s="52"/>
      <c r="P762" s="52"/>
      <c r="Q762" s="52"/>
      <c r="U762" s="52"/>
    </row>
    <row r="763">
      <c r="M763" s="52"/>
      <c r="N763" s="52"/>
      <c r="O763" s="52"/>
      <c r="P763" s="52"/>
      <c r="Q763" s="52"/>
      <c r="U763" s="52"/>
    </row>
    <row r="764">
      <c r="M764" s="52"/>
      <c r="N764" s="52"/>
      <c r="O764" s="52"/>
      <c r="P764" s="52"/>
      <c r="Q764" s="52"/>
      <c r="U764" s="52"/>
    </row>
    <row r="765">
      <c r="M765" s="52"/>
      <c r="N765" s="52"/>
      <c r="O765" s="52"/>
      <c r="P765" s="52"/>
      <c r="Q765" s="52"/>
      <c r="U765" s="52"/>
    </row>
    <row r="766">
      <c r="M766" s="52"/>
      <c r="N766" s="52"/>
      <c r="O766" s="52"/>
      <c r="P766" s="52"/>
      <c r="Q766" s="52"/>
      <c r="U766" s="52"/>
    </row>
    <row r="767">
      <c r="M767" s="52"/>
      <c r="N767" s="52"/>
      <c r="O767" s="52"/>
      <c r="P767" s="52"/>
      <c r="Q767" s="52"/>
      <c r="U767" s="52"/>
    </row>
    <row r="768">
      <c r="M768" s="52"/>
      <c r="N768" s="52"/>
      <c r="O768" s="52"/>
      <c r="P768" s="52"/>
      <c r="Q768" s="52"/>
      <c r="U768" s="52"/>
    </row>
    <row r="769">
      <c r="M769" s="52"/>
      <c r="N769" s="52"/>
      <c r="O769" s="52"/>
      <c r="P769" s="52"/>
      <c r="Q769" s="52"/>
      <c r="U769" s="52"/>
    </row>
    <row r="770">
      <c r="M770" s="52"/>
      <c r="N770" s="52"/>
      <c r="O770" s="52"/>
      <c r="P770" s="52"/>
      <c r="Q770" s="52"/>
      <c r="U770" s="52"/>
    </row>
    <row r="771">
      <c r="M771" s="52"/>
      <c r="N771" s="52"/>
      <c r="O771" s="52"/>
      <c r="P771" s="52"/>
      <c r="Q771" s="52"/>
      <c r="U771" s="52"/>
    </row>
    <row r="772">
      <c r="M772" s="52"/>
      <c r="N772" s="52"/>
      <c r="O772" s="52"/>
      <c r="P772" s="52"/>
      <c r="Q772" s="52"/>
      <c r="U772" s="52"/>
    </row>
    <row r="773">
      <c r="M773" s="52"/>
      <c r="N773" s="52"/>
      <c r="O773" s="52"/>
      <c r="P773" s="52"/>
      <c r="Q773" s="52"/>
      <c r="U773" s="52"/>
    </row>
    <row r="774">
      <c r="M774" s="52"/>
      <c r="N774" s="52"/>
      <c r="O774" s="52"/>
      <c r="P774" s="52"/>
      <c r="Q774" s="52"/>
      <c r="U774" s="52"/>
    </row>
    <row r="775">
      <c r="M775" s="52"/>
      <c r="N775" s="52"/>
      <c r="O775" s="52"/>
      <c r="P775" s="52"/>
      <c r="Q775" s="52"/>
      <c r="U775" s="52"/>
    </row>
    <row r="776">
      <c r="M776" s="52"/>
      <c r="N776" s="52"/>
      <c r="O776" s="52"/>
      <c r="P776" s="52"/>
      <c r="Q776" s="52"/>
      <c r="U776" s="52"/>
    </row>
    <row r="777">
      <c r="M777" s="52"/>
      <c r="N777" s="52"/>
      <c r="O777" s="52"/>
      <c r="P777" s="52"/>
      <c r="Q777" s="52"/>
      <c r="U777" s="52"/>
    </row>
    <row r="778">
      <c r="M778" s="52"/>
      <c r="N778" s="52"/>
      <c r="O778" s="52"/>
      <c r="P778" s="52"/>
      <c r="Q778" s="52"/>
      <c r="U778" s="52"/>
    </row>
    <row r="779">
      <c r="M779" s="52"/>
      <c r="N779" s="52"/>
      <c r="O779" s="52"/>
      <c r="P779" s="52"/>
      <c r="Q779" s="52"/>
      <c r="U779" s="52"/>
    </row>
    <row r="780">
      <c r="M780" s="52"/>
      <c r="N780" s="52"/>
      <c r="O780" s="52"/>
      <c r="P780" s="52"/>
      <c r="Q780" s="52"/>
      <c r="U780" s="52"/>
    </row>
    <row r="781">
      <c r="M781" s="52"/>
      <c r="N781" s="52"/>
      <c r="O781" s="52"/>
      <c r="P781" s="52"/>
      <c r="Q781" s="52"/>
      <c r="U781" s="52"/>
    </row>
    <row r="782">
      <c r="M782" s="52"/>
      <c r="N782" s="52"/>
      <c r="O782" s="52"/>
      <c r="P782" s="52"/>
      <c r="Q782" s="52"/>
      <c r="U782" s="52"/>
    </row>
    <row r="783">
      <c r="M783" s="52"/>
      <c r="N783" s="52"/>
      <c r="O783" s="52"/>
      <c r="P783" s="52"/>
      <c r="Q783" s="52"/>
      <c r="U783" s="52"/>
    </row>
    <row r="784">
      <c r="M784" s="52"/>
      <c r="N784" s="52"/>
      <c r="O784" s="52"/>
      <c r="P784" s="52"/>
      <c r="Q784" s="52"/>
      <c r="U784" s="52"/>
    </row>
    <row r="785">
      <c r="M785" s="52"/>
      <c r="N785" s="52"/>
      <c r="O785" s="52"/>
      <c r="P785" s="52"/>
      <c r="Q785" s="52"/>
      <c r="U785" s="52"/>
    </row>
    <row r="786">
      <c r="M786" s="52"/>
      <c r="N786" s="52"/>
      <c r="O786" s="52"/>
      <c r="P786" s="52"/>
      <c r="Q786" s="52"/>
      <c r="U786" s="52"/>
    </row>
    <row r="787">
      <c r="M787" s="52"/>
      <c r="N787" s="52"/>
      <c r="O787" s="52"/>
      <c r="P787" s="52"/>
      <c r="Q787" s="52"/>
      <c r="U787" s="52"/>
    </row>
    <row r="788">
      <c r="M788" s="52"/>
      <c r="N788" s="52"/>
      <c r="O788" s="52"/>
      <c r="P788" s="52"/>
      <c r="Q788" s="52"/>
      <c r="U788" s="52"/>
    </row>
    <row r="789">
      <c r="M789" s="52"/>
      <c r="N789" s="52"/>
      <c r="O789" s="52"/>
      <c r="P789" s="52"/>
      <c r="Q789" s="52"/>
      <c r="U789" s="52"/>
    </row>
    <row r="790">
      <c r="M790" s="52"/>
      <c r="N790" s="52"/>
      <c r="O790" s="52"/>
      <c r="P790" s="52"/>
      <c r="Q790" s="52"/>
      <c r="U790" s="52"/>
    </row>
    <row r="791">
      <c r="M791" s="52"/>
      <c r="N791" s="52"/>
      <c r="O791" s="52"/>
      <c r="P791" s="52"/>
      <c r="Q791" s="52"/>
      <c r="U791" s="52"/>
    </row>
    <row r="792">
      <c r="M792" s="52"/>
      <c r="N792" s="52"/>
      <c r="O792" s="52"/>
      <c r="P792" s="52"/>
      <c r="Q792" s="52"/>
      <c r="U792" s="52"/>
    </row>
    <row r="793">
      <c r="M793" s="52"/>
      <c r="N793" s="52"/>
      <c r="O793" s="52"/>
      <c r="P793" s="52"/>
      <c r="Q793" s="52"/>
      <c r="U793" s="52"/>
    </row>
    <row r="794">
      <c r="M794" s="52"/>
      <c r="N794" s="52"/>
      <c r="O794" s="52"/>
      <c r="P794" s="52"/>
      <c r="Q794" s="52"/>
      <c r="U794" s="52"/>
    </row>
    <row r="795">
      <c r="M795" s="52"/>
      <c r="N795" s="52"/>
      <c r="O795" s="52"/>
      <c r="P795" s="52"/>
      <c r="Q795" s="52"/>
      <c r="U795" s="52"/>
    </row>
    <row r="796">
      <c r="M796" s="52"/>
      <c r="N796" s="52"/>
      <c r="O796" s="52"/>
      <c r="P796" s="52"/>
      <c r="Q796" s="52"/>
      <c r="U796" s="52"/>
    </row>
    <row r="797">
      <c r="M797" s="52"/>
      <c r="N797" s="52"/>
      <c r="O797" s="52"/>
      <c r="P797" s="52"/>
      <c r="Q797" s="52"/>
      <c r="U797" s="52"/>
    </row>
    <row r="798">
      <c r="M798" s="52"/>
      <c r="N798" s="52"/>
      <c r="O798" s="52"/>
      <c r="P798" s="52"/>
      <c r="Q798" s="52"/>
      <c r="U798" s="52"/>
    </row>
    <row r="799">
      <c r="M799" s="52"/>
      <c r="N799" s="52"/>
      <c r="O799" s="52"/>
      <c r="P799" s="52"/>
      <c r="Q799" s="52"/>
      <c r="U799" s="52"/>
    </row>
    <row r="800">
      <c r="M800" s="52"/>
      <c r="N800" s="52"/>
      <c r="O800" s="52"/>
      <c r="P800" s="52"/>
      <c r="Q800" s="52"/>
      <c r="U800" s="52"/>
    </row>
    <row r="801">
      <c r="M801" s="52"/>
      <c r="N801" s="52"/>
      <c r="O801" s="52"/>
      <c r="P801" s="52"/>
      <c r="Q801" s="52"/>
      <c r="U801" s="52"/>
    </row>
    <row r="802">
      <c r="M802" s="52"/>
      <c r="N802" s="52"/>
      <c r="O802" s="52"/>
      <c r="P802" s="52"/>
      <c r="Q802" s="52"/>
      <c r="U802" s="52"/>
    </row>
    <row r="803">
      <c r="M803" s="52"/>
      <c r="N803" s="52"/>
      <c r="O803" s="52"/>
      <c r="P803" s="52"/>
      <c r="Q803" s="52"/>
      <c r="U803" s="52"/>
    </row>
    <row r="804">
      <c r="M804" s="52"/>
      <c r="N804" s="52"/>
      <c r="O804" s="52"/>
      <c r="P804" s="52"/>
      <c r="Q804" s="52"/>
      <c r="U804" s="52"/>
    </row>
    <row r="805">
      <c r="M805" s="52"/>
      <c r="N805" s="52"/>
      <c r="O805" s="52"/>
      <c r="P805" s="52"/>
      <c r="Q805" s="52"/>
      <c r="U805" s="52"/>
    </row>
    <row r="806">
      <c r="M806" s="52"/>
      <c r="N806" s="52"/>
      <c r="O806" s="52"/>
      <c r="P806" s="52"/>
      <c r="Q806" s="52"/>
      <c r="U806" s="52"/>
    </row>
    <row r="807">
      <c r="M807" s="52"/>
      <c r="N807" s="52"/>
      <c r="O807" s="52"/>
      <c r="P807" s="52"/>
      <c r="Q807" s="52"/>
      <c r="U807" s="52"/>
    </row>
    <row r="808">
      <c r="M808" s="52"/>
      <c r="N808" s="52"/>
      <c r="O808" s="52"/>
      <c r="P808" s="52"/>
      <c r="Q808" s="52"/>
      <c r="U808" s="52"/>
    </row>
    <row r="809">
      <c r="M809" s="52"/>
      <c r="N809" s="52"/>
      <c r="O809" s="52"/>
      <c r="P809" s="52"/>
      <c r="Q809" s="52"/>
      <c r="U809" s="52"/>
    </row>
    <row r="810">
      <c r="M810" s="52"/>
      <c r="N810" s="52"/>
      <c r="O810" s="52"/>
      <c r="P810" s="52"/>
      <c r="Q810" s="52"/>
      <c r="U810" s="52"/>
    </row>
    <row r="811">
      <c r="M811" s="52"/>
      <c r="N811" s="52"/>
      <c r="O811" s="52"/>
      <c r="P811" s="52"/>
      <c r="Q811" s="52"/>
      <c r="U811" s="52"/>
    </row>
    <row r="812">
      <c r="M812" s="52"/>
      <c r="N812" s="52"/>
      <c r="O812" s="52"/>
      <c r="P812" s="52"/>
      <c r="Q812" s="52"/>
      <c r="U812" s="52"/>
    </row>
    <row r="813">
      <c r="M813" s="52"/>
      <c r="N813" s="52"/>
      <c r="O813" s="52"/>
      <c r="P813" s="52"/>
      <c r="Q813" s="52"/>
      <c r="U813" s="52"/>
    </row>
    <row r="814">
      <c r="M814" s="52"/>
      <c r="N814" s="52"/>
      <c r="O814" s="52"/>
      <c r="P814" s="52"/>
      <c r="Q814" s="52"/>
      <c r="U814" s="52"/>
    </row>
    <row r="815">
      <c r="M815" s="52"/>
      <c r="N815" s="52"/>
      <c r="O815" s="52"/>
      <c r="P815" s="52"/>
      <c r="Q815" s="52"/>
      <c r="U815" s="52"/>
    </row>
    <row r="816">
      <c r="M816" s="52"/>
      <c r="N816" s="52"/>
      <c r="O816" s="52"/>
      <c r="P816" s="52"/>
      <c r="Q816" s="52"/>
      <c r="U816" s="52"/>
    </row>
    <row r="817">
      <c r="M817" s="52"/>
      <c r="N817" s="52"/>
      <c r="O817" s="52"/>
      <c r="P817" s="52"/>
      <c r="Q817" s="52"/>
      <c r="U817" s="52"/>
    </row>
    <row r="818">
      <c r="M818" s="52"/>
      <c r="N818" s="52"/>
      <c r="O818" s="52"/>
      <c r="P818" s="52"/>
      <c r="Q818" s="52"/>
      <c r="U818" s="52"/>
    </row>
    <row r="819">
      <c r="M819" s="52"/>
      <c r="N819" s="52"/>
      <c r="O819" s="52"/>
      <c r="P819" s="52"/>
      <c r="Q819" s="52"/>
      <c r="U819" s="52"/>
    </row>
    <row r="820">
      <c r="M820" s="52"/>
      <c r="N820" s="52"/>
      <c r="O820" s="52"/>
      <c r="P820" s="52"/>
      <c r="Q820" s="52"/>
      <c r="U820" s="52"/>
    </row>
    <row r="821">
      <c r="M821" s="52"/>
      <c r="N821" s="52"/>
      <c r="O821" s="52"/>
      <c r="P821" s="52"/>
      <c r="Q821" s="52"/>
      <c r="U821" s="52"/>
    </row>
    <row r="822">
      <c r="M822" s="52"/>
      <c r="N822" s="52"/>
      <c r="O822" s="52"/>
      <c r="P822" s="52"/>
      <c r="Q822" s="52"/>
      <c r="U822" s="52"/>
    </row>
    <row r="823">
      <c r="M823" s="52"/>
      <c r="N823" s="52"/>
      <c r="O823" s="52"/>
      <c r="P823" s="52"/>
      <c r="Q823" s="52"/>
      <c r="U823" s="52"/>
    </row>
    <row r="824">
      <c r="M824" s="52"/>
      <c r="N824" s="52"/>
      <c r="O824" s="52"/>
      <c r="P824" s="52"/>
      <c r="Q824" s="52"/>
      <c r="U824" s="52"/>
    </row>
    <row r="825">
      <c r="M825" s="52"/>
      <c r="N825" s="52"/>
      <c r="O825" s="52"/>
      <c r="P825" s="52"/>
      <c r="Q825" s="52"/>
      <c r="U825" s="52"/>
    </row>
    <row r="826">
      <c r="M826" s="52"/>
      <c r="N826" s="52"/>
      <c r="O826" s="52"/>
      <c r="P826" s="52"/>
      <c r="Q826" s="52"/>
      <c r="U826" s="52"/>
    </row>
    <row r="827">
      <c r="M827" s="52"/>
      <c r="N827" s="52"/>
      <c r="O827" s="52"/>
      <c r="P827" s="52"/>
      <c r="Q827" s="52"/>
      <c r="U827" s="52"/>
    </row>
    <row r="828">
      <c r="M828" s="52"/>
      <c r="N828" s="52"/>
      <c r="O828" s="52"/>
      <c r="P828" s="52"/>
      <c r="Q828" s="52"/>
      <c r="U828" s="52"/>
    </row>
    <row r="829">
      <c r="M829" s="52"/>
      <c r="N829" s="52"/>
      <c r="O829" s="52"/>
      <c r="P829" s="52"/>
      <c r="Q829" s="52"/>
      <c r="U829" s="52"/>
    </row>
    <row r="830">
      <c r="M830" s="52"/>
      <c r="N830" s="52"/>
      <c r="O830" s="52"/>
      <c r="P830" s="52"/>
      <c r="Q830" s="52"/>
      <c r="U830" s="52"/>
    </row>
    <row r="831">
      <c r="M831" s="52"/>
      <c r="N831" s="52"/>
      <c r="O831" s="52"/>
      <c r="P831" s="52"/>
      <c r="Q831" s="52"/>
      <c r="U831" s="52"/>
    </row>
    <row r="832">
      <c r="M832" s="52"/>
      <c r="N832" s="52"/>
      <c r="O832" s="52"/>
      <c r="P832" s="52"/>
      <c r="Q832" s="52"/>
      <c r="U832" s="52"/>
    </row>
    <row r="833">
      <c r="M833" s="52"/>
      <c r="N833" s="52"/>
      <c r="O833" s="52"/>
      <c r="P833" s="52"/>
      <c r="Q833" s="52"/>
      <c r="U833" s="52"/>
    </row>
    <row r="834">
      <c r="M834" s="52"/>
      <c r="N834" s="52"/>
      <c r="O834" s="52"/>
      <c r="P834" s="52"/>
      <c r="Q834" s="52"/>
      <c r="U834" s="52"/>
    </row>
    <row r="835">
      <c r="M835" s="52"/>
      <c r="N835" s="52"/>
      <c r="O835" s="52"/>
      <c r="P835" s="52"/>
      <c r="Q835" s="52"/>
      <c r="U835" s="52"/>
    </row>
    <row r="836">
      <c r="M836" s="52"/>
      <c r="N836" s="52"/>
      <c r="O836" s="52"/>
      <c r="P836" s="52"/>
      <c r="Q836" s="52"/>
      <c r="U836" s="52"/>
    </row>
    <row r="837">
      <c r="M837" s="52"/>
      <c r="N837" s="52"/>
      <c r="O837" s="52"/>
      <c r="P837" s="52"/>
      <c r="Q837" s="52"/>
      <c r="U837" s="52"/>
    </row>
    <row r="838">
      <c r="M838" s="52"/>
      <c r="N838" s="52"/>
      <c r="O838" s="52"/>
      <c r="P838" s="52"/>
      <c r="Q838" s="52"/>
      <c r="U838" s="52"/>
    </row>
    <row r="839">
      <c r="M839" s="52"/>
      <c r="N839" s="52"/>
      <c r="O839" s="52"/>
      <c r="P839" s="52"/>
      <c r="Q839" s="52"/>
      <c r="U839" s="52"/>
    </row>
    <row r="840">
      <c r="M840" s="52"/>
      <c r="N840" s="52"/>
      <c r="O840" s="52"/>
      <c r="P840" s="52"/>
      <c r="Q840" s="52"/>
      <c r="U840" s="52"/>
    </row>
    <row r="841">
      <c r="M841" s="52"/>
      <c r="N841" s="52"/>
      <c r="O841" s="52"/>
      <c r="P841" s="52"/>
      <c r="Q841" s="52"/>
      <c r="U841" s="52"/>
    </row>
    <row r="842">
      <c r="M842" s="52"/>
      <c r="N842" s="52"/>
      <c r="O842" s="52"/>
      <c r="P842" s="52"/>
      <c r="Q842" s="52"/>
      <c r="U842" s="52"/>
    </row>
    <row r="843">
      <c r="M843" s="52"/>
      <c r="N843" s="52"/>
      <c r="O843" s="52"/>
      <c r="P843" s="52"/>
      <c r="Q843" s="52"/>
      <c r="U843" s="52"/>
    </row>
    <row r="844">
      <c r="M844" s="52"/>
      <c r="N844" s="52"/>
      <c r="O844" s="52"/>
      <c r="P844" s="52"/>
      <c r="Q844" s="52"/>
      <c r="U844" s="52"/>
    </row>
    <row r="845">
      <c r="M845" s="52"/>
      <c r="N845" s="52"/>
      <c r="O845" s="52"/>
      <c r="P845" s="52"/>
      <c r="Q845" s="52"/>
      <c r="U845" s="52"/>
    </row>
    <row r="846">
      <c r="M846" s="52"/>
      <c r="N846" s="52"/>
      <c r="O846" s="52"/>
      <c r="P846" s="52"/>
      <c r="Q846" s="52"/>
      <c r="U846" s="52"/>
    </row>
    <row r="847">
      <c r="M847" s="52"/>
      <c r="N847" s="52"/>
      <c r="O847" s="52"/>
      <c r="P847" s="52"/>
      <c r="Q847" s="52"/>
      <c r="U847" s="52"/>
    </row>
    <row r="848">
      <c r="M848" s="52"/>
      <c r="N848" s="52"/>
      <c r="O848" s="52"/>
      <c r="P848" s="52"/>
      <c r="Q848" s="52"/>
      <c r="U848" s="52"/>
    </row>
    <row r="849">
      <c r="M849" s="52"/>
      <c r="N849" s="52"/>
      <c r="O849" s="52"/>
      <c r="P849" s="52"/>
      <c r="Q849" s="52"/>
      <c r="U849" s="52"/>
    </row>
    <row r="850">
      <c r="M850" s="52"/>
      <c r="N850" s="52"/>
      <c r="O850" s="52"/>
      <c r="P850" s="52"/>
      <c r="Q850" s="52"/>
      <c r="U850" s="52"/>
    </row>
    <row r="851">
      <c r="M851" s="52"/>
      <c r="N851" s="52"/>
      <c r="O851" s="52"/>
      <c r="P851" s="52"/>
      <c r="Q851" s="52"/>
      <c r="U851" s="52"/>
    </row>
    <row r="852">
      <c r="M852" s="52"/>
      <c r="N852" s="52"/>
      <c r="O852" s="52"/>
      <c r="P852" s="52"/>
      <c r="Q852" s="52"/>
      <c r="U852" s="52"/>
    </row>
    <row r="853">
      <c r="M853" s="52"/>
      <c r="N853" s="52"/>
      <c r="O853" s="52"/>
      <c r="P853" s="52"/>
      <c r="Q853" s="52"/>
      <c r="U853" s="52"/>
    </row>
    <row r="854">
      <c r="M854" s="52"/>
      <c r="N854" s="52"/>
      <c r="O854" s="52"/>
      <c r="P854" s="52"/>
      <c r="Q854" s="52"/>
      <c r="U854" s="52"/>
    </row>
    <row r="855">
      <c r="M855" s="52"/>
      <c r="N855" s="52"/>
      <c r="O855" s="52"/>
      <c r="P855" s="52"/>
      <c r="Q855" s="52"/>
      <c r="U855" s="52"/>
    </row>
    <row r="856">
      <c r="M856" s="52"/>
      <c r="N856" s="52"/>
      <c r="O856" s="52"/>
      <c r="P856" s="52"/>
      <c r="Q856" s="52"/>
      <c r="U856" s="52"/>
    </row>
    <row r="857">
      <c r="M857" s="52"/>
      <c r="N857" s="52"/>
      <c r="O857" s="52"/>
      <c r="P857" s="52"/>
      <c r="Q857" s="52"/>
      <c r="U857" s="52"/>
    </row>
    <row r="858">
      <c r="M858" s="52"/>
      <c r="N858" s="52"/>
      <c r="O858" s="52"/>
      <c r="P858" s="52"/>
      <c r="Q858" s="52"/>
      <c r="U858" s="52"/>
    </row>
    <row r="859">
      <c r="M859" s="52"/>
      <c r="N859" s="52"/>
      <c r="O859" s="52"/>
      <c r="P859" s="52"/>
      <c r="Q859" s="52"/>
      <c r="U859" s="52"/>
    </row>
    <row r="860">
      <c r="M860" s="52"/>
      <c r="N860" s="52"/>
      <c r="O860" s="52"/>
      <c r="P860" s="52"/>
      <c r="Q860" s="52"/>
      <c r="U860" s="52"/>
    </row>
    <row r="861">
      <c r="M861" s="52"/>
      <c r="N861" s="52"/>
      <c r="O861" s="52"/>
      <c r="P861" s="52"/>
      <c r="Q861" s="52"/>
      <c r="U861" s="52"/>
    </row>
    <row r="862">
      <c r="M862" s="52"/>
      <c r="N862" s="52"/>
      <c r="O862" s="52"/>
      <c r="P862" s="52"/>
      <c r="Q862" s="52"/>
      <c r="U862" s="52"/>
    </row>
    <row r="863">
      <c r="M863" s="52"/>
      <c r="N863" s="52"/>
      <c r="O863" s="52"/>
      <c r="P863" s="52"/>
      <c r="Q863" s="52"/>
      <c r="U863" s="52"/>
    </row>
    <row r="864">
      <c r="M864" s="52"/>
      <c r="N864" s="52"/>
      <c r="O864" s="52"/>
      <c r="P864" s="52"/>
      <c r="Q864" s="52"/>
      <c r="U864" s="52"/>
    </row>
    <row r="865">
      <c r="M865" s="52"/>
      <c r="N865" s="52"/>
      <c r="O865" s="52"/>
      <c r="P865" s="52"/>
      <c r="Q865" s="52"/>
      <c r="U865" s="52"/>
    </row>
    <row r="866">
      <c r="M866" s="52"/>
      <c r="N866" s="52"/>
      <c r="O866" s="52"/>
      <c r="P866" s="52"/>
      <c r="Q866" s="52"/>
      <c r="U866" s="52"/>
    </row>
    <row r="867">
      <c r="M867" s="52"/>
      <c r="N867" s="52"/>
      <c r="O867" s="52"/>
      <c r="P867" s="52"/>
      <c r="Q867" s="52"/>
      <c r="U867" s="52"/>
    </row>
    <row r="868">
      <c r="M868" s="52"/>
      <c r="N868" s="52"/>
      <c r="O868" s="52"/>
      <c r="P868" s="52"/>
      <c r="Q868" s="52"/>
      <c r="U868" s="52"/>
    </row>
    <row r="869">
      <c r="M869" s="52"/>
      <c r="N869" s="52"/>
      <c r="O869" s="52"/>
      <c r="P869" s="52"/>
      <c r="Q869" s="52"/>
      <c r="U869" s="52"/>
    </row>
    <row r="870">
      <c r="M870" s="52"/>
      <c r="N870" s="52"/>
      <c r="O870" s="52"/>
      <c r="P870" s="52"/>
      <c r="Q870" s="52"/>
      <c r="U870" s="52"/>
    </row>
    <row r="871">
      <c r="M871" s="52"/>
      <c r="N871" s="52"/>
      <c r="O871" s="52"/>
      <c r="P871" s="52"/>
      <c r="Q871" s="52"/>
      <c r="U871" s="52"/>
    </row>
    <row r="872">
      <c r="M872" s="52"/>
      <c r="N872" s="52"/>
      <c r="O872" s="52"/>
      <c r="P872" s="52"/>
      <c r="Q872" s="52"/>
      <c r="U872" s="52"/>
    </row>
    <row r="873">
      <c r="M873" s="52"/>
      <c r="N873" s="52"/>
      <c r="O873" s="52"/>
      <c r="P873" s="52"/>
      <c r="Q873" s="52"/>
      <c r="U873" s="52"/>
    </row>
    <row r="874">
      <c r="M874" s="52"/>
      <c r="N874" s="52"/>
      <c r="O874" s="52"/>
      <c r="P874" s="52"/>
      <c r="Q874" s="52"/>
      <c r="U874" s="52"/>
    </row>
    <row r="875">
      <c r="M875" s="52"/>
      <c r="N875" s="52"/>
      <c r="O875" s="52"/>
      <c r="P875" s="52"/>
      <c r="Q875" s="52"/>
      <c r="U875" s="52"/>
    </row>
    <row r="876">
      <c r="M876" s="52"/>
      <c r="N876" s="52"/>
      <c r="O876" s="52"/>
      <c r="P876" s="52"/>
      <c r="Q876" s="52"/>
      <c r="U876" s="52"/>
    </row>
    <row r="877">
      <c r="M877" s="52"/>
      <c r="N877" s="52"/>
      <c r="O877" s="52"/>
      <c r="P877" s="52"/>
      <c r="Q877" s="52"/>
      <c r="U877" s="52"/>
    </row>
    <row r="878">
      <c r="M878" s="52"/>
      <c r="N878" s="52"/>
      <c r="O878" s="52"/>
      <c r="P878" s="52"/>
      <c r="Q878" s="52"/>
      <c r="U878" s="52"/>
    </row>
    <row r="879">
      <c r="M879" s="52"/>
      <c r="N879" s="52"/>
      <c r="O879" s="52"/>
      <c r="P879" s="52"/>
      <c r="Q879" s="52"/>
      <c r="U879" s="52"/>
    </row>
    <row r="880">
      <c r="M880" s="52"/>
      <c r="N880" s="52"/>
      <c r="O880" s="52"/>
      <c r="P880" s="52"/>
      <c r="Q880" s="52"/>
      <c r="U880" s="52"/>
    </row>
    <row r="881">
      <c r="M881" s="52"/>
      <c r="N881" s="52"/>
      <c r="O881" s="52"/>
      <c r="P881" s="52"/>
      <c r="Q881" s="52"/>
      <c r="U881" s="52"/>
    </row>
    <row r="882">
      <c r="M882" s="52"/>
      <c r="N882" s="52"/>
      <c r="O882" s="52"/>
      <c r="P882" s="52"/>
      <c r="Q882" s="52"/>
      <c r="U882" s="52"/>
    </row>
    <row r="883">
      <c r="M883" s="52"/>
      <c r="N883" s="52"/>
      <c r="O883" s="52"/>
      <c r="P883" s="52"/>
      <c r="Q883" s="52"/>
      <c r="U883" s="52"/>
    </row>
    <row r="884">
      <c r="M884" s="52"/>
      <c r="N884" s="52"/>
      <c r="O884" s="52"/>
      <c r="P884" s="52"/>
      <c r="Q884" s="52"/>
      <c r="U884" s="52"/>
    </row>
    <row r="885">
      <c r="M885" s="52"/>
      <c r="N885" s="52"/>
      <c r="O885" s="52"/>
      <c r="P885" s="52"/>
      <c r="Q885" s="52"/>
      <c r="U885" s="52"/>
    </row>
    <row r="886">
      <c r="M886" s="52"/>
      <c r="N886" s="52"/>
      <c r="O886" s="52"/>
      <c r="P886" s="52"/>
      <c r="Q886" s="52"/>
      <c r="U886" s="52"/>
    </row>
    <row r="887">
      <c r="M887" s="52"/>
      <c r="N887" s="52"/>
      <c r="O887" s="52"/>
      <c r="P887" s="52"/>
      <c r="Q887" s="52"/>
      <c r="U887" s="52"/>
    </row>
    <row r="888">
      <c r="M888" s="52"/>
      <c r="N888" s="52"/>
      <c r="O888" s="52"/>
      <c r="P888" s="52"/>
      <c r="Q888" s="52"/>
      <c r="U888" s="52"/>
    </row>
    <row r="889">
      <c r="M889" s="52"/>
      <c r="N889" s="52"/>
      <c r="O889" s="52"/>
      <c r="P889" s="52"/>
      <c r="Q889" s="52"/>
      <c r="U889" s="52"/>
    </row>
    <row r="890">
      <c r="M890" s="52"/>
      <c r="N890" s="52"/>
      <c r="O890" s="52"/>
      <c r="P890" s="52"/>
      <c r="Q890" s="52"/>
      <c r="U890" s="52"/>
    </row>
    <row r="891">
      <c r="M891" s="52"/>
      <c r="N891" s="52"/>
      <c r="O891" s="52"/>
      <c r="P891" s="52"/>
      <c r="Q891" s="52"/>
      <c r="U891" s="52"/>
    </row>
    <row r="892">
      <c r="M892" s="52"/>
      <c r="N892" s="52"/>
      <c r="O892" s="52"/>
      <c r="P892" s="52"/>
      <c r="Q892" s="52"/>
      <c r="U892" s="52"/>
    </row>
    <row r="893">
      <c r="M893" s="52"/>
      <c r="N893" s="52"/>
      <c r="O893" s="52"/>
      <c r="P893" s="52"/>
      <c r="Q893" s="52"/>
      <c r="U893" s="52"/>
    </row>
    <row r="894">
      <c r="M894" s="52"/>
      <c r="N894" s="52"/>
      <c r="O894" s="52"/>
      <c r="P894" s="52"/>
      <c r="Q894" s="52"/>
      <c r="U894" s="52"/>
    </row>
    <row r="895">
      <c r="M895" s="52"/>
      <c r="N895" s="52"/>
      <c r="O895" s="52"/>
      <c r="P895" s="52"/>
      <c r="Q895" s="52"/>
      <c r="U895" s="52"/>
    </row>
    <row r="896">
      <c r="M896" s="52"/>
      <c r="N896" s="52"/>
      <c r="O896" s="52"/>
      <c r="P896" s="52"/>
      <c r="Q896" s="52"/>
      <c r="U896" s="52"/>
    </row>
    <row r="897">
      <c r="M897" s="52"/>
      <c r="N897" s="52"/>
      <c r="O897" s="52"/>
      <c r="P897" s="52"/>
      <c r="Q897" s="52"/>
      <c r="U897" s="52"/>
    </row>
    <row r="898">
      <c r="M898" s="52"/>
      <c r="N898" s="52"/>
      <c r="O898" s="52"/>
      <c r="P898" s="52"/>
      <c r="Q898" s="52"/>
      <c r="U898" s="52"/>
    </row>
    <row r="899">
      <c r="M899" s="52"/>
      <c r="N899" s="52"/>
      <c r="O899" s="52"/>
      <c r="P899" s="52"/>
      <c r="Q899" s="52"/>
      <c r="U899" s="52"/>
    </row>
    <row r="900">
      <c r="M900" s="52"/>
      <c r="N900" s="52"/>
      <c r="O900" s="52"/>
      <c r="P900" s="52"/>
      <c r="Q900" s="52"/>
      <c r="U900" s="52"/>
    </row>
    <row r="901">
      <c r="M901" s="52"/>
      <c r="N901" s="52"/>
      <c r="O901" s="52"/>
      <c r="P901" s="52"/>
      <c r="Q901" s="52"/>
      <c r="U901" s="52"/>
    </row>
    <row r="902">
      <c r="M902" s="52"/>
      <c r="N902" s="52"/>
      <c r="O902" s="52"/>
      <c r="P902" s="52"/>
      <c r="Q902" s="52"/>
      <c r="U902" s="52"/>
    </row>
    <row r="903">
      <c r="M903" s="52"/>
      <c r="N903" s="52"/>
      <c r="O903" s="52"/>
      <c r="P903" s="52"/>
      <c r="Q903" s="52"/>
      <c r="U903" s="52"/>
    </row>
    <row r="904">
      <c r="M904" s="52"/>
      <c r="N904" s="52"/>
      <c r="O904" s="52"/>
      <c r="P904" s="52"/>
      <c r="Q904" s="52"/>
      <c r="U904" s="52"/>
    </row>
    <row r="905">
      <c r="M905" s="52"/>
      <c r="N905" s="52"/>
      <c r="O905" s="52"/>
      <c r="P905" s="52"/>
      <c r="Q905" s="52"/>
      <c r="U905" s="52"/>
    </row>
    <row r="906">
      <c r="M906" s="52"/>
      <c r="N906" s="52"/>
      <c r="O906" s="52"/>
      <c r="P906" s="52"/>
      <c r="Q906" s="52"/>
      <c r="U906" s="52"/>
    </row>
    <row r="907">
      <c r="M907" s="52"/>
      <c r="N907" s="52"/>
      <c r="O907" s="52"/>
      <c r="P907" s="52"/>
      <c r="Q907" s="52"/>
      <c r="U907" s="52"/>
    </row>
    <row r="908">
      <c r="M908" s="52"/>
      <c r="N908" s="52"/>
      <c r="O908" s="52"/>
      <c r="P908" s="52"/>
      <c r="Q908" s="52"/>
      <c r="U908" s="52"/>
    </row>
    <row r="909">
      <c r="M909" s="52"/>
      <c r="N909" s="52"/>
      <c r="O909" s="52"/>
      <c r="P909" s="52"/>
      <c r="Q909" s="52"/>
      <c r="U909" s="52"/>
    </row>
    <row r="910">
      <c r="M910" s="52"/>
      <c r="N910" s="52"/>
      <c r="O910" s="52"/>
      <c r="P910" s="52"/>
      <c r="Q910" s="52"/>
      <c r="U910" s="52"/>
    </row>
    <row r="911">
      <c r="M911" s="52"/>
      <c r="N911" s="52"/>
      <c r="O911" s="52"/>
      <c r="P911" s="52"/>
      <c r="Q911" s="52"/>
      <c r="U911" s="52"/>
    </row>
    <row r="912">
      <c r="M912" s="52"/>
      <c r="N912" s="52"/>
      <c r="O912" s="52"/>
      <c r="P912" s="52"/>
      <c r="Q912" s="52"/>
      <c r="U912" s="52"/>
    </row>
    <row r="913">
      <c r="M913" s="52"/>
      <c r="N913" s="52"/>
      <c r="O913" s="52"/>
      <c r="P913" s="52"/>
      <c r="Q913" s="52"/>
      <c r="U913" s="52"/>
    </row>
    <row r="914">
      <c r="M914" s="52"/>
      <c r="N914" s="52"/>
      <c r="O914" s="52"/>
      <c r="P914" s="52"/>
      <c r="Q914" s="52"/>
      <c r="U914" s="52"/>
    </row>
    <row r="915">
      <c r="M915" s="52"/>
      <c r="N915" s="52"/>
      <c r="O915" s="52"/>
      <c r="P915" s="52"/>
      <c r="Q915" s="52"/>
      <c r="U915" s="52"/>
    </row>
    <row r="916">
      <c r="M916" s="52"/>
      <c r="N916" s="52"/>
      <c r="O916" s="52"/>
      <c r="P916" s="52"/>
      <c r="Q916" s="52"/>
      <c r="U916" s="52"/>
    </row>
    <row r="917">
      <c r="M917" s="52"/>
      <c r="N917" s="52"/>
      <c r="O917" s="52"/>
      <c r="P917" s="52"/>
      <c r="Q917" s="52"/>
      <c r="U917" s="52"/>
    </row>
    <row r="918">
      <c r="M918" s="52"/>
      <c r="N918" s="52"/>
      <c r="O918" s="52"/>
      <c r="P918" s="52"/>
      <c r="Q918" s="52"/>
      <c r="U918" s="52"/>
    </row>
    <row r="919">
      <c r="M919" s="52"/>
      <c r="N919" s="52"/>
      <c r="O919" s="52"/>
      <c r="P919" s="52"/>
      <c r="Q919" s="52"/>
      <c r="U919" s="52"/>
    </row>
    <row r="920">
      <c r="M920" s="52"/>
      <c r="N920" s="52"/>
      <c r="O920" s="52"/>
      <c r="P920" s="52"/>
      <c r="Q920" s="52"/>
      <c r="U920" s="52"/>
    </row>
    <row r="921">
      <c r="M921" s="52"/>
      <c r="N921" s="52"/>
      <c r="O921" s="52"/>
      <c r="P921" s="52"/>
      <c r="Q921" s="52"/>
      <c r="U921" s="52"/>
    </row>
    <row r="922">
      <c r="M922" s="52"/>
      <c r="N922" s="52"/>
      <c r="O922" s="52"/>
      <c r="P922" s="52"/>
      <c r="Q922" s="52"/>
      <c r="U922" s="52"/>
    </row>
    <row r="923">
      <c r="M923" s="52"/>
      <c r="N923" s="52"/>
      <c r="O923" s="52"/>
      <c r="P923" s="52"/>
      <c r="Q923" s="52"/>
      <c r="U923" s="52"/>
    </row>
    <row r="924">
      <c r="M924" s="52"/>
      <c r="N924" s="52"/>
      <c r="O924" s="52"/>
      <c r="P924" s="52"/>
      <c r="Q924" s="52"/>
      <c r="U924" s="52"/>
    </row>
    <row r="925">
      <c r="M925" s="52"/>
      <c r="N925" s="52"/>
      <c r="O925" s="52"/>
      <c r="P925" s="52"/>
      <c r="Q925" s="52"/>
      <c r="U925" s="52"/>
    </row>
    <row r="926">
      <c r="M926" s="52"/>
      <c r="N926" s="52"/>
      <c r="O926" s="52"/>
      <c r="P926" s="52"/>
      <c r="Q926" s="52"/>
      <c r="U926" s="52"/>
    </row>
    <row r="927">
      <c r="M927" s="52"/>
      <c r="N927" s="52"/>
      <c r="O927" s="52"/>
      <c r="P927" s="52"/>
      <c r="Q927" s="52"/>
      <c r="U927" s="52"/>
    </row>
    <row r="928">
      <c r="M928" s="52"/>
      <c r="N928" s="52"/>
      <c r="O928" s="52"/>
      <c r="P928" s="52"/>
      <c r="Q928" s="52"/>
      <c r="U928" s="52"/>
    </row>
    <row r="929">
      <c r="M929" s="52"/>
      <c r="N929" s="52"/>
      <c r="O929" s="52"/>
      <c r="P929" s="52"/>
      <c r="Q929" s="52"/>
      <c r="U929" s="52"/>
    </row>
    <row r="930">
      <c r="M930" s="52"/>
      <c r="N930" s="52"/>
      <c r="O930" s="52"/>
      <c r="P930" s="52"/>
      <c r="Q930" s="52"/>
      <c r="U930" s="52"/>
    </row>
    <row r="931">
      <c r="M931" s="52"/>
      <c r="N931" s="52"/>
      <c r="O931" s="52"/>
      <c r="P931" s="52"/>
      <c r="Q931" s="52"/>
      <c r="U931" s="52"/>
    </row>
    <row r="932">
      <c r="M932" s="52"/>
      <c r="N932" s="52"/>
      <c r="O932" s="52"/>
      <c r="P932" s="52"/>
      <c r="Q932" s="52"/>
      <c r="U932" s="52"/>
    </row>
    <row r="933">
      <c r="M933" s="52"/>
      <c r="N933" s="52"/>
      <c r="O933" s="52"/>
      <c r="P933" s="52"/>
      <c r="Q933" s="52"/>
      <c r="U933" s="52"/>
    </row>
    <row r="934">
      <c r="M934" s="52"/>
      <c r="N934" s="52"/>
      <c r="O934" s="52"/>
      <c r="P934" s="52"/>
      <c r="Q934" s="52"/>
      <c r="U934" s="52"/>
    </row>
    <row r="935">
      <c r="M935" s="52"/>
      <c r="N935" s="52"/>
      <c r="O935" s="52"/>
      <c r="P935" s="52"/>
      <c r="Q935" s="52"/>
      <c r="U935" s="52"/>
    </row>
    <row r="936">
      <c r="M936" s="52"/>
      <c r="N936" s="52"/>
      <c r="O936" s="52"/>
      <c r="P936" s="52"/>
      <c r="Q936" s="52"/>
      <c r="U936" s="52"/>
    </row>
    <row r="937">
      <c r="M937" s="52"/>
      <c r="N937" s="52"/>
      <c r="O937" s="52"/>
      <c r="P937" s="52"/>
      <c r="Q937" s="52"/>
      <c r="U937" s="52"/>
    </row>
    <row r="938">
      <c r="M938" s="52"/>
      <c r="N938" s="52"/>
      <c r="O938" s="52"/>
      <c r="P938" s="52"/>
      <c r="Q938" s="52"/>
      <c r="U938" s="52"/>
    </row>
    <row r="939">
      <c r="M939" s="52"/>
      <c r="N939" s="52"/>
      <c r="O939" s="52"/>
      <c r="P939" s="52"/>
      <c r="Q939" s="52"/>
      <c r="U939" s="52"/>
    </row>
    <row r="940">
      <c r="M940" s="52"/>
      <c r="N940" s="52"/>
      <c r="O940" s="52"/>
      <c r="P940" s="52"/>
      <c r="Q940" s="52"/>
      <c r="U940" s="52"/>
    </row>
    <row r="941">
      <c r="M941" s="52"/>
      <c r="N941" s="52"/>
      <c r="O941" s="52"/>
      <c r="P941" s="52"/>
      <c r="Q941" s="52"/>
      <c r="U941" s="52"/>
    </row>
    <row r="942">
      <c r="M942" s="52"/>
      <c r="N942" s="52"/>
      <c r="O942" s="52"/>
      <c r="P942" s="52"/>
      <c r="Q942" s="52"/>
      <c r="U942" s="52"/>
    </row>
    <row r="943">
      <c r="M943" s="52"/>
      <c r="N943" s="52"/>
      <c r="O943" s="52"/>
      <c r="P943" s="52"/>
      <c r="Q943" s="52"/>
      <c r="U943" s="52"/>
    </row>
    <row r="944">
      <c r="M944" s="52"/>
      <c r="N944" s="52"/>
      <c r="O944" s="52"/>
      <c r="P944" s="52"/>
      <c r="Q944" s="52"/>
      <c r="U944" s="52"/>
    </row>
    <row r="945">
      <c r="M945" s="52"/>
      <c r="N945" s="52"/>
      <c r="O945" s="52"/>
      <c r="P945" s="52"/>
      <c r="Q945" s="52"/>
      <c r="U945" s="52"/>
    </row>
    <row r="946">
      <c r="M946" s="52"/>
      <c r="N946" s="52"/>
      <c r="O946" s="52"/>
      <c r="P946" s="52"/>
      <c r="Q946" s="52"/>
      <c r="U946" s="52"/>
    </row>
    <row r="947">
      <c r="M947" s="52"/>
      <c r="N947" s="52"/>
      <c r="O947" s="52"/>
      <c r="P947" s="52"/>
      <c r="Q947" s="52"/>
      <c r="U947" s="52"/>
    </row>
    <row r="948">
      <c r="M948" s="52"/>
      <c r="N948" s="52"/>
      <c r="O948" s="52"/>
      <c r="P948" s="52"/>
      <c r="Q948" s="52"/>
      <c r="U948" s="52"/>
    </row>
    <row r="949">
      <c r="M949" s="52"/>
      <c r="N949" s="52"/>
      <c r="O949" s="52"/>
      <c r="P949" s="52"/>
      <c r="Q949" s="52"/>
      <c r="U949" s="52"/>
    </row>
    <row r="950">
      <c r="M950" s="52"/>
      <c r="N950" s="52"/>
      <c r="O950" s="52"/>
      <c r="P950" s="52"/>
      <c r="Q950" s="52"/>
      <c r="U950" s="52"/>
    </row>
    <row r="951">
      <c r="M951" s="52"/>
      <c r="N951" s="52"/>
      <c r="O951" s="52"/>
      <c r="P951" s="52"/>
      <c r="Q951" s="52"/>
      <c r="U951" s="52"/>
    </row>
    <row r="952">
      <c r="M952" s="52"/>
      <c r="N952" s="52"/>
      <c r="O952" s="52"/>
      <c r="P952" s="52"/>
      <c r="Q952" s="52"/>
      <c r="U952" s="52"/>
    </row>
    <row r="953">
      <c r="M953" s="52"/>
      <c r="N953" s="52"/>
      <c r="O953" s="52"/>
      <c r="P953" s="52"/>
      <c r="Q953" s="52"/>
      <c r="U953" s="52"/>
    </row>
    <row r="954">
      <c r="M954" s="52"/>
      <c r="N954" s="52"/>
      <c r="O954" s="52"/>
      <c r="P954" s="52"/>
      <c r="Q954" s="52"/>
      <c r="U954" s="52"/>
    </row>
    <row r="955">
      <c r="M955" s="52"/>
      <c r="N955" s="52"/>
      <c r="O955" s="52"/>
      <c r="P955" s="52"/>
      <c r="Q955" s="52"/>
      <c r="U955" s="52"/>
    </row>
    <row r="956">
      <c r="M956" s="52"/>
      <c r="N956" s="52"/>
      <c r="O956" s="52"/>
      <c r="P956" s="52"/>
      <c r="Q956" s="52"/>
      <c r="U956" s="52"/>
    </row>
    <row r="957">
      <c r="M957" s="52"/>
      <c r="N957" s="52"/>
      <c r="O957" s="52"/>
      <c r="P957" s="52"/>
      <c r="Q957" s="52"/>
      <c r="U957" s="52"/>
    </row>
    <row r="958">
      <c r="M958" s="52"/>
      <c r="N958" s="52"/>
      <c r="O958" s="52"/>
      <c r="P958" s="52"/>
      <c r="Q958" s="52"/>
      <c r="U958" s="52"/>
    </row>
    <row r="959">
      <c r="M959" s="52"/>
      <c r="N959" s="52"/>
      <c r="O959" s="52"/>
      <c r="P959" s="52"/>
      <c r="Q959" s="52"/>
      <c r="U959" s="52"/>
    </row>
    <row r="960">
      <c r="M960" s="52"/>
      <c r="N960" s="52"/>
      <c r="O960" s="52"/>
      <c r="P960" s="52"/>
      <c r="Q960" s="52"/>
      <c r="U960" s="52"/>
    </row>
    <row r="961">
      <c r="M961" s="52"/>
      <c r="N961" s="52"/>
      <c r="O961" s="52"/>
      <c r="P961" s="52"/>
      <c r="Q961" s="52"/>
      <c r="U961" s="52"/>
    </row>
    <row r="962">
      <c r="M962" s="52"/>
      <c r="N962" s="52"/>
      <c r="O962" s="52"/>
      <c r="P962" s="52"/>
      <c r="Q962" s="52"/>
      <c r="U962" s="52"/>
    </row>
    <row r="963">
      <c r="M963" s="52"/>
      <c r="N963" s="52"/>
      <c r="O963" s="52"/>
      <c r="P963" s="52"/>
      <c r="Q963" s="52"/>
      <c r="U963" s="52"/>
    </row>
    <row r="964">
      <c r="M964" s="52"/>
      <c r="N964" s="52"/>
      <c r="O964" s="52"/>
      <c r="P964" s="52"/>
      <c r="Q964" s="52"/>
      <c r="U964" s="52"/>
    </row>
    <row r="965">
      <c r="M965" s="52"/>
      <c r="N965" s="52"/>
      <c r="O965" s="52"/>
      <c r="P965" s="52"/>
      <c r="Q965" s="52"/>
      <c r="U965" s="52"/>
    </row>
    <row r="966">
      <c r="M966" s="52"/>
      <c r="N966" s="52"/>
      <c r="O966" s="52"/>
      <c r="P966" s="52"/>
      <c r="Q966" s="52"/>
      <c r="U966" s="52"/>
    </row>
    <row r="967">
      <c r="M967" s="52"/>
      <c r="N967" s="52"/>
      <c r="O967" s="52"/>
      <c r="P967" s="52"/>
      <c r="Q967" s="52"/>
      <c r="U967" s="52"/>
    </row>
    <row r="968">
      <c r="M968" s="52"/>
      <c r="N968" s="52"/>
      <c r="O968" s="52"/>
      <c r="P968" s="52"/>
      <c r="Q968" s="52"/>
      <c r="U968" s="52"/>
    </row>
    <row r="969">
      <c r="M969" s="52"/>
      <c r="N969" s="52"/>
      <c r="O969" s="52"/>
      <c r="P969" s="52"/>
      <c r="Q969" s="52"/>
      <c r="U969" s="52"/>
    </row>
    <row r="970">
      <c r="M970" s="52"/>
      <c r="N970" s="52"/>
      <c r="O970" s="52"/>
      <c r="P970" s="52"/>
      <c r="Q970" s="52"/>
      <c r="U970" s="52"/>
    </row>
    <row r="971">
      <c r="M971" s="52"/>
      <c r="N971" s="52"/>
      <c r="O971" s="52"/>
      <c r="P971" s="52"/>
      <c r="Q971" s="52"/>
      <c r="U971" s="52"/>
    </row>
    <row r="972">
      <c r="M972" s="52"/>
      <c r="N972" s="52"/>
      <c r="O972" s="52"/>
      <c r="P972" s="52"/>
      <c r="Q972" s="52"/>
      <c r="U972" s="52"/>
    </row>
    <row r="973">
      <c r="M973" s="52"/>
      <c r="N973" s="52"/>
      <c r="O973" s="52"/>
      <c r="P973" s="52"/>
      <c r="Q973" s="52"/>
      <c r="U973" s="52"/>
    </row>
    <row r="974">
      <c r="M974" s="52"/>
      <c r="N974" s="52"/>
      <c r="O974" s="52"/>
      <c r="P974" s="52"/>
      <c r="Q974" s="52"/>
      <c r="U974" s="52"/>
    </row>
    <row r="975">
      <c r="M975" s="52"/>
      <c r="N975" s="52"/>
      <c r="O975" s="52"/>
      <c r="P975" s="52"/>
      <c r="Q975" s="52"/>
      <c r="U975" s="52"/>
    </row>
    <row r="976">
      <c r="M976" s="52"/>
      <c r="N976" s="52"/>
      <c r="O976" s="52"/>
      <c r="P976" s="52"/>
      <c r="Q976" s="52"/>
      <c r="U976" s="52"/>
    </row>
    <row r="977">
      <c r="M977" s="52"/>
      <c r="N977" s="52"/>
      <c r="O977" s="52"/>
      <c r="P977" s="52"/>
      <c r="Q977" s="52"/>
      <c r="U977" s="52"/>
    </row>
    <row r="978">
      <c r="M978" s="52"/>
      <c r="N978" s="52"/>
      <c r="O978" s="52"/>
      <c r="P978" s="52"/>
      <c r="Q978" s="52"/>
      <c r="U978" s="52"/>
    </row>
    <row r="979">
      <c r="M979" s="52"/>
      <c r="N979" s="52"/>
      <c r="O979" s="52"/>
      <c r="P979" s="52"/>
      <c r="Q979" s="52"/>
      <c r="U979" s="52"/>
    </row>
    <row r="980">
      <c r="M980" s="52"/>
      <c r="N980" s="52"/>
      <c r="O980" s="52"/>
      <c r="P980" s="52"/>
      <c r="Q980" s="52"/>
      <c r="U980" s="52"/>
    </row>
    <row r="981">
      <c r="M981" s="52"/>
      <c r="N981" s="52"/>
      <c r="O981" s="52"/>
      <c r="P981" s="52"/>
      <c r="Q981" s="52"/>
      <c r="U981" s="52"/>
    </row>
    <row r="982">
      <c r="M982" s="52"/>
      <c r="N982" s="52"/>
      <c r="O982" s="52"/>
      <c r="P982" s="52"/>
      <c r="Q982" s="52"/>
      <c r="U982" s="52"/>
    </row>
    <row r="983">
      <c r="M983" s="52"/>
      <c r="N983" s="52"/>
      <c r="O983" s="52"/>
      <c r="P983" s="52"/>
      <c r="Q983" s="52"/>
      <c r="U983" s="52"/>
    </row>
    <row r="984">
      <c r="M984" s="52"/>
      <c r="N984" s="52"/>
      <c r="O984" s="52"/>
      <c r="P984" s="52"/>
      <c r="Q984" s="52"/>
      <c r="U984" s="52"/>
    </row>
    <row r="985">
      <c r="M985" s="52"/>
      <c r="N985" s="52"/>
      <c r="O985" s="52"/>
      <c r="P985" s="52"/>
      <c r="Q985" s="52"/>
      <c r="U985" s="52"/>
    </row>
    <row r="986">
      <c r="M986" s="52"/>
      <c r="N986" s="52"/>
      <c r="O986" s="52"/>
      <c r="P986" s="52"/>
      <c r="Q986" s="52"/>
      <c r="U986" s="52"/>
    </row>
    <row r="987">
      <c r="M987" s="52"/>
      <c r="N987" s="52"/>
      <c r="O987" s="52"/>
      <c r="P987" s="52"/>
      <c r="Q987" s="52"/>
      <c r="U987" s="52"/>
    </row>
    <row r="988">
      <c r="M988" s="52"/>
      <c r="N988" s="52"/>
      <c r="O988" s="52"/>
      <c r="P988" s="52"/>
      <c r="Q988" s="52"/>
      <c r="U988" s="52"/>
    </row>
    <row r="989">
      <c r="M989" s="52"/>
      <c r="N989" s="52"/>
      <c r="O989" s="52"/>
      <c r="P989" s="52"/>
      <c r="Q989" s="52"/>
      <c r="U989" s="52"/>
    </row>
    <row r="990">
      <c r="M990" s="52"/>
      <c r="N990" s="52"/>
      <c r="O990" s="52"/>
      <c r="P990" s="52"/>
      <c r="Q990" s="52"/>
      <c r="U990" s="52"/>
    </row>
    <row r="991">
      <c r="M991" s="52"/>
      <c r="N991" s="52"/>
      <c r="O991" s="52"/>
      <c r="P991" s="52"/>
      <c r="Q991" s="52"/>
      <c r="U991" s="52"/>
    </row>
    <row r="992">
      <c r="M992" s="52"/>
      <c r="N992" s="52"/>
      <c r="O992" s="52"/>
      <c r="P992" s="52"/>
      <c r="Q992" s="52"/>
      <c r="U992" s="52"/>
    </row>
    <row r="993">
      <c r="M993" s="52"/>
      <c r="N993" s="52"/>
      <c r="O993" s="52"/>
      <c r="P993" s="52"/>
      <c r="Q993" s="52"/>
      <c r="U993" s="52"/>
    </row>
    <row r="994">
      <c r="M994" s="52"/>
      <c r="N994" s="52"/>
      <c r="O994" s="52"/>
      <c r="P994" s="52"/>
      <c r="Q994" s="52"/>
      <c r="U994" s="52"/>
    </row>
    <row r="995">
      <c r="M995" s="52"/>
      <c r="N995" s="52"/>
      <c r="O995" s="52"/>
      <c r="P995" s="52"/>
      <c r="Q995" s="52"/>
      <c r="U995" s="52"/>
    </row>
    <row r="996">
      <c r="M996" s="52"/>
      <c r="N996" s="52"/>
      <c r="O996" s="52"/>
      <c r="P996" s="52"/>
      <c r="Q996" s="52"/>
      <c r="U996" s="52"/>
    </row>
    <row r="997">
      <c r="M997" s="52"/>
      <c r="N997" s="52"/>
      <c r="O997" s="52"/>
      <c r="P997" s="52"/>
      <c r="Q997" s="52"/>
      <c r="U997" s="52"/>
    </row>
    <row r="998">
      <c r="M998" s="52"/>
      <c r="N998" s="52"/>
      <c r="O998" s="52"/>
      <c r="P998" s="52"/>
      <c r="Q998" s="52"/>
      <c r="U998" s="52"/>
    </row>
    <row r="999">
      <c r="M999" s="52"/>
      <c r="N999" s="52"/>
      <c r="O999" s="52"/>
      <c r="P999" s="52"/>
      <c r="Q999" s="52"/>
      <c r="U999" s="52"/>
    </row>
    <row r="1000">
      <c r="M1000" s="52"/>
      <c r="N1000" s="52"/>
      <c r="O1000" s="52"/>
      <c r="P1000" s="52"/>
      <c r="Q1000" s="52"/>
      <c r="U1000" s="52"/>
    </row>
  </sheetData>
  <mergeCells count="7">
    <mergeCell ref="A1:A2"/>
    <mergeCell ref="B1:B2"/>
    <mergeCell ref="C1:G1"/>
    <mergeCell ref="H1:I1"/>
    <mergeCell ref="J1:J2"/>
    <mergeCell ref="K1:O1"/>
    <mergeCell ref="P1:U1"/>
  </mergeCells>
  <conditionalFormatting sqref="N3:N9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G3:G9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3:H9">
    <cfRule type="colorScale" priority="3">
      <colorScale>
        <cfvo type="formula" val="0"/>
        <cfvo type="max"/>
        <color rgb="FFFFFFFF"/>
        <color rgb="FF57BB8A"/>
      </colorScale>
    </cfRule>
  </conditionalFormatting>
  <conditionalFormatting sqref="I3:I9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J3:J9">
    <cfRule type="colorScale" priority="5">
      <colorScale>
        <cfvo type="formula" val="0"/>
        <cfvo type="max"/>
        <color rgb="FFFFFFFF"/>
        <color rgb="FF57BB8A"/>
      </colorScale>
    </cfRule>
  </conditionalFormatting>
  <conditionalFormatting sqref="K3:K9">
    <cfRule type="colorScale" priority="6">
      <colorScale>
        <cfvo type="formula" val="0"/>
        <cfvo type="max"/>
        <color rgb="FFFFFFFF"/>
        <color rgb="FF57BB8A"/>
      </colorScale>
    </cfRule>
  </conditionalFormatting>
  <conditionalFormatting sqref="L3:L9">
    <cfRule type="colorScale" priority="7">
      <colorScale>
        <cfvo type="formula" val="0"/>
        <cfvo type="max"/>
        <color rgb="FFFFFFFF"/>
        <color rgb="FFE67C73"/>
      </colorScale>
    </cfRule>
  </conditionalFormatting>
  <conditionalFormatting sqref="C3:C9">
    <cfRule type="colorScale" priority="8">
      <colorScale>
        <cfvo type="formula" val="0"/>
        <cfvo type="max"/>
        <color rgb="FFFFFFFF"/>
        <color rgb="FFFFD666"/>
      </colorScale>
    </cfRule>
  </conditionalFormatting>
  <conditionalFormatting sqref="D3:D9">
    <cfRule type="colorScale" priority="9">
      <colorScale>
        <cfvo type="formula" val="0"/>
        <cfvo type="max"/>
        <color rgb="FFFFFFFF"/>
        <color rgb="FF57BB8A"/>
      </colorScale>
    </cfRule>
  </conditionalFormatting>
  <conditionalFormatting sqref="E3:E9">
    <cfRule type="colorScale" priority="10">
      <colorScale>
        <cfvo type="formula" val="0"/>
        <cfvo type="max"/>
        <color rgb="FFFFFFFF"/>
        <color rgb="FFE67C73"/>
      </colorScale>
    </cfRule>
  </conditionalFormatting>
  <conditionalFormatting sqref="F3:F9">
    <cfRule type="colorScale" priority="11">
      <colorScale>
        <cfvo type="formula" val="0"/>
        <cfvo type="max"/>
        <color rgb="FFFFFFFF"/>
        <color rgb="FF57BB8A"/>
      </colorScale>
    </cfRule>
  </conditionalFormatting>
  <conditionalFormatting sqref="M3:M9">
    <cfRule type="colorScale" priority="12">
      <colorScale>
        <cfvo type="formula" val="0"/>
        <cfvo type="max"/>
        <color rgb="FFFFFFFF"/>
        <color rgb="FFFFD666"/>
      </colorScale>
    </cfRule>
  </conditionalFormatting>
  <conditionalFormatting sqref="O3:O9">
    <cfRule type="colorScale" priority="13">
      <colorScale>
        <cfvo type="formula" val="0"/>
        <cfvo type="formula" val="1"/>
        <color rgb="FFFFFFFF"/>
        <color rgb="FF57BB8A"/>
      </colorScale>
    </cfRule>
  </conditionalFormatting>
  <conditionalFormatting sqref="P3:P9">
    <cfRule type="colorScale" priority="14">
      <colorScale>
        <cfvo type="formula" val="0"/>
        <cfvo type="max"/>
        <color rgb="FFFFFFFF"/>
        <color rgb="FFFFD666"/>
      </colorScale>
    </cfRule>
  </conditionalFormatting>
  <conditionalFormatting sqref="U3:U9">
    <cfRule type="colorScale" priority="15">
      <colorScale>
        <cfvo type="formula" val="0"/>
        <cfvo type="formula" val="2"/>
        <cfvo type="formula" val="3"/>
        <color rgb="FFE67C73"/>
        <color rgb="FFFFFFFF"/>
        <color rgb="FF57BB8A"/>
      </colorScale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7.63"/>
    <col customWidth="1" min="4" max="4" width="5.63"/>
    <col customWidth="1" min="5" max="5" width="6.88"/>
    <col customWidth="1" min="6" max="6" width="8.38"/>
    <col customWidth="1" min="7" max="7" width="15.5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1" t="s">
        <v>4</v>
      </c>
      <c r="K1" s="6" t="s">
        <v>5</v>
      </c>
      <c r="L1" s="4"/>
      <c r="M1" s="4"/>
      <c r="N1" s="4"/>
      <c r="O1" s="5"/>
      <c r="P1" s="30" t="s">
        <v>6</v>
      </c>
      <c r="Q1" s="4"/>
      <c r="R1" s="4"/>
      <c r="S1" s="4"/>
      <c r="T1" s="4"/>
      <c r="U1" s="5"/>
    </row>
    <row r="2">
      <c r="A2" s="9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2" t="s">
        <v>13</v>
      </c>
      <c r="I2" s="12" t="s">
        <v>14</v>
      </c>
      <c r="J2" s="9"/>
      <c r="K2" s="10" t="s">
        <v>15</v>
      </c>
      <c r="L2" s="12" t="s">
        <v>10</v>
      </c>
      <c r="M2" s="10" t="s">
        <v>16</v>
      </c>
      <c r="N2" s="10" t="s">
        <v>12</v>
      </c>
      <c r="O2" s="10" t="s">
        <v>18</v>
      </c>
      <c r="P2" s="15" t="s">
        <v>8</v>
      </c>
      <c r="Q2" s="15">
        <v>0.0</v>
      </c>
      <c r="R2" s="15">
        <v>1.0</v>
      </c>
      <c r="S2" s="15">
        <v>2.0</v>
      </c>
      <c r="T2" s="15">
        <v>3.0</v>
      </c>
      <c r="U2" s="15" t="s">
        <v>19</v>
      </c>
    </row>
    <row r="3">
      <c r="A3" s="18" t="s">
        <v>21</v>
      </c>
      <c r="B3" s="18" t="s">
        <v>43</v>
      </c>
      <c r="C3" s="10">
        <v>7.0</v>
      </c>
      <c r="D3" s="10">
        <v>2.0</v>
      </c>
      <c r="E3" s="10">
        <v>1.0</v>
      </c>
      <c r="F3" s="35"/>
      <c r="G3" s="35">
        <f t="shared" ref="G3:G9" si="1">IFS(C3=0, "N/A", C3&lt;&gt;0,(D3-E3)/C3 )</f>
        <v>0.1428571429</v>
      </c>
      <c r="H3" s="35"/>
      <c r="I3" s="10"/>
      <c r="J3" s="10">
        <v>1.0</v>
      </c>
      <c r="K3" s="35"/>
      <c r="L3" s="10"/>
      <c r="M3" s="10">
        <v>1.0</v>
      </c>
      <c r="N3" s="35">
        <f t="shared" ref="N3:N9" si="2">ifs(M3=0,"N/A",M3&lt;&gt;0,(M3-L3) /M3)</f>
        <v>1</v>
      </c>
      <c r="O3" s="35">
        <f t="shared" ref="O3:O9" si="3">IFS(M3=0, "N/A", M3&lt;&gt;0, K3/M3)</f>
        <v>0</v>
      </c>
      <c r="P3" s="10">
        <f t="shared" ref="P3:P9" si="4">sum(Q3,R3,S3,T3)</f>
        <v>2</v>
      </c>
      <c r="Q3" s="10">
        <v>1.0</v>
      </c>
      <c r="R3" s="10"/>
      <c r="S3" s="10">
        <v>1.0</v>
      </c>
      <c r="T3" s="10"/>
      <c r="U3" s="10">
        <f t="shared" ref="U3:U9" si="5">ifs(P3=0, "N/A",P3&lt;&gt;0,(R3 + S3*2 +T3*3)/P3)</f>
        <v>1</v>
      </c>
    </row>
    <row r="4">
      <c r="A4" s="21" t="s">
        <v>24</v>
      </c>
      <c r="B4" s="21" t="s">
        <v>84</v>
      </c>
      <c r="C4" s="10">
        <v>3.0</v>
      </c>
      <c r="D4" s="10">
        <v>1.0</v>
      </c>
      <c r="E4" s="10">
        <v>1.0</v>
      </c>
      <c r="F4" s="35"/>
      <c r="G4" s="35">
        <f t="shared" si="1"/>
        <v>0</v>
      </c>
      <c r="H4" s="10"/>
      <c r="I4" s="10"/>
      <c r="J4" s="10">
        <v>1.0</v>
      </c>
      <c r="K4" s="35"/>
      <c r="L4" s="10"/>
      <c r="M4" s="10"/>
      <c r="N4" s="35" t="str">
        <f t="shared" si="2"/>
        <v>N/A</v>
      </c>
      <c r="O4" s="35" t="str">
        <f t="shared" si="3"/>
        <v>N/A</v>
      </c>
      <c r="P4" s="10">
        <f t="shared" si="4"/>
        <v>1</v>
      </c>
      <c r="Q4" s="10"/>
      <c r="R4" s="35"/>
      <c r="S4" s="35"/>
      <c r="T4" s="10">
        <v>1.0</v>
      </c>
      <c r="U4" s="10">
        <f t="shared" si="5"/>
        <v>3</v>
      </c>
    </row>
    <row r="5">
      <c r="A5" s="22" t="s">
        <v>26</v>
      </c>
      <c r="B5" s="22" t="s">
        <v>42</v>
      </c>
      <c r="C5" s="10"/>
      <c r="D5" s="10"/>
      <c r="E5" s="10"/>
      <c r="F5" s="10">
        <v>2.0</v>
      </c>
      <c r="G5" s="35" t="str">
        <f t="shared" si="1"/>
        <v>N/A</v>
      </c>
      <c r="H5" s="10"/>
      <c r="I5" s="10"/>
      <c r="J5" s="10"/>
      <c r="K5" s="10"/>
      <c r="L5" s="35"/>
      <c r="M5" s="10">
        <v>1.0</v>
      </c>
      <c r="N5" s="35">
        <f t="shared" si="2"/>
        <v>1</v>
      </c>
      <c r="O5" s="35">
        <f t="shared" si="3"/>
        <v>0</v>
      </c>
      <c r="P5" s="10">
        <f t="shared" si="4"/>
        <v>0</v>
      </c>
      <c r="Q5" s="35"/>
      <c r="R5" s="35"/>
      <c r="S5" s="35"/>
      <c r="T5" s="10"/>
      <c r="U5" s="10" t="str">
        <f t="shared" si="5"/>
        <v>N/A</v>
      </c>
    </row>
    <row r="6">
      <c r="A6" s="23" t="s">
        <v>28</v>
      </c>
      <c r="B6" s="23" t="s">
        <v>45</v>
      </c>
      <c r="C6" s="10">
        <v>1.0</v>
      </c>
      <c r="D6" s="10"/>
      <c r="E6" s="10"/>
      <c r="F6" s="10">
        <v>1.0</v>
      </c>
      <c r="G6" s="35">
        <f t="shared" si="1"/>
        <v>0</v>
      </c>
      <c r="H6" s="35"/>
      <c r="I6" s="35"/>
      <c r="J6" s="10">
        <v>1.0</v>
      </c>
      <c r="K6" s="10">
        <v>1.0</v>
      </c>
      <c r="L6" s="10"/>
      <c r="M6" s="10">
        <v>4.0</v>
      </c>
      <c r="N6" s="35">
        <f t="shared" si="2"/>
        <v>1</v>
      </c>
      <c r="O6" s="35">
        <f t="shared" si="3"/>
        <v>0.25</v>
      </c>
      <c r="P6" s="10">
        <f t="shared" si="4"/>
        <v>2</v>
      </c>
      <c r="Q6" s="10"/>
      <c r="R6" s="10">
        <v>1.0</v>
      </c>
      <c r="S6" s="10"/>
      <c r="T6" s="10">
        <v>1.0</v>
      </c>
      <c r="U6" s="10">
        <f t="shared" si="5"/>
        <v>2</v>
      </c>
    </row>
    <row r="7">
      <c r="A7" s="24" t="s">
        <v>30</v>
      </c>
      <c r="B7" s="24" t="s">
        <v>85</v>
      </c>
      <c r="C7" s="10">
        <v>2.0</v>
      </c>
      <c r="D7" s="10"/>
      <c r="E7" s="10"/>
      <c r="F7" s="35"/>
      <c r="G7" s="35">
        <f t="shared" si="1"/>
        <v>0</v>
      </c>
      <c r="H7" s="35"/>
      <c r="I7" s="35"/>
      <c r="J7" s="10">
        <v>2.0</v>
      </c>
      <c r="K7" s="10"/>
      <c r="L7" s="10">
        <v>1.0</v>
      </c>
      <c r="M7" s="10">
        <v>2.0</v>
      </c>
      <c r="N7" s="35">
        <f t="shared" si="2"/>
        <v>0.5</v>
      </c>
      <c r="O7" s="35">
        <f t="shared" si="3"/>
        <v>0</v>
      </c>
      <c r="P7" s="10">
        <f t="shared" si="4"/>
        <v>0</v>
      </c>
      <c r="Q7" s="10"/>
      <c r="R7" s="35"/>
      <c r="S7" s="10"/>
      <c r="T7" s="35"/>
      <c r="U7" s="10" t="str">
        <f t="shared" si="5"/>
        <v>N/A</v>
      </c>
    </row>
    <row r="8">
      <c r="A8" s="25" t="s">
        <v>32</v>
      </c>
      <c r="B8" s="25" t="s">
        <v>101</v>
      </c>
      <c r="C8" s="10">
        <v>1.0</v>
      </c>
      <c r="D8" s="10">
        <v>1.0</v>
      </c>
      <c r="E8" s="10"/>
      <c r="F8" s="35"/>
      <c r="G8" s="35">
        <f t="shared" si="1"/>
        <v>1</v>
      </c>
      <c r="H8" s="35"/>
      <c r="I8" s="10"/>
      <c r="J8" s="10">
        <v>1.0</v>
      </c>
      <c r="K8" s="35"/>
      <c r="L8" s="35"/>
      <c r="M8" s="10">
        <v>1.0</v>
      </c>
      <c r="N8" s="35">
        <f t="shared" si="2"/>
        <v>1</v>
      </c>
      <c r="O8" s="35">
        <f t="shared" si="3"/>
        <v>0</v>
      </c>
      <c r="P8" s="10">
        <f t="shared" si="4"/>
        <v>4</v>
      </c>
      <c r="Q8" s="10"/>
      <c r="R8" s="10"/>
      <c r="S8" s="10">
        <v>2.0</v>
      </c>
      <c r="T8" s="10">
        <v>2.0</v>
      </c>
      <c r="U8" s="10">
        <f t="shared" si="5"/>
        <v>2.5</v>
      </c>
    </row>
    <row r="9">
      <c r="A9" s="26" t="s">
        <v>34</v>
      </c>
      <c r="B9" s="26" t="s">
        <v>41</v>
      </c>
      <c r="C9" s="10">
        <v>1.0</v>
      </c>
      <c r="D9" s="10"/>
      <c r="E9" s="10"/>
      <c r="F9" s="35"/>
      <c r="G9" s="35">
        <f t="shared" si="1"/>
        <v>0</v>
      </c>
      <c r="H9" s="35"/>
      <c r="I9" s="35"/>
      <c r="J9" s="10"/>
      <c r="K9" s="35"/>
      <c r="L9" s="10">
        <v>1.0</v>
      </c>
      <c r="M9" s="10">
        <v>1.0</v>
      </c>
      <c r="N9" s="35">
        <f t="shared" si="2"/>
        <v>0</v>
      </c>
      <c r="O9" s="35">
        <f t="shared" si="3"/>
        <v>0</v>
      </c>
      <c r="P9" s="10">
        <f t="shared" si="4"/>
        <v>0</v>
      </c>
      <c r="Q9" s="35"/>
      <c r="R9" s="10"/>
      <c r="S9" s="10"/>
      <c r="T9" s="35"/>
      <c r="U9" s="10" t="str">
        <f t="shared" si="5"/>
        <v>N/A</v>
      </c>
    </row>
    <row r="10">
      <c r="M10" s="52"/>
      <c r="N10" s="52"/>
      <c r="O10" s="52"/>
      <c r="P10" s="52"/>
      <c r="Q10" s="52"/>
      <c r="U10" s="52"/>
    </row>
    <row r="11">
      <c r="M11" s="52"/>
      <c r="N11" s="52"/>
      <c r="O11" s="52"/>
      <c r="P11" s="52"/>
      <c r="Q11" s="52"/>
      <c r="U11" s="52"/>
    </row>
    <row r="12">
      <c r="M12" s="52"/>
      <c r="N12" s="52"/>
      <c r="O12" s="52"/>
      <c r="P12" s="52"/>
      <c r="Q12" s="52"/>
      <c r="U12" s="52"/>
    </row>
    <row r="13">
      <c r="M13" s="52"/>
      <c r="N13" s="52"/>
      <c r="O13" s="52"/>
      <c r="P13" s="52"/>
      <c r="Q13" s="52"/>
      <c r="U13" s="52"/>
    </row>
    <row r="14">
      <c r="M14" s="52"/>
      <c r="N14" s="52"/>
      <c r="O14" s="52"/>
      <c r="P14" s="52"/>
      <c r="Q14" s="52"/>
      <c r="U14" s="52"/>
    </row>
    <row r="15">
      <c r="M15" s="52"/>
      <c r="N15" s="52"/>
      <c r="O15" s="52"/>
      <c r="P15" s="52"/>
      <c r="Q15" s="52"/>
      <c r="U15" s="52"/>
    </row>
    <row r="16">
      <c r="M16" s="52"/>
      <c r="N16" s="52"/>
      <c r="O16" s="52"/>
      <c r="P16" s="52"/>
      <c r="Q16" s="52"/>
      <c r="U16" s="52"/>
    </row>
    <row r="17">
      <c r="M17" s="52"/>
      <c r="N17" s="52"/>
      <c r="O17" s="52"/>
      <c r="P17" s="52"/>
      <c r="Q17" s="52"/>
      <c r="U17" s="52"/>
    </row>
    <row r="18">
      <c r="M18" s="52"/>
      <c r="N18" s="52"/>
      <c r="O18" s="52"/>
      <c r="P18" s="52"/>
      <c r="Q18" s="52"/>
      <c r="U18" s="52"/>
    </row>
    <row r="19">
      <c r="M19" s="52"/>
      <c r="N19" s="52"/>
      <c r="O19" s="52"/>
      <c r="P19" s="52"/>
      <c r="Q19" s="52"/>
      <c r="U19" s="52"/>
    </row>
    <row r="20">
      <c r="M20" s="52"/>
      <c r="N20" s="52"/>
      <c r="O20" s="52"/>
      <c r="P20" s="52"/>
      <c r="Q20" s="52"/>
      <c r="U20" s="52"/>
    </row>
    <row r="21">
      <c r="M21" s="52"/>
      <c r="N21" s="52"/>
      <c r="O21" s="52"/>
      <c r="P21" s="52"/>
      <c r="Q21" s="52"/>
      <c r="U21" s="52"/>
    </row>
    <row r="22">
      <c r="M22" s="52"/>
      <c r="N22" s="52"/>
      <c r="O22" s="52"/>
      <c r="P22" s="52"/>
      <c r="Q22" s="52"/>
      <c r="U22" s="52"/>
    </row>
    <row r="23">
      <c r="M23" s="52"/>
      <c r="N23" s="52"/>
      <c r="O23" s="52"/>
      <c r="P23" s="52"/>
      <c r="Q23" s="52"/>
      <c r="U23" s="52"/>
    </row>
    <row r="24">
      <c r="M24" s="52"/>
      <c r="N24" s="52"/>
      <c r="O24" s="52"/>
      <c r="P24" s="52"/>
      <c r="Q24" s="52"/>
      <c r="U24" s="52"/>
    </row>
    <row r="25">
      <c r="M25" s="52"/>
      <c r="N25" s="52"/>
      <c r="O25" s="52"/>
      <c r="P25" s="52"/>
      <c r="Q25" s="52"/>
      <c r="U25" s="52"/>
    </row>
    <row r="26">
      <c r="M26" s="52"/>
      <c r="N26" s="52"/>
      <c r="O26" s="52"/>
      <c r="P26" s="52"/>
      <c r="Q26" s="52"/>
      <c r="U26" s="52"/>
    </row>
    <row r="27">
      <c r="M27" s="52"/>
      <c r="N27" s="52"/>
      <c r="O27" s="52"/>
      <c r="P27" s="52"/>
      <c r="Q27" s="52"/>
      <c r="U27" s="52"/>
    </row>
    <row r="28">
      <c r="M28" s="52"/>
      <c r="N28" s="52"/>
      <c r="O28" s="52"/>
      <c r="P28" s="52"/>
      <c r="Q28" s="52"/>
      <c r="U28" s="52"/>
    </row>
    <row r="29">
      <c r="M29" s="52"/>
      <c r="N29" s="52"/>
      <c r="O29" s="52"/>
      <c r="P29" s="52"/>
      <c r="Q29" s="52"/>
      <c r="U29" s="52"/>
    </row>
    <row r="30">
      <c r="M30" s="52"/>
      <c r="N30" s="52"/>
      <c r="O30" s="52"/>
      <c r="P30" s="52"/>
      <c r="Q30" s="52"/>
      <c r="U30" s="52"/>
    </row>
    <row r="31">
      <c r="M31" s="52"/>
      <c r="N31" s="52"/>
      <c r="O31" s="52"/>
      <c r="P31" s="52"/>
      <c r="Q31" s="52"/>
      <c r="U31" s="52"/>
    </row>
    <row r="32">
      <c r="M32" s="52"/>
      <c r="N32" s="52"/>
      <c r="O32" s="52"/>
      <c r="P32" s="52"/>
      <c r="Q32" s="52"/>
      <c r="U32" s="52"/>
    </row>
    <row r="33">
      <c r="M33" s="52"/>
      <c r="N33" s="52"/>
      <c r="O33" s="52"/>
      <c r="P33" s="52"/>
      <c r="Q33" s="52"/>
      <c r="U33" s="52"/>
    </row>
    <row r="34">
      <c r="M34" s="52"/>
      <c r="N34" s="52"/>
      <c r="O34" s="52"/>
      <c r="P34" s="52"/>
      <c r="Q34" s="52"/>
      <c r="U34" s="52"/>
    </row>
    <row r="35">
      <c r="M35" s="52"/>
      <c r="N35" s="52"/>
      <c r="O35" s="52"/>
      <c r="P35" s="52"/>
      <c r="Q35" s="52"/>
      <c r="U35" s="52"/>
    </row>
    <row r="36">
      <c r="M36" s="52"/>
      <c r="N36" s="52"/>
      <c r="O36" s="52"/>
      <c r="P36" s="52"/>
      <c r="Q36" s="52"/>
      <c r="U36" s="52"/>
    </row>
    <row r="37">
      <c r="M37" s="52"/>
      <c r="N37" s="52"/>
      <c r="O37" s="52"/>
      <c r="P37" s="52"/>
      <c r="Q37" s="52"/>
      <c r="U37" s="52"/>
    </row>
    <row r="38">
      <c r="M38" s="52"/>
      <c r="N38" s="52"/>
      <c r="O38" s="52"/>
      <c r="P38" s="52"/>
      <c r="Q38" s="52"/>
      <c r="U38" s="52"/>
    </row>
    <row r="39">
      <c r="M39" s="52"/>
      <c r="N39" s="52"/>
      <c r="O39" s="52"/>
      <c r="P39" s="52"/>
      <c r="Q39" s="52"/>
      <c r="U39" s="52"/>
    </row>
    <row r="40">
      <c r="M40" s="52"/>
      <c r="N40" s="52"/>
      <c r="O40" s="52"/>
      <c r="P40" s="52"/>
      <c r="Q40" s="52"/>
      <c r="U40" s="52"/>
    </row>
    <row r="41">
      <c r="M41" s="52"/>
      <c r="N41" s="52"/>
      <c r="O41" s="52"/>
      <c r="P41" s="52"/>
      <c r="Q41" s="52"/>
      <c r="U41" s="52"/>
    </row>
    <row r="42">
      <c r="M42" s="52"/>
      <c r="N42" s="52"/>
      <c r="O42" s="52"/>
      <c r="P42" s="52"/>
      <c r="Q42" s="52"/>
      <c r="U42" s="52"/>
    </row>
    <row r="43">
      <c r="M43" s="52"/>
      <c r="N43" s="52"/>
      <c r="O43" s="52"/>
      <c r="P43" s="52"/>
      <c r="Q43" s="52"/>
      <c r="U43" s="52"/>
    </row>
    <row r="44">
      <c r="M44" s="52"/>
      <c r="N44" s="52"/>
      <c r="O44" s="52"/>
      <c r="P44" s="52"/>
      <c r="Q44" s="52"/>
      <c r="U44" s="52"/>
    </row>
    <row r="45">
      <c r="M45" s="52"/>
      <c r="N45" s="52"/>
      <c r="O45" s="52"/>
      <c r="P45" s="52"/>
      <c r="Q45" s="52"/>
      <c r="U45" s="52"/>
    </row>
    <row r="46">
      <c r="M46" s="52"/>
      <c r="N46" s="52"/>
      <c r="O46" s="52"/>
      <c r="P46" s="52"/>
      <c r="Q46" s="52"/>
      <c r="U46" s="52"/>
    </row>
    <row r="47">
      <c r="M47" s="52"/>
      <c r="N47" s="52"/>
      <c r="O47" s="52"/>
      <c r="P47" s="52"/>
      <c r="Q47" s="52"/>
      <c r="U47" s="52"/>
    </row>
    <row r="48">
      <c r="M48" s="52"/>
      <c r="N48" s="52"/>
      <c r="O48" s="52"/>
      <c r="P48" s="52"/>
      <c r="Q48" s="52"/>
      <c r="U48" s="52"/>
    </row>
    <row r="49">
      <c r="M49" s="52"/>
      <c r="N49" s="52"/>
      <c r="O49" s="52"/>
      <c r="P49" s="52"/>
      <c r="Q49" s="52"/>
      <c r="U49" s="52"/>
    </row>
    <row r="50">
      <c r="M50" s="52"/>
      <c r="N50" s="52"/>
      <c r="O50" s="52"/>
      <c r="P50" s="52"/>
      <c r="Q50" s="52"/>
      <c r="U50" s="52"/>
    </row>
    <row r="51">
      <c r="M51" s="52"/>
      <c r="N51" s="52"/>
      <c r="O51" s="52"/>
      <c r="P51" s="52"/>
      <c r="Q51" s="52"/>
      <c r="U51" s="52"/>
    </row>
    <row r="52">
      <c r="M52" s="52"/>
      <c r="N52" s="52"/>
      <c r="O52" s="52"/>
      <c r="P52" s="52"/>
      <c r="Q52" s="52"/>
      <c r="U52" s="52"/>
    </row>
    <row r="53">
      <c r="M53" s="52"/>
      <c r="N53" s="52"/>
      <c r="O53" s="52"/>
      <c r="P53" s="52"/>
      <c r="Q53" s="52"/>
      <c r="U53" s="52"/>
    </row>
    <row r="54">
      <c r="M54" s="52"/>
      <c r="N54" s="52"/>
      <c r="O54" s="52"/>
      <c r="P54" s="52"/>
      <c r="Q54" s="52"/>
      <c r="U54" s="52"/>
    </row>
    <row r="55">
      <c r="M55" s="52"/>
      <c r="N55" s="52"/>
      <c r="O55" s="52"/>
      <c r="P55" s="52"/>
      <c r="Q55" s="52"/>
      <c r="U55" s="52"/>
    </row>
    <row r="56">
      <c r="M56" s="52"/>
      <c r="N56" s="52"/>
      <c r="O56" s="52"/>
      <c r="P56" s="52"/>
      <c r="Q56" s="52"/>
      <c r="U56" s="52"/>
    </row>
    <row r="57">
      <c r="M57" s="52"/>
      <c r="N57" s="52"/>
      <c r="O57" s="52"/>
      <c r="P57" s="52"/>
      <c r="Q57" s="52"/>
      <c r="U57" s="52"/>
    </row>
    <row r="58">
      <c r="M58" s="52"/>
      <c r="N58" s="52"/>
      <c r="O58" s="52"/>
      <c r="P58" s="52"/>
      <c r="Q58" s="52"/>
      <c r="U58" s="52"/>
    </row>
    <row r="59">
      <c r="M59" s="52"/>
      <c r="N59" s="52"/>
      <c r="O59" s="52"/>
      <c r="P59" s="52"/>
      <c r="Q59" s="52"/>
      <c r="U59" s="52"/>
    </row>
    <row r="60">
      <c r="M60" s="52"/>
      <c r="N60" s="52"/>
      <c r="O60" s="52"/>
      <c r="P60" s="52"/>
      <c r="Q60" s="52"/>
      <c r="U60" s="52"/>
    </row>
    <row r="61">
      <c r="M61" s="52"/>
      <c r="N61" s="52"/>
      <c r="O61" s="52"/>
      <c r="P61" s="52"/>
      <c r="Q61" s="52"/>
      <c r="U61" s="52"/>
    </row>
    <row r="62">
      <c r="M62" s="52"/>
      <c r="N62" s="52"/>
      <c r="O62" s="52"/>
      <c r="P62" s="52"/>
      <c r="Q62" s="52"/>
      <c r="U62" s="52"/>
    </row>
    <row r="63">
      <c r="M63" s="52"/>
      <c r="N63" s="52"/>
      <c r="O63" s="52"/>
      <c r="P63" s="52"/>
      <c r="Q63" s="52"/>
      <c r="U63" s="52"/>
    </row>
    <row r="64">
      <c r="M64" s="52"/>
      <c r="N64" s="52"/>
      <c r="O64" s="52"/>
      <c r="P64" s="52"/>
      <c r="Q64" s="52"/>
      <c r="U64" s="52"/>
    </row>
    <row r="65">
      <c r="M65" s="52"/>
      <c r="N65" s="52"/>
      <c r="O65" s="52"/>
      <c r="P65" s="52"/>
      <c r="Q65" s="52"/>
      <c r="U65" s="52"/>
    </row>
    <row r="66">
      <c r="M66" s="52"/>
      <c r="N66" s="52"/>
      <c r="O66" s="52"/>
      <c r="P66" s="52"/>
      <c r="Q66" s="52"/>
      <c r="U66" s="52"/>
    </row>
    <row r="67">
      <c r="M67" s="52"/>
      <c r="N67" s="52"/>
      <c r="O67" s="52"/>
      <c r="P67" s="52"/>
      <c r="Q67" s="52"/>
      <c r="U67" s="52"/>
    </row>
    <row r="68">
      <c r="M68" s="52"/>
      <c r="N68" s="52"/>
      <c r="O68" s="52"/>
      <c r="P68" s="52"/>
      <c r="Q68" s="52"/>
      <c r="U68" s="52"/>
    </row>
    <row r="69">
      <c r="M69" s="52"/>
      <c r="N69" s="52"/>
      <c r="O69" s="52"/>
      <c r="P69" s="52"/>
      <c r="Q69" s="52"/>
      <c r="U69" s="52"/>
    </row>
    <row r="70">
      <c r="M70" s="52"/>
      <c r="N70" s="52"/>
      <c r="O70" s="52"/>
      <c r="P70" s="52"/>
      <c r="Q70" s="52"/>
      <c r="U70" s="52"/>
    </row>
    <row r="71">
      <c r="M71" s="52"/>
      <c r="N71" s="52"/>
      <c r="O71" s="52"/>
      <c r="P71" s="52"/>
      <c r="Q71" s="52"/>
      <c r="U71" s="52"/>
    </row>
    <row r="72">
      <c r="M72" s="52"/>
      <c r="N72" s="52"/>
      <c r="O72" s="52"/>
      <c r="P72" s="52"/>
      <c r="Q72" s="52"/>
      <c r="U72" s="52"/>
    </row>
    <row r="73">
      <c r="M73" s="52"/>
      <c r="N73" s="52"/>
      <c r="O73" s="52"/>
      <c r="P73" s="52"/>
      <c r="Q73" s="52"/>
      <c r="U73" s="52"/>
    </row>
    <row r="74">
      <c r="M74" s="52"/>
      <c r="N74" s="52"/>
      <c r="O74" s="52"/>
      <c r="P74" s="52"/>
      <c r="Q74" s="52"/>
      <c r="U74" s="52"/>
    </row>
    <row r="75">
      <c r="M75" s="52"/>
      <c r="N75" s="52"/>
      <c r="O75" s="52"/>
      <c r="P75" s="52"/>
      <c r="Q75" s="52"/>
      <c r="U75" s="52"/>
    </row>
    <row r="76">
      <c r="M76" s="52"/>
      <c r="N76" s="52"/>
      <c r="O76" s="52"/>
      <c r="P76" s="52"/>
      <c r="Q76" s="52"/>
      <c r="U76" s="52"/>
    </row>
    <row r="77">
      <c r="M77" s="52"/>
      <c r="N77" s="52"/>
      <c r="O77" s="52"/>
      <c r="P77" s="52"/>
      <c r="Q77" s="52"/>
      <c r="U77" s="52"/>
    </row>
    <row r="78">
      <c r="M78" s="52"/>
      <c r="N78" s="52"/>
      <c r="O78" s="52"/>
      <c r="P78" s="52"/>
      <c r="Q78" s="52"/>
      <c r="U78" s="52"/>
    </row>
    <row r="79">
      <c r="M79" s="52"/>
      <c r="N79" s="52"/>
      <c r="O79" s="52"/>
      <c r="P79" s="52"/>
      <c r="Q79" s="52"/>
      <c r="U79" s="52"/>
    </row>
    <row r="80">
      <c r="M80" s="52"/>
      <c r="N80" s="52"/>
      <c r="O80" s="52"/>
      <c r="P80" s="52"/>
      <c r="Q80" s="52"/>
      <c r="U80" s="52"/>
    </row>
    <row r="81">
      <c r="M81" s="52"/>
      <c r="N81" s="52"/>
      <c r="O81" s="52"/>
      <c r="P81" s="52"/>
      <c r="Q81" s="52"/>
      <c r="U81" s="52"/>
    </row>
    <row r="82">
      <c r="M82" s="52"/>
      <c r="N82" s="52"/>
      <c r="O82" s="52"/>
      <c r="P82" s="52"/>
      <c r="Q82" s="52"/>
      <c r="U82" s="52"/>
    </row>
    <row r="83">
      <c r="M83" s="52"/>
      <c r="N83" s="52"/>
      <c r="O83" s="52"/>
      <c r="P83" s="52"/>
      <c r="Q83" s="52"/>
      <c r="U83" s="52"/>
    </row>
    <row r="84">
      <c r="M84" s="52"/>
      <c r="N84" s="52"/>
      <c r="O84" s="52"/>
      <c r="P84" s="52"/>
      <c r="Q84" s="52"/>
      <c r="U84" s="52"/>
    </row>
    <row r="85">
      <c r="M85" s="52"/>
      <c r="N85" s="52"/>
      <c r="O85" s="52"/>
      <c r="P85" s="52"/>
      <c r="Q85" s="52"/>
      <c r="U85" s="52"/>
    </row>
    <row r="86">
      <c r="M86" s="52"/>
      <c r="N86" s="52"/>
      <c r="O86" s="52"/>
      <c r="P86" s="52"/>
      <c r="Q86" s="52"/>
      <c r="U86" s="52"/>
    </row>
    <row r="87">
      <c r="M87" s="52"/>
      <c r="N87" s="52"/>
      <c r="O87" s="52"/>
      <c r="P87" s="52"/>
      <c r="Q87" s="52"/>
      <c r="U87" s="52"/>
    </row>
    <row r="88">
      <c r="M88" s="52"/>
      <c r="N88" s="52"/>
      <c r="O88" s="52"/>
      <c r="P88" s="52"/>
      <c r="Q88" s="52"/>
      <c r="U88" s="52"/>
    </row>
    <row r="89">
      <c r="M89" s="52"/>
      <c r="N89" s="52"/>
      <c r="O89" s="52"/>
      <c r="P89" s="52"/>
      <c r="Q89" s="52"/>
      <c r="U89" s="52"/>
    </row>
    <row r="90">
      <c r="M90" s="52"/>
      <c r="N90" s="52"/>
      <c r="O90" s="52"/>
      <c r="P90" s="52"/>
      <c r="Q90" s="52"/>
      <c r="U90" s="52"/>
    </row>
    <row r="91">
      <c r="M91" s="52"/>
      <c r="N91" s="52"/>
      <c r="O91" s="52"/>
      <c r="P91" s="52"/>
      <c r="Q91" s="52"/>
      <c r="U91" s="52"/>
    </row>
    <row r="92">
      <c r="M92" s="52"/>
      <c r="N92" s="52"/>
      <c r="O92" s="52"/>
      <c r="P92" s="52"/>
      <c r="Q92" s="52"/>
      <c r="U92" s="52"/>
    </row>
    <row r="93">
      <c r="M93" s="52"/>
      <c r="N93" s="52"/>
      <c r="O93" s="52"/>
      <c r="P93" s="52"/>
      <c r="Q93" s="52"/>
      <c r="U93" s="52"/>
    </row>
    <row r="94">
      <c r="M94" s="52"/>
      <c r="N94" s="52"/>
      <c r="O94" s="52"/>
      <c r="P94" s="52"/>
      <c r="Q94" s="52"/>
      <c r="U94" s="52"/>
    </row>
    <row r="95">
      <c r="M95" s="52"/>
      <c r="N95" s="52"/>
      <c r="O95" s="52"/>
      <c r="P95" s="52"/>
      <c r="Q95" s="52"/>
      <c r="U95" s="52"/>
    </row>
    <row r="96">
      <c r="M96" s="52"/>
      <c r="N96" s="52"/>
      <c r="O96" s="52"/>
      <c r="P96" s="52"/>
      <c r="Q96" s="52"/>
      <c r="U96" s="52"/>
    </row>
    <row r="97">
      <c r="M97" s="52"/>
      <c r="N97" s="52"/>
      <c r="O97" s="52"/>
      <c r="P97" s="52"/>
      <c r="Q97" s="52"/>
      <c r="U97" s="52"/>
    </row>
    <row r="98">
      <c r="M98" s="52"/>
      <c r="N98" s="52"/>
      <c r="O98" s="52"/>
      <c r="P98" s="52"/>
      <c r="Q98" s="52"/>
      <c r="U98" s="52"/>
    </row>
    <row r="99">
      <c r="M99" s="52"/>
      <c r="N99" s="52"/>
      <c r="O99" s="52"/>
      <c r="P99" s="52"/>
      <c r="Q99" s="52"/>
      <c r="U99" s="52"/>
    </row>
    <row r="100">
      <c r="M100" s="52"/>
      <c r="N100" s="52"/>
      <c r="O100" s="52"/>
      <c r="P100" s="52"/>
      <c r="Q100" s="52"/>
      <c r="U100" s="52"/>
    </row>
    <row r="101">
      <c r="M101" s="52"/>
      <c r="N101" s="52"/>
      <c r="O101" s="52"/>
      <c r="P101" s="52"/>
      <c r="Q101" s="52"/>
      <c r="U101" s="52"/>
    </row>
    <row r="102">
      <c r="M102" s="52"/>
      <c r="N102" s="52"/>
      <c r="O102" s="52"/>
      <c r="P102" s="52"/>
      <c r="Q102" s="52"/>
      <c r="U102" s="52"/>
    </row>
    <row r="103">
      <c r="M103" s="52"/>
      <c r="N103" s="52"/>
      <c r="O103" s="52"/>
      <c r="P103" s="52"/>
      <c r="Q103" s="52"/>
      <c r="U103" s="52"/>
    </row>
    <row r="104">
      <c r="M104" s="52"/>
      <c r="N104" s="52"/>
      <c r="O104" s="52"/>
      <c r="P104" s="52"/>
      <c r="Q104" s="52"/>
      <c r="U104" s="52"/>
    </row>
    <row r="105">
      <c r="M105" s="52"/>
      <c r="N105" s="52"/>
      <c r="O105" s="52"/>
      <c r="P105" s="52"/>
      <c r="Q105" s="52"/>
      <c r="U105" s="52"/>
    </row>
    <row r="106">
      <c r="M106" s="52"/>
      <c r="N106" s="52"/>
      <c r="O106" s="52"/>
      <c r="P106" s="52"/>
      <c r="Q106" s="52"/>
      <c r="U106" s="52"/>
    </row>
    <row r="107">
      <c r="M107" s="52"/>
      <c r="N107" s="52"/>
      <c r="O107" s="52"/>
      <c r="P107" s="52"/>
      <c r="Q107" s="52"/>
      <c r="U107" s="52"/>
    </row>
    <row r="108">
      <c r="M108" s="52"/>
      <c r="N108" s="52"/>
      <c r="O108" s="52"/>
      <c r="P108" s="52"/>
      <c r="Q108" s="52"/>
      <c r="U108" s="52"/>
    </row>
    <row r="109">
      <c r="M109" s="52"/>
      <c r="N109" s="52"/>
      <c r="O109" s="52"/>
      <c r="P109" s="52"/>
      <c r="Q109" s="52"/>
      <c r="U109" s="52"/>
    </row>
    <row r="110">
      <c r="M110" s="52"/>
      <c r="N110" s="52"/>
      <c r="O110" s="52"/>
      <c r="P110" s="52"/>
      <c r="Q110" s="52"/>
      <c r="U110" s="52"/>
    </row>
    <row r="111">
      <c r="M111" s="52"/>
      <c r="N111" s="52"/>
      <c r="O111" s="52"/>
      <c r="P111" s="52"/>
      <c r="Q111" s="52"/>
      <c r="U111" s="52"/>
    </row>
    <row r="112">
      <c r="M112" s="52"/>
      <c r="N112" s="52"/>
      <c r="O112" s="52"/>
      <c r="P112" s="52"/>
      <c r="Q112" s="52"/>
      <c r="U112" s="52"/>
    </row>
    <row r="113">
      <c r="M113" s="52"/>
      <c r="N113" s="52"/>
      <c r="O113" s="52"/>
      <c r="P113" s="52"/>
      <c r="Q113" s="52"/>
      <c r="U113" s="52"/>
    </row>
    <row r="114">
      <c r="M114" s="52"/>
      <c r="N114" s="52"/>
      <c r="O114" s="52"/>
      <c r="P114" s="52"/>
      <c r="Q114" s="52"/>
      <c r="U114" s="52"/>
    </row>
    <row r="115">
      <c r="M115" s="52"/>
      <c r="N115" s="52"/>
      <c r="O115" s="52"/>
      <c r="P115" s="52"/>
      <c r="Q115" s="52"/>
      <c r="U115" s="52"/>
    </row>
    <row r="116">
      <c r="M116" s="52"/>
      <c r="N116" s="52"/>
      <c r="O116" s="52"/>
      <c r="P116" s="52"/>
      <c r="Q116" s="52"/>
      <c r="U116" s="52"/>
    </row>
    <row r="117">
      <c r="M117" s="52"/>
      <c r="N117" s="52"/>
      <c r="O117" s="52"/>
      <c r="P117" s="52"/>
      <c r="Q117" s="52"/>
      <c r="U117" s="52"/>
    </row>
    <row r="118">
      <c r="M118" s="52"/>
      <c r="N118" s="52"/>
      <c r="O118" s="52"/>
      <c r="P118" s="52"/>
      <c r="Q118" s="52"/>
      <c r="U118" s="52"/>
    </row>
    <row r="119">
      <c r="M119" s="52"/>
      <c r="N119" s="52"/>
      <c r="O119" s="52"/>
      <c r="P119" s="52"/>
      <c r="Q119" s="52"/>
      <c r="U119" s="52"/>
    </row>
    <row r="120">
      <c r="M120" s="52"/>
      <c r="N120" s="52"/>
      <c r="O120" s="52"/>
      <c r="P120" s="52"/>
      <c r="Q120" s="52"/>
      <c r="U120" s="52"/>
    </row>
    <row r="121">
      <c r="M121" s="52"/>
      <c r="N121" s="52"/>
      <c r="O121" s="52"/>
      <c r="P121" s="52"/>
      <c r="Q121" s="52"/>
      <c r="U121" s="52"/>
    </row>
    <row r="122">
      <c r="M122" s="52"/>
      <c r="N122" s="52"/>
      <c r="O122" s="52"/>
      <c r="P122" s="52"/>
      <c r="Q122" s="52"/>
      <c r="U122" s="52"/>
    </row>
    <row r="123">
      <c r="M123" s="52"/>
      <c r="N123" s="52"/>
      <c r="O123" s="52"/>
      <c r="P123" s="52"/>
      <c r="Q123" s="52"/>
      <c r="U123" s="52"/>
    </row>
    <row r="124">
      <c r="M124" s="52"/>
      <c r="N124" s="52"/>
      <c r="O124" s="52"/>
      <c r="P124" s="52"/>
      <c r="Q124" s="52"/>
      <c r="U124" s="52"/>
    </row>
    <row r="125">
      <c r="M125" s="52"/>
      <c r="N125" s="52"/>
      <c r="O125" s="52"/>
      <c r="P125" s="52"/>
      <c r="Q125" s="52"/>
      <c r="U125" s="52"/>
    </row>
    <row r="126">
      <c r="M126" s="52"/>
      <c r="N126" s="52"/>
      <c r="O126" s="52"/>
      <c r="P126" s="52"/>
      <c r="Q126" s="52"/>
      <c r="U126" s="52"/>
    </row>
    <row r="127">
      <c r="M127" s="52"/>
      <c r="N127" s="52"/>
      <c r="O127" s="52"/>
      <c r="P127" s="52"/>
      <c r="Q127" s="52"/>
      <c r="U127" s="52"/>
    </row>
    <row r="128">
      <c r="M128" s="52"/>
      <c r="N128" s="52"/>
      <c r="O128" s="52"/>
      <c r="P128" s="52"/>
      <c r="Q128" s="52"/>
      <c r="U128" s="52"/>
    </row>
    <row r="129">
      <c r="M129" s="52"/>
      <c r="N129" s="52"/>
      <c r="O129" s="52"/>
      <c r="P129" s="52"/>
      <c r="Q129" s="52"/>
      <c r="U129" s="52"/>
    </row>
    <row r="130">
      <c r="M130" s="52"/>
      <c r="N130" s="52"/>
      <c r="O130" s="52"/>
      <c r="P130" s="52"/>
      <c r="Q130" s="52"/>
      <c r="U130" s="52"/>
    </row>
    <row r="131">
      <c r="M131" s="52"/>
      <c r="N131" s="52"/>
      <c r="O131" s="52"/>
      <c r="P131" s="52"/>
      <c r="Q131" s="52"/>
      <c r="U131" s="52"/>
    </row>
    <row r="132">
      <c r="M132" s="52"/>
      <c r="N132" s="52"/>
      <c r="O132" s="52"/>
      <c r="P132" s="52"/>
      <c r="Q132" s="52"/>
      <c r="U132" s="52"/>
    </row>
    <row r="133">
      <c r="M133" s="52"/>
      <c r="N133" s="52"/>
      <c r="O133" s="52"/>
      <c r="P133" s="52"/>
      <c r="Q133" s="52"/>
      <c r="U133" s="52"/>
    </row>
    <row r="134">
      <c r="M134" s="52"/>
      <c r="N134" s="52"/>
      <c r="O134" s="52"/>
      <c r="P134" s="52"/>
      <c r="Q134" s="52"/>
      <c r="U134" s="52"/>
    </row>
    <row r="135">
      <c r="M135" s="52"/>
      <c r="N135" s="52"/>
      <c r="O135" s="52"/>
      <c r="P135" s="52"/>
      <c r="Q135" s="52"/>
      <c r="U135" s="52"/>
    </row>
    <row r="136">
      <c r="M136" s="52"/>
      <c r="N136" s="52"/>
      <c r="O136" s="52"/>
      <c r="P136" s="52"/>
      <c r="Q136" s="52"/>
      <c r="U136" s="52"/>
    </row>
    <row r="137">
      <c r="M137" s="52"/>
      <c r="N137" s="52"/>
      <c r="O137" s="52"/>
      <c r="P137" s="52"/>
      <c r="Q137" s="52"/>
      <c r="U137" s="52"/>
    </row>
    <row r="138">
      <c r="M138" s="52"/>
      <c r="N138" s="52"/>
      <c r="O138" s="52"/>
      <c r="P138" s="52"/>
      <c r="Q138" s="52"/>
      <c r="U138" s="52"/>
    </row>
    <row r="139">
      <c r="M139" s="52"/>
      <c r="N139" s="52"/>
      <c r="O139" s="52"/>
      <c r="P139" s="52"/>
      <c r="Q139" s="52"/>
      <c r="U139" s="52"/>
    </row>
    <row r="140">
      <c r="M140" s="52"/>
      <c r="N140" s="52"/>
      <c r="O140" s="52"/>
      <c r="P140" s="52"/>
      <c r="Q140" s="52"/>
      <c r="U140" s="52"/>
    </row>
    <row r="141">
      <c r="M141" s="52"/>
      <c r="N141" s="52"/>
      <c r="O141" s="52"/>
      <c r="P141" s="52"/>
      <c r="Q141" s="52"/>
      <c r="U141" s="52"/>
    </row>
    <row r="142">
      <c r="M142" s="52"/>
      <c r="N142" s="52"/>
      <c r="O142" s="52"/>
      <c r="P142" s="52"/>
      <c r="Q142" s="52"/>
      <c r="U142" s="52"/>
    </row>
    <row r="143">
      <c r="M143" s="52"/>
      <c r="N143" s="52"/>
      <c r="O143" s="52"/>
      <c r="P143" s="52"/>
      <c r="Q143" s="52"/>
      <c r="U143" s="52"/>
    </row>
    <row r="144">
      <c r="M144" s="52"/>
      <c r="N144" s="52"/>
      <c r="O144" s="52"/>
      <c r="P144" s="52"/>
      <c r="Q144" s="52"/>
      <c r="U144" s="52"/>
    </row>
    <row r="145">
      <c r="M145" s="52"/>
      <c r="N145" s="52"/>
      <c r="O145" s="52"/>
      <c r="P145" s="52"/>
      <c r="Q145" s="52"/>
      <c r="U145" s="52"/>
    </row>
    <row r="146">
      <c r="M146" s="52"/>
      <c r="N146" s="52"/>
      <c r="O146" s="52"/>
      <c r="P146" s="52"/>
      <c r="Q146" s="52"/>
      <c r="U146" s="52"/>
    </row>
    <row r="147">
      <c r="M147" s="52"/>
      <c r="N147" s="52"/>
      <c r="O147" s="52"/>
      <c r="P147" s="52"/>
      <c r="Q147" s="52"/>
      <c r="U147" s="52"/>
    </row>
    <row r="148">
      <c r="M148" s="52"/>
      <c r="N148" s="52"/>
      <c r="O148" s="52"/>
      <c r="P148" s="52"/>
      <c r="Q148" s="52"/>
      <c r="U148" s="52"/>
    </row>
    <row r="149">
      <c r="M149" s="52"/>
      <c r="N149" s="52"/>
      <c r="O149" s="52"/>
      <c r="P149" s="52"/>
      <c r="Q149" s="52"/>
      <c r="U149" s="52"/>
    </row>
    <row r="150">
      <c r="M150" s="52"/>
      <c r="N150" s="52"/>
      <c r="O150" s="52"/>
      <c r="P150" s="52"/>
      <c r="Q150" s="52"/>
      <c r="U150" s="52"/>
    </row>
    <row r="151">
      <c r="M151" s="52"/>
      <c r="N151" s="52"/>
      <c r="O151" s="52"/>
      <c r="P151" s="52"/>
      <c r="Q151" s="52"/>
      <c r="U151" s="52"/>
    </row>
    <row r="152">
      <c r="M152" s="52"/>
      <c r="N152" s="52"/>
      <c r="O152" s="52"/>
      <c r="P152" s="52"/>
      <c r="Q152" s="52"/>
      <c r="U152" s="52"/>
    </row>
    <row r="153">
      <c r="M153" s="52"/>
      <c r="N153" s="52"/>
      <c r="O153" s="52"/>
      <c r="P153" s="52"/>
      <c r="Q153" s="52"/>
      <c r="U153" s="52"/>
    </row>
    <row r="154">
      <c r="M154" s="52"/>
      <c r="N154" s="52"/>
      <c r="O154" s="52"/>
      <c r="P154" s="52"/>
      <c r="Q154" s="52"/>
      <c r="U154" s="52"/>
    </row>
    <row r="155">
      <c r="M155" s="52"/>
      <c r="N155" s="52"/>
      <c r="O155" s="52"/>
      <c r="P155" s="52"/>
      <c r="Q155" s="52"/>
      <c r="U155" s="52"/>
    </row>
    <row r="156">
      <c r="M156" s="52"/>
      <c r="N156" s="52"/>
      <c r="O156" s="52"/>
      <c r="P156" s="52"/>
      <c r="Q156" s="52"/>
      <c r="U156" s="52"/>
    </row>
    <row r="157">
      <c r="M157" s="52"/>
      <c r="N157" s="52"/>
      <c r="O157" s="52"/>
      <c r="P157" s="52"/>
      <c r="Q157" s="52"/>
      <c r="U157" s="52"/>
    </row>
    <row r="158">
      <c r="M158" s="52"/>
      <c r="N158" s="52"/>
      <c r="O158" s="52"/>
      <c r="P158" s="52"/>
      <c r="Q158" s="52"/>
      <c r="U158" s="52"/>
    </row>
    <row r="159">
      <c r="M159" s="52"/>
      <c r="N159" s="52"/>
      <c r="O159" s="52"/>
      <c r="P159" s="52"/>
      <c r="Q159" s="52"/>
      <c r="U159" s="52"/>
    </row>
    <row r="160">
      <c r="M160" s="52"/>
      <c r="N160" s="52"/>
      <c r="O160" s="52"/>
      <c r="P160" s="52"/>
      <c r="Q160" s="52"/>
      <c r="U160" s="52"/>
    </row>
    <row r="161">
      <c r="M161" s="52"/>
      <c r="N161" s="52"/>
      <c r="O161" s="52"/>
      <c r="P161" s="52"/>
      <c r="Q161" s="52"/>
      <c r="U161" s="52"/>
    </row>
    <row r="162">
      <c r="M162" s="52"/>
      <c r="N162" s="52"/>
      <c r="O162" s="52"/>
      <c r="P162" s="52"/>
      <c r="Q162" s="52"/>
      <c r="U162" s="52"/>
    </row>
    <row r="163">
      <c r="M163" s="52"/>
      <c r="N163" s="52"/>
      <c r="O163" s="52"/>
      <c r="P163" s="52"/>
      <c r="Q163" s="52"/>
      <c r="U163" s="52"/>
    </row>
    <row r="164">
      <c r="M164" s="52"/>
      <c r="N164" s="52"/>
      <c r="O164" s="52"/>
      <c r="P164" s="52"/>
      <c r="Q164" s="52"/>
      <c r="U164" s="52"/>
    </row>
    <row r="165">
      <c r="M165" s="52"/>
      <c r="N165" s="52"/>
      <c r="O165" s="52"/>
      <c r="P165" s="52"/>
      <c r="Q165" s="52"/>
      <c r="U165" s="52"/>
    </row>
    <row r="166">
      <c r="M166" s="52"/>
      <c r="N166" s="52"/>
      <c r="O166" s="52"/>
      <c r="P166" s="52"/>
      <c r="Q166" s="52"/>
      <c r="U166" s="52"/>
    </row>
    <row r="167">
      <c r="M167" s="52"/>
      <c r="N167" s="52"/>
      <c r="O167" s="52"/>
      <c r="P167" s="52"/>
      <c r="Q167" s="52"/>
      <c r="U167" s="52"/>
    </row>
    <row r="168">
      <c r="M168" s="52"/>
      <c r="N168" s="52"/>
      <c r="O168" s="52"/>
      <c r="P168" s="52"/>
      <c r="Q168" s="52"/>
      <c r="U168" s="52"/>
    </row>
    <row r="169">
      <c r="M169" s="52"/>
      <c r="N169" s="52"/>
      <c r="O169" s="52"/>
      <c r="P169" s="52"/>
      <c r="Q169" s="52"/>
      <c r="U169" s="52"/>
    </row>
    <row r="170">
      <c r="M170" s="52"/>
      <c r="N170" s="52"/>
      <c r="O170" s="52"/>
      <c r="P170" s="52"/>
      <c r="Q170" s="52"/>
      <c r="U170" s="52"/>
    </row>
    <row r="171">
      <c r="M171" s="52"/>
      <c r="N171" s="52"/>
      <c r="O171" s="52"/>
      <c r="P171" s="52"/>
      <c r="Q171" s="52"/>
      <c r="U171" s="52"/>
    </row>
    <row r="172">
      <c r="M172" s="52"/>
      <c r="N172" s="52"/>
      <c r="O172" s="52"/>
      <c r="P172" s="52"/>
      <c r="Q172" s="52"/>
      <c r="U172" s="52"/>
    </row>
    <row r="173">
      <c r="M173" s="52"/>
      <c r="N173" s="52"/>
      <c r="O173" s="52"/>
      <c r="P173" s="52"/>
      <c r="Q173" s="52"/>
      <c r="U173" s="52"/>
    </row>
    <row r="174">
      <c r="M174" s="52"/>
      <c r="N174" s="52"/>
      <c r="O174" s="52"/>
      <c r="P174" s="52"/>
      <c r="Q174" s="52"/>
      <c r="U174" s="52"/>
    </row>
    <row r="175">
      <c r="M175" s="52"/>
      <c r="N175" s="52"/>
      <c r="O175" s="52"/>
      <c r="P175" s="52"/>
      <c r="Q175" s="52"/>
      <c r="U175" s="52"/>
    </row>
    <row r="176">
      <c r="M176" s="52"/>
      <c r="N176" s="52"/>
      <c r="O176" s="52"/>
      <c r="P176" s="52"/>
      <c r="Q176" s="52"/>
      <c r="U176" s="52"/>
    </row>
    <row r="177">
      <c r="M177" s="52"/>
      <c r="N177" s="52"/>
      <c r="O177" s="52"/>
      <c r="P177" s="52"/>
      <c r="Q177" s="52"/>
      <c r="U177" s="52"/>
    </row>
    <row r="178">
      <c r="M178" s="52"/>
      <c r="N178" s="52"/>
      <c r="O178" s="52"/>
      <c r="P178" s="52"/>
      <c r="Q178" s="52"/>
      <c r="U178" s="52"/>
    </row>
    <row r="179">
      <c r="M179" s="52"/>
      <c r="N179" s="52"/>
      <c r="O179" s="52"/>
      <c r="P179" s="52"/>
      <c r="Q179" s="52"/>
      <c r="U179" s="52"/>
    </row>
    <row r="180">
      <c r="M180" s="52"/>
      <c r="N180" s="52"/>
      <c r="O180" s="52"/>
      <c r="P180" s="52"/>
      <c r="Q180" s="52"/>
      <c r="U180" s="52"/>
    </row>
    <row r="181">
      <c r="M181" s="52"/>
      <c r="N181" s="52"/>
      <c r="O181" s="52"/>
      <c r="P181" s="52"/>
      <c r="Q181" s="52"/>
      <c r="U181" s="52"/>
    </row>
    <row r="182">
      <c r="M182" s="52"/>
      <c r="N182" s="52"/>
      <c r="O182" s="52"/>
      <c r="P182" s="52"/>
      <c r="Q182" s="52"/>
      <c r="U182" s="52"/>
    </row>
    <row r="183">
      <c r="M183" s="52"/>
      <c r="N183" s="52"/>
      <c r="O183" s="52"/>
      <c r="P183" s="52"/>
      <c r="Q183" s="52"/>
      <c r="U183" s="52"/>
    </row>
    <row r="184">
      <c r="M184" s="52"/>
      <c r="N184" s="52"/>
      <c r="O184" s="52"/>
      <c r="P184" s="52"/>
      <c r="Q184" s="52"/>
      <c r="U184" s="52"/>
    </row>
    <row r="185">
      <c r="M185" s="52"/>
      <c r="N185" s="52"/>
      <c r="O185" s="52"/>
      <c r="P185" s="52"/>
      <c r="Q185" s="52"/>
      <c r="U185" s="52"/>
    </row>
    <row r="186">
      <c r="M186" s="52"/>
      <c r="N186" s="52"/>
      <c r="O186" s="52"/>
      <c r="P186" s="52"/>
      <c r="Q186" s="52"/>
      <c r="U186" s="52"/>
    </row>
    <row r="187">
      <c r="M187" s="52"/>
      <c r="N187" s="52"/>
      <c r="O187" s="52"/>
      <c r="P187" s="52"/>
      <c r="Q187" s="52"/>
      <c r="U187" s="52"/>
    </row>
    <row r="188">
      <c r="M188" s="52"/>
      <c r="N188" s="52"/>
      <c r="O188" s="52"/>
      <c r="P188" s="52"/>
      <c r="Q188" s="52"/>
      <c r="U188" s="52"/>
    </row>
    <row r="189">
      <c r="M189" s="52"/>
      <c r="N189" s="52"/>
      <c r="O189" s="52"/>
      <c r="P189" s="52"/>
      <c r="Q189" s="52"/>
      <c r="U189" s="52"/>
    </row>
    <row r="190">
      <c r="M190" s="52"/>
      <c r="N190" s="52"/>
      <c r="O190" s="52"/>
      <c r="P190" s="52"/>
      <c r="Q190" s="52"/>
      <c r="U190" s="52"/>
    </row>
    <row r="191">
      <c r="M191" s="52"/>
      <c r="N191" s="52"/>
      <c r="O191" s="52"/>
      <c r="P191" s="52"/>
      <c r="Q191" s="52"/>
      <c r="U191" s="52"/>
    </row>
    <row r="192">
      <c r="M192" s="52"/>
      <c r="N192" s="52"/>
      <c r="O192" s="52"/>
      <c r="P192" s="52"/>
      <c r="Q192" s="52"/>
      <c r="U192" s="52"/>
    </row>
    <row r="193">
      <c r="M193" s="52"/>
      <c r="N193" s="52"/>
      <c r="O193" s="52"/>
      <c r="P193" s="52"/>
      <c r="Q193" s="52"/>
      <c r="U193" s="52"/>
    </row>
    <row r="194">
      <c r="M194" s="52"/>
      <c r="N194" s="52"/>
      <c r="O194" s="52"/>
      <c r="P194" s="52"/>
      <c r="Q194" s="52"/>
      <c r="U194" s="52"/>
    </row>
    <row r="195">
      <c r="M195" s="52"/>
      <c r="N195" s="52"/>
      <c r="O195" s="52"/>
      <c r="P195" s="52"/>
      <c r="Q195" s="52"/>
      <c r="U195" s="52"/>
    </row>
    <row r="196">
      <c r="M196" s="52"/>
      <c r="N196" s="52"/>
      <c r="O196" s="52"/>
      <c r="P196" s="52"/>
      <c r="Q196" s="52"/>
      <c r="U196" s="52"/>
    </row>
    <row r="197">
      <c r="M197" s="52"/>
      <c r="N197" s="52"/>
      <c r="O197" s="52"/>
      <c r="P197" s="52"/>
      <c r="Q197" s="52"/>
      <c r="U197" s="52"/>
    </row>
    <row r="198">
      <c r="M198" s="52"/>
      <c r="N198" s="52"/>
      <c r="O198" s="52"/>
      <c r="P198" s="52"/>
      <c r="Q198" s="52"/>
      <c r="U198" s="52"/>
    </row>
    <row r="199">
      <c r="M199" s="52"/>
      <c r="N199" s="52"/>
      <c r="O199" s="52"/>
      <c r="P199" s="52"/>
      <c r="Q199" s="52"/>
      <c r="U199" s="52"/>
    </row>
    <row r="200">
      <c r="M200" s="52"/>
      <c r="N200" s="52"/>
      <c r="O200" s="52"/>
      <c r="P200" s="52"/>
      <c r="Q200" s="52"/>
      <c r="U200" s="52"/>
    </row>
    <row r="201">
      <c r="M201" s="52"/>
      <c r="N201" s="52"/>
      <c r="O201" s="52"/>
      <c r="P201" s="52"/>
      <c r="Q201" s="52"/>
      <c r="U201" s="52"/>
    </row>
    <row r="202">
      <c r="M202" s="52"/>
      <c r="N202" s="52"/>
      <c r="O202" s="52"/>
      <c r="P202" s="52"/>
      <c r="Q202" s="52"/>
      <c r="U202" s="52"/>
    </row>
    <row r="203">
      <c r="M203" s="52"/>
      <c r="N203" s="52"/>
      <c r="O203" s="52"/>
      <c r="P203" s="52"/>
      <c r="Q203" s="52"/>
      <c r="U203" s="52"/>
    </row>
    <row r="204">
      <c r="M204" s="52"/>
      <c r="N204" s="52"/>
      <c r="O204" s="52"/>
      <c r="P204" s="52"/>
      <c r="Q204" s="52"/>
      <c r="U204" s="52"/>
    </row>
    <row r="205">
      <c r="M205" s="52"/>
      <c r="N205" s="52"/>
      <c r="O205" s="52"/>
      <c r="P205" s="52"/>
      <c r="Q205" s="52"/>
      <c r="U205" s="52"/>
    </row>
    <row r="206">
      <c r="M206" s="52"/>
      <c r="N206" s="52"/>
      <c r="O206" s="52"/>
      <c r="P206" s="52"/>
      <c r="Q206" s="52"/>
      <c r="U206" s="52"/>
    </row>
    <row r="207">
      <c r="M207" s="52"/>
      <c r="N207" s="52"/>
      <c r="O207" s="52"/>
      <c r="P207" s="52"/>
      <c r="Q207" s="52"/>
      <c r="U207" s="52"/>
    </row>
    <row r="208">
      <c r="M208" s="52"/>
      <c r="N208" s="52"/>
      <c r="O208" s="52"/>
      <c r="P208" s="52"/>
      <c r="Q208" s="52"/>
      <c r="U208" s="52"/>
    </row>
    <row r="209">
      <c r="M209" s="52"/>
      <c r="N209" s="52"/>
      <c r="O209" s="52"/>
      <c r="P209" s="52"/>
      <c r="Q209" s="52"/>
      <c r="U209" s="52"/>
    </row>
    <row r="210">
      <c r="M210" s="52"/>
      <c r="N210" s="52"/>
      <c r="O210" s="52"/>
      <c r="P210" s="52"/>
      <c r="Q210" s="52"/>
      <c r="U210" s="52"/>
    </row>
    <row r="211">
      <c r="M211" s="52"/>
      <c r="N211" s="52"/>
      <c r="O211" s="52"/>
      <c r="P211" s="52"/>
      <c r="Q211" s="52"/>
      <c r="U211" s="52"/>
    </row>
    <row r="212">
      <c r="M212" s="52"/>
      <c r="N212" s="52"/>
      <c r="O212" s="52"/>
      <c r="P212" s="52"/>
      <c r="Q212" s="52"/>
      <c r="U212" s="52"/>
    </row>
    <row r="213">
      <c r="M213" s="52"/>
      <c r="N213" s="52"/>
      <c r="O213" s="52"/>
      <c r="P213" s="52"/>
      <c r="Q213" s="52"/>
      <c r="U213" s="52"/>
    </row>
    <row r="214">
      <c r="M214" s="52"/>
      <c r="N214" s="52"/>
      <c r="O214" s="52"/>
      <c r="P214" s="52"/>
      <c r="Q214" s="52"/>
      <c r="U214" s="52"/>
    </row>
    <row r="215">
      <c r="M215" s="52"/>
      <c r="N215" s="52"/>
      <c r="O215" s="52"/>
      <c r="P215" s="52"/>
      <c r="Q215" s="52"/>
      <c r="U215" s="52"/>
    </row>
    <row r="216">
      <c r="M216" s="52"/>
      <c r="N216" s="52"/>
      <c r="O216" s="52"/>
      <c r="P216" s="52"/>
      <c r="Q216" s="52"/>
      <c r="U216" s="52"/>
    </row>
    <row r="217">
      <c r="M217" s="52"/>
      <c r="N217" s="52"/>
      <c r="O217" s="52"/>
      <c r="P217" s="52"/>
      <c r="Q217" s="52"/>
      <c r="U217" s="52"/>
    </row>
    <row r="218">
      <c r="M218" s="52"/>
      <c r="N218" s="52"/>
      <c r="O218" s="52"/>
      <c r="P218" s="52"/>
      <c r="Q218" s="52"/>
      <c r="U218" s="52"/>
    </row>
    <row r="219">
      <c r="M219" s="52"/>
      <c r="N219" s="52"/>
      <c r="O219" s="52"/>
      <c r="P219" s="52"/>
      <c r="Q219" s="52"/>
      <c r="U219" s="52"/>
    </row>
    <row r="220">
      <c r="M220" s="52"/>
      <c r="N220" s="52"/>
      <c r="O220" s="52"/>
      <c r="P220" s="52"/>
      <c r="Q220" s="52"/>
      <c r="U220" s="52"/>
    </row>
    <row r="221">
      <c r="M221" s="52"/>
      <c r="N221" s="52"/>
      <c r="O221" s="52"/>
      <c r="P221" s="52"/>
      <c r="Q221" s="52"/>
      <c r="U221" s="52"/>
    </row>
    <row r="222">
      <c r="M222" s="52"/>
      <c r="N222" s="52"/>
      <c r="O222" s="52"/>
      <c r="P222" s="52"/>
      <c r="Q222" s="52"/>
      <c r="U222" s="52"/>
    </row>
    <row r="223">
      <c r="M223" s="52"/>
      <c r="N223" s="52"/>
      <c r="O223" s="52"/>
      <c r="P223" s="52"/>
      <c r="Q223" s="52"/>
      <c r="U223" s="52"/>
    </row>
    <row r="224">
      <c r="M224" s="52"/>
      <c r="N224" s="52"/>
      <c r="O224" s="52"/>
      <c r="P224" s="52"/>
      <c r="Q224" s="52"/>
      <c r="U224" s="52"/>
    </row>
    <row r="225">
      <c r="M225" s="52"/>
      <c r="N225" s="52"/>
      <c r="O225" s="52"/>
      <c r="P225" s="52"/>
      <c r="Q225" s="52"/>
      <c r="U225" s="52"/>
    </row>
    <row r="226">
      <c r="M226" s="52"/>
      <c r="N226" s="52"/>
      <c r="O226" s="52"/>
      <c r="P226" s="52"/>
      <c r="Q226" s="52"/>
      <c r="U226" s="52"/>
    </row>
    <row r="227">
      <c r="M227" s="52"/>
      <c r="N227" s="52"/>
      <c r="O227" s="52"/>
      <c r="P227" s="52"/>
      <c r="Q227" s="52"/>
      <c r="U227" s="52"/>
    </row>
    <row r="228">
      <c r="M228" s="52"/>
      <c r="N228" s="52"/>
      <c r="O228" s="52"/>
      <c r="P228" s="52"/>
      <c r="Q228" s="52"/>
      <c r="U228" s="52"/>
    </row>
    <row r="229">
      <c r="M229" s="52"/>
      <c r="N229" s="52"/>
      <c r="O229" s="52"/>
      <c r="P229" s="52"/>
      <c r="Q229" s="52"/>
      <c r="U229" s="52"/>
    </row>
    <row r="230">
      <c r="M230" s="52"/>
      <c r="N230" s="52"/>
      <c r="O230" s="52"/>
      <c r="P230" s="52"/>
      <c r="Q230" s="52"/>
      <c r="U230" s="52"/>
    </row>
    <row r="231">
      <c r="M231" s="52"/>
      <c r="N231" s="52"/>
      <c r="O231" s="52"/>
      <c r="P231" s="52"/>
      <c r="Q231" s="52"/>
      <c r="U231" s="52"/>
    </row>
    <row r="232">
      <c r="M232" s="52"/>
      <c r="N232" s="52"/>
      <c r="O232" s="52"/>
      <c r="P232" s="52"/>
      <c r="Q232" s="52"/>
      <c r="U232" s="52"/>
    </row>
    <row r="233">
      <c r="M233" s="52"/>
      <c r="N233" s="52"/>
      <c r="O233" s="52"/>
      <c r="P233" s="52"/>
      <c r="Q233" s="52"/>
      <c r="U233" s="52"/>
    </row>
    <row r="234">
      <c r="M234" s="52"/>
      <c r="N234" s="52"/>
      <c r="O234" s="52"/>
      <c r="P234" s="52"/>
      <c r="Q234" s="52"/>
      <c r="U234" s="52"/>
    </row>
    <row r="235">
      <c r="M235" s="52"/>
      <c r="N235" s="52"/>
      <c r="O235" s="52"/>
      <c r="P235" s="52"/>
      <c r="Q235" s="52"/>
      <c r="U235" s="52"/>
    </row>
    <row r="236">
      <c r="M236" s="52"/>
      <c r="N236" s="52"/>
      <c r="O236" s="52"/>
      <c r="P236" s="52"/>
      <c r="Q236" s="52"/>
      <c r="U236" s="52"/>
    </row>
    <row r="237">
      <c r="M237" s="52"/>
      <c r="N237" s="52"/>
      <c r="O237" s="52"/>
      <c r="P237" s="52"/>
      <c r="Q237" s="52"/>
      <c r="U237" s="52"/>
    </row>
    <row r="238">
      <c r="M238" s="52"/>
      <c r="N238" s="52"/>
      <c r="O238" s="52"/>
      <c r="P238" s="52"/>
      <c r="Q238" s="52"/>
      <c r="U238" s="52"/>
    </row>
    <row r="239">
      <c r="M239" s="52"/>
      <c r="N239" s="52"/>
      <c r="O239" s="52"/>
      <c r="P239" s="52"/>
      <c r="Q239" s="52"/>
      <c r="U239" s="52"/>
    </row>
    <row r="240">
      <c r="M240" s="52"/>
      <c r="N240" s="52"/>
      <c r="O240" s="52"/>
      <c r="P240" s="52"/>
      <c r="Q240" s="52"/>
      <c r="U240" s="52"/>
    </row>
    <row r="241">
      <c r="M241" s="52"/>
      <c r="N241" s="52"/>
      <c r="O241" s="52"/>
      <c r="P241" s="52"/>
      <c r="Q241" s="52"/>
      <c r="U241" s="52"/>
    </row>
    <row r="242">
      <c r="M242" s="52"/>
      <c r="N242" s="52"/>
      <c r="O242" s="52"/>
      <c r="P242" s="52"/>
      <c r="Q242" s="52"/>
      <c r="U242" s="52"/>
    </row>
    <row r="243">
      <c r="M243" s="52"/>
      <c r="N243" s="52"/>
      <c r="O243" s="52"/>
      <c r="P243" s="52"/>
      <c r="Q243" s="52"/>
      <c r="U243" s="52"/>
    </row>
    <row r="244">
      <c r="M244" s="52"/>
      <c r="N244" s="52"/>
      <c r="O244" s="52"/>
      <c r="P244" s="52"/>
      <c r="Q244" s="52"/>
      <c r="U244" s="52"/>
    </row>
    <row r="245">
      <c r="M245" s="52"/>
      <c r="N245" s="52"/>
      <c r="O245" s="52"/>
      <c r="P245" s="52"/>
      <c r="Q245" s="52"/>
      <c r="U245" s="52"/>
    </row>
    <row r="246">
      <c r="M246" s="52"/>
      <c r="N246" s="52"/>
      <c r="O246" s="52"/>
      <c r="P246" s="52"/>
      <c r="Q246" s="52"/>
      <c r="U246" s="52"/>
    </row>
    <row r="247">
      <c r="M247" s="52"/>
      <c r="N247" s="52"/>
      <c r="O247" s="52"/>
      <c r="P247" s="52"/>
      <c r="Q247" s="52"/>
      <c r="U247" s="52"/>
    </row>
    <row r="248">
      <c r="M248" s="52"/>
      <c r="N248" s="52"/>
      <c r="O248" s="52"/>
      <c r="P248" s="52"/>
      <c r="Q248" s="52"/>
      <c r="U248" s="52"/>
    </row>
    <row r="249">
      <c r="M249" s="52"/>
      <c r="N249" s="52"/>
      <c r="O249" s="52"/>
      <c r="P249" s="52"/>
      <c r="Q249" s="52"/>
      <c r="U249" s="52"/>
    </row>
    <row r="250">
      <c r="M250" s="52"/>
      <c r="N250" s="52"/>
      <c r="O250" s="52"/>
      <c r="P250" s="52"/>
      <c r="Q250" s="52"/>
      <c r="U250" s="52"/>
    </row>
    <row r="251">
      <c r="M251" s="52"/>
      <c r="N251" s="52"/>
      <c r="O251" s="52"/>
      <c r="P251" s="52"/>
      <c r="Q251" s="52"/>
      <c r="U251" s="52"/>
    </row>
    <row r="252">
      <c r="M252" s="52"/>
      <c r="N252" s="52"/>
      <c r="O252" s="52"/>
      <c r="P252" s="52"/>
      <c r="Q252" s="52"/>
      <c r="U252" s="52"/>
    </row>
    <row r="253">
      <c r="M253" s="52"/>
      <c r="N253" s="52"/>
      <c r="O253" s="52"/>
      <c r="P253" s="52"/>
      <c r="Q253" s="52"/>
      <c r="U253" s="52"/>
    </row>
    <row r="254">
      <c r="M254" s="52"/>
      <c r="N254" s="52"/>
      <c r="O254" s="52"/>
      <c r="P254" s="52"/>
      <c r="Q254" s="52"/>
      <c r="U254" s="52"/>
    </row>
    <row r="255">
      <c r="M255" s="52"/>
      <c r="N255" s="52"/>
      <c r="O255" s="52"/>
      <c r="P255" s="52"/>
      <c r="Q255" s="52"/>
      <c r="U255" s="52"/>
    </row>
    <row r="256">
      <c r="M256" s="52"/>
      <c r="N256" s="52"/>
      <c r="O256" s="52"/>
      <c r="P256" s="52"/>
      <c r="Q256" s="52"/>
      <c r="U256" s="52"/>
    </row>
    <row r="257">
      <c r="M257" s="52"/>
      <c r="N257" s="52"/>
      <c r="O257" s="52"/>
      <c r="P257" s="52"/>
      <c r="Q257" s="52"/>
      <c r="U257" s="52"/>
    </row>
    <row r="258">
      <c r="M258" s="52"/>
      <c r="N258" s="52"/>
      <c r="O258" s="52"/>
      <c r="P258" s="52"/>
      <c r="Q258" s="52"/>
      <c r="U258" s="52"/>
    </row>
    <row r="259">
      <c r="M259" s="52"/>
      <c r="N259" s="52"/>
      <c r="O259" s="52"/>
      <c r="P259" s="52"/>
      <c r="Q259" s="52"/>
      <c r="U259" s="52"/>
    </row>
    <row r="260">
      <c r="M260" s="52"/>
      <c r="N260" s="52"/>
      <c r="O260" s="52"/>
      <c r="P260" s="52"/>
      <c r="Q260" s="52"/>
      <c r="U260" s="52"/>
    </row>
    <row r="261">
      <c r="M261" s="52"/>
      <c r="N261" s="52"/>
      <c r="O261" s="52"/>
      <c r="P261" s="52"/>
      <c r="Q261" s="52"/>
      <c r="U261" s="52"/>
    </row>
    <row r="262">
      <c r="M262" s="52"/>
      <c r="N262" s="52"/>
      <c r="O262" s="52"/>
      <c r="P262" s="52"/>
      <c r="Q262" s="52"/>
      <c r="U262" s="52"/>
    </row>
    <row r="263">
      <c r="M263" s="52"/>
      <c r="N263" s="52"/>
      <c r="O263" s="52"/>
      <c r="P263" s="52"/>
      <c r="Q263" s="52"/>
      <c r="U263" s="52"/>
    </row>
    <row r="264">
      <c r="M264" s="52"/>
      <c r="N264" s="52"/>
      <c r="O264" s="52"/>
      <c r="P264" s="52"/>
      <c r="Q264" s="52"/>
      <c r="U264" s="52"/>
    </row>
    <row r="265">
      <c r="M265" s="52"/>
      <c r="N265" s="52"/>
      <c r="O265" s="52"/>
      <c r="P265" s="52"/>
      <c r="Q265" s="52"/>
      <c r="U265" s="52"/>
    </row>
    <row r="266">
      <c r="M266" s="52"/>
      <c r="N266" s="52"/>
      <c r="O266" s="52"/>
      <c r="P266" s="52"/>
      <c r="Q266" s="52"/>
      <c r="U266" s="52"/>
    </row>
    <row r="267">
      <c r="M267" s="52"/>
      <c r="N267" s="52"/>
      <c r="O267" s="52"/>
      <c r="P267" s="52"/>
      <c r="Q267" s="52"/>
      <c r="U267" s="52"/>
    </row>
    <row r="268">
      <c r="M268" s="52"/>
      <c r="N268" s="52"/>
      <c r="O268" s="52"/>
      <c r="P268" s="52"/>
      <c r="Q268" s="52"/>
      <c r="U268" s="52"/>
    </row>
    <row r="269">
      <c r="M269" s="52"/>
      <c r="N269" s="52"/>
      <c r="O269" s="52"/>
      <c r="P269" s="52"/>
      <c r="Q269" s="52"/>
      <c r="U269" s="52"/>
    </row>
    <row r="270">
      <c r="M270" s="52"/>
      <c r="N270" s="52"/>
      <c r="O270" s="52"/>
      <c r="P270" s="52"/>
      <c r="Q270" s="52"/>
      <c r="U270" s="52"/>
    </row>
    <row r="271">
      <c r="M271" s="52"/>
      <c r="N271" s="52"/>
      <c r="O271" s="52"/>
      <c r="P271" s="52"/>
      <c r="Q271" s="52"/>
      <c r="U271" s="52"/>
    </row>
    <row r="272">
      <c r="M272" s="52"/>
      <c r="N272" s="52"/>
      <c r="O272" s="52"/>
      <c r="P272" s="52"/>
      <c r="Q272" s="52"/>
      <c r="U272" s="52"/>
    </row>
    <row r="273">
      <c r="M273" s="52"/>
      <c r="N273" s="52"/>
      <c r="O273" s="52"/>
      <c r="P273" s="52"/>
      <c r="Q273" s="52"/>
      <c r="U273" s="52"/>
    </row>
    <row r="274">
      <c r="M274" s="52"/>
      <c r="N274" s="52"/>
      <c r="O274" s="52"/>
      <c r="P274" s="52"/>
      <c r="Q274" s="52"/>
      <c r="U274" s="52"/>
    </row>
    <row r="275">
      <c r="M275" s="52"/>
      <c r="N275" s="52"/>
      <c r="O275" s="52"/>
      <c r="P275" s="52"/>
      <c r="Q275" s="52"/>
      <c r="U275" s="52"/>
    </row>
    <row r="276">
      <c r="M276" s="52"/>
      <c r="N276" s="52"/>
      <c r="O276" s="52"/>
      <c r="P276" s="52"/>
      <c r="Q276" s="52"/>
      <c r="U276" s="52"/>
    </row>
    <row r="277">
      <c r="M277" s="52"/>
      <c r="N277" s="52"/>
      <c r="O277" s="52"/>
      <c r="P277" s="52"/>
      <c r="Q277" s="52"/>
      <c r="U277" s="52"/>
    </row>
    <row r="278">
      <c r="M278" s="52"/>
      <c r="N278" s="52"/>
      <c r="O278" s="52"/>
      <c r="P278" s="52"/>
      <c r="Q278" s="52"/>
      <c r="U278" s="52"/>
    </row>
    <row r="279">
      <c r="M279" s="52"/>
      <c r="N279" s="52"/>
      <c r="O279" s="52"/>
      <c r="P279" s="52"/>
      <c r="Q279" s="52"/>
      <c r="U279" s="52"/>
    </row>
    <row r="280">
      <c r="M280" s="52"/>
      <c r="N280" s="52"/>
      <c r="O280" s="52"/>
      <c r="P280" s="52"/>
      <c r="Q280" s="52"/>
      <c r="U280" s="52"/>
    </row>
    <row r="281">
      <c r="M281" s="52"/>
      <c r="N281" s="52"/>
      <c r="O281" s="52"/>
      <c r="P281" s="52"/>
      <c r="Q281" s="52"/>
      <c r="U281" s="52"/>
    </row>
    <row r="282">
      <c r="M282" s="52"/>
      <c r="N282" s="52"/>
      <c r="O282" s="52"/>
      <c r="P282" s="52"/>
      <c r="Q282" s="52"/>
      <c r="U282" s="52"/>
    </row>
    <row r="283">
      <c r="M283" s="52"/>
      <c r="N283" s="52"/>
      <c r="O283" s="52"/>
      <c r="P283" s="52"/>
      <c r="Q283" s="52"/>
      <c r="U283" s="52"/>
    </row>
    <row r="284">
      <c r="M284" s="52"/>
      <c r="N284" s="52"/>
      <c r="O284" s="52"/>
      <c r="P284" s="52"/>
      <c r="Q284" s="52"/>
      <c r="U284" s="52"/>
    </row>
    <row r="285">
      <c r="M285" s="52"/>
      <c r="N285" s="52"/>
      <c r="O285" s="52"/>
      <c r="P285" s="52"/>
      <c r="Q285" s="52"/>
      <c r="U285" s="52"/>
    </row>
    <row r="286">
      <c r="M286" s="52"/>
      <c r="N286" s="52"/>
      <c r="O286" s="52"/>
      <c r="P286" s="52"/>
      <c r="Q286" s="52"/>
      <c r="U286" s="52"/>
    </row>
    <row r="287">
      <c r="M287" s="52"/>
      <c r="N287" s="52"/>
      <c r="O287" s="52"/>
      <c r="P287" s="52"/>
      <c r="Q287" s="52"/>
      <c r="U287" s="52"/>
    </row>
    <row r="288">
      <c r="M288" s="52"/>
      <c r="N288" s="52"/>
      <c r="O288" s="52"/>
      <c r="P288" s="52"/>
      <c r="Q288" s="52"/>
      <c r="U288" s="52"/>
    </row>
    <row r="289">
      <c r="M289" s="52"/>
      <c r="N289" s="52"/>
      <c r="O289" s="52"/>
      <c r="P289" s="52"/>
      <c r="Q289" s="52"/>
      <c r="U289" s="52"/>
    </row>
    <row r="290">
      <c r="M290" s="52"/>
      <c r="N290" s="52"/>
      <c r="O290" s="52"/>
      <c r="P290" s="52"/>
      <c r="Q290" s="52"/>
      <c r="U290" s="52"/>
    </row>
    <row r="291">
      <c r="M291" s="52"/>
      <c r="N291" s="52"/>
      <c r="O291" s="52"/>
      <c r="P291" s="52"/>
      <c r="Q291" s="52"/>
      <c r="U291" s="52"/>
    </row>
    <row r="292">
      <c r="M292" s="52"/>
      <c r="N292" s="52"/>
      <c r="O292" s="52"/>
      <c r="P292" s="52"/>
      <c r="Q292" s="52"/>
      <c r="U292" s="52"/>
    </row>
    <row r="293">
      <c r="M293" s="52"/>
      <c r="N293" s="52"/>
      <c r="O293" s="52"/>
      <c r="P293" s="52"/>
      <c r="Q293" s="52"/>
      <c r="U293" s="52"/>
    </row>
    <row r="294">
      <c r="M294" s="52"/>
      <c r="N294" s="52"/>
      <c r="O294" s="52"/>
      <c r="P294" s="52"/>
      <c r="Q294" s="52"/>
      <c r="U294" s="52"/>
    </row>
    <row r="295">
      <c r="M295" s="52"/>
      <c r="N295" s="52"/>
      <c r="O295" s="52"/>
      <c r="P295" s="52"/>
      <c r="Q295" s="52"/>
      <c r="U295" s="52"/>
    </row>
    <row r="296">
      <c r="M296" s="52"/>
      <c r="N296" s="52"/>
      <c r="O296" s="52"/>
      <c r="P296" s="52"/>
      <c r="Q296" s="52"/>
      <c r="U296" s="52"/>
    </row>
    <row r="297">
      <c r="M297" s="52"/>
      <c r="N297" s="52"/>
      <c r="O297" s="52"/>
      <c r="P297" s="52"/>
      <c r="Q297" s="52"/>
      <c r="U297" s="52"/>
    </row>
    <row r="298">
      <c r="M298" s="52"/>
      <c r="N298" s="52"/>
      <c r="O298" s="52"/>
      <c r="P298" s="52"/>
      <c r="Q298" s="52"/>
      <c r="U298" s="52"/>
    </row>
    <row r="299">
      <c r="M299" s="52"/>
      <c r="N299" s="52"/>
      <c r="O299" s="52"/>
      <c r="P299" s="52"/>
      <c r="Q299" s="52"/>
      <c r="U299" s="52"/>
    </row>
    <row r="300">
      <c r="M300" s="52"/>
      <c r="N300" s="52"/>
      <c r="O300" s="52"/>
      <c r="P300" s="52"/>
      <c r="Q300" s="52"/>
      <c r="U300" s="52"/>
    </row>
    <row r="301">
      <c r="M301" s="52"/>
      <c r="N301" s="52"/>
      <c r="O301" s="52"/>
      <c r="P301" s="52"/>
      <c r="Q301" s="52"/>
      <c r="U301" s="52"/>
    </row>
    <row r="302">
      <c r="M302" s="52"/>
      <c r="N302" s="52"/>
      <c r="O302" s="52"/>
      <c r="P302" s="52"/>
      <c r="Q302" s="52"/>
      <c r="U302" s="52"/>
    </row>
    <row r="303">
      <c r="M303" s="52"/>
      <c r="N303" s="52"/>
      <c r="O303" s="52"/>
      <c r="P303" s="52"/>
      <c r="Q303" s="52"/>
      <c r="U303" s="52"/>
    </row>
    <row r="304">
      <c r="M304" s="52"/>
      <c r="N304" s="52"/>
      <c r="O304" s="52"/>
      <c r="P304" s="52"/>
      <c r="Q304" s="52"/>
      <c r="U304" s="52"/>
    </row>
    <row r="305">
      <c r="M305" s="52"/>
      <c r="N305" s="52"/>
      <c r="O305" s="52"/>
      <c r="P305" s="52"/>
      <c r="Q305" s="52"/>
      <c r="U305" s="52"/>
    </row>
    <row r="306">
      <c r="M306" s="52"/>
      <c r="N306" s="52"/>
      <c r="O306" s="52"/>
      <c r="P306" s="52"/>
      <c r="Q306" s="52"/>
      <c r="U306" s="52"/>
    </row>
    <row r="307">
      <c r="M307" s="52"/>
      <c r="N307" s="52"/>
      <c r="O307" s="52"/>
      <c r="P307" s="52"/>
      <c r="Q307" s="52"/>
      <c r="U307" s="52"/>
    </row>
    <row r="308">
      <c r="M308" s="52"/>
      <c r="N308" s="52"/>
      <c r="O308" s="52"/>
      <c r="P308" s="52"/>
      <c r="Q308" s="52"/>
      <c r="U308" s="52"/>
    </row>
    <row r="309">
      <c r="M309" s="52"/>
      <c r="N309" s="52"/>
      <c r="O309" s="52"/>
      <c r="P309" s="52"/>
      <c r="Q309" s="52"/>
      <c r="U309" s="52"/>
    </row>
    <row r="310">
      <c r="M310" s="52"/>
      <c r="N310" s="52"/>
      <c r="O310" s="52"/>
      <c r="P310" s="52"/>
      <c r="Q310" s="52"/>
      <c r="U310" s="52"/>
    </row>
    <row r="311">
      <c r="M311" s="52"/>
      <c r="N311" s="52"/>
      <c r="O311" s="52"/>
      <c r="P311" s="52"/>
      <c r="Q311" s="52"/>
      <c r="U311" s="52"/>
    </row>
    <row r="312">
      <c r="M312" s="52"/>
      <c r="N312" s="52"/>
      <c r="O312" s="52"/>
      <c r="P312" s="52"/>
      <c r="Q312" s="52"/>
      <c r="U312" s="52"/>
    </row>
    <row r="313">
      <c r="M313" s="52"/>
      <c r="N313" s="52"/>
      <c r="O313" s="52"/>
      <c r="P313" s="52"/>
      <c r="Q313" s="52"/>
      <c r="U313" s="52"/>
    </row>
    <row r="314">
      <c r="M314" s="52"/>
      <c r="N314" s="52"/>
      <c r="O314" s="52"/>
      <c r="P314" s="52"/>
      <c r="Q314" s="52"/>
      <c r="U314" s="52"/>
    </row>
    <row r="315">
      <c r="M315" s="52"/>
      <c r="N315" s="52"/>
      <c r="O315" s="52"/>
      <c r="P315" s="52"/>
      <c r="Q315" s="52"/>
      <c r="U315" s="52"/>
    </row>
    <row r="316">
      <c r="M316" s="52"/>
      <c r="N316" s="52"/>
      <c r="O316" s="52"/>
      <c r="P316" s="52"/>
      <c r="Q316" s="52"/>
      <c r="U316" s="52"/>
    </row>
    <row r="317">
      <c r="M317" s="52"/>
      <c r="N317" s="52"/>
      <c r="O317" s="52"/>
      <c r="P317" s="52"/>
      <c r="Q317" s="52"/>
      <c r="U317" s="52"/>
    </row>
    <row r="318">
      <c r="M318" s="52"/>
      <c r="N318" s="52"/>
      <c r="O318" s="52"/>
      <c r="P318" s="52"/>
      <c r="Q318" s="52"/>
      <c r="U318" s="52"/>
    </row>
    <row r="319">
      <c r="M319" s="52"/>
      <c r="N319" s="52"/>
      <c r="O319" s="52"/>
      <c r="P319" s="52"/>
      <c r="Q319" s="52"/>
      <c r="U319" s="52"/>
    </row>
    <row r="320">
      <c r="M320" s="52"/>
      <c r="N320" s="52"/>
      <c r="O320" s="52"/>
      <c r="P320" s="52"/>
      <c r="Q320" s="52"/>
      <c r="U320" s="52"/>
    </row>
    <row r="321">
      <c r="M321" s="52"/>
      <c r="N321" s="52"/>
      <c r="O321" s="52"/>
      <c r="P321" s="52"/>
      <c r="Q321" s="52"/>
      <c r="U321" s="52"/>
    </row>
    <row r="322">
      <c r="M322" s="52"/>
      <c r="N322" s="52"/>
      <c r="O322" s="52"/>
      <c r="P322" s="52"/>
      <c r="Q322" s="52"/>
      <c r="U322" s="52"/>
    </row>
    <row r="323">
      <c r="M323" s="52"/>
      <c r="N323" s="52"/>
      <c r="O323" s="52"/>
      <c r="P323" s="52"/>
      <c r="Q323" s="52"/>
      <c r="U323" s="52"/>
    </row>
    <row r="324">
      <c r="M324" s="52"/>
      <c r="N324" s="52"/>
      <c r="O324" s="52"/>
      <c r="P324" s="52"/>
      <c r="Q324" s="52"/>
      <c r="U324" s="52"/>
    </row>
    <row r="325">
      <c r="M325" s="52"/>
      <c r="N325" s="52"/>
      <c r="O325" s="52"/>
      <c r="P325" s="52"/>
      <c r="Q325" s="52"/>
      <c r="U325" s="52"/>
    </row>
    <row r="326">
      <c r="M326" s="52"/>
      <c r="N326" s="52"/>
      <c r="O326" s="52"/>
      <c r="P326" s="52"/>
      <c r="Q326" s="52"/>
      <c r="U326" s="52"/>
    </row>
    <row r="327">
      <c r="M327" s="52"/>
      <c r="N327" s="52"/>
      <c r="O327" s="52"/>
      <c r="P327" s="52"/>
      <c r="Q327" s="52"/>
      <c r="U327" s="52"/>
    </row>
    <row r="328">
      <c r="M328" s="52"/>
      <c r="N328" s="52"/>
      <c r="O328" s="52"/>
      <c r="P328" s="52"/>
      <c r="Q328" s="52"/>
      <c r="U328" s="52"/>
    </row>
    <row r="329">
      <c r="M329" s="52"/>
      <c r="N329" s="52"/>
      <c r="O329" s="52"/>
      <c r="P329" s="52"/>
      <c r="Q329" s="52"/>
      <c r="U329" s="52"/>
    </row>
    <row r="330">
      <c r="M330" s="52"/>
      <c r="N330" s="52"/>
      <c r="O330" s="52"/>
      <c r="P330" s="52"/>
      <c r="Q330" s="52"/>
      <c r="U330" s="52"/>
    </row>
    <row r="331">
      <c r="M331" s="52"/>
      <c r="N331" s="52"/>
      <c r="O331" s="52"/>
      <c r="P331" s="52"/>
      <c r="Q331" s="52"/>
      <c r="U331" s="52"/>
    </row>
    <row r="332">
      <c r="M332" s="52"/>
      <c r="N332" s="52"/>
      <c r="O332" s="52"/>
      <c r="P332" s="52"/>
      <c r="Q332" s="52"/>
      <c r="U332" s="52"/>
    </row>
    <row r="333">
      <c r="M333" s="52"/>
      <c r="N333" s="52"/>
      <c r="O333" s="52"/>
      <c r="P333" s="52"/>
      <c r="Q333" s="52"/>
      <c r="U333" s="52"/>
    </row>
    <row r="334">
      <c r="M334" s="52"/>
      <c r="N334" s="52"/>
      <c r="O334" s="52"/>
      <c r="P334" s="52"/>
      <c r="Q334" s="52"/>
      <c r="U334" s="52"/>
    </row>
    <row r="335">
      <c r="M335" s="52"/>
      <c r="N335" s="52"/>
      <c r="O335" s="52"/>
      <c r="P335" s="52"/>
      <c r="Q335" s="52"/>
      <c r="U335" s="52"/>
    </row>
    <row r="336">
      <c r="M336" s="52"/>
      <c r="N336" s="52"/>
      <c r="O336" s="52"/>
      <c r="P336" s="52"/>
      <c r="Q336" s="52"/>
      <c r="U336" s="52"/>
    </row>
    <row r="337">
      <c r="M337" s="52"/>
      <c r="N337" s="52"/>
      <c r="O337" s="52"/>
      <c r="P337" s="52"/>
      <c r="Q337" s="52"/>
      <c r="U337" s="52"/>
    </row>
    <row r="338">
      <c r="M338" s="52"/>
      <c r="N338" s="52"/>
      <c r="O338" s="52"/>
      <c r="P338" s="52"/>
      <c r="Q338" s="52"/>
      <c r="U338" s="52"/>
    </row>
    <row r="339">
      <c r="M339" s="52"/>
      <c r="N339" s="52"/>
      <c r="O339" s="52"/>
      <c r="P339" s="52"/>
      <c r="Q339" s="52"/>
      <c r="U339" s="52"/>
    </row>
    <row r="340">
      <c r="M340" s="52"/>
      <c r="N340" s="52"/>
      <c r="O340" s="52"/>
      <c r="P340" s="52"/>
      <c r="Q340" s="52"/>
      <c r="U340" s="52"/>
    </row>
    <row r="341">
      <c r="M341" s="52"/>
      <c r="N341" s="52"/>
      <c r="O341" s="52"/>
      <c r="P341" s="52"/>
      <c r="Q341" s="52"/>
      <c r="U341" s="52"/>
    </row>
    <row r="342">
      <c r="M342" s="52"/>
      <c r="N342" s="52"/>
      <c r="O342" s="52"/>
      <c r="P342" s="52"/>
      <c r="Q342" s="52"/>
      <c r="U342" s="52"/>
    </row>
    <row r="343">
      <c r="M343" s="52"/>
      <c r="N343" s="52"/>
      <c r="O343" s="52"/>
      <c r="P343" s="52"/>
      <c r="Q343" s="52"/>
      <c r="U343" s="52"/>
    </row>
    <row r="344">
      <c r="M344" s="52"/>
      <c r="N344" s="52"/>
      <c r="O344" s="52"/>
      <c r="P344" s="52"/>
      <c r="Q344" s="52"/>
      <c r="U344" s="52"/>
    </row>
    <row r="345">
      <c r="M345" s="52"/>
      <c r="N345" s="52"/>
      <c r="O345" s="52"/>
      <c r="P345" s="52"/>
      <c r="Q345" s="52"/>
      <c r="U345" s="52"/>
    </row>
    <row r="346">
      <c r="M346" s="52"/>
      <c r="N346" s="52"/>
      <c r="O346" s="52"/>
      <c r="P346" s="52"/>
      <c r="Q346" s="52"/>
      <c r="U346" s="52"/>
    </row>
    <row r="347">
      <c r="M347" s="52"/>
      <c r="N347" s="52"/>
      <c r="O347" s="52"/>
      <c r="P347" s="52"/>
      <c r="Q347" s="52"/>
      <c r="U347" s="52"/>
    </row>
    <row r="348">
      <c r="M348" s="52"/>
      <c r="N348" s="52"/>
      <c r="O348" s="52"/>
      <c r="P348" s="52"/>
      <c r="Q348" s="52"/>
      <c r="U348" s="52"/>
    </row>
    <row r="349">
      <c r="M349" s="52"/>
      <c r="N349" s="52"/>
      <c r="O349" s="52"/>
      <c r="P349" s="52"/>
      <c r="Q349" s="52"/>
      <c r="U349" s="52"/>
    </row>
    <row r="350">
      <c r="M350" s="52"/>
      <c r="N350" s="52"/>
      <c r="O350" s="52"/>
      <c r="P350" s="52"/>
      <c r="Q350" s="52"/>
      <c r="U350" s="52"/>
    </row>
    <row r="351">
      <c r="M351" s="52"/>
      <c r="N351" s="52"/>
      <c r="O351" s="52"/>
      <c r="P351" s="52"/>
      <c r="Q351" s="52"/>
      <c r="U351" s="52"/>
    </row>
    <row r="352">
      <c r="M352" s="52"/>
      <c r="N352" s="52"/>
      <c r="O352" s="52"/>
      <c r="P352" s="52"/>
      <c r="Q352" s="52"/>
      <c r="U352" s="52"/>
    </row>
    <row r="353">
      <c r="M353" s="52"/>
      <c r="N353" s="52"/>
      <c r="O353" s="52"/>
      <c r="P353" s="52"/>
      <c r="Q353" s="52"/>
      <c r="U353" s="52"/>
    </row>
    <row r="354">
      <c r="M354" s="52"/>
      <c r="N354" s="52"/>
      <c r="O354" s="52"/>
      <c r="P354" s="52"/>
      <c r="Q354" s="52"/>
      <c r="U354" s="52"/>
    </row>
    <row r="355">
      <c r="M355" s="52"/>
      <c r="N355" s="52"/>
      <c r="O355" s="52"/>
      <c r="P355" s="52"/>
      <c r="Q355" s="52"/>
      <c r="U355" s="52"/>
    </row>
    <row r="356">
      <c r="M356" s="52"/>
      <c r="N356" s="52"/>
      <c r="O356" s="52"/>
      <c r="P356" s="52"/>
      <c r="Q356" s="52"/>
      <c r="U356" s="52"/>
    </row>
    <row r="357">
      <c r="M357" s="52"/>
      <c r="N357" s="52"/>
      <c r="O357" s="52"/>
      <c r="P357" s="52"/>
      <c r="Q357" s="52"/>
      <c r="U357" s="52"/>
    </row>
    <row r="358">
      <c r="M358" s="52"/>
      <c r="N358" s="52"/>
      <c r="O358" s="52"/>
      <c r="P358" s="52"/>
      <c r="Q358" s="52"/>
      <c r="U358" s="52"/>
    </row>
    <row r="359">
      <c r="M359" s="52"/>
      <c r="N359" s="52"/>
      <c r="O359" s="52"/>
      <c r="P359" s="52"/>
      <c r="Q359" s="52"/>
      <c r="U359" s="52"/>
    </row>
    <row r="360">
      <c r="M360" s="52"/>
      <c r="N360" s="52"/>
      <c r="O360" s="52"/>
      <c r="P360" s="52"/>
      <c r="Q360" s="52"/>
      <c r="U360" s="52"/>
    </row>
    <row r="361">
      <c r="M361" s="52"/>
      <c r="N361" s="52"/>
      <c r="O361" s="52"/>
      <c r="P361" s="52"/>
      <c r="Q361" s="52"/>
      <c r="U361" s="52"/>
    </row>
    <row r="362">
      <c r="M362" s="52"/>
      <c r="N362" s="52"/>
      <c r="O362" s="52"/>
      <c r="P362" s="52"/>
      <c r="Q362" s="52"/>
      <c r="U362" s="52"/>
    </row>
    <row r="363">
      <c r="M363" s="52"/>
      <c r="N363" s="52"/>
      <c r="O363" s="52"/>
      <c r="P363" s="52"/>
      <c r="Q363" s="52"/>
      <c r="U363" s="52"/>
    </row>
    <row r="364">
      <c r="M364" s="52"/>
      <c r="N364" s="52"/>
      <c r="O364" s="52"/>
      <c r="P364" s="52"/>
      <c r="Q364" s="52"/>
      <c r="U364" s="52"/>
    </row>
    <row r="365">
      <c r="M365" s="52"/>
      <c r="N365" s="52"/>
      <c r="O365" s="52"/>
      <c r="P365" s="52"/>
      <c r="Q365" s="52"/>
      <c r="U365" s="52"/>
    </row>
    <row r="366">
      <c r="M366" s="52"/>
      <c r="N366" s="52"/>
      <c r="O366" s="52"/>
      <c r="P366" s="52"/>
      <c r="Q366" s="52"/>
      <c r="U366" s="52"/>
    </row>
    <row r="367">
      <c r="M367" s="52"/>
      <c r="N367" s="52"/>
      <c r="O367" s="52"/>
      <c r="P367" s="52"/>
      <c r="Q367" s="52"/>
      <c r="U367" s="52"/>
    </row>
    <row r="368">
      <c r="M368" s="52"/>
      <c r="N368" s="52"/>
      <c r="O368" s="52"/>
      <c r="P368" s="52"/>
      <c r="Q368" s="52"/>
      <c r="U368" s="52"/>
    </row>
    <row r="369">
      <c r="M369" s="52"/>
      <c r="N369" s="52"/>
      <c r="O369" s="52"/>
      <c r="P369" s="52"/>
      <c r="Q369" s="52"/>
      <c r="U369" s="52"/>
    </row>
    <row r="370">
      <c r="M370" s="52"/>
      <c r="N370" s="52"/>
      <c r="O370" s="52"/>
      <c r="P370" s="52"/>
      <c r="Q370" s="52"/>
      <c r="U370" s="52"/>
    </row>
    <row r="371">
      <c r="M371" s="52"/>
      <c r="N371" s="52"/>
      <c r="O371" s="52"/>
      <c r="P371" s="52"/>
      <c r="Q371" s="52"/>
      <c r="U371" s="52"/>
    </row>
    <row r="372">
      <c r="M372" s="52"/>
      <c r="N372" s="52"/>
      <c r="O372" s="52"/>
      <c r="P372" s="52"/>
      <c r="Q372" s="52"/>
      <c r="U372" s="52"/>
    </row>
    <row r="373">
      <c r="M373" s="52"/>
      <c r="N373" s="52"/>
      <c r="O373" s="52"/>
      <c r="P373" s="52"/>
      <c r="Q373" s="52"/>
      <c r="U373" s="52"/>
    </row>
    <row r="374">
      <c r="M374" s="52"/>
      <c r="N374" s="52"/>
      <c r="O374" s="52"/>
      <c r="P374" s="52"/>
      <c r="Q374" s="52"/>
      <c r="U374" s="52"/>
    </row>
    <row r="375">
      <c r="M375" s="52"/>
      <c r="N375" s="52"/>
      <c r="O375" s="52"/>
      <c r="P375" s="52"/>
      <c r="Q375" s="52"/>
      <c r="U375" s="52"/>
    </row>
    <row r="376">
      <c r="M376" s="52"/>
      <c r="N376" s="52"/>
      <c r="O376" s="52"/>
      <c r="P376" s="52"/>
      <c r="Q376" s="52"/>
      <c r="U376" s="52"/>
    </row>
    <row r="377">
      <c r="M377" s="52"/>
      <c r="N377" s="52"/>
      <c r="O377" s="52"/>
      <c r="P377" s="52"/>
      <c r="Q377" s="52"/>
      <c r="U377" s="52"/>
    </row>
    <row r="378">
      <c r="M378" s="52"/>
      <c r="N378" s="52"/>
      <c r="O378" s="52"/>
      <c r="P378" s="52"/>
      <c r="Q378" s="52"/>
      <c r="U378" s="52"/>
    </row>
    <row r="379">
      <c r="M379" s="52"/>
      <c r="N379" s="52"/>
      <c r="O379" s="52"/>
      <c r="P379" s="52"/>
      <c r="Q379" s="52"/>
      <c r="U379" s="52"/>
    </row>
    <row r="380">
      <c r="M380" s="52"/>
      <c r="N380" s="52"/>
      <c r="O380" s="52"/>
      <c r="P380" s="52"/>
      <c r="Q380" s="52"/>
      <c r="U380" s="52"/>
    </row>
    <row r="381">
      <c r="M381" s="52"/>
      <c r="N381" s="52"/>
      <c r="O381" s="52"/>
      <c r="P381" s="52"/>
      <c r="Q381" s="52"/>
      <c r="U381" s="52"/>
    </row>
    <row r="382">
      <c r="M382" s="52"/>
      <c r="N382" s="52"/>
      <c r="O382" s="52"/>
      <c r="P382" s="52"/>
      <c r="Q382" s="52"/>
      <c r="U382" s="52"/>
    </row>
    <row r="383">
      <c r="M383" s="52"/>
      <c r="N383" s="52"/>
      <c r="O383" s="52"/>
      <c r="P383" s="52"/>
      <c r="Q383" s="52"/>
      <c r="U383" s="52"/>
    </row>
    <row r="384">
      <c r="M384" s="52"/>
      <c r="N384" s="52"/>
      <c r="O384" s="52"/>
      <c r="P384" s="52"/>
      <c r="Q384" s="52"/>
      <c r="U384" s="52"/>
    </row>
    <row r="385">
      <c r="M385" s="52"/>
      <c r="N385" s="52"/>
      <c r="O385" s="52"/>
      <c r="P385" s="52"/>
      <c r="Q385" s="52"/>
      <c r="U385" s="52"/>
    </row>
    <row r="386">
      <c r="M386" s="52"/>
      <c r="N386" s="52"/>
      <c r="O386" s="52"/>
      <c r="P386" s="52"/>
      <c r="Q386" s="52"/>
      <c r="U386" s="52"/>
    </row>
    <row r="387">
      <c r="M387" s="52"/>
      <c r="N387" s="52"/>
      <c r="O387" s="52"/>
      <c r="P387" s="52"/>
      <c r="Q387" s="52"/>
      <c r="U387" s="52"/>
    </row>
    <row r="388">
      <c r="M388" s="52"/>
      <c r="N388" s="52"/>
      <c r="O388" s="52"/>
      <c r="P388" s="52"/>
      <c r="Q388" s="52"/>
      <c r="U388" s="52"/>
    </row>
    <row r="389">
      <c r="M389" s="52"/>
      <c r="N389" s="52"/>
      <c r="O389" s="52"/>
      <c r="P389" s="52"/>
      <c r="Q389" s="52"/>
      <c r="U389" s="52"/>
    </row>
    <row r="390">
      <c r="M390" s="52"/>
      <c r="N390" s="52"/>
      <c r="O390" s="52"/>
      <c r="P390" s="52"/>
      <c r="Q390" s="52"/>
      <c r="U390" s="52"/>
    </row>
    <row r="391">
      <c r="M391" s="52"/>
      <c r="N391" s="52"/>
      <c r="O391" s="52"/>
      <c r="P391" s="52"/>
      <c r="Q391" s="52"/>
      <c r="U391" s="52"/>
    </row>
    <row r="392">
      <c r="M392" s="52"/>
      <c r="N392" s="52"/>
      <c r="O392" s="52"/>
      <c r="P392" s="52"/>
      <c r="Q392" s="52"/>
      <c r="U392" s="52"/>
    </row>
    <row r="393">
      <c r="M393" s="52"/>
      <c r="N393" s="52"/>
      <c r="O393" s="52"/>
      <c r="P393" s="52"/>
      <c r="Q393" s="52"/>
      <c r="U393" s="52"/>
    </row>
    <row r="394">
      <c r="M394" s="52"/>
      <c r="N394" s="52"/>
      <c r="O394" s="52"/>
      <c r="P394" s="52"/>
      <c r="Q394" s="52"/>
      <c r="U394" s="52"/>
    </row>
    <row r="395">
      <c r="M395" s="52"/>
      <c r="N395" s="52"/>
      <c r="O395" s="52"/>
      <c r="P395" s="52"/>
      <c r="Q395" s="52"/>
      <c r="U395" s="52"/>
    </row>
    <row r="396">
      <c r="M396" s="52"/>
      <c r="N396" s="52"/>
      <c r="O396" s="52"/>
      <c r="P396" s="52"/>
      <c r="Q396" s="52"/>
      <c r="U396" s="52"/>
    </row>
    <row r="397">
      <c r="M397" s="52"/>
      <c r="N397" s="52"/>
      <c r="O397" s="52"/>
      <c r="P397" s="52"/>
      <c r="Q397" s="52"/>
      <c r="U397" s="52"/>
    </row>
    <row r="398">
      <c r="M398" s="52"/>
      <c r="N398" s="52"/>
      <c r="O398" s="52"/>
      <c r="P398" s="52"/>
      <c r="Q398" s="52"/>
      <c r="U398" s="52"/>
    </row>
    <row r="399">
      <c r="M399" s="52"/>
      <c r="N399" s="52"/>
      <c r="O399" s="52"/>
      <c r="P399" s="52"/>
      <c r="Q399" s="52"/>
      <c r="U399" s="52"/>
    </row>
    <row r="400">
      <c r="M400" s="52"/>
      <c r="N400" s="52"/>
      <c r="O400" s="52"/>
      <c r="P400" s="52"/>
      <c r="Q400" s="52"/>
      <c r="U400" s="52"/>
    </row>
    <row r="401">
      <c r="M401" s="52"/>
      <c r="N401" s="52"/>
      <c r="O401" s="52"/>
      <c r="P401" s="52"/>
      <c r="Q401" s="52"/>
      <c r="U401" s="52"/>
    </row>
    <row r="402">
      <c r="M402" s="52"/>
      <c r="N402" s="52"/>
      <c r="O402" s="52"/>
      <c r="P402" s="52"/>
      <c r="Q402" s="52"/>
      <c r="U402" s="52"/>
    </row>
    <row r="403">
      <c r="M403" s="52"/>
      <c r="N403" s="52"/>
      <c r="O403" s="52"/>
      <c r="P403" s="52"/>
      <c r="Q403" s="52"/>
      <c r="U403" s="52"/>
    </row>
    <row r="404">
      <c r="M404" s="52"/>
      <c r="N404" s="52"/>
      <c r="O404" s="52"/>
      <c r="P404" s="52"/>
      <c r="Q404" s="52"/>
      <c r="U404" s="52"/>
    </row>
    <row r="405">
      <c r="M405" s="52"/>
      <c r="N405" s="52"/>
      <c r="O405" s="52"/>
      <c r="P405" s="52"/>
      <c r="Q405" s="52"/>
      <c r="U405" s="52"/>
    </row>
    <row r="406">
      <c r="M406" s="52"/>
      <c r="N406" s="52"/>
      <c r="O406" s="52"/>
      <c r="P406" s="52"/>
      <c r="Q406" s="52"/>
      <c r="U406" s="52"/>
    </row>
    <row r="407">
      <c r="M407" s="52"/>
      <c r="N407" s="52"/>
      <c r="O407" s="52"/>
      <c r="P407" s="52"/>
      <c r="Q407" s="52"/>
      <c r="U407" s="52"/>
    </row>
    <row r="408">
      <c r="M408" s="52"/>
      <c r="N408" s="52"/>
      <c r="O408" s="52"/>
      <c r="P408" s="52"/>
      <c r="Q408" s="52"/>
      <c r="U408" s="52"/>
    </row>
    <row r="409">
      <c r="M409" s="52"/>
      <c r="N409" s="52"/>
      <c r="O409" s="52"/>
      <c r="P409" s="52"/>
      <c r="Q409" s="52"/>
      <c r="U409" s="52"/>
    </row>
    <row r="410">
      <c r="M410" s="52"/>
      <c r="N410" s="52"/>
      <c r="O410" s="52"/>
      <c r="P410" s="52"/>
      <c r="Q410" s="52"/>
      <c r="U410" s="52"/>
    </row>
    <row r="411">
      <c r="M411" s="52"/>
      <c r="N411" s="52"/>
      <c r="O411" s="52"/>
      <c r="P411" s="52"/>
      <c r="Q411" s="52"/>
      <c r="U411" s="52"/>
    </row>
    <row r="412">
      <c r="M412" s="52"/>
      <c r="N412" s="52"/>
      <c r="O412" s="52"/>
      <c r="P412" s="52"/>
      <c r="Q412" s="52"/>
      <c r="U412" s="52"/>
    </row>
    <row r="413">
      <c r="M413" s="52"/>
      <c r="N413" s="52"/>
      <c r="O413" s="52"/>
      <c r="P413" s="52"/>
      <c r="Q413" s="52"/>
      <c r="U413" s="52"/>
    </row>
    <row r="414">
      <c r="M414" s="52"/>
      <c r="N414" s="52"/>
      <c r="O414" s="52"/>
      <c r="P414" s="52"/>
      <c r="Q414" s="52"/>
      <c r="U414" s="52"/>
    </row>
    <row r="415">
      <c r="M415" s="52"/>
      <c r="N415" s="52"/>
      <c r="O415" s="52"/>
      <c r="P415" s="52"/>
      <c r="Q415" s="52"/>
      <c r="U415" s="52"/>
    </row>
    <row r="416">
      <c r="M416" s="52"/>
      <c r="N416" s="52"/>
      <c r="O416" s="52"/>
      <c r="P416" s="52"/>
      <c r="Q416" s="52"/>
      <c r="U416" s="52"/>
    </row>
    <row r="417">
      <c r="M417" s="52"/>
      <c r="N417" s="52"/>
      <c r="O417" s="52"/>
      <c r="P417" s="52"/>
      <c r="Q417" s="52"/>
      <c r="U417" s="52"/>
    </row>
    <row r="418">
      <c r="M418" s="52"/>
      <c r="N418" s="52"/>
      <c r="O418" s="52"/>
      <c r="P418" s="52"/>
      <c r="Q418" s="52"/>
      <c r="U418" s="52"/>
    </row>
    <row r="419">
      <c r="M419" s="52"/>
      <c r="N419" s="52"/>
      <c r="O419" s="52"/>
      <c r="P419" s="52"/>
      <c r="Q419" s="52"/>
      <c r="U419" s="52"/>
    </row>
    <row r="420">
      <c r="M420" s="52"/>
      <c r="N420" s="52"/>
      <c r="O420" s="52"/>
      <c r="P420" s="52"/>
      <c r="Q420" s="52"/>
      <c r="U420" s="52"/>
    </row>
    <row r="421">
      <c r="M421" s="52"/>
      <c r="N421" s="52"/>
      <c r="O421" s="52"/>
      <c r="P421" s="52"/>
      <c r="Q421" s="52"/>
      <c r="U421" s="52"/>
    </row>
    <row r="422">
      <c r="M422" s="52"/>
      <c r="N422" s="52"/>
      <c r="O422" s="52"/>
      <c r="P422" s="52"/>
      <c r="Q422" s="52"/>
      <c r="U422" s="52"/>
    </row>
    <row r="423">
      <c r="M423" s="52"/>
      <c r="N423" s="52"/>
      <c r="O423" s="52"/>
      <c r="P423" s="52"/>
      <c r="Q423" s="52"/>
      <c r="U423" s="52"/>
    </row>
    <row r="424">
      <c r="M424" s="52"/>
      <c r="N424" s="52"/>
      <c r="O424" s="52"/>
      <c r="P424" s="52"/>
      <c r="Q424" s="52"/>
      <c r="U424" s="52"/>
    </row>
    <row r="425">
      <c r="M425" s="52"/>
      <c r="N425" s="52"/>
      <c r="O425" s="52"/>
      <c r="P425" s="52"/>
      <c r="Q425" s="52"/>
      <c r="U425" s="52"/>
    </row>
    <row r="426">
      <c r="M426" s="52"/>
      <c r="N426" s="52"/>
      <c r="O426" s="52"/>
      <c r="P426" s="52"/>
      <c r="Q426" s="52"/>
      <c r="U426" s="52"/>
    </row>
    <row r="427">
      <c r="M427" s="52"/>
      <c r="N427" s="52"/>
      <c r="O427" s="52"/>
      <c r="P427" s="52"/>
      <c r="Q427" s="52"/>
      <c r="U427" s="52"/>
    </row>
    <row r="428">
      <c r="M428" s="52"/>
      <c r="N428" s="52"/>
      <c r="O428" s="52"/>
      <c r="P428" s="52"/>
      <c r="Q428" s="52"/>
      <c r="U428" s="52"/>
    </row>
    <row r="429">
      <c r="M429" s="52"/>
      <c r="N429" s="52"/>
      <c r="O429" s="52"/>
      <c r="P429" s="52"/>
      <c r="Q429" s="52"/>
      <c r="U429" s="52"/>
    </row>
    <row r="430">
      <c r="M430" s="52"/>
      <c r="N430" s="52"/>
      <c r="O430" s="52"/>
      <c r="P430" s="52"/>
      <c r="Q430" s="52"/>
      <c r="U430" s="52"/>
    </row>
    <row r="431">
      <c r="M431" s="52"/>
      <c r="N431" s="52"/>
      <c r="O431" s="52"/>
      <c r="P431" s="52"/>
      <c r="Q431" s="52"/>
      <c r="U431" s="52"/>
    </row>
    <row r="432">
      <c r="M432" s="52"/>
      <c r="N432" s="52"/>
      <c r="O432" s="52"/>
      <c r="P432" s="52"/>
      <c r="Q432" s="52"/>
      <c r="U432" s="52"/>
    </row>
    <row r="433">
      <c r="M433" s="52"/>
      <c r="N433" s="52"/>
      <c r="O433" s="52"/>
      <c r="P433" s="52"/>
      <c r="Q433" s="52"/>
      <c r="U433" s="52"/>
    </row>
    <row r="434">
      <c r="M434" s="52"/>
      <c r="N434" s="52"/>
      <c r="O434" s="52"/>
      <c r="P434" s="52"/>
      <c r="Q434" s="52"/>
      <c r="U434" s="52"/>
    </row>
    <row r="435">
      <c r="M435" s="52"/>
      <c r="N435" s="52"/>
      <c r="O435" s="52"/>
      <c r="P435" s="52"/>
      <c r="Q435" s="52"/>
      <c r="U435" s="52"/>
    </row>
    <row r="436">
      <c r="M436" s="52"/>
      <c r="N436" s="52"/>
      <c r="O436" s="52"/>
      <c r="P436" s="52"/>
      <c r="Q436" s="52"/>
      <c r="U436" s="52"/>
    </row>
    <row r="437">
      <c r="M437" s="52"/>
      <c r="N437" s="52"/>
      <c r="O437" s="52"/>
      <c r="P437" s="52"/>
      <c r="Q437" s="52"/>
      <c r="U437" s="52"/>
    </row>
    <row r="438">
      <c r="M438" s="52"/>
      <c r="N438" s="52"/>
      <c r="O438" s="52"/>
      <c r="P438" s="52"/>
      <c r="Q438" s="52"/>
      <c r="U438" s="52"/>
    </row>
    <row r="439">
      <c r="M439" s="52"/>
      <c r="N439" s="52"/>
      <c r="O439" s="52"/>
      <c r="P439" s="52"/>
      <c r="Q439" s="52"/>
      <c r="U439" s="52"/>
    </row>
    <row r="440">
      <c r="M440" s="52"/>
      <c r="N440" s="52"/>
      <c r="O440" s="52"/>
      <c r="P440" s="52"/>
      <c r="Q440" s="52"/>
      <c r="U440" s="52"/>
    </row>
    <row r="441">
      <c r="M441" s="52"/>
      <c r="N441" s="52"/>
      <c r="O441" s="52"/>
      <c r="P441" s="52"/>
      <c r="Q441" s="52"/>
      <c r="U441" s="52"/>
    </row>
    <row r="442">
      <c r="M442" s="52"/>
      <c r="N442" s="52"/>
      <c r="O442" s="52"/>
      <c r="P442" s="52"/>
      <c r="Q442" s="52"/>
      <c r="U442" s="52"/>
    </row>
    <row r="443">
      <c r="M443" s="52"/>
      <c r="N443" s="52"/>
      <c r="O443" s="52"/>
      <c r="P443" s="52"/>
      <c r="Q443" s="52"/>
      <c r="U443" s="52"/>
    </row>
    <row r="444">
      <c r="M444" s="52"/>
      <c r="N444" s="52"/>
      <c r="O444" s="52"/>
      <c r="P444" s="52"/>
      <c r="Q444" s="52"/>
      <c r="U444" s="52"/>
    </row>
    <row r="445">
      <c r="M445" s="52"/>
      <c r="N445" s="52"/>
      <c r="O445" s="52"/>
      <c r="P445" s="52"/>
      <c r="Q445" s="52"/>
      <c r="U445" s="52"/>
    </row>
    <row r="446">
      <c r="M446" s="52"/>
      <c r="N446" s="52"/>
      <c r="O446" s="52"/>
      <c r="P446" s="52"/>
      <c r="Q446" s="52"/>
      <c r="U446" s="52"/>
    </row>
    <row r="447">
      <c r="M447" s="52"/>
      <c r="N447" s="52"/>
      <c r="O447" s="52"/>
      <c r="P447" s="52"/>
      <c r="Q447" s="52"/>
      <c r="U447" s="52"/>
    </row>
    <row r="448">
      <c r="M448" s="52"/>
      <c r="N448" s="52"/>
      <c r="O448" s="52"/>
      <c r="P448" s="52"/>
      <c r="Q448" s="52"/>
      <c r="U448" s="52"/>
    </row>
    <row r="449">
      <c r="M449" s="52"/>
      <c r="N449" s="52"/>
      <c r="O449" s="52"/>
      <c r="P449" s="52"/>
      <c r="Q449" s="52"/>
      <c r="U449" s="52"/>
    </row>
    <row r="450">
      <c r="M450" s="52"/>
      <c r="N450" s="52"/>
      <c r="O450" s="52"/>
      <c r="P450" s="52"/>
      <c r="Q450" s="52"/>
      <c r="U450" s="52"/>
    </row>
    <row r="451">
      <c r="M451" s="52"/>
      <c r="N451" s="52"/>
      <c r="O451" s="52"/>
      <c r="P451" s="52"/>
      <c r="Q451" s="52"/>
      <c r="U451" s="52"/>
    </row>
    <row r="452">
      <c r="M452" s="52"/>
      <c r="N452" s="52"/>
      <c r="O452" s="52"/>
      <c r="P452" s="52"/>
      <c r="Q452" s="52"/>
      <c r="U452" s="52"/>
    </row>
    <row r="453">
      <c r="M453" s="52"/>
      <c r="N453" s="52"/>
      <c r="O453" s="52"/>
      <c r="P453" s="52"/>
      <c r="Q453" s="52"/>
      <c r="U453" s="52"/>
    </row>
    <row r="454">
      <c r="M454" s="52"/>
      <c r="N454" s="52"/>
      <c r="O454" s="52"/>
      <c r="P454" s="52"/>
      <c r="Q454" s="52"/>
      <c r="U454" s="52"/>
    </row>
    <row r="455">
      <c r="M455" s="52"/>
      <c r="N455" s="52"/>
      <c r="O455" s="52"/>
      <c r="P455" s="52"/>
      <c r="Q455" s="52"/>
      <c r="U455" s="52"/>
    </row>
    <row r="456">
      <c r="M456" s="52"/>
      <c r="N456" s="52"/>
      <c r="O456" s="52"/>
      <c r="P456" s="52"/>
      <c r="Q456" s="52"/>
      <c r="U456" s="52"/>
    </row>
    <row r="457">
      <c r="M457" s="52"/>
      <c r="N457" s="52"/>
      <c r="O457" s="52"/>
      <c r="P457" s="52"/>
      <c r="Q457" s="52"/>
      <c r="U457" s="52"/>
    </row>
    <row r="458">
      <c r="M458" s="52"/>
      <c r="N458" s="52"/>
      <c r="O458" s="52"/>
      <c r="P458" s="52"/>
      <c r="Q458" s="52"/>
      <c r="U458" s="52"/>
    </row>
    <row r="459">
      <c r="M459" s="52"/>
      <c r="N459" s="52"/>
      <c r="O459" s="52"/>
      <c r="P459" s="52"/>
      <c r="Q459" s="52"/>
      <c r="U459" s="52"/>
    </row>
    <row r="460">
      <c r="M460" s="52"/>
      <c r="N460" s="52"/>
      <c r="O460" s="52"/>
      <c r="P460" s="52"/>
      <c r="Q460" s="52"/>
      <c r="U460" s="52"/>
    </row>
    <row r="461">
      <c r="M461" s="52"/>
      <c r="N461" s="52"/>
      <c r="O461" s="52"/>
      <c r="P461" s="52"/>
      <c r="Q461" s="52"/>
      <c r="U461" s="52"/>
    </row>
    <row r="462">
      <c r="M462" s="52"/>
      <c r="N462" s="52"/>
      <c r="O462" s="52"/>
      <c r="P462" s="52"/>
      <c r="Q462" s="52"/>
      <c r="U462" s="52"/>
    </row>
    <row r="463">
      <c r="M463" s="52"/>
      <c r="N463" s="52"/>
      <c r="O463" s="52"/>
      <c r="P463" s="52"/>
      <c r="Q463" s="52"/>
      <c r="U463" s="52"/>
    </row>
    <row r="464">
      <c r="M464" s="52"/>
      <c r="N464" s="52"/>
      <c r="O464" s="52"/>
      <c r="P464" s="52"/>
      <c r="Q464" s="52"/>
      <c r="U464" s="52"/>
    </row>
    <row r="465">
      <c r="M465" s="52"/>
      <c r="N465" s="52"/>
      <c r="O465" s="52"/>
      <c r="P465" s="52"/>
      <c r="Q465" s="52"/>
      <c r="U465" s="52"/>
    </row>
    <row r="466">
      <c r="M466" s="52"/>
      <c r="N466" s="52"/>
      <c r="O466" s="52"/>
      <c r="P466" s="52"/>
      <c r="Q466" s="52"/>
      <c r="U466" s="52"/>
    </row>
    <row r="467">
      <c r="M467" s="52"/>
      <c r="N467" s="52"/>
      <c r="O467" s="52"/>
      <c r="P467" s="52"/>
      <c r="Q467" s="52"/>
      <c r="U467" s="52"/>
    </row>
    <row r="468">
      <c r="M468" s="52"/>
      <c r="N468" s="52"/>
      <c r="O468" s="52"/>
      <c r="P468" s="52"/>
      <c r="Q468" s="52"/>
      <c r="U468" s="52"/>
    </row>
    <row r="469">
      <c r="M469" s="52"/>
      <c r="N469" s="52"/>
      <c r="O469" s="52"/>
      <c r="P469" s="52"/>
      <c r="Q469" s="52"/>
      <c r="U469" s="52"/>
    </row>
    <row r="470">
      <c r="M470" s="52"/>
      <c r="N470" s="52"/>
      <c r="O470" s="52"/>
      <c r="P470" s="52"/>
      <c r="Q470" s="52"/>
      <c r="U470" s="52"/>
    </row>
    <row r="471">
      <c r="M471" s="52"/>
      <c r="N471" s="52"/>
      <c r="O471" s="52"/>
      <c r="P471" s="52"/>
      <c r="Q471" s="52"/>
      <c r="U471" s="52"/>
    </row>
    <row r="472">
      <c r="M472" s="52"/>
      <c r="N472" s="52"/>
      <c r="O472" s="52"/>
      <c r="P472" s="52"/>
      <c r="Q472" s="52"/>
      <c r="U472" s="52"/>
    </row>
    <row r="473">
      <c r="M473" s="52"/>
      <c r="N473" s="52"/>
      <c r="O473" s="52"/>
      <c r="P473" s="52"/>
      <c r="Q473" s="52"/>
      <c r="U473" s="52"/>
    </row>
    <row r="474">
      <c r="M474" s="52"/>
      <c r="N474" s="52"/>
      <c r="O474" s="52"/>
      <c r="P474" s="52"/>
      <c r="Q474" s="52"/>
      <c r="U474" s="52"/>
    </row>
    <row r="475">
      <c r="M475" s="52"/>
      <c r="N475" s="52"/>
      <c r="O475" s="52"/>
      <c r="P475" s="52"/>
      <c r="Q475" s="52"/>
      <c r="U475" s="52"/>
    </row>
    <row r="476">
      <c r="M476" s="52"/>
      <c r="N476" s="52"/>
      <c r="O476" s="52"/>
      <c r="P476" s="52"/>
      <c r="Q476" s="52"/>
      <c r="U476" s="52"/>
    </row>
    <row r="477">
      <c r="M477" s="52"/>
      <c r="N477" s="52"/>
      <c r="O477" s="52"/>
      <c r="P477" s="52"/>
      <c r="Q477" s="52"/>
      <c r="U477" s="52"/>
    </row>
    <row r="478">
      <c r="M478" s="52"/>
      <c r="N478" s="52"/>
      <c r="O478" s="52"/>
      <c r="P478" s="52"/>
      <c r="Q478" s="52"/>
      <c r="U478" s="52"/>
    </row>
    <row r="479">
      <c r="M479" s="52"/>
      <c r="N479" s="52"/>
      <c r="O479" s="52"/>
      <c r="P479" s="52"/>
      <c r="Q479" s="52"/>
      <c r="U479" s="52"/>
    </row>
    <row r="480">
      <c r="M480" s="52"/>
      <c r="N480" s="52"/>
      <c r="O480" s="52"/>
      <c r="P480" s="52"/>
      <c r="Q480" s="52"/>
      <c r="U480" s="52"/>
    </row>
    <row r="481">
      <c r="M481" s="52"/>
      <c r="N481" s="52"/>
      <c r="O481" s="52"/>
      <c r="P481" s="52"/>
      <c r="Q481" s="52"/>
      <c r="U481" s="52"/>
    </row>
    <row r="482">
      <c r="M482" s="52"/>
      <c r="N482" s="52"/>
      <c r="O482" s="52"/>
      <c r="P482" s="52"/>
      <c r="Q482" s="52"/>
      <c r="U482" s="52"/>
    </row>
    <row r="483">
      <c r="M483" s="52"/>
      <c r="N483" s="52"/>
      <c r="O483" s="52"/>
      <c r="P483" s="52"/>
      <c r="Q483" s="52"/>
      <c r="U483" s="52"/>
    </row>
    <row r="484">
      <c r="M484" s="52"/>
      <c r="N484" s="52"/>
      <c r="O484" s="52"/>
      <c r="P484" s="52"/>
      <c r="Q484" s="52"/>
      <c r="U484" s="52"/>
    </row>
    <row r="485">
      <c r="M485" s="52"/>
      <c r="N485" s="52"/>
      <c r="O485" s="52"/>
      <c r="P485" s="52"/>
      <c r="Q485" s="52"/>
      <c r="U485" s="52"/>
    </row>
    <row r="486">
      <c r="M486" s="52"/>
      <c r="N486" s="52"/>
      <c r="O486" s="52"/>
      <c r="P486" s="52"/>
      <c r="Q486" s="52"/>
      <c r="U486" s="52"/>
    </row>
    <row r="487">
      <c r="M487" s="52"/>
      <c r="N487" s="52"/>
      <c r="O487" s="52"/>
      <c r="P487" s="52"/>
      <c r="Q487" s="52"/>
      <c r="U487" s="52"/>
    </row>
    <row r="488">
      <c r="M488" s="52"/>
      <c r="N488" s="52"/>
      <c r="O488" s="52"/>
      <c r="P488" s="52"/>
      <c r="Q488" s="52"/>
      <c r="U488" s="52"/>
    </row>
    <row r="489">
      <c r="M489" s="52"/>
      <c r="N489" s="52"/>
      <c r="O489" s="52"/>
      <c r="P489" s="52"/>
      <c r="Q489" s="52"/>
      <c r="U489" s="52"/>
    </row>
    <row r="490">
      <c r="M490" s="52"/>
      <c r="N490" s="52"/>
      <c r="O490" s="52"/>
      <c r="P490" s="52"/>
      <c r="Q490" s="52"/>
      <c r="U490" s="52"/>
    </row>
    <row r="491">
      <c r="M491" s="52"/>
      <c r="N491" s="52"/>
      <c r="O491" s="52"/>
      <c r="P491" s="52"/>
      <c r="Q491" s="52"/>
      <c r="U491" s="52"/>
    </row>
    <row r="492">
      <c r="M492" s="52"/>
      <c r="N492" s="52"/>
      <c r="O492" s="52"/>
      <c r="P492" s="52"/>
      <c r="Q492" s="52"/>
      <c r="U492" s="52"/>
    </row>
    <row r="493">
      <c r="M493" s="52"/>
      <c r="N493" s="52"/>
      <c r="O493" s="52"/>
      <c r="P493" s="52"/>
      <c r="Q493" s="52"/>
      <c r="U493" s="52"/>
    </row>
    <row r="494">
      <c r="M494" s="52"/>
      <c r="N494" s="52"/>
      <c r="O494" s="52"/>
      <c r="P494" s="52"/>
      <c r="Q494" s="52"/>
      <c r="U494" s="52"/>
    </row>
    <row r="495">
      <c r="M495" s="52"/>
      <c r="N495" s="52"/>
      <c r="O495" s="52"/>
      <c r="P495" s="52"/>
      <c r="Q495" s="52"/>
      <c r="U495" s="52"/>
    </row>
    <row r="496">
      <c r="M496" s="52"/>
      <c r="N496" s="52"/>
      <c r="O496" s="52"/>
      <c r="P496" s="52"/>
      <c r="Q496" s="52"/>
      <c r="U496" s="52"/>
    </row>
    <row r="497">
      <c r="M497" s="52"/>
      <c r="N497" s="52"/>
      <c r="O497" s="52"/>
      <c r="P497" s="52"/>
      <c r="Q497" s="52"/>
      <c r="U497" s="52"/>
    </row>
    <row r="498">
      <c r="M498" s="52"/>
      <c r="N498" s="52"/>
      <c r="O498" s="52"/>
      <c r="P498" s="52"/>
      <c r="Q498" s="52"/>
      <c r="U498" s="52"/>
    </row>
    <row r="499">
      <c r="M499" s="52"/>
      <c r="N499" s="52"/>
      <c r="O499" s="52"/>
      <c r="P499" s="52"/>
      <c r="Q499" s="52"/>
      <c r="U499" s="52"/>
    </row>
    <row r="500">
      <c r="M500" s="52"/>
      <c r="N500" s="52"/>
      <c r="O500" s="52"/>
      <c r="P500" s="52"/>
      <c r="Q500" s="52"/>
      <c r="U500" s="52"/>
    </row>
    <row r="501">
      <c r="M501" s="52"/>
      <c r="N501" s="52"/>
      <c r="O501" s="52"/>
      <c r="P501" s="52"/>
      <c r="Q501" s="52"/>
      <c r="U501" s="52"/>
    </row>
    <row r="502">
      <c r="M502" s="52"/>
      <c r="N502" s="52"/>
      <c r="O502" s="52"/>
      <c r="P502" s="52"/>
      <c r="Q502" s="52"/>
      <c r="U502" s="52"/>
    </row>
    <row r="503">
      <c r="M503" s="52"/>
      <c r="N503" s="52"/>
      <c r="O503" s="52"/>
      <c r="P503" s="52"/>
      <c r="Q503" s="52"/>
      <c r="U503" s="52"/>
    </row>
    <row r="504">
      <c r="M504" s="52"/>
      <c r="N504" s="52"/>
      <c r="O504" s="52"/>
      <c r="P504" s="52"/>
      <c r="Q504" s="52"/>
      <c r="U504" s="52"/>
    </row>
    <row r="505">
      <c r="M505" s="52"/>
      <c r="N505" s="52"/>
      <c r="O505" s="52"/>
      <c r="P505" s="52"/>
      <c r="Q505" s="52"/>
      <c r="U505" s="52"/>
    </row>
    <row r="506">
      <c r="M506" s="52"/>
      <c r="N506" s="52"/>
      <c r="O506" s="52"/>
      <c r="P506" s="52"/>
      <c r="Q506" s="52"/>
      <c r="U506" s="52"/>
    </row>
    <row r="507">
      <c r="M507" s="52"/>
      <c r="N507" s="52"/>
      <c r="O507" s="52"/>
      <c r="P507" s="52"/>
      <c r="Q507" s="52"/>
      <c r="U507" s="52"/>
    </row>
    <row r="508">
      <c r="M508" s="52"/>
      <c r="N508" s="52"/>
      <c r="O508" s="52"/>
      <c r="P508" s="52"/>
      <c r="Q508" s="52"/>
      <c r="U508" s="52"/>
    </row>
    <row r="509">
      <c r="M509" s="52"/>
      <c r="N509" s="52"/>
      <c r="O509" s="52"/>
      <c r="P509" s="52"/>
      <c r="Q509" s="52"/>
      <c r="U509" s="52"/>
    </row>
    <row r="510">
      <c r="M510" s="52"/>
      <c r="N510" s="52"/>
      <c r="O510" s="52"/>
      <c r="P510" s="52"/>
      <c r="Q510" s="52"/>
      <c r="U510" s="52"/>
    </row>
    <row r="511">
      <c r="M511" s="52"/>
      <c r="N511" s="52"/>
      <c r="O511" s="52"/>
      <c r="P511" s="52"/>
      <c r="Q511" s="52"/>
      <c r="U511" s="52"/>
    </row>
    <row r="512">
      <c r="M512" s="52"/>
      <c r="N512" s="52"/>
      <c r="O512" s="52"/>
      <c r="P512" s="52"/>
      <c r="Q512" s="52"/>
      <c r="U512" s="52"/>
    </row>
    <row r="513">
      <c r="M513" s="52"/>
      <c r="N513" s="52"/>
      <c r="O513" s="52"/>
      <c r="P513" s="52"/>
      <c r="Q513" s="52"/>
      <c r="U513" s="52"/>
    </row>
    <row r="514">
      <c r="M514" s="52"/>
      <c r="N514" s="52"/>
      <c r="O514" s="52"/>
      <c r="P514" s="52"/>
      <c r="Q514" s="52"/>
      <c r="U514" s="52"/>
    </row>
    <row r="515">
      <c r="M515" s="52"/>
      <c r="N515" s="52"/>
      <c r="O515" s="52"/>
      <c r="P515" s="52"/>
      <c r="Q515" s="52"/>
      <c r="U515" s="52"/>
    </row>
    <row r="516">
      <c r="M516" s="52"/>
      <c r="N516" s="52"/>
      <c r="O516" s="52"/>
      <c r="P516" s="52"/>
      <c r="Q516" s="52"/>
      <c r="U516" s="52"/>
    </row>
    <row r="517">
      <c r="M517" s="52"/>
      <c r="N517" s="52"/>
      <c r="O517" s="52"/>
      <c r="P517" s="52"/>
      <c r="Q517" s="52"/>
      <c r="U517" s="52"/>
    </row>
    <row r="518">
      <c r="M518" s="52"/>
      <c r="N518" s="52"/>
      <c r="O518" s="52"/>
      <c r="P518" s="52"/>
      <c r="Q518" s="52"/>
      <c r="U518" s="52"/>
    </row>
    <row r="519">
      <c r="M519" s="52"/>
      <c r="N519" s="52"/>
      <c r="O519" s="52"/>
      <c r="P519" s="52"/>
      <c r="Q519" s="52"/>
      <c r="U519" s="52"/>
    </row>
    <row r="520">
      <c r="M520" s="52"/>
      <c r="N520" s="52"/>
      <c r="O520" s="52"/>
      <c r="P520" s="52"/>
      <c r="Q520" s="52"/>
      <c r="U520" s="52"/>
    </row>
    <row r="521">
      <c r="M521" s="52"/>
      <c r="N521" s="52"/>
      <c r="O521" s="52"/>
      <c r="P521" s="52"/>
      <c r="Q521" s="52"/>
      <c r="U521" s="52"/>
    </row>
    <row r="522">
      <c r="M522" s="52"/>
      <c r="N522" s="52"/>
      <c r="O522" s="52"/>
      <c r="P522" s="52"/>
      <c r="Q522" s="52"/>
      <c r="U522" s="52"/>
    </row>
    <row r="523">
      <c r="M523" s="52"/>
      <c r="N523" s="52"/>
      <c r="O523" s="52"/>
      <c r="P523" s="52"/>
      <c r="Q523" s="52"/>
      <c r="U523" s="52"/>
    </row>
    <row r="524">
      <c r="M524" s="52"/>
      <c r="N524" s="52"/>
      <c r="O524" s="52"/>
      <c r="P524" s="52"/>
      <c r="Q524" s="52"/>
      <c r="U524" s="52"/>
    </row>
    <row r="525">
      <c r="M525" s="52"/>
      <c r="N525" s="52"/>
      <c r="O525" s="52"/>
      <c r="P525" s="52"/>
      <c r="Q525" s="52"/>
      <c r="U525" s="52"/>
    </row>
    <row r="526">
      <c r="M526" s="52"/>
      <c r="N526" s="52"/>
      <c r="O526" s="52"/>
      <c r="P526" s="52"/>
      <c r="Q526" s="52"/>
      <c r="U526" s="52"/>
    </row>
    <row r="527">
      <c r="M527" s="52"/>
      <c r="N527" s="52"/>
      <c r="O527" s="52"/>
      <c r="P527" s="52"/>
      <c r="Q527" s="52"/>
      <c r="U527" s="52"/>
    </row>
    <row r="528">
      <c r="M528" s="52"/>
      <c r="N528" s="52"/>
      <c r="O528" s="52"/>
      <c r="P528" s="52"/>
      <c r="Q528" s="52"/>
      <c r="U528" s="52"/>
    </row>
    <row r="529">
      <c r="M529" s="52"/>
      <c r="N529" s="52"/>
      <c r="O529" s="52"/>
      <c r="P529" s="52"/>
      <c r="Q529" s="52"/>
      <c r="U529" s="52"/>
    </row>
    <row r="530">
      <c r="M530" s="52"/>
      <c r="N530" s="52"/>
      <c r="O530" s="52"/>
      <c r="P530" s="52"/>
      <c r="Q530" s="52"/>
      <c r="U530" s="52"/>
    </row>
    <row r="531">
      <c r="M531" s="52"/>
      <c r="N531" s="52"/>
      <c r="O531" s="52"/>
      <c r="P531" s="52"/>
      <c r="Q531" s="52"/>
      <c r="U531" s="52"/>
    </row>
    <row r="532">
      <c r="M532" s="52"/>
      <c r="N532" s="52"/>
      <c r="O532" s="52"/>
      <c r="P532" s="52"/>
      <c r="Q532" s="52"/>
      <c r="U532" s="52"/>
    </row>
    <row r="533">
      <c r="M533" s="52"/>
      <c r="N533" s="52"/>
      <c r="O533" s="52"/>
      <c r="P533" s="52"/>
      <c r="Q533" s="52"/>
      <c r="U533" s="52"/>
    </row>
    <row r="534">
      <c r="M534" s="52"/>
      <c r="N534" s="52"/>
      <c r="O534" s="52"/>
      <c r="P534" s="52"/>
      <c r="Q534" s="52"/>
      <c r="U534" s="52"/>
    </row>
    <row r="535">
      <c r="M535" s="52"/>
      <c r="N535" s="52"/>
      <c r="O535" s="52"/>
      <c r="P535" s="52"/>
      <c r="Q535" s="52"/>
      <c r="U535" s="52"/>
    </row>
    <row r="536">
      <c r="M536" s="52"/>
      <c r="N536" s="52"/>
      <c r="O536" s="52"/>
      <c r="P536" s="52"/>
      <c r="Q536" s="52"/>
      <c r="U536" s="52"/>
    </row>
    <row r="537">
      <c r="M537" s="52"/>
      <c r="N537" s="52"/>
      <c r="O537" s="52"/>
      <c r="P537" s="52"/>
      <c r="Q537" s="52"/>
      <c r="U537" s="52"/>
    </row>
    <row r="538">
      <c r="M538" s="52"/>
      <c r="N538" s="52"/>
      <c r="O538" s="52"/>
      <c r="P538" s="52"/>
      <c r="Q538" s="52"/>
      <c r="U538" s="52"/>
    </row>
    <row r="539">
      <c r="M539" s="52"/>
      <c r="N539" s="52"/>
      <c r="O539" s="52"/>
      <c r="P539" s="52"/>
      <c r="Q539" s="52"/>
      <c r="U539" s="52"/>
    </row>
    <row r="540">
      <c r="M540" s="52"/>
      <c r="N540" s="52"/>
      <c r="O540" s="52"/>
      <c r="P540" s="52"/>
      <c r="Q540" s="52"/>
      <c r="U540" s="52"/>
    </row>
    <row r="541">
      <c r="M541" s="52"/>
      <c r="N541" s="52"/>
      <c r="O541" s="52"/>
      <c r="P541" s="52"/>
      <c r="Q541" s="52"/>
      <c r="U541" s="52"/>
    </row>
    <row r="542">
      <c r="M542" s="52"/>
      <c r="N542" s="52"/>
      <c r="O542" s="52"/>
      <c r="P542" s="52"/>
      <c r="Q542" s="52"/>
      <c r="U542" s="52"/>
    </row>
    <row r="543">
      <c r="M543" s="52"/>
      <c r="N543" s="52"/>
      <c r="O543" s="52"/>
      <c r="P543" s="52"/>
      <c r="Q543" s="52"/>
      <c r="U543" s="52"/>
    </row>
    <row r="544">
      <c r="M544" s="52"/>
      <c r="N544" s="52"/>
      <c r="O544" s="52"/>
      <c r="P544" s="52"/>
      <c r="Q544" s="52"/>
      <c r="U544" s="52"/>
    </row>
    <row r="545">
      <c r="M545" s="52"/>
      <c r="N545" s="52"/>
      <c r="O545" s="52"/>
      <c r="P545" s="52"/>
      <c r="Q545" s="52"/>
      <c r="U545" s="52"/>
    </row>
    <row r="546">
      <c r="M546" s="52"/>
      <c r="N546" s="52"/>
      <c r="O546" s="52"/>
      <c r="P546" s="52"/>
      <c r="Q546" s="52"/>
      <c r="U546" s="52"/>
    </row>
    <row r="547">
      <c r="M547" s="52"/>
      <c r="N547" s="52"/>
      <c r="O547" s="52"/>
      <c r="P547" s="52"/>
      <c r="Q547" s="52"/>
      <c r="U547" s="52"/>
    </row>
    <row r="548">
      <c r="M548" s="52"/>
      <c r="N548" s="52"/>
      <c r="O548" s="52"/>
      <c r="P548" s="52"/>
      <c r="Q548" s="52"/>
      <c r="U548" s="52"/>
    </row>
    <row r="549">
      <c r="M549" s="52"/>
      <c r="N549" s="52"/>
      <c r="O549" s="52"/>
      <c r="P549" s="52"/>
      <c r="Q549" s="52"/>
      <c r="U549" s="52"/>
    </row>
    <row r="550">
      <c r="M550" s="52"/>
      <c r="N550" s="52"/>
      <c r="O550" s="52"/>
      <c r="P550" s="52"/>
      <c r="Q550" s="52"/>
      <c r="U550" s="52"/>
    </row>
    <row r="551">
      <c r="M551" s="52"/>
      <c r="N551" s="52"/>
      <c r="O551" s="52"/>
      <c r="P551" s="52"/>
      <c r="Q551" s="52"/>
      <c r="U551" s="52"/>
    </row>
    <row r="552">
      <c r="M552" s="52"/>
      <c r="N552" s="52"/>
      <c r="O552" s="52"/>
      <c r="P552" s="52"/>
      <c r="Q552" s="52"/>
      <c r="U552" s="52"/>
    </row>
    <row r="553">
      <c r="M553" s="52"/>
      <c r="N553" s="52"/>
      <c r="O553" s="52"/>
      <c r="P553" s="52"/>
      <c r="Q553" s="52"/>
      <c r="U553" s="52"/>
    </row>
    <row r="554">
      <c r="M554" s="52"/>
      <c r="N554" s="52"/>
      <c r="O554" s="52"/>
      <c r="P554" s="52"/>
      <c r="Q554" s="52"/>
      <c r="U554" s="52"/>
    </row>
    <row r="555">
      <c r="M555" s="52"/>
      <c r="N555" s="52"/>
      <c r="O555" s="52"/>
      <c r="P555" s="52"/>
      <c r="Q555" s="52"/>
      <c r="U555" s="52"/>
    </row>
    <row r="556">
      <c r="M556" s="52"/>
      <c r="N556" s="52"/>
      <c r="O556" s="52"/>
      <c r="P556" s="52"/>
      <c r="Q556" s="52"/>
      <c r="U556" s="52"/>
    </row>
    <row r="557">
      <c r="M557" s="52"/>
      <c r="N557" s="52"/>
      <c r="O557" s="52"/>
      <c r="P557" s="52"/>
      <c r="Q557" s="52"/>
      <c r="U557" s="52"/>
    </row>
    <row r="558">
      <c r="M558" s="52"/>
      <c r="N558" s="52"/>
      <c r="O558" s="52"/>
      <c r="P558" s="52"/>
      <c r="Q558" s="52"/>
      <c r="U558" s="52"/>
    </row>
    <row r="559">
      <c r="M559" s="52"/>
      <c r="N559" s="52"/>
      <c r="O559" s="52"/>
      <c r="P559" s="52"/>
      <c r="Q559" s="52"/>
      <c r="U559" s="52"/>
    </row>
    <row r="560">
      <c r="M560" s="52"/>
      <c r="N560" s="52"/>
      <c r="O560" s="52"/>
      <c r="P560" s="52"/>
      <c r="Q560" s="52"/>
      <c r="U560" s="52"/>
    </row>
    <row r="561">
      <c r="M561" s="52"/>
      <c r="N561" s="52"/>
      <c r="O561" s="52"/>
      <c r="P561" s="52"/>
      <c r="Q561" s="52"/>
      <c r="U561" s="52"/>
    </row>
    <row r="562">
      <c r="M562" s="52"/>
      <c r="N562" s="52"/>
      <c r="O562" s="52"/>
      <c r="P562" s="52"/>
      <c r="Q562" s="52"/>
      <c r="U562" s="52"/>
    </row>
    <row r="563">
      <c r="M563" s="52"/>
      <c r="N563" s="52"/>
      <c r="O563" s="52"/>
      <c r="P563" s="52"/>
      <c r="Q563" s="52"/>
      <c r="U563" s="52"/>
    </row>
    <row r="564">
      <c r="M564" s="52"/>
      <c r="N564" s="52"/>
      <c r="O564" s="52"/>
      <c r="P564" s="52"/>
      <c r="Q564" s="52"/>
      <c r="U564" s="52"/>
    </row>
    <row r="565">
      <c r="M565" s="52"/>
      <c r="N565" s="52"/>
      <c r="O565" s="52"/>
      <c r="P565" s="52"/>
      <c r="Q565" s="52"/>
      <c r="U565" s="52"/>
    </row>
    <row r="566">
      <c r="M566" s="52"/>
      <c r="N566" s="52"/>
      <c r="O566" s="52"/>
      <c r="P566" s="52"/>
      <c r="Q566" s="52"/>
      <c r="U566" s="52"/>
    </row>
    <row r="567">
      <c r="M567" s="52"/>
      <c r="N567" s="52"/>
      <c r="O567" s="52"/>
      <c r="P567" s="52"/>
      <c r="Q567" s="52"/>
      <c r="U567" s="52"/>
    </row>
    <row r="568">
      <c r="M568" s="52"/>
      <c r="N568" s="52"/>
      <c r="O568" s="52"/>
      <c r="P568" s="52"/>
      <c r="Q568" s="52"/>
      <c r="U568" s="52"/>
    </row>
    <row r="569">
      <c r="M569" s="52"/>
      <c r="N569" s="52"/>
      <c r="O569" s="52"/>
      <c r="P569" s="52"/>
      <c r="Q569" s="52"/>
      <c r="U569" s="52"/>
    </row>
    <row r="570">
      <c r="M570" s="52"/>
      <c r="N570" s="52"/>
      <c r="O570" s="52"/>
      <c r="P570" s="52"/>
      <c r="Q570" s="52"/>
      <c r="U570" s="52"/>
    </row>
    <row r="571">
      <c r="M571" s="52"/>
      <c r="N571" s="52"/>
      <c r="O571" s="52"/>
      <c r="P571" s="52"/>
      <c r="Q571" s="52"/>
      <c r="U571" s="52"/>
    </row>
    <row r="572">
      <c r="M572" s="52"/>
      <c r="N572" s="52"/>
      <c r="O572" s="52"/>
      <c r="P572" s="52"/>
      <c r="Q572" s="52"/>
      <c r="U572" s="52"/>
    </row>
    <row r="573">
      <c r="M573" s="52"/>
      <c r="N573" s="52"/>
      <c r="O573" s="52"/>
      <c r="P573" s="52"/>
      <c r="Q573" s="52"/>
      <c r="U573" s="52"/>
    </row>
    <row r="574">
      <c r="M574" s="52"/>
      <c r="N574" s="52"/>
      <c r="O574" s="52"/>
      <c r="P574" s="52"/>
      <c r="Q574" s="52"/>
      <c r="U574" s="52"/>
    </row>
    <row r="575">
      <c r="M575" s="52"/>
      <c r="N575" s="52"/>
      <c r="O575" s="52"/>
      <c r="P575" s="52"/>
      <c r="Q575" s="52"/>
      <c r="U575" s="52"/>
    </row>
    <row r="576">
      <c r="M576" s="52"/>
      <c r="N576" s="52"/>
      <c r="O576" s="52"/>
      <c r="P576" s="52"/>
      <c r="Q576" s="52"/>
      <c r="U576" s="52"/>
    </row>
    <row r="577">
      <c r="M577" s="52"/>
      <c r="N577" s="52"/>
      <c r="O577" s="52"/>
      <c r="P577" s="52"/>
      <c r="Q577" s="52"/>
      <c r="U577" s="52"/>
    </row>
    <row r="578">
      <c r="M578" s="52"/>
      <c r="N578" s="52"/>
      <c r="O578" s="52"/>
      <c r="P578" s="52"/>
      <c r="Q578" s="52"/>
      <c r="U578" s="52"/>
    </row>
    <row r="579">
      <c r="M579" s="52"/>
      <c r="N579" s="52"/>
      <c r="O579" s="52"/>
      <c r="P579" s="52"/>
      <c r="Q579" s="52"/>
      <c r="U579" s="52"/>
    </row>
    <row r="580">
      <c r="M580" s="52"/>
      <c r="N580" s="52"/>
      <c r="O580" s="52"/>
      <c r="P580" s="52"/>
      <c r="Q580" s="52"/>
      <c r="U580" s="52"/>
    </row>
    <row r="581">
      <c r="M581" s="52"/>
      <c r="N581" s="52"/>
      <c r="O581" s="52"/>
      <c r="P581" s="52"/>
      <c r="Q581" s="52"/>
      <c r="U581" s="52"/>
    </row>
    <row r="582">
      <c r="M582" s="52"/>
      <c r="N582" s="52"/>
      <c r="O582" s="52"/>
      <c r="P582" s="52"/>
      <c r="Q582" s="52"/>
      <c r="U582" s="52"/>
    </row>
    <row r="583">
      <c r="M583" s="52"/>
      <c r="N583" s="52"/>
      <c r="O583" s="52"/>
      <c r="P583" s="52"/>
      <c r="Q583" s="52"/>
      <c r="U583" s="52"/>
    </row>
    <row r="584">
      <c r="M584" s="52"/>
      <c r="N584" s="52"/>
      <c r="O584" s="52"/>
      <c r="P584" s="52"/>
      <c r="Q584" s="52"/>
      <c r="U584" s="52"/>
    </row>
    <row r="585">
      <c r="M585" s="52"/>
      <c r="N585" s="52"/>
      <c r="O585" s="52"/>
      <c r="P585" s="52"/>
      <c r="Q585" s="52"/>
      <c r="U585" s="52"/>
    </row>
    <row r="586">
      <c r="M586" s="52"/>
      <c r="N586" s="52"/>
      <c r="O586" s="52"/>
      <c r="P586" s="52"/>
      <c r="Q586" s="52"/>
      <c r="U586" s="52"/>
    </row>
    <row r="587">
      <c r="M587" s="52"/>
      <c r="N587" s="52"/>
      <c r="O587" s="52"/>
      <c r="P587" s="52"/>
      <c r="Q587" s="52"/>
      <c r="U587" s="52"/>
    </row>
    <row r="588">
      <c r="M588" s="52"/>
      <c r="N588" s="52"/>
      <c r="O588" s="52"/>
      <c r="P588" s="52"/>
      <c r="Q588" s="52"/>
      <c r="U588" s="52"/>
    </row>
    <row r="589">
      <c r="M589" s="52"/>
      <c r="N589" s="52"/>
      <c r="O589" s="52"/>
      <c r="P589" s="52"/>
      <c r="Q589" s="52"/>
      <c r="U589" s="52"/>
    </row>
    <row r="590">
      <c r="M590" s="52"/>
      <c r="N590" s="52"/>
      <c r="O590" s="52"/>
      <c r="P590" s="52"/>
      <c r="Q590" s="52"/>
      <c r="U590" s="52"/>
    </row>
    <row r="591">
      <c r="M591" s="52"/>
      <c r="N591" s="52"/>
      <c r="O591" s="52"/>
      <c r="P591" s="52"/>
      <c r="Q591" s="52"/>
      <c r="U591" s="52"/>
    </row>
    <row r="592">
      <c r="M592" s="52"/>
      <c r="N592" s="52"/>
      <c r="O592" s="52"/>
      <c r="P592" s="52"/>
      <c r="Q592" s="52"/>
      <c r="U592" s="52"/>
    </row>
    <row r="593">
      <c r="M593" s="52"/>
      <c r="N593" s="52"/>
      <c r="O593" s="52"/>
      <c r="P593" s="52"/>
      <c r="Q593" s="52"/>
      <c r="U593" s="52"/>
    </row>
    <row r="594">
      <c r="M594" s="52"/>
      <c r="N594" s="52"/>
      <c r="O594" s="52"/>
      <c r="P594" s="52"/>
      <c r="Q594" s="52"/>
      <c r="U594" s="52"/>
    </row>
    <row r="595">
      <c r="M595" s="52"/>
      <c r="N595" s="52"/>
      <c r="O595" s="52"/>
      <c r="P595" s="52"/>
      <c r="Q595" s="52"/>
      <c r="U595" s="52"/>
    </row>
    <row r="596">
      <c r="M596" s="52"/>
      <c r="N596" s="52"/>
      <c r="O596" s="52"/>
      <c r="P596" s="52"/>
      <c r="Q596" s="52"/>
      <c r="U596" s="52"/>
    </row>
    <row r="597">
      <c r="M597" s="52"/>
      <c r="N597" s="52"/>
      <c r="O597" s="52"/>
      <c r="P597" s="52"/>
      <c r="Q597" s="52"/>
      <c r="U597" s="52"/>
    </row>
    <row r="598">
      <c r="M598" s="52"/>
      <c r="N598" s="52"/>
      <c r="O598" s="52"/>
      <c r="P598" s="52"/>
      <c r="Q598" s="52"/>
      <c r="U598" s="52"/>
    </row>
    <row r="599">
      <c r="M599" s="52"/>
      <c r="N599" s="52"/>
      <c r="O599" s="52"/>
      <c r="P599" s="52"/>
      <c r="Q599" s="52"/>
      <c r="U599" s="52"/>
    </row>
    <row r="600">
      <c r="M600" s="52"/>
      <c r="N600" s="52"/>
      <c r="O600" s="52"/>
      <c r="P600" s="52"/>
      <c r="Q600" s="52"/>
      <c r="U600" s="52"/>
    </row>
    <row r="601">
      <c r="M601" s="52"/>
      <c r="N601" s="52"/>
      <c r="O601" s="52"/>
      <c r="P601" s="52"/>
      <c r="Q601" s="52"/>
      <c r="U601" s="52"/>
    </row>
    <row r="602">
      <c r="M602" s="52"/>
      <c r="N602" s="52"/>
      <c r="O602" s="52"/>
      <c r="P602" s="52"/>
      <c r="Q602" s="52"/>
      <c r="U602" s="52"/>
    </row>
    <row r="603">
      <c r="M603" s="52"/>
      <c r="N603" s="52"/>
      <c r="O603" s="52"/>
      <c r="P603" s="52"/>
      <c r="Q603" s="52"/>
      <c r="U603" s="52"/>
    </row>
    <row r="604">
      <c r="M604" s="52"/>
      <c r="N604" s="52"/>
      <c r="O604" s="52"/>
      <c r="P604" s="52"/>
      <c r="Q604" s="52"/>
      <c r="U604" s="52"/>
    </row>
    <row r="605">
      <c r="M605" s="52"/>
      <c r="N605" s="52"/>
      <c r="O605" s="52"/>
      <c r="P605" s="52"/>
      <c r="Q605" s="52"/>
      <c r="U605" s="52"/>
    </row>
    <row r="606">
      <c r="M606" s="52"/>
      <c r="N606" s="52"/>
      <c r="O606" s="52"/>
      <c r="P606" s="52"/>
      <c r="Q606" s="52"/>
      <c r="U606" s="52"/>
    </row>
    <row r="607">
      <c r="M607" s="52"/>
      <c r="N607" s="52"/>
      <c r="O607" s="52"/>
      <c r="P607" s="52"/>
      <c r="Q607" s="52"/>
      <c r="U607" s="52"/>
    </row>
    <row r="608">
      <c r="M608" s="52"/>
      <c r="N608" s="52"/>
      <c r="O608" s="52"/>
      <c r="P608" s="52"/>
      <c r="Q608" s="52"/>
      <c r="U608" s="52"/>
    </row>
    <row r="609">
      <c r="M609" s="52"/>
      <c r="N609" s="52"/>
      <c r="O609" s="52"/>
      <c r="P609" s="52"/>
      <c r="Q609" s="52"/>
      <c r="U609" s="52"/>
    </row>
    <row r="610">
      <c r="M610" s="52"/>
      <c r="N610" s="52"/>
      <c r="O610" s="52"/>
      <c r="P610" s="52"/>
      <c r="Q610" s="52"/>
      <c r="U610" s="52"/>
    </row>
    <row r="611">
      <c r="M611" s="52"/>
      <c r="N611" s="52"/>
      <c r="O611" s="52"/>
      <c r="P611" s="52"/>
      <c r="Q611" s="52"/>
      <c r="U611" s="52"/>
    </row>
    <row r="612">
      <c r="M612" s="52"/>
      <c r="N612" s="52"/>
      <c r="O612" s="52"/>
      <c r="P612" s="52"/>
      <c r="Q612" s="52"/>
      <c r="U612" s="52"/>
    </row>
    <row r="613">
      <c r="M613" s="52"/>
      <c r="N613" s="52"/>
      <c r="O613" s="52"/>
      <c r="P613" s="52"/>
      <c r="Q613" s="52"/>
      <c r="U613" s="52"/>
    </row>
    <row r="614">
      <c r="M614" s="52"/>
      <c r="N614" s="52"/>
      <c r="O614" s="52"/>
      <c r="P614" s="52"/>
      <c r="Q614" s="52"/>
      <c r="U614" s="52"/>
    </row>
    <row r="615">
      <c r="M615" s="52"/>
      <c r="N615" s="52"/>
      <c r="O615" s="52"/>
      <c r="P615" s="52"/>
      <c r="Q615" s="52"/>
      <c r="U615" s="52"/>
    </row>
    <row r="616">
      <c r="M616" s="52"/>
      <c r="N616" s="52"/>
      <c r="O616" s="52"/>
      <c r="P616" s="52"/>
      <c r="Q616" s="52"/>
      <c r="U616" s="52"/>
    </row>
    <row r="617">
      <c r="M617" s="52"/>
      <c r="N617" s="52"/>
      <c r="O617" s="52"/>
      <c r="P617" s="52"/>
      <c r="Q617" s="52"/>
      <c r="U617" s="52"/>
    </row>
    <row r="618">
      <c r="M618" s="52"/>
      <c r="N618" s="52"/>
      <c r="O618" s="52"/>
      <c r="P618" s="52"/>
      <c r="Q618" s="52"/>
      <c r="U618" s="52"/>
    </row>
    <row r="619">
      <c r="M619" s="52"/>
      <c r="N619" s="52"/>
      <c r="O619" s="52"/>
      <c r="P619" s="52"/>
      <c r="Q619" s="52"/>
      <c r="U619" s="52"/>
    </row>
    <row r="620">
      <c r="M620" s="52"/>
      <c r="N620" s="52"/>
      <c r="O620" s="52"/>
      <c r="P620" s="52"/>
      <c r="Q620" s="52"/>
      <c r="U620" s="52"/>
    </row>
    <row r="621">
      <c r="M621" s="52"/>
      <c r="N621" s="52"/>
      <c r="O621" s="52"/>
      <c r="P621" s="52"/>
      <c r="Q621" s="52"/>
      <c r="U621" s="52"/>
    </row>
    <row r="622">
      <c r="M622" s="52"/>
      <c r="N622" s="52"/>
      <c r="O622" s="52"/>
      <c r="P622" s="52"/>
      <c r="Q622" s="52"/>
      <c r="U622" s="52"/>
    </row>
    <row r="623">
      <c r="M623" s="52"/>
      <c r="N623" s="52"/>
      <c r="O623" s="52"/>
      <c r="P623" s="52"/>
      <c r="Q623" s="52"/>
      <c r="U623" s="52"/>
    </row>
    <row r="624">
      <c r="M624" s="52"/>
      <c r="N624" s="52"/>
      <c r="O624" s="52"/>
      <c r="P624" s="52"/>
      <c r="Q624" s="52"/>
      <c r="U624" s="52"/>
    </row>
    <row r="625">
      <c r="M625" s="52"/>
      <c r="N625" s="52"/>
      <c r="O625" s="52"/>
      <c r="P625" s="52"/>
      <c r="Q625" s="52"/>
      <c r="U625" s="52"/>
    </row>
    <row r="626">
      <c r="M626" s="52"/>
      <c r="N626" s="52"/>
      <c r="O626" s="52"/>
      <c r="P626" s="52"/>
      <c r="Q626" s="52"/>
      <c r="U626" s="52"/>
    </row>
    <row r="627">
      <c r="M627" s="52"/>
      <c r="N627" s="52"/>
      <c r="O627" s="52"/>
      <c r="P627" s="52"/>
      <c r="Q627" s="52"/>
      <c r="U627" s="52"/>
    </row>
    <row r="628">
      <c r="M628" s="52"/>
      <c r="N628" s="52"/>
      <c r="O628" s="52"/>
      <c r="P628" s="52"/>
      <c r="Q628" s="52"/>
      <c r="U628" s="52"/>
    </row>
    <row r="629">
      <c r="M629" s="52"/>
      <c r="N629" s="52"/>
      <c r="O629" s="52"/>
      <c r="P629" s="52"/>
      <c r="Q629" s="52"/>
      <c r="U629" s="52"/>
    </row>
    <row r="630">
      <c r="M630" s="52"/>
      <c r="N630" s="52"/>
      <c r="O630" s="52"/>
      <c r="P630" s="52"/>
      <c r="Q630" s="52"/>
      <c r="U630" s="52"/>
    </row>
    <row r="631">
      <c r="M631" s="52"/>
      <c r="N631" s="52"/>
      <c r="O631" s="52"/>
      <c r="P631" s="52"/>
      <c r="Q631" s="52"/>
      <c r="U631" s="52"/>
    </row>
    <row r="632">
      <c r="M632" s="52"/>
      <c r="N632" s="52"/>
      <c r="O632" s="52"/>
      <c r="P632" s="52"/>
      <c r="Q632" s="52"/>
      <c r="U632" s="52"/>
    </row>
    <row r="633">
      <c r="M633" s="52"/>
      <c r="N633" s="52"/>
      <c r="O633" s="52"/>
      <c r="P633" s="52"/>
      <c r="Q633" s="52"/>
      <c r="U633" s="52"/>
    </row>
    <row r="634">
      <c r="M634" s="52"/>
      <c r="N634" s="52"/>
      <c r="O634" s="52"/>
      <c r="P634" s="52"/>
      <c r="Q634" s="52"/>
      <c r="U634" s="52"/>
    </row>
    <row r="635">
      <c r="M635" s="52"/>
      <c r="N635" s="52"/>
      <c r="O635" s="52"/>
      <c r="P635" s="52"/>
      <c r="Q635" s="52"/>
      <c r="U635" s="52"/>
    </row>
    <row r="636">
      <c r="M636" s="52"/>
      <c r="N636" s="52"/>
      <c r="O636" s="52"/>
      <c r="P636" s="52"/>
      <c r="Q636" s="52"/>
      <c r="U636" s="52"/>
    </row>
    <row r="637">
      <c r="M637" s="52"/>
      <c r="N637" s="52"/>
      <c r="O637" s="52"/>
      <c r="P637" s="52"/>
      <c r="Q637" s="52"/>
      <c r="U637" s="52"/>
    </row>
    <row r="638">
      <c r="M638" s="52"/>
      <c r="N638" s="52"/>
      <c r="O638" s="52"/>
      <c r="P638" s="52"/>
      <c r="Q638" s="52"/>
      <c r="U638" s="52"/>
    </row>
    <row r="639">
      <c r="M639" s="52"/>
      <c r="N639" s="52"/>
      <c r="O639" s="52"/>
      <c r="P639" s="52"/>
      <c r="Q639" s="52"/>
      <c r="U639" s="52"/>
    </row>
    <row r="640">
      <c r="M640" s="52"/>
      <c r="N640" s="52"/>
      <c r="O640" s="52"/>
      <c r="P640" s="52"/>
      <c r="Q640" s="52"/>
      <c r="U640" s="52"/>
    </row>
    <row r="641">
      <c r="M641" s="52"/>
      <c r="N641" s="52"/>
      <c r="O641" s="52"/>
      <c r="P641" s="52"/>
      <c r="Q641" s="52"/>
      <c r="U641" s="52"/>
    </row>
    <row r="642">
      <c r="M642" s="52"/>
      <c r="N642" s="52"/>
      <c r="O642" s="52"/>
      <c r="P642" s="52"/>
      <c r="Q642" s="52"/>
      <c r="U642" s="52"/>
    </row>
    <row r="643">
      <c r="M643" s="52"/>
      <c r="N643" s="52"/>
      <c r="O643" s="52"/>
      <c r="P643" s="52"/>
      <c r="Q643" s="52"/>
      <c r="U643" s="52"/>
    </row>
    <row r="644">
      <c r="M644" s="52"/>
      <c r="N644" s="52"/>
      <c r="O644" s="52"/>
      <c r="P644" s="52"/>
      <c r="Q644" s="52"/>
      <c r="U644" s="52"/>
    </row>
    <row r="645">
      <c r="M645" s="52"/>
      <c r="N645" s="52"/>
      <c r="O645" s="52"/>
      <c r="P645" s="52"/>
      <c r="Q645" s="52"/>
      <c r="U645" s="52"/>
    </row>
    <row r="646">
      <c r="M646" s="52"/>
      <c r="N646" s="52"/>
      <c r="O646" s="52"/>
      <c r="P646" s="52"/>
      <c r="Q646" s="52"/>
      <c r="U646" s="52"/>
    </row>
    <row r="647">
      <c r="M647" s="52"/>
      <c r="N647" s="52"/>
      <c r="O647" s="52"/>
      <c r="P647" s="52"/>
      <c r="Q647" s="52"/>
      <c r="U647" s="52"/>
    </row>
    <row r="648">
      <c r="M648" s="52"/>
      <c r="N648" s="52"/>
      <c r="O648" s="52"/>
      <c r="P648" s="52"/>
      <c r="Q648" s="52"/>
      <c r="U648" s="52"/>
    </row>
    <row r="649">
      <c r="M649" s="52"/>
      <c r="N649" s="52"/>
      <c r="O649" s="52"/>
      <c r="P649" s="52"/>
      <c r="Q649" s="52"/>
      <c r="U649" s="52"/>
    </row>
    <row r="650">
      <c r="M650" s="52"/>
      <c r="N650" s="52"/>
      <c r="O650" s="52"/>
      <c r="P650" s="52"/>
      <c r="Q650" s="52"/>
      <c r="U650" s="52"/>
    </row>
    <row r="651">
      <c r="M651" s="52"/>
      <c r="N651" s="52"/>
      <c r="O651" s="52"/>
      <c r="P651" s="52"/>
      <c r="Q651" s="52"/>
      <c r="U651" s="52"/>
    </row>
    <row r="652">
      <c r="M652" s="52"/>
      <c r="N652" s="52"/>
      <c r="O652" s="52"/>
      <c r="P652" s="52"/>
      <c r="Q652" s="52"/>
      <c r="U652" s="52"/>
    </row>
    <row r="653">
      <c r="M653" s="52"/>
      <c r="N653" s="52"/>
      <c r="O653" s="52"/>
      <c r="P653" s="52"/>
      <c r="Q653" s="52"/>
      <c r="U653" s="52"/>
    </row>
    <row r="654">
      <c r="M654" s="52"/>
      <c r="N654" s="52"/>
      <c r="O654" s="52"/>
      <c r="P654" s="52"/>
      <c r="Q654" s="52"/>
      <c r="U654" s="52"/>
    </row>
    <row r="655">
      <c r="M655" s="52"/>
      <c r="N655" s="52"/>
      <c r="O655" s="52"/>
      <c r="P655" s="52"/>
      <c r="Q655" s="52"/>
      <c r="U655" s="52"/>
    </row>
    <row r="656">
      <c r="M656" s="52"/>
      <c r="N656" s="52"/>
      <c r="O656" s="52"/>
      <c r="P656" s="52"/>
      <c r="Q656" s="52"/>
      <c r="U656" s="52"/>
    </row>
    <row r="657">
      <c r="M657" s="52"/>
      <c r="N657" s="52"/>
      <c r="O657" s="52"/>
      <c r="P657" s="52"/>
      <c r="Q657" s="52"/>
      <c r="U657" s="52"/>
    </row>
    <row r="658">
      <c r="M658" s="52"/>
      <c r="N658" s="52"/>
      <c r="O658" s="52"/>
      <c r="P658" s="52"/>
      <c r="Q658" s="52"/>
      <c r="U658" s="52"/>
    </row>
    <row r="659">
      <c r="M659" s="52"/>
      <c r="N659" s="52"/>
      <c r="O659" s="52"/>
      <c r="P659" s="52"/>
      <c r="Q659" s="52"/>
      <c r="U659" s="52"/>
    </row>
    <row r="660">
      <c r="M660" s="52"/>
      <c r="N660" s="52"/>
      <c r="O660" s="52"/>
      <c r="P660" s="52"/>
      <c r="Q660" s="52"/>
      <c r="U660" s="52"/>
    </row>
    <row r="661">
      <c r="M661" s="52"/>
      <c r="N661" s="52"/>
      <c r="O661" s="52"/>
      <c r="P661" s="52"/>
      <c r="Q661" s="52"/>
      <c r="U661" s="52"/>
    </row>
    <row r="662">
      <c r="M662" s="52"/>
      <c r="N662" s="52"/>
      <c r="O662" s="52"/>
      <c r="P662" s="52"/>
      <c r="Q662" s="52"/>
      <c r="U662" s="52"/>
    </row>
    <row r="663">
      <c r="M663" s="52"/>
      <c r="N663" s="52"/>
      <c r="O663" s="52"/>
      <c r="P663" s="52"/>
      <c r="Q663" s="52"/>
      <c r="U663" s="52"/>
    </row>
    <row r="664">
      <c r="M664" s="52"/>
      <c r="N664" s="52"/>
      <c r="O664" s="52"/>
      <c r="P664" s="52"/>
      <c r="Q664" s="52"/>
      <c r="U664" s="52"/>
    </row>
    <row r="665">
      <c r="M665" s="52"/>
      <c r="N665" s="52"/>
      <c r="O665" s="52"/>
      <c r="P665" s="52"/>
      <c r="Q665" s="52"/>
      <c r="U665" s="52"/>
    </row>
    <row r="666">
      <c r="M666" s="52"/>
      <c r="N666" s="52"/>
      <c r="O666" s="52"/>
      <c r="P666" s="52"/>
      <c r="Q666" s="52"/>
      <c r="U666" s="52"/>
    </row>
    <row r="667">
      <c r="M667" s="52"/>
      <c r="N667" s="52"/>
      <c r="O667" s="52"/>
      <c r="P667" s="52"/>
      <c r="Q667" s="52"/>
      <c r="U667" s="52"/>
    </row>
    <row r="668">
      <c r="M668" s="52"/>
      <c r="N668" s="52"/>
      <c r="O668" s="52"/>
      <c r="P668" s="52"/>
      <c r="Q668" s="52"/>
      <c r="U668" s="52"/>
    </row>
    <row r="669">
      <c r="M669" s="52"/>
      <c r="N669" s="52"/>
      <c r="O669" s="52"/>
      <c r="P669" s="52"/>
      <c r="Q669" s="52"/>
      <c r="U669" s="52"/>
    </row>
    <row r="670">
      <c r="M670" s="52"/>
      <c r="N670" s="52"/>
      <c r="O670" s="52"/>
      <c r="P670" s="52"/>
      <c r="Q670" s="52"/>
      <c r="U670" s="52"/>
    </row>
    <row r="671">
      <c r="M671" s="52"/>
      <c r="N671" s="52"/>
      <c r="O671" s="52"/>
      <c r="P671" s="52"/>
      <c r="Q671" s="52"/>
      <c r="U671" s="52"/>
    </row>
    <row r="672">
      <c r="M672" s="52"/>
      <c r="N672" s="52"/>
      <c r="O672" s="52"/>
      <c r="P672" s="52"/>
      <c r="Q672" s="52"/>
      <c r="U672" s="52"/>
    </row>
    <row r="673">
      <c r="M673" s="52"/>
      <c r="N673" s="52"/>
      <c r="O673" s="52"/>
      <c r="P673" s="52"/>
      <c r="Q673" s="52"/>
      <c r="U673" s="52"/>
    </row>
    <row r="674">
      <c r="M674" s="52"/>
      <c r="N674" s="52"/>
      <c r="O674" s="52"/>
      <c r="P674" s="52"/>
      <c r="Q674" s="52"/>
      <c r="U674" s="52"/>
    </row>
    <row r="675">
      <c r="M675" s="52"/>
      <c r="N675" s="52"/>
      <c r="O675" s="52"/>
      <c r="P675" s="52"/>
      <c r="Q675" s="52"/>
      <c r="U675" s="52"/>
    </row>
    <row r="676">
      <c r="M676" s="52"/>
      <c r="N676" s="52"/>
      <c r="O676" s="52"/>
      <c r="P676" s="52"/>
      <c r="Q676" s="52"/>
      <c r="U676" s="52"/>
    </row>
    <row r="677">
      <c r="M677" s="52"/>
      <c r="N677" s="52"/>
      <c r="O677" s="52"/>
      <c r="P677" s="52"/>
      <c r="Q677" s="52"/>
      <c r="U677" s="52"/>
    </row>
    <row r="678">
      <c r="M678" s="52"/>
      <c r="N678" s="52"/>
      <c r="O678" s="52"/>
      <c r="P678" s="52"/>
      <c r="Q678" s="52"/>
      <c r="U678" s="52"/>
    </row>
    <row r="679">
      <c r="M679" s="52"/>
      <c r="N679" s="52"/>
      <c r="O679" s="52"/>
      <c r="P679" s="52"/>
      <c r="Q679" s="52"/>
      <c r="U679" s="52"/>
    </row>
    <row r="680">
      <c r="M680" s="52"/>
      <c r="N680" s="52"/>
      <c r="O680" s="52"/>
      <c r="P680" s="52"/>
      <c r="Q680" s="52"/>
      <c r="U680" s="52"/>
    </row>
    <row r="681">
      <c r="M681" s="52"/>
      <c r="N681" s="52"/>
      <c r="O681" s="52"/>
      <c r="P681" s="52"/>
      <c r="Q681" s="52"/>
      <c r="U681" s="52"/>
    </row>
    <row r="682">
      <c r="M682" s="52"/>
      <c r="N682" s="52"/>
      <c r="O682" s="52"/>
      <c r="P682" s="52"/>
      <c r="Q682" s="52"/>
      <c r="U682" s="52"/>
    </row>
    <row r="683">
      <c r="M683" s="52"/>
      <c r="N683" s="52"/>
      <c r="O683" s="52"/>
      <c r="P683" s="52"/>
      <c r="Q683" s="52"/>
      <c r="U683" s="52"/>
    </row>
    <row r="684">
      <c r="M684" s="52"/>
      <c r="N684" s="52"/>
      <c r="O684" s="52"/>
      <c r="P684" s="52"/>
      <c r="Q684" s="52"/>
      <c r="U684" s="52"/>
    </row>
    <row r="685">
      <c r="M685" s="52"/>
      <c r="N685" s="52"/>
      <c r="O685" s="52"/>
      <c r="P685" s="52"/>
      <c r="Q685" s="52"/>
      <c r="U685" s="52"/>
    </row>
    <row r="686">
      <c r="M686" s="52"/>
      <c r="N686" s="52"/>
      <c r="O686" s="52"/>
      <c r="P686" s="52"/>
      <c r="Q686" s="52"/>
      <c r="U686" s="52"/>
    </row>
    <row r="687">
      <c r="M687" s="52"/>
      <c r="N687" s="52"/>
      <c r="O687" s="52"/>
      <c r="P687" s="52"/>
      <c r="Q687" s="52"/>
      <c r="U687" s="52"/>
    </row>
    <row r="688">
      <c r="M688" s="52"/>
      <c r="N688" s="52"/>
      <c r="O688" s="52"/>
      <c r="P688" s="52"/>
      <c r="Q688" s="52"/>
      <c r="U688" s="52"/>
    </row>
    <row r="689">
      <c r="M689" s="52"/>
      <c r="N689" s="52"/>
      <c r="O689" s="52"/>
      <c r="P689" s="52"/>
      <c r="Q689" s="52"/>
      <c r="U689" s="52"/>
    </row>
    <row r="690">
      <c r="M690" s="52"/>
      <c r="N690" s="52"/>
      <c r="O690" s="52"/>
      <c r="P690" s="52"/>
      <c r="Q690" s="52"/>
      <c r="U690" s="52"/>
    </row>
    <row r="691">
      <c r="M691" s="52"/>
      <c r="N691" s="52"/>
      <c r="O691" s="52"/>
      <c r="P691" s="52"/>
      <c r="Q691" s="52"/>
      <c r="U691" s="52"/>
    </row>
    <row r="692">
      <c r="M692" s="52"/>
      <c r="N692" s="52"/>
      <c r="O692" s="52"/>
      <c r="P692" s="52"/>
      <c r="Q692" s="52"/>
      <c r="U692" s="52"/>
    </row>
    <row r="693">
      <c r="M693" s="52"/>
      <c r="N693" s="52"/>
      <c r="O693" s="52"/>
      <c r="P693" s="52"/>
      <c r="Q693" s="52"/>
      <c r="U693" s="52"/>
    </row>
    <row r="694">
      <c r="M694" s="52"/>
      <c r="N694" s="52"/>
      <c r="O694" s="52"/>
      <c r="P694" s="52"/>
      <c r="Q694" s="52"/>
      <c r="U694" s="52"/>
    </row>
    <row r="695">
      <c r="M695" s="52"/>
      <c r="N695" s="52"/>
      <c r="O695" s="52"/>
      <c r="P695" s="52"/>
      <c r="Q695" s="52"/>
      <c r="U695" s="52"/>
    </row>
    <row r="696">
      <c r="M696" s="52"/>
      <c r="N696" s="52"/>
      <c r="O696" s="52"/>
      <c r="P696" s="52"/>
      <c r="Q696" s="52"/>
      <c r="U696" s="52"/>
    </row>
    <row r="697">
      <c r="M697" s="52"/>
      <c r="N697" s="52"/>
      <c r="O697" s="52"/>
      <c r="P697" s="52"/>
      <c r="Q697" s="52"/>
      <c r="U697" s="52"/>
    </row>
    <row r="698">
      <c r="M698" s="52"/>
      <c r="N698" s="52"/>
      <c r="O698" s="52"/>
      <c r="P698" s="52"/>
      <c r="Q698" s="52"/>
      <c r="U698" s="52"/>
    </row>
    <row r="699">
      <c r="M699" s="52"/>
      <c r="N699" s="52"/>
      <c r="O699" s="52"/>
      <c r="P699" s="52"/>
      <c r="Q699" s="52"/>
      <c r="U699" s="52"/>
    </row>
    <row r="700">
      <c r="M700" s="52"/>
      <c r="N700" s="52"/>
      <c r="O700" s="52"/>
      <c r="P700" s="52"/>
      <c r="Q700" s="52"/>
      <c r="U700" s="52"/>
    </row>
    <row r="701">
      <c r="M701" s="52"/>
      <c r="N701" s="52"/>
      <c r="O701" s="52"/>
      <c r="P701" s="52"/>
      <c r="Q701" s="52"/>
      <c r="U701" s="52"/>
    </row>
    <row r="702">
      <c r="M702" s="52"/>
      <c r="N702" s="52"/>
      <c r="O702" s="52"/>
      <c r="P702" s="52"/>
      <c r="Q702" s="52"/>
      <c r="U702" s="52"/>
    </row>
    <row r="703">
      <c r="M703" s="52"/>
      <c r="N703" s="52"/>
      <c r="O703" s="52"/>
      <c r="P703" s="52"/>
      <c r="Q703" s="52"/>
      <c r="U703" s="52"/>
    </row>
    <row r="704">
      <c r="M704" s="52"/>
      <c r="N704" s="52"/>
      <c r="O704" s="52"/>
      <c r="P704" s="52"/>
      <c r="Q704" s="52"/>
      <c r="U704" s="52"/>
    </row>
    <row r="705">
      <c r="M705" s="52"/>
      <c r="N705" s="52"/>
      <c r="O705" s="52"/>
      <c r="P705" s="52"/>
      <c r="Q705" s="52"/>
      <c r="U705" s="52"/>
    </row>
    <row r="706">
      <c r="M706" s="52"/>
      <c r="N706" s="52"/>
      <c r="O706" s="52"/>
      <c r="P706" s="52"/>
      <c r="Q706" s="52"/>
      <c r="U706" s="52"/>
    </row>
    <row r="707">
      <c r="M707" s="52"/>
      <c r="N707" s="52"/>
      <c r="O707" s="52"/>
      <c r="P707" s="52"/>
      <c r="Q707" s="52"/>
      <c r="U707" s="52"/>
    </row>
    <row r="708">
      <c r="M708" s="52"/>
      <c r="N708" s="52"/>
      <c r="O708" s="52"/>
      <c r="P708" s="52"/>
      <c r="Q708" s="52"/>
      <c r="U708" s="52"/>
    </row>
    <row r="709">
      <c r="M709" s="52"/>
      <c r="N709" s="52"/>
      <c r="O709" s="52"/>
      <c r="P709" s="52"/>
      <c r="Q709" s="52"/>
      <c r="U709" s="52"/>
    </row>
    <row r="710">
      <c r="M710" s="52"/>
      <c r="N710" s="52"/>
      <c r="O710" s="52"/>
      <c r="P710" s="52"/>
      <c r="Q710" s="52"/>
      <c r="U710" s="52"/>
    </row>
    <row r="711">
      <c r="M711" s="52"/>
      <c r="N711" s="52"/>
      <c r="O711" s="52"/>
      <c r="P711" s="52"/>
      <c r="Q711" s="52"/>
      <c r="U711" s="52"/>
    </row>
    <row r="712">
      <c r="M712" s="52"/>
      <c r="N712" s="52"/>
      <c r="O712" s="52"/>
      <c r="P712" s="52"/>
      <c r="Q712" s="52"/>
      <c r="U712" s="52"/>
    </row>
    <row r="713">
      <c r="M713" s="52"/>
      <c r="N713" s="52"/>
      <c r="O713" s="52"/>
      <c r="P713" s="52"/>
      <c r="Q713" s="52"/>
      <c r="U713" s="52"/>
    </row>
    <row r="714">
      <c r="M714" s="52"/>
      <c r="N714" s="52"/>
      <c r="O714" s="52"/>
      <c r="P714" s="52"/>
      <c r="Q714" s="52"/>
      <c r="U714" s="52"/>
    </row>
    <row r="715">
      <c r="M715" s="52"/>
      <c r="N715" s="52"/>
      <c r="O715" s="52"/>
      <c r="P715" s="52"/>
      <c r="Q715" s="52"/>
      <c r="U715" s="52"/>
    </row>
    <row r="716">
      <c r="M716" s="52"/>
      <c r="N716" s="52"/>
      <c r="O716" s="52"/>
      <c r="P716" s="52"/>
      <c r="Q716" s="52"/>
      <c r="U716" s="52"/>
    </row>
    <row r="717">
      <c r="M717" s="52"/>
      <c r="N717" s="52"/>
      <c r="O717" s="52"/>
      <c r="P717" s="52"/>
      <c r="Q717" s="52"/>
      <c r="U717" s="52"/>
    </row>
    <row r="718">
      <c r="M718" s="52"/>
      <c r="N718" s="52"/>
      <c r="O718" s="52"/>
      <c r="P718" s="52"/>
      <c r="Q718" s="52"/>
      <c r="U718" s="52"/>
    </row>
    <row r="719">
      <c r="M719" s="52"/>
      <c r="N719" s="52"/>
      <c r="O719" s="52"/>
      <c r="P719" s="52"/>
      <c r="Q719" s="52"/>
      <c r="U719" s="52"/>
    </row>
    <row r="720">
      <c r="M720" s="52"/>
      <c r="N720" s="52"/>
      <c r="O720" s="52"/>
      <c r="P720" s="52"/>
      <c r="Q720" s="52"/>
      <c r="U720" s="52"/>
    </row>
    <row r="721">
      <c r="M721" s="52"/>
      <c r="N721" s="52"/>
      <c r="O721" s="52"/>
      <c r="P721" s="52"/>
      <c r="Q721" s="52"/>
      <c r="U721" s="52"/>
    </row>
    <row r="722">
      <c r="M722" s="52"/>
      <c r="N722" s="52"/>
      <c r="O722" s="52"/>
      <c r="P722" s="52"/>
      <c r="Q722" s="52"/>
      <c r="U722" s="52"/>
    </row>
    <row r="723">
      <c r="M723" s="52"/>
      <c r="N723" s="52"/>
      <c r="O723" s="52"/>
      <c r="P723" s="52"/>
      <c r="Q723" s="52"/>
      <c r="U723" s="52"/>
    </row>
    <row r="724">
      <c r="M724" s="52"/>
      <c r="N724" s="52"/>
      <c r="O724" s="52"/>
      <c r="P724" s="52"/>
      <c r="Q724" s="52"/>
      <c r="U724" s="52"/>
    </row>
    <row r="725">
      <c r="M725" s="52"/>
      <c r="N725" s="52"/>
      <c r="O725" s="52"/>
      <c r="P725" s="52"/>
      <c r="Q725" s="52"/>
      <c r="U725" s="52"/>
    </row>
    <row r="726">
      <c r="M726" s="52"/>
      <c r="N726" s="52"/>
      <c r="O726" s="52"/>
      <c r="P726" s="52"/>
      <c r="Q726" s="52"/>
      <c r="U726" s="52"/>
    </row>
    <row r="727">
      <c r="M727" s="52"/>
      <c r="N727" s="52"/>
      <c r="O727" s="52"/>
      <c r="P727" s="52"/>
      <c r="Q727" s="52"/>
      <c r="U727" s="52"/>
    </row>
    <row r="728">
      <c r="M728" s="52"/>
      <c r="N728" s="52"/>
      <c r="O728" s="52"/>
      <c r="P728" s="52"/>
      <c r="Q728" s="52"/>
      <c r="U728" s="52"/>
    </row>
    <row r="729">
      <c r="M729" s="52"/>
      <c r="N729" s="52"/>
      <c r="O729" s="52"/>
      <c r="P729" s="52"/>
      <c r="Q729" s="52"/>
      <c r="U729" s="52"/>
    </row>
    <row r="730">
      <c r="M730" s="52"/>
      <c r="N730" s="52"/>
      <c r="O730" s="52"/>
      <c r="P730" s="52"/>
      <c r="Q730" s="52"/>
      <c r="U730" s="52"/>
    </row>
    <row r="731">
      <c r="M731" s="52"/>
      <c r="N731" s="52"/>
      <c r="O731" s="52"/>
      <c r="P731" s="52"/>
      <c r="Q731" s="52"/>
      <c r="U731" s="52"/>
    </row>
    <row r="732">
      <c r="M732" s="52"/>
      <c r="N732" s="52"/>
      <c r="O732" s="52"/>
      <c r="P732" s="52"/>
      <c r="Q732" s="52"/>
      <c r="U732" s="52"/>
    </row>
    <row r="733">
      <c r="M733" s="52"/>
      <c r="N733" s="52"/>
      <c r="O733" s="52"/>
      <c r="P733" s="52"/>
      <c r="Q733" s="52"/>
      <c r="U733" s="52"/>
    </row>
    <row r="734">
      <c r="M734" s="52"/>
      <c r="N734" s="52"/>
      <c r="O734" s="52"/>
      <c r="P734" s="52"/>
      <c r="Q734" s="52"/>
      <c r="U734" s="52"/>
    </row>
    <row r="735">
      <c r="M735" s="52"/>
      <c r="N735" s="52"/>
      <c r="O735" s="52"/>
      <c r="P735" s="52"/>
      <c r="Q735" s="52"/>
      <c r="U735" s="52"/>
    </row>
    <row r="736">
      <c r="M736" s="52"/>
      <c r="N736" s="52"/>
      <c r="O736" s="52"/>
      <c r="P736" s="52"/>
      <c r="Q736" s="52"/>
      <c r="U736" s="52"/>
    </row>
    <row r="737">
      <c r="M737" s="52"/>
      <c r="N737" s="52"/>
      <c r="O737" s="52"/>
      <c r="P737" s="52"/>
      <c r="Q737" s="52"/>
      <c r="U737" s="52"/>
    </row>
    <row r="738">
      <c r="M738" s="52"/>
      <c r="N738" s="52"/>
      <c r="O738" s="52"/>
      <c r="P738" s="52"/>
      <c r="Q738" s="52"/>
      <c r="U738" s="52"/>
    </row>
    <row r="739">
      <c r="M739" s="52"/>
      <c r="N739" s="52"/>
      <c r="O739" s="52"/>
      <c r="P739" s="52"/>
      <c r="Q739" s="52"/>
      <c r="U739" s="52"/>
    </row>
    <row r="740">
      <c r="M740" s="52"/>
      <c r="N740" s="52"/>
      <c r="O740" s="52"/>
      <c r="P740" s="52"/>
      <c r="Q740" s="52"/>
      <c r="U740" s="52"/>
    </row>
    <row r="741">
      <c r="M741" s="52"/>
      <c r="N741" s="52"/>
      <c r="O741" s="52"/>
      <c r="P741" s="52"/>
      <c r="Q741" s="52"/>
      <c r="U741" s="52"/>
    </row>
    <row r="742">
      <c r="M742" s="52"/>
      <c r="N742" s="52"/>
      <c r="O742" s="52"/>
      <c r="P742" s="52"/>
      <c r="Q742" s="52"/>
      <c r="U742" s="52"/>
    </row>
    <row r="743">
      <c r="M743" s="52"/>
      <c r="N743" s="52"/>
      <c r="O743" s="52"/>
      <c r="P743" s="52"/>
      <c r="Q743" s="52"/>
      <c r="U743" s="52"/>
    </row>
    <row r="744">
      <c r="M744" s="52"/>
      <c r="N744" s="52"/>
      <c r="O744" s="52"/>
      <c r="P744" s="52"/>
      <c r="Q744" s="52"/>
      <c r="U744" s="52"/>
    </row>
    <row r="745">
      <c r="M745" s="52"/>
      <c r="N745" s="52"/>
      <c r="O745" s="52"/>
      <c r="P745" s="52"/>
      <c r="Q745" s="52"/>
      <c r="U745" s="52"/>
    </row>
    <row r="746">
      <c r="M746" s="52"/>
      <c r="N746" s="52"/>
      <c r="O746" s="52"/>
      <c r="P746" s="52"/>
      <c r="Q746" s="52"/>
      <c r="U746" s="52"/>
    </row>
    <row r="747">
      <c r="M747" s="52"/>
      <c r="N747" s="52"/>
      <c r="O747" s="52"/>
      <c r="P747" s="52"/>
      <c r="Q747" s="52"/>
      <c r="U747" s="52"/>
    </row>
    <row r="748">
      <c r="M748" s="52"/>
      <c r="N748" s="52"/>
      <c r="O748" s="52"/>
      <c r="P748" s="52"/>
      <c r="Q748" s="52"/>
      <c r="U748" s="52"/>
    </row>
    <row r="749">
      <c r="M749" s="52"/>
      <c r="N749" s="52"/>
      <c r="O749" s="52"/>
      <c r="P749" s="52"/>
      <c r="Q749" s="52"/>
      <c r="U749" s="52"/>
    </row>
    <row r="750">
      <c r="M750" s="52"/>
      <c r="N750" s="52"/>
      <c r="O750" s="52"/>
      <c r="P750" s="52"/>
      <c r="Q750" s="52"/>
      <c r="U750" s="52"/>
    </row>
    <row r="751">
      <c r="M751" s="52"/>
      <c r="N751" s="52"/>
      <c r="O751" s="52"/>
      <c r="P751" s="52"/>
      <c r="Q751" s="52"/>
      <c r="U751" s="52"/>
    </row>
    <row r="752">
      <c r="M752" s="52"/>
      <c r="N752" s="52"/>
      <c r="O752" s="52"/>
      <c r="P752" s="52"/>
      <c r="Q752" s="52"/>
      <c r="U752" s="52"/>
    </row>
    <row r="753">
      <c r="M753" s="52"/>
      <c r="N753" s="52"/>
      <c r="O753" s="52"/>
      <c r="P753" s="52"/>
      <c r="Q753" s="52"/>
      <c r="U753" s="52"/>
    </row>
    <row r="754">
      <c r="M754" s="52"/>
      <c r="N754" s="52"/>
      <c r="O754" s="52"/>
      <c r="P754" s="52"/>
      <c r="Q754" s="52"/>
      <c r="U754" s="52"/>
    </row>
    <row r="755">
      <c r="M755" s="52"/>
      <c r="N755" s="52"/>
      <c r="O755" s="52"/>
      <c r="P755" s="52"/>
      <c r="Q755" s="52"/>
      <c r="U755" s="52"/>
    </row>
    <row r="756">
      <c r="M756" s="52"/>
      <c r="N756" s="52"/>
      <c r="O756" s="52"/>
      <c r="P756" s="52"/>
      <c r="Q756" s="52"/>
      <c r="U756" s="52"/>
    </row>
    <row r="757">
      <c r="M757" s="52"/>
      <c r="N757" s="52"/>
      <c r="O757" s="52"/>
      <c r="P757" s="52"/>
      <c r="Q757" s="52"/>
      <c r="U757" s="52"/>
    </row>
    <row r="758">
      <c r="M758" s="52"/>
      <c r="N758" s="52"/>
      <c r="O758" s="52"/>
      <c r="P758" s="52"/>
      <c r="Q758" s="52"/>
      <c r="U758" s="52"/>
    </row>
    <row r="759">
      <c r="M759" s="52"/>
      <c r="N759" s="52"/>
      <c r="O759" s="52"/>
      <c r="P759" s="52"/>
      <c r="Q759" s="52"/>
      <c r="U759" s="52"/>
    </row>
    <row r="760">
      <c r="M760" s="52"/>
      <c r="N760" s="52"/>
      <c r="O760" s="52"/>
      <c r="P760" s="52"/>
      <c r="Q760" s="52"/>
      <c r="U760" s="52"/>
    </row>
    <row r="761">
      <c r="M761" s="52"/>
      <c r="N761" s="52"/>
      <c r="O761" s="52"/>
      <c r="P761" s="52"/>
      <c r="Q761" s="52"/>
      <c r="U761" s="52"/>
    </row>
    <row r="762">
      <c r="M762" s="52"/>
      <c r="N762" s="52"/>
      <c r="O762" s="52"/>
      <c r="P762" s="52"/>
      <c r="Q762" s="52"/>
      <c r="U762" s="52"/>
    </row>
    <row r="763">
      <c r="M763" s="52"/>
      <c r="N763" s="52"/>
      <c r="O763" s="52"/>
      <c r="P763" s="52"/>
      <c r="Q763" s="52"/>
      <c r="U763" s="52"/>
    </row>
    <row r="764">
      <c r="M764" s="52"/>
      <c r="N764" s="52"/>
      <c r="O764" s="52"/>
      <c r="P764" s="52"/>
      <c r="Q764" s="52"/>
      <c r="U764" s="52"/>
    </row>
    <row r="765">
      <c r="M765" s="52"/>
      <c r="N765" s="52"/>
      <c r="O765" s="52"/>
      <c r="P765" s="52"/>
      <c r="Q765" s="52"/>
      <c r="U765" s="52"/>
    </row>
    <row r="766">
      <c r="M766" s="52"/>
      <c r="N766" s="52"/>
      <c r="O766" s="52"/>
      <c r="P766" s="52"/>
      <c r="Q766" s="52"/>
      <c r="U766" s="52"/>
    </row>
    <row r="767">
      <c r="M767" s="52"/>
      <c r="N767" s="52"/>
      <c r="O767" s="52"/>
      <c r="P767" s="52"/>
      <c r="Q767" s="52"/>
      <c r="U767" s="52"/>
    </row>
    <row r="768">
      <c r="M768" s="52"/>
      <c r="N768" s="52"/>
      <c r="O768" s="52"/>
      <c r="P768" s="52"/>
      <c r="Q768" s="52"/>
      <c r="U768" s="52"/>
    </row>
    <row r="769">
      <c r="M769" s="52"/>
      <c r="N769" s="52"/>
      <c r="O769" s="52"/>
      <c r="P769" s="52"/>
      <c r="Q769" s="52"/>
      <c r="U769" s="52"/>
    </row>
    <row r="770">
      <c r="M770" s="52"/>
      <c r="N770" s="52"/>
      <c r="O770" s="52"/>
      <c r="P770" s="52"/>
      <c r="Q770" s="52"/>
      <c r="U770" s="52"/>
    </row>
    <row r="771">
      <c r="M771" s="52"/>
      <c r="N771" s="52"/>
      <c r="O771" s="52"/>
      <c r="P771" s="52"/>
      <c r="Q771" s="52"/>
      <c r="U771" s="52"/>
    </row>
    <row r="772">
      <c r="M772" s="52"/>
      <c r="N772" s="52"/>
      <c r="O772" s="52"/>
      <c r="P772" s="52"/>
      <c r="Q772" s="52"/>
      <c r="U772" s="52"/>
    </row>
    <row r="773">
      <c r="M773" s="52"/>
      <c r="N773" s="52"/>
      <c r="O773" s="52"/>
      <c r="P773" s="52"/>
      <c r="Q773" s="52"/>
      <c r="U773" s="52"/>
    </row>
    <row r="774">
      <c r="M774" s="52"/>
      <c r="N774" s="52"/>
      <c r="O774" s="52"/>
      <c r="P774" s="52"/>
      <c r="Q774" s="52"/>
      <c r="U774" s="52"/>
    </row>
    <row r="775">
      <c r="M775" s="52"/>
      <c r="N775" s="52"/>
      <c r="O775" s="52"/>
      <c r="P775" s="52"/>
      <c r="Q775" s="52"/>
      <c r="U775" s="52"/>
    </row>
    <row r="776">
      <c r="M776" s="52"/>
      <c r="N776" s="52"/>
      <c r="O776" s="52"/>
      <c r="P776" s="52"/>
      <c r="Q776" s="52"/>
      <c r="U776" s="52"/>
    </row>
    <row r="777">
      <c r="M777" s="52"/>
      <c r="N777" s="52"/>
      <c r="O777" s="52"/>
      <c r="P777" s="52"/>
      <c r="Q777" s="52"/>
      <c r="U777" s="52"/>
    </row>
    <row r="778">
      <c r="M778" s="52"/>
      <c r="N778" s="52"/>
      <c r="O778" s="52"/>
      <c r="P778" s="52"/>
      <c r="Q778" s="52"/>
      <c r="U778" s="52"/>
    </row>
    <row r="779">
      <c r="M779" s="52"/>
      <c r="N779" s="52"/>
      <c r="O779" s="52"/>
      <c r="P779" s="52"/>
      <c r="Q779" s="52"/>
      <c r="U779" s="52"/>
    </row>
    <row r="780">
      <c r="M780" s="52"/>
      <c r="N780" s="52"/>
      <c r="O780" s="52"/>
      <c r="P780" s="52"/>
      <c r="Q780" s="52"/>
      <c r="U780" s="52"/>
    </row>
    <row r="781">
      <c r="M781" s="52"/>
      <c r="N781" s="52"/>
      <c r="O781" s="52"/>
      <c r="P781" s="52"/>
      <c r="Q781" s="52"/>
      <c r="U781" s="52"/>
    </row>
    <row r="782">
      <c r="M782" s="52"/>
      <c r="N782" s="52"/>
      <c r="O782" s="52"/>
      <c r="P782" s="52"/>
      <c r="Q782" s="52"/>
      <c r="U782" s="52"/>
    </row>
    <row r="783">
      <c r="M783" s="52"/>
      <c r="N783" s="52"/>
      <c r="O783" s="52"/>
      <c r="P783" s="52"/>
      <c r="Q783" s="52"/>
      <c r="U783" s="52"/>
    </row>
    <row r="784">
      <c r="M784" s="52"/>
      <c r="N784" s="52"/>
      <c r="O784" s="52"/>
      <c r="P784" s="52"/>
      <c r="Q784" s="52"/>
      <c r="U784" s="52"/>
    </row>
    <row r="785">
      <c r="M785" s="52"/>
      <c r="N785" s="52"/>
      <c r="O785" s="52"/>
      <c r="P785" s="52"/>
      <c r="Q785" s="52"/>
      <c r="U785" s="52"/>
    </row>
    <row r="786">
      <c r="M786" s="52"/>
      <c r="N786" s="52"/>
      <c r="O786" s="52"/>
      <c r="P786" s="52"/>
      <c r="Q786" s="52"/>
      <c r="U786" s="52"/>
    </row>
    <row r="787">
      <c r="M787" s="52"/>
      <c r="N787" s="52"/>
      <c r="O787" s="52"/>
      <c r="P787" s="52"/>
      <c r="Q787" s="52"/>
      <c r="U787" s="52"/>
    </row>
    <row r="788">
      <c r="M788" s="52"/>
      <c r="N788" s="52"/>
      <c r="O788" s="52"/>
      <c r="P788" s="52"/>
      <c r="Q788" s="52"/>
      <c r="U788" s="52"/>
    </row>
    <row r="789">
      <c r="M789" s="52"/>
      <c r="N789" s="52"/>
      <c r="O789" s="52"/>
      <c r="P789" s="52"/>
      <c r="Q789" s="52"/>
      <c r="U789" s="52"/>
    </row>
    <row r="790">
      <c r="M790" s="52"/>
      <c r="N790" s="52"/>
      <c r="O790" s="52"/>
      <c r="P790" s="52"/>
      <c r="Q790" s="52"/>
      <c r="U790" s="52"/>
    </row>
    <row r="791">
      <c r="M791" s="52"/>
      <c r="N791" s="52"/>
      <c r="O791" s="52"/>
      <c r="P791" s="52"/>
      <c r="Q791" s="52"/>
      <c r="U791" s="52"/>
    </row>
    <row r="792">
      <c r="M792" s="52"/>
      <c r="N792" s="52"/>
      <c r="O792" s="52"/>
      <c r="P792" s="52"/>
      <c r="Q792" s="52"/>
      <c r="U792" s="52"/>
    </row>
    <row r="793">
      <c r="M793" s="52"/>
      <c r="N793" s="52"/>
      <c r="O793" s="52"/>
      <c r="P793" s="52"/>
      <c r="Q793" s="52"/>
      <c r="U793" s="52"/>
    </row>
    <row r="794">
      <c r="M794" s="52"/>
      <c r="N794" s="52"/>
      <c r="O794" s="52"/>
      <c r="P794" s="52"/>
      <c r="Q794" s="52"/>
      <c r="U794" s="52"/>
    </row>
    <row r="795">
      <c r="M795" s="52"/>
      <c r="N795" s="52"/>
      <c r="O795" s="52"/>
      <c r="P795" s="52"/>
      <c r="Q795" s="52"/>
      <c r="U795" s="52"/>
    </row>
    <row r="796">
      <c r="M796" s="52"/>
      <c r="N796" s="52"/>
      <c r="O796" s="52"/>
      <c r="P796" s="52"/>
      <c r="Q796" s="52"/>
      <c r="U796" s="52"/>
    </row>
    <row r="797">
      <c r="M797" s="52"/>
      <c r="N797" s="52"/>
      <c r="O797" s="52"/>
      <c r="P797" s="52"/>
      <c r="Q797" s="52"/>
      <c r="U797" s="52"/>
    </row>
    <row r="798">
      <c r="M798" s="52"/>
      <c r="N798" s="52"/>
      <c r="O798" s="52"/>
      <c r="P798" s="52"/>
      <c r="Q798" s="52"/>
      <c r="U798" s="52"/>
    </row>
    <row r="799">
      <c r="M799" s="52"/>
      <c r="N799" s="52"/>
      <c r="O799" s="52"/>
      <c r="P799" s="52"/>
      <c r="Q799" s="52"/>
      <c r="U799" s="52"/>
    </row>
    <row r="800">
      <c r="M800" s="52"/>
      <c r="N800" s="52"/>
      <c r="O800" s="52"/>
      <c r="P800" s="52"/>
      <c r="Q800" s="52"/>
      <c r="U800" s="52"/>
    </row>
    <row r="801">
      <c r="M801" s="52"/>
      <c r="N801" s="52"/>
      <c r="O801" s="52"/>
      <c r="P801" s="52"/>
      <c r="Q801" s="52"/>
      <c r="U801" s="52"/>
    </row>
    <row r="802">
      <c r="M802" s="52"/>
      <c r="N802" s="52"/>
      <c r="O802" s="52"/>
      <c r="P802" s="52"/>
      <c r="Q802" s="52"/>
      <c r="U802" s="52"/>
    </row>
    <row r="803">
      <c r="M803" s="52"/>
      <c r="N803" s="52"/>
      <c r="O803" s="52"/>
      <c r="P803" s="52"/>
      <c r="Q803" s="52"/>
      <c r="U803" s="52"/>
    </row>
    <row r="804">
      <c r="M804" s="52"/>
      <c r="N804" s="52"/>
      <c r="O804" s="52"/>
      <c r="P804" s="52"/>
      <c r="Q804" s="52"/>
      <c r="U804" s="52"/>
    </row>
    <row r="805">
      <c r="M805" s="52"/>
      <c r="N805" s="52"/>
      <c r="O805" s="52"/>
      <c r="P805" s="52"/>
      <c r="Q805" s="52"/>
      <c r="U805" s="52"/>
    </row>
    <row r="806">
      <c r="M806" s="52"/>
      <c r="N806" s="52"/>
      <c r="O806" s="52"/>
      <c r="P806" s="52"/>
      <c r="Q806" s="52"/>
      <c r="U806" s="52"/>
    </row>
    <row r="807">
      <c r="M807" s="52"/>
      <c r="N807" s="52"/>
      <c r="O807" s="52"/>
      <c r="P807" s="52"/>
      <c r="Q807" s="52"/>
      <c r="U807" s="52"/>
    </row>
    <row r="808">
      <c r="M808" s="52"/>
      <c r="N808" s="52"/>
      <c r="O808" s="52"/>
      <c r="P808" s="52"/>
      <c r="Q808" s="52"/>
      <c r="U808" s="52"/>
    </row>
    <row r="809">
      <c r="M809" s="52"/>
      <c r="N809" s="52"/>
      <c r="O809" s="52"/>
      <c r="P809" s="52"/>
      <c r="Q809" s="52"/>
      <c r="U809" s="52"/>
    </row>
    <row r="810">
      <c r="M810" s="52"/>
      <c r="N810" s="52"/>
      <c r="O810" s="52"/>
      <c r="P810" s="52"/>
      <c r="Q810" s="52"/>
      <c r="U810" s="52"/>
    </row>
    <row r="811">
      <c r="M811" s="52"/>
      <c r="N811" s="52"/>
      <c r="O811" s="52"/>
      <c r="P811" s="52"/>
      <c r="Q811" s="52"/>
      <c r="U811" s="52"/>
    </row>
    <row r="812">
      <c r="M812" s="52"/>
      <c r="N812" s="52"/>
      <c r="O812" s="52"/>
      <c r="P812" s="52"/>
      <c r="Q812" s="52"/>
      <c r="U812" s="52"/>
    </row>
    <row r="813">
      <c r="M813" s="52"/>
      <c r="N813" s="52"/>
      <c r="O813" s="52"/>
      <c r="P813" s="52"/>
      <c r="Q813" s="52"/>
      <c r="U813" s="52"/>
    </row>
    <row r="814">
      <c r="M814" s="52"/>
      <c r="N814" s="52"/>
      <c r="O814" s="52"/>
      <c r="P814" s="52"/>
      <c r="Q814" s="52"/>
      <c r="U814" s="52"/>
    </row>
    <row r="815">
      <c r="M815" s="52"/>
      <c r="N815" s="52"/>
      <c r="O815" s="52"/>
      <c r="P815" s="52"/>
      <c r="Q815" s="52"/>
      <c r="U815" s="52"/>
    </row>
    <row r="816">
      <c r="M816" s="52"/>
      <c r="N816" s="52"/>
      <c r="O816" s="52"/>
      <c r="P816" s="52"/>
      <c r="Q816" s="52"/>
      <c r="U816" s="52"/>
    </row>
    <row r="817">
      <c r="M817" s="52"/>
      <c r="N817" s="52"/>
      <c r="O817" s="52"/>
      <c r="P817" s="52"/>
      <c r="Q817" s="52"/>
      <c r="U817" s="52"/>
    </row>
    <row r="818">
      <c r="M818" s="52"/>
      <c r="N818" s="52"/>
      <c r="O818" s="52"/>
      <c r="P818" s="52"/>
      <c r="Q818" s="52"/>
      <c r="U818" s="52"/>
    </row>
    <row r="819">
      <c r="M819" s="52"/>
      <c r="N819" s="52"/>
      <c r="O819" s="52"/>
      <c r="P819" s="52"/>
      <c r="Q819" s="52"/>
      <c r="U819" s="52"/>
    </row>
    <row r="820">
      <c r="M820" s="52"/>
      <c r="N820" s="52"/>
      <c r="O820" s="52"/>
      <c r="P820" s="52"/>
      <c r="Q820" s="52"/>
      <c r="U820" s="52"/>
    </row>
    <row r="821">
      <c r="M821" s="52"/>
      <c r="N821" s="52"/>
      <c r="O821" s="52"/>
      <c r="P821" s="52"/>
      <c r="Q821" s="52"/>
      <c r="U821" s="52"/>
    </row>
    <row r="822">
      <c r="M822" s="52"/>
      <c r="N822" s="52"/>
      <c r="O822" s="52"/>
      <c r="P822" s="52"/>
      <c r="Q822" s="52"/>
      <c r="U822" s="52"/>
    </row>
    <row r="823">
      <c r="M823" s="52"/>
      <c r="N823" s="52"/>
      <c r="O823" s="52"/>
      <c r="P823" s="52"/>
      <c r="Q823" s="52"/>
      <c r="U823" s="52"/>
    </row>
    <row r="824">
      <c r="M824" s="52"/>
      <c r="N824" s="52"/>
      <c r="O824" s="52"/>
      <c r="P824" s="52"/>
      <c r="Q824" s="52"/>
      <c r="U824" s="52"/>
    </row>
    <row r="825">
      <c r="M825" s="52"/>
      <c r="N825" s="52"/>
      <c r="O825" s="52"/>
      <c r="P825" s="52"/>
      <c r="Q825" s="52"/>
      <c r="U825" s="52"/>
    </row>
    <row r="826">
      <c r="M826" s="52"/>
      <c r="N826" s="52"/>
      <c r="O826" s="52"/>
      <c r="P826" s="52"/>
      <c r="Q826" s="52"/>
      <c r="U826" s="52"/>
    </row>
    <row r="827">
      <c r="M827" s="52"/>
      <c r="N827" s="52"/>
      <c r="O827" s="52"/>
      <c r="P827" s="52"/>
      <c r="Q827" s="52"/>
      <c r="U827" s="52"/>
    </row>
    <row r="828">
      <c r="M828" s="52"/>
      <c r="N828" s="52"/>
      <c r="O828" s="52"/>
      <c r="P828" s="52"/>
      <c r="Q828" s="52"/>
      <c r="U828" s="52"/>
    </row>
    <row r="829">
      <c r="M829" s="52"/>
      <c r="N829" s="52"/>
      <c r="O829" s="52"/>
      <c r="P829" s="52"/>
      <c r="Q829" s="52"/>
      <c r="U829" s="52"/>
    </row>
    <row r="830">
      <c r="M830" s="52"/>
      <c r="N830" s="52"/>
      <c r="O830" s="52"/>
      <c r="P830" s="52"/>
      <c r="Q830" s="52"/>
      <c r="U830" s="52"/>
    </row>
    <row r="831">
      <c r="M831" s="52"/>
      <c r="N831" s="52"/>
      <c r="O831" s="52"/>
      <c r="P831" s="52"/>
      <c r="Q831" s="52"/>
      <c r="U831" s="52"/>
    </row>
    <row r="832">
      <c r="M832" s="52"/>
      <c r="N832" s="52"/>
      <c r="O832" s="52"/>
      <c r="P832" s="52"/>
      <c r="Q832" s="52"/>
      <c r="U832" s="52"/>
    </row>
    <row r="833">
      <c r="M833" s="52"/>
      <c r="N833" s="52"/>
      <c r="O833" s="52"/>
      <c r="P833" s="52"/>
      <c r="Q833" s="52"/>
      <c r="U833" s="52"/>
    </row>
    <row r="834">
      <c r="M834" s="52"/>
      <c r="N834" s="52"/>
      <c r="O834" s="52"/>
      <c r="P834" s="52"/>
      <c r="Q834" s="52"/>
      <c r="U834" s="52"/>
    </row>
    <row r="835">
      <c r="M835" s="52"/>
      <c r="N835" s="52"/>
      <c r="O835" s="52"/>
      <c r="P835" s="52"/>
      <c r="Q835" s="52"/>
      <c r="U835" s="52"/>
    </row>
    <row r="836">
      <c r="M836" s="52"/>
      <c r="N836" s="52"/>
      <c r="O836" s="52"/>
      <c r="P836" s="52"/>
      <c r="Q836" s="52"/>
      <c r="U836" s="52"/>
    </row>
    <row r="837">
      <c r="M837" s="52"/>
      <c r="N837" s="52"/>
      <c r="O837" s="52"/>
      <c r="P837" s="52"/>
      <c r="Q837" s="52"/>
      <c r="U837" s="52"/>
    </row>
    <row r="838">
      <c r="M838" s="52"/>
      <c r="N838" s="52"/>
      <c r="O838" s="52"/>
      <c r="P838" s="52"/>
      <c r="Q838" s="52"/>
      <c r="U838" s="52"/>
    </row>
    <row r="839">
      <c r="M839" s="52"/>
      <c r="N839" s="52"/>
      <c r="O839" s="52"/>
      <c r="P839" s="52"/>
      <c r="Q839" s="52"/>
      <c r="U839" s="52"/>
    </row>
    <row r="840">
      <c r="M840" s="52"/>
      <c r="N840" s="52"/>
      <c r="O840" s="52"/>
      <c r="P840" s="52"/>
      <c r="Q840" s="52"/>
      <c r="U840" s="52"/>
    </row>
    <row r="841">
      <c r="M841" s="52"/>
      <c r="N841" s="52"/>
      <c r="O841" s="52"/>
      <c r="P841" s="52"/>
      <c r="Q841" s="52"/>
      <c r="U841" s="52"/>
    </row>
    <row r="842">
      <c r="M842" s="52"/>
      <c r="N842" s="52"/>
      <c r="O842" s="52"/>
      <c r="P842" s="52"/>
      <c r="Q842" s="52"/>
      <c r="U842" s="52"/>
    </row>
    <row r="843">
      <c r="M843" s="52"/>
      <c r="N843" s="52"/>
      <c r="O843" s="52"/>
      <c r="P843" s="52"/>
      <c r="Q843" s="52"/>
      <c r="U843" s="52"/>
    </row>
    <row r="844">
      <c r="M844" s="52"/>
      <c r="N844" s="52"/>
      <c r="O844" s="52"/>
      <c r="P844" s="52"/>
      <c r="Q844" s="52"/>
      <c r="U844" s="52"/>
    </row>
    <row r="845">
      <c r="M845" s="52"/>
      <c r="N845" s="52"/>
      <c r="O845" s="52"/>
      <c r="P845" s="52"/>
      <c r="Q845" s="52"/>
      <c r="U845" s="52"/>
    </row>
    <row r="846">
      <c r="M846" s="52"/>
      <c r="N846" s="52"/>
      <c r="O846" s="52"/>
      <c r="P846" s="52"/>
      <c r="Q846" s="52"/>
      <c r="U846" s="52"/>
    </row>
    <row r="847">
      <c r="M847" s="52"/>
      <c r="N847" s="52"/>
      <c r="O847" s="52"/>
      <c r="P847" s="52"/>
      <c r="Q847" s="52"/>
      <c r="U847" s="52"/>
    </row>
    <row r="848">
      <c r="M848" s="52"/>
      <c r="N848" s="52"/>
      <c r="O848" s="52"/>
      <c r="P848" s="52"/>
      <c r="Q848" s="52"/>
      <c r="U848" s="52"/>
    </row>
    <row r="849">
      <c r="M849" s="52"/>
      <c r="N849" s="52"/>
      <c r="O849" s="52"/>
      <c r="P849" s="52"/>
      <c r="Q849" s="52"/>
      <c r="U849" s="52"/>
    </row>
    <row r="850">
      <c r="M850" s="52"/>
      <c r="N850" s="52"/>
      <c r="O850" s="52"/>
      <c r="P850" s="52"/>
      <c r="Q850" s="52"/>
      <c r="U850" s="52"/>
    </row>
    <row r="851">
      <c r="M851" s="52"/>
      <c r="N851" s="52"/>
      <c r="O851" s="52"/>
      <c r="P851" s="52"/>
      <c r="Q851" s="52"/>
      <c r="U851" s="52"/>
    </row>
    <row r="852">
      <c r="M852" s="52"/>
      <c r="N852" s="52"/>
      <c r="O852" s="52"/>
      <c r="P852" s="52"/>
      <c r="Q852" s="52"/>
      <c r="U852" s="52"/>
    </row>
    <row r="853">
      <c r="M853" s="52"/>
      <c r="N853" s="52"/>
      <c r="O853" s="52"/>
      <c r="P853" s="52"/>
      <c r="Q853" s="52"/>
      <c r="U853" s="52"/>
    </row>
    <row r="854">
      <c r="M854" s="52"/>
      <c r="N854" s="52"/>
      <c r="O854" s="52"/>
      <c r="P854" s="52"/>
      <c r="Q854" s="52"/>
      <c r="U854" s="52"/>
    </row>
    <row r="855">
      <c r="M855" s="52"/>
      <c r="N855" s="52"/>
      <c r="O855" s="52"/>
      <c r="P855" s="52"/>
      <c r="Q855" s="52"/>
      <c r="U855" s="52"/>
    </row>
    <row r="856">
      <c r="M856" s="52"/>
      <c r="N856" s="52"/>
      <c r="O856" s="52"/>
      <c r="P856" s="52"/>
      <c r="Q856" s="52"/>
      <c r="U856" s="52"/>
    </row>
    <row r="857">
      <c r="M857" s="52"/>
      <c r="N857" s="52"/>
      <c r="O857" s="52"/>
      <c r="P857" s="52"/>
      <c r="Q857" s="52"/>
      <c r="U857" s="52"/>
    </row>
    <row r="858">
      <c r="M858" s="52"/>
      <c r="N858" s="52"/>
      <c r="O858" s="52"/>
      <c r="P858" s="52"/>
      <c r="Q858" s="52"/>
      <c r="U858" s="52"/>
    </row>
    <row r="859">
      <c r="M859" s="52"/>
      <c r="N859" s="52"/>
      <c r="O859" s="52"/>
      <c r="P859" s="52"/>
      <c r="Q859" s="52"/>
      <c r="U859" s="52"/>
    </row>
    <row r="860">
      <c r="M860" s="52"/>
      <c r="N860" s="52"/>
      <c r="O860" s="52"/>
      <c r="P860" s="52"/>
      <c r="Q860" s="52"/>
      <c r="U860" s="52"/>
    </row>
    <row r="861">
      <c r="M861" s="52"/>
      <c r="N861" s="52"/>
      <c r="O861" s="52"/>
      <c r="P861" s="52"/>
      <c r="Q861" s="52"/>
      <c r="U861" s="52"/>
    </row>
    <row r="862">
      <c r="M862" s="52"/>
      <c r="N862" s="52"/>
      <c r="O862" s="52"/>
      <c r="P862" s="52"/>
      <c r="Q862" s="52"/>
      <c r="U862" s="52"/>
    </row>
    <row r="863">
      <c r="M863" s="52"/>
      <c r="N863" s="52"/>
      <c r="O863" s="52"/>
      <c r="P863" s="52"/>
      <c r="Q863" s="52"/>
      <c r="U863" s="52"/>
    </row>
    <row r="864">
      <c r="M864" s="52"/>
      <c r="N864" s="52"/>
      <c r="O864" s="52"/>
      <c r="P864" s="52"/>
      <c r="Q864" s="52"/>
      <c r="U864" s="52"/>
    </row>
    <row r="865">
      <c r="M865" s="52"/>
      <c r="N865" s="52"/>
      <c r="O865" s="52"/>
      <c r="P865" s="52"/>
      <c r="Q865" s="52"/>
      <c r="U865" s="52"/>
    </row>
    <row r="866">
      <c r="M866" s="52"/>
      <c r="N866" s="52"/>
      <c r="O866" s="52"/>
      <c r="P866" s="52"/>
      <c r="Q866" s="52"/>
      <c r="U866" s="52"/>
    </row>
    <row r="867">
      <c r="M867" s="52"/>
      <c r="N867" s="52"/>
      <c r="O867" s="52"/>
      <c r="P867" s="52"/>
      <c r="Q867" s="52"/>
      <c r="U867" s="52"/>
    </row>
    <row r="868">
      <c r="M868" s="52"/>
      <c r="N868" s="52"/>
      <c r="O868" s="52"/>
      <c r="P868" s="52"/>
      <c r="Q868" s="52"/>
      <c r="U868" s="52"/>
    </row>
    <row r="869">
      <c r="M869" s="52"/>
      <c r="N869" s="52"/>
      <c r="O869" s="52"/>
      <c r="P869" s="52"/>
      <c r="Q869" s="52"/>
      <c r="U869" s="52"/>
    </row>
    <row r="870">
      <c r="M870" s="52"/>
      <c r="N870" s="52"/>
      <c r="O870" s="52"/>
      <c r="P870" s="52"/>
      <c r="Q870" s="52"/>
      <c r="U870" s="52"/>
    </row>
    <row r="871">
      <c r="M871" s="52"/>
      <c r="N871" s="52"/>
      <c r="O871" s="52"/>
      <c r="P871" s="52"/>
      <c r="Q871" s="52"/>
      <c r="U871" s="52"/>
    </row>
    <row r="872">
      <c r="M872" s="52"/>
      <c r="N872" s="52"/>
      <c r="O872" s="52"/>
      <c r="P872" s="52"/>
      <c r="Q872" s="52"/>
      <c r="U872" s="52"/>
    </row>
    <row r="873">
      <c r="M873" s="52"/>
      <c r="N873" s="52"/>
      <c r="O873" s="52"/>
      <c r="P873" s="52"/>
      <c r="Q873" s="52"/>
      <c r="U873" s="52"/>
    </row>
    <row r="874">
      <c r="M874" s="52"/>
      <c r="N874" s="52"/>
      <c r="O874" s="52"/>
      <c r="P874" s="52"/>
      <c r="Q874" s="52"/>
      <c r="U874" s="52"/>
    </row>
    <row r="875">
      <c r="M875" s="52"/>
      <c r="N875" s="52"/>
      <c r="O875" s="52"/>
      <c r="P875" s="52"/>
      <c r="Q875" s="52"/>
      <c r="U875" s="52"/>
    </row>
    <row r="876">
      <c r="M876" s="52"/>
      <c r="N876" s="52"/>
      <c r="O876" s="52"/>
      <c r="P876" s="52"/>
      <c r="Q876" s="52"/>
      <c r="U876" s="52"/>
    </row>
    <row r="877">
      <c r="M877" s="52"/>
      <c r="N877" s="52"/>
      <c r="O877" s="52"/>
      <c r="P877" s="52"/>
      <c r="Q877" s="52"/>
      <c r="U877" s="52"/>
    </row>
    <row r="878">
      <c r="M878" s="52"/>
      <c r="N878" s="52"/>
      <c r="O878" s="52"/>
      <c r="P878" s="52"/>
      <c r="Q878" s="52"/>
      <c r="U878" s="52"/>
    </row>
    <row r="879">
      <c r="M879" s="52"/>
      <c r="N879" s="52"/>
      <c r="O879" s="52"/>
      <c r="P879" s="52"/>
      <c r="Q879" s="52"/>
      <c r="U879" s="52"/>
    </row>
    <row r="880">
      <c r="M880" s="52"/>
      <c r="N880" s="52"/>
      <c r="O880" s="52"/>
      <c r="P880" s="52"/>
      <c r="Q880" s="52"/>
      <c r="U880" s="52"/>
    </row>
    <row r="881">
      <c r="M881" s="52"/>
      <c r="N881" s="52"/>
      <c r="O881" s="52"/>
      <c r="P881" s="52"/>
      <c r="Q881" s="52"/>
      <c r="U881" s="52"/>
    </row>
    <row r="882">
      <c r="M882" s="52"/>
      <c r="N882" s="52"/>
      <c r="O882" s="52"/>
      <c r="P882" s="52"/>
      <c r="Q882" s="52"/>
      <c r="U882" s="52"/>
    </row>
    <row r="883">
      <c r="M883" s="52"/>
      <c r="N883" s="52"/>
      <c r="O883" s="52"/>
      <c r="P883" s="52"/>
      <c r="Q883" s="52"/>
      <c r="U883" s="52"/>
    </row>
    <row r="884">
      <c r="M884" s="52"/>
      <c r="N884" s="52"/>
      <c r="O884" s="52"/>
      <c r="P884" s="52"/>
      <c r="Q884" s="52"/>
      <c r="U884" s="52"/>
    </row>
    <row r="885">
      <c r="M885" s="52"/>
      <c r="N885" s="52"/>
      <c r="O885" s="52"/>
      <c r="P885" s="52"/>
      <c r="Q885" s="52"/>
      <c r="U885" s="52"/>
    </row>
    <row r="886">
      <c r="M886" s="52"/>
      <c r="N886" s="52"/>
      <c r="O886" s="52"/>
      <c r="P886" s="52"/>
      <c r="Q886" s="52"/>
      <c r="U886" s="52"/>
    </row>
    <row r="887">
      <c r="M887" s="52"/>
      <c r="N887" s="52"/>
      <c r="O887" s="52"/>
      <c r="P887" s="52"/>
      <c r="Q887" s="52"/>
      <c r="U887" s="52"/>
    </row>
    <row r="888">
      <c r="M888" s="52"/>
      <c r="N888" s="52"/>
      <c r="O888" s="52"/>
      <c r="P888" s="52"/>
      <c r="Q888" s="52"/>
      <c r="U888" s="52"/>
    </row>
    <row r="889">
      <c r="M889" s="52"/>
      <c r="N889" s="52"/>
      <c r="O889" s="52"/>
      <c r="P889" s="52"/>
      <c r="Q889" s="52"/>
      <c r="U889" s="52"/>
    </row>
    <row r="890">
      <c r="M890" s="52"/>
      <c r="N890" s="52"/>
      <c r="O890" s="52"/>
      <c r="P890" s="52"/>
      <c r="Q890" s="52"/>
      <c r="U890" s="52"/>
    </row>
    <row r="891">
      <c r="M891" s="52"/>
      <c r="N891" s="52"/>
      <c r="O891" s="52"/>
      <c r="P891" s="52"/>
      <c r="Q891" s="52"/>
      <c r="U891" s="52"/>
    </row>
    <row r="892">
      <c r="M892" s="52"/>
      <c r="N892" s="52"/>
      <c r="O892" s="52"/>
      <c r="P892" s="52"/>
      <c r="Q892" s="52"/>
      <c r="U892" s="52"/>
    </row>
    <row r="893">
      <c r="M893" s="52"/>
      <c r="N893" s="52"/>
      <c r="O893" s="52"/>
      <c r="P893" s="52"/>
      <c r="Q893" s="52"/>
      <c r="U893" s="52"/>
    </row>
    <row r="894">
      <c r="M894" s="52"/>
      <c r="N894" s="52"/>
      <c r="O894" s="52"/>
      <c r="P894" s="52"/>
      <c r="Q894" s="52"/>
      <c r="U894" s="52"/>
    </row>
    <row r="895">
      <c r="M895" s="52"/>
      <c r="N895" s="52"/>
      <c r="O895" s="52"/>
      <c r="P895" s="52"/>
      <c r="Q895" s="52"/>
      <c r="U895" s="52"/>
    </row>
    <row r="896">
      <c r="M896" s="52"/>
      <c r="N896" s="52"/>
      <c r="O896" s="52"/>
      <c r="P896" s="52"/>
      <c r="Q896" s="52"/>
      <c r="U896" s="52"/>
    </row>
    <row r="897">
      <c r="M897" s="52"/>
      <c r="N897" s="52"/>
      <c r="O897" s="52"/>
      <c r="P897" s="52"/>
      <c r="Q897" s="52"/>
      <c r="U897" s="52"/>
    </row>
    <row r="898">
      <c r="M898" s="52"/>
      <c r="N898" s="52"/>
      <c r="O898" s="52"/>
      <c r="P898" s="52"/>
      <c r="Q898" s="52"/>
      <c r="U898" s="52"/>
    </row>
    <row r="899">
      <c r="M899" s="52"/>
      <c r="N899" s="52"/>
      <c r="O899" s="52"/>
      <c r="P899" s="52"/>
      <c r="Q899" s="52"/>
      <c r="U899" s="52"/>
    </row>
    <row r="900">
      <c r="M900" s="52"/>
      <c r="N900" s="52"/>
      <c r="O900" s="52"/>
      <c r="P900" s="52"/>
      <c r="Q900" s="52"/>
      <c r="U900" s="52"/>
    </row>
    <row r="901">
      <c r="M901" s="52"/>
      <c r="N901" s="52"/>
      <c r="O901" s="52"/>
      <c r="P901" s="52"/>
      <c r="Q901" s="52"/>
      <c r="U901" s="52"/>
    </row>
    <row r="902">
      <c r="M902" s="52"/>
      <c r="N902" s="52"/>
      <c r="O902" s="52"/>
      <c r="P902" s="52"/>
      <c r="Q902" s="52"/>
      <c r="U902" s="52"/>
    </row>
    <row r="903">
      <c r="M903" s="52"/>
      <c r="N903" s="52"/>
      <c r="O903" s="52"/>
      <c r="P903" s="52"/>
      <c r="Q903" s="52"/>
      <c r="U903" s="52"/>
    </row>
    <row r="904">
      <c r="M904" s="52"/>
      <c r="N904" s="52"/>
      <c r="O904" s="52"/>
      <c r="P904" s="52"/>
      <c r="Q904" s="52"/>
      <c r="U904" s="52"/>
    </row>
    <row r="905">
      <c r="M905" s="52"/>
      <c r="N905" s="52"/>
      <c r="O905" s="52"/>
      <c r="P905" s="52"/>
      <c r="Q905" s="52"/>
      <c r="U905" s="52"/>
    </row>
    <row r="906">
      <c r="M906" s="52"/>
      <c r="N906" s="52"/>
      <c r="O906" s="52"/>
      <c r="P906" s="52"/>
      <c r="Q906" s="52"/>
      <c r="U906" s="52"/>
    </row>
    <row r="907">
      <c r="M907" s="52"/>
      <c r="N907" s="52"/>
      <c r="O907" s="52"/>
      <c r="P907" s="52"/>
      <c r="Q907" s="52"/>
      <c r="U907" s="52"/>
    </row>
    <row r="908">
      <c r="M908" s="52"/>
      <c r="N908" s="52"/>
      <c r="O908" s="52"/>
      <c r="P908" s="52"/>
      <c r="Q908" s="52"/>
      <c r="U908" s="52"/>
    </row>
    <row r="909">
      <c r="M909" s="52"/>
      <c r="N909" s="52"/>
      <c r="O909" s="52"/>
      <c r="P909" s="52"/>
      <c r="Q909" s="52"/>
      <c r="U909" s="52"/>
    </row>
    <row r="910">
      <c r="M910" s="52"/>
      <c r="N910" s="52"/>
      <c r="O910" s="52"/>
      <c r="P910" s="52"/>
      <c r="Q910" s="52"/>
      <c r="U910" s="52"/>
    </row>
    <row r="911">
      <c r="M911" s="52"/>
      <c r="N911" s="52"/>
      <c r="O911" s="52"/>
      <c r="P911" s="52"/>
      <c r="Q911" s="52"/>
      <c r="U911" s="52"/>
    </row>
    <row r="912">
      <c r="M912" s="52"/>
      <c r="N912" s="52"/>
      <c r="O912" s="52"/>
      <c r="P912" s="52"/>
      <c r="Q912" s="52"/>
      <c r="U912" s="52"/>
    </row>
    <row r="913">
      <c r="M913" s="52"/>
      <c r="N913" s="52"/>
      <c r="O913" s="52"/>
      <c r="P913" s="52"/>
      <c r="Q913" s="52"/>
      <c r="U913" s="52"/>
    </row>
    <row r="914">
      <c r="M914" s="52"/>
      <c r="N914" s="52"/>
      <c r="O914" s="52"/>
      <c r="P914" s="52"/>
      <c r="Q914" s="52"/>
      <c r="U914" s="52"/>
    </row>
    <row r="915">
      <c r="M915" s="52"/>
      <c r="N915" s="52"/>
      <c r="O915" s="52"/>
      <c r="P915" s="52"/>
      <c r="Q915" s="52"/>
      <c r="U915" s="52"/>
    </row>
    <row r="916">
      <c r="M916" s="52"/>
      <c r="N916" s="52"/>
      <c r="O916" s="52"/>
      <c r="P916" s="52"/>
      <c r="Q916" s="52"/>
      <c r="U916" s="52"/>
    </row>
    <row r="917">
      <c r="M917" s="52"/>
      <c r="N917" s="52"/>
      <c r="O917" s="52"/>
      <c r="P917" s="52"/>
      <c r="Q917" s="52"/>
      <c r="U917" s="52"/>
    </row>
    <row r="918">
      <c r="M918" s="52"/>
      <c r="N918" s="52"/>
      <c r="O918" s="52"/>
      <c r="P918" s="52"/>
      <c r="Q918" s="52"/>
      <c r="U918" s="52"/>
    </row>
    <row r="919">
      <c r="M919" s="52"/>
      <c r="N919" s="52"/>
      <c r="O919" s="52"/>
      <c r="P919" s="52"/>
      <c r="Q919" s="52"/>
      <c r="U919" s="52"/>
    </row>
    <row r="920">
      <c r="M920" s="52"/>
      <c r="N920" s="52"/>
      <c r="O920" s="52"/>
      <c r="P920" s="52"/>
      <c r="Q920" s="52"/>
      <c r="U920" s="52"/>
    </row>
    <row r="921">
      <c r="M921" s="52"/>
      <c r="N921" s="52"/>
      <c r="O921" s="52"/>
      <c r="P921" s="52"/>
      <c r="Q921" s="52"/>
      <c r="U921" s="52"/>
    </row>
    <row r="922">
      <c r="M922" s="52"/>
      <c r="N922" s="52"/>
      <c r="O922" s="52"/>
      <c r="P922" s="52"/>
      <c r="Q922" s="52"/>
      <c r="U922" s="52"/>
    </row>
    <row r="923">
      <c r="M923" s="52"/>
      <c r="N923" s="52"/>
      <c r="O923" s="52"/>
      <c r="P923" s="52"/>
      <c r="Q923" s="52"/>
      <c r="U923" s="52"/>
    </row>
    <row r="924">
      <c r="M924" s="52"/>
      <c r="N924" s="52"/>
      <c r="O924" s="52"/>
      <c r="P924" s="52"/>
      <c r="Q924" s="52"/>
      <c r="U924" s="52"/>
    </row>
    <row r="925">
      <c r="M925" s="52"/>
      <c r="N925" s="52"/>
      <c r="O925" s="52"/>
      <c r="P925" s="52"/>
      <c r="Q925" s="52"/>
      <c r="U925" s="52"/>
    </row>
    <row r="926">
      <c r="M926" s="52"/>
      <c r="N926" s="52"/>
      <c r="O926" s="52"/>
      <c r="P926" s="52"/>
      <c r="Q926" s="52"/>
      <c r="U926" s="52"/>
    </row>
    <row r="927">
      <c r="M927" s="52"/>
      <c r="N927" s="52"/>
      <c r="O927" s="52"/>
      <c r="P927" s="52"/>
      <c r="Q927" s="52"/>
      <c r="U927" s="52"/>
    </row>
    <row r="928">
      <c r="M928" s="52"/>
      <c r="N928" s="52"/>
      <c r="O928" s="52"/>
      <c r="P928" s="52"/>
      <c r="Q928" s="52"/>
      <c r="U928" s="52"/>
    </row>
    <row r="929">
      <c r="M929" s="52"/>
      <c r="N929" s="52"/>
      <c r="O929" s="52"/>
      <c r="P929" s="52"/>
      <c r="Q929" s="52"/>
      <c r="U929" s="52"/>
    </row>
    <row r="930">
      <c r="M930" s="52"/>
      <c r="N930" s="52"/>
      <c r="O930" s="52"/>
      <c r="P930" s="52"/>
      <c r="Q930" s="52"/>
      <c r="U930" s="52"/>
    </row>
    <row r="931">
      <c r="M931" s="52"/>
      <c r="N931" s="52"/>
      <c r="O931" s="52"/>
      <c r="P931" s="52"/>
      <c r="Q931" s="52"/>
      <c r="U931" s="52"/>
    </row>
    <row r="932">
      <c r="M932" s="52"/>
      <c r="N932" s="52"/>
      <c r="O932" s="52"/>
      <c r="P932" s="52"/>
      <c r="Q932" s="52"/>
      <c r="U932" s="52"/>
    </row>
    <row r="933">
      <c r="M933" s="52"/>
      <c r="N933" s="52"/>
      <c r="O933" s="52"/>
      <c r="P933" s="52"/>
      <c r="Q933" s="52"/>
      <c r="U933" s="52"/>
    </row>
    <row r="934">
      <c r="M934" s="52"/>
      <c r="N934" s="52"/>
      <c r="O934" s="52"/>
      <c r="P934" s="52"/>
      <c r="Q934" s="52"/>
      <c r="U934" s="52"/>
    </row>
    <row r="935">
      <c r="M935" s="52"/>
      <c r="N935" s="52"/>
      <c r="O935" s="52"/>
      <c r="P935" s="52"/>
      <c r="Q935" s="52"/>
      <c r="U935" s="52"/>
    </row>
    <row r="936">
      <c r="M936" s="52"/>
      <c r="N936" s="52"/>
      <c r="O936" s="52"/>
      <c r="P936" s="52"/>
      <c r="Q936" s="52"/>
      <c r="U936" s="52"/>
    </row>
    <row r="937">
      <c r="M937" s="52"/>
      <c r="N937" s="52"/>
      <c r="O937" s="52"/>
      <c r="P937" s="52"/>
      <c r="Q937" s="52"/>
      <c r="U937" s="52"/>
    </row>
    <row r="938">
      <c r="M938" s="52"/>
      <c r="N938" s="52"/>
      <c r="O938" s="52"/>
      <c r="P938" s="52"/>
      <c r="Q938" s="52"/>
      <c r="U938" s="52"/>
    </row>
    <row r="939">
      <c r="M939" s="52"/>
      <c r="N939" s="52"/>
      <c r="O939" s="52"/>
      <c r="P939" s="52"/>
      <c r="Q939" s="52"/>
      <c r="U939" s="52"/>
    </row>
    <row r="940">
      <c r="M940" s="52"/>
      <c r="N940" s="52"/>
      <c r="O940" s="52"/>
      <c r="P940" s="52"/>
      <c r="Q940" s="52"/>
      <c r="U940" s="52"/>
    </row>
    <row r="941">
      <c r="M941" s="52"/>
      <c r="N941" s="52"/>
      <c r="O941" s="52"/>
      <c r="P941" s="52"/>
      <c r="Q941" s="52"/>
      <c r="U941" s="52"/>
    </row>
    <row r="942">
      <c r="M942" s="52"/>
      <c r="N942" s="52"/>
      <c r="O942" s="52"/>
      <c r="P942" s="52"/>
      <c r="Q942" s="52"/>
      <c r="U942" s="52"/>
    </row>
    <row r="943">
      <c r="M943" s="52"/>
      <c r="N943" s="52"/>
      <c r="O943" s="52"/>
      <c r="P943" s="52"/>
      <c r="Q943" s="52"/>
      <c r="U943" s="52"/>
    </row>
    <row r="944">
      <c r="M944" s="52"/>
      <c r="N944" s="52"/>
      <c r="O944" s="52"/>
      <c r="P944" s="52"/>
      <c r="Q944" s="52"/>
      <c r="U944" s="52"/>
    </row>
    <row r="945">
      <c r="M945" s="52"/>
      <c r="N945" s="52"/>
      <c r="O945" s="52"/>
      <c r="P945" s="52"/>
      <c r="Q945" s="52"/>
      <c r="U945" s="52"/>
    </row>
    <row r="946">
      <c r="M946" s="52"/>
      <c r="N946" s="52"/>
      <c r="O946" s="52"/>
      <c r="P946" s="52"/>
      <c r="Q946" s="52"/>
      <c r="U946" s="52"/>
    </row>
    <row r="947">
      <c r="M947" s="52"/>
      <c r="N947" s="52"/>
      <c r="O947" s="52"/>
      <c r="P947" s="52"/>
      <c r="Q947" s="52"/>
      <c r="U947" s="52"/>
    </row>
    <row r="948">
      <c r="M948" s="52"/>
      <c r="N948" s="52"/>
      <c r="O948" s="52"/>
      <c r="P948" s="52"/>
      <c r="Q948" s="52"/>
      <c r="U948" s="52"/>
    </row>
    <row r="949">
      <c r="M949" s="52"/>
      <c r="N949" s="52"/>
      <c r="O949" s="52"/>
      <c r="P949" s="52"/>
      <c r="Q949" s="52"/>
      <c r="U949" s="52"/>
    </row>
    <row r="950">
      <c r="M950" s="52"/>
      <c r="N950" s="52"/>
      <c r="O950" s="52"/>
      <c r="P950" s="52"/>
      <c r="Q950" s="52"/>
      <c r="U950" s="52"/>
    </row>
    <row r="951">
      <c r="M951" s="52"/>
      <c r="N951" s="52"/>
      <c r="O951" s="52"/>
      <c r="P951" s="52"/>
      <c r="Q951" s="52"/>
      <c r="U951" s="52"/>
    </row>
    <row r="952">
      <c r="M952" s="52"/>
      <c r="N952" s="52"/>
      <c r="O952" s="52"/>
      <c r="P952" s="52"/>
      <c r="Q952" s="52"/>
      <c r="U952" s="52"/>
    </row>
    <row r="953">
      <c r="M953" s="52"/>
      <c r="N953" s="52"/>
      <c r="O953" s="52"/>
      <c r="P953" s="52"/>
      <c r="Q953" s="52"/>
      <c r="U953" s="52"/>
    </row>
    <row r="954">
      <c r="M954" s="52"/>
      <c r="N954" s="52"/>
      <c r="O954" s="52"/>
      <c r="P954" s="52"/>
      <c r="Q954" s="52"/>
      <c r="U954" s="52"/>
    </row>
    <row r="955">
      <c r="M955" s="52"/>
      <c r="N955" s="52"/>
      <c r="O955" s="52"/>
      <c r="P955" s="52"/>
      <c r="Q955" s="52"/>
      <c r="U955" s="52"/>
    </row>
    <row r="956">
      <c r="M956" s="52"/>
      <c r="N956" s="52"/>
      <c r="O956" s="52"/>
      <c r="P956" s="52"/>
      <c r="Q956" s="52"/>
      <c r="U956" s="52"/>
    </row>
    <row r="957">
      <c r="M957" s="52"/>
      <c r="N957" s="52"/>
      <c r="O957" s="52"/>
      <c r="P957" s="52"/>
      <c r="Q957" s="52"/>
      <c r="U957" s="52"/>
    </row>
    <row r="958">
      <c r="M958" s="52"/>
      <c r="N958" s="52"/>
      <c r="O958" s="52"/>
      <c r="P958" s="52"/>
      <c r="Q958" s="52"/>
      <c r="U958" s="52"/>
    </row>
    <row r="959">
      <c r="M959" s="52"/>
      <c r="N959" s="52"/>
      <c r="O959" s="52"/>
      <c r="P959" s="52"/>
      <c r="Q959" s="52"/>
      <c r="U959" s="52"/>
    </row>
    <row r="960">
      <c r="M960" s="52"/>
      <c r="N960" s="52"/>
      <c r="O960" s="52"/>
      <c r="P960" s="52"/>
      <c r="Q960" s="52"/>
      <c r="U960" s="52"/>
    </row>
    <row r="961">
      <c r="M961" s="52"/>
      <c r="N961" s="52"/>
      <c r="O961" s="52"/>
      <c r="P961" s="52"/>
      <c r="Q961" s="52"/>
      <c r="U961" s="52"/>
    </row>
    <row r="962">
      <c r="M962" s="52"/>
      <c r="N962" s="52"/>
      <c r="O962" s="52"/>
      <c r="P962" s="52"/>
      <c r="Q962" s="52"/>
      <c r="U962" s="52"/>
    </row>
    <row r="963">
      <c r="M963" s="52"/>
      <c r="N963" s="52"/>
      <c r="O963" s="52"/>
      <c r="P963" s="52"/>
      <c r="Q963" s="52"/>
      <c r="U963" s="52"/>
    </row>
    <row r="964">
      <c r="M964" s="52"/>
      <c r="N964" s="52"/>
      <c r="O964" s="52"/>
      <c r="P964" s="52"/>
      <c r="Q964" s="52"/>
      <c r="U964" s="52"/>
    </row>
    <row r="965">
      <c r="M965" s="52"/>
      <c r="N965" s="52"/>
      <c r="O965" s="52"/>
      <c r="P965" s="52"/>
      <c r="Q965" s="52"/>
      <c r="U965" s="52"/>
    </row>
    <row r="966">
      <c r="M966" s="52"/>
      <c r="N966" s="52"/>
      <c r="O966" s="52"/>
      <c r="P966" s="52"/>
      <c r="Q966" s="52"/>
      <c r="U966" s="52"/>
    </row>
    <row r="967">
      <c r="M967" s="52"/>
      <c r="N967" s="52"/>
      <c r="O967" s="52"/>
      <c r="P967" s="52"/>
      <c r="Q967" s="52"/>
      <c r="U967" s="52"/>
    </row>
    <row r="968">
      <c r="M968" s="52"/>
      <c r="N968" s="52"/>
      <c r="O968" s="52"/>
      <c r="P968" s="52"/>
      <c r="Q968" s="52"/>
      <c r="U968" s="52"/>
    </row>
    <row r="969">
      <c r="M969" s="52"/>
      <c r="N969" s="52"/>
      <c r="O969" s="52"/>
      <c r="P969" s="52"/>
      <c r="Q969" s="52"/>
      <c r="U969" s="52"/>
    </row>
    <row r="970">
      <c r="M970" s="52"/>
      <c r="N970" s="52"/>
      <c r="O970" s="52"/>
      <c r="P970" s="52"/>
      <c r="Q970" s="52"/>
      <c r="U970" s="52"/>
    </row>
    <row r="971">
      <c r="M971" s="52"/>
      <c r="N971" s="52"/>
      <c r="O971" s="52"/>
      <c r="P971" s="52"/>
      <c r="Q971" s="52"/>
      <c r="U971" s="52"/>
    </row>
    <row r="972">
      <c r="M972" s="52"/>
      <c r="N972" s="52"/>
      <c r="O972" s="52"/>
      <c r="P972" s="52"/>
      <c r="Q972" s="52"/>
      <c r="U972" s="52"/>
    </row>
    <row r="973">
      <c r="M973" s="52"/>
      <c r="N973" s="52"/>
      <c r="O973" s="52"/>
      <c r="P973" s="52"/>
      <c r="Q973" s="52"/>
      <c r="U973" s="52"/>
    </row>
    <row r="974">
      <c r="M974" s="52"/>
      <c r="N974" s="52"/>
      <c r="O974" s="52"/>
      <c r="P974" s="52"/>
      <c r="Q974" s="52"/>
      <c r="U974" s="52"/>
    </row>
    <row r="975">
      <c r="M975" s="52"/>
      <c r="N975" s="52"/>
      <c r="O975" s="52"/>
      <c r="P975" s="52"/>
      <c r="Q975" s="52"/>
      <c r="U975" s="52"/>
    </row>
    <row r="976">
      <c r="M976" s="52"/>
      <c r="N976" s="52"/>
      <c r="O976" s="52"/>
      <c r="P976" s="52"/>
      <c r="Q976" s="52"/>
      <c r="U976" s="52"/>
    </row>
    <row r="977">
      <c r="M977" s="52"/>
      <c r="N977" s="52"/>
      <c r="O977" s="52"/>
      <c r="P977" s="52"/>
      <c r="Q977" s="52"/>
      <c r="U977" s="52"/>
    </row>
    <row r="978">
      <c r="M978" s="52"/>
      <c r="N978" s="52"/>
      <c r="O978" s="52"/>
      <c r="P978" s="52"/>
      <c r="Q978" s="52"/>
      <c r="U978" s="52"/>
    </row>
    <row r="979">
      <c r="M979" s="52"/>
      <c r="N979" s="52"/>
      <c r="O979" s="52"/>
      <c r="P979" s="52"/>
      <c r="Q979" s="52"/>
      <c r="U979" s="52"/>
    </row>
    <row r="980">
      <c r="M980" s="52"/>
      <c r="N980" s="52"/>
      <c r="O980" s="52"/>
      <c r="P980" s="52"/>
      <c r="Q980" s="52"/>
      <c r="U980" s="52"/>
    </row>
    <row r="981">
      <c r="M981" s="52"/>
      <c r="N981" s="52"/>
      <c r="O981" s="52"/>
      <c r="P981" s="52"/>
      <c r="Q981" s="52"/>
      <c r="U981" s="52"/>
    </row>
    <row r="982">
      <c r="M982" s="52"/>
      <c r="N982" s="52"/>
      <c r="O982" s="52"/>
      <c r="P982" s="52"/>
      <c r="Q982" s="52"/>
      <c r="U982" s="52"/>
    </row>
    <row r="983">
      <c r="M983" s="52"/>
      <c r="N983" s="52"/>
      <c r="O983" s="52"/>
      <c r="P983" s="52"/>
      <c r="Q983" s="52"/>
      <c r="U983" s="52"/>
    </row>
    <row r="984">
      <c r="M984" s="52"/>
      <c r="N984" s="52"/>
      <c r="O984" s="52"/>
      <c r="P984" s="52"/>
      <c r="Q984" s="52"/>
      <c r="U984" s="52"/>
    </row>
    <row r="985">
      <c r="M985" s="52"/>
      <c r="N985" s="52"/>
      <c r="O985" s="52"/>
      <c r="P985" s="52"/>
      <c r="Q985" s="52"/>
      <c r="U985" s="52"/>
    </row>
    <row r="986">
      <c r="M986" s="52"/>
      <c r="N986" s="52"/>
      <c r="O986" s="52"/>
      <c r="P986" s="52"/>
      <c r="Q986" s="52"/>
      <c r="U986" s="52"/>
    </row>
    <row r="987">
      <c r="M987" s="52"/>
      <c r="N987" s="52"/>
      <c r="O987" s="52"/>
      <c r="P987" s="52"/>
      <c r="Q987" s="52"/>
      <c r="U987" s="52"/>
    </row>
    <row r="988">
      <c r="M988" s="52"/>
      <c r="N988" s="52"/>
      <c r="O988" s="52"/>
      <c r="P988" s="52"/>
      <c r="Q988" s="52"/>
      <c r="U988" s="52"/>
    </row>
    <row r="989">
      <c r="M989" s="52"/>
      <c r="N989" s="52"/>
      <c r="O989" s="52"/>
      <c r="P989" s="52"/>
      <c r="Q989" s="52"/>
      <c r="U989" s="52"/>
    </row>
    <row r="990">
      <c r="M990" s="52"/>
      <c r="N990" s="52"/>
      <c r="O990" s="52"/>
      <c r="P990" s="52"/>
      <c r="Q990" s="52"/>
      <c r="U990" s="52"/>
    </row>
    <row r="991">
      <c r="M991" s="52"/>
      <c r="N991" s="52"/>
      <c r="O991" s="52"/>
      <c r="P991" s="52"/>
      <c r="Q991" s="52"/>
      <c r="U991" s="52"/>
    </row>
    <row r="992">
      <c r="M992" s="52"/>
      <c r="N992" s="52"/>
      <c r="O992" s="52"/>
      <c r="P992" s="52"/>
      <c r="Q992" s="52"/>
      <c r="U992" s="52"/>
    </row>
    <row r="993">
      <c r="M993" s="52"/>
      <c r="N993" s="52"/>
      <c r="O993" s="52"/>
      <c r="P993" s="52"/>
      <c r="Q993" s="52"/>
      <c r="U993" s="52"/>
    </row>
    <row r="994">
      <c r="M994" s="52"/>
      <c r="N994" s="52"/>
      <c r="O994" s="52"/>
      <c r="P994" s="52"/>
      <c r="Q994" s="52"/>
      <c r="U994" s="52"/>
    </row>
    <row r="995">
      <c r="M995" s="52"/>
      <c r="N995" s="52"/>
      <c r="O995" s="52"/>
      <c r="P995" s="52"/>
      <c r="Q995" s="52"/>
      <c r="U995" s="52"/>
    </row>
    <row r="996">
      <c r="M996" s="52"/>
      <c r="N996" s="52"/>
      <c r="O996" s="52"/>
      <c r="P996" s="52"/>
      <c r="Q996" s="52"/>
      <c r="U996" s="52"/>
    </row>
    <row r="997">
      <c r="M997" s="52"/>
      <c r="N997" s="52"/>
      <c r="O997" s="52"/>
      <c r="P997" s="52"/>
      <c r="Q997" s="52"/>
      <c r="U997" s="52"/>
    </row>
    <row r="998">
      <c r="M998" s="52"/>
      <c r="N998" s="52"/>
      <c r="O998" s="52"/>
      <c r="P998" s="52"/>
      <c r="Q998" s="52"/>
      <c r="U998" s="52"/>
    </row>
    <row r="999">
      <c r="M999" s="52"/>
      <c r="N999" s="52"/>
      <c r="O999" s="52"/>
      <c r="P999" s="52"/>
      <c r="Q999" s="52"/>
      <c r="U999" s="52"/>
    </row>
    <row r="1000">
      <c r="M1000" s="52"/>
      <c r="N1000" s="52"/>
      <c r="O1000" s="52"/>
      <c r="P1000" s="52"/>
      <c r="Q1000" s="52"/>
      <c r="U1000" s="52"/>
    </row>
  </sheetData>
  <mergeCells count="7">
    <mergeCell ref="A1:A2"/>
    <mergeCell ref="B1:B2"/>
    <mergeCell ref="C1:G1"/>
    <mergeCell ref="H1:I1"/>
    <mergeCell ref="J1:J2"/>
    <mergeCell ref="K1:O1"/>
    <mergeCell ref="P1:U1"/>
  </mergeCells>
  <conditionalFormatting sqref="N3:N9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G3:G9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3:H9">
    <cfRule type="colorScale" priority="3">
      <colorScale>
        <cfvo type="formula" val="0"/>
        <cfvo type="max"/>
        <color rgb="FFFFFFFF"/>
        <color rgb="FF57BB8A"/>
      </colorScale>
    </cfRule>
  </conditionalFormatting>
  <conditionalFormatting sqref="I3:I9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J3:J9">
    <cfRule type="colorScale" priority="5">
      <colorScale>
        <cfvo type="formula" val="0"/>
        <cfvo type="max"/>
        <color rgb="FFFFFFFF"/>
        <color rgb="FF57BB8A"/>
      </colorScale>
    </cfRule>
  </conditionalFormatting>
  <conditionalFormatting sqref="K3:K9">
    <cfRule type="colorScale" priority="6">
      <colorScale>
        <cfvo type="formula" val="0"/>
        <cfvo type="max"/>
        <color rgb="FFFFFFFF"/>
        <color rgb="FF57BB8A"/>
      </colorScale>
    </cfRule>
  </conditionalFormatting>
  <conditionalFormatting sqref="L3:L9">
    <cfRule type="colorScale" priority="7">
      <colorScale>
        <cfvo type="formula" val="0"/>
        <cfvo type="max"/>
        <color rgb="FFFFFFFF"/>
        <color rgb="FFE67C73"/>
      </colorScale>
    </cfRule>
  </conditionalFormatting>
  <conditionalFormatting sqref="C3:C9">
    <cfRule type="colorScale" priority="8">
      <colorScale>
        <cfvo type="formula" val="0"/>
        <cfvo type="max"/>
        <color rgb="FFFFFFFF"/>
        <color rgb="FFFFD666"/>
      </colorScale>
    </cfRule>
  </conditionalFormatting>
  <conditionalFormatting sqref="D3:D9">
    <cfRule type="colorScale" priority="9">
      <colorScale>
        <cfvo type="formula" val="0"/>
        <cfvo type="max"/>
        <color rgb="FFFFFFFF"/>
        <color rgb="FF57BB8A"/>
      </colorScale>
    </cfRule>
  </conditionalFormatting>
  <conditionalFormatting sqref="E3:E9">
    <cfRule type="colorScale" priority="10">
      <colorScale>
        <cfvo type="formula" val="0"/>
        <cfvo type="max"/>
        <color rgb="FFFFFFFF"/>
        <color rgb="FFE67C73"/>
      </colorScale>
    </cfRule>
  </conditionalFormatting>
  <conditionalFormatting sqref="F3:F9">
    <cfRule type="colorScale" priority="11">
      <colorScale>
        <cfvo type="formula" val="0"/>
        <cfvo type="max"/>
        <color rgb="FFFFFFFF"/>
        <color rgb="FF57BB8A"/>
      </colorScale>
    </cfRule>
  </conditionalFormatting>
  <conditionalFormatting sqref="M3:M9">
    <cfRule type="colorScale" priority="12">
      <colorScale>
        <cfvo type="formula" val="0"/>
        <cfvo type="max"/>
        <color rgb="FFFFFFFF"/>
        <color rgb="FFFFD666"/>
      </colorScale>
    </cfRule>
  </conditionalFormatting>
  <conditionalFormatting sqref="O3:O9">
    <cfRule type="colorScale" priority="13">
      <colorScale>
        <cfvo type="formula" val="0"/>
        <cfvo type="formula" val="1"/>
        <color rgb="FFFFFFFF"/>
        <color rgb="FF57BB8A"/>
      </colorScale>
    </cfRule>
  </conditionalFormatting>
  <conditionalFormatting sqref="P3:P9">
    <cfRule type="colorScale" priority="14">
      <colorScale>
        <cfvo type="formula" val="0"/>
        <cfvo type="max"/>
        <color rgb="FFFFFFFF"/>
        <color rgb="FFFFD666"/>
      </colorScale>
    </cfRule>
  </conditionalFormatting>
  <conditionalFormatting sqref="U3:U9">
    <cfRule type="colorScale" priority="15">
      <colorScale>
        <cfvo type="formula" val="0"/>
        <cfvo type="formula" val="2"/>
        <cfvo type="formula" val="3"/>
        <color rgb="FFE67C73"/>
        <color rgb="FFFFFFFF"/>
        <color rgb="FF57BB8A"/>
      </colorScale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7.63"/>
    <col customWidth="1" min="4" max="4" width="5.63"/>
    <col customWidth="1" min="5" max="5" width="6.88"/>
    <col customWidth="1" min="6" max="6" width="8.38"/>
    <col customWidth="1" min="7" max="7" width="15.5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1" t="s">
        <v>4</v>
      </c>
      <c r="K1" s="6" t="s">
        <v>5</v>
      </c>
      <c r="L1" s="4"/>
      <c r="M1" s="4"/>
      <c r="N1" s="4"/>
      <c r="O1" s="5"/>
      <c r="P1" s="30" t="s">
        <v>6</v>
      </c>
      <c r="Q1" s="4"/>
      <c r="R1" s="4"/>
      <c r="S1" s="4"/>
      <c r="T1" s="4"/>
      <c r="U1" s="5"/>
    </row>
    <row r="2">
      <c r="A2" s="9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2" t="s">
        <v>13</v>
      </c>
      <c r="I2" s="12" t="s">
        <v>14</v>
      </c>
      <c r="J2" s="9"/>
      <c r="K2" s="10" t="s">
        <v>15</v>
      </c>
      <c r="L2" s="12" t="s">
        <v>10</v>
      </c>
      <c r="M2" s="10" t="s">
        <v>16</v>
      </c>
      <c r="N2" s="10" t="s">
        <v>12</v>
      </c>
      <c r="O2" s="10" t="s">
        <v>18</v>
      </c>
      <c r="P2" s="15" t="s">
        <v>8</v>
      </c>
      <c r="Q2" s="15">
        <v>0.0</v>
      </c>
      <c r="R2" s="15">
        <v>1.0</v>
      </c>
      <c r="S2" s="15">
        <v>2.0</v>
      </c>
      <c r="T2" s="15">
        <v>3.0</v>
      </c>
      <c r="U2" s="15" t="s">
        <v>19</v>
      </c>
    </row>
    <row r="3">
      <c r="A3" s="18" t="s">
        <v>21</v>
      </c>
      <c r="B3" s="18" t="s">
        <v>83</v>
      </c>
      <c r="C3" s="10">
        <v>8.0</v>
      </c>
      <c r="D3" s="10">
        <v>1.0</v>
      </c>
      <c r="E3" s="10"/>
      <c r="F3" s="35"/>
      <c r="G3" s="35">
        <f t="shared" ref="G3:G9" si="1">IFS(C3=0, "N/A", C3&lt;&gt;0,(D3-E3)/C3 )</f>
        <v>0.125</v>
      </c>
      <c r="H3" s="35"/>
      <c r="I3" s="10"/>
      <c r="J3" s="10"/>
      <c r="K3" s="35"/>
      <c r="L3" s="10"/>
      <c r="M3" s="10">
        <v>2.0</v>
      </c>
      <c r="N3" s="35">
        <f t="shared" ref="N3:N9" si="2">ifs(M3=0,"N/A",M3&lt;&gt;0,(M3-L3) /M3)</f>
        <v>1</v>
      </c>
      <c r="O3" s="35">
        <f t="shared" ref="O3:O9" si="3">IFS(M3=0, "N/A", M3&lt;&gt;0, K3/M3)</f>
        <v>0</v>
      </c>
      <c r="P3" s="10">
        <f t="shared" ref="P3:P9" si="4">sum(Q3,R3,S3,T3)</f>
        <v>4</v>
      </c>
      <c r="Q3" s="35"/>
      <c r="R3" s="10"/>
      <c r="S3" s="10">
        <v>1.0</v>
      </c>
      <c r="T3" s="10">
        <v>3.0</v>
      </c>
      <c r="U3" s="10">
        <f t="shared" ref="U3:U9" si="5">ifs(P3=0, "N/A",P3&lt;&gt;0,(R3 + S3*2 +T3*3)/P3)</f>
        <v>2.75</v>
      </c>
    </row>
    <row r="4">
      <c r="A4" s="21" t="s">
        <v>24</v>
      </c>
      <c r="B4" s="21" t="s">
        <v>84</v>
      </c>
      <c r="C4" s="10">
        <v>3.0</v>
      </c>
      <c r="D4" s="10">
        <v>2.0</v>
      </c>
      <c r="E4" s="10"/>
      <c r="F4" s="35"/>
      <c r="G4" s="35">
        <f t="shared" si="1"/>
        <v>0.6666666667</v>
      </c>
      <c r="H4" s="10"/>
      <c r="I4" s="10"/>
      <c r="J4" s="10">
        <v>5.0</v>
      </c>
      <c r="K4" s="35"/>
      <c r="L4" s="10"/>
      <c r="M4" s="10">
        <v>3.0</v>
      </c>
      <c r="N4" s="35">
        <f t="shared" si="2"/>
        <v>1</v>
      </c>
      <c r="O4" s="35">
        <f t="shared" si="3"/>
        <v>0</v>
      </c>
      <c r="P4" s="10">
        <f t="shared" si="4"/>
        <v>7</v>
      </c>
      <c r="Q4" s="10">
        <v>1.0</v>
      </c>
      <c r="R4" s="10">
        <v>1.0</v>
      </c>
      <c r="S4" s="10">
        <v>1.0</v>
      </c>
      <c r="T4" s="10">
        <v>4.0</v>
      </c>
      <c r="U4" s="10">
        <f t="shared" si="5"/>
        <v>2.142857143</v>
      </c>
    </row>
    <row r="5">
      <c r="A5" s="22" t="s">
        <v>26</v>
      </c>
      <c r="B5" s="22" t="s">
        <v>42</v>
      </c>
      <c r="C5" s="10">
        <v>1.0</v>
      </c>
      <c r="D5" s="10"/>
      <c r="E5" s="10"/>
      <c r="F5" s="10">
        <v>8.0</v>
      </c>
      <c r="G5" s="35">
        <f t="shared" si="1"/>
        <v>0</v>
      </c>
      <c r="H5" s="10"/>
      <c r="I5" s="10"/>
      <c r="J5" s="10"/>
      <c r="K5" s="10"/>
      <c r="L5" s="35"/>
      <c r="M5" s="10">
        <v>4.0</v>
      </c>
      <c r="N5" s="35">
        <f t="shared" si="2"/>
        <v>1</v>
      </c>
      <c r="O5" s="35">
        <f t="shared" si="3"/>
        <v>0</v>
      </c>
      <c r="P5" s="10">
        <f t="shared" si="4"/>
        <v>0</v>
      </c>
      <c r="Q5" s="35"/>
      <c r="R5" s="10"/>
      <c r="S5" s="35"/>
      <c r="T5" s="10"/>
      <c r="U5" s="10" t="str">
        <f t="shared" si="5"/>
        <v>N/A</v>
      </c>
    </row>
    <row r="6">
      <c r="A6" s="23" t="s">
        <v>28</v>
      </c>
      <c r="B6" s="23" t="s">
        <v>43</v>
      </c>
      <c r="C6" s="10">
        <v>6.0</v>
      </c>
      <c r="D6" s="10">
        <v>5.0</v>
      </c>
      <c r="E6" s="10">
        <v>1.0</v>
      </c>
      <c r="F6" s="35"/>
      <c r="G6" s="35">
        <f t="shared" si="1"/>
        <v>0.6666666667</v>
      </c>
      <c r="H6" s="35"/>
      <c r="I6" s="35"/>
      <c r="J6" s="10"/>
      <c r="K6" s="10"/>
      <c r="L6" s="10"/>
      <c r="M6" s="10">
        <v>1.0</v>
      </c>
      <c r="N6" s="35">
        <f t="shared" si="2"/>
        <v>1</v>
      </c>
      <c r="O6" s="35">
        <f t="shared" si="3"/>
        <v>0</v>
      </c>
      <c r="P6" s="10">
        <f t="shared" si="4"/>
        <v>3</v>
      </c>
      <c r="Q6" s="10"/>
      <c r="R6" s="10">
        <v>1.0</v>
      </c>
      <c r="S6" s="10">
        <v>2.0</v>
      </c>
      <c r="T6" s="10"/>
      <c r="U6" s="10">
        <f t="shared" si="5"/>
        <v>1.666666667</v>
      </c>
    </row>
    <row r="7">
      <c r="A7" s="24" t="s">
        <v>30</v>
      </c>
      <c r="B7" s="24" t="s">
        <v>85</v>
      </c>
      <c r="C7" s="10">
        <v>7.0</v>
      </c>
      <c r="D7" s="10">
        <v>2.0</v>
      </c>
      <c r="E7" s="10"/>
      <c r="F7" s="35"/>
      <c r="G7" s="35">
        <f t="shared" si="1"/>
        <v>0.2857142857</v>
      </c>
      <c r="H7" s="35"/>
      <c r="I7" s="35"/>
      <c r="J7" s="10">
        <v>2.0</v>
      </c>
      <c r="K7" s="35"/>
      <c r="L7" s="10"/>
      <c r="M7" s="10">
        <v>5.0</v>
      </c>
      <c r="N7" s="35">
        <f t="shared" si="2"/>
        <v>1</v>
      </c>
      <c r="O7" s="35">
        <f t="shared" si="3"/>
        <v>0</v>
      </c>
      <c r="P7" s="10">
        <f t="shared" si="4"/>
        <v>4</v>
      </c>
      <c r="Q7" s="10"/>
      <c r="R7" s="35"/>
      <c r="S7" s="10"/>
      <c r="T7" s="10">
        <v>4.0</v>
      </c>
      <c r="U7" s="10">
        <f t="shared" si="5"/>
        <v>3</v>
      </c>
    </row>
    <row r="8">
      <c r="A8" s="25" t="s">
        <v>32</v>
      </c>
      <c r="B8" s="25" t="s">
        <v>45</v>
      </c>
      <c r="C8" s="10">
        <v>4.0</v>
      </c>
      <c r="D8" s="10">
        <v>1.0</v>
      </c>
      <c r="E8" s="10">
        <v>2.0</v>
      </c>
      <c r="F8" s="35"/>
      <c r="G8" s="35">
        <f t="shared" si="1"/>
        <v>-0.25</v>
      </c>
      <c r="H8" s="35"/>
      <c r="I8" s="10"/>
      <c r="J8" s="10">
        <v>1.0</v>
      </c>
      <c r="K8" s="35"/>
      <c r="L8" s="35"/>
      <c r="M8" s="10">
        <v>5.0</v>
      </c>
      <c r="N8" s="35">
        <f t="shared" si="2"/>
        <v>1</v>
      </c>
      <c r="O8" s="35">
        <f t="shared" si="3"/>
        <v>0</v>
      </c>
      <c r="P8" s="10">
        <f t="shared" si="4"/>
        <v>4</v>
      </c>
      <c r="Q8" s="10">
        <v>2.0</v>
      </c>
      <c r="R8" s="10">
        <v>1.0</v>
      </c>
      <c r="S8" s="35"/>
      <c r="T8" s="10">
        <v>1.0</v>
      </c>
      <c r="U8" s="10">
        <f t="shared" si="5"/>
        <v>1</v>
      </c>
    </row>
    <row r="9">
      <c r="A9" s="26" t="s">
        <v>34</v>
      </c>
      <c r="B9" s="26" t="s">
        <v>41</v>
      </c>
      <c r="C9" s="10">
        <v>4.0</v>
      </c>
      <c r="D9" s="10">
        <v>1.0</v>
      </c>
      <c r="E9" s="10">
        <v>1.0</v>
      </c>
      <c r="F9" s="35"/>
      <c r="G9" s="35">
        <f t="shared" si="1"/>
        <v>0</v>
      </c>
      <c r="H9" s="35"/>
      <c r="I9" s="35"/>
      <c r="J9" s="10"/>
      <c r="K9" s="35"/>
      <c r="L9" s="10">
        <v>1.0</v>
      </c>
      <c r="M9" s="10">
        <v>3.0</v>
      </c>
      <c r="N9" s="35">
        <f t="shared" si="2"/>
        <v>0.6666666667</v>
      </c>
      <c r="O9" s="35">
        <f t="shared" si="3"/>
        <v>0</v>
      </c>
      <c r="P9" s="10">
        <f t="shared" si="4"/>
        <v>2</v>
      </c>
      <c r="Q9" s="35"/>
      <c r="R9" s="10">
        <v>1.0</v>
      </c>
      <c r="S9" s="10"/>
      <c r="T9" s="10">
        <v>1.0</v>
      </c>
      <c r="U9" s="10">
        <f t="shared" si="5"/>
        <v>2</v>
      </c>
    </row>
    <row r="10">
      <c r="M10" s="52"/>
      <c r="N10" s="52"/>
      <c r="O10" s="52"/>
      <c r="P10" s="52"/>
      <c r="Q10" s="52"/>
      <c r="U10" s="52"/>
    </row>
    <row r="11">
      <c r="M11" s="52"/>
      <c r="N11" s="52"/>
      <c r="O11" s="52"/>
      <c r="P11" s="52"/>
      <c r="Q11" s="52"/>
      <c r="U11" s="52"/>
    </row>
    <row r="12">
      <c r="M12" s="52"/>
      <c r="N12" s="52"/>
      <c r="O12" s="52"/>
      <c r="P12" s="52"/>
      <c r="Q12" s="52"/>
      <c r="U12" s="52"/>
    </row>
    <row r="13">
      <c r="M13" s="52"/>
      <c r="N13" s="52"/>
      <c r="O13" s="52"/>
      <c r="P13" s="52"/>
      <c r="Q13" s="52"/>
      <c r="U13" s="52"/>
    </row>
    <row r="14">
      <c r="M14" s="52"/>
      <c r="N14" s="52"/>
      <c r="O14" s="52"/>
      <c r="P14" s="52"/>
      <c r="Q14" s="52"/>
      <c r="U14" s="52"/>
    </row>
    <row r="15">
      <c r="M15" s="52"/>
      <c r="N15" s="52"/>
      <c r="O15" s="52"/>
      <c r="P15" s="52"/>
      <c r="Q15" s="52"/>
      <c r="U15" s="52"/>
    </row>
    <row r="16">
      <c r="M16" s="52"/>
      <c r="N16" s="52"/>
      <c r="O16" s="52"/>
      <c r="P16" s="52"/>
      <c r="Q16" s="52"/>
      <c r="U16" s="52"/>
    </row>
    <row r="17">
      <c r="M17" s="52"/>
      <c r="N17" s="52"/>
      <c r="O17" s="52"/>
      <c r="P17" s="52"/>
      <c r="Q17" s="52"/>
      <c r="U17" s="52"/>
    </row>
    <row r="18">
      <c r="M18" s="52"/>
      <c r="N18" s="52"/>
      <c r="O18" s="52"/>
      <c r="P18" s="52"/>
      <c r="Q18" s="52"/>
      <c r="U18" s="52"/>
    </row>
    <row r="19">
      <c r="M19" s="52"/>
      <c r="N19" s="52"/>
      <c r="O19" s="52"/>
      <c r="P19" s="52"/>
      <c r="Q19" s="52"/>
      <c r="U19" s="52"/>
    </row>
    <row r="20">
      <c r="M20" s="52"/>
      <c r="N20" s="52"/>
      <c r="O20" s="52"/>
      <c r="P20" s="52"/>
      <c r="Q20" s="52"/>
      <c r="U20" s="52"/>
    </row>
    <row r="21">
      <c r="M21" s="52"/>
      <c r="N21" s="52"/>
      <c r="O21" s="52"/>
      <c r="P21" s="52"/>
      <c r="Q21" s="52"/>
      <c r="U21" s="52"/>
    </row>
    <row r="22">
      <c r="M22" s="52"/>
      <c r="N22" s="52"/>
      <c r="O22" s="52"/>
      <c r="P22" s="52"/>
      <c r="Q22" s="52"/>
      <c r="U22" s="52"/>
    </row>
    <row r="23">
      <c r="M23" s="52"/>
      <c r="N23" s="52"/>
      <c r="O23" s="52"/>
      <c r="P23" s="52"/>
      <c r="Q23" s="52"/>
      <c r="U23" s="52"/>
    </row>
    <row r="24">
      <c r="M24" s="52"/>
      <c r="N24" s="52"/>
      <c r="O24" s="52"/>
      <c r="P24" s="52"/>
      <c r="Q24" s="52"/>
      <c r="U24" s="52"/>
    </row>
    <row r="25">
      <c r="M25" s="52"/>
      <c r="N25" s="52"/>
      <c r="O25" s="52"/>
      <c r="P25" s="52"/>
      <c r="Q25" s="52"/>
      <c r="U25" s="52"/>
    </row>
    <row r="26">
      <c r="M26" s="52"/>
      <c r="N26" s="52"/>
      <c r="O26" s="52"/>
      <c r="P26" s="52"/>
      <c r="Q26" s="52"/>
      <c r="U26" s="52"/>
    </row>
    <row r="27">
      <c r="M27" s="52"/>
      <c r="N27" s="52"/>
      <c r="O27" s="52"/>
      <c r="P27" s="52"/>
      <c r="Q27" s="52"/>
      <c r="U27" s="52"/>
    </row>
    <row r="28">
      <c r="M28" s="52"/>
      <c r="N28" s="52"/>
      <c r="O28" s="52"/>
      <c r="P28" s="52"/>
      <c r="Q28" s="52"/>
      <c r="U28" s="52"/>
    </row>
    <row r="29">
      <c r="M29" s="52"/>
      <c r="N29" s="52"/>
      <c r="O29" s="52"/>
      <c r="P29" s="52"/>
      <c r="Q29" s="52"/>
      <c r="U29" s="52"/>
    </row>
    <row r="30">
      <c r="M30" s="52"/>
      <c r="N30" s="52"/>
      <c r="O30" s="52"/>
      <c r="P30" s="52"/>
      <c r="Q30" s="52"/>
      <c r="U30" s="52"/>
    </row>
    <row r="31">
      <c r="M31" s="52"/>
      <c r="N31" s="52"/>
      <c r="O31" s="52"/>
      <c r="P31" s="52"/>
      <c r="Q31" s="52"/>
      <c r="U31" s="52"/>
    </row>
    <row r="32">
      <c r="M32" s="52"/>
      <c r="N32" s="52"/>
      <c r="O32" s="52"/>
      <c r="P32" s="52"/>
      <c r="Q32" s="52"/>
      <c r="U32" s="52"/>
    </row>
    <row r="33">
      <c r="M33" s="52"/>
      <c r="N33" s="52"/>
      <c r="O33" s="52"/>
      <c r="P33" s="52"/>
      <c r="Q33" s="52"/>
      <c r="U33" s="52"/>
    </row>
    <row r="34">
      <c r="M34" s="52"/>
      <c r="N34" s="52"/>
      <c r="O34" s="52"/>
      <c r="P34" s="52"/>
      <c r="Q34" s="52"/>
      <c r="U34" s="52"/>
    </row>
    <row r="35">
      <c r="M35" s="52"/>
      <c r="N35" s="52"/>
      <c r="O35" s="52"/>
      <c r="P35" s="52"/>
      <c r="Q35" s="52"/>
      <c r="U35" s="52"/>
    </row>
    <row r="36">
      <c r="M36" s="52"/>
      <c r="N36" s="52"/>
      <c r="O36" s="52"/>
      <c r="P36" s="52"/>
      <c r="Q36" s="52"/>
      <c r="U36" s="52"/>
    </row>
    <row r="37">
      <c r="M37" s="52"/>
      <c r="N37" s="52"/>
      <c r="O37" s="52"/>
      <c r="P37" s="52"/>
      <c r="Q37" s="52"/>
      <c r="U37" s="52"/>
    </row>
    <row r="38">
      <c r="M38" s="52"/>
      <c r="N38" s="52"/>
      <c r="O38" s="52"/>
      <c r="P38" s="52"/>
      <c r="Q38" s="52"/>
      <c r="U38" s="52"/>
    </row>
    <row r="39">
      <c r="M39" s="52"/>
      <c r="N39" s="52"/>
      <c r="O39" s="52"/>
      <c r="P39" s="52"/>
      <c r="Q39" s="52"/>
      <c r="U39" s="52"/>
    </row>
    <row r="40">
      <c r="M40" s="52"/>
      <c r="N40" s="52"/>
      <c r="O40" s="52"/>
      <c r="P40" s="52"/>
      <c r="Q40" s="52"/>
      <c r="U40" s="52"/>
    </row>
    <row r="41">
      <c r="M41" s="52"/>
      <c r="N41" s="52"/>
      <c r="O41" s="52"/>
      <c r="P41" s="52"/>
      <c r="Q41" s="52"/>
      <c r="U41" s="52"/>
    </row>
    <row r="42">
      <c r="M42" s="52"/>
      <c r="N42" s="52"/>
      <c r="O42" s="52"/>
      <c r="P42" s="52"/>
      <c r="Q42" s="52"/>
      <c r="U42" s="52"/>
    </row>
    <row r="43">
      <c r="M43" s="52"/>
      <c r="N43" s="52"/>
      <c r="O43" s="52"/>
      <c r="P43" s="52"/>
      <c r="Q43" s="52"/>
      <c r="U43" s="52"/>
    </row>
    <row r="44">
      <c r="M44" s="52"/>
      <c r="N44" s="52"/>
      <c r="O44" s="52"/>
      <c r="P44" s="52"/>
      <c r="Q44" s="52"/>
      <c r="U44" s="52"/>
    </row>
    <row r="45">
      <c r="M45" s="52"/>
      <c r="N45" s="52"/>
      <c r="O45" s="52"/>
      <c r="P45" s="52"/>
      <c r="Q45" s="52"/>
      <c r="U45" s="52"/>
    </row>
    <row r="46">
      <c r="M46" s="52"/>
      <c r="N46" s="52"/>
      <c r="O46" s="52"/>
      <c r="P46" s="52"/>
      <c r="Q46" s="52"/>
      <c r="U46" s="52"/>
    </row>
    <row r="47">
      <c r="M47" s="52"/>
      <c r="N47" s="52"/>
      <c r="O47" s="52"/>
      <c r="P47" s="52"/>
      <c r="Q47" s="52"/>
      <c r="U47" s="52"/>
    </row>
    <row r="48">
      <c r="M48" s="52"/>
      <c r="N48" s="52"/>
      <c r="O48" s="52"/>
      <c r="P48" s="52"/>
      <c r="Q48" s="52"/>
      <c r="U48" s="52"/>
    </row>
    <row r="49">
      <c r="M49" s="52"/>
      <c r="N49" s="52"/>
      <c r="O49" s="52"/>
      <c r="P49" s="52"/>
      <c r="Q49" s="52"/>
      <c r="U49" s="52"/>
    </row>
    <row r="50">
      <c r="M50" s="52"/>
      <c r="N50" s="52"/>
      <c r="O50" s="52"/>
      <c r="P50" s="52"/>
      <c r="Q50" s="52"/>
      <c r="U50" s="52"/>
    </row>
    <row r="51">
      <c r="M51" s="52"/>
      <c r="N51" s="52"/>
      <c r="O51" s="52"/>
      <c r="P51" s="52"/>
      <c r="Q51" s="52"/>
      <c r="U51" s="52"/>
    </row>
    <row r="52">
      <c r="M52" s="52"/>
      <c r="N52" s="52"/>
      <c r="O52" s="52"/>
      <c r="P52" s="52"/>
      <c r="Q52" s="52"/>
      <c r="U52" s="52"/>
    </row>
    <row r="53">
      <c r="M53" s="52"/>
      <c r="N53" s="52"/>
      <c r="O53" s="52"/>
      <c r="P53" s="52"/>
      <c r="Q53" s="52"/>
      <c r="U53" s="52"/>
    </row>
    <row r="54">
      <c r="M54" s="52"/>
      <c r="N54" s="52"/>
      <c r="O54" s="52"/>
      <c r="P54" s="52"/>
      <c r="Q54" s="52"/>
      <c r="U54" s="52"/>
    </row>
    <row r="55">
      <c r="M55" s="52"/>
      <c r="N55" s="52"/>
      <c r="O55" s="52"/>
      <c r="P55" s="52"/>
      <c r="Q55" s="52"/>
      <c r="U55" s="52"/>
    </row>
    <row r="56">
      <c r="M56" s="52"/>
      <c r="N56" s="52"/>
      <c r="O56" s="52"/>
      <c r="P56" s="52"/>
      <c r="Q56" s="52"/>
      <c r="U56" s="52"/>
    </row>
    <row r="57">
      <c r="M57" s="52"/>
      <c r="N57" s="52"/>
      <c r="O57" s="52"/>
      <c r="P57" s="52"/>
      <c r="Q57" s="52"/>
      <c r="U57" s="52"/>
    </row>
    <row r="58">
      <c r="M58" s="52"/>
      <c r="N58" s="52"/>
      <c r="O58" s="52"/>
      <c r="P58" s="52"/>
      <c r="Q58" s="52"/>
      <c r="U58" s="52"/>
    </row>
    <row r="59">
      <c r="M59" s="52"/>
      <c r="N59" s="52"/>
      <c r="O59" s="52"/>
      <c r="P59" s="52"/>
      <c r="Q59" s="52"/>
      <c r="U59" s="52"/>
    </row>
    <row r="60">
      <c r="M60" s="52"/>
      <c r="N60" s="52"/>
      <c r="O60" s="52"/>
      <c r="P60" s="52"/>
      <c r="Q60" s="52"/>
      <c r="U60" s="52"/>
    </row>
    <row r="61">
      <c r="M61" s="52"/>
      <c r="N61" s="52"/>
      <c r="O61" s="52"/>
      <c r="P61" s="52"/>
      <c r="Q61" s="52"/>
      <c r="U61" s="52"/>
    </row>
    <row r="62">
      <c r="M62" s="52"/>
      <c r="N62" s="52"/>
      <c r="O62" s="52"/>
      <c r="P62" s="52"/>
      <c r="Q62" s="52"/>
      <c r="U62" s="52"/>
    </row>
    <row r="63">
      <c r="M63" s="52"/>
      <c r="N63" s="52"/>
      <c r="O63" s="52"/>
      <c r="P63" s="52"/>
      <c r="Q63" s="52"/>
      <c r="U63" s="52"/>
    </row>
    <row r="64">
      <c r="M64" s="52"/>
      <c r="N64" s="52"/>
      <c r="O64" s="52"/>
      <c r="P64" s="52"/>
      <c r="Q64" s="52"/>
      <c r="U64" s="52"/>
    </row>
    <row r="65">
      <c r="M65" s="52"/>
      <c r="N65" s="52"/>
      <c r="O65" s="52"/>
      <c r="P65" s="52"/>
      <c r="Q65" s="52"/>
      <c r="U65" s="52"/>
    </row>
    <row r="66">
      <c r="M66" s="52"/>
      <c r="N66" s="52"/>
      <c r="O66" s="52"/>
      <c r="P66" s="52"/>
      <c r="Q66" s="52"/>
      <c r="U66" s="52"/>
    </row>
    <row r="67">
      <c r="M67" s="52"/>
      <c r="N67" s="52"/>
      <c r="O67" s="52"/>
      <c r="P67" s="52"/>
      <c r="Q67" s="52"/>
      <c r="U67" s="52"/>
    </row>
    <row r="68">
      <c r="M68" s="52"/>
      <c r="N68" s="52"/>
      <c r="O68" s="52"/>
      <c r="P68" s="52"/>
      <c r="Q68" s="52"/>
      <c r="U68" s="52"/>
    </row>
    <row r="69">
      <c r="M69" s="52"/>
      <c r="N69" s="52"/>
      <c r="O69" s="52"/>
      <c r="P69" s="52"/>
      <c r="Q69" s="52"/>
      <c r="U69" s="52"/>
    </row>
    <row r="70">
      <c r="M70" s="52"/>
      <c r="N70" s="52"/>
      <c r="O70" s="52"/>
      <c r="P70" s="52"/>
      <c r="Q70" s="52"/>
      <c r="U70" s="52"/>
    </row>
    <row r="71">
      <c r="M71" s="52"/>
      <c r="N71" s="52"/>
      <c r="O71" s="52"/>
      <c r="P71" s="52"/>
      <c r="Q71" s="52"/>
      <c r="U71" s="52"/>
    </row>
    <row r="72">
      <c r="M72" s="52"/>
      <c r="N72" s="52"/>
      <c r="O72" s="52"/>
      <c r="P72" s="52"/>
      <c r="Q72" s="52"/>
      <c r="U72" s="52"/>
    </row>
    <row r="73">
      <c r="M73" s="52"/>
      <c r="N73" s="52"/>
      <c r="O73" s="52"/>
      <c r="P73" s="52"/>
      <c r="Q73" s="52"/>
      <c r="U73" s="52"/>
    </row>
    <row r="74">
      <c r="M74" s="52"/>
      <c r="N74" s="52"/>
      <c r="O74" s="52"/>
      <c r="P74" s="52"/>
      <c r="Q74" s="52"/>
      <c r="U74" s="52"/>
    </row>
    <row r="75">
      <c r="M75" s="52"/>
      <c r="N75" s="52"/>
      <c r="O75" s="52"/>
      <c r="P75" s="52"/>
      <c r="Q75" s="52"/>
      <c r="U75" s="52"/>
    </row>
    <row r="76">
      <c r="M76" s="52"/>
      <c r="N76" s="52"/>
      <c r="O76" s="52"/>
      <c r="P76" s="52"/>
      <c r="Q76" s="52"/>
      <c r="U76" s="52"/>
    </row>
    <row r="77">
      <c r="M77" s="52"/>
      <c r="N77" s="52"/>
      <c r="O77" s="52"/>
      <c r="P77" s="52"/>
      <c r="Q77" s="52"/>
      <c r="U77" s="52"/>
    </row>
    <row r="78">
      <c r="M78" s="52"/>
      <c r="N78" s="52"/>
      <c r="O78" s="52"/>
      <c r="P78" s="52"/>
      <c r="Q78" s="52"/>
      <c r="U78" s="52"/>
    </row>
    <row r="79">
      <c r="M79" s="52"/>
      <c r="N79" s="52"/>
      <c r="O79" s="52"/>
      <c r="P79" s="52"/>
      <c r="Q79" s="52"/>
      <c r="U79" s="52"/>
    </row>
    <row r="80">
      <c r="M80" s="52"/>
      <c r="N80" s="52"/>
      <c r="O80" s="52"/>
      <c r="P80" s="52"/>
      <c r="Q80" s="52"/>
      <c r="U80" s="52"/>
    </row>
    <row r="81">
      <c r="M81" s="52"/>
      <c r="N81" s="52"/>
      <c r="O81" s="52"/>
      <c r="P81" s="52"/>
      <c r="Q81" s="52"/>
      <c r="U81" s="52"/>
    </row>
    <row r="82">
      <c r="M82" s="52"/>
      <c r="N82" s="52"/>
      <c r="O82" s="52"/>
      <c r="P82" s="52"/>
      <c r="Q82" s="52"/>
      <c r="U82" s="52"/>
    </row>
    <row r="83">
      <c r="M83" s="52"/>
      <c r="N83" s="52"/>
      <c r="O83" s="52"/>
      <c r="P83" s="52"/>
      <c r="Q83" s="52"/>
      <c r="U83" s="52"/>
    </row>
    <row r="84">
      <c r="M84" s="52"/>
      <c r="N84" s="52"/>
      <c r="O84" s="52"/>
      <c r="P84" s="52"/>
      <c r="Q84" s="52"/>
      <c r="U84" s="52"/>
    </row>
    <row r="85">
      <c r="M85" s="52"/>
      <c r="N85" s="52"/>
      <c r="O85" s="52"/>
      <c r="P85" s="52"/>
      <c r="Q85" s="52"/>
      <c r="U85" s="52"/>
    </row>
    <row r="86">
      <c r="M86" s="52"/>
      <c r="N86" s="52"/>
      <c r="O86" s="52"/>
      <c r="P86" s="52"/>
      <c r="Q86" s="52"/>
      <c r="U86" s="52"/>
    </row>
    <row r="87">
      <c r="M87" s="52"/>
      <c r="N87" s="52"/>
      <c r="O87" s="52"/>
      <c r="P87" s="52"/>
      <c r="Q87" s="52"/>
      <c r="U87" s="52"/>
    </row>
    <row r="88">
      <c r="M88" s="52"/>
      <c r="N88" s="52"/>
      <c r="O88" s="52"/>
      <c r="P88" s="52"/>
      <c r="Q88" s="52"/>
      <c r="U88" s="52"/>
    </row>
    <row r="89">
      <c r="M89" s="52"/>
      <c r="N89" s="52"/>
      <c r="O89" s="52"/>
      <c r="P89" s="52"/>
      <c r="Q89" s="52"/>
      <c r="U89" s="52"/>
    </row>
    <row r="90">
      <c r="M90" s="52"/>
      <c r="N90" s="52"/>
      <c r="O90" s="52"/>
      <c r="P90" s="52"/>
      <c r="Q90" s="52"/>
      <c r="U90" s="52"/>
    </row>
    <row r="91">
      <c r="M91" s="52"/>
      <c r="N91" s="52"/>
      <c r="O91" s="52"/>
      <c r="P91" s="52"/>
      <c r="Q91" s="52"/>
      <c r="U91" s="52"/>
    </row>
    <row r="92">
      <c r="M92" s="52"/>
      <c r="N92" s="52"/>
      <c r="O92" s="52"/>
      <c r="P92" s="52"/>
      <c r="Q92" s="52"/>
      <c r="U92" s="52"/>
    </row>
    <row r="93">
      <c r="M93" s="52"/>
      <c r="N93" s="52"/>
      <c r="O93" s="52"/>
      <c r="P93" s="52"/>
      <c r="Q93" s="52"/>
      <c r="U93" s="52"/>
    </row>
    <row r="94">
      <c r="M94" s="52"/>
      <c r="N94" s="52"/>
      <c r="O94" s="52"/>
      <c r="P94" s="52"/>
      <c r="Q94" s="52"/>
      <c r="U94" s="52"/>
    </row>
    <row r="95">
      <c r="M95" s="52"/>
      <c r="N95" s="52"/>
      <c r="O95" s="52"/>
      <c r="P95" s="52"/>
      <c r="Q95" s="52"/>
      <c r="U95" s="52"/>
    </row>
    <row r="96">
      <c r="M96" s="52"/>
      <c r="N96" s="52"/>
      <c r="O96" s="52"/>
      <c r="P96" s="52"/>
      <c r="Q96" s="52"/>
      <c r="U96" s="52"/>
    </row>
    <row r="97">
      <c r="M97" s="52"/>
      <c r="N97" s="52"/>
      <c r="O97" s="52"/>
      <c r="P97" s="52"/>
      <c r="Q97" s="52"/>
      <c r="U97" s="52"/>
    </row>
    <row r="98">
      <c r="M98" s="52"/>
      <c r="N98" s="52"/>
      <c r="O98" s="52"/>
      <c r="P98" s="52"/>
      <c r="Q98" s="52"/>
      <c r="U98" s="52"/>
    </row>
    <row r="99">
      <c r="M99" s="52"/>
      <c r="N99" s="52"/>
      <c r="O99" s="52"/>
      <c r="P99" s="52"/>
      <c r="Q99" s="52"/>
      <c r="U99" s="52"/>
    </row>
    <row r="100">
      <c r="M100" s="52"/>
      <c r="N100" s="52"/>
      <c r="O100" s="52"/>
      <c r="P100" s="52"/>
      <c r="Q100" s="52"/>
      <c r="U100" s="52"/>
    </row>
    <row r="101">
      <c r="M101" s="52"/>
      <c r="N101" s="52"/>
      <c r="O101" s="52"/>
      <c r="P101" s="52"/>
      <c r="Q101" s="52"/>
      <c r="U101" s="52"/>
    </row>
    <row r="102">
      <c r="M102" s="52"/>
      <c r="N102" s="52"/>
      <c r="O102" s="52"/>
      <c r="P102" s="52"/>
      <c r="Q102" s="52"/>
      <c r="U102" s="52"/>
    </row>
    <row r="103">
      <c r="M103" s="52"/>
      <c r="N103" s="52"/>
      <c r="O103" s="52"/>
      <c r="P103" s="52"/>
      <c r="Q103" s="52"/>
      <c r="U103" s="52"/>
    </row>
    <row r="104">
      <c r="M104" s="52"/>
      <c r="N104" s="52"/>
      <c r="O104" s="52"/>
      <c r="P104" s="52"/>
      <c r="Q104" s="52"/>
      <c r="U104" s="52"/>
    </row>
    <row r="105">
      <c r="M105" s="52"/>
      <c r="N105" s="52"/>
      <c r="O105" s="52"/>
      <c r="P105" s="52"/>
      <c r="Q105" s="52"/>
      <c r="U105" s="52"/>
    </row>
    <row r="106">
      <c r="M106" s="52"/>
      <c r="N106" s="52"/>
      <c r="O106" s="52"/>
      <c r="P106" s="52"/>
      <c r="Q106" s="52"/>
      <c r="U106" s="52"/>
    </row>
    <row r="107">
      <c r="M107" s="52"/>
      <c r="N107" s="52"/>
      <c r="O107" s="52"/>
      <c r="P107" s="52"/>
      <c r="Q107" s="52"/>
      <c r="U107" s="52"/>
    </row>
    <row r="108">
      <c r="M108" s="52"/>
      <c r="N108" s="52"/>
      <c r="O108" s="52"/>
      <c r="P108" s="52"/>
      <c r="Q108" s="52"/>
      <c r="U108" s="52"/>
    </row>
    <row r="109">
      <c r="M109" s="52"/>
      <c r="N109" s="52"/>
      <c r="O109" s="52"/>
      <c r="P109" s="52"/>
      <c r="Q109" s="52"/>
      <c r="U109" s="52"/>
    </row>
    <row r="110">
      <c r="M110" s="52"/>
      <c r="N110" s="52"/>
      <c r="O110" s="52"/>
      <c r="P110" s="52"/>
      <c r="Q110" s="52"/>
      <c r="U110" s="52"/>
    </row>
    <row r="111">
      <c r="M111" s="52"/>
      <c r="N111" s="52"/>
      <c r="O111" s="52"/>
      <c r="P111" s="52"/>
      <c r="Q111" s="52"/>
      <c r="U111" s="52"/>
    </row>
    <row r="112">
      <c r="M112" s="52"/>
      <c r="N112" s="52"/>
      <c r="O112" s="52"/>
      <c r="P112" s="52"/>
      <c r="Q112" s="52"/>
      <c r="U112" s="52"/>
    </row>
    <row r="113">
      <c r="M113" s="52"/>
      <c r="N113" s="52"/>
      <c r="O113" s="52"/>
      <c r="P113" s="52"/>
      <c r="Q113" s="52"/>
      <c r="U113" s="52"/>
    </row>
    <row r="114">
      <c r="M114" s="52"/>
      <c r="N114" s="52"/>
      <c r="O114" s="52"/>
      <c r="P114" s="52"/>
      <c r="Q114" s="52"/>
      <c r="U114" s="52"/>
    </row>
    <row r="115">
      <c r="M115" s="52"/>
      <c r="N115" s="52"/>
      <c r="O115" s="52"/>
      <c r="P115" s="52"/>
      <c r="Q115" s="52"/>
      <c r="U115" s="52"/>
    </row>
    <row r="116">
      <c r="M116" s="52"/>
      <c r="N116" s="52"/>
      <c r="O116" s="52"/>
      <c r="P116" s="52"/>
      <c r="Q116" s="52"/>
      <c r="U116" s="52"/>
    </row>
    <row r="117">
      <c r="M117" s="52"/>
      <c r="N117" s="52"/>
      <c r="O117" s="52"/>
      <c r="P117" s="52"/>
      <c r="Q117" s="52"/>
      <c r="U117" s="52"/>
    </row>
    <row r="118">
      <c r="M118" s="52"/>
      <c r="N118" s="52"/>
      <c r="O118" s="52"/>
      <c r="P118" s="52"/>
      <c r="Q118" s="52"/>
      <c r="U118" s="52"/>
    </row>
    <row r="119">
      <c r="M119" s="52"/>
      <c r="N119" s="52"/>
      <c r="O119" s="52"/>
      <c r="P119" s="52"/>
      <c r="Q119" s="52"/>
      <c r="U119" s="52"/>
    </row>
    <row r="120">
      <c r="M120" s="52"/>
      <c r="N120" s="52"/>
      <c r="O120" s="52"/>
      <c r="P120" s="52"/>
      <c r="Q120" s="52"/>
      <c r="U120" s="52"/>
    </row>
    <row r="121">
      <c r="M121" s="52"/>
      <c r="N121" s="52"/>
      <c r="O121" s="52"/>
      <c r="P121" s="52"/>
      <c r="Q121" s="52"/>
      <c r="U121" s="52"/>
    </row>
    <row r="122">
      <c r="M122" s="52"/>
      <c r="N122" s="52"/>
      <c r="O122" s="52"/>
      <c r="P122" s="52"/>
      <c r="Q122" s="52"/>
      <c r="U122" s="52"/>
    </row>
    <row r="123">
      <c r="M123" s="52"/>
      <c r="N123" s="52"/>
      <c r="O123" s="52"/>
      <c r="P123" s="52"/>
      <c r="Q123" s="52"/>
      <c r="U123" s="52"/>
    </row>
    <row r="124">
      <c r="M124" s="52"/>
      <c r="N124" s="52"/>
      <c r="O124" s="52"/>
      <c r="P124" s="52"/>
      <c r="Q124" s="52"/>
      <c r="U124" s="52"/>
    </row>
    <row r="125">
      <c r="M125" s="52"/>
      <c r="N125" s="52"/>
      <c r="O125" s="52"/>
      <c r="P125" s="52"/>
      <c r="Q125" s="52"/>
      <c r="U125" s="52"/>
    </row>
    <row r="126">
      <c r="M126" s="52"/>
      <c r="N126" s="52"/>
      <c r="O126" s="52"/>
      <c r="P126" s="52"/>
      <c r="Q126" s="52"/>
      <c r="U126" s="52"/>
    </row>
    <row r="127">
      <c r="M127" s="52"/>
      <c r="N127" s="52"/>
      <c r="O127" s="52"/>
      <c r="P127" s="52"/>
      <c r="Q127" s="52"/>
      <c r="U127" s="52"/>
    </row>
    <row r="128">
      <c r="M128" s="52"/>
      <c r="N128" s="52"/>
      <c r="O128" s="52"/>
      <c r="P128" s="52"/>
      <c r="Q128" s="52"/>
      <c r="U128" s="52"/>
    </row>
    <row r="129">
      <c r="M129" s="52"/>
      <c r="N129" s="52"/>
      <c r="O129" s="52"/>
      <c r="P129" s="52"/>
      <c r="Q129" s="52"/>
      <c r="U129" s="52"/>
    </row>
    <row r="130">
      <c r="M130" s="52"/>
      <c r="N130" s="52"/>
      <c r="O130" s="52"/>
      <c r="P130" s="52"/>
      <c r="Q130" s="52"/>
      <c r="U130" s="52"/>
    </row>
    <row r="131">
      <c r="M131" s="52"/>
      <c r="N131" s="52"/>
      <c r="O131" s="52"/>
      <c r="P131" s="52"/>
      <c r="Q131" s="52"/>
      <c r="U131" s="52"/>
    </row>
    <row r="132">
      <c r="M132" s="52"/>
      <c r="N132" s="52"/>
      <c r="O132" s="52"/>
      <c r="P132" s="52"/>
      <c r="Q132" s="52"/>
      <c r="U132" s="52"/>
    </row>
    <row r="133">
      <c r="M133" s="52"/>
      <c r="N133" s="52"/>
      <c r="O133" s="52"/>
      <c r="P133" s="52"/>
      <c r="Q133" s="52"/>
      <c r="U133" s="52"/>
    </row>
    <row r="134">
      <c r="M134" s="52"/>
      <c r="N134" s="52"/>
      <c r="O134" s="52"/>
      <c r="P134" s="52"/>
      <c r="Q134" s="52"/>
      <c r="U134" s="52"/>
    </row>
    <row r="135">
      <c r="M135" s="52"/>
      <c r="N135" s="52"/>
      <c r="O135" s="52"/>
      <c r="P135" s="52"/>
      <c r="Q135" s="52"/>
      <c r="U135" s="52"/>
    </row>
    <row r="136">
      <c r="M136" s="52"/>
      <c r="N136" s="52"/>
      <c r="O136" s="52"/>
      <c r="P136" s="52"/>
      <c r="Q136" s="52"/>
      <c r="U136" s="52"/>
    </row>
    <row r="137">
      <c r="M137" s="52"/>
      <c r="N137" s="52"/>
      <c r="O137" s="52"/>
      <c r="P137" s="52"/>
      <c r="Q137" s="52"/>
      <c r="U137" s="52"/>
    </row>
    <row r="138">
      <c r="M138" s="52"/>
      <c r="N138" s="52"/>
      <c r="O138" s="52"/>
      <c r="P138" s="52"/>
      <c r="Q138" s="52"/>
      <c r="U138" s="52"/>
    </row>
    <row r="139">
      <c r="M139" s="52"/>
      <c r="N139" s="52"/>
      <c r="O139" s="52"/>
      <c r="P139" s="52"/>
      <c r="Q139" s="52"/>
      <c r="U139" s="52"/>
    </row>
    <row r="140">
      <c r="M140" s="52"/>
      <c r="N140" s="52"/>
      <c r="O140" s="52"/>
      <c r="P140" s="52"/>
      <c r="Q140" s="52"/>
      <c r="U140" s="52"/>
    </row>
    <row r="141">
      <c r="M141" s="52"/>
      <c r="N141" s="52"/>
      <c r="O141" s="52"/>
      <c r="P141" s="52"/>
      <c r="Q141" s="52"/>
      <c r="U141" s="52"/>
    </row>
    <row r="142">
      <c r="M142" s="52"/>
      <c r="N142" s="52"/>
      <c r="O142" s="52"/>
      <c r="P142" s="52"/>
      <c r="Q142" s="52"/>
      <c r="U142" s="52"/>
    </row>
    <row r="143">
      <c r="M143" s="52"/>
      <c r="N143" s="52"/>
      <c r="O143" s="52"/>
      <c r="P143" s="52"/>
      <c r="Q143" s="52"/>
      <c r="U143" s="52"/>
    </row>
    <row r="144">
      <c r="M144" s="52"/>
      <c r="N144" s="52"/>
      <c r="O144" s="52"/>
      <c r="P144" s="52"/>
      <c r="Q144" s="52"/>
      <c r="U144" s="52"/>
    </row>
    <row r="145">
      <c r="M145" s="52"/>
      <c r="N145" s="52"/>
      <c r="O145" s="52"/>
      <c r="P145" s="52"/>
      <c r="Q145" s="52"/>
      <c r="U145" s="52"/>
    </row>
    <row r="146">
      <c r="M146" s="52"/>
      <c r="N146" s="52"/>
      <c r="O146" s="52"/>
      <c r="P146" s="52"/>
      <c r="Q146" s="52"/>
      <c r="U146" s="52"/>
    </row>
    <row r="147">
      <c r="M147" s="52"/>
      <c r="N147" s="52"/>
      <c r="O147" s="52"/>
      <c r="P147" s="52"/>
      <c r="Q147" s="52"/>
      <c r="U147" s="52"/>
    </row>
    <row r="148">
      <c r="M148" s="52"/>
      <c r="N148" s="52"/>
      <c r="O148" s="52"/>
      <c r="P148" s="52"/>
      <c r="Q148" s="52"/>
      <c r="U148" s="52"/>
    </row>
    <row r="149">
      <c r="M149" s="52"/>
      <c r="N149" s="52"/>
      <c r="O149" s="52"/>
      <c r="P149" s="52"/>
      <c r="Q149" s="52"/>
      <c r="U149" s="52"/>
    </row>
    <row r="150">
      <c r="M150" s="52"/>
      <c r="N150" s="52"/>
      <c r="O150" s="52"/>
      <c r="P150" s="52"/>
      <c r="Q150" s="52"/>
      <c r="U150" s="52"/>
    </row>
    <row r="151">
      <c r="M151" s="52"/>
      <c r="N151" s="52"/>
      <c r="O151" s="52"/>
      <c r="P151" s="52"/>
      <c r="Q151" s="52"/>
      <c r="U151" s="52"/>
    </row>
    <row r="152">
      <c r="M152" s="52"/>
      <c r="N152" s="52"/>
      <c r="O152" s="52"/>
      <c r="P152" s="52"/>
      <c r="Q152" s="52"/>
      <c r="U152" s="52"/>
    </row>
    <row r="153">
      <c r="M153" s="52"/>
      <c r="N153" s="52"/>
      <c r="O153" s="52"/>
      <c r="P153" s="52"/>
      <c r="Q153" s="52"/>
      <c r="U153" s="52"/>
    </row>
    <row r="154">
      <c r="M154" s="52"/>
      <c r="N154" s="52"/>
      <c r="O154" s="52"/>
      <c r="P154" s="52"/>
      <c r="Q154" s="52"/>
      <c r="U154" s="52"/>
    </row>
    <row r="155">
      <c r="M155" s="52"/>
      <c r="N155" s="52"/>
      <c r="O155" s="52"/>
      <c r="P155" s="52"/>
      <c r="Q155" s="52"/>
      <c r="U155" s="52"/>
    </row>
    <row r="156">
      <c r="M156" s="52"/>
      <c r="N156" s="52"/>
      <c r="O156" s="52"/>
      <c r="P156" s="52"/>
      <c r="Q156" s="52"/>
      <c r="U156" s="52"/>
    </row>
    <row r="157">
      <c r="M157" s="52"/>
      <c r="N157" s="52"/>
      <c r="O157" s="52"/>
      <c r="P157" s="52"/>
      <c r="Q157" s="52"/>
      <c r="U157" s="52"/>
    </row>
    <row r="158">
      <c r="M158" s="52"/>
      <c r="N158" s="52"/>
      <c r="O158" s="52"/>
      <c r="P158" s="52"/>
      <c r="Q158" s="52"/>
      <c r="U158" s="52"/>
    </row>
    <row r="159">
      <c r="M159" s="52"/>
      <c r="N159" s="52"/>
      <c r="O159" s="52"/>
      <c r="P159" s="52"/>
      <c r="Q159" s="52"/>
      <c r="U159" s="52"/>
    </row>
    <row r="160">
      <c r="M160" s="52"/>
      <c r="N160" s="52"/>
      <c r="O160" s="52"/>
      <c r="P160" s="52"/>
      <c r="Q160" s="52"/>
      <c r="U160" s="52"/>
    </row>
    <row r="161">
      <c r="M161" s="52"/>
      <c r="N161" s="52"/>
      <c r="O161" s="52"/>
      <c r="P161" s="52"/>
      <c r="Q161" s="52"/>
      <c r="U161" s="52"/>
    </row>
    <row r="162">
      <c r="M162" s="52"/>
      <c r="N162" s="52"/>
      <c r="O162" s="52"/>
      <c r="P162" s="52"/>
      <c r="Q162" s="52"/>
      <c r="U162" s="52"/>
    </row>
    <row r="163">
      <c r="M163" s="52"/>
      <c r="N163" s="52"/>
      <c r="O163" s="52"/>
      <c r="P163" s="52"/>
      <c r="Q163" s="52"/>
      <c r="U163" s="52"/>
    </row>
    <row r="164">
      <c r="M164" s="52"/>
      <c r="N164" s="52"/>
      <c r="O164" s="52"/>
      <c r="P164" s="52"/>
      <c r="Q164" s="52"/>
      <c r="U164" s="52"/>
    </row>
    <row r="165">
      <c r="M165" s="52"/>
      <c r="N165" s="52"/>
      <c r="O165" s="52"/>
      <c r="P165" s="52"/>
      <c r="Q165" s="52"/>
      <c r="U165" s="52"/>
    </row>
    <row r="166">
      <c r="M166" s="52"/>
      <c r="N166" s="52"/>
      <c r="O166" s="52"/>
      <c r="P166" s="52"/>
      <c r="Q166" s="52"/>
      <c r="U166" s="52"/>
    </row>
    <row r="167">
      <c r="M167" s="52"/>
      <c r="N167" s="52"/>
      <c r="O167" s="52"/>
      <c r="P167" s="52"/>
      <c r="Q167" s="52"/>
      <c r="U167" s="52"/>
    </row>
    <row r="168">
      <c r="M168" s="52"/>
      <c r="N168" s="52"/>
      <c r="O168" s="52"/>
      <c r="P168" s="52"/>
      <c r="Q168" s="52"/>
      <c r="U168" s="52"/>
    </row>
    <row r="169">
      <c r="M169" s="52"/>
      <c r="N169" s="52"/>
      <c r="O169" s="52"/>
      <c r="P169" s="52"/>
      <c r="Q169" s="52"/>
      <c r="U169" s="52"/>
    </row>
    <row r="170">
      <c r="M170" s="52"/>
      <c r="N170" s="52"/>
      <c r="O170" s="52"/>
      <c r="P170" s="52"/>
      <c r="Q170" s="52"/>
      <c r="U170" s="52"/>
    </row>
    <row r="171">
      <c r="M171" s="52"/>
      <c r="N171" s="52"/>
      <c r="O171" s="52"/>
      <c r="P171" s="52"/>
      <c r="Q171" s="52"/>
      <c r="U171" s="52"/>
    </row>
    <row r="172">
      <c r="M172" s="52"/>
      <c r="N172" s="52"/>
      <c r="O172" s="52"/>
      <c r="P172" s="52"/>
      <c r="Q172" s="52"/>
      <c r="U172" s="52"/>
    </row>
    <row r="173">
      <c r="M173" s="52"/>
      <c r="N173" s="52"/>
      <c r="O173" s="52"/>
      <c r="P173" s="52"/>
      <c r="Q173" s="52"/>
      <c r="U173" s="52"/>
    </row>
    <row r="174">
      <c r="M174" s="52"/>
      <c r="N174" s="52"/>
      <c r="O174" s="52"/>
      <c r="P174" s="52"/>
      <c r="Q174" s="52"/>
      <c r="U174" s="52"/>
    </row>
    <row r="175">
      <c r="M175" s="52"/>
      <c r="N175" s="52"/>
      <c r="O175" s="52"/>
      <c r="P175" s="52"/>
      <c r="Q175" s="52"/>
      <c r="U175" s="52"/>
    </row>
    <row r="176">
      <c r="M176" s="52"/>
      <c r="N176" s="52"/>
      <c r="O176" s="52"/>
      <c r="P176" s="52"/>
      <c r="Q176" s="52"/>
      <c r="U176" s="52"/>
    </row>
    <row r="177">
      <c r="M177" s="52"/>
      <c r="N177" s="52"/>
      <c r="O177" s="52"/>
      <c r="P177" s="52"/>
      <c r="Q177" s="52"/>
      <c r="U177" s="52"/>
    </row>
    <row r="178">
      <c r="M178" s="52"/>
      <c r="N178" s="52"/>
      <c r="O178" s="52"/>
      <c r="P178" s="52"/>
      <c r="Q178" s="52"/>
      <c r="U178" s="52"/>
    </row>
    <row r="179">
      <c r="M179" s="52"/>
      <c r="N179" s="52"/>
      <c r="O179" s="52"/>
      <c r="P179" s="52"/>
      <c r="Q179" s="52"/>
      <c r="U179" s="52"/>
    </row>
    <row r="180">
      <c r="M180" s="52"/>
      <c r="N180" s="52"/>
      <c r="O180" s="52"/>
      <c r="P180" s="52"/>
      <c r="Q180" s="52"/>
      <c r="U180" s="52"/>
    </row>
    <row r="181">
      <c r="M181" s="52"/>
      <c r="N181" s="52"/>
      <c r="O181" s="52"/>
      <c r="P181" s="52"/>
      <c r="Q181" s="52"/>
      <c r="U181" s="52"/>
    </row>
    <row r="182">
      <c r="M182" s="52"/>
      <c r="N182" s="52"/>
      <c r="O182" s="52"/>
      <c r="P182" s="52"/>
      <c r="Q182" s="52"/>
      <c r="U182" s="52"/>
    </row>
    <row r="183">
      <c r="M183" s="52"/>
      <c r="N183" s="52"/>
      <c r="O183" s="52"/>
      <c r="P183" s="52"/>
      <c r="Q183" s="52"/>
      <c r="U183" s="52"/>
    </row>
    <row r="184">
      <c r="M184" s="52"/>
      <c r="N184" s="52"/>
      <c r="O184" s="52"/>
      <c r="P184" s="52"/>
      <c r="Q184" s="52"/>
      <c r="U184" s="52"/>
    </row>
    <row r="185">
      <c r="M185" s="52"/>
      <c r="N185" s="52"/>
      <c r="O185" s="52"/>
      <c r="P185" s="52"/>
      <c r="Q185" s="52"/>
      <c r="U185" s="52"/>
    </row>
    <row r="186">
      <c r="M186" s="52"/>
      <c r="N186" s="52"/>
      <c r="O186" s="52"/>
      <c r="P186" s="52"/>
      <c r="Q186" s="52"/>
      <c r="U186" s="52"/>
    </row>
    <row r="187">
      <c r="M187" s="52"/>
      <c r="N187" s="52"/>
      <c r="O187" s="52"/>
      <c r="P187" s="52"/>
      <c r="Q187" s="52"/>
      <c r="U187" s="52"/>
    </row>
    <row r="188">
      <c r="M188" s="52"/>
      <c r="N188" s="52"/>
      <c r="O188" s="52"/>
      <c r="P188" s="52"/>
      <c r="Q188" s="52"/>
      <c r="U188" s="52"/>
    </row>
    <row r="189">
      <c r="M189" s="52"/>
      <c r="N189" s="52"/>
      <c r="O189" s="52"/>
      <c r="P189" s="52"/>
      <c r="Q189" s="52"/>
      <c r="U189" s="52"/>
    </row>
    <row r="190">
      <c r="M190" s="52"/>
      <c r="N190" s="52"/>
      <c r="O190" s="52"/>
      <c r="P190" s="52"/>
      <c r="Q190" s="52"/>
      <c r="U190" s="52"/>
    </row>
    <row r="191">
      <c r="M191" s="52"/>
      <c r="N191" s="52"/>
      <c r="O191" s="52"/>
      <c r="P191" s="52"/>
      <c r="Q191" s="52"/>
      <c r="U191" s="52"/>
    </row>
    <row r="192">
      <c r="M192" s="52"/>
      <c r="N192" s="52"/>
      <c r="O192" s="52"/>
      <c r="P192" s="52"/>
      <c r="Q192" s="52"/>
      <c r="U192" s="52"/>
    </row>
    <row r="193">
      <c r="M193" s="52"/>
      <c r="N193" s="52"/>
      <c r="O193" s="52"/>
      <c r="P193" s="52"/>
      <c r="Q193" s="52"/>
      <c r="U193" s="52"/>
    </row>
    <row r="194">
      <c r="M194" s="52"/>
      <c r="N194" s="52"/>
      <c r="O194" s="52"/>
      <c r="P194" s="52"/>
      <c r="Q194" s="52"/>
      <c r="U194" s="52"/>
    </row>
    <row r="195">
      <c r="M195" s="52"/>
      <c r="N195" s="52"/>
      <c r="O195" s="52"/>
      <c r="P195" s="52"/>
      <c r="Q195" s="52"/>
      <c r="U195" s="52"/>
    </row>
    <row r="196">
      <c r="M196" s="52"/>
      <c r="N196" s="52"/>
      <c r="O196" s="52"/>
      <c r="P196" s="52"/>
      <c r="Q196" s="52"/>
      <c r="U196" s="52"/>
    </row>
    <row r="197">
      <c r="M197" s="52"/>
      <c r="N197" s="52"/>
      <c r="O197" s="52"/>
      <c r="P197" s="52"/>
      <c r="Q197" s="52"/>
      <c r="U197" s="52"/>
    </row>
    <row r="198">
      <c r="M198" s="52"/>
      <c r="N198" s="52"/>
      <c r="O198" s="52"/>
      <c r="P198" s="52"/>
      <c r="Q198" s="52"/>
      <c r="U198" s="52"/>
    </row>
    <row r="199">
      <c r="M199" s="52"/>
      <c r="N199" s="52"/>
      <c r="O199" s="52"/>
      <c r="P199" s="52"/>
      <c r="Q199" s="52"/>
      <c r="U199" s="52"/>
    </row>
    <row r="200">
      <c r="M200" s="52"/>
      <c r="N200" s="52"/>
      <c r="O200" s="52"/>
      <c r="P200" s="52"/>
      <c r="Q200" s="52"/>
      <c r="U200" s="52"/>
    </row>
    <row r="201">
      <c r="M201" s="52"/>
      <c r="N201" s="52"/>
      <c r="O201" s="52"/>
      <c r="P201" s="52"/>
      <c r="Q201" s="52"/>
      <c r="U201" s="52"/>
    </row>
    <row r="202">
      <c r="M202" s="52"/>
      <c r="N202" s="52"/>
      <c r="O202" s="52"/>
      <c r="P202" s="52"/>
      <c r="Q202" s="52"/>
      <c r="U202" s="52"/>
    </row>
    <row r="203">
      <c r="M203" s="52"/>
      <c r="N203" s="52"/>
      <c r="O203" s="52"/>
      <c r="P203" s="52"/>
      <c r="Q203" s="52"/>
      <c r="U203" s="52"/>
    </row>
    <row r="204">
      <c r="M204" s="52"/>
      <c r="N204" s="52"/>
      <c r="O204" s="52"/>
      <c r="P204" s="52"/>
      <c r="Q204" s="52"/>
      <c r="U204" s="52"/>
    </row>
    <row r="205">
      <c r="M205" s="52"/>
      <c r="N205" s="52"/>
      <c r="O205" s="52"/>
      <c r="P205" s="52"/>
      <c r="Q205" s="52"/>
      <c r="U205" s="52"/>
    </row>
    <row r="206">
      <c r="M206" s="52"/>
      <c r="N206" s="52"/>
      <c r="O206" s="52"/>
      <c r="P206" s="52"/>
      <c r="Q206" s="52"/>
      <c r="U206" s="52"/>
    </row>
    <row r="207">
      <c r="M207" s="52"/>
      <c r="N207" s="52"/>
      <c r="O207" s="52"/>
      <c r="P207" s="52"/>
      <c r="Q207" s="52"/>
      <c r="U207" s="52"/>
    </row>
    <row r="208">
      <c r="M208" s="52"/>
      <c r="N208" s="52"/>
      <c r="O208" s="52"/>
      <c r="P208" s="52"/>
      <c r="Q208" s="52"/>
      <c r="U208" s="52"/>
    </row>
    <row r="209">
      <c r="M209" s="52"/>
      <c r="N209" s="52"/>
      <c r="O209" s="52"/>
      <c r="P209" s="52"/>
      <c r="Q209" s="52"/>
      <c r="U209" s="52"/>
    </row>
    <row r="210">
      <c r="M210" s="52"/>
      <c r="N210" s="52"/>
      <c r="O210" s="52"/>
      <c r="P210" s="52"/>
      <c r="Q210" s="52"/>
      <c r="U210" s="52"/>
    </row>
    <row r="211">
      <c r="M211" s="52"/>
      <c r="N211" s="52"/>
      <c r="O211" s="52"/>
      <c r="P211" s="52"/>
      <c r="Q211" s="52"/>
      <c r="U211" s="52"/>
    </row>
    <row r="212">
      <c r="M212" s="52"/>
      <c r="N212" s="52"/>
      <c r="O212" s="52"/>
      <c r="P212" s="52"/>
      <c r="Q212" s="52"/>
      <c r="U212" s="52"/>
    </row>
    <row r="213">
      <c r="M213" s="52"/>
      <c r="N213" s="52"/>
      <c r="O213" s="52"/>
      <c r="P213" s="52"/>
      <c r="Q213" s="52"/>
      <c r="U213" s="52"/>
    </row>
    <row r="214">
      <c r="M214" s="52"/>
      <c r="N214" s="52"/>
      <c r="O214" s="52"/>
      <c r="P214" s="52"/>
      <c r="Q214" s="52"/>
      <c r="U214" s="52"/>
    </row>
    <row r="215">
      <c r="M215" s="52"/>
      <c r="N215" s="52"/>
      <c r="O215" s="52"/>
      <c r="P215" s="52"/>
      <c r="Q215" s="52"/>
      <c r="U215" s="52"/>
    </row>
    <row r="216">
      <c r="M216" s="52"/>
      <c r="N216" s="52"/>
      <c r="O216" s="52"/>
      <c r="P216" s="52"/>
      <c r="Q216" s="52"/>
      <c r="U216" s="52"/>
    </row>
    <row r="217">
      <c r="M217" s="52"/>
      <c r="N217" s="52"/>
      <c r="O217" s="52"/>
      <c r="P217" s="52"/>
      <c r="Q217" s="52"/>
      <c r="U217" s="52"/>
    </row>
    <row r="218">
      <c r="M218" s="52"/>
      <c r="N218" s="52"/>
      <c r="O218" s="52"/>
      <c r="P218" s="52"/>
      <c r="Q218" s="52"/>
      <c r="U218" s="52"/>
    </row>
    <row r="219">
      <c r="M219" s="52"/>
      <c r="N219" s="52"/>
      <c r="O219" s="52"/>
      <c r="P219" s="52"/>
      <c r="Q219" s="52"/>
      <c r="U219" s="52"/>
    </row>
    <row r="220">
      <c r="M220" s="52"/>
      <c r="N220" s="52"/>
      <c r="O220" s="52"/>
      <c r="P220" s="52"/>
      <c r="Q220" s="52"/>
      <c r="U220" s="52"/>
    </row>
    <row r="221">
      <c r="M221" s="52"/>
      <c r="N221" s="52"/>
      <c r="O221" s="52"/>
      <c r="P221" s="52"/>
      <c r="Q221" s="52"/>
      <c r="U221" s="52"/>
    </row>
    <row r="222">
      <c r="M222" s="52"/>
      <c r="N222" s="52"/>
      <c r="O222" s="52"/>
      <c r="P222" s="52"/>
      <c r="Q222" s="52"/>
      <c r="U222" s="52"/>
    </row>
    <row r="223">
      <c r="M223" s="52"/>
      <c r="N223" s="52"/>
      <c r="O223" s="52"/>
      <c r="P223" s="52"/>
      <c r="Q223" s="52"/>
      <c r="U223" s="52"/>
    </row>
    <row r="224">
      <c r="M224" s="52"/>
      <c r="N224" s="52"/>
      <c r="O224" s="52"/>
      <c r="P224" s="52"/>
      <c r="Q224" s="52"/>
      <c r="U224" s="52"/>
    </row>
    <row r="225">
      <c r="M225" s="52"/>
      <c r="N225" s="52"/>
      <c r="O225" s="52"/>
      <c r="P225" s="52"/>
      <c r="Q225" s="52"/>
      <c r="U225" s="52"/>
    </row>
    <row r="226">
      <c r="M226" s="52"/>
      <c r="N226" s="52"/>
      <c r="O226" s="52"/>
      <c r="P226" s="52"/>
      <c r="Q226" s="52"/>
      <c r="U226" s="52"/>
    </row>
    <row r="227">
      <c r="M227" s="52"/>
      <c r="N227" s="52"/>
      <c r="O227" s="52"/>
      <c r="P227" s="52"/>
      <c r="Q227" s="52"/>
      <c r="U227" s="52"/>
    </row>
    <row r="228">
      <c r="M228" s="52"/>
      <c r="N228" s="52"/>
      <c r="O228" s="52"/>
      <c r="P228" s="52"/>
      <c r="Q228" s="52"/>
      <c r="U228" s="52"/>
    </row>
    <row r="229">
      <c r="M229" s="52"/>
      <c r="N229" s="52"/>
      <c r="O229" s="52"/>
      <c r="P229" s="52"/>
      <c r="Q229" s="52"/>
      <c r="U229" s="52"/>
    </row>
    <row r="230">
      <c r="M230" s="52"/>
      <c r="N230" s="52"/>
      <c r="O230" s="52"/>
      <c r="P230" s="52"/>
      <c r="Q230" s="52"/>
      <c r="U230" s="52"/>
    </row>
    <row r="231">
      <c r="M231" s="52"/>
      <c r="N231" s="52"/>
      <c r="O231" s="52"/>
      <c r="P231" s="52"/>
      <c r="Q231" s="52"/>
      <c r="U231" s="52"/>
    </row>
    <row r="232">
      <c r="M232" s="52"/>
      <c r="N232" s="52"/>
      <c r="O232" s="52"/>
      <c r="P232" s="52"/>
      <c r="Q232" s="52"/>
      <c r="U232" s="52"/>
    </row>
    <row r="233">
      <c r="M233" s="52"/>
      <c r="N233" s="52"/>
      <c r="O233" s="52"/>
      <c r="P233" s="52"/>
      <c r="Q233" s="52"/>
      <c r="U233" s="52"/>
    </row>
    <row r="234">
      <c r="M234" s="52"/>
      <c r="N234" s="52"/>
      <c r="O234" s="52"/>
      <c r="P234" s="52"/>
      <c r="Q234" s="52"/>
      <c r="U234" s="52"/>
    </row>
    <row r="235">
      <c r="M235" s="52"/>
      <c r="N235" s="52"/>
      <c r="O235" s="52"/>
      <c r="P235" s="52"/>
      <c r="Q235" s="52"/>
      <c r="U235" s="52"/>
    </row>
    <row r="236">
      <c r="M236" s="52"/>
      <c r="N236" s="52"/>
      <c r="O236" s="52"/>
      <c r="P236" s="52"/>
      <c r="Q236" s="52"/>
      <c r="U236" s="52"/>
    </row>
    <row r="237">
      <c r="M237" s="52"/>
      <c r="N237" s="52"/>
      <c r="O237" s="52"/>
      <c r="P237" s="52"/>
      <c r="Q237" s="52"/>
      <c r="U237" s="52"/>
    </row>
    <row r="238">
      <c r="M238" s="52"/>
      <c r="N238" s="52"/>
      <c r="O238" s="52"/>
      <c r="P238" s="52"/>
      <c r="Q238" s="52"/>
      <c r="U238" s="52"/>
    </row>
    <row r="239">
      <c r="M239" s="52"/>
      <c r="N239" s="52"/>
      <c r="O239" s="52"/>
      <c r="P239" s="52"/>
      <c r="Q239" s="52"/>
      <c r="U239" s="52"/>
    </row>
    <row r="240">
      <c r="M240" s="52"/>
      <c r="N240" s="52"/>
      <c r="O240" s="52"/>
      <c r="P240" s="52"/>
      <c r="Q240" s="52"/>
      <c r="U240" s="52"/>
    </row>
    <row r="241">
      <c r="M241" s="52"/>
      <c r="N241" s="52"/>
      <c r="O241" s="52"/>
      <c r="P241" s="52"/>
      <c r="Q241" s="52"/>
      <c r="U241" s="52"/>
    </row>
    <row r="242">
      <c r="M242" s="52"/>
      <c r="N242" s="52"/>
      <c r="O242" s="52"/>
      <c r="P242" s="52"/>
      <c r="Q242" s="52"/>
      <c r="U242" s="52"/>
    </row>
    <row r="243">
      <c r="M243" s="52"/>
      <c r="N243" s="52"/>
      <c r="O243" s="52"/>
      <c r="P243" s="52"/>
      <c r="Q243" s="52"/>
      <c r="U243" s="52"/>
    </row>
    <row r="244">
      <c r="M244" s="52"/>
      <c r="N244" s="52"/>
      <c r="O244" s="52"/>
      <c r="P244" s="52"/>
      <c r="Q244" s="52"/>
      <c r="U244" s="52"/>
    </row>
    <row r="245">
      <c r="M245" s="52"/>
      <c r="N245" s="52"/>
      <c r="O245" s="52"/>
      <c r="P245" s="52"/>
      <c r="Q245" s="52"/>
      <c r="U245" s="52"/>
    </row>
    <row r="246">
      <c r="M246" s="52"/>
      <c r="N246" s="52"/>
      <c r="O246" s="52"/>
      <c r="P246" s="52"/>
      <c r="Q246" s="52"/>
      <c r="U246" s="52"/>
    </row>
    <row r="247">
      <c r="M247" s="52"/>
      <c r="N247" s="52"/>
      <c r="O247" s="52"/>
      <c r="P247" s="52"/>
      <c r="Q247" s="52"/>
      <c r="U247" s="52"/>
    </row>
    <row r="248">
      <c r="M248" s="52"/>
      <c r="N248" s="52"/>
      <c r="O248" s="52"/>
      <c r="P248" s="52"/>
      <c r="Q248" s="52"/>
      <c r="U248" s="52"/>
    </row>
    <row r="249">
      <c r="M249" s="52"/>
      <c r="N249" s="52"/>
      <c r="O249" s="52"/>
      <c r="P249" s="52"/>
      <c r="Q249" s="52"/>
      <c r="U249" s="52"/>
    </row>
    <row r="250">
      <c r="M250" s="52"/>
      <c r="N250" s="52"/>
      <c r="O250" s="52"/>
      <c r="P250" s="52"/>
      <c r="Q250" s="52"/>
      <c r="U250" s="52"/>
    </row>
    <row r="251">
      <c r="M251" s="52"/>
      <c r="N251" s="52"/>
      <c r="O251" s="52"/>
      <c r="P251" s="52"/>
      <c r="Q251" s="52"/>
      <c r="U251" s="52"/>
    </row>
    <row r="252">
      <c r="M252" s="52"/>
      <c r="N252" s="52"/>
      <c r="O252" s="52"/>
      <c r="P252" s="52"/>
      <c r="Q252" s="52"/>
      <c r="U252" s="52"/>
    </row>
    <row r="253">
      <c r="M253" s="52"/>
      <c r="N253" s="52"/>
      <c r="O253" s="52"/>
      <c r="P253" s="52"/>
      <c r="Q253" s="52"/>
      <c r="U253" s="52"/>
    </row>
    <row r="254">
      <c r="M254" s="52"/>
      <c r="N254" s="52"/>
      <c r="O254" s="52"/>
      <c r="P254" s="52"/>
      <c r="Q254" s="52"/>
      <c r="U254" s="52"/>
    </row>
    <row r="255">
      <c r="M255" s="52"/>
      <c r="N255" s="52"/>
      <c r="O255" s="52"/>
      <c r="P255" s="52"/>
      <c r="Q255" s="52"/>
      <c r="U255" s="52"/>
    </row>
    <row r="256">
      <c r="M256" s="52"/>
      <c r="N256" s="52"/>
      <c r="O256" s="52"/>
      <c r="P256" s="52"/>
      <c r="Q256" s="52"/>
      <c r="U256" s="52"/>
    </row>
    <row r="257">
      <c r="M257" s="52"/>
      <c r="N257" s="52"/>
      <c r="O257" s="52"/>
      <c r="P257" s="52"/>
      <c r="Q257" s="52"/>
      <c r="U257" s="52"/>
    </row>
    <row r="258">
      <c r="M258" s="52"/>
      <c r="N258" s="52"/>
      <c r="O258" s="52"/>
      <c r="P258" s="52"/>
      <c r="Q258" s="52"/>
      <c r="U258" s="52"/>
    </row>
    <row r="259">
      <c r="M259" s="52"/>
      <c r="N259" s="52"/>
      <c r="O259" s="52"/>
      <c r="P259" s="52"/>
      <c r="Q259" s="52"/>
      <c r="U259" s="52"/>
    </row>
    <row r="260">
      <c r="M260" s="52"/>
      <c r="N260" s="52"/>
      <c r="O260" s="52"/>
      <c r="P260" s="52"/>
      <c r="Q260" s="52"/>
      <c r="U260" s="52"/>
    </row>
    <row r="261">
      <c r="M261" s="52"/>
      <c r="N261" s="52"/>
      <c r="O261" s="52"/>
      <c r="P261" s="52"/>
      <c r="Q261" s="52"/>
      <c r="U261" s="52"/>
    </row>
    <row r="262">
      <c r="M262" s="52"/>
      <c r="N262" s="52"/>
      <c r="O262" s="52"/>
      <c r="P262" s="52"/>
      <c r="Q262" s="52"/>
      <c r="U262" s="52"/>
    </row>
    <row r="263">
      <c r="M263" s="52"/>
      <c r="N263" s="52"/>
      <c r="O263" s="52"/>
      <c r="P263" s="52"/>
      <c r="Q263" s="52"/>
      <c r="U263" s="52"/>
    </row>
    <row r="264">
      <c r="M264" s="52"/>
      <c r="N264" s="52"/>
      <c r="O264" s="52"/>
      <c r="P264" s="52"/>
      <c r="Q264" s="52"/>
      <c r="U264" s="52"/>
    </row>
    <row r="265">
      <c r="M265" s="52"/>
      <c r="N265" s="52"/>
      <c r="O265" s="52"/>
      <c r="P265" s="52"/>
      <c r="Q265" s="52"/>
      <c r="U265" s="52"/>
    </row>
    <row r="266">
      <c r="M266" s="52"/>
      <c r="N266" s="52"/>
      <c r="O266" s="52"/>
      <c r="P266" s="52"/>
      <c r="Q266" s="52"/>
      <c r="U266" s="52"/>
    </row>
    <row r="267">
      <c r="M267" s="52"/>
      <c r="N267" s="52"/>
      <c r="O267" s="52"/>
      <c r="P267" s="52"/>
      <c r="Q267" s="52"/>
      <c r="U267" s="52"/>
    </row>
    <row r="268">
      <c r="M268" s="52"/>
      <c r="N268" s="52"/>
      <c r="O268" s="52"/>
      <c r="P268" s="52"/>
      <c r="Q268" s="52"/>
      <c r="U268" s="52"/>
    </row>
    <row r="269">
      <c r="M269" s="52"/>
      <c r="N269" s="52"/>
      <c r="O269" s="52"/>
      <c r="P269" s="52"/>
      <c r="Q269" s="52"/>
      <c r="U269" s="52"/>
    </row>
    <row r="270">
      <c r="M270" s="52"/>
      <c r="N270" s="52"/>
      <c r="O270" s="52"/>
      <c r="P270" s="52"/>
      <c r="Q270" s="52"/>
      <c r="U270" s="52"/>
    </row>
    <row r="271">
      <c r="M271" s="52"/>
      <c r="N271" s="52"/>
      <c r="O271" s="52"/>
      <c r="P271" s="52"/>
      <c r="Q271" s="52"/>
      <c r="U271" s="52"/>
    </row>
    <row r="272">
      <c r="M272" s="52"/>
      <c r="N272" s="52"/>
      <c r="O272" s="52"/>
      <c r="P272" s="52"/>
      <c r="Q272" s="52"/>
      <c r="U272" s="52"/>
    </row>
    <row r="273">
      <c r="M273" s="52"/>
      <c r="N273" s="52"/>
      <c r="O273" s="52"/>
      <c r="P273" s="52"/>
      <c r="Q273" s="52"/>
      <c r="U273" s="52"/>
    </row>
    <row r="274">
      <c r="M274" s="52"/>
      <c r="N274" s="52"/>
      <c r="O274" s="52"/>
      <c r="P274" s="52"/>
      <c r="Q274" s="52"/>
      <c r="U274" s="52"/>
    </row>
    <row r="275">
      <c r="M275" s="52"/>
      <c r="N275" s="52"/>
      <c r="O275" s="52"/>
      <c r="P275" s="52"/>
      <c r="Q275" s="52"/>
      <c r="U275" s="52"/>
    </row>
    <row r="276">
      <c r="M276" s="52"/>
      <c r="N276" s="52"/>
      <c r="O276" s="52"/>
      <c r="P276" s="52"/>
      <c r="Q276" s="52"/>
      <c r="U276" s="52"/>
    </row>
    <row r="277">
      <c r="M277" s="52"/>
      <c r="N277" s="52"/>
      <c r="O277" s="52"/>
      <c r="P277" s="52"/>
      <c r="Q277" s="52"/>
      <c r="U277" s="52"/>
    </row>
    <row r="278">
      <c r="M278" s="52"/>
      <c r="N278" s="52"/>
      <c r="O278" s="52"/>
      <c r="P278" s="52"/>
      <c r="Q278" s="52"/>
      <c r="U278" s="52"/>
    </row>
    <row r="279">
      <c r="M279" s="52"/>
      <c r="N279" s="52"/>
      <c r="O279" s="52"/>
      <c r="P279" s="52"/>
      <c r="Q279" s="52"/>
      <c r="U279" s="52"/>
    </row>
    <row r="280">
      <c r="M280" s="52"/>
      <c r="N280" s="52"/>
      <c r="O280" s="52"/>
      <c r="P280" s="52"/>
      <c r="Q280" s="52"/>
      <c r="U280" s="52"/>
    </row>
    <row r="281">
      <c r="M281" s="52"/>
      <c r="N281" s="52"/>
      <c r="O281" s="52"/>
      <c r="P281" s="52"/>
      <c r="Q281" s="52"/>
      <c r="U281" s="52"/>
    </row>
    <row r="282">
      <c r="M282" s="52"/>
      <c r="N282" s="52"/>
      <c r="O282" s="52"/>
      <c r="P282" s="52"/>
      <c r="Q282" s="52"/>
      <c r="U282" s="52"/>
    </row>
    <row r="283">
      <c r="M283" s="52"/>
      <c r="N283" s="52"/>
      <c r="O283" s="52"/>
      <c r="P283" s="52"/>
      <c r="Q283" s="52"/>
      <c r="U283" s="52"/>
    </row>
    <row r="284">
      <c r="M284" s="52"/>
      <c r="N284" s="52"/>
      <c r="O284" s="52"/>
      <c r="P284" s="52"/>
      <c r="Q284" s="52"/>
      <c r="U284" s="52"/>
    </row>
    <row r="285">
      <c r="M285" s="52"/>
      <c r="N285" s="52"/>
      <c r="O285" s="52"/>
      <c r="P285" s="52"/>
      <c r="Q285" s="52"/>
      <c r="U285" s="52"/>
    </row>
    <row r="286">
      <c r="M286" s="52"/>
      <c r="N286" s="52"/>
      <c r="O286" s="52"/>
      <c r="P286" s="52"/>
      <c r="Q286" s="52"/>
      <c r="U286" s="52"/>
    </row>
    <row r="287">
      <c r="M287" s="52"/>
      <c r="N287" s="52"/>
      <c r="O287" s="52"/>
      <c r="P287" s="52"/>
      <c r="Q287" s="52"/>
      <c r="U287" s="52"/>
    </row>
    <row r="288">
      <c r="M288" s="52"/>
      <c r="N288" s="52"/>
      <c r="O288" s="52"/>
      <c r="P288" s="52"/>
      <c r="Q288" s="52"/>
      <c r="U288" s="52"/>
    </row>
    <row r="289">
      <c r="M289" s="52"/>
      <c r="N289" s="52"/>
      <c r="O289" s="52"/>
      <c r="P289" s="52"/>
      <c r="Q289" s="52"/>
      <c r="U289" s="52"/>
    </row>
    <row r="290">
      <c r="M290" s="52"/>
      <c r="N290" s="52"/>
      <c r="O290" s="52"/>
      <c r="P290" s="52"/>
      <c r="Q290" s="52"/>
      <c r="U290" s="52"/>
    </row>
    <row r="291">
      <c r="M291" s="52"/>
      <c r="N291" s="52"/>
      <c r="O291" s="52"/>
      <c r="P291" s="52"/>
      <c r="Q291" s="52"/>
      <c r="U291" s="52"/>
    </row>
    <row r="292">
      <c r="M292" s="52"/>
      <c r="N292" s="52"/>
      <c r="O292" s="52"/>
      <c r="P292" s="52"/>
      <c r="Q292" s="52"/>
      <c r="U292" s="52"/>
    </row>
    <row r="293">
      <c r="M293" s="52"/>
      <c r="N293" s="52"/>
      <c r="O293" s="52"/>
      <c r="P293" s="52"/>
      <c r="Q293" s="52"/>
      <c r="U293" s="52"/>
    </row>
    <row r="294">
      <c r="M294" s="52"/>
      <c r="N294" s="52"/>
      <c r="O294" s="52"/>
      <c r="P294" s="52"/>
      <c r="Q294" s="52"/>
      <c r="U294" s="52"/>
    </row>
    <row r="295">
      <c r="M295" s="52"/>
      <c r="N295" s="52"/>
      <c r="O295" s="52"/>
      <c r="P295" s="52"/>
      <c r="Q295" s="52"/>
      <c r="U295" s="52"/>
    </row>
    <row r="296">
      <c r="M296" s="52"/>
      <c r="N296" s="52"/>
      <c r="O296" s="52"/>
      <c r="P296" s="52"/>
      <c r="Q296" s="52"/>
      <c r="U296" s="52"/>
    </row>
    <row r="297">
      <c r="M297" s="52"/>
      <c r="N297" s="52"/>
      <c r="O297" s="52"/>
      <c r="P297" s="52"/>
      <c r="Q297" s="52"/>
      <c r="U297" s="52"/>
    </row>
    <row r="298">
      <c r="M298" s="52"/>
      <c r="N298" s="52"/>
      <c r="O298" s="52"/>
      <c r="P298" s="52"/>
      <c r="Q298" s="52"/>
      <c r="U298" s="52"/>
    </row>
    <row r="299">
      <c r="M299" s="52"/>
      <c r="N299" s="52"/>
      <c r="O299" s="52"/>
      <c r="P299" s="52"/>
      <c r="Q299" s="52"/>
      <c r="U299" s="52"/>
    </row>
    <row r="300">
      <c r="M300" s="52"/>
      <c r="N300" s="52"/>
      <c r="O300" s="52"/>
      <c r="P300" s="52"/>
      <c r="Q300" s="52"/>
      <c r="U300" s="52"/>
    </row>
    <row r="301">
      <c r="M301" s="52"/>
      <c r="N301" s="52"/>
      <c r="O301" s="52"/>
      <c r="P301" s="52"/>
      <c r="Q301" s="52"/>
      <c r="U301" s="52"/>
    </row>
    <row r="302">
      <c r="M302" s="52"/>
      <c r="N302" s="52"/>
      <c r="O302" s="52"/>
      <c r="P302" s="52"/>
      <c r="Q302" s="52"/>
      <c r="U302" s="52"/>
    </row>
    <row r="303">
      <c r="M303" s="52"/>
      <c r="N303" s="52"/>
      <c r="O303" s="52"/>
      <c r="P303" s="52"/>
      <c r="Q303" s="52"/>
      <c r="U303" s="52"/>
    </row>
    <row r="304">
      <c r="M304" s="52"/>
      <c r="N304" s="52"/>
      <c r="O304" s="52"/>
      <c r="P304" s="52"/>
      <c r="Q304" s="52"/>
      <c r="U304" s="52"/>
    </row>
    <row r="305">
      <c r="M305" s="52"/>
      <c r="N305" s="52"/>
      <c r="O305" s="52"/>
      <c r="P305" s="52"/>
      <c r="Q305" s="52"/>
      <c r="U305" s="52"/>
    </row>
    <row r="306">
      <c r="M306" s="52"/>
      <c r="N306" s="52"/>
      <c r="O306" s="52"/>
      <c r="P306" s="52"/>
      <c r="Q306" s="52"/>
      <c r="U306" s="52"/>
    </row>
    <row r="307">
      <c r="M307" s="52"/>
      <c r="N307" s="52"/>
      <c r="O307" s="52"/>
      <c r="P307" s="52"/>
      <c r="Q307" s="52"/>
      <c r="U307" s="52"/>
    </row>
    <row r="308">
      <c r="M308" s="52"/>
      <c r="N308" s="52"/>
      <c r="O308" s="52"/>
      <c r="P308" s="52"/>
      <c r="Q308" s="52"/>
      <c r="U308" s="52"/>
    </row>
    <row r="309">
      <c r="M309" s="52"/>
      <c r="N309" s="52"/>
      <c r="O309" s="52"/>
      <c r="P309" s="52"/>
      <c r="Q309" s="52"/>
      <c r="U309" s="52"/>
    </row>
    <row r="310">
      <c r="M310" s="52"/>
      <c r="N310" s="52"/>
      <c r="O310" s="52"/>
      <c r="P310" s="52"/>
      <c r="Q310" s="52"/>
      <c r="U310" s="52"/>
    </row>
    <row r="311">
      <c r="M311" s="52"/>
      <c r="N311" s="52"/>
      <c r="O311" s="52"/>
      <c r="P311" s="52"/>
      <c r="Q311" s="52"/>
      <c r="U311" s="52"/>
    </row>
    <row r="312">
      <c r="M312" s="52"/>
      <c r="N312" s="52"/>
      <c r="O312" s="52"/>
      <c r="P312" s="52"/>
      <c r="Q312" s="52"/>
      <c r="U312" s="52"/>
    </row>
    <row r="313">
      <c r="M313" s="52"/>
      <c r="N313" s="52"/>
      <c r="O313" s="52"/>
      <c r="P313" s="52"/>
      <c r="Q313" s="52"/>
      <c r="U313" s="52"/>
    </row>
    <row r="314">
      <c r="M314" s="52"/>
      <c r="N314" s="52"/>
      <c r="O314" s="52"/>
      <c r="P314" s="52"/>
      <c r="Q314" s="52"/>
      <c r="U314" s="52"/>
    </row>
    <row r="315">
      <c r="M315" s="52"/>
      <c r="N315" s="52"/>
      <c r="O315" s="52"/>
      <c r="P315" s="52"/>
      <c r="Q315" s="52"/>
      <c r="U315" s="52"/>
    </row>
    <row r="316">
      <c r="M316" s="52"/>
      <c r="N316" s="52"/>
      <c r="O316" s="52"/>
      <c r="P316" s="52"/>
      <c r="Q316" s="52"/>
      <c r="U316" s="52"/>
    </row>
    <row r="317">
      <c r="M317" s="52"/>
      <c r="N317" s="52"/>
      <c r="O317" s="52"/>
      <c r="P317" s="52"/>
      <c r="Q317" s="52"/>
      <c r="U317" s="52"/>
    </row>
    <row r="318">
      <c r="M318" s="52"/>
      <c r="N318" s="52"/>
      <c r="O318" s="52"/>
      <c r="P318" s="52"/>
      <c r="Q318" s="52"/>
      <c r="U318" s="52"/>
    </row>
    <row r="319">
      <c r="M319" s="52"/>
      <c r="N319" s="52"/>
      <c r="O319" s="52"/>
      <c r="P319" s="52"/>
      <c r="Q319" s="52"/>
      <c r="U319" s="52"/>
    </row>
    <row r="320">
      <c r="M320" s="52"/>
      <c r="N320" s="52"/>
      <c r="O320" s="52"/>
      <c r="P320" s="52"/>
      <c r="Q320" s="52"/>
      <c r="U320" s="52"/>
    </row>
    <row r="321">
      <c r="M321" s="52"/>
      <c r="N321" s="52"/>
      <c r="O321" s="52"/>
      <c r="P321" s="52"/>
      <c r="Q321" s="52"/>
      <c r="U321" s="52"/>
    </row>
    <row r="322">
      <c r="M322" s="52"/>
      <c r="N322" s="52"/>
      <c r="O322" s="52"/>
      <c r="P322" s="52"/>
      <c r="Q322" s="52"/>
      <c r="U322" s="52"/>
    </row>
    <row r="323">
      <c r="M323" s="52"/>
      <c r="N323" s="52"/>
      <c r="O323" s="52"/>
      <c r="P323" s="52"/>
      <c r="Q323" s="52"/>
      <c r="U323" s="52"/>
    </row>
    <row r="324">
      <c r="M324" s="52"/>
      <c r="N324" s="52"/>
      <c r="O324" s="52"/>
      <c r="P324" s="52"/>
      <c r="Q324" s="52"/>
      <c r="U324" s="52"/>
    </row>
    <row r="325">
      <c r="M325" s="52"/>
      <c r="N325" s="52"/>
      <c r="O325" s="52"/>
      <c r="P325" s="52"/>
      <c r="Q325" s="52"/>
      <c r="U325" s="52"/>
    </row>
    <row r="326">
      <c r="M326" s="52"/>
      <c r="N326" s="52"/>
      <c r="O326" s="52"/>
      <c r="P326" s="52"/>
      <c r="Q326" s="52"/>
      <c r="U326" s="52"/>
    </row>
    <row r="327">
      <c r="M327" s="52"/>
      <c r="N327" s="52"/>
      <c r="O327" s="52"/>
      <c r="P327" s="52"/>
      <c r="Q327" s="52"/>
      <c r="U327" s="52"/>
    </row>
    <row r="328">
      <c r="M328" s="52"/>
      <c r="N328" s="52"/>
      <c r="O328" s="52"/>
      <c r="P328" s="52"/>
      <c r="Q328" s="52"/>
      <c r="U328" s="52"/>
    </row>
    <row r="329">
      <c r="M329" s="52"/>
      <c r="N329" s="52"/>
      <c r="O329" s="52"/>
      <c r="P329" s="52"/>
      <c r="Q329" s="52"/>
      <c r="U329" s="52"/>
    </row>
    <row r="330">
      <c r="M330" s="52"/>
      <c r="N330" s="52"/>
      <c r="O330" s="52"/>
      <c r="P330" s="52"/>
      <c r="Q330" s="52"/>
      <c r="U330" s="52"/>
    </row>
    <row r="331">
      <c r="M331" s="52"/>
      <c r="N331" s="52"/>
      <c r="O331" s="52"/>
      <c r="P331" s="52"/>
      <c r="Q331" s="52"/>
      <c r="U331" s="52"/>
    </row>
    <row r="332">
      <c r="M332" s="52"/>
      <c r="N332" s="52"/>
      <c r="O332" s="52"/>
      <c r="P332" s="52"/>
      <c r="Q332" s="52"/>
      <c r="U332" s="52"/>
    </row>
    <row r="333">
      <c r="M333" s="52"/>
      <c r="N333" s="52"/>
      <c r="O333" s="52"/>
      <c r="P333" s="52"/>
      <c r="Q333" s="52"/>
      <c r="U333" s="52"/>
    </row>
    <row r="334">
      <c r="M334" s="52"/>
      <c r="N334" s="52"/>
      <c r="O334" s="52"/>
      <c r="P334" s="52"/>
      <c r="Q334" s="52"/>
      <c r="U334" s="52"/>
    </row>
    <row r="335">
      <c r="M335" s="52"/>
      <c r="N335" s="52"/>
      <c r="O335" s="52"/>
      <c r="P335" s="52"/>
      <c r="Q335" s="52"/>
      <c r="U335" s="52"/>
    </row>
    <row r="336">
      <c r="M336" s="52"/>
      <c r="N336" s="52"/>
      <c r="O336" s="52"/>
      <c r="P336" s="52"/>
      <c r="Q336" s="52"/>
      <c r="U336" s="52"/>
    </row>
    <row r="337">
      <c r="M337" s="52"/>
      <c r="N337" s="52"/>
      <c r="O337" s="52"/>
      <c r="P337" s="52"/>
      <c r="Q337" s="52"/>
      <c r="U337" s="52"/>
    </row>
    <row r="338">
      <c r="M338" s="52"/>
      <c r="N338" s="52"/>
      <c r="O338" s="52"/>
      <c r="P338" s="52"/>
      <c r="Q338" s="52"/>
      <c r="U338" s="52"/>
    </row>
    <row r="339">
      <c r="M339" s="52"/>
      <c r="N339" s="52"/>
      <c r="O339" s="52"/>
      <c r="P339" s="52"/>
      <c r="Q339" s="52"/>
      <c r="U339" s="52"/>
    </row>
    <row r="340">
      <c r="M340" s="52"/>
      <c r="N340" s="52"/>
      <c r="O340" s="52"/>
      <c r="P340" s="52"/>
      <c r="Q340" s="52"/>
      <c r="U340" s="52"/>
    </row>
    <row r="341">
      <c r="M341" s="52"/>
      <c r="N341" s="52"/>
      <c r="O341" s="52"/>
      <c r="P341" s="52"/>
      <c r="Q341" s="52"/>
      <c r="U341" s="52"/>
    </row>
    <row r="342">
      <c r="M342" s="52"/>
      <c r="N342" s="52"/>
      <c r="O342" s="52"/>
      <c r="P342" s="52"/>
      <c r="Q342" s="52"/>
      <c r="U342" s="52"/>
    </row>
    <row r="343">
      <c r="M343" s="52"/>
      <c r="N343" s="52"/>
      <c r="O343" s="52"/>
      <c r="P343" s="52"/>
      <c r="Q343" s="52"/>
      <c r="U343" s="52"/>
    </row>
    <row r="344">
      <c r="M344" s="52"/>
      <c r="N344" s="52"/>
      <c r="O344" s="52"/>
      <c r="P344" s="52"/>
      <c r="Q344" s="52"/>
      <c r="U344" s="52"/>
    </row>
    <row r="345">
      <c r="M345" s="52"/>
      <c r="N345" s="52"/>
      <c r="O345" s="52"/>
      <c r="P345" s="52"/>
      <c r="Q345" s="52"/>
      <c r="U345" s="52"/>
    </row>
    <row r="346">
      <c r="M346" s="52"/>
      <c r="N346" s="52"/>
      <c r="O346" s="52"/>
      <c r="P346" s="52"/>
      <c r="Q346" s="52"/>
      <c r="U346" s="52"/>
    </row>
    <row r="347">
      <c r="M347" s="52"/>
      <c r="N347" s="52"/>
      <c r="O347" s="52"/>
      <c r="P347" s="52"/>
      <c r="Q347" s="52"/>
      <c r="U347" s="52"/>
    </row>
    <row r="348">
      <c r="M348" s="52"/>
      <c r="N348" s="52"/>
      <c r="O348" s="52"/>
      <c r="P348" s="52"/>
      <c r="Q348" s="52"/>
      <c r="U348" s="52"/>
    </row>
    <row r="349">
      <c r="M349" s="52"/>
      <c r="N349" s="52"/>
      <c r="O349" s="52"/>
      <c r="P349" s="52"/>
      <c r="Q349" s="52"/>
      <c r="U349" s="52"/>
    </row>
    <row r="350">
      <c r="M350" s="52"/>
      <c r="N350" s="52"/>
      <c r="O350" s="52"/>
      <c r="P350" s="52"/>
      <c r="Q350" s="52"/>
      <c r="U350" s="52"/>
    </row>
    <row r="351">
      <c r="M351" s="52"/>
      <c r="N351" s="52"/>
      <c r="O351" s="52"/>
      <c r="P351" s="52"/>
      <c r="Q351" s="52"/>
      <c r="U351" s="52"/>
    </row>
    <row r="352">
      <c r="M352" s="52"/>
      <c r="N352" s="52"/>
      <c r="O352" s="52"/>
      <c r="P352" s="52"/>
      <c r="Q352" s="52"/>
      <c r="U352" s="52"/>
    </row>
    <row r="353">
      <c r="M353" s="52"/>
      <c r="N353" s="52"/>
      <c r="O353" s="52"/>
      <c r="P353" s="52"/>
      <c r="Q353" s="52"/>
      <c r="U353" s="52"/>
    </row>
    <row r="354">
      <c r="M354" s="52"/>
      <c r="N354" s="52"/>
      <c r="O354" s="52"/>
      <c r="P354" s="52"/>
      <c r="Q354" s="52"/>
      <c r="U354" s="52"/>
    </row>
    <row r="355">
      <c r="M355" s="52"/>
      <c r="N355" s="52"/>
      <c r="O355" s="52"/>
      <c r="P355" s="52"/>
      <c r="Q355" s="52"/>
      <c r="U355" s="52"/>
    </row>
    <row r="356">
      <c r="M356" s="52"/>
      <c r="N356" s="52"/>
      <c r="O356" s="52"/>
      <c r="P356" s="52"/>
      <c r="Q356" s="52"/>
      <c r="U356" s="52"/>
    </row>
    <row r="357">
      <c r="M357" s="52"/>
      <c r="N357" s="52"/>
      <c r="O357" s="52"/>
      <c r="P357" s="52"/>
      <c r="Q357" s="52"/>
      <c r="U357" s="52"/>
    </row>
    <row r="358">
      <c r="M358" s="52"/>
      <c r="N358" s="52"/>
      <c r="O358" s="52"/>
      <c r="P358" s="52"/>
      <c r="Q358" s="52"/>
      <c r="U358" s="52"/>
    </row>
    <row r="359">
      <c r="M359" s="52"/>
      <c r="N359" s="52"/>
      <c r="O359" s="52"/>
      <c r="P359" s="52"/>
      <c r="Q359" s="52"/>
      <c r="U359" s="52"/>
    </row>
    <row r="360">
      <c r="M360" s="52"/>
      <c r="N360" s="52"/>
      <c r="O360" s="52"/>
      <c r="P360" s="52"/>
      <c r="Q360" s="52"/>
      <c r="U360" s="52"/>
    </row>
    <row r="361">
      <c r="M361" s="52"/>
      <c r="N361" s="52"/>
      <c r="O361" s="52"/>
      <c r="P361" s="52"/>
      <c r="Q361" s="52"/>
      <c r="U361" s="52"/>
    </row>
    <row r="362">
      <c r="M362" s="52"/>
      <c r="N362" s="52"/>
      <c r="O362" s="52"/>
      <c r="P362" s="52"/>
      <c r="Q362" s="52"/>
      <c r="U362" s="52"/>
    </row>
    <row r="363">
      <c r="M363" s="52"/>
      <c r="N363" s="52"/>
      <c r="O363" s="52"/>
      <c r="P363" s="52"/>
      <c r="Q363" s="52"/>
      <c r="U363" s="52"/>
    </row>
    <row r="364">
      <c r="M364" s="52"/>
      <c r="N364" s="52"/>
      <c r="O364" s="52"/>
      <c r="P364" s="52"/>
      <c r="Q364" s="52"/>
      <c r="U364" s="52"/>
    </row>
    <row r="365">
      <c r="M365" s="52"/>
      <c r="N365" s="52"/>
      <c r="O365" s="52"/>
      <c r="P365" s="52"/>
      <c r="Q365" s="52"/>
      <c r="U365" s="52"/>
    </row>
    <row r="366">
      <c r="M366" s="52"/>
      <c r="N366" s="52"/>
      <c r="O366" s="52"/>
      <c r="P366" s="52"/>
      <c r="Q366" s="52"/>
      <c r="U366" s="52"/>
    </row>
    <row r="367">
      <c r="M367" s="52"/>
      <c r="N367" s="52"/>
      <c r="O367" s="52"/>
      <c r="P367" s="52"/>
      <c r="Q367" s="52"/>
      <c r="U367" s="52"/>
    </row>
    <row r="368">
      <c r="M368" s="52"/>
      <c r="N368" s="52"/>
      <c r="O368" s="52"/>
      <c r="P368" s="52"/>
      <c r="Q368" s="52"/>
      <c r="U368" s="52"/>
    </row>
    <row r="369">
      <c r="M369" s="52"/>
      <c r="N369" s="52"/>
      <c r="O369" s="52"/>
      <c r="P369" s="52"/>
      <c r="Q369" s="52"/>
      <c r="U369" s="52"/>
    </row>
    <row r="370">
      <c r="M370" s="52"/>
      <c r="N370" s="52"/>
      <c r="O370" s="52"/>
      <c r="P370" s="52"/>
      <c r="Q370" s="52"/>
      <c r="U370" s="52"/>
    </row>
    <row r="371">
      <c r="M371" s="52"/>
      <c r="N371" s="52"/>
      <c r="O371" s="52"/>
      <c r="P371" s="52"/>
      <c r="Q371" s="52"/>
      <c r="U371" s="52"/>
    </row>
    <row r="372">
      <c r="M372" s="52"/>
      <c r="N372" s="52"/>
      <c r="O372" s="52"/>
      <c r="P372" s="52"/>
      <c r="Q372" s="52"/>
      <c r="U372" s="52"/>
    </row>
    <row r="373">
      <c r="M373" s="52"/>
      <c r="N373" s="52"/>
      <c r="O373" s="52"/>
      <c r="P373" s="52"/>
      <c r="Q373" s="52"/>
      <c r="U373" s="52"/>
    </row>
    <row r="374">
      <c r="M374" s="52"/>
      <c r="N374" s="52"/>
      <c r="O374" s="52"/>
      <c r="P374" s="52"/>
      <c r="Q374" s="52"/>
      <c r="U374" s="52"/>
    </row>
    <row r="375">
      <c r="M375" s="52"/>
      <c r="N375" s="52"/>
      <c r="O375" s="52"/>
      <c r="P375" s="52"/>
      <c r="Q375" s="52"/>
      <c r="U375" s="52"/>
    </row>
    <row r="376">
      <c r="M376" s="52"/>
      <c r="N376" s="52"/>
      <c r="O376" s="52"/>
      <c r="P376" s="52"/>
      <c r="Q376" s="52"/>
      <c r="U376" s="52"/>
    </row>
    <row r="377">
      <c r="M377" s="52"/>
      <c r="N377" s="52"/>
      <c r="O377" s="52"/>
      <c r="P377" s="52"/>
      <c r="Q377" s="52"/>
      <c r="U377" s="52"/>
    </row>
    <row r="378">
      <c r="M378" s="52"/>
      <c r="N378" s="52"/>
      <c r="O378" s="52"/>
      <c r="P378" s="52"/>
      <c r="Q378" s="52"/>
      <c r="U378" s="52"/>
    </row>
    <row r="379">
      <c r="M379" s="52"/>
      <c r="N379" s="52"/>
      <c r="O379" s="52"/>
      <c r="P379" s="52"/>
      <c r="Q379" s="52"/>
      <c r="U379" s="52"/>
    </row>
    <row r="380">
      <c r="M380" s="52"/>
      <c r="N380" s="52"/>
      <c r="O380" s="52"/>
      <c r="P380" s="52"/>
      <c r="Q380" s="52"/>
      <c r="U380" s="52"/>
    </row>
    <row r="381">
      <c r="M381" s="52"/>
      <c r="N381" s="52"/>
      <c r="O381" s="52"/>
      <c r="P381" s="52"/>
      <c r="Q381" s="52"/>
      <c r="U381" s="52"/>
    </row>
    <row r="382">
      <c r="M382" s="52"/>
      <c r="N382" s="52"/>
      <c r="O382" s="52"/>
      <c r="P382" s="52"/>
      <c r="Q382" s="52"/>
      <c r="U382" s="52"/>
    </row>
    <row r="383">
      <c r="M383" s="52"/>
      <c r="N383" s="52"/>
      <c r="O383" s="52"/>
      <c r="P383" s="52"/>
      <c r="Q383" s="52"/>
      <c r="U383" s="52"/>
    </row>
    <row r="384">
      <c r="M384" s="52"/>
      <c r="N384" s="52"/>
      <c r="O384" s="52"/>
      <c r="P384" s="52"/>
      <c r="Q384" s="52"/>
      <c r="U384" s="52"/>
    </row>
    <row r="385">
      <c r="M385" s="52"/>
      <c r="N385" s="52"/>
      <c r="O385" s="52"/>
      <c r="P385" s="52"/>
      <c r="Q385" s="52"/>
      <c r="U385" s="52"/>
    </row>
    <row r="386">
      <c r="M386" s="52"/>
      <c r="N386" s="52"/>
      <c r="O386" s="52"/>
      <c r="P386" s="52"/>
      <c r="Q386" s="52"/>
      <c r="U386" s="52"/>
    </row>
    <row r="387">
      <c r="M387" s="52"/>
      <c r="N387" s="52"/>
      <c r="O387" s="52"/>
      <c r="P387" s="52"/>
      <c r="Q387" s="52"/>
      <c r="U387" s="52"/>
    </row>
    <row r="388">
      <c r="M388" s="52"/>
      <c r="N388" s="52"/>
      <c r="O388" s="52"/>
      <c r="P388" s="52"/>
      <c r="Q388" s="52"/>
      <c r="U388" s="52"/>
    </row>
    <row r="389">
      <c r="M389" s="52"/>
      <c r="N389" s="52"/>
      <c r="O389" s="52"/>
      <c r="P389" s="52"/>
      <c r="Q389" s="52"/>
      <c r="U389" s="52"/>
    </row>
    <row r="390">
      <c r="M390" s="52"/>
      <c r="N390" s="52"/>
      <c r="O390" s="52"/>
      <c r="P390" s="52"/>
      <c r="Q390" s="52"/>
      <c r="U390" s="52"/>
    </row>
    <row r="391">
      <c r="M391" s="52"/>
      <c r="N391" s="52"/>
      <c r="O391" s="52"/>
      <c r="P391" s="52"/>
      <c r="Q391" s="52"/>
      <c r="U391" s="52"/>
    </row>
    <row r="392">
      <c r="M392" s="52"/>
      <c r="N392" s="52"/>
      <c r="O392" s="52"/>
      <c r="P392" s="52"/>
      <c r="Q392" s="52"/>
      <c r="U392" s="52"/>
    </row>
    <row r="393">
      <c r="M393" s="52"/>
      <c r="N393" s="52"/>
      <c r="O393" s="52"/>
      <c r="P393" s="52"/>
      <c r="Q393" s="52"/>
      <c r="U393" s="52"/>
    </row>
    <row r="394">
      <c r="M394" s="52"/>
      <c r="N394" s="52"/>
      <c r="O394" s="52"/>
      <c r="P394" s="52"/>
      <c r="Q394" s="52"/>
      <c r="U394" s="52"/>
    </row>
    <row r="395">
      <c r="M395" s="52"/>
      <c r="N395" s="52"/>
      <c r="O395" s="52"/>
      <c r="P395" s="52"/>
      <c r="Q395" s="52"/>
      <c r="U395" s="52"/>
    </row>
    <row r="396">
      <c r="M396" s="52"/>
      <c r="N396" s="52"/>
      <c r="O396" s="52"/>
      <c r="P396" s="52"/>
      <c r="Q396" s="52"/>
      <c r="U396" s="52"/>
    </row>
    <row r="397">
      <c r="M397" s="52"/>
      <c r="N397" s="52"/>
      <c r="O397" s="52"/>
      <c r="P397" s="52"/>
      <c r="Q397" s="52"/>
      <c r="U397" s="52"/>
    </row>
    <row r="398">
      <c r="M398" s="52"/>
      <c r="N398" s="52"/>
      <c r="O398" s="52"/>
      <c r="P398" s="52"/>
      <c r="Q398" s="52"/>
      <c r="U398" s="52"/>
    </row>
    <row r="399">
      <c r="M399" s="52"/>
      <c r="N399" s="52"/>
      <c r="O399" s="52"/>
      <c r="P399" s="52"/>
      <c r="Q399" s="52"/>
      <c r="U399" s="52"/>
    </row>
    <row r="400">
      <c r="M400" s="52"/>
      <c r="N400" s="52"/>
      <c r="O400" s="52"/>
      <c r="P400" s="52"/>
      <c r="Q400" s="52"/>
      <c r="U400" s="52"/>
    </row>
    <row r="401">
      <c r="M401" s="52"/>
      <c r="N401" s="52"/>
      <c r="O401" s="52"/>
      <c r="P401" s="52"/>
      <c r="Q401" s="52"/>
      <c r="U401" s="52"/>
    </row>
    <row r="402">
      <c r="M402" s="52"/>
      <c r="N402" s="52"/>
      <c r="O402" s="52"/>
      <c r="P402" s="52"/>
      <c r="Q402" s="52"/>
      <c r="U402" s="52"/>
    </row>
    <row r="403">
      <c r="M403" s="52"/>
      <c r="N403" s="52"/>
      <c r="O403" s="52"/>
      <c r="P403" s="52"/>
      <c r="Q403" s="52"/>
      <c r="U403" s="52"/>
    </row>
    <row r="404">
      <c r="M404" s="52"/>
      <c r="N404" s="52"/>
      <c r="O404" s="52"/>
      <c r="P404" s="52"/>
      <c r="Q404" s="52"/>
      <c r="U404" s="52"/>
    </row>
    <row r="405">
      <c r="M405" s="52"/>
      <c r="N405" s="52"/>
      <c r="O405" s="52"/>
      <c r="P405" s="52"/>
      <c r="Q405" s="52"/>
      <c r="U405" s="52"/>
    </row>
    <row r="406">
      <c r="M406" s="52"/>
      <c r="N406" s="52"/>
      <c r="O406" s="52"/>
      <c r="P406" s="52"/>
      <c r="Q406" s="52"/>
      <c r="U406" s="52"/>
    </row>
    <row r="407">
      <c r="M407" s="52"/>
      <c r="N407" s="52"/>
      <c r="O407" s="52"/>
      <c r="P407" s="52"/>
      <c r="Q407" s="52"/>
      <c r="U407" s="52"/>
    </row>
    <row r="408">
      <c r="M408" s="52"/>
      <c r="N408" s="52"/>
      <c r="O408" s="52"/>
      <c r="P408" s="52"/>
      <c r="Q408" s="52"/>
      <c r="U408" s="52"/>
    </row>
    <row r="409">
      <c r="M409" s="52"/>
      <c r="N409" s="52"/>
      <c r="O409" s="52"/>
      <c r="P409" s="52"/>
      <c r="Q409" s="52"/>
      <c r="U409" s="52"/>
    </row>
    <row r="410">
      <c r="M410" s="52"/>
      <c r="N410" s="52"/>
      <c r="O410" s="52"/>
      <c r="P410" s="52"/>
      <c r="Q410" s="52"/>
      <c r="U410" s="52"/>
    </row>
    <row r="411">
      <c r="M411" s="52"/>
      <c r="N411" s="52"/>
      <c r="O411" s="52"/>
      <c r="P411" s="52"/>
      <c r="Q411" s="52"/>
      <c r="U411" s="52"/>
    </row>
    <row r="412">
      <c r="M412" s="52"/>
      <c r="N412" s="52"/>
      <c r="O412" s="52"/>
      <c r="P412" s="52"/>
      <c r="Q412" s="52"/>
      <c r="U412" s="52"/>
    </row>
    <row r="413">
      <c r="M413" s="52"/>
      <c r="N413" s="52"/>
      <c r="O413" s="52"/>
      <c r="P413" s="52"/>
      <c r="Q413" s="52"/>
      <c r="U413" s="52"/>
    </row>
    <row r="414">
      <c r="M414" s="52"/>
      <c r="N414" s="52"/>
      <c r="O414" s="52"/>
      <c r="P414" s="52"/>
      <c r="Q414" s="52"/>
      <c r="U414" s="52"/>
    </row>
    <row r="415">
      <c r="M415" s="52"/>
      <c r="N415" s="52"/>
      <c r="O415" s="52"/>
      <c r="P415" s="52"/>
      <c r="Q415" s="52"/>
      <c r="U415" s="52"/>
    </row>
    <row r="416">
      <c r="M416" s="52"/>
      <c r="N416" s="52"/>
      <c r="O416" s="52"/>
      <c r="P416" s="52"/>
      <c r="Q416" s="52"/>
      <c r="U416" s="52"/>
    </row>
    <row r="417">
      <c r="M417" s="52"/>
      <c r="N417" s="52"/>
      <c r="O417" s="52"/>
      <c r="P417" s="52"/>
      <c r="Q417" s="52"/>
      <c r="U417" s="52"/>
    </row>
    <row r="418">
      <c r="M418" s="52"/>
      <c r="N418" s="52"/>
      <c r="O418" s="52"/>
      <c r="P418" s="52"/>
      <c r="Q418" s="52"/>
      <c r="U418" s="52"/>
    </row>
    <row r="419">
      <c r="M419" s="52"/>
      <c r="N419" s="52"/>
      <c r="O419" s="52"/>
      <c r="P419" s="52"/>
      <c r="Q419" s="52"/>
      <c r="U419" s="52"/>
    </row>
    <row r="420">
      <c r="M420" s="52"/>
      <c r="N420" s="52"/>
      <c r="O420" s="52"/>
      <c r="P420" s="52"/>
      <c r="Q420" s="52"/>
      <c r="U420" s="52"/>
    </row>
    <row r="421">
      <c r="M421" s="52"/>
      <c r="N421" s="52"/>
      <c r="O421" s="52"/>
      <c r="P421" s="52"/>
      <c r="Q421" s="52"/>
      <c r="U421" s="52"/>
    </row>
    <row r="422">
      <c r="M422" s="52"/>
      <c r="N422" s="52"/>
      <c r="O422" s="52"/>
      <c r="P422" s="52"/>
      <c r="Q422" s="52"/>
      <c r="U422" s="52"/>
    </row>
    <row r="423">
      <c r="M423" s="52"/>
      <c r="N423" s="52"/>
      <c r="O423" s="52"/>
      <c r="P423" s="52"/>
      <c r="Q423" s="52"/>
      <c r="U423" s="52"/>
    </row>
    <row r="424">
      <c r="M424" s="52"/>
      <c r="N424" s="52"/>
      <c r="O424" s="52"/>
      <c r="P424" s="52"/>
      <c r="Q424" s="52"/>
      <c r="U424" s="52"/>
    </row>
    <row r="425">
      <c r="M425" s="52"/>
      <c r="N425" s="52"/>
      <c r="O425" s="52"/>
      <c r="P425" s="52"/>
      <c r="Q425" s="52"/>
      <c r="U425" s="52"/>
    </row>
    <row r="426">
      <c r="M426" s="52"/>
      <c r="N426" s="52"/>
      <c r="O426" s="52"/>
      <c r="P426" s="52"/>
      <c r="Q426" s="52"/>
      <c r="U426" s="52"/>
    </row>
    <row r="427">
      <c r="M427" s="52"/>
      <c r="N427" s="52"/>
      <c r="O427" s="52"/>
      <c r="P427" s="52"/>
      <c r="Q427" s="52"/>
      <c r="U427" s="52"/>
    </row>
    <row r="428">
      <c r="M428" s="52"/>
      <c r="N428" s="52"/>
      <c r="O428" s="52"/>
      <c r="P428" s="52"/>
      <c r="Q428" s="52"/>
      <c r="U428" s="52"/>
    </row>
    <row r="429">
      <c r="M429" s="52"/>
      <c r="N429" s="52"/>
      <c r="O429" s="52"/>
      <c r="P429" s="52"/>
      <c r="Q429" s="52"/>
      <c r="U429" s="52"/>
    </row>
    <row r="430">
      <c r="M430" s="52"/>
      <c r="N430" s="52"/>
      <c r="O430" s="52"/>
      <c r="P430" s="52"/>
      <c r="Q430" s="52"/>
      <c r="U430" s="52"/>
    </row>
    <row r="431">
      <c r="M431" s="52"/>
      <c r="N431" s="52"/>
      <c r="O431" s="52"/>
      <c r="P431" s="52"/>
      <c r="Q431" s="52"/>
      <c r="U431" s="52"/>
    </row>
    <row r="432">
      <c r="M432" s="52"/>
      <c r="N432" s="52"/>
      <c r="O432" s="52"/>
      <c r="P432" s="52"/>
      <c r="Q432" s="52"/>
      <c r="U432" s="52"/>
    </row>
    <row r="433">
      <c r="M433" s="52"/>
      <c r="N433" s="52"/>
      <c r="O433" s="52"/>
      <c r="P433" s="52"/>
      <c r="Q433" s="52"/>
      <c r="U433" s="52"/>
    </row>
    <row r="434">
      <c r="M434" s="52"/>
      <c r="N434" s="52"/>
      <c r="O434" s="52"/>
      <c r="P434" s="52"/>
      <c r="Q434" s="52"/>
      <c r="U434" s="52"/>
    </row>
    <row r="435">
      <c r="M435" s="52"/>
      <c r="N435" s="52"/>
      <c r="O435" s="52"/>
      <c r="P435" s="52"/>
      <c r="Q435" s="52"/>
      <c r="U435" s="52"/>
    </row>
    <row r="436">
      <c r="M436" s="52"/>
      <c r="N436" s="52"/>
      <c r="O436" s="52"/>
      <c r="P436" s="52"/>
      <c r="Q436" s="52"/>
      <c r="U436" s="52"/>
    </row>
    <row r="437">
      <c r="M437" s="52"/>
      <c r="N437" s="52"/>
      <c r="O437" s="52"/>
      <c r="P437" s="52"/>
      <c r="Q437" s="52"/>
      <c r="U437" s="52"/>
    </row>
    <row r="438">
      <c r="M438" s="52"/>
      <c r="N438" s="52"/>
      <c r="O438" s="52"/>
      <c r="P438" s="52"/>
      <c r="Q438" s="52"/>
      <c r="U438" s="52"/>
    </row>
    <row r="439">
      <c r="M439" s="52"/>
      <c r="N439" s="52"/>
      <c r="O439" s="52"/>
      <c r="P439" s="52"/>
      <c r="Q439" s="52"/>
      <c r="U439" s="52"/>
    </row>
    <row r="440">
      <c r="M440" s="52"/>
      <c r="N440" s="52"/>
      <c r="O440" s="52"/>
      <c r="P440" s="52"/>
      <c r="Q440" s="52"/>
      <c r="U440" s="52"/>
    </row>
    <row r="441">
      <c r="M441" s="52"/>
      <c r="N441" s="52"/>
      <c r="O441" s="52"/>
      <c r="P441" s="52"/>
      <c r="Q441" s="52"/>
      <c r="U441" s="52"/>
    </row>
    <row r="442">
      <c r="M442" s="52"/>
      <c r="N442" s="52"/>
      <c r="O442" s="52"/>
      <c r="P442" s="52"/>
      <c r="Q442" s="52"/>
      <c r="U442" s="52"/>
    </row>
    <row r="443">
      <c r="M443" s="52"/>
      <c r="N443" s="52"/>
      <c r="O443" s="52"/>
      <c r="P443" s="52"/>
      <c r="Q443" s="52"/>
      <c r="U443" s="52"/>
    </row>
    <row r="444">
      <c r="M444" s="52"/>
      <c r="N444" s="52"/>
      <c r="O444" s="52"/>
      <c r="P444" s="52"/>
      <c r="Q444" s="52"/>
      <c r="U444" s="52"/>
    </row>
    <row r="445">
      <c r="M445" s="52"/>
      <c r="N445" s="52"/>
      <c r="O445" s="52"/>
      <c r="P445" s="52"/>
      <c r="Q445" s="52"/>
      <c r="U445" s="52"/>
    </row>
    <row r="446">
      <c r="M446" s="52"/>
      <c r="N446" s="52"/>
      <c r="O446" s="52"/>
      <c r="P446" s="52"/>
      <c r="Q446" s="52"/>
      <c r="U446" s="52"/>
    </row>
    <row r="447">
      <c r="M447" s="52"/>
      <c r="N447" s="52"/>
      <c r="O447" s="52"/>
      <c r="P447" s="52"/>
      <c r="Q447" s="52"/>
      <c r="U447" s="52"/>
    </row>
    <row r="448">
      <c r="M448" s="52"/>
      <c r="N448" s="52"/>
      <c r="O448" s="52"/>
      <c r="P448" s="52"/>
      <c r="Q448" s="52"/>
      <c r="U448" s="52"/>
    </row>
    <row r="449">
      <c r="M449" s="52"/>
      <c r="N449" s="52"/>
      <c r="O449" s="52"/>
      <c r="P449" s="52"/>
      <c r="Q449" s="52"/>
      <c r="U449" s="52"/>
    </row>
    <row r="450">
      <c r="M450" s="52"/>
      <c r="N450" s="52"/>
      <c r="O450" s="52"/>
      <c r="P450" s="52"/>
      <c r="Q450" s="52"/>
      <c r="U450" s="52"/>
    </row>
    <row r="451">
      <c r="M451" s="52"/>
      <c r="N451" s="52"/>
      <c r="O451" s="52"/>
      <c r="P451" s="52"/>
      <c r="Q451" s="52"/>
      <c r="U451" s="52"/>
    </row>
    <row r="452">
      <c r="M452" s="52"/>
      <c r="N452" s="52"/>
      <c r="O452" s="52"/>
      <c r="P452" s="52"/>
      <c r="Q452" s="52"/>
      <c r="U452" s="52"/>
    </row>
    <row r="453">
      <c r="M453" s="52"/>
      <c r="N453" s="52"/>
      <c r="O453" s="52"/>
      <c r="P453" s="52"/>
      <c r="Q453" s="52"/>
      <c r="U453" s="52"/>
    </row>
    <row r="454">
      <c r="M454" s="52"/>
      <c r="N454" s="52"/>
      <c r="O454" s="52"/>
      <c r="P454" s="52"/>
      <c r="Q454" s="52"/>
      <c r="U454" s="52"/>
    </row>
    <row r="455">
      <c r="M455" s="52"/>
      <c r="N455" s="52"/>
      <c r="O455" s="52"/>
      <c r="P455" s="52"/>
      <c r="Q455" s="52"/>
      <c r="U455" s="52"/>
    </row>
    <row r="456">
      <c r="M456" s="52"/>
      <c r="N456" s="52"/>
      <c r="O456" s="52"/>
      <c r="P456" s="52"/>
      <c r="Q456" s="52"/>
      <c r="U456" s="52"/>
    </row>
    <row r="457">
      <c r="M457" s="52"/>
      <c r="N457" s="52"/>
      <c r="O457" s="52"/>
      <c r="P457" s="52"/>
      <c r="Q457" s="52"/>
      <c r="U457" s="52"/>
    </row>
    <row r="458">
      <c r="M458" s="52"/>
      <c r="N458" s="52"/>
      <c r="O458" s="52"/>
      <c r="P458" s="52"/>
      <c r="Q458" s="52"/>
      <c r="U458" s="52"/>
    </row>
    <row r="459">
      <c r="M459" s="52"/>
      <c r="N459" s="52"/>
      <c r="O459" s="52"/>
      <c r="P459" s="52"/>
      <c r="Q459" s="52"/>
      <c r="U459" s="52"/>
    </row>
    <row r="460">
      <c r="M460" s="52"/>
      <c r="N460" s="52"/>
      <c r="O460" s="52"/>
      <c r="P460" s="52"/>
      <c r="Q460" s="52"/>
      <c r="U460" s="52"/>
    </row>
    <row r="461">
      <c r="M461" s="52"/>
      <c r="N461" s="52"/>
      <c r="O461" s="52"/>
      <c r="P461" s="52"/>
      <c r="Q461" s="52"/>
      <c r="U461" s="52"/>
    </row>
    <row r="462">
      <c r="M462" s="52"/>
      <c r="N462" s="52"/>
      <c r="O462" s="52"/>
      <c r="P462" s="52"/>
      <c r="Q462" s="52"/>
      <c r="U462" s="52"/>
    </row>
    <row r="463">
      <c r="M463" s="52"/>
      <c r="N463" s="52"/>
      <c r="O463" s="52"/>
      <c r="P463" s="52"/>
      <c r="Q463" s="52"/>
      <c r="U463" s="52"/>
    </row>
    <row r="464">
      <c r="M464" s="52"/>
      <c r="N464" s="52"/>
      <c r="O464" s="52"/>
      <c r="P464" s="52"/>
      <c r="Q464" s="52"/>
      <c r="U464" s="52"/>
    </row>
    <row r="465">
      <c r="M465" s="52"/>
      <c r="N465" s="52"/>
      <c r="O465" s="52"/>
      <c r="P465" s="52"/>
      <c r="Q465" s="52"/>
      <c r="U465" s="52"/>
    </row>
    <row r="466">
      <c r="M466" s="52"/>
      <c r="N466" s="52"/>
      <c r="O466" s="52"/>
      <c r="P466" s="52"/>
      <c r="Q466" s="52"/>
      <c r="U466" s="52"/>
    </row>
    <row r="467">
      <c r="M467" s="52"/>
      <c r="N467" s="52"/>
      <c r="O467" s="52"/>
      <c r="P467" s="52"/>
      <c r="Q467" s="52"/>
      <c r="U467" s="52"/>
    </row>
    <row r="468">
      <c r="M468" s="52"/>
      <c r="N468" s="52"/>
      <c r="O468" s="52"/>
      <c r="P468" s="52"/>
      <c r="Q468" s="52"/>
      <c r="U468" s="52"/>
    </row>
    <row r="469">
      <c r="M469" s="52"/>
      <c r="N469" s="52"/>
      <c r="O469" s="52"/>
      <c r="P469" s="52"/>
      <c r="Q469" s="52"/>
      <c r="U469" s="52"/>
    </row>
    <row r="470">
      <c r="M470" s="52"/>
      <c r="N470" s="52"/>
      <c r="O470" s="52"/>
      <c r="P470" s="52"/>
      <c r="Q470" s="52"/>
      <c r="U470" s="52"/>
    </row>
    <row r="471">
      <c r="M471" s="52"/>
      <c r="N471" s="52"/>
      <c r="O471" s="52"/>
      <c r="P471" s="52"/>
      <c r="Q471" s="52"/>
      <c r="U471" s="52"/>
    </row>
    <row r="472">
      <c r="M472" s="52"/>
      <c r="N472" s="52"/>
      <c r="O472" s="52"/>
      <c r="P472" s="52"/>
      <c r="Q472" s="52"/>
      <c r="U472" s="52"/>
    </row>
    <row r="473">
      <c r="M473" s="52"/>
      <c r="N473" s="52"/>
      <c r="O473" s="52"/>
      <c r="P473" s="52"/>
      <c r="Q473" s="52"/>
      <c r="U473" s="52"/>
    </row>
    <row r="474">
      <c r="M474" s="52"/>
      <c r="N474" s="52"/>
      <c r="O474" s="52"/>
      <c r="P474" s="52"/>
      <c r="Q474" s="52"/>
      <c r="U474" s="52"/>
    </row>
    <row r="475">
      <c r="M475" s="52"/>
      <c r="N475" s="52"/>
      <c r="O475" s="52"/>
      <c r="P475" s="52"/>
      <c r="Q475" s="52"/>
      <c r="U475" s="52"/>
    </row>
    <row r="476">
      <c r="M476" s="52"/>
      <c r="N476" s="52"/>
      <c r="O476" s="52"/>
      <c r="P476" s="52"/>
      <c r="Q476" s="52"/>
      <c r="U476" s="52"/>
    </row>
    <row r="477">
      <c r="M477" s="52"/>
      <c r="N477" s="52"/>
      <c r="O477" s="52"/>
      <c r="P477" s="52"/>
      <c r="Q477" s="52"/>
      <c r="U477" s="52"/>
    </row>
    <row r="478">
      <c r="M478" s="52"/>
      <c r="N478" s="52"/>
      <c r="O478" s="52"/>
      <c r="P478" s="52"/>
      <c r="Q478" s="52"/>
      <c r="U478" s="52"/>
    </row>
    <row r="479">
      <c r="M479" s="52"/>
      <c r="N479" s="52"/>
      <c r="O479" s="52"/>
      <c r="P479" s="52"/>
      <c r="Q479" s="52"/>
      <c r="U479" s="52"/>
    </row>
    <row r="480">
      <c r="M480" s="52"/>
      <c r="N480" s="52"/>
      <c r="O480" s="52"/>
      <c r="P480" s="52"/>
      <c r="Q480" s="52"/>
      <c r="U480" s="52"/>
    </row>
    <row r="481">
      <c r="M481" s="52"/>
      <c r="N481" s="52"/>
      <c r="O481" s="52"/>
      <c r="P481" s="52"/>
      <c r="Q481" s="52"/>
      <c r="U481" s="52"/>
    </row>
    <row r="482">
      <c r="M482" s="52"/>
      <c r="N482" s="52"/>
      <c r="O482" s="52"/>
      <c r="P482" s="52"/>
      <c r="Q482" s="52"/>
      <c r="U482" s="52"/>
    </row>
    <row r="483">
      <c r="M483" s="52"/>
      <c r="N483" s="52"/>
      <c r="O483" s="52"/>
      <c r="P483" s="52"/>
      <c r="Q483" s="52"/>
      <c r="U483" s="52"/>
    </row>
    <row r="484">
      <c r="M484" s="52"/>
      <c r="N484" s="52"/>
      <c r="O484" s="52"/>
      <c r="P484" s="52"/>
      <c r="Q484" s="52"/>
      <c r="U484" s="52"/>
    </row>
    <row r="485">
      <c r="M485" s="52"/>
      <c r="N485" s="52"/>
      <c r="O485" s="52"/>
      <c r="P485" s="52"/>
      <c r="Q485" s="52"/>
      <c r="U485" s="52"/>
    </row>
    <row r="486">
      <c r="M486" s="52"/>
      <c r="N486" s="52"/>
      <c r="O486" s="52"/>
      <c r="P486" s="52"/>
      <c r="Q486" s="52"/>
      <c r="U486" s="52"/>
    </row>
    <row r="487">
      <c r="M487" s="52"/>
      <c r="N487" s="52"/>
      <c r="O487" s="52"/>
      <c r="P487" s="52"/>
      <c r="Q487" s="52"/>
      <c r="U487" s="52"/>
    </row>
    <row r="488">
      <c r="M488" s="52"/>
      <c r="N488" s="52"/>
      <c r="O488" s="52"/>
      <c r="P488" s="52"/>
      <c r="Q488" s="52"/>
      <c r="U488" s="52"/>
    </row>
    <row r="489">
      <c r="M489" s="52"/>
      <c r="N489" s="52"/>
      <c r="O489" s="52"/>
      <c r="P489" s="52"/>
      <c r="Q489" s="52"/>
      <c r="U489" s="52"/>
    </row>
    <row r="490">
      <c r="M490" s="52"/>
      <c r="N490" s="52"/>
      <c r="O490" s="52"/>
      <c r="P490" s="52"/>
      <c r="Q490" s="52"/>
      <c r="U490" s="52"/>
    </row>
    <row r="491">
      <c r="M491" s="52"/>
      <c r="N491" s="52"/>
      <c r="O491" s="52"/>
      <c r="P491" s="52"/>
      <c r="Q491" s="52"/>
      <c r="U491" s="52"/>
    </row>
    <row r="492">
      <c r="M492" s="52"/>
      <c r="N492" s="52"/>
      <c r="O492" s="52"/>
      <c r="P492" s="52"/>
      <c r="Q492" s="52"/>
      <c r="U492" s="52"/>
    </row>
    <row r="493">
      <c r="M493" s="52"/>
      <c r="N493" s="52"/>
      <c r="O493" s="52"/>
      <c r="P493" s="52"/>
      <c r="Q493" s="52"/>
      <c r="U493" s="52"/>
    </row>
    <row r="494">
      <c r="M494" s="52"/>
      <c r="N494" s="52"/>
      <c r="O494" s="52"/>
      <c r="P494" s="52"/>
      <c r="Q494" s="52"/>
      <c r="U494" s="52"/>
    </row>
    <row r="495">
      <c r="M495" s="52"/>
      <c r="N495" s="52"/>
      <c r="O495" s="52"/>
      <c r="P495" s="52"/>
      <c r="Q495" s="52"/>
      <c r="U495" s="52"/>
    </row>
    <row r="496">
      <c r="M496" s="52"/>
      <c r="N496" s="52"/>
      <c r="O496" s="52"/>
      <c r="P496" s="52"/>
      <c r="Q496" s="52"/>
      <c r="U496" s="52"/>
    </row>
    <row r="497">
      <c r="M497" s="52"/>
      <c r="N497" s="52"/>
      <c r="O497" s="52"/>
      <c r="P497" s="52"/>
      <c r="Q497" s="52"/>
      <c r="U497" s="52"/>
    </row>
    <row r="498">
      <c r="M498" s="52"/>
      <c r="N498" s="52"/>
      <c r="O498" s="52"/>
      <c r="P498" s="52"/>
      <c r="Q498" s="52"/>
      <c r="U498" s="52"/>
    </row>
    <row r="499">
      <c r="M499" s="52"/>
      <c r="N499" s="52"/>
      <c r="O499" s="52"/>
      <c r="P499" s="52"/>
      <c r="Q499" s="52"/>
      <c r="U499" s="52"/>
    </row>
    <row r="500">
      <c r="M500" s="52"/>
      <c r="N500" s="52"/>
      <c r="O500" s="52"/>
      <c r="P500" s="52"/>
      <c r="Q500" s="52"/>
      <c r="U500" s="52"/>
    </row>
    <row r="501">
      <c r="M501" s="52"/>
      <c r="N501" s="52"/>
      <c r="O501" s="52"/>
      <c r="P501" s="52"/>
      <c r="Q501" s="52"/>
      <c r="U501" s="52"/>
    </row>
    <row r="502">
      <c r="M502" s="52"/>
      <c r="N502" s="52"/>
      <c r="O502" s="52"/>
      <c r="P502" s="52"/>
      <c r="Q502" s="52"/>
      <c r="U502" s="52"/>
    </row>
    <row r="503">
      <c r="M503" s="52"/>
      <c r="N503" s="52"/>
      <c r="O503" s="52"/>
      <c r="P503" s="52"/>
      <c r="Q503" s="52"/>
      <c r="U503" s="52"/>
    </row>
    <row r="504">
      <c r="M504" s="52"/>
      <c r="N504" s="52"/>
      <c r="O504" s="52"/>
      <c r="P504" s="52"/>
      <c r="Q504" s="52"/>
      <c r="U504" s="52"/>
    </row>
    <row r="505">
      <c r="M505" s="52"/>
      <c r="N505" s="52"/>
      <c r="O505" s="52"/>
      <c r="P505" s="52"/>
      <c r="Q505" s="52"/>
      <c r="U505" s="52"/>
    </row>
    <row r="506">
      <c r="M506" s="52"/>
      <c r="N506" s="52"/>
      <c r="O506" s="52"/>
      <c r="P506" s="52"/>
      <c r="Q506" s="52"/>
      <c r="U506" s="52"/>
    </row>
    <row r="507">
      <c r="M507" s="52"/>
      <c r="N507" s="52"/>
      <c r="O507" s="52"/>
      <c r="P507" s="52"/>
      <c r="Q507" s="52"/>
      <c r="U507" s="52"/>
    </row>
    <row r="508">
      <c r="M508" s="52"/>
      <c r="N508" s="52"/>
      <c r="O508" s="52"/>
      <c r="P508" s="52"/>
      <c r="Q508" s="52"/>
      <c r="U508" s="52"/>
    </row>
    <row r="509">
      <c r="M509" s="52"/>
      <c r="N509" s="52"/>
      <c r="O509" s="52"/>
      <c r="P509" s="52"/>
      <c r="Q509" s="52"/>
      <c r="U509" s="52"/>
    </row>
    <row r="510">
      <c r="M510" s="52"/>
      <c r="N510" s="52"/>
      <c r="O510" s="52"/>
      <c r="P510" s="52"/>
      <c r="Q510" s="52"/>
      <c r="U510" s="52"/>
    </row>
    <row r="511">
      <c r="M511" s="52"/>
      <c r="N511" s="52"/>
      <c r="O511" s="52"/>
      <c r="P511" s="52"/>
      <c r="Q511" s="52"/>
      <c r="U511" s="52"/>
    </row>
    <row r="512">
      <c r="M512" s="52"/>
      <c r="N512" s="52"/>
      <c r="O512" s="52"/>
      <c r="P512" s="52"/>
      <c r="Q512" s="52"/>
      <c r="U512" s="52"/>
    </row>
    <row r="513">
      <c r="M513" s="52"/>
      <c r="N513" s="52"/>
      <c r="O513" s="52"/>
      <c r="P513" s="52"/>
      <c r="Q513" s="52"/>
      <c r="U513" s="52"/>
    </row>
    <row r="514">
      <c r="M514" s="52"/>
      <c r="N514" s="52"/>
      <c r="O514" s="52"/>
      <c r="P514" s="52"/>
      <c r="Q514" s="52"/>
      <c r="U514" s="52"/>
    </row>
    <row r="515">
      <c r="M515" s="52"/>
      <c r="N515" s="52"/>
      <c r="O515" s="52"/>
      <c r="P515" s="52"/>
      <c r="Q515" s="52"/>
      <c r="U515" s="52"/>
    </row>
    <row r="516">
      <c r="M516" s="52"/>
      <c r="N516" s="52"/>
      <c r="O516" s="52"/>
      <c r="P516" s="52"/>
      <c r="Q516" s="52"/>
      <c r="U516" s="52"/>
    </row>
    <row r="517">
      <c r="M517" s="52"/>
      <c r="N517" s="52"/>
      <c r="O517" s="52"/>
      <c r="P517" s="52"/>
      <c r="Q517" s="52"/>
      <c r="U517" s="52"/>
    </row>
    <row r="518">
      <c r="M518" s="52"/>
      <c r="N518" s="52"/>
      <c r="O518" s="52"/>
      <c r="P518" s="52"/>
      <c r="Q518" s="52"/>
      <c r="U518" s="52"/>
    </row>
    <row r="519">
      <c r="M519" s="52"/>
      <c r="N519" s="52"/>
      <c r="O519" s="52"/>
      <c r="P519" s="52"/>
      <c r="Q519" s="52"/>
      <c r="U519" s="52"/>
    </row>
    <row r="520">
      <c r="M520" s="52"/>
      <c r="N520" s="52"/>
      <c r="O520" s="52"/>
      <c r="P520" s="52"/>
      <c r="Q520" s="52"/>
      <c r="U520" s="52"/>
    </row>
    <row r="521">
      <c r="M521" s="52"/>
      <c r="N521" s="52"/>
      <c r="O521" s="52"/>
      <c r="P521" s="52"/>
      <c r="Q521" s="52"/>
      <c r="U521" s="52"/>
    </row>
    <row r="522">
      <c r="M522" s="52"/>
      <c r="N522" s="52"/>
      <c r="O522" s="52"/>
      <c r="P522" s="52"/>
      <c r="Q522" s="52"/>
      <c r="U522" s="52"/>
    </row>
    <row r="523">
      <c r="M523" s="52"/>
      <c r="N523" s="52"/>
      <c r="O523" s="52"/>
      <c r="P523" s="52"/>
      <c r="Q523" s="52"/>
      <c r="U523" s="52"/>
    </row>
    <row r="524">
      <c r="M524" s="52"/>
      <c r="N524" s="52"/>
      <c r="O524" s="52"/>
      <c r="P524" s="52"/>
      <c r="Q524" s="52"/>
      <c r="U524" s="52"/>
    </row>
    <row r="525">
      <c r="M525" s="52"/>
      <c r="N525" s="52"/>
      <c r="O525" s="52"/>
      <c r="P525" s="52"/>
      <c r="Q525" s="52"/>
      <c r="U525" s="52"/>
    </row>
    <row r="526">
      <c r="M526" s="52"/>
      <c r="N526" s="52"/>
      <c r="O526" s="52"/>
      <c r="P526" s="52"/>
      <c r="Q526" s="52"/>
      <c r="U526" s="52"/>
    </row>
    <row r="527">
      <c r="M527" s="52"/>
      <c r="N527" s="52"/>
      <c r="O527" s="52"/>
      <c r="P527" s="52"/>
      <c r="Q527" s="52"/>
      <c r="U527" s="52"/>
    </row>
    <row r="528">
      <c r="M528" s="52"/>
      <c r="N528" s="52"/>
      <c r="O528" s="52"/>
      <c r="P528" s="52"/>
      <c r="Q528" s="52"/>
      <c r="U528" s="52"/>
    </row>
    <row r="529">
      <c r="M529" s="52"/>
      <c r="N529" s="52"/>
      <c r="O529" s="52"/>
      <c r="P529" s="52"/>
      <c r="Q529" s="52"/>
      <c r="U529" s="52"/>
    </row>
    <row r="530">
      <c r="M530" s="52"/>
      <c r="N530" s="52"/>
      <c r="O530" s="52"/>
      <c r="P530" s="52"/>
      <c r="Q530" s="52"/>
      <c r="U530" s="52"/>
    </row>
    <row r="531">
      <c r="M531" s="52"/>
      <c r="N531" s="52"/>
      <c r="O531" s="52"/>
      <c r="P531" s="52"/>
      <c r="Q531" s="52"/>
      <c r="U531" s="52"/>
    </row>
    <row r="532">
      <c r="M532" s="52"/>
      <c r="N532" s="52"/>
      <c r="O532" s="52"/>
      <c r="P532" s="52"/>
      <c r="Q532" s="52"/>
      <c r="U532" s="52"/>
    </row>
    <row r="533">
      <c r="M533" s="52"/>
      <c r="N533" s="52"/>
      <c r="O533" s="52"/>
      <c r="P533" s="52"/>
      <c r="Q533" s="52"/>
      <c r="U533" s="52"/>
    </row>
    <row r="534">
      <c r="M534" s="52"/>
      <c r="N534" s="52"/>
      <c r="O534" s="52"/>
      <c r="P534" s="52"/>
      <c r="Q534" s="52"/>
      <c r="U534" s="52"/>
    </row>
    <row r="535">
      <c r="M535" s="52"/>
      <c r="N535" s="52"/>
      <c r="O535" s="52"/>
      <c r="P535" s="52"/>
      <c r="Q535" s="52"/>
      <c r="U535" s="52"/>
    </row>
    <row r="536">
      <c r="M536" s="52"/>
      <c r="N536" s="52"/>
      <c r="O536" s="52"/>
      <c r="P536" s="52"/>
      <c r="Q536" s="52"/>
      <c r="U536" s="52"/>
    </row>
    <row r="537">
      <c r="M537" s="52"/>
      <c r="N537" s="52"/>
      <c r="O537" s="52"/>
      <c r="P537" s="52"/>
      <c r="Q537" s="52"/>
      <c r="U537" s="52"/>
    </row>
    <row r="538">
      <c r="M538" s="52"/>
      <c r="N538" s="52"/>
      <c r="O538" s="52"/>
      <c r="P538" s="52"/>
      <c r="Q538" s="52"/>
      <c r="U538" s="52"/>
    </row>
    <row r="539">
      <c r="M539" s="52"/>
      <c r="N539" s="52"/>
      <c r="O539" s="52"/>
      <c r="P539" s="52"/>
      <c r="Q539" s="52"/>
      <c r="U539" s="52"/>
    </row>
    <row r="540">
      <c r="M540" s="52"/>
      <c r="N540" s="52"/>
      <c r="O540" s="52"/>
      <c r="P540" s="52"/>
      <c r="Q540" s="52"/>
      <c r="U540" s="52"/>
    </row>
    <row r="541">
      <c r="M541" s="52"/>
      <c r="N541" s="52"/>
      <c r="O541" s="52"/>
      <c r="P541" s="52"/>
      <c r="Q541" s="52"/>
      <c r="U541" s="52"/>
    </row>
    <row r="542">
      <c r="M542" s="52"/>
      <c r="N542" s="52"/>
      <c r="O542" s="52"/>
      <c r="P542" s="52"/>
      <c r="Q542" s="52"/>
      <c r="U542" s="52"/>
    </row>
    <row r="543">
      <c r="M543" s="52"/>
      <c r="N543" s="52"/>
      <c r="O543" s="52"/>
      <c r="P543" s="52"/>
      <c r="Q543" s="52"/>
      <c r="U543" s="52"/>
    </row>
    <row r="544">
      <c r="M544" s="52"/>
      <c r="N544" s="52"/>
      <c r="O544" s="52"/>
      <c r="P544" s="52"/>
      <c r="Q544" s="52"/>
      <c r="U544" s="52"/>
    </row>
    <row r="545">
      <c r="M545" s="52"/>
      <c r="N545" s="52"/>
      <c r="O545" s="52"/>
      <c r="P545" s="52"/>
      <c r="Q545" s="52"/>
      <c r="U545" s="52"/>
    </row>
    <row r="546">
      <c r="M546" s="52"/>
      <c r="N546" s="52"/>
      <c r="O546" s="52"/>
      <c r="P546" s="52"/>
      <c r="Q546" s="52"/>
      <c r="U546" s="52"/>
    </row>
    <row r="547">
      <c r="M547" s="52"/>
      <c r="N547" s="52"/>
      <c r="O547" s="52"/>
      <c r="P547" s="52"/>
      <c r="Q547" s="52"/>
      <c r="U547" s="52"/>
    </row>
    <row r="548">
      <c r="M548" s="52"/>
      <c r="N548" s="52"/>
      <c r="O548" s="52"/>
      <c r="P548" s="52"/>
      <c r="Q548" s="52"/>
      <c r="U548" s="52"/>
    </row>
    <row r="549">
      <c r="M549" s="52"/>
      <c r="N549" s="52"/>
      <c r="O549" s="52"/>
      <c r="P549" s="52"/>
      <c r="Q549" s="52"/>
      <c r="U549" s="52"/>
    </row>
    <row r="550">
      <c r="M550" s="52"/>
      <c r="N550" s="52"/>
      <c r="O550" s="52"/>
      <c r="P550" s="52"/>
      <c r="Q550" s="52"/>
      <c r="U550" s="52"/>
    </row>
    <row r="551">
      <c r="M551" s="52"/>
      <c r="N551" s="52"/>
      <c r="O551" s="52"/>
      <c r="P551" s="52"/>
      <c r="Q551" s="52"/>
      <c r="U551" s="52"/>
    </row>
    <row r="552">
      <c r="M552" s="52"/>
      <c r="N552" s="52"/>
      <c r="O552" s="52"/>
      <c r="P552" s="52"/>
      <c r="Q552" s="52"/>
      <c r="U552" s="52"/>
    </row>
    <row r="553">
      <c r="M553" s="52"/>
      <c r="N553" s="52"/>
      <c r="O553" s="52"/>
      <c r="P553" s="52"/>
      <c r="Q553" s="52"/>
      <c r="U553" s="52"/>
    </row>
    <row r="554">
      <c r="M554" s="52"/>
      <c r="N554" s="52"/>
      <c r="O554" s="52"/>
      <c r="P554" s="52"/>
      <c r="Q554" s="52"/>
      <c r="U554" s="52"/>
    </row>
    <row r="555">
      <c r="M555" s="52"/>
      <c r="N555" s="52"/>
      <c r="O555" s="52"/>
      <c r="P555" s="52"/>
      <c r="Q555" s="52"/>
      <c r="U555" s="52"/>
    </row>
    <row r="556">
      <c r="M556" s="52"/>
      <c r="N556" s="52"/>
      <c r="O556" s="52"/>
      <c r="P556" s="52"/>
      <c r="Q556" s="52"/>
      <c r="U556" s="52"/>
    </row>
    <row r="557">
      <c r="M557" s="52"/>
      <c r="N557" s="52"/>
      <c r="O557" s="52"/>
      <c r="P557" s="52"/>
      <c r="Q557" s="52"/>
      <c r="U557" s="52"/>
    </row>
    <row r="558">
      <c r="M558" s="52"/>
      <c r="N558" s="52"/>
      <c r="O558" s="52"/>
      <c r="P558" s="52"/>
      <c r="Q558" s="52"/>
      <c r="U558" s="52"/>
    </row>
    <row r="559">
      <c r="M559" s="52"/>
      <c r="N559" s="52"/>
      <c r="O559" s="52"/>
      <c r="P559" s="52"/>
      <c r="Q559" s="52"/>
      <c r="U559" s="52"/>
    </row>
    <row r="560">
      <c r="M560" s="52"/>
      <c r="N560" s="52"/>
      <c r="O560" s="52"/>
      <c r="P560" s="52"/>
      <c r="Q560" s="52"/>
      <c r="U560" s="52"/>
    </row>
    <row r="561">
      <c r="M561" s="52"/>
      <c r="N561" s="52"/>
      <c r="O561" s="52"/>
      <c r="P561" s="52"/>
      <c r="Q561" s="52"/>
      <c r="U561" s="52"/>
    </row>
    <row r="562">
      <c r="M562" s="52"/>
      <c r="N562" s="52"/>
      <c r="O562" s="52"/>
      <c r="P562" s="52"/>
      <c r="Q562" s="52"/>
      <c r="U562" s="52"/>
    </row>
    <row r="563">
      <c r="M563" s="52"/>
      <c r="N563" s="52"/>
      <c r="O563" s="52"/>
      <c r="P563" s="52"/>
      <c r="Q563" s="52"/>
      <c r="U563" s="52"/>
    </row>
    <row r="564">
      <c r="M564" s="52"/>
      <c r="N564" s="52"/>
      <c r="O564" s="52"/>
      <c r="P564" s="52"/>
      <c r="Q564" s="52"/>
      <c r="U564" s="52"/>
    </row>
    <row r="565">
      <c r="M565" s="52"/>
      <c r="N565" s="52"/>
      <c r="O565" s="52"/>
      <c r="P565" s="52"/>
      <c r="Q565" s="52"/>
      <c r="U565" s="52"/>
    </row>
    <row r="566">
      <c r="M566" s="52"/>
      <c r="N566" s="52"/>
      <c r="O566" s="52"/>
      <c r="P566" s="52"/>
      <c r="Q566" s="52"/>
      <c r="U566" s="52"/>
    </row>
    <row r="567">
      <c r="M567" s="52"/>
      <c r="N567" s="52"/>
      <c r="O567" s="52"/>
      <c r="P567" s="52"/>
      <c r="Q567" s="52"/>
      <c r="U567" s="52"/>
    </row>
    <row r="568">
      <c r="M568" s="52"/>
      <c r="N568" s="52"/>
      <c r="O568" s="52"/>
      <c r="P568" s="52"/>
      <c r="Q568" s="52"/>
      <c r="U568" s="52"/>
    </row>
    <row r="569">
      <c r="M569" s="52"/>
      <c r="N569" s="52"/>
      <c r="O569" s="52"/>
      <c r="P569" s="52"/>
      <c r="Q569" s="52"/>
      <c r="U569" s="52"/>
    </row>
    <row r="570">
      <c r="M570" s="52"/>
      <c r="N570" s="52"/>
      <c r="O570" s="52"/>
      <c r="P570" s="52"/>
      <c r="Q570" s="52"/>
      <c r="U570" s="52"/>
    </row>
    <row r="571">
      <c r="M571" s="52"/>
      <c r="N571" s="52"/>
      <c r="O571" s="52"/>
      <c r="P571" s="52"/>
      <c r="Q571" s="52"/>
      <c r="U571" s="52"/>
    </row>
    <row r="572">
      <c r="M572" s="52"/>
      <c r="N572" s="52"/>
      <c r="O572" s="52"/>
      <c r="P572" s="52"/>
      <c r="Q572" s="52"/>
      <c r="U572" s="52"/>
    </row>
    <row r="573">
      <c r="M573" s="52"/>
      <c r="N573" s="52"/>
      <c r="O573" s="52"/>
      <c r="P573" s="52"/>
      <c r="Q573" s="52"/>
      <c r="U573" s="52"/>
    </row>
    <row r="574">
      <c r="M574" s="52"/>
      <c r="N574" s="52"/>
      <c r="O574" s="52"/>
      <c r="P574" s="52"/>
      <c r="Q574" s="52"/>
      <c r="U574" s="52"/>
    </row>
    <row r="575">
      <c r="M575" s="52"/>
      <c r="N575" s="52"/>
      <c r="O575" s="52"/>
      <c r="P575" s="52"/>
      <c r="Q575" s="52"/>
      <c r="U575" s="52"/>
    </row>
    <row r="576">
      <c r="M576" s="52"/>
      <c r="N576" s="52"/>
      <c r="O576" s="52"/>
      <c r="P576" s="52"/>
      <c r="Q576" s="52"/>
      <c r="U576" s="52"/>
    </row>
    <row r="577">
      <c r="M577" s="52"/>
      <c r="N577" s="52"/>
      <c r="O577" s="52"/>
      <c r="P577" s="52"/>
      <c r="Q577" s="52"/>
      <c r="U577" s="52"/>
    </row>
    <row r="578">
      <c r="M578" s="52"/>
      <c r="N578" s="52"/>
      <c r="O578" s="52"/>
      <c r="P578" s="52"/>
      <c r="Q578" s="52"/>
      <c r="U578" s="52"/>
    </row>
    <row r="579">
      <c r="M579" s="52"/>
      <c r="N579" s="52"/>
      <c r="O579" s="52"/>
      <c r="P579" s="52"/>
      <c r="Q579" s="52"/>
      <c r="U579" s="52"/>
    </row>
    <row r="580">
      <c r="M580" s="52"/>
      <c r="N580" s="52"/>
      <c r="O580" s="52"/>
      <c r="P580" s="52"/>
      <c r="Q580" s="52"/>
      <c r="U580" s="52"/>
    </row>
    <row r="581">
      <c r="M581" s="52"/>
      <c r="N581" s="52"/>
      <c r="O581" s="52"/>
      <c r="P581" s="52"/>
      <c r="Q581" s="52"/>
      <c r="U581" s="52"/>
    </row>
    <row r="582">
      <c r="M582" s="52"/>
      <c r="N582" s="52"/>
      <c r="O582" s="52"/>
      <c r="P582" s="52"/>
      <c r="Q582" s="52"/>
      <c r="U582" s="52"/>
    </row>
    <row r="583">
      <c r="M583" s="52"/>
      <c r="N583" s="52"/>
      <c r="O583" s="52"/>
      <c r="P583" s="52"/>
      <c r="Q583" s="52"/>
      <c r="U583" s="52"/>
    </row>
    <row r="584">
      <c r="M584" s="52"/>
      <c r="N584" s="52"/>
      <c r="O584" s="52"/>
      <c r="P584" s="52"/>
      <c r="Q584" s="52"/>
      <c r="U584" s="52"/>
    </row>
    <row r="585">
      <c r="M585" s="52"/>
      <c r="N585" s="52"/>
      <c r="O585" s="52"/>
      <c r="P585" s="52"/>
      <c r="Q585" s="52"/>
      <c r="U585" s="52"/>
    </row>
    <row r="586">
      <c r="M586" s="52"/>
      <c r="N586" s="52"/>
      <c r="O586" s="52"/>
      <c r="P586" s="52"/>
      <c r="Q586" s="52"/>
      <c r="U586" s="52"/>
    </row>
    <row r="587">
      <c r="M587" s="52"/>
      <c r="N587" s="52"/>
      <c r="O587" s="52"/>
      <c r="P587" s="52"/>
      <c r="Q587" s="52"/>
      <c r="U587" s="52"/>
    </row>
    <row r="588">
      <c r="M588" s="52"/>
      <c r="N588" s="52"/>
      <c r="O588" s="52"/>
      <c r="P588" s="52"/>
      <c r="Q588" s="52"/>
      <c r="U588" s="52"/>
    </row>
    <row r="589">
      <c r="M589" s="52"/>
      <c r="N589" s="52"/>
      <c r="O589" s="52"/>
      <c r="P589" s="52"/>
      <c r="Q589" s="52"/>
      <c r="U589" s="52"/>
    </row>
    <row r="590">
      <c r="M590" s="52"/>
      <c r="N590" s="52"/>
      <c r="O590" s="52"/>
      <c r="P590" s="52"/>
      <c r="Q590" s="52"/>
      <c r="U590" s="52"/>
    </row>
    <row r="591">
      <c r="M591" s="52"/>
      <c r="N591" s="52"/>
      <c r="O591" s="52"/>
      <c r="P591" s="52"/>
      <c r="Q591" s="52"/>
      <c r="U591" s="52"/>
    </row>
    <row r="592">
      <c r="M592" s="52"/>
      <c r="N592" s="52"/>
      <c r="O592" s="52"/>
      <c r="P592" s="52"/>
      <c r="Q592" s="52"/>
      <c r="U592" s="52"/>
    </row>
    <row r="593">
      <c r="M593" s="52"/>
      <c r="N593" s="52"/>
      <c r="O593" s="52"/>
      <c r="P593" s="52"/>
      <c r="Q593" s="52"/>
      <c r="U593" s="52"/>
    </row>
    <row r="594">
      <c r="M594" s="52"/>
      <c r="N594" s="52"/>
      <c r="O594" s="52"/>
      <c r="P594" s="52"/>
      <c r="Q594" s="52"/>
      <c r="U594" s="52"/>
    </row>
    <row r="595">
      <c r="M595" s="52"/>
      <c r="N595" s="52"/>
      <c r="O595" s="52"/>
      <c r="P595" s="52"/>
      <c r="Q595" s="52"/>
      <c r="U595" s="52"/>
    </row>
    <row r="596">
      <c r="M596" s="52"/>
      <c r="N596" s="52"/>
      <c r="O596" s="52"/>
      <c r="P596" s="52"/>
      <c r="Q596" s="52"/>
      <c r="U596" s="52"/>
    </row>
    <row r="597">
      <c r="M597" s="52"/>
      <c r="N597" s="52"/>
      <c r="O597" s="52"/>
      <c r="P597" s="52"/>
      <c r="Q597" s="52"/>
      <c r="U597" s="52"/>
    </row>
    <row r="598">
      <c r="M598" s="52"/>
      <c r="N598" s="52"/>
      <c r="O598" s="52"/>
      <c r="P598" s="52"/>
      <c r="Q598" s="52"/>
      <c r="U598" s="52"/>
    </row>
    <row r="599">
      <c r="M599" s="52"/>
      <c r="N599" s="52"/>
      <c r="O599" s="52"/>
      <c r="P599" s="52"/>
      <c r="Q599" s="52"/>
      <c r="U599" s="52"/>
    </row>
    <row r="600">
      <c r="M600" s="52"/>
      <c r="N600" s="52"/>
      <c r="O600" s="52"/>
      <c r="P600" s="52"/>
      <c r="Q600" s="52"/>
      <c r="U600" s="52"/>
    </row>
    <row r="601">
      <c r="M601" s="52"/>
      <c r="N601" s="52"/>
      <c r="O601" s="52"/>
      <c r="P601" s="52"/>
      <c r="Q601" s="52"/>
      <c r="U601" s="52"/>
    </row>
    <row r="602">
      <c r="M602" s="52"/>
      <c r="N602" s="52"/>
      <c r="O602" s="52"/>
      <c r="P602" s="52"/>
      <c r="Q602" s="52"/>
      <c r="U602" s="52"/>
    </row>
    <row r="603">
      <c r="M603" s="52"/>
      <c r="N603" s="52"/>
      <c r="O603" s="52"/>
      <c r="P603" s="52"/>
      <c r="Q603" s="52"/>
      <c r="U603" s="52"/>
    </row>
    <row r="604">
      <c r="M604" s="52"/>
      <c r="N604" s="52"/>
      <c r="O604" s="52"/>
      <c r="P604" s="52"/>
      <c r="Q604" s="52"/>
      <c r="U604" s="52"/>
    </row>
    <row r="605">
      <c r="M605" s="52"/>
      <c r="N605" s="52"/>
      <c r="O605" s="52"/>
      <c r="P605" s="52"/>
      <c r="Q605" s="52"/>
      <c r="U605" s="52"/>
    </row>
    <row r="606">
      <c r="M606" s="52"/>
      <c r="N606" s="52"/>
      <c r="O606" s="52"/>
      <c r="P606" s="52"/>
      <c r="Q606" s="52"/>
      <c r="U606" s="52"/>
    </row>
    <row r="607">
      <c r="M607" s="52"/>
      <c r="N607" s="52"/>
      <c r="O607" s="52"/>
      <c r="P607" s="52"/>
      <c r="Q607" s="52"/>
      <c r="U607" s="52"/>
    </row>
    <row r="608">
      <c r="M608" s="52"/>
      <c r="N608" s="52"/>
      <c r="O608" s="52"/>
      <c r="P608" s="52"/>
      <c r="Q608" s="52"/>
      <c r="U608" s="52"/>
    </row>
    <row r="609">
      <c r="M609" s="52"/>
      <c r="N609" s="52"/>
      <c r="O609" s="52"/>
      <c r="P609" s="52"/>
      <c r="Q609" s="52"/>
      <c r="U609" s="52"/>
    </row>
    <row r="610">
      <c r="M610" s="52"/>
      <c r="N610" s="52"/>
      <c r="O610" s="52"/>
      <c r="P610" s="52"/>
      <c r="Q610" s="52"/>
      <c r="U610" s="52"/>
    </row>
    <row r="611">
      <c r="M611" s="52"/>
      <c r="N611" s="52"/>
      <c r="O611" s="52"/>
      <c r="P611" s="52"/>
      <c r="Q611" s="52"/>
      <c r="U611" s="52"/>
    </row>
    <row r="612">
      <c r="M612" s="52"/>
      <c r="N612" s="52"/>
      <c r="O612" s="52"/>
      <c r="P612" s="52"/>
      <c r="Q612" s="52"/>
      <c r="U612" s="52"/>
    </row>
    <row r="613">
      <c r="M613" s="52"/>
      <c r="N613" s="52"/>
      <c r="O613" s="52"/>
      <c r="P613" s="52"/>
      <c r="Q613" s="52"/>
      <c r="U613" s="52"/>
    </row>
    <row r="614">
      <c r="M614" s="52"/>
      <c r="N614" s="52"/>
      <c r="O614" s="52"/>
      <c r="P614" s="52"/>
      <c r="Q614" s="52"/>
      <c r="U614" s="52"/>
    </row>
    <row r="615">
      <c r="M615" s="52"/>
      <c r="N615" s="52"/>
      <c r="O615" s="52"/>
      <c r="P615" s="52"/>
      <c r="Q615" s="52"/>
      <c r="U615" s="52"/>
    </row>
    <row r="616">
      <c r="M616" s="52"/>
      <c r="N616" s="52"/>
      <c r="O616" s="52"/>
      <c r="P616" s="52"/>
      <c r="Q616" s="52"/>
      <c r="U616" s="52"/>
    </row>
    <row r="617">
      <c r="M617" s="52"/>
      <c r="N617" s="52"/>
      <c r="O617" s="52"/>
      <c r="P617" s="52"/>
      <c r="Q617" s="52"/>
      <c r="U617" s="52"/>
    </row>
    <row r="618">
      <c r="M618" s="52"/>
      <c r="N618" s="52"/>
      <c r="O618" s="52"/>
      <c r="P618" s="52"/>
      <c r="Q618" s="52"/>
      <c r="U618" s="52"/>
    </row>
    <row r="619">
      <c r="M619" s="52"/>
      <c r="N619" s="52"/>
      <c r="O619" s="52"/>
      <c r="P619" s="52"/>
      <c r="Q619" s="52"/>
      <c r="U619" s="52"/>
    </row>
    <row r="620">
      <c r="M620" s="52"/>
      <c r="N620" s="52"/>
      <c r="O620" s="52"/>
      <c r="P620" s="52"/>
      <c r="Q620" s="52"/>
      <c r="U620" s="52"/>
    </row>
    <row r="621">
      <c r="M621" s="52"/>
      <c r="N621" s="52"/>
      <c r="O621" s="52"/>
      <c r="P621" s="52"/>
      <c r="Q621" s="52"/>
      <c r="U621" s="52"/>
    </row>
    <row r="622">
      <c r="M622" s="52"/>
      <c r="N622" s="52"/>
      <c r="O622" s="52"/>
      <c r="P622" s="52"/>
      <c r="Q622" s="52"/>
      <c r="U622" s="52"/>
    </row>
    <row r="623">
      <c r="M623" s="52"/>
      <c r="N623" s="52"/>
      <c r="O623" s="52"/>
      <c r="P623" s="52"/>
      <c r="Q623" s="52"/>
      <c r="U623" s="52"/>
    </row>
    <row r="624">
      <c r="M624" s="52"/>
      <c r="N624" s="52"/>
      <c r="O624" s="52"/>
      <c r="P624" s="52"/>
      <c r="Q624" s="52"/>
      <c r="U624" s="52"/>
    </row>
    <row r="625">
      <c r="M625" s="52"/>
      <c r="N625" s="52"/>
      <c r="O625" s="52"/>
      <c r="P625" s="52"/>
      <c r="Q625" s="52"/>
      <c r="U625" s="52"/>
    </row>
    <row r="626">
      <c r="M626" s="52"/>
      <c r="N626" s="52"/>
      <c r="O626" s="52"/>
      <c r="P626" s="52"/>
      <c r="Q626" s="52"/>
      <c r="U626" s="52"/>
    </row>
    <row r="627">
      <c r="M627" s="52"/>
      <c r="N627" s="52"/>
      <c r="O627" s="52"/>
      <c r="P627" s="52"/>
      <c r="Q627" s="52"/>
      <c r="U627" s="52"/>
    </row>
    <row r="628">
      <c r="M628" s="52"/>
      <c r="N628" s="52"/>
      <c r="O628" s="52"/>
      <c r="P628" s="52"/>
      <c r="Q628" s="52"/>
      <c r="U628" s="52"/>
    </row>
    <row r="629">
      <c r="M629" s="52"/>
      <c r="N629" s="52"/>
      <c r="O629" s="52"/>
      <c r="P629" s="52"/>
      <c r="Q629" s="52"/>
      <c r="U629" s="52"/>
    </row>
    <row r="630">
      <c r="M630" s="52"/>
      <c r="N630" s="52"/>
      <c r="O630" s="52"/>
      <c r="P630" s="52"/>
      <c r="Q630" s="52"/>
      <c r="U630" s="52"/>
    </row>
    <row r="631">
      <c r="M631" s="52"/>
      <c r="N631" s="52"/>
      <c r="O631" s="52"/>
      <c r="P631" s="52"/>
      <c r="Q631" s="52"/>
      <c r="U631" s="52"/>
    </row>
    <row r="632">
      <c r="M632" s="52"/>
      <c r="N632" s="52"/>
      <c r="O632" s="52"/>
      <c r="P632" s="52"/>
      <c r="Q632" s="52"/>
      <c r="U632" s="52"/>
    </row>
    <row r="633">
      <c r="M633" s="52"/>
      <c r="N633" s="52"/>
      <c r="O633" s="52"/>
      <c r="P633" s="52"/>
      <c r="Q633" s="52"/>
      <c r="U633" s="52"/>
    </row>
    <row r="634">
      <c r="M634" s="52"/>
      <c r="N634" s="52"/>
      <c r="O634" s="52"/>
      <c r="P634" s="52"/>
      <c r="Q634" s="52"/>
      <c r="U634" s="52"/>
    </row>
    <row r="635">
      <c r="M635" s="52"/>
      <c r="N635" s="52"/>
      <c r="O635" s="52"/>
      <c r="P635" s="52"/>
      <c r="Q635" s="52"/>
      <c r="U635" s="52"/>
    </row>
    <row r="636">
      <c r="M636" s="52"/>
      <c r="N636" s="52"/>
      <c r="O636" s="52"/>
      <c r="P636" s="52"/>
      <c r="Q636" s="52"/>
      <c r="U636" s="52"/>
    </row>
    <row r="637">
      <c r="M637" s="52"/>
      <c r="N637" s="52"/>
      <c r="O637" s="52"/>
      <c r="P637" s="52"/>
      <c r="Q637" s="52"/>
      <c r="U637" s="52"/>
    </row>
    <row r="638">
      <c r="M638" s="52"/>
      <c r="N638" s="52"/>
      <c r="O638" s="52"/>
      <c r="P638" s="52"/>
      <c r="Q638" s="52"/>
      <c r="U638" s="52"/>
    </row>
    <row r="639">
      <c r="M639" s="52"/>
      <c r="N639" s="52"/>
      <c r="O639" s="52"/>
      <c r="P639" s="52"/>
      <c r="Q639" s="52"/>
      <c r="U639" s="52"/>
    </row>
    <row r="640">
      <c r="M640" s="52"/>
      <c r="N640" s="52"/>
      <c r="O640" s="52"/>
      <c r="P640" s="52"/>
      <c r="Q640" s="52"/>
      <c r="U640" s="52"/>
    </row>
    <row r="641">
      <c r="M641" s="52"/>
      <c r="N641" s="52"/>
      <c r="O641" s="52"/>
      <c r="P641" s="52"/>
      <c r="Q641" s="52"/>
      <c r="U641" s="52"/>
    </row>
    <row r="642">
      <c r="M642" s="52"/>
      <c r="N642" s="52"/>
      <c r="O642" s="52"/>
      <c r="P642" s="52"/>
      <c r="Q642" s="52"/>
      <c r="U642" s="52"/>
    </row>
    <row r="643">
      <c r="M643" s="52"/>
      <c r="N643" s="52"/>
      <c r="O643" s="52"/>
      <c r="P643" s="52"/>
      <c r="Q643" s="52"/>
      <c r="U643" s="52"/>
    </row>
    <row r="644">
      <c r="M644" s="52"/>
      <c r="N644" s="52"/>
      <c r="O644" s="52"/>
      <c r="P644" s="52"/>
      <c r="Q644" s="52"/>
      <c r="U644" s="52"/>
    </row>
    <row r="645">
      <c r="M645" s="52"/>
      <c r="N645" s="52"/>
      <c r="O645" s="52"/>
      <c r="P645" s="52"/>
      <c r="Q645" s="52"/>
      <c r="U645" s="52"/>
    </row>
    <row r="646">
      <c r="M646" s="52"/>
      <c r="N646" s="52"/>
      <c r="O646" s="52"/>
      <c r="P646" s="52"/>
      <c r="Q646" s="52"/>
      <c r="U646" s="52"/>
    </row>
    <row r="647">
      <c r="M647" s="52"/>
      <c r="N647" s="52"/>
      <c r="O647" s="52"/>
      <c r="P647" s="52"/>
      <c r="Q647" s="52"/>
      <c r="U647" s="52"/>
    </row>
    <row r="648">
      <c r="M648" s="52"/>
      <c r="N648" s="52"/>
      <c r="O648" s="52"/>
      <c r="P648" s="52"/>
      <c r="Q648" s="52"/>
      <c r="U648" s="52"/>
    </row>
    <row r="649">
      <c r="M649" s="52"/>
      <c r="N649" s="52"/>
      <c r="O649" s="52"/>
      <c r="P649" s="52"/>
      <c r="Q649" s="52"/>
      <c r="U649" s="52"/>
    </row>
    <row r="650">
      <c r="M650" s="52"/>
      <c r="N650" s="52"/>
      <c r="O650" s="52"/>
      <c r="P650" s="52"/>
      <c r="Q650" s="52"/>
      <c r="U650" s="52"/>
    </row>
    <row r="651">
      <c r="M651" s="52"/>
      <c r="N651" s="52"/>
      <c r="O651" s="52"/>
      <c r="P651" s="52"/>
      <c r="Q651" s="52"/>
      <c r="U651" s="52"/>
    </row>
    <row r="652">
      <c r="M652" s="52"/>
      <c r="N652" s="52"/>
      <c r="O652" s="52"/>
      <c r="P652" s="52"/>
      <c r="Q652" s="52"/>
      <c r="U652" s="52"/>
    </row>
    <row r="653">
      <c r="M653" s="52"/>
      <c r="N653" s="52"/>
      <c r="O653" s="52"/>
      <c r="P653" s="52"/>
      <c r="Q653" s="52"/>
      <c r="U653" s="52"/>
    </row>
    <row r="654">
      <c r="M654" s="52"/>
      <c r="N654" s="52"/>
      <c r="O654" s="52"/>
      <c r="P654" s="52"/>
      <c r="Q654" s="52"/>
      <c r="U654" s="52"/>
    </row>
    <row r="655">
      <c r="M655" s="52"/>
      <c r="N655" s="52"/>
      <c r="O655" s="52"/>
      <c r="P655" s="52"/>
      <c r="Q655" s="52"/>
      <c r="U655" s="52"/>
    </row>
    <row r="656">
      <c r="M656" s="52"/>
      <c r="N656" s="52"/>
      <c r="O656" s="52"/>
      <c r="P656" s="52"/>
      <c r="Q656" s="52"/>
      <c r="U656" s="52"/>
    </row>
    <row r="657">
      <c r="M657" s="52"/>
      <c r="N657" s="52"/>
      <c r="O657" s="52"/>
      <c r="P657" s="52"/>
      <c r="Q657" s="52"/>
      <c r="U657" s="52"/>
    </row>
    <row r="658">
      <c r="M658" s="52"/>
      <c r="N658" s="52"/>
      <c r="O658" s="52"/>
      <c r="P658" s="52"/>
      <c r="Q658" s="52"/>
      <c r="U658" s="52"/>
    </row>
    <row r="659">
      <c r="M659" s="52"/>
      <c r="N659" s="52"/>
      <c r="O659" s="52"/>
      <c r="P659" s="52"/>
      <c r="Q659" s="52"/>
      <c r="U659" s="52"/>
    </row>
    <row r="660">
      <c r="M660" s="52"/>
      <c r="N660" s="52"/>
      <c r="O660" s="52"/>
      <c r="P660" s="52"/>
      <c r="Q660" s="52"/>
      <c r="U660" s="52"/>
    </row>
    <row r="661">
      <c r="M661" s="52"/>
      <c r="N661" s="52"/>
      <c r="O661" s="52"/>
      <c r="P661" s="52"/>
      <c r="Q661" s="52"/>
      <c r="U661" s="52"/>
    </row>
    <row r="662">
      <c r="M662" s="52"/>
      <c r="N662" s="52"/>
      <c r="O662" s="52"/>
      <c r="P662" s="52"/>
      <c r="Q662" s="52"/>
      <c r="U662" s="52"/>
    </row>
    <row r="663">
      <c r="M663" s="52"/>
      <c r="N663" s="52"/>
      <c r="O663" s="52"/>
      <c r="P663" s="52"/>
      <c r="Q663" s="52"/>
      <c r="U663" s="52"/>
    </row>
    <row r="664">
      <c r="M664" s="52"/>
      <c r="N664" s="52"/>
      <c r="O664" s="52"/>
      <c r="P664" s="52"/>
      <c r="Q664" s="52"/>
      <c r="U664" s="52"/>
    </row>
    <row r="665">
      <c r="M665" s="52"/>
      <c r="N665" s="52"/>
      <c r="O665" s="52"/>
      <c r="P665" s="52"/>
      <c r="Q665" s="52"/>
      <c r="U665" s="52"/>
    </row>
    <row r="666">
      <c r="M666" s="52"/>
      <c r="N666" s="52"/>
      <c r="O666" s="52"/>
      <c r="P666" s="52"/>
      <c r="Q666" s="52"/>
      <c r="U666" s="52"/>
    </row>
    <row r="667">
      <c r="M667" s="52"/>
      <c r="N667" s="52"/>
      <c r="O667" s="52"/>
      <c r="P667" s="52"/>
      <c r="Q667" s="52"/>
      <c r="U667" s="52"/>
    </row>
    <row r="668">
      <c r="M668" s="52"/>
      <c r="N668" s="52"/>
      <c r="O668" s="52"/>
      <c r="P668" s="52"/>
      <c r="Q668" s="52"/>
      <c r="U668" s="52"/>
    </row>
    <row r="669">
      <c r="M669" s="52"/>
      <c r="N669" s="52"/>
      <c r="O669" s="52"/>
      <c r="P669" s="52"/>
      <c r="Q669" s="52"/>
      <c r="U669" s="52"/>
    </row>
    <row r="670">
      <c r="M670" s="52"/>
      <c r="N670" s="52"/>
      <c r="O670" s="52"/>
      <c r="P670" s="52"/>
      <c r="Q670" s="52"/>
      <c r="U670" s="52"/>
    </row>
    <row r="671">
      <c r="M671" s="52"/>
      <c r="N671" s="52"/>
      <c r="O671" s="52"/>
      <c r="P671" s="52"/>
      <c r="Q671" s="52"/>
      <c r="U671" s="52"/>
    </row>
    <row r="672">
      <c r="M672" s="52"/>
      <c r="N672" s="52"/>
      <c r="O672" s="52"/>
      <c r="P672" s="52"/>
      <c r="Q672" s="52"/>
      <c r="U672" s="52"/>
    </row>
    <row r="673">
      <c r="M673" s="52"/>
      <c r="N673" s="52"/>
      <c r="O673" s="52"/>
      <c r="P673" s="52"/>
      <c r="Q673" s="52"/>
      <c r="U673" s="52"/>
    </row>
    <row r="674">
      <c r="M674" s="52"/>
      <c r="N674" s="52"/>
      <c r="O674" s="52"/>
      <c r="P674" s="52"/>
      <c r="Q674" s="52"/>
      <c r="U674" s="52"/>
    </row>
    <row r="675">
      <c r="M675" s="52"/>
      <c r="N675" s="52"/>
      <c r="O675" s="52"/>
      <c r="P675" s="52"/>
      <c r="Q675" s="52"/>
      <c r="U675" s="52"/>
    </row>
    <row r="676">
      <c r="M676" s="52"/>
      <c r="N676" s="52"/>
      <c r="O676" s="52"/>
      <c r="P676" s="52"/>
      <c r="Q676" s="52"/>
      <c r="U676" s="52"/>
    </row>
    <row r="677">
      <c r="M677" s="52"/>
      <c r="N677" s="52"/>
      <c r="O677" s="52"/>
      <c r="P677" s="52"/>
      <c r="Q677" s="52"/>
      <c r="U677" s="52"/>
    </row>
    <row r="678">
      <c r="M678" s="52"/>
      <c r="N678" s="52"/>
      <c r="O678" s="52"/>
      <c r="P678" s="52"/>
      <c r="Q678" s="52"/>
      <c r="U678" s="52"/>
    </row>
    <row r="679">
      <c r="M679" s="52"/>
      <c r="N679" s="52"/>
      <c r="O679" s="52"/>
      <c r="P679" s="52"/>
      <c r="Q679" s="52"/>
      <c r="U679" s="52"/>
    </row>
    <row r="680">
      <c r="M680" s="52"/>
      <c r="N680" s="52"/>
      <c r="O680" s="52"/>
      <c r="P680" s="52"/>
      <c r="Q680" s="52"/>
      <c r="U680" s="52"/>
    </row>
    <row r="681">
      <c r="M681" s="52"/>
      <c r="N681" s="52"/>
      <c r="O681" s="52"/>
      <c r="P681" s="52"/>
      <c r="Q681" s="52"/>
      <c r="U681" s="52"/>
    </row>
    <row r="682">
      <c r="M682" s="52"/>
      <c r="N682" s="52"/>
      <c r="O682" s="52"/>
      <c r="P682" s="52"/>
      <c r="Q682" s="52"/>
      <c r="U682" s="52"/>
    </row>
    <row r="683">
      <c r="M683" s="52"/>
      <c r="N683" s="52"/>
      <c r="O683" s="52"/>
      <c r="P683" s="52"/>
      <c r="Q683" s="52"/>
      <c r="U683" s="52"/>
    </row>
    <row r="684">
      <c r="M684" s="52"/>
      <c r="N684" s="52"/>
      <c r="O684" s="52"/>
      <c r="P684" s="52"/>
      <c r="Q684" s="52"/>
      <c r="U684" s="52"/>
    </row>
    <row r="685">
      <c r="M685" s="52"/>
      <c r="N685" s="52"/>
      <c r="O685" s="52"/>
      <c r="P685" s="52"/>
      <c r="Q685" s="52"/>
      <c r="U685" s="52"/>
    </row>
    <row r="686">
      <c r="M686" s="52"/>
      <c r="N686" s="52"/>
      <c r="O686" s="52"/>
      <c r="P686" s="52"/>
      <c r="Q686" s="52"/>
      <c r="U686" s="52"/>
    </row>
    <row r="687">
      <c r="M687" s="52"/>
      <c r="N687" s="52"/>
      <c r="O687" s="52"/>
      <c r="P687" s="52"/>
      <c r="Q687" s="52"/>
      <c r="U687" s="52"/>
    </row>
    <row r="688">
      <c r="M688" s="52"/>
      <c r="N688" s="52"/>
      <c r="O688" s="52"/>
      <c r="P688" s="52"/>
      <c r="Q688" s="52"/>
      <c r="U688" s="52"/>
    </row>
    <row r="689">
      <c r="M689" s="52"/>
      <c r="N689" s="52"/>
      <c r="O689" s="52"/>
      <c r="P689" s="52"/>
      <c r="Q689" s="52"/>
      <c r="U689" s="52"/>
    </row>
    <row r="690">
      <c r="M690" s="52"/>
      <c r="N690" s="52"/>
      <c r="O690" s="52"/>
      <c r="P690" s="52"/>
      <c r="Q690" s="52"/>
      <c r="U690" s="52"/>
    </row>
    <row r="691">
      <c r="M691" s="52"/>
      <c r="N691" s="52"/>
      <c r="O691" s="52"/>
      <c r="P691" s="52"/>
      <c r="Q691" s="52"/>
      <c r="U691" s="52"/>
    </row>
    <row r="692">
      <c r="M692" s="52"/>
      <c r="N692" s="52"/>
      <c r="O692" s="52"/>
      <c r="P692" s="52"/>
      <c r="Q692" s="52"/>
      <c r="U692" s="52"/>
    </row>
    <row r="693">
      <c r="M693" s="52"/>
      <c r="N693" s="52"/>
      <c r="O693" s="52"/>
      <c r="P693" s="52"/>
      <c r="Q693" s="52"/>
      <c r="U693" s="52"/>
    </row>
    <row r="694">
      <c r="M694" s="52"/>
      <c r="N694" s="52"/>
      <c r="O694" s="52"/>
      <c r="P694" s="52"/>
      <c r="Q694" s="52"/>
      <c r="U694" s="52"/>
    </row>
    <row r="695">
      <c r="M695" s="52"/>
      <c r="N695" s="52"/>
      <c r="O695" s="52"/>
      <c r="P695" s="52"/>
      <c r="Q695" s="52"/>
      <c r="U695" s="52"/>
    </row>
    <row r="696">
      <c r="M696" s="52"/>
      <c r="N696" s="52"/>
      <c r="O696" s="52"/>
      <c r="P696" s="52"/>
      <c r="Q696" s="52"/>
      <c r="U696" s="52"/>
    </row>
    <row r="697">
      <c r="M697" s="52"/>
      <c r="N697" s="52"/>
      <c r="O697" s="52"/>
      <c r="P697" s="52"/>
      <c r="Q697" s="52"/>
      <c r="U697" s="52"/>
    </row>
    <row r="698">
      <c r="M698" s="52"/>
      <c r="N698" s="52"/>
      <c r="O698" s="52"/>
      <c r="P698" s="52"/>
      <c r="Q698" s="52"/>
      <c r="U698" s="52"/>
    </row>
    <row r="699">
      <c r="M699" s="52"/>
      <c r="N699" s="52"/>
      <c r="O699" s="52"/>
      <c r="P699" s="52"/>
      <c r="Q699" s="52"/>
      <c r="U699" s="52"/>
    </row>
    <row r="700">
      <c r="M700" s="52"/>
      <c r="N700" s="52"/>
      <c r="O700" s="52"/>
      <c r="P700" s="52"/>
      <c r="Q700" s="52"/>
      <c r="U700" s="52"/>
    </row>
    <row r="701">
      <c r="M701" s="52"/>
      <c r="N701" s="52"/>
      <c r="O701" s="52"/>
      <c r="P701" s="52"/>
      <c r="Q701" s="52"/>
      <c r="U701" s="52"/>
    </row>
    <row r="702">
      <c r="M702" s="52"/>
      <c r="N702" s="52"/>
      <c r="O702" s="52"/>
      <c r="P702" s="52"/>
      <c r="Q702" s="52"/>
      <c r="U702" s="52"/>
    </row>
    <row r="703">
      <c r="M703" s="52"/>
      <c r="N703" s="52"/>
      <c r="O703" s="52"/>
      <c r="P703" s="52"/>
      <c r="Q703" s="52"/>
      <c r="U703" s="52"/>
    </row>
    <row r="704">
      <c r="M704" s="52"/>
      <c r="N704" s="52"/>
      <c r="O704" s="52"/>
      <c r="P704" s="52"/>
      <c r="Q704" s="52"/>
      <c r="U704" s="52"/>
    </row>
    <row r="705">
      <c r="M705" s="52"/>
      <c r="N705" s="52"/>
      <c r="O705" s="52"/>
      <c r="P705" s="52"/>
      <c r="Q705" s="52"/>
      <c r="U705" s="52"/>
    </row>
    <row r="706">
      <c r="M706" s="52"/>
      <c r="N706" s="52"/>
      <c r="O706" s="52"/>
      <c r="P706" s="52"/>
      <c r="Q706" s="52"/>
      <c r="U706" s="52"/>
    </row>
    <row r="707">
      <c r="M707" s="52"/>
      <c r="N707" s="52"/>
      <c r="O707" s="52"/>
      <c r="P707" s="52"/>
      <c r="Q707" s="52"/>
      <c r="U707" s="52"/>
    </row>
    <row r="708">
      <c r="M708" s="52"/>
      <c r="N708" s="52"/>
      <c r="O708" s="52"/>
      <c r="P708" s="52"/>
      <c r="Q708" s="52"/>
      <c r="U708" s="52"/>
    </row>
    <row r="709">
      <c r="M709" s="52"/>
      <c r="N709" s="52"/>
      <c r="O709" s="52"/>
      <c r="P709" s="52"/>
      <c r="Q709" s="52"/>
      <c r="U709" s="52"/>
    </row>
    <row r="710">
      <c r="M710" s="52"/>
      <c r="N710" s="52"/>
      <c r="O710" s="52"/>
      <c r="P710" s="52"/>
      <c r="Q710" s="52"/>
      <c r="U710" s="52"/>
    </row>
    <row r="711">
      <c r="M711" s="52"/>
      <c r="N711" s="52"/>
      <c r="O711" s="52"/>
      <c r="P711" s="52"/>
      <c r="Q711" s="52"/>
      <c r="U711" s="52"/>
    </row>
    <row r="712">
      <c r="M712" s="52"/>
      <c r="N712" s="52"/>
      <c r="O712" s="52"/>
      <c r="P712" s="52"/>
      <c r="Q712" s="52"/>
      <c r="U712" s="52"/>
    </row>
    <row r="713">
      <c r="M713" s="52"/>
      <c r="N713" s="52"/>
      <c r="O713" s="52"/>
      <c r="P713" s="52"/>
      <c r="Q713" s="52"/>
      <c r="U713" s="52"/>
    </row>
    <row r="714">
      <c r="M714" s="52"/>
      <c r="N714" s="52"/>
      <c r="O714" s="52"/>
      <c r="P714" s="52"/>
      <c r="Q714" s="52"/>
      <c r="U714" s="52"/>
    </row>
    <row r="715">
      <c r="M715" s="52"/>
      <c r="N715" s="52"/>
      <c r="O715" s="52"/>
      <c r="P715" s="52"/>
      <c r="Q715" s="52"/>
      <c r="U715" s="52"/>
    </row>
    <row r="716">
      <c r="M716" s="52"/>
      <c r="N716" s="52"/>
      <c r="O716" s="52"/>
      <c r="P716" s="52"/>
      <c r="Q716" s="52"/>
      <c r="U716" s="52"/>
    </row>
    <row r="717">
      <c r="M717" s="52"/>
      <c r="N717" s="52"/>
      <c r="O717" s="52"/>
      <c r="P717" s="52"/>
      <c r="Q717" s="52"/>
      <c r="U717" s="52"/>
    </row>
    <row r="718">
      <c r="M718" s="52"/>
      <c r="N718" s="52"/>
      <c r="O718" s="52"/>
      <c r="P718" s="52"/>
      <c r="Q718" s="52"/>
      <c r="U718" s="52"/>
    </row>
    <row r="719">
      <c r="M719" s="52"/>
      <c r="N719" s="52"/>
      <c r="O719" s="52"/>
      <c r="P719" s="52"/>
      <c r="Q719" s="52"/>
      <c r="U719" s="52"/>
    </row>
    <row r="720">
      <c r="M720" s="52"/>
      <c r="N720" s="52"/>
      <c r="O720" s="52"/>
      <c r="P720" s="52"/>
      <c r="Q720" s="52"/>
      <c r="U720" s="52"/>
    </row>
    <row r="721">
      <c r="M721" s="52"/>
      <c r="N721" s="52"/>
      <c r="O721" s="52"/>
      <c r="P721" s="52"/>
      <c r="Q721" s="52"/>
      <c r="U721" s="52"/>
    </row>
    <row r="722">
      <c r="M722" s="52"/>
      <c r="N722" s="52"/>
      <c r="O722" s="52"/>
      <c r="P722" s="52"/>
      <c r="Q722" s="52"/>
      <c r="U722" s="52"/>
    </row>
    <row r="723">
      <c r="M723" s="52"/>
      <c r="N723" s="52"/>
      <c r="O723" s="52"/>
      <c r="P723" s="52"/>
      <c r="Q723" s="52"/>
      <c r="U723" s="52"/>
    </row>
    <row r="724">
      <c r="M724" s="52"/>
      <c r="N724" s="52"/>
      <c r="O724" s="52"/>
      <c r="P724" s="52"/>
      <c r="Q724" s="52"/>
      <c r="U724" s="52"/>
    </row>
    <row r="725">
      <c r="M725" s="52"/>
      <c r="N725" s="52"/>
      <c r="O725" s="52"/>
      <c r="P725" s="52"/>
      <c r="Q725" s="52"/>
      <c r="U725" s="52"/>
    </row>
    <row r="726">
      <c r="M726" s="52"/>
      <c r="N726" s="52"/>
      <c r="O726" s="52"/>
      <c r="P726" s="52"/>
      <c r="Q726" s="52"/>
      <c r="U726" s="52"/>
    </row>
    <row r="727">
      <c r="M727" s="52"/>
      <c r="N727" s="52"/>
      <c r="O727" s="52"/>
      <c r="P727" s="52"/>
      <c r="Q727" s="52"/>
      <c r="U727" s="52"/>
    </row>
    <row r="728">
      <c r="M728" s="52"/>
      <c r="N728" s="52"/>
      <c r="O728" s="52"/>
      <c r="P728" s="52"/>
      <c r="Q728" s="52"/>
      <c r="U728" s="52"/>
    </row>
    <row r="729">
      <c r="M729" s="52"/>
      <c r="N729" s="52"/>
      <c r="O729" s="52"/>
      <c r="P729" s="52"/>
      <c r="Q729" s="52"/>
      <c r="U729" s="52"/>
    </row>
    <row r="730">
      <c r="M730" s="52"/>
      <c r="N730" s="52"/>
      <c r="O730" s="52"/>
      <c r="P730" s="52"/>
      <c r="Q730" s="52"/>
      <c r="U730" s="52"/>
    </row>
    <row r="731">
      <c r="M731" s="52"/>
      <c r="N731" s="52"/>
      <c r="O731" s="52"/>
      <c r="P731" s="52"/>
      <c r="Q731" s="52"/>
      <c r="U731" s="52"/>
    </row>
    <row r="732">
      <c r="M732" s="52"/>
      <c r="N732" s="52"/>
      <c r="O732" s="52"/>
      <c r="P732" s="52"/>
      <c r="Q732" s="52"/>
      <c r="U732" s="52"/>
    </row>
    <row r="733">
      <c r="M733" s="52"/>
      <c r="N733" s="52"/>
      <c r="O733" s="52"/>
      <c r="P733" s="52"/>
      <c r="Q733" s="52"/>
      <c r="U733" s="52"/>
    </row>
    <row r="734">
      <c r="M734" s="52"/>
      <c r="N734" s="52"/>
      <c r="O734" s="52"/>
      <c r="P734" s="52"/>
      <c r="Q734" s="52"/>
      <c r="U734" s="52"/>
    </row>
    <row r="735">
      <c r="M735" s="52"/>
      <c r="N735" s="52"/>
      <c r="O735" s="52"/>
      <c r="P735" s="52"/>
      <c r="Q735" s="52"/>
      <c r="U735" s="52"/>
    </row>
    <row r="736">
      <c r="M736" s="52"/>
      <c r="N736" s="52"/>
      <c r="O736" s="52"/>
      <c r="P736" s="52"/>
      <c r="Q736" s="52"/>
      <c r="U736" s="52"/>
    </row>
    <row r="737">
      <c r="M737" s="52"/>
      <c r="N737" s="52"/>
      <c r="O737" s="52"/>
      <c r="P737" s="52"/>
      <c r="Q737" s="52"/>
      <c r="U737" s="52"/>
    </row>
    <row r="738">
      <c r="M738" s="52"/>
      <c r="N738" s="52"/>
      <c r="O738" s="52"/>
      <c r="P738" s="52"/>
      <c r="Q738" s="52"/>
      <c r="U738" s="52"/>
    </row>
    <row r="739">
      <c r="M739" s="52"/>
      <c r="N739" s="52"/>
      <c r="O739" s="52"/>
      <c r="P739" s="52"/>
      <c r="Q739" s="52"/>
      <c r="U739" s="52"/>
    </row>
    <row r="740">
      <c r="M740" s="52"/>
      <c r="N740" s="52"/>
      <c r="O740" s="52"/>
      <c r="P740" s="52"/>
      <c r="Q740" s="52"/>
      <c r="U740" s="52"/>
    </row>
    <row r="741">
      <c r="M741" s="52"/>
      <c r="N741" s="52"/>
      <c r="O741" s="52"/>
      <c r="P741" s="52"/>
      <c r="Q741" s="52"/>
      <c r="U741" s="52"/>
    </row>
    <row r="742">
      <c r="M742" s="52"/>
      <c r="N742" s="52"/>
      <c r="O742" s="52"/>
      <c r="P742" s="52"/>
      <c r="Q742" s="52"/>
      <c r="U742" s="52"/>
    </row>
    <row r="743">
      <c r="M743" s="52"/>
      <c r="N743" s="52"/>
      <c r="O743" s="52"/>
      <c r="P743" s="52"/>
      <c r="Q743" s="52"/>
      <c r="U743" s="52"/>
    </row>
    <row r="744">
      <c r="M744" s="52"/>
      <c r="N744" s="52"/>
      <c r="O744" s="52"/>
      <c r="P744" s="52"/>
      <c r="Q744" s="52"/>
      <c r="U744" s="52"/>
    </row>
    <row r="745">
      <c r="M745" s="52"/>
      <c r="N745" s="52"/>
      <c r="O745" s="52"/>
      <c r="P745" s="52"/>
      <c r="Q745" s="52"/>
      <c r="U745" s="52"/>
    </row>
    <row r="746">
      <c r="M746" s="52"/>
      <c r="N746" s="52"/>
      <c r="O746" s="52"/>
      <c r="P746" s="52"/>
      <c r="Q746" s="52"/>
      <c r="U746" s="52"/>
    </row>
    <row r="747">
      <c r="M747" s="52"/>
      <c r="N747" s="52"/>
      <c r="O747" s="52"/>
      <c r="P747" s="52"/>
      <c r="Q747" s="52"/>
      <c r="U747" s="52"/>
    </row>
    <row r="748">
      <c r="M748" s="52"/>
      <c r="N748" s="52"/>
      <c r="O748" s="52"/>
      <c r="P748" s="52"/>
      <c r="Q748" s="52"/>
      <c r="U748" s="52"/>
    </row>
    <row r="749">
      <c r="M749" s="52"/>
      <c r="N749" s="52"/>
      <c r="O749" s="52"/>
      <c r="P749" s="52"/>
      <c r="Q749" s="52"/>
      <c r="U749" s="52"/>
    </row>
    <row r="750">
      <c r="M750" s="52"/>
      <c r="N750" s="52"/>
      <c r="O750" s="52"/>
      <c r="P750" s="52"/>
      <c r="Q750" s="52"/>
      <c r="U750" s="52"/>
    </row>
    <row r="751">
      <c r="M751" s="52"/>
      <c r="N751" s="52"/>
      <c r="O751" s="52"/>
      <c r="P751" s="52"/>
      <c r="Q751" s="52"/>
      <c r="U751" s="52"/>
    </row>
    <row r="752">
      <c r="M752" s="52"/>
      <c r="N752" s="52"/>
      <c r="O752" s="52"/>
      <c r="P752" s="52"/>
      <c r="Q752" s="52"/>
      <c r="U752" s="52"/>
    </row>
    <row r="753">
      <c r="M753" s="52"/>
      <c r="N753" s="52"/>
      <c r="O753" s="52"/>
      <c r="P753" s="52"/>
      <c r="Q753" s="52"/>
      <c r="U753" s="52"/>
    </row>
    <row r="754">
      <c r="M754" s="52"/>
      <c r="N754" s="52"/>
      <c r="O754" s="52"/>
      <c r="P754" s="52"/>
      <c r="Q754" s="52"/>
      <c r="U754" s="52"/>
    </row>
    <row r="755">
      <c r="M755" s="52"/>
      <c r="N755" s="52"/>
      <c r="O755" s="52"/>
      <c r="P755" s="52"/>
      <c r="Q755" s="52"/>
      <c r="U755" s="52"/>
    </row>
    <row r="756">
      <c r="M756" s="52"/>
      <c r="N756" s="52"/>
      <c r="O756" s="52"/>
      <c r="P756" s="52"/>
      <c r="Q756" s="52"/>
      <c r="U756" s="52"/>
    </row>
    <row r="757">
      <c r="M757" s="52"/>
      <c r="N757" s="52"/>
      <c r="O757" s="52"/>
      <c r="P757" s="52"/>
      <c r="Q757" s="52"/>
      <c r="U757" s="52"/>
    </row>
    <row r="758">
      <c r="M758" s="52"/>
      <c r="N758" s="52"/>
      <c r="O758" s="52"/>
      <c r="P758" s="52"/>
      <c r="Q758" s="52"/>
      <c r="U758" s="52"/>
    </row>
    <row r="759">
      <c r="M759" s="52"/>
      <c r="N759" s="52"/>
      <c r="O759" s="52"/>
      <c r="P759" s="52"/>
      <c r="Q759" s="52"/>
      <c r="U759" s="52"/>
    </row>
    <row r="760">
      <c r="M760" s="52"/>
      <c r="N760" s="52"/>
      <c r="O760" s="52"/>
      <c r="P760" s="52"/>
      <c r="Q760" s="52"/>
      <c r="U760" s="52"/>
    </row>
    <row r="761">
      <c r="M761" s="52"/>
      <c r="N761" s="52"/>
      <c r="O761" s="52"/>
      <c r="P761" s="52"/>
      <c r="Q761" s="52"/>
      <c r="U761" s="52"/>
    </row>
    <row r="762">
      <c r="M762" s="52"/>
      <c r="N762" s="52"/>
      <c r="O762" s="52"/>
      <c r="P762" s="52"/>
      <c r="Q762" s="52"/>
      <c r="U762" s="52"/>
    </row>
    <row r="763">
      <c r="M763" s="52"/>
      <c r="N763" s="52"/>
      <c r="O763" s="52"/>
      <c r="P763" s="52"/>
      <c r="Q763" s="52"/>
      <c r="U763" s="52"/>
    </row>
    <row r="764">
      <c r="M764" s="52"/>
      <c r="N764" s="52"/>
      <c r="O764" s="52"/>
      <c r="P764" s="52"/>
      <c r="Q764" s="52"/>
      <c r="U764" s="52"/>
    </row>
    <row r="765">
      <c r="M765" s="52"/>
      <c r="N765" s="52"/>
      <c r="O765" s="52"/>
      <c r="P765" s="52"/>
      <c r="Q765" s="52"/>
      <c r="U765" s="52"/>
    </row>
    <row r="766">
      <c r="M766" s="52"/>
      <c r="N766" s="52"/>
      <c r="O766" s="52"/>
      <c r="P766" s="52"/>
      <c r="Q766" s="52"/>
      <c r="U766" s="52"/>
    </row>
    <row r="767">
      <c r="M767" s="52"/>
      <c r="N767" s="52"/>
      <c r="O767" s="52"/>
      <c r="P767" s="52"/>
      <c r="Q767" s="52"/>
      <c r="U767" s="52"/>
    </row>
    <row r="768">
      <c r="M768" s="52"/>
      <c r="N768" s="52"/>
      <c r="O768" s="52"/>
      <c r="P768" s="52"/>
      <c r="Q768" s="52"/>
      <c r="U768" s="52"/>
    </row>
    <row r="769">
      <c r="M769" s="52"/>
      <c r="N769" s="52"/>
      <c r="O769" s="52"/>
      <c r="P769" s="52"/>
      <c r="Q769" s="52"/>
      <c r="U769" s="52"/>
    </row>
    <row r="770">
      <c r="M770" s="52"/>
      <c r="N770" s="52"/>
      <c r="O770" s="52"/>
      <c r="P770" s="52"/>
      <c r="Q770" s="52"/>
      <c r="U770" s="52"/>
    </row>
    <row r="771">
      <c r="M771" s="52"/>
      <c r="N771" s="52"/>
      <c r="O771" s="52"/>
      <c r="P771" s="52"/>
      <c r="Q771" s="52"/>
      <c r="U771" s="52"/>
    </row>
    <row r="772">
      <c r="M772" s="52"/>
      <c r="N772" s="52"/>
      <c r="O772" s="52"/>
      <c r="P772" s="52"/>
      <c r="Q772" s="52"/>
      <c r="U772" s="52"/>
    </row>
    <row r="773">
      <c r="M773" s="52"/>
      <c r="N773" s="52"/>
      <c r="O773" s="52"/>
      <c r="P773" s="52"/>
      <c r="Q773" s="52"/>
      <c r="U773" s="52"/>
    </row>
    <row r="774">
      <c r="M774" s="52"/>
      <c r="N774" s="52"/>
      <c r="O774" s="52"/>
      <c r="P774" s="52"/>
      <c r="Q774" s="52"/>
      <c r="U774" s="52"/>
    </row>
    <row r="775">
      <c r="M775" s="52"/>
      <c r="N775" s="52"/>
      <c r="O775" s="52"/>
      <c r="P775" s="52"/>
      <c r="Q775" s="52"/>
      <c r="U775" s="52"/>
    </row>
    <row r="776">
      <c r="M776" s="52"/>
      <c r="N776" s="52"/>
      <c r="O776" s="52"/>
      <c r="P776" s="52"/>
      <c r="Q776" s="52"/>
      <c r="U776" s="52"/>
    </row>
    <row r="777">
      <c r="M777" s="52"/>
      <c r="N777" s="52"/>
      <c r="O777" s="52"/>
      <c r="P777" s="52"/>
      <c r="Q777" s="52"/>
      <c r="U777" s="52"/>
    </row>
    <row r="778">
      <c r="M778" s="52"/>
      <c r="N778" s="52"/>
      <c r="O778" s="52"/>
      <c r="P778" s="52"/>
      <c r="Q778" s="52"/>
      <c r="U778" s="52"/>
    </row>
    <row r="779">
      <c r="M779" s="52"/>
      <c r="N779" s="52"/>
      <c r="O779" s="52"/>
      <c r="P779" s="52"/>
      <c r="Q779" s="52"/>
      <c r="U779" s="52"/>
    </row>
    <row r="780">
      <c r="M780" s="52"/>
      <c r="N780" s="52"/>
      <c r="O780" s="52"/>
      <c r="P780" s="52"/>
      <c r="Q780" s="52"/>
      <c r="U780" s="52"/>
    </row>
    <row r="781">
      <c r="M781" s="52"/>
      <c r="N781" s="52"/>
      <c r="O781" s="52"/>
      <c r="P781" s="52"/>
      <c r="Q781" s="52"/>
      <c r="U781" s="52"/>
    </row>
    <row r="782">
      <c r="M782" s="52"/>
      <c r="N782" s="52"/>
      <c r="O782" s="52"/>
      <c r="P782" s="52"/>
      <c r="Q782" s="52"/>
      <c r="U782" s="52"/>
    </row>
    <row r="783">
      <c r="M783" s="52"/>
      <c r="N783" s="52"/>
      <c r="O783" s="52"/>
      <c r="P783" s="52"/>
      <c r="Q783" s="52"/>
      <c r="U783" s="52"/>
    </row>
    <row r="784">
      <c r="M784" s="52"/>
      <c r="N784" s="52"/>
      <c r="O784" s="52"/>
      <c r="P784" s="52"/>
      <c r="Q784" s="52"/>
      <c r="U784" s="52"/>
    </row>
    <row r="785">
      <c r="M785" s="52"/>
      <c r="N785" s="52"/>
      <c r="O785" s="52"/>
      <c r="P785" s="52"/>
      <c r="Q785" s="52"/>
      <c r="U785" s="52"/>
    </row>
    <row r="786">
      <c r="M786" s="52"/>
      <c r="N786" s="52"/>
      <c r="O786" s="52"/>
      <c r="P786" s="52"/>
      <c r="Q786" s="52"/>
      <c r="U786" s="52"/>
    </row>
    <row r="787">
      <c r="M787" s="52"/>
      <c r="N787" s="52"/>
      <c r="O787" s="52"/>
      <c r="P787" s="52"/>
      <c r="Q787" s="52"/>
      <c r="U787" s="52"/>
    </row>
    <row r="788">
      <c r="M788" s="52"/>
      <c r="N788" s="52"/>
      <c r="O788" s="52"/>
      <c r="P788" s="52"/>
      <c r="Q788" s="52"/>
      <c r="U788" s="52"/>
    </row>
    <row r="789">
      <c r="M789" s="52"/>
      <c r="N789" s="52"/>
      <c r="O789" s="52"/>
      <c r="P789" s="52"/>
      <c r="Q789" s="52"/>
      <c r="U789" s="52"/>
    </row>
    <row r="790">
      <c r="M790" s="52"/>
      <c r="N790" s="52"/>
      <c r="O790" s="52"/>
      <c r="P790" s="52"/>
      <c r="Q790" s="52"/>
      <c r="U790" s="52"/>
    </row>
    <row r="791">
      <c r="M791" s="52"/>
      <c r="N791" s="52"/>
      <c r="O791" s="52"/>
      <c r="P791" s="52"/>
      <c r="Q791" s="52"/>
      <c r="U791" s="52"/>
    </row>
    <row r="792">
      <c r="M792" s="52"/>
      <c r="N792" s="52"/>
      <c r="O792" s="52"/>
      <c r="P792" s="52"/>
      <c r="Q792" s="52"/>
      <c r="U792" s="52"/>
    </row>
    <row r="793">
      <c r="M793" s="52"/>
      <c r="N793" s="52"/>
      <c r="O793" s="52"/>
      <c r="P793" s="52"/>
      <c r="Q793" s="52"/>
      <c r="U793" s="52"/>
    </row>
    <row r="794">
      <c r="M794" s="52"/>
      <c r="N794" s="52"/>
      <c r="O794" s="52"/>
      <c r="P794" s="52"/>
      <c r="Q794" s="52"/>
      <c r="U794" s="52"/>
    </row>
    <row r="795">
      <c r="M795" s="52"/>
      <c r="N795" s="52"/>
      <c r="O795" s="52"/>
      <c r="P795" s="52"/>
      <c r="Q795" s="52"/>
      <c r="U795" s="52"/>
    </row>
    <row r="796">
      <c r="M796" s="52"/>
      <c r="N796" s="52"/>
      <c r="O796" s="52"/>
      <c r="P796" s="52"/>
      <c r="Q796" s="52"/>
      <c r="U796" s="52"/>
    </row>
    <row r="797">
      <c r="M797" s="52"/>
      <c r="N797" s="52"/>
      <c r="O797" s="52"/>
      <c r="P797" s="52"/>
      <c r="Q797" s="52"/>
      <c r="U797" s="52"/>
    </row>
    <row r="798">
      <c r="M798" s="52"/>
      <c r="N798" s="52"/>
      <c r="O798" s="52"/>
      <c r="P798" s="52"/>
      <c r="Q798" s="52"/>
      <c r="U798" s="52"/>
    </row>
    <row r="799">
      <c r="M799" s="52"/>
      <c r="N799" s="52"/>
      <c r="O799" s="52"/>
      <c r="P799" s="52"/>
      <c r="Q799" s="52"/>
      <c r="U799" s="52"/>
    </row>
    <row r="800">
      <c r="M800" s="52"/>
      <c r="N800" s="52"/>
      <c r="O800" s="52"/>
      <c r="P800" s="52"/>
      <c r="Q800" s="52"/>
      <c r="U800" s="52"/>
    </row>
    <row r="801">
      <c r="M801" s="52"/>
      <c r="N801" s="52"/>
      <c r="O801" s="52"/>
      <c r="P801" s="52"/>
      <c r="Q801" s="52"/>
      <c r="U801" s="52"/>
    </row>
    <row r="802">
      <c r="M802" s="52"/>
      <c r="N802" s="52"/>
      <c r="O802" s="52"/>
      <c r="P802" s="52"/>
      <c r="Q802" s="52"/>
      <c r="U802" s="52"/>
    </row>
    <row r="803">
      <c r="M803" s="52"/>
      <c r="N803" s="52"/>
      <c r="O803" s="52"/>
      <c r="P803" s="52"/>
      <c r="Q803" s="52"/>
      <c r="U803" s="52"/>
    </row>
    <row r="804">
      <c r="M804" s="52"/>
      <c r="N804" s="52"/>
      <c r="O804" s="52"/>
      <c r="P804" s="52"/>
      <c r="Q804" s="52"/>
      <c r="U804" s="52"/>
    </row>
    <row r="805">
      <c r="M805" s="52"/>
      <c r="N805" s="52"/>
      <c r="O805" s="52"/>
      <c r="P805" s="52"/>
      <c r="Q805" s="52"/>
      <c r="U805" s="52"/>
    </row>
    <row r="806">
      <c r="M806" s="52"/>
      <c r="N806" s="52"/>
      <c r="O806" s="52"/>
      <c r="P806" s="52"/>
      <c r="Q806" s="52"/>
      <c r="U806" s="52"/>
    </row>
    <row r="807">
      <c r="M807" s="52"/>
      <c r="N807" s="52"/>
      <c r="O807" s="52"/>
      <c r="P807" s="52"/>
      <c r="Q807" s="52"/>
      <c r="U807" s="52"/>
    </row>
    <row r="808">
      <c r="M808" s="52"/>
      <c r="N808" s="52"/>
      <c r="O808" s="52"/>
      <c r="P808" s="52"/>
      <c r="Q808" s="52"/>
      <c r="U808" s="52"/>
    </row>
    <row r="809">
      <c r="M809" s="52"/>
      <c r="N809" s="52"/>
      <c r="O809" s="52"/>
      <c r="P809" s="52"/>
      <c r="Q809" s="52"/>
      <c r="U809" s="52"/>
    </row>
    <row r="810">
      <c r="M810" s="52"/>
      <c r="N810" s="52"/>
      <c r="O810" s="52"/>
      <c r="P810" s="52"/>
      <c r="Q810" s="52"/>
      <c r="U810" s="52"/>
    </row>
    <row r="811">
      <c r="M811" s="52"/>
      <c r="N811" s="52"/>
      <c r="O811" s="52"/>
      <c r="P811" s="52"/>
      <c r="Q811" s="52"/>
      <c r="U811" s="52"/>
    </row>
    <row r="812">
      <c r="M812" s="52"/>
      <c r="N812" s="52"/>
      <c r="O812" s="52"/>
      <c r="P812" s="52"/>
      <c r="Q812" s="52"/>
      <c r="U812" s="52"/>
    </row>
    <row r="813">
      <c r="M813" s="52"/>
      <c r="N813" s="52"/>
      <c r="O813" s="52"/>
      <c r="P813" s="52"/>
      <c r="Q813" s="52"/>
      <c r="U813" s="52"/>
    </row>
    <row r="814">
      <c r="M814" s="52"/>
      <c r="N814" s="52"/>
      <c r="O814" s="52"/>
      <c r="P814" s="52"/>
      <c r="Q814" s="52"/>
      <c r="U814" s="52"/>
    </row>
    <row r="815">
      <c r="M815" s="52"/>
      <c r="N815" s="52"/>
      <c r="O815" s="52"/>
      <c r="P815" s="52"/>
      <c r="Q815" s="52"/>
      <c r="U815" s="52"/>
    </row>
    <row r="816">
      <c r="M816" s="52"/>
      <c r="N816" s="52"/>
      <c r="O816" s="52"/>
      <c r="P816" s="52"/>
      <c r="Q816" s="52"/>
      <c r="U816" s="52"/>
    </row>
    <row r="817">
      <c r="M817" s="52"/>
      <c r="N817" s="52"/>
      <c r="O817" s="52"/>
      <c r="P817" s="52"/>
      <c r="Q817" s="52"/>
      <c r="U817" s="52"/>
    </row>
    <row r="818">
      <c r="M818" s="52"/>
      <c r="N818" s="52"/>
      <c r="O818" s="52"/>
      <c r="P818" s="52"/>
      <c r="Q818" s="52"/>
      <c r="U818" s="52"/>
    </row>
    <row r="819">
      <c r="M819" s="52"/>
      <c r="N819" s="52"/>
      <c r="O819" s="52"/>
      <c r="P819" s="52"/>
      <c r="Q819" s="52"/>
      <c r="U819" s="52"/>
    </row>
    <row r="820">
      <c r="M820" s="52"/>
      <c r="N820" s="52"/>
      <c r="O820" s="52"/>
      <c r="P820" s="52"/>
      <c r="Q820" s="52"/>
      <c r="U820" s="52"/>
    </row>
    <row r="821">
      <c r="M821" s="52"/>
      <c r="N821" s="52"/>
      <c r="O821" s="52"/>
      <c r="P821" s="52"/>
      <c r="Q821" s="52"/>
      <c r="U821" s="52"/>
    </row>
    <row r="822">
      <c r="M822" s="52"/>
      <c r="N822" s="52"/>
      <c r="O822" s="52"/>
      <c r="P822" s="52"/>
      <c r="Q822" s="52"/>
      <c r="U822" s="52"/>
    </row>
    <row r="823">
      <c r="M823" s="52"/>
      <c r="N823" s="52"/>
      <c r="O823" s="52"/>
      <c r="P823" s="52"/>
      <c r="Q823" s="52"/>
      <c r="U823" s="52"/>
    </row>
    <row r="824">
      <c r="M824" s="52"/>
      <c r="N824" s="52"/>
      <c r="O824" s="52"/>
      <c r="P824" s="52"/>
      <c r="Q824" s="52"/>
      <c r="U824" s="52"/>
    </row>
    <row r="825">
      <c r="M825" s="52"/>
      <c r="N825" s="52"/>
      <c r="O825" s="52"/>
      <c r="P825" s="52"/>
      <c r="Q825" s="52"/>
      <c r="U825" s="52"/>
    </row>
    <row r="826">
      <c r="M826" s="52"/>
      <c r="N826" s="52"/>
      <c r="O826" s="52"/>
      <c r="P826" s="52"/>
      <c r="Q826" s="52"/>
      <c r="U826" s="52"/>
    </row>
    <row r="827">
      <c r="M827" s="52"/>
      <c r="N827" s="52"/>
      <c r="O827" s="52"/>
      <c r="P827" s="52"/>
      <c r="Q827" s="52"/>
      <c r="U827" s="52"/>
    </row>
    <row r="828">
      <c r="M828" s="52"/>
      <c r="N828" s="52"/>
      <c r="O828" s="52"/>
      <c r="P828" s="52"/>
      <c r="Q828" s="52"/>
      <c r="U828" s="52"/>
    </row>
    <row r="829">
      <c r="M829" s="52"/>
      <c r="N829" s="52"/>
      <c r="O829" s="52"/>
      <c r="P829" s="52"/>
      <c r="Q829" s="52"/>
      <c r="U829" s="52"/>
    </row>
    <row r="830">
      <c r="M830" s="52"/>
      <c r="N830" s="52"/>
      <c r="O830" s="52"/>
      <c r="P830" s="52"/>
      <c r="Q830" s="52"/>
      <c r="U830" s="52"/>
    </row>
    <row r="831">
      <c r="M831" s="52"/>
      <c r="N831" s="52"/>
      <c r="O831" s="52"/>
      <c r="P831" s="52"/>
      <c r="Q831" s="52"/>
      <c r="U831" s="52"/>
    </row>
    <row r="832">
      <c r="M832" s="52"/>
      <c r="N832" s="52"/>
      <c r="O832" s="52"/>
      <c r="P832" s="52"/>
      <c r="Q832" s="52"/>
      <c r="U832" s="52"/>
    </row>
    <row r="833">
      <c r="M833" s="52"/>
      <c r="N833" s="52"/>
      <c r="O833" s="52"/>
      <c r="P833" s="52"/>
      <c r="Q833" s="52"/>
      <c r="U833" s="52"/>
    </row>
    <row r="834">
      <c r="M834" s="52"/>
      <c r="N834" s="52"/>
      <c r="O834" s="52"/>
      <c r="P834" s="52"/>
      <c r="Q834" s="52"/>
      <c r="U834" s="52"/>
    </row>
    <row r="835">
      <c r="M835" s="52"/>
      <c r="N835" s="52"/>
      <c r="O835" s="52"/>
      <c r="P835" s="52"/>
      <c r="Q835" s="52"/>
      <c r="U835" s="52"/>
    </row>
    <row r="836">
      <c r="M836" s="52"/>
      <c r="N836" s="52"/>
      <c r="O836" s="52"/>
      <c r="P836" s="52"/>
      <c r="Q836" s="52"/>
      <c r="U836" s="52"/>
    </row>
    <row r="837">
      <c r="M837" s="52"/>
      <c r="N837" s="52"/>
      <c r="O837" s="52"/>
      <c r="P837" s="52"/>
      <c r="Q837" s="52"/>
      <c r="U837" s="52"/>
    </row>
    <row r="838">
      <c r="M838" s="52"/>
      <c r="N838" s="52"/>
      <c r="O838" s="52"/>
      <c r="P838" s="52"/>
      <c r="Q838" s="52"/>
      <c r="U838" s="52"/>
    </row>
    <row r="839">
      <c r="M839" s="52"/>
      <c r="N839" s="52"/>
      <c r="O839" s="52"/>
      <c r="P839" s="52"/>
      <c r="Q839" s="52"/>
      <c r="U839" s="52"/>
    </row>
    <row r="840">
      <c r="M840" s="52"/>
      <c r="N840" s="52"/>
      <c r="O840" s="52"/>
      <c r="P840" s="52"/>
      <c r="Q840" s="52"/>
      <c r="U840" s="52"/>
    </row>
    <row r="841">
      <c r="M841" s="52"/>
      <c r="N841" s="52"/>
      <c r="O841" s="52"/>
      <c r="P841" s="52"/>
      <c r="Q841" s="52"/>
      <c r="U841" s="52"/>
    </row>
    <row r="842">
      <c r="M842" s="52"/>
      <c r="N842" s="52"/>
      <c r="O842" s="52"/>
      <c r="P842" s="52"/>
      <c r="Q842" s="52"/>
      <c r="U842" s="52"/>
    </row>
    <row r="843">
      <c r="M843" s="52"/>
      <c r="N843" s="52"/>
      <c r="O843" s="52"/>
      <c r="P843" s="52"/>
      <c r="Q843" s="52"/>
      <c r="U843" s="52"/>
    </row>
    <row r="844">
      <c r="M844" s="52"/>
      <c r="N844" s="52"/>
      <c r="O844" s="52"/>
      <c r="P844" s="52"/>
      <c r="Q844" s="52"/>
      <c r="U844" s="52"/>
    </row>
    <row r="845">
      <c r="M845" s="52"/>
      <c r="N845" s="52"/>
      <c r="O845" s="52"/>
      <c r="P845" s="52"/>
      <c r="Q845" s="52"/>
      <c r="U845" s="52"/>
    </row>
    <row r="846">
      <c r="M846" s="52"/>
      <c r="N846" s="52"/>
      <c r="O846" s="52"/>
      <c r="P846" s="52"/>
      <c r="Q846" s="52"/>
      <c r="U846" s="52"/>
    </row>
    <row r="847">
      <c r="M847" s="52"/>
      <c r="N847" s="52"/>
      <c r="O847" s="52"/>
      <c r="P847" s="52"/>
      <c r="Q847" s="52"/>
      <c r="U847" s="52"/>
    </row>
    <row r="848">
      <c r="M848" s="52"/>
      <c r="N848" s="52"/>
      <c r="O848" s="52"/>
      <c r="P848" s="52"/>
      <c r="Q848" s="52"/>
      <c r="U848" s="52"/>
    </row>
    <row r="849">
      <c r="M849" s="52"/>
      <c r="N849" s="52"/>
      <c r="O849" s="52"/>
      <c r="P849" s="52"/>
      <c r="Q849" s="52"/>
      <c r="U849" s="52"/>
    </row>
    <row r="850">
      <c r="M850" s="52"/>
      <c r="N850" s="52"/>
      <c r="O850" s="52"/>
      <c r="P850" s="52"/>
      <c r="Q850" s="52"/>
      <c r="U850" s="52"/>
    </row>
    <row r="851">
      <c r="M851" s="52"/>
      <c r="N851" s="52"/>
      <c r="O851" s="52"/>
      <c r="P851" s="52"/>
      <c r="Q851" s="52"/>
      <c r="U851" s="52"/>
    </row>
    <row r="852">
      <c r="M852" s="52"/>
      <c r="N852" s="52"/>
      <c r="O852" s="52"/>
      <c r="P852" s="52"/>
      <c r="Q852" s="52"/>
      <c r="U852" s="52"/>
    </row>
    <row r="853">
      <c r="M853" s="52"/>
      <c r="N853" s="52"/>
      <c r="O853" s="52"/>
      <c r="P853" s="52"/>
      <c r="Q853" s="52"/>
      <c r="U853" s="52"/>
    </row>
    <row r="854">
      <c r="M854" s="52"/>
      <c r="N854" s="52"/>
      <c r="O854" s="52"/>
      <c r="P854" s="52"/>
      <c r="Q854" s="52"/>
      <c r="U854" s="52"/>
    </row>
    <row r="855">
      <c r="M855" s="52"/>
      <c r="N855" s="52"/>
      <c r="O855" s="52"/>
      <c r="P855" s="52"/>
      <c r="Q855" s="52"/>
      <c r="U855" s="52"/>
    </row>
    <row r="856">
      <c r="M856" s="52"/>
      <c r="N856" s="52"/>
      <c r="O856" s="52"/>
      <c r="P856" s="52"/>
      <c r="Q856" s="52"/>
      <c r="U856" s="52"/>
    </row>
    <row r="857">
      <c r="M857" s="52"/>
      <c r="N857" s="52"/>
      <c r="O857" s="52"/>
      <c r="P857" s="52"/>
      <c r="Q857" s="52"/>
      <c r="U857" s="52"/>
    </row>
    <row r="858">
      <c r="M858" s="52"/>
      <c r="N858" s="52"/>
      <c r="O858" s="52"/>
      <c r="P858" s="52"/>
      <c r="Q858" s="52"/>
      <c r="U858" s="52"/>
    </row>
    <row r="859">
      <c r="M859" s="52"/>
      <c r="N859" s="52"/>
      <c r="O859" s="52"/>
      <c r="P859" s="52"/>
      <c r="Q859" s="52"/>
      <c r="U859" s="52"/>
    </row>
    <row r="860">
      <c r="M860" s="52"/>
      <c r="N860" s="52"/>
      <c r="O860" s="52"/>
      <c r="P860" s="52"/>
      <c r="Q860" s="52"/>
      <c r="U860" s="52"/>
    </row>
    <row r="861">
      <c r="M861" s="52"/>
      <c r="N861" s="52"/>
      <c r="O861" s="52"/>
      <c r="P861" s="52"/>
      <c r="Q861" s="52"/>
      <c r="U861" s="52"/>
    </row>
    <row r="862">
      <c r="M862" s="52"/>
      <c r="N862" s="52"/>
      <c r="O862" s="52"/>
      <c r="P862" s="52"/>
      <c r="Q862" s="52"/>
      <c r="U862" s="52"/>
    </row>
    <row r="863">
      <c r="M863" s="52"/>
      <c r="N863" s="52"/>
      <c r="O863" s="52"/>
      <c r="P863" s="52"/>
      <c r="Q863" s="52"/>
      <c r="U863" s="52"/>
    </row>
    <row r="864">
      <c r="M864" s="52"/>
      <c r="N864" s="52"/>
      <c r="O864" s="52"/>
      <c r="P864" s="52"/>
      <c r="Q864" s="52"/>
      <c r="U864" s="52"/>
    </row>
    <row r="865">
      <c r="M865" s="52"/>
      <c r="N865" s="52"/>
      <c r="O865" s="52"/>
      <c r="P865" s="52"/>
      <c r="Q865" s="52"/>
      <c r="U865" s="52"/>
    </row>
    <row r="866">
      <c r="M866" s="52"/>
      <c r="N866" s="52"/>
      <c r="O866" s="52"/>
      <c r="P866" s="52"/>
      <c r="Q866" s="52"/>
      <c r="U866" s="52"/>
    </row>
    <row r="867">
      <c r="M867" s="52"/>
      <c r="N867" s="52"/>
      <c r="O867" s="52"/>
      <c r="P867" s="52"/>
      <c r="Q867" s="52"/>
      <c r="U867" s="52"/>
    </row>
    <row r="868">
      <c r="M868" s="52"/>
      <c r="N868" s="52"/>
      <c r="O868" s="52"/>
      <c r="P868" s="52"/>
      <c r="Q868" s="52"/>
      <c r="U868" s="52"/>
    </row>
    <row r="869">
      <c r="M869" s="52"/>
      <c r="N869" s="52"/>
      <c r="O869" s="52"/>
      <c r="P869" s="52"/>
      <c r="Q869" s="52"/>
      <c r="U869" s="52"/>
    </row>
    <row r="870">
      <c r="M870" s="52"/>
      <c r="N870" s="52"/>
      <c r="O870" s="52"/>
      <c r="P870" s="52"/>
      <c r="Q870" s="52"/>
      <c r="U870" s="52"/>
    </row>
    <row r="871">
      <c r="M871" s="52"/>
      <c r="N871" s="52"/>
      <c r="O871" s="52"/>
      <c r="P871" s="52"/>
      <c r="Q871" s="52"/>
      <c r="U871" s="52"/>
    </row>
    <row r="872">
      <c r="M872" s="52"/>
      <c r="N872" s="52"/>
      <c r="O872" s="52"/>
      <c r="P872" s="52"/>
      <c r="Q872" s="52"/>
      <c r="U872" s="52"/>
    </row>
    <row r="873">
      <c r="M873" s="52"/>
      <c r="N873" s="52"/>
      <c r="O873" s="52"/>
      <c r="P873" s="52"/>
      <c r="Q873" s="52"/>
      <c r="U873" s="52"/>
    </row>
    <row r="874">
      <c r="M874" s="52"/>
      <c r="N874" s="52"/>
      <c r="O874" s="52"/>
      <c r="P874" s="52"/>
      <c r="Q874" s="52"/>
      <c r="U874" s="52"/>
    </row>
    <row r="875">
      <c r="M875" s="52"/>
      <c r="N875" s="52"/>
      <c r="O875" s="52"/>
      <c r="P875" s="52"/>
      <c r="Q875" s="52"/>
      <c r="U875" s="52"/>
    </row>
    <row r="876">
      <c r="M876" s="52"/>
      <c r="N876" s="52"/>
      <c r="O876" s="52"/>
      <c r="P876" s="52"/>
      <c r="Q876" s="52"/>
      <c r="U876" s="52"/>
    </row>
    <row r="877">
      <c r="M877" s="52"/>
      <c r="N877" s="52"/>
      <c r="O877" s="52"/>
      <c r="P877" s="52"/>
      <c r="Q877" s="52"/>
      <c r="U877" s="52"/>
    </row>
    <row r="878">
      <c r="M878" s="52"/>
      <c r="N878" s="52"/>
      <c r="O878" s="52"/>
      <c r="P878" s="52"/>
      <c r="Q878" s="52"/>
      <c r="U878" s="52"/>
    </row>
    <row r="879">
      <c r="M879" s="52"/>
      <c r="N879" s="52"/>
      <c r="O879" s="52"/>
      <c r="P879" s="52"/>
      <c r="Q879" s="52"/>
      <c r="U879" s="52"/>
    </row>
    <row r="880">
      <c r="M880" s="52"/>
      <c r="N880" s="52"/>
      <c r="O880" s="52"/>
      <c r="P880" s="52"/>
      <c r="Q880" s="52"/>
      <c r="U880" s="52"/>
    </row>
    <row r="881">
      <c r="M881" s="52"/>
      <c r="N881" s="52"/>
      <c r="O881" s="52"/>
      <c r="P881" s="52"/>
      <c r="Q881" s="52"/>
      <c r="U881" s="52"/>
    </row>
    <row r="882">
      <c r="M882" s="52"/>
      <c r="N882" s="52"/>
      <c r="O882" s="52"/>
      <c r="P882" s="52"/>
      <c r="Q882" s="52"/>
      <c r="U882" s="52"/>
    </row>
    <row r="883">
      <c r="M883" s="52"/>
      <c r="N883" s="52"/>
      <c r="O883" s="52"/>
      <c r="P883" s="52"/>
      <c r="Q883" s="52"/>
      <c r="U883" s="52"/>
    </row>
    <row r="884">
      <c r="M884" s="52"/>
      <c r="N884" s="52"/>
      <c r="O884" s="52"/>
      <c r="P884" s="52"/>
      <c r="Q884" s="52"/>
      <c r="U884" s="52"/>
    </row>
    <row r="885">
      <c r="M885" s="52"/>
      <c r="N885" s="52"/>
      <c r="O885" s="52"/>
      <c r="P885" s="52"/>
      <c r="Q885" s="52"/>
      <c r="U885" s="52"/>
    </row>
    <row r="886">
      <c r="M886" s="52"/>
      <c r="N886" s="52"/>
      <c r="O886" s="52"/>
      <c r="P886" s="52"/>
      <c r="Q886" s="52"/>
      <c r="U886" s="52"/>
    </row>
    <row r="887">
      <c r="M887" s="52"/>
      <c r="N887" s="52"/>
      <c r="O887" s="52"/>
      <c r="P887" s="52"/>
      <c r="Q887" s="52"/>
      <c r="U887" s="52"/>
    </row>
    <row r="888">
      <c r="M888" s="52"/>
      <c r="N888" s="52"/>
      <c r="O888" s="52"/>
      <c r="P888" s="52"/>
      <c r="Q888" s="52"/>
      <c r="U888" s="52"/>
    </row>
    <row r="889">
      <c r="M889" s="52"/>
      <c r="N889" s="52"/>
      <c r="O889" s="52"/>
      <c r="P889" s="52"/>
      <c r="Q889" s="52"/>
      <c r="U889" s="52"/>
    </row>
    <row r="890">
      <c r="M890" s="52"/>
      <c r="N890" s="52"/>
      <c r="O890" s="52"/>
      <c r="P890" s="52"/>
      <c r="Q890" s="52"/>
      <c r="U890" s="52"/>
    </row>
    <row r="891">
      <c r="M891" s="52"/>
      <c r="N891" s="52"/>
      <c r="O891" s="52"/>
      <c r="P891" s="52"/>
      <c r="Q891" s="52"/>
      <c r="U891" s="52"/>
    </row>
    <row r="892">
      <c r="M892" s="52"/>
      <c r="N892" s="52"/>
      <c r="O892" s="52"/>
      <c r="P892" s="52"/>
      <c r="Q892" s="52"/>
      <c r="U892" s="52"/>
    </row>
    <row r="893">
      <c r="M893" s="52"/>
      <c r="N893" s="52"/>
      <c r="O893" s="52"/>
      <c r="P893" s="52"/>
      <c r="Q893" s="52"/>
      <c r="U893" s="52"/>
    </row>
    <row r="894">
      <c r="M894" s="52"/>
      <c r="N894" s="52"/>
      <c r="O894" s="52"/>
      <c r="P894" s="52"/>
      <c r="Q894" s="52"/>
      <c r="U894" s="52"/>
    </row>
    <row r="895">
      <c r="M895" s="52"/>
      <c r="N895" s="52"/>
      <c r="O895" s="52"/>
      <c r="P895" s="52"/>
      <c r="Q895" s="52"/>
      <c r="U895" s="52"/>
    </row>
    <row r="896">
      <c r="M896" s="52"/>
      <c r="N896" s="52"/>
      <c r="O896" s="52"/>
      <c r="P896" s="52"/>
      <c r="Q896" s="52"/>
      <c r="U896" s="52"/>
    </row>
    <row r="897">
      <c r="M897" s="52"/>
      <c r="N897" s="52"/>
      <c r="O897" s="52"/>
      <c r="P897" s="52"/>
      <c r="Q897" s="52"/>
      <c r="U897" s="52"/>
    </row>
    <row r="898">
      <c r="M898" s="52"/>
      <c r="N898" s="52"/>
      <c r="O898" s="52"/>
      <c r="P898" s="52"/>
      <c r="Q898" s="52"/>
      <c r="U898" s="52"/>
    </row>
    <row r="899">
      <c r="M899" s="52"/>
      <c r="N899" s="52"/>
      <c r="O899" s="52"/>
      <c r="P899" s="52"/>
      <c r="Q899" s="52"/>
      <c r="U899" s="52"/>
    </row>
    <row r="900">
      <c r="M900" s="52"/>
      <c r="N900" s="52"/>
      <c r="O900" s="52"/>
      <c r="P900" s="52"/>
      <c r="Q900" s="52"/>
      <c r="U900" s="52"/>
    </row>
    <row r="901">
      <c r="M901" s="52"/>
      <c r="N901" s="52"/>
      <c r="O901" s="52"/>
      <c r="P901" s="52"/>
      <c r="Q901" s="52"/>
      <c r="U901" s="52"/>
    </row>
    <row r="902">
      <c r="M902" s="52"/>
      <c r="N902" s="52"/>
      <c r="O902" s="52"/>
      <c r="P902" s="52"/>
      <c r="Q902" s="52"/>
      <c r="U902" s="52"/>
    </row>
    <row r="903">
      <c r="M903" s="52"/>
      <c r="N903" s="52"/>
      <c r="O903" s="52"/>
      <c r="P903" s="52"/>
      <c r="Q903" s="52"/>
      <c r="U903" s="52"/>
    </row>
    <row r="904">
      <c r="M904" s="52"/>
      <c r="N904" s="52"/>
      <c r="O904" s="52"/>
      <c r="P904" s="52"/>
      <c r="Q904" s="52"/>
      <c r="U904" s="52"/>
    </row>
    <row r="905">
      <c r="M905" s="52"/>
      <c r="N905" s="52"/>
      <c r="O905" s="52"/>
      <c r="P905" s="52"/>
      <c r="Q905" s="52"/>
      <c r="U905" s="52"/>
    </row>
    <row r="906">
      <c r="M906" s="52"/>
      <c r="N906" s="52"/>
      <c r="O906" s="52"/>
      <c r="P906" s="52"/>
      <c r="Q906" s="52"/>
      <c r="U906" s="52"/>
    </row>
    <row r="907">
      <c r="M907" s="52"/>
      <c r="N907" s="52"/>
      <c r="O907" s="52"/>
      <c r="P907" s="52"/>
      <c r="Q907" s="52"/>
      <c r="U907" s="52"/>
    </row>
    <row r="908">
      <c r="M908" s="52"/>
      <c r="N908" s="52"/>
      <c r="O908" s="52"/>
      <c r="P908" s="52"/>
      <c r="Q908" s="52"/>
      <c r="U908" s="52"/>
    </row>
    <row r="909">
      <c r="M909" s="52"/>
      <c r="N909" s="52"/>
      <c r="O909" s="52"/>
      <c r="P909" s="52"/>
      <c r="Q909" s="52"/>
      <c r="U909" s="52"/>
    </row>
    <row r="910">
      <c r="M910" s="52"/>
      <c r="N910" s="52"/>
      <c r="O910" s="52"/>
      <c r="P910" s="52"/>
      <c r="Q910" s="52"/>
      <c r="U910" s="52"/>
    </row>
    <row r="911">
      <c r="M911" s="52"/>
      <c r="N911" s="52"/>
      <c r="O911" s="52"/>
      <c r="P911" s="52"/>
      <c r="Q911" s="52"/>
      <c r="U911" s="52"/>
    </row>
    <row r="912">
      <c r="M912" s="52"/>
      <c r="N912" s="52"/>
      <c r="O912" s="52"/>
      <c r="P912" s="52"/>
      <c r="Q912" s="52"/>
      <c r="U912" s="52"/>
    </row>
    <row r="913">
      <c r="M913" s="52"/>
      <c r="N913" s="52"/>
      <c r="O913" s="52"/>
      <c r="P913" s="52"/>
      <c r="Q913" s="52"/>
      <c r="U913" s="52"/>
    </row>
    <row r="914">
      <c r="M914" s="52"/>
      <c r="N914" s="52"/>
      <c r="O914" s="52"/>
      <c r="P914" s="52"/>
      <c r="Q914" s="52"/>
      <c r="U914" s="52"/>
    </row>
    <row r="915">
      <c r="M915" s="52"/>
      <c r="N915" s="52"/>
      <c r="O915" s="52"/>
      <c r="P915" s="52"/>
      <c r="Q915" s="52"/>
      <c r="U915" s="52"/>
    </row>
    <row r="916">
      <c r="M916" s="52"/>
      <c r="N916" s="52"/>
      <c r="O916" s="52"/>
      <c r="P916" s="52"/>
      <c r="Q916" s="52"/>
      <c r="U916" s="52"/>
    </row>
    <row r="917">
      <c r="M917" s="52"/>
      <c r="N917" s="52"/>
      <c r="O917" s="52"/>
      <c r="P917" s="52"/>
      <c r="Q917" s="52"/>
      <c r="U917" s="52"/>
    </row>
    <row r="918">
      <c r="M918" s="52"/>
      <c r="N918" s="52"/>
      <c r="O918" s="52"/>
      <c r="P918" s="52"/>
      <c r="Q918" s="52"/>
      <c r="U918" s="52"/>
    </row>
    <row r="919">
      <c r="M919" s="52"/>
      <c r="N919" s="52"/>
      <c r="O919" s="52"/>
      <c r="P919" s="52"/>
      <c r="Q919" s="52"/>
      <c r="U919" s="52"/>
    </row>
    <row r="920">
      <c r="M920" s="52"/>
      <c r="N920" s="52"/>
      <c r="O920" s="52"/>
      <c r="P920" s="52"/>
      <c r="Q920" s="52"/>
      <c r="U920" s="52"/>
    </row>
    <row r="921">
      <c r="M921" s="52"/>
      <c r="N921" s="52"/>
      <c r="O921" s="52"/>
      <c r="P921" s="52"/>
      <c r="Q921" s="52"/>
      <c r="U921" s="52"/>
    </row>
    <row r="922">
      <c r="M922" s="52"/>
      <c r="N922" s="52"/>
      <c r="O922" s="52"/>
      <c r="P922" s="52"/>
      <c r="Q922" s="52"/>
      <c r="U922" s="52"/>
    </row>
    <row r="923">
      <c r="M923" s="52"/>
      <c r="N923" s="52"/>
      <c r="O923" s="52"/>
      <c r="P923" s="52"/>
      <c r="Q923" s="52"/>
      <c r="U923" s="52"/>
    </row>
    <row r="924">
      <c r="M924" s="52"/>
      <c r="N924" s="52"/>
      <c r="O924" s="52"/>
      <c r="P924" s="52"/>
      <c r="Q924" s="52"/>
      <c r="U924" s="52"/>
    </row>
    <row r="925">
      <c r="M925" s="52"/>
      <c r="N925" s="52"/>
      <c r="O925" s="52"/>
      <c r="P925" s="52"/>
      <c r="Q925" s="52"/>
      <c r="U925" s="52"/>
    </row>
    <row r="926">
      <c r="M926" s="52"/>
      <c r="N926" s="52"/>
      <c r="O926" s="52"/>
      <c r="P926" s="52"/>
      <c r="Q926" s="52"/>
      <c r="U926" s="52"/>
    </row>
    <row r="927">
      <c r="M927" s="52"/>
      <c r="N927" s="52"/>
      <c r="O927" s="52"/>
      <c r="P927" s="52"/>
      <c r="Q927" s="52"/>
      <c r="U927" s="52"/>
    </row>
    <row r="928">
      <c r="M928" s="52"/>
      <c r="N928" s="52"/>
      <c r="O928" s="52"/>
      <c r="P928" s="52"/>
      <c r="Q928" s="52"/>
      <c r="U928" s="52"/>
    </row>
    <row r="929">
      <c r="M929" s="52"/>
      <c r="N929" s="52"/>
      <c r="O929" s="52"/>
      <c r="P929" s="52"/>
      <c r="Q929" s="52"/>
      <c r="U929" s="52"/>
    </row>
    <row r="930">
      <c r="M930" s="52"/>
      <c r="N930" s="52"/>
      <c r="O930" s="52"/>
      <c r="P930" s="52"/>
      <c r="Q930" s="52"/>
      <c r="U930" s="52"/>
    </row>
    <row r="931">
      <c r="M931" s="52"/>
      <c r="N931" s="52"/>
      <c r="O931" s="52"/>
      <c r="P931" s="52"/>
      <c r="Q931" s="52"/>
      <c r="U931" s="52"/>
    </row>
    <row r="932">
      <c r="M932" s="52"/>
      <c r="N932" s="52"/>
      <c r="O932" s="52"/>
      <c r="P932" s="52"/>
      <c r="Q932" s="52"/>
      <c r="U932" s="52"/>
    </row>
    <row r="933">
      <c r="M933" s="52"/>
      <c r="N933" s="52"/>
      <c r="O933" s="52"/>
      <c r="P933" s="52"/>
      <c r="Q933" s="52"/>
      <c r="U933" s="52"/>
    </row>
    <row r="934">
      <c r="M934" s="52"/>
      <c r="N934" s="52"/>
      <c r="O934" s="52"/>
      <c r="P934" s="52"/>
      <c r="Q934" s="52"/>
      <c r="U934" s="52"/>
    </row>
    <row r="935">
      <c r="M935" s="52"/>
      <c r="N935" s="52"/>
      <c r="O935" s="52"/>
      <c r="P935" s="52"/>
      <c r="Q935" s="52"/>
      <c r="U935" s="52"/>
    </row>
    <row r="936">
      <c r="M936" s="52"/>
      <c r="N936" s="52"/>
      <c r="O936" s="52"/>
      <c r="P936" s="52"/>
      <c r="Q936" s="52"/>
      <c r="U936" s="52"/>
    </row>
    <row r="937">
      <c r="M937" s="52"/>
      <c r="N937" s="52"/>
      <c r="O937" s="52"/>
      <c r="P937" s="52"/>
      <c r="Q937" s="52"/>
      <c r="U937" s="52"/>
    </row>
    <row r="938">
      <c r="M938" s="52"/>
      <c r="N938" s="52"/>
      <c r="O938" s="52"/>
      <c r="P938" s="52"/>
      <c r="Q938" s="52"/>
      <c r="U938" s="52"/>
    </row>
    <row r="939">
      <c r="M939" s="52"/>
      <c r="N939" s="52"/>
      <c r="O939" s="52"/>
      <c r="P939" s="52"/>
      <c r="Q939" s="52"/>
      <c r="U939" s="52"/>
    </row>
    <row r="940">
      <c r="M940" s="52"/>
      <c r="N940" s="52"/>
      <c r="O940" s="52"/>
      <c r="P940" s="52"/>
      <c r="Q940" s="52"/>
      <c r="U940" s="52"/>
    </row>
    <row r="941">
      <c r="M941" s="52"/>
      <c r="N941" s="52"/>
      <c r="O941" s="52"/>
      <c r="P941" s="52"/>
      <c r="Q941" s="52"/>
      <c r="U941" s="52"/>
    </row>
    <row r="942">
      <c r="M942" s="52"/>
      <c r="N942" s="52"/>
      <c r="O942" s="52"/>
      <c r="P942" s="52"/>
      <c r="Q942" s="52"/>
      <c r="U942" s="52"/>
    </row>
    <row r="943">
      <c r="M943" s="52"/>
      <c r="N943" s="52"/>
      <c r="O943" s="52"/>
      <c r="P943" s="52"/>
      <c r="Q943" s="52"/>
      <c r="U943" s="52"/>
    </row>
    <row r="944">
      <c r="M944" s="52"/>
      <c r="N944" s="52"/>
      <c r="O944" s="52"/>
      <c r="P944" s="52"/>
      <c r="Q944" s="52"/>
      <c r="U944" s="52"/>
    </row>
    <row r="945">
      <c r="M945" s="52"/>
      <c r="N945" s="52"/>
      <c r="O945" s="52"/>
      <c r="P945" s="52"/>
      <c r="Q945" s="52"/>
      <c r="U945" s="52"/>
    </row>
    <row r="946">
      <c r="M946" s="52"/>
      <c r="N946" s="52"/>
      <c r="O946" s="52"/>
      <c r="P946" s="52"/>
      <c r="Q946" s="52"/>
      <c r="U946" s="52"/>
    </row>
    <row r="947">
      <c r="M947" s="52"/>
      <c r="N947" s="52"/>
      <c r="O947" s="52"/>
      <c r="P947" s="52"/>
      <c r="Q947" s="52"/>
      <c r="U947" s="52"/>
    </row>
    <row r="948">
      <c r="M948" s="52"/>
      <c r="N948" s="52"/>
      <c r="O948" s="52"/>
      <c r="P948" s="52"/>
      <c r="Q948" s="52"/>
      <c r="U948" s="52"/>
    </row>
    <row r="949">
      <c r="M949" s="52"/>
      <c r="N949" s="52"/>
      <c r="O949" s="52"/>
      <c r="P949" s="52"/>
      <c r="Q949" s="52"/>
      <c r="U949" s="52"/>
    </row>
    <row r="950">
      <c r="M950" s="52"/>
      <c r="N950" s="52"/>
      <c r="O950" s="52"/>
      <c r="P950" s="52"/>
      <c r="Q950" s="52"/>
      <c r="U950" s="52"/>
    </row>
    <row r="951">
      <c r="M951" s="52"/>
      <c r="N951" s="52"/>
      <c r="O951" s="52"/>
      <c r="P951" s="52"/>
      <c r="Q951" s="52"/>
      <c r="U951" s="52"/>
    </row>
    <row r="952">
      <c r="M952" s="52"/>
      <c r="N952" s="52"/>
      <c r="O952" s="52"/>
      <c r="P952" s="52"/>
      <c r="Q952" s="52"/>
      <c r="U952" s="52"/>
    </row>
    <row r="953">
      <c r="M953" s="52"/>
      <c r="N953" s="52"/>
      <c r="O953" s="52"/>
      <c r="P953" s="52"/>
      <c r="Q953" s="52"/>
      <c r="U953" s="52"/>
    </row>
    <row r="954">
      <c r="M954" s="52"/>
      <c r="N954" s="52"/>
      <c r="O954" s="52"/>
      <c r="P954" s="52"/>
      <c r="Q954" s="52"/>
      <c r="U954" s="52"/>
    </row>
    <row r="955">
      <c r="M955" s="52"/>
      <c r="N955" s="52"/>
      <c r="O955" s="52"/>
      <c r="P955" s="52"/>
      <c r="Q955" s="52"/>
      <c r="U955" s="52"/>
    </row>
    <row r="956">
      <c r="M956" s="52"/>
      <c r="N956" s="52"/>
      <c r="O956" s="52"/>
      <c r="P956" s="52"/>
      <c r="Q956" s="52"/>
      <c r="U956" s="52"/>
    </row>
    <row r="957">
      <c r="M957" s="52"/>
      <c r="N957" s="52"/>
      <c r="O957" s="52"/>
      <c r="P957" s="52"/>
      <c r="Q957" s="52"/>
      <c r="U957" s="52"/>
    </row>
    <row r="958">
      <c r="M958" s="52"/>
      <c r="N958" s="52"/>
      <c r="O958" s="52"/>
      <c r="P958" s="52"/>
      <c r="Q958" s="52"/>
      <c r="U958" s="52"/>
    </row>
    <row r="959">
      <c r="M959" s="52"/>
      <c r="N959" s="52"/>
      <c r="O959" s="52"/>
      <c r="P959" s="52"/>
      <c r="Q959" s="52"/>
      <c r="U959" s="52"/>
    </row>
    <row r="960">
      <c r="M960" s="52"/>
      <c r="N960" s="52"/>
      <c r="O960" s="52"/>
      <c r="P960" s="52"/>
      <c r="Q960" s="52"/>
      <c r="U960" s="52"/>
    </row>
    <row r="961">
      <c r="M961" s="52"/>
      <c r="N961" s="52"/>
      <c r="O961" s="52"/>
      <c r="P961" s="52"/>
      <c r="Q961" s="52"/>
      <c r="U961" s="52"/>
    </row>
    <row r="962">
      <c r="M962" s="52"/>
      <c r="N962" s="52"/>
      <c r="O962" s="52"/>
      <c r="P962" s="52"/>
      <c r="Q962" s="52"/>
      <c r="U962" s="52"/>
    </row>
    <row r="963">
      <c r="M963" s="52"/>
      <c r="N963" s="52"/>
      <c r="O963" s="52"/>
      <c r="P963" s="52"/>
      <c r="Q963" s="52"/>
      <c r="U963" s="52"/>
    </row>
    <row r="964">
      <c r="M964" s="52"/>
      <c r="N964" s="52"/>
      <c r="O964" s="52"/>
      <c r="P964" s="52"/>
      <c r="Q964" s="52"/>
      <c r="U964" s="52"/>
    </row>
    <row r="965">
      <c r="M965" s="52"/>
      <c r="N965" s="52"/>
      <c r="O965" s="52"/>
      <c r="P965" s="52"/>
      <c r="Q965" s="52"/>
      <c r="U965" s="52"/>
    </row>
    <row r="966">
      <c r="M966" s="52"/>
      <c r="N966" s="52"/>
      <c r="O966" s="52"/>
      <c r="P966" s="52"/>
      <c r="Q966" s="52"/>
      <c r="U966" s="52"/>
    </row>
    <row r="967">
      <c r="M967" s="52"/>
      <c r="N967" s="52"/>
      <c r="O967" s="52"/>
      <c r="P967" s="52"/>
      <c r="Q967" s="52"/>
      <c r="U967" s="52"/>
    </row>
    <row r="968">
      <c r="M968" s="52"/>
      <c r="N968" s="52"/>
      <c r="O968" s="52"/>
      <c r="P968" s="52"/>
      <c r="Q968" s="52"/>
      <c r="U968" s="52"/>
    </row>
    <row r="969">
      <c r="M969" s="52"/>
      <c r="N969" s="52"/>
      <c r="O969" s="52"/>
      <c r="P969" s="52"/>
      <c r="Q969" s="52"/>
      <c r="U969" s="52"/>
    </row>
    <row r="970">
      <c r="M970" s="52"/>
      <c r="N970" s="52"/>
      <c r="O970" s="52"/>
      <c r="P970" s="52"/>
      <c r="Q970" s="52"/>
      <c r="U970" s="52"/>
    </row>
    <row r="971">
      <c r="M971" s="52"/>
      <c r="N971" s="52"/>
      <c r="O971" s="52"/>
      <c r="P971" s="52"/>
      <c r="Q971" s="52"/>
      <c r="U971" s="52"/>
    </row>
    <row r="972">
      <c r="M972" s="52"/>
      <c r="N972" s="52"/>
      <c r="O972" s="52"/>
      <c r="P972" s="52"/>
      <c r="Q972" s="52"/>
      <c r="U972" s="52"/>
    </row>
    <row r="973">
      <c r="M973" s="52"/>
      <c r="N973" s="52"/>
      <c r="O973" s="52"/>
      <c r="P973" s="52"/>
      <c r="Q973" s="52"/>
      <c r="U973" s="52"/>
    </row>
    <row r="974">
      <c r="M974" s="52"/>
      <c r="N974" s="52"/>
      <c r="O974" s="52"/>
      <c r="P974" s="52"/>
      <c r="Q974" s="52"/>
      <c r="U974" s="52"/>
    </row>
    <row r="975">
      <c r="M975" s="52"/>
      <c r="N975" s="52"/>
      <c r="O975" s="52"/>
      <c r="P975" s="52"/>
      <c r="Q975" s="52"/>
      <c r="U975" s="52"/>
    </row>
    <row r="976">
      <c r="M976" s="52"/>
      <c r="N976" s="52"/>
      <c r="O976" s="52"/>
      <c r="P976" s="52"/>
      <c r="Q976" s="52"/>
      <c r="U976" s="52"/>
    </row>
    <row r="977">
      <c r="M977" s="52"/>
      <c r="N977" s="52"/>
      <c r="O977" s="52"/>
      <c r="P977" s="52"/>
      <c r="Q977" s="52"/>
      <c r="U977" s="52"/>
    </row>
    <row r="978">
      <c r="M978" s="52"/>
      <c r="N978" s="52"/>
      <c r="O978" s="52"/>
      <c r="P978" s="52"/>
      <c r="Q978" s="52"/>
      <c r="U978" s="52"/>
    </row>
    <row r="979">
      <c r="M979" s="52"/>
      <c r="N979" s="52"/>
      <c r="O979" s="52"/>
      <c r="P979" s="52"/>
      <c r="Q979" s="52"/>
      <c r="U979" s="52"/>
    </row>
    <row r="980">
      <c r="M980" s="52"/>
      <c r="N980" s="52"/>
      <c r="O980" s="52"/>
      <c r="P980" s="52"/>
      <c r="Q980" s="52"/>
      <c r="U980" s="52"/>
    </row>
    <row r="981">
      <c r="M981" s="52"/>
      <c r="N981" s="52"/>
      <c r="O981" s="52"/>
      <c r="P981" s="52"/>
      <c r="Q981" s="52"/>
      <c r="U981" s="52"/>
    </row>
    <row r="982">
      <c r="M982" s="52"/>
      <c r="N982" s="52"/>
      <c r="O982" s="52"/>
      <c r="P982" s="52"/>
      <c r="Q982" s="52"/>
      <c r="U982" s="52"/>
    </row>
    <row r="983">
      <c r="M983" s="52"/>
      <c r="N983" s="52"/>
      <c r="O983" s="52"/>
      <c r="P983" s="52"/>
      <c r="Q983" s="52"/>
      <c r="U983" s="52"/>
    </row>
    <row r="984">
      <c r="M984" s="52"/>
      <c r="N984" s="52"/>
      <c r="O984" s="52"/>
      <c r="P984" s="52"/>
      <c r="Q984" s="52"/>
      <c r="U984" s="52"/>
    </row>
    <row r="985">
      <c r="M985" s="52"/>
      <c r="N985" s="52"/>
      <c r="O985" s="52"/>
      <c r="P985" s="52"/>
      <c r="Q985" s="52"/>
      <c r="U985" s="52"/>
    </row>
    <row r="986">
      <c r="M986" s="52"/>
      <c r="N986" s="52"/>
      <c r="O986" s="52"/>
      <c r="P986" s="52"/>
      <c r="Q986" s="52"/>
      <c r="U986" s="52"/>
    </row>
    <row r="987">
      <c r="M987" s="52"/>
      <c r="N987" s="52"/>
      <c r="O987" s="52"/>
      <c r="P987" s="52"/>
      <c r="Q987" s="52"/>
      <c r="U987" s="52"/>
    </row>
    <row r="988">
      <c r="M988" s="52"/>
      <c r="N988" s="52"/>
      <c r="O988" s="52"/>
      <c r="P988" s="52"/>
      <c r="Q988" s="52"/>
      <c r="U988" s="52"/>
    </row>
    <row r="989">
      <c r="M989" s="52"/>
      <c r="N989" s="52"/>
      <c r="O989" s="52"/>
      <c r="P989" s="52"/>
      <c r="Q989" s="52"/>
      <c r="U989" s="52"/>
    </row>
    <row r="990">
      <c r="M990" s="52"/>
      <c r="N990" s="52"/>
      <c r="O990" s="52"/>
      <c r="P990" s="52"/>
      <c r="Q990" s="52"/>
      <c r="U990" s="52"/>
    </row>
    <row r="991">
      <c r="M991" s="52"/>
      <c r="N991" s="52"/>
      <c r="O991" s="52"/>
      <c r="P991" s="52"/>
      <c r="Q991" s="52"/>
      <c r="U991" s="52"/>
    </row>
    <row r="992">
      <c r="M992" s="52"/>
      <c r="N992" s="52"/>
      <c r="O992" s="52"/>
      <c r="P992" s="52"/>
      <c r="Q992" s="52"/>
      <c r="U992" s="52"/>
    </row>
    <row r="993">
      <c r="M993" s="52"/>
      <c r="N993" s="52"/>
      <c r="O993" s="52"/>
      <c r="P993" s="52"/>
      <c r="Q993" s="52"/>
      <c r="U993" s="52"/>
    </row>
    <row r="994">
      <c r="M994" s="52"/>
      <c r="N994" s="52"/>
      <c r="O994" s="52"/>
      <c r="P994" s="52"/>
      <c r="Q994" s="52"/>
      <c r="U994" s="52"/>
    </row>
    <row r="995">
      <c r="M995" s="52"/>
      <c r="N995" s="52"/>
      <c r="O995" s="52"/>
      <c r="P995" s="52"/>
      <c r="Q995" s="52"/>
      <c r="U995" s="52"/>
    </row>
    <row r="996">
      <c r="M996" s="52"/>
      <c r="N996" s="52"/>
      <c r="O996" s="52"/>
      <c r="P996" s="52"/>
      <c r="Q996" s="52"/>
      <c r="U996" s="52"/>
    </row>
    <row r="997">
      <c r="M997" s="52"/>
      <c r="N997" s="52"/>
      <c r="O997" s="52"/>
      <c r="P997" s="52"/>
      <c r="Q997" s="52"/>
      <c r="U997" s="52"/>
    </row>
    <row r="998">
      <c r="M998" s="52"/>
      <c r="N998" s="52"/>
      <c r="O998" s="52"/>
      <c r="P998" s="52"/>
      <c r="Q998" s="52"/>
      <c r="U998" s="52"/>
    </row>
    <row r="999">
      <c r="M999" s="52"/>
      <c r="N999" s="52"/>
      <c r="O999" s="52"/>
      <c r="P999" s="52"/>
      <c r="Q999" s="52"/>
      <c r="U999" s="52"/>
    </row>
    <row r="1000">
      <c r="M1000" s="52"/>
      <c r="N1000" s="52"/>
      <c r="O1000" s="52"/>
      <c r="P1000" s="52"/>
      <c r="Q1000" s="52"/>
      <c r="U1000" s="52"/>
    </row>
  </sheetData>
  <mergeCells count="7">
    <mergeCell ref="A1:A2"/>
    <mergeCell ref="B1:B2"/>
    <mergeCell ref="C1:G1"/>
    <mergeCell ref="H1:I1"/>
    <mergeCell ref="J1:J2"/>
    <mergeCell ref="K1:O1"/>
    <mergeCell ref="P1:U1"/>
  </mergeCells>
  <conditionalFormatting sqref="N3:N9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G3:G9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3:H9">
    <cfRule type="colorScale" priority="3">
      <colorScale>
        <cfvo type="formula" val="0"/>
        <cfvo type="max"/>
        <color rgb="FFFFFFFF"/>
        <color rgb="FF57BB8A"/>
      </colorScale>
    </cfRule>
  </conditionalFormatting>
  <conditionalFormatting sqref="I3:I9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J3:J9">
    <cfRule type="colorScale" priority="5">
      <colorScale>
        <cfvo type="formula" val="0"/>
        <cfvo type="max"/>
        <color rgb="FFFFFFFF"/>
        <color rgb="FF57BB8A"/>
      </colorScale>
    </cfRule>
  </conditionalFormatting>
  <conditionalFormatting sqref="K3:K9">
    <cfRule type="colorScale" priority="6">
      <colorScale>
        <cfvo type="formula" val="0"/>
        <cfvo type="max"/>
        <color rgb="FFFFFFFF"/>
        <color rgb="FF57BB8A"/>
      </colorScale>
    </cfRule>
  </conditionalFormatting>
  <conditionalFormatting sqref="L3:L9">
    <cfRule type="colorScale" priority="7">
      <colorScale>
        <cfvo type="formula" val="0"/>
        <cfvo type="max"/>
        <color rgb="FFFFFFFF"/>
        <color rgb="FFE67C73"/>
      </colorScale>
    </cfRule>
  </conditionalFormatting>
  <conditionalFormatting sqref="C3:C9">
    <cfRule type="colorScale" priority="8">
      <colorScale>
        <cfvo type="formula" val="0"/>
        <cfvo type="max"/>
        <color rgb="FFFFFFFF"/>
        <color rgb="FFFFD666"/>
      </colorScale>
    </cfRule>
  </conditionalFormatting>
  <conditionalFormatting sqref="D3:D9">
    <cfRule type="colorScale" priority="9">
      <colorScale>
        <cfvo type="formula" val="0"/>
        <cfvo type="max"/>
        <color rgb="FFFFFFFF"/>
        <color rgb="FF57BB8A"/>
      </colorScale>
    </cfRule>
  </conditionalFormatting>
  <conditionalFormatting sqref="E3:E9">
    <cfRule type="colorScale" priority="10">
      <colorScale>
        <cfvo type="formula" val="0"/>
        <cfvo type="max"/>
        <color rgb="FFFFFFFF"/>
        <color rgb="FFE67C73"/>
      </colorScale>
    </cfRule>
  </conditionalFormatting>
  <conditionalFormatting sqref="F3:F9">
    <cfRule type="colorScale" priority="11">
      <colorScale>
        <cfvo type="formula" val="0"/>
        <cfvo type="max"/>
        <color rgb="FFFFFFFF"/>
        <color rgb="FF57BB8A"/>
      </colorScale>
    </cfRule>
  </conditionalFormatting>
  <conditionalFormatting sqref="M3:M9">
    <cfRule type="colorScale" priority="12">
      <colorScale>
        <cfvo type="formula" val="0"/>
        <cfvo type="max"/>
        <color rgb="FFFFFFFF"/>
        <color rgb="FFFFD666"/>
      </colorScale>
    </cfRule>
  </conditionalFormatting>
  <conditionalFormatting sqref="O3:O9">
    <cfRule type="colorScale" priority="13">
      <colorScale>
        <cfvo type="formula" val="0"/>
        <cfvo type="formula" val="1"/>
        <color rgb="FFFFFFFF"/>
        <color rgb="FF57BB8A"/>
      </colorScale>
    </cfRule>
  </conditionalFormatting>
  <conditionalFormatting sqref="P3:P9">
    <cfRule type="colorScale" priority="14">
      <colorScale>
        <cfvo type="formula" val="0"/>
        <cfvo type="max"/>
        <color rgb="FFFFFFFF"/>
        <color rgb="FFFFD666"/>
      </colorScale>
    </cfRule>
  </conditionalFormatting>
  <conditionalFormatting sqref="U3:U9">
    <cfRule type="colorScale" priority="15">
      <colorScale>
        <cfvo type="formula" val="0"/>
        <cfvo type="formula" val="2"/>
        <cfvo type="formula" val="3"/>
        <color rgb="FFE67C73"/>
        <color rgb="FFFFFFFF"/>
        <color rgb="FF57BB8A"/>
      </colorScale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7.63"/>
    <col customWidth="1" min="4" max="4" width="5.63"/>
    <col customWidth="1" min="5" max="5" width="6.88"/>
    <col customWidth="1" min="6" max="6" width="8.38"/>
    <col customWidth="1" min="7" max="7" width="15.5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1" t="s">
        <v>4</v>
      </c>
      <c r="K1" s="6" t="s">
        <v>5</v>
      </c>
      <c r="L1" s="4"/>
      <c r="M1" s="4"/>
      <c r="N1" s="4"/>
      <c r="O1" s="5"/>
      <c r="P1" s="30" t="s">
        <v>6</v>
      </c>
      <c r="Q1" s="4"/>
      <c r="R1" s="4"/>
      <c r="S1" s="4"/>
      <c r="T1" s="4"/>
      <c r="U1" s="5"/>
    </row>
    <row r="2">
      <c r="A2" s="9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2" t="s">
        <v>13</v>
      </c>
      <c r="I2" s="12" t="s">
        <v>14</v>
      </c>
      <c r="J2" s="9"/>
      <c r="K2" s="10" t="s">
        <v>15</v>
      </c>
      <c r="L2" s="12" t="s">
        <v>10</v>
      </c>
      <c r="M2" s="10" t="s">
        <v>16</v>
      </c>
      <c r="N2" s="10" t="s">
        <v>12</v>
      </c>
      <c r="O2" s="10" t="s">
        <v>18</v>
      </c>
      <c r="P2" s="15" t="s">
        <v>8</v>
      </c>
      <c r="Q2" s="15">
        <v>0.0</v>
      </c>
      <c r="R2" s="15">
        <v>1.0</v>
      </c>
      <c r="S2" s="15">
        <v>2.0</v>
      </c>
      <c r="T2" s="15">
        <v>3.0</v>
      </c>
      <c r="U2" s="15" t="s">
        <v>19</v>
      </c>
    </row>
    <row r="3">
      <c r="A3" s="18" t="s">
        <v>21</v>
      </c>
      <c r="B3" s="18" t="s">
        <v>83</v>
      </c>
      <c r="C3" s="10">
        <v>5.0</v>
      </c>
      <c r="D3" s="10">
        <v>1.0</v>
      </c>
      <c r="E3" s="10"/>
      <c r="F3" s="35"/>
      <c r="G3" s="35">
        <f t="shared" ref="G3:G9" si="1">IFS(C3=0, "N/A", C3&lt;&gt;0,(D3-E3)/C3 )</f>
        <v>0.2</v>
      </c>
      <c r="H3" s="35"/>
      <c r="I3" s="10"/>
      <c r="J3" s="10">
        <v>7.0</v>
      </c>
      <c r="K3" s="35"/>
      <c r="L3" s="10"/>
      <c r="M3" s="10">
        <v>6.0</v>
      </c>
      <c r="N3" s="35">
        <f t="shared" ref="N3:N9" si="2">ifs(M3=0,"N/A",M3&lt;&gt;0,(M3-L3) /M3)</f>
        <v>1</v>
      </c>
      <c r="O3" s="35">
        <f t="shared" ref="O3:O9" si="3">IFS(M3=0, "N/A", M3&lt;&gt;0, K3/M3)</f>
        <v>0</v>
      </c>
      <c r="P3" s="10">
        <f t="shared" ref="P3:P9" si="4">sum(Q3,R3,S3,T3)</f>
        <v>8</v>
      </c>
      <c r="Q3" s="10">
        <v>1.0</v>
      </c>
      <c r="R3" s="10">
        <v>1.0</v>
      </c>
      <c r="S3" s="10">
        <v>1.0</v>
      </c>
      <c r="T3" s="10">
        <v>5.0</v>
      </c>
      <c r="U3" s="10">
        <f t="shared" ref="U3:U9" si="5">ifs(P3=0, "N/A",P3&lt;&gt;0,(R3 + S3*2 +T3*3)/P3)</f>
        <v>2.25</v>
      </c>
    </row>
    <row r="4">
      <c r="A4" s="21" t="s">
        <v>24</v>
      </c>
      <c r="B4" s="21" t="s">
        <v>84</v>
      </c>
      <c r="C4" s="10">
        <v>5.0</v>
      </c>
      <c r="D4" s="10">
        <v>1.0</v>
      </c>
      <c r="E4" s="10">
        <v>1.0</v>
      </c>
      <c r="F4" s="35"/>
      <c r="G4" s="35">
        <f t="shared" si="1"/>
        <v>0</v>
      </c>
      <c r="H4" s="10"/>
      <c r="I4" s="10"/>
      <c r="J4" s="10">
        <v>1.0</v>
      </c>
      <c r="K4" s="35"/>
      <c r="L4" s="10"/>
      <c r="M4" s="10">
        <v>2.0</v>
      </c>
      <c r="N4" s="35">
        <f t="shared" si="2"/>
        <v>1</v>
      </c>
      <c r="O4" s="35">
        <f t="shared" si="3"/>
        <v>0</v>
      </c>
      <c r="P4" s="10">
        <f t="shared" si="4"/>
        <v>3</v>
      </c>
      <c r="Q4" s="10"/>
      <c r="R4" s="10">
        <v>1.0</v>
      </c>
      <c r="S4" s="35"/>
      <c r="T4" s="10">
        <v>2.0</v>
      </c>
      <c r="U4" s="10">
        <f t="shared" si="5"/>
        <v>2.333333333</v>
      </c>
    </row>
    <row r="5">
      <c r="A5" s="22" t="s">
        <v>26</v>
      </c>
      <c r="B5" s="22" t="s">
        <v>42</v>
      </c>
      <c r="C5" s="10"/>
      <c r="D5" s="10"/>
      <c r="E5" s="10"/>
      <c r="F5" s="10">
        <v>3.0</v>
      </c>
      <c r="G5" s="35" t="str">
        <f t="shared" si="1"/>
        <v>N/A</v>
      </c>
      <c r="H5" s="10"/>
      <c r="I5" s="10"/>
      <c r="J5" s="10">
        <v>2.0</v>
      </c>
      <c r="K5" s="10"/>
      <c r="L5" s="35"/>
      <c r="M5" s="10">
        <v>3.0</v>
      </c>
      <c r="N5" s="35">
        <f t="shared" si="2"/>
        <v>1</v>
      </c>
      <c r="O5" s="35">
        <f t="shared" si="3"/>
        <v>0</v>
      </c>
      <c r="P5" s="10">
        <f t="shared" si="4"/>
        <v>0</v>
      </c>
      <c r="Q5" s="35"/>
      <c r="R5" s="35"/>
      <c r="S5" s="35"/>
      <c r="T5" s="10"/>
      <c r="U5" s="10" t="str">
        <f t="shared" si="5"/>
        <v>N/A</v>
      </c>
    </row>
    <row r="6">
      <c r="A6" s="23" t="s">
        <v>28</v>
      </c>
      <c r="B6" s="23" t="s">
        <v>43</v>
      </c>
      <c r="C6" s="10">
        <v>11.0</v>
      </c>
      <c r="D6" s="10">
        <v>2.0</v>
      </c>
      <c r="E6" s="10">
        <v>3.0</v>
      </c>
      <c r="F6" s="35"/>
      <c r="G6" s="35">
        <f t="shared" si="1"/>
        <v>-0.09090909091</v>
      </c>
      <c r="H6" s="35"/>
      <c r="I6" s="35"/>
      <c r="J6" s="10">
        <v>5.0</v>
      </c>
      <c r="K6" s="10"/>
      <c r="L6" s="10"/>
      <c r="M6" s="10">
        <v>2.0</v>
      </c>
      <c r="N6" s="35">
        <f t="shared" si="2"/>
        <v>1</v>
      </c>
      <c r="O6" s="35">
        <f t="shared" si="3"/>
        <v>0</v>
      </c>
      <c r="P6" s="10">
        <f t="shared" si="4"/>
        <v>1</v>
      </c>
      <c r="Q6" s="10">
        <v>1.0</v>
      </c>
      <c r="R6" s="10"/>
      <c r="S6" s="10"/>
      <c r="T6" s="10"/>
      <c r="U6" s="10">
        <f t="shared" si="5"/>
        <v>0</v>
      </c>
    </row>
    <row r="7">
      <c r="A7" s="24" t="s">
        <v>30</v>
      </c>
      <c r="B7" s="24" t="s">
        <v>85</v>
      </c>
      <c r="C7" s="10">
        <v>5.0</v>
      </c>
      <c r="D7" s="10"/>
      <c r="E7" s="10"/>
      <c r="F7" s="35"/>
      <c r="G7" s="35">
        <f t="shared" si="1"/>
        <v>0</v>
      </c>
      <c r="H7" s="35"/>
      <c r="I7" s="35"/>
      <c r="J7" s="10"/>
      <c r="K7" s="35"/>
      <c r="L7" s="10">
        <v>1.0</v>
      </c>
      <c r="M7" s="10">
        <v>2.0</v>
      </c>
      <c r="N7" s="35">
        <f t="shared" si="2"/>
        <v>0.5</v>
      </c>
      <c r="O7" s="35">
        <f t="shared" si="3"/>
        <v>0</v>
      </c>
      <c r="P7" s="10">
        <f t="shared" si="4"/>
        <v>0</v>
      </c>
      <c r="Q7" s="10"/>
      <c r="R7" s="35"/>
      <c r="S7" s="10"/>
      <c r="T7" s="35"/>
      <c r="U7" s="10" t="str">
        <f t="shared" si="5"/>
        <v>N/A</v>
      </c>
    </row>
    <row r="8">
      <c r="A8" s="25" t="s">
        <v>32</v>
      </c>
      <c r="B8" s="25" t="s">
        <v>45</v>
      </c>
      <c r="C8" s="10">
        <v>2.0</v>
      </c>
      <c r="D8" s="10"/>
      <c r="E8" s="10"/>
      <c r="F8" s="35"/>
      <c r="G8" s="35">
        <f t="shared" si="1"/>
        <v>0</v>
      </c>
      <c r="H8" s="35"/>
      <c r="I8" s="10"/>
      <c r="J8" s="10">
        <v>1.0</v>
      </c>
      <c r="K8" s="35"/>
      <c r="L8" s="10">
        <v>1.0</v>
      </c>
      <c r="M8" s="10">
        <v>4.0</v>
      </c>
      <c r="N8" s="35">
        <f t="shared" si="2"/>
        <v>0.75</v>
      </c>
      <c r="O8" s="35">
        <f t="shared" si="3"/>
        <v>0</v>
      </c>
      <c r="P8" s="10">
        <f t="shared" si="4"/>
        <v>8</v>
      </c>
      <c r="Q8" s="10">
        <v>2.0</v>
      </c>
      <c r="R8" s="10">
        <v>3.0</v>
      </c>
      <c r="S8" s="10">
        <v>1.0</v>
      </c>
      <c r="T8" s="10">
        <v>2.0</v>
      </c>
      <c r="U8" s="10">
        <f t="shared" si="5"/>
        <v>1.375</v>
      </c>
    </row>
    <row r="9">
      <c r="A9" s="26" t="s">
        <v>34</v>
      </c>
      <c r="B9" s="26" t="s">
        <v>41</v>
      </c>
      <c r="C9" s="10">
        <v>4.0</v>
      </c>
      <c r="D9" s="10"/>
      <c r="E9" s="10">
        <v>1.0</v>
      </c>
      <c r="F9" s="10">
        <v>1.0</v>
      </c>
      <c r="G9" s="35">
        <f t="shared" si="1"/>
        <v>-0.25</v>
      </c>
      <c r="H9" s="35"/>
      <c r="I9" s="35"/>
      <c r="J9" s="10">
        <v>1.0</v>
      </c>
      <c r="K9" s="35"/>
      <c r="L9" s="10">
        <v>1.0</v>
      </c>
      <c r="M9" s="10">
        <v>3.0</v>
      </c>
      <c r="N9" s="35">
        <f t="shared" si="2"/>
        <v>0.6666666667</v>
      </c>
      <c r="O9" s="35">
        <f t="shared" si="3"/>
        <v>0</v>
      </c>
      <c r="P9" s="10">
        <f t="shared" si="4"/>
        <v>2</v>
      </c>
      <c r="Q9" s="10">
        <v>1.0</v>
      </c>
      <c r="R9" s="10">
        <v>1.0</v>
      </c>
      <c r="S9" s="10"/>
      <c r="T9" s="35"/>
      <c r="U9" s="10">
        <f t="shared" si="5"/>
        <v>0.5</v>
      </c>
    </row>
    <row r="10">
      <c r="M10" s="52"/>
      <c r="N10" s="52"/>
      <c r="O10" s="52"/>
      <c r="P10" s="52"/>
      <c r="Q10" s="52"/>
      <c r="U10" s="52"/>
    </row>
    <row r="11">
      <c r="M11" s="52"/>
      <c r="N11" s="52"/>
      <c r="O11" s="52"/>
      <c r="P11" s="52"/>
      <c r="Q11" s="52"/>
      <c r="U11" s="52"/>
    </row>
    <row r="12">
      <c r="M12" s="52"/>
      <c r="N12" s="52"/>
      <c r="O12" s="52"/>
      <c r="P12" s="52"/>
      <c r="Q12" s="52"/>
      <c r="U12" s="52"/>
    </row>
    <row r="13">
      <c r="M13" s="52"/>
      <c r="N13" s="52"/>
      <c r="O13" s="52"/>
      <c r="P13" s="52"/>
      <c r="Q13" s="52"/>
      <c r="U13" s="52"/>
    </row>
    <row r="14">
      <c r="M14" s="52"/>
      <c r="N14" s="52"/>
      <c r="O14" s="52"/>
      <c r="P14" s="52"/>
      <c r="Q14" s="52"/>
      <c r="U14" s="52"/>
    </row>
    <row r="15">
      <c r="M15" s="52"/>
      <c r="N15" s="52"/>
      <c r="O15" s="52"/>
      <c r="P15" s="52"/>
      <c r="Q15" s="52"/>
      <c r="U15" s="52"/>
    </row>
    <row r="16">
      <c r="M16" s="52"/>
      <c r="N16" s="52"/>
      <c r="O16" s="52"/>
      <c r="P16" s="52"/>
      <c r="Q16" s="52"/>
      <c r="U16" s="52"/>
    </row>
    <row r="17">
      <c r="M17" s="52"/>
      <c r="N17" s="52"/>
      <c r="O17" s="52"/>
      <c r="P17" s="52"/>
      <c r="Q17" s="52"/>
      <c r="U17" s="52"/>
    </row>
    <row r="18">
      <c r="M18" s="52"/>
      <c r="N18" s="52"/>
      <c r="O18" s="52"/>
      <c r="P18" s="52"/>
      <c r="Q18" s="52"/>
      <c r="U18" s="52"/>
    </row>
    <row r="19">
      <c r="M19" s="52"/>
      <c r="N19" s="52"/>
      <c r="O19" s="52"/>
      <c r="P19" s="52"/>
      <c r="Q19" s="52"/>
      <c r="U19" s="52"/>
    </row>
    <row r="20">
      <c r="M20" s="52"/>
      <c r="N20" s="52"/>
      <c r="O20" s="52"/>
      <c r="P20" s="52"/>
      <c r="Q20" s="52"/>
      <c r="U20" s="52"/>
    </row>
    <row r="21">
      <c r="M21" s="52"/>
      <c r="N21" s="52"/>
      <c r="O21" s="52"/>
      <c r="P21" s="52"/>
      <c r="Q21" s="52"/>
      <c r="U21" s="52"/>
    </row>
    <row r="22">
      <c r="M22" s="52"/>
      <c r="N22" s="52"/>
      <c r="O22" s="52"/>
      <c r="P22" s="52"/>
      <c r="Q22" s="52"/>
      <c r="U22" s="52"/>
    </row>
    <row r="23">
      <c r="M23" s="52"/>
      <c r="N23" s="52"/>
      <c r="O23" s="52"/>
      <c r="P23" s="52"/>
      <c r="Q23" s="52"/>
      <c r="U23" s="52"/>
    </row>
    <row r="24">
      <c r="M24" s="52"/>
      <c r="N24" s="52"/>
      <c r="O24" s="52"/>
      <c r="P24" s="52"/>
      <c r="Q24" s="52"/>
      <c r="U24" s="52"/>
    </row>
    <row r="25">
      <c r="M25" s="52"/>
      <c r="N25" s="52"/>
      <c r="O25" s="52"/>
      <c r="P25" s="52"/>
      <c r="Q25" s="52"/>
      <c r="U25" s="52"/>
    </row>
    <row r="26">
      <c r="M26" s="52"/>
      <c r="N26" s="52"/>
      <c r="O26" s="52"/>
      <c r="P26" s="52"/>
      <c r="Q26" s="52"/>
      <c r="U26" s="52"/>
    </row>
    <row r="27">
      <c r="M27" s="52"/>
      <c r="N27" s="52"/>
      <c r="O27" s="52"/>
      <c r="P27" s="52"/>
      <c r="Q27" s="52"/>
      <c r="U27" s="52"/>
    </row>
    <row r="28">
      <c r="M28" s="52"/>
      <c r="N28" s="52"/>
      <c r="O28" s="52"/>
      <c r="P28" s="52"/>
      <c r="Q28" s="52"/>
      <c r="U28" s="52"/>
    </row>
    <row r="29">
      <c r="M29" s="52"/>
      <c r="N29" s="52"/>
      <c r="O29" s="52"/>
      <c r="P29" s="52"/>
      <c r="Q29" s="52"/>
      <c r="U29" s="52"/>
    </row>
    <row r="30">
      <c r="M30" s="52"/>
      <c r="N30" s="52"/>
      <c r="O30" s="52"/>
      <c r="P30" s="52"/>
      <c r="Q30" s="52"/>
      <c r="U30" s="52"/>
    </row>
    <row r="31">
      <c r="M31" s="52"/>
      <c r="N31" s="52"/>
      <c r="O31" s="52"/>
      <c r="P31" s="52"/>
      <c r="Q31" s="52"/>
      <c r="U31" s="52"/>
    </row>
    <row r="32">
      <c r="M32" s="52"/>
      <c r="N32" s="52"/>
      <c r="O32" s="52"/>
      <c r="P32" s="52"/>
      <c r="Q32" s="52"/>
      <c r="U32" s="52"/>
    </row>
    <row r="33">
      <c r="M33" s="52"/>
      <c r="N33" s="52"/>
      <c r="O33" s="52"/>
      <c r="P33" s="52"/>
      <c r="Q33" s="52"/>
      <c r="U33" s="52"/>
    </row>
    <row r="34">
      <c r="M34" s="52"/>
      <c r="N34" s="52"/>
      <c r="O34" s="52"/>
      <c r="P34" s="52"/>
      <c r="Q34" s="52"/>
      <c r="U34" s="52"/>
    </row>
    <row r="35">
      <c r="M35" s="52"/>
      <c r="N35" s="52"/>
      <c r="O35" s="52"/>
      <c r="P35" s="52"/>
      <c r="Q35" s="52"/>
      <c r="U35" s="52"/>
    </row>
    <row r="36">
      <c r="M36" s="52"/>
      <c r="N36" s="52"/>
      <c r="O36" s="52"/>
      <c r="P36" s="52"/>
      <c r="Q36" s="52"/>
      <c r="U36" s="52"/>
    </row>
    <row r="37">
      <c r="M37" s="52"/>
      <c r="N37" s="52"/>
      <c r="O37" s="52"/>
      <c r="P37" s="52"/>
      <c r="Q37" s="52"/>
      <c r="U37" s="52"/>
    </row>
    <row r="38">
      <c r="M38" s="52"/>
      <c r="N38" s="52"/>
      <c r="O38" s="52"/>
      <c r="P38" s="52"/>
      <c r="Q38" s="52"/>
      <c r="U38" s="52"/>
    </row>
    <row r="39">
      <c r="M39" s="52"/>
      <c r="N39" s="52"/>
      <c r="O39" s="52"/>
      <c r="P39" s="52"/>
      <c r="Q39" s="52"/>
      <c r="U39" s="52"/>
    </row>
    <row r="40">
      <c r="M40" s="52"/>
      <c r="N40" s="52"/>
      <c r="O40" s="52"/>
      <c r="P40" s="52"/>
      <c r="Q40" s="52"/>
      <c r="U40" s="52"/>
    </row>
    <row r="41">
      <c r="M41" s="52"/>
      <c r="N41" s="52"/>
      <c r="O41" s="52"/>
      <c r="P41" s="52"/>
      <c r="Q41" s="52"/>
      <c r="U41" s="52"/>
    </row>
    <row r="42">
      <c r="M42" s="52"/>
      <c r="N42" s="52"/>
      <c r="O42" s="52"/>
      <c r="P42" s="52"/>
      <c r="Q42" s="52"/>
      <c r="U42" s="52"/>
    </row>
    <row r="43">
      <c r="M43" s="52"/>
      <c r="N43" s="52"/>
      <c r="O43" s="52"/>
      <c r="P43" s="52"/>
      <c r="Q43" s="52"/>
      <c r="U43" s="52"/>
    </row>
    <row r="44">
      <c r="M44" s="52"/>
      <c r="N44" s="52"/>
      <c r="O44" s="52"/>
      <c r="P44" s="52"/>
      <c r="Q44" s="52"/>
      <c r="U44" s="52"/>
    </row>
    <row r="45">
      <c r="M45" s="52"/>
      <c r="N45" s="52"/>
      <c r="O45" s="52"/>
      <c r="P45" s="52"/>
      <c r="Q45" s="52"/>
      <c r="U45" s="52"/>
    </row>
    <row r="46">
      <c r="M46" s="52"/>
      <c r="N46" s="52"/>
      <c r="O46" s="52"/>
      <c r="P46" s="52"/>
      <c r="Q46" s="52"/>
      <c r="U46" s="52"/>
    </row>
    <row r="47">
      <c r="M47" s="52"/>
      <c r="N47" s="52"/>
      <c r="O47" s="52"/>
      <c r="P47" s="52"/>
      <c r="Q47" s="52"/>
      <c r="U47" s="52"/>
    </row>
    <row r="48">
      <c r="M48" s="52"/>
      <c r="N48" s="52"/>
      <c r="O48" s="52"/>
      <c r="P48" s="52"/>
      <c r="Q48" s="52"/>
      <c r="U48" s="52"/>
    </row>
    <row r="49">
      <c r="M49" s="52"/>
      <c r="N49" s="52"/>
      <c r="O49" s="52"/>
      <c r="P49" s="52"/>
      <c r="Q49" s="52"/>
      <c r="U49" s="52"/>
    </row>
    <row r="50">
      <c r="M50" s="52"/>
      <c r="N50" s="52"/>
      <c r="O50" s="52"/>
      <c r="P50" s="52"/>
      <c r="Q50" s="52"/>
      <c r="U50" s="52"/>
    </row>
    <row r="51">
      <c r="M51" s="52"/>
      <c r="N51" s="52"/>
      <c r="O51" s="52"/>
      <c r="P51" s="52"/>
      <c r="Q51" s="52"/>
      <c r="U51" s="52"/>
    </row>
    <row r="52">
      <c r="M52" s="52"/>
      <c r="N52" s="52"/>
      <c r="O52" s="52"/>
      <c r="P52" s="52"/>
      <c r="Q52" s="52"/>
      <c r="U52" s="52"/>
    </row>
    <row r="53">
      <c r="M53" s="52"/>
      <c r="N53" s="52"/>
      <c r="O53" s="52"/>
      <c r="P53" s="52"/>
      <c r="Q53" s="52"/>
      <c r="U53" s="52"/>
    </row>
    <row r="54">
      <c r="M54" s="52"/>
      <c r="N54" s="52"/>
      <c r="O54" s="52"/>
      <c r="P54" s="52"/>
      <c r="Q54" s="52"/>
      <c r="U54" s="52"/>
    </row>
    <row r="55">
      <c r="M55" s="52"/>
      <c r="N55" s="52"/>
      <c r="O55" s="52"/>
      <c r="P55" s="52"/>
      <c r="Q55" s="52"/>
      <c r="U55" s="52"/>
    </row>
    <row r="56">
      <c r="M56" s="52"/>
      <c r="N56" s="52"/>
      <c r="O56" s="52"/>
      <c r="P56" s="52"/>
      <c r="Q56" s="52"/>
      <c r="U56" s="52"/>
    </row>
    <row r="57">
      <c r="M57" s="52"/>
      <c r="N57" s="52"/>
      <c r="O57" s="52"/>
      <c r="P57" s="52"/>
      <c r="Q57" s="52"/>
      <c r="U57" s="52"/>
    </row>
    <row r="58">
      <c r="M58" s="52"/>
      <c r="N58" s="52"/>
      <c r="O58" s="52"/>
      <c r="P58" s="52"/>
      <c r="Q58" s="52"/>
      <c r="U58" s="52"/>
    </row>
    <row r="59">
      <c r="M59" s="52"/>
      <c r="N59" s="52"/>
      <c r="O59" s="52"/>
      <c r="P59" s="52"/>
      <c r="Q59" s="52"/>
      <c r="U59" s="52"/>
    </row>
    <row r="60">
      <c r="M60" s="52"/>
      <c r="N60" s="52"/>
      <c r="O60" s="52"/>
      <c r="P60" s="52"/>
      <c r="Q60" s="52"/>
      <c r="U60" s="52"/>
    </row>
    <row r="61">
      <c r="M61" s="52"/>
      <c r="N61" s="52"/>
      <c r="O61" s="52"/>
      <c r="P61" s="52"/>
      <c r="Q61" s="52"/>
      <c r="U61" s="52"/>
    </row>
    <row r="62">
      <c r="M62" s="52"/>
      <c r="N62" s="52"/>
      <c r="O62" s="52"/>
      <c r="P62" s="52"/>
      <c r="Q62" s="52"/>
      <c r="U62" s="52"/>
    </row>
    <row r="63">
      <c r="M63" s="52"/>
      <c r="N63" s="52"/>
      <c r="O63" s="52"/>
      <c r="P63" s="52"/>
      <c r="Q63" s="52"/>
      <c r="U63" s="52"/>
    </row>
    <row r="64">
      <c r="M64" s="52"/>
      <c r="N64" s="52"/>
      <c r="O64" s="52"/>
      <c r="P64" s="52"/>
      <c r="Q64" s="52"/>
      <c r="U64" s="52"/>
    </row>
    <row r="65">
      <c r="M65" s="52"/>
      <c r="N65" s="52"/>
      <c r="O65" s="52"/>
      <c r="P65" s="52"/>
      <c r="Q65" s="52"/>
      <c r="U65" s="52"/>
    </row>
    <row r="66">
      <c r="M66" s="52"/>
      <c r="N66" s="52"/>
      <c r="O66" s="52"/>
      <c r="P66" s="52"/>
      <c r="Q66" s="52"/>
      <c r="U66" s="52"/>
    </row>
    <row r="67">
      <c r="M67" s="52"/>
      <c r="N67" s="52"/>
      <c r="O67" s="52"/>
      <c r="P67" s="52"/>
      <c r="Q67" s="52"/>
      <c r="U67" s="52"/>
    </row>
    <row r="68">
      <c r="M68" s="52"/>
      <c r="N68" s="52"/>
      <c r="O68" s="52"/>
      <c r="P68" s="52"/>
      <c r="Q68" s="52"/>
      <c r="U68" s="52"/>
    </row>
    <row r="69">
      <c r="M69" s="52"/>
      <c r="N69" s="52"/>
      <c r="O69" s="52"/>
      <c r="P69" s="52"/>
      <c r="Q69" s="52"/>
      <c r="U69" s="52"/>
    </row>
    <row r="70">
      <c r="M70" s="52"/>
      <c r="N70" s="52"/>
      <c r="O70" s="52"/>
      <c r="P70" s="52"/>
      <c r="Q70" s="52"/>
      <c r="U70" s="52"/>
    </row>
    <row r="71">
      <c r="M71" s="52"/>
      <c r="N71" s="52"/>
      <c r="O71" s="52"/>
      <c r="P71" s="52"/>
      <c r="Q71" s="52"/>
      <c r="U71" s="52"/>
    </row>
    <row r="72">
      <c r="M72" s="52"/>
      <c r="N72" s="52"/>
      <c r="O72" s="52"/>
      <c r="P72" s="52"/>
      <c r="Q72" s="52"/>
      <c r="U72" s="52"/>
    </row>
    <row r="73">
      <c r="M73" s="52"/>
      <c r="N73" s="52"/>
      <c r="O73" s="52"/>
      <c r="P73" s="52"/>
      <c r="Q73" s="52"/>
      <c r="U73" s="52"/>
    </row>
    <row r="74">
      <c r="M74" s="52"/>
      <c r="N74" s="52"/>
      <c r="O74" s="52"/>
      <c r="P74" s="52"/>
      <c r="Q74" s="52"/>
      <c r="U74" s="52"/>
    </row>
    <row r="75">
      <c r="M75" s="52"/>
      <c r="N75" s="52"/>
      <c r="O75" s="52"/>
      <c r="P75" s="52"/>
      <c r="Q75" s="52"/>
      <c r="U75" s="52"/>
    </row>
    <row r="76">
      <c r="M76" s="52"/>
      <c r="N76" s="52"/>
      <c r="O76" s="52"/>
      <c r="P76" s="52"/>
      <c r="Q76" s="52"/>
      <c r="U76" s="52"/>
    </row>
    <row r="77">
      <c r="M77" s="52"/>
      <c r="N77" s="52"/>
      <c r="O77" s="52"/>
      <c r="P77" s="52"/>
      <c r="Q77" s="52"/>
      <c r="U77" s="52"/>
    </row>
    <row r="78">
      <c r="M78" s="52"/>
      <c r="N78" s="52"/>
      <c r="O78" s="52"/>
      <c r="P78" s="52"/>
      <c r="Q78" s="52"/>
      <c r="U78" s="52"/>
    </row>
    <row r="79">
      <c r="M79" s="52"/>
      <c r="N79" s="52"/>
      <c r="O79" s="52"/>
      <c r="P79" s="52"/>
      <c r="Q79" s="52"/>
      <c r="U79" s="52"/>
    </row>
    <row r="80">
      <c r="M80" s="52"/>
      <c r="N80" s="52"/>
      <c r="O80" s="52"/>
      <c r="P80" s="52"/>
      <c r="Q80" s="52"/>
      <c r="U80" s="52"/>
    </row>
    <row r="81">
      <c r="M81" s="52"/>
      <c r="N81" s="52"/>
      <c r="O81" s="52"/>
      <c r="P81" s="52"/>
      <c r="Q81" s="52"/>
      <c r="U81" s="52"/>
    </row>
    <row r="82">
      <c r="M82" s="52"/>
      <c r="N82" s="52"/>
      <c r="O82" s="52"/>
      <c r="P82" s="52"/>
      <c r="Q82" s="52"/>
      <c r="U82" s="52"/>
    </row>
    <row r="83">
      <c r="M83" s="52"/>
      <c r="N83" s="52"/>
      <c r="O83" s="52"/>
      <c r="P83" s="52"/>
      <c r="Q83" s="52"/>
      <c r="U83" s="52"/>
    </row>
    <row r="84">
      <c r="M84" s="52"/>
      <c r="N84" s="52"/>
      <c r="O84" s="52"/>
      <c r="P84" s="52"/>
      <c r="Q84" s="52"/>
      <c r="U84" s="52"/>
    </row>
    <row r="85">
      <c r="M85" s="52"/>
      <c r="N85" s="52"/>
      <c r="O85" s="52"/>
      <c r="P85" s="52"/>
      <c r="Q85" s="52"/>
      <c r="U85" s="52"/>
    </row>
    <row r="86">
      <c r="M86" s="52"/>
      <c r="N86" s="52"/>
      <c r="O86" s="52"/>
      <c r="P86" s="52"/>
      <c r="Q86" s="52"/>
      <c r="U86" s="52"/>
    </row>
    <row r="87">
      <c r="M87" s="52"/>
      <c r="N87" s="52"/>
      <c r="O87" s="52"/>
      <c r="P87" s="52"/>
      <c r="Q87" s="52"/>
      <c r="U87" s="52"/>
    </row>
    <row r="88">
      <c r="M88" s="52"/>
      <c r="N88" s="52"/>
      <c r="O88" s="52"/>
      <c r="P88" s="52"/>
      <c r="Q88" s="52"/>
      <c r="U88" s="52"/>
    </row>
    <row r="89">
      <c r="M89" s="52"/>
      <c r="N89" s="52"/>
      <c r="O89" s="52"/>
      <c r="P89" s="52"/>
      <c r="Q89" s="52"/>
      <c r="U89" s="52"/>
    </row>
    <row r="90">
      <c r="M90" s="52"/>
      <c r="N90" s="52"/>
      <c r="O90" s="52"/>
      <c r="P90" s="52"/>
      <c r="Q90" s="52"/>
      <c r="U90" s="52"/>
    </row>
    <row r="91">
      <c r="M91" s="52"/>
      <c r="N91" s="52"/>
      <c r="O91" s="52"/>
      <c r="P91" s="52"/>
      <c r="Q91" s="52"/>
      <c r="U91" s="52"/>
    </row>
    <row r="92">
      <c r="M92" s="52"/>
      <c r="N92" s="52"/>
      <c r="O92" s="52"/>
      <c r="P92" s="52"/>
      <c r="Q92" s="52"/>
      <c r="U92" s="52"/>
    </row>
    <row r="93">
      <c r="M93" s="52"/>
      <c r="N93" s="52"/>
      <c r="O93" s="52"/>
      <c r="P93" s="52"/>
      <c r="Q93" s="52"/>
      <c r="U93" s="52"/>
    </row>
    <row r="94">
      <c r="M94" s="52"/>
      <c r="N94" s="52"/>
      <c r="O94" s="52"/>
      <c r="P94" s="52"/>
      <c r="Q94" s="52"/>
      <c r="U94" s="52"/>
    </row>
    <row r="95">
      <c r="M95" s="52"/>
      <c r="N95" s="52"/>
      <c r="O95" s="52"/>
      <c r="P95" s="52"/>
      <c r="Q95" s="52"/>
      <c r="U95" s="52"/>
    </row>
    <row r="96">
      <c r="M96" s="52"/>
      <c r="N96" s="52"/>
      <c r="O96" s="52"/>
      <c r="P96" s="52"/>
      <c r="Q96" s="52"/>
      <c r="U96" s="52"/>
    </row>
    <row r="97">
      <c r="M97" s="52"/>
      <c r="N97" s="52"/>
      <c r="O97" s="52"/>
      <c r="P97" s="52"/>
      <c r="Q97" s="52"/>
      <c r="U97" s="52"/>
    </row>
    <row r="98">
      <c r="M98" s="52"/>
      <c r="N98" s="52"/>
      <c r="O98" s="52"/>
      <c r="P98" s="52"/>
      <c r="Q98" s="52"/>
      <c r="U98" s="52"/>
    </row>
    <row r="99">
      <c r="M99" s="52"/>
      <c r="N99" s="52"/>
      <c r="O99" s="52"/>
      <c r="P99" s="52"/>
      <c r="Q99" s="52"/>
      <c r="U99" s="52"/>
    </row>
    <row r="100">
      <c r="M100" s="52"/>
      <c r="N100" s="52"/>
      <c r="O100" s="52"/>
      <c r="P100" s="52"/>
      <c r="Q100" s="52"/>
      <c r="U100" s="52"/>
    </row>
    <row r="101">
      <c r="M101" s="52"/>
      <c r="N101" s="52"/>
      <c r="O101" s="52"/>
      <c r="P101" s="52"/>
      <c r="Q101" s="52"/>
      <c r="U101" s="52"/>
    </row>
    <row r="102">
      <c r="M102" s="52"/>
      <c r="N102" s="52"/>
      <c r="O102" s="52"/>
      <c r="P102" s="52"/>
      <c r="Q102" s="52"/>
      <c r="U102" s="52"/>
    </row>
    <row r="103">
      <c r="M103" s="52"/>
      <c r="N103" s="52"/>
      <c r="O103" s="52"/>
      <c r="P103" s="52"/>
      <c r="Q103" s="52"/>
      <c r="U103" s="52"/>
    </row>
    <row r="104">
      <c r="M104" s="52"/>
      <c r="N104" s="52"/>
      <c r="O104" s="52"/>
      <c r="P104" s="52"/>
      <c r="Q104" s="52"/>
      <c r="U104" s="52"/>
    </row>
    <row r="105">
      <c r="M105" s="52"/>
      <c r="N105" s="52"/>
      <c r="O105" s="52"/>
      <c r="P105" s="52"/>
      <c r="Q105" s="52"/>
      <c r="U105" s="52"/>
    </row>
    <row r="106">
      <c r="M106" s="52"/>
      <c r="N106" s="52"/>
      <c r="O106" s="52"/>
      <c r="P106" s="52"/>
      <c r="Q106" s="52"/>
      <c r="U106" s="52"/>
    </row>
    <row r="107">
      <c r="M107" s="52"/>
      <c r="N107" s="52"/>
      <c r="O107" s="52"/>
      <c r="P107" s="52"/>
      <c r="Q107" s="52"/>
      <c r="U107" s="52"/>
    </row>
    <row r="108">
      <c r="M108" s="52"/>
      <c r="N108" s="52"/>
      <c r="O108" s="52"/>
      <c r="P108" s="52"/>
      <c r="Q108" s="52"/>
      <c r="U108" s="52"/>
    </row>
    <row r="109">
      <c r="M109" s="52"/>
      <c r="N109" s="52"/>
      <c r="O109" s="52"/>
      <c r="P109" s="52"/>
      <c r="Q109" s="52"/>
      <c r="U109" s="52"/>
    </row>
    <row r="110">
      <c r="M110" s="52"/>
      <c r="N110" s="52"/>
      <c r="O110" s="52"/>
      <c r="P110" s="52"/>
      <c r="Q110" s="52"/>
      <c r="U110" s="52"/>
    </row>
    <row r="111">
      <c r="M111" s="52"/>
      <c r="N111" s="52"/>
      <c r="O111" s="52"/>
      <c r="P111" s="52"/>
      <c r="Q111" s="52"/>
      <c r="U111" s="52"/>
    </row>
    <row r="112">
      <c r="M112" s="52"/>
      <c r="N112" s="52"/>
      <c r="O112" s="52"/>
      <c r="P112" s="52"/>
      <c r="Q112" s="52"/>
      <c r="U112" s="52"/>
    </row>
    <row r="113">
      <c r="M113" s="52"/>
      <c r="N113" s="52"/>
      <c r="O113" s="52"/>
      <c r="P113" s="52"/>
      <c r="Q113" s="52"/>
      <c r="U113" s="52"/>
    </row>
    <row r="114">
      <c r="M114" s="52"/>
      <c r="N114" s="52"/>
      <c r="O114" s="52"/>
      <c r="P114" s="52"/>
      <c r="Q114" s="52"/>
      <c r="U114" s="52"/>
    </row>
    <row r="115">
      <c r="M115" s="52"/>
      <c r="N115" s="52"/>
      <c r="O115" s="52"/>
      <c r="P115" s="52"/>
      <c r="Q115" s="52"/>
      <c r="U115" s="52"/>
    </row>
    <row r="116">
      <c r="M116" s="52"/>
      <c r="N116" s="52"/>
      <c r="O116" s="52"/>
      <c r="P116" s="52"/>
      <c r="Q116" s="52"/>
      <c r="U116" s="52"/>
    </row>
    <row r="117">
      <c r="M117" s="52"/>
      <c r="N117" s="52"/>
      <c r="O117" s="52"/>
      <c r="P117" s="52"/>
      <c r="Q117" s="52"/>
      <c r="U117" s="52"/>
    </row>
    <row r="118">
      <c r="M118" s="52"/>
      <c r="N118" s="52"/>
      <c r="O118" s="52"/>
      <c r="P118" s="52"/>
      <c r="Q118" s="52"/>
      <c r="U118" s="52"/>
    </row>
    <row r="119">
      <c r="M119" s="52"/>
      <c r="N119" s="52"/>
      <c r="O119" s="52"/>
      <c r="P119" s="52"/>
      <c r="Q119" s="52"/>
      <c r="U119" s="52"/>
    </row>
    <row r="120">
      <c r="M120" s="52"/>
      <c r="N120" s="52"/>
      <c r="O120" s="52"/>
      <c r="P120" s="52"/>
      <c r="Q120" s="52"/>
      <c r="U120" s="52"/>
    </row>
    <row r="121">
      <c r="M121" s="52"/>
      <c r="N121" s="52"/>
      <c r="O121" s="52"/>
      <c r="P121" s="52"/>
      <c r="Q121" s="52"/>
      <c r="U121" s="52"/>
    </row>
    <row r="122">
      <c r="M122" s="52"/>
      <c r="N122" s="52"/>
      <c r="O122" s="52"/>
      <c r="P122" s="52"/>
      <c r="Q122" s="52"/>
      <c r="U122" s="52"/>
    </row>
    <row r="123">
      <c r="M123" s="52"/>
      <c r="N123" s="52"/>
      <c r="O123" s="52"/>
      <c r="P123" s="52"/>
      <c r="Q123" s="52"/>
      <c r="U123" s="52"/>
    </row>
    <row r="124">
      <c r="M124" s="52"/>
      <c r="N124" s="52"/>
      <c r="O124" s="52"/>
      <c r="P124" s="52"/>
      <c r="Q124" s="52"/>
      <c r="U124" s="52"/>
    </row>
    <row r="125">
      <c r="M125" s="52"/>
      <c r="N125" s="52"/>
      <c r="O125" s="52"/>
      <c r="P125" s="52"/>
      <c r="Q125" s="52"/>
      <c r="U125" s="52"/>
    </row>
    <row r="126">
      <c r="M126" s="52"/>
      <c r="N126" s="52"/>
      <c r="O126" s="52"/>
      <c r="P126" s="52"/>
      <c r="Q126" s="52"/>
      <c r="U126" s="52"/>
    </row>
    <row r="127">
      <c r="M127" s="52"/>
      <c r="N127" s="52"/>
      <c r="O127" s="52"/>
      <c r="P127" s="52"/>
      <c r="Q127" s="52"/>
      <c r="U127" s="52"/>
    </row>
    <row r="128">
      <c r="M128" s="52"/>
      <c r="N128" s="52"/>
      <c r="O128" s="52"/>
      <c r="P128" s="52"/>
      <c r="Q128" s="52"/>
      <c r="U128" s="52"/>
    </row>
    <row r="129">
      <c r="M129" s="52"/>
      <c r="N129" s="52"/>
      <c r="O129" s="52"/>
      <c r="P129" s="52"/>
      <c r="Q129" s="52"/>
      <c r="U129" s="52"/>
    </row>
    <row r="130">
      <c r="M130" s="52"/>
      <c r="N130" s="52"/>
      <c r="O130" s="52"/>
      <c r="P130" s="52"/>
      <c r="Q130" s="52"/>
      <c r="U130" s="52"/>
    </row>
    <row r="131">
      <c r="M131" s="52"/>
      <c r="N131" s="52"/>
      <c r="O131" s="52"/>
      <c r="P131" s="52"/>
      <c r="Q131" s="52"/>
      <c r="U131" s="52"/>
    </row>
    <row r="132">
      <c r="M132" s="52"/>
      <c r="N132" s="52"/>
      <c r="O132" s="52"/>
      <c r="P132" s="52"/>
      <c r="Q132" s="52"/>
      <c r="U132" s="52"/>
    </row>
    <row r="133">
      <c r="M133" s="52"/>
      <c r="N133" s="52"/>
      <c r="O133" s="52"/>
      <c r="P133" s="52"/>
      <c r="Q133" s="52"/>
      <c r="U133" s="52"/>
    </row>
    <row r="134">
      <c r="M134" s="52"/>
      <c r="N134" s="52"/>
      <c r="O134" s="52"/>
      <c r="P134" s="52"/>
      <c r="Q134" s="52"/>
      <c r="U134" s="52"/>
    </row>
    <row r="135">
      <c r="M135" s="52"/>
      <c r="N135" s="52"/>
      <c r="O135" s="52"/>
      <c r="P135" s="52"/>
      <c r="Q135" s="52"/>
      <c r="U135" s="52"/>
    </row>
    <row r="136">
      <c r="M136" s="52"/>
      <c r="N136" s="52"/>
      <c r="O136" s="52"/>
      <c r="P136" s="52"/>
      <c r="Q136" s="52"/>
      <c r="U136" s="52"/>
    </row>
    <row r="137">
      <c r="M137" s="52"/>
      <c r="N137" s="52"/>
      <c r="O137" s="52"/>
      <c r="P137" s="52"/>
      <c r="Q137" s="52"/>
      <c r="U137" s="52"/>
    </row>
    <row r="138">
      <c r="M138" s="52"/>
      <c r="N138" s="52"/>
      <c r="O138" s="52"/>
      <c r="P138" s="52"/>
      <c r="Q138" s="52"/>
      <c r="U138" s="52"/>
    </row>
    <row r="139">
      <c r="M139" s="52"/>
      <c r="N139" s="52"/>
      <c r="O139" s="52"/>
      <c r="P139" s="52"/>
      <c r="Q139" s="52"/>
      <c r="U139" s="52"/>
    </row>
    <row r="140">
      <c r="M140" s="52"/>
      <c r="N140" s="52"/>
      <c r="O140" s="52"/>
      <c r="P140" s="52"/>
      <c r="Q140" s="52"/>
      <c r="U140" s="52"/>
    </row>
    <row r="141">
      <c r="M141" s="52"/>
      <c r="N141" s="52"/>
      <c r="O141" s="52"/>
      <c r="P141" s="52"/>
      <c r="Q141" s="52"/>
      <c r="U141" s="52"/>
    </row>
    <row r="142">
      <c r="M142" s="52"/>
      <c r="N142" s="52"/>
      <c r="O142" s="52"/>
      <c r="P142" s="52"/>
      <c r="Q142" s="52"/>
      <c r="U142" s="52"/>
    </row>
    <row r="143">
      <c r="M143" s="52"/>
      <c r="N143" s="52"/>
      <c r="O143" s="52"/>
      <c r="P143" s="52"/>
      <c r="Q143" s="52"/>
      <c r="U143" s="52"/>
    </row>
    <row r="144">
      <c r="M144" s="52"/>
      <c r="N144" s="52"/>
      <c r="O144" s="52"/>
      <c r="P144" s="52"/>
      <c r="Q144" s="52"/>
      <c r="U144" s="52"/>
    </row>
    <row r="145">
      <c r="M145" s="52"/>
      <c r="N145" s="52"/>
      <c r="O145" s="52"/>
      <c r="P145" s="52"/>
      <c r="Q145" s="52"/>
      <c r="U145" s="52"/>
    </row>
    <row r="146">
      <c r="M146" s="52"/>
      <c r="N146" s="52"/>
      <c r="O146" s="52"/>
      <c r="P146" s="52"/>
      <c r="Q146" s="52"/>
      <c r="U146" s="52"/>
    </row>
    <row r="147">
      <c r="M147" s="52"/>
      <c r="N147" s="52"/>
      <c r="O147" s="52"/>
      <c r="P147" s="52"/>
      <c r="Q147" s="52"/>
      <c r="U147" s="52"/>
    </row>
    <row r="148">
      <c r="M148" s="52"/>
      <c r="N148" s="52"/>
      <c r="O148" s="52"/>
      <c r="P148" s="52"/>
      <c r="Q148" s="52"/>
      <c r="U148" s="52"/>
    </row>
    <row r="149">
      <c r="M149" s="52"/>
      <c r="N149" s="52"/>
      <c r="O149" s="52"/>
      <c r="P149" s="52"/>
      <c r="Q149" s="52"/>
      <c r="U149" s="52"/>
    </row>
    <row r="150">
      <c r="M150" s="52"/>
      <c r="N150" s="52"/>
      <c r="O150" s="52"/>
      <c r="P150" s="52"/>
      <c r="Q150" s="52"/>
      <c r="U150" s="52"/>
    </row>
    <row r="151">
      <c r="M151" s="52"/>
      <c r="N151" s="52"/>
      <c r="O151" s="52"/>
      <c r="P151" s="52"/>
      <c r="Q151" s="52"/>
      <c r="U151" s="52"/>
    </row>
    <row r="152">
      <c r="M152" s="52"/>
      <c r="N152" s="52"/>
      <c r="O152" s="52"/>
      <c r="P152" s="52"/>
      <c r="Q152" s="52"/>
      <c r="U152" s="52"/>
    </row>
    <row r="153">
      <c r="M153" s="52"/>
      <c r="N153" s="52"/>
      <c r="O153" s="52"/>
      <c r="P153" s="52"/>
      <c r="Q153" s="52"/>
      <c r="U153" s="52"/>
    </row>
    <row r="154">
      <c r="M154" s="52"/>
      <c r="N154" s="52"/>
      <c r="O154" s="52"/>
      <c r="P154" s="52"/>
      <c r="Q154" s="52"/>
      <c r="U154" s="52"/>
    </row>
    <row r="155">
      <c r="M155" s="52"/>
      <c r="N155" s="52"/>
      <c r="O155" s="52"/>
      <c r="P155" s="52"/>
      <c r="Q155" s="52"/>
      <c r="U155" s="52"/>
    </row>
    <row r="156">
      <c r="M156" s="52"/>
      <c r="N156" s="52"/>
      <c r="O156" s="52"/>
      <c r="P156" s="52"/>
      <c r="Q156" s="52"/>
      <c r="U156" s="52"/>
    </row>
    <row r="157">
      <c r="M157" s="52"/>
      <c r="N157" s="52"/>
      <c r="O157" s="52"/>
      <c r="P157" s="52"/>
      <c r="Q157" s="52"/>
      <c r="U157" s="52"/>
    </row>
    <row r="158">
      <c r="M158" s="52"/>
      <c r="N158" s="52"/>
      <c r="O158" s="52"/>
      <c r="P158" s="52"/>
      <c r="Q158" s="52"/>
      <c r="U158" s="52"/>
    </row>
    <row r="159">
      <c r="M159" s="52"/>
      <c r="N159" s="52"/>
      <c r="O159" s="52"/>
      <c r="P159" s="52"/>
      <c r="Q159" s="52"/>
      <c r="U159" s="52"/>
    </row>
    <row r="160">
      <c r="M160" s="52"/>
      <c r="N160" s="52"/>
      <c r="O160" s="52"/>
      <c r="P160" s="52"/>
      <c r="Q160" s="52"/>
      <c r="U160" s="52"/>
    </row>
    <row r="161">
      <c r="M161" s="52"/>
      <c r="N161" s="52"/>
      <c r="O161" s="52"/>
      <c r="P161" s="52"/>
      <c r="Q161" s="52"/>
      <c r="U161" s="52"/>
    </row>
    <row r="162">
      <c r="M162" s="52"/>
      <c r="N162" s="52"/>
      <c r="O162" s="52"/>
      <c r="P162" s="52"/>
      <c r="Q162" s="52"/>
      <c r="U162" s="52"/>
    </row>
    <row r="163">
      <c r="M163" s="52"/>
      <c r="N163" s="52"/>
      <c r="O163" s="52"/>
      <c r="P163" s="52"/>
      <c r="Q163" s="52"/>
      <c r="U163" s="52"/>
    </row>
    <row r="164">
      <c r="M164" s="52"/>
      <c r="N164" s="52"/>
      <c r="O164" s="52"/>
      <c r="P164" s="52"/>
      <c r="Q164" s="52"/>
      <c r="U164" s="52"/>
    </row>
    <row r="165">
      <c r="M165" s="52"/>
      <c r="N165" s="52"/>
      <c r="O165" s="52"/>
      <c r="P165" s="52"/>
      <c r="Q165" s="52"/>
      <c r="U165" s="52"/>
    </row>
    <row r="166">
      <c r="M166" s="52"/>
      <c r="N166" s="52"/>
      <c r="O166" s="52"/>
      <c r="P166" s="52"/>
      <c r="Q166" s="52"/>
      <c r="U166" s="52"/>
    </row>
    <row r="167">
      <c r="M167" s="52"/>
      <c r="N167" s="52"/>
      <c r="O167" s="52"/>
      <c r="P167" s="52"/>
      <c r="Q167" s="52"/>
      <c r="U167" s="52"/>
    </row>
    <row r="168">
      <c r="M168" s="52"/>
      <c r="N168" s="52"/>
      <c r="O168" s="52"/>
      <c r="P168" s="52"/>
      <c r="Q168" s="52"/>
      <c r="U168" s="52"/>
    </row>
    <row r="169">
      <c r="M169" s="52"/>
      <c r="N169" s="52"/>
      <c r="O169" s="52"/>
      <c r="P169" s="52"/>
      <c r="Q169" s="52"/>
      <c r="U169" s="52"/>
    </row>
    <row r="170">
      <c r="M170" s="52"/>
      <c r="N170" s="52"/>
      <c r="O170" s="52"/>
      <c r="P170" s="52"/>
      <c r="Q170" s="52"/>
      <c r="U170" s="52"/>
    </row>
    <row r="171">
      <c r="M171" s="52"/>
      <c r="N171" s="52"/>
      <c r="O171" s="52"/>
      <c r="P171" s="52"/>
      <c r="Q171" s="52"/>
      <c r="U171" s="52"/>
    </row>
    <row r="172">
      <c r="M172" s="52"/>
      <c r="N172" s="52"/>
      <c r="O172" s="52"/>
      <c r="P172" s="52"/>
      <c r="Q172" s="52"/>
      <c r="U172" s="52"/>
    </row>
    <row r="173">
      <c r="M173" s="52"/>
      <c r="N173" s="52"/>
      <c r="O173" s="52"/>
      <c r="P173" s="52"/>
      <c r="Q173" s="52"/>
      <c r="U173" s="52"/>
    </row>
    <row r="174">
      <c r="M174" s="52"/>
      <c r="N174" s="52"/>
      <c r="O174" s="52"/>
      <c r="P174" s="52"/>
      <c r="Q174" s="52"/>
      <c r="U174" s="52"/>
    </row>
    <row r="175">
      <c r="M175" s="52"/>
      <c r="N175" s="52"/>
      <c r="O175" s="52"/>
      <c r="P175" s="52"/>
      <c r="Q175" s="52"/>
      <c r="U175" s="52"/>
    </row>
    <row r="176">
      <c r="M176" s="52"/>
      <c r="N176" s="52"/>
      <c r="O176" s="52"/>
      <c r="P176" s="52"/>
      <c r="Q176" s="52"/>
      <c r="U176" s="52"/>
    </row>
    <row r="177">
      <c r="M177" s="52"/>
      <c r="N177" s="52"/>
      <c r="O177" s="52"/>
      <c r="P177" s="52"/>
      <c r="Q177" s="52"/>
      <c r="U177" s="52"/>
    </row>
    <row r="178">
      <c r="M178" s="52"/>
      <c r="N178" s="52"/>
      <c r="O178" s="52"/>
      <c r="P178" s="52"/>
      <c r="Q178" s="52"/>
      <c r="U178" s="52"/>
    </row>
    <row r="179">
      <c r="M179" s="52"/>
      <c r="N179" s="52"/>
      <c r="O179" s="52"/>
      <c r="P179" s="52"/>
      <c r="Q179" s="52"/>
      <c r="U179" s="52"/>
    </row>
    <row r="180">
      <c r="M180" s="52"/>
      <c r="N180" s="52"/>
      <c r="O180" s="52"/>
      <c r="P180" s="52"/>
      <c r="Q180" s="52"/>
      <c r="U180" s="52"/>
    </row>
    <row r="181">
      <c r="M181" s="52"/>
      <c r="N181" s="52"/>
      <c r="O181" s="52"/>
      <c r="P181" s="52"/>
      <c r="Q181" s="52"/>
      <c r="U181" s="52"/>
    </row>
    <row r="182">
      <c r="M182" s="52"/>
      <c r="N182" s="52"/>
      <c r="O182" s="52"/>
      <c r="P182" s="52"/>
      <c r="Q182" s="52"/>
      <c r="U182" s="52"/>
    </row>
    <row r="183">
      <c r="M183" s="52"/>
      <c r="N183" s="52"/>
      <c r="O183" s="52"/>
      <c r="P183" s="52"/>
      <c r="Q183" s="52"/>
      <c r="U183" s="52"/>
    </row>
    <row r="184">
      <c r="M184" s="52"/>
      <c r="N184" s="52"/>
      <c r="O184" s="52"/>
      <c r="P184" s="52"/>
      <c r="Q184" s="52"/>
      <c r="U184" s="52"/>
    </row>
    <row r="185">
      <c r="M185" s="52"/>
      <c r="N185" s="52"/>
      <c r="O185" s="52"/>
      <c r="P185" s="52"/>
      <c r="Q185" s="52"/>
      <c r="U185" s="52"/>
    </row>
    <row r="186">
      <c r="M186" s="52"/>
      <c r="N186" s="52"/>
      <c r="O186" s="52"/>
      <c r="P186" s="52"/>
      <c r="Q186" s="52"/>
      <c r="U186" s="52"/>
    </row>
    <row r="187">
      <c r="M187" s="52"/>
      <c r="N187" s="52"/>
      <c r="O187" s="52"/>
      <c r="P187" s="52"/>
      <c r="Q187" s="52"/>
      <c r="U187" s="52"/>
    </row>
    <row r="188">
      <c r="M188" s="52"/>
      <c r="N188" s="52"/>
      <c r="O188" s="52"/>
      <c r="P188" s="52"/>
      <c r="Q188" s="52"/>
      <c r="U188" s="52"/>
    </row>
    <row r="189">
      <c r="M189" s="52"/>
      <c r="N189" s="52"/>
      <c r="O189" s="52"/>
      <c r="P189" s="52"/>
      <c r="Q189" s="52"/>
      <c r="U189" s="52"/>
    </row>
    <row r="190">
      <c r="M190" s="52"/>
      <c r="N190" s="52"/>
      <c r="O190" s="52"/>
      <c r="P190" s="52"/>
      <c r="Q190" s="52"/>
      <c r="U190" s="52"/>
    </row>
    <row r="191">
      <c r="M191" s="52"/>
      <c r="N191" s="52"/>
      <c r="O191" s="52"/>
      <c r="P191" s="52"/>
      <c r="Q191" s="52"/>
      <c r="U191" s="52"/>
    </row>
    <row r="192">
      <c r="M192" s="52"/>
      <c r="N192" s="52"/>
      <c r="O192" s="52"/>
      <c r="P192" s="52"/>
      <c r="Q192" s="52"/>
      <c r="U192" s="52"/>
    </row>
    <row r="193">
      <c r="M193" s="52"/>
      <c r="N193" s="52"/>
      <c r="O193" s="52"/>
      <c r="P193" s="52"/>
      <c r="Q193" s="52"/>
      <c r="U193" s="52"/>
    </row>
    <row r="194">
      <c r="M194" s="52"/>
      <c r="N194" s="52"/>
      <c r="O194" s="52"/>
      <c r="P194" s="52"/>
      <c r="Q194" s="52"/>
      <c r="U194" s="52"/>
    </row>
    <row r="195">
      <c r="M195" s="52"/>
      <c r="N195" s="52"/>
      <c r="O195" s="52"/>
      <c r="P195" s="52"/>
      <c r="Q195" s="52"/>
      <c r="U195" s="52"/>
    </row>
    <row r="196">
      <c r="M196" s="52"/>
      <c r="N196" s="52"/>
      <c r="O196" s="52"/>
      <c r="P196" s="52"/>
      <c r="Q196" s="52"/>
      <c r="U196" s="52"/>
    </row>
    <row r="197">
      <c r="M197" s="52"/>
      <c r="N197" s="52"/>
      <c r="O197" s="52"/>
      <c r="P197" s="52"/>
      <c r="Q197" s="52"/>
      <c r="U197" s="52"/>
    </row>
    <row r="198">
      <c r="M198" s="52"/>
      <c r="N198" s="52"/>
      <c r="O198" s="52"/>
      <c r="P198" s="52"/>
      <c r="Q198" s="52"/>
      <c r="U198" s="52"/>
    </row>
    <row r="199">
      <c r="M199" s="52"/>
      <c r="N199" s="52"/>
      <c r="O199" s="52"/>
      <c r="P199" s="52"/>
      <c r="Q199" s="52"/>
      <c r="U199" s="52"/>
    </row>
    <row r="200">
      <c r="M200" s="52"/>
      <c r="N200" s="52"/>
      <c r="O200" s="52"/>
      <c r="P200" s="52"/>
      <c r="Q200" s="52"/>
      <c r="U200" s="52"/>
    </row>
    <row r="201">
      <c r="M201" s="52"/>
      <c r="N201" s="52"/>
      <c r="O201" s="52"/>
      <c r="P201" s="52"/>
      <c r="Q201" s="52"/>
      <c r="U201" s="52"/>
    </row>
    <row r="202">
      <c r="M202" s="52"/>
      <c r="N202" s="52"/>
      <c r="O202" s="52"/>
      <c r="P202" s="52"/>
      <c r="Q202" s="52"/>
      <c r="U202" s="52"/>
    </row>
    <row r="203">
      <c r="M203" s="52"/>
      <c r="N203" s="52"/>
      <c r="O203" s="52"/>
      <c r="P203" s="52"/>
      <c r="Q203" s="52"/>
      <c r="U203" s="52"/>
    </row>
    <row r="204">
      <c r="M204" s="52"/>
      <c r="N204" s="52"/>
      <c r="O204" s="52"/>
      <c r="P204" s="52"/>
      <c r="Q204" s="52"/>
      <c r="U204" s="52"/>
    </row>
    <row r="205">
      <c r="M205" s="52"/>
      <c r="N205" s="52"/>
      <c r="O205" s="52"/>
      <c r="P205" s="52"/>
      <c r="Q205" s="52"/>
      <c r="U205" s="52"/>
    </row>
    <row r="206">
      <c r="M206" s="52"/>
      <c r="N206" s="52"/>
      <c r="O206" s="52"/>
      <c r="P206" s="52"/>
      <c r="Q206" s="52"/>
      <c r="U206" s="52"/>
    </row>
    <row r="207">
      <c r="M207" s="52"/>
      <c r="N207" s="52"/>
      <c r="O207" s="52"/>
      <c r="P207" s="52"/>
      <c r="Q207" s="52"/>
      <c r="U207" s="52"/>
    </row>
    <row r="208">
      <c r="M208" s="52"/>
      <c r="N208" s="52"/>
      <c r="O208" s="52"/>
      <c r="P208" s="52"/>
      <c r="Q208" s="52"/>
      <c r="U208" s="52"/>
    </row>
    <row r="209">
      <c r="M209" s="52"/>
      <c r="N209" s="52"/>
      <c r="O209" s="52"/>
      <c r="P209" s="52"/>
      <c r="Q209" s="52"/>
      <c r="U209" s="52"/>
    </row>
    <row r="210">
      <c r="M210" s="52"/>
      <c r="N210" s="52"/>
      <c r="O210" s="52"/>
      <c r="P210" s="52"/>
      <c r="Q210" s="52"/>
      <c r="U210" s="52"/>
    </row>
    <row r="211">
      <c r="M211" s="52"/>
      <c r="N211" s="52"/>
      <c r="O211" s="52"/>
      <c r="P211" s="52"/>
      <c r="Q211" s="52"/>
      <c r="U211" s="52"/>
    </row>
    <row r="212">
      <c r="M212" s="52"/>
      <c r="N212" s="52"/>
      <c r="O212" s="52"/>
      <c r="P212" s="52"/>
      <c r="Q212" s="52"/>
      <c r="U212" s="52"/>
    </row>
    <row r="213">
      <c r="M213" s="52"/>
      <c r="N213" s="52"/>
      <c r="O213" s="52"/>
      <c r="P213" s="52"/>
      <c r="Q213" s="52"/>
      <c r="U213" s="52"/>
    </row>
    <row r="214">
      <c r="M214" s="52"/>
      <c r="N214" s="52"/>
      <c r="O214" s="52"/>
      <c r="P214" s="52"/>
      <c r="Q214" s="52"/>
      <c r="U214" s="52"/>
    </row>
    <row r="215">
      <c r="M215" s="52"/>
      <c r="N215" s="52"/>
      <c r="O215" s="52"/>
      <c r="P215" s="52"/>
      <c r="Q215" s="52"/>
      <c r="U215" s="52"/>
    </row>
    <row r="216">
      <c r="M216" s="52"/>
      <c r="N216" s="52"/>
      <c r="O216" s="52"/>
      <c r="P216" s="52"/>
      <c r="Q216" s="52"/>
      <c r="U216" s="52"/>
    </row>
    <row r="217">
      <c r="M217" s="52"/>
      <c r="N217" s="52"/>
      <c r="O217" s="52"/>
      <c r="P217" s="52"/>
      <c r="Q217" s="52"/>
      <c r="U217" s="52"/>
    </row>
    <row r="218">
      <c r="M218" s="52"/>
      <c r="N218" s="52"/>
      <c r="O218" s="52"/>
      <c r="P218" s="52"/>
      <c r="Q218" s="52"/>
      <c r="U218" s="52"/>
    </row>
    <row r="219">
      <c r="M219" s="52"/>
      <c r="N219" s="52"/>
      <c r="O219" s="52"/>
      <c r="P219" s="52"/>
      <c r="Q219" s="52"/>
      <c r="U219" s="52"/>
    </row>
    <row r="220">
      <c r="M220" s="52"/>
      <c r="N220" s="52"/>
      <c r="O220" s="52"/>
      <c r="P220" s="52"/>
      <c r="Q220" s="52"/>
      <c r="U220" s="52"/>
    </row>
    <row r="221">
      <c r="M221" s="52"/>
      <c r="N221" s="52"/>
      <c r="O221" s="52"/>
      <c r="P221" s="52"/>
      <c r="Q221" s="52"/>
      <c r="U221" s="52"/>
    </row>
    <row r="222">
      <c r="M222" s="52"/>
      <c r="N222" s="52"/>
      <c r="O222" s="52"/>
      <c r="P222" s="52"/>
      <c r="Q222" s="52"/>
      <c r="U222" s="52"/>
    </row>
    <row r="223">
      <c r="M223" s="52"/>
      <c r="N223" s="52"/>
      <c r="O223" s="52"/>
      <c r="P223" s="52"/>
      <c r="Q223" s="52"/>
      <c r="U223" s="52"/>
    </row>
    <row r="224">
      <c r="M224" s="52"/>
      <c r="N224" s="52"/>
      <c r="O224" s="52"/>
      <c r="P224" s="52"/>
      <c r="Q224" s="52"/>
      <c r="U224" s="52"/>
    </row>
    <row r="225">
      <c r="M225" s="52"/>
      <c r="N225" s="52"/>
      <c r="O225" s="52"/>
      <c r="P225" s="52"/>
      <c r="Q225" s="52"/>
      <c r="U225" s="52"/>
    </row>
    <row r="226">
      <c r="M226" s="52"/>
      <c r="N226" s="52"/>
      <c r="O226" s="52"/>
      <c r="P226" s="52"/>
      <c r="Q226" s="52"/>
      <c r="U226" s="52"/>
    </row>
    <row r="227">
      <c r="M227" s="52"/>
      <c r="N227" s="52"/>
      <c r="O227" s="52"/>
      <c r="P227" s="52"/>
      <c r="Q227" s="52"/>
      <c r="U227" s="52"/>
    </row>
    <row r="228">
      <c r="M228" s="52"/>
      <c r="N228" s="52"/>
      <c r="O228" s="52"/>
      <c r="P228" s="52"/>
      <c r="Q228" s="52"/>
      <c r="U228" s="52"/>
    </row>
    <row r="229">
      <c r="M229" s="52"/>
      <c r="N229" s="52"/>
      <c r="O229" s="52"/>
      <c r="P229" s="52"/>
      <c r="Q229" s="52"/>
      <c r="U229" s="52"/>
    </row>
    <row r="230">
      <c r="M230" s="52"/>
      <c r="N230" s="52"/>
      <c r="O230" s="52"/>
      <c r="P230" s="52"/>
      <c r="Q230" s="52"/>
      <c r="U230" s="52"/>
    </row>
    <row r="231">
      <c r="M231" s="52"/>
      <c r="N231" s="52"/>
      <c r="O231" s="52"/>
      <c r="P231" s="52"/>
      <c r="Q231" s="52"/>
      <c r="U231" s="52"/>
    </row>
    <row r="232">
      <c r="M232" s="52"/>
      <c r="N232" s="52"/>
      <c r="O232" s="52"/>
      <c r="P232" s="52"/>
      <c r="Q232" s="52"/>
      <c r="U232" s="52"/>
    </row>
    <row r="233">
      <c r="M233" s="52"/>
      <c r="N233" s="52"/>
      <c r="O233" s="52"/>
      <c r="P233" s="52"/>
      <c r="Q233" s="52"/>
      <c r="U233" s="52"/>
    </row>
    <row r="234">
      <c r="M234" s="52"/>
      <c r="N234" s="52"/>
      <c r="O234" s="52"/>
      <c r="P234" s="52"/>
      <c r="Q234" s="52"/>
      <c r="U234" s="52"/>
    </row>
    <row r="235">
      <c r="M235" s="52"/>
      <c r="N235" s="52"/>
      <c r="O235" s="52"/>
      <c r="P235" s="52"/>
      <c r="Q235" s="52"/>
      <c r="U235" s="52"/>
    </row>
    <row r="236">
      <c r="M236" s="52"/>
      <c r="N236" s="52"/>
      <c r="O236" s="52"/>
      <c r="P236" s="52"/>
      <c r="Q236" s="52"/>
      <c r="U236" s="52"/>
    </row>
    <row r="237">
      <c r="M237" s="52"/>
      <c r="N237" s="52"/>
      <c r="O237" s="52"/>
      <c r="P237" s="52"/>
      <c r="Q237" s="52"/>
      <c r="U237" s="52"/>
    </row>
    <row r="238">
      <c r="M238" s="52"/>
      <c r="N238" s="52"/>
      <c r="O238" s="52"/>
      <c r="P238" s="52"/>
      <c r="Q238" s="52"/>
      <c r="U238" s="52"/>
    </row>
    <row r="239">
      <c r="M239" s="52"/>
      <c r="N239" s="52"/>
      <c r="O239" s="52"/>
      <c r="P239" s="52"/>
      <c r="Q239" s="52"/>
      <c r="U239" s="52"/>
    </row>
    <row r="240">
      <c r="M240" s="52"/>
      <c r="N240" s="52"/>
      <c r="O240" s="52"/>
      <c r="P240" s="52"/>
      <c r="Q240" s="52"/>
      <c r="U240" s="52"/>
    </row>
    <row r="241">
      <c r="M241" s="52"/>
      <c r="N241" s="52"/>
      <c r="O241" s="52"/>
      <c r="P241" s="52"/>
      <c r="Q241" s="52"/>
      <c r="U241" s="52"/>
    </row>
    <row r="242">
      <c r="M242" s="52"/>
      <c r="N242" s="52"/>
      <c r="O242" s="52"/>
      <c r="P242" s="52"/>
      <c r="Q242" s="52"/>
      <c r="U242" s="52"/>
    </row>
    <row r="243">
      <c r="M243" s="52"/>
      <c r="N243" s="52"/>
      <c r="O243" s="52"/>
      <c r="P243" s="52"/>
      <c r="Q243" s="52"/>
      <c r="U243" s="52"/>
    </row>
    <row r="244">
      <c r="M244" s="52"/>
      <c r="N244" s="52"/>
      <c r="O244" s="52"/>
      <c r="P244" s="52"/>
      <c r="Q244" s="52"/>
      <c r="U244" s="52"/>
    </row>
    <row r="245">
      <c r="M245" s="52"/>
      <c r="N245" s="52"/>
      <c r="O245" s="52"/>
      <c r="P245" s="52"/>
      <c r="Q245" s="52"/>
      <c r="U245" s="52"/>
    </row>
    <row r="246">
      <c r="M246" s="52"/>
      <c r="N246" s="52"/>
      <c r="O246" s="52"/>
      <c r="P246" s="52"/>
      <c r="Q246" s="52"/>
      <c r="U246" s="52"/>
    </row>
    <row r="247">
      <c r="M247" s="52"/>
      <c r="N247" s="52"/>
      <c r="O247" s="52"/>
      <c r="P247" s="52"/>
      <c r="Q247" s="52"/>
      <c r="U247" s="52"/>
    </row>
    <row r="248">
      <c r="M248" s="52"/>
      <c r="N248" s="52"/>
      <c r="O248" s="52"/>
      <c r="P248" s="52"/>
      <c r="Q248" s="52"/>
      <c r="U248" s="52"/>
    </row>
    <row r="249">
      <c r="M249" s="52"/>
      <c r="N249" s="52"/>
      <c r="O249" s="52"/>
      <c r="P249" s="52"/>
      <c r="Q249" s="52"/>
      <c r="U249" s="52"/>
    </row>
    <row r="250">
      <c r="M250" s="52"/>
      <c r="N250" s="52"/>
      <c r="O250" s="52"/>
      <c r="P250" s="52"/>
      <c r="Q250" s="52"/>
      <c r="U250" s="52"/>
    </row>
    <row r="251">
      <c r="M251" s="52"/>
      <c r="N251" s="52"/>
      <c r="O251" s="52"/>
      <c r="P251" s="52"/>
      <c r="Q251" s="52"/>
      <c r="U251" s="52"/>
    </row>
    <row r="252">
      <c r="M252" s="52"/>
      <c r="N252" s="52"/>
      <c r="O252" s="52"/>
      <c r="P252" s="52"/>
      <c r="Q252" s="52"/>
      <c r="U252" s="52"/>
    </row>
    <row r="253">
      <c r="M253" s="52"/>
      <c r="N253" s="52"/>
      <c r="O253" s="52"/>
      <c r="P253" s="52"/>
      <c r="Q253" s="52"/>
      <c r="U253" s="52"/>
    </row>
    <row r="254">
      <c r="M254" s="52"/>
      <c r="N254" s="52"/>
      <c r="O254" s="52"/>
      <c r="P254" s="52"/>
      <c r="Q254" s="52"/>
      <c r="U254" s="52"/>
    </row>
    <row r="255">
      <c r="M255" s="52"/>
      <c r="N255" s="52"/>
      <c r="O255" s="52"/>
      <c r="P255" s="52"/>
      <c r="Q255" s="52"/>
      <c r="U255" s="52"/>
    </row>
    <row r="256">
      <c r="M256" s="52"/>
      <c r="N256" s="52"/>
      <c r="O256" s="52"/>
      <c r="P256" s="52"/>
      <c r="Q256" s="52"/>
      <c r="U256" s="52"/>
    </row>
    <row r="257">
      <c r="M257" s="52"/>
      <c r="N257" s="52"/>
      <c r="O257" s="52"/>
      <c r="P257" s="52"/>
      <c r="Q257" s="52"/>
      <c r="U257" s="52"/>
    </row>
    <row r="258">
      <c r="M258" s="52"/>
      <c r="N258" s="52"/>
      <c r="O258" s="52"/>
      <c r="P258" s="52"/>
      <c r="Q258" s="52"/>
      <c r="U258" s="52"/>
    </row>
    <row r="259">
      <c r="M259" s="52"/>
      <c r="N259" s="52"/>
      <c r="O259" s="52"/>
      <c r="P259" s="52"/>
      <c r="Q259" s="52"/>
      <c r="U259" s="52"/>
    </row>
    <row r="260">
      <c r="M260" s="52"/>
      <c r="N260" s="52"/>
      <c r="O260" s="52"/>
      <c r="P260" s="52"/>
      <c r="Q260" s="52"/>
      <c r="U260" s="52"/>
    </row>
    <row r="261">
      <c r="M261" s="52"/>
      <c r="N261" s="52"/>
      <c r="O261" s="52"/>
      <c r="P261" s="52"/>
      <c r="Q261" s="52"/>
      <c r="U261" s="52"/>
    </row>
    <row r="262">
      <c r="M262" s="52"/>
      <c r="N262" s="52"/>
      <c r="O262" s="52"/>
      <c r="P262" s="52"/>
      <c r="Q262" s="52"/>
      <c r="U262" s="52"/>
    </row>
    <row r="263">
      <c r="M263" s="52"/>
      <c r="N263" s="52"/>
      <c r="O263" s="52"/>
      <c r="P263" s="52"/>
      <c r="Q263" s="52"/>
      <c r="U263" s="52"/>
    </row>
    <row r="264">
      <c r="M264" s="52"/>
      <c r="N264" s="52"/>
      <c r="O264" s="52"/>
      <c r="P264" s="52"/>
      <c r="Q264" s="52"/>
      <c r="U264" s="52"/>
    </row>
    <row r="265">
      <c r="M265" s="52"/>
      <c r="N265" s="52"/>
      <c r="O265" s="52"/>
      <c r="P265" s="52"/>
      <c r="Q265" s="52"/>
      <c r="U265" s="52"/>
    </row>
    <row r="266">
      <c r="M266" s="52"/>
      <c r="N266" s="52"/>
      <c r="O266" s="52"/>
      <c r="P266" s="52"/>
      <c r="Q266" s="52"/>
      <c r="U266" s="52"/>
    </row>
    <row r="267">
      <c r="M267" s="52"/>
      <c r="N267" s="52"/>
      <c r="O267" s="52"/>
      <c r="P267" s="52"/>
      <c r="Q267" s="52"/>
      <c r="U267" s="52"/>
    </row>
    <row r="268">
      <c r="M268" s="52"/>
      <c r="N268" s="52"/>
      <c r="O268" s="52"/>
      <c r="P268" s="52"/>
      <c r="Q268" s="52"/>
      <c r="U268" s="52"/>
    </row>
    <row r="269">
      <c r="M269" s="52"/>
      <c r="N269" s="52"/>
      <c r="O269" s="52"/>
      <c r="P269" s="52"/>
      <c r="Q269" s="52"/>
      <c r="U269" s="52"/>
    </row>
    <row r="270">
      <c r="M270" s="52"/>
      <c r="N270" s="52"/>
      <c r="O270" s="52"/>
      <c r="P270" s="52"/>
      <c r="Q270" s="52"/>
      <c r="U270" s="52"/>
    </row>
    <row r="271">
      <c r="M271" s="52"/>
      <c r="N271" s="52"/>
      <c r="O271" s="52"/>
      <c r="P271" s="52"/>
      <c r="Q271" s="52"/>
      <c r="U271" s="52"/>
    </row>
    <row r="272">
      <c r="M272" s="52"/>
      <c r="N272" s="52"/>
      <c r="O272" s="52"/>
      <c r="P272" s="52"/>
      <c r="Q272" s="52"/>
      <c r="U272" s="52"/>
    </row>
    <row r="273">
      <c r="M273" s="52"/>
      <c r="N273" s="52"/>
      <c r="O273" s="52"/>
      <c r="P273" s="52"/>
      <c r="Q273" s="52"/>
      <c r="U273" s="52"/>
    </row>
    <row r="274">
      <c r="M274" s="52"/>
      <c r="N274" s="52"/>
      <c r="O274" s="52"/>
      <c r="P274" s="52"/>
      <c r="Q274" s="52"/>
      <c r="U274" s="52"/>
    </row>
    <row r="275">
      <c r="M275" s="52"/>
      <c r="N275" s="52"/>
      <c r="O275" s="52"/>
      <c r="P275" s="52"/>
      <c r="Q275" s="52"/>
      <c r="U275" s="52"/>
    </row>
    <row r="276">
      <c r="M276" s="52"/>
      <c r="N276" s="52"/>
      <c r="O276" s="52"/>
      <c r="P276" s="52"/>
      <c r="Q276" s="52"/>
      <c r="U276" s="52"/>
    </row>
    <row r="277">
      <c r="M277" s="52"/>
      <c r="N277" s="52"/>
      <c r="O277" s="52"/>
      <c r="P277" s="52"/>
      <c r="Q277" s="52"/>
      <c r="U277" s="52"/>
    </row>
    <row r="278">
      <c r="M278" s="52"/>
      <c r="N278" s="52"/>
      <c r="O278" s="52"/>
      <c r="P278" s="52"/>
      <c r="Q278" s="52"/>
      <c r="U278" s="52"/>
    </row>
    <row r="279">
      <c r="M279" s="52"/>
      <c r="N279" s="52"/>
      <c r="O279" s="52"/>
      <c r="P279" s="52"/>
      <c r="Q279" s="52"/>
      <c r="U279" s="52"/>
    </row>
    <row r="280">
      <c r="M280" s="52"/>
      <c r="N280" s="52"/>
      <c r="O280" s="52"/>
      <c r="P280" s="52"/>
      <c r="Q280" s="52"/>
      <c r="U280" s="52"/>
    </row>
    <row r="281">
      <c r="M281" s="52"/>
      <c r="N281" s="52"/>
      <c r="O281" s="52"/>
      <c r="P281" s="52"/>
      <c r="Q281" s="52"/>
      <c r="U281" s="52"/>
    </row>
    <row r="282">
      <c r="M282" s="52"/>
      <c r="N282" s="52"/>
      <c r="O282" s="52"/>
      <c r="P282" s="52"/>
      <c r="Q282" s="52"/>
      <c r="U282" s="52"/>
    </row>
    <row r="283">
      <c r="M283" s="52"/>
      <c r="N283" s="52"/>
      <c r="O283" s="52"/>
      <c r="P283" s="52"/>
      <c r="Q283" s="52"/>
      <c r="U283" s="52"/>
    </row>
    <row r="284">
      <c r="M284" s="52"/>
      <c r="N284" s="52"/>
      <c r="O284" s="52"/>
      <c r="P284" s="52"/>
      <c r="Q284" s="52"/>
      <c r="U284" s="52"/>
    </row>
    <row r="285">
      <c r="M285" s="52"/>
      <c r="N285" s="52"/>
      <c r="O285" s="52"/>
      <c r="P285" s="52"/>
      <c r="Q285" s="52"/>
      <c r="U285" s="52"/>
    </row>
    <row r="286">
      <c r="M286" s="52"/>
      <c r="N286" s="52"/>
      <c r="O286" s="52"/>
      <c r="P286" s="52"/>
      <c r="Q286" s="52"/>
      <c r="U286" s="52"/>
    </row>
    <row r="287">
      <c r="M287" s="52"/>
      <c r="N287" s="52"/>
      <c r="O287" s="52"/>
      <c r="P287" s="52"/>
      <c r="Q287" s="52"/>
      <c r="U287" s="52"/>
    </row>
    <row r="288">
      <c r="M288" s="52"/>
      <c r="N288" s="52"/>
      <c r="O288" s="52"/>
      <c r="P288" s="52"/>
      <c r="Q288" s="52"/>
      <c r="U288" s="52"/>
    </row>
    <row r="289">
      <c r="M289" s="52"/>
      <c r="N289" s="52"/>
      <c r="O289" s="52"/>
      <c r="P289" s="52"/>
      <c r="Q289" s="52"/>
      <c r="U289" s="52"/>
    </row>
    <row r="290">
      <c r="M290" s="52"/>
      <c r="N290" s="52"/>
      <c r="O290" s="52"/>
      <c r="P290" s="52"/>
      <c r="Q290" s="52"/>
      <c r="U290" s="52"/>
    </row>
    <row r="291">
      <c r="M291" s="52"/>
      <c r="N291" s="52"/>
      <c r="O291" s="52"/>
      <c r="P291" s="52"/>
      <c r="Q291" s="52"/>
      <c r="U291" s="52"/>
    </row>
    <row r="292">
      <c r="M292" s="52"/>
      <c r="N292" s="52"/>
      <c r="O292" s="52"/>
      <c r="P292" s="52"/>
      <c r="Q292" s="52"/>
      <c r="U292" s="52"/>
    </row>
    <row r="293">
      <c r="M293" s="52"/>
      <c r="N293" s="52"/>
      <c r="O293" s="52"/>
      <c r="P293" s="52"/>
      <c r="Q293" s="52"/>
      <c r="U293" s="52"/>
    </row>
    <row r="294">
      <c r="M294" s="52"/>
      <c r="N294" s="52"/>
      <c r="O294" s="52"/>
      <c r="P294" s="52"/>
      <c r="Q294" s="52"/>
      <c r="U294" s="52"/>
    </row>
    <row r="295">
      <c r="M295" s="52"/>
      <c r="N295" s="52"/>
      <c r="O295" s="52"/>
      <c r="P295" s="52"/>
      <c r="Q295" s="52"/>
      <c r="U295" s="52"/>
    </row>
    <row r="296">
      <c r="M296" s="52"/>
      <c r="N296" s="52"/>
      <c r="O296" s="52"/>
      <c r="P296" s="52"/>
      <c r="Q296" s="52"/>
      <c r="U296" s="52"/>
    </row>
    <row r="297">
      <c r="M297" s="52"/>
      <c r="N297" s="52"/>
      <c r="O297" s="52"/>
      <c r="P297" s="52"/>
      <c r="Q297" s="52"/>
      <c r="U297" s="52"/>
    </row>
    <row r="298">
      <c r="M298" s="52"/>
      <c r="N298" s="52"/>
      <c r="O298" s="52"/>
      <c r="P298" s="52"/>
      <c r="Q298" s="52"/>
      <c r="U298" s="52"/>
    </row>
    <row r="299">
      <c r="M299" s="52"/>
      <c r="N299" s="52"/>
      <c r="O299" s="52"/>
      <c r="P299" s="52"/>
      <c r="Q299" s="52"/>
      <c r="U299" s="52"/>
    </row>
    <row r="300">
      <c r="M300" s="52"/>
      <c r="N300" s="52"/>
      <c r="O300" s="52"/>
      <c r="P300" s="52"/>
      <c r="Q300" s="52"/>
      <c r="U300" s="52"/>
    </row>
    <row r="301">
      <c r="M301" s="52"/>
      <c r="N301" s="52"/>
      <c r="O301" s="52"/>
      <c r="P301" s="52"/>
      <c r="Q301" s="52"/>
      <c r="U301" s="52"/>
    </row>
    <row r="302">
      <c r="M302" s="52"/>
      <c r="N302" s="52"/>
      <c r="O302" s="52"/>
      <c r="P302" s="52"/>
      <c r="Q302" s="52"/>
      <c r="U302" s="52"/>
    </row>
    <row r="303">
      <c r="M303" s="52"/>
      <c r="N303" s="52"/>
      <c r="O303" s="52"/>
      <c r="P303" s="52"/>
      <c r="Q303" s="52"/>
      <c r="U303" s="52"/>
    </row>
    <row r="304">
      <c r="M304" s="52"/>
      <c r="N304" s="52"/>
      <c r="O304" s="52"/>
      <c r="P304" s="52"/>
      <c r="Q304" s="52"/>
      <c r="U304" s="52"/>
    </row>
    <row r="305">
      <c r="M305" s="52"/>
      <c r="N305" s="52"/>
      <c r="O305" s="52"/>
      <c r="P305" s="52"/>
      <c r="Q305" s="52"/>
      <c r="U305" s="52"/>
    </row>
    <row r="306">
      <c r="M306" s="52"/>
      <c r="N306" s="52"/>
      <c r="O306" s="52"/>
      <c r="P306" s="52"/>
      <c r="Q306" s="52"/>
      <c r="U306" s="52"/>
    </row>
    <row r="307">
      <c r="M307" s="52"/>
      <c r="N307" s="52"/>
      <c r="O307" s="52"/>
      <c r="P307" s="52"/>
      <c r="Q307" s="52"/>
      <c r="U307" s="52"/>
    </row>
    <row r="308">
      <c r="M308" s="52"/>
      <c r="N308" s="52"/>
      <c r="O308" s="52"/>
      <c r="P308" s="52"/>
      <c r="Q308" s="52"/>
      <c r="U308" s="52"/>
    </row>
    <row r="309">
      <c r="M309" s="52"/>
      <c r="N309" s="52"/>
      <c r="O309" s="52"/>
      <c r="P309" s="52"/>
      <c r="Q309" s="52"/>
      <c r="U309" s="52"/>
    </row>
    <row r="310">
      <c r="M310" s="52"/>
      <c r="N310" s="52"/>
      <c r="O310" s="52"/>
      <c r="P310" s="52"/>
      <c r="Q310" s="52"/>
      <c r="U310" s="52"/>
    </row>
    <row r="311">
      <c r="M311" s="52"/>
      <c r="N311" s="52"/>
      <c r="O311" s="52"/>
      <c r="P311" s="52"/>
      <c r="Q311" s="52"/>
      <c r="U311" s="52"/>
    </row>
    <row r="312">
      <c r="M312" s="52"/>
      <c r="N312" s="52"/>
      <c r="O312" s="52"/>
      <c r="P312" s="52"/>
      <c r="Q312" s="52"/>
      <c r="U312" s="52"/>
    </row>
    <row r="313">
      <c r="M313" s="52"/>
      <c r="N313" s="52"/>
      <c r="O313" s="52"/>
      <c r="P313" s="52"/>
      <c r="Q313" s="52"/>
      <c r="U313" s="52"/>
    </row>
    <row r="314">
      <c r="M314" s="52"/>
      <c r="N314" s="52"/>
      <c r="O314" s="52"/>
      <c r="P314" s="52"/>
      <c r="Q314" s="52"/>
      <c r="U314" s="52"/>
    </row>
    <row r="315">
      <c r="M315" s="52"/>
      <c r="N315" s="52"/>
      <c r="O315" s="52"/>
      <c r="P315" s="52"/>
      <c r="Q315" s="52"/>
      <c r="U315" s="52"/>
    </row>
    <row r="316">
      <c r="M316" s="52"/>
      <c r="N316" s="52"/>
      <c r="O316" s="52"/>
      <c r="P316" s="52"/>
      <c r="Q316" s="52"/>
      <c r="U316" s="52"/>
    </row>
    <row r="317">
      <c r="M317" s="52"/>
      <c r="N317" s="52"/>
      <c r="O317" s="52"/>
      <c r="P317" s="52"/>
      <c r="Q317" s="52"/>
      <c r="U317" s="52"/>
    </row>
    <row r="318">
      <c r="M318" s="52"/>
      <c r="N318" s="52"/>
      <c r="O318" s="52"/>
      <c r="P318" s="52"/>
      <c r="Q318" s="52"/>
      <c r="U318" s="52"/>
    </row>
    <row r="319">
      <c r="M319" s="52"/>
      <c r="N319" s="52"/>
      <c r="O319" s="52"/>
      <c r="P319" s="52"/>
      <c r="Q319" s="52"/>
      <c r="U319" s="52"/>
    </row>
    <row r="320">
      <c r="M320" s="52"/>
      <c r="N320" s="52"/>
      <c r="O320" s="52"/>
      <c r="P320" s="52"/>
      <c r="Q320" s="52"/>
      <c r="U320" s="52"/>
    </row>
    <row r="321">
      <c r="M321" s="52"/>
      <c r="N321" s="52"/>
      <c r="O321" s="52"/>
      <c r="P321" s="52"/>
      <c r="Q321" s="52"/>
      <c r="U321" s="52"/>
    </row>
    <row r="322">
      <c r="M322" s="52"/>
      <c r="N322" s="52"/>
      <c r="O322" s="52"/>
      <c r="P322" s="52"/>
      <c r="Q322" s="52"/>
      <c r="U322" s="52"/>
    </row>
    <row r="323">
      <c r="M323" s="52"/>
      <c r="N323" s="52"/>
      <c r="O323" s="52"/>
      <c r="P323" s="52"/>
      <c r="Q323" s="52"/>
      <c r="U323" s="52"/>
    </row>
    <row r="324">
      <c r="M324" s="52"/>
      <c r="N324" s="52"/>
      <c r="O324" s="52"/>
      <c r="P324" s="52"/>
      <c r="Q324" s="52"/>
      <c r="U324" s="52"/>
    </row>
    <row r="325">
      <c r="M325" s="52"/>
      <c r="N325" s="52"/>
      <c r="O325" s="52"/>
      <c r="P325" s="52"/>
      <c r="Q325" s="52"/>
      <c r="U325" s="52"/>
    </row>
    <row r="326">
      <c r="M326" s="52"/>
      <c r="N326" s="52"/>
      <c r="O326" s="52"/>
      <c r="P326" s="52"/>
      <c r="Q326" s="52"/>
      <c r="U326" s="52"/>
    </row>
    <row r="327">
      <c r="M327" s="52"/>
      <c r="N327" s="52"/>
      <c r="O327" s="52"/>
      <c r="P327" s="52"/>
      <c r="Q327" s="52"/>
      <c r="U327" s="52"/>
    </row>
    <row r="328">
      <c r="M328" s="52"/>
      <c r="N328" s="52"/>
      <c r="O328" s="52"/>
      <c r="P328" s="52"/>
      <c r="Q328" s="52"/>
      <c r="U328" s="52"/>
    </row>
    <row r="329">
      <c r="M329" s="52"/>
      <c r="N329" s="52"/>
      <c r="O329" s="52"/>
      <c r="P329" s="52"/>
      <c r="Q329" s="52"/>
      <c r="U329" s="52"/>
    </row>
    <row r="330">
      <c r="M330" s="52"/>
      <c r="N330" s="52"/>
      <c r="O330" s="52"/>
      <c r="P330" s="52"/>
      <c r="Q330" s="52"/>
      <c r="U330" s="52"/>
    </row>
    <row r="331">
      <c r="M331" s="52"/>
      <c r="N331" s="52"/>
      <c r="O331" s="52"/>
      <c r="P331" s="52"/>
      <c r="Q331" s="52"/>
      <c r="U331" s="52"/>
    </row>
    <row r="332">
      <c r="M332" s="52"/>
      <c r="N332" s="52"/>
      <c r="O332" s="52"/>
      <c r="P332" s="52"/>
      <c r="Q332" s="52"/>
      <c r="U332" s="52"/>
    </row>
    <row r="333">
      <c r="M333" s="52"/>
      <c r="N333" s="52"/>
      <c r="O333" s="52"/>
      <c r="P333" s="52"/>
      <c r="Q333" s="52"/>
      <c r="U333" s="52"/>
    </row>
    <row r="334">
      <c r="M334" s="52"/>
      <c r="N334" s="52"/>
      <c r="O334" s="52"/>
      <c r="P334" s="52"/>
      <c r="Q334" s="52"/>
      <c r="U334" s="52"/>
    </row>
    <row r="335">
      <c r="M335" s="52"/>
      <c r="N335" s="52"/>
      <c r="O335" s="52"/>
      <c r="P335" s="52"/>
      <c r="Q335" s="52"/>
      <c r="U335" s="52"/>
    </row>
    <row r="336">
      <c r="M336" s="52"/>
      <c r="N336" s="52"/>
      <c r="O336" s="52"/>
      <c r="P336" s="52"/>
      <c r="Q336" s="52"/>
      <c r="U336" s="52"/>
    </row>
    <row r="337">
      <c r="M337" s="52"/>
      <c r="N337" s="52"/>
      <c r="O337" s="52"/>
      <c r="P337" s="52"/>
      <c r="Q337" s="52"/>
      <c r="U337" s="52"/>
    </row>
    <row r="338">
      <c r="M338" s="52"/>
      <c r="N338" s="52"/>
      <c r="O338" s="52"/>
      <c r="P338" s="52"/>
      <c r="Q338" s="52"/>
      <c r="U338" s="52"/>
    </row>
    <row r="339">
      <c r="M339" s="52"/>
      <c r="N339" s="52"/>
      <c r="O339" s="52"/>
      <c r="P339" s="52"/>
      <c r="Q339" s="52"/>
      <c r="U339" s="52"/>
    </row>
    <row r="340">
      <c r="M340" s="52"/>
      <c r="N340" s="52"/>
      <c r="O340" s="52"/>
      <c r="P340" s="52"/>
      <c r="Q340" s="52"/>
      <c r="U340" s="52"/>
    </row>
    <row r="341">
      <c r="M341" s="52"/>
      <c r="N341" s="52"/>
      <c r="O341" s="52"/>
      <c r="P341" s="52"/>
      <c r="Q341" s="52"/>
      <c r="U341" s="52"/>
    </row>
    <row r="342">
      <c r="M342" s="52"/>
      <c r="N342" s="52"/>
      <c r="O342" s="52"/>
      <c r="P342" s="52"/>
      <c r="Q342" s="52"/>
      <c r="U342" s="52"/>
    </row>
    <row r="343">
      <c r="M343" s="52"/>
      <c r="N343" s="52"/>
      <c r="O343" s="52"/>
      <c r="P343" s="52"/>
      <c r="Q343" s="52"/>
      <c r="U343" s="52"/>
    </row>
    <row r="344">
      <c r="M344" s="52"/>
      <c r="N344" s="52"/>
      <c r="O344" s="52"/>
      <c r="P344" s="52"/>
      <c r="Q344" s="52"/>
      <c r="U344" s="52"/>
    </row>
    <row r="345">
      <c r="M345" s="52"/>
      <c r="N345" s="52"/>
      <c r="O345" s="52"/>
      <c r="P345" s="52"/>
      <c r="Q345" s="52"/>
      <c r="U345" s="52"/>
    </row>
    <row r="346">
      <c r="M346" s="52"/>
      <c r="N346" s="52"/>
      <c r="O346" s="52"/>
      <c r="P346" s="52"/>
      <c r="Q346" s="52"/>
      <c r="U346" s="52"/>
    </row>
    <row r="347">
      <c r="M347" s="52"/>
      <c r="N347" s="52"/>
      <c r="O347" s="52"/>
      <c r="P347" s="52"/>
      <c r="Q347" s="52"/>
      <c r="U347" s="52"/>
    </row>
    <row r="348">
      <c r="M348" s="52"/>
      <c r="N348" s="52"/>
      <c r="O348" s="52"/>
      <c r="P348" s="52"/>
      <c r="Q348" s="52"/>
      <c r="U348" s="52"/>
    </row>
    <row r="349">
      <c r="M349" s="52"/>
      <c r="N349" s="52"/>
      <c r="O349" s="52"/>
      <c r="P349" s="52"/>
      <c r="Q349" s="52"/>
      <c r="U349" s="52"/>
    </row>
    <row r="350">
      <c r="M350" s="52"/>
      <c r="N350" s="52"/>
      <c r="O350" s="52"/>
      <c r="P350" s="52"/>
      <c r="Q350" s="52"/>
      <c r="U350" s="52"/>
    </row>
    <row r="351">
      <c r="M351" s="52"/>
      <c r="N351" s="52"/>
      <c r="O351" s="52"/>
      <c r="P351" s="52"/>
      <c r="Q351" s="52"/>
      <c r="U351" s="52"/>
    </row>
    <row r="352">
      <c r="M352" s="52"/>
      <c r="N352" s="52"/>
      <c r="O352" s="52"/>
      <c r="P352" s="52"/>
      <c r="Q352" s="52"/>
      <c r="U352" s="52"/>
    </row>
    <row r="353">
      <c r="M353" s="52"/>
      <c r="N353" s="52"/>
      <c r="O353" s="52"/>
      <c r="P353" s="52"/>
      <c r="Q353" s="52"/>
      <c r="U353" s="52"/>
    </row>
    <row r="354">
      <c r="M354" s="52"/>
      <c r="N354" s="52"/>
      <c r="O354" s="52"/>
      <c r="P354" s="52"/>
      <c r="Q354" s="52"/>
      <c r="U354" s="52"/>
    </row>
    <row r="355">
      <c r="M355" s="52"/>
      <c r="N355" s="52"/>
      <c r="O355" s="52"/>
      <c r="P355" s="52"/>
      <c r="Q355" s="52"/>
      <c r="U355" s="52"/>
    </row>
    <row r="356">
      <c r="M356" s="52"/>
      <c r="N356" s="52"/>
      <c r="O356" s="52"/>
      <c r="P356" s="52"/>
      <c r="Q356" s="52"/>
      <c r="U356" s="52"/>
    </row>
    <row r="357">
      <c r="M357" s="52"/>
      <c r="N357" s="52"/>
      <c r="O357" s="52"/>
      <c r="P357" s="52"/>
      <c r="Q357" s="52"/>
      <c r="U357" s="52"/>
    </row>
    <row r="358">
      <c r="M358" s="52"/>
      <c r="N358" s="52"/>
      <c r="O358" s="52"/>
      <c r="P358" s="52"/>
      <c r="Q358" s="52"/>
      <c r="U358" s="52"/>
    </row>
    <row r="359">
      <c r="M359" s="52"/>
      <c r="N359" s="52"/>
      <c r="O359" s="52"/>
      <c r="P359" s="52"/>
      <c r="Q359" s="52"/>
      <c r="U359" s="52"/>
    </row>
    <row r="360">
      <c r="M360" s="52"/>
      <c r="N360" s="52"/>
      <c r="O360" s="52"/>
      <c r="P360" s="52"/>
      <c r="Q360" s="52"/>
      <c r="U360" s="52"/>
    </row>
    <row r="361">
      <c r="M361" s="52"/>
      <c r="N361" s="52"/>
      <c r="O361" s="52"/>
      <c r="P361" s="52"/>
      <c r="Q361" s="52"/>
      <c r="U361" s="52"/>
    </row>
    <row r="362">
      <c r="M362" s="52"/>
      <c r="N362" s="52"/>
      <c r="O362" s="52"/>
      <c r="P362" s="52"/>
      <c r="Q362" s="52"/>
      <c r="U362" s="52"/>
    </row>
    <row r="363">
      <c r="M363" s="52"/>
      <c r="N363" s="52"/>
      <c r="O363" s="52"/>
      <c r="P363" s="52"/>
      <c r="Q363" s="52"/>
      <c r="U363" s="52"/>
    </row>
    <row r="364">
      <c r="M364" s="52"/>
      <c r="N364" s="52"/>
      <c r="O364" s="52"/>
      <c r="P364" s="52"/>
      <c r="Q364" s="52"/>
      <c r="U364" s="52"/>
    </row>
    <row r="365">
      <c r="M365" s="52"/>
      <c r="N365" s="52"/>
      <c r="O365" s="52"/>
      <c r="P365" s="52"/>
      <c r="Q365" s="52"/>
      <c r="U365" s="52"/>
    </row>
    <row r="366">
      <c r="M366" s="52"/>
      <c r="N366" s="52"/>
      <c r="O366" s="52"/>
      <c r="P366" s="52"/>
      <c r="Q366" s="52"/>
      <c r="U366" s="52"/>
    </row>
    <row r="367">
      <c r="M367" s="52"/>
      <c r="N367" s="52"/>
      <c r="O367" s="52"/>
      <c r="P367" s="52"/>
      <c r="Q367" s="52"/>
      <c r="U367" s="52"/>
    </row>
    <row r="368">
      <c r="M368" s="52"/>
      <c r="N368" s="52"/>
      <c r="O368" s="52"/>
      <c r="P368" s="52"/>
      <c r="Q368" s="52"/>
      <c r="U368" s="52"/>
    </row>
    <row r="369">
      <c r="M369" s="52"/>
      <c r="N369" s="52"/>
      <c r="O369" s="52"/>
      <c r="P369" s="52"/>
      <c r="Q369" s="52"/>
      <c r="U369" s="52"/>
    </row>
    <row r="370">
      <c r="M370" s="52"/>
      <c r="N370" s="52"/>
      <c r="O370" s="52"/>
      <c r="P370" s="52"/>
      <c r="Q370" s="52"/>
      <c r="U370" s="52"/>
    </row>
    <row r="371">
      <c r="M371" s="52"/>
      <c r="N371" s="52"/>
      <c r="O371" s="52"/>
      <c r="P371" s="52"/>
      <c r="Q371" s="52"/>
      <c r="U371" s="52"/>
    </row>
    <row r="372">
      <c r="M372" s="52"/>
      <c r="N372" s="52"/>
      <c r="O372" s="52"/>
      <c r="P372" s="52"/>
      <c r="Q372" s="52"/>
      <c r="U372" s="52"/>
    </row>
    <row r="373">
      <c r="M373" s="52"/>
      <c r="N373" s="52"/>
      <c r="O373" s="52"/>
      <c r="P373" s="52"/>
      <c r="Q373" s="52"/>
      <c r="U373" s="52"/>
    </row>
    <row r="374">
      <c r="M374" s="52"/>
      <c r="N374" s="52"/>
      <c r="O374" s="52"/>
      <c r="P374" s="52"/>
      <c r="Q374" s="52"/>
      <c r="U374" s="52"/>
    </row>
    <row r="375">
      <c r="M375" s="52"/>
      <c r="N375" s="52"/>
      <c r="O375" s="52"/>
      <c r="P375" s="52"/>
      <c r="Q375" s="52"/>
      <c r="U375" s="52"/>
    </row>
    <row r="376">
      <c r="M376" s="52"/>
      <c r="N376" s="52"/>
      <c r="O376" s="52"/>
      <c r="P376" s="52"/>
      <c r="Q376" s="52"/>
      <c r="U376" s="52"/>
    </row>
    <row r="377">
      <c r="M377" s="52"/>
      <c r="N377" s="52"/>
      <c r="O377" s="52"/>
      <c r="P377" s="52"/>
      <c r="Q377" s="52"/>
      <c r="U377" s="52"/>
    </row>
    <row r="378">
      <c r="M378" s="52"/>
      <c r="N378" s="52"/>
      <c r="O378" s="52"/>
      <c r="P378" s="52"/>
      <c r="Q378" s="52"/>
      <c r="U378" s="52"/>
    </row>
    <row r="379">
      <c r="M379" s="52"/>
      <c r="N379" s="52"/>
      <c r="O379" s="52"/>
      <c r="P379" s="52"/>
      <c r="Q379" s="52"/>
      <c r="U379" s="52"/>
    </row>
    <row r="380">
      <c r="M380" s="52"/>
      <c r="N380" s="52"/>
      <c r="O380" s="52"/>
      <c r="P380" s="52"/>
      <c r="Q380" s="52"/>
      <c r="U380" s="52"/>
    </row>
    <row r="381">
      <c r="M381" s="52"/>
      <c r="N381" s="52"/>
      <c r="O381" s="52"/>
      <c r="P381" s="52"/>
      <c r="Q381" s="52"/>
      <c r="U381" s="52"/>
    </row>
    <row r="382">
      <c r="M382" s="52"/>
      <c r="N382" s="52"/>
      <c r="O382" s="52"/>
      <c r="P382" s="52"/>
      <c r="Q382" s="52"/>
      <c r="U382" s="52"/>
    </row>
    <row r="383">
      <c r="M383" s="52"/>
      <c r="N383" s="52"/>
      <c r="O383" s="52"/>
      <c r="P383" s="52"/>
      <c r="Q383" s="52"/>
      <c r="U383" s="52"/>
    </row>
    <row r="384">
      <c r="M384" s="52"/>
      <c r="N384" s="52"/>
      <c r="O384" s="52"/>
      <c r="P384" s="52"/>
      <c r="Q384" s="52"/>
      <c r="U384" s="52"/>
    </row>
    <row r="385">
      <c r="M385" s="52"/>
      <c r="N385" s="52"/>
      <c r="O385" s="52"/>
      <c r="P385" s="52"/>
      <c r="Q385" s="52"/>
      <c r="U385" s="52"/>
    </row>
    <row r="386">
      <c r="M386" s="52"/>
      <c r="N386" s="52"/>
      <c r="O386" s="52"/>
      <c r="P386" s="52"/>
      <c r="Q386" s="52"/>
      <c r="U386" s="52"/>
    </row>
    <row r="387">
      <c r="M387" s="52"/>
      <c r="N387" s="52"/>
      <c r="O387" s="52"/>
      <c r="P387" s="52"/>
      <c r="Q387" s="52"/>
      <c r="U387" s="52"/>
    </row>
    <row r="388">
      <c r="M388" s="52"/>
      <c r="N388" s="52"/>
      <c r="O388" s="52"/>
      <c r="P388" s="52"/>
      <c r="Q388" s="52"/>
      <c r="U388" s="52"/>
    </row>
    <row r="389">
      <c r="M389" s="52"/>
      <c r="N389" s="52"/>
      <c r="O389" s="52"/>
      <c r="P389" s="52"/>
      <c r="Q389" s="52"/>
      <c r="U389" s="52"/>
    </row>
    <row r="390">
      <c r="M390" s="52"/>
      <c r="N390" s="52"/>
      <c r="O390" s="52"/>
      <c r="P390" s="52"/>
      <c r="Q390" s="52"/>
      <c r="U390" s="52"/>
    </row>
    <row r="391">
      <c r="M391" s="52"/>
      <c r="N391" s="52"/>
      <c r="O391" s="52"/>
      <c r="P391" s="52"/>
      <c r="Q391" s="52"/>
      <c r="U391" s="52"/>
    </row>
    <row r="392">
      <c r="M392" s="52"/>
      <c r="N392" s="52"/>
      <c r="O392" s="52"/>
      <c r="P392" s="52"/>
      <c r="Q392" s="52"/>
      <c r="U392" s="52"/>
    </row>
    <row r="393">
      <c r="M393" s="52"/>
      <c r="N393" s="52"/>
      <c r="O393" s="52"/>
      <c r="P393" s="52"/>
      <c r="Q393" s="52"/>
      <c r="U393" s="52"/>
    </row>
    <row r="394">
      <c r="M394" s="52"/>
      <c r="N394" s="52"/>
      <c r="O394" s="52"/>
      <c r="P394" s="52"/>
      <c r="Q394" s="52"/>
      <c r="U394" s="52"/>
    </row>
    <row r="395">
      <c r="M395" s="52"/>
      <c r="N395" s="52"/>
      <c r="O395" s="52"/>
      <c r="P395" s="52"/>
      <c r="Q395" s="52"/>
      <c r="U395" s="52"/>
    </row>
    <row r="396">
      <c r="M396" s="52"/>
      <c r="N396" s="52"/>
      <c r="O396" s="52"/>
      <c r="P396" s="52"/>
      <c r="Q396" s="52"/>
      <c r="U396" s="52"/>
    </row>
    <row r="397">
      <c r="M397" s="52"/>
      <c r="N397" s="52"/>
      <c r="O397" s="52"/>
      <c r="P397" s="52"/>
      <c r="Q397" s="52"/>
      <c r="U397" s="52"/>
    </row>
    <row r="398">
      <c r="M398" s="52"/>
      <c r="N398" s="52"/>
      <c r="O398" s="52"/>
      <c r="P398" s="52"/>
      <c r="Q398" s="52"/>
      <c r="U398" s="52"/>
    </row>
    <row r="399">
      <c r="M399" s="52"/>
      <c r="N399" s="52"/>
      <c r="O399" s="52"/>
      <c r="P399" s="52"/>
      <c r="Q399" s="52"/>
      <c r="U399" s="52"/>
    </row>
    <row r="400">
      <c r="M400" s="52"/>
      <c r="N400" s="52"/>
      <c r="O400" s="52"/>
      <c r="P400" s="52"/>
      <c r="Q400" s="52"/>
      <c r="U400" s="52"/>
    </row>
    <row r="401">
      <c r="M401" s="52"/>
      <c r="N401" s="52"/>
      <c r="O401" s="52"/>
      <c r="P401" s="52"/>
      <c r="Q401" s="52"/>
      <c r="U401" s="52"/>
    </row>
    <row r="402">
      <c r="M402" s="52"/>
      <c r="N402" s="52"/>
      <c r="O402" s="52"/>
      <c r="P402" s="52"/>
      <c r="Q402" s="52"/>
      <c r="U402" s="52"/>
    </row>
    <row r="403">
      <c r="M403" s="52"/>
      <c r="N403" s="52"/>
      <c r="O403" s="52"/>
      <c r="P403" s="52"/>
      <c r="Q403" s="52"/>
      <c r="U403" s="52"/>
    </row>
    <row r="404">
      <c r="M404" s="52"/>
      <c r="N404" s="52"/>
      <c r="O404" s="52"/>
      <c r="P404" s="52"/>
      <c r="Q404" s="52"/>
      <c r="U404" s="52"/>
    </row>
    <row r="405">
      <c r="M405" s="52"/>
      <c r="N405" s="52"/>
      <c r="O405" s="52"/>
      <c r="P405" s="52"/>
      <c r="Q405" s="52"/>
      <c r="U405" s="52"/>
    </row>
    <row r="406">
      <c r="M406" s="52"/>
      <c r="N406" s="52"/>
      <c r="O406" s="52"/>
      <c r="P406" s="52"/>
      <c r="Q406" s="52"/>
      <c r="U406" s="52"/>
    </row>
    <row r="407">
      <c r="M407" s="52"/>
      <c r="N407" s="52"/>
      <c r="O407" s="52"/>
      <c r="P407" s="52"/>
      <c r="Q407" s="52"/>
      <c r="U407" s="52"/>
    </row>
    <row r="408">
      <c r="M408" s="52"/>
      <c r="N408" s="52"/>
      <c r="O408" s="52"/>
      <c r="P408" s="52"/>
      <c r="Q408" s="52"/>
      <c r="U408" s="52"/>
    </row>
    <row r="409">
      <c r="M409" s="52"/>
      <c r="N409" s="52"/>
      <c r="O409" s="52"/>
      <c r="P409" s="52"/>
      <c r="Q409" s="52"/>
      <c r="U409" s="52"/>
    </row>
    <row r="410">
      <c r="M410" s="52"/>
      <c r="N410" s="52"/>
      <c r="O410" s="52"/>
      <c r="P410" s="52"/>
      <c r="Q410" s="52"/>
      <c r="U410" s="52"/>
    </row>
    <row r="411">
      <c r="M411" s="52"/>
      <c r="N411" s="52"/>
      <c r="O411" s="52"/>
      <c r="P411" s="52"/>
      <c r="Q411" s="52"/>
      <c r="U411" s="52"/>
    </row>
    <row r="412">
      <c r="M412" s="52"/>
      <c r="N412" s="52"/>
      <c r="O412" s="52"/>
      <c r="P412" s="52"/>
      <c r="Q412" s="52"/>
      <c r="U412" s="52"/>
    </row>
    <row r="413">
      <c r="M413" s="52"/>
      <c r="N413" s="52"/>
      <c r="O413" s="52"/>
      <c r="P413" s="52"/>
      <c r="Q413" s="52"/>
      <c r="U413" s="52"/>
    </row>
    <row r="414">
      <c r="M414" s="52"/>
      <c r="N414" s="52"/>
      <c r="O414" s="52"/>
      <c r="P414" s="52"/>
      <c r="Q414" s="52"/>
      <c r="U414" s="52"/>
    </row>
    <row r="415">
      <c r="M415" s="52"/>
      <c r="N415" s="52"/>
      <c r="O415" s="52"/>
      <c r="P415" s="52"/>
      <c r="Q415" s="52"/>
      <c r="U415" s="52"/>
    </row>
    <row r="416">
      <c r="M416" s="52"/>
      <c r="N416" s="52"/>
      <c r="O416" s="52"/>
      <c r="P416" s="52"/>
      <c r="Q416" s="52"/>
      <c r="U416" s="52"/>
    </row>
    <row r="417">
      <c r="M417" s="52"/>
      <c r="N417" s="52"/>
      <c r="O417" s="52"/>
      <c r="P417" s="52"/>
      <c r="Q417" s="52"/>
      <c r="U417" s="52"/>
    </row>
    <row r="418">
      <c r="M418" s="52"/>
      <c r="N418" s="52"/>
      <c r="O418" s="52"/>
      <c r="P418" s="52"/>
      <c r="Q418" s="52"/>
      <c r="U418" s="52"/>
    </row>
    <row r="419">
      <c r="M419" s="52"/>
      <c r="N419" s="52"/>
      <c r="O419" s="52"/>
      <c r="P419" s="52"/>
      <c r="Q419" s="52"/>
      <c r="U419" s="52"/>
    </row>
    <row r="420">
      <c r="M420" s="52"/>
      <c r="N420" s="52"/>
      <c r="O420" s="52"/>
      <c r="P420" s="52"/>
      <c r="Q420" s="52"/>
      <c r="U420" s="52"/>
    </row>
    <row r="421">
      <c r="M421" s="52"/>
      <c r="N421" s="52"/>
      <c r="O421" s="52"/>
      <c r="P421" s="52"/>
      <c r="Q421" s="52"/>
      <c r="U421" s="52"/>
    </row>
    <row r="422">
      <c r="M422" s="52"/>
      <c r="N422" s="52"/>
      <c r="O422" s="52"/>
      <c r="P422" s="52"/>
      <c r="Q422" s="52"/>
      <c r="U422" s="52"/>
    </row>
    <row r="423">
      <c r="M423" s="52"/>
      <c r="N423" s="52"/>
      <c r="O423" s="52"/>
      <c r="P423" s="52"/>
      <c r="Q423" s="52"/>
      <c r="U423" s="52"/>
    </row>
    <row r="424">
      <c r="M424" s="52"/>
      <c r="N424" s="52"/>
      <c r="O424" s="52"/>
      <c r="P424" s="52"/>
      <c r="Q424" s="52"/>
      <c r="U424" s="52"/>
    </row>
    <row r="425">
      <c r="M425" s="52"/>
      <c r="N425" s="52"/>
      <c r="O425" s="52"/>
      <c r="P425" s="52"/>
      <c r="Q425" s="52"/>
      <c r="U425" s="52"/>
    </row>
    <row r="426">
      <c r="M426" s="52"/>
      <c r="N426" s="52"/>
      <c r="O426" s="52"/>
      <c r="P426" s="52"/>
      <c r="Q426" s="52"/>
      <c r="U426" s="52"/>
    </row>
    <row r="427">
      <c r="M427" s="52"/>
      <c r="N427" s="52"/>
      <c r="O427" s="52"/>
      <c r="P427" s="52"/>
      <c r="Q427" s="52"/>
      <c r="U427" s="52"/>
    </row>
    <row r="428">
      <c r="M428" s="52"/>
      <c r="N428" s="52"/>
      <c r="O428" s="52"/>
      <c r="P428" s="52"/>
      <c r="Q428" s="52"/>
      <c r="U428" s="52"/>
    </row>
    <row r="429">
      <c r="M429" s="52"/>
      <c r="N429" s="52"/>
      <c r="O429" s="52"/>
      <c r="P429" s="52"/>
      <c r="Q429" s="52"/>
      <c r="U429" s="52"/>
    </row>
    <row r="430">
      <c r="M430" s="52"/>
      <c r="N430" s="52"/>
      <c r="O430" s="52"/>
      <c r="P430" s="52"/>
      <c r="Q430" s="52"/>
      <c r="U430" s="52"/>
    </row>
    <row r="431">
      <c r="M431" s="52"/>
      <c r="N431" s="52"/>
      <c r="O431" s="52"/>
      <c r="P431" s="52"/>
      <c r="Q431" s="52"/>
      <c r="U431" s="52"/>
    </row>
    <row r="432">
      <c r="M432" s="52"/>
      <c r="N432" s="52"/>
      <c r="O432" s="52"/>
      <c r="P432" s="52"/>
      <c r="Q432" s="52"/>
      <c r="U432" s="52"/>
    </row>
    <row r="433">
      <c r="M433" s="52"/>
      <c r="N433" s="52"/>
      <c r="O433" s="52"/>
      <c r="P433" s="52"/>
      <c r="Q433" s="52"/>
      <c r="U433" s="52"/>
    </row>
    <row r="434">
      <c r="M434" s="52"/>
      <c r="N434" s="52"/>
      <c r="O434" s="52"/>
      <c r="P434" s="52"/>
      <c r="Q434" s="52"/>
      <c r="U434" s="52"/>
    </row>
    <row r="435">
      <c r="M435" s="52"/>
      <c r="N435" s="52"/>
      <c r="O435" s="52"/>
      <c r="P435" s="52"/>
      <c r="Q435" s="52"/>
      <c r="U435" s="52"/>
    </row>
    <row r="436">
      <c r="M436" s="52"/>
      <c r="N436" s="52"/>
      <c r="O436" s="52"/>
      <c r="P436" s="52"/>
      <c r="Q436" s="52"/>
      <c r="U436" s="52"/>
    </row>
    <row r="437">
      <c r="M437" s="52"/>
      <c r="N437" s="52"/>
      <c r="O437" s="52"/>
      <c r="P437" s="52"/>
      <c r="Q437" s="52"/>
      <c r="U437" s="52"/>
    </row>
    <row r="438">
      <c r="M438" s="52"/>
      <c r="N438" s="52"/>
      <c r="O438" s="52"/>
      <c r="P438" s="52"/>
      <c r="Q438" s="52"/>
      <c r="U438" s="52"/>
    </row>
    <row r="439">
      <c r="M439" s="52"/>
      <c r="N439" s="52"/>
      <c r="O439" s="52"/>
      <c r="P439" s="52"/>
      <c r="Q439" s="52"/>
      <c r="U439" s="52"/>
    </row>
    <row r="440">
      <c r="M440" s="52"/>
      <c r="N440" s="52"/>
      <c r="O440" s="52"/>
      <c r="P440" s="52"/>
      <c r="Q440" s="52"/>
      <c r="U440" s="52"/>
    </row>
    <row r="441">
      <c r="M441" s="52"/>
      <c r="N441" s="52"/>
      <c r="O441" s="52"/>
      <c r="P441" s="52"/>
      <c r="Q441" s="52"/>
      <c r="U441" s="52"/>
    </row>
    <row r="442">
      <c r="M442" s="52"/>
      <c r="N442" s="52"/>
      <c r="O442" s="52"/>
      <c r="P442" s="52"/>
      <c r="Q442" s="52"/>
      <c r="U442" s="52"/>
    </row>
    <row r="443">
      <c r="M443" s="52"/>
      <c r="N443" s="52"/>
      <c r="O443" s="52"/>
      <c r="P443" s="52"/>
      <c r="Q443" s="52"/>
      <c r="U443" s="52"/>
    </row>
    <row r="444">
      <c r="M444" s="52"/>
      <c r="N444" s="52"/>
      <c r="O444" s="52"/>
      <c r="P444" s="52"/>
      <c r="Q444" s="52"/>
      <c r="U444" s="52"/>
    </row>
    <row r="445">
      <c r="M445" s="52"/>
      <c r="N445" s="52"/>
      <c r="O445" s="52"/>
      <c r="P445" s="52"/>
      <c r="Q445" s="52"/>
      <c r="U445" s="52"/>
    </row>
    <row r="446">
      <c r="M446" s="52"/>
      <c r="N446" s="52"/>
      <c r="O446" s="52"/>
      <c r="P446" s="52"/>
      <c r="Q446" s="52"/>
      <c r="U446" s="52"/>
    </row>
    <row r="447">
      <c r="M447" s="52"/>
      <c r="N447" s="52"/>
      <c r="O447" s="52"/>
      <c r="P447" s="52"/>
      <c r="Q447" s="52"/>
      <c r="U447" s="52"/>
    </row>
    <row r="448">
      <c r="M448" s="52"/>
      <c r="N448" s="52"/>
      <c r="O448" s="52"/>
      <c r="P448" s="52"/>
      <c r="Q448" s="52"/>
      <c r="U448" s="52"/>
    </row>
    <row r="449">
      <c r="M449" s="52"/>
      <c r="N449" s="52"/>
      <c r="O449" s="52"/>
      <c r="P449" s="52"/>
      <c r="Q449" s="52"/>
      <c r="U449" s="52"/>
    </row>
    <row r="450">
      <c r="M450" s="52"/>
      <c r="N450" s="52"/>
      <c r="O450" s="52"/>
      <c r="P450" s="52"/>
      <c r="Q450" s="52"/>
      <c r="U450" s="52"/>
    </row>
    <row r="451">
      <c r="M451" s="52"/>
      <c r="N451" s="52"/>
      <c r="O451" s="52"/>
      <c r="P451" s="52"/>
      <c r="Q451" s="52"/>
      <c r="U451" s="52"/>
    </row>
    <row r="452">
      <c r="M452" s="52"/>
      <c r="N452" s="52"/>
      <c r="O452" s="52"/>
      <c r="P452" s="52"/>
      <c r="Q452" s="52"/>
      <c r="U452" s="52"/>
    </row>
    <row r="453">
      <c r="M453" s="52"/>
      <c r="N453" s="52"/>
      <c r="O453" s="52"/>
      <c r="P453" s="52"/>
      <c r="Q453" s="52"/>
      <c r="U453" s="52"/>
    </row>
    <row r="454">
      <c r="M454" s="52"/>
      <c r="N454" s="52"/>
      <c r="O454" s="52"/>
      <c r="P454" s="52"/>
      <c r="Q454" s="52"/>
      <c r="U454" s="52"/>
    </row>
    <row r="455">
      <c r="M455" s="52"/>
      <c r="N455" s="52"/>
      <c r="O455" s="52"/>
      <c r="P455" s="52"/>
      <c r="Q455" s="52"/>
      <c r="U455" s="52"/>
    </row>
    <row r="456">
      <c r="M456" s="52"/>
      <c r="N456" s="52"/>
      <c r="O456" s="52"/>
      <c r="P456" s="52"/>
      <c r="Q456" s="52"/>
      <c r="U456" s="52"/>
    </row>
    <row r="457">
      <c r="M457" s="52"/>
      <c r="N457" s="52"/>
      <c r="O457" s="52"/>
      <c r="P457" s="52"/>
      <c r="Q457" s="52"/>
      <c r="U457" s="52"/>
    </row>
    <row r="458">
      <c r="M458" s="52"/>
      <c r="N458" s="52"/>
      <c r="O458" s="52"/>
      <c r="P458" s="52"/>
      <c r="Q458" s="52"/>
      <c r="U458" s="52"/>
    </row>
    <row r="459">
      <c r="M459" s="52"/>
      <c r="N459" s="52"/>
      <c r="O459" s="52"/>
      <c r="P459" s="52"/>
      <c r="Q459" s="52"/>
      <c r="U459" s="52"/>
    </row>
    <row r="460">
      <c r="M460" s="52"/>
      <c r="N460" s="52"/>
      <c r="O460" s="52"/>
      <c r="P460" s="52"/>
      <c r="Q460" s="52"/>
      <c r="U460" s="52"/>
    </row>
    <row r="461">
      <c r="M461" s="52"/>
      <c r="N461" s="52"/>
      <c r="O461" s="52"/>
      <c r="P461" s="52"/>
      <c r="Q461" s="52"/>
      <c r="U461" s="52"/>
    </row>
    <row r="462">
      <c r="M462" s="52"/>
      <c r="N462" s="52"/>
      <c r="O462" s="52"/>
      <c r="P462" s="52"/>
      <c r="Q462" s="52"/>
      <c r="U462" s="52"/>
    </row>
    <row r="463">
      <c r="M463" s="52"/>
      <c r="N463" s="52"/>
      <c r="O463" s="52"/>
      <c r="P463" s="52"/>
      <c r="Q463" s="52"/>
      <c r="U463" s="52"/>
    </row>
    <row r="464">
      <c r="M464" s="52"/>
      <c r="N464" s="52"/>
      <c r="O464" s="52"/>
      <c r="P464" s="52"/>
      <c r="Q464" s="52"/>
      <c r="U464" s="52"/>
    </row>
    <row r="465">
      <c r="M465" s="52"/>
      <c r="N465" s="52"/>
      <c r="O465" s="52"/>
      <c r="P465" s="52"/>
      <c r="Q465" s="52"/>
      <c r="U465" s="52"/>
    </row>
    <row r="466">
      <c r="M466" s="52"/>
      <c r="N466" s="52"/>
      <c r="O466" s="52"/>
      <c r="P466" s="52"/>
      <c r="Q466" s="52"/>
      <c r="U466" s="52"/>
    </row>
    <row r="467">
      <c r="M467" s="52"/>
      <c r="N467" s="52"/>
      <c r="O467" s="52"/>
      <c r="P467" s="52"/>
      <c r="Q467" s="52"/>
      <c r="U467" s="52"/>
    </row>
    <row r="468">
      <c r="M468" s="52"/>
      <c r="N468" s="52"/>
      <c r="O468" s="52"/>
      <c r="P468" s="52"/>
      <c r="Q468" s="52"/>
      <c r="U468" s="52"/>
    </row>
    <row r="469">
      <c r="M469" s="52"/>
      <c r="N469" s="52"/>
      <c r="O469" s="52"/>
      <c r="P469" s="52"/>
      <c r="Q469" s="52"/>
      <c r="U469" s="52"/>
    </row>
    <row r="470">
      <c r="M470" s="52"/>
      <c r="N470" s="52"/>
      <c r="O470" s="52"/>
      <c r="P470" s="52"/>
      <c r="Q470" s="52"/>
      <c r="U470" s="52"/>
    </row>
    <row r="471">
      <c r="M471" s="52"/>
      <c r="N471" s="52"/>
      <c r="O471" s="52"/>
      <c r="P471" s="52"/>
      <c r="Q471" s="52"/>
      <c r="U471" s="52"/>
    </row>
    <row r="472">
      <c r="M472" s="52"/>
      <c r="N472" s="52"/>
      <c r="O472" s="52"/>
      <c r="P472" s="52"/>
      <c r="Q472" s="52"/>
      <c r="U472" s="52"/>
    </row>
    <row r="473">
      <c r="M473" s="52"/>
      <c r="N473" s="52"/>
      <c r="O473" s="52"/>
      <c r="P473" s="52"/>
      <c r="Q473" s="52"/>
      <c r="U473" s="52"/>
    </row>
    <row r="474">
      <c r="M474" s="52"/>
      <c r="N474" s="52"/>
      <c r="O474" s="52"/>
      <c r="P474" s="52"/>
      <c r="Q474" s="52"/>
      <c r="U474" s="52"/>
    </row>
    <row r="475">
      <c r="M475" s="52"/>
      <c r="N475" s="52"/>
      <c r="O475" s="52"/>
      <c r="P475" s="52"/>
      <c r="Q475" s="52"/>
      <c r="U475" s="52"/>
    </row>
    <row r="476">
      <c r="M476" s="52"/>
      <c r="N476" s="52"/>
      <c r="O476" s="52"/>
      <c r="P476" s="52"/>
      <c r="Q476" s="52"/>
      <c r="U476" s="52"/>
    </row>
    <row r="477">
      <c r="M477" s="52"/>
      <c r="N477" s="52"/>
      <c r="O477" s="52"/>
      <c r="P477" s="52"/>
      <c r="Q477" s="52"/>
      <c r="U477" s="52"/>
    </row>
    <row r="478">
      <c r="M478" s="52"/>
      <c r="N478" s="52"/>
      <c r="O478" s="52"/>
      <c r="P478" s="52"/>
      <c r="Q478" s="52"/>
      <c r="U478" s="52"/>
    </row>
    <row r="479">
      <c r="M479" s="52"/>
      <c r="N479" s="52"/>
      <c r="O479" s="52"/>
      <c r="P479" s="52"/>
      <c r="Q479" s="52"/>
      <c r="U479" s="52"/>
    </row>
    <row r="480">
      <c r="M480" s="52"/>
      <c r="N480" s="52"/>
      <c r="O480" s="52"/>
      <c r="P480" s="52"/>
      <c r="Q480" s="52"/>
      <c r="U480" s="52"/>
    </row>
    <row r="481">
      <c r="M481" s="52"/>
      <c r="N481" s="52"/>
      <c r="O481" s="52"/>
      <c r="P481" s="52"/>
      <c r="Q481" s="52"/>
      <c r="U481" s="52"/>
    </row>
    <row r="482">
      <c r="M482" s="52"/>
      <c r="N482" s="52"/>
      <c r="O482" s="52"/>
      <c r="P482" s="52"/>
      <c r="Q482" s="52"/>
      <c r="U482" s="52"/>
    </row>
    <row r="483">
      <c r="M483" s="52"/>
      <c r="N483" s="52"/>
      <c r="O483" s="52"/>
      <c r="P483" s="52"/>
      <c r="Q483" s="52"/>
      <c r="U483" s="52"/>
    </row>
    <row r="484">
      <c r="M484" s="52"/>
      <c r="N484" s="52"/>
      <c r="O484" s="52"/>
      <c r="P484" s="52"/>
      <c r="Q484" s="52"/>
      <c r="U484" s="52"/>
    </row>
    <row r="485">
      <c r="M485" s="52"/>
      <c r="N485" s="52"/>
      <c r="O485" s="52"/>
      <c r="P485" s="52"/>
      <c r="Q485" s="52"/>
      <c r="U485" s="52"/>
    </row>
    <row r="486">
      <c r="M486" s="52"/>
      <c r="N486" s="52"/>
      <c r="O486" s="52"/>
      <c r="P486" s="52"/>
      <c r="Q486" s="52"/>
      <c r="U486" s="52"/>
    </row>
    <row r="487">
      <c r="M487" s="52"/>
      <c r="N487" s="52"/>
      <c r="O487" s="52"/>
      <c r="P487" s="52"/>
      <c r="Q487" s="52"/>
      <c r="U487" s="52"/>
    </row>
    <row r="488">
      <c r="M488" s="52"/>
      <c r="N488" s="52"/>
      <c r="O488" s="52"/>
      <c r="P488" s="52"/>
      <c r="Q488" s="52"/>
      <c r="U488" s="52"/>
    </row>
    <row r="489">
      <c r="M489" s="52"/>
      <c r="N489" s="52"/>
      <c r="O489" s="52"/>
      <c r="P489" s="52"/>
      <c r="Q489" s="52"/>
      <c r="U489" s="52"/>
    </row>
    <row r="490">
      <c r="M490" s="52"/>
      <c r="N490" s="52"/>
      <c r="O490" s="52"/>
      <c r="P490" s="52"/>
      <c r="Q490" s="52"/>
      <c r="U490" s="52"/>
    </row>
    <row r="491">
      <c r="M491" s="52"/>
      <c r="N491" s="52"/>
      <c r="O491" s="52"/>
      <c r="P491" s="52"/>
      <c r="Q491" s="52"/>
      <c r="U491" s="52"/>
    </row>
    <row r="492">
      <c r="M492" s="52"/>
      <c r="N492" s="52"/>
      <c r="O492" s="52"/>
      <c r="P492" s="52"/>
      <c r="Q492" s="52"/>
      <c r="U492" s="52"/>
    </row>
    <row r="493">
      <c r="M493" s="52"/>
      <c r="N493" s="52"/>
      <c r="O493" s="52"/>
      <c r="P493" s="52"/>
      <c r="Q493" s="52"/>
      <c r="U493" s="52"/>
    </row>
    <row r="494">
      <c r="M494" s="52"/>
      <c r="N494" s="52"/>
      <c r="O494" s="52"/>
      <c r="P494" s="52"/>
      <c r="Q494" s="52"/>
      <c r="U494" s="52"/>
    </row>
    <row r="495">
      <c r="M495" s="52"/>
      <c r="N495" s="52"/>
      <c r="O495" s="52"/>
      <c r="P495" s="52"/>
      <c r="Q495" s="52"/>
      <c r="U495" s="52"/>
    </row>
    <row r="496">
      <c r="M496" s="52"/>
      <c r="N496" s="52"/>
      <c r="O496" s="52"/>
      <c r="P496" s="52"/>
      <c r="Q496" s="52"/>
      <c r="U496" s="52"/>
    </row>
    <row r="497">
      <c r="M497" s="52"/>
      <c r="N497" s="52"/>
      <c r="O497" s="52"/>
      <c r="P497" s="52"/>
      <c r="Q497" s="52"/>
      <c r="U497" s="52"/>
    </row>
    <row r="498">
      <c r="M498" s="52"/>
      <c r="N498" s="52"/>
      <c r="O498" s="52"/>
      <c r="P498" s="52"/>
      <c r="Q498" s="52"/>
      <c r="U498" s="52"/>
    </row>
    <row r="499">
      <c r="M499" s="52"/>
      <c r="N499" s="52"/>
      <c r="O499" s="52"/>
      <c r="P499" s="52"/>
      <c r="Q499" s="52"/>
      <c r="U499" s="52"/>
    </row>
    <row r="500">
      <c r="M500" s="52"/>
      <c r="N500" s="52"/>
      <c r="O500" s="52"/>
      <c r="P500" s="52"/>
      <c r="Q500" s="52"/>
      <c r="U500" s="52"/>
    </row>
    <row r="501">
      <c r="M501" s="52"/>
      <c r="N501" s="52"/>
      <c r="O501" s="52"/>
      <c r="P501" s="52"/>
      <c r="Q501" s="52"/>
      <c r="U501" s="52"/>
    </row>
    <row r="502">
      <c r="M502" s="52"/>
      <c r="N502" s="52"/>
      <c r="O502" s="52"/>
      <c r="P502" s="52"/>
      <c r="Q502" s="52"/>
      <c r="U502" s="52"/>
    </row>
    <row r="503">
      <c r="M503" s="52"/>
      <c r="N503" s="52"/>
      <c r="O503" s="52"/>
      <c r="P503" s="52"/>
      <c r="Q503" s="52"/>
      <c r="U503" s="52"/>
    </row>
    <row r="504">
      <c r="M504" s="52"/>
      <c r="N504" s="52"/>
      <c r="O504" s="52"/>
      <c r="P504" s="52"/>
      <c r="Q504" s="52"/>
      <c r="U504" s="52"/>
    </row>
    <row r="505">
      <c r="M505" s="52"/>
      <c r="N505" s="52"/>
      <c r="O505" s="52"/>
      <c r="P505" s="52"/>
      <c r="Q505" s="52"/>
      <c r="U505" s="52"/>
    </row>
    <row r="506">
      <c r="M506" s="52"/>
      <c r="N506" s="52"/>
      <c r="O506" s="52"/>
      <c r="P506" s="52"/>
      <c r="Q506" s="52"/>
      <c r="U506" s="52"/>
    </row>
    <row r="507">
      <c r="M507" s="52"/>
      <c r="N507" s="52"/>
      <c r="O507" s="52"/>
      <c r="P507" s="52"/>
      <c r="Q507" s="52"/>
      <c r="U507" s="52"/>
    </row>
    <row r="508">
      <c r="M508" s="52"/>
      <c r="N508" s="52"/>
      <c r="O508" s="52"/>
      <c r="P508" s="52"/>
      <c r="Q508" s="52"/>
      <c r="U508" s="52"/>
    </row>
    <row r="509">
      <c r="M509" s="52"/>
      <c r="N509" s="52"/>
      <c r="O509" s="52"/>
      <c r="P509" s="52"/>
      <c r="Q509" s="52"/>
      <c r="U509" s="52"/>
    </row>
    <row r="510">
      <c r="M510" s="52"/>
      <c r="N510" s="52"/>
      <c r="O510" s="52"/>
      <c r="P510" s="52"/>
      <c r="Q510" s="52"/>
      <c r="U510" s="52"/>
    </row>
    <row r="511">
      <c r="M511" s="52"/>
      <c r="N511" s="52"/>
      <c r="O511" s="52"/>
      <c r="P511" s="52"/>
      <c r="Q511" s="52"/>
      <c r="U511" s="52"/>
    </row>
    <row r="512">
      <c r="M512" s="52"/>
      <c r="N512" s="52"/>
      <c r="O512" s="52"/>
      <c r="P512" s="52"/>
      <c r="Q512" s="52"/>
      <c r="U512" s="52"/>
    </row>
    <row r="513">
      <c r="M513" s="52"/>
      <c r="N513" s="52"/>
      <c r="O513" s="52"/>
      <c r="P513" s="52"/>
      <c r="Q513" s="52"/>
      <c r="U513" s="52"/>
    </row>
    <row r="514">
      <c r="M514" s="52"/>
      <c r="N514" s="52"/>
      <c r="O514" s="52"/>
      <c r="P514" s="52"/>
      <c r="Q514" s="52"/>
      <c r="U514" s="52"/>
    </row>
    <row r="515">
      <c r="M515" s="52"/>
      <c r="N515" s="52"/>
      <c r="O515" s="52"/>
      <c r="P515" s="52"/>
      <c r="Q515" s="52"/>
      <c r="U515" s="52"/>
    </row>
    <row r="516">
      <c r="M516" s="52"/>
      <c r="N516" s="52"/>
      <c r="O516" s="52"/>
      <c r="P516" s="52"/>
      <c r="Q516" s="52"/>
      <c r="U516" s="52"/>
    </row>
    <row r="517">
      <c r="M517" s="52"/>
      <c r="N517" s="52"/>
      <c r="O517" s="52"/>
      <c r="P517" s="52"/>
      <c r="Q517" s="52"/>
      <c r="U517" s="52"/>
    </row>
    <row r="518">
      <c r="M518" s="52"/>
      <c r="N518" s="52"/>
      <c r="O518" s="52"/>
      <c r="P518" s="52"/>
      <c r="Q518" s="52"/>
      <c r="U518" s="52"/>
    </row>
    <row r="519">
      <c r="M519" s="52"/>
      <c r="N519" s="52"/>
      <c r="O519" s="52"/>
      <c r="P519" s="52"/>
      <c r="Q519" s="52"/>
      <c r="U519" s="52"/>
    </row>
    <row r="520">
      <c r="M520" s="52"/>
      <c r="N520" s="52"/>
      <c r="O520" s="52"/>
      <c r="P520" s="52"/>
      <c r="Q520" s="52"/>
      <c r="U520" s="52"/>
    </row>
    <row r="521">
      <c r="M521" s="52"/>
      <c r="N521" s="52"/>
      <c r="O521" s="52"/>
      <c r="P521" s="52"/>
      <c r="Q521" s="52"/>
      <c r="U521" s="52"/>
    </row>
    <row r="522">
      <c r="M522" s="52"/>
      <c r="N522" s="52"/>
      <c r="O522" s="52"/>
      <c r="P522" s="52"/>
      <c r="Q522" s="52"/>
      <c r="U522" s="52"/>
    </row>
    <row r="523">
      <c r="M523" s="52"/>
      <c r="N523" s="52"/>
      <c r="O523" s="52"/>
      <c r="P523" s="52"/>
      <c r="Q523" s="52"/>
      <c r="U523" s="52"/>
    </row>
    <row r="524">
      <c r="M524" s="52"/>
      <c r="N524" s="52"/>
      <c r="O524" s="52"/>
      <c r="P524" s="52"/>
      <c r="Q524" s="52"/>
      <c r="U524" s="52"/>
    </row>
    <row r="525">
      <c r="M525" s="52"/>
      <c r="N525" s="52"/>
      <c r="O525" s="52"/>
      <c r="P525" s="52"/>
      <c r="Q525" s="52"/>
      <c r="U525" s="52"/>
    </row>
    <row r="526">
      <c r="M526" s="52"/>
      <c r="N526" s="52"/>
      <c r="O526" s="52"/>
      <c r="P526" s="52"/>
      <c r="Q526" s="52"/>
      <c r="U526" s="52"/>
    </row>
    <row r="527">
      <c r="M527" s="52"/>
      <c r="N527" s="52"/>
      <c r="O527" s="52"/>
      <c r="P527" s="52"/>
      <c r="Q527" s="52"/>
      <c r="U527" s="52"/>
    </row>
    <row r="528">
      <c r="M528" s="52"/>
      <c r="N528" s="52"/>
      <c r="O528" s="52"/>
      <c r="P528" s="52"/>
      <c r="Q528" s="52"/>
      <c r="U528" s="52"/>
    </row>
    <row r="529">
      <c r="M529" s="52"/>
      <c r="N529" s="52"/>
      <c r="O529" s="52"/>
      <c r="P529" s="52"/>
      <c r="Q529" s="52"/>
      <c r="U529" s="52"/>
    </row>
    <row r="530">
      <c r="M530" s="52"/>
      <c r="N530" s="52"/>
      <c r="O530" s="52"/>
      <c r="P530" s="52"/>
      <c r="Q530" s="52"/>
      <c r="U530" s="52"/>
    </row>
    <row r="531">
      <c r="M531" s="52"/>
      <c r="N531" s="52"/>
      <c r="O531" s="52"/>
      <c r="P531" s="52"/>
      <c r="Q531" s="52"/>
      <c r="U531" s="52"/>
    </row>
    <row r="532">
      <c r="M532" s="52"/>
      <c r="N532" s="52"/>
      <c r="O532" s="52"/>
      <c r="P532" s="52"/>
      <c r="Q532" s="52"/>
      <c r="U532" s="52"/>
    </row>
    <row r="533">
      <c r="M533" s="52"/>
      <c r="N533" s="52"/>
      <c r="O533" s="52"/>
      <c r="P533" s="52"/>
      <c r="Q533" s="52"/>
      <c r="U533" s="52"/>
    </row>
    <row r="534">
      <c r="M534" s="52"/>
      <c r="N534" s="52"/>
      <c r="O534" s="52"/>
      <c r="P534" s="52"/>
      <c r="Q534" s="52"/>
      <c r="U534" s="52"/>
    </row>
    <row r="535">
      <c r="M535" s="52"/>
      <c r="N535" s="52"/>
      <c r="O535" s="52"/>
      <c r="P535" s="52"/>
      <c r="Q535" s="52"/>
      <c r="U535" s="52"/>
    </row>
    <row r="536">
      <c r="M536" s="52"/>
      <c r="N536" s="52"/>
      <c r="O536" s="52"/>
      <c r="P536" s="52"/>
      <c r="Q536" s="52"/>
      <c r="U536" s="52"/>
    </row>
    <row r="537">
      <c r="M537" s="52"/>
      <c r="N537" s="52"/>
      <c r="O537" s="52"/>
      <c r="P537" s="52"/>
      <c r="Q537" s="52"/>
      <c r="U537" s="52"/>
    </row>
    <row r="538">
      <c r="M538" s="52"/>
      <c r="N538" s="52"/>
      <c r="O538" s="52"/>
      <c r="P538" s="52"/>
      <c r="Q538" s="52"/>
      <c r="U538" s="52"/>
    </row>
    <row r="539">
      <c r="M539" s="52"/>
      <c r="N539" s="52"/>
      <c r="O539" s="52"/>
      <c r="P539" s="52"/>
      <c r="Q539" s="52"/>
      <c r="U539" s="52"/>
    </row>
    <row r="540">
      <c r="M540" s="52"/>
      <c r="N540" s="52"/>
      <c r="O540" s="52"/>
      <c r="P540" s="52"/>
      <c r="Q540" s="52"/>
      <c r="U540" s="52"/>
    </row>
    <row r="541">
      <c r="M541" s="52"/>
      <c r="N541" s="52"/>
      <c r="O541" s="52"/>
      <c r="P541" s="52"/>
      <c r="Q541" s="52"/>
      <c r="U541" s="52"/>
    </row>
    <row r="542">
      <c r="M542" s="52"/>
      <c r="N542" s="52"/>
      <c r="O542" s="52"/>
      <c r="P542" s="52"/>
      <c r="Q542" s="52"/>
      <c r="U542" s="52"/>
    </row>
    <row r="543">
      <c r="M543" s="52"/>
      <c r="N543" s="52"/>
      <c r="O543" s="52"/>
      <c r="P543" s="52"/>
      <c r="Q543" s="52"/>
      <c r="U543" s="52"/>
    </row>
    <row r="544">
      <c r="M544" s="52"/>
      <c r="N544" s="52"/>
      <c r="O544" s="52"/>
      <c r="P544" s="52"/>
      <c r="Q544" s="52"/>
      <c r="U544" s="52"/>
    </row>
    <row r="545">
      <c r="M545" s="52"/>
      <c r="N545" s="52"/>
      <c r="O545" s="52"/>
      <c r="P545" s="52"/>
      <c r="Q545" s="52"/>
      <c r="U545" s="52"/>
    </row>
    <row r="546">
      <c r="M546" s="52"/>
      <c r="N546" s="52"/>
      <c r="O546" s="52"/>
      <c r="P546" s="52"/>
      <c r="Q546" s="52"/>
      <c r="U546" s="52"/>
    </row>
    <row r="547">
      <c r="M547" s="52"/>
      <c r="N547" s="52"/>
      <c r="O547" s="52"/>
      <c r="P547" s="52"/>
      <c r="Q547" s="52"/>
      <c r="U547" s="52"/>
    </row>
    <row r="548">
      <c r="M548" s="52"/>
      <c r="N548" s="52"/>
      <c r="O548" s="52"/>
      <c r="P548" s="52"/>
      <c r="Q548" s="52"/>
      <c r="U548" s="52"/>
    </row>
    <row r="549">
      <c r="M549" s="52"/>
      <c r="N549" s="52"/>
      <c r="O549" s="52"/>
      <c r="P549" s="52"/>
      <c r="Q549" s="52"/>
      <c r="U549" s="52"/>
    </row>
    <row r="550">
      <c r="M550" s="52"/>
      <c r="N550" s="52"/>
      <c r="O550" s="52"/>
      <c r="P550" s="52"/>
      <c r="Q550" s="52"/>
      <c r="U550" s="52"/>
    </row>
    <row r="551">
      <c r="M551" s="52"/>
      <c r="N551" s="52"/>
      <c r="O551" s="52"/>
      <c r="P551" s="52"/>
      <c r="Q551" s="52"/>
      <c r="U551" s="52"/>
    </row>
    <row r="552">
      <c r="M552" s="52"/>
      <c r="N552" s="52"/>
      <c r="O552" s="52"/>
      <c r="P552" s="52"/>
      <c r="Q552" s="52"/>
      <c r="U552" s="52"/>
    </row>
    <row r="553">
      <c r="M553" s="52"/>
      <c r="N553" s="52"/>
      <c r="O553" s="52"/>
      <c r="P553" s="52"/>
      <c r="Q553" s="52"/>
      <c r="U553" s="52"/>
    </row>
    <row r="554">
      <c r="M554" s="52"/>
      <c r="N554" s="52"/>
      <c r="O554" s="52"/>
      <c r="P554" s="52"/>
      <c r="Q554" s="52"/>
      <c r="U554" s="52"/>
    </row>
    <row r="555">
      <c r="M555" s="52"/>
      <c r="N555" s="52"/>
      <c r="O555" s="52"/>
      <c r="P555" s="52"/>
      <c r="Q555" s="52"/>
      <c r="U555" s="52"/>
    </row>
    <row r="556">
      <c r="M556" s="52"/>
      <c r="N556" s="52"/>
      <c r="O556" s="52"/>
      <c r="P556" s="52"/>
      <c r="Q556" s="52"/>
      <c r="U556" s="52"/>
    </row>
    <row r="557">
      <c r="M557" s="52"/>
      <c r="N557" s="52"/>
      <c r="O557" s="52"/>
      <c r="P557" s="52"/>
      <c r="Q557" s="52"/>
      <c r="U557" s="52"/>
    </row>
    <row r="558">
      <c r="M558" s="52"/>
      <c r="N558" s="52"/>
      <c r="O558" s="52"/>
      <c r="P558" s="52"/>
      <c r="Q558" s="52"/>
      <c r="U558" s="52"/>
    </row>
    <row r="559">
      <c r="M559" s="52"/>
      <c r="N559" s="52"/>
      <c r="O559" s="52"/>
      <c r="P559" s="52"/>
      <c r="Q559" s="52"/>
      <c r="U559" s="52"/>
    </row>
    <row r="560">
      <c r="M560" s="52"/>
      <c r="N560" s="52"/>
      <c r="O560" s="52"/>
      <c r="P560" s="52"/>
      <c r="Q560" s="52"/>
      <c r="U560" s="52"/>
    </row>
    <row r="561">
      <c r="M561" s="52"/>
      <c r="N561" s="52"/>
      <c r="O561" s="52"/>
      <c r="P561" s="52"/>
      <c r="Q561" s="52"/>
      <c r="U561" s="52"/>
    </row>
    <row r="562">
      <c r="M562" s="52"/>
      <c r="N562" s="52"/>
      <c r="O562" s="52"/>
      <c r="P562" s="52"/>
      <c r="Q562" s="52"/>
      <c r="U562" s="52"/>
    </row>
    <row r="563">
      <c r="M563" s="52"/>
      <c r="N563" s="52"/>
      <c r="O563" s="52"/>
      <c r="P563" s="52"/>
      <c r="Q563" s="52"/>
      <c r="U563" s="52"/>
    </row>
    <row r="564">
      <c r="M564" s="52"/>
      <c r="N564" s="52"/>
      <c r="O564" s="52"/>
      <c r="P564" s="52"/>
      <c r="Q564" s="52"/>
      <c r="U564" s="52"/>
    </row>
    <row r="565">
      <c r="M565" s="52"/>
      <c r="N565" s="52"/>
      <c r="O565" s="52"/>
      <c r="P565" s="52"/>
      <c r="Q565" s="52"/>
      <c r="U565" s="52"/>
    </row>
    <row r="566">
      <c r="M566" s="52"/>
      <c r="N566" s="52"/>
      <c r="O566" s="52"/>
      <c r="P566" s="52"/>
      <c r="Q566" s="52"/>
      <c r="U566" s="52"/>
    </row>
    <row r="567">
      <c r="M567" s="52"/>
      <c r="N567" s="52"/>
      <c r="O567" s="52"/>
      <c r="P567" s="52"/>
      <c r="Q567" s="52"/>
      <c r="U567" s="52"/>
    </row>
    <row r="568">
      <c r="M568" s="52"/>
      <c r="N568" s="52"/>
      <c r="O568" s="52"/>
      <c r="P568" s="52"/>
      <c r="Q568" s="52"/>
      <c r="U568" s="52"/>
    </row>
    <row r="569">
      <c r="M569" s="52"/>
      <c r="N569" s="52"/>
      <c r="O569" s="52"/>
      <c r="P569" s="52"/>
      <c r="Q569" s="52"/>
      <c r="U569" s="52"/>
    </row>
    <row r="570">
      <c r="M570" s="52"/>
      <c r="N570" s="52"/>
      <c r="O570" s="52"/>
      <c r="P570" s="52"/>
      <c r="Q570" s="52"/>
      <c r="U570" s="52"/>
    </row>
    <row r="571">
      <c r="M571" s="52"/>
      <c r="N571" s="52"/>
      <c r="O571" s="52"/>
      <c r="P571" s="52"/>
      <c r="Q571" s="52"/>
      <c r="U571" s="52"/>
    </row>
    <row r="572">
      <c r="M572" s="52"/>
      <c r="N572" s="52"/>
      <c r="O572" s="52"/>
      <c r="P572" s="52"/>
      <c r="Q572" s="52"/>
      <c r="U572" s="52"/>
    </row>
    <row r="573">
      <c r="M573" s="52"/>
      <c r="N573" s="52"/>
      <c r="O573" s="52"/>
      <c r="P573" s="52"/>
      <c r="Q573" s="52"/>
      <c r="U573" s="52"/>
    </row>
    <row r="574">
      <c r="M574" s="52"/>
      <c r="N574" s="52"/>
      <c r="O574" s="52"/>
      <c r="P574" s="52"/>
      <c r="Q574" s="52"/>
      <c r="U574" s="52"/>
    </row>
    <row r="575">
      <c r="M575" s="52"/>
      <c r="N575" s="52"/>
      <c r="O575" s="52"/>
      <c r="P575" s="52"/>
      <c r="Q575" s="52"/>
      <c r="U575" s="52"/>
    </row>
    <row r="576">
      <c r="M576" s="52"/>
      <c r="N576" s="52"/>
      <c r="O576" s="52"/>
      <c r="P576" s="52"/>
      <c r="Q576" s="52"/>
      <c r="U576" s="52"/>
    </row>
    <row r="577">
      <c r="M577" s="52"/>
      <c r="N577" s="52"/>
      <c r="O577" s="52"/>
      <c r="P577" s="52"/>
      <c r="Q577" s="52"/>
      <c r="U577" s="52"/>
    </row>
    <row r="578">
      <c r="M578" s="52"/>
      <c r="N578" s="52"/>
      <c r="O578" s="52"/>
      <c r="P578" s="52"/>
      <c r="Q578" s="52"/>
      <c r="U578" s="52"/>
    </row>
    <row r="579">
      <c r="M579" s="52"/>
      <c r="N579" s="52"/>
      <c r="O579" s="52"/>
      <c r="P579" s="52"/>
      <c r="Q579" s="52"/>
      <c r="U579" s="52"/>
    </row>
    <row r="580">
      <c r="M580" s="52"/>
      <c r="N580" s="52"/>
      <c r="O580" s="52"/>
      <c r="P580" s="52"/>
      <c r="Q580" s="52"/>
      <c r="U580" s="52"/>
    </row>
    <row r="581">
      <c r="M581" s="52"/>
      <c r="N581" s="52"/>
      <c r="O581" s="52"/>
      <c r="P581" s="52"/>
      <c r="Q581" s="52"/>
      <c r="U581" s="52"/>
    </row>
    <row r="582">
      <c r="M582" s="52"/>
      <c r="N582" s="52"/>
      <c r="O582" s="52"/>
      <c r="P582" s="52"/>
      <c r="Q582" s="52"/>
      <c r="U582" s="52"/>
    </row>
    <row r="583">
      <c r="M583" s="52"/>
      <c r="N583" s="52"/>
      <c r="O583" s="52"/>
      <c r="P583" s="52"/>
      <c r="Q583" s="52"/>
      <c r="U583" s="52"/>
    </row>
    <row r="584">
      <c r="M584" s="52"/>
      <c r="N584" s="52"/>
      <c r="O584" s="52"/>
      <c r="P584" s="52"/>
      <c r="Q584" s="52"/>
      <c r="U584" s="52"/>
    </row>
    <row r="585">
      <c r="M585" s="52"/>
      <c r="N585" s="52"/>
      <c r="O585" s="52"/>
      <c r="P585" s="52"/>
      <c r="Q585" s="52"/>
      <c r="U585" s="52"/>
    </row>
    <row r="586">
      <c r="M586" s="52"/>
      <c r="N586" s="52"/>
      <c r="O586" s="52"/>
      <c r="P586" s="52"/>
      <c r="Q586" s="52"/>
      <c r="U586" s="52"/>
    </row>
    <row r="587">
      <c r="M587" s="52"/>
      <c r="N587" s="52"/>
      <c r="O587" s="52"/>
      <c r="P587" s="52"/>
      <c r="Q587" s="52"/>
      <c r="U587" s="52"/>
    </row>
    <row r="588">
      <c r="M588" s="52"/>
      <c r="N588" s="52"/>
      <c r="O588" s="52"/>
      <c r="P588" s="52"/>
      <c r="Q588" s="52"/>
      <c r="U588" s="52"/>
    </row>
    <row r="589">
      <c r="M589" s="52"/>
      <c r="N589" s="52"/>
      <c r="O589" s="52"/>
      <c r="P589" s="52"/>
      <c r="Q589" s="52"/>
      <c r="U589" s="52"/>
    </row>
    <row r="590">
      <c r="M590" s="52"/>
      <c r="N590" s="52"/>
      <c r="O590" s="52"/>
      <c r="P590" s="52"/>
      <c r="Q590" s="52"/>
      <c r="U590" s="52"/>
    </row>
    <row r="591">
      <c r="M591" s="52"/>
      <c r="N591" s="52"/>
      <c r="O591" s="52"/>
      <c r="P591" s="52"/>
      <c r="Q591" s="52"/>
      <c r="U591" s="52"/>
    </row>
    <row r="592">
      <c r="M592" s="52"/>
      <c r="N592" s="52"/>
      <c r="O592" s="52"/>
      <c r="P592" s="52"/>
      <c r="Q592" s="52"/>
      <c r="U592" s="52"/>
    </row>
    <row r="593">
      <c r="M593" s="52"/>
      <c r="N593" s="52"/>
      <c r="O593" s="52"/>
      <c r="P593" s="52"/>
      <c r="Q593" s="52"/>
      <c r="U593" s="52"/>
    </row>
    <row r="594">
      <c r="M594" s="52"/>
      <c r="N594" s="52"/>
      <c r="O594" s="52"/>
      <c r="P594" s="52"/>
      <c r="Q594" s="52"/>
      <c r="U594" s="52"/>
    </row>
    <row r="595">
      <c r="M595" s="52"/>
      <c r="N595" s="52"/>
      <c r="O595" s="52"/>
      <c r="P595" s="52"/>
      <c r="Q595" s="52"/>
      <c r="U595" s="52"/>
    </row>
    <row r="596">
      <c r="M596" s="52"/>
      <c r="N596" s="52"/>
      <c r="O596" s="52"/>
      <c r="P596" s="52"/>
      <c r="Q596" s="52"/>
      <c r="U596" s="52"/>
    </row>
    <row r="597">
      <c r="M597" s="52"/>
      <c r="N597" s="52"/>
      <c r="O597" s="52"/>
      <c r="P597" s="52"/>
      <c r="Q597" s="52"/>
      <c r="U597" s="52"/>
    </row>
    <row r="598">
      <c r="M598" s="52"/>
      <c r="N598" s="52"/>
      <c r="O598" s="52"/>
      <c r="P598" s="52"/>
      <c r="Q598" s="52"/>
      <c r="U598" s="52"/>
    </row>
    <row r="599">
      <c r="M599" s="52"/>
      <c r="N599" s="52"/>
      <c r="O599" s="52"/>
      <c r="P599" s="52"/>
      <c r="Q599" s="52"/>
      <c r="U599" s="52"/>
    </row>
    <row r="600">
      <c r="M600" s="52"/>
      <c r="N600" s="52"/>
      <c r="O600" s="52"/>
      <c r="P600" s="52"/>
      <c r="Q600" s="52"/>
      <c r="U600" s="52"/>
    </row>
    <row r="601">
      <c r="M601" s="52"/>
      <c r="N601" s="52"/>
      <c r="O601" s="52"/>
      <c r="P601" s="52"/>
      <c r="Q601" s="52"/>
      <c r="U601" s="52"/>
    </row>
    <row r="602">
      <c r="M602" s="52"/>
      <c r="N602" s="52"/>
      <c r="O602" s="52"/>
      <c r="P602" s="52"/>
      <c r="Q602" s="52"/>
      <c r="U602" s="52"/>
    </row>
    <row r="603">
      <c r="M603" s="52"/>
      <c r="N603" s="52"/>
      <c r="O603" s="52"/>
      <c r="P603" s="52"/>
      <c r="Q603" s="52"/>
      <c r="U603" s="52"/>
    </row>
    <row r="604">
      <c r="M604" s="52"/>
      <c r="N604" s="52"/>
      <c r="O604" s="52"/>
      <c r="P604" s="52"/>
      <c r="Q604" s="52"/>
      <c r="U604" s="52"/>
    </row>
    <row r="605">
      <c r="M605" s="52"/>
      <c r="N605" s="52"/>
      <c r="O605" s="52"/>
      <c r="P605" s="52"/>
      <c r="Q605" s="52"/>
      <c r="U605" s="52"/>
    </row>
    <row r="606">
      <c r="M606" s="52"/>
      <c r="N606" s="52"/>
      <c r="O606" s="52"/>
      <c r="P606" s="52"/>
      <c r="Q606" s="52"/>
      <c r="U606" s="52"/>
    </row>
    <row r="607">
      <c r="M607" s="52"/>
      <c r="N607" s="52"/>
      <c r="O607" s="52"/>
      <c r="P607" s="52"/>
      <c r="Q607" s="52"/>
      <c r="U607" s="52"/>
    </row>
    <row r="608">
      <c r="M608" s="52"/>
      <c r="N608" s="52"/>
      <c r="O608" s="52"/>
      <c r="P608" s="52"/>
      <c r="Q608" s="52"/>
      <c r="U608" s="52"/>
    </row>
    <row r="609">
      <c r="M609" s="52"/>
      <c r="N609" s="52"/>
      <c r="O609" s="52"/>
      <c r="P609" s="52"/>
      <c r="Q609" s="52"/>
      <c r="U609" s="52"/>
    </row>
    <row r="610">
      <c r="M610" s="52"/>
      <c r="N610" s="52"/>
      <c r="O610" s="52"/>
      <c r="P610" s="52"/>
      <c r="Q610" s="52"/>
      <c r="U610" s="52"/>
    </row>
    <row r="611">
      <c r="M611" s="52"/>
      <c r="N611" s="52"/>
      <c r="O611" s="52"/>
      <c r="P611" s="52"/>
      <c r="Q611" s="52"/>
      <c r="U611" s="52"/>
    </row>
    <row r="612">
      <c r="M612" s="52"/>
      <c r="N612" s="52"/>
      <c r="O612" s="52"/>
      <c r="P612" s="52"/>
      <c r="Q612" s="52"/>
      <c r="U612" s="52"/>
    </row>
    <row r="613">
      <c r="M613" s="52"/>
      <c r="N613" s="52"/>
      <c r="O613" s="52"/>
      <c r="P613" s="52"/>
      <c r="Q613" s="52"/>
      <c r="U613" s="52"/>
    </row>
    <row r="614">
      <c r="M614" s="52"/>
      <c r="N614" s="52"/>
      <c r="O614" s="52"/>
      <c r="P614" s="52"/>
      <c r="Q614" s="52"/>
      <c r="U614" s="52"/>
    </row>
    <row r="615">
      <c r="M615" s="52"/>
      <c r="N615" s="52"/>
      <c r="O615" s="52"/>
      <c r="P615" s="52"/>
      <c r="Q615" s="52"/>
      <c r="U615" s="52"/>
    </row>
    <row r="616">
      <c r="M616" s="52"/>
      <c r="N616" s="52"/>
      <c r="O616" s="52"/>
      <c r="P616" s="52"/>
      <c r="Q616" s="52"/>
      <c r="U616" s="52"/>
    </row>
    <row r="617">
      <c r="M617" s="52"/>
      <c r="N617" s="52"/>
      <c r="O617" s="52"/>
      <c r="P617" s="52"/>
      <c r="Q617" s="52"/>
      <c r="U617" s="52"/>
    </row>
    <row r="618">
      <c r="M618" s="52"/>
      <c r="N618" s="52"/>
      <c r="O618" s="52"/>
      <c r="P618" s="52"/>
      <c r="Q618" s="52"/>
      <c r="U618" s="52"/>
    </row>
    <row r="619">
      <c r="M619" s="52"/>
      <c r="N619" s="52"/>
      <c r="O619" s="52"/>
      <c r="P619" s="52"/>
      <c r="Q619" s="52"/>
      <c r="U619" s="52"/>
    </row>
    <row r="620">
      <c r="M620" s="52"/>
      <c r="N620" s="52"/>
      <c r="O620" s="52"/>
      <c r="P620" s="52"/>
      <c r="Q620" s="52"/>
      <c r="U620" s="52"/>
    </row>
    <row r="621">
      <c r="M621" s="52"/>
      <c r="N621" s="52"/>
      <c r="O621" s="52"/>
      <c r="P621" s="52"/>
      <c r="Q621" s="52"/>
      <c r="U621" s="52"/>
    </row>
    <row r="622">
      <c r="M622" s="52"/>
      <c r="N622" s="52"/>
      <c r="O622" s="52"/>
      <c r="P622" s="52"/>
      <c r="Q622" s="52"/>
      <c r="U622" s="52"/>
    </row>
    <row r="623">
      <c r="M623" s="52"/>
      <c r="N623" s="52"/>
      <c r="O623" s="52"/>
      <c r="P623" s="52"/>
      <c r="Q623" s="52"/>
      <c r="U623" s="52"/>
    </row>
    <row r="624">
      <c r="M624" s="52"/>
      <c r="N624" s="52"/>
      <c r="O624" s="52"/>
      <c r="P624" s="52"/>
      <c r="Q624" s="52"/>
      <c r="U624" s="52"/>
    </row>
    <row r="625">
      <c r="M625" s="52"/>
      <c r="N625" s="52"/>
      <c r="O625" s="52"/>
      <c r="P625" s="52"/>
      <c r="Q625" s="52"/>
      <c r="U625" s="52"/>
    </row>
    <row r="626">
      <c r="M626" s="52"/>
      <c r="N626" s="52"/>
      <c r="O626" s="52"/>
      <c r="P626" s="52"/>
      <c r="Q626" s="52"/>
      <c r="U626" s="52"/>
    </row>
    <row r="627">
      <c r="M627" s="52"/>
      <c r="N627" s="52"/>
      <c r="O627" s="52"/>
      <c r="P627" s="52"/>
      <c r="Q627" s="52"/>
      <c r="U627" s="52"/>
    </row>
    <row r="628">
      <c r="M628" s="52"/>
      <c r="N628" s="52"/>
      <c r="O628" s="52"/>
      <c r="P628" s="52"/>
      <c r="Q628" s="52"/>
      <c r="U628" s="52"/>
    </row>
    <row r="629">
      <c r="M629" s="52"/>
      <c r="N629" s="52"/>
      <c r="O629" s="52"/>
      <c r="P629" s="52"/>
      <c r="Q629" s="52"/>
      <c r="U629" s="52"/>
    </row>
    <row r="630">
      <c r="M630" s="52"/>
      <c r="N630" s="52"/>
      <c r="O630" s="52"/>
      <c r="P630" s="52"/>
      <c r="Q630" s="52"/>
      <c r="U630" s="52"/>
    </row>
    <row r="631">
      <c r="M631" s="52"/>
      <c r="N631" s="52"/>
      <c r="O631" s="52"/>
      <c r="P631" s="52"/>
      <c r="Q631" s="52"/>
      <c r="U631" s="52"/>
    </row>
    <row r="632">
      <c r="M632" s="52"/>
      <c r="N632" s="52"/>
      <c r="O632" s="52"/>
      <c r="P632" s="52"/>
      <c r="Q632" s="52"/>
      <c r="U632" s="52"/>
    </row>
    <row r="633">
      <c r="M633" s="52"/>
      <c r="N633" s="52"/>
      <c r="O633" s="52"/>
      <c r="P633" s="52"/>
      <c r="Q633" s="52"/>
      <c r="U633" s="52"/>
    </row>
    <row r="634">
      <c r="M634" s="52"/>
      <c r="N634" s="52"/>
      <c r="O634" s="52"/>
      <c r="P634" s="52"/>
      <c r="Q634" s="52"/>
      <c r="U634" s="52"/>
    </row>
    <row r="635">
      <c r="M635" s="52"/>
      <c r="N635" s="52"/>
      <c r="O635" s="52"/>
      <c r="P635" s="52"/>
      <c r="Q635" s="52"/>
      <c r="U635" s="52"/>
    </row>
    <row r="636">
      <c r="M636" s="52"/>
      <c r="N636" s="52"/>
      <c r="O636" s="52"/>
      <c r="P636" s="52"/>
      <c r="Q636" s="52"/>
      <c r="U636" s="52"/>
    </row>
    <row r="637">
      <c r="M637" s="52"/>
      <c r="N637" s="52"/>
      <c r="O637" s="52"/>
      <c r="P637" s="52"/>
      <c r="Q637" s="52"/>
      <c r="U637" s="52"/>
    </row>
    <row r="638">
      <c r="M638" s="52"/>
      <c r="N638" s="52"/>
      <c r="O638" s="52"/>
      <c r="P638" s="52"/>
      <c r="Q638" s="52"/>
      <c r="U638" s="52"/>
    </row>
    <row r="639">
      <c r="M639" s="52"/>
      <c r="N639" s="52"/>
      <c r="O639" s="52"/>
      <c r="P639" s="52"/>
      <c r="Q639" s="52"/>
      <c r="U639" s="52"/>
    </row>
    <row r="640">
      <c r="M640" s="52"/>
      <c r="N640" s="52"/>
      <c r="O640" s="52"/>
      <c r="P640" s="52"/>
      <c r="Q640" s="52"/>
      <c r="U640" s="52"/>
    </row>
    <row r="641">
      <c r="M641" s="52"/>
      <c r="N641" s="52"/>
      <c r="O641" s="52"/>
      <c r="P641" s="52"/>
      <c r="Q641" s="52"/>
      <c r="U641" s="52"/>
    </row>
    <row r="642">
      <c r="M642" s="52"/>
      <c r="N642" s="52"/>
      <c r="O642" s="52"/>
      <c r="P642" s="52"/>
      <c r="Q642" s="52"/>
      <c r="U642" s="52"/>
    </row>
    <row r="643">
      <c r="M643" s="52"/>
      <c r="N643" s="52"/>
      <c r="O643" s="52"/>
      <c r="P643" s="52"/>
      <c r="Q643" s="52"/>
      <c r="U643" s="52"/>
    </row>
    <row r="644">
      <c r="M644" s="52"/>
      <c r="N644" s="52"/>
      <c r="O644" s="52"/>
      <c r="P644" s="52"/>
      <c r="Q644" s="52"/>
      <c r="U644" s="52"/>
    </row>
    <row r="645">
      <c r="M645" s="52"/>
      <c r="N645" s="52"/>
      <c r="O645" s="52"/>
      <c r="P645" s="52"/>
      <c r="Q645" s="52"/>
      <c r="U645" s="52"/>
    </row>
    <row r="646">
      <c r="M646" s="52"/>
      <c r="N646" s="52"/>
      <c r="O646" s="52"/>
      <c r="P646" s="52"/>
      <c r="Q646" s="52"/>
      <c r="U646" s="52"/>
    </row>
    <row r="647">
      <c r="M647" s="52"/>
      <c r="N647" s="52"/>
      <c r="O647" s="52"/>
      <c r="P647" s="52"/>
      <c r="Q647" s="52"/>
      <c r="U647" s="52"/>
    </row>
    <row r="648">
      <c r="M648" s="52"/>
      <c r="N648" s="52"/>
      <c r="O648" s="52"/>
      <c r="P648" s="52"/>
      <c r="Q648" s="52"/>
      <c r="U648" s="52"/>
    </row>
    <row r="649">
      <c r="M649" s="52"/>
      <c r="N649" s="52"/>
      <c r="O649" s="52"/>
      <c r="P649" s="52"/>
      <c r="Q649" s="52"/>
      <c r="U649" s="52"/>
    </row>
    <row r="650">
      <c r="M650" s="52"/>
      <c r="N650" s="52"/>
      <c r="O650" s="52"/>
      <c r="P650" s="52"/>
      <c r="Q650" s="52"/>
      <c r="U650" s="52"/>
    </row>
    <row r="651">
      <c r="M651" s="52"/>
      <c r="N651" s="52"/>
      <c r="O651" s="52"/>
      <c r="P651" s="52"/>
      <c r="Q651" s="52"/>
      <c r="U651" s="52"/>
    </row>
    <row r="652">
      <c r="M652" s="52"/>
      <c r="N652" s="52"/>
      <c r="O652" s="52"/>
      <c r="P652" s="52"/>
      <c r="Q652" s="52"/>
      <c r="U652" s="52"/>
    </row>
    <row r="653">
      <c r="M653" s="52"/>
      <c r="N653" s="52"/>
      <c r="O653" s="52"/>
      <c r="P653" s="52"/>
      <c r="Q653" s="52"/>
      <c r="U653" s="52"/>
    </row>
    <row r="654">
      <c r="M654" s="52"/>
      <c r="N654" s="52"/>
      <c r="O654" s="52"/>
      <c r="P654" s="52"/>
      <c r="Q654" s="52"/>
      <c r="U654" s="52"/>
    </row>
    <row r="655">
      <c r="M655" s="52"/>
      <c r="N655" s="52"/>
      <c r="O655" s="52"/>
      <c r="P655" s="52"/>
      <c r="Q655" s="52"/>
      <c r="U655" s="52"/>
    </row>
    <row r="656">
      <c r="M656" s="52"/>
      <c r="N656" s="52"/>
      <c r="O656" s="52"/>
      <c r="P656" s="52"/>
      <c r="Q656" s="52"/>
      <c r="U656" s="52"/>
    </row>
    <row r="657">
      <c r="M657" s="52"/>
      <c r="N657" s="52"/>
      <c r="O657" s="52"/>
      <c r="P657" s="52"/>
      <c r="Q657" s="52"/>
      <c r="U657" s="52"/>
    </row>
    <row r="658">
      <c r="M658" s="52"/>
      <c r="N658" s="52"/>
      <c r="O658" s="52"/>
      <c r="P658" s="52"/>
      <c r="Q658" s="52"/>
      <c r="U658" s="52"/>
    </row>
    <row r="659">
      <c r="M659" s="52"/>
      <c r="N659" s="52"/>
      <c r="O659" s="52"/>
      <c r="P659" s="52"/>
      <c r="Q659" s="52"/>
      <c r="U659" s="52"/>
    </row>
    <row r="660">
      <c r="M660" s="52"/>
      <c r="N660" s="52"/>
      <c r="O660" s="52"/>
      <c r="P660" s="52"/>
      <c r="Q660" s="52"/>
      <c r="U660" s="52"/>
    </row>
    <row r="661">
      <c r="M661" s="52"/>
      <c r="N661" s="52"/>
      <c r="O661" s="52"/>
      <c r="P661" s="52"/>
      <c r="Q661" s="52"/>
      <c r="U661" s="52"/>
    </row>
    <row r="662">
      <c r="M662" s="52"/>
      <c r="N662" s="52"/>
      <c r="O662" s="52"/>
      <c r="P662" s="52"/>
      <c r="Q662" s="52"/>
      <c r="U662" s="52"/>
    </row>
    <row r="663">
      <c r="M663" s="52"/>
      <c r="N663" s="52"/>
      <c r="O663" s="52"/>
      <c r="P663" s="52"/>
      <c r="Q663" s="52"/>
      <c r="U663" s="52"/>
    </row>
    <row r="664">
      <c r="M664" s="52"/>
      <c r="N664" s="52"/>
      <c r="O664" s="52"/>
      <c r="P664" s="52"/>
      <c r="Q664" s="52"/>
      <c r="U664" s="52"/>
    </row>
    <row r="665">
      <c r="M665" s="52"/>
      <c r="N665" s="52"/>
      <c r="O665" s="52"/>
      <c r="P665" s="52"/>
      <c r="Q665" s="52"/>
      <c r="U665" s="52"/>
    </row>
    <row r="666">
      <c r="M666" s="52"/>
      <c r="N666" s="52"/>
      <c r="O666" s="52"/>
      <c r="P666" s="52"/>
      <c r="Q666" s="52"/>
      <c r="U666" s="52"/>
    </row>
    <row r="667">
      <c r="M667" s="52"/>
      <c r="N667" s="52"/>
      <c r="O667" s="52"/>
      <c r="P667" s="52"/>
      <c r="Q667" s="52"/>
      <c r="U667" s="52"/>
    </row>
    <row r="668">
      <c r="M668" s="52"/>
      <c r="N668" s="52"/>
      <c r="O668" s="52"/>
      <c r="P668" s="52"/>
      <c r="Q668" s="52"/>
      <c r="U668" s="52"/>
    </row>
    <row r="669">
      <c r="M669" s="52"/>
      <c r="N669" s="52"/>
      <c r="O669" s="52"/>
      <c r="P669" s="52"/>
      <c r="Q669" s="52"/>
      <c r="U669" s="52"/>
    </row>
    <row r="670">
      <c r="M670" s="52"/>
      <c r="N670" s="52"/>
      <c r="O670" s="52"/>
      <c r="P670" s="52"/>
      <c r="Q670" s="52"/>
      <c r="U670" s="52"/>
    </row>
    <row r="671">
      <c r="M671" s="52"/>
      <c r="N671" s="52"/>
      <c r="O671" s="52"/>
      <c r="P671" s="52"/>
      <c r="Q671" s="52"/>
      <c r="U671" s="52"/>
    </row>
    <row r="672">
      <c r="M672" s="52"/>
      <c r="N672" s="52"/>
      <c r="O672" s="52"/>
      <c r="P672" s="52"/>
      <c r="Q672" s="52"/>
      <c r="U672" s="52"/>
    </row>
    <row r="673">
      <c r="M673" s="52"/>
      <c r="N673" s="52"/>
      <c r="O673" s="52"/>
      <c r="P673" s="52"/>
      <c r="Q673" s="52"/>
      <c r="U673" s="52"/>
    </row>
    <row r="674">
      <c r="M674" s="52"/>
      <c r="N674" s="52"/>
      <c r="O674" s="52"/>
      <c r="P674" s="52"/>
      <c r="Q674" s="52"/>
      <c r="U674" s="52"/>
    </row>
    <row r="675">
      <c r="M675" s="52"/>
      <c r="N675" s="52"/>
      <c r="O675" s="52"/>
      <c r="P675" s="52"/>
      <c r="Q675" s="52"/>
      <c r="U675" s="52"/>
    </row>
    <row r="676">
      <c r="M676" s="52"/>
      <c r="N676" s="52"/>
      <c r="O676" s="52"/>
      <c r="P676" s="52"/>
      <c r="Q676" s="52"/>
      <c r="U676" s="52"/>
    </row>
    <row r="677">
      <c r="M677" s="52"/>
      <c r="N677" s="52"/>
      <c r="O677" s="52"/>
      <c r="P677" s="52"/>
      <c r="Q677" s="52"/>
      <c r="U677" s="52"/>
    </row>
    <row r="678">
      <c r="M678" s="52"/>
      <c r="N678" s="52"/>
      <c r="O678" s="52"/>
      <c r="P678" s="52"/>
      <c r="Q678" s="52"/>
      <c r="U678" s="52"/>
    </row>
    <row r="679">
      <c r="M679" s="52"/>
      <c r="N679" s="52"/>
      <c r="O679" s="52"/>
      <c r="P679" s="52"/>
      <c r="Q679" s="52"/>
      <c r="U679" s="52"/>
    </row>
    <row r="680">
      <c r="M680" s="52"/>
      <c r="N680" s="52"/>
      <c r="O680" s="52"/>
      <c r="P680" s="52"/>
      <c r="Q680" s="52"/>
      <c r="U680" s="52"/>
    </row>
    <row r="681">
      <c r="M681" s="52"/>
      <c r="N681" s="52"/>
      <c r="O681" s="52"/>
      <c r="P681" s="52"/>
      <c r="Q681" s="52"/>
      <c r="U681" s="52"/>
    </row>
    <row r="682">
      <c r="M682" s="52"/>
      <c r="N682" s="52"/>
      <c r="O682" s="52"/>
      <c r="P682" s="52"/>
      <c r="Q682" s="52"/>
      <c r="U682" s="52"/>
    </row>
    <row r="683">
      <c r="M683" s="52"/>
      <c r="N683" s="52"/>
      <c r="O683" s="52"/>
      <c r="P683" s="52"/>
      <c r="Q683" s="52"/>
      <c r="U683" s="52"/>
    </row>
    <row r="684">
      <c r="M684" s="52"/>
      <c r="N684" s="52"/>
      <c r="O684" s="52"/>
      <c r="P684" s="52"/>
      <c r="Q684" s="52"/>
      <c r="U684" s="52"/>
    </row>
    <row r="685">
      <c r="M685" s="52"/>
      <c r="N685" s="52"/>
      <c r="O685" s="52"/>
      <c r="P685" s="52"/>
      <c r="Q685" s="52"/>
      <c r="U685" s="52"/>
    </row>
    <row r="686">
      <c r="M686" s="52"/>
      <c r="N686" s="52"/>
      <c r="O686" s="52"/>
      <c r="P686" s="52"/>
      <c r="Q686" s="52"/>
      <c r="U686" s="52"/>
    </row>
    <row r="687">
      <c r="M687" s="52"/>
      <c r="N687" s="52"/>
      <c r="O687" s="52"/>
      <c r="P687" s="52"/>
      <c r="Q687" s="52"/>
      <c r="U687" s="52"/>
    </row>
    <row r="688">
      <c r="M688" s="52"/>
      <c r="N688" s="52"/>
      <c r="O688" s="52"/>
      <c r="P688" s="52"/>
      <c r="Q688" s="52"/>
      <c r="U688" s="52"/>
    </row>
    <row r="689">
      <c r="M689" s="52"/>
      <c r="N689" s="52"/>
      <c r="O689" s="52"/>
      <c r="P689" s="52"/>
      <c r="Q689" s="52"/>
      <c r="U689" s="52"/>
    </row>
    <row r="690">
      <c r="M690" s="52"/>
      <c r="N690" s="52"/>
      <c r="O690" s="52"/>
      <c r="P690" s="52"/>
      <c r="Q690" s="52"/>
      <c r="U690" s="52"/>
    </row>
    <row r="691">
      <c r="M691" s="52"/>
      <c r="N691" s="52"/>
      <c r="O691" s="52"/>
      <c r="P691" s="52"/>
      <c r="Q691" s="52"/>
      <c r="U691" s="52"/>
    </row>
    <row r="692">
      <c r="M692" s="52"/>
      <c r="N692" s="52"/>
      <c r="O692" s="52"/>
      <c r="P692" s="52"/>
      <c r="Q692" s="52"/>
      <c r="U692" s="52"/>
    </row>
    <row r="693">
      <c r="M693" s="52"/>
      <c r="N693" s="52"/>
      <c r="O693" s="52"/>
      <c r="P693" s="52"/>
      <c r="Q693" s="52"/>
      <c r="U693" s="52"/>
    </row>
    <row r="694">
      <c r="M694" s="52"/>
      <c r="N694" s="52"/>
      <c r="O694" s="52"/>
      <c r="P694" s="52"/>
      <c r="Q694" s="52"/>
      <c r="U694" s="52"/>
    </row>
    <row r="695">
      <c r="M695" s="52"/>
      <c r="N695" s="52"/>
      <c r="O695" s="52"/>
      <c r="P695" s="52"/>
      <c r="Q695" s="52"/>
      <c r="U695" s="52"/>
    </row>
    <row r="696">
      <c r="M696" s="52"/>
      <c r="N696" s="52"/>
      <c r="O696" s="52"/>
      <c r="P696" s="52"/>
      <c r="Q696" s="52"/>
      <c r="U696" s="52"/>
    </row>
    <row r="697">
      <c r="M697" s="52"/>
      <c r="N697" s="52"/>
      <c r="O697" s="52"/>
      <c r="P697" s="52"/>
      <c r="Q697" s="52"/>
      <c r="U697" s="52"/>
    </row>
    <row r="698">
      <c r="M698" s="52"/>
      <c r="N698" s="52"/>
      <c r="O698" s="52"/>
      <c r="P698" s="52"/>
      <c r="Q698" s="52"/>
      <c r="U698" s="52"/>
    </row>
    <row r="699">
      <c r="M699" s="52"/>
      <c r="N699" s="52"/>
      <c r="O699" s="52"/>
      <c r="P699" s="52"/>
      <c r="Q699" s="52"/>
      <c r="U699" s="52"/>
    </row>
    <row r="700">
      <c r="M700" s="52"/>
      <c r="N700" s="52"/>
      <c r="O700" s="52"/>
      <c r="P700" s="52"/>
      <c r="Q700" s="52"/>
      <c r="U700" s="52"/>
    </row>
    <row r="701">
      <c r="M701" s="52"/>
      <c r="N701" s="52"/>
      <c r="O701" s="52"/>
      <c r="P701" s="52"/>
      <c r="Q701" s="52"/>
      <c r="U701" s="52"/>
    </row>
    <row r="702">
      <c r="M702" s="52"/>
      <c r="N702" s="52"/>
      <c r="O702" s="52"/>
      <c r="P702" s="52"/>
      <c r="Q702" s="52"/>
      <c r="U702" s="52"/>
    </row>
    <row r="703">
      <c r="M703" s="52"/>
      <c r="N703" s="52"/>
      <c r="O703" s="52"/>
      <c r="P703" s="52"/>
      <c r="Q703" s="52"/>
      <c r="U703" s="52"/>
    </row>
    <row r="704">
      <c r="M704" s="52"/>
      <c r="N704" s="52"/>
      <c r="O704" s="52"/>
      <c r="P704" s="52"/>
      <c r="Q704" s="52"/>
      <c r="U704" s="52"/>
    </row>
    <row r="705">
      <c r="M705" s="52"/>
      <c r="N705" s="52"/>
      <c r="O705" s="52"/>
      <c r="P705" s="52"/>
      <c r="Q705" s="52"/>
      <c r="U705" s="52"/>
    </row>
    <row r="706">
      <c r="M706" s="52"/>
      <c r="N706" s="52"/>
      <c r="O706" s="52"/>
      <c r="P706" s="52"/>
      <c r="Q706" s="52"/>
      <c r="U706" s="52"/>
    </row>
    <row r="707">
      <c r="M707" s="52"/>
      <c r="N707" s="52"/>
      <c r="O707" s="52"/>
      <c r="P707" s="52"/>
      <c r="Q707" s="52"/>
      <c r="U707" s="52"/>
    </row>
    <row r="708">
      <c r="M708" s="52"/>
      <c r="N708" s="52"/>
      <c r="O708" s="52"/>
      <c r="P708" s="52"/>
      <c r="Q708" s="52"/>
      <c r="U708" s="52"/>
    </row>
    <row r="709">
      <c r="M709" s="52"/>
      <c r="N709" s="52"/>
      <c r="O709" s="52"/>
      <c r="P709" s="52"/>
      <c r="Q709" s="52"/>
      <c r="U709" s="52"/>
    </row>
    <row r="710">
      <c r="M710" s="52"/>
      <c r="N710" s="52"/>
      <c r="O710" s="52"/>
      <c r="P710" s="52"/>
      <c r="Q710" s="52"/>
      <c r="U710" s="52"/>
    </row>
    <row r="711">
      <c r="M711" s="52"/>
      <c r="N711" s="52"/>
      <c r="O711" s="52"/>
      <c r="P711" s="52"/>
      <c r="Q711" s="52"/>
      <c r="U711" s="52"/>
    </row>
    <row r="712">
      <c r="M712" s="52"/>
      <c r="N712" s="52"/>
      <c r="O712" s="52"/>
      <c r="P712" s="52"/>
      <c r="Q712" s="52"/>
      <c r="U712" s="52"/>
    </row>
    <row r="713">
      <c r="M713" s="52"/>
      <c r="N713" s="52"/>
      <c r="O713" s="52"/>
      <c r="P713" s="52"/>
      <c r="Q713" s="52"/>
      <c r="U713" s="52"/>
    </row>
    <row r="714">
      <c r="M714" s="52"/>
      <c r="N714" s="52"/>
      <c r="O714" s="52"/>
      <c r="P714" s="52"/>
      <c r="Q714" s="52"/>
      <c r="U714" s="52"/>
    </row>
    <row r="715">
      <c r="M715" s="52"/>
      <c r="N715" s="52"/>
      <c r="O715" s="52"/>
      <c r="P715" s="52"/>
      <c r="Q715" s="52"/>
      <c r="U715" s="52"/>
    </row>
    <row r="716">
      <c r="M716" s="52"/>
      <c r="N716" s="52"/>
      <c r="O716" s="52"/>
      <c r="P716" s="52"/>
      <c r="Q716" s="52"/>
      <c r="U716" s="52"/>
    </row>
    <row r="717">
      <c r="M717" s="52"/>
      <c r="N717" s="52"/>
      <c r="O717" s="52"/>
      <c r="P717" s="52"/>
      <c r="Q717" s="52"/>
      <c r="U717" s="52"/>
    </row>
    <row r="718">
      <c r="M718" s="52"/>
      <c r="N718" s="52"/>
      <c r="O718" s="52"/>
      <c r="P718" s="52"/>
      <c r="Q718" s="52"/>
      <c r="U718" s="52"/>
    </row>
    <row r="719">
      <c r="M719" s="52"/>
      <c r="N719" s="52"/>
      <c r="O719" s="52"/>
      <c r="P719" s="52"/>
      <c r="Q719" s="52"/>
      <c r="U719" s="52"/>
    </row>
    <row r="720">
      <c r="M720" s="52"/>
      <c r="N720" s="52"/>
      <c r="O720" s="52"/>
      <c r="P720" s="52"/>
      <c r="Q720" s="52"/>
      <c r="U720" s="52"/>
    </row>
    <row r="721">
      <c r="M721" s="52"/>
      <c r="N721" s="52"/>
      <c r="O721" s="52"/>
      <c r="P721" s="52"/>
      <c r="Q721" s="52"/>
      <c r="U721" s="52"/>
    </row>
    <row r="722">
      <c r="M722" s="52"/>
      <c r="N722" s="52"/>
      <c r="O722" s="52"/>
      <c r="P722" s="52"/>
      <c r="Q722" s="52"/>
      <c r="U722" s="52"/>
    </row>
    <row r="723">
      <c r="M723" s="52"/>
      <c r="N723" s="52"/>
      <c r="O723" s="52"/>
      <c r="P723" s="52"/>
      <c r="Q723" s="52"/>
      <c r="U723" s="52"/>
    </row>
    <row r="724">
      <c r="M724" s="52"/>
      <c r="N724" s="52"/>
      <c r="O724" s="52"/>
      <c r="P724" s="52"/>
      <c r="Q724" s="52"/>
      <c r="U724" s="52"/>
    </row>
    <row r="725">
      <c r="M725" s="52"/>
      <c r="N725" s="52"/>
      <c r="O725" s="52"/>
      <c r="P725" s="52"/>
      <c r="Q725" s="52"/>
      <c r="U725" s="52"/>
    </row>
    <row r="726">
      <c r="M726" s="52"/>
      <c r="N726" s="52"/>
      <c r="O726" s="52"/>
      <c r="P726" s="52"/>
      <c r="Q726" s="52"/>
      <c r="U726" s="52"/>
    </row>
    <row r="727">
      <c r="M727" s="52"/>
      <c r="N727" s="52"/>
      <c r="O727" s="52"/>
      <c r="P727" s="52"/>
      <c r="Q727" s="52"/>
      <c r="U727" s="52"/>
    </row>
    <row r="728">
      <c r="M728" s="52"/>
      <c r="N728" s="52"/>
      <c r="O728" s="52"/>
      <c r="P728" s="52"/>
      <c r="Q728" s="52"/>
      <c r="U728" s="52"/>
    </row>
    <row r="729">
      <c r="M729" s="52"/>
      <c r="N729" s="52"/>
      <c r="O729" s="52"/>
      <c r="P729" s="52"/>
      <c r="Q729" s="52"/>
      <c r="U729" s="52"/>
    </row>
    <row r="730">
      <c r="M730" s="52"/>
      <c r="N730" s="52"/>
      <c r="O730" s="52"/>
      <c r="P730" s="52"/>
      <c r="Q730" s="52"/>
      <c r="U730" s="52"/>
    </row>
    <row r="731">
      <c r="M731" s="52"/>
      <c r="N731" s="52"/>
      <c r="O731" s="52"/>
      <c r="P731" s="52"/>
      <c r="Q731" s="52"/>
      <c r="U731" s="52"/>
    </row>
    <row r="732">
      <c r="M732" s="52"/>
      <c r="N732" s="52"/>
      <c r="O732" s="52"/>
      <c r="P732" s="52"/>
      <c r="Q732" s="52"/>
      <c r="U732" s="52"/>
    </row>
    <row r="733">
      <c r="M733" s="52"/>
      <c r="N733" s="52"/>
      <c r="O733" s="52"/>
      <c r="P733" s="52"/>
      <c r="Q733" s="52"/>
      <c r="U733" s="52"/>
    </row>
    <row r="734">
      <c r="M734" s="52"/>
      <c r="N734" s="52"/>
      <c r="O734" s="52"/>
      <c r="P734" s="52"/>
      <c r="Q734" s="52"/>
      <c r="U734" s="52"/>
    </row>
    <row r="735">
      <c r="M735" s="52"/>
      <c r="N735" s="52"/>
      <c r="O735" s="52"/>
      <c r="P735" s="52"/>
      <c r="Q735" s="52"/>
      <c r="U735" s="52"/>
    </row>
    <row r="736">
      <c r="M736" s="52"/>
      <c r="N736" s="52"/>
      <c r="O736" s="52"/>
      <c r="P736" s="52"/>
      <c r="Q736" s="52"/>
      <c r="U736" s="52"/>
    </row>
    <row r="737">
      <c r="M737" s="52"/>
      <c r="N737" s="52"/>
      <c r="O737" s="52"/>
      <c r="P737" s="52"/>
      <c r="Q737" s="52"/>
      <c r="U737" s="52"/>
    </row>
    <row r="738">
      <c r="M738" s="52"/>
      <c r="N738" s="52"/>
      <c r="O738" s="52"/>
      <c r="P738" s="52"/>
      <c r="Q738" s="52"/>
      <c r="U738" s="52"/>
    </row>
    <row r="739">
      <c r="M739" s="52"/>
      <c r="N739" s="52"/>
      <c r="O739" s="52"/>
      <c r="P739" s="52"/>
      <c r="Q739" s="52"/>
      <c r="U739" s="52"/>
    </row>
    <row r="740">
      <c r="M740" s="52"/>
      <c r="N740" s="52"/>
      <c r="O740" s="52"/>
      <c r="P740" s="52"/>
      <c r="Q740" s="52"/>
      <c r="U740" s="52"/>
    </row>
    <row r="741">
      <c r="M741" s="52"/>
      <c r="N741" s="52"/>
      <c r="O741" s="52"/>
      <c r="P741" s="52"/>
      <c r="Q741" s="52"/>
      <c r="U741" s="52"/>
    </row>
    <row r="742">
      <c r="M742" s="52"/>
      <c r="N742" s="52"/>
      <c r="O742" s="52"/>
      <c r="P742" s="52"/>
      <c r="Q742" s="52"/>
      <c r="U742" s="52"/>
    </row>
    <row r="743">
      <c r="M743" s="52"/>
      <c r="N743" s="52"/>
      <c r="O743" s="52"/>
      <c r="P743" s="52"/>
      <c r="Q743" s="52"/>
      <c r="U743" s="52"/>
    </row>
    <row r="744">
      <c r="M744" s="52"/>
      <c r="N744" s="52"/>
      <c r="O744" s="52"/>
      <c r="P744" s="52"/>
      <c r="Q744" s="52"/>
      <c r="U744" s="52"/>
    </row>
    <row r="745">
      <c r="M745" s="52"/>
      <c r="N745" s="52"/>
      <c r="O745" s="52"/>
      <c r="P745" s="52"/>
      <c r="Q745" s="52"/>
      <c r="U745" s="52"/>
    </row>
    <row r="746">
      <c r="M746" s="52"/>
      <c r="N746" s="52"/>
      <c r="O746" s="52"/>
      <c r="P746" s="52"/>
      <c r="Q746" s="52"/>
      <c r="U746" s="52"/>
    </row>
    <row r="747">
      <c r="M747" s="52"/>
      <c r="N747" s="52"/>
      <c r="O747" s="52"/>
      <c r="P747" s="52"/>
      <c r="Q747" s="52"/>
      <c r="U747" s="52"/>
    </row>
    <row r="748">
      <c r="M748" s="52"/>
      <c r="N748" s="52"/>
      <c r="O748" s="52"/>
      <c r="P748" s="52"/>
      <c r="Q748" s="52"/>
      <c r="U748" s="52"/>
    </row>
    <row r="749">
      <c r="M749" s="52"/>
      <c r="N749" s="52"/>
      <c r="O749" s="52"/>
      <c r="P749" s="52"/>
      <c r="Q749" s="52"/>
      <c r="U749" s="52"/>
    </row>
    <row r="750">
      <c r="M750" s="52"/>
      <c r="N750" s="52"/>
      <c r="O750" s="52"/>
      <c r="P750" s="52"/>
      <c r="Q750" s="52"/>
      <c r="U750" s="52"/>
    </row>
    <row r="751">
      <c r="M751" s="52"/>
      <c r="N751" s="52"/>
      <c r="O751" s="52"/>
      <c r="P751" s="52"/>
      <c r="Q751" s="52"/>
      <c r="U751" s="52"/>
    </row>
    <row r="752">
      <c r="M752" s="52"/>
      <c r="N752" s="52"/>
      <c r="O752" s="52"/>
      <c r="P752" s="52"/>
      <c r="Q752" s="52"/>
      <c r="U752" s="52"/>
    </row>
    <row r="753">
      <c r="M753" s="52"/>
      <c r="N753" s="52"/>
      <c r="O753" s="52"/>
      <c r="P753" s="52"/>
      <c r="Q753" s="52"/>
      <c r="U753" s="52"/>
    </row>
    <row r="754">
      <c r="M754" s="52"/>
      <c r="N754" s="52"/>
      <c r="O754" s="52"/>
      <c r="P754" s="52"/>
      <c r="Q754" s="52"/>
      <c r="U754" s="52"/>
    </row>
    <row r="755">
      <c r="M755" s="52"/>
      <c r="N755" s="52"/>
      <c r="O755" s="52"/>
      <c r="P755" s="52"/>
      <c r="Q755" s="52"/>
      <c r="U755" s="52"/>
    </row>
    <row r="756">
      <c r="M756" s="52"/>
      <c r="N756" s="52"/>
      <c r="O756" s="52"/>
      <c r="P756" s="52"/>
      <c r="Q756" s="52"/>
      <c r="U756" s="52"/>
    </row>
    <row r="757">
      <c r="M757" s="52"/>
      <c r="N757" s="52"/>
      <c r="O757" s="52"/>
      <c r="P757" s="52"/>
      <c r="Q757" s="52"/>
      <c r="U757" s="52"/>
    </row>
    <row r="758">
      <c r="M758" s="52"/>
      <c r="N758" s="52"/>
      <c r="O758" s="52"/>
      <c r="P758" s="52"/>
      <c r="Q758" s="52"/>
      <c r="U758" s="52"/>
    </row>
    <row r="759">
      <c r="M759" s="52"/>
      <c r="N759" s="52"/>
      <c r="O759" s="52"/>
      <c r="P759" s="52"/>
      <c r="Q759" s="52"/>
      <c r="U759" s="52"/>
    </row>
    <row r="760">
      <c r="M760" s="52"/>
      <c r="N760" s="52"/>
      <c r="O760" s="52"/>
      <c r="P760" s="52"/>
      <c r="Q760" s="52"/>
      <c r="U760" s="52"/>
    </row>
    <row r="761">
      <c r="M761" s="52"/>
      <c r="N761" s="52"/>
      <c r="O761" s="52"/>
      <c r="P761" s="52"/>
      <c r="Q761" s="52"/>
      <c r="U761" s="52"/>
    </row>
    <row r="762">
      <c r="M762" s="52"/>
      <c r="N762" s="52"/>
      <c r="O762" s="52"/>
      <c r="P762" s="52"/>
      <c r="Q762" s="52"/>
      <c r="U762" s="52"/>
    </row>
    <row r="763">
      <c r="M763" s="52"/>
      <c r="N763" s="52"/>
      <c r="O763" s="52"/>
      <c r="P763" s="52"/>
      <c r="Q763" s="52"/>
      <c r="U763" s="52"/>
    </row>
    <row r="764">
      <c r="M764" s="52"/>
      <c r="N764" s="52"/>
      <c r="O764" s="52"/>
      <c r="P764" s="52"/>
      <c r="Q764" s="52"/>
      <c r="U764" s="52"/>
    </row>
    <row r="765">
      <c r="M765" s="52"/>
      <c r="N765" s="52"/>
      <c r="O765" s="52"/>
      <c r="P765" s="52"/>
      <c r="Q765" s="52"/>
      <c r="U765" s="52"/>
    </row>
    <row r="766">
      <c r="M766" s="52"/>
      <c r="N766" s="52"/>
      <c r="O766" s="52"/>
      <c r="P766" s="52"/>
      <c r="Q766" s="52"/>
      <c r="U766" s="52"/>
    </row>
    <row r="767">
      <c r="M767" s="52"/>
      <c r="N767" s="52"/>
      <c r="O767" s="52"/>
      <c r="P767" s="52"/>
      <c r="Q767" s="52"/>
      <c r="U767" s="52"/>
    </row>
    <row r="768">
      <c r="M768" s="52"/>
      <c r="N768" s="52"/>
      <c r="O768" s="52"/>
      <c r="P768" s="52"/>
      <c r="Q768" s="52"/>
      <c r="U768" s="52"/>
    </row>
    <row r="769">
      <c r="M769" s="52"/>
      <c r="N769" s="52"/>
      <c r="O769" s="52"/>
      <c r="P769" s="52"/>
      <c r="Q769" s="52"/>
      <c r="U769" s="52"/>
    </row>
    <row r="770">
      <c r="M770" s="52"/>
      <c r="N770" s="52"/>
      <c r="O770" s="52"/>
      <c r="P770" s="52"/>
      <c r="Q770" s="52"/>
      <c r="U770" s="52"/>
    </row>
    <row r="771">
      <c r="M771" s="52"/>
      <c r="N771" s="52"/>
      <c r="O771" s="52"/>
      <c r="P771" s="52"/>
      <c r="Q771" s="52"/>
      <c r="U771" s="52"/>
    </row>
    <row r="772">
      <c r="M772" s="52"/>
      <c r="N772" s="52"/>
      <c r="O772" s="52"/>
      <c r="P772" s="52"/>
      <c r="Q772" s="52"/>
      <c r="U772" s="52"/>
    </row>
    <row r="773">
      <c r="M773" s="52"/>
      <c r="N773" s="52"/>
      <c r="O773" s="52"/>
      <c r="P773" s="52"/>
      <c r="Q773" s="52"/>
      <c r="U773" s="52"/>
    </row>
    <row r="774">
      <c r="M774" s="52"/>
      <c r="N774" s="52"/>
      <c r="O774" s="52"/>
      <c r="P774" s="52"/>
      <c r="Q774" s="52"/>
      <c r="U774" s="52"/>
    </row>
    <row r="775">
      <c r="M775" s="52"/>
      <c r="N775" s="52"/>
      <c r="O775" s="52"/>
      <c r="P775" s="52"/>
      <c r="Q775" s="52"/>
      <c r="U775" s="52"/>
    </row>
    <row r="776">
      <c r="M776" s="52"/>
      <c r="N776" s="52"/>
      <c r="O776" s="52"/>
      <c r="P776" s="52"/>
      <c r="Q776" s="52"/>
      <c r="U776" s="52"/>
    </row>
    <row r="777">
      <c r="M777" s="52"/>
      <c r="N777" s="52"/>
      <c r="O777" s="52"/>
      <c r="P777" s="52"/>
      <c r="Q777" s="52"/>
      <c r="U777" s="52"/>
    </row>
    <row r="778">
      <c r="M778" s="52"/>
      <c r="N778" s="52"/>
      <c r="O778" s="52"/>
      <c r="P778" s="52"/>
      <c r="Q778" s="52"/>
      <c r="U778" s="52"/>
    </row>
    <row r="779">
      <c r="M779" s="52"/>
      <c r="N779" s="52"/>
      <c r="O779" s="52"/>
      <c r="P779" s="52"/>
      <c r="Q779" s="52"/>
      <c r="U779" s="52"/>
    </row>
    <row r="780">
      <c r="M780" s="52"/>
      <c r="N780" s="52"/>
      <c r="O780" s="52"/>
      <c r="P780" s="52"/>
      <c r="Q780" s="52"/>
      <c r="U780" s="52"/>
    </row>
    <row r="781">
      <c r="M781" s="52"/>
      <c r="N781" s="52"/>
      <c r="O781" s="52"/>
      <c r="P781" s="52"/>
      <c r="Q781" s="52"/>
      <c r="U781" s="52"/>
    </row>
    <row r="782">
      <c r="M782" s="52"/>
      <c r="N782" s="52"/>
      <c r="O782" s="52"/>
      <c r="P782" s="52"/>
      <c r="Q782" s="52"/>
      <c r="U782" s="52"/>
    </row>
    <row r="783">
      <c r="M783" s="52"/>
      <c r="N783" s="52"/>
      <c r="O783" s="52"/>
      <c r="P783" s="52"/>
      <c r="Q783" s="52"/>
      <c r="U783" s="52"/>
    </row>
    <row r="784">
      <c r="M784" s="52"/>
      <c r="N784" s="52"/>
      <c r="O784" s="52"/>
      <c r="P784" s="52"/>
      <c r="Q784" s="52"/>
      <c r="U784" s="52"/>
    </row>
    <row r="785">
      <c r="M785" s="52"/>
      <c r="N785" s="52"/>
      <c r="O785" s="52"/>
      <c r="P785" s="52"/>
      <c r="Q785" s="52"/>
      <c r="U785" s="52"/>
    </row>
    <row r="786">
      <c r="M786" s="52"/>
      <c r="N786" s="52"/>
      <c r="O786" s="52"/>
      <c r="P786" s="52"/>
      <c r="Q786" s="52"/>
      <c r="U786" s="52"/>
    </row>
    <row r="787">
      <c r="M787" s="52"/>
      <c r="N787" s="52"/>
      <c r="O787" s="52"/>
      <c r="P787" s="52"/>
      <c r="Q787" s="52"/>
      <c r="U787" s="52"/>
    </row>
    <row r="788">
      <c r="M788" s="52"/>
      <c r="N788" s="52"/>
      <c r="O788" s="52"/>
      <c r="P788" s="52"/>
      <c r="Q788" s="52"/>
      <c r="U788" s="52"/>
    </row>
    <row r="789">
      <c r="M789" s="52"/>
      <c r="N789" s="52"/>
      <c r="O789" s="52"/>
      <c r="P789" s="52"/>
      <c r="Q789" s="52"/>
      <c r="U789" s="52"/>
    </row>
    <row r="790">
      <c r="M790" s="52"/>
      <c r="N790" s="52"/>
      <c r="O790" s="52"/>
      <c r="P790" s="52"/>
      <c r="Q790" s="52"/>
      <c r="U790" s="52"/>
    </row>
    <row r="791">
      <c r="M791" s="52"/>
      <c r="N791" s="52"/>
      <c r="O791" s="52"/>
      <c r="P791" s="52"/>
      <c r="Q791" s="52"/>
      <c r="U791" s="52"/>
    </row>
    <row r="792">
      <c r="M792" s="52"/>
      <c r="N792" s="52"/>
      <c r="O792" s="52"/>
      <c r="P792" s="52"/>
      <c r="Q792" s="52"/>
      <c r="U792" s="52"/>
    </row>
    <row r="793">
      <c r="M793" s="52"/>
      <c r="N793" s="52"/>
      <c r="O793" s="52"/>
      <c r="P793" s="52"/>
      <c r="Q793" s="52"/>
      <c r="U793" s="52"/>
    </row>
    <row r="794">
      <c r="M794" s="52"/>
      <c r="N794" s="52"/>
      <c r="O794" s="52"/>
      <c r="P794" s="52"/>
      <c r="Q794" s="52"/>
      <c r="U794" s="52"/>
    </row>
    <row r="795">
      <c r="M795" s="52"/>
      <c r="N795" s="52"/>
      <c r="O795" s="52"/>
      <c r="P795" s="52"/>
      <c r="Q795" s="52"/>
      <c r="U795" s="52"/>
    </row>
    <row r="796">
      <c r="M796" s="52"/>
      <c r="N796" s="52"/>
      <c r="O796" s="52"/>
      <c r="P796" s="52"/>
      <c r="Q796" s="52"/>
      <c r="U796" s="52"/>
    </row>
    <row r="797">
      <c r="M797" s="52"/>
      <c r="N797" s="52"/>
      <c r="O797" s="52"/>
      <c r="P797" s="52"/>
      <c r="Q797" s="52"/>
      <c r="U797" s="52"/>
    </row>
    <row r="798">
      <c r="M798" s="52"/>
      <c r="N798" s="52"/>
      <c r="O798" s="52"/>
      <c r="P798" s="52"/>
      <c r="Q798" s="52"/>
      <c r="U798" s="52"/>
    </row>
    <row r="799">
      <c r="M799" s="52"/>
      <c r="N799" s="52"/>
      <c r="O799" s="52"/>
      <c r="P799" s="52"/>
      <c r="Q799" s="52"/>
      <c r="U799" s="52"/>
    </row>
    <row r="800">
      <c r="M800" s="52"/>
      <c r="N800" s="52"/>
      <c r="O800" s="52"/>
      <c r="P800" s="52"/>
      <c r="Q800" s="52"/>
      <c r="U800" s="52"/>
    </row>
    <row r="801">
      <c r="M801" s="52"/>
      <c r="N801" s="52"/>
      <c r="O801" s="52"/>
      <c r="P801" s="52"/>
      <c r="Q801" s="52"/>
      <c r="U801" s="52"/>
    </row>
    <row r="802">
      <c r="M802" s="52"/>
      <c r="N802" s="52"/>
      <c r="O802" s="52"/>
      <c r="P802" s="52"/>
      <c r="Q802" s="52"/>
      <c r="U802" s="52"/>
    </row>
    <row r="803">
      <c r="M803" s="52"/>
      <c r="N803" s="52"/>
      <c r="O803" s="52"/>
      <c r="P803" s="52"/>
      <c r="Q803" s="52"/>
      <c r="U803" s="52"/>
    </row>
    <row r="804">
      <c r="M804" s="52"/>
      <c r="N804" s="52"/>
      <c r="O804" s="52"/>
      <c r="P804" s="52"/>
      <c r="Q804" s="52"/>
      <c r="U804" s="52"/>
    </row>
    <row r="805">
      <c r="M805" s="52"/>
      <c r="N805" s="52"/>
      <c r="O805" s="52"/>
      <c r="P805" s="52"/>
      <c r="Q805" s="52"/>
      <c r="U805" s="52"/>
    </row>
    <row r="806">
      <c r="M806" s="52"/>
      <c r="N806" s="52"/>
      <c r="O806" s="52"/>
      <c r="P806" s="52"/>
      <c r="Q806" s="52"/>
      <c r="U806" s="52"/>
    </row>
    <row r="807">
      <c r="M807" s="52"/>
      <c r="N807" s="52"/>
      <c r="O807" s="52"/>
      <c r="P807" s="52"/>
      <c r="Q807" s="52"/>
      <c r="U807" s="52"/>
    </row>
    <row r="808">
      <c r="M808" s="52"/>
      <c r="N808" s="52"/>
      <c r="O808" s="52"/>
      <c r="P808" s="52"/>
      <c r="Q808" s="52"/>
      <c r="U808" s="52"/>
    </row>
    <row r="809">
      <c r="M809" s="52"/>
      <c r="N809" s="52"/>
      <c r="O809" s="52"/>
      <c r="P809" s="52"/>
      <c r="Q809" s="52"/>
      <c r="U809" s="52"/>
    </row>
    <row r="810">
      <c r="M810" s="52"/>
      <c r="N810" s="52"/>
      <c r="O810" s="52"/>
      <c r="P810" s="52"/>
      <c r="Q810" s="52"/>
      <c r="U810" s="52"/>
    </row>
    <row r="811">
      <c r="M811" s="52"/>
      <c r="N811" s="52"/>
      <c r="O811" s="52"/>
      <c r="P811" s="52"/>
      <c r="Q811" s="52"/>
      <c r="U811" s="52"/>
    </row>
    <row r="812">
      <c r="M812" s="52"/>
      <c r="N812" s="52"/>
      <c r="O812" s="52"/>
      <c r="P812" s="52"/>
      <c r="Q812" s="52"/>
      <c r="U812" s="52"/>
    </row>
    <row r="813">
      <c r="M813" s="52"/>
      <c r="N813" s="52"/>
      <c r="O813" s="52"/>
      <c r="P813" s="52"/>
      <c r="Q813" s="52"/>
      <c r="U813" s="52"/>
    </row>
    <row r="814">
      <c r="M814" s="52"/>
      <c r="N814" s="52"/>
      <c r="O814" s="52"/>
      <c r="P814" s="52"/>
      <c r="Q814" s="52"/>
      <c r="U814" s="52"/>
    </row>
    <row r="815">
      <c r="M815" s="52"/>
      <c r="N815" s="52"/>
      <c r="O815" s="52"/>
      <c r="P815" s="52"/>
      <c r="Q815" s="52"/>
      <c r="U815" s="52"/>
    </row>
    <row r="816">
      <c r="M816" s="52"/>
      <c r="N816" s="52"/>
      <c r="O816" s="52"/>
      <c r="P816" s="52"/>
      <c r="Q816" s="52"/>
      <c r="U816" s="52"/>
    </row>
    <row r="817">
      <c r="M817" s="52"/>
      <c r="N817" s="52"/>
      <c r="O817" s="52"/>
      <c r="P817" s="52"/>
      <c r="Q817" s="52"/>
      <c r="U817" s="52"/>
    </row>
    <row r="818">
      <c r="M818" s="52"/>
      <c r="N818" s="52"/>
      <c r="O818" s="52"/>
      <c r="P818" s="52"/>
      <c r="Q818" s="52"/>
      <c r="U818" s="52"/>
    </row>
    <row r="819">
      <c r="M819" s="52"/>
      <c r="N819" s="52"/>
      <c r="O819" s="52"/>
      <c r="P819" s="52"/>
      <c r="Q819" s="52"/>
      <c r="U819" s="52"/>
    </row>
    <row r="820">
      <c r="M820" s="52"/>
      <c r="N820" s="52"/>
      <c r="O820" s="52"/>
      <c r="P820" s="52"/>
      <c r="Q820" s="52"/>
      <c r="U820" s="52"/>
    </row>
    <row r="821">
      <c r="M821" s="52"/>
      <c r="N821" s="52"/>
      <c r="O821" s="52"/>
      <c r="P821" s="52"/>
      <c r="Q821" s="52"/>
      <c r="U821" s="52"/>
    </row>
    <row r="822">
      <c r="M822" s="52"/>
      <c r="N822" s="52"/>
      <c r="O822" s="52"/>
      <c r="P822" s="52"/>
      <c r="Q822" s="52"/>
      <c r="U822" s="52"/>
    </row>
    <row r="823">
      <c r="M823" s="52"/>
      <c r="N823" s="52"/>
      <c r="O823" s="52"/>
      <c r="P823" s="52"/>
      <c r="Q823" s="52"/>
      <c r="U823" s="52"/>
    </row>
    <row r="824">
      <c r="M824" s="52"/>
      <c r="N824" s="52"/>
      <c r="O824" s="52"/>
      <c r="P824" s="52"/>
      <c r="Q824" s="52"/>
      <c r="U824" s="52"/>
    </row>
    <row r="825">
      <c r="M825" s="52"/>
      <c r="N825" s="52"/>
      <c r="O825" s="52"/>
      <c r="P825" s="52"/>
      <c r="Q825" s="52"/>
      <c r="U825" s="52"/>
    </row>
    <row r="826">
      <c r="M826" s="52"/>
      <c r="N826" s="52"/>
      <c r="O826" s="52"/>
      <c r="P826" s="52"/>
      <c r="Q826" s="52"/>
      <c r="U826" s="52"/>
    </row>
    <row r="827">
      <c r="M827" s="52"/>
      <c r="N827" s="52"/>
      <c r="O827" s="52"/>
      <c r="P827" s="52"/>
      <c r="Q827" s="52"/>
      <c r="U827" s="52"/>
    </row>
    <row r="828">
      <c r="M828" s="52"/>
      <c r="N828" s="52"/>
      <c r="O828" s="52"/>
      <c r="P828" s="52"/>
      <c r="Q828" s="52"/>
      <c r="U828" s="52"/>
    </row>
    <row r="829">
      <c r="M829" s="52"/>
      <c r="N829" s="52"/>
      <c r="O829" s="52"/>
      <c r="P829" s="52"/>
      <c r="Q829" s="52"/>
      <c r="U829" s="52"/>
    </row>
    <row r="830">
      <c r="M830" s="52"/>
      <c r="N830" s="52"/>
      <c r="O830" s="52"/>
      <c r="P830" s="52"/>
      <c r="Q830" s="52"/>
      <c r="U830" s="52"/>
    </row>
    <row r="831">
      <c r="M831" s="52"/>
      <c r="N831" s="52"/>
      <c r="O831" s="52"/>
      <c r="P831" s="52"/>
      <c r="Q831" s="52"/>
      <c r="U831" s="52"/>
    </row>
    <row r="832">
      <c r="M832" s="52"/>
      <c r="N832" s="52"/>
      <c r="O832" s="52"/>
      <c r="P832" s="52"/>
      <c r="Q832" s="52"/>
      <c r="U832" s="52"/>
    </row>
    <row r="833">
      <c r="M833" s="52"/>
      <c r="N833" s="52"/>
      <c r="O833" s="52"/>
      <c r="P833" s="52"/>
      <c r="Q833" s="52"/>
      <c r="U833" s="52"/>
    </row>
    <row r="834">
      <c r="M834" s="52"/>
      <c r="N834" s="52"/>
      <c r="O834" s="52"/>
      <c r="P834" s="52"/>
      <c r="Q834" s="52"/>
      <c r="U834" s="52"/>
    </row>
    <row r="835">
      <c r="M835" s="52"/>
      <c r="N835" s="52"/>
      <c r="O835" s="52"/>
      <c r="P835" s="52"/>
      <c r="Q835" s="52"/>
      <c r="U835" s="52"/>
    </row>
    <row r="836">
      <c r="M836" s="52"/>
      <c r="N836" s="52"/>
      <c r="O836" s="52"/>
      <c r="P836" s="52"/>
      <c r="Q836" s="52"/>
      <c r="U836" s="52"/>
    </row>
    <row r="837">
      <c r="M837" s="52"/>
      <c r="N837" s="52"/>
      <c r="O837" s="52"/>
      <c r="P837" s="52"/>
      <c r="Q837" s="52"/>
      <c r="U837" s="52"/>
    </row>
    <row r="838">
      <c r="M838" s="52"/>
      <c r="N838" s="52"/>
      <c r="O838" s="52"/>
      <c r="P838" s="52"/>
      <c r="Q838" s="52"/>
      <c r="U838" s="52"/>
    </row>
    <row r="839">
      <c r="M839" s="52"/>
      <c r="N839" s="52"/>
      <c r="O839" s="52"/>
      <c r="P839" s="52"/>
      <c r="Q839" s="52"/>
      <c r="U839" s="52"/>
    </row>
    <row r="840">
      <c r="M840" s="52"/>
      <c r="N840" s="52"/>
      <c r="O840" s="52"/>
      <c r="P840" s="52"/>
      <c r="Q840" s="52"/>
      <c r="U840" s="52"/>
    </row>
    <row r="841">
      <c r="M841" s="52"/>
      <c r="N841" s="52"/>
      <c r="O841" s="52"/>
      <c r="P841" s="52"/>
      <c r="Q841" s="52"/>
      <c r="U841" s="52"/>
    </row>
    <row r="842">
      <c r="M842" s="52"/>
      <c r="N842" s="52"/>
      <c r="O842" s="52"/>
      <c r="P842" s="52"/>
      <c r="Q842" s="52"/>
      <c r="U842" s="52"/>
    </row>
    <row r="843">
      <c r="M843" s="52"/>
      <c r="N843" s="52"/>
      <c r="O843" s="52"/>
      <c r="P843" s="52"/>
      <c r="Q843" s="52"/>
      <c r="U843" s="52"/>
    </row>
    <row r="844">
      <c r="M844" s="52"/>
      <c r="N844" s="52"/>
      <c r="O844" s="52"/>
      <c r="P844" s="52"/>
      <c r="Q844" s="52"/>
      <c r="U844" s="52"/>
    </row>
    <row r="845">
      <c r="M845" s="52"/>
      <c r="N845" s="52"/>
      <c r="O845" s="52"/>
      <c r="P845" s="52"/>
      <c r="Q845" s="52"/>
      <c r="U845" s="52"/>
    </row>
    <row r="846">
      <c r="M846" s="52"/>
      <c r="N846" s="52"/>
      <c r="O846" s="52"/>
      <c r="P846" s="52"/>
      <c r="Q846" s="52"/>
      <c r="U846" s="52"/>
    </row>
    <row r="847">
      <c r="M847" s="52"/>
      <c r="N847" s="52"/>
      <c r="O847" s="52"/>
      <c r="P847" s="52"/>
      <c r="Q847" s="52"/>
      <c r="U847" s="52"/>
    </row>
    <row r="848">
      <c r="M848" s="52"/>
      <c r="N848" s="52"/>
      <c r="O848" s="52"/>
      <c r="P848" s="52"/>
      <c r="Q848" s="52"/>
      <c r="U848" s="52"/>
    </row>
    <row r="849">
      <c r="M849" s="52"/>
      <c r="N849" s="52"/>
      <c r="O849" s="52"/>
      <c r="P849" s="52"/>
      <c r="Q849" s="52"/>
      <c r="U849" s="52"/>
    </row>
    <row r="850">
      <c r="M850" s="52"/>
      <c r="N850" s="52"/>
      <c r="O850" s="52"/>
      <c r="P850" s="52"/>
      <c r="Q850" s="52"/>
      <c r="U850" s="52"/>
    </row>
    <row r="851">
      <c r="M851" s="52"/>
      <c r="N851" s="52"/>
      <c r="O851" s="52"/>
      <c r="P851" s="52"/>
      <c r="Q851" s="52"/>
      <c r="U851" s="52"/>
    </row>
    <row r="852">
      <c r="M852" s="52"/>
      <c r="N852" s="52"/>
      <c r="O852" s="52"/>
      <c r="P852" s="52"/>
      <c r="Q852" s="52"/>
      <c r="U852" s="52"/>
    </row>
    <row r="853">
      <c r="M853" s="52"/>
      <c r="N853" s="52"/>
      <c r="O853" s="52"/>
      <c r="P853" s="52"/>
      <c r="Q853" s="52"/>
      <c r="U853" s="52"/>
    </row>
    <row r="854">
      <c r="M854" s="52"/>
      <c r="N854" s="52"/>
      <c r="O854" s="52"/>
      <c r="P854" s="52"/>
      <c r="Q854" s="52"/>
      <c r="U854" s="52"/>
    </row>
    <row r="855">
      <c r="M855" s="52"/>
      <c r="N855" s="52"/>
      <c r="O855" s="52"/>
      <c r="P855" s="52"/>
      <c r="Q855" s="52"/>
      <c r="U855" s="52"/>
    </row>
    <row r="856">
      <c r="M856" s="52"/>
      <c r="N856" s="52"/>
      <c r="O856" s="52"/>
      <c r="P856" s="52"/>
      <c r="Q856" s="52"/>
      <c r="U856" s="52"/>
    </row>
    <row r="857">
      <c r="M857" s="52"/>
      <c r="N857" s="52"/>
      <c r="O857" s="52"/>
      <c r="P857" s="52"/>
      <c r="Q857" s="52"/>
      <c r="U857" s="52"/>
    </row>
    <row r="858">
      <c r="M858" s="52"/>
      <c r="N858" s="52"/>
      <c r="O858" s="52"/>
      <c r="P858" s="52"/>
      <c r="Q858" s="52"/>
      <c r="U858" s="52"/>
    </row>
    <row r="859">
      <c r="M859" s="52"/>
      <c r="N859" s="52"/>
      <c r="O859" s="52"/>
      <c r="P859" s="52"/>
      <c r="Q859" s="52"/>
      <c r="U859" s="52"/>
    </row>
    <row r="860">
      <c r="M860" s="52"/>
      <c r="N860" s="52"/>
      <c r="O860" s="52"/>
      <c r="P860" s="52"/>
      <c r="Q860" s="52"/>
      <c r="U860" s="52"/>
    </row>
    <row r="861">
      <c r="M861" s="52"/>
      <c r="N861" s="52"/>
      <c r="O861" s="52"/>
      <c r="P861" s="52"/>
      <c r="Q861" s="52"/>
      <c r="U861" s="52"/>
    </row>
    <row r="862">
      <c r="M862" s="52"/>
      <c r="N862" s="52"/>
      <c r="O862" s="52"/>
      <c r="P862" s="52"/>
      <c r="Q862" s="52"/>
      <c r="U862" s="52"/>
    </row>
    <row r="863">
      <c r="M863" s="52"/>
      <c r="N863" s="52"/>
      <c r="O863" s="52"/>
      <c r="P863" s="52"/>
      <c r="Q863" s="52"/>
      <c r="U863" s="52"/>
    </row>
    <row r="864">
      <c r="M864" s="52"/>
      <c r="N864" s="52"/>
      <c r="O864" s="52"/>
      <c r="P864" s="52"/>
      <c r="Q864" s="52"/>
      <c r="U864" s="52"/>
    </row>
    <row r="865">
      <c r="M865" s="52"/>
      <c r="N865" s="52"/>
      <c r="O865" s="52"/>
      <c r="P865" s="52"/>
      <c r="Q865" s="52"/>
      <c r="U865" s="52"/>
    </row>
    <row r="866">
      <c r="M866" s="52"/>
      <c r="N866" s="52"/>
      <c r="O866" s="52"/>
      <c r="P866" s="52"/>
      <c r="Q866" s="52"/>
      <c r="U866" s="52"/>
    </row>
    <row r="867">
      <c r="M867" s="52"/>
      <c r="N867" s="52"/>
      <c r="O867" s="52"/>
      <c r="P867" s="52"/>
      <c r="Q867" s="52"/>
      <c r="U867" s="52"/>
    </row>
    <row r="868">
      <c r="M868" s="52"/>
      <c r="N868" s="52"/>
      <c r="O868" s="52"/>
      <c r="P868" s="52"/>
      <c r="Q868" s="52"/>
      <c r="U868" s="52"/>
    </row>
    <row r="869">
      <c r="M869" s="52"/>
      <c r="N869" s="52"/>
      <c r="O869" s="52"/>
      <c r="P869" s="52"/>
      <c r="Q869" s="52"/>
      <c r="U869" s="52"/>
    </row>
    <row r="870">
      <c r="M870" s="52"/>
      <c r="N870" s="52"/>
      <c r="O870" s="52"/>
      <c r="P870" s="52"/>
      <c r="Q870" s="52"/>
      <c r="U870" s="52"/>
    </row>
    <row r="871">
      <c r="M871" s="52"/>
      <c r="N871" s="52"/>
      <c r="O871" s="52"/>
      <c r="P871" s="52"/>
      <c r="Q871" s="52"/>
      <c r="U871" s="52"/>
    </row>
    <row r="872">
      <c r="M872" s="52"/>
      <c r="N872" s="52"/>
      <c r="O872" s="52"/>
      <c r="P872" s="52"/>
      <c r="Q872" s="52"/>
      <c r="U872" s="52"/>
    </row>
    <row r="873">
      <c r="M873" s="52"/>
      <c r="N873" s="52"/>
      <c r="O873" s="52"/>
      <c r="P873" s="52"/>
      <c r="Q873" s="52"/>
      <c r="U873" s="52"/>
    </row>
    <row r="874">
      <c r="M874" s="52"/>
      <c r="N874" s="52"/>
      <c r="O874" s="52"/>
      <c r="P874" s="52"/>
      <c r="Q874" s="52"/>
      <c r="U874" s="52"/>
    </row>
    <row r="875">
      <c r="M875" s="52"/>
      <c r="N875" s="52"/>
      <c r="O875" s="52"/>
      <c r="P875" s="52"/>
      <c r="Q875" s="52"/>
      <c r="U875" s="52"/>
    </row>
    <row r="876">
      <c r="M876" s="52"/>
      <c r="N876" s="52"/>
      <c r="O876" s="52"/>
      <c r="P876" s="52"/>
      <c r="Q876" s="52"/>
      <c r="U876" s="52"/>
    </row>
    <row r="877">
      <c r="M877" s="52"/>
      <c r="N877" s="52"/>
      <c r="O877" s="52"/>
      <c r="P877" s="52"/>
      <c r="Q877" s="52"/>
      <c r="U877" s="52"/>
    </row>
    <row r="878">
      <c r="M878" s="52"/>
      <c r="N878" s="52"/>
      <c r="O878" s="52"/>
      <c r="P878" s="52"/>
      <c r="Q878" s="52"/>
      <c r="U878" s="52"/>
    </row>
    <row r="879">
      <c r="M879" s="52"/>
      <c r="N879" s="52"/>
      <c r="O879" s="52"/>
      <c r="P879" s="52"/>
      <c r="Q879" s="52"/>
      <c r="U879" s="52"/>
    </row>
    <row r="880">
      <c r="M880" s="52"/>
      <c r="N880" s="52"/>
      <c r="O880" s="52"/>
      <c r="P880" s="52"/>
      <c r="Q880" s="52"/>
      <c r="U880" s="52"/>
    </row>
    <row r="881">
      <c r="M881" s="52"/>
      <c r="N881" s="52"/>
      <c r="O881" s="52"/>
      <c r="P881" s="52"/>
      <c r="Q881" s="52"/>
      <c r="U881" s="52"/>
    </row>
    <row r="882">
      <c r="M882" s="52"/>
      <c r="N882" s="52"/>
      <c r="O882" s="52"/>
      <c r="P882" s="52"/>
      <c r="Q882" s="52"/>
      <c r="U882" s="52"/>
    </row>
    <row r="883">
      <c r="M883" s="52"/>
      <c r="N883" s="52"/>
      <c r="O883" s="52"/>
      <c r="P883" s="52"/>
      <c r="Q883" s="52"/>
      <c r="U883" s="52"/>
    </row>
    <row r="884">
      <c r="M884" s="52"/>
      <c r="N884" s="52"/>
      <c r="O884" s="52"/>
      <c r="P884" s="52"/>
      <c r="Q884" s="52"/>
      <c r="U884" s="52"/>
    </row>
    <row r="885">
      <c r="M885" s="52"/>
      <c r="N885" s="52"/>
      <c r="O885" s="52"/>
      <c r="P885" s="52"/>
      <c r="Q885" s="52"/>
      <c r="U885" s="52"/>
    </row>
    <row r="886">
      <c r="M886" s="52"/>
      <c r="N886" s="52"/>
      <c r="O886" s="52"/>
      <c r="P886" s="52"/>
      <c r="Q886" s="52"/>
      <c r="U886" s="52"/>
    </row>
    <row r="887">
      <c r="M887" s="52"/>
      <c r="N887" s="52"/>
      <c r="O887" s="52"/>
      <c r="P887" s="52"/>
      <c r="Q887" s="52"/>
      <c r="U887" s="52"/>
    </row>
    <row r="888">
      <c r="M888" s="52"/>
      <c r="N888" s="52"/>
      <c r="O888" s="52"/>
      <c r="P888" s="52"/>
      <c r="Q888" s="52"/>
      <c r="U888" s="52"/>
    </row>
    <row r="889">
      <c r="M889" s="52"/>
      <c r="N889" s="52"/>
      <c r="O889" s="52"/>
      <c r="P889" s="52"/>
      <c r="Q889" s="52"/>
      <c r="U889" s="52"/>
    </row>
    <row r="890">
      <c r="M890" s="52"/>
      <c r="N890" s="52"/>
      <c r="O890" s="52"/>
      <c r="P890" s="52"/>
      <c r="Q890" s="52"/>
      <c r="U890" s="52"/>
    </row>
    <row r="891">
      <c r="M891" s="52"/>
      <c r="N891" s="52"/>
      <c r="O891" s="52"/>
      <c r="P891" s="52"/>
      <c r="Q891" s="52"/>
      <c r="U891" s="52"/>
    </row>
    <row r="892">
      <c r="M892" s="52"/>
      <c r="N892" s="52"/>
      <c r="O892" s="52"/>
      <c r="P892" s="52"/>
      <c r="Q892" s="52"/>
      <c r="U892" s="52"/>
    </row>
    <row r="893">
      <c r="M893" s="52"/>
      <c r="N893" s="52"/>
      <c r="O893" s="52"/>
      <c r="P893" s="52"/>
      <c r="Q893" s="52"/>
      <c r="U893" s="52"/>
    </row>
    <row r="894">
      <c r="M894" s="52"/>
      <c r="N894" s="52"/>
      <c r="O894" s="52"/>
      <c r="P894" s="52"/>
      <c r="Q894" s="52"/>
      <c r="U894" s="52"/>
    </row>
    <row r="895">
      <c r="M895" s="52"/>
      <c r="N895" s="52"/>
      <c r="O895" s="52"/>
      <c r="P895" s="52"/>
      <c r="Q895" s="52"/>
      <c r="U895" s="52"/>
    </row>
    <row r="896">
      <c r="M896" s="52"/>
      <c r="N896" s="52"/>
      <c r="O896" s="52"/>
      <c r="P896" s="52"/>
      <c r="Q896" s="52"/>
      <c r="U896" s="52"/>
    </row>
    <row r="897">
      <c r="M897" s="52"/>
      <c r="N897" s="52"/>
      <c r="O897" s="52"/>
      <c r="P897" s="52"/>
      <c r="Q897" s="52"/>
      <c r="U897" s="52"/>
    </row>
    <row r="898">
      <c r="M898" s="52"/>
      <c r="N898" s="52"/>
      <c r="O898" s="52"/>
      <c r="P898" s="52"/>
      <c r="Q898" s="52"/>
      <c r="U898" s="52"/>
    </row>
    <row r="899">
      <c r="M899" s="52"/>
      <c r="N899" s="52"/>
      <c r="O899" s="52"/>
      <c r="P899" s="52"/>
      <c r="Q899" s="52"/>
      <c r="U899" s="52"/>
    </row>
    <row r="900">
      <c r="M900" s="52"/>
      <c r="N900" s="52"/>
      <c r="O900" s="52"/>
      <c r="P900" s="52"/>
      <c r="Q900" s="52"/>
      <c r="U900" s="52"/>
    </row>
    <row r="901">
      <c r="M901" s="52"/>
      <c r="N901" s="52"/>
      <c r="O901" s="52"/>
      <c r="P901" s="52"/>
      <c r="Q901" s="52"/>
      <c r="U901" s="52"/>
    </row>
    <row r="902">
      <c r="M902" s="52"/>
      <c r="N902" s="52"/>
      <c r="O902" s="52"/>
      <c r="P902" s="52"/>
      <c r="Q902" s="52"/>
      <c r="U902" s="52"/>
    </row>
    <row r="903">
      <c r="M903" s="52"/>
      <c r="N903" s="52"/>
      <c r="O903" s="52"/>
      <c r="P903" s="52"/>
      <c r="Q903" s="52"/>
      <c r="U903" s="52"/>
    </row>
    <row r="904">
      <c r="M904" s="52"/>
      <c r="N904" s="52"/>
      <c r="O904" s="52"/>
      <c r="P904" s="52"/>
      <c r="Q904" s="52"/>
      <c r="U904" s="52"/>
    </row>
    <row r="905">
      <c r="M905" s="52"/>
      <c r="N905" s="52"/>
      <c r="O905" s="52"/>
      <c r="P905" s="52"/>
      <c r="Q905" s="52"/>
      <c r="U905" s="52"/>
    </row>
    <row r="906">
      <c r="M906" s="52"/>
      <c r="N906" s="52"/>
      <c r="O906" s="52"/>
      <c r="P906" s="52"/>
      <c r="Q906" s="52"/>
      <c r="U906" s="52"/>
    </row>
    <row r="907">
      <c r="M907" s="52"/>
      <c r="N907" s="52"/>
      <c r="O907" s="52"/>
      <c r="P907" s="52"/>
      <c r="Q907" s="52"/>
      <c r="U907" s="52"/>
    </row>
    <row r="908">
      <c r="M908" s="52"/>
      <c r="N908" s="52"/>
      <c r="O908" s="52"/>
      <c r="P908" s="52"/>
      <c r="Q908" s="52"/>
      <c r="U908" s="52"/>
    </row>
    <row r="909">
      <c r="M909" s="52"/>
      <c r="N909" s="52"/>
      <c r="O909" s="52"/>
      <c r="P909" s="52"/>
      <c r="Q909" s="52"/>
      <c r="U909" s="52"/>
    </row>
    <row r="910">
      <c r="M910" s="52"/>
      <c r="N910" s="52"/>
      <c r="O910" s="52"/>
      <c r="P910" s="52"/>
      <c r="Q910" s="52"/>
      <c r="U910" s="52"/>
    </row>
    <row r="911">
      <c r="M911" s="52"/>
      <c r="N911" s="52"/>
      <c r="O911" s="52"/>
      <c r="P911" s="52"/>
      <c r="Q911" s="52"/>
      <c r="U911" s="52"/>
    </row>
    <row r="912">
      <c r="M912" s="52"/>
      <c r="N912" s="52"/>
      <c r="O912" s="52"/>
      <c r="P912" s="52"/>
      <c r="Q912" s="52"/>
      <c r="U912" s="52"/>
    </row>
    <row r="913">
      <c r="M913" s="52"/>
      <c r="N913" s="52"/>
      <c r="O913" s="52"/>
      <c r="P913" s="52"/>
      <c r="Q913" s="52"/>
      <c r="U913" s="52"/>
    </row>
    <row r="914">
      <c r="M914" s="52"/>
      <c r="N914" s="52"/>
      <c r="O914" s="52"/>
      <c r="P914" s="52"/>
      <c r="Q914" s="52"/>
      <c r="U914" s="52"/>
    </row>
    <row r="915">
      <c r="M915" s="52"/>
      <c r="N915" s="52"/>
      <c r="O915" s="52"/>
      <c r="P915" s="52"/>
      <c r="Q915" s="52"/>
      <c r="U915" s="52"/>
    </row>
    <row r="916">
      <c r="M916" s="52"/>
      <c r="N916" s="52"/>
      <c r="O916" s="52"/>
      <c r="P916" s="52"/>
      <c r="Q916" s="52"/>
      <c r="U916" s="52"/>
    </row>
    <row r="917">
      <c r="M917" s="52"/>
      <c r="N917" s="52"/>
      <c r="O917" s="52"/>
      <c r="P917" s="52"/>
      <c r="Q917" s="52"/>
      <c r="U917" s="52"/>
    </row>
    <row r="918">
      <c r="M918" s="52"/>
      <c r="N918" s="52"/>
      <c r="O918" s="52"/>
      <c r="P918" s="52"/>
      <c r="Q918" s="52"/>
      <c r="U918" s="52"/>
    </row>
    <row r="919">
      <c r="M919" s="52"/>
      <c r="N919" s="52"/>
      <c r="O919" s="52"/>
      <c r="P919" s="52"/>
      <c r="Q919" s="52"/>
      <c r="U919" s="52"/>
    </row>
    <row r="920">
      <c r="M920" s="52"/>
      <c r="N920" s="52"/>
      <c r="O920" s="52"/>
      <c r="P920" s="52"/>
      <c r="Q920" s="52"/>
      <c r="U920" s="52"/>
    </row>
    <row r="921">
      <c r="M921" s="52"/>
      <c r="N921" s="52"/>
      <c r="O921" s="52"/>
      <c r="P921" s="52"/>
      <c r="Q921" s="52"/>
      <c r="U921" s="52"/>
    </row>
    <row r="922">
      <c r="M922" s="52"/>
      <c r="N922" s="52"/>
      <c r="O922" s="52"/>
      <c r="P922" s="52"/>
      <c r="Q922" s="52"/>
      <c r="U922" s="52"/>
    </row>
    <row r="923">
      <c r="M923" s="52"/>
      <c r="N923" s="52"/>
      <c r="O923" s="52"/>
      <c r="P923" s="52"/>
      <c r="Q923" s="52"/>
      <c r="U923" s="52"/>
    </row>
    <row r="924">
      <c r="M924" s="52"/>
      <c r="N924" s="52"/>
      <c r="O924" s="52"/>
      <c r="P924" s="52"/>
      <c r="Q924" s="52"/>
      <c r="U924" s="52"/>
    </row>
    <row r="925">
      <c r="M925" s="52"/>
      <c r="N925" s="52"/>
      <c r="O925" s="52"/>
      <c r="P925" s="52"/>
      <c r="Q925" s="52"/>
      <c r="U925" s="52"/>
    </row>
    <row r="926">
      <c r="M926" s="52"/>
      <c r="N926" s="52"/>
      <c r="O926" s="52"/>
      <c r="P926" s="52"/>
      <c r="Q926" s="52"/>
      <c r="U926" s="52"/>
    </row>
    <row r="927">
      <c r="M927" s="52"/>
      <c r="N927" s="52"/>
      <c r="O927" s="52"/>
      <c r="P927" s="52"/>
      <c r="Q927" s="52"/>
      <c r="U927" s="52"/>
    </row>
    <row r="928">
      <c r="M928" s="52"/>
      <c r="N928" s="52"/>
      <c r="O928" s="52"/>
      <c r="P928" s="52"/>
      <c r="Q928" s="52"/>
      <c r="U928" s="52"/>
    </row>
    <row r="929">
      <c r="M929" s="52"/>
      <c r="N929" s="52"/>
      <c r="O929" s="52"/>
      <c r="P929" s="52"/>
      <c r="Q929" s="52"/>
      <c r="U929" s="52"/>
    </row>
    <row r="930">
      <c r="M930" s="52"/>
      <c r="N930" s="52"/>
      <c r="O930" s="52"/>
      <c r="P930" s="52"/>
      <c r="Q930" s="52"/>
      <c r="U930" s="52"/>
    </row>
    <row r="931">
      <c r="M931" s="52"/>
      <c r="N931" s="52"/>
      <c r="O931" s="52"/>
      <c r="P931" s="52"/>
      <c r="Q931" s="52"/>
      <c r="U931" s="52"/>
    </row>
    <row r="932">
      <c r="M932" s="52"/>
      <c r="N932" s="52"/>
      <c r="O932" s="52"/>
      <c r="P932" s="52"/>
      <c r="Q932" s="52"/>
      <c r="U932" s="52"/>
    </row>
    <row r="933">
      <c r="M933" s="52"/>
      <c r="N933" s="52"/>
      <c r="O933" s="52"/>
      <c r="P933" s="52"/>
      <c r="Q933" s="52"/>
      <c r="U933" s="52"/>
    </row>
    <row r="934">
      <c r="M934" s="52"/>
      <c r="N934" s="52"/>
      <c r="O934" s="52"/>
      <c r="P934" s="52"/>
      <c r="Q934" s="52"/>
      <c r="U934" s="52"/>
    </row>
    <row r="935">
      <c r="M935" s="52"/>
      <c r="N935" s="52"/>
      <c r="O935" s="52"/>
      <c r="P935" s="52"/>
      <c r="Q935" s="52"/>
      <c r="U935" s="52"/>
    </row>
    <row r="936">
      <c r="M936" s="52"/>
      <c r="N936" s="52"/>
      <c r="O936" s="52"/>
      <c r="P936" s="52"/>
      <c r="Q936" s="52"/>
      <c r="U936" s="52"/>
    </row>
    <row r="937">
      <c r="M937" s="52"/>
      <c r="N937" s="52"/>
      <c r="O937" s="52"/>
      <c r="P937" s="52"/>
      <c r="Q937" s="52"/>
      <c r="U937" s="52"/>
    </row>
    <row r="938">
      <c r="M938" s="52"/>
      <c r="N938" s="52"/>
      <c r="O938" s="52"/>
      <c r="P938" s="52"/>
      <c r="Q938" s="52"/>
      <c r="U938" s="52"/>
    </row>
    <row r="939">
      <c r="M939" s="52"/>
      <c r="N939" s="52"/>
      <c r="O939" s="52"/>
      <c r="P939" s="52"/>
      <c r="Q939" s="52"/>
      <c r="U939" s="52"/>
    </row>
    <row r="940">
      <c r="M940" s="52"/>
      <c r="N940" s="52"/>
      <c r="O940" s="52"/>
      <c r="P940" s="52"/>
      <c r="Q940" s="52"/>
      <c r="U940" s="52"/>
    </row>
    <row r="941">
      <c r="M941" s="52"/>
      <c r="N941" s="52"/>
      <c r="O941" s="52"/>
      <c r="P941" s="52"/>
      <c r="Q941" s="52"/>
      <c r="U941" s="52"/>
    </row>
    <row r="942">
      <c r="M942" s="52"/>
      <c r="N942" s="52"/>
      <c r="O942" s="52"/>
      <c r="P942" s="52"/>
      <c r="Q942" s="52"/>
      <c r="U942" s="52"/>
    </row>
    <row r="943">
      <c r="M943" s="52"/>
      <c r="N943" s="52"/>
      <c r="O943" s="52"/>
      <c r="P943" s="52"/>
      <c r="Q943" s="52"/>
      <c r="U943" s="52"/>
    </row>
    <row r="944">
      <c r="M944" s="52"/>
      <c r="N944" s="52"/>
      <c r="O944" s="52"/>
      <c r="P944" s="52"/>
      <c r="Q944" s="52"/>
      <c r="U944" s="52"/>
    </row>
    <row r="945">
      <c r="M945" s="52"/>
      <c r="N945" s="52"/>
      <c r="O945" s="52"/>
      <c r="P945" s="52"/>
      <c r="Q945" s="52"/>
      <c r="U945" s="52"/>
    </row>
    <row r="946">
      <c r="M946" s="52"/>
      <c r="N946" s="52"/>
      <c r="O946" s="52"/>
      <c r="P946" s="52"/>
      <c r="Q946" s="52"/>
      <c r="U946" s="52"/>
    </row>
    <row r="947">
      <c r="M947" s="52"/>
      <c r="N947" s="52"/>
      <c r="O947" s="52"/>
      <c r="P947" s="52"/>
      <c r="Q947" s="52"/>
      <c r="U947" s="52"/>
    </row>
    <row r="948">
      <c r="M948" s="52"/>
      <c r="N948" s="52"/>
      <c r="O948" s="52"/>
      <c r="P948" s="52"/>
      <c r="Q948" s="52"/>
      <c r="U948" s="52"/>
    </row>
    <row r="949">
      <c r="M949" s="52"/>
      <c r="N949" s="52"/>
      <c r="O949" s="52"/>
      <c r="P949" s="52"/>
      <c r="Q949" s="52"/>
      <c r="U949" s="52"/>
    </row>
    <row r="950">
      <c r="M950" s="52"/>
      <c r="N950" s="52"/>
      <c r="O950" s="52"/>
      <c r="P950" s="52"/>
      <c r="Q950" s="52"/>
      <c r="U950" s="52"/>
    </row>
    <row r="951">
      <c r="M951" s="52"/>
      <c r="N951" s="52"/>
      <c r="O951" s="52"/>
      <c r="P951" s="52"/>
      <c r="Q951" s="52"/>
      <c r="U951" s="52"/>
    </row>
    <row r="952">
      <c r="M952" s="52"/>
      <c r="N952" s="52"/>
      <c r="O952" s="52"/>
      <c r="P952" s="52"/>
      <c r="Q952" s="52"/>
      <c r="U952" s="52"/>
    </row>
    <row r="953">
      <c r="M953" s="52"/>
      <c r="N953" s="52"/>
      <c r="O953" s="52"/>
      <c r="P953" s="52"/>
      <c r="Q953" s="52"/>
      <c r="U953" s="52"/>
    </row>
    <row r="954">
      <c r="M954" s="52"/>
      <c r="N954" s="52"/>
      <c r="O954" s="52"/>
      <c r="P954" s="52"/>
      <c r="Q954" s="52"/>
      <c r="U954" s="52"/>
    </row>
    <row r="955">
      <c r="M955" s="52"/>
      <c r="N955" s="52"/>
      <c r="O955" s="52"/>
      <c r="P955" s="52"/>
      <c r="Q955" s="52"/>
      <c r="U955" s="52"/>
    </row>
    <row r="956">
      <c r="M956" s="52"/>
      <c r="N956" s="52"/>
      <c r="O956" s="52"/>
      <c r="P956" s="52"/>
      <c r="Q956" s="52"/>
      <c r="U956" s="52"/>
    </row>
    <row r="957">
      <c r="M957" s="52"/>
      <c r="N957" s="52"/>
      <c r="O957" s="52"/>
      <c r="P957" s="52"/>
      <c r="Q957" s="52"/>
      <c r="U957" s="52"/>
    </row>
    <row r="958">
      <c r="M958" s="52"/>
      <c r="N958" s="52"/>
      <c r="O958" s="52"/>
      <c r="P958" s="52"/>
      <c r="Q958" s="52"/>
      <c r="U958" s="52"/>
    </row>
    <row r="959">
      <c r="M959" s="52"/>
      <c r="N959" s="52"/>
      <c r="O959" s="52"/>
      <c r="P959" s="52"/>
      <c r="Q959" s="52"/>
      <c r="U959" s="52"/>
    </row>
    <row r="960">
      <c r="M960" s="52"/>
      <c r="N960" s="52"/>
      <c r="O960" s="52"/>
      <c r="P960" s="52"/>
      <c r="Q960" s="52"/>
      <c r="U960" s="52"/>
    </row>
    <row r="961">
      <c r="M961" s="52"/>
      <c r="N961" s="52"/>
      <c r="O961" s="52"/>
      <c r="P961" s="52"/>
      <c r="Q961" s="52"/>
      <c r="U961" s="52"/>
    </row>
    <row r="962">
      <c r="M962" s="52"/>
      <c r="N962" s="52"/>
      <c r="O962" s="52"/>
      <c r="P962" s="52"/>
      <c r="Q962" s="52"/>
      <c r="U962" s="52"/>
    </row>
    <row r="963">
      <c r="M963" s="52"/>
      <c r="N963" s="52"/>
      <c r="O963" s="52"/>
      <c r="P963" s="52"/>
      <c r="Q963" s="52"/>
      <c r="U963" s="52"/>
    </row>
    <row r="964">
      <c r="M964" s="52"/>
      <c r="N964" s="52"/>
      <c r="O964" s="52"/>
      <c r="P964" s="52"/>
      <c r="Q964" s="52"/>
      <c r="U964" s="52"/>
    </row>
    <row r="965">
      <c r="M965" s="52"/>
      <c r="N965" s="52"/>
      <c r="O965" s="52"/>
      <c r="P965" s="52"/>
      <c r="Q965" s="52"/>
      <c r="U965" s="52"/>
    </row>
    <row r="966">
      <c r="M966" s="52"/>
      <c r="N966" s="52"/>
      <c r="O966" s="52"/>
      <c r="P966" s="52"/>
      <c r="Q966" s="52"/>
      <c r="U966" s="52"/>
    </row>
    <row r="967">
      <c r="M967" s="52"/>
      <c r="N967" s="52"/>
      <c r="O967" s="52"/>
      <c r="P967" s="52"/>
      <c r="Q967" s="52"/>
      <c r="U967" s="52"/>
    </row>
    <row r="968">
      <c r="M968" s="52"/>
      <c r="N968" s="52"/>
      <c r="O968" s="52"/>
      <c r="P968" s="52"/>
      <c r="Q968" s="52"/>
      <c r="U968" s="52"/>
    </row>
    <row r="969">
      <c r="M969" s="52"/>
      <c r="N969" s="52"/>
      <c r="O969" s="52"/>
      <c r="P969" s="52"/>
      <c r="Q969" s="52"/>
      <c r="U969" s="52"/>
    </row>
    <row r="970">
      <c r="M970" s="52"/>
      <c r="N970" s="52"/>
      <c r="O970" s="52"/>
      <c r="P970" s="52"/>
      <c r="Q970" s="52"/>
      <c r="U970" s="52"/>
    </row>
    <row r="971">
      <c r="M971" s="52"/>
      <c r="N971" s="52"/>
      <c r="O971" s="52"/>
      <c r="P971" s="52"/>
      <c r="Q971" s="52"/>
      <c r="U971" s="52"/>
    </row>
    <row r="972">
      <c r="M972" s="52"/>
      <c r="N972" s="52"/>
      <c r="O972" s="52"/>
      <c r="P972" s="52"/>
      <c r="Q972" s="52"/>
      <c r="U972" s="52"/>
    </row>
    <row r="973">
      <c r="M973" s="52"/>
      <c r="N973" s="52"/>
      <c r="O973" s="52"/>
      <c r="P973" s="52"/>
      <c r="Q973" s="52"/>
      <c r="U973" s="52"/>
    </row>
    <row r="974">
      <c r="M974" s="52"/>
      <c r="N974" s="52"/>
      <c r="O974" s="52"/>
      <c r="P974" s="52"/>
      <c r="Q974" s="52"/>
      <c r="U974" s="52"/>
    </row>
    <row r="975">
      <c r="M975" s="52"/>
      <c r="N975" s="52"/>
      <c r="O975" s="52"/>
      <c r="P975" s="52"/>
      <c r="Q975" s="52"/>
      <c r="U975" s="52"/>
    </row>
    <row r="976">
      <c r="M976" s="52"/>
      <c r="N976" s="52"/>
      <c r="O976" s="52"/>
      <c r="P976" s="52"/>
      <c r="Q976" s="52"/>
      <c r="U976" s="52"/>
    </row>
    <row r="977">
      <c r="M977" s="52"/>
      <c r="N977" s="52"/>
      <c r="O977" s="52"/>
      <c r="P977" s="52"/>
      <c r="Q977" s="52"/>
      <c r="U977" s="52"/>
    </row>
    <row r="978">
      <c r="M978" s="52"/>
      <c r="N978" s="52"/>
      <c r="O978" s="52"/>
      <c r="P978" s="52"/>
      <c r="Q978" s="52"/>
      <c r="U978" s="52"/>
    </row>
    <row r="979">
      <c r="M979" s="52"/>
      <c r="N979" s="52"/>
      <c r="O979" s="52"/>
      <c r="P979" s="52"/>
      <c r="Q979" s="52"/>
      <c r="U979" s="52"/>
    </row>
    <row r="980">
      <c r="M980" s="52"/>
      <c r="N980" s="52"/>
      <c r="O980" s="52"/>
      <c r="P980" s="52"/>
      <c r="Q980" s="52"/>
      <c r="U980" s="52"/>
    </row>
    <row r="981">
      <c r="M981" s="52"/>
      <c r="N981" s="52"/>
      <c r="O981" s="52"/>
      <c r="P981" s="52"/>
      <c r="Q981" s="52"/>
      <c r="U981" s="52"/>
    </row>
    <row r="982">
      <c r="M982" s="52"/>
      <c r="N982" s="52"/>
      <c r="O982" s="52"/>
      <c r="P982" s="52"/>
      <c r="Q982" s="52"/>
      <c r="U982" s="52"/>
    </row>
    <row r="983">
      <c r="M983" s="52"/>
      <c r="N983" s="52"/>
      <c r="O983" s="52"/>
      <c r="P983" s="52"/>
      <c r="Q983" s="52"/>
      <c r="U983" s="52"/>
    </row>
    <row r="984">
      <c r="M984" s="52"/>
      <c r="N984" s="52"/>
      <c r="O984" s="52"/>
      <c r="P984" s="52"/>
      <c r="Q984" s="52"/>
      <c r="U984" s="52"/>
    </row>
    <row r="985">
      <c r="M985" s="52"/>
      <c r="N985" s="52"/>
      <c r="O985" s="52"/>
      <c r="P985" s="52"/>
      <c r="Q985" s="52"/>
      <c r="U985" s="52"/>
    </row>
    <row r="986">
      <c r="M986" s="52"/>
      <c r="N986" s="52"/>
      <c r="O986" s="52"/>
      <c r="P986" s="52"/>
      <c r="Q986" s="52"/>
      <c r="U986" s="52"/>
    </row>
    <row r="987">
      <c r="M987" s="52"/>
      <c r="N987" s="52"/>
      <c r="O987" s="52"/>
      <c r="P987" s="52"/>
      <c r="Q987" s="52"/>
      <c r="U987" s="52"/>
    </row>
    <row r="988">
      <c r="M988" s="52"/>
      <c r="N988" s="52"/>
      <c r="O988" s="52"/>
      <c r="P988" s="52"/>
      <c r="Q988" s="52"/>
      <c r="U988" s="52"/>
    </row>
    <row r="989">
      <c r="M989" s="52"/>
      <c r="N989" s="52"/>
      <c r="O989" s="52"/>
      <c r="P989" s="52"/>
      <c r="Q989" s="52"/>
      <c r="U989" s="52"/>
    </row>
    <row r="990">
      <c r="M990" s="52"/>
      <c r="N990" s="52"/>
      <c r="O990" s="52"/>
      <c r="P990" s="52"/>
      <c r="Q990" s="52"/>
      <c r="U990" s="52"/>
    </row>
    <row r="991">
      <c r="M991" s="52"/>
      <c r="N991" s="52"/>
      <c r="O991" s="52"/>
      <c r="P991" s="52"/>
      <c r="Q991" s="52"/>
      <c r="U991" s="52"/>
    </row>
    <row r="992">
      <c r="M992" s="52"/>
      <c r="N992" s="52"/>
      <c r="O992" s="52"/>
      <c r="P992" s="52"/>
      <c r="Q992" s="52"/>
      <c r="U992" s="52"/>
    </row>
    <row r="993">
      <c r="M993" s="52"/>
      <c r="N993" s="52"/>
      <c r="O993" s="52"/>
      <c r="P993" s="52"/>
      <c r="Q993" s="52"/>
      <c r="U993" s="52"/>
    </row>
    <row r="994">
      <c r="M994" s="52"/>
      <c r="N994" s="52"/>
      <c r="O994" s="52"/>
      <c r="P994" s="52"/>
      <c r="Q994" s="52"/>
      <c r="U994" s="52"/>
    </row>
    <row r="995">
      <c r="M995" s="52"/>
      <c r="N995" s="52"/>
      <c r="O995" s="52"/>
      <c r="P995" s="52"/>
      <c r="Q995" s="52"/>
      <c r="U995" s="52"/>
    </row>
    <row r="996">
      <c r="M996" s="52"/>
      <c r="N996" s="52"/>
      <c r="O996" s="52"/>
      <c r="P996" s="52"/>
      <c r="Q996" s="52"/>
      <c r="U996" s="52"/>
    </row>
    <row r="997">
      <c r="M997" s="52"/>
      <c r="N997" s="52"/>
      <c r="O997" s="52"/>
      <c r="P997" s="52"/>
      <c r="Q997" s="52"/>
      <c r="U997" s="52"/>
    </row>
    <row r="998">
      <c r="M998" s="52"/>
      <c r="N998" s="52"/>
      <c r="O998" s="52"/>
      <c r="P998" s="52"/>
      <c r="Q998" s="52"/>
      <c r="U998" s="52"/>
    </row>
    <row r="999">
      <c r="M999" s="52"/>
      <c r="N999" s="52"/>
      <c r="O999" s="52"/>
      <c r="P999" s="52"/>
      <c r="Q999" s="52"/>
      <c r="U999" s="52"/>
    </row>
    <row r="1000">
      <c r="M1000" s="52"/>
      <c r="N1000" s="52"/>
      <c r="O1000" s="52"/>
      <c r="P1000" s="52"/>
      <c r="Q1000" s="52"/>
      <c r="U1000" s="52"/>
    </row>
  </sheetData>
  <mergeCells count="7">
    <mergeCell ref="A1:A2"/>
    <mergeCell ref="B1:B2"/>
    <mergeCell ref="C1:G1"/>
    <mergeCell ref="H1:I1"/>
    <mergeCell ref="J1:J2"/>
    <mergeCell ref="K1:O1"/>
    <mergeCell ref="P1:U1"/>
  </mergeCells>
  <conditionalFormatting sqref="N3:N9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G3:G9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3:H9">
    <cfRule type="colorScale" priority="3">
      <colorScale>
        <cfvo type="formula" val="0"/>
        <cfvo type="max"/>
        <color rgb="FFFFFFFF"/>
        <color rgb="FF57BB8A"/>
      </colorScale>
    </cfRule>
  </conditionalFormatting>
  <conditionalFormatting sqref="I3:I9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J3:J9">
    <cfRule type="colorScale" priority="5">
      <colorScale>
        <cfvo type="formula" val="0"/>
        <cfvo type="max"/>
        <color rgb="FFFFFFFF"/>
        <color rgb="FF57BB8A"/>
      </colorScale>
    </cfRule>
  </conditionalFormatting>
  <conditionalFormatting sqref="K3:K9">
    <cfRule type="colorScale" priority="6">
      <colorScale>
        <cfvo type="formula" val="0"/>
        <cfvo type="max"/>
        <color rgb="FFFFFFFF"/>
        <color rgb="FF57BB8A"/>
      </colorScale>
    </cfRule>
  </conditionalFormatting>
  <conditionalFormatting sqref="L3:L9">
    <cfRule type="colorScale" priority="7">
      <colorScale>
        <cfvo type="formula" val="0"/>
        <cfvo type="max"/>
        <color rgb="FFFFFFFF"/>
        <color rgb="FFE67C73"/>
      </colorScale>
    </cfRule>
  </conditionalFormatting>
  <conditionalFormatting sqref="C3:C9">
    <cfRule type="colorScale" priority="8">
      <colorScale>
        <cfvo type="formula" val="0"/>
        <cfvo type="max"/>
        <color rgb="FFFFFFFF"/>
        <color rgb="FFFFD666"/>
      </colorScale>
    </cfRule>
  </conditionalFormatting>
  <conditionalFormatting sqref="D3:D9">
    <cfRule type="colorScale" priority="9">
      <colorScale>
        <cfvo type="formula" val="0"/>
        <cfvo type="max"/>
        <color rgb="FFFFFFFF"/>
        <color rgb="FF57BB8A"/>
      </colorScale>
    </cfRule>
  </conditionalFormatting>
  <conditionalFormatting sqref="E3:E9">
    <cfRule type="colorScale" priority="10">
      <colorScale>
        <cfvo type="formula" val="0"/>
        <cfvo type="max"/>
        <color rgb="FFFFFFFF"/>
        <color rgb="FFE67C73"/>
      </colorScale>
    </cfRule>
  </conditionalFormatting>
  <conditionalFormatting sqref="F3:F9">
    <cfRule type="colorScale" priority="11">
      <colorScale>
        <cfvo type="formula" val="0"/>
        <cfvo type="max"/>
        <color rgb="FFFFFFFF"/>
        <color rgb="FF57BB8A"/>
      </colorScale>
    </cfRule>
  </conditionalFormatting>
  <conditionalFormatting sqref="M3:M9">
    <cfRule type="colorScale" priority="12">
      <colorScale>
        <cfvo type="formula" val="0"/>
        <cfvo type="max"/>
        <color rgb="FFFFFFFF"/>
        <color rgb="FFFFD666"/>
      </colorScale>
    </cfRule>
  </conditionalFormatting>
  <conditionalFormatting sqref="O3:O9">
    <cfRule type="colorScale" priority="13">
      <colorScale>
        <cfvo type="formula" val="0"/>
        <cfvo type="formula" val="1"/>
        <color rgb="FFFFFFFF"/>
        <color rgb="FF57BB8A"/>
      </colorScale>
    </cfRule>
  </conditionalFormatting>
  <conditionalFormatting sqref="P3:P9">
    <cfRule type="colorScale" priority="14">
      <colorScale>
        <cfvo type="formula" val="0"/>
        <cfvo type="max"/>
        <color rgb="FFFFFFFF"/>
        <color rgb="FFFFD666"/>
      </colorScale>
    </cfRule>
  </conditionalFormatting>
  <conditionalFormatting sqref="U3:U9">
    <cfRule type="colorScale" priority="15">
      <colorScale>
        <cfvo type="formula" val="0"/>
        <cfvo type="formula" val="2"/>
        <cfvo type="formula" val="3"/>
        <color rgb="FFE67C73"/>
        <color rgb="FFFFFFFF"/>
        <color rgb="FF57BB8A"/>
      </colorScale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7.63"/>
    <col customWidth="1" min="4" max="4" width="5.63"/>
    <col customWidth="1" min="5" max="5" width="6.88"/>
    <col customWidth="1" min="6" max="6" width="8.38"/>
    <col customWidth="1" min="7" max="7" width="15.5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1" t="s">
        <v>4</v>
      </c>
      <c r="K1" s="6" t="s">
        <v>5</v>
      </c>
      <c r="L1" s="4"/>
      <c r="M1" s="4"/>
      <c r="N1" s="4"/>
      <c r="O1" s="5"/>
      <c r="P1" s="30" t="s">
        <v>6</v>
      </c>
      <c r="Q1" s="4"/>
      <c r="R1" s="4"/>
      <c r="S1" s="4"/>
      <c r="T1" s="4"/>
      <c r="U1" s="5"/>
    </row>
    <row r="2">
      <c r="A2" s="9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2" t="s">
        <v>13</v>
      </c>
      <c r="I2" s="12" t="s">
        <v>14</v>
      </c>
      <c r="J2" s="9"/>
      <c r="K2" s="10" t="s">
        <v>15</v>
      </c>
      <c r="L2" s="12" t="s">
        <v>10</v>
      </c>
      <c r="M2" s="10" t="s">
        <v>16</v>
      </c>
      <c r="N2" s="10" t="s">
        <v>12</v>
      </c>
      <c r="O2" s="10" t="s">
        <v>18</v>
      </c>
      <c r="P2" s="15" t="s">
        <v>8</v>
      </c>
      <c r="Q2" s="15">
        <v>0.0</v>
      </c>
      <c r="R2" s="15">
        <v>1.0</v>
      </c>
      <c r="S2" s="15">
        <v>2.0</v>
      </c>
      <c r="T2" s="15">
        <v>3.0</v>
      </c>
      <c r="U2" s="15" t="s">
        <v>19</v>
      </c>
    </row>
    <row r="3">
      <c r="A3" s="18" t="s">
        <v>21</v>
      </c>
      <c r="B3" s="18" t="s">
        <v>83</v>
      </c>
      <c r="C3" s="10">
        <v>5.0</v>
      </c>
      <c r="D3" s="10">
        <v>3.0</v>
      </c>
      <c r="E3" s="10">
        <v>1.0</v>
      </c>
      <c r="F3" s="35"/>
      <c r="G3" s="35">
        <f t="shared" ref="G3:G9" si="1">IFS(C3=0, "N/A", C3&lt;&gt;0,(D3-E3)/C3 )</f>
        <v>0.4</v>
      </c>
      <c r="H3" s="35"/>
      <c r="I3" s="10"/>
      <c r="J3" s="10">
        <v>2.0</v>
      </c>
      <c r="K3" s="35"/>
      <c r="L3" s="10"/>
      <c r="M3" s="10">
        <v>3.0</v>
      </c>
      <c r="N3" s="35">
        <f t="shared" ref="N3:N9" si="2">ifs(M3=0,"N/A",M3&lt;&gt;0,(M3-L3) /M3)</f>
        <v>1</v>
      </c>
      <c r="O3" s="35">
        <f t="shared" ref="O3:O9" si="3">IFS(M3=0, "N/A", M3&lt;&gt;0, K3/M3)</f>
        <v>0</v>
      </c>
      <c r="P3" s="10">
        <f t="shared" ref="P3:P9" si="4">sum(Q3,R3,S3,T3)</f>
        <v>3</v>
      </c>
      <c r="Q3" s="10">
        <v>1.0</v>
      </c>
      <c r="R3" s="10"/>
      <c r="S3" s="10">
        <v>1.0</v>
      </c>
      <c r="T3" s="10">
        <v>1.0</v>
      </c>
      <c r="U3" s="10">
        <f t="shared" ref="U3:U9" si="5">ifs(P3=0, "N/A",P3&lt;&gt;0,(R3 + S3*2 +T3*3)/P3)</f>
        <v>1.666666667</v>
      </c>
    </row>
    <row r="4">
      <c r="A4" s="21" t="s">
        <v>24</v>
      </c>
      <c r="B4" s="21" t="s">
        <v>42</v>
      </c>
      <c r="C4" s="10"/>
      <c r="D4" s="10"/>
      <c r="E4" s="10"/>
      <c r="F4" s="10">
        <v>7.0</v>
      </c>
      <c r="G4" s="35" t="str">
        <f t="shared" si="1"/>
        <v>N/A</v>
      </c>
      <c r="H4" s="10"/>
      <c r="I4" s="10">
        <v>1.0</v>
      </c>
      <c r="J4" s="10">
        <v>4.0</v>
      </c>
      <c r="K4" s="35"/>
      <c r="L4" s="10"/>
      <c r="M4" s="10">
        <v>3.0</v>
      </c>
      <c r="N4" s="35">
        <f t="shared" si="2"/>
        <v>1</v>
      </c>
      <c r="O4" s="35">
        <f t="shared" si="3"/>
        <v>0</v>
      </c>
      <c r="P4" s="10">
        <f t="shared" si="4"/>
        <v>0</v>
      </c>
      <c r="Q4" s="10"/>
      <c r="R4" s="35"/>
      <c r="S4" s="35"/>
      <c r="T4" s="35"/>
      <c r="U4" s="10" t="str">
        <f t="shared" si="5"/>
        <v>N/A</v>
      </c>
    </row>
    <row r="5">
      <c r="A5" s="22" t="s">
        <v>26</v>
      </c>
      <c r="B5" s="22" t="s">
        <v>41</v>
      </c>
      <c r="C5" s="10">
        <v>2.0</v>
      </c>
      <c r="D5" s="10"/>
      <c r="E5" s="10"/>
      <c r="F5" s="10"/>
      <c r="G5" s="35">
        <f t="shared" si="1"/>
        <v>0</v>
      </c>
      <c r="H5" s="10"/>
      <c r="I5" s="10">
        <v>3.0</v>
      </c>
      <c r="J5" s="10">
        <v>5.0</v>
      </c>
      <c r="K5" s="10"/>
      <c r="L5" s="10">
        <v>1.0</v>
      </c>
      <c r="M5" s="10">
        <v>4.0</v>
      </c>
      <c r="N5" s="35">
        <f t="shared" si="2"/>
        <v>0.75</v>
      </c>
      <c r="O5" s="35">
        <f t="shared" si="3"/>
        <v>0</v>
      </c>
      <c r="P5" s="10">
        <f t="shared" si="4"/>
        <v>2</v>
      </c>
      <c r="Q5" s="10">
        <v>1.0</v>
      </c>
      <c r="R5" s="10">
        <v>1.0</v>
      </c>
      <c r="S5" s="35"/>
      <c r="T5" s="10"/>
      <c r="U5" s="10">
        <f t="shared" si="5"/>
        <v>0.5</v>
      </c>
    </row>
    <row r="6">
      <c r="A6" s="23" t="s">
        <v>28</v>
      </c>
      <c r="B6" s="23" t="s">
        <v>43</v>
      </c>
      <c r="C6" s="10">
        <v>5.0</v>
      </c>
      <c r="D6" s="10">
        <v>2.0</v>
      </c>
      <c r="E6" s="10">
        <v>2.0</v>
      </c>
      <c r="F6" s="35"/>
      <c r="G6" s="35">
        <f t="shared" si="1"/>
        <v>0</v>
      </c>
      <c r="H6" s="35"/>
      <c r="I6" s="35"/>
      <c r="J6" s="10">
        <v>1.0</v>
      </c>
      <c r="K6" s="10"/>
      <c r="L6" s="10">
        <v>1.0</v>
      </c>
      <c r="M6" s="10">
        <v>4.0</v>
      </c>
      <c r="N6" s="35">
        <f t="shared" si="2"/>
        <v>0.75</v>
      </c>
      <c r="O6" s="35">
        <f t="shared" si="3"/>
        <v>0</v>
      </c>
      <c r="P6" s="10">
        <f t="shared" si="4"/>
        <v>7</v>
      </c>
      <c r="Q6" s="10">
        <v>2.0</v>
      </c>
      <c r="R6" s="10">
        <v>1.0</v>
      </c>
      <c r="S6" s="10"/>
      <c r="T6" s="10">
        <v>4.0</v>
      </c>
      <c r="U6" s="10">
        <f t="shared" si="5"/>
        <v>1.857142857</v>
      </c>
    </row>
    <row r="7">
      <c r="A7" s="24" t="s">
        <v>30</v>
      </c>
      <c r="B7" s="24" t="s">
        <v>85</v>
      </c>
      <c r="C7" s="10">
        <v>5.0</v>
      </c>
      <c r="D7" s="10">
        <v>2.0</v>
      </c>
      <c r="E7" s="10">
        <v>2.0</v>
      </c>
      <c r="F7" s="35"/>
      <c r="G7" s="35">
        <f t="shared" si="1"/>
        <v>0</v>
      </c>
      <c r="H7" s="35"/>
      <c r="I7" s="35"/>
      <c r="J7" s="10">
        <v>1.0</v>
      </c>
      <c r="K7" s="10">
        <v>1.0</v>
      </c>
      <c r="L7" s="10">
        <v>1.0</v>
      </c>
      <c r="M7" s="10">
        <v>2.0</v>
      </c>
      <c r="N7" s="35">
        <f t="shared" si="2"/>
        <v>0.5</v>
      </c>
      <c r="O7" s="35">
        <f t="shared" si="3"/>
        <v>0.5</v>
      </c>
      <c r="P7" s="10">
        <f t="shared" si="4"/>
        <v>2</v>
      </c>
      <c r="Q7" s="10"/>
      <c r="R7" s="10">
        <v>1.0</v>
      </c>
      <c r="S7" s="10"/>
      <c r="T7" s="10">
        <v>1.0</v>
      </c>
      <c r="U7" s="10">
        <f t="shared" si="5"/>
        <v>2</v>
      </c>
    </row>
    <row r="8">
      <c r="A8" s="25" t="s">
        <v>32</v>
      </c>
      <c r="B8" s="25" t="s">
        <v>45</v>
      </c>
      <c r="C8" s="10">
        <v>5.0</v>
      </c>
      <c r="D8" s="10"/>
      <c r="E8" s="10">
        <v>1.0</v>
      </c>
      <c r="F8" s="35"/>
      <c r="G8" s="35">
        <f t="shared" si="1"/>
        <v>-0.2</v>
      </c>
      <c r="H8" s="35"/>
      <c r="I8" s="10">
        <v>2.0</v>
      </c>
      <c r="J8" s="10">
        <v>1.0</v>
      </c>
      <c r="K8" s="10">
        <v>1.0</v>
      </c>
      <c r="L8" s="35"/>
      <c r="M8" s="10">
        <v>5.0</v>
      </c>
      <c r="N8" s="35">
        <f t="shared" si="2"/>
        <v>1</v>
      </c>
      <c r="O8" s="35">
        <f t="shared" si="3"/>
        <v>0.2</v>
      </c>
      <c r="P8" s="10">
        <f t="shared" si="4"/>
        <v>4</v>
      </c>
      <c r="Q8" s="10">
        <v>2.0</v>
      </c>
      <c r="R8" s="10"/>
      <c r="S8" s="10">
        <v>1.0</v>
      </c>
      <c r="T8" s="10">
        <v>1.0</v>
      </c>
      <c r="U8" s="10">
        <f t="shared" si="5"/>
        <v>1.25</v>
      </c>
    </row>
    <row r="9">
      <c r="A9" s="26" t="s">
        <v>34</v>
      </c>
      <c r="B9" s="26" t="s">
        <v>41</v>
      </c>
      <c r="C9" s="10">
        <v>9.0</v>
      </c>
      <c r="D9" s="10"/>
      <c r="E9" s="10">
        <v>2.0</v>
      </c>
      <c r="F9" s="35"/>
      <c r="G9" s="35">
        <f t="shared" si="1"/>
        <v>-0.2222222222</v>
      </c>
      <c r="H9" s="35"/>
      <c r="I9" s="35"/>
      <c r="J9" s="10">
        <v>3.0</v>
      </c>
      <c r="K9" s="35"/>
      <c r="L9" s="10">
        <v>1.0</v>
      </c>
      <c r="M9" s="10">
        <v>3.0</v>
      </c>
      <c r="N9" s="35">
        <f t="shared" si="2"/>
        <v>0.6666666667</v>
      </c>
      <c r="O9" s="35">
        <f t="shared" si="3"/>
        <v>0</v>
      </c>
      <c r="P9" s="10">
        <f t="shared" si="4"/>
        <v>2</v>
      </c>
      <c r="Q9" s="10">
        <v>1.0</v>
      </c>
      <c r="R9" s="10">
        <v>1.0</v>
      </c>
      <c r="S9" s="10"/>
      <c r="T9" s="35"/>
      <c r="U9" s="10">
        <f t="shared" si="5"/>
        <v>0.5</v>
      </c>
    </row>
    <row r="10">
      <c r="M10" s="52"/>
      <c r="N10" s="52"/>
      <c r="O10" s="52"/>
      <c r="P10" s="52"/>
      <c r="Q10" s="52"/>
      <c r="U10" s="52"/>
    </row>
    <row r="11">
      <c r="M11" s="52"/>
      <c r="N11" s="52"/>
      <c r="O11" s="52"/>
      <c r="P11" s="52"/>
      <c r="Q11" s="52"/>
      <c r="U11" s="52"/>
    </row>
    <row r="12">
      <c r="M12" s="52"/>
      <c r="N12" s="52"/>
      <c r="O12" s="52"/>
      <c r="P12" s="52"/>
      <c r="Q12" s="52"/>
      <c r="U12" s="52"/>
    </row>
    <row r="13">
      <c r="M13" s="52"/>
      <c r="N13" s="52"/>
      <c r="O13" s="52"/>
      <c r="P13" s="52"/>
      <c r="Q13" s="52"/>
      <c r="U13" s="52"/>
    </row>
    <row r="14">
      <c r="M14" s="52"/>
      <c r="N14" s="52"/>
      <c r="O14" s="52"/>
      <c r="P14" s="52"/>
      <c r="Q14" s="52"/>
      <c r="U14" s="52"/>
    </row>
    <row r="15">
      <c r="M15" s="52"/>
      <c r="N15" s="52"/>
      <c r="O15" s="52"/>
      <c r="P15" s="52"/>
      <c r="Q15" s="52"/>
      <c r="U15" s="52"/>
    </row>
    <row r="16">
      <c r="M16" s="52"/>
      <c r="N16" s="52"/>
      <c r="O16" s="52"/>
      <c r="P16" s="52"/>
      <c r="Q16" s="52"/>
      <c r="U16" s="52"/>
    </row>
    <row r="17">
      <c r="M17" s="52"/>
      <c r="N17" s="52"/>
      <c r="O17" s="52"/>
      <c r="P17" s="52"/>
      <c r="Q17" s="52"/>
      <c r="U17" s="52"/>
    </row>
    <row r="18">
      <c r="M18" s="52"/>
      <c r="N18" s="52"/>
      <c r="O18" s="52"/>
      <c r="P18" s="52"/>
      <c r="Q18" s="52"/>
      <c r="U18" s="52"/>
    </row>
    <row r="19">
      <c r="M19" s="52"/>
      <c r="N19" s="52"/>
      <c r="O19" s="52"/>
      <c r="P19" s="52"/>
      <c r="Q19" s="52"/>
      <c r="U19" s="52"/>
    </row>
    <row r="20">
      <c r="M20" s="52"/>
      <c r="N20" s="52"/>
      <c r="O20" s="52"/>
      <c r="P20" s="52"/>
      <c r="Q20" s="52"/>
      <c r="U20" s="52"/>
    </row>
    <row r="21">
      <c r="M21" s="52"/>
      <c r="N21" s="52"/>
      <c r="O21" s="52"/>
      <c r="P21" s="52"/>
      <c r="Q21" s="52"/>
      <c r="U21" s="52"/>
    </row>
    <row r="22">
      <c r="M22" s="52"/>
      <c r="N22" s="52"/>
      <c r="O22" s="52"/>
      <c r="P22" s="52"/>
      <c r="Q22" s="52"/>
      <c r="U22" s="52"/>
    </row>
    <row r="23">
      <c r="M23" s="52"/>
      <c r="N23" s="52"/>
      <c r="O23" s="52"/>
      <c r="P23" s="52"/>
      <c r="Q23" s="52"/>
      <c r="U23" s="52"/>
    </row>
    <row r="24">
      <c r="M24" s="52"/>
      <c r="N24" s="52"/>
      <c r="O24" s="52"/>
      <c r="P24" s="52"/>
      <c r="Q24" s="52"/>
      <c r="U24" s="52"/>
    </row>
    <row r="25">
      <c r="M25" s="52"/>
      <c r="N25" s="52"/>
      <c r="O25" s="52"/>
      <c r="P25" s="52"/>
      <c r="Q25" s="52"/>
      <c r="U25" s="52"/>
    </row>
    <row r="26">
      <c r="M26" s="52"/>
      <c r="N26" s="52"/>
      <c r="O26" s="52"/>
      <c r="P26" s="52"/>
      <c r="Q26" s="52"/>
      <c r="U26" s="52"/>
    </row>
    <row r="27">
      <c r="M27" s="52"/>
      <c r="N27" s="52"/>
      <c r="O27" s="52"/>
      <c r="P27" s="52"/>
      <c r="Q27" s="52"/>
      <c r="U27" s="52"/>
    </row>
    <row r="28">
      <c r="M28" s="52"/>
      <c r="N28" s="52"/>
      <c r="O28" s="52"/>
      <c r="P28" s="52"/>
      <c r="Q28" s="52"/>
      <c r="U28" s="52"/>
    </row>
    <row r="29">
      <c r="M29" s="52"/>
      <c r="N29" s="52"/>
      <c r="O29" s="52"/>
      <c r="P29" s="52"/>
      <c r="Q29" s="52"/>
      <c r="U29" s="52"/>
    </row>
    <row r="30">
      <c r="M30" s="52"/>
      <c r="N30" s="52"/>
      <c r="O30" s="52"/>
      <c r="P30" s="52"/>
      <c r="Q30" s="52"/>
      <c r="U30" s="52"/>
    </row>
    <row r="31">
      <c r="M31" s="52"/>
      <c r="N31" s="52"/>
      <c r="O31" s="52"/>
      <c r="P31" s="52"/>
      <c r="Q31" s="52"/>
      <c r="U31" s="52"/>
    </row>
    <row r="32">
      <c r="M32" s="52"/>
      <c r="N32" s="52"/>
      <c r="O32" s="52"/>
      <c r="P32" s="52"/>
      <c r="Q32" s="52"/>
      <c r="U32" s="52"/>
    </row>
    <row r="33">
      <c r="M33" s="52"/>
      <c r="N33" s="52"/>
      <c r="O33" s="52"/>
      <c r="P33" s="52"/>
      <c r="Q33" s="52"/>
      <c r="U33" s="52"/>
    </row>
    <row r="34">
      <c r="M34" s="52"/>
      <c r="N34" s="52"/>
      <c r="O34" s="52"/>
      <c r="P34" s="52"/>
      <c r="Q34" s="52"/>
      <c r="U34" s="52"/>
    </row>
    <row r="35">
      <c r="M35" s="52"/>
      <c r="N35" s="52"/>
      <c r="O35" s="52"/>
      <c r="P35" s="52"/>
      <c r="Q35" s="52"/>
      <c r="U35" s="52"/>
    </row>
    <row r="36">
      <c r="M36" s="52"/>
      <c r="N36" s="52"/>
      <c r="O36" s="52"/>
      <c r="P36" s="52"/>
      <c r="Q36" s="52"/>
      <c r="U36" s="52"/>
    </row>
    <row r="37">
      <c r="M37" s="52"/>
      <c r="N37" s="52"/>
      <c r="O37" s="52"/>
      <c r="P37" s="52"/>
      <c r="Q37" s="52"/>
      <c r="U37" s="52"/>
    </row>
    <row r="38">
      <c r="M38" s="52"/>
      <c r="N38" s="52"/>
      <c r="O38" s="52"/>
      <c r="P38" s="52"/>
      <c r="Q38" s="52"/>
      <c r="U38" s="52"/>
    </row>
    <row r="39">
      <c r="M39" s="52"/>
      <c r="N39" s="52"/>
      <c r="O39" s="52"/>
      <c r="P39" s="52"/>
      <c r="Q39" s="52"/>
      <c r="U39" s="52"/>
    </row>
    <row r="40">
      <c r="M40" s="52"/>
      <c r="N40" s="52"/>
      <c r="O40" s="52"/>
      <c r="P40" s="52"/>
      <c r="Q40" s="52"/>
      <c r="U40" s="52"/>
    </row>
    <row r="41">
      <c r="M41" s="52"/>
      <c r="N41" s="52"/>
      <c r="O41" s="52"/>
      <c r="P41" s="52"/>
      <c r="Q41" s="52"/>
      <c r="U41" s="52"/>
    </row>
    <row r="42">
      <c r="M42" s="52"/>
      <c r="N42" s="52"/>
      <c r="O42" s="52"/>
      <c r="P42" s="52"/>
      <c r="Q42" s="52"/>
      <c r="U42" s="52"/>
    </row>
    <row r="43">
      <c r="M43" s="52"/>
      <c r="N43" s="52"/>
      <c r="O43" s="52"/>
      <c r="P43" s="52"/>
      <c r="Q43" s="52"/>
      <c r="U43" s="52"/>
    </row>
    <row r="44">
      <c r="M44" s="52"/>
      <c r="N44" s="52"/>
      <c r="O44" s="52"/>
      <c r="P44" s="52"/>
      <c r="Q44" s="52"/>
      <c r="U44" s="52"/>
    </row>
    <row r="45">
      <c r="M45" s="52"/>
      <c r="N45" s="52"/>
      <c r="O45" s="52"/>
      <c r="P45" s="52"/>
      <c r="Q45" s="52"/>
      <c r="U45" s="52"/>
    </row>
    <row r="46">
      <c r="M46" s="52"/>
      <c r="N46" s="52"/>
      <c r="O46" s="52"/>
      <c r="P46" s="52"/>
      <c r="Q46" s="52"/>
      <c r="U46" s="52"/>
    </row>
    <row r="47">
      <c r="M47" s="52"/>
      <c r="N47" s="52"/>
      <c r="O47" s="52"/>
      <c r="P47" s="52"/>
      <c r="Q47" s="52"/>
      <c r="U47" s="52"/>
    </row>
    <row r="48">
      <c r="M48" s="52"/>
      <c r="N48" s="52"/>
      <c r="O48" s="52"/>
      <c r="P48" s="52"/>
      <c r="Q48" s="52"/>
      <c r="U48" s="52"/>
    </row>
    <row r="49">
      <c r="M49" s="52"/>
      <c r="N49" s="52"/>
      <c r="O49" s="52"/>
      <c r="P49" s="52"/>
      <c r="Q49" s="52"/>
      <c r="U49" s="52"/>
    </row>
    <row r="50">
      <c r="M50" s="52"/>
      <c r="N50" s="52"/>
      <c r="O50" s="52"/>
      <c r="P50" s="52"/>
      <c r="Q50" s="52"/>
      <c r="U50" s="52"/>
    </row>
    <row r="51">
      <c r="M51" s="52"/>
      <c r="N51" s="52"/>
      <c r="O51" s="52"/>
      <c r="P51" s="52"/>
      <c r="Q51" s="52"/>
      <c r="U51" s="52"/>
    </row>
    <row r="52">
      <c r="M52" s="52"/>
      <c r="N52" s="52"/>
      <c r="O52" s="52"/>
      <c r="P52" s="52"/>
      <c r="Q52" s="52"/>
      <c r="U52" s="52"/>
    </row>
    <row r="53">
      <c r="M53" s="52"/>
      <c r="N53" s="52"/>
      <c r="O53" s="52"/>
      <c r="P53" s="52"/>
      <c r="Q53" s="52"/>
      <c r="U53" s="52"/>
    </row>
    <row r="54">
      <c r="M54" s="52"/>
      <c r="N54" s="52"/>
      <c r="O54" s="52"/>
      <c r="P54" s="52"/>
      <c r="Q54" s="52"/>
      <c r="U54" s="52"/>
    </row>
    <row r="55">
      <c r="M55" s="52"/>
      <c r="N55" s="52"/>
      <c r="O55" s="52"/>
      <c r="P55" s="52"/>
      <c r="Q55" s="52"/>
      <c r="U55" s="52"/>
    </row>
    <row r="56">
      <c r="M56" s="52"/>
      <c r="N56" s="52"/>
      <c r="O56" s="52"/>
      <c r="P56" s="52"/>
      <c r="Q56" s="52"/>
      <c r="U56" s="52"/>
    </row>
    <row r="57">
      <c r="M57" s="52"/>
      <c r="N57" s="52"/>
      <c r="O57" s="52"/>
      <c r="P57" s="52"/>
      <c r="Q57" s="52"/>
      <c r="U57" s="52"/>
    </row>
    <row r="58">
      <c r="M58" s="52"/>
      <c r="N58" s="52"/>
      <c r="O58" s="52"/>
      <c r="P58" s="52"/>
      <c r="Q58" s="52"/>
      <c r="U58" s="52"/>
    </row>
    <row r="59">
      <c r="M59" s="52"/>
      <c r="N59" s="52"/>
      <c r="O59" s="52"/>
      <c r="P59" s="52"/>
      <c r="Q59" s="52"/>
      <c r="U59" s="52"/>
    </row>
    <row r="60">
      <c r="M60" s="52"/>
      <c r="N60" s="52"/>
      <c r="O60" s="52"/>
      <c r="P60" s="52"/>
      <c r="Q60" s="52"/>
      <c r="U60" s="52"/>
    </row>
    <row r="61">
      <c r="M61" s="52"/>
      <c r="N61" s="52"/>
      <c r="O61" s="52"/>
      <c r="P61" s="52"/>
      <c r="Q61" s="52"/>
      <c r="U61" s="52"/>
    </row>
    <row r="62">
      <c r="M62" s="52"/>
      <c r="N62" s="52"/>
      <c r="O62" s="52"/>
      <c r="P62" s="52"/>
      <c r="Q62" s="52"/>
      <c r="U62" s="52"/>
    </row>
    <row r="63">
      <c r="M63" s="52"/>
      <c r="N63" s="52"/>
      <c r="O63" s="52"/>
      <c r="P63" s="52"/>
      <c r="Q63" s="52"/>
      <c r="U63" s="52"/>
    </row>
    <row r="64">
      <c r="M64" s="52"/>
      <c r="N64" s="52"/>
      <c r="O64" s="52"/>
      <c r="P64" s="52"/>
      <c r="Q64" s="52"/>
      <c r="U64" s="52"/>
    </row>
    <row r="65">
      <c r="M65" s="52"/>
      <c r="N65" s="52"/>
      <c r="O65" s="52"/>
      <c r="P65" s="52"/>
      <c r="Q65" s="52"/>
      <c r="U65" s="52"/>
    </row>
    <row r="66">
      <c r="M66" s="52"/>
      <c r="N66" s="52"/>
      <c r="O66" s="52"/>
      <c r="P66" s="52"/>
      <c r="Q66" s="52"/>
      <c r="U66" s="52"/>
    </row>
    <row r="67">
      <c r="M67" s="52"/>
      <c r="N67" s="52"/>
      <c r="O67" s="52"/>
      <c r="P67" s="52"/>
      <c r="Q67" s="52"/>
      <c r="U67" s="52"/>
    </row>
    <row r="68">
      <c r="M68" s="52"/>
      <c r="N68" s="52"/>
      <c r="O68" s="52"/>
      <c r="P68" s="52"/>
      <c r="Q68" s="52"/>
      <c r="U68" s="52"/>
    </row>
    <row r="69">
      <c r="M69" s="52"/>
      <c r="N69" s="52"/>
      <c r="O69" s="52"/>
      <c r="P69" s="52"/>
      <c r="Q69" s="52"/>
      <c r="U69" s="52"/>
    </row>
    <row r="70">
      <c r="M70" s="52"/>
      <c r="N70" s="52"/>
      <c r="O70" s="52"/>
      <c r="P70" s="52"/>
      <c r="Q70" s="52"/>
      <c r="U70" s="52"/>
    </row>
    <row r="71">
      <c r="M71" s="52"/>
      <c r="N71" s="52"/>
      <c r="O71" s="52"/>
      <c r="P71" s="52"/>
      <c r="Q71" s="52"/>
      <c r="U71" s="52"/>
    </row>
    <row r="72">
      <c r="M72" s="52"/>
      <c r="N72" s="52"/>
      <c r="O72" s="52"/>
      <c r="P72" s="52"/>
      <c r="Q72" s="52"/>
      <c r="U72" s="52"/>
    </row>
    <row r="73">
      <c r="M73" s="52"/>
      <c r="N73" s="52"/>
      <c r="O73" s="52"/>
      <c r="P73" s="52"/>
      <c r="Q73" s="52"/>
      <c r="U73" s="52"/>
    </row>
    <row r="74">
      <c r="M74" s="52"/>
      <c r="N74" s="52"/>
      <c r="O74" s="52"/>
      <c r="P74" s="52"/>
      <c r="Q74" s="52"/>
      <c r="U74" s="52"/>
    </row>
    <row r="75">
      <c r="M75" s="52"/>
      <c r="N75" s="52"/>
      <c r="O75" s="52"/>
      <c r="P75" s="52"/>
      <c r="Q75" s="52"/>
      <c r="U75" s="52"/>
    </row>
    <row r="76">
      <c r="M76" s="52"/>
      <c r="N76" s="52"/>
      <c r="O76" s="52"/>
      <c r="P76" s="52"/>
      <c r="Q76" s="52"/>
      <c r="U76" s="52"/>
    </row>
    <row r="77">
      <c r="M77" s="52"/>
      <c r="N77" s="52"/>
      <c r="O77" s="52"/>
      <c r="P77" s="52"/>
      <c r="Q77" s="52"/>
      <c r="U77" s="52"/>
    </row>
    <row r="78">
      <c r="M78" s="52"/>
      <c r="N78" s="52"/>
      <c r="O78" s="52"/>
      <c r="P78" s="52"/>
      <c r="Q78" s="52"/>
      <c r="U78" s="52"/>
    </row>
    <row r="79">
      <c r="M79" s="52"/>
      <c r="N79" s="52"/>
      <c r="O79" s="52"/>
      <c r="P79" s="52"/>
      <c r="Q79" s="52"/>
      <c r="U79" s="52"/>
    </row>
    <row r="80">
      <c r="M80" s="52"/>
      <c r="N80" s="52"/>
      <c r="O80" s="52"/>
      <c r="P80" s="52"/>
      <c r="Q80" s="52"/>
      <c r="U80" s="52"/>
    </row>
    <row r="81">
      <c r="M81" s="52"/>
      <c r="N81" s="52"/>
      <c r="O81" s="52"/>
      <c r="P81" s="52"/>
      <c r="Q81" s="52"/>
      <c r="U81" s="52"/>
    </row>
    <row r="82">
      <c r="M82" s="52"/>
      <c r="N82" s="52"/>
      <c r="O82" s="52"/>
      <c r="P82" s="52"/>
      <c r="Q82" s="52"/>
      <c r="U82" s="52"/>
    </row>
    <row r="83">
      <c r="M83" s="52"/>
      <c r="N83" s="52"/>
      <c r="O83" s="52"/>
      <c r="P83" s="52"/>
      <c r="Q83" s="52"/>
      <c r="U83" s="52"/>
    </row>
    <row r="84">
      <c r="M84" s="52"/>
      <c r="N84" s="52"/>
      <c r="O84" s="52"/>
      <c r="P84" s="52"/>
      <c r="Q84" s="52"/>
      <c r="U84" s="52"/>
    </row>
    <row r="85">
      <c r="M85" s="52"/>
      <c r="N85" s="52"/>
      <c r="O85" s="52"/>
      <c r="P85" s="52"/>
      <c r="Q85" s="52"/>
      <c r="U85" s="52"/>
    </row>
    <row r="86">
      <c r="M86" s="52"/>
      <c r="N86" s="52"/>
      <c r="O86" s="52"/>
      <c r="P86" s="52"/>
      <c r="Q86" s="52"/>
      <c r="U86" s="52"/>
    </row>
    <row r="87">
      <c r="M87" s="52"/>
      <c r="N87" s="52"/>
      <c r="O87" s="52"/>
      <c r="P87" s="52"/>
      <c r="Q87" s="52"/>
      <c r="U87" s="52"/>
    </row>
    <row r="88">
      <c r="M88" s="52"/>
      <c r="N88" s="52"/>
      <c r="O88" s="52"/>
      <c r="P88" s="52"/>
      <c r="Q88" s="52"/>
      <c r="U88" s="52"/>
    </row>
    <row r="89">
      <c r="M89" s="52"/>
      <c r="N89" s="52"/>
      <c r="O89" s="52"/>
      <c r="P89" s="52"/>
      <c r="Q89" s="52"/>
      <c r="U89" s="52"/>
    </row>
    <row r="90">
      <c r="M90" s="52"/>
      <c r="N90" s="52"/>
      <c r="O90" s="52"/>
      <c r="P90" s="52"/>
      <c r="Q90" s="52"/>
      <c r="U90" s="52"/>
    </row>
    <row r="91">
      <c r="M91" s="52"/>
      <c r="N91" s="52"/>
      <c r="O91" s="52"/>
      <c r="P91" s="52"/>
      <c r="Q91" s="52"/>
      <c r="U91" s="52"/>
    </row>
    <row r="92">
      <c r="M92" s="52"/>
      <c r="N92" s="52"/>
      <c r="O92" s="52"/>
      <c r="P92" s="52"/>
      <c r="Q92" s="52"/>
      <c r="U92" s="52"/>
    </row>
    <row r="93">
      <c r="M93" s="52"/>
      <c r="N93" s="52"/>
      <c r="O93" s="52"/>
      <c r="P93" s="52"/>
      <c r="Q93" s="52"/>
      <c r="U93" s="52"/>
    </row>
    <row r="94">
      <c r="M94" s="52"/>
      <c r="N94" s="52"/>
      <c r="O94" s="52"/>
      <c r="P94" s="52"/>
      <c r="Q94" s="52"/>
      <c r="U94" s="52"/>
    </row>
    <row r="95">
      <c r="M95" s="52"/>
      <c r="N95" s="52"/>
      <c r="O95" s="52"/>
      <c r="P95" s="52"/>
      <c r="Q95" s="52"/>
      <c r="U95" s="52"/>
    </row>
    <row r="96">
      <c r="M96" s="52"/>
      <c r="N96" s="52"/>
      <c r="O96" s="52"/>
      <c r="P96" s="52"/>
      <c r="Q96" s="52"/>
      <c r="U96" s="52"/>
    </row>
    <row r="97">
      <c r="M97" s="52"/>
      <c r="N97" s="52"/>
      <c r="O97" s="52"/>
      <c r="P97" s="52"/>
      <c r="Q97" s="52"/>
      <c r="U97" s="52"/>
    </row>
    <row r="98">
      <c r="M98" s="52"/>
      <c r="N98" s="52"/>
      <c r="O98" s="52"/>
      <c r="P98" s="52"/>
      <c r="Q98" s="52"/>
      <c r="U98" s="52"/>
    </row>
    <row r="99">
      <c r="M99" s="52"/>
      <c r="N99" s="52"/>
      <c r="O99" s="52"/>
      <c r="P99" s="52"/>
      <c r="Q99" s="52"/>
      <c r="U99" s="52"/>
    </row>
    <row r="100">
      <c r="M100" s="52"/>
      <c r="N100" s="52"/>
      <c r="O100" s="52"/>
      <c r="P100" s="52"/>
      <c r="Q100" s="52"/>
      <c r="U100" s="52"/>
    </row>
    <row r="101">
      <c r="M101" s="52"/>
      <c r="N101" s="52"/>
      <c r="O101" s="52"/>
      <c r="P101" s="52"/>
      <c r="Q101" s="52"/>
      <c r="U101" s="52"/>
    </row>
    <row r="102">
      <c r="M102" s="52"/>
      <c r="N102" s="52"/>
      <c r="O102" s="52"/>
      <c r="P102" s="52"/>
      <c r="Q102" s="52"/>
      <c r="U102" s="52"/>
    </row>
    <row r="103">
      <c r="M103" s="52"/>
      <c r="N103" s="52"/>
      <c r="O103" s="52"/>
      <c r="P103" s="52"/>
      <c r="Q103" s="52"/>
      <c r="U103" s="52"/>
    </row>
    <row r="104">
      <c r="M104" s="52"/>
      <c r="N104" s="52"/>
      <c r="O104" s="52"/>
      <c r="P104" s="52"/>
      <c r="Q104" s="52"/>
      <c r="U104" s="52"/>
    </row>
    <row r="105">
      <c r="M105" s="52"/>
      <c r="N105" s="52"/>
      <c r="O105" s="52"/>
      <c r="P105" s="52"/>
      <c r="Q105" s="52"/>
      <c r="U105" s="52"/>
    </row>
    <row r="106">
      <c r="M106" s="52"/>
      <c r="N106" s="52"/>
      <c r="O106" s="52"/>
      <c r="P106" s="52"/>
      <c r="Q106" s="52"/>
      <c r="U106" s="52"/>
    </row>
    <row r="107">
      <c r="M107" s="52"/>
      <c r="N107" s="52"/>
      <c r="O107" s="52"/>
      <c r="P107" s="52"/>
      <c r="Q107" s="52"/>
      <c r="U107" s="52"/>
    </row>
    <row r="108">
      <c r="M108" s="52"/>
      <c r="N108" s="52"/>
      <c r="O108" s="52"/>
      <c r="P108" s="52"/>
      <c r="Q108" s="52"/>
      <c r="U108" s="52"/>
    </row>
    <row r="109">
      <c r="M109" s="52"/>
      <c r="N109" s="52"/>
      <c r="O109" s="52"/>
      <c r="P109" s="52"/>
      <c r="Q109" s="52"/>
      <c r="U109" s="52"/>
    </row>
    <row r="110">
      <c r="M110" s="52"/>
      <c r="N110" s="52"/>
      <c r="O110" s="52"/>
      <c r="P110" s="52"/>
      <c r="Q110" s="52"/>
      <c r="U110" s="52"/>
    </row>
    <row r="111">
      <c r="M111" s="52"/>
      <c r="N111" s="52"/>
      <c r="O111" s="52"/>
      <c r="P111" s="52"/>
      <c r="Q111" s="52"/>
      <c r="U111" s="52"/>
    </row>
    <row r="112">
      <c r="M112" s="52"/>
      <c r="N112" s="52"/>
      <c r="O112" s="52"/>
      <c r="P112" s="52"/>
      <c r="Q112" s="52"/>
      <c r="U112" s="52"/>
    </row>
    <row r="113">
      <c r="M113" s="52"/>
      <c r="N113" s="52"/>
      <c r="O113" s="52"/>
      <c r="P113" s="52"/>
      <c r="Q113" s="52"/>
      <c r="U113" s="52"/>
    </row>
    <row r="114">
      <c r="M114" s="52"/>
      <c r="N114" s="52"/>
      <c r="O114" s="52"/>
      <c r="P114" s="52"/>
      <c r="Q114" s="52"/>
      <c r="U114" s="52"/>
    </row>
    <row r="115">
      <c r="M115" s="52"/>
      <c r="N115" s="52"/>
      <c r="O115" s="52"/>
      <c r="P115" s="52"/>
      <c r="Q115" s="52"/>
      <c r="U115" s="52"/>
    </row>
    <row r="116">
      <c r="M116" s="52"/>
      <c r="N116" s="52"/>
      <c r="O116" s="52"/>
      <c r="P116" s="52"/>
      <c r="Q116" s="52"/>
      <c r="U116" s="52"/>
    </row>
    <row r="117">
      <c r="M117" s="52"/>
      <c r="N117" s="52"/>
      <c r="O117" s="52"/>
      <c r="P117" s="52"/>
      <c r="Q117" s="52"/>
      <c r="U117" s="52"/>
    </row>
    <row r="118">
      <c r="M118" s="52"/>
      <c r="N118" s="52"/>
      <c r="O118" s="52"/>
      <c r="P118" s="52"/>
      <c r="Q118" s="52"/>
      <c r="U118" s="52"/>
    </row>
    <row r="119">
      <c r="M119" s="52"/>
      <c r="N119" s="52"/>
      <c r="O119" s="52"/>
      <c r="P119" s="52"/>
      <c r="Q119" s="52"/>
      <c r="U119" s="52"/>
    </row>
    <row r="120">
      <c r="M120" s="52"/>
      <c r="N120" s="52"/>
      <c r="O120" s="52"/>
      <c r="P120" s="52"/>
      <c r="Q120" s="52"/>
      <c r="U120" s="52"/>
    </row>
    <row r="121">
      <c r="M121" s="52"/>
      <c r="N121" s="52"/>
      <c r="O121" s="52"/>
      <c r="P121" s="52"/>
      <c r="Q121" s="52"/>
      <c r="U121" s="52"/>
    </row>
    <row r="122">
      <c r="M122" s="52"/>
      <c r="N122" s="52"/>
      <c r="O122" s="52"/>
      <c r="P122" s="52"/>
      <c r="Q122" s="52"/>
      <c r="U122" s="52"/>
    </row>
    <row r="123">
      <c r="M123" s="52"/>
      <c r="N123" s="52"/>
      <c r="O123" s="52"/>
      <c r="P123" s="52"/>
      <c r="Q123" s="52"/>
      <c r="U123" s="52"/>
    </row>
    <row r="124">
      <c r="M124" s="52"/>
      <c r="N124" s="52"/>
      <c r="O124" s="52"/>
      <c r="P124" s="52"/>
      <c r="Q124" s="52"/>
      <c r="U124" s="52"/>
    </row>
    <row r="125">
      <c r="M125" s="52"/>
      <c r="N125" s="52"/>
      <c r="O125" s="52"/>
      <c r="P125" s="52"/>
      <c r="Q125" s="52"/>
      <c r="U125" s="52"/>
    </row>
    <row r="126">
      <c r="M126" s="52"/>
      <c r="N126" s="52"/>
      <c r="O126" s="52"/>
      <c r="P126" s="52"/>
      <c r="Q126" s="52"/>
      <c r="U126" s="52"/>
    </row>
    <row r="127">
      <c r="M127" s="52"/>
      <c r="N127" s="52"/>
      <c r="O127" s="52"/>
      <c r="P127" s="52"/>
      <c r="Q127" s="52"/>
      <c r="U127" s="52"/>
    </row>
    <row r="128">
      <c r="M128" s="52"/>
      <c r="N128" s="52"/>
      <c r="O128" s="52"/>
      <c r="P128" s="52"/>
      <c r="Q128" s="52"/>
      <c r="U128" s="52"/>
    </row>
    <row r="129">
      <c r="M129" s="52"/>
      <c r="N129" s="52"/>
      <c r="O129" s="52"/>
      <c r="P129" s="52"/>
      <c r="Q129" s="52"/>
      <c r="U129" s="52"/>
    </row>
    <row r="130">
      <c r="M130" s="52"/>
      <c r="N130" s="52"/>
      <c r="O130" s="52"/>
      <c r="P130" s="52"/>
      <c r="Q130" s="52"/>
      <c r="U130" s="52"/>
    </row>
    <row r="131">
      <c r="M131" s="52"/>
      <c r="N131" s="52"/>
      <c r="O131" s="52"/>
      <c r="P131" s="52"/>
      <c r="Q131" s="52"/>
      <c r="U131" s="52"/>
    </row>
    <row r="132">
      <c r="M132" s="52"/>
      <c r="N132" s="52"/>
      <c r="O132" s="52"/>
      <c r="P132" s="52"/>
      <c r="Q132" s="52"/>
      <c r="U132" s="52"/>
    </row>
    <row r="133">
      <c r="M133" s="52"/>
      <c r="N133" s="52"/>
      <c r="O133" s="52"/>
      <c r="P133" s="52"/>
      <c r="Q133" s="52"/>
      <c r="U133" s="52"/>
    </row>
    <row r="134">
      <c r="M134" s="52"/>
      <c r="N134" s="52"/>
      <c r="O134" s="52"/>
      <c r="P134" s="52"/>
      <c r="Q134" s="52"/>
      <c r="U134" s="52"/>
    </row>
    <row r="135">
      <c r="M135" s="52"/>
      <c r="N135" s="52"/>
      <c r="O135" s="52"/>
      <c r="P135" s="52"/>
      <c r="Q135" s="52"/>
      <c r="U135" s="52"/>
    </row>
    <row r="136">
      <c r="M136" s="52"/>
      <c r="N136" s="52"/>
      <c r="O136" s="52"/>
      <c r="P136" s="52"/>
      <c r="Q136" s="52"/>
      <c r="U136" s="52"/>
    </row>
    <row r="137">
      <c r="M137" s="52"/>
      <c r="N137" s="52"/>
      <c r="O137" s="52"/>
      <c r="P137" s="52"/>
      <c r="Q137" s="52"/>
      <c r="U137" s="52"/>
    </row>
    <row r="138">
      <c r="M138" s="52"/>
      <c r="N138" s="52"/>
      <c r="O138" s="52"/>
      <c r="P138" s="52"/>
      <c r="Q138" s="52"/>
      <c r="U138" s="52"/>
    </row>
    <row r="139">
      <c r="M139" s="52"/>
      <c r="N139" s="52"/>
      <c r="O139" s="52"/>
      <c r="P139" s="52"/>
      <c r="Q139" s="52"/>
      <c r="U139" s="52"/>
    </row>
    <row r="140">
      <c r="M140" s="52"/>
      <c r="N140" s="52"/>
      <c r="O140" s="52"/>
      <c r="P140" s="52"/>
      <c r="Q140" s="52"/>
      <c r="U140" s="52"/>
    </row>
    <row r="141">
      <c r="M141" s="52"/>
      <c r="N141" s="52"/>
      <c r="O141" s="52"/>
      <c r="P141" s="52"/>
      <c r="Q141" s="52"/>
      <c r="U141" s="52"/>
    </row>
    <row r="142">
      <c r="M142" s="52"/>
      <c r="N142" s="52"/>
      <c r="O142" s="52"/>
      <c r="P142" s="52"/>
      <c r="Q142" s="52"/>
      <c r="U142" s="52"/>
    </row>
    <row r="143">
      <c r="M143" s="52"/>
      <c r="N143" s="52"/>
      <c r="O143" s="52"/>
      <c r="P143" s="52"/>
      <c r="Q143" s="52"/>
      <c r="U143" s="52"/>
    </row>
    <row r="144">
      <c r="M144" s="52"/>
      <c r="N144" s="52"/>
      <c r="O144" s="52"/>
      <c r="P144" s="52"/>
      <c r="Q144" s="52"/>
      <c r="U144" s="52"/>
    </row>
    <row r="145">
      <c r="M145" s="52"/>
      <c r="N145" s="52"/>
      <c r="O145" s="52"/>
      <c r="P145" s="52"/>
      <c r="Q145" s="52"/>
      <c r="U145" s="52"/>
    </row>
    <row r="146">
      <c r="M146" s="52"/>
      <c r="N146" s="52"/>
      <c r="O146" s="52"/>
      <c r="P146" s="52"/>
      <c r="Q146" s="52"/>
      <c r="U146" s="52"/>
    </row>
    <row r="147">
      <c r="M147" s="52"/>
      <c r="N147" s="52"/>
      <c r="O147" s="52"/>
      <c r="P147" s="52"/>
      <c r="Q147" s="52"/>
      <c r="U147" s="52"/>
    </row>
    <row r="148">
      <c r="M148" s="52"/>
      <c r="N148" s="52"/>
      <c r="O148" s="52"/>
      <c r="P148" s="52"/>
      <c r="Q148" s="52"/>
      <c r="U148" s="52"/>
    </row>
    <row r="149">
      <c r="M149" s="52"/>
      <c r="N149" s="52"/>
      <c r="O149" s="52"/>
      <c r="P149" s="52"/>
      <c r="Q149" s="52"/>
      <c r="U149" s="52"/>
    </row>
    <row r="150">
      <c r="M150" s="52"/>
      <c r="N150" s="52"/>
      <c r="O150" s="52"/>
      <c r="P150" s="52"/>
      <c r="Q150" s="52"/>
      <c r="U150" s="52"/>
    </row>
    <row r="151">
      <c r="M151" s="52"/>
      <c r="N151" s="52"/>
      <c r="O151" s="52"/>
      <c r="P151" s="52"/>
      <c r="Q151" s="52"/>
      <c r="U151" s="52"/>
    </row>
    <row r="152">
      <c r="M152" s="52"/>
      <c r="N152" s="52"/>
      <c r="O152" s="52"/>
      <c r="P152" s="52"/>
      <c r="Q152" s="52"/>
      <c r="U152" s="52"/>
    </row>
    <row r="153">
      <c r="M153" s="52"/>
      <c r="N153" s="52"/>
      <c r="O153" s="52"/>
      <c r="P153" s="52"/>
      <c r="Q153" s="52"/>
      <c r="U153" s="52"/>
    </row>
    <row r="154">
      <c r="M154" s="52"/>
      <c r="N154" s="52"/>
      <c r="O154" s="52"/>
      <c r="P154" s="52"/>
      <c r="Q154" s="52"/>
      <c r="U154" s="52"/>
    </row>
    <row r="155">
      <c r="M155" s="52"/>
      <c r="N155" s="52"/>
      <c r="O155" s="52"/>
      <c r="P155" s="52"/>
      <c r="Q155" s="52"/>
      <c r="U155" s="52"/>
    </row>
    <row r="156">
      <c r="M156" s="52"/>
      <c r="N156" s="52"/>
      <c r="O156" s="52"/>
      <c r="P156" s="52"/>
      <c r="Q156" s="52"/>
      <c r="U156" s="52"/>
    </row>
    <row r="157">
      <c r="M157" s="52"/>
      <c r="N157" s="52"/>
      <c r="O157" s="52"/>
      <c r="P157" s="52"/>
      <c r="Q157" s="52"/>
      <c r="U157" s="52"/>
    </row>
    <row r="158">
      <c r="M158" s="52"/>
      <c r="N158" s="52"/>
      <c r="O158" s="52"/>
      <c r="P158" s="52"/>
      <c r="Q158" s="52"/>
      <c r="U158" s="52"/>
    </row>
    <row r="159">
      <c r="M159" s="52"/>
      <c r="N159" s="52"/>
      <c r="O159" s="52"/>
      <c r="P159" s="52"/>
      <c r="Q159" s="52"/>
      <c r="U159" s="52"/>
    </row>
    <row r="160">
      <c r="M160" s="52"/>
      <c r="N160" s="52"/>
      <c r="O160" s="52"/>
      <c r="P160" s="52"/>
      <c r="Q160" s="52"/>
      <c r="U160" s="52"/>
    </row>
    <row r="161">
      <c r="M161" s="52"/>
      <c r="N161" s="52"/>
      <c r="O161" s="52"/>
      <c r="P161" s="52"/>
      <c r="Q161" s="52"/>
      <c r="U161" s="52"/>
    </row>
    <row r="162">
      <c r="M162" s="52"/>
      <c r="N162" s="52"/>
      <c r="O162" s="52"/>
      <c r="P162" s="52"/>
      <c r="Q162" s="52"/>
      <c r="U162" s="52"/>
    </row>
    <row r="163">
      <c r="M163" s="52"/>
      <c r="N163" s="52"/>
      <c r="O163" s="52"/>
      <c r="P163" s="52"/>
      <c r="Q163" s="52"/>
      <c r="U163" s="52"/>
    </row>
    <row r="164">
      <c r="M164" s="52"/>
      <c r="N164" s="52"/>
      <c r="O164" s="52"/>
      <c r="P164" s="52"/>
      <c r="Q164" s="52"/>
      <c r="U164" s="52"/>
    </row>
    <row r="165">
      <c r="M165" s="52"/>
      <c r="N165" s="52"/>
      <c r="O165" s="52"/>
      <c r="P165" s="52"/>
      <c r="Q165" s="52"/>
      <c r="U165" s="52"/>
    </row>
    <row r="166">
      <c r="M166" s="52"/>
      <c r="N166" s="52"/>
      <c r="O166" s="52"/>
      <c r="P166" s="52"/>
      <c r="Q166" s="52"/>
      <c r="U166" s="52"/>
    </row>
    <row r="167">
      <c r="M167" s="52"/>
      <c r="N167" s="52"/>
      <c r="O167" s="52"/>
      <c r="P167" s="52"/>
      <c r="Q167" s="52"/>
      <c r="U167" s="52"/>
    </row>
    <row r="168">
      <c r="M168" s="52"/>
      <c r="N168" s="52"/>
      <c r="O168" s="52"/>
      <c r="P168" s="52"/>
      <c r="Q168" s="52"/>
      <c r="U168" s="52"/>
    </row>
    <row r="169">
      <c r="M169" s="52"/>
      <c r="N169" s="52"/>
      <c r="O169" s="52"/>
      <c r="P169" s="52"/>
      <c r="Q169" s="52"/>
      <c r="U169" s="52"/>
    </row>
    <row r="170">
      <c r="M170" s="52"/>
      <c r="N170" s="52"/>
      <c r="O170" s="52"/>
      <c r="P170" s="52"/>
      <c r="Q170" s="52"/>
      <c r="U170" s="52"/>
    </row>
    <row r="171">
      <c r="M171" s="52"/>
      <c r="N171" s="52"/>
      <c r="O171" s="52"/>
      <c r="P171" s="52"/>
      <c r="Q171" s="52"/>
      <c r="U171" s="52"/>
    </row>
    <row r="172">
      <c r="M172" s="52"/>
      <c r="N172" s="52"/>
      <c r="O172" s="52"/>
      <c r="P172" s="52"/>
      <c r="Q172" s="52"/>
      <c r="U172" s="52"/>
    </row>
    <row r="173">
      <c r="M173" s="52"/>
      <c r="N173" s="52"/>
      <c r="O173" s="52"/>
      <c r="P173" s="52"/>
      <c r="Q173" s="52"/>
      <c r="U173" s="52"/>
    </row>
    <row r="174">
      <c r="M174" s="52"/>
      <c r="N174" s="52"/>
      <c r="O174" s="52"/>
      <c r="P174" s="52"/>
      <c r="Q174" s="52"/>
      <c r="U174" s="52"/>
    </row>
    <row r="175">
      <c r="M175" s="52"/>
      <c r="N175" s="52"/>
      <c r="O175" s="52"/>
      <c r="P175" s="52"/>
      <c r="Q175" s="52"/>
      <c r="U175" s="52"/>
    </row>
    <row r="176">
      <c r="M176" s="52"/>
      <c r="N176" s="52"/>
      <c r="O176" s="52"/>
      <c r="P176" s="52"/>
      <c r="Q176" s="52"/>
      <c r="U176" s="52"/>
    </row>
    <row r="177">
      <c r="M177" s="52"/>
      <c r="N177" s="52"/>
      <c r="O177" s="52"/>
      <c r="P177" s="52"/>
      <c r="Q177" s="52"/>
      <c r="U177" s="52"/>
    </row>
    <row r="178">
      <c r="M178" s="52"/>
      <c r="N178" s="52"/>
      <c r="O178" s="52"/>
      <c r="P178" s="52"/>
      <c r="Q178" s="52"/>
      <c r="U178" s="52"/>
    </row>
    <row r="179">
      <c r="M179" s="52"/>
      <c r="N179" s="52"/>
      <c r="O179" s="52"/>
      <c r="P179" s="52"/>
      <c r="Q179" s="52"/>
      <c r="U179" s="52"/>
    </row>
    <row r="180">
      <c r="M180" s="52"/>
      <c r="N180" s="52"/>
      <c r="O180" s="52"/>
      <c r="P180" s="52"/>
      <c r="Q180" s="52"/>
      <c r="U180" s="52"/>
    </row>
    <row r="181">
      <c r="M181" s="52"/>
      <c r="N181" s="52"/>
      <c r="O181" s="52"/>
      <c r="P181" s="52"/>
      <c r="Q181" s="52"/>
      <c r="U181" s="52"/>
    </row>
    <row r="182">
      <c r="M182" s="52"/>
      <c r="N182" s="52"/>
      <c r="O182" s="52"/>
      <c r="P182" s="52"/>
      <c r="Q182" s="52"/>
      <c r="U182" s="52"/>
    </row>
    <row r="183">
      <c r="M183" s="52"/>
      <c r="N183" s="52"/>
      <c r="O183" s="52"/>
      <c r="P183" s="52"/>
      <c r="Q183" s="52"/>
      <c r="U183" s="52"/>
    </row>
    <row r="184">
      <c r="M184" s="52"/>
      <c r="N184" s="52"/>
      <c r="O184" s="52"/>
      <c r="P184" s="52"/>
      <c r="Q184" s="52"/>
      <c r="U184" s="52"/>
    </row>
    <row r="185">
      <c r="M185" s="52"/>
      <c r="N185" s="52"/>
      <c r="O185" s="52"/>
      <c r="P185" s="52"/>
      <c r="Q185" s="52"/>
      <c r="U185" s="52"/>
    </row>
    <row r="186">
      <c r="M186" s="52"/>
      <c r="N186" s="52"/>
      <c r="O186" s="52"/>
      <c r="P186" s="52"/>
      <c r="Q186" s="52"/>
      <c r="U186" s="52"/>
    </row>
    <row r="187">
      <c r="M187" s="52"/>
      <c r="N187" s="52"/>
      <c r="O187" s="52"/>
      <c r="P187" s="52"/>
      <c r="Q187" s="52"/>
      <c r="U187" s="52"/>
    </row>
    <row r="188">
      <c r="M188" s="52"/>
      <c r="N188" s="52"/>
      <c r="O188" s="52"/>
      <c r="P188" s="52"/>
      <c r="Q188" s="52"/>
      <c r="U188" s="52"/>
    </row>
    <row r="189">
      <c r="M189" s="52"/>
      <c r="N189" s="52"/>
      <c r="O189" s="52"/>
      <c r="P189" s="52"/>
      <c r="Q189" s="52"/>
      <c r="U189" s="52"/>
    </row>
    <row r="190">
      <c r="M190" s="52"/>
      <c r="N190" s="52"/>
      <c r="O190" s="52"/>
      <c r="P190" s="52"/>
      <c r="Q190" s="52"/>
      <c r="U190" s="52"/>
    </row>
    <row r="191">
      <c r="M191" s="52"/>
      <c r="N191" s="52"/>
      <c r="O191" s="52"/>
      <c r="P191" s="52"/>
      <c r="Q191" s="52"/>
      <c r="U191" s="52"/>
    </row>
    <row r="192">
      <c r="M192" s="52"/>
      <c r="N192" s="52"/>
      <c r="O192" s="52"/>
      <c r="P192" s="52"/>
      <c r="Q192" s="52"/>
      <c r="U192" s="52"/>
    </row>
    <row r="193">
      <c r="M193" s="52"/>
      <c r="N193" s="52"/>
      <c r="O193" s="52"/>
      <c r="P193" s="52"/>
      <c r="Q193" s="52"/>
      <c r="U193" s="52"/>
    </row>
    <row r="194">
      <c r="M194" s="52"/>
      <c r="N194" s="52"/>
      <c r="O194" s="52"/>
      <c r="P194" s="52"/>
      <c r="Q194" s="52"/>
      <c r="U194" s="52"/>
    </row>
    <row r="195">
      <c r="M195" s="52"/>
      <c r="N195" s="52"/>
      <c r="O195" s="52"/>
      <c r="P195" s="52"/>
      <c r="Q195" s="52"/>
      <c r="U195" s="52"/>
    </row>
    <row r="196">
      <c r="M196" s="52"/>
      <c r="N196" s="52"/>
      <c r="O196" s="52"/>
      <c r="P196" s="52"/>
      <c r="Q196" s="52"/>
      <c r="U196" s="52"/>
    </row>
    <row r="197">
      <c r="M197" s="52"/>
      <c r="N197" s="52"/>
      <c r="O197" s="52"/>
      <c r="P197" s="52"/>
      <c r="Q197" s="52"/>
      <c r="U197" s="52"/>
    </row>
    <row r="198">
      <c r="M198" s="52"/>
      <c r="N198" s="52"/>
      <c r="O198" s="52"/>
      <c r="P198" s="52"/>
      <c r="Q198" s="52"/>
      <c r="U198" s="52"/>
    </row>
    <row r="199">
      <c r="M199" s="52"/>
      <c r="N199" s="52"/>
      <c r="O199" s="52"/>
      <c r="P199" s="52"/>
      <c r="Q199" s="52"/>
      <c r="U199" s="52"/>
    </row>
    <row r="200">
      <c r="M200" s="52"/>
      <c r="N200" s="52"/>
      <c r="O200" s="52"/>
      <c r="P200" s="52"/>
      <c r="Q200" s="52"/>
      <c r="U200" s="52"/>
    </row>
    <row r="201">
      <c r="M201" s="52"/>
      <c r="N201" s="52"/>
      <c r="O201" s="52"/>
      <c r="P201" s="52"/>
      <c r="Q201" s="52"/>
      <c r="U201" s="52"/>
    </row>
    <row r="202">
      <c r="M202" s="52"/>
      <c r="N202" s="52"/>
      <c r="O202" s="52"/>
      <c r="P202" s="52"/>
      <c r="Q202" s="52"/>
      <c r="U202" s="52"/>
    </row>
    <row r="203">
      <c r="M203" s="52"/>
      <c r="N203" s="52"/>
      <c r="O203" s="52"/>
      <c r="P203" s="52"/>
      <c r="Q203" s="52"/>
      <c r="U203" s="52"/>
    </row>
    <row r="204">
      <c r="M204" s="52"/>
      <c r="N204" s="52"/>
      <c r="O204" s="52"/>
      <c r="P204" s="52"/>
      <c r="Q204" s="52"/>
      <c r="U204" s="52"/>
    </row>
    <row r="205">
      <c r="M205" s="52"/>
      <c r="N205" s="52"/>
      <c r="O205" s="52"/>
      <c r="P205" s="52"/>
      <c r="Q205" s="52"/>
      <c r="U205" s="52"/>
    </row>
    <row r="206">
      <c r="M206" s="52"/>
      <c r="N206" s="52"/>
      <c r="O206" s="52"/>
      <c r="P206" s="52"/>
      <c r="Q206" s="52"/>
      <c r="U206" s="52"/>
    </row>
    <row r="207">
      <c r="M207" s="52"/>
      <c r="N207" s="52"/>
      <c r="O207" s="52"/>
      <c r="P207" s="52"/>
      <c r="Q207" s="52"/>
      <c r="U207" s="52"/>
    </row>
    <row r="208">
      <c r="M208" s="52"/>
      <c r="N208" s="52"/>
      <c r="O208" s="52"/>
      <c r="P208" s="52"/>
      <c r="Q208" s="52"/>
      <c r="U208" s="52"/>
    </row>
    <row r="209">
      <c r="M209" s="52"/>
      <c r="N209" s="52"/>
      <c r="O209" s="52"/>
      <c r="P209" s="52"/>
      <c r="Q209" s="52"/>
      <c r="U209" s="52"/>
    </row>
    <row r="210">
      <c r="M210" s="52"/>
      <c r="N210" s="52"/>
      <c r="O210" s="52"/>
      <c r="P210" s="52"/>
      <c r="Q210" s="52"/>
      <c r="U210" s="52"/>
    </row>
    <row r="211">
      <c r="M211" s="52"/>
      <c r="N211" s="52"/>
      <c r="O211" s="52"/>
      <c r="P211" s="52"/>
      <c r="Q211" s="52"/>
      <c r="U211" s="52"/>
    </row>
    <row r="212">
      <c r="M212" s="52"/>
      <c r="N212" s="52"/>
      <c r="O212" s="52"/>
      <c r="P212" s="52"/>
      <c r="Q212" s="52"/>
      <c r="U212" s="52"/>
    </row>
    <row r="213">
      <c r="M213" s="52"/>
      <c r="N213" s="52"/>
      <c r="O213" s="52"/>
      <c r="P213" s="52"/>
      <c r="Q213" s="52"/>
      <c r="U213" s="52"/>
    </row>
    <row r="214">
      <c r="M214" s="52"/>
      <c r="N214" s="52"/>
      <c r="O214" s="52"/>
      <c r="P214" s="52"/>
      <c r="Q214" s="52"/>
      <c r="U214" s="52"/>
    </row>
    <row r="215">
      <c r="M215" s="52"/>
      <c r="N215" s="52"/>
      <c r="O215" s="52"/>
      <c r="P215" s="52"/>
      <c r="Q215" s="52"/>
      <c r="U215" s="52"/>
    </row>
    <row r="216">
      <c r="M216" s="52"/>
      <c r="N216" s="52"/>
      <c r="O216" s="52"/>
      <c r="P216" s="52"/>
      <c r="Q216" s="52"/>
      <c r="U216" s="52"/>
    </row>
    <row r="217">
      <c r="M217" s="52"/>
      <c r="N217" s="52"/>
      <c r="O217" s="52"/>
      <c r="P217" s="52"/>
      <c r="Q217" s="52"/>
      <c r="U217" s="52"/>
    </row>
    <row r="218">
      <c r="M218" s="52"/>
      <c r="N218" s="52"/>
      <c r="O218" s="52"/>
      <c r="P218" s="52"/>
      <c r="Q218" s="52"/>
      <c r="U218" s="52"/>
    </row>
    <row r="219">
      <c r="M219" s="52"/>
      <c r="N219" s="52"/>
      <c r="O219" s="52"/>
      <c r="P219" s="52"/>
      <c r="Q219" s="52"/>
      <c r="U219" s="52"/>
    </row>
    <row r="220">
      <c r="M220" s="52"/>
      <c r="N220" s="52"/>
      <c r="O220" s="52"/>
      <c r="P220" s="52"/>
      <c r="Q220" s="52"/>
      <c r="U220" s="52"/>
    </row>
    <row r="221">
      <c r="M221" s="52"/>
      <c r="N221" s="52"/>
      <c r="O221" s="52"/>
      <c r="P221" s="52"/>
      <c r="Q221" s="52"/>
      <c r="U221" s="52"/>
    </row>
    <row r="222">
      <c r="M222" s="52"/>
      <c r="N222" s="52"/>
      <c r="O222" s="52"/>
      <c r="P222" s="52"/>
      <c r="Q222" s="52"/>
      <c r="U222" s="52"/>
    </row>
    <row r="223">
      <c r="M223" s="52"/>
      <c r="N223" s="52"/>
      <c r="O223" s="52"/>
      <c r="P223" s="52"/>
      <c r="Q223" s="52"/>
      <c r="U223" s="52"/>
    </row>
    <row r="224">
      <c r="M224" s="52"/>
      <c r="N224" s="52"/>
      <c r="O224" s="52"/>
      <c r="P224" s="52"/>
      <c r="Q224" s="52"/>
      <c r="U224" s="52"/>
    </row>
    <row r="225">
      <c r="M225" s="52"/>
      <c r="N225" s="52"/>
      <c r="O225" s="52"/>
      <c r="P225" s="52"/>
      <c r="Q225" s="52"/>
      <c r="U225" s="52"/>
    </row>
    <row r="226">
      <c r="M226" s="52"/>
      <c r="N226" s="52"/>
      <c r="O226" s="52"/>
      <c r="P226" s="52"/>
      <c r="Q226" s="52"/>
      <c r="U226" s="52"/>
    </row>
    <row r="227">
      <c r="M227" s="52"/>
      <c r="N227" s="52"/>
      <c r="O227" s="52"/>
      <c r="P227" s="52"/>
      <c r="Q227" s="52"/>
      <c r="U227" s="52"/>
    </row>
    <row r="228">
      <c r="M228" s="52"/>
      <c r="N228" s="52"/>
      <c r="O228" s="52"/>
      <c r="P228" s="52"/>
      <c r="Q228" s="52"/>
      <c r="U228" s="52"/>
    </row>
    <row r="229">
      <c r="M229" s="52"/>
      <c r="N229" s="52"/>
      <c r="O229" s="52"/>
      <c r="P229" s="52"/>
      <c r="Q229" s="52"/>
      <c r="U229" s="52"/>
    </row>
    <row r="230">
      <c r="M230" s="52"/>
      <c r="N230" s="52"/>
      <c r="O230" s="52"/>
      <c r="P230" s="52"/>
      <c r="Q230" s="52"/>
      <c r="U230" s="52"/>
    </row>
    <row r="231">
      <c r="M231" s="52"/>
      <c r="N231" s="52"/>
      <c r="O231" s="52"/>
      <c r="P231" s="52"/>
      <c r="Q231" s="52"/>
      <c r="U231" s="52"/>
    </row>
    <row r="232">
      <c r="M232" s="52"/>
      <c r="N232" s="52"/>
      <c r="O232" s="52"/>
      <c r="P232" s="52"/>
      <c r="Q232" s="52"/>
      <c r="U232" s="52"/>
    </row>
    <row r="233">
      <c r="M233" s="52"/>
      <c r="N233" s="52"/>
      <c r="O233" s="52"/>
      <c r="P233" s="52"/>
      <c r="Q233" s="52"/>
      <c r="U233" s="52"/>
    </row>
    <row r="234">
      <c r="M234" s="52"/>
      <c r="N234" s="52"/>
      <c r="O234" s="52"/>
      <c r="P234" s="52"/>
      <c r="Q234" s="52"/>
      <c r="U234" s="52"/>
    </row>
    <row r="235">
      <c r="M235" s="52"/>
      <c r="N235" s="52"/>
      <c r="O235" s="52"/>
      <c r="P235" s="52"/>
      <c r="Q235" s="52"/>
      <c r="U235" s="52"/>
    </row>
    <row r="236">
      <c r="M236" s="52"/>
      <c r="N236" s="52"/>
      <c r="O236" s="52"/>
      <c r="P236" s="52"/>
      <c r="Q236" s="52"/>
      <c r="U236" s="52"/>
    </row>
    <row r="237">
      <c r="M237" s="52"/>
      <c r="N237" s="52"/>
      <c r="O237" s="52"/>
      <c r="P237" s="52"/>
      <c r="Q237" s="52"/>
      <c r="U237" s="52"/>
    </row>
    <row r="238">
      <c r="M238" s="52"/>
      <c r="N238" s="52"/>
      <c r="O238" s="52"/>
      <c r="P238" s="52"/>
      <c r="Q238" s="52"/>
      <c r="U238" s="52"/>
    </row>
    <row r="239">
      <c r="M239" s="52"/>
      <c r="N239" s="52"/>
      <c r="O239" s="52"/>
      <c r="P239" s="52"/>
      <c r="Q239" s="52"/>
      <c r="U239" s="52"/>
    </row>
    <row r="240">
      <c r="M240" s="52"/>
      <c r="N240" s="52"/>
      <c r="O240" s="52"/>
      <c r="P240" s="52"/>
      <c r="Q240" s="52"/>
      <c r="U240" s="52"/>
    </row>
    <row r="241">
      <c r="M241" s="52"/>
      <c r="N241" s="52"/>
      <c r="O241" s="52"/>
      <c r="P241" s="52"/>
      <c r="Q241" s="52"/>
      <c r="U241" s="52"/>
    </row>
    <row r="242">
      <c r="M242" s="52"/>
      <c r="N242" s="52"/>
      <c r="O242" s="52"/>
      <c r="P242" s="52"/>
      <c r="Q242" s="52"/>
      <c r="U242" s="52"/>
    </row>
    <row r="243">
      <c r="M243" s="52"/>
      <c r="N243" s="52"/>
      <c r="O243" s="52"/>
      <c r="P243" s="52"/>
      <c r="Q243" s="52"/>
      <c r="U243" s="52"/>
    </row>
    <row r="244">
      <c r="M244" s="52"/>
      <c r="N244" s="52"/>
      <c r="O244" s="52"/>
      <c r="P244" s="52"/>
      <c r="Q244" s="52"/>
      <c r="U244" s="52"/>
    </row>
    <row r="245">
      <c r="M245" s="52"/>
      <c r="N245" s="52"/>
      <c r="O245" s="52"/>
      <c r="P245" s="52"/>
      <c r="Q245" s="52"/>
      <c r="U245" s="52"/>
    </row>
    <row r="246">
      <c r="M246" s="52"/>
      <c r="N246" s="52"/>
      <c r="O246" s="52"/>
      <c r="P246" s="52"/>
      <c r="Q246" s="52"/>
      <c r="U246" s="52"/>
    </row>
    <row r="247">
      <c r="M247" s="52"/>
      <c r="N247" s="52"/>
      <c r="O247" s="52"/>
      <c r="P247" s="52"/>
      <c r="Q247" s="52"/>
      <c r="U247" s="52"/>
    </row>
    <row r="248">
      <c r="M248" s="52"/>
      <c r="N248" s="52"/>
      <c r="O248" s="52"/>
      <c r="P248" s="52"/>
      <c r="Q248" s="52"/>
      <c r="U248" s="52"/>
    </row>
    <row r="249">
      <c r="M249" s="52"/>
      <c r="N249" s="52"/>
      <c r="O249" s="52"/>
      <c r="P249" s="52"/>
      <c r="Q249" s="52"/>
      <c r="U249" s="52"/>
    </row>
    <row r="250">
      <c r="M250" s="52"/>
      <c r="N250" s="52"/>
      <c r="O250" s="52"/>
      <c r="P250" s="52"/>
      <c r="Q250" s="52"/>
      <c r="U250" s="52"/>
    </row>
    <row r="251">
      <c r="M251" s="52"/>
      <c r="N251" s="52"/>
      <c r="O251" s="52"/>
      <c r="P251" s="52"/>
      <c r="Q251" s="52"/>
      <c r="U251" s="52"/>
    </row>
    <row r="252">
      <c r="M252" s="52"/>
      <c r="N252" s="52"/>
      <c r="O252" s="52"/>
      <c r="P252" s="52"/>
      <c r="Q252" s="52"/>
      <c r="U252" s="52"/>
    </row>
    <row r="253">
      <c r="M253" s="52"/>
      <c r="N253" s="52"/>
      <c r="O253" s="52"/>
      <c r="P253" s="52"/>
      <c r="Q253" s="52"/>
      <c r="U253" s="52"/>
    </row>
    <row r="254">
      <c r="M254" s="52"/>
      <c r="N254" s="52"/>
      <c r="O254" s="52"/>
      <c r="P254" s="52"/>
      <c r="Q254" s="52"/>
      <c r="U254" s="52"/>
    </row>
    <row r="255">
      <c r="M255" s="52"/>
      <c r="N255" s="52"/>
      <c r="O255" s="52"/>
      <c r="P255" s="52"/>
      <c r="Q255" s="52"/>
      <c r="U255" s="52"/>
    </row>
    <row r="256">
      <c r="M256" s="52"/>
      <c r="N256" s="52"/>
      <c r="O256" s="52"/>
      <c r="P256" s="52"/>
      <c r="Q256" s="52"/>
      <c r="U256" s="52"/>
    </row>
    <row r="257">
      <c r="M257" s="52"/>
      <c r="N257" s="52"/>
      <c r="O257" s="52"/>
      <c r="P257" s="52"/>
      <c r="Q257" s="52"/>
      <c r="U257" s="52"/>
    </row>
    <row r="258">
      <c r="M258" s="52"/>
      <c r="N258" s="52"/>
      <c r="O258" s="52"/>
      <c r="P258" s="52"/>
      <c r="Q258" s="52"/>
      <c r="U258" s="52"/>
    </row>
    <row r="259">
      <c r="M259" s="52"/>
      <c r="N259" s="52"/>
      <c r="O259" s="52"/>
      <c r="P259" s="52"/>
      <c r="Q259" s="52"/>
      <c r="U259" s="52"/>
    </row>
    <row r="260">
      <c r="M260" s="52"/>
      <c r="N260" s="52"/>
      <c r="O260" s="52"/>
      <c r="P260" s="52"/>
      <c r="Q260" s="52"/>
      <c r="U260" s="52"/>
    </row>
    <row r="261">
      <c r="M261" s="52"/>
      <c r="N261" s="52"/>
      <c r="O261" s="52"/>
      <c r="P261" s="52"/>
      <c r="Q261" s="52"/>
      <c r="U261" s="52"/>
    </row>
    <row r="262">
      <c r="M262" s="52"/>
      <c r="N262" s="52"/>
      <c r="O262" s="52"/>
      <c r="P262" s="52"/>
      <c r="Q262" s="52"/>
      <c r="U262" s="52"/>
    </row>
    <row r="263">
      <c r="M263" s="52"/>
      <c r="N263" s="52"/>
      <c r="O263" s="52"/>
      <c r="P263" s="52"/>
      <c r="Q263" s="52"/>
      <c r="U263" s="52"/>
    </row>
    <row r="264">
      <c r="M264" s="52"/>
      <c r="N264" s="52"/>
      <c r="O264" s="52"/>
      <c r="P264" s="52"/>
      <c r="Q264" s="52"/>
      <c r="U264" s="52"/>
    </row>
    <row r="265">
      <c r="M265" s="52"/>
      <c r="N265" s="52"/>
      <c r="O265" s="52"/>
      <c r="P265" s="52"/>
      <c r="Q265" s="52"/>
      <c r="U265" s="52"/>
    </row>
    <row r="266">
      <c r="M266" s="52"/>
      <c r="N266" s="52"/>
      <c r="O266" s="52"/>
      <c r="P266" s="52"/>
      <c r="Q266" s="52"/>
      <c r="U266" s="52"/>
    </row>
    <row r="267">
      <c r="M267" s="52"/>
      <c r="N267" s="52"/>
      <c r="O267" s="52"/>
      <c r="P267" s="52"/>
      <c r="Q267" s="52"/>
      <c r="U267" s="52"/>
    </row>
    <row r="268">
      <c r="M268" s="52"/>
      <c r="N268" s="52"/>
      <c r="O268" s="52"/>
      <c r="P268" s="52"/>
      <c r="Q268" s="52"/>
      <c r="U268" s="52"/>
    </row>
    <row r="269">
      <c r="M269" s="52"/>
      <c r="N269" s="52"/>
      <c r="O269" s="52"/>
      <c r="P269" s="52"/>
      <c r="Q269" s="52"/>
      <c r="U269" s="52"/>
    </row>
    <row r="270">
      <c r="M270" s="52"/>
      <c r="N270" s="52"/>
      <c r="O270" s="52"/>
      <c r="P270" s="52"/>
      <c r="Q270" s="52"/>
      <c r="U270" s="52"/>
    </row>
    <row r="271">
      <c r="M271" s="52"/>
      <c r="N271" s="52"/>
      <c r="O271" s="52"/>
      <c r="P271" s="52"/>
      <c r="Q271" s="52"/>
      <c r="U271" s="52"/>
    </row>
    <row r="272">
      <c r="M272" s="52"/>
      <c r="N272" s="52"/>
      <c r="O272" s="52"/>
      <c r="P272" s="52"/>
      <c r="Q272" s="52"/>
      <c r="U272" s="52"/>
    </row>
    <row r="273">
      <c r="M273" s="52"/>
      <c r="N273" s="52"/>
      <c r="O273" s="52"/>
      <c r="P273" s="52"/>
      <c r="Q273" s="52"/>
      <c r="U273" s="52"/>
    </row>
    <row r="274">
      <c r="M274" s="52"/>
      <c r="N274" s="52"/>
      <c r="O274" s="52"/>
      <c r="P274" s="52"/>
      <c r="Q274" s="52"/>
      <c r="U274" s="52"/>
    </row>
    <row r="275">
      <c r="M275" s="52"/>
      <c r="N275" s="52"/>
      <c r="O275" s="52"/>
      <c r="P275" s="52"/>
      <c r="Q275" s="52"/>
      <c r="U275" s="52"/>
    </row>
    <row r="276">
      <c r="M276" s="52"/>
      <c r="N276" s="52"/>
      <c r="O276" s="52"/>
      <c r="P276" s="52"/>
      <c r="Q276" s="52"/>
      <c r="U276" s="52"/>
    </row>
    <row r="277">
      <c r="M277" s="52"/>
      <c r="N277" s="52"/>
      <c r="O277" s="52"/>
      <c r="P277" s="52"/>
      <c r="Q277" s="52"/>
      <c r="U277" s="52"/>
    </row>
    <row r="278">
      <c r="M278" s="52"/>
      <c r="N278" s="52"/>
      <c r="O278" s="52"/>
      <c r="P278" s="52"/>
      <c r="Q278" s="52"/>
      <c r="U278" s="52"/>
    </row>
    <row r="279">
      <c r="M279" s="52"/>
      <c r="N279" s="52"/>
      <c r="O279" s="52"/>
      <c r="P279" s="52"/>
      <c r="Q279" s="52"/>
      <c r="U279" s="52"/>
    </row>
    <row r="280">
      <c r="M280" s="52"/>
      <c r="N280" s="52"/>
      <c r="O280" s="52"/>
      <c r="P280" s="52"/>
      <c r="Q280" s="52"/>
      <c r="U280" s="52"/>
    </row>
    <row r="281">
      <c r="M281" s="52"/>
      <c r="N281" s="52"/>
      <c r="O281" s="52"/>
      <c r="P281" s="52"/>
      <c r="Q281" s="52"/>
      <c r="U281" s="52"/>
    </row>
    <row r="282">
      <c r="M282" s="52"/>
      <c r="N282" s="52"/>
      <c r="O282" s="52"/>
      <c r="P282" s="52"/>
      <c r="Q282" s="52"/>
      <c r="U282" s="52"/>
    </row>
    <row r="283">
      <c r="M283" s="52"/>
      <c r="N283" s="52"/>
      <c r="O283" s="52"/>
      <c r="P283" s="52"/>
      <c r="Q283" s="52"/>
      <c r="U283" s="52"/>
    </row>
    <row r="284">
      <c r="M284" s="52"/>
      <c r="N284" s="52"/>
      <c r="O284" s="52"/>
      <c r="P284" s="52"/>
      <c r="Q284" s="52"/>
      <c r="U284" s="52"/>
    </row>
    <row r="285">
      <c r="M285" s="52"/>
      <c r="N285" s="52"/>
      <c r="O285" s="52"/>
      <c r="P285" s="52"/>
      <c r="Q285" s="52"/>
      <c r="U285" s="52"/>
    </row>
    <row r="286">
      <c r="M286" s="52"/>
      <c r="N286" s="52"/>
      <c r="O286" s="52"/>
      <c r="P286" s="52"/>
      <c r="Q286" s="52"/>
      <c r="U286" s="52"/>
    </row>
    <row r="287">
      <c r="M287" s="52"/>
      <c r="N287" s="52"/>
      <c r="O287" s="52"/>
      <c r="P287" s="52"/>
      <c r="Q287" s="52"/>
      <c r="U287" s="52"/>
    </row>
    <row r="288">
      <c r="M288" s="52"/>
      <c r="N288" s="52"/>
      <c r="O288" s="52"/>
      <c r="P288" s="52"/>
      <c r="Q288" s="52"/>
      <c r="U288" s="52"/>
    </row>
    <row r="289">
      <c r="M289" s="52"/>
      <c r="N289" s="52"/>
      <c r="O289" s="52"/>
      <c r="P289" s="52"/>
      <c r="Q289" s="52"/>
      <c r="U289" s="52"/>
    </row>
    <row r="290">
      <c r="M290" s="52"/>
      <c r="N290" s="52"/>
      <c r="O290" s="52"/>
      <c r="P290" s="52"/>
      <c r="Q290" s="52"/>
      <c r="U290" s="52"/>
    </row>
    <row r="291">
      <c r="M291" s="52"/>
      <c r="N291" s="52"/>
      <c r="O291" s="52"/>
      <c r="P291" s="52"/>
      <c r="Q291" s="52"/>
      <c r="U291" s="52"/>
    </row>
    <row r="292">
      <c r="M292" s="52"/>
      <c r="N292" s="52"/>
      <c r="O292" s="52"/>
      <c r="P292" s="52"/>
      <c r="Q292" s="52"/>
      <c r="U292" s="52"/>
    </row>
    <row r="293">
      <c r="M293" s="52"/>
      <c r="N293" s="52"/>
      <c r="O293" s="52"/>
      <c r="P293" s="52"/>
      <c r="Q293" s="52"/>
      <c r="U293" s="52"/>
    </row>
    <row r="294">
      <c r="M294" s="52"/>
      <c r="N294" s="52"/>
      <c r="O294" s="52"/>
      <c r="P294" s="52"/>
      <c r="Q294" s="52"/>
      <c r="U294" s="52"/>
    </row>
    <row r="295">
      <c r="M295" s="52"/>
      <c r="N295" s="52"/>
      <c r="O295" s="52"/>
      <c r="P295" s="52"/>
      <c r="Q295" s="52"/>
      <c r="U295" s="52"/>
    </row>
    <row r="296">
      <c r="M296" s="52"/>
      <c r="N296" s="52"/>
      <c r="O296" s="52"/>
      <c r="P296" s="52"/>
      <c r="Q296" s="52"/>
      <c r="U296" s="52"/>
    </row>
    <row r="297">
      <c r="M297" s="52"/>
      <c r="N297" s="52"/>
      <c r="O297" s="52"/>
      <c r="P297" s="52"/>
      <c r="Q297" s="52"/>
      <c r="U297" s="52"/>
    </row>
    <row r="298">
      <c r="M298" s="52"/>
      <c r="N298" s="52"/>
      <c r="O298" s="52"/>
      <c r="P298" s="52"/>
      <c r="Q298" s="52"/>
      <c r="U298" s="52"/>
    </row>
    <row r="299">
      <c r="M299" s="52"/>
      <c r="N299" s="52"/>
      <c r="O299" s="52"/>
      <c r="P299" s="52"/>
      <c r="Q299" s="52"/>
      <c r="U299" s="52"/>
    </row>
    <row r="300">
      <c r="M300" s="52"/>
      <c r="N300" s="52"/>
      <c r="O300" s="52"/>
      <c r="P300" s="52"/>
      <c r="Q300" s="52"/>
      <c r="U300" s="52"/>
    </row>
    <row r="301">
      <c r="M301" s="52"/>
      <c r="N301" s="52"/>
      <c r="O301" s="52"/>
      <c r="P301" s="52"/>
      <c r="Q301" s="52"/>
      <c r="U301" s="52"/>
    </row>
    <row r="302">
      <c r="M302" s="52"/>
      <c r="N302" s="52"/>
      <c r="O302" s="52"/>
      <c r="P302" s="52"/>
      <c r="Q302" s="52"/>
      <c r="U302" s="52"/>
    </row>
    <row r="303">
      <c r="M303" s="52"/>
      <c r="N303" s="52"/>
      <c r="O303" s="52"/>
      <c r="P303" s="52"/>
      <c r="Q303" s="52"/>
      <c r="U303" s="52"/>
    </row>
    <row r="304">
      <c r="M304" s="52"/>
      <c r="N304" s="52"/>
      <c r="O304" s="52"/>
      <c r="P304" s="52"/>
      <c r="Q304" s="52"/>
      <c r="U304" s="52"/>
    </row>
    <row r="305">
      <c r="M305" s="52"/>
      <c r="N305" s="52"/>
      <c r="O305" s="52"/>
      <c r="P305" s="52"/>
      <c r="Q305" s="52"/>
      <c r="U305" s="52"/>
    </row>
    <row r="306">
      <c r="M306" s="52"/>
      <c r="N306" s="52"/>
      <c r="O306" s="52"/>
      <c r="P306" s="52"/>
      <c r="Q306" s="52"/>
      <c r="U306" s="52"/>
    </row>
    <row r="307">
      <c r="M307" s="52"/>
      <c r="N307" s="52"/>
      <c r="O307" s="52"/>
      <c r="P307" s="52"/>
      <c r="Q307" s="52"/>
      <c r="U307" s="52"/>
    </row>
    <row r="308">
      <c r="M308" s="52"/>
      <c r="N308" s="52"/>
      <c r="O308" s="52"/>
      <c r="P308" s="52"/>
      <c r="Q308" s="52"/>
      <c r="U308" s="52"/>
    </row>
    <row r="309">
      <c r="M309" s="52"/>
      <c r="N309" s="52"/>
      <c r="O309" s="52"/>
      <c r="P309" s="52"/>
      <c r="Q309" s="52"/>
      <c r="U309" s="52"/>
    </row>
    <row r="310">
      <c r="M310" s="52"/>
      <c r="N310" s="52"/>
      <c r="O310" s="52"/>
      <c r="P310" s="52"/>
      <c r="Q310" s="52"/>
      <c r="U310" s="52"/>
    </row>
    <row r="311">
      <c r="M311" s="52"/>
      <c r="N311" s="52"/>
      <c r="O311" s="52"/>
      <c r="P311" s="52"/>
      <c r="Q311" s="52"/>
      <c r="U311" s="52"/>
    </row>
    <row r="312">
      <c r="M312" s="52"/>
      <c r="N312" s="52"/>
      <c r="O312" s="52"/>
      <c r="P312" s="52"/>
      <c r="Q312" s="52"/>
      <c r="U312" s="52"/>
    </row>
    <row r="313">
      <c r="M313" s="52"/>
      <c r="N313" s="52"/>
      <c r="O313" s="52"/>
      <c r="P313" s="52"/>
      <c r="Q313" s="52"/>
      <c r="U313" s="52"/>
    </row>
    <row r="314">
      <c r="M314" s="52"/>
      <c r="N314" s="52"/>
      <c r="O314" s="52"/>
      <c r="P314" s="52"/>
      <c r="Q314" s="52"/>
      <c r="U314" s="52"/>
    </row>
    <row r="315">
      <c r="M315" s="52"/>
      <c r="N315" s="52"/>
      <c r="O315" s="52"/>
      <c r="P315" s="52"/>
      <c r="Q315" s="52"/>
      <c r="U315" s="52"/>
    </row>
    <row r="316">
      <c r="M316" s="52"/>
      <c r="N316" s="52"/>
      <c r="O316" s="52"/>
      <c r="P316" s="52"/>
      <c r="Q316" s="52"/>
      <c r="U316" s="52"/>
    </row>
    <row r="317">
      <c r="M317" s="52"/>
      <c r="N317" s="52"/>
      <c r="O317" s="52"/>
      <c r="P317" s="52"/>
      <c r="Q317" s="52"/>
      <c r="U317" s="52"/>
    </row>
    <row r="318">
      <c r="M318" s="52"/>
      <c r="N318" s="52"/>
      <c r="O318" s="52"/>
      <c r="P318" s="52"/>
      <c r="Q318" s="52"/>
      <c r="U318" s="52"/>
    </row>
    <row r="319">
      <c r="M319" s="52"/>
      <c r="N319" s="52"/>
      <c r="O319" s="52"/>
      <c r="P319" s="52"/>
      <c r="Q319" s="52"/>
      <c r="U319" s="52"/>
    </row>
    <row r="320">
      <c r="M320" s="52"/>
      <c r="N320" s="52"/>
      <c r="O320" s="52"/>
      <c r="P320" s="52"/>
      <c r="Q320" s="52"/>
      <c r="U320" s="52"/>
    </row>
    <row r="321">
      <c r="M321" s="52"/>
      <c r="N321" s="52"/>
      <c r="O321" s="52"/>
      <c r="P321" s="52"/>
      <c r="Q321" s="52"/>
      <c r="U321" s="52"/>
    </row>
    <row r="322">
      <c r="M322" s="52"/>
      <c r="N322" s="52"/>
      <c r="O322" s="52"/>
      <c r="P322" s="52"/>
      <c r="Q322" s="52"/>
      <c r="U322" s="52"/>
    </row>
    <row r="323">
      <c r="M323" s="52"/>
      <c r="N323" s="52"/>
      <c r="O323" s="52"/>
      <c r="P323" s="52"/>
      <c r="Q323" s="52"/>
      <c r="U323" s="52"/>
    </row>
    <row r="324">
      <c r="M324" s="52"/>
      <c r="N324" s="52"/>
      <c r="O324" s="52"/>
      <c r="P324" s="52"/>
      <c r="Q324" s="52"/>
      <c r="U324" s="52"/>
    </row>
    <row r="325">
      <c r="M325" s="52"/>
      <c r="N325" s="52"/>
      <c r="O325" s="52"/>
      <c r="P325" s="52"/>
      <c r="Q325" s="52"/>
      <c r="U325" s="52"/>
    </row>
    <row r="326">
      <c r="M326" s="52"/>
      <c r="N326" s="52"/>
      <c r="O326" s="52"/>
      <c r="P326" s="52"/>
      <c r="Q326" s="52"/>
      <c r="U326" s="52"/>
    </row>
    <row r="327">
      <c r="M327" s="52"/>
      <c r="N327" s="52"/>
      <c r="O327" s="52"/>
      <c r="P327" s="52"/>
      <c r="Q327" s="52"/>
      <c r="U327" s="52"/>
    </row>
    <row r="328">
      <c r="M328" s="52"/>
      <c r="N328" s="52"/>
      <c r="O328" s="52"/>
      <c r="P328" s="52"/>
      <c r="Q328" s="52"/>
      <c r="U328" s="52"/>
    </row>
    <row r="329">
      <c r="M329" s="52"/>
      <c r="N329" s="52"/>
      <c r="O329" s="52"/>
      <c r="P329" s="52"/>
      <c r="Q329" s="52"/>
      <c r="U329" s="52"/>
    </row>
    <row r="330">
      <c r="M330" s="52"/>
      <c r="N330" s="52"/>
      <c r="O330" s="52"/>
      <c r="P330" s="52"/>
      <c r="Q330" s="52"/>
      <c r="U330" s="52"/>
    </row>
    <row r="331">
      <c r="M331" s="52"/>
      <c r="N331" s="52"/>
      <c r="O331" s="52"/>
      <c r="P331" s="52"/>
      <c r="Q331" s="52"/>
      <c r="U331" s="52"/>
    </row>
    <row r="332">
      <c r="M332" s="52"/>
      <c r="N332" s="52"/>
      <c r="O332" s="52"/>
      <c r="P332" s="52"/>
      <c r="Q332" s="52"/>
      <c r="U332" s="52"/>
    </row>
    <row r="333">
      <c r="M333" s="52"/>
      <c r="N333" s="52"/>
      <c r="O333" s="52"/>
      <c r="P333" s="52"/>
      <c r="Q333" s="52"/>
      <c r="U333" s="52"/>
    </row>
    <row r="334">
      <c r="M334" s="52"/>
      <c r="N334" s="52"/>
      <c r="O334" s="52"/>
      <c r="P334" s="52"/>
      <c r="Q334" s="52"/>
      <c r="U334" s="52"/>
    </row>
    <row r="335">
      <c r="M335" s="52"/>
      <c r="N335" s="52"/>
      <c r="O335" s="52"/>
      <c r="P335" s="52"/>
      <c r="Q335" s="52"/>
      <c r="U335" s="52"/>
    </row>
    <row r="336">
      <c r="M336" s="52"/>
      <c r="N336" s="52"/>
      <c r="O336" s="52"/>
      <c r="P336" s="52"/>
      <c r="Q336" s="52"/>
      <c r="U336" s="52"/>
    </row>
    <row r="337">
      <c r="M337" s="52"/>
      <c r="N337" s="52"/>
      <c r="O337" s="52"/>
      <c r="P337" s="52"/>
      <c r="Q337" s="52"/>
      <c r="U337" s="52"/>
    </row>
    <row r="338">
      <c r="M338" s="52"/>
      <c r="N338" s="52"/>
      <c r="O338" s="52"/>
      <c r="P338" s="52"/>
      <c r="Q338" s="52"/>
      <c r="U338" s="52"/>
    </row>
    <row r="339">
      <c r="M339" s="52"/>
      <c r="N339" s="52"/>
      <c r="O339" s="52"/>
      <c r="P339" s="52"/>
      <c r="Q339" s="52"/>
      <c r="U339" s="52"/>
    </row>
    <row r="340">
      <c r="M340" s="52"/>
      <c r="N340" s="52"/>
      <c r="O340" s="52"/>
      <c r="P340" s="52"/>
      <c r="Q340" s="52"/>
      <c r="U340" s="52"/>
    </row>
    <row r="341">
      <c r="M341" s="52"/>
      <c r="N341" s="52"/>
      <c r="O341" s="52"/>
      <c r="P341" s="52"/>
      <c r="Q341" s="52"/>
      <c r="U341" s="52"/>
    </row>
    <row r="342">
      <c r="M342" s="52"/>
      <c r="N342" s="52"/>
      <c r="O342" s="52"/>
      <c r="P342" s="52"/>
      <c r="Q342" s="52"/>
      <c r="U342" s="52"/>
    </row>
    <row r="343">
      <c r="M343" s="52"/>
      <c r="N343" s="52"/>
      <c r="O343" s="52"/>
      <c r="P343" s="52"/>
      <c r="Q343" s="52"/>
      <c r="U343" s="52"/>
    </row>
    <row r="344">
      <c r="M344" s="52"/>
      <c r="N344" s="52"/>
      <c r="O344" s="52"/>
      <c r="P344" s="52"/>
      <c r="Q344" s="52"/>
      <c r="U344" s="52"/>
    </row>
    <row r="345">
      <c r="M345" s="52"/>
      <c r="N345" s="52"/>
      <c r="O345" s="52"/>
      <c r="P345" s="52"/>
      <c r="Q345" s="52"/>
      <c r="U345" s="52"/>
    </row>
    <row r="346">
      <c r="M346" s="52"/>
      <c r="N346" s="52"/>
      <c r="O346" s="52"/>
      <c r="P346" s="52"/>
      <c r="Q346" s="52"/>
      <c r="U346" s="52"/>
    </row>
    <row r="347">
      <c r="M347" s="52"/>
      <c r="N347" s="52"/>
      <c r="O347" s="52"/>
      <c r="P347" s="52"/>
      <c r="Q347" s="52"/>
      <c r="U347" s="52"/>
    </row>
    <row r="348">
      <c r="M348" s="52"/>
      <c r="N348" s="52"/>
      <c r="O348" s="52"/>
      <c r="P348" s="52"/>
      <c r="Q348" s="52"/>
      <c r="U348" s="52"/>
    </row>
    <row r="349">
      <c r="M349" s="52"/>
      <c r="N349" s="52"/>
      <c r="O349" s="52"/>
      <c r="P349" s="52"/>
      <c r="Q349" s="52"/>
      <c r="U349" s="52"/>
    </row>
    <row r="350">
      <c r="M350" s="52"/>
      <c r="N350" s="52"/>
      <c r="O350" s="52"/>
      <c r="P350" s="52"/>
      <c r="Q350" s="52"/>
      <c r="U350" s="52"/>
    </row>
    <row r="351">
      <c r="M351" s="52"/>
      <c r="N351" s="52"/>
      <c r="O351" s="52"/>
      <c r="P351" s="52"/>
      <c r="Q351" s="52"/>
      <c r="U351" s="52"/>
    </row>
    <row r="352">
      <c r="M352" s="52"/>
      <c r="N352" s="52"/>
      <c r="O352" s="52"/>
      <c r="P352" s="52"/>
      <c r="Q352" s="52"/>
      <c r="U352" s="52"/>
    </row>
    <row r="353">
      <c r="M353" s="52"/>
      <c r="N353" s="52"/>
      <c r="O353" s="52"/>
      <c r="P353" s="52"/>
      <c r="Q353" s="52"/>
      <c r="U353" s="52"/>
    </row>
    <row r="354">
      <c r="M354" s="52"/>
      <c r="N354" s="52"/>
      <c r="O354" s="52"/>
      <c r="P354" s="52"/>
      <c r="Q354" s="52"/>
      <c r="U354" s="52"/>
    </row>
    <row r="355">
      <c r="M355" s="52"/>
      <c r="N355" s="52"/>
      <c r="O355" s="52"/>
      <c r="P355" s="52"/>
      <c r="Q355" s="52"/>
      <c r="U355" s="52"/>
    </row>
    <row r="356">
      <c r="M356" s="52"/>
      <c r="N356" s="52"/>
      <c r="O356" s="52"/>
      <c r="P356" s="52"/>
      <c r="Q356" s="52"/>
      <c r="U356" s="52"/>
    </row>
    <row r="357">
      <c r="M357" s="52"/>
      <c r="N357" s="52"/>
      <c r="O357" s="52"/>
      <c r="P357" s="52"/>
      <c r="Q357" s="52"/>
      <c r="U357" s="52"/>
    </row>
    <row r="358">
      <c r="M358" s="52"/>
      <c r="N358" s="52"/>
      <c r="O358" s="52"/>
      <c r="P358" s="52"/>
      <c r="Q358" s="52"/>
      <c r="U358" s="52"/>
    </row>
    <row r="359">
      <c r="M359" s="52"/>
      <c r="N359" s="52"/>
      <c r="O359" s="52"/>
      <c r="P359" s="52"/>
      <c r="Q359" s="52"/>
      <c r="U359" s="52"/>
    </row>
    <row r="360">
      <c r="M360" s="52"/>
      <c r="N360" s="52"/>
      <c r="O360" s="52"/>
      <c r="P360" s="52"/>
      <c r="Q360" s="52"/>
      <c r="U360" s="52"/>
    </row>
    <row r="361">
      <c r="M361" s="52"/>
      <c r="N361" s="52"/>
      <c r="O361" s="52"/>
      <c r="P361" s="52"/>
      <c r="Q361" s="52"/>
      <c r="U361" s="52"/>
    </row>
    <row r="362">
      <c r="M362" s="52"/>
      <c r="N362" s="52"/>
      <c r="O362" s="52"/>
      <c r="P362" s="52"/>
      <c r="Q362" s="52"/>
      <c r="U362" s="52"/>
    </row>
    <row r="363">
      <c r="M363" s="52"/>
      <c r="N363" s="52"/>
      <c r="O363" s="52"/>
      <c r="P363" s="52"/>
      <c r="Q363" s="52"/>
      <c r="U363" s="52"/>
    </row>
    <row r="364">
      <c r="M364" s="52"/>
      <c r="N364" s="52"/>
      <c r="O364" s="52"/>
      <c r="P364" s="52"/>
      <c r="Q364" s="52"/>
      <c r="U364" s="52"/>
    </row>
    <row r="365">
      <c r="M365" s="52"/>
      <c r="N365" s="52"/>
      <c r="O365" s="52"/>
      <c r="P365" s="52"/>
      <c r="Q365" s="52"/>
      <c r="U365" s="52"/>
    </row>
    <row r="366">
      <c r="M366" s="52"/>
      <c r="N366" s="52"/>
      <c r="O366" s="52"/>
      <c r="P366" s="52"/>
      <c r="Q366" s="52"/>
      <c r="U366" s="52"/>
    </row>
    <row r="367">
      <c r="M367" s="52"/>
      <c r="N367" s="52"/>
      <c r="O367" s="52"/>
      <c r="P367" s="52"/>
      <c r="Q367" s="52"/>
      <c r="U367" s="52"/>
    </row>
    <row r="368">
      <c r="M368" s="52"/>
      <c r="N368" s="52"/>
      <c r="O368" s="52"/>
      <c r="P368" s="52"/>
      <c r="Q368" s="52"/>
      <c r="U368" s="52"/>
    </row>
    <row r="369">
      <c r="M369" s="52"/>
      <c r="N369" s="52"/>
      <c r="O369" s="52"/>
      <c r="P369" s="52"/>
      <c r="Q369" s="52"/>
      <c r="U369" s="52"/>
    </row>
    <row r="370">
      <c r="M370" s="52"/>
      <c r="N370" s="52"/>
      <c r="O370" s="52"/>
      <c r="P370" s="52"/>
      <c r="Q370" s="52"/>
      <c r="U370" s="52"/>
    </row>
    <row r="371">
      <c r="M371" s="52"/>
      <c r="N371" s="52"/>
      <c r="O371" s="52"/>
      <c r="P371" s="52"/>
      <c r="Q371" s="52"/>
      <c r="U371" s="52"/>
    </row>
    <row r="372">
      <c r="M372" s="52"/>
      <c r="N372" s="52"/>
      <c r="O372" s="52"/>
      <c r="P372" s="52"/>
      <c r="Q372" s="52"/>
      <c r="U372" s="52"/>
    </row>
    <row r="373">
      <c r="M373" s="52"/>
      <c r="N373" s="52"/>
      <c r="O373" s="52"/>
      <c r="P373" s="52"/>
      <c r="Q373" s="52"/>
      <c r="U373" s="52"/>
    </row>
    <row r="374">
      <c r="M374" s="52"/>
      <c r="N374" s="52"/>
      <c r="O374" s="52"/>
      <c r="P374" s="52"/>
      <c r="Q374" s="52"/>
      <c r="U374" s="52"/>
    </row>
    <row r="375">
      <c r="M375" s="52"/>
      <c r="N375" s="52"/>
      <c r="O375" s="52"/>
      <c r="P375" s="52"/>
      <c r="Q375" s="52"/>
      <c r="U375" s="52"/>
    </row>
    <row r="376">
      <c r="M376" s="52"/>
      <c r="N376" s="52"/>
      <c r="O376" s="52"/>
      <c r="P376" s="52"/>
      <c r="Q376" s="52"/>
      <c r="U376" s="52"/>
    </row>
    <row r="377">
      <c r="M377" s="52"/>
      <c r="N377" s="52"/>
      <c r="O377" s="52"/>
      <c r="P377" s="52"/>
      <c r="Q377" s="52"/>
      <c r="U377" s="52"/>
    </row>
    <row r="378">
      <c r="M378" s="52"/>
      <c r="N378" s="52"/>
      <c r="O378" s="52"/>
      <c r="P378" s="52"/>
      <c r="Q378" s="52"/>
      <c r="U378" s="52"/>
    </row>
    <row r="379">
      <c r="M379" s="52"/>
      <c r="N379" s="52"/>
      <c r="O379" s="52"/>
      <c r="P379" s="52"/>
      <c r="Q379" s="52"/>
      <c r="U379" s="52"/>
    </row>
    <row r="380">
      <c r="M380" s="52"/>
      <c r="N380" s="52"/>
      <c r="O380" s="52"/>
      <c r="P380" s="52"/>
      <c r="Q380" s="52"/>
      <c r="U380" s="52"/>
    </row>
    <row r="381">
      <c r="M381" s="52"/>
      <c r="N381" s="52"/>
      <c r="O381" s="52"/>
      <c r="P381" s="52"/>
      <c r="Q381" s="52"/>
      <c r="U381" s="52"/>
    </row>
    <row r="382">
      <c r="M382" s="52"/>
      <c r="N382" s="52"/>
      <c r="O382" s="52"/>
      <c r="P382" s="52"/>
      <c r="Q382" s="52"/>
      <c r="U382" s="52"/>
    </row>
    <row r="383">
      <c r="M383" s="52"/>
      <c r="N383" s="52"/>
      <c r="O383" s="52"/>
      <c r="P383" s="52"/>
      <c r="Q383" s="52"/>
      <c r="U383" s="52"/>
    </row>
    <row r="384">
      <c r="M384" s="52"/>
      <c r="N384" s="52"/>
      <c r="O384" s="52"/>
      <c r="P384" s="52"/>
      <c r="Q384" s="52"/>
      <c r="U384" s="52"/>
    </row>
    <row r="385">
      <c r="M385" s="52"/>
      <c r="N385" s="52"/>
      <c r="O385" s="52"/>
      <c r="P385" s="52"/>
      <c r="Q385" s="52"/>
      <c r="U385" s="52"/>
    </row>
    <row r="386">
      <c r="M386" s="52"/>
      <c r="N386" s="52"/>
      <c r="O386" s="52"/>
      <c r="P386" s="52"/>
      <c r="Q386" s="52"/>
      <c r="U386" s="52"/>
    </row>
    <row r="387">
      <c r="M387" s="52"/>
      <c r="N387" s="52"/>
      <c r="O387" s="52"/>
      <c r="P387" s="52"/>
      <c r="Q387" s="52"/>
      <c r="U387" s="52"/>
    </row>
    <row r="388">
      <c r="M388" s="52"/>
      <c r="N388" s="52"/>
      <c r="O388" s="52"/>
      <c r="P388" s="52"/>
      <c r="Q388" s="52"/>
      <c r="U388" s="52"/>
    </row>
    <row r="389">
      <c r="M389" s="52"/>
      <c r="N389" s="52"/>
      <c r="O389" s="52"/>
      <c r="P389" s="52"/>
      <c r="Q389" s="52"/>
      <c r="U389" s="52"/>
    </row>
    <row r="390">
      <c r="M390" s="52"/>
      <c r="N390" s="52"/>
      <c r="O390" s="52"/>
      <c r="P390" s="52"/>
      <c r="Q390" s="52"/>
      <c r="U390" s="52"/>
    </row>
    <row r="391">
      <c r="M391" s="52"/>
      <c r="N391" s="52"/>
      <c r="O391" s="52"/>
      <c r="P391" s="52"/>
      <c r="Q391" s="52"/>
      <c r="U391" s="52"/>
    </row>
    <row r="392">
      <c r="M392" s="52"/>
      <c r="N392" s="52"/>
      <c r="O392" s="52"/>
      <c r="P392" s="52"/>
      <c r="Q392" s="52"/>
      <c r="U392" s="52"/>
    </row>
    <row r="393">
      <c r="M393" s="52"/>
      <c r="N393" s="52"/>
      <c r="O393" s="52"/>
      <c r="P393" s="52"/>
      <c r="Q393" s="52"/>
      <c r="U393" s="52"/>
    </row>
    <row r="394">
      <c r="M394" s="52"/>
      <c r="N394" s="52"/>
      <c r="O394" s="52"/>
      <c r="P394" s="52"/>
      <c r="Q394" s="52"/>
      <c r="U394" s="52"/>
    </row>
    <row r="395">
      <c r="M395" s="52"/>
      <c r="N395" s="52"/>
      <c r="O395" s="52"/>
      <c r="P395" s="52"/>
      <c r="Q395" s="52"/>
      <c r="U395" s="52"/>
    </row>
    <row r="396">
      <c r="M396" s="52"/>
      <c r="N396" s="52"/>
      <c r="O396" s="52"/>
      <c r="P396" s="52"/>
      <c r="Q396" s="52"/>
      <c r="U396" s="52"/>
    </row>
    <row r="397">
      <c r="M397" s="52"/>
      <c r="N397" s="52"/>
      <c r="O397" s="52"/>
      <c r="P397" s="52"/>
      <c r="Q397" s="52"/>
      <c r="U397" s="52"/>
    </row>
    <row r="398">
      <c r="M398" s="52"/>
      <c r="N398" s="52"/>
      <c r="O398" s="52"/>
      <c r="P398" s="52"/>
      <c r="Q398" s="52"/>
      <c r="U398" s="52"/>
    </row>
    <row r="399">
      <c r="M399" s="52"/>
      <c r="N399" s="52"/>
      <c r="O399" s="52"/>
      <c r="P399" s="52"/>
      <c r="Q399" s="52"/>
      <c r="U399" s="52"/>
    </row>
    <row r="400">
      <c r="M400" s="52"/>
      <c r="N400" s="52"/>
      <c r="O400" s="52"/>
      <c r="P400" s="52"/>
      <c r="Q400" s="52"/>
      <c r="U400" s="52"/>
    </row>
    <row r="401">
      <c r="M401" s="52"/>
      <c r="N401" s="52"/>
      <c r="O401" s="52"/>
      <c r="P401" s="52"/>
      <c r="Q401" s="52"/>
      <c r="U401" s="52"/>
    </row>
    <row r="402">
      <c r="M402" s="52"/>
      <c r="N402" s="52"/>
      <c r="O402" s="52"/>
      <c r="P402" s="52"/>
      <c r="Q402" s="52"/>
      <c r="U402" s="52"/>
    </row>
    <row r="403">
      <c r="M403" s="52"/>
      <c r="N403" s="52"/>
      <c r="O403" s="52"/>
      <c r="P403" s="52"/>
      <c r="Q403" s="52"/>
      <c r="U403" s="52"/>
    </row>
    <row r="404">
      <c r="M404" s="52"/>
      <c r="N404" s="52"/>
      <c r="O404" s="52"/>
      <c r="P404" s="52"/>
      <c r="Q404" s="52"/>
      <c r="U404" s="52"/>
    </row>
    <row r="405">
      <c r="M405" s="52"/>
      <c r="N405" s="52"/>
      <c r="O405" s="52"/>
      <c r="P405" s="52"/>
      <c r="Q405" s="52"/>
      <c r="U405" s="52"/>
    </row>
    <row r="406">
      <c r="M406" s="52"/>
      <c r="N406" s="52"/>
      <c r="O406" s="52"/>
      <c r="P406" s="52"/>
      <c r="Q406" s="52"/>
      <c r="U406" s="52"/>
    </row>
    <row r="407">
      <c r="M407" s="52"/>
      <c r="N407" s="52"/>
      <c r="O407" s="52"/>
      <c r="P407" s="52"/>
      <c r="Q407" s="52"/>
      <c r="U407" s="52"/>
    </row>
    <row r="408">
      <c r="M408" s="52"/>
      <c r="N408" s="52"/>
      <c r="O408" s="52"/>
      <c r="P408" s="52"/>
      <c r="Q408" s="52"/>
      <c r="U408" s="52"/>
    </row>
    <row r="409">
      <c r="M409" s="52"/>
      <c r="N409" s="52"/>
      <c r="O409" s="52"/>
      <c r="P409" s="52"/>
      <c r="Q409" s="52"/>
      <c r="U409" s="52"/>
    </row>
    <row r="410">
      <c r="M410" s="52"/>
      <c r="N410" s="52"/>
      <c r="O410" s="52"/>
      <c r="P410" s="52"/>
      <c r="Q410" s="52"/>
      <c r="U410" s="52"/>
    </row>
    <row r="411">
      <c r="M411" s="52"/>
      <c r="N411" s="52"/>
      <c r="O411" s="52"/>
      <c r="P411" s="52"/>
      <c r="Q411" s="52"/>
      <c r="U411" s="52"/>
    </row>
    <row r="412">
      <c r="M412" s="52"/>
      <c r="N412" s="52"/>
      <c r="O412" s="52"/>
      <c r="P412" s="52"/>
      <c r="Q412" s="52"/>
      <c r="U412" s="52"/>
    </row>
    <row r="413">
      <c r="M413" s="52"/>
      <c r="N413" s="52"/>
      <c r="O413" s="52"/>
      <c r="P413" s="52"/>
      <c r="Q413" s="52"/>
      <c r="U413" s="52"/>
    </row>
    <row r="414">
      <c r="M414" s="52"/>
      <c r="N414" s="52"/>
      <c r="O414" s="52"/>
      <c r="P414" s="52"/>
      <c r="Q414" s="52"/>
      <c r="U414" s="52"/>
    </row>
    <row r="415">
      <c r="M415" s="52"/>
      <c r="N415" s="52"/>
      <c r="O415" s="52"/>
      <c r="P415" s="52"/>
      <c r="Q415" s="52"/>
      <c r="U415" s="52"/>
    </row>
    <row r="416">
      <c r="M416" s="52"/>
      <c r="N416" s="52"/>
      <c r="O416" s="52"/>
      <c r="P416" s="52"/>
      <c r="Q416" s="52"/>
      <c r="U416" s="52"/>
    </row>
    <row r="417">
      <c r="M417" s="52"/>
      <c r="N417" s="52"/>
      <c r="O417" s="52"/>
      <c r="P417" s="52"/>
      <c r="Q417" s="52"/>
      <c r="U417" s="52"/>
    </row>
    <row r="418">
      <c r="M418" s="52"/>
      <c r="N418" s="52"/>
      <c r="O418" s="52"/>
      <c r="P418" s="52"/>
      <c r="Q418" s="52"/>
      <c r="U418" s="52"/>
    </row>
    <row r="419">
      <c r="M419" s="52"/>
      <c r="N419" s="52"/>
      <c r="O419" s="52"/>
      <c r="P419" s="52"/>
      <c r="Q419" s="52"/>
      <c r="U419" s="52"/>
    </row>
    <row r="420">
      <c r="M420" s="52"/>
      <c r="N420" s="52"/>
      <c r="O420" s="52"/>
      <c r="P420" s="52"/>
      <c r="Q420" s="52"/>
      <c r="U420" s="52"/>
    </row>
    <row r="421">
      <c r="M421" s="52"/>
      <c r="N421" s="52"/>
      <c r="O421" s="52"/>
      <c r="P421" s="52"/>
      <c r="Q421" s="52"/>
      <c r="U421" s="52"/>
    </row>
    <row r="422">
      <c r="M422" s="52"/>
      <c r="N422" s="52"/>
      <c r="O422" s="52"/>
      <c r="P422" s="52"/>
      <c r="Q422" s="52"/>
      <c r="U422" s="52"/>
    </row>
    <row r="423">
      <c r="M423" s="52"/>
      <c r="N423" s="52"/>
      <c r="O423" s="52"/>
      <c r="P423" s="52"/>
      <c r="Q423" s="52"/>
      <c r="U423" s="52"/>
    </row>
    <row r="424">
      <c r="M424" s="52"/>
      <c r="N424" s="52"/>
      <c r="O424" s="52"/>
      <c r="P424" s="52"/>
      <c r="Q424" s="52"/>
      <c r="U424" s="52"/>
    </row>
    <row r="425">
      <c r="M425" s="52"/>
      <c r="N425" s="52"/>
      <c r="O425" s="52"/>
      <c r="P425" s="52"/>
      <c r="Q425" s="52"/>
      <c r="U425" s="52"/>
    </row>
    <row r="426">
      <c r="M426" s="52"/>
      <c r="N426" s="52"/>
      <c r="O426" s="52"/>
      <c r="P426" s="52"/>
      <c r="Q426" s="52"/>
      <c r="U426" s="52"/>
    </row>
    <row r="427">
      <c r="M427" s="52"/>
      <c r="N427" s="52"/>
      <c r="O427" s="52"/>
      <c r="P427" s="52"/>
      <c r="Q427" s="52"/>
      <c r="U427" s="52"/>
    </row>
    <row r="428">
      <c r="M428" s="52"/>
      <c r="N428" s="52"/>
      <c r="O428" s="52"/>
      <c r="P428" s="52"/>
      <c r="Q428" s="52"/>
      <c r="U428" s="52"/>
    </row>
    <row r="429">
      <c r="M429" s="52"/>
      <c r="N429" s="52"/>
      <c r="O429" s="52"/>
      <c r="P429" s="52"/>
      <c r="Q429" s="52"/>
      <c r="U429" s="52"/>
    </row>
    <row r="430">
      <c r="M430" s="52"/>
      <c r="N430" s="52"/>
      <c r="O430" s="52"/>
      <c r="P430" s="52"/>
      <c r="Q430" s="52"/>
      <c r="U430" s="52"/>
    </row>
    <row r="431">
      <c r="M431" s="52"/>
      <c r="N431" s="52"/>
      <c r="O431" s="52"/>
      <c r="P431" s="52"/>
      <c r="Q431" s="52"/>
      <c r="U431" s="52"/>
    </row>
    <row r="432">
      <c r="M432" s="52"/>
      <c r="N432" s="52"/>
      <c r="O432" s="52"/>
      <c r="P432" s="52"/>
      <c r="Q432" s="52"/>
      <c r="U432" s="52"/>
    </row>
    <row r="433">
      <c r="M433" s="52"/>
      <c r="N433" s="52"/>
      <c r="O433" s="52"/>
      <c r="P433" s="52"/>
      <c r="Q433" s="52"/>
      <c r="U433" s="52"/>
    </row>
    <row r="434">
      <c r="M434" s="52"/>
      <c r="N434" s="52"/>
      <c r="O434" s="52"/>
      <c r="P434" s="52"/>
      <c r="Q434" s="52"/>
      <c r="U434" s="52"/>
    </row>
    <row r="435">
      <c r="M435" s="52"/>
      <c r="N435" s="52"/>
      <c r="O435" s="52"/>
      <c r="P435" s="52"/>
      <c r="Q435" s="52"/>
      <c r="U435" s="52"/>
    </row>
    <row r="436">
      <c r="M436" s="52"/>
      <c r="N436" s="52"/>
      <c r="O436" s="52"/>
      <c r="P436" s="52"/>
      <c r="Q436" s="52"/>
      <c r="U436" s="52"/>
    </row>
    <row r="437">
      <c r="M437" s="52"/>
      <c r="N437" s="52"/>
      <c r="O437" s="52"/>
      <c r="P437" s="52"/>
      <c r="Q437" s="52"/>
      <c r="U437" s="52"/>
    </row>
    <row r="438">
      <c r="M438" s="52"/>
      <c r="N438" s="52"/>
      <c r="O438" s="52"/>
      <c r="P438" s="52"/>
      <c r="Q438" s="52"/>
      <c r="U438" s="52"/>
    </row>
    <row r="439">
      <c r="M439" s="52"/>
      <c r="N439" s="52"/>
      <c r="O439" s="52"/>
      <c r="P439" s="52"/>
      <c r="Q439" s="52"/>
      <c r="U439" s="52"/>
    </row>
    <row r="440">
      <c r="M440" s="52"/>
      <c r="N440" s="52"/>
      <c r="O440" s="52"/>
      <c r="P440" s="52"/>
      <c r="Q440" s="52"/>
      <c r="U440" s="52"/>
    </row>
    <row r="441">
      <c r="M441" s="52"/>
      <c r="N441" s="52"/>
      <c r="O441" s="52"/>
      <c r="P441" s="52"/>
      <c r="Q441" s="52"/>
      <c r="U441" s="52"/>
    </row>
    <row r="442">
      <c r="M442" s="52"/>
      <c r="N442" s="52"/>
      <c r="O442" s="52"/>
      <c r="P442" s="52"/>
      <c r="Q442" s="52"/>
      <c r="U442" s="52"/>
    </row>
    <row r="443">
      <c r="M443" s="52"/>
      <c r="N443" s="52"/>
      <c r="O443" s="52"/>
      <c r="P443" s="52"/>
      <c r="Q443" s="52"/>
      <c r="U443" s="52"/>
    </row>
    <row r="444">
      <c r="M444" s="52"/>
      <c r="N444" s="52"/>
      <c r="O444" s="52"/>
      <c r="P444" s="52"/>
      <c r="Q444" s="52"/>
      <c r="U444" s="52"/>
    </row>
    <row r="445">
      <c r="M445" s="52"/>
      <c r="N445" s="52"/>
      <c r="O445" s="52"/>
      <c r="P445" s="52"/>
      <c r="Q445" s="52"/>
      <c r="U445" s="52"/>
    </row>
    <row r="446">
      <c r="M446" s="52"/>
      <c r="N446" s="52"/>
      <c r="O446" s="52"/>
      <c r="P446" s="52"/>
      <c r="Q446" s="52"/>
      <c r="U446" s="52"/>
    </row>
    <row r="447">
      <c r="M447" s="52"/>
      <c r="N447" s="52"/>
      <c r="O447" s="52"/>
      <c r="P447" s="52"/>
      <c r="Q447" s="52"/>
      <c r="U447" s="52"/>
    </row>
    <row r="448">
      <c r="M448" s="52"/>
      <c r="N448" s="52"/>
      <c r="O448" s="52"/>
      <c r="P448" s="52"/>
      <c r="Q448" s="52"/>
      <c r="U448" s="52"/>
    </row>
    <row r="449">
      <c r="M449" s="52"/>
      <c r="N449" s="52"/>
      <c r="O449" s="52"/>
      <c r="P449" s="52"/>
      <c r="Q449" s="52"/>
      <c r="U449" s="52"/>
    </row>
    <row r="450">
      <c r="M450" s="52"/>
      <c r="N450" s="52"/>
      <c r="O450" s="52"/>
      <c r="P450" s="52"/>
      <c r="Q450" s="52"/>
      <c r="U450" s="52"/>
    </row>
    <row r="451">
      <c r="M451" s="52"/>
      <c r="N451" s="52"/>
      <c r="O451" s="52"/>
      <c r="P451" s="52"/>
      <c r="Q451" s="52"/>
      <c r="U451" s="52"/>
    </row>
    <row r="452">
      <c r="M452" s="52"/>
      <c r="N452" s="52"/>
      <c r="O452" s="52"/>
      <c r="P452" s="52"/>
      <c r="Q452" s="52"/>
      <c r="U452" s="52"/>
    </row>
    <row r="453">
      <c r="M453" s="52"/>
      <c r="N453" s="52"/>
      <c r="O453" s="52"/>
      <c r="P453" s="52"/>
      <c r="Q453" s="52"/>
      <c r="U453" s="52"/>
    </row>
    <row r="454">
      <c r="M454" s="52"/>
      <c r="N454" s="52"/>
      <c r="O454" s="52"/>
      <c r="P454" s="52"/>
      <c r="Q454" s="52"/>
      <c r="U454" s="52"/>
    </row>
    <row r="455">
      <c r="M455" s="52"/>
      <c r="N455" s="52"/>
      <c r="O455" s="52"/>
      <c r="P455" s="52"/>
      <c r="Q455" s="52"/>
      <c r="U455" s="52"/>
    </row>
    <row r="456">
      <c r="M456" s="52"/>
      <c r="N456" s="52"/>
      <c r="O456" s="52"/>
      <c r="P456" s="52"/>
      <c r="Q456" s="52"/>
      <c r="U456" s="52"/>
    </row>
    <row r="457">
      <c r="M457" s="52"/>
      <c r="N457" s="52"/>
      <c r="O457" s="52"/>
      <c r="P457" s="52"/>
      <c r="Q457" s="52"/>
      <c r="U457" s="52"/>
    </row>
    <row r="458">
      <c r="M458" s="52"/>
      <c r="N458" s="52"/>
      <c r="O458" s="52"/>
      <c r="P458" s="52"/>
      <c r="Q458" s="52"/>
      <c r="U458" s="52"/>
    </row>
    <row r="459">
      <c r="M459" s="52"/>
      <c r="N459" s="52"/>
      <c r="O459" s="52"/>
      <c r="P459" s="52"/>
      <c r="Q459" s="52"/>
      <c r="U459" s="52"/>
    </row>
    <row r="460">
      <c r="M460" s="52"/>
      <c r="N460" s="52"/>
      <c r="O460" s="52"/>
      <c r="P460" s="52"/>
      <c r="Q460" s="52"/>
      <c r="U460" s="52"/>
    </row>
    <row r="461">
      <c r="M461" s="52"/>
      <c r="N461" s="52"/>
      <c r="O461" s="52"/>
      <c r="P461" s="52"/>
      <c r="Q461" s="52"/>
      <c r="U461" s="52"/>
    </row>
    <row r="462">
      <c r="M462" s="52"/>
      <c r="N462" s="52"/>
      <c r="O462" s="52"/>
      <c r="P462" s="52"/>
      <c r="Q462" s="52"/>
      <c r="U462" s="52"/>
    </row>
    <row r="463">
      <c r="M463" s="52"/>
      <c r="N463" s="52"/>
      <c r="O463" s="52"/>
      <c r="P463" s="52"/>
      <c r="Q463" s="52"/>
      <c r="U463" s="52"/>
    </row>
    <row r="464">
      <c r="M464" s="52"/>
      <c r="N464" s="52"/>
      <c r="O464" s="52"/>
      <c r="P464" s="52"/>
      <c r="Q464" s="52"/>
      <c r="U464" s="52"/>
    </row>
    <row r="465">
      <c r="M465" s="52"/>
      <c r="N465" s="52"/>
      <c r="O465" s="52"/>
      <c r="P465" s="52"/>
      <c r="Q465" s="52"/>
      <c r="U465" s="52"/>
    </row>
    <row r="466">
      <c r="M466" s="52"/>
      <c r="N466" s="52"/>
      <c r="O466" s="52"/>
      <c r="P466" s="52"/>
      <c r="Q466" s="52"/>
      <c r="U466" s="52"/>
    </row>
    <row r="467">
      <c r="M467" s="52"/>
      <c r="N467" s="52"/>
      <c r="O467" s="52"/>
      <c r="P467" s="52"/>
      <c r="Q467" s="52"/>
      <c r="U467" s="52"/>
    </row>
    <row r="468">
      <c r="M468" s="52"/>
      <c r="N468" s="52"/>
      <c r="O468" s="52"/>
      <c r="P468" s="52"/>
      <c r="Q468" s="52"/>
      <c r="U468" s="52"/>
    </row>
    <row r="469">
      <c r="M469" s="52"/>
      <c r="N469" s="52"/>
      <c r="O469" s="52"/>
      <c r="P469" s="52"/>
      <c r="Q469" s="52"/>
      <c r="U469" s="52"/>
    </row>
    <row r="470">
      <c r="M470" s="52"/>
      <c r="N470" s="52"/>
      <c r="O470" s="52"/>
      <c r="P470" s="52"/>
      <c r="Q470" s="52"/>
      <c r="U470" s="52"/>
    </row>
    <row r="471">
      <c r="M471" s="52"/>
      <c r="N471" s="52"/>
      <c r="O471" s="52"/>
      <c r="P471" s="52"/>
      <c r="Q471" s="52"/>
      <c r="U471" s="52"/>
    </row>
    <row r="472">
      <c r="M472" s="52"/>
      <c r="N472" s="52"/>
      <c r="O472" s="52"/>
      <c r="P472" s="52"/>
      <c r="Q472" s="52"/>
      <c r="U472" s="52"/>
    </row>
    <row r="473">
      <c r="M473" s="52"/>
      <c r="N473" s="52"/>
      <c r="O473" s="52"/>
      <c r="P473" s="52"/>
      <c r="Q473" s="52"/>
      <c r="U473" s="52"/>
    </row>
    <row r="474">
      <c r="M474" s="52"/>
      <c r="N474" s="52"/>
      <c r="O474" s="52"/>
      <c r="P474" s="52"/>
      <c r="Q474" s="52"/>
      <c r="U474" s="52"/>
    </row>
    <row r="475">
      <c r="M475" s="52"/>
      <c r="N475" s="52"/>
      <c r="O475" s="52"/>
      <c r="P475" s="52"/>
      <c r="Q475" s="52"/>
      <c r="U475" s="52"/>
    </row>
    <row r="476">
      <c r="M476" s="52"/>
      <c r="N476" s="52"/>
      <c r="O476" s="52"/>
      <c r="P476" s="52"/>
      <c r="Q476" s="52"/>
      <c r="U476" s="52"/>
    </row>
    <row r="477">
      <c r="M477" s="52"/>
      <c r="N477" s="52"/>
      <c r="O477" s="52"/>
      <c r="P477" s="52"/>
      <c r="Q477" s="52"/>
      <c r="U477" s="52"/>
    </row>
    <row r="478">
      <c r="M478" s="52"/>
      <c r="N478" s="52"/>
      <c r="O478" s="52"/>
      <c r="P478" s="52"/>
      <c r="Q478" s="52"/>
      <c r="U478" s="52"/>
    </row>
    <row r="479">
      <c r="M479" s="52"/>
      <c r="N479" s="52"/>
      <c r="O479" s="52"/>
      <c r="P479" s="52"/>
      <c r="Q479" s="52"/>
      <c r="U479" s="52"/>
    </row>
    <row r="480">
      <c r="M480" s="52"/>
      <c r="N480" s="52"/>
      <c r="O480" s="52"/>
      <c r="P480" s="52"/>
      <c r="Q480" s="52"/>
      <c r="U480" s="52"/>
    </row>
    <row r="481">
      <c r="M481" s="52"/>
      <c r="N481" s="52"/>
      <c r="O481" s="52"/>
      <c r="P481" s="52"/>
      <c r="Q481" s="52"/>
      <c r="U481" s="52"/>
    </row>
    <row r="482">
      <c r="M482" s="52"/>
      <c r="N482" s="52"/>
      <c r="O482" s="52"/>
      <c r="P482" s="52"/>
      <c r="Q482" s="52"/>
      <c r="U482" s="52"/>
    </row>
    <row r="483">
      <c r="M483" s="52"/>
      <c r="N483" s="52"/>
      <c r="O483" s="52"/>
      <c r="P483" s="52"/>
      <c r="Q483" s="52"/>
      <c r="U483" s="52"/>
    </row>
    <row r="484">
      <c r="M484" s="52"/>
      <c r="N484" s="52"/>
      <c r="O484" s="52"/>
      <c r="P484" s="52"/>
      <c r="Q484" s="52"/>
      <c r="U484" s="52"/>
    </row>
    <row r="485">
      <c r="M485" s="52"/>
      <c r="N485" s="52"/>
      <c r="O485" s="52"/>
      <c r="P485" s="52"/>
      <c r="Q485" s="52"/>
      <c r="U485" s="52"/>
    </row>
    <row r="486">
      <c r="M486" s="52"/>
      <c r="N486" s="52"/>
      <c r="O486" s="52"/>
      <c r="P486" s="52"/>
      <c r="Q486" s="52"/>
      <c r="U486" s="52"/>
    </row>
    <row r="487">
      <c r="M487" s="52"/>
      <c r="N487" s="52"/>
      <c r="O487" s="52"/>
      <c r="P487" s="52"/>
      <c r="Q487" s="52"/>
      <c r="U487" s="52"/>
    </row>
    <row r="488">
      <c r="M488" s="52"/>
      <c r="N488" s="52"/>
      <c r="O488" s="52"/>
      <c r="P488" s="52"/>
      <c r="Q488" s="52"/>
      <c r="U488" s="52"/>
    </row>
    <row r="489">
      <c r="M489" s="52"/>
      <c r="N489" s="52"/>
      <c r="O489" s="52"/>
      <c r="P489" s="52"/>
      <c r="Q489" s="52"/>
      <c r="U489" s="52"/>
    </row>
    <row r="490">
      <c r="M490" s="52"/>
      <c r="N490" s="52"/>
      <c r="O490" s="52"/>
      <c r="P490" s="52"/>
      <c r="Q490" s="52"/>
      <c r="U490" s="52"/>
    </row>
    <row r="491">
      <c r="M491" s="52"/>
      <c r="N491" s="52"/>
      <c r="O491" s="52"/>
      <c r="P491" s="52"/>
      <c r="Q491" s="52"/>
      <c r="U491" s="52"/>
    </row>
    <row r="492">
      <c r="M492" s="52"/>
      <c r="N492" s="52"/>
      <c r="O492" s="52"/>
      <c r="P492" s="52"/>
      <c r="Q492" s="52"/>
      <c r="U492" s="52"/>
    </row>
    <row r="493">
      <c r="M493" s="52"/>
      <c r="N493" s="52"/>
      <c r="O493" s="52"/>
      <c r="P493" s="52"/>
      <c r="Q493" s="52"/>
      <c r="U493" s="52"/>
    </row>
    <row r="494">
      <c r="M494" s="52"/>
      <c r="N494" s="52"/>
      <c r="O494" s="52"/>
      <c r="P494" s="52"/>
      <c r="Q494" s="52"/>
      <c r="U494" s="52"/>
    </row>
    <row r="495">
      <c r="M495" s="52"/>
      <c r="N495" s="52"/>
      <c r="O495" s="52"/>
      <c r="P495" s="52"/>
      <c r="Q495" s="52"/>
      <c r="U495" s="52"/>
    </row>
    <row r="496">
      <c r="M496" s="52"/>
      <c r="N496" s="52"/>
      <c r="O496" s="52"/>
      <c r="P496" s="52"/>
      <c r="Q496" s="52"/>
      <c r="U496" s="52"/>
    </row>
    <row r="497">
      <c r="M497" s="52"/>
      <c r="N497" s="52"/>
      <c r="O497" s="52"/>
      <c r="P497" s="52"/>
      <c r="Q497" s="52"/>
      <c r="U497" s="52"/>
    </row>
    <row r="498">
      <c r="M498" s="52"/>
      <c r="N498" s="52"/>
      <c r="O498" s="52"/>
      <c r="P498" s="52"/>
      <c r="Q498" s="52"/>
      <c r="U498" s="52"/>
    </row>
    <row r="499">
      <c r="M499" s="52"/>
      <c r="N499" s="52"/>
      <c r="O499" s="52"/>
      <c r="P499" s="52"/>
      <c r="Q499" s="52"/>
      <c r="U499" s="52"/>
    </row>
    <row r="500">
      <c r="M500" s="52"/>
      <c r="N500" s="52"/>
      <c r="O500" s="52"/>
      <c r="P500" s="52"/>
      <c r="Q500" s="52"/>
      <c r="U500" s="52"/>
    </row>
    <row r="501">
      <c r="M501" s="52"/>
      <c r="N501" s="52"/>
      <c r="O501" s="52"/>
      <c r="P501" s="52"/>
      <c r="Q501" s="52"/>
      <c r="U501" s="52"/>
    </row>
    <row r="502">
      <c r="M502" s="52"/>
      <c r="N502" s="52"/>
      <c r="O502" s="52"/>
      <c r="P502" s="52"/>
      <c r="Q502" s="52"/>
      <c r="U502" s="52"/>
    </row>
    <row r="503">
      <c r="M503" s="52"/>
      <c r="N503" s="52"/>
      <c r="O503" s="52"/>
      <c r="P503" s="52"/>
      <c r="Q503" s="52"/>
      <c r="U503" s="52"/>
    </row>
    <row r="504">
      <c r="M504" s="52"/>
      <c r="N504" s="52"/>
      <c r="O504" s="52"/>
      <c r="P504" s="52"/>
      <c r="Q504" s="52"/>
      <c r="U504" s="52"/>
    </row>
    <row r="505">
      <c r="M505" s="52"/>
      <c r="N505" s="52"/>
      <c r="O505" s="52"/>
      <c r="P505" s="52"/>
      <c r="Q505" s="52"/>
      <c r="U505" s="52"/>
    </row>
    <row r="506">
      <c r="M506" s="52"/>
      <c r="N506" s="52"/>
      <c r="O506" s="52"/>
      <c r="P506" s="52"/>
      <c r="Q506" s="52"/>
      <c r="U506" s="52"/>
    </row>
    <row r="507">
      <c r="M507" s="52"/>
      <c r="N507" s="52"/>
      <c r="O507" s="52"/>
      <c r="P507" s="52"/>
      <c r="Q507" s="52"/>
      <c r="U507" s="52"/>
    </row>
    <row r="508">
      <c r="M508" s="52"/>
      <c r="N508" s="52"/>
      <c r="O508" s="52"/>
      <c r="P508" s="52"/>
      <c r="Q508" s="52"/>
      <c r="U508" s="52"/>
    </row>
    <row r="509">
      <c r="M509" s="52"/>
      <c r="N509" s="52"/>
      <c r="O509" s="52"/>
      <c r="P509" s="52"/>
      <c r="Q509" s="52"/>
      <c r="U509" s="52"/>
    </row>
    <row r="510">
      <c r="M510" s="52"/>
      <c r="N510" s="52"/>
      <c r="O510" s="52"/>
      <c r="P510" s="52"/>
      <c r="Q510" s="52"/>
      <c r="U510" s="52"/>
    </row>
    <row r="511">
      <c r="M511" s="52"/>
      <c r="N511" s="52"/>
      <c r="O511" s="52"/>
      <c r="P511" s="52"/>
      <c r="Q511" s="52"/>
      <c r="U511" s="52"/>
    </row>
    <row r="512">
      <c r="M512" s="52"/>
      <c r="N512" s="52"/>
      <c r="O512" s="52"/>
      <c r="P512" s="52"/>
      <c r="Q512" s="52"/>
      <c r="U512" s="52"/>
    </row>
    <row r="513">
      <c r="M513" s="52"/>
      <c r="N513" s="52"/>
      <c r="O513" s="52"/>
      <c r="P513" s="52"/>
      <c r="Q513" s="52"/>
      <c r="U513" s="52"/>
    </row>
    <row r="514">
      <c r="M514" s="52"/>
      <c r="N514" s="52"/>
      <c r="O514" s="52"/>
      <c r="P514" s="52"/>
      <c r="Q514" s="52"/>
      <c r="U514" s="52"/>
    </row>
    <row r="515">
      <c r="M515" s="52"/>
      <c r="N515" s="52"/>
      <c r="O515" s="52"/>
      <c r="P515" s="52"/>
      <c r="Q515" s="52"/>
      <c r="U515" s="52"/>
    </row>
    <row r="516">
      <c r="M516" s="52"/>
      <c r="N516" s="52"/>
      <c r="O516" s="52"/>
      <c r="P516" s="52"/>
      <c r="Q516" s="52"/>
      <c r="U516" s="52"/>
    </row>
    <row r="517">
      <c r="M517" s="52"/>
      <c r="N517" s="52"/>
      <c r="O517" s="52"/>
      <c r="P517" s="52"/>
      <c r="Q517" s="52"/>
      <c r="U517" s="52"/>
    </row>
    <row r="518">
      <c r="M518" s="52"/>
      <c r="N518" s="52"/>
      <c r="O518" s="52"/>
      <c r="P518" s="52"/>
      <c r="Q518" s="52"/>
      <c r="U518" s="52"/>
    </row>
    <row r="519">
      <c r="M519" s="52"/>
      <c r="N519" s="52"/>
      <c r="O519" s="52"/>
      <c r="P519" s="52"/>
      <c r="Q519" s="52"/>
      <c r="U519" s="52"/>
    </row>
    <row r="520">
      <c r="M520" s="52"/>
      <c r="N520" s="52"/>
      <c r="O520" s="52"/>
      <c r="P520" s="52"/>
      <c r="Q520" s="52"/>
      <c r="U520" s="52"/>
    </row>
    <row r="521">
      <c r="M521" s="52"/>
      <c r="N521" s="52"/>
      <c r="O521" s="52"/>
      <c r="P521" s="52"/>
      <c r="Q521" s="52"/>
      <c r="U521" s="52"/>
    </row>
    <row r="522">
      <c r="M522" s="52"/>
      <c r="N522" s="52"/>
      <c r="O522" s="52"/>
      <c r="P522" s="52"/>
      <c r="Q522" s="52"/>
      <c r="U522" s="52"/>
    </row>
    <row r="523">
      <c r="M523" s="52"/>
      <c r="N523" s="52"/>
      <c r="O523" s="52"/>
      <c r="P523" s="52"/>
      <c r="Q523" s="52"/>
      <c r="U523" s="52"/>
    </row>
    <row r="524">
      <c r="M524" s="52"/>
      <c r="N524" s="52"/>
      <c r="O524" s="52"/>
      <c r="P524" s="52"/>
      <c r="Q524" s="52"/>
      <c r="U524" s="52"/>
    </row>
    <row r="525">
      <c r="M525" s="52"/>
      <c r="N525" s="52"/>
      <c r="O525" s="52"/>
      <c r="P525" s="52"/>
      <c r="Q525" s="52"/>
      <c r="U525" s="52"/>
    </row>
    <row r="526">
      <c r="M526" s="52"/>
      <c r="N526" s="52"/>
      <c r="O526" s="52"/>
      <c r="P526" s="52"/>
      <c r="Q526" s="52"/>
      <c r="U526" s="52"/>
    </row>
    <row r="527">
      <c r="M527" s="52"/>
      <c r="N527" s="52"/>
      <c r="O527" s="52"/>
      <c r="P527" s="52"/>
      <c r="Q527" s="52"/>
      <c r="U527" s="52"/>
    </row>
    <row r="528">
      <c r="M528" s="52"/>
      <c r="N528" s="52"/>
      <c r="O528" s="52"/>
      <c r="P528" s="52"/>
      <c r="Q528" s="52"/>
      <c r="U528" s="52"/>
    </row>
    <row r="529">
      <c r="M529" s="52"/>
      <c r="N529" s="52"/>
      <c r="O529" s="52"/>
      <c r="P529" s="52"/>
      <c r="Q529" s="52"/>
      <c r="U529" s="52"/>
    </row>
    <row r="530">
      <c r="M530" s="52"/>
      <c r="N530" s="52"/>
      <c r="O530" s="52"/>
      <c r="P530" s="52"/>
      <c r="Q530" s="52"/>
      <c r="U530" s="52"/>
    </row>
    <row r="531">
      <c r="M531" s="52"/>
      <c r="N531" s="52"/>
      <c r="O531" s="52"/>
      <c r="P531" s="52"/>
      <c r="Q531" s="52"/>
      <c r="U531" s="52"/>
    </row>
    <row r="532">
      <c r="M532" s="52"/>
      <c r="N532" s="52"/>
      <c r="O532" s="52"/>
      <c r="P532" s="52"/>
      <c r="Q532" s="52"/>
      <c r="U532" s="52"/>
    </row>
    <row r="533">
      <c r="M533" s="52"/>
      <c r="N533" s="52"/>
      <c r="O533" s="52"/>
      <c r="P533" s="52"/>
      <c r="Q533" s="52"/>
      <c r="U533" s="52"/>
    </row>
    <row r="534">
      <c r="M534" s="52"/>
      <c r="N534" s="52"/>
      <c r="O534" s="52"/>
      <c r="P534" s="52"/>
      <c r="Q534" s="52"/>
      <c r="U534" s="52"/>
    </row>
    <row r="535">
      <c r="M535" s="52"/>
      <c r="N535" s="52"/>
      <c r="O535" s="52"/>
      <c r="P535" s="52"/>
      <c r="Q535" s="52"/>
      <c r="U535" s="52"/>
    </row>
    <row r="536">
      <c r="M536" s="52"/>
      <c r="N536" s="52"/>
      <c r="O536" s="52"/>
      <c r="P536" s="52"/>
      <c r="Q536" s="52"/>
      <c r="U536" s="52"/>
    </row>
    <row r="537">
      <c r="M537" s="52"/>
      <c r="N537" s="52"/>
      <c r="O537" s="52"/>
      <c r="P537" s="52"/>
      <c r="Q537" s="52"/>
      <c r="U537" s="52"/>
    </row>
    <row r="538">
      <c r="M538" s="52"/>
      <c r="N538" s="52"/>
      <c r="O538" s="52"/>
      <c r="P538" s="52"/>
      <c r="Q538" s="52"/>
      <c r="U538" s="52"/>
    </row>
    <row r="539">
      <c r="M539" s="52"/>
      <c r="N539" s="52"/>
      <c r="O539" s="52"/>
      <c r="P539" s="52"/>
      <c r="Q539" s="52"/>
      <c r="U539" s="52"/>
    </row>
    <row r="540">
      <c r="M540" s="52"/>
      <c r="N540" s="52"/>
      <c r="O540" s="52"/>
      <c r="P540" s="52"/>
      <c r="Q540" s="52"/>
      <c r="U540" s="52"/>
    </row>
    <row r="541">
      <c r="M541" s="52"/>
      <c r="N541" s="52"/>
      <c r="O541" s="52"/>
      <c r="P541" s="52"/>
      <c r="Q541" s="52"/>
      <c r="U541" s="52"/>
    </row>
    <row r="542">
      <c r="M542" s="52"/>
      <c r="N542" s="52"/>
      <c r="O542" s="52"/>
      <c r="P542" s="52"/>
      <c r="Q542" s="52"/>
      <c r="U542" s="52"/>
    </row>
    <row r="543">
      <c r="M543" s="52"/>
      <c r="N543" s="52"/>
      <c r="O543" s="52"/>
      <c r="P543" s="52"/>
      <c r="Q543" s="52"/>
      <c r="U543" s="52"/>
    </row>
    <row r="544">
      <c r="M544" s="52"/>
      <c r="N544" s="52"/>
      <c r="O544" s="52"/>
      <c r="P544" s="52"/>
      <c r="Q544" s="52"/>
      <c r="U544" s="52"/>
    </row>
    <row r="545">
      <c r="M545" s="52"/>
      <c r="N545" s="52"/>
      <c r="O545" s="52"/>
      <c r="P545" s="52"/>
      <c r="Q545" s="52"/>
      <c r="U545" s="52"/>
    </row>
    <row r="546">
      <c r="M546" s="52"/>
      <c r="N546" s="52"/>
      <c r="O546" s="52"/>
      <c r="P546" s="52"/>
      <c r="Q546" s="52"/>
      <c r="U546" s="52"/>
    </row>
    <row r="547">
      <c r="M547" s="52"/>
      <c r="N547" s="52"/>
      <c r="O547" s="52"/>
      <c r="P547" s="52"/>
      <c r="Q547" s="52"/>
      <c r="U547" s="52"/>
    </row>
    <row r="548">
      <c r="M548" s="52"/>
      <c r="N548" s="52"/>
      <c r="O548" s="52"/>
      <c r="P548" s="52"/>
      <c r="Q548" s="52"/>
      <c r="U548" s="52"/>
    </row>
    <row r="549">
      <c r="M549" s="52"/>
      <c r="N549" s="52"/>
      <c r="O549" s="52"/>
      <c r="P549" s="52"/>
      <c r="Q549" s="52"/>
      <c r="U549" s="52"/>
    </row>
    <row r="550">
      <c r="M550" s="52"/>
      <c r="N550" s="52"/>
      <c r="O550" s="52"/>
      <c r="P550" s="52"/>
      <c r="Q550" s="52"/>
      <c r="U550" s="52"/>
    </row>
    <row r="551">
      <c r="M551" s="52"/>
      <c r="N551" s="52"/>
      <c r="O551" s="52"/>
      <c r="P551" s="52"/>
      <c r="Q551" s="52"/>
      <c r="U551" s="52"/>
    </row>
    <row r="552">
      <c r="M552" s="52"/>
      <c r="N552" s="52"/>
      <c r="O552" s="52"/>
      <c r="P552" s="52"/>
      <c r="Q552" s="52"/>
      <c r="U552" s="52"/>
    </row>
    <row r="553">
      <c r="M553" s="52"/>
      <c r="N553" s="52"/>
      <c r="O553" s="52"/>
      <c r="P553" s="52"/>
      <c r="Q553" s="52"/>
      <c r="U553" s="52"/>
    </row>
    <row r="554">
      <c r="M554" s="52"/>
      <c r="N554" s="52"/>
      <c r="O554" s="52"/>
      <c r="P554" s="52"/>
      <c r="Q554" s="52"/>
      <c r="U554" s="52"/>
    </row>
    <row r="555">
      <c r="M555" s="52"/>
      <c r="N555" s="52"/>
      <c r="O555" s="52"/>
      <c r="P555" s="52"/>
      <c r="Q555" s="52"/>
      <c r="U555" s="52"/>
    </row>
    <row r="556">
      <c r="M556" s="52"/>
      <c r="N556" s="52"/>
      <c r="O556" s="52"/>
      <c r="P556" s="52"/>
      <c r="Q556" s="52"/>
      <c r="U556" s="52"/>
    </row>
    <row r="557">
      <c r="M557" s="52"/>
      <c r="N557" s="52"/>
      <c r="O557" s="52"/>
      <c r="P557" s="52"/>
      <c r="Q557" s="52"/>
      <c r="U557" s="52"/>
    </row>
    <row r="558">
      <c r="M558" s="52"/>
      <c r="N558" s="52"/>
      <c r="O558" s="52"/>
      <c r="P558" s="52"/>
      <c r="Q558" s="52"/>
      <c r="U558" s="52"/>
    </row>
    <row r="559">
      <c r="M559" s="52"/>
      <c r="N559" s="52"/>
      <c r="O559" s="52"/>
      <c r="P559" s="52"/>
      <c r="Q559" s="52"/>
      <c r="U559" s="52"/>
    </row>
    <row r="560">
      <c r="M560" s="52"/>
      <c r="N560" s="52"/>
      <c r="O560" s="52"/>
      <c r="P560" s="52"/>
      <c r="Q560" s="52"/>
      <c r="U560" s="52"/>
    </row>
    <row r="561">
      <c r="M561" s="52"/>
      <c r="N561" s="52"/>
      <c r="O561" s="52"/>
      <c r="P561" s="52"/>
      <c r="Q561" s="52"/>
      <c r="U561" s="52"/>
    </row>
    <row r="562">
      <c r="M562" s="52"/>
      <c r="N562" s="52"/>
      <c r="O562" s="52"/>
      <c r="P562" s="52"/>
      <c r="Q562" s="52"/>
      <c r="U562" s="52"/>
    </row>
    <row r="563">
      <c r="M563" s="52"/>
      <c r="N563" s="52"/>
      <c r="O563" s="52"/>
      <c r="P563" s="52"/>
      <c r="Q563" s="52"/>
      <c r="U563" s="52"/>
    </row>
    <row r="564">
      <c r="M564" s="52"/>
      <c r="N564" s="52"/>
      <c r="O564" s="52"/>
      <c r="P564" s="52"/>
      <c r="Q564" s="52"/>
      <c r="U564" s="52"/>
    </row>
    <row r="565">
      <c r="M565" s="52"/>
      <c r="N565" s="52"/>
      <c r="O565" s="52"/>
      <c r="P565" s="52"/>
      <c r="Q565" s="52"/>
      <c r="U565" s="52"/>
    </row>
    <row r="566">
      <c r="M566" s="52"/>
      <c r="N566" s="52"/>
      <c r="O566" s="52"/>
      <c r="P566" s="52"/>
      <c r="Q566" s="52"/>
      <c r="U566" s="52"/>
    </row>
    <row r="567">
      <c r="M567" s="52"/>
      <c r="N567" s="52"/>
      <c r="O567" s="52"/>
      <c r="P567" s="52"/>
      <c r="Q567" s="52"/>
      <c r="U567" s="52"/>
    </row>
    <row r="568">
      <c r="M568" s="52"/>
      <c r="N568" s="52"/>
      <c r="O568" s="52"/>
      <c r="P568" s="52"/>
      <c r="Q568" s="52"/>
      <c r="U568" s="52"/>
    </row>
    <row r="569">
      <c r="M569" s="52"/>
      <c r="N569" s="52"/>
      <c r="O569" s="52"/>
      <c r="P569" s="52"/>
      <c r="Q569" s="52"/>
      <c r="U569" s="52"/>
    </row>
    <row r="570">
      <c r="M570" s="52"/>
      <c r="N570" s="52"/>
      <c r="O570" s="52"/>
      <c r="P570" s="52"/>
      <c r="Q570" s="52"/>
      <c r="U570" s="52"/>
    </row>
    <row r="571">
      <c r="M571" s="52"/>
      <c r="N571" s="52"/>
      <c r="O571" s="52"/>
      <c r="P571" s="52"/>
      <c r="Q571" s="52"/>
      <c r="U571" s="52"/>
    </row>
    <row r="572">
      <c r="M572" s="52"/>
      <c r="N572" s="52"/>
      <c r="O572" s="52"/>
      <c r="P572" s="52"/>
      <c r="Q572" s="52"/>
      <c r="U572" s="52"/>
    </row>
    <row r="573">
      <c r="M573" s="52"/>
      <c r="N573" s="52"/>
      <c r="O573" s="52"/>
      <c r="P573" s="52"/>
      <c r="Q573" s="52"/>
      <c r="U573" s="52"/>
    </row>
    <row r="574">
      <c r="M574" s="52"/>
      <c r="N574" s="52"/>
      <c r="O574" s="52"/>
      <c r="P574" s="52"/>
      <c r="Q574" s="52"/>
      <c r="U574" s="52"/>
    </row>
    <row r="575">
      <c r="M575" s="52"/>
      <c r="N575" s="52"/>
      <c r="O575" s="52"/>
      <c r="P575" s="52"/>
      <c r="Q575" s="52"/>
      <c r="U575" s="52"/>
    </row>
    <row r="576">
      <c r="M576" s="52"/>
      <c r="N576" s="52"/>
      <c r="O576" s="52"/>
      <c r="P576" s="52"/>
      <c r="Q576" s="52"/>
      <c r="U576" s="52"/>
    </row>
    <row r="577">
      <c r="M577" s="52"/>
      <c r="N577" s="52"/>
      <c r="O577" s="52"/>
      <c r="P577" s="52"/>
      <c r="Q577" s="52"/>
      <c r="U577" s="52"/>
    </row>
    <row r="578">
      <c r="M578" s="52"/>
      <c r="N578" s="52"/>
      <c r="O578" s="52"/>
      <c r="P578" s="52"/>
      <c r="Q578" s="52"/>
      <c r="U578" s="52"/>
    </row>
    <row r="579">
      <c r="M579" s="52"/>
      <c r="N579" s="52"/>
      <c r="O579" s="52"/>
      <c r="P579" s="52"/>
      <c r="Q579" s="52"/>
      <c r="U579" s="52"/>
    </row>
    <row r="580">
      <c r="M580" s="52"/>
      <c r="N580" s="52"/>
      <c r="O580" s="52"/>
      <c r="P580" s="52"/>
      <c r="Q580" s="52"/>
      <c r="U580" s="52"/>
    </row>
    <row r="581">
      <c r="M581" s="52"/>
      <c r="N581" s="52"/>
      <c r="O581" s="52"/>
      <c r="P581" s="52"/>
      <c r="Q581" s="52"/>
      <c r="U581" s="52"/>
    </row>
    <row r="582">
      <c r="M582" s="52"/>
      <c r="N582" s="52"/>
      <c r="O582" s="52"/>
      <c r="P582" s="52"/>
      <c r="Q582" s="52"/>
      <c r="U582" s="52"/>
    </row>
    <row r="583">
      <c r="M583" s="52"/>
      <c r="N583" s="52"/>
      <c r="O583" s="52"/>
      <c r="P583" s="52"/>
      <c r="Q583" s="52"/>
      <c r="U583" s="52"/>
    </row>
    <row r="584">
      <c r="M584" s="52"/>
      <c r="N584" s="52"/>
      <c r="O584" s="52"/>
      <c r="P584" s="52"/>
      <c r="Q584" s="52"/>
      <c r="U584" s="52"/>
    </row>
    <row r="585">
      <c r="M585" s="52"/>
      <c r="N585" s="52"/>
      <c r="O585" s="52"/>
      <c r="P585" s="52"/>
      <c r="Q585" s="52"/>
      <c r="U585" s="52"/>
    </row>
    <row r="586">
      <c r="M586" s="52"/>
      <c r="N586" s="52"/>
      <c r="O586" s="52"/>
      <c r="P586" s="52"/>
      <c r="Q586" s="52"/>
      <c r="U586" s="52"/>
    </row>
    <row r="587">
      <c r="M587" s="52"/>
      <c r="N587" s="52"/>
      <c r="O587" s="52"/>
      <c r="P587" s="52"/>
      <c r="Q587" s="52"/>
      <c r="U587" s="52"/>
    </row>
    <row r="588">
      <c r="M588" s="52"/>
      <c r="N588" s="52"/>
      <c r="O588" s="52"/>
      <c r="P588" s="52"/>
      <c r="Q588" s="52"/>
      <c r="U588" s="52"/>
    </row>
    <row r="589">
      <c r="M589" s="52"/>
      <c r="N589" s="52"/>
      <c r="O589" s="52"/>
      <c r="P589" s="52"/>
      <c r="Q589" s="52"/>
      <c r="U589" s="52"/>
    </row>
    <row r="590">
      <c r="M590" s="52"/>
      <c r="N590" s="52"/>
      <c r="O590" s="52"/>
      <c r="P590" s="52"/>
      <c r="Q590" s="52"/>
      <c r="U590" s="52"/>
    </row>
    <row r="591">
      <c r="M591" s="52"/>
      <c r="N591" s="52"/>
      <c r="O591" s="52"/>
      <c r="P591" s="52"/>
      <c r="Q591" s="52"/>
      <c r="U591" s="52"/>
    </row>
    <row r="592">
      <c r="M592" s="52"/>
      <c r="N592" s="52"/>
      <c r="O592" s="52"/>
      <c r="P592" s="52"/>
      <c r="Q592" s="52"/>
      <c r="U592" s="52"/>
    </row>
    <row r="593">
      <c r="M593" s="52"/>
      <c r="N593" s="52"/>
      <c r="O593" s="52"/>
      <c r="P593" s="52"/>
      <c r="Q593" s="52"/>
      <c r="U593" s="52"/>
    </row>
    <row r="594">
      <c r="M594" s="52"/>
      <c r="N594" s="52"/>
      <c r="O594" s="52"/>
      <c r="P594" s="52"/>
      <c r="Q594" s="52"/>
      <c r="U594" s="52"/>
    </row>
    <row r="595">
      <c r="M595" s="52"/>
      <c r="N595" s="52"/>
      <c r="O595" s="52"/>
      <c r="P595" s="52"/>
      <c r="Q595" s="52"/>
      <c r="U595" s="52"/>
    </row>
    <row r="596">
      <c r="M596" s="52"/>
      <c r="N596" s="52"/>
      <c r="O596" s="52"/>
      <c r="P596" s="52"/>
      <c r="Q596" s="52"/>
      <c r="U596" s="52"/>
    </row>
    <row r="597">
      <c r="M597" s="52"/>
      <c r="N597" s="52"/>
      <c r="O597" s="52"/>
      <c r="P597" s="52"/>
      <c r="Q597" s="52"/>
      <c r="U597" s="52"/>
    </row>
    <row r="598">
      <c r="M598" s="52"/>
      <c r="N598" s="52"/>
      <c r="O598" s="52"/>
      <c r="P598" s="52"/>
      <c r="Q598" s="52"/>
      <c r="U598" s="52"/>
    </row>
    <row r="599">
      <c r="M599" s="52"/>
      <c r="N599" s="52"/>
      <c r="O599" s="52"/>
      <c r="P599" s="52"/>
      <c r="Q599" s="52"/>
      <c r="U599" s="52"/>
    </row>
    <row r="600">
      <c r="M600" s="52"/>
      <c r="N600" s="52"/>
      <c r="O600" s="52"/>
      <c r="P600" s="52"/>
      <c r="Q600" s="52"/>
      <c r="U600" s="52"/>
    </row>
    <row r="601">
      <c r="M601" s="52"/>
      <c r="N601" s="52"/>
      <c r="O601" s="52"/>
      <c r="P601" s="52"/>
      <c r="Q601" s="52"/>
      <c r="U601" s="52"/>
    </row>
    <row r="602">
      <c r="M602" s="52"/>
      <c r="N602" s="52"/>
      <c r="O602" s="52"/>
      <c r="P602" s="52"/>
      <c r="Q602" s="52"/>
      <c r="U602" s="52"/>
    </row>
    <row r="603">
      <c r="M603" s="52"/>
      <c r="N603" s="52"/>
      <c r="O603" s="52"/>
      <c r="P603" s="52"/>
      <c r="Q603" s="52"/>
      <c r="U603" s="52"/>
    </row>
    <row r="604">
      <c r="M604" s="52"/>
      <c r="N604" s="52"/>
      <c r="O604" s="52"/>
      <c r="P604" s="52"/>
      <c r="Q604" s="52"/>
      <c r="U604" s="52"/>
    </row>
    <row r="605">
      <c r="M605" s="52"/>
      <c r="N605" s="52"/>
      <c r="O605" s="52"/>
      <c r="P605" s="52"/>
      <c r="Q605" s="52"/>
      <c r="U605" s="52"/>
    </row>
    <row r="606">
      <c r="M606" s="52"/>
      <c r="N606" s="52"/>
      <c r="O606" s="52"/>
      <c r="P606" s="52"/>
      <c r="Q606" s="52"/>
      <c r="U606" s="52"/>
    </row>
    <row r="607">
      <c r="M607" s="52"/>
      <c r="N607" s="52"/>
      <c r="O607" s="52"/>
      <c r="P607" s="52"/>
      <c r="Q607" s="52"/>
      <c r="U607" s="52"/>
    </row>
    <row r="608">
      <c r="M608" s="52"/>
      <c r="N608" s="52"/>
      <c r="O608" s="52"/>
      <c r="P608" s="52"/>
      <c r="Q608" s="52"/>
      <c r="U608" s="52"/>
    </row>
    <row r="609">
      <c r="M609" s="52"/>
      <c r="N609" s="52"/>
      <c r="O609" s="52"/>
      <c r="P609" s="52"/>
      <c r="Q609" s="52"/>
      <c r="U609" s="52"/>
    </row>
    <row r="610">
      <c r="M610" s="52"/>
      <c r="N610" s="52"/>
      <c r="O610" s="52"/>
      <c r="P610" s="52"/>
      <c r="Q610" s="52"/>
      <c r="U610" s="52"/>
    </row>
    <row r="611">
      <c r="M611" s="52"/>
      <c r="N611" s="52"/>
      <c r="O611" s="52"/>
      <c r="P611" s="52"/>
      <c r="Q611" s="52"/>
      <c r="U611" s="52"/>
    </row>
    <row r="612">
      <c r="M612" s="52"/>
      <c r="N612" s="52"/>
      <c r="O612" s="52"/>
      <c r="P612" s="52"/>
      <c r="Q612" s="52"/>
      <c r="U612" s="52"/>
    </row>
    <row r="613">
      <c r="M613" s="52"/>
      <c r="N613" s="52"/>
      <c r="O613" s="52"/>
      <c r="P613" s="52"/>
      <c r="Q613" s="52"/>
      <c r="U613" s="52"/>
    </row>
    <row r="614">
      <c r="M614" s="52"/>
      <c r="N614" s="52"/>
      <c r="O614" s="52"/>
      <c r="P614" s="52"/>
      <c r="Q614" s="52"/>
      <c r="U614" s="52"/>
    </row>
    <row r="615">
      <c r="M615" s="52"/>
      <c r="N615" s="52"/>
      <c r="O615" s="52"/>
      <c r="P615" s="52"/>
      <c r="Q615" s="52"/>
      <c r="U615" s="52"/>
    </row>
    <row r="616">
      <c r="M616" s="52"/>
      <c r="N616" s="52"/>
      <c r="O616" s="52"/>
      <c r="P616" s="52"/>
      <c r="Q616" s="52"/>
      <c r="U616" s="52"/>
    </row>
    <row r="617">
      <c r="M617" s="52"/>
      <c r="N617" s="52"/>
      <c r="O617" s="52"/>
      <c r="P617" s="52"/>
      <c r="Q617" s="52"/>
      <c r="U617" s="52"/>
    </row>
    <row r="618">
      <c r="M618" s="52"/>
      <c r="N618" s="52"/>
      <c r="O618" s="52"/>
      <c r="P618" s="52"/>
      <c r="Q618" s="52"/>
      <c r="U618" s="52"/>
    </row>
    <row r="619">
      <c r="M619" s="52"/>
      <c r="N619" s="52"/>
      <c r="O619" s="52"/>
      <c r="P619" s="52"/>
      <c r="Q619" s="52"/>
      <c r="U619" s="52"/>
    </row>
    <row r="620">
      <c r="M620" s="52"/>
      <c r="N620" s="52"/>
      <c r="O620" s="52"/>
      <c r="P620" s="52"/>
      <c r="Q620" s="52"/>
      <c r="U620" s="52"/>
    </row>
    <row r="621">
      <c r="M621" s="52"/>
      <c r="N621" s="52"/>
      <c r="O621" s="52"/>
      <c r="P621" s="52"/>
      <c r="Q621" s="52"/>
      <c r="U621" s="52"/>
    </row>
    <row r="622">
      <c r="M622" s="52"/>
      <c r="N622" s="52"/>
      <c r="O622" s="52"/>
      <c r="P622" s="52"/>
      <c r="Q622" s="52"/>
      <c r="U622" s="52"/>
    </row>
    <row r="623">
      <c r="M623" s="52"/>
      <c r="N623" s="52"/>
      <c r="O623" s="52"/>
      <c r="P623" s="52"/>
      <c r="Q623" s="52"/>
      <c r="U623" s="52"/>
    </row>
    <row r="624">
      <c r="M624" s="52"/>
      <c r="N624" s="52"/>
      <c r="O624" s="52"/>
      <c r="P624" s="52"/>
      <c r="Q624" s="52"/>
      <c r="U624" s="52"/>
    </row>
    <row r="625">
      <c r="M625" s="52"/>
      <c r="N625" s="52"/>
      <c r="O625" s="52"/>
      <c r="P625" s="52"/>
      <c r="Q625" s="52"/>
      <c r="U625" s="52"/>
    </row>
    <row r="626">
      <c r="M626" s="52"/>
      <c r="N626" s="52"/>
      <c r="O626" s="52"/>
      <c r="P626" s="52"/>
      <c r="Q626" s="52"/>
      <c r="U626" s="52"/>
    </row>
    <row r="627">
      <c r="M627" s="52"/>
      <c r="N627" s="52"/>
      <c r="O627" s="52"/>
      <c r="P627" s="52"/>
      <c r="Q627" s="52"/>
      <c r="U627" s="52"/>
    </row>
    <row r="628">
      <c r="M628" s="52"/>
      <c r="N628" s="52"/>
      <c r="O628" s="52"/>
      <c r="P628" s="52"/>
      <c r="Q628" s="52"/>
      <c r="U628" s="52"/>
    </row>
    <row r="629">
      <c r="M629" s="52"/>
      <c r="N629" s="52"/>
      <c r="O629" s="52"/>
      <c r="P629" s="52"/>
      <c r="Q629" s="52"/>
      <c r="U629" s="52"/>
    </row>
    <row r="630">
      <c r="M630" s="52"/>
      <c r="N630" s="52"/>
      <c r="O630" s="52"/>
      <c r="P630" s="52"/>
      <c r="Q630" s="52"/>
      <c r="U630" s="52"/>
    </row>
    <row r="631">
      <c r="M631" s="52"/>
      <c r="N631" s="52"/>
      <c r="O631" s="52"/>
      <c r="P631" s="52"/>
      <c r="Q631" s="52"/>
      <c r="U631" s="52"/>
    </row>
    <row r="632">
      <c r="M632" s="52"/>
      <c r="N632" s="52"/>
      <c r="O632" s="52"/>
      <c r="P632" s="52"/>
      <c r="Q632" s="52"/>
      <c r="U632" s="52"/>
    </row>
    <row r="633">
      <c r="M633" s="52"/>
      <c r="N633" s="52"/>
      <c r="O633" s="52"/>
      <c r="P633" s="52"/>
      <c r="Q633" s="52"/>
      <c r="U633" s="52"/>
    </row>
    <row r="634">
      <c r="M634" s="52"/>
      <c r="N634" s="52"/>
      <c r="O634" s="52"/>
      <c r="P634" s="52"/>
      <c r="Q634" s="52"/>
      <c r="U634" s="52"/>
    </row>
    <row r="635">
      <c r="M635" s="52"/>
      <c r="N635" s="52"/>
      <c r="O635" s="52"/>
      <c r="P635" s="52"/>
      <c r="Q635" s="52"/>
      <c r="U635" s="52"/>
    </row>
    <row r="636">
      <c r="M636" s="52"/>
      <c r="N636" s="52"/>
      <c r="O636" s="52"/>
      <c r="P636" s="52"/>
      <c r="Q636" s="52"/>
      <c r="U636" s="52"/>
    </row>
    <row r="637">
      <c r="M637" s="52"/>
      <c r="N637" s="52"/>
      <c r="O637" s="52"/>
      <c r="P637" s="52"/>
      <c r="Q637" s="52"/>
      <c r="U637" s="52"/>
    </row>
    <row r="638">
      <c r="M638" s="52"/>
      <c r="N638" s="52"/>
      <c r="O638" s="52"/>
      <c r="P638" s="52"/>
      <c r="Q638" s="52"/>
      <c r="U638" s="52"/>
    </row>
    <row r="639">
      <c r="M639" s="52"/>
      <c r="N639" s="52"/>
      <c r="O639" s="52"/>
      <c r="P639" s="52"/>
      <c r="Q639" s="52"/>
      <c r="U639" s="52"/>
    </row>
    <row r="640">
      <c r="M640" s="52"/>
      <c r="N640" s="52"/>
      <c r="O640" s="52"/>
      <c r="P640" s="52"/>
      <c r="Q640" s="52"/>
      <c r="U640" s="52"/>
    </row>
    <row r="641">
      <c r="M641" s="52"/>
      <c r="N641" s="52"/>
      <c r="O641" s="52"/>
      <c r="P641" s="52"/>
      <c r="Q641" s="52"/>
      <c r="U641" s="52"/>
    </row>
    <row r="642">
      <c r="M642" s="52"/>
      <c r="N642" s="52"/>
      <c r="O642" s="52"/>
      <c r="P642" s="52"/>
      <c r="Q642" s="52"/>
      <c r="U642" s="52"/>
    </row>
    <row r="643">
      <c r="M643" s="52"/>
      <c r="N643" s="52"/>
      <c r="O643" s="52"/>
      <c r="P643" s="52"/>
      <c r="Q643" s="52"/>
      <c r="U643" s="52"/>
    </row>
    <row r="644">
      <c r="M644" s="52"/>
      <c r="N644" s="52"/>
      <c r="O644" s="52"/>
      <c r="P644" s="52"/>
      <c r="Q644" s="52"/>
      <c r="U644" s="52"/>
    </row>
    <row r="645">
      <c r="M645" s="52"/>
      <c r="N645" s="52"/>
      <c r="O645" s="52"/>
      <c r="P645" s="52"/>
      <c r="Q645" s="52"/>
      <c r="U645" s="52"/>
    </row>
    <row r="646">
      <c r="M646" s="52"/>
      <c r="N646" s="52"/>
      <c r="O646" s="52"/>
      <c r="P646" s="52"/>
      <c r="Q646" s="52"/>
      <c r="U646" s="52"/>
    </row>
    <row r="647">
      <c r="M647" s="52"/>
      <c r="N647" s="52"/>
      <c r="O647" s="52"/>
      <c r="P647" s="52"/>
      <c r="Q647" s="52"/>
      <c r="U647" s="52"/>
    </row>
    <row r="648">
      <c r="M648" s="52"/>
      <c r="N648" s="52"/>
      <c r="O648" s="52"/>
      <c r="P648" s="52"/>
      <c r="Q648" s="52"/>
      <c r="U648" s="52"/>
    </row>
    <row r="649">
      <c r="M649" s="52"/>
      <c r="N649" s="52"/>
      <c r="O649" s="52"/>
      <c r="P649" s="52"/>
      <c r="Q649" s="52"/>
      <c r="U649" s="52"/>
    </row>
    <row r="650">
      <c r="M650" s="52"/>
      <c r="N650" s="52"/>
      <c r="O650" s="52"/>
      <c r="P650" s="52"/>
      <c r="Q650" s="52"/>
      <c r="U650" s="52"/>
    </row>
    <row r="651">
      <c r="M651" s="52"/>
      <c r="N651" s="52"/>
      <c r="O651" s="52"/>
      <c r="P651" s="52"/>
      <c r="Q651" s="52"/>
      <c r="U651" s="52"/>
    </row>
    <row r="652">
      <c r="M652" s="52"/>
      <c r="N652" s="52"/>
      <c r="O652" s="52"/>
      <c r="P652" s="52"/>
      <c r="Q652" s="52"/>
      <c r="U652" s="52"/>
    </row>
    <row r="653">
      <c r="M653" s="52"/>
      <c r="N653" s="52"/>
      <c r="O653" s="52"/>
      <c r="P653" s="52"/>
      <c r="Q653" s="52"/>
      <c r="U653" s="52"/>
    </row>
    <row r="654">
      <c r="M654" s="52"/>
      <c r="N654" s="52"/>
      <c r="O654" s="52"/>
      <c r="P654" s="52"/>
      <c r="Q654" s="52"/>
      <c r="U654" s="52"/>
    </row>
    <row r="655">
      <c r="M655" s="52"/>
      <c r="N655" s="52"/>
      <c r="O655" s="52"/>
      <c r="P655" s="52"/>
      <c r="Q655" s="52"/>
      <c r="U655" s="52"/>
    </row>
    <row r="656">
      <c r="M656" s="52"/>
      <c r="N656" s="52"/>
      <c r="O656" s="52"/>
      <c r="P656" s="52"/>
      <c r="Q656" s="52"/>
      <c r="U656" s="52"/>
    </row>
    <row r="657">
      <c r="M657" s="52"/>
      <c r="N657" s="52"/>
      <c r="O657" s="52"/>
      <c r="P657" s="52"/>
      <c r="Q657" s="52"/>
      <c r="U657" s="52"/>
    </row>
    <row r="658">
      <c r="M658" s="52"/>
      <c r="N658" s="52"/>
      <c r="O658" s="52"/>
      <c r="P658" s="52"/>
      <c r="Q658" s="52"/>
      <c r="U658" s="52"/>
    </row>
    <row r="659">
      <c r="M659" s="52"/>
      <c r="N659" s="52"/>
      <c r="O659" s="52"/>
      <c r="P659" s="52"/>
      <c r="Q659" s="52"/>
      <c r="U659" s="52"/>
    </row>
    <row r="660">
      <c r="M660" s="52"/>
      <c r="N660" s="52"/>
      <c r="O660" s="52"/>
      <c r="P660" s="52"/>
      <c r="Q660" s="52"/>
      <c r="U660" s="52"/>
    </row>
    <row r="661">
      <c r="M661" s="52"/>
      <c r="N661" s="52"/>
      <c r="O661" s="52"/>
      <c r="P661" s="52"/>
      <c r="Q661" s="52"/>
      <c r="U661" s="52"/>
    </row>
    <row r="662">
      <c r="M662" s="52"/>
      <c r="N662" s="52"/>
      <c r="O662" s="52"/>
      <c r="P662" s="52"/>
      <c r="Q662" s="52"/>
      <c r="U662" s="52"/>
    </row>
    <row r="663">
      <c r="M663" s="52"/>
      <c r="N663" s="52"/>
      <c r="O663" s="52"/>
      <c r="P663" s="52"/>
      <c r="Q663" s="52"/>
      <c r="U663" s="52"/>
    </row>
    <row r="664">
      <c r="M664" s="52"/>
      <c r="N664" s="52"/>
      <c r="O664" s="52"/>
      <c r="P664" s="52"/>
      <c r="Q664" s="52"/>
      <c r="U664" s="52"/>
    </row>
    <row r="665">
      <c r="M665" s="52"/>
      <c r="N665" s="52"/>
      <c r="O665" s="52"/>
      <c r="P665" s="52"/>
      <c r="Q665" s="52"/>
      <c r="U665" s="52"/>
    </row>
    <row r="666">
      <c r="M666" s="52"/>
      <c r="N666" s="52"/>
      <c r="O666" s="52"/>
      <c r="P666" s="52"/>
      <c r="Q666" s="52"/>
      <c r="U666" s="52"/>
    </row>
    <row r="667">
      <c r="M667" s="52"/>
      <c r="N667" s="52"/>
      <c r="O667" s="52"/>
      <c r="P667" s="52"/>
      <c r="Q667" s="52"/>
      <c r="U667" s="52"/>
    </row>
    <row r="668">
      <c r="M668" s="52"/>
      <c r="N668" s="52"/>
      <c r="O668" s="52"/>
      <c r="P668" s="52"/>
      <c r="Q668" s="52"/>
      <c r="U668" s="52"/>
    </row>
    <row r="669">
      <c r="M669" s="52"/>
      <c r="N669" s="52"/>
      <c r="O669" s="52"/>
      <c r="P669" s="52"/>
      <c r="Q669" s="52"/>
      <c r="U669" s="52"/>
    </row>
    <row r="670">
      <c r="M670" s="52"/>
      <c r="N670" s="52"/>
      <c r="O670" s="52"/>
      <c r="P670" s="52"/>
      <c r="Q670" s="52"/>
      <c r="U670" s="52"/>
    </row>
    <row r="671">
      <c r="M671" s="52"/>
      <c r="N671" s="52"/>
      <c r="O671" s="52"/>
      <c r="P671" s="52"/>
      <c r="Q671" s="52"/>
      <c r="U671" s="52"/>
    </row>
    <row r="672">
      <c r="M672" s="52"/>
      <c r="N672" s="52"/>
      <c r="O672" s="52"/>
      <c r="P672" s="52"/>
      <c r="Q672" s="52"/>
      <c r="U672" s="52"/>
    </row>
    <row r="673">
      <c r="M673" s="52"/>
      <c r="N673" s="52"/>
      <c r="O673" s="52"/>
      <c r="P673" s="52"/>
      <c r="Q673" s="52"/>
      <c r="U673" s="52"/>
    </row>
    <row r="674">
      <c r="M674" s="52"/>
      <c r="N674" s="52"/>
      <c r="O674" s="52"/>
      <c r="P674" s="52"/>
      <c r="Q674" s="52"/>
      <c r="U674" s="52"/>
    </row>
    <row r="675">
      <c r="M675" s="52"/>
      <c r="N675" s="52"/>
      <c r="O675" s="52"/>
      <c r="P675" s="52"/>
      <c r="Q675" s="52"/>
      <c r="U675" s="52"/>
    </row>
    <row r="676">
      <c r="M676" s="52"/>
      <c r="N676" s="52"/>
      <c r="O676" s="52"/>
      <c r="P676" s="52"/>
      <c r="Q676" s="52"/>
      <c r="U676" s="52"/>
    </row>
    <row r="677">
      <c r="M677" s="52"/>
      <c r="N677" s="52"/>
      <c r="O677" s="52"/>
      <c r="P677" s="52"/>
      <c r="Q677" s="52"/>
      <c r="U677" s="52"/>
    </row>
    <row r="678">
      <c r="M678" s="52"/>
      <c r="N678" s="52"/>
      <c r="O678" s="52"/>
      <c r="P678" s="52"/>
      <c r="Q678" s="52"/>
      <c r="U678" s="52"/>
    </row>
    <row r="679">
      <c r="M679" s="52"/>
      <c r="N679" s="52"/>
      <c r="O679" s="52"/>
      <c r="P679" s="52"/>
      <c r="Q679" s="52"/>
      <c r="U679" s="52"/>
    </row>
    <row r="680">
      <c r="M680" s="52"/>
      <c r="N680" s="52"/>
      <c r="O680" s="52"/>
      <c r="P680" s="52"/>
      <c r="Q680" s="52"/>
      <c r="U680" s="52"/>
    </row>
    <row r="681">
      <c r="M681" s="52"/>
      <c r="N681" s="52"/>
      <c r="O681" s="52"/>
      <c r="P681" s="52"/>
      <c r="Q681" s="52"/>
      <c r="U681" s="52"/>
    </row>
    <row r="682">
      <c r="M682" s="52"/>
      <c r="N682" s="52"/>
      <c r="O682" s="52"/>
      <c r="P682" s="52"/>
      <c r="Q682" s="52"/>
      <c r="U682" s="52"/>
    </row>
    <row r="683">
      <c r="M683" s="52"/>
      <c r="N683" s="52"/>
      <c r="O683" s="52"/>
      <c r="P683" s="52"/>
      <c r="Q683" s="52"/>
      <c r="U683" s="52"/>
    </row>
    <row r="684">
      <c r="M684" s="52"/>
      <c r="N684" s="52"/>
      <c r="O684" s="52"/>
      <c r="P684" s="52"/>
      <c r="Q684" s="52"/>
      <c r="U684" s="52"/>
    </row>
    <row r="685">
      <c r="M685" s="52"/>
      <c r="N685" s="52"/>
      <c r="O685" s="52"/>
      <c r="P685" s="52"/>
      <c r="Q685" s="52"/>
      <c r="U685" s="52"/>
    </row>
    <row r="686">
      <c r="M686" s="52"/>
      <c r="N686" s="52"/>
      <c r="O686" s="52"/>
      <c r="P686" s="52"/>
      <c r="Q686" s="52"/>
      <c r="U686" s="52"/>
    </row>
    <row r="687">
      <c r="M687" s="52"/>
      <c r="N687" s="52"/>
      <c r="O687" s="52"/>
      <c r="P687" s="52"/>
      <c r="Q687" s="52"/>
      <c r="U687" s="52"/>
    </row>
    <row r="688">
      <c r="M688" s="52"/>
      <c r="N688" s="52"/>
      <c r="O688" s="52"/>
      <c r="P688" s="52"/>
      <c r="Q688" s="52"/>
      <c r="U688" s="52"/>
    </row>
    <row r="689">
      <c r="M689" s="52"/>
      <c r="N689" s="52"/>
      <c r="O689" s="52"/>
      <c r="P689" s="52"/>
      <c r="Q689" s="52"/>
      <c r="U689" s="52"/>
    </row>
    <row r="690">
      <c r="M690" s="52"/>
      <c r="N690" s="52"/>
      <c r="O690" s="52"/>
      <c r="P690" s="52"/>
      <c r="Q690" s="52"/>
      <c r="U690" s="52"/>
    </row>
    <row r="691">
      <c r="M691" s="52"/>
      <c r="N691" s="52"/>
      <c r="O691" s="52"/>
      <c r="P691" s="52"/>
      <c r="Q691" s="52"/>
      <c r="U691" s="52"/>
    </row>
    <row r="692">
      <c r="M692" s="52"/>
      <c r="N692" s="52"/>
      <c r="O692" s="52"/>
      <c r="P692" s="52"/>
      <c r="Q692" s="52"/>
      <c r="U692" s="52"/>
    </row>
    <row r="693">
      <c r="M693" s="52"/>
      <c r="N693" s="52"/>
      <c r="O693" s="52"/>
      <c r="P693" s="52"/>
      <c r="Q693" s="52"/>
      <c r="U693" s="52"/>
    </row>
    <row r="694">
      <c r="M694" s="52"/>
      <c r="N694" s="52"/>
      <c r="O694" s="52"/>
      <c r="P694" s="52"/>
      <c r="Q694" s="52"/>
      <c r="U694" s="52"/>
    </row>
    <row r="695">
      <c r="M695" s="52"/>
      <c r="N695" s="52"/>
      <c r="O695" s="52"/>
      <c r="P695" s="52"/>
      <c r="Q695" s="52"/>
      <c r="U695" s="52"/>
    </row>
    <row r="696">
      <c r="M696" s="52"/>
      <c r="N696" s="52"/>
      <c r="O696" s="52"/>
      <c r="P696" s="52"/>
      <c r="Q696" s="52"/>
      <c r="U696" s="52"/>
    </row>
    <row r="697">
      <c r="M697" s="52"/>
      <c r="N697" s="52"/>
      <c r="O697" s="52"/>
      <c r="P697" s="52"/>
      <c r="Q697" s="52"/>
      <c r="U697" s="52"/>
    </row>
    <row r="698">
      <c r="M698" s="52"/>
      <c r="N698" s="52"/>
      <c r="O698" s="52"/>
      <c r="P698" s="52"/>
      <c r="Q698" s="52"/>
      <c r="U698" s="52"/>
    </row>
    <row r="699">
      <c r="M699" s="52"/>
      <c r="N699" s="52"/>
      <c r="O699" s="52"/>
      <c r="P699" s="52"/>
      <c r="Q699" s="52"/>
      <c r="U699" s="52"/>
    </row>
    <row r="700">
      <c r="M700" s="52"/>
      <c r="N700" s="52"/>
      <c r="O700" s="52"/>
      <c r="P700" s="52"/>
      <c r="Q700" s="52"/>
      <c r="U700" s="52"/>
    </row>
    <row r="701">
      <c r="M701" s="52"/>
      <c r="N701" s="52"/>
      <c r="O701" s="52"/>
      <c r="P701" s="52"/>
      <c r="Q701" s="52"/>
      <c r="U701" s="52"/>
    </row>
    <row r="702">
      <c r="M702" s="52"/>
      <c r="N702" s="52"/>
      <c r="O702" s="52"/>
      <c r="P702" s="52"/>
      <c r="Q702" s="52"/>
      <c r="U702" s="52"/>
    </row>
    <row r="703">
      <c r="M703" s="52"/>
      <c r="N703" s="52"/>
      <c r="O703" s="52"/>
      <c r="P703" s="52"/>
      <c r="Q703" s="52"/>
      <c r="U703" s="52"/>
    </row>
    <row r="704">
      <c r="M704" s="52"/>
      <c r="N704" s="52"/>
      <c r="O704" s="52"/>
      <c r="P704" s="52"/>
      <c r="Q704" s="52"/>
      <c r="U704" s="52"/>
    </row>
    <row r="705">
      <c r="M705" s="52"/>
      <c r="N705" s="52"/>
      <c r="O705" s="52"/>
      <c r="P705" s="52"/>
      <c r="Q705" s="52"/>
      <c r="U705" s="52"/>
    </row>
    <row r="706">
      <c r="M706" s="52"/>
      <c r="N706" s="52"/>
      <c r="O706" s="52"/>
      <c r="P706" s="52"/>
      <c r="Q706" s="52"/>
      <c r="U706" s="52"/>
    </row>
    <row r="707">
      <c r="M707" s="52"/>
      <c r="N707" s="52"/>
      <c r="O707" s="52"/>
      <c r="P707" s="52"/>
      <c r="Q707" s="52"/>
      <c r="U707" s="52"/>
    </row>
    <row r="708">
      <c r="M708" s="52"/>
      <c r="N708" s="52"/>
      <c r="O708" s="52"/>
      <c r="P708" s="52"/>
      <c r="Q708" s="52"/>
      <c r="U708" s="52"/>
    </row>
    <row r="709">
      <c r="M709" s="52"/>
      <c r="N709" s="52"/>
      <c r="O709" s="52"/>
      <c r="P709" s="52"/>
      <c r="Q709" s="52"/>
      <c r="U709" s="52"/>
    </row>
    <row r="710">
      <c r="M710" s="52"/>
      <c r="N710" s="52"/>
      <c r="O710" s="52"/>
      <c r="P710" s="52"/>
      <c r="Q710" s="52"/>
      <c r="U710" s="52"/>
    </row>
    <row r="711">
      <c r="M711" s="52"/>
      <c r="N711" s="52"/>
      <c r="O711" s="52"/>
      <c r="P711" s="52"/>
      <c r="Q711" s="52"/>
      <c r="U711" s="52"/>
    </row>
    <row r="712">
      <c r="M712" s="52"/>
      <c r="N712" s="52"/>
      <c r="O712" s="52"/>
      <c r="P712" s="52"/>
      <c r="Q712" s="52"/>
      <c r="U712" s="52"/>
    </row>
    <row r="713">
      <c r="M713" s="52"/>
      <c r="N713" s="52"/>
      <c r="O713" s="52"/>
      <c r="P713" s="52"/>
      <c r="Q713" s="52"/>
      <c r="U713" s="52"/>
    </row>
    <row r="714">
      <c r="M714" s="52"/>
      <c r="N714" s="52"/>
      <c r="O714" s="52"/>
      <c r="P714" s="52"/>
      <c r="Q714" s="52"/>
      <c r="U714" s="52"/>
    </row>
    <row r="715">
      <c r="M715" s="52"/>
      <c r="N715" s="52"/>
      <c r="O715" s="52"/>
      <c r="P715" s="52"/>
      <c r="Q715" s="52"/>
      <c r="U715" s="52"/>
    </row>
    <row r="716">
      <c r="M716" s="52"/>
      <c r="N716" s="52"/>
      <c r="O716" s="52"/>
      <c r="P716" s="52"/>
      <c r="Q716" s="52"/>
      <c r="U716" s="52"/>
    </row>
    <row r="717">
      <c r="M717" s="52"/>
      <c r="N717" s="52"/>
      <c r="O717" s="52"/>
      <c r="P717" s="52"/>
      <c r="Q717" s="52"/>
      <c r="U717" s="52"/>
    </row>
    <row r="718">
      <c r="M718" s="52"/>
      <c r="N718" s="52"/>
      <c r="O718" s="52"/>
      <c r="P718" s="52"/>
      <c r="Q718" s="52"/>
      <c r="U718" s="52"/>
    </row>
    <row r="719">
      <c r="M719" s="52"/>
      <c r="N719" s="52"/>
      <c r="O719" s="52"/>
      <c r="P719" s="52"/>
      <c r="Q719" s="52"/>
      <c r="U719" s="52"/>
    </row>
    <row r="720">
      <c r="M720" s="52"/>
      <c r="N720" s="52"/>
      <c r="O720" s="52"/>
      <c r="P720" s="52"/>
      <c r="Q720" s="52"/>
      <c r="U720" s="52"/>
    </row>
    <row r="721">
      <c r="M721" s="52"/>
      <c r="N721" s="52"/>
      <c r="O721" s="52"/>
      <c r="P721" s="52"/>
      <c r="Q721" s="52"/>
      <c r="U721" s="52"/>
    </row>
    <row r="722">
      <c r="M722" s="52"/>
      <c r="N722" s="52"/>
      <c r="O722" s="52"/>
      <c r="P722" s="52"/>
      <c r="Q722" s="52"/>
      <c r="U722" s="52"/>
    </row>
    <row r="723">
      <c r="M723" s="52"/>
      <c r="N723" s="52"/>
      <c r="O723" s="52"/>
      <c r="P723" s="52"/>
      <c r="Q723" s="52"/>
      <c r="U723" s="52"/>
    </row>
    <row r="724">
      <c r="M724" s="52"/>
      <c r="N724" s="52"/>
      <c r="O724" s="52"/>
      <c r="P724" s="52"/>
      <c r="Q724" s="52"/>
      <c r="U724" s="52"/>
    </row>
    <row r="725">
      <c r="M725" s="52"/>
      <c r="N725" s="52"/>
      <c r="O725" s="52"/>
      <c r="P725" s="52"/>
      <c r="Q725" s="52"/>
      <c r="U725" s="52"/>
    </row>
    <row r="726">
      <c r="M726" s="52"/>
      <c r="N726" s="52"/>
      <c r="O726" s="52"/>
      <c r="P726" s="52"/>
      <c r="Q726" s="52"/>
      <c r="U726" s="52"/>
    </row>
    <row r="727">
      <c r="M727" s="52"/>
      <c r="N727" s="52"/>
      <c r="O727" s="52"/>
      <c r="P727" s="52"/>
      <c r="Q727" s="52"/>
      <c r="U727" s="52"/>
    </row>
    <row r="728">
      <c r="M728" s="52"/>
      <c r="N728" s="52"/>
      <c r="O728" s="52"/>
      <c r="P728" s="52"/>
      <c r="Q728" s="52"/>
      <c r="U728" s="52"/>
    </row>
    <row r="729">
      <c r="M729" s="52"/>
      <c r="N729" s="52"/>
      <c r="O729" s="52"/>
      <c r="P729" s="52"/>
      <c r="Q729" s="52"/>
      <c r="U729" s="52"/>
    </row>
    <row r="730">
      <c r="M730" s="52"/>
      <c r="N730" s="52"/>
      <c r="O730" s="52"/>
      <c r="P730" s="52"/>
      <c r="Q730" s="52"/>
      <c r="U730" s="52"/>
    </row>
    <row r="731">
      <c r="M731" s="52"/>
      <c r="N731" s="52"/>
      <c r="O731" s="52"/>
      <c r="P731" s="52"/>
      <c r="Q731" s="52"/>
      <c r="U731" s="52"/>
    </row>
    <row r="732">
      <c r="M732" s="52"/>
      <c r="N732" s="52"/>
      <c r="O732" s="52"/>
      <c r="P732" s="52"/>
      <c r="Q732" s="52"/>
      <c r="U732" s="52"/>
    </row>
    <row r="733">
      <c r="M733" s="52"/>
      <c r="N733" s="52"/>
      <c r="O733" s="52"/>
      <c r="P733" s="52"/>
      <c r="Q733" s="52"/>
      <c r="U733" s="52"/>
    </row>
    <row r="734">
      <c r="M734" s="52"/>
      <c r="N734" s="52"/>
      <c r="O734" s="52"/>
      <c r="P734" s="52"/>
      <c r="Q734" s="52"/>
      <c r="U734" s="52"/>
    </row>
    <row r="735">
      <c r="M735" s="52"/>
      <c r="N735" s="52"/>
      <c r="O735" s="52"/>
      <c r="P735" s="52"/>
      <c r="Q735" s="52"/>
      <c r="U735" s="52"/>
    </row>
    <row r="736">
      <c r="M736" s="52"/>
      <c r="N736" s="52"/>
      <c r="O736" s="52"/>
      <c r="P736" s="52"/>
      <c r="Q736" s="52"/>
      <c r="U736" s="52"/>
    </row>
    <row r="737">
      <c r="M737" s="52"/>
      <c r="N737" s="52"/>
      <c r="O737" s="52"/>
      <c r="P737" s="52"/>
      <c r="Q737" s="52"/>
      <c r="U737" s="52"/>
    </row>
    <row r="738">
      <c r="M738" s="52"/>
      <c r="N738" s="52"/>
      <c r="O738" s="52"/>
      <c r="P738" s="52"/>
      <c r="Q738" s="52"/>
      <c r="U738" s="52"/>
    </row>
    <row r="739">
      <c r="M739" s="52"/>
      <c r="N739" s="52"/>
      <c r="O739" s="52"/>
      <c r="P739" s="52"/>
      <c r="Q739" s="52"/>
      <c r="U739" s="52"/>
    </row>
    <row r="740">
      <c r="M740" s="52"/>
      <c r="N740" s="52"/>
      <c r="O740" s="52"/>
      <c r="P740" s="52"/>
      <c r="Q740" s="52"/>
      <c r="U740" s="52"/>
    </row>
    <row r="741">
      <c r="M741" s="52"/>
      <c r="N741" s="52"/>
      <c r="O741" s="52"/>
      <c r="P741" s="52"/>
      <c r="Q741" s="52"/>
      <c r="U741" s="52"/>
    </row>
    <row r="742">
      <c r="M742" s="52"/>
      <c r="N742" s="52"/>
      <c r="O742" s="52"/>
      <c r="P742" s="52"/>
      <c r="Q742" s="52"/>
      <c r="U742" s="52"/>
    </row>
    <row r="743">
      <c r="M743" s="52"/>
      <c r="N743" s="52"/>
      <c r="O743" s="52"/>
      <c r="P743" s="52"/>
      <c r="Q743" s="52"/>
      <c r="U743" s="52"/>
    </row>
    <row r="744">
      <c r="M744" s="52"/>
      <c r="N744" s="52"/>
      <c r="O744" s="52"/>
      <c r="P744" s="52"/>
      <c r="Q744" s="52"/>
      <c r="U744" s="52"/>
    </row>
    <row r="745">
      <c r="M745" s="52"/>
      <c r="N745" s="52"/>
      <c r="O745" s="52"/>
      <c r="P745" s="52"/>
      <c r="Q745" s="52"/>
      <c r="U745" s="52"/>
    </row>
    <row r="746">
      <c r="M746" s="52"/>
      <c r="N746" s="52"/>
      <c r="O746" s="52"/>
      <c r="P746" s="52"/>
      <c r="Q746" s="52"/>
      <c r="U746" s="52"/>
    </row>
    <row r="747">
      <c r="M747" s="52"/>
      <c r="N747" s="52"/>
      <c r="O747" s="52"/>
      <c r="P747" s="52"/>
      <c r="Q747" s="52"/>
      <c r="U747" s="52"/>
    </row>
    <row r="748">
      <c r="M748" s="52"/>
      <c r="N748" s="52"/>
      <c r="O748" s="52"/>
      <c r="P748" s="52"/>
      <c r="Q748" s="52"/>
      <c r="U748" s="52"/>
    </row>
    <row r="749">
      <c r="M749" s="52"/>
      <c r="N749" s="52"/>
      <c r="O749" s="52"/>
      <c r="P749" s="52"/>
      <c r="Q749" s="52"/>
      <c r="U749" s="52"/>
    </row>
    <row r="750">
      <c r="M750" s="52"/>
      <c r="N750" s="52"/>
      <c r="O750" s="52"/>
      <c r="P750" s="52"/>
      <c r="Q750" s="52"/>
      <c r="U750" s="52"/>
    </row>
    <row r="751">
      <c r="M751" s="52"/>
      <c r="N751" s="52"/>
      <c r="O751" s="52"/>
      <c r="P751" s="52"/>
      <c r="Q751" s="52"/>
      <c r="U751" s="52"/>
    </row>
    <row r="752">
      <c r="M752" s="52"/>
      <c r="N752" s="52"/>
      <c r="O752" s="52"/>
      <c r="P752" s="52"/>
      <c r="Q752" s="52"/>
      <c r="U752" s="52"/>
    </row>
    <row r="753">
      <c r="M753" s="52"/>
      <c r="N753" s="52"/>
      <c r="O753" s="52"/>
      <c r="P753" s="52"/>
      <c r="Q753" s="52"/>
      <c r="U753" s="52"/>
    </row>
    <row r="754">
      <c r="M754" s="52"/>
      <c r="N754" s="52"/>
      <c r="O754" s="52"/>
      <c r="P754" s="52"/>
      <c r="Q754" s="52"/>
      <c r="U754" s="52"/>
    </row>
    <row r="755">
      <c r="M755" s="52"/>
      <c r="N755" s="52"/>
      <c r="O755" s="52"/>
      <c r="P755" s="52"/>
      <c r="Q755" s="52"/>
      <c r="U755" s="52"/>
    </row>
    <row r="756">
      <c r="M756" s="52"/>
      <c r="N756" s="52"/>
      <c r="O756" s="52"/>
      <c r="P756" s="52"/>
      <c r="Q756" s="52"/>
      <c r="U756" s="52"/>
    </row>
    <row r="757">
      <c r="M757" s="52"/>
      <c r="N757" s="52"/>
      <c r="O757" s="52"/>
      <c r="P757" s="52"/>
      <c r="Q757" s="52"/>
      <c r="U757" s="52"/>
    </row>
    <row r="758">
      <c r="M758" s="52"/>
      <c r="N758" s="52"/>
      <c r="O758" s="52"/>
      <c r="P758" s="52"/>
      <c r="Q758" s="52"/>
      <c r="U758" s="52"/>
    </row>
    <row r="759">
      <c r="M759" s="52"/>
      <c r="N759" s="52"/>
      <c r="O759" s="52"/>
      <c r="P759" s="52"/>
      <c r="Q759" s="52"/>
      <c r="U759" s="52"/>
    </row>
    <row r="760">
      <c r="M760" s="52"/>
      <c r="N760" s="52"/>
      <c r="O760" s="52"/>
      <c r="P760" s="52"/>
      <c r="Q760" s="52"/>
      <c r="U760" s="52"/>
    </row>
    <row r="761">
      <c r="M761" s="52"/>
      <c r="N761" s="52"/>
      <c r="O761" s="52"/>
      <c r="P761" s="52"/>
      <c r="Q761" s="52"/>
      <c r="U761" s="52"/>
    </row>
    <row r="762">
      <c r="M762" s="52"/>
      <c r="N762" s="52"/>
      <c r="O762" s="52"/>
      <c r="P762" s="52"/>
      <c r="Q762" s="52"/>
      <c r="U762" s="52"/>
    </row>
    <row r="763">
      <c r="M763" s="52"/>
      <c r="N763" s="52"/>
      <c r="O763" s="52"/>
      <c r="P763" s="52"/>
      <c r="Q763" s="52"/>
      <c r="U763" s="52"/>
    </row>
    <row r="764">
      <c r="M764" s="52"/>
      <c r="N764" s="52"/>
      <c r="O764" s="52"/>
      <c r="P764" s="52"/>
      <c r="Q764" s="52"/>
      <c r="U764" s="52"/>
    </row>
    <row r="765">
      <c r="M765" s="52"/>
      <c r="N765" s="52"/>
      <c r="O765" s="52"/>
      <c r="P765" s="52"/>
      <c r="Q765" s="52"/>
      <c r="U765" s="52"/>
    </row>
    <row r="766">
      <c r="M766" s="52"/>
      <c r="N766" s="52"/>
      <c r="O766" s="52"/>
      <c r="P766" s="52"/>
      <c r="Q766" s="52"/>
      <c r="U766" s="52"/>
    </row>
    <row r="767">
      <c r="M767" s="52"/>
      <c r="N767" s="52"/>
      <c r="O767" s="52"/>
      <c r="P767" s="52"/>
      <c r="Q767" s="52"/>
      <c r="U767" s="52"/>
    </row>
    <row r="768">
      <c r="M768" s="52"/>
      <c r="N768" s="52"/>
      <c r="O768" s="52"/>
      <c r="P768" s="52"/>
      <c r="Q768" s="52"/>
      <c r="U768" s="52"/>
    </row>
    <row r="769">
      <c r="M769" s="52"/>
      <c r="N769" s="52"/>
      <c r="O769" s="52"/>
      <c r="P769" s="52"/>
      <c r="Q769" s="52"/>
      <c r="U769" s="52"/>
    </row>
    <row r="770">
      <c r="M770" s="52"/>
      <c r="N770" s="52"/>
      <c r="O770" s="52"/>
      <c r="P770" s="52"/>
      <c r="Q770" s="52"/>
      <c r="U770" s="52"/>
    </row>
    <row r="771">
      <c r="M771" s="52"/>
      <c r="N771" s="52"/>
      <c r="O771" s="52"/>
      <c r="P771" s="52"/>
      <c r="Q771" s="52"/>
      <c r="U771" s="52"/>
    </row>
    <row r="772">
      <c r="M772" s="52"/>
      <c r="N772" s="52"/>
      <c r="O772" s="52"/>
      <c r="P772" s="52"/>
      <c r="Q772" s="52"/>
      <c r="U772" s="52"/>
    </row>
    <row r="773">
      <c r="M773" s="52"/>
      <c r="N773" s="52"/>
      <c r="O773" s="52"/>
      <c r="P773" s="52"/>
      <c r="Q773" s="52"/>
      <c r="U773" s="52"/>
    </row>
    <row r="774">
      <c r="M774" s="52"/>
      <c r="N774" s="52"/>
      <c r="O774" s="52"/>
      <c r="P774" s="52"/>
      <c r="Q774" s="52"/>
      <c r="U774" s="52"/>
    </row>
    <row r="775">
      <c r="M775" s="52"/>
      <c r="N775" s="52"/>
      <c r="O775" s="52"/>
      <c r="P775" s="52"/>
      <c r="Q775" s="52"/>
      <c r="U775" s="52"/>
    </row>
    <row r="776">
      <c r="M776" s="52"/>
      <c r="N776" s="52"/>
      <c r="O776" s="52"/>
      <c r="P776" s="52"/>
      <c r="Q776" s="52"/>
      <c r="U776" s="52"/>
    </row>
    <row r="777">
      <c r="M777" s="52"/>
      <c r="N777" s="52"/>
      <c r="O777" s="52"/>
      <c r="P777" s="52"/>
      <c r="Q777" s="52"/>
      <c r="U777" s="52"/>
    </row>
    <row r="778">
      <c r="M778" s="52"/>
      <c r="N778" s="52"/>
      <c r="O778" s="52"/>
      <c r="P778" s="52"/>
      <c r="Q778" s="52"/>
      <c r="U778" s="52"/>
    </row>
    <row r="779">
      <c r="M779" s="52"/>
      <c r="N779" s="52"/>
      <c r="O779" s="52"/>
      <c r="P779" s="52"/>
      <c r="Q779" s="52"/>
      <c r="U779" s="52"/>
    </row>
    <row r="780">
      <c r="M780" s="52"/>
      <c r="N780" s="52"/>
      <c r="O780" s="52"/>
      <c r="P780" s="52"/>
      <c r="Q780" s="52"/>
      <c r="U780" s="52"/>
    </row>
    <row r="781">
      <c r="M781" s="52"/>
      <c r="N781" s="52"/>
      <c r="O781" s="52"/>
      <c r="P781" s="52"/>
      <c r="Q781" s="52"/>
      <c r="U781" s="52"/>
    </row>
    <row r="782">
      <c r="M782" s="52"/>
      <c r="N782" s="52"/>
      <c r="O782" s="52"/>
      <c r="P782" s="52"/>
      <c r="Q782" s="52"/>
      <c r="U782" s="52"/>
    </row>
    <row r="783">
      <c r="M783" s="52"/>
      <c r="N783" s="52"/>
      <c r="O783" s="52"/>
      <c r="P783" s="52"/>
      <c r="Q783" s="52"/>
      <c r="U783" s="52"/>
    </row>
    <row r="784">
      <c r="M784" s="52"/>
      <c r="N784" s="52"/>
      <c r="O784" s="52"/>
      <c r="P784" s="52"/>
      <c r="Q784" s="52"/>
      <c r="U784" s="52"/>
    </row>
    <row r="785">
      <c r="M785" s="52"/>
      <c r="N785" s="52"/>
      <c r="O785" s="52"/>
      <c r="P785" s="52"/>
      <c r="Q785" s="52"/>
      <c r="U785" s="52"/>
    </row>
    <row r="786">
      <c r="M786" s="52"/>
      <c r="N786" s="52"/>
      <c r="O786" s="52"/>
      <c r="P786" s="52"/>
      <c r="Q786" s="52"/>
      <c r="U786" s="52"/>
    </row>
    <row r="787">
      <c r="M787" s="52"/>
      <c r="N787" s="52"/>
      <c r="O787" s="52"/>
      <c r="P787" s="52"/>
      <c r="Q787" s="52"/>
      <c r="U787" s="52"/>
    </row>
    <row r="788">
      <c r="M788" s="52"/>
      <c r="N788" s="52"/>
      <c r="O788" s="52"/>
      <c r="P788" s="52"/>
      <c r="Q788" s="52"/>
      <c r="U788" s="52"/>
    </row>
    <row r="789">
      <c r="M789" s="52"/>
      <c r="N789" s="52"/>
      <c r="O789" s="52"/>
      <c r="P789" s="52"/>
      <c r="Q789" s="52"/>
      <c r="U789" s="52"/>
    </row>
    <row r="790">
      <c r="M790" s="52"/>
      <c r="N790" s="52"/>
      <c r="O790" s="52"/>
      <c r="P790" s="52"/>
      <c r="Q790" s="52"/>
      <c r="U790" s="52"/>
    </row>
    <row r="791">
      <c r="M791" s="52"/>
      <c r="N791" s="52"/>
      <c r="O791" s="52"/>
      <c r="P791" s="52"/>
      <c r="Q791" s="52"/>
      <c r="U791" s="52"/>
    </row>
    <row r="792">
      <c r="M792" s="52"/>
      <c r="N792" s="52"/>
      <c r="O792" s="52"/>
      <c r="P792" s="52"/>
      <c r="Q792" s="52"/>
      <c r="U792" s="52"/>
    </row>
    <row r="793">
      <c r="M793" s="52"/>
      <c r="N793" s="52"/>
      <c r="O793" s="52"/>
      <c r="P793" s="52"/>
      <c r="Q793" s="52"/>
      <c r="U793" s="52"/>
    </row>
    <row r="794">
      <c r="M794" s="52"/>
      <c r="N794" s="52"/>
      <c r="O794" s="52"/>
      <c r="P794" s="52"/>
      <c r="Q794" s="52"/>
      <c r="U794" s="52"/>
    </row>
    <row r="795">
      <c r="M795" s="52"/>
      <c r="N795" s="52"/>
      <c r="O795" s="52"/>
      <c r="P795" s="52"/>
      <c r="Q795" s="52"/>
      <c r="U795" s="52"/>
    </row>
    <row r="796">
      <c r="M796" s="52"/>
      <c r="N796" s="52"/>
      <c r="O796" s="52"/>
      <c r="P796" s="52"/>
      <c r="Q796" s="52"/>
      <c r="U796" s="52"/>
    </row>
    <row r="797">
      <c r="M797" s="52"/>
      <c r="N797" s="52"/>
      <c r="O797" s="52"/>
      <c r="P797" s="52"/>
      <c r="Q797" s="52"/>
      <c r="U797" s="52"/>
    </row>
    <row r="798">
      <c r="M798" s="52"/>
      <c r="N798" s="52"/>
      <c r="O798" s="52"/>
      <c r="P798" s="52"/>
      <c r="Q798" s="52"/>
      <c r="U798" s="52"/>
    </row>
    <row r="799">
      <c r="M799" s="52"/>
      <c r="N799" s="52"/>
      <c r="O799" s="52"/>
      <c r="P799" s="52"/>
      <c r="Q799" s="52"/>
      <c r="U799" s="52"/>
    </row>
    <row r="800">
      <c r="M800" s="52"/>
      <c r="N800" s="52"/>
      <c r="O800" s="52"/>
      <c r="P800" s="52"/>
      <c r="Q800" s="52"/>
      <c r="U800" s="52"/>
    </row>
    <row r="801">
      <c r="M801" s="52"/>
      <c r="N801" s="52"/>
      <c r="O801" s="52"/>
      <c r="P801" s="52"/>
      <c r="Q801" s="52"/>
      <c r="U801" s="52"/>
    </row>
    <row r="802">
      <c r="M802" s="52"/>
      <c r="N802" s="52"/>
      <c r="O802" s="52"/>
      <c r="P802" s="52"/>
      <c r="Q802" s="52"/>
      <c r="U802" s="52"/>
    </row>
    <row r="803">
      <c r="M803" s="52"/>
      <c r="N803" s="52"/>
      <c r="O803" s="52"/>
      <c r="P803" s="52"/>
      <c r="Q803" s="52"/>
      <c r="U803" s="52"/>
    </row>
    <row r="804">
      <c r="M804" s="52"/>
      <c r="N804" s="52"/>
      <c r="O804" s="52"/>
      <c r="P804" s="52"/>
      <c r="Q804" s="52"/>
      <c r="U804" s="52"/>
    </row>
    <row r="805">
      <c r="M805" s="52"/>
      <c r="N805" s="52"/>
      <c r="O805" s="52"/>
      <c r="P805" s="52"/>
      <c r="Q805" s="52"/>
      <c r="U805" s="52"/>
    </row>
    <row r="806">
      <c r="M806" s="52"/>
      <c r="N806" s="52"/>
      <c r="O806" s="52"/>
      <c r="P806" s="52"/>
      <c r="Q806" s="52"/>
      <c r="U806" s="52"/>
    </row>
    <row r="807">
      <c r="M807" s="52"/>
      <c r="N807" s="52"/>
      <c r="O807" s="52"/>
      <c r="P807" s="52"/>
      <c r="Q807" s="52"/>
      <c r="U807" s="52"/>
    </row>
    <row r="808">
      <c r="M808" s="52"/>
      <c r="N808" s="52"/>
      <c r="O808" s="52"/>
      <c r="P808" s="52"/>
      <c r="Q808" s="52"/>
      <c r="U808" s="52"/>
    </row>
    <row r="809">
      <c r="M809" s="52"/>
      <c r="N809" s="52"/>
      <c r="O809" s="52"/>
      <c r="P809" s="52"/>
      <c r="Q809" s="52"/>
      <c r="U809" s="52"/>
    </row>
    <row r="810">
      <c r="M810" s="52"/>
      <c r="N810" s="52"/>
      <c r="O810" s="52"/>
      <c r="P810" s="52"/>
      <c r="Q810" s="52"/>
      <c r="U810" s="52"/>
    </row>
    <row r="811">
      <c r="M811" s="52"/>
      <c r="N811" s="52"/>
      <c r="O811" s="52"/>
      <c r="P811" s="52"/>
      <c r="Q811" s="52"/>
      <c r="U811" s="52"/>
    </row>
    <row r="812">
      <c r="M812" s="52"/>
      <c r="N812" s="52"/>
      <c r="O812" s="52"/>
      <c r="P812" s="52"/>
      <c r="Q812" s="52"/>
      <c r="U812" s="52"/>
    </row>
    <row r="813">
      <c r="M813" s="52"/>
      <c r="N813" s="52"/>
      <c r="O813" s="52"/>
      <c r="P813" s="52"/>
      <c r="Q813" s="52"/>
      <c r="U813" s="52"/>
    </row>
    <row r="814">
      <c r="M814" s="52"/>
      <c r="N814" s="52"/>
      <c r="O814" s="52"/>
      <c r="P814" s="52"/>
      <c r="Q814" s="52"/>
      <c r="U814" s="52"/>
    </row>
    <row r="815">
      <c r="M815" s="52"/>
      <c r="N815" s="52"/>
      <c r="O815" s="52"/>
      <c r="P815" s="52"/>
      <c r="Q815" s="52"/>
      <c r="U815" s="52"/>
    </row>
    <row r="816">
      <c r="M816" s="52"/>
      <c r="N816" s="52"/>
      <c r="O816" s="52"/>
      <c r="P816" s="52"/>
      <c r="Q816" s="52"/>
      <c r="U816" s="52"/>
    </row>
    <row r="817">
      <c r="M817" s="52"/>
      <c r="N817" s="52"/>
      <c r="O817" s="52"/>
      <c r="P817" s="52"/>
      <c r="Q817" s="52"/>
      <c r="U817" s="52"/>
    </row>
    <row r="818">
      <c r="M818" s="52"/>
      <c r="N818" s="52"/>
      <c r="O818" s="52"/>
      <c r="P818" s="52"/>
      <c r="Q818" s="52"/>
      <c r="U818" s="52"/>
    </row>
    <row r="819">
      <c r="M819" s="52"/>
      <c r="N819" s="52"/>
      <c r="O819" s="52"/>
      <c r="P819" s="52"/>
      <c r="Q819" s="52"/>
      <c r="U819" s="52"/>
    </row>
    <row r="820">
      <c r="M820" s="52"/>
      <c r="N820" s="52"/>
      <c r="O820" s="52"/>
      <c r="P820" s="52"/>
      <c r="Q820" s="52"/>
      <c r="U820" s="52"/>
    </row>
    <row r="821">
      <c r="M821" s="52"/>
      <c r="N821" s="52"/>
      <c r="O821" s="52"/>
      <c r="P821" s="52"/>
      <c r="Q821" s="52"/>
      <c r="U821" s="52"/>
    </row>
    <row r="822">
      <c r="M822" s="52"/>
      <c r="N822" s="52"/>
      <c r="O822" s="52"/>
      <c r="P822" s="52"/>
      <c r="Q822" s="52"/>
      <c r="U822" s="52"/>
    </row>
    <row r="823">
      <c r="M823" s="52"/>
      <c r="N823" s="52"/>
      <c r="O823" s="52"/>
      <c r="P823" s="52"/>
      <c r="Q823" s="52"/>
      <c r="U823" s="52"/>
    </row>
    <row r="824">
      <c r="M824" s="52"/>
      <c r="N824" s="52"/>
      <c r="O824" s="52"/>
      <c r="P824" s="52"/>
      <c r="Q824" s="52"/>
      <c r="U824" s="52"/>
    </row>
    <row r="825">
      <c r="M825" s="52"/>
      <c r="N825" s="52"/>
      <c r="O825" s="52"/>
      <c r="P825" s="52"/>
      <c r="Q825" s="52"/>
      <c r="U825" s="52"/>
    </row>
    <row r="826">
      <c r="M826" s="52"/>
      <c r="N826" s="52"/>
      <c r="O826" s="52"/>
      <c r="P826" s="52"/>
      <c r="Q826" s="52"/>
      <c r="U826" s="52"/>
    </row>
    <row r="827">
      <c r="M827" s="52"/>
      <c r="N827" s="52"/>
      <c r="O827" s="52"/>
      <c r="P827" s="52"/>
      <c r="Q827" s="52"/>
      <c r="U827" s="52"/>
    </row>
    <row r="828">
      <c r="M828" s="52"/>
      <c r="N828" s="52"/>
      <c r="O828" s="52"/>
      <c r="P828" s="52"/>
      <c r="Q828" s="52"/>
      <c r="U828" s="52"/>
    </row>
    <row r="829">
      <c r="M829" s="52"/>
      <c r="N829" s="52"/>
      <c r="O829" s="52"/>
      <c r="P829" s="52"/>
      <c r="Q829" s="52"/>
      <c r="U829" s="52"/>
    </row>
    <row r="830">
      <c r="M830" s="52"/>
      <c r="N830" s="52"/>
      <c r="O830" s="52"/>
      <c r="P830" s="52"/>
      <c r="Q830" s="52"/>
      <c r="U830" s="52"/>
    </row>
    <row r="831">
      <c r="M831" s="52"/>
      <c r="N831" s="52"/>
      <c r="O831" s="52"/>
      <c r="P831" s="52"/>
      <c r="Q831" s="52"/>
      <c r="U831" s="52"/>
    </row>
    <row r="832">
      <c r="M832" s="52"/>
      <c r="N832" s="52"/>
      <c r="O832" s="52"/>
      <c r="P832" s="52"/>
      <c r="Q832" s="52"/>
      <c r="U832" s="52"/>
    </row>
    <row r="833">
      <c r="M833" s="52"/>
      <c r="N833" s="52"/>
      <c r="O833" s="52"/>
      <c r="P833" s="52"/>
      <c r="Q833" s="52"/>
      <c r="U833" s="52"/>
    </row>
    <row r="834">
      <c r="M834" s="52"/>
      <c r="N834" s="52"/>
      <c r="O834" s="52"/>
      <c r="P834" s="52"/>
      <c r="Q834" s="52"/>
      <c r="U834" s="52"/>
    </row>
    <row r="835">
      <c r="M835" s="52"/>
      <c r="N835" s="52"/>
      <c r="O835" s="52"/>
      <c r="P835" s="52"/>
      <c r="Q835" s="52"/>
      <c r="U835" s="52"/>
    </row>
    <row r="836">
      <c r="M836" s="52"/>
      <c r="N836" s="52"/>
      <c r="O836" s="52"/>
      <c r="P836" s="52"/>
      <c r="Q836" s="52"/>
      <c r="U836" s="52"/>
    </row>
    <row r="837">
      <c r="M837" s="52"/>
      <c r="N837" s="52"/>
      <c r="O837" s="52"/>
      <c r="P837" s="52"/>
      <c r="Q837" s="52"/>
      <c r="U837" s="52"/>
    </row>
    <row r="838">
      <c r="M838" s="52"/>
      <c r="N838" s="52"/>
      <c r="O838" s="52"/>
      <c r="P838" s="52"/>
      <c r="Q838" s="52"/>
      <c r="U838" s="52"/>
    </row>
    <row r="839">
      <c r="M839" s="52"/>
      <c r="N839" s="52"/>
      <c r="O839" s="52"/>
      <c r="P839" s="52"/>
      <c r="Q839" s="52"/>
      <c r="U839" s="52"/>
    </row>
    <row r="840">
      <c r="M840" s="52"/>
      <c r="N840" s="52"/>
      <c r="O840" s="52"/>
      <c r="P840" s="52"/>
      <c r="Q840" s="52"/>
      <c r="U840" s="52"/>
    </row>
    <row r="841">
      <c r="M841" s="52"/>
      <c r="N841" s="52"/>
      <c r="O841" s="52"/>
      <c r="P841" s="52"/>
      <c r="Q841" s="52"/>
      <c r="U841" s="52"/>
    </row>
    <row r="842">
      <c r="M842" s="52"/>
      <c r="N842" s="52"/>
      <c r="O842" s="52"/>
      <c r="P842" s="52"/>
      <c r="Q842" s="52"/>
      <c r="U842" s="52"/>
    </row>
    <row r="843">
      <c r="M843" s="52"/>
      <c r="N843" s="52"/>
      <c r="O843" s="52"/>
      <c r="P843" s="52"/>
      <c r="Q843" s="52"/>
      <c r="U843" s="52"/>
    </row>
    <row r="844">
      <c r="M844" s="52"/>
      <c r="N844" s="52"/>
      <c r="O844" s="52"/>
      <c r="P844" s="52"/>
      <c r="Q844" s="52"/>
      <c r="U844" s="52"/>
    </row>
    <row r="845">
      <c r="M845" s="52"/>
      <c r="N845" s="52"/>
      <c r="O845" s="52"/>
      <c r="P845" s="52"/>
      <c r="Q845" s="52"/>
      <c r="U845" s="52"/>
    </row>
    <row r="846">
      <c r="M846" s="52"/>
      <c r="N846" s="52"/>
      <c r="O846" s="52"/>
      <c r="P846" s="52"/>
      <c r="Q846" s="52"/>
      <c r="U846" s="52"/>
    </row>
    <row r="847">
      <c r="M847" s="52"/>
      <c r="N847" s="52"/>
      <c r="O847" s="52"/>
      <c r="P847" s="52"/>
      <c r="Q847" s="52"/>
      <c r="U847" s="52"/>
    </row>
    <row r="848">
      <c r="M848" s="52"/>
      <c r="N848" s="52"/>
      <c r="O848" s="52"/>
      <c r="P848" s="52"/>
      <c r="Q848" s="52"/>
      <c r="U848" s="52"/>
    </row>
    <row r="849">
      <c r="M849" s="52"/>
      <c r="N849" s="52"/>
      <c r="O849" s="52"/>
      <c r="P849" s="52"/>
      <c r="Q849" s="52"/>
      <c r="U849" s="52"/>
    </row>
    <row r="850">
      <c r="M850" s="52"/>
      <c r="N850" s="52"/>
      <c r="O850" s="52"/>
      <c r="P850" s="52"/>
      <c r="Q850" s="52"/>
      <c r="U850" s="52"/>
    </row>
    <row r="851">
      <c r="M851" s="52"/>
      <c r="N851" s="52"/>
      <c r="O851" s="52"/>
      <c r="P851" s="52"/>
      <c r="Q851" s="52"/>
      <c r="U851" s="52"/>
    </row>
    <row r="852">
      <c r="M852" s="52"/>
      <c r="N852" s="52"/>
      <c r="O852" s="52"/>
      <c r="P852" s="52"/>
      <c r="Q852" s="52"/>
      <c r="U852" s="52"/>
    </row>
    <row r="853">
      <c r="M853" s="52"/>
      <c r="N853" s="52"/>
      <c r="O853" s="52"/>
      <c r="P853" s="52"/>
      <c r="Q853" s="52"/>
      <c r="U853" s="52"/>
    </row>
    <row r="854">
      <c r="M854" s="52"/>
      <c r="N854" s="52"/>
      <c r="O854" s="52"/>
      <c r="P854" s="52"/>
      <c r="Q854" s="52"/>
      <c r="U854" s="52"/>
    </row>
    <row r="855">
      <c r="M855" s="52"/>
      <c r="N855" s="52"/>
      <c r="O855" s="52"/>
      <c r="P855" s="52"/>
      <c r="Q855" s="52"/>
      <c r="U855" s="52"/>
    </row>
    <row r="856">
      <c r="M856" s="52"/>
      <c r="N856" s="52"/>
      <c r="O856" s="52"/>
      <c r="P856" s="52"/>
      <c r="Q856" s="52"/>
      <c r="U856" s="52"/>
    </row>
    <row r="857">
      <c r="M857" s="52"/>
      <c r="N857" s="52"/>
      <c r="O857" s="52"/>
      <c r="P857" s="52"/>
      <c r="Q857" s="52"/>
      <c r="U857" s="52"/>
    </row>
    <row r="858">
      <c r="M858" s="52"/>
      <c r="N858" s="52"/>
      <c r="O858" s="52"/>
      <c r="P858" s="52"/>
      <c r="Q858" s="52"/>
      <c r="U858" s="52"/>
    </row>
    <row r="859">
      <c r="M859" s="52"/>
      <c r="N859" s="52"/>
      <c r="O859" s="52"/>
      <c r="P859" s="52"/>
      <c r="Q859" s="52"/>
      <c r="U859" s="52"/>
    </row>
    <row r="860">
      <c r="M860" s="52"/>
      <c r="N860" s="52"/>
      <c r="O860" s="52"/>
      <c r="P860" s="52"/>
      <c r="Q860" s="52"/>
      <c r="U860" s="52"/>
    </row>
    <row r="861">
      <c r="M861" s="52"/>
      <c r="N861" s="52"/>
      <c r="O861" s="52"/>
      <c r="P861" s="52"/>
      <c r="Q861" s="52"/>
      <c r="U861" s="52"/>
    </row>
    <row r="862">
      <c r="M862" s="52"/>
      <c r="N862" s="52"/>
      <c r="O862" s="52"/>
      <c r="P862" s="52"/>
      <c r="Q862" s="52"/>
      <c r="U862" s="52"/>
    </row>
    <row r="863">
      <c r="M863" s="52"/>
      <c r="N863" s="52"/>
      <c r="O863" s="52"/>
      <c r="P863" s="52"/>
      <c r="Q863" s="52"/>
      <c r="U863" s="52"/>
    </row>
    <row r="864">
      <c r="M864" s="52"/>
      <c r="N864" s="52"/>
      <c r="O864" s="52"/>
      <c r="P864" s="52"/>
      <c r="Q864" s="52"/>
      <c r="U864" s="52"/>
    </row>
    <row r="865">
      <c r="M865" s="52"/>
      <c r="N865" s="52"/>
      <c r="O865" s="52"/>
      <c r="P865" s="52"/>
      <c r="Q865" s="52"/>
      <c r="U865" s="52"/>
    </row>
    <row r="866">
      <c r="M866" s="52"/>
      <c r="N866" s="52"/>
      <c r="O866" s="52"/>
      <c r="P866" s="52"/>
      <c r="Q866" s="52"/>
      <c r="U866" s="52"/>
    </row>
    <row r="867">
      <c r="M867" s="52"/>
      <c r="N867" s="52"/>
      <c r="O867" s="52"/>
      <c r="P867" s="52"/>
      <c r="Q867" s="52"/>
      <c r="U867" s="52"/>
    </row>
    <row r="868">
      <c r="M868" s="52"/>
      <c r="N868" s="52"/>
      <c r="O868" s="52"/>
      <c r="P868" s="52"/>
      <c r="Q868" s="52"/>
      <c r="U868" s="52"/>
    </row>
    <row r="869">
      <c r="M869" s="52"/>
      <c r="N869" s="52"/>
      <c r="O869" s="52"/>
      <c r="P869" s="52"/>
      <c r="Q869" s="52"/>
      <c r="U869" s="52"/>
    </row>
    <row r="870">
      <c r="M870" s="52"/>
      <c r="N870" s="52"/>
      <c r="O870" s="52"/>
      <c r="P870" s="52"/>
      <c r="Q870" s="52"/>
      <c r="U870" s="52"/>
    </row>
    <row r="871">
      <c r="M871" s="52"/>
      <c r="N871" s="52"/>
      <c r="O871" s="52"/>
      <c r="P871" s="52"/>
      <c r="Q871" s="52"/>
      <c r="U871" s="52"/>
    </row>
    <row r="872">
      <c r="M872" s="52"/>
      <c r="N872" s="52"/>
      <c r="O872" s="52"/>
      <c r="P872" s="52"/>
      <c r="Q872" s="52"/>
      <c r="U872" s="52"/>
    </row>
    <row r="873">
      <c r="M873" s="52"/>
      <c r="N873" s="52"/>
      <c r="O873" s="52"/>
      <c r="P873" s="52"/>
      <c r="Q873" s="52"/>
      <c r="U873" s="52"/>
    </row>
    <row r="874">
      <c r="M874" s="52"/>
      <c r="N874" s="52"/>
      <c r="O874" s="52"/>
      <c r="P874" s="52"/>
      <c r="Q874" s="52"/>
      <c r="U874" s="52"/>
    </row>
    <row r="875">
      <c r="M875" s="52"/>
      <c r="N875" s="52"/>
      <c r="O875" s="52"/>
      <c r="P875" s="52"/>
      <c r="Q875" s="52"/>
      <c r="U875" s="52"/>
    </row>
    <row r="876">
      <c r="M876" s="52"/>
      <c r="N876" s="52"/>
      <c r="O876" s="52"/>
      <c r="P876" s="52"/>
      <c r="Q876" s="52"/>
      <c r="U876" s="52"/>
    </row>
    <row r="877">
      <c r="M877" s="52"/>
      <c r="N877" s="52"/>
      <c r="O877" s="52"/>
      <c r="P877" s="52"/>
      <c r="Q877" s="52"/>
      <c r="U877" s="52"/>
    </row>
    <row r="878">
      <c r="M878" s="52"/>
      <c r="N878" s="52"/>
      <c r="O878" s="52"/>
      <c r="P878" s="52"/>
      <c r="Q878" s="52"/>
      <c r="U878" s="52"/>
    </row>
    <row r="879">
      <c r="M879" s="52"/>
      <c r="N879" s="52"/>
      <c r="O879" s="52"/>
      <c r="P879" s="52"/>
      <c r="Q879" s="52"/>
      <c r="U879" s="52"/>
    </row>
    <row r="880">
      <c r="M880" s="52"/>
      <c r="N880" s="52"/>
      <c r="O880" s="52"/>
      <c r="P880" s="52"/>
      <c r="Q880" s="52"/>
      <c r="U880" s="52"/>
    </row>
    <row r="881">
      <c r="M881" s="52"/>
      <c r="N881" s="52"/>
      <c r="O881" s="52"/>
      <c r="P881" s="52"/>
      <c r="Q881" s="52"/>
      <c r="U881" s="52"/>
    </row>
    <row r="882">
      <c r="M882" s="52"/>
      <c r="N882" s="52"/>
      <c r="O882" s="52"/>
      <c r="P882" s="52"/>
      <c r="Q882" s="52"/>
      <c r="U882" s="52"/>
    </row>
    <row r="883">
      <c r="M883" s="52"/>
      <c r="N883" s="52"/>
      <c r="O883" s="52"/>
      <c r="P883" s="52"/>
      <c r="Q883" s="52"/>
      <c r="U883" s="52"/>
    </row>
    <row r="884">
      <c r="M884" s="52"/>
      <c r="N884" s="52"/>
      <c r="O884" s="52"/>
      <c r="P884" s="52"/>
      <c r="Q884" s="52"/>
      <c r="U884" s="52"/>
    </row>
    <row r="885">
      <c r="M885" s="52"/>
      <c r="N885" s="52"/>
      <c r="O885" s="52"/>
      <c r="P885" s="52"/>
      <c r="Q885" s="52"/>
      <c r="U885" s="52"/>
    </row>
    <row r="886">
      <c r="M886" s="52"/>
      <c r="N886" s="52"/>
      <c r="O886" s="52"/>
      <c r="P886" s="52"/>
      <c r="Q886" s="52"/>
      <c r="U886" s="52"/>
    </row>
    <row r="887">
      <c r="M887" s="52"/>
      <c r="N887" s="52"/>
      <c r="O887" s="52"/>
      <c r="P887" s="52"/>
      <c r="Q887" s="52"/>
      <c r="U887" s="52"/>
    </row>
    <row r="888">
      <c r="M888" s="52"/>
      <c r="N888" s="52"/>
      <c r="O888" s="52"/>
      <c r="P888" s="52"/>
      <c r="Q888" s="52"/>
      <c r="U888" s="52"/>
    </row>
    <row r="889">
      <c r="M889" s="52"/>
      <c r="N889" s="52"/>
      <c r="O889" s="52"/>
      <c r="P889" s="52"/>
      <c r="Q889" s="52"/>
      <c r="U889" s="52"/>
    </row>
    <row r="890">
      <c r="M890" s="52"/>
      <c r="N890" s="52"/>
      <c r="O890" s="52"/>
      <c r="P890" s="52"/>
      <c r="Q890" s="52"/>
      <c r="U890" s="52"/>
    </row>
    <row r="891">
      <c r="M891" s="52"/>
      <c r="N891" s="52"/>
      <c r="O891" s="52"/>
      <c r="P891" s="52"/>
      <c r="Q891" s="52"/>
      <c r="U891" s="52"/>
    </row>
    <row r="892">
      <c r="M892" s="52"/>
      <c r="N892" s="52"/>
      <c r="O892" s="52"/>
      <c r="P892" s="52"/>
      <c r="Q892" s="52"/>
      <c r="U892" s="52"/>
    </row>
    <row r="893">
      <c r="M893" s="52"/>
      <c r="N893" s="52"/>
      <c r="O893" s="52"/>
      <c r="P893" s="52"/>
      <c r="Q893" s="52"/>
      <c r="U893" s="52"/>
    </row>
    <row r="894">
      <c r="M894" s="52"/>
      <c r="N894" s="52"/>
      <c r="O894" s="52"/>
      <c r="P894" s="52"/>
      <c r="Q894" s="52"/>
      <c r="U894" s="52"/>
    </row>
    <row r="895">
      <c r="M895" s="52"/>
      <c r="N895" s="52"/>
      <c r="O895" s="52"/>
      <c r="P895" s="52"/>
      <c r="Q895" s="52"/>
      <c r="U895" s="52"/>
    </row>
    <row r="896">
      <c r="M896" s="52"/>
      <c r="N896" s="52"/>
      <c r="O896" s="52"/>
      <c r="P896" s="52"/>
      <c r="Q896" s="52"/>
      <c r="U896" s="52"/>
    </row>
    <row r="897">
      <c r="M897" s="52"/>
      <c r="N897" s="52"/>
      <c r="O897" s="52"/>
      <c r="P897" s="52"/>
      <c r="Q897" s="52"/>
      <c r="U897" s="52"/>
    </row>
    <row r="898">
      <c r="M898" s="52"/>
      <c r="N898" s="52"/>
      <c r="O898" s="52"/>
      <c r="P898" s="52"/>
      <c r="Q898" s="52"/>
      <c r="U898" s="52"/>
    </row>
    <row r="899">
      <c r="M899" s="52"/>
      <c r="N899" s="52"/>
      <c r="O899" s="52"/>
      <c r="P899" s="52"/>
      <c r="Q899" s="52"/>
      <c r="U899" s="52"/>
    </row>
    <row r="900">
      <c r="M900" s="52"/>
      <c r="N900" s="52"/>
      <c r="O900" s="52"/>
      <c r="P900" s="52"/>
      <c r="Q900" s="52"/>
      <c r="U900" s="52"/>
    </row>
    <row r="901">
      <c r="M901" s="52"/>
      <c r="N901" s="52"/>
      <c r="O901" s="52"/>
      <c r="P901" s="52"/>
      <c r="Q901" s="52"/>
      <c r="U901" s="52"/>
    </row>
    <row r="902">
      <c r="M902" s="52"/>
      <c r="N902" s="52"/>
      <c r="O902" s="52"/>
      <c r="P902" s="52"/>
      <c r="Q902" s="52"/>
      <c r="U902" s="52"/>
    </row>
    <row r="903">
      <c r="M903" s="52"/>
      <c r="N903" s="52"/>
      <c r="O903" s="52"/>
      <c r="P903" s="52"/>
      <c r="Q903" s="52"/>
      <c r="U903" s="52"/>
    </row>
    <row r="904">
      <c r="M904" s="52"/>
      <c r="N904" s="52"/>
      <c r="O904" s="52"/>
      <c r="P904" s="52"/>
      <c r="Q904" s="52"/>
      <c r="U904" s="52"/>
    </row>
    <row r="905">
      <c r="M905" s="52"/>
      <c r="N905" s="52"/>
      <c r="O905" s="52"/>
      <c r="P905" s="52"/>
      <c r="Q905" s="52"/>
      <c r="U905" s="52"/>
    </row>
    <row r="906">
      <c r="M906" s="52"/>
      <c r="N906" s="52"/>
      <c r="O906" s="52"/>
      <c r="P906" s="52"/>
      <c r="Q906" s="52"/>
      <c r="U906" s="52"/>
    </row>
    <row r="907">
      <c r="M907" s="52"/>
      <c r="N907" s="52"/>
      <c r="O907" s="52"/>
      <c r="P907" s="52"/>
      <c r="Q907" s="52"/>
      <c r="U907" s="52"/>
    </row>
    <row r="908">
      <c r="M908" s="52"/>
      <c r="N908" s="52"/>
      <c r="O908" s="52"/>
      <c r="P908" s="52"/>
      <c r="Q908" s="52"/>
      <c r="U908" s="52"/>
    </row>
    <row r="909">
      <c r="M909" s="52"/>
      <c r="N909" s="52"/>
      <c r="O909" s="52"/>
      <c r="P909" s="52"/>
      <c r="Q909" s="52"/>
      <c r="U909" s="52"/>
    </row>
    <row r="910">
      <c r="M910" s="52"/>
      <c r="N910" s="52"/>
      <c r="O910" s="52"/>
      <c r="P910" s="52"/>
      <c r="Q910" s="52"/>
      <c r="U910" s="52"/>
    </row>
    <row r="911">
      <c r="M911" s="52"/>
      <c r="N911" s="52"/>
      <c r="O911" s="52"/>
      <c r="P911" s="52"/>
      <c r="Q911" s="52"/>
      <c r="U911" s="52"/>
    </row>
    <row r="912">
      <c r="M912" s="52"/>
      <c r="N912" s="52"/>
      <c r="O912" s="52"/>
      <c r="P912" s="52"/>
      <c r="Q912" s="52"/>
      <c r="U912" s="52"/>
    </row>
    <row r="913">
      <c r="M913" s="52"/>
      <c r="N913" s="52"/>
      <c r="O913" s="52"/>
      <c r="P913" s="52"/>
      <c r="Q913" s="52"/>
      <c r="U913" s="52"/>
    </row>
    <row r="914">
      <c r="M914" s="52"/>
      <c r="N914" s="52"/>
      <c r="O914" s="52"/>
      <c r="P914" s="52"/>
      <c r="Q914" s="52"/>
      <c r="U914" s="52"/>
    </row>
    <row r="915">
      <c r="M915" s="52"/>
      <c r="N915" s="52"/>
      <c r="O915" s="52"/>
      <c r="P915" s="52"/>
      <c r="Q915" s="52"/>
      <c r="U915" s="52"/>
    </row>
    <row r="916">
      <c r="M916" s="52"/>
      <c r="N916" s="52"/>
      <c r="O916" s="52"/>
      <c r="P916" s="52"/>
      <c r="Q916" s="52"/>
      <c r="U916" s="52"/>
    </row>
    <row r="917">
      <c r="M917" s="52"/>
      <c r="N917" s="52"/>
      <c r="O917" s="52"/>
      <c r="P917" s="52"/>
      <c r="Q917" s="52"/>
      <c r="U917" s="52"/>
    </row>
    <row r="918">
      <c r="M918" s="52"/>
      <c r="N918" s="52"/>
      <c r="O918" s="52"/>
      <c r="P918" s="52"/>
      <c r="Q918" s="52"/>
      <c r="U918" s="52"/>
    </row>
    <row r="919">
      <c r="M919" s="52"/>
      <c r="N919" s="52"/>
      <c r="O919" s="52"/>
      <c r="P919" s="52"/>
      <c r="Q919" s="52"/>
      <c r="U919" s="52"/>
    </row>
    <row r="920">
      <c r="M920" s="52"/>
      <c r="N920" s="52"/>
      <c r="O920" s="52"/>
      <c r="P920" s="52"/>
      <c r="Q920" s="52"/>
      <c r="U920" s="52"/>
    </row>
    <row r="921">
      <c r="M921" s="52"/>
      <c r="N921" s="52"/>
      <c r="O921" s="52"/>
      <c r="P921" s="52"/>
      <c r="Q921" s="52"/>
      <c r="U921" s="52"/>
    </row>
    <row r="922">
      <c r="M922" s="52"/>
      <c r="N922" s="52"/>
      <c r="O922" s="52"/>
      <c r="P922" s="52"/>
      <c r="Q922" s="52"/>
      <c r="U922" s="52"/>
    </row>
    <row r="923">
      <c r="M923" s="52"/>
      <c r="N923" s="52"/>
      <c r="O923" s="52"/>
      <c r="P923" s="52"/>
      <c r="Q923" s="52"/>
      <c r="U923" s="52"/>
    </row>
    <row r="924">
      <c r="M924" s="52"/>
      <c r="N924" s="52"/>
      <c r="O924" s="52"/>
      <c r="P924" s="52"/>
      <c r="Q924" s="52"/>
      <c r="U924" s="52"/>
    </row>
    <row r="925">
      <c r="M925" s="52"/>
      <c r="N925" s="52"/>
      <c r="O925" s="52"/>
      <c r="P925" s="52"/>
      <c r="Q925" s="52"/>
      <c r="U925" s="52"/>
    </row>
    <row r="926">
      <c r="M926" s="52"/>
      <c r="N926" s="52"/>
      <c r="O926" s="52"/>
      <c r="P926" s="52"/>
      <c r="Q926" s="52"/>
      <c r="U926" s="52"/>
    </row>
    <row r="927">
      <c r="M927" s="52"/>
      <c r="N927" s="52"/>
      <c r="O927" s="52"/>
      <c r="P927" s="52"/>
      <c r="Q927" s="52"/>
      <c r="U927" s="52"/>
    </row>
    <row r="928">
      <c r="M928" s="52"/>
      <c r="N928" s="52"/>
      <c r="O928" s="52"/>
      <c r="P928" s="52"/>
      <c r="Q928" s="52"/>
      <c r="U928" s="52"/>
    </row>
    <row r="929">
      <c r="M929" s="52"/>
      <c r="N929" s="52"/>
      <c r="O929" s="52"/>
      <c r="P929" s="52"/>
      <c r="Q929" s="52"/>
      <c r="U929" s="52"/>
    </row>
    <row r="930">
      <c r="M930" s="52"/>
      <c r="N930" s="52"/>
      <c r="O930" s="52"/>
      <c r="P930" s="52"/>
      <c r="Q930" s="52"/>
      <c r="U930" s="52"/>
    </row>
    <row r="931">
      <c r="M931" s="52"/>
      <c r="N931" s="52"/>
      <c r="O931" s="52"/>
      <c r="P931" s="52"/>
      <c r="Q931" s="52"/>
      <c r="U931" s="52"/>
    </row>
    <row r="932">
      <c r="M932" s="52"/>
      <c r="N932" s="52"/>
      <c r="O932" s="52"/>
      <c r="P932" s="52"/>
      <c r="Q932" s="52"/>
      <c r="U932" s="52"/>
    </row>
    <row r="933">
      <c r="M933" s="52"/>
      <c r="N933" s="52"/>
      <c r="O933" s="52"/>
      <c r="P933" s="52"/>
      <c r="Q933" s="52"/>
      <c r="U933" s="52"/>
    </row>
    <row r="934">
      <c r="M934" s="52"/>
      <c r="N934" s="52"/>
      <c r="O934" s="52"/>
      <c r="P934" s="52"/>
      <c r="Q934" s="52"/>
      <c r="U934" s="52"/>
    </row>
    <row r="935">
      <c r="M935" s="52"/>
      <c r="N935" s="52"/>
      <c r="O935" s="52"/>
      <c r="P935" s="52"/>
      <c r="Q935" s="52"/>
      <c r="U935" s="52"/>
    </row>
    <row r="936">
      <c r="M936" s="52"/>
      <c r="N936" s="52"/>
      <c r="O936" s="52"/>
      <c r="P936" s="52"/>
      <c r="Q936" s="52"/>
      <c r="U936" s="52"/>
    </row>
    <row r="937">
      <c r="M937" s="52"/>
      <c r="N937" s="52"/>
      <c r="O937" s="52"/>
      <c r="P937" s="52"/>
      <c r="Q937" s="52"/>
      <c r="U937" s="52"/>
    </row>
    <row r="938">
      <c r="M938" s="52"/>
      <c r="N938" s="52"/>
      <c r="O938" s="52"/>
      <c r="P938" s="52"/>
      <c r="Q938" s="52"/>
      <c r="U938" s="52"/>
    </row>
    <row r="939">
      <c r="M939" s="52"/>
      <c r="N939" s="52"/>
      <c r="O939" s="52"/>
      <c r="P939" s="52"/>
      <c r="Q939" s="52"/>
      <c r="U939" s="52"/>
    </row>
    <row r="940">
      <c r="M940" s="52"/>
      <c r="N940" s="52"/>
      <c r="O940" s="52"/>
      <c r="P940" s="52"/>
      <c r="Q940" s="52"/>
      <c r="U940" s="52"/>
    </row>
    <row r="941">
      <c r="M941" s="52"/>
      <c r="N941" s="52"/>
      <c r="O941" s="52"/>
      <c r="P941" s="52"/>
      <c r="Q941" s="52"/>
      <c r="U941" s="52"/>
    </row>
    <row r="942">
      <c r="M942" s="52"/>
      <c r="N942" s="52"/>
      <c r="O942" s="52"/>
      <c r="P942" s="52"/>
      <c r="Q942" s="52"/>
      <c r="U942" s="52"/>
    </row>
    <row r="943">
      <c r="M943" s="52"/>
      <c r="N943" s="52"/>
      <c r="O943" s="52"/>
      <c r="P943" s="52"/>
      <c r="Q943" s="52"/>
      <c r="U943" s="52"/>
    </row>
    <row r="944">
      <c r="M944" s="52"/>
      <c r="N944" s="52"/>
      <c r="O944" s="52"/>
      <c r="P944" s="52"/>
      <c r="Q944" s="52"/>
      <c r="U944" s="52"/>
    </row>
    <row r="945">
      <c r="M945" s="52"/>
      <c r="N945" s="52"/>
      <c r="O945" s="52"/>
      <c r="P945" s="52"/>
      <c r="Q945" s="52"/>
      <c r="U945" s="52"/>
    </row>
    <row r="946">
      <c r="M946" s="52"/>
      <c r="N946" s="52"/>
      <c r="O946" s="52"/>
      <c r="P946" s="52"/>
      <c r="Q946" s="52"/>
      <c r="U946" s="52"/>
    </row>
    <row r="947">
      <c r="M947" s="52"/>
      <c r="N947" s="52"/>
      <c r="O947" s="52"/>
      <c r="P947" s="52"/>
      <c r="Q947" s="52"/>
      <c r="U947" s="52"/>
    </row>
    <row r="948">
      <c r="M948" s="52"/>
      <c r="N948" s="52"/>
      <c r="O948" s="52"/>
      <c r="P948" s="52"/>
      <c r="Q948" s="52"/>
      <c r="U948" s="52"/>
    </row>
    <row r="949">
      <c r="M949" s="52"/>
      <c r="N949" s="52"/>
      <c r="O949" s="52"/>
      <c r="P949" s="52"/>
      <c r="Q949" s="52"/>
      <c r="U949" s="52"/>
    </row>
    <row r="950">
      <c r="M950" s="52"/>
      <c r="N950" s="52"/>
      <c r="O950" s="52"/>
      <c r="P950" s="52"/>
      <c r="Q950" s="52"/>
      <c r="U950" s="52"/>
    </row>
    <row r="951">
      <c r="M951" s="52"/>
      <c r="N951" s="52"/>
      <c r="O951" s="52"/>
      <c r="P951" s="52"/>
      <c r="Q951" s="52"/>
      <c r="U951" s="52"/>
    </row>
    <row r="952">
      <c r="M952" s="52"/>
      <c r="N952" s="52"/>
      <c r="O952" s="52"/>
      <c r="P952" s="52"/>
      <c r="Q952" s="52"/>
      <c r="U952" s="52"/>
    </row>
    <row r="953">
      <c r="M953" s="52"/>
      <c r="N953" s="52"/>
      <c r="O953" s="52"/>
      <c r="P953" s="52"/>
      <c r="Q953" s="52"/>
      <c r="U953" s="52"/>
    </row>
    <row r="954">
      <c r="M954" s="52"/>
      <c r="N954" s="52"/>
      <c r="O954" s="52"/>
      <c r="P954" s="52"/>
      <c r="Q954" s="52"/>
      <c r="U954" s="52"/>
    </row>
    <row r="955">
      <c r="M955" s="52"/>
      <c r="N955" s="52"/>
      <c r="O955" s="52"/>
      <c r="P955" s="52"/>
      <c r="Q955" s="52"/>
      <c r="U955" s="52"/>
    </row>
    <row r="956">
      <c r="M956" s="52"/>
      <c r="N956" s="52"/>
      <c r="O956" s="52"/>
      <c r="P956" s="52"/>
      <c r="Q956" s="52"/>
      <c r="U956" s="52"/>
    </row>
    <row r="957">
      <c r="M957" s="52"/>
      <c r="N957" s="52"/>
      <c r="O957" s="52"/>
      <c r="P957" s="52"/>
      <c r="Q957" s="52"/>
      <c r="U957" s="52"/>
    </row>
    <row r="958">
      <c r="M958" s="52"/>
      <c r="N958" s="52"/>
      <c r="O958" s="52"/>
      <c r="P958" s="52"/>
      <c r="Q958" s="52"/>
      <c r="U958" s="52"/>
    </row>
    <row r="959">
      <c r="M959" s="52"/>
      <c r="N959" s="52"/>
      <c r="O959" s="52"/>
      <c r="P959" s="52"/>
      <c r="Q959" s="52"/>
      <c r="U959" s="52"/>
    </row>
    <row r="960">
      <c r="M960" s="52"/>
      <c r="N960" s="52"/>
      <c r="O960" s="52"/>
      <c r="P960" s="52"/>
      <c r="Q960" s="52"/>
      <c r="U960" s="52"/>
    </row>
    <row r="961">
      <c r="M961" s="52"/>
      <c r="N961" s="52"/>
      <c r="O961" s="52"/>
      <c r="P961" s="52"/>
      <c r="Q961" s="52"/>
      <c r="U961" s="52"/>
    </row>
    <row r="962">
      <c r="M962" s="52"/>
      <c r="N962" s="52"/>
      <c r="O962" s="52"/>
      <c r="P962" s="52"/>
      <c r="Q962" s="52"/>
      <c r="U962" s="52"/>
    </row>
    <row r="963">
      <c r="M963" s="52"/>
      <c r="N963" s="52"/>
      <c r="O963" s="52"/>
      <c r="P963" s="52"/>
      <c r="Q963" s="52"/>
      <c r="U963" s="52"/>
    </row>
    <row r="964">
      <c r="M964" s="52"/>
      <c r="N964" s="52"/>
      <c r="O964" s="52"/>
      <c r="P964" s="52"/>
      <c r="Q964" s="52"/>
      <c r="U964" s="52"/>
    </row>
    <row r="965">
      <c r="M965" s="52"/>
      <c r="N965" s="52"/>
      <c r="O965" s="52"/>
      <c r="P965" s="52"/>
      <c r="Q965" s="52"/>
      <c r="U965" s="52"/>
    </row>
    <row r="966">
      <c r="M966" s="52"/>
      <c r="N966" s="52"/>
      <c r="O966" s="52"/>
      <c r="P966" s="52"/>
      <c r="Q966" s="52"/>
      <c r="U966" s="52"/>
    </row>
    <row r="967">
      <c r="M967" s="52"/>
      <c r="N967" s="52"/>
      <c r="O967" s="52"/>
      <c r="P967" s="52"/>
      <c r="Q967" s="52"/>
      <c r="U967" s="52"/>
    </row>
    <row r="968">
      <c r="M968" s="52"/>
      <c r="N968" s="52"/>
      <c r="O968" s="52"/>
      <c r="P968" s="52"/>
      <c r="Q968" s="52"/>
      <c r="U968" s="52"/>
    </row>
    <row r="969">
      <c r="M969" s="52"/>
      <c r="N969" s="52"/>
      <c r="O969" s="52"/>
      <c r="P969" s="52"/>
      <c r="Q969" s="52"/>
      <c r="U969" s="52"/>
    </row>
    <row r="970">
      <c r="M970" s="52"/>
      <c r="N970" s="52"/>
      <c r="O970" s="52"/>
      <c r="P970" s="52"/>
      <c r="Q970" s="52"/>
      <c r="U970" s="52"/>
    </row>
    <row r="971">
      <c r="M971" s="52"/>
      <c r="N971" s="52"/>
      <c r="O971" s="52"/>
      <c r="P971" s="52"/>
      <c r="Q971" s="52"/>
      <c r="U971" s="52"/>
    </row>
    <row r="972">
      <c r="M972" s="52"/>
      <c r="N972" s="52"/>
      <c r="O972" s="52"/>
      <c r="P972" s="52"/>
      <c r="Q972" s="52"/>
      <c r="U972" s="52"/>
    </row>
    <row r="973">
      <c r="M973" s="52"/>
      <c r="N973" s="52"/>
      <c r="O973" s="52"/>
      <c r="P973" s="52"/>
      <c r="Q973" s="52"/>
      <c r="U973" s="52"/>
    </row>
    <row r="974">
      <c r="M974" s="52"/>
      <c r="N974" s="52"/>
      <c r="O974" s="52"/>
      <c r="P974" s="52"/>
      <c r="Q974" s="52"/>
      <c r="U974" s="52"/>
    </row>
    <row r="975">
      <c r="M975" s="52"/>
      <c r="N975" s="52"/>
      <c r="O975" s="52"/>
      <c r="P975" s="52"/>
      <c r="Q975" s="52"/>
      <c r="U975" s="52"/>
    </row>
    <row r="976">
      <c r="M976" s="52"/>
      <c r="N976" s="52"/>
      <c r="O976" s="52"/>
      <c r="P976" s="52"/>
      <c r="Q976" s="52"/>
      <c r="U976" s="52"/>
    </row>
    <row r="977">
      <c r="M977" s="52"/>
      <c r="N977" s="52"/>
      <c r="O977" s="52"/>
      <c r="P977" s="52"/>
      <c r="Q977" s="52"/>
      <c r="U977" s="52"/>
    </row>
    <row r="978">
      <c r="M978" s="52"/>
      <c r="N978" s="52"/>
      <c r="O978" s="52"/>
      <c r="P978" s="52"/>
      <c r="Q978" s="52"/>
      <c r="U978" s="52"/>
    </row>
    <row r="979">
      <c r="M979" s="52"/>
      <c r="N979" s="52"/>
      <c r="O979" s="52"/>
      <c r="P979" s="52"/>
      <c r="Q979" s="52"/>
      <c r="U979" s="52"/>
    </row>
    <row r="980">
      <c r="M980" s="52"/>
      <c r="N980" s="52"/>
      <c r="O980" s="52"/>
      <c r="P980" s="52"/>
      <c r="Q980" s="52"/>
      <c r="U980" s="52"/>
    </row>
    <row r="981">
      <c r="M981" s="52"/>
      <c r="N981" s="52"/>
      <c r="O981" s="52"/>
      <c r="P981" s="52"/>
      <c r="Q981" s="52"/>
      <c r="U981" s="52"/>
    </row>
    <row r="982">
      <c r="M982" s="52"/>
      <c r="N982" s="52"/>
      <c r="O982" s="52"/>
      <c r="P982" s="52"/>
      <c r="Q982" s="52"/>
      <c r="U982" s="52"/>
    </row>
    <row r="983">
      <c r="M983" s="52"/>
      <c r="N983" s="52"/>
      <c r="O983" s="52"/>
      <c r="P983" s="52"/>
      <c r="Q983" s="52"/>
      <c r="U983" s="52"/>
    </row>
    <row r="984">
      <c r="M984" s="52"/>
      <c r="N984" s="52"/>
      <c r="O984" s="52"/>
      <c r="P984" s="52"/>
      <c r="Q984" s="52"/>
      <c r="U984" s="52"/>
    </row>
    <row r="985">
      <c r="M985" s="52"/>
      <c r="N985" s="52"/>
      <c r="O985" s="52"/>
      <c r="P985" s="52"/>
      <c r="Q985" s="52"/>
      <c r="U985" s="52"/>
    </row>
    <row r="986">
      <c r="M986" s="52"/>
      <c r="N986" s="52"/>
      <c r="O986" s="52"/>
      <c r="P986" s="52"/>
      <c r="Q986" s="52"/>
      <c r="U986" s="52"/>
    </row>
    <row r="987">
      <c r="M987" s="52"/>
      <c r="N987" s="52"/>
      <c r="O987" s="52"/>
      <c r="P987" s="52"/>
      <c r="Q987" s="52"/>
      <c r="U987" s="52"/>
    </row>
    <row r="988">
      <c r="M988" s="52"/>
      <c r="N988" s="52"/>
      <c r="O988" s="52"/>
      <c r="P988" s="52"/>
      <c r="Q988" s="52"/>
      <c r="U988" s="52"/>
    </row>
    <row r="989">
      <c r="M989" s="52"/>
      <c r="N989" s="52"/>
      <c r="O989" s="52"/>
      <c r="P989" s="52"/>
      <c r="Q989" s="52"/>
      <c r="U989" s="52"/>
    </row>
    <row r="990">
      <c r="M990" s="52"/>
      <c r="N990" s="52"/>
      <c r="O990" s="52"/>
      <c r="P990" s="52"/>
      <c r="Q990" s="52"/>
      <c r="U990" s="52"/>
    </row>
    <row r="991">
      <c r="M991" s="52"/>
      <c r="N991" s="52"/>
      <c r="O991" s="52"/>
      <c r="P991" s="52"/>
      <c r="Q991" s="52"/>
      <c r="U991" s="52"/>
    </row>
    <row r="992">
      <c r="M992" s="52"/>
      <c r="N992" s="52"/>
      <c r="O992" s="52"/>
      <c r="P992" s="52"/>
      <c r="Q992" s="52"/>
      <c r="U992" s="52"/>
    </row>
    <row r="993">
      <c r="M993" s="52"/>
      <c r="N993" s="52"/>
      <c r="O993" s="52"/>
      <c r="P993" s="52"/>
      <c r="Q993" s="52"/>
      <c r="U993" s="52"/>
    </row>
    <row r="994">
      <c r="M994" s="52"/>
      <c r="N994" s="52"/>
      <c r="O994" s="52"/>
      <c r="P994" s="52"/>
      <c r="Q994" s="52"/>
      <c r="U994" s="52"/>
    </row>
    <row r="995">
      <c r="M995" s="52"/>
      <c r="N995" s="52"/>
      <c r="O995" s="52"/>
      <c r="P995" s="52"/>
      <c r="Q995" s="52"/>
      <c r="U995" s="52"/>
    </row>
    <row r="996">
      <c r="M996" s="52"/>
      <c r="N996" s="52"/>
      <c r="O996" s="52"/>
      <c r="P996" s="52"/>
      <c r="Q996" s="52"/>
      <c r="U996" s="52"/>
    </row>
    <row r="997">
      <c r="M997" s="52"/>
      <c r="N997" s="52"/>
      <c r="O997" s="52"/>
      <c r="P997" s="52"/>
      <c r="Q997" s="52"/>
      <c r="U997" s="52"/>
    </row>
    <row r="998">
      <c r="M998" s="52"/>
      <c r="N998" s="52"/>
      <c r="O998" s="52"/>
      <c r="P998" s="52"/>
      <c r="Q998" s="52"/>
      <c r="U998" s="52"/>
    </row>
    <row r="999">
      <c r="M999" s="52"/>
      <c r="N999" s="52"/>
      <c r="O999" s="52"/>
      <c r="P999" s="52"/>
      <c r="Q999" s="52"/>
      <c r="U999" s="52"/>
    </row>
    <row r="1000">
      <c r="M1000" s="52"/>
      <c r="N1000" s="52"/>
      <c r="O1000" s="52"/>
      <c r="P1000" s="52"/>
      <c r="Q1000" s="52"/>
      <c r="U1000" s="52"/>
    </row>
  </sheetData>
  <mergeCells count="7">
    <mergeCell ref="A1:A2"/>
    <mergeCell ref="B1:B2"/>
    <mergeCell ref="C1:G1"/>
    <mergeCell ref="H1:I1"/>
    <mergeCell ref="J1:J2"/>
    <mergeCell ref="K1:O1"/>
    <mergeCell ref="P1:U1"/>
  </mergeCells>
  <conditionalFormatting sqref="N3:N9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G3:G9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3:H9">
    <cfRule type="colorScale" priority="3">
      <colorScale>
        <cfvo type="formula" val="0"/>
        <cfvo type="max"/>
        <color rgb="FFFFFFFF"/>
        <color rgb="FF57BB8A"/>
      </colorScale>
    </cfRule>
  </conditionalFormatting>
  <conditionalFormatting sqref="I3:I9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J3:J9">
    <cfRule type="colorScale" priority="5">
      <colorScale>
        <cfvo type="formula" val="0"/>
        <cfvo type="max"/>
        <color rgb="FFFFFFFF"/>
        <color rgb="FF57BB8A"/>
      </colorScale>
    </cfRule>
  </conditionalFormatting>
  <conditionalFormatting sqref="K3:K9">
    <cfRule type="colorScale" priority="6">
      <colorScale>
        <cfvo type="formula" val="0"/>
        <cfvo type="max"/>
        <color rgb="FFFFFFFF"/>
        <color rgb="FF57BB8A"/>
      </colorScale>
    </cfRule>
  </conditionalFormatting>
  <conditionalFormatting sqref="L3:L9">
    <cfRule type="colorScale" priority="7">
      <colorScale>
        <cfvo type="formula" val="0"/>
        <cfvo type="max"/>
        <color rgb="FFFFFFFF"/>
        <color rgb="FFE67C73"/>
      </colorScale>
    </cfRule>
  </conditionalFormatting>
  <conditionalFormatting sqref="C3:C9">
    <cfRule type="colorScale" priority="8">
      <colorScale>
        <cfvo type="formula" val="0"/>
        <cfvo type="max"/>
        <color rgb="FFFFFFFF"/>
        <color rgb="FFFFD666"/>
      </colorScale>
    </cfRule>
  </conditionalFormatting>
  <conditionalFormatting sqref="D3:D9">
    <cfRule type="colorScale" priority="9">
      <colorScale>
        <cfvo type="formula" val="0"/>
        <cfvo type="max"/>
        <color rgb="FFFFFFFF"/>
        <color rgb="FF57BB8A"/>
      </colorScale>
    </cfRule>
  </conditionalFormatting>
  <conditionalFormatting sqref="E3:E9">
    <cfRule type="colorScale" priority="10">
      <colorScale>
        <cfvo type="formula" val="0"/>
        <cfvo type="max"/>
        <color rgb="FFFFFFFF"/>
        <color rgb="FFE67C73"/>
      </colorScale>
    </cfRule>
  </conditionalFormatting>
  <conditionalFormatting sqref="F3:F9">
    <cfRule type="colorScale" priority="11">
      <colorScale>
        <cfvo type="formula" val="0"/>
        <cfvo type="max"/>
        <color rgb="FFFFFFFF"/>
        <color rgb="FF57BB8A"/>
      </colorScale>
    </cfRule>
  </conditionalFormatting>
  <conditionalFormatting sqref="M3:M9">
    <cfRule type="colorScale" priority="12">
      <colorScale>
        <cfvo type="formula" val="0"/>
        <cfvo type="max"/>
        <color rgb="FFFFFFFF"/>
        <color rgb="FFFFD666"/>
      </colorScale>
    </cfRule>
  </conditionalFormatting>
  <conditionalFormatting sqref="O3:O9">
    <cfRule type="colorScale" priority="13">
      <colorScale>
        <cfvo type="formula" val="0"/>
        <cfvo type="formula" val="1"/>
        <color rgb="FFFFFFFF"/>
        <color rgb="FF57BB8A"/>
      </colorScale>
    </cfRule>
  </conditionalFormatting>
  <conditionalFormatting sqref="P3:P9">
    <cfRule type="colorScale" priority="14">
      <colorScale>
        <cfvo type="formula" val="0"/>
        <cfvo type="max"/>
        <color rgb="FFFFFFFF"/>
        <color rgb="FFFFD666"/>
      </colorScale>
    </cfRule>
  </conditionalFormatting>
  <conditionalFormatting sqref="U3:U9">
    <cfRule type="colorScale" priority="15">
      <colorScale>
        <cfvo type="formula" val="0"/>
        <cfvo type="formula" val="2"/>
        <cfvo type="formula" val="3"/>
        <color rgb="FFE67C73"/>
        <color rgb="FFFFFFFF"/>
        <color rgb="FF57BB8A"/>
      </colorScale>
    </cfRule>
  </conditionalFormatting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7.63"/>
    <col customWidth="1" min="4" max="4" width="5.63"/>
    <col customWidth="1" min="5" max="5" width="6.88"/>
    <col customWidth="1" min="6" max="6" width="8.38"/>
    <col customWidth="1" min="7" max="7" width="15.5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1" t="s">
        <v>4</v>
      </c>
      <c r="K1" s="6" t="s">
        <v>5</v>
      </c>
      <c r="L1" s="4"/>
      <c r="M1" s="4"/>
      <c r="N1" s="4"/>
      <c r="O1" s="5"/>
      <c r="P1" s="30" t="s">
        <v>6</v>
      </c>
      <c r="Q1" s="4"/>
      <c r="R1" s="4"/>
      <c r="S1" s="4"/>
      <c r="T1" s="4"/>
      <c r="U1" s="5"/>
    </row>
    <row r="2">
      <c r="A2" s="9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2" t="s">
        <v>13</v>
      </c>
      <c r="I2" s="12" t="s">
        <v>14</v>
      </c>
      <c r="J2" s="9"/>
      <c r="K2" s="10" t="s">
        <v>15</v>
      </c>
      <c r="L2" s="12" t="s">
        <v>10</v>
      </c>
      <c r="M2" s="10" t="s">
        <v>16</v>
      </c>
      <c r="N2" s="10" t="s">
        <v>12</v>
      </c>
      <c r="O2" s="10" t="s">
        <v>18</v>
      </c>
      <c r="P2" s="15" t="s">
        <v>8</v>
      </c>
      <c r="Q2" s="15">
        <v>0.0</v>
      </c>
      <c r="R2" s="15">
        <v>1.0</v>
      </c>
      <c r="S2" s="15">
        <v>2.0</v>
      </c>
      <c r="T2" s="15">
        <v>3.0</v>
      </c>
      <c r="U2" s="15" t="s">
        <v>19</v>
      </c>
    </row>
    <row r="3">
      <c r="A3" s="18" t="s">
        <v>21</v>
      </c>
      <c r="B3" s="18" t="s">
        <v>83</v>
      </c>
      <c r="C3" s="10">
        <v>4.0</v>
      </c>
      <c r="D3" s="10">
        <v>2.0</v>
      </c>
      <c r="E3" s="10">
        <v>1.0</v>
      </c>
      <c r="F3" s="35"/>
      <c r="G3" s="35">
        <f t="shared" ref="G3:G9" si="1">IFS(C3=0, "N/A", C3&lt;&gt;0,(D3-E3)/C3 )</f>
        <v>0.25</v>
      </c>
      <c r="H3" s="35"/>
      <c r="I3" s="10"/>
      <c r="J3" s="10">
        <v>3.0</v>
      </c>
      <c r="K3" s="35"/>
      <c r="L3" s="10"/>
      <c r="M3" s="10">
        <v>1.0</v>
      </c>
      <c r="N3" s="35">
        <f t="shared" ref="N3:N9" si="2">ifs(M3=0,"N/A",M3&lt;&gt;0,(M3-L3) /M3)</f>
        <v>1</v>
      </c>
      <c r="O3" s="35">
        <f t="shared" ref="O3:O9" si="3">IFS(M3=0, "N/A", M3&lt;&gt;0, K3/M3)</f>
        <v>0</v>
      </c>
      <c r="P3" s="10">
        <f t="shared" ref="P3:P9" si="4">sum(Q3,R3,S3,T3)</f>
        <v>3</v>
      </c>
      <c r="Q3" s="35"/>
      <c r="R3" s="10">
        <v>1.0</v>
      </c>
      <c r="S3" s="10">
        <v>1.0</v>
      </c>
      <c r="T3" s="10">
        <v>1.0</v>
      </c>
      <c r="U3" s="10">
        <f t="shared" ref="U3:U9" si="5">ifs(P3=0, "N/A",P3&lt;&gt;0,(R3 + S3*2 +T3*3)/P3)</f>
        <v>2</v>
      </c>
    </row>
    <row r="4">
      <c r="A4" s="21" t="s">
        <v>24</v>
      </c>
      <c r="B4" s="21" t="s">
        <v>42</v>
      </c>
      <c r="C4" s="10"/>
      <c r="D4" s="10">
        <v>1.0</v>
      </c>
      <c r="E4" s="10"/>
      <c r="F4" s="10">
        <v>9.0</v>
      </c>
      <c r="G4" s="35" t="str">
        <f t="shared" si="1"/>
        <v>N/A</v>
      </c>
      <c r="H4" s="10"/>
      <c r="I4" s="10">
        <v>1.0</v>
      </c>
      <c r="J4" s="10">
        <v>4.0</v>
      </c>
      <c r="K4" s="35"/>
      <c r="L4" s="10"/>
      <c r="M4" s="10">
        <v>3.0</v>
      </c>
      <c r="N4" s="35">
        <f t="shared" si="2"/>
        <v>1</v>
      </c>
      <c r="O4" s="35">
        <f t="shared" si="3"/>
        <v>0</v>
      </c>
      <c r="P4" s="10">
        <f t="shared" si="4"/>
        <v>0</v>
      </c>
      <c r="Q4" s="10"/>
      <c r="R4" s="35"/>
      <c r="S4" s="35"/>
      <c r="T4" s="35"/>
      <c r="U4" s="10" t="str">
        <f t="shared" si="5"/>
        <v>N/A</v>
      </c>
    </row>
    <row r="5">
      <c r="A5" s="22" t="s">
        <v>26</v>
      </c>
      <c r="B5" s="22" t="s">
        <v>41</v>
      </c>
      <c r="C5" s="10">
        <v>4.0</v>
      </c>
      <c r="D5" s="10"/>
      <c r="E5" s="10"/>
      <c r="F5" s="10"/>
      <c r="G5" s="35">
        <f t="shared" si="1"/>
        <v>0</v>
      </c>
      <c r="H5" s="10"/>
      <c r="I5" s="10">
        <v>2.0</v>
      </c>
      <c r="J5" s="10">
        <v>2.0</v>
      </c>
      <c r="K5" s="10">
        <v>1.0</v>
      </c>
      <c r="L5" s="35"/>
      <c r="M5" s="10">
        <v>6.0</v>
      </c>
      <c r="N5" s="35">
        <f t="shared" si="2"/>
        <v>1</v>
      </c>
      <c r="O5" s="35">
        <f t="shared" si="3"/>
        <v>0.1666666667</v>
      </c>
      <c r="P5" s="10">
        <f t="shared" si="4"/>
        <v>3</v>
      </c>
      <c r="Q5" s="10">
        <v>1.0</v>
      </c>
      <c r="R5" s="10">
        <v>2.0</v>
      </c>
      <c r="S5" s="35"/>
      <c r="T5" s="10"/>
      <c r="U5" s="10">
        <f t="shared" si="5"/>
        <v>0.6666666667</v>
      </c>
    </row>
    <row r="6">
      <c r="A6" s="23" t="s">
        <v>28</v>
      </c>
      <c r="B6" s="23" t="s">
        <v>43</v>
      </c>
      <c r="C6" s="10">
        <v>7.0</v>
      </c>
      <c r="D6" s="10">
        <v>2.0</v>
      </c>
      <c r="E6" s="10">
        <v>2.0</v>
      </c>
      <c r="F6" s="35"/>
      <c r="G6" s="35">
        <f t="shared" si="1"/>
        <v>0</v>
      </c>
      <c r="H6" s="35"/>
      <c r="I6" s="35"/>
      <c r="J6" s="10">
        <v>5.0</v>
      </c>
      <c r="K6" s="10"/>
      <c r="L6" s="10">
        <v>1.0</v>
      </c>
      <c r="M6" s="10">
        <v>1.0</v>
      </c>
      <c r="N6" s="35">
        <f t="shared" si="2"/>
        <v>0</v>
      </c>
      <c r="O6" s="35">
        <f t="shared" si="3"/>
        <v>0</v>
      </c>
      <c r="P6" s="10">
        <f t="shared" si="4"/>
        <v>7</v>
      </c>
      <c r="Q6" s="10">
        <v>1.0</v>
      </c>
      <c r="R6" s="10"/>
      <c r="S6" s="10">
        <v>2.0</v>
      </c>
      <c r="T6" s="10">
        <v>4.0</v>
      </c>
      <c r="U6" s="10">
        <f t="shared" si="5"/>
        <v>2.285714286</v>
      </c>
    </row>
    <row r="7">
      <c r="A7" s="24" t="s">
        <v>30</v>
      </c>
      <c r="B7" s="24" t="s">
        <v>84</v>
      </c>
      <c r="C7" s="10">
        <v>10.0</v>
      </c>
      <c r="D7" s="10">
        <v>3.0</v>
      </c>
      <c r="E7" s="10"/>
      <c r="F7" s="35"/>
      <c r="G7" s="35">
        <f t="shared" si="1"/>
        <v>0.3</v>
      </c>
      <c r="H7" s="10"/>
      <c r="I7" s="35"/>
      <c r="J7" s="10">
        <v>5.0</v>
      </c>
      <c r="K7" s="10">
        <v>2.0</v>
      </c>
      <c r="L7" s="10">
        <v>2.0</v>
      </c>
      <c r="M7" s="10">
        <v>7.0</v>
      </c>
      <c r="N7" s="35">
        <f t="shared" si="2"/>
        <v>0.7142857143</v>
      </c>
      <c r="O7" s="35">
        <f t="shared" si="3"/>
        <v>0.2857142857</v>
      </c>
      <c r="P7" s="10">
        <f t="shared" si="4"/>
        <v>4</v>
      </c>
      <c r="Q7" s="10">
        <v>1.0</v>
      </c>
      <c r="R7" s="10">
        <v>2.0</v>
      </c>
      <c r="S7" s="10"/>
      <c r="T7" s="10">
        <v>1.0</v>
      </c>
      <c r="U7" s="10">
        <f t="shared" si="5"/>
        <v>1.25</v>
      </c>
    </row>
    <row r="8">
      <c r="A8" s="25" t="s">
        <v>32</v>
      </c>
      <c r="B8" s="25" t="s">
        <v>45</v>
      </c>
      <c r="C8" s="10">
        <v>7.0</v>
      </c>
      <c r="D8" s="10">
        <v>2.0</v>
      </c>
      <c r="E8" s="10">
        <v>1.0</v>
      </c>
      <c r="F8" s="10">
        <v>1.0</v>
      </c>
      <c r="G8" s="35">
        <f t="shared" si="1"/>
        <v>0.1428571429</v>
      </c>
      <c r="H8" s="35"/>
      <c r="I8" s="10">
        <v>1.0</v>
      </c>
      <c r="J8" s="10">
        <v>4.0</v>
      </c>
      <c r="K8" s="35"/>
      <c r="L8" s="10">
        <v>1.0</v>
      </c>
      <c r="M8" s="10">
        <v>2.0</v>
      </c>
      <c r="N8" s="35">
        <f t="shared" si="2"/>
        <v>0.5</v>
      </c>
      <c r="O8" s="35">
        <f t="shared" si="3"/>
        <v>0</v>
      </c>
      <c r="P8" s="10">
        <f t="shared" si="4"/>
        <v>2</v>
      </c>
      <c r="Q8" s="10"/>
      <c r="R8" s="10">
        <v>1.0</v>
      </c>
      <c r="S8" s="35"/>
      <c r="T8" s="10">
        <v>1.0</v>
      </c>
      <c r="U8" s="10">
        <f t="shared" si="5"/>
        <v>2</v>
      </c>
    </row>
    <row r="9">
      <c r="A9" s="26" t="s">
        <v>34</v>
      </c>
      <c r="B9" s="26" t="s">
        <v>85</v>
      </c>
      <c r="C9" s="10">
        <v>9.0</v>
      </c>
      <c r="D9" s="10">
        <v>3.0</v>
      </c>
      <c r="E9" s="10">
        <v>1.0</v>
      </c>
      <c r="F9" s="35"/>
      <c r="G9" s="35">
        <f t="shared" si="1"/>
        <v>0.2222222222</v>
      </c>
      <c r="H9" s="35"/>
      <c r="I9" s="35"/>
      <c r="J9" s="10">
        <v>5.0</v>
      </c>
      <c r="K9" s="35"/>
      <c r="L9" s="10">
        <v>1.0</v>
      </c>
      <c r="M9" s="10">
        <v>4.0</v>
      </c>
      <c r="N9" s="35">
        <f t="shared" si="2"/>
        <v>0.75</v>
      </c>
      <c r="O9" s="35">
        <f t="shared" si="3"/>
        <v>0</v>
      </c>
      <c r="P9" s="10">
        <f t="shared" si="4"/>
        <v>3</v>
      </c>
      <c r="Q9" s="10">
        <v>2.0</v>
      </c>
      <c r="R9" s="10">
        <v>1.0</v>
      </c>
      <c r="S9" s="10"/>
      <c r="T9" s="35"/>
      <c r="U9" s="10">
        <f t="shared" si="5"/>
        <v>0.3333333333</v>
      </c>
    </row>
    <row r="10">
      <c r="M10" s="52"/>
      <c r="N10" s="52"/>
      <c r="O10" s="52"/>
      <c r="P10" s="52"/>
      <c r="Q10" s="52"/>
      <c r="U10" s="52"/>
    </row>
    <row r="11">
      <c r="M11" s="52"/>
      <c r="N11" s="52"/>
      <c r="O11" s="52"/>
      <c r="P11" s="52"/>
      <c r="Q11" s="52"/>
      <c r="U11" s="52"/>
    </row>
    <row r="12">
      <c r="M12" s="52"/>
      <c r="N12" s="52"/>
      <c r="O12" s="52"/>
      <c r="P12" s="52"/>
      <c r="Q12" s="52"/>
      <c r="U12" s="52"/>
    </row>
    <row r="13">
      <c r="M13" s="52"/>
      <c r="N13" s="52"/>
      <c r="O13" s="52"/>
      <c r="P13" s="52"/>
      <c r="Q13" s="52"/>
      <c r="U13" s="52"/>
    </row>
    <row r="14">
      <c r="M14" s="52"/>
      <c r="N14" s="52"/>
      <c r="O14" s="52"/>
      <c r="P14" s="52"/>
      <c r="Q14" s="52"/>
      <c r="U14" s="52"/>
    </row>
    <row r="15">
      <c r="M15" s="52"/>
      <c r="N15" s="52"/>
      <c r="O15" s="52"/>
      <c r="P15" s="52"/>
      <c r="Q15" s="52"/>
      <c r="U15" s="52"/>
    </row>
    <row r="16">
      <c r="M16" s="52"/>
      <c r="N16" s="52"/>
      <c r="O16" s="52"/>
      <c r="P16" s="52"/>
      <c r="Q16" s="52"/>
      <c r="U16" s="52"/>
    </row>
    <row r="17">
      <c r="M17" s="52"/>
      <c r="N17" s="52"/>
      <c r="O17" s="52"/>
      <c r="P17" s="52"/>
      <c r="Q17" s="52"/>
      <c r="U17" s="52"/>
    </row>
    <row r="18">
      <c r="M18" s="52"/>
      <c r="N18" s="52"/>
      <c r="O18" s="52"/>
      <c r="P18" s="52"/>
      <c r="Q18" s="52"/>
      <c r="U18" s="52"/>
    </row>
    <row r="19">
      <c r="M19" s="52"/>
      <c r="N19" s="52"/>
      <c r="O19" s="52"/>
      <c r="P19" s="52"/>
      <c r="Q19" s="52"/>
      <c r="U19" s="52"/>
    </row>
    <row r="20">
      <c r="M20" s="52"/>
      <c r="N20" s="52"/>
      <c r="O20" s="52"/>
      <c r="P20" s="52"/>
      <c r="Q20" s="52"/>
      <c r="U20" s="52"/>
    </row>
    <row r="21">
      <c r="M21" s="52"/>
      <c r="N21" s="52"/>
      <c r="O21" s="52"/>
      <c r="P21" s="52"/>
      <c r="Q21" s="52"/>
      <c r="U21" s="52"/>
    </row>
    <row r="22">
      <c r="M22" s="52"/>
      <c r="N22" s="52"/>
      <c r="O22" s="52"/>
      <c r="P22" s="52"/>
      <c r="Q22" s="52"/>
      <c r="U22" s="52"/>
    </row>
    <row r="23">
      <c r="M23" s="52"/>
      <c r="N23" s="52"/>
      <c r="O23" s="52"/>
      <c r="P23" s="52"/>
      <c r="Q23" s="52"/>
      <c r="U23" s="52"/>
    </row>
    <row r="24">
      <c r="M24" s="52"/>
      <c r="N24" s="52"/>
      <c r="O24" s="52"/>
      <c r="P24" s="52"/>
      <c r="Q24" s="52"/>
      <c r="U24" s="52"/>
    </row>
    <row r="25">
      <c r="M25" s="52"/>
      <c r="N25" s="52"/>
      <c r="O25" s="52"/>
      <c r="P25" s="52"/>
      <c r="Q25" s="52"/>
      <c r="U25" s="52"/>
    </row>
    <row r="26">
      <c r="M26" s="52"/>
      <c r="N26" s="52"/>
      <c r="O26" s="52"/>
      <c r="P26" s="52"/>
      <c r="Q26" s="52"/>
      <c r="U26" s="52"/>
    </row>
    <row r="27">
      <c r="M27" s="52"/>
      <c r="N27" s="52"/>
      <c r="O27" s="52"/>
      <c r="P27" s="52"/>
      <c r="Q27" s="52"/>
      <c r="U27" s="52"/>
    </row>
    <row r="28">
      <c r="M28" s="52"/>
      <c r="N28" s="52"/>
      <c r="O28" s="52"/>
      <c r="P28" s="52"/>
      <c r="Q28" s="52"/>
      <c r="U28" s="52"/>
    </row>
    <row r="29">
      <c r="M29" s="52"/>
      <c r="N29" s="52"/>
      <c r="O29" s="52"/>
      <c r="P29" s="52"/>
      <c r="Q29" s="52"/>
      <c r="U29" s="52"/>
    </row>
    <row r="30">
      <c r="M30" s="52"/>
      <c r="N30" s="52"/>
      <c r="O30" s="52"/>
      <c r="P30" s="52"/>
      <c r="Q30" s="52"/>
      <c r="U30" s="52"/>
    </row>
    <row r="31">
      <c r="M31" s="52"/>
      <c r="N31" s="52"/>
      <c r="O31" s="52"/>
      <c r="P31" s="52"/>
      <c r="Q31" s="52"/>
      <c r="U31" s="52"/>
    </row>
    <row r="32">
      <c r="M32" s="52"/>
      <c r="N32" s="52"/>
      <c r="O32" s="52"/>
      <c r="P32" s="52"/>
      <c r="Q32" s="52"/>
      <c r="U32" s="52"/>
    </row>
    <row r="33">
      <c r="M33" s="52"/>
      <c r="N33" s="52"/>
      <c r="O33" s="52"/>
      <c r="P33" s="52"/>
      <c r="Q33" s="52"/>
      <c r="U33" s="52"/>
    </row>
    <row r="34">
      <c r="M34" s="52"/>
      <c r="N34" s="52"/>
      <c r="O34" s="52"/>
      <c r="P34" s="52"/>
      <c r="Q34" s="52"/>
      <c r="U34" s="52"/>
    </row>
    <row r="35">
      <c r="M35" s="52"/>
      <c r="N35" s="52"/>
      <c r="O35" s="52"/>
      <c r="P35" s="52"/>
      <c r="Q35" s="52"/>
      <c r="U35" s="52"/>
    </row>
    <row r="36">
      <c r="M36" s="52"/>
      <c r="N36" s="52"/>
      <c r="O36" s="52"/>
      <c r="P36" s="52"/>
      <c r="Q36" s="52"/>
      <c r="U36" s="52"/>
    </row>
    <row r="37">
      <c r="M37" s="52"/>
      <c r="N37" s="52"/>
      <c r="O37" s="52"/>
      <c r="P37" s="52"/>
      <c r="Q37" s="52"/>
      <c r="U37" s="52"/>
    </row>
    <row r="38">
      <c r="M38" s="52"/>
      <c r="N38" s="52"/>
      <c r="O38" s="52"/>
      <c r="P38" s="52"/>
      <c r="Q38" s="52"/>
      <c r="U38" s="52"/>
    </row>
    <row r="39">
      <c r="M39" s="52"/>
      <c r="N39" s="52"/>
      <c r="O39" s="52"/>
      <c r="P39" s="52"/>
      <c r="Q39" s="52"/>
      <c r="U39" s="52"/>
    </row>
    <row r="40">
      <c r="M40" s="52"/>
      <c r="N40" s="52"/>
      <c r="O40" s="52"/>
      <c r="P40" s="52"/>
      <c r="Q40" s="52"/>
      <c r="U40" s="52"/>
    </row>
    <row r="41">
      <c r="M41" s="52"/>
      <c r="N41" s="52"/>
      <c r="O41" s="52"/>
      <c r="P41" s="52"/>
      <c r="Q41" s="52"/>
      <c r="U41" s="52"/>
    </row>
    <row r="42">
      <c r="M42" s="52"/>
      <c r="N42" s="52"/>
      <c r="O42" s="52"/>
      <c r="P42" s="52"/>
      <c r="Q42" s="52"/>
      <c r="U42" s="52"/>
    </row>
    <row r="43">
      <c r="M43" s="52"/>
      <c r="N43" s="52"/>
      <c r="O43" s="52"/>
      <c r="P43" s="52"/>
      <c r="Q43" s="52"/>
      <c r="U43" s="52"/>
    </row>
    <row r="44">
      <c r="M44" s="52"/>
      <c r="N44" s="52"/>
      <c r="O44" s="52"/>
      <c r="P44" s="52"/>
      <c r="Q44" s="52"/>
      <c r="U44" s="52"/>
    </row>
    <row r="45">
      <c r="M45" s="52"/>
      <c r="N45" s="52"/>
      <c r="O45" s="52"/>
      <c r="P45" s="52"/>
      <c r="Q45" s="52"/>
      <c r="U45" s="52"/>
    </row>
    <row r="46">
      <c r="M46" s="52"/>
      <c r="N46" s="52"/>
      <c r="O46" s="52"/>
      <c r="P46" s="52"/>
      <c r="Q46" s="52"/>
      <c r="U46" s="52"/>
    </row>
    <row r="47">
      <c r="M47" s="52"/>
      <c r="N47" s="52"/>
      <c r="O47" s="52"/>
      <c r="P47" s="52"/>
      <c r="Q47" s="52"/>
      <c r="U47" s="52"/>
    </row>
    <row r="48">
      <c r="M48" s="52"/>
      <c r="N48" s="52"/>
      <c r="O48" s="52"/>
      <c r="P48" s="52"/>
      <c r="Q48" s="52"/>
      <c r="U48" s="52"/>
    </row>
    <row r="49">
      <c r="M49" s="52"/>
      <c r="N49" s="52"/>
      <c r="O49" s="52"/>
      <c r="P49" s="52"/>
      <c r="Q49" s="52"/>
      <c r="U49" s="52"/>
    </row>
    <row r="50">
      <c r="M50" s="52"/>
      <c r="N50" s="52"/>
      <c r="O50" s="52"/>
      <c r="P50" s="52"/>
      <c r="Q50" s="52"/>
      <c r="U50" s="52"/>
    </row>
    <row r="51">
      <c r="M51" s="52"/>
      <c r="N51" s="52"/>
      <c r="O51" s="52"/>
      <c r="P51" s="52"/>
      <c r="Q51" s="52"/>
      <c r="U51" s="52"/>
    </row>
    <row r="52">
      <c r="M52" s="52"/>
      <c r="N52" s="52"/>
      <c r="O52" s="52"/>
      <c r="P52" s="52"/>
      <c r="Q52" s="52"/>
      <c r="U52" s="52"/>
    </row>
    <row r="53">
      <c r="M53" s="52"/>
      <c r="N53" s="52"/>
      <c r="O53" s="52"/>
      <c r="P53" s="52"/>
      <c r="Q53" s="52"/>
      <c r="U53" s="52"/>
    </row>
    <row r="54">
      <c r="M54" s="52"/>
      <c r="N54" s="52"/>
      <c r="O54" s="52"/>
      <c r="P54" s="52"/>
      <c r="Q54" s="52"/>
      <c r="U54" s="52"/>
    </row>
    <row r="55">
      <c r="M55" s="52"/>
      <c r="N55" s="52"/>
      <c r="O55" s="52"/>
      <c r="P55" s="52"/>
      <c r="Q55" s="52"/>
      <c r="U55" s="52"/>
    </row>
    <row r="56">
      <c r="M56" s="52"/>
      <c r="N56" s="52"/>
      <c r="O56" s="52"/>
      <c r="P56" s="52"/>
      <c r="Q56" s="52"/>
      <c r="U56" s="52"/>
    </row>
    <row r="57">
      <c r="M57" s="52"/>
      <c r="N57" s="52"/>
      <c r="O57" s="52"/>
      <c r="P57" s="52"/>
      <c r="Q57" s="52"/>
      <c r="U57" s="52"/>
    </row>
    <row r="58">
      <c r="M58" s="52"/>
      <c r="N58" s="52"/>
      <c r="O58" s="52"/>
      <c r="P58" s="52"/>
      <c r="Q58" s="52"/>
      <c r="U58" s="52"/>
    </row>
    <row r="59">
      <c r="M59" s="52"/>
      <c r="N59" s="52"/>
      <c r="O59" s="52"/>
      <c r="P59" s="52"/>
      <c r="Q59" s="52"/>
      <c r="U59" s="52"/>
    </row>
    <row r="60">
      <c r="M60" s="52"/>
      <c r="N60" s="52"/>
      <c r="O60" s="52"/>
      <c r="P60" s="52"/>
      <c r="Q60" s="52"/>
      <c r="U60" s="52"/>
    </row>
    <row r="61">
      <c r="M61" s="52"/>
      <c r="N61" s="52"/>
      <c r="O61" s="52"/>
      <c r="P61" s="52"/>
      <c r="Q61" s="52"/>
      <c r="U61" s="52"/>
    </row>
    <row r="62">
      <c r="M62" s="52"/>
      <c r="N62" s="52"/>
      <c r="O62" s="52"/>
      <c r="P62" s="52"/>
      <c r="Q62" s="52"/>
      <c r="U62" s="52"/>
    </row>
    <row r="63">
      <c r="M63" s="52"/>
      <c r="N63" s="52"/>
      <c r="O63" s="52"/>
      <c r="P63" s="52"/>
      <c r="Q63" s="52"/>
      <c r="U63" s="52"/>
    </row>
    <row r="64">
      <c r="M64" s="52"/>
      <c r="N64" s="52"/>
      <c r="O64" s="52"/>
      <c r="P64" s="52"/>
      <c r="Q64" s="52"/>
      <c r="U64" s="52"/>
    </row>
    <row r="65">
      <c r="M65" s="52"/>
      <c r="N65" s="52"/>
      <c r="O65" s="52"/>
      <c r="P65" s="52"/>
      <c r="Q65" s="52"/>
      <c r="U65" s="52"/>
    </row>
    <row r="66">
      <c r="M66" s="52"/>
      <c r="N66" s="52"/>
      <c r="O66" s="52"/>
      <c r="P66" s="52"/>
      <c r="Q66" s="52"/>
      <c r="U66" s="52"/>
    </row>
    <row r="67">
      <c r="M67" s="52"/>
      <c r="N67" s="52"/>
      <c r="O67" s="52"/>
      <c r="P67" s="52"/>
      <c r="Q67" s="52"/>
      <c r="U67" s="52"/>
    </row>
    <row r="68">
      <c r="M68" s="52"/>
      <c r="N68" s="52"/>
      <c r="O68" s="52"/>
      <c r="P68" s="52"/>
      <c r="Q68" s="52"/>
      <c r="U68" s="52"/>
    </row>
    <row r="69">
      <c r="M69" s="52"/>
      <c r="N69" s="52"/>
      <c r="O69" s="52"/>
      <c r="P69" s="52"/>
      <c r="Q69" s="52"/>
      <c r="U69" s="52"/>
    </row>
    <row r="70">
      <c r="M70" s="52"/>
      <c r="N70" s="52"/>
      <c r="O70" s="52"/>
      <c r="P70" s="52"/>
      <c r="Q70" s="52"/>
      <c r="U70" s="52"/>
    </row>
    <row r="71">
      <c r="M71" s="52"/>
      <c r="N71" s="52"/>
      <c r="O71" s="52"/>
      <c r="P71" s="52"/>
      <c r="Q71" s="52"/>
      <c r="U71" s="52"/>
    </row>
    <row r="72">
      <c r="M72" s="52"/>
      <c r="N72" s="52"/>
      <c r="O72" s="52"/>
      <c r="P72" s="52"/>
      <c r="Q72" s="52"/>
      <c r="U72" s="52"/>
    </row>
    <row r="73">
      <c r="M73" s="52"/>
      <c r="N73" s="52"/>
      <c r="O73" s="52"/>
      <c r="P73" s="52"/>
      <c r="Q73" s="52"/>
      <c r="U73" s="52"/>
    </row>
    <row r="74">
      <c r="M74" s="52"/>
      <c r="N74" s="52"/>
      <c r="O74" s="52"/>
      <c r="P74" s="52"/>
      <c r="Q74" s="52"/>
      <c r="U74" s="52"/>
    </row>
    <row r="75">
      <c r="M75" s="52"/>
      <c r="N75" s="52"/>
      <c r="O75" s="52"/>
      <c r="P75" s="52"/>
      <c r="Q75" s="52"/>
      <c r="U75" s="52"/>
    </row>
    <row r="76">
      <c r="M76" s="52"/>
      <c r="N76" s="52"/>
      <c r="O76" s="52"/>
      <c r="P76" s="52"/>
      <c r="Q76" s="52"/>
      <c r="U76" s="52"/>
    </row>
    <row r="77">
      <c r="M77" s="52"/>
      <c r="N77" s="52"/>
      <c r="O77" s="52"/>
      <c r="P77" s="52"/>
      <c r="Q77" s="52"/>
      <c r="U77" s="52"/>
    </row>
    <row r="78">
      <c r="M78" s="52"/>
      <c r="N78" s="52"/>
      <c r="O78" s="52"/>
      <c r="P78" s="52"/>
      <c r="Q78" s="52"/>
      <c r="U78" s="52"/>
    </row>
    <row r="79">
      <c r="M79" s="52"/>
      <c r="N79" s="52"/>
      <c r="O79" s="52"/>
      <c r="P79" s="52"/>
      <c r="Q79" s="52"/>
      <c r="U79" s="52"/>
    </row>
    <row r="80">
      <c r="M80" s="52"/>
      <c r="N80" s="52"/>
      <c r="O80" s="52"/>
      <c r="P80" s="52"/>
      <c r="Q80" s="52"/>
      <c r="U80" s="52"/>
    </row>
    <row r="81">
      <c r="M81" s="52"/>
      <c r="N81" s="52"/>
      <c r="O81" s="52"/>
      <c r="P81" s="52"/>
      <c r="Q81" s="52"/>
      <c r="U81" s="52"/>
    </row>
    <row r="82">
      <c r="M82" s="52"/>
      <c r="N82" s="52"/>
      <c r="O82" s="52"/>
      <c r="P82" s="52"/>
      <c r="Q82" s="52"/>
      <c r="U82" s="52"/>
    </row>
    <row r="83">
      <c r="M83" s="52"/>
      <c r="N83" s="52"/>
      <c r="O83" s="52"/>
      <c r="P83" s="52"/>
      <c r="Q83" s="52"/>
      <c r="U83" s="52"/>
    </row>
    <row r="84">
      <c r="M84" s="52"/>
      <c r="N84" s="52"/>
      <c r="O84" s="52"/>
      <c r="P84" s="52"/>
      <c r="Q84" s="52"/>
      <c r="U84" s="52"/>
    </row>
    <row r="85">
      <c r="M85" s="52"/>
      <c r="N85" s="52"/>
      <c r="O85" s="52"/>
      <c r="P85" s="52"/>
      <c r="Q85" s="52"/>
      <c r="U85" s="52"/>
    </row>
    <row r="86">
      <c r="M86" s="52"/>
      <c r="N86" s="52"/>
      <c r="O86" s="52"/>
      <c r="P86" s="52"/>
      <c r="Q86" s="52"/>
      <c r="U86" s="52"/>
    </row>
    <row r="87">
      <c r="M87" s="52"/>
      <c r="N87" s="52"/>
      <c r="O87" s="52"/>
      <c r="P87" s="52"/>
      <c r="Q87" s="52"/>
      <c r="U87" s="52"/>
    </row>
    <row r="88">
      <c r="M88" s="52"/>
      <c r="N88" s="52"/>
      <c r="O88" s="52"/>
      <c r="P88" s="52"/>
      <c r="Q88" s="52"/>
      <c r="U88" s="52"/>
    </row>
    <row r="89">
      <c r="M89" s="52"/>
      <c r="N89" s="52"/>
      <c r="O89" s="52"/>
      <c r="P89" s="52"/>
      <c r="Q89" s="52"/>
      <c r="U89" s="52"/>
    </row>
    <row r="90">
      <c r="M90" s="52"/>
      <c r="N90" s="52"/>
      <c r="O90" s="52"/>
      <c r="P90" s="52"/>
      <c r="Q90" s="52"/>
      <c r="U90" s="52"/>
    </row>
    <row r="91">
      <c r="M91" s="52"/>
      <c r="N91" s="52"/>
      <c r="O91" s="52"/>
      <c r="P91" s="52"/>
      <c r="Q91" s="52"/>
      <c r="U91" s="52"/>
    </row>
    <row r="92">
      <c r="M92" s="52"/>
      <c r="N92" s="52"/>
      <c r="O92" s="52"/>
      <c r="P92" s="52"/>
      <c r="Q92" s="52"/>
      <c r="U92" s="52"/>
    </row>
    <row r="93">
      <c r="M93" s="52"/>
      <c r="N93" s="52"/>
      <c r="O93" s="52"/>
      <c r="P93" s="52"/>
      <c r="Q93" s="52"/>
      <c r="U93" s="52"/>
    </row>
    <row r="94">
      <c r="M94" s="52"/>
      <c r="N94" s="52"/>
      <c r="O94" s="52"/>
      <c r="P94" s="52"/>
      <c r="Q94" s="52"/>
      <c r="U94" s="52"/>
    </row>
    <row r="95">
      <c r="M95" s="52"/>
      <c r="N95" s="52"/>
      <c r="O95" s="52"/>
      <c r="P95" s="52"/>
      <c r="Q95" s="52"/>
      <c r="U95" s="52"/>
    </row>
    <row r="96">
      <c r="M96" s="52"/>
      <c r="N96" s="52"/>
      <c r="O96" s="52"/>
      <c r="P96" s="52"/>
      <c r="Q96" s="52"/>
      <c r="U96" s="52"/>
    </row>
    <row r="97">
      <c r="M97" s="52"/>
      <c r="N97" s="52"/>
      <c r="O97" s="52"/>
      <c r="P97" s="52"/>
      <c r="Q97" s="52"/>
      <c r="U97" s="52"/>
    </row>
    <row r="98">
      <c r="M98" s="52"/>
      <c r="N98" s="52"/>
      <c r="O98" s="52"/>
      <c r="P98" s="52"/>
      <c r="Q98" s="52"/>
      <c r="U98" s="52"/>
    </row>
    <row r="99">
      <c r="M99" s="52"/>
      <c r="N99" s="52"/>
      <c r="O99" s="52"/>
      <c r="P99" s="52"/>
      <c r="Q99" s="52"/>
      <c r="U99" s="52"/>
    </row>
    <row r="100">
      <c r="M100" s="52"/>
      <c r="N100" s="52"/>
      <c r="O100" s="52"/>
      <c r="P100" s="52"/>
      <c r="Q100" s="52"/>
      <c r="U100" s="52"/>
    </row>
    <row r="101">
      <c r="M101" s="52"/>
      <c r="N101" s="52"/>
      <c r="O101" s="52"/>
      <c r="P101" s="52"/>
      <c r="Q101" s="52"/>
      <c r="U101" s="52"/>
    </row>
    <row r="102">
      <c r="M102" s="52"/>
      <c r="N102" s="52"/>
      <c r="O102" s="52"/>
      <c r="P102" s="52"/>
      <c r="Q102" s="52"/>
      <c r="U102" s="52"/>
    </row>
    <row r="103">
      <c r="M103" s="52"/>
      <c r="N103" s="52"/>
      <c r="O103" s="52"/>
      <c r="P103" s="52"/>
      <c r="Q103" s="52"/>
      <c r="U103" s="52"/>
    </row>
    <row r="104">
      <c r="M104" s="52"/>
      <c r="N104" s="52"/>
      <c r="O104" s="52"/>
      <c r="P104" s="52"/>
      <c r="Q104" s="52"/>
      <c r="U104" s="52"/>
    </row>
    <row r="105">
      <c r="M105" s="52"/>
      <c r="N105" s="52"/>
      <c r="O105" s="52"/>
      <c r="P105" s="52"/>
      <c r="Q105" s="52"/>
      <c r="U105" s="52"/>
    </row>
    <row r="106">
      <c r="M106" s="52"/>
      <c r="N106" s="52"/>
      <c r="O106" s="52"/>
      <c r="P106" s="52"/>
      <c r="Q106" s="52"/>
      <c r="U106" s="52"/>
    </row>
    <row r="107">
      <c r="M107" s="52"/>
      <c r="N107" s="52"/>
      <c r="O107" s="52"/>
      <c r="P107" s="52"/>
      <c r="Q107" s="52"/>
      <c r="U107" s="52"/>
    </row>
    <row r="108">
      <c r="M108" s="52"/>
      <c r="N108" s="52"/>
      <c r="O108" s="52"/>
      <c r="P108" s="52"/>
      <c r="Q108" s="52"/>
      <c r="U108" s="52"/>
    </row>
    <row r="109">
      <c r="M109" s="52"/>
      <c r="N109" s="52"/>
      <c r="O109" s="52"/>
      <c r="P109" s="52"/>
      <c r="Q109" s="52"/>
      <c r="U109" s="52"/>
    </row>
    <row r="110">
      <c r="M110" s="52"/>
      <c r="N110" s="52"/>
      <c r="O110" s="52"/>
      <c r="P110" s="52"/>
      <c r="Q110" s="52"/>
      <c r="U110" s="52"/>
    </row>
    <row r="111">
      <c r="M111" s="52"/>
      <c r="N111" s="52"/>
      <c r="O111" s="52"/>
      <c r="P111" s="52"/>
      <c r="Q111" s="52"/>
      <c r="U111" s="52"/>
    </row>
    <row r="112">
      <c r="M112" s="52"/>
      <c r="N112" s="52"/>
      <c r="O112" s="52"/>
      <c r="P112" s="52"/>
      <c r="Q112" s="52"/>
      <c r="U112" s="52"/>
    </row>
    <row r="113">
      <c r="M113" s="52"/>
      <c r="N113" s="52"/>
      <c r="O113" s="52"/>
      <c r="P113" s="52"/>
      <c r="Q113" s="52"/>
      <c r="U113" s="52"/>
    </row>
    <row r="114">
      <c r="M114" s="52"/>
      <c r="N114" s="52"/>
      <c r="O114" s="52"/>
      <c r="P114" s="52"/>
      <c r="Q114" s="52"/>
      <c r="U114" s="52"/>
    </row>
    <row r="115">
      <c r="M115" s="52"/>
      <c r="N115" s="52"/>
      <c r="O115" s="52"/>
      <c r="P115" s="52"/>
      <c r="Q115" s="52"/>
      <c r="U115" s="52"/>
    </row>
    <row r="116">
      <c r="M116" s="52"/>
      <c r="N116" s="52"/>
      <c r="O116" s="52"/>
      <c r="P116" s="52"/>
      <c r="Q116" s="52"/>
      <c r="U116" s="52"/>
    </row>
    <row r="117">
      <c r="M117" s="52"/>
      <c r="N117" s="52"/>
      <c r="O117" s="52"/>
      <c r="P117" s="52"/>
      <c r="Q117" s="52"/>
      <c r="U117" s="52"/>
    </row>
    <row r="118">
      <c r="M118" s="52"/>
      <c r="N118" s="52"/>
      <c r="O118" s="52"/>
      <c r="P118" s="52"/>
      <c r="Q118" s="52"/>
      <c r="U118" s="52"/>
    </row>
    <row r="119">
      <c r="M119" s="52"/>
      <c r="N119" s="52"/>
      <c r="O119" s="52"/>
      <c r="P119" s="52"/>
      <c r="Q119" s="52"/>
      <c r="U119" s="52"/>
    </row>
    <row r="120">
      <c r="M120" s="52"/>
      <c r="N120" s="52"/>
      <c r="O120" s="52"/>
      <c r="P120" s="52"/>
      <c r="Q120" s="52"/>
      <c r="U120" s="52"/>
    </row>
    <row r="121">
      <c r="M121" s="52"/>
      <c r="N121" s="52"/>
      <c r="O121" s="52"/>
      <c r="P121" s="52"/>
      <c r="Q121" s="52"/>
      <c r="U121" s="52"/>
    </row>
    <row r="122">
      <c r="M122" s="52"/>
      <c r="N122" s="52"/>
      <c r="O122" s="52"/>
      <c r="P122" s="52"/>
      <c r="Q122" s="52"/>
      <c r="U122" s="52"/>
    </row>
    <row r="123">
      <c r="M123" s="52"/>
      <c r="N123" s="52"/>
      <c r="O123" s="52"/>
      <c r="P123" s="52"/>
      <c r="Q123" s="52"/>
      <c r="U123" s="52"/>
    </row>
    <row r="124">
      <c r="M124" s="52"/>
      <c r="N124" s="52"/>
      <c r="O124" s="52"/>
      <c r="P124" s="52"/>
      <c r="Q124" s="52"/>
      <c r="U124" s="52"/>
    </row>
    <row r="125">
      <c r="M125" s="52"/>
      <c r="N125" s="52"/>
      <c r="O125" s="52"/>
      <c r="P125" s="52"/>
      <c r="Q125" s="52"/>
      <c r="U125" s="52"/>
    </row>
    <row r="126">
      <c r="M126" s="52"/>
      <c r="N126" s="52"/>
      <c r="O126" s="52"/>
      <c r="P126" s="52"/>
      <c r="Q126" s="52"/>
      <c r="U126" s="52"/>
    </row>
    <row r="127">
      <c r="M127" s="52"/>
      <c r="N127" s="52"/>
      <c r="O127" s="52"/>
      <c r="P127" s="52"/>
      <c r="Q127" s="52"/>
      <c r="U127" s="52"/>
    </row>
    <row r="128">
      <c r="M128" s="52"/>
      <c r="N128" s="52"/>
      <c r="O128" s="52"/>
      <c r="P128" s="52"/>
      <c r="Q128" s="52"/>
      <c r="U128" s="52"/>
    </row>
    <row r="129">
      <c r="M129" s="52"/>
      <c r="N129" s="52"/>
      <c r="O129" s="52"/>
      <c r="P129" s="52"/>
      <c r="Q129" s="52"/>
      <c r="U129" s="52"/>
    </row>
    <row r="130">
      <c r="M130" s="52"/>
      <c r="N130" s="52"/>
      <c r="O130" s="52"/>
      <c r="P130" s="52"/>
      <c r="Q130" s="52"/>
      <c r="U130" s="52"/>
    </row>
    <row r="131">
      <c r="M131" s="52"/>
      <c r="N131" s="52"/>
      <c r="O131" s="52"/>
      <c r="P131" s="52"/>
      <c r="Q131" s="52"/>
      <c r="U131" s="52"/>
    </row>
    <row r="132">
      <c r="M132" s="52"/>
      <c r="N132" s="52"/>
      <c r="O132" s="52"/>
      <c r="P132" s="52"/>
      <c r="Q132" s="52"/>
      <c r="U132" s="52"/>
    </row>
    <row r="133">
      <c r="M133" s="52"/>
      <c r="N133" s="52"/>
      <c r="O133" s="52"/>
      <c r="P133" s="52"/>
      <c r="Q133" s="52"/>
      <c r="U133" s="52"/>
    </row>
    <row r="134">
      <c r="M134" s="52"/>
      <c r="N134" s="52"/>
      <c r="O134" s="52"/>
      <c r="P134" s="52"/>
      <c r="Q134" s="52"/>
      <c r="U134" s="52"/>
    </row>
    <row r="135">
      <c r="M135" s="52"/>
      <c r="N135" s="52"/>
      <c r="O135" s="52"/>
      <c r="P135" s="52"/>
      <c r="Q135" s="52"/>
      <c r="U135" s="52"/>
    </row>
    <row r="136">
      <c r="M136" s="52"/>
      <c r="N136" s="52"/>
      <c r="O136" s="52"/>
      <c r="P136" s="52"/>
      <c r="Q136" s="52"/>
      <c r="U136" s="52"/>
    </row>
    <row r="137">
      <c r="M137" s="52"/>
      <c r="N137" s="52"/>
      <c r="O137" s="52"/>
      <c r="P137" s="52"/>
      <c r="Q137" s="52"/>
      <c r="U137" s="52"/>
    </row>
    <row r="138">
      <c r="M138" s="52"/>
      <c r="N138" s="52"/>
      <c r="O138" s="52"/>
      <c r="P138" s="52"/>
      <c r="Q138" s="52"/>
      <c r="U138" s="52"/>
    </row>
    <row r="139">
      <c r="M139" s="52"/>
      <c r="N139" s="52"/>
      <c r="O139" s="52"/>
      <c r="P139" s="52"/>
      <c r="Q139" s="52"/>
      <c r="U139" s="52"/>
    </row>
    <row r="140">
      <c r="M140" s="52"/>
      <c r="N140" s="52"/>
      <c r="O140" s="52"/>
      <c r="P140" s="52"/>
      <c r="Q140" s="52"/>
      <c r="U140" s="52"/>
    </row>
    <row r="141">
      <c r="M141" s="52"/>
      <c r="N141" s="52"/>
      <c r="O141" s="52"/>
      <c r="P141" s="52"/>
      <c r="Q141" s="52"/>
      <c r="U141" s="52"/>
    </row>
    <row r="142">
      <c r="M142" s="52"/>
      <c r="N142" s="52"/>
      <c r="O142" s="52"/>
      <c r="P142" s="52"/>
      <c r="Q142" s="52"/>
      <c r="U142" s="52"/>
    </row>
    <row r="143">
      <c r="M143" s="52"/>
      <c r="N143" s="52"/>
      <c r="O143" s="52"/>
      <c r="P143" s="52"/>
      <c r="Q143" s="52"/>
      <c r="U143" s="52"/>
    </row>
    <row r="144">
      <c r="M144" s="52"/>
      <c r="N144" s="52"/>
      <c r="O144" s="52"/>
      <c r="P144" s="52"/>
      <c r="Q144" s="52"/>
      <c r="U144" s="52"/>
    </row>
    <row r="145">
      <c r="M145" s="52"/>
      <c r="N145" s="52"/>
      <c r="O145" s="52"/>
      <c r="P145" s="52"/>
      <c r="Q145" s="52"/>
      <c r="U145" s="52"/>
    </row>
    <row r="146">
      <c r="M146" s="52"/>
      <c r="N146" s="52"/>
      <c r="O146" s="52"/>
      <c r="P146" s="52"/>
      <c r="Q146" s="52"/>
      <c r="U146" s="52"/>
    </row>
    <row r="147">
      <c r="M147" s="52"/>
      <c r="N147" s="52"/>
      <c r="O147" s="52"/>
      <c r="P147" s="52"/>
      <c r="Q147" s="52"/>
      <c r="U147" s="52"/>
    </row>
    <row r="148">
      <c r="M148" s="52"/>
      <c r="N148" s="52"/>
      <c r="O148" s="52"/>
      <c r="P148" s="52"/>
      <c r="Q148" s="52"/>
      <c r="U148" s="52"/>
    </row>
    <row r="149">
      <c r="M149" s="52"/>
      <c r="N149" s="52"/>
      <c r="O149" s="52"/>
      <c r="P149" s="52"/>
      <c r="Q149" s="52"/>
      <c r="U149" s="52"/>
    </row>
    <row r="150">
      <c r="M150" s="52"/>
      <c r="N150" s="52"/>
      <c r="O150" s="52"/>
      <c r="P150" s="52"/>
      <c r="Q150" s="52"/>
      <c r="U150" s="52"/>
    </row>
    <row r="151">
      <c r="M151" s="52"/>
      <c r="N151" s="52"/>
      <c r="O151" s="52"/>
      <c r="P151" s="52"/>
      <c r="Q151" s="52"/>
      <c r="U151" s="52"/>
    </row>
    <row r="152">
      <c r="M152" s="52"/>
      <c r="N152" s="52"/>
      <c r="O152" s="52"/>
      <c r="P152" s="52"/>
      <c r="Q152" s="52"/>
      <c r="U152" s="52"/>
    </row>
    <row r="153">
      <c r="M153" s="52"/>
      <c r="N153" s="52"/>
      <c r="O153" s="52"/>
      <c r="P153" s="52"/>
      <c r="Q153" s="52"/>
      <c r="U153" s="52"/>
    </row>
    <row r="154">
      <c r="M154" s="52"/>
      <c r="N154" s="52"/>
      <c r="O154" s="52"/>
      <c r="P154" s="52"/>
      <c r="Q154" s="52"/>
      <c r="U154" s="52"/>
    </row>
    <row r="155">
      <c r="M155" s="52"/>
      <c r="N155" s="52"/>
      <c r="O155" s="52"/>
      <c r="P155" s="52"/>
      <c r="Q155" s="52"/>
      <c r="U155" s="52"/>
    </row>
    <row r="156">
      <c r="M156" s="52"/>
      <c r="N156" s="52"/>
      <c r="O156" s="52"/>
      <c r="P156" s="52"/>
      <c r="Q156" s="52"/>
      <c r="U156" s="52"/>
    </row>
    <row r="157">
      <c r="M157" s="52"/>
      <c r="N157" s="52"/>
      <c r="O157" s="52"/>
      <c r="P157" s="52"/>
      <c r="Q157" s="52"/>
      <c r="U157" s="52"/>
    </row>
    <row r="158">
      <c r="M158" s="52"/>
      <c r="N158" s="52"/>
      <c r="O158" s="52"/>
      <c r="P158" s="52"/>
      <c r="Q158" s="52"/>
      <c r="U158" s="52"/>
    </row>
    <row r="159">
      <c r="M159" s="52"/>
      <c r="N159" s="52"/>
      <c r="O159" s="52"/>
      <c r="P159" s="52"/>
      <c r="Q159" s="52"/>
      <c r="U159" s="52"/>
    </row>
    <row r="160">
      <c r="M160" s="52"/>
      <c r="N160" s="52"/>
      <c r="O160" s="52"/>
      <c r="P160" s="52"/>
      <c r="Q160" s="52"/>
      <c r="U160" s="52"/>
    </row>
    <row r="161">
      <c r="M161" s="52"/>
      <c r="N161" s="52"/>
      <c r="O161" s="52"/>
      <c r="P161" s="52"/>
      <c r="Q161" s="52"/>
      <c r="U161" s="52"/>
    </row>
    <row r="162">
      <c r="M162" s="52"/>
      <c r="N162" s="52"/>
      <c r="O162" s="52"/>
      <c r="P162" s="52"/>
      <c r="Q162" s="52"/>
      <c r="U162" s="52"/>
    </row>
    <row r="163">
      <c r="M163" s="52"/>
      <c r="N163" s="52"/>
      <c r="O163" s="52"/>
      <c r="P163" s="52"/>
      <c r="Q163" s="52"/>
      <c r="U163" s="52"/>
    </row>
    <row r="164">
      <c r="M164" s="52"/>
      <c r="N164" s="52"/>
      <c r="O164" s="52"/>
      <c r="P164" s="52"/>
      <c r="Q164" s="52"/>
      <c r="U164" s="52"/>
    </row>
    <row r="165">
      <c r="M165" s="52"/>
      <c r="N165" s="52"/>
      <c r="O165" s="52"/>
      <c r="P165" s="52"/>
      <c r="Q165" s="52"/>
      <c r="U165" s="52"/>
    </row>
    <row r="166">
      <c r="M166" s="52"/>
      <c r="N166" s="52"/>
      <c r="O166" s="52"/>
      <c r="P166" s="52"/>
      <c r="Q166" s="52"/>
      <c r="U166" s="52"/>
    </row>
    <row r="167">
      <c r="M167" s="52"/>
      <c r="N167" s="52"/>
      <c r="O167" s="52"/>
      <c r="P167" s="52"/>
      <c r="Q167" s="52"/>
      <c r="U167" s="52"/>
    </row>
    <row r="168">
      <c r="M168" s="52"/>
      <c r="N168" s="52"/>
      <c r="O168" s="52"/>
      <c r="P168" s="52"/>
      <c r="Q168" s="52"/>
      <c r="U168" s="52"/>
    </row>
    <row r="169">
      <c r="M169" s="52"/>
      <c r="N169" s="52"/>
      <c r="O169" s="52"/>
      <c r="P169" s="52"/>
      <c r="Q169" s="52"/>
      <c r="U169" s="52"/>
    </row>
    <row r="170">
      <c r="M170" s="52"/>
      <c r="N170" s="52"/>
      <c r="O170" s="52"/>
      <c r="P170" s="52"/>
      <c r="Q170" s="52"/>
      <c r="U170" s="52"/>
    </row>
    <row r="171">
      <c r="M171" s="52"/>
      <c r="N171" s="52"/>
      <c r="O171" s="52"/>
      <c r="P171" s="52"/>
      <c r="Q171" s="52"/>
      <c r="U171" s="52"/>
    </row>
    <row r="172">
      <c r="M172" s="52"/>
      <c r="N172" s="52"/>
      <c r="O172" s="52"/>
      <c r="P172" s="52"/>
      <c r="Q172" s="52"/>
      <c r="U172" s="52"/>
    </row>
    <row r="173">
      <c r="M173" s="52"/>
      <c r="N173" s="52"/>
      <c r="O173" s="52"/>
      <c r="P173" s="52"/>
      <c r="Q173" s="52"/>
      <c r="U173" s="52"/>
    </row>
    <row r="174">
      <c r="M174" s="52"/>
      <c r="N174" s="52"/>
      <c r="O174" s="52"/>
      <c r="P174" s="52"/>
      <c r="Q174" s="52"/>
      <c r="U174" s="52"/>
    </row>
    <row r="175">
      <c r="M175" s="52"/>
      <c r="N175" s="52"/>
      <c r="O175" s="52"/>
      <c r="P175" s="52"/>
      <c r="Q175" s="52"/>
      <c r="U175" s="52"/>
    </row>
    <row r="176">
      <c r="M176" s="52"/>
      <c r="N176" s="52"/>
      <c r="O176" s="52"/>
      <c r="P176" s="52"/>
      <c r="Q176" s="52"/>
      <c r="U176" s="52"/>
    </row>
    <row r="177">
      <c r="M177" s="52"/>
      <c r="N177" s="52"/>
      <c r="O177" s="52"/>
      <c r="P177" s="52"/>
      <c r="Q177" s="52"/>
      <c r="U177" s="52"/>
    </row>
    <row r="178">
      <c r="M178" s="52"/>
      <c r="N178" s="52"/>
      <c r="O178" s="52"/>
      <c r="P178" s="52"/>
      <c r="Q178" s="52"/>
      <c r="U178" s="52"/>
    </row>
    <row r="179">
      <c r="M179" s="52"/>
      <c r="N179" s="52"/>
      <c r="O179" s="52"/>
      <c r="P179" s="52"/>
      <c r="Q179" s="52"/>
      <c r="U179" s="52"/>
    </row>
    <row r="180">
      <c r="M180" s="52"/>
      <c r="N180" s="52"/>
      <c r="O180" s="52"/>
      <c r="P180" s="52"/>
      <c r="Q180" s="52"/>
      <c r="U180" s="52"/>
    </row>
    <row r="181">
      <c r="M181" s="52"/>
      <c r="N181" s="52"/>
      <c r="O181" s="52"/>
      <c r="P181" s="52"/>
      <c r="Q181" s="52"/>
      <c r="U181" s="52"/>
    </row>
    <row r="182">
      <c r="M182" s="52"/>
      <c r="N182" s="52"/>
      <c r="O182" s="52"/>
      <c r="P182" s="52"/>
      <c r="Q182" s="52"/>
      <c r="U182" s="52"/>
    </row>
    <row r="183">
      <c r="M183" s="52"/>
      <c r="N183" s="52"/>
      <c r="O183" s="52"/>
      <c r="P183" s="52"/>
      <c r="Q183" s="52"/>
      <c r="U183" s="52"/>
    </row>
    <row r="184">
      <c r="M184" s="52"/>
      <c r="N184" s="52"/>
      <c r="O184" s="52"/>
      <c r="P184" s="52"/>
      <c r="Q184" s="52"/>
      <c r="U184" s="52"/>
    </row>
    <row r="185">
      <c r="M185" s="52"/>
      <c r="N185" s="52"/>
      <c r="O185" s="52"/>
      <c r="P185" s="52"/>
      <c r="Q185" s="52"/>
      <c r="U185" s="52"/>
    </row>
    <row r="186">
      <c r="M186" s="52"/>
      <c r="N186" s="52"/>
      <c r="O186" s="52"/>
      <c r="P186" s="52"/>
      <c r="Q186" s="52"/>
      <c r="U186" s="52"/>
    </row>
    <row r="187">
      <c r="M187" s="52"/>
      <c r="N187" s="52"/>
      <c r="O187" s="52"/>
      <c r="P187" s="52"/>
      <c r="Q187" s="52"/>
      <c r="U187" s="52"/>
    </row>
    <row r="188">
      <c r="M188" s="52"/>
      <c r="N188" s="52"/>
      <c r="O188" s="52"/>
      <c r="P188" s="52"/>
      <c r="Q188" s="52"/>
      <c r="U188" s="52"/>
    </row>
    <row r="189">
      <c r="M189" s="52"/>
      <c r="N189" s="52"/>
      <c r="O189" s="52"/>
      <c r="P189" s="52"/>
      <c r="Q189" s="52"/>
      <c r="U189" s="52"/>
    </row>
    <row r="190">
      <c r="M190" s="52"/>
      <c r="N190" s="52"/>
      <c r="O190" s="52"/>
      <c r="P190" s="52"/>
      <c r="Q190" s="52"/>
      <c r="U190" s="52"/>
    </row>
    <row r="191">
      <c r="M191" s="52"/>
      <c r="N191" s="52"/>
      <c r="O191" s="52"/>
      <c r="P191" s="52"/>
      <c r="Q191" s="52"/>
      <c r="U191" s="52"/>
    </row>
    <row r="192">
      <c r="M192" s="52"/>
      <c r="N192" s="52"/>
      <c r="O192" s="52"/>
      <c r="P192" s="52"/>
      <c r="Q192" s="52"/>
      <c r="U192" s="52"/>
    </row>
    <row r="193">
      <c r="M193" s="52"/>
      <c r="N193" s="52"/>
      <c r="O193" s="52"/>
      <c r="P193" s="52"/>
      <c r="Q193" s="52"/>
      <c r="U193" s="52"/>
    </row>
    <row r="194">
      <c r="M194" s="52"/>
      <c r="N194" s="52"/>
      <c r="O194" s="52"/>
      <c r="P194" s="52"/>
      <c r="Q194" s="52"/>
      <c r="U194" s="52"/>
    </row>
    <row r="195">
      <c r="M195" s="52"/>
      <c r="N195" s="52"/>
      <c r="O195" s="52"/>
      <c r="P195" s="52"/>
      <c r="Q195" s="52"/>
      <c r="U195" s="52"/>
    </row>
    <row r="196">
      <c r="M196" s="52"/>
      <c r="N196" s="52"/>
      <c r="O196" s="52"/>
      <c r="P196" s="52"/>
      <c r="Q196" s="52"/>
      <c r="U196" s="52"/>
    </row>
    <row r="197">
      <c r="M197" s="52"/>
      <c r="N197" s="52"/>
      <c r="O197" s="52"/>
      <c r="P197" s="52"/>
      <c r="Q197" s="52"/>
      <c r="U197" s="52"/>
    </row>
    <row r="198">
      <c r="M198" s="52"/>
      <c r="N198" s="52"/>
      <c r="O198" s="52"/>
      <c r="P198" s="52"/>
      <c r="Q198" s="52"/>
      <c r="U198" s="52"/>
    </row>
    <row r="199">
      <c r="M199" s="52"/>
      <c r="N199" s="52"/>
      <c r="O199" s="52"/>
      <c r="P199" s="52"/>
      <c r="Q199" s="52"/>
      <c r="U199" s="52"/>
    </row>
    <row r="200">
      <c r="M200" s="52"/>
      <c r="N200" s="52"/>
      <c r="O200" s="52"/>
      <c r="P200" s="52"/>
      <c r="Q200" s="52"/>
      <c r="U200" s="52"/>
    </row>
    <row r="201">
      <c r="M201" s="52"/>
      <c r="N201" s="52"/>
      <c r="O201" s="52"/>
      <c r="P201" s="52"/>
      <c r="Q201" s="52"/>
      <c r="U201" s="52"/>
    </row>
    <row r="202">
      <c r="M202" s="52"/>
      <c r="N202" s="52"/>
      <c r="O202" s="52"/>
      <c r="P202" s="52"/>
      <c r="Q202" s="52"/>
      <c r="U202" s="52"/>
    </row>
    <row r="203">
      <c r="M203" s="52"/>
      <c r="N203" s="52"/>
      <c r="O203" s="52"/>
      <c r="P203" s="52"/>
      <c r="Q203" s="52"/>
      <c r="U203" s="52"/>
    </row>
    <row r="204">
      <c r="M204" s="52"/>
      <c r="N204" s="52"/>
      <c r="O204" s="52"/>
      <c r="P204" s="52"/>
      <c r="Q204" s="52"/>
      <c r="U204" s="52"/>
    </row>
    <row r="205">
      <c r="M205" s="52"/>
      <c r="N205" s="52"/>
      <c r="O205" s="52"/>
      <c r="P205" s="52"/>
      <c r="Q205" s="52"/>
      <c r="U205" s="52"/>
    </row>
    <row r="206">
      <c r="M206" s="52"/>
      <c r="N206" s="52"/>
      <c r="O206" s="52"/>
      <c r="P206" s="52"/>
      <c r="Q206" s="52"/>
      <c r="U206" s="52"/>
    </row>
    <row r="207">
      <c r="M207" s="52"/>
      <c r="N207" s="52"/>
      <c r="O207" s="52"/>
      <c r="P207" s="52"/>
      <c r="Q207" s="52"/>
      <c r="U207" s="52"/>
    </row>
    <row r="208">
      <c r="M208" s="52"/>
      <c r="N208" s="52"/>
      <c r="O208" s="52"/>
      <c r="P208" s="52"/>
      <c r="Q208" s="52"/>
      <c r="U208" s="52"/>
    </row>
    <row r="209">
      <c r="M209" s="52"/>
      <c r="N209" s="52"/>
      <c r="O209" s="52"/>
      <c r="P209" s="52"/>
      <c r="Q209" s="52"/>
      <c r="U209" s="52"/>
    </row>
    <row r="210">
      <c r="M210" s="52"/>
      <c r="N210" s="52"/>
      <c r="O210" s="52"/>
      <c r="P210" s="52"/>
      <c r="Q210" s="52"/>
      <c r="U210" s="52"/>
    </row>
    <row r="211">
      <c r="M211" s="52"/>
      <c r="N211" s="52"/>
      <c r="O211" s="52"/>
      <c r="P211" s="52"/>
      <c r="Q211" s="52"/>
      <c r="U211" s="52"/>
    </row>
    <row r="212">
      <c r="M212" s="52"/>
      <c r="N212" s="52"/>
      <c r="O212" s="52"/>
      <c r="P212" s="52"/>
      <c r="Q212" s="52"/>
      <c r="U212" s="52"/>
    </row>
    <row r="213">
      <c r="M213" s="52"/>
      <c r="N213" s="52"/>
      <c r="O213" s="52"/>
      <c r="P213" s="52"/>
      <c r="Q213" s="52"/>
      <c r="U213" s="52"/>
    </row>
    <row r="214">
      <c r="M214" s="52"/>
      <c r="N214" s="52"/>
      <c r="O214" s="52"/>
      <c r="P214" s="52"/>
      <c r="Q214" s="52"/>
      <c r="U214" s="52"/>
    </row>
    <row r="215">
      <c r="M215" s="52"/>
      <c r="N215" s="52"/>
      <c r="O215" s="52"/>
      <c r="P215" s="52"/>
      <c r="Q215" s="52"/>
      <c r="U215" s="52"/>
    </row>
    <row r="216">
      <c r="M216" s="52"/>
      <c r="N216" s="52"/>
      <c r="O216" s="52"/>
      <c r="P216" s="52"/>
      <c r="Q216" s="52"/>
      <c r="U216" s="52"/>
    </row>
    <row r="217">
      <c r="M217" s="52"/>
      <c r="N217" s="52"/>
      <c r="O217" s="52"/>
      <c r="P217" s="52"/>
      <c r="Q217" s="52"/>
      <c r="U217" s="52"/>
    </row>
    <row r="218">
      <c r="M218" s="52"/>
      <c r="N218" s="52"/>
      <c r="O218" s="52"/>
      <c r="P218" s="52"/>
      <c r="Q218" s="52"/>
      <c r="U218" s="52"/>
    </row>
    <row r="219">
      <c r="M219" s="52"/>
      <c r="N219" s="52"/>
      <c r="O219" s="52"/>
      <c r="P219" s="52"/>
      <c r="Q219" s="52"/>
      <c r="U219" s="52"/>
    </row>
    <row r="220">
      <c r="M220" s="52"/>
      <c r="N220" s="52"/>
      <c r="O220" s="52"/>
      <c r="P220" s="52"/>
      <c r="Q220" s="52"/>
      <c r="U220" s="52"/>
    </row>
    <row r="221">
      <c r="M221" s="52"/>
      <c r="N221" s="52"/>
      <c r="O221" s="52"/>
      <c r="P221" s="52"/>
      <c r="Q221" s="52"/>
      <c r="U221" s="52"/>
    </row>
    <row r="222">
      <c r="M222" s="52"/>
      <c r="N222" s="52"/>
      <c r="O222" s="52"/>
      <c r="P222" s="52"/>
      <c r="Q222" s="52"/>
      <c r="U222" s="52"/>
    </row>
    <row r="223">
      <c r="M223" s="52"/>
      <c r="N223" s="52"/>
      <c r="O223" s="52"/>
      <c r="P223" s="52"/>
      <c r="Q223" s="52"/>
      <c r="U223" s="52"/>
    </row>
    <row r="224">
      <c r="M224" s="52"/>
      <c r="N224" s="52"/>
      <c r="O224" s="52"/>
      <c r="P224" s="52"/>
      <c r="Q224" s="52"/>
      <c r="U224" s="52"/>
    </row>
    <row r="225">
      <c r="M225" s="52"/>
      <c r="N225" s="52"/>
      <c r="O225" s="52"/>
      <c r="P225" s="52"/>
      <c r="Q225" s="52"/>
      <c r="U225" s="52"/>
    </row>
    <row r="226">
      <c r="M226" s="52"/>
      <c r="N226" s="52"/>
      <c r="O226" s="52"/>
      <c r="P226" s="52"/>
      <c r="Q226" s="52"/>
      <c r="U226" s="52"/>
    </row>
    <row r="227">
      <c r="M227" s="52"/>
      <c r="N227" s="52"/>
      <c r="O227" s="52"/>
      <c r="P227" s="52"/>
      <c r="Q227" s="52"/>
      <c r="U227" s="52"/>
    </row>
    <row r="228">
      <c r="M228" s="52"/>
      <c r="N228" s="52"/>
      <c r="O228" s="52"/>
      <c r="P228" s="52"/>
      <c r="Q228" s="52"/>
      <c r="U228" s="52"/>
    </row>
    <row r="229">
      <c r="M229" s="52"/>
      <c r="N229" s="52"/>
      <c r="O229" s="52"/>
      <c r="P229" s="52"/>
      <c r="Q229" s="52"/>
      <c r="U229" s="52"/>
    </row>
    <row r="230">
      <c r="M230" s="52"/>
      <c r="N230" s="52"/>
      <c r="O230" s="52"/>
      <c r="P230" s="52"/>
      <c r="Q230" s="52"/>
      <c r="U230" s="52"/>
    </row>
    <row r="231">
      <c r="M231" s="52"/>
      <c r="N231" s="52"/>
      <c r="O231" s="52"/>
      <c r="P231" s="52"/>
      <c r="Q231" s="52"/>
      <c r="U231" s="52"/>
    </row>
    <row r="232">
      <c r="M232" s="52"/>
      <c r="N232" s="52"/>
      <c r="O232" s="52"/>
      <c r="P232" s="52"/>
      <c r="Q232" s="52"/>
      <c r="U232" s="52"/>
    </row>
    <row r="233">
      <c r="M233" s="52"/>
      <c r="N233" s="52"/>
      <c r="O233" s="52"/>
      <c r="P233" s="52"/>
      <c r="Q233" s="52"/>
      <c r="U233" s="52"/>
    </row>
    <row r="234">
      <c r="M234" s="52"/>
      <c r="N234" s="52"/>
      <c r="O234" s="52"/>
      <c r="P234" s="52"/>
      <c r="Q234" s="52"/>
      <c r="U234" s="52"/>
    </row>
    <row r="235">
      <c r="M235" s="52"/>
      <c r="N235" s="52"/>
      <c r="O235" s="52"/>
      <c r="P235" s="52"/>
      <c r="Q235" s="52"/>
      <c r="U235" s="52"/>
    </row>
    <row r="236">
      <c r="M236" s="52"/>
      <c r="N236" s="52"/>
      <c r="O236" s="52"/>
      <c r="P236" s="52"/>
      <c r="Q236" s="52"/>
      <c r="U236" s="52"/>
    </row>
    <row r="237">
      <c r="M237" s="52"/>
      <c r="N237" s="52"/>
      <c r="O237" s="52"/>
      <c r="P237" s="52"/>
      <c r="Q237" s="52"/>
      <c r="U237" s="52"/>
    </row>
    <row r="238">
      <c r="M238" s="52"/>
      <c r="N238" s="52"/>
      <c r="O238" s="52"/>
      <c r="P238" s="52"/>
      <c r="Q238" s="52"/>
      <c r="U238" s="52"/>
    </row>
    <row r="239">
      <c r="M239" s="52"/>
      <c r="N239" s="52"/>
      <c r="O239" s="52"/>
      <c r="P239" s="52"/>
      <c r="Q239" s="52"/>
      <c r="U239" s="52"/>
    </row>
    <row r="240">
      <c r="M240" s="52"/>
      <c r="N240" s="52"/>
      <c r="O240" s="52"/>
      <c r="P240" s="52"/>
      <c r="Q240" s="52"/>
      <c r="U240" s="52"/>
    </row>
    <row r="241">
      <c r="M241" s="52"/>
      <c r="N241" s="52"/>
      <c r="O241" s="52"/>
      <c r="P241" s="52"/>
      <c r="Q241" s="52"/>
      <c r="U241" s="52"/>
    </row>
    <row r="242">
      <c r="M242" s="52"/>
      <c r="N242" s="52"/>
      <c r="O242" s="52"/>
      <c r="P242" s="52"/>
      <c r="Q242" s="52"/>
      <c r="U242" s="52"/>
    </row>
    <row r="243">
      <c r="M243" s="52"/>
      <c r="N243" s="52"/>
      <c r="O243" s="52"/>
      <c r="P243" s="52"/>
      <c r="Q243" s="52"/>
      <c r="U243" s="52"/>
    </row>
    <row r="244">
      <c r="M244" s="52"/>
      <c r="N244" s="52"/>
      <c r="O244" s="52"/>
      <c r="P244" s="52"/>
      <c r="Q244" s="52"/>
      <c r="U244" s="52"/>
    </row>
    <row r="245">
      <c r="M245" s="52"/>
      <c r="N245" s="52"/>
      <c r="O245" s="52"/>
      <c r="P245" s="52"/>
      <c r="Q245" s="52"/>
      <c r="U245" s="52"/>
    </row>
    <row r="246">
      <c r="M246" s="52"/>
      <c r="N246" s="52"/>
      <c r="O246" s="52"/>
      <c r="P246" s="52"/>
      <c r="Q246" s="52"/>
      <c r="U246" s="52"/>
    </row>
    <row r="247">
      <c r="M247" s="52"/>
      <c r="N247" s="52"/>
      <c r="O247" s="52"/>
      <c r="P247" s="52"/>
      <c r="Q247" s="52"/>
      <c r="U247" s="52"/>
    </row>
    <row r="248">
      <c r="M248" s="52"/>
      <c r="N248" s="52"/>
      <c r="O248" s="52"/>
      <c r="P248" s="52"/>
      <c r="Q248" s="52"/>
      <c r="U248" s="52"/>
    </row>
    <row r="249">
      <c r="M249" s="52"/>
      <c r="N249" s="52"/>
      <c r="O249" s="52"/>
      <c r="P249" s="52"/>
      <c r="Q249" s="52"/>
      <c r="U249" s="52"/>
    </row>
    <row r="250">
      <c r="M250" s="52"/>
      <c r="N250" s="52"/>
      <c r="O250" s="52"/>
      <c r="P250" s="52"/>
      <c r="Q250" s="52"/>
      <c r="U250" s="52"/>
    </row>
    <row r="251">
      <c r="M251" s="52"/>
      <c r="N251" s="52"/>
      <c r="O251" s="52"/>
      <c r="P251" s="52"/>
      <c r="Q251" s="52"/>
      <c r="U251" s="52"/>
    </row>
    <row r="252">
      <c r="M252" s="52"/>
      <c r="N252" s="52"/>
      <c r="O252" s="52"/>
      <c r="P252" s="52"/>
      <c r="Q252" s="52"/>
      <c r="U252" s="52"/>
    </row>
    <row r="253">
      <c r="M253" s="52"/>
      <c r="N253" s="52"/>
      <c r="O253" s="52"/>
      <c r="P253" s="52"/>
      <c r="Q253" s="52"/>
      <c r="U253" s="52"/>
    </row>
    <row r="254">
      <c r="M254" s="52"/>
      <c r="N254" s="52"/>
      <c r="O254" s="52"/>
      <c r="P254" s="52"/>
      <c r="Q254" s="52"/>
      <c r="U254" s="52"/>
    </row>
    <row r="255">
      <c r="M255" s="52"/>
      <c r="N255" s="52"/>
      <c r="O255" s="52"/>
      <c r="P255" s="52"/>
      <c r="Q255" s="52"/>
      <c r="U255" s="52"/>
    </row>
    <row r="256">
      <c r="M256" s="52"/>
      <c r="N256" s="52"/>
      <c r="O256" s="52"/>
      <c r="P256" s="52"/>
      <c r="Q256" s="52"/>
      <c r="U256" s="52"/>
    </row>
    <row r="257">
      <c r="M257" s="52"/>
      <c r="N257" s="52"/>
      <c r="O257" s="52"/>
      <c r="P257" s="52"/>
      <c r="Q257" s="52"/>
      <c r="U257" s="52"/>
    </row>
    <row r="258">
      <c r="M258" s="52"/>
      <c r="N258" s="52"/>
      <c r="O258" s="52"/>
      <c r="P258" s="52"/>
      <c r="Q258" s="52"/>
      <c r="U258" s="52"/>
    </row>
    <row r="259">
      <c r="M259" s="52"/>
      <c r="N259" s="52"/>
      <c r="O259" s="52"/>
      <c r="P259" s="52"/>
      <c r="Q259" s="52"/>
      <c r="U259" s="52"/>
    </row>
    <row r="260">
      <c r="M260" s="52"/>
      <c r="N260" s="52"/>
      <c r="O260" s="52"/>
      <c r="P260" s="52"/>
      <c r="Q260" s="52"/>
      <c r="U260" s="52"/>
    </row>
    <row r="261">
      <c r="M261" s="52"/>
      <c r="N261" s="52"/>
      <c r="O261" s="52"/>
      <c r="P261" s="52"/>
      <c r="Q261" s="52"/>
      <c r="U261" s="52"/>
    </row>
    <row r="262">
      <c r="M262" s="52"/>
      <c r="N262" s="52"/>
      <c r="O262" s="52"/>
      <c r="P262" s="52"/>
      <c r="Q262" s="52"/>
      <c r="U262" s="52"/>
    </row>
    <row r="263">
      <c r="M263" s="52"/>
      <c r="N263" s="52"/>
      <c r="O263" s="52"/>
      <c r="P263" s="52"/>
      <c r="Q263" s="52"/>
      <c r="U263" s="52"/>
    </row>
    <row r="264">
      <c r="M264" s="52"/>
      <c r="N264" s="52"/>
      <c r="O264" s="52"/>
      <c r="P264" s="52"/>
      <c r="Q264" s="52"/>
      <c r="U264" s="52"/>
    </row>
    <row r="265">
      <c r="M265" s="52"/>
      <c r="N265" s="52"/>
      <c r="O265" s="52"/>
      <c r="P265" s="52"/>
      <c r="Q265" s="52"/>
      <c r="U265" s="52"/>
    </row>
    <row r="266">
      <c r="M266" s="52"/>
      <c r="N266" s="52"/>
      <c r="O266" s="52"/>
      <c r="P266" s="52"/>
      <c r="Q266" s="52"/>
      <c r="U266" s="52"/>
    </row>
    <row r="267">
      <c r="M267" s="52"/>
      <c r="N267" s="52"/>
      <c r="O267" s="52"/>
      <c r="P267" s="52"/>
      <c r="Q267" s="52"/>
      <c r="U267" s="52"/>
    </row>
    <row r="268">
      <c r="M268" s="52"/>
      <c r="N268" s="52"/>
      <c r="O268" s="52"/>
      <c r="P268" s="52"/>
      <c r="Q268" s="52"/>
      <c r="U268" s="52"/>
    </row>
    <row r="269">
      <c r="M269" s="52"/>
      <c r="N269" s="52"/>
      <c r="O269" s="52"/>
      <c r="P269" s="52"/>
      <c r="Q269" s="52"/>
      <c r="U269" s="52"/>
    </row>
    <row r="270">
      <c r="M270" s="52"/>
      <c r="N270" s="52"/>
      <c r="O270" s="52"/>
      <c r="P270" s="52"/>
      <c r="Q270" s="52"/>
      <c r="U270" s="52"/>
    </row>
    <row r="271">
      <c r="M271" s="52"/>
      <c r="N271" s="52"/>
      <c r="O271" s="52"/>
      <c r="P271" s="52"/>
      <c r="Q271" s="52"/>
      <c r="U271" s="52"/>
    </row>
    <row r="272">
      <c r="M272" s="52"/>
      <c r="N272" s="52"/>
      <c r="O272" s="52"/>
      <c r="P272" s="52"/>
      <c r="Q272" s="52"/>
      <c r="U272" s="52"/>
    </row>
    <row r="273">
      <c r="M273" s="52"/>
      <c r="N273" s="52"/>
      <c r="O273" s="52"/>
      <c r="P273" s="52"/>
      <c r="Q273" s="52"/>
      <c r="U273" s="52"/>
    </row>
    <row r="274">
      <c r="M274" s="52"/>
      <c r="N274" s="52"/>
      <c r="O274" s="52"/>
      <c r="P274" s="52"/>
      <c r="Q274" s="52"/>
      <c r="U274" s="52"/>
    </row>
    <row r="275">
      <c r="M275" s="52"/>
      <c r="N275" s="52"/>
      <c r="O275" s="52"/>
      <c r="P275" s="52"/>
      <c r="Q275" s="52"/>
      <c r="U275" s="52"/>
    </row>
    <row r="276">
      <c r="M276" s="52"/>
      <c r="N276" s="52"/>
      <c r="O276" s="52"/>
      <c r="P276" s="52"/>
      <c r="Q276" s="52"/>
      <c r="U276" s="52"/>
    </row>
    <row r="277">
      <c r="M277" s="52"/>
      <c r="N277" s="52"/>
      <c r="O277" s="52"/>
      <c r="P277" s="52"/>
      <c r="Q277" s="52"/>
      <c r="U277" s="52"/>
    </row>
    <row r="278">
      <c r="M278" s="52"/>
      <c r="N278" s="52"/>
      <c r="O278" s="52"/>
      <c r="P278" s="52"/>
      <c r="Q278" s="52"/>
      <c r="U278" s="52"/>
    </row>
    <row r="279">
      <c r="M279" s="52"/>
      <c r="N279" s="52"/>
      <c r="O279" s="52"/>
      <c r="P279" s="52"/>
      <c r="Q279" s="52"/>
      <c r="U279" s="52"/>
    </row>
    <row r="280">
      <c r="M280" s="52"/>
      <c r="N280" s="52"/>
      <c r="O280" s="52"/>
      <c r="P280" s="52"/>
      <c r="Q280" s="52"/>
      <c r="U280" s="52"/>
    </row>
    <row r="281">
      <c r="M281" s="52"/>
      <c r="N281" s="52"/>
      <c r="O281" s="52"/>
      <c r="P281" s="52"/>
      <c r="Q281" s="52"/>
      <c r="U281" s="52"/>
    </row>
    <row r="282">
      <c r="M282" s="52"/>
      <c r="N282" s="52"/>
      <c r="O282" s="52"/>
      <c r="P282" s="52"/>
      <c r="Q282" s="52"/>
      <c r="U282" s="52"/>
    </row>
    <row r="283">
      <c r="M283" s="52"/>
      <c r="N283" s="52"/>
      <c r="O283" s="52"/>
      <c r="P283" s="52"/>
      <c r="Q283" s="52"/>
      <c r="U283" s="52"/>
    </row>
    <row r="284">
      <c r="M284" s="52"/>
      <c r="N284" s="52"/>
      <c r="O284" s="52"/>
      <c r="P284" s="52"/>
      <c r="Q284" s="52"/>
      <c r="U284" s="52"/>
    </row>
    <row r="285">
      <c r="M285" s="52"/>
      <c r="N285" s="52"/>
      <c r="O285" s="52"/>
      <c r="P285" s="52"/>
      <c r="Q285" s="52"/>
      <c r="U285" s="52"/>
    </row>
    <row r="286">
      <c r="M286" s="52"/>
      <c r="N286" s="52"/>
      <c r="O286" s="52"/>
      <c r="P286" s="52"/>
      <c r="Q286" s="52"/>
      <c r="U286" s="52"/>
    </row>
    <row r="287">
      <c r="M287" s="52"/>
      <c r="N287" s="52"/>
      <c r="O287" s="52"/>
      <c r="P287" s="52"/>
      <c r="Q287" s="52"/>
      <c r="U287" s="52"/>
    </row>
    <row r="288">
      <c r="M288" s="52"/>
      <c r="N288" s="52"/>
      <c r="O288" s="52"/>
      <c r="P288" s="52"/>
      <c r="Q288" s="52"/>
      <c r="U288" s="52"/>
    </row>
    <row r="289">
      <c r="M289" s="52"/>
      <c r="N289" s="52"/>
      <c r="O289" s="52"/>
      <c r="P289" s="52"/>
      <c r="Q289" s="52"/>
      <c r="U289" s="52"/>
    </row>
    <row r="290">
      <c r="M290" s="52"/>
      <c r="N290" s="52"/>
      <c r="O290" s="52"/>
      <c r="P290" s="52"/>
      <c r="Q290" s="52"/>
      <c r="U290" s="52"/>
    </row>
    <row r="291">
      <c r="M291" s="52"/>
      <c r="N291" s="52"/>
      <c r="O291" s="52"/>
      <c r="P291" s="52"/>
      <c r="Q291" s="52"/>
      <c r="U291" s="52"/>
    </row>
    <row r="292">
      <c r="M292" s="52"/>
      <c r="N292" s="52"/>
      <c r="O292" s="52"/>
      <c r="P292" s="52"/>
      <c r="Q292" s="52"/>
      <c r="U292" s="52"/>
    </row>
    <row r="293">
      <c r="M293" s="52"/>
      <c r="N293" s="52"/>
      <c r="O293" s="52"/>
      <c r="P293" s="52"/>
      <c r="Q293" s="52"/>
      <c r="U293" s="52"/>
    </row>
    <row r="294">
      <c r="M294" s="52"/>
      <c r="N294" s="52"/>
      <c r="O294" s="52"/>
      <c r="P294" s="52"/>
      <c r="Q294" s="52"/>
      <c r="U294" s="52"/>
    </row>
    <row r="295">
      <c r="M295" s="52"/>
      <c r="N295" s="52"/>
      <c r="O295" s="52"/>
      <c r="P295" s="52"/>
      <c r="Q295" s="52"/>
      <c r="U295" s="52"/>
    </row>
    <row r="296">
      <c r="M296" s="52"/>
      <c r="N296" s="52"/>
      <c r="O296" s="52"/>
      <c r="P296" s="52"/>
      <c r="Q296" s="52"/>
      <c r="U296" s="52"/>
    </row>
    <row r="297">
      <c r="M297" s="52"/>
      <c r="N297" s="52"/>
      <c r="O297" s="52"/>
      <c r="P297" s="52"/>
      <c r="Q297" s="52"/>
      <c r="U297" s="52"/>
    </row>
    <row r="298">
      <c r="M298" s="52"/>
      <c r="N298" s="52"/>
      <c r="O298" s="52"/>
      <c r="P298" s="52"/>
      <c r="Q298" s="52"/>
      <c r="U298" s="52"/>
    </row>
    <row r="299">
      <c r="M299" s="52"/>
      <c r="N299" s="52"/>
      <c r="O299" s="52"/>
      <c r="P299" s="52"/>
      <c r="Q299" s="52"/>
      <c r="U299" s="52"/>
    </row>
    <row r="300">
      <c r="M300" s="52"/>
      <c r="N300" s="52"/>
      <c r="O300" s="52"/>
      <c r="P300" s="52"/>
      <c r="Q300" s="52"/>
      <c r="U300" s="52"/>
    </row>
    <row r="301">
      <c r="M301" s="52"/>
      <c r="N301" s="52"/>
      <c r="O301" s="52"/>
      <c r="P301" s="52"/>
      <c r="Q301" s="52"/>
      <c r="U301" s="52"/>
    </row>
    <row r="302">
      <c r="M302" s="52"/>
      <c r="N302" s="52"/>
      <c r="O302" s="52"/>
      <c r="P302" s="52"/>
      <c r="Q302" s="52"/>
      <c r="U302" s="52"/>
    </row>
    <row r="303">
      <c r="M303" s="52"/>
      <c r="N303" s="52"/>
      <c r="O303" s="52"/>
      <c r="P303" s="52"/>
      <c r="Q303" s="52"/>
      <c r="U303" s="52"/>
    </row>
    <row r="304">
      <c r="M304" s="52"/>
      <c r="N304" s="52"/>
      <c r="O304" s="52"/>
      <c r="P304" s="52"/>
      <c r="Q304" s="52"/>
      <c r="U304" s="52"/>
    </row>
    <row r="305">
      <c r="M305" s="52"/>
      <c r="N305" s="52"/>
      <c r="O305" s="52"/>
      <c r="P305" s="52"/>
      <c r="Q305" s="52"/>
      <c r="U305" s="52"/>
    </row>
    <row r="306">
      <c r="M306" s="52"/>
      <c r="N306" s="52"/>
      <c r="O306" s="52"/>
      <c r="P306" s="52"/>
      <c r="Q306" s="52"/>
      <c r="U306" s="52"/>
    </row>
    <row r="307">
      <c r="M307" s="52"/>
      <c r="N307" s="52"/>
      <c r="O307" s="52"/>
      <c r="P307" s="52"/>
      <c r="Q307" s="52"/>
      <c r="U307" s="52"/>
    </row>
    <row r="308">
      <c r="M308" s="52"/>
      <c r="N308" s="52"/>
      <c r="O308" s="52"/>
      <c r="P308" s="52"/>
      <c r="Q308" s="52"/>
      <c r="U308" s="52"/>
    </row>
    <row r="309">
      <c r="M309" s="52"/>
      <c r="N309" s="52"/>
      <c r="O309" s="52"/>
      <c r="P309" s="52"/>
      <c r="Q309" s="52"/>
      <c r="U309" s="52"/>
    </row>
    <row r="310">
      <c r="M310" s="52"/>
      <c r="N310" s="52"/>
      <c r="O310" s="52"/>
      <c r="P310" s="52"/>
      <c r="Q310" s="52"/>
      <c r="U310" s="52"/>
    </row>
    <row r="311">
      <c r="M311" s="52"/>
      <c r="N311" s="52"/>
      <c r="O311" s="52"/>
      <c r="P311" s="52"/>
      <c r="Q311" s="52"/>
      <c r="U311" s="52"/>
    </row>
    <row r="312">
      <c r="M312" s="52"/>
      <c r="N312" s="52"/>
      <c r="O312" s="52"/>
      <c r="P312" s="52"/>
      <c r="Q312" s="52"/>
      <c r="U312" s="52"/>
    </row>
    <row r="313">
      <c r="M313" s="52"/>
      <c r="N313" s="52"/>
      <c r="O313" s="52"/>
      <c r="P313" s="52"/>
      <c r="Q313" s="52"/>
      <c r="U313" s="52"/>
    </row>
    <row r="314">
      <c r="M314" s="52"/>
      <c r="N314" s="52"/>
      <c r="O314" s="52"/>
      <c r="P314" s="52"/>
      <c r="Q314" s="52"/>
      <c r="U314" s="52"/>
    </row>
    <row r="315">
      <c r="M315" s="52"/>
      <c r="N315" s="52"/>
      <c r="O315" s="52"/>
      <c r="P315" s="52"/>
      <c r="Q315" s="52"/>
      <c r="U315" s="52"/>
    </row>
    <row r="316">
      <c r="M316" s="52"/>
      <c r="N316" s="52"/>
      <c r="O316" s="52"/>
      <c r="P316" s="52"/>
      <c r="Q316" s="52"/>
      <c r="U316" s="52"/>
    </row>
    <row r="317">
      <c r="M317" s="52"/>
      <c r="N317" s="52"/>
      <c r="O317" s="52"/>
      <c r="P317" s="52"/>
      <c r="Q317" s="52"/>
      <c r="U317" s="52"/>
    </row>
    <row r="318">
      <c r="M318" s="52"/>
      <c r="N318" s="52"/>
      <c r="O318" s="52"/>
      <c r="P318" s="52"/>
      <c r="Q318" s="52"/>
      <c r="U318" s="52"/>
    </row>
    <row r="319">
      <c r="M319" s="52"/>
      <c r="N319" s="52"/>
      <c r="O319" s="52"/>
      <c r="P319" s="52"/>
      <c r="Q319" s="52"/>
      <c r="U319" s="52"/>
    </row>
    <row r="320">
      <c r="M320" s="52"/>
      <c r="N320" s="52"/>
      <c r="O320" s="52"/>
      <c r="P320" s="52"/>
      <c r="Q320" s="52"/>
      <c r="U320" s="52"/>
    </row>
    <row r="321">
      <c r="M321" s="52"/>
      <c r="N321" s="52"/>
      <c r="O321" s="52"/>
      <c r="P321" s="52"/>
      <c r="Q321" s="52"/>
      <c r="U321" s="52"/>
    </row>
    <row r="322">
      <c r="M322" s="52"/>
      <c r="N322" s="52"/>
      <c r="O322" s="52"/>
      <c r="P322" s="52"/>
      <c r="Q322" s="52"/>
      <c r="U322" s="52"/>
    </row>
    <row r="323">
      <c r="M323" s="52"/>
      <c r="N323" s="52"/>
      <c r="O323" s="52"/>
      <c r="P323" s="52"/>
      <c r="Q323" s="52"/>
      <c r="U323" s="52"/>
    </row>
    <row r="324">
      <c r="M324" s="52"/>
      <c r="N324" s="52"/>
      <c r="O324" s="52"/>
      <c r="P324" s="52"/>
      <c r="Q324" s="52"/>
      <c r="U324" s="52"/>
    </row>
    <row r="325">
      <c r="M325" s="52"/>
      <c r="N325" s="52"/>
      <c r="O325" s="52"/>
      <c r="P325" s="52"/>
      <c r="Q325" s="52"/>
      <c r="U325" s="52"/>
    </row>
    <row r="326">
      <c r="M326" s="52"/>
      <c r="N326" s="52"/>
      <c r="O326" s="52"/>
      <c r="P326" s="52"/>
      <c r="Q326" s="52"/>
      <c r="U326" s="52"/>
    </row>
    <row r="327">
      <c r="M327" s="52"/>
      <c r="N327" s="52"/>
      <c r="O327" s="52"/>
      <c r="P327" s="52"/>
      <c r="Q327" s="52"/>
      <c r="U327" s="52"/>
    </row>
    <row r="328">
      <c r="M328" s="52"/>
      <c r="N328" s="52"/>
      <c r="O328" s="52"/>
      <c r="P328" s="52"/>
      <c r="Q328" s="52"/>
      <c r="U328" s="52"/>
    </row>
    <row r="329">
      <c r="M329" s="52"/>
      <c r="N329" s="52"/>
      <c r="O329" s="52"/>
      <c r="P329" s="52"/>
      <c r="Q329" s="52"/>
      <c r="U329" s="52"/>
    </row>
    <row r="330">
      <c r="M330" s="52"/>
      <c r="N330" s="52"/>
      <c r="O330" s="52"/>
      <c r="P330" s="52"/>
      <c r="Q330" s="52"/>
      <c r="U330" s="52"/>
    </row>
    <row r="331">
      <c r="M331" s="52"/>
      <c r="N331" s="52"/>
      <c r="O331" s="52"/>
      <c r="P331" s="52"/>
      <c r="Q331" s="52"/>
      <c r="U331" s="52"/>
    </row>
    <row r="332">
      <c r="M332" s="52"/>
      <c r="N332" s="52"/>
      <c r="O332" s="52"/>
      <c r="P332" s="52"/>
      <c r="Q332" s="52"/>
      <c r="U332" s="52"/>
    </row>
    <row r="333">
      <c r="M333" s="52"/>
      <c r="N333" s="52"/>
      <c r="O333" s="52"/>
      <c r="P333" s="52"/>
      <c r="Q333" s="52"/>
      <c r="U333" s="52"/>
    </row>
    <row r="334">
      <c r="M334" s="52"/>
      <c r="N334" s="52"/>
      <c r="O334" s="52"/>
      <c r="P334" s="52"/>
      <c r="Q334" s="52"/>
      <c r="U334" s="52"/>
    </row>
    <row r="335">
      <c r="M335" s="52"/>
      <c r="N335" s="52"/>
      <c r="O335" s="52"/>
      <c r="P335" s="52"/>
      <c r="Q335" s="52"/>
      <c r="U335" s="52"/>
    </row>
    <row r="336">
      <c r="M336" s="52"/>
      <c r="N336" s="52"/>
      <c r="O336" s="52"/>
      <c r="P336" s="52"/>
      <c r="Q336" s="52"/>
      <c r="U336" s="52"/>
    </row>
    <row r="337">
      <c r="M337" s="52"/>
      <c r="N337" s="52"/>
      <c r="O337" s="52"/>
      <c r="P337" s="52"/>
      <c r="Q337" s="52"/>
      <c r="U337" s="52"/>
    </row>
    <row r="338">
      <c r="M338" s="52"/>
      <c r="N338" s="52"/>
      <c r="O338" s="52"/>
      <c r="P338" s="52"/>
      <c r="Q338" s="52"/>
      <c r="U338" s="52"/>
    </row>
    <row r="339">
      <c r="M339" s="52"/>
      <c r="N339" s="52"/>
      <c r="O339" s="52"/>
      <c r="P339" s="52"/>
      <c r="Q339" s="52"/>
      <c r="U339" s="52"/>
    </row>
    <row r="340">
      <c r="M340" s="52"/>
      <c r="N340" s="52"/>
      <c r="O340" s="52"/>
      <c r="P340" s="52"/>
      <c r="Q340" s="52"/>
      <c r="U340" s="52"/>
    </row>
    <row r="341">
      <c r="M341" s="52"/>
      <c r="N341" s="52"/>
      <c r="O341" s="52"/>
      <c r="P341" s="52"/>
      <c r="Q341" s="52"/>
      <c r="U341" s="52"/>
    </row>
    <row r="342">
      <c r="M342" s="52"/>
      <c r="N342" s="52"/>
      <c r="O342" s="52"/>
      <c r="P342" s="52"/>
      <c r="Q342" s="52"/>
      <c r="U342" s="52"/>
    </row>
    <row r="343">
      <c r="M343" s="52"/>
      <c r="N343" s="52"/>
      <c r="O343" s="52"/>
      <c r="P343" s="52"/>
      <c r="Q343" s="52"/>
      <c r="U343" s="52"/>
    </row>
    <row r="344">
      <c r="M344" s="52"/>
      <c r="N344" s="52"/>
      <c r="O344" s="52"/>
      <c r="P344" s="52"/>
      <c r="Q344" s="52"/>
      <c r="U344" s="52"/>
    </row>
    <row r="345">
      <c r="M345" s="52"/>
      <c r="N345" s="52"/>
      <c r="O345" s="52"/>
      <c r="P345" s="52"/>
      <c r="Q345" s="52"/>
      <c r="U345" s="52"/>
    </row>
    <row r="346">
      <c r="M346" s="52"/>
      <c r="N346" s="52"/>
      <c r="O346" s="52"/>
      <c r="P346" s="52"/>
      <c r="Q346" s="52"/>
      <c r="U346" s="52"/>
    </row>
    <row r="347">
      <c r="M347" s="52"/>
      <c r="N347" s="52"/>
      <c r="O347" s="52"/>
      <c r="P347" s="52"/>
      <c r="Q347" s="52"/>
      <c r="U347" s="52"/>
    </row>
    <row r="348">
      <c r="M348" s="52"/>
      <c r="N348" s="52"/>
      <c r="O348" s="52"/>
      <c r="P348" s="52"/>
      <c r="Q348" s="52"/>
      <c r="U348" s="52"/>
    </row>
    <row r="349">
      <c r="M349" s="52"/>
      <c r="N349" s="52"/>
      <c r="O349" s="52"/>
      <c r="P349" s="52"/>
      <c r="Q349" s="52"/>
      <c r="U349" s="52"/>
    </row>
    <row r="350">
      <c r="M350" s="52"/>
      <c r="N350" s="52"/>
      <c r="O350" s="52"/>
      <c r="P350" s="52"/>
      <c r="Q350" s="52"/>
      <c r="U350" s="52"/>
    </row>
    <row r="351">
      <c r="M351" s="52"/>
      <c r="N351" s="52"/>
      <c r="O351" s="52"/>
      <c r="P351" s="52"/>
      <c r="Q351" s="52"/>
      <c r="U351" s="52"/>
    </row>
    <row r="352">
      <c r="M352" s="52"/>
      <c r="N352" s="52"/>
      <c r="O352" s="52"/>
      <c r="P352" s="52"/>
      <c r="Q352" s="52"/>
      <c r="U352" s="52"/>
    </row>
    <row r="353">
      <c r="M353" s="52"/>
      <c r="N353" s="52"/>
      <c r="O353" s="52"/>
      <c r="P353" s="52"/>
      <c r="Q353" s="52"/>
      <c r="U353" s="52"/>
    </row>
    <row r="354">
      <c r="M354" s="52"/>
      <c r="N354" s="52"/>
      <c r="O354" s="52"/>
      <c r="P354" s="52"/>
      <c r="Q354" s="52"/>
      <c r="U354" s="52"/>
    </row>
    <row r="355">
      <c r="M355" s="52"/>
      <c r="N355" s="52"/>
      <c r="O355" s="52"/>
      <c r="P355" s="52"/>
      <c r="Q355" s="52"/>
      <c r="U355" s="52"/>
    </row>
    <row r="356">
      <c r="M356" s="52"/>
      <c r="N356" s="52"/>
      <c r="O356" s="52"/>
      <c r="P356" s="52"/>
      <c r="Q356" s="52"/>
      <c r="U356" s="52"/>
    </row>
    <row r="357">
      <c r="M357" s="52"/>
      <c r="N357" s="52"/>
      <c r="O357" s="52"/>
      <c r="P357" s="52"/>
      <c r="Q357" s="52"/>
      <c r="U357" s="52"/>
    </row>
    <row r="358">
      <c r="M358" s="52"/>
      <c r="N358" s="52"/>
      <c r="O358" s="52"/>
      <c r="P358" s="52"/>
      <c r="Q358" s="52"/>
      <c r="U358" s="52"/>
    </row>
    <row r="359">
      <c r="M359" s="52"/>
      <c r="N359" s="52"/>
      <c r="O359" s="52"/>
      <c r="P359" s="52"/>
      <c r="Q359" s="52"/>
      <c r="U359" s="52"/>
    </row>
    <row r="360">
      <c r="M360" s="52"/>
      <c r="N360" s="52"/>
      <c r="O360" s="52"/>
      <c r="P360" s="52"/>
      <c r="Q360" s="52"/>
      <c r="U360" s="52"/>
    </row>
    <row r="361">
      <c r="M361" s="52"/>
      <c r="N361" s="52"/>
      <c r="O361" s="52"/>
      <c r="P361" s="52"/>
      <c r="Q361" s="52"/>
      <c r="U361" s="52"/>
    </row>
    <row r="362">
      <c r="M362" s="52"/>
      <c r="N362" s="52"/>
      <c r="O362" s="52"/>
      <c r="P362" s="52"/>
      <c r="Q362" s="52"/>
      <c r="U362" s="52"/>
    </row>
    <row r="363">
      <c r="M363" s="52"/>
      <c r="N363" s="52"/>
      <c r="O363" s="52"/>
      <c r="P363" s="52"/>
      <c r="Q363" s="52"/>
      <c r="U363" s="52"/>
    </row>
    <row r="364">
      <c r="M364" s="52"/>
      <c r="N364" s="52"/>
      <c r="O364" s="52"/>
      <c r="P364" s="52"/>
      <c r="Q364" s="52"/>
      <c r="U364" s="52"/>
    </row>
    <row r="365">
      <c r="M365" s="52"/>
      <c r="N365" s="52"/>
      <c r="O365" s="52"/>
      <c r="P365" s="52"/>
      <c r="Q365" s="52"/>
      <c r="U365" s="52"/>
    </row>
    <row r="366">
      <c r="M366" s="52"/>
      <c r="N366" s="52"/>
      <c r="O366" s="52"/>
      <c r="P366" s="52"/>
      <c r="Q366" s="52"/>
      <c r="U366" s="52"/>
    </row>
    <row r="367">
      <c r="M367" s="52"/>
      <c r="N367" s="52"/>
      <c r="O367" s="52"/>
      <c r="P367" s="52"/>
      <c r="Q367" s="52"/>
      <c r="U367" s="52"/>
    </row>
    <row r="368">
      <c r="M368" s="52"/>
      <c r="N368" s="52"/>
      <c r="O368" s="52"/>
      <c r="P368" s="52"/>
      <c r="Q368" s="52"/>
      <c r="U368" s="52"/>
    </row>
    <row r="369">
      <c r="M369" s="52"/>
      <c r="N369" s="52"/>
      <c r="O369" s="52"/>
      <c r="P369" s="52"/>
      <c r="Q369" s="52"/>
      <c r="U369" s="52"/>
    </row>
    <row r="370">
      <c r="M370" s="52"/>
      <c r="N370" s="52"/>
      <c r="O370" s="52"/>
      <c r="P370" s="52"/>
      <c r="Q370" s="52"/>
      <c r="U370" s="52"/>
    </row>
    <row r="371">
      <c r="M371" s="52"/>
      <c r="N371" s="52"/>
      <c r="O371" s="52"/>
      <c r="P371" s="52"/>
      <c r="Q371" s="52"/>
      <c r="U371" s="52"/>
    </row>
    <row r="372">
      <c r="M372" s="52"/>
      <c r="N372" s="52"/>
      <c r="O372" s="52"/>
      <c r="P372" s="52"/>
      <c r="Q372" s="52"/>
      <c r="U372" s="52"/>
    </row>
    <row r="373">
      <c r="M373" s="52"/>
      <c r="N373" s="52"/>
      <c r="O373" s="52"/>
      <c r="P373" s="52"/>
      <c r="Q373" s="52"/>
      <c r="U373" s="52"/>
    </row>
    <row r="374">
      <c r="M374" s="52"/>
      <c r="N374" s="52"/>
      <c r="O374" s="52"/>
      <c r="P374" s="52"/>
      <c r="Q374" s="52"/>
      <c r="U374" s="52"/>
    </row>
    <row r="375">
      <c r="M375" s="52"/>
      <c r="N375" s="52"/>
      <c r="O375" s="52"/>
      <c r="P375" s="52"/>
      <c r="Q375" s="52"/>
      <c r="U375" s="52"/>
    </row>
    <row r="376">
      <c r="M376" s="52"/>
      <c r="N376" s="52"/>
      <c r="O376" s="52"/>
      <c r="P376" s="52"/>
      <c r="Q376" s="52"/>
      <c r="U376" s="52"/>
    </row>
    <row r="377">
      <c r="M377" s="52"/>
      <c r="N377" s="52"/>
      <c r="O377" s="52"/>
      <c r="P377" s="52"/>
      <c r="Q377" s="52"/>
      <c r="U377" s="52"/>
    </row>
    <row r="378">
      <c r="M378" s="52"/>
      <c r="N378" s="52"/>
      <c r="O378" s="52"/>
      <c r="P378" s="52"/>
      <c r="Q378" s="52"/>
      <c r="U378" s="52"/>
    </row>
    <row r="379">
      <c r="M379" s="52"/>
      <c r="N379" s="52"/>
      <c r="O379" s="52"/>
      <c r="P379" s="52"/>
      <c r="Q379" s="52"/>
      <c r="U379" s="52"/>
    </row>
    <row r="380">
      <c r="M380" s="52"/>
      <c r="N380" s="52"/>
      <c r="O380" s="52"/>
      <c r="P380" s="52"/>
      <c r="Q380" s="52"/>
      <c r="U380" s="52"/>
    </row>
    <row r="381">
      <c r="M381" s="52"/>
      <c r="N381" s="52"/>
      <c r="O381" s="52"/>
      <c r="P381" s="52"/>
      <c r="Q381" s="52"/>
      <c r="U381" s="52"/>
    </row>
    <row r="382">
      <c r="M382" s="52"/>
      <c r="N382" s="52"/>
      <c r="O382" s="52"/>
      <c r="P382" s="52"/>
      <c r="Q382" s="52"/>
      <c r="U382" s="52"/>
    </row>
    <row r="383">
      <c r="M383" s="52"/>
      <c r="N383" s="52"/>
      <c r="O383" s="52"/>
      <c r="P383" s="52"/>
      <c r="Q383" s="52"/>
      <c r="U383" s="52"/>
    </row>
    <row r="384">
      <c r="M384" s="52"/>
      <c r="N384" s="52"/>
      <c r="O384" s="52"/>
      <c r="P384" s="52"/>
      <c r="Q384" s="52"/>
      <c r="U384" s="52"/>
    </row>
    <row r="385">
      <c r="M385" s="52"/>
      <c r="N385" s="52"/>
      <c r="O385" s="52"/>
      <c r="P385" s="52"/>
      <c r="Q385" s="52"/>
      <c r="U385" s="52"/>
    </row>
    <row r="386">
      <c r="M386" s="52"/>
      <c r="N386" s="52"/>
      <c r="O386" s="52"/>
      <c r="P386" s="52"/>
      <c r="Q386" s="52"/>
      <c r="U386" s="52"/>
    </row>
    <row r="387">
      <c r="M387" s="52"/>
      <c r="N387" s="52"/>
      <c r="O387" s="52"/>
      <c r="P387" s="52"/>
      <c r="Q387" s="52"/>
      <c r="U387" s="52"/>
    </row>
    <row r="388">
      <c r="M388" s="52"/>
      <c r="N388" s="52"/>
      <c r="O388" s="52"/>
      <c r="P388" s="52"/>
      <c r="Q388" s="52"/>
      <c r="U388" s="52"/>
    </row>
    <row r="389">
      <c r="M389" s="52"/>
      <c r="N389" s="52"/>
      <c r="O389" s="52"/>
      <c r="P389" s="52"/>
      <c r="Q389" s="52"/>
      <c r="U389" s="52"/>
    </row>
    <row r="390">
      <c r="M390" s="52"/>
      <c r="N390" s="52"/>
      <c r="O390" s="52"/>
      <c r="P390" s="52"/>
      <c r="Q390" s="52"/>
      <c r="U390" s="52"/>
    </row>
    <row r="391">
      <c r="M391" s="52"/>
      <c r="N391" s="52"/>
      <c r="O391" s="52"/>
      <c r="P391" s="52"/>
      <c r="Q391" s="52"/>
      <c r="U391" s="52"/>
    </row>
    <row r="392">
      <c r="M392" s="52"/>
      <c r="N392" s="52"/>
      <c r="O392" s="52"/>
      <c r="P392" s="52"/>
      <c r="Q392" s="52"/>
      <c r="U392" s="52"/>
    </row>
    <row r="393">
      <c r="M393" s="52"/>
      <c r="N393" s="52"/>
      <c r="O393" s="52"/>
      <c r="P393" s="52"/>
      <c r="Q393" s="52"/>
      <c r="U393" s="52"/>
    </row>
    <row r="394">
      <c r="M394" s="52"/>
      <c r="N394" s="52"/>
      <c r="O394" s="52"/>
      <c r="P394" s="52"/>
      <c r="Q394" s="52"/>
      <c r="U394" s="52"/>
    </row>
    <row r="395">
      <c r="M395" s="52"/>
      <c r="N395" s="52"/>
      <c r="O395" s="52"/>
      <c r="P395" s="52"/>
      <c r="Q395" s="52"/>
      <c r="U395" s="52"/>
    </row>
    <row r="396">
      <c r="M396" s="52"/>
      <c r="N396" s="52"/>
      <c r="O396" s="52"/>
      <c r="P396" s="52"/>
      <c r="Q396" s="52"/>
      <c r="U396" s="52"/>
    </row>
    <row r="397">
      <c r="M397" s="52"/>
      <c r="N397" s="52"/>
      <c r="O397" s="52"/>
      <c r="P397" s="52"/>
      <c r="Q397" s="52"/>
      <c r="U397" s="52"/>
    </row>
    <row r="398">
      <c r="M398" s="52"/>
      <c r="N398" s="52"/>
      <c r="O398" s="52"/>
      <c r="P398" s="52"/>
      <c r="Q398" s="52"/>
      <c r="U398" s="52"/>
    </row>
    <row r="399">
      <c r="M399" s="52"/>
      <c r="N399" s="52"/>
      <c r="O399" s="52"/>
      <c r="P399" s="52"/>
      <c r="Q399" s="52"/>
      <c r="U399" s="52"/>
    </row>
    <row r="400">
      <c r="M400" s="52"/>
      <c r="N400" s="52"/>
      <c r="O400" s="52"/>
      <c r="P400" s="52"/>
      <c r="Q400" s="52"/>
      <c r="U400" s="52"/>
    </row>
    <row r="401">
      <c r="M401" s="52"/>
      <c r="N401" s="52"/>
      <c r="O401" s="52"/>
      <c r="P401" s="52"/>
      <c r="Q401" s="52"/>
      <c r="U401" s="52"/>
    </row>
    <row r="402">
      <c r="M402" s="52"/>
      <c r="N402" s="52"/>
      <c r="O402" s="52"/>
      <c r="P402" s="52"/>
      <c r="Q402" s="52"/>
      <c r="U402" s="52"/>
    </row>
    <row r="403">
      <c r="M403" s="52"/>
      <c r="N403" s="52"/>
      <c r="O403" s="52"/>
      <c r="P403" s="52"/>
      <c r="Q403" s="52"/>
      <c r="U403" s="52"/>
    </row>
    <row r="404">
      <c r="M404" s="52"/>
      <c r="N404" s="52"/>
      <c r="O404" s="52"/>
      <c r="P404" s="52"/>
      <c r="Q404" s="52"/>
      <c r="U404" s="52"/>
    </row>
    <row r="405">
      <c r="M405" s="52"/>
      <c r="N405" s="52"/>
      <c r="O405" s="52"/>
      <c r="P405" s="52"/>
      <c r="Q405" s="52"/>
      <c r="U405" s="52"/>
    </row>
    <row r="406">
      <c r="M406" s="52"/>
      <c r="N406" s="52"/>
      <c r="O406" s="52"/>
      <c r="P406" s="52"/>
      <c r="Q406" s="52"/>
      <c r="U406" s="52"/>
    </row>
    <row r="407">
      <c r="M407" s="52"/>
      <c r="N407" s="52"/>
      <c r="O407" s="52"/>
      <c r="P407" s="52"/>
      <c r="Q407" s="52"/>
      <c r="U407" s="52"/>
    </row>
    <row r="408">
      <c r="M408" s="52"/>
      <c r="N408" s="52"/>
      <c r="O408" s="52"/>
      <c r="P408" s="52"/>
      <c r="Q408" s="52"/>
      <c r="U408" s="52"/>
    </row>
    <row r="409">
      <c r="M409" s="52"/>
      <c r="N409" s="52"/>
      <c r="O409" s="52"/>
      <c r="P409" s="52"/>
      <c r="Q409" s="52"/>
      <c r="U409" s="52"/>
    </row>
    <row r="410">
      <c r="M410" s="52"/>
      <c r="N410" s="52"/>
      <c r="O410" s="52"/>
      <c r="P410" s="52"/>
      <c r="Q410" s="52"/>
      <c r="U410" s="52"/>
    </row>
    <row r="411">
      <c r="M411" s="52"/>
      <c r="N411" s="52"/>
      <c r="O411" s="52"/>
      <c r="P411" s="52"/>
      <c r="Q411" s="52"/>
      <c r="U411" s="52"/>
    </row>
    <row r="412">
      <c r="M412" s="52"/>
      <c r="N412" s="52"/>
      <c r="O412" s="52"/>
      <c r="P412" s="52"/>
      <c r="Q412" s="52"/>
      <c r="U412" s="52"/>
    </row>
    <row r="413">
      <c r="M413" s="52"/>
      <c r="N413" s="52"/>
      <c r="O413" s="52"/>
      <c r="P413" s="52"/>
      <c r="Q413" s="52"/>
      <c r="U413" s="52"/>
    </row>
    <row r="414">
      <c r="M414" s="52"/>
      <c r="N414" s="52"/>
      <c r="O414" s="52"/>
      <c r="P414" s="52"/>
      <c r="Q414" s="52"/>
      <c r="U414" s="52"/>
    </row>
    <row r="415">
      <c r="M415" s="52"/>
      <c r="N415" s="52"/>
      <c r="O415" s="52"/>
      <c r="P415" s="52"/>
      <c r="Q415" s="52"/>
      <c r="U415" s="52"/>
    </row>
    <row r="416">
      <c r="M416" s="52"/>
      <c r="N416" s="52"/>
      <c r="O416" s="52"/>
      <c r="P416" s="52"/>
      <c r="Q416" s="52"/>
      <c r="U416" s="52"/>
    </row>
    <row r="417">
      <c r="M417" s="52"/>
      <c r="N417" s="52"/>
      <c r="O417" s="52"/>
      <c r="P417" s="52"/>
      <c r="Q417" s="52"/>
      <c r="U417" s="52"/>
    </row>
    <row r="418">
      <c r="M418" s="52"/>
      <c r="N418" s="52"/>
      <c r="O418" s="52"/>
      <c r="P418" s="52"/>
      <c r="Q418" s="52"/>
      <c r="U418" s="52"/>
    </row>
    <row r="419">
      <c r="M419" s="52"/>
      <c r="N419" s="52"/>
      <c r="O419" s="52"/>
      <c r="P419" s="52"/>
      <c r="Q419" s="52"/>
      <c r="U419" s="52"/>
    </row>
    <row r="420">
      <c r="M420" s="52"/>
      <c r="N420" s="52"/>
      <c r="O420" s="52"/>
      <c r="P420" s="52"/>
      <c r="Q420" s="52"/>
      <c r="U420" s="52"/>
    </row>
    <row r="421">
      <c r="M421" s="52"/>
      <c r="N421" s="52"/>
      <c r="O421" s="52"/>
      <c r="P421" s="52"/>
      <c r="Q421" s="52"/>
      <c r="U421" s="52"/>
    </row>
    <row r="422">
      <c r="M422" s="52"/>
      <c r="N422" s="52"/>
      <c r="O422" s="52"/>
      <c r="P422" s="52"/>
      <c r="Q422" s="52"/>
      <c r="U422" s="52"/>
    </row>
    <row r="423">
      <c r="M423" s="52"/>
      <c r="N423" s="52"/>
      <c r="O423" s="52"/>
      <c r="P423" s="52"/>
      <c r="Q423" s="52"/>
      <c r="U423" s="52"/>
    </row>
    <row r="424">
      <c r="M424" s="52"/>
      <c r="N424" s="52"/>
      <c r="O424" s="52"/>
      <c r="P424" s="52"/>
      <c r="Q424" s="52"/>
      <c r="U424" s="52"/>
    </row>
    <row r="425">
      <c r="M425" s="52"/>
      <c r="N425" s="52"/>
      <c r="O425" s="52"/>
      <c r="P425" s="52"/>
      <c r="Q425" s="52"/>
      <c r="U425" s="52"/>
    </row>
    <row r="426">
      <c r="M426" s="52"/>
      <c r="N426" s="52"/>
      <c r="O426" s="52"/>
      <c r="P426" s="52"/>
      <c r="Q426" s="52"/>
      <c r="U426" s="52"/>
    </row>
    <row r="427">
      <c r="M427" s="52"/>
      <c r="N427" s="52"/>
      <c r="O427" s="52"/>
      <c r="P427" s="52"/>
      <c r="Q427" s="52"/>
      <c r="U427" s="52"/>
    </row>
    <row r="428">
      <c r="M428" s="52"/>
      <c r="N428" s="52"/>
      <c r="O428" s="52"/>
      <c r="P428" s="52"/>
      <c r="Q428" s="52"/>
      <c r="U428" s="52"/>
    </row>
    <row r="429">
      <c r="M429" s="52"/>
      <c r="N429" s="52"/>
      <c r="O429" s="52"/>
      <c r="P429" s="52"/>
      <c r="Q429" s="52"/>
      <c r="U429" s="52"/>
    </row>
    <row r="430">
      <c r="M430" s="52"/>
      <c r="N430" s="52"/>
      <c r="O430" s="52"/>
      <c r="P430" s="52"/>
      <c r="Q430" s="52"/>
      <c r="U430" s="52"/>
    </row>
    <row r="431">
      <c r="M431" s="52"/>
      <c r="N431" s="52"/>
      <c r="O431" s="52"/>
      <c r="P431" s="52"/>
      <c r="Q431" s="52"/>
      <c r="U431" s="52"/>
    </row>
    <row r="432">
      <c r="M432" s="52"/>
      <c r="N432" s="52"/>
      <c r="O432" s="52"/>
      <c r="P432" s="52"/>
      <c r="Q432" s="52"/>
      <c r="U432" s="52"/>
    </row>
    <row r="433">
      <c r="M433" s="52"/>
      <c r="N433" s="52"/>
      <c r="O433" s="52"/>
      <c r="P433" s="52"/>
      <c r="Q433" s="52"/>
      <c r="U433" s="52"/>
    </row>
    <row r="434">
      <c r="M434" s="52"/>
      <c r="N434" s="52"/>
      <c r="O434" s="52"/>
      <c r="P434" s="52"/>
      <c r="Q434" s="52"/>
      <c r="U434" s="52"/>
    </row>
    <row r="435">
      <c r="M435" s="52"/>
      <c r="N435" s="52"/>
      <c r="O435" s="52"/>
      <c r="P435" s="52"/>
      <c r="Q435" s="52"/>
      <c r="U435" s="52"/>
    </row>
    <row r="436">
      <c r="M436" s="52"/>
      <c r="N436" s="52"/>
      <c r="O436" s="52"/>
      <c r="P436" s="52"/>
      <c r="Q436" s="52"/>
      <c r="U436" s="52"/>
    </row>
    <row r="437">
      <c r="M437" s="52"/>
      <c r="N437" s="52"/>
      <c r="O437" s="52"/>
      <c r="P437" s="52"/>
      <c r="Q437" s="52"/>
      <c r="U437" s="52"/>
    </row>
    <row r="438">
      <c r="M438" s="52"/>
      <c r="N438" s="52"/>
      <c r="O438" s="52"/>
      <c r="P438" s="52"/>
      <c r="Q438" s="52"/>
      <c r="U438" s="52"/>
    </row>
    <row r="439">
      <c r="M439" s="52"/>
      <c r="N439" s="52"/>
      <c r="O439" s="52"/>
      <c r="P439" s="52"/>
      <c r="Q439" s="52"/>
      <c r="U439" s="52"/>
    </row>
    <row r="440">
      <c r="M440" s="52"/>
      <c r="N440" s="52"/>
      <c r="O440" s="52"/>
      <c r="P440" s="52"/>
      <c r="Q440" s="52"/>
      <c r="U440" s="52"/>
    </row>
    <row r="441">
      <c r="M441" s="52"/>
      <c r="N441" s="52"/>
      <c r="O441" s="52"/>
      <c r="P441" s="52"/>
      <c r="Q441" s="52"/>
      <c r="U441" s="52"/>
    </row>
    <row r="442">
      <c r="M442" s="52"/>
      <c r="N442" s="52"/>
      <c r="O442" s="52"/>
      <c r="P442" s="52"/>
      <c r="Q442" s="52"/>
      <c r="U442" s="52"/>
    </row>
    <row r="443">
      <c r="M443" s="52"/>
      <c r="N443" s="52"/>
      <c r="O443" s="52"/>
      <c r="P443" s="52"/>
      <c r="Q443" s="52"/>
      <c r="U443" s="52"/>
    </row>
    <row r="444">
      <c r="M444" s="52"/>
      <c r="N444" s="52"/>
      <c r="O444" s="52"/>
      <c r="P444" s="52"/>
      <c r="Q444" s="52"/>
      <c r="U444" s="52"/>
    </row>
    <row r="445">
      <c r="M445" s="52"/>
      <c r="N445" s="52"/>
      <c r="O445" s="52"/>
      <c r="P445" s="52"/>
      <c r="Q445" s="52"/>
      <c r="U445" s="52"/>
    </row>
    <row r="446">
      <c r="M446" s="52"/>
      <c r="N446" s="52"/>
      <c r="O446" s="52"/>
      <c r="P446" s="52"/>
      <c r="Q446" s="52"/>
      <c r="U446" s="52"/>
    </row>
    <row r="447">
      <c r="M447" s="52"/>
      <c r="N447" s="52"/>
      <c r="O447" s="52"/>
      <c r="P447" s="52"/>
      <c r="Q447" s="52"/>
      <c r="U447" s="52"/>
    </row>
    <row r="448">
      <c r="M448" s="52"/>
      <c r="N448" s="52"/>
      <c r="O448" s="52"/>
      <c r="P448" s="52"/>
      <c r="Q448" s="52"/>
      <c r="U448" s="52"/>
    </row>
    <row r="449">
      <c r="M449" s="52"/>
      <c r="N449" s="52"/>
      <c r="O449" s="52"/>
      <c r="P449" s="52"/>
      <c r="Q449" s="52"/>
      <c r="U449" s="52"/>
    </row>
    <row r="450">
      <c r="M450" s="52"/>
      <c r="N450" s="52"/>
      <c r="O450" s="52"/>
      <c r="P450" s="52"/>
      <c r="Q450" s="52"/>
      <c r="U450" s="52"/>
    </row>
    <row r="451">
      <c r="M451" s="52"/>
      <c r="N451" s="52"/>
      <c r="O451" s="52"/>
      <c r="P451" s="52"/>
      <c r="Q451" s="52"/>
      <c r="U451" s="52"/>
    </row>
    <row r="452">
      <c r="M452" s="52"/>
      <c r="N452" s="52"/>
      <c r="O452" s="52"/>
      <c r="P452" s="52"/>
      <c r="Q452" s="52"/>
      <c r="U452" s="52"/>
    </row>
    <row r="453">
      <c r="M453" s="52"/>
      <c r="N453" s="52"/>
      <c r="O453" s="52"/>
      <c r="P453" s="52"/>
      <c r="Q453" s="52"/>
      <c r="U453" s="52"/>
    </row>
    <row r="454">
      <c r="M454" s="52"/>
      <c r="N454" s="52"/>
      <c r="O454" s="52"/>
      <c r="P454" s="52"/>
      <c r="Q454" s="52"/>
      <c r="U454" s="52"/>
    </row>
    <row r="455">
      <c r="M455" s="52"/>
      <c r="N455" s="52"/>
      <c r="O455" s="52"/>
      <c r="P455" s="52"/>
      <c r="Q455" s="52"/>
      <c r="U455" s="52"/>
    </row>
    <row r="456">
      <c r="M456" s="52"/>
      <c r="N456" s="52"/>
      <c r="O456" s="52"/>
      <c r="P456" s="52"/>
      <c r="Q456" s="52"/>
      <c r="U456" s="52"/>
    </row>
    <row r="457">
      <c r="M457" s="52"/>
      <c r="N457" s="52"/>
      <c r="O457" s="52"/>
      <c r="P457" s="52"/>
      <c r="Q457" s="52"/>
      <c r="U457" s="52"/>
    </row>
    <row r="458">
      <c r="M458" s="52"/>
      <c r="N458" s="52"/>
      <c r="O458" s="52"/>
      <c r="P458" s="52"/>
      <c r="Q458" s="52"/>
      <c r="U458" s="52"/>
    </row>
    <row r="459">
      <c r="M459" s="52"/>
      <c r="N459" s="52"/>
      <c r="O459" s="52"/>
      <c r="P459" s="52"/>
      <c r="Q459" s="52"/>
      <c r="U459" s="52"/>
    </row>
    <row r="460">
      <c r="M460" s="52"/>
      <c r="N460" s="52"/>
      <c r="O460" s="52"/>
      <c r="P460" s="52"/>
      <c r="Q460" s="52"/>
      <c r="U460" s="52"/>
    </row>
    <row r="461">
      <c r="M461" s="52"/>
      <c r="N461" s="52"/>
      <c r="O461" s="52"/>
      <c r="P461" s="52"/>
      <c r="Q461" s="52"/>
      <c r="U461" s="52"/>
    </row>
    <row r="462">
      <c r="M462" s="52"/>
      <c r="N462" s="52"/>
      <c r="O462" s="52"/>
      <c r="P462" s="52"/>
      <c r="Q462" s="52"/>
      <c r="U462" s="52"/>
    </row>
    <row r="463">
      <c r="M463" s="52"/>
      <c r="N463" s="52"/>
      <c r="O463" s="52"/>
      <c r="P463" s="52"/>
      <c r="Q463" s="52"/>
      <c r="U463" s="52"/>
    </row>
    <row r="464">
      <c r="M464" s="52"/>
      <c r="N464" s="52"/>
      <c r="O464" s="52"/>
      <c r="P464" s="52"/>
      <c r="Q464" s="52"/>
      <c r="U464" s="52"/>
    </row>
    <row r="465">
      <c r="M465" s="52"/>
      <c r="N465" s="52"/>
      <c r="O465" s="52"/>
      <c r="P465" s="52"/>
      <c r="Q465" s="52"/>
      <c r="U465" s="52"/>
    </row>
    <row r="466">
      <c r="M466" s="52"/>
      <c r="N466" s="52"/>
      <c r="O466" s="52"/>
      <c r="P466" s="52"/>
      <c r="Q466" s="52"/>
      <c r="U466" s="52"/>
    </row>
    <row r="467">
      <c r="M467" s="52"/>
      <c r="N467" s="52"/>
      <c r="O467" s="52"/>
      <c r="P467" s="52"/>
      <c r="Q467" s="52"/>
      <c r="U467" s="52"/>
    </row>
    <row r="468">
      <c r="M468" s="52"/>
      <c r="N468" s="52"/>
      <c r="O468" s="52"/>
      <c r="P468" s="52"/>
      <c r="Q468" s="52"/>
      <c r="U468" s="52"/>
    </row>
    <row r="469">
      <c r="M469" s="52"/>
      <c r="N469" s="52"/>
      <c r="O469" s="52"/>
      <c r="P469" s="52"/>
      <c r="Q469" s="52"/>
      <c r="U469" s="52"/>
    </row>
    <row r="470">
      <c r="M470" s="52"/>
      <c r="N470" s="52"/>
      <c r="O470" s="52"/>
      <c r="P470" s="52"/>
      <c r="Q470" s="52"/>
      <c r="U470" s="52"/>
    </row>
    <row r="471">
      <c r="M471" s="52"/>
      <c r="N471" s="52"/>
      <c r="O471" s="52"/>
      <c r="P471" s="52"/>
      <c r="Q471" s="52"/>
      <c r="U471" s="52"/>
    </row>
    <row r="472">
      <c r="M472" s="52"/>
      <c r="N472" s="52"/>
      <c r="O472" s="52"/>
      <c r="P472" s="52"/>
      <c r="Q472" s="52"/>
      <c r="U472" s="52"/>
    </row>
    <row r="473">
      <c r="M473" s="52"/>
      <c r="N473" s="52"/>
      <c r="O473" s="52"/>
      <c r="P473" s="52"/>
      <c r="Q473" s="52"/>
      <c r="U473" s="52"/>
    </row>
    <row r="474">
      <c r="M474" s="52"/>
      <c r="N474" s="52"/>
      <c r="O474" s="52"/>
      <c r="P474" s="52"/>
      <c r="Q474" s="52"/>
      <c r="U474" s="52"/>
    </row>
    <row r="475">
      <c r="M475" s="52"/>
      <c r="N475" s="52"/>
      <c r="O475" s="52"/>
      <c r="P475" s="52"/>
      <c r="Q475" s="52"/>
      <c r="U475" s="52"/>
    </row>
    <row r="476">
      <c r="M476" s="52"/>
      <c r="N476" s="52"/>
      <c r="O476" s="52"/>
      <c r="P476" s="52"/>
      <c r="Q476" s="52"/>
      <c r="U476" s="52"/>
    </row>
    <row r="477">
      <c r="M477" s="52"/>
      <c r="N477" s="52"/>
      <c r="O477" s="52"/>
      <c r="P477" s="52"/>
      <c r="Q477" s="52"/>
      <c r="U477" s="52"/>
    </row>
    <row r="478">
      <c r="M478" s="52"/>
      <c r="N478" s="52"/>
      <c r="O478" s="52"/>
      <c r="P478" s="52"/>
      <c r="Q478" s="52"/>
      <c r="U478" s="52"/>
    </row>
    <row r="479">
      <c r="M479" s="52"/>
      <c r="N479" s="52"/>
      <c r="O479" s="52"/>
      <c r="P479" s="52"/>
      <c r="Q479" s="52"/>
      <c r="U479" s="52"/>
    </row>
    <row r="480">
      <c r="M480" s="52"/>
      <c r="N480" s="52"/>
      <c r="O480" s="52"/>
      <c r="P480" s="52"/>
      <c r="Q480" s="52"/>
      <c r="U480" s="52"/>
    </row>
    <row r="481">
      <c r="M481" s="52"/>
      <c r="N481" s="52"/>
      <c r="O481" s="52"/>
      <c r="P481" s="52"/>
      <c r="Q481" s="52"/>
      <c r="U481" s="52"/>
    </row>
    <row r="482">
      <c r="M482" s="52"/>
      <c r="N482" s="52"/>
      <c r="O482" s="52"/>
      <c r="P482" s="52"/>
      <c r="Q482" s="52"/>
      <c r="U482" s="52"/>
    </row>
    <row r="483">
      <c r="M483" s="52"/>
      <c r="N483" s="52"/>
      <c r="O483" s="52"/>
      <c r="P483" s="52"/>
      <c r="Q483" s="52"/>
      <c r="U483" s="52"/>
    </row>
    <row r="484">
      <c r="M484" s="52"/>
      <c r="N484" s="52"/>
      <c r="O484" s="52"/>
      <c r="P484" s="52"/>
      <c r="Q484" s="52"/>
      <c r="U484" s="52"/>
    </row>
    <row r="485">
      <c r="M485" s="52"/>
      <c r="N485" s="52"/>
      <c r="O485" s="52"/>
      <c r="P485" s="52"/>
      <c r="Q485" s="52"/>
      <c r="U485" s="52"/>
    </row>
    <row r="486">
      <c r="M486" s="52"/>
      <c r="N486" s="52"/>
      <c r="O486" s="52"/>
      <c r="P486" s="52"/>
      <c r="Q486" s="52"/>
      <c r="U486" s="52"/>
    </row>
    <row r="487">
      <c r="M487" s="52"/>
      <c r="N487" s="52"/>
      <c r="O487" s="52"/>
      <c r="P487" s="52"/>
      <c r="Q487" s="52"/>
      <c r="U487" s="52"/>
    </row>
    <row r="488">
      <c r="M488" s="52"/>
      <c r="N488" s="52"/>
      <c r="O488" s="52"/>
      <c r="P488" s="52"/>
      <c r="Q488" s="52"/>
      <c r="U488" s="52"/>
    </row>
    <row r="489">
      <c r="M489" s="52"/>
      <c r="N489" s="52"/>
      <c r="O489" s="52"/>
      <c r="P489" s="52"/>
      <c r="Q489" s="52"/>
      <c r="U489" s="52"/>
    </row>
    <row r="490">
      <c r="M490" s="52"/>
      <c r="N490" s="52"/>
      <c r="O490" s="52"/>
      <c r="P490" s="52"/>
      <c r="Q490" s="52"/>
      <c r="U490" s="52"/>
    </row>
    <row r="491">
      <c r="M491" s="52"/>
      <c r="N491" s="52"/>
      <c r="O491" s="52"/>
      <c r="P491" s="52"/>
      <c r="Q491" s="52"/>
      <c r="U491" s="52"/>
    </row>
    <row r="492">
      <c r="M492" s="52"/>
      <c r="N492" s="52"/>
      <c r="O492" s="52"/>
      <c r="P492" s="52"/>
      <c r="Q492" s="52"/>
      <c r="U492" s="52"/>
    </row>
    <row r="493">
      <c r="M493" s="52"/>
      <c r="N493" s="52"/>
      <c r="O493" s="52"/>
      <c r="P493" s="52"/>
      <c r="Q493" s="52"/>
      <c r="U493" s="52"/>
    </row>
    <row r="494">
      <c r="M494" s="52"/>
      <c r="N494" s="52"/>
      <c r="O494" s="52"/>
      <c r="P494" s="52"/>
      <c r="Q494" s="52"/>
      <c r="U494" s="52"/>
    </row>
    <row r="495">
      <c r="M495" s="52"/>
      <c r="N495" s="52"/>
      <c r="O495" s="52"/>
      <c r="P495" s="52"/>
      <c r="Q495" s="52"/>
      <c r="U495" s="52"/>
    </row>
    <row r="496">
      <c r="M496" s="52"/>
      <c r="N496" s="52"/>
      <c r="O496" s="52"/>
      <c r="P496" s="52"/>
      <c r="Q496" s="52"/>
      <c r="U496" s="52"/>
    </row>
    <row r="497">
      <c r="M497" s="52"/>
      <c r="N497" s="52"/>
      <c r="O497" s="52"/>
      <c r="P497" s="52"/>
      <c r="Q497" s="52"/>
      <c r="U497" s="52"/>
    </row>
    <row r="498">
      <c r="M498" s="52"/>
      <c r="N498" s="52"/>
      <c r="O498" s="52"/>
      <c r="P498" s="52"/>
      <c r="Q498" s="52"/>
      <c r="U498" s="52"/>
    </row>
    <row r="499">
      <c r="M499" s="52"/>
      <c r="N499" s="52"/>
      <c r="O499" s="52"/>
      <c r="P499" s="52"/>
      <c r="Q499" s="52"/>
      <c r="U499" s="52"/>
    </row>
    <row r="500">
      <c r="M500" s="52"/>
      <c r="N500" s="52"/>
      <c r="O500" s="52"/>
      <c r="P500" s="52"/>
      <c r="Q500" s="52"/>
      <c r="U500" s="52"/>
    </row>
    <row r="501">
      <c r="M501" s="52"/>
      <c r="N501" s="52"/>
      <c r="O501" s="52"/>
      <c r="P501" s="52"/>
      <c r="Q501" s="52"/>
      <c r="U501" s="52"/>
    </row>
    <row r="502">
      <c r="M502" s="52"/>
      <c r="N502" s="52"/>
      <c r="O502" s="52"/>
      <c r="P502" s="52"/>
      <c r="Q502" s="52"/>
      <c r="U502" s="52"/>
    </row>
    <row r="503">
      <c r="M503" s="52"/>
      <c r="N503" s="52"/>
      <c r="O503" s="52"/>
      <c r="P503" s="52"/>
      <c r="Q503" s="52"/>
      <c r="U503" s="52"/>
    </row>
    <row r="504">
      <c r="M504" s="52"/>
      <c r="N504" s="52"/>
      <c r="O504" s="52"/>
      <c r="P504" s="52"/>
      <c r="Q504" s="52"/>
      <c r="U504" s="52"/>
    </row>
    <row r="505">
      <c r="M505" s="52"/>
      <c r="N505" s="52"/>
      <c r="O505" s="52"/>
      <c r="P505" s="52"/>
      <c r="Q505" s="52"/>
      <c r="U505" s="52"/>
    </row>
    <row r="506">
      <c r="M506" s="52"/>
      <c r="N506" s="52"/>
      <c r="O506" s="52"/>
      <c r="P506" s="52"/>
      <c r="Q506" s="52"/>
      <c r="U506" s="52"/>
    </row>
    <row r="507">
      <c r="M507" s="52"/>
      <c r="N507" s="52"/>
      <c r="O507" s="52"/>
      <c r="P507" s="52"/>
      <c r="Q507" s="52"/>
      <c r="U507" s="52"/>
    </row>
    <row r="508">
      <c r="M508" s="52"/>
      <c r="N508" s="52"/>
      <c r="O508" s="52"/>
      <c r="P508" s="52"/>
      <c r="Q508" s="52"/>
      <c r="U508" s="52"/>
    </row>
    <row r="509">
      <c r="M509" s="52"/>
      <c r="N509" s="52"/>
      <c r="O509" s="52"/>
      <c r="P509" s="52"/>
      <c r="Q509" s="52"/>
      <c r="U509" s="52"/>
    </row>
    <row r="510">
      <c r="M510" s="52"/>
      <c r="N510" s="52"/>
      <c r="O510" s="52"/>
      <c r="P510" s="52"/>
      <c r="Q510" s="52"/>
      <c r="U510" s="52"/>
    </row>
    <row r="511">
      <c r="M511" s="52"/>
      <c r="N511" s="52"/>
      <c r="O511" s="52"/>
      <c r="P511" s="52"/>
      <c r="Q511" s="52"/>
      <c r="U511" s="52"/>
    </row>
    <row r="512">
      <c r="M512" s="52"/>
      <c r="N512" s="52"/>
      <c r="O512" s="52"/>
      <c r="P512" s="52"/>
      <c r="Q512" s="52"/>
      <c r="U512" s="52"/>
    </row>
    <row r="513">
      <c r="M513" s="52"/>
      <c r="N513" s="52"/>
      <c r="O513" s="52"/>
      <c r="P513" s="52"/>
      <c r="Q513" s="52"/>
      <c r="U513" s="52"/>
    </row>
    <row r="514">
      <c r="M514" s="52"/>
      <c r="N514" s="52"/>
      <c r="O514" s="52"/>
      <c r="P514" s="52"/>
      <c r="Q514" s="52"/>
      <c r="U514" s="52"/>
    </row>
    <row r="515">
      <c r="M515" s="52"/>
      <c r="N515" s="52"/>
      <c r="O515" s="52"/>
      <c r="P515" s="52"/>
      <c r="Q515" s="52"/>
      <c r="U515" s="52"/>
    </row>
    <row r="516">
      <c r="M516" s="52"/>
      <c r="N516" s="52"/>
      <c r="O516" s="52"/>
      <c r="P516" s="52"/>
      <c r="Q516" s="52"/>
      <c r="U516" s="52"/>
    </row>
    <row r="517">
      <c r="M517" s="52"/>
      <c r="N517" s="52"/>
      <c r="O517" s="52"/>
      <c r="P517" s="52"/>
      <c r="Q517" s="52"/>
      <c r="U517" s="52"/>
    </row>
    <row r="518">
      <c r="M518" s="52"/>
      <c r="N518" s="52"/>
      <c r="O518" s="52"/>
      <c r="P518" s="52"/>
      <c r="Q518" s="52"/>
      <c r="U518" s="52"/>
    </row>
    <row r="519">
      <c r="M519" s="52"/>
      <c r="N519" s="52"/>
      <c r="O519" s="52"/>
      <c r="P519" s="52"/>
      <c r="Q519" s="52"/>
      <c r="U519" s="52"/>
    </row>
    <row r="520">
      <c r="M520" s="52"/>
      <c r="N520" s="52"/>
      <c r="O520" s="52"/>
      <c r="P520" s="52"/>
      <c r="Q520" s="52"/>
      <c r="U520" s="52"/>
    </row>
    <row r="521">
      <c r="M521" s="52"/>
      <c r="N521" s="52"/>
      <c r="O521" s="52"/>
      <c r="P521" s="52"/>
      <c r="Q521" s="52"/>
      <c r="U521" s="52"/>
    </row>
    <row r="522">
      <c r="M522" s="52"/>
      <c r="N522" s="52"/>
      <c r="O522" s="52"/>
      <c r="P522" s="52"/>
      <c r="Q522" s="52"/>
      <c r="U522" s="52"/>
    </row>
    <row r="523">
      <c r="M523" s="52"/>
      <c r="N523" s="52"/>
      <c r="O523" s="52"/>
      <c r="P523" s="52"/>
      <c r="Q523" s="52"/>
      <c r="U523" s="52"/>
    </row>
    <row r="524">
      <c r="M524" s="52"/>
      <c r="N524" s="52"/>
      <c r="O524" s="52"/>
      <c r="P524" s="52"/>
      <c r="Q524" s="52"/>
      <c r="U524" s="52"/>
    </row>
    <row r="525">
      <c r="M525" s="52"/>
      <c r="N525" s="52"/>
      <c r="O525" s="52"/>
      <c r="P525" s="52"/>
      <c r="Q525" s="52"/>
      <c r="U525" s="52"/>
    </row>
    <row r="526">
      <c r="M526" s="52"/>
      <c r="N526" s="52"/>
      <c r="O526" s="52"/>
      <c r="P526" s="52"/>
      <c r="Q526" s="52"/>
      <c r="U526" s="52"/>
    </row>
    <row r="527">
      <c r="M527" s="52"/>
      <c r="N527" s="52"/>
      <c r="O527" s="52"/>
      <c r="P527" s="52"/>
      <c r="Q527" s="52"/>
      <c r="U527" s="52"/>
    </row>
    <row r="528">
      <c r="M528" s="52"/>
      <c r="N528" s="52"/>
      <c r="O528" s="52"/>
      <c r="P528" s="52"/>
      <c r="Q528" s="52"/>
      <c r="U528" s="52"/>
    </row>
    <row r="529">
      <c r="M529" s="52"/>
      <c r="N529" s="52"/>
      <c r="O529" s="52"/>
      <c r="P529" s="52"/>
      <c r="Q529" s="52"/>
      <c r="U529" s="52"/>
    </row>
    <row r="530">
      <c r="M530" s="52"/>
      <c r="N530" s="52"/>
      <c r="O530" s="52"/>
      <c r="P530" s="52"/>
      <c r="Q530" s="52"/>
      <c r="U530" s="52"/>
    </row>
    <row r="531">
      <c r="M531" s="52"/>
      <c r="N531" s="52"/>
      <c r="O531" s="52"/>
      <c r="P531" s="52"/>
      <c r="Q531" s="52"/>
      <c r="U531" s="52"/>
    </row>
    <row r="532">
      <c r="M532" s="52"/>
      <c r="N532" s="52"/>
      <c r="O532" s="52"/>
      <c r="P532" s="52"/>
      <c r="Q532" s="52"/>
      <c r="U532" s="52"/>
    </row>
    <row r="533">
      <c r="M533" s="52"/>
      <c r="N533" s="52"/>
      <c r="O533" s="52"/>
      <c r="P533" s="52"/>
      <c r="Q533" s="52"/>
      <c r="U533" s="52"/>
    </row>
    <row r="534">
      <c r="M534" s="52"/>
      <c r="N534" s="52"/>
      <c r="O534" s="52"/>
      <c r="P534" s="52"/>
      <c r="Q534" s="52"/>
      <c r="U534" s="52"/>
    </row>
    <row r="535">
      <c r="M535" s="52"/>
      <c r="N535" s="52"/>
      <c r="O535" s="52"/>
      <c r="P535" s="52"/>
      <c r="Q535" s="52"/>
      <c r="U535" s="52"/>
    </row>
    <row r="536">
      <c r="M536" s="52"/>
      <c r="N536" s="52"/>
      <c r="O536" s="52"/>
      <c r="P536" s="52"/>
      <c r="Q536" s="52"/>
      <c r="U536" s="52"/>
    </row>
    <row r="537">
      <c r="M537" s="52"/>
      <c r="N537" s="52"/>
      <c r="O537" s="52"/>
      <c r="P537" s="52"/>
      <c r="Q537" s="52"/>
      <c r="U537" s="52"/>
    </row>
    <row r="538">
      <c r="M538" s="52"/>
      <c r="N538" s="52"/>
      <c r="O538" s="52"/>
      <c r="P538" s="52"/>
      <c r="Q538" s="52"/>
      <c r="U538" s="52"/>
    </row>
    <row r="539">
      <c r="M539" s="52"/>
      <c r="N539" s="52"/>
      <c r="O539" s="52"/>
      <c r="P539" s="52"/>
      <c r="Q539" s="52"/>
      <c r="U539" s="52"/>
    </row>
    <row r="540">
      <c r="M540" s="52"/>
      <c r="N540" s="52"/>
      <c r="O540" s="52"/>
      <c r="P540" s="52"/>
      <c r="Q540" s="52"/>
      <c r="U540" s="52"/>
    </row>
    <row r="541">
      <c r="M541" s="52"/>
      <c r="N541" s="52"/>
      <c r="O541" s="52"/>
      <c r="P541" s="52"/>
      <c r="Q541" s="52"/>
      <c r="U541" s="52"/>
    </row>
    <row r="542">
      <c r="M542" s="52"/>
      <c r="N542" s="52"/>
      <c r="O542" s="52"/>
      <c r="P542" s="52"/>
      <c r="Q542" s="52"/>
      <c r="U542" s="52"/>
    </row>
    <row r="543">
      <c r="M543" s="52"/>
      <c r="N543" s="52"/>
      <c r="O543" s="52"/>
      <c r="P543" s="52"/>
      <c r="Q543" s="52"/>
      <c r="U543" s="52"/>
    </row>
    <row r="544">
      <c r="M544" s="52"/>
      <c r="N544" s="52"/>
      <c r="O544" s="52"/>
      <c r="P544" s="52"/>
      <c r="Q544" s="52"/>
      <c r="U544" s="52"/>
    </row>
    <row r="545">
      <c r="M545" s="52"/>
      <c r="N545" s="52"/>
      <c r="O545" s="52"/>
      <c r="P545" s="52"/>
      <c r="Q545" s="52"/>
      <c r="U545" s="52"/>
    </row>
    <row r="546">
      <c r="M546" s="52"/>
      <c r="N546" s="52"/>
      <c r="O546" s="52"/>
      <c r="P546" s="52"/>
      <c r="Q546" s="52"/>
      <c r="U546" s="52"/>
    </row>
    <row r="547">
      <c r="M547" s="52"/>
      <c r="N547" s="52"/>
      <c r="O547" s="52"/>
      <c r="P547" s="52"/>
      <c r="Q547" s="52"/>
      <c r="U547" s="52"/>
    </row>
    <row r="548">
      <c r="M548" s="52"/>
      <c r="N548" s="52"/>
      <c r="O548" s="52"/>
      <c r="P548" s="52"/>
      <c r="Q548" s="52"/>
      <c r="U548" s="52"/>
    </row>
    <row r="549">
      <c r="M549" s="52"/>
      <c r="N549" s="52"/>
      <c r="O549" s="52"/>
      <c r="P549" s="52"/>
      <c r="Q549" s="52"/>
      <c r="U549" s="52"/>
    </row>
    <row r="550">
      <c r="M550" s="52"/>
      <c r="N550" s="52"/>
      <c r="O550" s="52"/>
      <c r="P550" s="52"/>
      <c r="Q550" s="52"/>
      <c r="U550" s="52"/>
    </row>
    <row r="551">
      <c r="M551" s="52"/>
      <c r="N551" s="52"/>
      <c r="O551" s="52"/>
      <c r="P551" s="52"/>
      <c r="Q551" s="52"/>
      <c r="U551" s="52"/>
    </row>
    <row r="552">
      <c r="M552" s="52"/>
      <c r="N552" s="52"/>
      <c r="O552" s="52"/>
      <c r="P552" s="52"/>
      <c r="Q552" s="52"/>
      <c r="U552" s="52"/>
    </row>
    <row r="553">
      <c r="M553" s="52"/>
      <c r="N553" s="52"/>
      <c r="O553" s="52"/>
      <c r="P553" s="52"/>
      <c r="Q553" s="52"/>
      <c r="U553" s="52"/>
    </row>
    <row r="554">
      <c r="M554" s="52"/>
      <c r="N554" s="52"/>
      <c r="O554" s="52"/>
      <c r="P554" s="52"/>
      <c r="Q554" s="52"/>
      <c r="U554" s="52"/>
    </row>
    <row r="555">
      <c r="M555" s="52"/>
      <c r="N555" s="52"/>
      <c r="O555" s="52"/>
      <c r="P555" s="52"/>
      <c r="Q555" s="52"/>
      <c r="U555" s="52"/>
    </row>
    <row r="556">
      <c r="M556" s="52"/>
      <c r="N556" s="52"/>
      <c r="O556" s="52"/>
      <c r="P556" s="52"/>
      <c r="Q556" s="52"/>
      <c r="U556" s="52"/>
    </row>
    <row r="557">
      <c r="M557" s="52"/>
      <c r="N557" s="52"/>
      <c r="O557" s="52"/>
      <c r="P557" s="52"/>
      <c r="Q557" s="52"/>
      <c r="U557" s="52"/>
    </row>
    <row r="558">
      <c r="M558" s="52"/>
      <c r="N558" s="52"/>
      <c r="O558" s="52"/>
      <c r="P558" s="52"/>
      <c r="Q558" s="52"/>
      <c r="U558" s="52"/>
    </row>
    <row r="559">
      <c r="M559" s="52"/>
      <c r="N559" s="52"/>
      <c r="O559" s="52"/>
      <c r="P559" s="52"/>
      <c r="Q559" s="52"/>
      <c r="U559" s="52"/>
    </row>
    <row r="560">
      <c r="M560" s="52"/>
      <c r="N560" s="52"/>
      <c r="O560" s="52"/>
      <c r="P560" s="52"/>
      <c r="Q560" s="52"/>
      <c r="U560" s="52"/>
    </row>
    <row r="561">
      <c r="M561" s="52"/>
      <c r="N561" s="52"/>
      <c r="O561" s="52"/>
      <c r="P561" s="52"/>
      <c r="Q561" s="52"/>
      <c r="U561" s="52"/>
    </row>
    <row r="562">
      <c r="M562" s="52"/>
      <c r="N562" s="52"/>
      <c r="O562" s="52"/>
      <c r="P562" s="52"/>
      <c r="Q562" s="52"/>
      <c r="U562" s="52"/>
    </row>
    <row r="563">
      <c r="M563" s="52"/>
      <c r="N563" s="52"/>
      <c r="O563" s="52"/>
      <c r="P563" s="52"/>
      <c r="Q563" s="52"/>
      <c r="U563" s="52"/>
    </row>
    <row r="564">
      <c r="M564" s="52"/>
      <c r="N564" s="52"/>
      <c r="O564" s="52"/>
      <c r="P564" s="52"/>
      <c r="Q564" s="52"/>
      <c r="U564" s="52"/>
    </row>
    <row r="565">
      <c r="M565" s="52"/>
      <c r="N565" s="52"/>
      <c r="O565" s="52"/>
      <c r="P565" s="52"/>
      <c r="Q565" s="52"/>
      <c r="U565" s="52"/>
    </row>
    <row r="566">
      <c r="M566" s="52"/>
      <c r="N566" s="52"/>
      <c r="O566" s="52"/>
      <c r="P566" s="52"/>
      <c r="Q566" s="52"/>
      <c r="U566" s="52"/>
    </row>
    <row r="567">
      <c r="M567" s="52"/>
      <c r="N567" s="52"/>
      <c r="O567" s="52"/>
      <c r="P567" s="52"/>
      <c r="Q567" s="52"/>
      <c r="U567" s="52"/>
    </row>
    <row r="568">
      <c r="M568" s="52"/>
      <c r="N568" s="52"/>
      <c r="O568" s="52"/>
      <c r="P568" s="52"/>
      <c r="Q568" s="52"/>
      <c r="U568" s="52"/>
    </row>
    <row r="569">
      <c r="M569" s="52"/>
      <c r="N569" s="52"/>
      <c r="O569" s="52"/>
      <c r="P569" s="52"/>
      <c r="Q569" s="52"/>
      <c r="U569" s="52"/>
    </row>
    <row r="570">
      <c r="M570" s="52"/>
      <c r="N570" s="52"/>
      <c r="O570" s="52"/>
      <c r="P570" s="52"/>
      <c r="Q570" s="52"/>
      <c r="U570" s="52"/>
    </row>
    <row r="571">
      <c r="M571" s="52"/>
      <c r="N571" s="52"/>
      <c r="O571" s="52"/>
      <c r="P571" s="52"/>
      <c r="Q571" s="52"/>
      <c r="U571" s="52"/>
    </row>
    <row r="572">
      <c r="M572" s="52"/>
      <c r="N572" s="52"/>
      <c r="O572" s="52"/>
      <c r="P572" s="52"/>
      <c r="Q572" s="52"/>
      <c r="U572" s="52"/>
    </row>
    <row r="573">
      <c r="M573" s="52"/>
      <c r="N573" s="52"/>
      <c r="O573" s="52"/>
      <c r="P573" s="52"/>
      <c r="Q573" s="52"/>
      <c r="U573" s="52"/>
    </row>
    <row r="574">
      <c r="M574" s="52"/>
      <c r="N574" s="52"/>
      <c r="O574" s="52"/>
      <c r="P574" s="52"/>
      <c r="Q574" s="52"/>
      <c r="U574" s="52"/>
    </row>
    <row r="575">
      <c r="M575" s="52"/>
      <c r="N575" s="52"/>
      <c r="O575" s="52"/>
      <c r="P575" s="52"/>
      <c r="Q575" s="52"/>
      <c r="U575" s="52"/>
    </row>
    <row r="576">
      <c r="M576" s="52"/>
      <c r="N576" s="52"/>
      <c r="O576" s="52"/>
      <c r="P576" s="52"/>
      <c r="Q576" s="52"/>
      <c r="U576" s="52"/>
    </row>
    <row r="577">
      <c r="M577" s="52"/>
      <c r="N577" s="52"/>
      <c r="O577" s="52"/>
      <c r="P577" s="52"/>
      <c r="Q577" s="52"/>
      <c r="U577" s="52"/>
    </row>
    <row r="578">
      <c r="M578" s="52"/>
      <c r="N578" s="52"/>
      <c r="O578" s="52"/>
      <c r="P578" s="52"/>
      <c r="Q578" s="52"/>
      <c r="U578" s="52"/>
    </row>
    <row r="579">
      <c r="M579" s="52"/>
      <c r="N579" s="52"/>
      <c r="O579" s="52"/>
      <c r="P579" s="52"/>
      <c r="Q579" s="52"/>
      <c r="U579" s="52"/>
    </row>
    <row r="580">
      <c r="M580" s="52"/>
      <c r="N580" s="52"/>
      <c r="O580" s="52"/>
      <c r="P580" s="52"/>
      <c r="Q580" s="52"/>
      <c r="U580" s="52"/>
    </row>
    <row r="581">
      <c r="M581" s="52"/>
      <c r="N581" s="52"/>
      <c r="O581" s="52"/>
      <c r="P581" s="52"/>
      <c r="Q581" s="52"/>
      <c r="U581" s="52"/>
    </row>
    <row r="582">
      <c r="M582" s="52"/>
      <c r="N582" s="52"/>
      <c r="O582" s="52"/>
      <c r="P582" s="52"/>
      <c r="Q582" s="52"/>
      <c r="U582" s="52"/>
    </row>
    <row r="583">
      <c r="M583" s="52"/>
      <c r="N583" s="52"/>
      <c r="O583" s="52"/>
      <c r="P583" s="52"/>
      <c r="Q583" s="52"/>
      <c r="U583" s="52"/>
    </row>
    <row r="584">
      <c r="M584" s="52"/>
      <c r="N584" s="52"/>
      <c r="O584" s="52"/>
      <c r="P584" s="52"/>
      <c r="Q584" s="52"/>
      <c r="U584" s="52"/>
    </row>
    <row r="585">
      <c r="M585" s="52"/>
      <c r="N585" s="52"/>
      <c r="O585" s="52"/>
      <c r="P585" s="52"/>
      <c r="Q585" s="52"/>
      <c r="U585" s="52"/>
    </row>
    <row r="586">
      <c r="M586" s="52"/>
      <c r="N586" s="52"/>
      <c r="O586" s="52"/>
      <c r="P586" s="52"/>
      <c r="Q586" s="52"/>
      <c r="U586" s="52"/>
    </row>
    <row r="587">
      <c r="M587" s="52"/>
      <c r="N587" s="52"/>
      <c r="O587" s="52"/>
      <c r="P587" s="52"/>
      <c r="Q587" s="52"/>
      <c r="U587" s="52"/>
    </row>
    <row r="588">
      <c r="M588" s="52"/>
      <c r="N588" s="52"/>
      <c r="O588" s="52"/>
      <c r="P588" s="52"/>
      <c r="Q588" s="52"/>
      <c r="U588" s="52"/>
    </row>
    <row r="589">
      <c r="M589" s="52"/>
      <c r="N589" s="52"/>
      <c r="O589" s="52"/>
      <c r="P589" s="52"/>
      <c r="Q589" s="52"/>
      <c r="U589" s="52"/>
    </row>
    <row r="590">
      <c r="M590" s="52"/>
      <c r="N590" s="52"/>
      <c r="O590" s="52"/>
      <c r="P590" s="52"/>
      <c r="Q590" s="52"/>
      <c r="U590" s="52"/>
    </row>
    <row r="591">
      <c r="M591" s="52"/>
      <c r="N591" s="52"/>
      <c r="O591" s="52"/>
      <c r="P591" s="52"/>
      <c r="Q591" s="52"/>
      <c r="U591" s="52"/>
    </row>
    <row r="592">
      <c r="M592" s="52"/>
      <c r="N592" s="52"/>
      <c r="O592" s="52"/>
      <c r="P592" s="52"/>
      <c r="Q592" s="52"/>
      <c r="U592" s="52"/>
    </row>
    <row r="593">
      <c r="M593" s="52"/>
      <c r="N593" s="52"/>
      <c r="O593" s="52"/>
      <c r="P593" s="52"/>
      <c r="Q593" s="52"/>
      <c r="U593" s="52"/>
    </row>
    <row r="594">
      <c r="M594" s="52"/>
      <c r="N594" s="52"/>
      <c r="O594" s="52"/>
      <c r="P594" s="52"/>
      <c r="Q594" s="52"/>
      <c r="U594" s="52"/>
    </row>
    <row r="595">
      <c r="M595" s="52"/>
      <c r="N595" s="52"/>
      <c r="O595" s="52"/>
      <c r="P595" s="52"/>
      <c r="Q595" s="52"/>
      <c r="U595" s="52"/>
    </row>
    <row r="596">
      <c r="M596" s="52"/>
      <c r="N596" s="52"/>
      <c r="O596" s="52"/>
      <c r="P596" s="52"/>
      <c r="Q596" s="52"/>
      <c r="U596" s="52"/>
    </row>
    <row r="597">
      <c r="M597" s="52"/>
      <c r="N597" s="52"/>
      <c r="O597" s="52"/>
      <c r="P597" s="52"/>
      <c r="Q597" s="52"/>
      <c r="U597" s="52"/>
    </row>
    <row r="598">
      <c r="M598" s="52"/>
      <c r="N598" s="52"/>
      <c r="O598" s="52"/>
      <c r="P598" s="52"/>
      <c r="Q598" s="52"/>
      <c r="U598" s="52"/>
    </row>
    <row r="599">
      <c r="M599" s="52"/>
      <c r="N599" s="52"/>
      <c r="O599" s="52"/>
      <c r="P599" s="52"/>
      <c r="Q599" s="52"/>
      <c r="U599" s="52"/>
    </row>
    <row r="600">
      <c r="M600" s="52"/>
      <c r="N600" s="52"/>
      <c r="O600" s="52"/>
      <c r="P600" s="52"/>
      <c r="Q600" s="52"/>
      <c r="U600" s="52"/>
    </row>
    <row r="601">
      <c r="M601" s="52"/>
      <c r="N601" s="52"/>
      <c r="O601" s="52"/>
      <c r="P601" s="52"/>
      <c r="Q601" s="52"/>
      <c r="U601" s="52"/>
    </row>
    <row r="602">
      <c r="M602" s="52"/>
      <c r="N602" s="52"/>
      <c r="O602" s="52"/>
      <c r="P602" s="52"/>
      <c r="Q602" s="52"/>
      <c r="U602" s="52"/>
    </row>
    <row r="603">
      <c r="M603" s="52"/>
      <c r="N603" s="52"/>
      <c r="O603" s="52"/>
      <c r="P603" s="52"/>
      <c r="Q603" s="52"/>
      <c r="U603" s="52"/>
    </row>
    <row r="604">
      <c r="M604" s="52"/>
      <c r="N604" s="52"/>
      <c r="O604" s="52"/>
      <c r="P604" s="52"/>
      <c r="Q604" s="52"/>
      <c r="U604" s="52"/>
    </row>
    <row r="605">
      <c r="M605" s="52"/>
      <c r="N605" s="52"/>
      <c r="O605" s="52"/>
      <c r="P605" s="52"/>
      <c r="Q605" s="52"/>
      <c r="U605" s="52"/>
    </row>
    <row r="606">
      <c r="M606" s="52"/>
      <c r="N606" s="52"/>
      <c r="O606" s="52"/>
      <c r="P606" s="52"/>
      <c r="Q606" s="52"/>
      <c r="U606" s="52"/>
    </row>
    <row r="607">
      <c r="M607" s="52"/>
      <c r="N607" s="52"/>
      <c r="O607" s="52"/>
      <c r="P607" s="52"/>
      <c r="Q607" s="52"/>
      <c r="U607" s="52"/>
    </row>
    <row r="608">
      <c r="M608" s="52"/>
      <c r="N608" s="52"/>
      <c r="O608" s="52"/>
      <c r="P608" s="52"/>
      <c r="Q608" s="52"/>
      <c r="U608" s="52"/>
    </row>
    <row r="609">
      <c r="M609" s="52"/>
      <c r="N609" s="52"/>
      <c r="O609" s="52"/>
      <c r="P609" s="52"/>
      <c r="Q609" s="52"/>
      <c r="U609" s="52"/>
    </row>
    <row r="610">
      <c r="M610" s="52"/>
      <c r="N610" s="52"/>
      <c r="O610" s="52"/>
      <c r="P610" s="52"/>
      <c r="Q610" s="52"/>
      <c r="U610" s="52"/>
    </row>
    <row r="611">
      <c r="M611" s="52"/>
      <c r="N611" s="52"/>
      <c r="O611" s="52"/>
      <c r="P611" s="52"/>
      <c r="Q611" s="52"/>
      <c r="U611" s="52"/>
    </row>
    <row r="612">
      <c r="M612" s="52"/>
      <c r="N612" s="52"/>
      <c r="O612" s="52"/>
      <c r="P612" s="52"/>
      <c r="Q612" s="52"/>
      <c r="U612" s="52"/>
    </row>
    <row r="613">
      <c r="M613" s="52"/>
      <c r="N613" s="52"/>
      <c r="O613" s="52"/>
      <c r="P613" s="52"/>
      <c r="Q613" s="52"/>
      <c r="U613" s="52"/>
    </row>
    <row r="614">
      <c r="M614" s="52"/>
      <c r="N614" s="52"/>
      <c r="O614" s="52"/>
      <c r="P614" s="52"/>
      <c r="Q614" s="52"/>
      <c r="U614" s="52"/>
    </row>
    <row r="615">
      <c r="M615" s="52"/>
      <c r="N615" s="52"/>
      <c r="O615" s="52"/>
      <c r="P615" s="52"/>
      <c r="Q615" s="52"/>
      <c r="U615" s="52"/>
    </row>
    <row r="616">
      <c r="M616" s="52"/>
      <c r="N616" s="52"/>
      <c r="O616" s="52"/>
      <c r="P616" s="52"/>
      <c r="Q616" s="52"/>
      <c r="U616" s="52"/>
    </row>
    <row r="617">
      <c r="M617" s="52"/>
      <c r="N617" s="52"/>
      <c r="O617" s="52"/>
      <c r="P617" s="52"/>
      <c r="Q617" s="52"/>
      <c r="U617" s="52"/>
    </row>
    <row r="618">
      <c r="M618" s="52"/>
      <c r="N618" s="52"/>
      <c r="O618" s="52"/>
      <c r="P618" s="52"/>
      <c r="Q618" s="52"/>
      <c r="U618" s="52"/>
    </row>
    <row r="619">
      <c r="M619" s="52"/>
      <c r="N619" s="52"/>
      <c r="O619" s="52"/>
      <c r="P619" s="52"/>
      <c r="Q619" s="52"/>
      <c r="U619" s="52"/>
    </row>
    <row r="620">
      <c r="M620" s="52"/>
      <c r="N620" s="52"/>
      <c r="O620" s="52"/>
      <c r="P620" s="52"/>
      <c r="Q620" s="52"/>
      <c r="U620" s="52"/>
    </row>
    <row r="621">
      <c r="M621" s="52"/>
      <c r="N621" s="52"/>
      <c r="O621" s="52"/>
      <c r="P621" s="52"/>
      <c r="Q621" s="52"/>
      <c r="U621" s="52"/>
    </row>
    <row r="622">
      <c r="M622" s="52"/>
      <c r="N622" s="52"/>
      <c r="O622" s="52"/>
      <c r="P622" s="52"/>
      <c r="Q622" s="52"/>
      <c r="U622" s="52"/>
    </row>
    <row r="623">
      <c r="M623" s="52"/>
      <c r="N623" s="52"/>
      <c r="O623" s="52"/>
      <c r="P623" s="52"/>
      <c r="Q623" s="52"/>
      <c r="U623" s="52"/>
    </row>
    <row r="624">
      <c r="M624" s="52"/>
      <c r="N624" s="52"/>
      <c r="O624" s="52"/>
      <c r="P624" s="52"/>
      <c r="Q624" s="52"/>
      <c r="U624" s="52"/>
    </row>
    <row r="625">
      <c r="M625" s="52"/>
      <c r="N625" s="52"/>
      <c r="O625" s="52"/>
      <c r="P625" s="52"/>
      <c r="Q625" s="52"/>
      <c r="U625" s="52"/>
    </row>
    <row r="626">
      <c r="M626" s="52"/>
      <c r="N626" s="52"/>
      <c r="O626" s="52"/>
      <c r="P626" s="52"/>
      <c r="Q626" s="52"/>
      <c r="U626" s="52"/>
    </row>
    <row r="627">
      <c r="M627" s="52"/>
      <c r="N627" s="52"/>
      <c r="O627" s="52"/>
      <c r="P627" s="52"/>
      <c r="Q627" s="52"/>
      <c r="U627" s="52"/>
    </row>
    <row r="628">
      <c r="M628" s="52"/>
      <c r="N628" s="52"/>
      <c r="O628" s="52"/>
      <c r="P628" s="52"/>
      <c r="Q628" s="52"/>
      <c r="U628" s="52"/>
    </row>
    <row r="629">
      <c r="M629" s="52"/>
      <c r="N629" s="52"/>
      <c r="O629" s="52"/>
      <c r="P629" s="52"/>
      <c r="Q629" s="52"/>
      <c r="U629" s="52"/>
    </row>
    <row r="630">
      <c r="M630" s="52"/>
      <c r="N630" s="52"/>
      <c r="O630" s="52"/>
      <c r="P630" s="52"/>
      <c r="Q630" s="52"/>
      <c r="U630" s="52"/>
    </row>
    <row r="631">
      <c r="M631" s="52"/>
      <c r="N631" s="52"/>
      <c r="O631" s="52"/>
      <c r="P631" s="52"/>
      <c r="Q631" s="52"/>
      <c r="U631" s="52"/>
    </row>
    <row r="632">
      <c r="M632" s="52"/>
      <c r="N632" s="52"/>
      <c r="O632" s="52"/>
      <c r="P632" s="52"/>
      <c r="Q632" s="52"/>
      <c r="U632" s="52"/>
    </row>
    <row r="633">
      <c r="M633" s="52"/>
      <c r="N633" s="52"/>
      <c r="O633" s="52"/>
      <c r="P633" s="52"/>
      <c r="Q633" s="52"/>
      <c r="U633" s="52"/>
    </row>
    <row r="634">
      <c r="M634" s="52"/>
      <c r="N634" s="52"/>
      <c r="O634" s="52"/>
      <c r="P634" s="52"/>
      <c r="Q634" s="52"/>
      <c r="U634" s="52"/>
    </row>
    <row r="635">
      <c r="M635" s="52"/>
      <c r="N635" s="52"/>
      <c r="O635" s="52"/>
      <c r="P635" s="52"/>
      <c r="Q635" s="52"/>
      <c r="U635" s="52"/>
    </row>
    <row r="636">
      <c r="M636" s="52"/>
      <c r="N636" s="52"/>
      <c r="O636" s="52"/>
      <c r="P636" s="52"/>
      <c r="Q636" s="52"/>
      <c r="U636" s="52"/>
    </row>
    <row r="637">
      <c r="M637" s="52"/>
      <c r="N637" s="52"/>
      <c r="O637" s="52"/>
      <c r="P637" s="52"/>
      <c r="Q637" s="52"/>
      <c r="U637" s="52"/>
    </row>
    <row r="638">
      <c r="M638" s="52"/>
      <c r="N638" s="52"/>
      <c r="O638" s="52"/>
      <c r="P638" s="52"/>
      <c r="Q638" s="52"/>
      <c r="U638" s="52"/>
    </row>
    <row r="639">
      <c r="M639" s="52"/>
      <c r="N639" s="52"/>
      <c r="O639" s="52"/>
      <c r="P639" s="52"/>
      <c r="Q639" s="52"/>
      <c r="U639" s="52"/>
    </row>
    <row r="640">
      <c r="M640" s="52"/>
      <c r="N640" s="52"/>
      <c r="O640" s="52"/>
      <c r="P640" s="52"/>
      <c r="Q640" s="52"/>
      <c r="U640" s="52"/>
    </row>
    <row r="641">
      <c r="M641" s="52"/>
      <c r="N641" s="52"/>
      <c r="O641" s="52"/>
      <c r="P641" s="52"/>
      <c r="Q641" s="52"/>
      <c r="U641" s="52"/>
    </row>
    <row r="642">
      <c r="M642" s="52"/>
      <c r="N642" s="52"/>
      <c r="O642" s="52"/>
      <c r="P642" s="52"/>
      <c r="Q642" s="52"/>
      <c r="U642" s="52"/>
    </row>
    <row r="643">
      <c r="M643" s="52"/>
      <c r="N643" s="52"/>
      <c r="O643" s="52"/>
      <c r="P643" s="52"/>
      <c r="Q643" s="52"/>
      <c r="U643" s="52"/>
    </row>
    <row r="644">
      <c r="M644" s="52"/>
      <c r="N644" s="52"/>
      <c r="O644" s="52"/>
      <c r="P644" s="52"/>
      <c r="Q644" s="52"/>
      <c r="U644" s="52"/>
    </row>
    <row r="645">
      <c r="M645" s="52"/>
      <c r="N645" s="52"/>
      <c r="O645" s="52"/>
      <c r="P645" s="52"/>
      <c r="Q645" s="52"/>
      <c r="U645" s="52"/>
    </row>
    <row r="646">
      <c r="M646" s="52"/>
      <c r="N646" s="52"/>
      <c r="O646" s="52"/>
      <c r="P646" s="52"/>
      <c r="Q646" s="52"/>
      <c r="U646" s="52"/>
    </row>
    <row r="647">
      <c r="M647" s="52"/>
      <c r="N647" s="52"/>
      <c r="O647" s="52"/>
      <c r="P647" s="52"/>
      <c r="Q647" s="52"/>
      <c r="U647" s="52"/>
    </row>
    <row r="648">
      <c r="M648" s="52"/>
      <c r="N648" s="52"/>
      <c r="O648" s="52"/>
      <c r="P648" s="52"/>
      <c r="Q648" s="52"/>
      <c r="U648" s="52"/>
    </row>
    <row r="649">
      <c r="M649" s="52"/>
      <c r="N649" s="52"/>
      <c r="O649" s="52"/>
      <c r="P649" s="52"/>
      <c r="Q649" s="52"/>
      <c r="U649" s="52"/>
    </row>
    <row r="650">
      <c r="M650" s="52"/>
      <c r="N650" s="52"/>
      <c r="O650" s="52"/>
      <c r="P650" s="52"/>
      <c r="Q650" s="52"/>
      <c r="U650" s="52"/>
    </row>
    <row r="651">
      <c r="M651" s="52"/>
      <c r="N651" s="52"/>
      <c r="O651" s="52"/>
      <c r="P651" s="52"/>
      <c r="Q651" s="52"/>
      <c r="U651" s="52"/>
    </row>
    <row r="652">
      <c r="M652" s="52"/>
      <c r="N652" s="52"/>
      <c r="O652" s="52"/>
      <c r="P652" s="52"/>
      <c r="Q652" s="52"/>
      <c r="U652" s="52"/>
    </row>
    <row r="653">
      <c r="M653" s="52"/>
      <c r="N653" s="52"/>
      <c r="O653" s="52"/>
      <c r="P653" s="52"/>
      <c r="Q653" s="52"/>
      <c r="U653" s="52"/>
    </row>
    <row r="654">
      <c r="M654" s="52"/>
      <c r="N654" s="52"/>
      <c r="O654" s="52"/>
      <c r="P654" s="52"/>
      <c r="Q654" s="52"/>
      <c r="U654" s="52"/>
    </row>
    <row r="655">
      <c r="M655" s="52"/>
      <c r="N655" s="52"/>
      <c r="O655" s="52"/>
      <c r="P655" s="52"/>
      <c r="Q655" s="52"/>
      <c r="U655" s="52"/>
    </row>
    <row r="656">
      <c r="M656" s="52"/>
      <c r="N656" s="52"/>
      <c r="O656" s="52"/>
      <c r="P656" s="52"/>
      <c r="Q656" s="52"/>
      <c r="U656" s="52"/>
    </row>
    <row r="657">
      <c r="M657" s="52"/>
      <c r="N657" s="52"/>
      <c r="O657" s="52"/>
      <c r="P657" s="52"/>
      <c r="Q657" s="52"/>
      <c r="U657" s="52"/>
    </row>
    <row r="658">
      <c r="M658" s="52"/>
      <c r="N658" s="52"/>
      <c r="O658" s="52"/>
      <c r="P658" s="52"/>
      <c r="Q658" s="52"/>
      <c r="U658" s="52"/>
    </row>
    <row r="659">
      <c r="M659" s="52"/>
      <c r="N659" s="52"/>
      <c r="O659" s="52"/>
      <c r="P659" s="52"/>
      <c r="Q659" s="52"/>
      <c r="U659" s="52"/>
    </row>
    <row r="660">
      <c r="M660" s="52"/>
      <c r="N660" s="52"/>
      <c r="O660" s="52"/>
      <c r="P660" s="52"/>
      <c r="Q660" s="52"/>
      <c r="U660" s="52"/>
    </row>
    <row r="661">
      <c r="M661" s="52"/>
      <c r="N661" s="52"/>
      <c r="O661" s="52"/>
      <c r="P661" s="52"/>
      <c r="Q661" s="52"/>
      <c r="U661" s="52"/>
    </row>
    <row r="662">
      <c r="M662" s="52"/>
      <c r="N662" s="52"/>
      <c r="O662" s="52"/>
      <c r="P662" s="52"/>
      <c r="Q662" s="52"/>
      <c r="U662" s="52"/>
    </row>
    <row r="663">
      <c r="M663" s="52"/>
      <c r="N663" s="52"/>
      <c r="O663" s="52"/>
      <c r="P663" s="52"/>
      <c r="Q663" s="52"/>
      <c r="U663" s="52"/>
    </row>
    <row r="664">
      <c r="M664" s="52"/>
      <c r="N664" s="52"/>
      <c r="O664" s="52"/>
      <c r="P664" s="52"/>
      <c r="Q664" s="52"/>
      <c r="U664" s="52"/>
    </row>
    <row r="665">
      <c r="M665" s="52"/>
      <c r="N665" s="52"/>
      <c r="O665" s="52"/>
      <c r="P665" s="52"/>
      <c r="Q665" s="52"/>
      <c r="U665" s="52"/>
    </row>
    <row r="666">
      <c r="M666" s="52"/>
      <c r="N666" s="52"/>
      <c r="O666" s="52"/>
      <c r="P666" s="52"/>
      <c r="Q666" s="52"/>
      <c r="U666" s="52"/>
    </row>
    <row r="667">
      <c r="M667" s="52"/>
      <c r="N667" s="52"/>
      <c r="O667" s="52"/>
      <c r="P667" s="52"/>
      <c r="Q667" s="52"/>
      <c r="U667" s="52"/>
    </row>
    <row r="668">
      <c r="M668" s="52"/>
      <c r="N668" s="52"/>
      <c r="O668" s="52"/>
      <c r="P668" s="52"/>
      <c r="Q668" s="52"/>
      <c r="U668" s="52"/>
    </row>
    <row r="669">
      <c r="M669" s="52"/>
      <c r="N669" s="52"/>
      <c r="O669" s="52"/>
      <c r="P669" s="52"/>
      <c r="Q669" s="52"/>
      <c r="U669" s="52"/>
    </row>
    <row r="670">
      <c r="M670" s="52"/>
      <c r="N670" s="52"/>
      <c r="O670" s="52"/>
      <c r="P670" s="52"/>
      <c r="Q670" s="52"/>
      <c r="U670" s="52"/>
    </row>
    <row r="671">
      <c r="M671" s="52"/>
      <c r="N671" s="52"/>
      <c r="O671" s="52"/>
      <c r="P671" s="52"/>
      <c r="Q671" s="52"/>
      <c r="U671" s="52"/>
    </row>
    <row r="672">
      <c r="M672" s="52"/>
      <c r="N672" s="52"/>
      <c r="O672" s="52"/>
      <c r="P672" s="52"/>
      <c r="Q672" s="52"/>
      <c r="U672" s="52"/>
    </row>
    <row r="673">
      <c r="M673" s="52"/>
      <c r="N673" s="52"/>
      <c r="O673" s="52"/>
      <c r="P673" s="52"/>
      <c r="Q673" s="52"/>
      <c r="U673" s="52"/>
    </row>
    <row r="674">
      <c r="M674" s="52"/>
      <c r="N674" s="52"/>
      <c r="O674" s="52"/>
      <c r="P674" s="52"/>
      <c r="Q674" s="52"/>
      <c r="U674" s="52"/>
    </row>
    <row r="675">
      <c r="M675" s="52"/>
      <c r="N675" s="52"/>
      <c r="O675" s="52"/>
      <c r="P675" s="52"/>
      <c r="Q675" s="52"/>
      <c r="U675" s="52"/>
    </row>
    <row r="676">
      <c r="M676" s="52"/>
      <c r="N676" s="52"/>
      <c r="O676" s="52"/>
      <c r="P676" s="52"/>
      <c r="Q676" s="52"/>
      <c r="U676" s="52"/>
    </row>
    <row r="677">
      <c r="M677" s="52"/>
      <c r="N677" s="52"/>
      <c r="O677" s="52"/>
      <c r="P677" s="52"/>
      <c r="Q677" s="52"/>
      <c r="U677" s="52"/>
    </row>
    <row r="678">
      <c r="M678" s="52"/>
      <c r="N678" s="52"/>
      <c r="O678" s="52"/>
      <c r="P678" s="52"/>
      <c r="Q678" s="52"/>
      <c r="U678" s="52"/>
    </row>
    <row r="679">
      <c r="M679" s="52"/>
      <c r="N679" s="52"/>
      <c r="O679" s="52"/>
      <c r="P679" s="52"/>
      <c r="Q679" s="52"/>
      <c r="U679" s="52"/>
    </row>
    <row r="680">
      <c r="M680" s="52"/>
      <c r="N680" s="52"/>
      <c r="O680" s="52"/>
      <c r="P680" s="52"/>
      <c r="Q680" s="52"/>
      <c r="U680" s="52"/>
    </row>
    <row r="681">
      <c r="M681" s="52"/>
      <c r="N681" s="52"/>
      <c r="O681" s="52"/>
      <c r="P681" s="52"/>
      <c r="Q681" s="52"/>
      <c r="U681" s="52"/>
    </row>
    <row r="682">
      <c r="M682" s="52"/>
      <c r="N682" s="52"/>
      <c r="O682" s="52"/>
      <c r="P682" s="52"/>
      <c r="Q682" s="52"/>
      <c r="U682" s="52"/>
    </row>
    <row r="683">
      <c r="M683" s="52"/>
      <c r="N683" s="52"/>
      <c r="O683" s="52"/>
      <c r="P683" s="52"/>
      <c r="Q683" s="52"/>
      <c r="U683" s="52"/>
    </row>
    <row r="684">
      <c r="M684" s="52"/>
      <c r="N684" s="52"/>
      <c r="O684" s="52"/>
      <c r="P684" s="52"/>
      <c r="Q684" s="52"/>
      <c r="U684" s="52"/>
    </row>
    <row r="685">
      <c r="M685" s="52"/>
      <c r="N685" s="52"/>
      <c r="O685" s="52"/>
      <c r="P685" s="52"/>
      <c r="Q685" s="52"/>
      <c r="U685" s="52"/>
    </row>
    <row r="686">
      <c r="M686" s="52"/>
      <c r="N686" s="52"/>
      <c r="O686" s="52"/>
      <c r="P686" s="52"/>
      <c r="Q686" s="52"/>
      <c r="U686" s="52"/>
    </row>
    <row r="687">
      <c r="M687" s="52"/>
      <c r="N687" s="52"/>
      <c r="O687" s="52"/>
      <c r="P687" s="52"/>
      <c r="Q687" s="52"/>
      <c r="U687" s="52"/>
    </row>
    <row r="688">
      <c r="M688" s="52"/>
      <c r="N688" s="52"/>
      <c r="O688" s="52"/>
      <c r="P688" s="52"/>
      <c r="Q688" s="52"/>
      <c r="U688" s="52"/>
    </row>
    <row r="689">
      <c r="M689" s="52"/>
      <c r="N689" s="52"/>
      <c r="O689" s="52"/>
      <c r="P689" s="52"/>
      <c r="Q689" s="52"/>
      <c r="U689" s="52"/>
    </row>
    <row r="690">
      <c r="M690" s="52"/>
      <c r="N690" s="52"/>
      <c r="O690" s="52"/>
      <c r="P690" s="52"/>
      <c r="Q690" s="52"/>
      <c r="U690" s="52"/>
    </row>
    <row r="691">
      <c r="M691" s="52"/>
      <c r="N691" s="52"/>
      <c r="O691" s="52"/>
      <c r="P691" s="52"/>
      <c r="Q691" s="52"/>
      <c r="U691" s="52"/>
    </row>
    <row r="692">
      <c r="M692" s="52"/>
      <c r="N692" s="52"/>
      <c r="O692" s="52"/>
      <c r="P692" s="52"/>
      <c r="Q692" s="52"/>
      <c r="U692" s="52"/>
    </row>
    <row r="693">
      <c r="M693" s="52"/>
      <c r="N693" s="52"/>
      <c r="O693" s="52"/>
      <c r="P693" s="52"/>
      <c r="Q693" s="52"/>
      <c r="U693" s="52"/>
    </row>
    <row r="694">
      <c r="M694" s="52"/>
      <c r="N694" s="52"/>
      <c r="O694" s="52"/>
      <c r="P694" s="52"/>
      <c r="Q694" s="52"/>
      <c r="U694" s="52"/>
    </row>
    <row r="695">
      <c r="M695" s="52"/>
      <c r="N695" s="52"/>
      <c r="O695" s="52"/>
      <c r="P695" s="52"/>
      <c r="Q695" s="52"/>
      <c r="U695" s="52"/>
    </row>
    <row r="696">
      <c r="M696" s="52"/>
      <c r="N696" s="52"/>
      <c r="O696" s="52"/>
      <c r="P696" s="52"/>
      <c r="Q696" s="52"/>
      <c r="U696" s="52"/>
    </row>
    <row r="697">
      <c r="M697" s="52"/>
      <c r="N697" s="52"/>
      <c r="O697" s="52"/>
      <c r="P697" s="52"/>
      <c r="Q697" s="52"/>
      <c r="U697" s="52"/>
    </row>
    <row r="698">
      <c r="M698" s="52"/>
      <c r="N698" s="52"/>
      <c r="O698" s="52"/>
      <c r="P698" s="52"/>
      <c r="Q698" s="52"/>
      <c r="U698" s="52"/>
    </row>
    <row r="699">
      <c r="M699" s="52"/>
      <c r="N699" s="52"/>
      <c r="O699" s="52"/>
      <c r="P699" s="52"/>
      <c r="Q699" s="52"/>
      <c r="U699" s="52"/>
    </row>
    <row r="700">
      <c r="M700" s="52"/>
      <c r="N700" s="52"/>
      <c r="O700" s="52"/>
      <c r="P700" s="52"/>
      <c r="Q700" s="52"/>
      <c r="U700" s="52"/>
    </row>
    <row r="701">
      <c r="M701" s="52"/>
      <c r="N701" s="52"/>
      <c r="O701" s="52"/>
      <c r="P701" s="52"/>
      <c r="Q701" s="52"/>
      <c r="U701" s="52"/>
    </row>
    <row r="702">
      <c r="M702" s="52"/>
      <c r="N702" s="52"/>
      <c r="O702" s="52"/>
      <c r="P702" s="52"/>
      <c r="Q702" s="52"/>
      <c r="U702" s="52"/>
    </row>
    <row r="703">
      <c r="M703" s="52"/>
      <c r="N703" s="52"/>
      <c r="O703" s="52"/>
      <c r="P703" s="52"/>
      <c r="Q703" s="52"/>
      <c r="U703" s="52"/>
    </row>
    <row r="704">
      <c r="M704" s="52"/>
      <c r="N704" s="52"/>
      <c r="O704" s="52"/>
      <c r="P704" s="52"/>
      <c r="Q704" s="52"/>
      <c r="U704" s="52"/>
    </row>
    <row r="705">
      <c r="M705" s="52"/>
      <c r="N705" s="52"/>
      <c r="O705" s="52"/>
      <c r="P705" s="52"/>
      <c r="Q705" s="52"/>
      <c r="U705" s="52"/>
    </row>
    <row r="706">
      <c r="M706" s="52"/>
      <c r="N706" s="52"/>
      <c r="O706" s="52"/>
      <c r="P706" s="52"/>
      <c r="Q706" s="52"/>
      <c r="U706" s="52"/>
    </row>
    <row r="707">
      <c r="M707" s="52"/>
      <c r="N707" s="52"/>
      <c r="O707" s="52"/>
      <c r="P707" s="52"/>
      <c r="Q707" s="52"/>
      <c r="U707" s="52"/>
    </row>
    <row r="708">
      <c r="M708" s="52"/>
      <c r="N708" s="52"/>
      <c r="O708" s="52"/>
      <c r="P708" s="52"/>
      <c r="Q708" s="52"/>
      <c r="U708" s="52"/>
    </row>
    <row r="709">
      <c r="M709" s="52"/>
      <c r="N709" s="52"/>
      <c r="O709" s="52"/>
      <c r="P709" s="52"/>
      <c r="Q709" s="52"/>
      <c r="U709" s="52"/>
    </row>
    <row r="710">
      <c r="M710" s="52"/>
      <c r="N710" s="52"/>
      <c r="O710" s="52"/>
      <c r="P710" s="52"/>
      <c r="Q710" s="52"/>
      <c r="U710" s="52"/>
    </row>
    <row r="711">
      <c r="M711" s="52"/>
      <c r="N711" s="52"/>
      <c r="O711" s="52"/>
      <c r="P711" s="52"/>
      <c r="Q711" s="52"/>
      <c r="U711" s="52"/>
    </row>
    <row r="712">
      <c r="M712" s="52"/>
      <c r="N712" s="52"/>
      <c r="O712" s="52"/>
      <c r="P712" s="52"/>
      <c r="Q712" s="52"/>
      <c r="U712" s="52"/>
    </row>
    <row r="713">
      <c r="M713" s="52"/>
      <c r="N713" s="52"/>
      <c r="O713" s="52"/>
      <c r="P713" s="52"/>
      <c r="Q713" s="52"/>
      <c r="U713" s="52"/>
    </row>
    <row r="714">
      <c r="M714" s="52"/>
      <c r="N714" s="52"/>
      <c r="O714" s="52"/>
      <c r="P714" s="52"/>
      <c r="Q714" s="52"/>
      <c r="U714" s="52"/>
    </row>
    <row r="715">
      <c r="M715" s="52"/>
      <c r="N715" s="52"/>
      <c r="O715" s="52"/>
      <c r="P715" s="52"/>
      <c r="Q715" s="52"/>
      <c r="U715" s="52"/>
    </row>
    <row r="716">
      <c r="M716" s="52"/>
      <c r="N716" s="52"/>
      <c r="O716" s="52"/>
      <c r="P716" s="52"/>
      <c r="Q716" s="52"/>
      <c r="U716" s="52"/>
    </row>
    <row r="717">
      <c r="M717" s="52"/>
      <c r="N717" s="52"/>
      <c r="O717" s="52"/>
      <c r="P717" s="52"/>
      <c r="Q717" s="52"/>
      <c r="U717" s="52"/>
    </row>
    <row r="718">
      <c r="M718" s="52"/>
      <c r="N718" s="52"/>
      <c r="O718" s="52"/>
      <c r="P718" s="52"/>
      <c r="Q718" s="52"/>
      <c r="U718" s="52"/>
    </row>
    <row r="719">
      <c r="M719" s="52"/>
      <c r="N719" s="52"/>
      <c r="O719" s="52"/>
      <c r="P719" s="52"/>
      <c r="Q719" s="52"/>
      <c r="U719" s="52"/>
    </row>
    <row r="720">
      <c r="M720" s="52"/>
      <c r="N720" s="52"/>
      <c r="O720" s="52"/>
      <c r="P720" s="52"/>
      <c r="Q720" s="52"/>
      <c r="U720" s="52"/>
    </row>
    <row r="721">
      <c r="M721" s="52"/>
      <c r="N721" s="52"/>
      <c r="O721" s="52"/>
      <c r="P721" s="52"/>
      <c r="Q721" s="52"/>
      <c r="U721" s="52"/>
    </row>
    <row r="722">
      <c r="M722" s="52"/>
      <c r="N722" s="52"/>
      <c r="O722" s="52"/>
      <c r="P722" s="52"/>
      <c r="Q722" s="52"/>
      <c r="U722" s="52"/>
    </row>
    <row r="723">
      <c r="M723" s="52"/>
      <c r="N723" s="52"/>
      <c r="O723" s="52"/>
      <c r="P723" s="52"/>
      <c r="Q723" s="52"/>
      <c r="U723" s="52"/>
    </row>
    <row r="724">
      <c r="M724" s="52"/>
      <c r="N724" s="52"/>
      <c r="O724" s="52"/>
      <c r="P724" s="52"/>
      <c r="Q724" s="52"/>
      <c r="U724" s="52"/>
    </row>
    <row r="725">
      <c r="M725" s="52"/>
      <c r="N725" s="52"/>
      <c r="O725" s="52"/>
      <c r="P725" s="52"/>
      <c r="Q725" s="52"/>
      <c r="U725" s="52"/>
    </row>
    <row r="726">
      <c r="M726" s="52"/>
      <c r="N726" s="52"/>
      <c r="O726" s="52"/>
      <c r="P726" s="52"/>
      <c r="Q726" s="52"/>
      <c r="U726" s="52"/>
    </row>
    <row r="727">
      <c r="M727" s="52"/>
      <c r="N727" s="52"/>
      <c r="O727" s="52"/>
      <c r="P727" s="52"/>
      <c r="Q727" s="52"/>
      <c r="U727" s="52"/>
    </row>
    <row r="728">
      <c r="M728" s="52"/>
      <c r="N728" s="52"/>
      <c r="O728" s="52"/>
      <c r="P728" s="52"/>
      <c r="Q728" s="52"/>
      <c r="U728" s="52"/>
    </row>
    <row r="729">
      <c r="M729" s="52"/>
      <c r="N729" s="52"/>
      <c r="O729" s="52"/>
      <c r="P729" s="52"/>
      <c r="Q729" s="52"/>
      <c r="U729" s="52"/>
    </row>
    <row r="730">
      <c r="M730" s="52"/>
      <c r="N730" s="52"/>
      <c r="O730" s="52"/>
      <c r="P730" s="52"/>
      <c r="Q730" s="52"/>
      <c r="U730" s="52"/>
    </row>
    <row r="731">
      <c r="M731" s="52"/>
      <c r="N731" s="52"/>
      <c r="O731" s="52"/>
      <c r="P731" s="52"/>
      <c r="Q731" s="52"/>
      <c r="U731" s="52"/>
    </row>
    <row r="732">
      <c r="M732" s="52"/>
      <c r="N732" s="52"/>
      <c r="O732" s="52"/>
      <c r="P732" s="52"/>
      <c r="Q732" s="52"/>
      <c r="U732" s="52"/>
    </row>
    <row r="733">
      <c r="M733" s="52"/>
      <c r="N733" s="52"/>
      <c r="O733" s="52"/>
      <c r="P733" s="52"/>
      <c r="Q733" s="52"/>
      <c r="U733" s="52"/>
    </row>
    <row r="734">
      <c r="M734" s="52"/>
      <c r="N734" s="52"/>
      <c r="O734" s="52"/>
      <c r="P734" s="52"/>
      <c r="Q734" s="52"/>
      <c r="U734" s="52"/>
    </row>
    <row r="735">
      <c r="M735" s="52"/>
      <c r="N735" s="52"/>
      <c r="O735" s="52"/>
      <c r="P735" s="52"/>
      <c r="Q735" s="52"/>
      <c r="U735" s="52"/>
    </row>
    <row r="736">
      <c r="M736" s="52"/>
      <c r="N736" s="52"/>
      <c r="O736" s="52"/>
      <c r="P736" s="52"/>
      <c r="Q736" s="52"/>
      <c r="U736" s="52"/>
    </row>
    <row r="737">
      <c r="M737" s="52"/>
      <c r="N737" s="52"/>
      <c r="O737" s="52"/>
      <c r="P737" s="52"/>
      <c r="Q737" s="52"/>
      <c r="U737" s="52"/>
    </row>
    <row r="738">
      <c r="M738" s="52"/>
      <c r="N738" s="52"/>
      <c r="O738" s="52"/>
      <c r="P738" s="52"/>
      <c r="Q738" s="52"/>
      <c r="U738" s="52"/>
    </row>
    <row r="739">
      <c r="M739" s="52"/>
      <c r="N739" s="52"/>
      <c r="O739" s="52"/>
      <c r="P739" s="52"/>
      <c r="Q739" s="52"/>
      <c r="U739" s="52"/>
    </row>
    <row r="740">
      <c r="M740" s="52"/>
      <c r="N740" s="52"/>
      <c r="O740" s="52"/>
      <c r="P740" s="52"/>
      <c r="Q740" s="52"/>
      <c r="U740" s="52"/>
    </row>
    <row r="741">
      <c r="M741" s="52"/>
      <c r="N741" s="52"/>
      <c r="O741" s="52"/>
      <c r="P741" s="52"/>
      <c r="Q741" s="52"/>
      <c r="U741" s="52"/>
    </row>
    <row r="742">
      <c r="M742" s="52"/>
      <c r="N742" s="52"/>
      <c r="O742" s="52"/>
      <c r="P742" s="52"/>
      <c r="Q742" s="52"/>
      <c r="U742" s="52"/>
    </row>
    <row r="743">
      <c r="M743" s="52"/>
      <c r="N743" s="52"/>
      <c r="O743" s="52"/>
      <c r="P743" s="52"/>
      <c r="Q743" s="52"/>
      <c r="U743" s="52"/>
    </row>
    <row r="744">
      <c r="M744" s="52"/>
      <c r="N744" s="52"/>
      <c r="O744" s="52"/>
      <c r="P744" s="52"/>
      <c r="Q744" s="52"/>
      <c r="U744" s="52"/>
    </row>
    <row r="745">
      <c r="M745" s="52"/>
      <c r="N745" s="52"/>
      <c r="O745" s="52"/>
      <c r="P745" s="52"/>
      <c r="Q745" s="52"/>
      <c r="U745" s="52"/>
    </row>
    <row r="746">
      <c r="M746" s="52"/>
      <c r="N746" s="52"/>
      <c r="O746" s="52"/>
      <c r="P746" s="52"/>
      <c r="Q746" s="52"/>
      <c r="U746" s="52"/>
    </row>
    <row r="747">
      <c r="M747" s="52"/>
      <c r="N747" s="52"/>
      <c r="O747" s="52"/>
      <c r="P747" s="52"/>
      <c r="Q747" s="52"/>
      <c r="U747" s="52"/>
    </row>
    <row r="748">
      <c r="M748" s="52"/>
      <c r="N748" s="52"/>
      <c r="O748" s="52"/>
      <c r="P748" s="52"/>
      <c r="Q748" s="52"/>
      <c r="U748" s="52"/>
    </row>
    <row r="749">
      <c r="M749" s="52"/>
      <c r="N749" s="52"/>
      <c r="O749" s="52"/>
      <c r="P749" s="52"/>
      <c r="Q749" s="52"/>
      <c r="U749" s="52"/>
    </row>
    <row r="750">
      <c r="M750" s="52"/>
      <c r="N750" s="52"/>
      <c r="O750" s="52"/>
      <c r="P750" s="52"/>
      <c r="Q750" s="52"/>
      <c r="U750" s="52"/>
    </row>
    <row r="751">
      <c r="M751" s="52"/>
      <c r="N751" s="52"/>
      <c r="O751" s="52"/>
      <c r="P751" s="52"/>
      <c r="Q751" s="52"/>
      <c r="U751" s="52"/>
    </row>
    <row r="752">
      <c r="M752" s="52"/>
      <c r="N752" s="52"/>
      <c r="O752" s="52"/>
      <c r="P752" s="52"/>
      <c r="Q752" s="52"/>
      <c r="U752" s="52"/>
    </row>
    <row r="753">
      <c r="M753" s="52"/>
      <c r="N753" s="52"/>
      <c r="O753" s="52"/>
      <c r="P753" s="52"/>
      <c r="Q753" s="52"/>
      <c r="U753" s="52"/>
    </row>
    <row r="754">
      <c r="M754" s="52"/>
      <c r="N754" s="52"/>
      <c r="O754" s="52"/>
      <c r="P754" s="52"/>
      <c r="Q754" s="52"/>
      <c r="U754" s="52"/>
    </row>
    <row r="755">
      <c r="M755" s="52"/>
      <c r="N755" s="52"/>
      <c r="O755" s="52"/>
      <c r="P755" s="52"/>
      <c r="Q755" s="52"/>
      <c r="U755" s="52"/>
    </row>
    <row r="756">
      <c r="M756" s="52"/>
      <c r="N756" s="52"/>
      <c r="O756" s="52"/>
      <c r="P756" s="52"/>
      <c r="Q756" s="52"/>
      <c r="U756" s="52"/>
    </row>
    <row r="757">
      <c r="M757" s="52"/>
      <c r="N757" s="52"/>
      <c r="O757" s="52"/>
      <c r="P757" s="52"/>
      <c r="Q757" s="52"/>
      <c r="U757" s="52"/>
    </row>
    <row r="758">
      <c r="M758" s="52"/>
      <c r="N758" s="52"/>
      <c r="O758" s="52"/>
      <c r="P758" s="52"/>
      <c r="Q758" s="52"/>
      <c r="U758" s="52"/>
    </row>
    <row r="759">
      <c r="M759" s="52"/>
      <c r="N759" s="52"/>
      <c r="O759" s="52"/>
      <c r="P759" s="52"/>
      <c r="Q759" s="52"/>
      <c r="U759" s="52"/>
    </row>
    <row r="760">
      <c r="M760" s="52"/>
      <c r="N760" s="52"/>
      <c r="O760" s="52"/>
      <c r="P760" s="52"/>
      <c r="Q760" s="52"/>
      <c r="U760" s="52"/>
    </row>
    <row r="761">
      <c r="M761" s="52"/>
      <c r="N761" s="52"/>
      <c r="O761" s="52"/>
      <c r="P761" s="52"/>
      <c r="Q761" s="52"/>
      <c r="U761" s="52"/>
    </row>
    <row r="762">
      <c r="M762" s="52"/>
      <c r="N762" s="52"/>
      <c r="O762" s="52"/>
      <c r="P762" s="52"/>
      <c r="Q762" s="52"/>
      <c r="U762" s="52"/>
    </row>
    <row r="763">
      <c r="M763" s="52"/>
      <c r="N763" s="52"/>
      <c r="O763" s="52"/>
      <c r="P763" s="52"/>
      <c r="Q763" s="52"/>
      <c r="U763" s="52"/>
    </row>
    <row r="764">
      <c r="M764" s="52"/>
      <c r="N764" s="52"/>
      <c r="O764" s="52"/>
      <c r="P764" s="52"/>
      <c r="Q764" s="52"/>
      <c r="U764" s="52"/>
    </row>
    <row r="765">
      <c r="M765" s="52"/>
      <c r="N765" s="52"/>
      <c r="O765" s="52"/>
      <c r="P765" s="52"/>
      <c r="Q765" s="52"/>
      <c r="U765" s="52"/>
    </row>
    <row r="766">
      <c r="M766" s="52"/>
      <c r="N766" s="52"/>
      <c r="O766" s="52"/>
      <c r="P766" s="52"/>
      <c r="Q766" s="52"/>
      <c r="U766" s="52"/>
    </row>
    <row r="767">
      <c r="M767" s="52"/>
      <c r="N767" s="52"/>
      <c r="O767" s="52"/>
      <c r="P767" s="52"/>
      <c r="Q767" s="52"/>
      <c r="U767" s="52"/>
    </row>
    <row r="768">
      <c r="M768" s="52"/>
      <c r="N768" s="52"/>
      <c r="O768" s="52"/>
      <c r="P768" s="52"/>
      <c r="Q768" s="52"/>
      <c r="U768" s="52"/>
    </row>
    <row r="769">
      <c r="M769" s="52"/>
      <c r="N769" s="52"/>
      <c r="O769" s="52"/>
      <c r="P769" s="52"/>
      <c r="Q769" s="52"/>
      <c r="U769" s="52"/>
    </row>
    <row r="770">
      <c r="M770" s="52"/>
      <c r="N770" s="52"/>
      <c r="O770" s="52"/>
      <c r="P770" s="52"/>
      <c r="Q770" s="52"/>
      <c r="U770" s="52"/>
    </row>
    <row r="771">
      <c r="M771" s="52"/>
      <c r="N771" s="52"/>
      <c r="O771" s="52"/>
      <c r="P771" s="52"/>
      <c r="Q771" s="52"/>
      <c r="U771" s="52"/>
    </row>
    <row r="772">
      <c r="M772" s="52"/>
      <c r="N772" s="52"/>
      <c r="O772" s="52"/>
      <c r="P772" s="52"/>
      <c r="Q772" s="52"/>
      <c r="U772" s="52"/>
    </row>
    <row r="773">
      <c r="M773" s="52"/>
      <c r="N773" s="52"/>
      <c r="O773" s="52"/>
      <c r="P773" s="52"/>
      <c r="Q773" s="52"/>
      <c r="U773" s="52"/>
    </row>
    <row r="774">
      <c r="M774" s="52"/>
      <c r="N774" s="52"/>
      <c r="O774" s="52"/>
      <c r="P774" s="52"/>
      <c r="Q774" s="52"/>
      <c r="U774" s="52"/>
    </row>
    <row r="775">
      <c r="M775" s="52"/>
      <c r="N775" s="52"/>
      <c r="O775" s="52"/>
      <c r="P775" s="52"/>
      <c r="Q775" s="52"/>
      <c r="U775" s="52"/>
    </row>
    <row r="776">
      <c r="M776" s="52"/>
      <c r="N776" s="52"/>
      <c r="O776" s="52"/>
      <c r="P776" s="52"/>
      <c r="Q776" s="52"/>
      <c r="U776" s="52"/>
    </row>
    <row r="777">
      <c r="M777" s="52"/>
      <c r="N777" s="52"/>
      <c r="O777" s="52"/>
      <c r="P777" s="52"/>
      <c r="Q777" s="52"/>
      <c r="U777" s="52"/>
    </row>
    <row r="778">
      <c r="M778" s="52"/>
      <c r="N778" s="52"/>
      <c r="O778" s="52"/>
      <c r="P778" s="52"/>
      <c r="Q778" s="52"/>
      <c r="U778" s="52"/>
    </row>
    <row r="779">
      <c r="M779" s="52"/>
      <c r="N779" s="52"/>
      <c r="O779" s="52"/>
      <c r="P779" s="52"/>
      <c r="Q779" s="52"/>
      <c r="U779" s="52"/>
    </row>
    <row r="780">
      <c r="M780" s="52"/>
      <c r="N780" s="52"/>
      <c r="O780" s="52"/>
      <c r="P780" s="52"/>
      <c r="Q780" s="52"/>
      <c r="U780" s="52"/>
    </row>
    <row r="781">
      <c r="M781" s="52"/>
      <c r="N781" s="52"/>
      <c r="O781" s="52"/>
      <c r="P781" s="52"/>
      <c r="Q781" s="52"/>
      <c r="U781" s="52"/>
    </row>
    <row r="782">
      <c r="M782" s="52"/>
      <c r="N782" s="52"/>
      <c r="O782" s="52"/>
      <c r="P782" s="52"/>
      <c r="Q782" s="52"/>
      <c r="U782" s="52"/>
    </row>
    <row r="783">
      <c r="M783" s="52"/>
      <c r="N783" s="52"/>
      <c r="O783" s="52"/>
      <c r="P783" s="52"/>
      <c r="Q783" s="52"/>
      <c r="U783" s="52"/>
    </row>
    <row r="784">
      <c r="M784" s="52"/>
      <c r="N784" s="52"/>
      <c r="O784" s="52"/>
      <c r="P784" s="52"/>
      <c r="Q784" s="52"/>
      <c r="U784" s="52"/>
    </row>
    <row r="785">
      <c r="M785" s="52"/>
      <c r="N785" s="52"/>
      <c r="O785" s="52"/>
      <c r="P785" s="52"/>
      <c r="Q785" s="52"/>
      <c r="U785" s="52"/>
    </row>
    <row r="786">
      <c r="M786" s="52"/>
      <c r="N786" s="52"/>
      <c r="O786" s="52"/>
      <c r="P786" s="52"/>
      <c r="Q786" s="52"/>
      <c r="U786" s="52"/>
    </row>
    <row r="787">
      <c r="M787" s="52"/>
      <c r="N787" s="52"/>
      <c r="O787" s="52"/>
      <c r="P787" s="52"/>
      <c r="Q787" s="52"/>
      <c r="U787" s="52"/>
    </row>
    <row r="788">
      <c r="M788" s="52"/>
      <c r="N788" s="52"/>
      <c r="O788" s="52"/>
      <c r="P788" s="52"/>
      <c r="Q788" s="52"/>
      <c r="U788" s="52"/>
    </row>
    <row r="789">
      <c r="M789" s="52"/>
      <c r="N789" s="52"/>
      <c r="O789" s="52"/>
      <c r="P789" s="52"/>
      <c r="Q789" s="52"/>
      <c r="U789" s="52"/>
    </row>
    <row r="790">
      <c r="M790" s="52"/>
      <c r="N790" s="52"/>
      <c r="O790" s="52"/>
      <c r="P790" s="52"/>
      <c r="Q790" s="52"/>
      <c r="U790" s="52"/>
    </row>
    <row r="791">
      <c r="M791" s="52"/>
      <c r="N791" s="52"/>
      <c r="O791" s="52"/>
      <c r="P791" s="52"/>
      <c r="Q791" s="52"/>
      <c r="U791" s="52"/>
    </row>
    <row r="792">
      <c r="M792" s="52"/>
      <c r="N792" s="52"/>
      <c r="O792" s="52"/>
      <c r="P792" s="52"/>
      <c r="Q792" s="52"/>
      <c r="U792" s="52"/>
    </row>
    <row r="793">
      <c r="M793" s="52"/>
      <c r="N793" s="52"/>
      <c r="O793" s="52"/>
      <c r="P793" s="52"/>
      <c r="Q793" s="52"/>
      <c r="U793" s="52"/>
    </row>
    <row r="794">
      <c r="M794" s="52"/>
      <c r="N794" s="52"/>
      <c r="O794" s="52"/>
      <c r="P794" s="52"/>
      <c r="Q794" s="52"/>
      <c r="U794" s="52"/>
    </row>
    <row r="795">
      <c r="M795" s="52"/>
      <c r="N795" s="52"/>
      <c r="O795" s="52"/>
      <c r="P795" s="52"/>
      <c r="Q795" s="52"/>
      <c r="U795" s="52"/>
    </row>
    <row r="796">
      <c r="M796" s="52"/>
      <c r="N796" s="52"/>
      <c r="O796" s="52"/>
      <c r="P796" s="52"/>
      <c r="Q796" s="52"/>
      <c r="U796" s="52"/>
    </row>
    <row r="797">
      <c r="M797" s="52"/>
      <c r="N797" s="52"/>
      <c r="O797" s="52"/>
      <c r="P797" s="52"/>
      <c r="Q797" s="52"/>
      <c r="U797" s="52"/>
    </row>
    <row r="798">
      <c r="M798" s="52"/>
      <c r="N798" s="52"/>
      <c r="O798" s="52"/>
      <c r="P798" s="52"/>
      <c r="Q798" s="52"/>
      <c r="U798" s="52"/>
    </row>
    <row r="799">
      <c r="M799" s="52"/>
      <c r="N799" s="52"/>
      <c r="O799" s="52"/>
      <c r="P799" s="52"/>
      <c r="Q799" s="52"/>
      <c r="U799" s="52"/>
    </row>
    <row r="800">
      <c r="M800" s="52"/>
      <c r="N800" s="52"/>
      <c r="O800" s="52"/>
      <c r="P800" s="52"/>
      <c r="Q800" s="52"/>
      <c r="U800" s="52"/>
    </row>
    <row r="801">
      <c r="M801" s="52"/>
      <c r="N801" s="52"/>
      <c r="O801" s="52"/>
      <c r="P801" s="52"/>
      <c r="Q801" s="52"/>
      <c r="U801" s="52"/>
    </row>
    <row r="802">
      <c r="M802" s="52"/>
      <c r="N802" s="52"/>
      <c r="O802" s="52"/>
      <c r="P802" s="52"/>
      <c r="Q802" s="52"/>
      <c r="U802" s="52"/>
    </row>
    <row r="803">
      <c r="M803" s="52"/>
      <c r="N803" s="52"/>
      <c r="O803" s="52"/>
      <c r="P803" s="52"/>
      <c r="Q803" s="52"/>
      <c r="U803" s="52"/>
    </row>
    <row r="804">
      <c r="M804" s="52"/>
      <c r="N804" s="52"/>
      <c r="O804" s="52"/>
      <c r="P804" s="52"/>
      <c r="Q804" s="52"/>
      <c r="U804" s="52"/>
    </row>
    <row r="805">
      <c r="M805" s="52"/>
      <c r="N805" s="52"/>
      <c r="O805" s="52"/>
      <c r="P805" s="52"/>
      <c r="Q805" s="52"/>
      <c r="U805" s="52"/>
    </row>
    <row r="806">
      <c r="M806" s="52"/>
      <c r="N806" s="52"/>
      <c r="O806" s="52"/>
      <c r="P806" s="52"/>
      <c r="Q806" s="52"/>
      <c r="U806" s="52"/>
    </row>
    <row r="807">
      <c r="M807" s="52"/>
      <c r="N807" s="52"/>
      <c r="O807" s="52"/>
      <c r="P807" s="52"/>
      <c r="Q807" s="52"/>
      <c r="U807" s="52"/>
    </row>
    <row r="808">
      <c r="M808" s="52"/>
      <c r="N808" s="52"/>
      <c r="O808" s="52"/>
      <c r="P808" s="52"/>
      <c r="Q808" s="52"/>
      <c r="U808" s="52"/>
    </row>
    <row r="809">
      <c r="M809" s="52"/>
      <c r="N809" s="52"/>
      <c r="O809" s="52"/>
      <c r="P809" s="52"/>
      <c r="Q809" s="52"/>
      <c r="U809" s="52"/>
    </row>
    <row r="810">
      <c r="M810" s="52"/>
      <c r="N810" s="52"/>
      <c r="O810" s="52"/>
      <c r="P810" s="52"/>
      <c r="Q810" s="52"/>
      <c r="U810" s="52"/>
    </row>
    <row r="811">
      <c r="M811" s="52"/>
      <c r="N811" s="52"/>
      <c r="O811" s="52"/>
      <c r="P811" s="52"/>
      <c r="Q811" s="52"/>
      <c r="U811" s="52"/>
    </row>
    <row r="812">
      <c r="M812" s="52"/>
      <c r="N812" s="52"/>
      <c r="O812" s="52"/>
      <c r="P812" s="52"/>
      <c r="Q812" s="52"/>
      <c r="U812" s="52"/>
    </row>
    <row r="813">
      <c r="M813" s="52"/>
      <c r="N813" s="52"/>
      <c r="O813" s="52"/>
      <c r="P813" s="52"/>
      <c r="Q813" s="52"/>
      <c r="U813" s="52"/>
    </row>
    <row r="814">
      <c r="M814" s="52"/>
      <c r="N814" s="52"/>
      <c r="O814" s="52"/>
      <c r="P814" s="52"/>
      <c r="Q814" s="52"/>
      <c r="U814" s="52"/>
    </row>
    <row r="815">
      <c r="M815" s="52"/>
      <c r="N815" s="52"/>
      <c r="O815" s="52"/>
      <c r="P815" s="52"/>
      <c r="Q815" s="52"/>
      <c r="U815" s="52"/>
    </row>
    <row r="816">
      <c r="M816" s="52"/>
      <c r="N816" s="52"/>
      <c r="O816" s="52"/>
      <c r="P816" s="52"/>
      <c r="Q816" s="52"/>
      <c r="U816" s="52"/>
    </row>
    <row r="817">
      <c r="M817" s="52"/>
      <c r="N817" s="52"/>
      <c r="O817" s="52"/>
      <c r="P817" s="52"/>
      <c r="Q817" s="52"/>
      <c r="U817" s="52"/>
    </row>
    <row r="818">
      <c r="M818" s="52"/>
      <c r="N818" s="52"/>
      <c r="O818" s="52"/>
      <c r="P818" s="52"/>
      <c r="Q818" s="52"/>
      <c r="U818" s="52"/>
    </row>
    <row r="819">
      <c r="M819" s="52"/>
      <c r="N819" s="52"/>
      <c r="O819" s="52"/>
      <c r="P819" s="52"/>
      <c r="Q819" s="52"/>
      <c r="U819" s="52"/>
    </row>
    <row r="820">
      <c r="M820" s="52"/>
      <c r="N820" s="52"/>
      <c r="O820" s="52"/>
      <c r="P820" s="52"/>
      <c r="Q820" s="52"/>
      <c r="U820" s="52"/>
    </row>
    <row r="821">
      <c r="M821" s="52"/>
      <c r="N821" s="52"/>
      <c r="O821" s="52"/>
      <c r="P821" s="52"/>
      <c r="Q821" s="52"/>
      <c r="U821" s="52"/>
    </row>
    <row r="822">
      <c r="M822" s="52"/>
      <c r="N822" s="52"/>
      <c r="O822" s="52"/>
      <c r="P822" s="52"/>
      <c r="Q822" s="52"/>
      <c r="U822" s="52"/>
    </row>
    <row r="823">
      <c r="M823" s="52"/>
      <c r="N823" s="52"/>
      <c r="O823" s="52"/>
      <c r="P823" s="52"/>
      <c r="Q823" s="52"/>
      <c r="U823" s="52"/>
    </row>
    <row r="824">
      <c r="M824" s="52"/>
      <c r="N824" s="52"/>
      <c r="O824" s="52"/>
      <c r="P824" s="52"/>
      <c r="Q824" s="52"/>
      <c r="U824" s="52"/>
    </row>
    <row r="825">
      <c r="M825" s="52"/>
      <c r="N825" s="52"/>
      <c r="O825" s="52"/>
      <c r="P825" s="52"/>
      <c r="Q825" s="52"/>
      <c r="U825" s="52"/>
    </row>
    <row r="826">
      <c r="M826" s="52"/>
      <c r="N826" s="52"/>
      <c r="O826" s="52"/>
      <c r="P826" s="52"/>
      <c r="Q826" s="52"/>
      <c r="U826" s="52"/>
    </row>
    <row r="827">
      <c r="M827" s="52"/>
      <c r="N827" s="52"/>
      <c r="O827" s="52"/>
      <c r="P827" s="52"/>
      <c r="Q827" s="52"/>
      <c r="U827" s="52"/>
    </row>
    <row r="828">
      <c r="M828" s="52"/>
      <c r="N828" s="52"/>
      <c r="O828" s="52"/>
      <c r="P828" s="52"/>
      <c r="Q828" s="52"/>
      <c r="U828" s="52"/>
    </row>
    <row r="829">
      <c r="M829" s="52"/>
      <c r="N829" s="52"/>
      <c r="O829" s="52"/>
      <c r="P829" s="52"/>
      <c r="Q829" s="52"/>
      <c r="U829" s="52"/>
    </row>
    <row r="830">
      <c r="M830" s="52"/>
      <c r="N830" s="52"/>
      <c r="O830" s="52"/>
      <c r="P830" s="52"/>
      <c r="Q830" s="52"/>
      <c r="U830" s="52"/>
    </row>
    <row r="831">
      <c r="M831" s="52"/>
      <c r="N831" s="52"/>
      <c r="O831" s="52"/>
      <c r="P831" s="52"/>
      <c r="Q831" s="52"/>
      <c r="U831" s="52"/>
    </row>
    <row r="832">
      <c r="M832" s="52"/>
      <c r="N832" s="52"/>
      <c r="O832" s="52"/>
      <c r="P832" s="52"/>
      <c r="Q832" s="52"/>
      <c r="U832" s="52"/>
    </row>
    <row r="833">
      <c r="M833" s="52"/>
      <c r="N833" s="52"/>
      <c r="O833" s="52"/>
      <c r="P833" s="52"/>
      <c r="Q833" s="52"/>
      <c r="U833" s="52"/>
    </row>
    <row r="834">
      <c r="M834" s="52"/>
      <c r="N834" s="52"/>
      <c r="O834" s="52"/>
      <c r="P834" s="52"/>
      <c r="Q834" s="52"/>
      <c r="U834" s="52"/>
    </row>
    <row r="835">
      <c r="M835" s="52"/>
      <c r="N835" s="52"/>
      <c r="O835" s="52"/>
      <c r="P835" s="52"/>
      <c r="Q835" s="52"/>
      <c r="U835" s="52"/>
    </row>
    <row r="836">
      <c r="M836" s="52"/>
      <c r="N836" s="52"/>
      <c r="O836" s="52"/>
      <c r="P836" s="52"/>
      <c r="Q836" s="52"/>
      <c r="U836" s="52"/>
    </row>
    <row r="837">
      <c r="M837" s="52"/>
      <c r="N837" s="52"/>
      <c r="O837" s="52"/>
      <c r="P837" s="52"/>
      <c r="Q837" s="52"/>
      <c r="U837" s="52"/>
    </row>
    <row r="838">
      <c r="M838" s="52"/>
      <c r="N838" s="52"/>
      <c r="O838" s="52"/>
      <c r="P838" s="52"/>
      <c r="Q838" s="52"/>
      <c r="U838" s="52"/>
    </row>
    <row r="839">
      <c r="M839" s="52"/>
      <c r="N839" s="52"/>
      <c r="O839" s="52"/>
      <c r="P839" s="52"/>
      <c r="Q839" s="52"/>
      <c r="U839" s="52"/>
    </row>
    <row r="840">
      <c r="M840" s="52"/>
      <c r="N840" s="52"/>
      <c r="O840" s="52"/>
      <c r="P840" s="52"/>
      <c r="Q840" s="52"/>
      <c r="U840" s="52"/>
    </row>
    <row r="841">
      <c r="M841" s="52"/>
      <c r="N841" s="52"/>
      <c r="O841" s="52"/>
      <c r="P841" s="52"/>
      <c r="Q841" s="52"/>
      <c r="U841" s="52"/>
    </row>
    <row r="842">
      <c r="M842" s="52"/>
      <c r="N842" s="52"/>
      <c r="O842" s="52"/>
      <c r="P842" s="52"/>
      <c r="Q842" s="52"/>
      <c r="U842" s="52"/>
    </row>
    <row r="843">
      <c r="M843" s="52"/>
      <c r="N843" s="52"/>
      <c r="O843" s="52"/>
      <c r="P843" s="52"/>
      <c r="Q843" s="52"/>
      <c r="U843" s="52"/>
    </row>
    <row r="844">
      <c r="M844" s="52"/>
      <c r="N844" s="52"/>
      <c r="O844" s="52"/>
      <c r="P844" s="52"/>
      <c r="Q844" s="52"/>
      <c r="U844" s="52"/>
    </row>
    <row r="845">
      <c r="M845" s="52"/>
      <c r="N845" s="52"/>
      <c r="O845" s="52"/>
      <c r="P845" s="52"/>
      <c r="Q845" s="52"/>
      <c r="U845" s="52"/>
    </row>
    <row r="846">
      <c r="M846" s="52"/>
      <c r="N846" s="52"/>
      <c r="O846" s="52"/>
      <c r="P846" s="52"/>
      <c r="Q846" s="52"/>
      <c r="U846" s="52"/>
    </row>
    <row r="847">
      <c r="M847" s="52"/>
      <c r="N847" s="52"/>
      <c r="O847" s="52"/>
      <c r="P847" s="52"/>
      <c r="Q847" s="52"/>
      <c r="U847" s="52"/>
    </row>
    <row r="848">
      <c r="M848" s="52"/>
      <c r="N848" s="52"/>
      <c r="O848" s="52"/>
      <c r="P848" s="52"/>
      <c r="Q848" s="52"/>
      <c r="U848" s="52"/>
    </row>
    <row r="849">
      <c r="M849" s="52"/>
      <c r="N849" s="52"/>
      <c r="O849" s="52"/>
      <c r="P849" s="52"/>
      <c r="Q849" s="52"/>
      <c r="U849" s="52"/>
    </row>
    <row r="850">
      <c r="M850" s="52"/>
      <c r="N850" s="52"/>
      <c r="O850" s="52"/>
      <c r="P850" s="52"/>
      <c r="Q850" s="52"/>
      <c r="U850" s="52"/>
    </row>
    <row r="851">
      <c r="M851" s="52"/>
      <c r="N851" s="52"/>
      <c r="O851" s="52"/>
      <c r="P851" s="52"/>
      <c r="Q851" s="52"/>
      <c r="U851" s="52"/>
    </row>
    <row r="852">
      <c r="M852" s="52"/>
      <c r="N852" s="52"/>
      <c r="O852" s="52"/>
      <c r="P852" s="52"/>
      <c r="Q852" s="52"/>
      <c r="U852" s="52"/>
    </row>
    <row r="853">
      <c r="M853" s="52"/>
      <c r="N853" s="52"/>
      <c r="O853" s="52"/>
      <c r="P853" s="52"/>
      <c r="Q853" s="52"/>
      <c r="U853" s="52"/>
    </row>
    <row r="854">
      <c r="M854" s="52"/>
      <c r="N854" s="52"/>
      <c r="O854" s="52"/>
      <c r="P854" s="52"/>
      <c r="Q854" s="52"/>
      <c r="U854" s="52"/>
    </row>
    <row r="855">
      <c r="M855" s="52"/>
      <c r="N855" s="52"/>
      <c r="O855" s="52"/>
      <c r="P855" s="52"/>
      <c r="Q855" s="52"/>
      <c r="U855" s="52"/>
    </row>
    <row r="856">
      <c r="M856" s="52"/>
      <c r="N856" s="52"/>
      <c r="O856" s="52"/>
      <c r="P856" s="52"/>
      <c r="Q856" s="52"/>
      <c r="U856" s="52"/>
    </row>
    <row r="857">
      <c r="M857" s="52"/>
      <c r="N857" s="52"/>
      <c r="O857" s="52"/>
      <c r="P857" s="52"/>
      <c r="Q857" s="52"/>
      <c r="U857" s="52"/>
    </row>
    <row r="858">
      <c r="M858" s="52"/>
      <c r="N858" s="52"/>
      <c r="O858" s="52"/>
      <c r="P858" s="52"/>
      <c r="Q858" s="52"/>
      <c r="U858" s="52"/>
    </row>
    <row r="859">
      <c r="M859" s="52"/>
      <c r="N859" s="52"/>
      <c r="O859" s="52"/>
      <c r="P859" s="52"/>
      <c r="Q859" s="52"/>
      <c r="U859" s="52"/>
    </row>
    <row r="860">
      <c r="M860" s="52"/>
      <c r="N860" s="52"/>
      <c r="O860" s="52"/>
      <c r="P860" s="52"/>
      <c r="Q860" s="52"/>
      <c r="U860" s="52"/>
    </row>
    <row r="861">
      <c r="M861" s="52"/>
      <c r="N861" s="52"/>
      <c r="O861" s="52"/>
      <c r="P861" s="52"/>
      <c r="Q861" s="52"/>
      <c r="U861" s="52"/>
    </row>
    <row r="862">
      <c r="M862" s="52"/>
      <c r="N862" s="52"/>
      <c r="O862" s="52"/>
      <c r="P862" s="52"/>
      <c r="Q862" s="52"/>
      <c r="U862" s="52"/>
    </row>
    <row r="863">
      <c r="M863" s="52"/>
      <c r="N863" s="52"/>
      <c r="O863" s="52"/>
      <c r="P863" s="52"/>
      <c r="Q863" s="52"/>
      <c r="U863" s="52"/>
    </row>
    <row r="864">
      <c r="M864" s="52"/>
      <c r="N864" s="52"/>
      <c r="O864" s="52"/>
      <c r="P864" s="52"/>
      <c r="Q864" s="52"/>
      <c r="U864" s="52"/>
    </row>
    <row r="865">
      <c r="M865" s="52"/>
      <c r="N865" s="52"/>
      <c r="O865" s="52"/>
      <c r="P865" s="52"/>
      <c r="Q865" s="52"/>
      <c r="U865" s="52"/>
    </row>
    <row r="866">
      <c r="M866" s="52"/>
      <c r="N866" s="52"/>
      <c r="O866" s="52"/>
      <c r="P866" s="52"/>
      <c r="Q866" s="52"/>
      <c r="U866" s="52"/>
    </row>
    <row r="867">
      <c r="M867" s="52"/>
      <c r="N867" s="52"/>
      <c r="O867" s="52"/>
      <c r="P867" s="52"/>
      <c r="Q867" s="52"/>
      <c r="U867" s="52"/>
    </row>
    <row r="868">
      <c r="M868" s="52"/>
      <c r="N868" s="52"/>
      <c r="O868" s="52"/>
      <c r="P868" s="52"/>
      <c r="Q868" s="52"/>
      <c r="U868" s="52"/>
    </row>
    <row r="869">
      <c r="M869" s="52"/>
      <c r="N869" s="52"/>
      <c r="O869" s="52"/>
      <c r="P869" s="52"/>
      <c r="Q869" s="52"/>
      <c r="U869" s="52"/>
    </row>
    <row r="870">
      <c r="M870" s="52"/>
      <c r="N870" s="52"/>
      <c r="O870" s="52"/>
      <c r="P870" s="52"/>
      <c r="Q870" s="52"/>
      <c r="U870" s="52"/>
    </row>
    <row r="871">
      <c r="M871" s="52"/>
      <c r="N871" s="52"/>
      <c r="O871" s="52"/>
      <c r="P871" s="52"/>
      <c r="Q871" s="52"/>
      <c r="U871" s="52"/>
    </row>
    <row r="872">
      <c r="M872" s="52"/>
      <c r="N872" s="52"/>
      <c r="O872" s="52"/>
      <c r="P872" s="52"/>
      <c r="Q872" s="52"/>
      <c r="U872" s="52"/>
    </row>
    <row r="873">
      <c r="M873" s="52"/>
      <c r="N873" s="52"/>
      <c r="O873" s="52"/>
      <c r="P873" s="52"/>
      <c r="Q873" s="52"/>
      <c r="U873" s="52"/>
    </row>
    <row r="874">
      <c r="M874" s="52"/>
      <c r="N874" s="52"/>
      <c r="O874" s="52"/>
      <c r="P874" s="52"/>
      <c r="Q874" s="52"/>
      <c r="U874" s="52"/>
    </row>
    <row r="875">
      <c r="M875" s="52"/>
      <c r="N875" s="52"/>
      <c r="O875" s="52"/>
      <c r="P875" s="52"/>
      <c r="Q875" s="52"/>
      <c r="U875" s="52"/>
    </row>
    <row r="876">
      <c r="M876" s="52"/>
      <c r="N876" s="52"/>
      <c r="O876" s="52"/>
      <c r="P876" s="52"/>
      <c r="Q876" s="52"/>
      <c r="U876" s="52"/>
    </row>
    <row r="877">
      <c r="M877" s="52"/>
      <c r="N877" s="52"/>
      <c r="O877" s="52"/>
      <c r="P877" s="52"/>
      <c r="Q877" s="52"/>
      <c r="U877" s="52"/>
    </row>
    <row r="878">
      <c r="M878" s="52"/>
      <c r="N878" s="52"/>
      <c r="O878" s="52"/>
      <c r="P878" s="52"/>
      <c r="Q878" s="52"/>
      <c r="U878" s="52"/>
    </row>
    <row r="879">
      <c r="M879" s="52"/>
      <c r="N879" s="52"/>
      <c r="O879" s="52"/>
      <c r="P879" s="52"/>
      <c r="Q879" s="52"/>
      <c r="U879" s="52"/>
    </row>
    <row r="880">
      <c r="M880" s="52"/>
      <c r="N880" s="52"/>
      <c r="O880" s="52"/>
      <c r="P880" s="52"/>
      <c r="Q880" s="52"/>
      <c r="U880" s="52"/>
    </row>
    <row r="881">
      <c r="M881" s="52"/>
      <c r="N881" s="52"/>
      <c r="O881" s="52"/>
      <c r="P881" s="52"/>
      <c r="Q881" s="52"/>
      <c r="U881" s="52"/>
    </row>
    <row r="882">
      <c r="M882" s="52"/>
      <c r="N882" s="52"/>
      <c r="O882" s="52"/>
      <c r="P882" s="52"/>
      <c r="Q882" s="52"/>
      <c r="U882" s="52"/>
    </row>
    <row r="883">
      <c r="M883" s="52"/>
      <c r="N883" s="52"/>
      <c r="O883" s="52"/>
      <c r="P883" s="52"/>
      <c r="Q883" s="52"/>
      <c r="U883" s="52"/>
    </row>
    <row r="884">
      <c r="M884" s="52"/>
      <c r="N884" s="52"/>
      <c r="O884" s="52"/>
      <c r="P884" s="52"/>
      <c r="Q884" s="52"/>
      <c r="U884" s="52"/>
    </row>
    <row r="885">
      <c r="M885" s="52"/>
      <c r="N885" s="52"/>
      <c r="O885" s="52"/>
      <c r="P885" s="52"/>
      <c r="Q885" s="52"/>
      <c r="U885" s="52"/>
    </row>
    <row r="886">
      <c r="M886" s="52"/>
      <c r="N886" s="52"/>
      <c r="O886" s="52"/>
      <c r="P886" s="52"/>
      <c r="Q886" s="52"/>
      <c r="U886" s="52"/>
    </row>
    <row r="887">
      <c r="M887" s="52"/>
      <c r="N887" s="52"/>
      <c r="O887" s="52"/>
      <c r="P887" s="52"/>
      <c r="Q887" s="52"/>
      <c r="U887" s="52"/>
    </row>
    <row r="888">
      <c r="M888" s="52"/>
      <c r="N888" s="52"/>
      <c r="O888" s="52"/>
      <c r="P888" s="52"/>
      <c r="Q888" s="52"/>
      <c r="U888" s="52"/>
    </row>
    <row r="889">
      <c r="M889" s="52"/>
      <c r="N889" s="52"/>
      <c r="O889" s="52"/>
      <c r="P889" s="52"/>
      <c r="Q889" s="52"/>
      <c r="U889" s="52"/>
    </row>
    <row r="890">
      <c r="M890" s="52"/>
      <c r="N890" s="52"/>
      <c r="O890" s="52"/>
      <c r="P890" s="52"/>
      <c r="Q890" s="52"/>
      <c r="U890" s="52"/>
    </row>
    <row r="891">
      <c r="M891" s="52"/>
      <c r="N891" s="52"/>
      <c r="O891" s="52"/>
      <c r="P891" s="52"/>
      <c r="Q891" s="52"/>
      <c r="U891" s="52"/>
    </row>
    <row r="892">
      <c r="M892" s="52"/>
      <c r="N892" s="52"/>
      <c r="O892" s="52"/>
      <c r="P892" s="52"/>
      <c r="Q892" s="52"/>
      <c r="U892" s="52"/>
    </row>
    <row r="893">
      <c r="M893" s="52"/>
      <c r="N893" s="52"/>
      <c r="O893" s="52"/>
      <c r="P893" s="52"/>
      <c r="Q893" s="52"/>
      <c r="U893" s="52"/>
    </row>
    <row r="894">
      <c r="M894" s="52"/>
      <c r="N894" s="52"/>
      <c r="O894" s="52"/>
      <c r="P894" s="52"/>
      <c r="Q894" s="52"/>
      <c r="U894" s="52"/>
    </row>
    <row r="895">
      <c r="M895" s="52"/>
      <c r="N895" s="52"/>
      <c r="O895" s="52"/>
      <c r="P895" s="52"/>
      <c r="Q895" s="52"/>
      <c r="U895" s="52"/>
    </row>
    <row r="896">
      <c r="M896" s="52"/>
      <c r="N896" s="52"/>
      <c r="O896" s="52"/>
      <c r="P896" s="52"/>
      <c r="Q896" s="52"/>
      <c r="U896" s="52"/>
    </row>
    <row r="897">
      <c r="M897" s="52"/>
      <c r="N897" s="52"/>
      <c r="O897" s="52"/>
      <c r="P897" s="52"/>
      <c r="Q897" s="52"/>
      <c r="U897" s="52"/>
    </row>
    <row r="898">
      <c r="M898" s="52"/>
      <c r="N898" s="52"/>
      <c r="O898" s="52"/>
      <c r="P898" s="52"/>
      <c r="Q898" s="52"/>
      <c r="U898" s="52"/>
    </row>
    <row r="899">
      <c r="M899" s="52"/>
      <c r="N899" s="52"/>
      <c r="O899" s="52"/>
      <c r="P899" s="52"/>
      <c r="Q899" s="52"/>
      <c r="U899" s="52"/>
    </row>
    <row r="900">
      <c r="M900" s="52"/>
      <c r="N900" s="52"/>
      <c r="O900" s="52"/>
      <c r="P900" s="52"/>
      <c r="Q900" s="52"/>
      <c r="U900" s="52"/>
    </row>
    <row r="901">
      <c r="M901" s="52"/>
      <c r="N901" s="52"/>
      <c r="O901" s="52"/>
      <c r="P901" s="52"/>
      <c r="Q901" s="52"/>
      <c r="U901" s="52"/>
    </row>
    <row r="902">
      <c r="M902" s="52"/>
      <c r="N902" s="52"/>
      <c r="O902" s="52"/>
      <c r="P902" s="52"/>
      <c r="Q902" s="52"/>
      <c r="U902" s="52"/>
    </row>
    <row r="903">
      <c r="M903" s="52"/>
      <c r="N903" s="52"/>
      <c r="O903" s="52"/>
      <c r="P903" s="52"/>
      <c r="Q903" s="52"/>
      <c r="U903" s="52"/>
    </row>
    <row r="904">
      <c r="M904" s="52"/>
      <c r="N904" s="52"/>
      <c r="O904" s="52"/>
      <c r="P904" s="52"/>
      <c r="Q904" s="52"/>
      <c r="U904" s="52"/>
    </row>
    <row r="905">
      <c r="M905" s="52"/>
      <c r="N905" s="52"/>
      <c r="O905" s="52"/>
      <c r="P905" s="52"/>
      <c r="Q905" s="52"/>
      <c r="U905" s="52"/>
    </row>
    <row r="906">
      <c r="M906" s="52"/>
      <c r="N906" s="52"/>
      <c r="O906" s="52"/>
      <c r="P906" s="52"/>
      <c r="Q906" s="52"/>
      <c r="U906" s="52"/>
    </row>
    <row r="907">
      <c r="M907" s="52"/>
      <c r="N907" s="52"/>
      <c r="O907" s="52"/>
      <c r="P907" s="52"/>
      <c r="Q907" s="52"/>
      <c r="U907" s="52"/>
    </row>
    <row r="908">
      <c r="M908" s="52"/>
      <c r="N908" s="52"/>
      <c r="O908" s="52"/>
      <c r="P908" s="52"/>
      <c r="Q908" s="52"/>
      <c r="U908" s="52"/>
    </row>
    <row r="909">
      <c r="M909" s="52"/>
      <c r="N909" s="52"/>
      <c r="O909" s="52"/>
      <c r="P909" s="52"/>
      <c r="Q909" s="52"/>
      <c r="U909" s="52"/>
    </row>
    <row r="910">
      <c r="M910" s="52"/>
      <c r="N910" s="52"/>
      <c r="O910" s="52"/>
      <c r="P910" s="52"/>
      <c r="Q910" s="52"/>
      <c r="U910" s="52"/>
    </row>
    <row r="911">
      <c r="M911" s="52"/>
      <c r="N911" s="52"/>
      <c r="O911" s="52"/>
      <c r="P911" s="52"/>
      <c r="Q911" s="52"/>
      <c r="U911" s="52"/>
    </row>
    <row r="912">
      <c r="M912" s="52"/>
      <c r="N912" s="52"/>
      <c r="O912" s="52"/>
      <c r="P912" s="52"/>
      <c r="Q912" s="52"/>
      <c r="U912" s="52"/>
    </row>
    <row r="913">
      <c r="M913" s="52"/>
      <c r="N913" s="52"/>
      <c r="O913" s="52"/>
      <c r="P913" s="52"/>
      <c r="Q913" s="52"/>
      <c r="U913" s="52"/>
    </row>
    <row r="914">
      <c r="M914" s="52"/>
      <c r="N914" s="52"/>
      <c r="O914" s="52"/>
      <c r="P914" s="52"/>
      <c r="Q914" s="52"/>
      <c r="U914" s="52"/>
    </row>
    <row r="915">
      <c r="M915" s="52"/>
      <c r="N915" s="52"/>
      <c r="O915" s="52"/>
      <c r="P915" s="52"/>
      <c r="Q915" s="52"/>
      <c r="U915" s="52"/>
    </row>
    <row r="916">
      <c r="M916" s="52"/>
      <c r="N916" s="52"/>
      <c r="O916" s="52"/>
      <c r="P916" s="52"/>
      <c r="Q916" s="52"/>
      <c r="U916" s="52"/>
    </row>
    <row r="917">
      <c r="M917" s="52"/>
      <c r="N917" s="52"/>
      <c r="O917" s="52"/>
      <c r="P917" s="52"/>
      <c r="Q917" s="52"/>
      <c r="U917" s="52"/>
    </row>
    <row r="918">
      <c r="M918" s="52"/>
      <c r="N918" s="52"/>
      <c r="O918" s="52"/>
      <c r="P918" s="52"/>
      <c r="Q918" s="52"/>
      <c r="U918" s="52"/>
    </row>
    <row r="919">
      <c r="M919" s="52"/>
      <c r="N919" s="52"/>
      <c r="O919" s="52"/>
      <c r="P919" s="52"/>
      <c r="Q919" s="52"/>
      <c r="U919" s="52"/>
    </row>
    <row r="920">
      <c r="M920" s="52"/>
      <c r="N920" s="52"/>
      <c r="O920" s="52"/>
      <c r="P920" s="52"/>
      <c r="Q920" s="52"/>
      <c r="U920" s="52"/>
    </row>
    <row r="921">
      <c r="M921" s="52"/>
      <c r="N921" s="52"/>
      <c r="O921" s="52"/>
      <c r="P921" s="52"/>
      <c r="Q921" s="52"/>
      <c r="U921" s="52"/>
    </row>
    <row r="922">
      <c r="M922" s="52"/>
      <c r="N922" s="52"/>
      <c r="O922" s="52"/>
      <c r="P922" s="52"/>
      <c r="Q922" s="52"/>
      <c r="U922" s="52"/>
    </row>
    <row r="923">
      <c r="M923" s="52"/>
      <c r="N923" s="52"/>
      <c r="O923" s="52"/>
      <c r="P923" s="52"/>
      <c r="Q923" s="52"/>
      <c r="U923" s="52"/>
    </row>
    <row r="924">
      <c r="M924" s="52"/>
      <c r="N924" s="52"/>
      <c r="O924" s="52"/>
      <c r="P924" s="52"/>
      <c r="Q924" s="52"/>
      <c r="U924" s="52"/>
    </row>
    <row r="925">
      <c r="M925" s="52"/>
      <c r="N925" s="52"/>
      <c r="O925" s="52"/>
      <c r="P925" s="52"/>
      <c r="Q925" s="52"/>
      <c r="U925" s="52"/>
    </row>
    <row r="926">
      <c r="M926" s="52"/>
      <c r="N926" s="52"/>
      <c r="O926" s="52"/>
      <c r="P926" s="52"/>
      <c r="Q926" s="52"/>
      <c r="U926" s="52"/>
    </row>
    <row r="927">
      <c r="M927" s="52"/>
      <c r="N927" s="52"/>
      <c r="O927" s="52"/>
      <c r="P927" s="52"/>
      <c r="Q927" s="52"/>
      <c r="U927" s="52"/>
    </row>
    <row r="928">
      <c r="M928" s="52"/>
      <c r="N928" s="52"/>
      <c r="O928" s="52"/>
      <c r="P928" s="52"/>
      <c r="Q928" s="52"/>
      <c r="U928" s="52"/>
    </row>
    <row r="929">
      <c r="M929" s="52"/>
      <c r="N929" s="52"/>
      <c r="O929" s="52"/>
      <c r="P929" s="52"/>
      <c r="Q929" s="52"/>
      <c r="U929" s="52"/>
    </row>
    <row r="930">
      <c r="M930" s="52"/>
      <c r="N930" s="52"/>
      <c r="O930" s="52"/>
      <c r="P930" s="52"/>
      <c r="Q930" s="52"/>
      <c r="U930" s="52"/>
    </row>
    <row r="931">
      <c r="M931" s="52"/>
      <c r="N931" s="52"/>
      <c r="O931" s="52"/>
      <c r="P931" s="52"/>
      <c r="Q931" s="52"/>
      <c r="U931" s="52"/>
    </row>
    <row r="932">
      <c r="M932" s="52"/>
      <c r="N932" s="52"/>
      <c r="O932" s="52"/>
      <c r="P932" s="52"/>
      <c r="Q932" s="52"/>
      <c r="U932" s="52"/>
    </row>
    <row r="933">
      <c r="M933" s="52"/>
      <c r="N933" s="52"/>
      <c r="O933" s="52"/>
      <c r="P933" s="52"/>
      <c r="Q933" s="52"/>
      <c r="U933" s="52"/>
    </row>
    <row r="934">
      <c r="M934" s="52"/>
      <c r="N934" s="52"/>
      <c r="O934" s="52"/>
      <c r="P934" s="52"/>
      <c r="Q934" s="52"/>
      <c r="U934" s="52"/>
    </row>
    <row r="935">
      <c r="M935" s="52"/>
      <c r="N935" s="52"/>
      <c r="O935" s="52"/>
      <c r="P935" s="52"/>
      <c r="Q935" s="52"/>
      <c r="U935" s="52"/>
    </row>
    <row r="936">
      <c r="M936" s="52"/>
      <c r="N936" s="52"/>
      <c r="O936" s="52"/>
      <c r="P936" s="52"/>
      <c r="Q936" s="52"/>
      <c r="U936" s="52"/>
    </row>
    <row r="937">
      <c r="M937" s="52"/>
      <c r="N937" s="52"/>
      <c r="O937" s="52"/>
      <c r="P937" s="52"/>
      <c r="Q937" s="52"/>
      <c r="U937" s="52"/>
    </row>
    <row r="938">
      <c r="M938" s="52"/>
      <c r="N938" s="52"/>
      <c r="O938" s="52"/>
      <c r="P938" s="52"/>
      <c r="Q938" s="52"/>
      <c r="U938" s="52"/>
    </row>
    <row r="939">
      <c r="M939" s="52"/>
      <c r="N939" s="52"/>
      <c r="O939" s="52"/>
      <c r="P939" s="52"/>
      <c r="Q939" s="52"/>
      <c r="U939" s="52"/>
    </row>
    <row r="940">
      <c r="M940" s="52"/>
      <c r="N940" s="52"/>
      <c r="O940" s="52"/>
      <c r="P940" s="52"/>
      <c r="Q940" s="52"/>
      <c r="U940" s="52"/>
    </row>
    <row r="941">
      <c r="M941" s="52"/>
      <c r="N941" s="52"/>
      <c r="O941" s="52"/>
      <c r="P941" s="52"/>
      <c r="Q941" s="52"/>
      <c r="U941" s="52"/>
    </row>
    <row r="942">
      <c r="M942" s="52"/>
      <c r="N942" s="52"/>
      <c r="O942" s="52"/>
      <c r="P942" s="52"/>
      <c r="Q942" s="52"/>
      <c r="U942" s="52"/>
    </row>
    <row r="943">
      <c r="M943" s="52"/>
      <c r="N943" s="52"/>
      <c r="O943" s="52"/>
      <c r="P943" s="52"/>
      <c r="Q943" s="52"/>
      <c r="U943" s="52"/>
    </row>
    <row r="944">
      <c r="M944" s="52"/>
      <c r="N944" s="52"/>
      <c r="O944" s="52"/>
      <c r="P944" s="52"/>
      <c r="Q944" s="52"/>
      <c r="U944" s="52"/>
    </row>
    <row r="945">
      <c r="M945" s="52"/>
      <c r="N945" s="52"/>
      <c r="O945" s="52"/>
      <c r="P945" s="52"/>
      <c r="Q945" s="52"/>
      <c r="U945" s="52"/>
    </row>
    <row r="946">
      <c r="M946" s="52"/>
      <c r="N946" s="52"/>
      <c r="O946" s="52"/>
      <c r="P946" s="52"/>
      <c r="Q946" s="52"/>
      <c r="U946" s="52"/>
    </row>
    <row r="947">
      <c r="M947" s="52"/>
      <c r="N947" s="52"/>
      <c r="O947" s="52"/>
      <c r="P947" s="52"/>
      <c r="Q947" s="52"/>
      <c r="U947" s="52"/>
    </row>
    <row r="948">
      <c r="M948" s="52"/>
      <c r="N948" s="52"/>
      <c r="O948" s="52"/>
      <c r="P948" s="52"/>
      <c r="Q948" s="52"/>
      <c r="U948" s="52"/>
    </row>
    <row r="949">
      <c r="M949" s="52"/>
      <c r="N949" s="52"/>
      <c r="O949" s="52"/>
      <c r="P949" s="52"/>
      <c r="Q949" s="52"/>
      <c r="U949" s="52"/>
    </row>
    <row r="950">
      <c r="M950" s="52"/>
      <c r="N950" s="52"/>
      <c r="O950" s="52"/>
      <c r="P950" s="52"/>
      <c r="Q950" s="52"/>
      <c r="U950" s="52"/>
    </row>
    <row r="951">
      <c r="M951" s="52"/>
      <c r="N951" s="52"/>
      <c r="O951" s="52"/>
      <c r="P951" s="52"/>
      <c r="Q951" s="52"/>
      <c r="U951" s="52"/>
    </row>
    <row r="952">
      <c r="M952" s="52"/>
      <c r="N952" s="52"/>
      <c r="O952" s="52"/>
      <c r="P952" s="52"/>
      <c r="Q952" s="52"/>
      <c r="U952" s="52"/>
    </row>
    <row r="953">
      <c r="M953" s="52"/>
      <c r="N953" s="52"/>
      <c r="O953" s="52"/>
      <c r="P953" s="52"/>
      <c r="Q953" s="52"/>
      <c r="U953" s="52"/>
    </row>
    <row r="954">
      <c r="M954" s="52"/>
      <c r="N954" s="52"/>
      <c r="O954" s="52"/>
      <c r="P954" s="52"/>
      <c r="Q954" s="52"/>
      <c r="U954" s="52"/>
    </row>
    <row r="955">
      <c r="M955" s="52"/>
      <c r="N955" s="52"/>
      <c r="O955" s="52"/>
      <c r="P955" s="52"/>
      <c r="Q955" s="52"/>
      <c r="U955" s="52"/>
    </row>
    <row r="956">
      <c r="M956" s="52"/>
      <c r="N956" s="52"/>
      <c r="O956" s="52"/>
      <c r="P956" s="52"/>
      <c r="Q956" s="52"/>
      <c r="U956" s="52"/>
    </row>
    <row r="957">
      <c r="M957" s="52"/>
      <c r="N957" s="52"/>
      <c r="O957" s="52"/>
      <c r="P957" s="52"/>
      <c r="Q957" s="52"/>
      <c r="U957" s="52"/>
    </row>
    <row r="958">
      <c r="M958" s="52"/>
      <c r="N958" s="52"/>
      <c r="O958" s="52"/>
      <c r="P958" s="52"/>
      <c r="Q958" s="52"/>
      <c r="U958" s="52"/>
    </row>
    <row r="959">
      <c r="M959" s="52"/>
      <c r="N959" s="52"/>
      <c r="O959" s="52"/>
      <c r="P959" s="52"/>
      <c r="Q959" s="52"/>
      <c r="U959" s="52"/>
    </row>
    <row r="960">
      <c r="M960" s="52"/>
      <c r="N960" s="52"/>
      <c r="O960" s="52"/>
      <c r="P960" s="52"/>
      <c r="Q960" s="52"/>
      <c r="U960" s="52"/>
    </row>
    <row r="961">
      <c r="M961" s="52"/>
      <c r="N961" s="52"/>
      <c r="O961" s="52"/>
      <c r="P961" s="52"/>
      <c r="Q961" s="52"/>
      <c r="U961" s="52"/>
    </row>
    <row r="962">
      <c r="M962" s="52"/>
      <c r="N962" s="52"/>
      <c r="O962" s="52"/>
      <c r="P962" s="52"/>
      <c r="Q962" s="52"/>
      <c r="U962" s="52"/>
    </row>
    <row r="963">
      <c r="M963" s="52"/>
      <c r="N963" s="52"/>
      <c r="O963" s="52"/>
      <c r="P963" s="52"/>
      <c r="Q963" s="52"/>
      <c r="U963" s="52"/>
    </row>
    <row r="964">
      <c r="M964" s="52"/>
      <c r="N964" s="52"/>
      <c r="O964" s="52"/>
      <c r="P964" s="52"/>
      <c r="Q964" s="52"/>
      <c r="U964" s="52"/>
    </row>
    <row r="965">
      <c r="M965" s="52"/>
      <c r="N965" s="52"/>
      <c r="O965" s="52"/>
      <c r="P965" s="52"/>
      <c r="Q965" s="52"/>
      <c r="U965" s="52"/>
    </row>
    <row r="966">
      <c r="M966" s="52"/>
      <c r="N966" s="52"/>
      <c r="O966" s="52"/>
      <c r="P966" s="52"/>
      <c r="Q966" s="52"/>
      <c r="U966" s="52"/>
    </row>
    <row r="967">
      <c r="M967" s="52"/>
      <c r="N967" s="52"/>
      <c r="O967" s="52"/>
      <c r="P967" s="52"/>
      <c r="Q967" s="52"/>
      <c r="U967" s="52"/>
    </row>
    <row r="968">
      <c r="M968" s="52"/>
      <c r="N968" s="52"/>
      <c r="O968" s="52"/>
      <c r="P968" s="52"/>
      <c r="Q968" s="52"/>
      <c r="U968" s="52"/>
    </row>
    <row r="969">
      <c r="M969" s="52"/>
      <c r="N969" s="52"/>
      <c r="O969" s="52"/>
      <c r="P969" s="52"/>
      <c r="Q969" s="52"/>
      <c r="U969" s="52"/>
    </row>
    <row r="970">
      <c r="M970" s="52"/>
      <c r="N970" s="52"/>
      <c r="O970" s="52"/>
      <c r="P970" s="52"/>
      <c r="Q970" s="52"/>
      <c r="U970" s="52"/>
    </row>
    <row r="971">
      <c r="M971" s="52"/>
      <c r="N971" s="52"/>
      <c r="O971" s="52"/>
      <c r="P971" s="52"/>
      <c r="Q971" s="52"/>
      <c r="U971" s="52"/>
    </row>
    <row r="972">
      <c r="M972" s="52"/>
      <c r="N972" s="52"/>
      <c r="O972" s="52"/>
      <c r="P972" s="52"/>
      <c r="Q972" s="52"/>
      <c r="U972" s="52"/>
    </row>
    <row r="973">
      <c r="M973" s="52"/>
      <c r="N973" s="52"/>
      <c r="O973" s="52"/>
      <c r="P973" s="52"/>
      <c r="Q973" s="52"/>
      <c r="U973" s="52"/>
    </row>
    <row r="974">
      <c r="M974" s="52"/>
      <c r="N974" s="52"/>
      <c r="O974" s="52"/>
      <c r="P974" s="52"/>
      <c r="Q974" s="52"/>
      <c r="U974" s="52"/>
    </row>
    <row r="975">
      <c r="M975" s="52"/>
      <c r="N975" s="52"/>
      <c r="O975" s="52"/>
      <c r="P975" s="52"/>
      <c r="Q975" s="52"/>
      <c r="U975" s="52"/>
    </row>
    <row r="976">
      <c r="M976" s="52"/>
      <c r="N976" s="52"/>
      <c r="O976" s="52"/>
      <c r="P976" s="52"/>
      <c r="Q976" s="52"/>
      <c r="U976" s="52"/>
    </row>
    <row r="977">
      <c r="M977" s="52"/>
      <c r="N977" s="52"/>
      <c r="O977" s="52"/>
      <c r="P977" s="52"/>
      <c r="Q977" s="52"/>
      <c r="U977" s="52"/>
    </row>
    <row r="978">
      <c r="M978" s="52"/>
      <c r="N978" s="52"/>
      <c r="O978" s="52"/>
      <c r="P978" s="52"/>
      <c r="Q978" s="52"/>
      <c r="U978" s="52"/>
    </row>
    <row r="979">
      <c r="M979" s="52"/>
      <c r="N979" s="52"/>
      <c r="O979" s="52"/>
      <c r="P979" s="52"/>
      <c r="Q979" s="52"/>
      <c r="U979" s="52"/>
    </row>
    <row r="980">
      <c r="M980" s="52"/>
      <c r="N980" s="52"/>
      <c r="O980" s="52"/>
      <c r="P980" s="52"/>
      <c r="Q980" s="52"/>
      <c r="U980" s="52"/>
    </row>
    <row r="981">
      <c r="M981" s="52"/>
      <c r="N981" s="52"/>
      <c r="O981" s="52"/>
      <c r="P981" s="52"/>
      <c r="Q981" s="52"/>
      <c r="U981" s="52"/>
    </row>
    <row r="982">
      <c r="M982" s="52"/>
      <c r="N982" s="52"/>
      <c r="O982" s="52"/>
      <c r="P982" s="52"/>
      <c r="Q982" s="52"/>
      <c r="U982" s="52"/>
    </row>
    <row r="983">
      <c r="M983" s="52"/>
      <c r="N983" s="52"/>
      <c r="O983" s="52"/>
      <c r="P983" s="52"/>
      <c r="Q983" s="52"/>
      <c r="U983" s="52"/>
    </row>
    <row r="984">
      <c r="M984" s="52"/>
      <c r="N984" s="52"/>
      <c r="O984" s="52"/>
      <c r="P984" s="52"/>
      <c r="Q984" s="52"/>
      <c r="U984" s="52"/>
    </row>
    <row r="985">
      <c r="M985" s="52"/>
      <c r="N985" s="52"/>
      <c r="O985" s="52"/>
      <c r="P985" s="52"/>
      <c r="Q985" s="52"/>
      <c r="U985" s="52"/>
    </row>
    <row r="986">
      <c r="M986" s="52"/>
      <c r="N986" s="52"/>
      <c r="O986" s="52"/>
      <c r="P986" s="52"/>
      <c r="Q986" s="52"/>
      <c r="U986" s="52"/>
    </row>
    <row r="987">
      <c r="M987" s="52"/>
      <c r="N987" s="52"/>
      <c r="O987" s="52"/>
      <c r="P987" s="52"/>
      <c r="Q987" s="52"/>
      <c r="U987" s="52"/>
    </row>
    <row r="988">
      <c r="M988" s="52"/>
      <c r="N988" s="52"/>
      <c r="O988" s="52"/>
      <c r="P988" s="52"/>
      <c r="Q988" s="52"/>
      <c r="U988" s="52"/>
    </row>
    <row r="989">
      <c r="M989" s="52"/>
      <c r="N989" s="52"/>
      <c r="O989" s="52"/>
      <c r="P989" s="52"/>
      <c r="Q989" s="52"/>
      <c r="U989" s="52"/>
    </row>
    <row r="990">
      <c r="M990" s="52"/>
      <c r="N990" s="52"/>
      <c r="O990" s="52"/>
      <c r="P990" s="52"/>
      <c r="Q990" s="52"/>
      <c r="U990" s="52"/>
    </row>
    <row r="991">
      <c r="M991" s="52"/>
      <c r="N991" s="52"/>
      <c r="O991" s="52"/>
      <c r="P991" s="52"/>
      <c r="Q991" s="52"/>
      <c r="U991" s="52"/>
    </row>
    <row r="992">
      <c r="M992" s="52"/>
      <c r="N992" s="52"/>
      <c r="O992" s="52"/>
      <c r="P992" s="52"/>
      <c r="Q992" s="52"/>
      <c r="U992" s="52"/>
    </row>
    <row r="993">
      <c r="M993" s="52"/>
      <c r="N993" s="52"/>
      <c r="O993" s="52"/>
      <c r="P993" s="52"/>
      <c r="Q993" s="52"/>
      <c r="U993" s="52"/>
    </row>
    <row r="994">
      <c r="M994" s="52"/>
      <c r="N994" s="52"/>
      <c r="O994" s="52"/>
      <c r="P994" s="52"/>
      <c r="Q994" s="52"/>
      <c r="U994" s="52"/>
    </row>
    <row r="995">
      <c r="M995" s="52"/>
      <c r="N995" s="52"/>
      <c r="O995" s="52"/>
      <c r="P995" s="52"/>
      <c r="Q995" s="52"/>
      <c r="U995" s="52"/>
    </row>
    <row r="996">
      <c r="M996" s="52"/>
      <c r="N996" s="52"/>
      <c r="O996" s="52"/>
      <c r="P996" s="52"/>
      <c r="Q996" s="52"/>
      <c r="U996" s="52"/>
    </row>
    <row r="997">
      <c r="M997" s="52"/>
      <c r="N997" s="52"/>
      <c r="O997" s="52"/>
      <c r="P997" s="52"/>
      <c r="Q997" s="52"/>
      <c r="U997" s="52"/>
    </row>
    <row r="998">
      <c r="M998" s="52"/>
      <c r="N998" s="52"/>
      <c r="O998" s="52"/>
      <c r="P998" s="52"/>
      <c r="Q998" s="52"/>
      <c r="U998" s="52"/>
    </row>
    <row r="999">
      <c r="M999" s="52"/>
      <c r="N999" s="52"/>
      <c r="O999" s="52"/>
      <c r="P999" s="52"/>
      <c r="Q999" s="52"/>
      <c r="U999" s="52"/>
    </row>
    <row r="1000">
      <c r="M1000" s="52"/>
      <c r="N1000" s="52"/>
      <c r="O1000" s="52"/>
      <c r="P1000" s="52"/>
      <c r="Q1000" s="52"/>
      <c r="U1000" s="52"/>
    </row>
  </sheetData>
  <mergeCells count="7">
    <mergeCell ref="A1:A2"/>
    <mergeCell ref="B1:B2"/>
    <mergeCell ref="C1:G1"/>
    <mergeCell ref="H1:I1"/>
    <mergeCell ref="J1:J2"/>
    <mergeCell ref="K1:O1"/>
    <mergeCell ref="P1:U1"/>
  </mergeCells>
  <conditionalFormatting sqref="N3:N9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G3:G9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3:H9">
    <cfRule type="colorScale" priority="3">
      <colorScale>
        <cfvo type="formula" val="0"/>
        <cfvo type="max"/>
        <color rgb="FFFFFFFF"/>
        <color rgb="FF57BB8A"/>
      </colorScale>
    </cfRule>
  </conditionalFormatting>
  <conditionalFormatting sqref="I3:I9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J3:J9">
    <cfRule type="colorScale" priority="5">
      <colorScale>
        <cfvo type="formula" val="0"/>
        <cfvo type="max"/>
        <color rgb="FFFFFFFF"/>
        <color rgb="FF57BB8A"/>
      </colorScale>
    </cfRule>
  </conditionalFormatting>
  <conditionalFormatting sqref="K3:K9">
    <cfRule type="colorScale" priority="6">
      <colorScale>
        <cfvo type="formula" val="0"/>
        <cfvo type="max"/>
        <color rgb="FFFFFFFF"/>
        <color rgb="FF57BB8A"/>
      </colorScale>
    </cfRule>
  </conditionalFormatting>
  <conditionalFormatting sqref="L3:L9">
    <cfRule type="colorScale" priority="7">
      <colorScale>
        <cfvo type="formula" val="0"/>
        <cfvo type="max"/>
        <color rgb="FFFFFFFF"/>
        <color rgb="FFE67C73"/>
      </colorScale>
    </cfRule>
  </conditionalFormatting>
  <conditionalFormatting sqref="C3:C9">
    <cfRule type="colorScale" priority="8">
      <colorScale>
        <cfvo type="formula" val="0"/>
        <cfvo type="max"/>
        <color rgb="FFFFFFFF"/>
        <color rgb="FFFFD666"/>
      </colorScale>
    </cfRule>
  </conditionalFormatting>
  <conditionalFormatting sqref="D3:D9">
    <cfRule type="colorScale" priority="9">
      <colorScale>
        <cfvo type="formula" val="0"/>
        <cfvo type="max"/>
        <color rgb="FFFFFFFF"/>
        <color rgb="FF57BB8A"/>
      </colorScale>
    </cfRule>
  </conditionalFormatting>
  <conditionalFormatting sqref="E3:E9">
    <cfRule type="colorScale" priority="10">
      <colorScale>
        <cfvo type="formula" val="0"/>
        <cfvo type="max"/>
        <color rgb="FFFFFFFF"/>
        <color rgb="FFE67C73"/>
      </colorScale>
    </cfRule>
  </conditionalFormatting>
  <conditionalFormatting sqref="F3:F9">
    <cfRule type="colorScale" priority="11">
      <colorScale>
        <cfvo type="formula" val="0"/>
        <cfvo type="max"/>
        <color rgb="FFFFFFFF"/>
        <color rgb="FF57BB8A"/>
      </colorScale>
    </cfRule>
  </conditionalFormatting>
  <conditionalFormatting sqref="M3:M9">
    <cfRule type="colorScale" priority="12">
      <colorScale>
        <cfvo type="formula" val="0"/>
        <cfvo type="max"/>
        <color rgb="FFFFFFFF"/>
        <color rgb="FFFFD666"/>
      </colorScale>
    </cfRule>
  </conditionalFormatting>
  <conditionalFormatting sqref="O3:O9">
    <cfRule type="colorScale" priority="13">
      <colorScale>
        <cfvo type="formula" val="0"/>
        <cfvo type="formula" val="1"/>
        <color rgb="FFFFFFFF"/>
        <color rgb="FF57BB8A"/>
      </colorScale>
    </cfRule>
  </conditionalFormatting>
  <conditionalFormatting sqref="P3:P9">
    <cfRule type="colorScale" priority="14">
      <colorScale>
        <cfvo type="formula" val="0"/>
        <cfvo type="max"/>
        <color rgb="FFFFFFFF"/>
        <color rgb="FFFFD666"/>
      </colorScale>
    </cfRule>
  </conditionalFormatting>
  <conditionalFormatting sqref="U3:U9">
    <cfRule type="colorScale" priority="15">
      <colorScale>
        <cfvo type="formula" val="0"/>
        <cfvo type="formula" val="2"/>
        <cfvo type="formula" val="3"/>
        <color rgb="FFE67C73"/>
        <color rgb="FFFFFFFF"/>
        <color rgb="FF57BB8A"/>
      </colorScale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7.63"/>
    <col customWidth="1" min="4" max="4" width="5.63"/>
    <col customWidth="1" min="5" max="5" width="6.88"/>
    <col customWidth="1" min="6" max="6" width="8.38"/>
    <col customWidth="1" min="7" max="7" width="15.5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1" t="s">
        <v>4</v>
      </c>
      <c r="K1" s="6" t="s">
        <v>5</v>
      </c>
      <c r="L1" s="4"/>
      <c r="M1" s="4"/>
      <c r="N1" s="4"/>
      <c r="O1" s="5"/>
      <c r="P1" s="30" t="s">
        <v>6</v>
      </c>
      <c r="Q1" s="4"/>
      <c r="R1" s="4"/>
      <c r="S1" s="4"/>
      <c r="T1" s="4"/>
      <c r="U1" s="5"/>
    </row>
    <row r="2">
      <c r="A2" s="9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2" t="s">
        <v>13</v>
      </c>
      <c r="I2" s="12" t="s">
        <v>14</v>
      </c>
      <c r="J2" s="9"/>
      <c r="K2" s="10" t="s">
        <v>15</v>
      </c>
      <c r="L2" s="12" t="s">
        <v>10</v>
      </c>
      <c r="M2" s="10" t="s">
        <v>16</v>
      </c>
      <c r="N2" s="10" t="s">
        <v>12</v>
      </c>
      <c r="O2" s="10" t="s">
        <v>18</v>
      </c>
      <c r="P2" s="15" t="s">
        <v>8</v>
      </c>
      <c r="Q2" s="15">
        <v>0.0</v>
      </c>
      <c r="R2" s="15">
        <v>1.0</v>
      </c>
      <c r="S2" s="15">
        <v>2.0</v>
      </c>
      <c r="T2" s="15">
        <v>3.0</v>
      </c>
      <c r="U2" s="15" t="s">
        <v>19</v>
      </c>
    </row>
    <row r="3">
      <c r="A3" s="18" t="s">
        <v>21</v>
      </c>
      <c r="B3" s="18" t="s">
        <v>83</v>
      </c>
      <c r="C3" s="10"/>
      <c r="D3" s="10"/>
      <c r="E3" s="10"/>
      <c r="F3" s="35"/>
      <c r="G3" s="35" t="str">
        <f t="shared" ref="G3:G9" si="1">IFS(C3=0, "N/A", C3&lt;&gt;0,(D3-E3)/C3 )</f>
        <v>N/A</v>
      </c>
      <c r="H3" s="35"/>
      <c r="I3" s="10"/>
      <c r="J3" s="10">
        <v>1.0</v>
      </c>
      <c r="K3" s="35"/>
      <c r="L3" s="10"/>
      <c r="M3" s="10">
        <v>2.0</v>
      </c>
      <c r="N3" s="35">
        <f t="shared" ref="N3:N9" si="2">ifs(M3=0,"N/A",M3&lt;&gt;0,(M3-L3) /M3)</f>
        <v>1</v>
      </c>
      <c r="O3" s="35">
        <f t="shared" ref="O3:O9" si="3">IFS(M3=0, "N/A", M3&lt;&gt;0, K3/M3)</f>
        <v>0</v>
      </c>
      <c r="P3" s="10">
        <f t="shared" ref="P3:P9" si="4">sum(Q3,R3,S3,T3)</f>
        <v>1</v>
      </c>
      <c r="Q3" s="35"/>
      <c r="R3" s="10"/>
      <c r="S3" s="10"/>
      <c r="T3" s="10">
        <v>1.0</v>
      </c>
      <c r="U3" s="10">
        <f t="shared" ref="U3:U9" si="5">ifs(P3=0, "N/A",P3&lt;&gt;0,(R3 + S3*2 +T3*3)/P3)</f>
        <v>3</v>
      </c>
    </row>
    <row r="4">
      <c r="A4" s="21" t="s">
        <v>24</v>
      </c>
      <c r="B4" s="21" t="s">
        <v>42</v>
      </c>
      <c r="C4" s="10">
        <v>1.0</v>
      </c>
      <c r="D4" s="10">
        <v>1.0</v>
      </c>
      <c r="E4" s="10"/>
      <c r="F4" s="10">
        <v>4.0</v>
      </c>
      <c r="G4" s="35">
        <f t="shared" si="1"/>
        <v>1</v>
      </c>
      <c r="H4" s="10"/>
      <c r="I4" s="10">
        <v>1.0</v>
      </c>
      <c r="J4" s="10">
        <v>2.0</v>
      </c>
      <c r="K4" s="35"/>
      <c r="L4" s="10"/>
      <c r="M4" s="10">
        <v>1.0</v>
      </c>
      <c r="N4" s="35">
        <f t="shared" si="2"/>
        <v>1</v>
      </c>
      <c r="O4" s="35">
        <f t="shared" si="3"/>
        <v>0</v>
      </c>
      <c r="P4" s="10">
        <f t="shared" si="4"/>
        <v>0</v>
      </c>
      <c r="Q4" s="10"/>
      <c r="R4" s="35"/>
      <c r="S4" s="35"/>
      <c r="T4" s="35"/>
      <c r="U4" s="10" t="str">
        <f t="shared" si="5"/>
        <v>N/A</v>
      </c>
    </row>
    <row r="5">
      <c r="A5" s="22" t="s">
        <v>26</v>
      </c>
      <c r="B5" s="22" t="s">
        <v>41</v>
      </c>
      <c r="C5" s="10">
        <v>3.0</v>
      </c>
      <c r="D5" s="10">
        <v>1.0</v>
      </c>
      <c r="E5" s="10">
        <v>1.0</v>
      </c>
      <c r="F5" s="10"/>
      <c r="G5" s="35">
        <f t="shared" si="1"/>
        <v>0</v>
      </c>
      <c r="H5" s="10"/>
      <c r="I5" s="10">
        <v>1.0</v>
      </c>
      <c r="J5" s="10">
        <v>1.0</v>
      </c>
      <c r="K5" s="10"/>
      <c r="L5" s="35"/>
      <c r="M5" s="10"/>
      <c r="N5" s="35" t="str">
        <f t="shared" si="2"/>
        <v>N/A</v>
      </c>
      <c r="O5" s="35" t="str">
        <f t="shared" si="3"/>
        <v>N/A</v>
      </c>
      <c r="P5" s="10">
        <f t="shared" si="4"/>
        <v>1</v>
      </c>
      <c r="Q5" s="35"/>
      <c r="R5" s="35"/>
      <c r="S5" s="10">
        <v>1.0</v>
      </c>
      <c r="T5" s="10"/>
      <c r="U5" s="10">
        <f t="shared" si="5"/>
        <v>2</v>
      </c>
    </row>
    <row r="6">
      <c r="A6" s="23" t="s">
        <v>28</v>
      </c>
      <c r="B6" s="23" t="s">
        <v>43</v>
      </c>
      <c r="C6" s="10">
        <v>5.0</v>
      </c>
      <c r="D6" s="10">
        <v>3.0</v>
      </c>
      <c r="E6" s="10"/>
      <c r="F6" s="35"/>
      <c r="G6" s="35">
        <f t="shared" si="1"/>
        <v>0.6</v>
      </c>
      <c r="H6" s="35"/>
      <c r="I6" s="35"/>
      <c r="J6" s="10">
        <v>1.0</v>
      </c>
      <c r="K6" s="10"/>
      <c r="L6" s="10">
        <v>1.0</v>
      </c>
      <c r="M6" s="10">
        <v>1.0</v>
      </c>
      <c r="N6" s="35">
        <f t="shared" si="2"/>
        <v>0</v>
      </c>
      <c r="O6" s="35">
        <f t="shared" si="3"/>
        <v>0</v>
      </c>
      <c r="P6" s="10">
        <f t="shared" si="4"/>
        <v>0</v>
      </c>
      <c r="Q6" s="10"/>
      <c r="R6" s="10"/>
      <c r="S6" s="10"/>
      <c r="T6" s="10"/>
      <c r="U6" s="10" t="str">
        <f t="shared" si="5"/>
        <v>N/A</v>
      </c>
    </row>
    <row r="7">
      <c r="A7" s="24" t="s">
        <v>30</v>
      </c>
      <c r="B7" s="24" t="s">
        <v>85</v>
      </c>
      <c r="C7" s="10"/>
      <c r="D7" s="10"/>
      <c r="E7" s="10"/>
      <c r="F7" s="35"/>
      <c r="G7" s="35" t="str">
        <f t="shared" si="1"/>
        <v>N/A</v>
      </c>
      <c r="H7" s="35"/>
      <c r="I7" s="35"/>
      <c r="J7" s="10"/>
      <c r="K7" s="35"/>
      <c r="L7" s="10"/>
      <c r="M7" s="10"/>
      <c r="N7" s="35" t="str">
        <f t="shared" si="2"/>
        <v>N/A</v>
      </c>
      <c r="O7" s="35" t="str">
        <f t="shared" si="3"/>
        <v>N/A</v>
      </c>
      <c r="P7" s="10">
        <f t="shared" si="4"/>
        <v>0</v>
      </c>
      <c r="Q7" s="10"/>
      <c r="R7" s="35"/>
      <c r="S7" s="10"/>
      <c r="T7" s="35"/>
      <c r="U7" s="10" t="str">
        <f t="shared" si="5"/>
        <v>N/A</v>
      </c>
    </row>
    <row r="8">
      <c r="A8" s="25" t="s">
        <v>32</v>
      </c>
      <c r="B8" s="25" t="s">
        <v>45</v>
      </c>
      <c r="C8" s="10">
        <v>4.0</v>
      </c>
      <c r="D8" s="10">
        <v>1.0</v>
      </c>
      <c r="E8" s="10">
        <v>1.0</v>
      </c>
      <c r="F8" s="35"/>
      <c r="G8" s="35">
        <f t="shared" si="1"/>
        <v>0</v>
      </c>
      <c r="H8" s="35"/>
      <c r="I8" s="10"/>
      <c r="J8" s="10"/>
      <c r="K8" s="35"/>
      <c r="L8" s="35"/>
      <c r="M8" s="10">
        <v>4.0</v>
      </c>
      <c r="N8" s="35">
        <f t="shared" si="2"/>
        <v>1</v>
      </c>
      <c r="O8" s="35">
        <f t="shared" si="3"/>
        <v>0</v>
      </c>
      <c r="P8" s="10">
        <f t="shared" si="4"/>
        <v>0</v>
      </c>
      <c r="Q8" s="10"/>
      <c r="R8" s="10"/>
      <c r="S8" s="35"/>
      <c r="T8" s="35"/>
      <c r="U8" s="10" t="str">
        <f t="shared" si="5"/>
        <v>N/A</v>
      </c>
    </row>
    <row r="9">
      <c r="A9" s="26" t="s">
        <v>34</v>
      </c>
      <c r="B9" s="26" t="s">
        <v>41</v>
      </c>
      <c r="C9" s="10">
        <v>2.0</v>
      </c>
      <c r="D9" s="10"/>
      <c r="E9" s="10"/>
      <c r="F9" s="35"/>
      <c r="G9" s="35">
        <f t="shared" si="1"/>
        <v>0</v>
      </c>
      <c r="H9" s="35"/>
      <c r="I9" s="35"/>
      <c r="J9" s="10"/>
      <c r="K9" s="35"/>
      <c r="L9" s="10"/>
      <c r="M9" s="10">
        <v>3.0</v>
      </c>
      <c r="N9" s="35">
        <f t="shared" si="2"/>
        <v>1</v>
      </c>
      <c r="O9" s="35">
        <f t="shared" si="3"/>
        <v>0</v>
      </c>
      <c r="P9" s="10">
        <f t="shared" si="4"/>
        <v>1</v>
      </c>
      <c r="Q9" s="35"/>
      <c r="R9" s="10"/>
      <c r="S9" s="10">
        <v>1.0</v>
      </c>
      <c r="T9" s="35"/>
      <c r="U9" s="10">
        <f t="shared" si="5"/>
        <v>2</v>
      </c>
    </row>
    <row r="10">
      <c r="M10" s="52"/>
      <c r="N10" s="52"/>
      <c r="O10" s="52"/>
      <c r="P10" s="52"/>
      <c r="Q10" s="52"/>
      <c r="U10" s="52"/>
    </row>
    <row r="11">
      <c r="M11" s="52"/>
      <c r="N11" s="52"/>
      <c r="O11" s="52"/>
      <c r="P11" s="52"/>
      <c r="Q11" s="52"/>
      <c r="U11" s="52"/>
    </row>
    <row r="12">
      <c r="M12" s="52"/>
      <c r="N12" s="52"/>
      <c r="O12" s="52"/>
      <c r="P12" s="52"/>
      <c r="Q12" s="52"/>
      <c r="U12" s="52"/>
    </row>
    <row r="13">
      <c r="M13" s="52"/>
      <c r="N13" s="52"/>
      <c r="O13" s="52"/>
      <c r="P13" s="52"/>
      <c r="Q13" s="52"/>
      <c r="U13" s="52"/>
    </row>
    <row r="14">
      <c r="M14" s="52"/>
      <c r="N14" s="52"/>
      <c r="O14" s="52"/>
      <c r="P14" s="52"/>
      <c r="Q14" s="52"/>
      <c r="U14" s="52"/>
    </row>
    <row r="15">
      <c r="M15" s="52"/>
      <c r="N15" s="52"/>
      <c r="O15" s="52"/>
      <c r="P15" s="52"/>
      <c r="Q15" s="52"/>
      <c r="U15" s="52"/>
    </row>
    <row r="16">
      <c r="M16" s="52"/>
      <c r="N16" s="52"/>
      <c r="O16" s="52"/>
      <c r="P16" s="52"/>
      <c r="Q16" s="52"/>
      <c r="U16" s="52"/>
    </row>
    <row r="17">
      <c r="M17" s="52"/>
      <c r="N17" s="52"/>
      <c r="O17" s="52"/>
      <c r="P17" s="52"/>
      <c r="Q17" s="52"/>
      <c r="U17" s="52"/>
    </row>
    <row r="18">
      <c r="M18" s="52"/>
      <c r="N18" s="52"/>
      <c r="O18" s="52"/>
      <c r="P18" s="52"/>
      <c r="Q18" s="52"/>
      <c r="U18" s="52"/>
    </row>
    <row r="19">
      <c r="M19" s="52"/>
      <c r="N19" s="52"/>
      <c r="O19" s="52"/>
      <c r="P19" s="52"/>
      <c r="Q19" s="52"/>
      <c r="U19" s="52"/>
    </row>
    <row r="20">
      <c r="M20" s="52"/>
      <c r="N20" s="52"/>
      <c r="O20" s="52"/>
      <c r="P20" s="52"/>
      <c r="Q20" s="52"/>
      <c r="U20" s="52"/>
    </row>
    <row r="21">
      <c r="M21" s="52"/>
      <c r="N21" s="52"/>
      <c r="O21" s="52"/>
      <c r="P21" s="52"/>
      <c r="Q21" s="52"/>
      <c r="U21" s="52"/>
    </row>
    <row r="22">
      <c r="M22" s="52"/>
      <c r="N22" s="52"/>
      <c r="O22" s="52"/>
      <c r="P22" s="52"/>
      <c r="Q22" s="52"/>
      <c r="U22" s="52"/>
    </row>
    <row r="23">
      <c r="M23" s="52"/>
      <c r="N23" s="52"/>
      <c r="O23" s="52"/>
      <c r="P23" s="52"/>
      <c r="Q23" s="52"/>
      <c r="U23" s="52"/>
    </row>
    <row r="24">
      <c r="M24" s="52"/>
      <c r="N24" s="52"/>
      <c r="O24" s="52"/>
      <c r="P24" s="52"/>
      <c r="Q24" s="52"/>
      <c r="U24" s="52"/>
    </row>
    <row r="25">
      <c r="M25" s="52"/>
      <c r="N25" s="52"/>
      <c r="O25" s="52"/>
      <c r="P25" s="52"/>
      <c r="Q25" s="52"/>
      <c r="U25" s="52"/>
    </row>
    <row r="26">
      <c r="M26" s="52"/>
      <c r="N26" s="52"/>
      <c r="O26" s="52"/>
      <c r="P26" s="52"/>
      <c r="Q26" s="52"/>
      <c r="U26" s="52"/>
    </row>
    <row r="27">
      <c r="M27" s="52"/>
      <c r="N27" s="52"/>
      <c r="O27" s="52"/>
      <c r="P27" s="52"/>
      <c r="Q27" s="52"/>
      <c r="U27" s="52"/>
    </row>
    <row r="28">
      <c r="M28" s="52"/>
      <c r="N28" s="52"/>
      <c r="O28" s="52"/>
      <c r="P28" s="52"/>
      <c r="Q28" s="52"/>
      <c r="U28" s="52"/>
    </row>
    <row r="29">
      <c r="M29" s="52"/>
      <c r="N29" s="52"/>
      <c r="O29" s="52"/>
      <c r="P29" s="52"/>
      <c r="Q29" s="52"/>
      <c r="U29" s="52"/>
    </row>
    <row r="30">
      <c r="M30" s="52"/>
      <c r="N30" s="52"/>
      <c r="O30" s="52"/>
      <c r="P30" s="52"/>
      <c r="Q30" s="52"/>
      <c r="U30" s="52"/>
    </row>
    <row r="31">
      <c r="M31" s="52"/>
      <c r="N31" s="52"/>
      <c r="O31" s="52"/>
      <c r="P31" s="52"/>
      <c r="Q31" s="52"/>
      <c r="U31" s="52"/>
    </row>
    <row r="32">
      <c r="M32" s="52"/>
      <c r="N32" s="52"/>
      <c r="O32" s="52"/>
      <c r="P32" s="52"/>
      <c r="Q32" s="52"/>
      <c r="U32" s="52"/>
    </row>
    <row r="33">
      <c r="M33" s="52"/>
      <c r="N33" s="52"/>
      <c r="O33" s="52"/>
      <c r="P33" s="52"/>
      <c r="Q33" s="52"/>
      <c r="U33" s="52"/>
    </row>
    <row r="34">
      <c r="M34" s="52"/>
      <c r="N34" s="52"/>
      <c r="O34" s="52"/>
      <c r="P34" s="52"/>
      <c r="Q34" s="52"/>
      <c r="U34" s="52"/>
    </row>
    <row r="35">
      <c r="M35" s="52"/>
      <c r="N35" s="52"/>
      <c r="O35" s="52"/>
      <c r="P35" s="52"/>
      <c r="Q35" s="52"/>
      <c r="U35" s="52"/>
    </row>
    <row r="36">
      <c r="M36" s="52"/>
      <c r="N36" s="52"/>
      <c r="O36" s="52"/>
      <c r="P36" s="52"/>
      <c r="Q36" s="52"/>
      <c r="U36" s="52"/>
    </row>
    <row r="37">
      <c r="M37" s="52"/>
      <c r="N37" s="52"/>
      <c r="O37" s="52"/>
      <c r="P37" s="52"/>
      <c r="Q37" s="52"/>
      <c r="U37" s="52"/>
    </row>
    <row r="38">
      <c r="M38" s="52"/>
      <c r="N38" s="52"/>
      <c r="O38" s="52"/>
      <c r="P38" s="52"/>
      <c r="Q38" s="52"/>
      <c r="U38" s="52"/>
    </row>
    <row r="39">
      <c r="M39" s="52"/>
      <c r="N39" s="52"/>
      <c r="O39" s="52"/>
      <c r="P39" s="52"/>
      <c r="Q39" s="52"/>
      <c r="U39" s="52"/>
    </row>
    <row r="40">
      <c r="M40" s="52"/>
      <c r="N40" s="52"/>
      <c r="O40" s="52"/>
      <c r="P40" s="52"/>
      <c r="Q40" s="52"/>
      <c r="U40" s="52"/>
    </row>
    <row r="41">
      <c r="M41" s="52"/>
      <c r="N41" s="52"/>
      <c r="O41" s="52"/>
      <c r="P41" s="52"/>
      <c r="Q41" s="52"/>
      <c r="U41" s="52"/>
    </row>
    <row r="42">
      <c r="M42" s="52"/>
      <c r="N42" s="52"/>
      <c r="O42" s="52"/>
      <c r="P42" s="52"/>
      <c r="Q42" s="52"/>
      <c r="U42" s="52"/>
    </row>
    <row r="43">
      <c r="M43" s="52"/>
      <c r="N43" s="52"/>
      <c r="O43" s="52"/>
      <c r="P43" s="52"/>
      <c r="Q43" s="52"/>
      <c r="U43" s="52"/>
    </row>
    <row r="44">
      <c r="M44" s="52"/>
      <c r="N44" s="52"/>
      <c r="O44" s="52"/>
      <c r="P44" s="52"/>
      <c r="Q44" s="52"/>
      <c r="U44" s="52"/>
    </row>
    <row r="45">
      <c r="M45" s="52"/>
      <c r="N45" s="52"/>
      <c r="O45" s="52"/>
      <c r="P45" s="52"/>
      <c r="Q45" s="52"/>
      <c r="U45" s="52"/>
    </row>
    <row r="46">
      <c r="M46" s="52"/>
      <c r="N46" s="52"/>
      <c r="O46" s="52"/>
      <c r="P46" s="52"/>
      <c r="Q46" s="52"/>
      <c r="U46" s="52"/>
    </row>
    <row r="47">
      <c r="M47" s="52"/>
      <c r="N47" s="52"/>
      <c r="O47" s="52"/>
      <c r="P47" s="52"/>
      <c r="Q47" s="52"/>
      <c r="U47" s="52"/>
    </row>
    <row r="48">
      <c r="M48" s="52"/>
      <c r="N48" s="52"/>
      <c r="O48" s="52"/>
      <c r="P48" s="52"/>
      <c r="Q48" s="52"/>
      <c r="U48" s="52"/>
    </row>
    <row r="49">
      <c r="M49" s="52"/>
      <c r="N49" s="52"/>
      <c r="O49" s="52"/>
      <c r="P49" s="52"/>
      <c r="Q49" s="52"/>
      <c r="U49" s="52"/>
    </row>
    <row r="50">
      <c r="M50" s="52"/>
      <c r="N50" s="52"/>
      <c r="O50" s="52"/>
      <c r="P50" s="52"/>
      <c r="Q50" s="52"/>
      <c r="U50" s="52"/>
    </row>
    <row r="51">
      <c r="M51" s="52"/>
      <c r="N51" s="52"/>
      <c r="O51" s="52"/>
      <c r="P51" s="52"/>
      <c r="Q51" s="52"/>
      <c r="U51" s="52"/>
    </row>
    <row r="52">
      <c r="M52" s="52"/>
      <c r="N52" s="52"/>
      <c r="O52" s="52"/>
      <c r="P52" s="52"/>
      <c r="Q52" s="52"/>
      <c r="U52" s="52"/>
    </row>
    <row r="53">
      <c r="M53" s="52"/>
      <c r="N53" s="52"/>
      <c r="O53" s="52"/>
      <c r="P53" s="52"/>
      <c r="Q53" s="52"/>
      <c r="U53" s="52"/>
    </row>
    <row r="54">
      <c r="M54" s="52"/>
      <c r="N54" s="52"/>
      <c r="O54" s="52"/>
      <c r="P54" s="52"/>
      <c r="Q54" s="52"/>
      <c r="U54" s="52"/>
    </row>
    <row r="55">
      <c r="M55" s="52"/>
      <c r="N55" s="52"/>
      <c r="O55" s="52"/>
      <c r="P55" s="52"/>
      <c r="Q55" s="52"/>
      <c r="U55" s="52"/>
    </row>
    <row r="56">
      <c r="M56" s="52"/>
      <c r="N56" s="52"/>
      <c r="O56" s="52"/>
      <c r="P56" s="52"/>
      <c r="Q56" s="52"/>
      <c r="U56" s="52"/>
    </row>
    <row r="57">
      <c r="M57" s="52"/>
      <c r="N57" s="52"/>
      <c r="O57" s="52"/>
      <c r="P57" s="52"/>
      <c r="Q57" s="52"/>
      <c r="U57" s="52"/>
    </row>
    <row r="58">
      <c r="M58" s="52"/>
      <c r="N58" s="52"/>
      <c r="O58" s="52"/>
      <c r="P58" s="52"/>
      <c r="Q58" s="52"/>
      <c r="U58" s="52"/>
    </row>
    <row r="59">
      <c r="M59" s="52"/>
      <c r="N59" s="52"/>
      <c r="O59" s="52"/>
      <c r="P59" s="52"/>
      <c r="Q59" s="52"/>
      <c r="U59" s="52"/>
    </row>
    <row r="60">
      <c r="M60" s="52"/>
      <c r="N60" s="52"/>
      <c r="O60" s="52"/>
      <c r="P60" s="52"/>
      <c r="Q60" s="52"/>
      <c r="U60" s="52"/>
    </row>
    <row r="61">
      <c r="M61" s="52"/>
      <c r="N61" s="52"/>
      <c r="O61" s="52"/>
      <c r="P61" s="52"/>
      <c r="Q61" s="52"/>
      <c r="U61" s="52"/>
    </row>
    <row r="62">
      <c r="M62" s="52"/>
      <c r="N62" s="52"/>
      <c r="O62" s="52"/>
      <c r="P62" s="52"/>
      <c r="Q62" s="52"/>
      <c r="U62" s="52"/>
    </row>
    <row r="63">
      <c r="M63" s="52"/>
      <c r="N63" s="52"/>
      <c r="O63" s="52"/>
      <c r="P63" s="52"/>
      <c r="Q63" s="52"/>
      <c r="U63" s="52"/>
    </row>
    <row r="64">
      <c r="M64" s="52"/>
      <c r="N64" s="52"/>
      <c r="O64" s="52"/>
      <c r="P64" s="52"/>
      <c r="Q64" s="52"/>
      <c r="U64" s="52"/>
    </row>
    <row r="65">
      <c r="M65" s="52"/>
      <c r="N65" s="52"/>
      <c r="O65" s="52"/>
      <c r="P65" s="52"/>
      <c r="Q65" s="52"/>
      <c r="U65" s="52"/>
    </row>
    <row r="66">
      <c r="M66" s="52"/>
      <c r="N66" s="52"/>
      <c r="O66" s="52"/>
      <c r="P66" s="52"/>
      <c r="Q66" s="52"/>
      <c r="U66" s="52"/>
    </row>
    <row r="67">
      <c r="M67" s="52"/>
      <c r="N67" s="52"/>
      <c r="O67" s="52"/>
      <c r="P67" s="52"/>
      <c r="Q67" s="52"/>
      <c r="U67" s="52"/>
    </row>
    <row r="68">
      <c r="M68" s="52"/>
      <c r="N68" s="52"/>
      <c r="O68" s="52"/>
      <c r="P68" s="52"/>
      <c r="Q68" s="52"/>
      <c r="U68" s="52"/>
    </row>
    <row r="69">
      <c r="M69" s="52"/>
      <c r="N69" s="52"/>
      <c r="O69" s="52"/>
      <c r="P69" s="52"/>
      <c r="Q69" s="52"/>
      <c r="U69" s="52"/>
    </row>
    <row r="70">
      <c r="M70" s="52"/>
      <c r="N70" s="52"/>
      <c r="O70" s="52"/>
      <c r="P70" s="52"/>
      <c r="Q70" s="52"/>
      <c r="U70" s="52"/>
    </row>
    <row r="71">
      <c r="M71" s="52"/>
      <c r="N71" s="52"/>
      <c r="O71" s="52"/>
      <c r="P71" s="52"/>
      <c r="Q71" s="52"/>
      <c r="U71" s="52"/>
    </row>
    <row r="72">
      <c r="M72" s="52"/>
      <c r="N72" s="52"/>
      <c r="O72" s="52"/>
      <c r="P72" s="52"/>
      <c r="Q72" s="52"/>
      <c r="U72" s="52"/>
    </row>
    <row r="73">
      <c r="M73" s="52"/>
      <c r="N73" s="52"/>
      <c r="O73" s="52"/>
      <c r="P73" s="52"/>
      <c r="Q73" s="52"/>
      <c r="U73" s="52"/>
    </row>
    <row r="74">
      <c r="M74" s="52"/>
      <c r="N74" s="52"/>
      <c r="O74" s="52"/>
      <c r="P74" s="52"/>
      <c r="Q74" s="52"/>
      <c r="U74" s="52"/>
    </row>
    <row r="75">
      <c r="M75" s="52"/>
      <c r="N75" s="52"/>
      <c r="O75" s="52"/>
      <c r="P75" s="52"/>
      <c r="Q75" s="52"/>
      <c r="U75" s="52"/>
    </row>
    <row r="76">
      <c r="M76" s="52"/>
      <c r="N76" s="52"/>
      <c r="O76" s="52"/>
      <c r="P76" s="52"/>
      <c r="Q76" s="52"/>
      <c r="U76" s="52"/>
    </row>
    <row r="77">
      <c r="M77" s="52"/>
      <c r="N77" s="52"/>
      <c r="O77" s="52"/>
      <c r="P77" s="52"/>
      <c r="Q77" s="52"/>
      <c r="U77" s="52"/>
    </row>
    <row r="78">
      <c r="M78" s="52"/>
      <c r="N78" s="52"/>
      <c r="O78" s="52"/>
      <c r="P78" s="52"/>
      <c r="Q78" s="52"/>
      <c r="U78" s="52"/>
    </row>
    <row r="79">
      <c r="M79" s="52"/>
      <c r="N79" s="52"/>
      <c r="O79" s="52"/>
      <c r="P79" s="52"/>
      <c r="Q79" s="52"/>
      <c r="U79" s="52"/>
    </row>
    <row r="80">
      <c r="M80" s="52"/>
      <c r="N80" s="52"/>
      <c r="O80" s="52"/>
      <c r="P80" s="52"/>
      <c r="Q80" s="52"/>
      <c r="U80" s="52"/>
    </row>
    <row r="81">
      <c r="M81" s="52"/>
      <c r="N81" s="52"/>
      <c r="O81" s="52"/>
      <c r="P81" s="52"/>
      <c r="Q81" s="52"/>
      <c r="U81" s="52"/>
    </row>
    <row r="82">
      <c r="M82" s="52"/>
      <c r="N82" s="52"/>
      <c r="O82" s="52"/>
      <c r="P82" s="52"/>
      <c r="Q82" s="52"/>
      <c r="U82" s="52"/>
    </row>
    <row r="83">
      <c r="M83" s="52"/>
      <c r="N83" s="52"/>
      <c r="O83" s="52"/>
      <c r="P83" s="52"/>
      <c r="Q83" s="52"/>
      <c r="U83" s="52"/>
    </row>
    <row r="84">
      <c r="M84" s="52"/>
      <c r="N84" s="52"/>
      <c r="O84" s="52"/>
      <c r="P84" s="52"/>
      <c r="Q84" s="52"/>
      <c r="U84" s="52"/>
    </row>
    <row r="85">
      <c r="M85" s="52"/>
      <c r="N85" s="52"/>
      <c r="O85" s="52"/>
      <c r="P85" s="52"/>
      <c r="Q85" s="52"/>
      <c r="U85" s="52"/>
    </row>
    <row r="86">
      <c r="M86" s="52"/>
      <c r="N86" s="52"/>
      <c r="O86" s="52"/>
      <c r="P86" s="52"/>
      <c r="Q86" s="52"/>
      <c r="U86" s="52"/>
    </row>
    <row r="87">
      <c r="M87" s="52"/>
      <c r="N87" s="52"/>
      <c r="O87" s="52"/>
      <c r="P87" s="52"/>
      <c r="Q87" s="52"/>
      <c r="U87" s="52"/>
    </row>
    <row r="88">
      <c r="M88" s="52"/>
      <c r="N88" s="52"/>
      <c r="O88" s="52"/>
      <c r="P88" s="52"/>
      <c r="Q88" s="52"/>
      <c r="U88" s="52"/>
    </row>
    <row r="89">
      <c r="M89" s="52"/>
      <c r="N89" s="52"/>
      <c r="O89" s="52"/>
      <c r="P89" s="52"/>
      <c r="Q89" s="52"/>
      <c r="U89" s="52"/>
    </row>
    <row r="90">
      <c r="M90" s="52"/>
      <c r="N90" s="52"/>
      <c r="O90" s="52"/>
      <c r="P90" s="52"/>
      <c r="Q90" s="52"/>
      <c r="U90" s="52"/>
    </row>
    <row r="91">
      <c r="M91" s="52"/>
      <c r="N91" s="52"/>
      <c r="O91" s="52"/>
      <c r="P91" s="52"/>
      <c r="Q91" s="52"/>
      <c r="U91" s="52"/>
    </row>
    <row r="92">
      <c r="M92" s="52"/>
      <c r="N92" s="52"/>
      <c r="O92" s="52"/>
      <c r="P92" s="52"/>
      <c r="Q92" s="52"/>
      <c r="U92" s="52"/>
    </row>
    <row r="93">
      <c r="M93" s="52"/>
      <c r="N93" s="52"/>
      <c r="O93" s="52"/>
      <c r="P93" s="52"/>
      <c r="Q93" s="52"/>
      <c r="U93" s="52"/>
    </row>
    <row r="94">
      <c r="M94" s="52"/>
      <c r="N94" s="52"/>
      <c r="O94" s="52"/>
      <c r="P94" s="52"/>
      <c r="Q94" s="52"/>
      <c r="U94" s="52"/>
    </row>
    <row r="95">
      <c r="M95" s="52"/>
      <c r="N95" s="52"/>
      <c r="O95" s="52"/>
      <c r="P95" s="52"/>
      <c r="Q95" s="52"/>
      <c r="U95" s="52"/>
    </row>
    <row r="96">
      <c r="M96" s="52"/>
      <c r="N96" s="52"/>
      <c r="O96" s="52"/>
      <c r="P96" s="52"/>
      <c r="Q96" s="52"/>
      <c r="U96" s="52"/>
    </row>
    <row r="97">
      <c r="M97" s="52"/>
      <c r="N97" s="52"/>
      <c r="O97" s="52"/>
      <c r="P97" s="52"/>
      <c r="Q97" s="52"/>
      <c r="U97" s="52"/>
    </row>
    <row r="98">
      <c r="M98" s="52"/>
      <c r="N98" s="52"/>
      <c r="O98" s="52"/>
      <c r="P98" s="52"/>
      <c r="Q98" s="52"/>
      <c r="U98" s="52"/>
    </row>
    <row r="99">
      <c r="M99" s="52"/>
      <c r="N99" s="52"/>
      <c r="O99" s="52"/>
      <c r="P99" s="52"/>
      <c r="Q99" s="52"/>
      <c r="U99" s="52"/>
    </row>
    <row r="100">
      <c r="M100" s="52"/>
      <c r="N100" s="52"/>
      <c r="O100" s="52"/>
      <c r="P100" s="52"/>
      <c r="Q100" s="52"/>
      <c r="U100" s="52"/>
    </row>
    <row r="101">
      <c r="M101" s="52"/>
      <c r="N101" s="52"/>
      <c r="O101" s="52"/>
      <c r="P101" s="52"/>
      <c r="Q101" s="52"/>
      <c r="U101" s="52"/>
    </row>
    <row r="102">
      <c r="M102" s="52"/>
      <c r="N102" s="52"/>
      <c r="O102" s="52"/>
      <c r="P102" s="52"/>
      <c r="Q102" s="52"/>
      <c r="U102" s="52"/>
    </row>
    <row r="103">
      <c r="M103" s="52"/>
      <c r="N103" s="52"/>
      <c r="O103" s="52"/>
      <c r="P103" s="52"/>
      <c r="Q103" s="52"/>
      <c r="U103" s="52"/>
    </row>
    <row r="104">
      <c r="M104" s="52"/>
      <c r="N104" s="52"/>
      <c r="O104" s="52"/>
      <c r="P104" s="52"/>
      <c r="Q104" s="52"/>
      <c r="U104" s="52"/>
    </row>
    <row r="105">
      <c r="M105" s="52"/>
      <c r="N105" s="52"/>
      <c r="O105" s="52"/>
      <c r="P105" s="52"/>
      <c r="Q105" s="52"/>
      <c r="U105" s="52"/>
    </row>
    <row r="106">
      <c r="M106" s="52"/>
      <c r="N106" s="52"/>
      <c r="O106" s="52"/>
      <c r="P106" s="52"/>
      <c r="Q106" s="52"/>
      <c r="U106" s="52"/>
    </row>
    <row r="107">
      <c r="M107" s="52"/>
      <c r="N107" s="52"/>
      <c r="O107" s="52"/>
      <c r="P107" s="52"/>
      <c r="Q107" s="52"/>
      <c r="U107" s="52"/>
    </row>
    <row r="108">
      <c r="M108" s="52"/>
      <c r="N108" s="52"/>
      <c r="O108" s="52"/>
      <c r="P108" s="52"/>
      <c r="Q108" s="52"/>
      <c r="U108" s="52"/>
    </row>
    <row r="109">
      <c r="M109" s="52"/>
      <c r="N109" s="52"/>
      <c r="O109" s="52"/>
      <c r="P109" s="52"/>
      <c r="Q109" s="52"/>
      <c r="U109" s="52"/>
    </row>
    <row r="110">
      <c r="M110" s="52"/>
      <c r="N110" s="52"/>
      <c r="O110" s="52"/>
      <c r="P110" s="52"/>
      <c r="Q110" s="52"/>
      <c r="U110" s="52"/>
    </row>
    <row r="111">
      <c r="M111" s="52"/>
      <c r="N111" s="52"/>
      <c r="O111" s="52"/>
      <c r="P111" s="52"/>
      <c r="Q111" s="52"/>
      <c r="U111" s="52"/>
    </row>
    <row r="112">
      <c r="M112" s="52"/>
      <c r="N112" s="52"/>
      <c r="O112" s="52"/>
      <c r="P112" s="52"/>
      <c r="Q112" s="52"/>
      <c r="U112" s="52"/>
    </row>
    <row r="113">
      <c r="M113" s="52"/>
      <c r="N113" s="52"/>
      <c r="O113" s="52"/>
      <c r="P113" s="52"/>
      <c r="Q113" s="52"/>
      <c r="U113" s="52"/>
    </row>
    <row r="114">
      <c r="M114" s="52"/>
      <c r="N114" s="52"/>
      <c r="O114" s="52"/>
      <c r="P114" s="52"/>
      <c r="Q114" s="52"/>
      <c r="U114" s="52"/>
    </row>
    <row r="115">
      <c r="M115" s="52"/>
      <c r="N115" s="52"/>
      <c r="O115" s="52"/>
      <c r="P115" s="52"/>
      <c r="Q115" s="52"/>
      <c r="U115" s="52"/>
    </row>
    <row r="116">
      <c r="M116" s="52"/>
      <c r="N116" s="52"/>
      <c r="O116" s="52"/>
      <c r="P116" s="52"/>
      <c r="Q116" s="52"/>
      <c r="U116" s="52"/>
    </row>
    <row r="117">
      <c r="M117" s="52"/>
      <c r="N117" s="52"/>
      <c r="O117" s="52"/>
      <c r="P117" s="52"/>
      <c r="Q117" s="52"/>
      <c r="U117" s="52"/>
    </row>
    <row r="118">
      <c r="M118" s="52"/>
      <c r="N118" s="52"/>
      <c r="O118" s="52"/>
      <c r="P118" s="52"/>
      <c r="Q118" s="52"/>
      <c r="U118" s="52"/>
    </row>
    <row r="119">
      <c r="M119" s="52"/>
      <c r="N119" s="52"/>
      <c r="O119" s="52"/>
      <c r="P119" s="52"/>
      <c r="Q119" s="52"/>
      <c r="U119" s="52"/>
    </row>
    <row r="120">
      <c r="M120" s="52"/>
      <c r="N120" s="52"/>
      <c r="O120" s="52"/>
      <c r="P120" s="52"/>
      <c r="Q120" s="52"/>
      <c r="U120" s="52"/>
    </row>
    <row r="121">
      <c r="M121" s="52"/>
      <c r="N121" s="52"/>
      <c r="O121" s="52"/>
      <c r="P121" s="52"/>
      <c r="Q121" s="52"/>
      <c r="U121" s="52"/>
    </row>
    <row r="122">
      <c r="M122" s="52"/>
      <c r="N122" s="52"/>
      <c r="O122" s="52"/>
      <c r="P122" s="52"/>
      <c r="Q122" s="52"/>
      <c r="U122" s="52"/>
    </row>
    <row r="123">
      <c r="M123" s="52"/>
      <c r="N123" s="52"/>
      <c r="O123" s="52"/>
      <c r="P123" s="52"/>
      <c r="Q123" s="52"/>
      <c r="U123" s="52"/>
    </row>
    <row r="124">
      <c r="M124" s="52"/>
      <c r="N124" s="52"/>
      <c r="O124" s="52"/>
      <c r="P124" s="52"/>
      <c r="Q124" s="52"/>
      <c r="U124" s="52"/>
    </row>
    <row r="125">
      <c r="M125" s="52"/>
      <c r="N125" s="52"/>
      <c r="O125" s="52"/>
      <c r="P125" s="52"/>
      <c r="Q125" s="52"/>
      <c r="U125" s="52"/>
    </row>
    <row r="126">
      <c r="M126" s="52"/>
      <c r="N126" s="52"/>
      <c r="O126" s="52"/>
      <c r="P126" s="52"/>
      <c r="Q126" s="52"/>
      <c r="U126" s="52"/>
    </row>
    <row r="127">
      <c r="M127" s="52"/>
      <c r="N127" s="52"/>
      <c r="O127" s="52"/>
      <c r="P127" s="52"/>
      <c r="Q127" s="52"/>
      <c r="U127" s="52"/>
    </row>
    <row r="128">
      <c r="M128" s="52"/>
      <c r="N128" s="52"/>
      <c r="O128" s="52"/>
      <c r="P128" s="52"/>
      <c r="Q128" s="52"/>
      <c r="U128" s="52"/>
    </row>
    <row r="129">
      <c r="M129" s="52"/>
      <c r="N129" s="52"/>
      <c r="O129" s="52"/>
      <c r="P129" s="52"/>
      <c r="Q129" s="52"/>
      <c r="U129" s="52"/>
    </row>
    <row r="130">
      <c r="M130" s="52"/>
      <c r="N130" s="52"/>
      <c r="O130" s="52"/>
      <c r="P130" s="52"/>
      <c r="Q130" s="52"/>
      <c r="U130" s="52"/>
    </row>
    <row r="131">
      <c r="M131" s="52"/>
      <c r="N131" s="52"/>
      <c r="O131" s="52"/>
      <c r="P131" s="52"/>
      <c r="Q131" s="52"/>
      <c r="U131" s="52"/>
    </row>
    <row r="132">
      <c r="M132" s="52"/>
      <c r="N132" s="52"/>
      <c r="O132" s="52"/>
      <c r="P132" s="52"/>
      <c r="Q132" s="52"/>
      <c r="U132" s="52"/>
    </row>
    <row r="133">
      <c r="M133" s="52"/>
      <c r="N133" s="52"/>
      <c r="O133" s="52"/>
      <c r="P133" s="52"/>
      <c r="Q133" s="52"/>
      <c r="U133" s="52"/>
    </row>
    <row r="134">
      <c r="M134" s="52"/>
      <c r="N134" s="52"/>
      <c r="O134" s="52"/>
      <c r="P134" s="52"/>
      <c r="Q134" s="52"/>
      <c r="U134" s="52"/>
    </row>
    <row r="135">
      <c r="M135" s="52"/>
      <c r="N135" s="52"/>
      <c r="O135" s="52"/>
      <c r="P135" s="52"/>
      <c r="Q135" s="52"/>
      <c r="U135" s="52"/>
    </row>
    <row r="136">
      <c r="M136" s="52"/>
      <c r="N136" s="52"/>
      <c r="O136" s="52"/>
      <c r="P136" s="52"/>
      <c r="Q136" s="52"/>
      <c r="U136" s="52"/>
    </row>
    <row r="137">
      <c r="M137" s="52"/>
      <c r="N137" s="52"/>
      <c r="O137" s="52"/>
      <c r="P137" s="52"/>
      <c r="Q137" s="52"/>
      <c r="U137" s="52"/>
    </row>
    <row r="138">
      <c r="M138" s="52"/>
      <c r="N138" s="52"/>
      <c r="O138" s="52"/>
      <c r="P138" s="52"/>
      <c r="Q138" s="52"/>
      <c r="U138" s="52"/>
    </row>
    <row r="139">
      <c r="M139" s="52"/>
      <c r="N139" s="52"/>
      <c r="O139" s="52"/>
      <c r="P139" s="52"/>
      <c r="Q139" s="52"/>
      <c r="U139" s="52"/>
    </row>
    <row r="140">
      <c r="M140" s="52"/>
      <c r="N140" s="52"/>
      <c r="O140" s="52"/>
      <c r="P140" s="52"/>
      <c r="Q140" s="52"/>
      <c r="U140" s="52"/>
    </row>
    <row r="141">
      <c r="M141" s="52"/>
      <c r="N141" s="52"/>
      <c r="O141" s="52"/>
      <c r="P141" s="52"/>
      <c r="Q141" s="52"/>
      <c r="U141" s="52"/>
    </row>
    <row r="142">
      <c r="M142" s="52"/>
      <c r="N142" s="52"/>
      <c r="O142" s="52"/>
      <c r="P142" s="52"/>
      <c r="Q142" s="52"/>
      <c r="U142" s="52"/>
    </row>
    <row r="143">
      <c r="M143" s="52"/>
      <c r="N143" s="52"/>
      <c r="O143" s="52"/>
      <c r="P143" s="52"/>
      <c r="Q143" s="52"/>
      <c r="U143" s="52"/>
    </row>
    <row r="144">
      <c r="M144" s="52"/>
      <c r="N144" s="52"/>
      <c r="O144" s="52"/>
      <c r="P144" s="52"/>
      <c r="Q144" s="52"/>
      <c r="U144" s="52"/>
    </row>
    <row r="145">
      <c r="M145" s="52"/>
      <c r="N145" s="52"/>
      <c r="O145" s="52"/>
      <c r="P145" s="52"/>
      <c r="Q145" s="52"/>
      <c r="U145" s="52"/>
    </row>
    <row r="146">
      <c r="M146" s="52"/>
      <c r="N146" s="52"/>
      <c r="O146" s="52"/>
      <c r="P146" s="52"/>
      <c r="Q146" s="52"/>
      <c r="U146" s="52"/>
    </row>
    <row r="147">
      <c r="M147" s="52"/>
      <c r="N147" s="52"/>
      <c r="O147" s="52"/>
      <c r="P147" s="52"/>
      <c r="Q147" s="52"/>
      <c r="U147" s="52"/>
    </row>
    <row r="148">
      <c r="M148" s="52"/>
      <c r="N148" s="52"/>
      <c r="O148" s="52"/>
      <c r="P148" s="52"/>
      <c r="Q148" s="52"/>
      <c r="U148" s="52"/>
    </row>
    <row r="149">
      <c r="M149" s="52"/>
      <c r="N149" s="52"/>
      <c r="O149" s="52"/>
      <c r="P149" s="52"/>
      <c r="Q149" s="52"/>
      <c r="U149" s="52"/>
    </row>
    <row r="150">
      <c r="M150" s="52"/>
      <c r="N150" s="52"/>
      <c r="O150" s="52"/>
      <c r="P150" s="52"/>
      <c r="Q150" s="52"/>
      <c r="U150" s="52"/>
    </row>
    <row r="151">
      <c r="M151" s="52"/>
      <c r="N151" s="52"/>
      <c r="O151" s="52"/>
      <c r="P151" s="52"/>
      <c r="Q151" s="52"/>
      <c r="U151" s="52"/>
    </row>
    <row r="152">
      <c r="M152" s="52"/>
      <c r="N152" s="52"/>
      <c r="O152" s="52"/>
      <c r="P152" s="52"/>
      <c r="Q152" s="52"/>
      <c r="U152" s="52"/>
    </row>
    <row r="153">
      <c r="M153" s="52"/>
      <c r="N153" s="52"/>
      <c r="O153" s="52"/>
      <c r="P153" s="52"/>
      <c r="Q153" s="52"/>
      <c r="U153" s="52"/>
    </row>
    <row r="154">
      <c r="M154" s="52"/>
      <c r="N154" s="52"/>
      <c r="O154" s="52"/>
      <c r="P154" s="52"/>
      <c r="Q154" s="52"/>
      <c r="U154" s="52"/>
    </row>
    <row r="155">
      <c r="M155" s="52"/>
      <c r="N155" s="52"/>
      <c r="O155" s="52"/>
      <c r="P155" s="52"/>
      <c r="Q155" s="52"/>
      <c r="U155" s="52"/>
    </row>
    <row r="156">
      <c r="M156" s="52"/>
      <c r="N156" s="52"/>
      <c r="O156" s="52"/>
      <c r="P156" s="52"/>
      <c r="Q156" s="52"/>
      <c r="U156" s="52"/>
    </row>
    <row r="157">
      <c r="M157" s="52"/>
      <c r="N157" s="52"/>
      <c r="O157" s="52"/>
      <c r="P157" s="52"/>
      <c r="Q157" s="52"/>
      <c r="U157" s="52"/>
    </row>
    <row r="158">
      <c r="M158" s="52"/>
      <c r="N158" s="52"/>
      <c r="O158" s="52"/>
      <c r="P158" s="52"/>
      <c r="Q158" s="52"/>
      <c r="U158" s="52"/>
    </row>
    <row r="159">
      <c r="M159" s="52"/>
      <c r="N159" s="52"/>
      <c r="O159" s="52"/>
      <c r="P159" s="52"/>
      <c r="Q159" s="52"/>
      <c r="U159" s="52"/>
    </row>
    <row r="160">
      <c r="M160" s="52"/>
      <c r="N160" s="52"/>
      <c r="O160" s="52"/>
      <c r="P160" s="52"/>
      <c r="Q160" s="52"/>
      <c r="U160" s="52"/>
    </row>
    <row r="161">
      <c r="M161" s="52"/>
      <c r="N161" s="52"/>
      <c r="O161" s="52"/>
      <c r="P161" s="52"/>
      <c r="Q161" s="52"/>
      <c r="U161" s="52"/>
    </row>
    <row r="162">
      <c r="M162" s="52"/>
      <c r="N162" s="52"/>
      <c r="O162" s="52"/>
      <c r="P162" s="52"/>
      <c r="Q162" s="52"/>
      <c r="U162" s="52"/>
    </row>
    <row r="163">
      <c r="M163" s="52"/>
      <c r="N163" s="52"/>
      <c r="O163" s="52"/>
      <c r="P163" s="52"/>
      <c r="Q163" s="52"/>
      <c r="U163" s="52"/>
    </row>
    <row r="164">
      <c r="M164" s="52"/>
      <c r="N164" s="52"/>
      <c r="O164" s="52"/>
      <c r="P164" s="52"/>
      <c r="Q164" s="52"/>
      <c r="U164" s="52"/>
    </row>
    <row r="165">
      <c r="M165" s="52"/>
      <c r="N165" s="52"/>
      <c r="O165" s="52"/>
      <c r="P165" s="52"/>
      <c r="Q165" s="52"/>
      <c r="U165" s="52"/>
    </row>
    <row r="166">
      <c r="M166" s="52"/>
      <c r="N166" s="52"/>
      <c r="O166" s="52"/>
      <c r="P166" s="52"/>
      <c r="Q166" s="52"/>
      <c r="U166" s="52"/>
    </row>
    <row r="167">
      <c r="M167" s="52"/>
      <c r="N167" s="52"/>
      <c r="O167" s="52"/>
      <c r="P167" s="52"/>
      <c r="Q167" s="52"/>
      <c r="U167" s="52"/>
    </row>
    <row r="168">
      <c r="M168" s="52"/>
      <c r="N168" s="52"/>
      <c r="O168" s="52"/>
      <c r="P168" s="52"/>
      <c r="Q168" s="52"/>
      <c r="U168" s="52"/>
    </row>
    <row r="169">
      <c r="M169" s="52"/>
      <c r="N169" s="52"/>
      <c r="O169" s="52"/>
      <c r="P169" s="52"/>
      <c r="Q169" s="52"/>
      <c r="U169" s="52"/>
    </row>
    <row r="170">
      <c r="M170" s="52"/>
      <c r="N170" s="52"/>
      <c r="O170" s="52"/>
      <c r="P170" s="52"/>
      <c r="Q170" s="52"/>
      <c r="U170" s="52"/>
    </row>
    <row r="171">
      <c r="M171" s="52"/>
      <c r="N171" s="52"/>
      <c r="O171" s="52"/>
      <c r="P171" s="52"/>
      <c r="Q171" s="52"/>
      <c r="U171" s="52"/>
    </row>
    <row r="172">
      <c r="M172" s="52"/>
      <c r="N172" s="52"/>
      <c r="O172" s="52"/>
      <c r="P172" s="52"/>
      <c r="Q172" s="52"/>
      <c r="U172" s="52"/>
    </row>
    <row r="173">
      <c r="M173" s="52"/>
      <c r="N173" s="52"/>
      <c r="O173" s="52"/>
      <c r="P173" s="52"/>
      <c r="Q173" s="52"/>
      <c r="U173" s="52"/>
    </row>
    <row r="174">
      <c r="M174" s="52"/>
      <c r="N174" s="52"/>
      <c r="O174" s="52"/>
      <c r="P174" s="52"/>
      <c r="Q174" s="52"/>
      <c r="U174" s="52"/>
    </row>
    <row r="175">
      <c r="M175" s="52"/>
      <c r="N175" s="52"/>
      <c r="O175" s="52"/>
      <c r="P175" s="52"/>
      <c r="Q175" s="52"/>
      <c r="U175" s="52"/>
    </row>
    <row r="176">
      <c r="M176" s="52"/>
      <c r="N176" s="52"/>
      <c r="O176" s="52"/>
      <c r="P176" s="52"/>
      <c r="Q176" s="52"/>
      <c r="U176" s="52"/>
    </row>
    <row r="177">
      <c r="M177" s="52"/>
      <c r="N177" s="52"/>
      <c r="O177" s="52"/>
      <c r="P177" s="52"/>
      <c r="Q177" s="52"/>
      <c r="U177" s="52"/>
    </row>
    <row r="178">
      <c r="M178" s="52"/>
      <c r="N178" s="52"/>
      <c r="O178" s="52"/>
      <c r="P178" s="52"/>
      <c r="Q178" s="52"/>
      <c r="U178" s="52"/>
    </row>
    <row r="179">
      <c r="M179" s="52"/>
      <c r="N179" s="52"/>
      <c r="O179" s="52"/>
      <c r="P179" s="52"/>
      <c r="Q179" s="52"/>
      <c r="U179" s="52"/>
    </row>
    <row r="180">
      <c r="M180" s="52"/>
      <c r="N180" s="52"/>
      <c r="O180" s="52"/>
      <c r="P180" s="52"/>
      <c r="Q180" s="52"/>
      <c r="U180" s="52"/>
    </row>
    <row r="181">
      <c r="M181" s="52"/>
      <c r="N181" s="52"/>
      <c r="O181" s="52"/>
      <c r="P181" s="52"/>
      <c r="Q181" s="52"/>
      <c r="U181" s="52"/>
    </row>
    <row r="182">
      <c r="M182" s="52"/>
      <c r="N182" s="52"/>
      <c r="O182" s="52"/>
      <c r="P182" s="52"/>
      <c r="Q182" s="52"/>
      <c r="U182" s="52"/>
    </row>
    <row r="183">
      <c r="M183" s="52"/>
      <c r="N183" s="52"/>
      <c r="O183" s="52"/>
      <c r="P183" s="52"/>
      <c r="Q183" s="52"/>
      <c r="U183" s="52"/>
    </row>
    <row r="184">
      <c r="M184" s="52"/>
      <c r="N184" s="52"/>
      <c r="O184" s="52"/>
      <c r="P184" s="52"/>
      <c r="Q184" s="52"/>
      <c r="U184" s="52"/>
    </row>
    <row r="185">
      <c r="M185" s="52"/>
      <c r="N185" s="52"/>
      <c r="O185" s="52"/>
      <c r="P185" s="52"/>
      <c r="Q185" s="52"/>
      <c r="U185" s="52"/>
    </row>
    <row r="186">
      <c r="M186" s="52"/>
      <c r="N186" s="52"/>
      <c r="O186" s="52"/>
      <c r="P186" s="52"/>
      <c r="Q186" s="52"/>
      <c r="U186" s="52"/>
    </row>
    <row r="187">
      <c r="M187" s="52"/>
      <c r="N187" s="52"/>
      <c r="O187" s="52"/>
      <c r="P187" s="52"/>
      <c r="Q187" s="52"/>
      <c r="U187" s="52"/>
    </row>
    <row r="188">
      <c r="M188" s="52"/>
      <c r="N188" s="52"/>
      <c r="O188" s="52"/>
      <c r="P188" s="52"/>
      <c r="Q188" s="52"/>
      <c r="U188" s="52"/>
    </row>
    <row r="189">
      <c r="M189" s="52"/>
      <c r="N189" s="52"/>
      <c r="O189" s="52"/>
      <c r="P189" s="52"/>
      <c r="Q189" s="52"/>
      <c r="U189" s="52"/>
    </row>
    <row r="190">
      <c r="M190" s="52"/>
      <c r="N190" s="52"/>
      <c r="O190" s="52"/>
      <c r="P190" s="52"/>
      <c r="Q190" s="52"/>
      <c r="U190" s="52"/>
    </row>
    <row r="191">
      <c r="M191" s="52"/>
      <c r="N191" s="52"/>
      <c r="O191" s="52"/>
      <c r="P191" s="52"/>
      <c r="Q191" s="52"/>
      <c r="U191" s="52"/>
    </row>
    <row r="192">
      <c r="M192" s="52"/>
      <c r="N192" s="52"/>
      <c r="O192" s="52"/>
      <c r="P192" s="52"/>
      <c r="Q192" s="52"/>
      <c r="U192" s="52"/>
    </row>
    <row r="193">
      <c r="M193" s="52"/>
      <c r="N193" s="52"/>
      <c r="O193" s="52"/>
      <c r="P193" s="52"/>
      <c r="Q193" s="52"/>
      <c r="U193" s="52"/>
    </row>
    <row r="194">
      <c r="M194" s="52"/>
      <c r="N194" s="52"/>
      <c r="O194" s="52"/>
      <c r="P194" s="52"/>
      <c r="Q194" s="52"/>
      <c r="U194" s="52"/>
    </row>
    <row r="195">
      <c r="M195" s="52"/>
      <c r="N195" s="52"/>
      <c r="O195" s="52"/>
      <c r="P195" s="52"/>
      <c r="Q195" s="52"/>
      <c r="U195" s="52"/>
    </row>
    <row r="196">
      <c r="M196" s="52"/>
      <c r="N196" s="52"/>
      <c r="O196" s="52"/>
      <c r="P196" s="52"/>
      <c r="Q196" s="52"/>
      <c r="U196" s="52"/>
    </row>
    <row r="197">
      <c r="M197" s="52"/>
      <c r="N197" s="52"/>
      <c r="O197" s="52"/>
      <c r="P197" s="52"/>
      <c r="Q197" s="52"/>
      <c r="U197" s="52"/>
    </row>
    <row r="198">
      <c r="M198" s="52"/>
      <c r="N198" s="52"/>
      <c r="O198" s="52"/>
      <c r="P198" s="52"/>
      <c r="Q198" s="52"/>
      <c r="U198" s="52"/>
    </row>
    <row r="199">
      <c r="M199" s="52"/>
      <c r="N199" s="52"/>
      <c r="O199" s="52"/>
      <c r="P199" s="52"/>
      <c r="Q199" s="52"/>
      <c r="U199" s="52"/>
    </row>
    <row r="200">
      <c r="M200" s="52"/>
      <c r="N200" s="52"/>
      <c r="O200" s="52"/>
      <c r="P200" s="52"/>
      <c r="Q200" s="52"/>
      <c r="U200" s="52"/>
    </row>
    <row r="201">
      <c r="M201" s="52"/>
      <c r="N201" s="52"/>
      <c r="O201" s="52"/>
      <c r="P201" s="52"/>
      <c r="Q201" s="52"/>
      <c r="U201" s="52"/>
    </row>
    <row r="202">
      <c r="M202" s="52"/>
      <c r="N202" s="52"/>
      <c r="O202" s="52"/>
      <c r="P202" s="52"/>
      <c r="Q202" s="52"/>
      <c r="U202" s="52"/>
    </row>
    <row r="203">
      <c r="M203" s="52"/>
      <c r="N203" s="52"/>
      <c r="O203" s="52"/>
      <c r="P203" s="52"/>
      <c r="Q203" s="52"/>
      <c r="U203" s="52"/>
    </row>
    <row r="204">
      <c r="M204" s="52"/>
      <c r="N204" s="52"/>
      <c r="O204" s="52"/>
      <c r="P204" s="52"/>
      <c r="Q204" s="52"/>
      <c r="U204" s="52"/>
    </row>
    <row r="205">
      <c r="M205" s="52"/>
      <c r="N205" s="52"/>
      <c r="O205" s="52"/>
      <c r="P205" s="52"/>
      <c r="Q205" s="52"/>
      <c r="U205" s="52"/>
    </row>
    <row r="206">
      <c r="M206" s="52"/>
      <c r="N206" s="52"/>
      <c r="O206" s="52"/>
      <c r="P206" s="52"/>
      <c r="Q206" s="52"/>
      <c r="U206" s="52"/>
    </row>
    <row r="207">
      <c r="M207" s="52"/>
      <c r="N207" s="52"/>
      <c r="O207" s="52"/>
      <c r="P207" s="52"/>
      <c r="Q207" s="52"/>
      <c r="U207" s="52"/>
    </row>
    <row r="208">
      <c r="M208" s="52"/>
      <c r="N208" s="52"/>
      <c r="O208" s="52"/>
      <c r="P208" s="52"/>
      <c r="Q208" s="52"/>
      <c r="U208" s="52"/>
    </row>
    <row r="209">
      <c r="M209" s="52"/>
      <c r="N209" s="52"/>
      <c r="O209" s="52"/>
      <c r="P209" s="52"/>
      <c r="Q209" s="52"/>
      <c r="U209" s="52"/>
    </row>
    <row r="210">
      <c r="M210" s="52"/>
      <c r="N210" s="52"/>
      <c r="O210" s="52"/>
      <c r="P210" s="52"/>
      <c r="Q210" s="52"/>
      <c r="U210" s="52"/>
    </row>
    <row r="211">
      <c r="M211" s="52"/>
      <c r="N211" s="52"/>
      <c r="O211" s="52"/>
      <c r="P211" s="52"/>
      <c r="Q211" s="52"/>
      <c r="U211" s="52"/>
    </row>
    <row r="212">
      <c r="M212" s="52"/>
      <c r="N212" s="52"/>
      <c r="O212" s="52"/>
      <c r="P212" s="52"/>
      <c r="Q212" s="52"/>
      <c r="U212" s="52"/>
    </row>
    <row r="213">
      <c r="M213" s="52"/>
      <c r="N213" s="52"/>
      <c r="O213" s="52"/>
      <c r="P213" s="52"/>
      <c r="Q213" s="52"/>
      <c r="U213" s="52"/>
    </row>
    <row r="214">
      <c r="M214" s="52"/>
      <c r="N214" s="52"/>
      <c r="O214" s="52"/>
      <c r="P214" s="52"/>
      <c r="Q214" s="52"/>
      <c r="U214" s="52"/>
    </row>
    <row r="215">
      <c r="M215" s="52"/>
      <c r="N215" s="52"/>
      <c r="O215" s="52"/>
      <c r="P215" s="52"/>
      <c r="Q215" s="52"/>
      <c r="U215" s="52"/>
    </row>
    <row r="216">
      <c r="M216" s="52"/>
      <c r="N216" s="52"/>
      <c r="O216" s="52"/>
      <c r="P216" s="52"/>
      <c r="Q216" s="52"/>
      <c r="U216" s="52"/>
    </row>
    <row r="217">
      <c r="M217" s="52"/>
      <c r="N217" s="52"/>
      <c r="O217" s="52"/>
      <c r="P217" s="52"/>
      <c r="Q217" s="52"/>
      <c r="U217" s="52"/>
    </row>
    <row r="218">
      <c r="M218" s="52"/>
      <c r="N218" s="52"/>
      <c r="O218" s="52"/>
      <c r="P218" s="52"/>
      <c r="Q218" s="52"/>
      <c r="U218" s="52"/>
    </row>
    <row r="219">
      <c r="M219" s="52"/>
      <c r="N219" s="52"/>
      <c r="O219" s="52"/>
      <c r="P219" s="52"/>
      <c r="Q219" s="52"/>
      <c r="U219" s="52"/>
    </row>
    <row r="220">
      <c r="M220" s="52"/>
      <c r="N220" s="52"/>
      <c r="O220" s="52"/>
      <c r="P220" s="52"/>
      <c r="Q220" s="52"/>
      <c r="U220" s="52"/>
    </row>
    <row r="221">
      <c r="M221" s="52"/>
      <c r="N221" s="52"/>
      <c r="O221" s="52"/>
      <c r="P221" s="52"/>
      <c r="Q221" s="52"/>
      <c r="U221" s="52"/>
    </row>
    <row r="222">
      <c r="M222" s="52"/>
      <c r="N222" s="52"/>
      <c r="O222" s="52"/>
      <c r="P222" s="52"/>
      <c r="Q222" s="52"/>
      <c r="U222" s="52"/>
    </row>
    <row r="223">
      <c r="M223" s="52"/>
      <c r="N223" s="52"/>
      <c r="O223" s="52"/>
      <c r="P223" s="52"/>
      <c r="Q223" s="52"/>
      <c r="U223" s="52"/>
    </row>
    <row r="224">
      <c r="M224" s="52"/>
      <c r="N224" s="52"/>
      <c r="O224" s="52"/>
      <c r="P224" s="52"/>
      <c r="Q224" s="52"/>
      <c r="U224" s="52"/>
    </row>
    <row r="225">
      <c r="M225" s="52"/>
      <c r="N225" s="52"/>
      <c r="O225" s="52"/>
      <c r="P225" s="52"/>
      <c r="Q225" s="52"/>
      <c r="U225" s="52"/>
    </row>
    <row r="226">
      <c r="M226" s="52"/>
      <c r="N226" s="52"/>
      <c r="O226" s="52"/>
      <c r="P226" s="52"/>
      <c r="Q226" s="52"/>
      <c r="U226" s="52"/>
    </row>
    <row r="227">
      <c r="M227" s="52"/>
      <c r="N227" s="52"/>
      <c r="O227" s="52"/>
      <c r="P227" s="52"/>
      <c r="Q227" s="52"/>
      <c r="U227" s="52"/>
    </row>
    <row r="228">
      <c r="M228" s="52"/>
      <c r="N228" s="52"/>
      <c r="O228" s="52"/>
      <c r="P228" s="52"/>
      <c r="Q228" s="52"/>
      <c r="U228" s="52"/>
    </row>
    <row r="229">
      <c r="M229" s="52"/>
      <c r="N229" s="52"/>
      <c r="O229" s="52"/>
      <c r="P229" s="52"/>
      <c r="Q229" s="52"/>
      <c r="U229" s="52"/>
    </row>
    <row r="230">
      <c r="M230" s="52"/>
      <c r="N230" s="52"/>
      <c r="O230" s="52"/>
      <c r="P230" s="52"/>
      <c r="Q230" s="52"/>
      <c r="U230" s="52"/>
    </row>
    <row r="231">
      <c r="M231" s="52"/>
      <c r="N231" s="52"/>
      <c r="O231" s="52"/>
      <c r="P231" s="52"/>
      <c r="Q231" s="52"/>
      <c r="U231" s="52"/>
    </row>
    <row r="232">
      <c r="M232" s="52"/>
      <c r="N232" s="52"/>
      <c r="O232" s="52"/>
      <c r="P232" s="52"/>
      <c r="Q232" s="52"/>
      <c r="U232" s="52"/>
    </row>
    <row r="233">
      <c r="M233" s="52"/>
      <c r="N233" s="52"/>
      <c r="O233" s="52"/>
      <c r="P233" s="52"/>
      <c r="Q233" s="52"/>
      <c r="U233" s="52"/>
    </row>
    <row r="234">
      <c r="M234" s="52"/>
      <c r="N234" s="52"/>
      <c r="O234" s="52"/>
      <c r="P234" s="52"/>
      <c r="Q234" s="52"/>
      <c r="U234" s="52"/>
    </row>
    <row r="235">
      <c r="M235" s="52"/>
      <c r="N235" s="52"/>
      <c r="O235" s="52"/>
      <c r="P235" s="52"/>
      <c r="Q235" s="52"/>
      <c r="U235" s="52"/>
    </row>
    <row r="236">
      <c r="M236" s="52"/>
      <c r="N236" s="52"/>
      <c r="O236" s="52"/>
      <c r="P236" s="52"/>
      <c r="Q236" s="52"/>
      <c r="U236" s="52"/>
    </row>
    <row r="237">
      <c r="M237" s="52"/>
      <c r="N237" s="52"/>
      <c r="O237" s="52"/>
      <c r="P237" s="52"/>
      <c r="Q237" s="52"/>
      <c r="U237" s="52"/>
    </row>
    <row r="238">
      <c r="M238" s="52"/>
      <c r="N238" s="52"/>
      <c r="O238" s="52"/>
      <c r="P238" s="52"/>
      <c r="Q238" s="52"/>
      <c r="U238" s="52"/>
    </row>
    <row r="239">
      <c r="M239" s="52"/>
      <c r="N239" s="52"/>
      <c r="O239" s="52"/>
      <c r="P239" s="52"/>
      <c r="Q239" s="52"/>
      <c r="U239" s="52"/>
    </row>
    <row r="240">
      <c r="M240" s="52"/>
      <c r="N240" s="52"/>
      <c r="O240" s="52"/>
      <c r="P240" s="52"/>
      <c r="Q240" s="52"/>
      <c r="U240" s="52"/>
    </row>
    <row r="241">
      <c r="M241" s="52"/>
      <c r="N241" s="52"/>
      <c r="O241" s="52"/>
      <c r="P241" s="52"/>
      <c r="Q241" s="52"/>
      <c r="U241" s="52"/>
    </row>
    <row r="242">
      <c r="M242" s="52"/>
      <c r="N242" s="52"/>
      <c r="O242" s="52"/>
      <c r="P242" s="52"/>
      <c r="Q242" s="52"/>
      <c r="U242" s="52"/>
    </row>
    <row r="243">
      <c r="M243" s="52"/>
      <c r="N243" s="52"/>
      <c r="O243" s="52"/>
      <c r="P243" s="52"/>
      <c r="Q243" s="52"/>
      <c r="U243" s="52"/>
    </row>
    <row r="244">
      <c r="M244" s="52"/>
      <c r="N244" s="52"/>
      <c r="O244" s="52"/>
      <c r="P244" s="52"/>
      <c r="Q244" s="52"/>
      <c r="U244" s="52"/>
    </row>
    <row r="245">
      <c r="M245" s="52"/>
      <c r="N245" s="52"/>
      <c r="O245" s="52"/>
      <c r="P245" s="52"/>
      <c r="Q245" s="52"/>
      <c r="U245" s="52"/>
    </row>
    <row r="246">
      <c r="M246" s="52"/>
      <c r="N246" s="52"/>
      <c r="O246" s="52"/>
      <c r="P246" s="52"/>
      <c r="Q246" s="52"/>
      <c r="U246" s="52"/>
    </row>
    <row r="247">
      <c r="M247" s="52"/>
      <c r="N247" s="52"/>
      <c r="O247" s="52"/>
      <c r="P247" s="52"/>
      <c r="Q247" s="52"/>
      <c r="U247" s="52"/>
    </row>
    <row r="248">
      <c r="M248" s="52"/>
      <c r="N248" s="52"/>
      <c r="O248" s="52"/>
      <c r="P248" s="52"/>
      <c r="Q248" s="52"/>
      <c r="U248" s="52"/>
    </row>
    <row r="249">
      <c r="M249" s="52"/>
      <c r="N249" s="52"/>
      <c r="O249" s="52"/>
      <c r="P249" s="52"/>
      <c r="Q249" s="52"/>
      <c r="U249" s="52"/>
    </row>
    <row r="250">
      <c r="M250" s="52"/>
      <c r="N250" s="52"/>
      <c r="O250" s="52"/>
      <c r="P250" s="52"/>
      <c r="Q250" s="52"/>
      <c r="U250" s="52"/>
    </row>
    <row r="251">
      <c r="M251" s="52"/>
      <c r="N251" s="52"/>
      <c r="O251" s="52"/>
      <c r="P251" s="52"/>
      <c r="Q251" s="52"/>
      <c r="U251" s="52"/>
    </row>
    <row r="252">
      <c r="M252" s="52"/>
      <c r="N252" s="52"/>
      <c r="O252" s="52"/>
      <c r="P252" s="52"/>
      <c r="Q252" s="52"/>
      <c r="U252" s="52"/>
    </row>
    <row r="253">
      <c r="M253" s="52"/>
      <c r="N253" s="52"/>
      <c r="O253" s="52"/>
      <c r="P253" s="52"/>
      <c r="Q253" s="52"/>
      <c r="U253" s="52"/>
    </row>
    <row r="254">
      <c r="M254" s="52"/>
      <c r="N254" s="52"/>
      <c r="O254" s="52"/>
      <c r="P254" s="52"/>
      <c r="Q254" s="52"/>
      <c r="U254" s="52"/>
    </row>
    <row r="255">
      <c r="M255" s="52"/>
      <c r="N255" s="52"/>
      <c r="O255" s="52"/>
      <c r="P255" s="52"/>
      <c r="Q255" s="52"/>
      <c r="U255" s="52"/>
    </row>
    <row r="256">
      <c r="M256" s="52"/>
      <c r="N256" s="52"/>
      <c r="O256" s="52"/>
      <c r="P256" s="52"/>
      <c r="Q256" s="52"/>
      <c r="U256" s="52"/>
    </row>
    <row r="257">
      <c r="M257" s="52"/>
      <c r="N257" s="52"/>
      <c r="O257" s="52"/>
      <c r="P257" s="52"/>
      <c r="Q257" s="52"/>
      <c r="U257" s="52"/>
    </row>
    <row r="258">
      <c r="M258" s="52"/>
      <c r="N258" s="52"/>
      <c r="O258" s="52"/>
      <c r="P258" s="52"/>
      <c r="Q258" s="52"/>
      <c r="U258" s="52"/>
    </row>
    <row r="259">
      <c r="M259" s="52"/>
      <c r="N259" s="52"/>
      <c r="O259" s="52"/>
      <c r="P259" s="52"/>
      <c r="Q259" s="52"/>
      <c r="U259" s="52"/>
    </row>
    <row r="260">
      <c r="M260" s="52"/>
      <c r="N260" s="52"/>
      <c r="O260" s="52"/>
      <c r="P260" s="52"/>
      <c r="Q260" s="52"/>
      <c r="U260" s="52"/>
    </row>
    <row r="261">
      <c r="M261" s="52"/>
      <c r="N261" s="52"/>
      <c r="O261" s="52"/>
      <c r="P261" s="52"/>
      <c r="Q261" s="52"/>
      <c r="U261" s="52"/>
    </row>
    <row r="262">
      <c r="M262" s="52"/>
      <c r="N262" s="52"/>
      <c r="O262" s="52"/>
      <c r="P262" s="52"/>
      <c r="Q262" s="52"/>
      <c r="U262" s="52"/>
    </row>
    <row r="263">
      <c r="M263" s="52"/>
      <c r="N263" s="52"/>
      <c r="O263" s="52"/>
      <c r="P263" s="52"/>
      <c r="Q263" s="52"/>
      <c r="U263" s="52"/>
    </row>
    <row r="264">
      <c r="M264" s="52"/>
      <c r="N264" s="52"/>
      <c r="O264" s="52"/>
      <c r="P264" s="52"/>
      <c r="Q264" s="52"/>
      <c r="U264" s="52"/>
    </row>
    <row r="265">
      <c r="M265" s="52"/>
      <c r="N265" s="52"/>
      <c r="O265" s="52"/>
      <c r="P265" s="52"/>
      <c r="Q265" s="52"/>
      <c r="U265" s="52"/>
    </row>
    <row r="266">
      <c r="M266" s="52"/>
      <c r="N266" s="52"/>
      <c r="O266" s="52"/>
      <c r="P266" s="52"/>
      <c r="Q266" s="52"/>
      <c r="U266" s="52"/>
    </row>
    <row r="267">
      <c r="M267" s="52"/>
      <c r="N267" s="52"/>
      <c r="O267" s="52"/>
      <c r="P267" s="52"/>
      <c r="Q267" s="52"/>
      <c r="U267" s="52"/>
    </row>
    <row r="268">
      <c r="M268" s="52"/>
      <c r="N268" s="52"/>
      <c r="O268" s="52"/>
      <c r="P268" s="52"/>
      <c r="Q268" s="52"/>
      <c r="U268" s="52"/>
    </row>
    <row r="269">
      <c r="M269" s="52"/>
      <c r="N269" s="52"/>
      <c r="O269" s="52"/>
      <c r="P269" s="52"/>
      <c r="Q269" s="52"/>
      <c r="U269" s="52"/>
    </row>
    <row r="270">
      <c r="M270" s="52"/>
      <c r="N270" s="52"/>
      <c r="O270" s="52"/>
      <c r="P270" s="52"/>
      <c r="Q270" s="52"/>
      <c r="U270" s="52"/>
    </row>
    <row r="271">
      <c r="M271" s="52"/>
      <c r="N271" s="52"/>
      <c r="O271" s="52"/>
      <c r="P271" s="52"/>
      <c r="Q271" s="52"/>
      <c r="U271" s="52"/>
    </row>
    <row r="272">
      <c r="M272" s="52"/>
      <c r="N272" s="52"/>
      <c r="O272" s="52"/>
      <c r="P272" s="52"/>
      <c r="Q272" s="52"/>
      <c r="U272" s="52"/>
    </row>
    <row r="273">
      <c r="M273" s="52"/>
      <c r="N273" s="52"/>
      <c r="O273" s="52"/>
      <c r="P273" s="52"/>
      <c r="Q273" s="52"/>
      <c r="U273" s="52"/>
    </row>
    <row r="274">
      <c r="M274" s="52"/>
      <c r="N274" s="52"/>
      <c r="O274" s="52"/>
      <c r="P274" s="52"/>
      <c r="Q274" s="52"/>
      <c r="U274" s="52"/>
    </row>
    <row r="275">
      <c r="M275" s="52"/>
      <c r="N275" s="52"/>
      <c r="O275" s="52"/>
      <c r="P275" s="52"/>
      <c r="Q275" s="52"/>
      <c r="U275" s="52"/>
    </row>
    <row r="276">
      <c r="M276" s="52"/>
      <c r="N276" s="52"/>
      <c r="O276" s="52"/>
      <c r="P276" s="52"/>
      <c r="Q276" s="52"/>
      <c r="U276" s="52"/>
    </row>
    <row r="277">
      <c r="M277" s="52"/>
      <c r="N277" s="52"/>
      <c r="O277" s="52"/>
      <c r="P277" s="52"/>
      <c r="Q277" s="52"/>
      <c r="U277" s="52"/>
    </row>
    <row r="278">
      <c r="M278" s="52"/>
      <c r="N278" s="52"/>
      <c r="O278" s="52"/>
      <c r="P278" s="52"/>
      <c r="Q278" s="52"/>
      <c r="U278" s="52"/>
    </row>
    <row r="279">
      <c r="M279" s="52"/>
      <c r="N279" s="52"/>
      <c r="O279" s="52"/>
      <c r="P279" s="52"/>
      <c r="Q279" s="52"/>
      <c r="U279" s="52"/>
    </row>
    <row r="280">
      <c r="M280" s="52"/>
      <c r="N280" s="52"/>
      <c r="O280" s="52"/>
      <c r="P280" s="52"/>
      <c r="Q280" s="52"/>
      <c r="U280" s="52"/>
    </row>
    <row r="281">
      <c r="M281" s="52"/>
      <c r="N281" s="52"/>
      <c r="O281" s="52"/>
      <c r="P281" s="52"/>
      <c r="Q281" s="52"/>
      <c r="U281" s="52"/>
    </row>
    <row r="282">
      <c r="M282" s="52"/>
      <c r="N282" s="52"/>
      <c r="O282" s="52"/>
      <c r="P282" s="52"/>
      <c r="Q282" s="52"/>
      <c r="U282" s="52"/>
    </row>
    <row r="283">
      <c r="M283" s="52"/>
      <c r="N283" s="52"/>
      <c r="O283" s="52"/>
      <c r="P283" s="52"/>
      <c r="Q283" s="52"/>
      <c r="U283" s="52"/>
    </row>
    <row r="284">
      <c r="M284" s="52"/>
      <c r="N284" s="52"/>
      <c r="O284" s="52"/>
      <c r="P284" s="52"/>
      <c r="Q284" s="52"/>
      <c r="U284" s="52"/>
    </row>
    <row r="285">
      <c r="M285" s="52"/>
      <c r="N285" s="52"/>
      <c r="O285" s="52"/>
      <c r="P285" s="52"/>
      <c r="Q285" s="52"/>
      <c r="U285" s="52"/>
    </row>
    <row r="286">
      <c r="M286" s="52"/>
      <c r="N286" s="52"/>
      <c r="O286" s="52"/>
      <c r="P286" s="52"/>
      <c r="Q286" s="52"/>
      <c r="U286" s="52"/>
    </row>
    <row r="287">
      <c r="M287" s="52"/>
      <c r="N287" s="52"/>
      <c r="O287" s="52"/>
      <c r="P287" s="52"/>
      <c r="Q287" s="52"/>
      <c r="U287" s="52"/>
    </row>
    <row r="288">
      <c r="M288" s="52"/>
      <c r="N288" s="52"/>
      <c r="O288" s="52"/>
      <c r="P288" s="52"/>
      <c r="Q288" s="52"/>
      <c r="U288" s="52"/>
    </row>
    <row r="289">
      <c r="M289" s="52"/>
      <c r="N289" s="52"/>
      <c r="O289" s="52"/>
      <c r="P289" s="52"/>
      <c r="Q289" s="52"/>
      <c r="U289" s="52"/>
    </row>
    <row r="290">
      <c r="M290" s="52"/>
      <c r="N290" s="52"/>
      <c r="O290" s="52"/>
      <c r="P290" s="52"/>
      <c r="Q290" s="52"/>
      <c r="U290" s="52"/>
    </row>
    <row r="291">
      <c r="M291" s="52"/>
      <c r="N291" s="52"/>
      <c r="O291" s="52"/>
      <c r="P291" s="52"/>
      <c r="Q291" s="52"/>
      <c r="U291" s="52"/>
    </row>
    <row r="292">
      <c r="M292" s="52"/>
      <c r="N292" s="52"/>
      <c r="O292" s="52"/>
      <c r="P292" s="52"/>
      <c r="Q292" s="52"/>
      <c r="U292" s="52"/>
    </row>
    <row r="293">
      <c r="M293" s="52"/>
      <c r="N293" s="52"/>
      <c r="O293" s="52"/>
      <c r="P293" s="52"/>
      <c r="Q293" s="52"/>
      <c r="U293" s="52"/>
    </row>
    <row r="294">
      <c r="M294" s="52"/>
      <c r="N294" s="52"/>
      <c r="O294" s="52"/>
      <c r="P294" s="52"/>
      <c r="Q294" s="52"/>
      <c r="U294" s="52"/>
    </row>
    <row r="295">
      <c r="M295" s="52"/>
      <c r="N295" s="52"/>
      <c r="O295" s="52"/>
      <c r="P295" s="52"/>
      <c r="Q295" s="52"/>
      <c r="U295" s="52"/>
    </row>
    <row r="296">
      <c r="M296" s="52"/>
      <c r="N296" s="52"/>
      <c r="O296" s="52"/>
      <c r="P296" s="52"/>
      <c r="Q296" s="52"/>
      <c r="U296" s="52"/>
    </row>
    <row r="297">
      <c r="M297" s="52"/>
      <c r="N297" s="52"/>
      <c r="O297" s="52"/>
      <c r="P297" s="52"/>
      <c r="Q297" s="52"/>
      <c r="U297" s="52"/>
    </row>
    <row r="298">
      <c r="M298" s="52"/>
      <c r="N298" s="52"/>
      <c r="O298" s="52"/>
      <c r="P298" s="52"/>
      <c r="Q298" s="52"/>
      <c r="U298" s="52"/>
    </row>
    <row r="299">
      <c r="M299" s="52"/>
      <c r="N299" s="52"/>
      <c r="O299" s="52"/>
      <c r="P299" s="52"/>
      <c r="Q299" s="52"/>
      <c r="U299" s="52"/>
    </row>
    <row r="300">
      <c r="M300" s="52"/>
      <c r="N300" s="52"/>
      <c r="O300" s="52"/>
      <c r="P300" s="52"/>
      <c r="Q300" s="52"/>
      <c r="U300" s="52"/>
    </row>
    <row r="301">
      <c r="M301" s="52"/>
      <c r="N301" s="52"/>
      <c r="O301" s="52"/>
      <c r="P301" s="52"/>
      <c r="Q301" s="52"/>
      <c r="U301" s="52"/>
    </row>
    <row r="302">
      <c r="M302" s="52"/>
      <c r="N302" s="52"/>
      <c r="O302" s="52"/>
      <c r="P302" s="52"/>
      <c r="Q302" s="52"/>
      <c r="U302" s="52"/>
    </row>
    <row r="303">
      <c r="M303" s="52"/>
      <c r="N303" s="52"/>
      <c r="O303" s="52"/>
      <c r="P303" s="52"/>
      <c r="Q303" s="52"/>
      <c r="U303" s="52"/>
    </row>
    <row r="304">
      <c r="M304" s="52"/>
      <c r="N304" s="52"/>
      <c r="O304" s="52"/>
      <c r="P304" s="52"/>
      <c r="Q304" s="52"/>
      <c r="U304" s="52"/>
    </row>
    <row r="305">
      <c r="M305" s="52"/>
      <c r="N305" s="52"/>
      <c r="O305" s="52"/>
      <c r="P305" s="52"/>
      <c r="Q305" s="52"/>
      <c r="U305" s="52"/>
    </row>
    <row r="306">
      <c r="M306" s="52"/>
      <c r="N306" s="52"/>
      <c r="O306" s="52"/>
      <c r="P306" s="52"/>
      <c r="Q306" s="52"/>
      <c r="U306" s="52"/>
    </row>
    <row r="307">
      <c r="M307" s="52"/>
      <c r="N307" s="52"/>
      <c r="O307" s="52"/>
      <c r="P307" s="52"/>
      <c r="Q307" s="52"/>
      <c r="U307" s="52"/>
    </row>
    <row r="308">
      <c r="M308" s="52"/>
      <c r="N308" s="52"/>
      <c r="O308" s="52"/>
      <c r="P308" s="52"/>
      <c r="Q308" s="52"/>
      <c r="U308" s="52"/>
    </row>
    <row r="309">
      <c r="M309" s="52"/>
      <c r="N309" s="52"/>
      <c r="O309" s="52"/>
      <c r="P309" s="52"/>
      <c r="Q309" s="52"/>
      <c r="U309" s="52"/>
    </row>
    <row r="310">
      <c r="M310" s="52"/>
      <c r="N310" s="52"/>
      <c r="O310" s="52"/>
      <c r="P310" s="52"/>
      <c r="Q310" s="52"/>
      <c r="U310" s="52"/>
    </row>
    <row r="311">
      <c r="M311" s="52"/>
      <c r="N311" s="52"/>
      <c r="O311" s="52"/>
      <c r="P311" s="52"/>
      <c r="Q311" s="52"/>
      <c r="U311" s="52"/>
    </row>
    <row r="312">
      <c r="M312" s="52"/>
      <c r="N312" s="52"/>
      <c r="O312" s="52"/>
      <c r="P312" s="52"/>
      <c r="Q312" s="52"/>
      <c r="U312" s="52"/>
    </row>
    <row r="313">
      <c r="M313" s="52"/>
      <c r="N313" s="52"/>
      <c r="O313" s="52"/>
      <c r="P313" s="52"/>
      <c r="Q313" s="52"/>
      <c r="U313" s="52"/>
    </row>
    <row r="314">
      <c r="M314" s="52"/>
      <c r="N314" s="52"/>
      <c r="O314" s="52"/>
      <c r="P314" s="52"/>
      <c r="Q314" s="52"/>
      <c r="U314" s="52"/>
    </row>
    <row r="315">
      <c r="M315" s="52"/>
      <c r="N315" s="52"/>
      <c r="O315" s="52"/>
      <c r="P315" s="52"/>
      <c r="Q315" s="52"/>
      <c r="U315" s="52"/>
    </row>
    <row r="316">
      <c r="M316" s="52"/>
      <c r="N316" s="52"/>
      <c r="O316" s="52"/>
      <c r="P316" s="52"/>
      <c r="Q316" s="52"/>
      <c r="U316" s="52"/>
    </row>
    <row r="317">
      <c r="M317" s="52"/>
      <c r="N317" s="52"/>
      <c r="O317" s="52"/>
      <c r="P317" s="52"/>
      <c r="Q317" s="52"/>
      <c r="U317" s="52"/>
    </row>
    <row r="318">
      <c r="M318" s="52"/>
      <c r="N318" s="52"/>
      <c r="O318" s="52"/>
      <c r="P318" s="52"/>
      <c r="Q318" s="52"/>
      <c r="U318" s="52"/>
    </row>
    <row r="319">
      <c r="M319" s="52"/>
      <c r="N319" s="52"/>
      <c r="O319" s="52"/>
      <c r="P319" s="52"/>
      <c r="Q319" s="52"/>
      <c r="U319" s="52"/>
    </row>
    <row r="320">
      <c r="M320" s="52"/>
      <c r="N320" s="52"/>
      <c r="O320" s="52"/>
      <c r="P320" s="52"/>
      <c r="Q320" s="52"/>
      <c r="U320" s="52"/>
    </row>
    <row r="321">
      <c r="M321" s="52"/>
      <c r="N321" s="52"/>
      <c r="O321" s="52"/>
      <c r="P321" s="52"/>
      <c r="Q321" s="52"/>
      <c r="U321" s="52"/>
    </row>
    <row r="322">
      <c r="M322" s="52"/>
      <c r="N322" s="52"/>
      <c r="O322" s="52"/>
      <c r="P322" s="52"/>
      <c r="Q322" s="52"/>
      <c r="U322" s="52"/>
    </row>
    <row r="323">
      <c r="M323" s="52"/>
      <c r="N323" s="52"/>
      <c r="O323" s="52"/>
      <c r="P323" s="52"/>
      <c r="Q323" s="52"/>
      <c r="U323" s="52"/>
    </row>
    <row r="324">
      <c r="M324" s="52"/>
      <c r="N324" s="52"/>
      <c r="O324" s="52"/>
      <c r="P324" s="52"/>
      <c r="Q324" s="52"/>
      <c r="U324" s="52"/>
    </row>
    <row r="325">
      <c r="M325" s="52"/>
      <c r="N325" s="52"/>
      <c r="O325" s="52"/>
      <c r="P325" s="52"/>
      <c r="Q325" s="52"/>
      <c r="U325" s="52"/>
    </row>
    <row r="326">
      <c r="M326" s="52"/>
      <c r="N326" s="52"/>
      <c r="O326" s="52"/>
      <c r="P326" s="52"/>
      <c r="Q326" s="52"/>
      <c r="U326" s="52"/>
    </row>
    <row r="327">
      <c r="M327" s="52"/>
      <c r="N327" s="52"/>
      <c r="O327" s="52"/>
      <c r="P327" s="52"/>
      <c r="Q327" s="52"/>
      <c r="U327" s="52"/>
    </row>
    <row r="328">
      <c r="M328" s="52"/>
      <c r="N328" s="52"/>
      <c r="O328" s="52"/>
      <c r="P328" s="52"/>
      <c r="Q328" s="52"/>
      <c r="U328" s="52"/>
    </row>
    <row r="329">
      <c r="M329" s="52"/>
      <c r="N329" s="52"/>
      <c r="O329" s="52"/>
      <c r="P329" s="52"/>
      <c r="Q329" s="52"/>
      <c r="U329" s="52"/>
    </row>
    <row r="330">
      <c r="M330" s="52"/>
      <c r="N330" s="52"/>
      <c r="O330" s="52"/>
      <c r="P330" s="52"/>
      <c r="Q330" s="52"/>
      <c r="U330" s="52"/>
    </row>
    <row r="331">
      <c r="M331" s="52"/>
      <c r="N331" s="52"/>
      <c r="O331" s="52"/>
      <c r="P331" s="52"/>
      <c r="Q331" s="52"/>
      <c r="U331" s="52"/>
    </row>
    <row r="332">
      <c r="M332" s="52"/>
      <c r="N332" s="52"/>
      <c r="O332" s="52"/>
      <c r="P332" s="52"/>
      <c r="Q332" s="52"/>
      <c r="U332" s="52"/>
    </row>
    <row r="333">
      <c r="M333" s="52"/>
      <c r="N333" s="52"/>
      <c r="O333" s="52"/>
      <c r="P333" s="52"/>
      <c r="Q333" s="52"/>
      <c r="U333" s="52"/>
    </row>
    <row r="334">
      <c r="M334" s="52"/>
      <c r="N334" s="52"/>
      <c r="O334" s="52"/>
      <c r="P334" s="52"/>
      <c r="Q334" s="52"/>
      <c r="U334" s="52"/>
    </row>
    <row r="335">
      <c r="M335" s="52"/>
      <c r="N335" s="52"/>
      <c r="O335" s="52"/>
      <c r="P335" s="52"/>
      <c r="Q335" s="52"/>
      <c r="U335" s="52"/>
    </row>
    <row r="336">
      <c r="M336" s="52"/>
      <c r="N336" s="52"/>
      <c r="O336" s="52"/>
      <c r="P336" s="52"/>
      <c r="Q336" s="52"/>
      <c r="U336" s="52"/>
    </row>
    <row r="337">
      <c r="M337" s="52"/>
      <c r="N337" s="52"/>
      <c r="O337" s="52"/>
      <c r="P337" s="52"/>
      <c r="Q337" s="52"/>
      <c r="U337" s="52"/>
    </row>
    <row r="338">
      <c r="M338" s="52"/>
      <c r="N338" s="52"/>
      <c r="O338" s="52"/>
      <c r="P338" s="52"/>
      <c r="Q338" s="52"/>
      <c r="U338" s="52"/>
    </row>
    <row r="339">
      <c r="M339" s="52"/>
      <c r="N339" s="52"/>
      <c r="O339" s="52"/>
      <c r="P339" s="52"/>
      <c r="Q339" s="52"/>
      <c r="U339" s="52"/>
    </row>
    <row r="340">
      <c r="M340" s="52"/>
      <c r="N340" s="52"/>
      <c r="O340" s="52"/>
      <c r="P340" s="52"/>
      <c r="Q340" s="52"/>
      <c r="U340" s="52"/>
    </row>
    <row r="341">
      <c r="M341" s="52"/>
      <c r="N341" s="52"/>
      <c r="O341" s="52"/>
      <c r="P341" s="52"/>
      <c r="Q341" s="52"/>
      <c r="U341" s="52"/>
    </row>
    <row r="342">
      <c r="M342" s="52"/>
      <c r="N342" s="52"/>
      <c r="O342" s="52"/>
      <c r="P342" s="52"/>
      <c r="Q342" s="52"/>
      <c r="U342" s="52"/>
    </row>
    <row r="343">
      <c r="M343" s="52"/>
      <c r="N343" s="52"/>
      <c r="O343" s="52"/>
      <c r="P343" s="52"/>
      <c r="Q343" s="52"/>
      <c r="U343" s="52"/>
    </row>
    <row r="344">
      <c r="M344" s="52"/>
      <c r="N344" s="52"/>
      <c r="O344" s="52"/>
      <c r="P344" s="52"/>
      <c r="Q344" s="52"/>
      <c r="U344" s="52"/>
    </row>
    <row r="345">
      <c r="M345" s="52"/>
      <c r="N345" s="52"/>
      <c r="O345" s="52"/>
      <c r="P345" s="52"/>
      <c r="Q345" s="52"/>
      <c r="U345" s="52"/>
    </row>
    <row r="346">
      <c r="M346" s="52"/>
      <c r="N346" s="52"/>
      <c r="O346" s="52"/>
      <c r="P346" s="52"/>
      <c r="Q346" s="52"/>
      <c r="U346" s="52"/>
    </row>
    <row r="347">
      <c r="M347" s="52"/>
      <c r="N347" s="52"/>
      <c r="O347" s="52"/>
      <c r="P347" s="52"/>
      <c r="Q347" s="52"/>
      <c r="U347" s="52"/>
    </row>
    <row r="348">
      <c r="M348" s="52"/>
      <c r="N348" s="52"/>
      <c r="O348" s="52"/>
      <c r="P348" s="52"/>
      <c r="Q348" s="52"/>
      <c r="U348" s="52"/>
    </row>
    <row r="349">
      <c r="M349" s="52"/>
      <c r="N349" s="52"/>
      <c r="O349" s="52"/>
      <c r="P349" s="52"/>
      <c r="Q349" s="52"/>
      <c r="U349" s="52"/>
    </row>
    <row r="350">
      <c r="M350" s="52"/>
      <c r="N350" s="52"/>
      <c r="O350" s="52"/>
      <c r="P350" s="52"/>
      <c r="Q350" s="52"/>
      <c r="U350" s="52"/>
    </row>
    <row r="351">
      <c r="M351" s="52"/>
      <c r="N351" s="52"/>
      <c r="O351" s="52"/>
      <c r="P351" s="52"/>
      <c r="Q351" s="52"/>
      <c r="U351" s="52"/>
    </row>
    <row r="352">
      <c r="M352" s="52"/>
      <c r="N352" s="52"/>
      <c r="O352" s="52"/>
      <c r="P352" s="52"/>
      <c r="Q352" s="52"/>
      <c r="U352" s="52"/>
    </row>
    <row r="353">
      <c r="M353" s="52"/>
      <c r="N353" s="52"/>
      <c r="O353" s="52"/>
      <c r="P353" s="52"/>
      <c r="Q353" s="52"/>
      <c r="U353" s="52"/>
    </row>
    <row r="354">
      <c r="M354" s="52"/>
      <c r="N354" s="52"/>
      <c r="O354" s="52"/>
      <c r="P354" s="52"/>
      <c r="Q354" s="52"/>
      <c r="U354" s="52"/>
    </row>
    <row r="355">
      <c r="M355" s="52"/>
      <c r="N355" s="52"/>
      <c r="O355" s="52"/>
      <c r="P355" s="52"/>
      <c r="Q355" s="52"/>
      <c r="U355" s="52"/>
    </row>
    <row r="356">
      <c r="M356" s="52"/>
      <c r="N356" s="52"/>
      <c r="O356" s="52"/>
      <c r="P356" s="52"/>
      <c r="Q356" s="52"/>
      <c r="U356" s="52"/>
    </row>
    <row r="357">
      <c r="M357" s="52"/>
      <c r="N357" s="52"/>
      <c r="O357" s="52"/>
      <c r="P357" s="52"/>
      <c r="Q357" s="52"/>
      <c r="U357" s="52"/>
    </row>
    <row r="358">
      <c r="M358" s="52"/>
      <c r="N358" s="52"/>
      <c r="O358" s="52"/>
      <c r="P358" s="52"/>
      <c r="Q358" s="52"/>
      <c r="U358" s="52"/>
    </row>
    <row r="359">
      <c r="M359" s="52"/>
      <c r="N359" s="52"/>
      <c r="O359" s="52"/>
      <c r="P359" s="52"/>
      <c r="Q359" s="52"/>
      <c r="U359" s="52"/>
    </row>
    <row r="360">
      <c r="M360" s="52"/>
      <c r="N360" s="52"/>
      <c r="O360" s="52"/>
      <c r="P360" s="52"/>
      <c r="Q360" s="52"/>
      <c r="U360" s="52"/>
    </row>
    <row r="361">
      <c r="M361" s="52"/>
      <c r="N361" s="52"/>
      <c r="O361" s="52"/>
      <c r="P361" s="52"/>
      <c r="Q361" s="52"/>
      <c r="U361" s="52"/>
    </row>
    <row r="362">
      <c r="M362" s="52"/>
      <c r="N362" s="52"/>
      <c r="O362" s="52"/>
      <c r="P362" s="52"/>
      <c r="Q362" s="52"/>
      <c r="U362" s="52"/>
    </row>
    <row r="363">
      <c r="M363" s="52"/>
      <c r="N363" s="52"/>
      <c r="O363" s="52"/>
      <c r="P363" s="52"/>
      <c r="Q363" s="52"/>
      <c r="U363" s="52"/>
    </row>
    <row r="364">
      <c r="M364" s="52"/>
      <c r="N364" s="52"/>
      <c r="O364" s="52"/>
      <c r="P364" s="52"/>
      <c r="Q364" s="52"/>
      <c r="U364" s="52"/>
    </row>
    <row r="365">
      <c r="M365" s="52"/>
      <c r="N365" s="52"/>
      <c r="O365" s="52"/>
      <c r="P365" s="52"/>
      <c r="Q365" s="52"/>
      <c r="U365" s="52"/>
    </row>
    <row r="366">
      <c r="M366" s="52"/>
      <c r="N366" s="52"/>
      <c r="O366" s="52"/>
      <c r="P366" s="52"/>
      <c r="Q366" s="52"/>
      <c r="U366" s="52"/>
    </row>
    <row r="367">
      <c r="M367" s="52"/>
      <c r="N367" s="52"/>
      <c r="O367" s="52"/>
      <c r="P367" s="52"/>
      <c r="Q367" s="52"/>
      <c r="U367" s="52"/>
    </row>
    <row r="368">
      <c r="M368" s="52"/>
      <c r="N368" s="52"/>
      <c r="O368" s="52"/>
      <c r="P368" s="52"/>
      <c r="Q368" s="52"/>
      <c r="U368" s="52"/>
    </row>
    <row r="369">
      <c r="M369" s="52"/>
      <c r="N369" s="52"/>
      <c r="O369" s="52"/>
      <c r="P369" s="52"/>
      <c r="Q369" s="52"/>
      <c r="U369" s="52"/>
    </row>
    <row r="370">
      <c r="M370" s="52"/>
      <c r="N370" s="52"/>
      <c r="O370" s="52"/>
      <c r="P370" s="52"/>
      <c r="Q370" s="52"/>
      <c r="U370" s="52"/>
    </row>
    <row r="371">
      <c r="M371" s="52"/>
      <c r="N371" s="52"/>
      <c r="O371" s="52"/>
      <c r="P371" s="52"/>
      <c r="Q371" s="52"/>
      <c r="U371" s="52"/>
    </row>
    <row r="372">
      <c r="M372" s="52"/>
      <c r="N372" s="52"/>
      <c r="O372" s="52"/>
      <c r="P372" s="52"/>
      <c r="Q372" s="52"/>
      <c r="U372" s="52"/>
    </row>
    <row r="373">
      <c r="M373" s="52"/>
      <c r="N373" s="52"/>
      <c r="O373" s="52"/>
      <c r="P373" s="52"/>
      <c r="Q373" s="52"/>
      <c r="U373" s="52"/>
    </row>
    <row r="374">
      <c r="M374" s="52"/>
      <c r="N374" s="52"/>
      <c r="O374" s="52"/>
      <c r="P374" s="52"/>
      <c r="Q374" s="52"/>
      <c r="U374" s="52"/>
    </row>
    <row r="375">
      <c r="M375" s="52"/>
      <c r="N375" s="52"/>
      <c r="O375" s="52"/>
      <c r="P375" s="52"/>
      <c r="Q375" s="52"/>
      <c r="U375" s="52"/>
    </row>
    <row r="376">
      <c r="M376" s="52"/>
      <c r="N376" s="52"/>
      <c r="O376" s="52"/>
      <c r="P376" s="52"/>
      <c r="Q376" s="52"/>
      <c r="U376" s="52"/>
    </row>
    <row r="377">
      <c r="M377" s="52"/>
      <c r="N377" s="52"/>
      <c r="O377" s="52"/>
      <c r="P377" s="52"/>
      <c r="Q377" s="52"/>
      <c r="U377" s="52"/>
    </row>
    <row r="378">
      <c r="M378" s="52"/>
      <c r="N378" s="52"/>
      <c r="O378" s="52"/>
      <c r="P378" s="52"/>
      <c r="Q378" s="52"/>
      <c r="U378" s="52"/>
    </row>
    <row r="379">
      <c r="M379" s="52"/>
      <c r="N379" s="52"/>
      <c r="O379" s="52"/>
      <c r="P379" s="52"/>
      <c r="Q379" s="52"/>
      <c r="U379" s="52"/>
    </row>
    <row r="380">
      <c r="M380" s="52"/>
      <c r="N380" s="52"/>
      <c r="O380" s="52"/>
      <c r="P380" s="52"/>
      <c r="Q380" s="52"/>
      <c r="U380" s="52"/>
    </row>
    <row r="381">
      <c r="M381" s="52"/>
      <c r="N381" s="52"/>
      <c r="O381" s="52"/>
      <c r="P381" s="52"/>
      <c r="Q381" s="52"/>
      <c r="U381" s="52"/>
    </row>
    <row r="382">
      <c r="M382" s="52"/>
      <c r="N382" s="52"/>
      <c r="O382" s="52"/>
      <c r="P382" s="52"/>
      <c r="Q382" s="52"/>
      <c r="U382" s="52"/>
    </row>
    <row r="383">
      <c r="M383" s="52"/>
      <c r="N383" s="52"/>
      <c r="O383" s="52"/>
      <c r="P383" s="52"/>
      <c r="Q383" s="52"/>
      <c r="U383" s="52"/>
    </row>
    <row r="384">
      <c r="M384" s="52"/>
      <c r="N384" s="52"/>
      <c r="O384" s="52"/>
      <c r="P384" s="52"/>
      <c r="Q384" s="52"/>
      <c r="U384" s="52"/>
    </row>
    <row r="385">
      <c r="M385" s="52"/>
      <c r="N385" s="52"/>
      <c r="O385" s="52"/>
      <c r="P385" s="52"/>
      <c r="Q385" s="52"/>
      <c r="U385" s="52"/>
    </row>
    <row r="386">
      <c r="M386" s="52"/>
      <c r="N386" s="52"/>
      <c r="O386" s="52"/>
      <c r="P386" s="52"/>
      <c r="Q386" s="52"/>
      <c r="U386" s="52"/>
    </row>
    <row r="387">
      <c r="M387" s="52"/>
      <c r="N387" s="52"/>
      <c r="O387" s="52"/>
      <c r="P387" s="52"/>
      <c r="Q387" s="52"/>
      <c r="U387" s="52"/>
    </row>
    <row r="388">
      <c r="M388" s="52"/>
      <c r="N388" s="52"/>
      <c r="O388" s="52"/>
      <c r="P388" s="52"/>
      <c r="Q388" s="52"/>
      <c r="U388" s="52"/>
    </row>
    <row r="389">
      <c r="M389" s="52"/>
      <c r="N389" s="52"/>
      <c r="O389" s="52"/>
      <c r="P389" s="52"/>
      <c r="Q389" s="52"/>
      <c r="U389" s="52"/>
    </row>
    <row r="390">
      <c r="M390" s="52"/>
      <c r="N390" s="52"/>
      <c r="O390" s="52"/>
      <c r="P390" s="52"/>
      <c r="Q390" s="52"/>
      <c r="U390" s="52"/>
    </row>
    <row r="391">
      <c r="M391" s="52"/>
      <c r="N391" s="52"/>
      <c r="O391" s="52"/>
      <c r="P391" s="52"/>
      <c r="Q391" s="52"/>
      <c r="U391" s="52"/>
    </row>
    <row r="392">
      <c r="M392" s="52"/>
      <c r="N392" s="52"/>
      <c r="O392" s="52"/>
      <c r="P392" s="52"/>
      <c r="Q392" s="52"/>
      <c r="U392" s="52"/>
    </row>
    <row r="393">
      <c r="M393" s="52"/>
      <c r="N393" s="52"/>
      <c r="O393" s="52"/>
      <c r="P393" s="52"/>
      <c r="Q393" s="52"/>
      <c r="U393" s="52"/>
    </row>
    <row r="394">
      <c r="M394" s="52"/>
      <c r="N394" s="52"/>
      <c r="O394" s="52"/>
      <c r="P394" s="52"/>
      <c r="Q394" s="52"/>
      <c r="U394" s="52"/>
    </row>
    <row r="395">
      <c r="M395" s="52"/>
      <c r="N395" s="52"/>
      <c r="O395" s="52"/>
      <c r="P395" s="52"/>
      <c r="Q395" s="52"/>
      <c r="U395" s="52"/>
    </row>
    <row r="396">
      <c r="M396" s="52"/>
      <c r="N396" s="52"/>
      <c r="O396" s="52"/>
      <c r="P396" s="52"/>
      <c r="Q396" s="52"/>
      <c r="U396" s="52"/>
    </row>
    <row r="397">
      <c r="M397" s="52"/>
      <c r="N397" s="52"/>
      <c r="O397" s="52"/>
      <c r="P397" s="52"/>
      <c r="Q397" s="52"/>
      <c r="U397" s="52"/>
    </row>
    <row r="398">
      <c r="M398" s="52"/>
      <c r="N398" s="52"/>
      <c r="O398" s="52"/>
      <c r="P398" s="52"/>
      <c r="Q398" s="52"/>
      <c r="U398" s="52"/>
    </row>
    <row r="399">
      <c r="M399" s="52"/>
      <c r="N399" s="52"/>
      <c r="O399" s="52"/>
      <c r="P399" s="52"/>
      <c r="Q399" s="52"/>
      <c r="U399" s="52"/>
    </row>
    <row r="400">
      <c r="M400" s="52"/>
      <c r="N400" s="52"/>
      <c r="O400" s="52"/>
      <c r="P400" s="52"/>
      <c r="Q400" s="52"/>
      <c r="U400" s="52"/>
    </row>
    <row r="401">
      <c r="M401" s="52"/>
      <c r="N401" s="52"/>
      <c r="O401" s="52"/>
      <c r="P401" s="52"/>
      <c r="Q401" s="52"/>
      <c r="U401" s="52"/>
    </row>
    <row r="402">
      <c r="M402" s="52"/>
      <c r="N402" s="52"/>
      <c r="O402" s="52"/>
      <c r="P402" s="52"/>
      <c r="Q402" s="52"/>
      <c r="U402" s="52"/>
    </row>
    <row r="403">
      <c r="M403" s="52"/>
      <c r="N403" s="52"/>
      <c r="O403" s="52"/>
      <c r="P403" s="52"/>
      <c r="Q403" s="52"/>
      <c r="U403" s="52"/>
    </row>
    <row r="404">
      <c r="M404" s="52"/>
      <c r="N404" s="52"/>
      <c r="O404" s="52"/>
      <c r="P404" s="52"/>
      <c r="Q404" s="52"/>
      <c r="U404" s="52"/>
    </row>
    <row r="405">
      <c r="M405" s="52"/>
      <c r="N405" s="52"/>
      <c r="O405" s="52"/>
      <c r="P405" s="52"/>
      <c r="Q405" s="52"/>
      <c r="U405" s="52"/>
    </row>
    <row r="406">
      <c r="M406" s="52"/>
      <c r="N406" s="52"/>
      <c r="O406" s="52"/>
      <c r="P406" s="52"/>
      <c r="Q406" s="52"/>
      <c r="U406" s="52"/>
    </row>
    <row r="407">
      <c r="M407" s="52"/>
      <c r="N407" s="52"/>
      <c r="O407" s="52"/>
      <c r="P407" s="52"/>
      <c r="Q407" s="52"/>
      <c r="U407" s="52"/>
    </row>
    <row r="408">
      <c r="M408" s="52"/>
      <c r="N408" s="52"/>
      <c r="O408" s="52"/>
      <c r="P408" s="52"/>
      <c r="Q408" s="52"/>
      <c r="U408" s="52"/>
    </row>
    <row r="409">
      <c r="M409" s="52"/>
      <c r="N409" s="52"/>
      <c r="O409" s="52"/>
      <c r="P409" s="52"/>
      <c r="Q409" s="52"/>
      <c r="U409" s="52"/>
    </row>
    <row r="410">
      <c r="M410" s="52"/>
      <c r="N410" s="52"/>
      <c r="O410" s="52"/>
      <c r="P410" s="52"/>
      <c r="Q410" s="52"/>
      <c r="U410" s="52"/>
    </row>
    <row r="411">
      <c r="M411" s="52"/>
      <c r="N411" s="52"/>
      <c r="O411" s="52"/>
      <c r="P411" s="52"/>
      <c r="Q411" s="52"/>
      <c r="U411" s="52"/>
    </row>
    <row r="412">
      <c r="M412" s="52"/>
      <c r="N412" s="52"/>
      <c r="O412" s="52"/>
      <c r="P412" s="52"/>
      <c r="Q412" s="52"/>
      <c r="U412" s="52"/>
    </row>
    <row r="413">
      <c r="M413" s="52"/>
      <c r="N413" s="52"/>
      <c r="O413" s="52"/>
      <c r="P413" s="52"/>
      <c r="Q413" s="52"/>
      <c r="U413" s="52"/>
    </row>
    <row r="414">
      <c r="M414" s="52"/>
      <c r="N414" s="52"/>
      <c r="O414" s="52"/>
      <c r="P414" s="52"/>
      <c r="Q414" s="52"/>
      <c r="U414" s="52"/>
    </row>
    <row r="415">
      <c r="M415" s="52"/>
      <c r="N415" s="52"/>
      <c r="O415" s="52"/>
      <c r="P415" s="52"/>
      <c r="Q415" s="52"/>
      <c r="U415" s="52"/>
    </row>
    <row r="416">
      <c r="M416" s="52"/>
      <c r="N416" s="52"/>
      <c r="O416" s="52"/>
      <c r="P416" s="52"/>
      <c r="Q416" s="52"/>
      <c r="U416" s="52"/>
    </row>
    <row r="417">
      <c r="M417" s="52"/>
      <c r="N417" s="52"/>
      <c r="O417" s="52"/>
      <c r="P417" s="52"/>
      <c r="Q417" s="52"/>
      <c r="U417" s="52"/>
    </row>
    <row r="418">
      <c r="M418" s="52"/>
      <c r="N418" s="52"/>
      <c r="O418" s="52"/>
      <c r="P418" s="52"/>
      <c r="Q418" s="52"/>
      <c r="U418" s="52"/>
    </row>
    <row r="419">
      <c r="M419" s="52"/>
      <c r="N419" s="52"/>
      <c r="O419" s="52"/>
      <c r="P419" s="52"/>
      <c r="Q419" s="52"/>
      <c r="U419" s="52"/>
    </row>
    <row r="420">
      <c r="M420" s="52"/>
      <c r="N420" s="52"/>
      <c r="O420" s="52"/>
      <c r="P420" s="52"/>
      <c r="Q420" s="52"/>
      <c r="U420" s="52"/>
    </row>
    <row r="421">
      <c r="M421" s="52"/>
      <c r="N421" s="52"/>
      <c r="O421" s="52"/>
      <c r="P421" s="52"/>
      <c r="Q421" s="52"/>
      <c r="U421" s="52"/>
    </row>
    <row r="422">
      <c r="M422" s="52"/>
      <c r="N422" s="52"/>
      <c r="O422" s="52"/>
      <c r="P422" s="52"/>
      <c r="Q422" s="52"/>
      <c r="U422" s="52"/>
    </row>
    <row r="423">
      <c r="M423" s="52"/>
      <c r="N423" s="52"/>
      <c r="O423" s="52"/>
      <c r="P423" s="52"/>
      <c r="Q423" s="52"/>
      <c r="U423" s="52"/>
    </row>
    <row r="424">
      <c r="M424" s="52"/>
      <c r="N424" s="52"/>
      <c r="O424" s="52"/>
      <c r="P424" s="52"/>
      <c r="Q424" s="52"/>
      <c r="U424" s="52"/>
    </row>
    <row r="425">
      <c r="M425" s="52"/>
      <c r="N425" s="52"/>
      <c r="O425" s="52"/>
      <c r="P425" s="52"/>
      <c r="Q425" s="52"/>
      <c r="U425" s="52"/>
    </row>
    <row r="426">
      <c r="M426" s="52"/>
      <c r="N426" s="52"/>
      <c r="O426" s="52"/>
      <c r="P426" s="52"/>
      <c r="Q426" s="52"/>
      <c r="U426" s="52"/>
    </row>
    <row r="427">
      <c r="M427" s="52"/>
      <c r="N427" s="52"/>
      <c r="O427" s="52"/>
      <c r="P427" s="52"/>
      <c r="Q427" s="52"/>
      <c r="U427" s="52"/>
    </row>
    <row r="428">
      <c r="M428" s="52"/>
      <c r="N428" s="52"/>
      <c r="O428" s="52"/>
      <c r="P428" s="52"/>
      <c r="Q428" s="52"/>
      <c r="U428" s="52"/>
    </row>
    <row r="429">
      <c r="M429" s="52"/>
      <c r="N429" s="52"/>
      <c r="O429" s="52"/>
      <c r="P429" s="52"/>
      <c r="Q429" s="52"/>
      <c r="U429" s="52"/>
    </row>
    <row r="430">
      <c r="M430" s="52"/>
      <c r="N430" s="52"/>
      <c r="O430" s="52"/>
      <c r="P430" s="52"/>
      <c r="Q430" s="52"/>
      <c r="U430" s="52"/>
    </row>
    <row r="431">
      <c r="M431" s="52"/>
      <c r="N431" s="52"/>
      <c r="O431" s="52"/>
      <c r="P431" s="52"/>
      <c r="Q431" s="52"/>
      <c r="U431" s="52"/>
    </row>
    <row r="432">
      <c r="M432" s="52"/>
      <c r="N432" s="52"/>
      <c r="O432" s="52"/>
      <c r="P432" s="52"/>
      <c r="Q432" s="52"/>
      <c r="U432" s="52"/>
    </row>
    <row r="433">
      <c r="M433" s="52"/>
      <c r="N433" s="52"/>
      <c r="O433" s="52"/>
      <c r="P433" s="52"/>
      <c r="Q433" s="52"/>
      <c r="U433" s="52"/>
    </row>
    <row r="434">
      <c r="M434" s="52"/>
      <c r="N434" s="52"/>
      <c r="O434" s="52"/>
      <c r="P434" s="52"/>
      <c r="Q434" s="52"/>
      <c r="U434" s="52"/>
    </row>
    <row r="435">
      <c r="M435" s="52"/>
      <c r="N435" s="52"/>
      <c r="O435" s="52"/>
      <c r="P435" s="52"/>
      <c r="Q435" s="52"/>
      <c r="U435" s="52"/>
    </row>
    <row r="436">
      <c r="M436" s="52"/>
      <c r="N436" s="52"/>
      <c r="O436" s="52"/>
      <c r="P436" s="52"/>
      <c r="Q436" s="52"/>
      <c r="U436" s="52"/>
    </row>
    <row r="437">
      <c r="M437" s="52"/>
      <c r="N437" s="52"/>
      <c r="O437" s="52"/>
      <c r="P437" s="52"/>
      <c r="Q437" s="52"/>
      <c r="U437" s="52"/>
    </row>
    <row r="438">
      <c r="M438" s="52"/>
      <c r="N438" s="52"/>
      <c r="O438" s="52"/>
      <c r="P438" s="52"/>
      <c r="Q438" s="52"/>
      <c r="U438" s="52"/>
    </row>
    <row r="439">
      <c r="M439" s="52"/>
      <c r="N439" s="52"/>
      <c r="O439" s="52"/>
      <c r="P439" s="52"/>
      <c r="Q439" s="52"/>
      <c r="U439" s="52"/>
    </row>
    <row r="440">
      <c r="M440" s="52"/>
      <c r="N440" s="52"/>
      <c r="O440" s="52"/>
      <c r="P440" s="52"/>
      <c r="Q440" s="52"/>
      <c r="U440" s="52"/>
    </row>
    <row r="441">
      <c r="M441" s="52"/>
      <c r="N441" s="52"/>
      <c r="O441" s="52"/>
      <c r="P441" s="52"/>
      <c r="Q441" s="52"/>
      <c r="U441" s="52"/>
    </row>
    <row r="442">
      <c r="M442" s="52"/>
      <c r="N442" s="52"/>
      <c r="O442" s="52"/>
      <c r="P442" s="52"/>
      <c r="Q442" s="52"/>
      <c r="U442" s="52"/>
    </row>
    <row r="443">
      <c r="M443" s="52"/>
      <c r="N443" s="52"/>
      <c r="O443" s="52"/>
      <c r="P443" s="52"/>
      <c r="Q443" s="52"/>
      <c r="U443" s="52"/>
    </row>
    <row r="444">
      <c r="M444" s="52"/>
      <c r="N444" s="52"/>
      <c r="O444" s="52"/>
      <c r="P444" s="52"/>
      <c r="Q444" s="52"/>
      <c r="U444" s="52"/>
    </row>
    <row r="445">
      <c r="M445" s="52"/>
      <c r="N445" s="52"/>
      <c r="O445" s="52"/>
      <c r="P445" s="52"/>
      <c r="Q445" s="52"/>
      <c r="U445" s="52"/>
    </row>
    <row r="446">
      <c r="M446" s="52"/>
      <c r="N446" s="52"/>
      <c r="O446" s="52"/>
      <c r="P446" s="52"/>
      <c r="Q446" s="52"/>
      <c r="U446" s="52"/>
    </row>
    <row r="447">
      <c r="M447" s="52"/>
      <c r="N447" s="52"/>
      <c r="O447" s="52"/>
      <c r="P447" s="52"/>
      <c r="Q447" s="52"/>
      <c r="U447" s="52"/>
    </row>
    <row r="448">
      <c r="M448" s="52"/>
      <c r="N448" s="52"/>
      <c r="O448" s="52"/>
      <c r="P448" s="52"/>
      <c r="Q448" s="52"/>
      <c r="U448" s="52"/>
    </row>
    <row r="449">
      <c r="M449" s="52"/>
      <c r="N449" s="52"/>
      <c r="O449" s="52"/>
      <c r="P449" s="52"/>
      <c r="Q449" s="52"/>
      <c r="U449" s="52"/>
    </row>
    <row r="450">
      <c r="M450" s="52"/>
      <c r="N450" s="52"/>
      <c r="O450" s="52"/>
      <c r="P450" s="52"/>
      <c r="Q450" s="52"/>
      <c r="U450" s="52"/>
    </row>
    <row r="451">
      <c r="M451" s="52"/>
      <c r="N451" s="52"/>
      <c r="O451" s="52"/>
      <c r="P451" s="52"/>
      <c r="Q451" s="52"/>
      <c r="U451" s="52"/>
    </row>
    <row r="452">
      <c r="M452" s="52"/>
      <c r="N452" s="52"/>
      <c r="O452" s="52"/>
      <c r="P452" s="52"/>
      <c r="Q452" s="52"/>
      <c r="U452" s="52"/>
    </row>
    <row r="453">
      <c r="M453" s="52"/>
      <c r="N453" s="52"/>
      <c r="O453" s="52"/>
      <c r="P453" s="52"/>
      <c r="Q453" s="52"/>
      <c r="U453" s="52"/>
    </row>
    <row r="454">
      <c r="M454" s="52"/>
      <c r="N454" s="52"/>
      <c r="O454" s="52"/>
      <c r="P454" s="52"/>
      <c r="Q454" s="52"/>
      <c r="U454" s="52"/>
    </row>
    <row r="455">
      <c r="M455" s="52"/>
      <c r="N455" s="52"/>
      <c r="O455" s="52"/>
      <c r="P455" s="52"/>
      <c r="Q455" s="52"/>
      <c r="U455" s="52"/>
    </row>
    <row r="456">
      <c r="M456" s="52"/>
      <c r="N456" s="52"/>
      <c r="O456" s="52"/>
      <c r="P456" s="52"/>
      <c r="Q456" s="52"/>
      <c r="U456" s="52"/>
    </row>
    <row r="457">
      <c r="M457" s="52"/>
      <c r="N457" s="52"/>
      <c r="O457" s="52"/>
      <c r="P457" s="52"/>
      <c r="Q457" s="52"/>
      <c r="U457" s="52"/>
    </row>
    <row r="458">
      <c r="M458" s="52"/>
      <c r="N458" s="52"/>
      <c r="O458" s="52"/>
      <c r="P458" s="52"/>
      <c r="Q458" s="52"/>
      <c r="U458" s="52"/>
    </row>
    <row r="459">
      <c r="M459" s="52"/>
      <c r="N459" s="52"/>
      <c r="O459" s="52"/>
      <c r="P459" s="52"/>
      <c r="Q459" s="52"/>
      <c r="U459" s="52"/>
    </row>
    <row r="460">
      <c r="M460" s="52"/>
      <c r="N460" s="52"/>
      <c r="O460" s="52"/>
      <c r="P460" s="52"/>
      <c r="Q460" s="52"/>
      <c r="U460" s="52"/>
    </row>
    <row r="461">
      <c r="M461" s="52"/>
      <c r="N461" s="52"/>
      <c r="O461" s="52"/>
      <c r="P461" s="52"/>
      <c r="Q461" s="52"/>
      <c r="U461" s="52"/>
    </row>
    <row r="462">
      <c r="M462" s="52"/>
      <c r="N462" s="52"/>
      <c r="O462" s="52"/>
      <c r="P462" s="52"/>
      <c r="Q462" s="52"/>
      <c r="U462" s="52"/>
    </row>
    <row r="463">
      <c r="M463" s="52"/>
      <c r="N463" s="52"/>
      <c r="O463" s="52"/>
      <c r="P463" s="52"/>
      <c r="Q463" s="52"/>
      <c r="U463" s="52"/>
    </row>
    <row r="464">
      <c r="M464" s="52"/>
      <c r="N464" s="52"/>
      <c r="O464" s="52"/>
      <c r="P464" s="52"/>
      <c r="Q464" s="52"/>
      <c r="U464" s="52"/>
    </row>
    <row r="465">
      <c r="M465" s="52"/>
      <c r="N465" s="52"/>
      <c r="O465" s="52"/>
      <c r="P465" s="52"/>
      <c r="Q465" s="52"/>
      <c r="U465" s="52"/>
    </row>
    <row r="466">
      <c r="M466" s="52"/>
      <c r="N466" s="52"/>
      <c r="O466" s="52"/>
      <c r="P466" s="52"/>
      <c r="Q466" s="52"/>
      <c r="U466" s="52"/>
    </row>
    <row r="467">
      <c r="M467" s="52"/>
      <c r="N467" s="52"/>
      <c r="O467" s="52"/>
      <c r="P467" s="52"/>
      <c r="Q467" s="52"/>
      <c r="U467" s="52"/>
    </row>
    <row r="468">
      <c r="M468" s="52"/>
      <c r="N468" s="52"/>
      <c r="O468" s="52"/>
      <c r="P468" s="52"/>
      <c r="Q468" s="52"/>
      <c r="U468" s="52"/>
    </row>
    <row r="469">
      <c r="M469" s="52"/>
      <c r="N469" s="52"/>
      <c r="O469" s="52"/>
      <c r="P469" s="52"/>
      <c r="Q469" s="52"/>
      <c r="U469" s="52"/>
    </row>
    <row r="470">
      <c r="M470" s="52"/>
      <c r="N470" s="52"/>
      <c r="O470" s="52"/>
      <c r="P470" s="52"/>
      <c r="Q470" s="52"/>
      <c r="U470" s="52"/>
    </row>
    <row r="471">
      <c r="M471" s="52"/>
      <c r="N471" s="52"/>
      <c r="O471" s="52"/>
      <c r="P471" s="52"/>
      <c r="Q471" s="52"/>
      <c r="U471" s="52"/>
    </row>
    <row r="472">
      <c r="M472" s="52"/>
      <c r="N472" s="52"/>
      <c r="O472" s="52"/>
      <c r="P472" s="52"/>
      <c r="Q472" s="52"/>
      <c r="U472" s="52"/>
    </row>
    <row r="473">
      <c r="M473" s="52"/>
      <c r="N473" s="52"/>
      <c r="O473" s="52"/>
      <c r="P473" s="52"/>
      <c r="Q473" s="52"/>
      <c r="U473" s="52"/>
    </row>
    <row r="474">
      <c r="M474" s="52"/>
      <c r="N474" s="52"/>
      <c r="O474" s="52"/>
      <c r="P474" s="52"/>
      <c r="Q474" s="52"/>
      <c r="U474" s="52"/>
    </row>
    <row r="475">
      <c r="M475" s="52"/>
      <c r="N475" s="52"/>
      <c r="O475" s="52"/>
      <c r="P475" s="52"/>
      <c r="Q475" s="52"/>
      <c r="U475" s="52"/>
    </row>
    <row r="476">
      <c r="M476" s="52"/>
      <c r="N476" s="52"/>
      <c r="O476" s="52"/>
      <c r="P476" s="52"/>
      <c r="Q476" s="52"/>
      <c r="U476" s="52"/>
    </row>
    <row r="477">
      <c r="M477" s="52"/>
      <c r="N477" s="52"/>
      <c r="O477" s="52"/>
      <c r="P477" s="52"/>
      <c r="Q477" s="52"/>
      <c r="U477" s="52"/>
    </row>
    <row r="478">
      <c r="M478" s="52"/>
      <c r="N478" s="52"/>
      <c r="O478" s="52"/>
      <c r="P478" s="52"/>
      <c r="Q478" s="52"/>
      <c r="U478" s="52"/>
    </row>
    <row r="479">
      <c r="M479" s="52"/>
      <c r="N479" s="52"/>
      <c r="O479" s="52"/>
      <c r="P479" s="52"/>
      <c r="Q479" s="52"/>
      <c r="U479" s="52"/>
    </row>
    <row r="480">
      <c r="M480" s="52"/>
      <c r="N480" s="52"/>
      <c r="O480" s="52"/>
      <c r="P480" s="52"/>
      <c r="Q480" s="52"/>
      <c r="U480" s="52"/>
    </row>
    <row r="481">
      <c r="M481" s="52"/>
      <c r="N481" s="52"/>
      <c r="O481" s="52"/>
      <c r="P481" s="52"/>
      <c r="Q481" s="52"/>
      <c r="U481" s="52"/>
    </row>
    <row r="482">
      <c r="M482" s="52"/>
      <c r="N482" s="52"/>
      <c r="O482" s="52"/>
      <c r="P482" s="52"/>
      <c r="Q482" s="52"/>
      <c r="U482" s="52"/>
    </row>
    <row r="483">
      <c r="M483" s="52"/>
      <c r="N483" s="52"/>
      <c r="O483" s="52"/>
      <c r="P483" s="52"/>
      <c r="Q483" s="52"/>
      <c r="U483" s="52"/>
    </row>
    <row r="484">
      <c r="M484" s="52"/>
      <c r="N484" s="52"/>
      <c r="O484" s="52"/>
      <c r="P484" s="52"/>
      <c r="Q484" s="52"/>
      <c r="U484" s="52"/>
    </row>
    <row r="485">
      <c r="M485" s="52"/>
      <c r="N485" s="52"/>
      <c r="O485" s="52"/>
      <c r="P485" s="52"/>
      <c r="Q485" s="52"/>
      <c r="U485" s="52"/>
    </row>
    <row r="486">
      <c r="M486" s="52"/>
      <c r="N486" s="52"/>
      <c r="O486" s="52"/>
      <c r="P486" s="52"/>
      <c r="Q486" s="52"/>
      <c r="U486" s="52"/>
    </row>
    <row r="487">
      <c r="M487" s="52"/>
      <c r="N487" s="52"/>
      <c r="O487" s="52"/>
      <c r="P487" s="52"/>
      <c r="Q487" s="52"/>
      <c r="U487" s="52"/>
    </row>
    <row r="488">
      <c r="M488" s="52"/>
      <c r="N488" s="52"/>
      <c r="O488" s="52"/>
      <c r="P488" s="52"/>
      <c r="Q488" s="52"/>
      <c r="U488" s="52"/>
    </row>
    <row r="489">
      <c r="M489" s="52"/>
      <c r="N489" s="52"/>
      <c r="O489" s="52"/>
      <c r="P489" s="52"/>
      <c r="Q489" s="52"/>
      <c r="U489" s="52"/>
    </row>
    <row r="490">
      <c r="M490" s="52"/>
      <c r="N490" s="52"/>
      <c r="O490" s="52"/>
      <c r="P490" s="52"/>
      <c r="Q490" s="52"/>
      <c r="U490" s="52"/>
    </row>
    <row r="491">
      <c r="M491" s="52"/>
      <c r="N491" s="52"/>
      <c r="O491" s="52"/>
      <c r="P491" s="52"/>
      <c r="Q491" s="52"/>
      <c r="U491" s="52"/>
    </row>
    <row r="492">
      <c r="M492" s="52"/>
      <c r="N492" s="52"/>
      <c r="O492" s="52"/>
      <c r="P492" s="52"/>
      <c r="Q492" s="52"/>
      <c r="U492" s="52"/>
    </row>
    <row r="493">
      <c r="M493" s="52"/>
      <c r="N493" s="52"/>
      <c r="O493" s="52"/>
      <c r="P493" s="52"/>
      <c r="Q493" s="52"/>
      <c r="U493" s="52"/>
    </row>
    <row r="494">
      <c r="M494" s="52"/>
      <c r="N494" s="52"/>
      <c r="O494" s="52"/>
      <c r="P494" s="52"/>
      <c r="Q494" s="52"/>
      <c r="U494" s="52"/>
    </row>
    <row r="495">
      <c r="M495" s="52"/>
      <c r="N495" s="52"/>
      <c r="O495" s="52"/>
      <c r="P495" s="52"/>
      <c r="Q495" s="52"/>
      <c r="U495" s="52"/>
    </row>
    <row r="496">
      <c r="M496" s="52"/>
      <c r="N496" s="52"/>
      <c r="O496" s="52"/>
      <c r="P496" s="52"/>
      <c r="Q496" s="52"/>
      <c r="U496" s="52"/>
    </row>
    <row r="497">
      <c r="M497" s="52"/>
      <c r="N497" s="52"/>
      <c r="O497" s="52"/>
      <c r="P497" s="52"/>
      <c r="Q497" s="52"/>
      <c r="U497" s="52"/>
    </row>
    <row r="498">
      <c r="M498" s="52"/>
      <c r="N498" s="52"/>
      <c r="O498" s="52"/>
      <c r="P498" s="52"/>
      <c r="Q498" s="52"/>
      <c r="U498" s="52"/>
    </row>
    <row r="499">
      <c r="M499" s="52"/>
      <c r="N499" s="52"/>
      <c r="O499" s="52"/>
      <c r="P499" s="52"/>
      <c r="Q499" s="52"/>
      <c r="U499" s="52"/>
    </row>
    <row r="500">
      <c r="M500" s="52"/>
      <c r="N500" s="52"/>
      <c r="O500" s="52"/>
      <c r="P500" s="52"/>
      <c r="Q500" s="52"/>
      <c r="U500" s="52"/>
    </row>
    <row r="501">
      <c r="M501" s="52"/>
      <c r="N501" s="52"/>
      <c r="O501" s="52"/>
      <c r="P501" s="52"/>
      <c r="Q501" s="52"/>
      <c r="U501" s="52"/>
    </row>
    <row r="502">
      <c r="M502" s="52"/>
      <c r="N502" s="52"/>
      <c r="O502" s="52"/>
      <c r="P502" s="52"/>
      <c r="Q502" s="52"/>
      <c r="U502" s="52"/>
    </row>
    <row r="503">
      <c r="M503" s="52"/>
      <c r="N503" s="52"/>
      <c r="O503" s="52"/>
      <c r="P503" s="52"/>
      <c r="Q503" s="52"/>
      <c r="U503" s="52"/>
    </row>
    <row r="504">
      <c r="M504" s="52"/>
      <c r="N504" s="52"/>
      <c r="O504" s="52"/>
      <c r="P504" s="52"/>
      <c r="Q504" s="52"/>
      <c r="U504" s="52"/>
    </row>
    <row r="505">
      <c r="M505" s="52"/>
      <c r="N505" s="52"/>
      <c r="O505" s="52"/>
      <c r="P505" s="52"/>
      <c r="Q505" s="52"/>
      <c r="U505" s="52"/>
    </row>
    <row r="506">
      <c r="M506" s="52"/>
      <c r="N506" s="52"/>
      <c r="O506" s="52"/>
      <c r="P506" s="52"/>
      <c r="Q506" s="52"/>
      <c r="U506" s="52"/>
    </row>
    <row r="507">
      <c r="M507" s="52"/>
      <c r="N507" s="52"/>
      <c r="O507" s="52"/>
      <c r="P507" s="52"/>
      <c r="Q507" s="52"/>
      <c r="U507" s="52"/>
    </row>
    <row r="508">
      <c r="M508" s="52"/>
      <c r="N508" s="52"/>
      <c r="O508" s="52"/>
      <c r="P508" s="52"/>
      <c r="Q508" s="52"/>
      <c r="U508" s="52"/>
    </row>
    <row r="509">
      <c r="M509" s="52"/>
      <c r="N509" s="52"/>
      <c r="O509" s="52"/>
      <c r="P509" s="52"/>
      <c r="Q509" s="52"/>
      <c r="U509" s="52"/>
    </row>
    <row r="510">
      <c r="M510" s="52"/>
      <c r="N510" s="52"/>
      <c r="O510" s="52"/>
      <c r="P510" s="52"/>
      <c r="Q510" s="52"/>
      <c r="U510" s="52"/>
    </row>
    <row r="511">
      <c r="M511" s="52"/>
      <c r="N511" s="52"/>
      <c r="O511" s="52"/>
      <c r="P511" s="52"/>
      <c r="Q511" s="52"/>
      <c r="U511" s="52"/>
    </row>
    <row r="512">
      <c r="M512" s="52"/>
      <c r="N512" s="52"/>
      <c r="O512" s="52"/>
      <c r="P512" s="52"/>
      <c r="Q512" s="52"/>
      <c r="U512" s="52"/>
    </row>
    <row r="513">
      <c r="M513" s="52"/>
      <c r="N513" s="52"/>
      <c r="O513" s="52"/>
      <c r="P513" s="52"/>
      <c r="Q513" s="52"/>
      <c r="U513" s="52"/>
    </row>
    <row r="514">
      <c r="M514" s="52"/>
      <c r="N514" s="52"/>
      <c r="O514" s="52"/>
      <c r="P514" s="52"/>
      <c r="Q514" s="52"/>
      <c r="U514" s="52"/>
    </row>
    <row r="515">
      <c r="M515" s="52"/>
      <c r="N515" s="52"/>
      <c r="O515" s="52"/>
      <c r="P515" s="52"/>
      <c r="Q515" s="52"/>
      <c r="U515" s="52"/>
    </row>
    <row r="516">
      <c r="M516" s="52"/>
      <c r="N516" s="52"/>
      <c r="O516" s="52"/>
      <c r="P516" s="52"/>
      <c r="Q516" s="52"/>
      <c r="U516" s="52"/>
    </row>
    <row r="517">
      <c r="M517" s="52"/>
      <c r="N517" s="52"/>
      <c r="O517" s="52"/>
      <c r="P517" s="52"/>
      <c r="Q517" s="52"/>
      <c r="U517" s="52"/>
    </row>
    <row r="518">
      <c r="M518" s="52"/>
      <c r="N518" s="52"/>
      <c r="O518" s="52"/>
      <c r="P518" s="52"/>
      <c r="Q518" s="52"/>
      <c r="U518" s="52"/>
    </row>
    <row r="519">
      <c r="M519" s="52"/>
      <c r="N519" s="52"/>
      <c r="O519" s="52"/>
      <c r="P519" s="52"/>
      <c r="Q519" s="52"/>
      <c r="U519" s="52"/>
    </row>
    <row r="520">
      <c r="M520" s="52"/>
      <c r="N520" s="52"/>
      <c r="O520" s="52"/>
      <c r="P520" s="52"/>
      <c r="Q520" s="52"/>
      <c r="U520" s="52"/>
    </row>
    <row r="521">
      <c r="M521" s="52"/>
      <c r="N521" s="52"/>
      <c r="O521" s="52"/>
      <c r="P521" s="52"/>
      <c r="Q521" s="52"/>
      <c r="U521" s="52"/>
    </row>
    <row r="522">
      <c r="M522" s="52"/>
      <c r="N522" s="52"/>
      <c r="O522" s="52"/>
      <c r="P522" s="52"/>
      <c r="Q522" s="52"/>
      <c r="U522" s="52"/>
    </row>
    <row r="523">
      <c r="M523" s="52"/>
      <c r="N523" s="52"/>
      <c r="O523" s="52"/>
      <c r="P523" s="52"/>
      <c r="Q523" s="52"/>
      <c r="U523" s="52"/>
    </row>
    <row r="524">
      <c r="M524" s="52"/>
      <c r="N524" s="52"/>
      <c r="O524" s="52"/>
      <c r="P524" s="52"/>
      <c r="Q524" s="52"/>
      <c r="U524" s="52"/>
    </row>
    <row r="525">
      <c r="M525" s="52"/>
      <c r="N525" s="52"/>
      <c r="O525" s="52"/>
      <c r="P525" s="52"/>
      <c r="Q525" s="52"/>
      <c r="U525" s="52"/>
    </row>
    <row r="526">
      <c r="M526" s="52"/>
      <c r="N526" s="52"/>
      <c r="O526" s="52"/>
      <c r="P526" s="52"/>
      <c r="Q526" s="52"/>
      <c r="U526" s="52"/>
    </row>
    <row r="527">
      <c r="M527" s="52"/>
      <c r="N527" s="52"/>
      <c r="O527" s="52"/>
      <c r="P527" s="52"/>
      <c r="Q527" s="52"/>
      <c r="U527" s="52"/>
    </row>
    <row r="528">
      <c r="M528" s="52"/>
      <c r="N528" s="52"/>
      <c r="O528" s="52"/>
      <c r="P528" s="52"/>
      <c r="Q528" s="52"/>
      <c r="U528" s="52"/>
    </row>
    <row r="529">
      <c r="M529" s="52"/>
      <c r="N529" s="52"/>
      <c r="O529" s="52"/>
      <c r="P529" s="52"/>
      <c r="Q529" s="52"/>
      <c r="U529" s="52"/>
    </row>
    <row r="530">
      <c r="M530" s="52"/>
      <c r="N530" s="52"/>
      <c r="O530" s="52"/>
      <c r="P530" s="52"/>
      <c r="Q530" s="52"/>
      <c r="U530" s="52"/>
    </row>
    <row r="531">
      <c r="M531" s="52"/>
      <c r="N531" s="52"/>
      <c r="O531" s="52"/>
      <c r="P531" s="52"/>
      <c r="Q531" s="52"/>
      <c r="U531" s="52"/>
    </row>
    <row r="532">
      <c r="M532" s="52"/>
      <c r="N532" s="52"/>
      <c r="O532" s="52"/>
      <c r="P532" s="52"/>
      <c r="Q532" s="52"/>
      <c r="U532" s="52"/>
    </row>
    <row r="533">
      <c r="M533" s="52"/>
      <c r="N533" s="52"/>
      <c r="O533" s="52"/>
      <c r="P533" s="52"/>
      <c r="Q533" s="52"/>
      <c r="U533" s="52"/>
    </row>
    <row r="534">
      <c r="M534" s="52"/>
      <c r="N534" s="52"/>
      <c r="O534" s="52"/>
      <c r="P534" s="52"/>
      <c r="Q534" s="52"/>
      <c r="U534" s="52"/>
    </row>
    <row r="535">
      <c r="M535" s="52"/>
      <c r="N535" s="52"/>
      <c r="O535" s="52"/>
      <c r="P535" s="52"/>
      <c r="Q535" s="52"/>
      <c r="U535" s="52"/>
    </row>
    <row r="536">
      <c r="M536" s="52"/>
      <c r="N536" s="52"/>
      <c r="O536" s="52"/>
      <c r="P536" s="52"/>
      <c r="Q536" s="52"/>
      <c r="U536" s="52"/>
    </row>
    <row r="537">
      <c r="M537" s="52"/>
      <c r="N537" s="52"/>
      <c r="O537" s="52"/>
      <c r="P537" s="52"/>
      <c r="Q537" s="52"/>
      <c r="U537" s="52"/>
    </row>
    <row r="538">
      <c r="M538" s="52"/>
      <c r="N538" s="52"/>
      <c r="O538" s="52"/>
      <c r="P538" s="52"/>
      <c r="Q538" s="52"/>
      <c r="U538" s="52"/>
    </row>
    <row r="539">
      <c r="M539" s="52"/>
      <c r="N539" s="52"/>
      <c r="O539" s="52"/>
      <c r="P539" s="52"/>
      <c r="Q539" s="52"/>
      <c r="U539" s="52"/>
    </row>
    <row r="540">
      <c r="M540" s="52"/>
      <c r="N540" s="52"/>
      <c r="O540" s="52"/>
      <c r="P540" s="52"/>
      <c r="Q540" s="52"/>
      <c r="U540" s="52"/>
    </row>
    <row r="541">
      <c r="M541" s="52"/>
      <c r="N541" s="52"/>
      <c r="O541" s="52"/>
      <c r="P541" s="52"/>
      <c r="Q541" s="52"/>
      <c r="U541" s="52"/>
    </row>
    <row r="542">
      <c r="M542" s="52"/>
      <c r="N542" s="52"/>
      <c r="O542" s="52"/>
      <c r="P542" s="52"/>
      <c r="Q542" s="52"/>
      <c r="U542" s="52"/>
    </row>
    <row r="543">
      <c r="M543" s="52"/>
      <c r="N543" s="52"/>
      <c r="O543" s="52"/>
      <c r="P543" s="52"/>
      <c r="Q543" s="52"/>
      <c r="U543" s="52"/>
    </row>
    <row r="544">
      <c r="M544" s="52"/>
      <c r="N544" s="52"/>
      <c r="O544" s="52"/>
      <c r="P544" s="52"/>
      <c r="Q544" s="52"/>
      <c r="U544" s="52"/>
    </row>
    <row r="545">
      <c r="M545" s="52"/>
      <c r="N545" s="52"/>
      <c r="O545" s="52"/>
      <c r="P545" s="52"/>
      <c r="Q545" s="52"/>
      <c r="U545" s="52"/>
    </row>
    <row r="546">
      <c r="M546" s="52"/>
      <c r="N546" s="52"/>
      <c r="O546" s="52"/>
      <c r="P546" s="52"/>
      <c r="Q546" s="52"/>
      <c r="U546" s="52"/>
    </row>
    <row r="547">
      <c r="M547" s="52"/>
      <c r="N547" s="52"/>
      <c r="O547" s="52"/>
      <c r="P547" s="52"/>
      <c r="Q547" s="52"/>
      <c r="U547" s="52"/>
    </row>
    <row r="548">
      <c r="M548" s="52"/>
      <c r="N548" s="52"/>
      <c r="O548" s="52"/>
      <c r="P548" s="52"/>
      <c r="Q548" s="52"/>
      <c r="U548" s="52"/>
    </row>
    <row r="549">
      <c r="M549" s="52"/>
      <c r="N549" s="52"/>
      <c r="O549" s="52"/>
      <c r="P549" s="52"/>
      <c r="Q549" s="52"/>
      <c r="U549" s="52"/>
    </row>
    <row r="550">
      <c r="M550" s="52"/>
      <c r="N550" s="52"/>
      <c r="O550" s="52"/>
      <c r="P550" s="52"/>
      <c r="Q550" s="52"/>
      <c r="U550" s="52"/>
    </row>
    <row r="551">
      <c r="M551" s="52"/>
      <c r="N551" s="52"/>
      <c r="O551" s="52"/>
      <c r="P551" s="52"/>
      <c r="Q551" s="52"/>
      <c r="U551" s="52"/>
    </row>
    <row r="552">
      <c r="M552" s="52"/>
      <c r="N552" s="52"/>
      <c r="O552" s="52"/>
      <c r="P552" s="52"/>
      <c r="Q552" s="52"/>
      <c r="U552" s="52"/>
    </row>
    <row r="553">
      <c r="M553" s="52"/>
      <c r="N553" s="52"/>
      <c r="O553" s="52"/>
      <c r="P553" s="52"/>
      <c r="Q553" s="52"/>
      <c r="U553" s="52"/>
    </row>
    <row r="554">
      <c r="M554" s="52"/>
      <c r="N554" s="52"/>
      <c r="O554" s="52"/>
      <c r="P554" s="52"/>
      <c r="Q554" s="52"/>
      <c r="U554" s="52"/>
    </row>
    <row r="555">
      <c r="M555" s="52"/>
      <c r="N555" s="52"/>
      <c r="O555" s="52"/>
      <c r="P555" s="52"/>
      <c r="Q555" s="52"/>
      <c r="U555" s="52"/>
    </row>
    <row r="556">
      <c r="M556" s="52"/>
      <c r="N556" s="52"/>
      <c r="O556" s="52"/>
      <c r="P556" s="52"/>
      <c r="Q556" s="52"/>
      <c r="U556" s="52"/>
    </row>
    <row r="557">
      <c r="M557" s="52"/>
      <c r="N557" s="52"/>
      <c r="O557" s="52"/>
      <c r="P557" s="52"/>
      <c r="Q557" s="52"/>
      <c r="U557" s="52"/>
    </row>
    <row r="558">
      <c r="M558" s="52"/>
      <c r="N558" s="52"/>
      <c r="O558" s="52"/>
      <c r="P558" s="52"/>
      <c r="Q558" s="52"/>
      <c r="U558" s="52"/>
    </row>
    <row r="559">
      <c r="M559" s="52"/>
      <c r="N559" s="52"/>
      <c r="O559" s="52"/>
      <c r="P559" s="52"/>
      <c r="Q559" s="52"/>
      <c r="U559" s="52"/>
    </row>
    <row r="560">
      <c r="M560" s="52"/>
      <c r="N560" s="52"/>
      <c r="O560" s="52"/>
      <c r="P560" s="52"/>
      <c r="Q560" s="52"/>
      <c r="U560" s="52"/>
    </row>
    <row r="561">
      <c r="M561" s="52"/>
      <c r="N561" s="52"/>
      <c r="O561" s="52"/>
      <c r="P561" s="52"/>
      <c r="Q561" s="52"/>
      <c r="U561" s="52"/>
    </row>
    <row r="562">
      <c r="M562" s="52"/>
      <c r="N562" s="52"/>
      <c r="O562" s="52"/>
      <c r="P562" s="52"/>
      <c r="Q562" s="52"/>
      <c r="U562" s="52"/>
    </row>
    <row r="563">
      <c r="M563" s="52"/>
      <c r="N563" s="52"/>
      <c r="O563" s="52"/>
      <c r="P563" s="52"/>
      <c r="Q563" s="52"/>
      <c r="U563" s="52"/>
    </row>
    <row r="564">
      <c r="M564" s="52"/>
      <c r="N564" s="52"/>
      <c r="O564" s="52"/>
      <c r="P564" s="52"/>
      <c r="Q564" s="52"/>
      <c r="U564" s="52"/>
    </row>
    <row r="565">
      <c r="M565" s="52"/>
      <c r="N565" s="52"/>
      <c r="O565" s="52"/>
      <c r="P565" s="52"/>
      <c r="Q565" s="52"/>
      <c r="U565" s="52"/>
    </row>
    <row r="566">
      <c r="M566" s="52"/>
      <c r="N566" s="52"/>
      <c r="O566" s="52"/>
      <c r="P566" s="52"/>
      <c r="Q566" s="52"/>
      <c r="U566" s="52"/>
    </row>
    <row r="567">
      <c r="M567" s="52"/>
      <c r="N567" s="52"/>
      <c r="O567" s="52"/>
      <c r="P567" s="52"/>
      <c r="Q567" s="52"/>
      <c r="U567" s="52"/>
    </row>
    <row r="568">
      <c r="M568" s="52"/>
      <c r="N568" s="52"/>
      <c r="O568" s="52"/>
      <c r="P568" s="52"/>
      <c r="Q568" s="52"/>
      <c r="U568" s="52"/>
    </row>
    <row r="569">
      <c r="M569" s="52"/>
      <c r="N569" s="52"/>
      <c r="O569" s="52"/>
      <c r="P569" s="52"/>
      <c r="Q569" s="52"/>
      <c r="U569" s="52"/>
    </row>
    <row r="570">
      <c r="M570" s="52"/>
      <c r="N570" s="52"/>
      <c r="O570" s="52"/>
      <c r="P570" s="52"/>
      <c r="Q570" s="52"/>
      <c r="U570" s="52"/>
    </row>
    <row r="571">
      <c r="M571" s="52"/>
      <c r="N571" s="52"/>
      <c r="O571" s="52"/>
      <c r="P571" s="52"/>
      <c r="Q571" s="52"/>
      <c r="U571" s="52"/>
    </row>
    <row r="572">
      <c r="M572" s="52"/>
      <c r="N572" s="52"/>
      <c r="O572" s="52"/>
      <c r="P572" s="52"/>
      <c r="Q572" s="52"/>
      <c r="U572" s="52"/>
    </row>
    <row r="573">
      <c r="M573" s="52"/>
      <c r="N573" s="52"/>
      <c r="O573" s="52"/>
      <c r="P573" s="52"/>
      <c r="Q573" s="52"/>
      <c r="U573" s="52"/>
    </row>
    <row r="574">
      <c r="M574" s="52"/>
      <c r="N574" s="52"/>
      <c r="O574" s="52"/>
      <c r="P574" s="52"/>
      <c r="Q574" s="52"/>
      <c r="U574" s="52"/>
    </row>
    <row r="575">
      <c r="M575" s="52"/>
      <c r="N575" s="52"/>
      <c r="O575" s="52"/>
      <c r="P575" s="52"/>
      <c r="Q575" s="52"/>
      <c r="U575" s="52"/>
    </row>
    <row r="576">
      <c r="M576" s="52"/>
      <c r="N576" s="52"/>
      <c r="O576" s="52"/>
      <c r="P576" s="52"/>
      <c r="Q576" s="52"/>
      <c r="U576" s="52"/>
    </row>
    <row r="577">
      <c r="M577" s="52"/>
      <c r="N577" s="52"/>
      <c r="O577" s="52"/>
      <c r="P577" s="52"/>
      <c r="Q577" s="52"/>
      <c r="U577" s="52"/>
    </row>
    <row r="578">
      <c r="M578" s="52"/>
      <c r="N578" s="52"/>
      <c r="O578" s="52"/>
      <c r="P578" s="52"/>
      <c r="Q578" s="52"/>
      <c r="U578" s="52"/>
    </row>
    <row r="579">
      <c r="M579" s="52"/>
      <c r="N579" s="52"/>
      <c r="O579" s="52"/>
      <c r="P579" s="52"/>
      <c r="Q579" s="52"/>
      <c r="U579" s="52"/>
    </row>
    <row r="580">
      <c r="M580" s="52"/>
      <c r="N580" s="52"/>
      <c r="O580" s="52"/>
      <c r="P580" s="52"/>
      <c r="Q580" s="52"/>
      <c r="U580" s="52"/>
    </row>
    <row r="581">
      <c r="M581" s="52"/>
      <c r="N581" s="52"/>
      <c r="O581" s="52"/>
      <c r="P581" s="52"/>
      <c r="Q581" s="52"/>
      <c r="U581" s="52"/>
    </row>
    <row r="582">
      <c r="M582" s="52"/>
      <c r="N582" s="52"/>
      <c r="O582" s="52"/>
      <c r="P582" s="52"/>
      <c r="Q582" s="52"/>
      <c r="U582" s="52"/>
    </row>
    <row r="583">
      <c r="M583" s="52"/>
      <c r="N583" s="52"/>
      <c r="O583" s="52"/>
      <c r="P583" s="52"/>
      <c r="Q583" s="52"/>
      <c r="U583" s="52"/>
    </row>
    <row r="584">
      <c r="M584" s="52"/>
      <c r="N584" s="52"/>
      <c r="O584" s="52"/>
      <c r="P584" s="52"/>
      <c r="Q584" s="52"/>
      <c r="U584" s="52"/>
    </row>
    <row r="585">
      <c r="M585" s="52"/>
      <c r="N585" s="52"/>
      <c r="O585" s="52"/>
      <c r="P585" s="52"/>
      <c r="Q585" s="52"/>
      <c r="U585" s="52"/>
    </row>
    <row r="586">
      <c r="M586" s="52"/>
      <c r="N586" s="52"/>
      <c r="O586" s="52"/>
      <c r="P586" s="52"/>
      <c r="Q586" s="52"/>
      <c r="U586" s="52"/>
    </row>
    <row r="587">
      <c r="M587" s="52"/>
      <c r="N587" s="52"/>
      <c r="O587" s="52"/>
      <c r="P587" s="52"/>
      <c r="Q587" s="52"/>
      <c r="U587" s="52"/>
    </row>
    <row r="588">
      <c r="M588" s="52"/>
      <c r="N588" s="52"/>
      <c r="O588" s="52"/>
      <c r="P588" s="52"/>
      <c r="Q588" s="52"/>
      <c r="U588" s="52"/>
    </row>
    <row r="589">
      <c r="M589" s="52"/>
      <c r="N589" s="52"/>
      <c r="O589" s="52"/>
      <c r="P589" s="52"/>
      <c r="Q589" s="52"/>
      <c r="U589" s="52"/>
    </row>
    <row r="590">
      <c r="M590" s="52"/>
      <c r="N590" s="52"/>
      <c r="O590" s="52"/>
      <c r="P590" s="52"/>
      <c r="Q590" s="52"/>
      <c r="U590" s="52"/>
    </row>
    <row r="591">
      <c r="M591" s="52"/>
      <c r="N591" s="52"/>
      <c r="O591" s="52"/>
      <c r="P591" s="52"/>
      <c r="Q591" s="52"/>
      <c r="U591" s="52"/>
    </row>
    <row r="592">
      <c r="M592" s="52"/>
      <c r="N592" s="52"/>
      <c r="O592" s="52"/>
      <c r="P592" s="52"/>
      <c r="Q592" s="52"/>
      <c r="U592" s="52"/>
    </row>
    <row r="593">
      <c r="M593" s="52"/>
      <c r="N593" s="52"/>
      <c r="O593" s="52"/>
      <c r="P593" s="52"/>
      <c r="Q593" s="52"/>
      <c r="U593" s="52"/>
    </row>
    <row r="594">
      <c r="M594" s="52"/>
      <c r="N594" s="52"/>
      <c r="O594" s="52"/>
      <c r="P594" s="52"/>
      <c r="Q594" s="52"/>
      <c r="U594" s="52"/>
    </row>
    <row r="595">
      <c r="M595" s="52"/>
      <c r="N595" s="52"/>
      <c r="O595" s="52"/>
      <c r="P595" s="52"/>
      <c r="Q595" s="52"/>
      <c r="U595" s="52"/>
    </row>
    <row r="596">
      <c r="M596" s="52"/>
      <c r="N596" s="52"/>
      <c r="O596" s="52"/>
      <c r="P596" s="52"/>
      <c r="Q596" s="52"/>
      <c r="U596" s="52"/>
    </row>
    <row r="597">
      <c r="M597" s="52"/>
      <c r="N597" s="52"/>
      <c r="O597" s="52"/>
      <c r="P597" s="52"/>
      <c r="Q597" s="52"/>
      <c r="U597" s="52"/>
    </row>
    <row r="598">
      <c r="M598" s="52"/>
      <c r="N598" s="52"/>
      <c r="O598" s="52"/>
      <c r="P598" s="52"/>
      <c r="Q598" s="52"/>
      <c r="U598" s="52"/>
    </row>
    <row r="599">
      <c r="M599" s="52"/>
      <c r="N599" s="52"/>
      <c r="O599" s="52"/>
      <c r="P599" s="52"/>
      <c r="Q599" s="52"/>
      <c r="U599" s="52"/>
    </row>
    <row r="600">
      <c r="M600" s="52"/>
      <c r="N600" s="52"/>
      <c r="O600" s="52"/>
      <c r="P600" s="52"/>
      <c r="Q600" s="52"/>
      <c r="U600" s="52"/>
    </row>
    <row r="601">
      <c r="M601" s="52"/>
      <c r="N601" s="52"/>
      <c r="O601" s="52"/>
      <c r="P601" s="52"/>
      <c r="Q601" s="52"/>
      <c r="U601" s="52"/>
    </row>
    <row r="602">
      <c r="M602" s="52"/>
      <c r="N602" s="52"/>
      <c r="O602" s="52"/>
      <c r="P602" s="52"/>
      <c r="Q602" s="52"/>
      <c r="U602" s="52"/>
    </row>
    <row r="603">
      <c r="M603" s="52"/>
      <c r="N603" s="52"/>
      <c r="O603" s="52"/>
      <c r="P603" s="52"/>
      <c r="Q603" s="52"/>
      <c r="U603" s="52"/>
    </row>
    <row r="604">
      <c r="M604" s="52"/>
      <c r="N604" s="52"/>
      <c r="O604" s="52"/>
      <c r="P604" s="52"/>
      <c r="Q604" s="52"/>
      <c r="U604" s="52"/>
    </row>
    <row r="605">
      <c r="M605" s="52"/>
      <c r="N605" s="52"/>
      <c r="O605" s="52"/>
      <c r="P605" s="52"/>
      <c r="Q605" s="52"/>
      <c r="U605" s="52"/>
    </row>
    <row r="606">
      <c r="M606" s="52"/>
      <c r="N606" s="52"/>
      <c r="O606" s="52"/>
      <c r="P606" s="52"/>
      <c r="Q606" s="52"/>
      <c r="U606" s="52"/>
    </row>
    <row r="607">
      <c r="M607" s="52"/>
      <c r="N607" s="52"/>
      <c r="O607" s="52"/>
      <c r="P607" s="52"/>
      <c r="Q607" s="52"/>
      <c r="U607" s="52"/>
    </row>
    <row r="608">
      <c r="M608" s="52"/>
      <c r="N608" s="52"/>
      <c r="O608" s="52"/>
      <c r="P608" s="52"/>
      <c r="Q608" s="52"/>
      <c r="U608" s="52"/>
    </row>
    <row r="609">
      <c r="M609" s="52"/>
      <c r="N609" s="52"/>
      <c r="O609" s="52"/>
      <c r="P609" s="52"/>
      <c r="Q609" s="52"/>
      <c r="U609" s="52"/>
    </row>
    <row r="610">
      <c r="M610" s="52"/>
      <c r="N610" s="52"/>
      <c r="O610" s="52"/>
      <c r="P610" s="52"/>
      <c r="Q610" s="52"/>
      <c r="U610" s="52"/>
    </row>
    <row r="611">
      <c r="M611" s="52"/>
      <c r="N611" s="52"/>
      <c r="O611" s="52"/>
      <c r="P611" s="52"/>
      <c r="Q611" s="52"/>
      <c r="U611" s="52"/>
    </row>
    <row r="612">
      <c r="M612" s="52"/>
      <c r="N612" s="52"/>
      <c r="O612" s="52"/>
      <c r="P612" s="52"/>
      <c r="Q612" s="52"/>
      <c r="U612" s="52"/>
    </row>
    <row r="613">
      <c r="M613" s="52"/>
      <c r="N613" s="52"/>
      <c r="O613" s="52"/>
      <c r="P613" s="52"/>
      <c r="Q613" s="52"/>
      <c r="U613" s="52"/>
    </row>
    <row r="614">
      <c r="M614" s="52"/>
      <c r="N614" s="52"/>
      <c r="O614" s="52"/>
      <c r="P614" s="52"/>
      <c r="Q614" s="52"/>
      <c r="U614" s="52"/>
    </row>
    <row r="615">
      <c r="M615" s="52"/>
      <c r="N615" s="52"/>
      <c r="O615" s="52"/>
      <c r="P615" s="52"/>
      <c r="Q615" s="52"/>
      <c r="U615" s="52"/>
    </row>
    <row r="616">
      <c r="M616" s="52"/>
      <c r="N616" s="52"/>
      <c r="O616" s="52"/>
      <c r="P616" s="52"/>
      <c r="Q616" s="52"/>
      <c r="U616" s="52"/>
    </row>
    <row r="617">
      <c r="M617" s="52"/>
      <c r="N617" s="52"/>
      <c r="O617" s="52"/>
      <c r="P617" s="52"/>
      <c r="Q617" s="52"/>
      <c r="U617" s="52"/>
    </row>
    <row r="618">
      <c r="M618" s="52"/>
      <c r="N618" s="52"/>
      <c r="O618" s="52"/>
      <c r="P618" s="52"/>
      <c r="Q618" s="52"/>
      <c r="U618" s="52"/>
    </row>
    <row r="619">
      <c r="M619" s="52"/>
      <c r="N619" s="52"/>
      <c r="O619" s="52"/>
      <c r="P619" s="52"/>
      <c r="Q619" s="52"/>
      <c r="U619" s="52"/>
    </row>
    <row r="620">
      <c r="M620" s="52"/>
      <c r="N620" s="52"/>
      <c r="O620" s="52"/>
      <c r="P620" s="52"/>
      <c r="Q620" s="52"/>
      <c r="U620" s="52"/>
    </row>
    <row r="621">
      <c r="M621" s="52"/>
      <c r="N621" s="52"/>
      <c r="O621" s="52"/>
      <c r="P621" s="52"/>
      <c r="Q621" s="52"/>
      <c r="U621" s="52"/>
    </row>
    <row r="622">
      <c r="M622" s="52"/>
      <c r="N622" s="52"/>
      <c r="O622" s="52"/>
      <c r="P622" s="52"/>
      <c r="Q622" s="52"/>
      <c r="U622" s="52"/>
    </row>
    <row r="623">
      <c r="M623" s="52"/>
      <c r="N623" s="52"/>
      <c r="O623" s="52"/>
      <c r="P623" s="52"/>
      <c r="Q623" s="52"/>
      <c r="U623" s="52"/>
    </row>
    <row r="624">
      <c r="M624" s="52"/>
      <c r="N624" s="52"/>
      <c r="O624" s="52"/>
      <c r="P624" s="52"/>
      <c r="Q624" s="52"/>
      <c r="U624" s="52"/>
    </row>
    <row r="625">
      <c r="M625" s="52"/>
      <c r="N625" s="52"/>
      <c r="O625" s="52"/>
      <c r="P625" s="52"/>
      <c r="Q625" s="52"/>
      <c r="U625" s="52"/>
    </row>
    <row r="626">
      <c r="M626" s="52"/>
      <c r="N626" s="52"/>
      <c r="O626" s="52"/>
      <c r="P626" s="52"/>
      <c r="Q626" s="52"/>
      <c r="U626" s="52"/>
    </row>
    <row r="627">
      <c r="M627" s="52"/>
      <c r="N627" s="52"/>
      <c r="O627" s="52"/>
      <c r="P627" s="52"/>
      <c r="Q627" s="52"/>
      <c r="U627" s="52"/>
    </row>
    <row r="628">
      <c r="M628" s="52"/>
      <c r="N628" s="52"/>
      <c r="O628" s="52"/>
      <c r="P628" s="52"/>
      <c r="Q628" s="52"/>
      <c r="U628" s="52"/>
    </row>
    <row r="629">
      <c r="M629" s="52"/>
      <c r="N629" s="52"/>
      <c r="O629" s="52"/>
      <c r="P629" s="52"/>
      <c r="Q629" s="52"/>
      <c r="U629" s="52"/>
    </row>
    <row r="630">
      <c r="M630" s="52"/>
      <c r="N630" s="52"/>
      <c r="O630" s="52"/>
      <c r="P630" s="52"/>
      <c r="Q630" s="52"/>
      <c r="U630" s="52"/>
    </row>
    <row r="631">
      <c r="M631" s="52"/>
      <c r="N631" s="52"/>
      <c r="O631" s="52"/>
      <c r="P631" s="52"/>
      <c r="Q631" s="52"/>
      <c r="U631" s="52"/>
    </row>
    <row r="632">
      <c r="M632" s="52"/>
      <c r="N632" s="52"/>
      <c r="O632" s="52"/>
      <c r="P632" s="52"/>
      <c r="Q632" s="52"/>
      <c r="U632" s="52"/>
    </row>
    <row r="633">
      <c r="M633" s="52"/>
      <c r="N633" s="52"/>
      <c r="O633" s="52"/>
      <c r="P633" s="52"/>
      <c r="Q633" s="52"/>
      <c r="U633" s="52"/>
    </row>
    <row r="634">
      <c r="M634" s="52"/>
      <c r="N634" s="52"/>
      <c r="O634" s="52"/>
      <c r="P634" s="52"/>
      <c r="Q634" s="52"/>
      <c r="U634" s="52"/>
    </row>
    <row r="635">
      <c r="M635" s="52"/>
      <c r="N635" s="52"/>
      <c r="O635" s="52"/>
      <c r="P635" s="52"/>
      <c r="Q635" s="52"/>
      <c r="U635" s="52"/>
    </row>
    <row r="636">
      <c r="M636" s="52"/>
      <c r="N636" s="52"/>
      <c r="O636" s="52"/>
      <c r="P636" s="52"/>
      <c r="Q636" s="52"/>
      <c r="U636" s="52"/>
    </row>
    <row r="637">
      <c r="M637" s="52"/>
      <c r="N637" s="52"/>
      <c r="O637" s="52"/>
      <c r="P637" s="52"/>
      <c r="Q637" s="52"/>
      <c r="U637" s="52"/>
    </row>
    <row r="638">
      <c r="M638" s="52"/>
      <c r="N638" s="52"/>
      <c r="O638" s="52"/>
      <c r="P638" s="52"/>
      <c r="Q638" s="52"/>
      <c r="U638" s="52"/>
    </row>
    <row r="639">
      <c r="M639" s="52"/>
      <c r="N639" s="52"/>
      <c r="O639" s="52"/>
      <c r="P639" s="52"/>
      <c r="Q639" s="52"/>
      <c r="U639" s="52"/>
    </row>
    <row r="640">
      <c r="M640" s="52"/>
      <c r="N640" s="52"/>
      <c r="O640" s="52"/>
      <c r="P640" s="52"/>
      <c r="Q640" s="52"/>
      <c r="U640" s="52"/>
    </row>
    <row r="641">
      <c r="M641" s="52"/>
      <c r="N641" s="52"/>
      <c r="O641" s="52"/>
      <c r="P641" s="52"/>
      <c r="Q641" s="52"/>
      <c r="U641" s="52"/>
    </row>
    <row r="642">
      <c r="M642" s="52"/>
      <c r="N642" s="52"/>
      <c r="O642" s="52"/>
      <c r="P642" s="52"/>
      <c r="Q642" s="52"/>
      <c r="U642" s="52"/>
    </row>
    <row r="643">
      <c r="M643" s="52"/>
      <c r="N643" s="52"/>
      <c r="O643" s="52"/>
      <c r="P643" s="52"/>
      <c r="Q643" s="52"/>
      <c r="U643" s="52"/>
    </row>
    <row r="644">
      <c r="M644" s="52"/>
      <c r="N644" s="52"/>
      <c r="O644" s="52"/>
      <c r="P644" s="52"/>
      <c r="Q644" s="52"/>
      <c r="U644" s="52"/>
    </row>
    <row r="645">
      <c r="M645" s="52"/>
      <c r="N645" s="52"/>
      <c r="O645" s="52"/>
      <c r="P645" s="52"/>
      <c r="Q645" s="52"/>
      <c r="U645" s="52"/>
    </row>
    <row r="646">
      <c r="M646" s="52"/>
      <c r="N646" s="52"/>
      <c r="O646" s="52"/>
      <c r="P646" s="52"/>
      <c r="Q646" s="52"/>
      <c r="U646" s="52"/>
    </row>
    <row r="647">
      <c r="M647" s="52"/>
      <c r="N647" s="52"/>
      <c r="O647" s="52"/>
      <c r="P647" s="52"/>
      <c r="Q647" s="52"/>
      <c r="U647" s="52"/>
    </row>
    <row r="648">
      <c r="M648" s="52"/>
      <c r="N648" s="52"/>
      <c r="O648" s="52"/>
      <c r="P648" s="52"/>
      <c r="Q648" s="52"/>
      <c r="U648" s="52"/>
    </row>
    <row r="649">
      <c r="M649" s="52"/>
      <c r="N649" s="52"/>
      <c r="O649" s="52"/>
      <c r="P649" s="52"/>
      <c r="Q649" s="52"/>
      <c r="U649" s="52"/>
    </row>
    <row r="650">
      <c r="M650" s="52"/>
      <c r="N650" s="52"/>
      <c r="O650" s="52"/>
      <c r="P650" s="52"/>
      <c r="Q650" s="52"/>
      <c r="U650" s="52"/>
    </row>
    <row r="651">
      <c r="M651" s="52"/>
      <c r="N651" s="52"/>
      <c r="O651" s="52"/>
      <c r="P651" s="52"/>
      <c r="Q651" s="52"/>
      <c r="U651" s="52"/>
    </row>
    <row r="652">
      <c r="M652" s="52"/>
      <c r="N652" s="52"/>
      <c r="O652" s="52"/>
      <c r="P652" s="52"/>
      <c r="Q652" s="52"/>
      <c r="U652" s="52"/>
    </row>
    <row r="653">
      <c r="M653" s="52"/>
      <c r="N653" s="52"/>
      <c r="O653" s="52"/>
      <c r="P653" s="52"/>
      <c r="Q653" s="52"/>
      <c r="U653" s="52"/>
    </row>
    <row r="654">
      <c r="M654" s="52"/>
      <c r="N654" s="52"/>
      <c r="O654" s="52"/>
      <c r="P654" s="52"/>
      <c r="Q654" s="52"/>
      <c r="U654" s="52"/>
    </row>
    <row r="655">
      <c r="M655" s="52"/>
      <c r="N655" s="52"/>
      <c r="O655" s="52"/>
      <c r="P655" s="52"/>
      <c r="Q655" s="52"/>
      <c r="U655" s="52"/>
    </row>
    <row r="656">
      <c r="M656" s="52"/>
      <c r="N656" s="52"/>
      <c r="O656" s="52"/>
      <c r="P656" s="52"/>
      <c r="Q656" s="52"/>
      <c r="U656" s="52"/>
    </row>
    <row r="657">
      <c r="M657" s="52"/>
      <c r="N657" s="52"/>
      <c r="O657" s="52"/>
      <c r="P657" s="52"/>
      <c r="Q657" s="52"/>
      <c r="U657" s="52"/>
    </row>
    <row r="658">
      <c r="M658" s="52"/>
      <c r="N658" s="52"/>
      <c r="O658" s="52"/>
      <c r="P658" s="52"/>
      <c r="Q658" s="52"/>
      <c r="U658" s="52"/>
    </row>
    <row r="659">
      <c r="M659" s="52"/>
      <c r="N659" s="52"/>
      <c r="O659" s="52"/>
      <c r="P659" s="52"/>
      <c r="Q659" s="52"/>
      <c r="U659" s="52"/>
    </row>
    <row r="660">
      <c r="M660" s="52"/>
      <c r="N660" s="52"/>
      <c r="O660" s="52"/>
      <c r="P660" s="52"/>
      <c r="Q660" s="52"/>
      <c r="U660" s="52"/>
    </row>
    <row r="661">
      <c r="M661" s="52"/>
      <c r="N661" s="52"/>
      <c r="O661" s="52"/>
      <c r="P661" s="52"/>
      <c r="Q661" s="52"/>
      <c r="U661" s="52"/>
    </row>
    <row r="662">
      <c r="M662" s="52"/>
      <c r="N662" s="52"/>
      <c r="O662" s="52"/>
      <c r="P662" s="52"/>
      <c r="Q662" s="52"/>
      <c r="U662" s="52"/>
    </row>
    <row r="663">
      <c r="M663" s="52"/>
      <c r="N663" s="52"/>
      <c r="O663" s="52"/>
      <c r="P663" s="52"/>
      <c r="Q663" s="52"/>
      <c r="U663" s="52"/>
    </row>
    <row r="664">
      <c r="M664" s="52"/>
      <c r="N664" s="52"/>
      <c r="O664" s="52"/>
      <c r="P664" s="52"/>
      <c r="Q664" s="52"/>
      <c r="U664" s="52"/>
    </row>
    <row r="665">
      <c r="M665" s="52"/>
      <c r="N665" s="52"/>
      <c r="O665" s="52"/>
      <c r="P665" s="52"/>
      <c r="Q665" s="52"/>
      <c r="U665" s="52"/>
    </row>
    <row r="666">
      <c r="M666" s="52"/>
      <c r="N666" s="52"/>
      <c r="O666" s="52"/>
      <c r="P666" s="52"/>
      <c r="Q666" s="52"/>
      <c r="U666" s="52"/>
    </row>
    <row r="667">
      <c r="M667" s="52"/>
      <c r="N667" s="52"/>
      <c r="O667" s="52"/>
      <c r="P667" s="52"/>
      <c r="Q667" s="52"/>
      <c r="U667" s="52"/>
    </row>
    <row r="668">
      <c r="M668" s="52"/>
      <c r="N668" s="52"/>
      <c r="O668" s="52"/>
      <c r="P668" s="52"/>
      <c r="Q668" s="52"/>
      <c r="U668" s="52"/>
    </row>
    <row r="669">
      <c r="M669" s="52"/>
      <c r="N669" s="52"/>
      <c r="O669" s="52"/>
      <c r="P669" s="52"/>
      <c r="Q669" s="52"/>
      <c r="U669" s="52"/>
    </row>
    <row r="670">
      <c r="M670" s="52"/>
      <c r="N670" s="52"/>
      <c r="O670" s="52"/>
      <c r="P670" s="52"/>
      <c r="Q670" s="52"/>
      <c r="U670" s="52"/>
    </row>
    <row r="671">
      <c r="M671" s="52"/>
      <c r="N671" s="52"/>
      <c r="O671" s="52"/>
      <c r="P671" s="52"/>
      <c r="Q671" s="52"/>
      <c r="U671" s="52"/>
    </row>
    <row r="672">
      <c r="M672" s="52"/>
      <c r="N672" s="52"/>
      <c r="O672" s="52"/>
      <c r="P672" s="52"/>
      <c r="Q672" s="52"/>
      <c r="U672" s="52"/>
    </row>
    <row r="673">
      <c r="M673" s="52"/>
      <c r="N673" s="52"/>
      <c r="O673" s="52"/>
      <c r="P673" s="52"/>
      <c r="Q673" s="52"/>
      <c r="U673" s="52"/>
    </row>
    <row r="674">
      <c r="M674" s="52"/>
      <c r="N674" s="52"/>
      <c r="O674" s="52"/>
      <c r="P674" s="52"/>
      <c r="Q674" s="52"/>
      <c r="U674" s="52"/>
    </row>
    <row r="675">
      <c r="M675" s="52"/>
      <c r="N675" s="52"/>
      <c r="O675" s="52"/>
      <c r="P675" s="52"/>
      <c r="Q675" s="52"/>
      <c r="U675" s="52"/>
    </row>
    <row r="676">
      <c r="M676" s="52"/>
      <c r="N676" s="52"/>
      <c r="O676" s="52"/>
      <c r="P676" s="52"/>
      <c r="Q676" s="52"/>
      <c r="U676" s="52"/>
    </row>
    <row r="677">
      <c r="M677" s="52"/>
      <c r="N677" s="52"/>
      <c r="O677" s="52"/>
      <c r="P677" s="52"/>
      <c r="Q677" s="52"/>
      <c r="U677" s="52"/>
    </row>
    <row r="678">
      <c r="M678" s="52"/>
      <c r="N678" s="52"/>
      <c r="O678" s="52"/>
      <c r="P678" s="52"/>
      <c r="Q678" s="52"/>
      <c r="U678" s="52"/>
    </row>
    <row r="679">
      <c r="M679" s="52"/>
      <c r="N679" s="52"/>
      <c r="O679" s="52"/>
      <c r="P679" s="52"/>
      <c r="Q679" s="52"/>
      <c r="U679" s="52"/>
    </row>
    <row r="680">
      <c r="M680" s="52"/>
      <c r="N680" s="52"/>
      <c r="O680" s="52"/>
      <c r="P680" s="52"/>
      <c r="Q680" s="52"/>
      <c r="U680" s="52"/>
    </row>
    <row r="681">
      <c r="M681" s="52"/>
      <c r="N681" s="52"/>
      <c r="O681" s="52"/>
      <c r="P681" s="52"/>
      <c r="Q681" s="52"/>
      <c r="U681" s="52"/>
    </row>
    <row r="682">
      <c r="M682" s="52"/>
      <c r="N682" s="52"/>
      <c r="O682" s="52"/>
      <c r="P682" s="52"/>
      <c r="Q682" s="52"/>
      <c r="U682" s="52"/>
    </row>
    <row r="683">
      <c r="M683" s="52"/>
      <c r="N683" s="52"/>
      <c r="O683" s="52"/>
      <c r="P683" s="52"/>
      <c r="Q683" s="52"/>
      <c r="U683" s="52"/>
    </row>
    <row r="684">
      <c r="M684" s="52"/>
      <c r="N684" s="52"/>
      <c r="O684" s="52"/>
      <c r="P684" s="52"/>
      <c r="Q684" s="52"/>
      <c r="U684" s="52"/>
    </row>
    <row r="685">
      <c r="M685" s="52"/>
      <c r="N685" s="52"/>
      <c r="O685" s="52"/>
      <c r="P685" s="52"/>
      <c r="Q685" s="52"/>
      <c r="U685" s="52"/>
    </row>
    <row r="686">
      <c r="M686" s="52"/>
      <c r="N686" s="52"/>
      <c r="O686" s="52"/>
      <c r="P686" s="52"/>
      <c r="Q686" s="52"/>
      <c r="U686" s="52"/>
    </row>
    <row r="687">
      <c r="M687" s="52"/>
      <c r="N687" s="52"/>
      <c r="O687" s="52"/>
      <c r="P687" s="52"/>
      <c r="Q687" s="52"/>
      <c r="U687" s="52"/>
    </row>
    <row r="688">
      <c r="M688" s="52"/>
      <c r="N688" s="52"/>
      <c r="O688" s="52"/>
      <c r="P688" s="52"/>
      <c r="Q688" s="52"/>
      <c r="U688" s="52"/>
    </row>
    <row r="689">
      <c r="M689" s="52"/>
      <c r="N689" s="52"/>
      <c r="O689" s="52"/>
      <c r="P689" s="52"/>
      <c r="Q689" s="52"/>
      <c r="U689" s="52"/>
    </row>
    <row r="690">
      <c r="M690" s="52"/>
      <c r="N690" s="52"/>
      <c r="O690" s="52"/>
      <c r="P690" s="52"/>
      <c r="Q690" s="52"/>
      <c r="U690" s="52"/>
    </row>
    <row r="691">
      <c r="M691" s="52"/>
      <c r="N691" s="52"/>
      <c r="O691" s="52"/>
      <c r="P691" s="52"/>
      <c r="Q691" s="52"/>
      <c r="U691" s="52"/>
    </row>
    <row r="692">
      <c r="M692" s="52"/>
      <c r="N692" s="52"/>
      <c r="O692" s="52"/>
      <c r="P692" s="52"/>
      <c r="Q692" s="52"/>
      <c r="U692" s="52"/>
    </row>
    <row r="693">
      <c r="M693" s="52"/>
      <c r="N693" s="52"/>
      <c r="O693" s="52"/>
      <c r="P693" s="52"/>
      <c r="Q693" s="52"/>
      <c r="U693" s="52"/>
    </row>
    <row r="694">
      <c r="M694" s="52"/>
      <c r="N694" s="52"/>
      <c r="O694" s="52"/>
      <c r="P694" s="52"/>
      <c r="Q694" s="52"/>
      <c r="U694" s="52"/>
    </row>
    <row r="695">
      <c r="M695" s="52"/>
      <c r="N695" s="52"/>
      <c r="O695" s="52"/>
      <c r="P695" s="52"/>
      <c r="Q695" s="52"/>
      <c r="U695" s="52"/>
    </row>
    <row r="696">
      <c r="M696" s="52"/>
      <c r="N696" s="52"/>
      <c r="O696" s="52"/>
      <c r="P696" s="52"/>
      <c r="Q696" s="52"/>
      <c r="U696" s="52"/>
    </row>
    <row r="697">
      <c r="M697" s="52"/>
      <c r="N697" s="52"/>
      <c r="O697" s="52"/>
      <c r="P697" s="52"/>
      <c r="Q697" s="52"/>
      <c r="U697" s="52"/>
    </row>
    <row r="698">
      <c r="M698" s="52"/>
      <c r="N698" s="52"/>
      <c r="O698" s="52"/>
      <c r="P698" s="52"/>
      <c r="Q698" s="52"/>
      <c r="U698" s="52"/>
    </row>
    <row r="699">
      <c r="M699" s="52"/>
      <c r="N699" s="52"/>
      <c r="O699" s="52"/>
      <c r="P699" s="52"/>
      <c r="Q699" s="52"/>
      <c r="U699" s="52"/>
    </row>
    <row r="700">
      <c r="M700" s="52"/>
      <c r="N700" s="52"/>
      <c r="O700" s="52"/>
      <c r="P700" s="52"/>
      <c r="Q700" s="52"/>
      <c r="U700" s="52"/>
    </row>
    <row r="701">
      <c r="M701" s="52"/>
      <c r="N701" s="52"/>
      <c r="O701" s="52"/>
      <c r="P701" s="52"/>
      <c r="Q701" s="52"/>
      <c r="U701" s="52"/>
    </row>
    <row r="702">
      <c r="M702" s="52"/>
      <c r="N702" s="52"/>
      <c r="O702" s="52"/>
      <c r="P702" s="52"/>
      <c r="Q702" s="52"/>
      <c r="U702" s="52"/>
    </row>
    <row r="703">
      <c r="M703" s="52"/>
      <c r="N703" s="52"/>
      <c r="O703" s="52"/>
      <c r="P703" s="52"/>
      <c r="Q703" s="52"/>
      <c r="U703" s="52"/>
    </row>
    <row r="704">
      <c r="M704" s="52"/>
      <c r="N704" s="52"/>
      <c r="O704" s="52"/>
      <c r="P704" s="52"/>
      <c r="Q704" s="52"/>
      <c r="U704" s="52"/>
    </row>
    <row r="705">
      <c r="M705" s="52"/>
      <c r="N705" s="52"/>
      <c r="O705" s="52"/>
      <c r="P705" s="52"/>
      <c r="Q705" s="52"/>
      <c r="U705" s="52"/>
    </row>
    <row r="706">
      <c r="M706" s="52"/>
      <c r="N706" s="52"/>
      <c r="O706" s="52"/>
      <c r="P706" s="52"/>
      <c r="Q706" s="52"/>
      <c r="U706" s="52"/>
    </row>
    <row r="707">
      <c r="M707" s="52"/>
      <c r="N707" s="52"/>
      <c r="O707" s="52"/>
      <c r="P707" s="52"/>
      <c r="Q707" s="52"/>
      <c r="U707" s="52"/>
    </row>
    <row r="708">
      <c r="M708" s="52"/>
      <c r="N708" s="52"/>
      <c r="O708" s="52"/>
      <c r="P708" s="52"/>
      <c r="Q708" s="52"/>
      <c r="U708" s="52"/>
    </row>
    <row r="709">
      <c r="M709" s="52"/>
      <c r="N709" s="52"/>
      <c r="O709" s="52"/>
      <c r="P709" s="52"/>
      <c r="Q709" s="52"/>
      <c r="U709" s="52"/>
    </row>
    <row r="710">
      <c r="M710" s="52"/>
      <c r="N710" s="52"/>
      <c r="O710" s="52"/>
      <c r="P710" s="52"/>
      <c r="Q710" s="52"/>
      <c r="U710" s="52"/>
    </row>
    <row r="711">
      <c r="M711" s="52"/>
      <c r="N711" s="52"/>
      <c r="O711" s="52"/>
      <c r="P711" s="52"/>
      <c r="Q711" s="52"/>
      <c r="U711" s="52"/>
    </row>
    <row r="712">
      <c r="M712" s="52"/>
      <c r="N712" s="52"/>
      <c r="O712" s="52"/>
      <c r="P712" s="52"/>
      <c r="Q712" s="52"/>
      <c r="U712" s="52"/>
    </row>
    <row r="713">
      <c r="M713" s="52"/>
      <c r="N713" s="52"/>
      <c r="O713" s="52"/>
      <c r="P713" s="52"/>
      <c r="Q713" s="52"/>
      <c r="U713" s="52"/>
    </row>
    <row r="714">
      <c r="M714" s="52"/>
      <c r="N714" s="52"/>
      <c r="O714" s="52"/>
      <c r="P714" s="52"/>
      <c r="Q714" s="52"/>
      <c r="U714" s="52"/>
    </row>
    <row r="715">
      <c r="M715" s="52"/>
      <c r="N715" s="52"/>
      <c r="O715" s="52"/>
      <c r="P715" s="52"/>
      <c r="Q715" s="52"/>
      <c r="U715" s="52"/>
    </row>
    <row r="716">
      <c r="M716" s="52"/>
      <c r="N716" s="52"/>
      <c r="O716" s="52"/>
      <c r="P716" s="52"/>
      <c r="Q716" s="52"/>
      <c r="U716" s="52"/>
    </row>
    <row r="717">
      <c r="M717" s="52"/>
      <c r="N717" s="52"/>
      <c r="O717" s="52"/>
      <c r="P717" s="52"/>
      <c r="Q717" s="52"/>
      <c r="U717" s="52"/>
    </row>
    <row r="718">
      <c r="M718" s="52"/>
      <c r="N718" s="52"/>
      <c r="O718" s="52"/>
      <c r="P718" s="52"/>
      <c r="Q718" s="52"/>
      <c r="U718" s="52"/>
    </row>
    <row r="719">
      <c r="M719" s="52"/>
      <c r="N719" s="52"/>
      <c r="O719" s="52"/>
      <c r="P719" s="52"/>
      <c r="Q719" s="52"/>
      <c r="U719" s="52"/>
    </row>
    <row r="720">
      <c r="M720" s="52"/>
      <c r="N720" s="52"/>
      <c r="O720" s="52"/>
      <c r="P720" s="52"/>
      <c r="Q720" s="52"/>
      <c r="U720" s="52"/>
    </row>
    <row r="721">
      <c r="M721" s="52"/>
      <c r="N721" s="52"/>
      <c r="O721" s="52"/>
      <c r="P721" s="52"/>
      <c r="Q721" s="52"/>
      <c r="U721" s="52"/>
    </row>
    <row r="722">
      <c r="M722" s="52"/>
      <c r="N722" s="52"/>
      <c r="O722" s="52"/>
      <c r="P722" s="52"/>
      <c r="Q722" s="52"/>
      <c r="U722" s="52"/>
    </row>
    <row r="723">
      <c r="M723" s="52"/>
      <c r="N723" s="52"/>
      <c r="O723" s="52"/>
      <c r="P723" s="52"/>
      <c r="Q723" s="52"/>
      <c r="U723" s="52"/>
    </row>
    <row r="724">
      <c r="M724" s="52"/>
      <c r="N724" s="52"/>
      <c r="O724" s="52"/>
      <c r="P724" s="52"/>
      <c r="Q724" s="52"/>
      <c r="U724" s="52"/>
    </row>
    <row r="725">
      <c r="M725" s="52"/>
      <c r="N725" s="52"/>
      <c r="O725" s="52"/>
      <c r="P725" s="52"/>
      <c r="Q725" s="52"/>
      <c r="U725" s="52"/>
    </row>
    <row r="726">
      <c r="M726" s="52"/>
      <c r="N726" s="52"/>
      <c r="O726" s="52"/>
      <c r="P726" s="52"/>
      <c r="Q726" s="52"/>
      <c r="U726" s="52"/>
    </row>
    <row r="727">
      <c r="M727" s="52"/>
      <c r="N727" s="52"/>
      <c r="O727" s="52"/>
      <c r="P727" s="52"/>
      <c r="Q727" s="52"/>
      <c r="U727" s="52"/>
    </row>
    <row r="728">
      <c r="M728" s="52"/>
      <c r="N728" s="52"/>
      <c r="O728" s="52"/>
      <c r="P728" s="52"/>
      <c r="Q728" s="52"/>
      <c r="U728" s="52"/>
    </row>
    <row r="729">
      <c r="M729" s="52"/>
      <c r="N729" s="52"/>
      <c r="O729" s="52"/>
      <c r="P729" s="52"/>
      <c r="Q729" s="52"/>
      <c r="U729" s="52"/>
    </row>
    <row r="730">
      <c r="M730" s="52"/>
      <c r="N730" s="52"/>
      <c r="O730" s="52"/>
      <c r="P730" s="52"/>
      <c r="Q730" s="52"/>
      <c r="U730" s="52"/>
    </row>
    <row r="731">
      <c r="M731" s="52"/>
      <c r="N731" s="52"/>
      <c r="O731" s="52"/>
      <c r="P731" s="52"/>
      <c r="Q731" s="52"/>
      <c r="U731" s="52"/>
    </row>
    <row r="732">
      <c r="M732" s="52"/>
      <c r="N732" s="52"/>
      <c r="O732" s="52"/>
      <c r="P732" s="52"/>
      <c r="Q732" s="52"/>
      <c r="U732" s="52"/>
    </row>
    <row r="733">
      <c r="M733" s="52"/>
      <c r="N733" s="52"/>
      <c r="O733" s="52"/>
      <c r="P733" s="52"/>
      <c r="Q733" s="52"/>
      <c r="U733" s="52"/>
    </row>
    <row r="734">
      <c r="M734" s="52"/>
      <c r="N734" s="52"/>
      <c r="O734" s="52"/>
      <c r="P734" s="52"/>
      <c r="Q734" s="52"/>
      <c r="U734" s="52"/>
    </row>
    <row r="735">
      <c r="M735" s="52"/>
      <c r="N735" s="52"/>
      <c r="O735" s="52"/>
      <c r="P735" s="52"/>
      <c r="Q735" s="52"/>
      <c r="U735" s="52"/>
    </row>
    <row r="736">
      <c r="M736" s="52"/>
      <c r="N736" s="52"/>
      <c r="O736" s="52"/>
      <c r="P736" s="52"/>
      <c r="Q736" s="52"/>
      <c r="U736" s="52"/>
    </row>
    <row r="737">
      <c r="M737" s="52"/>
      <c r="N737" s="52"/>
      <c r="O737" s="52"/>
      <c r="P737" s="52"/>
      <c r="Q737" s="52"/>
      <c r="U737" s="52"/>
    </row>
    <row r="738">
      <c r="M738" s="52"/>
      <c r="N738" s="52"/>
      <c r="O738" s="52"/>
      <c r="P738" s="52"/>
      <c r="Q738" s="52"/>
      <c r="U738" s="52"/>
    </row>
    <row r="739">
      <c r="M739" s="52"/>
      <c r="N739" s="52"/>
      <c r="O739" s="52"/>
      <c r="P739" s="52"/>
      <c r="Q739" s="52"/>
      <c r="U739" s="52"/>
    </row>
    <row r="740">
      <c r="M740" s="52"/>
      <c r="N740" s="52"/>
      <c r="O740" s="52"/>
      <c r="P740" s="52"/>
      <c r="Q740" s="52"/>
      <c r="U740" s="52"/>
    </row>
    <row r="741">
      <c r="M741" s="52"/>
      <c r="N741" s="52"/>
      <c r="O741" s="52"/>
      <c r="P741" s="52"/>
      <c r="Q741" s="52"/>
      <c r="U741" s="52"/>
    </row>
    <row r="742">
      <c r="M742" s="52"/>
      <c r="N742" s="52"/>
      <c r="O742" s="52"/>
      <c r="P742" s="52"/>
      <c r="Q742" s="52"/>
      <c r="U742" s="52"/>
    </row>
    <row r="743">
      <c r="M743" s="52"/>
      <c r="N743" s="52"/>
      <c r="O743" s="52"/>
      <c r="P743" s="52"/>
      <c r="Q743" s="52"/>
      <c r="U743" s="52"/>
    </row>
    <row r="744">
      <c r="M744" s="52"/>
      <c r="N744" s="52"/>
      <c r="O744" s="52"/>
      <c r="P744" s="52"/>
      <c r="Q744" s="52"/>
      <c r="U744" s="52"/>
    </row>
    <row r="745">
      <c r="M745" s="52"/>
      <c r="N745" s="52"/>
      <c r="O745" s="52"/>
      <c r="P745" s="52"/>
      <c r="Q745" s="52"/>
      <c r="U745" s="52"/>
    </row>
    <row r="746">
      <c r="M746" s="52"/>
      <c r="N746" s="52"/>
      <c r="O746" s="52"/>
      <c r="P746" s="52"/>
      <c r="Q746" s="52"/>
      <c r="U746" s="52"/>
    </row>
    <row r="747">
      <c r="M747" s="52"/>
      <c r="N747" s="52"/>
      <c r="O747" s="52"/>
      <c r="P747" s="52"/>
      <c r="Q747" s="52"/>
      <c r="U747" s="52"/>
    </row>
    <row r="748">
      <c r="M748" s="52"/>
      <c r="N748" s="52"/>
      <c r="O748" s="52"/>
      <c r="P748" s="52"/>
      <c r="Q748" s="52"/>
      <c r="U748" s="52"/>
    </row>
    <row r="749">
      <c r="M749" s="52"/>
      <c r="N749" s="52"/>
      <c r="O749" s="52"/>
      <c r="P749" s="52"/>
      <c r="Q749" s="52"/>
      <c r="U749" s="52"/>
    </row>
    <row r="750">
      <c r="M750" s="52"/>
      <c r="N750" s="52"/>
      <c r="O750" s="52"/>
      <c r="P750" s="52"/>
      <c r="Q750" s="52"/>
      <c r="U750" s="52"/>
    </row>
    <row r="751">
      <c r="M751" s="52"/>
      <c r="N751" s="52"/>
      <c r="O751" s="52"/>
      <c r="P751" s="52"/>
      <c r="Q751" s="52"/>
      <c r="U751" s="52"/>
    </row>
    <row r="752">
      <c r="M752" s="52"/>
      <c r="N752" s="52"/>
      <c r="O752" s="52"/>
      <c r="P752" s="52"/>
      <c r="Q752" s="52"/>
      <c r="U752" s="52"/>
    </row>
    <row r="753">
      <c r="M753" s="52"/>
      <c r="N753" s="52"/>
      <c r="O753" s="52"/>
      <c r="P753" s="52"/>
      <c r="Q753" s="52"/>
      <c r="U753" s="52"/>
    </row>
    <row r="754">
      <c r="M754" s="52"/>
      <c r="N754" s="52"/>
      <c r="O754" s="52"/>
      <c r="P754" s="52"/>
      <c r="Q754" s="52"/>
      <c r="U754" s="52"/>
    </row>
    <row r="755">
      <c r="M755" s="52"/>
      <c r="N755" s="52"/>
      <c r="O755" s="52"/>
      <c r="P755" s="52"/>
      <c r="Q755" s="52"/>
      <c r="U755" s="52"/>
    </row>
    <row r="756">
      <c r="M756" s="52"/>
      <c r="N756" s="52"/>
      <c r="O756" s="52"/>
      <c r="P756" s="52"/>
      <c r="Q756" s="52"/>
      <c r="U756" s="52"/>
    </row>
    <row r="757">
      <c r="M757" s="52"/>
      <c r="N757" s="52"/>
      <c r="O757" s="52"/>
      <c r="P757" s="52"/>
      <c r="Q757" s="52"/>
      <c r="U757" s="52"/>
    </row>
    <row r="758">
      <c r="M758" s="52"/>
      <c r="N758" s="52"/>
      <c r="O758" s="52"/>
      <c r="P758" s="52"/>
      <c r="Q758" s="52"/>
      <c r="U758" s="52"/>
    </row>
    <row r="759">
      <c r="M759" s="52"/>
      <c r="N759" s="52"/>
      <c r="O759" s="52"/>
      <c r="P759" s="52"/>
      <c r="Q759" s="52"/>
      <c r="U759" s="52"/>
    </row>
    <row r="760">
      <c r="M760" s="52"/>
      <c r="N760" s="52"/>
      <c r="O760" s="52"/>
      <c r="P760" s="52"/>
      <c r="Q760" s="52"/>
      <c r="U760" s="52"/>
    </row>
    <row r="761">
      <c r="M761" s="52"/>
      <c r="N761" s="52"/>
      <c r="O761" s="52"/>
      <c r="P761" s="52"/>
      <c r="Q761" s="52"/>
      <c r="U761" s="52"/>
    </row>
    <row r="762">
      <c r="M762" s="52"/>
      <c r="N762" s="52"/>
      <c r="O762" s="52"/>
      <c r="P762" s="52"/>
      <c r="Q762" s="52"/>
      <c r="U762" s="52"/>
    </row>
    <row r="763">
      <c r="M763" s="52"/>
      <c r="N763" s="52"/>
      <c r="O763" s="52"/>
      <c r="P763" s="52"/>
      <c r="Q763" s="52"/>
      <c r="U763" s="52"/>
    </row>
    <row r="764">
      <c r="M764" s="52"/>
      <c r="N764" s="52"/>
      <c r="O764" s="52"/>
      <c r="P764" s="52"/>
      <c r="Q764" s="52"/>
      <c r="U764" s="52"/>
    </row>
    <row r="765">
      <c r="M765" s="52"/>
      <c r="N765" s="52"/>
      <c r="O765" s="52"/>
      <c r="P765" s="52"/>
      <c r="Q765" s="52"/>
      <c r="U765" s="52"/>
    </row>
    <row r="766">
      <c r="M766" s="52"/>
      <c r="N766" s="52"/>
      <c r="O766" s="52"/>
      <c r="P766" s="52"/>
      <c r="Q766" s="52"/>
      <c r="U766" s="52"/>
    </row>
    <row r="767">
      <c r="M767" s="52"/>
      <c r="N767" s="52"/>
      <c r="O767" s="52"/>
      <c r="P767" s="52"/>
      <c r="Q767" s="52"/>
      <c r="U767" s="52"/>
    </row>
    <row r="768">
      <c r="M768" s="52"/>
      <c r="N768" s="52"/>
      <c r="O768" s="52"/>
      <c r="P768" s="52"/>
      <c r="Q768" s="52"/>
      <c r="U768" s="52"/>
    </row>
    <row r="769">
      <c r="M769" s="52"/>
      <c r="N769" s="52"/>
      <c r="O769" s="52"/>
      <c r="P769" s="52"/>
      <c r="Q769" s="52"/>
      <c r="U769" s="52"/>
    </row>
    <row r="770">
      <c r="M770" s="52"/>
      <c r="N770" s="52"/>
      <c r="O770" s="52"/>
      <c r="P770" s="52"/>
      <c r="Q770" s="52"/>
      <c r="U770" s="52"/>
    </row>
    <row r="771">
      <c r="M771" s="52"/>
      <c r="N771" s="52"/>
      <c r="O771" s="52"/>
      <c r="P771" s="52"/>
      <c r="Q771" s="52"/>
      <c r="U771" s="52"/>
    </row>
    <row r="772">
      <c r="M772" s="52"/>
      <c r="N772" s="52"/>
      <c r="O772" s="52"/>
      <c r="P772" s="52"/>
      <c r="Q772" s="52"/>
      <c r="U772" s="52"/>
    </row>
    <row r="773">
      <c r="M773" s="52"/>
      <c r="N773" s="52"/>
      <c r="O773" s="52"/>
      <c r="P773" s="52"/>
      <c r="Q773" s="52"/>
      <c r="U773" s="52"/>
    </row>
    <row r="774">
      <c r="M774" s="52"/>
      <c r="N774" s="52"/>
      <c r="O774" s="52"/>
      <c r="P774" s="52"/>
      <c r="Q774" s="52"/>
      <c r="U774" s="52"/>
    </row>
    <row r="775">
      <c r="M775" s="52"/>
      <c r="N775" s="52"/>
      <c r="O775" s="52"/>
      <c r="P775" s="52"/>
      <c r="Q775" s="52"/>
      <c r="U775" s="52"/>
    </row>
    <row r="776">
      <c r="M776" s="52"/>
      <c r="N776" s="52"/>
      <c r="O776" s="52"/>
      <c r="P776" s="52"/>
      <c r="Q776" s="52"/>
      <c r="U776" s="52"/>
    </row>
    <row r="777">
      <c r="M777" s="52"/>
      <c r="N777" s="52"/>
      <c r="O777" s="52"/>
      <c r="P777" s="52"/>
      <c r="Q777" s="52"/>
      <c r="U777" s="52"/>
    </row>
    <row r="778">
      <c r="M778" s="52"/>
      <c r="N778" s="52"/>
      <c r="O778" s="52"/>
      <c r="P778" s="52"/>
      <c r="Q778" s="52"/>
      <c r="U778" s="52"/>
    </row>
    <row r="779">
      <c r="M779" s="52"/>
      <c r="N779" s="52"/>
      <c r="O779" s="52"/>
      <c r="P779" s="52"/>
      <c r="Q779" s="52"/>
      <c r="U779" s="52"/>
    </row>
    <row r="780">
      <c r="M780" s="52"/>
      <c r="N780" s="52"/>
      <c r="O780" s="52"/>
      <c r="P780" s="52"/>
      <c r="Q780" s="52"/>
      <c r="U780" s="52"/>
    </row>
    <row r="781">
      <c r="M781" s="52"/>
      <c r="N781" s="52"/>
      <c r="O781" s="52"/>
      <c r="P781" s="52"/>
      <c r="Q781" s="52"/>
      <c r="U781" s="52"/>
    </row>
    <row r="782">
      <c r="M782" s="52"/>
      <c r="N782" s="52"/>
      <c r="O782" s="52"/>
      <c r="P782" s="52"/>
      <c r="Q782" s="52"/>
      <c r="U782" s="52"/>
    </row>
    <row r="783">
      <c r="M783" s="52"/>
      <c r="N783" s="52"/>
      <c r="O783" s="52"/>
      <c r="P783" s="52"/>
      <c r="Q783" s="52"/>
      <c r="U783" s="52"/>
    </row>
    <row r="784">
      <c r="M784" s="52"/>
      <c r="N784" s="52"/>
      <c r="O784" s="52"/>
      <c r="P784" s="52"/>
      <c r="Q784" s="52"/>
      <c r="U784" s="52"/>
    </row>
    <row r="785">
      <c r="M785" s="52"/>
      <c r="N785" s="52"/>
      <c r="O785" s="52"/>
      <c r="P785" s="52"/>
      <c r="Q785" s="52"/>
      <c r="U785" s="52"/>
    </row>
    <row r="786">
      <c r="M786" s="52"/>
      <c r="N786" s="52"/>
      <c r="O786" s="52"/>
      <c r="P786" s="52"/>
      <c r="Q786" s="52"/>
      <c r="U786" s="52"/>
    </row>
    <row r="787">
      <c r="M787" s="52"/>
      <c r="N787" s="52"/>
      <c r="O787" s="52"/>
      <c r="P787" s="52"/>
      <c r="Q787" s="52"/>
      <c r="U787" s="52"/>
    </row>
    <row r="788">
      <c r="M788" s="52"/>
      <c r="N788" s="52"/>
      <c r="O788" s="52"/>
      <c r="P788" s="52"/>
      <c r="Q788" s="52"/>
      <c r="U788" s="52"/>
    </row>
    <row r="789">
      <c r="M789" s="52"/>
      <c r="N789" s="52"/>
      <c r="O789" s="52"/>
      <c r="P789" s="52"/>
      <c r="Q789" s="52"/>
      <c r="U789" s="52"/>
    </row>
    <row r="790">
      <c r="M790" s="52"/>
      <c r="N790" s="52"/>
      <c r="O790" s="52"/>
      <c r="P790" s="52"/>
      <c r="Q790" s="52"/>
      <c r="U790" s="52"/>
    </row>
    <row r="791">
      <c r="M791" s="52"/>
      <c r="N791" s="52"/>
      <c r="O791" s="52"/>
      <c r="P791" s="52"/>
      <c r="Q791" s="52"/>
      <c r="U791" s="52"/>
    </row>
    <row r="792">
      <c r="M792" s="52"/>
      <c r="N792" s="52"/>
      <c r="O792" s="52"/>
      <c r="P792" s="52"/>
      <c r="Q792" s="52"/>
      <c r="U792" s="52"/>
    </row>
    <row r="793">
      <c r="M793" s="52"/>
      <c r="N793" s="52"/>
      <c r="O793" s="52"/>
      <c r="P793" s="52"/>
      <c r="Q793" s="52"/>
      <c r="U793" s="52"/>
    </row>
    <row r="794">
      <c r="M794" s="52"/>
      <c r="N794" s="52"/>
      <c r="O794" s="52"/>
      <c r="P794" s="52"/>
      <c r="Q794" s="52"/>
      <c r="U794" s="52"/>
    </row>
    <row r="795">
      <c r="M795" s="52"/>
      <c r="N795" s="52"/>
      <c r="O795" s="52"/>
      <c r="P795" s="52"/>
      <c r="Q795" s="52"/>
      <c r="U795" s="52"/>
    </row>
    <row r="796">
      <c r="M796" s="52"/>
      <c r="N796" s="52"/>
      <c r="O796" s="52"/>
      <c r="P796" s="52"/>
      <c r="Q796" s="52"/>
      <c r="U796" s="52"/>
    </row>
    <row r="797">
      <c r="M797" s="52"/>
      <c r="N797" s="52"/>
      <c r="O797" s="52"/>
      <c r="P797" s="52"/>
      <c r="Q797" s="52"/>
      <c r="U797" s="52"/>
    </row>
    <row r="798">
      <c r="M798" s="52"/>
      <c r="N798" s="52"/>
      <c r="O798" s="52"/>
      <c r="P798" s="52"/>
      <c r="Q798" s="52"/>
      <c r="U798" s="52"/>
    </row>
    <row r="799">
      <c r="M799" s="52"/>
      <c r="N799" s="52"/>
      <c r="O799" s="52"/>
      <c r="P799" s="52"/>
      <c r="Q799" s="52"/>
      <c r="U799" s="52"/>
    </row>
    <row r="800">
      <c r="M800" s="52"/>
      <c r="N800" s="52"/>
      <c r="O800" s="52"/>
      <c r="P800" s="52"/>
      <c r="Q800" s="52"/>
      <c r="U800" s="52"/>
    </row>
    <row r="801">
      <c r="M801" s="52"/>
      <c r="N801" s="52"/>
      <c r="O801" s="52"/>
      <c r="P801" s="52"/>
      <c r="Q801" s="52"/>
      <c r="U801" s="52"/>
    </row>
    <row r="802">
      <c r="M802" s="52"/>
      <c r="N802" s="52"/>
      <c r="O802" s="52"/>
      <c r="P802" s="52"/>
      <c r="Q802" s="52"/>
      <c r="U802" s="52"/>
    </row>
    <row r="803">
      <c r="M803" s="52"/>
      <c r="N803" s="52"/>
      <c r="O803" s="52"/>
      <c r="P803" s="52"/>
      <c r="Q803" s="52"/>
      <c r="U803" s="52"/>
    </row>
    <row r="804">
      <c r="M804" s="52"/>
      <c r="N804" s="52"/>
      <c r="O804" s="52"/>
      <c r="P804" s="52"/>
      <c r="Q804" s="52"/>
      <c r="U804" s="52"/>
    </row>
    <row r="805">
      <c r="M805" s="52"/>
      <c r="N805" s="52"/>
      <c r="O805" s="52"/>
      <c r="P805" s="52"/>
      <c r="Q805" s="52"/>
      <c r="U805" s="52"/>
    </row>
    <row r="806">
      <c r="M806" s="52"/>
      <c r="N806" s="52"/>
      <c r="O806" s="52"/>
      <c r="P806" s="52"/>
      <c r="Q806" s="52"/>
      <c r="U806" s="52"/>
    </row>
    <row r="807">
      <c r="M807" s="52"/>
      <c r="N807" s="52"/>
      <c r="O807" s="52"/>
      <c r="P807" s="52"/>
      <c r="Q807" s="52"/>
      <c r="U807" s="52"/>
    </row>
    <row r="808">
      <c r="M808" s="52"/>
      <c r="N808" s="52"/>
      <c r="O808" s="52"/>
      <c r="P808" s="52"/>
      <c r="Q808" s="52"/>
      <c r="U808" s="52"/>
    </row>
    <row r="809">
      <c r="M809" s="52"/>
      <c r="N809" s="52"/>
      <c r="O809" s="52"/>
      <c r="P809" s="52"/>
      <c r="Q809" s="52"/>
      <c r="U809" s="52"/>
    </row>
    <row r="810">
      <c r="M810" s="52"/>
      <c r="N810" s="52"/>
      <c r="O810" s="52"/>
      <c r="P810" s="52"/>
      <c r="Q810" s="52"/>
      <c r="U810" s="52"/>
    </row>
    <row r="811">
      <c r="M811" s="52"/>
      <c r="N811" s="52"/>
      <c r="O811" s="52"/>
      <c r="P811" s="52"/>
      <c r="Q811" s="52"/>
      <c r="U811" s="52"/>
    </row>
    <row r="812">
      <c r="M812" s="52"/>
      <c r="N812" s="52"/>
      <c r="O812" s="52"/>
      <c r="P812" s="52"/>
      <c r="Q812" s="52"/>
      <c r="U812" s="52"/>
    </row>
    <row r="813">
      <c r="M813" s="52"/>
      <c r="N813" s="52"/>
      <c r="O813" s="52"/>
      <c r="P813" s="52"/>
      <c r="Q813" s="52"/>
      <c r="U813" s="52"/>
    </row>
    <row r="814">
      <c r="M814" s="52"/>
      <c r="N814" s="52"/>
      <c r="O814" s="52"/>
      <c r="P814" s="52"/>
      <c r="Q814" s="52"/>
      <c r="U814" s="52"/>
    </row>
    <row r="815">
      <c r="M815" s="52"/>
      <c r="N815" s="52"/>
      <c r="O815" s="52"/>
      <c r="P815" s="52"/>
      <c r="Q815" s="52"/>
      <c r="U815" s="52"/>
    </row>
    <row r="816">
      <c r="M816" s="52"/>
      <c r="N816" s="52"/>
      <c r="O816" s="52"/>
      <c r="P816" s="52"/>
      <c r="Q816" s="52"/>
      <c r="U816" s="52"/>
    </row>
    <row r="817">
      <c r="M817" s="52"/>
      <c r="N817" s="52"/>
      <c r="O817" s="52"/>
      <c r="P817" s="52"/>
      <c r="Q817" s="52"/>
      <c r="U817" s="52"/>
    </row>
    <row r="818">
      <c r="M818" s="52"/>
      <c r="N818" s="52"/>
      <c r="O818" s="52"/>
      <c r="P818" s="52"/>
      <c r="Q818" s="52"/>
      <c r="U818" s="52"/>
    </row>
    <row r="819">
      <c r="M819" s="52"/>
      <c r="N819" s="52"/>
      <c r="O819" s="52"/>
      <c r="P819" s="52"/>
      <c r="Q819" s="52"/>
      <c r="U819" s="52"/>
    </row>
    <row r="820">
      <c r="M820" s="52"/>
      <c r="N820" s="52"/>
      <c r="O820" s="52"/>
      <c r="P820" s="52"/>
      <c r="Q820" s="52"/>
      <c r="U820" s="52"/>
    </row>
    <row r="821">
      <c r="M821" s="52"/>
      <c r="N821" s="52"/>
      <c r="O821" s="52"/>
      <c r="P821" s="52"/>
      <c r="Q821" s="52"/>
      <c r="U821" s="52"/>
    </row>
    <row r="822">
      <c r="M822" s="52"/>
      <c r="N822" s="52"/>
      <c r="O822" s="52"/>
      <c r="P822" s="52"/>
      <c r="Q822" s="52"/>
      <c r="U822" s="52"/>
    </row>
    <row r="823">
      <c r="M823" s="52"/>
      <c r="N823" s="52"/>
      <c r="O823" s="52"/>
      <c r="P823" s="52"/>
      <c r="Q823" s="52"/>
      <c r="U823" s="52"/>
    </row>
    <row r="824">
      <c r="M824" s="52"/>
      <c r="N824" s="52"/>
      <c r="O824" s="52"/>
      <c r="P824" s="52"/>
      <c r="Q824" s="52"/>
      <c r="U824" s="52"/>
    </row>
    <row r="825">
      <c r="M825" s="52"/>
      <c r="N825" s="52"/>
      <c r="O825" s="52"/>
      <c r="P825" s="52"/>
      <c r="Q825" s="52"/>
      <c r="U825" s="52"/>
    </row>
    <row r="826">
      <c r="M826" s="52"/>
      <c r="N826" s="52"/>
      <c r="O826" s="52"/>
      <c r="P826" s="52"/>
      <c r="Q826" s="52"/>
      <c r="U826" s="52"/>
    </row>
    <row r="827">
      <c r="M827" s="52"/>
      <c r="N827" s="52"/>
      <c r="O827" s="52"/>
      <c r="P827" s="52"/>
      <c r="Q827" s="52"/>
      <c r="U827" s="52"/>
    </row>
    <row r="828">
      <c r="M828" s="52"/>
      <c r="N828" s="52"/>
      <c r="O828" s="52"/>
      <c r="P828" s="52"/>
      <c r="Q828" s="52"/>
      <c r="U828" s="52"/>
    </row>
    <row r="829">
      <c r="M829" s="52"/>
      <c r="N829" s="52"/>
      <c r="O829" s="52"/>
      <c r="P829" s="52"/>
      <c r="Q829" s="52"/>
      <c r="U829" s="52"/>
    </row>
    <row r="830">
      <c r="M830" s="52"/>
      <c r="N830" s="52"/>
      <c r="O830" s="52"/>
      <c r="P830" s="52"/>
      <c r="Q830" s="52"/>
      <c r="U830" s="52"/>
    </row>
    <row r="831">
      <c r="M831" s="52"/>
      <c r="N831" s="52"/>
      <c r="O831" s="52"/>
      <c r="P831" s="52"/>
      <c r="Q831" s="52"/>
      <c r="U831" s="52"/>
    </row>
    <row r="832">
      <c r="M832" s="52"/>
      <c r="N832" s="52"/>
      <c r="O832" s="52"/>
      <c r="P832" s="52"/>
      <c r="Q832" s="52"/>
      <c r="U832" s="52"/>
    </row>
    <row r="833">
      <c r="M833" s="52"/>
      <c r="N833" s="52"/>
      <c r="O833" s="52"/>
      <c r="P833" s="52"/>
      <c r="Q833" s="52"/>
      <c r="U833" s="52"/>
    </row>
    <row r="834">
      <c r="M834" s="52"/>
      <c r="N834" s="52"/>
      <c r="O834" s="52"/>
      <c r="P834" s="52"/>
      <c r="Q834" s="52"/>
      <c r="U834" s="52"/>
    </row>
    <row r="835">
      <c r="M835" s="52"/>
      <c r="N835" s="52"/>
      <c r="O835" s="52"/>
      <c r="P835" s="52"/>
      <c r="Q835" s="52"/>
      <c r="U835" s="52"/>
    </row>
    <row r="836">
      <c r="M836" s="52"/>
      <c r="N836" s="52"/>
      <c r="O836" s="52"/>
      <c r="P836" s="52"/>
      <c r="Q836" s="52"/>
      <c r="U836" s="52"/>
    </row>
    <row r="837">
      <c r="M837" s="52"/>
      <c r="N837" s="52"/>
      <c r="O837" s="52"/>
      <c r="P837" s="52"/>
      <c r="Q837" s="52"/>
      <c r="U837" s="52"/>
    </row>
    <row r="838">
      <c r="M838" s="52"/>
      <c r="N838" s="52"/>
      <c r="O838" s="52"/>
      <c r="P838" s="52"/>
      <c r="Q838" s="52"/>
      <c r="U838" s="52"/>
    </row>
    <row r="839">
      <c r="M839" s="52"/>
      <c r="N839" s="52"/>
      <c r="O839" s="52"/>
      <c r="P839" s="52"/>
      <c r="Q839" s="52"/>
      <c r="U839" s="52"/>
    </row>
    <row r="840">
      <c r="M840" s="52"/>
      <c r="N840" s="52"/>
      <c r="O840" s="52"/>
      <c r="P840" s="52"/>
      <c r="Q840" s="52"/>
      <c r="U840" s="52"/>
    </row>
    <row r="841">
      <c r="M841" s="52"/>
      <c r="N841" s="52"/>
      <c r="O841" s="52"/>
      <c r="P841" s="52"/>
      <c r="Q841" s="52"/>
      <c r="U841" s="52"/>
    </row>
    <row r="842">
      <c r="M842" s="52"/>
      <c r="N842" s="52"/>
      <c r="O842" s="52"/>
      <c r="P842" s="52"/>
      <c r="Q842" s="52"/>
      <c r="U842" s="52"/>
    </row>
    <row r="843">
      <c r="M843" s="52"/>
      <c r="N843" s="52"/>
      <c r="O843" s="52"/>
      <c r="P843" s="52"/>
      <c r="Q843" s="52"/>
      <c r="U843" s="52"/>
    </row>
    <row r="844">
      <c r="M844" s="52"/>
      <c r="N844" s="52"/>
      <c r="O844" s="52"/>
      <c r="P844" s="52"/>
      <c r="Q844" s="52"/>
      <c r="U844" s="52"/>
    </row>
    <row r="845">
      <c r="M845" s="52"/>
      <c r="N845" s="52"/>
      <c r="O845" s="52"/>
      <c r="P845" s="52"/>
      <c r="Q845" s="52"/>
      <c r="U845" s="52"/>
    </row>
    <row r="846">
      <c r="M846" s="52"/>
      <c r="N846" s="52"/>
      <c r="O846" s="52"/>
      <c r="P846" s="52"/>
      <c r="Q846" s="52"/>
      <c r="U846" s="52"/>
    </row>
    <row r="847">
      <c r="M847" s="52"/>
      <c r="N847" s="52"/>
      <c r="O847" s="52"/>
      <c r="P847" s="52"/>
      <c r="Q847" s="52"/>
      <c r="U847" s="52"/>
    </row>
    <row r="848">
      <c r="M848" s="52"/>
      <c r="N848" s="52"/>
      <c r="O848" s="52"/>
      <c r="P848" s="52"/>
      <c r="Q848" s="52"/>
      <c r="U848" s="52"/>
    </row>
    <row r="849">
      <c r="M849" s="52"/>
      <c r="N849" s="52"/>
      <c r="O849" s="52"/>
      <c r="P849" s="52"/>
      <c r="Q849" s="52"/>
      <c r="U849" s="52"/>
    </row>
    <row r="850">
      <c r="M850" s="52"/>
      <c r="N850" s="52"/>
      <c r="O850" s="52"/>
      <c r="P850" s="52"/>
      <c r="Q850" s="52"/>
      <c r="U850" s="52"/>
    </row>
    <row r="851">
      <c r="M851" s="52"/>
      <c r="N851" s="52"/>
      <c r="O851" s="52"/>
      <c r="P851" s="52"/>
      <c r="Q851" s="52"/>
      <c r="U851" s="52"/>
    </row>
    <row r="852">
      <c r="M852" s="52"/>
      <c r="N852" s="52"/>
      <c r="O852" s="52"/>
      <c r="P852" s="52"/>
      <c r="Q852" s="52"/>
      <c r="U852" s="52"/>
    </row>
    <row r="853">
      <c r="M853" s="52"/>
      <c r="N853" s="52"/>
      <c r="O853" s="52"/>
      <c r="P853" s="52"/>
      <c r="Q853" s="52"/>
      <c r="U853" s="52"/>
    </row>
    <row r="854">
      <c r="M854" s="52"/>
      <c r="N854" s="52"/>
      <c r="O854" s="52"/>
      <c r="P854" s="52"/>
      <c r="Q854" s="52"/>
      <c r="U854" s="52"/>
    </row>
    <row r="855">
      <c r="M855" s="52"/>
      <c r="N855" s="52"/>
      <c r="O855" s="52"/>
      <c r="P855" s="52"/>
      <c r="Q855" s="52"/>
      <c r="U855" s="52"/>
    </row>
    <row r="856">
      <c r="M856" s="52"/>
      <c r="N856" s="52"/>
      <c r="O856" s="52"/>
      <c r="P856" s="52"/>
      <c r="Q856" s="52"/>
      <c r="U856" s="52"/>
    </row>
    <row r="857">
      <c r="M857" s="52"/>
      <c r="N857" s="52"/>
      <c r="O857" s="52"/>
      <c r="P857" s="52"/>
      <c r="Q857" s="52"/>
      <c r="U857" s="52"/>
    </row>
    <row r="858">
      <c r="M858" s="52"/>
      <c r="N858" s="52"/>
      <c r="O858" s="52"/>
      <c r="P858" s="52"/>
      <c r="Q858" s="52"/>
      <c r="U858" s="52"/>
    </row>
    <row r="859">
      <c r="M859" s="52"/>
      <c r="N859" s="52"/>
      <c r="O859" s="52"/>
      <c r="P859" s="52"/>
      <c r="Q859" s="52"/>
      <c r="U859" s="52"/>
    </row>
    <row r="860">
      <c r="M860" s="52"/>
      <c r="N860" s="52"/>
      <c r="O860" s="52"/>
      <c r="P860" s="52"/>
      <c r="Q860" s="52"/>
      <c r="U860" s="52"/>
    </row>
    <row r="861">
      <c r="M861" s="52"/>
      <c r="N861" s="52"/>
      <c r="O861" s="52"/>
      <c r="P861" s="52"/>
      <c r="Q861" s="52"/>
      <c r="U861" s="52"/>
    </row>
    <row r="862">
      <c r="M862" s="52"/>
      <c r="N862" s="52"/>
      <c r="O862" s="52"/>
      <c r="P862" s="52"/>
      <c r="Q862" s="52"/>
      <c r="U862" s="52"/>
    </row>
    <row r="863">
      <c r="M863" s="52"/>
      <c r="N863" s="52"/>
      <c r="O863" s="52"/>
      <c r="P863" s="52"/>
      <c r="Q863" s="52"/>
      <c r="U863" s="52"/>
    </row>
    <row r="864">
      <c r="M864" s="52"/>
      <c r="N864" s="52"/>
      <c r="O864" s="52"/>
      <c r="P864" s="52"/>
      <c r="Q864" s="52"/>
      <c r="U864" s="52"/>
    </row>
    <row r="865">
      <c r="M865" s="52"/>
      <c r="N865" s="52"/>
      <c r="O865" s="52"/>
      <c r="P865" s="52"/>
      <c r="Q865" s="52"/>
      <c r="U865" s="52"/>
    </row>
    <row r="866">
      <c r="M866" s="52"/>
      <c r="N866" s="52"/>
      <c r="O866" s="52"/>
      <c r="P866" s="52"/>
      <c r="Q866" s="52"/>
      <c r="U866" s="52"/>
    </row>
    <row r="867">
      <c r="M867" s="52"/>
      <c r="N867" s="52"/>
      <c r="O867" s="52"/>
      <c r="P867" s="52"/>
      <c r="Q867" s="52"/>
      <c r="U867" s="52"/>
    </row>
    <row r="868">
      <c r="M868" s="52"/>
      <c r="N868" s="52"/>
      <c r="O868" s="52"/>
      <c r="P868" s="52"/>
      <c r="Q868" s="52"/>
      <c r="U868" s="52"/>
    </row>
    <row r="869">
      <c r="M869" s="52"/>
      <c r="N869" s="52"/>
      <c r="O869" s="52"/>
      <c r="P869" s="52"/>
      <c r="Q869" s="52"/>
      <c r="U869" s="52"/>
    </row>
    <row r="870">
      <c r="M870" s="52"/>
      <c r="N870" s="52"/>
      <c r="O870" s="52"/>
      <c r="P870" s="52"/>
      <c r="Q870" s="52"/>
      <c r="U870" s="52"/>
    </row>
    <row r="871">
      <c r="M871" s="52"/>
      <c r="N871" s="52"/>
      <c r="O871" s="52"/>
      <c r="P871" s="52"/>
      <c r="Q871" s="52"/>
      <c r="U871" s="52"/>
    </row>
    <row r="872">
      <c r="M872" s="52"/>
      <c r="N872" s="52"/>
      <c r="O872" s="52"/>
      <c r="P872" s="52"/>
      <c r="Q872" s="52"/>
      <c r="U872" s="52"/>
    </row>
    <row r="873">
      <c r="M873" s="52"/>
      <c r="N873" s="52"/>
      <c r="O873" s="52"/>
      <c r="P873" s="52"/>
      <c r="Q873" s="52"/>
      <c r="U873" s="52"/>
    </row>
    <row r="874">
      <c r="M874" s="52"/>
      <c r="N874" s="52"/>
      <c r="O874" s="52"/>
      <c r="P874" s="52"/>
      <c r="Q874" s="52"/>
      <c r="U874" s="52"/>
    </row>
    <row r="875">
      <c r="M875" s="52"/>
      <c r="N875" s="52"/>
      <c r="O875" s="52"/>
      <c r="P875" s="52"/>
      <c r="Q875" s="52"/>
      <c r="U875" s="52"/>
    </row>
    <row r="876">
      <c r="M876" s="52"/>
      <c r="N876" s="52"/>
      <c r="O876" s="52"/>
      <c r="P876" s="52"/>
      <c r="Q876" s="52"/>
      <c r="U876" s="52"/>
    </row>
    <row r="877">
      <c r="M877" s="52"/>
      <c r="N877" s="52"/>
      <c r="O877" s="52"/>
      <c r="P877" s="52"/>
      <c r="Q877" s="52"/>
      <c r="U877" s="52"/>
    </row>
    <row r="878">
      <c r="M878" s="52"/>
      <c r="N878" s="52"/>
      <c r="O878" s="52"/>
      <c r="P878" s="52"/>
      <c r="Q878" s="52"/>
      <c r="U878" s="52"/>
    </row>
    <row r="879">
      <c r="M879" s="52"/>
      <c r="N879" s="52"/>
      <c r="O879" s="52"/>
      <c r="P879" s="52"/>
      <c r="Q879" s="52"/>
      <c r="U879" s="52"/>
    </row>
    <row r="880">
      <c r="M880" s="52"/>
      <c r="N880" s="52"/>
      <c r="O880" s="52"/>
      <c r="P880" s="52"/>
      <c r="Q880" s="52"/>
      <c r="U880" s="52"/>
    </row>
    <row r="881">
      <c r="M881" s="52"/>
      <c r="N881" s="52"/>
      <c r="O881" s="52"/>
      <c r="P881" s="52"/>
      <c r="Q881" s="52"/>
      <c r="U881" s="52"/>
    </row>
    <row r="882">
      <c r="M882" s="52"/>
      <c r="N882" s="52"/>
      <c r="O882" s="52"/>
      <c r="P882" s="52"/>
      <c r="Q882" s="52"/>
      <c r="U882" s="52"/>
    </row>
    <row r="883">
      <c r="M883" s="52"/>
      <c r="N883" s="52"/>
      <c r="O883" s="52"/>
      <c r="P883" s="52"/>
      <c r="Q883" s="52"/>
      <c r="U883" s="52"/>
    </row>
    <row r="884">
      <c r="M884" s="52"/>
      <c r="N884" s="52"/>
      <c r="O884" s="52"/>
      <c r="P884" s="52"/>
      <c r="Q884" s="52"/>
      <c r="U884" s="52"/>
    </row>
    <row r="885">
      <c r="M885" s="52"/>
      <c r="N885" s="52"/>
      <c r="O885" s="52"/>
      <c r="P885" s="52"/>
      <c r="Q885" s="52"/>
      <c r="U885" s="52"/>
    </row>
    <row r="886">
      <c r="M886" s="52"/>
      <c r="N886" s="52"/>
      <c r="O886" s="52"/>
      <c r="P886" s="52"/>
      <c r="Q886" s="52"/>
      <c r="U886" s="52"/>
    </row>
    <row r="887">
      <c r="M887" s="52"/>
      <c r="N887" s="52"/>
      <c r="O887" s="52"/>
      <c r="P887" s="52"/>
      <c r="Q887" s="52"/>
      <c r="U887" s="52"/>
    </row>
    <row r="888">
      <c r="M888" s="52"/>
      <c r="N888" s="52"/>
      <c r="O888" s="52"/>
      <c r="P888" s="52"/>
      <c r="Q888" s="52"/>
      <c r="U888" s="52"/>
    </row>
    <row r="889">
      <c r="M889" s="52"/>
      <c r="N889" s="52"/>
      <c r="O889" s="52"/>
      <c r="P889" s="52"/>
      <c r="Q889" s="52"/>
      <c r="U889" s="52"/>
    </row>
    <row r="890">
      <c r="M890" s="52"/>
      <c r="N890" s="52"/>
      <c r="O890" s="52"/>
      <c r="P890" s="52"/>
      <c r="Q890" s="52"/>
      <c r="U890" s="52"/>
    </row>
    <row r="891">
      <c r="M891" s="52"/>
      <c r="N891" s="52"/>
      <c r="O891" s="52"/>
      <c r="P891" s="52"/>
      <c r="Q891" s="52"/>
      <c r="U891" s="52"/>
    </row>
    <row r="892">
      <c r="M892" s="52"/>
      <c r="N892" s="52"/>
      <c r="O892" s="52"/>
      <c r="P892" s="52"/>
      <c r="Q892" s="52"/>
      <c r="U892" s="52"/>
    </row>
    <row r="893">
      <c r="M893" s="52"/>
      <c r="N893" s="52"/>
      <c r="O893" s="52"/>
      <c r="P893" s="52"/>
      <c r="Q893" s="52"/>
      <c r="U893" s="52"/>
    </row>
    <row r="894">
      <c r="M894" s="52"/>
      <c r="N894" s="52"/>
      <c r="O894" s="52"/>
      <c r="P894" s="52"/>
      <c r="Q894" s="52"/>
      <c r="U894" s="52"/>
    </row>
    <row r="895">
      <c r="M895" s="52"/>
      <c r="N895" s="52"/>
      <c r="O895" s="52"/>
      <c r="P895" s="52"/>
      <c r="Q895" s="52"/>
      <c r="U895" s="52"/>
    </row>
    <row r="896">
      <c r="M896" s="52"/>
      <c r="N896" s="52"/>
      <c r="O896" s="52"/>
      <c r="P896" s="52"/>
      <c r="Q896" s="52"/>
      <c r="U896" s="52"/>
    </row>
    <row r="897">
      <c r="M897" s="52"/>
      <c r="N897" s="52"/>
      <c r="O897" s="52"/>
      <c r="P897" s="52"/>
      <c r="Q897" s="52"/>
      <c r="U897" s="52"/>
    </row>
    <row r="898">
      <c r="M898" s="52"/>
      <c r="N898" s="52"/>
      <c r="O898" s="52"/>
      <c r="P898" s="52"/>
      <c r="Q898" s="52"/>
      <c r="U898" s="52"/>
    </row>
    <row r="899">
      <c r="M899" s="52"/>
      <c r="N899" s="52"/>
      <c r="O899" s="52"/>
      <c r="P899" s="52"/>
      <c r="Q899" s="52"/>
      <c r="U899" s="52"/>
    </row>
    <row r="900">
      <c r="M900" s="52"/>
      <c r="N900" s="52"/>
      <c r="O900" s="52"/>
      <c r="P900" s="52"/>
      <c r="Q900" s="52"/>
      <c r="U900" s="52"/>
    </row>
    <row r="901">
      <c r="M901" s="52"/>
      <c r="N901" s="52"/>
      <c r="O901" s="52"/>
      <c r="P901" s="52"/>
      <c r="Q901" s="52"/>
      <c r="U901" s="52"/>
    </row>
    <row r="902">
      <c r="M902" s="52"/>
      <c r="N902" s="52"/>
      <c r="O902" s="52"/>
      <c r="P902" s="52"/>
      <c r="Q902" s="52"/>
      <c r="U902" s="52"/>
    </row>
    <row r="903">
      <c r="M903" s="52"/>
      <c r="N903" s="52"/>
      <c r="O903" s="52"/>
      <c r="P903" s="52"/>
      <c r="Q903" s="52"/>
      <c r="U903" s="52"/>
    </row>
    <row r="904">
      <c r="M904" s="52"/>
      <c r="N904" s="52"/>
      <c r="O904" s="52"/>
      <c r="P904" s="52"/>
      <c r="Q904" s="52"/>
      <c r="U904" s="52"/>
    </row>
    <row r="905">
      <c r="M905" s="52"/>
      <c r="N905" s="52"/>
      <c r="O905" s="52"/>
      <c r="P905" s="52"/>
      <c r="Q905" s="52"/>
      <c r="U905" s="52"/>
    </row>
    <row r="906">
      <c r="M906" s="52"/>
      <c r="N906" s="52"/>
      <c r="O906" s="52"/>
      <c r="P906" s="52"/>
      <c r="Q906" s="52"/>
      <c r="U906" s="52"/>
    </row>
    <row r="907">
      <c r="M907" s="52"/>
      <c r="N907" s="52"/>
      <c r="O907" s="52"/>
      <c r="P907" s="52"/>
      <c r="Q907" s="52"/>
      <c r="U907" s="52"/>
    </row>
    <row r="908">
      <c r="M908" s="52"/>
      <c r="N908" s="52"/>
      <c r="O908" s="52"/>
      <c r="P908" s="52"/>
      <c r="Q908" s="52"/>
      <c r="U908" s="52"/>
    </row>
    <row r="909">
      <c r="M909" s="52"/>
      <c r="N909" s="52"/>
      <c r="O909" s="52"/>
      <c r="P909" s="52"/>
      <c r="Q909" s="52"/>
      <c r="U909" s="52"/>
    </row>
    <row r="910">
      <c r="M910" s="52"/>
      <c r="N910" s="52"/>
      <c r="O910" s="52"/>
      <c r="P910" s="52"/>
      <c r="Q910" s="52"/>
      <c r="U910" s="52"/>
    </row>
    <row r="911">
      <c r="M911" s="52"/>
      <c r="N911" s="52"/>
      <c r="O911" s="52"/>
      <c r="P911" s="52"/>
      <c r="Q911" s="52"/>
      <c r="U911" s="52"/>
    </row>
    <row r="912">
      <c r="M912" s="52"/>
      <c r="N912" s="52"/>
      <c r="O912" s="52"/>
      <c r="P912" s="52"/>
      <c r="Q912" s="52"/>
      <c r="U912" s="52"/>
    </row>
    <row r="913">
      <c r="M913" s="52"/>
      <c r="N913" s="52"/>
      <c r="O913" s="52"/>
      <c r="P913" s="52"/>
      <c r="Q913" s="52"/>
      <c r="U913" s="52"/>
    </row>
    <row r="914">
      <c r="M914" s="52"/>
      <c r="N914" s="52"/>
      <c r="O914" s="52"/>
      <c r="P914" s="52"/>
      <c r="Q914" s="52"/>
      <c r="U914" s="52"/>
    </row>
    <row r="915">
      <c r="M915" s="52"/>
      <c r="N915" s="52"/>
      <c r="O915" s="52"/>
      <c r="P915" s="52"/>
      <c r="Q915" s="52"/>
      <c r="U915" s="52"/>
    </row>
    <row r="916">
      <c r="M916" s="52"/>
      <c r="N916" s="52"/>
      <c r="O916" s="52"/>
      <c r="P916" s="52"/>
      <c r="Q916" s="52"/>
      <c r="U916" s="52"/>
    </row>
    <row r="917">
      <c r="M917" s="52"/>
      <c r="N917" s="52"/>
      <c r="O917" s="52"/>
      <c r="P917" s="52"/>
      <c r="Q917" s="52"/>
      <c r="U917" s="52"/>
    </row>
    <row r="918">
      <c r="M918" s="52"/>
      <c r="N918" s="52"/>
      <c r="O918" s="52"/>
      <c r="P918" s="52"/>
      <c r="Q918" s="52"/>
      <c r="U918" s="52"/>
    </row>
    <row r="919">
      <c r="M919" s="52"/>
      <c r="N919" s="52"/>
      <c r="O919" s="52"/>
      <c r="P919" s="52"/>
      <c r="Q919" s="52"/>
      <c r="U919" s="52"/>
    </row>
    <row r="920">
      <c r="M920" s="52"/>
      <c r="N920" s="52"/>
      <c r="O920" s="52"/>
      <c r="P920" s="52"/>
      <c r="Q920" s="52"/>
      <c r="U920" s="52"/>
    </row>
    <row r="921">
      <c r="M921" s="52"/>
      <c r="N921" s="52"/>
      <c r="O921" s="52"/>
      <c r="P921" s="52"/>
      <c r="Q921" s="52"/>
      <c r="U921" s="52"/>
    </row>
    <row r="922">
      <c r="M922" s="52"/>
      <c r="N922" s="52"/>
      <c r="O922" s="52"/>
      <c r="P922" s="52"/>
      <c r="Q922" s="52"/>
      <c r="U922" s="52"/>
    </row>
    <row r="923">
      <c r="M923" s="52"/>
      <c r="N923" s="52"/>
      <c r="O923" s="52"/>
      <c r="P923" s="52"/>
      <c r="Q923" s="52"/>
      <c r="U923" s="52"/>
    </row>
    <row r="924">
      <c r="M924" s="52"/>
      <c r="N924" s="52"/>
      <c r="O924" s="52"/>
      <c r="P924" s="52"/>
      <c r="Q924" s="52"/>
      <c r="U924" s="52"/>
    </row>
    <row r="925">
      <c r="M925" s="52"/>
      <c r="N925" s="52"/>
      <c r="O925" s="52"/>
      <c r="P925" s="52"/>
      <c r="Q925" s="52"/>
      <c r="U925" s="52"/>
    </row>
    <row r="926">
      <c r="M926" s="52"/>
      <c r="N926" s="52"/>
      <c r="O926" s="52"/>
      <c r="P926" s="52"/>
      <c r="Q926" s="52"/>
      <c r="U926" s="52"/>
    </row>
    <row r="927">
      <c r="M927" s="52"/>
      <c r="N927" s="52"/>
      <c r="O927" s="52"/>
      <c r="P927" s="52"/>
      <c r="Q927" s="52"/>
      <c r="U927" s="52"/>
    </row>
    <row r="928">
      <c r="M928" s="52"/>
      <c r="N928" s="52"/>
      <c r="O928" s="52"/>
      <c r="P928" s="52"/>
      <c r="Q928" s="52"/>
      <c r="U928" s="52"/>
    </row>
    <row r="929">
      <c r="M929" s="52"/>
      <c r="N929" s="52"/>
      <c r="O929" s="52"/>
      <c r="P929" s="52"/>
      <c r="Q929" s="52"/>
      <c r="U929" s="52"/>
    </row>
    <row r="930">
      <c r="M930" s="52"/>
      <c r="N930" s="52"/>
      <c r="O930" s="52"/>
      <c r="P930" s="52"/>
      <c r="Q930" s="52"/>
      <c r="U930" s="52"/>
    </row>
    <row r="931">
      <c r="M931" s="52"/>
      <c r="N931" s="52"/>
      <c r="O931" s="52"/>
      <c r="P931" s="52"/>
      <c r="Q931" s="52"/>
      <c r="U931" s="52"/>
    </row>
    <row r="932">
      <c r="M932" s="52"/>
      <c r="N932" s="52"/>
      <c r="O932" s="52"/>
      <c r="P932" s="52"/>
      <c r="Q932" s="52"/>
      <c r="U932" s="52"/>
    </row>
    <row r="933">
      <c r="M933" s="52"/>
      <c r="N933" s="52"/>
      <c r="O933" s="52"/>
      <c r="P933" s="52"/>
      <c r="Q933" s="52"/>
      <c r="U933" s="52"/>
    </row>
    <row r="934">
      <c r="M934" s="52"/>
      <c r="N934" s="52"/>
      <c r="O934" s="52"/>
      <c r="P934" s="52"/>
      <c r="Q934" s="52"/>
      <c r="U934" s="52"/>
    </row>
    <row r="935">
      <c r="M935" s="52"/>
      <c r="N935" s="52"/>
      <c r="O935" s="52"/>
      <c r="P935" s="52"/>
      <c r="Q935" s="52"/>
      <c r="U935" s="52"/>
    </row>
    <row r="936">
      <c r="M936" s="52"/>
      <c r="N936" s="52"/>
      <c r="O936" s="52"/>
      <c r="P936" s="52"/>
      <c r="Q936" s="52"/>
      <c r="U936" s="52"/>
    </row>
    <row r="937">
      <c r="M937" s="52"/>
      <c r="N937" s="52"/>
      <c r="O937" s="52"/>
      <c r="P937" s="52"/>
      <c r="Q937" s="52"/>
      <c r="U937" s="52"/>
    </row>
    <row r="938">
      <c r="M938" s="52"/>
      <c r="N938" s="52"/>
      <c r="O938" s="52"/>
      <c r="P938" s="52"/>
      <c r="Q938" s="52"/>
      <c r="U938" s="52"/>
    </row>
    <row r="939">
      <c r="M939" s="52"/>
      <c r="N939" s="52"/>
      <c r="O939" s="52"/>
      <c r="P939" s="52"/>
      <c r="Q939" s="52"/>
      <c r="U939" s="52"/>
    </row>
    <row r="940">
      <c r="M940" s="52"/>
      <c r="N940" s="52"/>
      <c r="O940" s="52"/>
      <c r="P940" s="52"/>
      <c r="Q940" s="52"/>
      <c r="U940" s="52"/>
    </row>
    <row r="941">
      <c r="M941" s="52"/>
      <c r="N941" s="52"/>
      <c r="O941" s="52"/>
      <c r="P941" s="52"/>
      <c r="Q941" s="52"/>
      <c r="U941" s="52"/>
    </row>
    <row r="942">
      <c r="M942" s="52"/>
      <c r="N942" s="52"/>
      <c r="O942" s="52"/>
      <c r="P942" s="52"/>
      <c r="Q942" s="52"/>
      <c r="U942" s="52"/>
    </row>
    <row r="943">
      <c r="M943" s="52"/>
      <c r="N943" s="52"/>
      <c r="O943" s="52"/>
      <c r="P943" s="52"/>
      <c r="Q943" s="52"/>
      <c r="U943" s="52"/>
    </row>
    <row r="944">
      <c r="M944" s="52"/>
      <c r="N944" s="52"/>
      <c r="O944" s="52"/>
      <c r="P944" s="52"/>
      <c r="Q944" s="52"/>
      <c r="U944" s="52"/>
    </row>
    <row r="945">
      <c r="M945" s="52"/>
      <c r="N945" s="52"/>
      <c r="O945" s="52"/>
      <c r="P945" s="52"/>
      <c r="Q945" s="52"/>
      <c r="U945" s="52"/>
    </row>
    <row r="946">
      <c r="M946" s="52"/>
      <c r="N946" s="52"/>
      <c r="O946" s="52"/>
      <c r="P946" s="52"/>
      <c r="Q946" s="52"/>
      <c r="U946" s="52"/>
    </row>
    <row r="947">
      <c r="M947" s="52"/>
      <c r="N947" s="52"/>
      <c r="O947" s="52"/>
      <c r="P947" s="52"/>
      <c r="Q947" s="52"/>
      <c r="U947" s="52"/>
    </row>
    <row r="948">
      <c r="M948" s="52"/>
      <c r="N948" s="52"/>
      <c r="O948" s="52"/>
      <c r="P948" s="52"/>
      <c r="Q948" s="52"/>
      <c r="U948" s="52"/>
    </row>
    <row r="949">
      <c r="M949" s="52"/>
      <c r="N949" s="52"/>
      <c r="O949" s="52"/>
      <c r="P949" s="52"/>
      <c r="Q949" s="52"/>
      <c r="U949" s="52"/>
    </row>
    <row r="950">
      <c r="M950" s="52"/>
      <c r="N950" s="52"/>
      <c r="O950" s="52"/>
      <c r="P950" s="52"/>
      <c r="Q950" s="52"/>
      <c r="U950" s="52"/>
    </row>
    <row r="951">
      <c r="M951" s="52"/>
      <c r="N951" s="52"/>
      <c r="O951" s="52"/>
      <c r="P951" s="52"/>
      <c r="Q951" s="52"/>
      <c r="U951" s="52"/>
    </row>
    <row r="952">
      <c r="M952" s="52"/>
      <c r="N952" s="52"/>
      <c r="O952" s="52"/>
      <c r="P952" s="52"/>
      <c r="Q952" s="52"/>
      <c r="U952" s="52"/>
    </row>
    <row r="953">
      <c r="M953" s="52"/>
      <c r="N953" s="52"/>
      <c r="O953" s="52"/>
      <c r="P953" s="52"/>
      <c r="Q953" s="52"/>
      <c r="U953" s="52"/>
    </row>
    <row r="954">
      <c r="M954" s="52"/>
      <c r="N954" s="52"/>
      <c r="O954" s="52"/>
      <c r="P954" s="52"/>
      <c r="Q954" s="52"/>
      <c r="U954" s="52"/>
    </row>
    <row r="955">
      <c r="M955" s="52"/>
      <c r="N955" s="52"/>
      <c r="O955" s="52"/>
      <c r="P955" s="52"/>
      <c r="Q955" s="52"/>
      <c r="U955" s="52"/>
    </row>
    <row r="956">
      <c r="M956" s="52"/>
      <c r="N956" s="52"/>
      <c r="O956" s="52"/>
      <c r="P956" s="52"/>
      <c r="Q956" s="52"/>
      <c r="U956" s="52"/>
    </row>
    <row r="957">
      <c r="M957" s="52"/>
      <c r="N957" s="52"/>
      <c r="O957" s="52"/>
      <c r="P957" s="52"/>
      <c r="Q957" s="52"/>
      <c r="U957" s="52"/>
    </row>
    <row r="958">
      <c r="M958" s="52"/>
      <c r="N958" s="52"/>
      <c r="O958" s="52"/>
      <c r="P958" s="52"/>
      <c r="Q958" s="52"/>
      <c r="U958" s="52"/>
    </row>
    <row r="959">
      <c r="M959" s="52"/>
      <c r="N959" s="52"/>
      <c r="O959" s="52"/>
      <c r="P959" s="52"/>
      <c r="Q959" s="52"/>
      <c r="U959" s="52"/>
    </row>
    <row r="960">
      <c r="M960" s="52"/>
      <c r="N960" s="52"/>
      <c r="O960" s="52"/>
      <c r="P960" s="52"/>
      <c r="Q960" s="52"/>
      <c r="U960" s="52"/>
    </row>
    <row r="961">
      <c r="M961" s="52"/>
      <c r="N961" s="52"/>
      <c r="O961" s="52"/>
      <c r="P961" s="52"/>
      <c r="Q961" s="52"/>
      <c r="U961" s="52"/>
    </row>
    <row r="962">
      <c r="M962" s="52"/>
      <c r="N962" s="52"/>
      <c r="O962" s="52"/>
      <c r="P962" s="52"/>
      <c r="Q962" s="52"/>
      <c r="U962" s="52"/>
    </row>
    <row r="963">
      <c r="M963" s="52"/>
      <c r="N963" s="52"/>
      <c r="O963" s="52"/>
      <c r="P963" s="52"/>
      <c r="Q963" s="52"/>
      <c r="U963" s="52"/>
    </row>
    <row r="964">
      <c r="M964" s="52"/>
      <c r="N964" s="52"/>
      <c r="O964" s="52"/>
      <c r="P964" s="52"/>
      <c r="Q964" s="52"/>
      <c r="U964" s="52"/>
    </row>
    <row r="965">
      <c r="M965" s="52"/>
      <c r="N965" s="52"/>
      <c r="O965" s="52"/>
      <c r="P965" s="52"/>
      <c r="Q965" s="52"/>
      <c r="U965" s="52"/>
    </row>
    <row r="966">
      <c r="M966" s="52"/>
      <c r="N966" s="52"/>
      <c r="O966" s="52"/>
      <c r="P966" s="52"/>
      <c r="Q966" s="52"/>
      <c r="U966" s="52"/>
    </row>
    <row r="967">
      <c r="M967" s="52"/>
      <c r="N967" s="52"/>
      <c r="O967" s="52"/>
      <c r="P967" s="52"/>
      <c r="Q967" s="52"/>
      <c r="U967" s="52"/>
    </row>
    <row r="968">
      <c r="M968" s="52"/>
      <c r="N968" s="52"/>
      <c r="O968" s="52"/>
      <c r="P968" s="52"/>
      <c r="Q968" s="52"/>
      <c r="U968" s="52"/>
    </row>
    <row r="969">
      <c r="M969" s="52"/>
      <c r="N969" s="52"/>
      <c r="O969" s="52"/>
      <c r="P969" s="52"/>
      <c r="Q969" s="52"/>
      <c r="U969" s="52"/>
    </row>
    <row r="970">
      <c r="M970" s="52"/>
      <c r="N970" s="52"/>
      <c r="O970" s="52"/>
      <c r="P970" s="52"/>
      <c r="Q970" s="52"/>
      <c r="U970" s="52"/>
    </row>
    <row r="971">
      <c r="M971" s="52"/>
      <c r="N971" s="52"/>
      <c r="O971" s="52"/>
      <c r="P971" s="52"/>
      <c r="Q971" s="52"/>
      <c r="U971" s="52"/>
    </row>
    <row r="972">
      <c r="M972" s="52"/>
      <c r="N972" s="52"/>
      <c r="O972" s="52"/>
      <c r="P972" s="52"/>
      <c r="Q972" s="52"/>
      <c r="U972" s="52"/>
    </row>
    <row r="973">
      <c r="M973" s="52"/>
      <c r="N973" s="52"/>
      <c r="O973" s="52"/>
      <c r="P973" s="52"/>
      <c r="Q973" s="52"/>
      <c r="U973" s="52"/>
    </row>
    <row r="974">
      <c r="M974" s="52"/>
      <c r="N974" s="52"/>
      <c r="O974" s="52"/>
      <c r="P974" s="52"/>
      <c r="Q974" s="52"/>
      <c r="U974" s="52"/>
    </row>
    <row r="975">
      <c r="M975" s="52"/>
      <c r="N975" s="52"/>
      <c r="O975" s="52"/>
      <c r="P975" s="52"/>
      <c r="Q975" s="52"/>
      <c r="U975" s="52"/>
    </row>
    <row r="976">
      <c r="M976" s="52"/>
      <c r="N976" s="52"/>
      <c r="O976" s="52"/>
      <c r="P976" s="52"/>
      <c r="Q976" s="52"/>
      <c r="U976" s="52"/>
    </row>
    <row r="977">
      <c r="M977" s="52"/>
      <c r="N977" s="52"/>
      <c r="O977" s="52"/>
      <c r="P977" s="52"/>
      <c r="Q977" s="52"/>
      <c r="U977" s="52"/>
    </row>
    <row r="978">
      <c r="M978" s="52"/>
      <c r="N978" s="52"/>
      <c r="O978" s="52"/>
      <c r="P978" s="52"/>
      <c r="Q978" s="52"/>
      <c r="U978" s="52"/>
    </row>
    <row r="979">
      <c r="M979" s="52"/>
      <c r="N979" s="52"/>
      <c r="O979" s="52"/>
      <c r="P979" s="52"/>
      <c r="Q979" s="52"/>
      <c r="U979" s="52"/>
    </row>
    <row r="980">
      <c r="M980" s="52"/>
      <c r="N980" s="52"/>
      <c r="O980" s="52"/>
      <c r="P980" s="52"/>
      <c r="Q980" s="52"/>
      <c r="U980" s="52"/>
    </row>
    <row r="981">
      <c r="M981" s="52"/>
      <c r="N981" s="52"/>
      <c r="O981" s="52"/>
      <c r="P981" s="52"/>
      <c r="Q981" s="52"/>
      <c r="U981" s="52"/>
    </row>
    <row r="982">
      <c r="M982" s="52"/>
      <c r="N982" s="52"/>
      <c r="O982" s="52"/>
      <c r="P982" s="52"/>
      <c r="Q982" s="52"/>
      <c r="U982" s="52"/>
    </row>
    <row r="983">
      <c r="M983" s="52"/>
      <c r="N983" s="52"/>
      <c r="O983" s="52"/>
      <c r="P983" s="52"/>
      <c r="Q983" s="52"/>
      <c r="U983" s="52"/>
    </row>
    <row r="984">
      <c r="M984" s="52"/>
      <c r="N984" s="52"/>
      <c r="O984" s="52"/>
      <c r="P984" s="52"/>
      <c r="Q984" s="52"/>
      <c r="U984" s="52"/>
    </row>
    <row r="985">
      <c r="M985" s="52"/>
      <c r="N985" s="52"/>
      <c r="O985" s="52"/>
      <c r="P985" s="52"/>
      <c r="Q985" s="52"/>
      <c r="U985" s="52"/>
    </row>
    <row r="986">
      <c r="M986" s="52"/>
      <c r="N986" s="52"/>
      <c r="O986" s="52"/>
      <c r="P986" s="52"/>
      <c r="Q986" s="52"/>
      <c r="U986" s="52"/>
    </row>
    <row r="987">
      <c r="M987" s="52"/>
      <c r="N987" s="52"/>
      <c r="O987" s="52"/>
      <c r="P987" s="52"/>
      <c r="Q987" s="52"/>
      <c r="U987" s="52"/>
    </row>
    <row r="988">
      <c r="M988" s="52"/>
      <c r="N988" s="52"/>
      <c r="O988" s="52"/>
      <c r="P988" s="52"/>
      <c r="Q988" s="52"/>
      <c r="U988" s="52"/>
    </row>
    <row r="989">
      <c r="M989" s="52"/>
      <c r="N989" s="52"/>
      <c r="O989" s="52"/>
      <c r="P989" s="52"/>
      <c r="Q989" s="52"/>
      <c r="U989" s="52"/>
    </row>
    <row r="990">
      <c r="M990" s="52"/>
      <c r="N990" s="52"/>
      <c r="O990" s="52"/>
      <c r="P990" s="52"/>
      <c r="Q990" s="52"/>
      <c r="U990" s="52"/>
    </row>
    <row r="991">
      <c r="M991" s="52"/>
      <c r="N991" s="52"/>
      <c r="O991" s="52"/>
      <c r="P991" s="52"/>
      <c r="Q991" s="52"/>
      <c r="U991" s="52"/>
    </row>
    <row r="992">
      <c r="M992" s="52"/>
      <c r="N992" s="52"/>
      <c r="O992" s="52"/>
      <c r="P992" s="52"/>
      <c r="Q992" s="52"/>
      <c r="U992" s="52"/>
    </row>
    <row r="993">
      <c r="M993" s="52"/>
      <c r="N993" s="52"/>
      <c r="O993" s="52"/>
      <c r="P993" s="52"/>
      <c r="Q993" s="52"/>
      <c r="U993" s="52"/>
    </row>
    <row r="994">
      <c r="M994" s="52"/>
      <c r="N994" s="52"/>
      <c r="O994" s="52"/>
      <c r="P994" s="52"/>
      <c r="Q994" s="52"/>
      <c r="U994" s="52"/>
    </row>
    <row r="995">
      <c r="M995" s="52"/>
      <c r="N995" s="52"/>
      <c r="O995" s="52"/>
      <c r="P995" s="52"/>
      <c r="Q995" s="52"/>
      <c r="U995" s="52"/>
    </row>
    <row r="996">
      <c r="M996" s="52"/>
      <c r="N996" s="52"/>
      <c r="O996" s="52"/>
      <c r="P996" s="52"/>
      <c r="Q996" s="52"/>
      <c r="U996" s="52"/>
    </row>
    <row r="997">
      <c r="M997" s="52"/>
      <c r="N997" s="52"/>
      <c r="O997" s="52"/>
      <c r="P997" s="52"/>
      <c r="Q997" s="52"/>
      <c r="U997" s="52"/>
    </row>
    <row r="998">
      <c r="M998" s="52"/>
      <c r="N998" s="52"/>
      <c r="O998" s="52"/>
      <c r="P998" s="52"/>
      <c r="Q998" s="52"/>
      <c r="U998" s="52"/>
    </row>
    <row r="999">
      <c r="M999" s="52"/>
      <c r="N999" s="52"/>
      <c r="O999" s="52"/>
      <c r="P999" s="52"/>
      <c r="Q999" s="52"/>
      <c r="U999" s="52"/>
    </row>
    <row r="1000">
      <c r="M1000" s="52"/>
      <c r="N1000" s="52"/>
      <c r="O1000" s="52"/>
      <c r="P1000" s="52"/>
      <c r="Q1000" s="52"/>
      <c r="U1000" s="52"/>
    </row>
  </sheetData>
  <mergeCells count="7">
    <mergeCell ref="A1:A2"/>
    <mergeCell ref="B1:B2"/>
    <mergeCell ref="C1:G1"/>
    <mergeCell ref="H1:I1"/>
    <mergeCell ref="J1:J2"/>
    <mergeCell ref="K1:O1"/>
    <mergeCell ref="P1:U1"/>
  </mergeCells>
  <conditionalFormatting sqref="N3:N9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G3:G9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3:H9">
    <cfRule type="colorScale" priority="3">
      <colorScale>
        <cfvo type="formula" val="0"/>
        <cfvo type="max"/>
        <color rgb="FFFFFFFF"/>
        <color rgb="FF57BB8A"/>
      </colorScale>
    </cfRule>
  </conditionalFormatting>
  <conditionalFormatting sqref="I3:I9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J3:J9">
    <cfRule type="colorScale" priority="5">
      <colorScale>
        <cfvo type="formula" val="0"/>
        <cfvo type="max"/>
        <color rgb="FFFFFFFF"/>
        <color rgb="FF57BB8A"/>
      </colorScale>
    </cfRule>
  </conditionalFormatting>
  <conditionalFormatting sqref="K3:K9">
    <cfRule type="colorScale" priority="6">
      <colorScale>
        <cfvo type="formula" val="0"/>
        <cfvo type="max"/>
        <color rgb="FFFFFFFF"/>
        <color rgb="FF57BB8A"/>
      </colorScale>
    </cfRule>
  </conditionalFormatting>
  <conditionalFormatting sqref="L3:L9">
    <cfRule type="colorScale" priority="7">
      <colorScale>
        <cfvo type="formula" val="0"/>
        <cfvo type="max"/>
        <color rgb="FFFFFFFF"/>
        <color rgb="FFE67C73"/>
      </colorScale>
    </cfRule>
  </conditionalFormatting>
  <conditionalFormatting sqref="C3:C9">
    <cfRule type="colorScale" priority="8">
      <colorScale>
        <cfvo type="formula" val="0"/>
        <cfvo type="max"/>
        <color rgb="FFFFFFFF"/>
        <color rgb="FFFFD666"/>
      </colorScale>
    </cfRule>
  </conditionalFormatting>
  <conditionalFormatting sqref="D3:D9">
    <cfRule type="colorScale" priority="9">
      <colorScale>
        <cfvo type="formula" val="0"/>
        <cfvo type="max"/>
        <color rgb="FFFFFFFF"/>
        <color rgb="FF57BB8A"/>
      </colorScale>
    </cfRule>
  </conditionalFormatting>
  <conditionalFormatting sqref="E3:E9">
    <cfRule type="colorScale" priority="10">
      <colorScale>
        <cfvo type="formula" val="0"/>
        <cfvo type="max"/>
        <color rgb="FFFFFFFF"/>
        <color rgb="FFE67C73"/>
      </colorScale>
    </cfRule>
  </conditionalFormatting>
  <conditionalFormatting sqref="F3:F9">
    <cfRule type="colorScale" priority="11">
      <colorScale>
        <cfvo type="formula" val="0"/>
        <cfvo type="max"/>
        <color rgb="FFFFFFFF"/>
        <color rgb="FF57BB8A"/>
      </colorScale>
    </cfRule>
  </conditionalFormatting>
  <conditionalFormatting sqref="M3:M9">
    <cfRule type="colorScale" priority="12">
      <colorScale>
        <cfvo type="formula" val="0"/>
        <cfvo type="max"/>
        <color rgb="FFFFFFFF"/>
        <color rgb="FFFFD666"/>
      </colorScale>
    </cfRule>
  </conditionalFormatting>
  <conditionalFormatting sqref="O3:O9">
    <cfRule type="colorScale" priority="13">
      <colorScale>
        <cfvo type="formula" val="0"/>
        <cfvo type="formula" val="1"/>
        <color rgb="FFFFFFFF"/>
        <color rgb="FF57BB8A"/>
      </colorScale>
    </cfRule>
  </conditionalFormatting>
  <conditionalFormatting sqref="P3:P9">
    <cfRule type="colorScale" priority="14">
      <colorScale>
        <cfvo type="formula" val="0"/>
        <cfvo type="max"/>
        <color rgb="FFFFFFFF"/>
        <color rgb="FFFFD666"/>
      </colorScale>
    </cfRule>
  </conditionalFormatting>
  <conditionalFormatting sqref="U3:U9">
    <cfRule type="colorScale" priority="15">
      <colorScale>
        <cfvo type="formula" val="0"/>
        <cfvo type="formula" val="2"/>
        <cfvo type="formula" val="3"/>
        <color rgb="FFE67C73"/>
        <color rgb="FFFFFFFF"/>
        <color rgb="FF57BB8A"/>
      </colorScale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7.63"/>
    <col customWidth="1" min="4" max="4" width="5.63"/>
    <col customWidth="1" min="5" max="5" width="6.88"/>
    <col customWidth="1" min="6" max="6" width="8.38"/>
    <col customWidth="1" min="7" max="7" width="15.5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1" t="s">
        <v>4</v>
      </c>
      <c r="K1" s="6" t="s">
        <v>5</v>
      </c>
      <c r="L1" s="4"/>
      <c r="M1" s="4"/>
      <c r="N1" s="4"/>
      <c r="O1" s="5"/>
      <c r="P1" s="30" t="s">
        <v>6</v>
      </c>
      <c r="Q1" s="4"/>
      <c r="R1" s="4"/>
      <c r="S1" s="4"/>
      <c r="T1" s="4"/>
      <c r="U1" s="5"/>
    </row>
    <row r="2">
      <c r="A2" s="9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2" t="s">
        <v>13</v>
      </c>
      <c r="I2" s="12" t="s">
        <v>14</v>
      </c>
      <c r="J2" s="9"/>
      <c r="K2" s="10" t="s">
        <v>15</v>
      </c>
      <c r="L2" s="12" t="s">
        <v>10</v>
      </c>
      <c r="M2" s="10" t="s">
        <v>16</v>
      </c>
      <c r="N2" s="10" t="s">
        <v>12</v>
      </c>
      <c r="O2" s="10" t="s">
        <v>18</v>
      </c>
      <c r="P2" s="15" t="s">
        <v>8</v>
      </c>
      <c r="Q2" s="15">
        <v>0.0</v>
      </c>
      <c r="R2" s="15">
        <v>1.0</v>
      </c>
      <c r="S2" s="15">
        <v>2.0</v>
      </c>
      <c r="T2" s="15">
        <v>3.0</v>
      </c>
      <c r="U2" s="15" t="s">
        <v>19</v>
      </c>
    </row>
    <row r="3">
      <c r="A3" s="18" t="s">
        <v>21</v>
      </c>
      <c r="B3" s="18" t="s">
        <v>84</v>
      </c>
      <c r="C3" s="10">
        <v>6.0</v>
      </c>
      <c r="D3" s="10"/>
      <c r="E3" s="10">
        <v>1.0</v>
      </c>
      <c r="F3" s="35"/>
      <c r="G3" s="35">
        <f t="shared" ref="G3:G9" si="1">IFS(C3=0, "N/A", C3&lt;&gt;0,(D3-E3)/C3 )</f>
        <v>-0.1666666667</v>
      </c>
      <c r="H3" s="35"/>
      <c r="I3" s="10"/>
      <c r="J3" s="10">
        <v>4.0</v>
      </c>
      <c r="K3" s="35"/>
      <c r="L3" s="10"/>
      <c r="M3" s="10">
        <v>4.0</v>
      </c>
      <c r="N3" s="35">
        <f t="shared" ref="N3:N9" si="2">ifs(M3=0,"N/A",M3&lt;&gt;0,(M3-L3) /M3)</f>
        <v>1</v>
      </c>
      <c r="O3" s="35">
        <f t="shared" ref="O3:O9" si="3">IFS(M3=0, "N/A", M3&lt;&gt;0, K3/M3)</f>
        <v>0</v>
      </c>
      <c r="P3" s="10">
        <f t="shared" ref="P3:P9" si="4">sum(Q3,R3,S3,T3)</f>
        <v>1</v>
      </c>
      <c r="Q3" s="35"/>
      <c r="R3" s="10"/>
      <c r="S3" s="10"/>
      <c r="T3" s="10">
        <v>1.0</v>
      </c>
      <c r="U3" s="10">
        <f t="shared" ref="U3:U9" si="5">ifs(P3=0, "N/A",P3&lt;&gt;0,(R3 + S3*2 +T3*3)/P3)</f>
        <v>3</v>
      </c>
    </row>
    <row r="4">
      <c r="A4" s="21" t="s">
        <v>24</v>
      </c>
      <c r="B4" s="21" t="s">
        <v>41</v>
      </c>
      <c r="C4" s="10">
        <v>6.0</v>
      </c>
      <c r="D4" s="10"/>
      <c r="E4" s="10">
        <v>1.0</v>
      </c>
      <c r="F4" s="35"/>
      <c r="G4" s="35">
        <f t="shared" si="1"/>
        <v>-0.1666666667</v>
      </c>
      <c r="H4" s="10"/>
      <c r="I4" s="10"/>
      <c r="J4" s="10">
        <v>3.0</v>
      </c>
      <c r="K4" s="35"/>
      <c r="L4" s="10"/>
      <c r="M4" s="10">
        <v>4.0</v>
      </c>
      <c r="N4" s="35">
        <f t="shared" si="2"/>
        <v>1</v>
      </c>
      <c r="O4" s="35">
        <f t="shared" si="3"/>
        <v>0</v>
      </c>
      <c r="P4" s="10">
        <f t="shared" si="4"/>
        <v>5</v>
      </c>
      <c r="Q4" s="10"/>
      <c r="R4" s="35"/>
      <c r="S4" s="35"/>
      <c r="T4" s="10">
        <v>5.0</v>
      </c>
      <c r="U4" s="10">
        <f t="shared" si="5"/>
        <v>3</v>
      </c>
    </row>
    <row r="5">
      <c r="A5" s="22" t="s">
        <v>26</v>
      </c>
      <c r="B5" s="22" t="s">
        <v>42</v>
      </c>
      <c r="C5" s="10"/>
      <c r="D5" s="10"/>
      <c r="E5" s="10"/>
      <c r="F5" s="10">
        <v>6.0</v>
      </c>
      <c r="G5" s="35" t="str">
        <f t="shared" si="1"/>
        <v>N/A</v>
      </c>
      <c r="H5" s="10"/>
      <c r="I5" s="10"/>
      <c r="J5" s="10">
        <v>3.0</v>
      </c>
      <c r="K5" s="10"/>
      <c r="L5" s="35"/>
      <c r="M5" s="10">
        <v>2.0</v>
      </c>
      <c r="N5" s="35">
        <f t="shared" si="2"/>
        <v>1</v>
      </c>
      <c r="O5" s="35">
        <f t="shared" si="3"/>
        <v>0</v>
      </c>
      <c r="P5" s="10">
        <f t="shared" si="4"/>
        <v>0</v>
      </c>
      <c r="Q5" s="35"/>
      <c r="R5" s="35"/>
      <c r="S5" s="35"/>
      <c r="T5" s="10"/>
      <c r="U5" s="10" t="str">
        <f t="shared" si="5"/>
        <v>N/A</v>
      </c>
    </row>
    <row r="6">
      <c r="A6" s="23" t="s">
        <v>28</v>
      </c>
      <c r="B6" s="23" t="s">
        <v>43</v>
      </c>
      <c r="C6" s="10">
        <v>11.0</v>
      </c>
      <c r="D6" s="10">
        <v>4.0</v>
      </c>
      <c r="E6" s="10">
        <v>2.0</v>
      </c>
      <c r="F6" s="35"/>
      <c r="G6" s="35">
        <f t="shared" si="1"/>
        <v>0.1818181818</v>
      </c>
      <c r="H6" s="35"/>
      <c r="I6" s="35"/>
      <c r="J6" s="10">
        <v>4.0</v>
      </c>
      <c r="K6" s="10">
        <v>2.0</v>
      </c>
      <c r="L6" s="10">
        <v>1.0</v>
      </c>
      <c r="M6" s="10">
        <v>7.0</v>
      </c>
      <c r="N6" s="35">
        <f t="shared" si="2"/>
        <v>0.8571428571</v>
      </c>
      <c r="O6" s="35">
        <f t="shared" si="3"/>
        <v>0.2857142857</v>
      </c>
      <c r="P6" s="10">
        <f t="shared" si="4"/>
        <v>5</v>
      </c>
      <c r="Q6" s="10">
        <v>1.0</v>
      </c>
      <c r="R6" s="10">
        <v>3.0</v>
      </c>
      <c r="S6" s="10">
        <v>1.0</v>
      </c>
      <c r="T6" s="10"/>
      <c r="U6" s="10">
        <f t="shared" si="5"/>
        <v>1</v>
      </c>
    </row>
    <row r="7">
      <c r="A7" s="24" t="s">
        <v>30</v>
      </c>
      <c r="B7" s="24" t="s">
        <v>85</v>
      </c>
      <c r="C7" s="10">
        <v>10.0</v>
      </c>
      <c r="D7" s="10">
        <v>3.0</v>
      </c>
      <c r="E7" s="10">
        <v>3.0</v>
      </c>
      <c r="F7" s="35"/>
      <c r="G7" s="35">
        <f t="shared" si="1"/>
        <v>0</v>
      </c>
      <c r="H7" s="35"/>
      <c r="I7" s="10"/>
      <c r="J7" s="10">
        <v>11.0</v>
      </c>
      <c r="K7" s="35"/>
      <c r="L7" s="10"/>
      <c r="M7" s="10">
        <v>3.0</v>
      </c>
      <c r="N7" s="35">
        <f t="shared" si="2"/>
        <v>1</v>
      </c>
      <c r="O7" s="35">
        <f t="shared" si="3"/>
        <v>0</v>
      </c>
      <c r="P7" s="10">
        <f t="shared" si="4"/>
        <v>4</v>
      </c>
      <c r="Q7" s="10">
        <v>1.0</v>
      </c>
      <c r="R7" s="10">
        <v>1.0</v>
      </c>
      <c r="S7" s="10">
        <v>1.0</v>
      </c>
      <c r="T7" s="10">
        <v>1.0</v>
      </c>
      <c r="U7" s="10">
        <f t="shared" si="5"/>
        <v>1.5</v>
      </c>
    </row>
    <row r="8">
      <c r="A8" s="25" t="s">
        <v>32</v>
      </c>
      <c r="B8" s="25" t="s">
        <v>97</v>
      </c>
      <c r="C8" s="10">
        <v>3.0</v>
      </c>
      <c r="D8" s="10">
        <v>1.0</v>
      </c>
      <c r="E8" s="10"/>
      <c r="F8" s="35"/>
      <c r="G8" s="35">
        <f t="shared" si="1"/>
        <v>0.3333333333</v>
      </c>
      <c r="H8" s="35"/>
      <c r="I8" s="10"/>
      <c r="J8" s="10">
        <v>6.0</v>
      </c>
      <c r="K8" s="10">
        <v>2.0</v>
      </c>
      <c r="L8" s="10">
        <v>1.0</v>
      </c>
      <c r="M8" s="10">
        <v>7.0</v>
      </c>
      <c r="N8" s="35">
        <f t="shared" si="2"/>
        <v>0.8571428571</v>
      </c>
      <c r="O8" s="35">
        <f t="shared" si="3"/>
        <v>0.2857142857</v>
      </c>
      <c r="P8" s="10">
        <f t="shared" si="4"/>
        <v>1</v>
      </c>
      <c r="Q8" s="10"/>
      <c r="R8" s="10">
        <v>1.0</v>
      </c>
      <c r="S8" s="10"/>
      <c r="T8" s="35"/>
      <c r="U8" s="10">
        <f t="shared" si="5"/>
        <v>1</v>
      </c>
    </row>
    <row r="9">
      <c r="A9" s="26" t="s">
        <v>34</v>
      </c>
      <c r="B9" s="26" t="s">
        <v>22</v>
      </c>
      <c r="C9" s="10"/>
      <c r="D9" s="10"/>
      <c r="E9" s="10"/>
      <c r="F9" s="35"/>
      <c r="G9" s="35" t="str">
        <f t="shared" si="1"/>
        <v>N/A</v>
      </c>
      <c r="H9" s="35"/>
      <c r="I9" s="35"/>
      <c r="J9" s="10"/>
      <c r="K9" s="35"/>
      <c r="L9" s="10"/>
      <c r="M9" s="35"/>
      <c r="N9" s="35" t="str">
        <f t="shared" si="2"/>
        <v>N/A</v>
      </c>
      <c r="O9" s="35" t="str">
        <f t="shared" si="3"/>
        <v>N/A</v>
      </c>
      <c r="P9" s="10">
        <f t="shared" si="4"/>
        <v>0</v>
      </c>
      <c r="Q9" s="35"/>
      <c r="R9" s="10"/>
      <c r="S9" s="10"/>
      <c r="T9" s="35"/>
      <c r="U9" s="10" t="str">
        <f t="shared" si="5"/>
        <v>N/A</v>
      </c>
    </row>
    <row r="10">
      <c r="M10" s="52"/>
      <c r="N10" s="52"/>
      <c r="O10" s="52"/>
      <c r="P10" s="52"/>
      <c r="Q10" s="52"/>
      <c r="U10" s="52"/>
    </row>
    <row r="11">
      <c r="M11" s="52"/>
      <c r="N11" s="52"/>
      <c r="O11" s="52"/>
      <c r="P11" s="52"/>
      <c r="Q11" s="52"/>
      <c r="U11" s="52"/>
    </row>
    <row r="12">
      <c r="M12" s="52"/>
      <c r="N12" s="52"/>
      <c r="O12" s="52"/>
      <c r="P12" s="52"/>
      <c r="Q12" s="52"/>
      <c r="U12" s="52"/>
    </row>
    <row r="13">
      <c r="M13" s="52"/>
      <c r="N13" s="52"/>
      <c r="O13" s="52"/>
      <c r="P13" s="52"/>
      <c r="Q13" s="52"/>
      <c r="U13" s="52"/>
    </row>
    <row r="14">
      <c r="M14" s="52"/>
      <c r="N14" s="52"/>
      <c r="O14" s="52"/>
      <c r="P14" s="52"/>
      <c r="Q14" s="52"/>
      <c r="U14" s="52"/>
    </row>
    <row r="15">
      <c r="M15" s="52"/>
      <c r="N15" s="52"/>
      <c r="O15" s="52"/>
      <c r="P15" s="52"/>
      <c r="Q15" s="52"/>
      <c r="U15" s="52"/>
    </row>
    <row r="16">
      <c r="M16" s="52"/>
      <c r="N16" s="52"/>
      <c r="O16" s="52"/>
      <c r="P16" s="52"/>
      <c r="Q16" s="52"/>
      <c r="U16" s="52"/>
    </row>
    <row r="17">
      <c r="M17" s="52"/>
      <c r="N17" s="52"/>
      <c r="O17" s="52"/>
      <c r="P17" s="52"/>
      <c r="Q17" s="52"/>
      <c r="U17" s="52"/>
    </row>
    <row r="18">
      <c r="M18" s="52"/>
      <c r="N18" s="52"/>
      <c r="O18" s="52"/>
      <c r="P18" s="52"/>
      <c r="Q18" s="52"/>
      <c r="U18" s="52"/>
    </row>
    <row r="19">
      <c r="M19" s="52"/>
      <c r="N19" s="52"/>
      <c r="O19" s="52"/>
      <c r="P19" s="52"/>
      <c r="Q19" s="52"/>
      <c r="U19" s="52"/>
    </row>
    <row r="20">
      <c r="M20" s="52"/>
      <c r="N20" s="52"/>
      <c r="O20" s="52"/>
      <c r="P20" s="52"/>
      <c r="Q20" s="52"/>
      <c r="U20" s="52"/>
    </row>
    <row r="21">
      <c r="M21" s="52"/>
      <c r="N21" s="52"/>
      <c r="O21" s="52"/>
      <c r="P21" s="52"/>
      <c r="Q21" s="52"/>
      <c r="U21" s="52"/>
    </row>
    <row r="22">
      <c r="M22" s="52"/>
      <c r="N22" s="52"/>
      <c r="O22" s="52"/>
      <c r="P22" s="52"/>
      <c r="Q22" s="52"/>
      <c r="U22" s="52"/>
    </row>
    <row r="23">
      <c r="M23" s="52"/>
      <c r="N23" s="52"/>
      <c r="O23" s="52"/>
      <c r="P23" s="52"/>
      <c r="Q23" s="52"/>
      <c r="U23" s="52"/>
    </row>
    <row r="24">
      <c r="M24" s="52"/>
      <c r="N24" s="52"/>
      <c r="O24" s="52"/>
      <c r="P24" s="52"/>
      <c r="Q24" s="52"/>
      <c r="U24" s="52"/>
    </row>
    <row r="25">
      <c r="M25" s="52"/>
      <c r="N25" s="52"/>
      <c r="O25" s="52"/>
      <c r="P25" s="52"/>
      <c r="Q25" s="52"/>
      <c r="U25" s="52"/>
    </row>
    <row r="26">
      <c r="M26" s="52"/>
      <c r="N26" s="52"/>
      <c r="O26" s="52"/>
      <c r="P26" s="52"/>
      <c r="Q26" s="52"/>
      <c r="U26" s="52"/>
    </row>
    <row r="27">
      <c r="M27" s="52"/>
      <c r="N27" s="52"/>
      <c r="O27" s="52"/>
      <c r="P27" s="52"/>
      <c r="Q27" s="52"/>
      <c r="U27" s="52"/>
    </row>
    <row r="28">
      <c r="M28" s="52"/>
      <c r="N28" s="52"/>
      <c r="O28" s="52"/>
      <c r="P28" s="52"/>
      <c r="Q28" s="52"/>
      <c r="U28" s="52"/>
    </row>
    <row r="29">
      <c r="M29" s="52"/>
      <c r="N29" s="52"/>
      <c r="O29" s="52"/>
      <c r="P29" s="52"/>
      <c r="Q29" s="52"/>
      <c r="U29" s="52"/>
    </row>
    <row r="30">
      <c r="M30" s="52"/>
      <c r="N30" s="52"/>
      <c r="O30" s="52"/>
      <c r="P30" s="52"/>
      <c r="Q30" s="52"/>
      <c r="U30" s="52"/>
    </row>
    <row r="31">
      <c r="M31" s="52"/>
      <c r="N31" s="52"/>
      <c r="O31" s="52"/>
      <c r="P31" s="52"/>
      <c r="Q31" s="52"/>
      <c r="U31" s="52"/>
    </row>
    <row r="32">
      <c r="M32" s="52"/>
      <c r="N32" s="52"/>
      <c r="O32" s="52"/>
      <c r="P32" s="52"/>
      <c r="Q32" s="52"/>
      <c r="U32" s="52"/>
    </row>
    <row r="33">
      <c r="M33" s="52"/>
      <c r="N33" s="52"/>
      <c r="O33" s="52"/>
      <c r="P33" s="52"/>
      <c r="Q33" s="52"/>
      <c r="U33" s="52"/>
    </row>
    <row r="34">
      <c r="M34" s="52"/>
      <c r="N34" s="52"/>
      <c r="O34" s="52"/>
      <c r="P34" s="52"/>
      <c r="Q34" s="52"/>
      <c r="U34" s="52"/>
    </row>
    <row r="35">
      <c r="M35" s="52"/>
      <c r="N35" s="52"/>
      <c r="O35" s="52"/>
      <c r="P35" s="52"/>
      <c r="Q35" s="52"/>
      <c r="U35" s="52"/>
    </row>
    <row r="36">
      <c r="M36" s="52"/>
      <c r="N36" s="52"/>
      <c r="O36" s="52"/>
      <c r="P36" s="52"/>
      <c r="Q36" s="52"/>
      <c r="U36" s="52"/>
    </row>
    <row r="37">
      <c r="M37" s="52"/>
      <c r="N37" s="52"/>
      <c r="O37" s="52"/>
      <c r="P37" s="52"/>
      <c r="Q37" s="52"/>
      <c r="U37" s="52"/>
    </row>
    <row r="38">
      <c r="M38" s="52"/>
      <c r="N38" s="52"/>
      <c r="O38" s="52"/>
      <c r="P38" s="52"/>
      <c r="Q38" s="52"/>
      <c r="U38" s="52"/>
    </row>
    <row r="39">
      <c r="M39" s="52"/>
      <c r="N39" s="52"/>
      <c r="O39" s="52"/>
      <c r="P39" s="52"/>
      <c r="Q39" s="52"/>
      <c r="U39" s="52"/>
    </row>
    <row r="40">
      <c r="M40" s="52"/>
      <c r="N40" s="52"/>
      <c r="O40" s="52"/>
      <c r="P40" s="52"/>
      <c r="Q40" s="52"/>
      <c r="U40" s="52"/>
    </row>
    <row r="41">
      <c r="M41" s="52"/>
      <c r="N41" s="52"/>
      <c r="O41" s="52"/>
      <c r="P41" s="52"/>
      <c r="Q41" s="52"/>
      <c r="U41" s="52"/>
    </row>
    <row r="42">
      <c r="M42" s="52"/>
      <c r="N42" s="52"/>
      <c r="O42" s="52"/>
      <c r="P42" s="52"/>
      <c r="Q42" s="52"/>
      <c r="U42" s="52"/>
    </row>
    <row r="43">
      <c r="M43" s="52"/>
      <c r="N43" s="52"/>
      <c r="O43" s="52"/>
      <c r="P43" s="52"/>
      <c r="Q43" s="52"/>
      <c r="U43" s="52"/>
    </row>
    <row r="44">
      <c r="M44" s="52"/>
      <c r="N44" s="52"/>
      <c r="O44" s="52"/>
      <c r="P44" s="52"/>
      <c r="Q44" s="52"/>
      <c r="U44" s="52"/>
    </row>
    <row r="45">
      <c r="M45" s="52"/>
      <c r="N45" s="52"/>
      <c r="O45" s="52"/>
      <c r="P45" s="52"/>
      <c r="Q45" s="52"/>
      <c r="U45" s="52"/>
    </row>
    <row r="46">
      <c r="M46" s="52"/>
      <c r="N46" s="52"/>
      <c r="O46" s="52"/>
      <c r="P46" s="52"/>
      <c r="Q46" s="52"/>
      <c r="U46" s="52"/>
    </row>
    <row r="47">
      <c r="M47" s="52"/>
      <c r="N47" s="52"/>
      <c r="O47" s="52"/>
      <c r="P47" s="52"/>
      <c r="Q47" s="52"/>
      <c r="U47" s="52"/>
    </row>
    <row r="48">
      <c r="M48" s="52"/>
      <c r="N48" s="52"/>
      <c r="O48" s="52"/>
      <c r="P48" s="52"/>
      <c r="Q48" s="52"/>
      <c r="U48" s="52"/>
    </row>
    <row r="49">
      <c r="M49" s="52"/>
      <c r="N49" s="52"/>
      <c r="O49" s="52"/>
      <c r="P49" s="52"/>
      <c r="Q49" s="52"/>
      <c r="U49" s="52"/>
    </row>
    <row r="50">
      <c r="M50" s="52"/>
      <c r="N50" s="52"/>
      <c r="O50" s="52"/>
      <c r="P50" s="52"/>
      <c r="Q50" s="52"/>
      <c r="U50" s="52"/>
    </row>
    <row r="51">
      <c r="M51" s="52"/>
      <c r="N51" s="52"/>
      <c r="O51" s="52"/>
      <c r="P51" s="52"/>
      <c r="Q51" s="52"/>
      <c r="U51" s="52"/>
    </row>
    <row r="52">
      <c r="M52" s="52"/>
      <c r="N52" s="52"/>
      <c r="O52" s="52"/>
      <c r="P52" s="52"/>
      <c r="Q52" s="52"/>
      <c r="U52" s="52"/>
    </row>
    <row r="53">
      <c r="M53" s="52"/>
      <c r="N53" s="52"/>
      <c r="O53" s="52"/>
      <c r="P53" s="52"/>
      <c r="Q53" s="52"/>
      <c r="U53" s="52"/>
    </row>
    <row r="54">
      <c r="M54" s="52"/>
      <c r="N54" s="52"/>
      <c r="O54" s="52"/>
      <c r="P54" s="52"/>
      <c r="Q54" s="52"/>
      <c r="U54" s="52"/>
    </row>
    <row r="55">
      <c r="M55" s="52"/>
      <c r="N55" s="52"/>
      <c r="O55" s="52"/>
      <c r="P55" s="52"/>
      <c r="Q55" s="52"/>
      <c r="U55" s="52"/>
    </row>
    <row r="56">
      <c r="M56" s="52"/>
      <c r="N56" s="52"/>
      <c r="O56" s="52"/>
      <c r="P56" s="52"/>
      <c r="Q56" s="52"/>
      <c r="U56" s="52"/>
    </row>
    <row r="57">
      <c r="M57" s="52"/>
      <c r="N57" s="52"/>
      <c r="O57" s="52"/>
      <c r="P57" s="52"/>
      <c r="Q57" s="52"/>
      <c r="U57" s="52"/>
    </row>
    <row r="58">
      <c r="M58" s="52"/>
      <c r="N58" s="52"/>
      <c r="O58" s="52"/>
      <c r="P58" s="52"/>
      <c r="Q58" s="52"/>
      <c r="U58" s="52"/>
    </row>
    <row r="59">
      <c r="M59" s="52"/>
      <c r="N59" s="52"/>
      <c r="O59" s="52"/>
      <c r="P59" s="52"/>
      <c r="Q59" s="52"/>
      <c r="U59" s="52"/>
    </row>
    <row r="60">
      <c r="M60" s="52"/>
      <c r="N60" s="52"/>
      <c r="O60" s="52"/>
      <c r="P60" s="52"/>
      <c r="Q60" s="52"/>
      <c r="U60" s="52"/>
    </row>
    <row r="61">
      <c r="M61" s="52"/>
      <c r="N61" s="52"/>
      <c r="O61" s="52"/>
      <c r="P61" s="52"/>
      <c r="Q61" s="52"/>
      <c r="U61" s="52"/>
    </row>
    <row r="62">
      <c r="M62" s="52"/>
      <c r="N62" s="52"/>
      <c r="O62" s="52"/>
      <c r="P62" s="52"/>
      <c r="Q62" s="52"/>
      <c r="U62" s="52"/>
    </row>
    <row r="63">
      <c r="M63" s="52"/>
      <c r="N63" s="52"/>
      <c r="O63" s="52"/>
      <c r="P63" s="52"/>
      <c r="Q63" s="52"/>
      <c r="U63" s="52"/>
    </row>
    <row r="64">
      <c r="M64" s="52"/>
      <c r="N64" s="52"/>
      <c r="O64" s="52"/>
      <c r="P64" s="52"/>
      <c r="Q64" s="52"/>
      <c r="U64" s="52"/>
    </row>
    <row r="65">
      <c r="M65" s="52"/>
      <c r="N65" s="52"/>
      <c r="O65" s="52"/>
      <c r="P65" s="52"/>
      <c r="Q65" s="52"/>
      <c r="U65" s="52"/>
    </row>
    <row r="66">
      <c r="M66" s="52"/>
      <c r="N66" s="52"/>
      <c r="O66" s="52"/>
      <c r="P66" s="52"/>
      <c r="Q66" s="52"/>
      <c r="U66" s="52"/>
    </row>
    <row r="67">
      <c r="M67" s="52"/>
      <c r="N67" s="52"/>
      <c r="O67" s="52"/>
      <c r="P67" s="52"/>
      <c r="Q67" s="52"/>
      <c r="U67" s="52"/>
    </row>
    <row r="68">
      <c r="M68" s="52"/>
      <c r="N68" s="52"/>
      <c r="O68" s="52"/>
      <c r="P68" s="52"/>
      <c r="Q68" s="52"/>
      <c r="U68" s="52"/>
    </row>
    <row r="69">
      <c r="M69" s="52"/>
      <c r="N69" s="52"/>
      <c r="O69" s="52"/>
      <c r="P69" s="52"/>
      <c r="Q69" s="52"/>
      <c r="U69" s="52"/>
    </row>
    <row r="70">
      <c r="M70" s="52"/>
      <c r="N70" s="52"/>
      <c r="O70" s="52"/>
      <c r="P70" s="52"/>
      <c r="Q70" s="52"/>
      <c r="U70" s="52"/>
    </row>
    <row r="71">
      <c r="M71" s="52"/>
      <c r="N71" s="52"/>
      <c r="O71" s="52"/>
      <c r="P71" s="52"/>
      <c r="Q71" s="52"/>
      <c r="U71" s="52"/>
    </row>
    <row r="72">
      <c r="M72" s="52"/>
      <c r="N72" s="52"/>
      <c r="O72" s="52"/>
      <c r="P72" s="52"/>
      <c r="Q72" s="52"/>
      <c r="U72" s="52"/>
    </row>
    <row r="73">
      <c r="M73" s="52"/>
      <c r="N73" s="52"/>
      <c r="O73" s="52"/>
      <c r="P73" s="52"/>
      <c r="Q73" s="52"/>
      <c r="U73" s="52"/>
    </row>
    <row r="74">
      <c r="M74" s="52"/>
      <c r="N74" s="52"/>
      <c r="O74" s="52"/>
      <c r="P74" s="52"/>
      <c r="Q74" s="52"/>
      <c r="U74" s="52"/>
    </row>
    <row r="75">
      <c r="M75" s="52"/>
      <c r="N75" s="52"/>
      <c r="O75" s="52"/>
      <c r="P75" s="52"/>
      <c r="Q75" s="52"/>
      <c r="U75" s="52"/>
    </row>
    <row r="76">
      <c r="M76" s="52"/>
      <c r="N76" s="52"/>
      <c r="O76" s="52"/>
      <c r="P76" s="52"/>
      <c r="Q76" s="52"/>
      <c r="U76" s="52"/>
    </row>
    <row r="77">
      <c r="M77" s="52"/>
      <c r="N77" s="52"/>
      <c r="O77" s="52"/>
      <c r="P77" s="52"/>
      <c r="Q77" s="52"/>
      <c r="U77" s="52"/>
    </row>
    <row r="78">
      <c r="M78" s="52"/>
      <c r="N78" s="52"/>
      <c r="O78" s="52"/>
      <c r="P78" s="52"/>
      <c r="Q78" s="52"/>
      <c r="U78" s="52"/>
    </row>
    <row r="79">
      <c r="M79" s="52"/>
      <c r="N79" s="52"/>
      <c r="O79" s="52"/>
      <c r="P79" s="52"/>
      <c r="Q79" s="52"/>
      <c r="U79" s="52"/>
    </row>
    <row r="80">
      <c r="M80" s="52"/>
      <c r="N80" s="52"/>
      <c r="O80" s="52"/>
      <c r="P80" s="52"/>
      <c r="Q80" s="52"/>
      <c r="U80" s="52"/>
    </row>
    <row r="81">
      <c r="M81" s="52"/>
      <c r="N81" s="52"/>
      <c r="O81" s="52"/>
      <c r="P81" s="52"/>
      <c r="Q81" s="52"/>
      <c r="U81" s="52"/>
    </row>
    <row r="82">
      <c r="M82" s="52"/>
      <c r="N82" s="52"/>
      <c r="O82" s="52"/>
      <c r="P82" s="52"/>
      <c r="Q82" s="52"/>
      <c r="U82" s="52"/>
    </row>
    <row r="83">
      <c r="M83" s="52"/>
      <c r="N83" s="52"/>
      <c r="O83" s="52"/>
      <c r="P83" s="52"/>
      <c r="Q83" s="52"/>
      <c r="U83" s="52"/>
    </row>
    <row r="84">
      <c r="M84" s="52"/>
      <c r="N84" s="52"/>
      <c r="O84" s="52"/>
      <c r="P84" s="52"/>
      <c r="Q84" s="52"/>
      <c r="U84" s="52"/>
    </row>
    <row r="85">
      <c r="M85" s="52"/>
      <c r="N85" s="52"/>
      <c r="O85" s="52"/>
      <c r="P85" s="52"/>
      <c r="Q85" s="52"/>
      <c r="U85" s="52"/>
    </row>
    <row r="86">
      <c r="M86" s="52"/>
      <c r="N86" s="52"/>
      <c r="O86" s="52"/>
      <c r="P86" s="52"/>
      <c r="Q86" s="52"/>
      <c r="U86" s="52"/>
    </row>
    <row r="87">
      <c r="M87" s="52"/>
      <c r="N87" s="52"/>
      <c r="O87" s="52"/>
      <c r="P87" s="52"/>
      <c r="Q87" s="52"/>
      <c r="U87" s="52"/>
    </row>
    <row r="88">
      <c r="M88" s="52"/>
      <c r="N88" s="52"/>
      <c r="O88" s="52"/>
      <c r="P88" s="52"/>
      <c r="Q88" s="52"/>
      <c r="U88" s="52"/>
    </row>
    <row r="89">
      <c r="M89" s="52"/>
      <c r="N89" s="52"/>
      <c r="O89" s="52"/>
      <c r="P89" s="52"/>
      <c r="Q89" s="52"/>
      <c r="U89" s="52"/>
    </row>
    <row r="90">
      <c r="M90" s="52"/>
      <c r="N90" s="52"/>
      <c r="O90" s="52"/>
      <c r="P90" s="52"/>
      <c r="Q90" s="52"/>
      <c r="U90" s="52"/>
    </row>
    <row r="91">
      <c r="M91" s="52"/>
      <c r="N91" s="52"/>
      <c r="O91" s="52"/>
      <c r="P91" s="52"/>
      <c r="Q91" s="52"/>
      <c r="U91" s="52"/>
    </row>
    <row r="92">
      <c r="M92" s="52"/>
      <c r="N92" s="52"/>
      <c r="O92" s="52"/>
      <c r="P92" s="52"/>
      <c r="Q92" s="52"/>
      <c r="U92" s="52"/>
    </row>
    <row r="93">
      <c r="M93" s="52"/>
      <c r="N93" s="52"/>
      <c r="O93" s="52"/>
      <c r="P93" s="52"/>
      <c r="Q93" s="52"/>
      <c r="U93" s="52"/>
    </row>
    <row r="94">
      <c r="M94" s="52"/>
      <c r="N94" s="52"/>
      <c r="O94" s="52"/>
      <c r="P94" s="52"/>
      <c r="Q94" s="52"/>
      <c r="U94" s="52"/>
    </row>
    <row r="95">
      <c r="M95" s="52"/>
      <c r="N95" s="52"/>
      <c r="O95" s="52"/>
      <c r="P95" s="52"/>
      <c r="Q95" s="52"/>
      <c r="U95" s="52"/>
    </row>
    <row r="96">
      <c r="M96" s="52"/>
      <c r="N96" s="52"/>
      <c r="O96" s="52"/>
      <c r="P96" s="52"/>
      <c r="Q96" s="52"/>
      <c r="U96" s="52"/>
    </row>
    <row r="97">
      <c r="M97" s="52"/>
      <c r="N97" s="52"/>
      <c r="O97" s="52"/>
      <c r="P97" s="52"/>
      <c r="Q97" s="52"/>
      <c r="U97" s="52"/>
    </row>
    <row r="98">
      <c r="M98" s="52"/>
      <c r="N98" s="52"/>
      <c r="O98" s="52"/>
      <c r="P98" s="52"/>
      <c r="Q98" s="52"/>
      <c r="U98" s="52"/>
    </row>
    <row r="99">
      <c r="M99" s="52"/>
      <c r="N99" s="52"/>
      <c r="O99" s="52"/>
      <c r="P99" s="52"/>
      <c r="Q99" s="52"/>
      <c r="U99" s="52"/>
    </row>
    <row r="100">
      <c r="M100" s="52"/>
      <c r="N100" s="52"/>
      <c r="O100" s="52"/>
      <c r="P100" s="52"/>
      <c r="Q100" s="52"/>
      <c r="U100" s="52"/>
    </row>
    <row r="101">
      <c r="M101" s="52"/>
      <c r="N101" s="52"/>
      <c r="O101" s="52"/>
      <c r="P101" s="52"/>
      <c r="Q101" s="52"/>
      <c r="U101" s="52"/>
    </row>
    <row r="102">
      <c r="M102" s="52"/>
      <c r="N102" s="52"/>
      <c r="O102" s="52"/>
      <c r="P102" s="52"/>
      <c r="Q102" s="52"/>
      <c r="U102" s="52"/>
    </row>
    <row r="103">
      <c r="M103" s="52"/>
      <c r="N103" s="52"/>
      <c r="O103" s="52"/>
      <c r="P103" s="52"/>
      <c r="Q103" s="52"/>
      <c r="U103" s="52"/>
    </row>
    <row r="104">
      <c r="M104" s="52"/>
      <c r="N104" s="52"/>
      <c r="O104" s="52"/>
      <c r="P104" s="52"/>
      <c r="Q104" s="52"/>
      <c r="U104" s="52"/>
    </row>
    <row r="105">
      <c r="M105" s="52"/>
      <c r="N105" s="52"/>
      <c r="O105" s="52"/>
      <c r="P105" s="52"/>
      <c r="Q105" s="52"/>
      <c r="U105" s="52"/>
    </row>
    <row r="106">
      <c r="M106" s="52"/>
      <c r="N106" s="52"/>
      <c r="O106" s="52"/>
      <c r="P106" s="52"/>
      <c r="Q106" s="52"/>
      <c r="U106" s="52"/>
    </row>
    <row r="107">
      <c r="M107" s="52"/>
      <c r="N107" s="52"/>
      <c r="O107" s="52"/>
      <c r="P107" s="52"/>
      <c r="Q107" s="52"/>
      <c r="U107" s="52"/>
    </row>
    <row r="108">
      <c r="M108" s="52"/>
      <c r="N108" s="52"/>
      <c r="O108" s="52"/>
      <c r="P108" s="52"/>
      <c r="Q108" s="52"/>
      <c r="U108" s="52"/>
    </row>
    <row r="109">
      <c r="M109" s="52"/>
      <c r="N109" s="52"/>
      <c r="O109" s="52"/>
      <c r="P109" s="52"/>
      <c r="Q109" s="52"/>
      <c r="U109" s="52"/>
    </row>
    <row r="110">
      <c r="M110" s="52"/>
      <c r="N110" s="52"/>
      <c r="O110" s="52"/>
      <c r="P110" s="52"/>
      <c r="Q110" s="52"/>
      <c r="U110" s="52"/>
    </row>
    <row r="111">
      <c r="M111" s="52"/>
      <c r="N111" s="52"/>
      <c r="O111" s="52"/>
      <c r="P111" s="52"/>
      <c r="Q111" s="52"/>
      <c r="U111" s="52"/>
    </row>
    <row r="112">
      <c r="M112" s="52"/>
      <c r="N112" s="52"/>
      <c r="O112" s="52"/>
      <c r="P112" s="52"/>
      <c r="Q112" s="52"/>
      <c r="U112" s="52"/>
    </row>
    <row r="113">
      <c r="M113" s="52"/>
      <c r="N113" s="52"/>
      <c r="O113" s="52"/>
      <c r="P113" s="52"/>
      <c r="Q113" s="52"/>
      <c r="U113" s="52"/>
    </row>
    <row r="114">
      <c r="M114" s="52"/>
      <c r="N114" s="52"/>
      <c r="O114" s="52"/>
      <c r="P114" s="52"/>
      <c r="Q114" s="52"/>
      <c r="U114" s="52"/>
    </row>
    <row r="115">
      <c r="M115" s="52"/>
      <c r="N115" s="52"/>
      <c r="O115" s="52"/>
      <c r="P115" s="52"/>
      <c r="Q115" s="52"/>
      <c r="U115" s="52"/>
    </row>
    <row r="116">
      <c r="M116" s="52"/>
      <c r="N116" s="52"/>
      <c r="O116" s="52"/>
      <c r="P116" s="52"/>
      <c r="Q116" s="52"/>
      <c r="U116" s="52"/>
    </row>
    <row r="117">
      <c r="M117" s="52"/>
      <c r="N117" s="52"/>
      <c r="O117" s="52"/>
      <c r="P117" s="52"/>
      <c r="Q117" s="52"/>
      <c r="U117" s="52"/>
    </row>
    <row r="118">
      <c r="M118" s="52"/>
      <c r="N118" s="52"/>
      <c r="O118" s="52"/>
      <c r="P118" s="52"/>
      <c r="Q118" s="52"/>
      <c r="U118" s="52"/>
    </row>
    <row r="119">
      <c r="M119" s="52"/>
      <c r="N119" s="52"/>
      <c r="O119" s="52"/>
      <c r="P119" s="52"/>
      <c r="Q119" s="52"/>
      <c r="U119" s="52"/>
    </row>
    <row r="120">
      <c r="M120" s="52"/>
      <c r="N120" s="52"/>
      <c r="O120" s="52"/>
      <c r="P120" s="52"/>
      <c r="Q120" s="52"/>
      <c r="U120" s="52"/>
    </row>
    <row r="121">
      <c r="M121" s="52"/>
      <c r="N121" s="52"/>
      <c r="O121" s="52"/>
      <c r="P121" s="52"/>
      <c r="Q121" s="52"/>
      <c r="U121" s="52"/>
    </row>
    <row r="122">
      <c r="M122" s="52"/>
      <c r="N122" s="52"/>
      <c r="O122" s="52"/>
      <c r="P122" s="52"/>
      <c r="Q122" s="52"/>
      <c r="U122" s="52"/>
    </row>
    <row r="123">
      <c r="M123" s="52"/>
      <c r="N123" s="52"/>
      <c r="O123" s="52"/>
      <c r="P123" s="52"/>
      <c r="Q123" s="52"/>
      <c r="U123" s="52"/>
    </row>
    <row r="124">
      <c r="M124" s="52"/>
      <c r="N124" s="52"/>
      <c r="O124" s="52"/>
      <c r="P124" s="52"/>
      <c r="Q124" s="52"/>
      <c r="U124" s="52"/>
    </row>
    <row r="125">
      <c r="M125" s="52"/>
      <c r="N125" s="52"/>
      <c r="O125" s="52"/>
      <c r="P125" s="52"/>
      <c r="Q125" s="52"/>
      <c r="U125" s="52"/>
    </row>
    <row r="126">
      <c r="M126" s="52"/>
      <c r="N126" s="52"/>
      <c r="O126" s="52"/>
      <c r="P126" s="52"/>
      <c r="Q126" s="52"/>
      <c r="U126" s="52"/>
    </row>
    <row r="127">
      <c r="M127" s="52"/>
      <c r="N127" s="52"/>
      <c r="O127" s="52"/>
      <c r="P127" s="52"/>
      <c r="Q127" s="52"/>
      <c r="U127" s="52"/>
    </row>
    <row r="128">
      <c r="M128" s="52"/>
      <c r="N128" s="52"/>
      <c r="O128" s="52"/>
      <c r="P128" s="52"/>
      <c r="Q128" s="52"/>
      <c r="U128" s="52"/>
    </row>
    <row r="129">
      <c r="M129" s="52"/>
      <c r="N129" s="52"/>
      <c r="O129" s="52"/>
      <c r="P129" s="52"/>
      <c r="Q129" s="52"/>
      <c r="U129" s="52"/>
    </row>
    <row r="130">
      <c r="M130" s="52"/>
      <c r="N130" s="52"/>
      <c r="O130" s="52"/>
      <c r="P130" s="52"/>
      <c r="Q130" s="52"/>
      <c r="U130" s="52"/>
    </row>
    <row r="131">
      <c r="M131" s="52"/>
      <c r="N131" s="52"/>
      <c r="O131" s="52"/>
      <c r="P131" s="52"/>
      <c r="Q131" s="52"/>
      <c r="U131" s="52"/>
    </row>
    <row r="132">
      <c r="M132" s="52"/>
      <c r="N132" s="52"/>
      <c r="O132" s="52"/>
      <c r="P132" s="52"/>
      <c r="Q132" s="52"/>
      <c r="U132" s="52"/>
    </row>
    <row r="133">
      <c r="M133" s="52"/>
      <c r="N133" s="52"/>
      <c r="O133" s="52"/>
      <c r="P133" s="52"/>
      <c r="Q133" s="52"/>
      <c r="U133" s="52"/>
    </row>
    <row r="134">
      <c r="M134" s="52"/>
      <c r="N134" s="52"/>
      <c r="O134" s="52"/>
      <c r="P134" s="52"/>
      <c r="Q134" s="52"/>
      <c r="U134" s="52"/>
    </row>
    <row r="135">
      <c r="M135" s="52"/>
      <c r="N135" s="52"/>
      <c r="O135" s="52"/>
      <c r="P135" s="52"/>
      <c r="Q135" s="52"/>
      <c r="U135" s="52"/>
    </row>
    <row r="136">
      <c r="M136" s="52"/>
      <c r="N136" s="52"/>
      <c r="O136" s="52"/>
      <c r="P136" s="52"/>
      <c r="Q136" s="52"/>
      <c r="U136" s="52"/>
    </row>
    <row r="137">
      <c r="M137" s="52"/>
      <c r="N137" s="52"/>
      <c r="O137" s="52"/>
      <c r="P137" s="52"/>
      <c r="Q137" s="52"/>
      <c r="U137" s="52"/>
    </row>
    <row r="138">
      <c r="M138" s="52"/>
      <c r="N138" s="52"/>
      <c r="O138" s="52"/>
      <c r="P138" s="52"/>
      <c r="Q138" s="52"/>
      <c r="U138" s="52"/>
    </row>
    <row r="139">
      <c r="M139" s="52"/>
      <c r="N139" s="52"/>
      <c r="O139" s="52"/>
      <c r="P139" s="52"/>
      <c r="Q139" s="52"/>
      <c r="U139" s="52"/>
    </row>
    <row r="140">
      <c r="M140" s="52"/>
      <c r="N140" s="52"/>
      <c r="O140" s="52"/>
      <c r="P140" s="52"/>
      <c r="Q140" s="52"/>
      <c r="U140" s="52"/>
    </row>
    <row r="141">
      <c r="M141" s="52"/>
      <c r="N141" s="52"/>
      <c r="O141" s="52"/>
      <c r="P141" s="52"/>
      <c r="Q141" s="52"/>
      <c r="U141" s="52"/>
    </row>
    <row r="142">
      <c r="M142" s="52"/>
      <c r="N142" s="52"/>
      <c r="O142" s="52"/>
      <c r="P142" s="52"/>
      <c r="Q142" s="52"/>
      <c r="U142" s="52"/>
    </row>
    <row r="143">
      <c r="M143" s="52"/>
      <c r="N143" s="52"/>
      <c r="O143" s="52"/>
      <c r="P143" s="52"/>
      <c r="Q143" s="52"/>
      <c r="U143" s="52"/>
    </row>
    <row r="144">
      <c r="M144" s="52"/>
      <c r="N144" s="52"/>
      <c r="O144" s="52"/>
      <c r="P144" s="52"/>
      <c r="Q144" s="52"/>
      <c r="U144" s="52"/>
    </row>
    <row r="145">
      <c r="M145" s="52"/>
      <c r="N145" s="52"/>
      <c r="O145" s="52"/>
      <c r="P145" s="52"/>
      <c r="Q145" s="52"/>
      <c r="U145" s="52"/>
    </row>
    <row r="146">
      <c r="M146" s="52"/>
      <c r="N146" s="52"/>
      <c r="O146" s="52"/>
      <c r="P146" s="52"/>
      <c r="Q146" s="52"/>
      <c r="U146" s="52"/>
    </row>
    <row r="147">
      <c r="M147" s="52"/>
      <c r="N147" s="52"/>
      <c r="O147" s="52"/>
      <c r="P147" s="52"/>
      <c r="Q147" s="52"/>
      <c r="U147" s="52"/>
    </row>
    <row r="148">
      <c r="M148" s="52"/>
      <c r="N148" s="52"/>
      <c r="O148" s="52"/>
      <c r="P148" s="52"/>
      <c r="Q148" s="52"/>
      <c r="U148" s="52"/>
    </row>
    <row r="149">
      <c r="M149" s="52"/>
      <c r="N149" s="52"/>
      <c r="O149" s="52"/>
      <c r="P149" s="52"/>
      <c r="Q149" s="52"/>
      <c r="U149" s="52"/>
    </row>
    <row r="150">
      <c r="M150" s="52"/>
      <c r="N150" s="52"/>
      <c r="O150" s="52"/>
      <c r="P150" s="52"/>
      <c r="Q150" s="52"/>
      <c r="U150" s="52"/>
    </row>
    <row r="151">
      <c r="M151" s="52"/>
      <c r="N151" s="52"/>
      <c r="O151" s="52"/>
      <c r="P151" s="52"/>
      <c r="Q151" s="52"/>
      <c r="U151" s="52"/>
    </row>
    <row r="152">
      <c r="M152" s="52"/>
      <c r="N152" s="52"/>
      <c r="O152" s="52"/>
      <c r="P152" s="52"/>
      <c r="Q152" s="52"/>
      <c r="U152" s="52"/>
    </row>
    <row r="153">
      <c r="M153" s="52"/>
      <c r="N153" s="52"/>
      <c r="O153" s="52"/>
      <c r="P153" s="52"/>
      <c r="Q153" s="52"/>
      <c r="U153" s="52"/>
    </row>
    <row r="154">
      <c r="M154" s="52"/>
      <c r="N154" s="52"/>
      <c r="O154" s="52"/>
      <c r="P154" s="52"/>
      <c r="Q154" s="52"/>
      <c r="U154" s="52"/>
    </row>
    <row r="155">
      <c r="M155" s="52"/>
      <c r="N155" s="52"/>
      <c r="O155" s="52"/>
      <c r="P155" s="52"/>
      <c r="Q155" s="52"/>
      <c r="U155" s="52"/>
    </row>
    <row r="156">
      <c r="M156" s="52"/>
      <c r="N156" s="52"/>
      <c r="O156" s="52"/>
      <c r="P156" s="52"/>
      <c r="Q156" s="52"/>
      <c r="U156" s="52"/>
    </row>
    <row r="157">
      <c r="M157" s="52"/>
      <c r="N157" s="52"/>
      <c r="O157" s="52"/>
      <c r="P157" s="52"/>
      <c r="Q157" s="52"/>
      <c r="U157" s="52"/>
    </row>
    <row r="158">
      <c r="M158" s="52"/>
      <c r="N158" s="52"/>
      <c r="O158" s="52"/>
      <c r="P158" s="52"/>
      <c r="Q158" s="52"/>
      <c r="U158" s="52"/>
    </row>
    <row r="159">
      <c r="M159" s="52"/>
      <c r="N159" s="52"/>
      <c r="O159" s="52"/>
      <c r="P159" s="52"/>
      <c r="Q159" s="52"/>
      <c r="U159" s="52"/>
    </row>
    <row r="160">
      <c r="M160" s="52"/>
      <c r="N160" s="52"/>
      <c r="O160" s="52"/>
      <c r="P160" s="52"/>
      <c r="Q160" s="52"/>
      <c r="U160" s="52"/>
    </row>
    <row r="161">
      <c r="M161" s="52"/>
      <c r="N161" s="52"/>
      <c r="O161" s="52"/>
      <c r="P161" s="52"/>
      <c r="Q161" s="52"/>
      <c r="U161" s="52"/>
    </row>
    <row r="162">
      <c r="M162" s="52"/>
      <c r="N162" s="52"/>
      <c r="O162" s="52"/>
      <c r="P162" s="52"/>
      <c r="Q162" s="52"/>
      <c r="U162" s="52"/>
    </row>
    <row r="163">
      <c r="M163" s="52"/>
      <c r="N163" s="52"/>
      <c r="O163" s="52"/>
      <c r="P163" s="52"/>
      <c r="Q163" s="52"/>
      <c r="U163" s="52"/>
    </row>
    <row r="164">
      <c r="M164" s="52"/>
      <c r="N164" s="52"/>
      <c r="O164" s="52"/>
      <c r="P164" s="52"/>
      <c r="Q164" s="52"/>
      <c r="U164" s="52"/>
    </row>
    <row r="165">
      <c r="M165" s="52"/>
      <c r="N165" s="52"/>
      <c r="O165" s="52"/>
      <c r="P165" s="52"/>
      <c r="Q165" s="52"/>
      <c r="U165" s="52"/>
    </row>
    <row r="166">
      <c r="M166" s="52"/>
      <c r="N166" s="52"/>
      <c r="O166" s="52"/>
      <c r="P166" s="52"/>
      <c r="Q166" s="52"/>
      <c r="U166" s="52"/>
    </row>
    <row r="167">
      <c r="M167" s="52"/>
      <c r="N167" s="52"/>
      <c r="O167" s="52"/>
      <c r="P167" s="52"/>
      <c r="Q167" s="52"/>
      <c r="U167" s="52"/>
    </row>
    <row r="168">
      <c r="M168" s="52"/>
      <c r="N168" s="52"/>
      <c r="O168" s="52"/>
      <c r="P168" s="52"/>
      <c r="Q168" s="52"/>
      <c r="U168" s="52"/>
    </row>
    <row r="169">
      <c r="M169" s="52"/>
      <c r="N169" s="52"/>
      <c r="O169" s="52"/>
      <c r="P169" s="52"/>
      <c r="Q169" s="52"/>
      <c r="U169" s="52"/>
    </row>
    <row r="170">
      <c r="M170" s="52"/>
      <c r="N170" s="52"/>
      <c r="O170" s="52"/>
      <c r="P170" s="52"/>
      <c r="Q170" s="52"/>
      <c r="U170" s="52"/>
    </row>
    <row r="171">
      <c r="M171" s="52"/>
      <c r="N171" s="52"/>
      <c r="O171" s="52"/>
      <c r="P171" s="52"/>
      <c r="Q171" s="52"/>
      <c r="U171" s="52"/>
    </row>
    <row r="172">
      <c r="M172" s="52"/>
      <c r="N172" s="52"/>
      <c r="O172" s="52"/>
      <c r="P172" s="52"/>
      <c r="Q172" s="52"/>
      <c r="U172" s="52"/>
    </row>
    <row r="173">
      <c r="M173" s="52"/>
      <c r="N173" s="52"/>
      <c r="O173" s="52"/>
      <c r="P173" s="52"/>
      <c r="Q173" s="52"/>
      <c r="U173" s="52"/>
    </row>
    <row r="174">
      <c r="M174" s="52"/>
      <c r="N174" s="52"/>
      <c r="O174" s="52"/>
      <c r="P174" s="52"/>
      <c r="Q174" s="52"/>
      <c r="U174" s="52"/>
    </row>
    <row r="175">
      <c r="M175" s="52"/>
      <c r="N175" s="52"/>
      <c r="O175" s="52"/>
      <c r="P175" s="52"/>
      <c r="Q175" s="52"/>
      <c r="U175" s="52"/>
    </row>
    <row r="176">
      <c r="M176" s="52"/>
      <c r="N176" s="52"/>
      <c r="O176" s="52"/>
      <c r="P176" s="52"/>
      <c r="Q176" s="52"/>
      <c r="U176" s="52"/>
    </row>
    <row r="177">
      <c r="M177" s="52"/>
      <c r="N177" s="52"/>
      <c r="O177" s="52"/>
      <c r="P177" s="52"/>
      <c r="Q177" s="52"/>
      <c r="U177" s="52"/>
    </row>
    <row r="178">
      <c r="M178" s="52"/>
      <c r="N178" s="52"/>
      <c r="O178" s="52"/>
      <c r="P178" s="52"/>
      <c r="Q178" s="52"/>
      <c r="U178" s="52"/>
    </row>
    <row r="179">
      <c r="M179" s="52"/>
      <c r="N179" s="52"/>
      <c r="O179" s="52"/>
      <c r="P179" s="52"/>
      <c r="Q179" s="52"/>
      <c r="U179" s="52"/>
    </row>
    <row r="180">
      <c r="M180" s="52"/>
      <c r="N180" s="52"/>
      <c r="O180" s="52"/>
      <c r="P180" s="52"/>
      <c r="Q180" s="52"/>
      <c r="U180" s="52"/>
    </row>
    <row r="181">
      <c r="M181" s="52"/>
      <c r="N181" s="52"/>
      <c r="O181" s="52"/>
      <c r="P181" s="52"/>
      <c r="Q181" s="52"/>
      <c r="U181" s="52"/>
    </row>
    <row r="182">
      <c r="M182" s="52"/>
      <c r="N182" s="52"/>
      <c r="O182" s="52"/>
      <c r="P182" s="52"/>
      <c r="Q182" s="52"/>
      <c r="U182" s="52"/>
    </row>
    <row r="183">
      <c r="M183" s="52"/>
      <c r="N183" s="52"/>
      <c r="O183" s="52"/>
      <c r="P183" s="52"/>
      <c r="Q183" s="52"/>
      <c r="U183" s="52"/>
    </row>
    <row r="184">
      <c r="M184" s="52"/>
      <c r="N184" s="52"/>
      <c r="O184" s="52"/>
      <c r="P184" s="52"/>
      <c r="Q184" s="52"/>
      <c r="U184" s="52"/>
    </row>
    <row r="185">
      <c r="M185" s="52"/>
      <c r="N185" s="52"/>
      <c r="O185" s="52"/>
      <c r="P185" s="52"/>
      <c r="Q185" s="52"/>
      <c r="U185" s="52"/>
    </row>
    <row r="186">
      <c r="M186" s="52"/>
      <c r="N186" s="52"/>
      <c r="O186" s="52"/>
      <c r="P186" s="52"/>
      <c r="Q186" s="52"/>
      <c r="U186" s="52"/>
    </row>
    <row r="187">
      <c r="M187" s="52"/>
      <c r="N187" s="52"/>
      <c r="O187" s="52"/>
      <c r="P187" s="52"/>
      <c r="Q187" s="52"/>
      <c r="U187" s="52"/>
    </row>
    <row r="188">
      <c r="M188" s="52"/>
      <c r="N188" s="52"/>
      <c r="O188" s="52"/>
      <c r="P188" s="52"/>
      <c r="Q188" s="52"/>
      <c r="U188" s="52"/>
    </row>
    <row r="189">
      <c r="M189" s="52"/>
      <c r="N189" s="52"/>
      <c r="O189" s="52"/>
      <c r="P189" s="52"/>
      <c r="Q189" s="52"/>
      <c r="U189" s="52"/>
    </row>
    <row r="190">
      <c r="M190" s="52"/>
      <c r="N190" s="52"/>
      <c r="O190" s="52"/>
      <c r="P190" s="52"/>
      <c r="Q190" s="52"/>
      <c r="U190" s="52"/>
    </row>
    <row r="191">
      <c r="M191" s="52"/>
      <c r="N191" s="52"/>
      <c r="O191" s="52"/>
      <c r="P191" s="52"/>
      <c r="Q191" s="52"/>
      <c r="U191" s="52"/>
    </row>
    <row r="192">
      <c r="M192" s="52"/>
      <c r="N192" s="52"/>
      <c r="O192" s="52"/>
      <c r="P192" s="52"/>
      <c r="Q192" s="52"/>
      <c r="U192" s="52"/>
    </row>
    <row r="193">
      <c r="M193" s="52"/>
      <c r="N193" s="52"/>
      <c r="O193" s="52"/>
      <c r="P193" s="52"/>
      <c r="Q193" s="52"/>
      <c r="U193" s="52"/>
    </row>
    <row r="194">
      <c r="M194" s="52"/>
      <c r="N194" s="52"/>
      <c r="O194" s="52"/>
      <c r="P194" s="52"/>
      <c r="Q194" s="52"/>
      <c r="U194" s="52"/>
    </row>
    <row r="195">
      <c r="M195" s="52"/>
      <c r="N195" s="52"/>
      <c r="O195" s="52"/>
      <c r="P195" s="52"/>
      <c r="Q195" s="52"/>
      <c r="U195" s="52"/>
    </row>
    <row r="196">
      <c r="M196" s="52"/>
      <c r="N196" s="52"/>
      <c r="O196" s="52"/>
      <c r="P196" s="52"/>
      <c r="Q196" s="52"/>
      <c r="U196" s="52"/>
    </row>
    <row r="197">
      <c r="M197" s="52"/>
      <c r="N197" s="52"/>
      <c r="O197" s="52"/>
      <c r="P197" s="52"/>
      <c r="Q197" s="52"/>
      <c r="U197" s="52"/>
    </row>
    <row r="198">
      <c r="M198" s="52"/>
      <c r="N198" s="52"/>
      <c r="O198" s="52"/>
      <c r="P198" s="52"/>
      <c r="Q198" s="52"/>
      <c r="U198" s="52"/>
    </row>
    <row r="199">
      <c r="M199" s="52"/>
      <c r="N199" s="52"/>
      <c r="O199" s="52"/>
      <c r="P199" s="52"/>
      <c r="Q199" s="52"/>
      <c r="U199" s="52"/>
    </row>
    <row r="200">
      <c r="M200" s="52"/>
      <c r="N200" s="52"/>
      <c r="O200" s="52"/>
      <c r="P200" s="52"/>
      <c r="Q200" s="52"/>
      <c r="U200" s="52"/>
    </row>
    <row r="201">
      <c r="M201" s="52"/>
      <c r="N201" s="52"/>
      <c r="O201" s="52"/>
      <c r="P201" s="52"/>
      <c r="Q201" s="52"/>
      <c r="U201" s="52"/>
    </row>
    <row r="202">
      <c r="M202" s="52"/>
      <c r="N202" s="52"/>
      <c r="O202" s="52"/>
      <c r="P202" s="52"/>
      <c r="Q202" s="52"/>
      <c r="U202" s="52"/>
    </row>
    <row r="203">
      <c r="M203" s="52"/>
      <c r="N203" s="52"/>
      <c r="O203" s="52"/>
      <c r="P203" s="52"/>
      <c r="Q203" s="52"/>
      <c r="U203" s="52"/>
    </row>
    <row r="204">
      <c r="M204" s="52"/>
      <c r="N204" s="52"/>
      <c r="O204" s="52"/>
      <c r="P204" s="52"/>
      <c r="Q204" s="52"/>
      <c r="U204" s="52"/>
    </row>
    <row r="205">
      <c r="M205" s="52"/>
      <c r="N205" s="52"/>
      <c r="O205" s="52"/>
      <c r="P205" s="52"/>
      <c r="Q205" s="52"/>
      <c r="U205" s="52"/>
    </row>
    <row r="206">
      <c r="M206" s="52"/>
      <c r="N206" s="52"/>
      <c r="O206" s="52"/>
      <c r="P206" s="52"/>
      <c r="Q206" s="52"/>
      <c r="U206" s="52"/>
    </row>
    <row r="207">
      <c r="M207" s="52"/>
      <c r="N207" s="52"/>
      <c r="O207" s="52"/>
      <c r="P207" s="52"/>
      <c r="Q207" s="52"/>
      <c r="U207" s="52"/>
    </row>
    <row r="208">
      <c r="M208" s="52"/>
      <c r="N208" s="52"/>
      <c r="O208" s="52"/>
      <c r="P208" s="52"/>
      <c r="Q208" s="52"/>
      <c r="U208" s="52"/>
    </row>
    <row r="209">
      <c r="M209" s="52"/>
      <c r="N209" s="52"/>
      <c r="O209" s="52"/>
      <c r="P209" s="52"/>
      <c r="Q209" s="52"/>
      <c r="U209" s="52"/>
    </row>
    <row r="210">
      <c r="M210" s="52"/>
      <c r="N210" s="52"/>
      <c r="O210" s="52"/>
      <c r="P210" s="52"/>
      <c r="Q210" s="52"/>
      <c r="U210" s="52"/>
    </row>
    <row r="211">
      <c r="M211" s="52"/>
      <c r="N211" s="52"/>
      <c r="O211" s="52"/>
      <c r="P211" s="52"/>
      <c r="Q211" s="52"/>
      <c r="U211" s="52"/>
    </row>
    <row r="212">
      <c r="M212" s="52"/>
      <c r="N212" s="52"/>
      <c r="O212" s="52"/>
      <c r="P212" s="52"/>
      <c r="Q212" s="52"/>
      <c r="U212" s="52"/>
    </row>
    <row r="213">
      <c r="M213" s="52"/>
      <c r="N213" s="52"/>
      <c r="O213" s="52"/>
      <c r="P213" s="52"/>
      <c r="Q213" s="52"/>
      <c r="U213" s="52"/>
    </row>
    <row r="214">
      <c r="M214" s="52"/>
      <c r="N214" s="52"/>
      <c r="O214" s="52"/>
      <c r="P214" s="52"/>
      <c r="Q214" s="52"/>
      <c r="U214" s="52"/>
    </row>
    <row r="215">
      <c r="M215" s="52"/>
      <c r="N215" s="52"/>
      <c r="O215" s="52"/>
      <c r="P215" s="52"/>
      <c r="Q215" s="52"/>
      <c r="U215" s="52"/>
    </row>
    <row r="216">
      <c r="M216" s="52"/>
      <c r="N216" s="52"/>
      <c r="O216" s="52"/>
      <c r="P216" s="52"/>
      <c r="Q216" s="52"/>
      <c r="U216" s="52"/>
    </row>
    <row r="217">
      <c r="M217" s="52"/>
      <c r="N217" s="52"/>
      <c r="O217" s="52"/>
      <c r="P217" s="52"/>
      <c r="Q217" s="52"/>
      <c r="U217" s="52"/>
    </row>
    <row r="218">
      <c r="M218" s="52"/>
      <c r="N218" s="52"/>
      <c r="O218" s="52"/>
      <c r="P218" s="52"/>
      <c r="Q218" s="52"/>
      <c r="U218" s="52"/>
    </row>
    <row r="219">
      <c r="M219" s="52"/>
      <c r="N219" s="52"/>
      <c r="O219" s="52"/>
      <c r="P219" s="52"/>
      <c r="Q219" s="52"/>
      <c r="U219" s="52"/>
    </row>
    <row r="220">
      <c r="M220" s="52"/>
      <c r="N220" s="52"/>
      <c r="O220" s="52"/>
      <c r="P220" s="52"/>
      <c r="Q220" s="52"/>
      <c r="U220" s="52"/>
    </row>
    <row r="221">
      <c r="M221" s="52"/>
      <c r="N221" s="52"/>
      <c r="O221" s="52"/>
      <c r="P221" s="52"/>
      <c r="Q221" s="52"/>
      <c r="U221" s="52"/>
    </row>
    <row r="222">
      <c r="M222" s="52"/>
      <c r="N222" s="52"/>
      <c r="O222" s="52"/>
      <c r="P222" s="52"/>
      <c r="Q222" s="52"/>
      <c r="U222" s="52"/>
    </row>
    <row r="223">
      <c r="M223" s="52"/>
      <c r="N223" s="52"/>
      <c r="O223" s="52"/>
      <c r="P223" s="52"/>
      <c r="Q223" s="52"/>
      <c r="U223" s="52"/>
    </row>
    <row r="224">
      <c r="M224" s="52"/>
      <c r="N224" s="52"/>
      <c r="O224" s="52"/>
      <c r="P224" s="52"/>
      <c r="Q224" s="52"/>
      <c r="U224" s="52"/>
    </row>
    <row r="225">
      <c r="M225" s="52"/>
      <c r="N225" s="52"/>
      <c r="O225" s="52"/>
      <c r="P225" s="52"/>
      <c r="Q225" s="52"/>
      <c r="U225" s="52"/>
    </row>
    <row r="226">
      <c r="M226" s="52"/>
      <c r="N226" s="52"/>
      <c r="O226" s="52"/>
      <c r="P226" s="52"/>
      <c r="Q226" s="52"/>
      <c r="U226" s="52"/>
    </row>
    <row r="227">
      <c r="M227" s="52"/>
      <c r="N227" s="52"/>
      <c r="O227" s="52"/>
      <c r="P227" s="52"/>
      <c r="Q227" s="52"/>
      <c r="U227" s="52"/>
    </row>
    <row r="228">
      <c r="M228" s="52"/>
      <c r="N228" s="52"/>
      <c r="O228" s="52"/>
      <c r="P228" s="52"/>
      <c r="Q228" s="52"/>
      <c r="U228" s="52"/>
    </row>
    <row r="229">
      <c r="M229" s="52"/>
      <c r="N229" s="52"/>
      <c r="O229" s="52"/>
      <c r="P229" s="52"/>
      <c r="Q229" s="52"/>
      <c r="U229" s="52"/>
    </row>
    <row r="230">
      <c r="M230" s="52"/>
      <c r="N230" s="52"/>
      <c r="O230" s="52"/>
      <c r="P230" s="52"/>
      <c r="Q230" s="52"/>
      <c r="U230" s="52"/>
    </row>
    <row r="231">
      <c r="M231" s="52"/>
      <c r="N231" s="52"/>
      <c r="O231" s="52"/>
      <c r="P231" s="52"/>
      <c r="Q231" s="52"/>
      <c r="U231" s="52"/>
    </row>
    <row r="232">
      <c r="M232" s="52"/>
      <c r="N232" s="52"/>
      <c r="O232" s="52"/>
      <c r="P232" s="52"/>
      <c r="Q232" s="52"/>
      <c r="U232" s="52"/>
    </row>
    <row r="233">
      <c r="M233" s="52"/>
      <c r="N233" s="52"/>
      <c r="O233" s="52"/>
      <c r="P233" s="52"/>
      <c r="Q233" s="52"/>
      <c r="U233" s="52"/>
    </row>
    <row r="234">
      <c r="M234" s="52"/>
      <c r="N234" s="52"/>
      <c r="O234" s="52"/>
      <c r="P234" s="52"/>
      <c r="Q234" s="52"/>
      <c r="U234" s="52"/>
    </row>
    <row r="235">
      <c r="M235" s="52"/>
      <c r="N235" s="52"/>
      <c r="O235" s="52"/>
      <c r="P235" s="52"/>
      <c r="Q235" s="52"/>
      <c r="U235" s="52"/>
    </row>
    <row r="236">
      <c r="M236" s="52"/>
      <c r="N236" s="52"/>
      <c r="O236" s="52"/>
      <c r="P236" s="52"/>
      <c r="Q236" s="52"/>
      <c r="U236" s="52"/>
    </row>
    <row r="237">
      <c r="M237" s="52"/>
      <c r="N237" s="52"/>
      <c r="O237" s="52"/>
      <c r="P237" s="52"/>
      <c r="Q237" s="52"/>
      <c r="U237" s="52"/>
    </row>
    <row r="238">
      <c r="M238" s="52"/>
      <c r="N238" s="52"/>
      <c r="O238" s="52"/>
      <c r="P238" s="52"/>
      <c r="Q238" s="52"/>
      <c r="U238" s="52"/>
    </row>
    <row r="239">
      <c r="M239" s="52"/>
      <c r="N239" s="52"/>
      <c r="O239" s="52"/>
      <c r="P239" s="52"/>
      <c r="Q239" s="52"/>
      <c r="U239" s="52"/>
    </row>
    <row r="240">
      <c r="M240" s="52"/>
      <c r="N240" s="52"/>
      <c r="O240" s="52"/>
      <c r="P240" s="52"/>
      <c r="Q240" s="52"/>
      <c r="U240" s="52"/>
    </row>
    <row r="241">
      <c r="M241" s="52"/>
      <c r="N241" s="52"/>
      <c r="O241" s="52"/>
      <c r="P241" s="52"/>
      <c r="Q241" s="52"/>
      <c r="U241" s="52"/>
    </row>
    <row r="242">
      <c r="M242" s="52"/>
      <c r="N242" s="52"/>
      <c r="O242" s="52"/>
      <c r="P242" s="52"/>
      <c r="Q242" s="52"/>
      <c r="U242" s="52"/>
    </row>
    <row r="243">
      <c r="M243" s="52"/>
      <c r="N243" s="52"/>
      <c r="O243" s="52"/>
      <c r="P243" s="52"/>
      <c r="Q243" s="52"/>
      <c r="U243" s="52"/>
    </row>
    <row r="244">
      <c r="M244" s="52"/>
      <c r="N244" s="52"/>
      <c r="O244" s="52"/>
      <c r="P244" s="52"/>
      <c r="Q244" s="52"/>
      <c r="U244" s="52"/>
    </row>
    <row r="245">
      <c r="M245" s="52"/>
      <c r="N245" s="52"/>
      <c r="O245" s="52"/>
      <c r="P245" s="52"/>
      <c r="Q245" s="52"/>
      <c r="U245" s="52"/>
    </row>
    <row r="246">
      <c r="M246" s="52"/>
      <c r="N246" s="52"/>
      <c r="O246" s="52"/>
      <c r="P246" s="52"/>
      <c r="Q246" s="52"/>
      <c r="U246" s="52"/>
    </row>
    <row r="247">
      <c r="M247" s="52"/>
      <c r="N247" s="52"/>
      <c r="O247" s="52"/>
      <c r="P247" s="52"/>
      <c r="Q247" s="52"/>
      <c r="U247" s="52"/>
    </row>
    <row r="248">
      <c r="M248" s="52"/>
      <c r="N248" s="52"/>
      <c r="O248" s="52"/>
      <c r="P248" s="52"/>
      <c r="Q248" s="52"/>
      <c r="U248" s="52"/>
    </row>
    <row r="249">
      <c r="M249" s="52"/>
      <c r="N249" s="52"/>
      <c r="O249" s="52"/>
      <c r="P249" s="52"/>
      <c r="Q249" s="52"/>
      <c r="U249" s="52"/>
    </row>
    <row r="250">
      <c r="M250" s="52"/>
      <c r="N250" s="52"/>
      <c r="O250" s="52"/>
      <c r="P250" s="52"/>
      <c r="Q250" s="52"/>
      <c r="U250" s="52"/>
    </row>
    <row r="251">
      <c r="M251" s="52"/>
      <c r="N251" s="52"/>
      <c r="O251" s="52"/>
      <c r="P251" s="52"/>
      <c r="Q251" s="52"/>
      <c r="U251" s="52"/>
    </row>
    <row r="252">
      <c r="M252" s="52"/>
      <c r="N252" s="52"/>
      <c r="O252" s="52"/>
      <c r="P252" s="52"/>
      <c r="Q252" s="52"/>
      <c r="U252" s="52"/>
    </row>
    <row r="253">
      <c r="M253" s="52"/>
      <c r="N253" s="52"/>
      <c r="O253" s="52"/>
      <c r="P253" s="52"/>
      <c r="Q253" s="52"/>
      <c r="U253" s="52"/>
    </row>
    <row r="254">
      <c r="M254" s="52"/>
      <c r="N254" s="52"/>
      <c r="O254" s="52"/>
      <c r="P254" s="52"/>
      <c r="Q254" s="52"/>
      <c r="U254" s="52"/>
    </row>
    <row r="255">
      <c r="M255" s="52"/>
      <c r="N255" s="52"/>
      <c r="O255" s="52"/>
      <c r="P255" s="52"/>
      <c r="Q255" s="52"/>
      <c r="U255" s="52"/>
    </row>
    <row r="256">
      <c r="M256" s="52"/>
      <c r="N256" s="52"/>
      <c r="O256" s="52"/>
      <c r="P256" s="52"/>
      <c r="Q256" s="52"/>
      <c r="U256" s="52"/>
    </row>
    <row r="257">
      <c r="M257" s="52"/>
      <c r="N257" s="52"/>
      <c r="O257" s="52"/>
      <c r="P257" s="52"/>
      <c r="Q257" s="52"/>
      <c r="U257" s="52"/>
    </row>
    <row r="258">
      <c r="M258" s="52"/>
      <c r="N258" s="52"/>
      <c r="O258" s="52"/>
      <c r="P258" s="52"/>
      <c r="Q258" s="52"/>
      <c r="U258" s="52"/>
    </row>
    <row r="259">
      <c r="M259" s="52"/>
      <c r="N259" s="52"/>
      <c r="O259" s="52"/>
      <c r="P259" s="52"/>
      <c r="Q259" s="52"/>
      <c r="U259" s="52"/>
    </row>
    <row r="260">
      <c r="M260" s="52"/>
      <c r="N260" s="52"/>
      <c r="O260" s="52"/>
      <c r="P260" s="52"/>
      <c r="Q260" s="52"/>
      <c r="U260" s="52"/>
    </row>
    <row r="261">
      <c r="M261" s="52"/>
      <c r="N261" s="52"/>
      <c r="O261" s="52"/>
      <c r="P261" s="52"/>
      <c r="Q261" s="52"/>
      <c r="U261" s="52"/>
    </row>
    <row r="262">
      <c r="M262" s="52"/>
      <c r="N262" s="52"/>
      <c r="O262" s="52"/>
      <c r="P262" s="52"/>
      <c r="Q262" s="52"/>
      <c r="U262" s="52"/>
    </row>
    <row r="263">
      <c r="M263" s="52"/>
      <c r="N263" s="52"/>
      <c r="O263" s="52"/>
      <c r="P263" s="52"/>
      <c r="Q263" s="52"/>
      <c r="U263" s="52"/>
    </row>
    <row r="264">
      <c r="M264" s="52"/>
      <c r="N264" s="52"/>
      <c r="O264" s="52"/>
      <c r="P264" s="52"/>
      <c r="Q264" s="52"/>
      <c r="U264" s="52"/>
    </row>
    <row r="265">
      <c r="M265" s="52"/>
      <c r="N265" s="52"/>
      <c r="O265" s="52"/>
      <c r="P265" s="52"/>
      <c r="Q265" s="52"/>
      <c r="U265" s="52"/>
    </row>
    <row r="266">
      <c r="M266" s="52"/>
      <c r="N266" s="52"/>
      <c r="O266" s="52"/>
      <c r="P266" s="52"/>
      <c r="Q266" s="52"/>
      <c r="U266" s="52"/>
    </row>
    <row r="267">
      <c r="M267" s="52"/>
      <c r="N267" s="52"/>
      <c r="O267" s="52"/>
      <c r="P267" s="52"/>
      <c r="Q267" s="52"/>
      <c r="U267" s="52"/>
    </row>
    <row r="268">
      <c r="M268" s="52"/>
      <c r="N268" s="52"/>
      <c r="O268" s="52"/>
      <c r="P268" s="52"/>
      <c r="Q268" s="52"/>
      <c r="U268" s="52"/>
    </row>
    <row r="269">
      <c r="M269" s="52"/>
      <c r="N269" s="52"/>
      <c r="O269" s="52"/>
      <c r="P269" s="52"/>
      <c r="Q269" s="52"/>
      <c r="U269" s="52"/>
    </row>
    <row r="270">
      <c r="M270" s="52"/>
      <c r="N270" s="52"/>
      <c r="O270" s="52"/>
      <c r="P270" s="52"/>
      <c r="Q270" s="52"/>
      <c r="U270" s="52"/>
    </row>
    <row r="271">
      <c r="M271" s="52"/>
      <c r="N271" s="52"/>
      <c r="O271" s="52"/>
      <c r="P271" s="52"/>
      <c r="Q271" s="52"/>
      <c r="U271" s="52"/>
    </row>
    <row r="272">
      <c r="M272" s="52"/>
      <c r="N272" s="52"/>
      <c r="O272" s="52"/>
      <c r="P272" s="52"/>
      <c r="Q272" s="52"/>
      <c r="U272" s="52"/>
    </row>
    <row r="273">
      <c r="M273" s="52"/>
      <c r="N273" s="52"/>
      <c r="O273" s="52"/>
      <c r="P273" s="52"/>
      <c r="Q273" s="52"/>
      <c r="U273" s="52"/>
    </row>
    <row r="274">
      <c r="M274" s="52"/>
      <c r="N274" s="52"/>
      <c r="O274" s="52"/>
      <c r="P274" s="52"/>
      <c r="Q274" s="52"/>
      <c r="U274" s="52"/>
    </row>
    <row r="275">
      <c r="M275" s="52"/>
      <c r="N275" s="52"/>
      <c r="O275" s="52"/>
      <c r="P275" s="52"/>
      <c r="Q275" s="52"/>
      <c r="U275" s="52"/>
    </row>
    <row r="276">
      <c r="M276" s="52"/>
      <c r="N276" s="52"/>
      <c r="O276" s="52"/>
      <c r="P276" s="52"/>
      <c r="Q276" s="52"/>
      <c r="U276" s="52"/>
    </row>
    <row r="277">
      <c r="M277" s="52"/>
      <c r="N277" s="52"/>
      <c r="O277" s="52"/>
      <c r="P277" s="52"/>
      <c r="Q277" s="52"/>
      <c r="U277" s="52"/>
    </row>
    <row r="278">
      <c r="M278" s="52"/>
      <c r="N278" s="52"/>
      <c r="O278" s="52"/>
      <c r="P278" s="52"/>
      <c r="Q278" s="52"/>
      <c r="U278" s="52"/>
    </row>
    <row r="279">
      <c r="M279" s="52"/>
      <c r="N279" s="52"/>
      <c r="O279" s="52"/>
      <c r="P279" s="52"/>
      <c r="Q279" s="52"/>
      <c r="U279" s="52"/>
    </row>
    <row r="280">
      <c r="M280" s="52"/>
      <c r="N280" s="52"/>
      <c r="O280" s="52"/>
      <c r="P280" s="52"/>
      <c r="Q280" s="52"/>
      <c r="U280" s="52"/>
    </row>
    <row r="281">
      <c r="M281" s="52"/>
      <c r="N281" s="52"/>
      <c r="O281" s="52"/>
      <c r="P281" s="52"/>
      <c r="Q281" s="52"/>
      <c r="U281" s="52"/>
    </row>
    <row r="282">
      <c r="M282" s="52"/>
      <c r="N282" s="52"/>
      <c r="O282" s="52"/>
      <c r="P282" s="52"/>
      <c r="Q282" s="52"/>
      <c r="U282" s="52"/>
    </row>
    <row r="283">
      <c r="M283" s="52"/>
      <c r="N283" s="52"/>
      <c r="O283" s="52"/>
      <c r="P283" s="52"/>
      <c r="Q283" s="52"/>
      <c r="U283" s="52"/>
    </row>
    <row r="284">
      <c r="M284" s="52"/>
      <c r="N284" s="52"/>
      <c r="O284" s="52"/>
      <c r="P284" s="52"/>
      <c r="Q284" s="52"/>
      <c r="U284" s="52"/>
    </row>
    <row r="285">
      <c r="M285" s="52"/>
      <c r="N285" s="52"/>
      <c r="O285" s="52"/>
      <c r="P285" s="52"/>
      <c r="Q285" s="52"/>
      <c r="U285" s="52"/>
    </row>
    <row r="286">
      <c r="M286" s="52"/>
      <c r="N286" s="52"/>
      <c r="O286" s="52"/>
      <c r="P286" s="52"/>
      <c r="Q286" s="52"/>
      <c r="U286" s="52"/>
    </row>
    <row r="287">
      <c r="M287" s="52"/>
      <c r="N287" s="52"/>
      <c r="O287" s="52"/>
      <c r="P287" s="52"/>
      <c r="Q287" s="52"/>
      <c r="U287" s="52"/>
    </row>
    <row r="288">
      <c r="M288" s="52"/>
      <c r="N288" s="52"/>
      <c r="O288" s="52"/>
      <c r="P288" s="52"/>
      <c r="Q288" s="52"/>
      <c r="U288" s="52"/>
    </row>
    <row r="289">
      <c r="M289" s="52"/>
      <c r="N289" s="52"/>
      <c r="O289" s="52"/>
      <c r="P289" s="52"/>
      <c r="Q289" s="52"/>
      <c r="U289" s="52"/>
    </row>
    <row r="290">
      <c r="M290" s="52"/>
      <c r="N290" s="52"/>
      <c r="O290" s="52"/>
      <c r="P290" s="52"/>
      <c r="Q290" s="52"/>
      <c r="U290" s="52"/>
    </row>
    <row r="291">
      <c r="M291" s="52"/>
      <c r="N291" s="52"/>
      <c r="O291" s="52"/>
      <c r="P291" s="52"/>
      <c r="Q291" s="52"/>
      <c r="U291" s="52"/>
    </row>
    <row r="292">
      <c r="M292" s="52"/>
      <c r="N292" s="52"/>
      <c r="O292" s="52"/>
      <c r="P292" s="52"/>
      <c r="Q292" s="52"/>
      <c r="U292" s="52"/>
    </row>
    <row r="293">
      <c r="M293" s="52"/>
      <c r="N293" s="52"/>
      <c r="O293" s="52"/>
      <c r="P293" s="52"/>
      <c r="Q293" s="52"/>
      <c r="U293" s="52"/>
    </row>
    <row r="294">
      <c r="M294" s="52"/>
      <c r="N294" s="52"/>
      <c r="O294" s="52"/>
      <c r="P294" s="52"/>
      <c r="Q294" s="52"/>
      <c r="U294" s="52"/>
    </row>
    <row r="295">
      <c r="M295" s="52"/>
      <c r="N295" s="52"/>
      <c r="O295" s="52"/>
      <c r="P295" s="52"/>
      <c r="Q295" s="52"/>
      <c r="U295" s="52"/>
    </row>
    <row r="296">
      <c r="M296" s="52"/>
      <c r="N296" s="52"/>
      <c r="O296" s="52"/>
      <c r="P296" s="52"/>
      <c r="Q296" s="52"/>
      <c r="U296" s="52"/>
    </row>
    <row r="297">
      <c r="M297" s="52"/>
      <c r="N297" s="52"/>
      <c r="O297" s="52"/>
      <c r="P297" s="52"/>
      <c r="Q297" s="52"/>
      <c r="U297" s="52"/>
    </row>
    <row r="298">
      <c r="M298" s="52"/>
      <c r="N298" s="52"/>
      <c r="O298" s="52"/>
      <c r="P298" s="52"/>
      <c r="Q298" s="52"/>
      <c r="U298" s="52"/>
    </row>
    <row r="299">
      <c r="M299" s="52"/>
      <c r="N299" s="52"/>
      <c r="O299" s="52"/>
      <c r="P299" s="52"/>
      <c r="Q299" s="52"/>
      <c r="U299" s="52"/>
    </row>
    <row r="300">
      <c r="M300" s="52"/>
      <c r="N300" s="52"/>
      <c r="O300" s="52"/>
      <c r="P300" s="52"/>
      <c r="Q300" s="52"/>
      <c r="U300" s="52"/>
    </row>
    <row r="301">
      <c r="M301" s="52"/>
      <c r="N301" s="52"/>
      <c r="O301" s="52"/>
      <c r="P301" s="52"/>
      <c r="Q301" s="52"/>
      <c r="U301" s="52"/>
    </row>
    <row r="302">
      <c r="M302" s="52"/>
      <c r="N302" s="52"/>
      <c r="O302" s="52"/>
      <c r="P302" s="52"/>
      <c r="Q302" s="52"/>
      <c r="U302" s="52"/>
    </row>
    <row r="303">
      <c r="M303" s="52"/>
      <c r="N303" s="52"/>
      <c r="O303" s="52"/>
      <c r="P303" s="52"/>
      <c r="Q303" s="52"/>
      <c r="U303" s="52"/>
    </row>
    <row r="304">
      <c r="M304" s="52"/>
      <c r="N304" s="52"/>
      <c r="O304" s="52"/>
      <c r="P304" s="52"/>
      <c r="Q304" s="52"/>
      <c r="U304" s="52"/>
    </row>
    <row r="305">
      <c r="M305" s="52"/>
      <c r="N305" s="52"/>
      <c r="O305" s="52"/>
      <c r="P305" s="52"/>
      <c r="Q305" s="52"/>
      <c r="U305" s="52"/>
    </row>
    <row r="306">
      <c r="M306" s="52"/>
      <c r="N306" s="52"/>
      <c r="O306" s="52"/>
      <c r="P306" s="52"/>
      <c r="Q306" s="52"/>
      <c r="U306" s="52"/>
    </row>
    <row r="307">
      <c r="M307" s="52"/>
      <c r="N307" s="52"/>
      <c r="O307" s="52"/>
      <c r="P307" s="52"/>
      <c r="Q307" s="52"/>
      <c r="U307" s="52"/>
    </row>
    <row r="308">
      <c r="M308" s="52"/>
      <c r="N308" s="52"/>
      <c r="O308" s="52"/>
      <c r="P308" s="52"/>
      <c r="Q308" s="52"/>
      <c r="U308" s="52"/>
    </row>
    <row r="309">
      <c r="M309" s="52"/>
      <c r="N309" s="52"/>
      <c r="O309" s="52"/>
      <c r="P309" s="52"/>
      <c r="Q309" s="52"/>
      <c r="U309" s="52"/>
    </row>
    <row r="310">
      <c r="M310" s="52"/>
      <c r="N310" s="52"/>
      <c r="O310" s="52"/>
      <c r="P310" s="52"/>
      <c r="Q310" s="52"/>
      <c r="U310" s="52"/>
    </row>
    <row r="311">
      <c r="M311" s="52"/>
      <c r="N311" s="52"/>
      <c r="O311" s="52"/>
      <c r="P311" s="52"/>
      <c r="Q311" s="52"/>
      <c r="U311" s="52"/>
    </row>
    <row r="312">
      <c r="M312" s="52"/>
      <c r="N312" s="52"/>
      <c r="O312" s="52"/>
      <c r="P312" s="52"/>
      <c r="Q312" s="52"/>
      <c r="U312" s="52"/>
    </row>
    <row r="313">
      <c r="M313" s="52"/>
      <c r="N313" s="52"/>
      <c r="O313" s="52"/>
      <c r="P313" s="52"/>
      <c r="Q313" s="52"/>
      <c r="U313" s="52"/>
    </row>
    <row r="314">
      <c r="M314" s="52"/>
      <c r="N314" s="52"/>
      <c r="O314" s="52"/>
      <c r="P314" s="52"/>
      <c r="Q314" s="52"/>
      <c r="U314" s="52"/>
    </row>
    <row r="315">
      <c r="M315" s="52"/>
      <c r="N315" s="52"/>
      <c r="O315" s="52"/>
      <c r="P315" s="52"/>
      <c r="Q315" s="52"/>
      <c r="U315" s="52"/>
    </row>
    <row r="316">
      <c r="M316" s="52"/>
      <c r="N316" s="52"/>
      <c r="O316" s="52"/>
      <c r="P316" s="52"/>
      <c r="Q316" s="52"/>
      <c r="U316" s="52"/>
    </row>
    <row r="317">
      <c r="M317" s="52"/>
      <c r="N317" s="52"/>
      <c r="O317" s="52"/>
      <c r="P317" s="52"/>
      <c r="Q317" s="52"/>
      <c r="U317" s="52"/>
    </row>
    <row r="318">
      <c r="M318" s="52"/>
      <c r="N318" s="52"/>
      <c r="O318" s="52"/>
      <c r="P318" s="52"/>
      <c r="Q318" s="52"/>
      <c r="U318" s="52"/>
    </row>
    <row r="319">
      <c r="M319" s="52"/>
      <c r="N319" s="52"/>
      <c r="O319" s="52"/>
      <c r="P319" s="52"/>
      <c r="Q319" s="52"/>
      <c r="U319" s="52"/>
    </row>
    <row r="320">
      <c r="M320" s="52"/>
      <c r="N320" s="52"/>
      <c r="O320" s="52"/>
      <c r="P320" s="52"/>
      <c r="Q320" s="52"/>
      <c r="U320" s="52"/>
    </row>
    <row r="321">
      <c r="M321" s="52"/>
      <c r="N321" s="52"/>
      <c r="O321" s="52"/>
      <c r="P321" s="52"/>
      <c r="Q321" s="52"/>
      <c r="U321" s="52"/>
    </row>
    <row r="322">
      <c r="M322" s="52"/>
      <c r="N322" s="52"/>
      <c r="O322" s="52"/>
      <c r="P322" s="52"/>
      <c r="Q322" s="52"/>
      <c r="U322" s="52"/>
    </row>
    <row r="323">
      <c r="M323" s="52"/>
      <c r="N323" s="52"/>
      <c r="O323" s="52"/>
      <c r="P323" s="52"/>
      <c r="Q323" s="52"/>
      <c r="U323" s="52"/>
    </row>
    <row r="324">
      <c r="M324" s="52"/>
      <c r="N324" s="52"/>
      <c r="O324" s="52"/>
      <c r="P324" s="52"/>
      <c r="Q324" s="52"/>
      <c r="U324" s="52"/>
    </row>
    <row r="325">
      <c r="M325" s="52"/>
      <c r="N325" s="52"/>
      <c r="O325" s="52"/>
      <c r="P325" s="52"/>
      <c r="Q325" s="52"/>
      <c r="U325" s="52"/>
    </row>
    <row r="326">
      <c r="M326" s="52"/>
      <c r="N326" s="52"/>
      <c r="O326" s="52"/>
      <c r="P326" s="52"/>
      <c r="Q326" s="52"/>
      <c r="U326" s="52"/>
    </row>
    <row r="327">
      <c r="M327" s="52"/>
      <c r="N327" s="52"/>
      <c r="O327" s="52"/>
      <c r="P327" s="52"/>
      <c r="Q327" s="52"/>
      <c r="U327" s="52"/>
    </row>
    <row r="328">
      <c r="M328" s="52"/>
      <c r="N328" s="52"/>
      <c r="O328" s="52"/>
      <c r="P328" s="52"/>
      <c r="Q328" s="52"/>
      <c r="U328" s="52"/>
    </row>
    <row r="329">
      <c r="M329" s="52"/>
      <c r="N329" s="52"/>
      <c r="O329" s="52"/>
      <c r="P329" s="52"/>
      <c r="Q329" s="52"/>
      <c r="U329" s="52"/>
    </row>
    <row r="330">
      <c r="M330" s="52"/>
      <c r="N330" s="52"/>
      <c r="O330" s="52"/>
      <c r="P330" s="52"/>
      <c r="Q330" s="52"/>
      <c r="U330" s="52"/>
    </row>
    <row r="331">
      <c r="M331" s="52"/>
      <c r="N331" s="52"/>
      <c r="O331" s="52"/>
      <c r="P331" s="52"/>
      <c r="Q331" s="52"/>
      <c r="U331" s="52"/>
    </row>
    <row r="332">
      <c r="M332" s="52"/>
      <c r="N332" s="52"/>
      <c r="O332" s="52"/>
      <c r="P332" s="52"/>
      <c r="Q332" s="52"/>
      <c r="U332" s="52"/>
    </row>
    <row r="333">
      <c r="M333" s="52"/>
      <c r="N333" s="52"/>
      <c r="O333" s="52"/>
      <c r="P333" s="52"/>
      <c r="Q333" s="52"/>
      <c r="U333" s="52"/>
    </row>
    <row r="334">
      <c r="M334" s="52"/>
      <c r="N334" s="52"/>
      <c r="O334" s="52"/>
      <c r="P334" s="52"/>
      <c r="Q334" s="52"/>
      <c r="U334" s="52"/>
    </row>
    <row r="335">
      <c r="M335" s="52"/>
      <c r="N335" s="52"/>
      <c r="O335" s="52"/>
      <c r="P335" s="52"/>
      <c r="Q335" s="52"/>
      <c r="U335" s="52"/>
    </row>
    <row r="336">
      <c r="M336" s="52"/>
      <c r="N336" s="52"/>
      <c r="O336" s="52"/>
      <c r="P336" s="52"/>
      <c r="Q336" s="52"/>
      <c r="U336" s="52"/>
    </row>
    <row r="337">
      <c r="M337" s="52"/>
      <c r="N337" s="52"/>
      <c r="O337" s="52"/>
      <c r="P337" s="52"/>
      <c r="Q337" s="52"/>
      <c r="U337" s="52"/>
    </row>
    <row r="338">
      <c r="M338" s="52"/>
      <c r="N338" s="52"/>
      <c r="O338" s="52"/>
      <c r="P338" s="52"/>
      <c r="Q338" s="52"/>
      <c r="U338" s="52"/>
    </row>
    <row r="339">
      <c r="M339" s="52"/>
      <c r="N339" s="52"/>
      <c r="O339" s="52"/>
      <c r="P339" s="52"/>
      <c r="Q339" s="52"/>
      <c r="U339" s="52"/>
    </row>
    <row r="340">
      <c r="M340" s="52"/>
      <c r="N340" s="52"/>
      <c r="O340" s="52"/>
      <c r="P340" s="52"/>
      <c r="Q340" s="52"/>
      <c r="U340" s="52"/>
    </row>
    <row r="341">
      <c r="M341" s="52"/>
      <c r="N341" s="52"/>
      <c r="O341" s="52"/>
      <c r="P341" s="52"/>
      <c r="Q341" s="52"/>
      <c r="U341" s="52"/>
    </row>
    <row r="342">
      <c r="M342" s="52"/>
      <c r="N342" s="52"/>
      <c r="O342" s="52"/>
      <c r="P342" s="52"/>
      <c r="Q342" s="52"/>
      <c r="U342" s="52"/>
    </row>
    <row r="343">
      <c r="M343" s="52"/>
      <c r="N343" s="52"/>
      <c r="O343" s="52"/>
      <c r="P343" s="52"/>
      <c r="Q343" s="52"/>
      <c r="U343" s="52"/>
    </row>
    <row r="344">
      <c r="M344" s="52"/>
      <c r="N344" s="52"/>
      <c r="O344" s="52"/>
      <c r="P344" s="52"/>
      <c r="Q344" s="52"/>
      <c r="U344" s="52"/>
    </row>
    <row r="345">
      <c r="M345" s="52"/>
      <c r="N345" s="52"/>
      <c r="O345" s="52"/>
      <c r="P345" s="52"/>
      <c r="Q345" s="52"/>
      <c r="U345" s="52"/>
    </row>
    <row r="346">
      <c r="M346" s="52"/>
      <c r="N346" s="52"/>
      <c r="O346" s="52"/>
      <c r="P346" s="52"/>
      <c r="Q346" s="52"/>
      <c r="U346" s="52"/>
    </row>
    <row r="347">
      <c r="M347" s="52"/>
      <c r="N347" s="52"/>
      <c r="O347" s="52"/>
      <c r="P347" s="52"/>
      <c r="Q347" s="52"/>
      <c r="U347" s="52"/>
    </row>
    <row r="348">
      <c r="M348" s="52"/>
      <c r="N348" s="52"/>
      <c r="O348" s="52"/>
      <c r="P348" s="52"/>
      <c r="Q348" s="52"/>
      <c r="U348" s="52"/>
    </row>
    <row r="349">
      <c r="M349" s="52"/>
      <c r="N349" s="52"/>
      <c r="O349" s="52"/>
      <c r="P349" s="52"/>
      <c r="Q349" s="52"/>
      <c r="U349" s="52"/>
    </row>
    <row r="350">
      <c r="M350" s="52"/>
      <c r="N350" s="52"/>
      <c r="O350" s="52"/>
      <c r="P350" s="52"/>
      <c r="Q350" s="52"/>
      <c r="U350" s="52"/>
    </row>
    <row r="351">
      <c r="M351" s="52"/>
      <c r="N351" s="52"/>
      <c r="O351" s="52"/>
      <c r="P351" s="52"/>
      <c r="Q351" s="52"/>
      <c r="U351" s="52"/>
    </row>
    <row r="352">
      <c r="M352" s="52"/>
      <c r="N352" s="52"/>
      <c r="O352" s="52"/>
      <c r="P352" s="52"/>
      <c r="Q352" s="52"/>
      <c r="U352" s="52"/>
    </row>
    <row r="353">
      <c r="M353" s="52"/>
      <c r="N353" s="52"/>
      <c r="O353" s="52"/>
      <c r="P353" s="52"/>
      <c r="Q353" s="52"/>
      <c r="U353" s="52"/>
    </row>
    <row r="354">
      <c r="M354" s="52"/>
      <c r="N354" s="52"/>
      <c r="O354" s="52"/>
      <c r="P354" s="52"/>
      <c r="Q354" s="52"/>
      <c r="U354" s="52"/>
    </row>
    <row r="355">
      <c r="M355" s="52"/>
      <c r="N355" s="52"/>
      <c r="O355" s="52"/>
      <c r="P355" s="52"/>
      <c r="Q355" s="52"/>
      <c r="U355" s="52"/>
    </row>
    <row r="356">
      <c r="M356" s="52"/>
      <c r="N356" s="52"/>
      <c r="O356" s="52"/>
      <c r="P356" s="52"/>
      <c r="Q356" s="52"/>
      <c r="U356" s="52"/>
    </row>
    <row r="357">
      <c r="M357" s="52"/>
      <c r="N357" s="52"/>
      <c r="O357" s="52"/>
      <c r="P357" s="52"/>
      <c r="Q357" s="52"/>
      <c r="U357" s="52"/>
    </row>
    <row r="358">
      <c r="M358" s="52"/>
      <c r="N358" s="52"/>
      <c r="O358" s="52"/>
      <c r="P358" s="52"/>
      <c r="Q358" s="52"/>
      <c r="U358" s="52"/>
    </row>
    <row r="359">
      <c r="M359" s="52"/>
      <c r="N359" s="52"/>
      <c r="O359" s="52"/>
      <c r="P359" s="52"/>
      <c r="Q359" s="52"/>
      <c r="U359" s="52"/>
    </row>
    <row r="360">
      <c r="M360" s="52"/>
      <c r="N360" s="52"/>
      <c r="O360" s="52"/>
      <c r="P360" s="52"/>
      <c r="Q360" s="52"/>
      <c r="U360" s="52"/>
    </row>
    <row r="361">
      <c r="M361" s="52"/>
      <c r="N361" s="52"/>
      <c r="O361" s="52"/>
      <c r="P361" s="52"/>
      <c r="Q361" s="52"/>
      <c r="U361" s="52"/>
    </row>
    <row r="362">
      <c r="M362" s="52"/>
      <c r="N362" s="52"/>
      <c r="O362" s="52"/>
      <c r="P362" s="52"/>
      <c r="Q362" s="52"/>
      <c r="U362" s="52"/>
    </row>
    <row r="363">
      <c r="M363" s="52"/>
      <c r="N363" s="52"/>
      <c r="O363" s="52"/>
      <c r="P363" s="52"/>
      <c r="Q363" s="52"/>
      <c r="U363" s="52"/>
    </row>
    <row r="364">
      <c r="M364" s="52"/>
      <c r="N364" s="52"/>
      <c r="O364" s="52"/>
      <c r="P364" s="52"/>
      <c r="Q364" s="52"/>
      <c r="U364" s="52"/>
    </row>
    <row r="365">
      <c r="M365" s="52"/>
      <c r="N365" s="52"/>
      <c r="O365" s="52"/>
      <c r="P365" s="52"/>
      <c r="Q365" s="52"/>
      <c r="U365" s="52"/>
    </row>
    <row r="366">
      <c r="M366" s="52"/>
      <c r="N366" s="52"/>
      <c r="O366" s="52"/>
      <c r="P366" s="52"/>
      <c r="Q366" s="52"/>
      <c r="U366" s="52"/>
    </row>
    <row r="367">
      <c r="M367" s="52"/>
      <c r="N367" s="52"/>
      <c r="O367" s="52"/>
      <c r="P367" s="52"/>
      <c r="Q367" s="52"/>
      <c r="U367" s="52"/>
    </row>
    <row r="368">
      <c r="M368" s="52"/>
      <c r="N368" s="52"/>
      <c r="O368" s="52"/>
      <c r="P368" s="52"/>
      <c r="Q368" s="52"/>
      <c r="U368" s="52"/>
    </row>
    <row r="369">
      <c r="M369" s="52"/>
      <c r="N369" s="52"/>
      <c r="O369" s="52"/>
      <c r="P369" s="52"/>
      <c r="Q369" s="52"/>
      <c r="U369" s="52"/>
    </row>
    <row r="370">
      <c r="M370" s="52"/>
      <c r="N370" s="52"/>
      <c r="O370" s="52"/>
      <c r="P370" s="52"/>
      <c r="Q370" s="52"/>
      <c r="U370" s="52"/>
    </row>
    <row r="371">
      <c r="M371" s="52"/>
      <c r="N371" s="52"/>
      <c r="O371" s="52"/>
      <c r="P371" s="52"/>
      <c r="Q371" s="52"/>
      <c r="U371" s="52"/>
    </row>
    <row r="372">
      <c r="M372" s="52"/>
      <c r="N372" s="52"/>
      <c r="O372" s="52"/>
      <c r="P372" s="52"/>
      <c r="Q372" s="52"/>
      <c r="U372" s="52"/>
    </row>
    <row r="373">
      <c r="M373" s="52"/>
      <c r="N373" s="52"/>
      <c r="O373" s="52"/>
      <c r="P373" s="52"/>
      <c r="Q373" s="52"/>
      <c r="U373" s="52"/>
    </row>
    <row r="374">
      <c r="M374" s="52"/>
      <c r="N374" s="52"/>
      <c r="O374" s="52"/>
      <c r="P374" s="52"/>
      <c r="Q374" s="52"/>
      <c r="U374" s="52"/>
    </row>
    <row r="375">
      <c r="M375" s="52"/>
      <c r="N375" s="52"/>
      <c r="O375" s="52"/>
      <c r="P375" s="52"/>
      <c r="Q375" s="52"/>
      <c r="U375" s="52"/>
    </row>
    <row r="376">
      <c r="M376" s="52"/>
      <c r="N376" s="52"/>
      <c r="O376" s="52"/>
      <c r="P376" s="52"/>
      <c r="Q376" s="52"/>
      <c r="U376" s="52"/>
    </row>
    <row r="377">
      <c r="M377" s="52"/>
      <c r="N377" s="52"/>
      <c r="O377" s="52"/>
      <c r="P377" s="52"/>
      <c r="Q377" s="52"/>
      <c r="U377" s="52"/>
    </row>
    <row r="378">
      <c r="M378" s="52"/>
      <c r="N378" s="52"/>
      <c r="O378" s="52"/>
      <c r="P378" s="52"/>
      <c r="Q378" s="52"/>
      <c r="U378" s="52"/>
    </row>
    <row r="379">
      <c r="M379" s="52"/>
      <c r="N379" s="52"/>
      <c r="O379" s="52"/>
      <c r="P379" s="52"/>
      <c r="Q379" s="52"/>
      <c r="U379" s="52"/>
    </row>
    <row r="380">
      <c r="M380" s="52"/>
      <c r="N380" s="52"/>
      <c r="O380" s="52"/>
      <c r="P380" s="52"/>
      <c r="Q380" s="52"/>
      <c r="U380" s="52"/>
    </row>
    <row r="381">
      <c r="M381" s="52"/>
      <c r="N381" s="52"/>
      <c r="O381" s="52"/>
      <c r="P381" s="52"/>
      <c r="Q381" s="52"/>
      <c r="U381" s="52"/>
    </row>
    <row r="382">
      <c r="M382" s="52"/>
      <c r="N382" s="52"/>
      <c r="O382" s="52"/>
      <c r="P382" s="52"/>
      <c r="Q382" s="52"/>
      <c r="U382" s="52"/>
    </row>
    <row r="383">
      <c r="M383" s="52"/>
      <c r="N383" s="52"/>
      <c r="O383" s="52"/>
      <c r="P383" s="52"/>
      <c r="Q383" s="52"/>
      <c r="U383" s="52"/>
    </row>
    <row r="384">
      <c r="M384" s="52"/>
      <c r="N384" s="52"/>
      <c r="O384" s="52"/>
      <c r="P384" s="52"/>
      <c r="Q384" s="52"/>
      <c r="U384" s="52"/>
    </row>
    <row r="385">
      <c r="M385" s="52"/>
      <c r="N385" s="52"/>
      <c r="O385" s="52"/>
      <c r="P385" s="52"/>
      <c r="Q385" s="52"/>
      <c r="U385" s="52"/>
    </row>
    <row r="386">
      <c r="M386" s="52"/>
      <c r="N386" s="52"/>
      <c r="O386" s="52"/>
      <c r="P386" s="52"/>
      <c r="Q386" s="52"/>
      <c r="U386" s="52"/>
    </row>
    <row r="387">
      <c r="M387" s="52"/>
      <c r="N387" s="52"/>
      <c r="O387" s="52"/>
      <c r="P387" s="52"/>
      <c r="Q387" s="52"/>
      <c r="U387" s="52"/>
    </row>
    <row r="388">
      <c r="M388" s="52"/>
      <c r="N388" s="52"/>
      <c r="O388" s="52"/>
      <c r="P388" s="52"/>
      <c r="Q388" s="52"/>
      <c r="U388" s="52"/>
    </row>
    <row r="389">
      <c r="M389" s="52"/>
      <c r="N389" s="52"/>
      <c r="O389" s="52"/>
      <c r="P389" s="52"/>
      <c r="Q389" s="52"/>
      <c r="U389" s="52"/>
    </row>
    <row r="390">
      <c r="M390" s="52"/>
      <c r="N390" s="52"/>
      <c r="O390" s="52"/>
      <c r="P390" s="52"/>
      <c r="Q390" s="52"/>
      <c r="U390" s="52"/>
    </row>
    <row r="391">
      <c r="M391" s="52"/>
      <c r="N391" s="52"/>
      <c r="O391" s="52"/>
      <c r="P391" s="52"/>
      <c r="Q391" s="52"/>
      <c r="U391" s="52"/>
    </row>
    <row r="392">
      <c r="M392" s="52"/>
      <c r="N392" s="52"/>
      <c r="O392" s="52"/>
      <c r="P392" s="52"/>
      <c r="Q392" s="52"/>
      <c r="U392" s="52"/>
    </row>
    <row r="393">
      <c r="M393" s="52"/>
      <c r="N393" s="52"/>
      <c r="O393" s="52"/>
      <c r="P393" s="52"/>
      <c r="Q393" s="52"/>
      <c r="U393" s="52"/>
    </row>
    <row r="394">
      <c r="M394" s="52"/>
      <c r="N394" s="52"/>
      <c r="O394" s="52"/>
      <c r="P394" s="52"/>
      <c r="Q394" s="52"/>
      <c r="U394" s="52"/>
    </row>
    <row r="395">
      <c r="M395" s="52"/>
      <c r="N395" s="52"/>
      <c r="O395" s="52"/>
      <c r="P395" s="52"/>
      <c r="Q395" s="52"/>
      <c r="U395" s="52"/>
    </row>
    <row r="396">
      <c r="M396" s="52"/>
      <c r="N396" s="52"/>
      <c r="O396" s="52"/>
      <c r="P396" s="52"/>
      <c r="Q396" s="52"/>
      <c r="U396" s="52"/>
    </row>
    <row r="397">
      <c r="M397" s="52"/>
      <c r="N397" s="52"/>
      <c r="O397" s="52"/>
      <c r="P397" s="52"/>
      <c r="Q397" s="52"/>
      <c r="U397" s="52"/>
    </row>
    <row r="398">
      <c r="M398" s="52"/>
      <c r="N398" s="52"/>
      <c r="O398" s="52"/>
      <c r="P398" s="52"/>
      <c r="Q398" s="52"/>
      <c r="U398" s="52"/>
    </row>
    <row r="399">
      <c r="M399" s="52"/>
      <c r="N399" s="52"/>
      <c r="O399" s="52"/>
      <c r="P399" s="52"/>
      <c r="Q399" s="52"/>
      <c r="U399" s="52"/>
    </row>
    <row r="400">
      <c r="M400" s="52"/>
      <c r="N400" s="52"/>
      <c r="O400" s="52"/>
      <c r="P400" s="52"/>
      <c r="Q400" s="52"/>
      <c r="U400" s="52"/>
    </row>
    <row r="401">
      <c r="M401" s="52"/>
      <c r="N401" s="52"/>
      <c r="O401" s="52"/>
      <c r="P401" s="52"/>
      <c r="Q401" s="52"/>
      <c r="U401" s="52"/>
    </row>
    <row r="402">
      <c r="M402" s="52"/>
      <c r="N402" s="52"/>
      <c r="O402" s="52"/>
      <c r="P402" s="52"/>
      <c r="Q402" s="52"/>
      <c r="U402" s="52"/>
    </row>
    <row r="403">
      <c r="M403" s="52"/>
      <c r="N403" s="52"/>
      <c r="O403" s="52"/>
      <c r="P403" s="52"/>
      <c r="Q403" s="52"/>
      <c r="U403" s="52"/>
    </row>
    <row r="404">
      <c r="M404" s="52"/>
      <c r="N404" s="52"/>
      <c r="O404" s="52"/>
      <c r="P404" s="52"/>
      <c r="Q404" s="52"/>
      <c r="U404" s="52"/>
    </row>
    <row r="405">
      <c r="M405" s="52"/>
      <c r="N405" s="52"/>
      <c r="O405" s="52"/>
      <c r="P405" s="52"/>
      <c r="Q405" s="52"/>
      <c r="U405" s="52"/>
    </row>
    <row r="406">
      <c r="M406" s="52"/>
      <c r="N406" s="52"/>
      <c r="O406" s="52"/>
      <c r="P406" s="52"/>
      <c r="Q406" s="52"/>
      <c r="U406" s="52"/>
    </row>
    <row r="407">
      <c r="M407" s="52"/>
      <c r="N407" s="52"/>
      <c r="O407" s="52"/>
      <c r="P407" s="52"/>
      <c r="Q407" s="52"/>
      <c r="U407" s="52"/>
    </row>
    <row r="408">
      <c r="M408" s="52"/>
      <c r="N408" s="52"/>
      <c r="O408" s="52"/>
      <c r="P408" s="52"/>
      <c r="Q408" s="52"/>
      <c r="U408" s="52"/>
    </row>
    <row r="409">
      <c r="M409" s="52"/>
      <c r="N409" s="52"/>
      <c r="O409" s="52"/>
      <c r="P409" s="52"/>
      <c r="Q409" s="52"/>
      <c r="U409" s="52"/>
    </row>
    <row r="410">
      <c r="M410" s="52"/>
      <c r="N410" s="52"/>
      <c r="O410" s="52"/>
      <c r="P410" s="52"/>
      <c r="Q410" s="52"/>
      <c r="U410" s="52"/>
    </row>
    <row r="411">
      <c r="M411" s="52"/>
      <c r="N411" s="52"/>
      <c r="O411" s="52"/>
      <c r="P411" s="52"/>
      <c r="Q411" s="52"/>
      <c r="U411" s="52"/>
    </row>
    <row r="412">
      <c r="M412" s="52"/>
      <c r="N412" s="52"/>
      <c r="O412" s="52"/>
      <c r="P412" s="52"/>
      <c r="Q412" s="52"/>
      <c r="U412" s="52"/>
    </row>
    <row r="413">
      <c r="M413" s="52"/>
      <c r="N413" s="52"/>
      <c r="O413" s="52"/>
      <c r="P413" s="52"/>
      <c r="Q413" s="52"/>
      <c r="U413" s="52"/>
    </row>
    <row r="414">
      <c r="M414" s="52"/>
      <c r="N414" s="52"/>
      <c r="O414" s="52"/>
      <c r="P414" s="52"/>
      <c r="Q414" s="52"/>
      <c r="U414" s="52"/>
    </row>
    <row r="415">
      <c r="M415" s="52"/>
      <c r="N415" s="52"/>
      <c r="O415" s="52"/>
      <c r="P415" s="52"/>
      <c r="Q415" s="52"/>
      <c r="U415" s="52"/>
    </row>
    <row r="416">
      <c r="M416" s="52"/>
      <c r="N416" s="52"/>
      <c r="O416" s="52"/>
      <c r="P416" s="52"/>
      <c r="Q416" s="52"/>
      <c r="U416" s="52"/>
    </row>
    <row r="417">
      <c r="M417" s="52"/>
      <c r="N417" s="52"/>
      <c r="O417" s="52"/>
      <c r="P417" s="52"/>
      <c r="Q417" s="52"/>
      <c r="U417" s="52"/>
    </row>
    <row r="418">
      <c r="M418" s="52"/>
      <c r="N418" s="52"/>
      <c r="O418" s="52"/>
      <c r="P418" s="52"/>
      <c r="Q418" s="52"/>
      <c r="U418" s="52"/>
    </row>
    <row r="419">
      <c r="M419" s="52"/>
      <c r="N419" s="52"/>
      <c r="O419" s="52"/>
      <c r="P419" s="52"/>
      <c r="Q419" s="52"/>
      <c r="U419" s="52"/>
    </row>
    <row r="420">
      <c r="M420" s="52"/>
      <c r="N420" s="52"/>
      <c r="O420" s="52"/>
      <c r="P420" s="52"/>
      <c r="Q420" s="52"/>
      <c r="U420" s="52"/>
    </row>
    <row r="421">
      <c r="M421" s="52"/>
      <c r="N421" s="52"/>
      <c r="O421" s="52"/>
      <c r="P421" s="52"/>
      <c r="Q421" s="52"/>
      <c r="U421" s="52"/>
    </row>
    <row r="422">
      <c r="M422" s="52"/>
      <c r="N422" s="52"/>
      <c r="O422" s="52"/>
      <c r="P422" s="52"/>
      <c r="Q422" s="52"/>
      <c r="U422" s="52"/>
    </row>
    <row r="423">
      <c r="M423" s="52"/>
      <c r="N423" s="52"/>
      <c r="O423" s="52"/>
      <c r="P423" s="52"/>
      <c r="Q423" s="52"/>
      <c r="U423" s="52"/>
    </row>
    <row r="424">
      <c r="M424" s="52"/>
      <c r="N424" s="52"/>
      <c r="O424" s="52"/>
      <c r="P424" s="52"/>
      <c r="Q424" s="52"/>
      <c r="U424" s="52"/>
    </row>
    <row r="425">
      <c r="M425" s="52"/>
      <c r="N425" s="52"/>
      <c r="O425" s="52"/>
      <c r="P425" s="52"/>
      <c r="Q425" s="52"/>
      <c r="U425" s="52"/>
    </row>
    <row r="426">
      <c r="M426" s="52"/>
      <c r="N426" s="52"/>
      <c r="O426" s="52"/>
      <c r="P426" s="52"/>
      <c r="Q426" s="52"/>
      <c r="U426" s="52"/>
    </row>
    <row r="427">
      <c r="M427" s="52"/>
      <c r="N427" s="52"/>
      <c r="O427" s="52"/>
      <c r="P427" s="52"/>
      <c r="Q427" s="52"/>
      <c r="U427" s="52"/>
    </row>
    <row r="428">
      <c r="M428" s="52"/>
      <c r="N428" s="52"/>
      <c r="O428" s="52"/>
      <c r="P428" s="52"/>
      <c r="Q428" s="52"/>
      <c r="U428" s="52"/>
    </row>
    <row r="429">
      <c r="M429" s="52"/>
      <c r="N429" s="52"/>
      <c r="O429" s="52"/>
      <c r="P429" s="52"/>
      <c r="Q429" s="52"/>
      <c r="U429" s="52"/>
    </row>
    <row r="430">
      <c r="M430" s="52"/>
      <c r="N430" s="52"/>
      <c r="O430" s="52"/>
      <c r="P430" s="52"/>
      <c r="Q430" s="52"/>
      <c r="U430" s="52"/>
    </row>
    <row r="431">
      <c r="M431" s="52"/>
      <c r="N431" s="52"/>
      <c r="O431" s="52"/>
      <c r="P431" s="52"/>
      <c r="Q431" s="52"/>
      <c r="U431" s="52"/>
    </row>
    <row r="432">
      <c r="M432" s="52"/>
      <c r="N432" s="52"/>
      <c r="O432" s="52"/>
      <c r="P432" s="52"/>
      <c r="Q432" s="52"/>
      <c r="U432" s="52"/>
    </row>
    <row r="433">
      <c r="M433" s="52"/>
      <c r="N433" s="52"/>
      <c r="O433" s="52"/>
      <c r="P433" s="52"/>
      <c r="Q433" s="52"/>
      <c r="U433" s="52"/>
    </row>
    <row r="434">
      <c r="M434" s="52"/>
      <c r="N434" s="52"/>
      <c r="O434" s="52"/>
      <c r="P434" s="52"/>
      <c r="Q434" s="52"/>
      <c r="U434" s="52"/>
    </row>
    <row r="435">
      <c r="M435" s="52"/>
      <c r="N435" s="52"/>
      <c r="O435" s="52"/>
      <c r="P435" s="52"/>
      <c r="Q435" s="52"/>
      <c r="U435" s="52"/>
    </row>
    <row r="436">
      <c r="M436" s="52"/>
      <c r="N436" s="52"/>
      <c r="O436" s="52"/>
      <c r="P436" s="52"/>
      <c r="Q436" s="52"/>
      <c r="U436" s="52"/>
    </row>
    <row r="437">
      <c r="M437" s="52"/>
      <c r="N437" s="52"/>
      <c r="O437" s="52"/>
      <c r="P437" s="52"/>
      <c r="Q437" s="52"/>
      <c r="U437" s="52"/>
    </row>
    <row r="438">
      <c r="M438" s="52"/>
      <c r="N438" s="52"/>
      <c r="O438" s="52"/>
      <c r="P438" s="52"/>
      <c r="Q438" s="52"/>
      <c r="U438" s="52"/>
    </row>
    <row r="439">
      <c r="M439" s="52"/>
      <c r="N439" s="52"/>
      <c r="O439" s="52"/>
      <c r="P439" s="52"/>
      <c r="Q439" s="52"/>
      <c r="U439" s="52"/>
    </row>
    <row r="440">
      <c r="M440" s="52"/>
      <c r="N440" s="52"/>
      <c r="O440" s="52"/>
      <c r="P440" s="52"/>
      <c r="Q440" s="52"/>
      <c r="U440" s="52"/>
    </row>
    <row r="441">
      <c r="M441" s="52"/>
      <c r="N441" s="52"/>
      <c r="O441" s="52"/>
      <c r="P441" s="52"/>
      <c r="Q441" s="52"/>
      <c r="U441" s="52"/>
    </row>
    <row r="442">
      <c r="M442" s="52"/>
      <c r="N442" s="52"/>
      <c r="O442" s="52"/>
      <c r="P442" s="52"/>
      <c r="Q442" s="52"/>
      <c r="U442" s="52"/>
    </row>
    <row r="443">
      <c r="M443" s="52"/>
      <c r="N443" s="52"/>
      <c r="O443" s="52"/>
      <c r="P443" s="52"/>
      <c r="Q443" s="52"/>
      <c r="U443" s="52"/>
    </row>
    <row r="444">
      <c r="M444" s="52"/>
      <c r="N444" s="52"/>
      <c r="O444" s="52"/>
      <c r="P444" s="52"/>
      <c r="Q444" s="52"/>
      <c r="U444" s="52"/>
    </row>
    <row r="445">
      <c r="M445" s="52"/>
      <c r="N445" s="52"/>
      <c r="O445" s="52"/>
      <c r="P445" s="52"/>
      <c r="Q445" s="52"/>
      <c r="U445" s="52"/>
    </row>
    <row r="446">
      <c r="M446" s="52"/>
      <c r="N446" s="52"/>
      <c r="O446" s="52"/>
      <c r="P446" s="52"/>
      <c r="Q446" s="52"/>
      <c r="U446" s="52"/>
    </row>
    <row r="447">
      <c r="M447" s="52"/>
      <c r="N447" s="52"/>
      <c r="O447" s="52"/>
      <c r="P447" s="52"/>
      <c r="Q447" s="52"/>
      <c r="U447" s="52"/>
    </row>
    <row r="448">
      <c r="M448" s="52"/>
      <c r="N448" s="52"/>
      <c r="O448" s="52"/>
      <c r="P448" s="52"/>
      <c r="Q448" s="52"/>
      <c r="U448" s="52"/>
    </row>
    <row r="449">
      <c r="M449" s="52"/>
      <c r="N449" s="52"/>
      <c r="O449" s="52"/>
      <c r="P449" s="52"/>
      <c r="Q449" s="52"/>
      <c r="U449" s="52"/>
    </row>
    <row r="450">
      <c r="M450" s="52"/>
      <c r="N450" s="52"/>
      <c r="O450" s="52"/>
      <c r="P450" s="52"/>
      <c r="Q450" s="52"/>
      <c r="U450" s="52"/>
    </row>
    <row r="451">
      <c r="M451" s="52"/>
      <c r="N451" s="52"/>
      <c r="O451" s="52"/>
      <c r="P451" s="52"/>
      <c r="Q451" s="52"/>
      <c r="U451" s="52"/>
    </row>
    <row r="452">
      <c r="M452" s="52"/>
      <c r="N452" s="52"/>
      <c r="O452" s="52"/>
      <c r="P452" s="52"/>
      <c r="Q452" s="52"/>
      <c r="U452" s="52"/>
    </row>
    <row r="453">
      <c r="M453" s="52"/>
      <c r="N453" s="52"/>
      <c r="O453" s="52"/>
      <c r="P453" s="52"/>
      <c r="Q453" s="52"/>
      <c r="U453" s="52"/>
    </row>
    <row r="454">
      <c r="M454" s="52"/>
      <c r="N454" s="52"/>
      <c r="O454" s="52"/>
      <c r="P454" s="52"/>
      <c r="Q454" s="52"/>
      <c r="U454" s="52"/>
    </row>
    <row r="455">
      <c r="M455" s="52"/>
      <c r="N455" s="52"/>
      <c r="O455" s="52"/>
      <c r="P455" s="52"/>
      <c r="Q455" s="52"/>
      <c r="U455" s="52"/>
    </row>
    <row r="456">
      <c r="M456" s="52"/>
      <c r="N456" s="52"/>
      <c r="O456" s="52"/>
      <c r="P456" s="52"/>
      <c r="Q456" s="52"/>
      <c r="U456" s="52"/>
    </row>
    <row r="457">
      <c r="M457" s="52"/>
      <c r="N457" s="52"/>
      <c r="O457" s="52"/>
      <c r="P457" s="52"/>
      <c r="Q457" s="52"/>
      <c r="U457" s="52"/>
    </row>
    <row r="458">
      <c r="M458" s="52"/>
      <c r="N458" s="52"/>
      <c r="O458" s="52"/>
      <c r="P458" s="52"/>
      <c r="Q458" s="52"/>
      <c r="U458" s="52"/>
    </row>
    <row r="459">
      <c r="M459" s="52"/>
      <c r="N459" s="52"/>
      <c r="O459" s="52"/>
      <c r="P459" s="52"/>
      <c r="Q459" s="52"/>
      <c r="U459" s="52"/>
    </row>
    <row r="460">
      <c r="M460" s="52"/>
      <c r="N460" s="52"/>
      <c r="O460" s="52"/>
      <c r="P460" s="52"/>
      <c r="Q460" s="52"/>
      <c r="U460" s="52"/>
    </row>
    <row r="461">
      <c r="M461" s="52"/>
      <c r="N461" s="52"/>
      <c r="O461" s="52"/>
      <c r="P461" s="52"/>
      <c r="Q461" s="52"/>
      <c r="U461" s="52"/>
    </row>
    <row r="462">
      <c r="M462" s="52"/>
      <c r="N462" s="52"/>
      <c r="O462" s="52"/>
      <c r="P462" s="52"/>
      <c r="Q462" s="52"/>
      <c r="U462" s="52"/>
    </row>
    <row r="463">
      <c r="M463" s="52"/>
      <c r="N463" s="52"/>
      <c r="O463" s="52"/>
      <c r="P463" s="52"/>
      <c r="Q463" s="52"/>
      <c r="U463" s="52"/>
    </row>
    <row r="464">
      <c r="M464" s="52"/>
      <c r="N464" s="52"/>
      <c r="O464" s="52"/>
      <c r="P464" s="52"/>
      <c r="Q464" s="52"/>
      <c r="U464" s="52"/>
    </row>
    <row r="465">
      <c r="M465" s="52"/>
      <c r="N465" s="52"/>
      <c r="O465" s="52"/>
      <c r="P465" s="52"/>
      <c r="Q465" s="52"/>
      <c r="U465" s="52"/>
    </row>
    <row r="466">
      <c r="M466" s="52"/>
      <c r="N466" s="52"/>
      <c r="O466" s="52"/>
      <c r="P466" s="52"/>
      <c r="Q466" s="52"/>
      <c r="U466" s="52"/>
    </row>
    <row r="467">
      <c r="M467" s="52"/>
      <c r="N467" s="52"/>
      <c r="O467" s="52"/>
      <c r="P467" s="52"/>
      <c r="Q467" s="52"/>
      <c r="U467" s="52"/>
    </row>
    <row r="468">
      <c r="M468" s="52"/>
      <c r="N468" s="52"/>
      <c r="O468" s="52"/>
      <c r="P468" s="52"/>
      <c r="Q468" s="52"/>
      <c r="U468" s="52"/>
    </row>
    <row r="469">
      <c r="M469" s="52"/>
      <c r="N469" s="52"/>
      <c r="O469" s="52"/>
      <c r="P469" s="52"/>
      <c r="Q469" s="52"/>
      <c r="U469" s="52"/>
    </row>
    <row r="470">
      <c r="M470" s="52"/>
      <c r="N470" s="52"/>
      <c r="O470" s="52"/>
      <c r="P470" s="52"/>
      <c r="Q470" s="52"/>
      <c r="U470" s="52"/>
    </row>
    <row r="471">
      <c r="M471" s="52"/>
      <c r="N471" s="52"/>
      <c r="O471" s="52"/>
      <c r="P471" s="52"/>
      <c r="Q471" s="52"/>
      <c r="U471" s="52"/>
    </row>
    <row r="472">
      <c r="M472" s="52"/>
      <c r="N472" s="52"/>
      <c r="O472" s="52"/>
      <c r="P472" s="52"/>
      <c r="Q472" s="52"/>
      <c r="U472" s="52"/>
    </row>
    <row r="473">
      <c r="M473" s="52"/>
      <c r="N473" s="52"/>
      <c r="O473" s="52"/>
      <c r="P473" s="52"/>
      <c r="Q473" s="52"/>
      <c r="U473" s="52"/>
    </row>
    <row r="474">
      <c r="M474" s="52"/>
      <c r="N474" s="52"/>
      <c r="O474" s="52"/>
      <c r="P474" s="52"/>
      <c r="Q474" s="52"/>
      <c r="U474" s="52"/>
    </row>
    <row r="475">
      <c r="M475" s="52"/>
      <c r="N475" s="52"/>
      <c r="O475" s="52"/>
      <c r="P475" s="52"/>
      <c r="Q475" s="52"/>
      <c r="U475" s="52"/>
    </row>
    <row r="476">
      <c r="M476" s="52"/>
      <c r="N476" s="52"/>
      <c r="O476" s="52"/>
      <c r="P476" s="52"/>
      <c r="Q476" s="52"/>
      <c r="U476" s="52"/>
    </row>
    <row r="477">
      <c r="M477" s="52"/>
      <c r="N477" s="52"/>
      <c r="O477" s="52"/>
      <c r="P477" s="52"/>
      <c r="Q477" s="52"/>
      <c r="U477" s="52"/>
    </row>
    <row r="478">
      <c r="M478" s="52"/>
      <c r="N478" s="52"/>
      <c r="O478" s="52"/>
      <c r="P478" s="52"/>
      <c r="Q478" s="52"/>
      <c r="U478" s="52"/>
    </row>
    <row r="479">
      <c r="M479" s="52"/>
      <c r="N479" s="52"/>
      <c r="O479" s="52"/>
      <c r="P479" s="52"/>
      <c r="Q479" s="52"/>
      <c r="U479" s="52"/>
    </row>
    <row r="480">
      <c r="M480" s="52"/>
      <c r="N480" s="52"/>
      <c r="O480" s="52"/>
      <c r="P480" s="52"/>
      <c r="Q480" s="52"/>
      <c r="U480" s="52"/>
    </row>
    <row r="481">
      <c r="M481" s="52"/>
      <c r="N481" s="52"/>
      <c r="O481" s="52"/>
      <c r="P481" s="52"/>
      <c r="Q481" s="52"/>
      <c r="U481" s="52"/>
    </row>
    <row r="482">
      <c r="M482" s="52"/>
      <c r="N482" s="52"/>
      <c r="O482" s="52"/>
      <c r="P482" s="52"/>
      <c r="Q482" s="52"/>
      <c r="U482" s="52"/>
    </row>
    <row r="483">
      <c r="M483" s="52"/>
      <c r="N483" s="52"/>
      <c r="O483" s="52"/>
      <c r="P483" s="52"/>
      <c r="Q483" s="52"/>
      <c r="U483" s="52"/>
    </row>
    <row r="484">
      <c r="M484" s="52"/>
      <c r="N484" s="52"/>
      <c r="O484" s="52"/>
      <c r="P484" s="52"/>
      <c r="Q484" s="52"/>
      <c r="U484" s="52"/>
    </row>
    <row r="485">
      <c r="M485" s="52"/>
      <c r="N485" s="52"/>
      <c r="O485" s="52"/>
      <c r="P485" s="52"/>
      <c r="Q485" s="52"/>
      <c r="U485" s="52"/>
    </row>
    <row r="486">
      <c r="M486" s="52"/>
      <c r="N486" s="52"/>
      <c r="O486" s="52"/>
      <c r="P486" s="52"/>
      <c r="Q486" s="52"/>
      <c r="U486" s="52"/>
    </row>
    <row r="487">
      <c r="M487" s="52"/>
      <c r="N487" s="52"/>
      <c r="O487" s="52"/>
      <c r="P487" s="52"/>
      <c r="Q487" s="52"/>
      <c r="U487" s="52"/>
    </row>
    <row r="488">
      <c r="M488" s="52"/>
      <c r="N488" s="52"/>
      <c r="O488" s="52"/>
      <c r="P488" s="52"/>
      <c r="Q488" s="52"/>
      <c r="U488" s="52"/>
    </row>
    <row r="489">
      <c r="M489" s="52"/>
      <c r="N489" s="52"/>
      <c r="O489" s="52"/>
      <c r="P489" s="52"/>
      <c r="Q489" s="52"/>
      <c r="U489" s="52"/>
    </row>
    <row r="490">
      <c r="M490" s="52"/>
      <c r="N490" s="52"/>
      <c r="O490" s="52"/>
      <c r="P490" s="52"/>
      <c r="Q490" s="52"/>
      <c r="U490" s="52"/>
    </row>
    <row r="491">
      <c r="M491" s="52"/>
      <c r="N491" s="52"/>
      <c r="O491" s="52"/>
      <c r="P491" s="52"/>
      <c r="Q491" s="52"/>
      <c r="U491" s="52"/>
    </row>
    <row r="492">
      <c r="M492" s="52"/>
      <c r="N492" s="52"/>
      <c r="O492" s="52"/>
      <c r="P492" s="52"/>
      <c r="Q492" s="52"/>
      <c r="U492" s="52"/>
    </row>
    <row r="493">
      <c r="M493" s="52"/>
      <c r="N493" s="52"/>
      <c r="O493" s="52"/>
      <c r="P493" s="52"/>
      <c r="Q493" s="52"/>
      <c r="U493" s="52"/>
    </row>
    <row r="494">
      <c r="M494" s="52"/>
      <c r="N494" s="52"/>
      <c r="O494" s="52"/>
      <c r="P494" s="52"/>
      <c r="Q494" s="52"/>
      <c r="U494" s="52"/>
    </row>
    <row r="495">
      <c r="M495" s="52"/>
      <c r="N495" s="52"/>
      <c r="O495" s="52"/>
      <c r="P495" s="52"/>
      <c r="Q495" s="52"/>
      <c r="U495" s="52"/>
    </row>
    <row r="496">
      <c r="M496" s="52"/>
      <c r="N496" s="52"/>
      <c r="O496" s="52"/>
      <c r="P496" s="52"/>
      <c r="Q496" s="52"/>
      <c r="U496" s="52"/>
    </row>
    <row r="497">
      <c r="M497" s="52"/>
      <c r="N497" s="52"/>
      <c r="O497" s="52"/>
      <c r="P497" s="52"/>
      <c r="Q497" s="52"/>
      <c r="U497" s="52"/>
    </row>
    <row r="498">
      <c r="M498" s="52"/>
      <c r="N498" s="52"/>
      <c r="O498" s="52"/>
      <c r="P498" s="52"/>
      <c r="Q498" s="52"/>
      <c r="U498" s="52"/>
    </row>
    <row r="499">
      <c r="M499" s="52"/>
      <c r="N499" s="52"/>
      <c r="O499" s="52"/>
      <c r="P499" s="52"/>
      <c r="Q499" s="52"/>
      <c r="U499" s="52"/>
    </row>
    <row r="500">
      <c r="M500" s="52"/>
      <c r="N500" s="52"/>
      <c r="O500" s="52"/>
      <c r="P500" s="52"/>
      <c r="Q500" s="52"/>
      <c r="U500" s="52"/>
    </row>
    <row r="501">
      <c r="M501" s="52"/>
      <c r="N501" s="52"/>
      <c r="O501" s="52"/>
      <c r="P501" s="52"/>
      <c r="Q501" s="52"/>
      <c r="U501" s="52"/>
    </row>
    <row r="502">
      <c r="M502" s="52"/>
      <c r="N502" s="52"/>
      <c r="O502" s="52"/>
      <c r="P502" s="52"/>
      <c r="Q502" s="52"/>
      <c r="U502" s="52"/>
    </row>
    <row r="503">
      <c r="M503" s="52"/>
      <c r="N503" s="52"/>
      <c r="O503" s="52"/>
      <c r="P503" s="52"/>
      <c r="Q503" s="52"/>
      <c r="U503" s="52"/>
    </row>
    <row r="504">
      <c r="M504" s="52"/>
      <c r="N504" s="52"/>
      <c r="O504" s="52"/>
      <c r="P504" s="52"/>
      <c r="Q504" s="52"/>
      <c r="U504" s="52"/>
    </row>
    <row r="505">
      <c r="M505" s="52"/>
      <c r="N505" s="52"/>
      <c r="O505" s="52"/>
      <c r="P505" s="52"/>
      <c r="Q505" s="52"/>
      <c r="U505" s="52"/>
    </row>
    <row r="506">
      <c r="M506" s="52"/>
      <c r="N506" s="52"/>
      <c r="O506" s="52"/>
      <c r="P506" s="52"/>
      <c r="Q506" s="52"/>
      <c r="U506" s="52"/>
    </row>
    <row r="507">
      <c r="M507" s="52"/>
      <c r="N507" s="52"/>
      <c r="O507" s="52"/>
      <c r="P507" s="52"/>
      <c r="Q507" s="52"/>
      <c r="U507" s="52"/>
    </row>
    <row r="508">
      <c r="M508" s="52"/>
      <c r="N508" s="52"/>
      <c r="O508" s="52"/>
      <c r="P508" s="52"/>
      <c r="Q508" s="52"/>
      <c r="U508" s="52"/>
    </row>
    <row r="509">
      <c r="M509" s="52"/>
      <c r="N509" s="52"/>
      <c r="O509" s="52"/>
      <c r="P509" s="52"/>
      <c r="Q509" s="52"/>
      <c r="U509" s="52"/>
    </row>
    <row r="510">
      <c r="M510" s="52"/>
      <c r="N510" s="52"/>
      <c r="O510" s="52"/>
      <c r="P510" s="52"/>
      <c r="Q510" s="52"/>
      <c r="U510" s="52"/>
    </row>
    <row r="511">
      <c r="M511" s="52"/>
      <c r="N511" s="52"/>
      <c r="O511" s="52"/>
      <c r="P511" s="52"/>
      <c r="Q511" s="52"/>
      <c r="U511" s="52"/>
    </row>
    <row r="512">
      <c r="M512" s="52"/>
      <c r="N512" s="52"/>
      <c r="O512" s="52"/>
      <c r="P512" s="52"/>
      <c r="Q512" s="52"/>
      <c r="U512" s="52"/>
    </row>
    <row r="513">
      <c r="M513" s="52"/>
      <c r="N513" s="52"/>
      <c r="O513" s="52"/>
      <c r="P513" s="52"/>
      <c r="Q513" s="52"/>
      <c r="U513" s="52"/>
    </row>
    <row r="514">
      <c r="M514" s="52"/>
      <c r="N514" s="52"/>
      <c r="O514" s="52"/>
      <c r="P514" s="52"/>
      <c r="Q514" s="52"/>
      <c r="U514" s="52"/>
    </row>
    <row r="515">
      <c r="M515" s="52"/>
      <c r="N515" s="52"/>
      <c r="O515" s="52"/>
      <c r="P515" s="52"/>
      <c r="Q515" s="52"/>
      <c r="U515" s="52"/>
    </row>
    <row r="516">
      <c r="M516" s="52"/>
      <c r="N516" s="52"/>
      <c r="O516" s="52"/>
      <c r="P516" s="52"/>
      <c r="Q516" s="52"/>
      <c r="U516" s="52"/>
    </row>
    <row r="517">
      <c r="M517" s="52"/>
      <c r="N517" s="52"/>
      <c r="O517" s="52"/>
      <c r="P517" s="52"/>
      <c r="Q517" s="52"/>
      <c r="U517" s="52"/>
    </row>
    <row r="518">
      <c r="M518" s="52"/>
      <c r="N518" s="52"/>
      <c r="O518" s="52"/>
      <c r="P518" s="52"/>
      <c r="Q518" s="52"/>
      <c r="U518" s="52"/>
    </row>
    <row r="519">
      <c r="M519" s="52"/>
      <c r="N519" s="52"/>
      <c r="O519" s="52"/>
      <c r="P519" s="52"/>
      <c r="Q519" s="52"/>
      <c r="U519" s="52"/>
    </row>
    <row r="520">
      <c r="M520" s="52"/>
      <c r="N520" s="52"/>
      <c r="O520" s="52"/>
      <c r="P520" s="52"/>
      <c r="Q520" s="52"/>
      <c r="U520" s="52"/>
    </row>
    <row r="521">
      <c r="M521" s="52"/>
      <c r="N521" s="52"/>
      <c r="O521" s="52"/>
      <c r="P521" s="52"/>
      <c r="Q521" s="52"/>
      <c r="U521" s="52"/>
    </row>
    <row r="522">
      <c r="M522" s="52"/>
      <c r="N522" s="52"/>
      <c r="O522" s="52"/>
      <c r="P522" s="52"/>
      <c r="Q522" s="52"/>
      <c r="U522" s="52"/>
    </row>
    <row r="523">
      <c r="M523" s="52"/>
      <c r="N523" s="52"/>
      <c r="O523" s="52"/>
      <c r="P523" s="52"/>
      <c r="Q523" s="52"/>
      <c r="U523" s="52"/>
    </row>
    <row r="524">
      <c r="M524" s="52"/>
      <c r="N524" s="52"/>
      <c r="O524" s="52"/>
      <c r="P524" s="52"/>
      <c r="Q524" s="52"/>
      <c r="U524" s="52"/>
    </row>
    <row r="525">
      <c r="M525" s="52"/>
      <c r="N525" s="52"/>
      <c r="O525" s="52"/>
      <c r="P525" s="52"/>
      <c r="Q525" s="52"/>
      <c r="U525" s="52"/>
    </row>
    <row r="526">
      <c r="M526" s="52"/>
      <c r="N526" s="52"/>
      <c r="O526" s="52"/>
      <c r="P526" s="52"/>
      <c r="Q526" s="52"/>
      <c r="U526" s="52"/>
    </row>
    <row r="527">
      <c r="M527" s="52"/>
      <c r="N527" s="52"/>
      <c r="O527" s="52"/>
      <c r="P527" s="52"/>
      <c r="Q527" s="52"/>
      <c r="U527" s="52"/>
    </row>
    <row r="528">
      <c r="M528" s="52"/>
      <c r="N528" s="52"/>
      <c r="O528" s="52"/>
      <c r="P528" s="52"/>
      <c r="Q528" s="52"/>
      <c r="U528" s="52"/>
    </row>
    <row r="529">
      <c r="M529" s="52"/>
      <c r="N529" s="52"/>
      <c r="O529" s="52"/>
      <c r="P529" s="52"/>
      <c r="Q529" s="52"/>
      <c r="U529" s="52"/>
    </row>
    <row r="530">
      <c r="M530" s="52"/>
      <c r="N530" s="52"/>
      <c r="O530" s="52"/>
      <c r="P530" s="52"/>
      <c r="Q530" s="52"/>
      <c r="U530" s="52"/>
    </row>
    <row r="531">
      <c r="M531" s="52"/>
      <c r="N531" s="52"/>
      <c r="O531" s="52"/>
      <c r="P531" s="52"/>
      <c r="Q531" s="52"/>
      <c r="U531" s="52"/>
    </row>
    <row r="532">
      <c r="M532" s="52"/>
      <c r="N532" s="52"/>
      <c r="O532" s="52"/>
      <c r="P532" s="52"/>
      <c r="Q532" s="52"/>
      <c r="U532" s="52"/>
    </row>
    <row r="533">
      <c r="M533" s="52"/>
      <c r="N533" s="52"/>
      <c r="O533" s="52"/>
      <c r="P533" s="52"/>
      <c r="Q533" s="52"/>
      <c r="U533" s="52"/>
    </row>
    <row r="534">
      <c r="M534" s="52"/>
      <c r="N534" s="52"/>
      <c r="O534" s="52"/>
      <c r="P534" s="52"/>
      <c r="Q534" s="52"/>
      <c r="U534" s="52"/>
    </row>
    <row r="535">
      <c r="M535" s="52"/>
      <c r="N535" s="52"/>
      <c r="O535" s="52"/>
      <c r="P535" s="52"/>
      <c r="Q535" s="52"/>
      <c r="U535" s="52"/>
    </row>
    <row r="536">
      <c r="M536" s="52"/>
      <c r="N536" s="52"/>
      <c r="O536" s="52"/>
      <c r="P536" s="52"/>
      <c r="Q536" s="52"/>
      <c r="U536" s="52"/>
    </row>
    <row r="537">
      <c r="M537" s="52"/>
      <c r="N537" s="52"/>
      <c r="O537" s="52"/>
      <c r="P537" s="52"/>
      <c r="Q537" s="52"/>
      <c r="U537" s="52"/>
    </row>
    <row r="538">
      <c r="M538" s="52"/>
      <c r="N538" s="52"/>
      <c r="O538" s="52"/>
      <c r="P538" s="52"/>
      <c r="Q538" s="52"/>
      <c r="U538" s="52"/>
    </row>
    <row r="539">
      <c r="M539" s="52"/>
      <c r="N539" s="52"/>
      <c r="O539" s="52"/>
      <c r="P539" s="52"/>
      <c r="Q539" s="52"/>
      <c r="U539" s="52"/>
    </row>
    <row r="540">
      <c r="M540" s="52"/>
      <c r="N540" s="52"/>
      <c r="O540" s="52"/>
      <c r="P540" s="52"/>
      <c r="Q540" s="52"/>
      <c r="U540" s="52"/>
    </row>
    <row r="541">
      <c r="M541" s="52"/>
      <c r="N541" s="52"/>
      <c r="O541" s="52"/>
      <c r="P541" s="52"/>
      <c r="Q541" s="52"/>
      <c r="U541" s="52"/>
    </row>
    <row r="542">
      <c r="M542" s="52"/>
      <c r="N542" s="52"/>
      <c r="O542" s="52"/>
      <c r="P542" s="52"/>
      <c r="Q542" s="52"/>
      <c r="U542" s="52"/>
    </row>
    <row r="543">
      <c r="M543" s="52"/>
      <c r="N543" s="52"/>
      <c r="O543" s="52"/>
      <c r="P543" s="52"/>
      <c r="Q543" s="52"/>
      <c r="U543" s="52"/>
    </row>
    <row r="544">
      <c r="M544" s="52"/>
      <c r="N544" s="52"/>
      <c r="O544" s="52"/>
      <c r="P544" s="52"/>
      <c r="Q544" s="52"/>
      <c r="U544" s="52"/>
    </row>
    <row r="545">
      <c r="M545" s="52"/>
      <c r="N545" s="52"/>
      <c r="O545" s="52"/>
      <c r="P545" s="52"/>
      <c r="Q545" s="52"/>
      <c r="U545" s="52"/>
    </row>
    <row r="546">
      <c r="M546" s="52"/>
      <c r="N546" s="52"/>
      <c r="O546" s="52"/>
      <c r="P546" s="52"/>
      <c r="Q546" s="52"/>
      <c r="U546" s="52"/>
    </row>
    <row r="547">
      <c r="M547" s="52"/>
      <c r="N547" s="52"/>
      <c r="O547" s="52"/>
      <c r="P547" s="52"/>
      <c r="Q547" s="52"/>
      <c r="U547" s="52"/>
    </row>
    <row r="548">
      <c r="M548" s="52"/>
      <c r="N548" s="52"/>
      <c r="O548" s="52"/>
      <c r="P548" s="52"/>
      <c r="Q548" s="52"/>
      <c r="U548" s="52"/>
    </row>
    <row r="549">
      <c r="M549" s="52"/>
      <c r="N549" s="52"/>
      <c r="O549" s="52"/>
      <c r="P549" s="52"/>
      <c r="Q549" s="52"/>
      <c r="U549" s="52"/>
    </row>
    <row r="550">
      <c r="M550" s="52"/>
      <c r="N550" s="52"/>
      <c r="O550" s="52"/>
      <c r="P550" s="52"/>
      <c r="Q550" s="52"/>
      <c r="U550" s="52"/>
    </row>
    <row r="551">
      <c r="M551" s="52"/>
      <c r="N551" s="52"/>
      <c r="O551" s="52"/>
      <c r="P551" s="52"/>
      <c r="Q551" s="52"/>
      <c r="U551" s="52"/>
    </row>
    <row r="552">
      <c r="M552" s="52"/>
      <c r="N552" s="52"/>
      <c r="O552" s="52"/>
      <c r="P552" s="52"/>
      <c r="Q552" s="52"/>
      <c r="U552" s="52"/>
    </row>
    <row r="553">
      <c r="M553" s="52"/>
      <c r="N553" s="52"/>
      <c r="O553" s="52"/>
      <c r="P553" s="52"/>
      <c r="Q553" s="52"/>
      <c r="U553" s="52"/>
    </row>
    <row r="554">
      <c r="M554" s="52"/>
      <c r="N554" s="52"/>
      <c r="O554" s="52"/>
      <c r="P554" s="52"/>
      <c r="Q554" s="52"/>
      <c r="U554" s="52"/>
    </row>
    <row r="555">
      <c r="M555" s="52"/>
      <c r="N555" s="52"/>
      <c r="O555" s="52"/>
      <c r="P555" s="52"/>
      <c r="Q555" s="52"/>
      <c r="U555" s="52"/>
    </row>
    <row r="556">
      <c r="M556" s="52"/>
      <c r="N556" s="52"/>
      <c r="O556" s="52"/>
      <c r="P556" s="52"/>
      <c r="Q556" s="52"/>
      <c r="U556" s="52"/>
    </row>
    <row r="557">
      <c r="M557" s="52"/>
      <c r="N557" s="52"/>
      <c r="O557" s="52"/>
      <c r="P557" s="52"/>
      <c r="Q557" s="52"/>
      <c r="U557" s="52"/>
    </row>
    <row r="558">
      <c r="M558" s="52"/>
      <c r="N558" s="52"/>
      <c r="O558" s="52"/>
      <c r="P558" s="52"/>
      <c r="Q558" s="52"/>
      <c r="U558" s="52"/>
    </row>
    <row r="559">
      <c r="M559" s="52"/>
      <c r="N559" s="52"/>
      <c r="O559" s="52"/>
      <c r="P559" s="52"/>
      <c r="Q559" s="52"/>
      <c r="U559" s="52"/>
    </row>
    <row r="560">
      <c r="M560" s="52"/>
      <c r="N560" s="52"/>
      <c r="O560" s="52"/>
      <c r="P560" s="52"/>
      <c r="Q560" s="52"/>
      <c r="U560" s="52"/>
    </row>
    <row r="561">
      <c r="M561" s="52"/>
      <c r="N561" s="52"/>
      <c r="O561" s="52"/>
      <c r="P561" s="52"/>
      <c r="Q561" s="52"/>
      <c r="U561" s="52"/>
    </row>
    <row r="562">
      <c r="M562" s="52"/>
      <c r="N562" s="52"/>
      <c r="O562" s="52"/>
      <c r="P562" s="52"/>
      <c r="Q562" s="52"/>
      <c r="U562" s="52"/>
    </row>
    <row r="563">
      <c r="M563" s="52"/>
      <c r="N563" s="52"/>
      <c r="O563" s="52"/>
      <c r="P563" s="52"/>
      <c r="Q563" s="52"/>
      <c r="U563" s="52"/>
    </row>
    <row r="564">
      <c r="M564" s="52"/>
      <c r="N564" s="52"/>
      <c r="O564" s="52"/>
      <c r="P564" s="52"/>
      <c r="Q564" s="52"/>
      <c r="U564" s="52"/>
    </row>
    <row r="565">
      <c r="M565" s="52"/>
      <c r="N565" s="52"/>
      <c r="O565" s="52"/>
      <c r="P565" s="52"/>
      <c r="Q565" s="52"/>
      <c r="U565" s="52"/>
    </row>
    <row r="566">
      <c r="M566" s="52"/>
      <c r="N566" s="52"/>
      <c r="O566" s="52"/>
      <c r="P566" s="52"/>
      <c r="Q566" s="52"/>
      <c r="U566" s="52"/>
    </row>
    <row r="567">
      <c r="M567" s="52"/>
      <c r="N567" s="52"/>
      <c r="O567" s="52"/>
      <c r="P567" s="52"/>
      <c r="Q567" s="52"/>
      <c r="U567" s="52"/>
    </row>
    <row r="568">
      <c r="M568" s="52"/>
      <c r="N568" s="52"/>
      <c r="O568" s="52"/>
      <c r="P568" s="52"/>
      <c r="Q568" s="52"/>
      <c r="U568" s="52"/>
    </row>
    <row r="569">
      <c r="M569" s="52"/>
      <c r="N569" s="52"/>
      <c r="O569" s="52"/>
      <c r="P569" s="52"/>
      <c r="Q569" s="52"/>
      <c r="U569" s="52"/>
    </row>
    <row r="570">
      <c r="M570" s="52"/>
      <c r="N570" s="52"/>
      <c r="O570" s="52"/>
      <c r="P570" s="52"/>
      <c r="Q570" s="52"/>
      <c r="U570" s="52"/>
    </row>
    <row r="571">
      <c r="M571" s="52"/>
      <c r="N571" s="52"/>
      <c r="O571" s="52"/>
      <c r="P571" s="52"/>
      <c r="Q571" s="52"/>
      <c r="U571" s="52"/>
    </row>
    <row r="572">
      <c r="M572" s="52"/>
      <c r="N572" s="52"/>
      <c r="O572" s="52"/>
      <c r="P572" s="52"/>
      <c r="Q572" s="52"/>
      <c r="U572" s="52"/>
    </row>
    <row r="573">
      <c r="M573" s="52"/>
      <c r="N573" s="52"/>
      <c r="O573" s="52"/>
      <c r="P573" s="52"/>
      <c r="Q573" s="52"/>
      <c r="U573" s="52"/>
    </row>
    <row r="574">
      <c r="M574" s="52"/>
      <c r="N574" s="52"/>
      <c r="O574" s="52"/>
      <c r="P574" s="52"/>
      <c r="Q574" s="52"/>
      <c r="U574" s="52"/>
    </row>
    <row r="575">
      <c r="M575" s="52"/>
      <c r="N575" s="52"/>
      <c r="O575" s="52"/>
      <c r="P575" s="52"/>
      <c r="Q575" s="52"/>
      <c r="U575" s="52"/>
    </row>
    <row r="576">
      <c r="M576" s="52"/>
      <c r="N576" s="52"/>
      <c r="O576" s="52"/>
      <c r="P576" s="52"/>
      <c r="Q576" s="52"/>
      <c r="U576" s="52"/>
    </row>
    <row r="577">
      <c r="M577" s="52"/>
      <c r="N577" s="52"/>
      <c r="O577" s="52"/>
      <c r="P577" s="52"/>
      <c r="Q577" s="52"/>
      <c r="U577" s="52"/>
    </row>
    <row r="578">
      <c r="M578" s="52"/>
      <c r="N578" s="52"/>
      <c r="O578" s="52"/>
      <c r="P578" s="52"/>
      <c r="Q578" s="52"/>
      <c r="U578" s="52"/>
    </row>
    <row r="579">
      <c r="M579" s="52"/>
      <c r="N579" s="52"/>
      <c r="O579" s="52"/>
      <c r="P579" s="52"/>
      <c r="Q579" s="52"/>
      <c r="U579" s="52"/>
    </row>
    <row r="580">
      <c r="M580" s="52"/>
      <c r="N580" s="52"/>
      <c r="O580" s="52"/>
      <c r="P580" s="52"/>
      <c r="Q580" s="52"/>
      <c r="U580" s="52"/>
    </row>
    <row r="581">
      <c r="M581" s="52"/>
      <c r="N581" s="52"/>
      <c r="O581" s="52"/>
      <c r="P581" s="52"/>
      <c r="Q581" s="52"/>
      <c r="U581" s="52"/>
    </row>
    <row r="582">
      <c r="M582" s="52"/>
      <c r="N582" s="52"/>
      <c r="O582" s="52"/>
      <c r="P582" s="52"/>
      <c r="Q582" s="52"/>
      <c r="U582" s="52"/>
    </row>
    <row r="583">
      <c r="M583" s="52"/>
      <c r="N583" s="52"/>
      <c r="O583" s="52"/>
      <c r="P583" s="52"/>
      <c r="Q583" s="52"/>
      <c r="U583" s="52"/>
    </row>
    <row r="584">
      <c r="M584" s="52"/>
      <c r="N584" s="52"/>
      <c r="O584" s="52"/>
      <c r="P584" s="52"/>
      <c r="Q584" s="52"/>
      <c r="U584" s="52"/>
    </row>
    <row r="585">
      <c r="M585" s="52"/>
      <c r="N585" s="52"/>
      <c r="O585" s="52"/>
      <c r="P585" s="52"/>
      <c r="Q585" s="52"/>
      <c r="U585" s="52"/>
    </row>
    <row r="586">
      <c r="M586" s="52"/>
      <c r="N586" s="52"/>
      <c r="O586" s="52"/>
      <c r="P586" s="52"/>
      <c r="Q586" s="52"/>
      <c r="U586" s="52"/>
    </row>
    <row r="587">
      <c r="M587" s="52"/>
      <c r="N587" s="52"/>
      <c r="O587" s="52"/>
      <c r="P587" s="52"/>
      <c r="Q587" s="52"/>
      <c r="U587" s="52"/>
    </row>
    <row r="588">
      <c r="M588" s="52"/>
      <c r="N588" s="52"/>
      <c r="O588" s="52"/>
      <c r="P588" s="52"/>
      <c r="Q588" s="52"/>
      <c r="U588" s="52"/>
    </row>
    <row r="589">
      <c r="M589" s="52"/>
      <c r="N589" s="52"/>
      <c r="O589" s="52"/>
      <c r="P589" s="52"/>
      <c r="Q589" s="52"/>
      <c r="U589" s="52"/>
    </row>
    <row r="590">
      <c r="M590" s="52"/>
      <c r="N590" s="52"/>
      <c r="O590" s="52"/>
      <c r="P590" s="52"/>
      <c r="Q590" s="52"/>
      <c r="U590" s="52"/>
    </row>
    <row r="591">
      <c r="M591" s="52"/>
      <c r="N591" s="52"/>
      <c r="O591" s="52"/>
      <c r="P591" s="52"/>
      <c r="Q591" s="52"/>
      <c r="U591" s="52"/>
    </row>
    <row r="592">
      <c r="M592" s="52"/>
      <c r="N592" s="52"/>
      <c r="O592" s="52"/>
      <c r="P592" s="52"/>
      <c r="Q592" s="52"/>
      <c r="U592" s="52"/>
    </row>
    <row r="593">
      <c r="M593" s="52"/>
      <c r="N593" s="52"/>
      <c r="O593" s="52"/>
      <c r="P593" s="52"/>
      <c r="Q593" s="52"/>
      <c r="U593" s="52"/>
    </row>
    <row r="594">
      <c r="M594" s="52"/>
      <c r="N594" s="52"/>
      <c r="O594" s="52"/>
      <c r="P594" s="52"/>
      <c r="Q594" s="52"/>
      <c r="U594" s="52"/>
    </row>
    <row r="595">
      <c r="M595" s="52"/>
      <c r="N595" s="52"/>
      <c r="O595" s="52"/>
      <c r="P595" s="52"/>
      <c r="Q595" s="52"/>
      <c r="U595" s="52"/>
    </row>
    <row r="596">
      <c r="M596" s="52"/>
      <c r="N596" s="52"/>
      <c r="O596" s="52"/>
      <c r="P596" s="52"/>
      <c r="Q596" s="52"/>
      <c r="U596" s="52"/>
    </row>
    <row r="597">
      <c r="M597" s="52"/>
      <c r="N597" s="52"/>
      <c r="O597" s="52"/>
      <c r="P597" s="52"/>
      <c r="Q597" s="52"/>
      <c r="U597" s="52"/>
    </row>
    <row r="598">
      <c r="M598" s="52"/>
      <c r="N598" s="52"/>
      <c r="O598" s="52"/>
      <c r="P598" s="52"/>
      <c r="Q598" s="52"/>
      <c r="U598" s="52"/>
    </row>
    <row r="599">
      <c r="M599" s="52"/>
      <c r="N599" s="52"/>
      <c r="O599" s="52"/>
      <c r="P599" s="52"/>
      <c r="Q599" s="52"/>
      <c r="U599" s="52"/>
    </row>
    <row r="600">
      <c r="M600" s="52"/>
      <c r="N600" s="52"/>
      <c r="O600" s="52"/>
      <c r="P600" s="52"/>
      <c r="Q600" s="52"/>
      <c r="U600" s="52"/>
    </row>
    <row r="601">
      <c r="M601" s="52"/>
      <c r="N601" s="52"/>
      <c r="O601" s="52"/>
      <c r="P601" s="52"/>
      <c r="Q601" s="52"/>
      <c r="U601" s="52"/>
    </row>
    <row r="602">
      <c r="M602" s="52"/>
      <c r="N602" s="52"/>
      <c r="O602" s="52"/>
      <c r="P602" s="52"/>
      <c r="Q602" s="52"/>
      <c r="U602" s="52"/>
    </row>
    <row r="603">
      <c r="M603" s="52"/>
      <c r="N603" s="52"/>
      <c r="O603" s="52"/>
      <c r="P603" s="52"/>
      <c r="Q603" s="52"/>
      <c r="U603" s="52"/>
    </row>
    <row r="604">
      <c r="M604" s="52"/>
      <c r="N604" s="52"/>
      <c r="O604" s="52"/>
      <c r="P604" s="52"/>
      <c r="Q604" s="52"/>
      <c r="U604" s="52"/>
    </row>
    <row r="605">
      <c r="M605" s="52"/>
      <c r="N605" s="52"/>
      <c r="O605" s="52"/>
      <c r="P605" s="52"/>
      <c r="Q605" s="52"/>
      <c r="U605" s="52"/>
    </row>
    <row r="606">
      <c r="M606" s="52"/>
      <c r="N606" s="52"/>
      <c r="O606" s="52"/>
      <c r="P606" s="52"/>
      <c r="Q606" s="52"/>
      <c r="U606" s="52"/>
    </row>
    <row r="607">
      <c r="M607" s="52"/>
      <c r="N607" s="52"/>
      <c r="O607" s="52"/>
      <c r="P607" s="52"/>
      <c r="Q607" s="52"/>
      <c r="U607" s="52"/>
    </row>
    <row r="608">
      <c r="M608" s="52"/>
      <c r="N608" s="52"/>
      <c r="O608" s="52"/>
      <c r="P608" s="52"/>
      <c r="Q608" s="52"/>
      <c r="U608" s="52"/>
    </row>
    <row r="609">
      <c r="M609" s="52"/>
      <c r="N609" s="52"/>
      <c r="O609" s="52"/>
      <c r="P609" s="52"/>
      <c r="Q609" s="52"/>
      <c r="U609" s="52"/>
    </row>
    <row r="610">
      <c r="M610" s="52"/>
      <c r="N610" s="52"/>
      <c r="O610" s="52"/>
      <c r="P610" s="52"/>
      <c r="Q610" s="52"/>
      <c r="U610" s="52"/>
    </row>
    <row r="611">
      <c r="M611" s="52"/>
      <c r="N611" s="52"/>
      <c r="O611" s="52"/>
      <c r="P611" s="52"/>
      <c r="Q611" s="52"/>
      <c r="U611" s="52"/>
    </row>
    <row r="612">
      <c r="M612" s="52"/>
      <c r="N612" s="52"/>
      <c r="O612" s="52"/>
      <c r="P612" s="52"/>
      <c r="Q612" s="52"/>
      <c r="U612" s="52"/>
    </row>
    <row r="613">
      <c r="M613" s="52"/>
      <c r="N613" s="52"/>
      <c r="O613" s="52"/>
      <c r="P613" s="52"/>
      <c r="Q613" s="52"/>
      <c r="U613" s="52"/>
    </row>
    <row r="614">
      <c r="M614" s="52"/>
      <c r="N614" s="52"/>
      <c r="O614" s="52"/>
      <c r="P614" s="52"/>
      <c r="Q614" s="52"/>
      <c r="U614" s="52"/>
    </row>
    <row r="615">
      <c r="M615" s="52"/>
      <c r="N615" s="52"/>
      <c r="O615" s="52"/>
      <c r="P615" s="52"/>
      <c r="Q615" s="52"/>
      <c r="U615" s="52"/>
    </row>
    <row r="616">
      <c r="M616" s="52"/>
      <c r="N616" s="52"/>
      <c r="O616" s="52"/>
      <c r="P616" s="52"/>
      <c r="Q616" s="52"/>
      <c r="U616" s="52"/>
    </row>
    <row r="617">
      <c r="M617" s="52"/>
      <c r="N617" s="52"/>
      <c r="O617" s="52"/>
      <c r="P617" s="52"/>
      <c r="Q617" s="52"/>
      <c r="U617" s="52"/>
    </row>
    <row r="618">
      <c r="M618" s="52"/>
      <c r="N618" s="52"/>
      <c r="O618" s="52"/>
      <c r="P618" s="52"/>
      <c r="Q618" s="52"/>
      <c r="U618" s="52"/>
    </row>
    <row r="619">
      <c r="M619" s="52"/>
      <c r="N619" s="52"/>
      <c r="O619" s="52"/>
      <c r="P619" s="52"/>
      <c r="Q619" s="52"/>
      <c r="U619" s="52"/>
    </row>
    <row r="620">
      <c r="M620" s="52"/>
      <c r="N620" s="52"/>
      <c r="O620" s="52"/>
      <c r="P620" s="52"/>
      <c r="Q620" s="52"/>
      <c r="U620" s="52"/>
    </row>
    <row r="621">
      <c r="M621" s="52"/>
      <c r="N621" s="52"/>
      <c r="O621" s="52"/>
      <c r="P621" s="52"/>
      <c r="Q621" s="52"/>
      <c r="U621" s="52"/>
    </row>
    <row r="622">
      <c r="M622" s="52"/>
      <c r="N622" s="52"/>
      <c r="O622" s="52"/>
      <c r="P622" s="52"/>
      <c r="Q622" s="52"/>
      <c r="U622" s="52"/>
    </row>
    <row r="623">
      <c r="M623" s="52"/>
      <c r="N623" s="52"/>
      <c r="O623" s="52"/>
      <c r="P623" s="52"/>
      <c r="Q623" s="52"/>
      <c r="U623" s="52"/>
    </row>
    <row r="624">
      <c r="M624" s="52"/>
      <c r="N624" s="52"/>
      <c r="O624" s="52"/>
      <c r="P624" s="52"/>
      <c r="Q624" s="52"/>
      <c r="U624" s="52"/>
    </row>
    <row r="625">
      <c r="M625" s="52"/>
      <c r="N625" s="52"/>
      <c r="O625" s="52"/>
      <c r="P625" s="52"/>
      <c r="Q625" s="52"/>
      <c r="U625" s="52"/>
    </row>
    <row r="626">
      <c r="M626" s="52"/>
      <c r="N626" s="52"/>
      <c r="O626" s="52"/>
      <c r="P626" s="52"/>
      <c r="Q626" s="52"/>
      <c r="U626" s="52"/>
    </row>
    <row r="627">
      <c r="M627" s="52"/>
      <c r="N627" s="52"/>
      <c r="O627" s="52"/>
      <c r="P627" s="52"/>
      <c r="Q627" s="52"/>
      <c r="U627" s="52"/>
    </row>
    <row r="628">
      <c r="M628" s="52"/>
      <c r="N628" s="52"/>
      <c r="O628" s="52"/>
      <c r="P628" s="52"/>
      <c r="Q628" s="52"/>
      <c r="U628" s="52"/>
    </row>
    <row r="629">
      <c r="M629" s="52"/>
      <c r="N629" s="52"/>
      <c r="O629" s="52"/>
      <c r="P629" s="52"/>
      <c r="Q629" s="52"/>
      <c r="U629" s="52"/>
    </row>
    <row r="630">
      <c r="M630" s="52"/>
      <c r="N630" s="52"/>
      <c r="O630" s="52"/>
      <c r="P630" s="52"/>
      <c r="Q630" s="52"/>
      <c r="U630" s="52"/>
    </row>
    <row r="631">
      <c r="M631" s="52"/>
      <c r="N631" s="52"/>
      <c r="O631" s="52"/>
      <c r="P631" s="52"/>
      <c r="Q631" s="52"/>
      <c r="U631" s="52"/>
    </row>
    <row r="632">
      <c r="M632" s="52"/>
      <c r="N632" s="52"/>
      <c r="O632" s="52"/>
      <c r="P632" s="52"/>
      <c r="Q632" s="52"/>
      <c r="U632" s="52"/>
    </row>
    <row r="633">
      <c r="M633" s="52"/>
      <c r="N633" s="52"/>
      <c r="O633" s="52"/>
      <c r="P633" s="52"/>
      <c r="Q633" s="52"/>
      <c r="U633" s="52"/>
    </row>
    <row r="634">
      <c r="M634" s="52"/>
      <c r="N634" s="52"/>
      <c r="O634" s="52"/>
      <c r="P634" s="52"/>
      <c r="Q634" s="52"/>
      <c r="U634" s="52"/>
    </row>
    <row r="635">
      <c r="M635" s="52"/>
      <c r="N635" s="52"/>
      <c r="O635" s="52"/>
      <c r="P635" s="52"/>
      <c r="Q635" s="52"/>
      <c r="U635" s="52"/>
    </row>
    <row r="636">
      <c r="M636" s="52"/>
      <c r="N636" s="52"/>
      <c r="O636" s="52"/>
      <c r="P636" s="52"/>
      <c r="Q636" s="52"/>
      <c r="U636" s="52"/>
    </row>
    <row r="637">
      <c r="M637" s="52"/>
      <c r="N637" s="52"/>
      <c r="O637" s="52"/>
      <c r="P637" s="52"/>
      <c r="Q637" s="52"/>
      <c r="U637" s="52"/>
    </row>
    <row r="638">
      <c r="M638" s="52"/>
      <c r="N638" s="52"/>
      <c r="O638" s="52"/>
      <c r="P638" s="52"/>
      <c r="Q638" s="52"/>
      <c r="U638" s="52"/>
    </row>
    <row r="639">
      <c r="M639" s="52"/>
      <c r="N639" s="52"/>
      <c r="O639" s="52"/>
      <c r="P639" s="52"/>
      <c r="Q639" s="52"/>
      <c r="U639" s="52"/>
    </row>
    <row r="640">
      <c r="M640" s="52"/>
      <c r="N640" s="52"/>
      <c r="O640" s="52"/>
      <c r="P640" s="52"/>
      <c r="Q640" s="52"/>
      <c r="U640" s="52"/>
    </row>
    <row r="641">
      <c r="M641" s="52"/>
      <c r="N641" s="52"/>
      <c r="O641" s="52"/>
      <c r="P641" s="52"/>
      <c r="Q641" s="52"/>
      <c r="U641" s="52"/>
    </row>
    <row r="642">
      <c r="M642" s="52"/>
      <c r="N642" s="52"/>
      <c r="O642" s="52"/>
      <c r="P642" s="52"/>
      <c r="Q642" s="52"/>
      <c r="U642" s="52"/>
    </row>
    <row r="643">
      <c r="M643" s="52"/>
      <c r="N643" s="52"/>
      <c r="O643" s="52"/>
      <c r="P643" s="52"/>
      <c r="Q643" s="52"/>
      <c r="U643" s="52"/>
    </row>
    <row r="644">
      <c r="M644" s="52"/>
      <c r="N644" s="52"/>
      <c r="O644" s="52"/>
      <c r="P644" s="52"/>
      <c r="Q644" s="52"/>
      <c r="U644" s="52"/>
    </row>
    <row r="645">
      <c r="M645" s="52"/>
      <c r="N645" s="52"/>
      <c r="O645" s="52"/>
      <c r="P645" s="52"/>
      <c r="Q645" s="52"/>
      <c r="U645" s="52"/>
    </row>
    <row r="646">
      <c r="M646" s="52"/>
      <c r="N646" s="52"/>
      <c r="O646" s="52"/>
      <c r="P646" s="52"/>
      <c r="Q646" s="52"/>
      <c r="U646" s="52"/>
    </row>
    <row r="647">
      <c r="M647" s="52"/>
      <c r="N647" s="52"/>
      <c r="O647" s="52"/>
      <c r="P647" s="52"/>
      <c r="Q647" s="52"/>
      <c r="U647" s="52"/>
    </row>
    <row r="648">
      <c r="M648" s="52"/>
      <c r="N648" s="52"/>
      <c r="O648" s="52"/>
      <c r="P648" s="52"/>
      <c r="Q648" s="52"/>
      <c r="U648" s="52"/>
    </row>
    <row r="649">
      <c r="M649" s="52"/>
      <c r="N649" s="52"/>
      <c r="O649" s="52"/>
      <c r="P649" s="52"/>
      <c r="Q649" s="52"/>
      <c r="U649" s="52"/>
    </row>
    <row r="650">
      <c r="M650" s="52"/>
      <c r="N650" s="52"/>
      <c r="O650" s="52"/>
      <c r="P650" s="52"/>
      <c r="Q650" s="52"/>
      <c r="U650" s="52"/>
    </row>
    <row r="651">
      <c r="M651" s="52"/>
      <c r="N651" s="52"/>
      <c r="O651" s="52"/>
      <c r="P651" s="52"/>
      <c r="Q651" s="52"/>
      <c r="U651" s="52"/>
    </row>
    <row r="652">
      <c r="M652" s="52"/>
      <c r="N652" s="52"/>
      <c r="O652" s="52"/>
      <c r="P652" s="52"/>
      <c r="Q652" s="52"/>
      <c r="U652" s="52"/>
    </row>
    <row r="653">
      <c r="M653" s="52"/>
      <c r="N653" s="52"/>
      <c r="O653" s="52"/>
      <c r="P653" s="52"/>
      <c r="Q653" s="52"/>
      <c r="U653" s="52"/>
    </row>
    <row r="654">
      <c r="M654" s="52"/>
      <c r="N654" s="52"/>
      <c r="O654" s="52"/>
      <c r="P654" s="52"/>
      <c r="Q654" s="52"/>
      <c r="U654" s="52"/>
    </row>
    <row r="655">
      <c r="M655" s="52"/>
      <c r="N655" s="52"/>
      <c r="O655" s="52"/>
      <c r="P655" s="52"/>
      <c r="Q655" s="52"/>
      <c r="U655" s="52"/>
    </row>
    <row r="656">
      <c r="M656" s="52"/>
      <c r="N656" s="52"/>
      <c r="O656" s="52"/>
      <c r="P656" s="52"/>
      <c r="Q656" s="52"/>
      <c r="U656" s="52"/>
    </row>
    <row r="657">
      <c r="M657" s="52"/>
      <c r="N657" s="52"/>
      <c r="O657" s="52"/>
      <c r="P657" s="52"/>
      <c r="Q657" s="52"/>
      <c r="U657" s="52"/>
    </row>
    <row r="658">
      <c r="M658" s="52"/>
      <c r="N658" s="52"/>
      <c r="O658" s="52"/>
      <c r="P658" s="52"/>
      <c r="Q658" s="52"/>
      <c r="U658" s="52"/>
    </row>
    <row r="659">
      <c r="M659" s="52"/>
      <c r="N659" s="52"/>
      <c r="O659" s="52"/>
      <c r="P659" s="52"/>
      <c r="Q659" s="52"/>
      <c r="U659" s="52"/>
    </row>
    <row r="660">
      <c r="M660" s="52"/>
      <c r="N660" s="52"/>
      <c r="O660" s="52"/>
      <c r="P660" s="52"/>
      <c r="Q660" s="52"/>
      <c r="U660" s="52"/>
    </row>
    <row r="661">
      <c r="M661" s="52"/>
      <c r="N661" s="52"/>
      <c r="O661" s="52"/>
      <c r="P661" s="52"/>
      <c r="Q661" s="52"/>
      <c r="U661" s="52"/>
    </row>
    <row r="662">
      <c r="M662" s="52"/>
      <c r="N662" s="52"/>
      <c r="O662" s="52"/>
      <c r="P662" s="52"/>
      <c r="Q662" s="52"/>
      <c r="U662" s="52"/>
    </row>
    <row r="663">
      <c r="M663" s="52"/>
      <c r="N663" s="52"/>
      <c r="O663" s="52"/>
      <c r="P663" s="52"/>
      <c r="Q663" s="52"/>
      <c r="U663" s="52"/>
    </row>
    <row r="664">
      <c r="M664" s="52"/>
      <c r="N664" s="52"/>
      <c r="O664" s="52"/>
      <c r="P664" s="52"/>
      <c r="Q664" s="52"/>
      <c r="U664" s="52"/>
    </row>
    <row r="665">
      <c r="M665" s="52"/>
      <c r="N665" s="52"/>
      <c r="O665" s="52"/>
      <c r="P665" s="52"/>
      <c r="Q665" s="52"/>
      <c r="U665" s="52"/>
    </row>
    <row r="666">
      <c r="M666" s="52"/>
      <c r="N666" s="52"/>
      <c r="O666" s="52"/>
      <c r="P666" s="52"/>
      <c r="Q666" s="52"/>
      <c r="U666" s="52"/>
    </row>
    <row r="667">
      <c r="M667" s="52"/>
      <c r="N667" s="52"/>
      <c r="O667" s="52"/>
      <c r="P667" s="52"/>
      <c r="Q667" s="52"/>
      <c r="U667" s="52"/>
    </row>
    <row r="668">
      <c r="M668" s="52"/>
      <c r="N668" s="52"/>
      <c r="O668" s="52"/>
      <c r="P668" s="52"/>
      <c r="Q668" s="52"/>
      <c r="U668" s="52"/>
    </row>
    <row r="669">
      <c r="M669" s="52"/>
      <c r="N669" s="52"/>
      <c r="O669" s="52"/>
      <c r="P669" s="52"/>
      <c r="Q669" s="52"/>
      <c r="U669" s="52"/>
    </row>
    <row r="670">
      <c r="M670" s="52"/>
      <c r="N670" s="52"/>
      <c r="O670" s="52"/>
      <c r="P670" s="52"/>
      <c r="Q670" s="52"/>
      <c r="U670" s="52"/>
    </row>
    <row r="671">
      <c r="M671" s="52"/>
      <c r="N671" s="52"/>
      <c r="O671" s="52"/>
      <c r="P671" s="52"/>
      <c r="Q671" s="52"/>
      <c r="U671" s="52"/>
    </row>
    <row r="672">
      <c r="M672" s="52"/>
      <c r="N672" s="52"/>
      <c r="O672" s="52"/>
      <c r="P672" s="52"/>
      <c r="Q672" s="52"/>
      <c r="U672" s="52"/>
    </row>
    <row r="673">
      <c r="M673" s="52"/>
      <c r="N673" s="52"/>
      <c r="O673" s="52"/>
      <c r="P673" s="52"/>
      <c r="Q673" s="52"/>
      <c r="U673" s="52"/>
    </row>
    <row r="674">
      <c r="M674" s="52"/>
      <c r="N674" s="52"/>
      <c r="O674" s="52"/>
      <c r="P674" s="52"/>
      <c r="Q674" s="52"/>
      <c r="U674" s="52"/>
    </row>
    <row r="675">
      <c r="M675" s="52"/>
      <c r="N675" s="52"/>
      <c r="O675" s="52"/>
      <c r="P675" s="52"/>
      <c r="Q675" s="52"/>
      <c r="U675" s="52"/>
    </row>
    <row r="676">
      <c r="M676" s="52"/>
      <c r="N676" s="52"/>
      <c r="O676" s="52"/>
      <c r="P676" s="52"/>
      <c r="Q676" s="52"/>
      <c r="U676" s="52"/>
    </row>
    <row r="677">
      <c r="M677" s="52"/>
      <c r="N677" s="52"/>
      <c r="O677" s="52"/>
      <c r="P677" s="52"/>
      <c r="Q677" s="52"/>
      <c r="U677" s="52"/>
    </row>
    <row r="678">
      <c r="M678" s="52"/>
      <c r="N678" s="52"/>
      <c r="O678" s="52"/>
      <c r="P678" s="52"/>
      <c r="Q678" s="52"/>
      <c r="U678" s="52"/>
    </row>
    <row r="679">
      <c r="M679" s="52"/>
      <c r="N679" s="52"/>
      <c r="O679" s="52"/>
      <c r="P679" s="52"/>
      <c r="Q679" s="52"/>
      <c r="U679" s="52"/>
    </row>
    <row r="680">
      <c r="M680" s="52"/>
      <c r="N680" s="52"/>
      <c r="O680" s="52"/>
      <c r="P680" s="52"/>
      <c r="Q680" s="52"/>
      <c r="U680" s="52"/>
    </row>
    <row r="681">
      <c r="M681" s="52"/>
      <c r="N681" s="52"/>
      <c r="O681" s="52"/>
      <c r="P681" s="52"/>
      <c r="Q681" s="52"/>
      <c r="U681" s="52"/>
    </row>
    <row r="682">
      <c r="M682" s="52"/>
      <c r="N682" s="52"/>
      <c r="O682" s="52"/>
      <c r="P682" s="52"/>
      <c r="Q682" s="52"/>
      <c r="U682" s="52"/>
    </row>
    <row r="683">
      <c r="M683" s="52"/>
      <c r="N683" s="52"/>
      <c r="O683" s="52"/>
      <c r="P683" s="52"/>
      <c r="Q683" s="52"/>
      <c r="U683" s="52"/>
    </row>
    <row r="684">
      <c r="M684" s="52"/>
      <c r="N684" s="52"/>
      <c r="O684" s="52"/>
      <c r="P684" s="52"/>
      <c r="Q684" s="52"/>
      <c r="U684" s="52"/>
    </row>
    <row r="685">
      <c r="M685" s="52"/>
      <c r="N685" s="52"/>
      <c r="O685" s="52"/>
      <c r="P685" s="52"/>
      <c r="Q685" s="52"/>
      <c r="U685" s="52"/>
    </row>
    <row r="686">
      <c r="M686" s="52"/>
      <c r="N686" s="52"/>
      <c r="O686" s="52"/>
      <c r="P686" s="52"/>
      <c r="Q686" s="52"/>
      <c r="U686" s="52"/>
    </row>
    <row r="687">
      <c r="M687" s="52"/>
      <c r="N687" s="52"/>
      <c r="O687" s="52"/>
      <c r="P687" s="52"/>
      <c r="Q687" s="52"/>
      <c r="U687" s="52"/>
    </row>
    <row r="688">
      <c r="M688" s="52"/>
      <c r="N688" s="52"/>
      <c r="O688" s="52"/>
      <c r="P688" s="52"/>
      <c r="Q688" s="52"/>
      <c r="U688" s="52"/>
    </row>
    <row r="689">
      <c r="M689" s="52"/>
      <c r="N689" s="52"/>
      <c r="O689" s="52"/>
      <c r="P689" s="52"/>
      <c r="Q689" s="52"/>
      <c r="U689" s="52"/>
    </row>
    <row r="690">
      <c r="M690" s="52"/>
      <c r="N690" s="52"/>
      <c r="O690" s="52"/>
      <c r="P690" s="52"/>
      <c r="Q690" s="52"/>
      <c r="U690" s="52"/>
    </row>
    <row r="691">
      <c r="M691" s="52"/>
      <c r="N691" s="52"/>
      <c r="O691" s="52"/>
      <c r="P691" s="52"/>
      <c r="Q691" s="52"/>
      <c r="U691" s="52"/>
    </row>
    <row r="692">
      <c r="M692" s="52"/>
      <c r="N692" s="52"/>
      <c r="O692" s="52"/>
      <c r="P692" s="52"/>
      <c r="Q692" s="52"/>
      <c r="U692" s="52"/>
    </row>
    <row r="693">
      <c r="M693" s="52"/>
      <c r="N693" s="52"/>
      <c r="O693" s="52"/>
      <c r="P693" s="52"/>
      <c r="Q693" s="52"/>
      <c r="U693" s="52"/>
    </row>
    <row r="694">
      <c r="M694" s="52"/>
      <c r="N694" s="52"/>
      <c r="O694" s="52"/>
      <c r="P694" s="52"/>
      <c r="Q694" s="52"/>
      <c r="U694" s="52"/>
    </row>
    <row r="695">
      <c r="M695" s="52"/>
      <c r="N695" s="52"/>
      <c r="O695" s="52"/>
      <c r="P695" s="52"/>
      <c r="Q695" s="52"/>
      <c r="U695" s="52"/>
    </row>
    <row r="696">
      <c r="M696" s="52"/>
      <c r="N696" s="52"/>
      <c r="O696" s="52"/>
      <c r="P696" s="52"/>
      <c r="Q696" s="52"/>
      <c r="U696" s="52"/>
    </row>
    <row r="697">
      <c r="M697" s="52"/>
      <c r="N697" s="52"/>
      <c r="O697" s="52"/>
      <c r="P697" s="52"/>
      <c r="Q697" s="52"/>
      <c r="U697" s="52"/>
    </row>
    <row r="698">
      <c r="M698" s="52"/>
      <c r="N698" s="52"/>
      <c r="O698" s="52"/>
      <c r="P698" s="52"/>
      <c r="Q698" s="52"/>
      <c r="U698" s="52"/>
    </row>
    <row r="699">
      <c r="M699" s="52"/>
      <c r="N699" s="52"/>
      <c r="O699" s="52"/>
      <c r="P699" s="52"/>
      <c r="Q699" s="52"/>
      <c r="U699" s="52"/>
    </row>
    <row r="700">
      <c r="M700" s="52"/>
      <c r="N700" s="52"/>
      <c r="O700" s="52"/>
      <c r="P700" s="52"/>
      <c r="Q700" s="52"/>
      <c r="U700" s="52"/>
    </row>
    <row r="701">
      <c r="M701" s="52"/>
      <c r="N701" s="52"/>
      <c r="O701" s="52"/>
      <c r="P701" s="52"/>
      <c r="Q701" s="52"/>
      <c r="U701" s="52"/>
    </row>
    <row r="702">
      <c r="M702" s="52"/>
      <c r="N702" s="52"/>
      <c r="O702" s="52"/>
      <c r="P702" s="52"/>
      <c r="Q702" s="52"/>
      <c r="U702" s="52"/>
    </row>
    <row r="703">
      <c r="M703" s="52"/>
      <c r="N703" s="52"/>
      <c r="O703" s="52"/>
      <c r="P703" s="52"/>
      <c r="Q703" s="52"/>
      <c r="U703" s="52"/>
    </row>
    <row r="704">
      <c r="M704" s="52"/>
      <c r="N704" s="52"/>
      <c r="O704" s="52"/>
      <c r="P704" s="52"/>
      <c r="Q704" s="52"/>
      <c r="U704" s="52"/>
    </row>
    <row r="705">
      <c r="M705" s="52"/>
      <c r="N705" s="52"/>
      <c r="O705" s="52"/>
      <c r="P705" s="52"/>
      <c r="Q705" s="52"/>
      <c r="U705" s="52"/>
    </row>
    <row r="706">
      <c r="M706" s="52"/>
      <c r="N706" s="52"/>
      <c r="O706" s="52"/>
      <c r="P706" s="52"/>
      <c r="Q706" s="52"/>
      <c r="U706" s="52"/>
    </row>
    <row r="707">
      <c r="M707" s="52"/>
      <c r="N707" s="52"/>
      <c r="O707" s="52"/>
      <c r="P707" s="52"/>
      <c r="Q707" s="52"/>
      <c r="U707" s="52"/>
    </row>
    <row r="708">
      <c r="M708" s="52"/>
      <c r="N708" s="52"/>
      <c r="O708" s="52"/>
      <c r="P708" s="52"/>
      <c r="Q708" s="52"/>
      <c r="U708" s="52"/>
    </row>
    <row r="709">
      <c r="M709" s="52"/>
      <c r="N709" s="52"/>
      <c r="O709" s="52"/>
      <c r="P709" s="52"/>
      <c r="Q709" s="52"/>
      <c r="U709" s="52"/>
    </row>
    <row r="710">
      <c r="M710" s="52"/>
      <c r="N710" s="52"/>
      <c r="O710" s="52"/>
      <c r="P710" s="52"/>
      <c r="Q710" s="52"/>
      <c r="U710" s="52"/>
    </row>
    <row r="711">
      <c r="M711" s="52"/>
      <c r="N711" s="52"/>
      <c r="O711" s="52"/>
      <c r="P711" s="52"/>
      <c r="Q711" s="52"/>
      <c r="U711" s="52"/>
    </row>
    <row r="712">
      <c r="M712" s="52"/>
      <c r="N712" s="52"/>
      <c r="O712" s="52"/>
      <c r="P712" s="52"/>
      <c r="Q712" s="52"/>
      <c r="U712" s="52"/>
    </row>
    <row r="713">
      <c r="M713" s="52"/>
      <c r="N713" s="52"/>
      <c r="O713" s="52"/>
      <c r="P713" s="52"/>
      <c r="Q713" s="52"/>
      <c r="U713" s="52"/>
    </row>
    <row r="714">
      <c r="M714" s="52"/>
      <c r="N714" s="52"/>
      <c r="O714" s="52"/>
      <c r="P714" s="52"/>
      <c r="Q714" s="52"/>
      <c r="U714" s="52"/>
    </row>
    <row r="715">
      <c r="M715" s="52"/>
      <c r="N715" s="52"/>
      <c r="O715" s="52"/>
      <c r="P715" s="52"/>
      <c r="Q715" s="52"/>
      <c r="U715" s="52"/>
    </row>
    <row r="716">
      <c r="M716" s="52"/>
      <c r="N716" s="52"/>
      <c r="O716" s="52"/>
      <c r="P716" s="52"/>
      <c r="Q716" s="52"/>
      <c r="U716" s="52"/>
    </row>
    <row r="717">
      <c r="M717" s="52"/>
      <c r="N717" s="52"/>
      <c r="O717" s="52"/>
      <c r="P717" s="52"/>
      <c r="Q717" s="52"/>
      <c r="U717" s="52"/>
    </row>
    <row r="718">
      <c r="M718" s="52"/>
      <c r="N718" s="52"/>
      <c r="O718" s="52"/>
      <c r="P718" s="52"/>
      <c r="Q718" s="52"/>
      <c r="U718" s="52"/>
    </row>
    <row r="719">
      <c r="M719" s="52"/>
      <c r="N719" s="52"/>
      <c r="O719" s="52"/>
      <c r="P719" s="52"/>
      <c r="Q719" s="52"/>
      <c r="U719" s="52"/>
    </row>
    <row r="720">
      <c r="M720" s="52"/>
      <c r="N720" s="52"/>
      <c r="O720" s="52"/>
      <c r="P720" s="52"/>
      <c r="Q720" s="52"/>
      <c r="U720" s="52"/>
    </row>
    <row r="721">
      <c r="M721" s="52"/>
      <c r="N721" s="52"/>
      <c r="O721" s="52"/>
      <c r="P721" s="52"/>
      <c r="Q721" s="52"/>
      <c r="U721" s="52"/>
    </row>
    <row r="722">
      <c r="M722" s="52"/>
      <c r="N722" s="52"/>
      <c r="O722" s="52"/>
      <c r="P722" s="52"/>
      <c r="Q722" s="52"/>
      <c r="U722" s="52"/>
    </row>
    <row r="723">
      <c r="M723" s="52"/>
      <c r="N723" s="52"/>
      <c r="O723" s="52"/>
      <c r="P723" s="52"/>
      <c r="Q723" s="52"/>
      <c r="U723" s="52"/>
    </row>
    <row r="724">
      <c r="M724" s="52"/>
      <c r="N724" s="52"/>
      <c r="O724" s="52"/>
      <c r="P724" s="52"/>
      <c r="Q724" s="52"/>
      <c r="U724" s="52"/>
    </row>
    <row r="725">
      <c r="M725" s="52"/>
      <c r="N725" s="52"/>
      <c r="O725" s="52"/>
      <c r="P725" s="52"/>
      <c r="Q725" s="52"/>
      <c r="U725" s="52"/>
    </row>
    <row r="726">
      <c r="M726" s="52"/>
      <c r="N726" s="52"/>
      <c r="O726" s="52"/>
      <c r="P726" s="52"/>
      <c r="Q726" s="52"/>
      <c r="U726" s="52"/>
    </row>
    <row r="727">
      <c r="M727" s="52"/>
      <c r="N727" s="52"/>
      <c r="O727" s="52"/>
      <c r="P727" s="52"/>
      <c r="Q727" s="52"/>
      <c r="U727" s="52"/>
    </row>
    <row r="728">
      <c r="M728" s="52"/>
      <c r="N728" s="52"/>
      <c r="O728" s="52"/>
      <c r="P728" s="52"/>
      <c r="Q728" s="52"/>
      <c r="U728" s="52"/>
    </row>
    <row r="729">
      <c r="M729" s="52"/>
      <c r="N729" s="52"/>
      <c r="O729" s="52"/>
      <c r="P729" s="52"/>
      <c r="Q729" s="52"/>
      <c r="U729" s="52"/>
    </row>
    <row r="730">
      <c r="M730" s="52"/>
      <c r="N730" s="52"/>
      <c r="O730" s="52"/>
      <c r="P730" s="52"/>
      <c r="Q730" s="52"/>
      <c r="U730" s="52"/>
    </row>
    <row r="731">
      <c r="M731" s="52"/>
      <c r="N731" s="52"/>
      <c r="O731" s="52"/>
      <c r="P731" s="52"/>
      <c r="Q731" s="52"/>
      <c r="U731" s="52"/>
    </row>
    <row r="732">
      <c r="M732" s="52"/>
      <c r="N732" s="52"/>
      <c r="O732" s="52"/>
      <c r="P732" s="52"/>
      <c r="Q732" s="52"/>
      <c r="U732" s="52"/>
    </row>
    <row r="733">
      <c r="M733" s="52"/>
      <c r="N733" s="52"/>
      <c r="O733" s="52"/>
      <c r="P733" s="52"/>
      <c r="Q733" s="52"/>
      <c r="U733" s="52"/>
    </row>
    <row r="734">
      <c r="M734" s="52"/>
      <c r="N734" s="52"/>
      <c r="O734" s="52"/>
      <c r="P734" s="52"/>
      <c r="Q734" s="52"/>
      <c r="U734" s="52"/>
    </row>
    <row r="735">
      <c r="M735" s="52"/>
      <c r="N735" s="52"/>
      <c r="O735" s="52"/>
      <c r="P735" s="52"/>
      <c r="Q735" s="52"/>
      <c r="U735" s="52"/>
    </row>
    <row r="736">
      <c r="M736" s="52"/>
      <c r="N736" s="52"/>
      <c r="O736" s="52"/>
      <c r="P736" s="52"/>
      <c r="Q736" s="52"/>
      <c r="U736" s="52"/>
    </row>
    <row r="737">
      <c r="M737" s="52"/>
      <c r="N737" s="52"/>
      <c r="O737" s="52"/>
      <c r="P737" s="52"/>
      <c r="Q737" s="52"/>
      <c r="U737" s="52"/>
    </row>
    <row r="738">
      <c r="M738" s="52"/>
      <c r="N738" s="52"/>
      <c r="O738" s="52"/>
      <c r="P738" s="52"/>
      <c r="Q738" s="52"/>
      <c r="U738" s="52"/>
    </row>
    <row r="739">
      <c r="M739" s="52"/>
      <c r="N739" s="52"/>
      <c r="O739" s="52"/>
      <c r="P739" s="52"/>
      <c r="Q739" s="52"/>
      <c r="U739" s="52"/>
    </row>
    <row r="740">
      <c r="M740" s="52"/>
      <c r="N740" s="52"/>
      <c r="O740" s="52"/>
      <c r="P740" s="52"/>
      <c r="Q740" s="52"/>
      <c r="U740" s="52"/>
    </row>
    <row r="741">
      <c r="M741" s="52"/>
      <c r="N741" s="52"/>
      <c r="O741" s="52"/>
      <c r="P741" s="52"/>
      <c r="Q741" s="52"/>
      <c r="U741" s="52"/>
    </row>
    <row r="742">
      <c r="M742" s="52"/>
      <c r="N742" s="52"/>
      <c r="O742" s="52"/>
      <c r="P742" s="52"/>
      <c r="Q742" s="52"/>
      <c r="U742" s="52"/>
    </row>
    <row r="743">
      <c r="M743" s="52"/>
      <c r="N743" s="52"/>
      <c r="O743" s="52"/>
      <c r="P743" s="52"/>
      <c r="Q743" s="52"/>
      <c r="U743" s="52"/>
    </row>
    <row r="744">
      <c r="M744" s="52"/>
      <c r="N744" s="52"/>
      <c r="O744" s="52"/>
      <c r="P744" s="52"/>
      <c r="Q744" s="52"/>
      <c r="U744" s="52"/>
    </row>
    <row r="745">
      <c r="M745" s="52"/>
      <c r="N745" s="52"/>
      <c r="O745" s="52"/>
      <c r="P745" s="52"/>
      <c r="Q745" s="52"/>
      <c r="U745" s="52"/>
    </row>
    <row r="746">
      <c r="M746" s="52"/>
      <c r="N746" s="52"/>
      <c r="O746" s="52"/>
      <c r="P746" s="52"/>
      <c r="Q746" s="52"/>
      <c r="U746" s="52"/>
    </row>
    <row r="747">
      <c r="M747" s="52"/>
      <c r="N747" s="52"/>
      <c r="O747" s="52"/>
      <c r="P747" s="52"/>
      <c r="Q747" s="52"/>
      <c r="U747" s="52"/>
    </row>
    <row r="748">
      <c r="M748" s="52"/>
      <c r="N748" s="52"/>
      <c r="O748" s="52"/>
      <c r="P748" s="52"/>
      <c r="Q748" s="52"/>
      <c r="U748" s="52"/>
    </row>
    <row r="749">
      <c r="M749" s="52"/>
      <c r="N749" s="52"/>
      <c r="O749" s="52"/>
      <c r="P749" s="52"/>
      <c r="Q749" s="52"/>
      <c r="U749" s="52"/>
    </row>
    <row r="750">
      <c r="M750" s="52"/>
      <c r="N750" s="52"/>
      <c r="O750" s="52"/>
      <c r="P750" s="52"/>
      <c r="Q750" s="52"/>
      <c r="U750" s="52"/>
    </row>
    <row r="751">
      <c r="M751" s="52"/>
      <c r="N751" s="52"/>
      <c r="O751" s="52"/>
      <c r="P751" s="52"/>
      <c r="Q751" s="52"/>
      <c r="U751" s="52"/>
    </row>
    <row r="752">
      <c r="M752" s="52"/>
      <c r="N752" s="52"/>
      <c r="O752" s="52"/>
      <c r="P752" s="52"/>
      <c r="Q752" s="52"/>
      <c r="U752" s="52"/>
    </row>
    <row r="753">
      <c r="M753" s="52"/>
      <c r="N753" s="52"/>
      <c r="O753" s="52"/>
      <c r="P753" s="52"/>
      <c r="Q753" s="52"/>
      <c r="U753" s="52"/>
    </row>
    <row r="754">
      <c r="M754" s="52"/>
      <c r="N754" s="52"/>
      <c r="O754" s="52"/>
      <c r="P754" s="52"/>
      <c r="Q754" s="52"/>
      <c r="U754" s="52"/>
    </row>
    <row r="755">
      <c r="M755" s="52"/>
      <c r="N755" s="52"/>
      <c r="O755" s="52"/>
      <c r="P755" s="52"/>
      <c r="Q755" s="52"/>
      <c r="U755" s="52"/>
    </row>
    <row r="756">
      <c r="M756" s="52"/>
      <c r="N756" s="52"/>
      <c r="O756" s="52"/>
      <c r="P756" s="52"/>
      <c r="Q756" s="52"/>
      <c r="U756" s="52"/>
    </row>
    <row r="757">
      <c r="M757" s="52"/>
      <c r="N757" s="52"/>
      <c r="O757" s="52"/>
      <c r="P757" s="52"/>
      <c r="Q757" s="52"/>
      <c r="U757" s="52"/>
    </row>
    <row r="758">
      <c r="M758" s="52"/>
      <c r="N758" s="52"/>
      <c r="O758" s="52"/>
      <c r="P758" s="52"/>
      <c r="Q758" s="52"/>
      <c r="U758" s="52"/>
    </row>
    <row r="759">
      <c r="M759" s="52"/>
      <c r="N759" s="52"/>
      <c r="O759" s="52"/>
      <c r="P759" s="52"/>
      <c r="Q759" s="52"/>
      <c r="U759" s="52"/>
    </row>
    <row r="760">
      <c r="M760" s="52"/>
      <c r="N760" s="52"/>
      <c r="O760" s="52"/>
      <c r="P760" s="52"/>
      <c r="Q760" s="52"/>
      <c r="U760" s="52"/>
    </row>
    <row r="761">
      <c r="M761" s="52"/>
      <c r="N761" s="52"/>
      <c r="O761" s="52"/>
      <c r="P761" s="52"/>
      <c r="Q761" s="52"/>
      <c r="U761" s="52"/>
    </row>
    <row r="762">
      <c r="M762" s="52"/>
      <c r="N762" s="52"/>
      <c r="O762" s="52"/>
      <c r="P762" s="52"/>
      <c r="Q762" s="52"/>
      <c r="U762" s="52"/>
    </row>
    <row r="763">
      <c r="M763" s="52"/>
      <c r="N763" s="52"/>
      <c r="O763" s="52"/>
      <c r="P763" s="52"/>
      <c r="Q763" s="52"/>
      <c r="U763" s="52"/>
    </row>
    <row r="764">
      <c r="M764" s="52"/>
      <c r="N764" s="52"/>
      <c r="O764" s="52"/>
      <c r="P764" s="52"/>
      <c r="Q764" s="52"/>
      <c r="U764" s="52"/>
    </row>
    <row r="765">
      <c r="M765" s="52"/>
      <c r="N765" s="52"/>
      <c r="O765" s="52"/>
      <c r="P765" s="52"/>
      <c r="Q765" s="52"/>
      <c r="U765" s="52"/>
    </row>
    <row r="766">
      <c r="M766" s="52"/>
      <c r="N766" s="52"/>
      <c r="O766" s="52"/>
      <c r="P766" s="52"/>
      <c r="Q766" s="52"/>
      <c r="U766" s="52"/>
    </row>
    <row r="767">
      <c r="M767" s="52"/>
      <c r="N767" s="52"/>
      <c r="O767" s="52"/>
      <c r="P767" s="52"/>
      <c r="Q767" s="52"/>
      <c r="U767" s="52"/>
    </row>
    <row r="768">
      <c r="M768" s="52"/>
      <c r="N768" s="52"/>
      <c r="O768" s="52"/>
      <c r="P768" s="52"/>
      <c r="Q768" s="52"/>
      <c r="U768" s="52"/>
    </row>
    <row r="769">
      <c r="M769" s="52"/>
      <c r="N769" s="52"/>
      <c r="O769" s="52"/>
      <c r="P769" s="52"/>
      <c r="Q769" s="52"/>
      <c r="U769" s="52"/>
    </row>
    <row r="770">
      <c r="M770" s="52"/>
      <c r="N770" s="52"/>
      <c r="O770" s="52"/>
      <c r="P770" s="52"/>
      <c r="Q770" s="52"/>
      <c r="U770" s="52"/>
    </row>
    <row r="771">
      <c r="M771" s="52"/>
      <c r="N771" s="52"/>
      <c r="O771" s="52"/>
      <c r="P771" s="52"/>
      <c r="Q771" s="52"/>
      <c r="U771" s="52"/>
    </row>
    <row r="772">
      <c r="M772" s="52"/>
      <c r="N772" s="52"/>
      <c r="O772" s="52"/>
      <c r="P772" s="52"/>
      <c r="Q772" s="52"/>
      <c r="U772" s="52"/>
    </row>
    <row r="773">
      <c r="M773" s="52"/>
      <c r="N773" s="52"/>
      <c r="O773" s="52"/>
      <c r="P773" s="52"/>
      <c r="Q773" s="52"/>
      <c r="U773" s="52"/>
    </row>
    <row r="774">
      <c r="M774" s="52"/>
      <c r="N774" s="52"/>
      <c r="O774" s="52"/>
      <c r="P774" s="52"/>
      <c r="Q774" s="52"/>
      <c r="U774" s="52"/>
    </row>
    <row r="775">
      <c r="M775" s="52"/>
      <c r="N775" s="52"/>
      <c r="O775" s="52"/>
      <c r="P775" s="52"/>
      <c r="Q775" s="52"/>
      <c r="U775" s="52"/>
    </row>
    <row r="776">
      <c r="M776" s="52"/>
      <c r="N776" s="52"/>
      <c r="O776" s="52"/>
      <c r="P776" s="52"/>
      <c r="Q776" s="52"/>
      <c r="U776" s="52"/>
    </row>
    <row r="777">
      <c r="M777" s="52"/>
      <c r="N777" s="52"/>
      <c r="O777" s="52"/>
      <c r="P777" s="52"/>
      <c r="Q777" s="52"/>
      <c r="U777" s="52"/>
    </row>
    <row r="778">
      <c r="M778" s="52"/>
      <c r="N778" s="52"/>
      <c r="O778" s="52"/>
      <c r="P778" s="52"/>
      <c r="Q778" s="52"/>
      <c r="U778" s="52"/>
    </row>
    <row r="779">
      <c r="M779" s="52"/>
      <c r="N779" s="52"/>
      <c r="O779" s="52"/>
      <c r="P779" s="52"/>
      <c r="Q779" s="52"/>
      <c r="U779" s="52"/>
    </row>
    <row r="780">
      <c r="M780" s="52"/>
      <c r="N780" s="52"/>
      <c r="O780" s="52"/>
      <c r="P780" s="52"/>
      <c r="Q780" s="52"/>
      <c r="U780" s="52"/>
    </row>
    <row r="781">
      <c r="M781" s="52"/>
      <c r="N781" s="52"/>
      <c r="O781" s="52"/>
      <c r="P781" s="52"/>
      <c r="Q781" s="52"/>
      <c r="U781" s="52"/>
    </row>
    <row r="782">
      <c r="M782" s="52"/>
      <c r="N782" s="52"/>
      <c r="O782" s="52"/>
      <c r="P782" s="52"/>
      <c r="Q782" s="52"/>
      <c r="U782" s="52"/>
    </row>
    <row r="783">
      <c r="M783" s="52"/>
      <c r="N783" s="52"/>
      <c r="O783" s="52"/>
      <c r="P783" s="52"/>
      <c r="Q783" s="52"/>
      <c r="U783" s="52"/>
    </row>
    <row r="784">
      <c r="M784" s="52"/>
      <c r="N784" s="52"/>
      <c r="O784" s="52"/>
      <c r="P784" s="52"/>
      <c r="Q784" s="52"/>
      <c r="U784" s="52"/>
    </row>
    <row r="785">
      <c r="M785" s="52"/>
      <c r="N785" s="52"/>
      <c r="O785" s="52"/>
      <c r="P785" s="52"/>
      <c r="Q785" s="52"/>
      <c r="U785" s="52"/>
    </row>
    <row r="786">
      <c r="M786" s="52"/>
      <c r="N786" s="52"/>
      <c r="O786" s="52"/>
      <c r="P786" s="52"/>
      <c r="Q786" s="52"/>
      <c r="U786" s="52"/>
    </row>
    <row r="787">
      <c r="M787" s="52"/>
      <c r="N787" s="52"/>
      <c r="O787" s="52"/>
      <c r="P787" s="52"/>
      <c r="Q787" s="52"/>
      <c r="U787" s="52"/>
    </row>
    <row r="788">
      <c r="M788" s="52"/>
      <c r="N788" s="52"/>
      <c r="O788" s="52"/>
      <c r="P788" s="52"/>
      <c r="Q788" s="52"/>
      <c r="U788" s="52"/>
    </row>
    <row r="789">
      <c r="M789" s="52"/>
      <c r="N789" s="52"/>
      <c r="O789" s="52"/>
      <c r="P789" s="52"/>
      <c r="Q789" s="52"/>
      <c r="U789" s="52"/>
    </row>
    <row r="790">
      <c r="M790" s="52"/>
      <c r="N790" s="52"/>
      <c r="O790" s="52"/>
      <c r="P790" s="52"/>
      <c r="Q790" s="52"/>
      <c r="U790" s="52"/>
    </row>
    <row r="791">
      <c r="M791" s="52"/>
      <c r="N791" s="52"/>
      <c r="O791" s="52"/>
      <c r="P791" s="52"/>
      <c r="Q791" s="52"/>
      <c r="U791" s="52"/>
    </row>
    <row r="792">
      <c r="M792" s="52"/>
      <c r="N792" s="52"/>
      <c r="O792" s="52"/>
      <c r="P792" s="52"/>
      <c r="Q792" s="52"/>
      <c r="U792" s="52"/>
    </row>
    <row r="793">
      <c r="M793" s="52"/>
      <c r="N793" s="52"/>
      <c r="O793" s="52"/>
      <c r="P793" s="52"/>
      <c r="Q793" s="52"/>
      <c r="U793" s="52"/>
    </row>
    <row r="794">
      <c r="M794" s="52"/>
      <c r="N794" s="52"/>
      <c r="O794" s="52"/>
      <c r="P794" s="52"/>
      <c r="Q794" s="52"/>
      <c r="U794" s="52"/>
    </row>
    <row r="795">
      <c r="M795" s="52"/>
      <c r="N795" s="52"/>
      <c r="O795" s="52"/>
      <c r="P795" s="52"/>
      <c r="Q795" s="52"/>
      <c r="U795" s="52"/>
    </row>
    <row r="796">
      <c r="M796" s="52"/>
      <c r="N796" s="52"/>
      <c r="O796" s="52"/>
      <c r="P796" s="52"/>
      <c r="Q796" s="52"/>
      <c r="U796" s="52"/>
    </row>
    <row r="797">
      <c r="M797" s="52"/>
      <c r="N797" s="52"/>
      <c r="O797" s="52"/>
      <c r="P797" s="52"/>
      <c r="Q797" s="52"/>
      <c r="U797" s="52"/>
    </row>
    <row r="798">
      <c r="M798" s="52"/>
      <c r="N798" s="52"/>
      <c r="O798" s="52"/>
      <c r="P798" s="52"/>
      <c r="Q798" s="52"/>
      <c r="U798" s="52"/>
    </row>
    <row r="799">
      <c r="M799" s="52"/>
      <c r="N799" s="52"/>
      <c r="O799" s="52"/>
      <c r="P799" s="52"/>
      <c r="Q799" s="52"/>
      <c r="U799" s="52"/>
    </row>
    <row r="800">
      <c r="M800" s="52"/>
      <c r="N800" s="52"/>
      <c r="O800" s="52"/>
      <c r="P800" s="52"/>
      <c r="Q800" s="52"/>
      <c r="U800" s="52"/>
    </row>
    <row r="801">
      <c r="M801" s="52"/>
      <c r="N801" s="52"/>
      <c r="O801" s="52"/>
      <c r="P801" s="52"/>
      <c r="Q801" s="52"/>
      <c r="U801" s="52"/>
    </row>
    <row r="802">
      <c r="M802" s="52"/>
      <c r="N802" s="52"/>
      <c r="O802" s="52"/>
      <c r="P802" s="52"/>
      <c r="Q802" s="52"/>
      <c r="U802" s="52"/>
    </row>
    <row r="803">
      <c r="M803" s="52"/>
      <c r="N803" s="52"/>
      <c r="O803" s="52"/>
      <c r="P803" s="52"/>
      <c r="Q803" s="52"/>
      <c r="U803" s="52"/>
    </row>
    <row r="804">
      <c r="M804" s="52"/>
      <c r="N804" s="52"/>
      <c r="O804" s="52"/>
      <c r="P804" s="52"/>
      <c r="Q804" s="52"/>
      <c r="U804" s="52"/>
    </row>
    <row r="805">
      <c r="M805" s="52"/>
      <c r="N805" s="52"/>
      <c r="O805" s="52"/>
      <c r="P805" s="52"/>
      <c r="Q805" s="52"/>
      <c r="U805" s="52"/>
    </row>
    <row r="806">
      <c r="M806" s="52"/>
      <c r="N806" s="52"/>
      <c r="O806" s="52"/>
      <c r="P806" s="52"/>
      <c r="Q806" s="52"/>
      <c r="U806" s="52"/>
    </row>
    <row r="807">
      <c r="M807" s="52"/>
      <c r="N807" s="52"/>
      <c r="O807" s="52"/>
      <c r="P807" s="52"/>
      <c r="Q807" s="52"/>
      <c r="U807" s="52"/>
    </row>
    <row r="808">
      <c r="M808" s="52"/>
      <c r="N808" s="52"/>
      <c r="O808" s="52"/>
      <c r="P808" s="52"/>
      <c r="Q808" s="52"/>
      <c r="U808" s="52"/>
    </row>
    <row r="809">
      <c r="M809" s="52"/>
      <c r="N809" s="52"/>
      <c r="O809" s="52"/>
      <c r="P809" s="52"/>
      <c r="Q809" s="52"/>
      <c r="U809" s="52"/>
    </row>
    <row r="810">
      <c r="M810" s="52"/>
      <c r="N810" s="52"/>
      <c r="O810" s="52"/>
      <c r="P810" s="52"/>
      <c r="Q810" s="52"/>
      <c r="U810" s="52"/>
    </row>
    <row r="811">
      <c r="M811" s="52"/>
      <c r="N811" s="52"/>
      <c r="O811" s="52"/>
      <c r="P811" s="52"/>
      <c r="Q811" s="52"/>
      <c r="U811" s="52"/>
    </row>
    <row r="812">
      <c r="M812" s="52"/>
      <c r="N812" s="52"/>
      <c r="O812" s="52"/>
      <c r="P812" s="52"/>
      <c r="Q812" s="52"/>
      <c r="U812" s="52"/>
    </row>
    <row r="813">
      <c r="M813" s="52"/>
      <c r="N813" s="52"/>
      <c r="O813" s="52"/>
      <c r="P813" s="52"/>
      <c r="Q813" s="52"/>
      <c r="U813" s="52"/>
    </row>
    <row r="814">
      <c r="M814" s="52"/>
      <c r="N814" s="52"/>
      <c r="O814" s="52"/>
      <c r="P814" s="52"/>
      <c r="Q814" s="52"/>
      <c r="U814" s="52"/>
    </row>
    <row r="815">
      <c r="M815" s="52"/>
      <c r="N815" s="52"/>
      <c r="O815" s="52"/>
      <c r="P815" s="52"/>
      <c r="Q815" s="52"/>
      <c r="U815" s="52"/>
    </row>
    <row r="816">
      <c r="M816" s="52"/>
      <c r="N816" s="52"/>
      <c r="O816" s="52"/>
      <c r="P816" s="52"/>
      <c r="Q816" s="52"/>
      <c r="U816" s="52"/>
    </row>
    <row r="817">
      <c r="M817" s="52"/>
      <c r="N817" s="52"/>
      <c r="O817" s="52"/>
      <c r="P817" s="52"/>
      <c r="Q817" s="52"/>
      <c r="U817" s="52"/>
    </row>
    <row r="818">
      <c r="M818" s="52"/>
      <c r="N818" s="52"/>
      <c r="O818" s="52"/>
      <c r="P818" s="52"/>
      <c r="Q818" s="52"/>
      <c r="U818" s="52"/>
    </row>
    <row r="819">
      <c r="M819" s="52"/>
      <c r="N819" s="52"/>
      <c r="O819" s="52"/>
      <c r="P819" s="52"/>
      <c r="Q819" s="52"/>
      <c r="U819" s="52"/>
    </row>
    <row r="820">
      <c r="M820" s="52"/>
      <c r="N820" s="52"/>
      <c r="O820" s="52"/>
      <c r="P820" s="52"/>
      <c r="Q820" s="52"/>
      <c r="U820" s="52"/>
    </row>
    <row r="821">
      <c r="M821" s="52"/>
      <c r="N821" s="52"/>
      <c r="O821" s="52"/>
      <c r="P821" s="52"/>
      <c r="Q821" s="52"/>
      <c r="U821" s="52"/>
    </row>
    <row r="822">
      <c r="M822" s="52"/>
      <c r="N822" s="52"/>
      <c r="O822" s="52"/>
      <c r="P822" s="52"/>
      <c r="Q822" s="52"/>
      <c r="U822" s="52"/>
    </row>
    <row r="823">
      <c r="M823" s="52"/>
      <c r="N823" s="52"/>
      <c r="O823" s="52"/>
      <c r="P823" s="52"/>
      <c r="Q823" s="52"/>
      <c r="U823" s="52"/>
    </row>
    <row r="824">
      <c r="M824" s="52"/>
      <c r="N824" s="52"/>
      <c r="O824" s="52"/>
      <c r="P824" s="52"/>
      <c r="Q824" s="52"/>
      <c r="U824" s="52"/>
    </row>
    <row r="825">
      <c r="M825" s="52"/>
      <c r="N825" s="52"/>
      <c r="O825" s="52"/>
      <c r="P825" s="52"/>
      <c r="Q825" s="52"/>
      <c r="U825" s="52"/>
    </row>
    <row r="826">
      <c r="M826" s="52"/>
      <c r="N826" s="52"/>
      <c r="O826" s="52"/>
      <c r="P826" s="52"/>
      <c r="Q826" s="52"/>
      <c r="U826" s="52"/>
    </row>
    <row r="827">
      <c r="M827" s="52"/>
      <c r="N827" s="52"/>
      <c r="O827" s="52"/>
      <c r="P827" s="52"/>
      <c r="Q827" s="52"/>
      <c r="U827" s="52"/>
    </row>
    <row r="828">
      <c r="M828" s="52"/>
      <c r="N828" s="52"/>
      <c r="O828" s="52"/>
      <c r="P828" s="52"/>
      <c r="Q828" s="52"/>
      <c r="U828" s="52"/>
    </row>
    <row r="829">
      <c r="M829" s="52"/>
      <c r="N829" s="52"/>
      <c r="O829" s="52"/>
      <c r="P829" s="52"/>
      <c r="Q829" s="52"/>
      <c r="U829" s="52"/>
    </row>
    <row r="830">
      <c r="M830" s="52"/>
      <c r="N830" s="52"/>
      <c r="O830" s="52"/>
      <c r="P830" s="52"/>
      <c r="Q830" s="52"/>
      <c r="U830" s="52"/>
    </row>
    <row r="831">
      <c r="M831" s="52"/>
      <c r="N831" s="52"/>
      <c r="O831" s="52"/>
      <c r="P831" s="52"/>
      <c r="Q831" s="52"/>
      <c r="U831" s="52"/>
    </row>
    <row r="832">
      <c r="M832" s="52"/>
      <c r="N832" s="52"/>
      <c r="O832" s="52"/>
      <c r="P832" s="52"/>
      <c r="Q832" s="52"/>
      <c r="U832" s="52"/>
    </row>
    <row r="833">
      <c r="M833" s="52"/>
      <c r="N833" s="52"/>
      <c r="O833" s="52"/>
      <c r="P833" s="52"/>
      <c r="Q833" s="52"/>
      <c r="U833" s="52"/>
    </row>
    <row r="834">
      <c r="M834" s="52"/>
      <c r="N834" s="52"/>
      <c r="O834" s="52"/>
      <c r="P834" s="52"/>
      <c r="Q834" s="52"/>
      <c r="U834" s="52"/>
    </row>
    <row r="835">
      <c r="M835" s="52"/>
      <c r="N835" s="52"/>
      <c r="O835" s="52"/>
      <c r="P835" s="52"/>
      <c r="Q835" s="52"/>
      <c r="U835" s="52"/>
    </row>
    <row r="836">
      <c r="M836" s="52"/>
      <c r="N836" s="52"/>
      <c r="O836" s="52"/>
      <c r="P836" s="52"/>
      <c r="Q836" s="52"/>
      <c r="U836" s="52"/>
    </row>
    <row r="837">
      <c r="M837" s="52"/>
      <c r="N837" s="52"/>
      <c r="O837" s="52"/>
      <c r="P837" s="52"/>
      <c r="Q837" s="52"/>
      <c r="U837" s="52"/>
    </row>
    <row r="838">
      <c r="M838" s="52"/>
      <c r="N838" s="52"/>
      <c r="O838" s="52"/>
      <c r="P838" s="52"/>
      <c r="Q838" s="52"/>
      <c r="U838" s="52"/>
    </row>
    <row r="839">
      <c r="M839" s="52"/>
      <c r="N839" s="52"/>
      <c r="O839" s="52"/>
      <c r="P839" s="52"/>
      <c r="Q839" s="52"/>
      <c r="U839" s="52"/>
    </row>
    <row r="840">
      <c r="M840" s="52"/>
      <c r="N840" s="52"/>
      <c r="O840" s="52"/>
      <c r="P840" s="52"/>
      <c r="Q840" s="52"/>
      <c r="U840" s="52"/>
    </row>
    <row r="841">
      <c r="M841" s="52"/>
      <c r="N841" s="52"/>
      <c r="O841" s="52"/>
      <c r="P841" s="52"/>
      <c r="Q841" s="52"/>
      <c r="U841" s="52"/>
    </row>
    <row r="842">
      <c r="M842" s="52"/>
      <c r="N842" s="52"/>
      <c r="O842" s="52"/>
      <c r="P842" s="52"/>
      <c r="Q842" s="52"/>
      <c r="U842" s="52"/>
    </row>
    <row r="843">
      <c r="M843" s="52"/>
      <c r="N843" s="52"/>
      <c r="O843" s="52"/>
      <c r="P843" s="52"/>
      <c r="Q843" s="52"/>
      <c r="U843" s="52"/>
    </row>
    <row r="844">
      <c r="M844" s="52"/>
      <c r="N844" s="52"/>
      <c r="O844" s="52"/>
      <c r="P844" s="52"/>
      <c r="Q844" s="52"/>
      <c r="U844" s="52"/>
    </row>
    <row r="845">
      <c r="M845" s="52"/>
      <c r="N845" s="52"/>
      <c r="O845" s="52"/>
      <c r="P845" s="52"/>
      <c r="Q845" s="52"/>
      <c r="U845" s="52"/>
    </row>
    <row r="846">
      <c r="M846" s="52"/>
      <c r="N846" s="52"/>
      <c r="O846" s="52"/>
      <c r="P846" s="52"/>
      <c r="Q846" s="52"/>
      <c r="U846" s="52"/>
    </row>
    <row r="847">
      <c r="M847" s="52"/>
      <c r="N847" s="52"/>
      <c r="O847" s="52"/>
      <c r="P847" s="52"/>
      <c r="Q847" s="52"/>
      <c r="U847" s="52"/>
    </row>
    <row r="848">
      <c r="M848" s="52"/>
      <c r="N848" s="52"/>
      <c r="O848" s="52"/>
      <c r="P848" s="52"/>
      <c r="Q848" s="52"/>
      <c r="U848" s="52"/>
    </row>
    <row r="849">
      <c r="M849" s="52"/>
      <c r="N849" s="52"/>
      <c r="O849" s="52"/>
      <c r="P849" s="52"/>
      <c r="Q849" s="52"/>
      <c r="U849" s="52"/>
    </row>
    <row r="850">
      <c r="M850" s="52"/>
      <c r="N850" s="52"/>
      <c r="O850" s="52"/>
      <c r="P850" s="52"/>
      <c r="Q850" s="52"/>
      <c r="U850" s="52"/>
    </row>
    <row r="851">
      <c r="M851" s="52"/>
      <c r="N851" s="52"/>
      <c r="O851" s="52"/>
      <c r="P851" s="52"/>
      <c r="Q851" s="52"/>
      <c r="U851" s="52"/>
    </row>
    <row r="852">
      <c r="M852" s="52"/>
      <c r="N852" s="52"/>
      <c r="O852" s="52"/>
      <c r="P852" s="52"/>
      <c r="Q852" s="52"/>
      <c r="U852" s="52"/>
    </row>
    <row r="853">
      <c r="M853" s="52"/>
      <c r="N853" s="52"/>
      <c r="O853" s="52"/>
      <c r="P853" s="52"/>
      <c r="Q853" s="52"/>
      <c r="U853" s="52"/>
    </row>
    <row r="854">
      <c r="M854" s="52"/>
      <c r="N854" s="52"/>
      <c r="O854" s="52"/>
      <c r="P854" s="52"/>
      <c r="Q854" s="52"/>
      <c r="U854" s="52"/>
    </row>
    <row r="855">
      <c r="M855" s="52"/>
      <c r="N855" s="52"/>
      <c r="O855" s="52"/>
      <c r="P855" s="52"/>
      <c r="Q855" s="52"/>
      <c r="U855" s="52"/>
    </row>
    <row r="856">
      <c r="M856" s="52"/>
      <c r="N856" s="52"/>
      <c r="O856" s="52"/>
      <c r="P856" s="52"/>
      <c r="Q856" s="52"/>
      <c r="U856" s="52"/>
    </row>
    <row r="857">
      <c r="M857" s="52"/>
      <c r="N857" s="52"/>
      <c r="O857" s="52"/>
      <c r="P857" s="52"/>
      <c r="Q857" s="52"/>
      <c r="U857" s="52"/>
    </row>
    <row r="858">
      <c r="M858" s="52"/>
      <c r="N858" s="52"/>
      <c r="O858" s="52"/>
      <c r="P858" s="52"/>
      <c r="Q858" s="52"/>
      <c r="U858" s="52"/>
    </row>
    <row r="859">
      <c r="M859" s="52"/>
      <c r="N859" s="52"/>
      <c r="O859" s="52"/>
      <c r="P859" s="52"/>
      <c r="Q859" s="52"/>
      <c r="U859" s="52"/>
    </row>
    <row r="860">
      <c r="M860" s="52"/>
      <c r="N860" s="52"/>
      <c r="O860" s="52"/>
      <c r="P860" s="52"/>
      <c r="Q860" s="52"/>
      <c r="U860" s="52"/>
    </row>
    <row r="861">
      <c r="M861" s="52"/>
      <c r="N861" s="52"/>
      <c r="O861" s="52"/>
      <c r="P861" s="52"/>
      <c r="Q861" s="52"/>
      <c r="U861" s="52"/>
    </row>
    <row r="862">
      <c r="M862" s="52"/>
      <c r="N862" s="52"/>
      <c r="O862" s="52"/>
      <c r="P862" s="52"/>
      <c r="Q862" s="52"/>
      <c r="U862" s="52"/>
    </row>
    <row r="863">
      <c r="M863" s="52"/>
      <c r="N863" s="52"/>
      <c r="O863" s="52"/>
      <c r="P863" s="52"/>
      <c r="Q863" s="52"/>
      <c r="U863" s="52"/>
    </row>
    <row r="864">
      <c r="M864" s="52"/>
      <c r="N864" s="52"/>
      <c r="O864" s="52"/>
      <c r="P864" s="52"/>
      <c r="Q864" s="52"/>
      <c r="U864" s="52"/>
    </row>
    <row r="865">
      <c r="M865" s="52"/>
      <c r="N865" s="52"/>
      <c r="O865" s="52"/>
      <c r="P865" s="52"/>
      <c r="Q865" s="52"/>
      <c r="U865" s="52"/>
    </row>
    <row r="866">
      <c r="M866" s="52"/>
      <c r="N866" s="52"/>
      <c r="O866" s="52"/>
      <c r="P866" s="52"/>
      <c r="Q866" s="52"/>
      <c r="U866" s="52"/>
    </row>
    <row r="867">
      <c r="M867" s="52"/>
      <c r="N867" s="52"/>
      <c r="O867" s="52"/>
      <c r="P867" s="52"/>
      <c r="Q867" s="52"/>
      <c r="U867" s="52"/>
    </row>
    <row r="868">
      <c r="M868" s="52"/>
      <c r="N868" s="52"/>
      <c r="O868" s="52"/>
      <c r="P868" s="52"/>
      <c r="Q868" s="52"/>
      <c r="U868" s="52"/>
    </row>
    <row r="869">
      <c r="M869" s="52"/>
      <c r="N869" s="52"/>
      <c r="O869" s="52"/>
      <c r="P869" s="52"/>
      <c r="Q869" s="52"/>
      <c r="U869" s="52"/>
    </row>
    <row r="870">
      <c r="M870" s="52"/>
      <c r="N870" s="52"/>
      <c r="O870" s="52"/>
      <c r="P870" s="52"/>
      <c r="Q870" s="52"/>
      <c r="U870" s="52"/>
    </row>
    <row r="871">
      <c r="M871" s="52"/>
      <c r="N871" s="52"/>
      <c r="O871" s="52"/>
      <c r="P871" s="52"/>
      <c r="Q871" s="52"/>
      <c r="U871" s="52"/>
    </row>
    <row r="872">
      <c r="M872" s="52"/>
      <c r="N872" s="52"/>
      <c r="O872" s="52"/>
      <c r="P872" s="52"/>
      <c r="Q872" s="52"/>
      <c r="U872" s="52"/>
    </row>
    <row r="873">
      <c r="M873" s="52"/>
      <c r="N873" s="52"/>
      <c r="O873" s="52"/>
      <c r="P873" s="52"/>
      <c r="Q873" s="52"/>
      <c r="U873" s="52"/>
    </row>
    <row r="874">
      <c r="M874" s="52"/>
      <c r="N874" s="52"/>
      <c r="O874" s="52"/>
      <c r="P874" s="52"/>
      <c r="Q874" s="52"/>
      <c r="U874" s="52"/>
    </row>
    <row r="875">
      <c r="M875" s="52"/>
      <c r="N875" s="52"/>
      <c r="O875" s="52"/>
      <c r="P875" s="52"/>
      <c r="Q875" s="52"/>
      <c r="U875" s="52"/>
    </row>
    <row r="876">
      <c r="M876" s="52"/>
      <c r="N876" s="52"/>
      <c r="O876" s="52"/>
      <c r="P876" s="52"/>
      <c r="Q876" s="52"/>
      <c r="U876" s="52"/>
    </row>
    <row r="877">
      <c r="M877" s="52"/>
      <c r="N877" s="52"/>
      <c r="O877" s="52"/>
      <c r="P877" s="52"/>
      <c r="Q877" s="52"/>
      <c r="U877" s="52"/>
    </row>
    <row r="878">
      <c r="M878" s="52"/>
      <c r="N878" s="52"/>
      <c r="O878" s="52"/>
      <c r="P878" s="52"/>
      <c r="Q878" s="52"/>
      <c r="U878" s="52"/>
    </row>
    <row r="879">
      <c r="M879" s="52"/>
      <c r="N879" s="52"/>
      <c r="O879" s="52"/>
      <c r="P879" s="52"/>
      <c r="Q879" s="52"/>
      <c r="U879" s="52"/>
    </row>
    <row r="880">
      <c r="M880" s="52"/>
      <c r="N880" s="52"/>
      <c r="O880" s="52"/>
      <c r="P880" s="52"/>
      <c r="Q880" s="52"/>
      <c r="U880" s="52"/>
    </row>
    <row r="881">
      <c r="M881" s="52"/>
      <c r="N881" s="52"/>
      <c r="O881" s="52"/>
      <c r="P881" s="52"/>
      <c r="Q881" s="52"/>
      <c r="U881" s="52"/>
    </row>
    <row r="882">
      <c r="M882" s="52"/>
      <c r="N882" s="52"/>
      <c r="O882" s="52"/>
      <c r="P882" s="52"/>
      <c r="Q882" s="52"/>
      <c r="U882" s="52"/>
    </row>
    <row r="883">
      <c r="M883" s="52"/>
      <c r="N883" s="52"/>
      <c r="O883" s="52"/>
      <c r="P883" s="52"/>
      <c r="Q883" s="52"/>
      <c r="U883" s="52"/>
    </row>
    <row r="884">
      <c r="M884" s="52"/>
      <c r="N884" s="52"/>
      <c r="O884" s="52"/>
      <c r="P884" s="52"/>
      <c r="Q884" s="52"/>
      <c r="U884" s="52"/>
    </row>
    <row r="885">
      <c r="M885" s="52"/>
      <c r="N885" s="52"/>
      <c r="O885" s="52"/>
      <c r="P885" s="52"/>
      <c r="Q885" s="52"/>
      <c r="U885" s="52"/>
    </row>
    <row r="886">
      <c r="M886" s="52"/>
      <c r="N886" s="52"/>
      <c r="O886" s="52"/>
      <c r="P886" s="52"/>
      <c r="Q886" s="52"/>
      <c r="U886" s="52"/>
    </row>
    <row r="887">
      <c r="M887" s="52"/>
      <c r="N887" s="52"/>
      <c r="O887" s="52"/>
      <c r="P887" s="52"/>
      <c r="Q887" s="52"/>
      <c r="U887" s="52"/>
    </row>
    <row r="888">
      <c r="M888" s="52"/>
      <c r="N888" s="52"/>
      <c r="O888" s="52"/>
      <c r="P888" s="52"/>
      <c r="Q888" s="52"/>
      <c r="U888" s="52"/>
    </row>
    <row r="889">
      <c r="M889" s="52"/>
      <c r="N889" s="52"/>
      <c r="O889" s="52"/>
      <c r="P889" s="52"/>
      <c r="Q889" s="52"/>
      <c r="U889" s="52"/>
    </row>
    <row r="890">
      <c r="M890" s="52"/>
      <c r="N890" s="52"/>
      <c r="O890" s="52"/>
      <c r="P890" s="52"/>
      <c r="Q890" s="52"/>
      <c r="U890" s="52"/>
    </row>
    <row r="891">
      <c r="M891" s="52"/>
      <c r="N891" s="52"/>
      <c r="O891" s="52"/>
      <c r="P891" s="52"/>
      <c r="Q891" s="52"/>
      <c r="U891" s="52"/>
    </row>
    <row r="892">
      <c r="M892" s="52"/>
      <c r="N892" s="52"/>
      <c r="O892" s="52"/>
      <c r="P892" s="52"/>
      <c r="Q892" s="52"/>
      <c r="U892" s="52"/>
    </row>
    <row r="893">
      <c r="M893" s="52"/>
      <c r="N893" s="52"/>
      <c r="O893" s="52"/>
      <c r="P893" s="52"/>
      <c r="Q893" s="52"/>
      <c r="U893" s="52"/>
    </row>
    <row r="894">
      <c r="M894" s="52"/>
      <c r="N894" s="52"/>
      <c r="O894" s="52"/>
      <c r="P894" s="52"/>
      <c r="Q894" s="52"/>
      <c r="U894" s="52"/>
    </row>
    <row r="895">
      <c r="M895" s="52"/>
      <c r="N895" s="52"/>
      <c r="O895" s="52"/>
      <c r="P895" s="52"/>
      <c r="Q895" s="52"/>
      <c r="U895" s="52"/>
    </row>
    <row r="896">
      <c r="M896" s="52"/>
      <c r="N896" s="52"/>
      <c r="O896" s="52"/>
      <c r="P896" s="52"/>
      <c r="Q896" s="52"/>
      <c r="U896" s="52"/>
    </row>
    <row r="897">
      <c r="M897" s="52"/>
      <c r="N897" s="52"/>
      <c r="O897" s="52"/>
      <c r="P897" s="52"/>
      <c r="Q897" s="52"/>
      <c r="U897" s="52"/>
    </row>
    <row r="898">
      <c r="M898" s="52"/>
      <c r="N898" s="52"/>
      <c r="O898" s="52"/>
      <c r="P898" s="52"/>
      <c r="Q898" s="52"/>
      <c r="U898" s="52"/>
    </row>
    <row r="899">
      <c r="M899" s="52"/>
      <c r="N899" s="52"/>
      <c r="O899" s="52"/>
      <c r="P899" s="52"/>
      <c r="Q899" s="52"/>
      <c r="U899" s="52"/>
    </row>
    <row r="900">
      <c r="M900" s="52"/>
      <c r="N900" s="52"/>
      <c r="O900" s="52"/>
      <c r="P900" s="52"/>
      <c r="Q900" s="52"/>
      <c r="U900" s="52"/>
    </row>
    <row r="901">
      <c r="M901" s="52"/>
      <c r="N901" s="52"/>
      <c r="O901" s="52"/>
      <c r="P901" s="52"/>
      <c r="Q901" s="52"/>
      <c r="U901" s="52"/>
    </row>
    <row r="902">
      <c r="M902" s="52"/>
      <c r="N902" s="52"/>
      <c r="O902" s="52"/>
      <c r="P902" s="52"/>
      <c r="Q902" s="52"/>
      <c r="U902" s="52"/>
    </row>
    <row r="903">
      <c r="M903" s="52"/>
      <c r="N903" s="52"/>
      <c r="O903" s="52"/>
      <c r="P903" s="52"/>
      <c r="Q903" s="52"/>
      <c r="U903" s="52"/>
    </row>
    <row r="904">
      <c r="M904" s="52"/>
      <c r="N904" s="52"/>
      <c r="O904" s="52"/>
      <c r="P904" s="52"/>
      <c r="Q904" s="52"/>
      <c r="U904" s="52"/>
    </row>
    <row r="905">
      <c r="M905" s="52"/>
      <c r="N905" s="52"/>
      <c r="O905" s="52"/>
      <c r="P905" s="52"/>
      <c r="Q905" s="52"/>
      <c r="U905" s="52"/>
    </row>
    <row r="906">
      <c r="M906" s="52"/>
      <c r="N906" s="52"/>
      <c r="O906" s="52"/>
      <c r="P906" s="52"/>
      <c r="Q906" s="52"/>
      <c r="U906" s="52"/>
    </row>
    <row r="907">
      <c r="M907" s="52"/>
      <c r="N907" s="52"/>
      <c r="O907" s="52"/>
      <c r="P907" s="52"/>
      <c r="Q907" s="52"/>
      <c r="U907" s="52"/>
    </row>
    <row r="908">
      <c r="M908" s="52"/>
      <c r="N908" s="52"/>
      <c r="O908" s="52"/>
      <c r="P908" s="52"/>
      <c r="Q908" s="52"/>
      <c r="U908" s="52"/>
    </row>
    <row r="909">
      <c r="M909" s="52"/>
      <c r="N909" s="52"/>
      <c r="O909" s="52"/>
      <c r="P909" s="52"/>
      <c r="Q909" s="52"/>
      <c r="U909" s="52"/>
    </row>
    <row r="910">
      <c r="M910" s="52"/>
      <c r="N910" s="52"/>
      <c r="O910" s="52"/>
      <c r="P910" s="52"/>
      <c r="Q910" s="52"/>
      <c r="U910" s="52"/>
    </row>
    <row r="911">
      <c r="M911" s="52"/>
      <c r="N911" s="52"/>
      <c r="O911" s="52"/>
      <c r="P911" s="52"/>
      <c r="Q911" s="52"/>
      <c r="U911" s="52"/>
    </row>
    <row r="912">
      <c r="M912" s="52"/>
      <c r="N912" s="52"/>
      <c r="O912" s="52"/>
      <c r="P912" s="52"/>
      <c r="Q912" s="52"/>
      <c r="U912" s="52"/>
    </row>
    <row r="913">
      <c r="M913" s="52"/>
      <c r="N913" s="52"/>
      <c r="O913" s="52"/>
      <c r="P913" s="52"/>
      <c r="Q913" s="52"/>
      <c r="U913" s="52"/>
    </row>
    <row r="914">
      <c r="M914" s="52"/>
      <c r="N914" s="52"/>
      <c r="O914" s="52"/>
      <c r="P914" s="52"/>
      <c r="Q914" s="52"/>
      <c r="U914" s="52"/>
    </row>
    <row r="915">
      <c r="M915" s="52"/>
      <c r="N915" s="52"/>
      <c r="O915" s="52"/>
      <c r="P915" s="52"/>
      <c r="Q915" s="52"/>
      <c r="U915" s="52"/>
    </row>
    <row r="916">
      <c r="M916" s="52"/>
      <c r="N916" s="52"/>
      <c r="O916" s="52"/>
      <c r="P916" s="52"/>
      <c r="Q916" s="52"/>
      <c r="U916" s="52"/>
    </row>
    <row r="917">
      <c r="M917" s="52"/>
      <c r="N917" s="52"/>
      <c r="O917" s="52"/>
      <c r="P917" s="52"/>
      <c r="Q917" s="52"/>
      <c r="U917" s="52"/>
    </row>
    <row r="918">
      <c r="M918" s="52"/>
      <c r="N918" s="52"/>
      <c r="O918" s="52"/>
      <c r="P918" s="52"/>
      <c r="Q918" s="52"/>
      <c r="U918" s="52"/>
    </row>
    <row r="919">
      <c r="M919" s="52"/>
      <c r="N919" s="52"/>
      <c r="O919" s="52"/>
      <c r="P919" s="52"/>
      <c r="Q919" s="52"/>
      <c r="U919" s="52"/>
    </row>
    <row r="920">
      <c r="M920" s="52"/>
      <c r="N920" s="52"/>
      <c r="O920" s="52"/>
      <c r="P920" s="52"/>
      <c r="Q920" s="52"/>
      <c r="U920" s="52"/>
    </row>
    <row r="921">
      <c r="M921" s="52"/>
      <c r="N921" s="52"/>
      <c r="O921" s="52"/>
      <c r="P921" s="52"/>
      <c r="Q921" s="52"/>
      <c r="U921" s="52"/>
    </row>
    <row r="922">
      <c r="M922" s="52"/>
      <c r="N922" s="52"/>
      <c r="O922" s="52"/>
      <c r="P922" s="52"/>
      <c r="Q922" s="52"/>
      <c r="U922" s="52"/>
    </row>
    <row r="923">
      <c r="M923" s="52"/>
      <c r="N923" s="52"/>
      <c r="O923" s="52"/>
      <c r="P923" s="52"/>
      <c r="Q923" s="52"/>
      <c r="U923" s="52"/>
    </row>
    <row r="924">
      <c r="M924" s="52"/>
      <c r="N924" s="52"/>
      <c r="O924" s="52"/>
      <c r="P924" s="52"/>
      <c r="Q924" s="52"/>
      <c r="U924" s="52"/>
    </row>
    <row r="925">
      <c r="M925" s="52"/>
      <c r="N925" s="52"/>
      <c r="O925" s="52"/>
      <c r="P925" s="52"/>
      <c r="Q925" s="52"/>
      <c r="U925" s="52"/>
    </row>
    <row r="926">
      <c r="M926" s="52"/>
      <c r="N926" s="52"/>
      <c r="O926" s="52"/>
      <c r="P926" s="52"/>
      <c r="Q926" s="52"/>
      <c r="U926" s="52"/>
    </row>
    <row r="927">
      <c r="M927" s="52"/>
      <c r="N927" s="52"/>
      <c r="O927" s="52"/>
      <c r="P927" s="52"/>
      <c r="Q927" s="52"/>
      <c r="U927" s="52"/>
    </row>
    <row r="928">
      <c r="M928" s="52"/>
      <c r="N928" s="52"/>
      <c r="O928" s="52"/>
      <c r="P928" s="52"/>
      <c r="Q928" s="52"/>
      <c r="U928" s="52"/>
    </row>
    <row r="929">
      <c r="M929" s="52"/>
      <c r="N929" s="52"/>
      <c r="O929" s="52"/>
      <c r="P929" s="52"/>
      <c r="Q929" s="52"/>
      <c r="U929" s="52"/>
    </row>
    <row r="930">
      <c r="M930" s="52"/>
      <c r="N930" s="52"/>
      <c r="O930" s="52"/>
      <c r="P930" s="52"/>
      <c r="Q930" s="52"/>
      <c r="U930" s="52"/>
    </row>
    <row r="931">
      <c r="M931" s="52"/>
      <c r="N931" s="52"/>
      <c r="O931" s="52"/>
      <c r="P931" s="52"/>
      <c r="Q931" s="52"/>
      <c r="U931" s="52"/>
    </row>
    <row r="932">
      <c r="M932" s="52"/>
      <c r="N932" s="52"/>
      <c r="O932" s="52"/>
      <c r="P932" s="52"/>
      <c r="Q932" s="52"/>
      <c r="U932" s="52"/>
    </row>
    <row r="933">
      <c r="M933" s="52"/>
      <c r="N933" s="52"/>
      <c r="O933" s="52"/>
      <c r="P933" s="52"/>
      <c r="Q933" s="52"/>
      <c r="U933" s="52"/>
    </row>
    <row r="934">
      <c r="M934" s="52"/>
      <c r="N934" s="52"/>
      <c r="O934" s="52"/>
      <c r="P934" s="52"/>
      <c r="Q934" s="52"/>
      <c r="U934" s="52"/>
    </row>
    <row r="935">
      <c r="M935" s="52"/>
      <c r="N935" s="52"/>
      <c r="O935" s="52"/>
      <c r="P935" s="52"/>
      <c r="Q935" s="52"/>
      <c r="U935" s="52"/>
    </row>
    <row r="936">
      <c r="M936" s="52"/>
      <c r="N936" s="52"/>
      <c r="O936" s="52"/>
      <c r="P936" s="52"/>
      <c r="Q936" s="52"/>
      <c r="U936" s="52"/>
    </row>
    <row r="937">
      <c r="M937" s="52"/>
      <c r="N937" s="52"/>
      <c r="O937" s="52"/>
      <c r="P937" s="52"/>
      <c r="Q937" s="52"/>
      <c r="U937" s="52"/>
    </row>
    <row r="938">
      <c r="M938" s="52"/>
      <c r="N938" s="52"/>
      <c r="O938" s="52"/>
      <c r="P938" s="52"/>
      <c r="Q938" s="52"/>
      <c r="U938" s="52"/>
    </row>
    <row r="939">
      <c r="M939" s="52"/>
      <c r="N939" s="52"/>
      <c r="O939" s="52"/>
      <c r="P939" s="52"/>
      <c r="Q939" s="52"/>
      <c r="U939" s="52"/>
    </row>
    <row r="940">
      <c r="M940" s="52"/>
      <c r="N940" s="52"/>
      <c r="O940" s="52"/>
      <c r="P940" s="52"/>
      <c r="Q940" s="52"/>
      <c r="U940" s="52"/>
    </row>
    <row r="941">
      <c r="M941" s="52"/>
      <c r="N941" s="52"/>
      <c r="O941" s="52"/>
      <c r="P941" s="52"/>
      <c r="Q941" s="52"/>
      <c r="U941" s="52"/>
    </row>
    <row r="942">
      <c r="M942" s="52"/>
      <c r="N942" s="52"/>
      <c r="O942" s="52"/>
      <c r="P942" s="52"/>
      <c r="Q942" s="52"/>
      <c r="U942" s="52"/>
    </row>
    <row r="943">
      <c r="M943" s="52"/>
      <c r="N943" s="52"/>
      <c r="O943" s="52"/>
      <c r="P943" s="52"/>
      <c r="Q943" s="52"/>
      <c r="U943" s="52"/>
    </row>
    <row r="944">
      <c r="M944" s="52"/>
      <c r="N944" s="52"/>
      <c r="O944" s="52"/>
      <c r="P944" s="52"/>
      <c r="Q944" s="52"/>
      <c r="U944" s="52"/>
    </row>
    <row r="945">
      <c r="M945" s="52"/>
      <c r="N945" s="52"/>
      <c r="O945" s="52"/>
      <c r="P945" s="52"/>
      <c r="Q945" s="52"/>
      <c r="U945" s="52"/>
    </row>
    <row r="946">
      <c r="M946" s="52"/>
      <c r="N946" s="52"/>
      <c r="O946" s="52"/>
      <c r="P946" s="52"/>
      <c r="Q946" s="52"/>
      <c r="U946" s="52"/>
    </row>
    <row r="947">
      <c r="M947" s="52"/>
      <c r="N947" s="52"/>
      <c r="O947" s="52"/>
      <c r="P947" s="52"/>
      <c r="Q947" s="52"/>
      <c r="U947" s="52"/>
    </row>
    <row r="948">
      <c r="M948" s="52"/>
      <c r="N948" s="52"/>
      <c r="O948" s="52"/>
      <c r="P948" s="52"/>
      <c r="Q948" s="52"/>
      <c r="U948" s="52"/>
    </row>
    <row r="949">
      <c r="M949" s="52"/>
      <c r="N949" s="52"/>
      <c r="O949" s="52"/>
      <c r="P949" s="52"/>
      <c r="Q949" s="52"/>
      <c r="U949" s="52"/>
    </row>
    <row r="950">
      <c r="M950" s="52"/>
      <c r="N950" s="52"/>
      <c r="O950" s="52"/>
      <c r="P950" s="52"/>
      <c r="Q950" s="52"/>
      <c r="U950" s="52"/>
    </row>
    <row r="951">
      <c r="M951" s="52"/>
      <c r="N951" s="52"/>
      <c r="O951" s="52"/>
      <c r="P951" s="52"/>
      <c r="Q951" s="52"/>
      <c r="U951" s="52"/>
    </row>
    <row r="952">
      <c r="M952" s="52"/>
      <c r="N952" s="52"/>
      <c r="O952" s="52"/>
      <c r="P952" s="52"/>
      <c r="Q952" s="52"/>
      <c r="U952" s="52"/>
    </row>
    <row r="953">
      <c r="M953" s="52"/>
      <c r="N953" s="52"/>
      <c r="O953" s="52"/>
      <c r="P953" s="52"/>
      <c r="Q953" s="52"/>
      <c r="U953" s="52"/>
    </row>
    <row r="954">
      <c r="M954" s="52"/>
      <c r="N954" s="52"/>
      <c r="O954" s="52"/>
      <c r="P954" s="52"/>
      <c r="Q954" s="52"/>
      <c r="U954" s="52"/>
    </row>
    <row r="955">
      <c r="M955" s="52"/>
      <c r="N955" s="52"/>
      <c r="O955" s="52"/>
      <c r="P955" s="52"/>
      <c r="Q955" s="52"/>
      <c r="U955" s="52"/>
    </row>
    <row r="956">
      <c r="M956" s="52"/>
      <c r="N956" s="52"/>
      <c r="O956" s="52"/>
      <c r="P956" s="52"/>
      <c r="Q956" s="52"/>
      <c r="U956" s="52"/>
    </row>
    <row r="957">
      <c r="M957" s="52"/>
      <c r="N957" s="52"/>
      <c r="O957" s="52"/>
      <c r="P957" s="52"/>
      <c r="Q957" s="52"/>
      <c r="U957" s="52"/>
    </row>
    <row r="958">
      <c r="M958" s="52"/>
      <c r="N958" s="52"/>
      <c r="O958" s="52"/>
      <c r="P958" s="52"/>
      <c r="Q958" s="52"/>
      <c r="U958" s="52"/>
    </row>
    <row r="959">
      <c r="M959" s="52"/>
      <c r="N959" s="52"/>
      <c r="O959" s="52"/>
      <c r="P959" s="52"/>
      <c r="Q959" s="52"/>
      <c r="U959" s="52"/>
    </row>
    <row r="960">
      <c r="M960" s="52"/>
      <c r="N960" s="52"/>
      <c r="O960" s="52"/>
      <c r="P960" s="52"/>
      <c r="Q960" s="52"/>
      <c r="U960" s="52"/>
    </row>
    <row r="961">
      <c r="M961" s="52"/>
      <c r="N961" s="52"/>
      <c r="O961" s="52"/>
      <c r="P961" s="52"/>
      <c r="Q961" s="52"/>
      <c r="U961" s="52"/>
    </row>
    <row r="962">
      <c r="M962" s="52"/>
      <c r="N962" s="52"/>
      <c r="O962" s="52"/>
      <c r="P962" s="52"/>
      <c r="Q962" s="52"/>
      <c r="U962" s="52"/>
    </row>
    <row r="963">
      <c r="M963" s="52"/>
      <c r="N963" s="52"/>
      <c r="O963" s="52"/>
      <c r="P963" s="52"/>
      <c r="Q963" s="52"/>
      <c r="U963" s="52"/>
    </row>
    <row r="964">
      <c r="M964" s="52"/>
      <c r="N964" s="52"/>
      <c r="O964" s="52"/>
      <c r="P964" s="52"/>
      <c r="Q964" s="52"/>
      <c r="U964" s="52"/>
    </row>
    <row r="965">
      <c r="M965" s="52"/>
      <c r="N965" s="52"/>
      <c r="O965" s="52"/>
      <c r="P965" s="52"/>
      <c r="Q965" s="52"/>
      <c r="U965" s="52"/>
    </row>
    <row r="966">
      <c r="M966" s="52"/>
      <c r="N966" s="52"/>
      <c r="O966" s="52"/>
      <c r="P966" s="52"/>
      <c r="Q966" s="52"/>
      <c r="U966" s="52"/>
    </row>
    <row r="967">
      <c r="M967" s="52"/>
      <c r="N967" s="52"/>
      <c r="O967" s="52"/>
      <c r="P967" s="52"/>
      <c r="Q967" s="52"/>
      <c r="U967" s="52"/>
    </row>
    <row r="968">
      <c r="M968" s="52"/>
      <c r="N968" s="52"/>
      <c r="O968" s="52"/>
      <c r="P968" s="52"/>
      <c r="Q968" s="52"/>
      <c r="U968" s="52"/>
    </row>
    <row r="969">
      <c r="M969" s="52"/>
      <c r="N969" s="52"/>
      <c r="O969" s="52"/>
      <c r="P969" s="52"/>
      <c r="Q969" s="52"/>
      <c r="U969" s="52"/>
    </row>
    <row r="970">
      <c r="M970" s="52"/>
      <c r="N970" s="52"/>
      <c r="O970" s="52"/>
      <c r="P970" s="52"/>
      <c r="Q970" s="52"/>
      <c r="U970" s="52"/>
    </row>
    <row r="971">
      <c r="M971" s="52"/>
      <c r="N971" s="52"/>
      <c r="O971" s="52"/>
      <c r="P971" s="52"/>
      <c r="Q971" s="52"/>
      <c r="U971" s="52"/>
    </row>
    <row r="972">
      <c r="M972" s="52"/>
      <c r="N972" s="52"/>
      <c r="O972" s="52"/>
      <c r="P972" s="52"/>
      <c r="Q972" s="52"/>
      <c r="U972" s="52"/>
    </row>
    <row r="973">
      <c r="M973" s="52"/>
      <c r="N973" s="52"/>
      <c r="O973" s="52"/>
      <c r="P973" s="52"/>
      <c r="Q973" s="52"/>
      <c r="U973" s="52"/>
    </row>
    <row r="974">
      <c r="M974" s="52"/>
      <c r="N974" s="52"/>
      <c r="O974" s="52"/>
      <c r="P974" s="52"/>
      <c r="Q974" s="52"/>
      <c r="U974" s="52"/>
    </row>
    <row r="975">
      <c r="M975" s="52"/>
      <c r="N975" s="52"/>
      <c r="O975" s="52"/>
      <c r="P975" s="52"/>
      <c r="Q975" s="52"/>
      <c r="U975" s="52"/>
    </row>
    <row r="976">
      <c r="M976" s="52"/>
      <c r="N976" s="52"/>
      <c r="O976" s="52"/>
      <c r="P976" s="52"/>
      <c r="Q976" s="52"/>
      <c r="U976" s="52"/>
    </row>
    <row r="977">
      <c r="M977" s="52"/>
      <c r="N977" s="52"/>
      <c r="O977" s="52"/>
      <c r="P977" s="52"/>
      <c r="Q977" s="52"/>
      <c r="U977" s="52"/>
    </row>
    <row r="978">
      <c r="M978" s="52"/>
      <c r="N978" s="52"/>
      <c r="O978" s="52"/>
      <c r="P978" s="52"/>
      <c r="Q978" s="52"/>
      <c r="U978" s="52"/>
    </row>
    <row r="979">
      <c r="M979" s="52"/>
      <c r="N979" s="52"/>
      <c r="O979" s="52"/>
      <c r="P979" s="52"/>
      <c r="Q979" s="52"/>
      <c r="U979" s="52"/>
    </row>
    <row r="980">
      <c r="M980" s="52"/>
      <c r="N980" s="52"/>
      <c r="O980" s="52"/>
      <c r="P980" s="52"/>
      <c r="Q980" s="52"/>
      <c r="U980" s="52"/>
    </row>
    <row r="981">
      <c r="M981" s="52"/>
      <c r="N981" s="52"/>
      <c r="O981" s="52"/>
      <c r="P981" s="52"/>
      <c r="Q981" s="52"/>
      <c r="U981" s="52"/>
    </row>
    <row r="982">
      <c r="M982" s="52"/>
      <c r="N982" s="52"/>
      <c r="O982" s="52"/>
      <c r="P982" s="52"/>
      <c r="Q982" s="52"/>
      <c r="U982" s="52"/>
    </row>
    <row r="983">
      <c r="M983" s="52"/>
      <c r="N983" s="52"/>
      <c r="O983" s="52"/>
      <c r="P983" s="52"/>
      <c r="Q983" s="52"/>
      <c r="U983" s="52"/>
    </row>
    <row r="984">
      <c r="M984" s="52"/>
      <c r="N984" s="52"/>
      <c r="O984" s="52"/>
      <c r="P984" s="52"/>
      <c r="Q984" s="52"/>
      <c r="U984" s="52"/>
    </row>
    <row r="985">
      <c r="M985" s="52"/>
      <c r="N985" s="52"/>
      <c r="O985" s="52"/>
      <c r="P985" s="52"/>
      <c r="Q985" s="52"/>
      <c r="U985" s="52"/>
    </row>
    <row r="986">
      <c r="M986" s="52"/>
      <c r="N986" s="52"/>
      <c r="O986" s="52"/>
      <c r="P986" s="52"/>
      <c r="Q986" s="52"/>
      <c r="U986" s="52"/>
    </row>
    <row r="987">
      <c r="M987" s="52"/>
      <c r="N987" s="52"/>
      <c r="O987" s="52"/>
      <c r="P987" s="52"/>
      <c r="Q987" s="52"/>
      <c r="U987" s="52"/>
    </row>
    <row r="988">
      <c r="M988" s="52"/>
      <c r="N988" s="52"/>
      <c r="O988" s="52"/>
      <c r="P988" s="52"/>
      <c r="Q988" s="52"/>
      <c r="U988" s="52"/>
    </row>
    <row r="989">
      <c r="M989" s="52"/>
      <c r="N989" s="52"/>
      <c r="O989" s="52"/>
      <c r="P989" s="52"/>
      <c r="Q989" s="52"/>
      <c r="U989" s="52"/>
    </row>
    <row r="990">
      <c r="M990" s="52"/>
      <c r="N990" s="52"/>
      <c r="O990" s="52"/>
      <c r="P990" s="52"/>
      <c r="Q990" s="52"/>
      <c r="U990" s="52"/>
    </row>
    <row r="991">
      <c r="M991" s="52"/>
      <c r="N991" s="52"/>
      <c r="O991" s="52"/>
      <c r="P991" s="52"/>
      <c r="Q991" s="52"/>
      <c r="U991" s="52"/>
    </row>
    <row r="992">
      <c r="M992" s="52"/>
      <c r="N992" s="52"/>
      <c r="O992" s="52"/>
      <c r="P992" s="52"/>
      <c r="Q992" s="52"/>
      <c r="U992" s="52"/>
    </row>
    <row r="993">
      <c r="M993" s="52"/>
      <c r="N993" s="52"/>
      <c r="O993" s="52"/>
      <c r="P993" s="52"/>
      <c r="Q993" s="52"/>
      <c r="U993" s="52"/>
    </row>
    <row r="994">
      <c r="M994" s="52"/>
      <c r="N994" s="52"/>
      <c r="O994" s="52"/>
      <c r="P994" s="52"/>
      <c r="Q994" s="52"/>
      <c r="U994" s="52"/>
    </row>
    <row r="995">
      <c r="M995" s="52"/>
      <c r="N995" s="52"/>
      <c r="O995" s="52"/>
      <c r="P995" s="52"/>
      <c r="Q995" s="52"/>
      <c r="U995" s="52"/>
    </row>
    <row r="996">
      <c r="M996" s="52"/>
      <c r="N996" s="52"/>
      <c r="O996" s="52"/>
      <c r="P996" s="52"/>
      <c r="Q996" s="52"/>
      <c r="U996" s="52"/>
    </row>
    <row r="997">
      <c r="M997" s="52"/>
      <c r="N997" s="52"/>
      <c r="O997" s="52"/>
      <c r="P997" s="52"/>
      <c r="Q997" s="52"/>
      <c r="U997" s="52"/>
    </row>
    <row r="998">
      <c r="M998" s="52"/>
      <c r="N998" s="52"/>
      <c r="O998" s="52"/>
      <c r="P998" s="52"/>
      <c r="Q998" s="52"/>
      <c r="U998" s="52"/>
    </row>
    <row r="999">
      <c r="M999" s="52"/>
      <c r="N999" s="52"/>
      <c r="O999" s="52"/>
      <c r="P999" s="52"/>
      <c r="Q999" s="52"/>
      <c r="U999" s="52"/>
    </row>
    <row r="1000">
      <c r="M1000" s="52"/>
      <c r="N1000" s="52"/>
      <c r="O1000" s="52"/>
      <c r="P1000" s="52"/>
      <c r="Q1000" s="52"/>
      <c r="U1000" s="52"/>
    </row>
  </sheetData>
  <mergeCells count="7">
    <mergeCell ref="A1:A2"/>
    <mergeCell ref="B1:B2"/>
    <mergeCell ref="C1:G1"/>
    <mergeCell ref="H1:I1"/>
    <mergeCell ref="J1:J2"/>
    <mergeCell ref="K1:O1"/>
    <mergeCell ref="P1:U1"/>
  </mergeCells>
  <conditionalFormatting sqref="N3:N9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G3:G9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3:H9">
    <cfRule type="colorScale" priority="3">
      <colorScale>
        <cfvo type="formula" val="0"/>
        <cfvo type="max"/>
        <color rgb="FFFFFFFF"/>
        <color rgb="FF57BB8A"/>
      </colorScale>
    </cfRule>
  </conditionalFormatting>
  <conditionalFormatting sqref="I3:I9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J3:J9">
    <cfRule type="colorScale" priority="5">
      <colorScale>
        <cfvo type="formula" val="0"/>
        <cfvo type="max"/>
        <color rgb="FFFFFFFF"/>
        <color rgb="FF57BB8A"/>
      </colorScale>
    </cfRule>
  </conditionalFormatting>
  <conditionalFormatting sqref="K3:K9">
    <cfRule type="colorScale" priority="6">
      <colorScale>
        <cfvo type="formula" val="0"/>
        <cfvo type="max"/>
        <color rgb="FFFFFFFF"/>
        <color rgb="FF57BB8A"/>
      </colorScale>
    </cfRule>
  </conditionalFormatting>
  <conditionalFormatting sqref="L3:L9">
    <cfRule type="colorScale" priority="7">
      <colorScale>
        <cfvo type="formula" val="0"/>
        <cfvo type="max"/>
        <color rgb="FFFFFFFF"/>
        <color rgb="FFE67C73"/>
      </colorScale>
    </cfRule>
  </conditionalFormatting>
  <conditionalFormatting sqref="C3:C9">
    <cfRule type="colorScale" priority="8">
      <colorScale>
        <cfvo type="formula" val="0"/>
        <cfvo type="max"/>
        <color rgb="FFFFFFFF"/>
        <color rgb="FFFFD666"/>
      </colorScale>
    </cfRule>
  </conditionalFormatting>
  <conditionalFormatting sqref="D3:D9">
    <cfRule type="colorScale" priority="9">
      <colorScale>
        <cfvo type="formula" val="0"/>
        <cfvo type="max"/>
        <color rgb="FFFFFFFF"/>
        <color rgb="FF57BB8A"/>
      </colorScale>
    </cfRule>
  </conditionalFormatting>
  <conditionalFormatting sqref="E3:E9">
    <cfRule type="colorScale" priority="10">
      <colorScale>
        <cfvo type="formula" val="0"/>
        <cfvo type="max"/>
        <color rgb="FFFFFFFF"/>
        <color rgb="FFE67C73"/>
      </colorScale>
    </cfRule>
  </conditionalFormatting>
  <conditionalFormatting sqref="F3:F9">
    <cfRule type="colorScale" priority="11">
      <colorScale>
        <cfvo type="formula" val="0"/>
        <cfvo type="max"/>
        <color rgb="FFFFFFFF"/>
        <color rgb="FF57BB8A"/>
      </colorScale>
    </cfRule>
  </conditionalFormatting>
  <conditionalFormatting sqref="M3:M9">
    <cfRule type="colorScale" priority="12">
      <colorScale>
        <cfvo type="formula" val="0"/>
        <cfvo type="max"/>
        <color rgb="FFFFFFFF"/>
        <color rgb="FFFFD666"/>
      </colorScale>
    </cfRule>
  </conditionalFormatting>
  <conditionalFormatting sqref="O3:O9">
    <cfRule type="colorScale" priority="13">
      <colorScale>
        <cfvo type="formula" val="0"/>
        <cfvo type="formula" val="1"/>
        <color rgb="FFFFFFFF"/>
        <color rgb="FF57BB8A"/>
      </colorScale>
    </cfRule>
  </conditionalFormatting>
  <conditionalFormatting sqref="P3:P9">
    <cfRule type="colorScale" priority="14">
      <colorScale>
        <cfvo type="formula" val="0"/>
        <cfvo type="max"/>
        <color rgb="FFFFFFFF"/>
        <color rgb="FFFFD666"/>
      </colorScale>
    </cfRule>
  </conditionalFormatting>
  <conditionalFormatting sqref="U3:U9">
    <cfRule type="colorScale" priority="15">
      <colorScale>
        <cfvo type="formula" val="0"/>
        <cfvo type="formula" val="2"/>
        <cfvo type="formula" val="3"/>
        <color rgb="FFE67C73"/>
        <color rgb="FFFFFFFF"/>
        <color rgb="FF57BB8A"/>
      </colorScale>
    </cfRule>
  </conditionalFormatting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7.63"/>
    <col customWidth="1" min="4" max="4" width="5.63"/>
    <col customWidth="1" min="5" max="5" width="6.88"/>
    <col customWidth="1" min="6" max="6" width="8.38"/>
    <col customWidth="1" min="7" max="7" width="15.5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1" t="s">
        <v>4</v>
      </c>
      <c r="K1" s="6" t="s">
        <v>5</v>
      </c>
      <c r="L1" s="4"/>
      <c r="M1" s="4"/>
      <c r="N1" s="4"/>
      <c r="O1" s="5"/>
      <c r="P1" s="30" t="s">
        <v>6</v>
      </c>
      <c r="Q1" s="4"/>
      <c r="R1" s="4"/>
      <c r="S1" s="4"/>
      <c r="T1" s="4"/>
      <c r="U1" s="5"/>
    </row>
    <row r="2">
      <c r="A2" s="9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2" t="s">
        <v>13</v>
      </c>
      <c r="I2" s="12" t="s">
        <v>14</v>
      </c>
      <c r="J2" s="9"/>
      <c r="K2" s="10" t="s">
        <v>15</v>
      </c>
      <c r="L2" s="12" t="s">
        <v>10</v>
      </c>
      <c r="M2" s="10" t="s">
        <v>16</v>
      </c>
      <c r="N2" s="10" t="s">
        <v>12</v>
      </c>
      <c r="O2" s="10" t="s">
        <v>18</v>
      </c>
      <c r="P2" s="15" t="s">
        <v>8</v>
      </c>
      <c r="Q2" s="15">
        <v>0.0</v>
      </c>
      <c r="R2" s="15">
        <v>1.0</v>
      </c>
      <c r="S2" s="15">
        <v>2.0</v>
      </c>
      <c r="T2" s="15">
        <v>3.0</v>
      </c>
      <c r="U2" s="15" t="s">
        <v>19</v>
      </c>
    </row>
    <row r="3">
      <c r="A3" s="18" t="s">
        <v>21</v>
      </c>
      <c r="B3" s="18" t="s">
        <v>84</v>
      </c>
      <c r="C3" s="10">
        <v>4.0</v>
      </c>
      <c r="D3" s="10"/>
      <c r="E3" s="10">
        <v>2.0</v>
      </c>
      <c r="F3" s="35"/>
      <c r="G3" s="35">
        <f t="shared" ref="G3:G9" si="1">IFS(C3=0, "N/A", C3&lt;&gt;0,(D3-E3)/C3 )</f>
        <v>-0.5</v>
      </c>
      <c r="H3" s="35"/>
      <c r="I3" s="10"/>
      <c r="J3" s="10">
        <v>2.0</v>
      </c>
      <c r="K3" s="10">
        <v>1.0</v>
      </c>
      <c r="L3" s="10">
        <v>2.0</v>
      </c>
      <c r="M3" s="10">
        <v>5.0</v>
      </c>
      <c r="N3" s="35">
        <f t="shared" ref="N3:N9" si="2">ifs(M3=0,"N/A",M3&lt;&gt;0,(M3-L3) /M3)</f>
        <v>0.6</v>
      </c>
      <c r="O3" s="35">
        <f t="shared" ref="O3:O9" si="3">IFS(M3=0, "N/A", M3&lt;&gt;0, K3/M3)</f>
        <v>0.2</v>
      </c>
      <c r="P3" s="10">
        <f t="shared" ref="P3:P9" si="4">sum(Q3,R3,S3,T3)</f>
        <v>3</v>
      </c>
      <c r="Q3" s="35"/>
      <c r="R3" s="10">
        <v>2.0</v>
      </c>
      <c r="S3" s="10"/>
      <c r="T3" s="10">
        <v>1.0</v>
      </c>
      <c r="U3" s="10">
        <f t="shared" ref="U3:U9" si="5">ifs(P3=0, "N/A",P3&lt;&gt;0,(R3 + S3*2 +T3*3)/P3)</f>
        <v>1.666666667</v>
      </c>
    </row>
    <row r="4">
      <c r="A4" s="21" t="s">
        <v>24</v>
      </c>
      <c r="B4" s="21" t="s">
        <v>41</v>
      </c>
      <c r="C4" s="10">
        <v>2.0</v>
      </c>
      <c r="D4" s="10">
        <v>2.0</v>
      </c>
      <c r="E4" s="10"/>
      <c r="F4" s="35"/>
      <c r="G4" s="35">
        <f t="shared" si="1"/>
        <v>1</v>
      </c>
      <c r="H4" s="10"/>
      <c r="I4" s="10">
        <v>1.0</v>
      </c>
      <c r="J4" s="10">
        <v>4.0</v>
      </c>
      <c r="K4" s="35"/>
      <c r="L4" s="10"/>
      <c r="M4" s="10">
        <v>1.0</v>
      </c>
      <c r="N4" s="35">
        <f t="shared" si="2"/>
        <v>1</v>
      </c>
      <c r="O4" s="35">
        <f t="shared" si="3"/>
        <v>0</v>
      </c>
      <c r="P4" s="10">
        <f t="shared" si="4"/>
        <v>1</v>
      </c>
      <c r="Q4" s="10"/>
      <c r="R4" s="35"/>
      <c r="S4" s="35"/>
      <c r="T4" s="10">
        <v>1.0</v>
      </c>
      <c r="U4" s="10">
        <f t="shared" si="5"/>
        <v>3</v>
      </c>
    </row>
    <row r="5">
      <c r="A5" s="22" t="s">
        <v>26</v>
      </c>
      <c r="B5" s="22" t="s">
        <v>42</v>
      </c>
      <c r="C5" s="10">
        <v>1.0</v>
      </c>
      <c r="D5" s="10">
        <v>1.0</v>
      </c>
      <c r="E5" s="10"/>
      <c r="F5" s="10">
        <v>9.0</v>
      </c>
      <c r="G5" s="35">
        <f t="shared" si="1"/>
        <v>1</v>
      </c>
      <c r="H5" s="10"/>
      <c r="I5" s="10"/>
      <c r="J5" s="10">
        <v>1.0</v>
      </c>
      <c r="K5" s="10"/>
      <c r="L5" s="10">
        <v>1.0</v>
      </c>
      <c r="M5" s="10">
        <v>7.0</v>
      </c>
      <c r="N5" s="35">
        <f t="shared" si="2"/>
        <v>0.8571428571</v>
      </c>
      <c r="O5" s="35">
        <f t="shared" si="3"/>
        <v>0</v>
      </c>
      <c r="P5" s="10">
        <f t="shared" si="4"/>
        <v>0</v>
      </c>
      <c r="Q5" s="35"/>
      <c r="R5" s="35"/>
      <c r="S5" s="35"/>
      <c r="T5" s="10"/>
      <c r="U5" s="10" t="str">
        <f t="shared" si="5"/>
        <v>N/A</v>
      </c>
    </row>
    <row r="6">
      <c r="A6" s="23" t="s">
        <v>28</v>
      </c>
      <c r="B6" s="23" t="s">
        <v>43</v>
      </c>
      <c r="C6" s="10">
        <v>9.0</v>
      </c>
      <c r="D6" s="10">
        <v>4.0</v>
      </c>
      <c r="E6" s="10">
        <v>1.0</v>
      </c>
      <c r="F6" s="10">
        <v>1.0</v>
      </c>
      <c r="G6" s="35">
        <f t="shared" si="1"/>
        <v>0.3333333333</v>
      </c>
      <c r="H6" s="10">
        <v>1.0</v>
      </c>
      <c r="I6" s="10">
        <v>1.0</v>
      </c>
      <c r="J6" s="10">
        <v>2.0</v>
      </c>
      <c r="K6" s="10"/>
      <c r="L6" s="10">
        <v>1.0</v>
      </c>
      <c r="M6" s="10">
        <v>2.0</v>
      </c>
      <c r="N6" s="35">
        <f t="shared" si="2"/>
        <v>0.5</v>
      </c>
      <c r="O6" s="35">
        <f t="shared" si="3"/>
        <v>0</v>
      </c>
      <c r="P6" s="10">
        <f t="shared" si="4"/>
        <v>2</v>
      </c>
      <c r="Q6" s="10"/>
      <c r="R6" s="10"/>
      <c r="S6" s="10"/>
      <c r="T6" s="10">
        <v>2.0</v>
      </c>
      <c r="U6" s="10">
        <f t="shared" si="5"/>
        <v>3</v>
      </c>
    </row>
    <row r="7">
      <c r="A7" s="24" t="s">
        <v>30</v>
      </c>
      <c r="B7" s="24" t="s">
        <v>85</v>
      </c>
      <c r="C7" s="10">
        <v>6.0</v>
      </c>
      <c r="D7" s="10">
        <v>3.0</v>
      </c>
      <c r="E7" s="10">
        <v>2.0</v>
      </c>
      <c r="F7" s="35"/>
      <c r="G7" s="35">
        <f t="shared" si="1"/>
        <v>0.1666666667</v>
      </c>
      <c r="H7" s="35"/>
      <c r="I7" s="35"/>
      <c r="J7" s="10">
        <v>2.0</v>
      </c>
      <c r="K7" s="10">
        <v>1.0</v>
      </c>
      <c r="L7" s="10">
        <v>1.0</v>
      </c>
      <c r="M7" s="10">
        <v>5.0</v>
      </c>
      <c r="N7" s="35">
        <f t="shared" si="2"/>
        <v>0.8</v>
      </c>
      <c r="O7" s="35">
        <f t="shared" si="3"/>
        <v>0.2</v>
      </c>
      <c r="P7" s="10">
        <f t="shared" si="4"/>
        <v>3</v>
      </c>
      <c r="Q7" s="10"/>
      <c r="R7" s="10">
        <v>1.0</v>
      </c>
      <c r="S7" s="10">
        <v>1.0</v>
      </c>
      <c r="T7" s="10">
        <v>1.0</v>
      </c>
      <c r="U7" s="10">
        <f t="shared" si="5"/>
        <v>2</v>
      </c>
    </row>
    <row r="8">
      <c r="A8" s="25" t="s">
        <v>32</v>
      </c>
      <c r="B8" s="25" t="s">
        <v>97</v>
      </c>
      <c r="C8" s="10">
        <v>3.0</v>
      </c>
      <c r="D8" s="10"/>
      <c r="E8" s="10"/>
      <c r="F8" s="35"/>
      <c r="G8" s="35">
        <f t="shared" si="1"/>
        <v>0</v>
      </c>
      <c r="H8" s="35"/>
      <c r="I8" s="10"/>
      <c r="J8" s="10">
        <v>1.0</v>
      </c>
      <c r="K8" s="10">
        <v>1.0</v>
      </c>
      <c r="L8" s="10">
        <v>1.0</v>
      </c>
      <c r="M8" s="10">
        <v>5.0</v>
      </c>
      <c r="N8" s="35">
        <f t="shared" si="2"/>
        <v>0.8</v>
      </c>
      <c r="O8" s="35">
        <f t="shared" si="3"/>
        <v>0.2</v>
      </c>
      <c r="P8" s="10">
        <f t="shared" si="4"/>
        <v>2</v>
      </c>
      <c r="Q8" s="10">
        <v>1.0</v>
      </c>
      <c r="R8" s="10"/>
      <c r="S8" s="35"/>
      <c r="T8" s="10">
        <v>1.0</v>
      </c>
      <c r="U8" s="10">
        <f t="shared" si="5"/>
        <v>1.5</v>
      </c>
    </row>
    <row r="9">
      <c r="A9" s="26" t="s">
        <v>34</v>
      </c>
      <c r="B9" s="26" t="s">
        <v>22</v>
      </c>
      <c r="C9" s="10"/>
      <c r="D9" s="10"/>
      <c r="E9" s="10"/>
      <c r="F9" s="35"/>
      <c r="G9" s="35" t="str">
        <f t="shared" si="1"/>
        <v>N/A</v>
      </c>
      <c r="H9" s="35"/>
      <c r="I9" s="35"/>
      <c r="J9" s="10"/>
      <c r="K9" s="35"/>
      <c r="L9" s="10"/>
      <c r="M9" s="35"/>
      <c r="N9" s="35" t="str">
        <f t="shared" si="2"/>
        <v>N/A</v>
      </c>
      <c r="O9" s="35" t="str">
        <f t="shared" si="3"/>
        <v>N/A</v>
      </c>
      <c r="P9" s="10">
        <f t="shared" si="4"/>
        <v>0</v>
      </c>
      <c r="Q9" s="35"/>
      <c r="R9" s="10"/>
      <c r="S9" s="10"/>
      <c r="T9" s="35"/>
      <c r="U9" s="10" t="str">
        <f t="shared" si="5"/>
        <v>N/A</v>
      </c>
    </row>
    <row r="10">
      <c r="M10" s="52"/>
      <c r="N10" s="52"/>
      <c r="O10" s="52"/>
      <c r="P10" s="52"/>
      <c r="Q10" s="52"/>
      <c r="U10" s="52"/>
    </row>
    <row r="11">
      <c r="M11" s="52"/>
      <c r="N11" s="52"/>
      <c r="O11" s="52"/>
      <c r="P11" s="52"/>
      <c r="Q11" s="52"/>
      <c r="U11" s="52"/>
    </row>
    <row r="12">
      <c r="M12" s="52"/>
      <c r="N12" s="52"/>
      <c r="O12" s="52"/>
      <c r="P12" s="52"/>
      <c r="Q12" s="52"/>
      <c r="U12" s="52"/>
    </row>
    <row r="13">
      <c r="M13" s="52"/>
      <c r="N13" s="52"/>
      <c r="O13" s="52"/>
      <c r="P13" s="52"/>
      <c r="Q13" s="52"/>
      <c r="U13" s="52"/>
    </row>
    <row r="14">
      <c r="M14" s="52"/>
      <c r="N14" s="52"/>
      <c r="O14" s="52"/>
      <c r="P14" s="52"/>
      <c r="Q14" s="52"/>
      <c r="U14" s="52"/>
    </row>
    <row r="15">
      <c r="M15" s="52"/>
      <c r="N15" s="52"/>
      <c r="O15" s="52"/>
      <c r="P15" s="52"/>
      <c r="Q15" s="52"/>
      <c r="U15" s="52"/>
    </row>
    <row r="16">
      <c r="M16" s="52"/>
      <c r="N16" s="52"/>
      <c r="O16" s="52"/>
      <c r="P16" s="52"/>
      <c r="Q16" s="52"/>
      <c r="U16" s="52"/>
    </row>
    <row r="17">
      <c r="M17" s="52"/>
      <c r="N17" s="52"/>
      <c r="O17" s="52"/>
      <c r="P17" s="52"/>
      <c r="Q17" s="52"/>
      <c r="U17" s="52"/>
    </row>
    <row r="18">
      <c r="M18" s="52"/>
      <c r="N18" s="52"/>
      <c r="O18" s="52"/>
      <c r="P18" s="52"/>
      <c r="Q18" s="52"/>
      <c r="U18" s="52"/>
    </row>
    <row r="19">
      <c r="M19" s="52"/>
      <c r="N19" s="52"/>
      <c r="O19" s="52"/>
      <c r="P19" s="52"/>
      <c r="Q19" s="52"/>
      <c r="U19" s="52"/>
    </row>
    <row r="20">
      <c r="M20" s="52"/>
      <c r="N20" s="52"/>
      <c r="O20" s="52"/>
      <c r="P20" s="52"/>
      <c r="Q20" s="52"/>
      <c r="U20" s="52"/>
    </row>
    <row r="21">
      <c r="M21" s="52"/>
      <c r="N21" s="52"/>
      <c r="O21" s="52"/>
      <c r="P21" s="52"/>
      <c r="Q21" s="52"/>
      <c r="U21" s="52"/>
    </row>
    <row r="22">
      <c r="M22" s="52"/>
      <c r="N22" s="52"/>
      <c r="O22" s="52"/>
      <c r="P22" s="52"/>
      <c r="Q22" s="52"/>
      <c r="U22" s="52"/>
    </row>
    <row r="23">
      <c r="M23" s="52"/>
      <c r="N23" s="52"/>
      <c r="O23" s="52"/>
      <c r="P23" s="52"/>
      <c r="Q23" s="52"/>
      <c r="U23" s="52"/>
    </row>
    <row r="24">
      <c r="M24" s="52"/>
      <c r="N24" s="52"/>
      <c r="O24" s="52"/>
      <c r="P24" s="52"/>
      <c r="Q24" s="52"/>
      <c r="U24" s="52"/>
    </row>
    <row r="25">
      <c r="M25" s="52"/>
      <c r="N25" s="52"/>
      <c r="O25" s="52"/>
      <c r="P25" s="52"/>
      <c r="Q25" s="52"/>
      <c r="U25" s="52"/>
    </row>
    <row r="26">
      <c r="M26" s="52"/>
      <c r="N26" s="52"/>
      <c r="O26" s="52"/>
      <c r="P26" s="52"/>
      <c r="Q26" s="52"/>
      <c r="U26" s="52"/>
    </row>
    <row r="27">
      <c r="M27" s="52"/>
      <c r="N27" s="52"/>
      <c r="O27" s="52"/>
      <c r="P27" s="52"/>
      <c r="Q27" s="52"/>
      <c r="U27" s="52"/>
    </row>
    <row r="28">
      <c r="M28" s="52"/>
      <c r="N28" s="52"/>
      <c r="O28" s="52"/>
      <c r="P28" s="52"/>
      <c r="Q28" s="52"/>
      <c r="U28" s="52"/>
    </row>
    <row r="29">
      <c r="M29" s="52"/>
      <c r="N29" s="52"/>
      <c r="O29" s="52"/>
      <c r="P29" s="52"/>
      <c r="Q29" s="52"/>
      <c r="U29" s="52"/>
    </row>
    <row r="30">
      <c r="M30" s="52"/>
      <c r="N30" s="52"/>
      <c r="O30" s="52"/>
      <c r="P30" s="52"/>
      <c r="Q30" s="52"/>
      <c r="U30" s="52"/>
    </row>
    <row r="31">
      <c r="M31" s="52"/>
      <c r="N31" s="52"/>
      <c r="O31" s="52"/>
      <c r="P31" s="52"/>
      <c r="Q31" s="52"/>
      <c r="U31" s="52"/>
    </row>
    <row r="32">
      <c r="M32" s="52"/>
      <c r="N32" s="52"/>
      <c r="O32" s="52"/>
      <c r="P32" s="52"/>
      <c r="Q32" s="52"/>
      <c r="U32" s="52"/>
    </row>
    <row r="33">
      <c r="M33" s="52"/>
      <c r="N33" s="52"/>
      <c r="O33" s="52"/>
      <c r="P33" s="52"/>
      <c r="Q33" s="52"/>
      <c r="U33" s="52"/>
    </row>
    <row r="34">
      <c r="M34" s="52"/>
      <c r="N34" s="52"/>
      <c r="O34" s="52"/>
      <c r="P34" s="52"/>
      <c r="Q34" s="52"/>
      <c r="U34" s="52"/>
    </row>
    <row r="35">
      <c r="M35" s="52"/>
      <c r="N35" s="52"/>
      <c r="O35" s="52"/>
      <c r="P35" s="52"/>
      <c r="Q35" s="52"/>
      <c r="U35" s="52"/>
    </row>
    <row r="36">
      <c r="M36" s="52"/>
      <c r="N36" s="52"/>
      <c r="O36" s="52"/>
      <c r="P36" s="52"/>
      <c r="Q36" s="52"/>
      <c r="U36" s="52"/>
    </row>
    <row r="37">
      <c r="M37" s="52"/>
      <c r="N37" s="52"/>
      <c r="O37" s="52"/>
      <c r="P37" s="52"/>
      <c r="Q37" s="52"/>
      <c r="U37" s="52"/>
    </row>
    <row r="38">
      <c r="M38" s="52"/>
      <c r="N38" s="52"/>
      <c r="O38" s="52"/>
      <c r="P38" s="52"/>
      <c r="Q38" s="52"/>
      <c r="U38" s="52"/>
    </row>
    <row r="39">
      <c r="M39" s="52"/>
      <c r="N39" s="52"/>
      <c r="O39" s="52"/>
      <c r="P39" s="52"/>
      <c r="Q39" s="52"/>
      <c r="U39" s="52"/>
    </row>
    <row r="40">
      <c r="M40" s="52"/>
      <c r="N40" s="52"/>
      <c r="O40" s="52"/>
      <c r="P40" s="52"/>
      <c r="Q40" s="52"/>
      <c r="U40" s="52"/>
    </row>
    <row r="41">
      <c r="M41" s="52"/>
      <c r="N41" s="52"/>
      <c r="O41" s="52"/>
      <c r="P41" s="52"/>
      <c r="Q41" s="52"/>
      <c r="U41" s="52"/>
    </row>
    <row r="42">
      <c r="M42" s="52"/>
      <c r="N42" s="52"/>
      <c r="O42" s="52"/>
      <c r="P42" s="52"/>
      <c r="Q42" s="52"/>
      <c r="U42" s="52"/>
    </row>
    <row r="43">
      <c r="M43" s="52"/>
      <c r="N43" s="52"/>
      <c r="O43" s="52"/>
      <c r="P43" s="52"/>
      <c r="Q43" s="52"/>
      <c r="U43" s="52"/>
    </row>
    <row r="44">
      <c r="M44" s="52"/>
      <c r="N44" s="52"/>
      <c r="O44" s="52"/>
      <c r="P44" s="52"/>
      <c r="Q44" s="52"/>
      <c r="U44" s="52"/>
    </row>
    <row r="45">
      <c r="M45" s="52"/>
      <c r="N45" s="52"/>
      <c r="O45" s="52"/>
      <c r="P45" s="52"/>
      <c r="Q45" s="52"/>
      <c r="U45" s="52"/>
    </row>
    <row r="46">
      <c r="M46" s="52"/>
      <c r="N46" s="52"/>
      <c r="O46" s="52"/>
      <c r="P46" s="52"/>
      <c r="Q46" s="52"/>
      <c r="U46" s="52"/>
    </row>
    <row r="47">
      <c r="M47" s="52"/>
      <c r="N47" s="52"/>
      <c r="O47" s="52"/>
      <c r="P47" s="52"/>
      <c r="Q47" s="52"/>
      <c r="U47" s="52"/>
    </row>
    <row r="48">
      <c r="M48" s="52"/>
      <c r="N48" s="52"/>
      <c r="O48" s="52"/>
      <c r="P48" s="52"/>
      <c r="Q48" s="52"/>
      <c r="U48" s="52"/>
    </row>
    <row r="49">
      <c r="M49" s="52"/>
      <c r="N49" s="52"/>
      <c r="O49" s="52"/>
      <c r="P49" s="52"/>
      <c r="Q49" s="52"/>
      <c r="U49" s="52"/>
    </row>
    <row r="50">
      <c r="M50" s="52"/>
      <c r="N50" s="52"/>
      <c r="O50" s="52"/>
      <c r="P50" s="52"/>
      <c r="Q50" s="52"/>
      <c r="U50" s="52"/>
    </row>
    <row r="51">
      <c r="M51" s="52"/>
      <c r="N51" s="52"/>
      <c r="O51" s="52"/>
      <c r="P51" s="52"/>
      <c r="Q51" s="52"/>
      <c r="U51" s="52"/>
    </row>
    <row r="52">
      <c r="M52" s="52"/>
      <c r="N52" s="52"/>
      <c r="O52" s="52"/>
      <c r="P52" s="52"/>
      <c r="Q52" s="52"/>
      <c r="U52" s="52"/>
    </row>
    <row r="53">
      <c r="M53" s="52"/>
      <c r="N53" s="52"/>
      <c r="O53" s="52"/>
      <c r="P53" s="52"/>
      <c r="Q53" s="52"/>
      <c r="U53" s="52"/>
    </row>
    <row r="54">
      <c r="M54" s="52"/>
      <c r="N54" s="52"/>
      <c r="O54" s="52"/>
      <c r="P54" s="52"/>
      <c r="Q54" s="52"/>
      <c r="U54" s="52"/>
    </row>
    <row r="55">
      <c r="M55" s="52"/>
      <c r="N55" s="52"/>
      <c r="O55" s="52"/>
      <c r="P55" s="52"/>
      <c r="Q55" s="52"/>
      <c r="U55" s="52"/>
    </row>
    <row r="56">
      <c r="M56" s="52"/>
      <c r="N56" s="52"/>
      <c r="O56" s="52"/>
      <c r="P56" s="52"/>
      <c r="Q56" s="52"/>
      <c r="U56" s="52"/>
    </row>
    <row r="57">
      <c r="M57" s="52"/>
      <c r="N57" s="52"/>
      <c r="O57" s="52"/>
      <c r="P57" s="52"/>
      <c r="Q57" s="52"/>
      <c r="U57" s="52"/>
    </row>
    <row r="58">
      <c r="M58" s="52"/>
      <c r="N58" s="52"/>
      <c r="O58" s="52"/>
      <c r="P58" s="52"/>
      <c r="Q58" s="52"/>
      <c r="U58" s="52"/>
    </row>
    <row r="59">
      <c r="M59" s="52"/>
      <c r="N59" s="52"/>
      <c r="O59" s="52"/>
      <c r="P59" s="52"/>
      <c r="Q59" s="52"/>
      <c r="U59" s="52"/>
    </row>
    <row r="60">
      <c r="M60" s="52"/>
      <c r="N60" s="52"/>
      <c r="O60" s="52"/>
      <c r="P60" s="52"/>
      <c r="Q60" s="52"/>
      <c r="U60" s="52"/>
    </row>
    <row r="61">
      <c r="M61" s="52"/>
      <c r="N61" s="52"/>
      <c r="O61" s="52"/>
      <c r="P61" s="52"/>
      <c r="Q61" s="52"/>
      <c r="U61" s="52"/>
    </row>
    <row r="62">
      <c r="M62" s="52"/>
      <c r="N62" s="52"/>
      <c r="O62" s="52"/>
      <c r="P62" s="52"/>
      <c r="Q62" s="52"/>
      <c r="U62" s="52"/>
    </row>
    <row r="63">
      <c r="M63" s="52"/>
      <c r="N63" s="52"/>
      <c r="O63" s="52"/>
      <c r="P63" s="52"/>
      <c r="Q63" s="52"/>
      <c r="U63" s="52"/>
    </row>
    <row r="64">
      <c r="M64" s="52"/>
      <c r="N64" s="52"/>
      <c r="O64" s="52"/>
      <c r="P64" s="52"/>
      <c r="Q64" s="52"/>
      <c r="U64" s="52"/>
    </row>
    <row r="65">
      <c r="M65" s="52"/>
      <c r="N65" s="52"/>
      <c r="O65" s="52"/>
      <c r="P65" s="52"/>
      <c r="Q65" s="52"/>
      <c r="U65" s="52"/>
    </row>
    <row r="66">
      <c r="M66" s="52"/>
      <c r="N66" s="52"/>
      <c r="O66" s="52"/>
      <c r="P66" s="52"/>
      <c r="Q66" s="52"/>
      <c r="U66" s="52"/>
    </row>
    <row r="67">
      <c r="M67" s="52"/>
      <c r="N67" s="52"/>
      <c r="O67" s="52"/>
      <c r="P67" s="52"/>
      <c r="Q67" s="52"/>
      <c r="U67" s="52"/>
    </row>
    <row r="68">
      <c r="M68" s="52"/>
      <c r="N68" s="52"/>
      <c r="O68" s="52"/>
      <c r="P68" s="52"/>
      <c r="Q68" s="52"/>
      <c r="U68" s="52"/>
    </row>
    <row r="69">
      <c r="M69" s="52"/>
      <c r="N69" s="52"/>
      <c r="O69" s="52"/>
      <c r="P69" s="52"/>
      <c r="Q69" s="52"/>
      <c r="U69" s="52"/>
    </row>
    <row r="70">
      <c r="M70" s="52"/>
      <c r="N70" s="52"/>
      <c r="O70" s="52"/>
      <c r="P70" s="52"/>
      <c r="Q70" s="52"/>
      <c r="U70" s="52"/>
    </row>
    <row r="71">
      <c r="M71" s="52"/>
      <c r="N71" s="52"/>
      <c r="O71" s="52"/>
      <c r="P71" s="52"/>
      <c r="Q71" s="52"/>
      <c r="U71" s="52"/>
    </row>
    <row r="72">
      <c r="M72" s="52"/>
      <c r="N72" s="52"/>
      <c r="O72" s="52"/>
      <c r="P72" s="52"/>
      <c r="Q72" s="52"/>
      <c r="U72" s="52"/>
    </row>
    <row r="73">
      <c r="M73" s="52"/>
      <c r="N73" s="52"/>
      <c r="O73" s="52"/>
      <c r="P73" s="52"/>
      <c r="Q73" s="52"/>
      <c r="U73" s="52"/>
    </row>
    <row r="74">
      <c r="M74" s="52"/>
      <c r="N74" s="52"/>
      <c r="O74" s="52"/>
      <c r="P74" s="52"/>
      <c r="Q74" s="52"/>
      <c r="U74" s="52"/>
    </row>
    <row r="75">
      <c r="M75" s="52"/>
      <c r="N75" s="52"/>
      <c r="O75" s="52"/>
      <c r="P75" s="52"/>
      <c r="Q75" s="52"/>
      <c r="U75" s="52"/>
    </row>
    <row r="76">
      <c r="M76" s="52"/>
      <c r="N76" s="52"/>
      <c r="O76" s="52"/>
      <c r="P76" s="52"/>
      <c r="Q76" s="52"/>
      <c r="U76" s="52"/>
    </row>
    <row r="77">
      <c r="M77" s="52"/>
      <c r="N77" s="52"/>
      <c r="O77" s="52"/>
      <c r="P77" s="52"/>
      <c r="Q77" s="52"/>
      <c r="U77" s="52"/>
    </row>
    <row r="78">
      <c r="M78" s="52"/>
      <c r="N78" s="52"/>
      <c r="O78" s="52"/>
      <c r="P78" s="52"/>
      <c r="Q78" s="52"/>
      <c r="U78" s="52"/>
    </row>
    <row r="79">
      <c r="M79" s="52"/>
      <c r="N79" s="52"/>
      <c r="O79" s="52"/>
      <c r="P79" s="52"/>
      <c r="Q79" s="52"/>
      <c r="U79" s="52"/>
    </row>
    <row r="80">
      <c r="M80" s="52"/>
      <c r="N80" s="52"/>
      <c r="O80" s="52"/>
      <c r="P80" s="52"/>
      <c r="Q80" s="52"/>
      <c r="U80" s="52"/>
    </row>
    <row r="81">
      <c r="M81" s="52"/>
      <c r="N81" s="52"/>
      <c r="O81" s="52"/>
      <c r="P81" s="52"/>
      <c r="Q81" s="52"/>
      <c r="U81" s="52"/>
    </row>
    <row r="82">
      <c r="M82" s="52"/>
      <c r="N82" s="52"/>
      <c r="O82" s="52"/>
      <c r="P82" s="52"/>
      <c r="Q82" s="52"/>
      <c r="U82" s="52"/>
    </row>
    <row r="83">
      <c r="M83" s="52"/>
      <c r="N83" s="52"/>
      <c r="O83" s="52"/>
      <c r="P83" s="52"/>
      <c r="Q83" s="52"/>
      <c r="U83" s="52"/>
    </row>
    <row r="84">
      <c r="M84" s="52"/>
      <c r="N84" s="52"/>
      <c r="O84" s="52"/>
      <c r="P84" s="52"/>
      <c r="Q84" s="52"/>
      <c r="U84" s="52"/>
    </row>
    <row r="85">
      <c r="M85" s="52"/>
      <c r="N85" s="52"/>
      <c r="O85" s="52"/>
      <c r="P85" s="52"/>
      <c r="Q85" s="52"/>
      <c r="U85" s="52"/>
    </row>
    <row r="86">
      <c r="M86" s="52"/>
      <c r="N86" s="52"/>
      <c r="O86" s="52"/>
      <c r="P86" s="52"/>
      <c r="Q86" s="52"/>
      <c r="U86" s="52"/>
    </row>
    <row r="87">
      <c r="M87" s="52"/>
      <c r="N87" s="52"/>
      <c r="O87" s="52"/>
      <c r="P87" s="52"/>
      <c r="Q87" s="52"/>
      <c r="U87" s="52"/>
    </row>
    <row r="88">
      <c r="M88" s="52"/>
      <c r="N88" s="52"/>
      <c r="O88" s="52"/>
      <c r="P88" s="52"/>
      <c r="Q88" s="52"/>
      <c r="U88" s="52"/>
    </row>
    <row r="89">
      <c r="M89" s="52"/>
      <c r="N89" s="52"/>
      <c r="O89" s="52"/>
      <c r="P89" s="52"/>
      <c r="Q89" s="52"/>
      <c r="U89" s="52"/>
    </row>
    <row r="90">
      <c r="M90" s="52"/>
      <c r="N90" s="52"/>
      <c r="O90" s="52"/>
      <c r="P90" s="52"/>
      <c r="Q90" s="52"/>
      <c r="U90" s="52"/>
    </row>
    <row r="91">
      <c r="M91" s="52"/>
      <c r="N91" s="52"/>
      <c r="O91" s="52"/>
      <c r="P91" s="52"/>
      <c r="Q91" s="52"/>
      <c r="U91" s="52"/>
    </row>
    <row r="92">
      <c r="M92" s="52"/>
      <c r="N92" s="52"/>
      <c r="O92" s="52"/>
      <c r="P92" s="52"/>
      <c r="Q92" s="52"/>
      <c r="U92" s="52"/>
    </row>
    <row r="93">
      <c r="M93" s="52"/>
      <c r="N93" s="52"/>
      <c r="O93" s="52"/>
      <c r="P93" s="52"/>
      <c r="Q93" s="52"/>
      <c r="U93" s="52"/>
    </row>
    <row r="94">
      <c r="M94" s="52"/>
      <c r="N94" s="52"/>
      <c r="O94" s="52"/>
      <c r="P94" s="52"/>
      <c r="Q94" s="52"/>
      <c r="U94" s="52"/>
    </row>
    <row r="95">
      <c r="M95" s="52"/>
      <c r="N95" s="52"/>
      <c r="O95" s="52"/>
      <c r="P95" s="52"/>
      <c r="Q95" s="52"/>
      <c r="U95" s="52"/>
    </row>
    <row r="96">
      <c r="M96" s="52"/>
      <c r="N96" s="52"/>
      <c r="O96" s="52"/>
      <c r="P96" s="52"/>
      <c r="Q96" s="52"/>
      <c r="U96" s="52"/>
    </row>
    <row r="97">
      <c r="M97" s="52"/>
      <c r="N97" s="52"/>
      <c r="O97" s="52"/>
      <c r="P97" s="52"/>
      <c r="Q97" s="52"/>
      <c r="U97" s="52"/>
    </row>
    <row r="98">
      <c r="M98" s="52"/>
      <c r="N98" s="52"/>
      <c r="O98" s="52"/>
      <c r="P98" s="52"/>
      <c r="Q98" s="52"/>
      <c r="U98" s="52"/>
    </row>
    <row r="99">
      <c r="M99" s="52"/>
      <c r="N99" s="52"/>
      <c r="O99" s="52"/>
      <c r="P99" s="52"/>
      <c r="Q99" s="52"/>
      <c r="U99" s="52"/>
    </row>
    <row r="100">
      <c r="M100" s="52"/>
      <c r="N100" s="52"/>
      <c r="O100" s="52"/>
      <c r="P100" s="52"/>
      <c r="Q100" s="52"/>
      <c r="U100" s="52"/>
    </row>
    <row r="101">
      <c r="M101" s="52"/>
      <c r="N101" s="52"/>
      <c r="O101" s="52"/>
      <c r="P101" s="52"/>
      <c r="Q101" s="52"/>
      <c r="U101" s="52"/>
    </row>
    <row r="102">
      <c r="M102" s="52"/>
      <c r="N102" s="52"/>
      <c r="O102" s="52"/>
      <c r="P102" s="52"/>
      <c r="Q102" s="52"/>
      <c r="U102" s="52"/>
    </row>
    <row r="103">
      <c r="M103" s="52"/>
      <c r="N103" s="52"/>
      <c r="O103" s="52"/>
      <c r="P103" s="52"/>
      <c r="Q103" s="52"/>
      <c r="U103" s="52"/>
    </row>
    <row r="104">
      <c r="M104" s="52"/>
      <c r="N104" s="52"/>
      <c r="O104" s="52"/>
      <c r="P104" s="52"/>
      <c r="Q104" s="52"/>
      <c r="U104" s="52"/>
    </row>
    <row r="105">
      <c r="M105" s="52"/>
      <c r="N105" s="52"/>
      <c r="O105" s="52"/>
      <c r="P105" s="52"/>
      <c r="Q105" s="52"/>
      <c r="U105" s="52"/>
    </row>
    <row r="106">
      <c r="M106" s="52"/>
      <c r="N106" s="52"/>
      <c r="O106" s="52"/>
      <c r="P106" s="52"/>
      <c r="Q106" s="52"/>
      <c r="U106" s="52"/>
    </row>
    <row r="107">
      <c r="M107" s="52"/>
      <c r="N107" s="52"/>
      <c r="O107" s="52"/>
      <c r="P107" s="52"/>
      <c r="Q107" s="52"/>
      <c r="U107" s="52"/>
    </row>
    <row r="108">
      <c r="M108" s="52"/>
      <c r="N108" s="52"/>
      <c r="O108" s="52"/>
      <c r="P108" s="52"/>
      <c r="Q108" s="52"/>
      <c r="U108" s="52"/>
    </row>
    <row r="109">
      <c r="M109" s="52"/>
      <c r="N109" s="52"/>
      <c r="O109" s="52"/>
      <c r="P109" s="52"/>
      <c r="Q109" s="52"/>
      <c r="U109" s="52"/>
    </row>
    <row r="110">
      <c r="M110" s="52"/>
      <c r="N110" s="52"/>
      <c r="O110" s="52"/>
      <c r="P110" s="52"/>
      <c r="Q110" s="52"/>
      <c r="U110" s="52"/>
    </row>
    <row r="111">
      <c r="M111" s="52"/>
      <c r="N111" s="52"/>
      <c r="O111" s="52"/>
      <c r="P111" s="52"/>
      <c r="Q111" s="52"/>
      <c r="U111" s="52"/>
    </row>
    <row r="112">
      <c r="M112" s="52"/>
      <c r="N112" s="52"/>
      <c r="O112" s="52"/>
      <c r="P112" s="52"/>
      <c r="Q112" s="52"/>
      <c r="U112" s="52"/>
    </row>
    <row r="113">
      <c r="M113" s="52"/>
      <c r="N113" s="52"/>
      <c r="O113" s="52"/>
      <c r="P113" s="52"/>
      <c r="Q113" s="52"/>
      <c r="U113" s="52"/>
    </row>
    <row r="114">
      <c r="M114" s="52"/>
      <c r="N114" s="52"/>
      <c r="O114" s="52"/>
      <c r="P114" s="52"/>
      <c r="Q114" s="52"/>
      <c r="U114" s="52"/>
    </row>
    <row r="115">
      <c r="M115" s="52"/>
      <c r="N115" s="52"/>
      <c r="O115" s="52"/>
      <c r="P115" s="52"/>
      <c r="Q115" s="52"/>
      <c r="U115" s="52"/>
    </row>
    <row r="116">
      <c r="M116" s="52"/>
      <c r="N116" s="52"/>
      <c r="O116" s="52"/>
      <c r="P116" s="52"/>
      <c r="Q116" s="52"/>
      <c r="U116" s="52"/>
    </row>
    <row r="117">
      <c r="M117" s="52"/>
      <c r="N117" s="52"/>
      <c r="O117" s="52"/>
      <c r="P117" s="52"/>
      <c r="Q117" s="52"/>
      <c r="U117" s="52"/>
    </row>
    <row r="118">
      <c r="M118" s="52"/>
      <c r="N118" s="52"/>
      <c r="O118" s="52"/>
      <c r="P118" s="52"/>
      <c r="Q118" s="52"/>
      <c r="U118" s="52"/>
    </row>
    <row r="119">
      <c r="M119" s="52"/>
      <c r="N119" s="52"/>
      <c r="O119" s="52"/>
      <c r="P119" s="52"/>
      <c r="Q119" s="52"/>
      <c r="U119" s="52"/>
    </row>
    <row r="120">
      <c r="M120" s="52"/>
      <c r="N120" s="52"/>
      <c r="O120" s="52"/>
      <c r="P120" s="52"/>
      <c r="Q120" s="52"/>
      <c r="U120" s="52"/>
    </row>
    <row r="121">
      <c r="M121" s="52"/>
      <c r="N121" s="52"/>
      <c r="O121" s="52"/>
      <c r="P121" s="52"/>
      <c r="Q121" s="52"/>
      <c r="U121" s="52"/>
    </row>
    <row r="122">
      <c r="M122" s="52"/>
      <c r="N122" s="52"/>
      <c r="O122" s="52"/>
      <c r="P122" s="52"/>
      <c r="Q122" s="52"/>
      <c r="U122" s="52"/>
    </row>
    <row r="123">
      <c r="M123" s="52"/>
      <c r="N123" s="52"/>
      <c r="O123" s="52"/>
      <c r="P123" s="52"/>
      <c r="Q123" s="52"/>
      <c r="U123" s="52"/>
    </row>
    <row r="124">
      <c r="M124" s="52"/>
      <c r="N124" s="52"/>
      <c r="O124" s="52"/>
      <c r="P124" s="52"/>
      <c r="Q124" s="52"/>
      <c r="U124" s="52"/>
    </row>
    <row r="125">
      <c r="M125" s="52"/>
      <c r="N125" s="52"/>
      <c r="O125" s="52"/>
      <c r="P125" s="52"/>
      <c r="Q125" s="52"/>
      <c r="U125" s="52"/>
    </row>
    <row r="126">
      <c r="M126" s="52"/>
      <c r="N126" s="52"/>
      <c r="O126" s="52"/>
      <c r="P126" s="52"/>
      <c r="Q126" s="52"/>
      <c r="U126" s="52"/>
    </row>
    <row r="127">
      <c r="M127" s="52"/>
      <c r="N127" s="52"/>
      <c r="O127" s="52"/>
      <c r="P127" s="52"/>
      <c r="Q127" s="52"/>
      <c r="U127" s="52"/>
    </row>
    <row r="128">
      <c r="M128" s="52"/>
      <c r="N128" s="52"/>
      <c r="O128" s="52"/>
      <c r="P128" s="52"/>
      <c r="Q128" s="52"/>
      <c r="U128" s="52"/>
    </row>
    <row r="129">
      <c r="M129" s="52"/>
      <c r="N129" s="52"/>
      <c r="O129" s="52"/>
      <c r="P129" s="52"/>
      <c r="Q129" s="52"/>
      <c r="U129" s="52"/>
    </row>
    <row r="130">
      <c r="M130" s="52"/>
      <c r="N130" s="52"/>
      <c r="O130" s="52"/>
      <c r="P130" s="52"/>
      <c r="Q130" s="52"/>
      <c r="U130" s="52"/>
    </row>
    <row r="131">
      <c r="M131" s="52"/>
      <c r="N131" s="52"/>
      <c r="O131" s="52"/>
      <c r="P131" s="52"/>
      <c r="Q131" s="52"/>
      <c r="U131" s="52"/>
    </row>
    <row r="132">
      <c r="M132" s="52"/>
      <c r="N132" s="52"/>
      <c r="O132" s="52"/>
      <c r="P132" s="52"/>
      <c r="Q132" s="52"/>
      <c r="U132" s="52"/>
    </row>
    <row r="133">
      <c r="M133" s="52"/>
      <c r="N133" s="52"/>
      <c r="O133" s="52"/>
      <c r="P133" s="52"/>
      <c r="Q133" s="52"/>
      <c r="U133" s="52"/>
    </row>
    <row r="134">
      <c r="M134" s="52"/>
      <c r="N134" s="52"/>
      <c r="O134" s="52"/>
      <c r="P134" s="52"/>
      <c r="Q134" s="52"/>
      <c r="U134" s="52"/>
    </row>
    <row r="135">
      <c r="M135" s="52"/>
      <c r="N135" s="52"/>
      <c r="O135" s="52"/>
      <c r="P135" s="52"/>
      <c r="Q135" s="52"/>
      <c r="U135" s="52"/>
    </row>
    <row r="136">
      <c r="M136" s="52"/>
      <c r="N136" s="52"/>
      <c r="O136" s="52"/>
      <c r="P136" s="52"/>
      <c r="Q136" s="52"/>
      <c r="U136" s="52"/>
    </row>
    <row r="137">
      <c r="M137" s="52"/>
      <c r="N137" s="52"/>
      <c r="O137" s="52"/>
      <c r="P137" s="52"/>
      <c r="Q137" s="52"/>
      <c r="U137" s="52"/>
    </row>
    <row r="138">
      <c r="M138" s="52"/>
      <c r="N138" s="52"/>
      <c r="O138" s="52"/>
      <c r="P138" s="52"/>
      <c r="Q138" s="52"/>
      <c r="U138" s="52"/>
    </row>
    <row r="139">
      <c r="M139" s="52"/>
      <c r="N139" s="52"/>
      <c r="O139" s="52"/>
      <c r="P139" s="52"/>
      <c r="Q139" s="52"/>
      <c r="U139" s="52"/>
    </row>
    <row r="140">
      <c r="M140" s="52"/>
      <c r="N140" s="52"/>
      <c r="O140" s="52"/>
      <c r="P140" s="52"/>
      <c r="Q140" s="52"/>
      <c r="U140" s="52"/>
    </row>
    <row r="141">
      <c r="M141" s="52"/>
      <c r="N141" s="52"/>
      <c r="O141" s="52"/>
      <c r="P141" s="52"/>
      <c r="Q141" s="52"/>
      <c r="U141" s="52"/>
    </row>
    <row r="142">
      <c r="M142" s="52"/>
      <c r="N142" s="52"/>
      <c r="O142" s="52"/>
      <c r="P142" s="52"/>
      <c r="Q142" s="52"/>
      <c r="U142" s="52"/>
    </row>
    <row r="143">
      <c r="M143" s="52"/>
      <c r="N143" s="52"/>
      <c r="O143" s="52"/>
      <c r="P143" s="52"/>
      <c r="Q143" s="52"/>
      <c r="U143" s="52"/>
    </row>
    <row r="144">
      <c r="M144" s="52"/>
      <c r="N144" s="52"/>
      <c r="O144" s="52"/>
      <c r="P144" s="52"/>
      <c r="Q144" s="52"/>
      <c r="U144" s="52"/>
    </row>
    <row r="145">
      <c r="M145" s="52"/>
      <c r="N145" s="52"/>
      <c r="O145" s="52"/>
      <c r="P145" s="52"/>
      <c r="Q145" s="52"/>
      <c r="U145" s="52"/>
    </row>
    <row r="146">
      <c r="M146" s="52"/>
      <c r="N146" s="52"/>
      <c r="O146" s="52"/>
      <c r="P146" s="52"/>
      <c r="Q146" s="52"/>
      <c r="U146" s="52"/>
    </row>
    <row r="147">
      <c r="M147" s="52"/>
      <c r="N147" s="52"/>
      <c r="O147" s="52"/>
      <c r="P147" s="52"/>
      <c r="Q147" s="52"/>
      <c r="U147" s="52"/>
    </row>
    <row r="148">
      <c r="M148" s="52"/>
      <c r="N148" s="52"/>
      <c r="O148" s="52"/>
      <c r="P148" s="52"/>
      <c r="Q148" s="52"/>
      <c r="U148" s="52"/>
    </row>
    <row r="149">
      <c r="M149" s="52"/>
      <c r="N149" s="52"/>
      <c r="O149" s="52"/>
      <c r="P149" s="52"/>
      <c r="Q149" s="52"/>
      <c r="U149" s="52"/>
    </row>
    <row r="150">
      <c r="M150" s="52"/>
      <c r="N150" s="52"/>
      <c r="O150" s="52"/>
      <c r="P150" s="52"/>
      <c r="Q150" s="52"/>
      <c r="U150" s="52"/>
    </row>
    <row r="151">
      <c r="M151" s="52"/>
      <c r="N151" s="52"/>
      <c r="O151" s="52"/>
      <c r="P151" s="52"/>
      <c r="Q151" s="52"/>
      <c r="U151" s="52"/>
    </row>
    <row r="152">
      <c r="M152" s="52"/>
      <c r="N152" s="52"/>
      <c r="O152" s="52"/>
      <c r="P152" s="52"/>
      <c r="Q152" s="52"/>
      <c r="U152" s="52"/>
    </row>
    <row r="153">
      <c r="M153" s="52"/>
      <c r="N153" s="52"/>
      <c r="O153" s="52"/>
      <c r="P153" s="52"/>
      <c r="Q153" s="52"/>
      <c r="U153" s="52"/>
    </row>
    <row r="154">
      <c r="M154" s="52"/>
      <c r="N154" s="52"/>
      <c r="O154" s="52"/>
      <c r="P154" s="52"/>
      <c r="Q154" s="52"/>
      <c r="U154" s="52"/>
    </row>
    <row r="155">
      <c r="M155" s="52"/>
      <c r="N155" s="52"/>
      <c r="O155" s="52"/>
      <c r="P155" s="52"/>
      <c r="Q155" s="52"/>
      <c r="U155" s="52"/>
    </row>
    <row r="156">
      <c r="M156" s="52"/>
      <c r="N156" s="52"/>
      <c r="O156" s="52"/>
      <c r="P156" s="52"/>
      <c r="Q156" s="52"/>
      <c r="U156" s="52"/>
    </row>
    <row r="157">
      <c r="M157" s="52"/>
      <c r="N157" s="52"/>
      <c r="O157" s="52"/>
      <c r="P157" s="52"/>
      <c r="Q157" s="52"/>
      <c r="U157" s="52"/>
    </row>
    <row r="158">
      <c r="M158" s="52"/>
      <c r="N158" s="52"/>
      <c r="O158" s="52"/>
      <c r="P158" s="52"/>
      <c r="Q158" s="52"/>
      <c r="U158" s="52"/>
    </row>
    <row r="159">
      <c r="M159" s="52"/>
      <c r="N159" s="52"/>
      <c r="O159" s="52"/>
      <c r="P159" s="52"/>
      <c r="Q159" s="52"/>
      <c r="U159" s="52"/>
    </row>
    <row r="160">
      <c r="M160" s="52"/>
      <c r="N160" s="52"/>
      <c r="O160" s="52"/>
      <c r="P160" s="52"/>
      <c r="Q160" s="52"/>
      <c r="U160" s="52"/>
    </row>
    <row r="161">
      <c r="M161" s="52"/>
      <c r="N161" s="52"/>
      <c r="O161" s="52"/>
      <c r="P161" s="52"/>
      <c r="Q161" s="52"/>
      <c r="U161" s="52"/>
    </row>
    <row r="162">
      <c r="M162" s="52"/>
      <c r="N162" s="52"/>
      <c r="O162" s="52"/>
      <c r="P162" s="52"/>
      <c r="Q162" s="52"/>
      <c r="U162" s="52"/>
    </row>
    <row r="163">
      <c r="M163" s="52"/>
      <c r="N163" s="52"/>
      <c r="O163" s="52"/>
      <c r="P163" s="52"/>
      <c r="Q163" s="52"/>
      <c r="U163" s="52"/>
    </row>
    <row r="164">
      <c r="M164" s="52"/>
      <c r="N164" s="52"/>
      <c r="O164" s="52"/>
      <c r="P164" s="52"/>
      <c r="Q164" s="52"/>
      <c r="U164" s="52"/>
    </row>
    <row r="165">
      <c r="M165" s="52"/>
      <c r="N165" s="52"/>
      <c r="O165" s="52"/>
      <c r="P165" s="52"/>
      <c r="Q165" s="52"/>
      <c r="U165" s="52"/>
    </row>
    <row r="166">
      <c r="M166" s="52"/>
      <c r="N166" s="52"/>
      <c r="O166" s="52"/>
      <c r="P166" s="52"/>
      <c r="Q166" s="52"/>
      <c r="U166" s="52"/>
    </row>
    <row r="167">
      <c r="M167" s="52"/>
      <c r="N167" s="52"/>
      <c r="O167" s="52"/>
      <c r="P167" s="52"/>
      <c r="Q167" s="52"/>
      <c r="U167" s="52"/>
    </row>
    <row r="168">
      <c r="M168" s="52"/>
      <c r="N168" s="52"/>
      <c r="O168" s="52"/>
      <c r="P168" s="52"/>
      <c r="Q168" s="52"/>
      <c r="U168" s="52"/>
    </row>
    <row r="169">
      <c r="M169" s="52"/>
      <c r="N169" s="52"/>
      <c r="O169" s="52"/>
      <c r="P169" s="52"/>
      <c r="Q169" s="52"/>
      <c r="U169" s="52"/>
    </row>
    <row r="170">
      <c r="M170" s="52"/>
      <c r="N170" s="52"/>
      <c r="O170" s="52"/>
      <c r="P170" s="52"/>
      <c r="Q170" s="52"/>
      <c r="U170" s="52"/>
    </row>
    <row r="171">
      <c r="M171" s="52"/>
      <c r="N171" s="52"/>
      <c r="O171" s="52"/>
      <c r="P171" s="52"/>
      <c r="Q171" s="52"/>
      <c r="U171" s="52"/>
    </row>
    <row r="172">
      <c r="M172" s="52"/>
      <c r="N172" s="52"/>
      <c r="O172" s="52"/>
      <c r="P172" s="52"/>
      <c r="Q172" s="52"/>
      <c r="U172" s="52"/>
    </row>
    <row r="173">
      <c r="M173" s="52"/>
      <c r="N173" s="52"/>
      <c r="O173" s="52"/>
      <c r="P173" s="52"/>
      <c r="Q173" s="52"/>
      <c r="U173" s="52"/>
    </row>
    <row r="174">
      <c r="M174" s="52"/>
      <c r="N174" s="52"/>
      <c r="O174" s="52"/>
      <c r="P174" s="52"/>
      <c r="Q174" s="52"/>
      <c r="U174" s="52"/>
    </row>
    <row r="175">
      <c r="M175" s="52"/>
      <c r="N175" s="52"/>
      <c r="O175" s="52"/>
      <c r="P175" s="52"/>
      <c r="Q175" s="52"/>
      <c r="U175" s="52"/>
    </row>
    <row r="176">
      <c r="M176" s="52"/>
      <c r="N176" s="52"/>
      <c r="O176" s="52"/>
      <c r="P176" s="52"/>
      <c r="Q176" s="52"/>
      <c r="U176" s="52"/>
    </row>
    <row r="177">
      <c r="M177" s="52"/>
      <c r="N177" s="52"/>
      <c r="O177" s="52"/>
      <c r="P177" s="52"/>
      <c r="Q177" s="52"/>
      <c r="U177" s="52"/>
    </row>
    <row r="178">
      <c r="M178" s="52"/>
      <c r="N178" s="52"/>
      <c r="O178" s="52"/>
      <c r="P178" s="52"/>
      <c r="Q178" s="52"/>
      <c r="U178" s="52"/>
    </row>
    <row r="179">
      <c r="M179" s="52"/>
      <c r="N179" s="52"/>
      <c r="O179" s="52"/>
      <c r="P179" s="52"/>
      <c r="Q179" s="52"/>
      <c r="U179" s="52"/>
    </row>
    <row r="180">
      <c r="M180" s="52"/>
      <c r="N180" s="52"/>
      <c r="O180" s="52"/>
      <c r="P180" s="52"/>
      <c r="Q180" s="52"/>
      <c r="U180" s="52"/>
    </row>
    <row r="181">
      <c r="M181" s="52"/>
      <c r="N181" s="52"/>
      <c r="O181" s="52"/>
      <c r="P181" s="52"/>
      <c r="Q181" s="52"/>
      <c r="U181" s="52"/>
    </row>
    <row r="182">
      <c r="M182" s="52"/>
      <c r="N182" s="52"/>
      <c r="O182" s="52"/>
      <c r="P182" s="52"/>
      <c r="Q182" s="52"/>
      <c r="U182" s="52"/>
    </row>
    <row r="183">
      <c r="M183" s="52"/>
      <c r="N183" s="52"/>
      <c r="O183" s="52"/>
      <c r="P183" s="52"/>
      <c r="Q183" s="52"/>
      <c r="U183" s="52"/>
    </row>
    <row r="184">
      <c r="M184" s="52"/>
      <c r="N184" s="52"/>
      <c r="O184" s="52"/>
      <c r="P184" s="52"/>
      <c r="Q184" s="52"/>
      <c r="U184" s="52"/>
    </row>
    <row r="185">
      <c r="M185" s="52"/>
      <c r="N185" s="52"/>
      <c r="O185" s="52"/>
      <c r="P185" s="52"/>
      <c r="Q185" s="52"/>
      <c r="U185" s="52"/>
    </row>
    <row r="186">
      <c r="M186" s="52"/>
      <c r="N186" s="52"/>
      <c r="O186" s="52"/>
      <c r="P186" s="52"/>
      <c r="Q186" s="52"/>
      <c r="U186" s="52"/>
    </row>
    <row r="187">
      <c r="M187" s="52"/>
      <c r="N187" s="52"/>
      <c r="O187" s="52"/>
      <c r="P187" s="52"/>
      <c r="Q187" s="52"/>
      <c r="U187" s="52"/>
    </row>
    <row r="188">
      <c r="M188" s="52"/>
      <c r="N188" s="52"/>
      <c r="O188" s="52"/>
      <c r="P188" s="52"/>
      <c r="Q188" s="52"/>
      <c r="U188" s="52"/>
    </row>
    <row r="189">
      <c r="M189" s="52"/>
      <c r="N189" s="52"/>
      <c r="O189" s="52"/>
      <c r="P189" s="52"/>
      <c r="Q189" s="52"/>
      <c r="U189" s="52"/>
    </row>
    <row r="190">
      <c r="M190" s="52"/>
      <c r="N190" s="52"/>
      <c r="O190" s="52"/>
      <c r="P190" s="52"/>
      <c r="Q190" s="52"/>
      <c r="U190" s="52"/>
    </row>
    <row r="191">
      <c r="M191" s="52"/>
      <c r="N191" s="52"/>
      <c r="O191" s="52"/>
      <c r="P191" s="52"/>
      <c r="Q191" s="52"/>
      <c r="U191" s="52"/>
    </row>
    <row r="192">
      <c r="M192" s="52"/>
      <c r="N192" s="52"/>
      <c r="O192" s="52"/>
      <c r="P192" s="52"/>
      <c r="Q192" s="52"/>
      <c r="U192" s="52"/>
    </row>
    <row r="193">
      <c r="M193" s="52"/>
      <c r="N193" s="52"/>
      <c r="O193" s="52"/>
      <c r="P193" s="52"/>
      <c r="Q193" s="52"/>
      <c r="U193" s="52"/>
    </row>
    <row r="194">
      <c r="M194" s="52"/>
      <c r="N194" s="52"/>
      <c r="O194" s="52"/>
      <c r="P194" s="52"/>
      <c r="Q194" s="52"/>
      <c r="U194" s="52"/>
    </row>
    <row r="195">
      <c r="M195" s="52"/>
      <c r="N195" s="52"/>
      <c r="O195" s="52"/>
      <c r="P195" s="52"/>
      <c r="Q195" s="52"/>
      <c r="U195" s="52"/>
    </row>
    <row r="196">
      <c r="M196" s="52"/>
      <c r="N196" s="52"/>
      <c r="O196" s="52"/>
      <c r="P196" s="52"/>
      <c r="Q196" s="52"/>
      <c r="U196" s="52"/>
    </row>
    <row r="197">
      <c r="M197" s="52"/>
      <c r="N197" s="52"/>
      <c r="O197" s="52"/>
      <c r="P197" s="52"/>
      <c r="Q197" s="52"/>
      <c r="U197" s="52"/>
    </row>
    <row r="198">
      <c r="M198" s="52"/>
      <c r="N198" s="52"/>
      <c r="O198" s="52"/>
      <c r="P198" s="52"/>
      <c r="Q198" s="52"/>
      <c r="U198" s="52"/>
    </row>
    <row r="199">
      <c r="M199" s="52"/>
      <c r="N199" s="52"/>
      <c r="O199" s="52"/>
      <c r="P199" s="52"/>
      <c r="Q199" s="52"/>
      <c r="U199" s="52"/>
    </row>
    <row r="200">
      <c r="M200" s="52"/>
      <c r="N200" s="52"/>
      <c r="O200" s="52"/>
      <c r="P200" s="52"/>
      <c r="Q200" s="52"/>
      <c r="U200" s="52"/>
    </row>
    <row r="201">
      <c r="M201" s="52"/>
      <c r="N201" s="52"/>
      <c r="O201" s="52"/>
      <c r="P201" s="52"/>
      <c r="Q201" s="52"/>
      <c r="U201" s="52"/>
    </row>
    <row r="202">
      <c r="M202" s="52"/>
      <c r="N202" s="52"/>
      <c r="O202" s="52"/>
      <c r="P202" s="52"/>
      <c r="Q202" s="52"/>
      <c r="U202" s="52"/>
    </row>
    <row r="203">
      <c r="M203" s="52"/>
      <c r="N203" s="52"/>
      <c r="O203" s="52"/>
      <c r="P203" s="52"/>
      <c r="Q203" s="52"/>
      <c r="U203" s="52"/>
    </row>
    <row r="204">
      <c r="M204" s="52"/>
      <c r="N204" s="52"/>
      <c r="O204" s="52"/>
      <c r="P204" s="52"/>
      <c r="Q204" s="52"/>
      <c r="U204" s="52"/>
    </row>
    <row r="205">
      <c r="M205" s="52"/>
      <c r="N205" s="52"/>
      <c r="O205" s="52"/>
      <c r="P205" s="52"/>
      <c r="Q205" s="52"/>
      <c r="U205" s="52"/>
    </row>
    <row r="206">
      <c r="M206" s="52"/>
      <c r="N206" s="52"/>
      <c r="O206" s="52"/>
      <c r="P206" s="52"/>
      <c r="Q206" s="52"/>
      <c r="U206" s="52"/>
    </row>
    <row r="207">
      <c r="M207" s="52"/>
      <c r="N207" s="52"/>
      <c r="O207" s="52"/>
      <c r="P207" s="52"/>
      <c r="Q207" s="52"/>
      <c r="U207" s="52"/>
    </row>
    <row r="208">
      <c r="M208" s="52"/>
      <c r="N208" s="52"/>
      <c r="O208" s="52"/>
      <c r="P208" s="52"/>
      <c r="Q208" s="52"/>
      <c r="U208" s="52"/>
    </row>
    <row r="209">
      <c r="M209" s="52"/>
      <c r="N209" s="52"/>
      <c r="O209" s="52"/>
      <c r="P209" s="52"/>
      <c r="Q209" s="52"/>
      <c r="U209" s="52"/>
    </row>
    <row r="210">
      <c r="M210" s="52"/>
      <c r="N210" s="52"/>
      <c r="O210" s="52"/>
      <c r="P210" s="52"/>
      <c r="Q210" s="52"/>
      <c r="U210" s="52"/>
    </row>
    <row r="211">
      <c r="M211" s="52"/>
      <c r="N211" s="52"/>
      <c r="O211" s="52"/>
      <c r="P211" s="52"/>
      <c r="Q211" s="52"/>
      <c r="U211" s="52"/>
    </row>
    <row r="212">
      <c r="M212" s="52"/>
      <c r="N212" s="52"/>
      <c r="O212" s="52"/>
      <c r="P212" s="52"/>
      <c r="Q212" s="52"/>
      <c r="U212" s="52"/>
    </row>
    <row r="213">
      <c r="M213" s="52"/>
      <c r="N213" s="52"/>
      <c r="O213" s="52"/>
      <c r="P213" s="52"/>
      <c r="Q213" s="52"/>
      <c r="U213" s="52"/>
    </row>
    <row r="214">
      <c r="M214" s="52"/>
      <c r="N214" s="52"/>
      <c r="O214" s="52"/>
      <c r="P214" s="52"/>
      <c r="Q214" s="52"/>
      <c r="U214" s="52"/>
    </row>
    <row r="215">
      <c r="M215" s="52"/>
      <c r="N215" s="52"/>
      <c r="O215" s="52"/>
      <c r="P215" s="52"/>
      <c r="Q215" s="52"/>
      <c r="U215" s="52"/>
    </row>
    <row r="216">
      <c r="M216" s="52"/>
      <c r="N216" s="52"/>
      <c r="O216" s="52"/>
      <c r="P216" s="52"/>
      <c r="Q216" s="52"/>
      <c r="U216" s="52"/>
    </row>
    <row r="217">
      <c r="M217" s="52"/>
      <c r="N217" s="52"/>
      <c r="O217" s="52"/>
      <c r="P217" s="52"/>
      <c r="Q217" s="52"/>
      <c r="U217" s="52"/>
    </row>
    <row r="218">
      <c r="M218" s="52"/>
      <c r="N218" s="52"/>
      <c r="O218" s="52"/>
      <c r="P218" s="52"/>
      <c r="Q218" s="52"/>
      <c r="U218" s="52"/>
    </row>
    <row r="219">
      <c r="M219" s="52"/>
      <c r="N219" s="52"/>
      <c r="O219" s="52"/>
      <c r="P219" s="52"/>
      <c r="Q219" s="52"/>
      <c r="U219" s="52"/>
    </row>
    <row r="220">
      <c r="M220" s="52"/>
      <c r="N220" s="52"/>
      <c r="O220" s="52"/>
      <c r="P220" s="52"/>
      <c r="Q220" s="52"/>
      <c r="U220" s="52"/>
    </row>
    <row r="221">
      <c r="M221" s="52"/>
      <c r="N221" s="52"/>
      <c r="O221" s="52"/>
      <c r="P221" s="52"/>
      <c r="Q221" s="52"/>
      <c r="U221" s="52"/>
    </row>
    <row r="222">
      <c r="M222" s="52"/>
      <c r="N222" s="52"/>
      <c r="O222" s="52"/>
      <c r="P222" s="52"/>
      <c r="Q222" s="52"/>
      <c r="U222" s="52"/>
    </row>
    <row r="223">
      <c r="M223" s="52"/>
      <c r="N223" s="52"/>
      <c r="O223" s="52"/>
      <c r="P223" s="52"/>
      <c r="Q223" s="52"/>
      <c r="U223" s="52"/>
    </row>
    <row r="224">
      <c r="M224" s="52"/>
      <c r="N224" s="52"/>
      <c r="O224" s="52"/>
      <c r="P224" s="52"/>
      <c r="Q224" s="52"/>
      <c r="U224" s="52"/>
    </row>
    <row r="225">
      <c r="M225" s="52"/>
      <c r="N225" s="52"/>
      <c r="O225" s="52"/>
      <c r="P225" s="52"/>
      <c r="Q225" s="52"/>
      <c r="U225" s="52"/>
    </row>
    <row r="226">
      <c r="M226" s="52"/>
      <c r="N226" s="52"/>
      <c r="O226" s="52"/>
      <c r="P226" s="52"/>
      <c r="Q226" s="52"/>
      <c r="U226" s="52"/>
    </row>
    <row r="227">
      <c r="M227" s="52"/>
      <c r="N227" s="52"/>
      <c r="O227" s="52"/>
      <c r="P227" s="52"/>
      <c r="Q227" s="52"/>
      <c r="U227" s="52"/>
    </row>
    <row r="228">
      <c r="M228" s="52"/>
      <c r="N228" s="52"/>
      <c r="O228" s="52"/>
      <c r="P228" s="52"/>
      <c r="Q228" s="52"/>
      <c r="U228" s="52"/>
    </row>
    <row r="229">
      <c r="M229" s="52"/>
      <c r="N229" s="52"/>
      <c r="O229" s="52"/>
      <c r="P229" s="52"/>
      <c r="Q229" s="52"/>
      <c r="U229" s="52"/>
    </row>
    <row r="230">
      <c r="M230" s="52"/>
      <c r="N230" s="52"/>
      <c r="O230" s="52"/>
      <c r="P230" s="52"/>
      <c r="Q230" s="52"/>
      <c r="U230" s="52"/>
    </row>
    <row r="231">
      <c r="M231" s="52"/>
      <c r="N231" s="52"/>
      <c r="O231" s="52"/>
      <c r="P231" s="52"/>
      <c r="Q231" s="52"/>
      <c r="U231" s="52"/>
    </row>
    <row r="232">
      <c r="M232" s="52"/>
      <c r="N232" s="52"/>
      <c r="O232" s="52"/>
      <c r="P232" s="52"/>
      <c r="Q232" s="52"/>
      <c r="U232" s="52"/>
    </row>
    <row r="233">
      <c r="M233" s="52"/>
      <c r="N233" s="52"/>
      <c r="O233" s="52"/>
      <c r="P233" s="52"/>
      <c r="Q233" s="52"/>
      <c r="U233" s="52"/>
    </row>
    <row r="234">
      <c r="M234" s="52"/>
      <c r="N234" s="52"/>
      <c r="O234" s="52"/>
      <c r="P234" s="52"/>
      <c r="Q234" s="52"/>
      <c r="U234" s="52"/>
    </row>
    <row r="235">
      <c r="M235" s="52"/>
      <c r="N235" s="52"/>
      <c r="O235" s="52"/>
      <c r="P235" s="52"/>
      <c r="Q235" s="52"/>
      <c r="U235" s="52"/>
    </row>
    <row r="236">
      <c r="M236" s="52"/>
      <c r="N236" s="52"/>
      <c r="O236" s="52"/>
      <c r="P236" s="52"/>
      <c r="Q236" s="52"/>
      <c r="U236" s="52"/>
    </row>
    <row r="237">
      <c r="M237" s="52"/>
      <c r="N237" s="52"/>
      <c r="O237" s="52"/>
      <c r="P237" s="52"/>
      <c r="Q237" s="52"/>
      <c r="U237" s="52"/>
    </row>
    <row r="238">
      <c r="M238" s="52"/>
      <c r="N238" s="52"/>
      <c r="O238" s="52"/>
      <c r="P238" s="52"/>
      <c r="Q238" s="52"/>
      <c r="U238" s="52"/>
    </row>
    <row r="239">
      <c r="M239" s="52"/>
      <c r="N239" s="52"/>
      <c r="O239" s="52"/>
      <c r="P239" s="52"/>
      <c r="Q239" s="52"/>
      <c r="U239" s="52"/>
    </row>
    <row r="240">
      <c r="M240" s="52"/>
      <c r="N240" s="52"/>
      <c r="O240" s="52"/>
      <c r="P240" s="52"/>
      <c r="Q240" s="52"/>
      <c r="U240" s="52"/>
    </row>
    <row r="241">
      <c r="M241" s="52"/>
      <c r="N241" s="52"/>
      <c r="O241" s="52"/>
      <c r="P241" s="52"/>
      <c r="Q241" s="52"/>
      <c r="U241" s="52"/>
    </row>
    <row r="242">
      <c r="M242" s="52"/>
      <c r="N242" s="52"/>
      <c r="O242" s="52"/>
      <c r="P242" s="52"/>
      <c r="Q242" s="52"/>
      <c r="U242" s="52"/>
    </row>
    <row r="243">
      <c r="M243" s="52"/>
      <c r="N243" s="52"/>
      <c r="O243" s="52"/>
      <c r="P243" s="52"/>
      <c r="Q243" s="52"/>
      <c r="U243" s="52"/>
    </row>
    <row r="244">
      <c r="M244" s="52"/>
      <c r="N244" s="52"/>
      <c r="O244" s="52"/>
      <c r="P244" s="52"/>
      <c r="Q244" s="52"/>
      <c r="U244" s="52"/>
    </row>
    <row r="245">
      <c r="M245" s="52"/>
      <c r="N245" s="52"/>
      <c r="O245" s="52"/>
      <c r="P245" s="52"/>
      <c r="Q245" s="52"/>
      <c r="U245" s="52"/>
    </row>
    <row r="246">
      <c r="M246" s="52"/>
      <c r="N246" s="52"/>
      <c r="O246" s="52"/>
      <c r="P246" s="52"/>
      <c r="Q246" s="52"/>
      <c r="U246" s="52"/>
    </row>
    <row r="247">
      <c r="M247" s="52"/>
      <c r="N247" s="52"/>
      <c r="O247" s="52"/>
      <c r="P247" s="52"/>
      <c r="Q247" s="52"/>
      <c r="U247" s="52"/>
    </row>
    <row r="248">
      <c r="M248" s="52"/>
      <c r="N248" s="52"/>
      <c r="O248" s="52"/>
      <c r="P248" s="52"/>
      <c r="Q248" s="52"/>
      <c r="U248" s="52"/>
    </row>
    <row r="249">
      <c r="M249" s="52"/>
      <c r="N249" s="52"/>
      <c r="O249" s="52"/>
      <c r="P249" s="52"/>
      <c r="Q249" s="52"/>
      <c r="U249" s="52"/>
    </row>
    <row r="250">
      <c r="M250" s="52"/>
      <c r="N250" s="52"/>
      <c r="O250" s="52"/>
      <c r="P250" s="52"/>
      <c r="Q250" s="52"/>
      <c r="U250" s="52"/>
    </row>
    <row r="251">
      <c r="M251" s="52"/>
      <c r="N251" s="52"/>
      <c r="O251" s="52"/>
      <c r="P251" s="52"/>
      <c r="Q251" s="52"/>
      <c r="U251" s="52"/>
    </row>
    <row r="252">
      <c r="M252" s="52"/>
      <c r="N252" s="52"/>
      <c r="O252" s="52"/>
      <c r="P252" s="52"/>
      <c r="Q252" s="52"/>
      <c r="U252" s="52"/>
    </row>
    <row r="253">
      <c r="M253" s="52"/>
      <c r="N253" s="52"/>
      <c r="O253" s="52"/>
      <c r="P253" s="52"/>
      <c r="Q253" s="52"/>
      <c r="U253" s="52"/>
    </row>
    <row r="254">
      <c r="M254" s="52"/>
      <c r="N254" s="52"/>
      <c r="O254" s="52"/>
      <c r="P254" s="52"/>
      <c r="Q254" s="52"/>
      <c r="U254" s="52"/>
    </row>
    <row r="255">
      <c r="M255" s="52"/>
      <c r="N255" s="52"/>
      <c r="O255" s="52"/>
      <c r="P255" s="52"/>
      <c r="Q255" s="52"/>
      <c r="U255" s="52"/>
    </row>
    <row r="256">
      <c r="M256" s="52"/>
      <c r="N256" s="52"/>
      <c r="O256" s="52"/>
      <c r="P256" s="52"/>
      <c r="Q256" s="52"/>
      <c r="U256" s="52"/>
    </row>
    <row r="257">
      <c r="M257" s="52"/>
      <c r="N257" s="52"/>
      <c r="O257" s="52"/>
      <c r="P257" s="52"/>
      <c r="Q257" s="52"/>
      <c r="U257" s="52"/>
    </row>
    <row r="258">
      <c r="M258" s="52"/>
      <c r="N258" s="52"/>
      <c r="O258" s="52"/>
      <c r="P258" s="52"/>
      <c r="Q258" s="52"/>
      <c r="U258" s="52"/>
    </row>
    <row r="259">
      <c r="M259" s="52"/>
      <c r="N259" s="52"/>
      <c r="O259" s="52"/>
      <c r="P259" s="52"/>
      <c r="Q259" s="52"/>
      <c r="U259" s="52"/>
    </row>
    <row r="260">
      <c r="M260" s="52"/>
      <c r="N260" s="52"/>
      <c r="O260" s="52"/>
      <c r="P260" s="52"/>
      <c r="Q260" s="52"/>
      <c r="U260" s="52"/>
    </row>
    <row r="261">
      <c r="M261" s="52"/>
      <c r="N261" s="52"/>
      <c r="O261" s="52"/>
      <c r="P261" s="52"/>
      <c r="Q261" s="52"/>
      <c r="U261" s="52"/>
    </row>
    <row r="262">
      <c r="M262" s="52"/>
      <c r="N262" s="52"/>
      <c r="O262" s="52"/>
      <c r="P262" s="52"/>
      <c r="Q262" s="52"/>
      <c r="U262" s="52"/>
    </row>
    <row r="263">
      <c r="M263" s="52"/>
      <c r="N263" s="52"/>
      <c r="O263" s="52"/>
      <c r="P263" s="52"/>
      <c r="Q263" s="52"/>
      <c r="U263" s="52"/>
    </row>
    <row r="264">
      <c r="M264" s="52"/>
      <c r="N264" s="52"/>
      <c r="O264" s="52"/>
      <c r="P264" s="52"/>
      <c r="Q264" s="52"/>
      <c r="U264" s="52"/>
    </row>
    <row r="265">
      <c r="M265" s="52"/>
      <c r="N265" s="52"/>
      <c r="O265" s="52"/>
      <c r="P265" s="52"/>
      <c r="Q265" s="52"/>
      <c r="U265" s="52"/>
    </row>
    <row r="266">
      <c r="M266" s="52"/>
      <c r="N266" s="52"/>
      <c r="O266" s="52"/>
      <c r="P266" s="52"/>
      <c r="Q266" s="52"/>
      <c r="U266" s="52"/>
    </row>
    <row r="267">
      <c r="M267" s="52"/>
      <c r="N267" s="52"/>
      <c r="O267" s="52"/>
      <c r="P267" s="52"/>
      <c r="Q267" s="52"/>
      <c r="U267" s="52"/>
    </row>
    <row r="268">
      <c r="M268" s="52"/>
      <c r="N268" s="52"/>
      <c r="O268" s="52"/>
      <c r="P268" s="52"/>
      <c r="Q268" s="52"/>
      <c r="U268" s="52"/>
    </row>
    <row r="269">
      <c r="M269" s="52"/>
      <c r="N269" s="52"/>
      <c r="O269" s="52"/>
      <c r="P269" s="52"/>
      <c r="Q269" s="52"/>
      <c r="U269" s="52"/>
    </row>
    <row r="270">
      <c r="M270" s="52"/>
      <c r="N270" s="52"/>
      <c r="O270" s="52"/>
      <c r="P270" s="52"/>
      <c r="Q270" s="52"/>
      <c r="U270" s="52"/>
    </row>
    <row r="271">
      <c r="M271" s="52"/>
      <c r="N271" s="52"/>
      <c r="O271" s="52"/>
      <c r="P271" s="52"/>
      <c r="Q271" s="52"/>
      <c r="U271" s="52"/>
    </row>
    <row r="272">
      <c r="M272" s="52"/>
      <c r="N272" s="52"/>
      <c r="O272" s="52"/>
      <c r="P272" s="52"/>
      <c r="Q272" s="52"/>
      <c r="U272" s="52"/>
    </row>
    <row r="273">
      <c r="M273" s="52"/>
      <c r="N273" s="52"/>
      <c r="O273" s="52"/>
      <c r="P273" s="52"/>
      <c r="Q273" s="52"/>
      <c r="U273" s="52"/>
    </row>
    <row r="274">
      <c r="M274" s="52"/>
      <c r="N274" s="52"/>
      <c r="O274" s="52"/>
      <c r="P274" s="52"/>
      <c r="Q274" s="52"/>
      <c r="U274" s="52"/>
    </row>
    <row r="275">
      <c r="M275" s="52"/>
      <c r="N275" s="52"/>
      <c r="O275" s="52"/>
      <c r="P275" s="52"/>
      <c r="Q275" s="52"/>
      <c r="U275" s="52"/>
    </row>
    <row r="276">
      <c r="M276" s="52"/>
      <c r="N276" s="52"/>
      <c r="O276" s="52"/>
      <c r="P276" s="52"/>
      <c r="Q276" s="52"/>
      <c r="U276" s="52"/>
    </row>
    <row r="277">
      <c r="M277" s="52"/>
      <c r="N277" s="52"/>
      <c r="O277" s="52"/>
      <c r="P277" s="52"/>
      <c r="Q277" s="52"/>
      <c r="U277" s="52"/>
    </row>
    <row r="278">
      <c r="M278" s="52"/>
      <c r="N278" s="52"/>
      <c r="O278" s="52"/>
      <c r="P278" s="52"/>
      <c r="Q278" s="52"/>
      <c r="U278" s="52"/>
    </row>
    <row r="279">
      <c r="M279" s="52"/>
      <c r="N279" s="52"/>
      <c r="O279" s="52"/>
      <c r="P279" s="52"/>
      <c r="Q279" s="52"/>
      <c r="U279" s="52"/>
    </row>
    <row r="280">
      <c r="M280" s="52"/>
      <c r="N280" s="52"/>
      <c r="O280" s="52"/>
      <c r="P280" s="52"/>
      <c r="Q280" s="52"/>
      <c r="U280" s="52"/>
    </row>
    <row r="281">
      <c r="M281" s="52"/>
      <c r="N281" s="52"/>
      <c r="O281" s="52"/>
      <c r="P281" s="52"/>
      <c r="Q281" s="52"/>
      <c r="U281" s="52"/>
    </row>
    <row r="282">
      <c r="M282" s="52"/>
      <c r="N282" s="52"/>
      <c r="O282" s="52"/>
      <c r="P282" s="52"/>
      <c r="Q282" s="52"/>
      <c r="U282" s="52"/>
    </row>
    <row r="283">
      <c r="M283" s="52"/>
      <c r="N283" s="52"/>
      <c r="O283" s="52"/>
      <c r="P283" s="52"/>
      <c r="Q283" s="52"/>
      <c r="U283" s="52"/>
    </row>
    <row r="284">
      <c r="M284" s="52"/>
      <c r="N284" s="52"/>
      <c r="O284" s="52"/>
      <c r="P284" s="52"/>
      <c r="Q284" s="52"/>
      <c r="U284" s="52"/>
    </row>
    <row r="285">
      <c r="M285" s="52"/>
      <c r="N285" s="52"/>
      <c r="O285" s="52"/>
      <c r="P285" s="52"/>
      <c r="Q285" s="52"/>
      <c r="U285" s="52"/>
    </row>
    <row r="286">
      <c r="M286" s="52"/>
      <c r="N286" s="52"/>
      <c r="O286" s="52"/>
      <c r="P286" s="52"/>
      <c r="Q286" s="52"/>
      <c r="U286" s="52"/>
    </row>
    <row r="287">
      <c r="M287" s="52"/>
      <c r="N287" s="52"/>
      <c r="O287" s="52"/>
      <c r="P287" s="52"/>
      <c r="Q287" s="52"/>
      <c r="U287" s="52"/>
    </row>
    <row r="288">
      <c r="M288" s="52"/>
      <c r="N288" s="52"/>
      <c r="O288" s="52"/>
      <c r="P288" s="52"/>
      <c r="Q288" s="52"/>
      <c r="U288" s="52"/>
    </row>
    <row r="289">
      <c r="M289" s="52"/>
      <c r="N289" s="52"/>
      <c r="O289" s="52"/>
      <c r="P289" s="52"/>
      <c r="Q289" s="52"/>
      <c r="U289" s="52"/>
    </row>
    <row r="290">
      <c r="M290" s="52"/>
      <c r="N290" s="52"/>
      <c r="O290" s="52"/>
      <c r="P290" s="52"/>
      <c r="Q290" s="52"/>
      <c r="U290" s="52"/>
    </row>
    <row r="291">
      <c r="M291" s="52"/>
      <c r="N291" s="52"/>
      <c r="O291" s="52"/>
      <c r="P291" s="52"/>
      <c r="Q291" s="52"/>
      <c r="U291" s="52"/>
    </row>
    <row r="292">
      <c r="M292" s="52"/>
      <c r="N292" s="52"/>
      <c r="O292" s="52"/>
      <c r="P292" s="52"/>
      <c r="Q292" s="52"/>
      <c r="U292" s="52"/>
    </row>
    <row r="293">
      <c r="M293" s="52"/>
      <c r="N293" s="52"/>
      <c r="O293" s="52"/>
      <c r="P293" s="52"/>
      <c r="Q293" s="52"/>
      <c r="U293" s="52"/>
    </row>
    <row r="294">
      <c r="M294" s="52"/>
      <c r="N294" s="52"/>
      <c r="O294" s="52"/>
      <c r="P294" s="52"/>
      <c r="Q294" s="52"/>
      <c r="U294" s="52"/>
    </row>
    <row r="295">
      <c r="M295" s="52"/>
      <c r="N295" s="52"/>
      <c r="O295" s="52"/>
      <c r="P295" s="52"/>
      <c r="Q295" s="52"/>
      <c r="U295" s="52"/>
    </row>
    <row r="296">
      <c r="M296" s="52"/>
      <c r="N296" s="52"/>
      <c r="O296" s="52"/>
      <c r="P296" s="52"/>
      <c r="Q296" s="52"/>
      <c r="U296" s="52"/>
    </row>
    <row r="297">
      <c r="M297" s="52"/>
      <c r="N297" s="52"/>
      <c r="O297" s="52"/>
      <c r="P297" s="52"/>
      <c r="Q297" s="52"/>
      <c r="U297" s="52"/>
    </row>
    <row r="298">
      <c r="M298" s="52"/>
      <c r="N298" s="52"/>
      <c r="O298" s="52"/>
      <c r="P298" s="52"/>
      <c r="Q298" s="52"/>
      <c r="U298" s="52"/>
    </row>
    <row r="299">
      <c r="M299" s="52"/>
      <c r="N299" s="52"/>
      <c r="O299" s="52"/>
      <c r="P299" s="52"/>
      <c r="Q299" s="52"/>
      <c r="U299" s="52"/>
    </row>
    <row r="300">
      <c r="M300" s="52"/>
      <c r="N300" s="52"/>
      <c r="O300" s="52"/>
      <c r="P300" s="52"/>
      <c r="Q300" s="52"/>
      <c r="U300" s="52"/>
    </row>
    <row r="301">
      <c r="M301" s="52"/>
      <c r="N301" s="52"/>
      <c r="O301" s="52"/>
      <c r="P301" s="52"/>
      <c r="Q301" s="52"/>
      <c r="U301" s="52"/>
    </row>
    <row r="302">
      <c r="M302" s="52"/>
      <c r="N302" s="52"/>
      <c r="O302" s="52"/>
      <c r="P302" s="52"/>
      <c r="Q302" s="52"/>
      <c r="U302" s="52"/>
    </row>
    <row r="303">
      <c r="M303" s="52"/>
      <c r="N303" s="52"/>
      <c r="O303" s="52"/>
      <c r="P303" s="52"/>
      <c r="Q303" s="52"/>
      <c r="U303" s="52"/>
    </row>
    <row r="304">
      <c r="M304" s="52"/>
      <c r="N304" s="52"/>
      <c r="O304" s="52"/>
      <c r="P304" s="52"/>
      <c r="Q304" s="52"/>
      <c r="U304" s="52"/>
    </row>
    <row r="305">
      <c r="M305" s="52"/>
      <c r="N305" s="52"/>
      <c r="O305" s="52"/>
      <c r="P305" s="52"/>
      <c r="Q305" s="52"/>
      <c r="U305" s="52"/>
    </row>
    <row r="306">
      <c r="M306" s="52"/>
      <c r="N306" s="52"/>
      <c r="O306" s="52"/>
      <c r="P306" s="52"/>
      <c r="Q306" s="52"/>
      <c r="U306" s="52"/>
    </row>
    <row r="307">
      <c r="M307" s="52"/>
      <c r="N307" s="52"/>
      <c r="O307" s="52"/>
      <c r="P307" s="52"/>
      <c r="Q307" s="52"/>
      <c r="U307" s="52"/>
    </row>
    <row r="308">
      <c r="M308" s="52"/>
      <c r="N308" s="52"/>
      <c r="O308" s="52"/>
      <c r="P308" s="52"/>
      <c r="Q308" s="52"/>
      <c r="U308" s="52"/>
    </row>
    <row r="309">
      <c r="M309" s="52"/>
      <c r="N309" s="52"/>
      <c r="O309" s="52"/>
      <c r="P309" s="52"/>
      <c r="Q309" s="52"/>
      <c r="U309" s="52"/>
    </row>
    <row r="310">
      <c r="M310" s="52"/>
      <c r="N310" s="52"/>
      <c r="O310" s="52"/>
      <c r="P310" s="52"/>
      <c r="Q310" s="52"/>
      <c r="U310" s="52"/>
    </row>
    <row r="311">
      <c r="M311" s="52"/>
      <c r="N311" s="52"/>
      <c r="O311" s="52"/>
      <c r="P311" s="52"/>
      <c r="Q311" s="52"/>
      <c r="U311" s="52"/>
    </row>
    <row r="312">
      <c r="M312" s="52"/>
      <c r="N312" s="52"/>
      <c r="O312" s="52"/>
      <c r="P312" s="52"/>
      <c r="Q312" s="52"/>
      <c r="U312" s="52"/>
    </row>
    <row r="313">
      <c r="M313" s="52"/>
      <c r="N313" s="52"/>
      <c r="O313" s="52"/>
      <c r="P313" s="52"/>
      <c r="Q313" s="52"/>
      <c r="U313" s="52"/>
    </row>
    <row r="314">
      <c r="M314" s="52"/>
      <c r="N314" s="52"/>
      <c r="O314" s="52"/>
      <c r="P314" s="52"/>
      <c r="Q314" s="52"/>
      <c r="U314" s="52"/>
    </row>
    <row r="315">
      <c r="M315" s="52"/>
      <c r="N315" s="52"/>
      <c r="O315" s="52"/>
      <c r="P315" s="52"/>
      <c r="Q315" s="52"/>
      <c r="U315" s="52"/>
    </row>
    <row r="316">
      <c r="M316" s="52"/>
      <c r="N316" s="52"/>
      <c r="O316" s="52"/>
      <c r="P316" s="52"/>
      <c r="Q316" s="52"/>
      <c r="U316" s="52"/>
    </row>
    <row r="317">
      <c r="M317" s="52"/>
      <c r="N317" s="52"/>
      <c r="O317" s="52"/>
      <c r="P317" s="52"/>
      <c r="Q317" s="52"/>
      <c r="U317" s="52"/>
    </row>
    <row r="318">
      <c r="M318" s="52"/>
      <c r="N318" s="52"/>
      <c r="O318" s="52"/>
      <c r="P318" s="52"/>
      <c r="Q318" s="52"/>
      <c r="U318" s="52"/>
    </row>
    <row r="319">
      <c r="M319" s="52"/>
      <c r="N319" s="52"/>
      <c r="O319" s="52"/>
      <c r="P319" s="52"/>
      <c r="Q319" s="52"/>
      <c r="U319" s="52"/>
    </row>
    <row r="320">
      <c r="M320" s="52"/>
      <c r="N320" s="52"/>
      <c r="O320" s="52"/>
      <c r="P320" s="52"/>
      <c r="Q320" s="52"/>
      <c r="U320" s="52"/>
    </row>
    <row r="321">
      <c r="M321" s="52"/>
      <c r="N321" s="52"/>
      <c r="O321" s="52"/>
      <c r="P321" s="52"/>
      <c r="Q321" s="52"/>
      <c r="U321" s="52"/>
    </row>
    <row r="322">
      <c r="M322" s="52"/>
      <c r="N322" s="52"/>
      <c r="O322" s="52"/>
      <c r="P322" s="52"/>
      <c r="Q322" s="52"/>
      <c r="U322" s="52"/>
    </row>
    <row r="323">
      <c r="M323" s="52"/>
      <c r="N323" s="52"/>
      <c r="O323" s="52"/>
      <c r="P323" s="52"/>
      <c r="Q323" s="52"/>
      <c r="U323" s="52"/>
    </row>
    <row r="324">
      <c r="M324" s="52"/>
      <c r="N324" s="52"/>
      <c r="O324" s="52"/>
      <c r="P324" s="52"/>
      <c r="Q324" s="52"/>
      <c r="U324" s="52"/>
    </row>
    <row r="325">
      <c r="M325" s="52"/>
      <c r="N325" s="52"/>
      <c r="O325" s="52"/>
      <c r="P325" s="52"/>
      <c r="Q325" s="52"/>
      <c r="U325" s="52"/>
    </row>
    <row r="326">
      <c r="M326" s="52"/>
      <c r="N326" s="52"/>
      <c r="O326" s="52"/>
      <c r="P326" s="52"/>
      <c r="Q326" s="52"/>
      <c r="U326" s="52"/>
    </row>
    <row r="327">
      <c r="M327" s="52"/>
      <c r="N327" s="52"/>
      <c r="O327" s="52"/>
      <c r="P327" s="52"/>
      <c r="Q327" s="52"/>
      <c r="U327" s="52"/>
    </row>
    <row r="328">
      <c r="M328" s="52"/>
      <c r="N328" s="52"/>
      <c r="O328" s="52"/>
      <c r="P328" s="52"/>
      <c r="Q328" s="52"/>
      <c r="U328" s="52"/>
    </row>
    <row r="329">
      <c r="M329" s="52"/>
      <c r="N329" s="52"/>
      <c r="O329" s="52"/>
      <c r="P329" s="52"/>
      <c r="Q329" s="52"/>
      <c r="U329" s="52"/>
    </row>
    <row r="330">
      <c r="M330" s="52"/>
      <c r="N330" s="52"/>
      <c r="O330" s="52"/>
      <c r="P330" s="52"/>
      <c r="Q330" s="52"/>
      <c r="U330" s="52"/>
    </row>
    <row r="331">
      <c r="M331" s="52"/>
      <c r="N331" s="52"/>
      <c r="O331" s="52"/>
      <c r="P331" s="52"/>
      <c r="Q331" s="52"/>
      <c r="U331" s="52"/>
    </row>
    <row r="332">
      <c r="M332" s="52"/>
      <c r="N332" s="52"/>
      <c r="O332" s="52"/>
      <c r="P332" s="52"/>
      <c r="Q332" s="52"/>
      <c r="U332" s="52"/>
    </row>
    <row r="333">
      <c r="M333" s="52"/>
      <c r="N333" s="52"/>
      <c r="O333" s="52"/>
      <c r="P333" s="52"/>
      <c r="Q333" s="52"/>
      <c r="U333" s="52"/>
    </row>
    <row r="334">
      <c r="M334" s="52"/>
      <c r="N334" s="52"/>
      <c r="O334" s="52"/>
      <c r="P334" s="52"/>
      <c r="Q334" s="52"/>
      <c r="U334" s="52"/>
    </row>
    <row r="335">
      <c r="M335" s="52"/>
      <c r="N335" s="52"/>
      <c r="O335" s="52"/>
      <c r="P335" s="52"/>
      <c r="Q335" s="52"/>
      <c r="U335" s="52"/>
    </row>
    <row r="336">
      <c r="M336" s="52"/>
      <c r="N336" s="52"/>
      <c r="O336" s="52"/>
      <c r="P336" s="52"/>
      <c r="Q336" s="52"/>
      <c r="U336" s="52"/>
    </row>
    <row r="337">
      <c r="M337" s="52"/>
      <c r="N337" s="52"/>
      <c r="O337" s="52"/>
      <c r="P337" s="52"/>
      <c r="Q337" s="52"/>
      <c r="U337" s="52"/>
    </row>
    <row r="338">
      <c r="M338" s="52"/>
      <c r="N338" s="52"/>
      <c r="O338" s="52"/>
      <c r="P338" s="52"/>
      <c r="Q338" s="52"/>
      <c r="U338" s="52"/>
    </row>
    <row r="339">
      <c r="M339" s="52"/>
      <c r="N339" s="52"/>
      <c r="O339" s="52"/>
      <c r="P339" s="52"/>
      <c r="Q339" s="52"/>
      <c r="U339" s="52"/>
    </row>
    <row r="340">
      <c r="M340" s="52"/>
      <c r="N340" s="52"/>
      <c r="O340" s="52"/>
      <c r="P340" s="52"/>
      <c r="Q340" s="52"/>
      <c r="U340" s="52"/>
    </row>
    <row r="341">
      <c r="M341" s="52"/>
      <c r="N341" s="52"/>
      <c r="O341" s="52"/>
      <c r="P341" s="52"/>
      <c r="Q341" s="52"/>
      <c r="U341" s="52"/>
    </row>
    <row r="342">
      <c r="M342" s="52"/>
      <c r="N342" s="52"/>
      <c r="O342" s="52"/>
      <c r="P342" s="52"/>
      <c r="Q342" s="52"/>
      <c r="U342" s="52"/>
    </row>
    <row r="343">
      <c r="M343" s="52"/>
      <c r="N343" s="52"/>
      <c r="O343" s="52"/>
      <c r="P343" s="52"/>
      <c r="Q343" s="52"/>
      <c r="U343" s="52"/>
    </row>
    <row r="344">
      <c r="M344" s="52"/>
      <c r="N344" s="52"/>
      <c r="O344" s="52"/>
      <c r="P344" s="52"/>
      <c r="Q344" s="52"/>
      <c r="U344" s="52"/>
    </row>
    <row r="345">
      <c r="M345" s="52"/>
      <c r="N345" s="52"/>
      <c r="O345" s="52"/>
      <c r="P345" s="52"/>
      <c r="Q345" s="52"/>
      <c r="U345" s="52"/>
    </row>
    <row r="346">
      <c r="M346" s="52"/>
      <c r="N346" s="52"/>
      <c r="O346" s="52"/>
      <c r="P346" s="52"/>
      <c r="Q346" s="52"/>
      <c r="U346" s="52"/>
    </row>
    <row r="347">
      <c r="M347" s="52"/>
      <c r="N347" s="52"/>
      <c r="O347" s="52"/>
      <c r="P347" s="52"/>
      <c r="Q347" s="52"/>
      <c r="U347" s="52"/>
    </row>
    <row r="348">
      <c r="M348" s="52"/>
      <c r="N348" s="52"/>
      <c r="O348" s="52"/>
      <c r="P348" s="52"/>
      <c r="Q348" s="52"/>
      <c r="U348" s="52"/>
    </row>
    <row r="349">
      <c r="M349" s="52"/>
      <c r="N349" s="52"/>
      <c r="O349" s="52"/>
      <c r="P349" s="52"/>
      <c r="Q349" s="52"/>
      <c r="U349" s="52"/>
    </row>
    <row r="350">
      <c r="M350" s="52"/>
      <c r="N350" s="52"/>
      <c r="O350" s="52"/>
      <c r="P350" s="52"/>
      <c r="Q350" s="52"/>
      <c r="U350" s="52"/>
    </row>
    <row r="351">
      <c r="M351" s="52"/>
      <c r="N351" s="52"/>
      <c r="O351" s="52"/>
      <c r="P351" s="52"/>
      <c r="Q351" s="52"/>
      <c r="U351" s="52"/>
    </row>
    <row r="352">
      <c r="M352" s="52"/>
      <c r="N352" s="52"/>
      <c r="O352" s="52"/>
      <c r="P352" s="52"/>
      <c r="Q352" s="52"/>
      <c r="U352" s="52"/>
    </row>
    <row r="353">
      <c r="M353" s="52"/>
      <c r="N353" s="52"/>
      <c r="O353" s="52"/>
      <c r="P353" s="52"/>
      <c r="Q353" s="52"/>
      <c r="U353" s="52"/>
    </row>
    <row r="354">
      <c r="M354" s="52"/>
      <c r="N354" s="52"/>
      <c r="O354" s="52"/>
      <c r="P354" s="52"/>
      <c r="Q354" s="52"/>
      <c r="U354" s="52"/>
    </row>
    <row r="355">
      <c r="M355" s="52"/>
      <c r="N355" s="52"/>
      <c r="O355" s="52"/>
      <c r="P355" s="52"/>
      <c r="Q355" s="52"/>
      <c r="U355" s="52"/>
    </row>
    <row r="356">
      <c r="M356" s="52"/>
      <c r="N356" s="52"/>
      <c r="O356" s="52"/>
      <c r="P356" s="52"/>
      <c r="Q356" s="52"/>
      <c r="U356" s="52"/>
    </row>
    <row r="357">
      <c r="M357" s="52"/>
      <c r="N357" s="52"/>
      <c r="O357" s="52"/>
      <c r="P357" s="52"/>
      <c r="Q357" s="52"/>
      <c r="U357" s="52"/>
    </row>
    <row r="358">
      <c r="M358" s="52"/>
      <c r="N358" s="52"/>
      <c r="O358" s="52"/>
      <c r="P358" s="52"/>
      <c r="Q358" s="52"/>
      <c r="U358" s="52"/>
    </row>
    <row r="359">
      <c r="M359" s="52"/>
      <c r="N359" s="52"/>
      <c r="O359" s="52"/>
      <c r="P359" s="52"/>
      <c r="Q359" s="52"/>
      <c r="U359" s="52"/>
    </row>
    <row r="360">
      <c r="M360" s="52"/>
      <c r="N360" s="52"/>
      <c r="O360" s="52"/>
      <c r="P360" s="52"/>
      <c r="Q360" s="52"/>
      <c r="U360" s="52"/>
    </row>
    <row r="361">
      <c r="M361" s="52"/>
      <c r="N361" s="52"/>
      <c r="O361" s="52"/>
      <c r="P361" s="52"/>
      <c r="Q361" s="52"/>
      <c r="U361" s="52"/>
    </row>
    <row r="362">
      <c r="M362" s="52"/>
      <c r="N362" s="52"/>
      <c r="O362" s="52"/>
      <c r="P362" s="52"/>
      <c r="Q362" s="52"/>
      <c r="U362" s="52"/>
    </row>
    <row r="363">
      <c r="M363" s="52"/>
      <c r="N363" s="52"/>
      <c r="O363" s="52"/>
      <c r="P363" s="52"/>
      <c r="Q363" s="52"/>
      <c r="U363" s="52"/>
    </row>
    <row r="364">
      <c r="M364" s="52"/>
      <c r="N364" s="52"/>
      <c r="O364" s="52"/>
      <c r="P364" s="52"/>
      <c r="Q364" s="52"/>
      <c r="U364" s="52"/>
    </row>
    <row r="365">
      <c r="M365" s="52"/>
      <c r="N365" s="52"/>
      <c r="O365" s="52"/>
      <c r="P365" s="52"/>
      <c r="Q365" s="52"/>
      <c r="U365" s="52"/>
    </row>
    <row r="366">
      <c r="M366" s="52"/>
      <c r="N366" s="52"/>
      <c r="O366" s="52"/>
      <c r="P366" s="52"/>
      <c r="Q366" s="52"/>
      <c r="U366" s="52"/>
    </row>
    <row r="367">
      <c r="M367" s="52"/>
      <c r="N367" s="52"/>
      <c r="O367" s="52"/>
      <c r="P367" s="52"/>
      <c r="Q367" s="52"/>
      <c r="U367" s="52"/>
    </row>
    <row r="368">
      <c r="M368" s="52"/>
      <c r="N368" s="52"/>
      <c r="O368" s="52"/>
      <c r="P368" s="52"/>
      <c r="Q368" s="52"/>
      <c r="U368" s="52"/>
    </row>
    <row r="369">
      <c r="M369" s="52"/>
      <c r="N369" s="52"/>
      <c r="O369" s="52"/>
      <c r="P369" s="52"/>
      <c r="Q369" s="52"/>
      <c r="U369" s="52"/>
    </row>
    <row r="370">
      <c r="M370" s="52"/>
      <c r="N370" s="52"/>
      <c r="O370" s="52"/>
      <c r="P370" s="52"/>
      <c r="Q370" s="52"/>
      <c r="U370" s="52"/>
    </row>
    <row r="371">
      <c r="M371" s="52"/>
      <c r="N371" s="52"/>
      <c r="O371" s="52"/>
      <c r="P371" s="52"/>
      <c r="Q371" s="52"/>
      <c r="U371" s="52"/>
    </row>
    <row r="372">
      <c r="M372" s="52"/>
      <c r="N372" s="52"/>
      <c r="O372" s="52"/>
      <c r="P372" s="52"/>
      <c r="Q372" s="52"/>
      <c r="U372" s="52"/>
    </row>
    <row r="373">
      <c r="M373" s="52"/>
      <c r="N373" s="52"/>
      <c r="O373" s="52"/>
      <c r="P373" s="52"/>
      <c r="Q373" s="52"/>
      <c r="U373" s="52"/>
    </row>
    <row r="374">
      <c r="M374" s="52"/>
      <c r="N374" s="52"/>
      <c r="O374" s="52"/>
      <c r="P374" s="52"/>
      <c r="Q374" s="52"/>
      <c r="U374" s="52"/>
    </row>
    <row r="375">
      <c r="M375" s="52"/>
      <c r="N375" s="52"/>
      <c r="O375" s="52"/>
      <c r="P375" s="52"/>
      <c r="Q375" s="52"/>
      <c r="U375" s="52"/>
    </row>
    <row r="376">
      <c r="M376" s="52"/>
      <c r="N376" s="52"/>
      <c r="O376" s="52"/>
      <c r="P376" s="52"/>
      <c r="Q376" s="52"/>
      <c r="U376" s="52"/>
    </row>
    <row r="377">
      <c r="M377" s="52"/>
      <c r="N377" s="52"/>
      <c r="O377" s="52"/>
      <c r="P377" s="52"/>
      <c r="Q377" s="52"/>
      <c r="U377" s="52"/>
    </row>
    <row r="378">
      <c r="M378" s="52"/>
      <c r="N378" s="52"/>
      <c r="O378" s="52"/>
      <c r="P378" s="52"/>
      <c r="Q378" s="52"/>
      <c r="U378" s="52"/>
    </row>
    <row r="379">
      <c r="M379" s="52"/>
      <c r="N379" s="52"/>
      <c r="O379" s="52"/>
      <c r="P379" s="52"/>
      <c r="Q379" s="52"/>
      <c r="U379" s="52"/>
    </row>
    <row r="380">
      <c r="M380" s="52"/>
      <c r="N380" s="52"/>
      <c r="O380" s="52"/>
      <c r="P380" s="52"/>
      <c r="Q380" s="52"/>
      <c r="U380" s="52"/>
    </row>
    <row r="381">
      <c r="M381" s="52"/>
      <c r="N381" s="52"/>
      <c r="O381" s="52"/>
      <c r="P381" s="52"/>
      <c r="Q381" s="52"/>
      <c r="U381" s="52"/>
    </row>
    <row r="382">
      <c r="M382" s="52"/>
      <c r="N382" s="52"/>
      <c r="O382" s="52"/>
      <c r="P382" s="52"/>
      <c r="Q382" s="52"/>
      <c r="U382" s="52"/>
    </row>
    <row r="383">
      <c r="M383" s="52"/>
      <c r="N383" s="52"/>
      <c r="O383" s="52"/>
      <c r="P383" s="52"/>
      <c r="Q383" s="52"/>
      <c r="U383" s="52"/>
    </row>
    <row r="384">
      <c r="M384" s="52"/>
      <c r="N384" s="52"/>
      <c r="O384" s="52"/>
      <c r="P384" s="52"/>
      <c r="Q384" s="52"/>
      <c r="U384" s="52"/>
    </row>
    <row r="385">
      <c r="M385" s="52"/>
      <c r="N385" s="52"/>
      <c r="O385" s="52"/>
      <c r="P385" s="52"/>
      <c r="Q385" s="52"/>
      <c r="U385" s="52"/>
    </row>
    <row r="386">
      <c r="M386" s="52"/>
      <c r="N386" s="52"/>
      <c r="O386" s="52"/>
      <c r="P386" s="52"/>
      <c r="Q386" s="52"/>
      <c r="U386" s="52"/>
    </row>
    <row r="387">
      <c r="M387" s="52"/>
      <c r="N387" s="52"/>
      <c r="O387" s="52"/>
      <c r="P387" s="52"/>
      <c r="Q387" s="52"/>
      <c r="U387" s="52"/>
    </row>
    <row r="388">
      <c r="M388" s="52"/>
      <c r="N388" s="52"/>
      <c r="O388" s="52"/>
      <c r="P388" s="52"/>
      <c r="Q388" s="52"/>
      <c r="U388" s="52"/>
    </row>
    <row r="389">
      <c r="M389" s="52"/>
      <c r="N389" s="52"/>
      <c r="O389" s="52"/>
      <c r="P389" s="52"/>
      <c r="Q389" s="52"/>
      <c r="U389" s="52"/>
    </row>
    <row r="390">
      <c r="M390" s="52"/>
      <c r="N390" s="52"/>
      <c r="O390" s="52"/>
      <c r="P390" s="52"/>
      <c r="Q390" s="52"/>
      <c r="U390" s="52"/>
    </row>
    <row r="391">
      <c r="M391" s="52"/>
      <c r="N391" s="52"/>
      <c r="O391" s="52"/>
      <c r="P391" s="52"/>
      <c r="Q391" s="52"/>
      <c r="U391" s="52"/>
    </row>
    <row r="392">
      <c r="M392" s="52"/>
      <c r="N392" s="52"/>
      <c r="O392" s="52"/>
      <c r="P392" s="52"/>
      <c r="Q392" s="52"/>
      <c r="U392" s="52"/>
    </row>
    <row r="393">
      <c r="M393" s="52"/>
      <c r="N393" s="52"/>
      <c r="O393" s="52"/>
      <c r="P393" s="52"/>
      <c r="Q393" s="52"/>
      <c r="U393" s="52"/>
    </row>
    <row r="394">
      <c r="M394" s="52"/>
      <c r="N394" s="52"/>
      <c r="O394" s="52"/>
      <c r="P394" s="52"/>
      <c r="Q394" s="52"/>
      <c r="U394" s="52"/>
    </row>
    <row r="395">
      <c r="M395" s="52"/>
      <c r="N395" s="52"/>
      <c r="O395" s="52"/>
      <c r="P395" s="52"/>
      <c r="Q395" s="52"/>
      <c r="U395" s="52"/>
    </row>
    <row r="396">
      <c r="M396" s="52"/>
      <c r="N396" s="52"/>
      <c r="O396" s="52"/>
      <c r="P396" s="52"/>
      <c r="Q396" s="52"/>
      <c r="U396" s="52"/>
    </row>
    <row r="397">
      <c r="M397" s="52"/>
      <c r="N397" s="52"/>
      <c r="O397" s="52"/>
      <c r="P397" s="52"/>
      <c r="Q397" s="52"/>
      <c r="U397" s="52"/>
    </row>
    <row r="398">
      <c r="M398" s="52"/>
      <c r="N398" s="52"/>
      <c r="O398" s="52"/>
      <c r="P398" s="52"/>
      <c r="Q398" s="52"/>
      <c r="U398" s="52"/>
    </row>
    <row r="399">
      <c r="M399" s="52"/>
      <c r="N399" s="52"/>
      <c r="O399" s="52"/>
      <c r="P399" s="52"/>
      <c r="Q399" s="52"/>
      <c r="U399" s="52"/>
    </row>
    <row r="400">
      <c r="M400" s="52"/>
      <c r="N400" s="52"/>
      <c r="O400" s="52"/>
      <c r="P400" s="52"/>
      <c r="Q400" s="52"/>
      <c r="U400" s="52"/>
    </row>
    <row r="401">
      <c r="M401" s="52"/>
      <c r="N401" s="52"/>
      <c r="O401" s="52"/>
      <c r="P401" s="52"/>
      <c r="Q401" s="52"/>
      <c r="U401" s="52"/>
    </row>
    <row r="402">
      <c r="M402" s="52"/>
      <c r="N402" s="52"/>
      <c r="O402" s="52"/>
      <c r="P402" s="52"/>
      <c r="Q402" s="52"/>
      <c r="U402" s="52"/>
    </row>
    <row r="403">
      <c r="M403" s="52"/>
      <c r="N403" s="52"/>
      <c r="O403" s="52"/>
      <c r="P403" s="52"/>
      <c r="Q403" s="52"/>
      <c r="U403" s="52"/>
    </row>
    <row r="404">
      <c r="M404" s="52"/>
      <c r="N404" s="52"/>
      <c r="O404" s="52"/>
      <c r="P404" s="52"/>
      <c r="Q404" s="52"/>
      <c r="U404" s="52"/>
    </row>
    <row r="405">
      <c r="M405" s="52"/>
      <c r="N405" s="52"/>
      <c r="O405" s="52"/>
      <c r="P405" s="52"/>
      <c r="Q405" s="52"/>
      <c r="U405" s="52"/>
    </row>
    <row r="406">
      <c r="M406" s="52"/>
      <c r="N406" s="52"/>
      <c r="O406" s="52"/>
      <c r="P406" s="52"/>
      <c r="Q406" s="52"/>
      <c r="U406" s="52"/>
    </row>
    <row r="407">
      <c r="M407" s="52"/>
      <c r="N407" s="52"/>
      <c r="O407" s="52"/>
      <c r="P407" s="52"/>
      <c r="Q407" s="52"/>
      <c r="U407" s="52"/>
    </row>
    <row r="408">
      <c r="M408" s="52"/>
      <c r="N408" s="52"/>
      <c r="O408" s="52"/>
      <c r="P408" s="52"/>
      <c r="Q408" s="52"/>
      <c r="U408" s="52"/>
    </row>
    <row r="409">
      <c r="M409" s="52"/>
      <c r="N409" s="52"/>
      <c r="O409" s="52"/>
      <c r="P409" s="52"/>
      <c r="Q409" s="52"/>
      <c r="U409" s="52"/>
    </row>
    <row r="410">
      <c r="M410" s="52"/>
      <c r="N410" s="52"/>
      <c r="O410" s="52"/>
      <c r="P410" s="52"/>
      <c r="Q410" s="52"/>
      <c r="U410" s="52"/>
    </row>
    <row r="411">
      <c r="M411" s="52"/>
      <c r="N411" s="52"/>
      <c r="O411" s="52"/>
      <c r="P411" s="52"/>
      <c r="Q411" s="52"/>
      <c r="U411" s="52"/>
    </row>
    <row r="412">
      <c r="M412" s="52"/>
      <c r="N412" s="52"/>
      <c r="O412" s="52"/>
      <c r="P412" s="52"/>
      <c r="Q412" s="52"/>
      <c r="U412" s="52"/>
    </row>
    <row r="413">
      <c r="M413" s="52"/>
      <c r="N413" s="52"/>
      <c r="O413" s="52"/>
      <c r="P413" s="52"/>
      <c r="Q413" s="52"/>
      <c r="U413" s="52"/>
    </row>
    <row r="414">
      <c r="M414" s="52"/>
      <c r="N414" s="52"/>
      <c r="O414" s="52"/>
      <c r="P414" s="52"/>
      <c r="Q414" s="52"/>
      <c r="U414" s="52"/>
    </row>
    <row r="415">
      <c r="M415" s="52"/>
      <c r="N415" s="52"/>
      <c r="O415" s="52"/>
      <c r="P415" s="52"/>
      <c r="Q415" s="52"/>
      <c r="U415" s="52"/>
    </row>
    <row r="416">
      <c r="M416" s="52"/>
      <c r="N416" s="52"/>
      <c r="O416" s="52"/>
      <c r="P416" s="52"/>
      <c r="Q416" s="52"/>
      <c r="U416" s="52"/>
    </row>
    <row r="417">
      <c r="M417" s="52"/>
      <c r="N417" s="52"/>
      <c r="O417" s="52"/>
      <c r="P417" s="52"/>
      <c r="Q417" s="52"/>
      <c r="U417" s="52"/>
    </row>
    <row r="418">
      <c r="M418" s="52"/>
      <c r="N418" s="52"/>
      <c r="O418" s="52"/>
      <c r="P418" s="52"/>
      <c r="Q418" s="52"/>
      <c r="U418" s="52"/>
    </row>
    <row r="419">
      <c r="M419" s="52"/>
      <c r="N419" s="52"/>
      <c r="O419" s="52"/>
      <c r="P419" s="52"/>
      <c r="Q419" s="52"/>
      <c r="U419" s="52"/>
    </row>
    <row r="420">
      <c r="M420" s="52"/>
      <c r="N420" s="52"/>
      <c r="O420" s="52"/>
      <c r="P420" s="52"/>
      <c r="Q420" s="52"/>
      <c r="U420" s="52"/>
    </row>
    <row r="421">
      <c r="M421" s="52"/>
      <c r="N421" s="52"/>
      <c r="O421" s="52"/>
      <c r="P421" s="52"/>
      <c r="Q421" s="52"/>
      <c r="U421" s="52"/>
    </row>
    <row r="422">
      <c r="M422" s="52"/>
      <c r="N422" s="52"/>
      <c r="O422" s="52"/>
      <c r="P422" s="52"/>
      <c r="Q422" s="52"/>
      <c r="U422" s="52"/>
    </row>
    <row r="423">
      <c r="M423" s="52"/>
      <c r="N423" s="52"/>
      <c r="O423" s="52"/>
      <c r="P423" s="52"/>
      <c r="Q423" s="52"/>
      <c r="U423" s="52"/>
    </row>
    <row r="424">
      <c r="M424" s="52"/>
      <c r="N424" s="52"/>
      <c r="O424" s="52"/>
      <c r="P424" s="52"/>
      <c r="Q424" s="52"/>
      <c r="U424" s="52"/>
    </row>
    <row r="425">
      <c r="M425" s="52"/>
      <c r="N425" s="52"/>
      <c r="O425" s="52"/>
      <c r="P425" s="52"/>
      <c r="Q425" s="52"/>
      <c r="U425" s="52"/>
    </row>
    <row r="426">
      <c r="M426" s="52"/>
      <c r="N426" s="52"/>
      <c r="O426" s="52"/>
      <c r="P426" s="52"/>
      <c r="Q426" s="52"/>
      <c r="U426" s="52"/>
    </row>
    <row r="427">
      <c r="M427" s="52"/>
      <c r="N427" s="52"/>
      <c r="O427" s="52"/>
      <c r="P427" s="52"/>
      <c r="Q427" s="52"/>
      <c r="U427" s="52"/>
    </row>
    <row r="428">
      <c r="M428" s="52"/>
      <c r="N428" s="52"/>
      <c r="O428" s="52"/>
      <c r="P428" s="52"/>
      <c r="Q428" s="52"/>
      <c r="U428" s="52"/>
    </row>
    <row r="429">
      <c r="M429" s="52"/>
      <c r="N429" s="52"/>
      <c r="O429" s="52"/>
      <c r="P429" s="52"/>
      <c r="Q429" s="52"/>
      <c r="U429" s="52"/>
    </row>
    <row r="430">
      <c r="M430" s="52"/>
      <c r="N430" s="52"/>
      <c r="O430" s="52"/>
      <c r="P430" s="52"/>
      <c r="Q430" s="52"/>
      <c r="U430" s="52"/>
    </row>
    <row r="431">
      <c r="M431" s="52"/>
      <c r="N431" s="52"/>
      <c r="O431" s="52"/>
      <c r="P431" s="52"/>
      <c r="Q431" s="52"/>
      <c r="U431" s="52"/>
    </row>
    <row r="432">
      <c r="M432" s="52"/>
      <c r="N432" s="52"/>
      <c r="O432" s="52"/>
      <c r="P432" s="52"/>
      <c r="Q432" s="52"/>
      <c r="U432" s="52"/>
    </row>
    <row r="433">
      <c r="M433" s="52"/>
      <c r="N433" s="52"/>
      <c r="O433" s="52"/>
      <c r="P433" s="52"/>
      <c r="Q433" s="52"/>
      <c r="U433" s="52"/>
    </row>
    <row r="434">
      <c r="M434" s="52"/>
      <c r="N434" s="52"/>
      <c r="O434" s="52"/>
      <c r="P434" s="52"/>
      <c r="Q434" s="52"/>
      <c r="U434" s="52"/>
    </row>
    <row r="435">
      <c r="M435" s="52"/>
      <c r="N435" s="52"/>
      <c r="O435" s="52"/>
      <c r="P435" s="52"/>
      <c r="Q435" s="52"/>
      <c r="U435" s="52"/>
    </row>
    <row r="436">
      <c r="M436" s="52"/>
      <c r="N436" s="52"/>
      <c r="O436" s="52"/>
      <c r="P436" s="52"/>
      <c r="Q436" s="52"/>
      <c r="U436" s="52"/>
    </row>
    <row r="437">
      <c r="M437" s="52"/>
      <c r="N437" s="52"/>
      <c r="O437" s="52"/>
      <c r="P437" s="52"/>
      <c r="Q437" s="52"/>
      <c r="U437" s="52"/>
    </row>
    <row r="438">
      <c r="M438" s="52"/>
      <c r="N438" s="52"/>
      <c r="O438" s="52"/>
      <c r="P438" s="52"/>
      <c r="Q438" s="52"/>
      <c r="U438" s="52"/>
    </row>
    <row r="439">
      <c r="M439" s="52"/>
      <c r="N439" s="52"/>
      <c r="O439" s="52"/>
      <c r="P439" s="52"/>
      <c r="Q439" s="52"/>
      <c r="U439" s="52"/>
    </row>
    <row r="440">
      <c r="M440" s="52"/>
      <c r="N440" s="52"/>
      <c r="O440" s="52"/>
      <c r="P440" s="52"/>
      <c r="Q440" s="52"/>
      <c r="U440" s="52"/>
    </row>
    <row r="441">
      <c r="M441" s="52"/>
      <c r="N441" s="52"/>
      <c r="O441" s="52"/>
      <c r="P441" s="52"/>
      <c r="Q441" s="52"/>
      <c r="U441" s="52"/>
    </row>
    <row r="442">
      <c r="M442" s="52"/>
      <c r="N442" s="52"/>
      <c r="O442" s="52"/>
      <c r="P442" s="52"/>
      <c r="Q442" s="52"/>
      <c r="U442" s="52"/>
    </row>
    <row r="443">
      <c r="M443" s="52"/>
      <c r="N443" s="52"/>
      <c r="O443" s="52"/>
      <c r="P443" s="52"/>
      <c r="Q443" s="52"/>
      <c r="U443" s="52"/>
    </row>
    <row r="444">
      <c r="M444" s="52"/>
      <c r="N444" s="52"/>
      <c r="O444" s="52"/>
      <c r="P444" s="52"/>
      <c r="Q444" s="52"/>
      <c r="U444" s="52"/>
    </row>
    <row r="445">
      <c r="M445" s="52"/>
      <c r="N445" s="52"/>
      <c r="O445" s="52"/>
      <c r="P445" s="52"/>
      <c r="Q445" s="52"/>
      <c r="U445" s="52"/>
    </row>
    <row r="446">
      <c r="M446" s="52"/>
      <c r="N446" s="52"/>
      <c r="O446" s="52"/>
      <c r="P446" s="52"/>
      <c r="Q446" s="52"/>
      <c r="U446" s="52"/>
    </row>
    <row r="447">
      <c r="M447" s="52"/>
      <c r="N447" s="52"/>
      <c r="O447" s="52"/>
      <c r="P447" s="52"/>
      <c r="Q447" s="52"/>
      <c r="U447" s="52"/>
    </row>
    <row r="448">
      <c r="M448" s="52"/>
      <c r="N448" s="52"/>
      <c r="O448" s="52"/>
      <c r="P448" s="52"/>
      <c r="Q448" s="52"/>
      <c r="U448" s="52"/>
    </row>
    <row r="449">
      <c r="M449" s="52"/>
      <c r="N449" s="52"/>
      <c r="O449" s="52"/>
      <c r="P449" s="52"/>
      <c r="Q449" s="52"/>
      <c r="U449" s="52"/>
    </row>
    <row r="450">
      <c r="M450" s="52"/>
      <c r="N450" s="52"/>
      <c r="O450" s="52"/>
      <c r="P450" s="52"/>
      <c r="Q450" s="52"/>
      <c r="U450" s="52"/>
    </row>
    <row r="451">
      <c r="M451" s="52"/>
      <c r="N451" s="52"/>
      <c r="O451" s="52"/>
      <c r="P451" s="52"/>
      <c r="Q451" s="52"/>
      <c r="U451" s="52"/>
    </row>
    <row r="452">
      <c r="M452" s="52"/>
      <c r="N452" s="52"/>
      <c r="O452" s="52"/>
      <c r="P452" s="52"/>
      <c r="Q452" s="52"/>
      <c r="U452" s="52"/>
    </row>
    <row r="453">
      <c r="M453" s="52"/>
      <c r="N453" s="52"/>
      <c r="O453" s="52"/>
      <c r="P453" s="52"/>
      <c r="Q453" s="52"/>
      <c r="U453" s="52"/>
    </row>
    <row r="454">
      <c r="M454" s="52"/>
      <c r="N454" s="52"/>
      <c r="O454" s="52"/>
      <c r="P454" s="52"/>
      <c r="Q454" s="52"/>
      <c r="U454" s="52"/>
    </row>
    <row r="455">
      <c r="M455" s="52"/>
      <c r="N455" s="52"/>
      <c r="O455" s="52"/>
      <c r="P455" s="52"/>
      <c r="Q455" s="52"/>
      <c r="U455" s="52"/>
    </row>
    <row r="456">
      <c r="M456" s="52"/>
      <c r="N456" s="52"/>
      <c r="O456" s="52"/>
      <c r="P456" s="52"/>
      <c r="Q456" s="52"/>
      <c r="U456" s="52"/>
    </row>
    <row r="457">
      <c r="M457" s="52"/>
      <c r="N457" s="52"/>
      <c r="O457" s="52"/>
      <c r="P457" s="52"/>
      <c r="Q457" s="52"/>
      <c r="U457" s="52"/>
    </row>
    <row r="458">
      <c r="M458" s="52"/>
      <c r="N458" s="52"/>
      <c r="O458" s="52"/>
      <c r="P458" s="52"/>
      <c r="Q458" s="52"/>
      <c r="U458" s="52"/>
    </row>
    <row r="459">
      <c r="M459" s="52"/>
      <c r="N459" s="52"/>
      <c r="O459" s="52"/>
      <c r="P459" s="52"/>
      <c r="Q459" s="52"/>
      <c r="U459" s="52"/>
    </row>
    <row r="460">
      <c r="M460" s="52"/>
      <c r="N460" s="52"/>
      <c r="O460" s="52"/>
      <c r="P460" s="52"/>
      <c r="Q460" s="52"/>
      <c r="U460" s="52"/>
    </row>
    <row r="461">
      <c r="M461" s="52"/>
      <c r="N461" s="52"/>
      <c r="O461" s="52"/>
      <c r="P461" s="52"/>
      <c r="Q461" s="52"/>
      <c r="U461" s="52"/>
    </row>
    <row r="462">
      <c r="M462" s="52"/>
      <c r="N462" s="52"/>
      <c r="O462" s="52"/>
      <c r="P462" s="52"/>
      <c r="Q462" s="52"/>
      <c r="U462" s="52"/>
    </row>
    <row r="463">
      <c r="M463" s="52"/>
      <c r="N463" s="52"/>
      <c r="O463" s="52"/>
      <c r="P463" s="52"/>
      <c r="Q463" s="52"/>
      <c r="U463" s="52"/>
    </row>
    <row r="464">
      <c r="M464" s="52"/>
      <c r="N464" s="52"/>
      <c r="O464" s="52"/>
      <c r="P464" s="52"/>
      <c r="Q464" s="52"/>
      <c r="U464" s="52"/>
    </row>
    <row r="465">
      <c r="M465" s="52"/>
      <c r="N465" s="52"/>
      <c r="O465" s="52"/>
      <c r="P465" s="52"/>
      <c r="Q465" s="52"/>
      <c r="U465" s="52"/>
    </row>
    <row r="466">
      <c r="M466" s="52"/>
      <c r="N466" s="52"/>
      <c r="O466" s="52"/>
      <c r="P466" s="52"/>
      <c r="Q466" s="52"/>
      <c r="U466" s="52"/>
    </row>
    <row r="467">
      <c r="M467" s="52"/>
      <c r="N467" s="52"/>
      <c r="O467" s="52"/>
      <c r="P467" s="52"/>
      <c r="Q467" s="52"/>
      <c r="U467" s="52"/>
    </row>
    <row r="468">
      <c r="M468" s="52"/>
      <c r="N468" s="52"/>
      <c r="O468" s="52"/>
      <c r="P468" s="52"/>
      <c r="Q468" s="52"/>
      <c r="U468" s="52"/>
    </row>
    <row r="469">
      <c r="M469" s="52"/>
      <c r="N469" s="52"/>
      <c r="O469" s="52"/>
      <c r="P469" s="52"/>
      <c r="Q469" s="52"/>
      <c r="U469" s="52"/>
    </row>
    <row r="470">
      <c r="M470" s="52"/>
      <c r="N470" s="52"/>
      <c r="O470" s="52"/>
      <c r="P470" s="52"/>
      <c r="Q470" s="52"/>
      <c r="U470" s="52"/>
    </row>
    <row r="471">
      <c r="M471" s="52"/>
      <c r="N471" s="52"/>
      <c r="O471" s="52"/>
      <c r="P471" s="52"/>
      <c r="Q471" s="52"/>
      <c r="U471" s="52"/>
    </row>
    <row r="472">
      <c r="M472" s="52"/>
      <c r="N472" s="52"/>
      <c r="O472" s="52"/>
      <c r="P472" s="52"/>
      <c r="Q472" s="52"/>
      <c r="U472" s="52"/>
    </row>
    <row r="473">
      <c r="M473" s="52"/>
      <c r="N473" s="52"/>
      <c r="O473" s="52"/>
      <c r="P473" s="52"/>
      <c r="Q473" s="52"/>
      <c r="U473" s="52"/>
    </row>
    <row r="474">
      <c r="M474" s="52"/>
      <c r="N474" s="52"/>
      <c r="O474" s="52"/>
      <c r="P474" s="52"/>
      <c r="Q474" s="52"/>
      <c r="U474" s="52"/>
    </row>
    <row r="475">
      <c r="M475" s="52"/>
      <c r="N475" s="52"/>
      <c r="O475" s="52"/>
      <c r="P475" s="52"/>
      <c r="Q475" s="52"/>
      <c r="U475" s="52"/>
    </row>
    <row r="476">
      <c r="M476" s="52"/>
      <c r="N476" s="52"/>
      <c r="O476" s="52"/>
      <c r="P476" s="52"/>
      <c r="Q476" s="52"/>
      <c r="U476" s="52"/>
    </row>
    <row r="477">
      <c r="M477" s="52"/>
      <c r="N477" s="52"/>
      <c r="O477" s="52"/>
      <c r="P477" s="52"/>
      <c r="Q477" s="52"/>
      <c r="U477" s="52"/>
    </row>
    <row r="478">
      <c r="M478" s="52"/>
      <c r="N478" s="52"/>
      <c r="O478" s="52"/>
      <c r="P478" s="52"/>
      <c r="Q478" s="52"/>
      <c r="U478" s="52"/>
    </row>
    <row r="479">
      <c r="M479" s="52"/>
      <c r="N479" s="52"/>
      <c r="O479" s="52"/>
      <c r="P479" s="52"/>
      <c r="Q479" s="52"/>
      <c r="U479" s="52"/>
    </row>
    <row r="480">
      <c r="M480" s="52"/>
      <c r="N480" s="52"/>
      <c r="O480" s="52"/>
      <c r="P480" s="52"/>
      <c r="Q480" s="52"/>
      <c r="U480" s="52"/>
    </row>
    <row r="481">
      <c r="M481" s="52"/>
      <c r="N481" s="52"/>
      <c r="O481" s="52"/>
      <c r="P481" s="52"/>
      <c r="Q481" s="52"/>
      <c r="U481" s="52"/>
    </row>
    <row r="482">
      <c r="M482" s="52"/>
      <c r="N482" s="52"/>
      <c r="O482" s="52"/>
      <c r="P482" s="52"/>
      <c r="Q482" s="52"/>
      <c r="U482" s="52"/>
    </row>
    <row r="483">
      <c r="M483" s="52"/>
      <c r="N483" s="52"/>
      <c r="O483" s="52"/>
      <c r="P483" s="52"/>
      <c r="Q483" s="52"/>
      <c r="U483" s="52"/>
    </row>
    <row r="484">
      <c r="M484" s="52"/>
      <c r="N484" s="52"/>
      <c r="O484" s="52"/>
      <c r="P484" s="52"/>
      <c r="Q484" s="52"/>
      <c r="U484" s="52"/>
    </row>
    <row r="485">
      <c r="M485" s="52"/>
      <c r="N485" s="52"/>
      <c r="O485" s="52"/>
      <c r="P485" s="52"/>
      <c r="Q485" s="52"/>
      <c r="U485" s="52"/>
    </row>
    <row r="486">
      <c r="M486" s="52"/>
      <c r="N486" s="52"/>
      <c r="O486" s="52"/>
      <c r="P486" s="52"/>
      <c r="Q486" s="52"/>
      <c r="U486" s="52"/>
    </row>
    <row r="487">
      <c r="M487" s="52"/>
      <c r="N487" s="52"/>
      <c r="O487" s="52"/>
      <c r="P487" s="52"/>
      <c r="Q487" s="52"/>
      <c r="U487" s="52"/>
    </row>
    <row r="488">
      <c r="M488" s="52"/>
      <c r="N488" s="52"/>
      <c r="O488" s="52"/>
      <c r="P488" s="52"/>
      <c r="Q488" s="52"/>
      <c r="U488" s="52"/>
    </row>
    <row r="489">
      <c r="M489" s="52"/>
      <c r="N489" s="52"/>
      <c r="O489" s="52"/>
      <c r="P489" s="52"/>
      <c r="Q489" s="52"/>
      <c r="U489" s="52"/>
    </row>
    <row r="490">
      <c r="M490" s="52"/>
      <c r="N490" s="52"/>
      <c r="O490" s="52"/>
      <c r="P490" s="52"/>
      <c r="Q490" s="52"/>
      <c r="U490" s="52"/>
    </row>
    <row r="491">
      <c r="M491" s="52"/>
      <c r="N491" s="52"/>
      <c r="O491" s="52"/>
      <c r="P491" s="52"/>
      <c r="Q491" s="52"/>
      <c r="U491" s="52"/>
    </row>
    <row r="492">
      <c r="M492" s="52"/>
      <c r="N492" s="52"/>
      <c r="O492" s="52"/>
      <c r="P492" s="52"/>
      <c r="Q492" s="52"/>
      <c r="U492" s="52"/>
    </row>
    <row r="493">
      <c r="M493" s="52"/>
      <c r="N493" s="52"/>
      <c r="O493" s="52"/>
      <c r="P493" s="52"/>
      <c r="Q493" s="52"/>
      <c r="U493" s="52"/>
    </row>
    <row r="494">
      <c r="M494" s="52"/>
      <c r="N494" s="52"/>
      <c r="O494" s="52"/>
      <c r="P494" s="52"/>
      <c r="Q494" s="52"/>
      <c r="U494" s="52"/>
    </row>
    <row r="495">
      <c r="M495" s="52"/>
      <c r="N495" s="52"/>
      <c r="O495" s="52"/>
      <c r="P495" s="52"/>
      <c r="Q495" s="52"/>
      <c r="U495" s="52"/>
    </row>
    <row r="496">
      <c r="M496" s="52"/>
      <c r="N496" s="52"/>
      <c r="O496" s="52"/>
      <c r="P496" s="52"/>
      <c r="Q496" s="52"/>
      <c r="U496" s="52"/>
    </row>
    <row r="497">
      <c r="M497" s="52"/>
      <c r="N497" s="52"/>
      <c r="O497" s="52"/>
      <c r="P497" s="52"/>
      <c r="Q497" s="52"/>
      <c r="U497" s="52"/>
    </row>
    <row r="498">
      <c r="M498" s="52"/>
      <c r="N498" s="52"/>
      <c r="O498" s="52"/>
      <c r="P498" s="52"/>
      <c r="Q498" s="52"/>
      <c r="U498" s="52"/>
    </row>
    <row r="499">
      <c r="M499" s="52"/>
      <c r="N499" s="52"/>
      <c r="O499" s="52"/>
      <c r="P499" s="52"/>
      <c r="Q499" s="52"/>
      <c r="U499" s="52"/>
    </row>
    <row r="500">
      <c r="M500" s="52"/>
      <c r="N500" s="52"/>
      <c r="O500" s="52"/>
      <c r="P500" s="52"/>
      <c r="Q500" s="52"/>
      <c r="U500" s="52"/>
    </row>
    <row r="501">
      <c r="M501" s="52"/>
      <c r="N501" s="52"/>
      <c r="O501" s="52"/>
      <c r="P501" s="52"/>
      <c r="Q501" s="52"/>
      <c r="U501" s="52"/>
    </row>
    <row r="502">
      <c r="M502" s="52"/>
      <c r="N502" s="52"/>
      <c r="O502" s="52"/>
      <c r="P502" s="52"/>
      <c r="Q502" s="52"/>
      <c r="U502" s="52"/>
    </row>
    <row r="503">
      <c r="M503" s="52"/>
      <c r="N503" s="52"/>
      <c r="O503" s="52"/>
      <c r="P503" s="52"/>
      <c r="Q503" s="52"/>
      <c r="U503" s="52"/>
    </row>
    <row r="504">
      <c r="M504" s="52"/>
      <c r="N504" s="52"/>
      <c r="O504" s="52"/>
      <c r="P504" s="52"/>
      <c r="Q504" s="52"/>
      <c r="U504" s="52"/>
    </row>
    <row r="505">
      <c r="M505" s="52"/>
      <c r="N505" s="52"/>
      <c r="O505" s="52"/>
      <c r="P505" s="52"/>
      <c r="Q505" s="52"/>
      <c r="U505" s="52"/>
    </row>
    <row r="506">
      <c r="M506" s="52"/>
      <c r="N506" s="52"/>
      <c r="O506" s="52"/>
      <c r="P506" s="52"/>
      <c r="Q506" s="52"/>
      <c r="U506" s="52"/>
    </row>
    <row r="507">
      <c r="M507" s="52"/>
      <c r="N507" s="52"/>
      <c r="O507" s="52"/>
      <c r="P507" s="52"/>
      <c r="Q507" s="52"/>
      <c r="U507" s="52"/>
    </row>
    <row r="508">
      <c r="M508" s="52"/>
      <c r="N508" s="52"/>
      <c r="O508" s="52"/>
      <c r="P508" s="52"/>
      <c r="Q508" s="52"/>
      <c r="U508" s="52"/>
    </row>
    <row r="509">
      <c r="M509" s="52"/>
      <c r="N509" s="52"/>
      <c r="O509" s="52"/>
      <c r="P509" s="52"/>
      <c r="Q509" s="52"/>
      <c r="U509" s="52"/>
    </row>
    <row r="510">
      <c r="M510" s="52"/>
      <c r="N510" s="52"/>
      <c r="O510" s="52"/>
      <c r="P510" s="52"/>
      <c r="Q510" s="52"/>
      <c r="U510" s="52"/>
    </row>
    <row r="511">
      <c r="M511" s="52"/>
      <c r="N511" s="52"/>
      <c r="O511" s="52"/>
      <c r="P511" s="52"/>
      <c r="Q511" s="52"/>
      <c r="U511" s="52"/>
    </row>
    <row r="512">
      <c r="M512" s="52"/>
      <c r="N512" s="52"/>
      <c r="O512" s="52"/>
      <c r="P512" s="52"/>
      <c r="Q512" s="52"/>
      <c r="U512" s="52"/>
    </row>
    <row r="513">
      <c r="M513" s="52"/>
      <c r="N513" s="52"/>
      <c r="O513" s="52"/>
      <c r="P513" s="52"/>
      <c r="Q513" s="52"/>
      <c r="U513" s="52"/>
    </row>
    <row r="514">
      <c r="M514" s="52"/>
      <c r="N514" s="52"/>
      <c r="O514" s="52"/>
      <c r="P514" s="52"/>
      <c r="Q514" s="52"/>
      <c r="U514" s="52"/>
    </row>
    <row r="515">
      <c r="M515" s="52"/>
      <c r="N515" s="52"/>
      <c r="O515" s="52"/>
      <c r="P515" s="52"/>
      <c r="Q515" s="52"/>
      <c r="U515" s="52"/>
    </row>
    <row r="516">
      <c r="M516" s="52"/>
      <c r="N516" s="52"/>
      <c r="O516" s="52"/>
      <c r="P516" s="52"/>
      <c r="Q516" s="52"/>
      <c r="U516" s="52"/>
    </row>
    <row r="517">
      <c r="M517" s="52"/>
      <c r="N517" s="52"/>
      <c r="O517" s="52"/>
      <c r="P517" s="52"/>
      <c r="Q517" s="52"/>
      <c r="U517" s="52"/>
    </row>
    <row r="518">
      <c r="M518" s="52"/>
      <c r="N518" s="52"/>
      <c r="O518" s="52"/>
      <c r="P518" s="52"/>
      <c r="Q518" s="52"/>
      <c r="U518" s="52"/>
    </row>
    <row r="519">
      <c r="M519" s="52"/>
      <c r="N519" s="52"/>
      <c r="O519" s="52"/>
      <c r="P519" s="52"/>
      <c r="Q519" s="52"/>
      <c r="U519" s="52"/>
    </row>
    <row r="520">
      <c r="M520" s="52"/>
      <c r="N520" s="52"/>
      <c r="O520" s="52"/>
      <c r="P520" s="52"/>
      <c r="Q520" s="52"/>
      <c r="U520" s="52"/>
    </row>
    <row r="521">
      <c r="M521" s="52"/>
      <c r="N521" s="52"/>
      <c r="O521" s="52"/>
      <c r="P521" s="52"/>
      <c r="Q521" s="52"/>
      <c r="U521" s="52"/>
    </row>
    <row r="522">
      <c r="M522" s="52"/>
      <c r="N522" s="52"/>
      <c r="O522" s="52"/>
      <c r="P522" s="52"/>
      <c r="Q522" s="52"/>
      <c r="U522" s="52"/>
    </row>
    <row r="523">
      <c r="M523" s="52"/>
      <c r="N523" s="52"/>
      <c r="O523" s="52"/>
      <c r="P523" s="52"/>
      <c r="Q523" s="52"/>
      <c r="U523" s="52"/>
    </row>
    <row r="524">
      <c r="M524" s="52"/>
      <c r="N524" s="52"/>
      <c r="O524" s="52"/>
      <c r="P524" s="52"/>
      <c r="Q524" s="52"/>
      <c r="U524" s="52"/>
    </row>
    <row r="525">
      <c r="M525" s="52"/>
      <c r="N525" s="52"/>
      <c r="O525" s="52"/>
      <c r="P525" s="52"/>
      <c r="Q525" s="52"/>
      <c r="U525" s="52"/>
    </row>
    <row r="526">
      <c r="M526" s="52"/>
      <c r="N526" s="52"/>
      <c r="O526" s="52"/>
      <c r="P526" s="52"/>
      <c r="Q526" s="52"/>
      <c r="U526" s="52"/>
    </row>
    <row r="527">
      <c r="M527" s="52"/>
      <c r="N527" s="52"/>
      <c r="O527" s="52"/>
      <c r="P527" s="52"/>
      <c r="Q527" s="52"/>
      <c r="U527" s="52"/>
    </row>
    <row r="528">
      <c r="M528" s="52"/>
      <c r="N528" s="52"/>
      <c r="O528" s="52"/>
      <c r="P528" s="52"/>
      <c r="Q528" s="52"/>
      <c r="U528" s="52"/>
    </row>
    <row r="529">
      <c r="M529" s="52"/>
      <c r="N529" s="52"/>
      <c r="O529" s="52"/>
      <c r="P529" s="52"/>
      <c r="Q529" s="52"/>
      <c r="U529" s="52"/>
    </row>
    <row r="530">
      <c r="M530" s="52"/>
      <c r="N530" s="52"/>
      <c r="O530" s="52"/>
      <c r="P530" s="52"/>
      <c r="Q530" s="52"/>
      <c r="U530" s="52"/>
    </row>
    <row r="531">
      <c r="M531" s="52"/>
      <c r="N531" s="52"/>
      <c r="O531" s="52"/>
      <c r="P531" s="52"/>
      <c r="Q531" s="52"/>
      <c r="U531" s="52"/>
    </row>
    <row r="532">
      <c r="M532" s="52"/>
      <c r="N532" s="52"/>
      <c r="O532" s="52"/>
      <c r="P532" s="52"/>
      <c r="Q532" s="52"/>
      <c r="U532" s="52"/>
    </row>
    <row r="533">
      <c r="M533" s="52"/>
      <c r="N533" s="52"/>
      <c r="O533" s="52"/>
      <c r="P533" s="52"/>
      <c r="Q533" s="52"/>
      <c r="U533" s="52"/>
    </row>
    <row r="534">
      <c r="M534" s="52"/>
      <c r="N534" s="52"/>
      <c r="O534" s="52"/>
      <c r="P534" s="52"/>
      <c r="Q534" s="52"/>
      <c r="U534" s="52"/>
    </row>
    <row r="535">
      <c r="M535" s="52"/>
      <c r="N535" s="52"/>
      <c r="O535" s="52"/>
      <c r="P535" s="52"/>
      <c r="Q535" s="52"/>
      <c r="U535" s="52"/>
    </row>
    <row r="536">
      <c r="M536" s="52"/>
      <c r="N536" s="52"/>
      <c r="O536" s="52"/>
      <c r="P536" s="52"/>
      <c r="Q536" s="52"/>
      <c r="U536" s="52"/>
    </row>
    <row r="537">
      <c r="M537" s="52"/>
      <c r="N537" s="52"/>
      <c r="O537" s="52"/>
      <c r="P537" s="52"/>
      <c r="Q537" s="52"/>
      <c r="U537" s="52"/>
    </row>
    <row r="538">
      <c r="M538" s="52"/>
      <c r="N538" s="52"/>
      <c r="O538" s="52"/>
      <c r="P538" s="52"/>
      <c r="Q538" s="52"/>
      <c r="U538" s="52"/>
    </row>
    <row r="539">
      <c r="M539" s="52"/>
      <c r="N539" s="52"/>
      <c r="O539" s="52"/>
      <c r="P539" s="52"/>
      <c r="Q539" s="52"/>
      <c r="U539" s="52"/>
    </row>
    <row r="540">
      <c r="M540" s="52"/>
      <c r="N540" s="52"/>
      <c r="O540" s="52"/>
      <c r="P540" s="52"/>
      <c r="Q540" s="52"/>
      <c r="U540" s="52"/>
    </row>
    <row r="541">
      <c r="M541" s="52"/>
      <c r="N541" s="52"/>
      <c r="O541" s="52"/>
      <c r="P541" s="52"/>
      <c r="Q541" s="52"/>
      <c r="U541" s="52"/>
    </row>
    <row r="542">
      <c r="M542" s="52"/>
      <c r="N542" s="52"/>
      <c r="O542" s="52"/>
      <c r="P542" s="52"/>
      <c r="Q542" s="52"/>
      <c r="U542" s="52"/>
    </row>
    <row r="543">
      <c r="M543" s="52"/>
      <c r="N543" s="52"/>
      <c r="O543" s="52"/>
      <c r="P543" s="52"/>
      <c r="Q543" s="52"/>
      <c r="U543" s="52"/>
    </row>
    <row r="544">
      <c r="M544" s="52"/>
      <c r="N544" s="52"/>
      <c r="O544" s="52"/>
      <c r="P544" s="52"/>
      <c r="Q544" s="52"/>
      <c r="U544" s="52"/>
    </row>
    <row r="545">
      <c r="M545" s="52"/>
      <c r="N545" s="52"/>
      <c r="O545" s="52"/>
      <c r="P545" s="52"/>
      <c r="Q545" s="52"/>
      <c r="U545" s="52"/>
    </row>
    <row r="546">
      <c r="M546" s="52"/>
      <c r="N546" s="52"/>
      <c r="O546" s="52"/>
      <c r="P546" s="52"/>
      <c r="Q546" s="52"/>
      <c r="U546" s="52"/>
    </row>
    <row r="547">
      <c r="M547" s="52"/>
      <c r="N547" s="52"/>
      <c r="O547" s="52"/>
      <c r="P547" s="52"/>
      <c r="Q547" s="52"/>
      <c r="U547" s="52"/>
    </row>
    <row r="548">
      <c r="M548" s="52"/>
      <c r="N548" s="52"/>
      <c r="O548" s="52"/>
      <c r="P548" s="52"/>
      <c r="Q548" s="52"/>
      <c r="U548" s="52"/>
    </row>
    <row r="549">
      <c r="M549" s="52"/>
      <c r="N549" s="52"/>
      <c r="O549" s="52"/>
      <c r="P549" s="52"/>
      <c r="Q549" s="52"/>
      <c r="U549" s="52"/>
    </row>
    <row r="550">
      <c r="M550" s="52"/>
      <c r="N550" s="52"/>
      <c r="O550" s="52"/>
      <c r="P550" s="52"/>
      <c r="Q550" s="52"/>
      <c r="U550" s="52"/>
    </row>
    <row r="551">
      <c r="M551" s="52"/>
      <c r="N551" s="52"/>
      <c r="O551" s="52"/>
      <c r="P551" s="52"/>
      <c r="Q551" s="52"/>
      <c r="U551" s="52"/>
    </row>
    <row r="552">
      <c r="M552" s="52"/>
      <c r="N552" s="52"/>
      <c r="O552" s="52"/>
      <c r="P552" s="52"/>
      <c r="Q552" s="52"/>
      <c r="U552" s="52"/>
    </row>
    <row r="553">
      <c r="M553" s="52"/>
      <c r="N553" s="52"/>
      <c r="O553" s="52"/>
      <c r="P553" s="52"/>
      <c r="Q553" s="52"/>
      <c r="U553" s="52"/>
    </row>
    <row r="554">
      <c r="M554" s="52"/>
      <c r="N554" s="52"/>
      <c r="O554" s="52"/>
      <c r="P554" s="52"/>
      <c r="Q554" s="52"/>
      <c r="U554" s="52"/>
    </row>
    <row r="555">
      <c r="M555" s="52"/>
      <c r="N555" s="52"/>
      <c r="O555" s="52"/>
      <c r="P555" s="52"/>
      <c r="Q555" s="52"/>
      <c r="U555" s="52"/>
    </row>
    <row r="556">
      <c r="M556" s="52"/>
      <c r="N556" s="52"/>
      <c r="O556" s="52"/>
      <c r="P556" s="52"/>
      <c r="Q556" s="52"/>
      <c r="U556" s="52"/>
    </row>
    <row r="557">
      <c r="M557" s="52"/>
      <c r="N557" s="52"/>
      <c r="O557" s="52"/>
      <c r="P557" s="52"/>
      <c r="Q557" s="52"/>
      <c r="U557" s="52"/>
    </row>
    <row r="558">
      <c r="M558" s="52"/>
      <c r="N558" s="52"/>
      <c r="O558" s="52"/>
      <c r="P558" s="52"/>
      <c r="Q558" s="52"/>
      <c r="U558" s="52"/>
    </row>
    <row r="559">
      <c r="M559" s="52"/>
      <c r="N559" s="52"/>
      <c r="O559" s="52"/>
      <c r="P559" s="52"/>
      <c r="Q559" s="52"/>
      <c r="U559" s="52"/>
    </row>
    <row r="560">
      <c r="M560" s="52"/>
      <c r="N560" s="52"/>
      <c r="O560" s="52"/>
      <c r="P560" s="52"/>
      <c r="Q560" s="52"/>
      <c r="U560" s="52"/>
    </row>
    <row r="561">
      <c r="M561" s="52"/>
      <c r="N561" s="52"/>
      <c r="O561" s="52"/>
      <c r="P561" s="52"/>
      <c r="Q561" s="52"/>
      <c r="U561" s="52"/>
    </row>
    <row r="562">
      <c r="M562" s="52"/>
      <c r="N562" s="52"/>
      <c r="O562" s="52"/>
      <c r="P562" s="52"/>
      <c r="Q562" s="52"/>
      <c r="U562" s="52"/>
    </row>
    <row r="563">
      <c r="M563" s="52"/>
      <c r="N563" s="52"/>
      <c r="O563" s="52"/>
      <c r="P563" s="52"/>
      <c r="Q563" s="52"/>
      <c r="U563" s="52"/>
    </row>
    <row r="564">
      <c r="M564" s="52"/>
      <c r="N564" s="52"/>
      <c r="O564" s="52"/>
      <c r="P564" s="52"/>
      <c r="Q564" s="52"/>
      <c r="U564" s="52"/>
    </row>
    <row r="565">
      <c r="M565" s="52"/>
      <c r="N565" s="52"/>
      <c r="O565" s="52"/>
      <c r="P565" s="52"/>
      <c r="Q565" s="52"/>
      <c r="U565" s="52"/>
    </row>
    <row r="566">
      <c r="M566" s="52"/>
      <c r="N566" s="52"/>
      <c r="O566" s="52"/>
      <c r="P566" s="52"/>
      <c r="Q566" s="52"/>
      <c r="U566" s="52"/>
    </row>
    <row r="567">
      <c r="M567" s="52"/>
      <c r="N567" s="52"/>
      <c r="O567" s="52"/>
      <c r="P567" s="52"/>
      <c r="Q567" s="52"/>
      <c r="U567" s="52"/>
    </row>
    <row r="568">
      <c r="M568" s="52"/>
      <c r="N568" s="52"/>
      <c r="O568" s="52"/>
      <c r="P568" s="52"/>
      <c r="Q568" s="52"/>
      <c r="U568" s="52"/>
    </row>
    <row r="569">
      <c r="M569" s="52"/>
      <c r="N569" s="52"/>
      <c r="O569" s="52"/>
      <c r="P569" s="52"/>
      <c r="Q569" s="52"/>
      <c r="U569" s="52"/>
    </row>
    <row r="570">
      <c r="M570" s="52"/>
      <c r="N570" s="52"/>
      <c r="O570" s="52"/>
      <c r="P570" s="52"/>
      <c r="Q570" s="52"/>
      <c r="U570" s="52"/>
    </row>
    <row r="571">
      <c r="M571" s="52"/>
      <c r="N571" s="52"/>
      <c r="O571" s="52"/>
      <c r="P571" s="52"/>
      <c r="Q571" s="52"/>
      <c r="U571" s="52"/>
    </row>
    <row r="572">
      <c r="M572" s="52"/>
      <c r="N572" s="52"/>
      <c r="O572" s="52"/>
      <c r="P572" s="52"/>
      <c r="Q572" s="52"/>
      <c r="U572" s="52"/>
    </row>
    <row r="573">
      <c r="M573" s="52"/>
      <c r="N573" s="52"/>
      <c r="O573" s="52"/>
      <c r="P573" s="52"/>
      <c r="Q573" s="52"/>
      <c r="U573" s="52"/>
    </row>
    <row r="574">
      <c r="M574" s="52"/>
      <c r="N574" s="52"/>
      <c r="O574" s="52"/>
      <c r="P574" s="52"/>
      <c r="Q574" s="52"/>
      <c r="U574" s="52"/>
    </row>
    <row r="575">
      <c r="M575" s="52"/>
      <c r="N575" s="52"/>
      <c r="O575" s="52"/>
      <c r="P575" s="52"/>
      <c r="Q575" s="52"/>
      <c r="U575" s="52"/>
    </row>
    <row r="576">
      <c r="M576" s="52"/>
      <c r="N576" s="52"/>
      <c r="O576" s="52"/>
      <c r="P576" s="52"/>
      <c r="Q576" s="52"/>
      <c r="U576" s="52"/>
    </row>
    <row r="577">
      <c r="M577" s="52"/>
      <c r="N577" s="52"/>
      <c r="O577" s="52"/>
      <c r="P577" s="52"/>
      <c r="Q577" s="52"/>
      <c r="U577" s="52"/>
    </row>
    <row r="578">
      <c r="M578" s="52"/>
      <c r="N578" s="52"/>
      <c r="O578" s="52"/>
      <c r="P578" s="52"/>
      <c r="Q578" s="52"/>
      <c r="U578" s="52"/>
    </row>
    <row r="579">
      <c r="M579" s="52"/>
      <c r="N579" s="52"/>
      <c r="O579" s="52"/>
      <c r="P579" s="52"/>
      <c r="Q579" s="52"/>
      <c r="U579" s="52"/>
    </row>
    <row r="580">
      <c r="M580" s="52"/>
      <c r="N580" s="52"/>
      <c r="O580" s="52"/>
      <c r="P580" s="52"/>
      <c r="Q580" s="52"/>
      <c r="U580" s="52"/>
    </row>
    <row r="581">
      <c r="M581" s="52"/>
      <c r="N581" s="52"/>
      <c r="O581" s="52"/>
      <c r="P581" s="52"/>
      <c r="Q581" s="52"/>
      <c r="U581" s="52"/>
    </row>
    <row r="582">
      <c r="M582" s="52"/>
      <c r="N582" s="52"/>
      <c r="O582" s="52"/>
      <c r="P582" s="52"/>
      <c r="Q582" s="52"/>
      <c r="U582" s="52"/>
    </row>
    <row r="583">
      <c r="M583" s="52"/>
      <c r="N583" s="52"/>
      <c r="O583" s="52"/>
      <c r="P583" s="52"/>
      <c r="Q583" s="52"/>
      <c r="U583" s="52"/>
    </row>
    <row r="584">
      <c r="M584" s="52"/>
      <c r="N584" s="52"/>
      <c r="O584" s="52"/>
      <c r="P584" s="52"/>
      <c r="Q584" s="52"/>
      <c r="U584" s="52"/>
    </row>
    <row r="585">
      <c r="M585" s="52"/>
      <c r="N585" s="52"/>
      <c r="O585" s="52"/>
      <c r="P585" s="52"/>
      <c r="Q585" s="52"/>
      <c r="U585" s="52"/>
    </row>
    <row r="586">
      <c r="M586" s="52"/>
      <c r="N586" s="52"/>
      <c r="O586" s="52"/>
      <c r="P586" s="52"/>
      <c r="Q586" s="52"/>
      <c r="U586" s="52"/>
    </row>
    <row r="587">
      <c r="M587" s="52"/>
      <c r="N587" s="52"/>
      <c r="O587" s="52"/>
      <c r="P587" s="52"/>
      <c r="Q587" s="52"/>
      <c r="U587" s="52"/>
    </row>
    <row r="588">
      <c r="M588" s="52"/>
      <c r="N588" s="52"/>
      <c r="O588" s="52"/>
      <c r="P588" s="52"/>
      <c r="Q588" s="52"/>
      <c r="U588" s="52"/>
    </row>
    <row r="589">
      <c r="M589" s="52"/>
      <c r="N589" s="52"/>
      <c r="O589" s="52"/>
      <c r="P589" s="52"/>
      <c r="Q589" s="52"/>
      <c r="U589" s="52"/>
    </row>
    <row r="590">
      <c r="M590" s="52"/>
      <c r="N590" s="52"/>
      <c r="O590" s="52"/>
      <c r="P590" s="52"/>
      <c r="Q590" s="52"/>
      <c r="U590" s="52"/>
    </row>
    <row r="591">
      <c r="M591" s="52"/>
      <c r="N591" s="52"/>
      <c r="O591" s="52"/>
      <c r="P591" s="52"/>
      <c r="Q591" s="52"/>
      <c r="U591" s="52"/>
    </row>
    <row r="592">
      <c r="M592" s="52"/>
      <c r="N592" s="52"/>
      <c r="O592" s="52"/>
      <c r="P592" s="52"/>
      <c r="Q592" s="52"/>
      <c r="U592" s="52"/>
    </row>
    <row r="593">
      <c r="M593" s="52"/>
      <c r="N593" s="52"/>
      <c r="O593" s="52"/>
      <c r="P593" s="52"/>
      <c r="Q593" s="52"/>
      <c r="U593" s="52"/>
    </row>
    <row r="594">
      <c r="M594" s="52"/>
      <c r="N594" s="52"/>
      <c r="O594" s="52"/>
      <c r="P594" s="52"/>
      <c r="Q594" s="52"/>
      <c r="U594" s="52"/>
    </row>
    <row r="595">
      <c r="M595" s="52"/>
      <c r="N595" s="52"/>
      <c r="O595" s="52"/>
      <c r="P595" s="52"/>
      <c r="Q595" s="52"/>
      <c r="U595" s="52"/>
    </row>
    <row r="596">
      <c r="M596" s="52"/>
      <c r="N596" s="52"/>
      <c r="O596" s="52"/>
      <c r="P596" s="52"/>
      <c r="Q596" s="52"/>
      <c r="U596" s="52"/>
    </row>
    <row r="597">
      <c r="M597" s="52"/>
      <c r="N597" s="52"/>
      <c r="O597" s="52"/>
      <c r="P597" s="52"/>
      <c r="Q597" s="52"/>
      <c r="U597" s="52"/>
    </row>
    <row r="598">
      <c r="M598" s="52"/>
      <c r="N598" s="52"/>
      <c r="O598" s="52"/>
      <c r="P598" s="52"/>
      <c r="Q598" s="52"/>
      <c r="U598" s="52"/>
    </row>
    <row r="599">
      <c r="M599" s="52"/>
      <c r="N599" s="52"/>
      <c r="O599" s="52"/>
      <c r="P599" s="52"/>
      <c r="Q599" s="52"/>
      <c r="U599" s="52"/>
    </row>
    <row r="600">
      <c r="M600" s="52"/>
      <c r="N600" s="52"/>
      <c r="O600" s="52"/>
      <c r="P600" s="52"/>
      <c r="Q600" s="52"/>
      <c r="U600" s="52"/>
    </row>
    <row r="601">
      <c r="M601" s="52"/>
      <c r="N601" s="52"/>
      <c r="O601" s="52"/>
      <c r="P601" s="52"/>
      <c r="Q601" s="52"/>
      <c r="U601" s="52"/>
    </row>
    <row r="602">
      <c r="M602" s="52"/>
      <c r="N602" s="52"/>
      <c r="O602" s="52"/>
      <c r="P602" s="52"/>
      <c r="Q602" s="52"/>
      <c r="U602" s="52"/>
    </row>
    <row r="603">
      <c r="M603" s="52"/>
      <c r="N603" s="52"/>
      <c r="O603" s="52"/>
      <c r="P603" s="52"/>
      <c r="Q603" s="52"/>
      <c r="U603" s="52"/>
    </row>
    <row r="604">
      <c r="M604" s="52"/>
      <c r="N604" s="52"/>
      <c r="O604" s="52"/>
      <c r="P604" s="52"/>
      <c r="Q604" s="52"/>
      <c r="U604" s="52"/>
    </row>
    <row r="605">
      <c r="M605" s="52"/>
      <c r="N605" s="52"/>
      <c r="O605" s="52"/>
      <c r="P605" s="52"/>
      <c r="Q605" s="52"/>
      <c r="U605" s="52"/>
    </row>
    <row r="606">
      <c r="M606" s="52"/>
      <c r="N606" s="52"/>
      <c r="O606" s="52"/>
      <c r="P606" s="52"/>
      <c r="Q606" s="52"/>
      <c r="U606" s="52"/>
    </row>
    <row r="607">
      <c r="M607" s="52"/>
      <c r="N607" s="52"/>
      <c r="O607" s="52"/>
      <c r="P607" s="52"/>
      <c r="Q607" s="52"/>
      <c r="U607" s="52"/>
    </row>
    <row r="608">
      <c r="M608" s="52"/>
      <c r="N608" s="52"/>
      <c r="O608" s="52"/>
      <c r="P608" s="52"/>
      <c r="Q608" s="52"/>
      <c r="U608" s="52"/>
    </row>
    <row r="609">
      <c r="M609" s="52"/>
      <c r="N609" s="52"/>
      <c r="O609" s="52"/>
      <c r="P609" s="52"/>
      <c r="Q609" s="52"/>
      <c r="U609" s="52"/>
    </row>
    <row r="610">
      <c r="M610" s="52"/>
      <c r="N610" s="52"/>
      <c r="O610" s="52"/>
      <c r="P610" s="52"/>
      <c r="Q610" s="52"/>
      <c r="U610" s="52"/>
    </row>
    <row r="611">
      <c r="M611" s="52"/>
      <c r="N611" s="52"/>
      <c r="O611" s="52"/>
      <c r="P611" s="52"/>
      <c r="Q611" s="52"/>
      <c r="U611" s="52"/>
    </row>
    <row r="612">
      <c r="M612" s="52"/>
      <c r="N612" s="52"/>
      <c r="O612" s="52"/>
      <c r="P612" s="52"/>
      <c r="Q612" s="52"/>
      <c r="U612" s="52"/>
    </row>
    <row r="613">
      <c r="M613" s="52"/>
      <c r="N613" s="52"/>
      <c r="O613" s="52"/>
      <c r="P613" s="52"/>
      <c r="Q613" s="52"/>
      <c r="U613" s="52"/>
    </row>
    <row r="614">
      <c r="M614" s="52"/>
      <c r="N614" s="52"/>
      <c r="O614" s="52"/>
      <c r="P614" s="52"/>
      <c r="Q614" s="52"/>
      <c r="U614" s="52"/>
    </row>
    <row r="615">
      <c r="M615" s="52"/>
      <c r="N615" s="52"/>
      <c r="O615" s="52"/>
      <c r="P615" s="52"/>
      <c r="Q615" s="52"/>
      <c r="U615" s="52"/>
    </row>
    <row r="616">
      <c r="M616" s="52"/>
      <c r="N616" s="52"/>
      <c r="O616" s="52"/>
      <c r="P616" s="52"/>
      <c r="Q616" s="52"/>
      <c r="U616" s="52"/>
    </row>
    <row r="617">
      <c r="M617" s="52"/>
      <c r="N617" s="52"/>
      <c r="O617" s="52"/>
      <c r="P617" s="52"/>
      <c r="Q617" s="52"/>
      <c r="U617" s="52"/>
    </row>
    <row r="618">
      <c r="M618" s="52"/>
      <c r="N618" s="52"/>
      <c r="O618" s="52"/>
      <c r="P618" s="52"/>
      <c r="Q618" s="52"/>
      <c r="U618" s="52"/>
    </row>
    <row r="619">
      <c r="M619" s="52"/>
      <c r="N619" s="52"/>
      <c r="O619" s="52"/>
      <c r="P619" s="52"/>
      <c r="Q619" s="52"/>
      <c r="U619" s="52"/>
    </row>
    <row r="620">
      <c r="M620" s="52"/>
      <c r="N620" s="52"/>
      <c r="O620" s="52"/>
      <c r="P620" s="52"/>
      <c r="Q620" s="52"/>
      <c r="U620" s="52"/>
    </row>
    <row r="621">
      <c r="M621" s="52"/>
      <c r="N621" s="52"/>
      <c r="O621" s="52"/>
      <c r="P621" s="52"/>
      <c r="Q621" s="52"/>
      <c r="U621" s="52"/>
    </row>
    <row r="622">
      <c r="M622" s="52"/>
      <c r="N622" s="52"/>
      <c r="O622" s="52"/>
      <c r="P622" s="52"/>
      <c r="Q622" s="52"/>
      <c r="U622" s="52"/>
    </row>
    <row r="623">
      <c r="M623" s="52"/>
      <c r="N623" s="52"/>
      <c r="O623" s="52"/>
      <c r="P623" s="52"/>
      <c r="Q623" s="52"/>
      <c r="U623" s="52"/>
    </row>
    <row r="624">
      <c r="M624" s="52"/>
      <c r="N624" s="52"/>
      <c r="O624" s="52"/>
      <c r="P624" s="52"/>
      <c r="Q624" s="52"/>
      <c r="U624" s="52"/>
    </row>
    <row r="625">
      <c r="M625" s="52"/>
      <c r="N625" s="52"/>
      <c r="O625" s="52"/>
      <c r="P625" s="52"/>
      <c r="Q625" s="52"/>
      <c r="U625" s="52"/>
    </row>
    <row r="626">
      <c r="M626" s="52"/>
      <c r="N626" s="52"/>
      <c r="O626" s="52"/>
      <c r="P626" s="52"/>
      <c r="Q626" s="52"/>
      <c r="U626" s="52"/>
    </row>
    <row r="627">
      <c r="M627" s="52"/>
      <c r="N627" s="52"/>
      <c r="O627" s="52"/>
      <c r="P627" s="52"/>
      <c r="Q627" s="52"/>
      <c r="U627" s="52"/>
    </row>
    <row r="628">
      <c r="M628" s="52"/>
      <c r="N628" s="52"/>
      <c r="O628" s="52"/>
      <c r="P628" s="52"/>
      <c r="Q628" s="52"/>
      <c r="U628" s="52"/>
    </row>
    <row r="629">
      <c r="M629" s="52"/>
      <c r="N629" s="52"/>
      <c r="O629" s="52"/>
      <c r="P629" s="52"/>
      <c r="Q629" s="52"/>
      <c r="U629" s="52"/>
    </row>
    <row r="630">
      <c r="M630" s="52"/>
      <c r="N630" s="52"/>
      <c r="O630" s="52"/>
      <c r="P630" s="52"/>
      <c r="Q630" s="52"/>
      <c r="U630" s="52"/>
    </row>
    <row r="631">
      <c r="M631" s="52"/>
      <c r="N631" s="52"/>
      <c r="O631" s="52"/>
      <c r="P631" s="52"/>
      <c r="Q631" s="52"/>
      <c r="U631" s="52"/>
    </row>
    <row r="632">
      <c r="M632" s="52"/>
      <c r="N632" s="52"/>
      <c r="O632" s="52"/>
      <c r="P632" s="52"/>
      <c r="Q632" s="52"/>
      <c r="U632" s="52"/>
    </row>
    <row r="633">
      <c r="M633" s="52"/>
      <c r="N633" s="52"/>
      <c r="O633" s="52"/>
      <c r="P633" s="52"/>
      <c r="Q633" s="52"/>
      <c r="U633" s="52"/>
    </row>
    <row r="634">
      <c r="M634" s="52"/>
      <c r="N634" s="52"/>
      <c r="O634" s="52"/>
      <c r="P634" s="52"/>
      <c r="Q634" s="52"/>
      <c r="U634" s="52"/>
    </row>
    <row r="635">
      <c r="M635" s="52"/>
      <c r="N635" s="52"/>
      <c r="O635" s="52"/>
      <c r="P635" s="52"/>
      <c r="Q635" s="52"/>
      <c r="U635" s="52"/>
    </row>
    <row r="636">
      <c r="M636" s="52"/>
      <c r="N636" s="52"/>
      <c r="O636" s="52"/>
      <c r="P636" s="52"/>
      <c r="Q636" s="52"/>
      <c r="U636" s="52"/>
    </row>
    <row r="637">
      <c r="M637" s="52"/>
      <c r="N637" s="52"/>
      <c r="O637" s="52"/>
      <c r="P637" s="52"/>
      <c r="Q637" s="52"/>
      <c r="U637" s="52"/>
    </row>
    <row r="638">
      <c r="M638" s="52"/>
      <c r="N638" s="52"/>
      <c r="O638" s="52"/>
      <c r="P638" s="52"/>
      <c r="Q638" s="52"/>
      <c r="U638" s="52"/>
    </row>
    <row r="639">
      <c r="M639" s="52"/>
      <c r="N639" s="52"/>
      <c r="O639" s="52"/>
      <c r="P639" s="52"/>
      <c r="Q639" s="52"/>
      <c r="U639" s="52"/>
    </row>
    <row r="640">
      <c r="M640" s="52"/>
      <c r="N640" s="52"/>
      <c r="O640" s="52"/>
      <c r="P640" s="52"/>
      <c r="Q640" s="52"/>
      <c r="U640" s="52"/>
    </row>
    <row r="641">
      <c r="M641" s="52"/>
      <c r="N641" s="52"/>
      <c r="O641" s="52"/>
      <c r="P641" s="52"/>
      <c r="Q641" s="52"/>
      <c r="U641" s="52"/>
    </row>
    <row r="642">
      <c r="M642" s="52"/>
      <c r="N642" s="52"/>
      <c r="O642" s="52"/>
      <c r="P642" s="52"/>
      <c r="Q642" s="52"/>
      <c r="U642" s="52"/>
    </row>
    <row r="643">
      <c r="M643" s="52"/>
      <c r="N643" s="52"/>
      <c r="O643" s="52"/>
      <c r="P643" s="52"/>
      <c r="Q643" s="52"/>
      <c r="U643" s="52"/>
    </row>
    <row r="644">
      <c r="M644" s="52"/>
      <c r="N644" s="52"/>
      <c r="O644" s="52"/>
      <c r="P644" s="52"/>
      <c r="Q644" s="52"/>
      <c r="U644" s="52"/>
    </row>
    <row r="645">
      <c r="M645" s="52"/>
      <c r="N645" s="52"/>
      <c r="O645" s="52"/>
      <c r="P645" s="52"/>
      <c r="Q645" s="52"/>
      <c r="U645" s="52"/>
    </row>
    <row r="646">
      <c r="M646" s="52"/>
      <c r="N646" s="52"/>
      <c r="O646" s="52"/>
      <c r="P646" s="52"/>
      <c r="Q646" s="52"/>
      <c r="U646" s="52"/>
    </row>
    <row r="647">
      <c r="M647" s="52"/>
      <c r="N647" s="52"/>
      <c r="O647" s="52"/>
      <c r="P647" s="52"/>
      <c r="Q647" s="52"/>
      <c r="U647" s="52"/>
    </row>
    <row r="648">
      <c r="M648" s="52"/>
      <c r="N648" s="52"/>
      <c r="O648" s="52"/>
      <c r="P648" s="52"/>
      <c r="Q648" s="52"/>
      <c r="U648" s="52"/>
    </row>
    <row r="649">
      <c r="M649" s="52"/>
      <c r="N649" s="52"/>
      <c r="O649" s="52"/>
      <c r="P649" s="52"/>
      <c r="Q649" s="52"/>
      <c r="U649" s="52"/>
    </row>
    <row r="650">
      <c r="M650" s="52"/>
      <c r="N650" s="52"/>
      <c r="O650" s="52"/>
      <c r="P650" s="52"/>
      <c r="Q650" s="52"/>
      <c r="U650" s="52"/>
    </row>
    <row r="651">
      <c r="M651" s="52"/>
      <c r="N651" s="52"/>
      <c r="O651" s="52"/>
      <c r="P651" s="52"/>
      <c r="Q651" s="52"/>
      <c r="U651" s="52"/>
    </row>
    <row r="652">
      <c r="M652" s="52"/>
      <c r="N652" s="52"/>
      <c r="O652" s="52"/>
      <c r="P652" s="52"/>
      <c r="Q652" s="52"/>
      <c r="U652" s="52"/>
    </row>
    <row r="653">
      <c r="M653" s="52"/>
      <c r="N653" s="52"/>
      <c r="O653" s="52"/>
      <c r="P653" s="52"/>
      <c r="Q653" s="52"/>
      <c r="U653" s="52"/>
    </row>
    <row r="654">
      <c r="M654" s="52"/>
      <c r="N654" s="52"/>
      <c r="O654" s="52"/>
      <c r="P654" s="52"/>
      <c r="Q654" s="52"/>
      <c r="U654" s="52"/>
    </row>
    <row r="655">
      <c r="M655" s="52"/>
      <c r="N655" s="52"/>
      <c r="O655" s="52"/>
      <c r="P655" s="52"/>
      <c r="Q655" s="52"/>
      <c r="U655" s="52"/>
    </row>
    <row r="656">
      <c r="M656" s="52"/>
      <c r="N656" s="52"/>
      <c r="O656" s="52"/>
      <c r="P656" s="52"/>
      <c r="Q656" s="52"/>
      <c r="U656" s="52"/>
    </row>
    <row r="657">
      <c r="M657" s="52"/>
      <c r="N657" s="52"/>
      <c r="O657" s="52"/>
      <c r="P657" s="52"/>
      <c r="Q657" s="52"/>
      <c r="U657" s="52"/>
    </row>
    <row r="658">
      <c r="M658" s="52"/>
      <c r="N658" s="52"/>
      <c r="O658" s="52"/>
      <c r="P658" s="52"/>
      <c r="Q658" s="52"/>
      <c r="U658" s="52"/>
    </row>
    <row r="659">
      <c r="M659" s="52"/>
      <c r="N659" s="52"/>
      <c r="O659" s="52"/>
      <c r="P659" s="52"/>
      <c r="Q659" s="52"/>
      <c r="U659" s="52"/>
    </row>
    <row r="660">
      <c r="M660" s="52"/>
      <c r="N660" s="52"/>
      <c r="O660" s="52"/>
      <c r="P660" s="52"/>
      <c r="Q660" s="52"/>
      <c r="U660" s="52"/>
    </row>
    <row r="661">
      <c r="M661" s="52"/>
      <c r="N661" s="52"/>
      <c r="O661" s="52"/>
      <c r="P661" s="52"/>
      <c r="Q661" s="52"/>
      <c r="U661" s="52"/>
    </row>
    <row r="662">
      <c r="M662" s="52"/>
      <c r="N662" s="52"/>
      <c r="O662" s="52"/>
      <c r="P662" s="52"/>
      <c r="Q662" s="52"/>
      <c r="U662" s="52"/>
    </row>
    <row r="663">
      <c r="M663" s="52"/>
      <c r="N663" s="52"/>
      <c r="O663" s="52"/>
      <c r="P663" s="52"/>
      <c r="Q663" s="52"/>
      <c r="U663" s="52"/>
    </row>
    <row r="664">
      <c r="M664" s="52"/>
      <c r="N664" s="52"/>
      <c r="O664" s="52"/>
      <c r="P664" s="52"/>
      <c r="Q664" s="52"/>
      <c r="U664" s="52"/>
    </row>
    <row r="665">
      <c r="M665" s="52"/>
      <c r="N665" s="52"/>
      <c r="O665" s="52"/>
      <c r="P665" s="52"/>
      <c r="Q665" s="52"/>
      <c r="U665" s="52"/>
    </row>
    <row r="666">
      <c r="M666" s="52"/>
      <c r="N666" s="52"/>
      <c r="O666" s="52"/>
      <c r="P666" s="52"/>
      <c r="Q666" s="52"/>
      <c r="U666" s="52"/>
    </row>
    <row r="667">
      <c r="M667" s="52"/>
      <c r="N667" s="52"/>
      <c r="O667" s="52"/>
      <c r="P667" s="52"/>
      <c r="Q667" s="52"/>
      <c r="U667" s="52"/>
    </row>
    <row r="668">
      <c r="M668" s="52"/>
      <c r="N668" s="52"/>
      <c r="O668" s="52"/>
      <c r="P668" s="52"/>
      <c r="Q668" s="52"/>
      <c r="U668" s="52"/>
    </row>
    <row r="669">
      <c r="M669" s="52"/>
      <c r="N669" s="52"/>
      <c r="O669" s="52"/>
      <c r="P669" s="52"/>
      <c r="Q669" s="52"/>
      <c r="U669" s="52"/>
    </row>
    <row r="670">
      <c r="M670" s="52"/>
      <c r="N670" s="52"/>
      <c r="O670" s="52"/>
      <c r="P670" s="52"/>
      <c r="Q670" s="52"/>
      <c r="U670" s="52"/>
    </row>
    <row r="671">
      <c r="M671" s="52"/>
      <c r="N671" s="52"/>
      <c r="O671" s="52"/>
      <c r="P671" s="52"/>
      <c r="Q671" s="52"/>
      <c r="U671" s="52"/>
    </row>
    <row r="672">
      <c r="M672" s="52"/>
      <c r="N672" s="52"/>
      <c r="O672" s="52"/>
      <c r="P672" s="52"/>
      <c r="Q672" s="52"/>
      <c r="U672" s="52"/>
    </row>
    <row r="673">
      <c r="M673" s="52"/>
      <c r="N673" s="52"/>
      <c r="O673" s="52"/>
      <c r="P673" s="52"/>
      <c r="Q673" s="52"/>
      <c r="U673" s="52"/>
    </row>
    <row r="674">
      <c r="M674" s="52"/>
      <c r="N674" s="52"/>
      <c r="O674" s="52"/>
      <c r="P674" s="52"/>
      <c r="Q674" s="52"/>
      <c r="U674" s="52"/>
    </row>
    <row r="675">
      <c r="M675" s="52"/>
      <c r="N675" s="52"/>
      <c r="O675" s="52"/>
      <c r="P675" s="52"/>
      <c r="Q675" s="52"/>
      <c r="U675" s="52"/>
    </row>
    <row r="676">
      <c r="M676" s="52"/>
      <c r="N676" s="52"/>
      <c r="O676" s="52"/>
      <c r="P676" s="52"/>
      <c r="Q676" s="52"/>
      <c r="U676" s="52"/>
    </row>
    <row r="677">
      <c r="M677" s="52"/>
      <c r="N677" s="52"/>
      <c r="O677" s="52"/>
      <c r="P677" s="52"/>
      <c r="Q677" s="52"/>
      <c r="U677" s="52"/>
    </row>
    <row r="678">
      <c r="M678" s="52"/>
      <c r="N678" s="52"/>
      <c r="O678" s="52"/>
      <c r="P678" s="52"/>
      <c r="Q678" s="52"/>
      <c r="U678" s="52"/>
    </row>
    <row r="679">
      <c r="M679" s="52"/>
      <c r="N679" s="52"/>
      <c r="O679" s="52"/>
      <c r="P679" s="52"/>
      <c r="Q679" s="52"/>
      <c r="U679" s="52"/>
    </row>
    <row r="680">
      <c r="M680" s="52"/>
      <c r="N680" s="52"/>
      <c r="O680" s="52"/>
      <c r="P680" s="52"/>
      <c r="Q680" s="52"/>
      <c r="U680" s="52"/>
    </row>
    <row r="681">
      <c r="M681" s="52"/>
      <c r="N681" s="52"/>
      <c r="O681" s="52"/>
      <c r="P681" s="52"/>
      <c r="Q681" s="52"/>
      <c r="U681" s="52"/>
    </row>
    <row r="682">
      <c r="M682" s="52"/>
      <c r="N682" s="52"/>
      <c r="O682" s="52"/>
      <c r="P682" s="52"/>
      <c r="Q682" s="52"/>
      <c r="U682" s="52"/>
    </row>
    <row r="683">
      <c r="M683" s="52"/>
      <c r="N683" s="52"/>
      <c r="O683" s="52"/>
      <c r="P683" s="52"/>
      <c r="Q683" s="52"/>
      <c r="U683" s="52"/>
    </row>
    <row r="684">
      <c r="M684" s="52"/>
      <c r="N684" s="52"/>
      <c r="O684" s="52"/>
      <c r="P684" s="52"/>
      <c r="Q684" s="52"/>
      <c r="U684" s="52"/>
    </row>
    <row r="685">
      <c r="M685" s="52"/>
      <c r="N685" s="52"/>
      <c r="O685" s="52"/>
      <c r="P685" s="52"/>
      <c r="Q685" s="52"/>
      <c r="U685" s="52"/>
    </row>
    <row r="686">
      <c r="M686" s="52"/>
      <c r="N686" s="52"/>
      <c r="O686" s="52"/>
      <c r="P686" s="52"/>
      <c r="Q686" s="52"/>
      <c r="U686" s="52"/>
    </row>
    <row r="687">
      <c r="M687" s="52"/>
      <c r="N687" s="52"/>
      <c r="O687" s="52"/>
      <c r="P687" s="52"/>
      <c r="Q687" s="52"/>
      <c r="U687" s="52"/>
    </row>
    <row r="688">
      <c r="M688" s="52"/>
      <c r="N688" s="52"/>
      <c r="O688" s="52"/>
      <c r="P688" s="52"/>
      <c r="Q688" s="52"/>
      <c r="U688" s="52"/>
    </row>
    <row r="689">
      <c r="M689" s="52"/>
      <c r="N689" s="52"/>
      <c r="O689" s="52"/>
      <c r="P689" s="52"/>
      <c r="Q689" s="52"/>
      <c r="U689" s="52"/>
    </row>
    <row r="690">
      <c r="M690" s="52"/>
      <c r="N690" s="52"/>
      <c r="O690" s="52"/>
      <c r="P690" s="52"/>
      <c r="Q690" s="52"/>
      <c r="U690" s="52"/>
    </row>
    <row r="691">
      <c r="M691" s="52"/>
      <c r="N691" s="52"/>
      <c r="O691" s="52"/>
      <c r="P691" s="52"/>
      <c r="Q691" s="52"/>
      <c r="U691" s="52"/>
    </row>
    <row r="692">
      <c r="M692" s="52"/>
      <c r="N692" s="52"/>
      <c r="O692" s="52"/>
      <c r="P692" s="52"/>
      <c r="Q692" s="52"/>
      <c r="U692" s="52"/>
    </row>
    <row r="693">
      <c r="M693" s="52"/>
      <c r="N693" s="52"/>
      <c r="O693" s="52"/>
      <c r="P693" s="52"/>
      <c r="Q693" s="52"/>
      <c r="U693" s="52"/>
    </row>
    <row r="694">
      <c r="M694" s="52"/>
      <c r="N694" s="52"/>
      <c r="O694" s="52"/>
      <c r="P694" s="52"/>
      <c r="Q694" s="52"/>
      <c r="U694" s="52"/>
    </row>
    <row r="695">
      <c r="M695" s="52"/>
      <c r="N695" s="52"/>
      <c r="O695" s="52"/>
      <c r="P695" s="52"/>
      <c r="Q695" s="52"/>
      <c r="U695" s="52"/>
    </row>
    <row r="696">
      <c r="M696" s="52"/>
      <c r="N696" s="52"/>
      <c r="O696" s="52"/>
      <c r="P696" s="52"/>
      <c r="Q696" s="52"/>
      <c r="U696" s="52"/>
    </row>
    <row r="697">
      <c r="M697" s="52"/>
      <c r="N697" s="52"/>
      <c r="O697" s="52"/>
      <c r="P697" s="52"/>
      <c r="Q697" s="52"/>
      <c r="U697" s="52"/>
    </row>
    <row r="698">
      <c r="M698" s="52"/>
      <c r="N698" s="52"/>
      <c r="O698" s="52"/>
      <c r="P698" s="52"/>
      <c r="Q698" s="52"/>
      <c r="U698" s="52"/>
    </row>
    <row r="699">
      <c r="M699" s="52"/>
      <c r="N699" s="52"/>
      <c r="O699" s="52"/>
      <c r="P699" s="52"/>
      <c r="Q699" s="52"/>
      <c r="U699" s="52"/>
    </row>
    <row r="700">
      <c r="M700" s="52"/>
      <c r="N700" s="52"/>
      <c r="O700" s="52"/>
      <c r="P700" s="52"/>
      <c r="Q700" s="52"/>
      <c r="U700" s="52"/>
    </row>
    <row r="701">
      <c r="M701" s="52"/>
      <c r="N701" s="52"/>
      <c r="O701" s="52"/>
      <c r="P701" s="52"/>
      <c r="Q701" s="52"/>
      <c r="U701" s="52"/>
    </row>
    <row r="702">
      <c r="M702" s="52"/>
      <c r="N702" s="52"/>
      <c r="O702" s="52"/>
      <c r="P702" s="52"/>
      <c r="Q702" s="52"/>
      <c r="U702" s="52"/>
    </row>
    <row r="703">
      <c r="M703" s="52"/>
      <c r="N703" s="52"/>
      <c r="O703" s="52"/>
      <c r="P703" s="52"/>
      <c r="Q703" s="52"/>
      <c r="U703" s="52"/>
    </row>
    <row r="704">
      <c r="M704" s="52"/>
      <c r="N704" s="52"/>
      <c r="O704" s="52"/>
      <c r="P704" s="52"/>
      <c r="Q704" s="52"/>
      <c r="U704" s="52"/>
    </row>
    <row r="705">
      <c r="M705" s="52"/>
      <c r="N705" s="52"/>
      <c r="O705" s="52"/>
      <c r="P705" s="52"/>
      <c r="Q705" s="52"/>
      <c r="U705" s="52"/>
    </row>
    <row r="706">
      <c r="M706" s="52"/>
      <c r="N706" s="52"/>
      <c r="O706" s="52"/>
      <c r="P706" s="52"/>
      <c r="Q706" s="52"/>
      <c r="U706" s="52"/>
    </row>
    <row r="707">
      <c r="M707" s="52"/>
      <c r="N707" s="52"/>
      <c r="O707" s="52"/>
      <c r="P707" s="52"/>
      <c r="Q707" s="52"/>
      <c r="U707" s="52"/>
    </row>
    <row r="708">
      <c r="M708" s="52"/>
      <c r="N708" s="52"/>
      <c r="O708" s="52"/>
      <c r="P708" s="52"/>
      <c r="Q708" s="52"/>
      <c r="U708" s="52"/>
    </row>
    <row r="709">
      <c r="M709" s="52"/>
      <c r="N709" s="52"/>
      <c r="O709" s="52"/>
      <c r="P709" s="52"/>
      <c r="Q709" s="52"/>
      <c r="U709" s="52"/>
    </row>
    <row r="710">
      <c r="M710" s="52"/>
      <c r="N710" s="52"/>
      <c r="O710" s="52"/>
      <c r="P710" s="52"/>
      <c r="Q710" s="52"/>
      <c r="U710" s="52"/>
    </row>
    <row r="711">
      <c r="M711" s="52"/>
      <c r="N711" s="52"/>
      <c r="O711" s="52"/>
      <c r="P711" s="52"/>
      <c r="Q711" s="52"/>
      <c r="U711" s="52"/>
    </row>
    <row r="712">
      <c r="M712" s="52"/>
      <c r="N712" s="52"/>
      <c r="O712" s="52"/>
      <c r="P712" s="52"/>
      <c r="Q712" s="52"/>
      <c r="U712" s="52"/>
    </row>
    <row r="713">
      <c r="M713" s="52"/>
      <c r="N713" s="52"/>
      <c r="O713" s="52"/>
      <c r="P713" s="52"/>
      <c r="Q713" s="52"/>
      <c r="U713" s="52"/>
    </row>
    <row r="714">
      <c r="M714" s="52"/>
      <c r="N714" s="52"/>
      <c r="O714" s="52"/>
      <c r="P714" s="52"/>
      <c r="Q714" s="52"/>
      <c r="U714" s="52"/>
    </row>
    <row r="715">
      <c r="M715" s="52"/>
      <c r="N715" s="52"/>
      <c r="O715" s="52"/>
      <c r="P715" s="52"/>
      <c r="Q715" s="52"/>
      <c r="U715" s="52"/>
    </row>
    <row r="716">
      <c r="M716" s="52"/>
      <c r="N716" s="52"/>
      <c r="O716" s="52"/>
      <c r="P716" s="52"/>
      <c r="Q716" s="52"/>
      <c r="U716" s="52"/>
    </row>
    <row r="717">
      <c r="M717" s="52"/>
      <c r="N717" s="52"/>
      <c r="O717" s="52"/>
      <c r="P717" s="52"/>
      <c r="Q717" s="52"/>
      <c r="U717" s="52"/>
    </row>
    <row r="718">
      <c r="M718" s="52"/>
      <c r="N718" s="52"/>
      <c r="O718" s="52"/>
      <c r="P718" s="52"/>
      <c r="Q718" s="52"/>
      <c r="U718" s="52"/>
    </row>
    <row r="719">
      <c r="M719" s="52"/>
      <c r="N719" s="52"/>
      <c r="O719" s="52"/>
      <c r="P719" s="52"/>
      <c r="Q719" s="52"/>
      <c r="U719" s="52"/>
    </row>
    <row r="720">
      <c r="M720" s="52"/>
      <c r="N720" s="52"/>
      <c r="O720" s="52"/>
      <c r="P720" s="52"/>
      <c r="Q720" s="52"/>
      <c r="U720" s="52"/>
    </row>
    <row r="721">
      <c r="M721" s="52"/>
      <c r="N721" s="52"/>
      <c r="O721" s="52"/>
      <c r="P721" s="52"/>
      <c r="Q721" s="52"/>
      <c r="U721" s="52"/>
    </row>
    <row r="722">
      <c r="M722" s="52"/>
      <c r="N722" s="52"/>
      <c r="O722" s="52"/>
      <c r="P722" s="52"/>
      <c r="Q722" s="52"/>
      <c r="U722" s="52"/>
    </row>
    <row r="723">
      <c r="M723" s="52"/>
      <c r="N723" s="52"/>
      <c r="O723" s="52"/>
      <c r="P723" s="52"/>
      <c r="Q723" s="52"/>
      <c r="U723" s="52"/>
    </row>
    <row r="724">
      <c r="M724" s="52"/>
      <c r="N724" s="52"/>
      <c r="O724" s="52"/>
      <c r="P724" s="52"/>
      <c r="Q724" s="52"/>
      <c r="U724" s="52"/>
    </row>
    <row r="725">
      <c r="M725" s="52"/>
      <c r="N725" s="52"/>
      <c r="O725" s="52"/>
      <c r="P725" s="52"/>
      <c r="Q725" s="52"/>
      <c r="U725" s="52"/>
    </row>
    <row r="726">
      <c r="M726" s="52"/>
      <c r="N726" s="52"/>
      <c r="O726" s="52"/>
      <c r="P726" s="52"/>
      <c r="Q726" s="52"/>
      <c r="U726" s="52"/>
    </row>
    <row r="727">
      <c r="M727" s="52"/>
      <c r="N727" s="52"/>
      <c r="O727" s="52"/>
      <c r="P727" s="52"/>
      <c r="Q727" s="52"/>
      <c r="U727" s="52"/>
    </row>
    <row r="728">
      <c r="M728" s="52"/>
      <c r="N728" s="52"/>
      <c r="O728" s="52"/>
      <c r="P728" s="52"/>
      <c r="Q728" s="52"/>
      <c r="U728" s="52"/>
    </row>
    <row r="729">
      <c r="M729" s="52"/>
      <c r="N729" s="52"/>
      <c r="O729" s="52"/>
      <c r="P729" s="52"/>
      <c r="Q729" s="52"/>
      <c r="U729" s="52"/>
    </row>
    <row r="730">
      <c r="M730" s="52"/>
      <c r="N730" s="52"/>
      <c r="O730" s="52"/>
      <c r="P730" s="52"/>
      <c r="Q730" s="52"/>
      <c r="U730" s="52"/>
    </row>
    <row r="731">
      <c r="M731" s="52"/>
      <c r="N731" s="52"/>
      <c r="O731" s="52"/>
      <c r="P731" s="52"/>
      <c r="Q731" s="52"/>
      <c r="U731" s="52"/>
    </row>
    <row r="732">
      <c r="M732" s="52"/>
      <c r="N732" s="52"/>
      <c r="O732" s="52"/>
      <c r="P732" s="52"/>
      <c r="Q732" s="52"/>
      <c r="U732" s="52"/>
    </row>
    <row r="733">
      <c r="M733" s="52"/>
      <c r="N733" s="52"/>
      <c r="O733" s="52"/>
      <c r="P733" s="52"/>
      <c r="Q733" s="52"/>
      <c r="U733" s="52"/>
    </row>
    <row r="734">
      <c r="M734" s="52"/>
      <c r="N734" s="52"/>
      <c r="O734" s="52"/>
      <c r="P734" s="52"/>
      <c r="Q734" s="52"/>
      <c r="U734" s="52"/>
    </row>
    <row r="735">
      <c r="M735" s="52"/>
      <c r="N735" s="52"/>
      <c r="O735" s="52"/>
      <c r="P735" s="52"/>
      <c r="Q735" s="52"/>
      <c r="U735" s="52"/>
    </row>
    <row r="736">
      <c r="M736" s="52"/>
      <c r="N736" s="52"/>
      <c r="O736" s="52"/>
      <c r="P736" s="52"/>
      <c r="Q736" s="52"/>
      <c r="U736" s="52"/>
    </row>
    <row r="737">
      <c r="M737" s="52"/>
      <c r="N737" s="52"/>
      <c r="O737" s="52"/>
      <c r="P737" s="52"/>
      <c r="Q737" s="52"/>
      <c r="U737" s="52"/>
    </row>
    <row r="738">
      <c r="M738" s="52"/>
      <c r="N738" s="52"/>
      <c r="O738" s="52"/>
      <c r="P738" s="52"/>
      <c r="Q738" s="52"/>
      <c r="U738" s="52"/>
    </row>
    <row r="739">
      <c r="M739" s="52"/>
      <c r="N739" s="52"/>
      <c r="O739" s="52"/>
      <c r="P739" s="52"/>
      <c r="Q739" s="52"/>
      <c r="U739" s="52"/>
    </row>
    <row r="740">
      <c r="M740" s="52"/>
      <c r="N740" s="52"/>
      <c r="O740" s="52"/>
      <c r="P740" s="52"/>
      <c r="Q740" s="52"/>
      <c r="U740" s="52"/>
    </row>
    <row r="741">
      <c r="M741" s="52"/>
      <c r="N741" s="52"/>
      <c r="O741" s="52"/>
      <c r="P741" s="52"/>
      <c r="Q741" s="52"/>
      <c r="U741" s="52"/>
    </row>
    <row r="742">
      <c r="M742" s="52"/>
      <c r="N742" s="52"/>
      <c r="O742" s="52"/>
      <c r="P742" s="52"/>
      <c r="Q742" s="52"/>
      <c r="U742" s="52"/>
    </row>
    <row r="743">
      <c r="M743" s="52"/>
      <c r="N743" s="52"/>
      <c r="O743" s="52"/>
      <c r="P743" s="52"/>
      <c r="Q743" s="52"/>
      <c r="U743" s="52"/>
    </row>
    <row r="744">
      <c r="M744" s="52"/>
      <c r="N744" s="52"/>
      <c r="O744" s="52"/>
      <c r="P744" s="52"/>
      <c r="Q744" s="52"/>
      <c r="U744" s="52"/>
    </row>
    <row r="745">
      <c r="M745" s="52"/>
      <c r="N745" s="52"/>
      <c r="O745" s="52"/>
      <c r="P745" s="52"/>
      <c r="Q745" s="52"/>
      <c r="U745" s="52"/>
    </row>
    <row r="746">
      <c r="M746" s="52"/>
      <c r="N746" s="52"/>
      <c r="O746" s="52"/>
      <c r="P746" s="52"/>
      <c r="Q746" s="52"/>
      <c r="U746" s="52"/>
    </row>
    <row r="747">
      <c r="M747" s="52"/>
      <c r="N747" s="52"/>
      <c r="O747" s="52"/>
      <c r="P747" s="52"/>
      <c r="Q747" s="52"/>
      <c r="U747" s="52"/>
    </row>
    <row r="748">
      <c r="M748" s="52"/>
      <c r="N748" s="52"/>
      <c r="O748" s="52"/>
      <c r="P748" s="52"/>
      <c r="Q748" s="52"/>
      <c r="U748" s="52"/>
    </row>
    <row r="749">
      <c r="M749" s="52"/>
      <c r="N749" s="52"/>
      <c r="O749" s="52"/>
      <c r="P749" s="52"/>
      <c r="Q749" s="52"/>
      <c r="U749" s="52"/>
    </row>
    <row r="750">
      <c r="M750" s="52"/>
      <c r="N750" s="52"/>
      <c r="O750" s="52"/>
      <c r="P750" s="52"/>
      <c r="Q750" s="52"/>
      <c r="U750" s="52"/>
    </row>
    <row r="751">
      <c r="M751" s="52"/>
      <c r="N751" s="52"/>
      <c r="O751" s="52"/>
      <c r="P751" s="52"/>
      <c r="Q751" s="52"/>
      <c r="U751" s="52"/>
    </row>
    <row r="752">
      <c r="M752" s="52"/>
      <c r="N752" s="52"/>
      <c r="O752" s="52"/>
      <c r="P752" s="52"/>
      <c r="Q752" s="52"/>
      <c r="U752" s="52"/>
    </row>
    <row r="753">
      <c r="M753" s="52"/>
      <c r="N753" s="52"/>
      <c r="O753" s="52"/>
      <c r="P753" s="52"/>
      <c r="Q753" s="52"/>
      <c r="U753" s="52"/>
    </row>
    <row r="754">
      <c r="M754" s="52"/>
      <c r="N754" s="52"/>
      <c r="O754" s="52"/>
      <c r="P754" s="52"/>
      <c r="Q754" s="52"/>
      <c r="U754" s="52"/>
    </row>
    <row r="755">
      <c r="M755" s="52"/>
      <c r="N755" s="52"/>
      <c r="O755" s="52"/>
      <c r="P755" s="52"/>
      <c r="Q755" s="52"/>
      <c r="U755" s="52"/>
    </row>
    <row r="756">
      <c r="M756" s="52"/>
      <c r="N756" s="52"/>
      <c r="O756" s="52"/>
      <c r="P756" s="52"/>
      <c r="Q756" s="52"/>
      <c r="U756" s="52"/>
    </row>
    <row r="757">
      <c r="M757" s="52"/>
      <c r="N757" s="52"/>
      <c r="O757" s="52"/>
      <c r="P757" s="52"/>
      <c r="Q757" s="52"/>
      <c r="U757" s="52"/>
    </row>
    <row r="758">
      <c r="M758" s="52"/>
      <c r="N758" s="52"/>
      <c r="O758" s="52"/>
      <c r="P758" s="52"/>
      <c r="Q758" s="52"/>
      <c r="U758" s="52"/>
    </row>
    <row r="759">
      <c r="M759" s="52"/>
      <c r="N759" s="52"/>
      <c r="O759" s="52"/>
      <c r="P759" s="52"/>
      <c r="Q759" s="52"/>
      <c r="U759" s="52"/>
    </row>
    <row r="760">
      <c r="M760" s="52"/>
      <c r="N760" s="52"/>
      <c r="O760" s="52"/>
      <c r="P760" s="52"/>
      <c r="Q760" s="52"/>
      <c r="U760" s="52"/>
    </row>
    <row r="761">
      <c r="M761" s="52"/>
      <c r="N761" s="52"/>
      <c r="O761" s="52"/>
      <c r="P761" s="52"/>
      <c r="Q761" s="52"/>
      <c r="U761" s="52"/>
    </row>
    <row r="762">
      <c r="M762" s="52"/>
      <c r="N762" s="52"/>
      <c r="O762" s="52"/>
      <c r="P762" s="52"/>
      <c r="Q762" s="52"/>
      <c r="U762" s="52"/>
    </row>
    <row r="763">
      <c r="M763" s="52"/>
      <c r="N763" s="52"/>
      <c r="O763" s="52"/>
      <c r="P763" s="52"/>
      <c r="Q763" s="52"/>
      <c r="U763" s="52"/>
    </row>
    <row r="764">
      <c r="M764" s="52"/>
      <c r="N764" s="52"/>
      <c r="O764" s="52"/>
      <c r="P764" s="52"/>
      <c r="Q764" s="52"/>
      <c r="U764" s="52"/>
    </row>
    <row r="765">
      <c r="M765" s="52"/>
      <c r="N765" s="52"/>
      <c r="O765" s="52"/>
      <c r="P765" s="52"/>
      <c r="Q765" s="52"/>
      <c r="U765" s="52"/>
    </row>
    <row r="766">
      <c r="M766" s="52"/>
      <c r="N766" s="52"/>
      <c r="O766" s="52"/>
      <c r="P766" s="52"/>
      <c r="Q766" s="52"/>
      <c r="U766" s="52"/>
    </row>
    <row r="767">
      <c r="M767" s="52"/>
      <c r="N767" s="52"/>
      <c r="O767" s="52"/>
      <c r="P767" s="52"/>
      <c r="Q767" s="52"/>
      <c r="U767" s="52"/>
    </row>
    <row r="768">
      <c r="M768" s="52"/>
      <c r="N768" s="52"/>
      <c r="O768" s="52"/>
      <c r="P768" s="52"/>
      <c r="Q768" s="52"/>
      <c r="U768" s="52"/>
    </row>
    <row r="769">
      <c r="M769" s="52"/>
      <c r="N769" s="52"/>
      <c r="O769" s="52"/>
      <c r="P769" s="52"/>
      <c r="Q769" s="52"/>
      <c r="U769" s="52"/>
    </row>
    <row r="770">
      <c r="M770" s="52"/>
      <c r="N770" s="52"/>
      <c r="O770" s="52"/>
      <c r="P770" s="52"/>
      <c r="Q770" s="52"/>
      <c r="U770" s="52"/>
    </row>
    <row r="771">
      <c r="M771" s="52"/>
      <c r="N771" s="52"/>
      <c r="O771" s="52"/>
      <c r="P771" s="52"/>
      <c r="Q771" s="52"/>
      <c r="U771" s="52"/>
    </row>
    <row r="772">
      <c r="M772" s="52"/>
      <c r="N772" s="52"/>
      <c r="O772" s="52"/>
      <c r="P772" s="52"/>
      <c r="Q772" s="52"/>
      <c r="U772" s="52"/>
    </row>
    <row r="773">
      <c r="M773" s="52"/>
      <c r="N773" s="52"/>
      <c r="O773" s="52"/>
      <c r="P773" s="52"/>
      <c r="Q773" s="52"/>
      <c r="U773" s="52"/>
    </row>
    <row r="774">
      <c r="M774" s="52"/>
      <c r="N774" s="52"/>
      <c r="O774" s="52"/>
      <c r="P774" s="52"/>
      <c r="Q774" s="52"/>
      <c r="U774" s="52"/>
    </row>
    <row r="775">
      <c r="M775" s="52"/>
      <c r="N775" s="52"/>
      <c r="O775" s="52"/>
      <c r="P775" s="52"/>
      <c r="Q775" s="52"/>
      <c r="U775" s="52"/>
    </row>
    <row r="776">
      <c r="M776" s="52"/>
      <c r="N776" s="52"/>
      <c r="O776" s="52"/>
      <c r="P776" s="52"/>
      <c r="Q776" s="52"/>
      <c r="U776" s="52"/>
    </row>
    <row r="777">
      <c r="M777" s="52"/>
      <c r="N777" s="52"/>
      <c r="O777" s="52"/>
      <c r="P777" s="52"/>
      <c r="Q777" s="52"/>
      <c r="U777" s="52"/>
    </row>
    <row r="778">
      <c r="M778" s="52"/>
      <c r="N778" s="52"/>
      <c r="O778" s="52"/>
      <c r="P778" s="52"/>
      <c r="Q778" s="52"/>
      <c r="U778" s="52"/>
    </row>
    <row r="779">
      <c r="M779" s="52"/>
      <c r="N779" s="52"/>
      <c r="O779" s="52"/>
      <c r="P779" s="52"/>
      <c r="Q779" s="52"/>
      <c r="U779" s="52"/>
    </row>
    <row r="780">
      <c r="M780" s="52"/>
      <c r="N780" s="52"/>
      <c r="O780" s="52"/>
      <c r="P780" s="52"/>
      <c r="Q780" s="52"/>
      <c r="U780" s="52"/>
    </row>
    <row r="781">
      <c r="M781" s="52"/>
      <c r="N781" s="52"/>
      <c r="O781" s="52"/>
      <c r="P781" s="52"/>
      <c r="Q781" s="52"/>
      <c r="U781" s="52"/>
    </row>
    <row r="782">
      <c r="M782" s="52"/>
      <c r="N782" s="52"/>
      <c r="O782" s="52"/>
      <c r="P782" s="52"/>
      <c r="Q782" s="52"/>
      <c r="U782" s="52"/>
    </row>
    <row r="783">
      <c r="M783" s="52"/>
      <c r="N783" s="52"/>
      <c r="O783" s="52"/>
      <c r="P783" s="52"/>
      <c r="Q783" s="52"/>
      <c r="U783" s="52"/>
    </row>
    <row r="784">
      <c r="M784" s="52"/>
      <c r="N784" s="52"/>
      <c r="O784" s="52"/>
      <c r="P784" s="52"/>
      <c r="Q784" s="52"/>
      <c r="U784" s="52"/>
    </row>
    <row r="785">
      <c r="M785" s="52"/>
      <c r="N785" s="52"/>
      <c r="O785" s="52"/>
      <c r="P785" s="52"/>
      <c r="Q785" s="52"/>
      <c r="U785" s="52"/>
    </row>
    <row r="786">
      <c r="M786" s="52"/>
      <c r="N786" s="52"/>
      <c r="O786" s="52"/>
      <c r="P786" s="52"/>
      <c r="Q786" s="52"/>
      <c r="U786" s="52"/>
    </row>
    <row r="787">
      <c r="M787" s="52"/>
      <c r="N787" s="52"/>
      <c r="O787" s="52"/>
      <c r="P787" s="52"/>
      <c r="Q787" s="52"/>
      <c r="U787" s="52"/>
    </row>
    <row r="788">
      <c r="M788" s="52"/>
      <c r="N788" s="52"/>
      <c r="O788" s="52"/>
      <c r="P788" s="52"/>
      <c r="Q788" s="52"/>
      <c r="U788" s="52"/>
    </row>
    <row r="789">
      <c r="M789" s="52"/>
      <c r="N789" s="52"/>
      <c r="O789" s="52"/>
      <c r="P789" s="52"/>
      <c r="Q789" s="52"/>
      <c r="U789" s="52"/>
    </row>
    <row r="790">
      <c r="M790" s="52"/>
      <c r="N790" s="52"/>
      <c r="O790" s="52"/>
      <c r="P790" s="52"/>
      <c r="Q790" s="52"/>
      <c r="U790" s="52"/>
    </row>
    <row r="791">
      <c r="M791" s="52"/>
      <c r="N791" s="52"/>
      <c r="O791" s="52"/>
      <c r="P791" s="52"/>
      <c r="Q791" s="52"/>
      <c r="U791" s="52"/>
    </row>
    <row r="792">
      <c r="M792" s="52"/>
      <c r="N792" s="52"/>
      <c r="O792" s="52"/>
      <c r="P792" s="52"/>
      <c r="Q792" s="52"/>
      <c r="U792" s="52"/>
    </row>
    <row r="793">
      <c r="M793" s="52"/>
      <c r="N793" s="52"/>
      <c r="O793" s="52"/>
      <c r="P793" s="52"/>
      <c r="Q793" s="52"/>
      <c r="U793" s="52"/>
    </row>
    <row r="794">
      <c r="M794" s="52"/>
      <c r="N794" s="52"/>
      <c r="O794" s="52"/>
      <c r="P794" s="52"/>
      <c r="Q794" s="52"/>
      <c r="U794" s="52"/>
    </row>
    <row r="795">
      <c r="M795" s="52"/>
      <c r="N795" s="52"/>
      <c r="O795" s="52"/>
      <c r="P795" s="52"/>
      <c r="Q795" s="52"/>
      <c r="U795" s="52"/>
    </row>
    <row r="796">
      <c r="M796" s="52"/>
      <c r="N796" s="52"/>
      <c r="O796" s="52"/>
      <c r="P796" s="52"/>
      <c r="Q796" s="52"/>
      <c r="U796" s="52"/>
    </row>
    <row r="797">
      <c r="M797" s="52"/>
      <c r="N797" s="52"/>
      <c r="O797" s="52"/>
      <c r="P797" s="52"/>
      <c r="Q797" s="52"/>
      <c r="U797" s="52"/>
    </row>
    <row r="798">
      <c r="M798" s="52"/>
      <c r="N798" s="52"/>
      <c r="O798" s="52"/>
      <c r="P798" s="52"/>
      <c r="Q798" s="52"/>
      <c r="U798" s="52"/>
    </row>
    <row r="799">
      <c r="M799" s="52"/>
      <c r="N799" s="52"/>
      <c r="O799" s="52"/>
      <c r="P799" s="52"/>
      <c r="Q799" s="52"/>
      <c r="U799" s="52"/>
    </row>
    <row r="800">
      <c r="M800" s="52"/>
      <c r="N800" s="52"/>
      <c r="O800" s="52"/>
      <c r="P800" s="52"/>
      <c r="Q800" s="52"/>
      <c r="U800" s="52"/>
    </row>
    <row r="801">
      <c r="M801" s="52"/>
      <c r="N801" s="52"/>
      <c r="O801" s="52"/>
      <c r="P801" s="52"/>
      <c r="Q801" s="52"/>
      <c r="U801" s="52"/>
    </row>
    <row r="802">
      <c r="M802" s="52"/>
      <c r="N802" s="52"/>
      <c r="O802" s="52"/>
      <c r="P802" s="52"/>
      <c r="Q802" s="52"/>
      <c r="U802" s="52"/>
    </row>
    <row r="803">
      <c r="M803" s="52"/>
      <c r="N803" s="52"/>
      <c r="O803" s="52"/>
      <c r="P803" s="52"/>
      <c r="Q803" s="52"/>
      <c r="U803" s="52"/>
    </row>
    <row r="804">
      <c r="M804" s="52"/>
      <c r="N804" s="52"/>
      <c r="O804" s="52"/>
      <c r="P804" s="52"/>
      <c r="Q804" s="52"/>
      <c r="U804" s="52"/>
    </row>
    <row r="805">
      <c r="M805" s="52"/>
      <c r="N805" s="52"/>
      <c r="O805" s="52"/>
      <c r="P805" s="52"/>
      <c r="Q805" s="52"/>
      <c r="U805" s="52"/>
    </row>
    <row r="806">
      <c r="M806" s="52"/>
      <c r="N806" s="52"/>
      <c r="O806" s="52"/>
      <c r="P806" s="52"/>
      <c r="Q806" s="52"/>
      <c r="U806" s="52"/>
    </row>
    <row r="807">
      <c r="M807" s="52"/>
      <c r="N807" s="52"/>
      <c r="O807" s="52"/>
      <c r="P807" s="52"/>
      <c r="Q807" s="52"/>
      <c r="U807" s="52"/>
    </row>
    <row r="808">
      <c r="M808" s="52"/>
      <c r="N808" s="52"/>
      <c r="O808" s="52"/>
      <c r="P808" s="52"/>
      <c r="Q808" s="52"/>
      <c r="U808" s="52"/>
    </row>
    <row r="809">
      <c r="M809" s="52"/>
      <c r="N809" s="52"/>
      <c r="O809" s="52"/>
      <c r="P809" s="52"/>
      <c r="Q809" s="52"/>
      <c r="U809" s="52"/>
    </row>
    <row r="810">
      <c r="M810" s="52"/>
      <c r="N810" s="52"/>
      <c r="O810" s="52"/>
      <c r="P810" s="52"/>
      <c r="Q810" s="52"/>
      <c r="U810" s="52"/>
    </row>
    <row r="811">
      <c r="M811" s="52"/>
      <c r="N811" s="52"/>
      <c r="O811" s="52"/>
      <c r="P811" s="52"/>
      <c r="Q811" s="52"/>
      <c r="U811" s="52"/>
    </row>
    <row r="812">
      <c r="M812" s="52"/>
      <c r="N812" s="52"/>
      <c r="O812" s="52"/>
      <c r="P812" s="52"/>
      <c r="Q812" s="52"/>
      <c r="U812" s="52"/>
    </row>
    <row r="813">
      <c r="M813" s="52"/>
      <c r="N813" s="52"/>
      <c r="O813" s="52"/>
      <c r="P813" s="52"/>
      <c r="Q813" s="52"/>
      <c r="U813" s="52"/>
    </row>
    <row r="814">
      <c r="M814" s="52"/>
      <c r="N814" s="52"/>
      <c r="O814" s="52"/>
      <c r="P814" s="52"/>
      <c r="Q814" s="52"/>
      <c r="U814" s="52"/>
    </row>
    <row r="815">
      <c r="M815" s="52"/>
      <c r="N815" s="52"/>
      <c r="O815" s="52"/>
      <c r="P815" s="52"/>
      <c r="Q815" s="52"/>
      <c r="U815" s="52"/>
    </row>
    <row r="816">
      <c r="M816" s="52"/>
      <c r="N816" s="52"/>
      <c r="O816" s="52"/>
      <c r="P816" s="52"/>
      <c r="Q816" s="52"/>
      <c r="U816" s="52"/>
    </row>
    <row r="817">
      <c r="M817" s="52"/>
      <c r="N817" s="52"/>
      <c r="O817" s="52"/>
      <c r="P817" s="52"/>
      <c r="Q817" s="52"/>
      <c r="U817" s="52"/>
    </row>
    <row r="818">
      <c r="M818" s="52"/>
      <c r="N818" s="52"/>
      <c r="O818" s="52"/>
      <c r="P818" s="52"/>
      <c r="Q818" s="52"/>
      <c r="U818" s="52"/>
    </row>
    <row r="819">
      <c r="M819" s="52"/>
      <c r="N819" s="52"/>
      <c r="O819" s="52"/>
      <c r="P819" s="52"/>
      <c r="Q819" s="52"/>
      <c r="U819" s="52"/>
    </row>
    <row r="820">
      <c r="M820" s="52"/>
      <c r="N820" s="52"/>
      <c r="O820" s="52"/>
      <c r="P820" s="52"/>
      <c r="Q820" s="52"/>
      <c r="U820" s="52"/>
    </row>
    <row r="821">
      <c r="M821" s="52"/>
      <c r="N821" s="52"/>
      <c r="O821" s="52"/>
      <c r="P821" s="52"/>
      <c r="Q821" s="52"/>
      <c r="U821" s="52"/>
    </row>
    <row r="822">
      <c r="M822" s="52"/>
      <c r="N822" s="52"/>
      <c r="O822" s="52"/>
      <c r="P822" s="52"/>
      <c r="Q822" s="52"/>
      <c r="U822" s="52"/>
    </row>
    <row r="823">
      <c r="M823" s="52"/>
      <c r="N823" s="52"/>
      <c r="O823" s="52"/>
      <c r="P823" s="52"/>
      <c r="Q823" s="52"/>
      <c r="U823" s="52"/>
    </row>
    <row r="824">
      <c r="M824" s="52"/>
      <c r="N824" s="52"/>
      <c r="O824" s="52"/>
      <c r="P824" s="52"/>
      <c r="Q824" s="52"/>
      <c r="U824" s="52"/>
    </row>
    <row r="825">
      <c r="M825" s="52"/>
      <c r="N825" s="52"/>
      <c r="O825" s="52"/>
      <c r="P825" s="52"/>
      <c r="Q825" s="52"/>
      <c r="U825" s="52"/>
    </row>
    <row r="826">
      <c r="M826" s="52"/>
      <c r="N826" s="52"/>
      <c r="O826" s="52"/>
      <c r="P826" s="52"/>
      <c r="Q826" s="52"/>
      <c r="U826" s="52"/>
    </row>
    <row r="827">
      <c r="M827" s="52"/>
      <c r="N827" s="52"/>
      <c r="O827" s="52"/>
      <c r="P827" s="52"/>
      <c r="Q827" s="52"/>
      <c r="U827" s="52"/>
    </row>
    <row r="828">
      <c r="M828" s="52"/>
      <c r="N828" s="52"/>
      <c r="O828" s="52"/>
      <c r="P828" s="52"/>
      <c r="Q828" s="52"/>
      <c r="U828" s="52"/>
    </row>
    <row r="829">
      <c r="M829" s="52"/>
      <c r="N829" s="52"/>
      <c r="O829" s="52"/>
      <c r="P829" s="52"/>
      <c r="Q829" s="52"/>
      <c r="U829" s="52"/>
    </row>
    <row r="830">
      <c r="M830" s="52"/>
      <c r="N830" s="52"/>
      <c r="O830" s="52"/>
      <c r="P830" s="52"/>
      <c r="Q830" s="52"/>
      <c r="U830" s="52"/>
    </row>
    <row r="831">
      <c r="M831" s="52"/>
      <c r="N831" s="52"/>
      <c r="O831" s="52"/>
      <c r="P831" s="52"/>
      <c r="Q831" s="52"/>
      <c r="U831" s="52"/>
    </row>
    <row r="832">
      <c r="M832" s="52"/>
      <c r="N832" s="52"/>
      <c r="O832" s="52"/>
      <c r="P832" s="52"/>
      <c r="Q832" s="52"/>
      <c r="U832" s="52"/>
    </row>
    <row r="833">
      <c r="M833" s="52"/>
      <c r="N833" s="52"/>
      <c r="O833" s="52"/>
      <c r="P833" s="52"/>
      <c r="Q833" s="52"/>
      <c r="U833" s="52"/>
    </row>
    <row r="834">
      <c r="M834" s="52"/>
      <c r="N834" s="52"/>
      <c r="O834" s="52"/>
      <c r="P834" s="52"/>
      <c r="Q834" s="52"/>
      <c r="U834" s="52"/>
    </row>
    <row r="835">
      <c r="M835" s="52"/>
      <c r="N835" s="52"/>
      <c r="O835" s="52"/>
      <c r="P835" s="52"/>
      <c r="Q835" s="52"/>
      <c r="U835" s="52"/>
    </row>
    <row r="836">
      <c r="M836" s="52"/>
      <c r="N836" s="52"/>
      <c r="O836" s="52"/>
      <c r="P836" s="52"/>
      <c r="Q836" s="52"/>
      <c r="U836" s="52"/>
    </row>
    <row r="837">
      <c r="M837" s="52"/>
      <c r="N837" s="52"/>
      <c r="O837" s="52"/>
      <c r="P837" s="52"/>
      <c r="Q837" s="52"/>
      <c r="U837" s="52"/>
    </row>
    <row r="838">
      <c r="M838" s="52"/>
      <c r="N838" s="52"/>
      <c r="O838" s="52"/>
      <c r="P838" s="52"/>
      <c r="Q838" s="52"/>
      <c r="U838" s="52"/>
    </row>
    <row r="839">
      <c r="M839" s="52"/>
      <c r="N839" s="52"/>
      <c r="O839" s="52"/>
      <c r="P839" s="52"/>
      <c r="Q839" s="52"/>
      <c r="U839" s="52"/>
    </row>
    <row r="840">
      <c r="M840" s="52"/>
      <c r="N840" s="52"/>
      <c r="O840" s="52"/>
      <c r="P840" s="52"/>
      <c r="Q840" s="52"/>
      <c r="U840" s="52"/>
    </row>
    <row r="841">
      <c r="M841" s="52"/>
      <c r="N841" s="52"/>
      <c r="O841" s="52"/>
      <c r="P841" s="52"/>
      <c r="Q841" s="52"/>
      <c r="U841" s="52"/>
    </row>
    <row r="842">
      <c r="M842" s="52"/>
      <c r="N842" s="52"/>
      <c r="O842" s="52"/>
      <c r="P842" s="52"/>
      <c r="Q842" s="52"/>
      <c r="U842" s="52"/>
    </row>
    <row r="843">
      <c r="M843" s="52"/>
      <c r="N843" s="52"/>
      <c r="O843" s="52"/>
      <c r="P843" s="52"/>
      <c r="Q843" s="52"/>
      <c r="U843" s="52"/>
    </row>
    <row r="844">
      <c r="M844" s="52"/>
      <c r="N844" s="52"/>
      <c r="O844" s="52"/>
      <c r="P844" s="52"/>
      <c r="Q844" s="52"/>
      <c r="U844" s="52"/>
    </row>
    <row r="845">
      <c r="M845" s="52"/>
      <c r="N845" s="52"/>
      <c r="O845" s="52"/>
      <c r="P845" s="52"/>
      <c r="Q845" s="52"/>
      <c r="U845" s="52"/>
    </row>
    <row r="846">
      <c r="M846" s="52"/>
      <c r="N846" s="52"/>
      <c r="O846" s="52"/>
      <c r="P846" s="52"/>
      <c r="Q846" s="52"/>
      <c r="U846" s="52"/>
    </row>
    <row r="847">
      <c r="M847" s="52"/>
      <c r="N847" s="52"/>
      <c r="O847" s="52"/>
      <c r="P847" s="52"/>
      <c r="Q847" s="52"/>
      <c r="U847" s="52"/>
    </row>
    <row r="848">
      <c r="M848" s="52"/>
      <c r="N848" s="52"/>
      <c r="O848" s="52"/>
      <c r="P848" s="52"/>
      <c r="Q848" s="52"/>
      <c r="U848" s="52"/>
    </row>
    <row r="849">
      <c r="M849" s="52"/>
      <c r="N849" s="52"/>
      <c r="O849" s="52"/>
      <c r="P849" s="52"/>
      <c r="Q849" s="52"/>
      <c r="U849" s="52"/>
    </row>
    <row r="850">
      <c r="M850" s="52"/>
      <c r="N850" s="52"/>
      <c r="O850" s="52"/>
      <c r="P850" s="52"/>
      <c r="Q850" s="52"/>
      <c r="U850" s="52"/>
    </row>
    <row r="851">
      <c r="M851" s="52"/>
      <c r="N851" s="52"/>
      <c r="O851" s="52"/>
      <c r="P851" s="52"/>
      <c r="Q851" s="52"/>
      <c r="U851" s="52"/>
    </row>
    <row r="852">
      <c r="M852" s="52"/>
      <c r="N852" s="52"/>
      <c r="O852" s="52"/>
      <c r="P852" s="52"/>
      <c r="Q852" s="52"/>
      <c r="U852" s="52"/>
    </row>
    <row r="853">
      <c r="M853" s="52"/>
      <c r="N853" s="52"/>
      <c r="O853" s="52"/>
      <c r="P853" s="52"/>
      <c r="Q853" s="52"/>
      <c r="U853" s="52"/>
    </row>
    <row r="854">
      <c r="M854" s="52"/>
      <c r="N854" s="52"/>
      <c r="O854" s="52"/>
      <c r="P854" s="52"/>
      <c r="Q854" s="52"/>
      <c r="U854" s="52"/>
    </row>
    <row r="855">
      <c r="M855" s="52"/>
      <c r="N855" s="52"/>
      <c r="O855" s="52"/>
      <c r="P855" s="52"/>
      <c r="Q855" s="52"/>
      <c r="U855" s="52"/>
    </row>
    <row r="856">
      <c r="M856" s="52"/>
      <c r="N856" s="52"/>
      <c r="O856" s="52"/>
      <c r="P856" s="52"/>
      <c r="Q856" s="52"/>
      <c r="U856" s="52"/>
    </row>
    <row r="857">
      <c r="M857" s="52"/>
      <c r="N857" s="52"/>
      <c r="O857" s="52"/>
      <c r="P857" s="52"/>
      <c r="Q857" s="52"/>
      <c r="U857" s="52"/>
    </row>
    <row r="858">
      <c r="M858" s="52"/>
      <c r="N858" s="52"/>
      <c r="O858" s="52"/>
      <c r="P858" s="52"/>
      <c r="Q858" s="52"/>
      <c r="U858" s="52"/>
    </row>
    <row r="859">
      <c r="M859" s="52"/>
      <c r="N859" s="52"/>
      <c r="O859" s="52"/>
      <c r="P859" s="52"/>
      <c r="Q859" s="52"/>
      <c r="U859" s="52"/>
    </row>
    <row r="860">
      <c r="M860" s="52"/>
      <c r="N860" s="52"/>
      <c r="O860" s="52"/>
      <c r="P860" s="52"/>
      <c r="Q860" s="52"/>
      <c r="U860" s="52"/>
    </row>
    <row r="861">
      <c r="M861" s="52"/>
      <c r="N861" s="52"/>
      <c r="O861" s="52"/>
      <c r="P861" s="52"/>
      <c r="Q861" s="52"/>
      <c r="U861" s="52"/>
    </row>
    <row r="862">
      <c r="M862" s="52"/>
      <c r="N862" s="52"/>
      <c r="O862" s="52"/>
      <c r="P862" s="52"/>
      <c r="Q862" s="52"/>
      <c r="U862" s="52"/>
    </row>
    <row r="863">
      <c r="M863" s="52"/>
      <c r="N863" s="52"/>
      <c r="O863" s="52"/>
      <c r="P863" s="52"/>
      <c r="Q863" s="52"/>
      <c r="U863" s="52"/>
    </row>
    <row r="864">
      <c r="M864" s="52"/>
      <c r="N864" s="52"/>
      <c r="O864" s="52"/>
      <c r="P864" s="52"/>
      <c r="Q864" s="52"/>
      <c r="U864" s="52"/>
    </row>
    <row r="865">
      <c r="M865" s="52"/>
      <c r="N865" s="52"/>
      <c r="O865" s="52"/>
      <c r="P865" s="52"/>
      <c r="Q865" s="52"/>
      <c r="U865" s="52"/>
    </row>
    <row r="866">
      <c r="M866" s="52"/>
      <c r="N866" s="52"/>
      <c r="O866" s="52"/>
      <c r="P866" s="52"/>
      <c r="Q866" s="52"/>
      <c r="U866" s="52"/>
    </row>
    <row r="867">
      <c r="M867" s="52"/>
      <c r="N867" s="52"/>
      <c r="O867" s="52"/>
      <c r="P867" s="52"/>
      <c r="Q867" s="52"/>
      <c r="U867" s="52"/>
    </row>
    <row r="868">
      <c r="M868" s="52"/>
      <c r="N868" s="52"/>
      <c r="O868" s="52"/>
      <c r="P868" s="52"/>
      <c r="Q868" s="52"/>
      <c r="U868" s="52"/>
    </row>
    <row r="869">
      <c r="M869" s="52"/>
      <c r="N869" s="52"/>
      <c r="O869" s="52"/>
      <c r="P869" s="52"/>
      <c r="Q869" s="52"/>
      <c r="U869" s="52"/>
    </row>
    <row r="870">
      <c r="M870" s="52"/>
      <c r="N870" s="52"/>
      <c r="O870" s="52"/>
      <c r="P870" s="52"/>
      <c r="Q870" s="52"/>
      <c r="U870" s="52"/>
    </row>
    <row r="871">
      <c r="M871" s="52"/>
      <c r="N871" s="52"/>
      <c r="O871" s="52"/>
      <c r="P871" s="52"/>
      <c r="Q871" s="52"/>
      <c r="U871" s="52"/>
    </row>
    <row r="872">
      <c r="M872" s="52"/>
      <c r="N872" s="52"/>
      <c r="O872" s="52"/>
      <c r="P872" s="52"/>
      <c r="Q872" s="52"/>
      <c r="U872" s="52"/>
    </row>
    <row r="873">
      <c r="M873" s="52"/>
      <c r="N873" s="52"/>
      <c r="O873" s="52"/>
      <c r="P873" s="52"/>
      <c r="Q873" s="52"/>
      <c r="U873" s="52"/>
    </row>
    <row r="874">
      <c r="M874" s="52"/>
      <c r="N874" s="52"/>
      <c r="O874" s="52"/>
      <c r="P874" s="52"/>
      <c r="Q874" s="52"/>
      <c r="U874" s="52"/>
    </row>
    <row r="875">
      <c r="M875" s="52"/>
      <c r="N875" s="52"/>
      <c r="O875" s="52"/>
      <c r="P875" s="52"/>
      <c r="Q875" s="52"/>
      <c r="U875" s="52"/>
    </row>
    <row r="876">
      <c r="M876" s="52"/>
      <c r="N876" s="52"/>
      <c r="O876" s="52"/>
      <c r="P876" s="52"/>
      <c r="Q876" s="52"/>
      <c r="U876" s="52"/>
    </row>
    <row r="877">
      <c r="M877" s="52"/>
      <c r="N877" s="52"/>
      <c r="O877" s="52"/>
      <c r="P877" s="52"/>
      <c r="Q877" s="52"/>
      <c r="U877" s="52"/>
    </row>
    <row r="878">
      <c r="M878" s="52"/>
      <c r="N878" s="52"/>
      <c r="O878" s="52"/>
      <c r="P878" s="52"/>
      <c r="Q878" s="52"/>
      <c r="U878" s="52"/>
    </row>
    <row r="879">
      <c r="M879" s="52"/>
      <c r="N879" s="52"/>
      <c r="O879" s="52"/>
      <c r="P879" s="52"/>
      <c r="Q879" s="52"/>
      <c r="U879" s="52"/>
    </row>
    <row r="880">
      <c r="M880" s="52"/>
      <c r="N880" s="52"/>
      <c r="O880" s="52"/>
      <c r="P880" s="52"/>
      <c r="Q880" s="52"/>
      <c r="U880" s="52"/>
    </row>
    <row r="881">
      <c r="M881" s="52"/>
      <c r="N881" s="52"/>
      <c r="O881" s="52"/>
      <c r="P881" s="52"/>
      <c r="Q881" s="52"/>
      <c r="U881" s="52"/>
    </row>
    <row r="882">
      <c r="M882" s="52"/>
      <c r="N882" s="52"/>
      <c r="O882" s="52"/>
      <c r="P882" s="52"/>
      <c r="Q882" s="52"/>
      <c r="U882" s="52"/>
    </row>
    <row r="883">
      <c r="M883" s="52"/>
      <c r="N883" s="52"/>
      <c r="O883" s="52"/>
      <c r="P883" s="52"/>
      <c r="Q883" s="52"/>
      <c r="U883" s="52"/>
    </row>
    <row r="884">
      <c r="M884" s="52"/>
      <c r="N884" s="52"/>
      <c r="O884" s="52"/>
      <c r="P884" s="52"/>
      <c r="Q884" s="52"/>
      <c r="U884" s="52"/>
    </row>
    <row r="885">
      <c r="M885" s="52"/>
      <c r="N885" s="52"/>
      <c r="O885" s="52"/>
      <c r="P885" s="52"/>
      <c r="Q885" s="52"/>
      <c r="U885" s="52"/>
    </row>
    <row r="886">
      <c r="M886" s="52"/>
      <c r="N886" s="52"/>
      <c r="O886" s="52"/>
      <c r="P886" s="52"/>
      <c r="Q886" s="52"/>
      <c r="U886" s="52"/>
    </row>
    <row r="887">
      <c r="M887" s="52"/>
      <c r="N887" s="52"/>
      <c r="O887" s="52"/>
      <c r="P887" s="52"/>
      <c r="Q887" s="52"/>
      <c r="U887" s="52"/>
    </row>
    <row r="888">
      <c r="M888" s="52"/>
      <c r="N888" s="52"/>
      <c r="O888" s="52"/>
      <c r="P888" s="52"/>
      <c r="Q888" s="52"/>
      <c r="U888" s="52"/>
    </row>
    <row r="889">
      <c r="M889" s="52"/>
      <c r="N889" s="52"/>
      <c r="O889" s="52"/>
      <c r="P889" s="52"/>
      <c r="Q889" s="52"/>
      <c r="U889" s="52"/>
    </row>
    <row r="890">
      <c r="M890" s="52"/>
      <c r="N890" s="52"/>
      <c r="O890" s="52"/>
      <c r="P890" s="52"/>
      <c r="Q890" s="52"/>
      <c r="U890" s="52"/>
    </row>
    <row r="891">
      <c r="M891" s="52"/>
      <c r="N891" s="52"/>
      <c r="O891" s="52"/>
      <c r="P891" s="52"/>
      <c r="Q891" s="52"/>
      <c r="U891" s="52"/>
    </row>
    <row r="892">
      <c r="M892" s="52"/>
      <c r="N892" s="52"/>
      <c r="O892" s="52"/>
      <c r="P892" s="52"/>
      <c r="Q892" s="52"/>
      <c r="U892" s="52"/>
    </row>
    <row r="893">
      <c r="M893" s="52"/>
      <c r="N893" s="52"/>
      <c r="O893" s="52"/>
      <c r="P893" s="52"/>
      <c r="Q893" s="52"/>
      <c r="U893" s="52"/>
    </row>
    <row r="894">
      <c r="M894" s="52"/>
      <c r="N894" s="52"/>
      <c r="O894" s="52"/>
      <c r="P894" s="52"/>
      <c r="Q894" s="52"/>
      <c r="U894" s="52"/>
    </row>
    <row r="895">
      <c r="M895" s="52"/>
      <c r="N895" s="52"/>
      <c r="O895" s="52"/>
      <c r="P895" s="52"/>
      <c r="Q895" s="52"/>
      <c r="U895" s="52"/>
    </row>
    <row r="896">
      <c r="M896" s="52"/>
      <c r="N896" s="52"/>
      <c r="O896" s="52"/>
      <c r="P896" s="52"/>
      <c r="Q896" s="52"/>
      <c r="U896" s="52"/>
    </row>
    <row r="897">
      <c r="M897" s="52"/>
      <c r="N897" s="52"/>
      <c r="O897" s="52"/>
      <c r="P897" s="52"/>
      <c r="Q897" s="52"/>
      <c r="U897" s="52"/>
    </row>
    <row r="898">
      <c r="M898" s="52"/>
      <c r="N898" s="52"/>
      <c r="O898" s="52"/>
      <c r="P898" s="52"/>
      <c r="Q898" s="52"/>
      <c r="U898" s="52"/>
    </row>
    <row r="899">
      <c r="M899" s="52"/>
      <c r="N899" s="52"/>
      <c r="O899" s="52"/>
      <c r="P899" s="52"/>
      <c r="Q899" s="52"/>
      <c r="U899" s="52"/>
    </row>
    <row r="900">
      <c r="M900" s="52"/>
      <c r="N900" s="52"/>
      <c r="O900" s="52"/>
      <c r="P900" s="52"/>
      <c r="Q900" s="52"/>
      <c r="U900" s="52"/>
    </row>
    <row r="901">
      <c r="M901" s="52"/>
      <c r="N901" s="52"/>
      <c r="O901" s="52"/>
      <c r="P901" s="52"/>
      <c r="Q901" s="52"/>
      <c r="U901" s="52"/>
    </row>
    <row r="902">
      <c r="M902" s="52"/>
      <c r="N902" s="52"/>
      <c r="O902" s="52"/>
      <c r="P902" s="52"/>
      <c r="Q902" s="52"/>
      <c r="U902" s="52"/>
    </row>
    <row r="903">
      <c r="M903" s="52"/>
      <c r="N903" s="52"/>
      <c r="O903" s="52"/>
      <c r="P903" s="52"/>
      <c r="Q903" s="52"/>
      <c r="U903" s="52"/>
    </row>
    <row r="904">
      <c r="M904" s="52"/>
      <c r="N904" s="52"/>
      <c r="O904" s="52"/>
      <c r="P904" s="52"/>
      <c r="Q904" s="52"/>
      <c r="U904" s="52"/>
    </row>
    <row r="905">
      <c r="M905" s="52"/>
      <c r="N905" s="52"/>
      <c r="O905" s="52"/>
      <c r="P905" s="52"/>
      <c r="Q905" s="52"/>
      <c r="U905" s="52"/>
    </row>
    <row r="906">
      <c r="M906" s="52"/>
      <c r="N906" s="52"/>
      <c r="O906" s="52"/>
      <c r="P906" s="52"/>
      <c r="Q906" s="52"/>
      <c r="U906" s="52"/>
    </row>
    <row r="907">
      <c r="M907" s="52"/>
      <c r="N907" s="52"/>
      <c r="O907" s="52"/>
      <c r="P907" s="52"/>
      <c r="Q907" s="52"/>
      <c r="U907" s="52"/>
    </row>
    <row r="908">
      <c r="M908" s="52"/>
      <c r="N908" s="52"/>
      <c r="O908" s="52"/>
      <c r="P908" s="52"/>
      <c r="Q908" s="52"/>
      <c r="U908" s="52"/>
    </row>
    <row r="909">
      <c r="M909" s="52"/>
      <c r="N909" s="52"/>
      <c r="O909" s="52"/>
      <c r="P909" s="52"/>
      <c r="Q909" s="52"/>
      <c r="U909" s="52"/>
    </row>
    <row r="910">
      <c r="M910" s="52"/>
      <c r="N910" s="52"/>
      <c r="O910" s="52"/>
      <c r="P910" s="52"/>
      <c r="Q910" s="52"/>
      <c r="U910" s="52"/>
    </row>
    <row r="911">
      <c r="M911" s="52"/>
      <c r="N911" s="52"/>
      <c r="O911" s="52"/>
      <c r="P911" s="52"/>
      <c r="Q911" s="52"/>
      <c r="U911" s="52"/>
    </row>
    <row r="912">
      <c r="M912" s="52"/>
      <c r="N912" s="52"/>
      <c r="O912" s="52"/>
      <c r="P912" s="52"/>
      <c r="Q912" s="52"/>
      <c r="U912" s="52"/>
    </row>
    <row r="913">
      <c r="M913" s="52"/>
      <c r="N913" s="52"/>
      <c r="O913" s="52"/>
      <c r="P913" s="52"/>
      <c r="Q913" s="52"/>
      <c r="U913" s="52"/>
    </row>
    <row r="914">
      <c r="M914" s="52"/>
      <c r="N914" s="52"/>
      <c r="O914" s="52"/>
      <c r="P914" s="52"/>
      <c r="Q914" s="52"/>
      <c r="U914" s="52"/>
    </row>
    <row r="915">
      <c r="M915" s="52"/>
      <c r="N915" s="52"/>
      <c r="O915" s="52"/>
      <c r="P915" s="52"/>
      <c r="Q915" s="52"/>
      <c r="U915" s="52"/>
    </row>
    <row r="916">
      <c r="M916" s="52"/>
      <c r="N916" s="52"/>
      <c r="O916" s="52"/>
      <c r="P916" s="52"/>
      <c r="Q916" s="52"/>
      <c r="U916" s="52"/>
    </row>
    <row r="917">
      <c r="M917" s="52"/>
      <c r="N917" s="52"/>
      <c r="O917" s="52"/>
      <c r="P917" s="52"/>
      <c r="Q917" s="52"/>
      <c r="U917" s="52"/>
    </row>
    <row r="918">
      <c r="M918" s="52"/>
      <c r="N918" s="52"/>
      <c r="O918" s="52"/>
      <c r="P918" s="52"/>
      <c r="Q918" s="52"/>
      <c r="U918" s="52"/>
    </row>
    <row r="919">
      <c r="M919" s="52"/>
      <c r="N919" s="52"/>
      <c r="O919" s="52"/>
      <c r="P919" s="52"/>
      <c r="Q919" s="52"/>
      <c r="U919" s="52"/>
    </row>
    <row r="920">
      <c r="M920" s="52"/>
      <c r="N920" s="52"/>
      <c r="O920" s="52"/>
      <c r="P920" s="52"/>
      <c r="Q920" s="52"/>
      <c r="U920" s="52"/>
    </row>
    <row r="921">
      <c r="M921" s="52"/>
      <c r="N921" s="52"/>
      <c r="O921" s="52"/>
      <c r="P921" s="52"/>
      <c r="Q921" s="52"/>
      <c r="U921" s="52"/>
    </row>
    <row r="922">
      <c r="M922" s="52"/>
      <c r="N922" s="52"/>
      <c r="O922" s="52"/>
      <c r="P922" s="52"/>
      <c r="Q922" s="52"/>
      <c r="U922" s="52"/>
    </row>
    <row r="923">
      <c r="M923" s="52"/>
      <c r="N923" s="52"/>
      <c r="O923" s="52"/>
      <c r="P923" s="52"/>
      <c r="Q923" s="52"/>
      <c r="U923" s="52"/>
    </row>
    <row r="924">
      <c r="M924" s="52"/>
      <c r="N924" s="52"/>
      <c r="O924" s="52"/>
      <c r="P924" s="52"/>
      <c r="Q924" s="52"/>
      <c r="U924" s="52"/>
    </row>
    <row r="925">
      <c r="M925" s="52"/>
      <c r="N925" s="52"/>
      <c r="O925" s="52"/>
      <c r="P925" s="52"/>
      <c r="Q925" s="52"/>
      <c r="U925" s="52"/>
    </row>
    <row r="926">
      <c r="M926" s="52"/>
      <c r="N926" s="52"/>
      <c r="O926" s="52"/>
      <c r="P926" s="52"/>
      <c r="Q926" s="52"/>
      <c r="U926" s="52"/>
    </row>
    <row r="927">
      <c r="M927" s="52"/>
      <c r="N927" s="52"/>
      <c r="O927" s="52"/>
      <c r="P927" s="52"/>
      <c r="Q927" s="52"/>
      <c r="U927" s="52"/>
    </row>
    <row r="928">
      <c r="M928" s="52"/>
      <c r="N928" s="52"/>
      <c r="O928" s="52"/>
      <c r="P928" s="52"/>
      <c r="Q928" s="52"/>
      <c r="U928" s="52"/>
    </row>
    <row r="929">
      <c r="M929" s="52"/>
      <c r="N929" s="52"/>
      <c r="O929" s="52"/>
      <c r="P929" s="52"/>
      <c r="Q929" s="52"/>
      <c r="U929" s="52"/>
    </row>
    <row r="930">
      <c r="M930" s="52"/>
      <c r="N930" s="52"/>
      <c r="O930" s="52"/>
      <c r="P930" s="52"/>
      <c r="Q930" s="52"/>
      <c r="U930" s="52"/>
    </row>
    <row r="931">
      <c r="M931" s="52"/>
      <c r="N931" s="52"/>
      <c r="O931" s="52"/>
      <c r="P931" s="52"/>
      <c r="Q931" s="52"/>
      <c r="U931" s="52"/>
    </row>
    <row r="932">
      <c r="M932" s="52"/>
      <c r="N932" s="52"/>
      <c r="O932" s="52"/>
      <c r="P932" s="52"/>
      <c r="Q932" s="52"/>
      <c r="U932" s="52"/>
    </row>
    <row r="933">
      <c r="M933" s="52"/>
      <c r="N933" s="52"/>
      <c r="O933" s="52"/>
      <c r="P933" s="52"/>
      <c r="Q933" s="52"/>
      <c r="U933" s="52"/>
    </row>
    <row r="934">
      <c r="M934" s="52"/>
      <c r="N934" s="52"/>
      <c r="O934" s="52"/>
      <c r="P934" s="52"/>
      <c r="Q934" s="52"/>
      <c r="U934" s="52"/>
    </row>
    <row r="935">
      <c r="M935" s="52"/>
      <c r="N935" s="52"/>
      <c r="O935" s="52"/>
      <c r="P935" s="52"/>
      <c r="Q935" s="52"/>
      <c r="U935" s="52"/>
    </row>
    <row r="936">
      <c r="M936" s="52"/>
      <c r="N936" s="52"/>
      <c r="O936" s="52"/>
      <c r="P936" s="52"/>
      <c r="Q936" s="52"/>
      <c r="U936" s="52"/>
    </row>
    <row r="937">
      <c r="M937" s="52"/>
      <c r="N937" s="52"/>
      <c r="O937" s="52"/>
      <c r="P937" s="52"/>
      <c r="Q937" s="52"/>
      <c r="U937" s="52"/>
    </row>
    <row r="938">
      <c r="M938" s="52"/>
      <c r="N938" s="52"/>
      <c r="O938" s="52"/>
      <c r="P938" s="52"/>
      <c r="Q938" s="52"/>
      <c r="U938" s="52"/>
    </row>
    <row r="939">
      <c r="M939" s="52"/>
      <c r="N939" s="52"/>
      <c r="O939" s="52"/>
      <c r="P939" s="52"/>
      <c r="Q939" s="52"/>
      <c r="U939" s="52"/>
    </row>
    <row r="940">
      <c r="M940" s="52"/>
      <c r="N940" s="52"/>
      <c r="O940" s="52"/>
      <c r="P940" s="52"/>
      <c r="Q940" s="52"/>
      <c r="U940" s="52"/>
    </row>
    <row r="941">
      <c r="M941" s="52"/>
      <c r="N941" s="52"/>
      <c r="O941" s="52"/>
      <c r="P941" s="52"/>
      <c r="Q941" s="52"/>
      <c r="U941" s="52"/>
    </row>
    <row r="942">
      <c r="M942" s="52"/>
      <c r="N942" s="52"/>
      <c r="O942" s="52"/>
      <c r="P942" s="52"/>
      <c r="Q942" s="52"/>
      <c r="U942" s="52"/>
    </row>
    <row r="943">
      <c r="M943" s="52"/>
      <c r="N943" s="52"/>
      <c r="O943" s="52"/>
      <c r="P943" s="52"/>
      <c r="Q943" s="52"/>
      <c r="U943" s="52"/>
    </row>
    <row r="944">
      <c r="M944" s="52"/>
      <c r="N944" s="52"/>
      <c r="O944" s="52"/>
      <c r="P944" s="52"/>
      <c r="Q944" s="52"/>
      <c r="U944" s="52"/>
    </row>
    <row r="945">
      <c r="M945" s="52"/>
      <c r="N945" s="52"/>
      <c r="O945" s="52"/>
      <c r="P945" s="52"/>
      <c r="Q945" s="52"/>
      <c r="U945" s="52"/>
    </row>
    <row r="946">
      <c r="M946" s="52"/>
      <c r="N946" s="52"/>
      <c r="O946" s="52"/>
      <c r="P946" s="52"/>
      <c r="Q946" s="52"/>
      <c r="U946" s="52"/>
    </row>
    <row r="947">
      <c r="M947" s="52"/>
      <c r="N947" s="52"/>
      <c r="O947" s="52"/>
      <c r="P947" s="52"/>
      <c r="Q947" s="52"/>
      <c r="U947" s="52"/>
    </row>
    <row r="948">
      <c r="M948" s="52"/>
      <c r="N948" s="52"/>
      <c r="O948" s="52"/>
      <c r="P948" s="52"/>
      <c r="Q948" s="52"/>
      <c r="U948" s="52"/>
    </row>
    <row r="949">
      <c r="M949" s="52"/>
      <c r="N949" s="52"/>
      <c r="O949" s="52"/>
      <c r="P949" s="52"/>
      <c r="Q949" s="52"/>
      <c r="U949" s="52"/>
    </row>
    <row r="950">
      <c r="M950" s="52"/>
      <c r="N950" s="52"/>
      <c r="O950" s="52"/>
      <c r="P950" s="52"/>
      <c r="Q950" s="52"/>
      <c r="U950" s="52"/>
    </row>
    <row r="951">
      <c r="M951" s="52"/>
      <c r="N951" s="52"/>
      <c r="O951" s="52"/>
      <c r="P951" s="52"/>
      <c r="Q951" s="52"/>
      <c r="U951" s="52"/>
    </row>
    <row r="952">
      <c r="M952" s="52"/>
      <c r="N952" s="52"/>
      <c r="O952" s="52"/>
      <c r="P952" s="52"/>
      <c r="Q952" s="52"/>
      <c r="U952" s="52"/>
    </row>
    <row r="953">
      <c r="M953" s="52"/>
      <c r="N953" s="52"/>
      <c r="O953" s="52"/>
      <c r="P953" s="52"/>
      <c r="Q953" s="52"/>
      <c r="U953" s="52"/>
    </row>
    <row r="954">
      <c r="M954" s="52"/>
      <c r="N954" s="52"/>
      <c r="O954" s="52"/>
      <c r="P954" s="52"/>
      <c r="Q954" s="52"/>
      <c r="U954" s="52"/>
    </row>
    <row r="955">
      <c r="M955" s="52"/>
      <c r="N955" s="52"/>
      <c r="O955" s="52"/>
      <c r="P955" s="52"/>
      <c r="Q955" s="52"/>
      <c r="U955" s="52"/>
    </row>
    <row r="956">
      <c r="M956" s="52"/>
      <c r="N956" s="52"/>
      <c r="O956" s="52"/>
      <c r="P956" s="52"/>
      <c r="Q956" s="52"/>
      <c r="U956" s="52"/>
    </row>
    <row r="957">
      <c r="M957" s="52"/>
      <c r="N957" s="52"/>
      <c r="O957" s="52"/>
      <c r="P957" s="52"/>
      <c r="Q957" s="52"/>
      <c r="U957" s="52"/>
    </row>
    <row r="958">
      <c r="M958" s="52"/>
      <c r="N958" s="52"/>
      <c r="O958" s="52"/>
      <c r="P958" s="52"/>
      <c r="Q958" s="52"/>
      <c r="U958" s="52"/>
    </row>
    <row r="959">
      <c r="M959" s="52"/>
      <c r="N959" s="52"/>
      <c r="O959" s="52"/>
      <c r="P959" s="52"/>
      <c r="Q959" s="52"/>
      <c r="U959" s="52"/>
    </row>
    <row r="960">
      <c r="M960" s="52"/>
      <c r="N960" s="52"/>
      <c r="O960" s="52"/>
      <c r="P960" s="52"/>
      <c r="Q960" s="52"/>
      <c r="U960" s="52"/>
    </row>
    <row r="961">
      <c r="M961" s="52"/>
      <c r="N961" s="52"/>
      <c r="O961" s="52"/>
      <c r="P961" s="52"/>
      <c r="Q961" s="52"/>
      <c r="U961" s="52"/>
    </row>
    <row r="962">
      <c r="M962" s="52"/>
      <c r="N962" s="52"/>
      <c r="O962" s="52"/>
      <c r="P962" s="52"/>
      <c r="Q962" s="52"/>
      <c r="U962" s="52"/>
    </row>
    <row r="963">
      <c r="M963" s="52"/>
      <c r="N963" s="52"/>
      <c r="O963" s="52"/>
      <c r="P963" s="52"/>
      <c r="Q963" s="52"/>
      <c r="U963" s="52"/>
    </row>
    <row r="964">
      <c r="M964" s="52"/>
      <c r="N964" s="52"/>
      <c r="O964" s="52"/>
      <c r="P964" s="52"/>
      <c r="Q964" s="52"/>
      <c r="U964" s="52"/>
    </row>
    <row r="965">
      <c r="M965" s="52"/>
      <c r="N965" s="52"/>
      <c r="O965" s="52"/>
      <c r="P965" s="52"/>
      <c r="Q965" s="52"/>
      <c r="U965" s="52"/>
    </row>
    <row r="966">
      <c r="M966" s="52"/>
      <c r="N966" s="52"/>
      <c r="O966" s="52"/>
      <c r="P966" s="52"/>
      <c r="Q966" s="52"/>
      <c r="U966" s="52"/>
    </row>
    <row r="967">
      <c r="M967" s="52"/>
      <c r="N967" s="52"/>
      <c r="O967" s="52"/>
      <c r="P967" s="52"/>
      <c r="Q967" s="52"/>
      <c r="U967" s="52"/>
    </row>
    <row r="968">
      <c r="M968" s="52"/>
      <c r="N968" s="52"/>
      <c r="O968" s="52"/>
      <c r="P968" s="52"/>
      <c r="Q968" s="52"/>
      <c r="U968" s="52"/>
    </row>
    <row r="969">
      <c r="M969" s="52"/>
      <c r="N969" s="52"/>
      <c r="O969" s="52"/>
      <c r="P969" s="52"/>
      <c r="Q969" s="52"/>
      <c r="U969" s="52"/>
    </row>
    <row r="970">
      <c r="M970" s="52"/>
      <c r="N970" s="52"/>
      <c r="O970" s="52"/>
      <c r="P970" s="52"/>
      <c r="Q970" s="52"/>
      <c r="U970" s="52"/>
    </row>
    <row r="971">
      <c r="M971" s="52"/>
      <c r="N971" s="52"/>
      <c r="O971" s="52"/>
      <c r="P971" s="52"/>
      <c r="Q971" s="52"/>
      <c r="U971" s="52"/>
    </row>
    <row r="972">
      <c r="M972" s="52"/>
      <c r="N972" s="52"/>
      <c r="O972" s="52"/>
      <c r="P972" s="52"/>
      <c r="Q972" s="52"/>
      <c r="U972" s="52"/>
    </row>
    <row r="973">
      <c r="M973" s="52"/>
      <c r="N973" s="52"/>
      <c r="O973" s="52"/>
      <c r="P973" s="52"/>
      <c r="Q973" s="52"/>
      <c r="U973" s="52"/>
    </row>
    <row r="974">
      <c r="M974" s="52"/>
      <c r="N974" s="52"/>
      <c r="O974" s="52"/>
      <c r="P974" s="52"/>
      <c r="Q974" s="52"/>
      <c r="U974" s="52"/>
    </row>
    <row r="975">
      <c r="M975" s="52"/>
      <c r="N975" s="52"/>
      <c r="O975" s="52"/>
      <c r="P975" s="52"/>
      <c r="Q975" s="52"/>
      <c r="U975" s="52"/>
    </row>
    <row r="976">
      <c r="M976" s="52"/>
      <c r="N976" s="52"/>
      <c r="O976" s="52"/>
      <c r="P976" s="52"/>
      <c r="Q976" s="52"/>
      <c r="U976" s="52"/>
    </row>
    <row r="977">
      <c r="M977" s="52"/>
      <c r="N977" s="52"/>
      <c r="O977" s="52"/>
      <c r="P977" s="52"/>
      <c r="Q977" s="52"/>
      <c r="U977" s="52"/>
    </row>
    <row r="978">
      <c r="M978" s="52"/>
      <c r="N978" s="52"/>
      <c r="O978" s="52"/>
      <c r="P978" s="52"/>
      <c r="Q978" s="52"/>
      <c r="U978" s="52"/>
    </row>
    <row r="979">
      <c r="M979" s="52"/>
      <c r="N979" s="52"/>
      <c r="O979" s="52"/>
      <c r="P979" s="52"/>
      <c r="Q979" s="52"/>
      <c r="U979" s="52"/>
    </row>
    <row r="980">
      <c r="M980" s="52"/>
      <c r="N980" s="52"/>
      <c r="O980" s="52"/>
      <c r="P980" s="52"/>
      <c r="Q980" s="52"/>
      <c r="U980" s="52"/>
    </row>
    <row r="981">
      <c r="M981" s="52"/>
      <c r="N981" s="52"/>
      <c r="O981" s="52"/>
      <c r="P981" s="52"/>
      <c r="Q981" s="52"/>
      <c r="U981" s="52"/>
    </row>
    <row r="982">
      <c r="M982" s="52"/>
      <c r="N982" s="52"/>
      <c r="O982" s="52"/>
      <c r="P982" s="52"/>
      <c r="Q982" s="52"/>
      <c r="U982" s="52"/>
    </row>
    <row r="983">
      <c r="M983" s="52"/>
      <c r="N983" s="52"/>
      <c r="O983" s="52"/>
      <c r="P983" s="52"/>
      <c r="Q983" s="52"/>
      <c r="U983" s="52"/>
    </row>
    <row r="984">
      <c r="M984" s="52"/>
      <c r="N984" s="52"/>
      <c r="O984" s="52"/>
      <c r="P984" s="52"/>
      <c r="Q984" s="52"/>
      <c r="U984" s="52"/>
    </row>
    <row r="985">
      <c r="M985" s="52"/>
      <c r="N985" s="52"/>
      <c r="O985" s="52"/>
      <c r="P985" s="52"/>
      <c r="Q985" s="52"/>
      <c r="U985" s="52"/>
    </row>
    <row r="986">
      <c r="M986" s="52"/>
      <c r="N986" s="52"/>
      <c r="O986" s="52"/>
      <c r="P986" s="52"/>
      <c r="Q986" s="52"/>
      <c r="U986" s="52"/>
    </row>
    <row r="987">
      <c r="M987" s="52"/>
      <c r="N987" s="52"/>
      <c r="O987" s="52"/>
      <c r="P987" s="52"/>
      <c r="Q987" s="52"/>
      <c r="U987" s="52"/>
    </row>
    <row r="988">
      <c r="M988" s="52"/>
      <c r="N988" s="52"/>
      <c r="O988" s="52"/>
      <c r="P988" s="52"/>
      <c r="Q988" s="52"/>
      <c r="U988" s="52"/>
    </row>
    <row r="989">
      <c r="M989" s="52"/>
      <c r="N989" s="52"/>
      <c r="O989" s="52"/>
      <c r="P989" s="52"/>
      <c r="Q989" s="52"/>
      <c r="U989" s="52"/>
    </row>
    <row r="990">
      <c r="M990" s="52"/>
      <c r="N990" s="52"/>
      <c r="O990" s="52"/>
      <c r="P990" s="52"/>
      <c r="Q990" s="52"/>
      <c r="U990" s="52"/>
    </row>
    <row r="991">
      <c r="M991" s="52"/>
      <c r="N991" s="52"/>
      <c r="O991" s="52"/>
      <c r="P991" s="52"/>
      <c r="Q991" s="52"/>
      <c r="U991" s="52"/>
    </row>
    <row r="992">
      <c r="M992" s="52"/>
      <c r="N992" s="52"/>
      <c r="O992" s="52"/>
      <c r="P992" s="52"/>
      <c r="Q992" s="52"/>
      <c r="U992" s="52"/>
    </row>
    <row r="993">
      <c r="M993" s="52"/>
      <c r="N993" s="52"/>
      <c r="O993" s="52"/>
      <c r="P993" s="52"/>
      <c r="Q993" s="52"/>
      <c r="U993" s="52"/>
    </row>
    <row r="994">
      <c r="M994" s="52"/>
      <c r="N994" s="52"/>
      <c r="O994" s="52"/>
      <c r="P994" s="52"/>
      <c r="Q994" s="52"/>
      <c r="U994" s="52"/>
    </row>
    <row r="995">
      <c r="M995" s="52"/>
      <c r="N995" s="52"/>
      <c r="O995" s="52"/>
      <c r="P995" s="52"/>
      <c r="Q995" s="52"/>
      <c r="U995" s="52"/>
    </row>
    <row r="996">
      <c r="M996" s="52"/>
      <c r="N996" s="52"/>
      <c r="O996" s="52"/>
      <c r="P996" s="52"/>
      <c r="Q996" s="52"/>
      <c r="U996" s="52"/>
    </row>
    <row r="997">
      <c r="M997" s="52"/>
      <c r="N997" s="52"/>
      <c r="O997" s="52"/>
      <c r="P997" s="52"/>
      <c r="Q997" s="52"/>
      <c r="U997" s="52"/>
    </row>
    <row r="998">
      <c r="M998" s="52"/>
      <c r="N998" s="52"/>
      <c r="O998" s="52"/>
      <c r="P998" s="52"/>
      <c r="Q998" s="52"/>
      <c r="U998" s="52"/>
    </row>
    <row r="999">
      <c r="M999" s="52"/>
      <c r="N999" s="52"/>
      <c r="O999" s="52"/>
      <c r="P999" s="52"/>
      <c r="Q999" s="52"/>
      <c r="U999" s="52"/>
    </row>
    <row r="1000">
      <c r="M1000" s="52"/>
      <c r="N1000" s="52"/>
      <c r="O1000" s="52"/>
      <c r="P1000" s="52"/>
      <c r="Q1000" s="52"/>
      <c r="U1000" s="52"/>
    </row>
  </sheetData>
  <mergeCells count="7">
    <mergeCell ref="A1:A2"/>
    <mergeCell ref="B1:B2"/>
    <mergeCell ref="C1:G1"/>
    <mergeCell ref="H1:I1"/>
    <mergeCell ref="J1:J2"/>
    <mergeCell ref="K1:O1"/>
    <mergeCell ref="P1:U1"/>
  </mergeCells>
  <conditionalFormatting sqref="N3:N9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G3:G9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3:H9">
    <cfRule type="colorScale" priority="3">
      <colorScale>
        <cfvo type="formula" val="0"/>
        <cfvo type="max"/>
        <color rgb="FFFFFFFF"/>
        <color rgb="FF57BB8A"/>
      </colorScale>
    </cfRule>
  </conditionalFormatting>
  <conditionalFormatting sqref="I3:I9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J3:J9">
    <cfRule type="colorScale" priority="5">
      <colorScale>
        <cfvo type="formula" val="0"/>
        <cfvo type="max"/>
        <color rgb="FFFFFFFF"/>
        <color rgb="FF57BB8A"/>
      </colorScale>
    </cfRule>
  </conditionalFormatting>
  <conditionalFormatting sqref="K3:K9">
    <cfRule type="colorScale" priority="6">
      <colorScale>
        <cfvo type="formula" val="0"/>
        <cfvo type="max"/>
        <color rgb="FFFFFFFF"/>
        <color rgb="FF57BB8A"/>
      </colorScale>
    </cfRule>
  </conditionalFormatting>
  <conditionalFormatting sqref="L3:L9">
    <cfRule type="colorScale" priority="7">
      <colorScale>
        <cfvo type="formula" val="0"/>
        <cfvo type="max"/>
        <color rgb="FFFFFFFF"/>
        <color rgb="FFE67C73"/>
      </colorScale>
    </cfRule>
  </conditionalFormatting>
  <conditionalFormatting sqref="C3:C9">
    <cfRule type="colorScale" priority="8">
      <colorScale>
        <cfvo type="formula" val="0"/>
        <cfvo type="max"/>
        <color rgb="FFFFFFFF"/>
        <color rgb="FFFFD666"/>
      </colorScale>
    </cfRule>
  </conditionalFormatting>
  <conditionalFormatting sqref="D3:D9">
    <cfRule type="colorScale" priority="9">
      <colorScale>
        <cfvo type="formula" val="0"/>
        <cfvo type="max"/>
        <color rgb="FFFFFFFF"/>
        <color rgb="FF57BB8A"/>
      </colorScale>
    </cfRule>
  </conditionalFormatting>
  <conditionalFormatting sqref="E3:E9">
    <cfRule type="colorScale" priority="10">
      <colorScale>
        <cfvo type="formula" val="0"/>
        <cfvo type="max"/>
        <color rgb="FFFFFFFF"/>
        <color rgb="FFE67C73"/>
      </colorScale>
    </cfRule>
  </conditionalFormatting>
  <conditionalFormatting sqref="F3:F9">
    <cfRule type="colorScale" priority="11">
      <colorScale>
        <cfvo type="formula" val="0"/>
        <cfvo type="max"/>
        <color rgb="FFFFFFFF"/>
        <color rgb="FF57BB8A"/>
      </colorScale>
    </cfRule>
  </conditionalFormatting>
  <conditionalFormatting sqref="M3:M9">
    <cfRule type="colorScale" priority="12">
      <colorScale>
        <cfvo type="formula" val="0"/>
        <cfvo type="max"/>
        <color rgb="FFFFFFFF"/>
        <color rgb="FFFFD666"/>
      </colorScale>
    </cfRule>
  </conditionalFormatting>
  <conditionalFormatting sqref="O3:O9">
    <cfRule type="colorScale" priority="13">
      <colorScale>
        <cfvo type="formula" val="0"/>
        <cfvo type="formula" val="1"/>
        <color rgb="FFFFFFFF"/>
        <color rgb="FF57BB8A"/>
      </colorScale>
    </cfRule>
  </conditionalFormatting>
  <conditionalFormatting sqref="P3:P9">
    <cfRule type="colorScale" priority="14">
      <colorScale>
        <cfvo type="formula" val="0"/>
        <cfvo type="max"/>
        <color rgb="FFFFFFFF"/>
        <color rgb="FFFFD666"/>
      </colorScale>
    </cfRule>
  </conditionalFormatting>
  <conditionalFormatting sqref="U3:U9">
    <cfRule type="colorScale" priority="15">
      <colorScale>
        <cfvo type="formula" val="0"/>
        <cfvo type="formula" val="2"/>
        <cfvo type="formula" val="3"/>
        <color rgb="FFE67C73"/>
        <color rgb="FFFFFFFF"/>
        <color rgb="FF57BB8A"/>
      </colorScale>
    </cfRule>
  </conditionalFormatting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7.63"/>
    <col customWidth="1" min="4" max="4" width="5.63"/>
    <col customWidth="1" min="5" max="5" width="6.88"/>
    <col customWidth="1" min="6" max="6" width="8.38"/>
    <col customWidth="1" min="7" max="7" width="15.5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1" t="s">
        <v>4</v>
      </c>
      <c r="K1" s="6" t="s">
        <v>5</v>
      </c>
      <c r="L1" s="4"/>
      <c r="M1" s="4"/>
      <c r="N1" s="4"/>
      <c r="O1" s="5"/>
      <c r="P1" s="30" t="s">
        <v>6</v>
      </c>
      <c r="Q1" s="4"/>
      <c r="R1" s="4"/>
      <c r="S1" s="4"/>
      <c r="T1" s="4"/>
      <c r="U1" s="5"/>
    </row>
    <row r="2">
      <c r="A2" s="9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2" t="s">
        <v>13</v>
      </c>
      <c r="I2" s="12" t="s">
        <v>14</v>
      </c>
      <c r="J2" s="9"/>
      <c r="K2" s="10" t="s">
        <v>15</v>
      </c>
      <c r="L2" s="12" t="s">
        <v>10</v>
      </c>
      <c r="M2" s="10" t="s">
        <v>16</v>
      </c>
      <c r="N2" s="10" t="s">
        <v>12</v>
      </c>
      <c r="O2" s="10" t="s">
        <v>18</v>
      </c>
      <c r="P2" s="15" t="s">
        <v>8</v>
      </c>
      <c r="Q2" s="15">
        <v>0.0</v>
      </c>
      <c r="R2" s="15">
        <v>1.0</v>
      </c>
      <c r="S2" s="15">
        <v>2.0</v>
      </c>
      <c r="T2" s="15">
        <v>3.0</v>
      </c>
      <c r="U2" s="15" t="s">
        <v>19</v>
      </c>
    </row>
    <row r="3">
      <c r="A3" s="18" t="s">
        <v>21</v>
      </c>
      <c r="B3" s="18" t="s">
        <v>85</v>
      </c>
      <c r="C3" s="10">
        <v>8.0</v>
      </c>
      <c r="D3" s="10">
        <v>4.0</v>
      </c>
      <c r="E3" s="10"/>
      <c r="F3" s="35"/>
      <c r="G3" s="35">
        <f t="shared" ref="G3:G9" si="1">IFS(C3=0, "N/A", C3&lt;&gt;0,(D3-E3)/C3 )</f>
        <v>0.5</v>
      </c>
      <c r="H3" s="35"/>
      <c r="I3" s="10"/>
      <c r="J3" s="10">
        <v>6.0</v>
      </c>
      <c r="K3" s="10">
        <v>2.0</v>
      </c>
      <c r="L3" s="10"/>
      <c r="M3" s="10">
        <v>4.0</v>
      </c>
      <c r="N3" s="35">
        <f t="shared" ref="N3:N9" si="2">ifs(M3=0,"N/A",M3&lt;&gt;0,(M3-L3) /M3)</f>
        <v>1</v>
      </c>
      <c r="O3" s="35">
        <f t="shared" ref="O3:O9" si="3">IFS(M3=0, "N/A", M3&lt;&gt;0, K3/M3)</f>
        <v>0.5</v>
      </c>
      <c r="P3" s="10">
        <f t="shared" ref="P3:P9" si="4">sum(Q3,R3,S3,T3)</f>
        <v>3</v>
      </c>
      <c r="Q3" s="35"/>
      <c r="R3" s="10"/>
      <c r="S3" s="10">
        <v>1.0</v>
      </c>
      <c r="T3" s="10">
        <v>2.0</v>
      </c>
      <c r="U3" s="10">
        <f t="shared" ref="U3:U9" si="5">ifs(P3=0, "N/A",P3&lt;&gt;0,(R3 + S3*2 +T3*3)/P3)</f>
        <v>2.666666667</v>
      </c>
    </row>
    <row r="4">
      <c r="A4" s="21" t="s">
        <v>24</v>
      </c>
      <c r="B4" s="21" t="s">
        <v>41</v>
      </c>
      <c r="C4" s="10">
        <v>6.0</v>
      </c>
      <c r="D4" s="10">
        <v>1.0</v>
      </c>
      <c r="E4" s="10">
        <v>2.0</v>
      </c>
      <c r="F4" s="35"/>
      <c r="G4" s="35">
        <f t="shared" si="1"/>
        <v>-0.1666666667</v>
      </c>
      <c r="H4" s="10"/>
      <c r="I4" s="10"/>
      <c r="J4" s="10">
        <v>3.0</v>
      </c>
      <c r="K4" s="10">
        <v>2.0</v>
      </c>
      <c r="L4" s="10"/>
      <c r="M4" s="10">
        <v>5.0</v>
      </c>
      <c r="N4" s="35">
        <f t="shared" si="2"/>
        <v>1</v>
      </c>
      <c r="O4" s="35">
        <f t="shared" si="3"/>
        <v>0.4</v>
      </c>
      <c r="P4" s="10">
        <f t="shared" si="4"/>
        <v>1</v>
      </c>
      <c r="Q4" s="10"/>
      <c r="R4" s="35"/>
      <c r="S4" s="10">
        <v>1.0</v>
      </c>
      <c r="T4" s="35"/>
      <c r="U4" s="10">
        <f t="shared" si="5"/>
        <v>2</v>
      </c>
    </row>
    <row r="5">
      <c r="A5" s="22" t="s">
        <v>26</v>
      </c>
      <c r="B5" s="22" t="s">
        <v>42</v>
      </c>
      <c r="C5" s="10">
        <v>1.0</v>
      </c>
      <c r="D5" s="10"/>
      <c r="E5" s="10"/>
      <c r="F5" s="10">
        <v>7.0</v>
      </c>
      <c r="G5" s="35">
        <f t="shared" si="1"/>
        <v>0</v>
      </c>
      <c r="H5" s="10"/>
      <c r="I5" s="10">
        <v>1.0</v>
      </c>
      <c r="J5" s="10">
        <v>2.0</v>
      </c>
      <c r="K5" s="10"/>
      <c r="L5" s="35"/>
      <c r="M5" s="10">
        <v>2.0</v>
      </c>
      <c r="N5" s="35">
        <f t="shared" si="2"/>
        <v>1</v>
      </c>
      <c r="O5" s="35">
        <f t="shared" si="3"/>
        <v>0</v>
      </c>
      <c r="P5" s="10">
        <f t="shared" si="4"/>
        <v>0</v>
      </c>
      <c r="Q5" s="35"/>
      <c r="R5" s="35"/>
      <c r="S5" s="35"/>
      <c r="T5" s="10"/>
      <c r="U5" s="10" t="str">
        <f t="shared" si="5"/>
        <v>N/A</v>
      </c>
    </row>
    <row r="6">
      <c r="A6" s="23" t="s">
        <v>28</v>
      </c>
      <c r="B6" s="23" t="s">
        <v>84</v>
      </c>
      <c r="C6" s="10"/>
      <c r="D6" s="10"/>
      <c r="E6" s="10"/>
      <c r="F6" s="35"/>
      <c r="G6" s="35" t="str">
        <f t="shared" si="1"/>
        <v>N/A</v>
      </c>
      <c r="H6" s="35"/>
      <c r="I6" s="10">
        <v>1.0</v>
      </c>
      <c r="J6" s="10">
        <v>1.0</v>
      </c>
      <c r="K6" s="10"/>
      <c r="L6" s="10"/>
      <c r="M6" s="10">
        <v>1.0</v>
      </c>
      <c r="N6" s="35">
        <f t="shared" si="2"/>
        <v>1</v>
      </c>
      <c r="O6" s="35">
        <f t="shared" si="3"/>
        <v>0</v>
      </c>
      <c r="P6" s="10">
        <f t="shared" si="4"/>
        <v>3</v>
      </c>
      <c r="Q6" s="10"/>
      <c r="R6" s="10"/>
      <c r="S6" s="10"/>
      <c r="T6" s="10">
        <v>3.0</v>
      </c>
      <c r="U6" s="10">
        <f t="shared" si="5"/>
        <v>3</v>
      </c>
    </row>
    <row r="7">
      <c r="A7" s="24" t="s">
        <v>30</v>
      </c>
      <c r="B7" s="24" t="s">
        <v>43</v>
      </c>
      <c r="C7" s="10">
        <v>5.0</v>
      </c>
      <c r="D7" s="10">
        <v>2.0</v>
      </c>
      <c r="E7" s="10">
        <v>1.0</v>
      </c>
      <c r="F7" s="35"/>
      <c r="G7" s="35">
        <f t="shared" si="1"/>
        <v>0.2</v>
      </c>
      <c r="H7" s="35"/>
      <c r="I7" s="35"/>
      <c r="J7" s="10">
        <v>1.0</v>
      </c>
      <c r="K7" s="35"/>
      <c r="L7" s="10">
        <v>2.0</v>
      </c>
      <c r="M7" s="10">
        <v>5.0</v>
      </c>
      <c r="N7" s="35">
        <f t="shared" si="2"/>
        <v>0.6</v>
      </c>
      <c r="O7" s="35">
        <f t="shared" si="3"/>
        <v>0</v>
      </c>
      <c r="P7" s="10">
        <f t="shared" si="4"/>
        <v>4</v>
      </c>
      <c r="Q7" s="10"/>
      <c r="R7" s="10">
        <v>3.0</v>
      </c>
      <c r="S7" s="10">
        <v>1.0</v>
      </c>
      <c r="T7" s="35"/>
      <c r="U7" s="10">
        <f t="shared" si="5"/>
        <v>1.25</v>
      </c>
    </row>
    <row r="8">
      <c r="A8" s="25" t="s">
        <v>32</v>
      </c>
      <c r="B8" s="25" t="s">
        <v>97</v>
      </c>
      <c r="C8" s="10">
        <v>2.0</v>
      </c>
      <c r="D8" s="10"/>
      <c r="E8" s="10">
        <v>1.0</v>
      </c>
      <c r="F8" s="35"/>
      <c r="G8" s="35">
        <f t="shared" si="1"/>
        <v>-0.5</v>
      </c>
      <c r="H8" s="35"/>
      <c r="I8" s="10"/>
      <c r="J8" s="10">
        <v>1.0</v>
      </c>
      <c r="K8" s="35"/>
      <c r="L8" s="10">
        <v>1.0</v>
      </c>
      <c r="M8" s="10">
        <v>1.0</v>
      </c>
      <c r="N8" s="35">
        <f t="shared" si="2"/>
        <v>0</v>
      </c>
      <c r="O8" s="35">
        <f t="shared" si="3"/>
        <v>0</v>
      </c>
      <c r="P8" s="10">
        <f t="shared" si="4"/>
        <v>2</v>
      </c>
      <c r="Q8" s="10">
        <v>2.0</v>
      </c>
      <c r="R8" s="10"/>
      <c r="S8" s="35"/>
      <c r="T8" s="35"/>
      <c r="U8" s="10">
        <f t="shared" si="5"/>
        <v>0</v>
      </c>
    </row>
    <row r="9">
      <c r="A9" s="26" t="s">
        <v>34</v>
      </c>
      <c r="B9" s="26" t="s">
        <v>22</v>
      </c>
      <c r="C9" s="10"/>
      <c r="D9" s="10"/>
      <c r="E9" s="10"/>
      <c r="F9" s="35"/>
      <c r="G9" s="35" t="str">
        <f t="shared" si="1"/>
        <v>N/A</v>
      </c>
      <c r="H9" s="35"/>
      <c r="I9" s="35"/>
      <c r="J9" s="10"/>
      <c r="K9" s="35"/>
      <c r="L9" s="10"/>
      <c r="M9" s="35"/>
      <c r="N9" s="35" t="str">
        <f t="shared" si="2"/>
        <v>N/A</v>
      </c>
      <c r="O9" s="35" t="str">
        <f t="shared" si="3"/>
        <v>N/A</v>
      </c>
      <c r="P9" s="10">
        <f t="shared" si="4"/>
        <v>0</v>
      </c>
      <c r="Q9" s="35"/>
      <c r="R9" s="10"/>
      <c r="S9" s="10"/>
      <c r="T9" s="35"/>
      <c r="U9" s="10" t="str">
        <f t="shared" si="5"/>
        <v>N/A</v>
      </c>
    </row>
    <row r="10">
      <c r="M10" s="52"/>
      <c r="N10" s="52"/>
      <c r="O10" s="52"/>
      <c r="P10" s="52"/>
      <c r="Q10" s="52"/>
      <c r="U10" s="52"/>
    </row>
    <row r="11">
      <c r="M11" s="52"/>
      <c r="N11" s="52"/>
      <c r="O11" s="52"/>
      <c r="P11" s="52"/>
      <c r="Q11" s="52"/>
      <c r="U11" s="52"/>
    </row>
    <row r="12">
      <c r="M12" s="52"/>
      <c r="N12" s="52"/>
      <c r="O12" s="52"/>
      <c r="P12" s="52"/>
      <c r="Q12" s="52"/>
      <c r="U12" s="52"/>
    </row>
    <row r="13">
      <c r="M13" s="52"/>
      <c r="N13" s="52"/>
      <c r="O13" s="52"/>
      <c r="P13" s="52"/>
      <c r="Q13" s="52"/>
      <c r="U13" s="52"/>
    </row>
    <row r="14">
      <c r="M14" s="52"/>
      <c r="N14" s="52"/>
      <c r="O14" s="52"/>
      <c r="P14" s="52"/>
      <c r="Q14" s="52"/>
      <c r="U14" s="52"/>
    </row>
    <row r="15">
      <c r="M15" s="52"/>
      <c r="N15" s="52"/>
      <c r="O15" s="52"/>
      <c r="P15" s="52"/>
      <c r="Q15" s="52"/>
      <c r="U15" s="52"/>
    </row>
    <row r="16">
      <c r="M16" s="52"/>
      <c r="N16" s="52"/>
      <c r="O16" s="52"/>
      <c r="P16" s="52"/>
      <c r="Q16" s="52"/>
      <c r="U16" s="52"/>
    </row>
    <row r="17">
      <c r="M17" s="52"/>
      <c r="N17" s="52"/>
      <c r="O17" s="52"/>
      <c r="P17" s="52"/>
      <c r="Q17" s="52"/>
      <c r="U17" s="52"/>
    </row>
    <row r="18">
      <c r="M18" s="52"/>
      <c r="N18" s="52"/>
      <c r="O18" s="52"/>
      <c r="P18" s="52"/>
      <c r="Q18" s="52"/>
      <c r="U18" s="52"/>
    </row>
    <row r="19">
      <c r="M19" s="52"/>
      <c r="N19" s="52"/>
      <c r="O19" s="52"/>
      <c r="P19" s="52"/>
      <c r="Q19" s="52"/>
      <c r="U19" s="52"/>
    </row>
    <row r="20">
      <c r="M20" s="52"/>
      <c r="N20" s="52"/>
      <c r="O20" s="52"/>
      <c r="P20" s="52"/>
      <c r="Q20" s="52"/>
      <c r="U20" s="52"/>
    </row>
    <row r="21">
      <c r="M21" s="52"/>
      <c r="N21" s="52"/>
      <c r="O21" s="52"/>
      <c r="P21" s="52"/>
      <c r="Q21" s="52"/>
      <c r="U21" s="52"/>
    </row>
    <row r="22">
      <c r="M22" s="52"/>
      <c r="N22" s="52"/>
      <c r="O22" s="52"/>
      <c r="P22" s="52"/>
      <c r="Q22" s="52"/>
      <c r="U22" s="52"/>
    </row>
    <row r="23">
      <c r="M23" s="52"/>
      <c r="N23" s="52"/>
      <c r="O23" s="52"/>
      <c r="P23" s="52"/>
      <c r="Q23" s="52"/>
      <c r="U23" s="52"/>
    </row>
    <row r="24">
      <c r="M24" s="52"/>
      <c r="N24" s="52"/>
      <c r="O24" s="52"/>
      <c r="P24" s="52"/>
      <c r="Q24" s="52"/>
      <c r="U24" s="52"/>
    </row>
    <row r="25">
      <c r="M25" s="52"/>
      <c r="N25" s="52"/>
      <c r="O25" s="52"/>
      <c r="P25" s="52"/>
      <c r="Q25" s="52"/>
      <c r="U25" s="52"/>
    </row>
    <row r="26">
      <c r="M26" s="52"/>
      <c r="N26" s="52"/>
      <c r="O26" s="52"/>
      <c r="P26" s="52"/>
      <c r="Q26" s="52"/>
      <c r="U26" s="52"/>
    </row>
    <row r="27">
      <c r="M27" s="52"/>
      <c r="N27" s="52"/>
      <c r="O27" s="52"/>
      <c r="P27" s="52"/>
      <c r="Q27" s="52"/>
      <c r="U27" s="52"/>
    </row>
    <row r="28">
      <c r="M28" s="52"/>
      <c r="N28" s="52"/>
      <c r="O28" s="52"/>
      <c r="P28" s="52"/>
      <c r="Q28" s="52"/>
      <c r="U28" s="52"/>
    </row>
    <row r="29">
      <c r="M29" s="52"/>
      <c r="N29" s="52"/>
      <c r="O29" s="52"/>
      <c r="P29" s="52"/>
      <c r="Q29" s="52"/>
      <c r="U29" s="52"/>
    </row>
    <row r="30">
      <c r="M30" s="52"/>
      <c r="N30" s="52"/>
      <c r="O30" s="52"/>
      <c r="P30" s="52"/>
      <c r="Q30" s="52"/>
      <c r="U30" s="52"/>
    </row>
    <row r="31">
      <c r="M31" s="52"/>
      <c r="N31" s="52"/>
      <c r="O31" s="52"/>
      <c r="P31" s="52"/>
      <c r="Q31" s="52"/>
      <c r="U31" s="52"/>
    </row>
    <row r="32">
      <c r="M32" s="52"/>
      <c r="N32" s="52"/>
      <c r="O32" s="52"/>
      <c r="P32" s="52"/>
      <c r="Q32" s="52"/>
      <c r="U32" s="52"/>
    </row>
    <row r="33">
      <c r="M33" s="52"/>
      <c r="N33" s="52"/>
      <c r="O33" s="52"/>
      <c r="P33" s="52"/>
      <c r="Q33" s="52"/>
      <c r="U33" s="52"/>
    </row>
    <row r="34">
      <c r="M34" s="52"/>
      <c r="N34" s="52"/>
      <c r="O34" s="52"/>
      <c r="P34" s="52"/>
      <c r="Q34" s="52"/>
      <c r="U34" s="52"/>
    </row>
    <row r="35">
      <c r="M35" s="52"/>
      <c r="N35" s="52"/>
      <c r="O35" s="52"/>
      <c r="P35" s="52"/>
      <c r="Q35" s="52"/>
      <c r="U35" s="52"/>
    </row>
    <row r="36">
      <c r="M36" s="52"/>
      <c r="N36" s="52"/>
      <c r="O36" s="52"/>
      <c r="P36" s="52"/>
      <c r="Q36" s="52"/>
      <c r="U36" s="52"/>
    </row>
    <row r="37">
      <c r="M37" s="52"/>
      <c r="N37" s="52"/>
      <c r="O37" s="52"/>
      <c r="P37" s="52"/>
      <c r="Q37" s="52"/>
      <c r="U37" s="52"/>
    </row>
    <row r="38">
      <c r="M38" s="52"/>
      <c r="N38" s="52"/>
      <c r="O38" s="52"/>
      <c r="P38" s="52"/>
      <c r="Q38" s="52"/>
      <c r="U38" s="52"/>
    </row>
    <row r="39">
      <c r="M39" s="52"/>
      <c r="N39" s="52"/>
      <c r="O39" s="52"/>
      <c r="P39" s="52"/>
      <c r="Q39" s="52"/>
      <c r="U39" s="52"/>
    </row>
    <row r="40">
      <c r="M40" s="52"/>
      <c r="N40" s="52"/>
      <c r="O40" s="52"/>
      <c r="P40" s="52"/>
      <c r="Q40" s="52"/>
      <c r="U40" s="52"/>
    </row>
    <row r="41">
      <c r="M41" s="52"/>
      <c r="N41" s="52"/>
      <c r="O41" s="52"/>
      <c r="P41" s="52"/>
      <c r="Q41" s="52"/>
      <c r="U41" s="52"/>
    </row>
    <row r="42">
      <c r="M42" s="52"/>
      <c r="N42" s="52"/>
      <c r="O42" s="52"/>
      <c r="P42" s="52"/>
      <c r="Q42" s="52"/>
      <c r="U42" s="52"/>
    </row>
    <row r="43">
      <c r="M43" s="52"/>
      <c r="N43" s="52"/>
      <c r="O43" s="52"/>
      <c r="P43" s="52"/>
      <c r="Q43" s="52"/>
      <c r="U43" s="52"/>
    </row>
    <row r="44">
      <c r="M44" s="52"/>
      <c r="N44" s="52"/>
      <c r="O44" s="52"/>
      <c r="P44" s="52"/>
      <c r="Q44" s="52"/>
      <c r="U44" s="52"/>
    </row>
    <row r="45">
      <c r="M45" s="52"/>
      <c r="N45" s="52"/>
      <c r="O45" s="52"/>
      <c r="P45" s="52"/>
      <c r="Q45" s="52"/>
      <c r="U45" s="52"/>
    </row>
    <row r="46">
      <c r="M46" s="52"/>
      <c r="N46" s="52"/>
      <c r="O46" s="52"/>
      <c r="P46" s="52"/>
      <c r="Q46" s="52"/>
      <c r="U46" s="52"/>
    </row>
    <row r="47">
      <c r="M47" s="52"/>
      <c r="N47" s="52"/>
      <c r="O47" s="52"/>
      <c r="P47" s="52"/>
      <c r="Q47" s="52"/>
      <c r="U47" s="52"/>
    </row>
    <row r="48">
      <c r="M48" s="52"/>
      <c r="N48" s="52"/>
      <c r="O48" s="52"/>
      <c r="P48" s="52"/>
      <c r="Q48" s="52"/>
      <c r="U48" s="52"/>
    </row>
    <row r="49">
      <c r="M49" s="52"/>
      <c r="N49" s="52"/>
      <c r="O49" s="52"/>
      <c r="P49" s="52"/>
      <c r="Q49" s="52"/>
      <c r="U49" s="52"/>
    </row>
    <row r="50">
      <c r="M50" s="52"/>
      <c r="N50" s="52"/>
      <c r="O50" s="52"/>
      <c r="P50" s="52"/>
      <c r="Q50" s="52"/>
      <c r="U50" s="52"/>
    </row>
    <row r="51">
      <c r="M51" s="52"/>
      <c r="N51" s="52"/>
      <c r="O51" s="52"/>
      <c r="P51" s="52"/>
      <c r="Q51" s="52"/>
      <c r="U51" s="52"/>
    </row>
    <row r="52">
      <c r="M52" s="52"/>
      <c r="N52" s="52"/>
      <c r="O52" s="52"/>
      <c r="P52" s="52"/>
      <c r="Q52" s="52"/>
      <c r="U52" s="52"/>
    </row>
    <row r="53">
      <c r="M53" s="52"/>
      <c r="N53" s="52"/>
      <c r="O53" s="52"/>
      <c r="P53" s="52"/>
      <c r="Q53" s="52"/>
      <c r="U53" s="52"/>
    </row>
    <row r="54">
      <c r="M54" s="52"/>
      <c r="N54" s="52"/>
      <c r="O54" s="52"/>
      <c r="P54" s="52"/>
      <c r="Q54" s="52"/>
      <c r="U54" s="52"/>
    </row>
    <row r="55">
      <c r="M55" s="52"/>
      <c r="N55" s="52"/>
      <c r="O55" s="52"/>
      <c r="P55" s="52"/>
      <c r="Q55" s="52"/>
      <c r="U55" s="52"/>
    </row>
    <row r="56">
      <c r="M56" s="52"/>
      <c r="N56" s="52"/>
      <c r="O56" s="52"/>
      <c r="P56" s="52"/>
      <c r="Q56" s="52"/>
      <c r="U56" s="52"/>
    </row>
    <row r="57">
      <c r="M57" s="52"/>
      <c r="N57" s="52"/>
      <c r="O57" s="52"/>
      <c r="P57" s="52"/>
      <c r="Q57" s="52"/>
      <c r="U57" s="52"/>
    </row>
    <row r="58">
      <c r="M58" s="52"/>
      <c r="N58" s="52"/>
      <c r="O58" s="52"/>
      <c r="P58" s="52"/>
      <c r="Q58" s="52"/>
      <c r="U58" s="52"/>
    </row>
    <row r="59">
      <c r="M59" s="52"/>
      <c r="N59" s="52"/>
      <c r="O59" s="52"/>
      <c r="P59" s="52"/>
      <c r="Q59" s="52"/>
      <c r="U59" s="52"/>
    </row>
    <row r="60">
      <c r="M60" s="52"/>
      <c r="N60" s="52"/>
      <c r="O60" s="52"/>
      <c r="P60" s="52"/>
      <c r="Q60" s="52"/>
      <c r="U60" s="52"/>
    </row>
    <row r="61">
      <c r="M61" s="52"/>
      <c r="N61" s="52"/>
      <c r="O61" s="52"/>
      <c r="P61" s="52"/>
      <c r="Q61" s="52"/>
      <c r="U61" s="52"/>
    </row>
    <row r="62">
      <c r="M62" s="52"/>
      <c r="N62" s="52"/>
      <c r="O62" s="52"/>
      <c r="P62" s="52"/>
      <c r="Q62" s="52"/>
      <c r="U62" s="52"/>
    </row>
    <row r="63">
      <c r="M63" s="52"/>
      <c r="N63" s="52"/>
      <c r="O63" s="52"/>
      <c r="P63" s="52"/>
      <c r="Q63" s="52"/>
      <c r="U63" s="52"/>
    </row>
    <row r="64">
      <c r="M64" s="52"/>
      <c r="N64" s="52"/>
      <c r="O64" s="52"/>
      <c r="P64" s="52"/>
      <c r="Q64" s="52"/>
      <c r="U64" s="52"/>
    </row>
    <row r="65">
      <c r="M65" s="52"/>
      <c r="N65" s="52"/>
      <c r="O65" s="52"/>
      <c r="P65" s="52"/>
      <c r="Q65" s="52"/>
      <c r="U65" s="52"/>
    </row>
    <row r="66">
      <c r="M66" s="52"/>
      <c r="N66" s="52"/>
      <c r="O66" s="52"/>
      <c r="P66" s="52"/>
      <c r="Q66" s="52"/>
      <c r="U66" s="52"/>
    </row>
    <row r="67">
      <c r="M67" s="52"/>
      <c r="N67" s="52"/>
      <c r="O67" s="52"/>
      <c r="P67" s="52"/>
      <c r="Q67" s="52"/>
      <c r="U67" s="52"/>
    </row>
    <row r="68">
      <c r="M68" s="52"/>
      <c r="N68" s="52"/>
      <c r="O68" s="52"/>
      <c r="P68" s="52"/>
      <c r="Q68" s="52"/>
      <c r="U68" s="52"/>
    </row>
    <row r="69">
      <c r="M69" s="52"/>
      <c r="N69" s="52"/>
      <c r="O69" s="52"/>
      <c r="P69" s="52"/>
      <c r="Q69" s="52"/>
      <c r="U69" s="52"/>
    </row>
    <row r="70">
      <c r="M70" s="52"/>
      <c r="N70" s="52"/>
      <c r="O70" s="52"/>
      <c r="P70" s="52"/>
      <c r="Q70" s="52"/>
      <c r="U70" s="52"/>
    </row>
    <row r="71">
      <c r="M71" s="52"/>
      <c r="N71" s="52"/>
      <c r="O71" s="52"/>
      <c r="P71" s="52"/>
      <c r="Q71" s="52"/>
      <c r="U71" s="52"/>
    </row>
    <row r="72">
      <c r="M72" s="52"/>
      <c r="N72" s="52"/>
      <c r="O72" s="52"/>
      <c r="P72" s="52"/>
      <c r="Q72" s="52"/>
      <c r="U72" s="52"/>
    </row>
    <row r="73">
      <c r="M73" s="52"/>
      <c r="N73" s="52"/>
      <c r="O73" s="52"/>
      <c r="P73" s="52"/>
      <c r="Q73" s="52"/>
      <c r="U73" s="52"/>
    </row>
    <row r="74">
      <c r="M74" s="52"/>
      <c r="N74" s="52"/>
      <c r="O74" s="52"/>
      <c r="P74" s="52"/>
      <c r="Q74" s="52"/>
      <c r="U74" s="52"/>
    </row>
    <row r="75">
      <c r="M75" s="52"/>
      <c r="N75" s="52"/>
      <c r="O75" s="52"/>
      <c r="P75" s="52"/>
      <c r="Q75" s="52"/>
      <c r="U75" s="52"/>
    </row>
    <row r="76">
      <c r="M76" s="52"/>
      <c r="N76" s="52"/>
      <c r="O76" s="52"/>
      <c r="P76" s="52"/>
      <c r="Q76" s="52"/>
      <c r="U76" s="52"/>
    </row>
    <row r="77">
      <c r="M77" s="52"/>
      <c r="N77" s="52"/>
      <c r="O77" s="52"/>
      <c r="P77" s="52"/>
      <c r="Q77" s="52"/>
      <c r="U77" s="52"/>
    </row>
    <row r="78">
      <c r="M78" s="52"/>
      <c r="N78" s="52"/>
      <c r="O78" s="52"/>
      <c r="P78" s="52"/>
      <c r="Q78" s="52"/>
      <c r="U78" s="52"/>
    </row>
    <row r="79">
      <c r="M79" s="52"/>
      <c r="N79" s="52"/>
      <c r="O79" s="52"/>
      <c r="P79" s="52"/>
      <c r="Q79" s="52"/>
      <c r="U79" s="52"/>
    </row>
    <row r="80">
      <c r="M80" s="52"/>
      <c r="N80" s="52"/>
      <c r="O80" s="52"/>
      <c r="P80" s="52"/>
      <c r="Q80" s="52"/>
      <c r="U80" s="52"/>
    </row>
    <row r="81">
      <c r="M81" s="52"/>
      <c r="N81" s="52"/>
      <c r="O81" s="52"/>
      <c r="P81" s="52"/>
      <c r="Q81" s="52"/>
      <c r="U81" s="52"/>
    </row>
    <row r="82">
      <c r="M82" s="52"/>
      <c r="N82" s="52"/>
      <c r="O82" s="52"/>
      <c r="P82" s="52"/>
      <c r="Q82" s="52"/>
      <c r="U82" s="52"/>
    </row>
    <row r="83">
      <c r="M83" s="52"/>
      <c r="N83" s="52"/>
      <c r="O83" s="52"/>
      <c r="P83" s="52"/>
      <c r="Q83" s="52"/>
      <c r="U83" s="52"/>
    </row>
    <row r="84">
      <c r="M84" s="52"/>
      <c r="N84" s="52"/>
      <c r="O84" s="52"/>
      <c r="P84" s="52"/>
      <c r="Q84" s="52"/>
      <c r="U84" s="52"/>
    </row>
    <row r="85">
      <c r="M85" s="52"/>
      <c r="N85" s="52"/>
      <c r="O85" s="52"/>
      <c r="P85" s="52"/>
      <c r="Q85" s="52"/>
      <c r="U85" s="52"/>
    </row>
    <row r="86">
      <c r="M86" s="52"/>
      <c r="N86" s="52"/>
      <c r="O86" s="52"/>
      <c r="P86" s="52"/>
      <c r="Q86" s="52"/>
      <c r="U86" s="52"/>
    </row>
    <row r="87">
      <c r="M87" s="52"/>
      <c r="N87" s="52"/>
      <c r="O87" s="52"/>
      <c r="P87" s="52"/>
      <c r="Q87" s="52"/>
      <c r="U87" s="52"/>
    </row>
    <row r="88">
      <c r="M88" s="52"/>
      <c r="N88" s="52"/>
      <c r="O88" s="52"/>
      <c r="P88" s="52"/>
      <c r="Q88" s="52"/>
      <c r="U88" s="52"/>
    </row>
    <row r="89">
      <c r="M89" s="52"/>
      <c r="N89" s="52"/>
      <c r="O89" s="52"/>
      <c r="P89" s="52"/>
      <c r="Q89" s="52"/>
      <c r="U89" s="52"/>
    </row>
    <row r="90">
      <c r="M90" s="52"/>
      <c r="N90" s="52"/>
      <c r="O90" s="52"/>
      <c r="P90" s="52"/>
      <c r="Q90" s="52"/>
      <c r="U90" s="52"/>
    </row>
    <row r="91">
      <c r="M91" s="52"/>
      <c r="N91" s="52"/>
      <c r="O91" s="52"/>
      <c r="P91" s="52"/>
      <c r="Q91" s="52"/>
      <c r="U91" s="52"/>
    </row>
    <row r="92">
      <c r="M92" s="52"/>
      <c r="N92" s="52"/>
      <c r="O92" s="52"/>
      <c r="P92" s="52"/>
      <c r="Q92" s="52"/>
      <c r="U92" s="52"/>
    </row>
    <row r="93">
      <c r="M93" s="52"/>
      <c r="N93" s="52"/>
      <c r="O93" s="52"/>
      <c r="P93" s="52"/>
      <c r="Q93" s="52"/>
      <c r="U93" s="52"/>
    </row>
    <row r="94">
      <c r="M94" s="52"/>
      <c r="N94" s="52"/>
      <c r="O94" s="52"/>
      <c r="P94" s="52"/>
      <c r="Q94" s="52"/>
      <c r="U94" s="52"/>
    </row>
    <row r="95">
      <c r="M95" s="52"/>
      <c r="N95" s="52"/>
      <c r="O95" s="52"/>
      <c r="P95" s="52"/>
      <c r="Q95" s="52"/>
      <c r="U95" s="52"/>
    </row>
    <row r="96">
      <c r="M96" s="52"/>
      <c r="N96" s="52"/>
      <c r="O96" s="52"/>
      <c r="P96" s="52"/>
      <c r="Q96" s="52"/>
      <c r="U96" s="52"/>
    </row>
    <row r="97">
      <c r="M97" s="52"/>
      <c r="N97" s="52"/>
      <c r="O97" s="52"/>
      <c r="P97" s="52"/>
      <c r="Q97" s="52"/>
      <c r="U97" s="52"/>
    </row>
    <row r="98">
      <c r="M98" s="52"/>
      <c r="N98" s="52"/>
      <c r="O98" s="52"/>
      <c r="P98" s="52"/>
      <c r="Q98" s="52"/>
      <c r="U98" s="52"/>
    </row>
    <row r="99">
      <c r="M99" s="52"/>
      <c r="N99" s="52"/>
      <c r="O99" s="52"/>
      <c r="P99" s="52"/>
      <c r="Q99" s="52"/>
      <c r="U99" s="52"/>
    </row>
    <row r="100">
      <c r="M100" s="52"/>
      <c r="N100" s="52"/>
      <c r="O100" s="52"/>
      <c r="P100" s="52"/>
      <c r="Q100" s="52"/>
      <c r="U100" s="52"/>
    </row>
    <row r="101">
      <c r="M101" s="52"/>
      <c r="N101" s="52"/>
      <c r="O101" s="52"/>
      <c r="P101" s="52"/>
      <c r="Q101" s="52"/>
      <c r="U101" s="52"/>
    </row>
    <row r="102">
      <c r="M102" s="52"/>
      <c r="N102" s="52"/>
      <c r="O102" s="52"/>
      <c r="P102" s="52"/>
      <c r="Q102" s="52"/>
      <c r="U102" s="52"/>
    </row>
    <row r="103">
      <c r="M103" s="52"/>
      <c r="N103" s="52"/>
      <c r="O103" s="52"/>
      <c r="P103" s="52"/>
      <c r="Q103" s="52"/>
      <c r="U103" s="52"/>
    </row>
    <row r="104">
      <c r="M104" s="52"/>
      <c r="N104" s="52"/>
      <c r="O104" s="52"/>
      <c r="P104" s="52"/>
      <c r="Q104" s="52"/>
      <c r="U104" s="52"/>
    </row>
    <row r="105">
      <c r="M105" s="52"/>
      <c r="N105" s="52"/>
      <c r="O105" s="52"/>
      <c r="P105" s="52"/>
      <c r="Q105" s="52"/>
      <c r="U105" s="52"/>
    </row>
    <row r="106">
      <c r="M106" s="52"/>
      <c r="N106" s="52"/>
      <c r="O106" s="52"/>
      <c r="P106" s="52"/>
      <c r="Q106" s="52"/>
      <c r="U106" s="52"/>
    </row>
    <row r="107">
      <c r="M107" s="52"/>
      <c r="N107" s="52"/>
      <c r="O107" s="52"/>
      <c r="P107" s="52"/>
      <c r="Q107" s="52"/>
      <c r="U107" s="52"/>
    </row>
    <row r="108">
      <c r="M108" s="52"/>
      <c r="N108" s="52"/>
      <c r="O108" s="52"/>
      <c r="P108" s="52"/>
      <c r="Q108" s="52"/>
      <c r="U108" s="52"/>
    </row>
    <row r="109">
      <c r="M109" s="52"/>
      <c r="N109" s="52"/>
      <c r="O109" s="52"/>
      <c r="P109" s="52"/>
      <c r="Q109" s="52"/>
      <c r="U109" s="52"/>
    </row>
    <row r="110">
      <c r="M110" s="52"/>
      <c r="N110" s="52"/>
      <c r="O110" s="52"/>
      <c r="P110" s="52"/>
      <c r="Q110" s="52"/>
      <c r="U110" s="52"/>
    </row>
    <row r="111">
      <c r="M111" s="52"/>
      <c r="N111" s="52"/>
      <c r="O111" s="52"/>
      <c r="P111" s="52"/>
      <c r="Q111" s="52"/>
      <c r="U111" s="52"/>
    </row>
    <row r="112">
      <c r="M112" s="52"/>
      <c r="N112" s="52"/>
      <c r="O112" s="52"/>
      <c r="P112" s="52"/>
      <c r="Q112" s="52"/>
      <c r="U112" s="52"/>
    </row>
    <row r="113">
      <c r="M113" s="52"/>
      <c r="N113" s="52"/>
      <c r="O113" s="52"/>
      <c r="P113" s="52"/>
      <c r="Q113" s="52"/>
      <c r="U113" s="52"/>
    </row>
    <row r="114">
      <c r="M114" s="52"/>
      <c r="N114" s="52"/>
      <c r="O114" s="52"/>
      <c r="P114" s="52"/>
      <c r="Q114" s="52"/>
      <c r="U114" s="52"/>
    </row>
    <row r="115">
      <c r="M115" s="52"/>
      <c r="N115" s="52"/>
      <c r="O115" s="52"/>
      <c r="P115" s="52"/>
      <c r="Q115" s="52"/>
      <c r="U115" s="52"/>
    </row>
    <row r="116">
      <c r="M116" s="52"/>
      <c r="N116" s="52"/>
      <c r="O116" s="52"/>
      <c r="P116" s="52"/>
      <c r="Q116" s="52"/>
      <c r="U116" s="52"/>
    </row>
    <row r="117">
      <c r="M117" s="52"/>
      <c r="N117" s="52"/>
      <c r="O117" s="52"/>
      <c r="P117" s="52"/>
      <c r="Q117" s="52"/>
      <c r="U117" s="52"/>
    </row>
    <row r="118">
      <c r="M118" s="52"/>
      <c r="N118" s="52"/>
      <c r="O118" s="52"/>
      <c r="P118" s="52"/>
      <c r="Q118" s="52"/>
      <c r="U118" s="52"/>
    </row>
    <row r="119">
      <c r="M119" s="52"/>
      <c r="N119" s="52"/>
      <c r="O119" s="52"/>
      <c r="P119" s="52"/>
      <c r="Q119" s="52"/>
      <c r="U119" s="52"/>
    </row>
    <row r="120">
      <c r="M120" s="52"/>
      <c r="N120" s="52"/>
      <c r="O120" s="52"/>
      <c r="P120" s="52"/>
      <c r="Q120" s="52"/>
      <c r="U120" s="52"/>
    </row>
    <row r="121">
      <c r="M121" s="52"/>
      <c r="N121" s="52"/>
      <c r="O121" s="52"/>
      <c r="P121" s="52"/>
      <c r="Q121" s="52"/>
      <c r="U121" s="52"/>
    </row>
    <row r="122">
      <c r="M122" s="52"/>
      <c r="N122" s="52"/>
      <c r="O122" s="52"/>
      <c r="P122" s="52"/>
      <c r="Q122" s="52"/>
      <c r="U122" s="52"/>
    </row>
    <row r="123">
      <c r="M123" s="52"/>
      <c r="N123" s="52"/>
      <c r="O123" s="52"/>
      <c r="P123" s="52"/>
      <c r="Q123" s="52"/>
      <c r="U123" s="52"/>
    </row>
    <row r="124">
      <c r="M124" s="52"/>
      <c r="N124" s="52"/>
      <c r="O124" s="52"/>
      <c r="P124" s="52"/>
      <c r="Q124" s="52"/>
      <c r="U124" s="52"/>
    </row>
    <row r="125">
      <c r="M125" s="52"/>
      <c r="N125" s="52"/>
      <c r="O125" s="52"/>
      <c r="P125" s="52"/>
      <c r="Q125" s="52"/>
      <c r="U125" s="52"/>
    </row>
    <row r="126">
      <c r="M126" s="52"/>
      <c r="N126" s="52"/>
      <c r="O126" s="52"/>
      <c r="P126" s="52"/>
      <c r="Q126" s="52"/>
      <c r="U126" s="52"/>
    </row>
    <row r="127">
      <c r="M127" s="52"/>
      <c r="N127" s="52"/>
      <c r="O127" s="52"/>
      <c r="P127" s="52"/>
      <c r="Q127" s="52"/>
      <c r="U127" s="52"/>
    </row>
    <row r="128">
      <c r="M128" s="52"/>
      <c r="N128" s="52"/>
      <c r="O128" s="52"/>
      <c r="P128" s="52"/>
      <c r="Q128" s="52"/>
      <c r="U128" s="52"/>
    </row>
    <row r="129">
      <c r="M129" s="52"/>
      <c r="N129" s="52"/>
      <c r="O129" s="52"/>
      <c r="P129" s="52"/>
      <c r="Q129" s="52"/>
      <c r="U129" s="52"/>
    </row>
    <row r="130">
      <c r="M130" s="52"/>
      <c r="N130" s="52"/>
      <c r="O130" s="52"/>
      <c r="P130" s="52"/>
      <c r="Q130" s="52"/>
      <c r="U130" s="52"/>
    </row>
    <row r="131">
      <c r="M131" s="52"/>
      <c r="N131" s="52"/>
      <c r="O131" s="52"/>
      <c r="P131" s="52"/>
      <c r="Q131" s="52"/>
      <c r="U131" s="52"/>
    </row>
    <row r="132">
      <c r="M132" s="52"/>
      <c r="N132" s="52"/>
      <c r="O132" s="52"/>
      <c r="P132" s="52"/>
      <c r="Q132" s="52"/>
      <c r="U132" s="52"/>
    </row>
    <row r="133">
      <c r="M133" s="52"/>
      <c r="N133" s="52"/>
      <c r="O133" s="52"/>
      <c r="P133" s="52"/>
      <c r="Q133" s="52"/>
      <c r="U133" s="52"/>
    </row>
    <row r="134">
      <c r="M134" s="52"/>
      <c r="N134" s="52"/>
      <c r="O134" s="52"/>
      <c r="P134" s="52"/>
      <c r="Q134" s="52"/>
      <c r="U134" s="52"/>
    </row>
    <row r="135">
      <c r="M135" s="52"/>
      <c r="N135" s="52"/>
      <c r="O135" s="52"/>
      <c r="P135" s="52"/>
      <c r="Q135" s="52"/>
      <c r="U135" s="52"/>
    </row>
    <row r="136">
      <c r="M136" s="52"/>
      <c r="N136" s="52"/>
      <c r="O136" s="52"/>
      <c r="P136" s="52"/>
      <c r="Q136" s="52"/>
      <c r="U136" s="52"/>
    </row>
    <row r="137">
      <c r="M137" s="52"/>
      <c r="N137" s="52"/>
      <c r="O137" s="52"/>
      <c r="P137" s="52"/>
      <c r="Q137" s="52"/>
      <c r="U137" s="52"/>
    </row>
    <row r="138">
      <c r="M138" s="52"/>
      <c r="N138" s="52"/>
      <c r="O138" s="52"/>
      <c r="P138" s="52"/>
      <c r="Q138" s="52"/>
      <c r="U138" s="52"/>
    </row>
    <row r="139">
      <c r="M139" s="52"/>
      <c r="N139" s="52"/>
      <c r="O139" s="52"/>
      <c r="P139" s="52"/>
      <c r="Q139" s="52"/>
      <c r="U139" s="52"/>
    </row>
    <row r="140">
      <c r="M140" s="52"/>
      <c r="N140" s="52"/>
      <c r="O140" s="52"/>
      <c r="P140" s="52"/>
      <c r="Q140" s="52"/>
      <c r="U140" s="52"/>
    </row>
    <row r="141">
      <c r="M141" s="52"/>
      <c r="N141" s="52"/>
      <c r="O141" s="52"/>
      <c r="P141" s="52"/>
      <c r="Q141" s="52"/>
      <c r="U141" s="52"/>
    </row>
    <row r="142">
      <c r="M142" s="52"/>
      <c r="N142" s="52"/>
      <c r="O142" s="52"/>
      <c r="P142" s="52"/>
      <c r="Q142" s="52"/>
      <c r="U142" s="52"/>
    </row>
    <row r="143">
      <c r="M143" s="52"/>
      <c r="N143" s="52"/>
      <c r="O143" s="52"/>
      <c r="P143" s="52"/>
      <c r="Q143" s="52"/>
      <c r="U143" s="52"/>
    </row>
    <row r="144">
      <c r="M144" s="52"/>
      <c r="N144" s="52"/>
      <c r="O144" s="52"/>
      <c r="P144" s="52"/>
      <c r="Q144" s="52"/>
      <c r="U144" s="52"/>
    </row>
    <row r="145">
      <c r="M145" s="52"/>
      <c r="N145" s="52"/>
      <c r="O145" s="52"/>
      <c r="P145" s="52"/>
      <c r="Q145" s="52"/>
      <c r="U145" s="52"/>
    </row>
    <row r="146">
      <c r="M146" s="52"/>
      <c r="N146" s="52"/>
      <c r="O146" s="52"/>
      <c r="P146" s="52"/>
      <c r="Q146" s="52"/>
      <c r="U146" s="52"/>
    </row>
    <row r="147">
      <c r="M147" s="52"/>
      <c r="N147" s="52"/>
      <c r="O147" s="52"/>
      <c r="P147" s="52"/>
      <c r="Q147" s="52"/>
      <c r="U147" s="52"/>
    </row>
    <row r="148">
      <c r="M148" s="52"/>
      <c r="N148" s="52"/>
      <c r="O148" s="52"/>
      <c r="P148" s="52"/>
      <c r="Q148" s="52"/>
      <c r="U148" s="52"/>
    </row>
    <row r="149">
      <c r="M149" s="52"/>
      <c r="N149" s="52"/>
      <c r="O149" s="52"/>
      <c r="P149" s="52"/>
      <c r="Q149" s="52"/>
      <c r="U149" s="52"/>
    </row>
    <row r="150">
      <c r="M150" s="52"/>
      <c r="N150" s="52"/>
      <c r="O150" s="52"/>
      <c r="P150" s="52"/>
      <c r="Q150" s="52"/>
      <c r="U150" s="52"/>
    </row>
    <row r="151">
      <c r="M151" s="52"/>
      <c r="N151" s="52"/>
      <c r="O151" s="52"/>
      <c r="P151" s="52"/>
      <c r="Q151" s="52"/>
      <c r="U151" s="52"/>
    </row>
    <row r="152">
      <c r="M152" s="52"/>
      <c r="N152" s="52"/>
      <c r="O152" s="52"/>
      <c r="P152" s="52"/>
      <c r="Q152" s="52"/>
      <c r="U152" s="52"/>
    </row>
    <row r="153">
      <c r="M153" s="52"/>
      <c r="N153" s="52"/>
      <c r="O153" s="52"/>
      <c r="P153" s="52"/>
      <c r="Q153" s="52"/>
      <c r="U153" s="52"/>
    </row>
    <row r="154">
      <c r="M154" s="52"/>
      <c r="N154" s="52"/>
      <c r="O154" s="52"/>
      <c r="P154" s="52"/>
      <c r="Q154" s="52"/>
      <c r="U154" s="52"/>
    </row>
    <row r="155">
      <c r="M155" s="52"/>
      <c r="N155" s="52"/>
      <c r="O155" s="52"/>
      <c r="P155" s="52"/>
      <c r="Q155" s="52"/>
      <c r="U155" s="52"/>
    </row>
    <row r="156">
      <c r="M156" s="52"/>
      <c r="N156" s="52"/>
      <c r="O156" s="52"/>
      <c r="P156" s="52"/>
      <c r="Q156" s="52"/>
      <c r="U156" s="52"/>
    </row>
    <row r="157">
      <c r="M157" s="52"/>
      <c r="N157" s="52"/>
      <c r="O157" s="52"/>
      <c r="P157" s="52"/>
      <c r="Q157" s="52"/>
      <c r="U157" s="52"/>
    </row>
    <row r="158">
      <c r="M158" s="52"/>
      <c r="N158" s="52"/>
      <c r="O158" s="52"/>
      <c r="P158" s="52"/>
      <c r="Q158" s="52"/>
      <c r="U158" s="52"/>
    </row>
    <row r="159">
      <c r="M159" s="52"/>
      <c r="N159" s="52"/>
      <c r="O159" s="52"/>
      <c r="P159" s="52"/>
      <c r="Q159" s="52"/>
      <c r="U159" s="52"/>
    </row>
    <row r="160">
      <c r="M160" s="52"/>
      <c r="N160" s="52"/>
      <c r="O160" s="52"/>
      <c r="P160" s="52"/>
      <c r="Q160" s="52"/>
      <c r="U160" s="52"/>
    </row>
    <row r="161">
      <c r="M161" s="52"/>
      <c r="N161" s="52"/>
      <c r="O161" s="52"/>
      <c r="P161" s="52"/>
      <c r="Q161" s="52"/>
      <c r="U161" s="52"/>
    </row>
    <row r="162">
      <c r="M162" s="52"/>
      <c r="N162" s="52"/>
      <c r="O162" s="52"/>
      <c r="P162" s="52"/>
      <c r="Q162" s="52"/>
      <c r="U162" s="52"/>
    </row>
    <row r="163">
      <c r="M163" s="52"/>
      <c r="N163" s="52"/>
      <c r="O163" s="52"/>
      <c r="P163" s="52"/>
      <c r="Q163" s="52"/>
      <c r="U163" s="52"/>
    </row>
    <row r="164">
      <c r="M164" s="52"/>
      <c r="N164" s="52"/>
      <c r="O164" s="52"/>
      <c r="P164" s="52"/>
      <c r="Q164" s="52"/>
      <c r="U164" s="52"/>
    </row>
    <row r="165">
      <c r="M165" s="52"/>
      <c r="N165" s="52"/>
      <c r="O165" s="52"/>
      <c r="P165" s="52"/>
      <c r="Q165" s="52"/>
      <c r="U165" s="52"/>
    </row>
    <row r="166">
      <c r="M166" s="52"/>
      <c r="N166" s="52"/>
      <c r="O166" s="52"/>
      <c r="P166" s="52"/>
      <c r="Q166" s="52"/>
      <c r="U166" s="52"/>
    </row>
    <row r="167">
      <c r="M167" s="52"/>
      <c r="N167" s="52"/>
      <c r="O167" s="52"/>
      <c r="P167" s="52"/>
      <c r="Q167" s="52"/>
      <c r="U167" s="52"/>
    </row>
    <row r="168">
      <c r="M168" s="52"/>
      <c r="N168" s="52"/>
      <c r="O168" s="52"/>
      <c r="P168" s="52"/>
      <c r="Q168" s="52"/>
      <c r="U168" s="52"/>
    </row>
    <row r="169">
      <c r="M169" s="52"/>
      <c r="N169" s="52"/>
      <c r="O169" s="52"/>
      <c r="P169" s="52"/>
      <c r="Q169" s="52"/>
      <c r="U169" s="52"/>
    </row>
    <row r="170">
      <c r="M170" s="52"/>
      <c r="N170" s="52"/>
      <c r="O170" s="52"/>
      <c r="P170" s="52"/>
      <c r="Q170" s="52"/>
      <c r="U170" s="52"/>
    </row>
    <row r="171">
      <c r="M171" s="52"/>
      <c r="N171" s="52"/>
      <c r="O171" s="52"/>
      <c r="P171" s="52"/>
      <c r="Q171" s="52"/>
      <c r="U171" s="52"/>
    </row>
    <row r="172">
      <c r="M172" s="52"/>
      <c r="N172" s="52"/>
      <c r="O172" s="52"/>
      <c r="P172" s="52"/>
      <c r="Q172" s="52"/>
      <c r="U172" s="52"/>
    </row>
    <row r="173">
      <c r="M173" s="52"/>
      <c r="N173" s="52"/>
      <c r="O173" s="52"/>
      <c r="P173" s="52"/>
      <c r="Q173" s="52"/>
      <c r="U173" s="52"/>
    </row>
    <row r="174">
      <c r="M174" s="52"/>
      <c r="N174" s="52"/>
      <c r="O174" s="52"/>
      <c r="P174" s="52"/>
      <c r="Q174" s="52"/>
      <c r="U174" s="52"/>
    </row>
    <row r="175">
      <c r="M175" s="52"/>
      <c r="N175" s="52"/>
      <c r="O175" s="52"/>
      <c r="P175" s="52"/>
      <c r="Q175" s="52"/>
      <c r="U175" s="52"/>
    </row>
    <row r="176">
      <c r="M176" s="52"/>
      <c r="N176" s="52"/>
      <c r="O176" s="52"/>
      <c r="P176" s="52"/>
      <c r="Q176" s="52"/>
      <c r="U176" s="52"/>
    </row>
    <row r="177">
      <c r="M177" s="52"/>
      <c r="N177" s="52"/>
      <c r="O177" s="52"/>
      <c r="P177" s="52"/>
      <c r="Q177" s="52"/>
      <c r="U177" s="52"/>
    </row>
    <row r="178">
      <c r="M178" s="52"/>
      <c r="N178" s="52"/>
      <c r="O178" s="52"/>
      <c r="P178" s="52"/>
      <c r="Q178" s="52"/>
      <c r="U178" s="52"/>
    </row>
    <row r="179">
      <c r="M179" s="52"/>
      <c r="N179" s="52"/>
      <c r="O179" s="52"/>
      <c r="P179" s="52"/>
      <c r="Q179" s="52"/>
      <c r="U179" s="52"/>
    </row>
    <row r="180">
      <c r="M180" s="52"/>
      <c r="N180" s="52"/>
      <c r="O180" s="52"/>
      <c r="P180" s="52"/>
      <c r="Q180" s="52"/>
      <c r="U180" s="52"/>
    </row>
    <row r="181">
      <c r="M181" s="52"/>
      <c r="N181" s="52"/>
      <c r="O181" s="52"/>
      <c r="P181" s="52"/>
      <c r="Q181" s="52"/>
      <c r="U181" s="52"/>
    </row>
    <row r="182">
      <c r="M182" s="52"/>
      <c r="N182" s="52"/>
      <c r="O182" s="52"/>
      <c r="P182" s="52"/>
      <c r="Q182" s="52"/>
      <c r="U182" s="52"/>
    </row>
    <row r="183">
      <c r="M183" s="52"/>
      <c r="N183" s="52"/>
      <c r="O183" s="52"/>
      <c r="P183" s="52"/>
      <c r="Q183" s="52"/>
      <c r="U183" s="52"/>
    </row>
    <row r="184">
      <c r="M184" s="52"/>
      <c r="N184" s="52"/>
      <c r="O184" s="52"/>
      <c r="P184" s="52"/>
      <c r="Q184" s="52"/>
      <c r="U184" s="52"/>
    </row>
    <row r="185">
      <c r="M185" s="52"/>
      <c r="N185" s="52"/>
      <c r="O185" s="52"/>
      <c r="P185" s="52"/>
      <c r="Q185" s="52"/>
      <c r="U185" s="52"/>
    </row>
    <row r="186">
      <c r="M186" s="52"/>
      <c r="N186" s="52"/>
      <c r="O186" s="52"/>
      <c r="P186" s="52"/>
      <c r="Q186" s="52"/>
      <c r="U186" s="52"/>
    </row>
    <row r="187">
      <c r="M187" s="52"/>
      <c r="N187" s="52"/>
      <c r="O187" s="52"/>
      <c r="P187" s="52"/>
      <c r="Q187" s="52"/>
      <c r="U187" s="52"/>
    </row>
    <row r="188">
      <c r="M188" s="52"/>
      <c r="N188" s="52"/>
      <c r="O188" s="52"/>
      <c r="P188" s="52"/>
      <c r="Q188" s="52"/>
      <c r="U188" s="52"/>
    </row>
    <row r="189">
      <c r="M189" s="52"/>
      <c r="N189" s="52"/>
      <c r="O189" s="52"/>
      <c r="P189" s="52"/>
      <c r="Q189" s="52"/>
      <c r="U189" s="52"/>
    </row>
    <row r="190">
      <c r="M190" s="52"/>
      <c r="N190" s="52"/>
      <c r="O190" s="52"/>
      <c r="P190" s="52"/>
      <c r="Q190" s="52"/>
      <c r="U190" s="52"/>
    </row>
    <row r="191">
      <c r="M191" s="52"/>
      <c r="N191" s="52"/>
      <c r="O191" s="52"/>
      <c r="P191" s="52"/>
      <c r="Q191" s="52"/>
      <c r="U191" s="52"/>
    </row>
    <row r="192">
      <c r="M192" s="52"/>
      <c r="N192" s="52"/>
      <c r="O192" s="52"/>
      <c r="P192" s="52"/>
      <c r="Q192" s="52"/>
      <c r="U192" s="52"/>
    </row>
    <row r="193">
      <c r="M193" s="52"/>
      <c r="N193" s="52"/>
      <c r="O193" s="52"/>
      <c r="P193" s="52"/>
      <c r="Q193" s="52"/>
      <c r="U193" s="52"/>
    </row>
    <row r="194">
      <c r="M194" s="52"/>
      <c r="N194" s="52"/>
      <c r="O194" s="52"/>
      <c r="P194" s="52"/>
      <c r="Q194" s="52"/>
      <c r="U194" s="52"/>
    </row>
    <row r="195">
      <c r="M195" s="52"/>
      <c r="N195" s="52"/>
      <c r="O195" s="52"/>
      <c r="P195" s="52"/>
      <c r="Q195" s="52"/>
      <c r="U195" s="52"/>
    </row>
    <row r="196">
      <c r="M196" s="52"/>
      <c r="N196" s="52"/>
      <c r="O196" s="52"/>
      <c r="P196" s="52"/>
      <c r="Q196" s="52"/>
      <c r="U196" s="52"/>
    </row>
    <row r="197">
      <c r="M197" s="52"/>
      <c r="N197" s="52"/>
      <c r="O197" s="52"/>
      <c r="P197" s="52"/>
      <c r="Q197" s="52"/>
      <c r="U197" s="52"/>
    </row>
    <row r="198">
      <c r="M198" s="52"/>
      <c r="N198" s="52"/>
      <c r="O198" s="52"/>
      <c r="P198" s="52"/>
      <c r="Q198" s="52"/>
      <c r="U198" s="52"/>
    </row>
    <row r="199">
      <c r="M199" s="52"/>
      <c r="N199" s="52"/>
      <c r="O199" s="52"/>
      <c r="P199" s="52"/>
      <c r="Q199" s="52"/>
      <c r="U199" s="52"/>
    </row>
    <row r="200">
      <c r="M200" s="52"/>
      <c r="N200" s="52"/>
      <c r="O200" s="52"/>
      <c r="P200" s="52"/>
      <c r="Q200" s="52"/>
      <c r="U200" s="52"/>
    </row>
    <row r="201">
      <c r="M201" s="52"/>
      <c r="N201" s="52"/>
      <c r="O201" s="52"/>
      <c r="P201" s="52"/>
      <c r="Q201" s="52"/>
      <c r="U201" s="52"/>
    </row>
    <row r="202">
      <c r="M202" s="52"/>
      <c r="N202" s="52"/>
      <c r="O202" s="52"/>
      <c r="P202" s="52"/>
      <c r="Q202" s="52"/>
      <c r="U202" s="52"/>
    </row>
    <row r="203">
      <c r="M203" s="52"/>
      <c r="N203" s="52"/>
      <c r="O203" s="52"/>
      <c r="P203" s="52"/>
      <c r="Q203" s="52"/>
      <c r="U203" s="52"/>
    </row>
    <row r="204">
      <c r="M204" s="52"/>
      <c r="N204" s="52"/>
      <c r="O204" s="52"/>
      <c r="P204" s="52"/>
      <c r="Q204" s="52"/>
      <c r="U204" s="52"/>
    </row>
    <row r="205">
      <c r="M205" s="52"/>
      <c r="N205" s="52"/>
      <c r="O205" s="52"/>
      <c r="P205" s="52"/>
      <c r="Q205" s="52"/>
      <c r="U205" s="52"/>
    </row>
    <row r="206">
      <c r="M206" s="52"/>
      <c r="N206" s="52"/>
      <c r="O206" s="52"/>
      <c r="P206" s="52"/>
      <c r="Q206" s="52"/>
      <c r="U206" s="52"/>
    </row>
    <row r="207">
      <c r="M207" s="52"/>
      <c r="N207" s="52"/>
      <c r="O207" s="52"/>
      <c r="P207" s="52"/>
      <c r="Q207" s="52"/>
      <c r="U207" s="52"/>
    </row>
    <row r="208">
      <c r="M208" s="52"/>
      <c r="N208" s="52"/>
      <c r="O208" s="52"/>
      <c r="P208" s="52"/>
      <c r="Q208" s="52"/>
      <c r="U208" s="52"/>
    </row>
    <row r="209">
      <c r="M209" s="52"/>
      <c r="N209" s="52"/>
      <c r="O209" s="52"/>
      <c r="P209" s="52"/>
      <c r="Q209" s="52"/>
      <c r="U209" s="52"/>
    </row>
    <row r="210">
      <c r="M210" s="52"/>
      <c r="N210" s="52"/>
      <c r="O210" s="52"/>
      <c r="P210" s="52"/>
      <c r="Q210" s="52"/>
      <c r="U210" s="52"/>
    </row>
    <row r="211">
      <c r="M211" s="52"/>
      <c r="N211" s="52"/>
      <c r="O211" s="52"/>
      <c r="P211" s="52"/>
      <c r="Q211" s="52"/>
      <c r="U211" s="52"/>
    </row>
    <row r="212">
      <c r="M212" s="52"/>
      <c r="N212" s="52"/>
      <c r="O212" s="52"/>
      <c r="P212" s="52"/>
      <c r="Q212" s="52"/>
      <c r="U212" s="52"/>
    </row>
    <row r="213">
      <c r="M213" s="52"/>
      <c r="N213" s="52"/>
      <c r="O213" s="52"/>
      <c r="P213" s="52"/>
      <c r="Q213" s="52"/>
      <c r="U213" s="52"/>
    </row>
    <row r="214">
      <c r="M214" s="52"/>
      <c r="N214" s="52"/>
      <c r="O214" s="52"/>
      <c r="P214" s="52"/>
      <c r="Q214" s="52"/>
      <c r="U214" s="52"/>
    </row>
    <row r="215">
      <c r="M215" s="52"/>
      <c r="N215" s="52"/>
      <c r="O215" s="52"/>
      <c r="P215" s="52"/>
      <c r="Q215" s="52"/>
      <c r="U215" s="52"/>
    </row>
    <row r="216">
      <c r="M216" s="52"/>
      <c r="N216" s="52"/>
      <c r="O216" s="52"/>
      <c r="P216" s="52"/>
      <c r="Q216" s="52"/>
      <c r="U216" s="52"/>
    </row>
    <row r="217">
      <c r="M217" s="52"/>
      <c r="N217" s="52"/>
      <c r="O217" s="52"/>
      <c r="P217" s="52"/>
      <c r="Q217" s="52"/>
      <c r="U217" s="52"/>
    </row>
    <row r="218">
      <c r="M218" s="52"/>
      <c r="N218" s="52"/>
      <c r="O218" s="52"/>
      <c r="P218" s="52"/>
      <c r="Q218" s="52"/>
      <c r="U218" s="52"/>
    </row>
    <row r="219">
      <c r="M219" s="52"/>
      <c r="N219" s="52"/>
      <c r="O219" s="52"/>
      <c r="P219" s="52"/>
      <c r="Q219" s="52"/>
      <c r="U219" s="52"/>
    </row>
    <row r="220">
      <c r="M220" s="52"/>
      <c r="N220" s="52"/>
      <c r="O220" s="52"/>
      <c r="P220" s="52"/>
      <c r="Q220" s="52"/>
      <c r="U220" s="52"/>
    </row>
    <row r="221">
      <c r="M221" s="52"/>
      <c r="N221" s="52"/>
      <c r="O221" s="52"/>
      <c r="P221" s="52"/>
      <c r="Q221" s="52"/>
      <c r="U221" s="52"/>
    </row>
    <row r="222">
      <c r="M222" s="52"/>
      <c r="N222" s="52"/>
      <c r="O222" s="52"/>
      <c r="P222" s="52"/>
      <c r="Q222" s="52"/>
      <c r="U222" s="52"/>
    </row>
    <row r="223">
      <c r="M223" s="52"/>
      <c r="N223" s="52"/>
      <c r="O223" s="52"/>
      <c r="P223" s="52"/>
      <c r="Q223" s="52"/>
      <c r="U223" s="52"/>
    </row>
    <row r="224">
      <c r="M224" s="52"/>
      <c r="N224" s="52"/>
      <c r="O224" s="52"/>
      <c r="P224" s="52"/>
      <c r="Q224" s="52"/>
      <c r="U224" s="52"/>
    </row>
    <row r="225">
      <c r="M225" s="52"/>
      <c r="N225" s="52"/>
      <c r="O225" s="52"/>
      <c r="P225" s="52"/>
      <c r="Q225" s="52"/>
      <c r="U225" s="52"/>
    </row>
    <row r="226">
      <c r="M226" s="52"/>
      <c r="N226" s="52"/>
      <c r="O226" s="52"/>
      <c r="P226" s="52"/>
      <c r="Q226" s="52"/>
      <c r="U226" s="52"/>
    </row>
    <row r="227">
      <c r="M227" s="52"/>
      <c r="N227" s="52"/>
      <c r="O227" s="52"/>
      <c r="P227" s="52"/>
      <c r="Q227" s="52"/>
      <c r="U227" s="52"/>
    </row>
    <row r="228">
      <c r="M228" s="52"/>
      <c r="N228" s="52"/>
      <c r="O228" s="52"/>
      <c r="P228" s="52"/>
      <c r="Q228" s="52"/>
      <c r="U228" s="52"/>
    </row>
    <row r="229">
      <c r="M229" s="52"/>
      <c r="N229" s="52"/>
      <c r="O229" s="52"/>
      <c r="P229" s="52"/>
      <c r="Q229" s="52"/>
      <c r="U229" s="52"/>
    </row>
    <row r="230">
      <c r="M230" s="52"/>
      <c r="N230" s="52"/>
      <c r="O230" s="52"/>
      <c r="P230" s="52"/>
      <c r="Q230" s="52"/>
      <c r="U230" s="52"/>
    </row>
    <row r="231">
      <c r="M231" s="52"/>
      <c r="N231" s="52"/>
      <c r="O231" s="52"/>
      <c r="P231" s="52"/>
      <c r="Q231" s="52"/>
      <c r="U231" s="52"/>
    </row>
    <row r="232">
      <c r="M232" s="52"/>
      <c r="N232" s="52"/>
      <c r="O232" s="52"/>
      <c r="P232" s="52"/>
      <c r="Q232" s="52"/>
      <c r="U232" s="52"/>
    </row>
    <row r="233">
      <c r="M233" s="52"/>
      <c r="N233" s="52"/>
      <c r="O233" s="52"/>
      <c r="P233" s="52"/>
      <c r="Q233" s="52"/>
      <c r="U233" s="52"/>
    </row>
    <row r="234">
      <c r="M234" s="52"/>
      <c r="N234" s="52"/>
      <c r="O234" s="52"/>
      <c r="P234" s="52"/>
      <c r="Q234" s="52"/>
      <c r="U234" s="52"/>
    </row>
    <row r="235">
      <c r="M235" s="52"/>
      <c r="N235" s="52"/>
      <c r="O235" s="52"/>
      <c r="P235" s="52"/>
      <c r="Q235" s="52"/>
      <c r="U235" s="52"/>
    </row>
    <row r="236">
      <c r="M236" s="52"/>
      <c r="N236" s="52"/>
      <c r="O236" s="52"/>
      <c r="P236" s="52"/>
      <c r="Q236" s="52"/>
      <c r="U236" s="52"/>
    </row>
    <row r="237">
      <c r="M237" s="52"/>
      <c r="N237" s="52"/>
      <c r="O237" s="52"/>
      <c r="P237" s="52"/>
      <c r="Q237" s="52"/>
      <c r="U237" s="52"/>
    </row>
    <row r="238">
      <c r="M238" s="52"/>
      <c r="N238" s="52"/>
      <c r="O238" s="52"/>
      <c r="P238" s="52"/>
      <c r="Q238" s="52"/>
      <c r="U238" s="52"/>
    </row>
    <row r="239">
      <c r="M239" s="52"/>
      <c r="N239" s="52"/>
      <c r="O239" s="52"/>
      <c r="P239" s="52"/>
      <c r="Q239" s="52"/>
      <c r="U239" s="52"/>
    </row>
    <row r="240">
      <c r="M240" s="52"/>
      <c r="N240" s="52"/>
      <c r="O240" s="52"/>
      <c r="P240" s="52"/>
      <c r="Q240" s="52"/>
      <c r="U240" s="52"/>
    </row>
    <row r="241">
      <c r="M241" s="52"/>
      <c r="N241" s="52"/>
      <c r="O241" s="52"/>
      <c r="P241" s="52"/>
      <c r="Q241" s="52"/>
      <c r="U241" s="52"/>
    </row>
    <row r="242">
      <c r="M242" s="52"/>
      <c r="N242" s="52"/>
      <c r="O242" s="52"/>
      <c r="P242" s="52"/>
      <c r="Q242" s="52"/>
      <c r="U242" s="52"/>
    </row>
    <row r="243">
      <c r="M243" s="52"/>
      <c r="N243" s="52"/>
      <c r="O243" s="52"/>
      <c r="P243" s="52"/>
      <c r="Q243" s="52"/>
      <c r="U243" s="52"/>
    </row>
    <row r="244">
      <c r="M244" s="52"/>
      <c r="N244" s="52"/>
      <c r="O244" s="52"/>
      <c r="P244" s="52"/>
      <c r="Q244" s="52"/>
      <c r="U244" s="52"/>
    </row>
    <row r="245">
      <c r="M245" s="52"/>
      <c r="N245" s="52"/>
      <c r="O245" s="52"/>
      <c r="P245" s="52"/>
      <c r="Q245" s="52"/>
      <c r="U245" s="52"/>
    </row>
    <row r="246">
      <c r="M246" s="52"/>
      <c r="N246" s="52"/>
      <c r="O246" s="52"/>
      <c r="P246" s="52"/>
      <c r="Q246" s="52"/>
      <c r="U246" s="52"/>
    </row>
    <row r="247">
      <c r="M247" s="52"/>
      <c r="N247" s="52"/>
      <c r="O247" s="52"/>
      <c r="P247" s="52"/>
      <c r="Q247" s="52"/>
      <c r="U247" s="52"/>
    </row>
    <row r="248">
      <c r="M248" s="52"/>
      <c r="N248" s="52"/>
      <c r="O248" s="52"/>
      <c r="P248" s="52"/>
      <c r="Q248" s="52"/>
      <c r="U248" s="52"/>
    </row>
    <row r="249">
      <c r="M249" s="52"/>
      <c r="N249" s="52"/>
      <c r="O249" s="52"/>
      <c r="P249" s="52"/>
      <c r="Q249" s="52"/>
      <c r="U249" s="52"/>
    </row>
    <row r="250">
      <c r="M250" s="52"/>
      <c r="N250" s="52"/>
      <c r="O250" s="52"/>
      <c r="P250" s="52"/>
      <c r="Q250" s="52"/>
      <c r="U250" s="52"/>
    </row>
    <row r="251">
      <c r="M251" s="52"/>
      <c r="N251" s="52"/>
      <c r="O251" s="52"/>
      <c r="P251" s="52"/>
      <c r="Q251" s="52"/>
      <c r="U251" s="52"/>
    </row>
    <row r="252">
      <c r="M252" s="52"/>
      <c r="N252" s="52"/>
      <c r="O252" s="52"/>
      <c r="P252" s="52"/>
      <c r="Q252" s="52"/>
      <c r="U252" s="52"/>
    </row>
    <row r="253">
      <c r="M253" s="52"/>
      <c r="N253" s="52"/>
      <c r="O253" s="52"/>
      <c r="P253" s="52"/>
      <c r="Q253" s="52"/>
      <c r="U253" s="52"/>
    </row>
    <row r="254">
      <c r="M254" s="52"/>
      <c r="N254" s="52"/>
      <c r="O254" s="52"/>
      <c r="P254" s="52"/>
      <c r="Q254" s="52"/>
      <c r="U254" s="52"/>
    </row>
    <row r="255">
      <c r="M255" s="52"/>
      <c r="N255" s="52"/>
      <c r="O255" s="52"/>
      <c r="P255" s="52"/>
      <c r="Q255" s="52"/>
      <c r="U255" s="52"/>
    </row>
    <row r="256">
      <c r="M256" s="52"/>
      <c r="N256" s="52"/>
      <c r="O256" s="52"/>
      <c r="P256" s="52"/>
      <c r="Q256" s="52"/>
      <c r="U256" s="52"/>
    </row>
    <row r="257">
      <c r="M257" s="52"/>
      <c r="N257" s="52"/>
      <c r="O257" s="52"/>
      <c r="P257" s="52"/>
      <c r="Q257" s="52"/>
      <c r="U257" s="52"/>
    </row>
    <row r="258">
      <c r="M258" s="52"/>
      <c r="N258" s="52"/>
      <c r="O258" s="52"/>
      <c r="P258" s="52"/>
      <c r="Q258" s="52"/>
      <c r="U258" s="52"/>
    </row>
    <row r="259">
      <c r="M259" s="52"/>
      <c r="N259" s="52"/>
      <c r="O259" s="52"/>
      <c r="P259" s="52"/>
      <c r="Q259" s="52"/>
      <c r="U259" s="52"/>
    </row>
    <row r="260">
      <c r="M260" s="52"/>
      <c r="N260" s="52"/>
      <c r="O260" s="52"/>
      <c r="P260" s="52"/>
      <c r="Q260" s="52"/>
      <c r="U260" s="52"/>
    </row>
    <row r="261">
      <c r="M261" s="52"/>
      <c r="N261" s="52"/>
      <c r="O261" s="52"/>
      <c r="P261" s="52"/>
      <c r="Q261" s="52"/>
      <c r="U261" s="52"/>
    </row>
    <row r="262">
      <c r="M262" s="52"/>
      <c r="N262" s="52"/>
      <c r="O262" s="52"/>
      <c r="P262" s="52"/>
      <c r="Q262" s="52"/>
      <c r="U262" s="52"/>
    </row>
    <row r="263">
      <c r="M263" s="52"/>
      <c r="N263" s="52"/>
      <c r="O263" s="52"/>
      <c r="P263" s="52"/>
      <c r="Q263" s="52"/>
      <c r="U263" s="52"/>
    </row>
    <row r="264">
      <c r="M264" s="52"/>
      <c r="N264" s="52"/>
      <c r="O264" s="52"/>
      <c r="P264" s="52"/>
      <c r="Q264" s="52"/>
      <c r="U264" s="52"/>
    </row>
    <row r="265">
      <c r="M265" s="52"/>
      <c r="N265" s="52"/>
      <c r="O265" s="52"/>
      <c r="P265" s="52"/>
      <c r="Q265" s="52"/>
      <c r="U265" s="52"/>
    </row>
    <row r="266">
      <c r="M266" s="52"/>
      <c r="N266" s="52"/>
      <c r="O266" s="52"/>
      <c r="P266" s="52"/>
      <c r="Q266" s="52"/>
      <c r="U266" s="52"/>
    </row>
    <row r="267">
      <c r="M267" s="52"/>
      <c r="N267" s="52"/>
      <c r="O267" s="52"/>
      <c r="P267" s="52"/>
      <c r="Q267" s="52"/>
      <c r="U267" s="52"/>
    </row>
    <row r="268">
      <c r="M268" s="52"/>
      <c r="N268" s="52"/>
      <c r="O268" s="52"/>
      <c r="P268" s="52"/>
      <c r="Q268" s="52"/>
      <c r="U268" s="52"/>
    </row>
    <row r="269">
      <c r="M269" s="52"/>
      <c r="N269" s="52"/>
      <c r="O269" s="52"/>
      <c r="P269" s="52"/>
      <c r="Q269" s="52"/>
      <c r="U269" s="52"/>
    </row>
    <row r="270">
      <c r="M270" s="52"/>
      <c r="N270" s="52"/>
      <c r="O270" s="52"/>
      <c r="P270" s="52"/>
      <c r="Q270" s="52"/>
      <c r="U270" s="52"/>
    </row>
    <row r="271">
      <c r="M271" s="52"/>
      <c r="N271" s="52"/>
      <c r="O271" s="52"/>
      <c r="P271" s="52"/>
      <c r="Q271" s="52"/>
      <c r="U271" s="52"/>
    </row>
    <row r="272">
      <c r="M272" s="52"/>
      <c r="N272" s="52"/>
      <c r="O272" s="52"/>
      <c r="P272" s="52"/>
      <c r="Q272" s="52"/>
      <c r="U272" s="52"/>
    </row>
    <row r="273">
      <c r="M273" s="52"/>
      <c r="N273" s="52"/>
      <c r="O273" s="52"/>
      <c r="P273" s="52"/>
      <c r="Q273" s="52"/>
      <c r="U273" s="52"/>
    </row>
    <row r="274">
      <c r="M274" s="52"/>
      <c r="N274" s="52"/>
      <c r="O274" s="52"/>
      <c r="P274" s="52"/>
      <c r="Q274" s="52"/>
      <c r="U274" s="52"/>
    </row>
    <row r="275">
      <c r="M275" s="52"/>
      <c r="N275" s="52"/>
      <c r="O275" s="52"/>
      <c r="P275" s="52"/>
      <c r="Q275" s="52"/>
      <c r="U275" s="52"/>
    </row>
    <row r="276">
      <c r="M276" s="52"/>
      <c r="N276" s="52"/>
      <c r="O276" s="52"/>
      <c r="P276" s="52"/>
      <c r="Q276" s="52"/>
      <c r="U276" s="52"/>
    </row>
    <row r="277">
      <c r="M277" s="52"/>
      <c r="N277" s="52"/>
      <c r="O277" s="52"/>
      <c r="P277" s="52"/>
      <c r="Q277" s="52"/>
      <c r="U277" s="52"/>
    </row>
    <row r="278">
      <c r="M278" s="52"/>
      <c r="N278" s="52"/>
      <c r="O278" s="52"/>
      <c r="P278" s="52"/>
      <c r="Q278" s="52"/>
      <c r="U278" s="52"/>
    </row>
    <row r="279">
      <c r="M279" s="52"/>
      <c r="N279" s="52"/>
      <c r="O279" s="52"/>
      <c r="P279" s="52"/>
      <c r="Q279" s="52"/>
      <c r="U279" s="52"/>
    </row>
    <row r="280">
      <c r="M280" s="52"/>
      <c r="N280" s="52"/>
      <c r="O280" s="52"/>
      <c r="P280" s="52"/>
      <c r="Q280" s="52"/>
      <c r="U280" s="52"/>
    </row>
    <row r="281">
      <c r="M281" s="52"/>
      <c r="N281" s="52"/>
      <c r="O281" s="52"/>
      <c r="P281" s="52"/>
      <c r="Q281" s="52"/>
      <c r="U281" s="52"/>
    </row>
    <row r="282">
      <c r="M282" s="52"/>
      <c r="N282" s="52"/>
      <c r="O282" s="52"/>
      <c r="P282" s="52"/>
      <c r="Q282" s="52"/>
      <c r="U282" s="52"/>
    </row>
    <row r="283">
      <c r="M283" s="52"/>
      <c r="N283" s="52"/>
      <c r="O283" s="52"/>
      <c r="P283" s="52"/>
      <c r="Q283" s="52"/>
      <c r="U283" s="52"/>
    </row>
    <row r="284">
      <c r="M284" s="52"/>
      <c r="N284" s="52"/>
      <c r="O284" s="52"/>
      <c r="P284" s="52"/>
      <c r="Q284" s="52"/>
      <c r="U284" s="52"/>
    </row>
    <row r="285">
      <c r="M285" s="52"/>
      <c r="N285" s="52"/>
      <c r="O285" s="52"/>
      <c r="P285" s="52"/>
      <c r="Q285" s="52"/>
      <c r="U285" s="52"/>
    </row>
    <row r="286">
      <c r="M286" s="52"/>
      <c r="N286" s="52"/>
      <c r="O286" s="52"/>
      <c r="P286" s="52"/>
      <c r="Q286" s="52"/>
      <c r="U286" s="52"/>
    </row>
    <row r="287">
      <c r="M287" s="52"/>
      <c r="N287" s="52"/>
      <c r="O287" s="52"/>
      <c r="P287" s="52"/>
      <c r="Q287" s="52"/>
      <c r="U287" s="52"/>
    </row>
    <row r="288">
      <c r="M288" s="52"/>
      <c r="N288" s="52"/>
      <c r="O288" s="52"/>
      <c r="P288" s="52"/>
      <c r="Q288" s="52"/>
      <c r="U288" s="52"/>
    </row>
    <row r="289">
      <c r="M289" s="52"/>
      <c r="N289" s="52"/>
      <c r="O289" s="52"/>
      <c r="P289" s="52"/>
      <c r="Q289" s="52"/>
      <c r="U289" s="52"/>
    </row>
    <row r="290">
      <c r="M290" s="52"/>
      <c r="N290" s="52"/>
      <c r="O290" s="52"/>
      <c r="P290" s="52"/>
      <c r="Q290" s="52"/>
      <c r="U290" s="52"/>
    </row>
    <row r="291">
      <c r="M291" s="52"/>
      <c r="N291" s="52"/>
      <c r="O291" s="52"/>
      <c r="P291" s="52"/>
      <c r="Q291" s="52"/>
      <c r="U291" s="52"/>
    </row>
    <row r="292">
      <c r="M292" s="52"/>
      <c r="N292" s="52"/>
      <c r="O292" s="52"/>
      <c r="P292" s="52"/>
      <c r="Q292" s="52"/>
      <c r="U292" s="52"/>
    </row>
    <row r="293">
      <c r="M293" s="52"/>
      <c r="N293" s="52"/>
      <c r="O293" s="52"/>
      <c r="P293" s="52"/>
      <c r="Q293" s="52"/>
      <c r="U293" s="52"/>
    </row>
    <row r="294">
      <c r="M294" s="52"/>
      <c r="N294" s="52"/>
      <c r="O294" s="52"/>
      <c r="P294" s="52"/>
      <c r="Q294" s="52"/>
      <c r="U294" s="52"/>
    </row>
    <row r="295">
      <c r="M295" s="52"/>
      <c r="N295" s="52"/>
      <c r="O295" s="52"/>
      <c r="P295" s="52"/>
      <c r="Q295" s="52"/>
      <c r="U295" s="52"/>
    </row>
    <row r="296">
      <c r="M296" s="52"/>
      <c r="N296" s="52"/>
      <c r="O296" s="52"/>
      <c r="P296" s="52"/>
      <c r="Q296" s="52"/>
      <c r="U296" s="52"/>
    </row>
    <row r="297">
      <c r="M297" s="52"/>
      <c r="N297" s="52"/>
      <c r="O297" s="52"/>
      <c r="P297" s="52"/>
      <c r="Q297" s="52"/>
      <c r="U297" s="52"/>
    </row>
    <row r="298">
      <c r="M298" s="52"/>
      <c r="N298" s="52"/>
      <c r="O298" s="52"/>
      <c r="P298" s="52"/>
      <c r="Q298" s="52"/>
      <c r="U298" s="52"/>
    </row>
    <row r="299">
      <c r="M299" s="52"/>
      <c r="N299" s="52"/>
      <c r="O299" s="52"/>
      <c r="P299" s="52"/>
      <c r="Q299" s="52"/>
      <c r="U299" s="52"/>
    </row>
    <row r="300">
      <c r="M300" s="52"/>
      <c r="N300" s="52"/>
      <c r="O300" s="52"/>
      <c r="P300" s="52"/>
      <c r="Q300" s="52"/>
      <c r="U300" s="52"/>
    </row>
    <row r="301">
      <c r="M301" s="52"/>
      <c r="N301" s="52"/>
      <c r="O301" s="52"/>
      <c r="P301" s="52"/>
      <c r="Q301" s="52"/>
      <c r="U301" s="52"/>
    </row>
    <row r="302">
      <c r="M302" s="52"/>
      <c r="N302" s="52"/>
      <c r="O302" s="52"/>
      <c r="P302" s="52"/>
      <c r="Q302" s="52"/>
      <c r="U302" s="52"/>
    </row>
    <row r="303">
      <c r="M303" s="52"/>
      <c r="N303" s="52"/>
      <c r="O303" s="52"/>
      <c r="P303" s="52"/>
      <c r="Q303" s="52"/>
      <c r="U303" s="52"/>
    </row>
    <row r="304">
      <c r="M304" s="52"/>
      <c r="N304" s="52"/>
      <c r="O304" s="52"/>
      <c r="P304" s="52"/>
      <c r="Q304" s="52"/>
      <c r="U304" s="52"/>
    </row>
    <row r="305">
      <c r="M305" s="52"/>
      <c r="N305" s="52"/>
      <c r="O305" s="52"/>
      <c r="P305" s="52"/>
      <c r="Q305" s="52"/>
      <c r="U305" s="52"/>
    </row>
    <row r="306">
      <c r="M306" s="52"/>
      <c r="N306" s="52"/>
      <c r="O306" s="52"/>
      <c r="P306" s="52"/>
      <c r="Q306" s="52"/>
      <c r="U306" s="52"/>
    </row>
    <row r="307">
      <c r="M307" s="52"/>
      <c r="N307" s="52"/>
      <c r="O307" s="52"/>
      <c r="P307" s="52"/>
      <c r="Q307" s="52"/>
      <c r="U307" s="52"/>
    </row>
    <row r="308">
      <c r="M308" s="52"/>
      <c r="N308" s="52"/>
      <c r="O308" s="52"/>
      <c r="P308" s="52"/>
      <c r="Q308" s="52"/>
      <c r="U308" s="52"/>
    </row>
    <row r="309">
      <c r="M309" s="52"/>
      <c r="N309" s="52"/>
      <c r="O309" s="52"/>
      <c r="P309" s="52"/>
      <c r="Q309" s="52"/>
      <c r="U309" s="52"/>
    </row>
    <row r="310">
      <c r="M310" s="52"/>
      <c r="N310" s="52"/>
      <c r="O310" s="52"/>
      <c r="P310" s="52"/>
      <c r="Q310" s="52"/>
      <c r="U310" s="52"/>
    </row>
    <row r="311">
      <c r="M311" s="52"/>
      <c r="N311" s="52"/>
      <c r="O311" s="52"/>
      <c r="P311" s="52"/>
      <c r="Q311" s="52"/>
      <c r="U311" s="52"/>
    </row>
    <row r="312">
      <c r="M312" s="52"/>
      <c r="N312" s="52"/>
      <c r="O312" s="52"/>
      <c r="P312" s="52"/>
      <c r="Q312" s="52"/>
      <c r="U312" s="52"/>
    </row>
    <row r="313">
      <c r="M313" s="52"/>
      <c r="N313" s="52"/>
      <c r="O313" s="52"/>
      <c r="P313" s="52"/>
      <c r="Q313" s="52"/>
      <c r="U313" s="52"/>
    </row>
    <row r="314">
      <c r="M314" s="52"/>
      <c r="N314" s="52"/>
      <c r="O314" s="52"/>
      <c r="P314" s="52"/>
      <c r="Q314" s="52"/>
      <c r="U314" s="52"/>
    </row>
    <row r="315">
      <c r="M315" s="52"/>
      <c r="N315" s="52"/>
      <c r="O315" s="52"/>
      <c r="P315" s="52"/>
      <c r="Q315" s="52"/>
      <c r="U315" s="52"/>
    </row>
    <row r="316">
      <c r="M316" s="52"/>
      <c r="N316" s="52"/>
      <c r="O316" s="52"/>
      <c r="P316" s="52"/>
      <c r="Q316" s="52"/>
      <c r="U316" s="52"/>
    </row>
    <row r="317">
      <c r="M317" s="52"/>
      <c r="N317" s="52"/>
      <c r="O317" s="52"/>
      <c r="P317" s="52"/>
      <c r="Q317" s="52"/>
      <c r="U317" s="52"/>
    </row>
    <row r="318">
      <c r="M318" s="52"/>
      <c r="N318" s="52"/>
      <c r="O318" s="52"/>
      <c r="P318" s="52"/>
      <c r="Q318" s="52"/>
      <c r="U318" s="52"/>
    </row>
    <row r="319">
      <c r="M319" s="52"/>
      <c r="N319" s="52"/>
      <c r="O319" s="52"/>
      <c r="P319" s="52"/>
      <c r="Q319" s="52"/>
      <c r="U319" s="52"/>
    </row>
    <row r="320">
      <c r="M320" s="52"/>
      <c r="N320" s="52"/>
      <c r="O320" s="52"/>
      <c r="P320" s="52"/>
      <c r="Q320" s="52"/>
      <c r="U320" s="52"/>
    </row>
    <row r="321">
      <c r="M321" s="52"/>
      <c r="N321" s="52"/>
      <c r="O321" s="52"/>
      <c r="P321" s="52"/>
      <c r="Q321" s="52"/>
      <c r="U321" s="52"/>
    </row>
    <row r="322">
      <c r="M322" s="52"/>
      <c r="N322" s="52"/>
      <c r="O322" s="52"/>
      <c r="P322" s="52"/>
      <c r="Q322" s="52"/>
      <c r="U322" s="52"/>
    </row>
    <row r="323">
      <c r="M323" s="52"/>
      <c r="N323" s="52"/>
      <c r="O323" s="52"/>
      <c r="P323" s="52"/>
      <c r="Q323" s="52"/>
      <c r="U323" s="52"/>
    </row>
    <row r="324">
      <c r="M324" s="52"/>
      <c r="N324" s="52"/>
      <c r="O324" s="52"/>
      <c r="P324" s="52"/>
      <c r="Q324" s="52"/>
      <c r="U324" s="52"/>
    </row>
    <row r="325">
      <c r="M325" s="52"/>
      <c r="N325" s="52"/>
      <c r="O325" s="52"/>
      <c r="P325" s="52"/>
      <c r="Q325" s="52"/>
      <c r="U325" s="52"/>
    </row>
    <row r="326">
      <c r="M326" s="52"/>
      <c r="N326" s="52"/>
      <c r="O326" s="52"/>
      <c r="P326" s="52"/>
      <c r="Q326" s="52"/>
      <c r="U326" s="52"/>
    </row>
    <row r="327">
      <c r="M327" s="52"/>
      <c r="N327" s="52"/>
      <c r="O327" s="52"/>
      <c r="P327" s="52"/>
      <c r="Q327" s="52"/>
      <c r="U327" s="52"/>
    </row>
    <row r="328">
      <c r="M328" s="52"/>
      <c r="N328" s="52"/>
      <c r="O328" s="52"/>
      <c r="P328" s="52"/>
      <c r="Q328" s="52"/>
      <c r="U328" s="52"/>
    </row>
    <row r="329">
      <c r="M329" s="52"/>
      <c r="N329" s="52"/>
      <c r="O329" s="52"/>
      <c r="P329" s="52"/>
      <c r="Q329" s="52"/>
      <c r="U329" s="52"/>
    </row>
    <row r="330">
      <c r="M330" s="52"/>
      <c r="N330" s="52"/>
      <c r="O330" s="52"/>
      <c r="P330" s="52"/>
      <c r="Q330" s="52"/>
      <c r="U330" s="52"/>
    </row>
    <row r="331">
      <c r="M331" s="52"/>
      <c r="N331" s="52"/>
      <c r="O331" s="52"/>
      <c r="P331" s="52"/>
      <c r="Q331" s="52"/>
      <c r="U331" s="52"/>
    </row>
    <row r="332">
      <c r="M332" s="52"/>
      <c r="N332" s="52"/>
      <c r="O332" s="52"/>
      <c r="P332" s="52"/>
      <c r="Q332" s="52"/>
      <c r="U332" s="52"/>
    </row>
    <row r="333">
      <c r="M333" s="52"/>
      <c r="N333" s="52"/>
      <c r="O333" s="52"/>
      <c r="P333" s="52"/>
      <c r="Q333" s="52"/>
      <c r="U333" s="52"/>
    </row>
    <row r="334">
      <c r="M334" s="52"/>
      <c r="N334" s="52"/>
      <c r="O334" s="52"/>
      <c r="P334" s="52"/>
      <c r="Q334" s="52"/>
      <c r="U334" s="52"/>
    </row>
    <row r="335">
      <c r="M335" s="52"/>
      <c r="N335" s="52"/>
      <c r="O335" s="52"/>
      <c r="P335" s="52"/>
      <c r="Q335" s="52"/>
      <c r="U335" s="52"/>
    </row>
    <row r="336">
      <c r="M336" s="52"/>
      <c r="N336" s="52"/>
      <c r="O336" s="52"/>
      <c r="P336" s="52"/>
      <c r="Q336" s="52"/>
      <c r="U336" s="52"/>
    </row>
    <row r="337">
      <c r="M337" s="52"/>
      <c r="N337" s="52"/>
      <c r="O337" s="52"/>
      <c r="P337" s="52"/>
      <c r="Q337" s="52"/>
      <c r="U337" s="52"/>
    </row>
    <row r="338">
      <c r="M338" s="52"/>
      <c r="N338" s="52"/>
      <c r="O338" s="52"/>
      <c r="P338" s="52"/>
      <c r="Q338" s="52"/>
      <c r="U338" s="52"/>
    </row>
    <row r="339">
      <c r="M339" s="52"/>
      <c r="N339" s="52"/>
      <c r="O339" s="52"/>
      <c r="P339" s="52"/>
      <c r="Q339" s="52"/>
      <c r="U339" s="52"/>
    </row>
    <row r="340">
      <c r="M340" s="52"/>
      <c r="N340" s="52"/>
      <c r="O340" s="52"/>
      <c r="P340" s="52"/>
      <c r="Q340" s="52"/>
      <c r="U340" s="52"/>
    </row>
    <row r="341">
      <c r="M341" s="52"/>
      <c r="N341" s="52"/>
      <c r="O341" s="52"/>
      <c r="P341" s="52"/>
      <c r="Q341" s="52"/>
      <c r="U341" s="52"/>
    </row>
    <row r="342">
      <c r="M342" s="52"/>
      <c r="N342" s="52"/>
      <c r="O342" s="52"/>
      <c r="P342" s="52"/>
      <c r="Q342" s="52"/>
      <c r="U342" s="52"/>
    </row>
    <row r="343">
      <c r="M343" s="52"/>
      <c r="N343" s="52"/>
      <c r="O343" s="52"/>
      <c r="P343" s="52"/>
      <c r="Q343" s="52"/>
      <c r="U343" s="52"/>
    </row>
    <row r="344">
      <c r="M344" s="52"/>
      <c r="N344" s="52"/>
      <c r="O344" s="52"/>
      <c r="P344" s="52"/>
      <c r="Q344" s="52"/>
      <c r="U344" s="52"/>
    </row>
    <row r="345">
      <c r="M345" s="52"/>
      <c r="N345" s="52"/>
      <c r="O345" s="52"/>
      <c r="P345" s="52"/>
      <c r="Q345" s="52"/>
      <c r="U345" s="52"/>
    </row>
    <row r="346">
      <c r="M346" s="52"/>
      <c r="N346" s="52"/>
      <c r="O346" s="52"/>
      <c r="P346" s="52"/>
      <c r="Q346" s="52"/>
      <c r="U346" s="52"/>
    </row>
    <row r="347">
      <c r="M347" s="52"/>
      <c r="N347" s="52"/>
      <c r="O347" s="52"/>
      <c r="P347" s="52"/>
      <c r="Q347" s="52"/>
      <c r="U347" s="52"/>
    </row>
    <row r="348">
      <c r="M348" s="52"/>
      <c r="N348" s="52"/>
      <c r="O348" s="52"/>
      <c r="P348" s="52"/>
      <c r="Q348" s="52"/>
      <c r="U348" s="52"/>
    </row>
    <row r="349">
      <c r="M349" s="52"/>
      <c r="N349" s="52"/>
      <c r="O349" s="52"/>
      <c r="P349" s="52"/>
      <c r="Q349" s="52"/>
      <c r="U349" s="52"/>
    </row>
    <row r="350">
      <c r="M350" s="52"/>
      <c r="N350" s="52"/>
      <c r="O350" s="52"/>
      <c r="P350" s="52"/>
      <c r="Q350" s="52"/>
      <c r="U350" s="52"/>
    </row>
    <row r="351">
      <c r="M351" s="52"/>
      <c r="N351" s="52"/>
      <c r="O351" s="52"/>
      <c r="P351" s="52"/>
      <c r="Q351" s="52"/>
      <c r="U351" s="52"/>
    </row>
    <row r="352">
      <c r="M352" s="52"/>
      <c r="N352" s="52"/>
      <c r="O352" s="52"/>
      <c r="P352" s="52"/>
      <c r="Q352" s="52"/>
      <c r="U352" s="52"/>
    </row>
    <row r="353">
      <c r="M353" s="52"/>
      <c r="N353" s="52"/>
      <c r="O353" s="52"/>
      <c r="P353" s="52"/>
      <c r="Q353" s="52"/>
      <c r="U353" s="52"/>
    </row>
    <row r="354">
      <c r="M354" s="52"/>
      <c r="N354" s="52"/>
      <c r="O354" s="52"/>
      <c r="P354" s="52"/>
      <c r="Q354" s="52"/>
      <c r="U354" s="52"/>
    </row>
    <row r="355">
      <c r="M355" s="52"/>
      <c r="N355" s="52"/>
      <c r="O355" s="52"/>
      <c r="P355" s="52"/>
      <c r="Q355" s="52"/>
      <c r="U355" s="52"/>
    </row>
    <row r="356">
      <c r="M356" s="52"/>
      <c r="N356" s="52"/>
      <c r="O356" s="52"/>
      <c r="P356" s="52"/>
      <c r="Q356" s="52"/>
      <c r="U356" s="52"/>
    </row>
    <row r="357">
      <c r="M357" s="52"/>
      <c r="N357" s="52"/>
      <c r="O357" s="52"/>
      <c r="P357" s="52"/>
      <c r="Q357" s="52"/>
      <c r="U357" s="52"/>
    </row>
    <row r="358">
      <c r="M358" s="52"/>
      <c r="N358" s="52"/>
      <c r="O358" s="52"/>
      <c r="P358" s="52"/>
      <c r="Q358" s="52"/>
      <c r="U358" s="52"/>
    </row>
    <row r="359">
      <c r="M359" s="52"/>
      <c r="N359" s="52"/>
      <c r="O359" s="52"/>
      <c r="P359" s="52"/>
      <c r="Q359" s="52"/>
      <c r="U359" s="52"/>
    </row>
    <row r="360">
      <c r="M360" s="52"/>
      <c r="N360" s="52"/>
      <c r="O360" s="52"/>
      <c r="P360" s="52"/>
      <c r="Q360" s="52"/>
      <c r="U360" s="52"/>
    </row>
    <row r="361">
      <c r="M361" s="52"/>
      <c r="N361" s="52"/>
      <c r="O361" s="52"/>
      <c r="P361" s="52"/>
      <c r="Q361" s="52"/>
      <c r="U361" s="52"/>
    </row>
    <row r="362">
      <c r="M362" s="52"/>
      <c r="N362" s="52"/>
      <c r="O362" s="52"/>
      <c r="P362" s="52"/>
      <c r="Q362" s="52"/>
      <c r="U362" s="52"/>
    </row>
    <row r="363">
      <c r="M363" s="52"/>
      <c r="N363" s="52"/>
      <c r="O363" s="52"/>
      <c r="P363" s="52"/>
      <c r="Q363" s="52"/>
      <c r="U363" s="52"/>
    </row>
    <row r="364">
      <c r="M364" s="52"/>
      <c r="N364" s="52"/>
      <c r="O364" s="52"/>
      <c r="P364" s="52"/>
      <c r="Q364" s="52"/>
      <c r="U364" s="52"/>
    </row>
    <row r="365">
      <c r="M365" s="52"/>
      <c r="N365" s="52"/>
      <c r="O365" s="52"/>
      <c r="P365" s="52"/>
      <c r="Q365" s="52"/>
      <c r="U365" s="52"/>
    </row>
    <row r="366">
      <c r="M366" s="52"/>
      <c r="N366" s="52"/>
      <c r="O366" s="52"/>
      <c r="P366" s="52"/>
      <c r="Q366" s="52"/>
      <c r="U366" s="52"/>
    </row>
    <row r="367">
      <c r="M367" s="52"/>
      <c r="N367" s="52"/>
      <c r="O367" s="52"/>
      <c r="P367" s="52"/>
      <c r="Q367" s="52"/>
      <c r="U367" s="52"/>
    </row>
    <row r="368">
      <c r="M368" s="52"/>
      <c r="N368" s="52"/>
      <c r="O368" s="52"/>
      <c r="P368" s="52"/>
      <c r="Q368" s="52"/>
      <c r="U368" s="52"/>
    </row>
    <row r="369">
      <c r="M369" s="52"/>
      <c r="N369" s="52"/>
      <c r="O369" s="52"/>
      <c r="P369" s="52"/>
      <c r="Q369" s="52"/>
      <c r="U369" s="52"/>
    </row>
    <row r="370">
      <c r="M370" s="52"/>
      <c r="N370" s="52"/>
      <c r="O370" s="52"/>
      <c r="P370" s="52"/>
      <c r="Q370" s="52"/>
      <c r="U370" s="52"/>
    </row>
    <row r="371">
      <c r="M371" s="52"/>
      <c r="N371" s="52"/>
      <c r="O371" s="52"/>
      <c r="P371" s="52"/>
      <c r="Q371" s="52"/>
      <c r="U371" s="52"/>
    </row>
    <row r="372">
      <c r="M372" s="52"/>
      <c r="N372" s="52"/>
      <c r="O372" s="52"/>
      <c r="P372" s="52"/>
      <c r="Q372" s="52"/>
      <c r="U372" s="52"/>
    </row>
    <row r="373">
      <c r="M373" s="52"/>
      <c r="N373" s="52"/>
      <c r="O373" s="52"/>
      <c r="P373" s="52"/>
      <c r="Q373" s="52"/>
      <c r="U373" s="52"/>
    </row>
    <row r="374">
      <c r="M374" s="52"/>
      <c r="N374" s="52"/>
      <c r="O374" s="52"/>
      <c r="P374" s="52"/>
      <c r="Q374" s="52"/>
      <c r="U374" s="52"/>
    </row>
    <row r="375">
      <c r="M375" s="52"/>
      <c r="N375" s="52"/>
      <c r="O375" s="52"/>
      <c r="P375" s="52"/>
      <c r="Q375" s="52"/>
      <c r="U375" s="52"/>
    </row>
    <row r="376">
      <c r="M376" s="52"/>
      <c r="N376" s="52"/>
      <c r="O376" s="52"/>
      <c r="P376" s="52"/>
      <c r="Q376" s="52"/>
      <c r="U376" s="52"/>
    </row>
    <row r="377">
      <c r="M377" s="52"/>
      <c r="N377" s="52"/>
      <c r="O377" s="52"/>
      <c r="P377" s="52"/>
      <c r="Q377" s="52"/>
      <c r="U377" s="52"/>
    </row>
    <row r="378">
      <c r="M378" s="52"/>
      <c r="N378" s="52"/>
      <c r="O378" s="52"/>
      <c r="P378" s="52"/>
      <c r="Q378" s="52"/>
      <c r="U378" s="52"/>
    </row>
    <row r="379">
      <c r="M379" s="52"/>
      <c r="N379" s="52"/>
      <c r="O379" s="52"/>
      <c r="P379" s="52"/>
      <c r="Q379" s="52"/>
      <c r="U379" s="52"/>
    </row>
    <row r="380">
      <c r="M380" s="52"/>
      <c r="N380" s="52"/>
      <c r="O380" s="52"/>
      <c r="P380" s="52"/>
      <c r="Q380" s="52"/>
      <c r="U380" s="52"/>
    </row>
    <row r="381">
      <c r="M381" s="52"/>
      <c r="N381" s="52"/>
      <c r="O381" s="52"/>
      <c r="P381" s="52"/>
      <c r="Q381" s="52"/>
      <c r="U381" s="52"/>
    </row>
    <row r="382">
      <c r="M382" s="52"/>
      <c r="N382" s="52"/>
      <c r="O382" s="52"/>
      <c r="P382" s="52"/>
      <c r="Q382" s="52"/>
      <c r="U382" s="52"/>
    </row>
    <row r="383">
      <c r="M383" s="52"/>
      <c r="N383" s="52"/>
      <c r="O383" s="52"/>
      <c r="P383" s="52"/>
      <c r="Q383" s="52"/>
      <c r="U383" s="52"/>
    </row>
    <row r="384">
      <c r="M384" s="52"/>
      <c r="N384" s="52"/>
      <c r="O384" s="52"/>
      <c r="P384" s="52"/>
      <c r="Q384" s="52"/>
      <c r="U384" s="52"/>
    </row>
    <row r="385">
      <c r="M385" s="52"/>
      <c r="N385" s="52"/>
      <c r="O385" s="52"/>
      <c r="P385" s="52"/>
      <c r="Q385" s="52"/>
      <c r="U385" s="52"/>
    </row>
    <row r="386">
      <c r="M386" s="52"/>
      <c r="N386" s="52"/>
      <c r="O386" s="52"/>
      <c r="P386" s="52"/>
      <c r="Q386" s="52"/>
      <c r="U386" s="52"/>
    </row>
    <row r="387">
      <c r="M387" s="52"/>
      <c r="N387" s="52"/>
      <c r="O387" s="52"/>
      <c r="P387" s="52"/>
      <c r="Q387" s="52"/>
      <c r="U387" s="52"/>
    </row>
    <row r="388">
      <c r="M388" s="52"/>
      <c r="N388" s="52"/>
      <c r="O388" s="52"/>
      <c r="P388" s="52"/>
      <c r="Q388" s="52"/>
      <c r="U388" s="52"/>
    </row>
    <row r="389">
      <c r="M389" s="52"/>
      <c r="N389" s="52"/>
      <c r="O389" s="52"/>
      <c r="P389" s="52"/>
      <c r="Q389" s="52"/>
      <c r="U389" s="52"/>
    </row>
    <row r="390">
      <c r="M390" s="52"/>
      <c r="N390" s="52"/>
      <c r="O390" s="52"/>
      <c r="P390" s="52"/>
      <c r="Q390" s="52"/>
      <c r="U390" s="52"/>
    </row>
    <row r="391">
      <c r="M391" s="52"/>
      <c r="N391" s="52"/>
      <c r="O391" s="52"/>
      <c r="P391" s="52"/>
      <c r="Q391" s="52"/>
      <c r="U391" s="52"/>
    </row>
    <row r="392">
      <c r="M392" s="52"/>
      <c r="N392" s="52"/>
      <c r="O392" s="52"/>
      <c r="P392" s="52"/>
      <c r="Q392" s="52"/>
      <c r="U392" s="52"/>
    </row>
    <row r="393">
      <c r="M393" s="52"/>
      <c r="N393" s="52"/>
      <c r="O393" s="52"/>
      <c r="P393" s="52"/>
      <c r="Q393" s="52"/>
      <c r="U393" s="52"/>
    </row>
    <row r="394">
      <c r="M394" s="52"/>
      <c r="N394" s="52"/>
      <c r="O394" s="52"/>
      <c r="P394" s="52"/>
      <c r="Q394" s="52"/>
      <c r="U394" s="52"/>
    </row>
    <row r="395">
      <c r="M395" s="52"/>
      <c r="N395" s="52"/>
      <c r="O395" s="52"/>
      <c r="P395" s="52"/>
      <c r="Q395" s="52"/>
      <c r="U395" s="52"/>
    </row>
    <row r="396">
      <c r="M396" s="52"/>
      <c r="N396" s="52"/>
      <c r="O396" s="52"/>
      <c r="P396" s="52"/>
      <c r="Q396" s="52"/>
      <c r="U396" s="52"/>
    </row>
    <row r="397">
      <c r="M397" s="52"/>
      <c r="N397" s="52"/>
      <c r="O397" s="52"/>
      <c r="P397" s="52"/>
      <c r="Q397" s="52"/>
      <c r="U397" s="52"/>
    </row>
    <row r="398">
      <c r="M398" s="52"/>
      <c r="N398" s="52"/>
      <c r="O398" s="52"/>
      <c r="P398" s="52"/>
      <c r="Q398" s="52"/>
      <c r="U398" s="52"/>
    </row>
    <row r="399">
      <c r="M399" s="52"/>
      <c r="N399" s="52"/>
      <c r="O399" s="52"/>
      <c r="P399" s="52"/>
      <c r="Q399" s="52"/>
      <c r="U399" s="52"/>
    </row>
    <row r="400">
      <c r="M400" s="52"/>
      <c r="N400" s="52"/>
      <c r="O400" s="52"/>
      <c r="P400" s="52"/>
      <c r="Q400" s="52"/>
      <c r="U400" s="52"/>
    </row>
    <row r="401">
      <c r="M401" s="52"/>
      <c r="N401" s="52"/>
      <c r="O401" s="52"/>
      <c r="P401" s="52"/>
      <c r="Q401" s="52"/>
      <c r="U401" s="52"/>
    </row>
    <row r="402">
      <c r="M402" s="52"/>
      <c r="N402" s="52"/>
      <c r="O402" s="52"/>
      <c r="P402" s="52"/>
      <c r="Q402" s="52"/>
      <c r="U402" s="52"/>
    </row>
    <row r="403">
      <c r="M403" s="52"/>
      <c r="N403" s="52"/>
      <c r="O403" s="52"/>
      <c r="P403" s="52"/>
      <c r="Q403" s="52"/>
      <c r="U403" s="52"/>
    </row>
    <row r="404">
      <c r="M404" s="52"/>
      <c r="N404" s="52"/>
      <c r="O404" s="52"/>
      <c r="P404" s="52"/>
      <c r="Q404" s="52"/>
      <c r="U404" s="52"/>
    </row>
    <row r="405">
      <c r="M405" s="52"/>
      <c r="N405" s="52"/>
      <c r="O405" s="52"/>
      <c r="P405" s="52"/>
      <c r="Q405" s="52"/>
      <c r="U405" s="52"/>
    </row>
    <row r="406">
      <c r="M406" s="52"/>
      <c r="N406" s="52"/>
      <c r="O406" s="52"/>
      <c r="P406" s="52"/>
      <c r="Q406" s="52"/>
      <c r="U406" s="52"/>
    </row>
    <row r="407">
      <c r="M407" s="52"/>
      <c r="N407" s="52"/>
      <c r="O407" s="52"/>
      <c r="P407" s="52"/>
      <c r="Q407" s="52"/>
      <c r="U407" s="52"/>
    </row>
    <row r="408">
      <c r="M408" s="52"/>
      <c r="N408" s="52"/>
      <c r="O408" s="52"/>
      <c r="P408" s="52"/>
      <c r="Q408" s="52"/>
      <c r="U408" s="52"/>
    </row>
    <row r="409">
      <c r="M409" s="52"/>
      <c r="N409" s="52"/>
      <c r="O409" s="52"/>
      <c r="P409" s="52"/>
      <c r="Q409" s="52"/>
      <c r="U409" s="52"/>
    </row>
    <row r="410">
      <c r="M410" s="52"/>
      <c r="N410" s="52"/>
      <c r="O410" s="52"/>
      <c r="P410" s="52"/>
      <c r="Q410" s="52"/>
      <c r="U410" s="52"/>
    </row>
    <row r="411">
      <c r="M411" s="52"/>
      <c r="N411" s="52"/>
      <c r="O411" s="52"/>
      <c r="P411" s="52"/>
      <c r="Q411" s="52"/>
      <c r="U411" s="52"/>
    </row>
    <row r="412">
      <c r="M412" s="52"/>
      <c r="N412" s="52"/>
      <c r="O412" s="52"/>
      <c r="P412" s="52"/>
      <c r="Q412" s="52"/>
      <c r="U412" s="52"/>
    </row>
    <row r="413">
      <c r="M413" s="52"/>
      <c r="N413" s="52"/>
      <c r="O413" s="52"/>
      <c r="P413" s="52"/>
      <c r="Q413" s="52"/>
      <c r="U413" s="52"/>
    </row>
    <row r="414">
      <c r="M414" s="52"/>
      <c r="N414" s="52"/>
      <c r="O414" s="52"/>
      <c r="P414" s="52"/>
      <c r="Q414" s="52"/>
      <c r="U414" s="52"/>
    </row>
    <row r="415">
      <c r="M415" s="52"/>
      <c r="N415" s="52"/>
      <c r="O415" s="52"/>
      <c r="P415" s="52"/>
      <c r="Q415" s="52"/>
      <c r="U415" s="52"/>
    </row>
    <row r="416">
      <c r="M416" s="52"/>
      <c r="N416" s="52"/>
      <c r="O416" s="52"/>
      <c r="P416" s="52"/>
      <c r="Q416" s="52"/>
      <c r="U416" s="52"/>
    </row>
    <row r="417">
      <c r="M417" s="52"/>
      <c r="N417" s="52"/>
      <c r="O417" s="52"/>
      <c r="P417" s="52"/>
      <c r="Q417" s="52"/>
      <c r="U417" s="52"/>
    </row>
    <row r="418">
      <c r="M418" s="52"/>
      <c r="N418" s="52"/>
      <c r="O418" s="52"/>
      <c r="P418" s="52"/>
      <c r="Q418" s="52"/>
      <c r="U418" s="52"/>
    </row>
    <row r="419">
      <c r="M419" s="52"/>
      <c r="N419" s="52"/>
      <c r="O419" s="52"/>
      <c r="P419" s="52"/>
      <c r="Q419" s="52"/>
      <c r="U419" s="52"/>
    </row>
    <row r="420">
      <c r="M420" s="52"/>
      <c r="N420" s="52"/>
      <c r="O420" s="52"/>
      <c r="P420" s="52"/>
      <c r="Q420" s="52"/>
      <c r="U420" s="52"/>
    </row>
    <row r="421">
      <c r="M421" s="52"/>
      <c r="N421" s="52"/>
      <c r="O421" s="52"/>
      <c r="P421" s="52"/>
      <c r="Q421" s="52"/>
      <c r="U421" s="52"/>
    </row>
    <row r="422">
      <c r="M422" s="52"/>
      <c r="N422" s="52"/>
      <c r="O422" s="52"/>
      <c r="P422" s="52"/>
      <c r="Q422" s="52"/>
      <c r="U422" s="52"/>
    </row>
    <row r="423">
      <c r="M423" s="52"/>
      <c r="N423" s="52"/>
      <c r="O423" s="52"/>
      <c r="P423" s="52"/>
      <c r="Q423" s="52"/>
      <c r="U423" s="52"/>
    </row>
    <row r="424">
      <c r="M424" s="52"/>
      <c r="N424" s="52"/>
      <c r="O424" s="52"/>
      <c r="P424" s="52"/>
      <c r="Q424" s="52"/>
      <c r="U424" s="52"/>
    </row>
    <row r="425">
      <c r="M425" s="52"/>
      <c r="N425" s="52"/>
      <c r="O425" s="52"/>
      <c r="P425" s="52"/>
      <c r="Q425" s="52"/>
      <c r="U425" s="52"/>
    </row>
    <row r="426">
      <c r="M426" s="52"/>
      <c r="N426" s="52"/>
      <c r="O426" s="52"/>
      <c r="P426" s="52"/>
      <c r="Q426" s="52"/>
      <c r="U426" s="52"/>
    </row>
    <row r="427">
      <c r="M427" s="52"/>
      <c r="N427" s="52"/>
      <c r="O427" s="52"/>
      <c r="P427" s="52"/>
      <c r="Q427" s="52"/>
      <c r="U427" s="52"/>
    </row>
    <row r="428">
      <c r="M428" s="52"/>
      <c r="N428" s="52"/>
      <c r="O428" s="52"/>
      <c r="P428" s="52"/>
      <c r="Q428" s="52"/>
      <c r="U428" s="52"/>
    </row>
    <row r="429">
      <c r="M429" s="52"/>
      <c r="N429" s="52"/>
      <c r="O429" s="52"/>
      <c r="P429" s="52"/>
      <c r="Q429" s="52"/>
      <c r="U429" s="52"/>
    </row>
    <row r="430">
      <c r="M430" s="52"/>
      <c r="N430" s="52"/>
      <c r="O430" s="52"/>
      <c r="P430" s="52"/>
      <c r="Q430" s="52"/>
      <c r="U430" s="52"/>
    </row>
    <row r="431">
      <c r="M431" s="52"/>
      <c r="N431" s="52"/>
      <c r="O431" s="52"/>
      <c r="P431" s="52"/>
      <c r="Q431" s="52"/>
      <c r="U431" s="52"/>
    </row>
    <row r="432">
      <c r="M432" s="52"/>
      <c r="N432" s="52"/>
      <c r="O432" s="52"/>
      <c r="P432" s="52"/>
      <c r="Q432" s="52"/>
      <c r="U432" s="52"/>
    </row>
    <row r="433">
      <c r="M433" s="52"/>
      <c r="N433" s="52"/>
      <c r="O433" s="52"/>
      <c r="P433" s="52"/>
      <c r="Q433" s="52"/>
      <c r="U433" s="52"/>
    </row>
    <row r="434">
      <c r="M434" s="52"/>
      <c r="N434" s="52"/>
      <c r="O434" s="52"/>
      <c r="P434" s="52"/>
      <c r="Q434" s="52"/>
      <c r="U434" s="52"/>
    </row>
    <row r="435">
      <c r="M435" s="52"/>
      <c r="N435" s="52"/>
      <c r="O435" s="52"/>
      <c r="P435" s="52"/>
      <c r="Q435" s="52"/>
      <c r="U435" s="52"/>
    </row>
    <row r="436">
      <c r="M436" s="52"/>
      <c r="N436" s="52"/>
      <c r="O436" s="52"/>
      <c r="P436" s="52"/>
      <c r="Q436" s="52"/>
      <c r="U436" s="52"/>
    </row>
    <row r="437">
      <c r="M437" s="52"/>
      <c r="N437" s="52"/>
      <c r="O437" s="52"/>
      <c r="P437" s="52"/>
      <c r="Q437" s="52"/>
      <c r="U437" s="52"/>
    </row>
    <row r="438">
      <c r="M438" s="52"/>
      <c r="N438" s="52"/>
      <c r="O438" s="52"/>
      <c r="P438" s="52"/>
      <c r="Q438" s="52"/>
      <c r="U438" s="52"/>
    </row>
    <row r="439">
      <c r="M439" s="52"/>
      <c r="N439" s="52"/>
      <c r="O439" s="52"/>
      <c r="P439" s="52"/>
      <c r="Q439" s="52"/>
      <c r="U439" s="52"/>
    </row>
    <row r="440">
      <c r="M440" s="52"/>
      <c r="N440" s="52"/>
      <c r="O440" s="52"/>
      <c r="P440" s="52"/>
      <c r="Q440" s="52"/>
      <c r="U440" s="52"/>
    </row>
    <row r="441">
      <c r="M441" s="52"/>
      <c r="N441" s="52"/>
      <c r="O441" s="52"/>
      <c r="P441" s="52"/>
      <c r="Q441" s="52"/>
      <c r="U441" s="52"/>
    </row>
    <row r="442">
      <c r="M442" s="52"/>
      <c r="N442" s="52"/>
      <c r="O442" s="52"/>
      <c r="P442" s="52"/>
      <c r="Q442" s="52"/>
      <c r="U442" s="52"/>
    </row>
    <row r="443">
      <c r="M443" s="52"/>
      <c r="N443" s="52"/>
      <c r="O443" s="52"/>
      <c r="P443" s="52"/>
      <c r="Q443" s="52"/>
      <c r="U443" s="52"/>
    </row>
    <row r="444">
      <c r="M444" s="52"/>
      <c r="N444" s="52"/>
      <c r="O444" s="52"/>
      <c r="P444" s="52"/>
      <c r="Q444" s="52"/>
      <c r="U444" s="52"/>
    </row>
    <row r="445">
      <c r="M445" s="52"/>
      <c r="N445" s="52"/>
      <c r="O445" s="52"/>
      <c r="P445" s="52"/>
      <c r="Q445" s="52"/>
      <c r="U445" s="52"/>
    </row>
    <row r="446">
      <c r="M446" s="52"/>
      <c r="N446" s="52"/>
      <c r="O446" s="52"/>
      <c r="P446" s="52"/>
      <c r="Q446" s="52"/>
      <c r="U446" s="52"/>
    </row>
    <row r="447">
      <c r="M447" s="52"/>
      <c r="N447" s="52"/>
      <c r="O447" s="52"/>
      <c r="P447" s="52"/>
      <c r="Q447" s="52"/>
      <c r="U447" s="52"/>
    </row>
    <row r="448">
      <c r="M448" s="52"/>
      <c r="N448" s="52"/>
      <c r="O448" s="52"/>
      <c r="P448" s="52"/>
      <c r="Q448" s="52"/>
      <c r="U448" s="52"/>
    </row>
    <row r="449">
      <c r="M449" s="52"/>
      <c r="N449" s="52"/>
      <c r="O449" s="52"/>
      <c r="P449" s="52"/>
      <c r="Q449" s="52"/>
      <c r="U449" s="52"/>
    </row>
    <row r="450">
      <c r="M450" s="52"/>
      <c r="N450" s="52"/>
      <c r="O450" s="52"/>
      <c r="P450" s="52"/>
      <c r="Q450" s="52"/>
      <c r="U450" s="52"/>
    </row>
    <row r="451">
      <c r="M451" s="52"/>
      <c r="N451" s="52"/>
      <c r="O451" s="52"/>
      <c r="P451" s="52"/>
      <c r="Q451" s="52"/>
      <c r="U451" s="52"/>
    </row>
    <row r="452">
      <c r="M452" s="52"/>
      <c r="N452" s="52"/>
      <c r="O452" s="52"/>
      <c r="P452" s="52"/>
      <c r="Q452" s="52"/>
      <c r="U452" s="52"/>
    </row>
    <row r="453">
      <c r="M453" s="52"/>
      <c r="N453" s="52"/>
      <c r="O453" s="52"/>
      <c r="P453" s="52"/>
      <c r="Q453" s="52"/>
      <c r="U453" s="52"/>
    </row>
    <row r="454">
      <c r="M454" s="52"/>
      <c r="N454" s="52"/>
      <c r="O454" s="52"/>
      <c r="P454" s="52"/>
      <c r="Q454" s="52"/>
      <c r="U454" s="52"/>
    </row>
    <row r="455">
      <c r="M455" s="52"/>
      <c r="N455" s="52"/>
      <c r="O455" s="52"/>
      <c r="P455" s="52"/>
      <c r="Q455" s="52"/>
      <c r="U455" s="52"/>
    </row>
    <row r="456">
      <c r="M456" s="52"/>
      <c r="N456" s="52"/>
      <c r="O456" s="52"/>
      <c r="P456" s="52"/>
      <c r="Q456" s="52"/>
      <c r="U456" s="52"/>
    </row>
    <row r="457">
      <c r="M457" s="52"/>
      <c r="N457" s="52"/>
      <c r="O457" s="52"/>
      <c r="P457" s="52"/>
      <c r="Q457" s="52"/>
      <c r="U457" s="52"/>
    </row>
    <row r="458">
      <c r="M458" s="52"/>
      <c r="N458" s="52"/>
      <c r="O458" s="52"/>
      <c r="P458" s="52"/>
      <c r="Q458" s="52"/>
      <c r="U458" s="52"/>
    </row>
    <row r="459">
      <c r="M459" s="52"/>
      <c r="N459" s="52"/>
      <c r="O459" s="52"/>
      <c r="P459" s="52"/>
      <c r="Q459" s="52"/>
      <c r="U459" s="52"/>
    </row>
    <row r="460">
      <c r="M460" s="52"/>
      <c r="N460" s="52"/>
      <c r="O460" s="52"/>
      <c r="P460" s="52"/>
      <c r="Q460" s="52"/>
      <c r="U460" s="52"/>
    </row>
    <row r="461">
      <c r="M461" s="52"/>
      <c r="N461" s="52"/>
      <c r="O461" s="52"/>
      <c r="P461" s="52"/>
      <c r="Q461" s="52"/>
      <c r="U461" s="52"/>
    </row>
    <row r="462">
      <c r="M462" s="52"/>
      <c r="N462" s="52"/>
      <c r="O462" s="52"/>
      <c r="P462" s="52"/>
      <c r="Q462" s="52"/>
      <c r="U462" s="52"/>
    </row>
    <row r="463">
      <c r="M463" s="52"/>
      <c r="N463" s="52"/>
      <c r="O463" s="52"/>
      <c r="P463" s="52"/>
      <c r="Q463" s="52"/>
      <c r="U463" s="52"/>
    </row>
    <row r="464">
      <c r="M464" s="52"/>
      <c r="N464" s="52"/>
      <c r="O464" s="52"/>
      <c r="P464" s="52"/>
      <c r="Q464" s="52"/>
      <c r="U464" s="52"/>
    </row>
    <row r="465">
      <c r="M465" s="52"/>
      <c r="N465" s="52"/>
      <c r="O465" s="52"/>
      <c r="P465" s="52"/>
      <c r="Q465" s="52"/>
      <c r="U465" s="52"/>
    </row>
    <row r="466">
      <c r="M466" s="52"/>
      <c r="N466" s="52"/>
      <c r="O466" s="52"/>
      <c r="P466" s="52"/>
      <c r="Q466" s="52"/>
      <c r="U466" s="52"/>
    </row>
    <row r="467">
      <c r="M467" s="52"/>
      <c r="N467" s="52"/>
      <c r="O467" s="52"/>
      <c r="P467" s="52"/>
      <c r="Q467" s="52"/>
      <c r="U467" s="52"/>
    </row>
    <row r="468">
      <c r="M468" s="52"/>
      <c r="N468" s="52"/>
      <c r="O468" s="52"/>
      <c r="P468" s="52"/>
      <c r="Q468" s="52"/>
      <c r="U468" s="52"/>
    </row>
    <row r="469">
      <c r="M469" s="52"/>
      <c r="N469" s="52"/>
      <c r="O469" s="52"/>
      <c r="P469" s="52"/>
      <c r="Q469" s="52"/>
      <c r="U469" s="52"/>
    </row>
    <row r="470">
      <c r="M470" s="52"/>
      <c r="N470" s="52"/>
      <c r="O470" s="52"/>
      <c r="P470" s="52"/>
      <c r="Q470" s="52"/>
      <c r="U470" s="52"/>
    </row>
    <row r="471">
      <c r="M471" s="52"/>
      <c r="N471" s="52"/>
      <c r="O471" s="52"/>
      <c r="P471" s="52"/>
      <c r="Q471" s="52"/>
      <c r="U471" s="52"/>
    </row>
    <row r="472">
      <c r="M472" s="52"/>
      <c r="N472" s="52"/>
      <c r="O472" s="52"/>
      <c r="P472" s="52"/>
      <c r="Q472" s="52"/>
      <c r="U472" s="52"/>
    </row>
    <row r="473">
      <c r="M473" s="52"/>
      <c r="N473" s="52"/>
      <c r="O473" s="52"/>
      <c r="P473" s="52"/>
      <c r="Q473" s="52"/>
      <c r="U473" s="52"/>
    </row>
    <row r="474">
      <c r="M474" s="52"/>
      <c r="N474" s="52"/>
      <c r="O474" s="52"/>
      <c r="P474" s="52"/>
      <c r="Q474" s="52"/>
      <c r="U474" s="52"/>
    </row>
    <row r="475">
      <c r="M475" s="52"/>
      <c r="N475" s="52"/>
      <c r="O475" s="52"/>
      <c r="P475" s="52"/>
      <c r="Q475" s="52"/>
      <c r="U475" s="52"/>
    </row>
    <row r="476">
      <c r="M476" s="52"/>
      <c r="N476" s="52"/>
      <c r="O476" s="52"/>
      <c r="P476" s="52"/>
      <c r="Q476" s="52"/>
      <c r="U476" s="52"/>
    </row>
    <row r="477">
      <c r="M477" s="52"/>
      <c r="N477" s="52"/>
      <c r="O477" s="52"/>
      <c r="P477" s="52"/>
      <c r="Q477" s="52"/>
      <c r="U477" s="52"/>
    </row>
    <row r="478">
      <c r="M478" s="52"/>
      <c r="N478" s="52"/>
      <c r="O478" s="52"/>
      <c r="P478" s="52"/>
      <c r="Q478" s="52"/>
      <c r="U478" s="52"/>
    </row>
    <row r="479">
      <c r="M479" s="52"/>
      <c r="N479" s="52"/>
      <c r="O479" s="52"/>
      <c r="P479" s="52"/>
      <c r="Q479" s="52"/>
      <c r="U479" s="52"/>
    </row>
    <row r="480">
      <c r="M480" s="52"/>
      <c r="N480" s="52"/>
      <c r="O480" s="52"/>
      <c r="P480" s="52"/>
      <c r="Q480" s="52"/>
      <c r="U480" s="52"/>
    </row>
    <row r="481">
      <c r="M481" s="52"/>
      <c r="N481" s="52"/>
      <c r="O481" s="52"/>
      <c r="P481" s="52"/>
      <c r="Q481" s="52"/>
      <c r="U481" s="52"/>
    </row>
    <row r="482">
      <c r="M482" s="52"/>
      <c r="N482" s="52"/>
      <c r="O482" s="52"/>
      <c r="P482" s="52"/>
      <c r="Q482" s="52"/>
      <c r="U482" s="52"/>
    </row>
    <row r="483">
      <c r="M483" s="52"/>
      <c r="N483" s="52"/>
      <c r="O483" s="52"/>
      <c r="P483" s="52"/>
      <c r="Q483" s="52"/>
      <c r="U483" s="52"/>
    </row>
    <row r="484">
      <c r="M484" s="52"/>
      <c r="N484" s="52"/>
      <c r="O484" s="52"/>
      <c r="P484" s="52"/>
      <c r="Q484" s="52"/>
      <c r="U484" s="52"/>
    </row>
    <row r="485">
      <c r="M485" s="52"/>
      <c r="N485" s="52"/>
      <c r="O485" s="52"/>
      <c r="P485" s="52"/>
      <c r="Q485" s="52"/>
      <c r="U485" s="52"/>
    </row>
    <row r="486">
      <c r="M486" s="52"/>
      <c r="N486" s="52"/>
      <c r="O486" s="52"/>
      <c r="P486" s="52"/>
      <c r="Q486" s="52"/>
      <c r="U486" s="52"/>
    </row>
    <row r="487">
      <c r="M487" s="52"/>
      <c r="N487" s="52"/>
      <c r="O487" s="52"/>
      <c r="P487" s="52"/>
      <c r="Q487" s="52"/>
      <c r="U487" s="52"/>
    </row>
    <row r="488">
      <c r="M488" s="52"/>
      <c r="N488" s="52"/>
      <c r="O488" s="52"/>
      <c r="P488" s="52"/>
      <c r="Q488" s="52"/>
      <c r="U488" s="52"/>
    </row>
    <row r="489">
      <c r="M489" s="52"/>
      <c r="N489" s="52"/>
      <c r="O489" s="52"/>
      <c r="P489" s="52"/>
      <c r="Q489" s="52"/>
      <c r="U489" s="52"/>
    </row>
    <row r="490">
      <c r="M490" s="52"/>
      <c r="N490" s="52"/>
      <c r="O490" s="52"/>
      <c r="P490" s="52"/>
      <c r="Q490" s="52"/>
      <c r="U490" s="52"/>
    </row>
    <row r="491">
      <c r="M491" s="52"/>
      <c r="N491" s="52"/>
      <c r="O491" s="52"/>
      <c r="P491" s="52"/>
      <c r="Q491" s="52"/>
      <c r="U491" s="52"/>
    </row>
    <row r="492">
      <c r="M492" s="52"/>
      <c r="N492" s="52"/>
      <c r="O492" s="52"/>
      <c r="P492" s="52"/>
      <c r="Q492" s="52"/>
      <c r="U492" s="52"/>
    </row>
    <row r="493">
      <c r="M493" s="52"/>
      <c r="N493" s="52"/>
      <c r="O493" s="52"/>
      <c r="P493" s="52"/>
      <c r="Q493" s="52"/>
      <c r="U493" s="52"/>
    </row>
    <row r="494">
      <c r="M494" s="52"/>
      <c r="N494" s="52"/>
      <c r="O494" s="52"/>
      <c r="P494" s="52"/>
      <c r="Q494" s="52"/>
      <c r="U494" s="52"/>
    </row>
    <row r="495">
      <c r="M495" s="52"/>
      <c r="N495" s="52"/>
      <c r="O495" s="52"/>
      <c r="P495" s="52"/>
      <c r="Q495" s="52"/>
      <c r="U495" s="52"/>
    </row>
    <row r="496">
      <c r="M496" s="52"/>
      <c r="N496" s="52"/>
      <c r="O496" s="52"/>
      <c r="P496" s="52"/>
      <c r="Q496" s="52"/>
      <c r="U496" s="52"/>
    </row>
    <row r="497">
      <c r="M497" s="52"/>
      <c r="N497" s="52"/>
      <c r="O497" s="52"/>
      <c r="P497" s="52"/>
      <c r="Q497" s="52"/>
      <c r="U497" s="52"/>
    </row>
    <row r="498">
      <c r="M498" s="52"/>
      <c r="N498" s="52"/>
      <c r="O498" s="52"/>
      <c r="P498" s="52"/>
      <c r="Q498" s="52"/>
      <c r="U498" s="52"/>
    </row>
    <row r="499">
      <c r="M499" s="52"/>
      <c r="N499" s="52"/>
      <c r="O499" s="52"/>
      <c r="P499" s="52"/>
      <c r="Q499" s="52"/>
      <c r="U499" s="52"/>
    </row>
    <row r="500">
      <c r="M500" s="52"/>
      <c r="N500" s="52"/>
      <c r="O500" s="52"/>
      <c r="P500" s="52"/>
      <c r="Q500" s="52"/>
      <c r="U500" s="52"/>
    </row>
    <row r="501">
      <c r="M501" s="52"/>
      <c r="N501" s="52"/>
      <c r="O501" s="52"/>
      <c r="P501" s="52"/>
      <c r="Q501" s="52"/>
      <c r="U501" s="52"/>
    </row>
    <row r="502">
      <c r="M502" s="52"/>
      <c r="N502" s="52"/>
      <c r="O502" s="52"/>
      <c r="P502" s="52"/>
      <c r="Q502" s="52"/>
      <c r="U502" s="52"/>
    </row>
    <row r="503">
      <c r="M503" s="52"/>
      <c r="N503" s="52"/>
      <c r="O503" s="52"/>
      <c r="P503" s="52"/>
      <c r="Q503" s="52"/>
      <c r="U503" s="52"/>
    </row>
    <row r="504">
      <c r="M504" s="52"/>
      <c r="N504" s="52"/>
      <c r="O504" s="52"/>
      <c r="P504" s="52"/>
      <c r="Q504" s="52"/>
      <c r="U504" s="52"/>
    </row>
    <row r="505">
      <c r="M505" s="52"/>
      <c r="N505" s="52"/>
      <c r="O505" s="52"/>
      <c r="P505" s="52"/>
      <c r="Q505" s="52"/>
      <c r="U505" s="52"/>
    </row>
    <row r="506">
      <c r="M506" s="52"/>
      <c r="N506" s="52"/>
      <c r="O506" s="52"/>
      <c r="P506" s="52"/>
      <c r="Q506" s="52"/>
      <c r="U506" s="52"/>
    </row>
    <row r="507">
      <c r="M507" s="52"/>
      <c r="N507" s="52"/>
      <c r="O507" s="52"/>
      <c r="P507" s="52"/>
      <c r="Q507" s="52"/>
      <c r="U507" s="52"/>
    </row>
    <row r="508">
      <c r="M508" s="52"/>
      <c r="N508" s="52"/>
      <c r="O508" s="52"/>
      <c r="P508" s="52"/>
      <c r="Q508" s="52"/>
      <c r="U508" s="52"/>
    </row>
    <row r="509">
      <c r="M509" s="52"/>
      <c r="N509" s="52"/>
      <c r="O509" s="52"/>
      <c r="P509" s="52"/>
      <c r="Q509" s="52"/>
      <c r="U509" s="52"/>
    </row>
    <row r="510">
      <c r="M510" s="52"/>
      <c r="N510" s="52"/>
      <c r="O510" s="52"/>
      <c r="P510" s="52"/>
      <c r="Q510" s="52"/>
      <c r="U510" s="52"/>
    </row>
    <row r="511">
      <c r="M511" s="52"/>
      <c r="N511" s="52"/>
      <c r="O511" s="52"/>
      <c r="P511" s="52"/>
      <c r="Q511" s="52"/>
      <c r="U511" s="52"/>
    </row>
    <row r="512">
      <c r="M512" s="52"/>
      <c r="N512" s="52"/>
      <c r="O512" s="52"/>
      <c r="P512" s="52"/>
      <c r="Q512" s="52"/>
      <c r="U512" s="52"/>
    </row>
    <row r="513">
      <c r="M513" s="52"/>
      <c r="N513" s="52"/>
      <c r="O513" s="52"/>
      <c r="P513" s="52"/>
      <c r="Q513" s="52"/>
      <c r="U513" s="52"/>
    </row>
    <row r="514">
      <c r="M514" s="52"/>
      <c r="N514" s="52"/>
      <c r="O514" s="52"/>
      <c r="P514" s="52"/>
      <c r="Q514" s="52"/>
      <c r="U514" s="52"/>
    </row>
    <row r="515">
      <c r="M515" s="52"/>
      <c r="N515" s="52"/>
      <c r="O515" s="52"/>
      <c r="P515" s="52"/>
      <c r="Q515" s="52"/>
      <c r="U515" s="52"/>
    </row>
    <row r="516">
      <c r="M516" s="52"/>
      <c r="N516" s="52"/>
      <c r="O516" s="52"/>
      <c r="P516" s="52"/>
      <c r="Q516" s="52"/>
      <c r="U516" s="52"/>
    </row>
    <row r="517">
      <c r="M517" s="52"/>
      <c r="N517" s="52"/>
      <c r="O517" s="52"/>
      <c r="P517" s="52"/>
      <c r="Q517" s="52"/>
      <c r="U517" s="52"/>
    </row>
    <row r="518">
      <c r="M518" s="52"/>
      <c r="N518" s="52"/>
      <c r="O518" s="52"/>
      <c r="P518" s="52"/>
      <c r="Q518" s="52"/>
      <c r="U518" s="52"/>
    </row>
    <row r="519">
      <c r="M519" s="52"/>
      <c r="N519" s="52"/>
      <c r="O519" s="52"/>
      <c r="P519" s="52"/>
      <c r="Q519" s="52"/>
      <c r="U519" s="52"/>
    </row>
    <row r="520">
      <c r="M520" s="52"/>
      <c r="N520" s="52"/>
      <c r="O520" s="52"/>
      <c r="P520" s="52"/>
      <c r="Q520" s="52"/>
      <c r="U520" s="52"/>
    </row>
    <row r="521">
      <c r="M521" s="52"/>
      <c r="N521" s="52"/>
      <c r="O521" s="52"/>
      <c r="P521" s="52"/>
      <c r="Q521" s="52"/>
      <c r="U521" s="52"/>
    </row>
    <row r="522">
      <c r="M522" s="52"/>
      <c r="N522" s="52"/>
      <c r="O522" s="52"/>
      <c r="P522" s="52"/>
      <c r="Q522" s="52"/>
      <c r="U522" s="52"/>
    </row>
    <row r="523">
      <c r="M523" s="52"/>
      <c r="N523" s="52"/>
      <c r="O523" s="52"/>
      <c r="P523" s="52"/>
      <c r="Q523" s="52"/>
      <c r="U523" s="52"/>
    </row>
    <row r="524">
      <c r="M524" s="52"/>
      <c r="N524" s="52"/>
      <c r="O524" s="52"/>
      <c r="P524" s="52"/>
      <c r="Q524" s="52"/>
      <c r="U524" s="52"/>
    </row>
    <row r="525">
      <c r="M525" s="52"/>
      <c r="N525" s="52"/>
      <c r="O525" s="52"/>
      <c r="P525" s="52"/>
      <c r="Q525" s="52"/>
      <c r="U525" s="52"/>
    </row>
    <row r="526">
      <c r="M526" s="52"/>
      <c r="N526" s="52"/>
      <c r="O526" s="52"/>
      <c r="P526" s="52"/>
      <c r="Q526" s="52"/>
      <c r="U526" s="52"/>
    </row>
    <row r="527">
      <c r="M527" s="52"/>
      <c r="N527" s="52"/>
      <c r="O527" s="52"/>
      <c r="P527" s="52"/>
      <c r="Q527" s="52"/>
      <c r="U527" s="52"/>
    </row>
    <row r="528">
      <c r="M528" s="52"/>
      <c r="N528" s="52"/>
      <c r="O528" s="52"/>
      <c r="P528" s="52"/>
      <c r="Q528" s="52"/>
      <c r="U528" s="52"/>
    </row>
    <row r="529">
      <c r="M529" s="52"/>
      <c r="N529" s="52"/>
      <c r="O529" s="52"/>
      <c r="P529" s="52"/>
      <c r="Q529" s="52"/>
      <c r="U529" s="52"/>
    </row>
    <row r="530">
      <c r="M530" s="52"/>
      <c r="N530" s="52"/>
      <c r="O530" s="52"/>
      <c r="P530" s="52"/>
      <c r="Q530" s="52"/>
      <c r="U530" s="52"/>
    </row>
    <row r="531">
      <c r="M531" s="52"/>
      <c r="N531" s="52"/>
      <c r="O531" s="52"/>
      <c r="P531" s="52"/>
      <c r="Q531" s="52"/>
      <c r="U531" s="52"/>
    </row>
    <row r="532">
      <c r="M532" s="52"/>
      <c r="N532" s="52"/>
      <c r="O532" s="52"/>
      <c r="P532" s="52"/>
      <c r="Q532" s="52"/>
      <c r="U532" s="52"/>
    </row>
    <row r="533">
      <c r="M533" s="52"/>
      <c r="N533" s="52"/>
      <c r="O533" s="52"/>
      <c r="P533" s="52"/>
      <c r="Q533" s="52"/>
      <c r="U533" s="52"/>
    </row>
    <row r="534">
      <c r="M534" s="52"/>
      <c r="N534" s="52"/>
      <c r="O534" s="52"/>
      <c r="P534" s="52"/>
      <c r="Q534" s="52"/>
      <c r="U534" s="52"/>
    </row>
    <row r="535">
      <c r="M535" s="52"/>
      <c r="N535" s="52"/>
      <c r="O535" s="52"/>
      <c r="P535" s="52"/>
      <c r="Q535" s="52"/>
      <c r="U535" s="52"/>
    </row>
    <row r="536">
      <c r="M536" s="52"/>
      <c r="N536" s="52"/>
      <c r="O536" s="52"/>
      <c r="P536" s="52"/>
      <c r="Q536" s="52"/>
      <c r="U536" s="52"/>
    </row>
    <row r="537">
      <c r="M537" s="52"/>
      <c r="N537" s="52"/>
      <c r="O537" s="52"/>
      <c r="P537" s="52"/>
      <c r="Q537" s="52"/>
      <c r="U537" s="52"/>
    </row>
    <row r="538">
      <c r="M538" s="52"/>
      <c r="N538" s="52"/>
      <c r="O538" s="52"/>
      <c r="P538" s="52"/>
      <c r="Q538" s="52"/>
      <c r="U538" s="52"/>
    </row>
    <row r="539">
      <c r="M539" s="52"/>
      <c r="N539" s="52"/>
      <c r="O539" s="52"/>
      <c r="P539" s="52"/>
      <c r="Q539" s="52"/>
      <c r="U539" s="52"/>
    </row>
    <row r="540">
      <c r="M540" s="52"/>
      <c r="N540" s="52"/>
      <c r="O540" s="52"/>
      <c r="P540" s="52"/>
      <c r="Q540" s="52"/>
      <c r="U540" s="52"/>
    </row>
    <row r="541">
      <c r="M541" s="52"/>
      <c r="N541" s="52"/>
      <c r="O541" s="52"/>
      <c r="P541" s="52"/>
      <c r="Q541" s="52"/>
      <c r="U541" s="52"/>
    </row>
    <row r="542">
      <c r="M542" s="52"/>
      <c r="N542" s="52"/>
      <c r="O542" s="52"/>
      <c r="P542" s="52"/>
      <c r="Q542" s="52"/>
      <c r="U542" s="52"/>
    </row>
    <row r="543">
      <c r="M543" s="52"/>
      <c r="N543" s="52"/>
      <c r="O543" s="52"/>
      <c r="P543" s="52"/>
      <c r="Q543" s="52"/>
      <c r="U543" s="52"/>
    </row>
    <row r="544">
      <c r="M544" s="52"/>
      <c r="N544" s="52"/>
      <c r="O544" s="52"/>
      <c r="P544" s="52"/>
      <c r="Q544" s="52"/>
      <c r="U544" s="52"/>
    </row>
    <row r="545">
      <c r="M545" s="52"/>
      <c r="N545" s="52"/>
      <c r="O545" s="52"/>
      <c r="P545" s="52"/>
      <c r="Q545" s="52"/>
      <c r="U545" s="52"/>
    </row>
    <row r="546">
      <c r="M546" s="52"/>
      <c r="N546" s="52"/>
      <c r="O546" s="52"/>
      <c r="P546" s="52"/>
      <c r="Q546" s="52"/>
      <c r="U546" s="52"/>
    </row>
    <row r="547">
      <c r="M547" s="52"/>
      <c r="N547" s="52"/>
      <c r="O547" s="52"/>
      <c r="P547" s="52"/>
      <c r="Q547" s="52"/>
      <c r="U547" s="52"/>
    </row>
    <row r="548">
      <c r="M548" s="52"/>
      <c r="N548" s="52"/>
      <c r="O548" s="52"/>
      <c r="P548" s="52"/>
      <c r="Q548" s="52"/>
      <c r="U548" s="52"/>
    </row>
    <row r="549">
      <c r="M549" s="52"/>
      <c r="N549" s="52"/>
      <c r="O549" s="52"/>
      <c r="P549" s="52"/>
      <c r="Q549" s="52"/>
      <c r="U549" s="52"/>
    </row>
    <row r="550">
      <c r="M550" s="52"/>
      <c r="N550" s="52"/>
      <c r="O550" s="52"/>
      <c r="P550" s="52"/>
      <c r="Q550" s="52"/>
      <c r="U550" s="52"/>
    </row>
    <row r="551">
      <c r="M551" s="52"/>
      <c r="N551" s="52"/>
      <c r="O551" s="52"/>
      <c r="P551" s="52"/>
      <c r="Q551" s="52"/>
      <c r="U551" s="52"/>
    </row>
    <row r="552">
      <c r="M552" s="52"/>
      <c r="N552" s="52"/>
      <c r="O552" s="52"/>
      <c r="P552" s="52"/>
      <c r="Q552" s="52"/>
      <c r="U552" s="52"/>
    </row>
    <row r="553">
      <c r="M553" s="52"/>
      <c r="N553" s="52"/>
      <c r="O553" s="52"/>
      <c r="P553" s="52"/>
      <c r="Q553" s="52"/>
      <c r="U553" s="52"/>
    </row>
    <row r="554">
      <c r="M554" s="52"/>
      <c r="N554" s="52"/>
      <c r="O554" s="52"/>
      <c r="P554" s="52"/>
      <c r="Q554" s="52"/>
      <c r="U554" s="52"/>
    </row>
    <row r="555">
      <c r="M555" s="52"/>
      <c r="N555" s="52"/>
      <c r="O555" s="52"/>
      <c r="P555" s="52"/>
      <c r="Q555" s="52"/>
      <c r="U555" s="52"/>
    </row>
    <row r="556">
      <c r="M556" s="52"/>
      <c r="N556" s="52"/>
      <c r="O556" s="52"/>
      <c r="P556" s="52"/>
      <c r="Q556" s="52"/>
      <c r="U556" s="52"/>
    </row>
    <row r="557">
      <c r="M557" s="52"/>
      <c r="N557" s="52"/>
      <c r="O557" s="52"/>
      <c r="P557" s="52"/>
      <c r="Q557" s="52"/>
      <c r="U557" s="52"/>
    </row>
    <row r="558">
      <c r="M558" s="52"/>
      <c r="N558" s="52"/>
      <c r="O558" s="52"/>
      <c r="P558" s="52"/>
      <c r="Q558" s="52"/>
      <c r="U558" s="52"/>
    </row>
    <row r="559">
      <c r="M559" s="52"/>
      <c r="N559" s="52"/>
      <c r="O559" s="52"/>
      <c r="P559" s="52"/>
      <c r="Q559" s="52"/>
      <c r="U559" s="52"/>
    </row>
    <row r="560">
      <c r="M560" s="52"/>
      <c r="N560" s="52"/>
      <c r="O560" s="52"/>
      <c r="P560" s="52"/>
      <c r="Q560" s="52"/>
      <c r="U560" s="52"/>
    </row>
    <row r="561">
      <c r="M561" s="52"/>
      <c r="N561" s="52"/>
      <c r="O561" s="52"/>
      <c r="P561" s="52"/>
      <c r="Q561" s="52"/>
      <c r="U561" s="52"/>
    </row>
    <row r="562">
      <c r="M562" s="52"/>
      <c r="N562" s="52"/>
      <c r="O562" s="52"/>
      <c r="P562" s="52"/>
      <c r="Q562" s="52"/>
      <c r="U562" s="52"/>
    </row>
    <row r="563">
      <c r="M563" s="52"/>
      <c r="N563" s="52"/>
      <c r="O563" s="52"/>
      <c r="P563" s="52"/>
      <c r="Q563" s="52"/>
      <c r="U563" s="52"/>
    </row>
    <row r="564">
      <c r="M564" s="52"/>
      <c r="N564" s="52"/>
      <c r="O564" s="52"/>
      <c r="P564" s="52"/>
      <c r="Q564" s="52"/>
      <c r="U564" s="52"/>
    </row>
    <row r="565">
      <c r="M565" s="52"/>
      <c r="N565" s="52"/>
      <c r="O565" s="52"/>
      <c r="P565" s="52"/>
      <c r="Q565" s="52"/>
      <c r="U565" s="52"/>
    </row>
    <row r="566">
      <c r="M566" s="52"/>
      <c r="N566" s="52"/>
      <c r="O566" s="52"/>
      <c r="P566" s="52"/>
      <c r="Q566" s="52"/>
      <c r="U566" s="52"/>
    </row>
    <row r="567">
      <c r="M567" s="52"/>
      <c r="N567" s="52"/>
      <c r="O567" s="52"/>
      <c r="P567" s="52"/>
      <c r="Q567" s="52"/>
      <c r="U567" s="52"/>
    </row>
    <row r="568">
      <c r="M568" s="52"/>
      <c r="N568" s="52"/>
      <c r="O568" s="52"/>
      <c r="P568" s="52"/>
      <c r="Q568" s="52"/>
      <c r="U568" s="52"/>
    </row>
    <row r="569">
      <c r="M569" s="52"/>
      <c r="N569" s="52"/>
      <c r="O569" s="52"/>
      <c r="P569" s="52"/>
      <c r="Q569" s="52"/>
      <c r="U569" s="52"/>
    </row>
    <row r="570">
      <c r="M570" s="52"/>
      <c r="N570" s="52"/>
      <c r="O570" s="52"/>
      <c r="P570" s="52"/>
      <c r="Q570" s="52"/>
      <c r="U570" s="52"/>
    </row>
    <row r="571">
      <c r="M571" s="52"/>
      <c r="N571" s="52"/>
      <c r="O571" s="52"/>
      <c r="P571" s="52"/>
      <c r="Q571" s="52"/>
      <c r="U571" s="52"/>
    </row>
    <row r="572">
      <c r="M572" s="52"/>
      <c r="N572" s="52"/>
      <c r="O572" s="52"/>
      <c r="P572" s="52"/>
      <c r="Q572" s="52"/>
      <c r="U572" s="52"/>
    </row>
    <row r="573">
      <c r="M573" s="52"/>
      <c r="N573" s="52"/>
      <c r="O573" s="52"/>
      <c r="P573" s="52"/>
      <c r="Q573" s="52"/>
      <c r="U573" s="52"/>
    </row>
    <row r="574">
      <c r="M574" s="52"/>
      <c r="N574" s="52"/>
      <c r="O574" s="52"/>
      <c r="P574" s="52"/>
      <c r="Q574" s="52"/>
      <c r="U574" s="52"/>
    </row>
    <row r="575">
      <c r="M575" s="52"/>
      <c r="N575" s="52"/>
      <c r="O575" s="52"/>
      <c r="P575" s="52"/>
      <c r="Q575" s="52"/>
      <c r="U575" s="52"/>
    </row>
    <row r="576">
      <c r="M576" s="52"/>
      <c r="N576" s="52"/>
      <c r="O576" s="52"/>
      <c r="P576" s="52"/>
      <c r="Q576" s="52"/>
      <c r="U576" s="52"/>
    </row>
    <row r="577">
      <c r="M577" s="52"/>
      <c r="N577" s="52"/>
      <c r="O577" s="52"/>
      <c r="P577" s="52"/>
      <c r="Q577" s="52"/>
      <c r="U577" s="52"/>
    </row>
    <row r="578">
      <c r="M578" s="52"/>
      <c r="N578" s="52"/>
      <c r="O578" s="52"/>
      <c r="P578" s="52"/>
      <c r="Q578" s="52"/>
      <c r="U578" s="52"/>
    </row>
    <row r="579">
      <c r="M579" s="52"/>
      <c r="N579" s="52"/>
      <c r="O579" s="52"/>
      <c r="P579" s="52"/>
      <c r="Q579" s="52"/>
      <c r="U579" s="52"/>
    </row>
    <row r="580">
      <c r="M580" s="52"/>
      <c r="N580" s="52"/>
      <c r="O580" s="52"/>
      <c r="P580" s="52"/>
      <c r="Q580" s="52"/>
      <c r="U580" s="52"/>
    </row>
    <row r="581">
      <c r="M581" s="52"/>
      <c r="N581" s="52"/>
      <c r="O581" s="52"/>
      <c r="P581" s="52"/>
      <c r="Q581" s="52"/>
      <c r="U581" s="52"/>
    </row>
    <row r="582">
      <c r="M582" s="52"/>
      <c r="N582" s="52"/>
      <c r="O582" s="52"/>
      <c r="P582" s="52"/>
      <c r="Q582" s="52"/>
      <c r="U582" s="52"/>
    </row>
    <row r="583">
      <c r="M583" s="52"/>
      <c r="N583" s="52"/>
      <c r="O583" s="52"/>
      <c r="P583" s="52"/>
      <c r="Q583" s="52"/>
      <c r="U583" s="52"/>
    </row>
    <row r="584">
      <c r="M584" s="52"/>
      <c r="N584" s="52"/>
      <c r="O584" s="52"/>
      <c r="P584" s="52"/>
      <c r="Q584" s="52"/>
      <c r="U584" s="52"/>
    </row>
    <row r="585">
      <c r="M585" s="52"/>
      <c r="N585" s="52"/>
      <c r="O585" s="52"/>
      <c r="P585" s="52"/>
      <c r="Q585" s="52"/>
      <c r="U585" s="52"/>
    </row>
    <row r="586">
      <c r="M586" s="52"/>
      <c r="N586" s="52"/>
      <c r="O586" s="52"/>
      <c r="P586" s="52"/>
      <c r="Q586" s="52"/>
      <c r="U586" s="52"/>
    </row>
    <row r="587">
      <c r="M587" s="52"/>
      <c r="N587" s="52"/>
      <c r="O587" s="52"/>
      <c r="P587" s="52"/>
      <c r="Q587" s="52"/>
      <c r="U587" s="52"/>
    </row>
    <row r="588">
      <c r="M588" s="52"/>
      <c r="N588" s="52"/>
      <c r="O588" s="52"/>
      <c r="P588" s="52"/>
      <c r="Q588" s="52"/>
      <c r="U588" s="52"/>
    </row>
    <row r="589">
      <c r="M589" s="52"/>
      <c r="N589" s="52"/>
      <c r="O589" s="52"/>
      <c r="P589" s="52"/>
      <c r="Q589" s="52"/>
      <c r="U589" s="52"/>
    </row>
    <row r="590">
      <c r="M590" s="52"/>
      <c r="N590" s="52"/>
      <c r="O590" s="52"/>
      <c r="P590" s="52"/>
      <c r="Q590" s="52"/>
      <c r="U590" s="52"/>
    </row>
    <row r="591">
      <c r="M591" s="52"/>
      <c r="N591" s="52"/>
      <c r="O591" s="52"/>
      <c r="P591" s="52"/>
      <c r="Q591" s="52"/>
      <c r="U591" s="52"/>
    </row>
    <row r="592">
      <c r="M592" s="52"/>
      <c r="N592" s="52"/>
      <c r="O592" s="52"/>
      <c r="P592" s="52"/>
      <c r="Q592" s="52"/>
      <c r="U592" s="52"/>
    </row>
    <row r="593">
      <c r="M593" s="52"/>
      <c r="N593" s="52"/>
      <c r="O593" s="52"/>
      <c r="P593" s="52"/>
      <c r="Q593" s="52"/>
      <c r="U593" s="52"/>
    </row>
    <row r="594">
      <c r="M594" s="52"/>
      <c r="N594" s="52"/>
      <c r="O594" s="52"/>
      <c r="P594" s="52"/>
      <c r="Q594" s="52"/>
      <c r="U594" s="52"/>
    </row>
    <row r="595">
      <c r="M595" s="52"/>
      <c r="N595" s="52"/>
      <c r="O595" s="52"/>
      <c r="P595" s="52"/>
      <c r="Q595" s="52"/>
      <c r="U595" s="52"/>
    </row>
    <row r="596">
      <c r="M596" s="52"/>
      <c r="N596" s="52"/>
      <c r="O596" s="52"/>
      <c r="P596" s="52"/>
      <c r="Q596" s="52"/>
      <c r="U596" s="52"/>
    </row>
    <row r="597">
      <c r="M597" s="52"/>
      <c r="N597" s="52"/>
      <c r="O597" s="52"/>
      <c r="P597" s="52"/>
      <c r="Q597" s="52"/>
      <c r="U597" s="52"/>
    </row>
    <row r="598">
      <c r="M598" s="52"/>
      <c r="N598" s="52"/>
      <c r="O598" s="52"/>
      <c r="P598" s="52"/>
      <c r="Q598" s="52"/>
      <c r="U598" s="52"/>
    </row>
    <row r="599">
      <c r="M599" s="52"/>
      <c r="N599" s="52"/>
      <c r="O599" s="52"/>
      <c r="P599" s="52"/>
      <c r="Q599" s="52"/>
      <c r="U599" s="52"/>
    </row>
    <row r="600">
      <c r="M600" s="52"/>
      <c r="N600" s="52"/>
      <c r="O600" s="52"/>
      <c r="P600" s="52"/>
      <c r="Q600" s="52"/>
      <c r="U600" s="52"/>
    </row>
    <row r="601">
      <c r="M601" s="52"/>
      <c r="N601" s="52"/>
      <c r="O601" s="52"/>
      <c r="P601" s="52"/>
      <c r="Q601" s="52"/>
      <c r="U601" s="52"/>
    </row>
    <row r="602">
      <c r="M602" s="52"/>
      <c r="N602" s="52"/>
      <c r="O602" s="52"/>
      <c r="P602" s="52"/>
      <c r="Q602" s="52"/>
      <c r="U602" s="52"/>
    </row>
    <row r="603">
      <c r="M603" s="52"/>
      <c r="N603" s="52"/>
      <c r="O603" s="52"/>
      <c r="P603" s="52"/>
      <c r="Q603" s="52"/>
      <c r="U603" s="52"/>
    </row>
    <row r="604">
      <c r="M604" s="52"/>
      <c r="N604" s="52"/>
      <c r="O604" s="52"/>
      <c r="P604" s="52"/>
      <c r="Q604" s="52"/>
      <c r="U604" s="52"/>
    </row>
    <row r="605">
      <c r="M605" s="52"/>
      <c r="N605" s="52"/>
      <c r="O605" s="52"/>
      <c r="P605" s="52"/>
      <c r="Q605" s="52"/>
      <c r="U605" s="52"/>
    </row>
    <row r="606">
      <c r="M606" s="52"/>
      <c r="N606" s="52"/>
      <c r="O606" s="52"/>
      <c r="P606" s="52"/>
      <c r="Q606" s="52"/>
      <c r="U606" s="52"/>
    </row>
    <row r="607">
      <c r="M607" s="52"/>
      <c r="N607" s="52"/>
      <c r="O607" s="52"/>
      <c r="P607" s="52"/>
      <c r="Q607" s="52"/>
      <c r="U607" s="52"/>
    </row>
    <row r="608">
      <c r="M608" s="52"/>
      <c r="N608" s="52"/>
      <c r="O608" s="52"/>
      <c r="P608" s="52"/>
      <c r="Q608" s="52"/>
      <c r="U608" s="52"/>
    </row>
    <row r="609">
      <c r="M609" s="52"/>
      <c r="N609" s="52"/>
      <c r="O609" s="52"/>
      <c r="P609" s="52"/>
      <c r="Q609" s="52"/>
      <c r="U609" s="52"/>
    </row>
    <row r="610">
      <c r="M610" s="52"/>
      <c r="N610" s="52"/>
      <c r="O610" s="52"/>
      <c r="P610" s="52"/>
      <c r="Q610" s="52"/>
      <c r="U610" s="52"/>
    </row>
    <row r="611">
      <c r="M611" s="52"/>
      <c r="N611" s="52"/>
      <c r="O611" s="52"/>
      <c r="P611" s="52"/>
      <c r="Q611" s="52"/>
      <c r="U611" s="52"/>
    </row>
    <row r="612">
      <c r="M612" s="52"/>
      <c r="N612" s="52"/>
      <c r="O612" s="52"/>
      <c r="P612" s="52"/>
      <c r="Q612" s="52"/>
      <c r="U612" s="52"/>
    </row>
    <row r="613">
      <c r="M613" s="52"/>
      <c r="N613" s="52"/>
      <c r="O613" s="52"/>
      <c r="P613" s="52"/>
      <c r="Q613" s="52"/>
      <c r="U613" s="52"/>
    </row>
    <row r="614">
      <c r="M614" s="52"/>
      <c r="N614" s="52"/>
      <c r="O614" s="52"/>
      <c r="P614" s="52"/>
      <c r="Q614" s="52"/>
      <c r="U614" s="52"/>
    </row>
    <row r="615">
      <c r="M615" s="52"/>
      <c r="N615" s="52"/>
      <c r="O615" s="52"/>
      <c r="P615" s="52"/>
      <c r="Q615" s="52"/>
      <c r="U615" s="52"/>
    </row>
    <row r="616">
      <c r="M616" s="52"/>
      <c r="N616" s="52"/>
      <c r="O616" s="52"/>
      <c r="P616" s="52"/>
      <c r="Q616" s="52"/>
      <c r="U616" s="52"/>
    </row>
    <row r="617">
      <c r="M617" s="52"/>
      <c r="N617" s="52"/>
      <c r="O617" s="52"/>
      <c r="P617" s="52"/>
      <c r="Q617" s="52"/>
      <c r="U617" s="52"/>
    </row>
    <row r="618">
      <c r="M618" s="52"/>
      <c r="N618" s="52"/>
      <c r="O618" s="52"/>
      <c r="P618" s="52"/>
      <c r="Q618" s="52"/>
      <c r="U618" s="52"/>
    </row>
    <row r="619">
      <c r="M619" s="52"/>
      <c r="N619" s="52"/>
      <c r="O619" s="52"/>
      <c r="P619" s="52"/>
      <c r="Q619" s="52"/>
      <c r="U619" s="52"/>
    </row>
    <row r="620">
      <c r="M620" s="52"/>
      <c r="N620" s="52"/>
      <c r="O620" s="52"/>
      <c r="P620" s="52"/>
      <c r="Q620" s="52"/>
      <c r="U620" s="52"/>
    </row>
    <row r="621">
      <c r="M621" s="52"/>
      <c r="N621" s="52"/>
      <c r="O621" s="52"/>
      <c r="P621" s="52"/>
      <c r="Q621" s="52"/>
      <c r="U621" s="52"/>
    </row>
    <row r="622">
      <c r="M622" s="52"/>
      <c r="N622" s="52"/>
      <c r="O622" s="52"/>
      <c r="P622" s="52"/>
      <c r="Q622" s="52"/>
      <c r="U622" s="52"/>
    </row>
    <row r="623">
      <c r="M623" s="52"/>
      <c r="N623" s="52"/>
      <c r="O623" s="52"/>
      <c r="P623" s="52"/>
      <c r="Q623" s="52"/>
      <c r="U623" s="52"/>
    </row>
    <row r="624">
      <c r="M624" s="52"/>
      <c r="N624" s="52"/>
      <c r="O624" s="52"/>
      <c r="P624" s="52"/>
      <c r="Q624" s="52"/>
      <c r="U624" s="52"/>
    </row>
    <row r="625">
      <c r="M625" s="52"/>
      <c r="N625" s="52"/>
      <c r="O625" s="52"/>
      <c r="P625" s="52"/>
      <c r="Q625" s="52"/>
      <c r="U625" s="52"/>
    </row>
    <row r="626">
      <c r="M626" s="52"/>
      <c r="N626" s="52"/>
      <c r="O626" s="52"/>
      <c r="P626" s="52"/>
      <c r="Q626" s="52"/>
      <c r="U626" s="52"/>
    </row>
    <row r="627">
      <c r="M627" s="52"/>
      <c r="N627" s="52"/>
      <c r="O627" s="52"/>
      <c r="P627" s="52"/>
      <c r="Q627" s="52"/>
      <c r="U627" s="52"/>
    </row>
    <row r="628">
      <c r="M628" s="52"/>
      <c r="N628" s="52"/>
      <c r="O628" s="52"/>
      <c r="P628" s="52"/>
      <c r="Q628" s="52"/>
      <c r="U628" s="52"/>
    </row>
    <row r="629">
      <c r="M629" s="52"/>
      <c r="N629" s="52"/>
      <c r="O629" s="52"/>
      <c r="P629" s="52"/>
      <c r="Q629" s="52"/>
      <c r="U629" s="52"/>
    </row>
    <row r="630">
      <c r="M630" s="52"/>
      <c r="N630" s="52"/>
      <c r="O630" s="52"/>
      <c r="P630" s="52"/>
      <c r="Q630" s="52"/>
      <c r="U630" s="52"/>
    </row>
    <row r="631">
      <c r="M631" s="52"/>
      <c r="N631" s="52"/>
      <c r="O631" s="52"/>
      <c r="P631" s="52"/>
      <c r="Q631" s="52"/>
      <c r="U631" s="52"/>
    </row>
    <row r="632">
      <c r="M632" s="52"/>
      <c r="N632" s="52"/>
      <c r="O632" s="52"/>
      <c r="P632" s="52"/>
      <c r="Q632" s="52"/>
      <c r="U632" s="52"/>
    </row>
    <row r="633">
      <c r="M633" s="52"/>
      <c r="N633" s="52"/>
      <c r="O633" s="52"/>
      <c r="P633" s="52"/>
      <c r="Q633" s="52"/>
      <c r="U633" s="52"/>
    </row>
    <row r="634">
      <c r="M634" s="52"/>
      <c r="N634" s="52"/>
      <c r="O634" s="52"/>
      <c r="P634" s="52"/>
      <c r="Q634" s="52"/>
      <c r="U634" s="52"/>
    </row>
    <row r="635">
      <c r="M635" s="52"/>
      <c r="N635" s="52"/>
      <c r="O635" s="52"/>
      <c r="P635" s="52"/>
      <c r="Q635" s="52"/>
      <c r="U635" s="52"/>
    </row>
    <row r="636">
      <c r="M636" s="52"/>
      <c r="N636" s="52"/>
      <c r="O636" s="52"/>
      <c r="P636" s="52"/>
      <c r="Q636" s="52"/>
      <c r="U636" s="52"/>
    </row>
    <row r="637">
      <c r="M637" s="52"/>
      <c r="N637" s="52"/>
      <c r="O637" s="52"/>
      <c r="P637" s="52"/>
      <c r="Q637" s="52"/>
      <c r="U637" s="52"/>
    </row>
    <row r="638">
      <c r="M638" s="52"/>
      <c r="N638" s="52"/>
      <c r="O638" s="52"/>
      <c r="P638" s="52"/>
      <c r="Q638" s="52"/>
      <c r="U638" s="52"/>
    </row>
    <row r="639">
      <c r="M639" s="52"/>
      <c r="N639" s="52"/>
      <c r="O639" s="52"/>
      <c r="P639" s="52"/>
      <c r="Q639" s="52"/>
      <c r="U639" s="52"/>
    </row>
    <row r="640">
      <c r="M640" s="52"/>
      <c r="N640" s="52"/>
      <c r="O640" s="52"/>
      <c r="P640" s="52"/>
      <c r="Q640" s="52"/>
      <c r="U640" s="52"/>
    </row>
    <row r="641">
      <c r="M641" s="52"/>
      <c r="N641" s="52"/>
      <c r="O641" s="52"/>
      <c r="P641" s="52"/>
      <c r="Q641" s="52"/>
      <c r="U641" s="52"/>
    </row>
    <row r="642">
      <c r="M642" s="52"/>
      <c r="N642" s="52"/>
      <c r="O642" s="52"/>
      <c r="P642" s="52"/>
      <c r="Q642" s="52"/>
      <c r="U642" s="52"/>
    </row>
    <row r="643">
      <c r="M643" s="52"/>
      <c r="N643" s="52"/>
      <c r="O643" s="52"/>
      <c r="P643" s="52"/>
      <c r="Q643" s="52"/>
      <c r="U643" s="52"/>
    </row>
    <row r="644">
      <c r="M644" s="52"/>
      <c r="N644" s="52"/>
      <c r="O644" s="52"/>
      <c r="P644" s="52"/>
      <c r="Q644" s="52"/>
      <c r="U644" s="52"/>
    </row>
    <row r="645">
      <c r="M645" s="52"/>
      <c r="N645" s="52"/>
      <c r="O645" s="52"/>
      <c r="P645" s="52"/>
      <c r="Q645" s="52"/>
      <c r="U645" s="52"/>
    </row>
    <row r="646">
      <c r="M646" s="52"/>
      <c r="N646" s="52"/>
      <c r="O646" s="52"/>
      <c r="P646" s="52"/>
      <c r="Q646" s="52"/>
      <c r="U646" s="52"/>
    </row>
    <row r="647">
      <c r="M647" s="52"/>
      <c r="N647" s="52"/>
      <c r="O647" s="52"/>
      <c r="P647" s="52"/>
      <c r="Q647" s="52"/>
      <c r="U647" s="52"/>
    </row>
    <row r="648">
      <c r="M648" s="52"/>
      <c r="N648" s="52"/>
      <c r="O648" s="52"/>
      <c r="P648" s="52"/>
      <c r="Q648" s="52"/>
      <c r="U648" s="52"/>
    </row>
    <row r="649">
      <c r="M649" s="52"/>
      <c r="N649" s="52"/>
      <c r="O649" s="52"/>
      <c r="P649" s="52"/>
      <c r="Q649" s="52"/>
      <c r="U649" s="52"/>
    </row>
    <row r="650">
      <c r="M650" s="52"/>
      <c r="N650" s="52"/>
      <c r="O650" s="52"/>
      <c r="P650" s="52"/>
      <c r="Q650" s="52"/>
      <c r="U650" s="52"/>
    </row>
    <row r="651">
      <c r="M651" s="52"/>
      <c r="N651" s="52"/>
      <c r="O651" s="52"/>
      <c r="P651" s="52"/>
      <c r="Q651" s="52"/>
      <c r="U651" s="52"/>
    </row>
    <row r="652">
      <c r="M652" s="52"/>
      <c r="N652" s="52"/>
      <c r="O652" s="52"/>
      <c r="P652" s="52"/>
      <c r="Q652" s="52"/>
      <c r="U652" s="52"/>
    </row>
    <row r="653">
      <c r="M653" s="52"/>
      <c r="N653" s="52"/>
      <c r="O653" s="52"/>
      <c r="P653" s="52"/>
      <c r="Q653" s="52"/>
      <c r="U653" s="52"/>
    </row>
    <row r="654">
      <c r="M654" s="52"/>
      <c r="N654" s="52"/>
      <c r="O654" s="52"/>
      <c r="P654" s="52"/>
      <c r="Q654" s="52"/>
      <c r="U654" s="52"/>
    </row>
    <row r="655">
      <c r="M655" s="52"/>
      <c r="N655" s="52"/>
      <c r="O655" s="52"/>
      <c r="P655" s="52"/>
      <c r="Q655" s="52"/>
      <c r="U655" s="52"/>
    </row>
    <row r="656">
      <c r="M656" s="52"/>
      <c r="N656" s="52"/>
      <c r="O656" s="52"/>
      <c r="P656" s="52"/>
      <c r="Q656" s="52"/>
      <c r="U656" s="52"/>
    </row>
    <row r="657">
      <c r="M657" s="52"/>
      <c r="N657" s="52"/>
      <c r="O657" s="52"/>
      <c r="P657" s="52"/>
      <c r="Q657" s="52"/>
      <c r="U657" s="52"/>
    </row>
    <row r="658">
      <c r="M658" s="52"/>
      <c r="N658" s="52"/>
      <c r="O658" s="52"/>
      <c r="P658" s="52"/>
      <c r="Q658" s="52"/>
      <c r="U658" s="52"/>
    </row>
    <row r="659">
      <c r="M659" s="52"/>
      <c r="N659" s="52"/>
      <c r="O659" s="52"/>
      <c r="P659" s="52"/>
      <c r="Q659" s="52"/>
      <c r="U659" s="52"/>
    </row>
    <row r="660">
      <c r="M660" s="52"/>
      <c r="N660" s="52"/>
      <c r="O660" s="52"/>
      <c r="P660" s="52"/>
      <c r="Q660" s="52"/>
      <c r="U660" s="52"/>
    </row>
    <row r="661">
      <c r="M661" s="52"/>
      <c r="N661" s="52"/>
      <c r="O661" s="52"/>
      <c r="P661" s="52"/>
      <c r="Q661" s="52"/>
      <c r="U661" s="52"/>
    </row>
    <row r="662">
      <c r="M662" s="52"/>
      <c r="N662" s="52"/>
      <c r="O662" s="52"/>
      <c r="P662" s="52"/>
      <c r="Q662" s="52"/>
      <c r="U662" s="52"/>
    </row>
    <row r="663">
      <c r="M663" s="52"/>
      <c r="N663" s="52"/>
      <c r="O663" s="52"/>
      <c r="P663" s="52"/>
      <c r="Q663" s="52"/>
      <c r="U663" s="52"/>
    </row>
    <row r="664">
      <c r="M664" s="52"/>
      <c r="N664" s="52"/>
      <c r="O664" s="52"/>
      <c r="P664" s="52"/>
      <c r="Q664" s="52"/>
      <c r="U664" s="52"/>
    </row>
    <row r="665">
      <c r="M665" s="52"/>
      <c r="N665" s="52"/>
      <c r="O665" s="52"/>
      <c r="P665" s="52"/>
      <c r="Q665" s="52"/>
      <c r="U665" s="52"/>
    </row>
    <row r="666">
      <c r="M666" s="52"/>
      <c r="N666" s="52"/>
      <c r="O666" s="52"/>
      <c r="P666" s="52"/>
      <c r="Q666" s="52"/>
      <c r="U666" s="52"/>
    </row>
    <row r="667">
      <c r="M667" s="52"/>
      <c r="N667" s="52"/>
      <c r="O667" s="52"/>
      <c r="P667" s="52"/>
      <c r="Q667" s="52"/>
      <c r="U667" s="52"/>
    </row>
    <row r="668">
      <c r="M668" s="52"/>
      <c r="N668" s="52"/>
      <c r="O668" s="52"/>
      <c r="P668" s="52"/>
      <c r="Q668" s="52"/>
      <c r="U668" s="52"/>
    </row>
    <row r="669">
      <c r="M669" s="52"/>
      <c r="N669" s="52"/>
      <c r="O669" s="52"/>
      <c r="P669" s="52"/>
      <c r="Q669" s="52"/>
      <c r="U669" s="52"/>
    </row>
    <row r="670">
      <c r="M670" s="52"/>
      <c r="N670" s="52"/>
      <c r="O670" s="52"/>
      <c r="P670" s="52"/>
      <c r="Q670" s="52"/>
      <c r="U670" s="52"/>
    </row>
    <row r="671">
      <c r="M671" s="52"/>
      <c r="N671" s="52"/>
      <c r="O671" s="52"/>
      <c r="P671" s="52"/>
      <c r="Q671" s="52"/>
      <c r="U671" s="52"/>
    </row>
    <row r="672">
      <c r="M672" s="52"/>
      <c r="N672" s="52"/>
      <c r="O672" s="52"/>
      <c r="P672" s="52"/>
      <c r="Q672" s="52"/>
      <c r="U672" s="52"/>
    </row>
    <row r="673">
      <c r="M673" s="52"/>
      <c r="N673" s="52"/>
      <c r="O673" s="52"/>
      <c r="P673" s="52"/>
      <c r="Q673" s="52"/>
      <c r="U673" s="52"/>
    </row>
    <row r="674">
      <c r="M674" s="52"/>
      <c r="N674" s="52"/>
      <c r="O674" s="52"/>
      <c r="P674" s="52"/>
      <c r="Q674" s="52"/>
      <c r="U674" s="52"/>
    </row>
    <row r="675">
      <c r="M675" s="52"/>
      <c r="N675" s="52"/>
      <c r="O675" s="52"/>
      <c r="P675" s="52"/>
      <c r="Q675" s="52"/>
      <c r="U675" s="52"/>
    </row>
    <row r="676">
      <c r="M676" s="52"/>
      <c r="N676" s="52"/>
      <c r="O676" s="52"/>
      <c r="P676" s="52"/>
      <c r="Q676" s="52"/>
      <c r="U676" s="52"/>
    </row>
    <row r="677">
      <c r="M677" s="52"/>
      <c r="N677" s="52"/>
      <c r="O677" s="52"/>
      <c r="P677" s="52"/>
      <c r="Q677" s="52"/>
      <c r="U677" s="52"/>
    </row>
    <row r="678">
      <c r="M678" s="52"/>
      <c r="N678" s="52"/>
      <c r="O678" s="52"/>
      <c r="P678" s="52"/>
      <c r="Q678" s="52"/>
      <c r="U678" s="52"/>
    </row>
    <row r="679">
      <c r="M679" s="52"/>
      <c r="N679" s="52"/>
      <c r="O679" s="52"/>
      <c r="P679" s="52"/>
      <c r="Q679" s="52"/>
      <c r="U679" s="52"/>
    </row>
    <row r="680">
      <c r="M680" s="52"/>
      <c r="N680" s="52"/>
      <c r="O680" s="52"/>
      <c r="P680" s="52"/>
      <c r="Q680" s="52"/>
      <c r="U680" s="52"/>
    </row>
    <row r="681">
      <c r="M681" s="52"/>
      <c r="N681" s="52"/>
      <c r="O681" s="52"/>
      <c r="P681" s="52"/>
      <c r="Q681" s="52"/>
      <c r="U681" s="52"/>
    </row>
    <row r="682">
      <c r="M682" s="52"/>
      <c r="N682" s="52"/>
      <c r="O682" s="52"/>
      <c r="P682" s="52"/>
      <c r="Q682" s="52"/>
      <c r="U682" s="52"/>
    </row>
    <row r="683">
      <c r="M683" s="52"/>
      <c r="N683" s="52"/>
      <c r="O683" s="52"/>
      <c r="P683" s="52"/>
      <c r="Q683" s="52"/>
      <c r="U683" s="52"/>
    </row>
    <row r="684">
      <c r="M684" s="52"/>
      <c r="N684" s="52"/>
      <c r="O684" s="52"/>
      <c r="P684" s="52"/>
      <c r="Q684" s="52"/>
      <c r="U684" s="52"/>
    </row>
    <row r="685">
      <c r="M685" s="52"/>
      <c r="N685" s="52"/>
      <c r="O685" s="52"/>
      <c r="P685" s="52"/>
      <c r="Q685" s="52"/>
      <c r="U685" s="52"/>
    </row>
    <row r="686">
      <c r="M686" s="52"/>
      <c r="N686" s="52"/>
      <c r="O686" s="52"/>
      <c r="P686" s="52"/>
      <c r="Q686" s="52"/>
      <c r="U686" s="52"/>
    </row>
    <row r="687">
      <c r="M687" s="52"/>
      <c r="N687" s="52"/>
      <c r="O687" s="52"/>
      <c r="P687" s="52"/>
      <c r="Q687" s="52"/>
      <c r="U687" s="52"/>
    </row>
    <row r="688">
      <c r="M688" s="52"/>
      <c r="N688" s="52"/>
      <c r="O688" s="52"/>
      <c r="P688" s="52"/>
      <c r="Q688" s="52"/>
      <c r="U688" s="52"/>
    </row>
    <row r="689">
      <c r="M689" s="52"/>
      <c r="N689" s="52"/>
      <c r="O689" s="52"/>
      <c r="P689" s="52"/>
      <c r="Q689" s="52"/>
      <c r="U689" s="52"/>
    </row>
    <row r="690">
      <c r="M690" s="52"/>
      <c r="N690" s="52"/>
      <c r="O690" s="52"/>
      <c r="P690" s="52"/>
      <c r="Q690" s="52"/>
      <c r="U690" s="52"/>
    </row>
    <row r="691">
      <c r="M691" s="52"/>
      <c r="N691" s="52"/>
      <c r="O691" s="52"/>
      <c r="P691" s="52"/>
      <c r="Q691" s="52"/>
      <c r="U691" s="52"/>
    </row>
    <row r="692">
      <c r="M692" s="52"/>
      <c r="N692" s="52"/>
      <c r="O692" s="52"/>
      <c r="P692" s="52"/>
      <c r="Q692" s="52"/>
      <c r="U692" s="52"/>
    </row>
    <row r="693">
      <c r="M693" s="52"/>
      <c r="N693" s="52"/>
      <c r="O693" s="52"/>
      <c r="P693" s="52"/>
      <c r="Q693" s="52"/>
      <c r="U693" s="52"/>
    </row>
    <row r="694">
      <c r="M694" s="52"/>
      <c r="N694" s="52"/>
      <c r="O694" s="52"/>
      <c r="P694" s="52"/>
      <c r="Q694" s="52"/>
      <c r="U694" s="52"/>
    </row>
    <row r="695">
      <c r="M695" s="52"/>
      <c r="N695" s="52"/>
      <c r="O695" s="52"/>
      <c r="P695" s="52"/>
      <c r="Q695" s="52"/>
      <c r="U695" s="52"/>
    </row>
    <row r="696">
      <c r="M696" s="52"/>
      <c r="N696" s="52"/>
      <c r="O696" s="52"/>
      <c r="P696" s="52"/>
      <c r="Q696" s="52"/>
      <c r="U696" s="52"/>
    </row>
    <row r="697">
      <c r="M697" s="52"/>
      <c r="N697" s="52"/>
      <c r="O697" s="52"/>
      <c r="P697" s="52"/>
      <c r="Q697" s="52"/>
      <c r="U697" s="52"/>
    </row>
    <row r="698">
      <c r="M698" s="52"/>
      <c r="N698" s="52"/>
      <c r="O698" s="52"/>
      <c r="P698" s="52"/>
      <c r="Q698" s="52"/>
      <c r="U698" s="52"/>
    </row>
    <row r="699">
      <c r="M699" s="52"/>
      <c r="N699" s="52"/>
      <c r="O699" s="52"/>
      <c r="P699" s="52"/>
      <c r="Q699" s="52"/>
      <c r="U699" s="52"/>
    </row>
    <row r="700">
      <c r="M700" s="52"/>
      <c r="N700" s="52"/>
      <c r="O700" s="52"/>
      <c r="P700" s="52"/>
      <c r="Q700" s="52"/>
      <c r="U700" s="52"/>
    </row>
    <row r="701">
      <c r="M701" s="52"/>
      <c r="N701" s="52"/>
      <c r="O701" s="52"/>
      <c r="P701" s="52"/>
      <c r="Q701" s="52"/>
      <c r="U701" s="52"/>
    </row>
    <row r="702">
      <c r="M702" s="52"/>
      <c r="N702" s="52"/>
      <c r="O702" s="52"/>
      <c r="P702" s="52"/>
      <c r="Q702" s="52"/>
      <c r="U702" s="52"/>
    </row>
    <row r="703">
      <c r="M703" s="52"/>
      <c r="N703" s="52"/>
      <c r="O703" s="52"/>
      <c r="P703" s="52"/>
      <c r="Q703" s="52"/>
      <c r="U703" s="52"/>
    </row>
    <row r="704">
      <c r="M704" s="52"/>
      <c r="N704" s="52"/>
      <c r="O704" s="52"/>
      <c r="P704" s="52"/>
      <c r="Q704" s="52"/>
      <c r="U704" s="52"/>
    </row>
    <row r="705">
      <c r="M705" s="52"/>
      <c r="N705" s="52"/>
      <c r="O705" s="52"/>
      <c r="P705" s="52"/>
      <c r="Q705" s="52"/>
      <c r="U705" s="52"/>
    </row>
    <row r="706">
      <c r="M706" s="52"/>
      <c r="N706" s="52"/>
      <c r="O706" s="52"/>
      <c r="P706" s="52"/>
      <c r="Q706" s="52"/>
      <c r="U706" s="52"/>
    </row>
    <row r="707">
      <c r="M707" s="52"/>
      <c r="N707" s="52"/>
      <c r="O707" s="52"/>
      <c r="P707" s="52"/>
      <c r="Q707" s="52"/>
      <c r="U707" s="52"/>
    </row>
    <row r="708">
      <c r="M708" s="52"/>
      <c r="N708" s="52"/>
      <c r="O708" s="52"/>
      <c r="P708" s="52"/>
      <c r="Q708" s="52"/>
      <c r="U708" s="52"/>
    </row>
    <row r="709">
      <c r="M709" s="52"/>
      <c r="N709" s="52"/>
      <c r="O709" s="52"/>
      <c r="P709" s="52"/>
      <c r="Q709" s="52"/>
      <c r="U709" s="52"/>
    </row>
    <row r="710">
      <c r="M710" s="52"/>
      <c r="N710" s="52"/>
      <c r="O710" s="52"/>
      <c r="P710" s="52"/>
      <c r="Q710" s="52"/>
      <c r="U710" s="52"/>
    </row>
    <row r="711">
      <c r="M711" s="52"/>
      <c r="N711" s="52"/>
      <c r="O711" s="52"/>
      <c r="P711" s="52"/>
      <c r="Q711" s="52"/>
      <c r="U711" s="52"/>
    </row>
    <row r="712">
      <c r="M712" s="52"/>
      <c r="N712" s="52"/>
      <c r="O712" s="52"/>
      <c r="P712" s="52"/>
      <c r="Q712" s="52"/>
      <c r="U712" s="52"/>
    </row>
    <row r="713">
      <c r="M713" s="52"/>
      <c r="N713" s="52"/>
      <c r="O713" s="52"/>
      <c r="P713" s="52"/>
      <c r="Q713" s="52"/>
      <c r="U713" s="52"/>
    </row>
    <row r="714">
      <c r="M714" s="52"/>
      <c r="N714" s="52"/>
      <c r="O714" s="52"/>
      <c r="P714" s="52"/>
      <c r="Q714" s="52"/>
      <c r="U714" s="52"/>
    </row>
    <row r="715">
      <c r="M715" s="52"/>
      <c r="N715" s="52"/>
      <c r="O715" s="52"/>
      <c r="P715" s="52"/>
      <c r="Q715" s="52"/>
      <c r="U715" s="52"/>
    </row>
    <row r="716">
      <c r="M716" s="52"/>
      <c r="N716" s="52"/>
      <c r="O716" s="52"/>
      <c r="P716" s="52"/>
      <c r="Q716" s="52"/>
      <c r="U716" s="52"/>
    </row>
    <row r="717">
      <c r="M717" s="52"/>
      <c r="N717" s="52"/>
      <c r="O717" s="52"/>
      <c r="P717" s="52"/>
      <c r="Q717" s="52"/>
      <c r="U717" s="52"/>
    </row>
    <row r="718">
      <c r="M718" s="52"/>
      <c r="N718" s="52"/>
      <c r="O718" s="52"/>
      <c r="P718" s="52"/>
      <c r="Q718" s="52"/>
      <c r="U718" s="52"/>
    </row>
    <row r="719">
      <c r="M719" s="52"/>
      <c r="N719" s="52"/>
      <c r="O719" s="52"/>
      <c r="P719" s="52"/>
      <c r="Q719" s="52"/>
      <c r="U719" s="52"/>
    </row>
    <row r="720">
      <c r="M720" s="52"/>
      <c r="N720" s="52"/>
      <c r="O720" s="52"/>
      <c r="P720" s="52"/>
      <c r="Q720" s="52"/>
      <c r="U720" s="52"/>
    </row>
    <row r="721">
      <c r="M721" s="52"/>
      <c r="N721" s="52"/>
      <c r="O721" s="52"/>
      <c r="P721" s="52"/>
      <c r="Q721" s="52"/>
      <c r="U721" s="52"/>
    </row>
    <row r="722">
      <c r="M722" s="52"/>
      <c r="N722" s="52"/>
      <c r="O722" s="52"/>
      <c r="P722" s="52"/>
      <c r="Q722" s="52"/>
      <c r="U722" s="52"/>
    </row>
    <row r="723">
      <c r="M723" s="52"/>
      <c r="N723" s="52"/>
      <c r="O723" s="52"/>
      <c r="P723" s="52"/>
      <c r="Q723" s="52"/>
      <c r="U723" s="52"/>
    </row>
    <row r="724">
      <c r="M724" s="52"/>
      <c r="N724" s="52"/>
      <c r="O724" s="52"/>
      <c r="P724" s="52"/>
      <c r="Q724" s="52"/>
      <c r="U724" s="52"/>
    </row>
    <row r="725">
      <c r="M725" s="52"/>
      <c r="N725" s="52"/>
      <c r="O725" s="52"/>
      <c r="P725" s="52"/>
      <c r="Q725" s="52"/>
      <c r="U725" s="52"/>
    </row>
    <row r="726">
      <c r="M726" s="52"/>
      <c r="N726" s="52"/>
      <c r="O726" s="52"/>
      <c r="P726" s="52"/>
      <c r="Q726" s="52"/>
      <c r="U726" s="52"/>
    </row>
    <row r="727">
      <c r="M727" s="52"/>
      <c r="N727" s="52"/>
      <c r="O727" s="52"/>
      <c r="P727" s="52"/>
      <c r="Q727" s="52"/>
      <c r="U727" s="52"/>
    </row>
    <row r="728">
      <c r="M728" s="52"/>
      <c r="N728" s="52"/>
      <c r="O728" s="52"/>
      <c r="P728" s="52"/>
      <c r="Q728" s="52"/>
      <c r="U728" s="52"/>
    </row>
    <row r="729">
      <c r="M729" s="52"/>
      <c r="N729" s="52"/>
      <c r="O729" s="52"/>
      <c r="P729" s="52"/>
      <c r="Q729" s="52"/>
      <c r="U729" s="52"/>
    </row>
    <row r="730">
      <c r="M730" s="52"/>
      <c r="N730" s="52"/>
      <c r="O730" s="52"/>
      <c r="P730" s="52"/>
      <c r="Q730" s="52"/>
      <c r="U730" s="52"/>
    </row>
    <row r="731">
      <c r="M731" s="52"/>
      <c r="N731" s="52"/>
      <c r="O731" s="52"/>
      <c r="P731" s="52"/>
      <c r="Q731" s="52"/>
      <c r="U731" s="52"/>
    </row>
    <row r="732">
      <c r="M732" s="52"/>
      <c r="N732" s="52"/>
      <c r="O732" s="52"/>
      <c r="P732" s="52"/>
      <c r="Q732" s="52"/>
      <c r="U732" s="52"/>
    </row>
    <row r="733">
      <c r="M733" s="52"/>
      <c r="N733" s="52"/>
      <c r="O733" s="52"/>
      <c r="P733" s="52"/>
      <c r="Q733" s="52"/>
      <c r="U733" s="52"/>
    </row>
    <row r="734">
      <c r="M734" s="52"/>
      <c r="N734" s="52"/>
      <c r="O734" s="52"/>
      <c r="P734" s="52"/>
      <c r="Q734" s="52"/>
      <c r="U734" s="52"/>
    </row>
    <row r="735">
      <c r="M735" s="52"/>
      <c r="N735" s="52"/>
      <c r="O735" s="52"/>
      <c r="P735" s="52"/>
      <c r="Q735" s="52"/>
      <c r="U735" s="52"/>
    </row>
    <row r="736">
      <c r="M736" s="52"/>
      <c r="N736" s="52"/>
      <c r="O736" s="52"/>
      <c r="P736" s="52"/>
      <c r="Q736" s="52"/>
      <c r="U736" s="52"/>
    </row>
    <row r="737">
      <c r="M737" s="52"/>
      <c r="N737" s="52"/>
      <c r="O737" s="52"/>
      <c r="P737" s="52"/>
      <c r="Q737" s="52"/>
      <c r="U737" s="52"/>
    </row>
    <row r="738">
      <c r="M738" s="52"/>
      <c r="N738" s="52"/>
      <c r="O738" s="52"/>
      <c r="P738" s="52"/>
      <c r="Q738" s="52"/>
      <c r="U738" s="52"/>
    </row>
    <row r="739">
      <c r="M739" s="52"/>
      <c r="N739" s="52"/>
      <c r="O739" s="52"/>
      <c r="P739" s="52"/>
      <c r="Q739" s="52"/>
      <c r="U739" s="52"/>
    </row>
    <row r="740">
      <c r="M740" s="52"/>
      <c r="N740" s="52"/>
      <c r="O740" s="52"/>
      <c r="P740" s="52"/>
      <c r="Q740" s="52"/>
      <c r="U740" s="52"/>
    </row>
    <row r="741">
      <c r="M741" s="52"/>
      <c r="N741" s="52"/>
      <c r="O741" s="52"/>
      <c r="P741" s="52"/>
      <c r="Q741" s="52"/>
      <c r="U741" s="52"/>
    </row>
    <row r="742">
      <c r="M742" s="52"/>
      <c r="N742" s="52"/>
      <c r="O742" s="52"/>
      <c r="P742" s="52"/>
      <c r="Q742" s="52"/>
      <c r="U742" s="52"/>
    </row>
    <row r="743">
      <c r="M743" s="52"/>
      <c r="N743" s="52"/>
      <c r="O743" s="52"/>
      <c r="P743" s="52"/>
      <c r="Q743" s="52"/>
      <c r="U743" s="52"/>
    </row>
    <row r="744">
      <c r="M744" s="52"/>
      <c r="N744" s="52"/>
      <c r="O744" s="52"/>
      <c r="P744" s="52"/>
      <c r="Q744" s="52"/>
      <c r="U744" s="52"/>
    </row>
    <row r="745">
      <c r="M745" s="52"/>
      <c r="N745" s="52"/>
      <c r="O745" s="52"/>
      <c r="P745" s="52"/>
      <c r="Q745" s="52"/>
      <c r="U745" s="52"/>
    </row>
    <row r="746">
      <c r="M746" s="52"/>
      <c r="N746" s="52"/>
      <c r="O746" s="52"/>
      <c r="P746" s="52"/>
      <c r="Q746" s="52"/>
      <c r="U746" s="52"/>
    </row>
    <row r="747">
      <c r="M747" s="52"/>
      <c r="N747" s="52"/>
      <c r="O747" s="52"/>
      <c r="P747" s="52"/>
      <c r="Q747" s="52"/>
      <c r="U747" s="52"/>
    </row>
    <row r="748">
      <c r="M748" s="52"/>
      <c r="N748" s="52"/>
      <c r="O748" s="52"/>
      <c r="P748" s="52"/>
      <c r="Q748" s="52"/>
      <c r="U748" s="52"/>
    </row>
    <row r="749">
      <c r="M749" s="52"/>
      <c r="N749" s="52"/>
      <c r="O749" s="52"/>
      <c r="P749" s="52"/>
      <c r="Q749" s="52"/>
      <c r="U749" s="52"/>
    </row>
    <row r="750">
      <c r="M750" s="52"/>
      <c r="N750" s="52"/>
      <c r="O750" s="52"/>
      <c r="P750" s="52"/>
      <c r="Q750" s="52"/>
      <c r="U750" s="52"/>
    </row>
    <row r="751">
      <c r="M751" s="52"/>
      <c r="N751" s="52"/>
      <c r="O751" s="52"/>
      <c r="P751" s="52"/>
      <c r="Q751" s="52"/>
      <c r="U751" s="52"/>
    </row>
    <row r="752">
      <c r="M752" s="52"/>
      <c r="N752" s="52"/>
      <c r="O752" s="52"/>
      <c r="P752" s="52"/>
      <c r="Q752" s="52"/>
      <c r="U752" s="52"/>
    </row>
    <row r="753">
      <c r="M753" s="52"/>
      <c r="N753" s="52"/>
      <c r="O753" s="52"/>
      <c r="P753" s="52"/>
      <c r="Q753" s="52"/>
      <c r="U753" s="52"/>
    </row>
    <row r="754">
      <c r="M754" s="52"/>
      <c r="N754" s="52"/>
      <c r="O754" s="52"/>
      <c r="P754" s="52"/>
      <c r="Q754" s="52"/>
      <c r="U754" s="52"/>
    </row>
    <row r="755">
      <c r="M755" s="52"/>
      <c r="N755" s="52"/>
      <c r="O755" s="52"/>
      <c r="P755" s="52"/>
      <c r="Q755" s="52"/>
      <c r="U755" s="52"/>
    </row>
    <row r="756">
      <c r="M756" s="52"/>
      <c r="N756" s="52"/>
      <c r="O756" s="52"/>
      <c r="P756" s="52"/>
      <c r="Q756" s="52"/>
      <c r="U756" s="52"/>
    </row>
    <row r="757">
      <c r="M757" s="52"/>
      <c r="N757" s="52"/>
      <c r="O757" s="52"/>
      <c r="P757" s="52"/>
      <c r="Q757" s="52"/>
      <c r="U757" s="52"/>
    </row>
    <row r="758">
      <c r="M758" s="52"/>
      <c r="N758" s="52"/>
      <c r="O758" s="52"/>
      <c r="P758" s="52"/>
      <c r="Q758" s="52"/>
      <c r="U758" s="52"/>
    </row>
    <row r="759">
      <c r="M759" s="52"/>
      <c r="N759" s="52"/>
      <c r="O759" s="52"/>
      <c r="P759" s="52"/>
      <c r="Q759" s="52"/>
      <c r="U759" s="52"/>
    </row>
    <row r="760">
      <c r="M760" s="52"/>
      <c r="N760" s="52"/>
      <c r="O760" s="52"/>
      <c r="P760" s="52"/>
      <c r="Q760" s="52"/>
      <c r="U760" s="52"/>
    </row>
    <row r="761">
      <c r="M761" s="52"/>
      <c r="N761" s="52"/>
      <c r="O761" s="52"/>
      <c r="P761" s="52"/>
      <c r="Q761" s="52"/>
      <c r="U761" s="52"/>
    </row>
    <row r="762">
      <c r="M762" s="52"/>
      <c r="N762" s="52"/>
      <c r="O762" s="52"/>
      <c r="P762" s="52"/>
      <c r="Q762" s="52"/>
      <c r="U762" s="52"/>
    </row>
    <row r="763">
      <c r="M763" s="52"/>
      <c r="N763" s="52"/>
      <c r="O763" s="52"/>
      <c r="P763" s="52"/>
      <c r="Q763" s="52"/>
      <c r="U763" s="52"/>
    </row>
    <row r="764">
      <c r="M764" s="52"/>
      <c r="N764" s="52"/>
      <c r="O764" s="52"/>
      <c r="P764" s="52"/>
      <c r="Q764" s="52"/>
      <c r="U764" s="52"/>
    </row>
    <row r="765">
      <c r="M765" s="52"/>
      <c r="N765" s="52"/>
      <c r="O765" s="52"/>
      <c r="P765" s="52"/>
      <c r="Q765" s="52"/>
      <c r="U765" s="52"/>
    </row>
    <row r="766">
      <c r="M766" s="52"/>
      <c r="N766" s="52"/>
      <c r="O766" s="52"/>
      <c r="P766" s="52"/>
      <c r="Q766" s="52"/>
      <c r="U766" s="52"/>
    </row>
    <row r="767">
      <c r="M767" s="52"/>
      <c r="N767" s="52"/>
      <c r="O767" s="52"/>
      <c r="P767" s="52"/>
      <c r="Q767" s="52"/>
      <c r="U767" s="52"/>
    </row>
    <row r="768">
      <c r="M768" s="52"/>
      <c r="N768" s="52"/>
      <c r="O768" s="52"/>
      <c r="P768" s="52"/>
      <c r="Q768" s="52"/>
      <c r="U768" s="52"/>
    </row>
    <row r="769">
      <c r="M769" s="52"/>
      <c r="N769" s="52"/>
      <c r="O769" s="52"/>
      <c r="P769" s="52"/>
      <c r="Q769" s="52"/>
      <c r="U769" s="52"/>
    </row>
    <row r="770">
      <c r="M770" s="52"/>
      <c r="N770" s="52"/>
      <c r="O770" s="52"/>
      <c r="P770" s="52"/>
      <c r="Q770" s="52"/>
      <c r="U770" s="52"/>
    </row>
    <row r="771">
      <c r="M771" s="52"/>
      <c r="N771" s="52"/>
      <c r="O771" s="52"/>
      <c r="P771" s="52"/>
      <c r="Q771" s="52"/>
      <c r="U771" s="52"/>
    </row>
    <row r="772">
      <c r="M772" s="52"/>
      <c r="N772" s="52"/>
      <c r="O772" s="52"/>
      <c r="P772" s="52"/>
      <c r="Q772" s="52"/>
      <c r="U772" s="52"/>
    </row>
    <row r="773">
      <c r="M773" s="52"/>
      <c r="N773" s="52"/>
      <c r="O773" s="52"/>
      <c r="P773" s="52"/>
      <c r="Q773" s="52"/>
      <c r="U773" s="52"/>
    </row>
    <row r="774">
      <c r="M774" s="52"/>
      <c r="N774" s="52"/>
      <c r="O774" s="52"/>
      <c r="P774" s="52"/>
      <c r="Q774" s="52"/>
      <c r="U774" s="52"/>
    </row>
    <row r="775">
      <c r="M775" s="52"/>
      <c r="N775" s="52"/>
      <c r="O775" s="52"/>
      <c r="P775" s="52"/>
      <c r="Q775" s="52"/>
      <c r="U775" s="52"/>
    </row>
    <row r="776">
      <c r="M776" s="52"/>
      <c r="N776" s="52"/>
      <c r="O776" s="52"/>
      <c r="P776" s="52"/>
      <c r="Q776" s="52"/>
      <c r="U776" s="52"/>
    </row>
    <row r="777">
      <c r="M777" s="52"/>
      <c r="N777" s="52"/>
      <c r="O777" s="52"/>
      <c r="P777" s="52"/>
      <c r="Q777" s="52"/>
      <c r="U777" s="52"/>
    </row>
    <row r="778">
      <c r="M778" s="52"/>
      <c r="N778" s="52"/>
      <c r="O778" s="52"/>
      <c r="P778" s="52"/>
      <c r="Q778" s="52"/>
      <c r="U778" s="52"/>
    </row>
    <row r="779">
      <c r="M779" s="52"/>
      <c r="N779" s="52"/>
      <c r="O779" s="52"/>
      <c r="P779" s="52"/>
      <c r="Q779" s="52"/>
      <c r="U779" s="52"/>
    </row>
    <row r="780">
      <c r="M780" s="52"/>
      <c r="N780" s="52"/>
      <c r="O780" s="52"/>
      <c r="P780" s="52"/>
      <c r="Q780" s="52"/>
      <c r="U780" s="52"/>
    </row>
    <row r="781">
      <c r="M781" s="52"/>
      <c r="N781" s="52"/>
      <c r="O781" s="52"/>
      <c r="P781" s="52"/>
      <c r="Q781" s="52"/>
      <c r="U781" s="52"/>
    </row>
    <row r="782">
      <c r="M782" s="52"/>
      <c r="N782" s="52"/>
      <c r="O782" s="52"/>
      <c r="P782" s="52"/>
      <c r="Q782" s="52"/>
      <c r="U782" s="52"/>
    </row>
    <row r="783">
      <c r="M783" s="52"/>
      <c r="N783" s="52"/>
      <c r="O783" s="52"/>
      <c r="P783" s="52"/>
      <c r="Q783" s="52"/>
      <c r="U783" s="52"/>
    </row>
    <row r="784">
      <c r="M784" s="52"/>
      <c r="N784" s="52"/>
      <c r="O784" s="52"/>
      <c r="P784" s="52"/>
      <c r="Q784" s="52"/>
      <c r="U784" s="52"/>
    </row>
    <row r="785">
      <c r="M785" s="52"/>
      <c r="N785" s="52"/>
      <c r="O785" s="52"/>
      <c r="P785" s="52"/>
      <c r="Q785" s="52"/>
      <c r="U785" s="52"/>
    </row>
    <row r="786">
      <c r="M786" s="52"/>
      <c r="N786" s="52"/>
      <c r="O786" s="52"/>
      <c r="P786" s="52"/>
      <c r="Q786" s="52"/>
      <c r="U786" s="52"/>
    </row>
    <row r="787">
      <c r="M787" s="52"/>
      <c r="N787" s="52"/>
      <c r="O787" s="52"/>
      <c r="P787" s="52"/>
      <c r="Q787" s="52"/>
      <c r="U787" s="52"/>
    </row>
    <row r="788">
      <c r="M788" s="52"/>
      <c r="N788" s="52"/>
      <c r="O788" s="52"/>
      <c r="P788" s="52"/>
      <c r="Q788" s="52"/>
      <c r="U788" s="52"/>
    </row>
    <row r="789">
      <c r="M789" s="52"/>
      <c r="N789" s="52"/>
      <c r="O789" s="52"/>
      <c r="P789" s="52"/>
      <c r="Q789" s="52"/>
      <c r="U789" s="52"/>
    </row>
    <row r="790">
      <c r="M790" s="52"/>
      <c r="N790" s="52"/>
      <c r="O790" s="52"/>
      <c r="P790" s="52"/>
      <c r="Q790" s="52"/>
      <c r="U790" s="52"/>
    </row>
    <row r="791">
      <c r="M791" s="52"/>
      <c r="N791" s="52"/>
      <c r="O791" s="52"/>
      <c r="P791" s="52"/>
      <c r="Q791" s="52"/>
      <c r="U791" s="52"/>
    </row>
    <row r="792">
      <c r="M792" s="52"/>
      <c r="N792" s="52"/>
      <c r="O792" s="52"/>
      <c r="P792" s="52"/>
      <c r="Q792" s="52"/>
      <c r="U792" s="52"/>
    </row>
    <row r="793">
      <c r="M793" s="52"/>
      <c r="N793" s="52"/>
      <c r="O793" s="52"/>
      <c r="P793" s="52"/>
      <c r="Q793" s="52"/>
      <c r="U793" s="52"/>
    </row>
    <row r="794">
      <c r="M794" s="52"/>
      <c r="N794" s="52"/>
      <c r="O794" s="52"/>
      <c r="P794" s="52"/>
      <c r="Q794" s="52"/>
      <c r="U794" s="52"/>
    </row>
    <row r="795">
      <c r="M795" s="52"/>
      <c r="N795" s="52"/>
      <c r="O795" s="52"/>
      <c r="P795" s="52"/>
      <c r="Q795" s="52"/>
      <c r="U795" s="52"/>
    </row>
    <row r="796">
      <c r="M796" s="52"/>
      <c r="N796" s="52"/>
      <c r="O796" s="52"/>
      <c r="P796" s="52"/>
      <c r="Q796" s="52"/>
      <c r="U796" s="52"/>
    </row>
    <row r="797">
      <c r="M797" s="52"/>
      <c r="N797" s="52"/>
      <c r="O797" s="52"/>
      <c r="P797" s="52"/>
      <c r="Q797" s="52"/>
      <c r="U797" s="52"/>
    </row>
    <row r="798">
      <c r="M798" s="52"/>
      <c r="N798" s="52"/>
      <c r="O798" s="52"/>
      <c r="P798" s="52"/>
      <c r="Q798" s="52"/>
      <c r="U798" s="52"/>
    </row>
    <row r="799">
      <c r="M799" s="52"/>
      <c r="N799" s="52"/>
      <c r="O799" s="52"/>
      <c r="P799" s="52"/>
      <c r="Q799" s="52"/>
      <c r="U799" s="52"/>
    </row>
    <row r="800">
      <c r="M800" s="52"/>
      <c r="N800" s="52"/>
      <c r="O800" s="52"/>
      <c r="P800" s="52"/>
      <c r="Q800" s="52"/>
      <c r="U800" s="52"/>
    </row>
    <row r="801">
      <c r="M801" s="52"/>
      <c r="N801" s="52"/>
      <c r="O801" s="52"/>
      <c r="P801" s="52"/>
      <c r="Q801" s="52"/>
      <c r="U801" s="52"/>
    </row>
    <row r="802">
      <c r="M802" s="52"/>
      <c r="N802" s="52"/>
      <c r="O802" s="52"/>
      <c r="P802" s="52"/>
      <c r="Q802" s="52"/>
      <c r="U802" s="52"/>
    </row>
    <row r="803">
      <c r="M803" s="52"/>
      <c r="N803" s="52"/>
      <c r="O803" s="52"/>
      <c r="P803" s="52"/>
      <c r="Q803" s="52"/>
      <c r="U803" s="52"/>
    </row>
    <row r="804">
      <c r="M804" s="52"/>
      <c r="N804" s="52"/>
      <c r="O804" s="52"/>
      <c r="P804" s="52"/>
      <c r="Q804" s="52"/>
      <c r="U804" s="52"/>
    </row>
    <row r="805">
      <c r="M805" s="52"/>
      <c r="N805" s="52"/>
      <c r="O805" s="52"/>
      <c r="P805" s="52"/>
      <c r="Q805" s="52"/>
      <c r="U805" s="52"/>
    </row>
    <row r="806">
      <c r="M806" s="52"/>
      <c r="N806" s="52"/>
      <c r="O806" s="52"/>
      <c r="P806" s="52"/>
      <c r="Q806" s="52"/>
      <c r="U806" s="52"/>
    </row>
    <row r="807">
      <c r="M807" s="52"/>
      <c r="N807" s="52"/>
      <c r="O807" s="52"/>
      <c r="P807" s="52"/>
      <c r="Q807" s="52"/>
      <c r="U807" s="52"/>
    </row>
    <row r="808">
      <c r="M808" s="52"/>
      <c r="N808" s="52"/>
      <c r="O808" s="52"/>
      <c r="P808" s="52"/>
      <c r="Q808" s="52"/>
      <c r="U808" s="52"/>
    </row>
    <row r="809">
      <c r="M809" s="52"/>
      <c r="N809" s="52"/>
      <c r="O809" s="52"/>
      <c r="P809" s="52"/>
      <c r="Q809" s="52"/>
      <c r="U809" s="52"/>
    </row>
    <row r="810">
      <c r="M810" s="52"/>
      <c r="N810" s="52"/>
      <c r="O810" s="52"/>
      <c r="P810" s="52"/>
      <c r="Q810" s="52"/>
      <c r="U810" s="52"/>
    </row>
    <row r="811">
      <c r="M811" s="52"/>
      <c r="N811" s="52"/>
      <c r="O811" s="52"/>
      <c r="P811" s="52"/>
      <c r="Q811" s="52"/>
      <c r="U811" s="52"/>
    </row>
    <row r="812">
      <c r="M812" s="52"/>
      <c r="N812" s="52"/>
      <c r="O812" s="52"/>
      <c r="P812" s="52"/>
      <c r="Q812" s="52"/>
      <c r="U812" s="52"/>
    </row>
    <row r="813">
      <c r="M813" s="52"/>
      <c r="N813" s="52"/>
      <c r="O813" s="52"/>
      <c r="P813" s="52"/>
      <c r="Q813" s="52"/>
      <c r="U813" s="52"/>
    </row>
    <row r="814">
      <c r="M814" s="52"/>
      <c r="N814" s="52"/>
      <c r="O814" s="52"/>
      <c r="P814" s="52"/>
      <c r="Q814" s="52"/>
      <c r="U814" s="52"/>
    </row>
    <row r="815">
      <c r="M815" s="52"/>
      <c r="N815" s="52"/>
      <c r="O815" s="52"/>
      <c r="P815" s="52"/>
      <c r="Q815" s="52"/>
      <c r="U815" s="52"/>
    </row>
    <row r="816">
      <c r="M816" s="52"/>
      <c r="N816" s="52"/>
      <c r="O816" s="52"/>
      <c r="P816" s="52"/>
      <c r="Q816" s="52"/>
      <c r="U816" s="52"/>
    </row>
    <row r="817">
      <c r="M817" s="52"/>
      <c r="N817" s="52"/>
      <c r="O817" s="52"/>
      <c r="P817" s="52"/>
      <c r="Q817" s="52"/>
      <c r="U817" s="52"/>
    </row>
    <row r="818">
      <c r="M818" s="52"/>
      <c r="N818" s="52"/>
      <c r="O818" s="52"/>
      <c r="P818" s="52"/>
      <c r="Q818" s="52"/>
      <c r="U818" s="52"/>
    </row>
    <row r="819">
      <c r="M819" s="52"/>
      <c r="N819" s="52"/>
      <c r="O819" s="52"/>
      <c r="P819" s="52"/>
      <c r="Q819" s="52"/>
      <c r="U819" s="52"/>
    </row>
    <row r="820">
      <c r="M820" s="52"/>
      <c r="N820" s="52"/>
      <c r="O820" s="52"/>
      <c r="P820" s="52"/>
      <c r="Q820" s="52"/>
      <c r="U820" s="52"/>
    </row>
    <row r="821">
      <c r="M821" s="52"/>
      <c r="N821" s="52"/>
      <c r="O821" s="52"/>
      <c r="P821" s="52"/>
      <c r="Q821" s="52"/>
      <c r="U821" s="52"/>
    </row>
    <row r="822">
      <c r="M822" s="52"/>
      <c r="N822" s="52"/>
      <c r="O822" s="52"/>
      <c r="P822" s="52"/>
      <c r="Q822" s="52"/>
      <c r="U822" s="52"/>
    </row>
    <row r="823">
      <c r="M823" s="52"/>
      <c r="N823" s="52"/>
      <c r="O823" s="52"/>
      <c r="P823" s="52"/>
      <c r="Q823" s="52"/>
      <c r="U823" s="52"/>
    </row>
    <row r="824">
      <c r="M824" s="52"/>
      <c r="N824" s="52"/>
      <c r="O824" s="52"/>
      <c r="P824" s="52"/>
      <c r="Q824" s="52"/>
      <c r="U824" s="52"/>
    </row>
    <row r="825">
      <c r="M825" s="52"/>
      <c r="N825" s="52"/>
      <c r="O825" s="52"/>
      <c r="P825" s="52"/>
      <c r="Q825" s="52"/>
      <c r="U825" s="52"/>
    </row>
    <row r="826">
      <c r="M826" s="52"/>
      <c r="N826" s="52"/>
      <c r="O826" s="52"/>
      <c r="P826" s="52"/>
      <c r="Q826" s="52"/>
      <c r="U826" s="52"/>
    </row>
    <row r="827">
      <c r="M827" s="52"/>
      <c r="N827" s="52"/>
      <c r="O827" s="52"/>
      <c r="P827" s="52"/>
      <c r="Q827" s="52"/>
      <c r="U827" s="52"/>
    </row>
    <row r="828">
      <c r="M828" s="52"/>
      <c r="N828" s="52"/>
      <c r="O828" s="52"/>
      <c r="P828" s="52"/>
      <c r="Q828" s="52"/>
      <c r="U828" s="52"/>
    </row>
    <row r="829">
      <c r="M829" s="52"/>
      <c r="N829" s="52"/>
      <c r="O829" s="52"/>
      <c r="P829" s="52"/>
      <c r="Q829" s="52"/>
      <c r="U829" s="52"/>
    </row>
    <row r="830">
      <c r="M830" s="52"/>
      <c r="N830" s="52"/>
      <c r="O830" s="52"/>
      <c r="P830" s="52"/>
      <c r="Q830" s="52"/>
      <c r="U830" s="52"/>
    </row>
    <row r="831">
      <c r="M831" s="52"/>
      <c r="N831" s="52"/>
      <c r="O831" s="52"/>
      <c r="P831" s="52"/>
      <c r="Q831" s="52"/>
      <c r="U831" s="52"/>
    </row>
    <row r="832">
      <c r="M832" s="52"/>
      <c r="N832" s="52"/>
      <c r="O832" s="52"/>
      <c r="P832" s="52"/>
      <c r="Q832" s="52"/>
      <c r="U832" s="52"/>
    </row>
    <row r="833">
      <c r="M833" s="52"/>
      <c r="N833" s="52"/>
      <c r="O833" s="52"/>
      <c r="P833" s="52"/>
      <c r="Q833" s="52"/>
      <c r="U833" s="52"/>
    </row>
    <row r="834">
      <c r="M834" s="52"/>
      <c r="N834" s="52"/>
      <c r="O834" s="52"/>
      <c r="P834" s="52"/>
      <c r="Q834" s="52"/>
      <c r="U834" s="52"/>
    </row>
    <row r="835">
      <c r="M835" s="52"/>
      <c r="N835" s="52"/>
      <c r="O835" s="52"/>
      <c r="P835" s="52"/>
      <c r="Q835" s="52"/>
      <c r="U835" s="52"/>
    </row>
    <row r="836">
      <c r="M836" s="52"/>
      <c r="N836" s="52"/>
      <c r="O836" s="52"/>
      <c r="P836" s="52"/>
      <c r="Q836" s="52"/>
      <c r="U836" s="52"/>
    </row>
    <row r="837">
      <c r="M837" s="52"/>
      <c r="N837" s="52"/>
      <c r="O837" s="52"/>
      <c r="P837" s="52"/>
      <c r="Q837" s="52"/>
      <c r="U837" s="52"/>
    </row>
    <row r="838">
      <c r="M838" s="52"/>
      <c r="N838" s="52"/>
      <c r="O838" s="52"/>
      <c r="P838" s="52"/>
      <c r="Q838" s="52"/>
      <c r="U838" s="52"/>
    </row>
    <row r="839">
      <c r="M839" s="52"/>
      <c r="N839" s="52"/>
      <c r="O839" s="52"/>
      <c r="P839" s="52"/>
      <c r="Q839" s="52"/>
      <c r="U839" s="52"/>
    </row>
    <row r="840">
      <c r="M840" s="52"/>
      <c r="N840" s="52"/>
      <c r="O840" s="52"/>
      <c r="P840" s="52"/>
      <c r="Q840" s="52"/>
      <c r="U840" s="52"/>
    </row>
    <row r="841">
      <c r="M841" s="52"/>
      <c r="N841" s="52"/>
      <c r="O841" s="52"/>
      <c r="P841" s="52"/>
      <c r="Q841" s="52"/>
      <c r="U841" s="52"/>
    </row>
    <row r="842">
      <c r="M842" s="52"/>
      <c r="N842" s="52"/>
      <c r="O842" s="52"/>
      <c r="P842" s="52"/>
      <c r="Q842" s="52"/>
      <c r="U842" s="52"/>
    </row>
    <row r="843">
      <c r="M843" s="52"/>
      <c r="N843" s="52"/>
      <c r="O843" s="52"/>
      <c r="P843" s="52"/>
      <c r="Q843" s="52"/>
      <c r="U843" s="52"/>
    </row>
    <row r="844">
      <c r="M844" s="52"/>
      <c r="N844" s="52"/>
      <c r="O844" s="52"/>
      <c r="P844" s="52"/>
      <c r="Q844" s="52"/>
      <c r="U844" s="52"/>
    </row>
    <row r="845">
      <c r="M845" s="52"/>
      <c r="N845" s="52"/>
      <c r="O845" s="52"/>
      <c r="P845" s="52"/>
      <c r="Q845" s="52"/>
      <c r="U845" s="52"/>
    </row>
    <row r="846">
      <c r="M846" s="52"/>
      <c r="N846" s="52"/>
      <c r="O846" s="52"/>
      <c r="P846" s="52"/>
      <c r="Q846" s="52"/>
      <c r="U846" s="52"/>
    </row>
    <row r="847">
      <c r="M847" s="52"/>
      <c r="N847" s="52"/>
      <c r="O847" s="52"/>
      <c r="P847" s="52"/>
      <c r="Q847" s="52"/>
      <c r="U847" s="52"/>
    </row>
    <row r="848">
      <c r="M848" s="52"/>
      <c r="N848" s="52"/>
      <c r="O848" s="52"/>
      <c r="P848" s="52"/>
      <c r="Q848" s="52"/>
      <c r="U848" s="52"/>
    </row>
    <row r="849">
      <c r="M849" s="52"/>
      <c r="N849" s="52"/>
      <c r="O849" s="52"/>
      <c r="P849" s="52"/>
      <c r="Q849" s="52"/>
      <c r="U849" s="52"/>
    </row>
    <row r="850">
      <c r="M850" s="52"/>
      <c r="N850" s="52"/>
      <c r="O850" s="52"/>
      <c r="P850" s="52"/>
      <c r="Q850" s="52"/>
      <c r="U850" s="52"/>
    </row>
    <row r="851">
      <c r="M851" s="52"/>
      <c r="N851" s="52"/>
      <c r="O851" s="52"/>
      <c r="P851" s="52"/>
      <c r="Q851" s="52"/>
      <c r="U851" s="52"/>
    </row>
    <row r="852">
      <c r="M852" s="52"/>
      <c r="N852" s="52"/>
      <c r="O852" s="52"/>
      <c r="P852" s="52"/>
      <c r="Q852" s="52"/>
      <c r="U852" s="52"/>
    </row>
    <row r="853">
      <c r="M853" s="52"/>
      <c r="N853" s="52"/>
      <c r="O853" s="52"/>
      <c r="P853" s="52"/>
      <c r="Q853" s="52"/>
      <c r="U853" s="52"/>
    </row>
    <row r="854">
      <c r="M854" s="52"/>
      <c r="N854" s="52"/>
      <c r="O854" s="52"/>
      <c r="P854" s="52"/>
      <c r="Q854" s="52"/>
      <c r="U854" s="52"/>
    </row>
    <row r="855">
      <c r="M855" s="52"/>
      <c r="N855" s="52"/>
      <c r="O855" s="52"/>
      <c r="P855" s="52"/>
      <c r="Q855" s="52"/>
      <c r="U855" s="52"/>
    </row>
    <row r="856">
      <c r="M856" s="52"/>
      <c r="N856" s="52"/>
      <c r="O856" s="52"/>
      <c r="P856" s="52"/>
      <c r="Q856" s="52"/>
      <c r="U856" s="52"/>
    </row>
    <row r="857">
      <c r="M857" s="52"/>
      <c r="N857" s="52"/>
      <c r="O857" s="52"/>
      <c r="P857" s="52"/>
      <c r="Q857" s="52"/>
      <c r="U857" s="52"/>
    </row>
    <row r="858">
      <c r="M858" s="52"/>
      <c r="N858" s="52"/>
      <c r="O858" s="52"/>
      <c r="P858" s="52"/>
      <c r="Q858" s="52"/>
      <c r="U858" s="52"/>
    </row>
    <row r="859">
      <c r="M859" s="52"/>
      <c r="N859" s="52"/>
      <c r="O859" s="52"/>
      <c r="P859" s="52"/>
      <c r="Q859" s="52"/>
      <c r="U859" s="52"/>
    </row>
    <row r="860">
      <c r="M860" s="52"/>
      <c r="N860" s="52"/>
      <c r="O860" s="52"/>
      <c r="P860" s="52"/>
      <c r="Q860" s="52"/>
      <c r="U860" s="52"/>
    </row>
    <row r="861">
      <c r="M861" s="52"/>
      <c r="N861" s="52"/>
      <c r="O861" s="52"/>
      <c r="P861" s="52"/>
      <c r="Q861" s="52"/>
      <c r="U861" s="52"/>
    </row>
    <row r="862">
      <c r="M862" s="52"/>
      <c r="N862" s="52"/>
      <c r="O862" s="52"/>
      <c r="P862" s="52"/>
      <c r="Q862" s="52"/>
      <c r="U862" s="52"/>
    </row>
    <row r="863">
      <c r="M863" s="52"/>
      <c r="N863" s="52"/>
      <c r="O863" s="52"/>
      <c r="P863" s="52"/>
      <c r="Q863" s="52"/>
      <c r="U863" s="52"/>
    </row>
    <row r="864">
      <c r="M864" s="52"/>
      <c r="N864" s="52"/>
      <c r="O864" s="52"/>
      <c r="P864" s="52"/>
      <c r="Q864" s="52"/>
      <c r="U864" s="52"/>
    </row>
    <row r="865">
      <c r="M865" s="52"/>
      <c r="N865" s="52"/>
      <c r="O865" s="52"/>
      <c r="P865" s="52"/>
      <c r="Q865" s="52"/>
      <c r="U865" s="52"/>
    </row>
    <row r="866">
      <c r="M866" s="52"/>
      <c r="N866" s="52"/>
      <c r="O866" s="52"/>
      <c r="P866" s="52"/>
      <c r="Q866" s="52"/>
      <c r="U866" s="52"/>
    </row>
    <row r="867">
      <c r="M867" s="52"/>
      <c r="N867" s="52"/>
      <c r="O867" s="52"/>
      <c r="P867" s="52"/>
      <c r="Q867" s="52"/>
      <c r="U867" s="52"/>
    </row>
    <row r="868">
      <c r="M868" s="52"/>
      <c r="N868" s="52"/>
      <c r="O868" s="52"/>
      <c r="P868" s="52"/>
      <c r="Q868" s="52"/>
      <c r="U868" s="52"/>
    </row>
    <row r="869">
      <c r="M869" s="52"/>
      <c r="N869" s="52"/>
      <c r="O869" s="52"/>
      <c r="P869" s="52"/>
      <c r="Q869" s="52"/>
      <c r="U869" s="52"/>
    </row>
    <row r="870">
      <c r="M870" s="52"/>
      <c r="N870" s="52"/>
      <c r="O870" s="52"/>
      <c r="P870" s="52"/>
      <c r="Q870" s="52"/>
      <c r="U870" s="52"/>
    </row>
    <row r="871">
      <c r="M871" s="52"/>
      <c r="N871" s="52"/>
      <c r="O871" s="52"/>
      <c r="P871" s="52"/>
      <c r="Q871" s="52"/>
      <c r="U871" s="52"/>
    </row>
    <row r="872">
      <c r="M872" s="52"/>
      <c r="N872" s="52"/>
      <c r="O872" s="52"/>
      <c r="P872" s="52"/>
      <c r="Q872" s="52"/>
      <c r="U872" s="52"/>
    </row>
    <row r="873">
      <c r="M873" s="52"/>
      <c r="N873" s="52"/>
      <c r="O873" s="52"/>
      <c r="P873" s="52"/>
      <c r="Q873" s="52"/>
      <c r="U873" s="52"/>
    </row>
    <row r="874">
      <c r="M874" s="52"/>
      <c r="N874" s="52"/>
      <c r="O874" s="52"/>
      <c r="P874" s="52"/>
      <c r="Q874" s="52"/>
      <c r="U874" s="52"/>
    </row>
    <row r="875">
      <c r="M875" s="52"/>
      <c r="N875" s="52"/>
      <c r="O875" s="52"/>
      <c r="P875" s="52"/>
      <c r="Q875" s="52"/>
      <c r="U875" s="52"/>
    </row>
    <row r="876">
      <c r="M876" s="52"/>
      <c r="N876" s="52"/>
      <c r="O876" s="52"/>
      <c r="P876" s="52"/>
      <c r="Q876" s="52"/>
      <c r="U876" s="52"/>
    </row>
    <row r="877">
      <c r="M877" s="52"/>
      <c r="N877" s="52"/>
      <c r="O877" s="52"/>
      <c r="P877" s="52"/>
      <c r="Q877" s="52"/>
      <c r="U877" s="52"/>
    </row>
    <row r="878">
      <c r="M878" s="52"/>
      <c r="N878" s="52"/>
      <c r="O878" s="52"/>
      <c r="P878" s="52"/>
      <c r="Q878" s="52"/>
      <c r="U878" s="52"/>
    </row>
    <row r="879">
      <c r="M879" s="52"/>
      <c r="N879" s="52"/>
      <c r="O879" s="52"/>
      <c r="P879" s="52"/>
      <c r="Q879" s="52"/>
      <c r="U879" s="52"/>
    </row>
    <row r="880">
      <c r="M880" s="52"/>
      <c r="N880" s="52"/>
      <c r="O880" s="52"/>
      <c r="P880" s="52"/>
      <c r="Q880" s="52"/>
      <c r="U880" s="52"/>
    </row>
    <row r="881">
      <c r="M881" s="52"/>
      <c r="N881" s="52"/>
      <c r="O881" s="52"/>
      <c r="P881" s="52"/>
      <c r="Q881" s="52"/>
      <c r="U881" s="52"/>
    </row>
    <row r="882">
      <c r="M882" s="52"/>
      <c r="N882" s="52"/>
      <c r="O882" s="52"/>
      <c r="P882" s="52"/>
      <c r="Q882" s="52"/>
      <c r="U882" s="52"/>
    </row>
    <row r="883">
      <c r="M883" s="52"/>
      <c r="N883" s="52"/>
      <c r="O883" s="52"/>
      <c r="P883" s="52"/>
      <c r="Q883" s="52"/>
      <c r="U883" s="52"/>
    </row>
    <row r="884">
      <c r="M884" s="52"/>
      <c r="N884" s="52"/>
      <c r="O884" s="52"/>
      <c r="P884" s="52"/>
      <c r="Q884" s="52"/>
      <c r="U884" s="52"/>
    </row>
    <row r="885">
      <c r="M885" s="52"/>
      <c r="N885" s="52"/>
      <c r="O885" s="52"/>
      <c r="P885" s="52"/>
      <c r="Q885" s="52"/>
      <c r="U885" s="52"/>
    </row>
    <row r="886">
      <c r="M886" s="52"/>
      <c r="N886" s="52"/>
      <c r="O886" s="52"/>
      <c r="P886" s="52"/>
      <c r="Q886" s="52"/>
      <c r="U886" s="52"/>
    </row>
    <row r="887">
      <c r="M887" s="52"/>
      <c r="N887" s="52"/>
      <c r="O887" s="52"/>
      <c r="P887" s="52"/>
      <c r="Q887" s="52"/>
      <c r="U887" s="52"/>
    </row>
    <row r="888">
      <c r="M888" s="52"/>
      <c r="N888" s="52"/>
      <c r="O888" s="52"/>
      <c r="P888" s="52"/>
      <c r="Q888" s="52"/>
      <c r="U888" s="52"/>
    </row>
    <row r="889">
      <c r="M889" s="52"/>
      <c r="N889" s="52"/>
      <c r="O889" s="52"/>
      <c r="P889" s="52"/>
      <c r="Q889" s="52"/>
      <c r="U889" s="52"/>
    </row>
    <row r="890">
      <c r="M890" s="52"/>
      <c r="N890" s="52"/>
      <c r="O890" s="52"/>
      <c r="P890" s="52"/>
      <c r="Q890" s="52"/>
      <c r="U890" s="52"/>
    </row>
    <row r="891">
      <c r="M891" s="52"/>
      <c r="N891" s="52"/>
      <c r="O891" s="52"/>
      <c r="P891" s="52"/>
      <c r="Q891" s="52"/>
      <c r="U891" s="52"/>
    </row>
    <row r="892">
      <c r="M892" s="52"/>
      <c r="N892" s="52"/>
      <c r="O892" s="52"/>
      <c r="P892" s="52"/>
      <c r="Q892" s="52"/>
      <c r="U892" s="52"/>
    </row>
    <row r="893">
      <c r="M893" s="52"/>
      <c r="N893" s="52"/>
      <c r="O893" s="52"/>
      <c r="P893" s="52"/>
      <c r="Q893" s="52"/>
      <c r="U893" s="52"/>
    </row>
    <row r="894">
      <c r="M894" s="52"/>
      <c r="N894" s="52"/>
      <c r="O894" s="52"/>
      <c r="P894" s="52"/>
      <c r="Q894" s="52"/>
      <c r="U894" s="52"/>
    </row>
    <row r="895">
      <c r="M895" s="52"/>
      <c r="N895" s="52"/>
      <c r="O895" s="52"/>
      <c r="P895" s="52"/>
      <c r="Q895" s="52"/>
      <c r="U895" s="52"/>
    </row>
    <row r="896">
      <c r="M896" s="52"/>
      <c r="N896" s="52"/>
      <c r="O896" s="52"/>
      <c r="P896" s="52"/>
      <c r="Q896" s="52"/>
      <c r="U896" s="52"/>
    </row>
    <row r="897">
      <c r="M897" s="52"/>
      <c r="N897" s="52"/>
      <c r="O897" s="52"/>
      <c r="P897" s="52"/>
      <c r="Q897" s="52"/>
      <c r="U897" s="52"/>
    </row>
    <row r="898">
      <c r="M898" s="52"/>
      <c r="N898" s="52"/>
      <c r="O898" s="52"/>
      <c r="P898" s="52"/>
      <c r="Q898" s="52"/>
      <c r="U898" s="52"/>
    </row>
    <row r="899">
      <c r="M899" s="52"/>
      <c r="N899" s="52"/>
      <c r="O899" s="52"/>
      <c r="P899" s="52"/>
      <c r="Q899" s="52"/>
      <c r="U899" s="52"/>
    </row>
    <row r="900">
      <c r="M900" s="52"/>
      <c r="N900" s="52"/>
      <c r="O900" s="52"/>
      <c r="P900" s="52"/>
      <c r="Q900" s="52"/>
      <c r="U900" s="52"/>
    </row>
    <row r="901">
      <c r="M901" s="52"/>
      <c r="N901" s="52"/>
      <c r="O901" s="52"/>
      <c r="P901" s="52"/>
      <c r="Q901" s="52"/>
      <c r="U901" s="52"/>
    </row>
    <row r="902">
      <c r="M902" s="52"/>
      <c r="N902" s="52"/>
      <c r="O902" s="52"/>
      <c r="P902" s="52"/>
      <c r="Q902" s="52"/>
      <c r="U902" s="52"/>
    </row>
    <row r="903">
      <c r="M903" s="52"/>
      <c r="N903" s="52"/>
      <c r="O903" s="52"/>
      <c r="P903" s="52"/>
      <c r="Q903" s="52"/>
      <c r="U903" s="52"/>
    </row>
    <row r="904">
      <c r="M904" s="52"/>
      <c r="N904" s="52"/>
      <c r="O904" s="52"/>
      <c r="P904" s="52"/>
      <c r="Q904" s="52"/>
      <c r="U904" s="52"/>
    </row>
    <row r="905">
      <c r="M905" s="52"/>
      <c r="N905" s="52"/>
      <c r="O905" s="52"/>
      <c r="P905" s="52"/>
      <c r="Q905" s="52"/>
      <c r="U905" s="52"/>
    </row>
    <row r="906">
      <c r="M906" s="52"/>
      <c r="N906" s="52"/>
      <c r="O906" s="52"/>
      <c r="P906" s="52"/>
      <c r="Q906" s="52"/>
      <c r="U906" s="52"/>
    </row>
    <row r="907">
      <c r="M907" s="52"/>
      <c r="N907" s="52"/>
      <c r="O907" s="52"/>
      <c r="P907" s="52"/>
      <c r="Q907" s="52"/>
      <c r="U907" s="52"/>
    </row>
    <row r="908">
      <c r="M908" s="52"/>
      <c r="N908" s="52"/>
      <c r="O908" s="52"/>
      <c r="P908" s="52"/>
      <c r="Q908" s="52"/>
      <c r="U908" s="52"/>
    </row>
    <row r="909">
      <c r="M909" s="52"/>
      <c r="N909" s="52"/>
      <c r="O909" s="52"/>
      <c r="P909" s="52"/>
      <c r="Q909" s="52"/>
      <c r="U909" s="52"/>
    </row>
    <row r="910">
      <c r="M910" s="52"/>
      <c r="N910" s="52"/>
      <c r="O910" s="52"/>
      <c r="P910" s="52"/>
      <c r="Q910" s="52"/>
      <c r="U910" s="52"/>
    </row>
    <row r="911">
      <c r="M911" s="52"/>
      <c r="N911" s="52"/>
      <c r="O911" s="52"/>
      <c r="P911" s="52"/>
      <c r="Q911" s="52"/>
      <c r="U911" s="52"/>
    </row>
    <row r="912">
      <c r="M912" s="52"/>
      <c r="N912" s="52"/>
      <c r="O912" s="52"/>
      <c r="P912" s="52"/>
      <c r="Q912" s="52"/>
      <c r="U912" s="52"/>
    </row>
    <row r="913">
      <c r="M913" s="52"/>
      <c r="N913" s="52"/>
      <c r="O913" s="52"/>
      <c r="P913" s="52"/>
      <c r="Q913" s="52"/>
      <c r="U913" s="52"/>
    </row>
    <row r="914">
      <c r="M914" s="52"/>
      <c r="N914" s="52"/>
      <c r="O914" s="52"/>
      <c r="P914" s="52"/>
      <c r="Q914" s="52"/>
      <c r="U914" s="52"/>
    </row>
    <row r="915">
      <c r="M915" s="52"/>
      <c r="N915" s="52"/>
      <c r="O915" s="52"/>
      <c r="P915" s="52"/>
      <c r="Q915" s="52"/>
      <c r="U915" s="52"/>
    </row>
    <row r="916">
      <c r="M916" s="52"/>
      <c r="N916" s="52"/>
      <c r="O916" s="52"/>
      <c r="P916" s="52"/>
      <c r="Q916" s="52"/>
      <c r="U916" s="52"/>
    </row>
    <row r="917">
      <c r="M917" s="52"/>
      <c r="N917" s="52"/>
      <c r="O917" s="52"/>
      <c r="P917" s="52"/>
      <c r="Q917" s="52"/>
      <c r="U917" s="52"/>
    </row>
    <row r="918">
      <c r="M918" s="52"/>
      <c r="N918" s="52"/>
      <c r="O918" s="52"/>
      <c r="P918" s="52"/>
      <c r="Q918" s="52"/>
      <c r="U918" s="52"/>
    </row>
    <row r="919">
      <c r="M919" s="52"/>
      <c r="N919" s="52"/>
      <c r="O919" s="52"/>
      <c r="P919" s="52"/>
      <c r="Q919" s="52"/>
      <c r="U919" s="52"/>
    </row>
    <row r="920">
      <c r="M920" s="52"/>
      <c r="N920" s="52"/>
      <c r="O920" s="52"/>
      <c r="P920" s="52"/>
      <c r="Q920" s="52"/>
      <c r="U920" s="52"/>
    </row>
    <row r="921">
      <c r="M921" s="52"/>
      <c r="N921" s="52"/>
      <c r="O921" s="52"/>
      <c r="P921" s="52"/>
      <c r="Q921" s="52"/>
      <c r="U921" s="52"/>
    </row>
    <row r="922">
      <c r="M922" s="52"/>
      <c r="N922" s="52"/>
      <c r="O922" s="52"/>
      <c r="P922" s="52"/>
      <c r="Q922" s="52"/>
      <c r="U922" s="52"/>
    </row>
    <row r="923">
      <c r="M923" s="52"/>
      <c r="N923" s="52"/>
      <c r="O923" s="52"/>
      <c r="P923" s="52"/>
      <c r="Q923" s="52"/>
      <c r="U923" s="52"/>
    </row>
    <row r="924">
      <c r="M924" s="52"/>
      <c r="N924" s="52"/>
      <c r="O924" s="52"/>
      <c r="P924" s="52"/>
      <c r="Q924" s="52"/>
      <c r="U924" s="52"/>
    </row>
    <row r="925">
      <c r="M925" s="52"/>
      <c r="N925" s="52"/>
      <c r="O925" s="52"/>
      <c r="P925" s="52"/>
      <c r="Q925" s="52"/>
      <c r="U925" s="52"/>
    </row>
    <row r="926">
      <c r="M926" s="52"/>
      <c r="N926" s="52"/>
      <c r="O926" s="52"/>
      <c r="P926" s="52"/>
      <c r="Q926" s="52"/>
      <c r="U926" s="52"/>
    </row>
    <row r="927">
      <c r="M927" s="52"/>
      <c r="N927" s="52"/>
      <c r="O927" s="52"/>
      <c r="P927" s="52"/>
      <c r="Q927" s="52"/>
      <c r="U927" s="52"/>
    </row>
    <row r="928">
      <c r="M928" s="52"/>
      <c r="N928" s="52"/>
      <c r="O928" s="52"/>
      <c r="P928" s="52"/>
      <c r="Q928" s="52"/>
      <c r="U928" s="52"/>
    </row>
    <row r="929">
      <c r="M929" s="52"/>
      <c r="N929" s="52"/>
      <c r="O929" s="52"/>
      <c r="P929" s="52"/>
      <c r="Q929" s="52"/>
      <c r="U929" s="52"/>
    </row>
    <row r="930">
      <c r="M930" s="52"/>
      <c r="N930" s="52"/>
      <c r="O930" s="52"/>
      <c r="P930" s="52"/>
      <c r="Q930" s="52"/>
      <c r="U930" s="52"/>
    </row>
    <row r="931">
      <c r="M931" s="52"/>
      <c r="N931" s="52"/>
      <c r="O931" s="52"/>
      <c r="P931" s="52"/>
      <c r="Q931" s="52"/>
      <c r="U931" s="52"/>
    </row>
    <row r="932">
      <c r="M932" s="52"/>
      <c r="N932" s="52"/>
      <c r="O932" s="52"/>
      <c r="P932" s="52"/>
      <c r="Q932" s="52"/>
      <c r="U932" s="52"/>
    </row>
    <row r="933">
      <c r="M933" s="52"/>
      <c r="N933" s="52"/>
      <c r="O933" s="52"/>
      <c r="P933" s="52"/>
      <c r="Q933" s="52"/>
      <c r="U933" s="52"/>
    </row>
    <row r="934">
      <c r="M934" s="52"/>
      <c r="N934" s="52"/>
      <c r="O934" s="52"/>
      <c r="P934" s="52"/>
      <c r="Q934" s="52"/>
      <c r="U934" s="52"/>
    </row>
    <row r="935">
      <c r="M935" s="52"/>
      <c r="N935" s="52"/>
      <c r="O935" s="52"/>
      <c r="P935" s="52"/>
      <c r="Q935" s="52"/>
      <c r="U935" s="52"/>
    </row>
    <row r="936">
      <c r="M936" s="52"/>
      <c r="N936" s="52"/>
      <c r="O936" s="52"/>
      <c r="P936" s="52"/>
      <c r="Q936" s="52"/>
      <c r="U936" s="52"/>
    </row>
    <row r="937">
      <c r="M937" s="52"/>
      <c r="N937" s="52"/>
      <c r="O937" s="52"/>
      <c r="P937" s="52"/>
      <c r="Q937" s="52"/>
      <c r="U937" s="52"/>
    </row>
    <row r="938">
      <c r="M938" s="52"/>
      <c r="N938" s="52"/>
      <c r="O938" s="52"/>
      <c r="P938" s="52"/>
      <c r="Q938" s="52"/>
      <c r="U938" s="52"/>
    </row>
    <row r="939">
      <c r="M939" s="52"/>
      <c r="N939" s="52"/>
      <c r="O939" s="52"/>
      <c r="P939" s="52"/>
      <c r="Q939" s="52"/>
      <c r="U939" s="52"/>
    </row>
    <row r="940">
      <c r="M940" s="52"/>
      <c r="N940" s="52"/>
      <c r="O940" s="52"/>
      <c r="P940" s="52"/>
      <c r="Q940" s="52"/>
      <c r="U940" s="52"/>
    </row>
    <row r="941">
      <c r="M941" s="52"/>
      <c r="N941" s="52"/>
      <c r="O941" s="52"/>
      <c r="P941" s="52"/>
      <c r="Q941" s="52"/>
      <c r="U941" s="52"/>
    </row>
    <row r="942">
      <c r="M942" s="52"/>
      <c r="N942" s="52"/>
      <c r="O942" s="52"/>
      <c r="P942" s="52"/>
      <c r="Q942" s="52"/>
      <c r="U942" s="52"/>
    </row>
    <row r="943">
      <c r="M943" s="52"/>
      <c r="N943" s="52"/>
      <c r="O943" s="52"/>
      <c r="P943" s="52"/>
      <c r="Q943" s="52"/>
      <c r="U943" s="52"/>
    </row>
    <row r="944">
      <c r="M944" s="52"/>
      <c r="N944" s="52"/>
      <c r="O944" s="52"/>
      <c r="P944" s="52"/>
      <c r="Q944" s="52"/>
      <c r="U944" s="52"/>
    </row>
    <row r="945">
      <c r="M945" s="52"/>
      <c r="N945" s="52"/>
      <c r="O945" s="52"/>
      <c r="P945" s="52"/>
      <c r="Q945" s="52"/>
      <c r="U945" s="52"/>
    </row>
    <row r="946">
      <c r="M946" s="52"/>
      <c r="N946" s="52"/>
      <c r="O946" s="52"/>
      <c r="P946" s="52"/>
      <c r="Q946" s="52"/>
      <c r="U946" s="52"/>
    </row>
    <row r="947">
      <c r="M947" s="52"/>
      <c r="N947" s="52"/>
      <c r="O947" s="52"/>
      <c r="P947" s="52"/>
      <c r="Q947" s="52"/>
      <c r="U947" s="52"/>
    </row>
    <row r="948">
      <c r="M948" s="52"/>
      <c r="N948" s="52"/>
      <c r="O948" s="52"/>
      <c r="P948" s="52"/>
      <c r="Q948" s="52"/>
      <c r="U948" s="52"/>
    </row>
    <row r="949">
      <c r="M949" s="52"/>
      <c r="N949" s="52"/>
      <c r="O949" s="52"/>
      <c r="P949" s="52"/>
      <c r="Q949" s="52"/>
      <c r="U949" s="52"/>
    </row>
    <row r="950">
      <c r="M950" s="52"/>
      <c r="N950" s="52"/>
      <c r="O950" s="52"/>
      <c r="P950" s="52"/>
      <c r="Q950" s="52"/>
      <c r="U950" s="52"/>
    </row>
    <row r="951">
      <c r="M951" s="52"/>
      <c r="N951" s="52"/>
      <c r="O951" s="52"/>
      <c r="P951" s="52"/>
      <c r="Q951" s="52"/>
      <c r="U951" s="52"/>
    </row>
    <row r="952">
      <c r="M952" s="52"/>
      <c r="N952" s="52"/>
      <c r="O952" s="52"/>
      <c r="P952" s="52"/>
      <c r="Q952" s="52"/>
      <c r="U952" s="52"/>
    </row>
    <row r="953">
      <c r="M953" s="52"/>
      <c r="N953" s="52"/>
      <c r="O953" s="52"/>
      <c r="P953" s="52"/>
      <c r="Q953" s="52"/>
      <c r="U953" s="52"/>
    </row>
    <row r="954">
      <c r="M954" s="52"/>
      <c r="N954" s="52"/>
      <c r="O954" s="52"/>
      <c r="P954" s="52"/>
      <c r="Q954" s="52"/>
      <c r="U954" s="52"/>
    </row>
    <row r="955">
      <c r="M955" s="52"/>
      <c r="N955" s="52"/>
      <c r="O955" s="52"/>
      <c r="P955" s="52"/>
      <c r="Q955" s="52"/>
      <c r="U955" s="52"/>
    </row>
    <row r="956">
      <c r="M956" s="52"/>
      <c r="N956" s="52"/>
      <c r="O956" s="52"/>
      <c r="P956" s="52"/>
      <c r="Q956" s="52"/>
      <c r="U956" s="52"/>
    </row>
    <row r="957">
      <c r="M957" s="52"/>
      <c r="N957" s="52"/>
      <c r="O957" s="52"/>
      <c r="P957" s="52"/>
      <c r="Q957" s="52"/>
      <c r="U957" s="52"/>
    </row>
    <row r="958">
      <c r="M958" s="52"/>
      <c r="N958" s="52"/>
      <c r="O958" s="52"/>
      <c r="P958" s="52"/>
      <c r="Q958" s="52"/>
      <c r="U958" s="52"/>
    </row>
    <row r="959">
      <c r="M959" s="52"/>
      <c r="N959" s="52"/>
      <c r="O959" s="52"/>
      <c r="P959" s="52"/>
      <c r="Q959" s="52"/>
      <c r="U959" s="52"/>
    </row>
    <row r="960">
      <c r="M960" s="52"/>
      <c r="N960" s="52"/>
      <c r="O960" s="52"/>
      <c r="P960" s="52"/>
      <c r="Q960" s="52"/>
      <c r="U960" s="52"/>
    </row>
    <row r="961">
      <c r="M961" s="52"/>
      <c r="N961" s="52"/>
      <c r="O961" s="52"/>
      <c r="P961" s="52"/>
      <c r="Q961" s="52"/>
      <c r="U961" s="52"/>
    </row>
    <row r="962">
      <c r="M962" s="52"/>
      <c r="N962" s="52"/>
      <c r="O962" s="52"/>
      <c r="P962" s="52"/>
      <c r="Q962" s="52"/>
      <c r="U962" s="52"/>
    </row>
    <row r="963">
      <c r="M963" s="52"/>
      <c r="N963" s="52"/>
      <c r="O963" s="52"/>
      <c r="P963" s="52"/>
      <c r="Q963" s="52"/>
      <c r="U963" s="52"/>
    </row>
    <row r="964">
      <c r="M964" s="52"/>
      <c r="N964" s="52"/>
      <c r="O964" s="52"/>
      <c r="P964" s="52"/>
      <c r="Q964" s="52"/>
      <c r="U964" s="52"/>
    </row>
    <row r="965">
      <c r="M965" s="52"/>
      <c r="N965" s="52"/>
      <c r="O965" s="52"/>
      <c r="P965" s="52"/>
      <c r="Q965" s="52"/>
      <c r="U965" s="52"/>
    </row>
    <row r="966">
      <c r="M966" s="52"/>
      <c r="N966" s="52"/>
      <c r="O966" s="52"/>
      <c r="P966" s="52"/>
      <c r="Q966" s="52"/>
      <c r="U966" s="52"/>
    </row>
    <row r="967">
      <c r="M967" s="52"/>
      <c r="N967" s="52"/>
      <c r="O967" s="52"/>
      <c r="P967" s="52"/>
      <c r="Q967" s="52"/>
      <c r="U967" s="52"/>
    </row>
    <row r="968">
      <c r="M968" s="52"/>
      <c r="N968" s="52"/>
      <c r="O968" s="52"/>
      <c r="P968" s="52"/>
      <c r="Q968" s="52"/>
      <c r="U968" s="52"/>
    </row>
    <row r="969">
      <c r="M969" s="52"/>
      <c r="N969" s="52"/>
      <c r="O969" s="52"/>
      <c r="P969" s="52"/>
      <c r="Q969" s="52"/>
      <c r="U969" s="52"/>
    </row>
    <row r="970">
      <c r="M970" s="52"/>
      <c r="N970" s="52"/>
      <c r="O970" s="52"/>
      <c r="P970" s="52"/>
      <c r="Q970" s="52"/>
      <c r="U970" s="52"/>
    </row>
    <row r="971">
      <c r="M971" s="52"/>
      <c r="N971" s="52"/>
      <c r="O971" s="52"/>
      <c r="P971" s="52"/>
      <c r="Q971" s="52"/>
      <c r="U971" s="52"/>
    </row>
    <row r="972">
      <c r="M972" s="52"/>
      <c r="N972" s="52"/>
      <c r="O972" s="52"/>
      <c r="P972" s="52"/>
      <c r="Q972" s="52"/>
      <c r="U972" s="52"/>
    </row>
    <row r="973">
      <c r="M973" s="52"/>
      <c r="N973" s="52"/>
      <c r="O973" s="52"/>
      <c r="P973" s="52"/>
      <c r="Q973" s="52"/>
      <c r="U973" s="52"/>
    </row>
    <row r="974">
      <c r="M974" s="52"/>
      <c r="N974" s="52"/>
      <c r="O974" s="52"/>
      <c r="P974" s="52"/>
      <c r="Q974" s="52"/>
      <c r="U974" s="52"/>
    </row>
    <row r="975">
      <c r="M975" s="52"/>
      <c r="N975" s="52"/>
      <c r="O975" s="52"/>
      <c r="P975" s="52"/>
      <c r="Q975" s="52"/>
      <c r="U975" s="52"/>
    </row>
    <row r="976">
      <c r="M976" s="52"/>
      <c r="N976" s="52"/>
      <c r="O976" s="52"/>
      <c r="P976" s="52"/>
      <c r="Q976" s="52"/>
      <c r="U976" s="52"/>
    </row>
    <row r="977">
      <c r="M977" s="52"/>
      <c r="N977" s="52"/>
      <c r="O977" s="52"/>
      <c r="P977" s="52"/>
      <c r="Q977" s="52"/>
      <c r="U977" s="52"/>
    </row>
    <row r="978">
      <c r="M978" s="52"/>
      <c r="N978" s="52"/>
      <c r="O978" s="52"/>
      <c r="P978" s="52"/>
      <c r="Q978" s="52"/>
      <c r="U978" s="52"/>
    </row>
    <row r="979">
      <c r="M979" s="52"/>
      <c r="N979" s="52"/>
      <c r="O979" s="52"/>
      <c r="P979" s="52"/>
      <c r="Q979" s="52"/>
      <c r="U979" s="52"/>
    </row>
    <row r="980">
      <c r="M980" s="52"/>
      <c r="N980" s="52"/>
      <c r="O980" s="52"/>
      <c r="P980" s="52"/>
      <c r="Q980" s="52"/>
      <c r="U980" s="52"/>
    </row>
    <row r="981">
      <c r="M981" s="52"/>
      <c r="N981" s="52"/>
      <c r="O981" s="52"/>
      <c r="P981" s="52"/>
      <c r="Q981" s="52"/>
      <c r="U981" s="52"/>
    </row>
    <row r="982">
      <c r="M982" s="52"/>
      <c r="N982" s="52"/>
      <c r="O982" s="52"/>
      <c r="P982" s="52"/>
      <c r="Q982" s="52"/>
      <c r="U982" s="52"/>
    </row>
    <row r="983">
      <c r="M983" s="52"/>
      <c r="N983" s="52"/>
      <c r="O983" s="52"/>
      <c r="P983" s="52"/>
      <c r="Q983" s="52"/>
      <c r="U983" s="52"/>
    </row>
    <row r="984">
      <c r="M984" s="52"/>
      <c r="N984" s="52"/>
      <c r="O984" s="52"/>
      <c r="P984" s="52"/>
      <c r="Q984" s="52"/>
      <c r="U984" s="52"/>
    </row>
    <row r="985">
      <c r="M985" s="52"/>
      <c r="N985" s="52"/>
      <c r="O985" s="52"/>
      <c r="P985" s="52"/>
      <c r="Q985" s="52"/>
      <c r="U985" s="52"/>
    </row>
    <row r="986">
      <c r="M986" s="52"/>
      <c r="N986" s="52"/>
      <c r="O986" s="52"/>
      <c r="P986" s="52"/>
      <c r="Q986" s="52"/>
      <c r="U986" s="52"/>
    </row>
    <row r="987">
      <c r="M987" s="52"/>
      <c r="N987" s="52"/>
      <c r="O987" s="52"/>
      <c r="P987" s="52"/>
      <c r="Q987" s="52"/>
      <c r="U987" s="52"/>
    </row>
    <row r="988">
      <c r="M988" s="52"/>
      <c r="N988" s="52"/>
      <c r="O988" s="52"/>
      <c r="P988" s="52"/>
      <c r="Q988" s="52"/>
      <c r="U988" s="52"/>
    </row>
    <row r="989">
      <c r="M989" s="52"/>
      <c r="N989" s="52"/>
      <c r="O989" s="52"/>
      <c r="P989" s="52"/>
      <c r="Q989" s="52"/>
      <c r="U989" s="52"/>
    </row>
    <row r="990">
      <c r="M990" s="52"/>
      <c r="N990" s="52"/>
      <c r="O990" s="52"/>
      <c r="P990" s="52"/>
      <c r="Q990" s="52"/>
      <c r="U990" s="52"/>
    </row>
    <row r="991">
      <c r="M991" s="52"/>
      <c r="N991" s="52"/>
      <c r="O991" s="52"/>
      <c r="P991" s="52"/>
      <c r="Q991" s="52"/>
      <c r="U991" s="52"/>
    </row>
    <row r="992">
      <c r="M992" s="52"/>
      <c r="N992" s="52"/>
      <c r="O992" s="52"/>
      <c r="P992" s="52"/>
      <c r="Q992" s="52"/>
      <c r="U992" s="52"/>
    </row>
    <row r="993">
      <c r="M993" s="52"/>
      <c r="N993" s="52"/>
      <c r="O993" s="52"/>
      <c r="P993" s="52"/>
      <c r="Q993" s="52"/>
      <c r="U993" s="52"/>
    </row>
    <row r="994">
      <c r="M994" s="52"/>
      <c r="N994" s="52"/>
      <c r="O994" s="52"/>
      <c r="P994" s="52"/>
      <c r="Q994" s="52"/>
      <c r="U994" s="52"/>
    </row>
    <row r="995">
      <c r="M995" s="52"/>
      <c r="N995" s="52"/>
      <c r="O995" s="52"/>
      <c r="P995" s="52"/>
      <c r="Q995" s="52"/>
      <c r="U995" s="52"/>
    </row>
    <row r="996">
      <c r="M996" s="52"/>
      <c r="N996" s="52"/>
      <c r="O996" s="52"/>
      <c r="P996" s="52"/>
      <c r="Q996" s="52"/>
      <c r="U996" s="52"/>
    </row>
    <row r="997">
      <c r="M997" s="52"/>
      <c r="N997" s="52"/>
      <c r="O997" s="52"/>
      <c r="P997" s="52"/>
      <c r="Q997" s="52"/>
      <c r="U997" s="52"/>
    </row>
    <row r="998">
      <c r="M998" s="52"/>
      <c r="N998" s="52"/>
      <c r="O998" s="52"/>
      <c r="P998" s="52"/>
      <c r="Q998" s="52"/>
      <c r="U998" s="52"/>
    </row>
    <row r="999">
      <c r="M999" s="52"/>
      <c r="N999" s="52"/>
      <c r="O999" s="52"/>
      <c r="P999" s="52"/>
      <c r="Q999" s="52"/>
      <c r="U999" s="52"/>
    </row>
    <row r="1000">
      <c r="M1000" s="52"/>
      <c r="N1000" s="52"/>
      <c r="O1000" s="52"/>
      <c r="P1000" s="52"/>
      <c r="Q1000" s="52"/>
      <c r="U1000" s="52"/>
    </row>
  </sheetData>
  <mergeCells count="7">
    <mergeCell ref="A1:A2"/>
    <mergeCell ref="B1:B2"/>
    <mergeCell ref="C1:G1"/>
    <mergeCell ref="H1:I1"/>
    <mergeCell ref="J1:J2"/>
    <mergeCell ref="K1:O1"/>
    <mergeCell ref="P1:U1"/>
  </mergeCells>
  <conditionalFormatting sqref="N3:N9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G3:G9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3:H9">
    <cfRule type="colorScale" priority="3">
      <colorScale>
        <cfvo type="formula" val="0"/>
        <cfvo type="max"/>
        <color rgb="FFFFFFFF"/>
        <color rgb="FF57BB8A"/>
      </colorScale>
    </cfRule>
  </conditionalFormatting>
  <conditionalFormatting sqref="I3:I9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J3:J9">
    <cfRule type="colorScale" priority="5">
      <colorScale>
        <cfvo type="formula" val="0"/>
        <cfvo type="max"/>
        <color rgb="FFFFFFFF"/>
        <color rgb="FF57BB8A"/>
      </colorScale>
    </cfRule>
  </conditionalFormatting>
  <conditionalFormatting sqref="K3:K9">
    <cfRule type="colorScale" priority="6">
      <colorScale>
        <cfvo type="formula" val="0"/>
        <cfvo type="max"/>
        <color rgb="FFFFFFFF"/>
        <color rgb="FF57BB8A"/>
      </colorScale>
    </cfRule>
  </conditionalFormatting>
  <conditionalFormatting sqref="L3:L9">
    <cfRule type="colorScale" priority="7">
      <colorScale>
        <cfvo type="formula" val="0"/>
        <cfvo type="max"/>
        <color rgb="FFFFFFFF"/>
        <color rgb="FFE67C73"/>
      </colorScale>
    </cfRule>
  </conditionalFormatting>
  <conditionalFormatting sqref="C3:C9">
    <cfRule type="colorScale" priority="8">
      <colorScale>
        <cfvo type="formula" val="0"/>
        <cfvo type="max"/>
        <color rgb="FFFFFFFF"/>
        <color rgb="FFFFD666"/>
      </colorScale>
    </cfRule>
  </conditionalFormatting>
  <conditionalFormatting sqref="D3:D9">
    <cfRule type="colorScale" priority="9">
      <colorScale>
        <cfvo type="formula" val="0"/>
        <cfvo type="max"/>
        <color rgb="FFFFFFFF"/>
        <color rgb="FF57BB8A"/>
      </colorScale>
    </cfRule>
  </conditionalFormatting>
  <conditionalFormatting sqref="E3:E9">
    <cfRule type="colorScale" priority="10">
      <colorScale>
        <cfvo type="formula" val="0"/>
        <cfvo type="max"/>
        <color rgb="FFFFFFFF"/>
        <color rgb="FFE67C73"/>
      </colorScale>
    </cfRule>
  </conditionalFormatting>
  <conditionalFormatting sqref="F3:F9">
    <cfRule type="colorScale" priority="11">
      <colorScale>
        <cfvo type="formula" val="0"/>
        <cfvo type="max"/>
        <color rgb="FFFFFFFF"/>
        <color rgb="FF57BB8A"/>
      </colorScale>
    </cfRule>
  </conditionalFormatting>
  <conditionalFormatting sqref="M3:M9">
    <cfRule type="colorScale" priority="12">
      <colorScale>
        <cfvo type="formula" val="0"/>
        <cfvo type="max"/>
        <color rgb="FFFFFFFF"/>
        <color rgb="FFFFD666"/>
      </colorScale>
    </cfRule>
  </conditionalFormatting>
  <conditionalFormatting sqref="O3:O9">
    <cfRule type="colorScale" priority="13">
      <colorScale>
        <cfvo type="formula" val="0"/>
        <cfvo type="formula" val="1"/>
        <color rgb="FFFFFFFF"/>
        <color rgb="FF57BB8A"/>
      </colorScale>
    </cfRule>
  </conditionalFormatting>
  <conditionalFormatting sqref="P3:P9">
    <cfRule type="colorScale" priority="14">
      <colorScale>
        <cfvo type="formula" val="0"/>
        <cfvo type="max"/>
        <color rgb="FFFFFFFF"/>
        <color rgb="FFFFD666"/>
      </colorScale>
    </cfRule>
  </conditionalFormatting>
  <conditionalFormatting sqref="U3:U9">
    <cfRule type="colorScale" priority="15">
      <colorScale>
        <cfvo type="formula" val="0"/>
        <cfvo type="formula" val="2"/>
        <cfvo type="formula" val="3"/>
        <color rgb="FFE67C73"/>
        <color rgb="FFFFFFFF"/>
        <color rgb="FF57BB8A"/>
      </colorScale>
    </cfRule>
  </conditionalFormatting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7.63"/>
    <col customWidth="1" min="4" max="4" width="5.63"/>
    <col customWidth="1" min="5" max="5" width="6.88"/>
    <col customWidth="1" min="6" max="6" width="8.38"/>
    <col customWidth="1" min="7" max="7" width="15.5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1" t="s">
        <v>4</v>
      </c>
      <c r="K1" s="6" t="s">
        <v>5</v>
      </c>
      <c r="L1" s="4"/>
      <c r="M1" s="4"/>
      <c r="N1" s="4"/>
      <c r="O1" s="5"/>
      <c r="P1" s="30" t="s">
        <v>6</v>
      </c>
      <c r="Q1" s="4"/>
      <c r="R1" s="4"/>
      <c r="S1" s="4"/>
      <c r="T1" s="4"/>
      <c r="U1" s="5"/>
    </row>
    <row r="2">
      <c r="A2" s="9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2" t="s">
        <v>13</v>
      </c>
      <c r="I2" s="12" t="s">
        <v>14</v>
      </c>
      <c r="J2" s="9"/>
      <c r="K2" s="10" t="s">
        <v>15</v>
      </c>
      <c r="L2" s="12" t="s">
        <v>10</v>
      </c>
      <c r="M2" s="10" t="s">
        <v>16</v>
      </c>
      <c r="N2" s="10" t="s">
        <v>12</v>
      </c>
      <c r="O2" s="10" t="s">
        <v>18</v>
      </c>
      <c r="P2" s="15" t="s">
        <v>8</v>
      </c>
      <c r="Q2" s="15">
        <v>0.0</v>
      </c>
      <c r="R2" s="15">
        <v>1.0</v>
      </c>
      <c r="S2" s="15">
        <v>2.0</v>
      </c>
      <c r="T2" s="15">
        <v>3.0</v>
      </c>
      <c r="U2" s="15" t="s">
        <v>19</v>
      </c>
    </row>
    <row r="3">
      <c r="A3" s="18" t="s">
        <v>21</v>
      </c>
      <c r="B3" s="18" t="s">
        <v>41</v>
      </c>
      <c r="C3" s="10">
        <v>1.0</v>
      </c>
      <c r="D3" s="10"/>
      <c r="E3" s="10"/>
      <c r="F3" s="10">
        <v>1.0</v>
      </c>
      <c r="G3" s="35">
        <f t="shared" ref="G3:G9" si="1">IFS(C3=0, "N/A", C3&lt;&gt;0,(D3-E3)/C3 )</f>
        <v>0</v>
      </c>
      <c r="H3" s="35"/>
      <c r="I3" s="10"/>
      <c r="J3" s="10">
        <v>1.0</v>
      </c>
      <c r="K3" s="35"/>
      <c r="L3" s="10"/>
      <c r="M3" s="10">
        <v>4.0</v>
      </c>
      <c r="N3" s="35">
        <f t="shared" ref="N3:N9" si="2">ifs(M3=0,"N/A",M3&lt;&gt;0,(M3-L3) /M3)</f>
        <v>1</v>
      </c>
      <c r="O3" s="35">
        <f t="shared" ref="O3:O9" si="3">IFS(M3=0, "N/A", M3&lt;&gt;0, K3/M3)</f>
        <v>0</v>
      </c>
      <c r="P3" s="10">
        <v>2.0</v>
      </c>
      <c r="Q3" s="10">
        <v>1.0</v>
      </c>
      <c r="R3" s="10"/>
      <c r="S3" s="10"/>
      <c r="T3" s="10">
        <v>1.0</v>
      </c>
      <c r="U3" s="10">
        <f t="shared" ref="U3:U9" si="4">ifs(P3=0, "N/A",P3&lt;&gt;0,(R3 + S3*2 +T3*3)/P3)</f>
        <v>1.5</v>
      </c>
    </row>
    <row r="4">
      <c r="A4" s="21" t="s">
        <v>24</v>
      </c>
      <c r="B4" s="21" t="s">
        <v>84</v>
      </c>
      <c r="C4" s="10">
        <v>3.0</v>
      </c>
      <c r="D4" s="10">
        <v>3.0</v>
      </c>
      <c r="E4" s="10"/>
      <c r="F4" s="35"/>
      <c r="G4" s="35">
        <f t="shared" si="1"/>
        <v>1</v>
      </c>
      <c r="H4" s="10"/>
      <c r="I4" s="10">
        <v>1.0</v>
      </c>
      <c r="J4" s="10">
        <v>4.0</v>
      </c>
      <c r="K4" s="35"/>
      <c r="L4" s="10"/>
      <c r="M4" s="10">
        <v>3.0</v>
      </c>
      <c r="N4" s="35">
        <f t="shared" si="2"/>
        <v>1</v>
      </c>
      <c r="O4" s="35">
        <f t="shared" si="3"/>
        <v>0</v>
      </c>
      <c r="P4" s="10">
        <v>3.0</v>
      </c>
      <c r="Q4" s="10">
        <v>1.0</v>
      </c>
      <c r="R4" s="10">
        <v>2.0</v>
      </c>
      <c r="S4" s="35"/>
      <c r="T4" s="35"/>
      <c r="U4" s="10">
        <f t="shared" si="4"/>
        <v>0.6666666667</v>
      </c>
    </row>
    <row r="5">
      <c r="A5" s="22" t="s">
        <v>26</v>
      </c>
      <c r="B5" s="22" t="s">
        <v>42</v>
      </c>
      <c r="C5" s="10"/>
      <c r="D5" s="10"/>
      <c r="E5" s="10"/>
      <c r="F5" s="10">
        <v>9.0</v>
      </c>
      <c r="G5" s="35" t="str">
        <f t="shared" si="1"/>
        <v>N/A</v>
      </c>
      <c r="H5" s="10"/>
      <c r="I5" s="10">
        <v>1.0</v>
      </c>
      <c r="J5" s="10">
        <v>3.0</v>
      </c>
      <c r="K5" s="10"/>
      <c r="L5" s="35"/>
      <c r="M5" s="10">
        <v>4.0</v>
      </c>
      <c r="N5" s="35">
        <f t="shared" si="2"/>
        <v>1</v>
      </c>
      <c r="O5" s="35">
        <f t="shared" si="3"/>
        <v>0</v>
      </c>
      <c r="P5" s="10">
        <f>sum(Q5,R5,S5,T5)</f>
        <v>0</v>
      </c>
      <c r="Q5" s="35"/>
      <c r="R5" s="35"/>
      <c r="S5" s="35"/>
      <c r="T5" s="10"/>
      <c r="U5" s="10" t="str">
        <f t="shared" si="4"/>
        <v>N/A</v>
      </c>
    </row>
    <row r="6">
      <c r="A6" s="23" t="s">
        <v>28</v>
      </c>
      <c r="B6" s="23" t="s">
        <v>43</v>
      </c>
      <c r="C6" s="10">
        <v>5.0</v>
      </c>
      <c r="D6" s="10">
        <v>2.0</v>
      </c>
      <c r="E6" s="10"/>
      <c r="F6" s="35"/>
      <c r="G6" s="35">
        <f t="shared" si="1"/>
        <v>0.4</v>
      </c>
      <c r="H6" s="35"/>
      <c r="I6" s="35"/>
      <c r="J6" s="10">
        <v>3.0</v>
      </c>
      <c r="K6" s="10">
        <v>1.0</v>
      </c>
      <c r="L6" s="10"/>
      <c r="M6" s="10">
        <v>2.0</v>
      </c>
      <c r="N6" s="35">
        <f t="shared" si="2"/>
        <v>1</v>
      </c>
      <c r="O6" s="35">
        <f t="shared" si="3"/>
        <v>0.5</v>
      </c>
      <c r="P6" s="10">
        <v>4.0</v>
      </c>
      <c r="Q6" s="10"/>
      <c r="R6" s="10"/>
      <c r="S6" s="10">
        <v>2.0</v>
      </c>
      <c r="T6" s="10">
        <v>2.0</v>
      </c>
      <c r="U6" s="10">
        <f t="shared" si="4"/>
        <v>2.5</v>
      </c>
    </row>
    <row r="7">
      <c r="A7" s="24" t="s">
        <v>30</v>
      </c>
      <c r="B7" s="24" t="s">
        <v>85</v>
      </c>
      <c r="C7" s="10">
        <v>6.0</v>
      </c>
      <c r="D7" s="10">
        <v>3.0</v>
      </c>
      <c r="E7" s="10">
        <v>1.0</v>
      </c>
      <c r="F7" s="35"/>
      <c r="G7" s="35">
        <f t="shared" si="1"/>
        <v>0.3333333333</v>
      </c>
      <c r="H7" s="35"/>
      <c r="I7" s="35"/>
      <c r="J7" s="10">
        <v>3.0</v>
      </c>
      <c r="K7" s="35"/>
      <c r="L7" s="10">
        <v>1.0</v>
      </c>
      <c r="M7" s="10">
        <v>4.0</v>
      </c>
      <c r="N7" s="35">
        <f t="shared" si="2"/>
        <v>0.75</v>
      </c>
      <c r="O7" s="35">
        <f t="shared" si="3"/>
        <v>0</v>
      </c>
      <c r="P7" s="10">
        <v>4.0</v>
      </c>
      <c r="Q7" s="10">
        <v>1.0</v>
      </c>
      <c r="R7" s="10">
        <v>1.0</v>
      </c>
      <c r="S7" s="10"/>
      <c r="T7" s="10">
        <v>2.0</v>
      </c>
      <c r="U7" s="10">
        <f t="shared" si="4"/>
        <v>1.75</v>
      </c>
    </row>
    <row r="8">
      <c r="A8" s="25" t="s">
        <v>32</v>
      </c>
      <c r="B8" s="25" t="s">
        <v>45</v>
      </c>
      <c r="C8" s="10">
        <v>5.0</v>
      </c>
      <c r="D8" s="10">
        <v>3.0</v>
      </c>
      <c r="E8" s="10">
        <v>1.0</v>
      </c>
      <c r="F8" s="35"/>
      <c r="G8" s="35">
        <f t="shared" si="1"/>
        <v>0.4</v>
      </c>
      <c r="H8" s="35"/>
      <c r="I8" s="10"/>
      <c r="J8" s="10">
        <v>2.0</v>
      </c>
      <c r="K8" s="35"/>
      <c r="L8" s="35"/>
      <c r="M8" s="10">
        <v>5.0</v>
      </c>
      <c r="N8" s="35">
        <f t="shared" si="2"/>
        <v>1</v>
      </c>
      <c r="O8" s="35">
        <f t="shared" si="3"/>
        <v>0</v>
      </c>
      <c r="P8" s="10">
        <v>1.0</v>
      </c>
      <c r="Q8" s="10">
        <v>1.0</v>
      </c>
      <c r="R8" s="10"/>
      <c r="S8" s="35"/>
      <c r="T8" s="35"/>
      <c r="U8" s="10">
        <f t="shared" si="4"/>
        <v>0</v>
      </c>
    </row>
    <row r="9">
      <c r="A9" s="26" t="s">
        <v>34</v>
      </c>
      <c r="B9" s="26" t="s">
        <v>22</v>
      </c>
      <c r="C9" s="10"/>
      <c r="D9" s="10"/>
      <c r="E9" s="10"/>
      <c r="F9" s="35"/>
      <c r="G9" s="35" t="str">
        <f t="shared" si="1"/>
        <v>N/A</v>
      </c>
      <c r="H9" s="35"/>
      <c r="I9" s="35"/>
      <c r="J9" s="10"/>
      <c r="K9" s="35"/>
      <c r="L9" s="10"/>
      <c r="M9" s="35"/>
      <c r="N9" s="35" t="str">
        <f t="shared" si="2"/>
        <v>N/A</v>
      </c>
      <c r="O9" s="35" t="str">
        <f t="shared" si="3"/>
        <v>N/A</v>
      </c>
      <c r="P9" s="10">
        <f>sum(Q9,R9,S9,T9)</f>
        <v>0</v>
      </c>
      <c r="Q9" s="35"/>
      <c r="R9" s="10"/>
      <c r="S9" s="10"/>
      <c r="T9" s="35"/>
      <c r="U9" s="10" t="str">
        <f t="shared" si="4"/>
        <v>N/A</v>
      </c>
    </row>
    <row r="10">
      <c r="M10" s="52"/>
      <c r="N10" s="52"/>
      <c r="O10" s="52"/>
      <c r="P10" s="52"/>
      <c r="Q10" s="52"/>
      <c r="U10" s="52"/>
    </row>
    <row r="11">
      <c r="M11" s="52"/>
      <c r="N11" s="52"/>
      <c r="O11" s="52"/>
      <c r="P11" s="52"/>
      <c r="Q11" s="52"/>
      <c r="U11" s="52"/>
    </row>
    <row r="12">
      <c r="M12" s="52"/>
      <c r="N12" s="52"/>
      <c r="O12" s="52"/>
      <c r="P12" s="52"/>
      <c r="Q12" s="52"/>
      <c r="U12" s="52"/>
    </row>
    <row r="13">
      <c r="M13" s="52"/>
      <c r="N13" s="52"/>
      <c r="O13" s="52"/>
      <c r="P13" s="52"/>
      <c r="Q13" s="52"/>
      <c r="U13" s="52"/>
    </row>
    <row r="14">
      <c r="M14" s="52"/>
      <c r="N14" s="52"/>
      <c r="O14" s="52"/>
      <c r="P14" s="52"/>
      <c r="Q14" s="52"/>
      <c r="U14" s="52"/>
    </row>
    <row r="15">
      <c r="M15" s="52"/>
      <c r="N15" s="52"/>
      <c r="O15" s="52"/>
      <c r="P15" s="52"/>
      <c r="Q15" s="52"/>
      <c r="U15" s="52"/>
    </row>
    <row r="16">
      <c r="M16" s="52"/>
      <c r="N16" s="52"/>
      <c r="O16" s="52"/>
      <c r="P16" s="52"/>
      <c r="Q16" s="52"/>
      <c r="U16" s="52"/>
    </row>
    <row r="17">
      <c r="M17" s="52"/>
      <c r="N17" s="52"/>
      <c r="O17" s="52"/>
      <c r="P17" s="52"/>
      <c r="Q17" s="52"/>
      <c r="U17" s="52"/>
    </row>
    <row r="18">
      <c r="M18" s="52"/>
      <c r="N18" s="52"/>
      <c r="O18" s="52"/>
      <c r="P18" s="52"/>
      <c r="Q18" s="52"/>
      <c r="U18" s="52"/>
    </row>
    <row r="19">
      <c r="M19" s="52"/>
      <c r="N19" s="52"/>
      <c r="O19" s="52"/>
      <c r="P19" s="52"/>
      <c r="Q19" s="52"/>
      <c r="U19" s="52"/>
    </row>
    <row r="20">
      <c r="M20" s="52"/>
      <c r="N20" s="52"/>
      <c r="O20" s="52"/>
      <c r="P20" s="52"/>
      <c r="Q20" s="52"/>
      <c r="U20" s="52"/>
    </row>
    <row r="21">
      <c r="M21" s="52"/>
      <c r="N21" s="52"/>
      <c r="O21" s="52"/>
      <c r="P21" s="52"/>
      <c r="Q21" s="52"/>
      <c r="U21" s="52"/>
    </row>
    <row r="22">
      <c r="M22" s="52"/>
      <c r="N22" s="52"/>
      <c r="O22" s="52"/>
      <c r="P22" s="52"/>
      <c r="Q22" s="52"/>
      <c r="U22" s="52"/>
    </row>
    <row r="23">
      <c r="M23" s="52"/>
      <c r="N23" s="52"/>
      <c r="O23" s="52"/>
      <c r="P23" s="52"/>
      <c r="Q23" s="52"/>
      <c r="U23" s="52"/>
    </row>
    <row r="24">
      <c r="M24" s="52"/>
      <c r="N24" s="52"/>
      <c r="O24" s="52"/>
      <c r="P24" s="52"/>
      <c r="Q24" s="52"/>
      <c r="U24" s="52"/>
    </row>
    <row r="25">
      <c r="M25" s="52"/>
      <c r="N25" s="52"/>
      <c r="O25" s="52"/>
      <c r="P25" s="52"/>
      <c r="Q25" s="52"/>
      <c r="U25" s="52"/>
    </row>
    <row r="26">
      <c r="M26" s="52"/>
      <c r="N26" s="52"/>
      <c r="O26" s="52"/>
      <c r="P26" s="52"/>
      <c r="Q26" s="52"/>
      <c r="U26" s="52"/>
    </row>
    <row r="27">
      <c r="M27" s="52"/>
      <c r="N27" s="52"/>
      <c r="O27" s="52"/>
      <c r="P27" s="52"/>
      <c r="Q27" s="52"/>
      <c r="U27" s="52"/>
    </row>
    <row r="28">
      <c r="M28" s="52"/>
      <c r="N28" s="52"/>
      <c r="O28" s="52"/>
      <c r="P28" s="52"/>
      <c r="Q28" s="52"/>
      <c r="U28" s="52"/>
    </row>
    <row r="29">
      <c r="M29" s="52"/>
      <c r="N29" s="52"/>
      <c r="O29" s="52"/>
      <c r="P29" s="52"/>
      <c r="Q29" s="52"/>
      <c r="U29" s="52"/>
    </row>
    <row r="30">
      <c r="M30" s="52"/>
      <c r="N30" s="52"/>
      <c r="O30" s="52"/>
      <c r="P30" s="52"/>
      <c r="Q30" s="52"/>
      <c r="U30" s="52"/>
    </row>
    <row r="31">
      <c r="M31" s="52"/>
      <c r="N31" s="52"/>
      <c r="O31" s="52"/>
      <c r="P31" s="52"/>
      <c r="Q31" s="52"/>
      <c r="U31" s="52"/>
    </row>
    <row r="32">
      <c r="M32" s="52"/>
      <c r="N32" s="52"/>
      <c r="O32" s="52"/>
      <c r="P32" s="52"/>
      <c r="Q32" s="52"/>
      <c r="U32" s="52"/>
    </row>
    <row r="33">
      <c r="M33" s="52"/>
      <c r="N33" s="52"/>
      <c r="O33" s="52"/>
      <c r="P33" s="52"/>
      <c r="Q33" s="52"/>
      <c r="U33" s="52"/>
    </row>
    <row r="34">
      <c r="M34" s="52"/>
      <c r="N34" s="52"/>
      <c r="O34" s="52"/>
      <c r="P34" s="52"/>
      <c r="Q34" s="52"/>
      <c r="U34" s="52"/>
    </row>
    <row r="35">
      <c r="M35" s="52"/>
      <c r="N35" s="52"/>
      <c r="O35" s="52"/>
      <c r="P35" s="52"/>
      <c r="Q35" s="52"/>
      <c r="U35" s="52"/>
    </row>
    <row r="36">
      <c r="M36" s="52"/>
      <c r="N36" s="52"/>
      <c r="O36" s="52"/>
      <c r="P36" s="52"/>
      <c r="Q36" s="52"/>
      <c r="U36" s="52"/>
    </row>
    <row r="37">
      <c r="M37" s="52"/>
      <c r="N37" s="52"/>
      <c r="O37" s="52"/>
      <c r="P37" s="52"/>
      <c r="Q37" s="52"/>
      <c r="U37" s="52"/>
    </row>
    <row r="38">
      <c r="M38" s="52"/>
      <c r="N38" s="52"/>
      <c r="O38" s="52"/>
      <c r="P38" s="52"/>
      <c r="Q38" s="52"/>
      <c r="U38" s="52"/>
    </row>
    <row r="39">
      <c r="M39" s="52"/>
      <c r="N39" s="52"/>
      <c r="O39" s="52"/>
      <c r="P39" s="52"/>
      <c r="Q39" s="52"/>
      <c r="U39" s="52"/>
    </row>
    <row r="40">
      <c r="M40" s="52"/>
      <c r="N40" s="52"/>
      <c r="O40" s="52"/>
      <c r="P40" s="52"/>
      <c r="Q40" s="52"/>
      <c r="U40" s="52"/>
    </row>
    <row r="41">
      <c r="M41" s="52"/>
      <c r="N41" s="52"/>
      <c r="O41" s="52"/>
      <c r="P41" s="52"/>
      <c r="Q41" s="52"/>
      <c r="U41" s="52"/>
    </row>
    <row r="42">
      <c r="M42" s="52"/>
      <c r="N42" s="52"/>
      <c r="O42" s="52"/>
      <c r="P42" s="52"/>
      <c r="Q42" s="52"/>
      <c r="U42" s="52"/>
    </row>
    <row r="43">
      <c r="M43" s="52"/>
      <c r="N43" s="52"/>
      <c r="O43" s="52"/>
      <c r="P43" s="52"/>
      <c r="Q43" s="52"/>
      <c r="U43" s="52"/>
    </row>
    <row r="44">
      <c r="M44" s="52"/>
      <c r="N44" s="52"/>
      <c r="O44" s="52"/>
      <c r="P44" s="52"/>
      <c r="Q44" s="52"/>
      <c r="U44" s="52"/>
    </row>
    <row r="45">
      <c r="M45" s="52"/>
      <c r="N45" s="52"/>
      <c r="O45" s="52"/>
      <c r="P45" s="52"/>
      <c r="Q45" s="52"/>
      <c r="U45" s="52"/>
    </row>
    <row r="46">
      <c r="M46" s="52"/>
      <c r="N46" s="52"/>
      <c r="O46" s="52"/>
      <c r="P46" s="52"/>
      <c r="Q46" s="52"/>
      <c r="U46" s="52"/>
    </row>
    <row r="47">
      <c r="M47" s="52"/>
      <c r="N47" s="52"/>
      <c r="O47" s="52"/>
      <c r="P47" s="52"/>
      <c r="Q47" s="52"/>
      <c r="U47" s="52"/>
    </row>
    <row r="48">
      <c r="M48" s="52"/>
      <c r="N48" s="52"/>
      <c r="O48" s="52"/>
      <c r="P48" s="52"/>
      <c r="Q48" s="52"/>
      <c r="U48" s="52"/>
    </row>
    <row r="49">
      <c r="M49" s="52"/>
      <c r="N49" s="52"/>
      <c r="O49" s="52"/>
      <c r="P49" s="52"/>
      <c r="Q49" s="52"/>
      <c r="U49" s="52"/>
    </row>
    <row r="50">
      <c r="M50" s="52"/>
      <c r="N50" s="52"/>
      <c r="O50" s="52"/>
      <c r="P50" s="52"/>
      <c r="Q50" s="52"/>
      <c r="U50" s="52"/>
    </row>
    <row r="51">
      <c r="M51" s="52"/>
      <c r="N51" s="52"/>
      <c r="O51" s="52"/>
      <c r="P51" s="52"/>
      <c r="Q51" s="52"/>
      <c r="U51" s="52"/>
    </row>
    <row r="52">
      <c r="M52" s="52"/>
      <c r="N52" s="52"/>
      <c r="O52" s="52"/>
      <c r="P52" s="52"/>
      <c r="Q52" s="52"/>
      <c r="U52" s="52"/>
    </row>
    <row r="53">
      <c r="M53" s="52"/>
      <c r="N53" s="52"/>
      <c r="O53" s="52"/>
      <c r="P53" s="52"/>
      <c r="Q53" s="52"/>
      <c r="U53" s="52"/>
    </row>
    <row r="54">
      <c r="M54" s="52"/>
      <c r="N54" s="52"/>
      <c r="O54" s="52"/>
      <c r="P54" s="52"/>
      <c r="Q54" s="52"/>
      <c r="U54" s="52"/>
    </row>
    <row r="55">
      <c r="M55" s="52"/>
      <c r="N55" s="52"/>
      <c r="O55" s="52"/>
      <c r="P55" s="52"/>
      <c r="Q55" s="52"/>
      <c r="U55" s="52"/>
    </row>
    <row r="56">
      <c r="M56" s="52"/>
      <c r="N56" s="52"/>
      <c r="O56" s="52"/>
      <c r="P56" s="52"/>
      <c r="Q56" s="52"/>
      <c r="U56" s="52"/>
    </row>
    <row r="57">
      <c r="M57" s="52"/>
      <c r="N57" s="52"/>
      <c r="O57" s="52"/>
      <c r="P57" s="52"/>
      <c r="Q57" s="52"/>
      <c r="U57" s="52"/>
    </row>
    <row r="58">
      <c r="M58" s="52"/>
      <c r="N58" s="52"/>
      <c r="O58" s="52"/>
      <c r="P58" s="52"/>
      <c r="Q58" s="52"/>
      <c r="U58" s="52"/>
    </row>
    <row r="59">
      <c r="M59" s="52"/>
      <c r="N59" s="52"/>
      <c r="O59" s="52"/>
      <c r="P59" s="52"/>
      <c r="Q59" s="52"/>
      <c r="U59" s="52"/>
    </row>
    <row r="60">
      <c r="M60" s="52"/>
      <c r="N60" s="52"/>
      <c r="O60" s="52"/>
      <c r="P60" s="52"/>
      <c r="Q60" s="52"/>
      <c r="U60" s="52"/>
    </row>
    <row r="61">
      <c r="M61" s="52"/>
      <c r="N61" s="52"/>
      <c r="O61" s="52"/>
      <c r="P61" s="52"/>
      <c r="Q61" s="52"/>
      <c r="U61" s="52"/>
    </row>
    <row r="62">
      <c r="M62" s="52"/>
      <c r="N62" s="52"/>
      <c r="O62" s="52"/>
      <c r="P62" s="52"/>
      <c r="Q62" s="52"/>
      <c r="U62" s="52"/>
    </row>
    <row r="63">
      <c r="M63" s="52"/>
      <c r="N63" s="52"/>
      <c r="O63" s="52"/>
      <c r="P63" s="52"/>
      <c r="Q63" s="52"/>
      <c r="U63" s="52"/>
    </row>
    <row r="64">
      <c r="M64" s="52"/>
      <c r="N64" s="52"/>
      <c r="O64" s="52"/>
      <c r="P64" s="52"/>
      <c r="Q64" s="52"/>
      <c r="U64" s="52"/>
    </row>
    <row r="65">
      <c r="M65" s="52"/>
      <c r="N65" s="52"/>
      <c r="O65" s="52"/>
      <c r="P65" s="52"/>
      <c r="Q65" s="52"/>
      <c r="U65" s="52"/>
    </row>
    <row r="66">
      <c r="M66" s="52"/>
      <c r="N66" s="52"/>
      <c r="O66" s="52"/>
      <c r="P66" s="52"/>
      <c r="Q66" s="52"/>
      <c r="U66" s="52"/>
    </row>
    <row r="67">
      <c r="M67" s="52"/>
      <c r="N67" s="52"/>
      <c r="O67" s="52"/>
      <c r="P67" s="52"/>
      <c r="Q67" s="52"/>
      <c r="U67" s="52"/>
    </row>
    <row r="68">
      <c r="M68" s="52"/>
      <c r="N68" s="52"/>
      <c r="O68" s="52"/>
      <c r="P68" s="52"/>
      <c r="Q68" s="52"/>
      <c r="U68" s="52"/>
    </row>
    <row r="69">
      <c r="M69" s="52"/>
      <c r="N69" s="52"/>
      <c r="O69" s="52"/>
      <c r="P69" s="52"/>
      <c r="Q69" s="52"/>
      <c r="U69" s="52"/>
    </row>
    <row r="70">
      <c r="M70" s="52"/>
      <c r="N70" s="52"/>
      <c r="O70" s="52"/>
      <c r="P70" s="52"/>
      <c r="Q70" s="52"/>
      <c r="U70" s="52"/>
    </row>
    <row r="71">
      <c r="M71" s="52"/>
      <c r="N71" s="52"/>
      <c r="O71" s="52"/>
      <c r="P71" s="52"/>
      <c r="Q71" s="52"/>
      <c r="U71" s="52"/>
    </row>
    <row r="72">
      <c r="M72" s="52"/>
      <c r="N72" s="52"/>
      <c r="O72" s="52"/>
      <c r="P72" s="52"/>
      <c r="Q72" s="52"/>
      <c r="U72" s="52"/>
    </row>
    <row r="73">
      <c r="M73" s="52"/>
      <c r="N73" s="52"/>
      <c r="O73" s="52"/>
      <c r="P73" s="52"/>
      <c r="Q73" s="52"/>
      <c r="U73" s="52"/>
    </row>
    <row r="74">
      <c r="M74" s="52"/>
      <c r="N74" s="52"/>
      <c r="O74" s="52"/>
      <c r="P74" s="52"/>
      <c r="Q74" s="52"/>
      <c r="U74" s="52"/>
    </row>
    <row r="75">
      <c r="M75" s="52"/>
      <c r="N75" s="52"/>
      <c r="O75" s="52"/>
      <c r="P75" s="52"/>
      <c r="Q75" s="52"/>
      <c r="U75" s="52"/>
    </row>
    <row r="76">
      <c r="M76" s="52"/>
      <c r="N76" s="52"/>
      <c r="O76" s="52"/>
      <c r="P76" s="52"/>
      <c r="Q76" s="52"/>
      <c r="U76" s="52"/>
    </row>
    <row r="77">
      <c r="M77" s="52"/>
      <c r="N77" s="52"/>
      <c r="O77" s="52"/>
      <c r="P77" s="52"/>
      <c r="Q77" s="52"/>
      <c r="U77" s="52"/>
    </row>
    <row r="78">
      <c r="M78" s="52"/>
      <c r="N78" s="52"/>
      <c r="O78" s="52"/>
      <c r="P78" s="52"/>
      <c r="Q78" s="52"/>
      <c r="U78" s="52"/>
    </row>
    <row r="79">
      <c r="M79" s="52"/>
      <c r="N79" s="52"/>
      <c r="O79" s="52"/>
      <c r="P79" s="52"/>
      <c r="Q79" s="52"/>
      <c r="U79" s="52"/>
    </row>
    <row r="80">
      <c r="M80" s="52"/>
      <c r="N80" s="52"/>
      <c r="O80" s="52"/>
      <c r="P80" s="52"/>
      <c r="Q80" s="52"/>
      <c r="U80" s="52"/>
    </row>
    <row r="81">
      <c r="M81" s="52"/>
      <c r="N81" s="52"/>
      <c r="O81" s="52"/>
      <c r="P81" s="52"/>
      <c r="Q81" s="52"/>
      <c r="U81" s="52"/>
    </row>
    <row r="82">
      <c r="M82" s="52"/>
      <c r="N82" s="52"/>
      <c r="O82" s="52"/>
      <c r="P82" s="52"/>
      <c r="Q82" s="52"/>
      <c r="U82" s="52"/>
    </row>
    <row r="83">
      <c r="M83" s="52"/>
      <c r="N83" s="52"/>
      <c r="O83" s="52"/>
      <c r="P83" s="52"/>
      <c r="Q83" s="52"/>
      <c r="U83" s="52"/>
    </row>
    <row r="84">
      <c r="M84" s="52"/>
      <c r="N84" s="52"/>
      <c r="O84" s="52"/>
      <c r="P84" s="52"/>
      <c r="Q84" s="52"/>
      <c r="U84" s="52"/>
    </row>
    <row r="85">
      <c r="M85" s="52"/>
      <c r="N85" s="52"/>
      <c r="O85" s="52"/>
      <c r="P85" s="52"/>
      <c r="Q85" s="52"/>
      <c r="U85" s="52"/>
    </row>
    <row r="86">
      <c r="M86" s="52"/>
      <c r="N86" s="52"/>
      <c r="O86" s="52"/>
      <c r="P86" s="52"/>
      <c r="Q86" s="52"/>
      <c r="U86" s="52"/>
    </row>
    <row r="87">
      <c r="M87" s="52"/>
      <c r="N87" s="52"/>
      <c r="O87" s="52"/>
      <c r="P87" s="52"/>
      <c r="Q87" s="52"/>
      <c r="U87" s="52"/>
    </row>
    <row r="88">
      <c r="M88" s="52"/>
      <c r="N88" s="52"/>
      <c r="O88" s="52"/>
      <c r="P88" s="52"/>
      <c r="Q88" s="52"/>
      <c r="U88" s="52"/>
    </row>
    <row r="89">
      <c r="M89" s="52"/>
      <c r="N89" s="52"/>
      <c r="O89" s="52"/>
      <c r="P89" s="52"/>
      <c r="Q89" s="52"/>
      <c r="U89" s="52"/>
    </row>
    <row r="90">
      <c r="M90" s="52"/>
      <c r="N90" s="52"/>
      <c r="O90" s="52"/>
      <c r="P90" s="52"/>
      <c r="Q90" s="52"/>
      <c r="U90" s="52"/>
    </row>
    <row r="91">
      <c r="M91" s="52"/>
      <c r="N91" s="52"/>
      <c r="O91" s="52"/>
      <c r="P91" s="52"/>
      <c r="Q91" s="52"/>
      <c r="U91" s="52"/>
    </row>
    <row r="92">
      <c r="M92" s="52"/>
      <c r="N92" s="52"/>
      <c r="O92" s="52"/>
      <c r="P92" s="52"/>
      <c r="Q92" s="52"/>
      <c r="U92" s="52"/>
    </row>
    <row r="93">
      <c r="M93" s="52"/>
      <c r="N93" s="52"/>
      <c r="O93" s="52"/>
      <c r="P93" s="52"/>
      <c r="Q93" s="52"/>
      <c r="U93" s="52"/>
    </row>
    <row r="94">
      <c r="M94" s="52"/>
      <c r="N94" s="52"/>
      <c r="O94" s="52"/>
      <c r="P94" s="52"/>
      <c r="Q94" s="52"/>
      <c r="U94" s="52"/>
    </row>
    <row r="95">
      <c r="M95" s="52"/>
      <c r="N95" s="52"/>
      <c r="O95" s="52"/>
      <c r="P95" s="52"/>
      <c r="Q95" s="52"/>
      <c r="U95" s="52"/>
    </row>
    <row r="96">
      <c r="M96" s="52"/>
      <c r="N96" s="52"/>
      <c r="O96" s="52"/>
      <c r="P96" s="52"/>
      <c r="Q96" s="52"/>
      <c r="U96" s="52"/>
    </row>
    <row r="97">
      <c r="M97" s="52"/>
      <c r="N97" s="52"/>
      <c r="O97" s="52"/>
      <c r="P97" s="52"/>
      <c r="Q97" s="52"/>
      <c r="U97" s="52"/>
    </row>
    <row r="98">
      <c r="M98" s="52"/>
      <c r="N98" s="52"/>
      <c r="O98" s="52"/>
      <c r="P98" s="52"/>
      <c r="Q98" s="52"/>
      <c r="U98" s="52"/>
    </row>
    <row r="99">
      <c r="M99" s="52"/>
      <c r="N99" s="52"/>
      <c r="O99" s="52"/>
      <c r="P99" s="52"/>
      <c r="Q99" s="52"/>
      <c r="U99" s="52"/>
    </row>
    <row r="100">
      <c r="M100" s="52"/>
      <c r="N100" s="52"/>
      <c r="O100" s="52"/>
      <c r="P100" s="52"/>
      <c r="Q100" s="52"/>
      <c r="U100" s="52"/>
    </row>
    <row r="101">
      <c r="M101" s="52"/>
      <c r="N101" s="52"/>
      <c r="O101" s="52"/>
      <c r="P101" s="52"/>
      <c r="Q101" s="52"/>
      <c r="U101" s="52"/>
    </row>
    <row r="102">
      <c r="M102" s="52"/>
      <c r="N102" s="52"/>
      <c r="O102" s="52"/>
      <c r="P102" s="52"/>
      <c r="Q102" s="52"/>
      <c r="U102" s="52"/>
    </row>
    <row r="103">
      <c r="M103" s="52"/>
      <c r="N103" s="52"/>
      <c r="O103" s="52"/>
      <c r="P103" s="52"/>
      <c r="Q103" s="52"/>
      <c r="U103" s="52"/>
    </row>
    <row r="104">
      <c r="M104" s="52"/>
      <c r="N104" s="52"/>
      <c r="O104" s="52"/>
      <c r="P104" s="52"/>
      <c r="Q104" s="52"/>
      <c r="U104" s="52"/>
    </row>
    <row r="105">
      <c r="M105" s="52"/>
      <c r="N105" s="52"/>
      <c r="O105" s="52"/>
      <c r="P105" s="52"/>
      <c r="Q105" s="52"/>
      <c r="U105" s="52"/>
    </row>
    <row r="106">
      <c r="M106" s="52"/>
      <c r="N106" s="52"/>
      <c r="O106" s="52"/>
      <c r="P106" s="52"/>
      <c r="Q106" s="52"/>
      <c r="U106" s="52"/>
    </row>
    <row r="107">
      <c r="M107" s="52"/>
      <c r="N107" s="52"/>
      <c r="O107" s="52"/>
      <c r="P107" s="52"/>
      <c r="Q107" s="52"/>
      <c r="U107" s="52"/>
    </row>
    <row r="108">
      <c r="M108" s="52"/>
      <c r="N108" s="52"/>
      <c r="O108" s="52"/>
      <c r="P108" s="52"/>
      <c r="Q108" s="52"/>
      <c r="U108" s="52"/>
    </row>
    <row r="109">
      <c r="M109" s="52"/>
      <c r="N109" s="52"/>
      <c r="O109" s="52"/>
      <c r="P109" s="52"/>
      <c r="Q109" s="52"/>
      <c r="U109" s="52"/>
    </row>
    <row r="110">
      <c r="M110" s="52"/>
      <c r="N110" s="52"/>
      <c r="O110" s="52"/>
      <c r="P110" s="52"/>
      <c r="Q110" s="52"/>
      <c r="U110" s="52"/>
    </row>
    <row r="111">
      <c r="M111" s="52"/>
      <c r="N111" s="52"/>
      <c r="O111" s="52"/>
      <c r="P111" s="52"/>
      <c r="Q111" s="52"/>
      <c r="U111" s="52"/>
    </row>
    <row r="112">
      <c r="M112" s="52"/>
      <c r="N112" s="52"/>
      <c r="O112" s="52"/>
      <c r="P112" s="52"/>
      <c r="Q112" s="52"/>
      <c r="U112" s="52"/>
    </row>
    <row r="113">
      <c r="M113" s="52"/>
      <c r="N113" s="52"/>
      <c r="O113" s="52"/>
      <c r="P113" s="52"/>
      <c r="Q113" s="52"/>
      <c r="U113" s="52"/>
    </row>
    <row r="114">
      <c r="M114" s="52"/>
      <c r="N114" s="52"/>
      <c r="O114" s="52"/>
      <c r="P114" s="52"/>
      <c r="Q114" s="52"/>
      <c r="U114" s="52"/>
    </row>
    <row r="115">
      <c r="M115" s="52"/>
      <c r="N115" s="52"/>
      <c r="O115" s="52"/>
      <c r="P115" s="52"/>
      <c r="Q115" s="52"/>
      <c r="U115" s="52"/>
    </row>
    <row r="116">
      <c r="M116" s="52"/>
      <c r="N116" s="52"/>
      <c r="O116" s="52"/>
      <c r="P116" s="52"/>
      <c r="Q116" s="52"/>
      <c r="U116" s="52"/>
    </row>
    <row r="117">
      <c r="M117" s="52"/>
      <c r="N117" s="52"/>
      <c r="O117" s="52"/>
      <c r="P117" s="52"/>
      <c r="Q117" s="52"/>
      <c r="U117" s="52"/>
    </row>
    <row r="118">
      <c r="M118" s="52"/>
      <c r="N118" s="52"/>
      <c r="O118" s="52"/>
      <c r="P118" s="52"/>
      <c r="Q118" s="52"/>
      <c r="U118" s="52"/>
    </row>
    <row r="119">
      <c r="M119" s="52"/>
      <c r="N119" s="52"/>
      <c r="O119" s="52"/>
      <c r="P119" s="52"/>
      <c r="Q119" s="52"/>
      <c r="U119" s="52"/>
    </row>
    <row r="120">
      <c r="M120" s="52"/>
      <c r="N120" s="52"/>
      <c r="O120" s="52"/>
      <c r="P120" s="52"/>
      <c r="Q120" s="52"/>
      <c r="U120" s="52"/>
    </row>
    <row r="121">
      <c r="M121" s="52"/>
      <c r="N121" s="52"/>
      <c r="O121" s="52"/>
      <c r="P121" s="52"/>
      <c r="Q121" s="52"/>
      <c r="U121" s="52"/>
    </row>
    <row r="122">
      <c r="M122" s="52"/>
      <c r="N122" s="52"/>
      <c r="O122" s="52"/>
      <c r="P122" s="52"/>
      <c r="Q122" s="52"/>
      <c r="U122" s="52"/>
    </row>
    <row r="123">
      <c r="M123" s="52"/>
      <c r="N123" s="52"/>
      <c r="O123" s="52"/>
      <c r="P123" s="52"/>
      <c r="Q123" s="52"/>
      <c r="U123" s="52"/>
    </row>
    <row r="124">
      <c r="M124" s="52"/>
      <c r="N124" s="52"/>
      <c r="O124" s="52"/>
      <c r="P124" s="52"/>
      <c r="Q124" s="52"/>
      <c r="U124" s="52"/>
    </row>
    <row r="125">
      <c r="M125" s="52"/>
      <c r="N125" s="52"/>
      <c r="O125" s="52"/>
      <c r="P125" s="52"/>
      <c r="Q125" s="52"/>
      <c r="U125" s="52"/>
    </row>
    <row r="126">
      <c r="M126" s="52"/>
      <c r="N126" s="52"/>
      <c r="O126" s="52"/>
      <c r="P126" s="52"/>
      <c r="Q126" s="52"/>
      <c r="U126" s="52"/>
    </row>
    <row r="127">
      <c r="M127" s="52"/>
      <c r="N127" s="52"/>
      <c r="O127" s="52"/>
      <c r="P127" s="52"/>
      <c r="Q127" s="52"/>
      <c r="U127" s="52"/>
    </row>
    <row r="128">
      <c r="M128" s="52"/>
      <c r="N128" s="52"/>
      <c r="O128" s="52"/>
      <c r="P128" s="52"/>
      <c r="Q128" s="52"/>
      <c r="U128" s="52"/>
    </row>
    <row r="129">
      <c r="M129" s="52"/>
      <c r="N129" s="52"/>
      <c r="O129" s="52"/>
      <c r="P129" s="52"/>
      <c r="Q129" s="52"/>
      <c r="U129" s="52"/>
    </row>
    <row r="130">
      <c r="M130" s="52"/>
      <c r="N130" s="52"/>
      <c r="O130" s="52"/>
      <c r="P130" s="52"/>
      <c r="Q130" s="52"/>
      <c r="U130" s="52"/>
    </row>
    <row r="131">
      <c r="M131" s="52"/>
      <c r="N131" s="52"/>
      <c r="O131" s="52"/>
      <c r="P131" s="52"/>
      <c r="Q131" s="52"/>
      <c r="U131" s="52"/>
    </row>
    <row r="132">
      <c r="M132" s="52"/>
      <c r="N132" s="52"/>
      <c r="O132" s="52"/>
      <c r="P132" s="52"/>
      <c r="Q132" s="52"/>
      <c r="U132" s="52"/>
    </row>
    <row r="133">
      <c r="M133" s="52"/>
      <c r="N133" s="52"/>
      <c r="O133" s="52"/>
      <c r="P133" s="52"/>
      <c r="Q133" s="52"/>
      <c r="U133" s="52"/>
    </row>
    <row r="134">
      <c r="M134" s="52"/>
      <c r="N134" s="52"/>
      <c r="O134" s="52"/>
      <c r="P134" s="52"/>
      <c r="Q134" s="52"/>
      <c r="U134" s="52"/>
    </row>
    <row r="135">
      <c r="M135" s="52"/>
      <c r="N135" s="52"/>
      <c r="O135" s="52"/>
      <c r="P135" s="52"/>
      <c r="Q135" s="52"/>
      <c r="U135" s="52"/>
    </row>
    <row r="136">
      <c r="M136" s="52"/>
      <c r="N136" s="52"/>
      <c r="O136" s="52"/>
      <c r="P136" s="52"/>
      <c r="Q136" s="52"/>
      <c r="U136" s="52"/>
    </row>
    <row r="137">
      <c r="M137" s="52"/>
      <c r="N137" s="52"/>
      <c r="O137" s="52"/>
      <c r="P137" s="52"/>
      <c r="Q137" s="52"/>
      <c r="U137" s="52"/>
    </row>
    <row r="138">
      <c r="M138" s="52"/>
      <c r="N138" s="52"/>
      <c r="O138" s="52"/>
      <c r="P138" s="52"/>
      <c r="Q138" s="52"/>
      <c r="U138" s="52"/>
    </row>
    <row r="139">
      <c r="M139" s="52"/>
      <c r="N139" s="52"/>
      <c r="O139" s="52"/>
      <c r="P139" s="52"/>
      <c r="Q139" s="52"/>
      <c r="U139" s="52"/>
    </row>
    <row r="140">
      <c r="M140" s="52"/>
      <c r="N140" s="52"/>
      <c r="O140" s="52"/>
      <c r="P140" s="52"/>
      <c r="Q140" s="52"/>
      <c r="U140" s="52"/>
    </row>
    <row r="141">
      <c r="M141" s="52"/>
      <c r="N141" s="52"/>
      <c r="O141" s="52"/>
      <c r="P141" s="52"/>
      <c r="Q141" s="52"/>
      <c r="U141" s="52"/>
    </row>
    <row r="142">
      <c r="M142" s="52"/>
      <c r="N142" s="52"/>
      <c r="O142" s="52"/>
      <c r="P142" s="52"/>
      <c r="Q142" s="52"/>
      <c r="U142" s="52"/>
    </row>
    <row r="143">
      <c r="M143" s="52"/>
      <c r="N143" s="52"/>
      <c r="O143" s="52"/>
      <c r="P143" s="52"/>
      <c r="Q143" s="52"/>
      <c r="U143" s="52"/>
    </row>
    <row r="144">
      <c r="M144" s="52"/>
      <c r="N144" s="52"/>
      <c r="O144" s="52"/>
      <c r="P144" s="52"/>
      <c r="Q144" s="52"/>
      <c r="U144" s="52"/>
    </row>
    <row r="145">
      <c r="M145" s="52"/>
      <c r="N145" s="52"/>
      <c r="O145" s="52"/>
      <c r="P145" s="52"/>
      <c r="Q145" s="52"/>
      <c r="U145" s="52"/>
    </row>
    <row r="146">
      <c r="M146" s="52"/>
      <c r="N146" s="52"/>
      <c r="O146" s="52"/>
      <c r="P146" s="52"/>
      <c r="Q146" s="52"/>
      <c r="U146" s="52"/>
    </row>
    <row r="147">
      <c r="M147" s="52"/>
      <c r="N147" s="52"/>
      <c r="O147" s="52"/>
      <c r="P147" s="52"/>
      <c r="Q147" s="52"/>
      <c r="U147" s="52"/>
    </row>
    <row r="148">
      <c r="M148" s="52"/>
      <c r="N148" s="52"/>
      <c r="O148" s="52"/>
      <c r="P148" s="52"/>
      <c r="Q148" s="52"/>
      <c r="U148" s="52"/>
    </row>
    <row r="149">
      <c r="M149" s="52"/>
      <c r="N149" s="52"/>
      <c r="O149" s="52"/>
      <c r="P149" s="52"/>
      <c r="Q149" s="52"/>
      <c r="U149" s="52"/>
    </row>
    <row r="150">
      <c r="M150" s="52"/>
      <c r="N150" s="52"/>
      <c r="O150" s="52"/>
      <c r="P150" s="52"/>
      <c r="Q150" s="52"/>
      <c r="U150" s="52"/>
    </row>
    <row r="151">
      <c r="M151" s="52"/>
      <c r="N151" s="52"/>
      <c r="O151" s="52"/>
      <c r="P151" s="52"/>
      <c r="Q151" s="52"/>
      <c r="U151" s="52"/>
    </row>
    <row r="152">
      <c r="M152" s="52"/>
      <c r="N152" s="52"/>
      <c r="O152" s="52"/>
      <c r="P152" s="52"/>
      <c r="Q152" s="52"/>
      <c r="U152" s="52"/>
    </row>
    <row r="153">
      <c r="M153" s="52"/>
      <c r="N153" s="52"/>
      <c r="O153" s="52"/>
      <c r="P153" s="52"/>
      <c r="Q153" s="52"/>
      <c r="U153" s="52"/>
    </row>
    <row r="154">
      <c r="M154" s="52"/>
      <c r="N154" s="52"/>
      <c r="O154" s="52"/>
      <c r="P154" s="52"/>
      <c r="Q154" s="52"/>
      <c r="U154" s="52"/>
    </row>
    <row r="155">
      <c r="M155" s="52"/>
      <c r="N155" s="52"/>
      <c r="O155" s="52"/>
      <c r="P155" s="52"/>
      <c r="Q155" s="52"/>
      <c r="U155" s="52"/>
    </row>
    <row r="156">
      <c r="M156" s="52"/>
      <c r="N156" s="52"/>
      <c r="O156" s="52"/>
      <c r="P156" s="52"/>
      <c r="Q156" s="52"/>
      <c r="U156" s="52"/>
    </row>
    <row r="157">
      <c r="M157" s="52"/>
      <c r="N157" s="52"/>
      <c r="O157" s="52"/>
      <c r="P157" s="52"/>
      <c r="Q157" s="52"/>
      <c r="U157" s="52"/>
    </row>
    <row r="158">
      <c r="M158" s="52"/>
      <c r="N158" s="52"/>
      <c r="O158" s="52"/>
      <c r="P158" s="52"/>
      <c r="Q158" s="52"/>
      <c r="U158" s="52"/>
    </row>
    <row r="159">
      <c r="M159" s="52"/>
      <c r="N159" s="52"/>
      <c r="O159" s="52"/>
      <c r="P159" s="52"/>
      <c r="Q159" s="52"/>
      <c r="U159" s="52"/>
    </row>
    <row r="160">
      <c r="M160" s="52"/>
      <c r="N160" s="52"/>
      <c r="O160" s="52"/>
      <c r="P160" s="52"/>
      <c r="Q160" s="52"/>
      <c r="U160" s="52"/>
    </row>
    <row r="161">
      <c r="M161" s="52"/>
      <c r="N161" s="52"/>
      <c r="O161" s="52"/>
      <c r="P161" s="52"/>
      <c r="Q161" s="52"/>
      <c r="U161" s="52"/>
    </row>
    <row r="162">
      <c r="M162" s="52"/>
      <c r="N162" s="52"/>
      <c r="O162" s="52"/>
      <c r="P162" s="52"/>
      <c r="Q162" s="52"/>
      <c r="U162" s="52"/>
    </row>
    <row r="163">
      <c r="M163" s="52"/>
      <c r="N163" s="52"/>
      <c r="O163" s="52"/>
      <c r="P163" s="52"/>
      <c r="Q163" s="52"/>
      <c r="U163" s="52"/>
    </row>
    <row r="164">
      <c r="M164" s="52"/>
      <c r="N164" s="52"/>
      <c r="O164" s="52"/>
      <c r="P164" s="52"/>
      <c r="Q164" s="52"/>
      <c r="U164" s="52"/>
    </row>
    <row r="165">
      <c r="M165" s="52"/>
      <c r="N165" s="52"/>
      <c r="O165" s="52"/>
      <c r="P165" s="52"/>
      <c r="Q165" s="52"/>
      <c r="U165" s="52"/>
    </row>
    <row r="166">
      <c r="M166" s="52"/>
      <c r="N166" s="52"/>
      <c r="O166" s="52"/>
      <c r="P166" s="52"/>
      <c r="Q166" s="52"/>
      <c r="U166" s="52"/>
    </row>
    <row r="167">
      <c r="M167" s="52"/>
      <c r="N167" s="52"/>
      <c r="O167" s="52"/>
      <c r="P167" s="52"/>
      <c r="Q167" s="52"/>
      <c r="U167" s="52"/>
    </row>
    <row r="168">
      <c r="M168" s="52"/>
      <c r="N168" s="52"/>
      <c r="O168" s="52"/>
      <c r="P168" s="52"/>
      <c r="Q168" s="52"/>
      <c r="U168" s="52"/>
    </row>
    <row r="169">
      <c r="M169" s="52"/>
      <c r="N169" s="52"/>
      <c r="O169" s="52"/>
      <c r="P169" s="52"/>
      <c r="Q169" s="52"/>
      <c r="U169" s="52"/>
    </row>
    <row r="170">
      <c r="M170" s="52"/>
      <c r="N170" s="52"/>
      <c r="O170" s="52"/>
      <c r="P170" s="52"/>
      <c r="Q170" s="52"/>
      <c r="U170" s="52"/>
    </row>
    <row r="171">
      <c r="M171" s="52"/>
      <c r="N171" s="52"/>
      <c r="O171" s="52"/>
      <c r="P171" s="52"/>
      <c r="Q171" s="52"/>
      <c r="U171" s="52"/>
    </row>
    <row r="172">
      <c r="M172" s="52"/>
      <c r="N172" s="52"/>
      <c r="O172" s="52"/>
      <c r="P172" s="52"/>
      <c r="Q172" s="52"/>
      <c r="U172" s="52"/>
    </row>
    <row r="173">
      <c r="M173" s="52"/>
      <c r="N173" s="52"/>
      <c r="O173" s="52"/>
      <c r="P173" s="52"/>
      <c r="Q173" s="52"/>
      <c r="U173" s="52"/>
    </row>
    <row r="174">
      <c r="M174" s="52"/>
      <c r="N174" s="52"/>
      <c r="O174" s="52"/>
      <c r="P174" s="52"/>
      <c r="Q174" s="52"/>
      <c r="U174" s="52"/>
    </row>
    <row r="175">
      <c r="M175" s="52"/>
      <c r="N175" s="52"/>
      <c r="O175" s="52"/>
      <c r="P175" s="52"/>
      <c r="Q175" s="52"/>
      <c r="U175" s="52"/>
    </row>
    <row r="176">
      <c r="M176" s="52"/>
      <c r="N176" s="52"/>
      <c r="O176" s="52"/>
      <c r="P176" s="52"/>
      <c r="Q176" s="52"/>
      <c r="U176" s="52"/>
    </row>
    <row r="177">
      <c r="M177" s="52"/>
      <c r="N177" s="52"/>
      <c r="O177" s="52"/>
      <c r="P177" s="52"/>
      <c r="Q177" s="52"/>
      <c r="U177" s="52"/>
    </row>
    <row r="178">
      <c r="M178" s="52"/>
      <c r="N178" s="52"/>
      <c r="O178" s="52"/>
      <c r="P178" s="52"/>
      <c r="Q178" s="52"/>
      <c r="U178" s="52"/>
    </row>
    <row r="179">
      <c r="M179" s="52"/>
      <c r="N179" s="52"/>
      <c r="O179" s="52"/>
      <c r="P179" s="52"/>
      <c r="Q179" s="52"/>
      <c r="U179" s="52"/>
    </row>
    <row r="180">
      <c r="M180" s="52"/>
      <c r="N180" s="52"/>
      <c r="O180" s="52"/>
      <c r="P180" s="52"/>
      <c r="Q180" s="52"/>
      <c r="U180" s="52"/>
    </row>
    <row r="181">
      <c r="M181" s="52"/>
      <c r="N181" s="52"/>
      <c r="O181" s="52"/>
      <c r="P181" s="52"/>
      <c r="Q181" s="52"/>
      <c r="U181" s="52"/>
    </row>
    <row r="182">
      <c r="M182" s="52"/>
      <c r="N182" s="52"/>
      <c r="O182" s="52"/>
      <c r="P182" s="52"/>
      <c r="Q182" s="52"/>
      <c r="U182" s="52"/>
    </row>
    <row r="183">
      <c r="M183" s="52"/>
      <c r="N183" s="52"/>
      <c r="O183" s="52"/>
      <c r="P183" s="52"/>
      <c r="Q183" s="52"/>
      <c r="U183" s="52"/>
    </row>
    <row r="184">
      <c r="M184" s="52"/>
      <c r="N184" s="52"/>
      <c r="O184" s="52"/>
      <c r="P184" s="52"/>
      <c r="Q184" s="52"/>
      <c r="U184" s="52"/>
    </row>
    <row r="185">
      <c r="M185" s="52"/>
      <c r="N185" s="52"/>
      <c r="O185" s="52"/>
      <c r="P185" s="52"/>
      <c r="Q185" s="52"/>
      <c r="U185" s="52"/>
    </row>
    <row r="186">
      <c r="M186" s="52"/>
      <c r="N186" s="52"/>
      <c r="O186" s="52"/>
      <c r="P186" s="52"/>
      <c r="Q186" s="52"/>
      <c r="U186" s="52"/>
    </row>
    <row r="187">
      <c r="M187" s="52"/>
      <c r="N187" s="52"/>
      <c r="O187" s="52"/>
      <c r="P187" s="52"/>
      <c r="Q187" s="52"/>
      <c r="U187" s="52"/>
    </row>
    <row r="188">
      <c r="M188" s="52"/>
      <c r="N188" s="52"/>
      <c r="O188" s="52"/>
      <c r="P188" s="52"/>
      <c r="Q188" s="52"/>
      <c r="U188" s="52"/>
    </row>
    <row r="189">
      <c r="M189" s="52"/>
      <c r="N189" s="52"/>
      <c r="O189" s="52"/>
      <c r="P189" s="52"/>
      <c r="Q189" s="52"/>
      <c r="U189" s="52"/>
    </row>
    <row r="190">
      <c r="M190" s="52"/>
      <c r="N190" s="52"/>
      <c r="O190" s="52"/>
      <c r="P190" s="52"/>
      <c r="Q190" s="52"/>
      <c r="U190" s="52"/>
    </row>
    <row r="191">
      <c r="M191" s="52"/>
      <c r="N191" s="52"/>
      <c r="O191" s="52"/>
      <c r="P191" s="52"/>
      <c r="Q191" s="52"/>
      <c r="U191" s="52"/>
    </row>
    <row r="192">
      <c r="M192" s="52"/>
      <c r="N192" s="52"/>
      <c r="O192" s="52"/>
      <c r="P192" s="52"/>
      <c r="Q192" s="52"/>
      <c r="U192" s="52"/>
    </row>
    <row r="193">
      <c r="M193" s="52"/>
      <c r="N193" s="52"/>
      <c r="O193" s="52"/>
      <c r="P193" s="52"/>
      <c r="Q193" s="52"/>
      <c r="U193" s="52"/>
    </row>
    <row r="194">
      <c r="M194" s="52"/>
      <c r="N194" s="52"/>
      <c r="O194" s="52"/>
      <c r="P194" s="52"/>
      <c r="Q194" s="52"/>
      <c r="U194" s="52"/>
    </row>
    <row r="195">
      <c r="M195" s="52"/>
      <c r="N195" s="52"/>
      <c r="O195" s="52"/>
      <c r="P195" s="52"/>
      <c r="Q195" s="52"/>
      <c r="U195" s="52"/>
    </row>
    <row r="196">
      <c r="M196" s="52"/>
      <c r="N196" s="52"/>
      <c r="O196" s="52"/>
      <c r="P196" s="52"/>
      <c r="Q196" s="52"/>
      <c r="U196" s="52"/>
    </row>
    <row r="197">
      <c r="M197" s="52"/>
      <c r="N197" s="52"/>
      <c r="O197" s="52"/>
      <c r="P197" s="52"/>
      <c r="Q197" s="52"/>
      <c r="U197" s="52"/>
    </row>
    <row r="198">
      <c r="M198" s="52"/>
      <c r="N198" s="52"/>
      <c r="O198" s="52"/>
      <c r="P198" s="52"/>
      <c r="Q198" s="52"/>
      <c r="U198" s="52"/>
    </row>
    <row r="199">
      <c r="M199" s="52"/>
      <c r="N199" s="52"/>
      <c r="O199" s="52"/>
      <c r="P199" s="52"/>
      <c r="Q199" s="52"/>
      <c r="U199" s="52"/>
    </row>
    <row r="200">
      <c r="M200" s="52"/>
      <c r="N200" s="52"/>
      <c r="O200" s="52"/>
      <c r="P200" s="52"/>
      <c r="Q200" s="52"/>
      <c r="U200" s="52"/>
    </row>
    <row r="201">
      <c r="M201" s="52"/>
      <c r="N201" s="52"/>
      <c r="O201" s="52"/>
      <c r="P201" s="52"/>
      <c r="Q201" s="52"/>
      <c r="U201" s="52"/>
    </row>
    <row r="202">
      <c r="M202" s="52"/>
      <c r="N202" s="52"/>
      <c r="O202" s="52"/>
      <c r="P202" s="52"/>
      <c r="Q202" s="52"/>
      <c r="U202" s="52"/>
    </row>
    <row r="203">
      <c r="M203" s="52"/>
      <c r="N203" s="52"/>
      <c r="O203" s="52"/>
      <c r="P203" s="52"/>
      <c r="Q203" s="52"/>
      <c r="U203" s="52"/>
    </row>
    <row r="204">
      <c r="M204" s="52"/>
      <c r="N204" s="52"/>
      <c r="O204" s="52"/>
      <c r="P204" s="52"/>
      <c r="Q204" s="52"/>
      <c r="U204" s="52"/>
    </row>
    <row r="205">
      <c r="M205" s="52"/>
      <c r="N205" s="52"/>
      <c r="O205" s="52"/>
      <c r="P205" s="52"/>
      <c r="Q205" s="52"/>
      <c r="U205" s="52"/>
    </row>
    <row r="206">
      <c r="M206" s="52"/>
      <c r="N206" s="52"/>
      <c r="O206" s="52"/>
      <c r="P206" s="52"/>
      <c r="Q206" s="52"/>
      <c r="U206" s="52"/>
    </row>
    <row r="207">
      <c r="M207" s="52"/>
      <c r="N207" s="52"/>
      <c r="O207" s="52"/>
      <c r="P207" s="52"/>
      <c r="Q207" s="52"/>
      <c r="U207" s="52"/>
    </row>
    <row r="208">
      <c r="M208" s="52"/>
      <c r="N208" s="52"/>
      <c r="O208" s="52"/>
      <c r="P208" s="52"/>
      <c r="Q208" s="52"/>
      <c r="U208" s="52"/>
    </row>
    <row r="209">
      <c r="M209" s="52"/>
      <c r="N209" s="52"/>
      <c r="O209" s="52"/>
      <c r="P209" s="52"/>
      <c r="Q209" s="52"/>
      <c r="U209" s="52"/>
    </row>
    <row r="210">
      <c r="M210" s="52"/>
      <c r="N210" s="52"/>
      <c r="O210" s="52"/>
      <c r="P210" s="52"/>
      <c r="Q210" s="52"/>
      <c r="U210" s="52"/>
    </row>
    <row r="211">
      <c r="M211" s="52"/>
      <c r="N211" s="52"/>
      <c r="O211" s="52"/>
      <c r="P211" s="52"/>
      <c r="Q211" s="52"/>
      <c r="U211" s="52"/>
    </row>
    <row r="212">
      <c r="M212" s="52"/>
      <c r="N212" s="52"/>
      <c r="O212" s="52"/>
      <c r="P212" s="52"/>
      <c r="Q212" s="52"/>
      <c r="U212" s="52"/>
    </row>
    <row r="213">
      <c r="M213" s="52"/>
      <c r="N213" s="52"/>
      <c r="O213" s="52"/>
      <c r="P213" s="52"/>
      <c r="Q213" s="52"/>
      <c r="U213" s="52"/>
    </row>
    <row r="214">
      <c r="M214" s="52"/>
      <c r="N214" s="52"/>
      <c r="O214" s="52"/>
      <c r="P214" s="52"/>
      <c r="Q214" s="52"/>
      <c r="U214" s="52"/>
    </row>
    <row r="215">
      <c r="M215" s="52"/>
      <c r="N215" s="52"/>
      <c r="O215" s="52"/>
      <c r="P215" s="52"/>
      <c r="Q215" s="52"/>
      <c r="U215" s="52"/>
    </row>
    <row r="216">
      <c r="M216" s="52"/>
      <c r="N216" s="52"/>
      <c r="O216" s="52"/>
      <c r="P216" s="52"/>
      <c r="Q216" s="52"/>
      <c r="U216" s="52"/>
    </row>
    <row r="217">
      <c r="M217" s="52"/>
      <c r="N217" s="52"/>
      <c r="O217" s="52"/>
      <c r="P217" s="52"/>
      <c r="Q217" s="52"/>
      <c r="U217" s="52"/>
    </row>
    <row r="218">
      <c r="M218" s="52"/>
      <c r="N218" s="52"/>
      <c r="O218" s="52"/>
      <c r="P218" s="52"/>
      <c r="Q218" s="52"/>
      <c r="U218" s="52"/>
    </row>
    <row r="219">
      <c r="M219" s="52"/>
      <c r="N219" s="52"/>
      <c r="O219" s="52"/>
      <c r="P219" s="52"/>
      <c r="Q219" s="52"/>
      <c r="U219" s="52"/>
    </row>
    <row r="220">
      <c r="M220" s="52"/>
      <c r="N220" s="52"/>
      <c r="O220" s="52"/>
      <c r="P220" s="52"/>
      <c r="Q220" s="52"/>
      <c r="U220" s="52"/>
    </row>
    <row r="221">
      <c r="M221" s="52"/>
      <c r="N221" s="52"/>
      <c r="O221" s="52"/>
      <c r="P221" s="52"/>
      <c r="Q221" s="52"/>
      <c r="U221" s="52"/>
    </row>
    <row r="222">
      <c r="M222" s="52"/>
      <c r="N222" s="52"/>
      <c r="O222" s="52"/>
      <c r="P222" s="52"/>
      <c r="Q222" s="52"/>
      <c r="U222" s="52"/>
    </row>
    <row r="223">
      <c r="M223" s="52"/>
      <c r="N223" s="52"/>
      <c r="O223" s="52"/>
      <c r="P223" s="52"/>
      <c r="Q223" s="52"/>
      <c r="U223" s="52"/>
    </row>
    <row r="224">
      <c r="M224" s="52"/>
      <c r="N224" s="52"/>
      <c r="O224" s="52"/>
      <c r="P224" s="52"/>
      <c r="Q224" s="52"/>
      <c r="U224" s="52"/>
    </row>
    <row r="225">
      <c r="M225" s="52"/>
      <c r="N225" s="52"/>
      <c r="O225" s="52"/>
      <c r="P225" s="52"/>
      <c r="Q225" s="52"/>
      <c r="U225" s="52"/>
    </row>
    <row r="226">
      <c r="M226" s="52"/>
      <c r="N226" s="52"/>
      <c r="O226" s="52"/>
      <c r="P226" s="52"/>
      <c r="Q226" s="52"/>
      <c r="U226" s="52"/>
    </row>
    <row r="227">
      <c r="M227" s="52"/>
      <c r="N227" s="52"/>
      <c r="O227" s="52"/>
      <c r="P227" s="52"/>
      <c r="Q227" s="52"/>
      <c r="U227" s="52"/>
    </row>
    <row r="228">
      <c r="M228" s="52"/>
      <c r="N228" s="52"/>
      <c r="O228" s="52"/>
      <c r="P228" s="52"/>
      <c r="Q228" s="52"/>
      <c r="U228" s="52"/>
    </row>
    <row r="229">
      <c r="M229" s="52"/>
      <c r="N229" s="52"/>
      <c r="O229" s="52"/>
      <c r="P229" s="52"/>
      <c r="Q229" s="52"/>
      <c r="U229" s="52"/>
    </row>
    <row r="230">
      <c r="M230" s="52"/>
      <c r="N230" s="52"/>
      <c r="O230" s="52"/>
      <c r="P230" s="52"/>
      <c r="Q230" s="52"/>
      <c r="U230" s="52"/>
    </row>
    <row r="231">
      <c r="M231" s="52"/>
      <c r="N231" s="52"/>
      <c r="O231" s="52"/>
      <c r="P231" s="52"/>
      <c r="Q231" s="52"/>
      <c r="U231" s="52"/>
    </row>
    <row r="232">
      <c r="M232" s="52"/>
      <c r="N232" s="52"/>
      <c r="O232" s="52"/>
      <c r="P232" s="52"/>
      <c r="Q232" s="52"/>
      <c r="U232" s="52"/>
    </row>
    <row r="233">
      <c r="M233" s="52"/>
      <c r="N233" s="52"/>
      <c r="O233" s="52"/>
      <c r="P233" s="52"/>
      <c r="Q233" s="52"/>
      <c r="U233" s="52"/>
    </row>
    <row r="234">
      <c r="M234" s="52"/>
      <c r="N234" s="52"/>
      <c r="O234" s="52"/>
      <c r="P234" s="52"/>
      <c r="Q234" s="52"/>
      <c r="U234" s="52"/>
    </row>
    <row r="235">
      <c r="M235" s="52"/>
      <c r="N235" s="52"/>
      <c r="O235" s="52"/>
      <c r="P235" s="52"/>
      <c r="Q235" s="52"/>
      <c r="U235" s="52"/>
    </row>
    <row r="236">
      <c r="M236" s="52"/>
      <c r="N236" s="52"/>
      <c r="O236" s="52"/>
      <c r="P236" s="52"/>
      <c r="Q236" s="52"/>
      <c r="U236" s="52"/>
    </row>
    <row r="237">
      <c r="M237" s="52"/>
      <c r="N237" s="52"/>
      <c r="O237" s="52"/>
      <c r="P237" s="52"/>
      <c r="Q237" s="52"/>
      <c r="U237" s="52"/>
    </row>
    <row r="238">
      <c r="M238" s="52"/>
      <c r="N238" s="52"/>
      <c r="O238" s="52"/>
      <c r="P238" s="52"/>
      <c r="Q238" s="52"/>
      <c r="U238" s="52"/>
    </row>
    <row r="239">
      <c r="M239" s="52"/>
      <c r="N239" s="52"/>
      <c r="O239" s="52"/>
      <c r="P239" s="52"/>
      <c r="Q239" s="52"/>
      <c r="U239" s="52"/>
    </row>
    <row r="240">
      <c r="M240" s="52"/>
      <c r="N240" s="52"/>
      <c r="O240" s="52"/>
      <c r="P240" s="52"/>
      <c r="Q240" s="52"/>
      <c r="U240" s="52"/>
    </row>
    <row r="241">
      <c r="M241" s="52"/>
      <c r="N241" s="52"/>
      <c r="O241" s="52"/>
      <c r="P241" s="52"/>
      <c r="Q241" s="52"/>
      <c r="U241" s="52"/>
    </row>
    <row r="242">
      <c r="M242" s="52"/>
      <c r="N242" s="52"/>
      <c r="O242" s="52"/>
      <c r="P242" s="52"/>
      <c r="Q242" s="52"/>
      <c r="U242" s="52"/>
    </row>
    <row r="243">
      <c r="M243" s="52"/>
      <c r="N243" s="52"/>
      <c r="O243" s="52"/>
      <c r="P243" s="52"/>
      <c r="Q243" s="52"/>
      <c r="U243" s="52"/>
    </row>
    <row r="244">
      <c r="M244" s="52"/>
      <c r="N244" s="52"/>
      <c r="O244" s="52"/>
      <c r="P244" s="52"/>
      <c r="Q244" s="52"/>
      <c r="U244" s="52"/>
    </row>
    <row r="245">
      <c r="M245" s="52"/>
      <c r="N245" s="52"/>
      <c r="O245" s="52"/>
      <c r="P245" s="52"/>
      <c r="Q245" s="52"/>
      <c r="U245" s="52"/>
    </row>
    <row r="246">
      <c r="M246" s="52"/>
      <c r="N246" s="52"/>
      <c r="O246" s="52"/>
      <c r="P246" s="52"/>
      <c r="Q246" s="52"/>
      <c r="U246" s="52"/>
    </row>
    <row r="247">
      <c r="M247" s="52"/>
      <c r="N247" s="52"/>
      <c r="O247" s="52"/>
      <c r="P247" s="52"/>
      <c r="Q247" s="52"/>
      <c r="U247" s="52"/>
    </row>
    <row r="248">
      <c r="M248" s="52"/>
      <c r="N248" s="52"/>
      <c r="O248" s="52"/>
      <c r="P248" s="52"/>
      <c r="Q248" s="52"/>
      <c r="U248" s="52"/>
    </row>
    <row r="249">
      <c r="M249" s="52"/>
      <c r="N249" s="52"/>
      <c r="O249" s="52"/>
      <c r="P249" s="52"/>
      <c r="Q249" s="52"/>
      <c r="U249" s="52"/>
    </row>
    <row r="250">
      <c r="M250" s="52"/>
      <c r="N250" s="52"/>
      <c r="O250" s="52"/>
      <c r="P250" s="52"/>
      <c r="Q250" s="52"/>
      <c r="U250" s="52"/>
    </row>
    <row r="251">
      <c r="M251" s="52"/>
      <c r="N251" s="52"/>
      <c r="O251" s="52"/>
      <c r="P251" s="52"/>
      <c r="Q251" s="52"/>
      <c r="U251" s="52"/>
    </row>
    <row r="252">
      <c r="M252" s="52"/>
      <c r="N252" s="52"/>
      <c r="O252" s="52"/>
      <c r="P252" s="52"/>
      <c r="Q252" s="52"/>
      <c r="U252" s="52"/>
    </row>
    <row r="253">
      <c r="M253" s="52"/>
      <c r="N253" s="52"/>
      <c r="O253" s="52"/>
      <c r="P253" s="52"/>
      <c r="Q253" s="52"/>
      <c r="U253" s="52"/>
    </row>
    <row r="254">
      <c r="M254" s="52"/>
      <c r="N254" s="52"/>
      <c r="O254" s="52"/>
      <c r="P254" s="52"/>
      <c r="Q254" s="52"/>
      <c r="U254" s="52"/>
    </row>
    <row r="255">
      <c r="M255" s="52"/>
      <c r="N255" s="52"/>
      <c r="O255" s="52"/>
      <c r="P255" s="52"/>
      <c r="Q255" s="52"/>
      <c r="U255" s="52"/>
    </row>
    <row r="256">
      <c r="M256" s="52"/>
      <c r="N256" s="52"/>
      <c r="O256" s="52"/>
      <c r="P256" s="52"/>
      <c r="Q256" s="52"/>
      <c r="U256" s="52"/>
    </row>
    <row r="257">
      <c r="M257" s="52"/>
      <c r="N257" s="52"/>
      <c r="O257" s="52"/>
      <c r="P257" s="52"/>
      <c r="Q257" s="52"/>
      <c r="U257" s="52"/>
    </row>
    <row r="258">
      <c r="M258" s="52"/>
      <c r="N258" s="52"/>
      <c r="O258" s="52"/>
      <c r="P258" s="52"/>
      <c r="Q258" s="52"/>
      <c r="U258" s="52"/>
    </row>
    <row r="259">
      <c r="M259" s="52"/>
      <c r="N259" s="52"/>
      <c r="O259" s="52"/>
      <c r="P259" s="52"/>
      <c r="Q259" s="52"/>
      <c r="U259" s="52"/>
    </row>
    <row r="260">
      <c r="M260" s="52"/>
      <c r="N260" s="52"/>
      <c r="O260" s="52"/>
      <c r="P260" s="52"/>
      <c r="Q260" s="52"/>
      <c r="U260" s="52"/>
    </row>
    <row r="261">
      <c r="M261" s="52"/>
      <c r="N261" s="52"/>
      <c r="O261" s="52"/>
      <c r="P261" s="52"/>
      <c r="Q261" s="52"/>
      <c r="U261" s="52"/>
    </row>
    <row r="262">
      <c r="M262" s="52"/>
      <c r="N262" s="52"/>
      <c r="O262" s="52"/>
      <c r="P262" s="52"/>
      <c r="Q262" s="52"/>
      <c r="U262" s="52"/>
    </row>
    <row r="263">
      <c r="M263" s="52"/>
      <c r="N263" s="52"/>
      <c r="O263" s="52"/>
      <c r="P263" s="52"/>
      <c r="Q263" s="52"/>
      <c r="U263" s="52"/>
    </row>
    <row r="264">
      <c r="M264" s="52"/>
      <c r="N264" s="52"/>
      <c r="O264" s="52"/>
      <c r="P264" s="52"/>
      <c r="Q264" s="52"/>
      <c r="U264" s="52"/>
    </row>
    <row r="265">
      <c r="M265" s="52"/>
      <c r="N265" s="52"/>
      <c r="O265" s="52"/>
      <c r="P265" s="52"/>
      <c r="Q265" s="52"/>
      <c r="U265" s="52"/>
    </row>
    <row r="266">
      <c r="M266" s="52"/>
      <c r="N266" s="52"/>
      <c r="O266" s="52"/>
      <c r="P266" s="52"/>
      <c r="Q266" s="52"/>
      <c r="U266" s="52"/>
    </row>
    <row r="267">
      <c r="M267" s="52"/>
      <c r="N267" s="52"/>
      <c r="O267" s="52"/>
      <c r="P267" s="52"/>
      <c r="Q267" s="52"/>
      <c r="U267" s="52"/>
    </row>
    <row r="268">
      <c r="M268" s="52"/>
      <c r="N268" s="52"/>
      <c r="O268" s="52"/>
      <c r="P268" s="52"/>
      <c r="Q268" s="52"/>
      <c r="U268" s="52"/>
    </row>
    <row r="269">
      <c r="M269" s="52"/>
      <c r="N269" s="52"/>
      <c r="O269" s="52"/>
      <c r="P269" s="52"/>
      <c r="Q269" s="52"/>
      <c r="U269" s="52"/>
    </row>
    <row r="270">
      <c r="M270" s="52"/>
      <c r="N270" s="52"/>
      <c r="O270" s="52"/>
      <c r="P270" s="52"/>
      <c r="Q270" s="52"/>
      <c r="U270" s="52"/>
    </row>
    <row r="271">
      <c r="M271" s="52"/>
      <c r="N271" s="52"/>
      <c r="O271" s="52"/>
      <c r="P271" s="52"/>
      <c r="Q271" s="52"/>
      <c r="U271" s="52"/>
    </row>
    <row r="272">
      <c r="M272" s="52"/>
      <c r="N272" s="52"/>
      <c r="O272" s="52"/>
      <c r="P272" s="52"/>
      <c r="Q272" s="52"/>
      <c r="U272" s="52"/>
    </row>
    <row r="273">
      <c r="M273" s="52"/>
      <c r="N273" s="52"/>
      <c r="O273" s="52"/>
      <c r="P273" s="52"/>
      <c r="Q273" s="52"/>
      <c r="U273" s="52"/>
    </row>
    <row r="274">
      <c r="M274" s="52"/>
      <c r="N274" s="52"/>
      <c r="O274" s="52"/>
      <c r="P274" s="52"/>
      <c r="Q274" s="52"/>
      <c r="U274" s="52"/>
    </row>
    <row r="275">
      <c r="M275" s="52"/>
      <c r="N275" s="52"/>
      <c r="O275" s="52"/>
      <c r="P275" s="52"/>
      <c r="Q275" s="52"/>
      <c r="U275" s="52"/>
    </row>
    <row r="276">
      <c r="M276" s="52"/>
      <c r="N276" s="52"/>
      <c r="O276" s="52"/>
      <c r="P276" s="52"/>
      <c r="Q276" s="52"/>
      <c r="U276" s="52"/>
    </row>
    <row r="277">
      <c r="M277" s="52"/>
      <c r="N277" s="52"/>
      <c r="O277" s="52"/>
      <c r="P277" s="52"/>
      <c r="Q277" s="52"/>
      <c r="U277" s="52"/>
    </row>
    <row r="278">
      <c r="M278" s="52"/>
      <c r="N278" s="52"/>
      <c r="O278" s="52"/>
      <c r="P278" s="52"/>
      <c r="Q278" s="52"/>
      <c r="U278" s="52"/>
    </row>
    <row r="279">
      <c r="M279" s="52"/>
      <c r="N279" s="52"/>
      <c r="O279" s="52"/>
      <c r="P279" s="52"/>
      <c r="Q279" s="52"/>
      <c r="U279" s="52"/>
    </row>
    <row r="280">
      <c r="M280" s="52"/>
      <c r="N280" s="52"/>
      <c r="O280" s="52"/>
      <c r="P280" s="52"/>
      <c r="Q280" s="52"/>
      <c r="U280" s="52"/>
    </row>
    <row r="281">
      <c r="M281" s="52"/>
      <c r="N281" s="52"/>
      <c r="O281" s="52"/>
      <c r="P281" s="52"/>
      <c r="Q281" s="52"/>
      <c r="U281" s="52"/>
    </row>
    <row r="282">
      <c r="M282" s="52"/>
      <c r="N282" s="52"/>
      <c r="O282" s="52"/>
      <c r="P282" s="52"/>
      <c r="Q282" s="52"/>
      <c r="U282" s="52"/>
    </row>
    <row r="283">
      <c r="M283" s="52"/>
      <c r="N283" s="52"/>
      <c r="O283" s="52"/>
      <c r="P283" s="52"/>
      <c r="Q283" s="52"/>
      <c r="U283" s="52"/>
    </row>
    <row r="284">
      <c r="M284" s="52"/>
      <c r="N284" s="52"/>
      <c r="O284" s="52"/>
      <c r="P284" s="52"/>
      <c r="Q284" s="52"/>
      <c r="U284" s="52"/>
    </row>
    <row r="285">
      <c r="M285" s="52"/>
      <c r="N285" s="52"/>
      <c r="O285" s="52"/>
      <c r="P285" s="52"/>
      <c r="Q285" s="52"/>
      <c r="U285" s="52"/>
    </row>
    <row r="286">
      <c r="M286" s="52"/>
      <c r="N286" s="52"/>
      <c r="O286" s="52"/>
      <c r="P286" s="52"/>
      <c r="Q286" s="52"/>
      <c r="U286" s="52"/>
    </row>
    <row r="287">
      <c r="M287" s="52"/>
      <c r="N287" s="52"/>
      <c r="O287" s="52"/>
      <c r="P287" s="52"/>
      <c r="Q287" s="52"/>
      <c r="U287" s="52"/>
    </row>
    <row r="288">
      <c r="M288" s="52"/>
      <c r="N288" s="52"/>
      <c r="O288" s="52"/>
      <c r="P288" s="52"/>
      <c r="Q288" s="52"/>
      <c r="U288" s="52"/>
    </row>
    <row r="289">
      <c r="M289" s="52"/>
      <c r="N289" s="52"/>
      <c r="O289" s="52"/>
      <c r="P289" s="52"/>
      <c r="Q289" s="52"/>
      <c r="U289" s="52"/>
    </row>
    <row r="290">
      <c r="M290" s="52"/>
      <c r="N290" s="52"/>
      <c r="O290" s="52"/>
      <c r="P290" s="52"/>
      <c r="Q290" s="52"/>
      <c r="U290" s="52"/>
    </row>
    <row r="291">
      <c r="M291" s="52"/>
      <c r="N291" s="52"/>
      <c r="O291" s="52"/>
      <c r="P291" s="52"/>
      <c r="Q291" s="52"/>
      <c r="U291" s="52"/>
    </row>
    <row r="292">
      <c r="M292" s="52"/>
      <c r="N292" s="52"/>
      <c r="O292" s="52"/>
      <c r="P292" s="52"/>
      <c r="Q292" s="52"/>
      <c r="U292" s="52"/>
    </row>
    <row r="293">
      <c r="M293" s="52"/>
      <c r="N293" s="52"/>
      <c r="O293" s="52"/>
      <c r="P293" s="52"/>
      <c r="Q293" s="52"/>
      <c r="U293" s="52"/>
    </row>
    <row r="294">
      <c r="M294" s="52"/>
      <c r="N294" s="52"/>
      <c r="O294" s="52"/>
      <c r="P294" s="52"/>
      <c r="Q294" s="52"/>
      <c r="U294" s="52"/>
    </row>
    <row r="295">
      <c r="M295" s="52"/>
      <c r="N295" s="52"/>
      <c r="O295" s="52"/>
      <c r="P295" s="52"/>
      <c r="Q295" s="52"/>
      <c r="U295" s="52"/>
    </row>
    <row r="296">
      <c r="M296" s="52"/>
      <c r="N296" s="52"/>
      <c r="O296" s="52"/>
      <c r="P296" s="52"/>
      <c r="Q296" s="52"/>
      <c r="U296" s="52"/>
    </row>
    <row r="297">
      <c r="M297" s="52"/>
      <c r="N297" s="52"/>
      <c r="O297" s="52"/>
      <c r="P297" s="52"/>
      <c r="Q297" s="52"/>
      <c r="U297" s="52"/>
    </row>
    <row r="298">
      <c r="M298" s="52"/>
      <c r="N298" s="52"/>
      <c r="O298" s="52"/>
      <c r="P298" s="52"/>
      <c r="Q298" s="52"/>
      <c r="U298" s="52"/>
    </row>
    <row r="299">
      <c r="M299" s="52"/>
      <c r="N299" s="52"/>
      <c r="O299" s="52"/>
      <c r="P299" s="52"/>
      <c r="Q299" s="52"/>
      <c r="U299" s="52"/>
    </row>
    <row r="300">
      <c r="M300" s="52"/>
      <c r="N300" s="52"/>
      <c r="O300" s="52"/>
      <c r="P300" s="52"/>
      <c r="Q300" s="52"/>
      <c r="U300" s="52"/>
    </row>
    <row r="301">
      <c r="M301" s="52"/>
      <c r="N301" s="52"/>
      <c r="O301" s="52"/>
      <c r="P301" s="52"/>
      <c r="Q301" s="52"/>
      <c r="U301" s="52"/>
    </row>
    <row r="302">
      <c r="M302" s="52"/>
      <c r="N302" s="52"/>
      <c r="O302" s="52"/>
      <c r="P302" s="52"/>
      <c r="Q302" s="52"/>
      <c r="U302" s="52"/>
    </row>
    <row r="303">
      <c r="M303" s="52"/>
      <c r="N303" s="52"/>
      <c r="O303" s="52"/>
      <c r="P303" s="52"/>
      <c r="Q303" s="52"/>
      <c r="U303" s="52"/>
    </row>
    <row r="304">
      <c r="M304" s="52"/>
      <c r="N304" s="52"/>
      <c r="O304" s="52"/>
      <c r="P304" s="52"/>
      <c r="Q304" s="52"/>
      <c r="U304" s="52"/>
    </row>
    <row r="305">
      <c r="M305" s="52"/>
      <c r="N305" s="52"/>
      <c r="O305" s="52"/>
      <c r="P305" s="52"/>
      <c r="Q305" s="52"/>
      <c r="U305" s="52"/>
    </row>
    <row r="306">
      <c r="M306" s="52"/>
      <c r="N306" s="52"/>
      <c r="O306" s="52"/>
      <c r="P306" s="52"/>
      <c r="Q306" s="52"/>
      <c r="U306" s="52"/>
    </row>
    <row r="307">
      <c r="M307" s="52"/>
      <c r="N307" s="52"/>
      <c r="O307" s="52"/>
      <c r="P307" s="52"/>
      <c r="Q307" s="52"/>
      <c r="U307" s="52"/>
    </row>
    <row r="308">
      <c r="M308" s="52"/>
      <c r="N308" s="52"/>
      <c r="O308" s="52"/>
      <c r="P308" s="52"/>
      <c r="Q308" s="52"/>
      <c r="U308" s="52"/>
    </row>
    <row r="309">
      <c r="M309" s="52"/>
      <c r="N309" s="52"/>
      <c r="O309" s="52"/>
      <c r="P309" s="52"/>
      <c r="Q309" s="52"/>
      <c r="U309" s="52"/>
    </row>
    <row r="310">
      <c r="M310" s="52"/>
      <c r="N310" s="52"/>
      <c r="O310" s="52"/>
      <c r="P310" s="52"/>
      <c r="Q310" s="52"/>
      <c r="U310" s="52"/>
    </row>
    <row r="311">
      <c r="M311" s="52"/>
      <c r="N311" s="52"/>
      <c r="O311" s="52"/>
      <c r="P311" s="52"/>
      <c r="Q311" s="52"/>
      <c r="U311" s="52"/>
    </row>
    <row r="312">
      <c r="M312" s="52"/>
      <c r="N312" s="52"/>
      <c r="O312" s="52"/>
      <c r="P312" s="52"/>
      <c r="Q312" s="52"/>
      <c r="U312" s="52"/>
    </row>
    <row r="313">
      <c r="M313" s="52"/>
      <c r="N313" s="52"/>
      <c r="O313" s="52"/>
      <c r="P313" s="52"/>
      <c r="Q313" s="52"/>
      <c r="U313" s="52"/>
    </row>
    <row r="314">
      <c r="M314" s="52"/>
      <c r="N314" s="52"/>
      <c r="O314" s="52"/>
      <c r="P314" s="52"/>
      <c r="Q314" s="52"/>
      <c r="U314" s="52"/>
    </row>
    <row r="315">
      <c r="M315" s="52"/>
      <c r="N315" s="52"/>
      <c r="O315" s="52"/>
      <c r="P315" s="52"/>
      <c r="Q315" s="52"/>
      <c r="U315" s="52"/>
    </row>
    <row r="316">
      <c r="M316" s="52"/>
      <c r="N316" s="52"/>
      <c r="O316" s="52"/>
      <c r="P316" s="52"/>
      <c r="Q316" s="52"/>
      <c r="U316" s="52"/>
    </row>
    <row r="317">
      <c r="M317" s="52"/>
      <c r="N317" s="52"/>
      <c r="O317" s="52"/>
      <c r="P317" s="52"/>
      <c r="Q317" s="52"/>
      <c r="U317" s="52"/>
    </row>
    <row r="318">
      <c r="M318" s="52"/>
      <c r="N318" s="52"/>
      <c r="O318" s="52"/>
      <c r="P318" s="52"/>
      <c r="Q318" s="52"/>
      <c r="U318" s="52"/>
    </row>
    <row r="319">
      <c r="M319" s="52"/>
      <c r="N319" s="52"/>
      <c r="O319" s="52"/>
      <c r="P319" s="52"/>
      <c r="Q319" s="52"/>
      <c r="U319" s="52"/>
    </row>
    <row r="320">
      <c r="M320" s="52"/>
      <c r="N320" s="52"/>
      <c r="O320" s="52"/>
      <c r="P320" s="52"/>
      <c r="Q320" s="52"/>
      <c r="U320" s="52"/>
    </row>
    <row r="321">
      <c r="M321" s="52"/>
      <c r="N321" s="52"/>
      <c r="O321" s="52"/>
      <c r="P321" s="52"/>
      <c r="Q321" s="52"/>
      <c r="U321" s="52"/>
    </row>
    <row r="322">
      <c r="M322" s="52"/>
      <c r="N322" s="52"/>
      <c r="O322" s="52"/>
      <c r="P322" s="52"/>
      <c r="Q322" s="52"/>
      <c r="U322" s="52"/>
    </row>
    <row r="323">
      <c r="M323" s="52"/>
      <c r="N323" s="52"/>
      <c r="O323" s="52"/>
      <c r="P323" s="52"/>
      <c r="Q323" s="52"/>
      <c r="U323" s="52"/>
    </row>
    <row r="324">
      <c r="M324" s="52"/>
      <c r="N324" s="52"/>
      <c r="O324" s="52"/>
      <c r="P324" s="52"/>
      <c r="Q324" s="52"/>
      <c r="U324" s="52"/>
    </row>
    <row r="325">
      <c r="M325" s="52"/>
      <c r="N325" s="52"/>
      <c r="O325" s="52"/>
      <c r="P325" s="52"/>
      <c r="Q325" s="52"/>
      <c r="U325" s="52"/>
    </row>
    <row r="326">
      <c r="M326" s="52"/>
      <c r="N326" s="52"/>
      <c r="O326" s="52"/>
      <c r="P326" s="52"/>
      <c r="Q326" s="52"/>
      <c r="U326" s="52"/>
    </row>
    <row r="327">
      <c r="M327" s="52"/>
      <c r="N327" s="52"/>
      <c r="O327" s="52"/>
      <c r="P327" s="52"/>
      <c r="Q327" s="52"/>
      <c r="U327" s="52"/>
    </row>
    <row r="328">
      <c r="M328" s="52"/>
      <c r="N328" s="52"/>
      <c r="O328" s="52"/>
      <c r="P328" s="52"/>
      <c r="Q328" s="52"/>
      <c r="U328" s="52"/>
    </row>
    <row r="329">
      <c r="M329" s="52"/>
      <c r="N329" s="52"/>
      <c r="O329" s="52"/>
      <c r="P329" s="52"/>
      <c r="Q329" s="52"/>
      <c r="U329" s="52"/>
    </row>
    <row r="330">
      <c r="M330" s="52"/>
      <c r="N330" s="52"/>
      <c r="O330" s="52"/>
      <c r="P330" s="52"/>
      <c r="Q330" s="52"/>
      <c r="U330" s="52"/>
    </row>
    <row r="331">
      <c r="M331" s="52"/>
      <c r="N331" s="52"/>
      <c r="O331" s="52"/>
      <c r="P331" s="52"/>
      <c r="Q331" s="52"/>
      <c r="U331" s="52"/>
    </row>
    <row r="332">
      <c r="M332" s="52"/>
      <c r="N332" s="52"/>
      <c r="O332" s="52"/>
      <c r="P332" s="52"/>
      <c r="Q332" s="52"/>
      <c r="U332" s="52"/>
    </row>
    <row r="333">
      <c r="M333" s="52"/>
      <c r="N333" s="52"/>
      <c r="O333" s="52"/>
      <c r="P333" s="52"/>
      <c r="Q333" s="52"/>
      <c r="U333" s="52"/>
    </row>
    <row r="334">
      <c r="M334" s="52"/>
      <c r="N334" s="52"/>
      <c r="O334" s="52"/>
      <c r="P334" s="52"/>
      <c r="Q334" s="52"/>
      <c r="U334" s="52"/>
    </row>
    <row r="335">
      <c r="M335" s="52"/>
      <c r="N335" s="52"/>
      <c r="O335" s="52"/>
      <c r="P335" s="52"/>
      <c r="Q335" s="52"/>
      <c r="U335" s="52"/>
    </row>
    <row r="336">
      <c r="M336" s="52"/>
      <c r="N336" s="52"/>
      <c r="O336" s="52"/>
      <c r="P336" s="52"/>
      <c r="Q336" s="52"/>
      <c r="U336" s="52"/>
    </row>
    <row r="337">
      <c r="M337" s="52"/>
      <c r="N337" s="52"/>
      <c r="O337" s="52"/>
      <c r="P337" s="52"/>
      <c r="Q337" s="52"/>
      <c r="U337" s="52"/>
    </row>
    <row r="338">
      <c r="M338" s="52"/>
      <c r="N338" s="52"/>
      <c r="O338" s="52"/>
      <c r="P338" s="52"/>
      <c r="Q338" s="52"/>
      <c r="U338" s="52"/>
    </row>
    <row r="339">
      <c r="M339" s="52"/>
      <c r="N339" s="52"/>
      <c r="O339" s="52"/>
      <c r="P339" s="52"/>
      <c r="Q339" s="52"/>
      <c r="U339" s="52"/>
    </row>
    <row r="340">
      <c r="M340" s="52"/>
      <c r="N340" s="52"/>
      <c r="O340" s="52"/>
      <c r="P340" s="52"/>
      <c r="Q340" s="52"/>
      <c r="U340" s="52"/>
    </row>
    <row r="341">
      <c r="M341" s="52"/>
      <c r="N341" s="52"/>
      <c r="O341" s="52"/>
      <c r="P341" s="52"/>
      <c r="Q341" s="52"/>
      <c r="U341" s="52"/>
    </row>
    <row r="342">
      <c r="M342" s="52"/>
      <c r="N342" s="52"/>
      <c r="O342" s="52"/>
      <c r="P342" s="52"/>
      <c r="Q342" s="52"/>
      <c r="U342" s="52"/>
    </row>
    <row r="343">
      <c r="M343" s="52"/>
      <c r="N343" s="52"/>
      <c r="O343" s="52"/>
      <c r="P343" s="52"/>
      <c r="Q343" s="52"/>
      <c r="U343" s="52"/>
    </row>
    <row r="344">
      <c r="M344" s="52"/>
      <c r="N344" s="52"/>
      <c r="O344" s="52"/>
      <c r="P344" s="52"/>
      <c r="Q344" s="52"/>
      <c r="U344" s="52"/>
    </row>
    <row r="345">
      <c r="M345" s="52"/>
      <c r="N345" s="52"/>
      <c r="O345" s="52"/>
      <c r="P345" s="52"/>
      <c r="Q345" s="52"/>
      <c r="U345" s="52"/>
    </row>
    <row r="346">
      <c r="M346" s="52"/>
      <c r="N346" s="52"/>
      <c r="O346" s="52"/>
      <c r="P346" s="52"/>
      <c r="Q346" s="52"/>
      <c r="U346" s="52"/>
    </row>
    <row r="347">
      <c r="M347" s="52"/>
      <c r="N347" s="52"/>
      <c r="O347" s="52"/>
      <c r="P347" s="52"/>
      <c r="Q347" s="52"/>
      <c r="U347" s="52"/>
    </row>
    <row r="348">
      <c r="M348" s="52"/>
      <c r="N348" s="52"/>
      <c r="O348" s="52"/>
      <c r="P348" s="52"/>
      <c r="Q348" s="52"/>
      <c r="U348" s="52"/>
    </row>
    <row r="349">
      <c r="M349" s="52"/>
      <c r="N349" s="52"/>
      <c r="O349" s="52"/>
      <c r="P349" s="52"/>
      <c r="Q349" s="52"/>
      <c r="U349" s="52"/>
    </row>
    <row r="350">
      <c r="M350" s="52"/>
      <c r="N350" s="52"/>
      <c r="O350" s="52"/>
      <c r="P350" s="52"/>
      <c r="Q350" s="52"/>
      <c r="U350" s="52"/>
    </row>
    <row r="351">
      <c r="M351" s="52"/>
      <c r="N351" s="52"/>
      <c r="O351" s="52"/>
      <c r="P351" s="52"/>
      <c r="Q351" s="52"/>
      <c r="U351" s="52"/>
    </row>
    <row r="352">
      <c r="M352" s="52"/>
      <c r="N352" s="52"/>
      <c r="O352" s="52"/>
      <c r="P352" s="52"/>
      <c r="Q352" s="52"/>
      <c r="U352" s="52"/>
    </row>
    <row r="353">
      <c r="M353" s="52"/>
      <c r="N353" s="52"/>
      <c r="O353" s="52"/>
      <c r="P353" s="52"/>
      <c r="Q353" s="52"/>
      <c r="U353" s="52"/>
    </row>
    <row r="354">
      <c r="M354" s="52"/>
      <c r="N354" s="52"/>
      <c r="O354" s="52"/>
      <c r="P354" s="52"/>
      <c r="Q354" s="52"/>
      <c r="U354" s="52"/>
    </row>
    <row r="355">
      <c r="M355" s="52"/>
      <c r="N355" s="52"/>
      <c r="O355" s="52"/>
      <c r="P355" s="52"/>
      <c r="Q355" s="52"/>
      <c r="U355" s="52"/>
    </row>
    <row r="356">
      <c r="M356" s="52"/>
      <c r="N356" s="52"/>
      <c r="O356" s="52"/>
      <c r="P356" s="52"/>
      <c r="Q356" s="52"/>
      <c r="U356" s="52"/>
    </row>
    <row r="357">
      <c r="M357" s="52"/>
      <c r="N357" s="52"/>
      <c r="O357" s="52"/>
      <c r="P357" s="52"/>
      <c r="Q357" s="52"/>
      <c r="U357" s="52"/>
    </row>
    <row r="358">
      <c r="M358" s="52"/>
      <c r="N358" s="52"/>
      <c r="O358" s="52"/>
      <c r="P358" s="52"/>
      <c r="Q358" s="52"/>
      <c r="U358" s="52"/>
    </row>
    <row r="359">
      <c r="M359" s="52"/>
      <c r="N359" s="52"/>
      <c r="O359" s="52"/>
      <c r="P359" s="52"/>
      <c r="Q359" s="52"/>
      <c r="U359" s="52"/>
    </row>
    <row r="360">
      <c r="M360" s="52"/>
      <c r="N360" s="52"/>
      <c r="O360" s="52"/>
      <c r="P360" s="52"/>
      <c r="Q360" s="52"/>
      <c r="U360" s="52"/>
    </row>
    <row r="361">
      <c r="M361" s="52"/>
      <c r="N361" s="52"/>
      <c r="O361" s="52"/>
      <c r="P361" s="52"/>
      <c r="Q361" s="52"/>
      <c r="U361" s="52"/>
    </row>
    <row r="362">
      <c r="M362" s="52"/>
      <c r="N362" s="52"/>
      <c r="O362" s="52"/>
      <c r="P362" s="52"/>
      <c r="Q362" s="52"/>
      <c r="U362" s="52"/>
    </row>
    <row r="363">
      <c r="M363" s="52"/>
      <c r="N363" s="52"/>
      <c r="O363" s="52"/>
      <c r="P363" s="52"/>
      <c r="Q363" s="52"/>
      <c r="U363" s="52"/>
    </row>
    <row r="364">
      <c r="M364" s="52"/>
      <c r="N364" s="52"/>
      <c r="O364" s="52"/>
      <c r="P364" s="52"/>
      <c r="Q364" s="52"/>
      <c r="U364" s="52"/>
    </row>
    <row r="365">
      <c r="M365" s="52"/>
      <c r="N365" s="52"/>
      <c r="O365" s="52"/>
      <c r="P365" s="52"/>
      <c r="Q365" s="52"/>
      <c r="U365" s="52"/>
    </row>
    <row r="366">
      <c r="M366" s="52"/>
      <c r="N366" s="52"/>
      <c r="O366" s="52"/>
      <c r="P366" s="52"/>
      <c r="Q366" s="52"/>
      <c r="U366" s="52"/>
    </row>
    <row r="367">
      <c r="M367" s="52"/>
      <c r="N367" s="52"/>
      <c r="O367" s="52"/>
      <c r="P367" s="52"/>
      <c r="Q367" s="52"/>
      <c r="U367" s="52"/>
    </row>
    <row r="368">
      <c r="M368" s="52"/>
      <c r="N368" s="52"/>
      <c r="O368" s="52"/>
      <c r="P368" s="52"/>
      <c r="Q368" s="52"/>
      <c r="U368" s="52"/>
    </row>
    <row r="369">
      <c r="M369" s="52"/>
      <c r="N369" s="52"/>
      <c r="O369" s="52"/>
      <c r="P369" s="52"/>
      <c r="Q369" s="52"/>
      <c r="U369" s="52"/>
    </row>
    <row r="370">
      <c r="M370" s="52"/>
      <c r="N370" s="52"/>
      <c r="O370" s="52"/>
      <c r="P370" s="52"/>
      <c r="Q370" s="52"/>
      <c r="U370" s="52"/>
    </row>
    <row r="371">
      <c r="M371" s="52"/>
      <c r="N371" s="52"/>
      <c r="O371" s="52"/>
      <c r="P371" s="52"/>
      <c r="Q371" s="52"/>
      <c r="U371" s="52"/>
    </row>
    <row r="372">
      <c r="M372" s="52"/>
      <c r="N372" s="52"/>
      <c r="O372" s="52"/>
      <c r="P372" s="52"/>
      <c r="Q372" s="52"/>
      <c r="U372" s="52"/>
    </row>
    <row r="373">
      <c r="M373" s="52"/>
      <c r="N373" s="52"/>
      <c r="O373" s="52"/>
      <c r="P373" s="52"/>
      <c r="Q373" s="52"/>
      <c r="U373" s="52"/>
    </row>
    <row r="374">
      <c r="M374" s="52"/>
      <c r="N374" s="52"/>
      <c r="O374" s="52"/>
      <c r="P374" s="52"/>
      <c r="Q374" s="52"/>
      <c r="U374" s="52"/>
    </row>
    <row r="375">
      <c r="M375" s="52"/>
      <c r="N375" s="52"/>
      <c r="O375" s="52"/>
      <c r="P375" s="52"/>
      <c r="Q375" s="52"/>
      <c r="U375" s="52"/>
    </row>
    <row r="376">
      <c r="M376" s="52"/>
      <c r="N376" s="52"/>
      <c r="O376" s="52"/>
      <c r="P376" s="52"/>
      <c r="Q376" s="52"/>
      <c r="U376" s="52"/>
    </row>
    <row r="377">
      <c r="M377" s="52"/>
      <c r="N377" s="52"/>
      <c r="O377" s="52"/>
      <c r="P377" s="52"/>
      <c r="Q377" s="52"/>
      <c r="U377" s="52"/>
    </row>
    <row r="378">
      <c r="M378" s="52"/>
      <c r="N378" s="52"/>
      <c r="O378" s="52"/>
      <c r="P378" s="52"/>
      <c r="Q378" s="52"/>
      <c r="U378" s="52"/>
    </row>
    <row r="379">
      <c r="M379" s="52"/>
      <c r="N379" s="52"/>
      <c r="O379" s="52"/>
      <c r="P379" s="52"/>
      <c r="Q379" s="52"/>
      <c r="U379" s="52"/>
    </row>
    <row r="380">
      <c r="M380" s="52"/>
      <c r="N380" s="52"/>
      <c r="O380" s="52"/>
      <c r="P380" s="52"/>
      <c r="Q380" s="52"/>
      <c r="U380" s="52"/>
    </row>
    <row r="381">
      <c r="M381" s="52"/>
      <c r="N381" s="52"/>
      <c r="O381" s="52"/>
      <c r="P381" s="52"/>
      <c r="Q381" s="52"/>
      <c r="U381" s="52"/>
    </row>
    <row r="382">
      <c r="M382" s="52"/>
      <c r="N382" s="52"/>
      <c r="O382" s="52"/>
      <c r="P382" s="52"/>
      <c r="Q382" s="52"/>
      <c r="U382" s="52"/>
    </row>
    <row r="383">
      <c r="M383" s="52"/>
      <c r="N383" s="52"/>
      <c r="O383" s="52"/>
      <c r="P383" s="52"/>
      <c r="Q383" s="52"/>
      <c r="U383" s="52"/>
    </row>
    <row r="384">
      <c r="M384" s="52"/>
      <c r="N384" s="52"/>
      <c r="O384" s="52"/>
      <c r="P384" s="52"/>
      <c r="Q384" s="52"/>
      <c r="U384" s="52"/>
    </row>
    <row r="385">
      <c r="M385" s="52"/>
      <c r="N385" s="52"/>
      <c r="O385" s="52"/>
      <c r="P385" s="52"/>
      <c r="Q385" s="52"/>
      <c r="U385" s="52"/>
    </row>
    <row r="386">
      <c r="M386" s="52"/>
      <c r="N386" s="52"/>
      <c r="O386" s="52"/>
      <c r="P386" s="52"/>
      <c r="Q386" s="52"/>
      <c r="U386" s="52"/>
    </row>
    <row r="387">
      <c r="M387" s="52"/>
      <c r="N387" s="52"/>
      <c r="O387" s="52"/>
      <c r="P387" s="52"/>
      <c r="Q387" s="52"/>
      <c r="U387" s="52"/>
    </row>
    <row r="388">
      <c r="M388" s="52"/>
      <c r="N388" s="52"/>
      <c r="O388" s="52"/>
      <c r="P388" s="52"/>
      <c r="Q388" s="52"/>
      <c r="U388" s="52"/>
    </row>
    <row r="389">
      <c r="M389" s="52"/>
      <c r="N389" s="52"/>
      <c r="O389" s="52"/>
      <c r="P389" s="52"/>
      <c r="Q389" s="52"/>
      <c r="U389" s="52"/>
    </row>
    <row r="390">
      <c r="M390" s="52"/>
      <c r="N390" s="52"/>
      <c r="O390" s="52"/>
      <c r="P390" s="52"/>
      <c r="Q390" s="52"/>
      <c r="U390" s="52"/>
    </row>
    <row r="391">
      <c r="M391" s="52"/>
      <c r="N391" s="52"/>
      <c r="O391" s="52"/>
      <c r="P391" s="52"/>
      <c r="Q391" s="52"/>
      <c r="U391" s="52"/>
    </row>
    <row r="392">
      <c r="M392" s="52"/>
      <c r="N392" s="52"/>
      <c r="O392" s="52"/>
      <c r="P392" s="52"/>
      <c r="Q392" s="52"/>
      <c r="U392" s="52"/>
    </row>
    <row r="393">
      <c r="M393" s="52"/>
      <c r="N393" s="52"/>
      <c r="O393" s="52"/>
      <c r="P393" s="52"/>
      <c r="Q393" s="52"/>
      <c r="U393" s="52"/>
    </row>
    <row r="394">
      <c r="M394" s="52"/>
      <c r="N394" s="52"/>
      <c r="O394" s="52"/>
      <c r="P394" s="52"/>
      <c r="Q394" s="52"/>
      <c r="U394" s="52"/>
    </row>
    <row r="395">
      <c r="M395" s="52"/>
      <c r="N395" s="52"/>
      <c r="O395" s="52"/>
      <c r="P395" s="52"/>
      <c r="Q395" s="52"/>
      <c r="U395" s="52"/>
    </row>
    <row r="396">
      <c r="M396" s="52"/>
      <c r="N396" s="52"/>
      <c r="O396" s="52"/>
      <c r="P396" s="52"/>
      <c r="Q396" s="52"/>
      <c r="U396" s="52"/>
    </row>
    <row r="397">
      <c r="M397" s="52"/>
      <c r="N397" s="52"/>
      <c r="O397" s="52"/>
      <c r="P397" s="52"/>
      <c r="Q397" s="52"/>
      <c r="U397" s="52"/>
    </row>
    <row r="398">
      <c r="M398" s="52"/>
      <c r="N398" s="52"/>
      <c r="O398" s="52"/>
      <c r="P398" s="52"/>
      <c r="Q398" s="52"/>
      <c r="U398" s="52"/>
    </row>
    <row r="399">
      <c r="M399" s="52"/>
      <c r="N399" s="52"/>
      <c r="O399" s="52"/>
      <c r="P399" s="52"/>
      <c r="Q399" s="52"/>
      <c r="U399" s="52"/>
    </row>
    <row r="400">
      <c r="M400" s="52"/>
      <c r="N400" s="52"/>
      <c r="O400" s="52"/>
      <c r="P400" s="52"/>
      <c r="Q400" s="52"/>
      <c r="U400" s="52"/>
    </row>
    <row r="401">
      <c r="M401" s="52"/>
      <c r="N401" s="52"/>
      <c r="O401" s="52"/>
      <c r="P401" s="52"/>
      <c r="Q401" s="52"/>
      <c r="U401" s="52"/>
    </row>
    <row r="402">
      <c r="M402" s="52"/>
      <c r="N402" s="52"/>
      <c r="O402" s="52"/>
      <c r="P402" s="52"/>
      <c r="Q402" s="52"/>
      <c r="U402" s="52"/>
    </row>
    <row r="403">
      <c r="M403" s="52"/>
      <c r="N403" s="52"/>
      <c r="O403" s="52"/>
      <c r="P403" s="52"/>
      <c r="Q403" s="52"/>
      <c r="U403" s="52"/>
    </row>
    <row r="404">
      <c r="M404" s="52"/>
      <c r="N404" s="52"/>
      <c r="O404" s="52"/>
      <c r="P404" s="52"/>
      <c r="Q404" s="52"/>
      <c r="U404" s="52"/>
    </row>
    <row r="405">
      <c r="M405" s="52"/>
      <c r="N405" s="52"/>
      <c r="O405" s="52"/>
      <c r="P405" s="52"/>
      <c r="Q405" s="52"/>
      <c r="U405" s="52"/>
    </row>
    <row r="406">
      <c r="M406" s="52"/>
      <c r="N406" s="52"/>
      <c r="O406" s="52"/>
      <c r="P406" s="52"/>
      <c r="Q406" s="52"/>
      <c r="U406" s="52"/>
    </row>
    <row r="407">
      <c r="M407" s="52"/>
      <c r="N407" s="52"/>
      <c r="O407" s="52"/>
      <c r="P407" s="52"/>
      <c r="Q407" s="52"/>
      <c r="U407" s="52"/>
    </row>
    <row r="408">
      <c r="M408" s="52"/>
      <c r="N408" s="52"/>
      <c r="O408" s="52"/>
      <c r="P408" s="52"/>
      <c r="Q408" s="52"/>
      <c r="U408" s="52"/>
    </row>
    <row r="409">
      <c r="M409" s="52"/>
      <c r="N409" s="52"/>
      <c r="O409" s="52"/>
      <c r="P409" s="52"/>
      <c r="Q409" s="52"/>
      <c r="U409" s="52"/>
    </row>
    <row r="410">
      <c r="M410" s="52"/>
      <c r="N410" s="52"/>
      <c r="O410" s="52"/>
      <c r="P410" s="52"/>
      <c r="Q410" s="52"/>
      <c r="U410" s="52"/>
    </row>
    <row r="411">
      <c r="M411" s="52"/>
      <c r="N411" s="52"/>
      <c r="O411" s="52"/>
      <c r="P411" s="52"/>
      <c r="Q411" s="52"/>
      <c r="U411" s="52"/>
    </row>
    <row r="412">
      <c r="M412" s="52"/>
      <c r="N412" s="52"/>
      <c r="O412" s="52"/>
      <c r="P412" s="52"/>
      <c r="Q412" s="52"/>
      <c r="U412" s="52"/>
    </row>
    <row r="413">
      <c r="M413" s="52"/>
      <c r="N413" s="52"/>
      <c r="O413" s="52"/>
      <c r="P413" s="52"/>
      <c r="Q413" s="52"/>
      <c r="U413" s="52"/>
    </row>
    <row r="414">
      <c r="M414" s="52"/>
      <c r="N414" s="52"/>
      <c r="O414" s="52"/>
      <c r="P414" s="52"/>
      <c r="Q414" s="52"/>
      <c r="U414" s="52"/>
    </row>
    <row r="415">
      <c r="M415" s="52"/>
      <c r="N415" s="52"/>
      <c r="O415" s="52"/>
      <c r="P415" s="52"/>
      <c r="Q415" s="52"/>
      <c r="U415" s="52"/>
    </row>
    <row r="416">
      <c r="M416" s="52"/>
      <c r="N416" s="52"/>
      <c r="O416" s="52"/>
      <c r="P416" s="52"/>
      <c r="Q416" s="52"/>
      <c r="U416" s="52"/>
    </row>
    <row r="417">
      <c r="M417" s="52"/>
      <c r="N417" s="52"/>
      <c r="O417" s="52"/>
      <c r="P417" s="52"/>
      <c r="Q417" s="52"/>
      <c r="U417" s="52"/>
    </row>
    <row r="418">
      <c r="M418" s="52"/>
      <c r="N418" s="52"/>
      <c r="O418" s="52"/>
      <c r="P418" s="52"/>
      <c r="Q418" s="52"/>
      <c r="U418" s="52"/>
    </row>
    <row r="419">
      <c r="M419" s="52"/>
      <c r="N419" s="52"/>
      <c r="O419" s="52"/>
      <c r="P419" s="52"/>
      <c r="Q419" s="52"/>
      <c r="U419" s="52"/>
    </row>
    <row r="420">
      <c r="M420" s="52"/>
      <c r="N420" s="52"/>
      <c r="O420" s="52"/>
      <c r="P420" s="52"/>
      <c r="Q420" s="52"/>
      <c r="U420" s="52"/>
    </row>
    <row r="421">
      <c r="M421" s="52"/>
      <c r="N421" s="52"/>
      <c r="O421" s="52"/>
      <c r="P421" s="52"/>
      <c r="Q421" s="52"/>
      <c r="U421" s="52"/>
    </row>
    <row r="422">
      <c r="M422" s="52"/>
      <c r="N422" s="52"/>
      <c r="O422" s="52"/>
      <c r="P422" s="52"/>
      <c r="Q422" s="52"/>
      <c r="U422" s="52"/>
    </row>
    <row r="423">
      <c r="M423" s="52"/>
      <c r="N423" s="52"/>
      <c r="O423" s="52"/>
      <c r="P423" s="52"/>
      <c r="Q423" s="52"/>
      <c r="U423" s="52"/>
    </row>
    <row r="424">
      <c r="M424" s="52"/>
      <c r="N424" s="52"/>
      <c r="O424" s="52"/>
      <c r="P424" s="52"/>
      <c r="Q424" s="52"/>
      <c r="U424" s="52"/>
    </row>
    <row r="425">
      <c r="M425" s="52"/>
      <c r="N425" s="52"/>
      <c r="O425" s="52"/>
      <c r="P425" s="52"/>
      <c r="Q425" s="52"/>
      <c r="U425" s="52"/>
    </row>
    <row r="426">
      <c r="M426" s="52"/>
      <c r="N426" s="52"/>
      <c r="O426" s="52"/>
      <c r="P426" s="52"/>
      <c r="Q426" s="52"/>
      <c r="U426" s="52"/>
    </row>
    <row r="427">
      <c r="M427" s="52"/>
      <c r="N427" s="52"/>
      <c r="O427" s="52"/>
      <c r="P427" s="52"/>
      <c r="Q427" s="52"/>
      <c r="U427" s="52"/>
    </row>
    <row r="428">
      <c r="M428" s="52"/>
      <c r="N428" s="52"/>
      <c r="O428" s="52"/>
      <c r="P428" s="52"/>
      <c r="Q428" s="52"/>
      <c r="U428" s="52"/>
    </row>
    <row r="429">
      <c r="M429" s="52"/>
      <c r="N429" s="52"/>
      <c r="O429" s="52"/>
      <c r="P429" s="52"/>
      <c r="Q429" s="52"/>
      <c r="U429" s="52"/>
    </row>
    <row r="430">
      <c r="M430" s="52"/>
      <c r="N430" s="52"/>
      <c r="O430" s="52"/>
      <c r="P430" s="52"/>
      <c r="Q430" s="52"/>
      <c r="U430" s="52"/>
    </row>
    <row r="431">
      <c r="M431" s="52"/>
      <c r="N431" s="52"/>
      <c r="O431" s="52"/>
      <c r="P431" s="52"/>
      <c r="Q431" s="52"/>
      <c r="U431" s="52"/>
    </row>
    <row r="432">
      <c r="M432" s="52"/>
      <c r="N432" s="52"/>
      <c r="O432" s="52"/>
      <c r="P432" s="52"/>
      <c r="Q432" s="52"/>
      <c r="U432" s="52"/>
    </row>
    <row r="433">
      <c r="M433" s="52"/>
      <c r="N433" s="52"/>
      <c r="O433" s="52"/>
      <c r="P433" s="52"/>
      <c r="Q433" s="52"/>
      <c r="U433" s="52"/>
    </row>
    <row r="434">
      <c r="M434" s="52"/>
      <c r="N434" s="52"/>
      <c r="O434" s="52"/>
      <c r="P434" s="52"/>
      <c r="Q434" s="52"/>
      <c r="U434" s="52"/>
    </row>
    <row r="435">
      <c r="M435" s="52"/>
      <c r="N435" s="52"/>
      <c r="O435" s="52"/>
      <c r="P435" s="52"/>
      <c r="Q435" s="52"/>
      <c r="U435" s="52"/>
    </row>
    <row r="436">
      <c r="M436" s="52"/>
      <c r="N436" s="52"/>
      <c r="O436" s="52"/>
      <c r="P436" s="52"/>
      <c r="Q436" s="52"/>
      <c r="U436" s="52"/>
    </row>
    <row r="437">
      <c r="M437" s="52"/>
      <c r="N437" s="52"/>
      <c r="O437" s="52"/>
      <c r="P437" s="52"/>
      <c r="Q437" s="52"/>
      <c r="U437" s="52"/>
    </row>
    <row r="438">
      <c r="M438" s="52"/>
      <c r="N438" s="52"/>
      <c r="O438" s="52"/>
      <c r="P438" s="52"/>
      <c r="Q438" s="52"/>
      <c r="U438" s="52"/>
    </row>
    <row r="439">
      <c r="M439" s="52"/>
      <c r="N439" s="52"/>
      <c r="O439" s="52"/>
      <c r="P439" s="52"/>
      <c r="Q439" s="52"/>
      <c r="U439" s="52"/>
    </row>
    <row r="440">
      <c r="M440" s="52"/>
      <c r="N440" s="52"/>
      <c r="O440" s="52"/>
      <c r="P440" s="52"/>
      <c r="Q440" s="52"/>
      <c r="U440" s="52"/>
    </row>
    <row r="441">
      <c r="M441" s="52"/>
      <c r="N441" s="52"/>
      <c r="O441" s="52"/>
      <c r="P441" s="52"/>
      <c r="Q441" s="52"/>
      <c r="U441" s="52"/>
    </row>
    <row r="442">
      <c r="M442" s="52"/>
      <c r="N442" s="52"/>
      <c r="O442" s="52"/>
      <c r="P442" s="52"/>
      <c r="Q442" s="52"/>
      <c r="U442" s="52"/>
    </row>
    <row r="443">
      <c r="M443" s="52"/>
      <c r="N443" s="52"/>
      <c r="O443" s="52"/>
      <c r="P443" s="52"/>
      <c r="Q443" s="52"/>
      <c r="U443" s="52"/>
    </row>
    <row r="444">
      <c r="M444" s="52"/>
      <c r="N444" s="52"/>
      <c r="O444" s="52"/>
      <c r="P444" s="52"/>
      <c r="Q444" s="52"/>
      <c r="U444" s="52"/>
    </row>
    <row r="445">
      <c r="M445" s="52"/>
      <c r="N445" s="52"/>
      <c r="O445" s="52"/>
      <c r="P445" s="52"/>
      <c r="Q445" s="52"/>
      <c r="U445" s="52"/>
    </row>
    <row r="446">
      <c r="M446" s="52"/>
      <c r="N446" s="52"/>
      <c r="O446" s="52"/>
      <c r="P446" s="52"/>
      <c r="Q446" s="52"/>
      <c r="U446" s="52"/>
    </row>
    <row r="447">
      <c r="M447" s="52"/>
      <c r="N447" s="52"/>
      <c r="O447" s="52"/>
      <c r="P447" s="52"/>
      <c r="Q447" s="52"/>
      <c r="U447" s="52"/>
    </row>
    <row r="448">
      <c r="M448" s="52"/>
      <c r="N448" s="52"/>
      <c r="O448" s="52"/>
      <c r="P448" s="52"/>
      <c r="Q448" s="52"/>
      <c r="U448" s="52"/>
    </row>
    <row r="449">
      <c r="M449" s="52"/>
      <c r="N449" s="52"/>
      <c r="O449" s="52"/>
      <c r="P449" s="52"/>
      <c r="Q449" s="52"/>
      <c r="U449" s="52"/>
    </row>
    <row r="450">
      <c r="M450" s="52"/>
      <c r="N450" s="52"/>
      <c r="O450" s="52"/>
      <c r="P450" s="52"/>
      <c r="Q450" s="52"/>
      <c r="U450" s="52"/>
    </row>
    <row r="451">
      <c r="M451" s="52"/>
      <c r="N451" s="52"/>
      <c r="O451" s="52"/>
      <c r="P451" s="52"/>
      <c r="Q451" s="52"/>
      <c r="U451" s="52"/>
    </row>
    <row r="452">
      <c r="M452" s="52"/>
      <c r="N452" s="52"/>
      <c r="O452" s="52"/>
      <c r="P452" s="52"/>
      <c r="Q452" s="52"/>
      <c r="U452" s="52"/>
    </row>
    <row r="453">
      <c r="M453" s="52"/>
      <c r="N453" s="52"/>
      <c r="O453" s="52"/>
      <c r="P453" s="52"/>
      <c r="Q453" s="52"/>
      <c r="U453" s="52"/>
    </row>
    <row r="454">
      <c r="M454" s="52"/>
      <c r="N454" s="52"/>
      <c r="O454" s="52"/>
      <c r="P454" s="52"/>
      <c r="Q454" s="52"/>
      <c r="U454" s="52"/>
    </row>
    <row r="455">
      <c r="M455" s="52"/>
      <c r="N455" s="52"/>
      <c r="O455" s="52"/>
      <c r="P455" s="52"/>
      <c r="Q455" s="52"/>
      <c r="U455" s="52"/>
    </row>
    <row r="456">
      <c r="M456" s="52"/>
      <c r="N456" s="52"/>
      <c r="O456" s="52"/>
      <c r="P456" s="52"/>
      <c r="Q456" s="52"/>
      <c r="U456" s="52"/>
    </row>
    <row r="457">
      <c r="M457" s="52"/>
      <c r="N457" s="52"/>
      <c r="O457" s="52"/>
      <c r="P457" s="52"/>
      <c r="Q457" s="52"/>
      <c r="U457" s="52"/>
    </row>
    <row r="458">
      <c r="M458" s="52"/>
      <c r="N458" s="52"/>
      <c r="O458" s="52"/>
      <c r="P458" s="52"/>
      <c r="Q458" s="52"/>
      <c r="U458" s="52"/>
    </row>
    <row r="459">
      <c r="M459" s="52"/>
      <c r="N459" s="52"/>
      <c r="O459" s="52"/>
      <c r="P459" s="52"/>
      <c r="Q459" s="52"/>
      <c r="U459" s="52"/>
    </row>
    <row r="460">
      <c r="M460" s="52"/>
      <c r="N460" s="52"/>
      <c r="O460" s="52"/>
      <c r="P460" s="52"/>
      <c r="Q460" s="52"/>
      <c r="U460" s="52"/>
    </row>
    <row r="461">
      <c r="M461" s="52"/>
      <c r="N461" s="52"/>
      <c r="O461" s="52"/>
      <c r="P461" s="52"/>
      <c r="Q461" s="52"/>
      <c r="U461" s="52"/>
    </row>
    <row r="462">
      <c r="M462" s="52"/>
      <c r="N462" s="52"/>
      <c r="O462" s="52"/>
      <c r="P462" s="52"/>
      <c r="Q462" s="52"/>
      <c r="U462" s="52"/>
    </row>
    <row r="463">
      <c r="M463" s="52"/>
      <c r="N463" s="52"/>
      <c r="O463" s="52"/>
      <c r="P463" s="52"/>
      <c r="Q463" s="52"/>
      <c r="U463" s="52"/>
    </row>
    <row r="464">
      <c r="M464" s="52"/>
      <c r="N464" s="52"/>
      <c r="O464" s="52"/>
      <c r="P464" s="52"/>
      <c r="Q464" s="52"/>
      <c r="U464" s="52"/>
    </row>
    <row r="465">
      <c r="M465" s="52"/>
      <c r="N465" s="52"/>
      <c r="O465" s="52"/>
      <c r="P465" s="52"/>
      <c r="Q465" s="52"/>
      <c r="U465" s="52"/>
    </row>
    <row r="466">
      <c r="M466" s="52"/>
      <c r="N466" s="52"/>
      <c r="O466" s="52"/>
      <c r="P466" s="52"/>
      <c r="Q466" s="52"/>
      <c r="U466" s="52"/>
    </row>
    <row r="467">
      <c r="M467" s="52"/>
      <c r="N467" s="52"/>
      <c r="O467" s="52"/>
      <c r="P467" s="52"/>
      <c r="Q467" s="52"/>
      <c r="U467" s="52"/>
    </row>
    <row r="468">
      <c r="M468" s="52"/>
      <c r="N468" s="52"/>
      <c r="O468" s="52"/>
      <c r="P468" s="52"/>
      <c r="Q468" s="52"/>
      <c r="U468" s="52"/>
    </row>
    <row r="469">
      <c r="M469" s="52"/>
      <c r="N469" s="52"/>
      <c r="O469" s="52"/>
      <c r="P469" s="52"/>
      <c r="Q469" s="52"/>
      <c r="U469" s="52"/>
    </row>
    <row r="470">
      <c r="M470" s="52"/>
      <c r="N470" s="52"/>
      <c r="O470" s="52"/>
      <c r="P470" s="52"/>
      <c r="Q470" s="52"/>
      <c r="U470" s="52"/>
    </row>
    <row r="471">
      <c r="M471" s="52"/>
      <c r="N471" s="52"/>
      <c r="O471" s="52"/>
      <c r="P471" s="52"/>
      <c r="Q471" s="52"/>
      <c r="U471" s="52"/>
    </row>
    <row r="472">
      <c r="M472" s="52"/>
      <c r="N472" s="52"/>
      <c r="O472" s="52"/>
      <c r="P472" s="52"/>
      <c r="Q472" s="52"/>
      <c r="U472" s="52"/>
    </row>
    <row r="473">
      <c r="M473" s="52"/>
      <c r="N473" s="52"/>
      <c r="O473" s="52"/>
      <c r="P473" s="52"/>
      <c r="Q473" s="52"/>
      <c r="U473" s="52"/>
    </row>
    <row r="474">
      <c r="M474" s="52"/>
      <c r="N474" s="52"/>
      <c r="O474" s="52"/>
      <c r="P474" s="52"/>
      <c r="Q474" s="52"/>
      <c r="U474" s="52"/>
    </row>
    <row r="475">
      <c r="M475" s="52"/>
      <c r="N475" s="52"/>
      <c r="O475" s="52"/>
      <c r="P475" s="52"/>
      <c r="Q475" s="52"/>
      <c r="U475" s="52"/>
    </row>
    <row r="476">
      <c r="M476" s="52"/>
      <c r="N476" s="52"/>
      <c r="O476" s="52"/>
      <c r="P476" s="52"/>
      <c r="Q476" s="52"/>
      <c r="U476" s="52"/>
    </row>
    <row r="477">
      <c r="M477" s="52"/>
      <c r="N477" s="52"/>
      <c r="O477" s="52"/>
      <c r="P477" s="52"/>
      <c r="Q477" s="52"/>
      <c r="U477" s="52"/>
    </row>
    <row r="478">
      <c r="M478" s="52"/>
      <c r="N478" s="52"/>
      <c r="O478" s="52"/>
      <c r="P478" s="52"/>
      <c r="Q478" s="52"/>
      <c r="U478" s="52"/>
    </row>
    <row r="479">
      <c r="M479" s="52"/>
      <c r="N479" s="52"/>
      <c r="O479" s="52"/>
      <c r="P479" s="52"/>
      <c r="Q479" s="52"/>
      <c r="U479" s="52"/>
    </row>
    <row r="480">
      <c r="M480" s="52"/>
      <c r="N480" s="52"/>
      <c r="O480" s="52"/>
      <c r="P480" s="52"/>
      <c r="Q480" s="52"/>
      <c r="U480" s="52"/>
    </row>
    <row r="481">
      <c r="M481" s="52"/>
      <c r="N481" s="52"/>
      <c r="O481" s="52"/>
      <c r="P481" s="52"/>
      <c r="Q481" s="52"/>
      <c r="U481" s="52"/>
    </row>
    <row r="482">
      <c r="M482" s="52"/>
      <c r="N482" s="52"/>
      <c r="O482" s="52"/>
      <c r="P482" s="52"/>
      <c r="Q482" s="52"/>
      <c r="U482" s="52"/>
    </row>
    <row r="483">
      <c r="M483" s="52"/>
      <c r="N483" s="52"/>
      <c r="O483" s="52"/>
      <c r="P483" s="52"/>
      <c r="Q483" s="52"/>
      <c r="U483" s="52"/>
    </row>
    <row r="484">
      <c r="M484" s="52"/>
      <c r="N484" s="52"/>
      <c r="O484" s="52"/>
      <c r="P484" s="52"/>
      <c r="Q484" s="52"/>
      <c r="U484" s="52"/>
    </row>
    <row r="485">
      <c r="M485" s="52"/>
      <c r="N485" s="52"/>
      <c r="O485" s="52"/>
      <c r="P485" s="52"/>
      <c r="Q485" s="52"/>
      <c r="U485" s="52"/>
    </row>
    <row r="486">
      <c r="M486" s="52"/>
      <c r="N486" s="52"/>
      <c r="O486" s="52"/>
      <c r="P486" s="52"/>
      <c r="Q486" s="52"/>
      <c r="U486" s="52"/>
    </row>
    <row r="487">
      <c r="M487" s="52"/>
      <c r="N487" s="52"/>
      <c r="O487" s="52"/>
      <c r="P487" s="52"/>
      <c r="Q487" s="52"/>
      <c r="U487" s="52"/>
    </row>
    <row r="488">
      <c r="M488" s="52"/>
      <c r="N488" s="52"/>
      <c r="O488" s="52"/>
      <c r="P488" s="52"/>
      <c r="Q488" s="52"/>
      <c r="U488" s="52"/>
    </row>
    <row r="489">
      <c r="M489" s="52"/>
      <c r="N489" s="52"/>
      <c r="O489" s="52"/>
      <c r="P489" s="52"/>
      <c r="Q489" s="52"/>
      <c r="U489" s="52"/>
    </row>
    <row r="490">
      <c r="M490" s="52"/>
      <c r="N490" s="52"/>
      <c r="O490" s="52"/>
      <c r="P490" s="52"/>
      <c r="Q490" s="52"/>
      <c r="U490" s="52"/>
    </row>
    <row r="491">
      <c r="M491" s="52"/>
      <c r="N491" s="52"/>
      <c r="O491" s="52"/>
      <c r="P491" s="52"/>
      <c r="Q491" s="52"/>
      <c r="U491" s="52"/>
    </row>
    <row r="492">
      <c r="M492" s="52"/>
      <c r="N492" s="52"/>
      <c r="O492" s="52"/>
      <c r="P492" s="52"/>
      <c r="Q492" s="52"/>
      <c r="U492" s="52"/>
    </row>
    <row r="493">
      <c r="M493" s="52"/>
      <c r="N493" s="52"/>
      <c r="O493" s="52"/>
      <c r="P493" s="52"/>
      <c r="Q493" s="52"/>
      <c r="U493" s="52"/>
    </row>
    <row r="494">
      <c r="M494" s="52"/>
      <c r="N494" s="52"/>
      <c r="O494" s="52"/>
      <c r="P494" s="52"/>
      <c r="Q494" s="52"/>
      <c r="U494" s="52"/>
    </row>
    <row r="495">
      <c r="M495" s="52"/>
      <c r="N495" s="52"/>
      <c r="O495" s="52"/>
      <c r="P495" s="52"/>
      <c r="Q495" s="52"/>
      <c r="U495" s="52"/>
    </row>
    <row r="496">
      <c r="M496" s="52"/>
      <c r="N496" s="52"/>
      <c r="O496" s="52"/>
      <c r="P496" s="52"/>
      <c r="Q496" s="52"/>
      <c r="U496" s="52"/>
    </row>
    <row r="497">
      <c r="M497" s="52"/>
      <c r="N497" s="52"/>
      <c r="O497" s="52"/>
      <c r="P497" s="52"/>
      <c r="Q497" s="52"/>
      <c r="U497" s="52"/>
    </row>
    <row r="498">
      <c r="M498" s="52"/>
      <c r="N498" s="52"/>
      <c r="O498" s="52"/>
      <c r="P498" s="52"/>
      <c r="Q498" s="52"/>
      <c r="U498" s="52"/>
    </row>
    <row r="499">
      <c r="M499" s="52"/>
      <c r="N499" s="52"/>
      <c r="O499" s="52"/>
      <c r="P499" s="52"/>
      <c r="Q499" s="52"/>
      <c r="U499" s="52"/>
    </row>
    <row r="500">
      <c r="M500" s="52"/>
      <c r="N500" s="52"/>
      <c r="O500" s="52"/>
      <c r="P500" s="52"/>
      <c r="Q500" s="52"/>
      <c r="U500" s="52"/>
    </row>
    <row r="501">
      <c r="M501" s="52"/>
      <c r="N501" s="52"/>
      <c r="O501" s="52"/>
      <c r="P501" s="52"/>
      <c r="Q501" s="52"/>
      <c r="U501" s="52"/>
    </row>
    <row r="502">
      <c r="M502" s="52"/>
      <c r="N502" s="52"/>
      <c r="O502" s="52"/>
      <c r="P502" s="52"/>
      <c r="Q502" s="52"/>
      <c r="U502" s="52"/>
    </row>
    <row r="503">
      <c r="M503" s="52"/>
      <c r="N503" s="52"/>
      <c r="O503" s="52"/>
      <c r="P503" s="52"/>
      <c r="Q503" s="52"/>
      <c r="U503" s="52"/>
    </row>
    <row r="504">
      <c r="M504" s="52"/>
      <c r="N504" s="52"/>
      <c r="O504" s="52"/>
      <c r="P504" s="52"/>
      <c r="Q504" s="52"/>
      <c r="U504" s="52"/>
    </row>
    <row r="505">
      <c r="M505" s="52"/>
      <c r="N505" s="52"/>
      <c r="O505" s="52"/>
      <c r="P505" s="52"/>
      <c r="Q505" s="52"/>
      <c r="U505" s="52"/>
    </row>
    <row r="506">
      <c r="M506" s="52"/>
      <c r="N506" s="52"/>
      <c r="O506" s="52"/>
      <c r="P506" s="52"/>
      <c r="Q506" s="52"/>
      <c r="U506" s="52"/>
    </row>
    <row r="507">
      <c r="M507" s="52"/>
      <c r="N507" s="52"/>
      <c r="O507" s="52"/>
      <c r="P507" s="52"/>
      <c r="Q507" s="52"/>
      <c r="U507" s="52"/>
    </row>
    <row r="508">
      <c r="M508" s="52"/>
      <c r="N508" s="52"/>
      <c r="O508" s="52"/>
      <c r="P508" s="52"/>
      <c r="Q508" s="52"/>
      <c r="U508" s="52"/>
    </row>
    <row r="509">
      <c r="M509" s="52"/>
      <c r="N509" s="52"/>
      <c r="O509" s="52"/>
      <c r="P509" s="52"/>
      <c r="Q509" s="52"/>
      <c r="U509" s="52"/>
    </row>
    <row r="510">
      <c r="M510" s="52"/>
      <c r="N510" s="52"/>
      <c r="O510" s="52"/>
      <c r="P510" s="52"/>
      <c r="Q510" s="52"/>
      <c r="U510" s="52"/>
    </row>
    <row r="511">
      <c r="M511" s="52"/>
      <c r="N511" s="52"/>
      <c r="O511" s="52"/>
      <c r="P511" s="52"/>
      <c r="Q511" s="52"/>
      <c r="U511" s="52"/>
    </row>
    <row r="512">
      <c r="M512" s="52"/>
      <c r="N512" s="52"/>
      <c r="O512" s="52"/>
      <c r="P512" s="52"/>
      <c r="Q512" s="52"/>
      <c r="U512" s="52"/>
    </row>
    <row r="513">
      <c r="M513" s="52"/>
      <c r="N513" s="52"/>
      <c r="O513" s="52"/>
      <c r="P513" s="52"/>
      <c r="Q513" s="52"/>
      <c r="U513" s="52"/>
    </row>
    <row r="514">
      <c r="M514" s="52"/>
      <c r="N514" s="52"/>
      <c r="O514" s="52"/>
      <c r="P514" s="52"/>
      <c r="Q514" s="52"/>
      <c r="U514" s="52"/>
    </row>
    <row r="515">
      <c r="M515" s="52"/>
      <c r="N515" s="52"/>
      <c r="O515" s="52"/>
      <c r="P515" s="52"/>
      <c r="Q515" s="52"/>
      <c r="U515" s="52"/>
    </row>
    <row r="516">
      <c r="M516" s="52"/>
      <c r="N516" s="52"/>
      <c r="O516" s="52"/>
      <c r="P516" s="52"/>
      <c r="Q516" s="52"/>
      <c r="U516" s="52"/>
    </row>
    <row r="517">
      <c r="M517" s="52"/>
      <c r="N517" s="52"/>
      <c r="O517" s="52"/>
      <c r="P517" s="52"/>
      <c r="Q517" s="52"/>
      <c r="U517" s="52"/>
    </row>
    <row r="518">
      <c r="M518" s="52"/>
      <c r="N518" s="52"/>
      <c r="O518" s="52"/>
      <c r="P518" s="52"/>
      <c r="Q518" s="52"/>
      <c r="U518" s="52"/>
    </row>
    <row r="519">
      <c r="M519" s="52"/>
      <c r="N519" s="52"/>
      <c r="O519" s="52"/>
      <c r="P519" s="52"/>
      <c r="Q519" s="52"/>
      <c r="U519" s="52"/>
    </row>
    <row r="520">
      <c r="M520" s="52"/>
      <c r="N520" s="52"/>
      <c r="O520" s="52"/>
      <c r="P520" s="52"/>
      <c r="Q520" s="52"/>
      <c r="U520" s="52"/>
    </row>
    <row r="521">
      <c r="M521" s="52"/>
      <c r="N521" s="52"/>
      <c r="O521" s="52"/>
      <c r="P521" s="52"/>
      <c r="Q521" s="52"/>
      <c r="U521" s="52"/>
    </row>
    <row r="522">
      <c r="M522" s="52"/>
      <c r="N522" s="52"/>
      <c r="O522" s="52"/>
      <c r="P522" s="52"/>
      <c r="Q522" s="52"/>
      <c r="U522" s="52"/>
    </row>
    <row r="523">
      <c r="M523" s="52"/>
      <c r="N523" s="52"/>
      <c r="O523" s="52"/>
      <c r="P523" s="52"/>
      <c r="Q523" s="52"/>
      <c r="U523" s="52"/>
    </row>
    <row r="524">
      <c r="M524" s="52"/>
      <c r="N524" s="52"/>
      <c r="O524" s="52"/>
      <c r="P524" s="52"/>
      <c r="Q524" s="52"/>
      <c r="U524" s="52"/>
    </row>
    <row r="525">
      <c r="M525" s="52"/>
      <c r="N525" s="52"/>
      <c r="O525" s="52"/>
      <c r="P525" s="52"/>
      <c r="Q525" s="52"/>
      <c r="U525" s="52"/>
    </row>
    <row r="526">
      <c r="M526" s="52"/>
      <c r="N526" s="52"/>
      <c r="O526" s="52"/>
      <c r="P526" s="52"/>
      <c r="Q526" s="52"/>
      <c r="U526" s="52"/>
    </row>
    <row r="527">
      <c r="M527" s="52"/>
      <c r="N527" s="52"/>
      <c r="O527" s="52"/>
      <c r="P527" s="52"/>
      <c r="Q527" s="52"/>
      <c r="U527" s="52"/>
    </row>
    <row r="528">
      <c r="M528" s="52"/>
      <c r="N528" s="52"/>
      <c r="O528" s="52"/>
      <c r="P528" s="52"/>
      <c r="Q528" s="52"/>
      <c r="U528" s="52"/>
    </row>
    <row r="529">
      <c r="M529" s="52"/>
      <c r="N529" s="52"/>
      <c r="O529" s="52"/>
      <c r="P529" s="52"/>
      <c r="Q529" s="52"/>
      <c r="U529" s="52"/>
    </row>
    <row r="530">
      <c r="M530" s="52"/>
      <c r="N530" s="52"/>
      <c r="O530" s="52"/>
      <c r="P530" s="52"/>
      <c r="Q530" s="52"/>
      <c r="U530" s="52"/>
    </row>
    <row r="531">
      <c r="M531" s="52"/>
      <c r="N531" s="52"/>
      <c r="O531" s="52"/>
      <c r="P531" s="52"/>
      <c r="Q531" s="52"/>
      <c r="U531" s="52"/>
    </row>
    <row r="532">
      <c r="M532" s="52"/>
      <c r="N532" s="52"/>
      <c r="O532" s="52"/>
      <c r="P532" s="52"/>
      <c r="Q532" s="52"/>
      <c r="U532" s="52"/>
    </row>
    <row r="533">
      <c r="M533" s="52"/>
      <c r="N533" s="52"/>
      <c r="O533" s="52"/>
      <c r="P533" s="52"/>
      <c r="Q533" s="52"/>
      <c r="U533" s="52"/>
    </row>
    <row r="534">
      <c r="M534" s="52"/>
      <c r="N534" s="52"/>
      <c r="O534" s="52"/>
      <c r="P534" s="52"/>
      <c r="Q534" s="52"/>
      <c r="U534" s="52"/>
    </row>
    <row r="535">
      <c r="M535" s="52"/>
      <c r="N535" s="52"/>
      <c r="O535" s="52"/>
      <c r="P535" s="52"/>
      <c r="Q535" s="52"/>
      <c r="U535" s="52"/>
    </row>
    <row r="536">
      <c r="M536" s="52"/>
      <c r="N536" s="52"/>
      <c r="O536" s="52"/>
      <c r="P536" s="52"/>
      <c r="Q536" s="52"/>
      <c r="U536" s="52"/>
    </row>
    <row r="537">
      <c r="M537" s="52"/>
      <c r="N537" s="52"/>
      <c r="O537" s="52"/>
      <c r="P537" s="52"/>
      <c r="Q537" s="52"/>
      <c r="U537" s="52"/>
    </row>
    <row r="538">
      <c r="M538" s="52"/>
      <c r="N538" s="52"/>
      <c r="O538" s="52"/>
      <c r="P538" s="52"/>
      <c r="Q538" s="52"/>
      <c r="U538" s="52"/>
    </row>
    <row r="539">
      <c r="M539" s="52"/>
      <c r="N539" s="52"/>
      <c r="O539" s="52"/>
      <c r="P539" s="52"/>
      <c r="Q539" s="52"/>
      <c r="U539" s="52"/>
    </row>
    <row r="540">
      <c r="M540" s="52"/>
      <c r="N540" s="52"/>
      <c r="O540" s="52"/>
      <c r="P540" s="52"/>
      <c r="Q540" s="52"/>
      <c r="U540" s="52"/>
    </row>
    <row r="541">
      <c r="M541" s="52"/>
      <c r="N541" s="52"/>
      <c r="O541" s="52"/>
      <c r="P541" s="52"/>
      <c r="Q541" s="52"/>
      <c r="U541" s="52"/>
    </row>
    <row r="542">
      <c r="M542" s="52"/>
      <c r="N542" s="52"/>
      <c r="O542" s="52"/>
      <c r="P542" s="52"/>
      <c r="Q542" s="52"/>
      <c r="U542" s="52"/>
    </row>
    <row r="543">
      <c r="M543" s="52"/>
      <c r="N543" s="52"/>
      <c r="O543" s="52"/>
      <c r="P543" s="52"/>
      <c r="Q543" s="52"/>
      <c r="U543" s="52"/>
    </row>
    <row r="544">
      <c r="M544" s="52"/>
      <c r="N544" s="52"/>
      <c r="O544" s="52"/>
      <c r="P544" s="52"/>
      <c r="Q544" s="52"/>
      <c r="U544" s="52"/>
    </row>
    <row r="545">
      <c r="M545" s="52"/>
      <c r="N545" s="52"/>
      <c r="O545" s="52"/>
      <c r="P545" s="52"/>
      <c r="Q545" s="52"/>
      <c r="U545" s="52"/>
    </row>
    <row r="546">
      <c r="M546" s="52"/>
      <c r="N546" s="52"/>
      <c r="O546" s="52"/>
      <c r="P546" s="52"/>
      <c r="Q546" s="52"/>
      <c r="U546" s="52"/>
    </row>
    <row r="547">
      <c r="M547" s="52"/>
      <c r="N547" s="52"/>
      <c r="O547" s="52"/>
      <c r="P547" s="52"/>
      <c r="Q547" s="52"/>
      <c r="U547" s="52"/>
    </row>
    <row r="548">
      <c r="M548" s="52"/>
      <c r="N548" s="52"/>
      <c r="O548" s="52"/>
      <c r="P548" s="52"/>
      <c r="Q548" s="52"/>
      <c r="U548" s="52"/>
    </row>
    <row r="549">
      <c r="M549" s="52"/>
      <c r="N549" s="52"/>
      <c r="O549" s="52"/>
      <c r="P549" s="52"/>
      <c r="Q549" s="52"/>
      <c r="U549" s="52"/>
    </row>
    <row r="550">
      <c r="M550" s="52"/>
      <c r="N550" s="52"/>
      <c r="O550" s="52"/>
      <c r="P550" s="52"/>
      <c r="Q550" s="52"/>
      <c r="U550" s="52"/>
    </row>
    <row r="551">
      <c r="M551" s="52"/>
      <c r="N551" s="52"/>
      <c r="O551" s="52"/>
      <c r="P551" s="52"/>
      <c r="Q551" s="52"/>
      <c r="U551" s="52"/>
    </row>
    <row r="552">
      <c r="M552" s="52"/>
      <c r="N552" s="52"/>
      <c r="O552" s="52"/>
      <c r="P552" s="52"/>
      <c r="Q552" s="52"/>
      <c r="U552" s="52"/>
    </row>
    <row r="553">
      <c r="M553" s="52"/>
      <c r="N553" s="52"/>
      <c r="O553" s="52"/>
      <c r="P553" s="52"/>
      <c r="Q553" s="52"/>
      <c r="U553" s="52"/>
    </row>
    <row r="554">
      <c r="M554" s="52"/>
      <c r="N554" s="52"/>
      <c r="O554" s="52"/>
      <c r="P554" s="52"/>
      <c r="Q554" s="52"/>
      <c r="U554" s="52"/>
    </row>
    <row r="555">
      <c r="M555" s="52"/>
      <c r="N555" s="52"/>
      <c r="O555" s="52"/>
      <c r="P555" s="52"/>
      <c r="Q555" s="52"/>
      <c r="U555" s="52"/>
    </row>
    <row r="556">
      <c r="M556" s="52"/>
      <c r="N556" s="52"/>
      <c r="O556" s="52"/>
      <c r="P556" s="52"/>
      <c r="Q556" s="52"/>
      <c r="U556" s="52"/>
    </row>
    <row r="557">
      <c r="M557" s="52"/>
      <c r="N557" s="52"/>
      <c r="O557" s="52"/>
      <c r="P557" s="52"/>
      <c r="Q557" s="52"/>
      <c r="U557" s="52"/>
    </row>
    <row r="558">
      <c r="M558" s="52"/>
      <c r="N558" s="52"/>
      <c r="O558" s="52"/>
      <c r="P558" s="52"/>
      <c r="Q558" s="52"/>
      <c r="U558" s="52"/>
    </row>
    <row r="559">
      <c r="M559" s="52"/>
      <c r="N559" s="52"/>
      <c r="O559" s="52"/>
      <c r="P559" s="52"/>
      <c r="Q559" s="52"/>
      <c r="U559" s="52"/>
    </row>
    <row r="560">
      <c r="M560" s="52"/>
      <c r="N560" s="52"/>
      <c r="O560" s="52"/>
      <c r="P560" s="52"/>
      <c r="Q560" s="52"/>
      <c r="U560" s="52"/>
    </row>
    <row r="561">
      <c r="M561" s="52"/>
      <c r="N561" s="52"/>
      <c r="O561" s="52"/>
      <c r="P561" s="52"/>
      <c r="Q561" s="52"/>
      <c r="U561" s="52"/>
    </row>
    <row r="562">
      <c r="M562" s="52"/>
      <c r="N562" s="52"/>
      <c r="O562" s="52"/>
      <c r="P562" s="52"/>
      <c r="Q562" s="52"/>
      <c r="U562" s="52"/>
    </row>
    <row r="563">
      <c r="M563" s="52"/>
      <c r="N563" s="52"/>
      <c r="O563" s="52"/>
      <c r="P563" s="52"/>
      <c r="Q563" s="52"/>
      <c r="U563" s="52"/>
    </row>
    <row r="564">
      <c r="M564" s="52"/>
      <c r="N564" s="52"/>
      <c r="O564" s="52"/>
      <c r="P564" s="52"/>
      <c r="Q564" s="52"/>
      <c r="U564" s="52"/>
    </row>
    <row r="565">
      <c r="M565" s="52"/>
      <c r="N565" s="52"/>
      <c r="O565" s="52"/>
      <c r="P565" s="52"/>
      <c r="Q565" s="52"/>
      <c r="U565" s="52"/>
    </row>
    <row r="566">
      <c r="M566" s="52"/>
      <c r="N566" s="52"/>
      <c r="O566" s="52"/>
      <c r="P566" s="52"/>
      <c r="Q566" s="52"/>
      <c r="U566" s="52"/>
    </row>
    <row r="567">
      <c r="M567" s="52"/>
      <c r="N567" s="52"/>
      <c r="O567" s="52"/>
      <c r="P567" s="52"/>
      <c r="Q567" s="52"/>
      <c r="U567" s="52"/>
    </row>
    <row r="568">
      <c r="M568" s="52"/>
      <c r="N568" s="52"/>
      <c r="O568" s="52"/>
      <c r="P568" s="52"/>
      <c r="Q568" s="52"/>
      <c r="U568" s="52"/>
    </row>
    <row r="569">
      <c r="M569" s="52"/>
      <c r="N569" s="52"/>
      <c r="O569" s="52"/>
      <c r="P569" s="52"/>
      <c r="Q569" s="52"/>
      <c r="U569" s="52"/>
    </row>
    <row r="570">
      <c r="M570" s="52"/>
      <c r="N570" s="52"/>
      <c r="O570" s="52"/>
      <c r="P570" s="52"/>
      <c r="Q570" s="52"/>
      <c r="U570" s="52"/>
    </row>
    <row r="571">
      <c r="M571" s="52"/>
      <c r="N571" s="52"/>
      <c r="O571" s="52"/>
      <c r="P571" s="52"/>
      <c r="Q571" s="52"/>
      <c r="U571" s="52"/>
    </row>
    <row r="572">
      <c r="M572" s="52"/>
      <c r="N572" s="52"/>
      <c r="O572" s="52"/>
      <c r="P572" s="52"/>
      <c r="Q572" s="52"/>
      <c r="U572" s="52"/>
    </row>
    <row r="573">
      <c r="M573" s="52"/>
      <c r="N573" s="52"/>
      <c r="O573" s="52"/>
      <c r="P573" s="52"/>
      <c r="Q573" s="52"/>
      <c r="U573" s="52"/>
    </row>
    <row r="574">
      <c r="M574" s="52"/>
      <c r="N574" s="52"/>
      <c r="O574" s="52"/>
      <c r="P574" s="52"/>
      <c r="Q574" s="52"/>
      <c r="U574" s="52"/>
    </row>
    <row r="575">
      <c r="M575" s="52"/>
      <c r="N575" s="52"/>
      <c r="O575" s="52"/>
      <c r="P575" s="52"/>
      <c r="Q575" s="52"/>
      <c r="U575" s="52"/>
    </row>
    <row r="576">
      <c r="M576" s="52"/>
      <c r="N576" s="52"/>
      <c r="O576" s="52"/>
      <c r="P576" s="52"/>
      <c r="Q576" s="52"/>
      <c r="U576" s="52"/>
    </row>
    <row r="577">
      <c r="M577" s="52"/>
      <c r="N577" s="52"/>
      <c r="O577" s="52"/>
      <c r="P577" s="52"/>
      <c r="Q577" s="52"/>
      <c r="U577" s="52"/>
    </row>
    <row r="578">
      <c r="M578" s="52"/>
      <c r="N578" s="52"/>
      <c r="O578" s="52"/>
      <c r="P578" s="52"/>
      <c r="Q578" s="52"/>
      <c r="U578" s="52"/>
    </row>
    <row r="579">
      <c r="M579" s="52"/>
      <c r="N579" s="52"/>
      <c r="O579" s="52"/>
      <c r="P579" s="52"/>
      <c r="Q579" s="52"/>
      <c r="U579" s="52"/>
    </row>
    <row r="580">
      <c r="M580" s="52"/>
      <c r="N580" s="52"/>
      <c r="O580" s="52"/>
      <c r="P580" s="52"/>
      <c r="Q580" s="52"/>
      <c r="U580" s="52"/>
    </row>
    <row r="581">
      <c r="M581" s="52"/>
      <c r="N581" s="52"/>
      <c r="O581" s="52"/>
      <c r="P581" s="52"/>
      <c r="Q581" s="52"/>
      <c r="U581" s="52"/>
    </row>
    <row r="582">
      <c r="M582" s="52"/>
      <c r="N582" s="52"/>
      <c r="O582" s="52"/>
      <c r="P582" s="52"/>
      <c r="Q582" s="52"/>
      <c r="U582" s="52"/>
    </row>
    <row r="583">
      <c r="M583" s="52"/>
      <c r="N583" s="52"/>
      <c r="O583" s="52"/>
      <c r="P583" s="52"/>
      <c r="Q583" s="52"/>
      <c r="U583" s="52"/>
    </row>
    <row r="584">
      <c r="M584" s="52"/>
      <c r="N584" s="52"/>
      <c r="O584" s="52"/>
      <c r="P584" s="52"/>
      <c r="Q584" s="52"/>
      <c r="U584" s="52"/>
    </row>
    <row r="585">
      <c r="M585" s="52"/>
      <c r="N585" s="52"/>
      <c r="O585" s="52"/>
      <c r="P585" s="52"/>
      <c r="Q585" s="52"/>
      <c r="U585" s="52"/>
    </row>
    <row r="586">
      <c r="M586" s="52"/>
      <c r="N586" s="52"/>
      <c r="O586" s="52"/>
      <c r="P586" s="52"/>
      <c r="Q586" s="52"/>
      <c r="U586" s="52"/>
    </row>
    <row r="587">
      <c r="M587" s="52"/>
      <c r="N587" s="52"/>
      <c r="O587" s="52"/>
      <c r="P587" s="52"/>
      <c r="Q587" s="52"/>
      <c r="U587" s="52"/>
    </row>
    <row r="588">
      <c r="M588" s="52"/>
      <c r="N588" s="52"/>
      <c r="O588" s="52"/>
      <c r="P588" s="52"/>
      <c r="Q588" s="52"/>
      <c r="U588" s="52"/>
    </row>
    <row r="589">
      <c r="M589" s="52"/>
      <c r="N589" s="52"/>
      <c r="O589" s="52"/>
      <c r="P589" s="52"/>
      <c r="Q589" s="52"/>
      <c r="U589" s="52"/>
    </row>
    <row r="590">
      <c r="M590" s="52"/>
      <c r="N590" s="52"/>
      <c r="O590" s="52"/>
      <c r="P590" s="52"/>
      <c r="Q590" s="52"/>
      <c r="U590" s="52"/>
    </row>
    <row r="591">
      <c r="M591" s="52"/>
      <c r="N591" s="52"/>
      <c r="O591" s="52"/>
      <c r="P591" s="52"/>
      <c r="Q591" s="52"/>
      <c r="U591" s="52"/>
    </row>
    <row r="592">
      <c r="M592" s="52"/>
      <c r="N592" s="52"/>
      <c r="O592" s="52"/>
      <c r="P592" s="52"/>
      <c r="Q592" s="52"/>
      <c r="U592" s="52"/>
    </row>
    <row r="593">
      <c r="M593" s="52"/>
      <c r="N593" s="52"/>
      <c r="O593" s="52"/>
      <c r="P593" s="52"/>
      <c r="Q593" s="52"/>
      <c r="U593" s="52"/>
    </row>
    <row r="594">
      <c r="M594" s="52"/>
      <c r="N594" s="52"/>
      <c r="O594" s="52"/>
      <c r="P594" s="52"/>
      <c r="Q594" s="52"/>
      <c r="U594" s="52"/>
    </row>
    <row r="595">
      <c r="M595" s="52"/>
      <c r="N595" s="52"/>
      <c r="O595" s="52"/>
      <c r="P595" s="52"/>
      <c r="Q595" s="52"/>
      <c r="U595" s="52"/>
    </row>
    <row r="596">
      <c r="M596" s="52"/>
      <c r="N596" s="52"/>
      <c r="O596" s="52"/>
      <c r="P596" s="52"/>
      <c r="Q596" s="52"/>
      <c r="U596" s="52"/>
    </row>
    <row r="597">
      <c r="M597" s="52"/>
      <c r="N597" s="52"/>
      <c r="O597" s="52"/>
      <c r="P597" s="52"/>
      <c r="Q597" s="52"/>
      <c r="U597" s="52"/>
    </row>
    <row r="598">
      <c r="M598" s="52"/>
      <c r="N598" s="52"/>
      <c r="O598" s="52"/>
      <c r="P598" s="52"/>
      <c r="Q598" s="52"/>
      <c r="U598" s="52"/>
    </row>
    <row r="599">
      <c r="M599" s="52"/>
      <c r="N599" s="52"/>
      <c r="O599" s="52"/>
      <c r="P599" s="52"/>
      <c r="Q599" s="52"/>
      <c r="U599" s="52"/>
    </row>
    <row r="600">
      <c r="M600" s="52"/>
      <c r="N600" s="52"/>
      <c r="O600" s="52"/>
      <c r="P600" s="52"/>
      <c r="Q600" s="52"/>
      <c r="U600" s="52"/>
    </row>
    <row r="601">
      <c r="M601" s="52"/>
      <c r="N601" s="52"/>
      <c r="O601" s="52"/>
      <c r="P601" s="52"/>
      <c r="Q601" s="52"/>
      <c r="U601" s="52"/>
    </row>
    <row r="602">
      <c r="M602" s="52"/>
      <c r="N602" s="52"/>
      <c r="O602" s="52"/>
      <c r="P602" s="52"/>
      <c r="Q602" s="52"/>
      <c r="U602" s="52"/>
    </row>
    <row r="603">
      <c r="M603" s="52"/>
      <c r="N603" s="52"/>
      <c r="O603" s="52"/>
      <c r="P603" s="52"/>
      <c r="Q603" s="52"/>
      <c r="U603" s="52"/>
    </row>
    <row r="604">
      <c r="M604" s="52"/>
      <c r="N604" s="52"/>
      <c r="O604" s="52"/>
      <c r="P604" s="52"/>
      <c r="Q604" s="52"/>
      <c r="U604" s="52"/>
    </row>
    <row r="605">
      <c r="M605" s="52"/>
      <c r="N605" s="52"/>
      <c r="O605" s="52"/>
      <c r="P605" s="52"/>
      <c r="Q605" s="52"/>
      <c r="U605" s="52"/>
    </row>
    <row r="606">
      <c r="M606" s="52"/>
      <c r="N606" s="52"/>
      <c r="O606" s="52"/>
      <c r="P606" s="52"/>
      <c r="Q606" s="52"/>
      <c r="U606" s="52"/>
    </row>
    <row r="607">
      <c r="M607" s="52"/>
      <c r="N607" s="52"/>
      <c r="O607" s="52"/>
      <c r="P607" s="52"/>
      <c r="Q607" s="52"/>
      <c r="U607" s="52"/>
    </row>
    <row r="608">
      <c r="M608" s="52"/>
      <c r="N608" s="52"/>
      <c r="O608" s="52"/>
      <c r="P608" s="52"/>
      <c r="Q608" s="52"/>
      <c r="U608" s="52"/>
    </row>
    <row r="609">
      <c r="M609" s="52"/>
      <c r="N609" s="52"/>
      <c r="O609" s="52"/>
      <c r="P609" s="52"/>
      <c r="Q609" s="52"/>
      <c r="U609" s="52"/>
    </row>
    <row r="610">
      <c r="M610" s="52"/>
      <c r="N610" s="52"/>
      <c r="O610" s="52"/>
      <c r="P610" s="52"/>
      <c r="Q610" s="52"/>
      <c r="U610" s="52"/>
    </row>
    <row r="611">
      <c r="M611" s="52"/>
      <c r="N611" s="52"/>
      <c r="O611" s="52"/>
      <c r="P611" s="52"/>
      <c r="Q611" s="52"/>
      <c r="U611" s="52"/>
    </row>
    <row r="612">
      <c r="M612" s="52"/>
      <c r="N612" s="52"/>
      <c r="O612" s="52"/>
      <c r="P612" s="52"/>
      <c r="Q612" s="52"/>
      <c r="U612" s="52"/>
    </row>
    <row r="613">
      <c r="M613" s="52"/>
      <c r="N613" s="52"/>
      <c r="O613" s="52"/>
      <c r="P613" s="52"/>
      <c r="Q613" s="52"/>
      <c r="U613" s="52"/>
    </row>
    <row r="614">
      <c r="M614" s="52"/>
      <c r="N614" s="52"/>
      <c r="O614" s="52"/>
      <c r="P614" s="52"/>
      <c r="Q614" s="52"/>
      <c r="U614" s="52"/>
    </row>
    <row r="615">
      <c r="M615" s="52"/>
      <c r="N615" s="52"/>
      <c r="O615" s="52"/>
      <c r="P615" s="52"/>
      <c r="Q615" s="52"/>
      <c r="U615" s="52"/>
    </row>
    <row r="616">
      <c r="M616" s="52"/>
      <c r="N616" s="52"/>
      <c r="O616" s="52"/>
      <c r="P616" s="52"/>
      <c r="Q616" s="52"/>
      <c r="U616" s="52"/>
    </row>
    <row r="617">
      <c r="M617" s="52"/>
      <c r="N617" s="52"/>
      <c r="O617" s="52"/>
      <c r="P617" s="52"/>
      <c r="Q617" s="52"/>
      <c r="U617" s="52"/>
    </row>
    <row r="618">
      <c r="M618" s="52"/>
      <c r="N618" s="52"/>
      <c r="O618" s="52"/>
      <c r="P618" s="52"/>
      <c r="Q618" s="52"/>
      <c r="U618" s="52"/>
    </row>
    <row r="619">
      <c r="M619" s="52"/>
      <c r="N619" s="52"/>
      <c r="O619" s="52"/>
      <c r="P619" s="52"/>
      <c r="Q619" s="52"/>
      <c r="U619" s="52"/>
    </row>
    <row r="620">
      <c r="M620" s="52"/>
      <c r="N620" s="52"/>
      <c r="O620" s="52"/>
      <c r="P620" s="52"/>
      <c r="Q620" s="52"/>
      <c r="U620" s="52"/>
    </row>
    <row r="621">
      <c r="M621" s="52"/>
      <c r="N621" s="52"/>
      <c r="O621" s="52"/>
      <c r="P621" s="52"/>
      <c r="Q621" s="52"/>
      <c r="U621" s="52"/>
    </row>
    <row r="622">
      <c r="M622" s="52"/>
      <c r="N622" s="52"/>
      <c r="O622" s="52"/>
      <c r="P622" s="52"/>
      <c r="Q622" s="52"/>
      <c r="U622" s="52"/>
    </row>
    <row r="623">
      <c r="M623" s="52"/>
      <c r="N623" s="52"/>
      <c r="O623" s="52"/>
      <c r="P623" s="52"/>
      <c r="Q623" s="52"/>
      <c r="U623" s="52"/>
    </row>
    <row r="624">
      <c r="M624" s="52"/>
      <c r="N624" s="52"/>
      <c r="O624" s="52"/>
      <c r="P624" s="52"/>
      <c r="Q624" s="52"/>
      <c r="U624" s="52"/>
    </row>
    <row r="625">
      <c r="M625" s="52"/>
      <c r="N625" s="52"/>
      <c r="O625" s="52"/>
      <c r="P625" s="52"/>
      <c r="Q625" s="52"/>
      <c r="U625" s="52"/>
    </row>
    <row r="626">
      <c r="M626" s="52"/>
      <c r="N626" s="52"/>
      <c r="O626" s="52"/>
      <c r="P626" s="52"/>
      <c r="Q626" s="52"/>
      <c r="U626" s="52"/>
    </row>
    <row r="627">
      <c r="M627" s="52"/>
      <c r="N627" s="52"/>
      <c r="O627" s="52"/>
      <c r="P627" s="52"/>
      <c r="Q627" s="52"/>
      <c r="U627" s="52"/>
    </row>
    <row r="628">
      <c r="M628" s="52"/>
      <c r="N628" s="52"/>
      <c r="O628" s="52"/>
      <c r="P628" s="52"/>
      <c r="Q628" s="52"/>
      <c r="U628" s="52"/>
    </row>
    <row r="629">
      <c r="M629" s="52"/>
      <c r="N629" s="52"/>
      <c r="O629" s="52"/>
      <c r="P629" s="52"/>
      <c r="Q629" s="52"/>
      <c r="U629" s="52"/>
    </row>
    <row r="630">
      <c r="M630" s="52"/>
      <c r="N630" s="52"/>
      <c r="O630" s="52"/>
      <c r="P630" s="52"/>
      <c r="Q630" s="52"/>
      <c r="U630" s="52"/>
    </row>
    <row r="631">
      <c r="M631" s="52"/>
      <c r="N631" s="52"/>
      <c r="O631" s="52"/>
      <c r="P631" s="52"/>
      <c r="Q631" s="52"/>
      <c r="U631" s="52"/>
    </row>
    <row r="632">
      <c r="M632" s="52"/>
      <c r="N632" s="52"/>
      <c r="O632" s="52"/>
      <c r="P632" s="52"/>
      <c r="Q632" s="52"/>
      <c r="U632" s="52"/>
    </row>
    <row r="633">
      <c r="M633" s="52"/>
      <c r="N633" s="52"/>
      <c r="O633" s="52"/>
      <c r="P633" s="52"/>
      <c r="Q633" s="52"/>
      <c r="U633" s="52"/>
    </row>
    <row r="634">
      <c r="M634" s="52"/>
      <c r="N634" s="52"/>
      <c r="O634" s="52"/>
      <c r="P634" s="52"/>
      <c r="Q634" s="52"/>
      <c r="U634" s="52"/>
    </row>
    <row r="635">
      <c r="M635" s="52"/>
      <c r="N635" s="52"/>
      <c r="O635" s="52"/>
      <c r="P635" s="52"/>
      <c r="Q635" s="52"/>
      <c r="U635" s="52"/>
    </row>
    <row r="636">
      <c r="M636" s="52"/>
      <c r="N636" s="52"/>
      <c r="O636" s="52"/>
      <c r="P636" s="52"/>
      <c r="Q636" s="52"/>
      <c r="U636" s="52"/>
    </row>
    <row r="637">
      <c r="M637" s="52"/>
      <c r="N637" s="52"/>
      <c r="O637" s="52"/>
      <c r="P637" s="52"/>
      <c r="Q637" s="52"/>
      <c r="U637" s="52"/>
    </row>
    <row r="638">
      <c r="M638" s="52"/>
      <c r="N638" s="52"/>
      <c r="O638" s="52"/>
      <c r="P638" s="52"/>
      <c r="Q638" s="52"/>
      <c r="U638" s="52"/>
    </row>
    <row r="639">
      <c r="M639" s="52"/>
      <c r="N639" s="52"/>
      <c r="O639" s="52"/>
      <c r="P639" s="52"/>
      <c r="Q639" s="52"/>
      <c r="U639" s="52"/>
    </row>
    <row r="640">
      <c r="M640" s="52"/>
      <c r="N640" s="52"/>
      <c r="O640" s="52"/>
      <c r="P640" s="52"/>
      <c r="Q640" s="52"/>
      <c r="U640" s="52"/>
    </row>
    <row r="641">
      <c r="M641" s="52"/>
      <c r="N641" s="52"/>
      <c r="O641" s="52"/>
      <c r="P641" s="52"/>
      <c r="Q641" s="52"/>
      <c r="U641" s="52"/>
    </row>
    <row r="642">
      <c r="M642" s="52"/>
      <c r="N642" s="52"/>
      <c r="O642" s="52"/>
      <c r="P642" s="52"/>
      <c r="Q642" s="52"/>
      <c r="U642" s="52"/>
    </row>
    <row r="643">
      <c r="M643" s="52"/>
      <c r="N643" s="52"/>
      <c r="O643" s="52"/>
      <c r="P643" s="52"/>
      <c r="Q643" s="52"/>
      <c r="U643" s="52"/>
    </row>
    <row r="644">
      <c r="M644" s="52"/>
      <c r="N644" s="52"/>
      <c r="O644" s="52"/>
      <c r="P644" s="52"/>
      <c r="Q644" s="52"/>
      <c r="U644" s="52"/>
    </row>
    <row r="645">
      <c r="M645" s="52"/>
      <c r="N645" s="52"/>
      <c r="O645" s="52"/>
      <c r="P645" s="52"/>
      <c r="Q645" s="52"/>
      <c r="U645" s="52"/>
    </row>
    <row r="646">
      <c r="M646" s="52"/>
      <c r="N646" s="52"/>
      <c r="O646" s="52"/>
      <c r="P646" s="52"/>
      <c r="Q646" s="52"/>
      <c r="U646" s="52"/>
    </row>
    <row r="647">
      <c r="M647" s="52"/>
      <c r="N647" s="52"/>
      <c r="O647" s="52"/>
      <c r="P647" s="52"/>
      <c r="Q647" s="52"/>
      <c r="U647" s="52"/>
    </row>
    <row r="648">
      <c r="M648" s="52"/>
      <c r="N648" s="52"/>
      <c r="O648" s="52"/>
      <c r="P648" s="52"/>
      <c r="Q648" s="52"/>
      <c r="U648" s="52"/>
    </row>
    <row r="649">
      <c r="M649" s="52"/>
      <c r="N649" s="52"/>
      <c r="O649" s="52"/>
      <c r="P649" s="52"/>
      <c r="Q649" s="52"/>
      <c r="U649" s="52"/>
    </row>
    <row r="650">
      <c r="M650" s="52"/>
      <c r="N650" s="52"/>
      <c r="O650" s="52"/>
      <c r="P650" s="52"/>
      <c r="Q650" s="52"/>
      <c r="U650" s="52"/>
    </row>
    <row r="651">
      <c r="M651" s="52"/>
      <c r="N651" s="52"/>
      <c r="O651" s="52"/>
      <c r="P651" s="52"/>
      <c r="Q651" s="52"/>
      <c r="U651" s="52"/>
    </row>
    <row r="652">
      <c r="M652" s="52"/>
      <c r="N652" s="52"/>
      <c r="O652" s="52"/>
      <c r="P652" s="52"/>
      <c r="Q652" s="52"/>
      <c r="U652" s="52"/>
    </row>
    <row r="653">
      <c r="M653" s="52"/>
      <c r="N653" s="52"/>
      <c r="O653" s="52"/>
      <c r="P653" s="52"/>
      <c r="Q653" s="52"/>
      <c r="U653" s="52"/>
    </row>
    <row r="654">
      <c r="M654" s="52"/>
      <c r="N654" s="52"/>
      <c r="O654" s="52"/>
      <c r="P654" s="52"/>
      <c r="Q654" s="52"/>
      <c r="U654" s="52"/>
    </row>
    <row r="655">
      <c r="M655" s="52"/>
      <c r="N655" s="52"/>
      <c r="O655" s="52"/>
      <c r="P655" s="52"/>
      <c r="Q655" s="52"/>
      <c r="U655" s="52"/>
    </row>
    <row r="656">
      <c r="M656" s="52"/>
      <c r="N656" s="52"/>
      <c r="O656" s="52"/>
      <c r="P656" s="52"/>
      <c r="Q656" s="52"/>
      <c r="U656" s="52"/>
    </row>
    <row r="657">
      <c r="M657" s="52"/>
      <c r="N657" s="52"/>
      <c r="O657" s="52"/>
      <c r="P657" s="52"/>
      <c r="Q657" s="52"/>
      <c r="U657" s="52"/>
    </row>
    <row r="658">
      <c r="M658" s="52"/>
      <c r="N658" s="52"/>
      <c r="O658" s="52"/>
      <c r="P658" s="52"/>
      <c r="Q658" s="52"/>
      <c r="U658" s="52"/>
    </row>
    <row r="659">
      <c r="M659" s="52"/>
      <c r="N659" s="52"/>
      <c r="O659" s="52"/>
      <c r="P659" s="52"/>
      <c r="Q659" s="52"/>
      <c r="U659" s="52"/>
    </row>
    <row r="660">
      <c r="M660" s="52"/>
      <c r="N660" s="52"/>
      <c r="O660" s="52"/>
      <c r="P660" s="52"/>
      <c r="Q660" s="52"/>
      <c r="U660" s="52"/>
    </row>
    <row r="661">
      <c r="M661" s="52"/>
      <c r="N661" s="52"/>
      <c r="O661" s="52"/>
      <c r="P661" s="52"/>
      <c r="Q661" s="52"/>
      <c r="U661" s="52"/>
    </row>
    <row r="662">
      <c r="M662" s="52"/>
      <c r="N662" s="52"/>
      <c r="O662" s="52"/>
      <c r="P662" s="52"/>
      <c r="Q662" s="52"/>
      <c r="U662" s="52"/>
    </row>
    <row r="663">
      <c r="M663" s="52"/>
      <c r="N663" s="52"/>
      <c r="O663" s="52"/>
      <c r="P663" s="52"/>
      <c r="Q663" s="52"/>
      <c r="U663" s="52"/>
    </row>
    <row r="664">
      <c r="M664" s="52"/>
      <c r="N664" s="52"/>
      <c r="O664" s="52"/>
      <c r="P664" s="52"/>
      <c r="Q664" s="52"/>
      <c r="U664" s="52"/>
    </row>
    <row r="665">
      <c r="M665" s="52"/>
      <c r="N665" s="52"/>
      <c r="O665" s="52"/>
      <c r="P665" s="52"/>
      <c r="Q665" s="52"/>
      <c r="U665" s="52"/>
    </row>
    <row r="666">
      <c r="M666" s="52"/>
      <c r="N666" s="52"/>
      <c r="O666" s="52"/>
      <c r="P666" s="52"/>
      <c r="Q666" s="52"/>
      <c r="U666" s="52"/>
    </row>
    <row r="667">
      <c r="M667" s="52"/>
      <c r="N667" s="52"/>
      <c r="O667" s="52"/>
      <c r="P667" s="52"/>
      <c r="Q667" s="52"/>
      <c r="U667" s="52"/>
    </row>
    <row r="668">
      <c r="M668" s="52"/>
      <c r="N668" s="52"/>
      <c r="O668" s="52"/>
      <c r="P668" s="52"/>
      <c r="Q668" s="52"/>
      <c r="U668" s="52"/>
    </row>
    <row r="669">
      <c r="M669" s="52"/>
      <c r="N669" s="52"/>
      <c r="O669" s="52"/>
      <c r="P669" s="52"/>
      <c r="Q669" s="52"/>
      <c r="U669" s="52"/>
    </row>
    <row r="670">
      <c r="M670" s="52"/>
      <c r="N670" s="52"/>
      <c r="O670" s="52"/>
      <c r="P670" s="52"/>
      <c r="Q670" s="52"/>
      <c r="U670" s="52"/>
    </row>
    <row r="671">
      <c r="M671" s="52"/>
      <c r="N671" s="52"/>
      <c r="O671" s="52"/>
      <c r="P671" s="52"/>
      <c r="Q671" s="52"/>
      <c r="U671" s="52"/>
    </row>
    <row r="672">
      <c r="M672" s="52"/>
      <c r="N672" s="52"/>
      <c r="O672" s="52"/>
      <c r="P672" s="52"/>
      <c r="Q672" s="52"/>
      <c r="U672" s="52"/>
    </row>
    <row r="673">
      <c r="M673" s="52"/>
      <c r="N673" s="52"/>
      <c r="O673" s="52"/>
      <c r="P673" s="52"/>
      <c r="Q673" s="52"/>
      <c r="U673" s="52"/>
    </row>
    <row r="674">
      <c r="M674" s="52"/>
      <c r="N674" s="52"/>
      <c r="O674" s="52"/>
      <c r="P674" s="52"/>
      <c r="Q674" s="52"/>
      <c r="U674" s="52"/>
    </row>
    <row r="675">
      <c r="M675" s="52"/>
      <c r="N675" s="52"/>
      <c r="O675" s="52"/>
      <c r="P675" s="52"/>
      <c r="Q675" s="52"/>
      <c r="U675" s="52"/>
    </row>
    <row r="676">
      <c r="M676" s="52"/>
      <c r="N676" s="52"/>
      <c r="O676" s="52"/>
      <c r="P676" s="52"/>
      <c r="Q676" s="52"/>
      <c r="U676" s="52"/>
    </row>
    <row r="677">
      <c r="M677" s="52"/>
      <c r="N677" s="52"/>
      <c r="O677" s="52"/>
      <c r="P677" s="52"/>
      <c r="Q677" s="52"/>
      <c r="U677" s="52"/>
    </row>
    <row r="678">
      <c r="M678" s="52"/>
      <c r="N678" s="52"/>
      <c r="O678" s="52"/>
      <c r="P678" s="52"/>
      <c r="Q678" s="52"/>
      <c r="U678" s="52"/>
    </row>
    <row r="679">
      <c r="M679" s="52"/>
      <c r="N679" s="52"/>
      <c r="O679" s="52"/>
      <c r="P679" s="52"/>
      <c r="Q679" s="52"/>
      <c r="U679" s="52"/>
    </row>
    <row r="680">
      <c r="M680" s="52"/>
      <c r="N680" s="52"/>
      <c r="O680" s="52"/>
      <c r="P680" s="52"/>
      <c r="Q680" s="52"/>
      <c r="U680" s="52"/>
    </row>
    <row r="681">
      <c r="M681" s="52"/>
      <c r="N681" s="52"/>
      <c r="O681" s="52"/>
      <c r="P681" s="52"/>
      <c r="Q681" s="52"/>
      <c r="U681" s="52"/>
    </row>
    <row r="682">
      <c r="M682" s="52"/>
      <c r="N682" s="52"/>
      <c r="O682" s="52"/>
      <c r="P682" s="52"/>
      <c r="Q682" s="52"/>
      <c r="U682" s="52"/>
    </row>
    <row r="683">
      <c r="M683" s="52"/>
      <c r="N683" s="52"/>
      <c r="O683" s="52"/>
      <c r="P683" s="52"/>
      <c r="Q683" s="52"/>
      <c r="U683" s="52"/>
    </row>
    <row r="684">
      <c r="M684" s="52"/>
      <c r="N684" s="52"/>
      <c r="O684" s="52"/>
      <c r="P684" s="52"/>
      <c r="Q684" s="52"/>
      <c r="U684" s="52"/>
    </row>
    <row r="685">
      <c r="M685" s="52"/>
      <c r="N685" s="52"/>
      <c r="O685" s="52"/>
      <c r="P685" s="52"/>
      <c r="Q685" s="52"/>
      <c r="U685" s="52"/>
    </row>
    <row r="686">
      <c r="M686" s="52"/>
      <c r="N686" s="52"/>
      <c r="O686" s="52"/>
      <c r="P686" s="52"/>
      <c r="Q686" s="52"/>
      <c r="U686" s="52"/>
    </row>
    <row r="687">
      <c r="M687" s="52"/>
      <c r="N687" s="52"/>
      <c r="O687" s="52"/>
      <c r="P687" s="52"/>
      <c r="Q687" s="52"/>
      <c r="U687" s="52"/>
    </row>
    <row r="688">
      <c r="M688" s="52"/>
      <c r="N688" s="52"/>
      <c r="O688" s="52"/>
      <c r="P688" s="52"/>
      <c r="Q688" s="52"/>
      <c r="U688" s="52"/>
    </row>
    <row r="689">
      <c r="M689" s="52"/>
      <c r="N689" s="52"/>
      <c r="O689" s="52"/>
      <c r="P689" s="52"/>
      <c r="Q689" s="52"/>
      <c r="U689" s="52"/>
    </row>
    <row r="690">
      <c r="M690" s="52"/>
      <c r="N690" s="52"/>
      <c r="O690" s="52"/>
      <c r="P690" s="52"/>
      <c r="Q690" s="52"/>
      <c r="U690" s="52"/>
    </row>
    <row r="691">
      <c r="M691" s="52"/>
      <c r="N691" s="52"/>
      <c r="O691" s="52"/>
      <c r="P691" s="52"/>
      <c r="Q691" s="52"/>
      <c r="U691" s="52"/>
    </row>
    <row r="692">
      <c r="M692" s="52"/>
      <c r="N692" s="52"/>
      <c r="O692" s="52"/>
      <c r="P692" s="52"/>
      <c r="Q692" s="52"/>
      <c r="U692" s="52"/>
    </row>
    <row r="693">
      <c r="M693" s="52"/>
      <c r="N693" s="52"/>
      <c r="O693" s="52"/>
      <c r="P693" s="52"/>
      <c r="Q693" s="52"/>
      <c r="U693" s="52"/>
    </row>
    <row r="694">
      <c r="M694" s="52"/>
      <c r="N694" s="52"/>
      <c r="O694" s="52"/>
      <c r="P694" s="52"/>
      <c r="Q694" s="52"/>
      <c r="U694" s="52"/>
    </row>
    <row r="695">
      <c r="M695" s="52"/>
      <c r="N695" s="52"/>
      <c r="O695" s="52"/>
      <c r="P695" s="52"/>
      <c r="Q695" s="52"/>
      <c r="U695" s="52"/>
    </row>
    <row r="696">
      <c r="M696" s="52"/>
      <c r="N696" s="52"/>
      <c r="O696" s="52"/>
      <c r="P696" s="52"/>
      <c r="Q696" s="52"/>
      <c r="U696" s="52"/>
    </row>
    <row r="697">
      <c r="M697" s="52"/>
      <c r="N697" s="52"/>
      <c r="O697" s="52"/>
      <c r="P697" s="52"/>
      <c r="Q697" s="52"/>
      <c r="U697" s="52"/>
    </row>
    <row r="698">
      <c r="M698" s="52"/>
      <c r="N698" s="52"/>
      <c r="O698" s="52"/>
      <c r="P698" s="52"/>
      <c r="Q698" s="52"/>
      <c r="U698" s="52"/>
    </row>
    <row r="699">
      <c r="M699" s="52"/>
      <c r="N699" s="52"/>
      <c r="O699" s="52"/>
      <c r="P699" s="52"/>
      <c r="Q699" s="52"/>
      <c r="U699" s="52"/>
    </row>
    <row r="700">
      <c r="M700" s="52"/>
      <c r="N700" s="52"/>
      <c r="O700" s="52"/>
      <c r="P700" s="52"/>
      <c r="Q700" s="52"/>
      <c r="U700" s="52"/>
    </row>
    <row r="701">
      <c r="M701" s="52"/>
      <c r="N701" s="52"/>
      <c r="O701" s="52"/>
      <c r="P701" s="52"/>
      <c r="Q701" s="52"/>
      <c r="U701" s="52"/>
    </row>
    <row r="702">
      <c r="M702" s="52"/>
      <c r="N702" s="52"/>
      <c r="O702" s="52"/>
      <c r="P702" s="52"/>
      <c r="Q702" s="52"/>
      <c r="U702" s="52"/>
    </row>
    <row r="703">
      <c r="M703" s="52"/>
      <c r="N703" s="52"/>
      <c r="O703" s="52"/>
      <c r="P703" s="52"/>
      <c r="Q703" s="52"/>
      <c r="U703" s="52"/>
    </row>
    <row r="704">
      <c r="M704" s="52"/>
      <c r="N704" s="52"/>
      <c r="O704" s="52"/>
      <c r="P704" s="52"/>
      <c r="Q704" s="52"/>
      <c r="U704" s="52"/>
    </row>
    <row r="705">
      <c r="M705" s="52"/>
      <c r="N705" s="52"/>
      <c r="O705" s="52"/>
      <c r="P705" s="52"/>
      <c r="Q705" s="52"/>
      <c r="U705" s="52"/>
    </row>
    <row r="706">
      <c r="M706" s="52"/>
      <c r="N706" s="52"/>
      <c r="O706" s="52"/>
      <c r="P706" s="52"/>
      <c r="Q706" s="52"/>
      <c r="U706" s="52"/>
    </row>
    <row r="707">
      <c r="M707" s="52"/>
      <c r="N707" s="52"/>
      <c r="O707" s="52"/>
      <c r="P707" s="52"/>
      <c r="Q707" s="52"/>
      <c r="U707" s="52"/>
    </row>
    <row r="708">
      <c r="M708" s="52"/>
      <c r="N708" s="52"/>
      <c r="O708" s="52"/>
      <c r="P708" s="52"/>
      <c r="Q708" s="52"/>
      <c r="U708" s="52"/>
    </row>
    <row r="709">
      <c r="M709" s="52"/>
      <c r="N709" s="52"/>
      <c r="O709" s="52"/>
      <c r="P709" s="52"/>
      <c r="Q709" s="52"/>
      <c r="U709" s="52"/>
    </row>
    <row r="710">
      <c r="M710" s="52"/>
      <c r="N710" s="52"/>
      <c r="O710" s="52"/>
      <c r="P710" s="52"/>
      <c r="Q710" s="52"/>
      <c r="U710" s="52"/>
    </row>
    <row r="711">
      <c r="M711" s="52"/>
      <c r="N711" s="52"/>
      <c r="O711" s="52"/>
      <c r="P711" s="52"/>
      <c r="Q711" s="52"/>
      <c r="U711" s="52"/>
    </row>
    <row r="712">
      <c r="M712" s="52"/>
      <c r="N712" s="52"/>
      <c r="O712" s="52"/>
      <c r="P712" s="52"/>
      <c r="Q712" s="52"/>
      <c r="U712" s="52"/>
    </row>
    <row r="713">
      <c r="M713" s="52"/>
      <c r="N713" s="52"/>
      <c r="O713" s="52"/>
      <c r="P713" s="52"/>
      <c r="Q713" s="52"/>
      <c r="U713" s="52"/>
    </row>
    <row r="714">
      <c r="M714" s="52"/>
      <c r="N714" s="52"/>
      <c r="O714" s="52"/>
      <c r="P714" s="52"/>
      <c r="Q714" s="52"/>
      <c r="U714" s="52"/>
    </row>
    <row r="715">
      <c r="M715" s="52"/>
      <c r="N715" s="52"/>
      <c r="O715" s="52"/>
      <c r="P715" s="52"/>
      <c r="Q715" s="52"/>
      <c r="U715" s="52"/>
    </row>
    <row r="716">
      <c r="M716" s="52"/>
      <c r="N716" s="52"/>
      <c r="O716" s="52"/>
      <c r="P716" s="52"/>
      <c r="Q716" s="52"/>
      <c r="U716" s="52"/>
    </row>
    <row r="717">
      <c r="M717" s="52"/>
      <c r="N717" s="52"/>
      <c r="O717" s="52"/>
      <c r="P717" s="52"/>
      <c r="Q717" s="52"/>
      <c r="U717" s="52"/>
    </row>
    <row r="718">
      <c r="M718" s="52"/>
      <c r="N718" s="52"/>
      <c r="O718" s="52"/>
      <c r="P718" s="52"/>
      <c r="Q718" s="52"/>
      <c r="U718" s="52"/>
    </row>
    <row r="719">
      <c r="M719" s="52"/>
      <c r="N719" s="52"/>
      <c r="O719" s="52"/>
      <c r="P719" s="52"/>
      <c r="Q719" s="52"/>
      <c r="U719" s="52"/>
    </row>
    <row r="720">
      <c r="M720" s="52"/>
      <c r="N720" s="52"/>
      <c r="O720" s="52"/>
      <c r="P720" s="52"/>
      <c r="Q720" s="52"/>
      <c r="U720" s="52"/>
    </row>
    <row r="721">
      <c r="M721" s="52"/>
      <c r="N721" s="52"/>
      <c r="O721" s="52"/>
      <c r="P721" s="52"/>
      <c r="Q721" s="52"/>
      <c r="U721" s="52"/>
    </row>
    <row r="722">
      <c r="M722" s="52"/>
      <c r="N722" s="52"/>
      <c r="O722" s="52"/>
      <c r="P722" s="52"/>
      <c r="Q722" s="52"/>
      <c r="U722" s="52"/>
    </row>
    <row r="723">
      <c r="M723" s="52"/>
      <c r="N723" s="52"/>
      <c r="O723" s="52"/>
      <c r="P723" s="52"/>
      <c r="Q723" s="52"/>
      <c r="U723" s="52"/>
    </row>
    <row r="724">
      <c r="M724" s="52"/>
      <c r="N724" s="52"/>
      <c r="O724" s="52"/>
      <c r="P724" s="52"/>
      <c r="Q724" s="52"/>
      <c r="U724" s="52"/>
    </row>
    <row r="725">
      <c r="M725" s="52"/>
      <c r="N725" s="52"/>
      <c r="O725" s="52"/>
      <c r="P725" s="52"/>
      <c r="Q725" s="52"/>
      <c r="U725" s="52"/>
    </row>
    <row r="726">
      <c r="M726" s="52"/>
      <c r="N726" s="52"/>
      <c r="O726" s="52"/>
      <c r="P726" s="52"/>
      <c r="Q726" s="52"/>
      <c r="U726" s="52"/>
    </row>
    <row r="727">
      <c r="M727" s="52"/>
      <c r="N727" s="52"/>
      <c r="O727" s="52"/>
      <c r="P727" s="52"/>
      <c r="Q727" s="52"/>
      <c r="U727" s="52"/>
    </row>
    <row r="728">
      <c r="M728" s="52"/>
      <c r="N728" s="52"/>
      <c r="O728" s="52"/>
      <c r="P728" s="52"/>
      <c r="Q728" s="52"/>
      <c r="U728" s="52"/>
    </row>
    <row r="729">
      <c r="M729" s="52"/>
      <c r="N729" s="52"/>
      <c r="O729" s="52"/>
      <c r="P729" s="52"/>
      <c r="Q729" s="52"/>
      <c r="U729" s="52"/>
    </row>
    <row r="730">
      <c r="M730" s="52"/>
      <c r="N730" s="52"/>
      <c r="O730" s="52"/>
      <c r="P730" s="52"/>
      <c r="Q730" s="52"/>
      <c r="U730" s="52"/>
    </row>
    <row r="731">
      <c r="M731" s="52"/>
      <c r="N731" s="52"/>
      <c r="O731" s="52"/>
      <c r="P731" s="52"/>
      <c r="Q731" s="52"/>
      <c r="U731" s="52"/>
    </row>
    <row r="732">
      <c r="M732" s="52"/>
      <c r="N732" s="52"/>
      <c r="O732" s="52"/>
      <c r="P732" s="52"/>
      <c r="Q732" s="52"/>
      <c r="U732" s="52"/>
    </row>
    <row r="733">
      <c r="M733" s="52"/>
      <c r="N733" s="52"/>
      <c r="O733" s="52"/>
      <c r="P733" s="52"/>
      <c r="Q733" s="52"/>
      <c r="U733" s="52"/>
    </row>
    <row r="734">
      <c r="M734" s="52"/>
      <c r="N734" s="52"/>
      <c r="O734" s="52"/>
      <c r="P734" s="52"/>
      <c r="Q734" s="52"/>
      <c r="U734" s="52"/>
    </row>
    <row r="735">
      <c r="M735" s="52"/>
      <c r="N735" s="52"/>
      <c r="O735" s="52"/>
      <c r="P735" s="52"/>
      <c r="Q735" s="52"/>
      <c r="U735" s="52"/>
    </row>
    <row r="736">
      <c r="M736" s="52"/>
      <c r="N736" s="52"/>
      <c r="O736" s="52"/>
      <c r="P736" s="52"/>
      <c r="Q736" s="52"/>
      <c r="U736" s="52"/>
    </row>
    <row r="737">
      <c r="M737" s="52"/>
      <c r="N737" s="52"/>
      <c r="O737" s="52"/>
      <c r="P737" s="52"/>
      <c r="Q737" s="52"/>
      <c r="U737" s="52"/>
    </row>
    <row r="738">
      <c r="M738" s="52"/>
      <c r="N738" s="52"/>
      <c r="O738" s="52"/>
      <c r="P738" s="52"/>
      <c r="Q738" s="52"/>
      <c r="U738" s="52"/>
    </row>
    <row r="739">
      <c r="M739" s="52"/>
      <c r="N739" s="52"/>
      <c r="O739" s="52"/>
      <c r="P739" s="52"/>
      <c r="Q739" s="52"/>
      <c r="U739" s="52"/>
    </row>
    <row r="740">
      <c r="M740" s="52"/>
      <c r="N740" s="52"/>
      <c r="O740" s="52"/>
      <c r="P740" s="52"/>
      <c r="Q740" s="52"/>
      <c r="U740" s="52"/>
    </row>
    <row r="741">
      <c r="M741" s="52"/>
      <c r="N741" s="52"/>
      <c r="O741" s="52"/>
      <c r="P741" s="52"/>
      <c r="Q741" s="52"/>
      <c r="U741" s="52"/>
    </row>
    <row r="742">
      <c r="M742" s="52"/>
      <c r="N742" s="52"/>
      <c r="O742" s="52"/>
      <c r="P742" s="52"/>
      <c r="Q742" s="52"/>
      <c r="U742" s="52"/>
    </row>
    <row r="743">
      <c r="M743" s="52"/>
      <c r="N743" s="52"/>
      <c r="O743" s="52"/>
      <c r="P743" s="52"/>
      <c r="Q743" s="52"/>
      <c r="U743" s="52"/>
    </row>
    <row r="744">
      <c r="M744" s="52"/>
      <c r="N744" s="52"/>
      <c r="O744" s="52"/>
      <c r="P744" s="52"/>
      <c r="Q744" s="52"/>
      <c r="U744" s="52"/>
    </row>
    <row r="745">
      <c r="M745" s="52"/>
      <c r="N745" s="52"/>
      <c r="O745" s="52"/>
      <c r="P745" s="52"/>
      <c r="Q745" s="52"/>
      <c r="U745" s="52"/>
    </row>
    <row r="746">
      <c r="M746" s="52"/>
      <c r="N746" s="52"/>
      <c r="O746" s="52"/>
      <c r="P746" s="52"/>
      <c r="Q746" s="52"/>
      <c r="U746" s="52"/>
    </row>
    <row r="747">
      <c r="M747" s="52"/>
      <c r="N747" s="52"/>
      <c r="O747" s="52"/>
      <c r="P747" s="52"/>
      <c r="Q747" s="52"/>
      <c r="U747" s="52"/>
    </row>
    <row r="748">
      <c r="M748" s="52"/>
      <c r="N748" s="52"/>
      <c r="O748" s="52"/>
      <c r="P748" s="52"/>
      <c r="Q748" s="52"/>
      <c r="U748" s="52"/>
    </row>
    <row r="749">
      <c r="M749" s="52"/>
      <c r="N749" s="52"/>
      <c r="O749" s="52"/>
      <c r="P749" s="52"/>
      <c r="Q749" s="52"/>
      <c r="U749" s="52"/>
    </row>
    <row r="750">
      <c r="M750" s="52"/>
      <c r="N750" s="52"/>
      <c r="O750" s="52"/>
      <c r="P750" s="52"/>
      <c r="Q750" s="52"/>
      <c r="U750" s="52"/>
    </row>
    <row r="751">
      <c r="M751" s="52"/>
      <c r="N751" s="52"/>
      <c r="O751" s="52"/>
      <c r="P751" s="52"/>
      <c r="Q751" s="52"/>
      <c r="U751" s="52"/>
    </row>
    <row r="752">
      <c r="M752" s="52"/>
      <c r="N752" s="52"/>
      <c r="O752" s="52"/>
      <c r="P752" s="52"/>
      <c r="Q752" s="52"/>
      <c r="U752" s="52"/>
    </row>
    <row r="753">
      <c r="M753" s="52"/>
      <c r="N753" s="52"/>
      <c r="O753" s="52"/>
      <c r="P753" s="52"/>
      <c r="Q753" s="52"/>
      <c r="U753" s="52"/>
    </row>
    <row r="754">
      <c r="M754" s="52"/>
      <c r="N754" s="52"/>
      <c r="O754" s="52"/>
      <c r="P754" s="52"/>
      <c r="Q754" s="52"/>
      <c r="U754" s="52"/>
    </row>
    <row r="755">
      <c r="M755" s="52"/>
      <c r="N755" s="52"/>
      <c r="O755" s="52"/>
      <c r="P755" s="52"/>
      <c r="Q755" s="52"/>
      <c r="U755" s="52"/>
    </row>
    <row r="756">
      <c r="M756" s="52"/>
      <c r="N756" s="52"/>
      <c r="O756" s="52"/>
      <c r="P756" s="52"/>
      <c r="Q756" s="52"/>
      <c r="U756" s="52"/>
    </row>
    <row r="757">
      <c r="M757" s="52"/>
      <c r="N757" s="52"/>
      <c r="O757" s="52"/>
      <c r="P757" s="52"/>
      <c r="Q757" s="52"/>
      <c r="U757" s="52"/>
    </row>
    <row r="758">
      <c r="M758" s="52"/>
      <c r="N758" s="52"/>
      <c r="O758" s="52"/>
      <c r="P758" s="52"/>
      <c r="Q758" s="52"/>
      <c r="U758" s="52"/>
    </row>
    <row r="759">
      <c r="M759" s="52"/>
      <c r="N759" s="52"/>
      <c r="O759" s="52"/>
      <c r="P759" s="52"/>
      <c r="Q759" s="52"/>
      <c r="U759" s="52"/>
    </row>
    <row r="760">
      <c r="M760" s="52"/>
      <c r="N760" s="52"/>
      <c r="O760" s="52"/>
      <c r="P760" s="52"/>
      <c r="Q760" s="52"/>
      <c r="U760" s="52"/>
    </row>
    <row r="761">
      <c r="M761" s="52"/>
      <c r="N761" s="52"/>
      <c r="O761" s="52"/>
      <c r="P761" s="52"/>
      <c r="Q761" s="52"/>
      <c r="U761" s="52"/>
    </row>
    <row r="762">
      <c r="M762" s="52"/>
      <c r="N762" s="52"/>
      <c r="O762" s="52"/>
      <c r="P762" s="52"/>
      <c r="Q762" s="52"/>
      <c r="U762" s="52"/>
    </row>
    <row r="763">
      <c r="M763" s="52"/>
      <c r="N763" s="52"/>
      <c r="O763" s="52"/>
      <c r="P763" s="52"/>
      <c r="Q763" s="52"/>
      <c r="U763" s="52"/>
    </row>
    <row r="764">
      <c r="M764" s="52"/>
      <c r="N764" s="52"/>
      <c r="O764" s="52"/>
      <c r="P764" s="52"/>
      <c r="Q764" s="52"/>
      <c r="U764" s="52"/>
    </row>
    <row r="765">
      <c r="M765" s="52"/>
      <c r="N765" s="52"/>
      <c r="O765" s="52"/>
      <c r="P765" s="52"/>
      <c r="Q765" s="52"/>
      <c r="U765" s="52"/>
    </row>
    <row r="766">
      <c r="M766" s="52"/>
      <c r="N766" s="52"/>
      <c r="O766" s="52"/>
      <c r="P766" s="52"/>
      <c r="Q766" s="52"/>
      <c r="U766" s="52"/>
    </row>
    <row r="767">
      <c r="M767" s="52"/>
      <c r="N767" s="52"/>
      <c r="O767" s="52"/>
      <c r="P767" s="52"/>
      <c r="Q767" s="52"/>
      <c r="U767" s="52"/>
    </row>
    <row r="768">
      <c r="M768" s="52"/>
      <c r="N768" s="52"/>
      <c r="O768" s="52"/>
      <c r="P768" s="52"/>
      <c r="Q768" s="52"/>
      <c r="U768" s="52"/>
    </row>
    <row r="769">
      <c r="M769" s="52"/>
      <c r="N769" s="52"/>
      <c r="O769" s="52"/>
      <c r="P769" s="52"/>
      <c r="Q769" s="52"/>
      <c r="U769" s="52"/>
    </row>
    <row r="770">
      <c r="M770" s="52"/>
      <c r="N770" s="52"/>
      <c r="O770" s="52"/>
      <c r="P770" s="52"/>
      <c r="Q770" s="52"/>
      <c r="U770" s="52"/>
    </row>
    <row r="771">
      <c r="M771" s="52"/>
      <c r="N771" s="52"/>
      <c r="O771" s="52"/>
      <c r="P771" s="52"/>
      <c r="Q771" s="52"/>
      <c r="U771" s="52"/>
    </row>
    <row r="772">
      <c r="M772" s="52"/>
      <c r="N772" s="52"/>
      <c r="O772" s="52"/>
      <c r="P772" s="52"/>
      <c r="Q772" s="52"/>
      <c r="U772" s="52"/>
    </row>
    <row r="773">
      <c r="M773" s="52"/>
      <c r="N773" s="52"/>
      <c r="O773" s="52"/>
      <c r="P773" s="52"/>
      <c r="Q773" s="52"/>
      <c r="U773" s="52"/>
    </row>
    <row r="774">
      <c r="M774" s="52"/>
      <c r="N774" s="52"/>
      <c r="O774" s="52"/>
      <c r="P774" s="52"/>
      <c r="Q774" s="52"/>
      <c r="U774" s="52"/>
    </row>
    <row r="775">
      <c r="M775" s="52"/>
      <c r="N775" s="52"/>
      <c r="O775" s="52"/>
      <c r="P775" s="52"/>
      <c r="Q775" s="52"/>
      <c r="U775" s="52"/>
    </row>
    <row r="776">
      <c r="M776" s="52"/>
      <c r="N776" s="52"/>
      <c r="O776" s="52"/>
      <c r="P776" s="52"/>
      <c r="Q776" s="52"/>
      <c r="U776" s="52"/>
    </row>
    <row r="777">
      <c r="M777" s="52"/>
      <c r="N777" s="52"/>
      <c r="O777" s="52"/>
      <c r="P777" s="52"/>
      <c r="Q777" s="52"/>
      <c r="U777" s="52"/>
    </row>
    <row r="778">
      <c r="M778" s="52"/>
      <c r="N778" s="52"/>
      <c r="O778" s="52"/>
      <c r="P778" s="52"/>
      <c r="Q778" s="52"/>
      <c r="U778" s="52"/>
    </row>
    <row r="779">
      <c r="M779" s="52"/>
      <c r="N779" s="52"/>
      <c r="O779" s="52"/>
      <c r="P779" s="52"/>
      <c r="Q779" s="52"/>
      <c r="U779" s="52"/>
    </row>
    <row r="780">
      <c r="M780" s="52"/>
      <c r="N780" s="52"/>
      <c r="O780" s="52"/>
      <c r="P780" s="52"/>
      <c r="Q780" s="52"/>
      <c r="U780" s="52"/>
    </row>
    <row r="781">
      <c r="M781" s="52"/>
      <c r="N781" s="52"/>
      <c r="O781" s="52"/>
      <c r="P781" s="52"/>
      <c r="Q781" s="52"/>
      <c r="U781" s="52"/>
    </row>
    <row r="782">
      <c r="M782" s="52"/>
      <c r="N782" s="52"/>
      <c r="O782" s="52"/>
      <c r="P782" s="52"/>
      <c r="Q782" s="52"/>
      <c r="U782" s="52"/>
    </row>
    <row r="783">
      <c r="M783" s="52"/>
      <c r="N783" s="52"/>
      <c r="O783" s="52"/>
      <c r="P783" s="52"/>
      <c r="Q783" s="52"/>
      <c r="U783" s="52"/>
    </row>
    <row r="784">
      <c r="M784" s="52"/>
      <c r="N784" s="52"/>
      <c r="O784" s="52"/>
      <c r="P784" s="52"/>
      <c r="Q784" s="52"/>
      <c r="U784" s="52"/>
    </row>
    <row r="785">
      <c r="M785" s="52"/>
      <c r="N785" s="52"/>
      <c r="O785" s="52"/>
      <c r="P785" s="52"/>
      <c r="Q785" s="52"/>
      <c r="U785" s="52"/>
    </row>
    <row r="786">
      <c r="M786" s="52"/>
      <c r="N786" s="52"/>
      <c r="O786" s="52"/>
      <c r="P786" s="52"/>
      <c r="Q786" s="52"/>
      <c r="U786" s="52"/>
    </row>
    <row r="787">
      <c r="M787" s="52"/>
      <c r="N787" s="52"/>
      <c r="O787" s="52"/>
      <c r="P787" s="52"/>
      <c r="Q787" s="52"/>
      <c r="U787" s="52"/>
    </row>
    <row r="788">
      <c r="M788" s="52"/>
      <c r="N788" s="52"/>
      <c r="O788" s="52"/>
      <c r="P788" s="52"/>
      <c r="Q788" s="52"/>
      <c r="U788" s="52"/>
    </row>
    <row r="789">
      <c r="M789" s="52"/>
      <c r="N789" s="52"/>
      <c r="O789" s="52"/>
      <c r="P789" s="52"/>
      <c r="Q789" s="52"/>
      <c r="U789" s="52"/>
    </row>
    <row r="790">
      <c r="M790" s="52"/>
      <c r="N790" s="52"/>
      <c r="O790" s="52"/>
      <c r="P790" s="52"/>
      <c r="Q790" s="52"/>
      <c r="U790" s="52"/>
    </row>
    <row r="791">
      <c r="M791" s="52"/>
      <c r="N791" s="52"/>
      <c r="O791" s="52"/>
      <c r="P791" s="52"/>
      <c r="Q791" s="52"/>
      <c r="U791" s="52"/>
    </row>
    <row r="792">
      <c r="M792" s="52"/>
      <c r="N792" s="52"/>
      <c r="O792" s="52"/>
      <c r="P792" s="52"/>
      <c r="Q792" s="52"/>
      <c r="U792" s="52"/>
    </row>
    <row r="793">
      <c r="M793" s="52"/>
      <c r="N793" s="52"/>
      <c r="O793" s="52"/>
      <c r="P793" s="52"/>
      <c r="Q793" s="52"/>
      <c r="U793" s="52"/>
    </row>
    <row r="794">
      <c r="M794" s="52"/>
      <c r="N794" s="52"/>
      <c r="O794" s="52"/>
      <c r="P794" s="52"/>
      <c r="Q794" s="52"/>
      <c r="U794" s="52"/>
    </row>
    <row r="795">
      <c r="M795" s="52"/>
      <c r="N795" s="52"/>
      <c r="O795" s="52"/>
      <c r="P795" s="52"/>
      <c r="Q795" s="52"/>
      <c r="U795" s="52"/>
    </row>
    <row r="796">
      <c r="M796" s="52"/>
      <c r="N796" s="52"/>
      <c r="O796" s="52"/>
      <c r="P796" s="52"/>
      <c r="Q796" s="52"/>
      <c r="U796" s="52"/>
    </row>
    <row r="797">
      <c r="M797" s="52"/>
      <c r="N797" s="52"/>
      <c r="O797" s="52"/>
      <c r="P797" s="52"/>
      <c r="Q797" s="52"/>
      <c r="U797" s="52"/>
    </row>
    <row r="798">
      <c r="M798" s="52"/>
      <c r="N798" s="52"/>
      <c r="O798" s="52"/>
      <c r="P798" s="52"/>
      <c r="Q798" s="52"/>
      <c r="U798" s="52"/>
    </row>
    <row r="799">
      <c r="M799" s="52"/>
      <c r="N799" s="52"/>
      <c r="O799" s="52"/>
      <c r="P799" s="52"/>
      <c r="Q799" s="52"/>
      <c r="U799" s="52"/>
    </row>
    <row r="800">
      <c r="M800" s="52"/>
      <c r="N800" s="52"/>
      <c r="O800" s="52"/>
      <c r="P800" s="52"/>
      <c r="Q800" s="52"/>
      <c r="U800" s="52"/>
    </row>
    <row r="801">
      <c r="M801" s="52"/>
      <c r="N801" s="52"/>
      <c r="O801" s="52"/>
      <c r="P801" s="52"/>
      <c r="Q801" s="52"/>
      <c r="U801" s="52"/>
    </row>
    <row r="802">
      <c r="M802" s="52"/>
      <c r="N802" s="52"/>
      <c r="O802" s="52"/>
      <c r="P802" s="52"/>
      <c r="Q802" s="52"/>
      <c r="U802" s="52"/>
    </row>
    <row r="803">
      <c r="M803" s="52"/>
      <c r="N803" s="52"/>
      <c r="O803" s="52"/>
      <c r="P803" s="52"/>
      <c r="Q803" s="52"/>
      <c r="U803" s="52"/>
    </row>
    <row r="804">
      <c r="M804" s="52"/>
      <c r="N804" s="52"/>
      <c r="O804" s="52"/>
      <c r="P804" s="52"/>
      <c r="Q804" s="52"/>
      <c r="U804" s="52"/>
    </row>
    <row r="805">
      <c r="M805" s="52"/>
      <c r="N805" s="52"/>
      <c r="O805" s="52"/>
      <c r="P805" s="52"/>
      <c r="Q805" s="52"/>
      <c r="U805" s="52"/>
    </row>
    <row r="806">
      <c r="M806" s="52"/>
      <c r="N806" s="52"/>
      <c r="O806" s="52"/>
      <c r="P806" s="52"/>
      <c r="Q806" s="52"/>
      <c r="U806" s="52"/>
    </row>
    <row r="807">
      <c r="M807" s="52"/>
      <c r="N807" s="52"/>
      <c r="O807" s="52"/>
      <c r="P807" s="52"/>
      <c r="Q807" s="52"/>
      <c r="U807" s="52"/>
    </row>
    <row r="808">
      <c r="M808" s="52"/>
      <c r="N808" s="52"/>
      <c r="O808" s="52"/>
      <c r="P808" s="52"/>
      <c r="Q808" s="52"/>
      <c r="U808" s="52"/>
    </row>
    <row r="809">
      <c r="M809" s="52"/>
      <c r="N809" s="52"/>
      <c r="O809" s="52"/>
      <c r="P809" s="52"/>
      <c r="Q809" s="52"/>
      <c r="U809" s="52"/>
    </row>
    <row r="810">
      <c r="M810" s="52"/>
      <c r="N810" s="52"/>
      <c r="O810" s="52"/>
      <c r="P810" s="52"/>
      <c r="Q810" s="52"/>
      <c r="U810" s="52"/>
    </row>
    <row r="811">
      <c r="M811" s="52"/>
      <c r="N811" s="52"/>
      <c r="O811" s="52"/>
      <c r="P811" s="52"/>
      <c r="Q811" s="52"/>
      <c r="U811" s="52"/>
    </row>
    <row r="812">
      <c r="M812" s="52"/>
      <c r="N812" s="52"/>
      <c r="O812" s="52"/>
      <c r="P812" s="52"/>
      <c r="Q812" s="52"/>
      <c r="U812" s="52"/>
    </row>
    <row r="813">
      <c r="M813" s="52"/>
      <c r="N813" s="52"/>
      <c r="O813" s="52"/>
      <c r="P813" s="52"/>
      <c r="Q813" s="52"/>
      <c r="U813" s="52"/>
    </row>
    <row r="814">
      <c r="M814" s="52"/>
      <c r="N814" s="52"/>
      <c r="O814" s="52"/>
      <c r="P814" s="52"/>
      <c r="Q814" s="52"/>
      <c r="U814" s="52"/>
    </row>
    <row r="815">
      <c r="M815" s="52"/>
      <c r="N815" s="52"/>
      <c r="O815" s="52"/>
      <c r="P815" s="52"/>
      <c r="Q815" s="52"/>
      <c r="U815" s="52"/>
    </row>
    <row r="816">
      <c r="M816" s="52"/>
      <c r="N816" s="52"/>
      <c r="O816" s="52"/>
      <c r="P816" s="52"/>
      <c r="Q816" s="52"/>
      <c r="U816" s="52"/>
    </row>
    <row r="817">
      <c r="M817" s="52"/>
      <c r="N817" s="52"/>
      <c r="O817" s="52"/>
      <c r="P817" s="52"/>
      <c r="Q817" s="52"/>
      <c r="U817" s="52"/>
    </row>
    <row r="818">
      <c r="M818" s="52"/>
      <c r="N818" s="52"/>
      <c r="O818" s="52"/>
      <c r="P818" s="52"/>
      <c r="Q818" s="52"/>
      <c r="U818" s="52"/>
    </row>
    <row r="819">
      <c r="M819" s="52"/>
      <c r="N819" s="52"/>
      <c r="O819" s="52"/>
      <c r="P819" s="52"/>
      <c r="Q819" s="52"/>
      <c r="U819" s="52"/>
    </row>
    <row r="820">
      <c r="M820" s="52"/>
      <c r="N820" s="52"/>
      <c r="O820" s="52"/>
      <c r="P820" s="52"/>
      <c r="Q820" s="52"/>
      <c r="U820" s="52"/>
    </row>
    <row r="821">
      <c r="M821" s="52"/>
      <c r="N821" s="52"/>
      <c r="O821" s="52"/>
      <c r="P821" s="52"/>
      <c r="Q821" s="52"/>
      <c r="U821" s="52"/>
    </row>
    <row r="822">
      <c r="M822" s="52"/>
      <c r="N822" s="52"/>
      <c r="O822" s="52"/>
      <c r="P822" s="52"/>
      <c r="Q822" s="52"/>
      <c r="U822" s="52"/>
    </row>
    <row r="823">
      <c r="M823" s="52"/>
      <c r="N823" s="52"/>
      <c r="O823" s="52"/>
      <c r="P823" s="52"/>
      <c r="Q823" s="52"/>
      <c r="U823" s="52"/>
    </row>
    <row r="824">
      <c r="M824" s="52"/>
      <c r="N824" s="52"/>
      <c r="O824" s="52"/>
      <c r="P824" s="52"/>
      <c r="Q824" s="52"/>
      <c r="U824" s="52"/>
    </row>
    <row r="825">
      <c r="M825" s="52"/>
      <c r="N825" s="52"/>
      <c r="O825" s="52"/>
      <c r="P825" s="52"/>
      <c r="Q825" s="52"/>
      <c r="U825" s="52"/>
    </row>
    <row r="826">
      <c r="M826" s="52"/>
      <c r="N826" s="52"/>
      <c r="O826" s="52"/>
      <c r="P826" s="52"/>
      <c r="Q826" s="52"/>
      <c r="U826" s="52"/>
    </row>
    <row r="827">
      <c r="M827" s="52"/>
      <c r="N827" s="52"/>
      <c r="O827" s="52"/>
      <c r="P827" s="52"/>
      <c r="Q827" s="52"/>
      <c r="U827" s="52"/>
    </row>
    <row r="828">
      <c r="M828" s="52"/>
      <c r="N828" s="52"/>
      <c r="O828" s="52"/>
      <c r="P828" s="52"/>
      <c r="Q828" s="52"/>
      <c r="U828" s="52"/>
    </row>
    <row r="829">
      <c r="M829" s="52"/>
      <c r="N829" s="52"/>
      <c r="O829" s="52"/>
      <c r="P829" s="52"/>
      <c r="Q829" s="52"/>
      <c r="U829" s="52"/>
    </row>
    <row r="830">
      <c r="M830" s="52"/>
      <c r="N830" s="52"/>
      <c r="O830" s="52"/>
      <c r="P830" s="52"/>
      <c r="Q830" s="52"/>
      <c r="U830" s="52"/>
    </row>
    <row r="831">
      <c r="M831" s="52"/>
      <c r="N831" s="52"/>
      <c r="O831" s="52"/>
      <c r="P831" s="52"/>
      <c r="Q831" s="52"/>
      <c r="U831" s="52"/>
    </row>
    <row r="832">
      <c r="M832" s="52"/>
      <c r="N832" s="52"/>
      <c r="O832" s="52"/>
      <c r="P832" s="52"/>
      <c r="Q832" s="52"/>
      <c r="U832" s="52"/>
    </row>
    <row r="833">
      <c r="M833" s="52"/>
      <c r="N833" s="52"/>
      <c r="O833" s="52"/>
      <c r="P833" s="52"/>
      <c r="Q833" s="52"/>
      <c r="U833" s="52"/>
    </row>
    <row r="834">
      <c r="M834" s="52"/>
      <c r="N834" s="52"/>
      <c r="O834" s="52"/>
      <c r="P834" s="52"/>
      <c r="Q834" s="52"/>
      <c r="U834" s="52"/>
    </row>
    <row r="835">
      <c r="M835" s="52"/>
      <c r="N835" s="52"/>
      <c r="O835" s="52"/>
      <c r="P835" s="52"/>
      <c r="Q835" s="52"/>
      <c r="U835" s="52"/>
    </row>
    <row r="836">
      <c r="M836" s="52"/>
      <c r="N836" s="52"/>
      <c r="O836" s="52"/>
      <c r="P836" s="52"/>
      <c r="Q836" s="52"/>
      <c r="U836" s="52"/>
    </row>
    <row r="837">
      <c r="M837" s="52"/>
      <c r="N837" s="52"/>
      <c r="O837" s="52"/>
      <c r="P837" s="52"/>
      <c r="Q837" s="52"/>
      <c r="U837" s="52"/>
    </row>
    <row r="838">
      <c r="M838" s="52"/>
      <c r="N838" s="52"/>
      <c r="O838" s="52"/>
      <c r="P838" s="52"/>
      <c r="Q838" s="52"/>
      <c r="U838" s="52"/>
    </row>
    <row r="839">
      <c r="M839" s="52"/>
      <c r="N839" s="52"/>
      <c r="O839" s="52"/>
      <c r="P839" s="52"/>
      <c r="Q839" s="52"/>
      <c r="U839" s="52"/>
    </row>
    <row r="840">
      <c r="M840" s="52"/>
      <c r="N840" s="52"/>
      <c r="O840" s="52"/>
      <c r="P840" s="52"/>
      <c r="Q840" s="52"/>
      <c r="U840" s="52"/>
    </row>
    <row r="841">
      <c r="M841" s="52"/>
      <c r="N841" s="52"/>
      <c r="O841" s="52"/>
      <c r="P841" s="52"/>
      <c r="Q841" s="52"/>
      <c r="U841" s="52"/>
    </row>
    <row r="842">
      <c r="M842" s="52"/>
      <c r="N842" s="52"/>
      <c r="O842" s="52"/>
      <c r="P842" s="52"/>
      <c r="Q842" s="52"/>
      <c r="U842" s="52"/>
    </row>
    <row r="843">
      <c r="M843" s="52"/>
      <c r="N843" s="52"/>
      <c r="O843" s="52"/>
      <c r="P843" s="52"/>
      <c r="Q843" s="52"/>
      <c r="U843" s="52"/>
    </row>
    <row r="844">
      <c r="M844" s="52"/>
      <c r="N844" s="52"/>
      <c r="O844" s="52"/>
      <c r="P844" s="52"/>
      <c r="Q844" s="52"/>
      <c r="U844" s="52"/>
    </row>
    <row r="845">
      <c r="M845" s="52"/>
      <c r="N845" s="52"/>
      <c r="O845" s="52"/>
      <c r="P845" s="52"/>
      <c r="Q845" s="52"/>
      <c r="U845" s="52"/>
    </row>
    <row r="846">
      <c r="M846" s="52"/>
      <c r="N846" s="52"/>
      <c r="O846" s="52"/>
      <c r="P846" s="52"/>
      <c r="Q846" s="52"/>
      <c r="U846" s="52"/>
    </row>
    <row r="847">
      <c r="M847" s="52"/>
      <c r="N847" s="52"/>
      <c r="O847" s="52"/>
      <c r="P847" s="52"/>
      <c r="Q847" s="52"/>
      <c r="U847" s="52"/>
    </row>
    <row r="848">
      <c r="M848" s="52"/>
      <c r="N848" s="52"/>
      <c r="O848" s="52"/>
      <c r="P848" s="52"/>
      <c r="Q848" s="52"/>
      <c r="U848" s="52"/>
    </row>
    <row r="849">
      <c r="M849" s="52"/>
      <c r="N849" s="52"/>
      <c r="O849" s="52"/>
      <c r="P849" s="52"/>
      <c r="Q849" s="52"/>
      <c r="U849" s="52"/>
    </row>
    <row r="850">
      <c r="M850" s="52"/>
      <c r="N850" s="52"/>
      <c r="O850" s="52"/>
      <c r="P850" s="52"/>
      <c r="Q850" s="52"/>
      <c r="U850" s="52"/>
    </row>
    <row r="851">
      <c r="M851" s="52"/>
      <c r="N851" s="52"/>
      <c r="O851" s="52"/>
      <c r="P851" s="52"/>
      <c r="Q851" s="52"/>
      <c r="U851" s="52"/>
    </row>
    <row r="852">
      <c r="M852" s="52"/>
      <c r="N852" s="52"/>
      <c r="O852" s="52"/>
      <c r="P852" s="52"/>
      <c r="Q852" s="52"/>
      <c r="U852" s="52"/>
    </row>
    <row r="853">
      <c r="M853" s="52"/>
      <c r="N853" s="52"/>
      <c r="O853" s="52"/>
      <c r="P853" s="52"/>
      <c r="Q853" s="52"/>
      <c r="U853" s="52"/>
    </row>
    <row r="854">
      <c r="M854" s="52"/>
      <c r="N854" s="52"/>
      <c r="O854" s="52"/>
      <c r="P854" s="52"/>
      <c r="Q854" s="52"/>
      <c r="U854" s="52"/>
    </row>
    <row r="855">
      <c r="M855" s="52"/>
      <c r="N855" s="52"/>
      <c r="O855" s="52"/>
      <c r="P855" s="52"/>
      <c r="Q855" s="52"/>
      <c r="U855" s="52"/>
    </row>
    <row r="856">
      <c r="M856" s="52"/>
      <c r="N856" s="52"/>
      <c r="O856" s="52"/>
      <c r="P856" s="52"/>
      <c r="Q856" s="52"/>
      <c r="U856" s="52"/>
    </row>
    <row r="857">
      <c r="M857" s="52"/>
      <c r="N857" s="52"/>
      <c r="O857" s="52"/>
      <c r="P857" s="52"/>
      <c r="Q857" s="52"/>
      <c r="U857" s="52"/>
    </row>
    <row r="858">
      <c r="M858" s="52"/>
      <c r="N858" s="52"/>
      <c r="O858" s="52"/>
      <c r="P858" s="52"/>
      <c r="Q858" s="52"/>
      <c r="U858" s="52"/>
    </row>
    <row r="859">
      <c r="M859" s="52"/>
      <c r="N859" s="52"/>
      <c r="O859" s="52"/>
      <c r="P859" s="52"/>
      <c r="Q859" s="52"/>
      <c r="U859" s="52"/>
    </row>
    <row r="860">
      <c r="M860" s="52"/>
      <c r="N860" s="52"/>
      <c r="O860" s="52"/>
      <c r="P860" s="52"/>
      <c r="Q860" s="52"/>
      <c r="U860" s="52"/>
    </row>
    <row r="861">
      <c r="M861" s="52"/>
      <c r="N861" s="52"/>
      <c r="O861" s="52"/>
      <c r="P861" s="52"/>
      <c r="Q861" s="52"/>
      <c r="U861" s="52"/>
    </row>
    <row r="862">
      <c r="M862" s="52"/>
      <c r="N862" s="52"/>
      <c r="O862" s="52"/>
      <c r="P862" s="52"/>
      <c r="Q862" s="52"/>
      <c r="U862" s="52"/>
    </row>
    <row r="863">
      <c r="M863" s="52"/>
      <c r="N863" s="52"/>
      <c r="O863" s="52"/>
      <c r="P863" s="52"/>
      <c r="Q863" s="52"/>
      <c r="U863" s="52"/>
    </row>
    <row r="864">
      <c r="M864" s="52"/>
      <c r="N864" s="52"/>
      <c r="O864" s="52"/>
      <c r="P864" s="52"/>
      <c r="Q864" s="52"/>
      <c r="U864" s="52"/>
    </row>
    <row r="865">
      <c r="M865" s="52"/>
      <c r="N865" s="52"/>
      <c r="O865" s="52"/>
      <c r="P865" s="52"/>
      <c r="Q865" s="52"/>
      <c r="U865" s="52"/>
    </row>
    <row r="866">
      <c r="M866" s="52"/>
      <c r="N866" s="52"/>
      <c r="O866" s="52"/>
      <c r="P866" s="52"/>
      <c r="Q866" s="52"/>
      <c r="U866" s="52"/>
    </row>
    <row r="867">
      <c r="M867" s="52"/>
      <c r="N867" s="52"/>
      <c r="O867" s="52"/>
      <c r="P867" s="52"/>
      <c r="Q867" s="52"/>
      <c r="U867" s="52"/>
    </row>
    <row r="868">
      <c r="M868" s="52"/>
      <c r="N868" s="52"/>
      <c r="O868" s="52"/>
      <c r="P868" s="52"/>
      <c r="Q868" s="52"/>
      <c r="U868" s="52"/>
    </row>
    <row r="869">
      <c r="M869" s="52"/>
      <c r="N869" s="52"/>
      <c r="O869" s="52"/>
      <c r="P869" s="52"/>
      <c r="Q869" s="52"/>
      <c r="U869" s="52"/>
    </row>
    <row r="870">
      <c r="M870" s="52"/>
      <c r="N870" s="52"/>
      <c r="O870" s="52"/>
      <c r="P870" s="52"/>
      <c r="Q870" s="52"/>
      <c r="U870" s="52"/>
    </row>
    <row r="871">
      <c r="M871" s="52"/>
      <c r="N871" s="52"/>
      <c r="O871" s="52"/>
      <c r="P871" s="52"/>
      <c r="Q871" s="52"/>
      <c r="U871" s="52"/>
    </row>
    <row r="872">
      <c r="M872" s="52"/>
      <c r="N872" s="52"/>
      <c r="O872" s="52"/>
      <c r="P872" s="52"/>
      <c r="Q872" s="52"/>
      <c r="U872" s="52"/>
    </row>
    <row r="873">
      <c r="M873" s="52"/>
      <c r="N873" s="52"/>
      <c r="O873" s="52"/>
      <c r="P873" s="52"/>
      <c r="Q873" s="52"/>
      <c r="U873" s="52"/>
    </row>
    <row r="874">
      <c r="M874" s="52"/>
      <c r="N874" s="52"/>
      <c r="O874" s="52"/>
      <c r="P874" s="52"/>
      <c r="Q874" s="52"/>
      <c r="U874" s="52"/>
    </row>
    <row r="875">
      <c r="M875" s="52"/>
      <c r="N875" s="52"/>
      <c r="O875" s="52"/>
      <c r="P875" s="52"/>
      <c r="Q875" s="52"/>
      <c r="U875" s="52"/>
    </row>
    <row r="876">
      <c r="M876" s="52"/>
      <c r="N876" s="52"/>
      <c r="O876" s="52"/>
      <c r="P876" s="52"/>
      <c r="Q876" s="52"/>
      <c r="U876" s="52"/>
    </row>
    <row r="877">
      <c r="M877" s="52"/>
      <c r="N877" s="52"/>
      <c r="O877" s="52"/>
      <c r="P877" s="52"/>
      <c r="Q877" s="52"/>
      <c r="U877" s="52"/>
    </row>
    <row r="878">
      <c r="M878" s="52"/>
      <c r="N878" s="52"/>
      <c r="O878" s="52"/>
      <c r="P878" s="52"/>
      <c r="Q878" s="52"/>
      <c r="U878" s="52"/>
    </row>
    <row r="879">
      <c r="M879" s="52"/>
      <c r="N879" s="52"/>
      <c r="O879" s="52"/>
      <c r="P879" s="52"/>
      <c r="Q879" s="52"/>
      <c r="U879" s="52"/>
    </row>
    <row r="880">
      <c r="M880" s="52"/>
      <c r="N880" s="52"/>
      <c r="O880" s="52"/>
      <c r="P880" s="52"/>
      <c r="Q880" s="52"/>
      <c r="U880" s="52"/>
    </row>
    <row r="881">
      <c r="M881" s="52"/>
      <c r="N881" s="52"/>
      <c r="O881" s="52"/>
      <c r="P881" s="52"/>
      <c r="Q881" s="52"/>
      <c r="U881" s="52"/>
    </row>
    <row r="882">
      <c r="M882" s="52"/>
      <c r="N882" s="52"/>
      <c r="O882" s="52"/>
      <c r="P882" s="52"/>
      <c r="Q882" s="52"/>
      <c r="U882" s="52"/>
    </row>
    <row r="883">
      <c r="M883" s="52"/>
      <c r="N883" s="52"/>
      <c r="O883" s="52"/>
      <c r="P883" s="52"/>
      <c r="Q883" s="52"/>
      <c r="U883" s="52"/>
    </row>
    <row r="884">
      <c r="M884" s="52"/>
      <c r="N884" s="52"/>
      <c r="O884" s="52"/>
      <c r="P884" s="52"/>
      <c r="Q884" s="52"/>
      <c r="U884" s="52"/>
    </row>
    <row r="885">
      <c r="M885" s="52"/>
      <c r="N885" s="52"/>
      <c r="O885" s="52"/>
      <c r="P885" s="52"/>
      <c r="Q885" s="52"/>
      <c r="U885" s="52"/>
    </row>
    <row r="886">
      <c r="M886" s="52"/>
      <c r="N886" s="52"/>
      <c r="O886" s="52"/>
      <c r="P886" s="52"/>
      <c r="Q886" s="52"/>
      <c r="U886" s="52"/>
    </row>
    <row r="887">
      <c r="M887" s="52"/>
      <c r="N887" s="52"/>
      <c r="O887" s="52"/>
      <c r="P887" s="52"/>
      <c r="Q887" s="52"/>
      <c r="U887" s="52"/>
    </row>
    <row r="888">
      <c r="M888" s="52"/>
      <c r="N888" s="52"/>
      <c r="O888" s="52"/>
      <c r="P888" s="52"/>
      <c r="Q888" s="52"/>
      <c r="U888" s="52"/>
    </row>
    <row r="889">
      <c r="M889" s="52"/>
      <c r="N889" s="52"/>
      <c r="O889" s="52"/>
      <c r="P889" s="52"/>
      <c r="Q889" s="52"/>
      <c r="U889" s="52"/>
    </row>
    <row r="890">
      <c r="M890" s="52"/>
      <c r="N890" s="52"/>
      <c r="O890" s="52"/>
      <c r="P890" s="52"/>
      <c r="Q890" s="52"/>
      <c r="U890" s="52"/>
    </row>
    <row r="891">
      <c r="M891" s="52"/>
      <c r="N891" s="52"/>
      <c r="O891" s="52"/>
      <c r="P891" s="52"/>
      <c r="Q891" s="52"/>
      <c r="U891" s="52"/>
    </row>
    <row r="892">
      <c r="M892" s="52"/>
      <c r="N892" s="52"/>
      <c r="O892" s="52"/>
      <c r="P892" s="52"/>
      <c r="Q892" s="52"/>
      <c r="U892" s="52"/>
    </row>
    <row r="893">
      <c r="M893" s="52"/>
      <c r="N893" s="52"/>
      <c r="O893" s="52"/>
      <c r="P893" s="52"/>
      <c r="Q893" s="52"/>
      <c r="U893" s="52"/>
    </row>
    <row r="894">
      <c r="M894" s="52"/>
      <c r="N894" s="52"/>
      <c r="O894" s="52"/>
      <c r="P894" s="52"/>
      <c r="Q894" s="52"/>
      <c r="U894" s="52"/>
    </row>
    <row r="895">
      <c r="M895" s="52"/>
      <c r="N895" s="52"/>
      <c r="O895" s="52"/>
      <c r="P895" s="52"/>
      <c r="Q895" s="52"/>
      <c r="U895" s="52"/>
    </row>
    <row r="896">
      <c r="M896" s="52"/>
      <c r="N896" s="52"/>
      <c r="O896" s="52"/>
      <c r="P896" s="52"/>
      <c r="Q896" s="52"/>
      <c r="U896" s="52"/>
    </row>
    <row r="897">
      <c r="M897" s="52"/>
      <c r="N897" s="52"/>
      <c r="O897" s="52"/>
      <c r="P897" s="52"/>
      <c r="Q897" s="52"/>
      <c r="U897" s="52"/>
    </row>
    <row r="898">
      <c r="M898" s="52"/>
      <c r="N898" s="52"/>
      <c r="O898" s="52"/>
      <c r="P898" s="52"/>
      <c r="Q898" s="52"/>
      <c r="U898" s="52"/>
    </row>
    <row r="899">
      <c r="M899" s="52"/>
      <c r="N899" s="52"/>
      <c r="O899" s="52"/>
      <c r="P899" s="52"/>
      <c r="Q899" s="52"/>
      <c r="U899" s="52"/>
    </row>
    <row r="900">
      <c r="M900" s="52"/>
      <c r="N900" s="52"/>
      <c r="O900" s="52"/>
      <c r="P900" s="52"/>
      <c r="Q900" s="52"/>
      <c r="U900" s="52"/>
    </row>
    <row r="901">
      <c r="M901" s="52"/>
      <c r="N901" s="52"/>
      <c r="O901" s="52"/>
      <c r="P901" s="52"/>
      <c r="Q901" s="52"/>
      <c r="U901" s="52"/>
    </row>
    <row r="902">
      <c r="M902" s="52"/>
      <c r="N902" s="52"/>
      <c r="O902" s="52"/>
      <c r="P902" s="52"/>
      <c r="Q902" s="52"/>
      <c r="U902" s="52"/>
    </row>
    <row r="903">
      <c r="M903" s="52"/>
      <c r="N903" s="52"/>
      <c r="O903" s="52"/>
      <c r="P903" s="52"/>
      <c r="Q903" s="52"/>
      <c r="U903" s="52"/>
    </row>
    <row r="904">
      <c r="M904" s="52"/>
      <c r="N904" s="52"/>
      <c r="O904" s="52"/>
      <c r="P904" s="52"/>
      <c r="Q904" s="52"/>
      <c r="U904" s="52"/>
    </row>
    <row r="905">
      <c r="M905" s="52"/>
      <c r="N905" s="52"/>
      <c r="O905" s="52"/>
      <c r="P905" s="52"/>
      <c r="Q905" s="52"/>
      <c r="U905" s="52"/>
    </row>
    <row r="906">
      <c r="M906" s="52"/>
      <c r="N906" s="52"/>
      <c r="O906" s="52"/>
      <c r="P906" s="52"/>
      <c r="Q906" s="52"/>
      <c r="U906" s="52"/>
    </row>
    <row r="907">
      <c r="M907" s="52"/>
      <c r="N907" s="52"/>
      <c r="O907" s="52"/>
      <c r="P907" s="52"/>
      <c r="Q907" s="52"/>
      <c r="U907" s="52"/>
    </row>
    <row r="908">
      <c r="M908" s="52"/>
      <c r="N908" s="52"/>
      <c r="O908" s="52"/>
      <c r="P908" s="52"/>
      <c r="Q908" s="52"/>
      <c r="U908" s="52"/>
    </row>
    <row r="909">
      <c r="M909" s="52"/>
      <c r="N909" s="52"/>
      <c r="O909" s="52"/>
      <c r="P909" s="52"/>
      <c r="Q909" s="52"/>
      <c r="U909" s="52"/>
    </row>
    <row r="910">
      <c r="M910" s="52"/>
      <c r="N910" s="52"/>
      <c r="O910" s="52"/>
      <c r="P910" s="52"/>
      <c r="Q910" s="52"/>
      <c r="U910" s="52"/>
    </row>
    <row r="911">
      <c r="M911" s="52"/>
      <c r="N911" s="52"/>
      <c r="O911" s="52"/>
      <c r="P911" s="52"/>
      <c r="Q911" s="52"/>
      <c r="U911" s="52"/>
    </row>
    <row r="912">
      <c r="M912" s="52"/>
      <c r="N912" s="52"/>
      <c r="O912" s="52"/>
      <c r="P912" s="52"/>
      <c r="Q912" s="52"/>
      <c r="U912" s="52"/>
    </row>
    <row r="913">
      <c r="M913" s="52"/>
      <c r="N913" s="52"/>
      <c r="O913" s="52"/>
      <c r="P913" s="52"/>
      <c r="Q913" s="52"/>
      <c r="U913" s="52"/>
    </row>
    <row r="914">
      <c r="M914" s="52"/>
      <c r="N914" s="52"/>
      <c r="O914" s="52"/>
      <c r="P914" s="52"/>
      <c r="Q914" s="52"/>
      <c r="U914" s="52"/>
    </row>
    <row r="915">
      <c r="M915" s="52"/>
      <c r="N915" s="52"/>
      <c r="O915" s="52"/>
      <c r="P915" s="52"/>
      <c r="Q915" s="52"/>
      <c r="U915" s="52"/>
    </row>
    <row r="916">
      <c r="M916" s="52"/>
      <c r="N916" s="52"/>
      <c r="O916" s="52"/>
      <c r="P916" s="52"/>
      <c r="Q916" s="52"/>
      <c r="U916" s="52"/>
    </row>
    <row r="917">
      <c r="M917" s="52"/>
      <c r="N917" s="52"/>
      <c r="O917" s="52"/>
      <c r="P917" s="52"/>
      <c r="Q917" s="52"/>
      <c r="U917" s="52"/>
    </row>
    <row r="918">
      <c r="M918" s="52"/>
      <c r="N918" s="52"/>
      <c r="O918" s="52"/>
      <c r="P918" s="52"/>
      <c r="Q918" s="52"/>
      <c r="U918" s="52"/>
    </row>
    <row r="919">
      <c r="M919" s="52"/>
      <c r="N919" s="52"/>
      <c r="O919" s="52"/>
      <c r="P919" s="52"/>
      <c r="Q919" s="52"/>
      <c r="U919" s="52"/>
    </row>
    <row r="920">
      <c r="M920" s="52"/>
      <c r="N920" s="52"/>
      <c r="O920" s="52"/>
      <c r="P920" s="52"/>
      <c r="Q920" s="52"/>
      <c r="U920" s="52"/>
    </row>
    <row r="921">
      <c r="M921" s="52"/>
      <c r="N921" s="52"/>
      <c r="O921" s="52"/>
      <c r="P921" s="52"/>
      <c r="Q921" s="52"/>
      <c r="U921" s="52"/>
    </row>
    <row r="922">
      <c r="M922" s="52"/>
      <c r="N922" s="52"/>
      <c r="O922" s="52"/>
      <c r="P922" s="52"/>
      <c r="Q922" s="52"/>
      <c r="U922" s="52"/>
    </row>
    <row r="923">
      <c r="M923" s="52"/>
      <c r="N923" s="52"/>
      <c r="O923" s="52"/>
      <c r="P923" s="52"/>
      <c r="Q923" s="52"/>
      <c r="U923" s="52"/>
    </row>
    <row r="924">
      <c r="M924" s="52"/>
      <c r="N924" s="52"/>
      <c r="O924" s="52"/>
      <c r="P924" s="52"/>
      <c r="Q924" s="52"/>
      <c r="U924" s="52"/>
    </row>
    <row r="925">
      <c r="M925" s="52"/>
      <c r="N925" s="52"/>
      <c r="O925" s="52"/>
      <c r="P925" s="52"/>
      <c r="Q925" s="52"/>
      <c r="U925" s="52"/>
    </row>
    <row r="926">
      <c r="M926" s="52"/>
      <c r="N926" s="52"/>
      <c r="O926" s="52"/>
      <c r="P926" s="52"/>
      <c r="Q926" s="52"/>
      <c r="U926" s="52"/>
    </row>
    <row r="927">
      <c r="M927" s="52"/>
      <c r="N927" s="52"/>
      <c r="O927" s="52"/>
      <c r="P927" s="52"/>
      <c r="Q927" s="52"/>
      <c r="U927" s="52"/>
    </row>
    <row r="928">
      <c r="M928" s="52"/>
      <c r="N928" s="52"/>
      <c r="O928" s="52"/>
      <c r="P928" s="52"/>
      <c r="Q928" s="52"/>
      <c r="U928" s="52"/>
    </row>
    <row r="929">
      <c r="M929" s="52"/>
      <c r="N929" s="52"/>
      <c r="O929" s="52"/>
      <c r="P929" s="52"/>
      <c r="Q929" s="52"/>
      <c r="U929" s="52"/>
    </row>
    <row r="930">
      <c r="M930" s="52"/>
      <c r="N930" s="52"/>
      <c r="O930" s="52"/>
      <c r="P930" s="52"/>
      <c r="Q930" s="52"/>
      <c r="U930" s="52"/>
    </row>
    <row r="931">
      <c r="M931" s="52"/>
      <c r="N931" s="52"/>
      <c r="O931" s="52"/>
      <c r="P931" s="52"/>
      <c r="Q931" s="52"/>
      <c r="U931" s="52"/>
    </row>
    <row r="932">
      <c r="M932" s="52"/>
      <c r="N932" s="52"/>
      <c r="O932" s="52"/>
      <c r="P932" s="52"/>
      <c r="Q932" s="52"/>
      <c r="U932" s="52"/>
    </row>
    <row r="933">
      <c r="M933" s="52"/>
      <c r="N933" s="52"/>
      <c r="O933" s="52"/>
      <c r="P933" s="52"/>
      <c r="Q933" s="52"/>
      <c r="U933" s="52"/>
    </row>
    <row r="934">
      <c r="M934" s="52"/>
      <c r="N934" s="52"/>
      <c r="O934" s="52"/>
      <c r="P934" s="52"/>
      <c r="Q934" s="52"/>
      <c r="U934" s="52"/>
    </row>
    <row r="935">
      <c r="M935" s="52"/>
      <c r="N935" s="52"/>
      <c r="O935" s="52"/>
      <c r="P935" s="52"/>
      <c r="Q935" s="52"/>
      <c r="U935" s="52"/>
    </row>
    <row r="936">
      <c r="M936" s="52"/>
      <c r="N936" s="52"/>
      <c r="O936" s="52"/>
      <c r="P936" s="52"/>
      <c r="Q936" s="52"/>
      <c r="U936" s="52"/>
    </row>
    <row r="937">
      <c r="M937" s="52"/>
      <c r="N937" s="52"/>
      <c r="O937" s="52"/>
      <c r="P937" s="52"/>
      <c r="Q937" s="52"/>
      <c r="U937" s="52"/>
    </row>
    <row r="938">
      <c r="M938" s="52"/>
      <c r="N938" s="52"/>
      <c r="O938" s="52"/>
      <c r="P938" s="52"/>
      <c r="Q938" s="52"/>
      <c r="U938" s="52"/>
    </row>
    <row r="939">
      <c r="M939" s="52"/>
      <c r="N939" s="52"/>
      <c r="O939" s="52"/>
      <c r="P939" s="52"/>
      <c r="Q939" s="52"/>
      <c r="U939" s="52"/>
    </row>
    <row r="940">
      <c r="M940" s="52"/>
      <c r="N940" s="52"/>
      <c r="O940" s="52"/>
      <c r="P940" s="52"/>
      <c r="Q940" s="52"/>
      <c r="U940" s="52"/>
    </row>
    <row r="941">
      <c r="M941" s="52"/>
      <c r="N941" s="52"/>
      <c r="O941" s="52"/>
      <c r="P941" s="52"/>
      <c r="Q941" s="52"/>
      <c r="U941" s="52"/>
    </row>
    <row r="942">
      <c r="M942" s="52"/>
      <c r="N942" s="52"/>
      <c r="O942" s="52"/>
      <c r="P942" s="52"/>
      <c r="Q942" s="52"/>
      <c r="U942" s="52"/>
    </row>
    <row r="943">
      <c r="M943" s="52"/>
      <c r="N943" s="52"/>
      <c r="O943" s="52"/>
      <c r="P943" s="52"/>
      <c r="Q943" s="52"/>
      <c r="U943" s="52"/>
    </row>
    <row r="944">
      <c r="M944" s="52"/>
      <c r="N944" s="52"/>
      <c r="O944" s="52"/>
      <c r="P944" s="52"/>
      <c r="Q944" s="52"/>
      <c r="U944" s="52"/>
    </row>
    <row r="945">
      <c r="M945" s="52"/>
      <c r="N945" s="52"/>
      <c r="O945" s="52"/>
      <c r="P945" s="52"/>
      <c r="Q945" s="52"/>
      <c r="U945" s="52"/>
    </row>
    <row r="946">
      <c r="M946" s="52"/>
      <c r="N946" s="52"/>
      <c r="O946" s="52"/>
      <c r="P946" s="52"/>
      <c r="Q946" s="52"/>
      <c r="U946" s="52"/>
    </row>
    <row r="947">
      <c r="M947" s="52"/>
      <c r="N947" s="52"/>
      <c r="O947" s="52"/>
      <c r="P947" s="52"/>
      <c r="Q947" s="52"/>
      <c r="U947" s="52"/>
    </row>
    <row r="948">
      <c r="M948" s="52"/>
      <c r="N948" s="52"/>
      <c r="O948" s="52"/>
      <c r="P948" s="52"/>
      <c r="Q948" s="52"/>
      <c r="U948" s="52"/>
    </row>
    <row r="949">
      <c r="M949" s="52"/>
      <c r="N949" s="52"/>
      <c r="O949" s="52"/>
      <c r="P949" s="52"/>
      <c r="Q949" s="52"/>
      <c r="U949" s="52"/>
    </row>
    <row r="950">
      <c r="M950" s="52"/>
      <c r="N950" s="52"/>
      <c r="O950" s="52"/>
      <c r="P950" s="52"/>
      <c r="Q950" s="52"/>
      <c r="U950" s="52"/>
    </row>
    <row r="951">
      <c r="M951" s="52"/>
      <c r="N951" s="52"/>
      <c r="O951" s="52"/>
      <c r="P951" s="52"/>
      <c r="Q951" s="52"/>
      <c r="U951" s="52"/>
    </row>
    <row r="952">
      <c r="M952" s="52"/>
      <c r="N952" s="52"/>
      <c r="O952" s="52"/>
      <c r="P952" s="52"/>
      <c r="Q952" s="52"/>
      <c r="U952" s="52"/>
    </row>
    <row r="953">
      <c r="M953" s="52"/>
      <c r="N953" s="52"/>
      <c r="O953" s="52"/>
      <c r="P953" s="52"/>
      <c r="Q953" s="52"/>
      <c r="U953" s="52"/>
    </row>
    <row r="954">
      <c r="M954" s="52"/>
      <c r="N954" s="52"/>
      <c r="O954" s="52"/>
      <c r="P954" s="52"/>
      <c r="Q954" s="52"/>
      <c r="U954" s="52"/>
    </row>
    <row r="955">
      <c r="M955" s="52"/>
      <c r="N955" s="52"/>
      <c r="O955" s="52"/>
      <c r="P955" s="52"/>
      <c r="Q955" s="52"/>
      <c r="U955" s="52"/>
    </row>
    <row r="956">
      <c r="M956" s="52"/>
      <c r="N956" s="52"/>
      <c r="O956" s="52"/>
      <c r="P956" s="52"/>
      <c r="Q956" s="52"/>
      <c r="U956" s="52"/>
    </row>
    <row r="957">
      <c r="M957" s="52"/>
      <c r="N957" s="52"/>
      <c r="O957" s="52"/>
      <c r="P957" s="52"/>
      <c r="Q957" s="52"/>
      <c r="U957" s="52"/>
    </row>
    <row r="958">
      <c r="M958" s="52"/>
      <c r="N958" s="52"/>
      <c r="O958" s="52"/>
      <c r="P958" s="52"/>
      <c r="Q958" s="52"/>
      <c r="U958" s="52"/>
    </row>
    <row r="959">
      <c r="M959" s="52"/>
      <c r="N959" s="52"/>
      <c r="O959" s="52"/>
      <c r="P959" s="52"/>
      <c r="Q959" s="52"/>
      <c r="U959" s="52"/>
    </row>
    <row r="960">
      <c r="M960" s="52"/>
      <c r="N960" s="52"/>
      <c r="O960" s="52"/>
      <c r="P960" s="52"/>
      <c r="Q960" s="52"/>
      <c r="U960" s="52"/>
    </row>
    <row r="961">
      <c r="M961" s="52"/>
      <c r="N961" s="52"/>
      <c r="O961" s="52"/>
      <c r="P961" s="52"/>
      <c r="Q961" s="52"/>
      <c r="U961" s="52"/>
    </row>
    <row r="962">
      <c r="M962" s="52"/>
      <c r="N962" s="52"/>
      <c r="O962" s="52"/>
      <c r="P962" s="52"/>
      <c r="Q962" s="52"/>
      <c r="U962" s="52"/>
    </row>
    <row r="963">
      <c r="M963" s="52"/>
      <c r="N963" s="52"/>
      <c r="O963" s="52"/>
      <c r="P963" s="52"/>
      <c r="Q963" s="52"/>
      <c r="U963" s="52"/>
    </row>
    <row r="964">
      <c r="M964" s="52"/>
      <c r="N964" s="52"/>
      <c r="O964" s="52"/>
      <c r="P964" s="52"/>
      <c r="Q964" s="52"/>
      <c r="U964" s="52"/>
    </row>
    <row r="965">
      <c r="M965" s="52"/>
      <c r="N965" s="52"/>
      <c r="O965" s="52"/>
      <c r="P965" s="52"/>
      <c r="Q965" s="52"/>
      <c r="U965" s="52"/>
    </row>
    <row r="966">
      <c r="M966" s="52"/>
      <c r="N966" s="52"/>
      <c r="O966" s="52"/>
      <c r="P966" s="52"/>
      <c r="Q966" s="52"/>
      <c r="U966" s="52"/>
    </row>
    <row r="967">
      <c r="M967" s="52"/>
      <c r="N967" s="52"/>
      <c r="O967" s="52"/>
      <c r="P967" s="52"/>
      <c r="Q967" s="52"/>
      <c r="U967" s="52"/>
    </row>
    <row r="968">
      <c r="M968" s="52"/>
      <c r="N968" s="52"/>
      <c r="O968" s="52"/>
      <c r="P968" s="52"/>
      <c r="Q968" s="52"/>
      <c r="U968" s="52"/>
    </row>
    <row r="969">
      <c r="M969" s="52"/>
      <c r="N969" s="52"/>
      <c r="O969" s="52"/>
      <c r="P969" s="52"/>
      <c r="Q969" s="52"/>
      <c r="U969" s="52"/>
    </row>
    <row r="970">
      <c r="M970" s="52"/>
      <c r="N970" s="52"/>
      <c r="O970" s="52"/>
      <c r="P970" s="52"/>
      <c r="Q970" s="52"/>
      <c r="U970" s="52"/>
    </row>
    <row r="971">
      <c r="M971" s="52"/>
      <c r="N971" s="52"/>
      <c r="O971" s="52"/>
      <c r="P971" s="52"/>
      <c r="Q971" s="52"/>
      <c r="U971" s="52"/>
    </row>
    <row r="972">
      <c r="M972" s="52"/>
      <c r="N972" s="52"/>
      <c r="O972" s="52"/>
      <c r="P972" s="52"/>
      <c r="Q972" s="52"/>
      <c r="U972" s="52"/>
    </row>
    <row r="973">
      <c r="M973" s="52"/>
      <c r="N973" s="52"/>
      <c r="O973" s="52"/>
      <c r="P973" s="52"/>
      <c r="Q973" s="52"/>
      <c r="U973" s="52"/>
    </row>
    <row r="974">
      <c r="M974" s="52"/>
      <c r="N974" s="52"/>
      <c r="O974" s="52"/>
      <c r="P974" s="52"/>
      <c r="Q974" s="52"/>
      <c r="U974" s="52"/>
    </row>
    <row r="975">
      <c r="M975" s="52"/>
      <c r="N975" s="52"/>
      <c r="O975" s="52"/>
      <c r="P975" s="52"/>
      <c r="Q975" s="52"/>
      <c r="U975" s="52"/>
    </row>
    <row r="976">
      <c r="M976" s="52"/>
      <c r="N976" s="52"/>
      <c r="O976" s="52"/>
      <c r="P976" s="52"/>
      <c r="Q976" s="52"/>
      <c r="U976" s="52"/>
    </row>
    <row r="977">
      <c r="M977" s="52"/>
      <c r="N977" s="52"/>
      <c r="O977" s="52"/>
      <c r="P977" s="52"/>
      <c r="Q977" s="52"/>
      <c r="U977" s="52"/>
    </row>
    <row r="978">
      <c r="M978" s="52"/>
      <c r="N978" s="52"/>
      <c r="O978" s="52"/>
      <c r="P978" s="52"/>
      <c r="Q978" s="52"/>
      <c r="U978" s="52"/>
    </row>
    <row r="979">
      <c r="M979" s="52"/>
      <c r="N979" s="52"/>
      <c r="O979" s="52"/>
      <c r="P979" s="52"/>
      <c r="Q979" s="52"/>
      <c r="U979" s="52"/>
    </row>
    <row r="980">
      <c r="M980" s="52"/>
      <c r="N980" s="52"/>
      <c r="O980" s="52"/>
      <c r="P980" s="52"/>
      <c r="Q980" s="52"/>
      <c r="U980" s="52"/>
    </row>
    <row r="981">
      <c r="M981" s="52"/>
      <c r="N981" s="52"/>
      <c r="O981" s="52"/>
      <c r="P981" s="52"/>
      <c r="Q981" s="52"/>
      <c r="U981" s="52"/>
    </row>
    <row r="982">
      <c r="M982" s="52"/>
      <c r="N982" s="52"/>
      <c r="O982" s="52"/>
      <c r="P982" s="52"/>
      <c r="Q982" s="52"/>
      <c r="U982" s="52"/>
    </row>
    <row r="983">
      <c r="M983" s="52"/>
      <c r="N983" s="52"/>
      <c r="O983" s="52"/>
      <c r="P983" s="52"/>
      <c r="Q983" s="52"/>
      <c r="U983" s="52"/>
    </row>
    <row r="984">
      <c r="M984" s="52"/>
      <c r="N984" s="52"/>
      <c r="O984" s="52"/>
      <c r="P984" s="52"/>
      <c r="Q984" s="52"/>
      <c r="U984" s="52"/>
    </row>
    <row r="985">
      <c r="M985" s="52"/>
      <c r="N985" s="52"/>
      <c r="O985" s="52"/>
      <c r="P985" s="52"/>
      <c r="Q985" s="52"/>
      <c r="U985" s="52"/>
    </row>
    <row r="986">
      <c r="M986" s="52"/>
      <c r="N986" s="52"/>
      <c r="O986" s="52"/>
      <c r="P986" s="52"/>
      <c r="Q986" s="52"/>
      <c r="U986" s="52"/>
    </row>
    <row r="987">
      <c r="M987" s="52"/>
      <c r="N987" s="52"/>
      <c r="O987" s="52"/>
      <c r="P987" s="52"/>
      <c r="Q987" s="52"/>
      <c r="U987" s="52"/>
    </row>
    <row r="988">
      <c r="M988" s="52"/>
      <c r="N988" s="52"/>
      <c r="O988" s="52"/>
      <c r="P988" s="52"/>
      <c r="Q988" s="52"/>
      <c r="U988" s="52"/>
    </row>
    <row r="989">
      <c r="M989" s="52"/>
      <c r="N989" s="52"/>
      <c r="O989" s="52"/>
      <c r="P989" s="52"/>
      <c r="Q989" s="52"/>
      <c r="U989" s="52"/>
    </row>
    <row r="990">
      <c r="M990" s="52"/>
      <c r="N990" s="52"/>
      <c r="O990" s="52"/>
      <c r="P990" s="52"/>
      <c r="Q990" s="52"/>
      <c r="U990" s="52"/>
    </row>
    <row r="991">
      <c r="M991" s="52"/>
      <c r="N991" s="52"/>
      <c r="O991" s="52"/>
      <c r="P991" s="52"/>
      <c r="Q991" s="52"/>
      <c r="U991" s="52"/>
    </row>
    <row r="992">
      <c r="M992" s="52"/>
      <c r="N992" s="52"/>
      <c r="O992" s="52"/>
      <c r="P992" s="52"/>
      <c r="Q992" s="52"/>
      <c r="U992" s="52"/>
    </row>
    <row r="993">
      <c r="M993" s="52"/>
      <c r="N993" s="52"/>
      <c r="O993" s="52"/>
      <c r="P993" s="52"/>
      <c r="Q993" s="52"/>
      <c r="U993" s="52"/>
    </row>
    <row r="994">
      <c r="M994" s="52"/>
      <c r="N994" s="52"/>
      <c r="O994" s="52"/>
      <c r="P994" s="52"/>
      <c r="Q994" s="52"/>
      <c r="U994" s="52"/>
    </row>
    <row r="995">
      <c r="M995" s="52"/>
      <c r="N995" s="52"/>
      <c r="O995" s="52"/>
      <c r="P995" s="52"/>
      <c r="Q995" s="52"/>
      <c r="U995" s="52"/>
    </row>
    <row r="996">
      <c r="M996" s="52"/>
      <c r="N996" s="52"/>
      <c r="O996" s="52"/>
      <c r="P996" s="52"/>
      <c r="Q996" s="52"/>
      <c r="U996" s="52"/>
    </row>
    <row r="997">
      <c r="M997" s="52"/>
      <c r="N997" s="52"/>
      <c r="O997" s="52"/>
      <c r="P997" s="52"/>
      <c r="Q997" s="52"/>
      <c r="U997" s="52"/>
    </row>
    <row r="998">
      <c r="M998" s="52"/>
      <c r="N998" s="52"/>
      <c r="O998" s="52"/>
      <c r="P998" s="52"/>
      <c r="Q998" s="52"/>
      <c r="U998" s="52"/>
    </row>
    <row r="999">
      <c r="M999" s="52"/>
      <c r="N999" s="52"/>
      <c r="O999" s="52"/>
      <c r="P999" s="52"/>
      <c r="Q999" s="52"/>
      <c r="U999" s="52"/>
    </row>
    <row r="1000">
      <c r="M1000" s="52"/>
      <c r="N1000" s="52"/>
      <c r="O1000" s="52"/>
      <c r="P1000" s="52"/>
      <c r="Q1000" s="52"/>
      <c r="U1000" s="52"/>
    </row>
  </sheetData>
  <mergeCells count="7">
    <mergeCell ref="A1:A2"/>
    <mergeCell ref="B1:B2"/>
    <mergeCell ref="C1:G1"/>
    <mergeCell ref="H1:I1"/>
    <mergeCell ref="J1:J2"/>
    <mergeCell ref="K1:O1"/>
    <mergeCell ref="P1:U1"/>
  </mergeCells>
  <conditionalFormatting sqref="N3:N9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G3:G9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3:H9">
    <cfRule type="colorScale" priority="3">
      <colorScale>
        <cfvo type="formula" val="0"/>
        <cfvo type="max"/>
        <color rgb="FFFFFFFF"/>
        <color rgb="FF57BB8A"/>
      </colorScale>
    </cfRule>
  </conditionalFormatting>
  <conditionalFormatting sqref="I3:I9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J3:J9">
    <cfRule type="colorScale" priority="5">
      <colorScale>
        <cfvo type="formula" val="0"/>
        <cfvo type="max"/>
        <color rgb="FFFFFFFF"/>
        <color rgb="FF57BB8A"/>
      </colorScale>
    </cfRule>
  </conditionalFormatting>
  <conditionalFormatting sqref="K3:K9">
    <cfRule type="colorScale" priority="6">
      <colorScale>
        <cfvo type="formula" val="0"/>
        <cfvo type="max"/>
        <color rgb="FFFFFFFF"/>
        <color rgb="FF57BB8A"/>
      </colorScale>
    </cfRule>
  </conditionalFormatting>
  <conditionalFormatting sqref="L3:L9">
    <cfRule type="colorScale" priority="7">
      <colorScale>
        <cfvo type="formula" val="0"/>
        <cfvo type="max"/>
        <color rgb="FFFFFFFF"/>
        <color rgb="FFE67C73"/>
      </colorScale>
    </cfRule>
  </conditionalFormatting>
  <conditionalFormatting sqref="C3:C9">
    <cfRule type="colorScale" priority="8">
      <colorScale>
        <cfvo type="formula" val="0"/>
        <cfvo type="max"/>
        <color rgb="FFFFFFFF"/>
        <color rgb="FFFFD666"/>
      </colorScale>
    </cfRule>
  </conditionalFormatting>
  <conditionalFormatting sqref="D3:D9">
    <cfRule type="colorScale" priority="9">
      <colorScale>
        <cfvo type="formula" val="0"/>
        <cfvo type="max"/>
        <color rgb="FFFFFFFF"/>
        <color rgb="FF57BB8A"/>
      </colorScale>
    </cfRule>
  </conditionalFormatting>
  <conditionalFormatting sqref="E3:E9">
    <cfRule type="colorScale" priority="10">
      <colorScale>
        <cfvo type="formula" val="0"/>
        <cfvo type="max"/>
        <color rgb="FFFFFFFF"/>
        <color rgb="FFE67C73"/>
      </colorScale>
    </cfRule>
  </conditionalFormatting>
  <conditionalFormatting sqref="F3:F9">
    <cfRule type="colorScale" priority="11">
      <colorScale>
        <cfvo type="formula" val="0"/>
        <cfvo type="max"/>
        <color rgb="FFFFFFFF"/>
        <color rgb="FF57BB8A"/>
      </colorScale>
    </cfRule>
  </conditionalFormatting>
  <conditionalFormatting sqref="M3:M9">
    <cfRule type="colorScale" priority="12">
      <colorScale>
        <cfvo type="formula" val="0"/>
        <cfvo type="max"/>
        <color rgb="FFFFFFFF"/>
        <color rgb="FFFFD666"/>
      </colorScale>
    </cfRule>
  </conditionalFormatting>
  <conditionalFormatting sqref="O3:O9">
    <cfRule type="colorScale" priority="13">
      <colorScale>
        <cfvo type="formula" val="0"/>
        <cfvo type="formula" val="1"/>
        <color rgb="FFFFFFFF"/>
        <color rgb="FF57BB8A"/>
      </colorScale>
    </cfRule>
  </conditionalFormatting>
  <conditionalFormatting sqref="P3:P9">
    <cfRule type="colorScale" priority="14">
      <colorScale>
        <cfvo type="formula" val="0"/>
        <cfvo type="max"/>
        <color rgb="FFFFFFFF"/>
        <color rgb="FFFFD666"/>
      </colorScale>
    </cfRule>
  </conditionalFormatting>
  <conditionalFormatting sqref="U3:U9">
    <cfRule type="colorScale" priority="15">
      <colorScale>
        <cfvo type="formula" val="0"/>
        <cfvo type="formula" val="2"/>
        <cfvo type="formula" val="3"/>
        <color rgb="FFE67C73"/>
        <color rgb="FFFFFFFF"/>
        <color rgb="FF57BB8A"/>
      </colorScale>
    </cfRule>
  </conditionalFormatting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7.63"/>
    <col customWidth="1" min="4" max="4" width="5.63"/>
    <col customWidth="1" min="5" max="5" width="6.88"/>
    <col customWidth="1" min="6" max="6" width="8.38"/>
    <col customWidth="1" min="7" max="7" width="15.5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1" t="s">
        <v>4</v>
      </c>
      <c r="K1" s="6" t="s">
        <v>5</v>
      </c>
      <c r="L1" s="4"/>
      <c r="M1" s="4"/>
      <c r="N1" s="4"/>
      <c r="O1" s="5"/>
      <c r="P1" s="30" t="s">
        <v>6</v>
      </c>
      <c r="Q1" s="4"/>
      <c r="R1" s="4"/>
      <c r="S1" s="4"/>
      <c r="T1" s="4"/>
      <c r="U1" s="5"/>
    </row>
    <row r="2">
      <c r="A2" s="9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2" t="s">
        <v>13</v>
      </c>
      <c r="I2" s="12" t="s">
        <v>14</v>
      </c>
      <c r="J2" s="9"/>
      <c r="K2" s="10" t="s">
        <v>15</v>
      </c>
      <c r="L2" s="12" t="s">
        <v>10</v>
      </c>
      <c r="M2" s="10" t="s">
        <v>16</v>
      </c>
      <c r="N2" s="10" t="s">
        <v>12</v>
      </c>
      <c r="O2" s="10" t="s">
        <v>18</v>
      </c>
      <c r="P2" s="15" t="s">
        <v>8</v>
      </c>
      <c r="Q2" s="15">
        <v>0.0</v>
      </c>
      <c r="R2" s="15">
        <v>1.0</v>
      </c>
      <c r="S2" s="15">
        <v>2.0</v>
      </c>
      <c r="T2" s="15">
        <v>3.0</v>
      </c>
      <c r="U2" s="15" t="s">
        <v>19</v>
      </c>
    </row>
    <row r="3">
      <c r="A3" s="18" t="s">
        <v>21</v>
      </c>
      <c r="B3" s="18" t="s">
        <v>41</v>
      </c>
      <c r="C3" s="10">
        <v>2.0</v>
      </c>
      <c r="D3" s="10">
        <v>1.0</v>
      </c>
      <c r="E3" s="10">
        <v>1.0</v>
      </c>
      <c r="F3" s="10">
        <v>1.0</v>
      </c>
      <c r="G3" s="35">
        <f t="shared" ref="G3:G9" si="1">IFS(C3=0, "N/A", C3&lt;&gt;0,(D3-E3)/C3 )</f>
        <v>0</v>
      </c>
      <c r="H3" s="35"/>
      <c r="I3" s="10"/>
      <c r="J3" s="10">
        <v>5.0</v>
      </c>
      <c r="K3" s="35"/>
      <c r="L3" s="10">
        <v>1.0</v>
      </c>
      <c r="M3" s="10">
        <v>2.0</v>
      </c>
      <c r="N3" s="35">
        <f t="shared" ref="N3:N9" si="2">ifs(M3=0,"N/A",M3&lt;&gt;0,(M3-L3) /M3)</f>
        <v>0.5</v>
      </c>
      <c r="O3" s="35">
        <f t="shared" ref="O3:O9" si="3">IFS(M3=0, "N/A", M3&lt;&gt;0, K3/M3)</f>
        <v>0</v>
      </c>
      <c r="P3" s="10">
        <v>3.0</v>
      </c>
      <c r="Q3" s="10">
        <v>1.0</v>
      </c>
      <c r="R3" s="10"/>
      <c r="S3" s="10">
        <v>1.0</v>
      </c>
      <c r="T3" s="10">
        <v>1.0</v>
      </c>
      <c r="U3" s="10">
        <f t="shared" ref="U3:U9" si="4">ifs(P3=0, "N/A",P3&lt;&gt;0,(R3 + S3*2 +T3*3)/P3)</f>
        <v>1.666666667</v>
      </c>
    </row>
    <row r="4">
      <c r="A4" s="21" t="s">
        <v>24</v>
      </c>
      <c r="B4" s="21" t="s">
        <v>84</v>
      </c>
      <c r="C4" s="10">
        <v>4.0</v>
      </c>
      <c r="D4" s="10">
        <v>3.0</v>
      </c>
      <c r="E4" s="10"/>
      <c r="F4" s="35"/>
      <c r="G4" s="35">
        <f t="shared" si="1"/>
        <v>0.75</v>
      </c>
      <c r="H4" s="10"/>
      <c r="I4" s="10"/>
      <c r="J4" s="10">
        <v>2.0</v>
      </c>
      <c r="K4" s="10">
        <v>1.0</v>
      </c>
      <c r="L4" s="10">
        <v>1.0</v>
      </c>
      <c r="M4" s="10">
        <v>6.0</v>
      </c>
      <c r="N4" s="35">
        <f t="shared" si="2"/>
        <v>0.8333333333</v>
      </c>
      <c r="O4" s="35">
        <f t="shared" si="3"/>
        <v>0.1666666667</v>
      </c>
      <c r="P4" s="10">
        <v>3.0</v>
      </c>
      <c r="Q4" s="10">
        <v>1.0</v>
      </c>
      <c r="R4" s="10">
        <v>1.0</v>
      </c>
      <c r="S4" s="35"/>
      <c r="T4" s="10">
        <v>1.0</v>
      </c>
      <c r="U4" s="10">
        <f t="shared" si="4"/>
        <v>1.333333333</v>
      </c>
    </row>
    <row r="5">
      <c r="A5" s="22" t="s">
        <v>26</v>
      </c>
      <c r="B5" s="22" t="s">
        <v>42</v>
      </c>
      <c r="C5" s="10"/>
      <c r="D5" s="10"/>
      <c r="E5" s="10"/>
      <c r="F5" s="10">
        <v>9.0</v>
      </c>
      <c r="G5" s="35" t="str">
        <f t="shared" si="1"/>
        <v>N/A</v>
      </c>
      <c r="H5" s="10"/>
      <c r="I5" s="10"/>
      <c r="J5" s="10">
        <v>1.0</v>
      </c>
      <c r="K5" s="10"/>
      <c r="L5" s="35"/>
      <c r="M5" s="10">
        <v>5.0</v>
      </c>
      <c r="N5" s="35">
        <f t="shared" si="2"/>
        <v>1</v>
      </c>
      <c r="O5" s="35">
        <f t="shared" si="3"/>
        <v>0</v>
      </c>
      <c r="P5" s="10"/>
      <c r="Q5" s="35"/>
      <c r="R5" s="35"/>
      <c r="S5" s="35"/>
      <c r="T5" s="10"/>
      <c r="U5" s="10" t="str">
        <f t="shared" si="4"/>
        <v>N/A</v>
      </c>
    </row>
    <row r="6">
      <c r="A6" s="23" t="s">
        <v>28</v>
      </c>
      <c r="B6" s="23" t="s">
        <v>43</v>
      </c>
      <c r="C6" s="10">
        <v>5.0</v>
      </c>
      <c r="D6" s="10">
        <v>2.0</v>
      </c>
      <c r="E6" s="10">
        <v>2.0</v>
      </c>
      <c r="F6" s="35"/>
      <c r="G6" s="35">
        <f t="shared" si="1"/>
        <v>0</v>
      </c>
      <c r="H6" s="35"/>
      <c r="I6" s="35"/>
      <c r="J6" s="10"/>
      <c r="K6" s="10"/>
      <c r="L6" s="10"/>
      <c r="M6" s="10">
        <v>2.0</v>
      </c>
      <c r="N6" s="35">
        <f t="shared" si="2"/>
        <v>1</v>
      </c>
      <c r="O6" s="35">
        <f t="shared" si="3"/>
        <v>0</v>
      </c>
      <c r="P6" s="10">
        <v>5.0</v>
      </c>
      <c r="Q6" s="10">
        <v>1.0</v>
      </c>
      <c r="R6" s="10">
        <v>2.0</v>
      </c>
      <c r="S6" s="10"/>
      <c r="T6" s="10">
        <v>2.0</v>
      </c>
      <c r="U6" s="10">
        <f t="shared" si="4"/>
        <v>1.6</v>
      </c>
    </row>
    <row r="7">
      <c r="A7" s="24" t="s">
        <v>30</v>
      </c>
      <c r="B7" s="24" t="s">
        <v>85</v>
      </c>
      <c r="C7" s="10">
        <v>7.0</v>
      </c>
      <c r="D7" s="10">
        <v>3.0</v>
      </c>
      <c r="E7" s="10">
        <v>2.0</v>
      </c>
      <c r="F7" s="35"/>
      <c r="G7" s="35">
        <f t="shared" si="1"/>
        <v>0.1428571429</v>
      </c>
      <c r="H7" s="35"/>
      <c r="I7" s="35"/>
      <c r="J7" s="10">
        <v>1.0</v>
      </c>
      <c r="K7" s="35"/>
      <c r="L7" s="10"/>
      <c r="M7" s="10">
        <v>2.0</v>
      </c>
      <c r="N7" s="35">
        <f t="shared" si="2"/>
        <v>1</v>
      </c>
      <c r="O7" s="35">
        <f t="shared" si="3"/>
        <v>0</v>
      </c>
      <c r="P7" s="10">
        <v>2.0</v>
      </c>
      <c r="Q7" s="10">
        <v>1.0</v>
      </c>
      <c r="R7" s="10">
        <v>1.0</v>
      </c>
      <c r="S7" s="10"/>
      <c r="T7" s="35"/>
      <c r="U7" s="10">
        <f t="shared" si="4"/>
        <v>0.5</v>
      </c>
    </row>
    <row r="8">
      <c r="A8" s="25" t="s">
        <v>32</v>
      </c>
      <c r="B8" s="25" t="s">
        <v>45</v>
      </c>
      <c r="C8" s="10">
        <v>2.0</v>
      </c>
      <c r="D8" s="10">
        <v>1.0</v>
      </c>
      <c r="E8" s="10"/>
      <c r="F8" s="35"/>
      <c r="G8" s="35">
        <f t="shared" si="1"/>
        <v>0.5</v>
      </c>
      <c r="H8" s="35"/>
      <c r="I8" s="10"/>
      <c r="J8" s="10">
        <v>2.0</v>
      </c>
      <c r="K8" s="10">
        <v>1.0</v>
      </c>
      <c r="L8" s="10">
        <v>1.0</v>
      </c>
      <c r="M8" s="10">
        <v>4.0</v>
      </c>
      <c r="N8" s="35">
        <f t="shared" si="2"/>
        <v>0.75</v>
      </c>
      <c r="O8" s="35">
        <f t="shared" si="3"/>
        <v>0.25</v>
      </c>
      <c r="P8" s="10">
        <v>9.0</v>
      </c>
      <c r="Q8" s="10">
        <v>3.0</v>
      </c>
      <c r="R8" s="10">
        <v>1.0</v>
      </c>
      <c r="S8" s="10">
        <v>1.0</v>
      </c>
      <c r="T8" s="10">
        <v>4.0</v>
      </c>
      <c r="U8" s="10">
        <f t="shared" si="4"/>
        <v>1.666666667</v>
      </c>
    </row>
    <row r="9">
      <c r="A9" s="26" t="s">
        <v>34</v>
      </c>
      <c r="B9" s="26" t="s">
        <v>22</v>
      </c>
      <c r="C9" s="10"/>
      <c r="D9" s="10"/>
      <c r="E9" s="10"/>
      <c r="F9" s="35"/>
      <c r="G9" s="35" t="str">
        <f t="shared" si="1"/>
        <v>N/A</v>
      </c>
      <c r="H9" s="35"/>
      <c r="I9" s="35"/>
      <c r="J9" s="10"/>
      <c r="K9" s="35"/>
      <c r="L9" s="10"/>
      <c r="M9" s="35"/>
      <c r="N9" s="35" t="str">
        <f t="shared" si="2"/>
        <v>N/A</v>
      </c>
      <c r="O9" s="35" t="str">
        <f t="shared" si="3"/>
        <v>N/A</v>
      </c>
      <c r="P9" s="10">
        <f>sum(Q9,R9,S9,T9)</f>
        <v>0</v>
      </c>
      <c r="Q9" s="35"/>
      <c r="R9" s="10"/>
      <c r="S9" s="10"/>
      <c r="T9" s="35"/>
      <c r="U9" s="10" t="str">
        <f t="shared" si="4"/>
        <v>N/A</v>
      </c>
    </row>
    <row r="10">
      <c r="M10" s="52"/>
      <c r="N10" s="52"/>
      <c r="O10" s="52"/>
      <c r="P10" s="52"/>
      <c r="Q10" s="52"/>
      <c r="U10" s="52"/>
    </row>
    <row r="11">
      <c r="M11" s="52"/>
      <c r="N11" s="52"/>
      <c r="O11" s="52"/>
      <c r="P11" s="52"/>
      <c r="Q11" s="52"/>
      <c r="U11" s="52"/>
    </row>
    <row r="12">
      <c r="M12" s="52"/>
      <c r="N12" s="52"/>
      <c r="O12" s="52"/>
      <c r="P12" s="52"/>
      <c r="Q12" s="52"/>
      <c r="U12" s="52"/>
    </row>
    <row r="13">
      <c r="M13" s="52"/>
      <c r="N13" s="52"/>
      <c r="O13" s="52"/>
      <c r="P13" s="52"/>
      <c r="Q13" s="52"/>
      <c r="U13" s="52"/>
    </row>
    <row r="14">
      <c r="M14" s="52"/>
      <c r="N14" s="52"/>
      <c r="O14" s="52"/>
      <c r="P14" s="52"/>
      <c r="Q14" s="52"/>
      <c r="U14" s="52"/>
    </row>
    <row r="15">
      <c r="M15" s="52"/>
      <c r="N15" s="52"/>
      <c r="O15" s="52"/>
      <c r="P15" s="52"/>
      <c r="Q15" s="52"/>
      <c r="U15" s="52"/>
    </row>
    <row r="16">
      <c r="M16" s="52"/>
      <c r="N16" s="52"/>
      <c r="O16" s="52"/>
      <c r="P16" s="52"/>
      <c r="Q16" s="52"/>
      <c r="U16" s="52"/>
    </row>
    <row r="17">
      <c r="M17" s="52"/>
      <c r="N17" s="52"/>
      <c r="O17" s="52"/>
      <c r="P17" s="52"/>
      <c r="Q17" s="52"/>
      <c r="U17" s="52"/>
    </row>
    <row r="18">
      <c r="M18" s="52"/>
      <c r="N18" s="52"/>
      <c r="O18" s="52"/>
      <c r="P18" s="52"/>
      <c r="Q18" s="52"/>
      <c r="U18" s="52"/>
    </row>
    <row r="19">
      <c r="M19" s="52"/>
      <c r="N19" s="52"/>
      <c r="O19" s="52"/>
      <c r="P19" s="52"/>
      <c r="Q19" s="52"/>
      <c r="U19" s="52"/>
    </row>
    <row r="20">
      <c r="M20" s="52"/>
      <c r="N20" s="52"/>
      <c r="O20" s="52"/>
      <c r="P20" s="52"/>
      <c r="Q20" s="52"/>
      <c r="U20" s="52"/>
    </row>
    <row r="21">
      <c r="M21" s="52"/>
      <c r="N21" s="52"/>
      <c r="O21" s="52"/>
      <c r="P21" s="52"/>
      <c r="Q21" s="52"/>
      <c r="U21" s="52"/>
    </row>
    <row r="22">
      <c r="M22" s="52"/>
      <c r="N22" s="52"/>
      <c r="O22" s="52"/>
      <c r="P22" s="52"/>
      <c r="Q22" s="52"/>
      <c r="U22" s="52"/>
    </row>
    <row r="23">
      <c r="M23" s="52"/>
      <c r="N23" s="52"/>
      <c r="O23" s="52"/>
      <c r="P23" s="52"/>
      <c r="Q23" s="52"/>
      <c r="U23" s="52"/>
    </row>
    <row r="24">
      <c r="M24" s="52"/>
      <c r="N24" s="52"/>
      <c r="O24" s="52"/>
      <c r="P24" s="52"/>
      <c r="Q24" s="52"/>
      <c r="U24" s="52"/>
    </row>
    <row r="25">
      <c r="M25" s="52"/>
      <c r="N25" s="52"/>
      <c r="O25" s="52"/>
      <c r="P25" s="52"/>
      <c r="Q25" s="52"/>
      <c r="U25" s="52"/>
    </row>
    <row r="26">
      <c r="M26" s="52"/>
      <c r="N26" s="52"/>
      <c r="O26" s="52"/>
      <c r="P26" s="52"/>
      <c r="Q26" s="52"/>
      <c r="U26" s="52"/>
    </row>
    <row r="27">
      <c r="M27" s="52"/>
      <c r="N27" s="52"/>
      <c r="O27" s="52"/>
      <c r="P27" s="52"/>
      <c r="Q27" s="52"/>
      <c r="U27" s="52"/>
    </row>
    <row r="28">
      <c r="M28" s="52"/>
      <c r="N28" s="52"/>
      <c r="O28" s="52"/>
      <c r="P28" s="52"/>
      <c r="Q28" s="52"/>
      <c r="U28" s="52"/>
    </row>
    <row r="29">
      <c r="M29" s="52"/>
      <c r="N29" s="52"/>
      <c r="O29" s="52"/>
      <c r="P29" s="52"/>
      <c r="Q29" s="52"/>
      <c r="U29" s="52"/>
    </row>
    <row r="30">
      <c r="M30" s="52"/>
      <c r="N30" s="52"/>
      <c r="O30" s="52"/>
      <c r="P30" s="52"/>
      <c r="Q30" s="52"/>
      <c r="U30" s="52"/>
    </row>
    <row r="31">
      <c r="M31" s="52"/>
      <c r="N31" s="52"/>
      <c r="O31" s="52"/>
      <c r="P31" s="52"/>
      <c r="Q31" s="52"/>
      <c r="U31" s="52"/>
    </row>
    <row r="32">
      <c r="M32" s="52"/>
      <c r="N32" s="52"/>
      <c r="O32" s="52"/>
      <c r="P32" s="52"/>
      <c r="Q32" s="52"/>
      <c r="U32" s="52"/>
    </row>
    <row r="33">
      <c r="M33" s="52"/>
      <c r="N33" s="52"/>
      <c r="O33" s="52"/>
      <c r="P33" s="52"/>
      <c r="Q33" s="52"/>
      <c r="U33" s="52"/>
    </row>
    <row r="34">
      <c r="M34" s="52"/>
      <c r="N34" s="52"/>
      <c r="O34" s="52"/>
      <c r="P34" s="52"/>
      <c r="Q34" s="52"/>
      <c r="U34" s="52"/>
    </row>
    <row r="35">
      <c r="M35" s="52"/>
      <c r="N35" s="52"/>
      <c r="O35" s="52"/>
      <c r="P35" s="52"/>
      <c r="Q35" s="52"/>
      <c r="U35" s="52"/>
    </row>
    <row r="36">
      <c r="M36" s="52"/>
      <c r="N36" s="52"/>
      <c r="O36" s="52"/>
      <c r="P36" s="52"/>
      <c r="Q36" s="52"/>
      <c r="U36" s="52"/>
    </row>
    <row r="37">
      <c r="M37" s="52"/>
      <c r="N37" s="52"/>
      <c r="O37" s="52"/>
      <c r="P37" s="52"/>
      <c r="Q37" s="52"/>
      <c r="U37" s="52"/>
    </row>
    <row r="38">
      <c r="M38" s="52"/>
      <c r="N38" s="52"/>
      <c r="O38" s="52"/>
      <c r="P38" s="52"/>
      <c r="Q38" s="52"/>
      <c r="U38" s="52"/>
    </row>
    <row r="39">
      <c r="M39" s="52"/>
      <c r="N39" s="52"/>
      <c r="O39" s="52"/>
      <c r="P39" s="52"/>
      <c r="Q39" s="52"/>
      <c r="U39" s="52"/>
    </row>
    <row r="40">
      <c r="M40" s="52"/>
      <c r="N40" s="52"/>
      <c r="O40" s="52"/>
      <c r="P40" s="52"/>
      <c r="Q40" s="52"/>
      <c r="U40" s="52"/>
    </row>
    <row r="41">
      <c r="M41" s="52"/>
      <c r="N41" s="52"/>
      <c r="O41" s="52"/>
      <c r="P41" s="52"/>
      <c r="Q41" s="52"/>
      <c r="U41" s="52"/>
    </row>
    <row r="42">
      <c r="M42" s="52"/>
      <c r="N42" s="52"/>
      <c r="O42" s="52"/>
      <c r="P42" s="52"/>
      <c r="Q42" s="52"/>
      <c r="U42" s="52"/>
    </row>
    <row r="43">
      <c r="M43" s="52"/>
      <c r="N43" s="52"/>
      <c r="O43" s="52"/>
      <c r="P43" s="52"/>
      <c r="Q43" s="52"/>
      <c r="U43" s="52"/>
    </row>
    <row r="44">
      <c r="M44" s="52"/>
      <c r="N44" s="52"/>
      <c r="O44" s="52"/>
      <c r="P44" s="52"/>
      <c r="Q44" s="52"/>
      <c r="U44" s="52"/>
    </row>
    <row r="45">
      <c r="M45" s="52"/>
      <c r="N45" s="52"/>
      <c r="O45" s="52"/>
      <c r="P45" s="52"/>
      <c r="Q45" s="52"/>
      <c r="U45" s="52"/>
    </row>
    <row r="46">
      <c r="M46" s="52"/>
      <c r="N46" s="52"/>
      <c r="O46" s="52"/>
      <c r="P46" s="52"/>
      <c r="Q46" s="52"/>
      <c r="U46" s="52"/>
    </row>
    <row r="47">
      <c r="M47" s="52"/>
      <c r="N47" s="52"/>
      <c r="O47" s="52"/>
      <c r="P47" s="52"/>
      <c r="Q47" s="52"/>
      <c r="U47" s="52"/>
    </row>
    <row r="48">
      <c r="M48" s="52"/>
      <c r="N48" s="52"/>
      <c r="O48" s="52"/>
      <c r="P48" s="52"/>
      <c r="Q48" s="52"/>
      <c r="U48" s="52"/>
    </row>
    <row r="49">
      <c r="M49" s="52"/>
      <c r="N49" s="52"/>
      <c r="O49" s="52"/>
      <c r="P49" s="52"/>
      <c r="Q49" s="52"/>
      <c r="U49" s="52"/>
    </row>
    <row r="50">
      <c r="M50" s="52"/>
      <c r="N50" s="52"/>
      <c r="O50" s="52"/>
      <c r="P50" s="52"/>
      <c r="Q50" s="52"/>
      <c r="U50" s="52"/>
    </row>
    <row r="51">
      <c r="M51" s="52"/>
      <c r="N51" s="52"/>
      <c r="O51" s="52"/>
      <c r="P51" s="52"/>
      <c r="Q51" s="52"/>
      <c r="U51" s="52"/>
    </row>
    <row r="52">
      <c r="M52" s="52"/>
      <c r="N52" s="52"/>
      <c r="O52" s="52"/>
      <c r="P52" s="52"/>
      <c r="Q52" s="52"/>
      <c r="U52" s="52"/>
    </row>
    <row r="53">
      <c r="M53" s="52"/>
      <c r="N53" s="52"/>
      <c r="O53" s="52"/>
      <c r="P53" s="52"/>
      <c r="Q53" s="52"/>
      <c r="U53" s="52"/>
    </row>
    <row r="54">
      <c r="M54" s="52"/>
      <c r="N54" s="52"/>
      <c r="O54" s="52"/>
      <c r="P54" s="52"/>
      <c r="Q54" s="52"/>
      <c r="U54" s="52"/>
    </row>
    <row r="55">
      <c r="M55" s="52"/>
      <c r="N55" s="52"/>
      <c r="O55" s="52"/>
      <c r="P55" s="52"/>
      <c r="Q55" s="52"/>
      <c r="U55" s="52"/>
    </row>
    <row r="56">
      <c r="M56" s="52"/>
      <c r="N56" s="52"/>
      <c r="O56" s="52"/>
      <c r="P56" s="52"/>
      <c r="Q56" s="52"/>
      <c r="U56" s="52"/>
    </row>
    <row r="57">
      <c r="M57" s="52"/>
      <c r="N57" s="52"/>
      <c r="O57" s="52"/>
      <c r="P57" s="52"/>
      <c r="Q57" s="52"/>
      <c r="U57" s="52"/>
    </row>
    <row r="58">
      <c r="M58" s="52"/>
      <c r="N58" s="52"/>
      <c r="O58" s="52"/>
      <c r="P58" s="52"/>
      <c r="Q58" s="52"/>
      <c r="U58" s="52"/>
    </row>
    <row r="59">
      <c r="M59" s="52"/>
      <c r="N59" s="52"/>
      <c r="O59" s="52"/>
      <c r="P59" s="52"/>
      <c r="Q59" s="52"/>
      <c r="U59" s="52"/>
    </row>
    <row r="60">
      <c r="M60" s="52"/>
      <c r="N60" s="52"/>
      <c r="O60" s="52"/>
      <c r="P60" s="52"/>
      <c r="Q60" s="52"/>
      <c r="U60" s="52"/>
    </row>
    <row r="61">
      <c r="M61" s="52"/>
      <c r="N61" s="52"/>
      <c r="O61" s="52"/>
      <c r="P61" s="52"/>
      <c r="Q61" s="52"/>
      <c r="U61" s="52"/>
    </row>
    <row r="62">
      <c r="M62" s="52"/>
      <c r="N62" s="52"/>
      <c r="O62" s="52"/>
      <c r="P62" s="52"/>
      <c r="Q62" s="52"/>
      <c r="U62" s="52"/>
    </row>
    <row r="63">
      <c r="M63" s="52"/>
      <c r="N63" s="52"/>
      <c r="O63" s="52"/>
      <c r="P63" s="52"/>
      <c r="Q63" s="52"/>
      <c r="U63" s="52"/>
    </row>
    <row r="64">
      <c r="M64" s="52"/>
      <c r="N64" s="52"/>
      <c r="O64" s="52"/>
      <c r="P64" s="52"/>
      <c r="Q64" s="52"/>
      <c r="U64" s="52"/>
    </row>
    <row r="65">
      <c r="M65" s="52"/>
      <c r="N65" s="52"/>
      <c r="O65" s="52"/>
      <c r="P65" s="52"/>
      <c r="Q65" s="52"/>
      <c r="U65" s="52"/>
    </row>
    <row r="66">
      <c r="M66" s="52"/>
      <c r="N66" s="52"/>
      <c r="O66" s="52"/>
      <c r="P66" s="52"/>
      <c r="Q66" s="52"/>
      <c r="U66" s="52"/>
    </row>
    <row r="67">
      <c r="M67" s="52"/>
      <c r="N67" s="52"/>
      <c r="O67" s="52"/>
      <c r="P67" s="52"/>
      <c r="Q67" s="52"/>
      <c r="U67" s="52"/>
    </row>
    <row r="68">
      <c r="M68" s="52"/>
      <c r="N68" s="52"/>
      <c r="O68" s="52"/>
      <c r="P68" s="52"/>
      <c r="Q68" s="52"/>
      <c r="U68" s="52"/>
    </row>
    <row r="69">
      <c r="M69" s="52"/>
      <c r="N69" s="52"/>
      <c r="O69" s="52"/>
      <c r="P69" s="52"/>
      <c r="Q69" s="52"/>
      <c r="U69" s="52"/>
    </row>
    <row r="70">
      <c r="M70" s="52"/>
      <c r="N70" s="52"/>
      <c r="O70" s="52"/>
      <c r="P70" s="52"/>
      <c r="Q70" s="52"/>
      <c r="U70" s="52"/>
    </row>
    <row r="71">
      <c r="M71" s="52"/>
      <c r="N71" s="52"/>
      <c r="O71" s="52"/>
      <c r="P71" s="52"/>
      <c r="Q71" s="52"/>
      <c r="U71" s="52"/>
    </row>
    <row r="72">
      <c r="M72" s="52"/>
      <c r="N72" s="52"/>
      <c r="O72" s="52"/>
      <c r="P72" s="52"/>
      <c r="Q72" s="52"/>
      <c r="U72" s="52"/>
    </row>
    <row r="73">
      <c r="M73" s="52"/>
      <c r="N73" s="52"/>
      <c r="O73" s="52"/>
      <c r="P73" s="52"/>
      <c r="Q73" s="52"/>
      <c r="U73" s="52"/>
    </row>
    <row r="74">
      <c r="M74" s="52"/>
      <c r="N74" s="52"/>
      <c r="O74" s="52"/>
      <c r="P74" s="52"/>
      <c r="Q74" s="52"/>
      <c r="U74" s="52"/>
    </row>
    <row r="75">
      <c r="M75" s="52"/>
      <c r="N75" s="52"/>
      <c r="O75" s="52"/>
      <c r="P75" s="52"/>
      <c r="Q75" s="52"/>
      <c r="U75" s="52"/>
    </row>
    <row r="76">
      <c r="M76" s="52"/>
      <c r="N76" s="52"/>
      <c r="O76" s="52"/>
      <c r="P76" s="52"/>
      <c r="Q76" s="52"/>
      <c r="U76" s="52"/>
    </row>
    <row r="77">
      <c r="M77" s="52"/>
      <c r="N77" s="52"/>
      <c r="O77" s="52"/>
      <c r="P77" s="52"/>
      <c r="Q77" s="52"/>
      <c r="U77" s="52"/>
    </row>
    <row r="78">
      <c r="M78" s="52"/>
      <c r="N78" s="52"/>
      <c r="O78" s="52"/>
      <c r="P78" s="52"/>
      <c r="Q78" s="52"/>
      <c r="U78" s="52"/>
    </row>
    <row r="79">
      <c r="M79" s="52"/>
      <c r="N79" s="52"/>
      <c r="O79" s="52"/>
      <c r="P79" s="52"/>
      <c r="Q79" s="52"/>
      <c r="U79" s="52"/>
    </row>
    <row r="80">
      <c r="M80" s="52"/>
      <c r="N80" s="52"/>
      <c r="O80" s="52"/>
      <c r="P80" s="52"/>
      <c r="Q80" s="52"/>
      <c r="U80" s="52"/>
    </row>
    <row r="81">
      <c r="M81" s="52"/>
      <c r="N81" s="52"/>
      <c r="O81" s="52"/>
      <c r="P81" s="52"/>
      <c r="Q81" s="52"/>
      <c r="U81" s="52"/>
    </row>
    <row r="82">
      <c r="M82" s="52"/>
      <c r="N82" s="52"/>
      <c r="O82" s="52"/>
      <c r="P82" s="52"/>
      <c r="Q82" s="52"/>
      <c r="U82" s="52"/>
    </row>
    <row r="83">
      <c r="M83" s="52"/>
      <c r="N83" s="52"/>
      <c r="O83" s="52"/>
      <c r="P83" s="52"/>
      <c r="Q83" s="52"/>
      <c r="U83" s="52"/>
    </row>
    <row r="84">
      <c r="M84" s="52"/>
      <c r="N84" s="52"/>
      <c r="O84" s="52"/>
      <c r="P84" s="52"/>
      <c r="Q84" s="52"/>
      <c r="U84" s="52"/>
    </row>
    <row r="85">
      <c r="M85" s="52"/>
      <c r="N85" s="52"/>
      <c r="O85" s="52"/>
      <c r="P85" s="52"/>
      <c r="Q85" s="52"/>
      <c r="U85" s="52"/>
    </row>
    <row r="86">
      <c r="M86" s="52"/>
      <c r="N86" s="52"/>
      <c r="O86" s="52"/>
      <c r="P86" s="52"/>
      <c r="Q86" s="52"/>
      <c r="U86" s="52"/>
    </row>
    <row r="87">
      <c r="M87" s="52"/>
      <c r="N87" s="52"/>
      <c r="O87" s="52"/>
      <c r="P87" s="52"/>
      <c r="Q87" s="52"/>
      <c r="U87" s="52"/>
    </row>
    <row r="88">
      <c r="M88" s="52"/>
      <c r="N88" s="52"/>
      <c r="O88" s="52"/>
      <c r="P88" s="52"/>
      <c r="Q88" s="52"/>
      <c r="U88" s="52"/>
    </row>
    <row r="89">
      <c r="M89" s="52"/>
      <c r="N89" s="52"/>
      <c r="O89" s="52"/>
      <c r="P89" s="52"/>
      <c r="Q89" s="52"/>
      <c r="U89" s="52"/>
    </row>
    <row r="90">
      <c r="M90" s="52"/>
      <c r="N90" s="52"/>
      <c r="O90" s="52"/>
      <c r="P90" s="52"/>
      <c r="Q90" s="52"/>
      <c r="U90" s="52"/>
    </row>
    <row r="91">
      <c r="M91" s="52"/>
      <c r="N91" s="52"/>
      <c r="O91" s="52"/>
      <c r="P91" s="52"/>
      <c r="Q91" s="52"/>
      <c r="U91" s="52"/>
    </row>
    <row r="92">
      <c r="M92" s="52"/>
      <c r="N92" s="52"/>
      <c r="O92" s="52"/>
      <c r="P92" s="52"/>
      <c r="Q92" s="52"/>
      <c r="U92" s="52"/>
    </row>
    <row r="93">
      <c r="M93" s="52"/>
      <c r="N93" s="52"/>
      <c r="O93" s="52"/>
      <c r="P93" s="52"/>
      <c r="Q93" s="52"/>
      <c r="U93" s="52"/>
    </row>
    <row r="94">
      <c r="M94" s="52"/>
      <c r="N94" s="52"/>
      <c r="O94" s="52"/>
      <c r="P94" s="52"/>
      <c r="Q94" s="52"/>
      <c r="U94" s="52"/>
    </row>
    <row r="95">
      <c r="M95" s="52"/>
      <c r="N95" s="52"/>
      <c r="O95" s="52"/>
      <c r="P95" s="52"/>
      <c r="Q95" s="52"/>
      <c r="U95" s="52"/>
    </row>
    <row r="96">
      <c r="M96" s="52"/>
      <c r="N96" s="52"/>
      <c r="O96" s="52"/>
      <c r="P96" s="52"/>
      <c r="Q96" s="52"/>
      <c r="U96" s="52"/>
    </row>
    <row r="97">
      <c r="M97" s="52"/>
      <c r="N97" s="52"/>
      <c r="O97" s="52"/>
      <c r="P97" s="52"/>
      <c r="Q97" s="52"/>
      <c r="U97" s="52"/>
    </row>
    <row r="98">
      <c r="M98" s="52"/>
      <c r="N98" s="52"/>
      <c r="O98" s="52"/>
      <c r="P98" s="52"/>
      <c r="Q98" s="52"/>
      <c r="U98" s="52"/>
    </row>
    <row r="99">
      <c r="M99" s="52"/>
      <c r="N99" s="52"/>
      <c r="O99" s="52"/>
      <c r="P99" s="52"/>
      <c r="Q99" s="52"/>
      <c r="U99" s="52"/>
    </row>
    <row r="100">
      <c r="M100" s="52"/>
      <c r="N100" s="52"/>
      <c r="O100" s="52"/>
      <c r="P100" s="52"/>
      <c r="Q100" s="52"/>
      <c r="U100" s="52"/>
    </row>
    <row r="101">
      <c r="M101" s="52"/>
      <c r="N101" s="52"/>
      <c r="O101" s="52"/>
      <c r="P101" s="52"/>
      <c r="Q101" s="52"/>
      <c r="U101" s="52"/>
    </row>
    <row r="102">
      <c r="M102" s="52"/>
      <c r="N102" s="52"/>
      <c r="O102" s="52"/>
      <c r="P102" s="52"/>
      <c r="Q102" s="52"/>
      <c r="U102" s="52"/>
    </row>
    <row r="103">
      <c r="M103" s="52"/>
      <c r="N103" s="52"/>
      <c r="O103" s="52"/>
      <c r="P103" s="52"/>
      <c r="Q103" s="52"/>
      <c r="U103" s="52"/>
    </row>
    <row r="104">
      <c r="M104" s="52"/>
      <c r="N104" s="52"/>
      <c r="O104" s="52"/>
      <c r="P104" s="52"/>
      <c r="Q104" s="52"/>
      <c r="U104" s="52"/>
    </row>
    <row r="105">
      <c r="M105" s="52"/>
      <c r="N105" s="52"/>
      <c r="O105" s="52"/>
      <c r="P105" s="52"/>
      <c r="Q105" s="52"/>
      <c r="U105" s="52"/>
    </row>
    <row r="106">
      <c r="M106" s="52"/>
      <c r="N106" s="52"/>
      <c r="O106" s="52"/>
      <c r="P106" s="52"/>
      <c r="Q106" s="52"/>
      <c r="U106" s="52"/>
    </row>
    <row r="107">
      <c r="M107" s="52"/>
      <c r="N107" s="52"/>
      <c r="O107" s="52"/>
      <c r="P107" s="52"/>
      <c r="Q107" s="52"/>
      <c r="U107" s="52"/>
    </row>
    <row r="108">
      <c r="M108" s="52"/>
      <c r="N108" s="52"/>
      <c r="O108" s="52"/>
      <c r="P108" s="52"/>
      <c r="Q108" s="52"/>
      <c r="U108" s="52"/>
    </row>
    <row r="109">
      <c r="M109" s="52"/>
      <c r="N109" s="52"/>
      <c r="O109" s="52"/>
      <c r="P109" s="52"/>
      <c r="Q109" s="52"/>
      <c r="U109" s="52"/>
    </row>
    <row r="110">
      <c r="M110" s="52"/>
      <c r="N110" s="52"/>
      <c r="O110" s="52"/>
      <c r="P110" s="52"/>
      <c r="Q110" s="52"/>
      <c r="U110" s="52"/>
    </row>
    <row r="111">
      <c r="M111" s="52"/>
      <c r="N111" s="52"/>
      <c r="O111" s="52"/>
      <c r="P111" s="52"/>
      <c r="Q111" s="52"/>
      <c r="U111" s="52"/>
    </row>
    <row r="112">
      <c r="M112" s="52"/>
      <c r="N112" s="52"/>
      <c r="O112" s="52"/>
      <c r="P112" s="52"/>
      <c r="Q112" s="52"/>
      <c r="U112" s="52"/>
    </row>
    <row r="113">
      <c r="M113" s="52"/>
      <c r="N113" s="52"/>
      <c r="O113" s="52"/>
      <c r="P113" s="52"/>
      <c r="Q113" s="52"/>
      <c r="U113" s="52"/>
    </row>
    <row r="114">
      <c r="M114" s="52"/>
      <c r="N114" s="52"/>
      <c r="O114" s="52"/>
      <c r="P114" s="52"/>
      <c r="Q114" s="52"/>
      <c r="U114" s="52"/>
    </row>
    <row r="115">
      <c r="M115" s="52"/>
      <c r="N115" s="52"/>
      <c r="O115" s="52"/>
      <c r="P115" s="52"/>
      <c r="Q115" s="52"/>
      <c r="U115" s="52"/>
    </row>
    <row r="116">
      <c r="M116" s="52"/>
      <c r="N116" s="52"/>
      <c r="O116" s="52"/>
      <c r="P116" s="52"/>
      <c r="Q116" s="52"/>
      <c r="U116" s="52"/>
    </row>
    <row r="117">
      <c r="M117" s="52"/>
      <c r="N117" s="52"/>
      <c r="O117" s="52"/>
      <c r="P117" s="52"/>
      <c r="Q117" s="52"/>
      <c r="U117" s="52"/>
    </row>
    <row r="118">
      <c r="M118" s="52"/>
      <c r="N118" s="52"/>
      <c r="O118" s="52"/>
      <c r="P118" s="52"/>
      <c r="Q118" s="52"/>
      <c r="U118" s="52"/>
    </row>
    <row r="119">
      <c r="M119" s="52"/>
      <c r="N119" s="52"/>
      <c r="O119" s="52"/>
      <c r="P119" s="52"/>
      <c r="Q119" s="52"/>
      <c r="U119" s="52"/>
    </row>
    <row r="120">
      <c r="M120" s="52"/>
      <c r="N120" s="52"/>
      <c r="O120" s="52"/>
      <c r="P120" s="52"/>
      <c r="Q120" s="52"/>
      <c r="U120" s="52"/>
    </row>
    <row r="121">
      <c r="M121" s="52"/>
      <c r="N121" s="52"/>
      <c r="O121" s="52"/>
      <c r="P121" s="52"/>
      <c r="Q121" s="52"/>
      <c r="U121" s="52"/>
    </row>
    <row r="122">
      <c r="M122" s="52"/>
      <c r="N122" s="52"/>
      <c r="O122" s="52"/>
      <c r="P122" s="52"/>
      <c r="Q122" s="52"/>
      <c r="U122" s="52"/>
    </row>
    <row r="123">
      <c r="M123" s="52"/>
      <c r="N123" s="52"/>
      <c r="O123" s="52"/>
      <c r="P123" s="52"/>
      <c r="Q123" s="52"/>
      <c r="U123" s="52"/>
    </row>
    <row r="124">
      <c r="M124" s="52"/>
      <c r="N124" s="52"/>
      <c r="O124" s="52"/>
      <c r="P124" s="52"/>
      <c r="Q124" s="52"/>
      <c r="U124" s="52"/>
    </row>
    <row r="125">
      <c r="M125" s="52"/>
      <c r="N125" s="52"/>
      <c r="O125" s="52"/>
      <c r="P125" s="52"/>
      <c r="Q125" s="52"/>
      <c r="U125" s="52"/>
    </row>
    <row r="126">
      <c r="M126" s="52"/>
      <c r="N126" s="52"/>
      <c r="O126" s="52"/>
      <c r="P126" s="52"/>
      <c r="Q126" s="52"/>
      <c r="U126" s="52"/>
    </row>
    <row r="127">
      <c r="M127" s="52"/>
      <c r="N127" s="52"/>
      <c r="O127" s="52"/>
      <c r="P127" s="52"/>
      <c r="Q127" s="52"/>
      <c r="U127" s="52"/>
    </row>
    <row r="128">
      <c r="M128" s="52"/>
      <c r="N128" s="52"/>
      <c r="O128" s="52"/>
      <c r="P128" s="52"/>
      <c r="Q128" s="52"/>
      <c r="U128" s="52"/>
    </row>
    <row r="129">
      <c r="M129" s="52"/>
      <c r="N129" s="52"/>
      <c r="O129" s="52"/>
      <c r="P129" s="52"/>
      <c r="Q129" s="52"/>
      <c r="U129" s="52"/>
    </row>
    <row r="130">
      <c r="M130" s="52"/>
      <c r="N130" s="52"/>
      <c r="O130" s="52"/>
      <c r="P130" s="52"/>
      <c r="Q130" s="52"/>
      <c r="U130" s="52"/>
    </row>
    <row r="131">
      <c r="M131" s="52"/>
      <c r="N131" s="52"/>
      <c r="O131" s="52"/>
      <c r="P131" s="52"/>
      <c r="Q131" s="52"/>
      <c r="U131" s="52"/>
    </row>
    <row r="132">
      <c r="M132" s="52"/>
      <c r="N132" s="52"/>
      <c r="O132" s="52"/>
      <c r="P132" s="52"/>
      <c r="Q132" s="52"/>
      <c r="U132" s="52"/>
    </row>
    <row r="133">
      <c r="M133" s="52"/>
      <c r="N133" s="52"/>
      <c r="O133" s="52"/>
      <c r="P133" s="52"/>
      <c r="Q133" s="52"/>
      <c r="U133" s="52"/>
    </row>
    <row r="134">
      <c r="M134" s="52"/>
      <c r="N134" s="52"/>
      <c r="O134" s="52"/>
      <c r="P134" s="52"/>
      <c r="Q134" s="52"/>
      <c r="U134" s="52"/>
    </row>
    <row r="135">
      <c r="M135" s="52"/>
      <c r="N135" s="52"/>
      <c r="O135" s="52"/>
      <c r="P135" s="52"/>
      <c r="Q135" s="52"/>
      <c r="U135" s="52"/>
    </row>
    <row r="136">
      <c r="M136" s="52"/>
      <c r="N136" s="52"/>
      <c r="O136" s="52"/>
      <c r="P136" s="52"/>
      <c r="Q136" s="52"/>
      <c r="U136" s="52"/>
    </row>
    <row r="137">
      <c r="M137" s="52"/>
      <c r="N137" s="52"/>
      <c r="O137" s="52"/>
      <c r="P137" s="52"/>
      <c r="Q137" s="52"/>
      <c r="U137" s="52"/>
    </row>
    <row r="138">
      <c r="M138" s="52"/>
      <c r="N138" s="52"/>
      <c r="O138" s="52"/>
      <c r="P138" s="52"/>
      <c r="Q138" s="52"/>
      <c r="U138" s="52"/>
    </row>
    <row r="139">
      <c r="M139" s="52"/>
      <c r="N139" s="52"/>
      <c r="O139" s="52"/>
      <c r="P139" s="52"/>
      <c r="Q139" s="52"/>
      <c r="U139" s="52"/>
    </row>
    <row r="140">
      <c r="M140" s="52"/>
      <c r="N140" s="52"/>
      <c r="O140" s="52"/>
      <c r="P140" s="52"/>
      <c r="Q140" s="52"/>
      <c r="U140" s="52"/>
    </row>
    <row r="141">
      <c r="M141" s="52"/>
      <c r="N141" s="52"/>
      <c r="O141" s="52"/>
      <c r="P141" s="52"/>
      <c r="Q141" s="52"/>
      <c r="U141" s="52"/>
    </row>
    <row r="142">
      <c r="M142" s="52"/>
      <c r="N142" s="52"/>
      <c r="O142" s="52"/>
      <c r="P142" s="52"/>
      <c r="Q142" s="52"/>
      <c r="U142" s="52"/>
    </row>
    <row r="143">
      <c r="M143" s="52"/>
      <c r="N143" s="52"/>
      <c r="O143" s="52"/>
      <c r="P143" s="52"/>
      <c r="Q143" s="52"/>
      <c r="U143" s="52"/>
    </row>
    <row r="144">
      <c r="M144" s="52"/>
      <c r="N144" s="52"/>
      <c r="O144" s="52"/>
      <c r="P144" s="52"/>
      <c r="Q144" s="52"/>
      <c r="U144" s="52"/>
    </row>
    <row r="145">
      <c r="M145" s="52"/>
      <c r="N145" s="52"/>
      <c r="O145" s="52"/>
      <c r="P145" s="52"/>
      <c r="Q145" s="52"/>
      <c r="U145" s="52"/>
    </row>
    <row r="146">
      <c r="M146" s="52"/>
      <c r="N146" s="52"/>
      <c r="O146" s="52"/>
      <c r="P146" s="52"/>
      <c r="Q146" s="52"/>
      <c r="U146" s="52"/>
    </row>
    <row r="147">
      <c r="M147" s="52"/>
      <c r="N147" s="52"/>
      <c r="O147" s="52"/>
      <c r="P147" s="52"/>
      <c r="Q147" s="52"/>
      <c r="U147" s="52"/>
    </row>
    <row r="148">
      <c r="M148" s="52"/>
      <c r="N148" s="52"/>
      <c r="O148" s="52"/>
      <c r="P148" s="52"/>
      <c r="Q148" s="52"/>
      <c r="U148" s="52"/>
    </row>
    <row r="149">
      <c r="M149" s="52"/>
      <c r="N149" s="52"/>
      <c r="O149" s="52"/>
      <c r="P149" s="52"/>
      <c r="Q149" s="52"/>
      <c r="U149" s="52"/>
    </row>
    <row r="150">
      <c r="M150" s="52"/>
      <c r="N150" s="52"/>
      <c r="O150" s="52"/>
      <c r="P150" s="52"/>
      <c r="Q150" s="52"/>
      <c r="U150" s="52"/>
    </row>
    <row r="151">
      <c r="M151" s="52"/>
      <c r="N151" s="52"/>
      <c r="O151" s="52"/>
      <c r="P151" s="52"/>
      <c r="Q151" s="52"/>
      <c r="U151" s="52"/>
    </row>
    <row r="152">
      <c r="M152" s="52"/>
      <c r="N152" s="52"/>
      <c r="O152" s="52"/>
      <c r="P152" s="52"/>
      <c r="Q152" s="52"/>
      <c r="U152" s="52"/>
    </row>
    <row r="153">
      <c r="M153" s="52"/>
      <c r="N153" s="52"/>
      <c r="O153" s="52"/>
      <c r="P153" s="52"/>
      <c r="Q153" s="52"/>
      <c r="U153" s="52"/>
    </row>
    <row r="154">
      <c r="M154" s="52"/>
      <c r="N154" s="52"/>
      <c r="O154" s="52"/>
      <c r="P154" s="52"/>
      <c r="Q154" s="52"/>
      <c r="U154" s="52"/>
    </row>
    <row r="155">
      <c r="M155" s="52"/>
      <c r="N155" s="52"/>
      <c r="O155" s="52"/>
      <c r="P155" s="52"/>
      <c r="Q155" s="52"/>
      <c r="U155" s="52"/>
    </row>
    <row r="156">
      <c r="M156" s="52"/>
      <c r="N156" s="52"/>
      <c r="O156" s="52"/>
      <c r="P156" s="52"/>
      <c r="Q156" s="52"/>
      <c r="U156" s="52"/>
    </row>
    <row r="157">
      <c r="M157" s="52"/>
      <c r="N157" s="52"/>
      <c r="O157" s="52"/>
      <c r="P157" s="52"/>
      <c r="Q157" s="52"/>
      <c r="U157" s="52"/>
    </row>
    <row r="158">
      <c r="M158" s="52"/>
      <c r="N158" s="52"/>
      <c r="O158" s="52"/>
      <c r="P158" s="52"/>
      <c r="Q158" s="52"/>
      <c r="U158" s="52"/>
    </row>
    <row r="159">
      <c r="M159" s="52"/>
      <c r="N159" s="52"/>
      <c r="O159" s="52"/>
      <c r="P159" s="52"/>
      <c r="Q159" s="52"/>
      <c r="U159" s="52"/>
    </row>
    <row r="160">
      <c r="M160" s="52"/>
      <c r="N160" s="52"/>
      <c r="O160" s="52"/>
      <c r="P160" s="52"/>
      <c r="Q160" s="52"/>
      <c r="U160" s="52"/>
    </row>
    <row r="161">
      <c r="M161" s="52"/>
      <c r="N161" s="52"/>
      <c r="O161" s="52"/>
      <c r="P161" s="52"/>
      <c r="Q161" s="52"/>
      <c r="U161" s="52"/>
    </row>
    <row r="162">
      <c r="M162" s="52"/>
      <c r="N162" s="52"/>
      <c r="O162" s="52"/>
      <c r="P162" s="52"/>
      <c r="Q162" s="52"/>
      <c r="U162" s="52"/>
    </row>
    <row r="163">
      <c r="M163" s="52"/>
      <c r="N163" s="52"/>
      <c r="O163" s="52"/>
      <c r="P163" s="52"/>
      <c r="Q163" s="52"/>
      <c r="U163" s="52"/>
    </row>
    <row r="164">
      <c r="M164" s="52"/>
      <c r="N164" s="52"/>
      <c r="O164" s="52"/>
      <c r="P164" s="52"/>
      <c r="Q164" s="52"/>
      <c r="U164" s="52"/>
    </row>
    <row r="165">
      <c r="M165" s="52"/>
      <c r="N165" s="52"/>
      <c r="O165" s="52"/>
      <c r="P165" s="52"/>
      <c r="Q165" s="52"/>
      <c r="U165" s="52"/>
    </row>
    <row r="166">
      <c r="M166" s="52"/>
      <c r="N166" s="52"/>
      <c r="O166" s="52"/>
      <c r="P166" s="52"/>
      <c r="Q166" s="52"/>
      <c r="U166" s="52"/>
    </row>
    <row r="167">
      <c r="M167" s="52"/>
      <c r="N167" s="52"/>
      <c r="O167" s="52"/>
      <c r="P167" s="52"/>
      <c r="Q167" s="52"/>
      <c r="U167" s="52"/>
    </row>
    <row r="168">
      <c r="M168" s="52"/>
      <c r="N168" s="52"/>
      <c r="O168" s="52"/>
      <c r="P168" s="52"/>
      <c r="Q168" s="52"/>
      <c r="U168" s="52"/>
    </row>
    <row r="169">
      <c r="M169" s="52"/>
      <c r="N169" s="52"/>
      <c r="O169" s="52"/>
      <c r="P169" s="52"/>
      <c r="Q169" s="52"/>
      <c r="U169" s="52"/>
    </row>
    <row r="170">
      <c r="M170" s="52"/>
      <c r="N170" s="52"/>
      <c r="O170" s="52"/>
      <c r="P170" s="52"/>
      <c r="Q170" s="52"/>
      <c r="U170" s="52"/>
    </row>
    <row r="171">
      <c r="M171" s="52"/>
      <c r="N171" s="52"/>
      <c r="O171" s="52"/>
      <c r="P171" s="52"/>
      <c r="Q171" s="52"/>
      <c r="U171" s="52"/>
    </row>
    <row r="172">
      <c r="M172" s="52"/>
      <c r="N172" s="52"/>
      <c r="O172" s="52"/>
      <c r="P172" s="52"/>
      <c r="Q172" s="52"/>
      <c r="U172" s="52"/>
    </row>
    <row r="173">
      <c r="M173" s="52"/>
      <c r="N173" s="52"/>
      <c r="O173" s="52"/>
      <c r="P173" s="52"/>
      <c r="Q173" s="52"/>
      <c r="U173" s="52"/>
    </row>
    <row r="174">
      <c r="M174" s="52"/>
      <c r="N174" s="52"/>
      <c r="O174" s="52"/>
      <c r="P174" s="52"/>
      <c r="Q174" s="52"/>
      <c r="U174" s="52"/>
    </row>
    <row r="175">
      <c r="M175" s="52"/>
      <c r="N175" s="52"/>
      <c r="O175" s="52"/>
      <c r="P175" s="52"/>
      <c r="Q175" s="52"/>
      <c r="U175" s="52"/>
    </row>
    <row r="176">
      <c r="M176" s="52"/>
      <c r="N176" s="52"/>
      <c r="O176" s="52"/>
      <c r="P176" s="52"/>
      <c r="Q176" s="52"/>
      <c r="U176" s="52"/>
    </row>
    <row r="177">
      <c r="M177" s="52"/>
      <c r="N177" s="52"/>
      <c r="O177" s="52"/>
      <c r="P177" s="52"/>
      <c r="Q177" s="52"/>
      <c r="U177" s="52"/>
    </row>
    <row r="178">
      <c r="M178" s="52"/>
      <c r="N178" s="52"/>
      <c r="O178" s="52"/>
      <c r="P178" s="52"/>
      <c r="Q178" s="52"/>
      <c r="U178" s="52"/>
    </row>
    <row r="179">
      <c r="M179" s="52"/>
      <c r="N179" s="52"/>
      <c r="O179" s="52"/>
      <c r="P179" s="52"/>
      <c r="Q179" s="52"/>
      <c r="U179" s="52"/>
    </row>
    <row r="180">
      <c r="M180" s="52"/>
      <c r="N180" s="52"/>
      <c r="O180" s="52"/>
      <c r="P180" s="52"/>
      <c r="Q180" s="52"/>
      <c r="U180" s="52"/>
    </row>
    <row r="181">
      <c r="M181" s="52"/>
      <c r="N181" s="52"/>
      <c r="O181" s="52"/>
      <c r="P181" s="52"/>
      <c r="Q181" s="52"/>
      <c r="U181" s="52"/>
    </row>
    <row r="182">
      <c r="M182" s="52"/>
      <c r="N182" s="52"/>
      <c r="O182" s="52"/>
      <c r="P182" s="52"/>
      <c r="Q182" s="52"/>
      <c r="U182" s="52"/>
    </row>
    <row r="183">
      <c r="M183" s="52"/>
      <c r="N183" s="52"/>
      <c r="O183" s="52"/>
      <c r="P183" s="52"/>
      <c r="Q183" s="52"/>
      <c r="U183" s="52"/>
    </row>
    <row r="184">
      <c r="M184" s="52"/>
      <c r="N184" s="52"/>
      <c r="O184" s="52"/>
      <c r="P184" s="52"/>
      <c r="Q184" s="52"/>
      <c r="U184" s="52"/>
    </row>
    <row r="185">
      <c r="M185" s="52"/>
      <c r="N185" s="52"/>
      <c r="O185" s="52"/>
      <c r="P185" s="52"/>
      <c r="Q185" s="52"/>
      <c r="U185" s="52"/>
    </row>
    <row r="186">
      <c r="M186" s="52"/>
      <c r="N186" s="52"/>
      <c r="O186" s="52"/>
      <c r="P186" s="52"/>
      <c r="Q186" s="52"/>
      <c r="U186" s="52"/>
    </row>
    <row r="187">
      <c r="M187" s="52"/>
      <c r="N187" s="52"/>
      <c r="O187" s="52"/>
      <c r="P187" s="52"/>
      <c r="Q187" s="52"/>
      <c r="U187" s="52"/>
    </row>
    <row r="188">
      <c r="M188" s="52"/>
      <c r="N188" s="52"/>
      <c r="O188" s="52"/>
      <c r="P188" s="52"/>
      <c r="Q188" s="52"/>
      <c r="U188" s="52"/>
    </row>
    <row r="189">
      <c r="M189" s="52"/>
      <c r="N189" s="52"/>
      <c r="O189" s="52"/>
      <c r="P189" s="52"/>
      <c r="Q189" s="52"/>
      <c r="U189" s="52"/>
    </row>
    <row r="190">
      <c r="M190" s="52"/>
      <c r="N190" s="52"/>
      <c r="O190" s="52"/>
      <c r="P190" s="52"/>
      <c r="Q190" s="52"/>
      <c r="U190" s="52"/>
    </row>
    <row r="191">
      <c r="M191" s="52"/>
      <c r="N191" s="52"/>
      <c r="O191" s="52"/>
      <c r="P191" s="52"/>
      <c r="Q191" s="52"/>
      <c r="U191" s="52"/>
    </row>
    <row r="192">
      <c r="M192" s="52"/>
      <c r="N192" s="52"/>
      <c r="O192" s="52"/>
      <c r="P192" s="52"/>
      <c r="Q192" s="52"/>
      <c r="U192" s="52"/>
    </row>
    <row r="193">
      <c r="M193" s="52"/>
      <c r="N193" s="52"/>
      <c r="O193" s="52"/>
      <c r="P193" s="52"/>
      <c r="Q193" s="52"/>
      <c r="U193" s="52"/>
    </row>
    <row r="194">
      <c r="M194" s="52"/>
      <c r="N194" s="52"/>
      <c r="O194" s="52"/>
      <c r="P194" s="52"/>
      <c r="Q194" s="52"/>
      <c r="U194" s="52"/>
    </row>
    <row r="195">
      <c r="M195" s="52"/>
      <c r="N195" s="52"/>
      <c r="O195" s="52"/>
      <c r="P195" s="52"/>
      <c r="Q195" s="52"/>
      <c r="U195" s="52"/>
    </row>
    <row r="196">
      <c r="M196" s="52"/>
      <c r="N196" s="52"/>
      <c r="O196" s="52"/>
      <c r="P196" s="52"/>
      <c r="Q196" s="52"/>
      <c r="U196" s="52"/>
    </row>
    <row r="197">
      <c r="M197" s="52"/>
      <c r="N197" s="52"/>
      <c r="O197" s="52"/>
      <c r="P197" s="52"/>
      <c r="Q197" s="52"/>
      <c r="U197" s="52"/>
    </row>
    <row r="198">
      <c r="M198" s="52"/>
      <c r="N198" s="52"/>
      <c r="O198" s="52"/>
      <c r="P198" s="52"/>
      <c r="Q198" s="52"/>
      <c r="U198" s="52"/>
    </row>
    <row r="199">
      <c r="M199" s="52"/>
      <c r="N199" s="52"/>
      <c r="O199" s="52"/>
      <c r="P199" s="52"/>
      <c r="Q199" s="52"/>
      <c r="U199" s="52"/>
    </row>
    <row r="200">
      <c r="M200" s="52"/>
      <c r="N200" s="52"/>
      <c r="O200" s="52"/>
      <c r="P200" s="52"/>
      <c r="Q200" s="52"/>
      <c r="U200" s="52"/>
    </row>
    <row r="201">
      <c r="M201" s="52"/>
      <c r="N201" s="52"/>
      <c r="O201" s="52"/>
      <c r="P201" s="52"/>
      <c r="Q201" s="52"/>
      <c r="U201" s="52"/>
    </row>
    <row r="202">
      <c r="M202" s="52"/>
      <c r="N202" s="52"/>
      <c r="O202" s="52"/>
      <c r="P202" s="52"/>
      <c r="Q202" s="52"/>
      <c r="U202" s="52"/>
    </row>
    <row r="203">
      <c r="M203" s="52"/>
      <c r="N203" s="52"/>
      <c r="O203" s="52"/>
      <c r="P203" s="52"/>
      <c r="Q203" s="52"/>
      <c r="U203" s="52"/>
    </row>
    <row r="204">
      <c r="M204" s="52"/>
      <c r="N204" s="52"/>
      <c r="O204" s="52"/>
      <c r="P204" s="52"/>
      <c r="Q204" s="52"/>
      <c r="U204" s="52"/>
    </row>
    <row r="205">
      <c r="M205" s="52"/>
      <c r="N205" s="52"/>
      <c r="O205" s="52"/>
      <c r="P205" s="52"/>
      <c r="Q205" s="52"/>
      <c r="U205" s="52"/>
    </row>
    <row r="206">
      <c r="M206" s="52"/>
      <c r="N206" s="52"/>
      <c r="O206" s="52"/>
      <c r="P206" s="52"/>
      <c r="Q206" s="52"/>
      <c r="U206" s="52"/>
    </row>
    <row r="207">
      <c r="M207" s="52"/>
      <c r="N207" s="52"/>
      <c r="O207" s="52"/>
      <c r="P207" s="52"/>
      <c r="Q207" s="52"/>
      <c r="U207" s="52"/>
    </row>
    <row r="208">
      <c r="M208" s="52"/>
      <c r="N208" s="52"/>
      <c r="O208" s="52"/>
      <c r="P208" s="52"/>
      <c r="Q208" s="52"/>
      <c r="U208" s="52"/>
    </row>
    <row r="209">
      <c r="M209" s="52"/>
      <c r="N209" s="52"/>
      <c r="O209" s="52"/>
      <c r="P209" s="52"/>
      <c r="Q209" s="52"/>
      <c r="U209" s="52"/>
    </row>
    <row r="210">
      <c r="M210" s="52"/>
      <c r="N210" s="52"/>
      <c r="O210" s="52"/>
      <c r="P210" s="52"/>
      <c r="Q210" s="52"/>
      <c r="U210" s="52"/>
    </row>
    <row r="211">
      <c r="M211" s="52"/>
      <c r="N211" s="52"/>
      <c r="O211" s="52"/>
      <c r="P211" s="52"/>
      <c r="Q211" s="52"/>
      <c r="U211" s="52"/>
    </row>
    <row r="212">
      <c r="M212" s="52"/>
      <c r="N212" s="52"/>
      <c r="O212" s="52"/>
      <c r="P212" s="52"/>
      <c r="Q212" s="52"/>
      <c r="U212" s="52"/>
    </row>
    <row r="213">
      <c r="M213" s="52"/>
      <c r="N213" s="52"/>
      <c r="O213" s="52"/>
      <c r="P213" s="52"/>
      <c r="Q213" s="52"/>
      <c r="U213" s="52"/>
    </row>
    <row r="214">
      <c r="M214" s="52"/>
      <c r="N214" s="52"/>
      <c r="O214" s="52"/>
      <c r="P214" s="52"/>
      <c r="Q214" s="52"/>
      <c r="U214" s="52"/>
    </row>
    <row r="215">
      <c r="M215" s="52"/>
      <c r="N215" s="52"/>
      <c r="O215" s="52"/>
      <c r="P215" s="52"/>
      <c r="Q215" s="52"/>
      <c r="U215" s="52"/>
    </row>
    <row r="216">
      <c r="M216" s="52"/>
      <c r="N216" s="52"/>
      <c r="O216" s="52"/>
      <c r="P216" s="52"/>
      <c r="Q216" s="52"/>
      <c r="U216" s="52"/>
    </row>
    <row r="217">
      <c r="M217" s="52"/>
      <c r="N217" s="52"/>
      <c r="O217" s="52"/>
      <c r="P217" s="52"/>
      <c r="Q217" s="52"/>
      <c r="U217" s="52"/>
    </row>
    <row r="218">
      <c r="M218" s="52"/>
      <c r="N218" s="52"/>
      <c r="O218" s="52"/>
      <c r="P218" s="52"/>
      <c r="Q218" s="52"/>
      <c r="U218" s="52"/>
    </row>
    <row r="219">
      <c r="M219" s="52"/>
      <c r="N219" s="52"/>
      <c r="O219" s="52"/>
      <c r="P219" s="52"/>
      <c r="Q219" s="52"/>
      <c r="U219" s="52"/>
    </row>
    <row r="220">
      <c r="M220" s="52"/>
      <c r="N220" s="52"/>
      <c r="O220" s="52"/>
      <c r="P220" s="52"/>
      <c r="Q220" s="52"/>
      <c r="U220" s="52"/>
    </row>
    <row r="221">
      <c r="M221" s="52"/>
      <c r="N221" s="52"/>
      <c r="O221" s="52"/>
      <c r="P221" s="52"/>
      <c r="Q221" s="52"/>
      <c r="U221" s="52"/>
    </row>
    <row r="222">
      <c r="M222" s="52"/>
      <c r="N222" s="52"/>
      <c r="O222" s="52"/>
      <c r="P222" s="52"/>
      <c r="Q222" s="52"/>
      <c r="U222" s="52"/>
    </row>
    <row r="223">
      <c r="M223" s="52"/>
      <c r="N223" s="52"/>
      <c r="O223" s="52"/>
      <c r="P223" s="52"/>
      <c r="Q223" s="52"/>
      <c r="U223" s="52"/>
    </row>
    <row r="224">
      <c r="M224" s="52"/>
      <c r="N224" s="52"/>
      <c r="O224" s="52"/>
      <c r="P224" s="52"/>
      <c r="Q224" s="52"/>
      <c r="U224" s="52"/>
    </row>
    <row r="225">
      <c r="M225" s="52"/>
      <c r="N225" s="52"/>
      <c r="O225" s="52"/>
      <c r="P225" s="52"/>
      <c r="Q225" s="52"/>
      <c r="U225" s="52"/>
    </row>
    <row r="226">
      <c r="M226" s="52"/>
      <c r="N226" s="52"/>
      <c r="O226" s="52"/>
      <c r="P226" s="52"/>
      <c r="Q226" s="52"/>
      <c r="U226" s="52"/>
    </row>
    <row r="227">
      <c r="M227" s="52"/>
      <c r="N227" s="52"/>
      <c r="O227" s="52"/>
      <c r="P227" s="52"/>
      <c r="Q227" s="52"/>
      <c r="U227" s="52"/>
    </row>
    <row r="228">
      <c r="M228" s="52"/>
      <c r="N228" s="52"/>
      <c r="O228" s="52"/>
      <c r="P228" s="52"/>
      <c r="Q228" s="52"/>
      <c r="U228" s="52"/>
    </row>
    <row r="229">
      <c r="M229" s="52"/>
      <c r="N229" s="52"/>
      <c r="O229" s="52"/>
      <c r="P229" s="52"/>
      <c r="Q229" s="52"/>
      <c r="U229" s="52"/>
    </row>
    <row r="230">
      <c r="M230" s="52"/>
      <c r="N230" s="52"/>
      <c r="O230" s="52"/>
      <c r="P230" s="52"/>
      <c r="Q230" s="52"/>
      <c r="U230" s="52"/>
    </row>
    <row r="231">
      <c r="M231" s="52"/>
      <c r="N231" s="52"/>
      <c r="O231" s="52"/>
      <c r="P231" s="52"/>
      <c r="Q231" s="52"/>
      <c r="U231" s="52"/>
    </row>
    <row r="232">
      <c r="M232" s="52"/>
      <c r="N232" s="52"/>
      <c r="O232" s="52"/>
      <c r="P232" s="52"/>
      <c r="Q232" s="52"/>
      <c r="U232" s="52"/>
    </row>
    <row r="233">
      <c r="M233" s="52"/>
      <c r="N233" s="52"/>
      <c r="O233" s="52"/>
      <c r="P233" s="52"/>
      <c r="Q233" s="52"/>
      <c r="U233" s="52"/>
    </row>
    <row r="234">
      <c r="M234" s="52"/>
      <c r="N234" s="52"/>
      <c r="O234" s="52"/>
      <c r="P234" s="52"/>
      <c r="Q234" s="52"/>
      <c r="U234" s="52"/>
    </row>
    <row r="235">
      <c r="M235" s="52"/>
      <c r="N235" s="52"/>
      <c r="O235" s="52"/>
      <c r="P235" s="52"/>
      <c r="Q235" s="52"/>
      <c r="U235" s="52"/>
    </row>
    <row r="236">
      <c r="M236" s="52"/>
      <c r="N236" s="52"/>
      <c r="O236" s="52"/>
      <c r="P236" s="52"/>
      <c r="Q236" s="52"/>
      <c r="U236" s="52"/>
    </row>
    <row r="237">
      <c r="M237" s="52"/>
      <c r="N237" s="52"/>
      <c r="O237" s="52"/>
      <c r="P237" s="52"/>
      <c r="Q237" s="52"/>
      <c r="U237" s="52"/>
    </row>
    <row r="238">
      <c r="M238" s="52"/>
      <c r="N238" s="52"/>
      <c r="O238" s="52"/>
      <c r="P238" s="52"/>
      <c r="Q238" s="52"/>
      <c r="U238" s="52"/>
    </row>
    <row r="239">
      <c r="M239" s="52"/>
      <c r="N239" s="52"/>
      <c r="O239" s="52"/>
      <c r="P239" s="52"/>
      <c r="Q239" s="52"/>
      <c r="U239" s="52"/>
    </row>
    <row r="240">
      <c r="M240" s="52"/>
      <c r="N240" s="52"/>
      <c r="O240" s="52"/>
      <c r="P240" s="52"/>
      <c r="Q240" s="52"/>
      <c r="U240" s="52"/>
    </row>
    <row r="241">
      <c r="M241" s="52"/>
      <c r="N241" s="52"/>
      <c r="O241" s="52"/>
      <c r="P241" s="52"/>
      <c r="Q241" s="52"/>
      <c r="U241" s="52"/>
    </row>
    <row r="242">
      <c r="M242" s="52"/>
      <c r="N242" s="52"/>
      <c r="O242" s="52"/>
      <c r="P242" s="52"/>
      <c r="Q242" s="52"/>
      <c r="U242" s="52"/>
    </row>
    <row r="243">
      <c r="M243" s="52"/>
      <c r="N243" s="52"/>
      <c r="O243" s="52"/>
      <c r="P243" s="52"/>
      <c r="Q243" s="52"/>
      <c r="U243" s="52"/>
    </row>
    <row r="244">
      <c r="M244" s="52"/>
      <c r="N244" s="52"/>
      <c r="O244" s="52"/>
      <c r="P244" s="52"/>
      <c r="Q244" s="52"/>
      <c r="U244" s="52"/>
    </row>
    <row r="245">
      <c r="M245" s="52"/>
      <c r="N245" s="52"/>
      <c r="O245" s="52"/>
      <c r="P245" s="52"/>
      <c r="Q245" s="52"/>
      <c r="U245" s="52"/>
    </row>
    <row r="246">
      <c r="M246" s="52"/>
      <c r="N246" s="52"/>
      <c r="O246" s="52"/>
      <c r="P246" s="52"/>
      <c r="Q246" s="52"/>
      <c r="U246" s="52"/>
    </row>
    <row r="247">
      <c r="M247" s="52"/>
      <c r="N247" s="52"/>
      <c r="O247" s="52"/>
      <c r="P247" s="52"/>
      <c r="Q247" s="52"/>
      <c r="U247" s="52"/>
    </row>
    <row r="248">
      <c r="M248" s="52"/>
      <c r="N248" s="52"/>
      <c r="O248" s="52"/>
      <c r="P248" s="52"/>
      <c r="Q248" s="52"/>
      <c r="U248" s="52"/>
    </row>
    <row r="249">
      <c r="M249" s="52"/>
      <c r="N249" s="52"/>
      <c r="O249" s="52"/>
      <c r="P249" s="52"/>
      <c r="Q249" s="52"/>
      <c r="U249" s="52"/>
    </row>
    <row r="250">
      <c r="M250" s="52"/>
      <c r="N250" s="52"/>
      <c r="O250" s="52"/>
      <c r="P250" s="52"/>
      <c r="Q250" s="52"/>
      <c r="U250" s="52"/>
    </row>
    <row r="251">
      <c r="M251" s="52"/>
      <c r="N251" s="52"/>
      <c r="O251" s="52"/>
      <c r="P251" s="52"/>
      <c r="Q251" s="52"/>
      <c r="U251" s="52"/>
    </row>
    <row r="252">
      <c r="M252" s="52"/>
      <c r="N252" s="52"/>
      <c r="O252" s="52"/>
      <c r="P252" s="52"/>
      <c r="Q252" s="52"/>
      <c r="U252" s="52"/>
    </row>
    <row r="253">
      <c r="M253" s="52"/>
      <c r="N253" s="52"/>
      <c r="O253" s="52"/>
      <c r="P253" s="52"/>
      <c r="Q253" s="52"/>
      <c r="U253" s="52"/>
    </row>
    <row r="254">
      <c r="M254" s="52"/>
      <c r="N254" s="52"/>
      <c r="O254" s="52"/>
      <c r="P254" s="52"/>
      <c r="Q254" s="52"/>
      <c r="U254" s="52"/>
    </row>
    <row r="255">
      <c r="M255" s="52"/>
      <c r="N255" s="52"/>
      <c r="O255" s="52"/>
      <c r="P255" s="52"/>
      <c r="Q255" s="52"/>
      <c r="U255" s="52"/>
    </row>
    <row r="256">
      <c r="M256" s="52"/>
      <c r="N256" s="52"/>
      <c r="O256" s="52"/>
      <c r="P256" s="52"/>
      <c r="Q256" s="52"/>
      <c r="U256" s="52"/>
    </row>
    <row r="257">
      <c r="M257" s="52"/>
      <c r="N257" s="52"/>
      <c r="O257" s="52"/>
      <c r="P257" s="52"/>
      <c r="Q257" s="52"/>
      <c r="U257" s="52"/>
    </row>
    <row r="258">
      <c r="M258" s="52"/>
      <c r="N258" s="52"/>
      <c r="O258" s="52"/>
      <c r="P258" s="52"/>
      <c r="Q258" s="52"/>
      <c r="U258" s="52"/>
    </row>
    <row r="259">
      <c r="M259" s="52"/>
      <c r="N259" s="52"/>
      <c r="O259" s="52"/>
      <c r="P259" s="52"/>
      <c r="Q259" s="52"/>
      <c r="U259" s="52"/>
    </row>
    <row r="260">
      <c r="M260" s="52"/>
      <c r="N260" s="52"/>
      <c r="O260" s="52"/>
      <c r="P260" s="52"/>
      <c r="Q260" s="52"/>
      <c r="U260" s="52"/>
    </row>
    <row r="261">
      <c r="M261" s="52"/>
      <c r="N261" s="52"/>
      <c r="O261" s="52"/>
      <c r="P261" s="52"/>
      <c r="Q261" s="52"/>
      <c r="U261" s="52"/>
    </row>
    <row r="262">
      <c r="M262" s="52"/>
      <c r="N262" s="52"/>
      <c r="O262" s="52"/>
      <c r="P262" s="52"/>
      <c r="Q262" s="52"/>
      <c r="U262" s="52"/>
    </row>
    <row r="263">
      <c r="M263" s="52"/>
      <c r="N263" s="52"/>
      <c r="O263" s="52"/>
      <c r="P263" s="52"/>
      <c r="Q263" s="52"/>
      <c r="U263" s="52"/>
    </row>
    <row r="264">
      <c r="M264" s="52"/>
      <c r="N264" s="52"/>
      <c r="O264" s="52"/>
      <c r="P264" s="52"/>
      <c r="Q264" s="52"/>
      <c r="U264" s="52"/>
    </row>
    <row r="265">
      <c r="M265" s="52"/>
      <c r="N265" s="52"/>
      <c r="O265" s="52"/>
      <c r="P265" s="52"/>
      <c r="Q265" s="52"/>
      <c r="U265" s="52"/>
    </row>
    <row r="266">
      <c r="M266" s="52"/>
      <c r="N266" s="52"/>
      <c r="O266" s="52"/>
      <c r="P266" s="52"/>
      <c r="Q266" s="52"/>
      <c r="U266" s="52"/>
    </row>
    <row r="267">
      <c r="M267" s="52"/>
      <c r="N267" s="52"/>
      <c r="O267" s="52"/>
      <c r="P267" s="52"/>
      <c r="Q267" s="52"/>
      <c r="U267" s="52"/>
    </row>
    <row r="268">
      <c r="M268" s="52"/>
      <c r="N268" s="52"/>
      <c r="O268" s="52"/>
      <c r="P268" s="52"/>
      <c r="Q268" s="52"/>
      <c r="U268" s="52"/>
    </row>
    <row r="269">
      <c r="M269" s="52"/>
      <c r="N269" s="52"/>
      <c r="O269" s="52"/>
      <c r="P269" s="52"/>
      <c r="Q269" s="52"/>
      <c r="U269" s="52"/>
    </row>
    <row r="270">
      <c r="M270" s="52"/>
      <c r="N270" s="52"/>
      <c r="O270" s="52"/>
      <c r="P270" s="52"/>
      <c r="Q270" s="52"/>
      <c r="U270" s="52"/>
    </row>
    <row r="271">
      <c r="M271" s="52"/>
      <c r="N271" s="52"/>
      <c r="O271" s="52"/>
      <c r="P271" s="52"/>
      <c r="Q271" s="52"/>
      <c r="U271" s="52"/>
    </row>
    <row r="272">
      <c r="M272" s="52"/>
      <c r="N272" s="52"/>
      <c r="O272" s="52"/>
      <c r="P272" s="52"/>
      <c r="Q272" s="52"/>
      <c r="U272" s="52"/>
    </row>
    <row r="273">
      <c r="M273" s="52"/>
      <c r="N273" s="52"/>
      <c r="O273" s="52"/>
      <c r="P273" s="52"/>
      <c r="Q273" s="52"/>
      <c r="U273" s="52"/>
    </row>
    <row r="274">
      <c r="M274" s="52"/>
      <c r="N274" s="52"/>
      <c r="O274" s="52"/>
      <c r="P274" s="52"/>
      <c r="Q274" s="52"/>
      <c r="U274" s="52"/>
    </row>
    <row r="275">
      <c r="M275" s="52"/>
      <c r="N275" s="52"/>
      <c r="O275" s="52"/>
      <c r="P275" s="52"/>
      <c r="Q275" s="52"/>
      <c r="U275" s="52"/>
    </row>
    <row r="276">
      <c r="M276" s="52"/>
      <c r="N276" s="52"/>
      <c r="O276" s="52"/>
      <c r="P276" s="52"/>
      <c r="Q276" s="52"/>
      <c r="U276" s="52"/>
    </row>
    <row r="277">
      <c r="M277" s="52"/>
      <c r="N277" s="52"/>
      <c r="O277" s="52"/>
      <c r="P277" s="52"/>
      <c r="Q277" s="52"/>
      <c r="U277" s="52"/>
    </row>
    <row r="278">
      <c r="M278" s="52"/>
      <c r="N278" s="52"/>
      <c r="O278" s="52"/>
      <c r="P278" s="52"/>
      <c r="Q278" s="52"/>
      <c r="U278" s="52"/>
    </row>
    <row r="279">
      <c r="M279" s="52"/>
      <c r="N279" s="52"/>
      <c r="O279" s="52"/>
      <c r="P279" s="52"/>
      <c r="Q279" s="52"/>
      <c r="U279" s="52"/>
    </row>
    <row r="280">
      <c r="M280" s="52"/>
      <c r="N280" s="52"/>
      <c r="O280" s="52"/>
      <c r="P280" s="52"/>
      <c r="Q280" s="52"/>
      <c r="U280" s="52"/>
    </row>
    <row r="281">
      <c r="M281" s="52"/>
      <c r="N281" s="52"/>
      <c r="O281" s="52"/>
      <c r="P281" s="52"/>
      <c r="Q281" s="52"/>
      <c r="U281" s="52"/>
    </row>
    <row r="282">
      <c r="M282" s="52"/>
      <c r="N282" s="52"/>
      <c r="O282" s="52"/>
      <c r="P282" s="52"/>
      <c r="Q282" s="52"/>
      <c r="U282" s="52"/>
    </row>
    <row r="283">
      <c r="M283" s="52"/>
      <c r="N283" s="52"/>
      <c r="O283" s="52"/>
      <c r="P283" s="52"/>
      <c r="Q283" s="52"/>
      <c r="U283" s="52"/>
    </row>
    <row r="284">
      <c r="M284" s="52"/>
      <c r="N284" s="52"/>
      <c r="O284" s="52"/>
      <c r="P284" s="52"/>
      <c r="Q284" s="52"/>
      <c r="U284" s="52"/>
    </row>
    <row r="285">
      <c r="M285" s="52"/>
      <c r="N285" s="52"/>
      <c r="O285" s="52"/>
      <c r="P285" s="52"/>
      <c r="Q285" s="52"/>
      <c r="U285" s="52"/>
    </row>
    <row r="286">
      <c r="M286" s="52"/>
      <c r="N286" s="52"/>
      <c r="O286" s="52"/>
      <c r="P286" s="52"/>
      <c r="Q286" s="52"/>
      <c r="U286" s="52"/>
    </row>
    <row r="287">
      <c r="M287" s="52"/>
      <c r="N287" s="52"/>
      <c r="O287" s="52"/>
      <c r="P287" s="52"/>
      <c r="Q287" s="52"/>
      <c r="U287" s="52"/>
    </row>
    <row r="288">
      <c r="M288" s="52"/>
      <c r="N288" s="52"/>
      <c r="O288" s="52"/>
      <c r="P288" s="52"/>
      <c r="Q288" s="52"/>
      <c r="U288" s="52"/>
    </row>
    <row r="289">
      <c r="M289" s="52"/>
      <c r="N289" s="52"/>
      <c r="O289" s="52"/>
      <c r="P289" s="52"/>
      <c r="Q289" s="52"/>
      <c r="U289" s="52"/>
    </row>
    <row r="290">
      <c r="M290" s="52"/>
      <c r="N290" s="52"/>
      <c r="O290" s="52"/>
      <c r="P290" s="52"/>
      <c r="Q290" s="52"/>
      <c r="U290" s="52"/>
    </row>
    <row r="291">
      <c r="M291" s="52"/>
      <c r="N291" s="52"/>
      <c r="O291" s="52"/>
      <c r="P291" s="52"/>
      <c r="Q291" s="52"/>
      <c r="U291" s="52"/>
    </row>
    <row r="292">
      <c r="M292" s="52"/>
      <c r="N292" s="52"/>
      <c r="O292" s="52"/>
      <c r="P292" s="52"/>
      <c r="Q292" s="52"/>
      <c r="U292" s="52"/>
    </row>
    <row r="293">
      <c r="M293" s="52"/>
      <c r="N293" s="52"/>
      <c r="O293" s="52"/>
      <c r="P293" s="52"/>
      <c r="Q293" s="52"/>
      <c r="U293" s="52"/>
    </row>
    <row r="294">
      <c r="M294" s="52"/>
      <c r="N294" s="52"/>
      <c r="O294" s="52"/>
      <c r="P294" s="52"/>
      <c r="Q294" s="52"/>
      <c r="U294" s="52"/>
    </row>
    <row r="295">
      <c r="M295" s="52"/>
      <c r="N295" s="52"/>
      <c r="O295" s="52"/>
      <c r="P295" s="52"/>
      <c r="Q295" s="52"/>
      <c r="U295" s="52"/>
    </row>
    <row r="296">
      <c r="M296" s="52"/>
      <c r="N296" s="52"/>
      <c r="O296" s="52"/>
      <c r="P296" s="52"/>
      <c r="Q296" s="52"/>
      <c r="U296" s="52"/>
    </row>
    <row r="297">
      <c r="M297" s="52"/>
      <c r="N297" s="52"/>
      <c r="O297" s="52"/>
      <c r="P297" s="52"/>
      <c r="Q297" s="52"/>
      <c r="U297" s="52"/>
    </row>
    <row r="298">
      <c r="M298" s="52"/>
      <c r="N298" s="52"/>
      <c r="O298" s="52"/>
      <c r="P298" s="52"/>
      <c r="Q298" s="52"/>
      <c r="U298" s="52"/>
    </row>
    <row r="299">
      <c r="M299" s="52"/>
      <c r="N299" s="52"/>
      <c r="O299" s="52"/>
      <c r="P299" s="52"/>
      <c r="Q299" s="52"/>
      <c r="U299" s="52"/>
    </row>
    <row r="300">
      <c r="M300" s="52"/>
      <c r="N300" s="52"/>
      <c r="O300" s="52"/>
      <c r="P300" s="52"/>
      <c r="Q300" s="52"/>
      <c r="U300" s="52"/>
    </row>
    <row r="301">
      <c r="M301" s="52"/>
      <c r="N301" s="52"/>
      <c r="O301" s="52"/>
      <c r="P301" s="52"/>
      <c r="Q301" s="52"/>
      <c r="U301" s="52"/>
    </row>
    <row r="302">
      <c r="M302" s="52"/>
      <c r="N302" s="52"/>
      <c r="O302" s="52"/>
      <c r="P302" s="52"/>
      <c r="Q302" s="52"/>
      <c r="U302" s="52"/>
    </row>
    <row r="303">
      <c r="M303" s="52"/>
      <c r="N303" s="52"/>
      <c r="O303" s="52"/>
      <c r="P303" s="52"/>
      <c r="Q303" s="52"/>
      <c r="U303" s="52"/>
    </row>
    <row r="304">
      <c r="M304" s="52"/>
      <c r="N304" s="52"/>
      <c r="O304" s="52"/>
      <c r="P304" s="52"/>
      <c r="Q304" s="52"/>
      <c r="U304" s="52"/>
    </row>
    <row r="305">
      <c r="M305" s="52"/>
      <c r="N305" s="52"/>
      <c r="O305" s="52"/>
      <c r="P305" s="52"/>
      <c r="Q305" s="52"/>
      <c r="U305" s="52"/>
    </row>
    <row r="306">
      <c r="M306" s="52"/>
      <c r="N306" s="52"/>
      <c r="O306" s="52"/>
      <c r="P306" s="52"/>
      <c r="Q306" s="52"/>
      <c r="U306" s="52"/>
    </row>
    <row r="307">
      <c r="M307" s="52"/>
      <c r="N307" s="52"/>
      <c r="O307" s="52"/>
      <c r="P307" s="52"/>
      <c r="Q307" s="52"/>
      <c r="U307" s="52"/>
    </row>
    <row r="308">
      <c r="M308" s="52"/>
      <c r="N308" s="52"/>
      <c r="O308" s="52"/>
      <c r="P308" s="52"/>
      <c r="Q308" s="52"/>
      <c r="U308" s="52"/>
    </row>
    <row r="309">
      <c r="M309" s="52"/>
      <c r="N309" s="52"/>
      <c r="O309" s="52"/>
      <c r="P309" s="52"/>
      <c r="Q309" s="52"/>
      <c r="U309" s="52"/>
    </row>
    <row r="310">
      <c r="M310" s="52"/>
      <c r="N310" s="52"/>
      <c r="O310" s="52"/>
      <c r="P310" s="52"/>
      <c r="Q310" s="52"/>
      <c r="U310" s="52"/>
    </row>
    <row r="311">
      <c r="M311" s="52"/>
      <c r="N311" s="52"/>
      <c r="O311" s="52"/>
      <c r="P311" s="52"/>
      <c r="Q311" s="52"/>
      <c r="U311" s="52"/>
    </row>
    <row r="312">
      <c r="M312" s="52"/>
      <c r="N312" s="52"/>
      <c r="O312" s="52"/>
      <c r="P312" s="52"/>
      <c r="Q312" s="52"/>
      <c r="U312" s="52"/>
    </row>
    <row r="313">
      <c r="M313" s="52"/>
      <c r="N313" s="52"/>
      <c r="O313" s="52"/>
      <c r="P313" s="52"/>
      <c r="Q313" s="52"/>
      <c r="U313" s="52"/>
    </row>
    <row r="314">
      <c r="M314" s="52"/>
      <c r="N314" s="52"/>
      <c r="O314" s="52"/>
      <c r="P314" s="52"/>
      <c r="Q314" s="52"/>
      <c r="U314" s="52"/>
    </row>
    <row r="315">
      <c r="M315" s="52"/>
      <c r="N315" s="52"/>
      <c r="O315" s="52"/>
      <c r="P315" s="52"/>
      <c r="Q315" s="52"/>
      <c r="U315" s="52"/>
    </row>
    <row r="316">
      <c r="M316" s="52"/>
      <c r="N316" s="52"/>
      <c r="O316" s="52"/>
      <c r="P316" s="52"/>
      <c r="Q316" s="52"/>
      <c r="U316" s="52"/>
    </row>
    <row r="317">
      <c r="M317" s="52"/>
      <c r="N317" s="52"/>
      <c r="O317" s="52"/>
      <c r="P317" s="52"/>
      <c r="Q317" s="52"/>
      <c r="U317" s="52"/>
    </row>
    <row r="318">
      <c r="M318" s="52"/>
      <c r="N318" s="52"/>
      <c r="O318" s="52"/>
      <c r="P318" s="52"/>
      <c r="Q318" s="52"/>
      <c r="U318" s="52"/>
    </row>
    <row r="319">
      <c r="M319" s="52"/>
      <c r="N319" s="52"/>
      <c r="O319" s="52"/>
      <c r="P319" s="52"/>
      <c r="Q319" s="52"/>
      <c r="U319" s="52"/>
    </row>
    <row r="320">
      <c r="M320" s="52"/>
      <c r="N320" s="52"/>
      <c r="O320" s="52"/>
      <c r="P320" s="52"/>
      <c r="Q320" s="52"/>
      <c r="U320" s="52"/>
    </row>
    <row r="321">
      <c r="M321" s="52"/>
      <c r="N321" s="52"/>
      <c r="O321" s="52"/>
      <c r="P321" s="52"/>
      <c r="Q321" s="52"/>
      <c r="U321" s="52"/>
    </row>
    <row r="322">
      <c r="M322" s="52"/>
      <c r="N322" s="52"/>
      <c r="O322" s="52"/>
      <c r="P322" s="52"/>
      <c r="Q322" s="52"/>
      <c r="U322" s="52"/>
    </row>
    <row r="323">
      <c r="M323" s="52"/>
      <c r="N323" s="52"/>
      <c r="O323" s="52"/>
      <c r="P323" s="52"/>
      <c r="Q323" s="52"/>
      <c r="U323" s="52"/>
    </row>
    <row r="324">
      <c r="M324" s="52"/>
      <c r="N324" s="52"/>
      <c r="O324" s="52"/>
      <c r="P324" s="52"/>
      <c r="Q324" s="52"/>
      <c r="U324" s="52"/>
    </row>
    <row r="325">
      <c r="M325" s="52"/>
      <c r="N325" s="52"/>
      <c r="O325" s="52"/>
      <c r="P325" s="52"/>
      <c r="Q325" s="52"/>
      <c r="U325" s="52"/>
    </row>
    <row r="326">
      <c r="M326" s="52"/>
      <c r="N326" s="52"/>
      <c r="O326" s="52"/>
      <c r="P326" s="52"/>
      <c r="Q326" s="52"/>
      <c r="U326" s="52"/>
    </row>
    <row r="327">
      <c r="M327" s="52"/>
      <c r="N327" s="52"/>
      <c r="O327" s="52"/>
      <c r="P327" s="52"/>
      <c r="Q327" s="52"/>
      <c r="U327" s="52"/>
    </row>
    <row r="328">
      <c r="M328" s="52"/>
      <c r="N328" s="52"/>
      <c r="O328" s="52"/>
      <c r="P328" s="52"/>
      <c r="Q328" s="52"/>
      <c r="U328" s="52"/>
    </row>
    <row r="329">
      <c r="M329" s="52"/>
      <c r="N329" s="52"/>
      <c r="O329" s="52"/>
      <c r="P329" s="52"/>
      <c r="Q329" s="52"/>
      <c r="U329" s="52"/>
    </row>
    <row r="330">
      <c r="M330" s="52"/>
      <c r="N330" s="52"/>
      <c r="O330" s="52"/>
      <c r="P330" s="52"/>
      <c r="Q330" s="52"/>
      <c r="U330" s="52"/>
    </row>
    <row r="331">
      <c r="M331" s="52"/>
      <c r="N331" s="52"/>
      <c r="O331" s="52"/>
      <c r="P331" s="52"/>
      <c r="Q331" s="52"/>
      <c r="U331" s="52"/>
    </row>
    <row r="332">
      <c r="M332" s="52"/>
      <c r="N332" s="52"/>
      <c r="O332" s="52"/>
      <c r="P332" s="52"/>
      <c r="Q332" s="52"/>
      <c r="U332" s="52"/>
    </row>
    <row r="333">
      <c r="M333" s="52"/>
      <c r="N333" s="52"/>
      <c r="O333" s="52"/>
      <c r="P333" s="52"/>
      <c r="Q333" s="52"/>
      <c r="U333" s="52"/>
    </row>
    <row r="334">
      <c r="M334" s="52"/>
      <c r="N334" s="52"/>
      <c r="O334" s="52"/>
      <c r="P334" s="52"/>
      <c r="Q334" s="52"/>
      <c r="U334" s="52"/>
    </row>
    <row r="335">
      <c r="M335" s="52"/>
      <c r="N335" s="52"/>
      <c r="O335" s="52"/>
      <c r="P335" s="52"/>
      <c r="Q335" s="52"/>
      <c r="U335" s="52"/>
    </row>
    <row r="336">
      <c r="M336" s="52"/>
      <c r="N336" s="52"/>
      <c r="O336" s="52"/>
      <c r="P336" s="52"/>
      <c r="Q336" s="52"/>
      <c r="U336" s="52"/>
    </row>
    <row r="337">
      <c r="M337" s="52"/>
      <c r="N337" s="52"/>
      <c r="O337" s="52"/>
      <c r="P337" s="52"/>
      <c r="Q337" s="52"/>
      <c r="U337" s="52"/>
    </row>
    <row r="338">
      <c r="M338" s="52"/>
      <c r="N338" s="52"/>
      <c r="O338" s="52"/>
      <c r="P338" s="52"/>
      <c r="Q338" s="52"/>
      <c r="U338" s="52"/>
    </row>
    <row r="339">
      <c r="M339" s="52"/>
      <c r="N339" s="52"/>
      <c r="O339" s="52"/>
      <c r="P339" s="52"/>
      <c r="Q339" s="52"/>
      <c r="U339" s="52"/>
    </row>
    <row r="340">
      <c r="M340" s="52"/>
      <c r="N340" s="52"/>
      <c r="O340" s="52"/>
      <c r="P340" s="52"/>
      <c r="Q340" s="52"/>
      <c r="U340" s="52"/>
    </row>
    <row r="341">
      <c r="M341" s="52"/>
      <c r="N341" s="52"/>
      <c r="O341" s="52"/>
      <c r="P341" s="52"/>
      <c r="Q341" s="52"/>
      <c r="U341" s="52"/>
    </row>
    <row r="342">
      <c r="M342" s="52"/>
      <c r="N342" s="52"/>
      <c r="O342" s="52"/>
      <c r="P342" s="52"/>
      <c r="Q342" s="52"/>
      <c r="U342" s="52"/>
    </row>
    <row r="343">
      <c r="M343" s="52"/>
      <c r="N343" s="52"/>
      <c r="O343" s="52"/>
      <c r="P343" s="52"/>
      <c r="Q343" s="52"/>
      <c r="U343" s="52"/>
    </row>
    <row r="344">
      <c r="M344" s="52"/>
      <c r="N344" s="52"/>
      <c r="O344" s="52"/>
      <c r="P344" s="52"/>
      <c r="Q344" s="52"/>
      <c r="U344" s="52"/>
    </row>
    <row r="345">
      <c r="M345" s="52"/>
      <c r="N345" s="52"/>
      <c r="O345" s="52"/>
      <c r="P345" s="52"/>
      <c r="Q345" s="52"/>
      <c r="U345" s="52"/>
    </row>
    <row r="346">
      <c r="M346" s="52"/>
      <c r="N346" s="52"/>
      <c r="O346" s="52"/>
      <c r="P346" s="52"/>
      <c r="Q346" s="52"/>
      <c r="U346" s="52"/>
    </row>
    <row r="347">
      <c r="M347" s="52"/>
      <c r="N347" s="52"/>
      <c r="O347" s="52"/>
      <c r="P347" s="52"/>
      <c r="Q347" s="52"/>
      <c r="U347" s="52"/>
    </row>
    <row r="348">
      <c r="M348" s="52"/>
      <c r="N348" s="52"/>
      <c r="O348" s="52"/>
      <c r="P348" s="52"/>
      <c r="Q348" s="52"/>
      <c r="U348" s="52"/>
    </row>
    <row r="349">
      <c r="M349" s="52"/>
      <c r="N349" s="52"/>
      <c r="O349" s="52"/>
      <c r="P349" s="52"/>
      <c r="Q349" s="52"/>
      <c r="U349" s="52"/>
    </row>
    <row r="350">
      <c r="M350" s="52"/>
      <c r="N350" s="52"/>
      <c r="O350" s="52"/>
      <c r="P350" s="52"/>
      <c r="Q350" s="52"/>
      <c r="U350" s="52"/>
    </row>
    <row r="351">
      <c r="M351" s="52"/>
      <c r="N351" s="52"/>
      <c r="O351" s="52"/>
      <c r="P351" s="52"/>
      <c r="Q351" s="52"/>
      <c r="U351" s="52"/>
    </row>
    <row r="352">
      <c r="M352" s="52"/>
      <c r="N352" s="52"/>
      <c r="O352" s="52"/>
      <c r="P352" s="52"/>
      <c r="Q352" s="52"/>
      <c r="U352" s="52"/>
    </row>
    <row r="353">
      <c r="M353" s="52"/>
      <c r="N353" s="52"/>
      <c r="O353" s="52"/>
      <c r="P353" s="52"/>
      <c r="Q353" s="52"/>
      <c r="U353" s="52"/>
    </row>
    <row r="354">
      <c r="M354" s="52"/>
      <c r="N354" s="52"/>
      <c r="O354" s="52"/>
      <c r="P354" s="52"/>
      <c r="Q354" s="52"/>
      <c r="U354" s="52"/>
    </row>
    <row r="355">
      <c r="M355" s="52"/>
      <c r="N355" s="52"/>
      <c r="O355" s="52"/>
      <c r="P355" s="52"/>
      <c r="Q355" s="52"/>
      <c r="U355" s="52"/>
    </row>
    <row r="356">
      <c r="M356" s="52"/>
      <c r="N356" s="52"/>
      <c r="O356" s="52"/>
      <c r="P356" s="52"/>
      <c r="Q356" s="52"/>
      <c r="U356" s="52"/>
    </row>
    <row r="357">
      <c r="M357" s="52"/>
      <c r="N357" s="52"/>
      <c r="O357" s="52"/>
      <c r="P357" s="52"/>
      <c r="Q357" s="52"/>
      <c r="U357" s="52"/>
    </row>
    <row r="358">
      <c r="M358" s="52"/>
      <c r="N358" s="52"/>
      <c r="O358" s="52"/>
      <c r="P358" s="52"/>
      <c r="Q358" s="52"/>
      <c r="U358" s="52"/>
    </row>
    <row r="359">
      <c r="M359" s="52"/>
      <c r="N359" s="52"/>
      <c r="O359" s="52"/>
      <c r="P359" s="52"/>
      <c r="Q359" s="52"/>
      <c r="U359" s="52"/>
    </row>
    <row r="360">
      <c r="M360" s="52"/>
      <c r="N360" s="52"/>
      <c r="O360" s="52"/>
      <c r="P360" s="52"/>
      <c r="Q360" s="52"/>
      <c r="U360" s="52"/>
    </row>
    <row r="361">
      <c r="M361" s="52"/>
      <c r="N361" s="52"/>
      <c r="O361" s="52"/>
      <c r="P361" s="52"/>
      <c r="Q361" s="52"/>
      <c r="U361" s="52"/>
    </row>
    <row r="362">
      <c r="M362" s="52"/>
      <c r="N362" s="52"/>
      <c r="O362" s="52"/>
      <c r="P362" s="52"/>
      <c r="Q362" s="52"/>
      <c r="U362" s="52"/>
    </row>
    <row r="363">
      <c r="M363" s="52"/>
      <c r="N363" s="52"/>
      <c r="O363" s="52"/>
      <c r="P363" s="52"/>
      <c r="Q363" s="52"/>
      <c r="U363" s="52"/>
    </row>
    <row r="364">
      <c r="M364" s="52"/>
      <c r="N364" s="52"/>
      <c r="O364" s="52"/>
      <c r="P364" s="52"/>
      <c r="Q364" s="52"/>
      <c r="U364" s="52"/>
    </row>
    <row r="365">
      <c r="M365" s="52"/>
      <c r="N365" s="52"/>
      <c r="O365" s="52"/>
      <c r="P365" s="52"/>
      <c r="Q365" s="52"/>
      <c r="U365" s="52"/>
    </row>
    <row r="366">
      <c r="M366" s="52"/>
      <c r="N366" s="52"/>
      <c r="O366" s="52"/>
      <c r="P366" s="52"/>
      <c r="Q366" s="52"/>
      <c r="U366" s="52"/>
    </row>
    <row r="367">
      <c r="M367" s="52"/>
      <c r="N367" s="52"/>
      <c r="O367" s="52"/>
      <c r="P367" s="52"/>
      <c r="Q367" s="52"/>
      <c r="U367" s="52"/>
    </row>
    <row r="368">
      <c r="M368" s="52"/>
      <c r="N368" s="52"/>
      <c r="O368" s="52"/>
      <c r="P368" s="52"/>
      <c r="Q368" s="52"/>
      <c r="U368" s="52"/>
    </row>
    <row r="369">
      <c r="M369" s="52"/>
      <c r="N369" s="52"/>
      <c r="O369" s="52"/>
      <c r="P369" s="52"/>
      <c r="Q369" s="52"/>
      <c r="U369" s="52"/>
    </row>
    <row r="370">
      <c r="M370" s="52"/>
      <c r="N370" s="52"/>
      <c r="O370" s="52"/>
      <c r="P370" s="52"/>
      <c r="Q370" s="52"/>
      <c r="U370" s="52"/>
    </row>
    <row r="371">
      <c r="M371" s="52"/>
      <c r="N371" s="52"/>
      <c r="O371" s="52"/>
      <c r="P371" s="52"/>
      <c r="Q371" s="52"/>
      <c r="U371" s="52"/>
    </row>
    <row r="372">
      <c r="M372" s="52"/>
      <c r="N372" s="52"/>
      <c r="O372" s="52"/>
      <c r="P372" s="52"/>
      <c r="Q372" s="52"/>
      <c r="U372" s="52"/>
    </row>
    <row r="373">
      <c r="M373" s="52"/>
      <c r="N373" s="52"/>
      <c r="O373" s="52"/>
      <c r="P373" s="52"/>
      <c r="Q373" s="52"/>
      <c r="U373" s="52"/>
    </row>
    <row r="374">
      <c r="M374" s="52"/>
      <c r="N374" s="52"/>
      <c r="O374" s="52"/>
      <c r="P374" s="52"/>
      <c r="Q374" s="52"/>
      <c r="U374" s="52"/>
    </row>
    <row r="375">
      <c r="M375" s="52"/>
      <c r="N375" s="52"/>
      <c r="O375" s="52"/>
      <c r="P375" s="52"/>
      <c r="Q375" s="52"/>
      <c r="U375" s="52"/>
    </row>
    <row r="376">
      <c r="M376" s="52"/>
      <c r="N376" s="52"/>
      <c r="O376" s="52"/>
      <c r="P376" s="52"/>
      <c r="Q376" s="52"/>
      <c r="U376" s="52"/>
    </row>
    <row r="377">
      <c r="M377" s="52"/>
      <c r="N377" s="52"/>
      <c r="O377" s="52"/>
      <c r="P377" s="52"/>
      <c r="Q377" s="52"/>
      <c r="U377" s="52"/>
    </row>
    <row r="378">
      <c r="M378" s="52"/>
      <c r="N378" s="52"/>
      <c r="O378" s="52"/>
      <c r="P378" s="52"/>
      <c r="Q378" s="52"/>
      <c r="U378" s="52"/>
    </row>
    <row r="379">
      <c r="M379" s="52"/>
      <c r="N379" s="52"/>
      <c r="O379" s="52"/>
      <c r="P379" s="52"/>
      <c r="Q379" s="52"/>
      <c r="U379" s="52"/>
    </row>
    <row r="380">
      <c r="M380" s="52"/>
      <c r="N380" s="52"/>
      <c r="O380" s="52"/>
      <c r="P380" s="52"/>
      <c r="Q380" s="52"/>
      <c r="U380" s="52"/>
    </row>
    <row r="381">
      <c r="M381" s="52"/>
      <c r="N381" s="52"/>
      <c r="O381" s="52"/>
      <c r="P381" s="52"/>
      <c r="Q381" s="52"/>
      <c r="U381" s="52"/>
    </row>
    <row r="382">
      <c r="M382" s="52"/>
      <c r="N382" s="52"/>
      <c r="O382" s="52"/>
      <c r="P382" s="52"/>
      <c r="Q382" s="52"/>
      <c r="U382" s="52"/>
    </row>
    <row r="383">
      <c r="M383" s="52"/>
      <c r="N383" s="52"/>
      <c r="O383" s="52"/>
      <c r="P383" s="52"/>
      <c r="Q383" s="52"/>
      <c r="U383" s="52"/>
    </row>
    <row r="384">
      <c r="M384" s="52"/>
      <c r="N384" s="52"/>
      <c r="O384" s="52"/>
      <c r="P384" s="52"/>
      <c r="Q384" s="52"/>
      <c r="U384" s="52"/>
    </row>
    <row r="385">
      <c r="M385" s="52"/>
      <c r="N385" s="52"/>
      <c r="O385" s="52"/>
      <c r="P385" s="52"/>
      <c r="Q385" s="52"/>
      <c r="U385" s="52"/>
    </row>
    <row r="386">
      <c r="M386" s="52"/>
      <c r="N386" s="52"/>
      <c r="O386" s="52"/>
      <c r="P386" s="52"/>
      <c r="Q386" s="52"/>
      <c r="U386" s="52"/>
    </row>
    <row r="387">
      <c r="M387" s="52"/>
      <c r="N387" s="52"/>
      <c r="O387" s="52"/>
      <c r="P387" s="52"/>
      <c r="Q387" s="52"/>
      <c r="U387" s="52"/>
    </row>
    <row r="388">
      <c r="M388" s="52"/>
      <c r="N388" s="52"/>
      <c r="O388" s="52"/>
      <c r="P388" s="52"/>
      <c r="Q388" s="52"/>
      <c r="U388" s="52"/>
    </row>
    <row r="389">
      <c r="M389" s="52"/>
      <c r="N389" s="52"/>
      <c r="O389" s="52"/>
      <c r="P389" s="52"/>
      <c r="Q389" s="52"/>
      <c r="U389" s="52"/>
    </row>
    <row r="390">
      <c r="M390" s="52"/>
      <c r="N390" s="52"/>
      <c r="O390" s="52"/>
      <c r="P390" s="52"/>
      <c r="Q390" s="52"/>
      <c r="U390" s="52"/>
    </row>
    <row r="391">
      <c r="M391" s="52"/>
      <c r="N391" s="52"/>
      <c r="O391" s="52"/>
      <c r="P391" s="52"/>
      <c r="Q391" s="52"/>
      <c r="U391" s="52"/>
    </row>
    <row r="392">
      <c r="M392" s="52"/>
      <c r="N392" s="52"/>
      <c r="O392" s="52"/>
      <c r="P392" s="52"/>
      <c r="Q392" s="52"/>
      <c r="U392" s="52"/>
    </row>
    <row r="393">
      <c r="M393" s="52"/>
      <c r="N393" s="52"/>
      <c r="O393" s="52"/>
      <c r="P393" s="52"/>
      <c r="Q393" s="52"/>
      <c r="U393" s="52"/>
    </row>
    <row r="394">
      <c r="M394" s="52"/>
      <c r="N394" s="52"/>
      <c r="O394" s="52"/>
      <c r="P394" s="52"/>
      <c r="Q394" s="52"/>
      <c r="U394" s="52"/>
    </row>
    <row r="395">
      <c r="M395" s="52"/>
      <c r="N395" s="52"/>
      <c r="O395" s="52"/>
      <c r="P395" s="52"/>
      <c r="Q395" s="52"/>
      <c r="U395" s="52"/>
    </row>
    <row r="396">
      <c r="M396" s="52"/>
      <c r="N396" s="52"/>
      <c r="O396" s="52"/>
      <c r="P396" s="52"/>
      <c r="Q396" s="52"/>
      <c r="U396" s="52"/>
    </row>
    <row r="397">
      <c r="M397" s="52"/>
      <c r="N397" s="52"/>
      <c r="O397" s="52"/>
      <c r="P397" s="52"/>
      <c r="Q397" s="52"/>
      <c r="U397" s="52"/>
    </row>
    <row r="398">
      <c r="M398" s="52"/>
      <c r="N398" s="52"/>
      <c r="O398" s="52"/>
      <c r="P398" s="52"/>
      <c r="Q398" s="52"/>
      <c r="U398" s="52"/>
    </row>
    <row r="399">
      <c r="M399" s="52"/>
      <c r="N399" s="52"/>
      <c r="O399" s="52"/>
      <c r="P399" s="52"/>
      <c r="Q399" s="52"/>
      <c r="U399" s="52"/>
    </row>
    <row r="400">
      <c r="M400" s="52"/>
      <c r="N400" s="52"/>
      <c r="O400" s="52"/>
      <c r="P400" s="52"/>
      <c r="Q400" s="52"/>
      <c r="U400" s="52"/>
    </row>
    <row r="401">
      <c r="M401" s="52"/>
      <c r="N401" s="52"/>
      <c r="O401" s="52"/>
      <c r="P401" s="52"/>
      <c r="Q401" s="52"/>
      <c r="U401" s="52"/>
    </row>
    <row r="402">
      <c r="M402" s="52"/>
      <c r="N402" s="52"/>
      <c r="O402" s="52"/>
      <c r="P402" s="52"/>
      <c r="Q402" s="52"/>
      <c r="U402" s="52"/>
    </row>
    <row r="403">
      <c r="M403" s="52"/>
      <c r="N403" s="52"/>
      <c r="O403" s="52"/>
      <c r="P403" s="52"/>
      <c r="Q403" s="52"/>
      <c r="U403" s="52"/>
    </row>
    <row r="404">
      <c r="M404" s="52"/>
      <c r="N404" s="52"/>
      <c r="O404" s="52"/>
      <c r="P404" s="52"/>
      <c r="Q404" s="52"/>
      <c r="U404" s="52"/>
    </row>
    <row r="405">
      <c r="M405" s="52"/>
      <c r="N405" s="52"/>
      <c r="O405" s="52"/>
      <c r="P405" s="52"/>
      <c r="Q405" s="52"/>
      <c r="U405" s="52"/>
    </row>
    <row r="406">
      <c r="M406" s="52"/>
      <c r="N406" s="52"/>
      <c r="O406" s="52"/>
      <c r="P406" s="52"/>
      <c r="Q406" s="52"/>
      <c r="U406" s="52"/>
    </row>
    <row r="407">
      <c r="M407" s="52"/>
      <c r="N407" s="52"/>
      <c r="O407" s="52"/>
      <c r="P407" s="52"/>
      <c r="Q407" s="52"/>
      <c r="U407" s="52"/>
    </row>
    <row r="408">
      <c r="M408" s="52"/>
      <c r="N408" s="52"/>
      <c r="O408" s="52"/>
      <c r="P408" s="52"/>
      <c r="Q408" s="52"/>
      <c r="U408" s="52"/>
    </row>
    <row r="409">
      <c r="M409" s="52"/>
      <c r="N409" s="52"/>
      <c r="O409" s="52"/>
      <c r="P409" s="52"/>
      <c r="Q409" s="52"/>
      <c r="U409" s="52"/>
    </row>
    <row r="410">
      <c r="M410" s="52"/>
      <c r="N410" s="52"/>
      <c r="O410" s="52"/>
      <c r="P410" s="52"/>
      <c r="Q410" s="52"/>
      <c r="U410" s="52"/>
    </row>
    <row r="411">
      <c r="M411" s="52"/>
      <c r="N411" s="52"/>
      <c r="O411" s="52"/>
      <c r="P411" s="52"/>
      <c r="Q411" s="52"/>
      <c r="U411" s="52"/>
    </row>
    <row r="412">
      <c r="M412" s="52"/>
      <c r="N412" s="52"/>
      <c r="O412" s="52"/>
      <c r="P412" s="52"/>
      <c r="Q412" s="52"/>
      <c r="U412" s="52"/>
    </row>
    <row r="413">
      <c r="M413" s="52"/>
      <c r="N413" s="52"/>
      <c r="O413" s="52"/>
      <c r="P413" s="52"/>
      <c r="Q413" s="52"/>
      <c r="U413" s="52"/>
    </row>
    <row r="414">
      <c r="M414" s="52"/>
      <c r="N414" s="52"/>
      <c r="O414" s="52"/>
      <c r="P414" s="52"/>
      <c r="Q414" s="52"/>
      <c r="U414" s="52"/>
    </row>
    <row r="415">
      <c r="M415" s="52"/>
      <c r="N415" s="52"/>
      <c r="O415" s="52"/>
      <c r="P415" s="52"/>
      <c r="Q415" s="52"/>
      <c r="U415" s="52"/>
    </row>
    <row r="416">
      <c r="M416" s="52"/>
      <c r="N416" s="52"/>
      <c r="O416" s="52"/>
      <c r="P416" s="52"/>
      <c r="Q416" s="52"/>
      <c r="U416" s="52"/>
    </row>
    <row r="417">
      <c r="M417" s="52"/>
      <c r="N417" s="52"/>
      <c r="O417" s="52"/>
      <c r="P417" s="52"/>
      <c r="Q417" s="52"/>
      <c r="U417" s="52"/>
    </row>
    <row r="418">
      <c r="M418" s="52"/>
      <c r="N418" s="52"/>
      <c r="O418" s="52"/>
      <c r="P418" s="52"/>
      <c r="Q418" s="52"/>
      <c r="U418" s="52"/>
    </row>
    <row r="419">
      <c r="M419" s="52"/>
      <c r="N419" s="52"/>
      <c r="O419" s="52"/>
      <c r="P419" s="52"/>
      <c r="Q419" s="52"/>
      <c r="U419" s="52"/>
    </row>
    <row r="420">
      <c r="M420" s="52"/>
      <c r="N420" s="52"/>
      <c r="O420" s="52"/>
      <c r="P420" s="52"/>
      <c r="Q420" s="52"/>
      <c r="U420" s="52"/>
    </row>
    <row r="421">
      <c r="M421" s="52"/>
      <c r="N421" s="52"/>
      <c r="O421" s="52"/>
      <c r="P421" s="52"/>
      <c r="Q421" s="52"/>
      <c r="U421" s="52"/>
    </row>
    <row r="422">
      <c r="M422" s="52"/>
      <c r="N422" s="52"/>
      <c r="O422" s="52"/>
      <c r="P422" s="52"/>
      <c r="Q422" s="52"/>
      <c r="U422" s="52"/>
    </row>
    <row r="423">
      <c r="M423" s="52"/>
      <c r="N423" s="52"/>
      <c r="O423" s="52"/>
      <c r="P423" s="52"/>
      <c r="Q423" s="52"/>
      <c r="U423" s="52"/>
    </row>
    <row r="424">
      <c r="M424" s="52"/>
      <c r="N424" s="52"/>
      <c r="O424" s="52"/>
      <c r="P424" s="52"/>
      <c r="Q424" s="52"/>
      <c r="U424" s="52"/>
    </row>
    <row r="425">
      <c r="M425" s="52"/>
      <c r="N425" s="52"/>
      <c r="O425" s="52"/>
      <c r="P425" s="52"/>
      <c r="Q425" s="52"/>
      <c r="U425" s="52"/>
    </row>
    <row r="426">
      <c r="M426" s="52"/>
      <c r="N426" s="52"/>
      <c r="O426" s="52"/>
      <c r="P426" s="52"/>
      <c r="Q426" s="52"/>
      <c r="U426" s="52"/>
    </row>
    <row r="427">
      <c r="M427" s="52"/>
      <c r="N427" s="52"/>
      <c r="O427" s="52"/>
      <c r="P427" s="52"/>
      <c r="Q427" s="52"/>
      <c r="U427" s="52"/>
    </row>
    <row r="428">
      <c r="M428" s="52"/>
      <c r="N428" s="52"/>
      <c r="O428" s="52"/>
      <c r="P428" s="52"/>
      <c r="Q428" s="52"/>
      <c r="U428" s="52"/>
    </row>
    <row r="429">
      <c r="M429" s="52"/>
      <c r="N429" s="52"/>
      <c r="O429" s="52"/>
      <c r="P429" s="52"/>
      <c r="Q429" s="52"/>
      <c r="U429" s="52"/>
    </row>
    <row r="430">
      <c r="M430" s="52"/>
      <c r="N430" s="52"/>
      <c r="O430" s="52"/>
      <c r="P430" s="52"/>
      <c r="Q430" s="52"/>
      <c r="U430" s="52"/>
    </row>
    <row r="431">
      <c r="M431" s="52"/>
      <c r="N431" s="52"/>
      <c r="O431" s="52"/>
      <c r="P431" s="52"/>
      <c r="Q431" s="52"/>
      <c r="U431" s="52"/>
    </row>
    <row r="432">
      <c r="M432" s="52"/>
      <c r="N432" s="52"/>
      <c r="O432" s="52"/>
      <c r="P432" s="52"/>
      <c r="Q432" s="52"/>
      <c r="U432" s="52"/>
    </row>
    <row r="433">
      <c r="M433" s="52"/>
      <c r="N433" s="52"/>
      <c r="O433" s="52"/>
      <c r="P433" s="52"/>
      <c r="Q433" s="52"/>
      <c r="U433" s="52"/>
    </row>
    <row r="434">
      <c r="M434" s="52"/>
      <c r="N434" s="52"/>
      <c r="O434" s="52"/>
      <c r="P434" s="52"/>
      <c r="Q434" s="52"/>
      <c r="U434" s="52"/>
    </row>
    <row r="435">
      <c r="M435" s="52"/>
      <c r="N435" s="52"/>
      <c r="O435" s="52"/>
      <c r="P435" s="52"/>
      <c r="Q435" s="52"/>
      <c r="U435" s="52"/>
    </row>
    <row r="436">
      <c r="M436" s="52"/>
      <c r="N436" s="52"/>
      <c r="O436" s="52"/>
      <c r="P436" s="52"/>
      <c r="Q436" s="52"/>
      <c r="U436" s="52"/>
    </row>
    <row r="437">
      <c r="M437" s="52"/>
      <c r="N437" s="52"/>
      <c r="O437" s="52"/>
      <c r="P437" s="52"/>
      <c r="Q437" s="52"/>
      <c r="U437" s="52"/>
    </row>
    <row r="438">
      <c r="M438" s="52"/>
      <c r="N438" s="52"/>
      <c r="O438" s="52"/>
      <c r="P438" s="52"/>
      <c r="Q438" s="52"/>
      <c r="U438" s="52"/>
    </row>
    <row r="439">
      <c r="M439" s="52"/>
      <c r="N439" s="52"/>
      <c r="O439" s="52"/>
      <c r="P439" s="52"/>
      <c r="Q439" s="52"/>
      <c r="U439" s="52"/>
    </row>
    <row r="440">
      <c r="M440" s="52"/>
      <c r="N440" s="52"/>
      <c r="O440" s="52"/>
      <c r="P440" s="52"/>
      <c r="Q440" s="52"/>
      <c r="U440" s="52"/>
    </row>
    <row r="441">
      <c r="M441" s="52"/>
      <c r="N441" s="52"/>
      <c r="O441" s="52"/>
      <c r="P441" s="52"/>
      <c r="Q441" s="52"/>
      <c r="U441" s="52"/>
    </row>
    <row r="442">
      <c r="M442" s="52"/>
      <c r="N442" s="52"/>
      <c r="O442" s="52"/>
      <c r="P442" s="52"/>
      <c r="Q442" s="52"/>
      <c r="U442" s="52"/>
    </row>
    <row r="443">
      <c r="M443" s="52"/>
      <c r="N443" s="52"/>
      <c r="O443" s="52"/>
      <c r="P443" s="52"/>
      <c r="Q443" s="52"/>
      <c r="U443" s="52"/>
    </row>
    <row r="444">
      <c r="M444" s="52"/>
      <c r="N444" s="52"/>
      <c r="O444" s="52"/>
      <c r="P444" s="52"/>
      <c r="Q444" s="52"/>
      <c r="U444" s="52"/>
    </row>
    <row r="445">
      <c r="M445" s="52"/>
      <c r="N445" s="52"/>
      <c r="O445" s="52"/>
      <c r="P445" s="52"/>
      <c r="Q445" s="52"/>
      <c r="U445" s="52"/>
    </row>
    <row r="446">
      <c r="M446" s="52"/>
      <c r="N446" s="52"/>
      <c r="O446" s="52"/>
      <c r="P446" s="52"/>
      <c r="Q446" s="52"/>
      <c r="U446" s="52"/>
    </row>
    <row r="447">
      <c r="M447" s="52"/>
      <c r="N447" s="52"/>
      <c r="O447" s="52"/>
      <c r="P447" s="52"/>
      <c r="Q447" s="52"/>
      <c r="U447" s="52"/>
    </row>
    <row r="448">
      <c r="M448" s="52"/>
      <c r="N448" s="52"/>
      <c r="O448" s="52"/>
      <c r="P448" s="52"/>
      <c r="Q448" s="52"/>
      <c r="U448" s="52"/>
    </row>
    <row r="449">
      <c r="M449" s="52"/>
      <c r="N449" s="52"/>
      <c r="O449" s="52"/>
      <c r="P449" s="52"/>
      <c r="Q449" s="52"/>
      <c r="U449" s="52"/>
    </row>
    <row r="450">
      <c r="M450" s="52"/>
      <c r="N450" s="52"/>
      <c r="O450" s="52"/>
      <c r="P450" s="52"/>
      <c r="Q450" s="52"/>
      <c r="U450" s="52"/>
    </row>
    <row r="451">
      <c r="M451" s="52"/>
      <c r="N451" s="52"/>
      <c r="O451" s="52"/>
      <c r="P451" s="52"/>
      <c r="Q451" s="52"/>
      <c r="U451" s="52"/>
    </row>
    <row r="452">
      <c r="M452" s="52"/>
      <c r="N452" s="52"/>
      <c r="O452" s="52"/>
      <c r="P452" s="52"/>
      <c r="Q452" s="52"/>
      <c r="U452" s="52"/>
    </row>
    <row r="453">
      <c r="M453" s="52"/>
      <c r="N453" s="52"/>
      <c r="O453" s="52"/>
      <c r="P453" s="52"/>
      <c r="Q453" s="52"/>
      <c r="U453" s="52"/>
    </row>
    <row r="454">
      <c r="M454" s="52"/>
      <c r="N454" s="52"/>
      <c r="O454" s="52"/>
      <c r="P454" s="52"/>
      <c r="Q454" s="52"/>
      <c r="U454" s="52"/>
    </row>
    <row r="455">
      <c r="M455" s="52"/>
      <c r="N455" s="52"/>
      <c r="O455" s="52"/>
      <c r="P455" s="52"/>
      <c r="Q455" s="52"/>
      <c r="U455" s="52"/>
    </row>
    <row r="456">
      <c r="M456" s="52"/>
      <c r="N456" s="52"/>
      <c r="O456" s="52"/>
      <c r="P456" s="52"/>
      <c r="Q456" s="52"/>
      <c r="U456" s="52"/>
    </row>
    <row r="457">
      <c r="M457" s="52"/>
      <c r="N457" s="52"/>
      <c r="O457" s="52"/>
      <c r="P457" s="52"/>
      <c r="Q457" s="52"/>
      <c r="U457" s="52"/>
    </row>
    <row r="458">
      <c r="M458" s="52"/>
      <c r="N458" s="52"/>
      <c r="O458" s="52"/>
      <c r="P458" s="52"/>
      <c r="Q458" s="52"/>
      <c r="U458" s="52"/>
    </row>
    <row r="459">
      <c r="M459" s="52"/>
      <c r="N459" s="52"/>
      <c r="O459" s="52"/>
      <c r="P459" s="52"/>
      <c r="Q459" s="52"/>
      <c r="U459" s="52"/>
    </row>
    <row r="460">
      <c r="M460" s="52"/>
      <c r="N460" s="52"/>
      <c r="O460" s="52"/>
      <c r="P460" s="52"/>
      <c r="Q460" s="52"/>
      <c r="U460" s="52"/>
    </row>
    <row r="461">
      <c r="M461" s="52"/>
      <c r="N461" s="52"/>
      <c r="O461" s="52"/>
      <c r="P461" s="52"/>
      <c r="Q461" s="52"/>
      <c r="U461" s="52"/>
    </row>
    <row r="462">
      <c r="M462" s="52"/>
      <c r="N462" s="52"/>
      <c r="O462" s="52"/>
      <c r="P462" s="52"/>
      <c r="Q462" s="52"/>
      <c r="U462" s="52"/>
    </row>
    <row r="463">
      <c r="M463" s="52"/>
      <c r="N463" s="52"/>
      <c r="O463" s="52"/>
      <c r="P463" s="52"/>
      <c r="Q463" s="52"/>
      <c r="U463" s="52"/>
    </row>
    <row r="464">
      <c r="M464" s="52"/>
      <c r="N464" s="52"/>
      <c r="O464" s="52"/>
      <c r="P464" s="52"/>
      <c r="Q464" s="52"/>
      <c r="U464" s="52"/>
    </row>
    <row r="465">
      <c r="M465" s="52"/>
      <c r="N465" s="52"/>
      <c r="O465" s="52"/>
      <c r="P465" s="52"/>
      <c r="Q465" s="52"/>
      <c r="U465" s="52"/>
    </row>
    <row r="466">
      <c r="M466" s="52"/>
      <c r="N466" s="52"/>
      <c r="O466" s="52"/>
      <c r="P466" s="52"/>
      <c r="Q466" s="52"/>
      <c r="U466" s="52"/>
    </row>
    <row r="467">
      <c r="M467" s="52"/>
      <c r="N467" s="52"/>
      <c r="O467" s="52"/>
      <c r="P467" s="52"/>
      <c r="Q467" s="52"/>
      <c r="U467" s="52"/>
    </row>
    <row r="468">
      <c r="M468" s="52"/>
      <c r="N468" s="52"/>
      <c r="O468" s="52"/>
      <c r="P468" s="52"/>
      <c r="Q468" s="52"/>
      <c r="U468" s="52"/>
    </row>
    <row r="469">
      <c r="M469" s="52"/>
      <c r="N469" s="52"/>
      <c r="O469" s="52"/>
      <c r="P469" s="52"/>
      <c r="Q469" s="52"/>
      <c r="U469" s="52"/>
    </row>
    <row r="470">
      <c r="M470" s="52"/>
      <c r="N470" s="52"/>
      <c r="O470" s="52"/>
      <c r="P470" s="52"/>
      <c r="Q470" s="52"/>
      <c r="U470" s="52"/>
    </row>
    <row r="471">
      <c r="M471" s="52"/>
      <c r="N471" s="52"/>
      <c r="O471" s="52"/>
      <c r="P471" s="52"/>
      <c r="Q471" s="52"/>
      <c r="U471" s="52"/>
    </row>
    <row r="472">
      <c r="M472" s="52"/>
      <c r="N472" s="52"/>
      <c r="O472" s="52"/>
      <c r="P472" s="52"/>
      <c r="Q472" s="52"/>
      <c r="U472" s="52"/>
    </row>
    <row r="473">
      <c r="M473" s="52"/>
      <c r="N473" s="52"/>
      <c r="O473" s="52"/>
      <c r="P473" s="52"/>
      <c r="Q473" s="52"/>
      <c r="U473" s="52"/>
    </row>
    <row r="474">
      <c r="M474" s="52"/>
      <c r="N474" s="52"/>
      <c r="O474" s="52"/>
      <c r="P474" s="52"/>
      <c r="Q474" s="52"/>
      <c r="U474" s="52"/>
    </row>
    <row r="475">
      <c r="M475" s="52"/>
      <c r="N475" s="52"/>
      <c r="O475" s="52"/>
      <c r="P475" s="52"/>
      <c r="Q475" s="52"/>
      <c r="U475" s="52"/>
    </row>
    <row r="476">
      <c r="M476" s="52"/>
      <c r="N476" s="52"/>
      <c r="O476" s="52"/>
      <c r="P476" s="52"/>
      <c r="Q476" s="52"/>
      <c r="U476" s="52"/>
    </row>
    <row r="477">
      <c r="M477" s="52"/>
      <c r="N477" s="52"/>
      <c r="O477" s="52"/>
      <c r="P477" s="52"/>
      <c r="Q477" s="52"/>
      <c r="U477" s="52"/>
    </row>
    <row r="478">
      <c r="M478" s="52"/>
      <c r="N478" s="52"/>
      <c r="O478" s="52"/>
      <c r="P478" s="52"/>
      <c r="Q478" s="52"/>
      <c r="U478" s="52"/>
    </row>
    <row r="479">
      <c r="M479" s="52"/>
      <c r="N479" s="52"/>
      <c r="O479" s="52"/>
      <c r="P479" s="52"/>
      <c r="Q479" s="52"/>
      <c r="U479" s="52"/>
    </row>
    <row r="480">
      <c r="M480" s="52"/>
      <c r="N480" s="52"/>
      <c r="O480" s="52"/>
      <c r="P480" s="52"/>
      <c r="Q480" s="52"/>
      <c r="U480" s="52"/>
    </row>
    <row r="481">
      <c r="M481" s="52"/>
      <c r="N481" s="52"/>
      <c r="O481" s="52"/>
      <c r="P481" s="52"/>
      <c r="Q481" s="52"/>
      <c r="U481" s="52"/>
    </row>
    <row r="482">
      <c r="M482" s="52"/>
      <c r="N482" s="52"/>
      <c r="O482" s="52"/>
      <c r="P482" s="52"/>
      <c r="Q482" s="52"/>
      <c r="U482" s="52"/>
    </row>
    <row r="483">
      <c r="M483" s="52"/>
      <c r="N483" s="52"/>
      <c r="O483" s="52"/>
      <c r="P483" s="52"/>
      <c r="Q483" s="52"/>
      <c r="U483" s="52"/>
    </row>
    <row r="484">
      <c r="M484" s="52"/>
      <c r="N484" s="52"/>
      <c r="O484" s="52"/>
      <c r="P484" s="52"/>
      <c r="Q484" s="52"/>
      <c r="U484" s="52"/>
    </row>
    <row r="485">
      <c r="M485" s="52"/>
      <c r="N485" s="52"/>
      <c r="O485" s="52"/>
      <c r="P485" s="52"/>
      <c r="Q485" s="52"/>
      <c r="U485" s="52"/>
    </row>
    <row r="486">
      <c r="M486" s="52"/>
      <c r="N486" s="52"/>
      <c r="O486" s="52"/>
      <c r="P486" s="52"/>
      <c r="Q486" s="52"/>
      <c r="U486" s="52"/>
    </row>
    <row r="487">
      <c r="M487" s="52"/>
      <c r="N487" s="52"/>
      <c r="O487" s="52"/>
      <c r="P487" s="52"/>
      <c r="Q487" s="52"/>
      <c r="U487" s="52"/>
    </row>
    <row r="488">
      <c r="M488" s="52"/>
      <c r="N488" s="52"/>
      <c r="O488" s="52"/>
      <c r="P488" s="52"/>
      <c r="Q488" s="52"/>
      <c r="U488" s="52"/>
    </row>
    <row r="489">
      <c r="M489" s="52"/>
      <c r="N489" s="52"/>
      <c r="O489" s="52"/>
      <c r="P489" s="52"/>
      <c r="Q489" s="52"/>
      <c r="U489" s="52"/>
    </row>
    <row r="490">
      <c r="M490" s="52"/>
      <c r="N490" s="52"/>
      <c r="O490" s="52"/>
      <c r="P490" s="52"/>
      <c r="Q490" s="52"/>
      <c r="U490" s="52"/>
    </row>
    <row r="491">
      <c r="M491" s="52"/>
      <c r="N491" s="52"/>
      <c r="O491" s="52"/>
      <c r="P491" s="52"/>
      <c r="Q491" s="52"/>
      <c r="U491" s="52"/>
    </row>
    <row r="492">
      <c r="M492" s="52"/>
      <c r="N492" s="52"/>
      <c r="O492" s="52"/>
      <c r="P492" s="52"/>
      <c r="Q492" s="52"/>
      <c r="U492" s="52"/>
    </row>
    <row r="493">
      <c r="M493" s="52"/>
      <c r="N493" s="52"/>
      <c r="O493" s="52"/>
      <c r="P493" s="52"/>
      <c r="Q493" s="52"/>
      <c r="U493" s="52"/>
    </row>
    <row r="494">
      <c r="M494" s="52"/>
      <c r="N494" s="52"/>
      <c r="O494" s="52"/>
      <c r="P494" s="52"/>
      <c r="Q494" s="52"/>
      <c r="U494" s="52"/>
    </row>
    <row r="495">
      <c r="M495" s="52"/>
      <c r="N495" s="52"/>
      <c r="O495" s="52"/>
      <c r="P495" s="52"/>
      <c r="Q495" s="52"/>
      <c r="U495" s="52"/>
    </row>
    <row r="496">
      <c r="M496" s="52"/>
      <c r="N496" s="52"/>
      <c r="O496" s="52"/>
      <c r="P496" s="52"/>
      <c r="Q496" s="52"/>
      <c r="U496" s="52"/>
    </row>
    <row r="497">
      <c r="M497" s="52"/>
      <c r="N497" s="52"/>
      <c r="O497" s="52"/>
      <c r="P497" s="52"/>
      <c r="Q497" s="52"/>
      <c r="U497" s="52"/>
    </row>
    <row r="498">
      <c r="M498" s="52"/>
      <c r="N498" s="52"/>
      <c r="O498" s="52"/>
      <c r="P498" s="52"/>
      <c r="Q498" s="52"/>
      <c r="U498" s="52"/>
    </row>
    <row r="499">
      <c r="M499" s="52"/>
      <c r="N499" s="52"/>
      <c r="O499" s="52"/>
      <c r="P499" s="52"/>
      <c r="Q499" s="52"/>
      <c r="U499" s="52"/>
    </row>
    <row r="500">
      <c r="M500" s="52"/>
      <c r="N500" s="52"/>
      <c r="O500" s="52"/>
      <c r="P500" s="52"/>
      <c r="Q500" s="52"/>
      <c r="U500" s="52"/>
    </row>
    <row r="501">
      <c r="M501" s="52"/>
      <c r="N501" s="52"/>
      <c r="O501" s="52"/>
      <c r="P501" s="52"/>
      <c r="Q501" s="52"/>
      <c r="U501" s="52"/>
    </row>
    <row r="502">
      <c r="M502" s="52"/>
      <c r="N502" s="52"/>
      <c r="O502" s="52"/>
      <c r="P502" s="52"/>
      <c r="Q502" s="52"/>
      <c r="U502" s="52"/>
    </row>
    <row r="503">
      <c r="M503" s="52"/>
      <c r="N503" s="52"/>
      <c r="O503" s="52"/>
      <c r="P503" s="52"/>
      <c r="Q503" s="52"/>
      <c r="U503" s="52"/>
    </row>
    <row r="504">
      <c r="M504" s="52"/>
      <c r="N504" s="52"/>
      <c r="O504" s="52"/>
      <c r="P504" s="52"/>
      <c r="Q504" s="52"/>
      <c r="U504" s="52"/>
    </row>
    <row r="505">
      <c r="M505" s="52"/>
      <c r="N505" s="52"/>
      <c r="O505" s="52"/>
      <c r="P505" s="52"/>
      <c r="Q505" s="52"/>
      <c r="U505" s="52"/>
    </row>
    <row r="506">
      <c r="M506" s="52"/>
      <c r="N506" s="52"/>
      <c r="O506" s="52"/>
      <c r="P506" s="52"/>
      <c r="Q506" s="52"/>
      <c r="U506" s="52"/>
    </row>
    <row r="507">
      <c r="M507" s="52"/>
      <c r="N507" s="52"/>
      <c r="O507" s="52"/>
      <c r="P507" s="52"/>
      <c r="Q507" s="52"/>
      <c r="U507" s="52"/>
    </row>
    <row r="508">
      <c r="M508" s="52"/>
      <c r="N508" s="52"/>
      <c r="O508" s="52"/>
      <c r="P508" s="52"/>
      <c r="Q508" s="52"/>
      <c r="U508" s="52"/>
    </row>
    <row r="509">
      <c r="M509" s="52"/>
      <c r="N509" s="52"/>
      <c r="O509" s="52"/>
      <c r="P509" s="52"/>
      <c r="Q509" s="52"/>
      <c r="U509" s="52"/>
    </row>
    <row r="510">
      <c r="M510" s="52"/>
      <c r="N510" s="52"/>
      <c r="O510" s="52"/>
      <c r="P510" s="52"/>
      <c r="Q510" s="52"/>
      <c r="U510" s="52"/>
    </row>
    <row r="511">
      <c r="M511" s="52"/>
      <c r="N511" s="52"/>
      <c r="O511" s="52"/>
      <c r="P511" s="52"/>
      <c r="Q511" s="52"/>
      <c r="U511" s="52"/>
    </row>
    <row r="512">
      <c r="M512" s="52"/>
      <c r="N512" s="52"/>
      <c r="O512" s="52"/>
      <c r="P512" s="52"/>
      <c r="Q512" s="52"/>
      <c r="U512" s="52"/>
    </row>
    <row r="513">
      <c r="M513" s="52"/>
      <c r="N513" s="52"/>
      <c r="O513" s="52"/>
      <c r="P513" s="52"/>
      <c r="Q513" s="52"/>
      <c r="U513" s="52"/>
    </row>
    <row r="514">
      <c r="M514" s="52"/>
      <c r="N514" s="52"/>
      <c r="O514" s="52"/>
      <c r="P514" s="52"/>
      <c r="Q514" s="52"/>
      <c r="U514" s="52"/>
    </row>
    <row r="515">
      <c r="M515" s="52"/>
      <c r="N515" s="52"/>
      <c r="O515" s="52"/>
      <c r="P515" s="52"/>
      <c r="Q515" s="52"/>
      <c r="U515" s="52"/>
    </row>
    <row r="516">
      <c r="M516" s="52"/>
      <c r="N516" s="52"/>
      <c r="O516" s="52"/>
      <c r="P516" s="52"/>
      <c r="Q516" s="52"/>
      <c r="U516" s="52"/>
    </row>
    <row r="517">
      <c r="M517" s="52"/>
      <c r="N517" s="52"/>
      <c r="O517" s="52"/>
      <c r="P517" s="52"/>
      <c r="Q517" s="52"/>
      <c r="U517" s="52"/>
    </row>
    <row r="518">
      <c r="M518" s="52"/>
      <c r="N518" s="52"/>
      <c r="O518" s="52"/>
      <c r="P518" s="52"/>
      <c r="Q518" s="52"/>
      <c r="U518" s="52"/>
    </row>
    <row r="519">
      <c r="M519" s="52"/>
      <c r="N519" s="52"/>
      <c r="O519" s="52"/>
      <c r="P519" s="52"/>
      <c r="Q519" s="52"/>
      <c r="U519" s="52"/>
    </row>
    <row r="520">
      <c r="M520" s="52"/>
      <c r="N520" s="52"/>
      <c r="O520" s="52"/>
      <c r="P520" s="52"/>
      <c r="Q520" s="52"/>
      <c r="U520" s="52"/>
    </row>
    <row r="521">
      <c r="M521" s="52"/>
      <c r="N521" s="52"/>
      <c r="O521" s="52"/>
      <c r="P521" s="52"/>
      <c r="Q521" s="52"/>
      <c r="U521" s="52"/>
    </row>
    <row r="522">
      <c r="M522" s="52"/>
      <c r="N522" s="52"/>
      <c r="O522" s="52"/>
      <c r="P522" s="52"/>
      <c r="Q522" s="52"/>
      <c r="U522" s="52"/>
    </row>
    <row r="523">
      <c r="M523" s="52"/>
      <c r="N523" s="52"/>
      <c r="O523" s="52"/>
      <c r="P523" s="52"/>
      <c r="Q523" s="52"/>
      <c r="U523" s="52"/>
    </row>
    <row r="524">
      <c r="M524" s="52"/>
      <c r="N524" s="52"/>
      <c r="O524" s="52"/>
      <c r="P524" s="52"/>
      <c r="Q524" s="52"/>
      <c r="U524" s="52"/>
    </row>
    <row r="525">
      <c r="M525" s="52"/>
      <c r="N525" s="52"/>
      <c r="O525" s="52"/>
      <c r="P525" s="52"/>
      <c r="Q525" s="52"/>
      <c r="U525" s="52"/>
    </row>
    <row r="526">
      <c r="M526" s="52"/>
      <c r="N526" s="52"/>
      <c r="O526" s="52"/>
      <c r="P526" s="52"/>
      <c r="Q526" s="52"/>
      <c r="U526" s="52"/>
    </row>
    <row r="527">
      <c r="M527" s="52"/>
      <c r="N527" s="52"/>
      <c r="O527" s="52"/>
      <c r="P527" s="52"/>
      <c r="Q527" s="52"/>
      <c r="U527" s="52"/>
    </row>
    <row r="528">
      <c r="M528" s="52"/>
      <c r="N528" s="52"/>
      <c r="O528" s="52"/>
      <c r="P528" s="52"/>
      <c r="Q528" s="52"/>
      <c r="U528" s="52"/>
    </row>
    <row r="529">
      <c r="M529" s="52"/>
      <c r="N529" s="52"/>
      <c r="O529" s="52"/>
      <c r="P529" s="52"/>
      <c r="Q529" s="52"/>
      <c r="U529" s="52"/>
    </row>
    <row r="530">
      <c r="M530" s="52"/>
      <c r="N530" s="52"/>
      <c r="O530" s="52"/>
      <c r="P530" s="52"/>
      <c r="Q530" s="52"/>
      <c r="U530" s="52"/>
    </row>
    <row r="531">
      <c r="M531" s="52"/>
      <c r="N531" s="52"/>
      <c r="O531" s="52"/>
      <c r="P531" s="52"/>
      <c r="Q531" s="52"/>
      <c r="U531" s="52"/>
    </row>
    <row r="532">
      <c r="M532" s="52"/>
      <c r="N532" s="52"/>
      <c r="O532" s="52"/>
      <c r="P532" s="52"/>
      <c r="Q532" s="52"/>
      <c r="U532" s="52"/>
    </row>
    <row r="533">
      <c r="M533" s="52"/>
      <c r="N533" s="52"/>
      <c r="O533" s="52"/>
      <c r="P533" s="52"/>
      <c r="Q533" s="52"/>
      <c r="U533" s="52"/>
    </row>
    <row r="534">
      <c r="M534" s="52"/>
      <c r="N534" s="52"/>
      <c r="O534" s="52"/>
      <c r="P534" s="52"/>
      <c r="Q534" s="52"/>
      <c r="U534" s="52"/>
    </row>
    <row r="535">
      <c r="M535" s="52"/>
      <c r="N535" s="52"/>
      <c r="O535" s="52"/>
      <c r="P535" s="52"/>
      <c r="Q535" s="52"/>
      <c r="U535" s="52"/>
    </row>
    <row r="536">
      <c r="M536" s="52"/>
      <c r="N536" s="52"/>
      <c r="O536" s="52"/>
      <c r="P536" s="52"/>
      <c r="Q536" s="52"/>
      <c r="U536" s="52"/>
    </row>
    <row r="537">
      <c r="M537" s="52"/>
      <c r="N537" s="52"/>
      <c r="O537" s="52"/>
      <c r="P537" s="52"/>
      <c r="Q537" s="52"/>
      <c r="U537" s="52"/>
    </row>
    <row r="538">
      <c r="M538" s="52"/>
      <c r="N538" s="52"/>
      <c r="O538" s="52"/>
      <c r="P538" s="52"/>
      <c r="Q538" s="52"/>
      <c r="U538" s="52"/>
    </row>
    <row r="539">
      <c r="M539" s="52"/>
      <c r="N539" s="52"/>
      <c r="O539" s="52"/>
      <c r="P539" s="52"/>
      <c r="Q539" s="52"/>
      <c r="U539" s="52"/>
    </row>
    <row r="540">
      <c r="M540" s="52"/>
      <c r="N540" s="52"/>
      <c r="O540" s="52"/>
      <c r="P540" s="52"/>
      <c r="Q540" s="52"/>
      <c r="U540" s="52"/>
    </row>
    <row r="541">
      <c r="M541" s="52"/>
      <c r="N541" s="52"/>
      <c r="O541" s="52"/>
      <c r="P541" s="52"/>
      <c r="Q541" s="52"/>
      <c r="U541" s="52"/>
    </row>
    <row r="542">
      <c r="M542" s="52"/>
      <c r="N542" s="52"/>
      <c r="O542" s="52"/>
      <c r="P542" s="52"/>
      <c r="Q542" s="52"/>
      <c r="U542" s="52"/>
    </row>
    <row r="543">
      <c r="M543" s="52"/>
      <c r="N543" s="52"/>
      <c r="O543" s="52"/>
      <c r="P543" s="52"/>
      <c r="Q543" s="52"/>
      <c r="U543" s="52"/>
    </row>
    <row r="544">
      <c r="M544" s="52"/>
      <c r="N544" s="52"/>
      <c r="O544" s="52"/>
      <c r="P544" s="52"/>
      <c r="Q544" s="52"/>
      <c r="U544" s="52"/>
    </row>
    <row r="545">
      <c r="M545" s="52"/>
      <c r="N545" s="52"/>
      <c r="O545" s="52"/>
      <c r="P545" s="52"/>
      <c r="Q545" s="52"/>
      <c r="U545" s="52"/>
    </row>
    <row r="546">
      <c r="M546" s="52"/>
      <c r="N546" s="52"/>
      <c r="O546" s="52"/>
      <c r="P546" s="52"/>
      <c r="Q546" s="52"/>
      <c r="U546" s="52"/>
    </row>
    <row r="547">
      <c r="M547" s="52"/>
      <c r="N547" s="52"/>
      <c r="O547" s="52"/>
      <c r="P547" s="52"/>
      <c r="Q547" s="52"/>
      <c r="U547" s="52"/>
    </row>
    <row r="548">
      <c r="M548" s="52"/>
      <c r="N548" s="52"/>
      <c r="O548" s="52"/>
      <c r="P548" s="52"/>
      <c r="Q548" s="52"/>
      <c r="U548" s="52"/>
    </row>
    <row r="549">
      <c r="M549" s="52"/>
      <c r="N549" s="52"/>
      <c r="O549" s="52"/>
      <c r="P549" s="52"/>
      <c r="Q549" s="52"/>
      <c r="U549" s="52"/>
    </row>
    <row r="550">
      <c r="M550" s="52"/>
      <c r="N550" s="52"/>
      <c r="O550" s="52"/>
      <c r="P550" s="52"/>
      <c r="Q550" s="52"/>
      <c r="U550" s="52"/>
    </row>
    <row r="551">
      <c r="M551" s="52"/>
      <c r="N551" s="52"/>
      <c r="O551" s="52"/>
      <c r="P551" s="52"/>
      <c r="Q551" s="52"/>
      <c r="U551" s="52"/>
    </row>
    <row r="552">
      <c r="M552" s="52"/>
      <c r="N552" s="52"/>
      <c r="O552" s="52"/>
      <c r="P552" s="52"/>
      <c r="Q552" s="52"/>
      <c r="U552" s="52"/>
    </row>
    <row r="553">
      <c r="M553" s="52"/>
      <c r="N553" s="52"/>
      <c r="O553" s="52"/>
      <c r="P553" s="52"/>
      <c r="Q553" s="52"/>
      <c r="U553" s="52"/>
    </row>
    <row r="554">
      <c r="M554" s="52"/>
      <c r="N554" s="52"/>
      <c r="O554" s="52"/>
      <c r="P554" s="52"/>
      <c r="Q554" s="52"/>
      <c r="U554" s="52"/>
    </row>
    <row r="555">
      <c r="M555" s="52"/>
      <c r="N555" s="52"/>
      <c r="O555" s="52"/>
      <c r="P555" s="52"/>
      <c r="Q555" s="52"/>
      <c r="U555" s="52"/>
    </row>
    <row r="556">
      <c r="M556" s="52"/>
      <c r="N556" s="52"/>
      <c r="O556" s="52"/>
      <c r="P556" s="52"/>
      <c r="Q556" s="52"/>
      <c r="U556" s="52"/>
    </row>
    <row r="557">
      <c r="M557" s="52"/>
      <c r="N557" s="52"/>
      <c r="O557" s="52"/>
      <c r="P557" s="52"/>
      <c r="Q557" s="52"/>
      <c r="U557" s="52"/>
    </row>
    <row r="558">
      <c r="M558" s="52"/>
      <c r="N558" s="52"/>
      <c r="O558" s="52"/>
      <c r="P558" s="52"/>
      <c r="Q558" s="52"/>
      <c r="U558" s="52"/>
    </row>
    <row r="559">
      <c r="M559" s="52"/>
      <c r="N559" s="52"/>
      <c r="O559" s="52"/>
      <c r="P559" s="52"/>
      <c r="Q559" s="52"/>
      <c r="U559" s="52"/>
    </row>
    <row r="560">
      <c r="M560" s="52"/>
      <c r="N560" s="52"/>
      <c r="O560" s="52"/>
      <c r="P560" s="52"/>
      <c r="Q560" s="52"/>
      <c r="U560" s="52"/>
    </row>
    <row r="561">
      <c r="M561" s="52"/>
      <c r="N561" s="52"/>
      <c r="O561" s="52"/>
      <c r="P561" s="52"/>
      <c r="Q561" s="52"/>
      <c r="U561" s="52"/>
    </row>
    <row r="562">
      <c r="M562" s="52"/>
      <c r="N562" s="52"/>
      <c r="O562" s="52"/>
      <c r="P562" s="52"/>
      <c r="Q562" s="52"/>
      <c r="U562" s="52"/>
    </row>
    <row r="563">
      <c r="M563" s="52"/>
      <c r="N563" s="52"/>
      <c r="O563" s="52"/>
      <c r="P563" s="52"/>
      <c r="Q563" s="52"/>
      <c r="U563" s="52"/>
    </row>
    <row r="564">
      <c r="M564" s="52"/>
      <c r="N564" s="52"/>
      <c r="O564" s="52"/>
      <c r="P564" s="52"/>
      <c r="Q564" s="52"/>
      <c r="U564" s="52"/>
    </row>
    <row r="565">
      <c r="M565" s="52"/>
      <c r="N565" s="52"/>
      <c r="O565" s="52"/>
      <c r="P565" s="52"/>
      <c r="Q565" s="52"/>
      <c r="U565" s="52"/>
    </row>
    <row r="566">
      <c r="M566" s="52"/>
      <c r="N566" s="52"/>
      <c r="O566" s="52"/>
      <c r="P566" s="52"/>
      <c r="Q566" s="52"/>
      <c r="U566" s="52"/>
    </row>
    <row r="567">
      <c r="M567" s="52"/>
      <c r="N567" s="52"/>
      <c r="O567" s="52"/>
      <c r="P567" s="52"/>
      <c r="Q567" s="52"/>
      <c r="U567" s="52"/>
    </row>
    <row r="568">
      <c r="M568" s="52"/>
      <c r="N568" s="52"/>
      <c r="O568" s="52"/>
      <c r="P568" s="52"/>
      <c r="Q568" s="52"/>
      <c r="U568" s="52"/>
    </row>
    <row r="569">
      <c r="M569" s="52"/>
      <c r="N569" s="52"/>
      <c r="O569" s="52"/>
      <c r="P569" s="52"/>
      <c r="Q569" s="52"/>
      <c r="U569" s="52"/>
    </row>
    <row r="570">
      <c r="M570" s="52"/>
      <c r="N570" s="52"/>
      <c r="O570" s="52"/>
      <c r="P570" s="52"/>
      <c r="Q570" s="52"/>
      <c r="U570" s="52"/>
    </row>
    <row r="571">
      <c r="M571" s="52"/>
      <c r="N571" s="52"/>
      <c r="O571" s="52"/>
      <c r="P571" s="52"/>
      <c r="Q571" s="52"/>
      <c r="U571" s="52"/>
    </row>
    <row r="572">
      <c r="M572" s="52"/>
      <c r="N572" s="52"/>
      <c r="O572" s="52"/>
      <c r="P572" s="52"/>
      <c r="Q572" s="52"/>
      <c r="U572" s="52"/>
    </row>
    <row r="573">
      <c r="M573" s="52"/>
      <c r="N573" s="52"/>
      <c r="O573" s="52"/>
      <c r="P573" s="52"/>
      <c r="Q573" s="52"/>
      <c r="U573" s="52"/>
    </row>
    <row r="574">
      <c r="M574" s="52"/>
      <c r="N574" s="52"/>
      <c r="O574" s="52"/>
      <c r="P574" s="52"/>
      <c r="Q574" s="52"/>
      <c r="U574" s="52"/>
    </row>
    <row r="575">
      <c r="M575" s="52"/>
      <c r="N575" s="52"/>
      <c r="O575" s="52"/>
      <c r="P575" s="52"/>
      <c r="Q575" s="52"/>
      <c r="U575" s="52"/>
    </row>
    <row r="576">
      <c r="M576" s="52"/>
      <c r="N576" s="52"/>
      <c r="O576" s="52"/>
      <c r="P576" s="52"/>
      <c r="Q576" s="52"/>
      <c r="U576" s="52"/>
    </row>
    <row r="577">
      <c r="M577" s="52"/>
      <c r="N577" s="52"/>
      <c r="O577" s="52"/>
      <c r="P577" s="52"/>
      <c r="Q577" s="52"/>
      <c r="U577" s="52"/>
    </row>
    <row r="578">
      <c r="M578" s="52"/>
      <c r="N578" s="52"/>
      <c r="O578" s="52"/>
      <c r="P578" s="52"/>
      <c r="Q578" s="52"/>
      <c r="U578" s="52"/>
    </row>
    <row r="579">
      <c r="M579" s="52"/>
      <c r="N579" s="52"/>
      <c r="O579" s="52"/>
      <c r="P579" s="52"/>
      <c r="Q579" s="52"/>
      <c r="U579" s="52"/>
    </row>
    <row r="580">
      <c r="M580" s="52"/>
      <c r="N580" s="52"/>
      <c r="O580" s="52"/>
      <c r="P580" s="52"/>
      <c r="Q580" s="52"/>
      <c r="U580" s="52"/>
    </row>
    <row r="581">
      <c r="M581" s="52"/>
      <c r="N581" s="52"/>
      <c r="O581" s="52"/>
      <c r="P581" s="52"/>
      <c r="Q581" s="52"/>
      <c r="U581" s="52"/>
    </row>
    <row r="582">
      <c r="M582" s="52"/>
      <c r="N582" s="52"/>
      <c r="O582" s="52"/>
      <c r="P582" s="52"/>
      <c r="Q582" s="52"/>
      <c r="U582" s="52"/>
    </row>
    <row r="583">
      <c r="M583" s="52"/>
      <c r="N583" s="52"/>
      <c r="O583" s="52"/>
      <c r="P583" s="52"/>
      <c r="Q583" s="52"/>
      <c r="U583" s="52"/>
    </row>
    <row r="584">
      <c r="M584" s="52"/>
      <c r="N584" s="52"/>
      <c r="O584" s="52"/>
      <c r="P584" s="52"/>
      <c r="Q584" s="52"/>
      <c r="U584" s="52"/>
    </row>
    <row r="585">
      <c r="M585" s="52"/>
      <c r="N585" s="52"/>
      <c r="O585" s="52"/>
      <c r="P585" s="52"/>
      <c r="Q585" s="52"/>
      <c r="U585" s="52"/>
    </row>
    <row r="586">
      <c r="M586" s="52"/>
      <c r="N586" s="52"/>
      <c r="O586" s="52"/>
      <c r="P586" s="52"/>
      <c r="Q586" s="52"/>
      <c r="U586" s="52"/>
    </row>
    <row r="587">
      <c r="M587" s="52"/>
      <c r="N587" s="52"/>
      <c r="O587" s="52"/>
      <c r="P587" s="52"/>
      <c r="Q587" s="52"/>
      <c r="U587" s="52"/>
    </row>
    <row r="588">
      <c r="M588" s="52"/>
      <c r="N588" s="52"/>
      <c r="O588" s="52"/>
      <c r="P588" s="52"/>
      <c r="Q588" s="52"/>
      <c r="U588" s="52"/>
    </row>
    <row r="589">
      <c r="M589" s="52"/>
      <c r="N589" s="52"/>
      <c r="O589" s="52"/>
      <c r="P589" s="52"/>
      <c r="Q589" s="52"/>
      <c r="U589" s="52"/>
    </row>
    <row r="590">
      <c r="M590" s="52"/>
      <c r="N590" s="52"/>
      <c r="O590" s="52"/>
      <c r="P590" s="52"/>
      <c r="Q590" s="52"/>
      <c r="U590" s="52"/>
    </row>
    <row r="591">
      <c r="M591" s="52"/>
      <c r="N591" s="52"/>
      <c r="O591" s="52"/>
      <c r="P591" s="52"/>
      <c r="Q591" s="52"/>
      <c r="U591" s="52"/>
    </row>
    <row r="592">
      <c r="M592" s="52"/>
      <c r="N592" s="52"/>
      <c r="O592" s="52"/>
      <c r="P592" s="52"/>
      <c r="Q592" s="52"/>
      <c r="U592" s="52"/>
    </row>
    <row r="593">
      <c r="M593" s="52"/>
      <c r="N593" s="52"/>
      <c r="O593" s="52"/>
      <c r="P593" s="52"/>
      <c r="Q593" s="52"/>
      <c r="U593" s="52"/>
    </row>
    <row r="594">
      <c r="M594" s="52"/>
      <c r="N594" s="52"/>
      <c r="O594" s="52"/>
      <c r="P594" s="52"/>
      <c r="Q594" s="52"/>
      <c r="U594" s="52"/>
    </row>
    <row r="595">
      <c r="M595" s="52"/>
      <c r="N595" s="52"/>
      <c r="O595" s="52"/>
      <c r="P595" s="52"/>
      <c r="Q595" s="52"/>
      <c r="U595" s="52"/>
    </row>
    <row r="596">
      <c r="M596" s="52"/>
      <c r="N596" s="52"/>
      <c r="O596" s="52"/>
      <c r="P596" s="52"/>
      <c r="Q596" s="52"/>
      <c r="U596" s="52"/>
    </row>
    <row r="597">
      <c r="M597" s="52"/>
      <c r="N597" s="52"/>
      <c r="O597" s="52"/>
      <c r="P597" s="52"/>
      <c r="Q597" s="52"/>
      <c r="U597" s="52"/>
    </row>
    <row r="598">
      <c r="M598" s="52"/>
      <c r="N598" s="52"/>
      <c r="O598" s="52"/>
      <c r="P598" s="52"/>
      <c r="Q598" s="52"/>
      <c r="U598" s="52"/>
    </row>
    <row r="599">
      <c r="M599" s="52"/>
      <c r="N599" s="52"/>
      <c r="O599" s="52"/>
      <c r="P599" s="52"/>
      <c r="Q599" s="52"/>
      <c r="U599" s="52"/>
    </row>
    <row r="600">
      <c r="M600" s="52"/>
      <c r="N600" s="52"/>
      <c r="O600" s="52"/>
      <c r="P600" s="52"/>
      <c r="Q600" s="52"/>
      <c r="U600" s="52"/>
    </row>
    <row r="601">
      <c r="M601" s="52"/>
      <c r="N601" s="52"/>
      <c r="O601" s="52"/>
      <c r="P601" s="52"/>
      <c r="Q601" s="52"/>
      <c r="U601" s="52"/>
    </row>
    <row r="602">
      <c r="M602" s="52"/>
      <c r="N602" s="52"/>
      <c r="O602" s="52"/>
      <c r="P602" s="52"/>
      <c r="Q602" s="52"/>
      <c r="U602" s="52"/>
    </row>
    <row r="603">
      <c r="M603" s="52"/>
      <c r="N603" s="52"/>
      <c r="O603" s="52"/>
      <c r="P603" s="52"/>
      <c r="Q603" s="52"/>
      <c r="U603" s="52"/>
    </row>
    <row r="604">
      <c r="M604" s="52"/>
      <c r="N604" s="52"/>
      <c r="O604" s="52"/>
      <c r="P604" s="52"/>
      <c r="Q604" s="52"/>
      <c r="U604" s="52"/>
    </row>
    <row r="605">
      <c r="M605" s="52"/>
      <c r="N605" s="52"/>
      <c r="O605" s="52"/>
      <c r="P605" s="52"/>
      <c r="Q605" s="52"/>
      <c r="U605" s="52"/>
    </row>
    <row r="606">
      <c r="M606" s="52"/>
      <c r="N606" s="52"/>
      <c r="O606" s="52"/>
      <c r="P606" s="52"/>
      <c r="Q606" s="52"/>
      <c r="U606" s="52"/>
    </row>
    <row r="607">
      <c r="M607" s="52"/>
      <c r="N607" s="52"/>
      <c r="O607" s="52"/>
      <c r="P607" s="52"/>
      <c r="Q607" s="52"/>
      <c r="U607" s="52"/>
    </row>
    <row r="608">
      <c r="M608" s="52"/>
      <c r="N608" s="52"/>
      <c r="O608" s="52"/>
      <c r="P608" s="52"/>
      <c r="Q608" s="52"/>
      <c r="U608" s="52"/>
    </row>
    <row r="609">
      <c r="M609" s="52"/>
      <c r="N609" s="52"/>
      <c r="O609" s="52"/>
      <c r="P609" s="52"/>
      <c r="Q609" s="52"/>
      <c r="U609" s="52"/>
    </row>
    <row r="610">
      <c r="M610" s="52"/>
      <c r="N610" s="52"/>
      <c r="O610" s="52"/>
      <c r="P610" s="52"/>
      <c r="Q610" s="52"/>
      <c r="U610" s="52"/>
    </row>
    <row r="611">
      <c r="M611" s="52"/>
      <c r="N611" s="52"/>
      <c r="O611" s="52"/>
      <c r="P611" s="52"/>
      <c r="Q611" s="52"/>
      <c r="U611" s="52"/>
    </row>
    <row r="612">
      <c r="M612" s="52"/>
      <c r="N612" s="52"/>
      <c r="O612" s="52"/>
      <c r="P612" s="52"/>
      <c r="Q612" s="52"/>
      <c r="U612" s="52"/>
    </row>
    <row r="613">
      <c r="M613" s="52"/>
      <c r="N613" s="52"/>
      <c r="O613" s="52"/>
      <c r="P613" s="52"/>
      <c r="Q613" s="52"/>
      <c r="U613" s="52"/>
    </row>
    <row r="614">
      <c r="M614" s="52"/>
      <c r="N614" s="52"/>
      <c r="O614" s="52"/>
      <c r="P614" s="52"/>
      <c r="Q614" s="52"/>
      <c r="U614" s="52"/>
    </row>
    <row r="615">
      <c r="M615" s="52"/>
      <c r="N615" s="52"/>
      <c r="O615" s="52"/>
      <c r="P615" s="52"/>
      <c r="Q615" s="52"/>
      <c r="U615" s="52"/>
    </row>
    <row r="616">
      <c r="M616" s="52"/>
      <c r="N616" s="52"/>
      <c r="O616" s="52"/>
      <c r="P616" s="52"/>
      <c r="Q616" s="52"/>
      <c r="U616" s="52"/>
    </row>
    <row r="617">
      <c r="M617" s="52"/>
      <c r="N617" s="52"/>
      <c r="O617" s="52"/>
      <c r="P617" s="52"/>
      <c r="Q617" s="52"/>
      <c r="U617" s="52"/>
    </row>
    <row r="618">
      <c r="M618" s="52"/>
      <c r="N618" s="52"/>
      <c r="O618" s="52"/>
      <c r="P618" s="52"/>
      <c r="Q618" s="52"/>
      <c r="U618" s="52"/>
    </row>
    <row r="619">
      <c r="M619" s="52"/>
      <c r="N619" s="52"/>
      <c r="O619" s="52"/>
      <c r="P619" s="52"/>
      <c r="Q619" s="52"/>
      <c r="U619" s="52"/>
    </row>
    <row r="620">
      <c r="M620" s="52"/>
      <c r="N620" s="52"/>
      <c r="O620" s="52"/>
      <c r="P620" s="52"/>
      <c r="Q620" s="52"/>
      <c r="U620" s="52"/>
    </row>
    <row r="621">
      <c r="M621" s="52"/>
      <c r="N621" s="52"/>
      <c r="O621" s="52"/>
      <c r="P621" s="52"/>
      <c r="Q621" s="52"/>
      <c r="U621" s="52"/>
    </row>
    <row r="622">
      <c r="M622" s="52"/>
      <c r="N622" s="52"/>
      <c r="O622" s="52"/>
      <c r="P622" s="52"/>
      <c r="Q622" s="52"/>
      <c r="U622" s="52"/>
    </row>
    <row r="623">
      <c r="M623" s="52"/>
      <c r="N623" s="52"/>
      <c r="O623" s="52"/>
      <c r="P623" s="52"/>
      <c r="Q623" s="52"/>
      <c r="U623" s="52"/>
    </row>
    <row r="624">
      <c r="M624" s="52"/>
      <c r="N624" s="52"/>
      <c r="O624" s="52"/>
      <c r="P624" s="52"/>
      <c r="Q624" s="52"/>
      <c r="U624" s="52"/>
    </row>
    <row r="625">
      <c r="M625" s="52"/>
      <c r="N625" s="52"/>
      <c r="O625" s="52"/>
      <c r="P625" s="52"/>
      <c r="Q625" s="52"/>
      <c r="U625" s="52"/>
    </row>
    <row r="626">
      <c r="M626" s="52"/>
      <c r="N626" s="52"/>
      <c r="O626" s="52"/>
      <c r="P626" s="52"/>
      <c r="Q626" s="52"/>
      <c r="U626" s="52"/>
    </row>
    <row r="627">
      <c r="M627" s="52"/>
      <c r="N627" s="52"/>
      <c r="O627" s="52"/>
      <c r="P627" s="52"/>
      <c r="Q627" s="52"/>
      <c r="U627" s="52"/>
    </row>
    <row r="628">
      <c r="M628" s="52"/>
      <c r="N628" s="52"/>
      <c r="O628" s="52"/>
      <c r="P628" s="52"/>
      <c r="Q628" s="52"/>
      <c r="U628" s="52"/>
    </row>
    <row r="629">
      <c r="M629" s="52"/>
      <c r="N629" s="52"/>
      <c r="O629" s="52"/>
      <c r="P629" s="52"/>
      <c r="Q629" s="52"/>
      <c r="U629" s="52"/>
    </row>
    <row r="630">
      <c r="M630" s="52"/>
      <c r="N630" s="52"/>
      <c r="O630" s="52"/>
      <c r="P630" s="52"/>
      <c r="Q630" s="52"/>
      <c r="U630" s="52"/>
    </row>
    <row r="631">
      <c r="M631" s="52"/>
      <c r="N631" s="52"/>
      <c r="O631" s="52"/>
      <c r="P631" s="52"/>
      <c r="Q631" s="52"/>
      <c r="U631" s="52"/>
    </row>
    <row r="632">
      <c r="M632" s="52"/>
      <c r="N632" s="52"/>
      <c r="O632" s="52"/>
      <c r="P632" s="52"/>
      <c r="Q632" s="52"/>
      <c r="U632" s="52"/>
    </row>
    <row r="633">
      <c r="M633" s="52"/>
      <c r="N633" s="52"/>
      <c r="O633" s="52"/>
      <c r="P633" s="52"/>
      <c r="Q633" s="52"/>
      <c r="U633" s="52"/>
    </row>
    <row r="634">
      <c r="M634" s="52"/>
      <c r="N634" s="52"/>
      <c r="O634" s="52"/>
      <c r="P634" s="52"/>
      <c r="Q634" s="52"/>
      <c r="U634" s="52"/>
    </row>
    <row r="635">
      <c r="M635" s="52"/>
      <c r="N635" s="52"/>
      <c r="O635" s="52"/>
      <c r="P635" s="52"/>
      <c r="Q635" s="52"/>
      <c r="U635" s="52"/>
    </row>
    <row r="636">
      <c r="M636" s="52"/>
      <c r="N636" s="52"/>
      <c r="O636" s="52"/>
      <c r="P636" s="52"/>
      <c r="Q636" s="52"/>
      <c r="U636" s="52"/>
    </row>
    <row r="637">
      <c r="M637" s="52"/>
      <c r="N637" s="52"/>
      <c r="O637" s="52"/>
      <c r="P637" s="52"/>
      <c r="Q637" s="52"/>
      <c r="U637" s="52"/>
    </row>
    <row r="638">
      <c r="M638" s="52"/>
      <c r="N638" s="52"/>
      <c r="O638" s="52"/>
      <c r="P638" s="52"/>
      <c r="Q638" s="52"/>
      <c r="U638" s="52"/>
    </row>
    <row r="639">
      <c r="M639" s="52"/>
      <c r="N639" s="52"/>
      <c r="O639" s="52"/>
      <c r="P639" s="52"/>
      <c r="Q639" s="52"/>
      <c r="U639" s="52"/>
    </row>
    <row r="640">
      <c r="M640" s="52"/>
      <c r="N640" s="52"/>
      <c r="O640" s="52"/>
      <c r="P640" s="52"/>
      <c r="Q640" s="52"/>
      <c r="U640" s="52"/>
    </row>
    <row r="641">
      <c r="M641" s="52"/>
      <c r="N641" s="52"/>
      <c r="O641" s="52"/>
      <c r="P641" s="52"/>
      <c r="Q641" s="52"/>
      <c r="U641" s="52"/>
    </row>
    <row r="642">
      <c r="M642" s="52"/>
      <c r="N642" s="52"/>
      <c r="O642" s="52"/>
      <c r="P642" s="52"/>
      <c r="Q642" s="52"/>
      <c r="U642" s="52"/>
    </row>
    <row r="643">
      <c r="M643" s="52"/>
      <c r="N643" s="52"/>
      <c r="O643" s="52"/>
      <c r="P643" s="52"/>
      <c r="Q643" s="52"/>
      <c r="U643" s="52"/>
    </row>
    <row r="644">
      <c r="M644" s="52"/>
      <c r="N644" s="52"/>
      <c r="O644" s="52"/>
      <c r="P644" s="52"/>
      <c r="Q644" s="52"/>
      <c r="U644" s="52"/>
    </row>
    <row r="645">
      <c r="M645" s="52"/>
      <c r="N645" s="52"/>
      <c r="O645" s="52"/>
      <c r="P645" s="52"/>
      <c r="Q645" s="52"/>
      <c r="U645" s="52"/>
    </row>
    <row r="646">
      <c r="M646" s="52"/>
      <c r="N646" s="52"/>
      <c r="O646" s="52"/>
      <c r="P646" s="52"/>
      <c r="Q646" s="52"/>
      <c r="U646" s="52"/>
    </row>
    <row r="647">
      <c r="M647" s="52"/>
      <c r="N647" s="52"/>
      <c r="O647" s="52"/>
      <c r="P647" s="52"/>
      <c r="Q647" s="52"/>
      <c r="U647" s="52"/>
    </row>
    <row r="648">
      <c r="M648" s="52"/>
      <c r="N648" s="52"/>
      <c r="O648" s="52"/>
      <c r="P648" s="52"/>
      <c r="Q648" s="52"/>
      <c r="U648" s="52"/>
    </row>
    <row r="649">
      <c r="M649" s="52"/>
      <c r="N649" s="52"/>
      <c r="O649" s="52"/>
      <c r="P649" s="52"/>
      <c r="Q649" s="52"/>
      <c r="U649" s="52"/>
    </row>
    <row r="650">
      <c r="M650" s="52"/>
      <c r="N650" s="52"/>
      <c r="O650" s="52"/>
      <c r="P650" s="52"/>
      <c r="Q650" s="52"/>
      <c r="U650" s="52"/>
    </row>
    <row r="651">
      <c r="M651" s="52"/>
      <c r="N651" s="52"/>
      <c r="O651" s="52"/>
      <c r="P651" s="52"/>
      <c r="Q651" s="52"/>
      <c r="U651" s="52"/>
    </row>
    <row r="652">
      <c r="M652" s="52"/>
      <c r="N652" s="52"/>
      <c r="O652" s="52"/>
      <c r="P652" s="52"/>
      <c r="Q652" s="52"/>
      <c r="U652" s="52"/>
    </row>
    <row r="653">
      <c r="M653" s="52"/>
      <c r="N653" s="52"/>
      <c r="O653" s="52"/>
      <c r="P653" s="52"/>
      <c r="Q653" s="52"/>
      <c r="U653" s="52"/>
    </row>
    <row r="654">
      <c r="M654" s="52"/>
      <c r="N654" s="52"/>
      <c r="O654" s="52"/>
      <c r="P654" s="52"/>
      <c r="Q654" s="52"/>
      <c r="U654" s="52"/>
    </row>
    <row r="655">
      <c r="M655" s="52"/>
      <c r="N655" s="52"/>
      <c r="O655" s="52"/>
      <c r="P655" s="52"/>
      <c r="Q655" s="52"/>
      <c r="U655" s="52"/>
    </row>
    <row r="656">
      <c r="M656" s="52"/>
      <c r="N656" s="52"/>
      <c r="O656" s="52"/>
      <c r="P656" s="52"/>
      <c r="Q656" s="52"/>
      <c r="U656" s="52"/>
    </row>
    <row r="657">
      <c r="M657" s="52"/>
      <c r="N657" s="52"/>
      <c r="O657" s="52"/>
      <c r="P657" s="52"/>
      <c r="Q657" s="52"/>
      <c r="U657" s="52"/>
    </row>
    <row r="658">
      <c r="M658" s="52"/>
      <c r="N658" s="52"/>
      <c r="O658" s="52"/>
      <c r="P658" s="52"/>
      <c r="Q658" s="52"/>
      <c r="U658" s="52"/>
    </row>
    <row r="659">
      <c r="M659" s="52"/>
      <c r="N659" s="52"/>
      <c r="O659" s="52"/>
      <c r="P659" s="52"/>
      <c r="Q659" s="52"/>
      <c r="U659" s="52"/>
    </row>
    <row r="660">
      <c r="M660" s="52"/>
      <c r="N660" s="52"/>
      <c r="O660" s="52"/>
      <c r="P660" s="52"/>
      <c r="Q660" s="52"/>
      <c r="U660" s="52"/>
    </row>
    <row r="661">
      <c r="M661" s="52"/>
      <c r="N661" s="52"/>
      <c r="O661" s="52"/>
      <c r="P661" s="52"/>
      <c r="Q661" s="52"/>
      <c r="U661" s="52"/>
    </row>
    <row r="662">
      <c r="M662" s="52"/>
      <c r="N662" s="52"/>
      <c r="O662" s="52"/>
      <c r="P662" s="52"/>
      <c r="Q662" s="52"/>
      <c r="U662" s="52"/>
    </row>
    <row r="663">
      <c r="M663" s="52"/>
      <c r="N663" s="52"/>
      <c r="O663" s="52"/>
      <c r="P663" s="52"/>
      <c r="Q663" s="52"/>
      <c r="U663" s="52"/>
    </row>
    <row r="664">
      <c r="M664" s="52"/>
      <c r="N664" s="52"/>
      <c r="O664" s="52"/>
      <c r="P664" s="52"/>
      <c r="Q664" s="52"/>
      <c r="U664" s="52"/>
    </row>
    <row r="665">
      <c r="M665" s="52"/>
      <c r="N665" s="52"/>
      <c r="O665" s="52"/>
      <c r="P665" s="52"/>
      <c r="Q665" s="52"/>
      <c r="U665" s="52"/>
    </row>
    <row r="666">
      <c r="M666" s="52"/>
      <c r="N666" s="52"/>
      <c r="O666" s="52"/>
      <c r="P666" s="52"/>
      <c r="Q666" s="52"/>
      <c r="U666" s="52"/>
    </row>
    <row r="667">
      <c r="M667" s="52"/>
      <c r="N667" s="52"/>
      <c r="O667" s="52"/>
      <c r="P667" s="52"/>
      <c r="Q667" s="52"/>
      <c r="U667" s="52"/>
    </row>
    <row r="668">
      <c r="M668" s="52"/>
      <c r="N668" s="52"/>
      <c r="O668" s="52"/>
      <c r="P668" s="52"/>
      <c r="Q668" s="52"/>
      <c r="U668" s="52"/>
    </row>
    <row r="669">
      <c r="M669" s="52"/>
      <c r="N669" s="52"/>
      <c r="O669" s="52"/>
      <c r="P669" s="52"/>
      <c r="Q669" s="52"/>
      <c r="U669" s="52"/>
    </row>
    <row r="670">
      <c r="M670" s="52"/>
      <c r="N670" s="52"/>
      <c r="O670" s="52"/>
      <c r="P670" s="52"/>
      <c r="Q670" s="52"/>
      <c r="U670" s="52"/>
    </row>
    <row r="671">
      <c r="M671" s="52"/>
      <c r="N671" s="52"/>
      <c r="O671" s="52"/>
      <c r="P671" s="52"/>
      <c r="Q671" s="52"/>
      <c r="U671" s="52"/>
    </row>
    <row r="672">
      <c r="M672" s="52"/>
      <c r="N672" s="52"/>
      <c r="O672" s="52"/>
      <c r="P672" s="52"/>
      <c r="Q672" s="52"/>
      <c r="U672" s="52"/>
    </row>
    <row r="673">
      <c r="M673" s="52"/>
      <c r="N673" s="52"/>
      <c r="O673" s="52"/>
      <c r="P673" s="52"/>
      <c r="Q673" s="52"/>
      <c r="U673" s="52"/>
    </row>
    <row r="674">
      <c r="M674" s="52"/>
      <c r="N674" s="52"/>
      <c r="O674" s="52"/>
      <c r="P674" s="52"/>
      <c r="Q674" s="52"/>
      <c r="U674" s="52"/>
    </row>
    <row r="675">
      <c r="M675" s="52"/>
      <c r="N675" s="52"/>
      <c r="O675" s="52"/>
      <c r="P675" s="52"/>
      <c r="Q675" s="52"/>
      <c r="U675" s="52"/>
    </row>
    <row r="676">
      <c r="M676" s="52"/>
      <c r="N676" s="52"/>
      <c r="O676" s="52"/>
      <c r="P676" s="52"/>
      <c r="Q676" s="52"/>
      <c r="U676" s="52"/>
    </row>
    <row r="677">
      <c r="M677" s="52"/>
      <c r="N677" s="52"/>
      <c r="O677" s="52"/>
      <c r="P677" s="52"/>
      <c r="Q677" s="52"/>
      <c r="U677" s="52"/>
    </row>
    <row r="678">
      <c r="M678" s="52"/>
      <c r="N678" s="52"/>
      <c r="O678" s="52"/>
      <c r="P678" s="52"/>
      <c r="Q678" s="52"/>
      <c r="U678" s="52"/>
    </row>
    <row r="679">
      <c r="M679" s="52"/>
      <c r="N679" s="52"/>
      <c r="O679" s="52"/>
      <c r="P679" s="52"/>
      <c r="Q679" s="52"/>
      <c r="U679" s="52"/>
    </row>
    <row r="680">
      <c r="M680" s="52"/>
      <c r="N680" s="52"/>
      <c r="O680" s="52"/>
      <c r="P680" s="52"/>
      <c r="Q680" s="52"/>
      <c r="U680" s="52"/>
    </row>
    <row r="681">
      <c r="M681" s="52"/>
      <c r="N681" s="52"/>
      <c r="O681" s="52"/>
      <c r="P681" s="52"/>
      <c r="Q681" s="52"/>
      <c r="U681" s="52"/>
    </row>
    <row r="682">
      <c r="M682" s="52"/>
      <c r="N682" s="52"/>
      <c r="O682" s="52"/>
      <c r="P682" s="52"/>
      <c r="Q682" s="52"/>
      <c r="U682" s="52"/>
    </row>
    <row r="683">
      <c r="M683" s="52"/>
      <c r="N683" s="52"/>
      <c r="O683" s="52"/>
      <c r="P683" s="52"/>
      <c r="Q683" s="52"/>
      <c r="U683" s="52"/>
    </row>
    <row r="684">
      <c r="M684" s="52"/>
      <c r="N684" s="52"/>
      <c r="O684" s="52"/>
      <c r="P684" s="52"/>
      <c r="Q684" s="52"/>
      <c r="U684" s="52"/>
    </row>
    <row r="685">
      <c r="M685" s="52"/>
      <c r="N685" s="52"/>
      <c r="O685" s="52"/>
      <c r="P685" s="52"/>
      <c r="Q685" s="52"/>
      <c r="U685" s="52"/>
    </row>
    <row r="686">
      <c r="M686" s="52"/>
      <c r="N686" s="52"/>
      <c r="O686" s="52"/>
      <c r="P686" s="52"/>
      <c r="Q686" s="52"/>
      <c r="U686" s="52"/>
    </row>
    <row r="687">
      <c r="M687" s="52"/>
      <c r="N687" s="52"/>
      <c r="O687" s="52"/>
      <c r="P687" s="52"/>
      <c r="Q687" s="52"/>
      <c r="U687" s="52"/>
    </row>
    <row r="688">
      <c r="M688" s="52"/>
      <c r="N688" s="52"/>
      <c r="O688" s="52"/>
      <c r="P688" s="52"/>
      <c r="Q688" s="52"/>
      <c r="U688" s="52"/>
    </row>
    <row r="689">
      <c r="M689" s="52"/>
      <c r="N689" s="52"/>
      <c r="O689" s="52"/>
      <c r="P689" s="52"/>
      <c r="Q689" s="52"/>
      <c r="U689" s="52"/>
    </row>
    <row r="690">
      <c r="M690" s="52"/>
      <c r="N690" s="52"/>
      <c r="O690" s="52"/>
      <c r="P690" s="52"/>
      <c r="Q690" s="52"/>
      <c r="U690" s="52"/>
    </row>
    <row r="691">
      <c r="M691" s="52"/>
      <c r="N691" s="52"/>
      <c r="O691" s="52"/>
      <c r="P691" s="52"/>
      <c r="Q691" s="52"/>
      <c r="U691" s="52"/>
    </row>
    <row r="692">
      <c r="M692" s="52"/>
      <c r="N692" s="52"/>
      <c r="O692" s="52"/>
      <c r="P692" s="52"/>
      <c r="Q692" s="52"/>
      <c r="U692" s="52"/>
    </row>
    <row r="693">
      <c r="M693" s="52"/>
      <c r="N693" s="52"/>
      <c r="O693" s="52"/>
      <c r="P693" s="52"/>
      <c r="Q693" s="52"/>
      <c r="U693" s="52"/>
    </row>
    <row r="694">
      <c r="M694" s="52"/>
      <c r="N694" s="52"/>
      <c r="O694" s="52"/>
      <c r="P694" s="52"/>
      <c r="Q694" s="52"/>
      <c r="U694" s="52"/>
    </row>
    <row r="695">
      <c r="M695" s="52"/>
      <c r="N695" s="52"/>
      <c r="O695" s="52"/>
      <c r="P695" s="52"/>
      <c r="Q695" s="52"/>
      <c r="U695" s="52"/>
    </row>
    <row r="696">
      <c r="M696" s="52"/>
      <c r="N696" s="52"/>
      <c r="O696" s="52"/>
      <c r="P696" s="52"/>
      <c r="Q696" s="52"/>
      <c r="U696" s="52"/>
    </row>
    <row r="697">
      <c r="M697" s="52"/>
      <c r="N697" s="52"/>
      <c r="O697" s="52"/>
      <c r="P697" s="52"/>
      <c r="Q697" s="52"/>
      <c r="U697" s="52"/>
    </row>
    <row r="698">
      <c r="M698" s="52"/>
      <c r="N698" s="52"/>
      <c r="O698" s="52"/>
      <c r="P698" s="52"/>
      <c r="Q698" s="52"/>
      <c r="U698" s="52"/>
    </row>
    <row r="699">
      <c r="M699" s="52"/>
      <c r="N699" s="52"/>
      <c r="O699" s="52"/>
      <c r="P699" s="52"/>
      <c r="Q699" s="52"/>
      <c r="U699" s="52"/>
    </row>
    <row r="700">
      <c r="M700" s="52"/>
      <c r="N700" s="52"/>
      <c r="O700" s="52"/>
      <c r="P700" s="52"/>
      <c r="Q700" s="52"/>
      <c r="U700" s="52"/>
    </row>
    <row r="701">
      <c r="M701" s="52"/>
      <c r="N701" s="52"/>
      <c r="O701" s="52"/>
      <c r="P701" s="52"/>
      <c r="Q701" s="52"/>
      <c r="U701" s="52"/>
    </row>
    <row r="702">
      <c r="M702" s="52"/>
      <c r="N702" s="52"/>
      <c r="O702" s="52"/>
      <c r="P702" s="52"/>
      <c r="Q702" s="52"/>
      <c r="U702" s="52"/>
    </row>
    <row r="703">
      <c r="M703" s="52"/>
      <c r="N703" s="52"/>
      <c r="O703" s="52"/>
      <c r="P703" s="52"/>
      <c r="Q703" s="52"/>
      <c r="U703" s="52"/>
    </row>
    <row r="704">
      <c r="M704" s="52"/>
      <c r="N704" s="52"/>
      <c r="O704" s="52"/>
      <c r="P704" s="52"/>
      <c r="Q704" s="52"/>
      <c r="U704" s="52"/>
    </row>
    <row r="705">
      <c r="M705" s="52"/>
      <c r="N705" s="52"/>
      <c r="O705" s="52"/>
      <c r="P705" s="52"/>
      <c r="Q705" s="52"/>
      <c r="U705" s="52"/>
    </row>
    <row r="706">
      <c r="M706" s="52"/>
      <c r="N706" s="52"/>
      <c r="O706" s="52"/>
      <c r="P706" s="52"/>
      <c r="Q706" s="52"/>
      <c r="U706" s="52"/>
    </row>
    <row r="707">
      <c r="M707" s="52"/>
      <c r="N707" s="52"/>
      <c r="O707" s="52"/>
      <c r="P707" s="52"/>
      <c r="Q707" s="52"/>
      <c r="U707" s="52"/>
    </row>
    <row r="708">
      <c r="M708" s="52"/>
      <c r="N708" s="52"/>
      <c r="O708" s="52"/>
      <c r="P708" s="52"/>
      <c r="Q708" s="52"/>
      <c r="U708" s="52"/>
    </row>
    <row r="709">
      <c r="M709" s="52"/>
      <c r="N709" s="52"/>
      <c r="O709" s="52"/>
      <c r="P709" s="52"/>
      <c r="Q709" s="52"/>
      <c r="U709" s="52"/>
    </row>
    <row r="710">
      <c r="M710" s="52"/>
      <c r="N710" s="52"/>
      <c r="O710" s="52"/>
      <c r="P710" s="52"/>
      <c r="Q710" s="52"/>
      <c r="U710" s="52"/>
    </row>
    <row r="711">
      <c r="M711" s="52"/>
      <c r="N711" s="52"/>
      <c r="O711" s="52"/>
      <c r="P711" s="52"/>
      <c r="Q711" s="52"/>
      <c r="U711" s="52"/>
    </row>
    <row r="712">
      <c r="M712" s="52"/>
      <c r="N712" s="52"/>
      <c r="O712" s="52"/>
      <c r="P712" s="52"/>
      <c r="Q712" s="52"/>
      <c r="U712" s="52"/>
    </row>
    <row r="713">
      <c r="M713" s="52"/>
      <c r="N713" s="52"/>
      <c r="O713" s="52"/>
      <c r="P713" s="52"/>
      <c r="Q713" s="52"/>
      <c r="U713" s="52"/>
    </row>
    <row r="714">
      <c r="M714" s="52"/>
      <c r="N714" s="52"/>
      <c r="O714" s="52"/>
      <c r="P714" s="52"/>
      <c r="Q714" s="52"/>
      <c r="U714" s="52"/>
    </row>
    <row r="715">
      <c r="M715" s="52"/>
      <c r="N715" s="52"/>
      <c r="O715" s="52"/>
      <c r="P715" s="52"/>
      <c r="Q715" s="52"/>
      <c r="U715" s="52"/>
    </row>
    <row r="716">
      <c r="M716" s="52"/>
      <c r="N716" s="52"/>
      <c r="O716" s="52"/>
      <c r="P716" s="52"/>
      <c r="Q716" s="52"/>
      <c r="U716" s="52"/>
    </row>
    <row r="717">
      <c r="M717" s="52"/>
      <c r="N717" s="52"/>
      <c r="O717" s="52"/>
      <c r="P717" s="52"/>
      <c r="Q717" s="52"/>
      <c r="U717" s="52"/>
    </row>
    <row r="718">
      <c r="M718" s="52"/>
      <c r="N718" s="52"/>
      <c r="O718" s="52"/>
      <c r="P718" s="52"/>
      <c r="Q718" s="52"/>
      <c r="U718" s="52"/>
    </row>
    <row r="719">
      <c r="M719" s="52"/>
      <c r="N719" s="52"/>
      <c r="O719" s="52"/>
      <c r="P719" s="52"/>
      <c r="Q719" s="52"/>
      <c r="U719" s="52"/>
    </row>
    <row r="720">
      <c r="M720" s="52"/>
      <c r="N720" s="52"/>
      <c r="O720" s="52"/>
      <c r="P720" s="52"/>
      <c r="Q720" s="52"/>
      <c r="U720" s="52"/>
    </row>
    <row r="721">
      <c r="M721" s="52"/>
      <c r="N721" s="52"/>
      <c r="O721" s="52"/>
      <c r="P721" s="52"/>
      <c r="Q721" s="52"/>
      <c r="U721" s="52"/>
    </row>
    <row r="722">
      <c r="M722" s="52"/>
      <c r="N722" s="52"/>
      <c r="O722" s="52"/>
      <c r="P722" s="52"/>
      <c r="Q722" s="52"/>
      <c r="U722" s="52"/>
    </row>
    <row r="723">
      <c r="M723" s="52"/>
      <c r="N723" s="52"/>
      <c r="O723" s="52"/>
      <c r="P723" s="52"/>
      <c r="Q723" s="52"/>
      <c r="U723" s="52"/>
    </row>
    <row r="724">
      <c r="M724" s="52"/>
      <c r="N724" s="52"/>
      <c r="O724" s="52"/>
      <c r="P724" s="52"/>
      <c r="Q724" s="52"/>
      <c r="U724" s="52"/>
    </row>
    <row r="725">
      <c r="M725" s="52"/>
      <c r="N725" s="52"/>
      <c r="O725" s="52"/>
      <c r="P725" s="52"/>
      <c r="Q725" s="52"/>
      <c r="U725" s="52"/>
    </row>
    <row r="726">
      <c r="M726" s="52"/>
      <c r="N726" s="52"/>
      <c r="O726" s="52"/>
      <c r="P726" s="52"/>
      <c r="Q726" s="52"/>
      <c r="U726" s="52"/>
    </row>
    <row r="727">
      <c r="M727" s="52"/>
      <c r="N727" s="52"/>
      <c r="O727" s="52"/>
      <c r="P727" s="52"/>
      <c r="Q727" s="52"/>
      <c r="U727" s="52"/>
    </row>
    <row r="728">
      <c r="M728" s="52"/>
      <c r="N728" s="52"/>
      <c r="O728" s="52"/>
      <c r="P728" s="52"/>
      <c r="Q728" s="52"/>
      <c r="U728" s="52"/>
    </row>
    <row r="729">
      <c r="M729" s="52"/>
      <c r="N729" s="52"/>
      <c r="O729" s="52"/>
      <c r="P729" s="52"/>
      <c r="Q729" s="52"/>
      <c r="U729" s="52"/>
    </row>
    <row r="730">
      <c r="M730" s="52"/>
      <c r="N730" s="52"/>
      <c r="O730" s="52"/>
      <c r="P730" s="52"/>
      <c r="Q730" s="52"/>
      <c r="U730" s="52"/>
    </row>
    <row r="731">
      <c r="M731" s="52"/>
      <c r="N731" s="52"/>
      <c r="O731" s="52"/>
      <c r="P731" s="52"/>
      <c r="Q731" s="52"/>
      <c r="U731" s="52"/>
    </row>
    <row r="732">
      <c r="M732" s="52"/>
      <c r="N732" s="52"/>
      <c r="O732" s="52"/>
      <c r="P732" s="52"/>
      <c r="Q732" s="52"/>
      <c r="U732" s="52"/>
    </row>
    <row r="733">
      <c r="M733" s="52"/>
      <c r="N733" s="52"/>
      <c r="O733" s="52"/>
      <c r="P733" s="52"/>
      <c r="Q733" s="52"/>
      <c r="U733" s="52"/>
    </row>
    <row r="734">
      <c r="M734" s="52"/>
      <c r="N734" s="52"/>
      <c r="O734" s="52"/>
      <c r="P734" s="52"/>
      <c r="Q734" s="52"/>
      <c r="U734" s="52"/>
    </row>
    <row r="735">
      <c r="M735" s="52"/>
      <c r="N735" s="52"/>
      <c r="O735" s="52"/>
      <c r="P735" s="52"/>
      <c r="Q735" s="52"/>
      <c r="U735" s="52"/>
    </row>
    <row r="736">
      <c r="M736" s="52"/>
      <c r="N736" s="52"/>
      <c r="O736" s="52"/>
      <c r="P736" s="52"/>
      <c r="Q736" s="52"/>
      <c r="U736" s="52"/>
    </row>
    <row r="737">
      <c r="M737" s="52"/>
      <c r="N737" s="52"/>
      <c r="O737" s="52"/>
      <c r="P737" s="52"/>
      <c r="Q737" s="52"/>
      <c r="U737" s="52"/>
    </row>
    <row r="738">
      <c r="M738" s="52"/>
      <c r="N738" s="52"/>
      <c r="O738" s="52"/>
      <c r="P738" s="52"/>
      <c r="Q738" s="52"/>
      <c r="U738" s="52"/>
    </row>
    <row r="739">
      <c r="M739" s="52"/>
      <c r="N739" s="52"/>
      <c r="O739" s="52"/>
      <c r="P739" s="52"/>
      <c r="Q739" s="52"/>
      <c r="U739" s="52"/>
    </row>
    <row r="740">
      <c r="M740" s="52"/>
      <c r="N740" s="52"/>
      <c r="O740" s="52"/>
      <c r="P740" s="52"/>
      <c r="Q740" s="52"/>
      <c r="U740" s="52"/>
    </row>
    <row r="741">
      <c r="M741" s="52"/>
      <c r="N741" s="52"/>
      <c r="O741" s="52"/>
      <c r="P741" s="52"/>
      <c r="Q741" s="52"/>
      <c r="U741" s="52"/>
    </row>
    <row r="742">
      <c r="M742" s="52"/>
      <c r="N742" s="52"/>
      <c r="O742" s="52"/>
      <c r="P742" s="52"/>
      <c r="Q742" s="52"/>
      <c r="U742" s="52"/>
    </row>
    <row r="743">
      <c r="M743" s="52"/>
      <c r="N743" s="52"/>
      <c r="O743" s="52"/>
      <c r="P743" s="52"/>
      <c r="Q743" s="52"/>
      <c r="U743" s="52"/>
    </row>
    <row r="744">
      <c r="M744" s="52"/>
      <c r="N744" s="52"/>
      <c r="O744" s="52"/>
      <c r="P744" s="52"/>
      <c r="Q744" s="52"/>
      <c r="U744" s="52"/>
    </row>
    <row r="745">
      <c r="M745" s="52"/>
      <c r="N745" s="52"/>
      <c r="O745" s="52"/>
      <c r="P745" s="52"/>
      <c r="Q745" s="52"/>
      <c r="U745" s="52"/>
    </row>
    <row r="746">
      <c r="M746" s="52"/>
      <c r="N746" s="52"/>
      <c r="O746" s="52"/>
      <c r="P746" s="52"/>
      <c r="Q746" s="52"/>
      <c r="U746" s="52"/>
    </row>
    <row r="747">
      <c r="M747" s="52"/>
      <c r="N747" s="52"/>
      <c r="O747" s="52"/>
      <c r="P747" s="52"/>
      <c r="Q747" s="52"/>
      <c r="U747" s="52"/>
    </row>
    <row r="748">
      <c r="M748" s="52"/>
      <c r="N748" s="52"/>
      <c r="O748" s="52"/>
      <c r="P748" s="52"/>
      <c r="Q748" s="52"/>
      <c r="U748" s="52"/>
    </row>
    <row r="749">
      <c r="M749" s="52"/>
      <c r="N749" s="52"/>
      <c r="O749" s="52"/>
      <c r="P749" s="52"/>
      <c r="Q749" s="52"/>
      <c r="U749" s="52"/>
    </row>
    <row r="750">
      <c r="M750" s="52"/>
      <c r="N750" s="52"/>
      <c r="O750" s="52"/>
      <c r="P750" s="52"/>
      <c r="Q750" s="52"/>
      <c r="U750" s="52"/>
    </row>
    <row r="751">
      <c r="M751" s="52"/>
      <c r="N751" s="52"/>
      <c r="O751" s="52"/>
      <c r="P751" s="52"/>
      <c r="Q751" s="52"/>
      <c r="U751" s="52"/>
    </row>
    <row r="752">
      <c r="M752" s="52"/>
      <c r="N752" s="52"/>
      <c r="O752" s="52"/>
      <c r="P752" s="52"/>
      <c r="Q752" s="52"/>
      <c r="U752" s="52"/>
    </row>
    <row r="753">
      <c r="M753" s="52"/>
      <c r="N753" s="52"/>
      <c r="O753" s="52"/>
      <c r="P753" s="52"/>
      <c r="Q753" s="52"/>
      <c r="U753" s="52"/>
    </row>
    <row r="754">
      <c r="M754" s="52"/>
      <c r="N754" s="52"/>
      <c r="O754" s="52"/>
      <c r="P754" s="52"/>
      <c r="Q754" s="52"/>
      <c r="U754" s="52"/>
    </row>
    <row r="755">
      <c r="M755" s="52"/>
      <c r="N755" s="52"/>
      <c r="O755" s="52"/>
      <c r="P755" s="52"/>
      <c r="Q755" s="52"/>
      <c r="U755" s="52"/>
    </row>
    <row r="756">
      <c r="M756" s="52"/>
      <c r="N756" s="52"/>
      <c r="O756" s="52"/>
      <c r="P756" s="52"/>
      <c r="Q756" s="52"/>
      <c r="U756" s="52"/>
    </row>
    <row r="757">
      <c r="M757" s="52"/>
      <c r="N757" s="52"/>
      <c r="O757" s="52"/>
      <c r="P757" s="52"/>
      <c r="Q757" s="52"/>
      <c r="U757" s="52"/>
    </row>
    <row r="758">
      <c r="M758" s="52"/>
      <c r="N758" s="52"/>
      <c r="O758" s="52"/>
      <c r="P758" s="52"/>
      <c r="Q758" s="52"/>
      <c r="U758" s="52"/>
    </row>
    <row r="759">
      <c r="M759" s="52"/>
      <c r="N759" s="52"/>
      <c r="O759" s="52"/>
      <c r="P759" s="52"/>
      <c r="Q759" s="52"/>
      <c r="U759" s="52"/>
    </row>
    <row r="760">
      <c r="M760" s="52"/>
      <c r="N760" s="52"/>
      <c r="O760" s="52"/>
      <c r="P760" s="52"/>
      <c r="Q760" s="52"/>
      <c r="U760" s="52"/>
    </row>
    <row r="761">
      <c r="M761" s="52"/>
      <c r="N761" s="52"/>
      <c r="O761" s="52"/>
      <c r="P761" s="52"/>
      <c r="Q761" s="52"/>
      <c r="U761" s="52"/>
    </row>
    <row r="762">
      <c r="M762" s="52"/>
      <c r="N762" s="52"/>
      <c r="O762" s="52"/>
      <c r="P762" s="52"/>
      <c r="Q762" s="52"/>
      <c r="U762" s="52"/>
    </row>
    <row r="763">
      <c r="M763" s="52"/>
      <c r="N763" s="52"/>
      <c r="O763" s="52"/>
      <c r="P763" s="52"/>
      <c r="Q763" s="52"/>
      <c r="U763" s="52"/>
    </row>
    <row r="764">
      <c r="M764" s="52"/>
      <c r="N764" s="52"/>
      <c r="O764" s="52"/>
      <c r="P764" s="52"/>
      <c r="Q764" s="52"/>
      <c r="U764" s="52"/>
    </row>
    <row r="765">
      <c r="M765" s="52"/>
      <c r="N765" s="52"/>
      <c r="O765" s="52"/>
      <c r="P765" s="52"/>
      <c r="Q765" s="52"/>
      <c r="U765" s="52"/>
    </row>
    <row r="766">
      <c r="M766" s="52"/>
      <c r="N766" s="52"/>
      <c r="O766" s="52"/>
      <c r="P766" s="52"/>
      <c r="Q766" s="52"/>
      <c r="U766" s="52"/>
    </row>
    <row r="767">
      <c r="M767" s="52"/>
      <c r="N767" s="52"/>
      <c r="O767" s="52"/>
      <c r="P767" s="52"/>
      <c r="Q767" s="52"/>
      <c r="U767" s="52"/>
    </row>
    <row r="768">
      <c r="M768" s="52"/>
      <c r="N768" s="52"/>
      <c r="O768" s="52"/>
      <c r="P768" s="52"/>
      <c r="Q768" s="52"/>
      <c r="U768" s="52"/>
    </row>
    <row r="769">
      <c r="M769" s="52"/>
      <c r="N769" s="52"/>
      <c r="O769" s="52"/>
      <c r="P769" s="52"/>
      <c r="Q769" s="52"/>
      <c r="U769" s="52"/>
    </row>
    <row r="770">
      <c r="M770" s="52"/>
      <c r="N770" s="52"/>
      <c r="O770" s="52"/>
      <c r="P770" s="52"/>
      <c r="Q770" s="52"/>
      <c r="U770" s="52"/>
    </row>
    <row r="771">
      <c r="M771" s="52"/>
      <c r="N771" s="52"/>
      <c r="O771" s="52"/>
      <c r="P771" s="52"/>
      <c r="Q771" s="52"/>
      <c r="U771" s="52"/>
    </row>
    <row r="772">
      <c r="M772" s="52"/>
      <c r="N772" s="52"/>
      <c r="O772" s="52"/>
      <c r="P772" s="52"/>
      <c r="Q772" s="52"/>
      <c r="U772" s="52"/>
    </row>
    <row r="773">
      <c r="M773" s="52"/>
      <c r="N773" s="52"/>
      <c r="O773" s="52"/>
      <c r="P773" s="52"/>
      <c r="Q773" s="52"/>
      <c r="U773" s="52"/>
    </row>
    <row r="774">
      <c r="M774" s="52"/>
      <c r="N774" s="52"/>
      <c r="O774" s="52"/>
      <c r="P774" s="52"/>
      <c r="Q774" s="52"/>
      <c r="U774" s="52"/>
    </row>
    <row r="775">
      <c r="M775" s="52"/>
      <c r="N775" s="52"/>
      <c r="O775" s="52"/>
      <c r="P775" s="52"/>
      <c r="Q775" s="52"/>
      <c r="U775" s="52"/>
    </row>
    <row r="776">
      <c r="M776" s="52"/>
      <c r="N776" s="52"/>
      <c r="O776" s="52"/>
      <c r="P776" s="52"/>
      <c r="Q776" s="52"/>
      <c r="U776" s="52"/>
    </row>
    <row r="777">
      <c r="M777" s="52"/>
      <c r="N777" s="52"/>
      <c r="O777" s="52"/>
      <c r="P777" s="52"/>
      <c r="Q777" s="52"/>
      <c r="U777" s="52"/>
    </row>
    <row r="778">
      <c r="M778" s="52"/>
      <c r="N778" s="52"/>
      <c r="O778" s="52"/>
      <c r="P778" s="52"/>
      <c r="Q778" s="52"/>
      <c r="U778" s="52"/>
    </row>
    <row r="779">
      <c r="M779" s="52"/>
      <c r="N779" s="52"/>
      <c r="O779" s="52"/>
      <c r="P779" s="52"/>
      <c r="Q779" s="52"/>
      <c r="U779" s="52"/>
    </row>
    <row r="780">
      <c r="M780" s="52"/>
      <c r="N780" s="52"/>
      <c r="O780" s="52"/>
      <c r="P780" s="52"/>
      <c r="Q780" s="52"/>
      <c r="U780" s="52"/>
    </row>
    <row r="781">
      <c r="M781" s="52"/>
      <c r="N781" s="52"/>
      <c r="O781" s="52"/>
      <c r="P781" s="52"/>
      <c r="Q781" s="52"/>
      <c r="U781" s="52"/>
    </row>
    <row r="782">
      <c r="M782" s="52"/>
      <c r="N782" s="52"/>
      <c r="O782" s="52"/>
      <c r="P782" s="52"/>
      <c r="Q782" s="52"/>
      <c r="U782" s="52"/>
    </row>
    <row r="783">
      <c r="M783" s="52"/>
      <c r="N783" s="52"/>
      <c r="O783" s="52"/>
      <c r="P783" s="52"/>
      <c r="Q783" s="52"/>
      <c r="U783" s="52"/>
    </row>
    <row r="784">
      <c r="M784" s="52"/>
      <c r="N784" s="52"/>
      <c r="O784" s="52"/>
      <c r="P784" s="52"/>
      <c r="Q784" s="52"/>
      <c r="U784" s="52"/>
    </row>
    <row r="785">
      <c r="M785" s="52"/>
      <c r="N785" s="52"/>
      <c r="O785" s="52"/>
      <c r="P785" s="52"/>
      <c r="Q785" s="52"/>
      <c r="U785" s="52"/>
    </row>
    <row r="786">
      <c r="M786" s="52"/>
      <c r="N786" s="52"/>
      <c r="O786" s="52"/>
      <c r="P786" s="52"/>
      <c r="Q786" s="52"/>
      <c r="U786" s="52"/>
    </row>
    <row r="787">
      <c r="M787" s="52"/>
      <c r="N787" s="52"/>
      <c r="O787" s="52"/>
      <c r="P787" s="52"/>
      <c r="Q787" s="52"/>
      <c r="U787" s="52"/>
    </row>
    <row r="788">
      <c r="M788" s="52"/>
      <c r="N788" s="52"/>
      <c r="O788" s="52"/>
      <c r="P788" s="52"/>
      <c r="Q788" s="52"/>
      <c r="U788" s="52"/>
    </row>
    <row r="789">
      <c r="M789" s="52"/>
      <c r="N789" s="52"/>
      <c r="O789" s="52"/>
      <c r="P789" s="52"/>
      <c r="Q789" s="52"/>
      <c r="U789" s="52"/>
    </row>
    <row r="790">
      <c r="M790" s="52"/>
      <c r="N790" s="52"/>
      <c r="O790" s="52"/>
      <c r="P790" s="52"/>
      <c r="Q790" s="52"/>
      <c r="U790" s="52"/>
    </row>
    <row r="791">
      <c r="M791" s="52"/>
      <c r="N791" s="52"/>
      <c r="O791" s="52"/>
      <c r="P791" s="52"/>
      <c r="Q791" s="52"/>
      <c r="U791" s="52"/>
    </row>
    <row r="792">
      <c r="M792" s="52"/>
      <c r="N792" s="52"/>
      <c r="O792" s="52"/>
      <c r="P792" s="52"/>
      <c r="Q792" s="52"/>
      <c r="U792" s="52"/>
    </row>
    <row r="793">
      <c r="M793" s="52"/>
      <c r="N793" s="52"/>
      <c r="O793" s="52"/>
      <c r="P793" s="52"/>
      <c r="Q793" s="52"/>
      <c r="U793" s="52"/>
    </row>
    <row r="794">
      <c r="M794" s="52"/>
      <c r="N794" s="52"/>
      <c r="O794" s="52"/>
      <c r="P794" s="52"/>
      <c r="Q794" s="52"/>
      <c r="U794" s="52"/>
    </row>
    <row r="795">
      <c r="M795" s="52"/>
      <c r="N795" s="52"/>
      <c r="O795" s="52"/>
      <c r="P795" s="52"/>
      <c r="Q795" s="52"/>
      <c r="U795" s="52"/>
    </row>
    <row r="796">
      <c r="M796" s="52"/>
      <c r="N796" s="52"/>
      <c r="O796" s="52"/>
      <c r="P796" s="52"/>
      <c r="Q796" s="52"/>
      <c r="U796" s="52"/>
    </row>
    <row r="797">
      <c r="M797" s="52"/>
      <c r="N797" s="52"/>
      <c r="O797" s="52"/>
      <c r="P797" s="52"/>
      <c r="Q797" s="52"/>
      <c r="U797" s="52"/>
    </row>
    <row r="798">
      <c r="M798" s="52"/>
      <c r="N798" s="52"/>
      <c r="O798" s="52"/>
      <c r="P798" s="52"/>
      <c r="Q798" s="52"/>
      <c r="U798" s="52"/>
    </row>
    <row r="799">
      <c r="M799" s="52"/>
      <c r="N799" s="52"/>
      <c r="O799" s="52"/>
      <c r="P799" s="52"/>
      <c r="Q799" s="52"/>
      <c r="U799" s="52"/>
    </row>
    <row r="800">
      <c r="M800" s="52"/>
      <c r="N800" s="52"/>
      <c r="O800" s="52"/>
      <c r="P800" s="52"/>
      <c r="Q800" s="52"/>
      <c r="U800" s="52"/>
    </row>
    <row r="801">
      <c r="M801" s="52"/>
      <c r="N801" s="52"/>
      <c r="O801" s="52"/>
      <c r="P801" s="52"/>
      <c r="Q801" s="52"/>
      <c r="U801" s="52"/>
    </row>
    <row r="802">
      <c r="M802" s="52"/>
      <c r="N802" s="52"/>
      <c r="O802" s="52"/>
      <c r="P802" s="52"/>
      <c r="Q802" s="52"/>
      <c r="U802" s="52"/>
    </row>
    <row r="803">
      <c r="M803" s="52"/>
      <c r="N803" s="52"/>
      <c r="O803" s="52"/>
      <c r="P803" s="52"/>
      <c r="Q803" s="52"/>
      <c r="U803" s="52"/>
    </row>
    <row r="804">
      <c r="M804" s="52"/>
      <c r="N804" s="52"/>
      <c r="O804" s="52"/>
      <c r="P804" s="52"/>
      <c r="Q804" s="52"/>
      <c r="U804" s="52"/>
    </row>
    <row r="805">
      <c r="M805" s="52"/>
      <c r="N805" s="52"/>
      <c r="O805" s="52"/>
      <c r="P805" s="52"/>
      <c r="Q805" s="52"/>
      <c r="U805" s="52"/>
    </row>
    <row r="806">
      <c r="M806" s="52"/>
      <c r="N806" s="52"/>
      <c r="O806" s="52"/>
      <c r="P806" s="52"/>
      <c r="Q806" s="52"/>
      <c r="U806" s="52"/>
    </row>
    <row r="807">
      <c r="M807" s="52"/>
      <c r="N807" s="52"/>
      <c r="O807" s="52"/>
      <c r="P807" s="52"/>
      <c r="Q807" s="52"/>
      <c r="U807" s="52"/>
    </row>
    <row r="808">
      <c r="M808" s="52"/>
      <c r="N808" s="52"/>
      <c r="O808" s="52"/>
      <c r="P808" s="52"/>
      <c r="Q808" s="52"/>
      <c r="U808" s="52"/>
    </row>
    <row r="809">
      <c r="M809" s="52"/>
      <c r="N809" s="52"/>
      <c r="O809" s="52"/>
      <c r="P809" s="52"/>
      <c r="Q809" s="52"/>
      <c r="U809" s="52"/>
    </row>
    <row r="810">
      <c r="M810" s="52"/>
      <c r="N810" s="52"/>
      <c r="O810" s="52"/>
      <c r="P810" s="52"/>
      <c r="Q810" s="52"/>
      <c r="U810" s="52"/>
    </row>
    <row r="811">
      <c r="M811" s="52"/>
      <c r="N811" s="52"/>
      <c r="O811" s="52"/>
      <c r="P811" s="52"/>
      <c r="Q811" s="52"/>
      <c r="U811" s="52"/>
    </row>
    <row r="812">
      <c r="M812" s="52"/>
      <c r="N812" s="52"/>
      <c r="O812" s="52"/>
      <c r="P812" s="52"/>
      <c r="Q812" s="52"/>
      <c r="U812" s="52"/>
    </row>
    <row r="813">
      <c r="M813" s="52"/>
      <c r="N813" s="52"/>
      <c r="O813" s="52"/>
      <c r="P813" s="52"/>
      <c r="Q813" s="52"/>
      <c r="U813" s="52"/>
    </row>
    <row r="814">
      <c r="M814" s="52"/>
      <c r="N814" s="52"/>
      <c r="O814" s="52"/>
      <c r="P814" s="52"/>
      <c r="Q814" s="52"/>
      <c r="U814" s="52"/>
    </row>
    <row r="815">
      <c r="M815" s="52"/>
      <c r="N815" s="52"/>
      <c r="O815" s="52"/>
      <c r="P815" s="52"/>
      <c r="Q815" s="52"/>
      <c r="U815" s="52"/>
    </row>
    <row r="816">
      <c r="M816" s="52"/>
      <c r="N816" s="52"/>
      <c r="O816" s="52"/>
      <c r="P816" s="52"/>
      <c r="Q816" s="52"/>
      <c r="U816" s="52"/>
    </row>
    <row r="817">
      <c r="M817" s="52"/>
      <c r="N817" s="52"/>
      <c r="O817" s="52"/>
      <c r="P817" s="52"/>
      <c r="Q817" s="52"/>
      <c r="U817" s="52"/>
    </row>
    <row r="818">
      <c r="M818" s="52"/>
      <c r="N818" s="52"/>
      <c r="O818" s="52"/>
      <c r="P818" s="52"/>
      <c r="Q818" s="52"/>
      <c r="U818" s="52"/>
    </row>
    <row r="819">
      <c r="M819" s="52"/>
      <c r="N819" s="52"/>
      <c r="O819" s="52"/>
      <c r="P819" s="52"/>
      <c r="Q819" s="52"/>
      <c r="U819" s="52"/>
    </row>
    <row r="820">
      <c r="M820" s="52"/>
      <c r="N820" s="52"/>
      <c r="O820" s="52"/>
      <c r="P820" s="52"/>
      <c r="Q820" s="52"/>
      <c r="U820" s="52"/>
    </row>
    <row r="821">
      <c r="M821" s="52"/>
      <c r="N821" s="52"/>
      <c r="O821" s="52"/>
      <c r="P821" s="52"/>
      <c r="Q821" s="52"/>
      <c r="U821" s="52"/>
    </row>
    <row r="822">
      <c r="M822" s="52"/>
      <c r="N822" s="52"/>
      <c r="O822" s="52"/>
      <c r="P822" s="52"/>
      <c r="Q822" s="52"/>
      <c r="U822" s="52"/>
    </row>
    <row r="823">
      <c r="M823" s="52"/>
      <c r="N823" s="52"/>
      <c r="O823" s="52"/>
      <c r="P823" s="52"/>
      <c r="Q823" s="52"/>
      <c r="U823" s="52"/>
    </row>
    <row r="824">
      <c r="M824" s="52"/>
      <c r="N824" s="52"/>
      <c r="O824" s="52"/>
      <c r="P824" s="52"/>
      <c r="Q824" s="52"/>
      <c r="U824" s="52"/>
    </row>
    <row r="825">
      <c r="M825" s="52"/>
      <c r="N825" s="52"/>
      <c r="O825" s="52"/>
      <c r="P825" s="52"/>
      <c r="Q825" s="52"/>
      <c r="U825" s="52"/>
    </row>
    <row r="826">
      <c r="M826" s="52"/>
      <c r="N826" s="52"/>
      <c r="O826" s="52"/>
      <c r="P826" s="52"/>
      <c r="Q826" s="52"/>
      <c r="U826" s="52"/>
    </row>
    <row r="827">
      <c r="M827" s="52"/>
      <c r="N827" s="52"/>
      <c r="O827" s="52"/>
      <c r="P827" s="52"/>
      <c r="Q827" s="52"/>
      <c r="U827" s="52"/>
    </row>
    <row r="828">
      <c r="M828" s="52"/>
      <c r="N828" s="52"/>
      <c r="O828" s="52"/>
      <c r="P828" s="52"/>
      <c r="Q828" s="52"/>
      <c r="U828" s="52"/>
    </row>
    <row r="829">
      <c r="M829" s="52"/>
      <c r="N829" s="52"/>
      <c r="O829" s="52"/>
      <c r="P829" s="52"/>
      <c r="Q829" s="52"/>
      <c r="U829" s="52"/>
    </row>
    <row r="830">
      <c r="M830" s="52"/>
      <c r="N830" s="52"/>
      <c r="O830" s="52"/>
      <c r="P830" s="52"/>
      <c r="Q830" s="52"/>
      <c r="U830" s="52"/>
    </row>
    <row r="831">
      <c r="M831" s="52"/>
      <c r="N831" s="52"/>
      <c r="O831" s="52"/>
      <c r="P831" s="52"/>
      <c r="Q831" s="52"/>
      <c r="U831" s="52"/>
    </row>
    <row r="832">
      <c r="M832" s="52"/>
      <c r="N832" s="52"/>
      <c r="O832" s="52"/>
      <c r="P832" s="52"/>
      <c r="Q832" s="52"/>
      <c r="U832" s="52"/>
    </row>
    <row r="833">
      <c r="M833" s="52"/>
      <c r="N833" s="52"/>
      <c r="O833" s="52"/>
      <c r="P833" s="52"/>
      <c r="Q833" s="52"/>
      <c r="U833" s="52"/>
    </row>
    <row r="834">
      <c r="M834" s="52"/>
      <c r="N834" s="52"/>
      <c r="O834" s="52"/>
      <c r="P834" s="52"/>
      <c r="Q834" s="52"/>
      <c r="U834" s="52"/>
    </row>
    <row r="835">
      <c r="M835" s="52"/>
      <c r="N835" s="52"/>
      <c r="O835" s="52"/>
      <c r="P835" s="52"/>
      <c r="Q835" s="52"/>
      <c r="U835" s="52"/>
    </row>
    <row r="836">
      <c r="M836" s="52"/>
      <c r="N836" s="52"/>
      <c r="O836" s="52"/>
      <c r="P836" s="52"/>
      <c r="Q836" s="52"/>
      <c r="U836" s="52"/>
    </row>
    <row r="837">
      <c r="M837" s="52"/>
      <c r="N837" s="52"/>
      <c r="O837" s="52"/>
      <c r="P837" s="52"/>
      <c r="Q837" s="52"/>
      <c r="U837" s="52"/>
    </row>
    <row r="838">
      <c r="M838" s="52"/>
      <c r="N838" s="52"/>
      <c r="O838" s="52"/>
      <c r="P838" s="52"/>
      <c r="Q838" s="52"/>
      <c r="U838" s="52"/>
    </row>
    <row r="839">
      <c r="M839" s="52"/>
      <c r="N839" s="52"/>
      <c r="O839" s="52"/>
      <c r="P839" s="52"/>
      <c r="Q839" s="52"/>
      <c r="U839" s="52"/>
    </row>
    <row r="840">
      <c r="M840" s="52"/>
      <c r="N840" s="52"/>
      <c r="O840" s="52"/>
      <c r="P840" s="52"/>
      <c r="Q840" s="52"/>
      <c r="U840" s="52"/>
    </row>
    <row r="841">
      <c r="M841" s="52"/>
      <c r="N841" s="52"/>
      <c r="O841" s="52"/>
      <c r="P841" s="52"/>
      <c r="Q841" s="52"/>
      <c r="U841" s="52"/>
    </row>
    <row r="842">
      <c r="M842" s="52"/>
      <c r="N842" s="52"/>
      <c r="O842" s="52"/>
      <c r="P842" s="52"/>
      <c r="Q842" s="52"/>
      <c r="U842" s="52"/>
    </row>
    <row r="843">
      <c r="M843" s="52"/>
      <c r="N843" s="52"/>
      <c r="O843" s="52"/>
      <c r="P843" s="52"/>
      <c r="Q843" s="52"/>
      <c r="U843" s="52"/>
    </row>
    <row r="844">
      <c r="M844" s="52"/>
      <c r="N844" s="52"/>
      <c r="O844" s="52"/>
      <c r="P844" s="52"/>
      <c r="Q844" s="52"/>
      <c r="U844" s="52"/>
    </row>
    <row r="845">
      <c r="M845" s="52"/>
      <c r="N845" s="52"/>
      <c r="O845" s="52"/>
      <c r="P845" s="52"/>
      <c r="Q845" s="52"/>
      <c r="U845" s="52"/>
    </row>
    <row r="846">
      <c r="M846" s="52"/>
      <c r="N846" s="52"/>
      <c r="O846" s="52"/>
      <c r="P846" s="52"/>
      <c r="Q846" s="52"/>
      <c r="U846" s="52"/>
    </row>
    <row r="847">
      <c r="M847" s="52"/>
      <c r="N847" s="52"/>
      <c r="O847" s="52"/>
      <c r="P847" s="52"/>
      <c r="Q847" s="52"/>
      <c r="U847" s="52"/>
    </row>
    <row r="848">
      <c r="M848" s="52"/>
      <c r="N848" s="52"/>
      <c r="O848" s="52"/>
      <c r="P848" s="52"/>
      <c r="Q848" s="52"/>
      <c r="U848" s="52"/>
    </row>
    <row r="849">
      <c r="M849" s="52"/>
      <c r="N849" s="52"/>
      <c r="O849" s="52"/>
      <c r="P849" s="52"/>
      <c r="Q849" s="52"/>
      <c r="U849" s="52"/>
    </row>
    <row r="850">
      <c r="M850" s="52"/>
      <c r="N850" s="52"/>
      <c r="O850" s="52"/>
      <c r="P850" s="52"/>
      <c r="Q850" s="52"/>
      <c r="U850" s="52"/>
    </row>
    <row r="851">
      <c r="M851" s="52"/>
      <c r="N851" s="52"/>
      <c r="O851" s="52"/>
      <c r="P851" s="52"/>
      <c r="Q851" s="52"/>
      <c r="U851" s="52"/>
    </row>
    <row r="852">
      <c r="M852" s="52"/>
      <c r="N852" s="52"/>
      <c r="O852" s="52"/>
      <c r="P852" s="52"/>
      <c r="Q852" s="52"/>
      <c r="U852" s="52"/>
    </row>
    <row r="853">
      <c r="M853" s="52"/>
      <c r="N853" s="52"/>
      <c r="O853" s="52"/>
      <c r="P853" s="52"/>
      <c r="Q853" s="52"/>
      <c r="U853" s="52"/>
    </row>
    <row r="854">
      <c r="M854" s="52"/>
      <c r="N854" s="52"/>
      <c r="O854" s="52"/>
      <c r="P854" s="52"/>
      <c r="Q854" s="52"/>
      <c r="U854" s="52"/>
    </row>
    <row r="855">
      <c r="M855" s="52"/>
      <c r="N855" s="52"/>
      <c r="O855" s="52"/>
      <c r="P855" s="52"/>
      <c r="Q855" s="52"/>
      <c r="U855" s="52"/>
    </row>
    <row r="856">
      <c r="M856" s="52"/>
      <c r="N856" s="52"/>
      <c r="O856" s="52"/>
      <c r="P856" s="52"/>
      <c r="Q856" s="52"/>
      <c r="U856" s="52"/>
    </row>
    <row r="857">
      <c r="M857" s="52"/>
      <c r="N857" s="52"/>
      <c r="O857" s="52"/>
      <c r="P857" s="52"/>
      <c r="Q857" s="52"/>
      <c r="U857" s="52"/>
    </row>
    <row r="858">
      <c r="M858" s="52"/>
      <c r="N858" s="52"/>
      <c r="O858" s="52"/>
      <c r="P858" s="52"/>
      <c r="Q858" s="52"/>
      <c r="U858" s="52"/>
    </row>
    <row r="859">
      <c r="M859" s="52"/>
      <c r="N859" s="52"/>
      <c r="O859" s="52"/>
      <c r="P859" s="52"/>
      <c r="Q859" s="52"/>
      <c r="U859" s="52"/>
    </row>
    <row r="860">
      <c r="M860" s="52"/>
      <c r="N860" s="52"/>
      <c r="O860" s="52"/>
      <c r="P860" s="52"/>
      <c r="Q860" s="52"/>
      <c r="U860" s="52"/>
    </row>
    <row r="861">
      <c r="M861" s="52"/>
      <c r="N861" s="52"/>
      <c r="O861" s="52"/>
      <c r="P861" s="52"/>
      <c r="Q861" s="52"/>
      <c r="U861" s="52"/>
    </row>
    <row r="862">
      <c r="M862" s="52"/>
      <c r="N862" s="52"/>
      <c r="O862" s="52"/>
      <c r="P862" s="52"/>
      <c r="Q862" s="52"/>
      <c r="U862" s="52"/>
    </row>
    <row r="863">
      <c r="M863" s="52"/>
      <c r="N863" s="52"/>
      <c r="O863" s="52"/>
      <c r="P863" s="52"/>
      <c r="Q863" s="52"/>
      <c r="U863" s="52"/>
    </row>
    <row r="864">
      <c r="M864" s="52"/>
      <c r="N864" s="52"/>
      <c r="O864" s="52"/>
      <c r="P864" s="52"/>
      <c r="Q864" s="52"/>
      <c r="U864" s="52"/>
    </row>
    <row r="865">
      <c r="M865" s="52"/>
      <c r="N865" s="52"/>
      <c r="O865" s="52"/>
      <c r="P865" s="52"/>
      <c r="Q865" s="52"/>
      <c r="U865" s="52"/>
    </row>
    <row r="866">
      <c r="M866" s="52"/>
      <c r="N866" s="52"/>
      <c r="O866" s="52"/>
      <c r="P866" s="52"/>
      <c r="Q866" s="52"/>
      <c r="U866" s="52"/>
    </row>
    <row r="867">
      <c r="M867" s="52"/>
      <c r="N867" s="52"/>
      <c r="O867" s="52"/>
      <c r="P867" s="52"/>
      <c r="Q867" s="52"/>
      <c r="U867" s="52"/>
    </row>
    <row r="868">
      <c r="M868" s="52"/>
      <c r="N868" s="52"/>
      <c r="O868" s="52"/>
      <c r="P868" s="52"/>
      <c r="Q868" s="52"/>
      <c r="U868" s="52"/>
    </row>
    <row r="869">
      <c r="M869" s="52"/>
      <c r="N869" s="52"/>
      <c r="O869" s="52"/>
      <c r="P869" s="52"/>
      <c r="Q869" s="52"/>
      <c r="U869" s="52"/>
    </row>
    <row r="870">
      <c r="M870" s="52"/>
      <c r="N870" s="52"/>
      <c r="O870" s="52"/>
      <c r="P870" s="52"/>
      <c r="Q870" s="52"/>
      <c r="U870" s="52"/>
    </row>
    <row r="871">
      <c r="M871" s="52"/>
      <c r="N871" s="52"/>
      <c r="O871" s="52"/>
      <c r="P871" s="52"/>
      <c r="Q871" s="52"/>
      <c r="U871" s="52"/>
    </row>
    <row r="872">
      <c r="M872" s="52"/>
      <c r="N872" s="52"/>
      <c r="O872" s="52"/>
      <c r="P872" s="52"/>
      <c r="Q872" s="52"/>
      <c r="U872" s="52"/>
    </row>
    <row r="873">
      <c r="M873" s="52"/>
      <c r="N873" s="52"/>
      <c r="O873" s="52"/>
      <c r="P873" s="52"/>
      <c r="Q873" s="52"/>
      <c r="U873" s="52"/>
    </row>
    <row r="874">
      <c r="M874" s="52"/>
      <c r="N874" s="52"/>
      <c r="O874" s="52"/>
      <c r="P874" s="52"/>
      <c r="Q874" s="52"/>
      <c r="U874" s="52"/>
    </row>
    <row r="875">
      <c r="M875" s="52"/>
      <c r="N875" s="52"/>
      <c r="O875" s="52"/>
      <c r="P875" s="52"/>
      <c r="Q875" s="52"/>
      <c r="U875" s="52"/>
    </row>
    <row r="876">
      <c r="M876" s="52"/>
      <c r="N876" s="52"/>
      <c r="O876" s="52"/>
      <c r="P876" s="52"/>
      <c r="Q876" s="52"/>
      <c r="U876" s="52"/>
    </row>
    <row r="877">
      <c r="M877" s="52"/>
      <c r="N877" s="52"/>
      <c r="O877" s="52"/>
      <c r="P877" s="52"/>
      <c r="Q877" s="52"/>
      <c r="U877" s="52"/>
    </row>
    <row r="878">
      <c r="M878" s="52"/>
      <c r="N878" s="52"/>
      <c r="O878" s="52"/>
      <c r="P878" s="52"/>
      <c r="Q878" s="52"/>
      <c r="U878" s="52"/>
    </row>
    <row r="879">
      <c r="M879" s="52"/>
      <c r="N879" s="52"/>
      <c r="O879" s="52"/>
      <c r="P879" s="52"/>
      <c r="Q879" s="52"/>
      <c r="U879" s="52"/>
    </row>
    <row r="880">
      <c r="M880" s="52"/>
      <c r="N880" s="52"/>
      <c r="O880" s="52"/>
      <c r="P880" s="52"/>
      <c r="Q880" s="52"/>
      <c r="U880" s="52"/>
    </row>
    <row r="881">
      <c r="M881" s="52"/>
      <c r="N881" s="52"/>
      <c r="O881" s="52"/>
      <c r="P881" s="52"/>
      <c r="Q881" s="52"/>
      <c r="U881" s="52"/>
    </row>
    <row r="882">
      <c r="M882" s="52"/>
      <c r="N882" s="52"/>
      <c r="O882" s="52"/>
      <c r="P882" s="52"/>
      <c r="Q882" s="52"/>
      <c r="U882" s="52"/>
    </row>
    <row r="883">
      <c r="M883" s="52"/>
      <c r="N883" s="52"/>
      <c r="O883" s="52"/>
      <c r="P883" s="52"/>
      <c r="Q883" s="52"/>
      <c r="U883" s="52"/>
    </row>
    <row r="884">
      <c r="M884" s="52"/>
      <c r="N884" s="52"/>
      <c r="O884" s="52"/>
      <c r="P884" s="52"/>
      <c r="Q884" s="52"/>
      <c r="U884" s="52"/>
    </row>
    <row r="885">
      <c r="M885" s="52"/>
      <c r="N885" s="52"/>
      <c r="O885" s="52"/>
      <c r="P885" s="52"/>
      <c r="Q885" s="52"/>
      <c r="U885" s="52"/>
    </row>
    <row r="886">
      <c r="M886" s="52"/>
      <c r="N886" s="52"/>
      <c r="O886" s="52"/>
      <c r="P886" s="52"/>
      <c r="Q886" s="52"/>
      <c r="U886" s="52"/>
    </row>
    <row r="887">
      <c r="M887" s="52"/>
      <c r="N887" s="52"/>
      <c r="O887" s="52"/>
      <c r="P887" s="52"/>
      <c r="Q887" s="52"/>
      <c r="U887" s="52"/>
    </row>
    <row r="888">
      <c r="M888" s="52"/>
      <c r="N888" s="52"/>
      <c r="O888" s="52"/>
      <c r="P888" s="52"/>
      <c r="Q888" s="52"/>
      <c r="U888" s="52"/>
    </row>
    <row r="889">
      <c r="M889" s="52"/>
      <c r="N889" s="52"/>
      <c r="O889" s="52"/>
      <c r="P889" s="52"/>
      <c r="Q889" s="52"/>
      <c r="U889" s="52"/>
    </row>
    <row r="890">
      <c r="M890" s="52"/>
      <c r="N890" s="52"/>
      <c r="O890" s="52"/>
      <c r="P890" s="52"/>
      <c r="Q890" s="52"/>
      <c r="U890" s="52"/>
    </row>
    <row r="891">
      <c r="M891" s="52"/>
      <c r="N891" s="52"/>
      <c r="O891" s="52"/>
      <c r="P891" s="52"/>
      <c r="Q891" s="52"/>
      <c r="U891" s="52"/>
    </row>
    <row r="892">
      <c r="M892" s="52"/>
      <c r="N892" s="52"/>
      <c r="O892" s="52"/>
      <c r="P892" s="52"/>
      <c r="Q892" s="52"/>
      <c r="U892" s="52"/>
    </row>
    <row r="893">
      <c r="M893" s="52"/>
      <c r="N893" s="52"/>
      <c r="O893" s="52"/>
      <c r="P893" s="52"/>
      <c r="Q893" s="52"/>
      <c r="U893" s="52"/>
    </row>
    <row r="894">
      <c r="M894" s="52"/>
      <c r="N894" s="52"/>
      <c r="O894" s="52"/>
      <c r="P894" s="52"/>
      <c r="Q894" s="52"/>
      <c r="U894" s="52"/>
    </row>
    <row r="895">
      <c r="M895" s="52"/>
      <c r="N895" s="52"/>
      <c r="O895" s="52"/>
      <c r="P895" s="52"/>
      <c r="Q895" s="52"/>
      <c r="U895" s="52"/>
    </row>
    <row r="896">
      <c r="M896" s="52"/>
      <c r="N896" s="52"/>
      <c r="O896" s="52"/>
      <c r="P896" s="52"/>
      <c r="Q896" s="52"/>
      <c r="U896" s="52"/>
    </row>
    <row r="897">
      <c r="M897" s="52"/>
      <c r="N897" s="52"/>
      <c r="O897" s="52"/>
      <c r="P897" s="52"/>
      <c r="Q897" s="52"/>
      <c r="U897" s="52"/>
    </row>
    <row r="898">
      <c r="M898" s="52"/>
      <c r="N898" s="52"/>
      <c r="O898" s="52"/>
      <c r="P898" s="52"/>
      <c r="Q898" s="52"/>
      <c r="U898" s="52"/>
    </row>
    <row r="899">
      <c r="M899" s="52"/>
      <c r="N899" s="52"/>
      <c r="O899" s="52"/>
      <c r="P899" s="52"/>
      <c r="Q899" s="52"/>
      <c r="U899" s="52"/>
    </row>
    <row r="900">
      <c r="M900" s="52"/>
      <c r="N900" s="52"/>
      <c r="O900" s="52"/>
      <c r="P900" s="52"/>
      <c r="Q900" s="52"/>
      <c r="U900" s="52"/>
    </row>
    <row r="901">
      <c r="M901" s="52"/>
      <c r="N901" s="52"/>
      <c r="O901" s="52"/>
      <c r="P901" s="52"/>
      <c r="Q901" s="52"/>
      <c r="U901" s="52"/>
    </row>
    <row r="902">
      <c r="M902" s="52"/>
      <c r="N902" s="52"/>
      <c r="O902" s="52"/>
      <c r="P902" s="52"/>
      <c r="Q902" s="52"/>
      <c r="U902" s="52"/>
    </row>
    <row r="903">
      <c r="M903" s="52"/>
      <c r="N903" s="52"/>
      <c r="O903" s="52"/>
      <c r="P903" s="52"/>
      <c r="Q903" s="52"/>
      <c r="U903" s="52"/>
    </row>
    <row r="904">
      <c r="M904" s="52"/>
      <c r="N904" s="52"/>
      <c r="O904" s="52"/>
      <c r="P904" s="52"/>
      <c r="Q904" s="52"/>
      <c r="U904" s="52"/>
    </row>
    <row r="905">
      <c r="M905" s="52"/>
      <c r="N905" s="52"/>
      <c r="O905" s="52"/>
      <c r="P905" s="52"/>
      <c r="Q905" s="52"/>
      <c r="U905" s="52"/>
    </row>
    <row r="906">
      <c r="M906" s="52"/>
      <c r="N906" s="52"/>
      <c r="O906" s="52"/>
      <c r="P906" s="52"/>
      <c r="Q906" s="52"/>
      <c r="U906" s="52"/>
    </row>
    <row r="907">
      <c r="M907" s="52"/>
      <c r="N907" s="52"/>
      <c r="O907" s="52"/>
      <c r="P907" s="52"/>
      <c r="Q907" s="52"/>
      <c r="U907" s="52"/>
    </row>
    <row r="908">
      <c r="M908" s="52"/>
      <c r="N908" s="52"/>
      <c r="O908" s="52"/>
      <c r="P908" s="52"/>
      <c r="Q908" s="52"/>
      <c r="U908" s="52"/>
    </row>
    <row r="909">
      <c r="M909" s="52"/>
      <c r="N909" s="52"/>
      <c r="O909" s="52"/>
      <c r="P909" s="52"/>
      <c r="Q909" s="52"/>
      <c r="U909" s="52"/>
    </row>
    <row r="910">
      <c r="M910" s="52"/>
      <c r="N910" s="52"/>
      <c r="O910" s="52"/>
      <c r="P910" s="52"/>
      <c r="Q910" s="52"/>
      <c r="U910" s="52"/>
    </row>
    <row r="911">
      <c r="M911" s="52"/>
      <c r="N911" s="52"/>
      <c r="O911" s="52"/>
      <c r="P911" s="52"/>
      <c r="Q911" s="52"/>
      <c r="U911" s="52"/>
    </row>
    <row r="912">
      <c r="M912" s="52"/>
      <c r="N912" s="52"/>
      <c r="O912" s="52"/>
      <c r="P912" s="52"/>
      <c r="Q912" s="52"/>
      <c r="U912" s="52"/>
    </row>
    <row r="913">
      <c r="M913" s="52"/>
      <c r="N913" s="52"/>
      <c r="O913" s="52"/>
      <c r="P913" s="52"/>
      <c r="Q913" s="52"/>
      <c r="U913" s="52"/>
    </row>
    <row r="914">
      <c r="M914" s="52"/>
      <c r="N914" s="52"/>
      <c r="O914" s="52"/>
      <c r="P914" s="52"/>
      <c r="Q914" s="52"/>
      <c r="U914" s="52"/>
    </row>
    <row r="915">
      <c r="M915" s="52"/>
      <c r="N915" s="52"/>
      <c r="O915" s="52"/>
      <c r="P915" s="52"/>
      <c r="Q915" s="52"/>
      <c r="U915" s="52"/>
    </row>
    <row r="916">
      <c r="M916" s="52"/>
      <c r="N916" s="52"/>
      <c r="O916" s="52"/>
      <c r="P916" s="52"/>
      <c r="Q916" s="52"/>
      <c r="U916" s="52"/>
    </row>
    <row r="917">
      <c r="M917" s="52"/>
      <c r="N917" s="52"/>
      <c r="O917" s="52"/>
      <c r="P917" s="52"/>
      <c r="Q917" s="52"/>
      <c r="U917" s="52"/>
    </row>
    <row r="918">
      <c r="M918" s="52"/>
      <c r="N918" s="52"/>
      <c r="O918" s="52"/>
      <c r="P918" s="52"/>
      <c r="Q918" s="52"/>
      <c r="U918" s="52"/>
    </row>
    <row r="919">
      <c r="M919" s="52"/>
      <c r="N919" s="52"/>
      <c r="O919" s="52"/>
      <c r="P919" s="52"/>
      <c r="Q919" s="52"/>
      <c r="U919" s="52"/>
    </row>
    <row r="920">
      <c r="M920" s="52"/>
      <c r="N920" s="52"/>
      <c r="O920" s="52"/>
      <c r="P920" s="52"/>
      <c r="Q920" s="52"/>
      <c r="U920" s="52"/>
    </row>
    <row r="921">
      <c r="M921" s="52"/>
      <c r="N921" s="52"/>
      <c r="O921" s="52"/>
      <c r="P921" s="52"/>
      <c r="Q921" s="52"/>
      <c r="U921" s="52"/>
    </row>
    <row r="922">
      <c r="M922" s="52"/>
      <c r="N922" s="52"/>
      <c r="O922" s="52"/>
      <c r="P922" s="52"/>
      <c r="Q922" s="52"/>
      <c r="U922" s="52"/>
    </row>
    <row r="923">
      <c r="M923" s="52"/>
      <c r="N923" s="52"/>
      <c r="O923" s="52"/>
      <c r="P923" s="52"/>
      <c r="Q923" s="52"/>
      <c r="U923" s="52"/>
    </row>
    <row r="924">
      <c r="M924" s="52"/>
      <c r="N924" s="52"/>
      <c r="O924" s="52"/>
      <c r="P924" s="52"/>
      <c r="Q924" s="52"/>
      <c r="U924" s="52"/>
    </row>
    <row r="925">
      <c r="M925" s="52"/>
      <c r="N925" s="52"/>
      <c r="O925" s="52"/>
      <c r="P925" s="52"/>
      <c r="Q925" s="52"/>
      <c r="U925" s="52"/>
    </row>
    <row r="926">
      <c r="M926" s="52"/>
      <c r="N926" s="52"/>
      <c r="O926" s="52"/>
      <c r="P926" s="52"/>
      <c r="Q926" s="52"/>
      <c r="U926" s="52"/>
    </row>
    <row r="927">
      <c r="M927" s="52"/>
      <c r="N927" s="52"/>
      <c r="O927" s="52"/>
      <c r="P927" s="52"/>
      <c r="Q927" s="52"/>
      <c r="U927" s="52"/>
    </row>
    <row r="928">
      <c r="M928" s="52"/>
      <c r="N928" s="52"/>
      <c r="O928" s="52"/>
      <c r="P928" s="52"/>
      <c r="Q928" s="52"/>
      <c r="U928" s="52"/>
    </row>
    <row r="929">
      <c r="M929" s="52"/>
      <c r="N929" s="52"/>
      <c r="O929" s="52"/>
      <c r="P929" s="52"/>
      <c r="Q929" s="52"/>
      <c r="U929" s="52"/>
    </row>
    <row r="930">
      <c r="M930" s="52"/>
      <c r="N930" s="52"/>
      <c r="O930" s="52"/>
      <c r="P930" s="52"/>
      <c r="Q930" s="52"/>
      <c r="U930" s="52"/>
    </row>
    <row r="931">
      <c r="M931" s="52"/>
      <c r="N931" s="52"/>
      <c r="O931" s="52"/>
      <c r="P931" s="52"/>
      <c r="Q931" s="52"/>
      <c r="U931" s="52"/>
    </row>
    <row r="932">
      <c r="M932" s="52"/>
      <c r="N932" s="52"/>
      <c r="O932" s="52"/>
      <c r="P932" s="52"/>
      <c r="Q932" s="52"/>
      <c r="U932" s="52"/>
    </row>
    <row r="933">
      <c r="M933" s="52"/>
      <c r="N933" s="52"/>
      <c r="O933" s="52"/>
      <c r="P933" s="52"/>
      <c r="Q933" s="52"/>
      <c r="U933" s="52"/>
    </row>
    <row r="934">
      <c r="M934" s="52"/>
      <c r="N934" s="52"/>
      <c r="O934" s="52"/>
      <c r="P934" s="52"/>
      <c r="Q934" s="52"/>
      <c r="U934" s="52"/>
    </row>
    <row r="935">
      <c r="M935" s="52"/>
      <c r="N935" s="52"/>
      <c r="O935" s="52"/>
      <c r="P935" s="52"/>
      <c r="Q935" s="52"/>
      <c r="U935" s="52"/>
    </row>
    <row r="936">
      <c r="M936" s="52"/>
      <c r="N936" s="52"/>
      <c r="O936" s="52"/>
      <c r="P936" s="52"/>
      <c r="Q936" s="52"/>
      <c r="U936" s="52"/>
    </row>
    <row r="937">
      <c r="M937" s="52"/>
      <c r="N937" s="52"/>
      <c r="O937" s="52"/>
      <c r="P937" s="52"/>
      <c r="Q937" s="52"/>
      <c r="U937" s="52"/>
    </row>
    <row r="938">
      <c r="M938" s="52"/>
      <c r="N938" s="52"/>
      <c r="O938" s="52"/>
      <c r="P938" s="52"/>
      <c r="Q938" s="52"/>
      <c r="U938" s="52"/>
    </row>
    <row r="939">
      <c r="M939" s="52"/>
      <c r="N939" s="52"/>
      <c r="O939" s="52"/>
      <c r="P939" s="52"/>
      <c r="Q939" s="52"/>
      <c r="U939" s="52"/>
    </row>
    <row r="940">
      <c r="M940" s="52"/>
      <c r="N940" s="52"/>
      <c r="O940" s="52"/>
      <c r="P940" s="52"/>
      <c r="Q940" s="52"/>
      <c r="U940" s="52"/>
    </row>
    <row r="941">
      <c r="M941" s="52"/>
      <c r="N941" s="52"/>
      <c r="O941" s="52"/>
      <c r="P941" s="52"/>
      <c r="Q941" s="52"/>
      <c r="U941" s="52"/>
    </row>
    <row r="942">
      <c r="M942" s="52"/>
      <c r="N942" s="52"/>
      <c r="O942" s="52"/>
      <c r="P942" s="52"/>
      <c r="Q942" s="52"/>
      <c r="U942" s="52"/>
    </row>
    <row r="943">
      <c r="M943" s="52"/>
      <c r="N943" s="52"/>
      <c r="O943" s="52"/>
      <c r="P943" s="52"/>
      <c r="Q943" s="52"/>
      <c r="U943" s="52"/>
    </row>
    <row r="944">
      <c r="M944" s="52"/>
      <c r="N944" s="52"/>
      <c r="O944" s="52"/>
      <c r="P944" s="52"/>
      <c r="Q944" s="52"/>
      <c r="U944" s="52"/>
    </row>
    <row r="945">
      <c r="M945" s="52"/>
      <c r="N945" s="52"/>
      <c r="O945" s="52"/>
      <c r="P945" s="52"/>
      <c r="Q945" s="52"/>
      <c r="U945" s="52"/>
    </row>
    <row r="946">
      <c r="M946" s="52"/>
      <c r="N946" s="52"/>
      <c r="O946" s="52"/>
      <c r="P946" s="52"/>
      <c r="Q946" s="52"/>
      <c r="U946" s="52"/>
    </row>
    <row r="947">
      <c r="M947" s="52"/>
      <c r="N947" s="52"/>
      <c r="O947" s="52"/>
      <c r="P947" s="52"/>
      <c r="Q947" s="52"/>
      <c r="U947" s="52"/>
    </row>
    <row r="948">
      <c r="M948" s="52"/>
      <c r="N948" s="52"/>
      <c r="O948" s="52"/>
      <c r="P948" s="52"/>
      <c r="Q948" s="52"/>
      <c r="U948" s="52"/>
    </row>
    <row r="949">
      <c r="M949" s="52"/>
      <c r="N949" s="52"/>
      <c r="O949" s="52"/>
      <c r="P949" s="52"/>
      <c r="Q949" s="52"/>
      <c r="U949" s="52"/>
    </row>
    <row r="950">
      <c r="M950" s="52"/>
      <c r="N950" s="52"/>
      <c r="O950" s="52"/>
      <c r="P950" s="52"/>
      <c r="Q950" s="52"/>
      <c r="U950" s="52"/>
    </row>
    <row r="951">
      <c r="M951" s="52"/>
      <c r="N951" s="52"/>
      <c r="O951" s="52"/>
      <c r="P951" s="52"/>
      <c r="Q951" s="52"/>
      <c r="U951" s="52"/>
    </row>
    <row r="952">
      <c r="M952" s="52"/>
      <c r="N952" s="52"/>
      <c r="O952" s="52"/>
      <c r="P952" s="52"/>
      <c r="Q952" s="52"/>
      <c r="U952" s="52"/>
    </row>
    <row r="953">
      <c r="M953" s="52"/>
      <c r="N953" s="52"/>
      <c r="O953" s="52"/>
      <c r="P953" s="52"/>
      <c r="Q953" s="52"/>
      <c r="U953" s="52"/>
    </row>
    <row r="954">
      <c r="M954" s="52"/>
      <c r="N954" s="52"/>
      <c r="O954" s="52"/>
      <c r="P954" s="52"/>
      <c r="Q954" s="52"/>
      <c r="U954" s="52"/>
    </row>
    <row r="955">
      <c r="M955" s="52"/>
      <c r="N955" s="52"/>
      <c r="O955" s="52"/>
      <c r="P955" s="52"/>
      <c r="Q955" s="52"/>
      <c r="U955" s="52"/>
    </row>
    <row r="956">
      <c r="M956" s="52"/>
      <c r="N956" s="52"/>
      <c r="O956" s="52"/>
      <c r="P956" s="52"/>
      <c r="Q956" s="52"/>
      <c r="U956" s="52"/>
    </row>
    <row r="957">
      <c r="M957" s="52"/>
      <c r="N957" s="52"/>
      <c r="O957" s="52"/>
      <c r="P957" s="52"/>
      <c r="Q957" s="52"/>
      <c r="U957" s="52"/>
    </row>
    <row r="958">
      <c r="M958" s="52"/>
      <c r="N958" s="52"/>
      <c r="O958" s="52"/>
      <c r="P958" s="52"/>
      <c r="Q958" s="52"/>
      <c r="U958" s="52"/>
    </row>
    <row r="959">
      <c r="M959" s="52"/>
      <c r="N959" s="52"/>
      <c r="O959" s="52"/>
      <c r="P959" s="52"/>
      <c r="Q959" s="52"/>
      <c r="U959" s="52"/>
    </row>
    <row r="960">
      <c r="M960" s="52"/>
      <c r="N960" s="52"/>
      <c r="O960" s="52"/>
      <c r="P960" s="52"/>
      <c r="Q960" s="52"/>
      <c r="U960" s="52"/>
    </row>
    <row r="961">
      <c r="M961" s="52"/>
      <c r="N961" s="52"/>
      <c r="O961" s="52"/>
      <c r="P961" s="52"/>
      <c r="Q961" s="52"/>
      <c r="U961" s="52"/>
    </row>
    <row r="962">
      <c r="M962" s="52"/>
      <c r="N962" s="52"/>
      <c r="O962" s="52"/>
      <c r="P962" s="52"/>
      <c r="Q962" s="52"/>
      <c r="U962" s="52"/>
    </row>
    <row r="963">
      <c r="M963" s="52"/>
      <c r="N963" s="52"/>
      <c r="O963" s="52"/>
      <c r="P963" s="52"/>
      <c r="Q963" s="52"/>
      <c r="U963" s="52"/>
    </row>
    <row r="964">
      <c r="M964" s="52"/>
      <c r="N964" s="52"/>
      <c r="O964" s="52"/>
      <c r="P964" s="52"/>
      <c r="Q964" s="52"/>
      <c r="U964" s="52"/>
    </row>
    <row r="965">
      <c r="M965" s="52"/>
      <c r="N965" s="52"/>
      <c r="O965" s="52"/>
      <c r="P965" s="52"/>
      <c r="Q965" s="52"/>
      <c r="U965" s="52"/>
    </row>
    <row r="966">
      <c r="M966" s="52"/>
      <c r="N966" s="52"/>
      <c r="O966" s="52"/>
      <c r="P966" s="52"/>
      <c r="Q966" s="52"/>
      <c r="U966" s="52"/>
    </row>
    <row r="967">
      <c r="M967" s="52"/>
      <c r="N967" s="52"/>
      <c r="O967" s="52"/>
      <c r="P967" s="52"/>
      <c r="Q967" s="52"/>
      <c r="U967" s="52"/>
    </row>
    <row r="968">
      <c r="M968" s="52"/>
      <c r="N968" s="52"/>
      <c r="O968" s="52"/>
      <c r="P968" s="52"/>
      <c r="Q968" s="52"/>
      <c r="U968" s="52"/>
    </row>
    <row r="969">
      <c r="M969" s="52"/>
      <c r="N969" s="52"/>
      <c r="O969" s="52"/>
      <c r="P969" s="52"/>
      <c r="Q969" s="52"/>
      <c r="U969" s="52"/>
    </row>
    <row r="970">
      <c r="M970" s="52"/>
      <c r="N970" s="52"/>
      <c r="O970" s="52"/>
      <c r="P970" s="52"/>
      <c r="Q970" s="52"/>
      <c r="U970" s="52"/>
    </row>
    <row r="971">
      <c r="M971" s="52"/>
      <c r="N971" s="52"/>
      <c r="O971" s="52"/>
      <c r="P971" s="52"/>
      <c r="Q971" s="52"/>
      <c r="U971" s="52"/>
    </row>
    <row r="972">
      <c r="M972" s="52"/>
      <c r="N972" s="52"/>
      <c r="O972" s="52"/>
      <c r="P972" s="52"/>
      <c r="Q972" s="52"/>
      <c r="U972" s="52"/>
    </row>
    <row r="973">
      <c r="M973" s="52"/>
      <c r="N973" s="52"/>
      <c r="O973" s="52"/>
      <c r="P973" s="52"/>
      <c r="Q973" s="52"/>
      <c r="U973" s="52"/>
    </row>
    <row r="974">
      <c r="M974" s="52"/>
      <c r="N974" s="52"/>
      <c r="O974" s="52"/>
      <c r="P974" s="52"/>
      <c r="Q974" s="52"/>
      <c r="U974" s="52"/>
    </row>
    <row r="975">
      <c r="M975" s="52"/>
      <c r="N975" s="52"/>
      <c r="O975" s="52"/>
      <c r="P975" s="52"/>
      <c r="Q975" s="52"/>
      <c r="U975" s="52"/>
    </row>
    <row r="976">
      <c r="M976" s="52"/>
      <c r="N976" s="52"/>
      <c r="O976" s="52"/>
      <c r="P976" s="52"/>
      <c r="Q976" s="52"/>
      <c r="U976" s="52"/>
    </row>
    <row r="977">
      <c r="M977" s="52"/>
      <c r="N977" s="52"/>
      <c r="O977" s="52"/>
      <c r="P977" s="52"/>
      <c r="Q977" s="52"/>
      <c r="U977" s="52"/>
    </row>
    <row r="978">
      <c r="M978" s="52"/>
      <c r="N978" s="52"/>
      <c r="O978" s="52"/>
      <c r="P978" s="52"/>
      <c r="Q978" s="52"/>
      <c r="U978" s="52"/>
    </row>
    <row r="979">
      <c r="M979" s="52"/>
      <c r="N979" s="52"/>
      <c r="O979" s="52"/>
      <c r="P979" s="52"/>
      <c r="Q979" s="52"/>
      <c r="U979" s="52"/>
    </row>
    <row r="980">
      <c r="M980" s="52"/>
      <c r="N980" s="52"/>
      <c r="O980" s="52"/>
      <c r="P980" s="52"/>
      <c r="Q980" s="52"/>
      <c r="U980" s="52"/>
    </row>
    <row r="981">
      <c r="M981" s="52"/>
      <c r="N981" s="52"/>
      <c r="O981" s="52"/>
      <c r="P981" s="52"/>
      <c r="Q981" s="52"/>
      <c r="U981" s="52"/>
    </row>
    <row r="982">
      <c r="M982" s="52"/>
      <c r="N982" s="52"/>
      <c r="O982" s="52"/>
      <c r="P982" s="52"/>
      <c r="Q982" s="52"/>
      <c r="U982" s="52"/>
    </row>
    <row r="983">
      <c r="M983" s="52"/>
      <c r="N983" s="52"/>
      <c r="O983" s="52"/>
      <c r="P983" s="52"/>
      <c r="Q983" s="52"/>
      <c r="U983" s="52"/>
    </row>
    <row r="984">
      <c r="M984" s="52"/>
      <c r="N984" s="52"/>
      <c r="O984" s="52"/>
      <c r="P984" s="52"/>
      <c r="Q984" s="52"/>
      <c r="U984" s="52"/>
    </row>
    <row r="985">
      <c r="M985" s="52"/>
      <c r="N985" s="52"/>
      <c r="O985" s="52"/>
      <c r="P985" s="52"/>
      <c r="Q985" s="52"/>
      <c r="U985" s="52"/>
    </row>
    <row r="986">
      <c r="M986" s="52"/>
      <c r="N986" s="52"/>
      <c r="O986" s="52"/>
      <c r="P986" s="52"/>
      <c r="Q986" s="52"/>
      <c r="U986" s="52"/>
    </row>
    <row r="987">
      <c r="M987" s="52"/>
      <c r="N987" s="52"/>
      <c r="O987" s="52"/>
      <c r="P987" s="52"/>
      <c r="Q987" s="52"/>
      <c r="U987" s="52"/>
    </row>
    <row r="988">
      <c r="M988" s="52"/>
      <c r="N988" s="52"/>
      <c r="O988" s="52"/>
      <c r="P988" s="52"/>
      <c r="Q988" s="52"/>
      <c r="U988" s="52"/>
    </row>
    <row r="989">
      <c r="M989" s="52"/>
      <c r="N989" s="52"/>
      <c r="O989" s="52"/>
      <c r="P989" s="52"/>
      <c r="Q989" s="52"/>
      <c r="U989" s="52"/>
    </row>
    <row r="990">
      <c r="M990" s="52"/>
      <c r="N990" s="52"/>
      <c r="O990" s="52"/>
      <c r="P990" s="52"/>
      <c r="Q990" s="52"/>
      <c r="U990" s="52"/>
    </row>
    <row r="991">
      <c r="M991" s="52"/>
      <c r="N991" s="52"/>
      <c r="O991" s="52"/>
      <c r="P991" s="52"/>
      <c r="Q991" s="52"/>
      <c r="U991" s="52"/>
    </row>
    <row r="992">
      <c r="M992" s="52"/>
      <c r="N992" s="52"/>
      <c r="O992" s="52"/>
      <c r="P992" s="52"/>
      <c r="Q992" s="52"/>
      <c r="U992" s="52"/>
    </row>
    <row r="993">
      <c r="M993" s="52"/>
      <c r="N993" s="52"/>
      <c r="O993" s="52"/>
      <c r="P993" s="52"/>
      <c r="Q993" s="52"/>
      <c r="U993" s="52"/>
    </row>
    <row r="994">
      <c r="M994" s="52"/>
      <c r="N994" s="52"/>
      <c r="O994" s="52"/>
      <c r="P994" s="52"/>
      <c r="Q994" s="52"/>
      <c r="U994" s="52"/>
    </row>
    <row r="995">
      <c r="M995" s="52"/>
      <c r="N995" s="52"/>
      <c r="O995" s="52"/>
      <c r="P995" s="52"/>
      <c r="Q995" s="52"/>
      <c r="U995" s="52"/>
    </row>
    <row r="996">
      <c r="M996" s="52"/>
      <c r="N996" s="52"/>
      <c r="O996" s="52"/>
      <c r="P996" s="52"/>
      <c r="Q996" s="52"/>
      <c r="U996" s="52"/>
    </row>
    <row r="997">
      <c r="M997" s="52"/>
      <c r="N997" s="52"/>
      <c r="O997" s="52"/>
      <c r="P997" s="52"/>
      <c r="Q997" s="52"/>
      <c r="U997" s="52"/>
    </row>
    <row r="998">
      <c r="M998" s="52"/>
      <c r="N998" s="52"/>
      <c r="O998" s="52"/>
      <c r="P998" s="52"/>
      <c r="Q998" s="52"/>
      <c r="U998" s="52"/>
    </row>
    <row r="999">
      <c r="M999" s="52"/>
      <c r="N999" s="52"/>
      <c r="O999" s="52"/>
      <c r="P999" s="52"/>
      <c r="Q999" s="52"/>
      <c r="U999" s="52"/>
    </row>
    <row r="1000">
      <c r="M1000" s="52"/>
      <c r="N1000" s="52"/>
      <c r="O1000" s="52"/>
      <c r="P1000" s="52"/>
      <c r="Q1000" s="52"/>
      <c r="U1000" s="52"/>
    </row>
  </sheetData>
  <mergeCells count="7">
    <mergeCell ref="A1:A2"/>
    <mergeCell ref="B1:B2"/>
    <mergeCell ref="C1:G1"/>
    <mergeCell ref="H1:I1"/>
    <mergeCell ref="J1:J2"/>
    <mergeCell ref="K1:O1"/>
    <mergeCell ref="P1:U1"/>
  </mergeCells>
  <conditionalFormatting sqref="N3:N9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G3:G9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3:H9">
    <cfRule type="colorScale" priority="3">
      <colorScale>
        <cfvo type="formula" val="0"/>
        <cfvo type="max"/>
        <color rgb="FFFFFFFF"/>
        <color rgb="FF57BB8A"/>
      </colorScale>
    </cfRule>
  </conditionalFormatting>
  <conditionalFormatting sqref="I3:I9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J3:J9">
    <cfRule type="colorScale" priority="5">
      <colorScale>
        <cfvo type="formula" val="0"/>
        <cfvo type="max"/>
        <color rgb="FFFFFFFF"/>
        <color rgb="FF57BB8A"/>
      </colorScale>
    </cfRule>
  </conditionalFormatting>
  <conditionalFormatting sqref="K3:K9">
    <cfRule type="colorScale" priority="6">
      <colorScale>
        <cfvo type="formula" val="0"/>
        <cfvo type="max"/>
        <color rgb="FFFFFFFF"/>
        <color rgb="FF57BB8A"/>
      </colorScale>
    </cfRule>
  </conditionalFormatting>
  <conditionalFormatting sqref="L3:L9">
    <cfRule type="colorScale" priority="7">
      <colorScale>
        <cfvo type="formula" val="0"/>
        <cfvo type="max"/>
        <color rgb="FFFFFFFF"/>
        <color rgb="FFE67C73"/>
      </colorScale>
    </cfRule>
  </conditionalFormatting>
  <conditionalFormatting sqref="C3:C9">
    <cfRule type="colorScale" priority="8">
      <colorScale>
        <cfvo type="formula" val="0"/>
        <cfvo type="max"/>
        <color rgb="FFFFFFFF"/>
        <color rgb="FFFFD666"/>
      </colorScale>
    </cfRule>
  </conditionalFormatting>
  <conditionalFormatting sqref="D3:D9">
    <cfRule type="colorScale" priority="9">
      <colorScale>
        <cfvo type="formula" val="0"/>
        <cfvo type="max"/>
        <color rgb="FFFFFFFF"/>
        <color rgb="FF57BB8A"/>
      </colorScale>
    </cfRule>
  </conditionalFormatting>
  <conditionalFormatting sqref="E3:E9">
    <cfRule type="colorScale" priority="10">
      <colorScale>
        <cfvo type="formula" val="0"/>
        <cfvo type="max"/>
        <color rgb="FFFFFFFF"/>
        <color rgb="FFE67C73"/>
      </colorScale>
    </cfRule>
  </conditionalFormatting>
  <conditionalFormatting sqref="F3:F9">
    <cfRule type="colorScale" priority="11">
      <colorScale>
        <cfvo type="formula" val="0"/>
        <cfvo type="max"/>
        <color rgb="FFFFFFFF"/>
        <color rgb="FF57BB8A"/>
      </colorScale>
    </cfRule>
  </conditionalFormatting>
  <conditionalFormatting sqref="M3:M9">
    <cfRule type="colorScale" priority="12">
      <colorScale>
        <cfvo type="formula" val="0"/>
        <cfvo type="max"/>
        <color rgb="FFFFFFFF"/>
        <color rgb="FFFFD666"/>
      </colorScale>
    </cfRule>
  </conditionalFormatting>
  <conditionalFormatting sqref="O3:O9">
    <cfRule type="colorScale" priority="13">
      <colorScale>
        <cfvo type="formula" val="0"/>
        <cfvo type="formula" val="1"/>
        <color rgb="FFFFFFFF"/>
        <color rgb="FF57BB8A"/>
      </colorScale>
    </cfRule>
  </conditionalFormatting>
  <conditionalFormatting sqref="P3:P9">
    <cfRule type="colorScale" priority="14">
      <colorScale>
        <cfvo type="formula" val="0"/>
        <cfvo type="max"/>
        <color rgb="FFFFFFFF"/>
        <color rgb="FFFFD666"/>
      </colorScale>
    </cfRule>
  </conditionalFormatting>
  <conditionalFormatting sqref="U3:U9">
    <cfRule type="colorScale" priority="15">
      <colorScale>
        <cfvo type="formula" val="0"/>
        <cfvo type="formula" val="2"/>
        <cfvo type="formula" val="3"/>
        <color rgb="FFE67C73"/>
        <color rgb="FFFFFFFF"/>
        <color rgb="FF57BB8A"/>
      </colorScale>
    </cfRule>
  </conditionalFormatting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7.63"/>
    <col customWidth="1" min="4" max="4" width="5.63"/>
    <col customWidth="1" min="5" max="5" width="6.88"/>
    <col customWidth="1" min="6" max="6" width="8.38"/>
    <col customWidth="1" min="7" max="7" width="15.5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1" t="s">
        <v>4</v>
      </c>
      <c r="K1" s="6" t="s">
        <v>5</v>
      </c>
      <c r="L1" s="4"/>
      <c r="M1" s="4"/>
      <c r="N1" s="4"/>
      <c r="O1" s="5"/>
      <c r="P1" s="30" t="s">
        <v>6</v>
      </c>
      <c r="Q1" s="4"/>
      <c r="R1" s="4"/>
      <c r="S1" s="4"/>
      <c r="T1" s="4"/>
      <c r="U1" s="5"/>
    </row>
    <row r="2">
      <c r="A2" s="9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2" t="s">
        <v>13</v>
      </c>
      <c r="I2" s="12" t="s">
        <v>14</v>
      </c>
      <c r="J2" s="9"/>
      <c r="K2" s="10" t="s">
        <v>15</v>
      </c>
      <c r="L2" s="12" t="s">
        <v>10</v>
      </c>
      <c r="M2" s="10" t="s">
        <v>16</v>
      </c>
      <c r="N2" s="10" t="s">
        <v>12</v>
      </c>
      <c r="O2" s="10" t="s">
        <v>18</v>
      </c>
      <c r="P2" s="15" t="s">
        <v>8</v>
      </c>
      <c r="Q2" s="15">
        <v>0.0</v>
      </c>
      <c r="R2" s="15">
        <v>1.0</v>
      </c>
      <c r="S2" s="15">
        <v>2.0</v>
      </c>
      <c r="T2" s="15">
        <v>3.0</v>
      </c>
      <c r="U2" s="15" t="s">
        <v>19</v>
      </c>
    </row>
    <row r="3">
      <c r="A3" s="18" t="s">
        <v>21</v>
      </c>
      <c r="B3" s="18" t="s">
        <v>41</v>
      </c>
      <c r="C3" s="10">
        <v>1.0</v>
      </c>
      <c r="D3" s="10"/>
      <c r="E3" s="10"/>
      <c r="F3" s="10">
        <v>1.0</v>
      </c>
      <c r="G3" s="35">
        <f t="shared" ref="G3:G9" si="1">IFS(C3=0, "N/A", C3&lt;&gt;0,(D3-E3)/C3 )</f>
        <v>0</v>
      </c>
      <c r="H3" s="35"/>
      <c r="I3" s="10"/>
      <c r="J3" s="10">
        <v>2.0</v>
      </c>
      <c r="K3" s="35"/>
      <c r="L3" s="10">
        <v>1.0</v>
      </c>
      <c r="M3" s="10">
        <v>1.0</v>
      </c>
      <c r="N3" s="35">
        <f t="shared" ref="N3:N9" si="2">ifs(M3=0,"N/A",M3&lt;&gt;0,(M3-L3) /M3)</f>
        <v>0</v>
      </c>
      <c r="O3" s="35">
        <f t="shared" ref="O3:O9" si="3">IFS(M3=0, "N/A", M3&lt;&gt;0, K3/M3)</f>
        <v>0</v>
      </c>
      <c r="P3" s="10">
        <v>2.0</v>
      </c>
      <c r="Q3" s="10">
        <v>1.0</v>
      </c>
      <c r="R3" s="10"/>
      <c r="S3" s="10"/>
      <c r="T3" s="10">
        <v>1.0</v>
      </c>
      <c r="U3" s="10">
        <f t="shared" ref="U3:U9" si="4">ifs(P3=0, "N/A",P3&lt;&gt;0,(R3 + S3*2 +T3*3)/P3)</f>
        <v>1.5</v>
      </c>
    </row>
    <row r="4">
      <c r="A4" s="21" t="s">
        <v>24</v>
      </c>
      <c r="B4" s="21" t="s">
        <v>84</v>
      </c>
      <c r="C4" s="10">
        <v>2.0</v>
      </c>
      <c r="D4" s="10">
        <v>1.0</v>
      </c>
      <c r="E4" s="10"/>
      <c r="F4" s="35"/>
      <c r="G4" s="35">
        <f t="shared" si="1"/>
        <v>0.5</v>
      </c>
      <c r="H4" s="10"/>
      <c r="I4" s="10">
        <v>3.0</v>
      </c>
      <c r="J4" s="10"/>
      <c r="K4" s="35"/>
      <c r="L4" s="10"/>
      <c r="M4" s="10">
        <v>1.0</v>
      </c>
      <c r="N4" s="35">
        <f t="shared" si="2"/>
        <v>1</v>
      </c>
      <c r="O4" s="35">
        <f t="shared" si="3"/>
        <v>0</v>
      </c>
      <c r="P4" s="10">
        <v>2.0</v>
      </c>
      <c r="Q4" s="10"/>
      <c r="R4" s="10">
        <v>1.0</v>
      </c>
      <c r="S4" s="10">
        <v>1.0</v>
      </c>
      <c r="T4" s="35"/>
      <c r="U4" s="10">
        <f t="shared" si="4"/>
        <v>1.5</v>
      </c>
    </row>
    <row r="5">
      <c r="A5" s="22" t="s">
        <v>26</v>
      </c>
      <c r="B5" s="22" t="s">
        <v>42</v>
      </c>
      <c r="C5" s="10"/>
      <c r="D5" s="10"/>
      <c r="E5" s="10"/>
      <c r="F5" s="10">
        <v>6.0</v>
      </c>
      <c r="G5" s="35" t="str">
        <f t="shared" si="1"/>
        <v>N/A</v>
      </c>
      <c r="H5" s="10"/>
      <c r="I5" s="10"/>
      <c r="J5" s="10"/>
      <c r="K5" s="10">
        <v>1.0</v>
      </c>
      <c r="L5" s="10">
        <v>1.0</v>
      </c>
      <c r="M5" s="10">
        <v>6.0</v>
      </c>
      <c r="N5" s="35">
        <f t="shared" si="2"/>
        <v>0.8333333333</v>
      </c>
      <c r="O5" s="35">
        <f t="shared" si="3"/>
        <v>0.1666666667</v>
      </c>
      <c r="P5" s="10">
        <f>sum(Q5,R5,S5,T5)</f>
        <v>0</v>
      </c>
      <c r="Q5" s="35"/>
      <c r="R5" s="35"/>
      <c r="S5" s="35"/>
      <c r="T5" s="10"/>
      <c r="U5" s="10" t="str">
        <f t="shared" si="4"/>
        <v>N/A</v>
      </c>
    </row>
    <row r="6">
      <c r="A6" s="23" t="s">
        <v>28</v>
      </c>
      <c r="B6" s="23" t="s">
        <v>43</v>
      </c>
      <c r="C6" s="10">
        <v>7.0</v>
      </c>
      <c r="D6" s="10">
        <v>3.0</v>
      </c>
      <c r="E6" s="10">
        <v>1.0</v>
      </c>
      <c r="F6" s="35"/>
      <c r="G6" s="35">
        <f t="shared" si="1"/>
        <v>0.2857142857</v>
      </c>
      <c r="H6" s="35"/>
      <c r="I6" s="10">
        <v>1.0</v>
      </c>
      <c r="J6" s="10"/>
      <c r="K6" s="10"/>
      <c r="L6" s="10"/>
      <c r="M6" s="10">
        <v>1.0</v>
      </c>
      <c r="N6" s="35">
        <f t="shared" si="2"/>
        <v>1</v>
      </c>
      <c r="O6" s="35">
        <f t="shared" si="3"/>
        <v>0</v>
      </c>
      <c r="P6" s="10">
        <v>5.0</v>
      </c>
      <c r="Q6" s="10">
        <v>1.0</v>
      </c>
      <c r="R6" s="10">
        <v>1.0</v>
      </c>
      <c r="S6" s="10"/>
      <c r="T6" s="10">
        <v>3.0</v>
      </c>
      <c r="U6" s="10">
        <f t="shared" si="4"/>
        <v>2</v>
      </c>
    </row>
    <row r="7">
      <c r="A7" s="24" t="s">
        <v>30</v>
      </c>
      <c r="B7" s="24" t="s">
        <v>85</v>
      </c>
      <c r="C7" s="10">
        <v>7.0</v>
      </c>
      <c r="D7" s="10">
        <v>3.0</v>
      </c>
      <c r="E7" s="10">
        <v>2.0</v>
      </c>
      <c r="F7" s="35"/>
      <c r="G7" s="35">
        <f t="shared" si="1"/>
        <v>0.1428571429</v>
      </c>
      <c r="H7" s="35"/>
      <c r="I7" s="10">
        <v>1.0</v>
      </c>
      <c r="J7" s="10">
        <v>2.0</v>
      </c>
      <c r="K7" s="35"/>
      <c r="L7" s="10"/>
      <c r="M7" s="10">
        <v>2.0</v>
      </c>
      <c r="N7" s="35">
        <f t="shared" si="2"/>
        <v>1</v>
      </c>
      <c r="O7" s="35">
        <f t="shared" si="3"/>
        <v>0</v>
      </c>
      <c r="P7" s="10">
        <f>sum(Q7,R7,S7,T7)</f>
        <v>0</v>
      </c>
      <c r="Q7" s="10"/>
      <c r="R7" s="35"/>
      <c r="S7" s="10"/>
      <c r="T7" s="35"/>
      <c r="U7" s="10" t="str">
        <f t="shared" si="4"/>
        <v>N/A</v>
      </c>
    </row>
    <row r="8">
      <c r="A8" s="25" t="s">
        <v>32</v>
      </c>
      <c r="B8" s="25" t="s">
        <v>45</v>
      </c>
      <c r="C8" s="10"/>
      <c r="D8" s="10"/>
      <c r="E8" s="10"/>
      <c r="F8" s="35"/>
      <c r="G8" s="35" t="str">
        <f t="shared" si="1"/>
        <v>N/A</v>
      </c>
      <c r="H8" s="35"/>
      <c r="I8" s="10">
        <v>1.0</v>
      </c>
      <c r="J8" s="10">
        <v>2.0</v>
      </c>
      <c r="K8" s="35"/>
      <c r="L8" s="35"/>
      <c r="M8" s="10">
        <v>2.0</v>
      </c>
      <c r="N8" s="35">
        <f t="shared" si="2"/>
        <v>1</v>
      </c>
      <c r="O8" s="35">
        <f t="shared" si="3"/>
        <v>0</v>
      </c>
      <c r="P8" s="10">
        <v>1.0</v>
      </c>
      <c r="Q8" s="10"/>
      <c r="R8" s="10">
        <v>1.0</v>
      </c>
      <c r="S8" s="35"/>
      <c r="T8" s="35"/>
      <c r="U8" s="10">
        <f t="shared" si="4"/>
        <v>1</v>
      </c>
    </row>
    <row r="9">
      <c r="A9" s="26" t="s">
        <v>34</v>
      </c>
      <c r="B9" s="26" t="s">
        <v>22</v>
      </c>
      <c r="C9" s="10"/>
      <c r="D9" s="10"/>
      <c r="E9" s="10"/>
      <c r="F9" s="35"/>
      <c r="G9" s="35" t="str">
        <f t="shared" si="1"/>
        <v>N/A</v>
      </c>
      <c r="H9" s="35"/>
      <c r="I9" s="35"/>
      <c r="J9" s="10"/>
      <c r="K9" s="35"/>
      <c r="L9" s="10"/>
      <c r="M9" s="35"/>
      <c r="N9" s="35" t="str">
        <f t="shared" si="2"/>
        <v>N/A</v>
      </c>
      <c r="O9" s="35" t="str">
        <f t="shared" si="3"/>
        <v>N/A</v>
      </c>
      <c r="P9" s="10">
        <f>sum(Q9,R9,S9,T9)</f>
        <v>0</v>
      </c>
      <c r="Q9" s="35"/>
      <c r="R9" s="10"/>
      <c r="S9" s="10"/>
      <c r="T9" s="35"/>
      <c r="U9" s="10" t="str">
        <f t="shared" si="4"/>
        <v>N/A</v>
      </c>
    </row>
    <row r="10">
      <c r="M10" s="52"/>
      <c r="N10" s="52"/>
      <c r="O10" s="52"/>
      <c r="P10" s="52"/>
      <c r="Q10" s="52"/>
      <c r="U10" s="52"/>
    </row>
    <row r="11">
      <c r="M11" s="27" t="s">
        <v>36</v>
      </c>
      <c r="N11" s="52"/>
      <c r="O11" s="52"/>
      <c r="P11" s="52"/>
      <c r="Q11" s="52"/>
      <c r="U11" s="52"/>
    </row>
    <row r="12">
      <c r="M12" s="52"/>
      <c r="N12" s="52"/>
      <c r="O12" s="52"/>
      <c r="P12" s="52"/>
      <c r="Q12" s="52"/>
      <c r="U12" s="52"/>
    </row>
    <row r="13">
      <c r="M13" s="52"/>
      <c r="N13" s="52"/>
      <c r="O13" s="52"/>
      <c r="P13" s="52"/>
      <c r="Q13" s="52"/>
      <c r="U13" s="52"/>
    </row>
    <row r="14">
      <c r="M14" s="52"/>
      <c r="N14" s="52"/>
      <c r="O14" s="52"/>
      <c r="P14" s="52"/>
      <c r="Q14" s="52"/>
      <c r="U14" s="52"/>
    </row>
    <row r="15">
      <c r="M15" s="52"/>
      <c r="N15" s="52"/>
      <c r="O15" s="52"/>
      <c r="P15" s="52"/>
      <c r="Q15" s="52"/>
      <c r="U15" s="52"/>
    </row>
    <row r="16">
      <c r="M16" s="52"/>
      <c r="N16" s="52"/>
      <c r="O16" s="52"/>
      <c r="P16" s="52"/>
      <c r="Q16" s="52"/>
      <c r="U16" s="52"/>
    </row>
    <row r="17">
      <c r="M17" s="52"/>
      <c r="N17" s="52"/>
      <c r="O17" s="52"/>
      <c r="P17" s="52"/>
      <c r="Q17" s="52"/>
      <c r="U17" s="52"/>
    </row>
    <row r="18">
      <c r="M18" s="52"/>
      <c r="N18" s="52"/>
      <c r="O18" s="52"/>
      <c r="P18" s="52"/>
      <c r="Q18" s="52"/>
      <c r="U18" s="52"/>
    </row>
    <row r="19">
      <c r="M19" s="52"/>
      <c r="N19" s="52"/>
      <c r="O19" s="52"/>
      <c r="P19" s="52"/>
      <c r="Q19" s="52"/>
      <c r="U19" s="52"/>
    </row>
    <row r="20">
      <c r="M20" s="52"/>
      <c r="N20" s="52"/>
      <c r="O20" s="52"/>
      <c r="P20" s="52"/>
      <c r="Q20" s="52"/>
      <c r="U20" s="52"/>
    </row>
    <row r="21">
      <c r="M21" s="52"/>
      <c r="N21" s="52"/>
      <c r="O21" s="52"/>
      <c r="P21" s="52"/>
      <c r="Q21" s="52"/>
      <c r="U21" s="52"/>
    </row>
    <row r="22">
      <c r="M22" s="52"/>
      <c r="N22" s="52"/>
      <c r="O22" s="52"/>
      <c r="P22" s="52"/>
      <c r="Q22" s="52"/>
      <c r="U22" s="52"/>
    </row>
    <row r="23">
      <c r="M23" s="52"/>
      <c r="N23" s="52"/>
      <c r="O23" s="52"/>
      <c r="P23" s="52"/>
      <c r="Q23" s="52"/>
      <c r="U23" s="52"/>
    </row>
    <row r="24">
      <c r="M24" s="52"/>
      <c r="N24" s="52"/>
      <c r="O24" s="52"/>
      <c r="P24" s="52"/>
      <c r="Q24" s="52"/>
      <c r="U24" s="52"/>
    </row>
    <row r="25">
      <c r="M25" s="52"/>
      <c r="N25" s="52"/>
      <c r="O25" s="52"/>
      <c r="P25" s="52"/>
      <c r="Q25" s="52"/>
      <c r="U25" s="52"/>
    </row>
    <row r="26">
      <c r="M26" s="52"/>
      <c r="N26" s="52"/>
      <c r="O26" s="52"/>
      <c r="P26" s="52"/>
      <c r="Q26" s="52"/>
      <c r="U26" s="52"/>
    </row>
    <row r="27">
      <c r="M27" s="52"/>
      <c r="N27" s="52"/>
      <c r="O27" s="52"/>
      <c r="P27" s="52"/>
      <c r="Q27" s="52"/>
      <c r="U27" s="52"/>
    </row>
    <row r="28">
      <c r="M28" s="52"/>
      <c r="N28" s="52"/>
      <c r="O28" s="52"/>
      <c r="P28" s="52"/>
      <c r="Q28" s="52"/>
      <c r="U28" s="52"/>
    </row>
    <row r="29">
      <c r="M29" s="52"/>
      <c r="N29" s="52"/>
      <c r="O29" s="52"/>
      <c r="P29" s="52"/>
      <c r="Q29" s="52"/>
      <c r="U29" s="52"/>
    </row>
    <row r="30">
      <c r="M30" s="52"/>
      <c r="N30" s="52"/>
      <c r="O30" s="52"/>
      <c r="P30" s="52"/>
      <c r="Q30" s="52"/>
      <c r="U30" s="52"/>
    </row>
    <row r="31">
      <c r="M31" s="52"/>
      <c r="N31" s="52"/>
      <c r="O31" s="52"/>
      <c r="P31" s="52"/>
      <c r="Q31" s="52"/>
      <c r="U31" s="52"/>
    </row>
    <row r="32">
      <c r="M32" s="52"/>
      <c r="N32" s="52"/>
      <c r="O32" s="52"/>
      <c r="P32" s="52"/>
      <c r="Q32" s="52"/>
      <c r="U32" s="52"/>
    </row>
    <row r="33">
      <c r="M33" s="52"/>
      <c r="N33" s="52"/>
      <c r="O33" s="52"/>
      <c r="P33" s="52"/>
      <c r="Q33" s="52"/>
      <c r="U33" s="52"/>
    </row>
    <row r="34">
      <c r="M34" s="52"/>
      <c r="N34" s="52"/>
      <c r="O34" s="52"/>
      <c r="P34" s="52"/>
      <c r="Q34" s="52"/>
      <c r="U34" s="52"/>
    </row>
    <row r="35">
      <c r="M35" s="52"/>
      <c r="N35" s="52"/>
      <c r="O35" s="52"/>
      <c r="P35" s="52"/>
      <c r="Q35" s="52"/>
      <c r="U35" s="52"/>
    </row>
    <row r="36">
      <c r="M36" s="52"/>
      <c r="N36" s="52"/>
      <c r="O36" s="52"/>
      <c r="P36" s="52"/>
      <c r="Q36" s="52"/>
      <c r="U36" s="52"/>
    </row>
    <row r="37">
      <c r="M37" s="52"/>
      <c r="N37" s="52"/>
      <c r="O37" s="52"/>
      <c r="P37" s="52"/>
      <c r="Q37" s="52"/>
      <c r="U37" s="52"/>
    </row>
    <row r="38">
      <c r="M38" s="52"/>
      <c r="N38" s="52"/>
      <c r="O38" s="52"/>
      <c r="P38" s="52"/>
      <c r="Q38" s="52"/>
      <c r="U38" s="52"/>
    </row>
    <row r="39">
      <c r="M39" s="52"/>
      <c r="N39" s="52"/>
      <c r="O39" s="52"/>
      <c r="P39" s="52"/>
      <c r="Q39" s="52"/>
      <c r="U39" s="52"/>
    </row>
    <row r="40">
      <c r="M40" s="52"/>
      <c r="N40" s="52"/>
      <c r="O40" s="52"/>
      <c r="P40" s="52"/>
      <c r="Q40" s="52"/>
      <c r="U40" s="52"/>
    </row>
    <row r="41">
      <c r="M41" s="52"/>
      <c r="N41" s="52"/>
      <c r="O41" s="52"/>
      <c r="P41" s="52"/>
      <c r="Q41" s="52"/>
      <c r="U41" s="52"/>
    </row>
    <row r="42">
      <c r="M42" s="52"/>
      <c r="N42" s="52"/>
      <c r="O42" s="52"/>
      <c r="P42" s="52"/>
      <c r="Q42" s="52"/>
      <c r="U42" s="52"/>
    </row>
    <row r="43">
      <c r="M43" s="52"/>
      <c r="N43" s="52"/>
      <c r="O43" s="52"/>
      <c r="P43" s="52"/>
      <c r="Q43" s="52"/>
      <c r="U43" s="52"/>
    </row>
    <row r="44">
      <c r="M44" s="52"/>
      <c r="N44" s="52"/>
      <c r="O44" s="52"/>
      <c r="P44" s="52"/>
      <c r="Q44" s="52"/>
      <c r="U44" s="52"/>
    </row>
    <row r="45">
      <c r="M45" s="52"/>
      <c r="N45" s="52"/>
      <c r="O45" s="52"/>
      <c r="P45" s="52"/>
      <c r="Q45" s="52"/>
      <c r="U45" s="52"/>
    </row>
    <row r="46">
      <c r="M46" s="52"/>
      <c r="N46" s="52"/>
      <c r="O46" s="52"/>
      <c r="P46" s="52"/>
      <c r="Q46" s="52"/>
      <c r="U46" s="52"/>
    </row>
    <row r="47">
      <c r="M47" s="52"/>
      <c r="N47" s="52"/>
      <c r="O47" s="52"/>
      <c r="P47" s="52"/>
      <c r="Q47" s="52"/>
      <c r="U47" s="52"/>
    </row>
    <row r="48">
      <c r="M48" s="52"/>
      <c r="N48" s="52"/>
      <c r="O48" s="52"/>
      <c r="P48" s="52"/>
      <c r="Q48" s="52"/>
      <c r="U48" s="52"/>
    </row>
    <row r="49">
      <c r="M49" s="52"/>
      <c r="N49" s="52"/>
      <c r="O49" s="52"/>
      <c r="P49" s="52"/>
      <c r="Q49" s="52"/>
      <c r="U49" s="52"/>
    </row>
    <row r="50">
      <c r="M50" s="52"/>
      <c r="N50" s="52"/>
      <c r="O50" s="52"/>
      <c r="P50" s="52"/>
      <c r="Q50" s="52"/>
      <c r="U50" s="52"/>
    </row>
    <row r="51">
      <c r="M51" s="52"/>
      <c r="N51" s="52"/>
      <c r="O51" s="52"/>
      <c r="P51" s="52"/>
      <c r="Q51" s="52"/>
      <c r="U51" s="52"/>
    </row>
    <row r="52">
      <c r="M52" s="52"/>
      <c r="N52" s="52"/>
      <c r="O52" s="52"/>
      <c r="P52" s="52"/>
      <c r="Q52" s="52"/>
      <c r="U52" s="52"/>
    </row>
    <row r="53">
      <c r="M53" s="52"/>
      <c r="N53" s="52"/>
      <c r="O53" s="52"/>
      <c r="P53" s="52"/>
      <c r="Q53" s="52"/>
      <c r="U53" s="52"/>
    </row>
    <row r="54">
      <c r="M54" s="52"/>
      <c r="N54" s="52"/>
      <c r="O54" s="52"/>
      <c r="P54" s="52"/>
      <c r="Q54" s="52"/>
      <c r="U54" s="52"/>
    </row>
    <row r="55">
      <c r="M55" s="52"/>
      <c r="N55" s="52"/>
      <c r="O55" s="52"/>
      <c r="P55" s="52"/>
      <c r="Q55" s="52"/>
      <c r="U55" s="52"/>
    </row>
    <row r="56">
      <c r="M56" s="52"/>
      <c r="N56" s="52"/>
      <c r="O56" s="52"/>
      <c r="P56" s="52"/>
      <c r="Q56" s="52"/>
      <c r="U56" s="52"/>
    </row>
    <row r="57">
      <c r="M57" s="52"/>
      <c r="N57" s="52"/>
      <c r="O57" s="52"/>
      <c r="P57" s="52"/>
      <c r="Q57" s="52"/>
      <c r="U57" s="52"/>
    </row>
    <row r="58">
      <c r="M58" s="52"/>
      <c r="N58" s="52"/>
      <c r="O58" s="52"/>
      <c r="P58" s="52"/>
      <c r="Q58" s="52"/>
      <c r="U58" s="52"/>
    </row>
    <row r="59">
      <c r="M59" s="52"/>
      <c r="N59" s="52"/>
      <c r="O59" s="52"/>
      <c r="P59" s="52"/>
      <c r="Q59" s="52"/>
      <c r="U59" s="52"/>
    </row>
    <row r="60">
      <c r="M60" s="52"/>
      <c r="N60" s="52"/>
      <c r="O60" s="52"/>
      <c r="P60" s="52"/>
      <c r="Q60" s="52"/>
      <c r="U60" s="52"/>
    </row>
    <row r="61">
      <c r="M61" s="52"/>
      <c r="N61" s="52"/>
      <c r="O61" s="52"/>
      <c r="P61" s="52"/>
      <c r="Q61" s="52"/>
      <c r="U61" s="52"/>
    </row>
    <row r="62">
      <c r="M62" s="52"/>
      <c r="N62" s="52"/>
      <c r="O62" s="52"/>
      <c r="P62" s="52"/>
      <c r="Q62" s="52"/>
      <c r="U62" s="52"/>
    </row>
    <row r="63">
      <c r="M63" s="52"/>
      <c r="N63" s="52"/>
      <c r="O63" s="52"/>
      <c r="P63" s="52"/>
      <c r="Q63" s="52"/>
      <c r="U63" s="52"/>
    </row>
    <row r="64">
      <c r="M64" s="52"/>
      <c r="N64" s="52"/>
      <c r="O64" s="52"/>
      <c r="P64" s="52"/>
      <c r="Q64" s="52"/>
      <c r="U64" s="52"/>
    </row>
    <row r="65">
      <c r="M65" s="52"/>
      <c r="N65" s="52"/>
      <c r="O65" s="52"/>
      <c r="P65" s="52"/>
      <c r="Q65" s="52"/>
      <c r="U65" s="52"/>
    </row>
    <row r="66">
      <c r="M66" s="52"/>
      <c r="N66" s="52"/>
      <c r="O66" s="52"/>
      <c r="P66" s="52"/>
      <c r="Q66" s="52"/>
      <c r="U66" s="52"/>
    </row>
    <row r="67">
      <c r="M67" s="52"/>
      <c r="N67" s="52"/>
      <c r="O67" s="52"/>
      <c r="P67" s="52"/>
      <c r="Q67" s="52"/>
      <c r="U67" s="52"/>
    </row>
    <row r="68">
      <c r="M68" s="52"/>
      <c r="N68" s="52"/>
      <c r="O68" s="52"/>
      <c r="P68" s="52"/>
      <c r="Q68" s="52"/>
      <c r="U68" s="52"/>
    </row>
    <row r="69">
      <c r="M69" s="52"/>
      <c r="N69" s="52"/>
      <c r="O69" s="52"/>
      <c r="P69" s="52"/>
      <c r="Q69" s="52"/>
      <c r="U69" s="52"/>
    </row>
    <row r="70">
      <c r="M70" s="52"/>
      <c r="N70" s="52"/>
      <c r="O70" s="52"/>
      <c r="P70" s="52"/>
      <c r="Q70" s="52"/>
      <c r="U70" s="52"/>
    </row>
    <row r="71">
      <c r="M71" s="52"/>
      <c r="N71" s="52"/>
      <c r="O71" s="52"/>
      <c r="P71" s="52"/>
      <c r="Q71" s="52"/>
      <c r="U71" s="52"/>
    </row>
    <row r="72">
      <c r="M72" s="52"/>
      <c r="N72" s="52"/>
      <c r="O72" s="52"/>
      <c r="P72" s="52"/>
      <c r="Q72" s="52"/>
      <c r="U72" s="52"/>
    </row>
    <row r="73">
      <c r="M73" s="52"/>
      <c r="N73" s="52"/>
      <c r="O73" s="52"/>
      <c r="P73" s="52"/>
      <c r="Q73" s="52"/>
      <c r="U73" s="52"/>
    </row>
    <row r="74">
      <c r="M74" s="52"/>
      <c r="N74" s="52"/>
      <c r="O74" s="52"/>
      <c r="P74" s="52"/>
      <c r="Q74" s="52"/>
      <c r="U74" s="52"/>
    </row>
    <row r="75">
      <c r="M75" s="52"/>
      <c r="N75" s="52"/>
      <c r="O75" s="52"/>
      <c r="P75" s="52"/>
      <c r="Q75" s="52"/>
      <c r="U75" s="52"/>
    </row>
    <row r="76">
      <c r="M76" s="52"/>
      <c r="N76" s="52"/>
      <c r="O76" s="52"/>
      <c r="P76" s="52"/>
      <c r="Q76" s="52"/>
      <c r="U76" s="52"/>
    </row>
    <row r="77">
      <c r="M77" s="52"/>
      <c r="N77" s="52"/>
      <c r="O77" s="52"/>
      <c r="P77" s="52"/>
      <c r="Q77" s="52"/>
      <c r="U77" s="52"/>
    </row>
    <row r="78">
      <c r="M78" s="52"/>
      <c r="N78" s="52"/>
      <c r="O78" s="52"/>
      <c r="P78" s="52"/>
      <c r="Q78" s="52"/>
      <c r="U78" s="52"/>
    </row>
    <row r="79">
      <c r="M79" s="52"/>
      <c r="N79" s="52"/>
      <c r="O79" s="52"/>
      <c r="P79" s="52"/>
      <c r="Q79" s="52"/>
      <c r="U79" s="52"/>
    </row>
    <row r="80">
      <c r="M80" s="52"/>
      <c r="N80" s="52"/>
      <c r="O80" s="52"/>
      <c r="P80" s="52"/>
      <c r="Q80" s="52"/>
      <c r="U80" s="52"/>
    </row>
    <row r="81">
      <c r="M81" s="52"/>
      <c r="N81" s="52"/>
      <c r="O81" s="52"/>
      <c r="P81" s="52"/>
      <c r="Q81" s="52"/>
      <c r="U81" s="52"/>
    </row>
    <row r="82">
      <c r="M82" s="52"/>
      <c r="N82" s="52"/>
      <c r="O82" s="52"/>
      <c r="P82" s="52"/>
      <c r="Q82" s="52"/>
      <c r="U82" s="52"/>
    </row>
    <row r="83">
      <c r="M83" s="52"/>
      <c r="N83" s="52"/>
      <c r="O83" s="52"/>
      <c r="P83" s="52"/>
      <c r="Q83" s="52"/>
      <c r="U83" s="52"/>
    </row>
    <row r="84">
      <c r="M84" s="52"/>
      <c r="N84" s="52"/>
      <c r="O84" s="52"/>
      <c r="P84" s="52"/>
      <c r="Q84" s="52"/>
      <c r="U84" s="52"/>
    </row>
    <row r="85">
      <c r="M85" s="52"/>
      <c r="N85" s="52"/>
      <c r="O85" s="52"/>
      <c r="P85" s="52"/>
      <c r="Q85" s="52"/>
      <c r="U85" s="52"/>
    </row>
    <row r="86">
      <c r="M86" s="52"/>
      <c r="N86" s="52"/>
      <c r="O86" s="52"/>
      <c r="P86" s="52"/>
      <c r="Q86" s="52"/>
      <c r="U86" s="52"/>
    </row>
    <row r="87">
      <c r="M87" s="52"/>
      <c r="N87" s="52"/>
      <c r="O87" s="52"/>
      <c r="P87" s="52"/>
      <c r="Q87" s="52"/>
      <c r="U87" s="52"/>
    </row>
    <row r="88">
      <c r="M88" s="52"/>
      <c r="N88" s="52"/>
      <c r="O88" s="52"/>
      <c r="P88" s="52"/>
      <c r="Q88" s="52"/>
      <c r="U88" s="52"/>
    </row>
    <row r="89">
      <c r="M89" s="52"/>
      <c r="N89" s="52"/>
      <c r="O89" s="52"/>
      <c r="P89" s="52"/>
      <c r="Q89" s="52"/>
      <c r="U89" s="52"/>
    </row>
    <row r="90">
      <c r="M90" s="52"/>
      <c r="N90" s="52"/>
      <c r="O90" s="52"/>
      <c r="P90" s="52"/>
      <c r="Q90" s="52"/>
      <c r="U90" s="52"/>
    </row>
    <row r="91">
      <c r="M91" s="52"/>
      <c r="N91" s="52"/>
      <c r="O91" s="52"/>
      <c r="P91" s="52"/>
      <c r="Q91" s="52"/>
      <c r="U91" s="52"/>
    </row>
    <row r="92">
      <c r="M92" s="52"/>
      <c r="N92" s="52"/>
      <c r="O92" s="52"/>
      <c r="P92" s="52"/>
      <c r="Q92" s="52"/>
      <c r="U92" s="52"/>
    </row>
    <row r="93">
      <c r="M93" s="52"/>
      <c r="N93" s="52"/>
      <c r="O93" s="52"/>
      <c r="P93" s="52"/>
      <c r="Q93" s="52"/>
      <c r="U93" s="52"/>
    </row>
    <row r="94">
      <c r="M94" s="52"/>
      <c r="N94" s="52"/>
      <c r="O94" s="52"/>
      <c r="P94" s="52"/>
      <c r="Q94" s="52"/>
      <c r="U94" s="52"/>
    </row>
    <row r="95">
      <c r="M95" s="52"/>
      <c r="N95" s="52"/>
      <c r="O95" s="52"/>
      <c r="P95" s="52"/>
      <c r="Q95" s="52"/>
      <c r="U95" s="52"/>
    </row>
    <row r="96">
      <c r="M96" s="52"/>
      <c r="N96" s="52"/>
      <c r="O96" s="52"/>
      <c r="P96" s="52"/>
      <c r="Q96" s="52"/>
      <c r="U96" s="52"/>
    </row>
    <row r="97">
      <c r="M97" s="52"/>
      <c r="N97" s="52"/>
      <c r="O97" s="52"/>
      <c r="P97" s="52"/>
      <c r="Q97" s="52"/>
      <c r="U97" s="52"/>
    </row>
    <row r="98">
      <c r="M98" s="52"/>
      <c r="N98" s="52"/>
      <c r="O98" s="52"/>
      <c r="P98" s="52"/>
      <c r="Q98" s="52"/>
      <c r="U98" s="52"/>
    </row>
    <row r="99">
      <c r="M99" s="52"/>
      <c r="N99" s="52"/>
      <c r="O99" s="52"/>
      <c r="P99" s="52"/>
      <c r="Q99" s="52"/>
      <c r="U99" s="52"/>
    </row>
    <row r="100">
      <c r="M100" s="52"/>
      <c r="N100" s="52"/>
      <c r="O100" s="52"/>
      <c r="P100" s="52"/>
      <c r="Q100" s="52"/>
      <c r="U100" s="52"/>
    </row>
    <row r="101">
      <c r="M101" s="52"/>
      <c r="N101" s="52"/>
      <c r="O101" s="52"/>
      <c r="P101" s="52"/>
      <c r="Q101" s="52"/>
      <c r="U101" s="52"/>
    </row>
    <row r="102">
      <c r="M102" s="52"/>
      <c r="N102" s="52"/>
      <c r="O102" s="52"/>
      <c r="P102" s="52"/>
      <c r="Q102" s="52"/>
      <c r="U102" s="52"/>
    </row>
    <row r="103">
      <c r="M103" s="52"/>
      <c r="N103" s="52"/>
      <c r="O103" s="52"/>
      <c r="P103" s="52"/>
      <c r="Q103" s="52"/>
      <c r="U103" s="52"/>
    </row>
    <row r="104">
      <c r="M104" s="52"/>
      <c r="N104" s="52"/>
      <c r="O104" s="52"/>
      <c r="P104" s="52"/>
      <c r="Q104" s="52"/>
      <c r="U104" s="52"/>
    </row>
    <row r="105">
      <c r="M105" s="52"/>
      <c r="N105" s="52"/>
      <c r="O105" s="52"/>
      <c r="P105" s="52"/>
      <c r="Q105" s="52"/>
      <c r="U105" s="52"/>
    </row>
    <row r="106">
      <c r="M106" s="52"/>
      <c r="N106" s="52"/>
      <c r="O106" s="52"/>
      <c r="P106" s="52"/>
      <c r="Q106" s="52"/>
      <c r="U106" s="52"/>
    </row>
    <row r="107">
      <c r="M107" s="52"/>
      <c r="N107" s="52"/>
      <c r="O107" s="52"/>
      <c r="P107" s="52"/>
      <c r="Q107" s="52"/>
      <c r="U107" s="52"/>
    </row>
    <row r="108">
      <c r="M108" s="52"/>
      <c r="N108" s="52"/>
      <c r="O108" s="52"/>
      <c r="P108" s="52"/>
      <c r="Q108" s="52"/>
      <c r="U108" s="52"/>
    </row>
    <row r="109">
      <c r="M109" s="52"/>
      <c r="N109" s="52"/>
      <c r="O109" s="52"/>
      <c r="P109" s="52"/>
      <c r="Q109" s="52"/>
      <c r="U109" s="52"/>
    </row>
    <row r="110">
      <c r="M110" s="52"/>
      <c r="N110" s="52"/>
      <c r="O110" s="52"/>
      <c r="P110" s="52"/>
      <c r="Q110" s="52"/>
      <c r="U110" s="52"/>
    </row>
    <row r="111">
      <c r="M111" s="52"/>
      <c r="N111" s="52"/>
      <c r="O111" s="52"/>
      <c r="P111" s="52"/>
      <c r="Q111" s="52"/>
      <c r="U111" s="52"/>
    </row>
    <row r="112">
      <c r="M112" s="52"/>
      <c r="N112" s="52"/>
      <c r="O112" s="52"/>
      <c r="P112" s="52"/>
      <c r="Q112" s="52"/>
      <c r="U112" s="52"/>
    </row>
    <row r="113">
      <c r="M113" s="52"/>
      <c r="N113" s="52"/>
      <c r="O113" s="52"/>
      <c r="P113" s="52"/>
      <c r="Q113" s="52"/>
      <c r="U113" s="52"/>
    </row>
    <row r="114">
      <c r="M114" s="52"/>
      <c r="N114" s="52"/>
      <c r="O114" s="52"/>
      <c r="P114" s="52"/>
      <c r="Q114" s="52"/>
      <c r="U114" s="52"/>
    </row>
    <row r="115">
      <c r="M115" s="52"/>
      <c r="N115" s="52"/>
      <c r="O115" s="52"/>
      <c r="P115" s="52"/>
      <c r="Q115" s="52"/>
      <c r="U115" s="52"/>
    </row>
    <row r="116">
      <c r="M116" s="52"/>
      <c r="N116" s="52"/>
      <c r="O116" s="52"/>
      <c r="P116" s="52"/>
      <c r="Q116" s="52"/>
      <c r="U116" s="52"/>
    </row>
    <row r="117">
      <c r="M117" s="52"/>
      <c r="N117" s="52"/>
      <c r="O117" s="52"/>
      <c r="P117" s="52"/>
      <c r="Q117" s="52"/>
      <c r="U117" s="52"/>
    </row>
    <row r="118">
      <c r="M118" s="52"/>
      <c r="N118" s="52"/>
      <c r="O118" s="52"/>
      <c r="P118" s="52"/>
      <c r="Q118" s="52"/>
      <c r="U118" s="52"/>
    </row>
    <row r="119">
      <c r="M119" s="52"/>
      <c r="N119" s="52"/>
      <c r="O119" s="52"/>
      <c r="P119" s="52"/>
      <c r="Q119" s="52"/>
      <c r="U119" s="52"/>
    </row>
    <row r="120">
      <c r="M120" s="52"/>
      <c r="N120" s="52"/>
      <c r="O120" s="52"/>
      <c r="P120" s="52"/>
      <c r="Q120" s="52"/>
      <c r="U120" s="52"/>
    </row>
    <row r="121">
      <c r="M121" s="52"/>
      <c r="N121" s="52"/>
      <c r="O121" s="52"/>
      <c r="P121" s="52"/>
      <c r="Q121" s="52"/>
      <c r="U121" s="52"/>
    </row>
    <row r="122">
      <c r="M122" s="52"/>
      <c r="N122" s="52"/>
      <c r="O122" s="52"/>
      <c r="P122" s="52"/>
      <c r="Q122" s="52"/>
      <c r="U122" s="52"/>
    </row>
    <row r="123">
      <c r="M123" s="52"/>
      <c r="N123" s="52"/>
      <c r="O123" s="52"/>
      <c r="P123" s="52"/>
      <c r="Q123" s="52"/>
      <c r="U123" s="52"/>
    </row>
    <row r="124">
      <c r="M124" s="52"/>
      <c r="N124" s="52"/>
      <c r="O124" s="52"/>
      <c r="P124" s="52"/>
      <c r="Q124" s="52"/>
      <c r="U124" s="52"/>
    </row>
    <row r="125">
      <c r="M125" s="52"/>
      <c r="N125" s="52"/>
      <c r="O125" s="52"/>
      <c r="P125" s="52"/>
      <c r="Q125" s="52"/>
      <c r="U125" s="52"/>
    </row>
    <row r="126">
      <c r="M126" s="52"/>
      <c r="N126" s="52"/>
      <c r="O126" s="52"/>
      <c r="P126" s="52"/>
      <c r="Q126" s="52"/>
      <c r="U126" s="52"/>
    </row>
    <row r="127">
      <c r="M127" s="52"/>
      <c r="N127" s="52"/>
      <c r="O127" s="52"/>
      <c r="P127" s="52"/>
      <c r="Q127" s="52"/>
      <c r="U127" s="52"/>
    </row>
    <row r="128">
      <c r="M128" s="52"/>
      <c r="N128" s="52"/>
      <c r="O128" s="52"/>
      <c r="P128" s="52"/>
      <c r="Q128" s="52"/>
      <c r="U128" s="52"/>
    </row>
    <row r="129">
      <c r="M129" s="52"/>
      <c r="N129" s="52"/>
      <c r="O129" s="52"/>
      <c r="P129" s="52"/>
      <c r="Q129" s="52"/>
      <c r="U129" s="52"/>
    </row>
    <row r="130">
      <c r="M130" s="52"/>
      <c r="N130" s="52"/>
      <c r="O130" s="52"/>
      <c r="P130" s="52"/>
      <c r="Q130" s="52"/>
      <c r="U130" s="52"/>
    </row>
    <row r="131">
      <c r="M131" s="52"/>
      <c r="N131" s="52"/>
      <c r="O131" s="52"/>
      <c r="P131" s="52"/>
      <c r="Q131" s="52"/>
      <c r="U131" s="52"/>
    </row>
    <row r="132">
      <c r="M132" s="52"/>
      <c r="N132" s="52"/>
      <c r="O132" s="52"/>
      <c r="P132" s="52"/>
      <c r="Q132" s="52"/>
      <c r="U132" s="52"/>
    </row>
    <row r="133">
      <c r="M133" s="52"/>
      <c r="N133" s="52"/>
      <c r="O133" s="52"/>
      <c r="P133" s="52"/>
      <c r="Q133" s="52"/>
      <c r="U133" s="52"/>
    </row>
    <row r="134">
      <c r="M134" s="52"/>
      <c r="N134" s="52"/>
      <c r="O134" s="52"/>
      <c r="P134" s="52"/>
      <c r="Q134" s="52"/>
      <c r="U134" s="52"/>
    </row>
    <row r="135">
      <c r="M135" s="52"/>
      <c r="N135" s="52"/>
      <c r="O135" s="52"/>
      <c r="P135" s="52"/>
      <c r="Q135" s="52"/>
      <c r="U135" s="52"/>
    </row>
    <row r="136">
      <c r="M136" s="52"/>
      <c r="N136" s="52"/>
      <c r="O136" s="52"/>
      <c r="P136" s="52"/>
      <c r="Q136" s="52"/>
      <c r="U136" s="52"/>
    </row>
    <row r="137">
      <c r="M137" s="52"/>
      <c r="N137" s="52"/>
      <c r="O137" s="52"/>
      <c r="P137" s="52"/>
      <c r="Q137" s="52"/>
      <c r="U137" s="52"/>
    </row>
    <row r="138">
      <c r="M138" s="52"/>
      <c r="N138" s="52"/>
      <c r="O138" s="52"/>
      <c r="P138" s="52"/>
      <c r="Q138" s="52"/>
      <c r="U138" s="52"/>
    </row>
    <row r="139">
      <c r="M139" s="52"/>
      <c r="N139" s="52"/>
      <c r="O139" s="52"/>
      <c r="P139" s="52"/>
      <c r="Q139" s="52"/>
      <c r="U139" s="52"/>
    </row>
    <row r="140">
      <c r="M140" s="52"/>
      <c r="N140" s="52"/>
      <c r="O140" s="52"/>
      <c r="P140" s="52"/>
      <c r="Q140" s="52"/>
      <c r="U140" s="52"/>
    </row>
    <row r="141">
      <c r="M141" s="52"/>
      <c r="N141" s="52"/>
      <c r="O141" s="52"/>
      <c r="P141" s="52"/>
      <c r="Q141" s="52"/>
      <c r="U141" s="52"/>
    </row>
    <row r="142">
      <c r="M142" s="52"/>
      <c r="N142" s="52"/>
      <c r="O142" s="52"/>
      <c r="P142" s="52"/>
      <c r="Q142" s="52"/>
      <c r="U142" s="52"/>
    </row>
    <row r="143">
      <c r="M143" s="52"/>
      <c r="N143" s="52"/>
      <c r="O143" s="52"/>
      <c r="P143" s="52"/>
      <c r="Q143" s="52"/>
      <c r="U143" s="52"/>
    </row>
    <row r="144">
      <c r="M144" s="52"/>
      <c r="N144" s="52"/>
      <c r="O144" s="52"/>
      <c r="P144" s="52"/>
      <c r="Q144" s="52"/>
      <c r="U144" s="52"/>
    </row>
    <row r="145">
      <c r="M145" s="52"/>
      <c r="N145" s="52"/>
      <c r="O145" s="52"/>
      <c r="P145" s="52"/>
      <c r="Q145" s="52"/>
      <c r="U145" s="52"/>
    </row>
    <row r="146">
      <c r="M146" s="52"/>
      <c r="N146" s="52"/>
      <c r="O146" s="52"/>
      <c r="P146" s="52"/>
      <c r="Q146" s="52"/>
      <c r="U146" s="52"/>
    </row>
    <row r="147">
      <c r="M147" s="52"/>
      <c r="N147" s="52"/>
      <c r="O147" s="52"/>
      <c r="P147" s="52"/>
      <c r="Q147" s="52"/>
      <c r="U147" s="52"/>
    </row>
    <row r="148">
      <c r="M148" s="52"/>
      <c r="N148" s="52"/>
      <c r="O148" s="52"/>
      <c r="P148" s="52"/>
      <c r="Q148" s="52"/>
      <c r="U148" s="52"/>
    </row>
    <row r="149">
      <c r="M149" s="52"/>
      <c r="N149" s="52"/>
      <c r="O149" s="52"/>
      <c r="P149" s="52"/>
      <c r="Q149" s="52"/>
      <c r="U149" s="52"/>
    </row>
    <row r="150">
      <c r="M150" s="52"/>
      <c r="N150" s="52"/>
      <c r="O150" s="52"/>
      <c r="P150" s="52"/>
      <c r="Q150" s="52"/>
      <c r="U150" s="52"/>
    </row>
    <row r="151">
      <c r="M151" s="52"/>
      <c r="N151" s="52"/>
      <c r="O151" s="52"/>
      <c r="P151" s="52"/>
      <c r="Q151" s="52"/>
      <c r="U151" s="52"/>
    </row>
    <row r="152">
      <c r="M152" s="52"/>
      <c r="N152" s="52"/>
      <c r="O152" s="52"/>
      <c r="P152" s="52"/>
      <c r="Q152" s="52"/>
      <c r="U152" s="52"/>
    </row>
    <row r="153">
      <c r="M153" s="52"/>
      <c r="N153" s="52"/>
      <c r="O153" s="52"/>
      <c r="P153" s="52"/>
      <c r="Q153" s="52"/>
      <c r="U153" s="52"/>
    </row>
    <row r="154">
      <c r="M154" s="52"/>
      <c r="N154" s="52"/>
      <c r="O154" s="52"/>
      <c r="P154" s="52"/>
      <c r="Q154" s="52"/>
      <c r="U154" s="52"/>
    </row>
    <row r="155">
      <c r="M155" s="52"/>
      <c r="N155" s="52"/>
      <c r="O155" s="52"/>
      <c r="P155" s="52"/>
      <c r="Q155" s="52"/>
      <c r="U155" s="52"/>
    </row>
    <row r="156">
      <c r="M156" s="52"/>
      <c r="N156" s="52"/>
      <c r="O156" s="52"/>
      <c r="P156" s="52"/>
      <c r="Q156" s="52"/>
      <c r="U156" s="52"/>
    </row>
    <row r="157">
      <c r="M157" s="52"/>
      <c r="N157" s="52"/>
      <c r="O157" s="52"/>
      <c r="P157" s="52"/>
      <c r="Q157" s="52"/>
      <c r="U157" s="52"/>
    </row>
    <row r="158">
      <c r="M158" s="52"/>
      <c r="N158" s="52"/>
      <c r="O158" s="52"/>
      <c r="P158" s="52"/>
      <c r="Q158" s="52"/>
      <c r="U158" s="52"/>
    </row>
    <row r="159">
      <c r="M159" s="52"/>
      <c r="N159" s="52"/>
      <c r="O159" s="52"/>
      <c r="P159" s="52"/>
      <c r="Q159" s="52"/>
      <c r="U159" s="52"/>
    </row>
    <row r="160">
      <c r="M160" s="52"/>
      <c r="N160" s="52"/>
      <c r="O160" s="52"/>
      <c r="P160" s="52"/>
      <c r="Q160" s="52"/>
      <c r="U160" s="52"/>
    </row>
    <row r="161">
      <c r="M161" s="52"/>
      <c r="N161" s="52"/>
      <c r="O161" s="52"/>
      <c r="P161" s="52"/>
      <c r="Q161" s="52"/>
      <c r="U161" s="52"/>
    </row>
    <row r="162">
      <c r="M162" s="52"/>
      <c r="N162" s="52"/>
      <c r="O162" s="52"/>
      <c r="P162" s="52"/>
      <c r="Q162" s="52"/>
      <c r="U162" s="52"/>
    </row>
    <row r="163">
      <c r="M163" s="52"/>
      <c r="N163" s="52"/>
      <c r="O163" s="52"/>
      <c r="P163" s="52"/>
      <c r="Q163" s="52"/>
      <c r="U163" s="52"/>
    </row>
    <row r="164">
      <c r="M164" s="52"/>
      <c r="N164" s="52"/>
      <c r="O164" s="52"/>
      <c r="P164" s="52"/>
      <c r="Q164" s="52"/>
      <c r="U164" s="52"/>
    </row>
    <row r="165">
      <c r="M165" s="52"/>
      <c r="N165" s="52"/>
      <c r="O165" s="52"/>
      <c r="P165" s="52"/>
      <c r="Q165" s="52"/>
      <c r="U165" s="52"/>
    </row>
    <row r="166">
      <c r="M166" s="52"/>
      <c r="N166" s="52"/>
      <c r="O166" s="52"/>
      <c r="P166" s="52"/>
      <c r="Q166" s="52"/>
      <c r="U166" s="52"/>
    </row>
    <row r="167">
      <c r="M167" s="52"/>
      <c r="N167" s="52"/>
      <c r="O167" s="52"/>
      <c r="P167" s="52"/>
      <c r="Q167" s="52"/>
      <c r="U167" s="52"/>
    </row>
    <row r="168">
      <c r="M168" s="52"/>
      <c r="N168" s="52"/>
      <c r="O168" s="52"/>
      <c r="P168" s="52"/>
      <c r="Q168" s="52"/>
      <c r="U168" s="52"/>
    </row>
    <row r="169">
      <c r="M169" s="52"/>
      <c r="N169" s="52"/>
      <c r="O169" s="52"/>
      <c r="P169" s="52"/>
      <c r="Q169" s="52"/>
      <c r="U169" s="52"/>
    </row>
    <row r="170">
      <c r="M170" s="52"/>
      <c r="N170" s="52"/>
      <c r="O170" s="52"/>
      <c r="P170" s="52"/>
      <c r="Q170" s="52"/>
      <c r="U170" s="52"/>
    </row>
    <row r="171">
      <c r="M171" s="52"/>
      <c r="N171" s="52"/>
      <c r="O171" s="52"/>
      <c r="P171" s="52"/>
      <c r="Q171" s="52"/>
      <c r="U171" s="52"/>
    </row>
    <row r="172">
      <c r="M172" s="52"/>
      <c r="N172" s="52"/>
      <c r="O172" s="52"/>
      <c r="P172" s="52"/>
      <c r="Q172" s="52"/>
      <c r="U172" s="52"/>
    </row>
    <row r="173">
      <c r="M173" s="52"/>
      <c r="N173" s="52"/>
      <c r="O173" s="52"/>
      <c r="P173" s="52"/>
      <c r="Q173" s="52"/>
      <c r="U173" s="52"/>
    </row>
    <row r="174">
      <c r="M174" s="52"/>
      <c r="N174" s="52"/>
      <c r="O174" s="52"/>
      <c r="P174" s="52"/>
      <c r="Q174" s="52"/>
      <c r="U174" s="52"/>
    </row>
    <row r="175">
      <c r="M175" s="52"/>
      <c r="N175" s="52"/>
      <c r="O175" s="52"/>
      <c r="P175" s="52"/>
      <c r="Q175" s="52"/>
      <c r="U175" s="52"/>
    </row>
    <row r="176">
      <c r="M176" s="52"/>
      <c r="N176" s="52"/>
      <c r="O176" s="52"/>
      <c r="P176" s="52"/>
      <c r="Q176" s="52"/>
      <c r="U176" s="52"/>
    </row>
    <row r="177">
      <c r="M177" s="52"/>
      <c r="N177" s="52"/>
      <c r="O177" s="52"/>
      <c r="P177" s="52"/>
      <c r="Q177" s="52"/>
      <c r="U177" s="52"/>
    </row>
    <row r="178">
      <c r="M178" s="52"/>
      <c r="N178" s="52"/>
      <c r="O178" s="52"/>
      <c r="P178" s="52"/>
      <c r="Q178" s="52"/>
      <c r="U178" s="52"/>
    </row>
    <row r="179">
      <c r="M179" s="52"/>
      <c r="N179" s="52"/>
      <c r="O179" s="52"/>
      <c r="P179" s="52"/>
      <c r="Q179" s="52"/>
      <c r="U179" s="52"/>
    </row>
    <row r="180">
      <c r="M180" s="52"/>
      <c r="N180" s="52"/>
      <c r="O180" s="52"/>
      <c r="P180" s="52"/>
      <c r="Q180" s="52"/>
      <c r="U180" s="52"/>
    </row>
    <row r="181">
      <c r="M181" s="52"/>
      <c r="N181" s="52"/>
      <c r="O181" s="52"/>
      <c r="P181" s="52"/>
      <c r="Q181" s="52"/>
      <c r="U181" s="52"/>
    </row>
    <row r="182">
      <c r="M182" s="52"/>
      <c r="N182" s="52"/>
      <c r="O182" s="52"/>
      <c r="P182" s="52"/>
      <c r="Q182" s="52"/>
      <c r="U182" s="52"/>
    </row>
    <row r="183">
      <c r="M183" s="52"/>
      <c r="N183" s="52"/>
      <c r="O183" s="52"/>
      <c r="P183" s="52"/>
      <c r="Q183" s="52"/>
      <c r="U183" s="52"/>
    </row>
    <row r="184">
      <c r="M184" s="52"/>
      <c r="N184" s="52"/>
      <c r="O184" s="52"/>
      <c r="P184" s="52"/>
      <c r="Q184" s="52"/>
      <c r="U184" s="52"/>
    </row>
    <row r="185">
      <c r="M185" s="52"/>
      <c r="N185" s="52"/>
      <c r="O185" s="52"/>
      <c r="P185" s="52"/>
      <c r="Q185" s="52"/>
      <c r="U185" s="52"/>
    </row>
    <row r="186">
      <c r="M186" s="52"/>
      <c r="N186" s="52"/>
      <c r="O186" s="52"/>
      <c r="P186" s="52"/>
      <c r="Q186" s="52"/>
      <c r="U186" s="52"/>
    </row>
    <row r="187">
      <c r="M187" s="52"/>
      <c r="N187" s="52"/>
      <c r="O187" s="52"/>
      <c r="P187" s="52"/>
      <c r="Q187" s="52"/>
      <c r="U187" s="52"/>
    </row>
    <row r="188">
      <c r="M188" s="52"/>
      <c r="N188" s="52"/>
      <c r="O188" s="52"/>
      <c r="P188" s="52"/>
      <c r="Q188" s="52"/>
      <c r="U188" s="52"/>
    </row>
    <row r="189">
      <c r="M189" s="52"/>
      <c r="N189" s="52"/>
      <c r="O189" s="52"/>
      <c r="P189" s="52"/>
      <c r="Q189" s="52"/>
      <c r="U189" s="52"/>
    </row>
    <row r="190">
      <c r="M190" s="52"/>
      <c r="N190" s="52"/>
      <c r="O190" s="52"/>
      <c r="P190" s="52"/>
      <c r="Q190" s="52"/>
      <c r="U190" s="52"/>
    </row>
    <row r="191">
      <c r="M191" s="52"/>
      <c r="N191" s="52"/>
      <c r="O191" s="52"/>
      <c r="P191" s="52"/>
      <c r="Q191" s="52"/>
      <c r="U191" s="52"/>
    </row>
    <row r="192">
      <c r="M192" s="52"/>
      <c r="N192" s="52"/>
      <c r="O192" s="52"/>
      <c r="P192" s="52"/>
      <c r="Q192" s="52"/>
      <c r="U192" s="52"/>
    </row>
    <row r="193">
      <c r="M193" s="52"/>
      <c r="N193" s="52"/>
      <c r="O193" s="52"/>
      <c r="P193" s="52"/>
      <c r="Q193" s="52"/>
      <c r="U193" s="52"/>
    </row>
    <row r="194">
      <c r="M194" s="52"/>
      <c r="N194" s="52"/>
      <c r="O194" s="52"/>
      <c r="P194" s="52"/>
      <c r="Q194" s="52"/>
      <c r="U194" s="52"/>
    </row>
    <row r="195">
      <c r="M195" s="52"/>
      <c r="N195" s="52"/>
      <c r="O195" s="52"/>
      <c r="P195" s="52"/>
      <c r="Q195" s="52"/>
      <c r="U195" s="52"/>
    </row>
    <row r="196">
      <c r="M196" s="52"/>
      <c r="N196" s="52"/>
      <c r="O196" s="52"/>
      <c r="P196" s="52"/>
      <c r="Q196" s="52"/>
      <c r="U196" s="52"/>
    </row>
    <row r="197">
      <c r="M197" s="52"/>
      <c r="N197" s="52"/>
      <c r="O197" s="52"/>
      <c r="P197" s="52"/>
      <c r="Q197" s="52"/>
      <c r="U197" s="52"/>
    </row>
    <row r="198">
      <c r="M198" s="52"/>
      <c r="N198" s="52"/>
      <c r="O198" s="52"/>
      <c r="P198" s="52"/>
      <c r="Q198" s="52"/>
      <c r="U198" s="52"/>
    </row>
    <row r="199">
      <c r="M199" s="52"/>
      <c r="N199" s="52"/>
      <c r="O199" s="52"/>
      <c r="P199" s="52"/>
      <c r="Q199" s="52"/>
      <c r="U199" s="52"/>
    </row>
    <row r="200">
      <c r="M200" s="52"/>
      <c r="N200" s="52"/>
      <c r="O200" s="52"/>
      <c r="P200" s="52"/>
      <c r="Q200" s="52"/>
      <c r="U200" s="52"/>
    </row>
    <row r="201">
      <c r="M201" s="52"/>
      <c r="N201" s="52"/>
      <c r="O201" s="52"/>
      <c r="P201" s="52"/>
      <c r="Q201" s="52"/>
      <c r="U201" s="52"/>
    </row>
    <row r="202">
      <c r="M202" s="52"/>
      <c r="N202" s="52"/>
      <c r="O202" s="52"/>
      <c r="P202" s="52"/>
      <c r="Q202" s="52"/>
      <c r="U202" s="52"/>
    </row>
    <row r="203">
      <c r="M203" s="52"/>
      <c r="N203" s="52"/>
      <c r="O203" s="52"/>
      <c r="P203" s="52"/>
      <c r="Q203" s="52"/>
      <c r="U203" s="52"/>
    </row>
    <row r="204">
      <c r="M204" s="52"/>
      <c r="N204" s="52"/>
      <c r="O204" s="52"/>
      <c r="P204" s="52"/>
      <c r="Q204" s="52"/>
      <c r="U204" s="52"/>
    </row>
    <row r="205">
      <c r="M205" s="52"/>
      <c r="N205" s="52"/>
      <c r="O205" s="52"/>
      <c r="P205" s="52"/>
      <c r="Q205" s="52"/>
      <c r="U205" s="52"/>
    </row>
    <row r="206">
      <c r="M206" s="52"/>
      <c r="N206" s="52"/>
      <c r="O206" s="52"/>
      <c r="P206" s="52"/>
      <c r="Q206" s="52"/>
      <c r="U206" s="52"/>
    </row>
    <row r="207">
      <c r="M207" s="52"/>
      <c r="N207" s="52"/>
      <c r="O207" s="52"/>
      <c r="P207" s="52"/>
      <c r="Q207" s="52"/>
      <c r="U207" s="52"/>
    </row>
    <row r="208">
      <c r="M208" s="52"/>
      <c r="N208" s="52"/>
      <c r="O208" s="52"/>
      <c r="P208" s="52"/>
      <c r="Q208" s="52"/>
      <c r="U208" s="52"/>
    </row>
    <row r="209">
      <c r="M209" s="52"/>
      <c r="N209" s="52"/>
      <c r="O209" s="52"/>
      <c r="P209" s="52"/>
      <c r="Q209" s="52"/>
      <c r="U209" s="52"/>
    </row>
    <row r="210">
      <c r="M210" s="52"/>
      <c r="N210" s="52"/>
      <c r="O210" s="52"/>
      <c r="P210" s="52"/>
      <c r="Q210" s="52"/>
      <c r="U210" s="52"/>
    </row>
    <row r="211">
      <c r="M211" s="52"/>
      <c r="N211" s="52"/>
      <c r="O211" s="52"/>
      <c r="P211" s="52"/>
      <c r="Q211" s="52"/>
      <c r="U211" s="52"/>
    </row>
    <row r="212">
      <c r="M212" s="52"/>
      <c r="N212" s="52"/>
      <c r="O212" s="52"/>
      <c r="P212" s="52"/>
      <c r="Q212" s="52"/>
      <c r="U212" s="52"/>
    </row>
    <row r="213">
      <c r="M213" s="52"/>
      <c r="N213" s="52"/>
      <c r="O213" s="52"/>
      <c r="P213" s="52"/>
      <c r="Q213" s="52"/>
      <c r="U213" s="52"/>
    </row>
    <row r="214">
      <c r="M214" s="52"/>
      <c r="N214" s="52"/>
      <c r="O214" s="52"/>
      <c r="P214" s="52"/>
      <c r="Q214" s="52"/>
      <c r="U214" s="52"/>
    </row>
    <row r="215">
      <c r="M215" s="52"/>
      <c r="N215" s="52"/>
      <c r="O215" s="52"/>
      <c r="P215" s="52"/>
      <c r="Q215" s="52"/>
      <c r="U215" s="52"/>
    </row>
    <row r="216">
      <c r="M216" s="52"/>
      <c r="N216" s="52"/>
      <c r="O216" s="52"/>
      <c r="P216" s="52"/>
      <c r="Q216" s="52"/>
      <c r="U216" s="52"/>
    </row>
    <row r="217">
      <c r="M217" s="52"/>
      <c r="N217" s="52"/>
      <c r="O217" s="52"/>
      <c r="P217" s="52"/>
      <c r="Q217" s="52"/>
      <c r="U217" s="52"/>
    </row>
    <row r="218">
      <c r="M218" s="52"/>
      <c r="N218" s="52"/>
      <c r="O218" s="52"/>
      <c r="P218" s="52"/>
      <c r="Q218" s="52"/>
      <c r="U218" s="52"/>
    </row>
    <row r="219">
      <c r="M219" s="52"/>
      <c r="N219" s="52"/>
      <c r="O219" s="52"/>
      <c r="P219" s="52"/>
      <c r="Q219" s="52"/>
      <c r="U219" s="52"/>
    </row>
    <row r="220">
      <c r="M220" s="52"/>
      <c r="N220" s="52"/>
      <c r="O220" s="52"/>
      <c r="P220" s="52"/>
      <c r="Q220" s="52"/>
      <c r="U220" s="52"/>
    </row>
    <row r="221">
      <c r="M221" s="52"/>
      <c r="N221" s="52"/>
      <c r="O221" s="52"/>
      <c r="P221" s="52"/>
      <c r="Q221" s="52"/>
      <c r="U221" s="52"/>
    </row>
    <row r="222">
      <c r="M222" s="52"/>
      <c r="N222" s="52"/>
      <c r="O222" s="52"/>
      <c r="P222" s="52"/>
      <c r="Q222" s="52"/>
      <c r="U222" s="52"/>
    </row>
    <row r="223">
      <c r="M223" s="52"/>
      <c r="N223" s="52"/>
      <c r="O223" s="52"/>
      <c r="P223" s="52"/>
      <c r="Q223" s="52"/>
      <c r="U223" s="52"/>
    </row>
    <row r="224">
      <c r="M224" s="52"/>
      <c r="N224" s="52"/>
      <c r="O224" s="52"/>
      <c r="P224" s="52"/>
      <c r="Q224" s="52"/>
      <c r="U224" s="52"/>
    </row>
    <row r="225">
      <c r="M225" s="52"/>
      <c r="N225" s="52"/>
      <c r="O225" s="52"/>
      <c r="P225" s="52"/>
      <c r="Q225" s="52"/>
      <c r="U225" s="52"/>
    </row>
    <row r="226">
      <c r="M226" s="52"/>
      <c r="N226" s="52"/>
      <c r="O226" s="52"/>
      <c r="P226" s="52"/>
      <c r="Q226" s="52"/>
      <c r="U226" s="52"/>
    </row>
    <row r="227">
      <c r="M227" s="52"/>
      <c r="N227" s="52"/>
      <c r="O227" s="52"/>
      <c r="P227" s="52"/>
      <c r="Q227" s="52"/>
      <c r="U227" s="52"/>
    </row>
    <row r="228">
      <c r="M228" s="52"/>
      <c r="N228" s="52"/>
      <c r="O228" s="52"/>
      <c r="P228" s="52"/>
      <c r="Q228" s="52"/>
      <c r="U228" s="52"/>
    </row>
    <row r="229">
      <c r="M229" s="52"/>
      <c r="N229" s="52"/>
      <c r="O229" s="52"/>
      <c r="P229" s="52"/>
      <c r="Q229" s="52"/>
      <c r="U229" s="52"/>
    </row>
    <row r="230">
      <c r="M230" s="52"/>
      <c r="N230" s="52"/>
      <c r="O230" s="52"/>
      <c r="P230" s="52"/>
      <c r="Q230" s="52"/>
      <c r="U230" s="52"/>
    </row>
    <row r="231">
      <c r="M231" s="52"/>
      <c r="N231" s="52"/>
      <c r="O231" s="52"/>
      <c r="P231" s="52"/>
      <c r="Q231" s="52"/>
      <c r="U231" s="52"/>
    </row>
    <row r="232">
      <c r="M232" s="52"/>
      <c r="N232" s="52"/>
      <c r="O232" s="52"/>
      <c r="P232" s="52"/>
      <c r="Q232" s="52"/>
      <c r="U232" s="52"/>
    </row>
    <row r="233">
      <c r="M233" s="52"/>
      <c r="N233" s="52"/>
      <c r="O233" s="52"/>
      <c r="P233" s="52"/>
      <c r="Q233" s="52"/>
      <c r="U233" s="52"/>
    </row>
    <row r="234">
      <c r="M234" s="52"/>
      <c r="N234" s="52"/>
      <c r="O234" s="52"/>
      <c r="P234" s="52"/>
      <c r="Q234" s="52"/>
      <c r="U234" s="52"/>
    </row>
    <row r="235">
      <c r="M235" s="52"/>
      <c r="N235" s="52"/>
      <c r="O235" s="52"/>
      <c r="P235" s="52"/>
      <c r="Q235" s="52"/>
      <c r="U235" s="52"/>
    </row>
    <row r="236">
      <c r="M236" s="52"/>
      <c r="N236" s="52"/>
      <c r="O236" s="52"/>
      <c r="P236" s="52"/>
      <c r="Q236" s="52"/>
      <c r="U236" s="52"/>
    </row>
    <row r="237">
      <c r="M237" s="52"/>
      <c r="N237" s="52"/>
      <c r="O237" s="52"/>
      <c r="P237" s="52"/>
      <c r="Q237" s="52"/>
      <c r="U237" s="52"/>
    </row>
    <row r="238">
      <c r="M238" s="52"/>
      <c r="N238" s="52"/>
      <c r="O238" s="52"/>
      <c r="P238" s="52"/>
      <c r="Q238" s="52"/>
      <c r="U238" s="52"/>
    </row>
    <row r="239">
      <c r="M239" s="52"/>
      <c r="N239" s="52"/>
      <c r="O239" s="52"/>
      <c r="P239" s="52"/>
      <c r="Q239" s="52"/>
      <c r="U239" s="52"/>
    </row>
    <row r="240">
      <c r="M240" s="52"/>
      <c r="N240" s="52"/>
      <c r="O240" s="52"/>
      <c r="P240" s="52"/>
      <c r="Q240" s="52"/>
      <c r="U240" s="52"/>
    </row>
    <row r="241">
      <c r="M241" s="52"/>
      <c r="N241" s="52"/>
      <c r="O241" s="52"/>
      <c r="P241" s="52"/>
      <c r="Q241" s="52"/>
      <c r="U241" s="52"/>
    </row>
    <row r="242">
      <c r="M242" s="52"/>
      <c r="N242" s="52"/>
      <c r="O242" s="52"/>
      <c r="P242" s="52"/>
      <c r="Q242" s="52"/>
      <c r="U242" s="52"/>
    </row>
    <row r="243">
      <c r="M243" s="52"/>
      <c r="N243" s="52"/>
      <c r="O243" s="52"/>
      <c r="P243" s="52"/>
      <c r="Q243" s="52"/>
      <c r="U243" s="52"/>
    </row>
    <row r="244">
      <c r="M244" s="52"/>
      <c r="N244" s="52"/>
      <c r="O244" s="52"/>
      <c r="P244" s="52"/>
      <c r="Q244" s="52"/>
      <c r="U244" s="52"/>
    </row>
    <row r="245">
      <c r="M245" s="52"/>
      <c r="N245" s="52"/>
      <c r="O245" s="52"/>
      <c r="P245" s="52"/>
      <c r="Q245" s="52"/>
      <c r="U245" s="52"/>
    </row>
    <row r="246">
      <c r="M246" s="52"/>
      <c r="N246" s="52"/>
      <c r="O246" s="52"/>
      <c r="P246" s="52"/>
      <c r="Q246" s="52"/>
      <c r="U246" s="52"/>
    </row>
    <row r="247">
      <c r="M247" s="52"/>
      <c r="N247" s="52"/>
      <c r="O247" s="52"/>
      <c r="P247" s="52"/>
      <c r="Q247" s="52"/>
      <c r="U247" s="52"/>
    </row>
    <row r="248">
      <c r="M248" s="52"/>
      <c r="N248" s="52"/>
      <c r="O248" s="52"/>
      <c r="P248" s="52"/>
      <c r="Q248" s="52"/>
      <c r="U248" s="52"/>
    </row>
    <row r="249">
      <c r="M249" s="52"/>
      <c r="N249" s="52"/>
      <c r="O249" s="52"/>
      <c r="P249" s="52"/>
      <c r="Q249" s="52"/>
      <c r="U249" s="52"/>
    </row>
    <row r="250">
      <c r="M250" s="52"/>
      <c r="N250" s="52"/>
      <c r="O250" s="52"/>
      <c r="P250" s="52"/>
      <c r="Q250" s="52"/>
      <c r="U250" s="52"/>
    </row>
    <row r="251">
      <c r="M251" s="52"/>
      <c r="N251" s="52"/>
      <c r="O251" s="52"/>
      <c r="P251" s="52"/>
      <c r="Q251" s="52"/>
      <c r="U251" s="52"/>
    </row>
    <row r="252">
      <c r="M252" s="52"/>
      <c r="N252" s="52"/>
      <c r="O252" s="52"/>
      <c r="P252" s="52"/>
      <c r="Q252" s="52"/>
      <c r="U252" s="52"/>
    </row>
    <row r="253">
      <c r="M253" s="52"/>
      <c r="N253" s="52"/>
      <c r="O253" s="52"/>
      <c r="P253" s="52"/>
      <c r="Q253" s="52"/>
      <c r="U253" s="52"/>
    </row>
    <row r="254">
      <c r="M254" s="52"/>
      <c r="N254" s="52"/>
      <c r="O254" s="52"/>
      <c r="P254" s="52"/>
      <c r="Q254" s="52"/>
      <c r="U254" s="52"/>
    </row>
    <row r="255">
      <c r="M255" s="52"/>
      <c r="N255" s="52"/>
      <c r="O255" s="52"/>
      <c r="P255" s="52"/>
      <c r="Q255" s="52"/>
      <c r="U255" s="52"/>
    </row>
    <row r="256">
      <c r="M256" s="52"/>
      <c r="N256" s="52"/>
      <c r="O256" s="52"/>
      <c r="P256" s="52"/>
      <c r="Q256" s="52"/>
      <c r="U256" s="52"/>
    </row>
    <row r="257">
      <c r="M257" s="52"/>
      <c r="N257" s="52"/>
      <c r="O257" s="52"/>
      <c r="P257" s="52"/>
      <c r="Q257" s="52"/>
      <c r="U257" s="52"/>
    </row>
    <row r="258">
      <c r="M258" s="52"/>
      <c r="N258" s="52"/>
      <c r="O258" s="52"/>
      <c r="P258" s="52"/>
      <c r="Q258" s="52"/>
      <c r="U258" s="52"/>
    </row>
    <row r="259">
      <c r="M259" s="52"/>
      <c r="N259" s="52"/>
      <c r="O259" s="52"/>
      <c r="P259" s="52"/>
      <c r="Q259" s="52"/>
      <c r="U259" s="52"/>
    </row>
    <row r="260">
      <c r="M260" s="52"/>
      <c r="N260" s="52"/>
      <c r="O260" s="52"/>
      <c r="P260" s="52"/>
      <c r="Q260" s="52"/>
      <c r="U260" s="52"/>
    </row>
    <row r="261">
      <c r="M261" s="52"/>
      <c r="N261" s="52"/>
      <c r="O261" s="52"/>
      <c r="P261" s="52"/>
      <c r="Q261" s="52"/>
      <c r="U261" s="52"/>
    </row>
    <row r="262">
      <c r="M262" s="52"/>
      <c r="N262" s="52"/>
      <c r="O262" s="52"/>
      <c r="P262" s="52"/>
      <c r="Q262" s="52"/>
      <c r="U262" s="52"/>
    </row>
    <row r="263">
      <c r="M263" s="52"/>
      <c r="N263" s="52"/>
      <c r="O263" s="52"/>
      <c r="P263" s="52"/>
      <c r="Q263" s="52"/>
      <c r="U263" s="52"/>
    </row>
    <row r="264">
      <c r="M264" s="52"/>
      <c r="N264" s="52"/>
      <c r="O264" s="52"/>
      <c r="P264" s="52"/>
      <c r="Q264" s="52"/>
      <c r="U264" s="52"/>
    </row>
    <row r="265">
      <c r="M265" s="52"/>
      <c r="N265" s="52"/>
      <c r="O265" s="52"/>
      <c r="P265" s="52"/>
      <c r="Q265" s="52"/>
      <c r="U265" s="52"/>
    </row>
    <row r="266">
      <c r="M266" s="52"/>
      <c r="N266" s="52"/>
      <c r="O266" s="52"/>
      <c r="P266" s="52"/>
      <c r="Q266" s="52"/>
      <c r="U266" s="52"/>
    </row>
    <row r="267">
      <c r="M267" s="52"/>
      <c r="N267" s="52"/>
      <c r="O267" s="52"/>
      <c r="P267" s="52"/>
      <c r="Q267" s="52"/>
      <c r="U267" s="52"/>
    </row>
    <row r="268">
      <c r="M268" s="52"/>
      <c r="N268" s="52"/>
      <c r="O268" s="52"/>
      <c r="P268" s="52"/>
      <c r="Q268" s="52"/>
      <c r="U268" s="52"/>
    </row>
    <row r="269">
      <c r="M269" s="52"/>
      <c r="N269" s="52"/>
      <c r="O269" s="52"/>
      <c r="P269" s="52"/>
      <c r="Q269" s="52"/>
      <c r="U269" s="52"/>
    </row>
    <row r="270">
      <c r="M270" s="52"/>
      <c r="N270" s="52"/>
      <c r="O270" s="52"/>
      <c r="P270" s="52"/>
      <c r="Q270" s="52"/>
      <c r="U270" s="52"/>
    </row>
    <row r="271">
      <c r="M271" s="52"/>
      <c r="N271" s="52"/>
      <c r="O271" s="52"/>
      <c r="P271" s="52"/>
      <c r="Q271" s="52"/>
      <c r="U271" s="52"/>
    </row>
    <row r="272">
      <c r="M272" s="52"/>
      <c r="N272" s="52"/>
      <c r="O272" s="52"/>
      <c r="P272" s="52"/>
      <c r="Q272" s="52"/>
      <c r="U272" s="52"/>
    </row>
    <row r="273">
      <c r="M273" s="52"/>
      <c r="N273" s="52"/>
      <c r="O273" s="52"/>
      <c r="P273" s="52"/>
      <c r="Q273" s="52"/>
      <c r="U273" s="52"/>
    </row>
    <row r="274">
      <c r="M274" s="52"/>
      <c r="N274" s="52"/>
      <c r="O274" s="52"/>
      <c r="P274" s="52"/>
      <c r="Q274" s="52"/>
      <c r="U274" s="52"/>
    </row>
    <row r="275">
      <c r="M275" s="52"/>
      <c r="N275" s="52"/>
      <c r="O275" s="52"/>
      <c r="P275" s="52"/>
      <c r="Q275" s="52"/>
      <c r="U275" s="52"/>
    </row>
    <row r="276">
      <c r="M276" s="52"/>
      <c r="N276" s="52"/>
      <c r="O276" s="52"/>
      <c r="P276" s="52"/>
      <c r="Q276" s="52"/>
      <c r="U276" s="52"/>
    </row>
    <row r="277">
      <c r="M277" s="52"/>
      <c r="N277" s="52"/>
      <c r="O277" s="52"/>
      <c r="P277" s="52"/>
      <c r="Q277" s="52"/>
      <c r="U277" s="52"/>
    </row>
    <row r="278">
      <c r="M278" s="52"/>
      <c r="N278" s="52"/>
      <c r="O278" s="52"/>
      <c r="P278" s="52"/>
      <c r="Q278" s="52"/>
      <c r="U278" s="52"/>
    </row>
    <row r="279">
      <c r="M279" s="52"/>
      <c r="N279" s="52"/>
      <c r="O279" s="52"/>
      <c r="P279" s="52"/>
      <c r="Q279" s="52"/>
      <c r="U279" s="52"/>
    </row>
    <row r="280">
      <c r="M280" s="52"/>
      <c r="N280" s="52"/>
      <c r="O280" s="52"/>
      <c r="P280" s="52"/>
      <c r="Q280" s="52"/>
      <c r="U280" s="52"/>
    </row>
    <row r="281">
      <c r="M281" s="52"/>
      <c r="N281" s="52"/>
      <c r="O281" s="52"/>
      <c r="P281" s="52"/>
      <c r="Q281" s="52"/>
      <c r="U281" s="52"/>
    </row>
    <row r="282">
      <c r="M282" s="52"/>
      <c r="N282" s="52"/>
      <c r="O282" s="52"/>
      <c r="P282" s="52"/>
      <c r="Q282" s="52"/>
      <c r="U282" s="52"/>
    </row>
    <row r="283">
      <c r="M283" s="52"/>
      <c r="N283" s="52"/>
      <c r="O283" s="52"/>
      <c r="P283" s="52"/>
      <c r="Q283" s="52"/>
      <c r="U283" s="52"/>
    </row>
    <row r="284">
      <c r="M284" s="52"/>
      <c r="N284" s="52"/>
      <c r="O284" s="52"/>
      <c r="P284" s="52"/>
      <c r="Q284" s="52"/>
      <c r="U284" s="52"/>
    </row>
    <row r="285">
      <c r="M285" s="52"/>
      <c r="N285" s="52"/>
      <c r="O285" s="52"/>
      <c r="P285" s="52"/>
      <c r="Q285" s="52"/>
      <c r="U285" s="52"/>
    </row>
    <row r="286">
      <c r="M286" s="52"/>
      <c r="N286" s="52"/>
      <c r="O286" s="52"/>
      <c r="P286" s="52"/>
      <c r="Q286" s="52"/>
      <c r="U286" s="52"/>
    </row>
    <row r="287">
      <c r="M287" s="52"/>
      <c r="N287" s="52"/>
      <c r="O287" s="52"/>
      <c r="P287" s="52"/>
      <c r="Q287" s="52"/>
      <c r="U287" s="52"/>
    </row>
    <row r="288">
      <c r="M288" s="52"/>
      <c r="N288" s="52"/>
      <c r="O288" s="52"/>
      <c r="P288" s="52"/>
      <c r="Q288" s="52"/>
      <c r="U288" s="52"/>
    </row>
    <row r="289">
      <c r="M289" s="52"/>
      <c r="N289" s="52"/>
      <c r="O289" s="52"/>
      <c r="P289" s="52"/>
      <c r="Q289" s="52"/>
      <c r="U289" s="52"/>
    </row>
    <row r="290">
      <c r="M290" s="52"/>
      <c r="N290" s="52"/>
      <c r="O290" s="52"/>
      <c r="P290" s="52"/>
      <c r="Q290" s="52"/>
      <c r="U290" s="52"/>
    </row>
    <row r="291">
      <c r="M291" s="52"/>
      <c r="N291" s="52"/>
      <c r="O291" s="52"/>
      <c r="P291" s="52"/>
      <c r="Q291" s="52"/>
      <c r="U291" s="52"/>
    </row>
    <row r="292">
      <c r="M292" s="52"/>
      <c r="N292" s="52"/>
      <c r="O292" s="52"/>
      <c r="P292" s="52"/>
      <c r="Q292" s="52"/>
      <c r="U292" s="52"/>
    </row>
    <row r="293">
      <c r="M293" s="52"/>
      <c r="N293" s="52"/>
      <c r="O293" s="52"/>
      <c r="P293" s="52"/>
      <c r="Q293" s="52"/>
      <c r="U293" s="52"/>
    </row>
    <row r="294">
      <c r="M294" s="52"/>
      <c r="N294" s="52"/>
      <c r="O294" s="52"/>
      <c r="P294" s="52"/>
      <c r="Q294" s="52"/>
      <c r="U294" s="52"/>
    </row>
    <row r="295">
      <c r="M295" s="52"/>
      <c r="N295" s="52"/>
      <c r="O295" s="52"/>
      <c r="P295" s="52"/>
      <c r="Q295" s="52"/>
      <c r="U295" s="52"/>
    </row>
    <row r="296">
      <c r="M296" s="52"/>
      <c r="N296" s="52"/>
      <c r="O296" s="52"/>
      <c r="P296" s="52"/>
      <c r="Q296" s="52"/>
      <c r="U296" s="52"/>
    </row>
    <row r="297">
      <c r="M297" s="52"/>
      <c r="N297" s="52"/>
      <c r="O297" s="52"/>
      <c r="P297" s="52"/>
      <c r="Q297" s="52"/>
      <c r="U297" s="52"/>
    </row>
    <row r="298">
      <c r="M298" s="52"/>
      <c r="N298" s="52"/>
      <c r="O298" s="52"/>
      <c r="P298" s="52"/>
      <c r="Q298" s="52"/>
      <c r="U298" s="52"/>
    </row>
    <row r="299">
      <c r="M299" s="52"/>
      <c r="N299" s="52"/>
      <c r="O299" s="52"/>
      <c r="P299" s="52"/>
      <c r="Q299" s="52"/>
      <c r="U299" s="52"/>
    </row>
    <row r="300">
      <c r="M300" s="52"/>
      <c r="N300" s="52"/>
      <c r="O300" s="52"/>
      <c r="P300" s="52"/>
      <c r="Q300" s="52"/>
      <c r="U300" s="52"/>
    </row>
    <row r="301">
      <c r="M301" s="52"/>
      <c r="N301" s="52"/>
      <c r="O301" s="52"/>
      <c r="P301" s="52"/>
      <c r="Q301" s="52"/>
      <c r="U301" s="52"/>
    </row>
    <row r="302">
      <c r="M302" s="52"/>
      <c r="N302" s="52"/>
      <c r="O302" s="52"/>
      <c r="P302" s="52"/>
      <c r="Q302" s="52"/>
      <c r="U302" s="52"/>
    </row>
    <row r="303">
      <c r="M303" s="52"/>
      <c r="N303" s="52"/>
      <c r="O303" s="52"/>
      <c r="P303" s="52"/>
      <c r="Q303" s="52"/>
      <c r="U303" s="52"/>
    </row>
    <row r="304">
      <c r="M304" s="52"/>
      <c r="N304" s="52"/>
      <c r="O304" s="52"/>
      <c r="P304" s="52"/>
      <c r="Q304" s="52"/>
      <c r="U304" s="52"/>
    </row>
    <row r="305">
      <c r="M305" s="52"/>
      <c r="N305" s="52"/>
      <c r="O305" s="52"/>
      <c r="P305" s="52"/>
      <c r="Q305" s="52"/>
      <c r="U305" s="52"/>
    </row>
    <row r="306">
      <c r="M306" s="52"/>
      <c r="N306" s="52"/>
      <c r="O306" s="52"/>
      <c r="P306" s="52"/>
      <c r="Q306" s="52"/>
      <c r="U306" s="52"/>
    </row>
    <row r="307">
      <c r="M307" s="52"/>
      <c r="N307" s="52"/>
      <c r="O307" s="52"/>
      <c r="P307" s="52"/>
      <c r="Q307" s="52"/>
      <c r="U307" s="52"/>
    </row>
    <row r="308">
      <c r="M308" s="52"/>
      <c r="N308" s="52"/>
      <c r="O308" s="52"/>
      <c r="P308" s="52"/>
      <c r="Q308" s="52"/>
      <c r="U308" s="52"/>
    </row>
    <row r="309">
      <c r="M309" s="52"/>
      <c r="N309" s="52"/>
      <c r="O309" s="52"/>
      <c r="P309" s="52"/>
      <c r="Q309" s="52"/>
      <c r="U309" s="52"/>
    </row>
    <row r="310">
      <c r="M310" s="52"/>
      <c r="N310" s="52"/>
      <c r="O310" s="52"/>
      <c r="P310" s="52"/>
      <c r="Q310" s="52"/>
      <c r="U310" s="52"/>
    </row>
    <row r="311">
      <c r="M311" s="52"/>
      <c r="N311" s="52"/>
      <c r="O311" s="52"/>
      <c r="P311" s="52"/>
      <c r="Q311" s="52"/>
      <c r="U311" s="52"/>
    </row>
    <row r="312">
      <c r="M312" s="52"/>
      <c r="N312" s="52"/>
      <c r="O312" s="52"/>
      <c r="P312" s="52"/>
      <c r="Q312" s="52"/>
      <c r="U312" s="52"/>
    </row>
    <row r="313">
      <c r="M313" s="52"/>
      <c r="N313" s="52"/>
      <c r="O313" s="52"/>
      <c r="P313" s="52"/>
      <c r="Q313" s="52"/>
      <c r="U313" s="52"/>
    </row>
    <row r="314">
      <c r="M314" s="52"/>
      <c r="N314" s="52"/>
      <c r="O314" s="52"/>
      <c r="P314" s="52"/>
      <c r="Q314" s="52"/>
      <c r="U314" s="52"/>
    </row>
    <row r="315">
      <c r="M315" s="52"/>
      <c r="N315" s="52"/>
      <c r="O315" s="52"/>
      <c r="P315" s="52"/>
      <c r="Q315" s="52"/>
      <c r="U315" s="52"/>
    </row>
    <row r="316">
      <c r="M316" s="52"/>
      <c r="N316" s="52"/>
      <c r="O316" s="52"/>
      <c r="P316" s="52"/>
      <c r="Q316" s="52"/>
      <c r="U316" s="52"/>
    </row>
    <row r="317">
      <c r="M317" s="52"/>
      <c r="N317" s="52"/>
      <c r="O317" s="52"/>
      <c r="P317" s="52"/>
      <c r="Q317" s="52"/>
      <c r="U317" s="52"/>
    </row>
    <row r="318">
      <c r="M318" s="52"/>
      <c r="N318" s="52"/>
      <c r="O318" s="52"/>
      <c r="P318" s="52"/>
      <c r="Q318" s="52"/>
      <c r="U318" s="52"/>
    </row>
    <row r="319">
      <c r="M319" s="52"/>
      <c r="N319" s="52"/>
      <c r="O319" s="52"/>
      <c r="P319" s="52"/>
      <c r="Q319" s="52"/>
      <c r="U319" s="52"/>
    </row>
    <row r="320">
      <c r="M320" s="52"/>
      <c r="N320" s="52"/>
      <c r="O320" s="52"/>
      <c r="P320" s="52"/>
      <c r="Q320" s="52"/>
      <c r="U320" s="52"/>
    </row>
    <row r="321">
      <c r="M321" s="52"/>
      <c r="N321" s="52"/>
      <c r="O321" s="52"/>
      <c r="P321" s="52"/>
      <c r="Q321" s="52"/>
      <c r="U321" s="52"/>
    </row>
    <row r="322">
      <c r="M322" s="52"/>
      <c r="N322" s="52"/>
      <c r="O322" s="52"/>
      <c r="P322" s="52"/>
      <c r="Q322" s="52"/>
      <c r="U322" s="52"/>
    </row>
    <row r="323">
      <c r="M323" s="52"/>
      <c r="N323" s="52"/>
      <c r="O323" s="52"/>
      <c r="P323" s="52"/>
      <c r="Q323" s="52"/>
      <c r="U323" s="52"/>
    </row>
    <row r="324">
      <c r="M324" s="52"/>
      <c r="N324" s="52"/>
      <c r="O324" s="52"/>
      <c r="P324" s="52"/>
      <c r="Q324" s="52"/>
      <c r="U324" s="52"/>
    </row>
    <row r="325">
      <c r="M325" s="52"/>
      <c r="N325" s="52"/>
      <c r="O325" s="52"/>
      <c r="P325" s="52"/>
      <c r="Q325" s="52"/>
      <c r="U325" s="52"/>
    </row>
    <row r="326">
      <c r="M326" s="52"/>
      <c r="N326" s="52"/>
      <c r="O326" s="52"/>
      <c r="P326" s="52"/>
      <c r="Q326" s="52"/>
      <c r="U326" s="52"/>
    </row>
    <row r="327">
      <c r="M327" s="52"/>
      <c r="N327" s="52"/>
      <c r="O327" s="52"/>
      <c r="P327" s="52"/>
      <c r="Q327" s="52"/>
      <c r="U327" s="52"/>
    </row>
    <row r="328">
      <c r="M328" s="52"/>
      <c r="N328" s="52"/>
      <c r="O328" s="52"/>
      <c r="P328" s="52"/>
      <c r="Q328" s="52"/>
      <c r="U328" s="52"/>
    </row>
    <row r="329">
      <c r="M329" s="52"/>
      <c r="N329" s="52"/>
      <c r="O329" s="52"/>
      <c r="P329" s="52"/>
      <c r="Q329" s="52"/>
      <c r="U329" s="52"/>
    </row>
    <row r="330">
      <c r="M330" s="52"/>
      <c r="N330" s="52"/>
      <c r="O330" s="52"/>
      <c r="P330" s="52"/>
      <c r="Q330" s="52"/>
      <c r="U330" s="52"/>
    </row>
    <row r="331">
      <c r="M331" s="52"/>
      <c r="N331" s="52"/>
      <c r="O331" s="52"/>
      <c r="P331" s="52"/>
      <c r="Q331" s="52"/>
      <c r="U331" s="52"/>
    </row>
    <row r="332">
      <c r="M332" s="52"/>
      <c r="N332" s="52"/>
      <c r="O332" s="52"/>
      <c r="P332" s="52"/>
      <c r="Q332" s="52"/>
      <c r="U332" s="52"/>
    </row>
    <row r="333">
      <c r="M333" s="52"/>
      <c r="N333" s="52"/>
      <c r="O333" s="52"/>
      <c r="P333" s="52"/>
      <c r="Q333" s="52"/>
      <c r="U333" s="52"/>
    </row>
    <row r="334">
      <c r="M334" s="52"/>
      <c r="N334" s="52"/>
      <c r="O334" s="52"/>
      <c r="P334" s="52"/>
      <c r="Q334" s="52"/>
      <c r="U334" s="52"/>
    </row>
    <row r="335">
      <c r="M335" s="52"/>
      <c r="N335" s="52"/>
      <c r="O335" s="52"/>
      <c r="P335" s="52"/>
      <c r="Q335" s="52"/>
      <c r="U335" s="52"/>
    </row>
    <row r="336">
      <c r="M336" s="52"/>
      <c r="N336" s="52"/>
      <c r="O336" s="52"/>
      <c r="P336" s="52"/>
      <c r="Q336" s="52"/>
      <c r="U336" s="52"/>
    </row>
    <row r="337">
      <c r="M337" s="52"/>
      <c r="N337" s="52"/>
      <c r="O337" s="52"/>
      <c r="P337" s="52"/>
      <c r="Q337" s="52"/>
      <c r="U337" s="52"/>
    </row>
    <row r="338">
      <c r="M338" s="52"/>
      <c r="N338" s="52"/>
      <c r="O338" s="52"/>
      <c r="P338" s="52"/>
      <c r="Q338" s="52"/>
      <c r="U338" s="52"/>
    </row>
    <row r="339">
      <c r="M339" s="52"/>
      <c r="N339" s="52"/>
      <c r="O339" s="52"/>
      <c r="P339" s="52"/>
      <c r="Q339" s="52"/>
      <c r="U339" s="52"/>
    </row>
    <row r="340">
      <c r="M340" s="52"/>
      <c r="N340" s="52"/>
      <c r="O340" s="52"/>
      <c r="P340" s="52"/>
      <c r="Q340" s="52"/>
      <c r="U340" s="52"/>
    </row>
    <row r="341">
      <c r="M341" s="52"/>
      <c r="N341" s="52"/>
      <c r="O341" s="52"/>
      <c r="P341" s="52"/>
      <c r="Q341" s="52"/>
      <c r="U341" s="52"/>
    </row>
    <row r="342">
      <c r="M342" s="52"/>
      <c r="N342" s="52"/>
      <c r="O342" s="52"/>
      <c r="P342" s="52"/>
      <c r="Q342" s="52"/>
      <c r="U342" s="52"/>
    </row>
    <row r="343">
      <c r="M343" s="52"/>
      <c r="N343" s="52"/>
      <c r="O343" s="52"/>
      <c r="P343" s="52"/>
      <c r="Q343" s="52"/>
      <c r="U343" s="52"/>
    </row>
    <row r="344">
      <c r="M344" s="52"/>
      <c r="N344" s="52"/>
      <c r="O344" s="52"/>
      <c r="P344" s="52"/>
      <c r="Q344" s="52"/>
      <c r="U344" s="52"/>
    </row>
    <row r="345">
      <c r="M345" s="52"/>
      <c r="N345" s="52"/>
      <c r="O345" s="52"/>
      <c r="P345" s="52"/>
      <c r="Q345" s="52"/>
      <c r="U345" s="52"/>
    </row>
    <row r="346">
      <c r="M346" s="52"/>
      <c r="N346" s="52"/>
      <c r="O346" s="52"/>
      <c r="P346" s="52"/>
      <c r="Q346" s="52"/>
      <c r="U346" s="52"/>
    </row>
    <row r="347">
      <c r="M347" s="52"/>
      <c r="N347" s="52"/>
      <c r="O347" s="52"/>
      <c r="P347" s="52"/>
      <c r="Q347" s="52"/>
      <c r="U347" s="52"/>
    </row>
    <row r="348">
      <c r="M348" s="52"/>
      <c r="N348" s="52"/>
      <c r="O348" s="52"/>
      <c r="P348" s="52"/>
      <c r="Q348" s="52"/>
      <c r="U348" s="52"/>
    </row>
    <row r="349">
      <c r="M349" s="52"/>
      <c r="N349" s="52"/>
      <c r="O349" s="52"/>
      <c r="P349" s="52"/>
      <c r="Q349" s="52"/>
      <c r="U349" s="52"/>
    </row>
    <row r="350">
      <c r="M350" s="52"/>
      <c r="N350" s="52"/>
      <c r="O350" s="52"/>
      <c r="P350" s="52"/>
      <c r="Q350" s="52"/>
      <c r="U350" s="52"/>
    </row>
    <row r="351">
      <c r="M351" s="52"/>
      <c r="N351" s="52"/>
      <c r="O351" s="52"/>
      <c r="P351" s="52"/>
      <c r="Q351" s="52"/>
      <c r="U351" s="52"/>
    </row>
    <row r="352">
      <c r="M352" s="52"/>
      <c r="N352" s="52"/>
      <c r="O352" s="52"/>
      <c r="P352" s="52"/>
      <c r="Q352" s="52"/>
      <c r="U352" s="52"/>
    </row>
    <row r="353">
      <c r="M353" s="52"/>
      <c r="N353" s="52"/>
      <c r="O353" s="52"/>
      <c r="P353" s="52"/>
      <c r="Q353" s="52"/>
      <c r="U353" s="52"/>
    </row>
    <row r="354">
      <c r="M354" s="52"/>
      <c r="N354" s="52"/>
      <c r="O354" s="52"/>
      <c r="P354" s="52"/>
      <c r="Q354" s="52"/>
      <c r="U354" s="52"/>
    </row>
    <row r="355">
      <c r="M355" s="52"/>
      <c r="N355" s="52"/>
      <c r="O355" s="52"/>
      <c r="P355" s="52"/>
      <c r="Q355" s="52"/>
      <c r="U355" s="52"/>
    </row>
    <row r="356">
      <c r="M356" s="52"/>
      <c r="N356" s="52"/>
      <c r="O356" s="52"/>
      <c r="P356" s="52"/>
      <c r="Q356" s="52"/>
      <c r="U356" s="52"/>
    </row>
    <row r="357">
      <c r="M357" s="52"/>
      <c r="N357" s="52"/>
      <c r="O357" s="52"/>
      <c r="P357" s="52"/>
      <c r="Q357" s="52"/>
      <c r="U357" s="52"/>
    </row>
    <row r="358">
      <c r="M358" s="52"/>
      <c r="N358" s="52"/>
      <c r="O358" s="52"/>
      <c r="P358" s="52"/>
      <c r="Q358" s="52"/>
      <c r="U358" s="52"/>
    </row>
    <row r="359">
      <c r="M359" s="52"/>
      <c r="N359" s="52"/>
      <c r="O359" s="52"/>
      <c r="P359" s="52"/>
      <c r="Q359" s="52"/>
      <c r="U359" s="52"/>
    </row>
    <row r="360">
      <c r="M360" s="52"/>
      <c r="N360" s="52"/>
      <c r="O360" s="52"/>
      <c r="P360" s="52"/>
      <c r="Q360" s="52"/>
      <c r="U360" s="52"/>
    </row>
    <row r="361">
      <c r="M361" s="52"/>
      <c r="N361" s="52"/>
      <c r="O361" s="52"/>
      <c r="P361" s="52"/>
      <c r="Q361" s="52"/>
      <c r="U361" s="52"/>
    </row>
    <row r="362">
      <c r="M362" s="52"/>
      <c r="N362" s="52"/>
      <c r="O362" s="52"/>
      <c r="P362" s="52"/>
      <c r="Q362" s="52"/>
      <c r="U362" s="52"/>
    </row>
    <row r="363">
      <c r="M363" s="52"/>
      <c r="N363" s="52"/>
      <c r="O363" s="52"/>
      <c r="P363" s="52"/>
      <c r="Q363" s="52"/>
      <c r="U363" s="52"/>
    </row>
    <row r="364">
      <c r="M364" s="52"/>
      <c r="N364" s="52"/>
      <c r="O364" s="52"/>
      <c r="P364" s="52"/>
      <c r="Q364" s="52"/>
      <c r="U364" s="52"/>
    </row>
    <row r="365">
      <c r="M365" s="52"/>
      <c r="N365" s="52"/>
      <c r="O365" s="52"/>
      <c r="P365" s="52"/>
      <c r="Q365" s="52"/>
      <c r="U365" s="52"/>
    </row>
    <row r="366">
      <c r="M366" s="52"/>
      <c r="N366" s="52"/>
      <c r="O366" s="52"/>
      <c r="P366" s="52"/>
      <c r="Q366" s="52"/>
      <c r="U366" s="52"/>
    </row>
    <row r="367">
      <c r="M367" s="52"/>
      <c r="N367" s="52"/>
      <c r="O367" s="52"/>
      <c r="P367" s="52"/>
      <c r="Q367" s="52"/>
      <c r="U367" s="52"/>
    </row>
    <row r="368">
      <c r="M368" s="52"/>
      <c r="N368" s="52"/>
      <c r="O368" s="52"/>
      <c r="P368" s="52"/>
      <c r="Q368" s="52"/>
      <c r="U368" s="52"/>
    </row>
    <row r="369">
      <c r="M369" s="52"/>
      <c r="N369" s="52"/>
      <c r="O369" s="52"/>
      <c r="P369" s="52"/>
      <c r="Q369" s="52"/>
      <c r="U369" s="52"/>
    </row>
    <row r="370">
      <c r="M370" s="52"/>
      <c r="N370" s="52"/>
      <c r="O370" s="52"/>
      <c r="P370" s="52"/>
      <c r="Q370" s="52"/>
      <c r="U370" s="52"/>
    </row>
    <row r="371">
      <c r="M371" s="52"/>
      <c r="N371" s="52"/>
      <c r="O371" s="52"/>
      <c r="P371" s="52"/>
      <c r="Q371" s="52"/>
      <c r="U371" s="52"/>
    </row>
    <row r="372">
      <c r="M372" s="52"/>
      <c r="N372" s="52"/>
      <c r="O372" s="52"/>
      <c r="P372" s="52"/>
      <c r="Q372" s="52"/>
      <c r="U372" s="52"/>
    </row>
    <row r="373">
      <c r="M373" s="52"/>
      <c r="N373" s="52"/>
      <c r="O373" s="52"/>
      <c r="P373" s="52"/>
      <c r="Q373" s="52"/>
      <c r="U373" s="52"/>
    </row>
    <row r="374">
      <c r="M374" s="52"/>
      <c r="N374" s="52"/>
      <c r="O374" s="52"/>
      <c r="P374" s="52"/>
      <c r="Q374" s="52"/>
      <c r="U374" s="52"/>
    </row>
    <row r="375">
      <c r="M375" s="52"/>
      <c r="N375" s="52"/>
      <c r="O375" s="52"/>
      <c r="P375" s="52"/>
      <c r="Q375" s="52"/>
      <c r="U375" s="52"/>
    </row>
    <row r="376">
      <c r="M376" s="52"/>
      <c r="N376" s="52"/>
      <c r="O376" s="52"/>
      <c r="P376" s="52"/>
      <c r="Q376" s="52"/>
      <c r="U376" s="52"/>
    </row>
    <row r="377">
      <c r="M377" s="52"/>
      <c r="N377" s="52"/>
      <c r="O377" s="52"/>
      <c r="P377" s="52"/>
      <c r="Q377" s="52"/>
      <c r="U377" s="52"/>
    </row>
    <row r="378">
      <c r="M378" s="52"/>
      <c r="N378" s="52"/>
      <c r="O378" s="52"/>
      <c r="P378" s="52"/>
      <c r="Q378" s="52"/>
      <c r="U378" s="52"/>
    </row>
    <row r="379">
      <c r="M379" s="52"/>
      <c r="N379" s="52"/>
      <c r="O379" s="52"/>
      <c r="P379" s="52"/>
      <c r="Q379" s="52"/>
      <c r="U379" s="52"/>
    </row>
    <row r="380">
      <c r="M380" s="52"/>
      <c r="N380" s="52"/>
      <c r="O380" s="52"/>
      <c r="P380" s="52"/>
      <c r="Q380" s="52"/>
      <c r="U380" s="52"/>
    </row>
    <row r="381">
      <c r="M381" s="52"/>
      <c r="N381" s="52"/>
      <c r="O381" s="52"/>
      <c r="P381" s="52"/>
      <c r="Q381" s="52"/>
      <c r="U381" s="52"/>
    </row>
    <row r="382">
      <c r="M382" s="52"/>
      <c r="N382" s="52"/>
      <c r="O382" s="52"/>
      <c r="P382" s="52"/>
      <c r="Q382" s="52"/>
      <c r="U382" s="52"/>
    </row>
    <row r="383">
      <c r="M383" s="52"/>
      <c r="N383" s="52"/>
      <c r="O383" s="52"/>
      <c r="P383" s="52"/>
      <c r="Q383" s="52"/>
      <c r="U383" s="52"/>
    </row>
    <row r="384">
      <c r="M384" s="52"/>
      <c r="N384" s="52"/>
      <c r="O384" s="52"/>
      <c r="P384" s="52"/>
      <c r="Q384" s="52"/>
      <c r="U384" s="52"/>
    </row>
    <row r="385">
      <c r="M385" s="52"/>
      <c r="N385" s="52"/>
      <c r="O385" s="52"/>
      <c r="P385" s="52"/>
      <c r="Q385" s="52"/>
      <c r="U385" s="52"/>
    </row>
    <row r="386">
      <c r="M386" s="52"/>
      <c r="N386" s="52"/>
      <c r="O386" s="52"/>
      <c r="P386" s="52"/>
      <c r="Q386" s="52"/>
      <c r="U386" s="52"/>
    </row>
    <row r="387">
      <c r="M387" s="52"/>
      <c r="N387" s="52"/>
      <c r="O387" s="52"/>
      <c r="P387" s="52"/>
      <c r="Q387" s="52"/>
      <c r="U387" s="52"/>
    </row>
    <row r="388">
      <c r="M388" s="52"/>
      <c r="N388" s="52"/>
      <c r="O388" s="52"/>
      <c r="P388" s="52"/>
      <c r="Q388" s="52"/>
      <c r="U388" s="52"/>
    </row>
    <row r="389">
      <c r="M389" s="52"/>
      <c r="N389" s="52"/>
      <c r="O389" s="52"/>
      <c r="P389" s="52"/>
      <c r="Q389" s="52"/>
      <c r="U389" s="52"/>
    </row>
    <row r="390">
      <c r="M390" s="52"/>
      <c r="N390" s="52"/>
      <c r="O390" s="52"/>
      <c r="P390" s="52"/>
      <c r="Q390" s="52"/>
      <c r="U390" s="52"/>
    </row>
    <row r="391">
      <c r="M391" s="52"/>
      <c r="N391" s="52"/>
      <c r="O391" s="52"/>
      <c r="P391" s="52"/>
      <c r="Q391" s="52"/>
      <c r="U391" s="52"/>
    </row>
    <row r="392">
      <c r="M392" s="52"/>
      <c r="N392" s="52"/>
      <c r="O392" s="52"/>
      <c r="P392" s="52"/>
      <c r="Q392" s="52"/>
      <c r="U392" s="52"/>
    </row>
    <row r="393">
      <c r="M393" s="52"/>
      <c r="N393" s="52"/>
      <c r="O393" s="52"/>
      <c r="P393" s="52"/>
      <c r="Q393" s="52"/>
      <c r="U393" s="52"/>
    </row>
    <row r="394">
      <c r="M394" s="52"/>
      <c r="N394" s="52"/>
      <c r="O394" s="52"/>
      <c r="P394" s="52"/>
      <c r="Q394" s="52"/>
      <c r="U394" s="52"/>
    </row>
    <row r="395">
      <c r="M395" s="52"/>
      <c r="N395" s="52"/>
      <c r="O395" s="52"/>
      <c r="P395" s="52"/>
      <c r="Q395" s="52"/>
      <c r="U395" s="52"/>
    </row>
    <row r="396">
      <c r="M396" s="52"/>
      <c r="N396" s="52"/>
      <c r="O396" s="52"/>
      <c r="P396" s="52"/>
      <c r="Q396" s="52"/>
      <c r="U396" s="52"/>
    </row>
    <row r="397">
      <c r="M397" s="52"/>
      <c r="N397" s="52"/>
      <c r="O397" s="52"/>
      <c r="P397" s="52"/>
      <c r="Q397" s="52"/>
      <c r="U397" s="52"/>
    </row>
    <row r="398">
      <c r="M398" s="52"/>
      <c r="N398" s="52"/>
      <c r="O398" s="52"/>
      <c r="P398" s="52"/>
      <c r="Q398" s="52"/>
      <c r="U398" s="52"/>
    </row>
    <row r="399">
      <c r="M399" s="52"/>
      <c r="N399" s="52"/>
      <c r="O399" s="52"/>
      <c r="P399" s="52"/>
      <c r="Q399" s="52"/>
      <c r="U399" s="52"/>
    </row>
    <row r="400">
      <c r="M400" s="52"/>
      <c r="N400" s="52"/>
      <c r="O400" s="52"/>
      <c r="P400" s="52"/>
      <c r="Q400" s="52"/>
      <c r="U400" s="52"/>
    </row>
    <row r="401">
      <c r="M401" s="52"/>
      <c r="N401" s="52"/>
      <c r="O401" s="52"/>
      <c r="P401" s="52"/>
      <c r="Q401" s="52"/>
      <c r="U401" s="52"/>
    </row>
    <row r="402">
      <c r="M402" s="52"/>
      <c r="N402" s="52"/>
      <c r="O402" s="52"/>
      <c r="P402" s="52"/>
      <c r="Q402" s="52"/>
      <c r="U402" s="52"/>
    </row>
    <row r="403">
      <c r="M403" s="52"/>
      <c r="N403" s="52"/>
      <c r="O403" s="52"/>
      <c r="P403" s="52"/>
      <c r="Q403" s="52"/>
      <c r="U403" s="52"/>
    </row>
    <row r="404">
      <c r="M404" s="52"/>
      <c r="N404" s="52"/>
      <c r="O404" s="52"/>
      <c r="P404" s="52"/>
      <c r="Q404" s="52"/>
      <c r="U404" s="52"/>
    </row>
    <row r="405">
      <c r="M405" s="52"/>
      <c r="N405" s="52"/>
      <c r="O405" s="52"/>
      <c r="P405" s="52"/>
      <c r="Q405" s="52"/>
      <c r="U405" s="52"/>
    </row>
    <row r="406">
      <c r="M406" s="52"/>
      <c r="N406" s="52"/>
      <c r="O406" s="52"/>
      <c r="P406" s="52"/>
      <c r="Q406" s="52"/>
      <c r="U406" s="52"/>
    </row>
    <row r="407">
      <c r="M407" s="52"/>
      <c r="N407" s="52"/>
      <c r="O407" s="52"/>
      <c r="P407" s="52"/>
      <c r="Q407" s="52"/>
      <c r="U407" s="52"/>
    </row>
    <row r="408">
      <c r="M408" s="52"/>
      <c r="N408" s="52"/>
      <c r="O408" s="52"/>
      <c r="P408" s="52"/>
      <c r="Q408" s="52"/>
      <c r="U408" s="52"/>
    </row>
    <row r="409">
      <c r="M409" s="52"/>
      <c r="N409" s="52"/>
      <c r="O409" s="52"/>
      <c r="P409" s="52"/>
      <c r="Q409" s="52"/>
      <c r="U409" s="52"/>
    </row>
    <row r="410">
      <c r="M410" s="52"/>
      <c r="N410" s="52"/>
      <c r="O410" s="52"/>
      <c r="P410" s="52"/>
      <c r="Q410" s="52"/>
      <c r="U410" s="52"/>
    </row>
    <row r="411">
      <c r="M411" s="52"/>
      <c r="N411" s="52"/>
      <c r="O411" s="52"/>
      <c r="P411" s="52"/>
      <c r="Q411" s="52"/>
      <c r="U411" s="52"/>
    </row>
    <row r="412">
      <c r="M412" s="52"/>
      <c r="N412" s="52"/>
      <c r="O412" s="52"/>
      <c r="P412" s="52"/>
      <c r="Q412" s="52"/>
      <c r="U412" s="52"/>
    </row>
    <row r="413">
      <c r="M413" s="52"/>
      <c r="N413" s="52"/>
      <c r="O413" s="52"/>
      <c r="P413" s="52"/>
      <c r="Q413" s="52"/>
      <c r="U413" s="52"/>
    </row>
    <row r="414">
      <c r="M414" s="52"/>
      <c r="N414" s="52"/>
      <c r="O414" s="52"/>
      <c r="P414" s="52"/>
      <c r="Q414" s="52"/>
      <c r="U414" s="52"/>
    </row>
    <row r="415">
      <c r="M415" s="52"/>
      <c r="N415" s="52"/>
      <c r="O415" s="52"/>
      <c r="P415" s="52"/>
      <c r="Q415" s="52"/>
      <c r="U415" s="52"/>
    </row>
    <row r="416">
      <c r="M416" s="52"/>
      <c r="N416" s="52"/>
      <c r="O416" s="52"/>
      <c r="P416" s="52"/>
      <c r="Q416" s="52"/>
      <c r="U416" s="52"/>
    </row>
    <row r="417">
      <c r="M417" s="52"/>
      <c r="N417" s="52"/>
      <c r="O417" s="52"/>
      <c r="P417" s="52"/>
      <c r="Q417" s="52"/>
      <c r="U417" s="52"/>
    </row>
    <row r="418">
      <c r="M418" s="52"/>
      <c r="N418" s="52"/>
      <c r="O418" s="52"/>
      <c r="P418" s="52"/>
      <c r="Q418" s="52"/>
      <c r="U418" s="52"/>
    </row>
    <row r="419">
      <c r="M419" s="52"/>
      <c r="N419" s="52"/>
      <c r="O419" s="52"/>
      <c r="P419" s="52"/>
      <c r="Q419" s="52"/>
      <c r="U419" s="52"/>
    </row>
    <row r="420">
      <c r="M420" s="52"/>
      <c r="N420" s="52"/>
      <c r="O420" s="52"/>
      <c r="P420" s="52"/>
      <c r="Q420" s="52"/>
      <c r="U420" s="52"/>
    </row>
    <row r="421">
      <c r="M421" s="52"/>
      <c r="N421" s="52"/>
      <c r="O421" s="52"/>
      <c r="P421" s="52"/>
      <c r="Q421" s="52"/>
      <c r="U421" s="52"/>
    </row>
    <row r="422">
      <c r="M422" s="52"/>
      <c r="N422" s="52"/>
      <c r="O422" s="52"/>
      <c r="P422" s="52"/>
      <c r="Q422" s="52"/>
      <c r="U422" s="52"/>
    </row>
    <row r="423">
      <c r="M423" s="52"/>
      <c r="N423" s="52"/>
      <c r="O423" s="52"/>
      <c r="P423" s="52"/>
      <c r="Q423" s="52"/>
      <c r="U423" s="52"/>
    </row>
    <row r="424">
      <c r="M424" s="52"/>
      <c r="N424" s="52"/>
      <c r="O424" s="52"/>
      <c r="P424" s="52"/>
      <c r="Q424" s="52"/>
      <c r="U424" s="52"/>
    </row>
    <row r="425">
      <c r="M425" s="52"/>
      <c r="N425" s="52"/>
      <c r="O425" s="52"/>
      <c r="P425" s="52"/>
      <c r="Q425" s="52"/>
      <c r="U425" s="52"/>
    </row>
    <row r="426">
      <c r="M426" s="52"/>
      <c r="N426" s="52"/>
      <c r="O426" s="52"/>
      <c r="P426" s="52"/>
      <c r="Q426" s="52"/>
      <c r="U426" s="52"/>
    </row>
    <row r="427">
      <c r="M427" s="52"/>
      <c r="N427" s="52"/>
      <c r="O427" s="52"/>
      <c r="P427" s="52"/>
      <c r="Q427" s="52"/>
      <c r="U427" s="52"/>
    </row>
    <row r="428">
      <c r="M428" s="52"/>
      <c r="N428" s="52"/>
      <c r="O428" s="52"/>
      <c r="P428" s="52"/>
      <c r="Q428" s="52"/>
      <c r="U428" s="52"/>
    </row>
    <row r="429">
      <c r="M429" s="52"/>
      <c r="N429" s="52"/>
      <c r="O429" s="52"/>
      <c r="P429" s="52"/>
      <c r="Q429" s="52"/>
      <c r="U429" s="52"/>
    </row>
    <row r="430">
      <c r="M430" s="52"/>
      <c r="N430" s="52"/>
      <c r="O430" s="52"/>
      <c r="P430" s="52"/>
      <c r="Q430" s="52"/>
      <c r="U430" s="52"/>
    </row>
    <row r="431">
      <c r="M431" s="52"/>
      <c r="N431" s="52"/>
      <c r="O431" s="52"/>
      <c r="P431" s="52"/>
      <c r="Q431" s="52"/>
      <c r="U431" s="52"/>
    </row>
    <row r="432">
      <c r="M432" s="52"/>
      <c r="N432" s="52"/>
      <c r="O432" s="52"/>
      <c r="P432" s="52"/>
      <c r="Q432" s="52"/>
      <c r="U432" s="52"/>
    </row>
    <row r="433">
      <c r="M433" s="52"/>
      <c r="N433" s="52"/>
      <c r="O433" s="52"/>
      <c r="P433" s="52"/>
      <c r="Q433" s="52"/>
      <c r="U433" s="52"/>
    </row>
    <row r="434">
      <c r="M434" s="52"/>
      <c r="N434" s="52"/>
      <c r="O434" s="52"/>
      <c r="P434" s="52"/>
      <c r="Q434" s="52"/>
      <c r="U434" s="52"/>
    </row>
    <row r="435">
      <c r="M435" s="52"/>
      <c r="N435" s="52"/>
      <c r="O435" s="52"/>
      <c r="P435" s="52"/>
      <c r="Q435" s="52"/>
      <c r="U435" s="52"/>
    </row>
    <row r="436">
      <c r="M436" s="52"/>
      <c r="N436" s="52"/>
      <c r="O436" s="52"/>
      <c r="P436" s="52"/>
      <c r="Q436" s="52"/>
      <c r="U436" s="52"/>
    </row>
    <row r="437">
      <c r="M437" s="52"/>
      <c r="N437" s="52"/>
      <c r="O437" s="52"/>
      <c r="P437" s="52"/>
      <c r="Q437" s="52"/>
      <c r="U437" s="52"/>
    </row>
    <row r="438">
      <c r="M438" s="52"/>
      <c r="N438" s="52"/>
      <c r="O438" s="52"/>
      <c r="P438" s="52"/>
      <c r="Q438" s="52"/>
      <c r="U438" s="52"/>
    </row>
    <row r="439">
      <c r="M439" s="52"/>
      <c r="N439" s="52"/>
      <c r="O439" s="52"/>
      <c r="P439" s="52"/>
      <c r="Q439" s="52"/>
      <c r="U439" s="52"/>
    </row>
    <row r="440">
      <c r="M440" s="52"/>
      <c r="N440" s="52"/>
      <c r="O440" s="52"/>
      <c r="P440" s="52"/>
      <c r="Q440" s="52"/>
      <c r="U440" s="52"/>
    </row>
    <row r="441">
      <c r="M441" s="52"/>
      <c r="N441" s="52"/>
      <c r="O441" s="52"/>
      <c r="P441" s="52"/>
      <c r="Q441" s="52"/>
      <c r="U441" s="52"/>
    </row>
    <row r="442">
      <c r="M442" s="52"/>
      <c r="N442" s="52"/>
      <c r="O442" s="52"/>
      <c r="P442" s="52"/>
      <c r="Q442" s="52"/>
      <c r="U442" s="52"/>
    </row>
    <row r="443">
      <c r="M443" s="52"/>
      <c r="N443" s="52"/>
      <c r="O443" s="52"/>
      <c r="P443" s="52"/>
      <c r="Q443" s="52"/>
      <c r="U443" s="52"/>
    </row>
    <row r="444">
      <c r="M444" s="52"/>
      <c r="N444" s="52"/>
      <c r="O444" s="52"/>
      <c r="P444" s="52"/>
      <c r="Q444" s="52"/>
      <c r="U444" s="52"/>
    </row>
    <row r="445">
      <c r="M445" s="52"/>
      <c r="N445" s="52"/>
      <c r="O445" s="52"/>
      <c r="P445" s="52"/>
      <c r="Q445" s="52"/>
      <c r="U445" s="52"/>
    </row>
    <row r="446">
      <c r="M446" s="52"/>
      <c r="N446" s="52"/>
      <c r="O446" s="52"/>
      <c r="P446" s="52"/>
      <c r="Q446" s="52"/>
      <c r="U446" s="52"/>
    </row>
    <row r="447">
      <c r="M447" s="52"/>
      <c r="N447" s="52"/>
      <c r="O447" s="52"/>
      <c r="P447" s="52"/>
      <c r="Q447" s="52"/>
      <c r="U447" s="52"/>
    </row>
    <row r="448">
      <c r="M448" s="52"/>
      <c r="N448" s="52"/>
      <c r="O448" s="52"/>
      <c r="P448" s="52"/>
      <c r="Q448" s="52"/>
      <c r="U448" s="52"/>
    </row>
    <row r="449">
      <c r="M449" s="52"/>
      <c r="N449" s="52"/>
      <c r="O449" s="52"/>
      <c r="P449" s="52"/>
      <c r="Q449" s="52"/>
      <c r="U449" s="52"/>
    </row>
    <row r="450">
      <c r="M450" s="52"/>
      <c r="N450" s="52"/>
      <c r="O450" s="52"/>
      <c r="P450" s="52"/>
      <c r="Q450" s="52"/>
      <c r="U450" s="52"/>
    </row>
    <row r="451">
      <c r="M451" s="52"/>
      <c r="N451" s="52"/>
      <c r="O451" s="52"/>
      <c r="P451" s="52"/>
      <c r="Q451" s="52"/>
      <c r="U451" s="52"/>
    </row>
    <row r="452">
      <c r="M452" s="52"/>
      <c r="N452" s="52"/>
      <c r="O452" s="52"/>
      <c r="P452" s="52"/>
      <c r="Q452" s="52"/>
      <c r="U452" s="52"/>
    </row>
    <row r="453">
      <c r="M453" s="52"/>
      <c r="N453" s="52"/>
      <c r="O453" s="52"/>
      <c r="P453" s="52"/>
      <c r="Q453" s="52"/>
      <c r="U453" s="52"/>
    </row>
    <row r="454">
      <c r="M454" s="52"/>
      <c r="N454" s="52"/>
      <c r="O454" s="52"/>
      <c r="P454" s="52"/>
      <c r="Q454" s="52"/>
      <c r="U454" s="52"/>
    </row>
    <row r="455">
      <c r="M455" s="52"/>
      <c r="N455" s="52"/>
      <c r="O455" s="52"/>
      <c r="P455" s="52"/>
      <c r="Q455" s="52"/>
      <c r="U455" s="52"/>
    </row>
    <row r="456">
      <c r="M456" s="52"/>
      <c r="N456" s="52"/>
      <c r="O456" s="52"/>
      <c r="P456" s="52"/>
      <c r="Q456" s="52"/>
      <c r="U456" s="52"/>
    </row>
    <row r="457">
      <c r="M457" s="52"/>
      <c r="N457" s="52"/>
      <c r="O457" s="52"/>
      <c r="P457" s="52"/>
      <c r="Q457" s="52"/>
      <c r="U457" s="52"/>
    </row>
    <row r="458">
      <c r="M458" s="52"/>
      <c r="N458" s="52"/>
      <c r="O458" s="52"/>
      <c r="P458" s="52"/>
      <c r="Q458" s="52"/>
      <c r="U458" s="52"/>
    </row>
    <row r="459">
      <c r="M459" s="52"/>
      <c r="N459" s="52"/>
      <c r="O459" s="52"/>
      <c r="P459" s="52"/>
      <c r="Q459" s="52"/>
      <c r="U459" s="52"/>
    </row>
    <row r="460">
      <c r="M460" s="52"/>
      <c r="N460" s="52"/>
      <c r="O460" s="52"/>
      <c r="P460" s="52"/>
      <c r="Q460" s="52"/>
      <c r="U460" s="52"/>
    </row>
    <row r="461">
      <c r="M461" s="52"/>
      <c r="N461" s="52"/>
      <c r="O461" s="52"/>
      <c r="P461" s="52"/>
      <c r="Q461" s="52"/>
      <c r="U461" s="52"/>
    </row>
    <row r="462">
      <c r="M462" s="52"/>
      <c r="N462" s="52"/>
      <c r="O462" s="52"/>
      <c r="P462" s="52"/>
      <c r="Q462" s="52"/>
      <c r="U462" s="52"/>
    </row>
    <row r="463">
      <c r="M463" s="52"/>
      <c r="N463" s="52"/>
      <c r="O463" s="52"/>
      <c r="P463" s="52"/>
      <c r="Q463" s="52"/>
      <c r="U463" s="52"/>
    </row>
    <row r="464">
      <c r="M464" s="52"/>
      <c r="N464" s="52"/>
      <c r="O464" s="52"/>
      <c r="P464" s="52"/>
      <c r="Q464" s="52"/>
      <c r="U464" s="52"/>
    </row>
    <row r="465">
      <c r="M465" s="52"/>
      <c r="N465" s="52"/>
      <c r="O465" s="52"/>
      <c r="P465" s="52"/>
      <c r="Q465" s="52"/>
      <c r="U465" s="52"/>
    </row>
    <row r="466">
      <c r="M466" s="52"/>
      <c r="N466" s="52"/>
      <c r="O466" s="52"/>
      <c r="P466" s="52"/>
      <c r="Q466" s="52"/>
      <c r="U466" s="52"/>
    </row>
    <row r="467">
      <c r="M467" s="52"/>
      <c r="N467" s="52"/>
      <c r="O467" s="52"/>
      <c r="P467" s="52"/>
      <c r="Q467" s="52"/>
      <c r="U467" s="52"/>
    </row>
    <row r="468">
      <c r="M468" s="52"/>
      <c r="N468" s="52"/>
      <c r="O468" s="52"/>
      <c r="P468" s="52"/>
      <c r="Q468" s="52"/>
      <c r="U468" s="52"/>
    </row>
    <row r="469">
      <c r="M469" s="52"/>
      <c r="N469" s="52"/>
      <c r="O469" s="52"/>
      <c r="P469" s="52"/>
      <c r="Q469" s="52"/>
      <c r="U469" s="52"/>
    </row>
    <row r="470">
      <c r="M470" s="52"/>
      <c r="N470" s="52"/>
      <c r="O470" s="52"/>
      <c r="P470" s="52"/>
      <c r="Q470" s="52"/>
      <c r="U470" s="52"/>
    </row>
    <row r="471">
      <c r="M471" s="52"/>
      <c r="N471" s="52"/>
      <c r="O471" s="52"/>
      <c r="P471" s="52"/>
      <c r="Q471" s="52"/>
      <c r="U471" s="52"/>
    </row>
    <row r="472">
      <c r="M472" s="52"/>
      <c r="N472" s="52"/>
      <c r="O472" s="52"/>
      <c r="P472" s="52"/>
      <c r="Q472" s="52"/>
      <c r="U472" s="52"/>
    </row>
    <row r="473">
      <c r="M473" s="52"/>
      <c r="N473" s="52"/>
      <c r="O473" s="52"/>
      <c r="P473" s="52"/>
      <c r="Q473" s="52"/>
      <c r="U473" s="52"/>
    </row>
    <row r="474">
      <c r="M474" s="52"/>
      <c r="N474" s="52"/>
      <c r="O474" s="52"/>
      <c r="P474" s="52"/>
      <c r="Q474" s="52"/>
      <c r="U474" s="52"/>
    </row>
    <row r="475">
      <c r="M475" s="52"/>
      <c r="N475" s="52"/>
      <c r="O475" s="52"/>
      <c r="P475" s="52"/>
      <c r="Q475" s="52"/>
      <c r="U475" s="52"/>
    </row>
    <row r="476">
      <c r="M476" s="52"/>
      <c r="N476" s="52"/>
      <c r="O476" s="52"/>
      <c r="P476" s="52"/>
      <c r="Q476" s="52"/>
      <c r="U476" s="52"/>
    </row>
    <row r="477">
      <c r="M477" s="52"/>
      <c r="N477" s="52"/>
      <c r="O477" s="52"/>
      <c r="P477" s="52"/>
      <c r="Q477" s="52"/>
      <c r="U477" s="52"/>
    </row>
    <row r="478">
      <c r="M478" s="52"/>
      <c r="N478" s="52"/>
      <c r="O478" s="52"/>
      <c r="P478" s="52"/>
      <c r="Q478" s="52"/>
      <c r="U478" s="52"/>
    </row>
    <row r="479">
      <c r="M479" s="52"/>
      <c r="N479" s="52"/>
      <c r="O479" s="52"/>
      <c r="P479" s="52"/>
      <c r="Q479" s="52"/>
      <c r="U479" s="52"/>
    </row>
    <row r="480">
      <c r="M480" s="52"/>
      <c r="N480" s="52"/>
      <c r="O480" s="52"/>
      <c r="P480" s="52"/>
      <c r="Q480" s="52"/>
      <c r="U480" s="52"/>
    </row>
    <row r="481">
      <c r="M481" s="52"/>
      <c r="N481" s="52"/>
      <c r="O481" s="52"/>
      <c r="P481" s="52"/>
      <c r="Q481" s="52"/>
      <c r="U481" s="52"/>
    </row>
    <row r="482">
      <c r="M482" s="52"/>
      <c r="N482" s="52"/>
      <c r="O482" s="52"/>
      <c r="P482" s="52"/>
      <c r="Q482" s="52"/>
      <c r="U482" s="52"/>
    </row>
    <row r="483">
      <c r="M483" s="52"/>
      <c r="N483" s="52"/>
      <c r="O483" s="52"/>
      <c r="P483" s="52"/>
      <c r="Q483" s="52"/>
      <c r="U483" s="52"/>
    </row>
    <row r="484">
      <c r="M484" s="52"/>
      <c r="N484" s="52"/>
      <c r="O484" s="52"/>
      <c r="P484" s="52"/>
      <c r="Q484" s="52"/>
      <c r="U484" s="52"/>
    </row>
    <row r="485">
      <c r="M485" s="52"/>
      <c r="N485" s="52"/>
      <c r="O485" s="52"/>
      <c r="P485" s="52"/>
      <c r="Q485" s="52"/>
      <c r="U485" s="52"/>
    </row>
    <row r="486">
      <c r="M486" s="52"/>
      <c r="N486" s="52"/>
      <c r="O486" s="52"/>
      <c r="P486" s="52"/>
      <c r="Q486" s="52"/>
      <c r="U486" s="52"/>
    </row>
    <row r="487">
      <c r="M487" s="52"/>
      <c r="N487" s="52"/>
      <c r="O487" s="52"/>
      <c r="P487" s="52"/>
      <c r="Q487" s="52"/>
      <c r="U487" s="52"/>
    </row>
    <row r="488">
      <c r="M488" s="52"/>
      <c r="N488" s="52"/>
      <c r="O488" s="52"/>
      <c r="P488" s="52"/>
      <c r="Q488" s="52"/>
      <c r="U488" s="52"/>
    </row>
    <row r="489">
      <c r="M489" s="52"/>
      <c r="N489" s="52"/>
      <c r="O489" s="52"/>
      <c r="P489" s="52"/>
      <c r="Q489" s="52"/>
      <c r="U489" s="52"/>
    </row>
    <row r="490">
      <c r="M490" s="52"/>
      <c r="N490" s="52"/>
      <c r="O490" s="52"/>
      <c r="P490" s="52"/>
      <c r="Q490" s="52"/>
      <c r="U490" s="52"/>
    </row>
    <row r="491">
      <c r="M491" s="52"/>
      <c r="N491" s="52"/>
      <c r="O491" s="52"/>
      <c r="P491" s="52"/>
      <c r="Q491" s="52"/>
      <c r="U491" s="52"/>
    </row>
    <row r="492">
      <c r="M492" s="52"/>
      <c r="N492" s="52"/>
      <c r="O492" s="52"/>
      <c r="P492" s="52"/>
      <c r="Q492" s="52"/>
      <c r="U492" s="52"/>
    </row>
    <row r="493">
      <c r="M493" s="52"/>
      <c r="N493" s="52"/>
      <c r="O493" s="52"/>
      <c r="P493" s="52"/>
      <c r="Q493" s="52"/>
      <c r="U493" s="52"/>
    </row>
    <row r="494">
      <c r="M494" s="52"/>
      <c r="N494" s="52"/>
      <c r="O494" s="52"/>
      <c r="P494" s="52"/>
      <c r="Q494" s="52"/>
      <c r="U494" s="52"/>
    </row>
    <row r="495">
      <c r="M495" s="52"/>
      <c r="N495" s="52"/>
      <c r="O495" s="52"/>
      <c r="P495" s="52"/>
      <c r="Q495" s="52"/>
      <c r="U495" s="52"/>
    </row>
    <row r="496">
      <c r="M496" s="52"/>
      <c r="N496" s="52"/>
      <c r="O496" s="52"/>
      <c r="P496" s="52"/>
      <c r="Q496" s="52"/>
      <c r="U496" s="52"/>
    </row>
    <row r="497">
      <c r="M497" s="52"/>
      <c r="N497" s="52"/>
      <c r="O497" s="52"/>
      <c r="P497" s="52"/>
      <c r="Q497" s="52"/>
      <c r="U497" s="52"/>
    </row>
    <row r="498">
      <c r="M498" s="52"/>
      <c r="N498" s="52"/>
      <c r="O498" s="52"/>
      <c r="P498" s="52"/>
      <c r="Q498" s="52"/>
      <c r="U498" s="52"/>
    </row>
    <row r="499">
      <c r="M499" s="52"/>
      <c r="N499" s="52"/>
      <c r="O499" s="52"/>
      <c r="P499" s="52"/>
      <c r="Q499" s="52"/>
      <c r="U499" s="52"/>
    </row>
    <row r="500">
      <c r="M500" s="52"/>
      <c r="N500" s="52"/>
      <c r="O500" s="52"/>
      <c r="P500" s="52"/>
      <c r="Q500" s="52"/>
      <c r="U500" s="52"/>
    </row>
    <row r="501">
      <c r="M501" s="52"/>
      <c r="N501" s="52"/>
      <c r="O501" s="52"/>
      <c r="P501" s="52"/>
      <c r="Q501" s="52"/>
      <c r="U501" s="52"/>
    </row>
    <row r="502">
      <c r="M502" s="52"/>
      <c r="N502" s="52"/>
      <c r="O502" s="52"/>
      <c r="P502" s="52"/>
      <c r="Q502" s="52"/>
      <c r="U502" s="52"/>
    </row>
    <row r="503">
      <c r="M503" s="52"/>
      <c r="N503" s="52"/>
      <c r="O503" s="52"/>
      <c r="P503" s="52"/>
      <c r="Q503" s="52"/>
      <c r="U503" s="52"/>
    </row>
    <row r="504">
      <c r="M504" s="52"/>
      <c r="N504" s="52"/>
      <c r="O504" s="52"/>
      <c r="P504" s="52"/>
      <c r="Q504" s="52"/>
      <c r="U504" s="52"/>
    </row>
    <row r="505">
      <c r="M505" s="52"/>
      <c r="N505" s="52"/>
      <c r="O505" s="52"/>
      <c r="P505" s="52"/>
      <c r="Q505" s="52"/>
      <c r="U505" s="52"/>
    </row>
    <row r="506">
      <c r="M506" s="52"/>
      <c r="N506" s="52"/>
      <c r="O506" s="52"/>
      <c r="P506" s="52"/>
      <c r="Q506" s="52"/>
      <c r="U506" s="52"/>
    </row>
    <row r="507">
      <c r="M507" s="52"/>
      <c r="N507" s="52"/>
      <c r="O507" s="52"/>
      <c r="P507" s="52"/>
      <c r="Q507" s="52"/>
      <c r="U507" s="52"/>
    </row>
    <row r="508">
      <c r="M508" s="52"/>
      <c r="N508" s="52"/>
      <c r="O508" s="52"/>
      <c r="P508" s="52"/>
      <c r="Q508" s="52"/>
      <c r="U508" s="52"/>
    </row>
    <row r="509">
      <c r="M509" s="52"/>
      <c r="N509" s="52"/>
      <c r="O509" s="52"/>
      <c r="P509" s="52"/>
      <c r="Q509" s="52"/>
      <c r="U509" s="52"/>
    </row>
    <row r="510">
      <c r="M510" s="52"/>
      <c r="N510" s="52"/>
      <c r="O510" s="52"/>
      <c r="P510" s="52"/>
      <c r="Q510" s="52"/>
      <c r="U510" s="52"/>
    </row>
    <row r="511">
      <c r="M511" s="52"/>
      <c r="N511" s="52"/>
      <c r="O511" s="52"/>
      <c r="P511" s="52"/>
      <c r="Q511" s="52"/>
      <c r="U511" s="52"/>
    </row>
    <row r="512">
      <c r="M512" s="52"/>
      <c r="N512" s="52"/>
      <c r="O512" s="52"/>
      <c r="P512" s="52"/>
      <c r="Q512" s="52"/>
      <c r="U512" s="52"/>
    </row>
    <row r="513">
      <c r="M513" s="52"/>
      <c r="N513" s="52"/>
      <c r="O513" s="52"/>
      <c r="P513" s="52"/>
      <c r="Q513" s="52"/>
      <c r="U513" s="52"/>
    </row>
    <row r="514">
      <c r="M514" s="52"/>
      <c r="N514" s="52"/>
      <c r="O514" s="52"/>
      <c r="P514" s="52"/>
      <c r="Q514" s="52"/>
      <c r="U514" s="52"/>
    </row>
    <row r="515">
      <c r="M515" s="52"/>
      <c r="N515" s="52"/>
      <c r="O515" s="52"/>
      <c r="P515" s="52"/>
      <c r="Q515" s="52"/>
      <c r="U515" s="52"/>
    </row>
    <row r="516">
      <c r="M516" s="52"/>
      <c r="N516" s="52"/>
      <c r="O516" s="52"/>
      <c r="P516" s="52"/>
      <c r="Q516" s="52"/>
      <c r="U516" s="52"/>
    </row>
    <row r="517">
      <c r="M517" s="52"/>
      <c r="N517" s="52"/>
      <c r="O517" s="52"/>
      <c r="P517" s="52"/>
      <c r="Q517" s="52"/>
      <c r="U517" s="52"/>
    </row>
    <row r="518">
      <c r="M518" s="52"/>
      <c r="N518" s="52"/>
      <c r="O518" s="52"/>
      <c r="P518" s="52"/>
      <c r="Q518" s="52"/>
      <c r="U518" s="52"/>
    </row>
    <row r="519">
      <c r="M519" s="52"/>
      <c r="N519" s="52"/>
      <c r="O519" s="52"/>
      <c r="P519" s="52"/>
      <c r="Q519" s="52"/>
      <c r="U519" s="52"/>
    </row>
    <row r="520">
      <c r="M520" s="52"/>
      <c r="N520" s="52"/>
      <c r="O520" s="52"/>
      <c r="P520" s="52"/>
      <c r="Q520" s="52"/>
      <c r="U520" s="52"/>
    </row>
    <row r="521">
      <c r="M521" s="52"/>
      <c r="N521" s="52"/>
      <c r="O521" s="52"/>
      <c r="P521" s="52"/>
      <c r="Q521" s="52"/>
      <c r="U521" s="52"/>
    </row>
    <row r="522">
      <c r="M522" s="52"/>
      <c r="N522" s="52"/>
      <c r="O522" s="52"/>
      <c r="P522" s="52"/>
      <c r="Q522" s="52"/>
      <c r="U522" s="52"/>
    </row>
    <row r="523">
      <c r="M523" s="52"/>
      <c r="N523" s="52"/>
      <c r="O523" s="52"/>
      <c r="P523" s="52"/>
      <c r="Q523" s="52"/>
      <c r="U523" s="52"/>
    </row>
    <row r="524">
      <c r="M524" s="52"/>
      <c r="N524" s="52"/>
      <c r="O524" s="52"/>
      <c r="P524" s="52"/>
      <c r="Q524" s="52"/>
      <c r="U524" s="52"/>
    </row>
    <row r="525">
      <c r="M525" s="52"/>
      <c r="N525" s="52"/>
      <c r="O525" s="52"/>
      <c r="P525" s="52"/>
      <c r="Q525" s="52"/>
      <c r="U525" s="52"/>
    </row>
    <row r="526">
      <c r="M526" s="52"/>
      <c r="N526" s="52"/>
      <c r="O526" s="52"/>
      <c r="P526" s="52"/>
      <c r="Q526" s="52"/>
      <c r="U526" s="52"/>
    </row>
    <row r="527">
      <c r="M527" s="52"/>
      <c r="N527" s="52"/>
      <c r="O527" s="52"/>
      <c r="P527" s="52"/>
      <c r="Q527" s="52"/>
      <c r="U527" s="52"/>
    </row>
    <row r="528">
      <c r="M528" s="52"/>
      <c r="N528" s="52"/>
      <c r="O528" s="52"/>
      <c r="P528" s="52"/>
      <c r="Q528" s="52"/>
      <c r="U528" s="52"/>
    </row>
    <row r="529">
      <c r="M529" s="52"/>
      <c r="N529" s="52"/>
      <c r="O529" s="52"/>
      <c r="P529" s="52"/>
      <c r="Q529" s="52"/>
      <c r="U529" s="52"/>
    </row>
    <row r="530">
      <c r="M530" s="52"/>
      <c r="N530" s="52"/>
      <c r="O530" s="52"/>
      <c r="P530" s="52"/>
      <c r="Q530" s="52"/>
      <c r="U530" s="52"/>
    </row>
    <row r="531">
      <c r="M531" s="52"/>
      <c r="N531" s="52"/>
      <c r="O531" s="52"/>
      <c r="P531" s="52"/>
      <c r="Q531" s="52"/>
      <c r="U531" s="52"/>
    </row>
    <row r="532">
      <c r="M532" s="52"/>
      <c r="N532" s="52"/>
      <c r="O532" s="52"/>
      <c r="P532" s="52"/>
      <c r="Q532" s="52"/>
      <c r="U532" s="52"/>
    </row>
    <row r="533">
      <c r="M533" s="52"/>
      <c r="N533" s="52"/>
      <c r="O533" s="52"/>
      <c r="P533" s="52"/>
      <c r="Q533" s="52"/>
      <c r="U533" s="52"/>
    </row>
    <row r="534">
      <c r="M534" s="52"/>
      <c r="N534" s="52"/>
      <c r="O534" s="52"/>
      <c r="P534" s="52"/>
      <c r="Q534" s="52"/>
      <c r="U534" s="52"/>
    </row>
    <row r="535">
      <c r="M535" s="52"/>
      <c r="N535" s="52"/>
      <c r="O535" s="52"/>
      <c r="P535" s="52"/>
      <c r="Q535" s="52"/>
      <c r="U535" s="52"/>
    </row>
    <row r="536">
      <c r="M536" s="52"/>
      <c r="N536" s="52"/>
      <c r="O536" s="52"/>
      <c r="P536" s="52"/>
      <c r="Q536" s="52"/>
      <c r="U536" s="52"/>
    </row>
    <row r="537">
      <c r="M537" s="52"/>
      <c r="N537" s="52"/>
      <c r="O537" s="52"/>
      <c r="P537" s="52"/>
      <c r="Q537" s="52"/>
      <c r="U537" s="52"/>
    </row>
    <row r="538">
      <c r="M538" s="52"/>
      <c r="N538" s="52"/>
      <c r="O538" s="52"/>
      <c r="P538" s="52"/>
      <c r="Q538" s="52"/>
      <c r="U538" s="52"/>
    </row>
    <row r="539">
      <c r="M539" s="52"/>
      <c r="N539" s="52"/>
      <c r="O539" s="52"/>
      <c r="P539" s="52"/>
      <c r="Q539" s="52"/>
      <c r="U539" s="52"/>
    </row>
    <row r="540">
      <c r="M540" s="52"/>
      <c r="N540" s="52"/>
      <c r="O540" s="52"/>
      <c r="P540" s="52"/>
      <c r="Q540" s="52"/>
      <c r="U540" s="52"/>
    </row>
    <row r="541">
      <c r="M541" s="52"/>
      <c r="N541" s="52"/>
      <c r="O541" s="52"/>
      <c r="P541" s="52"/>
      <c r="Q541" s="52"/>
      <c r="U541" s="52"/>
    </row>
    <row r="542">
      <c r="M542" s="52"/>
      <c r="N542" s="52"/>
      <c r="O542" s="52"/>
      <c r="P542" s="52"/>
      <c r="Q542" s="52"/>
      <c r="U542" s="52"/>
    </row>
    <row r="543">
      <c r="M543" s="52"/>
      <c r="N543" s="52"/>
      <c r="O543" s="52"/>
      <c r="P543" s="52"/>
      <c r="Q543" s="52"/>
      <c r="U543" s="52"/>
    </row>
    <row r="544">
      <c r="M544" s="52"/>
      <c r="N544" s="52"/>
      <c r="O544" s="52"/>
      <c r="P544" s="52"/>
      <c r="Q544" s="52"/>
      <c r="U544" s="52"/>
    </row>
    <row r="545">
      <c r="M545" s="52"/>
      <c r="N545" s="52"/>
      <c r="O545" s="52"/>
      <c r="P545" s="52"/>
      <c r="Q545" s="52"/>
      <c r="U545" s="52"/>
    </row>
    <row r="546">
      <c r="M546" s="52"/>
      <c r="N546" s="52"/>
      <c r="O546" s="52"/>
      <c r="P546" s="52"/>
      <c r="Q546" s="52"/>
      <c r="U546" s="52"/>
    </row>
    <row r="547">
      <c r="M547" s="52"/>
      <c r="N547" s="52"/>
      <c r="O547" s="52"/>
      <c r="P547" s="52"/>
      <c r="Q547" s="52"/>
      <c r="U547" s="52"/>
    </row>
    <row r="548">
      <c r="M548" s="52"/>
      <c r="N548" s="52"/>
      <c r="O548" s="52"/>
      <c r="P548" s="52"/>
      <c r="Q548" s="52"/>
      <c r="U548" s="52"/>
    </row>
    <row r="549">
      <c r="M549" s="52"/>
      <c r="N549" s="52"/>
      <c r="O549" s="52"/>
      <c r="P549" s="52"/>
      <c r="Q549" s="52"/>
      <c r="U549" s="52"/>
    </row>
    <row r="550">
      <c r="M550" s="52"/>
      <c r="N550" s="52"/>
      <c r="O550" s="52"/>
      <c r="P550" s="52"/>
      <c r="Q550" s="52"/>
      <c r="U550" s="52"/>
    </row>
    <row r="551">
      <c r="M551" s="52"/>
      <c r="N551" s="52"/>
      <c r="O551" s="52"/>
      <c r="P551" s="52"/>
      <c r="Q551" s="52"/>
      <c r="U551" s="52"/>
    </row>
    <row r="552">
      <c r="M552" s="52"/>
      <c r="N552" s="52"/>
      <c r="O552" s="52"/>
      <c r="P552" s="52"/>
      <c r="Q552" s="52"/>
      <c r="U552" s="52"/>
    </row>
    <row r="553">
      <c r="M553" s="52"/>
      <c r="N553" s="52"/>
      <c r="O553" s="52"/>
      <c r="P553" s="52"/>
      <c r="Q553" s="52"/>
      <c r="U553" s="52"/>
    </row>
    <row r="554">
      <c r="M554" s="52"/>
      <c r="N554" s="52"/>
      <c r="O554" s="52"/>
      <c r="P554" s="52"/>
      <c r="Q554" s="52"/>
      <c r="U554" s="52"/>
    </row>
    <row r="555">
      <c r="M555" s="52"/>
      <c r="N555" s="52"/>
      <c r="O555" s="52"/>
      <c r="P555" s="52"/>
      <c r="Q555" s="52"/>
      <c r="U555" s="52"/>
    </row>
    <row r="556">
      <c r="M556" s="52"/>
      <c r="N556" s="52"/>
      <c r="O556" s="52"/>
      <c r="P556" s="52"/>
      <c r="Q556" s="52"/>
      <c r="U556" s="52"/>
    </row>
    <row r="557">
      <c r="M557" s="52"/>
      <c r="N557" s="52"/>
      <c r="O557" s="52"/>
      <c r="P557" s="52"/>
      <c r="Q557" s="52"/>
      <c r="U557" s="52"/>
    </row>
    <row r="558">
      <c r="M558" s="52"/>
      <c r="N558" s="52"/>
      <c r="O558" s="52"/>
      <c r="P558" s="52"/>
      <c r="Q558" s="52"/>
      <c r="U558" s="52"/>
    </row>
    <row r="559">
      <c r="M559" s="52"/>
      <c r="N559" s="52"/>
      <c r="O559" s="52"/>
      <c r="P559" s="52"/>
      <c r="Q559" s="52"/>
      <c r="U559" s="52"/>
    </row>
    <row r="560">
      <c r="M560" s="52"/>
      <c r="N560" s="52"/>
      <c r="O560" s="52"/>
      <c r="P560" s="52"/>
      <c r="Q560" s="52"/>
      <c r="U560" s="52"/>
    </row>
    <row r="561">
      <c r="M561" s="52"/>
      <c r="N561" s="52"/>
      <c r="O561" s="52"/>
      <c r="P561" s="52"/>
      <c r="Q561" s="52"/>
      <c r="U561" s="52"/>
    </row>
    <row r="562">
      <c r="M562" s="52"/>
      <c r="N562" s="52"/>
      <c r="O562" s="52"/>
      <c r="P562" s="52"/>
      <c r="Q562" s="52"/>
      <c r="U562" s="52"/>
    </row>
    <row r="563">
      <c r="M563" s="52"/>
      <c r="N563" s="52"/>
      <c r="O563" s="52"/>
      <c r="P563" s="52"/>
      <c r="Q563" s="52"/>
      <c r="U563" s="52"/>
    </row>
    <row r="564">
      <c r="M564" s="52"/>
      <c r="N564" s="52"/>
      <c r="O564" s="52"/>
      <c r="P564" s="52"/>
      <c r="Q564" s="52"/>
      <c r="U564" s="52"/>
    </row>
    <row r="565">
      <c r="M565" s="52"/>
      <c r="N565" s="52"/>
      <c r="O565" s="52"/>
      <c r="P565" s="52"/>
      <c r="Q565" s="52"/>
      <c r="U565" s="52"/>
    </row>
    <row r="566">
      <c r="M566" s="52"/>
      <c r="N566" s="52"/>
      <c r="O566" s="52"/>
      <c r="P566" s="52"/>
      <c r="Q566" s="52"/>
      <c r="U566" s="52"/>
    </row>
    <row r="567">
      <c r="M567" s="52"/>
      <c r="N567" s="52"/>
      <c r="O567" s="52"/>
      <c r="P567" s="52"/>
      <c r="Q567" s="52"/>
      <c r="U567" s="52"/>
    </row>
    <row r="568">
      <c r="M568" s="52"/>
      <c r="N568" s="52"/>
      <c r="O568" s="52"/>
      <c r="P568" s="52"/>
      <c r="Q568" s="52"/>
      <c r="U568" s="52"/>
    </row>
    <row r="569">
      <c r="M569" s="52"/>
      <c r="N569" s="52"/>
      <c r="O569" s="52"/>
      <c r="P569" s="52"/>
      <c r="Q569" s="52"/>
      <c r="U569" s="52"/>
    </row>
    <row r="570">
      <c r="M570" s="52"/>
      <c r="N570" s="52"/>
      <c r="O570" s="52"/>
      <c r="P570" s="52"/>
      <c r="Q570" s="52"/>
      <c r="U570" s="52"/>
    </row>
    <row r="571">
      <c r="M571" s="52"/>
      <c r="N571" s="52"/>
      <c r="O571" s="52"/>
      <c r="P571" s="52"/>
      <c r="Q571" s="52"/>
      <c r="U571" s="52"/>
    </row>
    <row r="572">
      <c r="M572" s="52"/>
      <c r="N572" s="52"/>
      <c r="O572" s="52"/>
      <c r="P572" s="52"/>
      <c r="Q572" s="52"/>
      <c r="U572" s="52"/>
    </row>
    <row r="573">
      <c r="M573" s="52"/>
      <c r="N573" s="52"/>
      <c r="O573" s="52"/>
      <c r="P573" s="52"/>
      <c r="Q573" s="52"/>
      <c r="U573" s="52"/>
    </row>
    <row r="574">
      <c r="M574" s="52"/>
      <c r="N574" s="52"/>
      <c r="O574" s="52"/>
      <c r="P574" s="52"/>
      <c r="Q574" s="52"/>
      <c r="U574" s="52"/>
    </row>
    <row r="575">
      <c r="M575" s="52"/>
      <c r="N575" s="52"/>
      <c r="O575" s="52"/>
      <c r="P575" s="52"/>
      <c r="Q575" s="52"/>
      <c r="U575" s="52"/>
    </row>
    <row r="576">
      <c r="M576" s="52"/>
      <c r="N576" s="52"/>
      <c r="O576" s="52"/>
      <c r="P576" s="52"/>
      <c r="Q576" s="52"/>
      <c r="U576" s="52"/>
    </row>
    <row r="577">
      <c r="M577" s="52"/>
      <c r="N577" s="52"/>
      <c r="O577" s="52"/>
      <c r="P577" s="52"/>
      <c r="Q577" s="52"/>
      <c r="U577" s="52"/>
    </row>
    <row r="578">
      <c r="M578" s="52"/>
      <c r="N578" s="52"/>
      <c r="O578" s="52"/>
      <c r="P578" s="52"/>
      <c r="Q578" s="52"/>
      <c r="U578" s="52"/>
    </row>
    <row r="579">
      <c r="M579" s="52"/>
      <c r="N579" s="52"/>
      <c r="O579" s="52"/>
      <c r="P579" s="52"/>
      <c r="Q579" s="52"/>
      <c r="U579" s="52"/>
    </row>
    <row r="580">
      <c r="M580" s="52"/>
      <c r="N580" s="52"/>
      <c r="O580" s="52"/>
      <c r="P580" s="52"/>
      <c r="Q580" s="52"/>
      <c r="U580" s="52"/>
    </row>
    <row r="581">
      <c r="M581" s="52"/>
      <c r="N581" s="52"/>
      <c r="O581" s="52"/>
      <c r="P581" s="52"/>
      <c r="Q581" s="52"/>
      <c r="U581" s="52"/>
    </row>
    <row r="582">
      <c r="M582" s="52"/>
      <c r="N582" s="52"/>
      <c r="O582" s="52"/>
      <c r="P582" s="52"/>
      <c r="Q582" s="52"/>
      <c r="U582" s="52"/>
    </row>
    <row r="583">
      <c r="M583" s="52"/>
      <c r="N583" s="52"/>
      <c r="O583" s="52"/>
      <c r="P583" s="52"/>
      <c r="Q583" s="52"/>
      <c r="U583" s="52"/>
    </row>
    <row r="584">
      <c r="M584" s="52"/>
      <c r="N584" s="52"/>
      <c r="O584" s="52"/>
      <c r="P584" s="52"/>
      <c r="Q584" s="52"/>
      <c r="U584" s="52"/>
    </row>
    <row r="585">
      <c r="M585" s="52"/>
      <c r="N585" s="52"/>
      <c r="O585" s="52"/>
      <c r="P585" s="52"/>
      <c r="Q585" s="52"/>
      <c r="U585" s="52"/>
    </row>
    <row r="586">
      <c r="M586" s="52"/>
      <c r="N586" s="52"/>
      <c r="O586" s="52"/>
      <c r="P586" s="52"/>
      <c r="Q586" s="52"/>
      <c r="U586" s="52"/>
    </row>
    <row r="587">
      <c r="M587" s="52"/>
      <c r="N587" s="52"/>
      <c r="O587" s="52"/>
      <c r="P587" s="52"/>
      <c r="Q587" s="52"/>
      <c r="U587" s="52"/>
    </row>
    <row r="588">
      <c r="M588" s="52"/>
      <c r="N588" s="52"/>
      <c r="O588" s="52"/>
      <c r="P588" s="52"/>
      <c r="Q588" s="52"/>
      <c r="U588" s="52"/>
    </row>
    <row r="589">
      <c r="M589" s="52"/>
      <c r="N589" s="52"/>
      <c r="O589" s="52"/>
      <c r="P589" s="52"/>
      <c r="Q589" s="52"/>
      <c r="U589" s="52"/>
    </row>
    <row r="590">
      <c r="M590" s="52"/>
      <c r="N590" s="52"/>
      <c r="O590" s="52"/>
      <c r="P590" s="52"/>
      <c r="Q590" s="52"/>
      <c r="U590" s="52"/>
    </row>
    <row r="591">
      <c r="M591" s="52"/>
      <c r="N591" s="52"/>
      <c r="O591" s="52"/>
      <c r="P591" s="52"/>
      <c r="Q591" s="52"/>
      <c r="U591" s="52"/>
    </row>
    <row r="592">
      <c r="M592" s="52"/>
      <c r="N592" s="52"/>
      <c r="O592" s="52"/>
      <c r="P592" s="52"/>
      <c r="Q592" s="52"/>
      <c r="U592" s="52"/>
    </row>
    <row r="593">
      <c r="M593" s="52"/>
      <c r="N593" s="52"/>
      <c r="O593" s="52"/>
      <c r="P593" s="52"/>
      <c r="Q593" s="52"/>
      <c r="U593" s="52"/>
    </row>
    <row r="594">
      <c r="M594" s="52"/>
      <c r="N594" s="52"/>
      <c r="O594" s="52"/>
      <c r="P594" s="52"/>
      <c r="Q594" s="52"/>
      <c r="U594" s="52"/>
    </row>
    <row r="595">
      <c r="M595" s="52"/>
      <c r="N595" s="52"/>
      <c r="O595" s="52"/>
      <c r="P595" s="52"/>
      <c r="Q595" s="52"/>
      <c r="U595" s="52"/>
    </row>
    <row r="596">
      <c r="M596" s="52"/>
      <c r="N596" s="52"/>
      <c r="O596" s="52"/>
      <c r="P596" s="52"/>
      <c r="Q596" s="52"/>
      <c r="U596" s="52"/>
    </row>
    <row r="597">
      <c r="M597" s="52"/>
      <c r="N597" s="52"/>
      <c r="O597" s="52"/>
      <c r="P597" s="52"/>
      <c r="Q597" s="52"/>
      <c r="U597" s="52"/>
    </row>
    <row r="598">
      <c r="M598" s="52"/>
      <c r="N598" s="52"/>
      <c r="O598" s="52"/>
      <c r="P598" s="52"/>
      <c r="Q598" s="52"/>
      <c r="U598" s="52"/>
    </row>
    <row r="599">
      <c r="M599" s="52"/>
      <c r="N599" s="52"/>
      <c r="O599" s="52"/>
      <c r="P599" s="52"/>
      <c r="Q599" s="52"/>
      <c r="U599" s="52"/>
    </row>
    <row r="600">
      <c r="M600" s="52"/>
      <c r="N600" s="52"/>
      <c r="O600" s="52"/>
      <c r="P600" s="52"/>
      <c r="Q600" s="52"/>
      <c r="U600" s="52"/>
    </row>
    <row r="601">
      <c r="M601" s="52"/>
      <c r="N601" s="52"/>
      <c r="O601" s="52"/>
      <c r="P601" s="52"/>
      <c r="Q601" s="52"/>
      <c r="U601" s="52"/>
    </row>
    <row r="602">
      <c r="M602" s="52"/>
      <c r="N602" s="52"/>
      <c r="O602" s="52"/>
      <c r="P602" s="52"/>
      <c r="Q602" s="52"/>
      <c r="U602" s="52"/>
    </row>
    <row r="603">
      <c r="M603" s="52"/>
      <c r="N603" s="52"/>
      <c r="O603" s="52"/>
      <c r="P603" s="52"/>
      <c r="Q603" s="52"/>
      <c r="U603" s="52"/>
    </row>
    <row r="604">
      <c r="M604" s="52"/>
      <c r="N604" s="52"/>
      <c r="O604" s="52"/>
      <c r="P604" s="52"/>
      <c r="Q604" s="52"/>
      <c r="U604" s="52"/>
    </row>
    <row r="605">
      <c r="M605" s="52"/>
      <c r="N605" s="52"/>
      <c r="O605" s="52"/>
      <c r="P605" s="52"/>
      <c r="Q605" s="52"/>
      <c r="U605" s="52"/>
    </row>
    <row r="606">
      <c r="M606" s="52"/>
      <c r="N606" s="52"/>
      <c r="O606" s="52"/>
      <c r="P606" s="52"/>
      <c r="Q606" s="52"/>
      <c r="U606" s="52"/>
    </row>
    <row r="607">
      <c r="M607" s="52"/>
      <c r="N607" s="52"/>
      <c r="O607" s="52"/>
      <c r="P607" s="52"/>
      <c r="Q607" s="52"/>
      <c r="U607" s="52"/>
    </row>
    <row r="608">
      <c r="M608" s="52"/>
      <c r="N608" s="52"/>
      <c r="O608" s="52"/>
      <c r="P608" s="52"/>
      <c r="Q608" s="52"/>
      <c r="U608" s="52"/>
    </row>
    <row r="609">
      <c r="M609" s="52"/>
      <c r="N609" s="52"/>
      <c r="O609" s="52"/>
      <c r="P609" s="52"/>
      <c r="Q609" s="52"/>
      <c r="U609" s="52"/>
    </row>
    <row r="610">
      <c r="M610" s="52"/>
      <c r="N610" s="52"/>
      <c r="O610" s="52"/>
      <c r="P610" s="52"/>
      <c r="Q610" s="52"/>
      <c r="U610" s="52"/>
    </row>
    <row r="611">
      <c r="M611" s="52"/>
      <c r="N611" s="52"/>
      <c r="O611" s="52"/>
      <c r="P611" s="52"/>
      <c r="Q611" s="52"/>
      <c r="U611" s="52"/>
    </row>
    <row r="612">
      <c r="M612" s="52"/>
      <c r="N612" s="52"/>
      <c r="O612" s="52"/>
      <c r="P612" s="52"/>
      <c r="Q612" s="52"/>
      <c r="U612" s="52"/>
    </row>
    <row r="613">
      <c r="M613" s="52"/>
      <c r="N613" s="52"/>
      <c r="O613" s="52"/>
      <c r="P613" s="52"/>
      <c r="Q613" s="52"/>
      <c r="U613" s="52"/>
    </row>
    <row r="614">
      <c r="M614" s="52"/>
      <c r="N614" s="52"/>
      <c r="O614" s="52"/>
      <c r="P614" s="52"/>
      <c r="Q614" s="52"/>
      <c r="U614" s="52"/>
    </row>
    <row r="615">
      <c r="M615" s="52"/>
      <c r="N615" s="52"/>
      <c r="O615" s="52"/>
      <c r="P615" s="52"/>
      <c r="Q615" s="52"/>
      <c r="U615" s="52"/>
    </row>
    <row r="616">
      <c r="M616" s="52"/>
      <c r="N616" s="52"/>
      <c r="O616" s="52"/>
      <c r="P616" s="52"/>
      <c r="Q616" s="52"/>
      <c r="U616" s="52"/>
    </row>
    <row r="617">
      <c r="M617" s="52"/>
      <c r="N617" s="52"/>
      <c r="O617" s="52"/>
      <c r="P617" s="52"/>
      <c r="Q617" s="52"/>
      <c r="U617" s="52"/>
    </row>
    <row r="618">
      <c r="M618" s="52"/>
      <c r="N618" s="52"/>
      <c r="O618" s="52"/>
      <c r="P618" s="52"/>
      <c r="Q618" s="52"/>
      <c r="U618" s="52"/>
    </row>
    <row r="619">
      <c r="M619" s="52"/>
      <c r="N619" s="52"/>
      <c r="O619" s="52"/>
      <c r="P619" s="52"/>
      <c r="Q619" s="52"/>
      <c r="U619" s="52"/>
    </row>
    <row r="620">
      <c r="M620" s="52"/>
      <c r="N620" s="52"/>
      <c r="O620" s="52"/>
      <c r="P620" s="52"/>
      <c r="Q620" s="52"/>
      <c r="U620" s="52"/>
    </row>
    <row r="621">
      <c r="M621" s="52"/>
      <c r="N621" s="52"/>
      <c r="O621" s="52"/>
      <c r="P621" s="52"/>
      <c r="Q621" s="52"/>
      <c r="U621" s="52"/>
    </row>
    <row r="622">
      <c r="M622" s="52"/>
      <c r="N622" s="52"/>
      <c r="O622" s="52"/>
      <c r="P622" s="52"/>
      <c r="Q622" s="52"/>
      <c r="U622" s="52"/>
    </row>
    <row r="623">
      <c r="M623" s="52"/>
      <c r="N623" s="52"/>
      <c r="O623" s="52"/>
      <c r="P623" s="52"/>
      <c r="Q623" s="52"/>
      <c r="U623" s="52"/>
    </row>
    <row r="624">
      <c r="M624" s="52"/>
      <c r="N624" s="52"/>
      <c r="O624" s="52"/>
      <c r="P624" s="52"/>
      <c r="Q624" s="52"/>
      <c r="U624" s="52"/>
    </row>
    <row r="625">
      <c r="M625" s="52"/>
      <c r="N625" s="52"/>
      <c r="O625" s="52"/>
      <c r="P625" s="52"/>
      <c r="Q625" s="52"/>
      <c r="U625" s="52"/>
    </row>
    <row r="626">
      <c r="M626" s="52"/>
      <c r="N626" s="52"/>
      <c r="O626" s="52"/>
      <c r="P626" s="52"/>
      <c r="Q626" s="52"/>
      <c r="U626" s="52"/>
    </row>
    <row r="627">
      <c r="M627" s="52"/>
      <c r="N627" s="52"/>
      <c r="O627" s="52"/>
      <c r="P627" s="52"/>
      <c r="Q627" s="52"/>
      <c r="U627" s="52"/>
    </row>
    <row r="628">
      <c r="M628" s="52"/>
      <c r="N628" s="52"/>
      <c r="O628" s="52"/>
      <c r="P628" s="52"/>
      <c r="Q628" s="52"/>
      <c r="U628" s="52"/>
    </row>
    <row r="629">
      <c r="M629" s="52"/>
      <c r="N629" s="52"/>
      <c r="O629" s="52"/>
      <c r="P629" s="52"/>
      <c r="Q629" s="52"/>
      <c r="U629" s="52"/>
    </row>
    <row r="630">
      <c r="M630" s="52"/>
      <c r="N630" s="52"/>
      <c r="O630" s="52"/>
      <c r="P630" s="52"/>
      <c r="Q630" s="52"/>
      <c r="U630" s="52"/>
    </row>
    <row r="631">
      <c r="M631" s="52"/>
      <c r="N631" s="52"/>
      <c r="O631" s="52"/>
      <c r="P631" s="52"/>
      <c r="Q631" s="52"/>
      <c r="U631" s="52"/>
    </row>
    <row r="632">
      <c r="M632" s="52"/>
      <c r="N632" s="52"/>
      <c r="O632" s="52"/>
      <c r="P632" s="52"/>
      <c r="Q632" s="52"/>
      <c r="U632" s="52"/>
    </row>
    <row r="633">
      <c r="M633" s="52"/>
      <c r="N633" s="52"/>
      <c r="O633" s="52"/>
      <c r="P633" s="52"/>
      <c r="Q633" s="52"/>
      <c r="U633" s="52"/>
    </row>
    <row r="634">
      <c r="M634" s="52"/>
      <c r="N634" s="52"/>
      <c r="O634" s="52"/>
      <c r="P634" s="52"/>
      <c r="Q634" s="52"/>
      <c r="U634" s="52"/>
    </row>
    <row r="635">
      <c r="M635" s="52"/>
      <c r="N635" s="52"/>
      <c r="O635" s="52"/>
      <c r="P635" s="52"/>
      <c r="Q635" s="52"/>
      <c r="U635" s="52"/>
    </row>
    <row r="636">
      <c r="M636" s="52"/>
      <c r="N636" s="52"/>
      <c r="O636" s="52"/>
      <c r="P636" s="52"/>
      <c r="Q636" s="52"/>
      <c r="U636" s="52"/>
    </row>
    <row r="637">
      <c r="M637" s="52"/>
      <c r="N637" s="52"/>
      <c r="O637" s="52"/>
      <c r="P637" s="52"/>
      <c r="Q637" s="52"/>
      <c r="U637" s="52"/>
    </row>
    <row r="638">
      <c r="M638" s="52"/>
      <c r="N638" s="52"/>
      <c r="O638" s="52"/>
      <c r="P638" s="52"/>
      <c r="Q638" s="52"/>
      <c r="U638" s="52"/>
    </row>
    <row r="639">
      <c r="M639" s="52"/>
      <c r="N639" s="52"/>
      <c r="O639" s="52"/>
      <c r="P639" s="52"/>
      <c r="Q639" s="52"/>
      <c r="U639" s="52"/>
    </row>
    <row r="640">
      <c r="M640" s="52"/>
      <c r="N640" s="52"/>
      <c r="O640" s="52"/>
      <c r="P640" s="52"/>
      <c r="Q640" s="52"/>
      <c r="U640" s="52"/>
    </row>
    <row r="641">
      <c r="M641" s="52"/>
      <c r="N641" s="52"/>
      <c r="O641" s="52"/>
      <c r="P641" s="52"/>
      <c r="Q641" s="52"/>
      <c r="U641" s="52"/>
    </row>
    <row r="642">
      <c r="M642" s="52"/>
      <c r="N642" s="52"/>
      <c r="O642" s="52"/>
      <c r="P642" s="52"/>
      <c r="Q642" s="52"/>
      <c r="U642" s="52"/>
    </row>
    <row r="643">
      <c r="M643" s="52"/>
      <c r="N643" s="52"/>
      <c r="O643" s="52"/>
      <c r="P643" s="52"/>
      <c r="Q643" s="52"/>
      <c r="U643" s="52"/>
    </row>
    <row r="644">
      <c r="M644" s="52"/>
      <c r="N644" s="52"/>
      <c r="O644" s="52"/>
      <c r="P644" s="52"/>
      <c r="Q644" s="52"/>
      <c r="U644" s="52"/>
    </row>
    <row r="645">
      <c r="M645" s="52"/>
      <c r="N645" s="52"/>
      <c r="O645" s="52"/>
      <c r="P645" s="52"/>
      <c r="Q645" s="52"/>
      <c r="U645" s="52"/>
    </row>
    <row r="646">
      <c r="M646" s="52"/>
      <c r="N646" s="52"/>
      <c r="O646" s="52"/>
      <c r="P646" s="52"/>
      <c r="Q646" s="52"/>
      <c r="U646" s="52"/>
    </row>
    <row r="647">
      <c r="M647" s="52"/>
      <c r="N647" s="52"/>
      <c r="O647" s="52"/>
      <c r="P647" s="52"/>
      <c r="Q647" s="52"/>
      <c r="U647" s="52"/>
    </row>
    <row r="648">
      <c r="M648" s="52"/>
      <c r="N648" s="52"/>
      <c r="O648" s="52"/>
      <c r="P648" s="52"/>
      <c r="Q648" s="52"/>
      <c r="U648" s="52"/>
    </row>
    <row r="649">
      <c r="M649" s="52"/>
      <c r="N649" s="52"/>
      <c r="O649" s="52"/>
      <c r="P649" s="52"/>
      <c r="Q649" s="52"/>
      <c r="U649" s="52"/>
    </row>
    <row r="650">
      <c r="M650" s="52"/>
      <c r="N650" s="52"/>
      <c r="O650" s="52"/>
      <c r="P650" s="52"/>
      <c r="Q650" s="52"/>
      <c r="U650" s="52"/>
    </row>
    <row r="651">
      <c r="M651" s="52"/>
      <c r="N651" s="52"/>
      <c r="O651" s="52"/>
      <c r="P651" s="52"/>
      <c r="Q651" s="52"/>
      <c r="U651" s="52"/>
    </row>
    <row r="652">
      <c r="M652" s="52"/>
      <c r="N652" s="52"/>
      <c r="O652" s="52"/>
      <c r="P652" s="52"/>
      <c r="Q652" s="52"/>
      <c r="U652" s="52"/>
    </row>
    <row r="653">
      <c r="M653" s="52"/>
      <c r="N653" s="52"/>
      <c r="O653" s="52"/>
      <c r="P653" s="52"/>
      <c r="Q653" s="52"/>
      <c r="U653" s="52"/>
    </row>
    <row r="654">
      <c r="M654" s="52"/>
      <c r="N654" s="52"/>
      <c r="O654" s="52"/>
      <c r="P654" s="52"/>
      <c r="Q654" s="52"/>
      <c r="U654" s="52"/>
    </row>
    <row r="655">
      <c r="M655" s="52"/>
      <c r="N655" s="52"/>
      <c r="O655" s="52"/>
      <c r="P655" s="52"/>
      <c r="Q655" s="52"/>
      <c r="U655" s="52"/>
    </row>
    <row r="656">
      <c r="M656" s="52"/>
      <c r="N656" s="52"/>
      <c r="O656" s="52"/>
      <c r="P656" s="52"/>
      <c r="Q656" s="52"/>
      <c r="U656" s="52"/>
    </row>
    <row r="657">
      <c r="M657" s="52"/>
      <c r="N657" s="52"/>
      <c r="O657" s="52"/>
      <c r="P657" s="52"/>
      <c r="Q657" s="52"/>
      <c r="U657" s="52"/>
    </row>
    <row r="658">
      <c r="M658" s="52"/>
      <c r="N658" s="52"/>
      <c r="O658" s="52"/>
      <c r="P658" s="52"/>
      <c r="Q658" s="52"/>
      <c r="U658" s="52"/>
    </row>
    <row r="659">
      <c r="M659" s="52"/>
      <c r="N659" s="52"/>
      <c r="O659" s="52"/>
      <c r="P659" s="52"/>
      <c r="Q659" s="52"/>
      <c r="U659" s="52"/>
    </row>
    <row r="660">
      <c r="M660" s="52"/>
      <c r="N660" s="52"/>
      <c r="O660" s="52"/>
      <c r="P660" s="52"/>
      <c r="Q660" s="52"/>
      <c r="U660" s="52"/>
    </row>
    <row r="661">
      <c r="M661" s="52"/>
      <c r="N661" s="52"/>
      <c r="O661" s="52"/>
      <c r="P661" s="52"/>
      <c r="Q661" s="52"/>
      <c r="U661" s="52"/>
    </row>
    <row r="662">
      <c r="M662" s="52"/>
      <c r="N662" s="52"/>
      <c r="O662" s="52"/>
      <c r="P662" s="52"/>
      <c r="Q662" s="52"/>
      <c r="U662" s="52"/>
    </row>
    <row r="663">
      <c r="M663" s="52"/>
      <c r="N663" s="52"/>
      <c r="O663" s="52"/>
      <c r="P663" s="52"/>
      <c r="Q663" s="52"/>
      <c r="U663" s="52"/>
    </row>
    <row r="664">
      <c r="M664" s="52"/>
      <c r="N664" s="52"/>
      <c r="O664" s="52"/>
      <c r="P664" s="52"/>
      <c r="Q664" s="52"/>
      <c r="U664" s="52"/>
    </row>
    <row r="665">
      <c r="M665" s="52"/>
      <c r="N665" s="52"/>
      <c r="O665" s="52"/>
      <c r="P665" s="52"/>
      <c r="Q665" s="52"/>
      <c r="U665" s="52"/>
    </row>
    <row r="666">
      <c r="M666" s="52"/>
      <c r="N666" s="52"/>
      <c r="O666" s="52"/>
      <c r="P666" s="52"/>
      <c r="Q666" s="52"/>
      <c r="U666" s="52"/>
    </row>
    <row r="667">
      <c r="M667" s="52"/>
      <c r="N667" s="52"/>
      <c r="O667" s="52"/>
      <c r="P667" s="52"/>
      <c r="Q667" s="52"/>
      <c r="U667" s="52"/>
    </row>
    <row r="668">
      <c r="M668" s="52"/>
      <c r="N668" s="52"/>
      <c r="O668" s="52"/>
      <c r="P668" s="52"/>
      <c r="Q668" s="52"/>
      <c r="U668" s="52"/>
    </row>
    <row r="669">
      <c r="M669" s="52"/>
      <c r="N669" s="52"/>
      <c r="O669" s="52"/>
      <c r="P669" s="52"/>
      <c r="Q669" s="52"/>
      <c r="U669" s="52"/>
    </row>
    <row r="670">
      <c r="M670" s="52"/>
      <c r="N670" s="52"/>
      <c r="O670" s="52"/>
      <c r="P670" s="52"/>
      <c r="Q670" s="52"/>
      <c r="U670" s="52"/>
    </row>
    <row r="671">
      <c r="M671" s="52"/>
      <c r="N671" s="52"/>
      <c r="O671" s="52"/>
      <c r="P671" s="52"/>
      <c r="Q671" s="52"/>
      <c r="U671" s="52"/>
    </row>
    <row r="672">
      <c r="M672" s="52"/>
      <c r="N672" s="52"/>
      <c r="O672" s="52"/>
      <c r="P672" s="52"/>
      <c r="Q672" s="52"/>
      <c r="U672" s="52"/>
    </row>
    <row r="673">
      <c r="M673" s="52"/>
      <c r="N673" s="52"/>
      <c r="O673" s="52"/>
      <c r="P673" s="52"/>
      <c r="Q673" s="52"/>
      <c r="U673" s="52"/>
    </row>
    <row r="674">
      <c r="M674" s="52"/>
      <c r="N674" s="52"/>
      <c r="O674" s="52"/>
      <c r="P674" s="52"/>
      <c r="Q674" s="52"/>
      <c r="U674" s="52"/>
    </row>
    <row r="675">
      <c r="M675" s="52"/>
      <c r="N675" s="52"/>
      <c r="O675" s="52"/>
      <c r="P675" s="52"/>
      <c r="Q675" s="52"/>
      <c r="U675" s="52"/>
    </row>
    <row r="676">
      <c r="M676" s="52"/>
      <c r="N676" s="52"/>
      <c r="O676" s="52"/>
      <c r="P676" s="52"/>
      <c r="Q676" s="52"/>
      <c r="U676" s="52"/>
    </row>
    <row r="677">
      <c r="M677" s="52"/>
      <c r="N677" s="52"/>
      <c r="O677" s="52"/>
      <c r="P677" s="52"/>
      <c r="Q677" s="52"/>
      <c r="U677" s="52"/>
    </row>
    <row r="678">
      <c r="M678" s="52"/>
      <c r="N678" s="52"/>
      <c r="O678" s="52"/>
      <c r="P678" s="52"/>
      <c r="Q678" s="52"/>
      <c r="U678" s="52"/>
    </row>
    <row r="679">
      <c r="M679" s="52"/>
      <c r="N679" s="52"/>
      <c r="O679" s="52"/>
      <c r="P679" s="52"/>
      <c r="Q679" s="52"/>
      <c r="U679" s="52"/>
    </row>
    <row r="680">
      <c r="M680" s="52"/>
      <c r="N680" s="52"/>
      <c r="O680" s="52"/>
      <c r="P680" s="52"/>
      <c r="Q680" s="52"/>
      <c r="U680" s="52"/>
    </row>
    <row r="681">
      <c r="M681" s="52"/>
      <c r="N681" s="52"/>
      <c r="O681" s="52"/>
      <c r="P681" s="52"/>
      <c r="Q681" s="52"/>
      <c r="U681" s="52"/>
    </row>
    <row r="682">
      <c r="M682" s="52"/>
      <c r="N682" s="52"/>
      <c r="O682" s="52"/>
      <c r="P682" s="52"/>
      <c r="Q682" s="52"/>
      <c r="U682" s="52"/>
    </row>
    <row r="683">
      <c r="M683" s="52"/>
      <c r="N683" s="52"/>
      <c r="O683" s="52"/>
      <c r="P683" s="52"/>
      <c r="Q683" s="52"/>
      <c r="U683" s="52"/>
    </row>
    <row r="684">
      <c r="M684" s="52"/>
      <c r="N684" s="52"/>
      <c r="O684" s="52"/>
      <c r="P684" s="52"/>
      <c r="Q684" s="52"/>
      <c r="U684" s="52"/>
    </row>
    <row r="685">
      <c r="M685" s="52"/>
      <c r="N685" s="52"/>
      <c r="O685" s="52"/>
      <c r="P685" s="52"/>
      <c r="Q685" s="52"/>
      <c r="U685" s="52"/>
    </row>
    <row r="686">
      <c r="M686" s="52"/>
      <c r="N686" s="52"/>
      <c r="O686" s="52"/>
      <c r="P686" s="52"/>
      <c r="Q686" s="52"/>
      <c r="U686" s="52"/>
    </row>
    <row r="687">
      <c r="M687" s="52"/>
      <c r="N687" s="52"/>
      <c r="O687" s="52"/>
      <c r="P687" s="52"/>
      <c r="Q687" s="52"/>
      <c r="U687" s="52"/>
    </row>
    <row r="688">
      <c r="M688" s="52"/>
      <c r="N688" s="52"/>
      <c r="O688" s="52"/>
      <c r="P688" s="52"/>
      <c r="Q688" s="52"/>
      <c r="U688" s="52"/>
    </row>
    <row r="689">
      <c r="M689" s="52"/>
      <c r="N689" s="52"/>
      <c r="O689" s="52"/>
      <c r="P689" s="52"/>
      <c r="Q689" s="52"/>
      <c r="U689" s="52"/>
    </row>
    <row r="690">
      <c r="M690" s="52"/>
      <c r="N690" s="52"/>
      <c r="O690" s="52"/>
      <c r="P690" s="52"/>
      <c r="Q690" s="52"/>
      <c r="U690" s="52"/>
    </row>
    <row r="691">
      <c r="M691" s="52"/>
      <c r="N691" s="52"/>
      <c r="O691" s="52"/>
      <c r="P691" s="52"/>
      <c r="Q691" s="52"/>
      <c r="U691" s="52"/>
    </row>
    <row r="692">
      <c r="M692" s="52"/>
      <c r="N692" s="52"/>
      <c r="O692" s="52"/>
      <c r="P692" s="52"/>
      <c r="Q692" s="52"/>
      <c r="U692" s="52"/>
    </row>
    <row r="693">
      <c r="M693" s="52"/>
      <c r="N693" s="52"/>
      <c r="O693" s="52"/>
      <c r="P693" s="52"/>
      <c r="Q693" s="52"/>
      <c r="U693" s="52"/>
    </row>
    <row r="694">
      <c r="M694" s="52"/>
      <c r="N694" s="52"/>
      <c r="O694" s="52"/>
      <c r="P694" s="52"/>
      <c r="Q694" s="52"/>
      <c r="U694" s="52"/>
    </row>
    <row r="695">
      <c r="M695" s="52"/>
      <c r="N695" s="52"/>
      <c r="O695" s="52"/>
      <c r="P695" s="52"/>
      <c r="Q695" s="52"/>
      <c r="U695" s="52"/>
    </row>
    <row r="696">
      <c r="M696" s="52"/>
      <c r="N696" s="52"/>
      <c r="O696" s="52"/>
      <c r="P696" s="52"/>
      <c r="Q696" s="52"/>
      <c r="U696" s="52"/>
    </row>
    <row r="697">
      <c r="M697" s="52"/>
      <c r="N697" s="52"/>
      <c r="O697" s="52"/>
      <c r="P697" s="52"/>
      <c r="Q697" s="52"/>
      <c r="U697" s="52"/>
    </row>
    <row r="698">
      <c r="M698" s="52"/>
      <c r="N698" s="52"/>
      <c r="O698" s="52"/>
      <c r="P698" s="52"/>
      <c r="Q698" s="52"/>
      <c r="U698" s="52"/>
    </row>
    <row r="699">
      <c r="M699" s="52"/>
      <c r="N699" s="52"/>
      <c r="O699" s="52"/>
      <c r="P699" s="52"/>
      <c r="Q699" s="52"/>
      <c r="U699" s="52"/>
    </row>
    <row r="700">
      <c r="M700" s="52"/>
      <c r="N700" s="52"/>
      <c r="O700" s="52"/>
      <c r="P700" s="52"/>
      <c r="Q700" s="52"/>
      <c r="U700" s="52"/>
    </row>
    <row r="701">
      <c r="M701" s="52"/>
      <c r="N701" s="52"/>
      <c r="O701" s="52"/>
      <c r="P701" s="52"/>
      <c r="Q701" s="52"/>
      <c r="U701" s="52"/>
    </row>
    <row r="702">
      <c r="M702" s="52"/>
      <c r="N702" s="52"/>
      <c r="O702" s="52"/>
      <c r="P702" s="52"/>
      <c r="Q702" s="52"/>
      <c r="U702" s="52"/>
    </row>
    <row r="703">
      <c r="M703" s="52"/>
      <c r="N703" s="52"/>
      <c r="O703" s="52"/>
      <c r="P703" s="52"/>
      <c r="Q703" s="52"/>
      <c r="U703" s="52"/>
    </row>
    <row r="704">
      <c r="M704" s="52"/>
      <c r="N704" s="52"/>
      <c r="O704" s="52"/>
      <c r="P704" s="52"/>
      <c r="Q704" s="52"/>
      <c r="U704" s="52"/>
    </row>
    <row r="705">
      <c r="M705" s="52"/>
      <c r="N705" s="52"/>
      <c r="O705" s="52"/>
      <c r="P705" s="52"/>
      <c r="Q705" s="52"/>
      <c r="U705" s="52"/>
    </row>
    <row r="706">
      <c r="M706" s="52"/>
      <c r="N706" s="52"/>
      <c r="O706" s="52"/>
      <c r="P706" s="52"/>
      <c r="Q706" s="52"/>
      <c r="U706" s="52"/>
    </row>
    <row r="707">
      <c r="M707" s="52"/>
      <c r="N707" s="52"/>
      <c r="O707" s="52"/>
      <c r="P707" s="52"/>
      <c r="Q707" s="52"/>
      <c r="U707" s="52"/>
    </row>
    <row r="708">
      <c r="M708" s="52"/>
      <c r="N708" s="52"/>
      <c r="O708" s="52"/>
      <c r="P708" s="52"/>
      <c r="Q708" s="52"/>
      <c r="U708" s="52"/>
    </row>
    <row r="709">
      <c r="M709" s="52"/>
      <c r="N709" s="52"/>
      <c r="O709" s="52"/>
      <c r="P709" s="52"/>
      <c r="Q709" s="52"/>
      <c r="U709" s="52"/>
    </row>
    <row r="710">
      <c r="M710" s="52"/>
      <c r="N710" s="52"/>
      <c r="O710" s="52"/>
      <c r="P710" s="52"/>
      <c r="Q710" s="52"/>
      <c r="U710" s="52"/>
    </row>
    <row r="711">
      <c r="M711" s="52"/>
      <c r="N711" s="52"/>
      <c r="O711" s="52"/>
      <c r="P711" s="52"/>
      <c r="Q711" s="52"/>
      <c r="U711" s="52"/>
    </row>
    <row r="712">
      <c r="M712" s="52"/>
      <c r="N712" s="52"/>
      <c r="O712" s="52"/>
      <c r="P712" s="52"/>
      <c r="Q712" s="52"/>
      <c r="U712" s="52"/>
    </row>
    <row r="713">
      <c r="M713" s="52"/>
      <c r="N713" s="52"/>
      <c r="O713" s="52"/>
      <c r="P713" s="52"/>
      <c r="Q713" s="52"/>
      <c r="U713" s="52"/>
    </row>
    <row r="714">
      <c r="M714" s="52"/>
      <c r="N714" s="52"/>
      <c r="O714" s="52"/>
      <c r="P714" s="52"/>
      <c r="Q714" s="52"/>
      <c r="U714" s="52"/>
    </row>
    <row r="715">
      <c r="M715" s="52"/>
      <c r="N715" s="52"/>
      <c r="O715" s="52"/>
      <c r="P715" s="52"/>
      <c r="Q715" s="52"/>
      <c r="U715" s="52"/>
    </row>
    <row r="716">
      <c r="M716" s="52"/>
      <c r="N716" s="52"/>
      <c r="O716" s="52"/>
      <c r="P716" s="52"/>
      <c r="Q716" s="52"/>
      <c r="U716" s="52"/>
    </row>
    <row r="717">
      <c r="M717" s="52"/>
      <c r="N717" s="52"/>
      <c r="O717" s="52"/>
      <c r="P717" s="52"/>
      <c r="Q717" s="52"/>
      <c r="U717" s="52"/>
    </row>
    <row r="718">
      <c r="M718" s="52"/>
      <c r="N718" s="52"/>
      <c r="O718" s="52"/>
      <c r="P718" s="52"/>
      <c r="Q718" s="52"/>
      <c r="U718" s="52"/>
    </row>
    <row r="719">
      <c r="M719" s="52"/>
      <c r="N719" s="52"/>
      <c r="O719" s="52"/>
      <c r="P719" s="52"/>
      <c r="Q719" s="52"/>
      <c r="U719" s="52"/>
    </row>
    <row r="720">
      <c r="M720" s="52"/>
      <c r="N720" s="52"/>
      <c r="O720" s="52"/>
      <c r="P720" s="52"/>
      <c r="Q720" s="52"/>
      <c r="U720" s="52"/>
    </row>
    <row r="721">
      <c r="M721" s="52"/>
      <c r="N721" s="52"/>
      <c r="O721" s="52"/>
      <c r="P721" s="52"/>
      <c r="Q721" s="52"/>
      <c r="U721" s="52"/>
    </row>
    <row r="722">
      <c r="M722" s="52"/>
      <c r="N722" s="52"/>
      <c r="O722" s="52"/>
      <c r="P722" s="52"/>
      <c r="Q722" s="52"/>
      <c r="U722" s="52"/>
    </row>
    <row r="723">
      <c r="M723" s="52"/>
      <c r="N723" s="52"/>
      <c r="O723" s="52"/>
      <c r="P723" s="52"/>
      <c r="Q723" s="52"/>
      <c r="U723" s="52"/>
    </row>
    <row r="724">
      <c r="M724" s="52"/>
      <c r="N724" s="52"/>
      <c r="O724" s="52"/>
      <c r="P724" s="52"/>
      <c r="Q724" s="52"/>
      <c r="U724" s="52"/>
    </row>
    <row r="725">
      <c r="M725" s="52"/>
      <c r="N725" s="52"/>
      <c r="O725" s="52"/>
      <c r="P725" s="52"/>
      <c r="Q725" s="52"/>
      <c r="U725" s="52"/>
    </row>
    <row r="726">
      <c r="M726" s="52"/>
      <c r="N726" s="52"/>
      <c r="O726" s="52"/>
      <c r="P726" s="52"/>
      <c r="Q726" s="52"/>
      <c r="U726" s="52"/>
    </row>
    <row r="727">
      <c r="M727" s="52"/>
      <c r="N727" s="52"/>
      <c r="O727" s="52"/>
      <c r="P727" s="52"/>
      <c r="Q727" s="52"/>
      <c r="U727" s="52"/>
    </row>
    <row r="728">
      <c r="M728" s="52"/>
      <c r="N728" s="52"/>
      <c r="O728" s="52"/>
      <c r="P728" s="52"/>
      <c r="Q728" s="52"/>
      <c r="U728" s="52"/>
    </row>
    <row r="729">
      <c r="M729" s="52"/>
      <c r="N729" s="52"/>
      <c r="O729" s="52"/>
      <c r="P729" s="52"/>
      <c r="Q729" s="52"/>
      <c r="U729" s="52"/>
    </row>
    <row r="730">
      <c r="M730" s="52"/>
      <c r="N730" s="52"/>
      <c r="O730" s="52"/>
      <c r="P730" s="52"/>
      <c r="Q730" s="52"/>
      <c r="U730" s="52"/>
    </row>
    <row r="731">
      <c r="M731" s="52"/>
      <c r="N731" s="52"/>
      <c r="O731" s="52"/>
      <c r="P731" s="52"/>
      <c r="Q731" s="52"/>
      <c r="U731" s="52"/>
    </row>
    <row r="732">
      <c r="M732" s="52"/>
      <c r="N732" s="52"/>
      <c r="O732" s="52"/>
      <c r="P732" s="52"/>
      <c r="Q732" s="52"/>
      <c r="U732" s="52"/>
    </row>
    <row r="733">
      <c r="M733" s="52"/>
      <c r="N733" s="52"/>
      <c r="O733" s="52"/>
      <c r="P733" s="52"/>
      <c r="Q733" s="52"/>
      <c r="U733" s="52"/>
    </row>
    <row r="734">
      <c r="M734" s="52"/>
      <c r="N734" s="52"/>
      <c r="O734" s="52"/>
      <c r="P734" s="52"/>
      <c r="Q734" s="52"/>
      <c r="U734" s="52"/>
    </row>
    <row r="735">
      <c r="M735" s="52"/>
      <c r="N735" s="52"/>
      <c r="O735" s="52"/>
      <c r="P735" s="52"/>
      <c r="Q735" s="52"/>
      <c r="U735" s="52"/>
    </row>
    <row r="736">
      <c r="M736" s="52"/>
      <c r="N736" s="52"/>
      <c r="O736" s="52"/>
      <c r="P736" s="52"/>
      <c r="Q736" s="52"/>
      <c r="U736" s="52"/>
    </row>
    <row r="737">
      <c r="M737" s="52"/>
      <c r="N737" s="52"/>
      <c r="O737" s="52"/>
      <c r="P737" s="52"/>
      <c r="Q737" s="52"/>
      <c r="U737" s="52"/>
    </row>
    <row r="738">
      <c r="M738" s="52"/>
      <c r="N738" s="52"/>
      <c r="O738" s="52"/>
      <c r="P738" s="52"/>
      <c r="Q738" s="52"/>
      <c r="U738" s="52"/>
    </row>
    <row r="739">
      <c r="M739" s="52"/>
      <c r="N739" s="52"/>
      <c r="O739" s="52"/>
      <c r="P739" s="52"/>
      <c r="Q739" s="52"/>
      <c r="U739" s="52"/>
    </row>
    <row r="740">
      <c r="M740" s="52"/>
      <c r="N740" s="52"/>
      <c r="O740" s="52"/>
      <c r="P740" s="52"/>
      <c r="Q740" s="52"/>
      <c r="U740" s="52"/>
    </row>
    <row r="741">
      <c r="M741" s="52"/>
      <c r="N741" s="52"/>
      <c r="O741" s="52"/>
      <c r="P741" s="52"/>
      <c r="Q741" s="52"/>
      <c r="U741" s="52"/>
    </row>
    <row r="742">
      <c r="M742" s="52"/>
      <c r="N742" s="52"/>
      <c r="O742" s="52"/>
      <c r="P742" s="52"/>
      <c r="Q742" s="52"/>
      <c r="U742" s="52"/>
    </row>
    <row r="743">
      <c r="M743" s="52"/>
      <c r="N743" s="52"/>
      <c r="O743" s="52"/>
      <c r="P743" s="52"/>
      <c r="Q743" s="52"/>
      <c r="U743" s="52"/>
    </row>
    <row r="744">
      <c r="M744" s="52"/>
      <c r="N744" s="52"/>
      <c r="O744" s="52"/>
      <c r="P744" s="52"/>
      <c r="Q744" s="52"/>
      <c r="U744" s="52"/>
    </row>
    <row r="745">
      <c r="M745" s="52"/>
      <c r="N745" s="52"/>
      <c r="O745" s="52"/>
      <c r="P745" s="52"/>
      <c r="Q745" s="52"/>
      <c r="U745" s="52"/>
    </row>
    <row r="746">
      <c r="M746" s="52"/>
      <c r="N746" s="52"/>
      <c r="O746" s="52"/>
      <c r="P746" s="52"/>
      <c r="Q746" s="52"/>
      <c r="U746" s="52"/>
    </row>
    <row r="747">
      <c r="M747" s="52"/>
      <c r="N747" s="52"/>
      <c r="O747" s="52"/>
      <c r="P747" s="52"/>
      <c r="Q747" s="52"/>
      <c r="U747" s="52"/>
    </row>
    <row r="748">
      <c r="M748" s="52"/>
      <c r="N748" s="52"/>
      <c r="O748" s="52"/>
      <c r="P748" s="52"/>
      <c r="Q748" s="52"/>
      <c r="U748" s="52"/>
    </row>
    <row r="749">
      <c r="M749" s="52"/>
      <c r="N749" s="52"/>
      <c r="O749" s="52"/>
      <c r="P749" s="52"/>
      <c r="Q749" s="52"/>
      <c r="U749" s="52"/>
    </row>
    <row r="750">
      <c r="M750" s="52"/>
      <c r="N750" s="52"/>
      <c r="O750" s="52"/>
      <c r="P750" s="52"/>
      <c r="Q750" s="52"/>
      <c r="U750" s="52"/>
    </row>
    <row r="751">
      <c r="M751" s="52"/>
      <c r="N751" s="52"/>
      <c r="O751" s="52"/>
      <c r="P751" s="52"/>
      <c r="Q751" s="52"/>
      <c r="U751" s="52"/>
    </row>
    <row r="752">
      <c r="M752" s="52"/>
      <c r="N752" s="52"/>
      <c r="O752" s="52"/>
      <c r="P752" s="52"/>
      <c r="Q752" s="52"/>
      <c r="U752" s="52"/>
    </row>
    <row r="753">
      <c r="M753" s="52"/>
      <c r="N753" s="52"/>
      <c r="O753" s="52"/>
      <c r="P753" s="52"/>
      <c r="Q753" s="52"/>
      <c r="U753" s="52"/>
    </row>
    <row r="754">
      <c r="M754" s="52"/>
      <c r="N754" s="52"/>
      <c r="O754" s="52"/>
      <c r="P754" s="52"/>
      <c r="Q754" s="52"/>
      <c r="U754" s="52"/>
    </row>
    <row r="755">
      <c r="M755" s="52"/>
      <c r="N755" s="52"/>
      <c r="O755" s="52"/>
      <c r="P755" s="52"/>
      <c r="Q755" s="52"/>
      <c r="U755" s="52"/>
    </row>
    <row r="756">
      <c r="M756" s="52"/>
      <c r="N756" s="52"/>
      <c r="O756" s="52"/>
      <c r="P756" s="52"/>
      <c r="Q756" s="52"/>
      <c r="U756" s="52"/>
    </row>
    <row r="757">
      <c r="M757" s="52"/>
      <c r="N757" s="52"/>
      <c r="O757" s="52"/>
      <c r="P757" s="52"/>
      <c r="Q757" s="52"/>
      <c r="U757" s="52"/>
    </row>
    <row r="758">
      <c r="M758" s="52"/>
      <c r="N758" s="52"/>
      <c r="O758" s="52"/>
      <c r="P758" s="52"/>
      <c r="Q758" s="52"/>
      <c r="U758" s="52"/>
    </row>
    <row r="759">
      <c r="M759" s="52"/>
      <c r="N759" s="52"/>
      <c r="O759" s="52"/>
      <c r="P759" s="52"/>
      <c r="Q759" s="52"/>
      <c r="U759" s="52"/>
    </row>
    <row r="760">
      <c r="M760" s="52"/>
      <c r="N760" s="52"/>
      <c r="O760" s="52"/>
      <c r="P760" s="52"/>
      <c r="Q760" s="52"/>
      <c r="U760" s="52"/>
    </row>
    <row r="761">
      <c r="M761" s="52"/>
      <c r="N761" s="52"/>
      <c r="O761" s="52"/>
      <c r="P761" s="52"/>
      <c r="Q761" s="52"/>
      <c r="U761" s="52"/>
    </row>
    <row r="762">
      <c r="M762" s="52"/>
      <c r="N762" s="52"/>
      <c r="O762" s="52"/>
      <c r="P762" s="52"/>
      <c r="Q762" s="52"/>
      <c r="U762" s="52"/>
    </row>
    <row r="763">
      <c r="M763" s="52"/>
      <c r="N763" s="52"/>
      <c r="O763" s="52"/>
      <c r="P763" s="52"/>
      <c r="Q763" s="52"/>
      <c r="U763" s="52"/>
    </row>
    <row r="764">
      <c r="M764" s="52"/>
      <c r="N764" s="52"/>
      <c r="O764" s="52"/>
      <c r="P764" s="52"/>
      <c r="Q764" s="52"/>
      <c r="U764" s="52"/>
    </row>
    <row r="765">
      <c r="M765" s="52"/>
      <c r="N765" s="52"/>
      <c r="O765" s="52"/>
      <c r="P765" s="52"/>
      <c r="Q765" s="52"/>
      <c r="U765" s="52"/>
    </row>
    <row r="766">
      <c r="M766" s="52"/>
      <c r="N766" s="52"/>
      <c r="O766" s="52"/>
      <c r="P766" s="52"/>
      <c r="Q766" s="52"/>
      <c r="U766" s="52"/>
    </row>
    <row r="767">
      <c r="M767" s="52"/>
      <c r="N767" s="52"/>
      <c r="O767" s="52"/>
      <c r="P767" s="52"/>
      <c r="Q767" s="52"/>
      <c r="U767" s="52"/>
    </row>
    <row r="768">
      <c r="M768" s="52"/>
      <c r="N768" s="52"/>
      <c r="O768" s="52"/>
      <c r="P768" s="52"/>
      <c r="Q768" s="52"/>
      <c r="U768" s="52"/>
    </row>
    <row r="769">
      <c r="M769" s="52"/>
      <c r="N769" s="52"/>
      <c r="O769" s="52"/>
      <c r="P769" s="52"/>
      <c r="Q769" s="52"/>
      <c r="U769" s="52"/>
    </row>
    <row r="770">
      <c r="M770" s="52"/>
      <c r="N770" s="52"/>
      <c r="O770" s="52"/>
      <c r="P770" s="52"/>
      <c r="Q770" s="52"/>
      <c r="U770" s="52"/>
    </row>
    <row r="771">
      <c r="M771" s="52"/>
      <c r="N771" s="52"/>
      <c r="O771" s="52"/>
      <c r="P771" s="52"/>
      <c r="Q771" s="52"/>
      <c r="U771" s="52"/>
    </row>
    <row r="772">
      <c r="M772" s="52"/>
      <c r="N772" s="52"/>
      <c r="O772" s="52"/>
      <c r="P772" s="52"/>
      <c r="Q772" s="52"/>
      <c r="U772" s="52"/>
    </row>
    <row r="773">
      <c r="M773" s="52"/>
      <c r="N773" s="52"/>
      <c r="O773" s="52"/>
      <c r="P773" s="52"/>
      <c r="Q773" s="52"/>
      <c r="U773" s="52"/>
    </row>
    <row r="774">
      <c r="M774" s="52"/>
      <c r="N774" s="52"/>
      <c r="O774" s="52"/>
      <c r="P774" s="52"/>
      <c r="Q774" s="52"/>
      <c r="U774" s="52"/>
    </row>
    <row r="775">
      <c r="M775" s="52"/>
      <c r="N775" s="52"/>
      <c r="O775" s="52"/>
      <c r="P775" s="52"/>
      <c r="Q775" s="52"/>
      <c r="U775" s="52"/>
    </row>
    <row r="776">
      <c r="M776" s="52"/>
      <c r="N776" s="52"/>
      <c r="O776" s="52"/>
      <c r="P776" s="52"/>
      <c r="Q776" s="52"/>
      <c r="U776" s="52"/>
    </row>
    <row r="777">
      <c r="M777" s="52"/>
      <c r="N777" s="52"/>
      <c r="O777" s="52"/>
      <c r="P777" s="52"/>
      <c r="Q777" s="52"/>
      <c r="U777" s="52"/>
    </row>
    <row r="778">
      <c r="M778" s="52"/>
      <c r="N778" s="52"/>
      <c r="O778" s="52"/>
      <c r="P778" s="52"/>
      <c r="Q778" s="52"/>
      <c r="U778" s="52"/>
    </row>
    <row r="779">
      <c r="M779" s="52"/>
      <c r="N779" s="52"/>
      <c r="O779" s="52"/>
      <c r="P779" s="52"/>
      <c r="Q779" s="52"/>
      <c r="U779" s="52"/>
    </row>
    <row r="780">
      <c r="M780" s="52"/>
      <c r="N780" s="52"/>
      <c r="O780" s="52"/>
      <c r="P780" s="52"/>
      <c r="Q780" s="52"/>
      <c r="U780" s="52"/>
    </row>
    <row r="781">
      <c r="M781" s="52"/>
      <c r="N781" s="52"/>
      <c r="O781" s="52"/>
      <c r="P781" s="52"/>
      <c r="Q781" s="52"/>
      <c r="U781" s="52"/>
    </row>
    <row r="782">
      <c r="M782" s="52"/>
      <c r="N782" s="52"/>
      <c r="O782" s="52"/>
      <c r="P782" s="52"/>
      <c r="Q782" s="52"/>
      <c r="U782" s="52"/>
    </row>
    <row r="783">
      <c r="M783" s="52"/>
      <c r="N783" s="52"/>
      <c r="O783" s="52"/>
      <c r="P783" s="52"/>
      <c r="Q783" s="52"/>
      <c r="U783" s="52"/>
    </row>
    <row r="784">
      <c r="M784" s="52"/>
      <c r="N784" s="52"/>
      <c r="O784" s="52"/>
      <c r="P784" s="52"/>
      <c r="Q784" s="52"/>
      <c r="U784" s="52"/>
    </row>
    <row r="785">
      <c r="M785" s="52"/>
      <c r="N785" s="52"/>
      <c r="O785" s="52"/>
      <c r="P785" s="52"/>
      <c r="Q785" s="52"/>
      <c r="U785" s="52"/>
    </row>
    <row r="786">
      <c r="M786" s="52"/>
      <c r="N786" s="52"/>
      <c r="O786" s="52"/>
      <c r="P786" s="52"/>
      <c r="Q786" s="52"/>
      <c r="U786" s="52"/>
    </row>
    <row r="787">
      <c r="M787" s="52"/>
      <c r="N787" s="52"/>
      <c r="O787" s="52"/>
      <c r="P787" s="52"/>
      <c r="Q787" s="52"/>
      <c r="U787" s="52"/>
    </row>
    <row r="788">
      <c r="M788" s="52"/>
      <c r="N788" s="52"/>
      <c r="O788" s="52"/>
      <c r="P788" s="52"/>
      <c r="Q788" s="52"/>
      <c r="U788" s="52"/>
    </row>
    <row r="789">
      <c r="M789" s="52"/>
      <c r="N789" s="52"/>
      <c r="O789" s="52"/>
      <c r="P789" s="52"/>
      <c r="Q789" s="52"/>
      <c r="U789" s="52"/>
    </row>
    <row r="790">
      <c r="M790" s="52"/>
      <c r="N790" s="52"/>
      <c r="O790" s="52"/>
      <c r="P790" s="52"/>
      <c r="Q790" s="52"/>
      <c r="U790" s="52"/>
    </row>
    <row r="791">
      <c r="M791" s="52"/>
      <c r="N791" s="52"/>
      <c r="O791" s="52"/>
      <c r="P791" s="52"/>
      <c r="Q791" s="52"/>
      <c r="U791" s="52"/>
    </row>
    <row r="792">
      <c r="M792" s="52"/>
      <c r="N792" s="52"/>
      <c r="O792" s="52"/>
      <c r="P792" s="52"/>
      <c r="Q792" s="52"/>
      <c r="U792" s="52"/>
    </row>
    <row r="793">
      <c r="M793" s="52"/>
      <c r="N793" s="52"/>
      <c r="O793" s="52"/>
      <c r="P793" s="52"/>
      <c r="Q793" s="52"/>
      <c r="U793" s="52"/>
    </row>
    <row r="794">
      <c r="M794" s="52"/>
      <c r="N794" s="52"/>
      <c r="O794" s="52"/>
      <c r="P794" s="52"/>
      <c r="Q794" s="52"/>
      <c r="U794" s="52"/>
    </row>
    <row r="795">
      <c r="M795" s="52"/>
      <c r="N795" s="52"/>
      <c r="O795" s="52"/>
      <c r="P795" s="52"/>
      <c r="Q795" s="52"/>
      <c r="U795" s="52"/>
    </row>
    <row r="796">
      <c r="M796" s="52"/>
      <c r="N796" s="52"/>
      <c r="O796" s="52"/>
      <c r="P796" s="52"/>
      <c r="Q796" s="52"/>
      <c r="U796" s="52"/>
    </row>
    <row r="797">
      <c r="M797" s="52"/>
      <c r="N797" s="52"/>
      <c r="O797" s="52"/>
      <c r="P797" s="52"/>
      <c r="Q797" s="52"/>
      <c r="U797" s="52"/>
    </row>
    <row r="798">
      <c r="M798" s="52"/>
      <c r="N798" s="52"/>
      <c r="O798" s="52"/>
      <c r="P798" s="52"/>
      <c r="Q798" s="52"/>
      <c r="U798" s="52"/>
    </row>
    <row r="799">
      <c r="M799" s="52"/>
      <c r="N799" s="52"/>
      <c r="O799" s="52"/>
      <c r="P799" s="52"/>
      <c r="Q799" s="52"/>
      <c r="U799" s="52"/>
    </row>
    <row r="800">
      <c r="M800" s="52"/>
      <c r="N800" s="52"/>
      <c r="O800" s="52"/>
      <c r="P800" s="52"/>
      <c r="Q800" s="52"/>
      <c r="U800" s="52"/>
    </row>
    <row r="801">
      <c r="M801" s="52"/>
      <c r="N801" s="52"/>
      <c r="O801" s="52"/>
      <c r="P801" s="52"/>
      <c r="Q801" s="52"/>
      <c r="U801" s="52"/>
    </row>
    <row r="802">
      <c r="M802" s="52"/>
      <c r="N802" s="52"/>
      <c r="O802" s="52"/>
      <c r="P802" s="52"/>
      <c r="Q802" s="52"/>
      <c r="U802" s="52"/>
    </row>
    <row r="803">
      <c r="M803" s="52"/>
      <c r="N803" s="52"/>
      <c r="O803" s="52"/>
      <c r="P803" s="52"/>
      <c r="Q803" s="52"/>
      <c r="U803" s="52"/>
    </row>
    <row r="804">
      <c r="M804" s="52"/>
      <c r="N804" s="52"/>
      <c r="O804" s="52"/>
      <c r="P804" s="52"/>
      <c r="Q804" s="52"/>
      <c r="U804" s="52"/>
    </row>
    <row r="805">
      <c r="M805" s="52"/>
      <c r="N805" s="52"/>
      <c r="O805" s="52"/>
      <c r="P805" s="52"/>
      <c r="Q805" s="52"/>
      <c r="U805" s="52"/>
    </row>
    <row r="806">
      <c r="M806" s="52"/>
      <c r="N806" s="52"/>
      <c r="O806" s="52"/>
      <c r="P806" s="52"/>
      <c r="Q806" s="52"/>
      <c r="U806" s="52"/>
    </row>
    <row r="807">
      <c r="M807" s="52"/>
      <c r="N807" s="52"/>
      <c r="O807" s="52"/>
      <c r="P807" s="52"/>
      <c r="Q807" s="52"/>
      <c r="U807" s="52"/>
    </row>
    <row r="808">
      <c r="M808" s="52"/>
      <c r="N808" s="52"/>
      <c r="O808" s="52"/>
      <c r="P808" s="52"/>
      <c r="Q808" s="52"/>
      <c r="U808" s="52"/>
    </row>
    <row r="809">
      <c r="M809" s="52"/>
      <c r="N809" s="52"/>
      <c r="O809" s="52"/>
      <c r="P809" s="52"/>
      <c r="Q809" s="52"/>
      <c r="U809" s="52"/>
    </row>
    <row r="810">
      <c r="M810" s="52"/>
      <c r="N810" s="52"/>
      <c r="O810" s="52"/>
      <c r="P810" s="52"/>
      <c r="Q810" s="52"/>
      <c r="U810" s="52"/>
    </row>
    <row r="811">
      <c r="M811" s="52"/>
      <c r="N811" s="52"/>
      <c r="O811" s="52"/>
      <c r="P811" s="52"/>
      <c r="Q811" s="52"/>
      <c r="U811" s="52"/>
    </row>
    <row r="812">
      <c r="M812" s="52"/>
      <c r="N812" s="52"/>
      <c r="O812" s="52"/>
      <c r="P812" s="52"/>
      <c r="Q812" s="52"/>
      <c r="U812" s="52"/>
    </row>
    <row r="813">
      <c r="M813" s="52"/>
      <c r="N813" s="52"/>
      <c r="O813" s="52"/>
      <c r="P813" s="52"/>
      <c r="Q813" s="52"/>
      <c r="U813" s="52"/>
    </row>
    <row r="814">
      <c r="M814" s="52"/>
      <c r="N814" s="52"/>
      <c r="O814" s="52"/>
      <c r="P814" s="52"/>
      <c r="Q814" s="52"/>
      <c r="U814" s="52"/>
    </row>
    <row r="815">
      <c r="M815" s="52"/>
      <c r="N815" s="52"/>
      <c r="O815" s="52"/>
      <c r="P815" s="52"/>
      <c r="Q815" s="52"/>
      <c r="U815" s="52"/>
    </row>
    <row r="816">
      <c r="M816" s="52"/>
      <c r="N816" s="52"/>
      <c r="O816" s="52"/>
      <c r="P816" s="52"/>
      <c r="Q816" s="52"/>
      <c r="U816" s="52"/>
    </row>
    <row r="817">
      <c r="M817" s="52"/>
      <c r="N817" s="52"/>
      <c r="O817" s="52"/>
      <c r="P817" s="52"/>
      <c r="Q817" s="52"/>
      <c r="U817" s="52"/>
    </row>
    <row r="818">
      <c r="M818" s="52"/>
      <c r="N818" s="52"/>
      <c r="O818" s="52"/>
      <c r="P818" s="52"/>
      <c r="Q818" s="52"/>
      <c r="U818" s="52"/>
    </row>
    <row r="819">
      <c r="M819" s="52"/>
      <c r="N819" s="52"/>
      <c r="O819" s="52"/>
      <c r="P819" s="52"/>
      <c r="Q819" s="52"/>
      <c r="U819" s="52"/>
    </row>
    <row r="820">
      <c r="M820" s="52"/>
      <c r="N820" s="52"/>
      <c r="O820" s="52"/>
      <c r="P820" s="52"/>
      <c r="Q820" s="52"/>
      <c r="U820" s="52"/>
    </row>
    <row r="821">
      <c r="M821" s="52"/>
      <c r="N821" s="52"/>
      <c r="O821" s="52"/>
      <c r="P821" s="52"/>
      <c r="Q821" s="52"/>
      <c r="U821" s="52"/>
    </row>
    <row r="822">
      <c r="M822" s="52"/>
      <c r="N822" s="52"/>
      <c r="O822" s="52"/>
      <c r="P822" s="52"/>
      <c r="Q822" s="52"/>
      <c r="U822" s="52"/>
    </row>
    <row r="823">
      <c r="M823" s="52"/>
      <c r="N823" s="52"/>
      <c r="O823" s="52"/>
      <c r="P823" s="52"/>
      <c r="Q823" s="52"/>
      <c r="U823" s="52"/>
    </row>
    <row r="824">
      <c r="M824" s="52"/>
      <c r="N824" s="52"/>
      <c r="O824" s="52"/>
      <c r="P824" s="52"/>
      <c r="Q824" s="52"/>
      <c r="U824" s="52"/>
    </row>
    <row r="825">
      <c r="M825" s="52"/>
      <c r="N825" s="52"/>
      <c r="O825" s="52"/>
      <c r="P825" s="52"/>
      <c r="Q825" s="52"/>
      <c r="U825" s="52"/>
    </row>
    <row r="826">
      <c r="M826" s="52"/>
      <c r="N826" s="52"/>
      <c r="O826" s="52"/>
      <c r="P826" s="52"/>
      <c r="Q826" s="52"/>
      <c r="U826" s="52"/>
    </row>
    <row r="827">
      <c r="M827" s="52"/>
      <c r="N827" s="52"/>
      <c r="O827" s="52"/>
      <c r="P827" s="52"/>
      <c r="Q827" s="52"/>
      <c r="U827" s="52"/>
    </row>
    <row r="828">
      <c r="M828" s="52"/>
      <c r="N828" s="52"/>
      <c r="O828" s="52"/>
      <c r="P828" s="52"/>
      <c r="Q828" s="52"/>
      <c r="U828" s="52"/>
    </row>
    <row r="829">
      <c r="M829" s="52"/>
      <c r="N829" s="52"/>
      <c r="O829" s="52"/>
      <c r="P829" s="52"/>
      <c r="Q829" s="52"/>
      <c r="U829" s="52"/>
    </row>
    <row r="830">
      <c r="M830" s="52"/>
      <c r="N830" s="52"/>
      <c r="O830" s="52"/>
      <c r="P830" s="52"/>
      <c r="Q830" s="52"/>
      <c r="U830" s="52"/>
    </row>
    <row r="831">
      <c r="M831" s="52"/>
      <c r="N831" s="52"/>
      <c r="O831" s="52"/>
      <c r="P831" s="52"/>
      <c r="Q831" s="52"/>
      <c r="U831" s="52"/>
    </row>
    <row r="832">
      <c r="M832" s="52"/>
      <c r="N832" s="52"/>
      <c r="O832" s="52"/>
      <c r="P832" s="52"/>
      <c r="Q832" s="52"/>
      <c r="U832" s="52"/>
    </row>
    <row r="833">
      <c r="M833" s="52"/>
      <c r="N833" s="52"/>
      <c r="O833" s="52"/>
      <c r="P833" s="52"/>
      <c r="Q833" s="52"/>
      <c r="U833" s="52"/>
    </row>
    <row r="834">
      <c r="M834" s="52"/>
      <c r="N834" s="52"/>
      <c r="O834" s="52"/>
      <c r="P834" s="52"/>
      <c r="Q834" s="52"/>
      <c r="U834" s="52"/>
    </row>
    <row r="835">
      <c r="M835" s="52"/>
      <c r="N835" s="52"/>
      <c r="O835" s="52"/>
      <c r="P835" s="52"/>
      <c r="Q835" s="52"/>
      <c r="U835" s="52"/>
    </row>
    <row r="836">
      <c r="M836" s="52"/>
      <c r="N836" s="52"/>
      <c r="O836" s="52"/>
      <c r="P836" s="52"/>
      <c r="Q836" s="52"/>
      <c r="U836" s="52"/>
    </row>
    <row r="837">
      <c r="M837" s="52"/>
      <c r="N837" s="52"/>
      <c r="O837" s="52"/>
      <c r="P837" s="52"/>
      <c r="Q837" s="52"/>
      <c r="U837" s="52"/>
    </row>
    <row r="838">
      <c r="M838" s="52"/>
      <c r="N838" s="52"/>
      <c r="O838" s="52"/>
      <c r="P838" s="52"/>
      <c r="Q838" s="52"/>
      <c r="U838" s="52"/>
    </row>
    <row r="839">
      <c r="M839" s="52"/>
      <c r="N839" s="52"/>
      <c r="O839" s="52"/>
      <c r="P839" s="52"/>
      <c r="Q839" s="52"/>
      <c r="U839" s="52"/>
    </row>
    <row r="840">
      <c r="M840" s="52"/>
      <c r="N840" s="52"/>
      <c r="O840" s="52"/>
      <c r="P840" s="52"/>
      <c r="Q840" s="52"/>
      <c r="U840" s="52"/>
    </row>
    <row r="841">
      <c r="M841" s="52"/>
      <c r="N841" s="52"/>
      <c r="O841" s="52"/>
      <c r="P841" s="52"/>
      <c r="Q841" s="52"/>
      <c r="U841" s="52"/>
    </row>
    <row r="842">
      <c r="M842" s="52"/>
      <c r="N842" s="52"/>
      <c r="O842" s="52"/>
      <c r="P842" s="52"/>
      <c r="Q842" s="52"/>
      <c r="U842" s="52"/>
    </row>
    <row r="843">
      <c r="M843" s="52"/>
      <c r="N843" s="52"/>
      <c r="O843" s="52"/>
      <c r="P843" s="52"/>
      <c r="Q843" s="52"/>
      <c r="U843" s="52"/>
    </row>
    <row r="844">
      <c r="M844" s="52"/>
      <c r="N844" s="52"/>
      <c r="O844" s="52"/>
      <c r="P844" s="52"/>
      <c r="Q844" s="52"/>
      <c r="U844" s="52"/>
    </row>
    <row r="845">
      <c r="M845" s="52"/>
      <c r="N845" s="52"/>
      <c r="O845" s="52"/>
      <c r="P845" s="52"/>
      <c r="Q845" s="52"/>
      <c r="U845" s="52"/>
    </row>
    <row r="846">
      <c r="M846" s="52"/>
      <c r="N846" s="52"/>
      <c r="O846" s="52"/>
      <c r="P846" s="52"/>
      <c r="Q846" s="52"/>
      <c r="U846" s="52"/>
    </row>
    <row r="847">
      <c r="M847" s="52"/>
      <c r="N847" s="52"/>
      <c r="O847" s="52"/>
      <c r="P847" s="52"/>
      <c r="Q847" s="52"/>
      <c r="U847" s="52"/>
    </row>
    <row r="848">
      <c r="M848" s="52"/>
      <c r="N848" s="52"/>
      <c r="O848" s="52"/>
      <c r="P848" s="52"/>
      <c r="Q848" s="52"/>
      <c r="U848" s="52"/>
    </row>
    <row r="849">
      <c r="M849" s="52"/>
      <c r="N849" s="52"/>
      <c r="O849" s="52"/>
      <c r="P849" s="52"/>
      <c r="Q849" s="52"/>
      <c r="U849" s="52"/>
    </row>
    <row r="850">
      <c r="M850" s="52"/>
      <c r="N850" s="52"/>
      <c r="O850" s="52"/>
      <c r="P850" s="52"/>
      <c r="Q850" s="52"/>
      <c r="U850" s="52"/>
    </row>
    <row r="851">
      <c r="M851" s="52"/>
      <c r="N851" s="52"/>
      <c r="O851" s="52"/>
      <c r="P851" s="52"/>
      <c r="Q851" s="52"/>
      <c r="U851" s="52"/>
    </row>
    <row r="852">
      <c r="M852" s="52"/>
      <c r="N852" s="52"/>
      <c r="O852" s="52"/>
      <c r="P852" s="52"/>
      <c r="Q852" s="52"/>
      <c r="U852" s="52"/>
    </row>
    <row r="853">
      <c r="M853" s="52"/>
      <c r="N853" s="52"/>
      <c r="O853" s="52"/>
      <c r="P853" s="52"/>
      <c r="Q853" s="52"/>
      <c r="U853" s="52"/>
    </row>
    <row r="854">
      <c r="M854" s="52"/>
      <c r="N854" s="52"/>
      <c r="O854" s="52"/>
      <c r="P854" s="52"/>
      <c r="Q854" s="52"/>
      <c r="U854" s="52"/>
    </row>
    <row r="855">
      <c r="M855" s="52"/>
      <c r="N855" s="52"/>
      <c r="O855" s="52"/>
      <c r="P855" s="52"/>
      <c r="Q855" s="52"/>
      <c r="U855" s="52"/>
    </row>
    <row r="856">
      <c r="M856" s="52"/>
      <c r="N856" s="52"/>
      <c r="O856" s="52"/>
      <c r="P856" s="52"/>
      <c r="Q856" s="52"/>
      <c r="U856" s="52"/>
    </row>
    <row r="857">
      <c r="M857" s="52"/>
      <c r="N857" s="52"/>
      <c r="O857" s="52"/>
      <c r="P857" s="52"/>
      <c r="Q857" s="52"/>
      <c r="U857" s="52"/>
    </row>
    <row r="858">
      <c r="M858" s="52"/>
      <c r="N858" s="52"/>
      <c r="O858" s="52"/>
      <c r="P858" s="52"/>
      <c r="Q858" s="52"/>
      <c r="U858" s="52"/>
    </row>
    <row r="859">
      <c r="M859" s="52"/>
      <c r="N859" s="52"/>
      <c r="O859" s="52"/>
      <c r="P859" s="52"/>
      <c r="Q859" s="52"/>
      <c r="U859" s="52"/>
    </row>
    <row r="860">
      <c r="M860" s="52"/>
      <c r="N860" s="52"/>
      <c r="O860" s="52"/>
      <c r="P860" s="52"/>
      <c r="Q860" s="52"/>
      <c r="U860" s="52"/>
    </row>
    <row r="861">
      <c r="M861" s="52"/>
      <c r="N861" s="52"/>
      <c r="O861" s="52"/>
      <c r="P861" s="52"/>
      <c r="Q861" s="52"/>
      <c r="U861" s="52"/>
    </row>
    <row r="862">
      <c r="M862" s="52"/>
      <c r="N862" s="52"/>
      <c r="O862" s="52"/>
      <c r="P862" s="52"/>
      <c r="Q862" s="52"/>
      <c r="U862" s="52"/>
    </row>
    <row r="863">
      <c r="M863" s="52"/>
      <c r="N863" s="52"/>
      <c r="O863" s="52"/>
      <c r="P863" s="52"/>
      <c r="Q863" s="52"/>
      <c r="U863" s="52"/>
    </row>
    <row r="864">
      <c r="M864" s="52"/>
      <c r="N864" s="52"/>
      <c r="O864" s="52"/>
      <c r="P864" s="52"/>
      <c r="Q864" s="52"/>
      <c r="U864" s="52"/>
    </row>
    <row r="865">
      <c r="M865" s="52"/>
      <c r="N865" s="52"/>
      <c r="O865" s="52"/>
      <c r="P865" s="52"/>
      <c r="Q865" s="52"/>
      <c r="U865" s="52"/>
    </row>
    <row r="866">
      <c r="M866" s="52"/>
      <c r="N866" s="52"/>
      <c r="O866" s="52"/>
      <c r="P866" s="52"/>
      <c r="Q866" s="52"/>
      <c r="U866" s="52"/>
    </row>
    <row r="867">
      <c r="M867" s="52"/>
      <c r="N867" s="52"/>
      <c r="O867" s="52"/>
      <c r="P867" s="52"/>
      <c r="Q867" s="52"/>
      <c r="U867" s="52"/>
    </row>
    <row r="868">
      <c r="M868" s="52"/>
      <c r="N868" s="52"/>
      <c r="O868" s="52"/>
      <c r="P868" s="52"/>
      <c r="Q868" s="52"/>
      <c r="U868" s="52"/>
    </row>
    <row r="869">
      <c r="M869" s="52"/>
      <c r="N869" s="52"/>
      <c r="O869" s="52"/>
      <c r="P869" s="52"/>
      <c r="Q869" s="52"/>
      <c r="U869" s="52"/>
    </row>
    <row r="870">
      <c r="M870" s="52"/>
      <c r="N870" s="52"/>
      <c r="O870" s="52"/>
      <c r="P870" s="52"/>
      <c r="Q870" s="52"/>
      <c r="U870" s="52"/>
    </row>
    <row r="871">
      <c r="M871" s="52"/>
      <c r="N871" s="52"/>
      <c r="O871" s="52"/>
      <c r="P871" s="52"/>
      <c r="Q871" s="52"/>
      <c r="U871" s="52"/>
    </row>
    <row r="872">
      <c r="M872" s="52"/>
      <c r="N872" s="52"/>
      <c r="O872" s="52"/>
      <c r="P872" s="52"/>
      <c r="Q872" s="52"/>
      <c r="U872" s="52"/>
    </row>
    <row r="873">
      <c r="M873" s="52"/>
      <c r="N873" s="52"/>
      <c r="O873" s="52"/>
      <c r="P873" s="52"/>
      <c r="Q873" s="52"/>
      <c r="U873" s="52"/>
    </row>
    <row r="874">
      <c r="M874" s="52"/>
      <c r="N874" s="52"/>
      <c r="O874" s="52"/>
      <c r="P874" s="52"/>
      <c r="Q874" s="52"/>
      <c r="U874" s="52"/>
    </row>
    <row r="875">
      <c r="M875" s="52"/>
      <c r="N875" s="52"/>
      <c r="O875" s="52"/>
      <c r="P875" s="52"/>
      <c r="Q875" s="52"/>
      <c r="U875" s="52"/>
    </row>
    <row r="876">
      <c r="M876" s="52"/>
      <c r="N876" s="52"/>
      <c r="O876" s="52"/>
      <c r="P876" s="52"/>
      <c r="Q876" s="52"/>
      <c r="U876" s="52"/>
    </row>
    <row r="877">
      <c r="M877" s="52"/>
      <c r="N877" s="52"/>
      <c r="O877" s="52"/>
      <c r="P877" s="52"/>
      <c r="Q877" s="52"/>
      <c r="U877" s="52"/>
    </row>
    <row r="878">
      <c r="M878" s="52"/>
      <c r="N878" s="52"/>
      <c r="O878" s="52"/>
      <c r="P878" s="52"/>
      <c r="Q878" s="52"/>
      <c r="U878" s="52"/>
    </row>
    <row r="879">
      <c r="M879" s="52"/>
      <c r="N879" s="52"/>
      <c r="O879" s="52"/>
      <c r="P879" s="52"/>
      <c r="Q879" s="52"/>
      <c r="U879" s="52"/>
    </row>
    <row r="880">
      <c r="M880" s="52"/>
      <c r="N880" s="52"/>
      <c r="O880" s="52"/>
      <c r="P880" s="52"/>
      <c r="Q880" s="52"/>
      <c r="U880" s="52"/>
    </row>
    <row r="881">
      <c r="M881" s="52"/>
      <c r="N881" s="52"/>
      <c r="O881" s="52"/>
      <c r="P881" s="52"/>
      <c r="Q881" s="52"/>
      <c r="U881" s="52"/>
    </row>
    <row r="882">
      <c r="M882" s="52"/>
      <c r="N882" s="52"/>
      <c r="O882" s="52"/>
      <c r="P882" s="52"/>
      <c r="Q882" s="52"/>
      <c r="U882" s="52"/>
    </row>
    <row r="883">
      <c r="M883" s="52"/>
      <c r="N883" s="52"/>
      <c r="O883" s="52"/>
      <c r="P883" s="52"/>
      <c r="Q883" s="52"/>
      <c r="U883" s="52"/>
    </row>
    <row r="884">
      <c r="M884" s="52"/>
      <c r="N884" s="52"/>
      <c r="O884" s="52"/>
      <c r="P884" s="52"/>
      <c r="Q884" s="52"/>
      <c r="U884" s="52"/>
    </row>
    <row r="885">
      <c r="M885" s="52"/>
      <c r="N885" s="52"/>
      <c r="O885" s="52"/>
      <c r="P885" s="52"/>
      <c r="Q885" s="52"/>
      <c r="U885" s="52"/>
    </row>
    <row r="886">
      <c r="M886" s="52"/>
      <c r="N886" s="52"/>
      <c r="O886" s="52"/>
      <c r="P886" s="52"/>
      <c r="Q886" s="52"/>
      <c r="U886" s="52"/>
    </row>
    <row r="887">
      <c r="M887" s="52"/>
      <c r="N887" s="52"/>
      <c r="O887" s="52"/>
      <c r="P887" s="52"/>
      <c r="Q887" s="52"/>
      <c r="U887" s="52"/>
    </row>
    <row r="888">
      <c r="M888" s="52"/>
      <c r="N888" s="52"/>
      <c r="O888" s="52"/>
      <c r="P888" s="52"/>
      <c r="Q888" s="52"/>
      <c r="U888" s="52"/>
    </row>
    <row r="889">
      <c r="M889" s="52"/>
      <c r="N889" s="52"/>
      <c r="O889" s="52"/>
      <c r="P889" s="52"/>
      <c r="Q889" s="52"/>
      <c r="U889" s="52"/>
    </row>
    <row r="890">
      <c r="M890" s="52"/>
      <c r="N890" s="52"/>
      <c r="O890" s="52"/>
      <c r="P890" s="52"/>
      <c r="Q890" s="52"/>
      <c r="U890" s="52"/>
    </row>
    <row r="891">
      <c r="M891" s="52"/>
      <c r="N891" s="52"/>
      <c r="O891" s="52"/>
      <c r="P891" s="52"/>
      <c r="Q891" s="52"/>
      <c r="U891" s="52"/>
    </row>
    <row r="892">
      <c r="M892" s="52"/>
      <c r="N892" s="52"/>
      <c r="O892" s="52"/>
      <c r="P892" s="52"/>
      <c r="Q892" s="52"/>
      <c r="U892" s="52"/>
    </row>
    <row r="893">
      <c r="M893" s="52"/>
      <c r="N893" s="52"/>
      <c r="O893" s="52"/>
      <c r="P893" s="52"/>
      <c r="Q893" s="52"/>
      <c r="U893" s="52"/>
    </row>
    <row r="894">
      <c r="M894" s="52"/>
      <c r="N894" s="52"/>
      <c r="O894" s="52"/>
      <c r="P894" s="52"/>
      <c r="Q894" s="52"/>
      <c r="U894" s="52"/>
    </row>
    <row r="895">
      <c r="M895" s="52"/>
      <c r="N895" s="52"/>
      <c r="O895" s="52"/>
      <c r="P895" s="52"/>
      <c r="Q895" s="52"/>
      <c r="U895" s="52"/>
    </row>
    <row r="896">
      <c r="M896" s="52"/>
      <c r="N896" s="52"/>
      <c r="O896" s="52"/>
      <c r="P896" s="52"/>
      <c r="Q896" s="52"/>
      <c r="U896" s="52"/>
    </row>
    <row r="897">
      <c r="M897" s="52"/>
      <c r="N897" s="52"/>
      <c r="O897" s="52"/>
      <c r="P897" s="52"/>
      <c r="Q897" s="52"/>
      <c r="U897" s="52"/>
    </row>
    <row r="898">
      <c r="M898" s="52"/>
      <c r="N898" s="52"/>
      <c r="O898" s="52"/>
      <c r="P898" s="52"/>
      <c r="Q898" s="52"/>
      <c r="U898" s="52"/>
    </row>
    <row r="899">
      <c r="M899" s="52"/>
      <c r="N899" s="52"/>
      <c r="O899" s="52"/>
      <c r="P899" s="52"/>
      <c r="Q899" s="52"/>
      <c r="U899" s="52"/>
    </row>
    <row r="900">
      <c r="M900" s="52"/>
      <c r="N900" s="52"/>
      <c r="O900" s="52"/>
      <c r="P900" s="52"/>
      <c r="Q900" s="52"/>
      <c r="U900" s="52"/>
    </row>
    <row r="901">
      <c r="M901" s="52"/>
      <c r="N901" s="52"/>
      <c r="O901" s="52"/>
      <c r="P901" s="52"/>
      <c r="Q901" s="52"/>
      <c r="U901" s="52"/>
    </row>
    <row r="902">
      <c r="M902" s="52"/>
      <c r="N902" s="52"/>
      <c r="O902" s="52"/>
      <c r="P902" s="52"/>
      <c r="Q902" s="52"/>
      <c r="U902" s="52"/>
    </row>
    <row r="903">
      <c r="M903" s="52"/>
      <c r="N903" s="52"/>
      <c r="O903" s="52"/>
      <c r="P903" s="52"/>
      <c r="Q903" s="52"/>
      <c r="U903" s="52"/>
    </row>
    <row r="904">
      <c r="M904" s="52"/>
      <c r="N904" s="52"/>
      <c r="O904" s="52"/>
      <c r="P904" s="52"/>
      <c r="Q904" s="52"/>
      <c r="U904" s="52"/>
    </row>
    <row r="905">
      <c r="M905" s="52"/>
      <c r="N905" s="52"/>
      <c r="O905" s="52"/>
      <c r="P905" s="52"/>
      <c r="Q905" s="52"/>
      <c r="U905" s="52"/>
    </row>
    <row r="906">
      <c r="M906" s="52"/>
      <c r="N906" s="52"/>
      <c r="O906" s="52"/>
      <c r="P906" s="52"/>
      <c r="Q906" s="52"/>
      <c r="U906" s="52"/>
    </row>
    <row r="907">
      <c r="M907" s="52"/>
      <c r="N907" s="52"/>
      <c r="O907" s="52"/>
      <c r="P907" s="52"/>
      <c r="Q907" s="52"/>
      <c r="U907" s="52"/>
    </row>
    <row r="908">
      <c r="M908" s="52"/>
      <c r="N908" s="52"/>
      <c r="O908" s="52"/>
      <c r="P908" s="52"/>
      <c r="Q908" s="52"/>
      <c r="U908" s="52"/>
    </row>
    <row r="909">
      <c r="M909" s="52"/>
      <c r="N909" s="52"/>
      <c r="O909" s="52"/>
      <c r="P909" s="52"/>
      <c r="Q909" s="52"/>
      <c r="U909" s="52"/>
    </row>
    <row r="910">
      <c r="M910" s="52"/>
      <c r="N910" s="52"/>
      <c r="O910" s="52"/>
      <c r="P910" s="52"/>
      <c r="Q910" s="52"/>
      <c r="U910" s="52"/>
    </row>
    <row r="911">
      <c r="M911" s="52"/>
      <c r="N911" s="52"/>
      <c r="O911" s="52"/>
      <c r="P911" s="52"/>
      <c r="Q911" s="52"/>
      <c r="U911" s="52"/>
    </row>
    <row r="912">
      <c r="M912" s="52"/>
      <c r="N912" s="52"/>
      <c r="O912" s="52"/>
      <c r="P912" s="52"/>
      <c r="Q912" s="52"/>
      <c r="U912" s="52"/>
    </row>
    <row r="913">
      <c r="M913" s="52"/>
      <c r="N913" s="52"/>
      <c r="O913" s="52"/>
      <c r="P913" s="52"/>
      <c r="Q913" s="52"/>
      <c r="U913" s="52"/>
    </row>
    <row r="914">
      <c r="M914" s="52"/>
      <c r="N914" s="52"/>
      <c r="O914" s="52"/>
      <c r="P914" s="52"/>
      <c r="Q914" s="52"/>
      <c r="U914" s="52"/>
    </row>
    <row r="915">
      <c r="M915" s="52"/>
      <c r="N915" s="52"/>
      <c r="O915" s="52"/>
      <c r="P915" s="52"/>
      <c r="Q915" s="52"/>
      <c r="U915" s="52"/>
    </row>
    <row r="916">
      <c r="M916" s="52"/>
      <c r="N916" s="52"/>
      <c r="O916" s="52"/>
      <c r="P916" s="52"/>
      <c r="Q916" s="52"/>
      <c r="U916" s="52"/>
    </row>
    <row r="917">
      <c r="M917" s="52"/>
      <c r="N917" s="52"/>
      <c r="O917" s="52"/>
      <c r="P917" s="52"/>
      <c r="Q917" s="52"/>
      <c r="U917" s="52"/>
    </row>
    <row r="918">
      <c r="M918" s="52"/>
      <c r="N918" s="52"/>
      <c r="O918" s="52"/>
      <c r="P918" s="52"/>
      <c r="Q918" s="52"/>
      <c r="U918" s="52"/>
    </row>
    <row r="919">
      <c r="M919" s="52"/>
      <c r="N919" s="52"/>
      <c r="O919" s="52"/>
      <c r="P919" s="52"/>
      <c r="Q919" s="52"/>
      <c r="U919" s="52"/>
    </row>
    <row r="920">
      <c r="M920" s="52"/>
      <c r="N920" s="52"/>
      <c r="O920" s="52"/>
      <c r="P920" s="52"/>
      <c r="Q920" s="52"/>
      <c r="U920" s="52"/>
    </row>
    <row r="921">
      <c r="M921" s="52"/>
      <c r="N921" s="52"/>
      <c r="O921" s="52"/>
      <c r="P921" s="52"/>
      <c r="Q921" s="52"/>
      <c r="U921" s="52"/>
    </row>
    <row r="922">
      <c r="M922" s="52"/>
      <c r="N922" s="52"/>
      <c r="O922" s="52"/>
      <c r="P922" s="52"/>
      <c r="Q922" s="52"/>
      <c r="U922" s="52"/>
    </row>
    <row r="923">
      <c r="M923" s="52"/>
      <c r="N923" s="52"/>
      <c r="O923" s="52"/>
      <c r="P923" s="52"/>
      <c r="Q923" s="52"/>
      <c r="U923" s="52"/>
    </row>
    <row r="924">
      <c r="M924" s="52"/>
      <c r="N924" s="52"/>
      <c r="O924" s="52"/>
      <c r="P924" s="52"/>
      <c r="Q924" s="52"/>
      <c r="U924" s="52"/>
    </row>
    <row r="925">
      <c r="M925" s="52"/>
      <c r="N925" s="52"/>
      <c r="O925" s="52"/>
      <c r="P925" s="52"/>
      <c r="Q925" s="52"/>
      <c r="U925" s="52"/>
    </row>
    <row r="926">
      <c r="M926" s="52"/>
      <c r="N926" s="52"/>
      <c r="O926" s="52"/>
      <c r="P926" s="52"/>
      <c r="Q926" s="52"/>
      <c r="U926" s="52"/>
    </row>
    <row r="927">
      <c r="M927" s="52"/>
      <c r="N927" s="52"/>
      <c r="O927" s="52"/>
      <c r="P927" s="52"/>
      <c r="Q927" s="52"/>
      <c r="U927" s="52"/>
    </row>
    <row r="928">
      <c r="M928" s="52"/>
      <c r="N928" s="52"/>
      <c r="O928" s="52"/>
      <c r="P928" s="52"/>
      <c r="Q928" s="52"/>
      <c r="U928" s="52"/>
    </row>
    <row r="929">
      <c r="M929" s="52"/>
      <c r="N929" s="52"/>
      <c r="O929" s="52"/>
      <c r="P929" s="52"/>
      <c r="Q929" s="52"/>
      <c r="U929" s="52"/>
    </row>
    <row r="930">
      <c r="M930" s="52"/>
      <c r="N930" s="52"/>
      <c r="O930" s="52"/>
      <c r="P930" s="52"/>
      <c r="Q930" s="52"/>
      <c r="U930" s="52"/>
    </row>
    <row r="931">
      <c r="M931" s="52"/>
      <c r="N931" s="52"/>
      <c r="O931" s="52"/>
      <c r="P931" s="52"/>
      <c r="Q931" s="52"/>
      <c r="U931" s="52"/>
    </row>
    <row r="932">
      <c r="M932" s="52"/>
      <c r="N932" s="52"/>
      <c r="O932" s="52"/>
      <c r="P932" s="52"/>
      <c r="Q932" s="52"/>
      <c r="U932" s="52"/>
    </row>
    <row r="933">
      <c r="M933" s="52"/>
      <c r="N933" s="52"/>
      <c r="O933" s="52"/>
      <c r="P933" s="52"/>
      <c r="Q933" s="52"/>
      <c r="U933" s="52"/>
    </row>
    <row r="934">
      <c r="M934" s="52"/>
      <c r="N934" s="52"/>
      <c r="O934" s="52"/>
      <c r="P934" s="52"/>
      <c r="Q934" s="52"/>
      <c r="U934" s="52"/>
    </row>
    <row r="935">
      <c r="M935" s="52"/>
      <c r="N935" s="52"/>
      <c r="O935" s="52"/>
      <c r="P935" s="52"/>
      <c r="Q935" s="52"/>
      <c r="U935" s="52"/>
    </row>
    <row r="936">
      <c r="M936" s="52"/>
      <c r="N936" s="52"/>
      <c r="O936" s="52"/>
      <c r="P936" s="52"/>
      <c r="Q936" s="52"/>
      <c r="U936" s="52"/>
    </row>
    <row r="937">
      <c r="M937" s="52"/>
      <c r="N937" s="52"/>
      <c r="O937" s="52"/>
      <c r="P937" s="52"/>
      <c r="Q937" s="52"/>
      <c r="U937" s="52"/>
    </row>
    <row r="938">
      <c r="M938" s="52"/>
      <c r="N938" s="52"/>
      <c r="O938" s="52"/>
      <c r="P938" s="52"/>
      <c r="Q938" s="52"/>
      <c r="U938" s="52"/>
    </row>
    <row r="939">
      <c r="M939" s="52"/>
      <c r="N939" s="52"/>
      <c r="O939" s="52"/>
      <c r="P939" s="52"/>
      <c r="Q939" s="52"/>
      <c r="U939" s="52"/>
    </row>
    <row r="940">
      <c r="M940" s="52"/>
      <c r="N940" s="52"/>
      <c r="O940" s="52"/>
      <c r="P940" s="52"/>
      <c r="Q940" s="52"/>
      <c r="U940" s="52"/>
    </row>
    <row r="941">
      <c r="M941" s="52"/>
      <c r="N941" s="52"/>
      <c r="O941" s="52"/>
      <c r="P941" s="52"/>
      <c r="Q941" s="52"/>
      <c r="U941" s="52"/>
    </row>
    <row r="942">
      <c r="M942" s="52"/>
      <c r="N942" s="52"/>
      <c r="O942" s="52"/>
      <c r="P942" s="52"/>
      <c r="Q942" s="52"/>
      <c r="U942" s="52"/>
    </row>
    <row r="943">
      <c r="M943" s="52"/>
      <c r="N943" s="52"/>
      <c r="O943" s="52"/>
      <c r="P943" s="52"/>
      <c r="Q943" s="52"/>
      <c r="U943" s="52"/>
    </row>
    <row r="944">
      <c r="M944" s="52"/>
      <c r="N944" s="52"/>
      <c r="O944" s="52"/>
      <c r="P944" s="52"/>
      <c r="Q944" s="52"/>
      <c r="U944" s="52"/>
    </row>
    <row r="945">
      <c r="M945" s="52"/>
      <c r="N945" s="52"/>
      <c r="O945" s="52"/>
      <c r="P945" s="52"/>
      <c r="Q945" s="52"/>
      <c r="U945" s="52"/>
    </row>
    <row r="946">
      <c r="M946" s="52"/>
      <c r="N946" s="52"/>
      <c r="O946" s="52"/>
      <c r="P946" s="52"/>
      <c r="Q946" s="52"/>
      <c r="U946" s="52"/>
    </row>
    <row r="947">
      <c r="M947" s="52"/>
      <c r="N947" s="52"/>
      <c r="O947" s="52"/>
      <c r="P947" s="52"/>
      <c r="Q947" s="52"/>
      <c r="U947" s="52"/>
    </row>
    <row r="948">
      <c r="M948" s="52"/>
      <c r="N948" s="52"/>
      <c r="O948" s="52"/>
      <c r="P948" s="52"/>
      <c r="Q948" s="52"/>
      <c r="U948" s="52"/>
    </row>
    <row r="949">
      <c r="M949" s="52"/>
      <c r="N949" s="52"/>
      <c r="O949" s="52"/>
      <c r="P949" s="52"/>
      <c r="Q949" s="52"/>
      <c r="U949" s="52"/>
    </row>
    <row r="950">
      <c r="M950" s="52"/>
      <c r="N950" s="52"/>
      <c r="O950" s="52"/>
      <c r="P950" s="52"/>
      <c r="Q950" s="52"/>
      <c r="U950" s="52"/>
    </row>
    <row r="951">
      <c r="M951" s="52"/>
      <c r="N951" s="52"/>
      <c r="O951" s="52"/>
      <c r="P951" s="52"/>
      <c r="Q951" s="52"/>
      <c r="U951" s="52"/>
    </row>
    <row r="952">
      <c r="M952" s="52"/>
      <c r="N952" s="52"/>
      <c r="O952" s="52"/>
      <c r="P952" s="52"/>
      <c r="Q952" s="52"/>
      <c r="U952" s="52"/>
    </row>
    <row r="953">
      <c r="M953" s="52"/>
      <c r="N953" s="52"/>
      <c r="O953" s="52"/>
      <c r="P953" s="52"/>
      <c r="Q953" s="52"/>
      <c r="U953" s="52"/>
    </row>
    <row r="954">
      <c r="M954" s="52"/>
      <c r="N954" s="52"/>
      <c r="O954" s="52"/>
      <c r="P954" s="52"/>
      <c r="Q954" s="52"/>
      <c r="U954" s="52"/>
    </row>
    <row r="955">
      <c r="M955" s="52"/>
      <c r="N955" s="52"/>
      <c r="O955" s="52"/>
      <c r="P955" s="52"/>
      <c r="Q955" s="52"/>
      <c r="U955" s="52"/>
    </row>
    <row r="956">
      <c r="M956" s="52"/>
      <c r="N956" s="52"/>
      <c r="O956" s="52"/>
      <c r="P956" s="52"/>
      <c r="Q956" s="52"/>
      <c r="U956" s="52"/>
    </row>
    <row r="957">
      <c r="M957" s="52"/>
      <c r="N957" s="52"/>
      <c r="O957" s="52"/>
      <c r="P957" s="52"/>
      <c r="Q957" s="52"/>
      <c r="U957" s="52"/>
    </row>
    <row r="958">
      <c r="M958" s="52"/>
      <c r="N958" s="52"/>
      <c r="O958" s="52"/>
      <c r="P958" s="52"/>
      <c r="Q958" s="52"/>
      <c r="U958" s="52"/>
    </row>
    <row r="959">
      <c r="M959" s="52"/>
      <c r="N959" s="52"/>
      <c r="O959" s="52"/>
      <c r="P959" s="52"/>
      <c r="Q959" s="52"/>
      <c r="U959" s="52"/>
    </row>
    <row r="960">
      <c r="M960" s="52"/>
      <c r="N960" s="52"/>
      <c r="O960" s="52"/>
      <c r="P960" s="52"/>
      <c r="Q960" s="52"/>
      <c r="U960" s="52"/>
    </row>
    <row r="961">
      <c r="M961" s="52"/>
      <c r="N961" s="52"/>
      <c r="O961" s="52"/>
      <c r="P961" s="52"/>
      <c r="Q961" s="52"/>
      <c r="U961" s="52"/>
    </row>
    <row r="962">
      <c r="M962" s="52"/>
      <c r="N962" s="52"/>
      <c r="O962" s="52"/>
      <c r="P962" s="52"/>
      <c r="Q962" s="52"/>
      <c r="U962" s="52"/>
    </row>
    <row r="963">
      <c r="M963" s="52"/>
      <c r="N963" s="52"/>
      <c r="O963" s="52"/>
      <c r="P963" s="52"/>
      <c r="Q963" s="52"/>
      <c r="U963" s="52"/>
    </row>
    <row r="964">
      <c r="M964" s="52"/>
      <c r="N964" s="52"/>
      <c r="O964" s="52"/>
      <c r="P964" s="52"/>
      <c r="Q964" s="52"/>
      <c r="U964" s="52"/>
    </row>
    <row r="965">
      <c r="M965" s="52"/>
      <c r="N965" s="52"/>
      <c r="O965" s="52"/>
      <c r="P965" s="52"/>
      <c r="Q965" s="52"/>
      <c r="U965" s="52"/>
    </row>
    <row r="966">
      <c r="M966" s="52"/>
      <c r="N966" s="52"/>
      <c r="O966" s="52"/>
      <c r="P966" s="52"/>
      <c r="Q966" s="52"/>
      <c r="U966" s="52"/>
    </row>
    <row r="967">
      <c r="M967" s="52"/>
      <c r="N967" s="52"/>
      <c r="O967" s="52"/>
      <c r="P967" s="52"/>
      <c r="Q967" s="52"/>
      <c r="U967" s="52"/>
    </row>
    <row r="968">
      <c r="M968" s="52"/>
      <c r="N968" s="52"/>
      <c r="O968" s="52"/>
      <c r="P968" s="52"/>
      <c r="Q968" s="52"/>
      <c r="U968" s="52"/>
    </row>
    <row r="969">
      <c r="M969" s="52"/>
      <c r="N969" s="52"/>
      <c r="O969" s="52"/>
      <c r="P969" s="52"/>
      <c r="Q969" s="52"/>
      <c r="U969" s="52"/>
    </row>
    <row r="970">
      <c r="M970" s="52"/>
      <c r="N970" s="52"/>
      <c r="O970" s="52"/>
      <c r="P970" s="52"/>
      <c r="Q970" s="52"/>
      <c r="U970" s="52"/>
    </row>
    <row r="971">
      <c r="M971" s="52"/>
      <c r="N971" s="52"/>
      <c r="O971" s="52"/>
      <c r="P971" s="52"/>
      <c r="Q971" s="52"/>
      <c r="U971" s="52"/>
    </row>
    <row r="972">
      <c r="M972" s="52"/>
      <c r="N972" s="52"/>
      <c r="O972" s="52"/>
      <c r="P972" s="52"/>
      <c r="Q972" s="52"/>
      <c r="U972" s="52"/>
    </row>
    <row r="973">
      <c r="M973" s="52"/>
      <c r="N973" s="52"/>
      <c r="O973" s="52"/>
      <c r="P973" s="52"/>
      <c r="Q973" s="52"/>
      <c r="U973" s="52"/>
    </row>
    <row r="974">
      <c r="M974" s="52"/>
      <c r="N974" s="52"/>
      <c r="O974" s="52"/>
      <c r="P974" s="52"/>
      <c r="Q974" s="52"/>
      <c r="U974" s="52"/>
    </row>
    <row r="975">
      <c r="M975" s="52"/>
      <c r="N975" s="52"/>
      <c r="O975" s="52"/>
      <c r="P975" s="52"/>
      <c r="Q975" s="52"/>
      <c r="U975" s="52"/>
    </row>
    <row r="976">
      <c r="M976" s="52"/>
      <c r="N976" s="52"/>
      <c r="O976" s="52"/>
      <c r="P976" s="52"/>
      <c r="Q976" s="52"/>
      <c r="U976" s="52"/>
    </row>
    <row r="977">
      <c r="M977" s="52"/>
      <c r="N977" s="52"/>
      <c r="O977" s="52"/>
      <c r="P977" s="52"/>
      <c r="Q977" s="52"/>
      <c r="U977" s="52"/>
    </row>
    <row r="978">
      <c r="M978" s="52"/>
      <c r="N978" s="52"/>
      <c r="O978" s="52"/>
      <c r="P978" s="52"/>
      <c r="Q978" s="52"/>
      <c r="U978" s="52"/>
    </row>
    <row r="979">
      <c r="M979" s="52"/>
      <c r="N979" s="52"/>
      <c r="O979" s="52"/>
      <c r="P979" s="52"/>
      <c r="Q979" s="52"/>
      <c r="U979" s="52"/>
    </row>
    <row r="980">
      <c r="M980" s="52"/>
      <c r="N980" s="52"/>
      <c r="O980" s="52"/>
      <c r="P980" s="52"/>
      <c r="Q980" s="52"/>
      <c r="U980" s="52"/>
    </row>
    <row r="981">
      <c r="M981" s="52"/>
      <c r="N981" s="52"/>
      <c r="O981" s="52"/>
      <c r="P981" s="52"/>
      <c r="Q981" s="52"/>
      <c r="U981" s="52"/>
    </row>
    <row r="982">
      <c r="M982" s="52"/>
      <c r="N982" s="52"/>
      <c r="O982" s="52"/>
      <c r="P982" s="52"/>
      <c r="Q982" s="52"/>
      <c r="U982" s="52"/>
    </row>
    <row r="983">
      <c r="M983" s="52"/>
      <c r="N983" s="52"/>
      <c r="O983" s="52"/>
      <c r="P983" s="52"/>
      <c r="Q983" s="52"/>
      <c r="U983" s="52"/>
    </row>
    <row r="984">
      <c r="M984" s="52"/>
      <c r="N984" s="52"/>
      <c r="O984" s="52"/>
      <c r="P984" s="52"/>
      <c r="Q984" s="52"/>
      <c r="U984" s="52"/>
    </row>
    <row r="985">
      <c r="M985" s="52"/>
      <c r="N985" s="52"/>
      <c r="O985" s="52"/>
      <c r="P985" s="52"/>
      <c r="Q985" s="52"/>
      <c r="U985" s="52"/>
    </row>
    <row r="986">
      <c r="M986" s="52"/>
      <c r="N986" s="52"/>
      <c r="O986" s="52"/>
      <c r="P986" s="52"/>
      <c r="Q986" s="52"/>
      <c r="U986" s="52"/>
    </row>
    <row r="987">
      <c r="M987" s="52"/>
      <c r="N987" s="52"/>
      <c r="O987" s="52"/>
      <c r="P987" s="52"/>
      <c r="Q987" s="52"/>
      <c r="U987" s="52"/>
    </row>
    <row r="988">
      <c r="M988" s="52"/>
      <c r="N988" s="52"/>
      <c r="O988" s="52"/>
      <c r="P988" s="52"/>
      <c r="Q988" s="52"/>
      <c r="U988" s="52"/>
    </row>
    <row r="989">
      <c r="M989" s="52"/>
      <c r="N989" s="52"/>
      <c r="O989" s="52"/>
      <c r="P989" s="52"/>
      <c r="Q989" s="52"/>
      <c r="U989" s="52"/>
    </row>
    <row r="990">
      <c r="M990" s="52"/>
      <c r="N990" s="52"/>
      <c r="O990" s="52"/>
      <c r="P990" s="52"/>
      <c r="Q990" s="52"/>
      <c r="U990" s="52"/>
    </row>
    <row r="991">
      <c r="M991" s="52"/>
      <c r="N991" s="52"/>
      <c r="O991" s="52"/>
      <c r="P991" s="52"/>
      <c r="Q991" s="52"/>
      <c r="U991" s="52"/>
    </row>
    <row r="992">
      <c r="M992" s="52"/>
      <c r="N992" s="52"/>
      <c r="O992" s="52"/>
      <c r="P992" s="52"/>
      <c r="Q992" s="52"/>
      <c r="U992" s="52"/>
    </row>
    <row r="993">
      <c r="M993" s="52"/>
      <c r="N993" s="52"/>
      <c r="O993" s="52"/>
      <c r="P993" s="52"/>
      <c r="Q993" s="52"/>
      <c r="U993" s="52"/>
    </row>
    <row r="994">
      <c r="M994" s="52"/>
      <c r="N994" s="52"/>
      <c r="O994" s="52"/>
      <c r="P994" s="52"/>
      <c r="Q994" s="52"/>
      <c r="U994" s="52"/>
    </row>
    <row r="995">
      <c r="M995" s="52"/>
      <c r="N995" s="52"/>
      <c r="O995" s="52"/>
      <c r="P995" s="52"/>
      <c r="Q995" s="52"/>
      <c r="U995" s="52"/>
    </row>
    <row r="996">
      <c r="M996" s="52"/>
      <c r="N996" s="52"/>
      <c r="O996" s="52"/>
      <c r="P996" s="52"/>
      <c r="Q996" s="52"/>
      <c r="U996" s="52"/>
    </row>
    <row r="997">
      <c r="M997" s="52"/>
      <c r="N997" s="52"/>
      <c r="O997" s="52"/>
      <c r="P997" s="52"/>
      <c r="Q997" s="52"/>
      <c r="U997" s="52"/>
    </row>
    <row r="998">
      <c r="M998" s="52"/>
      <c r="N998" s="52"/>
      <c r="O998" s="52"/>
      <c r="P998" s="52"/>
      <c r="Q998" s="52"/>
      <c r="U998" s="52"/>
    </row>
    <row r="999">
      <c r="M999" s="52"/>
      <c r="N999" s="52"/>
      <c r="O999" s="52"/>
      <c r="P999" s="52"/>
      <c r="Q999" s="52"/>
      <c r="U999" s="52"/>
    </row>
    <row r="1000">
      <c r="M1000" s="52"/>
      <c r="N1000" s="52"/>
      <c r="O1000" s="52"/>
      <c r="P1000" s="52"/>
      <c r="Q1000" s="52"/>
      <c r="U1000" s="52"/>
    </row>
  </sheetData>
  <mergeCells count="7">
    <mergeCell ref="A1:A2"/>
    <mergeCell ref="B1:B2"/>
    <mergeCell ref="C1:G1"/>
    <mergeCell ref="H1:I1"/>
    <mergeCell ref="J1:J2"/>
    <mergeCell ref="K1:O1"/>
    <mergeCell ref="P1:U1"/>
  </mergeCells>
  <conditionalFormatting sqref="N3:N9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G3:G9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3:H9">
    <cfRule type="colorScale" priority="3">
      <colorScale>
        <cfvo type="formula" val="0"/>
        <cfvo type="max"/>
        <color rgb="FFFFFFFF"/>
        <color rgb="FF57BB8A"/>
      </colorScale>
    </cfRule>
  </conditionalFormatting>
  <conditionalFormatting sqref="I3:I9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J3:J9">
    <cfRule type="colorScale" priority="5">
      <colorScale>
        <cfvo type="formula" val="0"/>
        <cfvo type="max"/>
        <color rgb="FFFFFFFF"/>
        <color rgb="FF57BB8A"/>
      </colorScale>
    </cfRule>
  </conditionalFormatting>
  <conditionalFormatting sqref="K3:K9">
    <cfRule type="colorScale" priority="6">
      <colorScale>
        <cfvo type="formula" val="0"/>
        <cfvo type="max"/>
        <color rgb="FFFFFFFF"/>
        <color rgb="FF57BB8A"/>
      </colorScale>
    </cfRule>
  </conditionalFormatting>
  <conditionalFormatting sqref="L3:L9">
    <cfRule type="colorScale" priority="7">
      <colorScale>
        <cfvo type="formula" val="0"/>
        <cfvo type="max"/>
        <color rgb="FFFFFFFF"/>
        <color rgb="FFE67C73"/>
      </colorScale>
    </cfRule>
  </conditionalFormatting>
  <conditionalFormatting sqref="C3:C9">
    <cfRule type="colorScale" priority="8">
      <colorScale>
        <cfvo type="formula" val="0"/>
        <cfvo type="max"/>
        <color rgb="FFFFFFFF"/>
        <color rgb="FFFFD666"/>
      </colorScale>
    </cfRule>
  </conditionalFormatting>
  <conditionalFormatting sqref="D3:D9">
    <cfRule type="colorScale" priority="9">
      <colorScale>
        <cfvo type="formula" val="0"/>
        <cfvo type="max"/>
        <color rgb="FFFFFFFF"/>
        <color rgb="FF57BB8A"/>
      </colorScale>
    </cfRule>
  </conditionalFormatting>
  <conditionalFormatting sqref="E3:E9">
    <cfRule type="colorScale" priority="10">
      <colorScale>
        <cfvo type="formula" val="0"/>
        <cfvo type="max"/>
        <color rgb="FFFFFFFF"/>
        <color rgb="FFE67C73"/>
      </colorScale>
    </cfRule>
  </conditionalFormatting>
  <conditionalFormatting sqref="F3:F9">
    <cfRule type="colorScale" priority="11">
      <colorScale>
        <cfvo type="formula" val="0"/>
        <cfvo type="max"/>
        <color rgb="FFFFFFFF"/>
        <color rgb="FF57BB8A"/>
      </colorScale>
    </cfRule>
  </conditionalFormatting>
  <conditionalFormatting sqref="M3:M9">
    <cfRule type="colorScale" priority="12">
      <colorScale>
        <cfvo type="formula" val="0"/>
        <cfvo type="max"/>
        <color rgb="FFFFFFFF"/>
        <color rgb="FFFFD666"/>
      </colorScale>
    </cfRule>
  </conditionalFormatting>
  <conditionalFormatting sqref="O3:O9">
    <cfRule type="colorScale" priority="13">
      <colorScale>
        <cfvo type="formula" val="0"/>
        <cfvo type="formula" val="1"/>
        <color rgb="FFFFFFFF"/>
        <color rgb="FF57BB8A"/>
      </colorScale>
    </cfRule>
  </conditionalFormatting>
  <conditionalFormatting sqref="P3:P9">
    <cfRule type="colorScale" priority="14">
      <colorScale>
        <cfvo type="formula" val="0"/>
        <cfvo type="max"/>
        <color rgb="FFFFFFFF"/>
        <color rgb="FFFFD666"/>
      </colorScale>
    </cfRule>
  </conditionalFormatting>
  <conditionalFormatting sqref="U3:U9">
    <cfRule type="colorScale" priority="15">
      <colorScale>
        <cfvo type="formula" val="0"/>
        <cfvo type="formula" val="2"/>
        <cfvo type="formula" val="3"/>
        <color rgb="FFE67C73"/>
        <color rgb="FFFFFFFF"/>
        <color rgb="FF57BB8A"/>
      </colorScale>
    </cfRule>
  </conditionalFormatting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7.63"/>
    <col customWidth="1" min="4" max="4" width="5.63"/>
    <col customWidth="1" min="5" max="5" width="6.88"/>
    <col customWidth="1" min="6" max="6" width="8.38"/>
    <col customWidth="1" min="7" max="7" width="15.5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5"/>
      <c r="H1" s="6" t="s">
        <v>3</v>
      </c>
      <c r="I1" s="5"/>
      <c r="J1" s="1" t="s">
        <v>4</v>
      </c>
      <c r="K1" s="6" t="s">
        <v>5</v>
      </c>
      <c r="L1" s="4"/>
      <c r="M1" s="4"/>
      <c r="N1" s="4"/>
      <c r="O1" s="5"/>
      <c r="P1" s="30" t="s">
        <v>6</v>
      </c>
      <c r="Q1" s="4"/>
      <c r="R1" s="4"/>
      <c r="S1" s="4"/>
      <c r="T1" s="4"/>
      <c r="U1" s="5"/>
    </row>
    <row r="2">
      <c r="A2" s="9"/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2" t="s">
        <v>13</v>
      </c>
      <c r="I2" s="12" t="s">
        <v>14</v>
      </c>
      <c r="J2" s="9"/>
      <c r="K2" s="10" t="s">
        <v>15</v>
      </c>
      <c r="L2" s="12" t="s">
        <v>10</v>
      </c>
      <c r="M2" s="10" t="s">
        <v>16</v>
      </c>
      <c r="N2" s="10" t="s">
        <v>12</v>
      </c>
      <c r="O2" s="10" t="s">
        <v>18</v>
      </c>
      <c r="P2" s="15" t="s">
        <v>8</v>
      </c>
      <c r="Q2" s="15">
        <v>0.0</v>
      </c>
      <c r="R2" s="15">
        <v>1.0</v>
      </c>
      <c r="S2" s="15">
        <v>2.0</v>
      </c>
      <c r="T2" s="15">
        <v>3.0</v>
      </c>
      <c r="U2" s="15" t="s">
        <v>19</v>
      </c>
    </row>
    <row r="3">
      <c r="A3" s="18" t="s">
        <v>21</v>
      </c>
      <c r="B3" s="18" t="s">
        <v>22</v>
      </c>
      <c r="C3" s="10"/>
      <c r="D3" s="10"/>
      <c r="E3" s="10"/>
      <c r="F3" s="35"/>
      <c r="G3" s="35" t="str">
        <f t="shared" ref="G3:G9" si="1">IFS(C3=0, "N/A", C3&lt;&gt;0,(D3-E3)/C3 )</f>
        <v>N/A</v>
      </c>
      <c r="H3" s="35"/>
      <c r="I3" s="10"/>
      <c r="J3" s="10"/>
      <c r="K3" s="35"/>
      <c r="L3" s="10"/>
      <c r="M3" s="10"/>
      <c r="N3" s="35" t="str">
        <f t="shared" ref="N3:N9" si="2">ifs(M3=0,"N/A",M3&lt;&gt;0,(M3-L3) /M3)</f>
        <v>N/A</v>
      </c>
      <c r="O3" s="35" t="str">
        <f t="shared" ref="O3:O9" si="3">IFS(M3=0, "N/A", M3&lt;&gt;0, K3/M3)</f>
        <v>N/A</v>
      </c>
      <c r="P3" s="10">
        <f t="shared" ref="P3:P9" si="4">sum(Q3,R3,S3,T3)</f>
        <v>0</v>
      </c>
      <c r="Q3" s="35"/>
      <c r="R3" s="10"/>
      <c r="S3" s="10"/>
      <c r="T3" s="10"/>
      <c r="U3" s="10" t="str">
        <f t="shared" ref="U3:U9" si="5">ifs(P3=0, "N/A",P3&lt;&gt;0,(R3 + S3*2 +T3*3)/P3)</f>
        <v>N/A</v>
      </c>
    </row>
    <row r="4">
      <c r="A4" s="21" t="s">
        <v>24</v>
      </c>
      <c r="B4" s="21" t="s">
        <v>22</v>
      </c>
      <c r="C4" s="10"/>
      <c r="D4" s="10"/>
      <c r="E4" s="10"/>
      <c r="F4" s="35"/>
      <c r="G4" s="35" t="str">
        <f t="shared" si="1"/>
        <v>N/A</v>
      </c>
      <c r="H4" s="10"/>
      <c r="I4" s="10"/>
      <c r="J4" s="10"/>
      <c r="K4" s="35"/>
      <c r="L4" s="10"/>
      <c r="M4" s="10"/>
      <c r="N4" s="35" t="str">
        <f t="shared" si="2"/>
        <v>N/A</v>
      </c>
      <c r="O4" s="35" t="str">
        <f t="shared" si="3"/>
        <v>N/A</v>
      </c>
      <c r="P4" s="10">
        <f t="shared" si="4"/>
        <v>0</v>
      </c>
      <c r="Q4" s="10"/>
      <c r="R4" s="35"/>
      <c r="S4" s="35"/>
      <c r="T4" s="35"/>
      <c r="U4" s="10" t="str">
        <f t="shared" si="5"/>
        <v>N/A</v>
      </c>
    </row>
    <row r="5">
      <c r="A5" s="22" t="s">
        <v>26</v>
      </c>
      <c r="B5" s="22" t="s">
        <v>22</v>
      </c>
      <c r="C5" s="10"/>
      <c r="D5" s="10"/>
      <c r="E5" s="10"/>
      <c r="F5" s="10"/>
      <c r="G5" s="35" t="str">
        <f t="shared" si="1"/>
        <v>N/A</v>
      </c>
      <c r="H5" s="10"/>
      <c r="I5" s="10"/>
      <c r="J5" s="10"/>
      <c r="K5" s="10"/>
      <c r="L5" s="35"/>
      <c r="M5" s="10"/>
      <c r="N5" s="35" t="str">
        <f t="shared" si="2"/>
        <v>N/A</v>
      </c>
      <c r="O5" s="35" t="str">
        <f t="shared" si="3"/>
        <v>N/A</v>
      </c>
      <c r="P5" s="10">
        <f t="shared" si="4"/>
        <v>0</v>
      </c>
      <c r="Q5" s="35"/>
      <c r="R5" s="35"/>
      <c r="S5" s="35"/>
      <c r="T5" s="10"/>
      <c r="U5" s="10" t="str">
        <f t="shared" si="5"/>
        <v>N/A</v>
      </c>
    </row>
    <row r="6">
      <c r="A6" s="23" t="s">
        <v>28</v>
      </c>
      <c r="B6" s="23" t="s">
        <v>22</v>
      </c>
      <c r="C6" s="10"/>
      <c r="D6" s="10"/>
      <c r="E6" s="10"/>
      <c r="F6" s="35"/>
      <c r="G6" s="35" t="str">
        <f t="shared" si="1"/>
        <v>N/A</v>
      </c>
      <c r="H6" s="35"/>
      <c r="I6" s="35"/>
      <c r="J6" s="10"/>
      <c r="K6" s="10"/>
      <c r="L6" s="10"/>
      <c r="M6" s="10"/>
      <c r="N6" s="35" t="str">
        <f t="shared" si="2"/>
        <v>N/A</v>
      </c>
      <c r="O6" s="35" t="str">
        <f t="shared" si="3"/>
        <v>N/A</v>
      </c>
      <c r="P6" s="10">
        <f t="shared" si="4"/>
        <v>0</v>
      </c>
      <c r="Q6" s="10"/>
      <c r="R6" s="10"/>
      <c r="S6" s="10"/>
      <c r="T6" s="10"/>
      <c r="U6" s="10" t="str">
        <f t="shared" si="5"/>
        <v>N/A</v>
      </c>
    </row>
    <row r="7">
      <c r="A7" s="24" t="s">
        <v>30</v>
      </c>
      <c r="B7" s="24" t="s">
        <v>22</v>
      </c>
      <c r="C7" s="10"/>
      <c r="D7" s="10"/>
      <c r="E7" s="10"/>
      <c r="F7" s="35"/>
      <c r="G7" s="35" t="str">
        <f t="shared" si="1"/>
        <v>N/A</v>
      </c>
      <c r="H7" s="35"/>
      <c r="I7" s="35"/>
      <c r="J7" s="10"/>
      <c r="K7" s="35"/>
      <c r="L7" s="10"/>
      <c r="M7" s="10"/>
      <c r="N7" s="35" t="str">
        <f t="shared" si="2"/>
        <v>N/A</v>
      </c>
      <c r="O7" s="35" t="str">
        <f t="shared" si="3"/>
        <v>N/A</v>
      </c>
      <c r="P7" s="10">
        <f t="shared" si="4"/>
        <v>0</v>
      </c>
      <c r="Q7" s="10"/>
      <c r="R7" s="35"/>
      <c r="S7" s="10"/>
      <c r="T7" s="35"/>
      <c r="U7" s="10" t="str">
        <f t="shared" si="5"/>
        <v>N/A</v>
      </c>
    </row>
    <row r="8">
      <c r="A8" s="25" t="s">
        <v>32</v>
      </c>
      <c r="B8" s="25" t="s">
        <v>22</v>
      </c>
      <c r="C8" s="10"/>
      <c r="D8" s="10"/>
      <c r="E8" s="10"/>
      <c r="F8" s="35"/>
      <c r="G8" s="35" t="str">
        <f t="shared" si="1"/>
        <v>N/A</v>
      </c>
      <c r="H8" s="35"/>
      <c r="I8" s="10"/>
      <c r="J8" s="10"/>
      <c r="K8" s="35"/>
      <c r="L8" s="35"/>
      <c r="M8" s="10"/>
      <c r="N8" s="35" t="str">
        <f t="shared" si="2"/>
        <v>N/A</v>
      </c>
      <c r="O8" s="35" t="str">
        <f t="shared" si="3"/>
        <v>N/A</v>
      </c>
      <c r="P8" s="10">
        <f t="shared" si="4"/>
        <v>0</v>
      </c>
      <c r="Q8" s="10"/>
      <c r="R8" s="10"/>
      <c r="S8" s="35"/>
      <c r="T8" s="35"/>
      <c r="U8" s="10" t="str">
        <f t="shared" si="5"/>
        <v>N/A</v>
      </c>
    </row>
    <row r="9">
      <c r="A9" s="26" t="s">
        <v>34</v>
      </c>
      <c r="B9" s="26" t="s">
        <v>22</v>
      </c>
      <c r="C9" s="10"/>
      <c r="D9" s="10"/>
      <c r="E9" s="10"/>
      <c r="F9" s="35"/>
      <c r="G9" s="35" t="str">
        <f t="shared" si="1"/>
        <v>N/A</v>
      </c>
      <c r="H9" s="35"/>
      <c r="I9" s="35"/>
      <c r="J9" s="10"/>
      <c r="K9" s="35"/>
      <c r="L9" s="10"/>
      <c r="M9" s="35"/>
      <c r="N9" s="35" t="str">
        <f t="shared" si="2"/>
        <v>N/A</v>
      </c>
      <c r="O9" s="35" t="str">
        <f t="shared" si="3"/>
        <v>N/A</v>
      </c>
      <c r="P9" s="10">
        <f t="shared" si="4"/>
        <v>0</v>
      </c>
      <c r="Q9" s="35"/>
      <c r="R9" s="10"/>
      <c r="S9" s="10"/>
      <c r="T9" s="35"/>
      <c r="U9" s="10" t="str">
        <f t="shared" si="5"/>
        <v>N/A</v>
      </c>
    </row>
    <row r="10">
      <c r="M10" s="52"/>
      <c r="N10" s="52"/>
      <c r="O10" s="52"/>
      <c r="P10" s="52"/>
      <c r="Q10" s="52"/>
      <c r="U10" s="52"/>
    </row>
    <row r="11">
      <c r="M11" s="52"/>
      <c r="N11" s="52"/>
      <c r="O11" s="52"/>
      <c r="P11" s="52"/>
      <c r="Q11" s="52"/>
      <c r="U11" s="52"/>
    </row>
    <row r="12">
      <c r="M12" s="52"/>
      <c r="N12" s="52"/>
      <c r="O12" s="52"/>
      <c r="P12" s="52"/>
      <c r="Q12" s="52"/>
      <c r="U12" s="52"/>
    </row>
    <row r="13">
      <c r="M13" s="52"/>
      <c r="N13" s="52"/>
      <c r="O13" s="52"/>
      <c r="P13" s="52"/>
      <c r="Q13" s="52"/>
      <c r="U13" s="52"/>
    </row>
    <row r="14">
      <c r="M14" s="52"/>
      <c r="N14" s="52"/>
      <c r="O14" s="52"/>
      <c r="P14" s="52"/>
      <c r="Q14" s="52"/>
      <c r="U14" s="52"/>
    </row>
    <row r="15">
      <c r="M15" s="52"/>
      <c r="N15" s="52"/>
      <c r="O15" s="52"/>
      <c r="P15" s="52"/>
      <c r="Q15" s="52"/>
      <c r="U15" s="52"/>
    </row>
    <row r="16">
      <c r="M16" s="52"/>
      <c r="N16" s="52"/>
      <c r="O16" s="52"/>
      <c r="P16" s="52"/>
      <c r="Q16" s="52"/>
      <c r="U16" s="52"/>
    </row>
    <row r="17">
      <c r="M17" s="52"/>
      <c r="N17" s="52"/>
      <c r="O17" s="52"/>
      <c r="P17" s="52"/>
      <c r="Q17" s="52"/>
      <c r="U17" s="52"/>
    </row>
    <row r="18">
      <c r="M18" s="52"/>
      <c r="N18" s="52"/>
      <c r="O18" s="52"/>
      <c r="P18" s="52"/>
      <c r="Q18" s="52"/>
      <c r="U18" s="52"/>
    </row>
    <row r="19">
      <c r="M19" s="52"/>
      <c r="N19" s="52"/>
      <c r="O19" s="52"/>
      <c r="P19" s="52"/>
      <c r="Q19" s="52"/>
      <c r="U19" s="52"/>
    </row>
    <row r="20">
      <c r="M20" s="52"/>
      <c r="N20" s="52"/>
      <c r="O20" s="52"/>
      <c r="P20" s="52"/>
      <c r="Q20" s="52"/>
      <c r="U20" s="52"/>
    </row>
    <row r="21">
      <c r="M21" s="52"/>
      <c r="N21" s="52"/>
      <c r="O21" s="52"/>
      <c r="P21" s="52"/>
      <c r="Q21" s="52"/>
      <c r="U21" s="52"/>
    </row>
    <row r="22">
      <c r="M22" s="52"/>
      <c r="N22" s="52"/>
      <c r="O22" s="52"/>
      <c r="P22" s="52"/>
      <c r="Q22" s="52"/>
      <c r="U22" s="52"/>
    </row>
    <row r="23">
      <c r="M23" s="52"/>
      <c r="N23" s="52"/>
      <c r="O23" s="52"/>
      <c r="P23" s="52"/>
      <c r="Q23" s="52"/>
      <c r="U23" s="52"/>
    </row>
    <row r="24">
      <c r="M24" s="52"/>
      <c r="N24" s="52"/>
      <c r="O24" s="52"/>
      <c r="P24" s="52"/>
      <c r="Q24" s="52"/>
      <c r="U24" s="52"/>
    </row>
    <row r="25">
      <c r="M25" s="52"/>
      <c r="N25" s="52"/>
      <c r="O25" s="52"/>
      <c r="P25" s="52"/>
      <c r="Q25" s="52"/>
      <c r="U25" s="52"/>
    </row>
    <row r="26">
      <c r="M26" s="52"/>
      <c r="N26" s="52"/>
      <c r="O26" s="52"/>
      <c r="P26" s="52"/>
      <c r="Q26" s="52"/>
      <c r="U26" s="52"/>
    </row>
    <row r="27">
      <c r="M27" s="52"/>
      <c r="N27" s="52"/>
      <c r="O27" s="52"/>
      <c r="P27" s="52"/>
      <c r="Q27" s="52"/>
      <c r="U27" s="52"/>
    </row>
    <row r="28">
      <c r="M28" s="52"/>
      <c r="N28" s="52"/>
      <c r="O28" s="52"/>
      <c r="P28" s="52"/>
      <c r="Q28" s="52"/>
      <c r="U28" s="52"/>
    </row>
    <row r="29">
      <c r="M29" s="52"/>
      <c r="N29" s="52"/>
      <c r="O29" s="52"/>
      <c r="P29" s="52"/>
      <c r="Q29" s="52"/>
      <c r="U29" s="52"/>
    </row>
    <row r="30">
      <c r="M30" s="52"/>
      <c r="N30" s="52"/>
      <c r="O30" s="52"/>
      <c r="P30" s="52"/>
      <c r="Q30" s="52"/>
      <c r="U30" s="52"/>
    </row>
    <row r="31">
      <c r="M31" s="52"/>
      <c r="N31" s="52"/>
      <c r="O31" s="52"/>
      <c r="P31" s="52"/>
      <c r="Q31" s="52"/>
      <c r="U31" s="52"/>
    </row>
    <row r="32">
      <c r="M32" s="52"/>
      <c r="N32" s="52"/>
      <c r="O32" s="52"/>
      <c r="P32" s="52"/>
      <c r="Q32" s="52"/>
      <c r="U32" s="52"/>
    </row>
    <row r="33">
      <c r="M33" s="52"/>
      <c r="N33" s="52"/>
      <c r="O33" s="52"/>
      <c r="P33" s="52"/>
      <c r="Q33" s="52"/>
      <c r="U33" s="52"/>
    </row>
    <row r="34">
      <c r="M34" s="52"/>
      <c r="N34" s="52"/>
      <c r="O34" s="52"/>
      <c r="P34" s="52"/>
      <c r="Q34" s="52"/>
      <c r="U34" s="52"/>
    </row>
    <row r="35">
      <c r="M35" s="52"/>
      <c r="N35" s="52"/>
      <c r="O35" s="52"/>
      <c r="P35" s="52"/>
      <c r="Q35" s="52"/>
      <c r="U35" s="52"/>
    </row>
    <row r="36">
      <c r="M36" s="52"/>
      <c r="N36" s="52"/>
      <c r="O36" s="52"/>
      <c r="P36" s="52"/>
      <c r="Q36" s="52"/>
      <c r="U36" s="52"/>
    </row>
    <row r="37">
      <c r="M37" s="52"/>
      <c r="N37" s="52"/>
      <c r="O37" s="52"/>
      <c r="P37" s="52"/>
      <c r="Q37" s="52"/>
      <c r="U37" s="52"/>
    </row>
    <row r="38">
      <c r="M38" s="52"/>
      <c r="N38" s="52"/>
      <c r="O38" s="52"/>
      <c r="P38" s="52"/>
      <c r="Q38" s="52"/>
      <c r="U38" s="52"/>
    </row>
    <row r="39">
      <c r="M39" s="52"/>
      <c r="N39" s="52"/>
      <c r="O39" s="52"/>
      <c r="P39" s="52"/>
      <c r="Q39" s="52"/>
      <c r="U39" s="52"/>
    </row>
    <row r="40">
      <c r="M40" s="52"/>
      <c r="N40" s="52"/>
      <c r="O40" s="52"/>
      <c r="P40" s="52"/>
      <c r="Q40" s="52"/>
      <c r="U40" s="52"/>
    </row>
    <row r="41">
      <c r="M41" s="52"/>
      <c r="N41" s="52"/>
      <c r="O41" s="52"/>
      <c r="P41" s="52"/>
      <c r="Q41" s="52"/>
      <c r="U41" s="52"/>
    </row>
    <row r="42">
      <c r="M42" s="52"/>
      <c r="N42" s="52"/>
      <c r="O42" s="52"/>
      <c r="P42" s="52"/>
      <c r="Q42" s="52"/>
      <c r="U42" s="52"/>
    </row>
    <row r="43">
      <c r="M43" s="52"/>
      <c r="N43" s="52"/>
      <c r="O43" s="52"/>
      <c r="P43" s="52"/>
      <c r="Q43" s="52"/>
      <c r="U43" s="52"/>
    </row>
    <row r="44">
      <c r="M44" s="52"/>
      <c r="N44" s="52"/>
      <c r="O44" s="52"/>
      <c r="P44" s="52"/>
      <c r="Q44" s="52"/>
      <c r="U44" s="52"/>
    </row>
    <row r="45">
      <c r="M45" s="52"/>
      <c r="N45" s="52"/>
      <c r="O45" s="52"/>
      <c r="P45" s="52"/>
      <c r="Q45" s="52"/>
      <c r="U45" s="52"/>
    </row>
    <row r="46">
      <c r="M46" s="52"/>
      <c r="N46" s="52"/>
      <c r="O46" s="52"/>
      <c r="P46" s="52"/>
      <c r="Q46" s="52"/>
      <c r="U46" s="52"/>
    </row>
    <row r="47">
      <c r="M47" s="52"/>
      <c r="N47" s="52"/>
      <c r="O47" s="52"/>
      <c r="P47" s="52"/>
      <c r="Q47" s="52"/>
      <c r="U47" s="52"/>
    </row>
    <row r="48">
      <c r="M48" s="52"/>
      <c r="N48" s="52"/>
      <c r="O48" s="52"/>
      <c r="P48" s="52"/>
      <c r="Q48" s="52"/>
      <c r="U48" s="52"/>
    </row>
    <row r="49">
      <c r="M49" s="52"/>
      <c r="N49" s="52"/>
      <c r="O49" s="52"/>
      <c r="P49" s="52"/>
      <c r="Q49" s="52"/>
      <c r="U49" s="52"/>
    </row>
    <row r="50">
      <c r="M50" s="52"/>
      <c r="N50" s="52"/>
      <c r="O50" s="52"/>
      <c r="P50" s="52"/>
      <c r="Q50" s="52"/>
      <c r="U50" s="52"/>
    </row>
    <row r="51">
      <c r="M51" s="52"/>
      <c r="N51" s="52"/>
      <c r="O51" s="52"/>
      <c r="P51" s="52"/>
      <c r="Q51" s="52"/>
      <c r="U51" s="52"/>
    </row>
    <row r="52">
      <c r="M52" s="52"/>
      <c r="N52" s="52"/>
      <c r="O52" s="52"/>
      <c r="P52" s="52"/>
      <c r="Q52" s="52"/>
      <c r="U52" s="52"/>
    </row>
    <row r="53">
      <c r="M53" s="52"/>
      <c r="N53" s="52"/>
      <c r="O53" s="52"/>
      <c r="P53" s="52"/>
      <c r="Q53" s="52"/>
      <c r="U53" s="52"/>
    </row>
    <row r="54">
      <c r="M54" s="52"/>
      <c r="N54" s="52"/>
      <c r="O54" s="52"/>
      <c r="P54" s="52"/>
      <c r="Q54" s="52"/>
      <c r="U54" s="52"/>
    </row>
    <row r="55">
      <c r="M55" s="52"/>
      <c r="N55" s="52"/>
      <c r="O55" s="52"/>
      <c r="P55" s="52"/>
      <c r="Q55" s="52"/>
      <c r="U55" s="52"/>
    </row>
    <row r="56">
      <c r="M56" s="52"/>
      <c r="N56" s="52"/>
      <c r="O56" s="52"/>
      <c r="P56" s="52"/>
      <c r="Q56" s="52"/>
      <c r="U56" s="52"/>
    </row>
    <row r="57">
      <c r="M57" s="52"/>
      <c r="N57" s="52"/>
      <c r="O57" s="52"/>
      <c r="P57" s="52"/>
      <c r="Q57" s="52"/>
      <c r="U57" s="52"/>
    </row>
    <row r="58">
      <c r="M58" s="52"/>
      <c r="N58" s="52"/>
      <c r="O58" s="52"/>
      <c r="P58" s="52"/>
      <c r="Q58" s="52"/>
      <c r="U58" s="52"/>
    </row>
    <row r="59">
      <c r="M59" s="52"/>
      <c r="N59" s="52"/>
      <c r="O59" s="52"/>
      <c r="P59" s="52"/>
      <c r="Q59" s="52"/>
      <c r="U59" s="52"/>
    </row>
    <row r="60">
      <c r="M60" s="52"/>
      <c r="N60" s="52"/>
      <c r="O60" s="52"/>
      <c r="P60" s="52"/>
      <c r="Q60" s="52"/>
      <c r="U60" s="52"/>
    </row>
    <row r="61">
      <c r="M61" s="52"/>
      <c r="N61" s="52"/>
      <c r="O61" s="52"/>
      <c r="P61" s="52"/>
      <c r="Q61" s="52"/>
      <c r="U61" s="52"/>
    </row>
    <row r="62">
      <c r="M62" s="52"/>
      <c r="N62" s="52"/>
      <c r="O62" s="52"/>
      <c r="P62" s="52"/>
      <c r="Q62" s="52"/>
      <c r="U62" s="52"/>
    </row>
    <row r="63">
      <c r="M63" s="52"/>
      <c r="N63" s="52"/>
      <c r="O63" s="52"/>
      <c r="P63" s="52"/>
      <c r="Q63" s="52"/>
      <c r="U63" s="52"/>
    </row>
    <row r="64">
      <c r="M64" s="52"/>
      <c r="N64" s="52"/>
      <c r="O64" s="52"/>
      <c r="P64" s="52"/>
      <c r="Q64" s="52"/>
      <c r="U64" s="52"/>
    </row>
    <row r="65">
      <c r="M65" s="52"/>
      <c r="N65" s="52"/>
      <c r="O65" s="52"/>
      <c r="P65" s="52"/>
      <c r="Q65" s="52"/>
      <c r="U65" s="52"/>
    </row>
    <row r="66">
      <c r="M66" s="52"/>
      <c r="N66" s="52"/>
      <c r="O66" s="52"/>
      <c r="P66" s="52"/>
      <c r="Q66" s="52"/>
      <c r="U66" s="52"/>
    </row>
    <row r="67">
      <c r="M67" s="52"/>
      <c r="N67" s="52"/>
      <c r="O67" s="52"/>
      <c r="P67" s="52"/>
      <c r="Q67" s="52"/>
      <c r="U67" s="52"/>
    </row>
    <row r="68">
      <c r="M68" s="52"/>
      <c r="N68" s="52"/>
      <c r="O68" s="52"/>
      <c r="P68" s="52"/>
      <c r="Q68" s="52"/>
      <c r="U68" s="52"/>
    </row>
    <row r="69">
      <c r="M69" s="52"/>
      <c r="N69" s="52"/>
      <c r="O69" s="52"/>
      <c r="P69" s="52"/>
      <c r="Q69" s="52"/>
      <c r="U69" s="52"/>
    </row>
    <row r="70">
      <c r="M70" s="52"/>
      <c r="N70" s="52"/>
      <c r="O70" s="52"/>
      <c r="P70" s="52"/>
      <c r="Q70" s="52"/>
      <c r="U70" s="52"/>
    </row>
    <row r="71">
      <c r="M71" s="52"/>
      <c r="N71" s="52"/>
      <c r="O71" s="52"/>
      <c r="P71" s="52"/>
      <c r="Q71" s="52"/>
      <c r="U71" s="52"/>
    </row>
    <row r="72">
      <c r="M72" s="52"/>
      <c r="N72" s="52"/>
      <c r="O72" s="52"/>
      <c r="P72" s="52"/>
      <c r="Q72" s="52"/>
      <c r="U72" s="52"/>
    </row>
    <row r="73">
      <c r="M73" s="52"/>
      <c r="N73" s="52"/>
      <c r="O73" s="52"/>
      <c r="P73" s="52"/>
      <c r="Q73" s="52"/>
      <c r="U73" s="52"/>
    </row>
    <row r="74">
      <c r="M74" s="52"/>
      <c r="N74" s="52"/>
      <c r="O74" s="52"/>
      <c r="P74" s="52"/>
      <c r="Q74" s="52"/>
      <c r="U74" s="52"/>
    </row>
    <row r="75">
      <c r="M75" s="52"/>
      <c r="N75" s="52"/>
      <c r="O75" s="52"/>
      <c r="P75" s="52"/>
      <c r="Q75" s="52"/>
      <c r="U75" s="52"/>
    </row>
    <row r="76">
      <c r="M76" s="52"/>
      <c r="N76" s="52"/>
      <c r="O76" s="52"/>
      <c r="P76" s="52"/>
      <c r="Q76" s="52"/>
      <c r="U76" s="52"/>
    </row>
    <row r="77">
      <c r="M77" s="52"/>
      <c r="N77" s="52"/>
      <c r="O77" s="52"/>
      <c r="P77" s="52"/>
      <c r="Q77" s="52"/>
      <c r="U77" s="52"/>
    </row>
    <row r="78">
      <c r="M78" s="52"/>
      <c r="N78" s="52"/>
      <c r="O78" s="52"/>
      <c r="P78" s="52"/>
      <c r="Q78" s="52"/>
      <c r="U78" s="52"/>
    </row>
    <row r="79">
      <c r="M79" s="52"/>
      <c r="N79" s="52"/>
      <c r="O79" s="52"/>
      <c r="P79" s="52"/>
      <c r="Q79" s="52"/>
      <c r="U79" s="52"/>
    </row>
    <row r="80">
      <c r="M80" s="52"/>
      <c r="N80" s="52"/>
      <c r="O80" s="52"/>
      <c r="P80" s="52"/>
      <c r="Q80" s="52"/>
      <c r="U80" s="52"/>
    </row>
    <row r="81">
      <c r="M81" s="52"/>
      <c r="N81" s="52"/>
      <c r="O81" s="52"/>
      <c r="P81" s="52"/>
      <c r="Q81" s="52"/>
      <c r="U81" s="52"/>
    </row>
    <row r="82">
      <c r="M82" s="52"/>
      <c r="N82" s="52"/>
      <c r="O82" s="52"/>
      <c r="P82" s="52"/>
      <c r="Q82" s="52"/>
      <c r="U82" s="52"/>
    </row>
    <row r="83">
      <c r="M83" s="52"/>
      <c r="N83" s="52"/>
      <c r="O83" s="52"/>
      <c r="P83" s="52"/>
      <c r="Q83" s="52"/>
      <c r="U83" s="52"/>
    </row>
    <row r="84">
      <c r="M84" s="52"/>
      <c r="N84" s="52"/>
      <c r="O84" s="52"/>
      <c r="P84" s="52"/>
      <c r="Q84" s="52"/>
      <c r="U84" s="52"/>
    </row>
    <row r="85">
      <c r="M85" s="52"/>
      <c r="N85" s="52"/>
      <c r="O85" s="52"/>
      <c r="P85" s="52"/>
      <c r="Q85" s="52"/>
      <c r="U85" s="52"/>
    </row>
    <row r="86">
      <c r="M86" s="52"/>
      <c r="N86" s="52"/>
      <c r="O86" s="52"/>
      <c r="P86" s="52"/>
      <c r="Q86" s="52"/>
      <c r="U86" s="52"/>
    </row>
    <row r="87">
      <c r="M87" s="52"/>
      <c r="N87" s="52"/>
      <c r="O87" s="52"/>
      <c r="P87" s="52"/>
      <c r="Q87" s="52"/>
      <c r="U87" s="52"/>
    </row>
    <row r="88">
      <c r="M88" s="52"/>
      <c r="N88" s="52"/>
      <c r="O88" s="52"/>
      <c r="P88" s="52"/>
      <c r="Q88" s="52"/>
      <c r="U88" s="52"/>
    </row>
    <row r="89">
      <c r="M89" s="52"/>
      <c r="N89" s="52"/>
      <c r="O89" s="52"/>
      <c r="P89" s="52"/>
      <c r="Q89" s="52"/>
      <c r="U89" s="52"/>
    </row>
    <row r="90">
      <c r="M90" s="52"/>
      <c r="N90" s="52"/>
      <c r="O90" s="52"/>
      <c r="P90" s="52"/>
      <c r="Q90" s="52"/>
      <c r="U90" s="52"/>
    </row>
    <row r="91">
      <c r="M91" s="52"/>
      <c r="N91" s="52"/>
      <c r="O91" s="52"/>
      <c r="P91" s="52"/>
      <c r="Q91" s="52"/>
      <c r="U91" s="52"/>
    </row>
    <row r="92">
      <c r="M92" s="52"/>
      <c r="N92" s="52"/>
      <c r="O92" s="52"/>
      <c r="P92" s="52"/>
      <c r="Q92" s="52"/>
      <c r="U92" s="52"/>
    </row>
    <row r="93">
      <c r="M93" s="52"/>
      <c r="N93" s="52"/>
      <c r="O93" s="52"/>
      <c r="P93" s="52"/>
      <c r="Q93" s="52"/>
      <c r="U93" s="52"/>
    </row>
    <row r="94">
      <c r="M94" s="52"/>
      <c r="N94" s="52"/>
      <c r="O94" s="52"/>
      <c r="P94" s="52"/>
      <c r="Q94" s="52"/>
      <c r="U94" s="52"/>
    </row>
    <row r="95">
      <c r="M95" s="52"/>
      <c r="N95" s="52"/>
      <c r="O95" s="52"/>
      <c r="P95" s="52"/>
      <c r="Q95" s="52"/>
      <c r="U95" s="52"/>
    </row>
    <row r="96">
      <c r="M96" s="52"/>
      <c r="N96" s="52"/>
      <c r="O96" s="52"/>
      <c r="P96" s="52"/>
      <c r="Q96" s="52"/>
      <c r="U96" s="52"/>
    </row>
    <row r="97">
      <c r="M97" s="52"/>
      <c r="N97" s="52"/>
      <c r="O97" s="52"/>
      <c r="P97" s="52"/>
      <c r="Q97" s="52"/>
      <c r="U97" s="52"/>
    </row>
    <row r="98">
      <c r="M98" s="52"/>
      <c r="N98" s="52"/>
      <c r="O98" s="52"/>
      <c r="P98" s="52"/>
      <c r="Q98" s="52"/>
      <c r="U98" s="52"/>
    </row>
    <row r="99">
      <c r="M99" s="52"/>
      <c r="N99" s="52"/>
      <c r="O99" s="52"/>
      <c r="P99" s="52"/>
      <c r="Q99" s="52"/>
      <c r="U99" s="52"/>
    </row>
    <row r="100">
      <c r="M100" s="52"/>
      <c r="N100" s="52"/>
      <c r="O100" s="52"/>
      <c r="P100" s="52"/>
      <c r="Q100" s="52"/>
      <c r="U100" s="52"/>
    </row>
    <row r="101">
      <c r="M101" s="52"/>
      <c r="N101" s="52"/>
      <c r="O101" s="52"/>
      <c r="P101" s="52"/>
      <c r="Q101" s="52"/>
      <c r="U101" s="52"/>
    </row>
    <row r="102">
      <c r="M102" s="52"/>
      <c r="N102" s="52"/>
      <c r="O102" s="52"/>
      <c r="P102" s="52"/>
      <c r="Q102" s="52"/>
      <c r="U102" s="52"/>
    </row>
    <row r="103">
      <c r="M103" s="52"/>
      <c r="N103" s="52"/>
      <c r="O103" s="52"/>
      <c r="P103" s="52"/>
      <c r="Q103" s="52"/>
      <c r="U103" s="52"/>
    </row>
    <row r="104">
      <c r="M104" s="52"/>
      <c r="N104" s="52"/>
      <c r="O104" s="52"/>
      <c r="P104" s="52"/>
      <c r="Q104" s="52"/>
      <c r="U104" s="52"/>
    </row>
    <row r="105">
      <c r="M105" s="52"/>
      <c r="N105" s="52"/>
      <c r="O105" s="52"/>
      <c r="P105" s="52"/>
      <c r="Q105" s="52"/>
      <c r="U105" s="52"/>
    </row>
    <row r="106">
      <c r="M106" s="52"/>
      <c r="N106" s="52"/>
      <c r="O106" s="52"/>
      <c r="P106" s="52"/>
      <c r="Q106" s="52"/>
      <c r="U106" s="52"/>
    </row>
    <row r="107">
      <c r="M107" s="52"/>
      <c r="N107" s="52"/>
      <c r="O107" s="52"/>
      <c r="P107" s="52"/>
      <c r="Q107" s="52"/>
      <c r="U107" s="52"/>
    </row>
    <row r="108">
      <c r="M108" s="52"/>
      <c r="N108" s="52"/>
      <c r="O108" s="52"/>
      <c r="P108" s="52"/>
      <c r="Q108" s="52"/>
      <c r="U108" s="52"/>
    </row>
    <row r="109">
      <c r="M109" s="52"/>
      <c r="N109" s="52"/>
      <c r="O109" s="52"/>
      <c r="P109" s="52"/>
      <c r="Q109" s="52"/>
      <c r="U109" s="52"/>
    </row>
    <row r="110">
      <c r="M110" s="52"/>
      <c r="N110" s="52"/>
      <c r="O110" s="52"/>
      <c r="P110" s="52"/>
      <c r="Q110" s="52"/>
      <c r="U110" s="52"/>
    </row>
    <row r="111">
      <c r="M111" s="52"/>
      <c r="N111" s="52"/>
      <c r="O111" s="52"/>
      <c r="P111" s="52"/>
      <c r="Q111" s="52"/>
      <c r="U111" s="52"/>
    </row>
    <row r="112">
      <c r="M112" s="52"/>
      <c r="N112" s="52"/>
      <c r="O112" s="52"/>
      <c r="P112" s="52"/>
      <c r="Q112" s="52"/>
      <c r="U112" s="52"/>
    </row>
    <row r="113">
      <c r="M113" s="52"/>
      <c r="N113" s="52"/>
      <c r="O113" s="52"/>
      <c r="P113" s="52"/>
      <c r="Q113" s="52"/>
      <c r="U113" s="52"/>
    </row>
    <row r="114">
      <c r="M114" s="52"/>
      <c r="N114" s="52"/>
      <c r="O114" s="52"/>
      <c r="P114" s="52"/>
      <c r="Q114" s="52"/>
      <c r="U114" s="52"/>
    </row>
    <row r="115">
      <c r="M115" s="52"/>
      <c r="N115" s="52"/>
      <c r="O115" s="52"/>
      <c r="P115" s="52"/>
      <c r="Q115" s="52"/>
      <c r="U115" s="52"/>
    </row>
    <row r="116">
      <c r="M116" s="52"/>
      <c r="N116" s="52"/>
      <c r="O116" s="52"/>
      <c r="P116" s="52"/>
      <c r="Q116" s="52"/>
      <c r="U116" s="52"/>
    </row>
    <row r="117">
      <c r="M117" s="52"/>
      <c r="N117" s="52"/>
      <c r="O117" s="52"/>
      <c r="P117" s="52"/>
      <c r="Q117" s="52"/>
      <c r="U117" s="52"/>
    </row>
    <row r="118">
      <c r="M118" s="52"/>
      <c r="N118" s="52"/>
      <c r="O118" s="52"/>
      <c r="P118" s="52"/>
      <c r="Q118" s="52"/>
      <c r="U118" s="52"/>
    </row>
    <row r="119">
      <c r="M119" s="52"/>
      <c r="N119" s="52"/>
      <c r="O119" s="52"/>
      <c r="P119" s="52"/>
      <c r="Q119" s="52"/>
      <c r="U119" s="52"/>
    </row>
    <row r="120">
      <c r="M120" s="52"/>
      <c r="N120" s="52"/>
      <c r="O120" s="52"/>
      <c r="P120" s="52"/>
      <c r="Q120" s="52"/>
      <c r="U120" s="52"/>
    </row>
    <row r="121">
      <c r="M121" s="52"/>
      <c r="N121" s="52"/>
      <c r="O121" s="52"/>
      <c r="P121" s="52"/>
      <c r="Q121" s="52"/>
      <c r="U121" s="52"/>
    </row>
    <row r="122">
      <c r="M122" s="52"/>
      <c r="N122" s="52"/>
      <c r="O122" s="52"/>
      <c r="P122" s="52"/>
      <c r="Q122" s="52"/>
      <c r="U122" s="52"/>
    </row>
    <row r="123">
      <c r="M123" s="52"/>
      <c r="N123" s="52"/>
      <c r="O123" s="52"/>
      <c r="P123" s="52"/>
      <c r="Q123" s="52"/>
      <c r="U123" s="52"/>
    </row>
    <row r="124">
      <c r="M124" s="52"/>
      <c r="N124" s="52"/>
      <c r="O124" s="52"/>
      <c r="P124" s="52"/>
      <c r="Q124" s="52"/>
      <c r="U124" s="52"/>
    </row>
    <row r="125">
      <c r="M125" s="52"/>
      <c r="N125" s="52"/>
      <c r="O125" s="52"/>
      <c r="P125" s="52"/>
      <c r="Q125" s="52"/>
      <c r="U125" s="52"/>
    </row>
    <row r="126">
      <c r="M126" s="52"/>
      <c r="N126" s="52"/>
      <c r="O126" s="52"/>
      <c r="P126" s="52"/>
      <c r="Q126" s="52"/>
      <c r="U126" s="52"/>
    </row>
    <row r="127">
      <c r="M127" s="52"/>
      <c r="N127" s="52"/>
      <c r="O127" s="52"/>
      <c r="P127" s="52"/>
      <c r="Q127" s="52"/>
      <c r="U127" s="52"/>
    </row>
    <row r="128">
      <c r="M128" s="52"/>
      <c r="N128" s="52"/>
      <c r="O128" s="52"/>
      <c r="P128" s="52"/>
      <c r="Q128" s="52"/>
      <c r="U128" s="52"/>
    </row>
    <row r="129">
      <c r="M129" s="52"/>
      <c r="N129" s="52"/>
      <c r="O129" s="52"/>
      <c r="P129" s="52"/>
      <c r="Q129" s="52"/>
      <c r="U129" s="52"/>
    </row>
    <row r="130">
      <c r="M130" s="52"/>
      <c r="N130" s="52"/>
      <c r="O130" s="52"/>
      <c r="P130" s="52"/>
      <c r="Q130" s="52"/>
      <c r="U130" s="52"/>
    </row>
    <row r="131">
      <c r="M131" s="52"/>
      <c r="N131" s="52"/>
      <c r="O131" s="52"/>
      <c r="P131" s="52"/>
      <c r="Q131" s="52"/>
      <c r="U131" s="52"/>
    </row>
    <row r="132">
      <c r="M132" s="52"/>
      <c r="N132" s="52"/>
      <c r="O132" s="52"/>
      <c r="P132" s="52"/>
      <c r="Q132" s="52"/>
      <c r="U132" s="52"/>
    </row>
    <row r="133">
      <c r="M133" s="52"/>
      <c r="N133" s="52"/>
      <c r="O133" s="52"/>
      <c r="P133" s="52"/>
      <c r="Q133" s="52"/>
      <c r="U133" s="52"/>
    </row>
    <row r="134">
      <c r="M134" s="52"/>
      <c r="N134" s="52"/>
      <c r="O134" s="52"/>
      <c r="P134" s="52"/>
      <c r="Q134" s="52"/>
      <c r="U134" s="52"/>
    </row>
    <row r="135">
      <c r="M135" s="52"/>
      <c r="N135" s="52"/>
      <c r="O135" s="52"/>
      <c r="P135" s="52"/>
      <c r="Q135" s="52"/>
      <c r="U135" s="52"/>
    </row>
    <row r="136">
      <c r="M136" s="52"/>
      <c r="N136" s="52"/>
      <c r="O136" s="52"/>
      <c r="P136" s="52"/>
      <c r="Q136" s="52"/>
      <c r="U136" s="52"/>
    </row>
    <row r="137">
      <c r="M137" s="52"/>
      <c r="N137" s="52"/>
      <c r="O137" s="52"/>
      <c r="P137" s="52"/>
      <c r="Q137" s="52"/>
      <c r="U137" s="52"/>
    </row>
    <row r="138">
      <c r="M138" s="52"/>
      <c r="N138" s="52"/>
      <c r="O138" s="52"/>
      <c r="P138" s="52"/>
      <c r="Q138" s="52"/>
      <c r="U138" s="52"/>
    </row>
    <row r="139">
      <c r="M139" s="52"/>
      <c r="N139" s="52"/>
      <c r="O139" s="52"/>
      <c r="P139" s="52"/>
      <c r="Q139" s="52"/>
      <c r="U139" s="52"/>
    </row>
    <row r="140">
      <c r="M140" s="52"/>
      <c r="N140" s="52"/>
      <c r="O140" s="52"/>
      <c r="P140" s="52"/>
      <c r="Q140" s="52"/>
      <c r="U140" s="52"/>
    </row>
    <row r="141">
      <c r="M141" s="52"/>
      <c r="N141" s="52"/>
      <c r="O141" s="52"/>
      <c r="P141" s="52"/>
      <c r="Q141" s="52"/>
      <c r="U141" s="52"/>
    </row>
    <row r="142">
      <c r="M142" s="52"/>
      <c r="N142" s="52"/>
      <c r="O142" s="52"/>
      <c r="P142" s="52"/>
      <c r="Q142" s="52"/>
      <c r="U142" s="52"/>
    </row>
    <row r="143">
      <c r="M143" s="52"/>
      <c r="N143" s="52"/>
      <c r="O143" s="52"/>
      <c r="P143" s="52"/>
      <c r="Q143" s="52"/>
      <c r="U143" s="52"/>
    </row>
    <row r="144">
      <c r="M144" s="52"/>
      <c r="N144" s="52"/>
      <c r="O144" s="52"/>
      <c r="P144" s="52"/>
      <c r="Q144" s="52"/>
      <c r="U144" s="52"/>
    </row>
    <row r="145">
      <c r="M145" s="52"/>
      <c r="N145" s="52"/>
      <c r="O145" s="52"/>
      <c r="P145" s="52"/>
      <c r="Q145" s="52"/>
      <c r="U145" s="52"/>
    </row>
    <row r="146">
      <c r="M146" s="52"/>
      <c r="N146" s="52"/>
      <c r="O146" s="52"/>
      <c r="P146" s="52"/>
      <c r="Q146" s="52"/>
      <c r="U146" s="52"/>
    </row>
    <row r="147">
      <c r="M147" s="52"/>
      <c r="N147" s="52"/>
      <c r="O147" s="52"/>
      <c r="P147" s="52"/>
      <c r="Q147" s="52"/>
      <c r="U147" s="52"/>
    </row>
    <row r="148">
      <c r="M148" s="52"/>
      <c r="N148" s="52"/>
      <c r="O148" s="52"/>
      <c r="P148" s="52"/>
      <c r="Q148" s="52"/>
      <c r="U148" s="52"/>
    </row>
    <row r="149">
      <c r="M149" s="52"/>
      <c r="N149" s="52"/>
      <c r="O149" s="52"/>
      <c r="P149" s="52"/>
      <c r="Q149" s="52"/>
      <c r="U149" s="52"/>
    </row>
    <row r="150">
      <c r="M150" s="52"/>
      <c r="N150" s="52"/>
      <c r="O150" s="52"/>
      <c r="P150" s="52"/>
      <c r="Q150" s="52"/>
      <c r="U150" s="52"/>
    </row>
    <row r="151">
      <c r="M151" s="52"/>
      <c r="N151" s="52"/>
      <c r="O151" s="52"/>
      <c r="P151" s="52"/>
      <c r="Q151" s="52"/>
      <c r="U151" s="52"/>
    </row>
    <row r="152">
      <c r="M152" s="52"/>
      <c r="N152" s="52"/>
      <c r="O152" s="52"/>
      <c r="P152" s="52"/>
      <c r="Q152" s="52"/>
      <c r="U152" s="52"/>
    </row>
    <row r="153">
      <c r="M153" s="52"/>
      <c r="N153" s="52"/>
      <c r="O153" s="52"/>
      <c r="P153" s="52"/>
      <c r="Q153" s="52"/>
      <c r="U153" s="52"/>
    </row>
    <row r="154">
      <c r="M154" s="52"/>
      <c r="N154" s="52"/>
      <c r="O154" s="52"/>
      <c r="P154" s="52"/>
      <c r="Q154" s="52"/>
      <c r="U154" s="52"/>
    </row>
    <row r="155">
      <c r="M155" s="52"/>
      <c r="N155" s="52"/>
      <c r="O155" s="52"/>
      <c r="P155" s="52"/>
      <c r="Q155" s="52"/>
      <c r="U155" s="52"/>
    </row>
    <row r="156">
      <c r="M156" s="52"/>
      <c r="N156" s="52"/>
      <c r="O156" s="52"/>
      <c r="P156" s="52"/>
      <c r="Q156" s="52"/>
      <c r="U156" s="52"/>
    </row>
    <row r="157">
      <c r="M157" s="52"/>
      <c r="N157" s="52"/>
      <c r="O157" s="52"/>
      <c r="P157" s="52"/>
      <c r="Q157" s="52"/>
      <c r="U157" s="52"/>
    </row>
    <row r="158">
      <c r="M158" s="52"/>
      <c r="N158" s="52"/>
      <c r="O158" s="52"/>
      <c r="P158" s="52"/>
      <c r="Q158" s="52"/>
      <c r="U158" s="52"/>
    </row>
    <row r="159">
      <c r="M159" s="52"/>
      <c r="N159" s="52"/>
      <c r="O159" s="52"/>
      <c r="P159" s="52"/>
      <c r="Q159" s="52"/>
      <c r="U159" s="52"/>
    </row>
    <row r="160">
      <c r="M160" s="52"/>
      <c r="N160" s="52"/>
      <c r="O160" s="52"/>
      <c r="P160" s="52"/>
      <c r="Q160" s="52"/>
      <c r="U160" s="52"/>
    </row>
    <row r="161">
      <c r="M161" s="52"/>
      <c r="N161" s="52"/>
      <c r="O161" s="52"/>
      <c r="P161" s="52"/>
      <c r="Q161" s="52"/>
      <c r="U161" s="52"/>
    </row>
    <row r="162">
      <c r="M162" s="52"/>
      <c r="N162" s="52"/>
      <c r="O162" s="52"/>
      <c r="P162" s="52"/>
      <c r="Q162" s="52"/>
      <c r="U162" s="52"/>
    </row>
    <row r="163">
      <c r="M163" s="52"/>
      <c r="N163" s="52"/>
      <c r="O163" s="52"/>
      <c r="P163" s="52"/>
      <c r="Q163" s="52"/>
      <c r="U163" s="52"/>
    </row>
    <row r="164">
      <c r="M164" s="52"/>
      <c r="N164" s="52"/>
      <c r="O164" s="52"/>
      <c r="P164" s="52"/>
      <c r="Q164" s="52"/>
      <c r="U164" s="52"/>
    </row>
    <row r="165">
      <c r="M165" s="52"/>
      <c r="N165" s="52"/>
      <c r="O165" s="52"/>
      <c r="P165" s="52"/>
      <c r="Q165" s="52"/>
      <c r="U165" s="52"/>
    </row>
    <row r="166">
      <c r="M166" s="52"/>
      <c r="N166" s="52"/>
      <c r="O166" s="52"/>
      <c r="P166" s="52"/>
      <c r="Q166" s="52"/>
      <c r="U166" s="52"/>
    </row>
    <row r="167">
      <c r="M167" s="52"/>
      <c r="N167" s="52"/>
      <c r="O167" s="52"/>
      <c r="P167" s="52"/>
      <c r="Q167" s="52"/>
      <c r="U167" s="52"/>
    </row>
    <row r="168">
      <c r="M168" s="52"/>
      <c r="N168" s="52"/>
      <c r="O168" s="52"/>
      <c r="P168" s="52"/>
      <c r="Q168" s="52"/>
      <c r="U168" s="52"/>
    </row>
    <row r="169">
      <c r="M169" s="52"/>
      <c r="N169" s="52"/>
      <c r="O169" s="52"/>
      <c r="P169" s="52"/>
      <c r="Q169" s="52"/>
      <c r="U169" s="52"/>
    </row>
    <row r="170">
      <c r="M170" s="52"/>
      <c r="N170" s="52"/>
      <c r="O170" s="52"/>
      <c r="P170" s="52"/>
      <c r="Q170" s="52"/>
      <c r="U170" s="52"/>
    </row>
    <row r="171">
      <c r="M171" s="52"/>
      <c r="N171" s="52"/>
      <c r="O171" s="52"/>
      <c r="P171" s="52"/>
      <c r="Q171" s="52"/>
      <c r="U171" s="52"/>
    </row>
    <row r="172">
      <c r="M172" s="52"/>
      <c r="N172" s="52"/>
      <c r="O172" s="52"/>
      <c r="P172" s="52"/>
      <c r="Q172" s="52"/>
      <c r="U172" s="52"/>
    </row>
    <row r="173">
      <c r="M173" s="52"/>
      <c r="N173" s="52"/>
      <c r="O173" s="52"/>
      <c r="P173" s="52"/>
      <c r="Q173" s="52"/>
      <c r="U173" s="52"/>
    </row>
    <row r="174">
      <c r="M174" s="52"/>
      <c r="N174" s="52"/>
      <c r="O174" s="52"/>
      <c r="P174" s="52"/>
      <c r="Q174" s="52"/>
      <c r="U174" s="52"/>
    </row>
    <row r="175">
      <c r="M175" s="52"/>
      <c r="N175" s="52"/>
      <c r="O175" s="52"/>
      <c r="P175" s="52"/>
      <c r="Q175" s="52"/>
      <c r="U175" s="52"/>
    </row>
    <row r="176">
      <c r="M176" s="52"/>
      <c r="N176" s="52"/>
      <c r="O176" s="52"/>
      <c r="P176" s="52"/>
      <c r="Q176" s="52"/>
      <c r="U176" s="52"/>
    </row>
    <row r="177">
      <c r="M177" s="52"/>
      <c r="N177" s="52"/>
      <c r="O177" s="52"/>
      <c r="P177" s="52"/>
      <c r="Q177" s="52"/>
      <c r="U177" s="52"/>
    </row>
    <row r="178">
      <c r="M178" s="52"/>
      <c r="N178" s="52"/>
      <c r="O178" s="52"/>
      <c r="P178" s="52"/>
      <c r="Q178" s="52"/>
      <c r="U178" s="52"/>
    </row>
    <row r="179">
      <c r="M179" s="52"/>
      <c r="N179" s="52"/>
      <c r="O179" s="52"/>
      <c r="P179" s="52"/>
      <c r="Q179" s="52"/>
      <c r="U179" s="52"/>
    </row>
    <row r="180">
      <c r="M180" s="52"/>
      <c r="N180" s="52"/>
      <c r="O180" s="52"/>
      <c r="P180" s="52"/>
      <c r="Q180" s="52"/>
      <c r="U180" s="52"/>
    </row>
    <row r="181">
      <c r="M181" s="52"/>
      <c r="N181" s="52"/>
      <c r="O181" s="52"/>
      <c r="P181" s="52"/>
      <c r="Q181" s="52"/>
      <c r="U181" s="52"/>
    </row>
    <row r="182">
      <c r="M182" s="52"/>
      <c r="N182" s="52"/>
      <c r="O182" s="52"/>
      <c r="P182" s="52"/>
      <c r="Q182" s="52"/>
      <c r="U182" s="52"/>
    </row>
    <row r="183">
      <c r="M183" s="52"/>
      <c r="N183" s="52"/>
      <c r="O183" s="52"/>
      <c r="P183" s="52"/>
      <c r="Q183" s="52"/>
      <c r="U183" s="52"/>
    </row>
    <row r="184">
      <c r="M184" s="52"/>
      <c r="N184" s="52"/>
      <c r="O184" s="52"/>
      <c r="P184" s="52"/>
      <c r="Q184" s="52"/>
      <c r="U184" s="52"/>
    </row>
    <row r="185">
      <c r="M185" s="52"/>
      <c r="N185" s="52"/>
      <c r="O185" s="52"/>
      <c r="P185" s="52"/>
      <c r="Q185" s="52"/>
      <c r="U185" s="52"/>
    </row>
    <row r="186">
      <c r="M186" s="52"/>
      <c r="N186" s="52"/>
      <c r="O186" s="52"/>
      <c r="P186" s="52"/>
      <c r="Q186" s="52"/>
      <c r="U186" s="52"/>
    </row>
    <row r="187">
      <c r="M187" s="52"/>
      <c r="N187" s="52"/>
      <c r="O187" s="52"/>
      <c r="P187" s="52"/>
      <c r="Q187" s="52"/>
      <c r="U187" s="52"/>
    </row>
    <row r="188">
      <c r="M188" s="52"/>
      <c r="N188" s="52"/>
      <c r="O188" s="52"/>
      <c r="P188" s="52"/>
      <c r="Q188" s="52"/>
      <c r="U188" s="52"/>
    </row>
    <row r="189">
      <c r="M189" s="52"/>
      <c r="N189" s="52"/>
      <c r="O189" s="52"/>
      <c r="P189" s="52"/>
      <c r="Q189" s="52"/>
      <c r="U189" s="52"/>
    </row>
    <row r="190">
      <c r="M190" s="52"/>
      <c r="N190" s="52"/>
      <c r="O190" s="52"/>
      <c r="P190" s="52"/>
      <c r="Q190" s="52"/>
      <c r="U190" s="52"/>
    </row>
    <row r="191">
      <c r="M191" s="52"/>
      <c r="N191" s="52"/>
      <c r="O191" s="52"/>
      <c r="P191" s="52"/>
      <c r="Q191" s="52"/>
      <c r="U191" s="52"/>
    </row>
    <row r="192">
      <c r="M192" s="52"/>
      <c r="N192" s="52"/>
      <c r="O192" s="52"/>
      <c r="P192" s="52"/>
      <c r="Q192" s="52"/>
      <c r="U192" s="52"/>
    </row>
    <row r="193">
      <c r="M193" s="52"/>
      <c r="N193" s="52"/>
      <c r="O193" s="52"/>
      <c r="P193" s="52"/>
      <c r="Q193" s="52"/>
      <c r="U193" s="52"/>
    </row>
    <row r="194">
      <c r="M194" s="52"/>
      <c r="N194" s="52"/>
      <c r="O194" s="52"/>
      <c r="P194" s="52"/>
      <c r="Q194" s="52"/>
      <c r="U194" s="52"/>
    </row>
    <row r="195">
      <c r="M195" s="52"/>
      <c r="N195" s="52"/>
      <c r="O195" s="52"/>
      <c r="P195" s="52"/>
      <c r="Q195" s="52"/>
      <c r="U195" s="52"/>
    </row>
    <row r="196">
      <c r="M196" s="52"/>
      <c r="N196" s="52"/>
      <c r="O196" s="52"/>
      <c r="P196" s="52"/>
      <c r="Q196" s="52"/>
      <c r="U196" s="52"/>
    </row>
    <row r="197">
      <c r="M197" s="52"/>
      <c r="N197" s="52"/>
      <c r="O197" s="52"/>
      <c r="P197" s="52"/>
      <c r="Q197" s="52"/>
      <c r="U197" s="52"/>
    </row>
    <row r="198">
      <c r="M198" s="52"/>
      <c r="N198" s="52"/>
      <c r="O198" s="52"/>
      <c r="P198" s="52"/>
      <c r="Q198" s="52"/>
      <c r="U198" s="52"/>
    </row>
    <row r="199">
      <c r="M199" s="52"/>
      <c r="N199" s="52"/>
      <c r="O199" s="52"/>
      <c r="P199" s="52"/>
      <c r="Q199" s="52"/>
      <c r="U199" s="52"/>
    </row>
    <row r="200">
      <c r="M200" s="52"/>
      <c r="N200" s="52"/>
      <c r="O200" s="52"/>
      <c r="P200" s="52"/>
      <c r="Q200" s="52"/>
      <c r="U200" s="52"/>
    </row>
    <row r="201">
      <c r="M201" s="52"/>
      <c r="N201" s="52"/>
      <c r="O201" s="52"/>
      <c r="P201" s="52"/>
      <c r="Q201" s="52"/>
      <c r="U201" s="52"/>
    </row>
    <row r="202">
      <c r="M202" s="52"/>
      <c r="N202" s="52"/>
      <c r="O202" s="52"/>
      <c r="P202" s="52"/>
      <c r="Q202" s="52"/>
      <c r="U202" s="52"/>
    </row>
    <row r="203">
      <c r="M203" s="52"/>
      <c r="N203" s="52"/>
      <c r="O203" s="52"/>
      <c r="P203" s="52"/>
      <c r="Q203" s="52"/>
      <c r="U203" s="52"/>
    </row>
    <row r="204">
      <c r="M204" s="52"/>
      <c r="N204" s="52"/>
      <c r="O204" s="52"/>
      <c r="P204" s="52"/>
      <c r="Q204" s="52"/>
      <c r="U204" s="52"/>
    </row>
    <row r="205">
      <c r="M205" s="52"/>
      <c r="N205" s="52"/>
      <c r="O205" s="52"/>
      <c r="P205" s="52"/>
      <c r="Q205" s="52"/>
      <c r="U205" s="52"/>
    </row>
    <row r="206">
      <c r="M206" s="52"/>
      <c r="N206" s="52"/>
      <c r="O206" s="52"/>
      <c r="P206" s="52"/>
      <c r="Q206" s="52"/>
      <c r="U206" s="52"/>
    </row>
    <row r="207">
      <c r="M207" s="52"/>
      <c r="N207" s="52"/>
      <c r="O207" s="52"/>
      <c r="P207" s="52"/>
      <c r="Q207" s="52"/>
      <c r="U207" s="52"/>
    </row>
    <row r="208">
      <c r="M208" s="52"/>
      <c r="N208" s="52"/>
      <c r="O208" s="52"/>
      <c r="P208" s="52"/>
      <c r="Q208" s="52"/>
      <c r="U208" s="52"/>
    </row>
    <row r="209">
      <c r="M209" s="52"/>
      <c r="N209" s="52"/>
      <c r="O209" s="52"/>
      <c r="P209" s="52"/>
      <c r="Q209" s="52"/>
      <c r="U209" s="52"/>
    </row>
    <row r="210">
      <c r="M210" s="52"/>
      <c r="N210" s="52"/>
      <c r="O210" s="52"/>
      <c r="P210" s="52"/>
      <c r="Q210" s="52"/>
      <c r="U210" s="52"/>
    </row>
    <row r="211">
      <c r="M211" s="52"/>
      <c r="N211" s="52"/>
      <c r="O211" s="52"/>
      <c r="P211" s="52"/>
      <c r="Q211" s="52"/>
      <c r="U211" s="52"/>
    </row>
    <row r="212">
      <c r="M212" s="52"/>
      <c r="N212" s="52"/>
      <c r="O212" s="52"/>
      <c r="P212" s="52"/>
      <c r="Q212" s="52"/>
      <c r="U212" s="52"/>
    </row>
    <row r="213">
      <c r="M213" s="52"/>
      <c r="N213" s="52"/>
      <c r="O213" s="52"/>
      <c r="P213" s="52"/>
      <c r="Q213" s="52"/>
      <c r="U213" s="52"/>
    </row>
    <row r="214">
      <c r="M214" s="52"/>
      <c r="N214" s="52"/>
      <c r="O214" s="52"/>
      <c r="P214" s="52"/>
      <c r="Q214" s="52"/>
      <c r="U214" s="52"/>
    </row>
    <row r="215">
      <c r="M215" s="52"/>
      <c r="N215" s="52"/>
      <c r="O215" s="52"/>
      <c r="P215" s="52"/>
      <c r="Q215" s="52"/>
      <c r="U215" s="52"/>
    </row>
    <row r="216">
      <c r="M216" s="52"/>
      <c r="N216" s="52"/>
      <c r="O216" s="52"/>
      <c r="P216" s="52"/>
      <c r="Q216" s="52"/>
      <c r="U216" s="52"/>
    </row>
    <row r="217">
      <c r="M217" s="52"/>
      <c r="N217" s="52"/>
      <c r="O217" s="52"/>
      <c r="P217" s="52"/>
      <c r="Q217" s="52"/>
      <c r="U217" s="52"/>
    </row>
    <row r="218">
      <c r="M218" s="52"/>
      <c r="N218" s="52"/>
      <c r="O218" s="52"/>
      <c r="P218" s="52"/>
      <c r="Q218" s="52"/>
      <c r="U218" s="52"/>
    </row>
    <row r="219">
      <c r="M219" s="52"/>
      <c r="N219" s="52"/>
      <c r="O219" s="52"/>
      <c r="P219" s="52"/>
      <c r="Q219" s="52"/>
      <c r="U219" s="52"/>
    </row>
    <row r="220">
      <c r="M220" s="52"/>
      <c r="N220" s="52"/>
      <c r="O220" s="52"/>
      <c r="P220" s="52"/>
      <c r="Q220" s="52"/>
      <c r="U220" s="52"/>
    </row>
    <row r="221">
      <c r="M221" s="52"/>
      <c r="N221" s="52"/>
      <c r="O221" s="52"/>
      <c r="P221" s="52"/>
      <c r="Q221" s="52"/>
      <c r="U221" s="52"/>
    </row>
    <row r="222">
      <c r="M222" s="52"/>
      <c r="N222" s="52"/>
      <c r="O222" s="52"/>
      <c r="P222" s="52"/>
      <c r="Q222" s="52"/>
      <c r="U222" s="52"/>
    </row>
    <row r="223">
      <c r="M223" s="52"/>
      <c r="N223" s="52"/>
      <c r="O223" s="52"/>
      <c r="P223" s="52"/>
      <c r="Q223" s="52"/>
      <c r="U223" s="52"/>
    </row>
    <row r="224">
      <c r="M224" s="52"/>
      <c r="N224" s="52"/>
      <c r="O224" s="52"/>
      <c r="P224" s="52"/>
      <c r="Q224" s="52"/>
      <c r="U224" s="52"/>
    </row>
    <row r="225">
      <c r="M225" s="52"/>
      <c r="N225" s="52"/>
      <c r="O225" s="52"/>
      <c r="P225" s="52"/>
      <c r="Q225" s="52"/>
      <c r="U225" s="52"/>
    </row>
    <row r="226">
      <c r="M226" s="52"/>
      <c r="N226" s="52"/>
      <c r="O226" s="52"/>
      <c r="P226" s="52"/>
      <c r="Q226" s="52"/>
      <c r="U226" s="52"/>
    </row>
    <row r="227">
      <c r="M227" s="52"/>
      <c r="N227" s="52"/>
      <c r="O227" s="52"/>
      <c r="P227" s="52"/>
      <c r="Q227" s="52"/>
      <c r="U227" s="52"/>
    </row>
    <row r="228">
      <c r="M228" s="52"/>
      <c r="N228" s="52"/>
      <c r="O228" s="52"/>
      <c r="P228" s="52"/>
      <c r="Q228" s="52"/>
      <c r="U228" s="52"/>
    </row>
    <row r="229">
      <c r="M229" s="52"/>
      <c r="N229" s="52"/>
      <c r="O229" s="52"/>
      <c r="P229" s="52"/>
      <c r="Q229" s="52"/>
      <c r="U229" s="52"/>
    </row>
    <row r="230">
      <c r="M230" s="52"/>
      <c r="N230" s="52"/>
      <c r="O230" s="52"/>
      <c r="P230" s="52"/>
      <c r="Q230" s="52"/>
      <c r="U230" s="52"/>
    </row>
    <row r="231">
      <c r="M231" s="52"/>
      <c r="N231" s="52"/>
      <c r="O231" s="52"/>
      <c r="P231" s="52"/>
      <c r="Q231" s="52"/>
      <c r="U231" s="52"/>
    </row>
    <row r="232">
      <c r="M232" s="52"/>
      <c r="N232" s="52"/>
      <c r="O232" s="52"/>
      <c r="P232" s="52"/>
      <c r="Q232" s="52"/>
      <c r="U232" s="52"/>
    </row>
    <row r="233">
      <c r="M233" s="52"/>
      <c r="N233" s="52"/>
      <c r="O233" s="52"/>
      <c r="P233" s="52"/>
      <c r="Q233" s="52"/>
      <c r="U233" s="52"/>
    </row>
    <row r="234">
      <c r="M234" s="52"/>
      <c r="N234" s="52"/>
      <c r="O234" s="52"/>
      <c r="P234" s="52"/>
      <c r="Q234" s="52"/>
      <c r="U234" s="52"/>
    </row>
    <row r="235">
      <c r="M235" s="52"/>
      <c r="N235" s="52"/>
      <c r="O235" s="52"/>
      <c r="P235" s="52"/>
      <c r="Q235" s="52"/>
      <c r="U235" s="52"/>
    </row>
    <row r="236">
      <c r="M236" s="52"/>
      <c r="N236" s="52"/>
      <c r="O236" s="52"/>
      <c r="P236" s="52"/>
      <c r="Q236" s="52"/>
      <c r="U236" s="52"/>
    </row>
    <row r="237">
      <c r="M237" s="52"/>
      <c r="N237" s="52"/>
      <c r="O237" s="52"/>
      <c r="P237" s="52"/>
      <c r="Q237" s="52"/>
      <c r="U237" s="52"/>
    </row>
    <row r="238">
      <c r="M238" s="52"/>
      <c r="N238" s="52"/>
      <c r="O238" s="52"/>
      <c r="P238" s="52"/>
      <c r="Q238" s="52"/>
      <c r="U238" s="52"/>
    </row>
    <row r="239">
      <c r="M239" s="52"/>
      <c r="N239" s="52"/>
      <c r="O239" s="52"/>
      <c r="P239" s="52"/>
      <c r="Q239" s="52"/>
      <c r="U239" s="52"/>
    </row>
    <row r="240">
      <c r="M240" s="52"/>
      <c r="N240" s="52"/>
      <c r="O240" s="52"/>
      <c r="P240" s="52"/>
      <c r="Q240" s="52"/>
      <c r="U240" s="52"/>
    </row>
    <row r="241">
      <c r="M241" s="52"/>
      <c r="N241" s="52"/>
      <c r="O241" s="52"/>
      <c r="P241" s="52"/>
      <c r="Q241" s="52"/>
      <c r="U241" s="52"/>
    </row>
    <row r="242">
      <c r="M242" s="52"/>
      <c r="N242" s="52"/>
      <c r="O242" s="52"/>
      <c r="P242" s="52"/>
      <c r="Q242" s="52"/>
      <c r="U242" s="52"/>
    </row>
    <row r="243">
      <c r="M243" s="52"/>
      <c r="N243" s="52"/>
      <c r="O243" s="52"/>
      <c r="P243" s="52"/>
      <c r="Q243" s="52"/>
      <c r="U243" s="52"/>
    </row>
    <row r="244">
      <c r="M244" s="52"/>
      <c r="N244" s="52"/>
      <c r="O244" s="52"/>
      <c r="P244" s="52"/>
      <c r="Q244" s="52"/>
      <c r="U244" s="52"/>
    </row>
    <row r="245">
      <c r="M245" s="52"/>
      <c r="N245" s="52"/>
      <c r="O245" s="52"/>
      <c r="P245" s="52"/>
      <c r="Q245" s="52"/>
      <c r="U245" s="52"/>
    </row>
    <row r="246">
      <c r="M246" s="52"/>
      <c r="N246" s="52"/>
      <c r="O246" s="52"/>
      <c r="P246" s="52"/>
      <c r="Q246" s="52"/>
      <c r="U246" s="52"/>
    </row>
    <row r="247">
      <c r="M247" s="52"/>
      <c r="N247" s="52"/>
      <c r="O247" s="52"/>
      <c r="P247" s="52"/>
      <c r="Q247" s="52"/>
      <c r="U247" s="52"/>
    </row>
    <row r="248">
      <c r="M248" s="52"/>
      <c r="N248" s="52"/>
      <c r="O248" s="52"/>
      <c r="P248" s="52"/>
      <c r="Q248" s="52"/>
      <c r="U248" s="52"/>
    </row>
    <row r="249">
      <c r="M249" s="52"/>
      <c r="N249" s="52"/>
      <c r="O249" s="52"/>
      <c r="P249" s="52"/>
      <c r="Q249" s="52"/>
      <c r="U249" s="52"/>
    </row>
    <row r="250">
      <c r="M250" s="52"/>
      <c r="N250" s="52"/>
      <c r="O250" s="52"/>
      <c r="P250" s="52"/>
      <c r="Q250" s="52"/>
      <c r="U250" s="52"/>
    </row>
    <row r="251">
      <c r="M251" s="52"/>
      <c r="N251" s="52"/>
      <c r="O251" s="52"/>
      <c r="P251" s="52"/>
      <c r="Q251" s="52"/>
      <c r="U251" s="52"/>
    </row>
    <row r="252">
      <c r="M252" s="52"/>
      <c r="N252" s="52"/>
      <c r="O252" s="52"/>
      <c r="P252" s="52"/>
      <c r="Q252" s="52"/>
      <c r="U252" s="52"/>
    </row>
    <row r="253">
      <c r="M253" s="52"/>
      <c r="N253" s="52"/>
      <c r="O253" s="52"/>
      <c r="P253" s="52"/>
      <c r="Q253" s="52"/>
      <c r="U253" s="52"/>
    </row>
    <row r="254">
      <c r="M254" s="52"/>
      <c r="N254" s="52"/>
      <c r="O254" s="52"/>
      <c r="P254" s="52"/>
      <c r="Q254" s="52"/>
      <c r="U254" s="52"/>
    </row>
    <row r="255">
      <c r="M255" s="52"/>
      <c r="N255" s="52"/>
      <c r="O255" s="52"/>
      <c r="P255" s="52"/>
      <c r="Q255" s="52"/>
      <c r="U255" s="52"/>
    </row>
    <row r="256">
      <c r="M256" s="52"/>
      <c r="N256" s="52"/>
      <c r="O256" s="52"/>
      <c r="P256" s="52"/>
      <c r="Q256" s="52"/>
      <c r="U256" s="52"/>
    </row>
    <row r="257">
      <c r="M257" s="52"/>
      <c r="N257" s="52"/>
      <c r="O257" s="52"/>
      <c r="P257" s="52"/>
      <c r="Q257" s="52"/>
      <c r="U257" s="52"/>
    </row>
    <row r="258">
      <c r="M258" s="52"/>
      <c r="N258" s="52"/>
      <c r="O258" s="52"/>
      <c r="P258" s="52"/>
      <c r="Q258" s="52"/>
      <c r="U258" s="52"/>
    </row>
    <row r="259">
      <c r="M259" s="52"/>
      <c r="N259" s="52"/>
      <c r="O259" s="52"/>
      <c r="P259" s="52"/>
      <c r="Q259" s="52"/>
      <c r="U259" s="52"/>
    </row>
    <row r="260">
      <c r="M260" s="52"/>
      <c r="N260" s="52"/>
      <c r="O260" s="52"/>
      <c r="P260" s="52"/>
      <c r="Q260" s="52"/>
      <c r="U260" s="52"/>
    </row>
    <row r="261">
      <c r="M261" s="52"/>
      <c r="N261" s="52"/>
      <c r="O261" s="52"/>
      <c r="P261" s="52"/>
      <c r="Q261" s="52"/>
      <c r="U261" s="52"/>
    </row>
    <row r="262">
      <c r="M262" s="52"/>
      <c r="N262" s="52"/>
      <c r="O262" s="52"/>
      <c r="P262" s="52"/>
      <c r="Q262" s="52"/>
      <c r="U262" s="52"/>
    </row>
    <row r="263">
      <c r="M263" s="52"/>
      <c r="N263" s="52"/>
      <c r="O263" s="52"/>
      <c r="P263" s="52"/>
      <c r="Q263" s="52"/>
      <c r="U263" s="52"/>
    </row>
    <row r="264">
      <c r="M264" s="52"/>
      <c r="N264" s="52"/>
      <c r="O264" s="52"/>
      <c r="P264" s="52"/>
      <c r="Q264" s="52"/>
      <c r="U264" s="52"/>
    </row>
    <row r="265">
      <c r="M265" s="52"/>
      <c r="N265" s="52"/>
      <c r="O265" s="52"/>
      <c r="P265" s="52"/>
      <c r="Q265" s="52"/>
      <c r="U265" s="52"/>
    </row>
    <row r="266">
      <c r="M266" s="52"/>
      <c r="N266" s="52"/>
      <c r="O266" s="52"/>
      <c r="P266" s="52"/>
      <c r="Q266" s="52"/>
      <c r="U266" s="52"/>
    </row>
    <row r="267">
      <c r="M267" s="52"/>
      <c r="N267" s="52"/>
      <c r="O267" s="52"/>
      <c r="P267" s="52"/>
      <c r="Q267" s="52"/>
      <c r="U267" s="52"/>
    </row>
    <row r="268">
      <c r="M268" s="52"/>
      <c r="N268" s="52"/>
      <c r="O268" s="52"/>
      <c r="P268" s="52"/>
      <c r="Q268" s="52"/>
      <c r="U268" s="52"/>
    </row>
    <row r="269">
      <c r="M269" s="52"/>
      <c r="N269" s="52"/>
      <c r="O269" s="52"/>
      <c r="P269" s="52"/>
      <c r="Q269" s="52"/>
      <c r="U269" s="52"/>
    </row>
    <row r="270">
      <c r="M270" s="52"/>
      <c r="N270" s="52"/>
      <c r="O270" s="52"/>
      <c r="P270" s="52"/>
      <c r="Q270" s="52"/>
      <c r="U270" s="52"/>
    </row>
    <row r="271">
      <c r="M271" s="52"/>
      <c r="N271" s="52"/>
      <c r="O271" s="52"/>
      <c r="P271" s="52"/>
      <c r="Q271" s="52"/>
      <c r="U271" s="52"/>
    </row>
    <row r="272">
      <c r="M272" s="52"/>
      <c r="N272" s="52"/>
      <c r="O272" s="52"/>
      <c r="P272" s="52"/>
      <c r="Q272" s="52"/>
      <c r="U272" s="52"/>
    </row>
    <row r="273">
      <c r="M273" s="52"/>
      <c r="N273" s="52"/>
      <c r="O273" s="52"/>
      <c r="P273" s="52"/>
      <c r="Q273" s="52"/>
      <c r="U273" s="52"/>
    </row>
    <row r="274">
      <c r="M274" s="52"/>
      <c r="N274" s="52"/>
      <c r="O274" s="52"/>
      <c r="P274" s="52"/>
      <c r="Q274" s="52"/>
      <c r="U274" s="52"/>
    </row>
    <row r="275">
      <c r="M275" s="52"/>
      <c r="N275" s="52"/>
      <c r="O275" s="52"/>
      <c r="P275" s="52"/>
      <c r="Q275" s="52"/>
      <c r="U275" s="52"/>
    </row>
    <row r="276">
      <c r="M276" s="52"/>
      <c r="N276" s="52"/>
      <c r="O276" s="52"/>
      <c r="P276" s="52"/>
      <c r="Q276" s="52"/>
      <c r="U276" s="52"/>
    </row>
    <row r="277">
      <c r="M277" s="52"/>
      <c r="N277" s="52"/>
      <c r="O277" s="52"/>
      <c r="P277" s="52"/>
      <c r="Q277" s="52"/>
      <c r="U277" s="52"/>
    </row>
    <row r="278">
      <c r="M278" s="52"/>
      <c r="N278" s="52"/>
      <c r="O278" s="52"/>
      <c r="P278" s="52"/>
      <c r="Q278" s="52"/>
      <c r="U278" s="52"/>
    </row>
    <row r="279">
      <c r="M279" s="52"/>
      <c r="N279" s="52"/>
      <c r="O279" s="52"/>
      <c r="P279" s="52"/>
      <c r="Q279" s="52"/>
      <c r="U279" s="52"/>
    </row>
    <row r="280">
      <c r="M280" s="52"/>
      <c r="N280" s="52"/>
      <c r="O280" s="52"/>
      <c r="P280" s="52"/>
      <c r="Q280" s="52"/>
      <c r="U280" s="52"/>
    </row>
    <row r="281">
      <c r="M281" s="52"/>
      <c r="N281" s="52"/>
      <c r="O281" s="52"/>
      <c r="P281" s="52"/>
      <c r="Q281" s="52"/>
      <c r="U281" s="52"/>
    </row>
    <row r="282">
      <c r="M282" s="52"/>
      <c r="N282" s="52"/>
      <c r="O282" s="52"/>
      <c r="P282" s="52"/>
      <c r="Q282" s="52"/>
      <c r="U282" s="52"/>
    </row>
    <row r="283">
      <c r="M283" s="52"/>
      <c r="N283" s="52"/>
      <c r="O283" s="52"/>
      <c r="P283" s="52"/>
      <c r="Q283" s="52"/>
      <c r="U283" s="52"/>
    </row>
    <row r="284">
      <c r="M284" s="52"/>
      <c r="N284" s="52"/>
      <c r="O284" s="52"/>
      <c r="P284" s="52"/>
      <c r="Q284" s="52"/>
      <c r="U284" s="52"/>
    </row>
    <row r="285">
      <c r="M285" s="52"/>
      <c r="N285" s="52"/>
      <c r="O285" s="52"/>
      <c r="P285" s="52"/>
      <c r="Q285" s="52"/>
      <c r="U285" s="52"/>
    </row>
    <row r="286">
      <c r="M286" s="52"/>
      <c r="N286" s="52"/>
      <c r="O286" s="52"/>
      <c r="P286" s="52"/>
      <c r="Q286" s="52"/>
      <c r="U286" s="52"/>
    </row>
    <row r="287">
      <c r="M287" s="52"/>
      <c r="N287" s="52"/>
      <c r="O287" s="52"/>
      <c r="P287" s="52"/>
      <c r="Q287" s="52"/>
      <c r="U287" s="52"/>
    </row>
    <row r="288">
      <c r="M288" s="52"/>
      <c r="N288" s="52"/>
      <c r="O288" s="52"/>
      <c r="P288" s="52"/>
      <c r="Q288" s="52"/>
      <c r="U288" s="52"/>
    </row>
    <row r="289">
      <c r="M289" s="52"/>
      <c r="N289" s="52"/>
      <c r="O289" s="52"/>
      <c r="P289" s="52"/>
      <c r="Q289" s="52"/>
      <c r="U289" s="52"/>
    </row>
    <row r="290">
      <c r="M290" s="52"/>
      <c r="N290" s="52"/>
      <c r="O290" s="52"/>
      <c r="P290" s="52"/>
      <c r="Q290" s="52"/>
      <c r="U290" s="52"/>
    </row>
    <row r="291">
      <c r="M291" s="52"/>
      <c r="N291" s="52"/>
      <c r="O291" s="52"/>
      <c r="P291" s="52"/>
      <c r="Q291" s="52"/>
      <c r="U291" s="52"/>
    </row>
    <row r="292">
      <c r="M292" s="52"/>
      <c r="N292" s="52"/>
      <c r="O292" s="52"/>
      <c r="P292" s="52"/>
      <c r="Q292" s="52"/>
      <c r="U292" s="52"/>
    </row>
    <row r="293">
      <c r="M293" s="52"/>
      <c r="N293" s="52"/>
      <c r="O293" s="52"/>
      <c r="P293" s="52"/>
      <c r="Q293" s="52"/>
      <c r="U293" s="52"/>
    </row>
    <row r="294">
      <c r="M294" s="52"/>
      <c r="N294" s="52"/>
      <c r="O294" s="52"/>
      <c r="P294" s="52"/>
      <c r="Q294" s="52"/>
      <c r="U294" s="52"/>
    </row>
    <row r="295">
      <c r="M295" s="52"/>
      <c r="N295" s="52"/>
      <c r="O295" s="52"/>
      <c r="P295" s="52"/>
      <c r="Q295" s="52"/>
      <c r="U295" s="52"/>
    </row>
    <row r="296">
      <c r="M296" s="52"/>
      <c r="N296" s="52"/>
      <c r="O296" s="52"/>
      <c r="P296" s="52"/>
      <c r="Q296" s="52"/>
      <c r="U296" s="52"/>
    </row>
    <row r="297">
      <c r="M297" s="52"/>
      <c r="N297" s="52"/>
      <c r="O297" s="52"/>
      <c r="P297" s="52"/>
      <c r="Q297" s="52"/>
      <c r="U297" s="52"/>
    </row>
    <row r="298">
      <c r="M298" s="52"/>
      <c r="N298" s="52"/>
      <c r="O298" s="52"/>
      <c r="P298" s="52"/>
      <c r="Q298" s="52"/>
      <c r="U298" s="52"/>
    </row>
    <row r="299">
      <c r="M299" s="52"/>
      <c r="N299" s="52"/>
      <c r="O299" s="52"/>
      <c r="P299" s="52"/>
      <c r="Q299" s="52"/>
      <c r="U299" s="52"/>
    </row>
    <row r="300">
      <c r="M300" s="52"/>
      <c r="N300" s="52"/>
      <c r="O300" s="52"/>
      <c r="P300" s="52"/>
      <c r="Q300" s="52"/>
      <c r="U300" s="52"/>
    </row>
    <row r="301">
      <c r="M301" s="52"/>
      <c r="N301" s="52"/>
      <c r="O301" s="52"/>
      <c r="P301" s="52"/>
      <c r="Q301" s="52"/>
      <c r="U301" s="52"/>
    </row>
    <row r="302">
      <c r="M302" s="52"/>
      <c r="N302" s="52"/>
      <c r="O302" s="52"/>
      <c r="P302" s="52"/>
      <c r="Q302" s="52"/>
      <c r="U302" s="52"/>
    </row>
    <row r="303">
      <c r="M303" s="52"/>
      <c r="N303" s="52"/>
      <c r="O303" s="52"/>
      <c r="P303" s="52"/>
      <c r="Q303" s="52"/>
      <c r="U303" s="52"/>
    </row>
    <row r="304">
      <c r="M304" s="52"/>
      <c r="N304" s="52"/>
      <c r="O304" s="52"/>
      <c r="P304" s="52"/>
      <c r="Q304" s="52"/>
      <c r="U304" s="52"/>
    </row>
    <row r="305">
      <c r="M305" s="52"/>
      <c r="N305" s="52"/>
      <c r="O305" s="52"/>
      <c r="P305" s="52"/>
      <c r="Q305" s="52"/>
      <c r="U305" s="52"/>
    </row>
    <row r="306">
      <c r="M306" s="52"/>
      <c r="N306" s="52"/>
      <c r="O306" s="52"/>
      <c r="P306" s="52"/>
      <c r="Q306" s="52"/>
      <c r="U306" s="52"/>
    </row>
    <row r="307">
      <c r="M307" s="52"/>
      <c r="N307" s="52"/>
      <c r="O307" s="52"/>
      <c r="P307" s="52"/>
      <c r="Q307" s="52"/>
      <c r="U307" s="52"/>
    </row>
    <row r="308">
      <c r="M308" s="52"/>
      <c r="N308" s="52"/>
      <c r="O308" s="52"/>
      <c r="P308" s="52"/>
      <c r="Q308" s="52"/>
      <c r="U308" s="52"/>
    </row>
    <row r="309">
      <c r="M309" s="52"/>
      <c r="N309" s="52"/>
      <c r="O309" s="52"/>
      <c r="P309" s="52"/>
      <c r="Q309" s="52"/>
      <c r="U309" s="52"/>
    </row>
    <row r="310">
      <c r="M310" s="52"/>
      <c r="N310" s="52"/>
      <c r="O310" s="52"/>
      <c r="P310" s="52"/>
      <c r="Q310" s="52"/>
      <c r="U310" s="52"/>
    </row>
    <row r="311">
      <c r="M311" s="52"/>
      <c r="N311" s="52"/>
      <c r="O311" s="52"/>
      <c r="P311" s="52"/>
      <c r="Q311" s="52"/>
      <c r="U311" s="52"/>
    </row>
    <row r="312">
      <c r="M312" s="52"/>
      <c r="N312" s="52"/>
      <c r="O312" s="52"/>
      <c r="P312" s="52"/>
      <c r="Q312" s="52"/>
      <c r="U312" s="52"/>
    </row>
    <row r="313">
      <c r="M313" s="52"/>
      <c r="N313" s="52"/>
      <c r="O313" s="52"/>
      <c r="P313" s="52"/>
      <c r="Q313" s="52"/>
      <c r="U313" s="52"/>
    </row>
    <row r="314">
      <c r="M314" s="52"/>
      <c r="N314" s="52"/>
      <c r="O314" s="52"/>
      <c r="P314" s="52"/>
      <c r="Q314" s="52"/>
      <c r="U314" s="52"/>
    </row>
    <row r="315">
      <c r="M315" s="52"/>
      <c r="N315" s="52"/>
      <c r="O315" s="52"/>
      <c r="P315" s="52"/>
      <c r="Q315" s="52"/>
      <c r="U315" s="52"/>
    </row>
    <row r="316">
      <c r="M316" s="52"/>
      <c r="N316" s="52"/>
      <c r="O316" s="52"/>
      <c r="P316" s="52"/>
      <c r="Q316" s="52"/>
      <c r="U316" s="52"/>
    </row>
    <row r="317">
      <c r="M317" s="52"/>
      <c r="N317" s="52"/>
      <c r="O317" s="52"/>
      <c r="P317" s="52"/>
      <c r="Q317" s="52"/>
      <c r="U317" s="52"/>
    </row>
    <row r="318">
      <c r="M318" s="52"/>
      <c r="N318" s="52"/>
      <c r="O318" s="52"/>
      <c r="P318" s="52"/>
      <c r="Q318" s="52"/>
      <c r="U318" s="52"/>
    </row>
    <row r="319">
      <c r="M319" s="52"/>
      <c r="N319" s="52"/>
      <c r="O319" s="52"/>
      <c r="P319" s="52"/>
      <c r="Q319" s="52"/>
      <c r="U319" s="52"/>
    </row>
    <row r="320">
      <c r="M320" s="52"/>
      <c r="N320" s="52"/>
      <c r="O320" s="52"/>
      <c r="P320" s="52"/>
      <c r="Q320" s="52"/>
      <c r="U320" s="52"/>
    </row>
    <row r="321">
      <c r="M321" s="52"/>
      <c r="N321" s="52"/>
      <c r="O321" s="52"/>
      <c r="P321" s="52"/>
      <c r="Q321" s="52"/>
      <c r="U321" s="52"/>
    </row>
    <row r="322">
      <c r="M322" s="52"/>
      <c r="N322" s="52"/>
      <c r="O322" s="52"/>
      <c r="P322" s="52"/>
      <c r="Q322" s="52"/>
      <c r="U322" s="52"/>
    </row>
    <row r="323">
      <c r="M323" s="52"/>
      <c r="N323" s="52"/>
      <c r="O323" s="52"/>
      <c r="P323" s="52"/>
      <c r="Q323" s="52"/>
      <c r="U323" s="52"/>
    </row>
    <row r="324">
      <c r="M324" s="52"/>
      <c r="N324" s="52"/>
      <c r="O324" s="52"/>
      <c r="P324" s="52"/>
      <c r="Q324" s="52"/>
      <c r="U324" s="52"/>
    </row>
    <row r="325">
      <c r="M325" s="52"/>
      <c r="N325" s="52"/>
      <c r="O325" s="52"/>
      <c r="P325" s="52"/>
      <c r="Q325" s="52"/>
      <c r="U325" s="52"/>
    </row>
    <row r="326">
      <c r="M326" s="52"/>
      <c r="N326" s="52"/>
      <c r="O326" s="52"/>
      <c r="P326" s="52"/>
      <c r="Q326" s="52"/>
      <c r="U326" s="52"/>
    </row>
    <row r="327">
      <c r="M327" s="52"/>
      <c r="N327" s="52"/>
      <c r="O327" s="52"/>
      <c r="P327" s="52"/>
      <c r="Q327" s="52"/>
      <c r="U327" s="52"/>
    </row>
    <row r="328">
      <c r="M328" s="52"/>
      <c r="N328" s="52"/>
      <c r="O328" s="52"/>
      <c r="P328" s="52"/>
      <c r="Q328" s="52"/>
      <c r="U328" s="52"/>
    </row>
    <row r="329">
      <c r="M329" s="52"/>
      <c r="N329" s="52"/>
      <c r="O329" s="52"/>
      <c r="P329" s="52"/>
      <c r="Q329" s="52"/>
      <c r="U329" s="52"/>
    </row>
    <row r="330">
      <c r="M330" s="52"/>
      <c r="N330" s="52"/>
      <c r="O330" s="52"/>
      <c r="P330" s="52"/>
      <c r="Q330" s="52"/>
      <c r="U330" s="52"/>
    </row>
    <row r="331">
      <c r="M331" s="52"/>
      <c r="N331" s="52"/>
      <c r="O331" s="52"/>
      <c r="P331" s="52"/>
      <c r="Q331" s="52"/>
      <c r="U331" s="52"/>
    </row>
    <row r="332">
      <c r="M332" s="52"/>
      <c r="N332" s="52"/>
      <c r="O332" s="52"/>
      <c r="P332" s="52"/>
      <c r="Q332" s="52"/>
      <c r="U332" s="52"/>
    </row>
    <row r="333">
      <c r="M333" s="52"/>
      <c r="N333" s="52"/>
      <c r="O333" s="52"/>
      <c r="P333" s="52"/>
      <c r="Q333" s="52"/>
      <c r="U333" s="52"/>
    </row>
    <row r="334">
      <c r="M334" s="52"/>
      <c r="N334" s="52"/>
      <c r="O334" s="52"/>
      <c r="P334" s="52"/>
      <c r="Q334" s="52"/>
      <c r="U334" s="52"/>
    </row>
    <row r="335">
      <c r="M335" s="52"/>
      <c r="N335" s="52"/>
      <c r="O335" s="52"/>
      <c r="P335" s="52"/>
      <c r="Q335" s="52"/>
      <c r="U335" s="52"/>
    </row>
    <row r="336">
      <c r="M336" s="52"/>
      <c r="N336" s="52"/>
      <c r="O336" s="52"/>
      <c r="P336" s="52"/>
      <c r="Q336" s="52"/>
      <c r="U336" s="52"/>
    </row>
    <row r="337">
      <c r="M337" s="52"/>
      <c r="N337" s="52"/>
      <c r="O337" s="52"/>
      <c r="P337" s="52"/>
      <c r="Q337" s="52"/>
      <c r="U337" s="52"/>
    </row>
    <row r="338">
      <c r="M338" s="52"/>
      <c r="N338" s="52"/>
      <c r="O338" s="52"/>
      <c r="P338" s="52"/>
      <c r="Q338" s="52"/>
      <c r="U338" s="52"/>
    </row>
    <row r="339">
      <c r="M339" s="52"/>
      <c r="N339" s="52"/>
      <c r="O339" s="52"/>
      <c r="P339" s="52"/>
      <c r="Q339" s="52"/>
      <c r="U339" s="52"/>
    </row>
    <row r="340">
      <c r="M340" s="52"/>
      <c r="N340" s="52"/>
      <c r="O340" s="52"/>
      <c r="P340" s="52"/>
      <c r="Q340" s="52"/>
      <c r="U340" s="52"/>
    </row>
    <row r="341">
      <c r="M341" s="52"/>
      <c r="N341" s="52"/>
      <c r="O341" s="52"/>
      <c r="P341" s="52"/>
      <c r="Q341" s="52"/>
      <c r="U341" s="52"/>
    </row>
    <row r="342">
      <c r="M342" s="52"/>
      <c r="N342" s="52"/>
      <c r="O342" s="52"/>
      <c r="P342" s="52"/>
      <c r="Q342" s="52"/>
      <c r="U342" s="52"/>
    </row>
    <row r="343">
      <c r="M343" s="52"/>
      <c r="N343" s="52"/>
      <c r="O343" s="52"/>
      <c r="P343" s="52"/>
      <c r="Q343" s="52"/>
      <c r="U343" s="52"/>
    </row>
    <row r="344">
      <c r="M344" s="52"/>
      <c r="N344" s="52"/>
      <c r="O344" s="52"/>
      <c r="P344" s="52"/>
      <c r="Q344" s="52"/>
      <c r="U344" s="52"/>
    </row>
    <row r="345">
      <c r="M345" s="52"/>
      <c r="N345" s="52"/>
      <c r="O345" s="52"/>
      <c r="P345" s="52"/>
      <c r="Q345" s="52"/>
      <c r="U345" s="52"/>
    </row>
    <row r="346">
      <c r="M346" s="52"/>
      <c r="N346" s="52"/>
      <c r="O346" s="52"/>
      <c r="P346" s="52"/>
      <c r="Q346" s="52"/>
      <c r="U346" s="52"/>
    </row>
    <row r="347">
      <c r="M347" s="52"/>
      <c r="N347" s="52"/>
      <c r="O347" s="52"/>
      <c r="P347" s="52"/>
      <c r="Q347" s="52"/>
      <c r="U347" s="52"/>
    </row>
    <row r="348">
      <c r="M348" s="52"/>
      <c r="N348" s="52"/>
      <c r="O348" s="52"/>
      <c r="P348" s="52"/>
      <c r="Q348" s="52"/>
      <c r="U348" s="52"/>
    </row>
    <row r="349">
      <c r="M349" s="52"/>
      <c r="N349" s="52"/>
      <c r="O349" s="52"/>
      <c r="P349" s="52"/>
      <c r="Q349" s="52"/>
      <c r="U349" s="52"/>
    </row>
    <row r="350">
      <c r="M350" s="52"/>
      <c r="N350" s="52"/>
      <c r="O350" s="52"/>
      <c r="P350" s="52"/>
      <c r="Q350" s="52"/>
      <c r="U350" s="52"/>
    </row>
    <row r="351">
      <c r="M351" s="52"/>
      <c r="N351" s="52"/>
      <c r="O351" s="52"/>
      <c r="P351" s="52"/>
      <c r="Q351" s="52"/>
      <c r="U351" s="52"/>
    </row>
    <row r="352">
      <c r="M352" s="52"/>
      <c r="N352" s="52"/>
      <c r="O352" s="52"/>
      <c r="P352" s="52"/>
      <c r="Q352" s="52"/>
      <c r="U352" s="52"/>
    </row>
    <row r="353">
      <c r="M353" s="52"/>
      <c r="N353" s="52"/>
      <c r="O353" s="52"/>
      <c r="P353" s="52"/>
      <c r="Q353" s="52"/>
      <c r="U353" s="52"/>
    </row>
    <row r="354">
      <c r="M354" s="52"/>
      <c r="N354" s="52"/>
      <c r="O354" s="52"/>
      <c r="P354" s="52"/>
      <c r="Q354" s="52"/>
      <c r="U354" s="52"/>
    </row>
    <row r="355">
      <c r="M355" s="52"/>
      <c r="N355" s="52"/>
      <c r="O355" s="52"/>
      <c r="P355" s="52"/>
      <c r="Q355" s="52"/>
      <c r="U355" s="52"/>
    </row>
    <row r="356">
      <c r="M356" s="52"/>
      <c r="N356" s="52"/>
      <c r="O356" s="52"/>
      <c r="P356" s="52"/>
      <c r="Q356" s="52"/>
      <c r="U356" s="52"/>
    </row>
    <row r="357">
      <c r="M357" s="52"/>
      <c r="N357" s="52"/>
      <c r="O357" s="52"/>
      <c r="P357" s="52"/>
      <c r="Q357" s="52"/>
      <c r="U357" s="52"/>
    </row>
    <row r="358">
      <c r="M358" s="52"/>
      <c r="N358" s="52"/>
      <c r="O358" s="52"/>
      <c r="P358" s="52"/>
      <c r="Q358" s="52"/>
      <c r="U358" s="52"/>
    </row>
    <row r="359">
      <c r="M359" s="52"/>
      <c r="N359" s="52"/>
      <c r="O359" s="52"/>
      <c r="P359" s="52"/>
      <c r="Q359" s="52"/>
      <c r="U359" s="52"/>
    </row>
    <row r="360">
      <c r="M360" s="52"/>
      <c r="N360" s="52"/>
      <c r="O360" s="52"/>
      <c r="P360" s="52"/>
      <c r="Q360" s="52"/>
      <c r="U360" s="52"/>
    </row>
    <row r="361">
      <c r="M361" s="52"/>
      <c r="N361" s="52"/>
      <c r="O361" s="52"/>
      <c r="P361" s="52"/>
      <c r="Q361" s="52"/>
      <c r="U361" s="52"/>
    </row>
    <row r="362">
      <c r="M362" s="52"/>
      <c r="N362" s="52"/>
      <c r="O362" s="52"/>
      <c r="P362" s="52"/>
      <c r="Q362" s="52"/>
      <c r="U362" s="52"/>
    </row>
    <row r="363">
      <c r="M363" s="52"/>
      <c r="N363" s="52"/>
      <c r="O363" s="52"/>
      <c r="P363" s="52"/>
      <c r="Q363" s="52"/>
      <c r="U363" s="52"/>
    </row>
    <row r="364">
      <c r="M364" s="52"/>
      <c r="N364" s="52"/>
      <c r="O364" s="52"/>
      <c r="P364" s="52"/>
      <c r="Q364" s="52"/>
      <c r="U364" s="52"/>
    </row>
    <row r="365">
      <c r="M365" s="52"/>
      <c r="N365" s="52"/>
      <c r="O365" s="52"/>
      <c r="P365" s="52"/>
      <c r="Q365" s="52"/>
      <c r="U365" s="52"/>
    </row>
    <row r="366">
      <c r="M366" s="52"/>
      <c r="N366" s="52"/>
      <c r="O366" s="52"/>
      <c r="P366" s="52"/>
      <c r="Q366" s="52"/>
      <c r="U366" s="52"/>
    </row>
    <row r="367">
      <c r="M367" s="52"/>
      <c r="N367" s="52"/>
      <c r="O367" s="52"/>
      <c r="P367" s="52"/>
      <c r="Q367" s="52"/>
      <c r="U367" s="52"/>
    </row>
    <row r="368">
      <c r="M368" s="52"/>
      <c r="N368" s="52"/>
      <c r="O368" s="52"/>
      <c r="P368" s="52"/>
      <c r="Q368" s="52"/>
      <c r="U368" s="52"/>
    </row>
    <row r="369">
      <c r="M369" s="52"/>
      <c r="N369" s="52"/>
      <c r="O369" s="52"/>
      <c r="P369" s="52"/>
      <c r="Q369" s="52"/>
      <c r="U369" s="52"/>
    </row>
    <row r="370">
      <c r="M370" s="52"/>
      <c r="N370" s="52"/>
      <c r="O370" s="52"/>
      <c r="P370" s="52"/>
      <c r="Q370" s="52"/>
      <c r="U370" s="52"/>
    </row>
    <row r="371">
      <c r="M371" s="52"/>
      <c r="N371" s="52"/>
      <c r="O371" s="52"/>
      <c r="P371" s="52"/>
      <c r="Q371" s="52"/>
      <c r="U371" s="52"/>
    </row>
    <row r="372">
      <c r="M372" s="52"/>
      <c r="N372" s="52"/>
      <c r="O372" s="52"/>
      <c r="P372" s="52"/>
      <c r="Q372" s="52"/>
      <c r="U372" s="52"/>
    </row>
    <row r="373">
      <c r="M373" s="52"/>
      <c r="N373" s="52"/>
      <c r="O373" s="52"/>
      <c r="P373" s="52"/>
      <c r="Q373" s="52"/>
      <c r="U373" s="52"/>
    </row>
    <row r="374">
      <c r="M374" s="52"/>
      <c r="N374" s="52"/>
      <c r="O374" s="52"/>
      <c r="P374" s="52"/>
      <c r="Q374" s="52"/>
      <c r="U374" s="52"/>
    </row>
    <row r="375">
      <c r="M375" s="52"/>
      <c r="N375" s="52"/>
      <c r="O375" s="52"/>
      <c r="P375" s="52"/>
      <c r="Q375" s="52"/>
      <c r="U375" s="52"/>
    </row>
    <row r="376">
      <c r="M376" s="52"/>
      <c r="N376" s="52"/>
      <c r="O376" s="52"/>
      <c r="P376" s="52"/>
      <c r="Q376" s="52"/>
      <c r="U376" s="52"/>
    </row>
    <row r="377">
      <c r="M377" s="52"/>
      <c r="N377" s="52"/>
      <c r="O377" s="52"/>
      <c r="P377" s="52"/>
      <c r="Q377" s="52"/>
      <c r="U377" s="52"/>
    </row>
    <row r="378">
      <c r="M378" s="52"/>
      <c r="N378" s="52"/>
      <c r="O378" s="52"/>
      <c r="P378" s="52"/>
      <c r="Q378" s="52"/>
      <c r="U378" s="52"/>
    </row>
    <row r="379">
      <c r="M379" s="52"/>
      <c r="N379" s="52"/>
      <c r="O379" s="52"/>
      <c r="P379" s="52"/>
      <c r="Q379" s="52"/>
      <c r="U379" s="52"/>
    </row>
    <row r="380">
      <c r="M380" s="52"/>
      <c r="N380" s="52"/>
      <c r="O380" s="52"/>
      <c r="P380" s="52"/>
      <c r="Q380" s="52"/>
      <c r="U380" s="52"/>
    </row>
    <row r="381">
      <c r="M381" s="52"/>
      <c r="N381" s="52"/>
      <c r="O381" s="52"/>
      <c r="P381" s="52"/>
      <c r="Q381" s="52"/>
      <c r="U381" s="52"/>
    </row>
    <row r="382">
      <c r="M382" s="52"/>
      <c r="N382" s="52"/>
      <c r="O382" s="52"/>
      <c r="P382" s="52"/>
      <c r="Q382" s="52"/>
      <c r="U382" s="52"/>
    </row>
    <row r="383">
      <c r="M383" s="52"/>
      <c r="N383" s="52"/>
      <c r="O383" s="52"/>
      <c r="P383" s="52"/>
      <c r="Q383" s="52"/>
      <c r="U383" s="52"/>
    </row>
    <row r="384">
      <c r="M384" s="52"/>
      <c r="N384" s="52"/>
      <c r="O384" s="52"/>
      <c r="P384" s="52"/>
      <c r="Q384" s="52"/>
      <c r="U384" s="52"/>
    </row>
    <row r="385">
      <c r="M385" s="52"/>
      <c r="N385" s="52"/>
      <c r="O385" s="52"/>
      <c r="P385" s="52"/>
      <c r="Q385" s="52"/>
      <c r="U385" s="52"/>
    </row>
    <row r="386">
      <c r="M386" s="52"/>
      <c r="N386" s="52"/>
      <c r="O386" s="52"/>
      <c r="P386" s="52"/>
      <c r="Q386" s="52"/>
      <c r="U386" s="52"/>
    </row>
    <row r="387">
      <c r="M387" s="52"/>
      <c r="N387" s="52"/>
      <c r="O387" s="52"/>
      <c r="P387" s="52"/>
      <c r="Q387" s="52"/>
      <c r="U387" s="52"/>
    </row>
    <row r="388">
      <c r="M388" s="52"/>
      <c r="N388" s="52"/>
      <c r="O388" s="52"/>
      <c r="P388" s="52"/>
      <c r="Q388" s="52"/>
      <c r="U388" s="52"/>
    </row>
    <row r="389">
      <c r="M389" s="52"/>
      <c r="N389" s="52"/>
      <c r="O389" s="52"/>
      <c r="P389" s="52"/>
      <c r="Q389" s="52"/>
      <c r="U389" s="52"/>
    </row>
    <row r="390">
      <c r="M390" s="52"/>
      <c r="N390" s="52"/>
      <c r="O390" s="52"/>
      <c r="P390" s="52"/>
      <c r="Q390" s="52"/>
      <c r="U390" s="52"/>
    </row>
    <row r="391">
      <c r="M391" s="52"/>
      <c r="N391" s="52"/>
      <c r="O391" s="52"/>
      <c r="P391" s="52"/>
      <c r="Q391" s="52"/>
      <c r="U391" s="52"/>
    </row>
    <row r="392">
      <c r="M392" s="52"/>
      <c r="N392" s="52"/>
      <c r="O392" s="52"/>
      <c r="P392" s="52"/>
      <c r="Q392" s="52"/>
      <c r="U392" s="52"/>
    </row>
    <row r="393">
      <c r="M393" s="52"/>
      <c r="N393" s="52"/>
      <c r="O393" s="52"/>
      <c r="P393" s="52"/>
      <c r="Q393" s="52"/>
      <c r="U393" s="52"/>
    </row>
    <row r="394">
      <c r="M394" s="52"/>
      <c r="N394" s="52"/>
      <c r="O394" s="52"/>
      <c r="P394" s="52"/>
      <c r="Q394" s="52"/>
      <c r="U394" s="52"/>
    </row>
    <row r="395">
      <c r="M395" s="52"/>
      <c r="N395" s="52"/>
      <c r="O395" s="52"/>
      <c r="P395" s="52"/>
      <c r="Q395" s="52"/>
      <c r="U395" s="52"/>
    </row>
    <row r="396">
      <c r="M396" s="52"/>
      <c r="N396" s="52"/>
      <c r="O396" s="52"/>
      <c r="P396" s="52"/>
      <c r="Q396" s="52"/>
      <c r="U396" s="52"/>
    </row>
    <row r="397">
      <c r="M397" s="52"/>
      <c r="N397" s="52"/>
      <c r="O397" s="52"/>
      <c r="P397" s="52"/>
      <c r="Q397" s="52"/>
      <c r="U397" s="52"/>
    </row>
    <row r="398">
      <c r="M398" s="52"/>
      <c r="N398" s="52"/>
      <c r="O398" s="52"/>
      <c r="P398" s="52"/>
      <c r="Q398" s="52"/>
      <c r="U398" s="52"/>
    </row>
    <row r="399">
      <c r="M399" s="52"/>
      <c r="N399" s="52"/>
      <c r="O399" s="52"/>
      <c r="P399" s="52"/>
      <c r="Q399" s="52"/>
      <c r="U399" s="52"/>
    </row>
    <row r="400">
      <c r="M400" s="52"/>
      <c r="N400" s="52"/>
      <c r="O400" s="52"/>
      <c r="P400" s="52"/>
      <c r="Q400" s="52"/>
      <c r="U400" s="52"/>
    </row>
    <row r="401">
      <c r="M401" s="52"/>
      <c r="N401" s="52"/>
      <c r="O401" s="52"/>
      <c r="P401" s="52"/>
      <c r="Q401" s="52"/>
      <c r="U401" s="52"/>
    </row>
    <row r="402">
      <c r="M402" s="52"/>
      <c r="N402" s="52"/>
      <c r="O402" s="52"/>
      <c r="P402" s="52"/>
      <c r="Q402" s="52"/>
      <c r="U402" s="52"/>
    </row>
    <row r="403">
      <c r="M403" s="52"/>
      <c r="N403" s="52"/>
      <c r="O403" s="52"/>
      <c r="P403" s="52"/>
      <c r="Q403" s="52"/>
      <c r="U403" s="52"/>
    </row>
    <row r="404">
      <c r="M404" s="52"/>
      <c r="N404" s="52"/>
      <c r="O404" s="52"/>
      <c r="P404" s="52"/>
      <c r="Q404" s="52"/>
      <c r="U404" s="52"/>
    </row>
    <row r="405">
      <c r="M405" s="52"/>
      <c r="N405" s="52"/>
      <c r="O405" s="52"/>
      <c r="P405" s="52"/>
      <c r="Q405" s="52"/>
      <c r="U405" s="52"/>
    </row>
    <row r="406">
      <c r="M406" s="52"/>
      <c r="N406" s="52"/>
      <c r="O406" s="52"/>
      <c r="P406" s="52"/>
      <c r="Q406" s="52"/>
      <c r="U406" s="52"/>
    </row>
    <row r="407">
      <c r="M407" s="52"/>
      <c r="N407" s="52"/>
      <c r="O407" s="52"/>
      <c r="P407" s="52"/>
      <c r="Q407" s="52"/>
      <c r="U407" s="52"/>
    </row>
    <row r="408">
      <c r="M408" s="52"/>
      <c r="N408" s="52"/>
      <c r="O408" s="52"/>
      <c r="P408" s="52"/>
      <c r="Q408" s="52"/>
      <c r="U408" s="52"/>
    </row>
    <row r="409">
      <c r="M409" s="52"/>
      <c r="N409" s="52"/>
      <c r="O409" s="52"/>
      <c r="P409" s="52"/>
      <c r="Q409" s="52"/>
      <c r="U409" s="52"/>
    </row>
    <row r="410">
      <c r="M410" s="52"/>
      <c r="N410" s="52"/>
      <c r="O410" s="52"/>
      <c r="P410" s="52"/>
      <c r="Q410" s="52"/>
      <c r="U410" s="52"/>
    </row>
    <row r="411">
      <c r="M411" s="52"/>
      <c r="N411" s="52"/>
      <c r="O411" s="52"/>
      <c r="P411" s="52"/>
      <c r="Q411" s="52"/>
      <c r="U411" s="52"/>
    </row>
    <row r="412">
      <c r="M412" s="52"/>
      <c r="N412" s="52"/>
      <c r="O412" s="52"/>
      <c r="P412" s="52"/>
      <c r="Q412" s="52"/>
      <c r="U412" s="52"/>
    </row>
    <row r="413">
      <c r="M413" s="52"/>
      <c r="N413" s="52"/>
      <c r="O413" s="52"/>
      <c r="P413" s="52"/>
      <c r="Q413" s="52"/>
      <c r="U413" s="52"/>
    </row>
    <row r="414">
      <c r="M414" s="52"/>
      <c r="N414" s="52"/>
      <c r="O414" s="52"/>
      <c r="P414" s="52"/>
      <c r="Q414" s="52"/>
      <c r="U414" s="52"/>
    </row>
    <row r="415">
      <c r="M415" s="52"/>
      <c r="N415" s="52"/>
      <c r="O415" s="52"/>
      <c r="P415" s="52"/>
      <c r="Q415" s="52"/>
      <c r="U415" s="52"/>
    </row>
    <row r="416">
      <c r="M416" s="52"/>
      <c r="N416" s="52"/>
      <c r="O416" s="52"/>
      <c r="P416" s="52"/>
      <c r="Q416" s="52"/>
      <c r="U416" s="52"/>
    </row>
    <row r="417">
      <c r="M417" s="52"/>
      <c r="N417" s="52"/>
      <c r="O417" s="52"/>
      <c r="P417" s="52"/>
      <c r="Q417" s="52"/>
      <c r="U417" s="52"/>
    </row>
    <row r="418">
      <c r="M418" s="52"/>
      <c r="N418" s="52"/>
      <c r="O418" s="52"/>
      <c r="P418" s="52"/>
      <c r="Q418" s="52"/>
      <c r="U418" s="52"/>
    </row>
    <row r="419">
      <c r="M419" s="52"/>
      <c r="N419" s="52"/>
      <c r="O419" s="52"/>
      <c r="P419" s="52"/>
      <c r="Q419" s="52"/>
      <c r="U419" s="52"/>
    </row>
    <row r="420">
      <c r="M420" s="52"/>
      <c r="N420" s="52"/>
      <c r="O420" s="52"/>
      <c r="P420" s="52"/>
      <c r="Q420" s="52"/>
      <c r="U420" s="52"/>
    </row>
    <row r="421">
      <c r="M421" s="52"/>
      <c r="N421" s="52"/>
      <c r="O421" s="52"/>
      <c r="P421" s="52"/>
      <c r="Q421" s="52"/>
      <c r="U421" s="52"/>
    </row>
    <row r="422">
      <c r="M422" s="52"/>
      <c r="N422" s="52"/>
      <c r="O422" s="52"/>
      <c r="P422" s="52"/>
      <c r="Q422" s="52"/>
      <c r="U422" s="52"/>
    </row>
    <row r="423">
      <c r="M423" s="52"/>
      <c r="N423" s="52"/>
      <c r="O423" s="52"/>
      <c r="P423" s="52"/>
      <c r="Q423" s="52"/>
      <c r="U423" s="52"/>
    </row>
    <row r="424">
      <c r="M424" s="52"/>
      <c r="N424" s="52"/>
      <c r="O424" s="52"/>
      <c r="P424" s="52"/>
      <c r="Q424" s="52"/>
      <c r="U424" s="52"/>
    </row>
    <row r="425">
      <c r="M425" s="52"/>
      <c r="N425" s="52"/>
      <c r="O425" s="52"/>
      <c r="P425" s="52"/>
      <c r="Q425" s="52"/>
      <c r="U425" s="52"/>
    </row>
    <row r="426">
      <c r="M426" s="52"/>
      <c r="N426" s="52"/>
      <c r="O426" s="52"/>
      <c r="P426" s="52"/>
      <c r="Q426" s="52"/>
      <c r="U426" s="52"/>
    </row>
    <row r="427">
      <c r="M427" s="52"/>
      <c r="N427" s="52"/>
      <c r="O427" s="52"/>
      <c r="P427" s="52"/>
      <c r="Q427" s="52"/>
      <c r="U427" s="52"/>
    </row>
    <row r="428">
      <c r="M428" s="52"/>
      <c r="N428" s="52"/>
      <c r="O428" s="52"/>
      <c r="P428" s="52"/>
      <c r="Q428" s="52"/>
      <c r="U428" s="52"/>
    </row>
    <row r="429">
      <c r="M429" s="52"/>
      <c r="N429" s="52"/>
      <c r="O429" s="52"/>
      <c r="P429" s="52"/>
      <c r="Q429" s="52"/>
      <c r="U429" s="52"/>
    </row>
    <row r="430">
      <c r="M430" s="52"/>
      <c r="N430" s="52"/>
      <c r="O430" s="52"/>
      <c r="P430" s="52"/>
      <c r="Q430" s="52"/>
      <c r="U430" s="52"/>
    </row>
    <row r="431">
      <c r="M431" s="52"/>
      <c r="N431" s="52"/>
      <c r="O431" s="52"/>
      <c r="P431" s="52"/>
      <c r="Q431" s="52"/>
      <c r="U431" s="52"/>
    </row>
    <row r="432">
      <c r="M432" s="52"/>
      <c r="N432" s="52"/>
      <c r="O432" s="52"/>
      <c r="P432" s="52"/>
      <c r="Q432" s="52"/>
      <c r="U432" s="52"/>
    </row>
    <row r="433">
      <c r="M433" s="52"/>
      <c r="N433" s="52"/>
      <c r="O433" s="52"/>
      <c r="P433" s="52"/>
      <c r="Q433" s="52"/>
      <c r="U433" s="52"/>
    </row>
    <row r="434">
      <c r="M434" s="52"/>
      <c r="N434" s="52"/>
      <c r="O434" s="52"/>
      <c r="P434" s="52"/>
      <c r="Q434" s="52"/>
      <c r="U434" s="52"/>
    </row>
    <row r="435">
      <c r="M435" s="52"/>
      <c r="N435" s="52"/>
      <c r="O435" s="52"/>
      <c r="P435" s="52"/>
      <c r="Q435" s="52"/>
      <c r="U435" s="52"/>
    </row>
    <row r="436">
      <c r="M436" s="52"/>
      <c r="N436" s="52"/>
      <c r="O436" s="52"/>
      <c r="P436" s="52"/>
      <c r="Q436" s="52"/>
      <c r="U436" s="52"/>
    </row>
    <row r="437">
      <c r="M437" s="52"/>
      <c r="N437" s="52"/>
      <c r="O437" s="52"/>
      <c r="P437" s="52"/>
      <c r="Q437" s="52"/>
      <c r="U437" s="52"/>
    </row>
    <row r="438">
      <c r="M438" s="52"/>
      <c r="N438" s="52"/>
      <c r="O438" s="52"/>
      <c r="P438" s="52"/>
      <c r="Q438" s="52"/>
      <c r="U438" s="52"/>
    </row>
    <row r="439">
      <c r="M439" s="52"/>
      <c r="N439" s="52"/>
      <c r="O439" s="52"/>
      <c r="P439" s="52"/>
      <c r="Q439" s="52"/>
      <c r="U439" s="52"/>
    </row>
    <row r="440">
      <c r="M440" s="52"/>
      <c r="N440" s="52"/>
      <c r="O440" s="52"/>
      <c r="P440" s="52"/>
      <c r="Q440" s="52"/>
      <c r="U440" s="52"/>
    </row>
    <row r="441">
      <c r="M441" s="52"/>
      <c r="N441" s="52"/>
      <c r="O441" s="52"/>
      <c r="P441" s="52"/>
      <c r="Q441" s="52"/>
      <c r="U441" s="52"/>
    </row>
    <row r="442">
      <c r="M442" s="52"/>
      <c r="N442" s="52"/>
      <c r="O442" s="52"/>
      <c r="P442" s="52"/>
      <c r="Q442" s="52"/>
      <c r="U442" s="52"/>
    </row>
    <row r="443">
      <c r="M443" s="52"/>
      <c r="N443" s="52"/>
      <c r="O443" s="52"/>
      <c r="P443" s="52"/>
      <c r="Q443" s="52"/>
      <c r="U443" s="52"/>
    </row>
    <row r="444">
      <c r="M444" s="52"/>
      <c r="N444" s="52"/>
      <c r="O444" s="52"/>
      <c r="P444" s="52"/>
      <c r="Q444" s="52"/>
      <c r="U444" s="52"/>
    </row>
    <row r="445">
      <c r="M445" s="52"/>
      <c r="N445" s="52"/>
      <c r="O445" s="52"/>
      <c r="P445" s="52"/>
      <c r="Q445" s="52"/>
      <c r="U445" s="52"/>
    </row>
    <row r="446">
      <c r="M446" s="52"/>
      <c r="N446" s="52"/>
      <c r="O446" s="52"/>
      <c r="P446" s="52"/>
      <c r="Q446" s="52"/>
      <c r="U446" s="52"/>
    </row>
    <row r="447">
      <c r="M447" s="52"/>
      <c r="N447" s="52"/>
      <c r="O447" s="52"/>
      <c r="P447" s="52"/>
      <c r="Q447" s="52"/>
      <c r="U447" s="52"/>
    </row>
    <row r="448">
      <c r="M448" s="52"/>
      <c r="N448" s="52"/>
      <c r="O448" s="52"/>
      <c r="P448" s="52"/>
      <c r="Q448" s="52"/>
      <c r="U448" s="52"/>
    </row>
    <row r="449">
      <c r="M449" s="52"/>
      <c r="N449" s="52"/>
      <c r="O449" s="52"/>
      <c r="P449" s="52"/>
      <c r="Q449" s="52"/>
      <c r="U449" s="52"/>
    </row>
    <row r="450">
      <c r="M450" s="52"/>
      <c r="N450" s="52"/>
      <c r="O450" s="52"/>
      <c r="P450" s="52"/>
      <c r="Q450" s="52"/>
      <c r="U450" s="52"/>
    </row>
    <row r="451">
      <c r="M451" s="52"/>
      <c r="N451" s="52"/>
      <c r="O451" s="52"/>
      <c r="P451" s="52"/>
      <c r="Q451" s="52"/>
      <c r="U451" s="52"/>
    </row>
    <row r="452">
      <c r="M452" s="52"/>
      <c r="N452" s="52"/>
      <c r="O452" s="52"/>
      <c r="P452" s="52"/>
      <c r="Q452" s="52"/>
      <c r="U452" s="52"/>
    </row>
    <row r="453">
      <c r="M453" s="52"/>
      <c r="N453" s="52"/>
      <c r="O453" s="52"/>
      <c r="P453" s="52"/>
      <c r="Q453" s="52"/>
      <c r="U453" s="52"/>
    </row>
    <row r="454">
      <c r="M454" s="52"/>
      <c r="N454" s="52"/>
      <c r="O454" s="52"/>
      <c r="P454" s="52"/>
      <c r="Q454" s="52"/>
      <c r="U454" s="52"/>
    </row>
    <row r="455">
      <c r="M455" s="52"/>
      <c r="N455" s="52"/>
      <c r="O455" s="52"/>
      <c r="P455" s="52"/>
      <c r="Q455" s="52"/>
      <c r="U455" s="52"/>
    </row>
    <row r="456">
      <c r="M456" s="52"/>
      <c r="N456" s="52"/>
      <c r="O456" s="52"/>
      <c r="P456" s="52"/>
      <c r="Q456" s="52"/>
      <c r="U456" s="52"/>
    </row>
    <row r="457">
      <c r="M457" s="52"/>
      <c r="N457" s="52"/>
      <c r="O457" s="52"/>
      <c r="P457" s="52"/>
      <c r="Q457" s="52"/>
      <c r="U457" s="52"/>
    </row>
    <row r="458">
      <c r="M458" s="52"/>
      <c r="N458" s="52"/>
      <c r="O458" s="52"/>
      <c r="P458" s="52"/>
      <c r="Q458" s="52"/>
      <c r="U458" s="52"/>
    </row>
    <row r="459">
      <c r="M459" s="52"/>
      <c r="N459" s="52"/>
      <c r="O459" s="52"/>
      <c r="P459" s="52"/>
      <c r="Q459" s="52"/>
      <c r="U459" s="52"/>
    </row>
    <row r="460">
      <c r="M460" s="52"/>
      <c r="N460" s="52"/>
      <c r="O460" s="52"/>
      <c r="P460" s="52"/>
      <c r="Q460" s="52"/>
      <c r="U460" s="52"/>
    </row>
    <row r="461">
      <c r="M461" s="52"/>
      <c r="N461" s="52"/>
      <c r="O461" s="52"/>
      <c r="P461" s="52"/>
      <c r="Q461" s="52"/>
      <c r="U461" s="52"/>
    </row>
    <row r="462">
      <c r="M462" s="52"/>
      <c r="N462" s="52"/>
      <c r="O462" s="52"/>
      <c r="P462" s="52"/>
      <c r="Q462" s="52"/>
      <c r="U462" s="52"/>
    </row>
    <row r="463">
      <c r="M463" s="52"/>
      <c r="N463" s="52"/>
      <c r="O463" s="52"/>
      <c r="P463" s="52"/>
      <c r="Q463" s="52"/>
      <c r="U463" s="52"/>
    </row>
    <row r="464">
      <c r="M464" s="52"/>
      <c r="N464" s="52"/>
      <c r="O464" s="52"/>
      <c r="P464" s="52"/>
      <c r="Q464" s="52"/>
      <c r="U464" s="52"/>
    </row>
    <row r="465">
      <c r="M465" s="52"/>
      <c r="N465" s="52"/>
      <c r="O465" s="52"/>
      <c r="P465" s="52"/>
      <c r="Q465" s="52"/>
      <c r="U465" s="52"/>
    </row>
    <row r="466">
      <c r="M466" s="52"/>
      <c r="N466" s="52"/>
      <c r="O466" s="52"/>
      <c r="P466" s="52"/>
      <c r="Q466" s="52"/>
      <c r="U466" s="52"/>
    </row>
    <row r="467">
      <c r="M467" s="52"/>
      <c r="N467" s="52"/>
      <c r="O467" s="52"/>
      <c r="P467" s="52"/>
      <c r="Q467" s="52"/>
      <c r="U467" s="52"/>
    </row>
    <row r="468">
      <c r="M468" s="52"/>
      <c r="N468" s="52"/>
      <c r="O468" s="52"/>
      <c r="P468" s="52"/>
      <c r="Q468" s="52"/>
      <c r="U468" s="52"/>
    </row>
    <row r="469">
      <c r="M469" s="52"/>
      <c r="N469" s="52"/>
      <c r="O469" s="52"/>
      <c r="P469" s="52"/>
      <c r="Q469" s="52"/>
      <c r="U469" s="52"/>
    </row>
    <row r="470">
      <c r="M470" s="52"/>
      <c r="N470" s="52"/>
      <c r="O470" s="52"/>
      <c r="P470" s="52"/>
      <c r="Q470" s="52"/>
      <c r="U470" s="52"/>
    </row>
    <row r="471">
      <c r="M471" s="52"/>
      <c r="N471" s="52"/>
      <c r="O471" s="52"/>
      <c r="P471" s="52"/>
      <c r="Q471" s="52"/>
      <c r="U471" s="52"/>
    </row>
    <row r="472">
      <c r="M472" s="52"/>
      <c r="N472" s="52"/>
      <c r="O472" s="52"/>
      <c r="P472" s="52"/>
      <c r="Q472" s="52"/>
      <c r="U472" s="52"/>
    </row>
    <row r="473">
      <c r="M473" s="52"/>
      <c r="N473" s="52"/>
      <c r="O473" s="52"/>
      <c r="P473" s="52"/>
      <c r="Q473" s="52"/>
      <c r="U473" s="52"/>
    </row>
    <row r="474">
      <c r="M474" s="52"/>
      <c r="N474" s="52"/>
      <c r="O474" s="52"/>
      <c r="P474" s="52"/>
      <c r="Q474" s="52"/>
      <c r="U474" s="52"/>
    </row>
    <row r="475">
      <c r="M475" s="52"/>
      <c r="N475" s="52"/>
      <c r="O475" s="52"/>
      <c r="P475" s="52"/>
      <c r="Q475" s="52"/>
      <c r="U475" s="52"/>
    </row>
    <row r="476">
      <c r="M476" s="52"/>
      <c r="N476" s="52"/>
      <c r="O476" s="52"/>
      <c r="P476" s="52"/>
      <c r="Q476" s="52"/>
      <c r="U476" s="52"/>
    </row>
    <row r="477">
      <c r="M477" s="52"/>
      <c r="N477" s="52"/>
      <c r="O477" s="52"/>
      <c r="P477" s="52"/>
      <c r="Q477" s="52"/>
      <c r="U477" s="52"/>
    </row>
    <row r="478">
      <c r="M478" s="52"/>
      <c r="N478" s="52"/>
      <c r="O478" s="52"/>
      <c r="P478" s="52"/>
      <c r="Q478" s="52"/>
      <c r="U478" s="52"/>
    </row>
    <row r="479">
      <c r="M479" s="52"/>
      <c r="N479" s="52"/>
      <c r="O479" s="52"/>
      <c r="P479" s="52"/>
      <c r="Q479" s="52"/>
      <c r="U479" s="52"/>
    </row>
    <row r="480">
      <c r="M480" s="52"/>
      <c r="N480" s="52"/>
      <c r="O480" s="52"/>
      <c r="P480" s="52"/>
      <c r="Q480" s="52"/>
      <c r="U480" s="52"/>
    </row>
    <row r="481">
      <c r="M481" s="52"/>
      <c r="N481" s="52"/>
      <c r="O481" s="52"/>
      <c r="P481" s="52"/>
      <c r="Q481" s="52"/>
      <c r="U481" s="52"/>
    </row>
    <row r="482">
      <c r="M482" s="52"/>
      <c r="N482" s="52"/>
      <c r="O482" s="52"/>
      <c r="P482" s="52"/>
      <c r="Q482" s="52"/>
      <c r="U482" s="52"/>
    </row>
    <row r="483">
      <c r="M483" s="52"/>
      <c r="N483" s="52"/>
      <c r="O483" s="52"/>
      <c r="P483" s="52"/>
      <c r="Q483" s="52"/>
      <c r="U483" s="52"/>
    </row>
    <row r="484">
      <c r="M484" s="52"/>
      <c r="N484" s="52"/>
      <c r="O484" s="52"/>
      <c r="P484" s="52"/>
      <c r="Q484" s="52"/>
      <c r="U484" s="52"/>
    </row>
    <row r="485">
      <c r="M485" s="52"/>
      <c r="N485" s="52"/>
      <c r="O485" s="52"/>
      <c r="P485" s="52"/>
      <c r="Q485" s="52"/>
      <c r="U485" s="52"/>
    </row>
    <row r="486">
      <c r="M486" s="52"/>
      <c r="N486" s="52"/>
      <c r="O486" s="52"/>
      <c r="P486" s="52"/>
      <c r="Q486" s="52"/>
      <c r="U486" s="52"/>
    </row>
    <row r="487">
      <c r="M487" s="52"/>
      <c r="N487" s="52"/>
      <c r="O487" s="52"/>
      <c r="P487" s="52"/>
      <c r="Q487" s="52"/>
      <c r="U487" s="52"/>
    </row>
    <row r="488">
      <c r="M488" s="52"/>
      <c r="N488" s="52"/>
      <c r="O488" s="52"/>
      <c r="P488" s="52"/>
      <c r="Q488" s="52"/>
      <c r="U488" s="52"/>
    </row>
    <row r="489">
      <c r="M489" s="52"/>
      <c r="N489" s="52"/>
      <c r="O489" s="52"/>
      <c r="P489" s="52"/>
      <c r="Q489" s="52"/>
      <c r="U489" s="52"/>
    </row>
    <row r="490">
      <c r="M490" s="52"/>
      <c r="N490" s="52"/>
      <c r="O490" s="52"/>
      <c r="P490" s="52"/>
      <c r="Q490" s="52"/>
      <c r="U490" s="52"/>
    </row>
    <row r="491">
      <c r="M491" s="52"/>
      <c r="N491" s="52"/>
      <c r="O491" s="52"/>
      <c r="P491" s="52"/>
      <c r="Q491" s="52"/>
      <c r="U491" s="52"/>
    </row>
    <row r="492">
      <c r="M492" s="52"/>
      <c r="N492" s="52"/>
      <c r="O492" s="52"/>
      <c r="P492" s="52"/>
      <c r="Q492" s="52"/>
      <c r="U492" s="52"/>
    </row>
    <row r="493">
      <c r="M493" s="52"/>
      <c r="N493" s="52"/>
      <c r="O493" s="52"/>
      <c r="P493" s="52"/>
      <c r="Q493" s="52"/>
      <c r="U493" s="52"/>
    </row>
    <row r="494">
      <c r="M494" s="52"/>
      <c r="N494" s="52"/>
      <c r="O494" s="52"/>
      <c r="P494" s="52"/>
      <c r="Q494" s="52"/>
      <c r="U494" s="52"/>
    </row>
    <row r="495">
      <c r="M495" s="52"/>
      <c r="N495" s="52"/>
      <c r="O495" s="52"/>
      <c r="P495" s="52"/>
      <c r="Q495" s="52"/>
      <c r="U495" s="52"/>
    </row>
    <row r="496">
      <c r="M496" s="52"/>
      <c r="N496" s="52"/>
      <c r="O496" s="52"/>
      <c r="P496" s="52"/>
      <c r="Q496" s="52"/>
      <c r="U496" s="52"/>
    </row>
    <row r="497">
      <c r="M497" s="52"/>
      <c r="N497" s="52"/>
      <c r="O497" s="52"/>
      <c r="P497" s="52"/>
      <c r="Q497" s="52"/>
      <c r="U497" s="52"/>
    </row>
    <row r="498">
      <c r="M498" s="52"/>
      <c r="N498" s="52"/>
      <c r="O498" s="52"/>
      <c r="P498" s="52"/>
      <c r="Q498" s="52"/>
      <c r="U498" s="52"/>
    </row>
    <row r="499">
      <c r="M499" s="52"/>
      <c r="N499" s="52"/>
      <c r="O499" s="52"/>
      <c r="P499" s="52"/>
      <c r="Q499" s="52"/>
      <c r="U499" s="52"/>
    </row>
    <row r="500">
      <c r="M500" s="52"/>
      <c r="N500" s="52"/>
      <c r="O500" s="52"/>
      <c r="P500" s="52"/>
      <c r="Q500" s="52"/>
      <c r="U500" s="52"/>
    </row>
    <row r="501">
      <c r="M501" s="52"/>
      <c r="N501" s="52"/>
      <c r="O501" s="52"/>
      <c r="P501" s="52"/>
      <c r="Q501" s="52"/>
      <c r="U501" s="52"/>
    </row>
    <row r="502">
      <c r="M502" s="52"/>
      <c r="N502" s="52"/>
      <c r="O502" s="52"/>
      <c r="P502" s="52"/>
      <c r="Q502" s="52"/>
      <c r="U502" s="52"/>
    </row>
    <row r="503">
      <c r="M503" s="52"/>
      <c r="N503" s="52"/>
      <c r="O503" s="52"/>
      <c r="P503" s="52"/>
      <c r="Q503" s="52"/>
      <c r="U503" s="52"/>
    </row>
    <row r="504">
      <c r="M504" s="52"/>
      <c r="N504" s="52"/>
      <c r="O504" s="52"/>
      <c r="P504" s="52"/>
      <c r="Q504" s="52"/>
      <c r="U504" s="52"/>
    </row>
    <row r="505">
      <c r="M505" s="52"/>
      <c r="N505" s="52"/>
      <c r="O505" s="52"/>
      <c r="P505" s="52"/>
      <c r="Q505" s="52"/>
      <c r="U505" s="52"/>
    </row>
    <row r="506">
      <c r="M506" s="52"/>
      <c r="N506" s="52"/>
      <c r="O506" s="52"/>
      <c r="P506" s="52"/>
      <c r="Q506" s="52"/>
      <c r="U506" s="52"/>
    </row>
    <row r="507">
      <c r="M507" s="52"/>
      <c r="N507" s="52"/>
      <c r="O507" s="52"/>
      <c r="P507" s="52"/>
      <c r="Q507" s="52"/>
      <c r="U507" s="52"/>
    </row>
    <row r="508">
      <c r="M508" s="52"/>
      <c r="N508" s="52"/>
      <c r="O508" s="52"/>
      <c r="P508" s="52"/>
      <c r="Q508" s="52"/>
      <c r="U508" s="52"/>
    </row>
    <row r="509">
      <c r="M509" s="52"/>
      <c r="N509" s="52"/>
      <c r="O509" s="52"/>
      <c r="P509" s="52"/>
      <c r="Q509" s="52"/>
      <c r="U509" s="52"/>
    </row>
    <row r="510">
      <c r="M510" s="52"/>
      <c r="N510" s="52"/>
      <c r="O510" s="52"/>
      <c r="P510" s="52"/>
      <c r="Q510" s="52"/>
      <c r="U510" s="52"/>
    </row>
    <row r="511">
      <c r="M511" s="52"/>
      <c r="N511" s="52"/>
      <c r="O511" s="52"/>
      <c r="P511" s="52"/>
      <c r="Q511" s="52"/>
      <c r="U511" s="52"/>
    </row>
    <row r="512">
      <c r="M512" s="52"/>
      <c r="N512" s="52"/>
      <c r="O512" s="52"/>
      <c r="P512" s="52"/>
      <c r="Q512" s="52"/>
      <c r="U512" s="52"/>
    </row>
    <row r="513">
      <c r="M513" s="52"/>
      <c r="N513" s="52"/>
      <c r="O513" s="52"/>
      <c r="P513" s="52"/>
      <c r="Q513" s="52"/>
      <c r="U513" s="52"/>
    </row>
    <row r="514">
      <c r="M514" s="52"/>
      <c r="N514" s="52"/>
      <c r="O514" s="52"/>
      <c r="P514" s="52"/>
      <c r="Q514" s="52"/>
      <c r="U514" s="52"/>
    </row>
    <row r="515">
      <c r="M515" s="52"/>
      <c r="N515" s="52"/>
      <c r="O515" s="52"/>
      <c r="P515" s="52"/>
      <c r="Q515" s="52"/>
      <c r="U515" s="52"/>
    </row>
    <row r="516">
      <c r="M516" s="52"/>
      <c r="N516" s="52"/>
      <c r="O516" s="52"/>
      <c r="P516" s="52"/>
      <c r="Q516" s="52"/>
      <c r="U516" s="52"/>
    </row>
    <row r="517">
      <c r="M517" s="52"/>
      <c r="N517" s="52"/>
      <c r="O517" s="52"/>
      <c r="P517" s="52"/>
      <c r="Q517" s="52"/>
      <c r="U517" s="52"/>
    </row>
    <row r="518">
      <c r="M518" s="52"/>
      <c r="N518" s="52"/>
      <c r="O518" s="52"/>
      <c r="P518" s="52"/>
      <c r="Q518" s="52"/>
      <c r="U518" s="52"/>
    </row>
    <row r="519">
      <c r="M519" s="52"/>
      <c r="N519" s="52"/>
      <c r="O519" s="52"/>
      <c r="P519" s="52"/>
      <c r="Q519" s="52"/>
      <c r="U519" s="52"/>
    </row>
    <row r="520">
      <c r="M520" s="52"/>
      <c r="N520" s="52"/>
      <c r="O520" s="52"/>
      <c r="P520" s="52"/>
      <c r="Q520" s="52"/>
      <c r="U520" s="52"/>
    </row>
    <row r="521">
      <c r="M521" s="52"/>
      <c r="N521" s="52"/>
      <c r="O521" s="52"/>
      <c r="P521" s="52"/>
      <c r="Q521" s="52"/>
      <c r="U521" s="52"/>
    </row>
    <row r="522">
      <c r="M522" s="52"/>
      <c r="N522" s="52"/>
      <c r="O522" s="52"/>
      <c r="P522" s="52"/>
      <c r="Q522" s="52"/>
      <c r="U522" s="52"/>
    </row>
    <row r="523">
      <c r="M523" s="52"/>
      <c r="N523" s="52"/>
      <c r="O523" s="52"/>
      <c r="P523" s="52"/>
      <c r="Q523" s="52"/>
      <c r="U523" s="52"/>
    </row>
    <row r="524">
      <c r="M524" s="52"/>
      <c r="N524" s="52"/>
      <c r="O524" s="52"/>
      <c r="P524" s="52"/>
      <c r="Q524" s="52"/>
      <c r="U524" s="52"/>
    </row>
    <row r="525">
      <c r="M525" s="52"/>
      <c r="N525" s="52"/>
      <c r="O525" s="52"/>
      <c r="P525" s="52"/>
      <c r="Q525" s="52"/>
      <c r="U525" s="52"/>
    </row>
    <row r="526">
      <c r="M526" s="52"/>
      <c r="N526" s="52"/>
      <c r="O526" s="52"/>
      <c r="P526" s="52"/>
      <c r="Q526" s="52"/>
      <c r="U526" s="52"/>
    </row>
    <row r="527">
      <c r="M527" s="52"/>
      <c r="N527" s="52"/>
      <c r="O527" s="52"/>
      <c r="P527" s="52"/>
      <c r="Q527" s="52"/>
      <c r="U527" s="52"/>
    </row>
    <row r="528">
      <c r="M528" s="52"/>
      <c r="N528" s="52"/>
      <c r="O528" s="52"/>
      <c r="P528" s="52"/>
      <c r="Q528" s="52"/>
      <c r="U528" s="52"/>
    </row>
    <row r="529">
      <c r="M529" s="52"/>
      <c r="N529" s="52"/>
      <c r="O529" s="52"/>
      <c r="P529" s="52"/>
      <c r="Q529" s="52"/>
      <c r="U529" s="52"/>
    </row>
    <row r="530">
      <c r="M530" s="52"/>
      <c r="N530" s="52"/>
      <c r="O530" s="52"/>
      <c r="P530" s="52"/>
      <c r="Q530" s="52"/>
      <c r="U530" s="52"/>
    </row>
    <row r="531">
      <c r="M531" s="52"/>
      <c r="N531" s="52"/>
      <c r="O531" s="52"/>
      <c r="P531" s="52"/>
      <c r="Q531" s="52"/>
      <c r="U531" s="52"/>
    </row>
    <row r="532">
      <c r="M532" s="52"/>
      <c r="N532" s="52"/>
      <c r="O532" s="52"/>
      <c r="P532" s="52"/>
      <c r="Q532" s="52"/>
      <c r="U532" s="52"/>
    </row>
    <row r="533">
      <c r="M533" s="52"/>
      <c r="N533" s="52"/>
      <c r="O533" s="52"/>
      <c r="P533" s="52"/>
      <c r="Q533" s="52"/>
      <c r="U533" s="52"/>
    </row>
    <row r="534">
      <c r="M534" s="52"/>
      <c r="N534" s="52"/>
      <c r="O534" s="52"/>
      <c r="P534" s="52"/>
      <c r="Q534" s="52"/>
      <c r="U534" s="52"/>
    </row>
    <row r="535">
      <c r="M535" s="52"/>
      <c r="N535" s="52"/>
      <c r="O535" s="52"/>
      <c r="P535" s="52"/>
      <c r="Q535" s="52"/>
      <c r="U535" s="52"/>
    </row>
    <row r="536">
      <c r="M536" s="52"/>
      <c r="N536" s="52"/>
      <c r="O536" s="52"/>
      <c r="P536" s="52"/>
      <c r="Q536" s="52"/>
      <c r="U536" s="52"/>
    </row>
    <row r="537">
      <c r="M537" s="52"/>
      <c r="N537" s="52"/>
      <c r="O537" s="52"/>
      <c r="P537" s="52"/>
      <c r="Q537" s="52"/>
      <c r="U537" s="52"/>
    </row>
    <row r="538">
      <c r="M538" s="52"/>
      <c r="N538" s="52"/>
      <c r="O538" s="52"/>
      <c r="P538" s="52"/>
      <c r="Q538" s="52"/>
      <c r="U538" s="52"/>
    </row>
    <row r="539">
      <c r="M539" s="52"/>
      <c r="N539" s="52"/>
      <c r="O539" s="52"/>
      <c r="P539" s="52"/>
      <c r="Q539" s="52"/>
      <c r="U539" s="52"/>
    </row>
    <row r="540">
      <c r="M540" s="52"/>
      <c r="N540" s="52"/>
      <c r="O540" s="52"/>
      <c r="P540" s="52"/>
      <c r="Q540" s="52"/>
      <c r="U540" s="52"/>
    </row>
    <row r="541">
      <c r="M541" s="52"/>
      <c r="N541" s="52"/>
      <c r="O541" s="52"/>
      <c r="P541" s="52"/>
      <c r="Q541" s="52"/>
      <c r="U541" s="52"/>
    </row>
    <row r="542">
      <c r="M542" s="52"/>
      <c r="N542" s="52"/>
      <c r="O542" s="52"/>
      <c r="P542" s="52"/>
      <c r="Q542" s="52"/>
      <c r="U542" s="52"/>
    </row>
    <row r="543">
      <c r="M543" s="52"/>
      <c r="N543" s="52"/>
      <c r="O543" s="52"/>
      <c r="P543" s="52"/>
      <c r="Q543" s="52"/>
      <c r="U543" s="52"/>
    </row>
    <row r="544">
      <c r="M544" s="52"/>
      <c r="N544" s="52"/>
      <c r="O544" s="52"/>
      <c r="P544" s="52"/>
      <c r="Q544" s="52"/>
      <c r="U544" s="52"/>
    </row>
    <row r="545">
      <c r="M545" s="52"/>
      <c r="N545" s="52"/>
      <c r="O545" s="52"/>
      <c r="P545" s="52"/>
      <c r="Q545" s="52"/>
      <c r="U545" s="52"/>
    </row>
    <row r="546">
      <c r="M546" s="52"/>
      <c r="N546" s="52"/>
      <c r="O546" s="52"/>
      <c r="P546" s="52"/>
      <c r="Q546" s="52"/>
      <c r="U546" s="52"/>
    </row>
    <row r="547">
      <c r="M547" s="52"/>
      <c r="N547" s="52"/>
      <c r="O547" s="52"/>
      <c r="P547" s="52"/>
      <c r="Q547" s="52"/>
      <c r="U547" s="52"/>
    </row>
    <row r="548">
      <c r="M548" s="52"/>
      <c r="N548" s="52"/>
      <c r="O548" s="52"/>
      <c r="P548" s="52"/>
      <c r="Q548" s="52"/>
      <c r="U548" s="52"/>
    </row>
    <row r="549">
      <c r="M549" s="52"/>
      <c r="N549" s="52"/>
      <c r="O549" s="52"/>
      <c r="P549" s="52"/>
      <c r="Q549" s="52"/>
      <c r="U549" s="52"/>
    </row>
    <row r="550">
      <c r="M550" s="52"/>
      <c r="N550" s="52"/>
      <c r="O550" s="52"/>
      <c r="P550" s="52"/>
      <c r="Q550" s="52"/>
      <c r="U550" s="52"/>
    </row>
    <row r="551">
      <c r="M551" s="52"/>
      <c r="N551" s="52"/>
      <c r="O551" s="52"/>
      <c r="P551" s="52"/>
      <c r="Q551" s="52"/>
      <c r="U551" s="52"/>
    </row>
    <row r="552">
      <c r="M552" s="52"/>
      <c r="N552" s="52"/>
      <c r="O552" s="52"/>
      <c r="P552" s="52"/>
      <c r="Q552" s="52"/>
      <c r="U552" s="52"/>
    </row>
    <row r="553">
      <c r="M553" s="52"/>
      <c r="N553" s="52"/>
      <c r="O553" s="52"/>
      <c r="P553" s="52"/>
      <c r="Q553" s="52"/>
      <c r="U553" s="52"/>
    </row>
    <row r="554">
      <c r="M554" s="52"/>
      <c r="N554" s="52"/>
      <c r="O554" s="52"/>
      <c r="P554" s="52"/>
      <c r="Q554" s="52"/>
      <c r="U554" s="52"/>
    </row>
    <row r="555">
      <c r="M555" s="52"/>
      <c r="N555" s="52"/>
      <c r="O555" s="52"/>
      <c r="P555" s="52"/>
      <c r="Q555" s="52"/>
      <c r="U555" s="52"/>
    </row>
    <row r="556">
      <c r="M556" s="52"/>
      <c r="N556" s="52"/>
      <c r="O556" s="52"/>
      <c r="P556" s="52"/>
      <c r="Q556" s="52"/>
      <c r="U556" s="52"/>
    </row>
    <row r="557">
      <c r="M557" s="52"/>
      <c r="N557" s="52"/>
      <c r="O557" s="52"/>
      <c r="P557" s="52"/>
      <c r="Q557" s="52"/>
      <c r="U557" s="52"/>
    </row>
    <row r="558">
      <c r="M558" s="52"/>
      <c r="N558" s="52"/>
      <c r="O558" s="52"/>
      <c r="P558" s="52"/>
      <c r="Q558" s="52"/>
      <c r="U558" s="52"/>
    </row>
    <row r="559">
      <c r="M559" s="52"/>
      <c r="N559" s="52"/>
      <c r="O559" s="52"/>
      <c r="P559" s="52"/>
      <c r="Q559" s="52"/>
      <c r="U559" s="52"/>
    </row>
    <row r="560">
      <c r="M560" s="52"/>
      <c r="N560" s="52"/>
      <c r="O560" s="52"/>
      <c r="P560" s="52"/>
      <c r="Q560" s="52"/>
      <c r="U560" s="52"/>
    </row>
    <row r="561">
      <c r="M561" s="52"/>
      <c r="N561" s="52"/>
      <c r="O561" s="52"/>
      <c r="P561" s="52"/>
      <c r="Q561" s="52"/>
      <c r="U561" s="52"/>
    </row>
    <row r="562">
      <c r="M562" s="52"/>
      <c r="N562" s="52"/>
      <c r="O562" s="52"/>
      <c r="P562" s="52"/>
      <c r="Q562" s="52"/>
      <c r="U562" s="52"/>
    </row>
    <row r="563">
      <c r="M563" s="52"/>
      <c r="N563" s="52"/>
      <c r="O563" s="52"/>
      <c r="P563" s="52"/>
      <c r="Q563" s="52"/>
      <c r="U563" s="52"/>
    </row>
    <row r="564">
      <c r="M564" s="52"/>
      <c r="N564" s="52"/>
      <c r="O564" s="52"/>
      <c r="P564" s="52"/>
      <c r="Q564" s="52"/>
      <c r="U564" s="52"/>
    </row>
    <row r="565">
      <c r="M565" s="52"/>
      <c r="N565" s="52"/>
      <c r="O565" s="52"/>
      <c r="P565" s="52"/>
      <c r="Q565" s="52"/>
      <c r="U565" s="52"/>
    </row>
    <row r="566">
      <c r="M566" s="52"/>
      <c r="N566" s="52"/>
      <c r="O566" s="52"/>
      <c r="P566" s="52"/>
      <c r="Q566" s="52"/>
      <c r="U566" s="52"/>
    </row>
    <row r="567">
      <c r="M567" s="52"/>
      <c r="N567" s="52"/>
      <c r="O567" s="52"/>
      <c r="P567" s="52"/>
      <c r="Q567" s="52"/>
      <c r="U567" s="52"/>
    </row>
    <row r="568">
      <c r="M568" s="52"/>
      <c r="N568" s="52"/>
      <c r="O568" s="52"/>
      <c r="P568" s="52"/>
      <c r="Q568" s="52"/>
      <c r="U568" s="52"/>
    </row>
    <row r="569">
      <c r="M569" s="52"/>
      <c r="N569" s="52"/>
      <c r="O569" s="52"/>
      <c r="P569" s="52"/>
      <c r="Q569" s="52"/>
      <c r="U569" s="52"/>
    </row>
    <row r="570">
      <c r="M570" s="52"/>
      <c r="N570" s="52"/>
      <c r="O570" s="52"/>
      <c r="P570" s="52"/>
      <c r="Q570" s="52"/>
      <c r="U570" s="52"/>
    </row>
    <row r="571">
      <c r="M571" s="52"/>
      <c r="N571" s="52"/>
      <c r="O571" s="52"/>
      <c r="P571" s="52"/>
      <c r="Q571" s="52"/>
      <c r="U571" s="52"/>
    </row>
    <row r="572">
      <c r="M572" s="52"/>
      <c r="N572" s="52"/>
      <c r="O572" s="52"/>
      <c r="P572" s="52"/>
      <c r="Q572" s="52"/>
      <c r="U572" s="52"/>
    </row>
    <row r="573">
      <c r="M573" s="52"/>
      <c r="N573" s="52"/>
      <c r="O573" s="52"/>
      <c r="P573" s="52"/>
      <c r="Q573" s="52"/>
      <c r="U573" s="52"/>
    </row>
    <row r="574">
      <c r="M574" s="52"/>
      <c r="N574" s="52"/>
      <c r="O574" s="52"/>
      <c r="P574" s="52"/>
      <c r="Q574" s="52"/>
      <c r="U574" s="52"/>
    </row>
    <row r="575">
      <c r="M575" s="52"/>
      <c r="N575" s="52"/>
      <c r="O575" s="52"/>
      <c r="P575" s="52"/>
      <c r="Q575" s="52"/>
      <c r="U575" s="52"/>
    </row>
    <row r="576">
      <c r="M576" s="52"/>
      <c r="N576" s="52"/>
      <c r="O576" s="52"/>
      <c r="P576" s="52"/>
      <c r="Q576" s="52"/>
      <c r="U576" s="52"/>
    </row>
    <row r="577">
      <c r="M577" s="52"/>
      <c r="N577" s="52"/>
      <c r="O577" s="52"/>
      <c r="P577" s="52"/>
      <c r="Q577" s="52"/>
      <c r="U577" s="52"/>
    </row>
    <row r="578">
      <c r="M578" s="52"/>
      <c r="N578" s="52"/>
      <c r="O578" s="52"/>
      <c r="P578" s="52"/>
      <c r="Q578" s="52"/>
      <c r="U578" s="52"/>
    </row>
    <row r="579">
      <c r="M579" s="52"/>
      <c r="N579" s="52"/>
      <c r="O579" s="52"/>
      <c r="P579" s="52"/>
      <c r="Q579" s="52"/>
      <c r="U579" s="52"/>
    </row>
    <row r="580">
      <c r="M580" s="52"/>
      <c r="N580" s="52"/>
      <c r="O580" s="52"/>
      <c r="P580" s="52"/>
      <c r="Q580" s="52"/>
      <c r="U580" s="52"/>
    </row>
    <row r="581">
      <c r="M581" s="52"/>
      <c r="N581" s="52"/>
      <c r="O581" s="52"/>
      <c r="P581" s="52"/>
      <c r="Q581" s="52"/>
      <c r="U581" s="52"/>
    </row>
    <row r="582">
      <c r="M582" s="52"/>
      <c r="N582" s="52"/>
      <c r="O582" s="52"/>
      <c r="P582" s="52"/>
      <c r="Q582" s="52"/>
      <c r="U582" s="52"/>
    </row>
    <row r="583">
      <c r="M583" s="52"/>
      <c r="N583" s="52"/>
      <c r="O583" s="52"/>
      <c r="P583" s="52"/>
      <c r="Q583" s="52"/>
      <c r="U583" s="52"/>
    </row>
    <row r="584">
      <c r="M584" s="52"/>
      <c r="N584" s="52"/>
      <c r="O584" s="52"/>
      <c r="P584" s="52"/>
      <c r="Q584" s="52"/>
      <c r="U584" s="52"/>
    </row>
    <row r="585">
      <c r="M585" s="52"/>
      <c r="N585" s="52"/>
      <c r="O585" s="52"/>
      <c r="P585" s="52"/>
      <c r="Q585" s="52"/>
      <c r="U585" s="52"/>
    </row>
    <row r="586">
      <c r="M586" s="52"/>
      <c r="N586" s="52"/>
      <c r="O586" s="52"/>
      <c r="P586" s="52"/>
      <c r="Q586" s="52"/>
      <c r="U586" s="52"/>
    </row>
    <row r="587">
      <c r="M587" s="52"/>
      <c r="N587" s="52"/>
      <c r="O587" s="52"/>
      <c r="P587" s="52"/>
      <c r="Q587" s="52"/>
      <c r="U587" s="52"/>
    </row>
    <row r="588">
      <c r="M588" s="52"/>
      <c r="N588" s="52"/>
      <c r="O588" s="52"/>
      <c r="P588" s="52"/>
      <c r="Q588" s="52"/>
      <c r="U588" s="52"/>
    </row>
    <row r="589">
      <c r="M589" s="52"/>
      <c r="N589" s="52"/>
      <c r="O589" s="52"/>
      <c r="P589" s="52"/>
      <c r="Q589" s="52"/>
      <c r="U589" s="52"/>
    </row>
    <row r="590">
      <c r="M590" s="52"/>
      <c r="N590" s="52"/>
      <c r="O590" s="52"/>
      <c r="P590" s="52"/>
      <c r="Q590" s="52"/>
      <c r="U590" s="52"/>
    </row>
    <row r="591">
      <c r="M591" s="52"/>
      <c r="N591" s="52"/>
      <c r="O591" s="52"/>
      <c r="P591" s="52"/>
      <c r="Q591" s="52"/>
      <c r="U591" s="52"/>
    </row>
    <row r="592">
      <c r="M592" s="52"/>
      <c r="N592" s="52"/>
      <c r="O592" s="52"/>
      <c r="P592" s="52"/>
      <c r="Q592" s="52"/>
      <c r="U592" s="52"/>
    </row>
    <row r="593">
      <c r="M593" s="52"/>
      <c r="N593" s="52"/>
      <c r="O593" s="52"/>
      <c r="P593" s="52"/>
      <c r="Q593" s="52"/>
      <c r="U593" s="52"/>
    </row>
    <row r="594">
      <c r="M594" s="52"/>
      <c r="N594" s="52"/>
      <c r="O594" s="52"/>
      <c r="P594" s="52"/>
      <c r="Q594" s="52"/>
      <c r="U594" s="52"/>
    </row>
    <row r="595">
      <c r="M595" s="52"/>
      <c r="N595" s="52"/>
      <c r="O595" s="52"/>
      <c r="P595" s="52"/>
      <c r="Q595" s="52"/>
      <c r="U595" s="52"/>
    </row>
    <row r="596">
      <c r="M596" s="52"/>
      <c r="N596" s="52"/>
      <c r="O596" s="52"/>
      <c r="P596" s="52"/>
      <c r="Q596" s="52"/>
      <c r="U596" s="52"/>
    </row>
    <row r="597">
      <c r="M597" s="52"/>
      <c r="N597" s="52"/>
      <c r="O597" s="52"/>
      <c r="P597" s="52"/>
      <c r="Q597" s="52"/>
      <c r="U597" s="52"/>
    </row>
    <row r="598">
      <c r="M598" s="52"/>
      <c r="N598" s="52"/>
      <c r="O598" s="52"/>
      <c r="P598" s="52"/>
      <c r="Q598" s="52"/>
      <c r="U598" s="52"/>
    </row>
    <row r="599">
      <c r="M599" s="52"/>
      <c r="N599" s="52"/>
      <c r="O599" s="52"/>
      <c r="P599" s="52"/>
      <c r="Q599" s="52"/>
      <c r="U599" s="52"/>
    </row>
    <row r="600">
      <c r="M600" s="52"/>
      <c r="N600" s="52"/>
      <c r="O600" s="52"/>
      <c r="P600" s="52"/>
      <c r="Q600" s="52"/>
      <c r="U600" s="52"/>
    </row>
    <row r="601">
      <c r="M601" s="52"/>
      <c r="N601" s="52"/>
      <c r="O601" s="52"/>
      <c r="P601" s="52"/>
      <c r="Q601" s="52"/>
      <c r="U601" s="52"/>
    </row>
    <row r="602">
      <c r="M602" s="52"/>
      <c r="N602" s="52"/>
      <c r="O602" s="52"/>
      <c r="P602" s="52"/>
      <c r="Q602" s="52"/>
      <c r="U602" s="52"/>
    </row>
    <row r="603">
      <c r="M603" s="52"/>
      <c r="N603" s="52"/>
      <c r="O603" s="52"/>
      <c r="P603" s="52"/>
      <c r="Q603" s="52"/>
      <c r="U603" s="52"/>
    </row>
    <row r="604">
      <c r="M604" s="52"/>
      <c r="N604" s="52"/>
      <c r="O604" s="52"/>
      <c r="P604" s="52"/>
      <c r="Q604" s="52"/>
      <c r="U604" s="52"/>
    </row>
    <row r="605">
      <c r="M605" s="52"/>
      <c r="N605" s="52"/>
      <c r="O605" s="52"/>
      <c r="P605" s="52"/>
      <c r="Q605" s="52"/>
      <c r="U605" s="52"/>
    </row>
    <row r="606">
      <c r="M606" s="52"/>
      <c r="N606" s="52"/>
      <c r="O606" s="52"/>
      <c r="P606" s="52"/>
      <c r="Q606" s="52"/>
      <c r="U606" s="52"/>
    </row>
    <row r="607">
      <c r="M607" s="52"/>
      <c r="N607" s="52"/>
      <c r="O607" s="52"/>
      <c r="P607" s="52"/>
      <c r="Q607" s="52"/>
      <c r="U607" s="52"/>
    </row>
    <row r="608">
      <c r="M608" s="52"/>
      <c r="N608" s="52"/>
      <c r="O608" s="52"/>
      <c r="P608" s="52"/>
      <c r="Q608" s="52"/>
      <c r="U608" s="52"/>
    </row>
    <row r="609">
      <c r="M609" s="52"/>
      <c r="N609" s="52"/>
      <c r="O609" s="52"/>
      <c r="P609" s="52"/>
      <c r="Q609" s="52"/>
      <c r="U609" s="52"/>
    </row>
    <row r="610">
      <c r="M610" s="52"/>
      <c r="N610" s="52"/>
      <c r="O610" s="52"/>
      <c r="P610" s="52"/>
      <c r="Q610" s="52"/>
      <c r="U610" s="52"/>
    </row>
    <row r="611">
      <c r="M611" s="52"/>
      <c r="N611" s="52"/>
      <c r="O611" s="52"/>
      <c r="P611" s="52"/>
      <c r="Q611" s="52"/>
      <c r="U611" s="52"/>
    </row>
    <row r="612">
      <c r="M612" s="52"/>
      <c r="N612" s="52"/>
      <c r="O612" s="52"/>
      <c r="P612" s="52"/>
      <c r="Q612" s="52"/>
      <c r="U612" s="52"/>
    </row>
    <row r="613">
      <c r="M613" s="52"/>
      <c r="N613" s="52"/>
      <c r="O613" s="52"/>
      <c r="P613" s="52"/>
      <c r="Q613" s="52"/>
      <c r="U613" s="52"/>
    </row>
    <row r="614">
      <c r="M614" s="52"/>
      <c r="N614" s="52"/>
      <c r="O614" s="52"/>
      <c r="P614" s="52"/>
      <c r="Q614" s="52"/>
      <c r="U614" s="52"/>
    </row>
    <row r="615">
      <c r="M615" s="52"/>
      <c r="N615" s="52"/>
      <c r="O615" s="52"/>
      <c r="P615" s="52"/>
      <c r="Q615" s="52"/>
      <c r="U615" s="52"/>
    </row>
    <row r="616">
      <c r="M616" s="52"/>
      <c r="N616" s="52"/>
      <c r="O616" s="52"/>
      <c r="P616" s="52"/>
      <c r="Q616" s="52"/>
      <c r="U616" s="52"/>
    </row>
    <row r="617">
      <c r="M617" s="52"/>
      <c r="N617" s="52"/>
      <c r="O617" s="52"/>
      <c r="P617" s="52"/>
      <c r="Q617" s="52"/>
      <c r="U617" s="52"/>
    </row>
    <row r="618">
      <c r="M618" s="52"/>
      <c r="N618" s="52"/>
      <c r="O618" s="52"/>
      <c r="P618" s="52"/>
      <c r="Q618" s="52"/>
      <c r="U618" s="52"/>
    </row>
    <row r="619">
      <c r="M619" s="52"/>
      <c r="N619" s="52"/>
      <c r="O619" s="52"/>
      <c r="P619" s="52"/>
      <c r="Q619" s="52"/>
      <c r="U619" s="52"/>
    </row>
    <row r="620">
      <c r="M620" s="52"/>
      <c r="N620" s="52"/>
      <c r="O620" s="52"/>
      <c r="P620" s="52"/>
      <c r="Q620" s="52"/>
      <c r="U620" s="52"/>
    </row>
    <row r="621">
      <c r="M621" s="52"/>
      <c r="N621" s="52"/>
      <c r="O621" s="52"/>
      <c r="P621" s="52"/>
      <c r="Q621" s="52"/>
      <c r="U621" s="52"/>
    </row>
    <row r="622">
      <c r="M622" s="52"/>
      <c r="N622" s="52"/>
      <c r="O622" s="52"/>
      <c r="P622" s="52"/>
      <c r="Q622" s="52"/>
      <c r="U622" s="52"/>
    </row>
    <row r="623">
      <c r="M623" s="52"/>
      <c r="N623" s="52"/>
      <c r="O623" s="52"/>
      <c r="P623" s="52"/>
      <c r="Q623" s="52"/>
      <c r="U623" s="52"/>
    </row>
    <row r="624">
      <c r="M624" s="52"/>
      <c r="N624" s="52"/>
      <c r="O624" s="52"/>
      <c r="P624" s="52"/>
      <c r="Q624" s="52"/>
      <c r="U624" s="52"/>
    </row>
    <row r="625">
      <c r="M625" s="52"/>
      <c r="N625" s="52"/>
      <c r="O625" s="52"/>
      <c r="P625" s="52"/>
      <c r="Q625" s="52"/>
      <c r="U625" s="52"/>
    </row>
    <row r="626">
      <c r="M626" s="52"/>
      <c r="N626" s="52"/>
      <c r="O626" s="52"/>
      <c r="P626" s="52"/>
      <c r="Q626" s="52"/>
      <c r="U626" s="52"/>
    </row>
    <row r="627">
      <c r="M627" s="52"/>
      <c r="N627" s="52"/>
      <c r="O627" s="52"/>
      <c r="P627" s="52"/>
      <c r="Q627" s="52"/>
      <c r="U627" s="52"/>
    </row>
    <row r="628">
      <c r="M628" s="52"/>
      <c r="N628" s="52"/>
      <c r="O628" s="52"/>
      <c r="P628" s="52"/>
      <c r="Q628" s="52"/>
      <c r="U628" s="52"/>
    </row>
    <row r="629">
      <c r="M629" s="52"/>
      <c r="N629" s="52"/>
      <c r="O629" s="52"/>
      <c r="P629" s="52"/>
      <c r="Q629" s="52"/>
      <c r="U629" s="52"/>
    </row>
    <row r="630">
      <c r="M630" s="52"/>
      <c r="N630" s="52"/>
      <c r="O630" s="52"/>
      <c r="P630" s="52"/>
      <c r="Q630" s="52"/>
      <c r="U630" s="52"/>
    </row>
    <row r="631">
      <c r="M631" s="52"/>
      <c r="N631" s="52"/>
      <c r="O631" s="52"/>
      <c r="P631" s="52"/>
      <c r="Q631" s="52"/>
      <c r="U631" s="52"/>
    </row>
    <row r="632">
      <c r="M632" s="52"/>
      <c r="N632" s="52"/>
      <c r="O632" s="52"/>
      <c r="P632" s="52"/>
      <c r="Q632" s="52"/>
      <c r="U632" s="52"/>
    </row>
    <row r="633">
      <c r="M633" s="52"/>
      <c r="N633" s="52"/>
      <c r="O633" s="52"/>
      <c r="P633" s="52"/>
      <c r="Q633" s="52"/>
      <c r="U633" s="52"/>
    </row>
    <row r="634">
      <c r="M634" s="52"/>
      <c r="N634" s="52"/>
      <c r="O634" s="52"/>
      <c r="P634" s="52"/>
      <c r="Q634" s="52"/>
      <c r="U634" s="52"/>
    </row>
    <row r="635">
      <c r="M635" s="52"/>
      <c r="N635" s="52"/>
      <c r="O635" s="52"/>
      <c r="P635" s="52"/>
      <c r="Q635" s="52"/>
      <c r="U635" s="52"/>
    </row>
    <row r="636">
      <c r="M636" s="52"/>
      <c r="N636" s="52"/>
      <c r="O636" s="52"/>
      <c r="P636" s="52"/>
      <c r="Q636" s="52"/>
      <c r="U636" s="52"/>
    </row>
    <row r="637">
      <c r="M637" s="52"/>
      <c r="N637" s="52"/>
      <c r="O637" s="52"/>
      <c r="P637" s="52"/>
      <c r="Q637" s="52"/>
      <c r="U637" s="52"/>
    </row>
    <row r="638">
      <c r="M638" s="52"/>
      <c r="N638" s="52"/>
      <c r="O638" s="52"/>
      <c r="P638" s="52"/>
      <c r="Q638" s="52"/>
      <c r="U638" s="52"/>
    </row>
    <row r="639">
      <c r="M639" s="52"/>
      <c r="N639" s="52"/>
      <c r="O639" s="52"/>
      <c r="P639" s="52"/>
      <c r="Q639" s="52"/>
      <c r="U639" s="52"/>
    </row>
    <row r="640">
      <c r="M640" s="52"/>
      <c r="N640" s="52"/>
      <c r="O640" s="52"/>
      <c r="P640" s="52"/>
      <c r="Q640" s="52"/>
      <c r="U640" s="52"/>
    </row>
    <row r="641">
      <c r="M641" s="52"/>
      <c r="N641" s="52"/>
      <c r="O641" s="52"/>
      <c r="P641" s="52"/>
      <c r="Q641" s="52"/>
      <c r="U641" s="52"/>
    </row>
    <row r="642">
      <c r="M642" s="52"/>
      <c r="N642" s="52"/>
      <c r="O642" s="52"/>
      <c r="P642" s="52"/>
      <c r="Q642" s="52"/>
      <c r="U642" s="52"/>
    </row>
    <row r="643">
      <c r="M643" s="52"/>
      <c r="N643" s="52"/>
      <c r="O643" s="52"/>
      <c r="P643" s="52"/>
      <c r="Q643" s="52"/>
      <c r="U643" s="52"/>
    </row>
    <row r="644">
      <c r="M644" s="52"/>
      <c r="N644" s="52"/>
      <c r="O644" s="52"/>
      <c r="P644" s="52"/>
      <c r="Q644" s="52"/>
      <c r="U644" s="52"/>
    </row>
    <row r="645">
      <c r="M645" s="52"/>
      <c r="N645" s="52"/>
      <c r="O645" s="52"/>
      <c r="P645" s="52"/>
      <c r="Q645" s="52"/>
      <c r="U645" s="52"/>
    </row>
    <row r="646">
      <c r="M646" s="52"/>
      <c r="N646" s="52"/>
      <c r="O646" s="52"/>
      <c r="P646" s="52"/>
      <c r="Q646" s="52"/>
      <c r="U646" s="52"/>
    </row>
    <row r="647">
      <c r="M647" s="52"/>
      <c r="N647" s="52"/>
      <c r="O647" s="52"/>
      <c r="P647" s="52"/>
      <c r="Q647" s="52"/>
      <c r="U647" s="52"/>
    </row>
    <row r="648">
      <c r="M648" s="52"/>
      <c r="N648" s="52"/>
      <c r="O648" s="52"/>
      <c r="P648" s="52"/>
      <c r="Q648" s="52"/>
      <c r="U648" s="52"/>
    </row>
    <row r="649">
      <c r="M649" s="52"/>
      <c r="N649" s="52"/>
      <c r="O649" s="52"/>
      <c r="P649" s="52"/>
      <c r="Q649" s="52"/>
      <c r="U649" s="52"/>
    </row>
    <row r="650">
      <c r="M650" s="52"/>
      <c r="N650" s="52"/>
      <c r="O650" s="52"/>
      <c r="P650" s="52"/>
      <c r="Q650" s="52"/>
      <c r="U650" s="52"/>
    </row>
    <row r="651">
      <c r="M651" s="52"/>
      <c r="N651" s="52"/>
      <c r="O651" s="52"/>
      <c r="P651" s="52"/>
      <c r="Q651" s="52"/>
      <c r="U651" s="52"/>
    </row>
    <row r="652">
      <c r="M652" s="52"/>
      <c r="N652" s="52"/>
      <c r="O652" s="52"/>
      <c r="P652" s="52"/>
      <c r="Q652" s="52"/>
      <c r="U652" s="52"/>
    </row>
    <row r="653">
      <c r="M653" s="52"/>
      <c r="N653" s="52"/>
      <c r="O653" s="52"/>
      <c r="P653" s="52"/>
      <c r="Q653" s="52"/>
      <c r="U653" s="52"/>
    </row>
    <row r="654">
      <c r="M654" s="52"/>
      <c r="N654" s="52"/>
      <c r="O654" s="52"/>
      <c r="P654" s="52"/>
      <c r="Q654" s="52"/>
      <c r="U654" s="52"/>
    </row>
    <row r="655">
      <c r="M655" s="52"/>
      <c r="N655" s="52"/>
      <c r="O655" s="52"/>
      <c r="P655" s="52"/>
      <c r="Q655" s="52"/>
      <c r="U655" s="52"/>
    </row>
    <row r="656">
      <c r="M656" s="52"/>
      <c r="N656" s="52"/>
      <c r="O656" s="52"/>
      <c r="P656" s="52"/>
      <c r="Q656" s="52"/>
      <c r="U656" s="52"/>
    </row>
    <row r="657">
      <c r="M657" s="52"/>
      <c r="N657" s="52"/>
      <c r="O657" s="52"/>
      <c r="P657" s="52"/>
      <c r="Q657" s="52"/>
      <c r="U657" s="52"/>
    </row>
    <row r="658">
      <c r="M658" s="52"/>
      <c r="N658" s="52"/>
      <c r="O658" s="52"/>
      <c r="P658" s="52"/>
      <c r="Q658" s="52"/>
      <c r="U658" s="52"/>
    </row>
    <row r="659">
      <c r="M659" s="52"/>
      <c r="N659" s="52"/>
      <c r="O659" s="52"/>
      <c r="P659" s="52"/>
      <c r="Q659" s="52"/>
      <c r="U659" s="52"/>
    </row>
    <row r="660">
      <c r="M660" s="52"/>
      <c r="N660" s="52"/>
      <c r="O660" s="52"/>
      <c r="P660" s="52"/>
      <c r="Q660" s="52"/>
      <c r="U660" s="52"/>
    </row>
    <row r="661">
      <c r="M661" s="52"/>
      <c r="N661" s="52"/>
      <c r="O661" s="52"/>
      <c r="P661" s="52"/>
      <c r="Q661" s="52"/>
      <c r="U661" s="52"/>
    </row>
    <row r="662">
      <c r="M662" s="52"/>
      <c r="N662" s="52"/>
      <c r="O662" s="52"/>
      <c r="P662" s="52"/>
      <c r="Q662" s="52"/>
      <c r="U662" s="52"/>
    </row>
    <row r="663">
      <c r="M663" s="52"/>
      <c r="N663" s="52"/>
      <c r="O663" s="52"/>
      <c r="P663" s="52"/>
      <c r="Q663" s="52"/>
      <c r="U663" s="52"/>
    </row>
    <row r="664">
      <c r="M664" s="52"/>
      <c r="N664" s="52"/>
      <c r="O664" s="52"/>
      <c r="P664" s="52"/>
      <c r="Q664" s="52"/>
      <c r="U664" s="52"/>
    </row>
    <row r="665">
      <c r="M665" s="52"/>
      <c r="N665" s="52"/>
      <c r="O665" s="52"/>
      <c r="P665" s="52"/>
      <c r="Q665" s="52"/>
      <c r="U665" s="52"/>
    </row>
    <row r="666">
      <c r="M666" s="52"/>
      <c r="N666" s="52"/>
      <c r="O666" s="52"/>
      <c r="P666" s="52"/>
      <c r="Q666" s="52"/>
      <c r="U666" s="52"/>
    </row>
    <row r="667">
      <c r="M667" s="52"/>
      <c r="N667" s="52"/>
      <c r="O667" s="52"/>
      <c r="P667" s="52"/>
      <c r="Q667" s="52"/>
      <c r="U667" s="52"/>
    </row>
    <row r="668">
      <c r="M668" s="52"/>
      <c r="N668" s="52"/>
      <c r="O668" s="52"/>
      <c r="P668" s="52"/>
      <c r="Q668" s="52"/>
      <c r="U668" s="52"/>
    </row>
    <row r="669">
      <c r="M669" s="52"/>
      <c r="N669" s="52"/>
      <c r="O669" s="52"/>
      <c r="P669" s="52"/>
      <c r="Q669" s="52"/>
      <c r="U669" s="52"/>
    </row>
    <row r="670">
      <c r="M670" s="52"/>
      <c r="N670" s="52"/>
      <c r="O670" s="52"/>
      <c r="P670" s="52"/>
      <c r="Q670" s="52"/>
      <c r="U670" s="52"/>
    </row>
    <row r="671">
      <c r="M671" s="52"/>
      <c r="N671" s="52"/>
      <c r="O671" s="52"/>
      <c r="P671" s="52"/>
      <c r="Q671" s="52"/>
      <c r="U671" s="52"/>
    </row>
    <row r="672">
      <c r="M672" s="52"/>
      <c r="N672" s="52"/>
      <c r="O672" s="52"/>
      <c r="P672" s="52"/>
      <c r="Q672" s="52"/>
      <c r="U672" s="52"/>
    </row>
    <row r="673">
      <c r="M673" s="52"/>
      <c r="N673" s="52"/>
      <c r="O673" s="52"/>
      <c r="P673" s="52"/>
      <c r="Q673" s="52"/>
      <c r="U673" s="52"/>
    </row>
    <row r="674">
      <c r="M674" s="52"/>
      <c r="N674" s="52"/>
      <c r="O674" s="52"/>
      <c r="P674" s="52"/>
      <c r="Q674" s="52"/>
      <c r="U674" s="52"/>
    </row>
    <row r="675">
      <c r="M675" s="52"/>
      <c r="N675" s="52"/>
      <c r="O675" s="52"/>
      <c r="P675" s="52"/>
      <c r="Q675" s="52"/>
      <c r="U675" s="52"/>
    </row>
    <row r="676">
      <c r="M676" s="52"/>
      <c r="N676" s="52"/>
      <c r="O676" s="52"/>
      <c r="P676" s="52"/>
      <c r="Q676" s="52"/>
      <c r="U676" s="52"/>
    </row>
    <row r="677">
      <c r="M677" s="52"/>
      <c r="N677" s="52"/>
      <c r="O677" s="52"/>
      <c r="P677" s="52"/>
      <c r="Q677" s="52"/>
      <c r="U677" s="52"/>
    </row>
    <row r="678">
      <c r="M678" s="52"/>
      <c r="N678" s="52"/>
      <c r="O678" s="52"/>
      <c r="P678" s="52"/>
      <c r="Q678" s="52"/>
      <c r="U678" s="52"/>
    </row>
    <row r="679">
      <c r="M679" s="52"/>
      <c r="N679" s="52"/>
      <c r="O679" s="52"/>
      <c r="P679" s="52"/>
      <c r="Q679" s="52"/>
      <c r="U679" s="52"/>
    </row>
    <row r="680">
      <c r="M680" s="52"/>
      <c r="N680" s="52"/>
      <c r="O680" s="52"/>
      <c r="P680" s="52"/>
      <c r="Q680" s="52"/>
      <c r="U680" s="52"/>
    </row>
    <row r="681">
      <c r="M681" s="52"/>
      <c r="N681" s="52"/>
      <c r="O681" s="52"/>
      <c r="P681" s="52"/>
      <c r="Q681" s="52"/>
      <c r="U681" s="52"/>
    </row>
    <row r="682">
      <c r="M682" s="52"/>
      <c r="N682" s="52"/>
      <c r="O682" s="52"/>
      <c r="P682" s="52"/>
      <c r="Q682" s="52"/>
      <c r="U682" s="52"/>
    </row>
    <row r="683">
      <c r="M683" s="52"/>
      <c r="N683" s="52"/>
      <c r="O683" s="52"/>
      <c r="P683" s="52"/>
      <c r="Q683" s="52"/>
      <c r="U683" s="52"/>
    </row>
    <row r="684">
      <c r="M684" s="52"/>
      <c r="N684" s="52"/>
      <c r="O684" s="52"/>
      <c r="P684" s="52"/>
      <c r="Q684" s="52"/>
      <c r="U684" s="52"/>
    </row>
    <row r="685">
      <c r="M685" s="52"/>
      <c r="N685" s="52"/>
      <c r="O685" s="52"/>
      <c r="P685" s="52"/>
      <c r="Q685" s="52"/>
      <c r="U685" s="52"/>
    </row>
    <row r="686">
      <c r="M686" s="52"/>
      <c r="N686" s="52"/>
      <c r="O686" s="52"/>
      <c r="P686" s="52"/>
      <c r="Q686" s="52"/>
      <c r="U686" s="52"/>
    </row>
    <row r="687">
      <c r="M687" s="52"/>
      <c r="N687" s="52"/>
      <c r="O687" s="52"/>
      <c r="P687" s="52"/>
      <c r="Q687" s="52"/>
      <c r="U687" s="52"/>
    </row>
    <row r="688">
      <c r="M688" s="52"/>
      <c r="N688" s="52"/>
      <c r="O688" s="52"/>
      <c r="P688" s="52"/>
      <c r="Q688" s="52"/>
      <c r="U688" s="52"/>
    </row>
    <row r="689">
      <c r="M689" s="52"/>
      <c r="N689" s="52"/>
      <c r="O689" s="52"/>
      <c r="P689" s="52"/>
      <c r="Q689" s="52"/>
      <c r="U689" s="52"/>
    </row>
    <row r="690">
      <c r="M690" s="52"/>
      <c r="N690" s="52"/>
      <c r="O690" s="52"/>
      <c r="P690" s="52"/>
      <c r="Q690" s="52"/>
      <c r="U690" s="52"/>
    </row>
    <row r="691">
      <c r="M691" s="52"/>
      <c r="N691" s="52"/>
      <c r="O691" s="52"/>
      <c r="P691" s="52"/>
      <c r="Q691" s="52"/>
      <c r="U691" s="52"/>
    </row>
    <row r="692">
      <c r="M692" s="52"/>
      <c r="N692" s="52"/>
      <c r="O692" s="52"/>
      <c r="P692" s="52"/>
      <c r="Q692" s="52"/>
      <c r="U692" s="52"/>
    </row>
    <row r="693">
      <c r="M693" s="52"/>
      <c r="N693" s="52"/>
      <c r="O693" s="52"/>
      <c r="P693" s="52"/>
      <c r="Q693" s="52"/>
      <c r="U693" s="52"/>
    </row>
    <row r="694">
      <c r="M694" s="52"/>
      <c r="N694" s="52"/>
      <c r="O694" s="52"/>
      <c r="P694" s="52"/>
      <c r="Q694" s="52"/>
      <c r="U694" s="52"/>
    </row>
    <row r="695">
      <c r="M695" s="52"/>
      <c r="N695" s="52"/>
      <c r="O695" s="52"/>
      <c r="P695" s="52"/>
      <c r="Q695" s="52"/>
      <c r="U695" s="52"/>
    </row>
    <row r="696">
      <c r="M696" s="52"/>
      <c r="N696" s="52"/>
      <c r="O696" s="52"/>
      <c r="P696" s="52"/>
      <c r="Q696" s="52"/>
      <c r="U696" s="52"/>
    </row>
    <row r="697">
      <c r="M697" s="52"/>
      <c r="N697" s="52"/>
      <c r="O697" s="52"/>
      <c r="P697" s="52"/>
      <c r="Q697" s="52"/>
      <c r="U697" s="52"/>
    </row>
    <row r="698">
      <c r="M698" s="52"/>
      <c r="N698" s="52"/>
      <c r="O698" s="52"/>
      <c r="P698" s="52"/>
      <c r="Q698" s="52"/>
      <c r="U698" s="52"/>
    </row>
    <row r="699">
      <c r="M699" s="52"/>
      <c r="N699" s="52"/>
      <c r="O699" s="52"/>
      <c r="P699" s="52"/>
      <c r="Q699" s="52"/>
      <c r="U699" s="52"/>
    </row>
    <row r="700">
      <c r="M700" s="52"/>
      <c r="N700" s="52"/>
      <c r="O700" s="52"/>
      <c r="P700" s="52"/>
      <c r="Q700" s="52"/>
      <c r="U700" s="52"/>
    </row>
    <row r="701">
      <c r="M701" s="52"/>
      <c r="N701" s="52"/>
      <c r="O701" s="52"/>
      <c r="P701" s="52"/>
      <c r="Q701" s="52"/>
      <c r="U701" s="52"/>
    </row>
    <row r="702">
      <c r="M702" s="52"/>
      <c r="N702" s="52"/>
      <c r="O702" s="52"/>
      <c r="P702" s="52"/>
      <c r="Q702" s="52"/>
      <c r="U702" s="52"/>
    </row>
    <row r="703">
      <c r="M703" s="52"/>
      <c r="N703" s="52"/>
      <c r="O703" s="52"/>
      <c r="P703" s="52"/>
      <c r="Q703" s="52"/>
      <c r="U703" s="52"/>
    </row>
    <row r="704">
      <c r="M704" s="52"/>
      <c r="N704" s="52"/>
      <c r="O704" s="52"/>
      <c r="P704" s="52"/>
      <c r="Q704" s="52"/>
      <c r="U704" s="52"/>
    </row>
    <row r="705">
      <c r="M705" s="52"/>
      <c r="N705" s="52"/>
      <c r="O705" s="52"/>
      <c r="P705" s="52"/>
      <c r="Q705" s="52"/>
      <c r="U705" s="52"/>
    </row>
    <row r="706">
      <c r="M706" s="52"/>
      <c r="N706" s="52"/>
      <c r="O706" s="52"/>
      <c r="P706" s="52"/>
      <c r="Q706" s="52"/>
      <c r="U706" s="52"/>
    </row>
    <row r="707">
      <c r="M707" s="52"/>
      <c r="N707" s="52"/>
      <c r="O707" s="52"/>
      <c r="P707" s="52"/>
      <c r="Q707" s="52"/>
      <c r="U707" s="52"/>
    </row>
    <row r="708">
      <c r="M708" s="52"/>
      <c r="N708" s="52"/>
      <c r="O708" s="52"/>
      <c r="P708" s="52"/>
      <c r="Q708" s="52"/>
      <c r="U708" s="52"/>
    </row>
    <row r="709">
      <c r="M709" s="52"/>
      <c r="N709" s="52"/>
      <c r="O709" s="52"/>
      <c r="P709" s="52"/>
      <c r="Q709" s="52"/>
      <c r="U709" s="52"/>
    </row>
    <row r="710">
      <c r="M710" s="52"/>
      <c r="N710" s="52"/>
      <c r="O710" s="52"/>
      <c r="P710" s="52"/>
      <c r="Q710" s="52"/>
      <c r="U710" s="52"/>
    </row>
    <row r="711">
      <c r="M711" s="52"/>
      <c r="N711" s="52"/>
      <c r="O711" s="52"/>
      <c r="P711" s="52"/>
      <c r="Q711" s="52"/>
      <c r="U711" s="52"/>
    </row>
    <row r="712">
      <c r="M712" s="52"/>
      <c r="N712" s="52"/>
      <c r="O712" s="52"/>
      <c r="P712" s="52"/>
      <c r="Q712" s="52"/>
      <c r="U712" s="52"/>
    </row>
    <row r="713">
      <c r="M713" s="52"/>
      <c r="N713" s="52"/>
      <c r="O713" s="52"/>
      <c r="P713" s="52"/>
      <c r="Q713" s="52"/>
      <c r="U713" s="52"/>
    </row>
    <row r="714">
      <c r="M714" s="52"/>
      <c r="N714" s="52"/>
      <c r="O714" s="52"/>
      <c r="P714" s="52"/>
      <c r="Q714" s="52"/>
      <c r="U714" s="52"/>
    </row>
    <row r="715">
      <c r="M715" s="52"/>
      <c r="N715" s="52"/>
      <c r="O715" s="52"/>
      <c r="P715" s="52"/>
      <c r="Q715" s="52"/>
      <c r="U715" s="52"/>
    </row>
    <row r="716">
      <c r="M716" s="52"/>
      <c r="N716" s="52"/>
      <c r="O716" s="52"/>
      <c r="P716" s="52"/>
      <c r="Q716" s="52"/>
      <c r="U716" s="52"/>
    </row>
    <row r="717">
      <c r="M717" s="52"/>
      <c r="N717" s="52"/>
      <c r="O717" s="52"/>
      <c r="P717" s="52"/>
      <c r="Q717" s="52"/>
      <c r="U717" s="52"/>
    </row>
    <row r="718">
      <c r="M718" s="52"/>
      <c r="N718" s="52"/>
      <c r="O718" s="52"/>
      <c r="P718" s="52"/>
      <c r="Q718" s="52"/>
      <c r="U718" s="52"/>
    </row>
    <row r="719">
      <c r="M719" s="52"/>
      <c r="N719" s="52"/>
      <c r="O719" s="52"/>
      <c r="P719" s="52"/>
      <c r="Q719" s="52"/>
      <c r="U719" s="52"/>
    </row>
    <row r="720">
      <c r="M720" s="52"/>
      <c r="N720" s="52"/>
      <c r="O720" s="52"/>
      <c r="P720" s="52"/>
      <c r="Q720" s="52"/>
      <c r="U720" s="52"/>
    </row>
    <row r="721">
      <c r="M721" s="52"/>
      <c r="N721" s="52"/>
      <c r="O721" s="52"/>
      <c r="P721" s="52"/>
      <c r="Q721" s="52"/>
      <c r="U721" s="52"/>
    </row>
    <row r="722">
      <c r="M722" s="52"/>
      <c r="N722" s="52"/>
      <c r="O722" s="52"/>
      <c r="P722" s="52"/>
      <c r="Q722" s="52"/>
      <c r="U722" s="52"/>
    </row>
    <row r="723">
      <c r="M723" s="52"/>
      <c r="N723" s="52"/>
      <c r="O723" s="52"/>
      <c r="P723" s="52"/>
      <c r="Q723" s="52"/>
      <c r="U723" s="52"/>
    </row>
    <row r="724">
      <c r="M724" s="52"/>
      <c r="N724" s="52"/>
      <c r="O724" s="52"/>
      <c r="P724" s="52"/>
      <c r="Q724" s="52"/>
      <c r="U724" s="52"/>
    </row>
    <row r="725">
      <c r="M725" s="52"/>
      <c r="N725" s="52"/>
      <c r="O725" s="52"/>
      <c r="P725" s="52"/>
      <c r="Q725" s="52"/>
      <c r="U725" s="52"/>
    </row>
    <row r="726">
      <c r="M726" s="52"/>
      <c r="N726" s="52"/>
      <c r="O726" s="52"/>
      <c r="P726" s="52"/>
      <c r="Q726" s="52"/>
      <c r="U726" s="52"/>
    </row>
    <row r="727">
      <c r="M727" s="52"/>
      <c r="N727" s="52"/>
      <c r="O727" s="52"/>
      <c r="P727" s="52"/>
      <c r="Q727" s="52"/>
      <c r="U727" s="52"/>
    </row>
    <row r="728">
      <c r="M728" s="52"/>
      <c r="N728" s="52"/>
      <c r="O728" s="52"/>
      <c r="P728" s="52"/>
      <c r="Q728" s="52"/>
      <c r="U728" s="52"/>
    </row>
    <row r="729">
      <c r="M729" s="52"/>
      <c r="N729" s="52"/>
      <c r="O729" s="52"/>
      <c r="P729" s="52"/>
      <c r="Q729" s="52"/>
      <c r="U729" s="52"/>
    </row>
    <row r="730">
      <c r="M730" s="52"/>
      <c r="N730" s="52"/>
      <c r="O730" s="52"/>
      <c r="P730" s="52"/>
      <c r="Q730" s="52"/>
      <c r="U730" s="52"/>
    </row>
    <row r="731">
      <c r="M731" s="52"/>
      <c r="N731" s="52"/>
      <c r="O731" s="52"/>
      <c r="P731" s="52"/>
      <c r="Q731" s="52"/>
      <c r="U731" s="52"/>
    </row>
    <row r="732">
      <c r="M732" s="52"/>
      <c r="N732" s="52"/>
      <c r="O732" s="52"/>
      <c r="P732" s="52"/>
      <c r="Q732" s="52"/>
      <c r="U732" s="52"/>
    </row>
    <row r="733">
      <c r="M733" s="52"/>
      <c r="N733" s="52"/>
      <c r="O733" s="52"/>
      <c r="P733" s="52"/>
      <c r="Q733" s="52"/>
      <c r="U733" s="52"/>
    </row>
    <row r="734">
      <c r="M734" s="52"/>
      <c r="N734" s="52"/>
      <c r="O734" s="52"/>
      <c r="P734" s="52"/>
      <c r="Q734" s="52"/>
      <c r="U734" s="52"/>
    </row>
    <row r="735">
      <c r="M735" s="52"/>
      <c r="N735" s="52"/>
      <c r="O735" s="52"/>
      <c r="P735" s="52"/>
      <c r="Q735" s="52"/>
      <c r="U735" s="52"/>
    </row>
    <row r="736">
      <c r="M736" s="52"/>
      <c r="N736" s="52"/>
      <c r="O736" s="52"/>
      <c r="P736" s="52"/>
      <c r="Q736" s="52"/>
      <c r="U736" s="52"/>
    </row>
    <row r="737">
      <c r="M737" s="52"/>
      <c r="N737" s="52"/>
      <c r="O737" s="52"/>
      <c r="P737" s="52"/>
      <c r="Q737" s="52"/>
      <c r="U737" s="52"/>
    </row>
    <row r="738">
      <c r="M738" s="52"/>
      <c r="N738" s="52"/>
      <c r="O738" s="52"/>
      <c r="P738" s="52"/>
      <c r="Q738" s="52"/>
      <c r="U738" s="52"/>
    </row>
    <row r="739">
      <c r="M739" s="52"/>
      <c r="N739" s="52"/>
      <c r="O739" s="52"/>
      <c r="P739" s="52"/>
      <c r="Q739" s="52"/>
      <c r="U739" s="52"/>
    </row>
    <row r="740">
      <c r="M740" s="52"/>
      <c r="N740" s="52"/>
      <c r="O740" s="52"/>
      <c r="P740" s="52"/>
      <c r="Q740" s="52"/>
      <c r="U740" s="52"/>
    </row>
    <row r="741">
      <c r="M741" s="52"/>
      <c r="N741" s="52"/>
      <c r="O741" s="52"/>
      <c r="P741" s="52"/>
      <c r="Q741" s="52"/>
      <c r="U741" s="52"/>
    </row>
    <row r="742">
      <c r="M742" s="52"/>
      <c r="N742" s="52"/>
      <c r="O742" s="52"/>
      <c r="P742" s="52"/>
      <c r="Q742" s="52"/>
      <c r="U742" s="52"/>
    </row>
    <row r="743">
      <c r="M743" s="52"/>
      <c r="N743" s="52"/>
      <c r="O743" s="52"/>
      <c r="P743" s="52"/>
      <c r="Q743" s="52"/>
      <c r="U743" s="52"/>
    </row>
    <row r="744">
      <c r="M744" s="52"/>
      <c r="N744" s="52"/>
      <c r="O744" s="52"/>
      <c r="P744" s="52"/>
      <c r="Q744" s="52"/>
      <c r="U744" s="52"/>
    </row>
    <row r="745">
      <c r="M745" s="52"/>
      <c r="N745" s="52"/>
      <c r="O745" s="52"/>
      <c r="P745" s="52"/>
      <c r="Q745" s="52"/>
      <c r="U745" s="52"/>
    </row>
    <row r="746">
      <c r="M746" s="52"/>
      <c r="N746" s="52"/>
      <c r="O746" s="52"/>
      <c r="P746" s="52"/>
      <c r="Q746" s="52"/>
      <c r="U746" s="52"/>
    </row>
    <row r="747">
      <c r="M747" s="52"/>
      <c r="N747" s="52"/>
      <c r="O747" s="52"/>
      <c r="P747" s="52"/>
      <c r="Q747" s="52"/>
      <c r="U747" s="52"/>
    </row>
    <row r="748">
      <c r="M748" s="52"/>
      <c r="N748" s="52"/>
      <c r="O748" s="52"/>
      <c r="P748" s="52"/>
      <c r="Q748" s="52"/>
      <c r="U748" s="52"/>
    </row>
    <row r="749">
      <c r="M749" s="52"/>
      <c r="N749" s="52"/>
      <c r="O749" s="52"/>
      <c r="P749" s="52"/>
      <c r="Q749" s="52"/>
      <c r="U749" s="52"/>
    </row>
    <row r="750">
      <c r="M750" s="52"/>
      <c r="N750" s="52"/>
      <c r="O750" s="52"/>
      <c r="P750" s="52"/>
      <c r="Q750" s="52"/>
      <c r="U750" s="52"/>
    </row>
    <row r="751">
      <c r="M751" s="52"/>
      <c r="N751" s="52"/>
      <c r="O751" s="52"/>
      <c r="P751" s="52"/>
      <c r="Q751" s="52"/>
      <c r="U751" s="52"/>
    </row>
    <row r="752">
      <c r="M752" s="52"/>
      <c r="N752" s="52"/>
      <c r="O752" s="52"/>
      <c r="P752" s="52"/>
      <c r="Q752" s="52"/>
      <c r="U752" s="52"/>
    </row>
    <row r="753">
      <c r="M753" s="52"/>
      <c r="N753" s="52"/>
      <c r="O753" s="52"/>
      <c r="P753" s="52"/>
      <c r="Q753" s="52"/>
      <c r="U753" s="52"/>
    </row>
    <row r="754">
      <c r="M754" s="52"/>
      <c r="N754" s="52"/>
      <c r="O754" s="52"/>
      <c r="P754" s="52"/>
      <c r="Q754" s="52"/>
      <c r="U754" s="52"/>
    </row>
    <row r="755">
      <c r="M755" s="52"/>
      <c r="N755" s="52"/>
      <c r="O755" s="52"/>
      <c r="P755" s="52"/>
      <c r="Q755" s="52"/>
      <c r="U755" s="52"/>
    </row>
    <row r="756">
      <c r="M756" s="52"/>
      <c r="N756" s="52"/>
      <c r="O756" s="52"/>
      <c r="P756" s="52"/>
      <c r="Q756" s="52"/>
      <c r="U756" s="52"/>
    </row>
    <row r="757">
      <c r="M757" s="52"/>
      <c r="N757" s="52"/>
      <c r="O757" s="52"/>
      <c r="P757" s="52"/>
      <c r="Q757" s="52"/>
      <c r="U757" s="52"/>
    </row>
    <row r="758">
      <c r="M758" s="52"/>
      <c r="N758" s="52"/>
      <c r="O758" s="52"/>
      <c r="P758" s="52"/>
      <c r="Q758" s="52"/>
      <c r="U758" s="52"/>
    </row>
    <row r="759">
      <c r="M759" s="52"/>
      <c r="N759" s="52"/>
      <c r="O759" s="52"/>
      <c r="P759" s="52"/>
      <c r="Q759" s="52"/>
      <c r="U759" s="52"/>
    </row>
    <row r="760">
      <c r="M760" s="52"/>
      <c r="N760" s="52"/>
      <c r="O760" s="52"/>
      <c r="P760" s="52"/>
      <c r="Q760" s="52"/>
      <c r="U760" s="52"/>
    </row>
    <row r="761">
      <c r="M761" s="52"/>
      <c r="N761" s="52"/>
      <c r="O761" s="52"/>
      <c r="P761" s="52"/>
      <c r="Q761" s="52"/>
      <c r="U761" s="52"/>
    </row>
    <row r="762">
      <c r="M762" s="52"/>
      <c r="N762" s="52"/>
      <c r="O762" s="52"/>
      <c r="P762" s="52"/>
      <c r="Q762" s="52"/>
      <c r="U762" s="52"/>
    </row>
    <row r="763">
      <c r="M763" s="52"/>
      <c r="N763" s="52"/>
      <c r="O763" s="52"/>
      <c r="P763" s="52"/>
      <c r="Q763" s="52"/>
      <c r="U763" s="52"/>
    </row>
    <row r="764">
      <c r="M764" s="52"/>
      <c r="N764" s="52"/>
      <c r="O764" s="52"/>
      <c r="P764" s="52"/>
      <c r="Q764" s="52"/>
      <c r="U764" s="52"/>
    </row>
    <row r="765">
      <c r="M765" s="52"/>
      <c r="N765" s="52"/>
      <c r="O765" s="52"/>
      <c r="P765" s="52"/>
      <c r="Q765" s="52"/>
      <c r="U765" s="52"/>
    </row>
    <row r="766">
      <c r="M766" s="52"/>
      <c r="N766" s="52"/>
      <c r="O766" s="52"/>
      <c r="P766" s="52"/>
      <c r="Q766" s="52"/>
      <c r="U766" s="52"/>
    </row>
    <row r="767">
      <c r="M767" s="52"/>
      <c r="N767" s="52"/>
      <c r="O767" s="52"/>
      <c r="P767" s="52"/>
      <c r="Q767" s="52"/>
      <c r="U767" s="52"/>
    </row>
    <row r="768">
      <c r="M768" s="52"/>
      <c r="N768" s="52"/>
      <c r="O768" s="52"/>
      <c r="P768" s="52"/>
      <c r="Q768" s="52"/>
      <c r="U768" s="52"/>
    </row>
    <row r="769">
      <c r="M769" s="52"/>
      <c r="N769" s="52"/>
      <c r="O769" s="52"/>
      <c r="P769" s="52"/>
      <c r="Q769" s="52"/>
      <c r="U769" s="52"/>
    </row>
    <row r="770">
      <c r="M770" s="52"/>
      <c r="N770" s="52"/>
      <c r="O770" s="52"/>
      <c r="P770" s="52"/>
      <c r="Q770" s="52"/>
      <c r="U770" s="52"/>
    </row>
    <row r="771">
      <c r="M771" s="52"/>
      <c r="N771" s="52"/>
      <c r="O771" s="52"/>
      <c r="P771" s="52"/>
      <c r="Q771" s="52"/>
      <c r="U771" s="52"/>
    </row>
    <row r="772">
      <c r="M772" s="52"/>
      <c r="N772" s="52"/>
      <c r="O772" s="52"/>
      <c r="P772" s="52"/>
      <c r="Q772" s="52"/>
      <c r="U772" s="52"/>
    </row>
    <row r="773">
      <c r="M773" s="52"/>
      <c r="N773" s="52"/>
      <c r="O773" s="52"/>
      <c r="P773" s="52"/>
      <c r="Q773" s="52"/>
      <c r="U773" s="52"/>
    </row>
    <row r="774">
      <c r="M774" s="52"/>
      <c r="N774" s="52"/>
      <c r="O774" s="52"/>
      <c r="P774" s="52"/>
      <c r="Q774" s="52"/>
      <c r="U774" s="52"/>
    </row>
    <row r="775">
      <c r="M775" s="52"/>
      <c r="N775" s="52"/>
      <c r="O775" s="52"/>
      <c r="P775" s="52"/>
      <c r="Q775" s="52"/>
      <c r="U775" s="52"/>
    </row>
    <row r="776">
      <c r="M776" s="52"/>
      <c r="N776" s="52"/>
      <c r="O776" s="52"/>
      <c r="P776" s="52"/>
      <c r="Q776" s="52"/>
      <c r="U776" s="52"/>
    </row>
    <row r="777">
      <c r="M777" s="52"/>
      <c r="N777" s="52"/>
      <c r="O777" s="52"/>
      <c r="P777" s="52"/>
      <c r="Q777" s="52"/>
      <c r="U777" s="52"/>
    </row>
    <row r="778">
      <c r="M778" s="52"/>
      <c r="N778" s="52"/>
      <c r="O778" s="52"/>
      <c r="P778" s="52"/>
      <c r="Q778" s="52"/>
      <c r="U778" s="52"/>
    </row>
    <row r="779">
      <c r="M779" s="52"/>
      <c r="N779" s="52"/>
      <c r="O779" s="52"/>
      <c r="P779" s="52"/>
      <c r="Q779" s="52"/>
      <c r="U779" s="52"/>
    </row>
    <row r="780">
      <c r="M780" s="52"/>
      <c r="N780" s="52"/>
      <c r="O780" s="52"/>
      <c r="P780" s="52"/>
      <c r="Q780" s="52"/>
      <c r="U780" s="52"/>
    </row>
    <row r="781">
      <c r="M781" s="52"/>
      <c r="N781" s="52"/>
      <c r="O781" s="52"/>
      <c r="P781" s="52"/>
      <c r="Q781" s="52"/>
      <c r="U781" s="52"/>
    </row>
    <row r="782">
      <c r="M782" s="52"/>
      <c r="N782" s="52"/>
      <c r="O782" s="52"/>
      <c r="P782" s="52"/>
      <c r="Q782" s="52"/>
      <c r="U782" s="52"/>
    </row>
    <row r="783">
      <c r="M783" s="52"/>
      <c r="N783" s="52"/>
      <c r="O783" s="52"/>
      <c r="P783" s="52"/>
      <c r="Q783" s="52"/>
      <c r="U783" s="52"/>
    </row>
    <row r="784">
      <c r="M784" s="52"/>
      <c r="N784" s="52"/>
      <c r="O784" s="52"/>
      <c r="P784" s="52"/>
      <c r="Q784" s="52"/>
      <c r="U784" s="52"/>
    </row>
    <row r="785">
      <c r="M785" s="52"/>
      <c r="N785" s="52"/>
      <c r="O785" s="52"/>
      <c r="P785" s="52"/>
      <c r="Q785" s="52"/>
      <c r="U785" s="52"/>
    </row>
    <row r="786">
      <c r="M786" s="52"/>
      <c r="N786" s="52"/>
      <c r="O786" s="52"/>
      <c r="P786" s="52"/>
      <c r="Q786" s="52"/>
      <c r="U786" s="52"/>
    </row>
    <row r="787">
      <c r="M787" s="52"/>
      <c r="N787" s="52"/>
      <c r="O787" s="52"/>
      <c r="P787" s="52"/>
      <c r="Q787" s="52"/>
      <c r="U787" s="52"/>
    </row>
    <row r="788">
      <c r="M788" s="52"/>
      <c r="N788" s="52"/>
      <c r="O788" s="52"/>
      <c r="P788" s="52"/>
      <c r="Q788" s="52"/>
      <c r="U788" s="52"/>
    </row>
    <row r="789">
      <c r="M789" s="52"/>
      <c r="N789" s="52"/>
      <c r="O789" s="52"/>
      <c r="P789" s="52"/>
      <c r="Q789" s="52"/>
      <c r="U789" s="52"/>
    </row>
    <row r="790">
      <c r="M790" s="52"/>
      <c r="N790" s="52"/>
      <c r="O790" s="52"/>
      <c r="P790" s="52"/>
      <c r="Q790" s="52"/>
      <c r="U790" s="52"/>
    </row>
    <row r="791">
      <c r="M791" s="52"/>
      <c r="N791" s="52"/>
      <c r="O791" s="52"/>
      <c r="P791" s="52"/>
      <c r="Q791" s="52"/>
      <c r="U791" s="52"/>
    </row>
    <row r="792">
      <c r="M792" s="52"/>
      <c r="N792" s="52"/>
      <c r="O792" s="52"/>
      <c r="P792" s="52"/>
      <c r="Q792" s="52"/>
      <c r="U792" s="52"/>
    </row>
    <row r="793">
      <c r="M793" s="52"/>
      <c r="N793" s="52"/>
      <c r="O793" s="52"/>
      <c r="P793" s="52"/>
      <c r="Q793" s="52"/>
      <c r="U793" s="52"/>
    </row>
    <row r="794">
      <c r="M794" s="52"/>
      <c r="N794" s="52"/>
      <c r="O794" s="52"/>
      <c r="P794" s="52"/>
      <c r="Q794" s="52"/>
      <c r="U794" s="52"/>
    </row>
    <row r="795">
      <c r="M795" s="52"/>
      <c r="N795" s="52"/>
      <c r="O795" s="52"/>
      <c r="P795" s="52"/>
      <c r="Q795" s="52"/>
      <c r="U795" s="52"/>
    </row>
    <row r="796">
      <c r="M796" s="52"/>
      <c r="N796" s="52"/>
      <c r="O796" s="52"/>
      <c r="P796" s="52"/>
      <c r="Q796" s="52"/>
      <c r="U796" s="52"/>
    </row>
    <row r="797">
      <c r="M797" s="52"/>
      <c r="N797" s="52"/>
      <c r="O797" s="52"/>
      <c r="P797" s="52"/>
      <c r="Q797" s="52"/>
      <c r="U797" s="52"/>
    </row>
    <row r="798">
      <c r="M798" s="52"/>
      <c r="N798" s="52"/>
      <c r="O798" s="52"/>
      <c r="P798" s="52"/>
      <c r="Q798" s="52"/>
      <c r="U798" s="52"/>
    </row>
    <row r="799">
      <c r="M799" s="52"/>
      <c r="N799" s="52"/>
      <c r="O799" s="52"/>
      <c r="P799" s="52"/>
      <c r="Q799" s="52"/>
      <c r="U799" s="52"/>
    </row>
    <row r="800">
      <c r="M800" s="52"/>
      <c r="N800" s="52"/>
      <c r="O800" s="52"/>
      <c r="P800" s="52"/>
      <c r="Q800" s="52"/>
      <c r="U800" s="52"/>
    </row>
    <row r="801">
      <c r="M801" s="52"/>
      <c r="N801" s="52"/>
      <c r="O801" s="52"/>
      <c r="P801" s="52"/>
      <c r="Q801" s="52"/>
      <c r="U801" s="52"/>
    </row>
    <row r="802">
      <c r="M802" s="52"/>
      <c r="N802" s="52"/>
      <c r="O802" s="52"/>
      <c r="P802" s="52"/>
      <c r="Q802" s="52"/>
      <c r="U802" s="52"/>
    </row>
    <row r="803">
      <c r="M803" s="52"/>
      <c r="N803" s="52"/>
      <c r="O803" s="52"/>
      <c r="P803" s="52"/>
      <c r="Q803" s="52"/>
      <c r="U803" s="52"/>
    </row>
    <row r="804">
      <c r="M804" s="52"/>
      <c r="N804" s="52"/>
      <c r="O804" s="52"/>
      <c r="P804" s="52"/>
      <c r="Q804" s="52"/>
      <c r="U804" s="52"/>
    </row>
    <row r="805">
      <c r="M805" s="52"/>
      <c r="N805" s="52"/>
      <c r="O805" s="52"/>
      <c r="P805" s="52"/>
      <c r="Q805" s="52"/>
      <c r="U805" s="52"/>
    </row>
    <row r="806">
      <c r="M806" s="52"/>
      <c r="N806" s="52"/>
      <c r="O806" s="52"/>
      <c r="P806" s="52"/>
      <c r="Q806" s="52"/>
      <c r="U806" s="52"/>
    </row>
    <row r="807">
      <c r="M807" s="52"/>
      <c r="N807" s="52"/>
      <c r="O807" s="52"/>
      <c r="P807" s="52"/>
      <c r="Q807" s="52"/>
      <c r="U807" s="52"/>
    </row>
    <row r="808">
      <c r="M808" s="52"/>
      <c r="N808" s="52"/>
      <c r="O808" s="52"/>
      <c r="P808" s="52"/>
      <c r="Q808" s="52"/>
      <c r="U808" s="52"/>
    </row>
    <row r="809">
      <c r="M809" s="52"/>
      <c r="N809" s="52"/>
      <c r="O809" s="52"/>
      <c r="P809" s="52"/>
      <c r="Q809" s="52"/>
      <c r="U809" s="52"/>
    </row>
    <row r="810">
      <c r="M810" s="52"/>
      <c r="N810" s="52"/>
      <c r="O810" s="52"/>
      <c r="P810" s="52"/>
      <c r="Q810" s="52"/>
      <c r="U810" s="52"/>
    </row>
    <row r="811">
      <c r="M811" s="52"/>
      <c r="N811" s="52"/>
      <c r="O811" s="52"/>
      <c r="P811" s="52"/>
      <c r="Q811" s="52"/>
      <c r="U811" s="52"/>
    </row>
    <row r="812">
      <c r="M812" s="52"/>
      <c r="N812" s="52"/>
      <c r="O812" s="52"/>
      <c r="P812" s="52"/>
      <c r="Q812" s="52"/>
      <c r="U812" s="52"/>
    </row>
    <row r="813">
      <c r="M813" s="52"/>
      <c r="N813" s="52"/>
      <c r="O813" s="52"/>
      <c r="P813" s="52"/>
      <c r="Q813" s="52"/>
      <c r="U813" s="52"/>
    </row>
    <row r="814">
      <c r="M814" s="52"/>
      <c r="N814" s="52"/>
      <c r="O814" s="52"/>
      <c r="P814" s="52"/>
      <c r="Q814" s="52"/>
      <c r="U814" s="52"/>
    </row>
    <row r="815">
      <c r="M815" s="52"/>
      <c r="N815" s="52"/>
      <c r="O815" s="52"/>
      <c r="P815" s="52"/>
      <c r="Q815" s="52"/>
      <c r="U815" s="52"/>
    </row>
    <row r="816">
      <c r="M816" s="52"/>
      <c r="N816" s="52"/>
      <c r="O816" s="52"/>
      <c r="P816" s="52"/>
      <c r="Q816" s="52"/>
      <c r="U816" s="52"/>
    </row>
    <row r="817">
      <c r="M817" s="52"/>
      <c r="N817" s="52"/>
      <c r="O817" s="52"/>
      <c r="P817" s="52"/>
      <c r="Q817" s="52"/>
      <c r="U817" s="52"/>
    </row>
    <row r="818">
      <c r="M818" s="52"/>
      <c r="N818" s="52"/>
      <c r="O818" s="52"/>
      <c r="P818" s="52"/>
      <c r="Q818" s="52"/>
      <c r="U818" s="52"/>
    </row>
    <row r="819">
      <c r="M819" s="52"/>
      <c r="N819" s="52"/>
      <c r="O819" s="52"/>
      <c r="P819" s="52"/>
      <c r="Q819" s="52"/>
      <c r="U819" s="52"/>
    </row>
    <row r="820">
      <c r="M820" s="52"/>
      <c r="N820" s="52"/>
      <c r="O820" s="52"/>
      <c r="P820" s="52"/>
      <c r="Q820" s="52"/>
      <c r="U820" s="52"/>
    </row>
    <row r="821">
      <c r="M821" s="52"/>
      <c r="N821" s="52"/>
      <c r="O821" s="52"/>
      <c r="P821" s="52"/>
      <c r="Q821" s="52"/>
      <c r="U821" s="52"/>
    </row>
    <row r="822">
      <c r="M822" s="52"/>
      <c r="N822" s="52"/>
      <c r="O822" s="52"/>
      <c r="P822" s="52"/>
      <c r="Q822" s="52"/>
      <c r="U822" s="52"/>
    </row>
    <row r="823">
      <c r="M823" s="52"/>
      <c r="N823" s="52"/>
      <c r="O823" s="52"/>
      <c r="P823" s="52"/>
      <c r="Q823" s="52"/>
      <c r="U823" s="52"/>
    </row>
    <row r="824">
      <c r="M824" s="52"/>
      <c r="N824" s="52"/>
      <c r="O824" s="52"/>
      <c r="P824" s="52"/>
      <c r="Q824" s="52"/>
      <c r="U824" s="52"/>
    </row>
    <row r="825">
      <c r="M825" s="52"/>
      <c r="N825" s="52"/>
      <c r="O825" s="52"/>
      <c r="P825" s="52"/>
      <c r="Q825" s="52"/>
      <c r="U825" s="52"/>
    </row>
    <row r="826">
      <c r="M826" s="52"/>
      <c r="N826" s="52"/>
      <c r="O826" s="52"/>
      <c r="P826" s="52"/>
      <c r="Q826" s="52"/>
      <c r="U826" s="52"/>
    </row>
    <row r="827">
      <c r="M827" s="52"/>
      <c r="N827" s="52"/>
      <c r="O827" s="52"/>
      <c r="P827" s="52"/>
      <c r="Q827" s="52"/>
      <c r="U827" s="52"/>
    </row>
    <row r="828">
      <c r="M828" s="52"/>
      <c r="N828" s="52"/>
      <c r="O828" s="52"/>
      <c r="P828" s="52"/>
      <c r="Q828" s="52"/>
      <c r="U828" s="52"/>
    </row>
    <row r="829">
      <c r="M829" s="52"/>
      <c r="N829" s="52"/>
      <c r="O829" s="52"/>
      <c r="P829" s="52"/>
      <c r="Q829" s="52"/>
      <c r="U829" s="52"/>
    </row>
    <row r="830">
      <c r="M830" s="52"/>
      <c r="N830" s="52"/>
      <c r="O830" s="52"/>
      <c r="P830" s="52"/>
      <c r="Q830" s="52"/>
      <c r="U830" s="52"/>
    </row>
    <row r="831">
      <c r="M831" s="52"/>
      <c r="N831" s="52"/>
      <c r="O831" s="52"/>
      <c r="P831" s="52"/>
      <c r="Q831" s="52"/>
      <c r="U831" s="52"/>
    </row>
    <row r="832">
      <c r="M832" s="52"/>
      <c r="N832" s="52"/>
      <c r="O832" s="52"/>
      <c r="P832" s="52"/>
      <c r="Q832" s="52"/>
      <c r="U832" s="52"/>
    </row>
    <row r="833">
      <c r="M833" s="52"/>
      <c r="N833" s="52"/>
      <c r="O833" s="52"/>
      <c r="P833" s="52"/>
      <c r="Q833" s="52"/>
      <c r="U833" s="52"/>
    </row>
    <row r="834">
      <c r="M834" s="52"/>
      <c r="N834" s="52"/>
      <c r="O834" s="52"/>
      <c r="P834" s="52"/>
      <c r="Q834" s="52"/>
      <c r="U834" s="52"/>
    </row>
    <row r="835">
      <c r="M835" s="52"/>
      <c r="N835" s="52"/>
      <c r="O835" s="52"/>
      <c r="P835" s="52"/>
      <c r="Q835" s="52"/>
      <c r="U835" s="52"/>
    </row>
    <row r="836">
      <c r="M836" s="52"/>
      <c r="N836" s="52"/>
      <c r="O836" s="52"/>
      <c r="P836" s="52"/>
      <c r="Q836" s="52"/>
      <c r="U836" s="52"/>
    </row>
    <row r="837">
      <c r="M837" s="52"/>
      <c r="N837" s="52"/>
      <c r="O837" s="52"/>
      <c r="P837" s="52"/>
      <c r="Q837" s="52"/>
      <c r="U837" s="52"/>
    </row>
    <row r="838">
      <c r="M838" s="52"/>
      <c r="N838" s="52"/>
      <c r="O838" s="52"/>
      <c r="P838" s="52"/>
      <c r="Q838" s="52"/>
      <c r="U838" s="52"/>
    </row>
    <row r="839">
      <c r="M839" s="52"/>
      <c r="N839" s="52"/>
      <c r="O839" s="52"/>
      <c r="P839" s="52"/>
      <c r="Q839" s="52"/>
      <c r="U839" s="52"/>
    </row>
    <row r="840">
      <c r="M840" s="52"/>
      <c r="N840" s="52"/>
      <c r="O840" s="52"/>
      <c r="P840" s="52"/>
      <c r="Q840" s="52"/>
      <c r="U840" s="52"/>
    </row>
    <row r="841">
      <c r="M841" s="52"/>
      <c r="N841" s="52"/>
      <c r="O841" s="52"/>
      <c r="P841" s="52"/>
      <c r="Q841" s="52"/>
      <c r="U841" s="52"/>
    </row>
    <row r="842">
      <c r="M842" s="52"/>
      <c r="N842" s="52"/>
      <c r="O842" s="52"/>
      <c r="P842" s="52"/>
      <c r="Q842" s="52"/>
      <c r="U842" s="52"/>
    </row>
    <row r="843">
      <c r="M843" s="52"/>
      <c r="N843" s="52"/>
      <c r="O843" s="52"/>
      <c r="P843" s="52"/>
      <c r="Q843" s="52"/>
      <c r="U843" s="52"/>
    </row>
    <row r="844">
      <c r="M844" s="52"/>
      <c r="N844" s="52"/>
      <c r="O844" s="52"/>
      <c r="P844" s="52"/>
      <c r="Q844" s="52"/>
      <c r="U844" s="52"/>
    </row>
    <row r="845">
      <c r="M845" s="52"/>
      <c r="N845" s="52"/>
      <c r="O845" s="52"/>
      <c r="P845" s="52"/>
      <c r="Q845" s="52"/>
      <c r="U845" s="52"/>
    </row>
    <row r="846">
      <c r="M846" s="52"/>
      <c r="N846" s="52"/>
      <c r="O846" s="52"/>
      <c r="P846" s="52"/>
      <c r="Q846" s="52"/>
      <c r="U846" s="52"/>
    </row>
    <row r="847">
      <c r="M847" s="52"/>
      <c r="N847" s="52"/>
      <c r="O847" s="52"/>
      <c r="P847" s="52"/>
      <c r="Q847" s="52"/>
      <c r="U847" s="52"/>
    </row>
    <row r="848">
      <c r="M848" s="52"/>
      <c r="N848" s="52"/>
      <c r="O848" s="52"/>
      <c r="P848" s="52"/>
      <c r="Q848" s="52"/>
      <c r="U848" s="52"/>
    </row>
    <row r="849">
      <c r="M849" s="52"/>
      <c r="N849" s="52"/>
      <c r="O849" s="52"/>
      <c r="P849" s="52"/>
      <c r="Q849" s="52"/>
      <c r="U849" s="52"/>
    </row>
    <row r="850">
      <c r="M850" s="52"/>
      <c r="N850" s="52"/>
      <c r="O850" s="52"/>
      <c r="P850" s="52"/>
      <c r="Q850" s="52"/>
      <c r="U850" s="52"/>
    </row>
    <row r="851">
      <c r="M851" s="52"/>
      <c r="N851" s="52"/>
      <c r="O851" s="52"/>
      <c r="P851" s="52"/>
      <c r="Q851" s="52"/>
      <c r="U851" s="52"/>
    </row>
    <row r="852">
      <c r="M852" s="52"/>
      <c r="N852" s="52"/>
      <c r="O852" s="52"/>
      <c r="P852" s="52"/>
      <c r="Q852" s="52"/>
      <c r="U852" s="52"/>
    </row>
    <row r="853">
      <c r="M853" s="52"/>
      <c r="N853" s="52"/>
      <c r="O853" s="52"/>
      <c r="P853" s="52"/>
      <c r="Q853" s="52"/>
      <c r="U853" s="52"/>
    </row>
    <row r="854">
      <c r="M854" s="52"/>
      <c r="N854" s="52"/>
      <c r="O854" s="52"/>
      <c r="P854" s="52"/>
      <c r="Q854" s="52"/>
      <c r="U854" s="52"/>
    </row>
    <row r="855">
      <c r="M855" s="52"/>
      <c r="N855" s="52"/>
      <c r="O855" s="52"/>
      <c r="P855" s="52"/>
      <c r="Q855" s="52"/>
      <c r="U855" s="52"/>
    </row>
    <row r="856">
      <c r="M856" s="52"/>
      <c r="N856" s="52"/>
      <c r="O856" s="52"/>
      <c r="P856" s="52"/>
      <c r="Q856" s="52"/>
      <c r="U856" s="52"/>
    </row>
    <row r="857">
      <c r="M857" s="52"/>
      <c r="N857" s="52"/>
      <c r="O857" s="52"/>
      <c r="P857" s="52"/>
      <c r="Q857" s="52"/>
      <c r="U857" s="52"/>
    </row>
    <row r="858">
      <c r="M858" s="52"/>
      <c r="N858" s="52"/>
      <c r="O858" s="52"/>
      <c r="P858" s="52"/>
      <c r="Q858" s="52"/>
      <c r="U858" s="52"/>
    </row>
    <row r="859">
      <c r="M859" s="52"/>
      <c r="N859" s="52"/>
      <c r="O859" s="52"/>
      <c r="P859" s="52"/>
      <c r="Q859" s="52"/>
      <c r="U859" s="52"/>
    </row>
    <row r="860">
      <c r="M860" s="52"/>
      <c r="N860" s="52"/>
      <c r="O860" s="52"/>
      <c r="P860" s="52"/>
      <c r="Q860" s="52"/>
      <c r="U860" s="52"/>
    </row>
    <row r="861">
      <c r="M861" s="52"/>
      <c r="N861" s="52"/>
      <c r="O861" s="52"/>
      <c r="P861" s="52"/>
      <c r="Q861" s="52"/>
      <c r="U861" s="52"/>
    </row>
    <row r="862">
      <c r="M862" s="52"/>
      <c r="N862" s="52"/>
      <c r="O862" s="52"/>
      <c r="P862" s="52"/>
      <c r="Q862" s="52"/>
      <c r="U862" s="52"/>
    </row>
    <row r="863">
      <c r="M863" s="52"/>
      <c r="N863" s="52"/>
      <c r="O863" s="52"/>
      <c r="P863" s="52"/>
      <c r="Q863" s="52"/>
      <c r="U863" s="52"/>
    </row>
    <row r="864">
      <c r="M864" s="52"/>
      <c r="N864" s="52"/>
      <c r="O864" s="52"/>
      <c r="P864" s="52"/>
      <c r="Q864" s="52"/>
      <c r="U864" s="52"/>
    </row>
    <row r="865">
      <c r="M865" s="52"/>
      <c r="N865" s="52"/>
      <c r="O865" s="52"/>
      <c r="P865" s="52"/>
      <c r="Q865" s="52"/>
      <c r="U865" s="52"/>
    </row>
    <row r="866">
      <c r="M866" s="52"/>
      <c r="N866" s="52"/>
      <c r="O866" s="52"/>
      <c r="P866" s="52"/>
      <c r="Q866" s="52"/>
      <c r="U866" s="52"/>
    </row>
    <row r="867">
      <c r="M867" s="52"/>
      <c r="N867" s="52"/>
      <c r="O867" s="52"/>
      <c r="P867" s="52"/>
      <c r="Q867" s="52"/>
      <c r="U867" s="52"/>
    </row>
    <row r="868">
      <c r="M868" s="52"/>
      <c r="N868" s="52"/>
      <c r="O868" s="52"/>
      <c r="P868" s="52"/>
      <c r="Q868" s="52"/>
      <c r="U868" s="52"/>
    </row>
    <row r="869">
      <c r="M869" s="52"/>
      <c r="N869" s="52"/>
      <c r="O869" s="52"/>
      <c r="P869" s="52"/>
      <c r="Q869" s="52"/>
      <c r="U869" s="52"/>
    </row>
    <row r="870">
      <c r="M870" s="52"/>
      <c r="N870" s="52"/>
      <c r="O870" s="52"/>
      <c r="P870" s="52"/>
      <c r="Q870" s="52"/>
      <c r="U870" s="52"/>
    </row>
    <row r="871">
      <c r="M871" s="52"/>
      <c r="N871" s="52"/>
      <c r="O871" s="52"/>
      <c r="P871" s="52"/>
      <c r="Q871" s="52"/>
      <c r="U871" s="52"/>
    </row>
    <row r="872">
      <c r="M872" s="52"/>
      <c r="N872" s="52"/>
      <c r="O872" s="52"/>
      <c r="P872" s="52"/>
      <c r="Q872" s="52"/>
      <c r="U872" s="52"/>
    </row>
    <row r="873">
      <c r="M873" s="52"/>
      <c r="N873" s="52"/>
      <c r="O873" s="52"/>
      <c r="P873" s="52"/>
      <c r="Q873" s="52"/>
      <c r="U873" s="52"/>
    </row>
    <row r="874">
      <c r="M874" s="52"/>
      <c r="N874" s="52"/>
      <c r="O874" s="52"/>
      <c r="P874" s="52"/>
      <c r="Q874" s="52"/>
      <c r="U874" s="52"/>
    </row>
    <row r="875">
      <c r="M875" s="52"/>
      <c r="N875" s="52"/>
      <c r="O875" s="52"/>
      <c r="P875" s="52"/>
      <c r="Q875" s="52"/>
      <c r="U875" s="52"/>
    </row>
    <row r="876">
      <c r="M876" s="52"/>
      <c r="N876" s="52"/>
      <c r="O876" s="52"/>
      <c r="P876" s="52"/>
      <c r="Q876" s="52"/>
      <c r="U876" s="52"/>
    </row>
    <row r="877">
      <c r="M877" s="52"/>
      <c r="N877" s="52"/>
      <c r="O877" s="52"/>
      <c r="P877" s="52"/>
      <c r="Q877" s="52"/>
      <c r="U877" s="52"/>
    </row>
    <row r="878">
      <c r="M878" s="52"/>
      <c r="N878" s="52"/>
      <c r="O878" s="52"/>
      <c r="P878" s="52"/>
      <c r="Q878" s="52"/>
      <c r="U878" s="52"/>
    </row>
    <row r="879">
      <c r="M879" s="52"/>
      <c r="N879" s="52"/>
      <c r="O879" s="52"/>
      <c r="P879" s="52"/>
      <c r="Q879" s="52"/>
      <c r="U879" s="52"/>
    </row>
    <row r="880">
      <c r="M880" s="52"/>
      <c r="N880" s="52"/>
      <c r="O880" s="52"/>
      <c r="P880" s="52"/>
      <c r="Q880" s="52"/>
      <c r="U880" s="52"/>
    </row>
    <row r="881">
      <c r="M881" s="52"/>
      <c r="N881" s="52"/>
      <c r="O881" s="52"/>
      <c r="P881" s="52"/>
      <c r="Q881" s="52"/>
      <c r="U881" s="52"/>
    </row>
    <row r="882">
      <c r="M882" s="52"/>
      <c r="N882" s="52"/>
      <c r="O882" s="52"/>
      <c r="P882" s="52"/>
      <c r="Q882" s="52"/>
      <c r="U882" s="52"/>
    </row>
    <row r="883">
      <c r="M883" s="52"/>
      <c r="N883" s="52"/>
      <c r="O883" s="52"/>
      <c r="P883" s="52"/>
      <c r="Q883" s="52"/>
      <c r="U883" s="52"/>
    </row>
    <row r="884">
      <c r="M884" s="52"/>
      <c r="N884" s="52"/>
      <c r="O884" s="52"/>
      <c r="P884" s="52"/>
      <c r="Q884" s="52"/>
      <c r="U884" s="52"/>
    </row>
    <row r="885">
      <c r="M885" s="52"/>
      <c r="N885" s="52"/>
      <c r="O885" s="52"/>
      <c r="P885" s="52"/>
      <c r="Q885" s="52"/>
      <c r="U885" s="52"/>
    </row>
    <row r="886">
      <c r="M886" s="52"/>
      <c r="N886" s="52"/>
      <c r="O886" s="52"/>
      <c r="P886" s="52"/>
      <c r="Q886" s="52"/>
      <c r="U886" s="52"/>
    </row>
    <row r="887">
      <c r="M887" s="52"/>
      <c r="N887" s="52"/>
      <c r="O887" s="52"/>
      <c r="P887" s="52"/>
      <c r="Q887" s="52"/>
      <c r="U887" s="52"/>
    </row>
    <row r="888">
      <c r="M888" s="52"/>
      <c r="N888" s="52"/>
      <c r="O888" s="52"/>
      <c r="P888" s="52"/>
      <c r="Q888" s="52"/>
      <c r="U888" s="52"/>
    </row>
    <row r="889">
      <c r="M889" s="52"/>
      <c r="N889" s="52"/>
      <c r="O889" s="52"/>
      <c r="P889" s="52"/>
      <c r="Q889" s="52"/>
      <c r="U889" s="52"/>
    </row>
    <row r="890">
      <c r="M890" s="52"/>
      <c r="N890" s="52"/>
      <c r="O890" s="52"/>
      <c r="P890" s="52"/>
      <c r="Q890" s="52"/>
      <c r="U890" s="52"/>
    </row>
    <row r="891">
      <c r="M891" s="52"/>
      <c r="N891" s="52"/>
      <c r="O891" s="52"/>
      <c r="P891" s="52"/>
      <c r="Q891" s="52"/>
      <c r="U891" s="52"/>
    </row>
    <row r="892">
      <c r="M892" s="52"/>
      <c r="N892" s="52"/>
      <c r="O892" s="52"/>
      <c r="P892" s="52"/>
      <c r="Q892" s="52"/>
      <c r="U892" s="52"/>
    </row>
    <row r="893">
      <c r="M893" s="52"/>
      <c r="N893" s="52"/>
      <c r="O893" s="52"/>
      <c r="P893" s="52"/>
      <c r="Q893" s="52"/>
      <c r="U893" s="52"/>
    </row>
    <row r="894">
      <c r="M894" s="52"/>
      <c r="N894" s="52"/>
      <c r="O894" s="52"/>
      <c r="P894" s="52"/>
      <c r="Q894" s="52"/>
      <c r="U894" s="52"/>
    </row>
    <row r="895">
      <c r="M895" s="52"/>
      <c r="N895" s="52"/>
      <c r="O895" s="52"/>
      <c r="P895" s="52"/>
      <c r="Q895" s="52"/>
      <c r="U895" s="52"/>
    </row>
    <row r="896">
      <c r="M896" s="52"/>
      <c r="N896" s="52"/>
      <c r="O896" s="52"/>
      <c r="P896" s="52"/>
      <c r="Q896" s="52"/>
      <c r="U896" s="52"/>
    </row>
    <row r="897">
      <c r="M897" s="52"/>
      <c r="N897" s="52"/>
      <c r="O897" s="52"/>
      <c r="P897" s="52"/>
      <c r="Q897" s="52"/>
      <c r="U897" s="52"/>
    </row>
    <row r="898">
      <c r="M898" s="52"/>
      <c r="N898" s="52"/>
      <c r="O898" s="52"/>
      <c r="P898" s="52"/>
      <c r="Q898" s="52"/>
      <c r="U898" s="52"/>
    </row>
    <row r="899">
      <c r="M899" s="52"/>
      <c r="N899" s="52"/>
      <c r="O899" s="52"/>
      <c r="P899" s="52"/>
      <c r="Q899" s="52"/>
      <c r="U899" s="52"/>
    </row>
    <row r="900">
      <c r="M900" s="52"/>
      <c r="N900" s="52"/>
      <c r="O900" s="52"/>
      <c r="P900" s="52"/>
      <c r="Q900" s="52"/>
      <c r="U900" s="52"/>
    </row>
    <row r="901">
      <c r="M901" s="52"/>
      <c r="N901" s="52"/>
      <c r="O901" s="52"/>
      <c r="P901" s="52"/>
      <c r="Q901" s="52"/>
      <c r="U901" s="52"/>
    </row>
    <row r="902">
      <c r="M902" s="52"/>
      <c r="N902" s="52"/>
      <c r="O902" s="52"/>
      <c r="P902" s="52"/>
      <c r="Q902" s="52"/>
      <c r="U902" s="52"/>
    </row>
    <row r="903">
      <c r="M903" s="52"/>
      <c r="N903" s="52"/>
      <c r="O903" s="52"/>
      <c r="P903" s="52"/>
      <c r="Q903" s="52"/>
      <c r="U903" s="52"/>
    </row>
    <row r="904">
      <c r="M904" s="52"/>
      <c r="N904" s="52"/>
      <c r="O904" s="52"/>
      <c r="P904" s="52"/>
      <c r="Q904" s="52"/>
      <c r="U904" s="52"/>
    </row>
    <row r="905">
      <c r="M905" s="52"/>
      <c r="N905" s="52"/>
      <c r="O905" s="52"/>
      <c r="P905" s="52"/>
      <c r="Q905" s="52"/>
      <c r="U905" s="52"/>
    </row>
    <row r="906">
      <c r="M906" s="52"/>
      <c r="N906" s="52"/>
      <c r="O906" s="52"/>
      <c r="P906" s="52"/>
      <c r="Q906" s="52"/>
      <c r="U906" s="52"/>
    </row>
    <row r="907">
      <c r="M907" s="52"/>
      <c r="N907" s="52"/>
      <c r="O907" s="52"/>
      <c r="P907" s="52"/>
      <c r="Q907" s="52"/>
      <c r="U907" s="52"/>
    </row>
    <row r="908">
      <c r="M908" s="52"/>
      <c r="N908" s="52"/>
      <c r="O908" s="52"/>
      <c r="P908" s="52"/>
      <c r="Q908" s="52"/>
      <c r="U908" s="52"/>
    </row>
    <row r="909">
      <c r="M909" s="52"/>
      <c r="N909" s="52"/>
      <c r="O909" s="52"/>
      <c r="P909" s="52"/>
      <c r="Q909" s="52"/>
      <c r="U909" s="52"/>
    </row>
    <row r="910">
      <c r="M910" s="52"/>
      <c r="N910" s="52"/>
      <c r="O910" s="52"/>
      <c r="P910" s="52"/>
      <c r="Q910" s="52"/>
      <c r="U910" s="52"/>
    </row>
    <row r="911">
      <c r="M911" s="52"/>
      <c r="N911" s="52"/>
      <c r="O911" s="52"/>
      <c r="P911" s="52"/>
      <c r="Q911" s="52"/>
      <c r="U911" s="52"/>
    </row>
    <row r="912">
      <c r="M912" s="52"/>
      <c r="N912" s="52"/>
      <c r="O912" s="52"/>
      <c r="P912" s="52"/>
      <c r="Q912" s="52"/>
      <c r="U912" s="52"/>
    </row>
    <row r="913">
      <c r="M913" s="52"/>
      <c r="N913" s="52"/>
      <c r="O913" s="52"/>
      <c r="P913" s="52"/>
      <c r="Q913" s="52"/>
      <c r="U913" s="52"/>
    </row>
    <row r="914">
      <c r="M914" s="52"/>
      <c r="N914" s="52"/>
      <c r="O914" s="52"/>
      <c r="P914" s="52"/>
      <c r="Q914" s="52"/>
      <c r="U914" s="52"/>
    </row>
    <row r="915">
      <c r="M915" s="52"/>
      <c r="N915" s="52"/>
      <c r="O915" s="52"/>
      <c r="P915" s="52"/>
      <c r="Q915" s="52"/>
      <c r="U915" s="52"/>
    </row>
    <row r="916">
      <c r="M916" s="52"/>
      <c r="N916" s="52"/>
      <c r="O916" s="52"/>
      <c r="P916" s="52"/>
      <c r="Q916" s="52"/>
      <c r="U916" s="52"/>
    </row>
    <row r="917">
      <c r="M917" s="52"/>
      <c r="N917" s="52"/>
      <c r="O917" s="52"/>
      <c r="P917" s="52"/>
      <c r="Q917" s="52"/>
      <c r="U917" s="52"/>
    </row>
    <row r="918">
      <c r="M918" s="52"/>
      <c r="N918" s="52"/>
      <c r="O918" s="52"/>
      <c r="P918" s="52"/>
      <c r="Q918" s="52"/>
      <c r="U918" s="52"/>
    </row>
    <row r="919">
      <c r="M919" s="52"/>
      <c r="N919" s="52"/>
      <c r="O919" s="52"/>
      <c r="P919" s="52"/>
      <c r="Q919" s="52"/>
      <c r="U919" s="52"/>
    </row>
    <row r="920">
      <c r="M920" s="52"/>
      <c r="N920" s="52"/>
      <c r="O920" s="52"/>
      <c r="P920" s="52"/>
      <c r="Q920" s="52"/>
      <c r="U920" s="52"/>
    </row>
    <row r="921">
      <c r="M921" s="52"/>
      <c r="N921" s="52"/>
      <c r="O921" s="52"/>
      <c r="P921" s="52"/>
      <c r="Q921" s="52"/>
      <c r="U921" s="52"/>
    </row>
    <row r="922">
      <c r="M922" s="52"/>
      <c r="N922" s="52"/>
      <c r="O922" s="52"/>
      <c r="P922" s="52"/>
      <c r="Q922" s="52"/>
      <c r="U922" s="52"/>
    </row>
    <row r="923">
      <c r="M923" s="52"/>
      <c r="N923" s="52"/>
      <c r="O923" s="52"/>
      <c r="P923" s="52"/>
      <c r="Q923" s="52"/>
      <c r="U923" s="52"/>
    </row>
    <row r="924">
      <c r="M924" s="52"/>
      <c r="N924" s="52"/>
      <c r="O924" s="52"/>
      <c r="P924" s="52"/>
      <c r="Q924" s="52"/>
      <c r="U924" s="52"/>
    </row>
    <row r="925">
      <c r="M925" s="52"/>
      <c r="N925" s="52"/>
      <c r="O925" s="52"/>
      <c r="P925" s="52"/>
      <c r="Q925" s="52"/>
      <c r="U925" s="52"/>
    </row>
    <row r="926">
      <c r="M926" s="52"/>
      <c r="N926" s="52"/>
      <c r="O926" s="52"/>
      <c r="P926" s="52"/>
      <c r="Q926" s="52"/>
      <c r="U926" s="52"/>
    </row>
    <row r="927">
      <c r="M927" s="52"/>
      <c r="N927" s="52"/>
      <c r="O927" s="52"/>
      <c r="P927" s="52"/>
      <c r="Q927" s="52"/>
      <c r="U927" s="52"/>
    </row>
    <row r="928">
      <c r="M928" s="52"/>
      <c r="N928" s="52"/>
      <c r="O928" s="52"/>
      <c r="P928" s="52"/>
      <c r="Q928" s="52"/>
      <c r="U928" s="52"/>
    </row>
    <row r="929">
      <c r="M929" s="52"/>
      <c r="N929" s="52"/>
      <c r="O929" s="52"/>
      <c r="P929" s="52"/>
      <c r="Q929" s="52"/>
      <c r="U929" s="52"/>
    </row>
    <row r="930">
      <c r="M930" s="52"/>
      <c r="N930" s="52"/>
      <c r="O930" s="52"/>
      <c r="P930" s="52"/>
      <c r="Q930" s="52"/>
      <c r="U930" s="52"/>
    </row>
    <row r="931">
      <c r="M931" s="52"/>
      <c r="N931" s="52"/>
      <c r="O931" s="52"/>
      <c r="P931" s="52"/>
      <c r="Q931" s="52"/>
      <c r="U931" s="52"/>
    </row>
    <row r="932">
      <c r="M932" s="52"/>
      <c r="N932" s="52"/>
      <c r="O932" s="52"/>
      <c r="P932" s="52"/>
      <c r="Q932" s="52"/>
      <c r="U932" s="52"/>
    </row>
    <row r="933">
      <c r="M933" s="52"/>
      <c r="N933" s="52"/>
      <c r="O933" s="52"/>
      <c r="P933" s="52"/>
      <c r="Q933" s="52"/>
      <c r="U933" s="52"/>
    </row>
    <row r="934">
      <c r="M934" s="52"/>
      <c r="N934" s="52"/>
      <c r="O934" s="52"/>
      <c r="P934" s="52"/>
      <c r="Q934" s="52"/>
      <c r="U934" s="52"/>
    </row>
    <row r="935">
      <c r="M935" s="52"/>
      <c r="N935" s="52"/>
      <c r="O935" s="52"/>
      <c r="P935" s="52"/>
      <c r="Q935" s="52"/>
      <c r="U935" s="52"/>
    </row>
    <row r="936">
      <c r="M936" s="52"/>
      <c r="N936" s="52"/>
      <c r="O936" s="52"/>
      <c r="P936" s="52"/>
      <c r="Q936" s="52"/>
      <c r="U936" s="52"/>
    </row>
    <row r="937">
      <c r="M937" s="52"/>
      <c r="N937" s="52"/>
      <c r="O937" s="52"/>
      <c r="P937" s="52"/>
      <c r="Q937" s="52"/>
      <c r="U937" s="52"/>
    </row>
    <row r="938">
      <c r="M938" s="52"/>
      <c r="N938" s="52"/>
      <c r="O938" s="52"/>
      <c r="P938" s="52"/>
      <c r="Q938" s="52"/>
      <c r="U938" s="52"/>
    </row>
    <row r="939">
      <c r="M939" s="52"/>
      <c r="N939" s="52"/>
      <c r="O939" s="52"/>
      <c r="P939" s="52"/>
      <c r="Q939" s="52"/>
      <c r="U939" s="52"/>
    </row>
    <row r="940">
      <c r="M940" s="52"/>
      <c r="N940" s="52"/>
      <c r="O940" s="52"/>
      <c r="P940" s="52"/>
      <c r="Q940" s="52"/>
      <c r="U940" s="52"/>
    </row>
    <row r="941">
      <c r="M941" s="52"/>
      <c r="N941" s="52"/>
      <c r="O941" s="52"/>
      <c r="P941" s="52"/>
      <c r="Q941" s="52"/>
      <c r="U941" s="52"/>
    </row>
    <row r="942">
      <c r="M942" s="52"/>
      <c r="N942" s="52"/>
      <c r="O942" s="52"/>
      <c r="P942" s="52"/>
      <c r="Q942" s="52"/>
      <c r="U942" s="52"/>
    </row>
    <row r="943">
      <c r="M943" s="52"/>
      <c r="N943" s="52"/>
      <c r="O943" s="52"/>
      <c r="P943" s="52"/>
      <c r="Q943" s="52"/>
      <c r="U943" s="52"/>
    </row>
    <row r="944">
      <c r="M944" s="52"/>
      <c r="N944" s="52"/>
      <c r="O944" s="52"/>
      <c r="P944" s="52"/>
      <c r="Q944" s="52"/>
      <c r="U944" s="52"/>
    </row>
    <row r="945">
      <c r="M945" s="52"/>
      <c r="N945" s="52"/>
      <c r="O945" s="52"/>
      <c r="P945" s="52"/>
      <c r="Q945" s="52"/>
      <c r="U945" s="52"/>
    </row>
    <row r="946">
      <c r="M946" s="52"/>
      <c r="N946" s="52"/>
      <c r="O946" s="52"/>
      <c r="P946" s="52"/>
      <c r="Q946" s="52"/>
      <c r="U946" s="52"/>
    </row>
    <row r="947">
      <c r="M947" s="52"/>
      <c r="N947" s="52"/>
      <c r="O947" s="52"/>
      <c r="P947" s="52"/>
      <c r="Q947" s="52"/>
      <c r="U947" s="52"/>
    </row>
    <row r="948">
      <c r="M948" s="52"/>
      <c r="N948" s="52"/>
      <c r="O948" s="52"/>
      <c r="P948" s="52"/>
      <c r="Q948" s="52"/>
      <c r="U948" s="52"/>
    </row>
    <row r="949">
      <c r="M949" s="52"/>
      <c r="N949" s="52"/>
      <c r="O949" s="52"/>
      <c r="P949" s="52"/>
      <c r="Q949" s="52"/>
      <c r="U949" s="52"/>
    </row>
    <row r="950">
      <c r="M950" s="52"/>
      <c r="N950" s="52"/>
      <c r="O950" s="52"/>
      <c r="P950" s="52"/>
      <c r="Q950" s="52"/>
      <c r="U950" s="52"/>
    </row>
    <row r="951">
      <c r="M951" s="52"/>
      <c r="N951" s="52"/>
      <c r="O951" s="52"/>
      <c r="P951" s="52"/>
      <c r="Q951" s="52"/>
      <c r="U951" s="52"/>
    </row>
    <row r="952">
      <c r="M952" s="52"/>
      <c r="N952" s="52"/>
      <c r="O952" s="52"/>
      <c r="P952" s="52"/>
      <c r="Q952" s="52"/>
      <c r="U952" s="52"/>
    </row>
    <row r="953">
      <c r="M953" s="52"/>
      <c r="N953" s="52"/>
      <c r="O953" s="52"/>
      <c r="P953" s="52"/>
      <c r="Q953" s="52"/>
      <c r="U953" s="52"/>
    </row>
    <row r="954">
      <c r="M954" s="52"/>
      <c r="N954" s="52"/>
      <c r="O954" s="52"/>
      <c r="P954" s="52"/>
      <c r="Q954" s="52"/>
      <c r="U954" s="52"/>
    </row>
    <row r="955">
      <c r="M955" s="52"/>
      <c r="N955" s="52"/>
      <c r="O955" s="52"/>
      <c r="P955" s="52"/>
      <c r="Q955" s="52"/>
      <c r="U955" s="52"/>
    </row>
    <row r="956">
      <c r="M956" s="52"/>
      <c r="N956" s="52"/>
      <c r="O956" s="52"/>
      <c r="P956" s="52"/>
      <c r="Q956" s="52"/>
      <c r="U956" s="52"/>
    </row>
    <row r="957">
      <c r="M957" s="52"/>
      <c r="N957" s="52"/>
      <c r="O957" s="52"/>
      <c r="P957" s="52"/>
      <c r="Q957" s="52"/>
      <c r="U957" s="52"/>
    </row>
    <row r="958">
      <c r="M958" s="52"/>
      <c r="N958" s="52"/>
      <c r="O958" s="52"/>
      <c r="P958" s="52"/>
      <c r="Q958" s="52"/>
      <c r="U958" s="52"/>
    </row>
    <row r="959">
      <c r="M959" s="52"/>
      <c r="N959" s="52"/>
      <c r="O959" s="52"/>
      <c r="P959" s="52"/>
      <c r="Q959" s="52"/>
      <c r="U959" s="52"/>
    </row>
    <row r="960">
      <c r="M960" s="52"/>
      <c r="N960" s="52"/>
      <c r="O960" s="52"/>
      <c r="P960" s="52"/>
      <c r="Q960" s="52"/>
      <c r="U960" s="52"/>
    </row>
    <row r="961">
      <c r="M961" s="52"/>
      <c r="N961" s="52"/>
      <c r="O961" s="52"/>
      <c r="P961" s="52"/>
      <c r="Q961" s="52"/>
      <c r="U961" s="52"/>
    </row>
    <row r="962">
      <c r="M962" s="52"/>
      <c r="N962" s="52"/>
      <c r="O962" s="52"/>
      <c r="P962" s="52"/>
      <c r="Q962" s="52"/>
      <c r="U962" s="52"/>
    </row>
    <row r="963">
      <c r="M963" s="52"/>
      <c r="N963" s="52"/>
      <c r="O963" s="52"/>
      <c r="P963" s="52"/>
      <c r="Q963" s="52"/>
      <c r="U963" s="52"/>
    </row>
    <row r="964">
      <c r="M964" s="52"/>
      <c r="N964" s="52"/>
      <c r="O964" s="52"/>
      <c r="P964" s="52"/>
      <c r="Q964" s="52"/>
      <c r="U964" s="52"/>
    </row>
    <row r="965">
      <c r="M965" s="52"/>
      <c r="N965" s="52"/>
      <c r="O965" s="52"/>
      <c r="P965" s="52"/>
      <c r="Q965" s="52"/>
      <c r="U965" s="52"/>
    </row>
    <row r="966">
      <c r="M966" s="52"/>
      <c r="N966" s="52"/>
      <c r="O966" s="52"/>
      <c r="P966" s="52"/>
      <c r="Q966" s="52"/>
      <c r="U966" s="52"/>
    </row>
    <row r="967">
      <c r="M967" s="52"/>
      <c r="N967" s="52"/>
      <c r="O967" s="52"/>
      <c r="P967" s="52"/>
      <c r="Q967" s="52"/>
      <c r="U967" s="52"/>
    </row>
    <row r="968">
      <c r="M968" s="52"/>
      <c r="N968" s="52"/>
      <c r="O968" s="52"/>
      <c r="P968" s="52"/>
      <c r="Q968" s="52"/>
      <c r="U968" s="52"/>
    </row>
    <row r="969">
      <c r="M969" s="52"/>
      <c r="N969" s="52"/>
      <c r="O969" s="52"/>
      <c r="P969" s="52"/>
      <c r="Q969" s="52"/>
      <c r="U969" s="52"/>
    </row>
    <row r="970">
      <c r="M970" s="52"/>
      <c r="N970" s="52"/>
      <c r="O970" s="52"/>
      <c r="P970" s="52"/>
      <c r="Q970" s="52"/>
      <c r="U970" s="52"/>
    </row>
    <row r="971">
      <c r="M971" s="52"/>
      <c r="N971" s="52"/>
      <c r="O971" s="52"/>
      <c r="P971" s="52"/>
      <c r="Q971" s="52"/>
      <c r="U971" s="52"/>
    </row>
    <row r="972">
      <c r="M972" s="52"/>
      <c r="N972" s="52"/>
      <c r="O972" s="52"/>
      <c r="P972" s="52"/>
      <c r="Q972" s="52"/>
      <c r="U972" s="52"/>
    </row>
    <row r="973">
      <c r="M973" s="52"/>
      <c r="N973" s="52"/>
      <c r="O973" s="52"/>
      <c r="P973" s="52"/>
      <c r="Q973" s="52"/>
      <c r="U973" s="52"/>
    </row>
    <row r="974">
      <c r="M974" s="52"/>
      <c r="N974" s="52"/>
      <c r="O974" s="52"/>
      <c r="P974" s="52"/>
      <c r="Q974" s="52"/>
      <c r="U974" s="52"/>
    </row>
    <row r="975">
      <c r="M975" s="52"/>
      <c r="N975" s="52"/>
      <c r="O975" s="52"/>
      <c r="P975" s="52"/>
      <c r="Q975" s="52"/>
      <c r="U975" s="52"/>
    </row>
    <row r="976">
      <c r="M976" s="52"/>
      <c r="N976" s="52"/>
      <c r="O976" s="52"/>
      <c r="P976" s="52"/>
      <c r="Q976" s="52"/>
      <c r="U976" s="52"/>
    </row>
    <row r="977">
      <c r="M977" s="52"/>
      <c r="N977" s="52"/>
      <c r="O977" s="52"/>
      <c r="P977" s="52"/>
      <c r="Q977" s="52"/>
      <c r="U977" s="52"/>
    </row>
    <row r="978">
      <c r="M978" s="52"/>
      <c r="N978" s="52"/>
      <c r="O978" s="52"/>
      <c r="P978" s="52"/>
      <c r="Q978" s="52"/>
      <c r="U978" s="52"/>
    </row>
    <row r="979">
      <c r="M979" s="52"/>
      <c r="N979" s="52"/>
      <c r="O979" s="52"/>
      <c r="P979" s="52"/>
      <c r="Q979" s="52"/>
      <c r="U979" s="52"/>
    </row>
    <row r="980">
      <c r="M980" s="52"/>
      <c r="N980" s="52"/>
      <c r="O980" s="52"/>
      <c r="P980" s="52"/>
      <c r="Q980" s="52"/>
      <c r="U980" s="52"/>
    </row>
    <row r="981">
      <c r="M981" s="52"/>
      <c r="N981" s="52"/>
      <c r="O981" s="52"/>
      <c r="P981" s="52"/>
      <c r="Q981" s="52"/>
      <c r="U981" s="52"/>
    </row>
    <row r="982">
      <c r="M982" s="52"/>
      <c r="N982" s="52"/>
      <c r="O982" s="52"/>
      <c r="P982" s="52"/>
      <c r="Q982" s="52"/>
      <c r="U982" s="52"/>
    </row>
    <row r="983">
      <c r="M983" s="52"/>
      <c r="N983" s="52"/>
      <c r="O983" s="52"/>
      <c r="P983" s="52"/>
      <c r="Q983" s="52"/>
      <c r="U983" s="52"/>
    </row>
    <row r="984">
      <c r="M984" s="52"/>
      <c r="N984" s="52"/>
      <c r="O984" s="52"/>
      <c r="P984" s="52"/>
      <c r="Q984" s="52"/>
      <c r="U984" s="52"/>
    </row>
    <row r="985">
      <c r="M985" s="52"/>
      <c r="N985" s="52"/>
      <c r="O985" s="52"/>
      <c r="P985" s="52"/>
      <c r="Q985" s="52"/>
      <c r="U985" s="52"/>
    </row>
    <row r="986">
      <c r="M986" s="52"/>
      <c r="N986" s="52"/>
      <c r="O986" s="52"/>
      <c r="P986" s="52"/>
      <c r="Q986" s="52"/>
      <c r="U986" s="52"/>
    </row>
    <row r="987">
      <c r="M987" s="52"/>
      <c r="N987" s="52"/>
      <c r="O987" s="52"/>
      <c r="P987" s="52"/>
      <c r="Q987" s="52"/>
      <c r="U987" s="52"/>
    </row>
    <row r="988">
      <c r="M988" s="52"/>
      <c r="N988" s="52"/>
      <c r="O988" s="52"/>
      <c r="P988" s="52"/>
      <c r="Q988" s="52"/>
      <c r="U988" s="52"/>
    </row>
    <row r="989">
      <c r="M989" s="52"/>
      <c r="N989" s="52"/>
      <c r="O989" s="52"/>
      <c r="P989" s="52"/>
      <c r="Q989" s="52"/>
      <c r="U989" s="52"/>
    </row>
    <row r="990">
      <c r="M990" s="52"/>
      <c r="N990" s="52"/>
      <c r="O990" s="52"/>
      <c r="P990" s="52"/>
      <c r="Q990" s="52"/>
      <c r="U990" s="52"/>
    </row>
    <row r="991">
      <c r="M991" s="52"/>
      <c r="N991" s="52"/>
      <c r="O991" s="52"/>
      <c r="P991" s="52"/>
      <c r="Q991" s="52"/>
      <c r="U991" s="52"/>
    </row>
    <row r="992">
      <c r="M992" s="52"/>
      <c r="N992" s="52"/>
      <c r="O992" s="52"/>
      <c r="P992" s="52"/>
      <c r="Q992" s="52"/>
      <c r="U992" s="52"/>
    </row>
    <row r="993">
      <c r="M993" s="52"/>
      <c r="N993" s="52"/>
      <c r="O993" s="52"/>
      <c r="P993" s="52"/>
      <c r="Q993" s="52"/>
      <c r="U993" s="52"/>
    </row>
    <row r="994">
      <c r="M994" s="52"/>
      <c r="N994" s="52"/>
      <c r="O994" s="52"/>
      <c r="P994" s="52"/>
      <c r="Q994" s="52"/>
      <c r="U994" s="52"/>
    </row>
    <row r="995">
      <c r="M995" s="52"/>
      <c r="N995" s="52"/>
      <c r="O995" s="52"/>
      <c r="P995" s="52"/>
      <c r="Q995" s="52"/>
      <c r="U995" s="52"/>
    </row>
    <row r="996">
      <c r="M996" s="52"/>
      <c r="N996" s="52"/>
      <c r="O996" s="52"/>
      <c r="P996" s="52"/>
      <c r="Q996" s="52"/>
      <c r="U996" s="52"/>
    </row>
    <row r="997">
      <c r="M997" s="52"/>
      <c r="N997" s="52"/>
      <c r="O997" s="52"/>
      <c r="P997" s="52"/>
      <c r="Q997" s="52"/>
      <c r="U997" s="52"/>
    </row>
    <row r="998">
      <c r="M998" s="52"/>
      <c r="N998" s="52"/>
      <c r="O998" s="52"/>
      <c r="P998" s="52"/>
      <c r="Q998" s="52"/>
      <c r="U998" s="52"/>
    </row>
    <row r="999">
      <c r="M999" s="52"/>
      <c r="N999" s="52"/>
      <c r="O999" s="52"/>
      <c r="P999" s="52"/>
      <c r="Q999" s="52"/>
      <c r="U999" s="52"/>
    </row>
    <row r="1000">
      <c r="M1000" s="52"/>
      <c r="N1000" s="52"/>
      <c r="O1000" s="52"/>
      <c r="P1000" s="52"/>
      <c r="Q1000" s="52"/>
      <c r="U1000" s="52"/>
    </row>
  </sheetData>
  <mergeCells count="7">
    <mergeCell ref="A1:A2"/>
    <mergeCell ref="B1:B2"/>
    <mergeCell ref="C1:G1"/>
    <mergeCell ref="H1:I1"/>
    <mergeCell ref="J1:J2"/>
    <mergeCell ref="K1:O1"/>
    <mergeCell ref="P1:U1"/>
  </mergeCells>
  <conditionalFormatting sqref="N3:N9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G3:G9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3:H9">
    <cfRule type="colorScale" priority="3">
      <colorScale>
        <cfvo type="formula" val="0"/>
        <cfvo type="max"/>
        <color rgb="FFFFFFFF"/>
        <color rgb="FF57BB8A"/>
      </colorScale>
    </cfRule>
  </conditionalFormatting>
  <conditionalFormatting sqref="I3:I9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J3:J9">
    <cfRule type="colorScale" priority="5">
      <colorScale>
        <cfvo type="formula" val="0"/>
        <cfvo type="max"/>
        <color rgb="FFFFFFFF"/>
        <color rgb="FF57BB8A"/>
      </colorScale>
    </cfRule>
  </conditionalFormatting>
  <conditionalFormatting sqref="K3:K9">
    <cfRule type="colorScale" priority="6">
      <colorScale>
        <cfvo type="formula" val="0"/>
        <cfvo type="max"/>
        <color rgb="FFFFFFFF"/>
        <color rgb="FF57BB8A"/>
      </colorScale>
    </cfRule>
  </conditionalFormatting>
  <conditionalFormatting sqref="L3:L9">
    <cfRule type="colorScale" priority="7">
      <colorScale>
        <cfvo type="formula" val="0"/>
        <cfvo type="max"/>
        <color rgb="FFFFFFFF"/>
        <color rgb="FFE67C73"/>
      </colorScale>
    </cfRule>
  </conditionalFormatting>
  <conditionalFormatting sqref="C3:C9">
    <cfRule type="colorScale" priority="8">
      <colorScale>
        <cfvo type="formula" val="0"/>
        <cfvo type="max"/>
        <color rgb="FFFFFFFF"/>
        <color rgb="FFFFD666"/>
      </colorScale>
    </cfRule>
  </conditionalFormatting>
  <conditionalFormatting sqref="D3:D9">
    <cfRule type="colorScale" priority="9">
      <colorScale>
        <cfvo type="formula" val="0"/>
        <cfvo type="max"/>
        <color rgb="FFFFFFFF"/>
        <color rgb="FF57BB8A"/>
      </colorScale>
    </cfRule>
  </conditionalFormatting>
  <conditionalFormatting sqref="E3:E9">
    <cfRule type="colorScale" priority="10">
      <colorScale>
        <cfvo type="formula" val="0"/>
        <cfvo type="max"/>
        <color rgb="FFFFFFFF"/>
        <color rgb="FFE67C73"/>
      </colorScale>
    </cfRule>
  </conditionalFormatting>
  <conditionalFormatting sqref="F3:F9">
    <cfRule type="colorScale" priority="11">
      <colorScale>
        <cfvo type="formula" val="0"/>
        <cfvo type="max"/>
        <color rgb="FFFFFFFF"/>
        <color rgb="FF57BB8A"/>
      </colorScale>
    </cfRule>
  </conditionalFormatting>
  <conditionalFormatting sqref="M3:M9">
    <cfRule type="colorScale" priority="12">
      <colorScale>
        <cfvo type="formula" val="0"/>
        <cfvo type="max"/>
        <color rgb="FFFFFFFF"/>
        <color rgb="FFFFD666"/>
      </colorScale>
    </cfRule>
  </conditionalFormatting>
  <conditionalFormatting sqref="O3:O9">
    <cfRule type="colorScale" priority="13">
      <colorScale>
        <cfvo type="formula" val="0"/>
        <cfvo type="formula" val="1"/>
        <color rgb="FFFFFFFF"/>
        <color rgb="FF57BB8A"/>
      </colorScale>
    </cfRule>
  </conditionalFormatting>
  <conditionalFormatting sqref="P3:P9">
    <cfRule type="colorScale" priority="14">
      <colorScale>
        <cfvo type="formula" val="0"/>
        <cfvo type="max"/>
        <color rgb="FFFFFFFF"/>
        <color rgb="FFFFD666"/>
      </colorScale>
    </cfRule>
  </conditionalFormatting>
  <conditionalFormatting sqref="U3:U9">
    <cfRule type="colorScale" priority="15">
      <colorScale>
        <cfvo type="formula" val="0"/>
        <cfvo type="formula" val="2"/>
        <cfvo type="formula" val="3"/>
        <color rgb="FFE67C73"/>
        <color rgb="FFFFFFFF"/>
        <color rgb="FF57BB8A"/>
      </colorScale>
    </cfRule>
  </conditionalFormatting>
  <drawing r:id="rId1"/>
</worksheet>
</file>